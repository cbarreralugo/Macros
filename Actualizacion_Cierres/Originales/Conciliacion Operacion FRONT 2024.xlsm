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2.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defaultThemeVersion="124226"/>
  <mc:AlternateContent xmlns:mc="http://schemas.openxmlformats.org/markup-compatibility/2006">
    <mc:Choice Requires="x15">
      <x15ac:absPath xmlns:x15ac="http://schemas.microsoft.com/office/spreadsheetml/2010/11/ac" url="Z:\Conciliaciones y Controles\"/>
    </mc:Choice>
  </mc:AlternateContent>
  <xr:revisionPtr revIDLastSave="0" documentId="13_ncr:1_{314FA55D-5E5D-4D2C-8332-250CDB9D81E7}" xr6:coauthVersionLast="47" xr6:coauthVersionMax="47" xr10:uidLastSave="{00000000-0000-0000-0000-000000000000}"/>
  <bookViews>
    <workbookView xWindow="-120" yWindow="-120" windowWidth="25440" windowHeight="15390" tabRatio="682" firstSheet="1" activeTab="4" xr2:uid="{00000000-000D-0000-FFFF-FFFF00000000}"/>
  </bookViews>
  <sheets>
    <sheet name="Hoja1" sheetId="9" state="hidden" r:id="rId1"/>
    <sheet name="ListaContratos" sheetId="13" r:id="rId2"/>
    <sheet name="Catalogo" sheetId="11" r:id="rId3"/>
    <sheet name="Hoja2" sheetId="10" state="hidden" r:id="rId4"/>
    <sheet name="Conciliacion" sheetId="3" r:id="rId5"/>
    <sheet name="Hoja4" sheetId="17" state="hidden" r:id="rId6"/>
    <sheet name="RK" sheetId="4" r:id="rId7"/>
    <sheet name="FRONT" sheetId="5" r:id="rId8"/>
    <sheet name="Hoja3" sheetId="16" state="hidden" r:id="rId9"/>
    <sheet name="Informe de compatibilidad" sheetId="8" state="hidden" r:id="rId10"/>
    <sheet name="Pendientes historicos " sheetId="14" state="hidden" r:id="rId11"/>
    <sheet name="Reporte_Movimientos" sheetId="15" r:id="rId12"/>
  </sheets>
  <definedNames>
    <definedName name="_xlnm._FilterDatabase" localSheetId="2" hidden="1">Catalogo!#REF!</definedName>
    <definedName name="_xlnm._FilterDatabase" localSheetId="4" hidden="1">Conciliacion!$A$86:$T$215</definedName>
    <definedName name="_xlnm._FilterDatabase" localSheetId="7" hidden="1">FRONT!$A$1:$N$1296</definedName>
    <definedName name="_xlnm._FilterDatabase" localSheetId="10" hidden="1">'Pendientes historicos '!$A$1:$I$150</definedName>
    <definedName name="_xlnm._FilterDatabase" localSheetId="11" hidden="1">Reporte_Movimientos!$A$1:$Z$76</definedName>
    <definedName name="_xlnm._FilterDatabase" localSheetId="6" hidden="1">RK!$A$1:$H$902</definedName>
    <definedName name="_xlnm.Print_Area" localSheetId="4">Conciliacion!$A$1:$I$86</definedName>
    <definedName name="OLE_LINK2" localSheetId="4">Conciliacion!#REF!</definedName>
    <definedName name="Z_A92C6C20_72AA_4220_B3AA_00E51E3C498A_.wvu.Cols" localSheetId="7" hidden="1">FRONT!$M:$M</definedName>
    <definedName name="Z_A92C6C20_72AA_4220_B3AA_00E51E3C498A_.wvu.FilterData" localSheetId="4" hidden="1">Conciliacion!$A$86:$I$86</definedName>
    <definedName name="Z_A92C6C20_72AA_4220_B3AA_00E51E3C498A_.wvu.FilterData" localSheetId="7" hidden="1">FRONT!$A$1:$Q$1296</definedName>
    <definedName name="Z_A92C6C20_72AA_4220_B3AA_00E51E3C498A_.wvu.PrintArea" localSheetId="4" hidden="1">Conciliacion!$A$1:$I$86</definedName>
    <definedName name="Z_A92C6C20_72AA_4220_B3AA_00E51E3C498A_.wvu.Rows" localSheetId="4" hidden="1">Conciliacion!$36:$80</definedName>
    <definedName name="Z_FCDC5774_C688_49A7_887C_2F5AAD39761C_.wvu.Cols" localSheetId="7" hidden="1">FRONT!$M:$M</definedName>
    <definedName name="Z_FCDC5774_C688_49A7_887C_2F5AAD39761C_.wvu.FilterData" localSheetId="4" hidden="1">Conciliacion!$A$86:$I$86</definedName>
    <definedName name="Z_FCDC5774_C688_49A7_887C_2F5AAD39761C_.wvu.FilterData" localSheetId="7" hidden="1">FRONT!$A$1:$Q$1296</definedName>
    <definedName name="Z_FCDC5774_C688_49A7_887C_2F5AAD39761C_.wvu.PrintArea" localSheetId="4" hidden="1">Conciliacion!$A$1:$I$86</definedName>
    <definedName name="Z_FCDC5774_C688_49A7_887C_2F5AAD39761C_.wvu.Rows" localSheetId="4" hidden="1">Conciliacion!$36:$80</definedName>
  </definedNames>
  <calcPr calcId="191029"/>
  <customWorkbookViews>
    <customWorkbookView name="n823784 - Vista personalizada" guid="{FCDC5774-C688-49A7-887C-2F5AAD39761C}" mergeInterval="0" personalView="1" maximized="1" windowWidth="1680" windowHeight="864" tabRatio="682" activeSheetId="3"/>
    <customWorkbookView name="n562602 - Vista personalizada" guid="{A92C6C20-72AA-4220-B3AA-00E51E3C498A}" mergeInterval="0" personalView="1" maximized="1" xWindow="-8" yWindow="-8" windowWidth="1936" windowHeight="1056" tabRatio="682" activeSheetId="3"/>
  </customWorkbookViews>
  <pivotCaches>
    <pivotCache cacheId="0" r:id="rId13"/>
    <pivotCache cacheId="1" r:id="rId1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3" i="3" l="1"/>
  <c r="H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F46" i="3" l="1"/>
  <c r="F47" i="3"/>
  <c r="F48" i="3"/>
  <c r="F49" i="3"/>
  <c r="F50" i="3"/>
  <c r="A13" i="3"/>
  <c r="B13" i="3"/>
  <c r="D13" i="3"/>
  <c r="E13" i="3"/>
  <c r="F13" i="3"/>
  <c r="G13" i="3" l="1"/>
  <c r="K1"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F19" i="3" l="1"/>
  <c r="F20" i="3"/>
  <c r="F21" i="3"/>
  <c r="F22" i="3"/>
  <c r="F24" i="3"/>
  <c r="F25" i="3"/>
  <c r="F26" i="3"/>
  <c r="F27" i="3"/>
  <c r="F28" i="3"/>
  <c r="F29" i="3"/>
  <c r="F30" i="3"/>
  <c r="F31" i="3"/>
  <c r="F32" i="3"/>
  <c r="F33" i="3"/>
  <c r="F34" i="3"/>
  <c r="F35" i="3"/>
  <c r="F36" i="3"/>
  <c r="F37" i="3"/>
  <c r="F38" i="3"/>
  <c r="F39" i="3"/>
  <c r="F40" i="3"/>
  <c r="F41" i="3"/>
  <c r="F42" i="3"/>
  <c r="F43" i="3"/>
  <c r="F44" i="3"/>
  <c r="F45"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14" i="3" l="1"/>
  <c r="F15" i="3"/>
  <c r="F16" i="3"/>
  <c r="F17" i="3"/>
  <c r="F18" i="3"/>
  <c r="A20" i="3" l="1"/>
  <c r="B20" i="3"/>
  <c r="D20" i="3"/>
  <c r="E20" i="3"/>
  <c r="G20" i="3" l="1"/>
  <c r="B22" i="3" l="1"/>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E10" i="3" l="1"/>
  <c r="E11" i="3"/>
  <c r="E12" i="3"/>
  <c r="A3" i="3" l="1"/>
  <c r="A7" i="3"/>
  <c r="A6" i="3"/>
  <c r="A13" i="5"/>
  <c r="F10" i="3"/>
  <c r="F6" i="3" l="1"/>
  <c r="F11" i="3" l="1"/>
  <c r="G11" i="3" s="1"/>
  <c r="E7" i="3" l="1"/>
  <c r="E8" i="3"/>
  <c r="E9" i="3"/>
  <c r="E14" i="3"/>
  <c r="E15" i="3"/>
  <c r="E16" i="3"/>
  <c r="E17" i="3"/>
  <c r="E18" i="3"/>
  <c r="E19"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F7" i="3"/>
  <c r="F8" i="3"/>
  <c r="F9" i="3"/>
  <c r="F12" i="3"/>
  <c r="G59" i="3" l="1"/>
  <c r="G47" i="3"/>
  <c r="G35" i="3"/>
  <c r="G23" i="3"/>
  <c r="G73" i="3"/>
  <c r="G61" i="3"/>
  <c r="G49" i="3"/>
  <c r="G58" i="3"/>
  <c r="G34" i="3"/>
  <c r="G79" i="3"/>
  <c r="G19" i="3"/>
  <c r="G67" i="3"/>
  <c r="G55" i="3"/>
  <c r="G43" i="3"/>
  <c r="G31" i="3"/>
  <c r="G27" i="3"/>
  <c r="G75" i="3"/>
  <c r="G63" i="3"/>
  <c r="G51" i="3"/>
  <c r="G39" i="3"/>
  <c r="G37" i="3"/>
  <c r="G60" i="3"/>
  <c r="G72" i="3"/>
  <c r="G48" i="3"/>
  <c r="G36" i="3"/>
  <c r="G24" i="3"/>
  <c r="G22" i="3"/>
  <c r="G69" i="3"/>
  <c r="G57" i="3"/>
  <c r="G45" i="3"/>
  <c r="G33" i="3"/>
  <c r="G21" i="3"/>
  <c r="G80" i="3"/>
  <c r="G68" i="3"/>
  <c r="G56" i="3"/>
  <c r="G44" i="3"/>
  <c r="G32" i="3"/>
  <c r="G10" i="3"/>
  <c r="G9" i="3"/>
  <c r="G8" i="3"/>
  <c r="G54" i="3"/>
  <c r="G42" i="3"/>
  <c r="G30" i="3"/>
  <c r="G7" i="3"/>
  <c r="G16" i="3"/>
  <c r="G12" i="3"/>
  <c r="G74" i="3"/>
  <c r="G62" i="3"/>
  <c r="G50" i="3"/>
  <c r="G38" i="3"/>
  <c r="G26" i="3"/>
  <c r="G15" i="3"/>
  <c r="G25" i="3"/>
  <c r="G14" i="3"/>
  <c r="G71" i="3"/>
  <c r="G70" i="3"/>
  <c r="G46" i="3"/>
  <c r="G78" i="3"/>
  <c r="G66" i="3"/>
  <c r="G77" i="3"/>
  <c r="G65" i="3"/>
  <c r="G53" i="3"/>
  <c r="G41" i="3"/>
  <c r="G29" i="3"/>
  <c r="G18" i="3"/>
  <c r="G76" i="3"/>
  <c r="G64" i="3"/>
  <c r="G52" i="3"/>
  <c r="G40" i="3"/>
  <c r="G28" i="3"/>
  <c r="G17" i="3"/>
  <c r="B14" i="3"/>
  <c r="B15" i="3"/>
  <c r="B16" i="3"/>
  <c r="B17" i="3"/>
  <c r="B18" i="3"/>
  <c r="B19" i="3"/>
  <c r="B21" i="3"/>
  <c r="A14" i="3"/>
  <c r="A15" i="3"/>
  <c r="A16" i="3"/>
  <c r="A17" i="3"/>
  <c r="A18" i="3"/>
  <c r="A19"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D17" i="3"/>
  <c r="D18" i="3"/>
  <c r="D19"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16" i="3"/>
  <c r="D15" i="3" l="1"/>
  <c r="F150" i="14" l="1"/>
  <c r="E150" i="14"/>
  <c r="D150" i="14"/>
  <c r="B150" i="14"/>
  <c r="A150" i="14"/>
  <c r="F149" i="14"/>
  <c r="E149" i="14"/>
  <c r="D149" i="14"/>
  <c r="B149" i="14"/>
  <c r="A149" i="14"/>
  <c r="F148" i="14"/>
  <c r="E148" i="14"/>
  <c r="D148" i="14"/>
  <c r="B148" i="14"/>
  <c r="A148" i="14"/>
  <c r="F147" i="14"/>
  <c r="E147" i="14"/>
  <c r="D147" i="14"/>
  <c r="B147" i="14"/>
  <c r="A147" i="14"/>
  <c r="G143" i="14"/>
  <c r="G142" i="14"/>
  <c r="G140" i="14"/>
  <c r="F129" i="14"/>
  <c r="E129" i="14"/>
  <c r="D129" i="14"/>
  <c r="B129" i="14"/>
  <c r="A129" i="14"/>
  <c r="M1296" i="5"/>
  <c r="A1296" i="5"/>
  <c r="L1296" i="5" s="1"/>
  <c r="M1295" i="5"/>
  <c r="A1295" i="5"/>
  <c r="L1295" i="5" s="1"/>
  <c r="M1294" i="5"/>
  <c r="A1294" i="5"/>
  <c r="L1294" i="5" s="1"/>
  <c r="M1293" i="5"/>
  <c r="A1293" i="5"/>
  <c r="L1293" i="5" s="1"/>
  <c r="M1292" i="5"/>
  <c r="A1292" i="5"/>
  <c r="L1292" i="5" s="1"/>
  <c r="M1291" i="5"/>
  <c r="A1291" i="5"/>
  <c r="L1291" i="5" s="1"/>
  <c r="M1290" i="5"/>
  <c r="A1290" i="5"/>
  <c r="L1290" i="5" s="1"/>
  <c r="M1289" i="5"/>
  <c r="A1289" i="5"/>
  <c r="L1289" i="5" s="1"/>
  <c r="M1288" i="5"/>
  <c r="A1288" i="5"/>
  <c r="L1288" i="5" s="1"/>
  <c r="M1287" i="5"/>
  <c r="A1287" i="5"/>
  <c r="L1287" i="5" s="1"/>
  <c r="M1286" i="5"/>
  <c r="A1286" i="5"/>
  <c r="L1286" i="5" s="1"/>
  <c r="M1285" i="5"/>
  <c r="A1285" i="5"/>
  <c r="L1285" i="5" s="1"/>
  <c r="M1284" i="5"/>
  <c r="A1284" i="5"/>
  <c r="L1284" i="5" s="1"/>
  <c r="M1283" i="5"/>
  <c r="A1283" i="5"/>
  <c r="L1283" i="5" s="1"/>
  <c r="M1282" i="5"/>
  <c r="A1282" i="5"/>
  <c r="L1282" i="5" s="1"/>
  <c r="M1281" i="5"/>
  <c r="A1281" i="5"/>
  <c r="L1281" i="5" s="1"/>
  <c r="M1280" i="5"/>
  <c r="A1280" i="5"/>
  <c r="L1280" i="5" s="1"/>
  <c r="M1279" i="5"/>
  <c r="A1279" i="5"/>
  <c r="L1279" i="5" s="1"/>
  <c r="M1278" i="5"/>
  <c r="A1278" i="5"/>
  <c r="L1278" i="5" s="1"/>
  <c r="M1277" i="5"/>
  <c r="A1277" i="5"/>
  <c r="L1277" i="5" s="1"/>
  <c r="M1276" i="5"/>
  <c r="A1276" i="5"/>
  <c r="L1276" i="5" s="1"/>
  <c r="M1275" i="5"/>
  <c r="A1275" i="5"/>
  <c r="L1275" i="5" s="1"/>
  <c r="M1274" i="5"/>
  <c r="A1274" i="5"/>
  <c r="L1274" i="5" s="1"/>
  <c r="M1273" i="5"/>
  <c r="A1273" i="5"/>
  <c r="L1273" i="5" s="1"/>
  <c r="M1272" i="5"/>
  <c r="A1272" i="5"/>
  <c r="L1272" i="5" s="1"/>
  <c r="M1271" i="5"/>
  <c r="A1271" i="5"/>
  <c r="L1271" i="5" s="1"/>
  <c r="M1270" i="5"/>
  <c r="A1270" i="5"/>
  <c r="L1270" i="5" s="1"/>
  <c r="M1269" i="5"/>
  <c r="A1269" i="5"/>
  <c r="L1269" i="5" s="1"/>
  <c r="M1268" i="5"/>
  <c r="A1268" i="5"/>
  <c r="L1268" i="5" s="1"/>
  <c r="M1267" i="5"/>
  <c r="A1267" i="5"/>
  <c r="L1267" i="5" s="1"/>
  <c r="M1266" i="5"/>
  <c r="A1266" i="5"/>
  <c r="L1266" i="5" s="1"/>
  <c r="M1265" i="5"/>
  <c r="A1265" i="5"/>
  <c r="L1265" i="5" s="1"/>
  <c r="M1264" i="5"/>
  <c r="A1264" i="5"/>
  <c r="L1264" i="5" s="1"/>
  <c r="M1263" i="5"/>
  <c r="A1263" i="5"/>
  <c r="L1263" i="5" s="1"/>
  <c r="M1262" i="5"/>
  <c r="A1262" i="5"/>
  <c r="L1262" i="5" s="1"/>
  <c r="M1261" i="5"/>
  <c r="A1261" i="5"/>
  <c r="L1261" i="5" s="1"/>
  <c r="M1260" i="5"/>
  <c r="A1260" i="5"/>
  <c r="L1260" i="5" s="1"/>
  <c r="M1259" i="5"/>
  <c r="A1259" i="5"/>
  <c r="L1259" i="5" s="1"/>
  <c r="M1258" i="5"/>
  <c r="A1258" i="5"/>
  <c r="L1258" i="5" s="1"/>
  <c r="M1257" i="5"/>
  <c r="A1257" i="5"/>
  <c r="L1257" i="5" s="1"/>
  <c r="M1256" i="5"/>
  <c r="A1256" i="5"/>
  <c r="L1256" i="5" s="1"/>
  <c r="M1255" i="5"/>
  <c r="A1255" i="5"/>
  <c r="L1255" i="5" s="1"/>
  <c r="M1254" i="5"/>
  <c r="A1254" i="5"/>
  <c r="L1254" i="5" s="1"/>
  <c r="M1253" i="5"/>
  <c r="A1253" i="5"/>
  <c r="L1253" i="5" s="1"/>
  <c r="M1252" i="5"/>
  <c r="A1252" i="5"/>
  <c r="L1252" i="5" s="1"/>
  <c r="M1251" i="5"/>
  <c r="A1251" i="5"/>
  <c r="L1251" i="5" s="1"/>
  <c r="M1250" i="5"/>
  <c r="A1250" i="5"/>
  <c r="L1250" i="5" s="1"/>
  <c r="M1249" i="5"/>
  <c r="A1249" i="5"/>
  <c r="L1249" i="5" s="1"/>
  <c r="M1248" i="5"/>
  <c r="A1248" i="5"/>
  <c r="L1248" i="5" s="1"/>
  <c r="M1247" i="5"/>
  <c r="A1247" i="5"/>
  <c r="L1247" i="5" s="1"/>
  <c r="M1246" i="5"/>
  <c r="A1246" i="5"/>
  <c r="L1246" i="5" s="1"/>
  <c r="M1245" i="5"/>
  <c r="A1245" i="5"/>
  <c r="L1245" i="5" s="1"/>
  <c r="M1244" i="5"/>
  <c r="A1244" i="5"/>
  <c r="L1244" i="5" s="1"/>
  <c r="M1243" i="5"/>
  <c r="A1243" i="5"/>
  <c r="L1243" i="5" s="1"/>
  <c r="M1242" i="5"/>
  <c r="A1242" i="5"/>
  <c r="L1242" i="5" s="1"/>
  <c r="M1241" i="5"/>
  <c r="A1241" i="5"/>
  <c r="L1241" i="5" s="1"/>
  <c r="M1240" i="5"/>
  <c r="A1240" i="5"/>
  <c r="L1240" i="5" s="1"/>
  <c r="M1239" i="5"/>
  <c r="A1239" i="5"/>
  <c r="L1239" i="5" s="1"/>
  <c r="M1238" i="5"/>
  <c r="A1238" i="5"/>
  <c r="L1238" i="5" s="1"/>
  <c r="M1237" i="5"/>
  <c r="A1237" i="5"/>
  <c r="L1237" i="5" s="1"/>
  <c r="M1236" i="5"/>
  <c r="A1236" i="5"/>
  <c r="L1236" i="5" s="1"/>
  <c r="M1235" i="5"/>
  <c r="A1235" i="5"/>
  <c r="L1235" i="5" s="1"/>
  <c r="M1234" i="5"/>
  <c r="A1234" i="5"/>
  <c r="L1234" i="5" s="1"/>
  <c r="M1233" i="5"/>
  <c r="A1233" i="5"/>
  <c r="L1233" i="5" s="1"/>
  <c r="M1232" i="5"/>
  <c r="A1232" i="5"/>
  <c r="L1232" i="5" s="1"/>
  <c r="M1231" i="5"/>
  <c r="A1231" i="5"/>
  <c r="L1231" i="5" s="1"/>
  <c r="M1230" i="5"/>
  <c r="A1230" i="5"/>
  <c r="L1230" i="5" s="1"/>
  <c r="M1229" i="5"/>
  <c r="A1229" i="5"/>
  <c r="L1229" i="5" s="1"/>
  <c r="M1228" i="5"/>
  <c r="A1228" i="5"/>
  <c r="L1228" i="5" s="1"/>
  <c r="M1227" i="5"/>
  <c r="A1227" i="5"/>
  <c r="L1227" i="5" s="1"/>
  <c r="M1226" i="5"/>
  <c r="A1226" i="5"/>
  <c r="L1226" i="5" s="1"/>
  <c r="M1225" i="5"/>
  <c r="A1225" i="5"/>
  <c r="L1225" i="5" s="1"/>
  <c r="M1224" i="5"/>
  <c r="A1224" i="5"/>
  <c r="L1224" i="5" s="1"/>
  <c r="M1223" i="5"/>
  <c r="A1223" i="5"/>
  <c r="L1223" i="5" s="1"/>
  <c r="M1222" i="5"/>
  <c r="A1222" i="5"/>
  <c r="L1222" i="5" s="1"/>
  <c r="M1221" i="5"/>
  <c r="A1221" i="5"/>
  <c r="L1221" i="5" s="1"/>
  <c r="M1220" i="5"/>
  <c r="A1220" i="5"/>
  <c r="L1220" i="5" s="1"/>
  <c r="M1219" i="5"/>
  <c r="A1219" i="5"/>
  <c r="L1219" i="5" s="1"/>
  <c r="M1218" i="5"/>
  <c r="A1218" i="5"/>
  <c r="L1218" i="5" s="1"/>
  <c r="M1217" i="5"/>
  <c r="A1217" i="5"/>
  <c r="L1217" i="5" s="1"/>
  <c r="M1216" i="5"/>
  <c r="A1216" i="5"/>
  <c r="L1216" i="5" s="1"/>
  <c r="M1215" i="5"/>
  <c r="A1215" i="5"/>
  <c r="L1215" i="5" s="1"/>
  <c r="M1214" i="5"/>
  <c r="A1214" i="5"/>
  <c r="L1214" i="5" s="1"/>
  <c r="M1213" i="5"/>
  <c r="A1213" i="5"/>
  <c r="L1213" i="5" s="1"/>
  <c r="M1212" i="5"/>
  <c r="A1212" i="5"/>
  <c r="L1212" i="5" s="1"/>
  <c r="M1211" i="5"/>
  <c r="A1211" i="5"/>
  <c r="L1211" i="5" s="1"/>
  <c r="M1210" i="5"/>
  <c r="A1210" i="5"/>
  <c r="L1210" i="5" s="1"/>
  <c r="M1209" i="5"/>
  <c r="A1209" i="5"/>
  <c r="L1209" i="5" s="1"/>
  <c r="M1208" i="5"/>
  <c r="A1208" i="5"/>
  <c r="L1208" i="5" s="1"/>
  <c r="M1207" i="5"/>
  <c r="A1207" i="5"/>
  <c r="L1207" i="5" s="1"/>
  <c r="M1206" i="5"/>
  <c r="A1206" i="5"/>
  <c r="L1206" i="5" s="1"/>
  <c r="M1205" i="5"/>
  <c r="A1205" i="5"/>
  <c r="L1205" i="5" s="1"/>
  <c r="M1204" i="5"/>
  <c r="A1204" i="5"/>
  <c r="L1204" i="5" s="1"/>
  <c r="M1203" i="5"/>
  <c r="A1203" i="5"/>
  <c r="L1203" i="5" s="1"/>
  <c r="M1202" i="5"/>
  <c r="A1202" i="5"/>
  <c r="L1202" i="5" s="1"/>
  <c r="M1201" i="5"/>
  <c r="A1201" i="5"/>
  <c r="L1201" i="5" s="1"/>
  <c r="M1200" i="5"/>
  <c r="A1200" i="5"/>
  <c r="L1200" i="5" s="1"/>
  <c r="M1199" i="5"/>
  <c r="A1199" i="5"/>
  <c r="L1199" i="5" s="1"/>
  <c r="M1198" i="5"/>
  <c r="A1198" i="5"/>
  <c r="L1198" i="5" s="1"/>
  <c r="M1197" i="5"/>
  <c r="A1197" i="5"/>
  <c r="L1197" i="5" s="1"/>
  <c r="M1196" i="5"/>
  <c r="A1196" i="5"/>
  <c r="L1196" i="5" s="1"/>
  <c r="M1195" i="5"/>
  <c r="A1195" i="5"/>
  <c r="L1195" i="5" s="1"/>
  <c r="M1194" i="5"/>
  <c r="A1194" i="5"/>
  <c r="L1194" i="5" s="1"/>
  <c r="M1193" i="5"/>
  <c r="A1193" i="5"/>
  <c r="L1193" i="5" s="1"/>
  <c r="M1192" i="5"/>
  <c r="A1192" i="5"/>
  <c r="L1192" i="5" s="1"/>
  <c r="M1191" i="5"/>
  <c r="A1191" i="5"/>
  <c r="L1191" i="5" s="1"/>
  <c r="M1190" i="5"/>
  <c r="A1190" i="5"/>
  <c r="L1190" i="5" s="1"/>
  <c r="M1189" i="5"/>
  <c r="A1189" i="5"/>
  <c r="L1189" i="5" s="1"/>
  <c r="M1188" i="5"/>
  <c r="A1188" i="5"/>
  <c r="L1188" i="5" s="1"/>
  <c r="M1187" i="5"/>
  <c r="A1187" i="5"/>
  <c r="L1187" i="5" s="1"/>
  <c r="M1186" i="5"/>
  <c r="A1186" i="5"/>
  <c r="L1186" i="5" s="1"/>
  <c r="M1185" i="5"/>
  <c r="A1185" i="5"/>
  <c r="L1185" i="5" s="1"/>
  <c r="M1184" i="5"/>
  <c r="A1184" i="5"/>
  <c r="L1184" i="5" s="1"/>
  <c r="M1183" i="5"/>
  <c r="A1183" i="5"/>
  <c r="L1183" i="5" s="1"/>
  <c r="M1182" i="5"/>
  <c r="A1182" i="5"/>
  <c r="L1182" i="5" s="1"/>
  <c r="M1181" i="5"/>
  <c r="A1181" i="5"/>
  <c r="L1181" i="5" s="1"/>
  <c r="M1180" i="5"/>
  <c r="A1180" i="5"/>
  <c r="L1180" i="5" s="1"/>
  <c r="M1179" i="5"/>
  <c r="A1179" i="5"/>
  <c r="L1179" i="5" s="1"/>
  <c r="M1178" i="5"/>
  <c r="A1178" i="5"/>
  <c r="L1178" i="5" s="1"/>
  <c r="M1177" i="5"/>
  <c r="A1177" i="5"/>
  <c r="L1177" i="5" s="1"/>
  <c r="M1176" i="5"/>
  <c r="A1176" i="5"/>
  <c r="L1176" i="5" s="1"/>
  <c r="M1175" i="5"/>
  <c r="A1175" i="5"/>
  <c r="L1175" i="5" s="1"/>
  <c r="M1174" i="5"/>
  <c r="A1174" i="5"/>
  <c r="L1174" i="5" s="1"/>
  <c r="M1173" i="5"/>
  <c r="A1173" i="5"/>
  <c r="L1173" i="5" s="1"/>
  <c r="M1172" i="5"/>
  <c r="A1172" i="5"/>
  <c r="L1172" i="5" s="1"/>
  <c r="M1171" i="5"/>
  <c r="A1171" i="5"/>
  <c r="L1171" i="5" s="1"/>
  <c r="M1170" i="5"/>
  <c r="A1170" i="5"/>
  <c r="L1170" i="5" s="1"/>
  <c r="M1169" i="5"/>
  <c r="A1169" i="5"/>
  <c r="L1169" i="5" s="1"/>
  <c r="M1168" i="5"/>
  <c r="A1168" i="5"/>
  <c r="L1168" i="5" s="1"/>
  <c r="M1167" i="5"/>
  <c r="A1167" i="5"/>
  <c r="L1167" i="5" s="1"/>
  <c r="M1166" i="5"/>
  <c r="A1166" i="5"/>
  <c r="L1166" i="5" s="1"/>
  <c r="M1165" i="5"/>
  <c r="A1165" i="5"/>
  <c r="L1165" i="5" s="1"/>
  <c r="M1164" i="5"/>
  <c r="A1164" i="5"/>
  <c r="L1164" i="5" s="1"/>
  <c r="M1163" i="5"/>
  <c r="A1163" i="5"/>
  <c r="L1163" i="5" s="1"/>
  <c r="M1162" i="5"/>
  <c r="A1162" i="5"/>
  <c r="L1162" i="5" s="1"/>
  <c r="M1161" i="5"/>
  <c r="A1161" i="5"/>
  <c r="L1161" i="5" s="1"/>
  <c r="M1160" i="5"/>
  <c r="A1160" i="5"/>
  <c r="L1160" i="5" s="1"/>
  <c r="M1159" i="5"/>
  <c r="A1159" i="5"/>
  <c r="L1159" i="5" s="1"/>
  <c r="M1158" i="5"/>
  <c r="A1158" i="5"/>
  <c r="L1158" i="5" s="1"/>
  <c r="M1157" i="5"/>
  <c r="A1157" i="5"/>
  <c r="L1157" i="5" s="1"/>
  <c r="M1156" i="5"/>
  <c r="A1156" i="5"/>
  <c r="L1156" i="5" s="1"/>
  <c r="M1155" i="5"/>
  <c r="A1155" i="5"/>
  <c r="L1155" i="5" s="1"/>
  <c r="M1154" i="5"/>
  <c r="A1154" i="5"/>
  <c r="L1154" i="5" s="1"/>
  <c r="M1153" i="5"/>
  <c r="A1153" i="5"/>
  <c r="L1153" i="5" s="1"/>
  <c r="M1152" i="5"/>
  <c r="A1152" i="5"/>
  <c r="L1152" i="5" s="1"/>
  <c r="M1151" i="5"/>
  <c r="A1151" i="5"/>
  <c r="L1151" i="5" s="1"/>
  <c r="M1150" i="5"/>
  <c r="A1150" i="5"/>
  <c r="L1150" i="5" s="1"/>
  <c r="M1149" i="5"/>
  <c r="A1149" i="5"/>
  <c r="L1149" i="5" s="1"/>
  <c r="M1148" i="5"/>
  <c r="A1148" i="5"/>
  <c r="L1148" i="5" s="1"/>
  <c r="M1147" i="5"/>
  <c r="A1147" i="5"/>
  <c r="L1147" i="5" s="1"/>
  <c r="M1146" i="5"/>
  <c r="A1146" i="5"/>
  <c r="L1146" i="5" s="1"/>
  <c r="M1145" i="5"/>
  <c r="A1145" i="5"/>
  <c r="L1145" i="5" s="1"/>
  <c r="M1144" i="5"/>
  <c r="A1144" i="5"/>
  <c r="L1144" i="5" s="1"/>
  <c r="M1143" i="5"/>
  <c r="A1143" i="5"/>
  <c r="L1143" i="5" s="1"/>
  <c r="M1142" i="5"/>
  <c r="A1142" i="5"/>
  <c r="L1142" i="5" s="1"/>
  <c r="M1141" i="5"/>
  <c r="A1141" i="5"/>
  <c r="L1141" i="5" s="1"/>
  <c r="M1140" i="5"/>
  <c r="A1140" i="5"/>
  <c r="L1140" i="5" s="1"/>
  <c r="M1139" i="5"/>
  <c r="A1139" i="5"/>
  <c r="L1139" i="5" s="1"/>
  <c r="M1138" i="5"/>
  <c r="A1138" i="5"/>
  <c r="L1138" i="5" s="1"/>
  <c r="M1137" i="5"/>
  <c r="A1137" i="5"/>
  <c r="M1136" i="5"/>
  <c r="A1136" i="5"/>
  <c r="L1136" i="5" s="1"/>
  <c r="M1135" i="5"/>
  <c r="A1135" i="5"/>
  <c r="L1135" i="5" s="1"/>
  <c r="M1134" i="5"/>
  <c r="A1134" i="5"/>
  <c r="L1134" i="5" s="1"/>
  <c r="M1133" i="5"/>
  <c r="A1133" i="5"/>
  <c r="L1133" i="5" s="1"/>
  <c r="M1132" i="5"/>
  <c r="A1132" i="5"/>
  <c r="L1132" i="5" s="1"/>
  <c r="M1131" i="5"/>
  <c r="A1131" i="5"/>
  <c r="L1131" i="5" s="1"/>
  <c r="M1130" i="5"/>
  <c r="A1130" i="5"/>
  <c r="L1130" i="5" s="1"/>
  <c r="M1129" i="5"/>
  <c r="A1129" i="5"/>
  <c r="L1129" i="5" s="1"/>
  <c r="M1128" i="5"/>
  <c r="A1128" i="5"/>
  <c r="M1127" i="5"/>
  <c r="A1127" i="5"/>
  <c r="L1127" i="5" s="1"/>
  <c r="M1126" i="5"/>
  <c r="A1126" i="5"/>
  <c r="L1126" i="5" s="1"/>
  <c r="M1125" i="5"/>
  <c r="A1125" i="5"/>
  <c r="L1125" i="5" s="1"/>
  <c r="M1124" i="5"/>
  <c r="A1124" i="5"/>
  <c r="L1124" i="5" s="1"/>
  <c r="M1123" i="5"/>
  <c r="A1123" i="5"/>
  <c r="L1123" i="5" s="1"/>
  <c r="M1122" i="5"/>
  <c r="A1122" i="5"/>
  <c r="L1122" i="5" s="1"/>
  <c r="M1121" i="5"/>
  <c r="A1121" i="5"/>
  <c r="L1121" i="5" s="1"/>
  <c r="M1120" i="5"/>
  <c r="A1120" i="5"/>
  <c r="L1120" i="5" s="1"/>
  <c r="M1119" i="5"/>
  <c r="A1119" i="5"/>
  <c r="M1118" i="5"/>
  <c r="A1118" i="5"/>
  <c r="L1118" i="5" s="1"/>
  <c r="M1117" i="5"/>
  <c r="A1117" i="5"/>
  <c r="L1117" i="5" s="1"/>
  <c r="M1116" i="5"/>
  <c r="A1116" i="5"/>
  <c r="L1116" i="5" s="1"/>
  <c r="M1115" i="5"/>
  <c r="A1115" i="5"/>
  <c r="L1115" i="5" s="1"/>
  <c r="M1114" i="5"/>
  <c r="A1114" i="5"/>
  <c r="L1114" i="5" s="1"/>
  <c r="M1113" i="5"/>
  <c r="A1113" i="5"/>
  <c r="L1113" i="5" s="1"/>
  <c r="M1112" i="5"/>
  <c r="A1112" i="5"/>
  <c r="L1112" i="5" s="1"/>
  <c r="M1111" i="5"/>
  <c r="A1111" i="5"/>
  <c r="L1111" i="5" s="1"/>
  <c r="M1110" i="5"/>
  <c r="A1110" i="5"/>
  <c r="M1109" i="5"/>
  <c r="A1109" i="5"/>
  <c r="L1109" i="5" s="1"/>
  <c r="M1108" i="5"/>
  <c r="A1108" i="5"/>
  <c r="L1108" i="5" s="1"/>
  <c r="M1107" i="5"/>
  <c r="A1107" i="5"/>
  <c r="L1107" i="5" s="1"/>
  <c r="M1106" i="5"/>
  <c r="A1106" i="5"/>
  <c r="L1106" i="5" s="1"/>
  <c r="M1105" i="5"/>
  <c r="A1105" i="5"/>
  <c r="L1105" i="5" s="1"/>
  <c r="M1104" i="5"/>
  <c r="A1104" i="5"/>
  <c r="L1104" i="5" s="1"/>
  <c r="M1103" i="5"/>
  <c r="A1103" i="5"/>
  <c r="L1103" i="5" s="1"/>
  <c r="M1102" i="5"/>
  <c r="A1102" i="5"/>
  <c r="L1102" i="5" s="1"/>
  <c r="M1101" i="5"/>
  <c r="A1101" i="5"/>
  <c r="M1100" i="5"/>
  <c r="A1100" i="5"/>
  <c r="L1100" i="5" s="1"/>
  <c r="M1099" i="5"/>
  <c r="A1099" i="5"/>
  <c r="L1099" i="5" s="1"/>
  <c r="M1098" i="5"/>
  <c r="A1098" i="5"/>
  <c r="L1098" i="5" s="1"/>
  <c r="M1097" i="5"/>
  <c r="A1097" i="5"/>
  <c r="L1097" i="5" s="1"/>
  <c r="M1096" i="5"/>
  <c r="A1096" i="5"/>
  <c r="L1096" i="5" s="1"/>
  <c r="M1095" i="5"/>
  <c r="A1095" i="5"/>
  <c r="L1095" i="5" s="1"/>
  <c r="M1094" i="5"/>
  <c r="A1094" i="5"/>
  <c r="L1094" i="5" s="1"/>
  <c r="M1093" i="5"/>
  <c r="A1093" i="5"/>
  <c r="L1093" i="5" s="1"/>
  <c r="M1092" i="5"/>
  <c r="A1092" i="5"/>
  <c r="L1092" i="5" s="1"/>
  <c r="M1091" i="5"/>
  <c r="A1091" i="5"/>
  <c r="L1091" i="5" s="1"/>
  <c r="M1090" i="5"/>
  <c r="A1090" i="5"/>
  <c r="L1090" i="5" s="1"/>
  <c r="M1089" i="5"/>
  <c r="A1089" i="5"/>
  <c r="L1089" i="5" s="1"/>
  <c r="M1088" i="5"/>
  <c r="A1088" i="5"/>
  <c r="M1087" i="5"/>
  <c r="A1087" i="5"/>
  <c r="L1087" i="5" s="1"/>
  <c r="M1086" i="5"/>
  <c r="A1086" i="5"/>
  <c r="L1086" i="5" s="1"/>
  <c r="M1085" i="5"/>
  <c r="A1085" i="5"/>
  <c r="L1085" i="5" s="1"/>
  <c r="M1084" i="5"/>
  <c r="A1084" i="5"/>
  <c r="L1084" i="5" s="1"/>
  <c r="M1083" i="5"/>
  <c r="A1083" i="5"/>
  <c r="L1083" i="5" s="1"/>
  <c r="M1082" i="5"/>
  <c r="A1082" i="5"/>
  <c r="L1082" i="5" s="1"/>
  <c r="M1081" i="5"/>
  <c r="A1081" i="5"/>
  <c r="L1081" i="5" s="1"/>
  <c r="M1080" i="5"/>
  <c r="A1080" i="5"/>
  <c r="L1080" i="5" s="1"/>
  <c r="M1079" i="5"/>
  <c r="A1079" i="5"/>
  <c r="L1079" i="5" s="1"/>
  <c r="M1078" i="5"/>
  <c r="A1078" i="5"/>
  <c r="L1078" i="5" s="1"/>
  <c r="M1077" i="5"/>
  <c r="A1077" i="5"/>
  <c r="L1077" i="5" s="1"/>
  <c r="M1076" i="5"/>
  <c r="A1076" i="5"/>
  <c r="L1076" i="5" s="1"/>
  <c r="M1075" i="5"/>
  <c r="A1075" i="5"/>
  <c r="L1075" i="5" s="1"/>
  <c r="M1074" i="5"/>
  <c r="A1074" i="5"/>
  <c r="L1074" i="5" s="1"/>
  <c r="M1073" i="5"/>
  <c r="A1073" i="5"/>
  <c r="L1073" i="5" s="1"/>
  <c r="M1072" i="5"/>
  <c r="A1072" i="5"/>
  <c r="L1072" i="5" s="1"/>
  <c r="M1071" i="5"/>
  <c r="A1071" i="5"/>
  <c r="L1071" i="5" s="1"/>
  <c r="M1070" i="5"/>
  <c r="A1070" i="5"/>
  <c r="L1070" i="5" s="1"/>
  <c r="M1069" i="5"/>
  <c r="A1069" i="5"/>
  <c r="L1069" i="5" s="1"/>
  <c r="M1068" i="5"/>
  <c r="A1068" i="5"/>
  <c r="L1068" i="5" s="1"/>
  <c r="M1067" i="5"/>
  <c r="A1067" i="5"/>
  <c r="L1067" i="5" s="1"/>
  <c r="M1066" i="5"/>
  <c r="A1066" i="5"/>
  <c r="L1066" i="5" s="1"/>
  <c r="M1065" i="5"/>
  <c r="A1065" i="5"/>
  <c r="L1065" i="5" s="1"/>
  <c r="M1064" i="5"/>
  <c r="A1064" i="5"/>
  <c r="L1064" i="5" s="1"/>
  <c r="M1063" i="5"/>
  <c r="A1063" i="5"/>
  <c r="L1063" i="5" s="1"/>
  <c r="M1062" i="5"/>
  <c r="A1062" i="5"/>
  <c r="L1062" i="5" s="1"/>
  <c r="M1061" i="5"/>
  <c r="A1061" i="5"/>
  <c r="M1060" i="5"/>
  <c r="A1060" i="5"/>
  <c r="L1060" i="5" s="1"/>
  <c r="M1059" i="5"/>
  <c r="A1059" i="5"/>
  <c r="L1059" i="5" s="1"/>
  <c r="M1058" i="5"/>
  <c r="A1058" i="5"/>
  <c r="L1058" i="5" s="1"/>
  <c r="M1057" i="5"/>
  <c r="A1057" i="5"/>
  <c r="L1057" i="5" s="1"/>
  <c r="M1056" i="5"/>
  <c r="A1056" i="5"/>
  <c r="L1056" i="5" s="1"/>
  <c r="M1055" i="5"/>
  <c r="A1055" i="5"/>
  <c r="L1055" i="5" s="1"/>
  <c r="M1054" i="5"/>
  <c r="A1054" i="5"/>
  <c r="L1054" i="5" s="1"/>
  <c r="M1053" i="5"/>
  <c r="A1053" i="5"/>
  <c r="L1053" i="5" s="1"/>
  <c r="M1052" i="5"/>
  <c r="A1052" i="5"/>
  <c r="L1052" i="5" s="1"/>
  <c r="M1051" i="5"/>
  <c r="A1051" i="5"/>
  <c r="L1051" i="5" s="1"/>
  <c r="M1050" i="5"/>
  <c r="A1050" i="5"/>
  <c r="M1049" i="5"/>
  <c r="A1049" i="5"/>
  <c r="L1049" i="5" s="1"/>
  <c r="M1048" i="5"/>
  <c r="A1048" i="5"/>
  <c r="L1048" i="5" s="1"/>
  <c r="M1047" i="5"/>
  <c r="A1047" i="5"/>
  <c r="L1047" i="5" s="1"/>
  <c r="M1046" i="5"/>
  <c r="A1046" i="5"/>
  <c r="L1046" i="5" s="1"/>
  <c r="M1045" i="5"/>
  <c r="A1045" i="5"/>
  <c r="L1045" i="5" s="1"/>
  <c r="M1044" i="5"/>
  <c r="A1044" i="5"/>
  <c r="L1044" i="5" s="1"/>
  <c r="M1043" i="5"/>
  <c r="A1043" i="5"/>
  <c r="M1042" i="5"/>
  <c r="A1042" i="5"/>
  <c r="L1042" i="5" s="1"/>
  <c r="M1041" i="5"/>
  <c r="A1041" i="5"/>
  <c r="L1041" i="5" s="1"/>
  <c r="M1040" i="5"/>
  <c r="A1040" i="5"/>
  <c r="M1039" i="5"/>
  <c r="A1039" i="5"/>
  <c r="L1039" i="5" s="1"/>
  <c r="M1038" i="5"/>
  <c r="A1038" i="5"/>
  <c r="L1038" i="5" s="1"/>
  <c r="M1037" i="5"/>
  <c r="A1037" i="5"/>
  <c r="L1037" i="5" s="1"/>
  <c r="M1036" i="5"/>
  <c r="A1036" i="5"/>
  <c r="M1035" i="5"/>
  <c r="A1035" i="5"/>
  <c r="L1035" i="5" s="1"/>
  <c r="M1034" i="5"/>
  <c r="A1034" i="5"/>
  <c r="L1034" i="5" s="1"/>
  <c r="M1033" i="5"/>
  <c r="A1033" i="5"/>
  <c r="L1033" i="5" s="1"/>
  <c r="M1032" i="5"/>
  <c r="A1032" i="5"/>
  <c r="L1032" i="5" s="1"/>
  <c r="M1031" i="5"/>
  <c r="A1031" i="5"/>
  <c r="M1030" i="5"/>
  <c r="A1030" i="5"/>
  <c r="L1030" i="5" s="1"/>
  <c r="M1029" i="5"/>
  <c r="A1029" i="5"/>
  <c r="L1029" i="5" s="1"/>
  <c r="M1028" i="5"/>
  <c r="A1028" i="5"/>
  <c r="L1028" i="5" s="1"/>
  <c r="M1027" i="5"/>
  <c r="A1027" i="5"/>
  <c r="L1027" i="5" s="1"/>
  <c r="M1026" i="5"/>
  <c r="A1026" i="5"/>
  <c r="L1026" i="5" s="1"/>
  <c r="M1025" i="5"/>
  <c r="A1025" i="5"/>
  <c r="L1025" i="5" s="1"/>
  <c r="M1024" i="5"/>
  <c r="A1024" i="5"/>
  <c r="M1023" i="5"/>
  <c r="A1023" i="5"/>
  <c r="L1023" i="5" s="1"/>
  <c r="M1022" i="5"/>
  <c r="A1022" i="5"/>
  <c r="L1022" i="5" s="1"/>
  <c r="M1021" i="5"/>
  <c r="A1021" i="5"/>
  <c r="M1020" i="5"/>
  <c r="A1020" i="5"/>
  <c r="L1020" i="5" s="1"/>
  <c r="M1019" i="5"/>
  <c r="A1019" i="5"/>
  <c r="L1019" i="5" s="1"/>
  <c r="M1018" i="5"/>
  <c r="A1018" i="5"/>
  <c r="L1018" i="5" s="1"/>
  <c r="M1017" i="5"/>
  <c r="A1017" i="5"/>
  <c r="L1017" i="5" s="1"/>
  <c r="M1016" i="5"/>
  <c r="A1016" i="5"/>
  <c r="L1016" i="5" s="1"/>
  <c r="M1015" i="5"/>
  <c r="A1015" i="5"/>
  <c r="M1014" i="5"/>
  <c r="A1014" i="5"/>
  <c r="L1014" i="5" s="1"/>
  <c r="M1013" i="5"/>
  <c r="A1013" i="5"/>
  <c r="L1013" i="5" s="1"/>
  <c r="M1012" i="5"/>
  <c r="A1012" i="5"/>
  <c r="L1012" i="5" s="1"/>
  <c r="M1011" i="5"/>
  <c r="A1011" i="5"/>
  <c r="L1011" i="5" s="1"/>
  <c r="M1010" i="5"/>
  <c r="A1010" i="5"/>
  <c r="L1010" i="5" s="1"/>
  <c r="M1009" i="5"/>
  <c r="A1009" i="5"/>
  <c r="L1009" i="5" s="1"/>
  <c r="M1008" i="5"/>
  <c r="A1008" i="5"/>
  <c r="L1008" i="5" s="1"/>
  <c r="M1007" i="5"/>
  <c r="A1007" i="5"/>
  <c r="L1007" i="5" s="1"/>
  <c r="M1006" i="5"/>
  <c r="A1006" i="5"/>
  <c r="L1006" i="5" s="1"/>
  <c r="M1005" i="5"/>
  <c r="A1005" i="5"/>
  <c r="L1005" i="5" s="1"/>
  <c r="M1004" i="5"/>
  <c r="A1004" i="5"/>
  <c r="L1004" i="5" s="1"/>
  <c r="M1003" i="5"/>
  <c r="A1003" i="5"/>
  <c r="L1003" i="5" s="1"/>
  <c r="M1002" i="5"/>
  <c r="A1002" i="5"/>
  <c r="L1002" i="5" s="1"/>
  <c r="M1001" i="5"/>
  <c r="A1001" i="5"/>
  <c r="L1001" i="5" s="1"/>
  <c r="M1000" i="5"/>
  <c r="A1000" i="5"/>
  <c r="M999" i="5"/>
  <c r="A999" i="5"/>
  <c r="L999" i="5" s="1"/>
  <c r="M998" i="5"/>
  <c r="A998" i="5"/>
  <c r="L998" i="5" s="1"/>
  <c r="M997" i="5"/>
  <c r="A997" i="5"/>
  <c r="L997" i="5" s="1"/>
  <c r="M996" i="5"/>
  <c r="A996" i="5"/>
  <c r="L996" i="5" s="1"/>
  <c r="M995" i="5"/>
  <c r="A995" i="5"/>
  <c r="L995" i="5" s="1"/>
  <c r="M994" i="5"/>
  <c r="A994" i="5"/>
  <c r="L994" i="5" s="1"/>
  <c r="M993" i="5"/>
  <c r="A993" i="5"/>
  <c r="L993" i="5" s="1"/>
  <c r="M992" i="5"/>
  <c r="A992" i="5"/>
  <c r="L992" i="5" s="1"/>
  <c r="M991" i="5"/>
  <c r="A991" i="5"/>
  <c r="L991" i="5" s="1"/>
  <c r="M990" i="5"/>
  <c r="A990" i="5"/>
  <c r="L990" i="5" s="1"/>
  <c r="M989" i="5"/>
  <c r="A989" i="5"/>
  <c r="L989" i="5" s="1"/>
  <c r="M988" i="5"/>
  <c r="A988" i="5"/>
  <c r="L988" i="5" s="1"/>
  <c r="M987" i="5"/>
  <c r="A987" i="5"/>
  <c r="L987" i="5" s="1"/>
  <c r="M986" i="5"/>
  <c r="A986" i="5"/>
  <c r="L986" i="5" s="1"/>
  <c r="M985" i="5"/>
  <c r="A985" i="5"/>
  <c r="L985" i="5" s="1"/>
  <c r="M984" i="5"/>
  <c r="A984" i="5"/>
  <c r="L984" i="5" s="1"/>
  <c r="M983" i="5"/>
  <c r="A983" i="5"/>
  <c r="L983" i="5" s="1"/>
  <c r="M982" i="5"/>
  <c r="A982" i="5"/>
  <c r="M981" i="5"/>
  <c r="A981" i="5"/>
  <c r="L981" i="5" s="1"/>
  <c r="M980" i="5"/>
  <c r="A980" i="5"/>
  <c r="M979" i="5"/>
  <c r="A979" i="5"/>
  <c r="L979" i="5" s="1"/>
  <c r="M978" i="5"/>
  <c r="A978" i="5"/>
  <c r="L978" i="5" s="1"/>
  <c r="M977" i="5"/>
  <c r="A977" i="5"/>
  <c r="L977" i="5" s="1"/>
  <c r="M976" i="5"/>
  <c r="A976" i="5"/>
  <c r="M975" i="5"/>
  <c r="A975" i="5"/>
  <c r="L975" i="5" s="1"/>
  <c r="M974" i="5"/>
  <c r="A974" i="5"/>
  <c r="L974" i="5" s="1"/>
  <c r="M973" i="5"/>
  <c r="A973" i="5"/>
  <c r="M972" i="5"/>
  <c r="A972" i="5"/>
  <c r="L972" i="5" s="1"/>
  <c r="M971" i="5"/>
  <c r="A971" i="5"/>
  <c r="L971" i="5" s="1"/>
  <c r="M970" i="5"/>
  <c r="A970" i="5"/>
  <c r="L970" i="5" s="1"/>
  <c r="M969" i="5"/>
  <c r="A969" i="5"/>
  <c r="L969" i="5" s="1"/>
  <c r="M968" i="5"/>
  <c r="A968" i="5"/>
  <c r="L968" i="5" s="1"/>
  <c r="M967" i="5"/>
  <c r="A967" i="5"/>
  <c r="L967" i="5" s="1"/>
  <c r="M966" i="5"/>
  <c r="A966" i="5"/>
  <c r="L966" i="5" s="1"/>
  <c r="M965" i="5"/>
  <c r="A965" i="5"/>
  <c r="L965" i="5" s="1"/>
  <c r="M964" i="5"/>
  <c r="A964" i="5"/>
  <c r="L964" i="5" s="1"/>
  <c r="M963" i="5"/>
  <c r="A963" i="5"/>
  <c r="L963" i="5" s="1"/>
  <c r="M962" i="5"/>
  <c r="A962" i="5"/>
  <c r="M961" i="5"/>
  <c r="A961" i="5"/>
  <c r="M960" i="5"/>
  <c r="A960" i="5"/>
  <c r="L960" i="5" s="1"/>
  <c r="M959" i="5"/>
  <c r="A959" i="5"/>
  <c r="L959" i="5" s="1"/>
  <c r="M958" i="5"/>
  <c r="A958" i="5"/>
  <c r="M957" i="5"/>
  <c r="A957" i="5"/>
  <c r="L957" i="5" s="1"/>
  <c r="M956" i="5"/>
  <c r="A956" i="5"/>
  <c r="L956" i="5" s="1"/>
  <c r="M955" i="5"/>
  <c r="A955" i="5"/>
  <c r="M954" i="5"/>
  <c r="A954" i="5"/>
  <c r="L954" i="5" s="1"/>
  <c r="M953" i="5"/>
  <c r="A953" i="5"/>
  <c r="L953" i="5" s="1"/>
  <c r="M952" i="5"/>
  <c r="A952" i="5"/>
  <c r="L952" i="5" s="1"/>
  <c r="M951" i="5"/>
  <c r="A951" i="5"/>
  <c r="L951" i="5" s="1"/>
  <c r="M950" i="5"/>
  <c r="A950" i="5"/>
  <c r="L950" i="5" s="1"/>
  <c r="M949" i="5"/>
  <c r="A949" i="5"/>
  <c r="M948" i="5"/>
  <c r="A948" i="5"/>
  <c r="L948" i="5" s="1"/>
  <c r="M947" i="5"/>
  <c r="A947" i="5"/>
  <c r="L947" i="5" s="1"/>
  <c r="M946" i="5"/>
  <c r="A946" i="5"/>
  <c r="L946" i="5" s="1"/>
  <c r="M945" i="5"/>
  <c r="A945" i="5"/>
  <c r="L945" i="5" s="1"/>
  <c r="M944" i="5"/>
  <c r="A944" i="5"/>
  <c r="M943" i="5"/>
  <c r="A943" i="5"/>
  <c r="M942" i="5"/>
  <c r="A942" i="5"/>
  <c r="L942" i="5" s="1"/>
  <c r="M941" i="5"/>
  <c r="A941" i="5"/>
  <c r="L941" i="5" s="1"/>
  <c r="M940" i="5"/>
  <c r="A940" i="5"/>
  <c r="M939" i="5"/>
  <c r="A939" i="5"/>
  <c r="L939" i="5" s="1"/>
  <c r="M938" i="5"/>
  <c r="A938" i="5"/>
  <c r="L938" i="5" s="1"/>
  <c r="M937" i="5"/>
  <c r="A937" i="5"/>
  <c r="M936" i="5"/>
  <c r="A936" i="5"/>
  <c r="L936" i="5" s="1"/>
  <c r="M935" i="5"/>
  <c r="A935" i="5"/>
  <c r="L935" i="5" s="1"/>
  <c r="M934" i="5"/>
  <c r="A934" i="5"/>
  <c r="M933" i="5"/>
  <c r="A933" i="5"/>
  <c r="L933" i="5" s="1"/>
  <c r="M932" i="5"/>
  <c r="A932" i="5"/>
  <c r="L932" i="5" s="1"/>
  <c r="M931" i="5"/>
  <c r="A931" i="5"/>
  <c r="M930" i="5"/>
  <c r="A930" i="5"/>
  <c r="L930" i="5" s="1"/>
  <c r="M929" i="5"/>
  <c r="A929" i="5"/>
  <c r="L929" i="5" s="1"/>
  <c r="M928" i="5"/>
  <c r="A928" i="5"/>
  <c r="L928" i="5" s="1"/>
  <c r="M927" i="5"/>
  <c r="A927" i="5"/>
  <c r="L927" i="5" s="1"/>
  <c r="M926" i="5"/>
  <c r="A926" i="5"/>
  <c r="M925" i="5"/>
  <c r="A925" i="5"/>
  <c r="M924" i="5"/>
  <c r="A924" i="5"/>
  <c r="L924" i="5" s="1"/>
  <c r="M923" i="5"/>
  <c r="A923" i="5"/>
  <c r="L923" i="5" s="1"/>
  <c r="M922" i="5"/>
  <c r="A922" i="5"/>
  <c r="M921" i="5"/>
  <c r="A921" i="5"/>
  <c r="L921" i="5" s="1"/>
  <c r="M920" i="5"/>
  <c r="A920" i="5"/>
  <c r="L920" i="5" s="1"/>
  <c r="M919" i="5"/>
  <c r="A919" i="5"/>
  <c r="M918" i="5"/>
  <c r="A918" i="5"/>
  <c r="L918" i="5" s="1"/>
  <c r="M917" i="5"/>
  <c r="A917" i="5"/>
  <c r="L917" i="5" s="1"/>
  <c r="M916" i="5"/>
  <c r="A916" i="5"/>
  <c r="M915" i="5"/>
  <c r="A915" i="5"/>
  <c r="L915" i="5" s="1"/>
  <c r="M914" i="5"/>
  <c r="A914" i="5"/>
  <c r="L914" i="5" s="1"/>
  <c r="M913" i="5"/>
  <c r="A913" i="5"/>
  <c r="M912" i="5"/>
  <c r="A912" i="5"/>
  <c r="L912" i="5" s="1"/>
  <c r="M911" i="5"/>
  <c r="A911" i="5"/>
  <c r="L911" i="5" s="1"/>
  <c r="M910" i="5"/>
  <c r="A910" i="5"/>
  <c r="L910" i="5" s="1"/>
  <c r="M909" i="5"/>
  <c r="A909" i="5"/>
  <c r="L909" i="5" s="1"/>
  <c r="M908" i="5"/>
  <c r="A908" i="5"/>
  <c r="L908" i="5" s="1"/>
  <c r="M907" i="5"/>
  <c r="A907" i="5"/>
  <c r="M906" i="5"/>
  <c r="A906" i="5"/>
  <c r="L906" i="5" s="1"/>
  <c r="M905" i="5"/>
  <c r="A905" i="5"/>
  <c r="L905" i="5" s="1"/>
  <c r="M904" i="5"/>
  <c r="A904" i="5"/>
  <c r="M903" i="5"/>
  <c r="A903" i="5"/>
  <c r="L903" i="5" s="1"/>
  <c r="M902" i="5"/>
  <c r="A902" i="5"/>
  <c r="L902" i="5" s="1"/>
  <c r="M901" i="5"/>
  <c r="A901" i="5"/>
  <c r="M900" i="5"/>
  <c r="A900" i="5"/>
  <c r="L900" i="5" s="1"/>
  <c r="M899" i="5"/>
  <c r="A899" i="5"/>
  <c r="L899" i="5" s="1"/>
  <c r="M898" i="5"/>
  <c r="A898" i="5"/>
  <c r="L898" i="5" s="1"/>
  <c r="M897" i="5"/>
  <c r="A897" i="5"/>
  <c r="L897" i="5" s="1"/>
  <c r="M896" i="5"/>
  <c r="A896" i="5"/>
  <c r="L896" i="5" s="1"/>
  <c r="M895" i="5"/>
  <c r="A895" i="5"/>
  <c r="L895" i="5" s="1"/>
  <c r="M894" i="5"/>
  <c r="A894" i="5"/>
  <c r="L894" i="5" s="1"/>
  <c r="M893" i="5"/>
  <c r="A893" i="5"/>
  <c r="L893" i="5" s="1"/>
  <c r="M892" i="5"/>
  <c r="A892" i="5"/>
  <c r="L892" i="5" s="1"/>
  <c r="M891" i="5"/>
  <c r="A891" i="5"/>
  <c r="L891" i="5" s="1"/>
  <c r="M890" i="5"/>
  <c r="A890" i="5"/>
  <c r="L890" i="5" s="1"/>
  <c r="M889" i="5"/>
  <c r="A889" i="5"/>
  <c r="M888" i="5"/>
  <c r="A888" i="5"/>
  <c r="L888" i="5" s="1"/>
  <c r="M887" i="5"/>
  <c r="A887" i="5"/>
  <c r="M886" i="5"/>
  <c r="A886" i="5"/>
  <c r="M885" i="5"/>
  <c r="A885" i="5"/>
  <c r="L885" i="5" s="1"/>
  <c r="M884" i="5"/>
  <c r="A884" i="5"/>
  <c r="L884" i="5" s="1"/>
  <c r="M883" i="5"/>
  <c r="A883" i="5"/>
  <c r="M882" i="5"/>
  <c r="A882" i="5"/>
  <c r="L882" i="5" s="1"/>
  <c r="M881" i="5"/>
  <c r="A881" i="5"/>
  <c r="L881" i="5" s="1"/>
  <c r="M880" i="5"/>
  <c r="A880" i="5"/>
  <c r="L880" i="5" s="1"/>
  <c r="M879" i="5"/>
  <c r="A879" i="5"/>
  <c r="L879" i="5" s="1"/>
  <c r="M878" i="5"/>
  <c r="A878" i="5"/>
  <c r="M877" i="5"/>
  <c r="A877" i="5"/>
  <c r="M876" i="5"/>
  <c r="A876" i="5"/>
  <c r="L876" i="5" s="1"/>
  <c r="M875" i="5"/>
  <c r="A875" i="5"/>
  <c r="L875" i="5" s="1"/>
  <c r="M874" i="5"/>
  <c r="A874" i="5"/>
  <c r="L874" i="5" s="1"/>
  <c r="M873" i="5"/>
  <c r="A873" i="5"/>
  <c r="L873" i="5" s="1"/>
  <c r="M872" i="5"/>
  <c r="A872" i="5"/>
  <c r="L872" i="5" s="1"/>
  <c r="M871" i="5"/>
  <c r="A871" i="5"/>
  <c r="M870" i="5"/>
  <c r="A870" i="5"/>
  <c r="L870" i="5" s="1"/>
  <c r="M869" i="5"/>
  <c r="A869" i="5"/>
  <c r="L869" i="5" s="1"/>
  <c r="M868" i="5"/>
  <c r="A868" i="5"/>
  <c r="M867" i="5"/>
  <c r="A867" i="5"/>
  <c r="L867" i="5" s="1"/>
  <c r="M866" i="5"/>
  <c r="A866" i="5"/>
  <c r="L866" i="5" s="1"/>
  <c r="M865" i="5"/>
  <c r="A865" i="5"/>
  <c r="M864" i="5"/>
  <c r="A864" i="5"/>
  <c r="L864" i="5" s="1"/>
  <c r="M863" i="5"/>
  <c r="A863" i="5"/>
  <c r="L863" i="5" s="1"/>
  <c r="M862" i="5"/>
  <c r="A862" i="5"/>
  <c r="L862" i="5" s="1"/>
  <c r="M861" i="5"/>
  <c r="A861" i="5"/>
  <c r="L861" i="5" s="1"/>
  <c r="M860" i="5"/>
  <c r="A860" i="5"/>
  <c r="L860" i="5" s="1"/>
  <c r="M859" i="5"/>
  <c r="A859" i="5"/>
  <c r="L859" i="5" s="1"/>
  <c r="M858" i="5"/>
  <c r="A858" i="5"/>
  <c r="L858" i="5" s="1"/>
  <c r="M857" i="5"/>
  <c r="A857" i="5"/>
  <c r="L857" i="5" s="1"/>
  <c r="M856" i="5"/>
  <c r="A856" i="5"/>
  <c r="L856" i="5" s="1"/>
  <c r="M855" i="5"/>
  <c r="A855" i="5"/>
  <c r="L855" i="5" s="1"/>
  <c r="M854" i="5"/>
  <c r="A854" i="5"/>
  <c r="L854" i="5" s="1"/>
  <c r="M853" i="5"/>
  <c r="A853" i="5"/>
  <c r="M852" i="5"/>
  <c r="A852" i="5"/>
  <c r="L852" i="5" s="1"/>
  <c r="M851" i="5"/>
  <c r="A851" i="5"/>
  <c r="L851" i="5" s="1"/>
  <c r="M850" i="5"/>
  <c r="A850" i="5"/>
  <c r="L850" i="5" s="1"/>
  <c r="M849" i="5"/>
  <c r="A849" i="5"/>
  <c r="L849" i="5" s="1"/>
  <c r="M848" i="5"/>
  <c r="A848" i="5"/>
  <c r="L848" i="5" s="1"/>
  <c r="M847" i="5"/>
  <c r="A847" i="5"/>
  <c r="L847" i="5" s="1"/>
  <c r="M846" i="5"/>
  <c r="A846" i="5"/>
  <c r="L846" i="5" s="1"/>
  <c r="M845" i="5"/>
  <c r="A845" i="5"/>
  <c r="L845" i="5" s="1"/>
  <c r="M844" i="5"/>
  <c r="A844" i="5"/>
  <c r="L844" i="5" s="1"/>
  <c r="M843" i="5"/>
  <c r="A843" i="5"/>
  <c r="L843" i="5" s="1"/>
  <c r="M842" i="5"/>
  <c r="A842" i="5"/>
  <c r="L842" i="5" s="1"/>
  <c r="M841" i="5"/>
  <c r="A841" i="5"/>
  <c r="L841" i="5" s="1"/>
  <c r="M840" i="5"/>
  <c r="A840" i="5"/>
  <c r="L840" i="5" s="1"/>
  <c r="M839" i="5"/>
  <c r="A839" i="5"/>
  <c r="L839" i="5" s="1"/>
  <c r="M838" i="5"/>
  <c r="A838" i="5"/>
  <c r="L838" i="5" s="1"/>
  <c r="M837" i="5"/>
  <c r="A837" i="5"/>
  <c r="L837" i="5" s="1"/>
  <c r="M836" i="5"/>
  <c r="A836" i="5"/>
  <c r="M835" i="5"/>
  <c r="A835" i="5"/>
  <c r="L835" i="5" s="1"/>
  <c r="M834" i="5"/>
  <c r="A834" i="5"/>
  <c r="L834" i="5" s="1"/>
  <c r="M833" i="5"/>
  <c r="A833" i="5"/>
  <c r="L833" i="5" s="1"/>
  <c r="M832" i="5"/>
  <c r="A832" i="5"/>
  <c r="L832" i="5" s="1"/>
  <c r="M831" i="5"/>
  <c r="A831" i="5"/>
  <c r="L831" i="5" s="1"/>
  <c r="M830" i="5"/>
  <c r="A830" i="5"/>
  <c r="L830" i="5" s="1"/>
  <c r="M829" i="5"/>
  <c r="A829" i="5"/>
  <c r="L829" i="5" s="1"/>
  <c r="M828" i="5"/>
  <c r="A828" i="5"/>
  <c r="L828" i="5" s="1"/>
  <c r="M827" i="5"/>
  <c r="A827" i="5"/>
  <c r="L827" i="5" s="1"/>
  <c r="M826" i="5"/>
  <c r="A826" i="5"/>
  <c r="L826" i="5" s="1"/>
  <c r="M825" i="5"/>
  <c r="A825" i="5"/>
  <c r="L825" i="5" s="1"/>
  <c r="M824" i="5"/>
  <c r="A824" i="5"/>
  <c r="L824" i="5" s="1"/>
  <c r="M823" i="5"/>
  <c r="A823" i="5"/>
  <c r="L823" i="5" s="1"/>
  <c r="M822" i="5"/>
  <c r="A822" i="5"/>
  <c r="L822" i="5" s="1"/>
  <c r="M821" i="5"/>
  <c r="A821" i="5"/>
  <c r="L821" i="5" s="1"/>
  <c r="M820" i="5"/>
  <c r="A820" i="5"/>
  <c r="L820" i="5" s="1"/>
  <c r="M819" i="5"/>
  <c r="A819" i="5"/>
  <c r="L819" i="5" s="1"/>
  <c r="M818" i="5"/>
  <c r="A818" i="5"/>
  <c r="L818" i="5" s="1"/>
  <c r="M817" i="5"/>
  <c r="A817" i="5"/>
  <c r="L817" i="5" s="1"/>
  <c r="M816" i="5"/>
  <c r="A816" i="5"/>
  <c r="L816" i="5" s="1"/>
  <c r="M815" i="5"/>
  <c r="A815" i="5"/>
  <c r="L815" i="5" s="1"/>
  <c r="M814" i="5"/>
  <c r="A814" i="5"/>
  <c r="L814" i="5" s="1"/>
  <c r="M813" i="5"/>
  <c r="A813" i="5"/>
  <c r="L813" i="5" s="1"/>
  <c r="M812" i="5"/>
  <c r="A812" i="5"/>
  <c r="L812" i="5" s="1"/>
  <c r="M811" i="5"/>
  <c r="A811" i="5"/>
  <c r="L811" i="5" s="1"/>
  <c r="M810" i="5"/>
  <c r="A810" i="5"/>
  <c r="L810" i="5" s="1"/>
  <c r="M809" i="5"/>
  <c r="A809" i="5"/>
  <c r="L809" i="5" s="1"/>
  <c r="M808" i="5"/>
  <c r="A808" i="5"/>
  <c r="L808" i="5" s="1"/>
  <c r="M807" i="5"/>
  <c r="A807" i="5"/>
  <c r="L807" i="5" s="1"/>
  <c r="M806" i="5"/>
  <c r="A806" i="5"/>
  <c r="L806" i="5" s="1"/>
  <c r="M805" i="5"/>
  <c r="A805" i="5"/>
  <c r="L805" i="5" s="1"/>
  <c r="M804" i="5"/>
  <c r="A804" i="5"/>
  <c r="L804" i="5" s="1"/>
  <c r="M803" i="5"/>
  <c r="A803" i="5"/>
  <c r="L803" i="5" s="1"/>
  <c r="M802" i="5"/>
  <c r="A802" i="5"/>
  <c r="L802" i="5" s="1"/>
  <c r="M801" i="5"/>
  <c r="A801" i="5"/>
  <c r="L801" i="5" s="1"/>
  <c r="M800" i="5"/>
  <c r="A800" i="5"/>
  <c r="L800" i="5" s="1"/>
  <c r="M799" i="5"/>
  <c r="A799" i="5"/>
  <c r="L799" i="5" s="1"/>
  <c r="M798" i="5"/>
  <c r="A798" i="5"/>
  <c r="L798" i="5" s="1"/>
  <c r="M797" i="5"/>
  <c r="A797" i="5"/>
  <c r="L797" i="5" s="1"/>
  <c r="M796" i="5"/>
  <c r="A796" i="5"/>
  <c r="M795" i="5"/>
  <c r="A795" i="5"/>
  <c r="L795" i="5" s="1"/>
  <c r="M794" i="5"/>
  <c r="A794" i="5"/>
  <c r="L794" i="5" s="1"/>
  <c r="M793" i="5"/>
  <c r="A793" i="5"/>
  <c r="L793" i="5" s="1"/>
  <c r="M792" i="5"/>
  <c r="A792" i="5"/>
  <c r="L792" i="5" s="1"/>
  <c r="M791" i="5"/>
  <c r="A791" i="5"/>
  <c r="L791" i="5" s="1"/>
  <c r="M790" i="5"/>
  <c r="A790" i="5"/>
  <c r="L790" i="5" s="1"/>
  <c r="M789" i="5"/>
  <c r="A789" i="5"/>
  <c r="L789" i="5" s="1"/>
  <c r="M788" i="5"/>
  <c r="A788" i="5"/>
  <c r="L788" i="5" s="1"/>
  <c r="M787" i="5"/>
  <c r="A787" i="5"/>
  <c r="L787" i="5" s="1"/>
  <c r="M786" i="5"/>
  <c r="A786" i="5"/>
  <c r="L786" i="5" s="1"/>
  <c r="M785" i="5"/>
  <c r="A785" i="5"/>
  <c r="L785" i="5" s="1"/>
  <c r="M784" i="5"/>
  <c r="A784" i="5"/>
  <c r="L784" i="5" s="1"/>
  <c r="M783" i="5"/>
  <c r="A783" i="5"/>
  <c r="L783" i="5" s="1"/>
  <c r="M782" i="5"/>
  <c r="A782" i="5"/>
  <c r="L782" i="5" s="1"/>
  <c r="M781" i="5"/>
  <c r="A781" i="5"/>
  <c r="L781" i="5" s="1"/>
  <c r="M780" i="5"/>
  <c r="A780" i="5"/>
  <c r="L780" i="5" s="1"/>
  <c r="M779" i="5"/>
  <c r="A779" i="5"/>
  <c r="L779" i="5" s="1"/>
  <c r="M778" i="5"/>
  <c r="A778" i="5"/>
  <c r="M777" i="5"/>
  <c r="A777" i="5"/>
  <c r="L777" i="5" s="1"/>
  <c r="M776" i="5"/>
  <c r="A776" i="5"/>
  <c r="L776" i="5" s="1"/>
  <c r="M775" i="5"/>
  <c r="A775" i="5"/>
  <c r="L775" i="5" s="1"/>
  <c r="M774" i="5"/>
  <c r="A774" i="5"/>
  <c r="L774" i="5" s="1"/>
  <c r="M773" i="5"/>
  <c r="A773" i="5"/>
  <c r="L773" i="5" s="1"/>
  <c r="M772" i="5"/>
  <c r="A772" i="5"/>
  <c r="L772" i="5" s="1"/>
  <c r="M771" i="5"/>
  <c r="A771" i="5"/>
  <c r="L771" i="5" s="1"/>
  <c r="M770" i="5"/>
  <c r="A770" i="5"/>
  <c r="L770" i="5" s="1"/>
  <c r="M769" i="5"/>
  <c r="A769" i="5"/>
  <c r="L769" i="5" s="1"/>
  <c r="M768" i="5"/>
  <c r="A768" i="5"/>
  <c r="L768" i="5" s="1"/>
  <c r="M767" i="5"/>
  <c r="A767" i="5"/>
  <c r="L767" i="5" s="1"/>
  <c r="M766" i="5"/>
  <c r="A766" i="5"/>
  <c r="L766" i="5" s="1"/>
  <c r="M765" i="5"/>
  <c r="A765" i="5"/>
  <c r="L765" i="5" s="1"/>
  <c r="M764" i="5"/>
  <c r="A764" i="5"/>
  <c r="L764" i="5" s="1"/>
  <c r="M763" i="5"/>
  <c r="A763" i="5"/>
  <c r="L763" i="5" s="1"/>
  <c r="M762" i="5"/>
  <c r="A762" i="5"/>
  <c r="L762" i="5" s="1"/>
  <c r="M761" i="5"/>
  <c r="A761" i="5"/>
  <c r="L761" i="5" s="1"/>
  <c r="M760" i="5"/>
  <c r="A760" i="5"/>
  <c r="M759" i="5"/>
  <c r="A759" i="5"/>
  <c r="L759" i="5" s="1"/>
  <c r="M758" i="5"/>
  <c r="A758" i="5"/>
  <c r="L758" i="5" s="1"/>
  <c r="M757" i="5"/>
  <c r="A757" i="5"/>
  <c r="L757" i="5" s="1"/>
  <c r="M756" i="5"/>
  <c r="A756" i="5"/>
  <c r="L756" i="5" s="1"/>
  <c r="M755" i="5"/>
  <c r="A755" i="5"/>
  <c r="L755" i="5" s="1"/>
  <c r="M754" i="5"/>
  <c r="A754" i="5"/>
  <c r="L754" i="5" s="1"/>
  <c r="M753" i="5"/>
  <c r="A753" i="5"/>
  <c r="L753" i="5" s="1"/>
  <c r="M752" i="5"/>
  <c r="A752" i="5"/>
  <c r="L752" i="5" s="1"/>
  <c r="M751" i="5"/>
  <c r="A751" i="5"/>
  <c r="L751" i="5" s="1"/>
  <c r="M750" i="5"/>
  <c r="A750" i="5"/>
  <c r="L750" i="5" s="1"/>
  <c r="M749" i="5"/>
  <c r="A749" i="5"/>
  <c r="L749" i="5" s="1"/>
  <c r="M748" i="5"/>
  <c r="A748" i="5"/>
  <c r="L748" i="5" s="1"/>
  <c r="M747" i="5"/>
  <c r="A747" i="5"/>
  <c r="L747" i="5" s="1"/>
  <c r="M746" i="5"/>
  <c r="A746" i="5"/>
  <c r="L746" i="5" s="1"/>
  <c r="M745" i="5"/>
  <c r="A745" i="5"/>
  <c r="L745" i="5" s="1"/>
  <c r="M744" i="5"/>
  <c r="A744" i="5"/>
  <c r="L744" i="5" s="1"/>
  <c r="M743" i="5"/>
  <c r="A743" i="5"/>
  <c r="L743" i="5" s="1"/>
  <c r="M742" i="5"/>
  <c r="A742" i="5"/>
  <c r="L742" i="5" s="1"/>
  <c r="M741" i="5"/>
  <c r="A741" i="5"/>
  <c r="L741" i="5" s="1"/>
  <c r="M740" i="5"/>
  <c r="A740" i="5"/>
  <c r="L740" i="5" s="1"/>
  <c r="M739" i="5"/>
  <c r="A739" i="5"/>
  <c r="L739" i="5" s="1"/>
  <c r="M738" i="5"/>
  <c r="A738" i="5"/>
  <c r="L738" i="5" s="1"/>
  <c r="M737" i="5"/>
  <c r="A737" i="5"/>
  <c r="L737" i="5" s="1"/>
  <c r="M736" i="5"/>
  <c r="A736" i="5"/>
  <c r="L736" i="5" s="1"/>
  <c r="M735" i="5"/>
  <c r="A735" i="5"/>
  <c r="L735" i="5" s="1"/>
  <c r="M734" i="5"/>
  <c r="A734" i="5"/>
  <c r="L734" i="5" s="1"/>
  <c r="M733" i="5"/>
  <c r="A733" i="5"/>
  <c r="L733" i="5" s="1"/>
  <c r="M732" i="5"/>
  <c r="A732" i="5"/>
  <c r="L732" i="5" s="1"/>
  <c r="M731" i="5"/>
  <c r="A731" i="5"/>
  <c r="L731" i="5" s="1"/>
  <c r="M730" i="5"/>
  <c r="A730" i="5"/>
  <c r="L730" i="5" s="1"/>
  <c r="M729" i="5"/>
  <c r="A729" i="5"/>
  <c r="L729" i="5" s="1"/>
  <c r="M728" i="5"/>
  <c r="A728" i="5"/>
  <c r="L728" i="5" s="1"/>
  <c r="M727" i="5"/>
  <c r="A727" i="5"/>
  <c r="L727" i="5" s="1"/>
  <c r="M726" i="5"/>
  <c r="A726" i="5"/>
  <c r="L726" i="5" s="1"/>
  <c r="M725" i="5"/>
  <c r="A725" i="5"/>
  <c r="L725" i="5" s="1"/>
  <c r="M724" i="5"/>
  <c r="A724" i="5"/>
  <c r="L724" i="5" s="1"/>
  <c r="M723" i="5"/>
  <c r="A723" i="5"/>
  <c r="M722" i="5"/>
  <c r="A722" i="5"/>
  <c r="L722" i="5" s="1"/>
  <c r="M721" i="5"/>
  <c r="A721" i="5"/>
  <c r="L721" i="5" s="1"/>
  <c r="M720" i="5"/>
  <c r="A720" i="5"/>
  <c r="L720" i="5" s="1"/>
  <c r="M719" i="5"/>
  <c r="A719" i="5"/>
  <c r="M718" i="5"/>
  <c r="A718" i="5"/>
  <c r="L718" i="5" s="1"/>
  <c r="M717" i="5"/>
  <c r="A717" i="5"/>
  <c r="L717" i="5" s="1"/>
  <c r="M716" i="5"/>
  <c r="A716" i="5"/>
  <c r="L716" i="5" s="1"/>
  <c r="M715" i="5"/>
  <c r="A715" i="5"/>
  <c r="L715" i="5" s="1"/>
  <c r="M714" i="5"/>
  <c r="A714" i="5"/>
  <c r="L714" i="5" s="1"/>
  <c r="M713" i="5"/>
  <c r="A713" i="5"/>
  <c r="L713" i="5" s="1"/>
  <c r="M712" i="5"/>
  <c r="A712" i="5"/>
  <c r="L712" i="5" s="1"/>
  <c r="M711" i="5"/>
  <c r="A711" i="5"/>
  <c r="L711" i="5" s="1"/>
  <c r="M710" i="5"/>
  <c r="A710" i="5"/>
  <c r="L710" i="5" s="1"/>
  <c r="M709" i="5"/>
  <c r="A709" i="5"/>
  <c r="L709" i="5" s="1"/>
  <c r="M708" i="5"/>
  <c r="A708" i="5"/>
  <c r="L708" i="5" s="1"/>
  <c r="M707" i="5"/>
  <c r="A707" i="5"/>
  <c r="L707" i="5" s="1"/>
  <c r="M706" i="5"/>
  <c r="A706" i="5"/>
  <c r="L706" i="5" s="1"/>
  <c r="M705" i="5"/>
  <c r="A705" i="5"/>
  <c r="L705" i="5" s="1"/>
  <c r="M704" i="5"/>
  <c r="A704" i="5"/>
  <c r="L704" i="5" s="1"/>
  <c r="M703" i="5"/>
  <c r="A703" i="5"/>
  <c r="L703" i="5" s="1"/>
  <c r="M702" i="5"/>
  <c r="A702" i="5"/>
  <c r="L702" i="5" s="1"/>
  <c r="M701" i="5"/>
  <c r="A701" i="5"/>
  <c r="L701" i="5" s="1"/>
  <c r="M700" i="5"/>
  <c r="A700" i="5"/>
  <c r="L700" i="5" s="1"/>
  <c r="M699" i="5"/>
  <c r="A699" i="5"/>
  <c r="L699" i="5" s="1"/>
  <c r="M698" i="5"/>
  <c r="A698" i="5"/>
  <c r="L698" i="5" s="1"/>
  <c r="M697" i="5"/>
  <c r="A697" i="5"/>
  <c r="L697" i="5" s="1"/>
  <c r="M696" i="5"/>
  <c r="A696" i="5"/>
  <c r="M695" i="5"/>
  <c r="A695" i="5"/>
  <c r="L695" i="5" s="1"/>
  <c r="M694" i="5"/>
  <c r="A694" i="5"/>
  <c r="L694" i="5" s="1"/>
  <c r="M693" i="5"/>
  <c r="A693" i="5"/>
  <c r="L693" i="5" s="1"/>
  <c r="M692" i="5"/>
  <c r="A692" i="5"/>
  <c r="L692" i="5" s="1"/>
  <c r="M691" i="5"/>
  <c r="A691" i="5"/>
  <c r="L691" i="5" s="1"/>
  <c r="M690" i="5"/>
  <c r="A690" i="5"/>
  <c r="L690" i="5" s="1"/>
  <c r="M689" i="5"/>
  <c r="A689" i="5"/>
  <c r="L689" i="5" s="1"/>
  <c r="M688" i="5"/>
  <c r="A688" i="5"/>
  <c r="L688" i="5" s="1"/>
  <c r="M687" i="5"/>
  <c r="A687" i="5"/>
  <c r="L687" i="5" s="1"/>
  <c r="M686" i="5"/>
  <c r="A686" i="5"/>
  <c r="M685" i="5"/>
  <c r="A685" i="5"/>
  <c r="L685" i="5" s="1"/>
  <c r="M684" i="5"/>
  <c r="A684" i="5"/>
  <c r="L684" i="5" s="1"/>
  <c r="M683" i="5"/>
  <c r="A683" i="5"/>
  <c r="L683" i="5" s="1"/>
  <c r="M682" i="5"/>
  <c r="A682" i="5"/>
  <c r="L682" i="5" s="1"/>
  <c r="M681" i="5"/>
  <c r="A681" i="5"/>
  <c r="L681" i="5" s="1"/>
  <c r="M680" i="5"/>
  <c r="A680" i="5"/>
  <c r="L680" i="5" s="1"/>
  <c r="M679" i="5"/>
  <c r="A679" i="5"/>
  <c r="L679" i="5" s="1"/>
  <c r="M678" i="5"/>
  <c r="A678" i="5"/>
  <c r="L678" i="5" s="1"/>
  <c r="M677" i="5"/>
  <c r="A677" i="5"/>
  <c r="L677" i="5" s="1"/>
  <c r="M676" i="5"/>
  <c r="A676" i="5"/>
  <c r="L676" i="5" s="1"/>
  <c r="M675" i="5"/>
  <c r="A675" i="5"/>
  <c r="L675" i="5" s="1"/>
  <c r="M674" i="5"/>
  <c r="A674" i="5"/>
  <c r="L674" i="5" s="1"/>
  <c r="M673" i="5"/>
  <c r="A673" i="5"/>
  <c r="M672" i="5"/>
  <c r="A672" i="5"/>
  <c r="L672" i="5" s="1"/>
  <c r="M671" i="5"/>
  <c r="A671" i="5"/>
  <c r="L671" i="5" s="1"/>
  <c r="M670" i="5"/>
  <c r="A670" i="5"/>
  <c r="L670" i="5" s="1"/>
  <c r="M669" i="5"/>
  <c r="A669" i="5"/>
  <c r="L669" i="5" s="1"/>
  <c r="M668" i="5"/>
  <c r="A668" i="5"/>
  <c r="L668" i="5" s="1"/>
  <c r="M667" i="5"/>
  <c r="A667" i="5"/>
  <c r="L667" i="5" s="1"/>
  <c r="M666" i="5"/>
  <c r="A666" i="5"/>
  <c r="L666" i="5" s="1"/>
  <c r="M665" i="5"/>
  <c r="A665" i="5"/>
  <c r="L665" i="5" s="1"/>
  <c r="M664" i="5"/>
  <c r="A664" i="5"/>
  <c r="M663" i="5"/>
  <c r="A663" i="5"/>
  <c r="L663" i="5" s="1"/>
  <c r="M662" i="5"/>
  <c r="A662" i="5"/>
  <c r="M661" i="5"/>
  <c r="A661" i="5"/>
  <c r="L661" i="5" s="1"/>
  <c r="M660" i="5"/>
  <c r="A660" i="5"/>
  <c r="L660" i="5" s="1"/>
  <c r="M659" i="5"/>
  <c r="A659" i="5"/>
  <c r="L659" i="5" s="1"/>
  <c r="M658" i="5"/>
  <c r="A658" i="5"/>
  <c r="L658" i="5" s="1"/>
  <c r="M657" i="5"/>
  <c r="A657" i="5"/>
  <c r="L657" i="5" s="1"/>
  <c r="M656" i="5"/>
  <c r="A656" i="5"/>
  <c r="L656" i="5" s="1"/>
  <c r="M655" i="5"/>
  <c r="A655" i="5"/>
  <c r="L655" i="5" s="1"/>
  <c r="M654" i="5"/>
  <c r="A654" i="5"/>
  <c r="L654" i="5" s="1"/>
  <c r="M653" i="5"/>
  <c r="A653" i="5"/>
  <c r="L653" i="5" s="1"/>
  <c r="M652" i="5"/>
  <c r="A652" i="5"/>
  <c r="L652" i="5" s="1"/>
  <c r="M651" i="5"/>
  <c r="A651" i="5"/>
  <c r="L651" i="5" s="1"/>
  <c r="M650" i="5"/>
  <c r="A650" i="5"/>
  <c r="L650" i="5" s="1"/>
  <c r="M649" i="5"/>
  <c r="A649" i="5"/>
  <c r="L649" i="5" s="1"/>
  <c r="M648" i="5"/>
  <c r="A648" i="5"/>
  <c r="L648" i="5" s="1"/>
  <c r="M647" i="5"/>
  <c r="A647" i="5"/>
  <c r="L647" i="5" s="1"/>
  <c r="M646" i="5"/>
  <c r="A646" i="5"/>
  <c r="L646" i="5" s="1"/>
  <c r="M645" i="5"/>
  <c r="A645" i="5"/>
  <c r="L645" i="5" s="1"/>
  <c r="M644" i="5"/>
  <c r="A644" i="5"/>
  <c r="L644" i="5" s="1"/>
  <c r="M643" i="5"/>
  <c r="A643" i="5"/>
  <c r="L643" i="5" s="1"/>
  <c r="M642" i="5"/>
  <c r="A642" i="5"/>
  <c r="L642" i="5" s="1"/>
  <c r="M641" i="5"/>
  <c r="A641" i="5"/>
  <c r="M640" i="5"/>
  <c r="A640" i="5"/>
  <c r="L640" i="5" s="1"/>
  <c r="M639" i="5"/>
  <c r="A639" i="5"/>
  <c r="L639" i="5" s="1"/>
  <c r="M638" i="5"/>
  <c r="A638" i="5"/>
  <c r="L638" i="5" s="1"/>
  <c r="M637" i="5"/>
  <c r="A637" i="5"/>
  <c r="M636" i="5"/>
  <c r="A636" i="5"/>
  <c r="L636" i="5" s="1"/>
  <c r="M635" i="5"/>
  <c r="A635" i="5"/>
  <c r="L635" i="5" s="1"/>
  <c r="M634" i="5"/>
  <c r="A634" i="5"/>
  <c r="L634" i="5" s="1"/>
  <c r="M633" i="5"/>
  <c r="A633" i="5"/>
  <c r="L633" i="5" s="1"/>
  <c r="M632" i="5"/>
  <c r="A632" i="5"/>
  <c r="L632" i="5" s="1"/>
  <c r="M631" i="5"/>
  <c r="A631" i="5"/>
  <c r="L631" i="5" s="1"/>
  <c r="M630" i="5"/>
  <c r="A630" i="5"/>
  <c r="L630" i="5" s="1"/>
  <c r="M629" i="5"/>
  <c r="A629" i="5"/>
  <c r="L629" i="5" s="1"/>
  <c r="M628" i="5"/>
  <c r="A628" i="5"/>
  <c r="L628" i="5" s="1"/>
  <c r="M627" i="5"/>
  <c r="A627" i="5"/>
  <c r="L627" i="5" s="1"/>
  <c r="M626" i="5"/>
  <c r="A626" i="5"/>
  <c r="L626" i="5" s="1"/>
  <c r="M625" i="5"/>
  <c r="A625" i="5"/>
  <c r="L625" i="5" s="1"/>
  <c r="M624" i="5"/>
  <c r="A624" i="5"/>
  <c r="L624" i="5" s="1"/>
  <c r="M623" i="5"/>
  <c r="A623" i="5"/>
  <c r="L623" i="5" s="1"/>
  <c r="M622" i="5"/>
  <c r="A622" i="5"/>
  <c r="L622" i="5" s="1"/>
  <c r="M621" i="5"/>
  <c r="A621" i="5"/>
  <c r="L621" i="5" s="1"/>
  <c r="M620" i="5"/>
  <c r="A620" i="5"/>
  <c r="L620" i="5" s="1"/>
  <c r="M619" i="5"/>
  <c r="A619" i="5"/>
  <c r="L619" i="5" s="1"/>
  <c r="M618" i="5"/>
  <c r="A618" i="5"/>
  <c r="L618" i="5" s="1"/>
  <c r="M617" i="5"/>
  <c r="A617" i="5"/>
  <c r="M616" i="5"/>
  <c r="A616" i="5"/>
  <c r="L616" i="5" s="1"/>
  <c r="M615" i="5"/>
  <c r="A615" i="5"/>
  <c r="L615" i="5" s="1"/>
  <c r="M614" i="5"/>
  <c r="A614" i="5"/>
  <c r="L614" i="5" s="1"/>
  <c r="M613" i="5"/>
  <c r="A613" i="5"/>
  <c r="L613" i="5" s="1"/>
  <c r="M612" i="5"/>
  <c r="A612" i="5"/>
  <c r="L612" i="5" s="1"/>
  <c r="M611" i="5"/>
  <c r="A611" i="5"/>
  <c r="L611" i="5" s="1"/>
  <c r="M610" i="5"/>
  <c r="A610" i="5"/>
  <c r="L610" i="5" s="1"/>
  <c r="M609" i="5"/>
  <c r="A609" i="5"/>
  <c r="L609" i="5" s="1"/>
  <c r="M608" i="5"/>
  <c r="A608" i="5"/>
  <c r="L608" i="5" s="1"/>
  <c r="M607" i="5"/>
  <c r="A607" i="5"/>
  <c r="M606" i="5"/>
  <c r="A606" i="5"/>
  <c r="L606" i="5" s="1"/>
  <c r="M605" i="5"/>
  <c r="A605" i="5"/>
  <c r="L605" i="5" s="1"/>
  <c r="M604" i="5"/>
  <c r="A604" i="5"/>
  <c r="L604" i="5" s="1"/>
  <c r="M603" i="5"/>
  <c r="A603" i="5"/>
  <c r="M602" i="5"/>
  <c r="A602" i="5"/>
  <c r="L602" i="5" s="1"/>
  <c r="M601" i="5"/>
  <c r="A601" i="5"/>
  <c r="L601" i="5" s="1"/>
  <c r="M600" i="5"/>
  <c r="A600" i="5"/>
  <c r="L600" i="5" s="1"/>
  <c r="M599" i="5"/>
  <c r="A599" i="5"/>
  <c r="M598" i="5"/>
  <c r="A598" i="5"/>
  <c r="L598" i="5" s="1"/>
  <c r="M597" i="5"/>
  <c r="A597" i="5"/>
  <c r="L597" i="5" s="1"/>
  <c r="M596" i="5"/>
  <c r="A596" i="5"/>
  <c r="L596" i="5" s="1"/>
  <c r="M595" i="5"/>
  <c r="A595" i="5"/>
  <c r="L595" i="5" s="1"/>
  <c r="M594" i="5"/>
  <c r="A594" i="5"/>
  <c r="M593" i="5"/>
  <c r="A593" i="5"/>
  <c r="L593" i="5" s="1"/>
  <c r="M592" i="5"/>
  <c r="A592" i="5"/>
  <c r="M591" i="5"/>
  <c r="A591" i="5"/>
  <c r="L591" i="5" s="1"/>
  <c r="M590" i="5"/>
  <c r="A590" i="5"/>
  <c r="L590" i="5" s="1"/>
  <c r="M589" i="5"/>
  <c r="A589" i="5"/>
  <c r="L589" i="5" s="1"/>
  <c r="M588" i="5"/>
  <c r="A588" i="5"/>
  <c r="L588" i="5" s="1"/>
  <c r="M587" i="5"/>
  <c r="A587" i="5"/>
  <c r="L587" i="5" s="1"/>
  <c r="M586" i="5"/>
  <c r="A586" i="5"/>
  <c r="L586" i="5" s="1"/>
  <c r="M585" i="5"/>
  <c r="A585" i="5"/>
  <c r="L585" i="5" s="1"/>
  <c r="M584" i="5"/>
  <c r="A584" i="5"/>
  <c r="L584" i="5" s="1"/>
  <c r="M583" i="5"/>
  <c r="A583" i="5"/>
  <c r="L583" i="5" s="1"/>
  <c r="M582" i="5"/>
  <c r="A582" i="5"/>
  <c r="L582" i="5" s="1"/>
  <c r="M581" i="5"/>
  <c r="A581" i="5"/>
  <c r="L581" i="5" s="1"/>
  <c r="M580" i="5"/>
  <c r="A580" i="5"/>
  <c r="M579" i="5"/>
  <c r="A579" i="5"/>
  <c r="M578" i="5"/>
  <c r="A578" i="5"/>
  <c r="L578" i="5" s="1"/>
  <c r="M577" i="5"/>
  <c r="A577" i="5"/>
  <c r="L577" i="5" s="1"/>
  <c r="M576" i="5"/>
  <c r="A576" i="5"/>
  <c r="L576" i="5" s="1"/>
  <c r="M575" i="5"/>
  <c r="A575" i="5"/>
  <c r="L575" i="5" s="1"/>
  <c r="M574" i="5"/>
  <c r="A574" i="5"/>
  <c r="M573" i="5"/>
  <c r="A573" i="5"/>
  <c r="L573" i="5" s="1"/>
  <c r="M572" i="5"/>
  <c r="A572" i="5"/>
  <c r="L572" i="5" s="1"/>
  <c r="M571" i="5"/>
  <c r="A571" i="5"/>
  <c r="M570" i="5"/>
  <c r="A570" i="5"/>
  <c r="L570" i="5" s="1"/>
  <c r="M569" i="5"/>
  <c r="A569" i="5"/>
  <c r="L569" i="5" s="1"/>
  <c r="M568" i="5"/>
  <c r="A568" i="5"/>
  <c r="L568" i="5" s="1"/>
  <c r="M567" i="5"/>
  <c r="A567" i="5"/>
  <c r="M566" i="5"/>
  <c r="A566" i="5"/>
  <c r="L566" i="5" s="1"/>
  <c r="M565" i="5"/>
  <c r="A565" i="5"/>
  <c r="L565" i="5" s="1"/>
  <c r="M564" i="5"/>
  <c r="A564" i="5"/>
  <c r="L564" i="5" s="1"/>
  <c r="M563" i="5"/>
  <c r="A563" i="5"/>
  <c r="L563" i="5" s="1"/>
  <c r="M562" i="5"/>
  <c r="A562" i="5"/>
  <c r="L562" i="5" s="1"/>
  <c r="M561" i="5"/>
  <c r="A561" i="5"/>
  <c r="M560" i="5"/>
  <c r="A560" i="5"/>
  <c r="L560" i="5" s="1"/>
  <c r="M559" i="5"/>
  <c r="A559" i="5"/>
  <c r="L559" i="5" s="1"/>
  <c r="M558" i="5"/>
  <c r="A558" i="5"/>
  <c r="M557" i="5"/>
  <c r="A557" i="5"/>
  <c r="L557" i="5" s="1"/>
  <c r="M556" i="5"/>
  <c r="A556" i="5"/>
  <c r="M555" i="5"/>
  <c r="A555" i="5"/>
  <c r="L555" i="5" s="1"/>
  <c r="M554" i="5"/>
  <c r="A554" i="5"/>
  <c r="L554" i="5" s="1"/>
  <c r="M553" i="5"/>
  <c r="A553" i="5"/>
  <c r="L553" i="5" s="1"/>
  <c r="M552" i="5"/>
  <c r="A552" i="5"/>
  <c r="L552" i="5" s="1"/>
  <c r="M551" i="5"/>
  <c r="A551" i="5"/>
  <c r="L551" i="5" s="1"/>
  <c r="M550" i="5"/>
  <c r="A550" i="5"/>
  <c r="L550" i="5" s="1"/>
  <c r="M549" i="5"/>
  <c r="A549" i="5"/>
  <c r="L549" i="5" s="1"/>
  <c r="M548" i="5"/>
  <c r="A548" i="5"/>
  <c r="L548" i="5" s="1"/>
  <c r="M547" i="5"/>
  <c r="A547" i="5"/>
  <c r="L547" i="5" s="1"/>
  <c r="M546" i="5"/>
  <c r="A546" i="5"/>
  <c r="L546" i="5" s="1"/>
  <c r="M545" i="5"/>
  <c r="A545" i="5"/>
  <c r="L545" i="5" s="1"/>
  <c r="M544" i="5"/>
  <c r="A544" i="5"/>
  <c r="M543" i="5"/>
  <c r="A543" i="5"/>
  <c r="M542" i="5"/>
  <c r="A542" i="5"/>
  <c r="L542" i="5" s="1"/>
  <c r="M541" i="5"/>
  <c r="A541" i="5"/>
  <c r="L541" i="5" s="1"/>
  <c r="M540" i="5"/>
  <c r="A540" i="5"/>
  <c r="L540" i="5" s="1"/>
  <c r="M539" i="5"/>
  <c r="A539" i="5"/>
  <c r="L539" i="5" s="1"/>
  <c r="M538" i="5"/>
  <c r="A538" i="5"/>
  <c r="M537" i="5"/>
  <c r="A537" i="5"/>
  <c r="L537" i="5" s="1"/>
  <c r="M536" i="5"/>
  <c r="A536" i="5"/>
  <c r="L536" i="5" s="1"/>
  <c r="M535" i="5"/>
  <c r="A535" i="5"/>
  <c r="M534" i="5"/>
  <c r="A534" i="5"/>
  <c r="L534" i="5" s="1"/>
  <c r="M533" i="5"/>
  <c r="A533" i="5"/>
  <c r="L533" i="5" s="1"/>
  <c r="M532" i="5"/>
  <c r="A532" i="5"/>
  <c r="L532" i="5" s="1"/>
  <c r="M531" i="5"/>
  <c r="A531" i="5"/>
  <c r="M530" i="5"/>
  <c r="A530" i="5"/>
  <c r="L530" i="5" s="1"/>
  <c r="M529" i="5"/>
  <c r="A529" i="5"/>
  <c r="L529" i="5" s="1"/>
  <c r="M528" i="5"/>
  <c r="A528" i="5"/>
  <c r="L528" i="5" s="1"/>
  <c r="M527" i="5"/>
  <c r="A527" i="5"/>
  <c r="L527" i="5" s="1"/>
  <c r="M526" i="5"/>
  <c r="A526" i="5"/>
  <c r="L526" i="5" s="1"/>
  <c r="M525" i="5"/>
  <c r="A525" i="5"/>
  <c r="M524" i="5"/>
  <c r="A524" i="5"/>
  <c r="L524" i="5" s="1"/>
  <c r="M523" i="5"/>
  <c r="A523" i="5"/>
  <c r="L523" i="5" s="1"/>
  <c r="M522" i="5"/>
  <c r="A522" i="5"/>
  <c r="M521" i="5"/>
  <c r="A521" i="5"/>
  <c r="M520" i="5"/>
  <c r="A520" i="5"/>
  <c r="M519" i="5"/>
  <c r="A519" i="5"/>
  <c r="L519" i="5" s="1"/>
  <c r="M518" i="5"/>
  <c r="A518" i="5"/>
  <c r="L518" i="5" s="1"/>
  <c r="M517" i="5"/>
  <c r="A517" i="5"/>
  <c r="L517" i="5" s="1"/>
  <c r="M516" i="5"/>
  <c r="A516" i="5"/>
  <c r="L516" i="5" s="1"/>
  <c r="M515" i="5"/>
  <c r="A515" i="5"/>
  <c r="L515" i="5" s="1"/>
  <c r="M514" i="5"/>
  <c r="A514" i="5"/>
  <c r="L514" i="5" s="1"/>
  <c r="M513" i="5"/>
  <c r="A513" i="5"/>
  <c r="L513" i="5" s="1"/>
  <c r="M512" i="5"/>
  <c r="A512" i="5"/>
  <c r="L512" i="5" s="1"/>
  <c r="M511" i="5"/>
  <c r="A511" i="5"/>
  <c r="L511" i="5" s="1"/>
  <c r="M510" i="5"/>
  <c r="A510" i="5"/>
  <c r="L510" i="5" s="1"/>
  <c r="M509" i="5"/>
  <c r="A509" i="5"/>
  <c r="L509" i="5" s="1"/>
  <c r="M508" i="5"/>
  <c r="A508" i="5"/>
  <c r="M507" i="5"/>
  <c r="A507" i="5"/>
  <c r="L507" i="5" s="1"/>
  <c r="M506" i="5"/>
  <c r="A506" i="5"/>
  <c r="L506" i="5" s="1"/>
  <c r="M505" i="5"/>
  <c r="A505" i="5"/>
  <c r="L505" i="5" s="1"/>
  <c r="M504" i="5"/>
  <c r="A504" i="5"/>
  <c r="L504" i="5" s="1"/>
  <c r="M503" i="5"/>
  <c r="A503" i="5"/>
  <c r="L503" i="5" s="1"/>
  <c r="M502" i="5"/>
  <c r="A502" i="5"/>
  <c r="M501" i="5"/>
  <c r="A501" i="5"/>
  <c r="L501" i="5" s="1"/>
  <c r="M500" i="5"/>
  <c r="A500" i="5"/>
  <c r="L500" i="5" s="1"/>
  <c r="M499" i="5"/>
  <c r="A499" i="5"/>
  <c r="M498" i="5"/>
  <c r="A498" i="5"/>
  <c r="L498" i="5" s="1"/>
  <c r="M497" i="5"/>
  <c r="A497" i="5"/>
  <c r="L497" i="5" s="1"/>
  <c r="M496" i="5"/>
  <c r="A496" i="5"/>
  <c r="L496" i="5" s="1"/>
  <c r="M495" i="5"/>
  <c r="A495" i="5"/>
  <c r="M494" i="5"/>
  <c r="A494" i="5"/>
  <c r="L494" i="5" s="1"/>
  <c r="M493" i="5"/>
  <c r="A493" i="5"/>
  <c r="L493" i="5" s="1"/>
  <c r="M492" i="5"/>
  <c r="A492" i="5"/>
  <c r="L492" i="5" s="1"/>
  <c r="M491" i="5"/>
  <c r="A491" i="5"/>
  <c r="L491" i="5" s="1"/>
  <c r="M490" i="5"/>
  <c r="A490" i="5"/>
  <c r="L490" i="5" s="1"/>
  <c r="M489" i="5"/>
  <c r="A489" i="5"/>
  <c r="M488" i="5"/>
  <c r="A488" i="5"/>
  <c r="L488" i="5" s="1"/>
  <c r="M487" i="5"/>
  <c r="A487" i="5"/>
  <c r="L487" i="5" s="1"/>
  <c r="M486" i="5"/>
  <c r="A486" i="5"/>
  <c r="M485" i="5"/>
  <c r="A485" i="5"/>
  <c r="M484" i="5"/>
  <c r="A484" i="5"/>
  <c r="M483" i="5"/>
  <c r="A483" i="5"/>
  <c r="L483" i="5" s="1"/>
  <c r="M482" i="5"/>
  <c r="A482" i="5"/>
  <c r="L482" i="5" s="1"/>
  <c r="M481" i="5"/>
  <c r="A481" i="5"/>
  <c r="L481" i="5" s="1"/>
  <c r="M480" i="5"/>
  <c r="A480" i="5"/>
  <c r="L480" i="5" s="1"/>
  <c r="M479" i="5"/>
  <c r="A479" i="5"/>
  <c r="L479" i="5" s="1"/>
  <c r="M478" i="5"/>
  <c r="A478" i="5"/>
  <c r="L478" i="5" s="1"/>
  <c r="M477" i="5"/>
  <c r="A477" i="5"/>
  <c r="L477" i="5" s="1"/>
  <c r="M476" i="5"/>
  <c r="A476" i="5"/>
  <c r="M475" i="5"/>
  <c r="A475" i="5"/>
  <c r="L475" i="5" s="1"/>
  <c r="M474" i="5"/>
  <c r="A474" i="5"/>
  <c r="L474" i="5" s="1"/>
  <c r="M473" i="5"/>
  <c r="A473" i="5"/>
  <c r="L473" i="5" s="1"/>
  <c r="M472" i="5"/>
  <c r="A472" i="5"/>
  <c r="M471" i="5"/>
  <c r="A471" i="5"/>
  <c r="M470" i="5"/>
  <c r="A470" i="5"/>
  <c r="L470" i="5" s="1"/>
  <c r="M469" i="5"/>
  <c r="A469" i="5"/>
  <c r="L469" i="5" s="1"/>
  <c r="M468" i="5"/>
  <c r="A468" i="5"/>
  <c r="L468" i="5" s="1"/>
  <c r="M467" i="5"/>
  <c r="A467" i="5"/>
  <c r="L467" i="5" s="1"/>
  <c r="M466" i="5"/>
  <c r="A466" i="5"/>
  <c r="M465" i="5"/>
  <c r="A465" i="5"/>
  <c r="L465" i="5" s="1"/>
  <c r="M464" i="5"/>
  <c r="A464" i="5"/>
  <c r="L464" i="5" s="1"/>
  <c r="M463" i="5"/>
  <c r="A463" i="5"/>
  <c r="L463" i="5" s="1"/>
  <c r="M462" i="5"/>
  <c r="A462" i="5"/>
  <c r="L462" i="5" s="1"/>
  <c r="M461" i="5"/>
  <c r="A461" i="5"/>
  <c r="L461" i="5" s="1"/>
  <c r="M460" i="5"/>
  <c r="A460" i="5"/>
  <c r="M459" i="5"/>
  <c r="A459" i="5"/>
  <c r="L459" i="5" s="1"/>
  <c r="M458" i="5"/>
  <c r="A458" i="5"/>
  <c r="L458" i="5" s="1"/>
  <c r="M457" i="5"/>
  <c r="A457" i="5"/>
  <c r="L457" i="5" s="1"/>
  <c r="M456" i="5"/>
  <c r="A456" i="5"/>
  <c r="L456" i="5" s="1"/>
  <c r="M455" i="5"/>
  <c r="A455" i="5"/>
  <c r="L455" i="5" s="1"/>
  <c r="M454" i="5"/>
  <c r="A454" i="5"/>
  <c r="L454" i="5" s="1"/>
  <c r="M453" i="5"/>
  <c r="A453" i="5"/>
  <c r="L453" i="5" s="1"/>
  <c r="M452" i="5"/>
  <c r="A452" i="5"/>
  <c r="L452" i="5" s="1"/>
  <c r="M451" i="5"/>
  <c r="A451" i="5"/>
  <c r="L451" i="5" s="1"/>
  <c r="M450" i="5"/>
  <c r="A450" i="5"/>
  <c r="M449" i="5"/>
  <c r="A449" i="5"/>
  <c r="L449" i="5" s="1"/>
  <c r="M448" i="5"/>
  <c r="A448" i="5"/>
  <c r="L448" i="5" s="1"/>
  <c r="M447" i="5"/>
  <c r="A447" i="5"/>
  <c r="L447" i="5" s="1"/>
  <c r="M446" i="5"/>
  <c r="A446" i="5"/>
  <c r="L446" i="5" s="1"/>
  <c r="M445" i="5"/>
  <c r="A445" i="5"/>
  <c r="L445" i="5" s="1"/>
  <c r="M444" i="5"/>
  <c r="A444" i="5"/>
  <c r="M443" i="5"/>
  <c r="A443" i="5"/>
  <c r="L443" i="5" s="1"/>
  <c r="M442" i="5"/>
  <c r="A442" i="5"/>
  <c r="M441" i="5"/>
  <c r="A441" i="5"/>
  <c r="L441" i="5" s="1"/>
  <c r="M440" i="5"/>
  <c r="A440" i="5"/>
  <c r="L440" i="5" s="1"/>
  <c r="M439" i="5"/>
  <c r="A439" i="5"/>
  <c r="L439" i="5" s="1"/>
  <c r="M438" i="5"/>
  <c r="A438" i="5"/>
  <c r="L438" i="5" s="1"/>
  <c r="M437" i="5"/>
  <c r="A437" i="5"/>
  <c r="L437" i="5" s="1"/>
  <c r="M436" i="5"/>
  <c r="A436" i="5"/>
  <c r="L436" i="5" s="1"/>
  <c r="M435" i="5"/>
  <c r="A435" i="5"/>
  <c r="L435" i="5" s="1"/>
  <c r="M434" i="5"/>
  <c r="A434" i="5"/>
  <c r="L434" i="5" s="1"/>
  <c r="M433" i="5"/>
  <c r="A433" i="5"/>
  <c r="L433" i="5" s="1"/>
  <c r="M432" i="5"/>
  <c r="A432" i="5"/>
  <c r="M431" i="5"/>
  <c r="A431" i="5"/>
  <c r="L431" i="5" s="1"/>
  <c r="M430" i="5"/>
  <c r="A430" i="5"/>
  <c r="L430" i="5" s="1"/>
  <c r="M429" i="5"/>
  <c r="A429" i="5"/>
  <c r="L429" i="5" s="1"/>
  <c r="M428" i="5"/>
  <c r="A428" i="5"/>
  <c r="L428" i="5" s="1"/>
  <c r="M427" i="5"/>
  <c r="A427" i="5"/>
  <c r="L427" i="5" s="1"/>
  <c r="M426" i="5"/>
  <c r="A426" i="5"/>
  <c r="L426" i="5" s="1"/>
  <c r="M425" i="5"/>
  <c r="A425" i="5"/>
  <c r="L425" i="5" s="1"/>
  <c r="M424" i="5"/>
  <c r="A424" i="5"/>
  <c r="M423" i="5"/>
  <c r="A423" i="5"/>
  <c r="L423" i="5" s="1"/>
  <c r="M422" i="5"/>
  <c r="A422" i="5"/>
  <c r="L422" i="5" s="1"/>
  <c r="M421" i="5"/>
  <c r="A421" i="5"/>
  <c r="L421" i="5" s="1"/>
  <c r="M420" i="5"/>
  <c r="A420" i="5"/>
  <c r="L420" i="5" s="1"/>
  <c r="M419" i="5"/>
  <c r="A419" i="5"/>
  <c r="L419" i="5" s="1"/>
  <c r="M418" i="5"/>
  <c r="A418" i="5"/>
  <c r="L418" i="5" s="1"/>
  <c r="M417" i="5"/>
  <c r="A417" i="5"/>
  <c r="L417" i="5" s="1"/>
  <c r="M416" i="5"/>
  <c r="A416" i="5"/>
  <c r="L416" i="5" s="1"/>
  <c r="M415" i="5"/>
  <c r="A415" i="5"/>
  <c r="L415" i="5" s="1"/>
  <c r="M414" i="5"/>
  <c r="A414" i="5"/>
  <c r="L414" i="5" s="1"/>
  <c r="M413" i="5"/>
  <c r="A413" i="5"/>
  <c r="L413" i="5" s="1"/>
  <c r="M412" i="5"/>
  <c r="A412" i="5"/>
  <c r="L412" i="5" s="1"/>
  <c r="M411" i="5"/>
  <c r="A411" i="5"/>
  <c r="L411" i="5" s="1"/>
  <c r="M410" i="5"/>
  <c r="A410" i="5"/>
  <c r="L410" i="5" s="1"/>
  <c r="M409" i="5"/>
  <c r="A409" i="5"/>
  <c r="L409" i="5" s="1"/>
  <c r="M408" i="5"/>
  <c r="A408" i="5"/>
  <c r="L408" i="5" s="1"/>
  <c r="M407" i="5"/>
  <c r="A407" i="5"/>
  <c r="L407" i="5" s="1"/>
  <c r="M406" i="5"/>
  <c r="A406" i="5"/>
  <c r="M405" i="5"/>
  <c r="A405" i="5"/>
  <c r="L405" i="5" s="1"/>
  <c r="M404" i="5"/>
  <c r="A404" i="5"/>
  <c r="L404" i="5" s="1"/>
  <c r="M403" i="5"/>
  <c r="A403" i="5"/>
  <c r="L403" i="5" s="1"/>
  <c r="M402" i="5"/>
  <c r="A402" i="5"/>
  <c r="L402" i="5" s="1"/>
  <c r="M401" i="5"/>
  <c r="A401" i="5"/>
  <c r="L401" i="5" s="1"/>
  <c r="M400" i="5"/>
  <c r="A400" i="5"/>
  <c r="L400" i="5" s="1"/>
  <c r="M399" i="5"/>
  <c r="A399" i="5"/>
  <c r="L399" i="5" s="1"/>
  <c r="M398" i="5"/>
  <c r="A398" i="5"/>
  <c r="L398" i="5" s="1"/>
  <c r="M397" i="5"/>
  <c r="A397" i="5"/>
  <c r="L397" i="5" s="1"/>
  <c r="M396" i="5"/>
  <c r="A396" i="5"/>
  <c r="L396" i="5" s="1"/>
  <c r="M395" i="5"/>
  <c r="A395" i="5"/>
  <c r="L395" i="5" s="1"/>
  <c r="M394" i="5"/>
  <c r="A394" i="5"/>
  <c r="L394" i="5" s="1"/>
  <c r="M393" i="5"/>
  <c r="A393" i="5"/>
  <c r="L393" i="5" s="1"/>
  <c r="M392" i="5"/>
  <c r="A392" i="5"/>
  <c r="L392" i="5" s="1"/>
  <c r="M391" i="5"/>
  <c r="A391" i="5"/>
  <c r="L391" i="5" s="1"/>
  <c r="M390" i="5"/>
  <c r="A390" i="5"/>
  <c r="L390" i="5" s="1"/>
  <c r="M389" i="5"/>
  <c r="A389" i="5"/>
  <c r="L389" i="5" s="1"/>
  <c r="M388" i="5"/>
  <c r="A388" i="5"/>
  <c r="M387" i="5"/>
  <c r="A387" i="5"/>
  <c r="L387" i="5" s="1"/>
  <c r="M386" i="5"/>
  <c r="A386" i="5"/>
  <c r="L386" i="5" s="1"/>
  <c r="M385" i="5"/>
  <c r="A385" i="5"/>
  <c r="L385" i="5" s="1"/>
  <c r="M384" i="5"/>
  <c r="A384" i="5"/>
  <c r="L384" i="5" s="1"/>
  <c r="M383" i="5"/>
  <c r="A383" i="5"/>
  <c r="L383" i="5" s="1"/>
  <c r="M382" i="5"/>
  <c r="A382" i="5"/>
  <c r="L382" i="5" s="1"/>
  <c r="M381" i="5"/>
  <c r="A381" i="5"/>
  <c r="L381" i="5" s="1"/>
  <c r="M380" i="5"/>
  <c r="A380" i="5"/>
  <c r="L380" i="5" s="1"/>
  <c r="M379" i="5"/>
  <c r="A379" i="5"/>
  <c r="L379" i="5" s="1"/>
  <c r="M378" i="5"/>
  <c r="A378" i="5"/>
  <c r="L378" i="5" s="1"/>
  <c r="M377" i="5"/>
  <c r="A377" i="5"/>
  <c r="L377" i="5" s="1"/>
  <c r="M376" i="5"/>
  <c r="A376" i="5"/>
  <c r="L376" i="5" s="1"/>
  <c r="M375" i="5"/>
  <c r="A375" i="5"/>
  <c r="L375" i="5" s="1"/>
  <c r="M374" i="5"/>
  <c r="A374" i="5"/>
  <c r="L374" i="5" s="1"/>
  <c r="M373" i="5"/>
  <c r="A373" i="5"/>
  <c r="L373" i="5" s="1"/>
  <c r="M372" i="5"/>
  <c r="A372" i="5"/>
  <c r="L372" i="5" s="1"/>
  <c r="M371" i="5"/>
  <c r="A371" i="5"/>
  <c r="L371" i="5" s="1"/>
  <c r="M370" i="5"/>
  <c r="A370" i="5"/>
  <c r="M369" i="5"/>
  <c r="A369" i="5"/>
  <c r="L369" i="5" s="1"/>
  <c r="M368" i="5"/>
  <c r="A368" i="5"/>
  <c r="L368" i="5" s="1"/>
  <c r="M367" i="5"/>
  <c r="A367" i="5"/>
  <c r="L367" i="5" s="1"/>
  <c r="M366" i="5"/>
  <c r="A366" i="5"/>
  <c r="L366" i="5" s="1"/>
  <c r="M365" i="5"/>
  <c r="A365" i="5"/>
  <c r="L365" i="5" s="1"/>
  <c r="M364" i="5"/>
  <c r="A364" i="5"/>
  <c r="L364" i="5" s="1"/>
  <c r="M363" i="5"/>
  <c r="A363" i="5"/>
  <c r="L363" i="5" s="1"/>
  <c r="M362" i="5"/>
  <c r="A362" i="5"/>
  <c r="L362" i="5" s="1"/>
  <c r="M361" i="5"/>
  <c r="A361" i="5"/>
  <c r="L361" i="5" s="1"/>
  <c r="M360" i="5"/>
  <c r="A360" i="5"/>
  <c r="L360" i="5" s="1"/>
  <c r="M359" i="5"/>
  <c r="A359" i="5"/>
  <c r="L359" i="5" s="1"/>
  <c r="M358" i="5"/>
  <c r="A358" i="5"/>
  <c r="L358" i="5" s="1"/>
  <c r="M357" i="5"/>
  <c r="A357" i="5"/>
  <c r="L357" i="5" s="1"/>
  <c r="M356" i="5"/>
  <c r="A356" i="5"/>
  <c r="L356" i="5" s="1"/>
  <c r="M355" i="5"/>
  <c r="A355" i="5"/>
  <c r="L355" i="5" s="1"/>
  <c r="M354" i="5"/>
  <c r="A354" i="5"/>
  <c r="L354" i="5" s="1"/>
  <c r="M353" i="5"/>
  <c r="A353" i="5"/>
  <c r="L353" i="5" s="1"/>
  <c r="M352" i="5"/>
  <c r="A352" i="5"/>
  <c r="M351" i="5"/>
  <c r="A351" i="5"/>
  <c r="L351" i="5" s="1"/>
  <c r="M350" i="5"/>
  <c r="A350" i="5"/>
  <c r="L350" i="5" s="1"/>
  <c r="M349" i="5"/>
  <c r="A349" i="5"/>
  <c r="L349" i="5" s="1"/>
  <c r="M348" i="5"/>
  <c r="A348" i="5"/>
  <c r="L348" i="5" s="1"/>
  <c r="M347" i="5"/>
  <c r="A347" i="5"/>
  <c r="L347" i="5" s="1"/>
  <c r="M346" i="5"/>
  <c r="A346" i="5"/>
  <c r="L346" i="5" s="1"/>
  <c r="M345" i="5"/>
  <c r="A345" i="5"/>
  <c r="L345" i="5" s="1"/>
  <c r="M344" i="5"/>
  <c r="A344" i="5"/>
  <c r="L344" i="5" s="1"/>
  <c r="M343" i="5"/>
  <c r="A343" i="5"/>
  <c r="M342" i="5"/>
  <c r="A342" i="5"/>
  <c r="L342" i="5" s="1"/>
  <c r="M341" i="5"/>
  <c r="A341" i="5"/>
  <c r="L341" i="5" s="1"/>
  <c r="M340" i="5"/>
  <c r="A340" i="5"/>
  <c r="L340" i="5" s="1"/>
  <c r="M339" i="5"/>
  <c r="A339" i="5"/>
  <c r="L339" i="5" s="1"/>
  <c r="M338" i="5"/>
  <c r="A338" i="5"/>
  <c r="L338" i="5" s="1"/>
  <c r="M337" i="5"/>
  <c r="A337" i="5"/>
  <c r="L337" i="5" s="1"/>
  <c r="M336" i="5"/>
  <c r="A336" i="5"/>
  <c r="L336" i="5" s="1"/>
  <c r="M335" i="5"/>
  <c r="A335" i="5"/>
  <c r="L335" i="5" s="1"/>
  <c r="M334" i="5"/>
  <c r="A334" i="5"/>
  <c r="M333" i="5"/>
  <c r="A333" i="5"/>
  <c r="L333" i="5" s="1"/>
  <c r="M332" i="5"/>
  <c r="A332" i="5"/>
  <c r="L332" i="5" s="1"/>
  <c r="M331" i="5"/>
  <c r="A331" i="5"/>
  <c r="L331" i="5" s="1"/>
  <c r="M330" i="5"/>
  <c r="A330" i="5"/>
  <c r="L330" i="5" s="1"/>
  <c r="M329" i="5"/>
  <c r="A329" i="5"/>
  <c r="L329" i="5" s="1"/>
  <c r="M328" i="5"/>
  <c r="A328" i="5"/>
  <c r="L328" i="5" s="1"/>
  <c r="M327" i="5"/>
  <c r="A327" i="5"/>
  <c r="L327" i="5" s="1"/>
  <c r="M326" i="5"/>
  <c r="A326" i="5"/>
  <c r="L326" i="5" s="1"/>
  <c r="M325" i="5"/>
  <c r="A325" i="5"/>
  <c r="M324" i="5"/>
  <c r="A324" i="5"/>
  <c r="L324" i="5" s="1"/>
  <c r="M323" i="5"/>
  <c r="A323" i="5"/>
  <c r="L323" i="5" s="1"/>
  <c r="M322" i="5"/>
  <c r="A322" i="5"/>
  <c r="L322" i="5" s="1"/>
  <c r="M321" i="5"/>
  <c r="A321" i="5"/>
  <c r="L321" i="5" s="1"/>
  <c r="M320" i="5"/>
  <c r="A320" i="5"/>
  <c r="L320" i="5" s="1"/>
  <c r="M319" i="5"/>
  <c r="A319" i="5"/>
  <c r="L319" i="5" s="1"/>
  <c r="M318" i="5"/>
  <c r="A318" i="5"/>
  <c r="L318" i="5" s="1"/>
  <c r="M317" i="5"/>
  <c r="A317" i="5"/>
  <c r="L317" i="5" s="1"/>
  <c r="M316" i="5"/>
  <c r="A316" i="5"/>
  <c r="M315" i="5"/>
  <c r="A315" i="5"/>
  <c r="L315" i="5" s="1"/>
  <c r="M314" i="5"/>
  <c r="A314" i="5"/>
  <c r="L314" i="5" s="1"/>
  <c r="M313" i="5"/>
  <c r="A313" i="5"/>
  <c r="M312" i="5"/>
  <c r="A312" i="5"/>
  <c r="L312" i="5" s="1"/>
  <c r="M311" i="5"/>
  <c r="A311" i="5"/>
  <c r="L311" i="5" s="1"/>
  <c r="M310" i="5"/>
  <c r="A310" i="5"/>
  <c r="L310" i="5" s="1"/>
  <c r="M309" i="5"/>
  <c r="A309" i="5"/>
  <c r="L309" i="5" s="1"/>
  <c r="M308" i="5"/>
  <c r="A308" i="5"/>
  <c r="L308" i="5" s="1"/>
  <c r="M307" i="5"/>
  <c r="A307" i="5"/>
  <c r="M306" i="5"/>
  <c r="A306" i="5"/>
  <c r="L306" i="5" s="1"/>
  <c r="M305" i="5"/>
  <c r="A305" i="5"/>
  <c r="L305" i="5" s="1"/>
  <c r="M304" i="5"/>
  <c r="A304" i="5"/>
  <c r="L304" i="5" s="1"/>
  <c r="M303" i="5"/>
  <c r="A303" i="5"/>
  <c r="L303" i="5" s="1"/>
  <c r="M302" i="5"/>
  <c r="A302" i="5"/>
  <c r="L302" i="5" s="1"/>
  <c r="M301" i="5"/>
  <c r="A301" i="5"/>
  <c r="L301" i="5" s="1"/>
  <c r="M300" i="5"/>
  <c r="A300" i="5"/>
  <c r="L300" i="5" s="1"/>
  <c r="M299" i="5"/>
  <c r="A299" i="5"/>
  <c r="L299" i="5" s="1"/>
  <c r="M298" i="5"/>
  <c r="A298" i="5"/>
  <c r="L298" i="5" s="1"/>
  <c r="M297" i="5"/>
  <c r="A297" i="5"/>
  <c r="L297" i="5" s="1"/>
  <c r="M296" i="5"/>
  <c r="A296" i="5"/>
  <c r="L296" i="5" s="1"/>
  <c r="M295" i="5"/>
  <c r="A295" i="5"/>
  <c r="L295" i="5" s="1"/>
  <c r="M294" i="5"/>
  <c r="A294" i="5"/>
  <c r="L294" i="5" s="1"/>
  <c r="M293" i="5"/>
  <c r="A293" i="5"/>
  <c r="L293" i="5" s="1"/>
  <c r="M292" i="5"/>
  <c r="A292" i="5"/>
  <c r="L292" i="5" s="1"/>
  <c r="M291" i="5"/>
  <c r="A291" i="5"/>
  <c r="L291" i="5" s="1"/>
  <c r="M290" i="5"/>
  <c r="A290" i="5"/>
  <c r="L290" i="5" s="1"/>
  <c r="M289" i="5"/>
  <c r="A289" i="5"/>
  <c r="L289" i="5" s="1"/>
  <c r="M288" i="5"/>
  <c r="A288" i="5"/>
  <c r="L288" i="5" s="1"/>
  <c r="M287" i="5"/>
  <c r="A287" i="5"/>
  <c r="L287" i="5" s="1"/>
  <c r="M286" i="5"/>
  <c r="A286" i="5"/>
  <c r="L286" i="5" s="1"/>
  <c r="M285" i="5"/>
  <c r="A285" i="5"/>
  <c r="M284" i="5"/>
  <c r="A284" i="5"/>
  <c r="L284" i="5" s="1"/>
  <c r="M283" i="5"/>
  <c r="A283" i="5"/>
  <c r="L283" i="5" s="1"/>
  <c r="M282" i="5"/>
  <c r="A282" i="5"/>
  <c r="M281" i="5"/>
  <c r="A281" i="5"/>
  <c r="M280" i="5"/>
  <c r="A280" i="5"/>
  <c r="L280" i="5" s="1"/>
  <c r="M279" i="5"/>
  <c r="A279" i="5"/>
  <c r="M278" i="5"/>
  <c r="A278" i="5"/>
  <c r="L278" i="5" s="1"/>
  <c r="M277" i="5"/>
  <c r="A277" i="5"/>
  <c r="M276" i="5"/>
  <c r="A276" i="5"/>
  <c r="M275" i="5"/>
  <c r="A275" i="5"/>
  <c r="M274" i="5"/>
  <c r="A274" i="5"/>
  <c r="L274" i="5" s="1"/>
  <c r="M273" i="5"/>
  <c r="A273" i="5"/>
  <c r="M272" i="5"/>
  <c r="A272" i="5"/>
  <c r="M271" i="5"/>
  <c r="A271" i="5"/>
  <c r="L271" i="5" s="1"/>
  <c r="M270" i="5"/>
  <c r="A270" i="5"/>
  <c r="M269" i="5"/>
  <c r="A269" i="5"/>
  <c r="M268" i="5"/>
  <c r="A268" i="5"/>
  <c r="M267" i="5"/>
  <c r="A267" i="5"/>
  <c r="M266" i="5"/>
  <c r="A266" i="5"/>
  <c r="M265" i="5"/>
  <c r="A265" i="5"/>
  <c r="M264" i="5"/>
  <c r="A264" i="5"/>
  <c r="M263" i="5"/>
  <c r="A263" i="5"/>
  <c r="L263" i="5" s="1"/>
  <c r="M262" i="5"/>
  <c r="A262" i="5"/>
  <c r="M261" i="5"/>
  <c r="A261" i="5"/>
  <c r="M260" i="5"/>
  <c r="A260" i="5"/>
  <c r="L260" i="5" s="1"/>
  <c r="M259" i="5"/>
  <c r="A259" i="5"/>
  <c r="M258" i="5"/>
  <c r="A258" i="5"/>
  <c r="M257" i="5"/>
  <c r="A257" i="5"/>
  <c r="M256" i="5"/>
  <c r="A256" i="5"/>
  <c r="L256" i="5" s="1"/>
  <c r="M255" i="5"/>
  <c r="A255" i="5"/>
  <c r="L255" i="5" s="1"/>
  <c r="M254" i="5"/>
  <c r="A254" i="5"/>
  <c r="M253" i="5"/>
  <c r="A253" i="5"/>
  <c r="L253" i="5" s="1"/>
  <c r="M252" i="5"/>
  <c r="A252" i="5"/>
  <c r="L252" i="5" s="1"/>
  <c r="M251" i="5"/>
  <c r="A251" i="5"/>
  <c r="M250" i="5"/>
  <c r="A250" i="5"/>
  <c r="M249" i="5"/>
  <c r="A249" i="5"/>
  <c r="L249" i="5" s="1"/>
  <c r="M248" i="5"/>
  <c r="A248" i="5"/>
  <c r="L248" i="5" s="1"/>
  <c r="M247" i="5"/>
  <c r="A247" i="5"/>
  <c r="M246" i="5"/>
  <c r="A246" i="5"/>
  <c r="L246" i="5" s="1"/>
  <c r="M245" i="5"/>
  <c r="A245" i="5"/>
  <c r="M244" i="5"/>
  <c r="A244" i="5"/>
  <c r="M243" i="5"/>
  <c r="A243" i="5"/>
  <c r="L243" i="5" s="1"/>
  <c r="M242" i="5"/>
  <c r="A242" i="5"/>
  <c r="L242" i="5" s="1"/>
  <c r="M241" i="5"/>
  <c r="A241" i="5"/>
  <c r="L241" i="5" s="1"/>
  <c r="M240" i="5"/>
  <c r="A240" i="5"/>
  <c r="L240" i="5" s="1"/>
  <c r="M239" i="5"/>
  <c r="A239" i="5"/>
  <c r="M238" i="5"/>
  <c r="A238" i="5"/>
  <c r="M237" i="5"/>
  <c r="A237" i="5"/>
  <c r="L237" i="5" s="1"/>
  <c r="M236" i="5"/>
  <c r="A236" i="5"/>
  <c r="L236" i="5" s="1"/>
  <c r="M235" i="5"/>
  <c r="A235" i="5"/>
  <c r="L235" i="5" s="1"/>
  <c r="M234" i="5"/>
  <c r="A234" i="5"/>
  <c r="L234" i="5" s="1"/>
  <c r="M233" i="5"/>
  <c r="A233" i="5"/>
  <c r="L233" i="5" s="1"/>
  <c r="M232" i="5"/>
  <c r="A232" i="5"/>
  <c r="M231" i="5"/>
  <c r="A231" i="5"/>
  <c r="L231" i="5" s="1"/>
  <c r="M230" i="5"/>
  <c r="A230" i="5"/>
  <c r="L230" i="5" s="1"/>
  <c r="M229" i="5"/>
  <c r="A229" i="5"/>
  <c r="L229" i="5" s="1"/>
  <c r="M228" i="5"/>
  <c r="A228" i="5"/>
  <c r="L228" i="5" s="1"/>
  <c r="M227" i="5"/>
  <c r="A227" i="5"/>
  <c r="M226" i="5"/>
  <c r="A226" i="5"/>
  <c r="M225" i="5"/>
  <c r="A225" i="5"/>
  <c r="L225" i="5" s="1"/>
  <c r="M224" i="5"/>
  <c r="A224" i="5"/>
  <c r="L224" i="5" s="1"/>
  <c r="M223" i="5"/>
  <c r="A223" i="5"/>
  <c r="L223" i="5" s="1"/>
  <c r="M222" i="5"/>
  <c r="A222" i="5"/>
  <c r="L222" i="5" s="1"/>
  <c r="M221" i="5"/>
  <c r="A221" i="5"/>
  <c r="M220" i="5"/>
  <c r="A220" i="5"/>
  <c r="L220" i="5" s="1"/>
  <c r="M219" i="5"/>
  <c r="A219" i="5"/>
  <c r="L219" i="5" s="1"/>
  <c r="M218" i="5"/>
  <c r="A218" i="5"/>
  <c r="M217" i="5"/>
  <c r="A217" i="5"/>
  <c r="M216" i="5"/>
  <c r="A216" i="5"/>
  <c r="L216" i="5" s="1"/>
  <c r="M215" i="5"/>
  <c r="A215" i="5"/>
  <c r="M214" i="5"/>
  <c r="A214" i="5"/>
  <c r="M213" i="5"/>
  <c r="A213" i="5"/>
  <c r="L213" i="5" s="1"/>
  <c r="M212" i="5"/>
  <c r="A212" i="5"/>
  <c r="L212" i="5" s="1"/>
  <c r="M211" i="5"/>
  <c r="A211" i="5"/>
  <c r="M210" i="5"/>
  <c r="A210" i="5"/>
  <c r="L210" i="5" s="1"/>
  <c r="M209" i="5"/>
  <c r="A209" i="5"/>
  <c r="M208" i="5"/>
  <c r="A208" i="5"/>
  <c r="M207" i="5"/>
  <c r="A207" i="5"/>
  <c r="L207" i="5" s="1"/>
  <c r="M206" i="5"/>
  <c r="A206" i="5"/>
  <c r="M205" i="5"/>
  <c r="A205" i="5"/>
  <c r="L205" i="5" s="1"/>
  <c r="M204" i="5"/>
  <c r="A204" i="5"/>
  <c r="L204" i="5" s="1"/>
  <c r="M203" i="5"/>
  <c r="A203" i="5"/>
  <c r="M202" i="5"/>
  <c r="A202" i="5"/>
  <c r="M201" i="5"/>
  <c r="A201" i="5"/>
  <c r="L201" i="5" s="1"/>
  <c r="M200" i="5"/>
  <c r="A200" i="5"/>
  <c r="L200" i="5" s="1"/>
  <c r="M199" i="5"/>
  <c r="A199" i="5"/>
  <c r="M198" i="5"/>
  <c r="A198" i="5"/>
  <c r="L198" i="5" s="1"/>
  <c r="M197" i="5"/>
  <c r="A197" i="5"/>
  <c r="L197" i="5" s="1"/>
  <c r="M196" i="5"/>
  <c r="A196" i="5"/>
  <c r="M195" i="5"/>
  <c r="A195" i="5"/>
  <c r="L195" i="5" s="1"/>
  <c r="M194" i="5"/>
  <c r="A194" i="5"/>
  <c r="M193" i="5"/>
  <c r="A193" i="5"/>
  <c r="L193" i="5" s="1"/>
  <c r="M192" i="5"/>
  <c r="A192" i="5"/>
  <c r="L192" i="5" s="1"/>
  <c r="M191" i="5"/>
  <c r="A191" i="5"/>
  <c r="L191" i="5" s="1"/>
  <c r="M190" i="5"/>
  <c r="A190" i="5"/>
  <c r="M189" i="5"/>
  <c r="A189" i="5"/>
  <c r="L189" i="5" s="1"/>
  <c r="M188" i="5"/>
  <c r="A188" i="5"/>
  <c r="M187" i="5"/>
  <c r="A187" i="5"/>
  <c r="L187" i="5" s="1"/>
  <c r="M186" i="5"/>
  <c r="A186" i="5"/>
  <c r="L186" i="5" s="1"/>
  <c r="M185" i="5"/>
  <c r="A185" i="5"/>
  <c r="M184" i="5"/>
  <c r="A184" i="5"/>
  <c r="L184" i="5" s="1"/>
  <c r="M183" i="5"/>
  <c r="A183" i="5"/>
  <c r="L183" i="5" s="1"/>
  <c r="M182" i="5"/>
  <c r="A182" i="5"/>
  <c r="L182" i="5" s="1"/>
  <c r="M181" i="5"/>
  <c r="A181" i="5"/>
  <c r="L181" i="5" s="1"/>
  <c r="M180" i="5"/>
  <c r="A180" i="5"/>
  <c r="L180" i="5" s="1"/>
  <c r="M179" i="5"/>
  <c r="A179" i="5"/>
  <c r="M178" i="5"/>
  <c r="A178" i="5"/>
  <c r="M177" i="5"/>
  <c r="A177" i="5"/>
  <c r="L177" i="5" s="1"/>
  <c r="M176" i="5"/>
  <c r="A176" i="5"/>
  <c r="L176" i="5" s="1"/>
  <c r="M175" i="5"/>
  <c r="A175" i="5"/>
  <c r="L175" i="5" s="1"/>
  <c r="M174" i="5"/>
  <c r="A174" i="5"/>
  <c r="L174" i="5" s="1"/>
  <c r="M173" i="5"/>
  <c r="A173" i="5"/>
  <c r="L173" i="5" s="1"/>
  <c r="M172" i="5"/>
  <c r="A172" i="5"/>
  <c r="M171" i="5"/>
  <c r="A171" i="5"/>
  <c r="L171" i="5" s="1"/>
  <c r="M170" i="5"/>
  <c r="A170" i="5"/>
  <c r="L170" i="5" s="1"/>
  <c r="M169" i="5"/>
  <c r="A169" i="5"/>
  <c r="M168" i="5"/>
  <c r="A168" i="5"/>
  <c r="L168" i="5" s="1"/>
  <c r="M167" i="5"/>
  <c r="A167" i="5"/>
  <c r="L167" i="5" s="1"/>
  <c r="M166" i="5"/>
  <c r="A166" i="5"/>
  <c r="M165" i="5"/>
  <c r="A165" i="5"/>
  <c r="L165" i="5" s="1"/>
  <c r="M164" i="5"/>
  <c r="A164" i="5"/>
  <c r="M163" i="5"/>
  <c r="A163" i="5"/>
  <c r="L163" i="5" s="1"/>
  <c r="M162" i="5"/>
  <c r="A162" i="5"/>
  <c r="L162" i="5" s="1"/>
  <c r="M161" i="5"/>
  <c r="A161" i="5"/>
  <c r="L161" i="5" s="1"/>
  <c r="M160" i="5"/>
  <c r="A160" i="5"/>
  <c r="M159" i="5"/>
  <c r="A159" i="5"/>
  <c r="L159" i="5" s="1"/>
  <c r="M158" i="5"/>
  <c r="A158" i="5"/>
  <c r="L158" i="5" s="1"/>
  <c r="M157" i="5"/>
  <c r="A157" i="5"/>
  <c r="M156" i="5"/>
  <c r="A156" i="5"/>
  <c r="L156" i="5" s="1"/>
  <c r="M155" i="5"/>
  <c r="A155" i="5"/>
  <c r="L155" i="5" s="1"/>
  <c r="M154" i="5"/>
  <c r="A154" i="5"/>
  <c r="M153" i="5"/>
  <c r="A153" i="5"/>
  <c r="L153" i="5" s="1"/>
  <c r="M152" i="5"/>
  <c r="A152" i="5"/>
  <c r="M151" i="5"/>
  <c r="A151" i="5"/>
  <c r="L151" i="5" s="1"/>
  <c r="M150" i="5"/>
  <c r="A150" i="5"/>
  <c r="L150" i="5" s="1"/>
  <c r="M149" i="5"/>
  <c r="A149" i="5"/>
  <c r="L149" i="5" s="1"/>
  <c r="M148" i="5"/>
  <c r="A148" i="5"/>
  <c r="L148" i="5" s="1"/>
  <c r="M147" i="5"/>
  <c r="A147" i="5"/>
  <c r="L147" i="5" s="1"/>
  <c r="M146" i="5"/>
  <c r="A146" i="5"/>
  <c r="L146" i="5" s="1"/>
  <c r="M145" i="5"/>
  <c r="A145" i="5"/>
  <c r="L145" i="5" s="1"/>
  <c r="M144" i="5"/>
  <c r="A144" i="5"/>
  <c r="L144" i="5" s="1"/>
  <c r="M143" i="5"/>
  <c r="A143" i="5"/>
  <c r="L143" i="5" s="1"/>
  <c r="M142" i="5"/>
  <c r="A142" i="5"/>
  <c r="L142" i="5" s="1"/>
  <c r="M141" i="5"/>
  <c r="A141" i="5"/>
  <c r="L141" i="5" s="1"/>
  <c r="M140" i="5"/>
  <c r="A140" i="5"/>
  <c r="L140" i="5" s="1"/>
  <c r="M139" i="5"/>
  <c r="A139" i="5"/>
  <c r="L139" i="5" s="1"/>
  <c r="M138" i="5"/>
  <c r="A138" i="5"/>
  <c r="L138" i="5" s="1"/>
  <c r="M137" i="5"/>
  <c r="A137" i="5"/>
  <c r="L137" i="5" s="1"/>
  <c r="M136" i="5"/>
  <c r="A136" i="5"/>
  <c r="L136" i="5" s="1"/>
  <c r="M135" i="5"/>
  <c r="A135" i="5"/>
  <c r="L135" i="5" s="1"/>
  <c r="M134" i="5"/>
  <c r="A134" i="5"/>
  <c r="M133" i="5"/>
  <c r="A133" i="5"/>
  <c r="L133" i="5" s="1"/>
  <c r="M132" i="5"/>
  <c r="A132" i="5"/>
  <c r="L132" i="5" s="1"/>
  <c r="M131" i="5"/>
  <c r="A131" i="5"/>
  <c r="L131" i="5" s="1"/>
  <c r="M130" i="5"/>
  <c r="A130" i="5"/>
  <c r="L130" i="5" s="1"/>
  <c r="M129" i="5"/>
  <c r="A129" i="5"/>
  <c r="L129" i="5" s="1"/>
  <c r="M128" i="5"/>
  <c r="A128" i="5"/>
  <c r="L128" i="5" s="1"/>
  <c r="M127" i="5"/>
  <c r="A127" i="5"/>
  <c r="M126" i="5"/>
  <c r="A126" i="5"/>
  <c r="L126" i="5" s="1"/>
  <c r="M125" i="5"/>
  <c r="A125" i="5"/>
  <c r="L125" i="5" s="1"/>
  <c r="M124" i="5"/>
  <c r="A124" i="5"/>
  <c r="L124" i="5" s="1"/>
  <c r="M123" i="5"/>
  <c r="A123" i="5"/>
  <c r="L123" i="5" s="1"/>
  <c r="M122" i="5"/>
  <c r="A122" i="5"/>
  <c r="M121" i="5"/>
  <c r="A121" i="5"/>
  <c r="M120" i="5"/>
  <c r="A120" i="5"/>
  <c r="L120" i="5" s="1"/>
  <c r="M119" i="5"/>
  <c r="A119" i="5"/>
  <c r="L119" i="5" s="1"/>
  <c r="M118" i="5"/>
  <c r="A118" i="5"/>
  <c r="L118" i="5" s="1"/>
  <c r="M117" i="5"/>
  <c r="A117" i="5"/>
  <c r="L117" i="5" s="1"/>
  <c r="M116" i="5"/>
  <c r="A116" i="5"/>
  <c r="M115" i="5"/>
  <c r="A115" i="5"/>
  <c r="L115" i="5" s="1"/>
  <c r="M114" i="5"/>
  <c r="A114" i="5"/>
  <c r="L114" i="5" s="1"/>
  <c r="M113" i="5"/>
  <c r="A113" i="5"/>
  <c r="L113" i="5" s="1"/>
  <c r="M112" i="5"/>
  <c r="A112" i="5"/>
  <c r="L112" i="5" s="1"/>
  <c r="M111" i="5"/>
  <c r="A111" i="5"/>
  <c r="L111" i="5" s="1"/>
  <c r="M110" i="5"/>
  <c r="A110" i="5"/>
  <c r="L110" i="5" s="1"/>
  <c r="M109" i="5"/>
  <c r="A109" i="5"/>
  <c r="L109" i="5" s="1"/>
  <c r="M108" i="5"/>
  <c r="A108" i="5"/>
  <c r="L108" i="5" s="1"/>
  <c r="M107" i="5"/>
  <c r="A107" i="5"/>
  <c r="L107" i="5" s="1"/>
  <c r="M106" i="5"/>
  <c r="A106" i="5"/>
  <c r="L106" i="5" s="1"/>
  <c r="M105" i="5"/>
  <c r="A105" i="5"/>
  <c r="L105" i="5" s="1"/>
  <c r="M104" i="5"/>
  <c r="A104" i="5"/>
  <c r="M103" i="5"/>
  <c r="A103" i="5"/>
  <c r="M102" i="5"/>
  <c r="A102" i="5"/>
  <c r="L102" i="5" s="1"/>
  <c r="M101" i="5"/>
  <c r="A101" i="5"/>
  <c r="L101" i="5" s="1"/>
  <c r="M100" i="5"/>
  <c r="A100" i="5"/>
  <c r="L100" i="5" s="1"/>
  <c r="M99" i="5"/>
  <c r="A99" i="5"/>
  <c r="L99" i="5" s="1"/>
  <c r="M98" i="5"/>
  <c r="A98" i="5"/>
  <c r="L98" i="5" s="1"/>
  <c r="M97" i="5"/>
  <c r="A97" i="5"/>
  <c r="L97" i="5" s="1"/>
  <c r="M96" i="5"/>
  <c r="A96" i="5"/>
  <c r="L96" i="5" s="1"/>
  <c r="M95" i="5"/>
  <c r="A95" i="5"/>
  <c r="L95" i="5" s="1"/>
  <c r="M94" i="5"/>
  <c r="A94" i="5"/>
  <c r="L94" i="5" s="1"/>
  <c r="M93" i="5"/>
  <c r="A93" i="5"/>
  <c r="L93" i="5" s="1"/>
  <c r="M92" i="5"/>
  <c r="A92" i="5"/>
  <c r="M91" i="5"/>
  <c r="A91" i="5"/>
  <c r="L91" i="5" s="1"/>
  <c r="M90" i="5"/>
  <c r="A90" i="5"/>
  <c r="L90" i="5" s="1"/>
  <c r="M89" i="5"/>
  <c r="A89" i="5"/>
  <c r="L89" i="5" s="1"/>
  <c r="M88" i="5"/>
  <c r="A88" i="5"/>
  <c r="L88" i="5" s="1"/>
  <c r="M87" i="5"/>
  <c r="A87" i="5"/>
  <c r="L87" i="5" s="1"/>
  <c r="M86" i="5"/>
  <c r="A86" i="5"/>
  <c r="L86" i="5" s="1"/>
  <c r="M85" i="5"/>
  <c r="A85" i="5"/>
  <c r="M84" i="5"/>
  <c r="A84" i="5"/>
  <c r="M83" i="5"/>
  <c r="A83" i="5"/>
  <c r="L83" i="5" s="1"/>
  <c r="M82" i="5"/>
  <c r="A82" i="5"/>
  <c r="M81" i="5"/>
  <c r="A81" i="5"/>
  <c r="M80" i="5"/>
  <c r="A80" i="5"/>
  <c r="M79" i="5"/>
  <c r="A79" i="5"/>
  <c r="M78" i="5"/>
  <c r="A78" i="5"/>
  <c r="L78" i="5" s="1"/>
  <c r="M77" i="5"/>
  <c r="A77" i="5"/>
  <c r="M76" i="5"/>
  <c r="A76" i="5"/>
  <c r="L76" i="5" s="1"/>
  <c r="M75" i="5"/>
  <c r="A75" i="5"/>
  <c r="L75" i="5" s="1"/>
  <c r="M74" i="5"/>
  <c r="A74" i="5"/>
  <c r="M73" i="5"/>
  <c r="A73" i="5"/>
  <c r="M72" i="5"/>
  <c r="A72" i="5"/>
  <c r="L72" i="5" s="1"/>
  <c r="M71" i="5"/>
  <c r="A71" i="5"/>
  <c r="L71" i="5" s="1"/>
  <c r="M70" i="5"/>
  <c r="A70" i="5"/>
  <c r="L70" i="5" s="1"/>
  <c r="M69" i="5"/>
  <c r="A69" i="5"/>
  <c r="L69" i="5" s="1"/>
  <c r="M68" i="5"/>
  <c r="A68" i="5"/>
  <c r="L68" i="5" s="1"/>
  <c r="M67" i="5"/>
  <c r="A67" i="5"/>
  <c r="L67" i="5" s="1"/>
  <c r="M66" i="5"/>
  <c r="A66" i="5"/>
  <c r="L66" i="5" s="1"/>
  <c r="M65" i="5"/>
  <c r="A65" i="5"/>
  <c r="L65" i="5" s="1"/>
  <c r="M64" i="5"/>
  <c r="A64" i="5"/>
  <c r="L64" i="5" s="1"/>
  <c r="M63" i="5"/>
  <c r="A63" i="5"/>
  <c r="L63" i="5" s="1"/>
  <c r="M62" i="5"/>
  <c r="A62" i="5"/>
  <c r="L62" i="5" s="1"/>
  <c r="M61" i="5"/>
  <c r="A61" i="5"/>
  <c r="L61" i="5" s="1"/>
  <c r="M60" i="5"/>
  <c r="A60" i="5"/>
  <c r="L60" i="5" s="1"/>
  <c r="M59" i="5"/>
  <c r="A59" i="5"/>
  <c r="L59" i="5" s="1"/>
  <c r="M58" i="5"/>
  <c r="A58" i="5"/>
  <c r="M57" i="5"/>
  <c r="A57" i="5"/>
  <c r="M56" i="5"/>
  <c r="A56" i="5"/>
  <c r="L56" i="5" s="1"/>
  <c r="M55" i="5"/>
  <c r="A55" i="5"/>
  <c r="M54" i="5"/>
  <c r="A54" i="5"/>
  <c r="M53" i="5"/>
  <c r="A53" i="5"/>
  <c r="L53" i="5" s="1"/>
  <c r="M52" i="5"/>
  <c r="A52" i="5"/>
  <c r="M51" i="5"/>
  <c r="A51" i="5"/>
  <c r="M50" i="5"/>
  <c r="A50" i="5"/>
  <c r="M49" i="5"/>
  <c r="A49" i="5"/>
  <c r="M48" i="5"/>
  <c r="A48" i="5"/>
  <c r="L48" i="5" s="1"/>
  <c r="M47" i="5"/>
  <c r="A47" i="5"/>
  <c r="M46" i="5"/>
  <c r="A46" i="5"/>
  <c r="M45" i="5"/>
  <c r="A45" i="5"/>
  <c r="L45" i="5" s="1"/>
  <c r="M44" i="5"/>
  <c r="A44" i="5"/>
  <c r="M43" i="5"/>
  <c r="A43" i="5"/>
  <c r="M42" i="5"/>
  <c r="A42" i="5"/>
  <c r="L42" i="5" s="1"/>
  <c r="M41" i="5"/>
  <c r="A41" i="5"/>
  <c r="M40" i="5"/>
  <c r="A40" i="5"/>
  <c r="M39" i="5"/>
  <c r="A39" i="5"/>
  <c r="L39" i="5" s="1"/>
  <c r="M38" i="5"/>
  <c r="A38" i="5"/>
  <c r="M37" i="5"/>
  <c r="A37" i="5"/>
  <c r="M36" i="5"/>
  <c r="A36" i="5"/>
  <c r="L36" i="5" s="1"/>
  <c r="M35" i="5"/>
  <c r="A35" i="5"/>
  <c r="M34" i="5"/>
  <c r="A34" i="5"/>
  <c r="M33" i="5"/>
  <c r="A33" i="5"/>
  <c r="L33" i="5" s="1"/>
  <c r="M32" i="5"/>
  <c r="A32" i="5"/>
  <c r="M31" i="5"/>
  <c r="A31" i="5"/>
  <c r="M30" i="5"/>
  <c r="A30" i="5"/>
  <c r="L30" i="5" s="1"/>
  <c r="M29" i="5"/>
  <c r="A29" i="5"/>
  <c r="M28" i="5"/>
  <c r="A28" i="5"/>
  <c r="M27" i="5"/>
  <c r="A27" i="5"/>
  <c r="L27" i="5" s="1"/>
  <c r="M26" i="5"/>
  <c r="A26" i="5"/>
  <c r="M25" i="5"/>
  <c r="A25" i="5"/>
  <c r="M24" i="5"/>
  <c r="A24" i="5"/>
  <c r="L24" i="5" s="1"/>
  <c r="M23" i="5"/>
  <c r="A23" i="5"/>
  <c r="M22" i="5"/>
  <c r="A22" i="5"/>
  <c r="M21" i="5"/>
  <c r="A21" i="5"/>
  <c r="L21" i="5" s="1"/>
  <c r="M20" i="5"/>
  <c r="A20" i="5"/>
  <c r="M19" i="5"/>
  <c r="A19" i="5"/>
  <c r="M18" i="5"/>
  <c r="A18" i="5"/>
  <c r="L18" i="5" s="1"/>
  <c r="M17" i="5"/>
  <c r="A17" i="5"/>
  <c r="M16" i="5"/>
  <c r="A16" i="5"/>
  <c r="M15" i="5"/>
  <c r="A15" i="5"/>
  <c r="L15" i="5" s="1"/>
  <c r="M14" i="5"/>
  <c r="A14" i="5"/>
  <c r="M13" i="5"/>
  <c r="M12" i="5"/>
  <c r="A12" i="5"/>
  <c r="L12" i="5" s="1"/>
  <c r="M11" i="5"/>
  <c r="A11" i="5"/>
  <c r="M10" i="5"/>
  <c r="A10" i="5"/>
  <c r="M9" i="5"/>
  <c r="A9" i="5"/>
  <c r="L9" i="5" s="1"/>
  <c r="M8" i="5"/>
  <c r="A8" i="5"/>
  <c r="M7" i="5"/>
  <c r="A7" i="5"/>
  <c r="M6" i="5"/>
  <c r="A6" i="5"/>
  <c r="L6" i="5" s="1"/>
  <c r="M5" i="5"/>
  <c r="A5" i="5"/>
  <c r="M4" i="5"/>
  <c r="A4" i="5"/>
  <c r="M3" i="5"/>
  <c r="A3" i="5"/>
  <c r="L3" i="5" s="1"/>
  <c r="M2" i="5"/>
  <c r="A2" i="5"/>
  <c r="D14" i="3"/>
  <c r="D12" i="3"/>
  <c r="B12" i="3"/>
  <c r="A12" i="3"/>
  <c r="D11" i="3"/>
  <c r="B11" i="3"/>
  <c r="A11" i="3"/>
  <c r="D10" i="3"/>
  <c r="B10" i="3"/>
  <c r="A10" i="3"/>
  <c r="D9" i="3"/>
  <c r="B9" i="3"/>
  <c r="A9" i="3"/>
  <c r="D8" i="3"/>
  <c r="B8" i="3"/>
  <c r="A8" i="3"/>
  <c r="D7" i="3"/>
  <c r="B7" i="3"/>
  <c r="E6" i="3"/>
  <c r="D6" i="3"/>
  <c r="B6" i="3"/>
  <c r="N1275" i="5" l="1"/>
  <c r="N1281" i="5"/>
  <c r="N1287" i="5"/>
  <c r="N1293" i="5"/>
  <c r="N795" i="5"/>
  <c r="N801" i="5"/>
  <c r="N807" i="5"/>
  <c r="N813" i="5"/>
  <c r="N819" i="5"/>
  <c r="N825" i="5"/>
  <c r="N831" i="5"/>
  <c r="N837" i="5"/>
  <c r="N843" i="5"/>
  <c r="N849" i="5"/>
  <c r="N855" i="5"/>
  <c r="N861" i="5"/>
  <c r="N867" i="5"/>
  <c r="N873" i="5"/>
  <c r="N879" i="5"/>
  <c r="N885" i="5"/>
  <c r="N891" i="5"/>
  <c r="N897" i="5"/>
  <c r="N903" i="5"/>
  <c r="N909" i="5"/>
  <c r="N915" i="5"/>
  <c r="N921" i="5"/>
  <c r="N927" i="5"/>
  <c r="N933" i="5"/>
  <c r="N939" i="5"/>
  <c r="N945" i="5"/>
  <c r="N951" i="5"/>
  <c r="N957" i="5"/>
  <c r="N963" i="5"/>
  <c r="N969" i="5"/>
  <c r="N975" i="5"/>
  <c r="N981" i="5"/>
  <c r="N987" i="5"/>
  <c r="N993" i="5"/>
  <c r="N999" i="5"/>
  <c r="N1005" i="5"/>
  <c r="N1011" i="5"/>
  <c r="N1017" i="5"/>
  <c r="N1023" i="5"/>
  <c r="N1029" i="5"/>
  <c r="N1035" i="5"/>
  <c r="N1041" i="5"/>
  <c r="N1047" i="5"/>
  <c r="N1053" i="5"/>
  <c r="N1059" i="5"/>
  <c r="N1065" i="5"/>
  <c r="N1071" i="5"/>
  <c r="N1077" i="5"/>
  <c r="N1083" i="5"/>
  <c r="N1089" i="5"/>
  <c r="N1095" i="5"/>
  <c r="N1101" i="5"/>
  <c r="N1107" i="5"/>
  <c r="N1113" i="5"/>
  <c r="N1119" i="5"/>
  <c r="N1125" i="5"/>
  <c r="N1131" i="5"/>
  <c r="N1137" i="5"/>
  <c r="N1143" i="5"/>
  <c r="N1149" i="5"/>
  <c r="N1155" i="5"/>
  <c r="N1161" i="5"/>
  <c r="N1167" i="5"/>
  <c r="N1173" i="5"/>
  <c r="N1179" i="5"/>
  <c r="N1185" i="5"/>
  <c r="N1191" i="5"/>
  <c r="N1197" i="5"/>
  <c r="N1203" i="5"/>
  <c r="N1209" i="5"/>
  <c r="N1215" i="5"/>
  <c r="N1221" i="5"/>
  <c r="N1227" i="5"/>
  <c r="N1233" i="5"/>
  <c r="N1239" i="5"/>
  <c r="N1245" i="5"/>
  <c r="N1251" i="5"/>
  <c r="N1257" i="5"/>
  <c r="N1263" i="5"/>
  <c r="N1269" i="5"/>
  <c r="N1290" i="5"/>
  <c r="N1296" i="5"/>
  <c r="N1271" i="5"/>
  <c r="N1277" i="5"/>
  <c r="N1283" i="5"/>
  <c r="N1289" i="5"/>
  <c r="N1295" i="5"/>
  <c r="N309" i="5"/>
  <c r="N315" i="5"/>
  <c r="N321" i="5"/>
  <c r="N327" i="5"/>
  <c r="N333" i="5"/>
  <c r="N339" i="5"/>
  <c r="N345" i="5"/>
  <c r="N351" i="5"/>
  <c r="N357" i="5"/>
  <c r="N363" i="5"/>
  <c r="N369" i="5"/>
  <c r="N375" i="5"/>
  <c r="N381" i="5"/>
  <c r="N387" i="5"/>
  <c r="N393" i="5"/>
  <c r="N399" i="5"/>
  <c r="N405" i="5"/>
  <c r="N411" i="5"/>
  <c r="N417" i="5"/>
  <c r="N423" i="5"/>
  <c r="N429" i="5"/>
  <c r="N435" i="5"/>
  <c r="N441" i="5"/>
  <c r="N447" i="5"/>
  <c r="N453" i="5"/>
  <c r="N459" i="5"/>
  <c r="N465" i="5"/>
  <c r="N471" i="5"/>
  <c r="N477" i="5"/>
  <c r="N483" i="5"/>
  <c r="N489" i="5"/>
  <c r="N495" i="5"/>
  <c r="N501" i="5"/>
  <c r="N507" i="5"/>
  <c r="N513" i="5"/>
  <c r="N519" i="5"/>
  <c r="N525" i="5"/>
  <c r="N531" i="5"/>
  <c r="N537" i="5"/>
  <c r="N543" i="5"/>
  <c r="N549" i="5"/>
  <c r="N555" i="5"/>
  <c r="N561" i="5"/>
  <c r="N567" i="5"/>
  <c r="N573" i="5"/>
  <c r="N579" i="5"/>
  <c r="N585" i="5"/>
  <c r="N591" i="5"/>
  <c r="N597" i="5"/>
  <c r="N603" i="5"/>
  <c r="N609" i="5"/>
  <c r="N615" i="5"/>
  <c r="N621" i="5"/>
  <c r="N627" i="5"/>
  <c r="N633" i="5"/>
  <c r="N639" i="5"/>
  <c r="N645" i="5"/>
  <c r="N651" i="5"/>
  <c r="N657" i="5"/>
  <c r="N663" i="5"/>
  <c r="N669" i="5"/>
  <c r="N675" i="5"/>
  <c r="N681" i="5"/>
  <c r="N687" i="5"/>
  <c r="N693" i="5"/>
  <c r="N699" i="5"/>
  <c r="N705" i="5"/>
  <c r="N711" i="5"/>
  <c r="N717" i="5"/>
  <c r="N723" i="5"/>
  <c r="N729" i="5"/>
  <c r="N735" i="5"/>
  <c r="N741" i="5"/>
  <c r="N747" i="5"/>
  <c r="N753" i="5"/>
  <c r="N759" i="5"/>
  <c r="N765" i="5"/>
  <c r="N771" i="5"/>
  <c r="N777" i="5"/>
  <c r="N783" i="5"/>
  <c r="N789" i="5"/>
  <c r="N1006" i="5"/>
  <c r="N1012" i="5"/>
  <c r="N1018" i="5"/>
  <c r="N1024" i="5"/>
  <c r="N1030" i="5"/>
  <c r="N1036" i="5"/>
  <c r="N1042" i="5"/>
  <c r="N1048" i="5"/>
  <c r="N1054" i="5"/>
  <c r="N1060" i="5"/>
  <c r="N1066" i="5"/>
  <c r="N1072" i="5"/>
  <c r="N1078" i="5"/>
  <c r="N1084" i="5"/>
  <c r="N1090" i="5"/>
  <c r="N1096" i="5"/>
  <c r="N1102" i="5"/>
  <c r="N1108" i="5"/>
  <c r="N1114" i="5"/>
  <c r="N1120" i="5"/>
  <c r="N1126" i="5"/>
  <c r="N1132" i="5"/>
  <c r="N1138" i="5"/>
  <c r="N1144" i="5"/>
  <c r="N1150" i="5"/>
  <c r="N1156" i="5"/>
  <c r="N1162" i="5"/>
  <c r="N1168" i="5"/>
  <c r="N1174" i="5"/>
  <c r="N1180" i="5"/>
  <c r="N1186" i="5"/>
  <c r="N1192" i="5"/>
  <c r="N1198" i="5"/>
  <c r="N1204" i="5"/>
  <c r="N1210" i="5"/>
  <c r="N1216" i="5"/>
  <c r="N1222" i="5"/>
  <c r="N1228" i="5"/>
  <c r="N1234" i="5"/>
  <c r="N1240" i="5"/>
  <c r="N1246" i="5"/>
  <c r="N1252" i="5"/>
  <c r="N1258" i="5"/>
  <c r="N1264" i="5"/>
  <c r="N1270" i="5"/>
  <c r="N1276" i="5"/>
  <c r="N1282" i="5"/>
  <c r="N1288" i="5"/>
  <c r="N1294" i="5"/>
  <c r="N1001" i="5"/>
  <c r="N1007" i="5"/>
  <c r="N1013" i="5"/>
  <c r="N1019" i="5"/>
  <c r="N1025" i="5"/>
  <c r="N1031" i="5"/>
  <c r="N1037" i="5"/>
  <c r="N1043" i="5"/>
  <c r="N1049" i="5"/>
  <c r="N1055" i="5"/>
  <c r="N1061" i="5"/>
  <c r="N1067" i="5"/>
  <c r="N1073" i="5"/>
  <c r="N1079" i="5"/>
  <c r="N1085" i="5"/>
  <c r="N1091" i="5"/>
  <c r="N1097" i="5"/>
  <c r="N1103" i="5"/>
  <c r="N1109" i="5"/>
  <c r="N1115" i="5"/>
  <c r="N1121" i="5"/>
  <c r="N1127" i="5"/>
  <c r="N1133" i="5"/>
  <c r="N1139" i="5"/>
  <c r="N1145" i="5"/>
  <c r="N1151" i="5"/>
  <c r="N1157" i="5"/>
  <c r="N1163" i="5"/>
  <c r="N1169" i="5"/>
  <c r="N1175" i="5"/>
  <c r="N1181" i="5"/>
  <c r="N1187" i="5"/>
  <c r="N1193" i="5"/>
  <c r="N1199" i="5"/>
  <c r="N1205" i="5"/>
  <c r="N1211" i="5"/>
  <c r="N1217" i="5"/>
  <c r="N1223" i="5"/>
  <c r="N1229" i="5"/>
  <c r="N1235" i="5"/>
  <c r="N1241" i="5"/>
  <c r="N1247" i="5"/>
  <c r="N1253" i="5"/>
  <c r="N1259" i="5"/>
  <c r="N1265" i="5"/>
  <c r="N1002" i="5"/>
  <c r="N1008" i="5"/>
  <c r="N1014" i="5"/>
  <c r="N1020" i="5"/>
  <c r="N1026" i="5"/>
  <c r="N1032" i="5"/>
  <c r="N1038" i="5"/>
  <c r="N1044" i="5"/>
  <c r="N1050" i="5"/>
  <c r="N1056" i="5"/>
  <c r="N1062" i="5"/>
  <c r="N1068" i="5"/>
  <c r="N1074" i="5"/>
  <c r="N1080" i="5"/>
  <c r="N1086" i="5"/>
  <c r="N1092" i="5"/>
  <c r="N1098" i="5"/>
  <c r="N1104" i="5"/>
  <c r="N1110" i="5"/>
  <c r="N1116" i="5"/>
  <c r="N1122" i="5"/>
  <c r="N1128" i="5"/>
  <c r="N1134" i="5"/>
  <c r="N1140" i="5"/>
  <c r="N1146" i="5"/>
  <c r="N1152" i="5"/>
  <c r="N1158" i="5"/>
  <c r="N1164" i="5"/>
  <c r="N1170" i="5"/>
  <c r="N1176" i="5"/>
  <c r="N1182" i="5"/>
  <c r="N1188" i="5"/>
  <c r="N1194" i="5"/>
  <c r="N1200" i="5"/>
  <c r="N1206" i="5"/>
  <c r="N1212" i="5"/>
  <c r="N1218" i="5"/>
  <c r="N1224" i="5"/>
  <c r="N1230" i="5"/>
  <c r="N1236" i="5"/>
  <c r="N1242" i="5"/>
  <c r="N1248" i="5"/>
  <c r="N1254" i="5"/>
  <c r="N1260" i="5"/>
  <c r="N1266" i="5"/>
  <c r="N1272" i="5"/>
  <c r="N1278" i="5"/>
  <c r="N1284" i="5"/>
  <c r="N1003" i="5"/>
  <c r="N1009" i="5"/>
  <c r="N1015" i="5"/>
  <c r="N1021" i="5"/>
  <c r="N1027" i="5"/>
  <c r="N1033" i="5"/>
  <c r="N1039" i="5"/>
  <c r="N1045" i="5"/>
  <c r="N1051" i="5"/>
  <c r="N1057" i="5"/>
  <c r="N1063" i="5"/>
  <c r="N1069" i="5"/>
  <c r="N1075" i="5"/>
  <c r="N1081" i="5"/>
  <c r="N1087" i="5"/>
  <c r="N1093" i="5"/>
  <c r="N1099" i="5"/>
  <c r="N1105" i="5"/>
  <c r="N1111" i="5"/>
  <c r="N1117" i="5"/>
  <c r="N1123" i="5"/>
  <c r="N1129" i="5"/>
  <c r="N1135" i="5"/>
  <c r="N1141" i="5"/>
  <c r="N1147" i="5"/>
  <c r="N1153" i="5"/>
  <c r="N1159" i="5"/>
  <c r="N1165" i="5"/>
  <c r="N1171" i="5"/>
  <c r="N1177" i="5"/>
  <c r="N1183" i="5"/>
  <c r="N1189" i="5"/>
  <c r="N1195" i="5"/>
  <c r="N1201" i="5"/>
  <c r="N1207" i="5"/>
  <c r="N1213" i="5"/>
  <c r="N1219" i="5"/>
  <c r="N1225" i="5"/>
  <c r="N1231" i="5"/>
  <c r="N1237" i="5"/>
  <c r="N1243" i="5"/>
  <c r="N1249" i="5"/>
  <c r="N1255" i="5"/>
  <c r="N1261" i="5"/>
  <c r="N1267" i="5"/>
  <c r="N1273" i="5"/>
  <c r="N1279" i="5"/>
  <c r="N1285" i="5"/>
  <c r="N1291" i="5"/>
  <c r="N1004" i="5"/>
  <c r="N1010" i="5"/>
  <c r="N1016" i="5"/>
  <c r="N1022" i="5"/>
  <c r="N1028" i="5"/>
  <c r="N1034" i="5"/>
  <c r="N1040" i="5"/>
  <c r="N1046" i="5"/>
  <c r="N1052" i="5"/>
  <c r="N1058" i="5"/>
  <c r="N1064" i="5"/>
  <c r="N1070" i="5"/>
  <c r="N1076" i="5"/>
  <c r="N1082" i="5"/>
  <c r="N1088" i="5"/>
  <c r="N1094" i="5"/>
  <c r="N1100" i="5"/>
  <c r="N1106" i="5"/>
  <c r="N1112" i="5"/>
  <c r="N1118" i="5"/>
  <c r="N1124" i="5"/>
  <c r="N1130" i="5"/>
  <c r="N1136" i="5"/>
  <c r="N1142" i="5"/>
  <c r="N1148" i="5"/>
  <c r="N1154" i="5"/>
  <c r="N1160" i="5"/>
  <c r="N1166" i="5"/>
  <c r="N1172" i="5"/>
  <c r="N1178" i="5"/>
  <c r="N1184" i="5"/>
  <c r="N1190" i="5"/>
  <c r="N1196" i="5"/>
  <c r="N1202" i="5"/>
  <c r="N1208" i="5"/>
  <c r="N1214" i="5"/>
  <c r="N1220" i="5"/>
  <c r="N1226" i="5"/>
  <c r="N1232" i="5"/>
  <c r="N1238" i="5"/>
  <c r="N1244" i="5"/>
  <c r="N1250" i="5"/>
  <c r="N1256" i="5"/>
  <c r="N1262" i="5"/>
  <c r="N1268" i="5"/>
  <c r="N1274" i="5"/>
  <c r="N1280" i="5"/>
  <c r="N1286" i="5"/>
  <c r="N1292" i="5"/>
  <c r="N57" i="5"/>
  <c r="N93" i="5"/>
  <c r="N153" i="5"/>
  <c r="N213" i="5"/>
  <c r="N273" i="5"/>
  <c r="N117" i="5"/>
  <c r="N189" i="5"/>
  <c r="N237" i="5"/>
  <c r="N303" i="5"/>
  <c r="N22" i="5"/>
  <c r="N28" i="5"/>
  <c r="N34" i="5"/>
  <c r="N40" i="5"/>
  <c r="N46" i="5"/>
  <c r="N52" i="5"/>
  <c r="N58" i="5"/>
  <c r="N64" i="5"/>
  <c r="N70" i="5"/>
  <c r="N76" i="5"/>
  <c r="N63" i="5"/>
  <c r="N129" i="5"/>
  <c r="N165" i="5"/>
  <c r="N219" i="5"/>
  <c r="N279" i="5"/>
  <c r="N45" i="5"/>
  <c r="N75" i="5"/>
  <c r="N135" i="5"/>
  <c r="N195" i="5"/>
  <c r="N255" i="5"/>
  <c r="N297" i="5"/>
  <c r="N17" i="5"/>
  <c r="N23" i="5"/>
  <c r="N29" i="5"/>
  <c r="N35" i="5"/>
  <c r="N41" i="5"/>
  <c r="N47" i="5"/>
  <c r="N53" i="5"/>
  <c r="N59" i="5"/>
  <c r="N65" i="5"/>
  <c r="N71" i="5"/>
  <c r="N77" i="5"/>
  <c r="N83" i="5"/>
  <c r="N89" i="5"/>
  <c r="N95" i="5"/>
  <c r="N101" i="5"/>
  <c r="N21" i="5"/>
  <c r="N99" i="5"/>
  <c r="N171" i="5"/>
  <c r="N231" i="5"/>
  <c r="N291" i="5"/>
  <c r="N27" i="5"/>
  <c r="N105" i="5"/>
  <c r="N183" i="5"/>
  <c r="N249" i="5"/>
  <c r="N51" i="5"/>
  <c r="N87" i="5"/>
  <c r="N147" i="5"/>
  <c r="N207" i="5"/>
  <c r="N267" i="5"/>
  <c r="N39" i="5"/>
  <c r="N111" i="5"/>
  <c r="N177" i="5"/>
  <c r="N243" i="5"/>
  <c r="N69" i="5"/>
  <c r="N123" i="5"/>
  <c r="N159" i="5"/>
  <c r="N225" i="5"/>
  <c r="N285" i="5"/>
  <c r="N33" i="5"/>
  <c r="N81" i="5"/>
  <c r="N141" i="5"/>
  <c r="N201" i="5"/>
  <c r="N261" i="5"/>
  <c r="N20" i="5"/>
  <c r="N82" i="5"/>
  <c r="N88" i="5"/>
  <c r="N94" i="5"/>
  <c r="N100" i="5"/>
  <c r="N106" i="5"/>
  <c r="N112" i="5"/>
  <c r="N118" i="5"/>
  <c r="N124" i="5"/>
  <c r="N130" i="5"/>
  <c r="N136" i="5"/>
  <c r="N142" i="5"/>
  <c r="N148" i="5"/>
  <c r="N154" i="5"/>
  <c r="N160" i="5"/>
  <c r="N166" i="5"/>
  <c r="N172" i="5"/>
  <c r="N178" i="5"/>
  <c r="N184" i="5"/>
  <c r="N190" i="5"/>
  <c r="N196" i="5"/>
  <c r="N202" i="5"/>
  <c r="N208" i="5"/>
  <c r="N214" i="5"/>
  <c r="N220" i="5"/>
  <c r="N226" i="5"/>
  <c r="N232" i="5"/>
  <c r="N238" i="5"/>
  <c r="N244" i="5"/>
  <c r="N250" i="5"/>
  <c r="N256" i="5"/>
  <c r="N262" i="5"/>
  <c r="N268" i="5"/>
  <c r="N274" i="5"/>
  <c r="N280" i="5"/>
  <c r="N286" i="5"/>
  <c r="N292" i="5"/>
  <c r="N298" i="5"/>
  <c r="N304" i="5"/>
  <c r="N310" i="5"/>
  <c r="N316" i="5"/>
  <c r="N322" i="5"/>
  <c r="N328" i="5"/>
  <c r="N334" i="5"/>
  <c r="N340" i="5"/>
  <c r="N346" i="5"/>
  <c r="N352" i="5"/>
  <c r="N358" i="5"/>
  <c r="N364" i="5"/>
  <c r="N370" i="5"/>
  <c r="N376" i="5"/>
  <c r="N382" i="5"/>
  <c r="N388" i="5"/>
  <c r="N394" i="5"/>
  <c r="N400" i="5"/>
  <c r="N406" i="5"/>
  <c r="N412" i="5"/>
  <c r="N418" i="5"/>
  <c r="N424" i="5"/>
  <c r="N430" i="5"/>
  <c r="N436" i="5"/>
  <c r="N442" i="5"/>
  <c r="N448" i="5"/>
  <c r="N454" i="5"/>
  <c r="N460" i="5"/>
  <c r="N466" i="5"/>
  <c r="N472" i="5"/>
  <c r="N478" i="5"/>
  <c r="N484" i="5"/>
  <c r="N490" i="5"/>
  <c r="N496" i="5"/>
  <c r="N502" i="5"/>
  <c r="N508" i="5"/>
  <c r="N514" i="5"/>
  <c r="N520" i="5"/>
  <c r="N526" i="5"/>
  <c r="N532" i="5"/>
  <c r="N107" i="5"/>
  <c r="N113" i="5"/>
  <c r="N119" i="5"/>
  <c r="N125" i="5"/>
  <c r="N131" i="5"/>
  <c r="N137" i="5"/>
  <c r="N143" i="5"/>
  <c r="N149" i="5"/>
  <c r="N155" i="5"/>
  <c r="N161" i="5"/>
  <c r="N167" i="5"/>
  <c r="N173" i="5"/>
  <c r="N179" i="5"/>
  <c r="N185" i="5"/>
  <c r="N191" i="5"/>
  <c r="N197" i="5"/>
  <c r="N203" i="5"/>
  <c r="N209" i="5"/>
  <c r="N215" i="5"/>
  <c r="N221" i="5"/>
  <c r="N227" i="5"/>
  <c r="N233" i="5"/>
  <c r="N239" i="5"/>
  <c r="N245" i="5"/>
  <c r="N251" i="5"/>
  <c r="N257" i="5"/>
  <c r="N263" i="5"/>
  <c r="N269" i="5"/>
  <c r="N275" i="5"/>
  <c r="N281" i="5"/>
  <c r="N287" i="5"/>
  <c r="N293" i="5"/>
  <c r="N299" i="5"/>
  <c r="N305" i="5"/>
  <c r="N311" i="5"/>
  <c r="N317" i="5"/>
  <c r="N323" i="5"/>
  <c r="N329" i="5"/>
  <c r="N335" i="5"/>
  <c r="N341" i="5"/>
  <c r="N347" i="5"/>
  <c r="N353" i="5"/>
  <c r="N359" i="5"/>
  <c r="N365" i="5"/>
  <c r="N371" i="5"/>
  <c r="N377" i="5"/>
  <c r="N383" i="5"/>
  <c r="N389" i="5"/>
  <c r="N395" i="5"/>
  <c r="N401" i="5"/>
  <c r="N407" i="5"/>
  <c r="N413" i="5"/>
  <c r="N419" i="5"/>
  <c r="N425" i="5"/>
  <c r="N431" i="5"/>
  <c r="N437" i="5"/>
  <c r="N443" i="5"/>
  <c r="N449" i="5"/>
  <c r="N455" i="5"/>
  <c r="N461" i="5"/>
  <c r="N467" i="5"/>
  <c r="N473" i="5"/>
  <c r="N479" i="5"/>
  <c r="N485" i="5"/>
  <c r="N491" i="5"/>
  <c r="N497" i="5"/>
  <c r="N503" i="5"/>
  <c r="N509" i="5"/>
  <c r="N515" i="5"/>
  <c r="N521" i="5"/>
  <c r="N527" i="5"/>
  <c r="N533" i="5"/>
  <c r="N539" i="5"/>
  <c r="N545" i="5"/>
  <c r="N551" i="5"/>
  <c r="N557" i="5"/>
  <c r="N563" i="5"/>
  <c r="N569" i="5"/>
  <c r="N575" i="5"/>
  <c r="N581" i="5"/>
  <c r="N587" i="5"/>
  <c r="N593" i="5"/>
  <c r="N18" i="5"/>
  <c r="N24" i="5"/>
  <c r="N30" i="5"/>
  <c r="N36" i="5"/>
  <c r="N42" i="5"/>
  <c r="N48" i="5"/>
  <c r="N54" i="5"/>
  <c r="N60" i="5"/>
  <c r="N66" i="5"/>
  <c r="N72" i="5"/>
  <c r="N78" i="5"/>
  <c r="N84" i="5"/>
  <c r="N90" i="5"/>
  <c r="N96" i="5"/>
  <c r="N102" i="5"/>
  <c r="N108" i="5"/>
  <c r="N114" i="5"/>
  <c r="N120" i="5"/>
  <c r="N126" i="5"/>
  <c r="N132" i="5"/>
  <c r="N138" i="5"/>
  <c r="N144" i="5"/>
  <c r="N150" i="5"/>
  <c r="N156" i="5"/>
  <c r="N162" i="5"/>
  <c r="N168" i="5"/>
  <c r="N174" i="5"/>
  <c r="N180" i="5"/>
  <c r="N186" i="5"/>
  <c r="N192" i="5"/>
  <c r="N198" i="5"/>
  <c r="N204" i="5"/>
  <c r="N210" i="5"/>
  <c r="N216" i="5"/>
  <c r="N222" i="5"/>
  <c r="N228" i="5"/>
  <c r="N234" i="5"/>
  <c r="N240" i="5"/>
  <c r="N246" i="5"/>
  <c r="N252" i="5"/>
  <c r="N258" i="5"/>
  <c r="N264" i="5"/>
  <c r="N270" i="5"/>
  <c r="N276" i="5"/>
  <c r="N282" i="5"/>
  <c r="N288" i="5"/>
  <c r="N294" i="5"/>
  <c r="N300" i="5"/>
  <c r="N306" i="5"/>
  <c r="N312" i="5"/>
  <c r="N318" i="5"/>
  <c r="N324" i="5"/>
  <c r="N330" i="5"/>
  <c r="N336" i="5"/>
  <c r="N342" i="5"/>
  <c r="N348" i="5"/>
  <c r="N354" i="5"/>
  <c r="N360" i="5"/>
  <c r="N366" i="5"/>
  <c r="N372" i="5"/>
  <c r="N378" i="5"/>
  <c r="N384" i="5"/>
  <c r="N390" i="5"/>
  <c r="N396" i="5"/>
  <c r="N402" i="5"/>
  <c r="N408" i="5"/>
  <c r="N414" i="5"/>
  <c r="N420" i="5"/>
  <c r="N426" i="5"/>
  <c r="N432" i="5"/>
  <c r="N438" i="5"/>
  <c r="N444" i="5"/>
  <c r="N450" i="5"/>
  <c r="N456" i="5"/>
  <c r="N462" i="5"/>
  <c r="N468" i="5"/>
  <c r="N474" i="5"/>
  <c r="N480" i="5"/>
  <c r="N486" i="5"/>
  <c r="N19" i="5"/>
  <c r="N25" i="5"/>
  <c r="N31" i="5"/>
  <c r="N37" i="5"/>
  <c r="N43" i="5"/>
  <c r="N49" i="5"/>
  <c r="N55" i="5"/>
  <c r="N61" i="5"/>
  <c r="N67" i="5"/>
  <c r="N73" i="5"/>
  <c r="N79" i="5"/>
  <c r="N85" i="5"/>
  <c r="N91" i="5"/>
  <c r="N97" i="5"/>
  <c r="N103" i="5"/>
  <c r="N109" i="5"/>
  <c r="N115" i="5"/>
  <c r="N121" i="5"/>
  <c r="N127" i="5"/>
  <c r="N133" i="5"/>
  <c r="N139" i="5"/>
  <c r="N145" i="5"/>
  <c r="N151" i="5"/>
  <c r="N157" i="5"/>
  <c r="N163" i="5"/>
  <c r="N169" i="5"/>
  <c r="N175" i="5"/>
  <c r="N181" i="5"/>
  <c r="N187" i="5"/>
  <c r="N193" i="5"/>
  <c r="N199" i="5"/>
  <c r="N205" i="5"/>
  <c r="N211" i="5"/>
  <c r="N217" i="5"/>
  <c r="N223" i="5"/>
  <c r="N229" i="5"/>
  <c r="N235" i="5"/>
  <c r="N241" i="5"/>
  <c r="N247" i="5"/>
  <c r="N253" i="5"/>
  <c r="N259" i="5"/>
  <c r="N265" i="5"/>
  <c r="N271" i="5"/>
  <c r="N277" i="5"/>
  <c r="N283" i="5"/>
  <c r="N289" i="5"/>
  <c r="N295" i="5"/>
  <c r="N301" i="5"/>
  <c r="N307" i="5"/>
  <c r="N313" i="5"/>
  <c r="N319" i="5"/>
  <c r="N325" i="5"/>
  <c r="N331" i="5"/>
  <c r="N337" i="5"/>
  <c r="N343" i="5"/>
  <c r="N349" i="5"/>
  <c r="N355" i="5"/>
  <c r="N361" i="5"/>
  <c r="N367" i="5"/>
  <c r="N373" i="5"/>
  <c r="N379" i="5"/>
  <c r="N385" i="5"/>
  <c r="N391" i="5"/>
  <c r="N397" i="5"/>
  <c r="N403" i="5"/>
  <c r="N409" i="5"/>
  <c r="N415" i="5"/>
  <c r="N421" i="5"/>
  <c r="N427" i="5"/>
  <c r="N433" i="5"/>
  <c r="N439" i="5"/>
  <c r="N445" i="5"/>
  <c r="N451" i="5"/>
  <c r="N457" i="5"/>
  <c r="N463" i="5"/>
  <c r="N469" i="5"/>
  <c r="N475" i="5"/>
  <c r="N481" i="5"/>
  <c r="N487" i="5"/>
  <c r="N26" i="5"/>
  <c r="N32" i="5"/>
  <c r="N38" i="5"/>
  <c r="N44" i="5"/>
  <c r="N50" i="5"/>
  <c r="N56" i="5"/>
  <c r="N62" i="5"/>
  <c r="N68" i="5"/>
  <c r="N74" i="5"/>
  <c r="N80" i="5"/>
  <c r="N86" i="5"/>
  <c r="N92" i="5"/>
  <c r="N98" i="5"/>
  <c r="N104" i="5"/>
  <c r="N110" i="5"/>
  <c r="N116" i="5"/>
  <c r="N122" i="5"/>
  <c r="N128" i="5"/>
  <c r="N134" i="5"/>
  <c r="N140" i="5"/>
  <c r="N146" i="5"/>
  <c r="N152" i="5"/>
  <c r="N158" i="5"/>
  <c r="N164" i="5"/>
  <c r="N170" i="5"/>
  <c r="N176" i="5"/>
  <c r="N182" i="5"/>
  <c r="N188" i="5"/>
  <c r="N194" i="5"/>
  <c r="N200" i="5"/>
  <c r="N206" i="5"/>
  <c r="N212" i="5"/>
  <c r="N218" i="5"/>
  <c r="N224" i="5"/>
  <c r="N230" i="5"/>
  <c r="N236" i="5"/>
  <c r="N242" i="5"/>
  <c r="N248" i="5"/>
  <c r="N254" i="5"/>
  <c r="N260" i="5"/>
  <c r="N266" i="5"/>
  <c r="N272" i="5"/>
  <c r="N278" i="5"/>
  <c r="N284" i="5"/>
  <c r="N290" i="5"/>
  <c r="N296" i="5"/>
  <c r="N302" i="5"/>
  <c r="N308" i="5"/>
  <c r="N314" i="5"/>
  <c r="N320" i="5"/>
  <c r="N326" i="5"/>
  <c r="N332" i="5"/>
  <c r="N338" i="5"/>
  <c r="N344" i="5"/>
  <c r="N350" i="5"/>
  <c r="N356" i="5"/>
  <c r="N362" i="5"/>
  <c r="N368" i="5"/>
  <c r="N374" i="5"/>
  <c r="N380" i="5"/>
  <c r="N386" i="5"/>
  <c r="N392" i="5"/>
  <c r="N398" i="5"/>
  <c r="N404" i="5"/>
  <c r="N410" i="5"/>
  <c r="N416" i="5"/>
  <c r="N422" i="5"/>
  <c r="N428" i="5"/>
  <c r="N434" i="5"/>
  <c r="N440" i="5"/>
  <c r="N446" i="5"/>
  <c r="N452" i="5"/>
  <c r="N458" i="5"/>
  <c r="N464" i="5"/>
  <c r="N470" i="5"/>
  <c r="N476" i="5"/>
  <c r="N482" i="5"/>
  <c r="N488" i="5"/>
  <c r="N494" i="5"/>
  <c r="N500" i="5"/>
  <c r="N506" i="5"/>
  <c r="N512" i="5"/>
  <c r="N518" i="5"/>
  <c r="N524" i="5"/>
  <c r="N530" i="5"/>
  <c r="N538" i="5"/>
  <c r="N544" i="5"/>
  <c r="N550" i="5"/>
  <c r="N556" i="5"/>
  <c r="N562" i="5"/>
  <c r="N568" i="5"/>
  <c r="N574" i="5"/>
  <c r="N580" i="5"/>
  <c r="N586" i="5"/>
  <c r="N592" i="5"/>
  <c r="N598" i="5"/>
  <c r="N604" i="5"/>
  <c r="N610" i="5"/>
  <c r="N616" i="5"/>
  <c r="N622" i="5"/>
  <c r="N628" i="5"/>
  <c r="N634" i="5"/>
  <c r="N640" i="5"/>
  <c r="N646" i="5"/>
  <c r="N652" i="5"/>
  <c r="N658" i="5"/>
  <c r="N664" i="5"/>
  <c r="N670" i="5"/>
  <c r="N676" i="5"/>
  <c r="N682" i="5"/>
  <c r="N688" i="5"/>
  <c r="N694" i="5"/>
  <c r="N700" i="5"/>
  <c r="N706" i="5"/>
  <c r="N712" i="5"/>
  <c r="N718" i="5"/>
  <c r="N724" i="5"/>
  <c r="N730" i="5"/>
  <c r="N736" i="5"/>
  <c r="N742" i="5"/>
  <c r="N748" i="5"/>
  <c r="N754" i="5"/>
  <c r="N760" i="5"/>
  <c r="N766" i="5"/>
  <c r="N772" i="5"/>
  <c r="N778" i="5"/>
  <c r="N784" i="5"/>
  <c r="N790" i="5"/>
  <c r="N796" i="5"/>
  <c r="N802" i="5"/>
  <c r="N808" i="5"/>
  <c r="N814" i="5"/>
  <c r="N820" i="5"/>
  <c r="N826" i="5"/>
  <c r="N832" i="5"/>
  <c r="N838" i="5"/>
  <c r="N844" i="5"/>
  <c r="N850" i="5"/>
  <c r="N856" i="5"/>
  <c r="N862" i="5"/>
  <c r="N868" i="5"/>
  <c r="N874" i="5"/>
  <c r="N880" i="5"/>
  <c r="N886" i="5"/>
  <c r="N892" i="5"/>
  <c r="N898" i="5"/>
  <c r="N904" i="5"/>
  <c r="N910" i="5"/>
  <c r="N916" i="5"/>
  <c r="N922" i="5"/>
  <c r="N928" i="5"/>
  <c r="N934" i="5"/>
  <c r="N940" i="5"/>
  <c r="N946" i="5"/>
  <c r="N952" i="5"/>
  <c r="N958" i="5"/>
  <c r="N964" i="5"/>
  <c r="N970" i="5"/>
  <c r="N976" i="5"/>
  <c r="N982" i="5"/>
  <c r="N988" i="5"/>
  <c r="N994" i="5"/>
  <c r="N1000" i="5"/>
  <c r="N599" i="5"/>
  <c r="N605" i="5"/>
  <c r="N611" i="5"/>
  <c r="N617" i="5"/>
  <c r="N623" i="5"/>
  <c r="N629" i="5"/>
  <c r="N635" i="5"/>
  <c r="N641" i="5"/>
  <c r="N647" i="5"/>
  <c r="N653" i="5"/>
  <c r="N659" i="5"/>
  <c r="N665" i="5"/>
  <c r="N671" i="5"/>
  <c r="N677" i="5"/>
  <c r="N683" i="5"/>
  <c r="N689" i="5"/>
  <c r="N695" i="5"/>
  <c r="N701" i="5"/>
  <c r="N707" i="5"/>
  <c r="N713" i="5"/>
  <c r="N719" i="5"/>
  <c r="N725" i="5"/>
  <c r="N731" i="5"/>
  <c r="N737" i="5"/>
  <c r="N743" i="5"/>
  <c r="N749" i="5"/>
  <c r="N755" i="5"/>
  <c r="N761" i="5"/>
  <c r="N767" i="5"/>
  <c r="N773" i="5"/>
  <c r="N779" i="5"/>
  <c r="N785" i="5"/>
  <c r="N791" i="5"/>
  <c r="N797" i="5"/>
  <c r="N803" i="5"/>
  <c r="N809" i="5"/>
  <c r="N815" i="5"/>
  <c r="N821" i="5"/>
  <c r="N827" i="5"/>
  <c r="N833" i="5"/>
  <c r="N839" i="5"/>
  <c r="N845" i="5"/>
  <c r="N851" i="5"/>
  <c r="N857" i="5"/>
  <c r="N863" i="5"/>
  <c r="N869" i="5"/>
  <c r="N875" i="5"/>
  <c r="N881" i="5"/>
  <c r="N887" i="5"/>
  <c r="N893" i="5"/>
  <c r="N899" i="5"/>
  <c r="N905" i="5"/>
  <c r="N911" i="5"/>
  <c r="N917" i="5"/>
  <c r="N923" i="5"/>
  <c r="N929" i="5"/>
  <c r="N935" i="5"/>
  <c r="N941" i="5"/>
  <c r="N947" i="5"/>
  <c r="N953" i="5"/>
  <c r="N959" i="5"/>
  <c r="N965" i="5"/>
  <c r="N971" i="5"/>
  <c r="N977" i="5"/>
  <c r="N983" i="5"/>
  <c r="N989" i="5"/>
  <c r="N995" i="5"/>
  <c r="N492" i="5"/>
  <c r="N498" i="5"/>
  <c r="N504" i="5"/>
  <c r="N510" i="5"/>
  <c r="N516" i="5"/>
  <c r="N522" i="5"/>
  <c r="N528" i="5"/>
  <c r="N534" i="5"/>
  <c r="N540" i="5"/>
  <c r="N546" i="5"/>
  <c r="N552" i="5"/>
  <c r="N558" i="5"/>
  <c r="N564" i="5"/>
  <c r="N570" i="5"/>
  <c r="N576" i="5"/>
  <c r="N582" i="5"/>
  <c r="N588" i="5"/>
  <c r="N594" i="5"/>
  <c r="N600" i="5"/>
  <c r="N606" i="5"/>
  <c r="N612" i="5"/>
  <c r="N618" i="5"/>
  <c r="N624" i="5"/>
  <c r="N630" i="5"/>
  <c r="N636" i="5"/>
  <c r="N642" i="5"/>
  <c r="N648" i="5"/>
  <c r="N654" i="5"/>
  <c r="N660" i="5"/>
  <c r="N666" i="5"/>
  <c r="N672" i="5"/>
  <c r="N678" i="5"/>
  <c r="N684" i="5"/>
  <c r="N690" i="5"/>
  <c r="N696" i="5"/>
  <c r="N702" i="5"/>
  <c r="N708" i="5"/>
  <c r="N714" i="5"/>
  <c r="N720" i="5"/>
  <c r="N726" i="5"/>
  <c r="N732" i="5"/>
  <c r="N738" i="5"/>
  <c r="N744" i="5"/>
  <c r="N750" i="5"/>
  <c r="N756" i="5"/>
  <c r="N762" i="5"/>
  <c r="N768" i="5"/>
  <c r="N774" i="5"/>
  <c r="N780" i="5"/>
  <c r="N786" i="5"/>
  <c r="N792" i="5"/>
  <c r="N798" i="5"/>
  <c r="N804" i="5"/>
  <c r="N810" i="5"/>
  <c r="N816" i="5"/>
  <c r="N822" i="5"/>
  <c r="N828" i="5"/>
  <c r="N834" i="5"/>
  <c r="N840" i="5"/>
  <c r="N846" i="5"/>
  <c r="N852" i="5"/>
  <c r="N858" i="5"/>
  <c r="N864" i="5"/>
  <c r="N870" i="5"/>
  <c r="N876" i="5"/>
  <c r="N882" i="5"/>
  <c r="N888" i="5"/>
  <c r="N894" i="5"/>
  <c r="N900" i="5"/>
  <c r="N906" i="5"/>
  <c r="N912" i="5"/>
  <c r="N918" i="5"/>
  <c r="N924" i="5"/>
  <c r="N930" i="5"/>
  <c r="N936" i="5"/>
  <c r="N942" i="5"/>
  <c r="N948" i="5"/>
  <c r="N954" i="5"/>
  <c r="N960" i="5"/>
  <c r="N966" i="5"/>
  <c r="N972" i="5"/>
  <c r="N978" i="5"/>
  <c r="N984" i="5"/>
  <c r="N990" i="5"/>
  <c r="N996" i="5"/>
  <c r="N493" i="5"/>
  <c r="N499" i="5"/>
  <c r="N505" i="5"/>
  <c r="N511" i="5"/>
  <c r="N517" i="5"/>
  <c r="N523" i="5"/>
  <c r="N529" i="5"/>
  <c r="N535" i="5"/>
  <c r="N541" i="5"/>
  <c r="N547" i="5"/>
  <c r="N553" i="5"/>
  <c r="N559" i="5"/>
  <c r="N565" i="5"/>
  <c r="N571" i="5"/>
  <c r="N577" i="5"/>
  <c r="N583" i="5"/>
  <c r="N589" i="5"/>
  <c r="N595" i="5"/>
  <c r="N601" i="5"/>
  <c r="N607" i="5"/>
  <c r="N613" i="5"/>
  <c r="N619" i="5"/>
  <c r="N625" i="5"/>
  <c r="N631" i="5"/>
  <c r="N637" i="5"/>
  <c r="N643" i="5"/>
  <c r="N649" i="5"/>
  <c r="N655" i="5"/>
  <c r="N661" i="5"/>
  <c r="N667" i="5"/>
  <c r="N673" i="5"/>
  <c r="N679" i="5"/>
  <c r="N685" i="5"/>
  <c r="N691" i="5"/>
  <c r="N697" i="5"/>
  <c r="N703" i="5"/>
  <c r="N709" i="5"/>
  <c r="N715" i="5"/>
  <c r="N721" i="5"/>
  <c r="N727" i="5"/>
  <c r="N733" i="5"/>
  <c r="N739" i="5"/>
  <c r="N745" i="5"/>
  <c r="N751" i="5"/>
  <c r="N757" i="5"/>
  <c r="N763" i="5"/>
  <c r="N769" i="5"/>
  <c r="N775" i="5"/>
  <c r="N781" i="5"/>
  <c r="N787" i="5"/>
  <c r="N793" i="5"/>
  <c r="N799" i="5"/>
  <c r="N805" i="5"/>
  <c r="N811" i="5"/>
  <c r="N817" i="5"/>
  <c r="N823" i="5"/>
  <c r="N829" i="5"/>
  <c r="N835" i="5"/>
  <c r="N841" i="5"/>
  <c r="N847" i="5"/>
  <c r="N853" i="5"/>
  <c r="N859" i="5"/>
  <c r="N865" i="5"/>
  <c r="N871" i="5"/>
  <c r="N877" i="5"/>
  <c r="N883" i="5"/>
  <c r="N889" i="5"/>
  <c r="N895" i="5"/>
  <c r="N901" i="5"/>
  <c r="N907" i="5"/>
  <c r="N913" i="5"/>
  <c r="N919" i="5"/>
  <c r="N925" i="5"/>
  <c r="N931" i="5"/>
  <c r="N937" i="5"/>
  <c r="N943" i="5"/>
  <c r="N949" i="5"/>
  <c r="N955" i="5"/>
  <c r="N961" i="5"/>
  <c r="N967" i="5"/>
  <c r="N973" i="5"/>
  <c r="N979" i="5"/>
  <c r="N985" i="5"/>
  <c r="N991" i="5"/>
  <c r="N997" i="5"/>
  <c r="N536" i="5"/>
  <c r="N542" i="5"/>
  <c r="N548" i="5"/>
  <c r="N554" i="5"/>
  <c r="N560" i="5"/>
  <c r="N566" i="5"/>
  <c r="N572" i="5"/>
  <c r="N578" i="5"/>
  <c r="N584" i="5"/>
  <c r="N590" i="5"/>
  <c r="N596" i="5"/>
  <c r="N602" i="5"/>
  <c r="N608" i="5"/>
  <c r="N614" i="5"/>
  <c r="N620" i="5"/>
  <c r="N626" i="5"/>
  <c r="N632" i="5"/>
  <c r="N638" i="5"/>
  <c r="N644" i="5"/>
  <c r="N650" i="5"/>
  <c r="N656" i="5"/>
  <c r="N662" i="5"/>
  <c r="N668" i="5"/>
  <c r="N674" i="5"/>
  <c r="N680" i="5"/>
  <c r="N686" i="5"/>
  <c r="N692" i="5"/>
  <c r="N698" i="5"/>
  <c r="N704" i="5"/>
  <c r="N710" i="5"/>
  <c r="N716" i="5"/>
  <c r="N722" i="5"/>
  <c r="N728" i="5"/>
  <c r="N734" i="5"/>
  <c r="N740" i="5"/>
  <c r="N746" i="5"/>
  <c r="N752" i="5"/>
  <c r="N758" i="5"/>
  <c r="N764" i="5"/>
  <c r="N770" i="5"/>
  <c r="N776" i="5"/>
  <c r="N782" i="5"/>
  <c r="N788" i="5"/>
  <c r="N794" i="5"/>
  <c r="N800" i="5"/>
  <c r="N806" i="5"/>
  <c r="N812" i="5"/>
  <c r="N818" i="5"/>
  <c r="N824" i="5"/>
  <c r="N830" i="5"/>
  <c r="N836" i="5"/>
  <c r="N842" i="5"/>
  <c r="N848" i="5"/>
  <c r="N854" i="5"/>
  <c r="N860" i="5"/>
  <c r="N866" i="5"/>
  <c r="N872" i="5"/>
  <c r="N878" i="5"/>
  <c r="N884" i="5"/>
  <c r="N890" i="5"/>
  <c r="N896" i="5"/>
  <c r="N902" i="5"/>
  <c r="N908" i="5"/>
  <c r="N914" i="5"/>
  <c r="N920" i="5"/>
  <c r="N926" i="5"/>
  <c r="N932" i="5"/>
  <c r="N938" i="5"/>
  <c r="N944" i="5"/>
  <c r="N950" i="5"/>
  <c r="N956" i="5"/>
  <c r="N962" i="5"/>
  <c r="N968" i="5"/>
  <c r="N974" i="5"/>
  <c r="N980" i="5"/>
  <c r="N986" i="5"/>
  <c r="N992" i="5"/>
  <c r="N998" i="5"/>
  <c r="N5" i="5"/>
  <c r="N11" i="5"/>
  <c r="N7" i="5"/>
  <c r="N13" i="5"/>
  <c r="L1000" i="5"/>
  <c r="G148" i="14"/>
  <c r="L80" i="5"/>
  <c r="L206" i="5"/>
  <c r="L664" i="5"/>
  <c r="L121" i="5"/>
  <c r="L164" i="5"/>
  <c r="N4" i="5"/>
  <c r="N10" i="5"/>
  <c r="L579" i="5"/>
  <c r="L1031" i="5"/>
  <c r="L543" i="5"/>
  <c r="L976" i="5"/>
  <c r="L1015" i="5"/>
  <c r="L1024" i="5"/>
  <c r="L103" i="5"/>
  <c r="L152" i="5"/>
  <c r="L178" i="5"/>
  <c r="L1021" i="5"/>
  <c r="G150" i="14"/>
  <c r="L79" i="5"/>
  <c r="L82" i="5"/>
  <c r="L85" i="5"/>
  <c r="L214" i="5"/>
  <c r="L218" i="5"/>
  <c r="L227" i="5"/>
  <c r="L561" i="5"/>
  <c r="L520" i="5"/>
  <c r="L556" i="5"/>
  <c r="L599" i="5"/>
  <c r="L116" i="5"/>
  <c r="L211" i="5"/>
  <c r="L637" i="5"/>
  <c r="L489" i="5"/>
  <c r="L104" i="5"/>
  <c r="L134" i="5"/>
  <c r="L169" i="5"/>
  <c r="L194" i="5"/>
  <c r="L199" i="5"/>
  <c r="L250" i="5"/>
  <c r="L254" i="5"/>
  <c r="L574" i="5"/>
  <c r="L696" i="5"/>
  <c r="L484" i="5"/>
  <c r="L617" i="5"/>
  <c r="L81" i="5"/>
  <c r="L84" i="5"/>
  <c r="L92" i="5"/>
  <c r="L122" i="5"/>
  <c r="L127" i="5"/>
  <c r="L157" i="5"/>
  <c r="L217" i="5"/>
  <c r="L247" i="5"/>
  <c r="L281" i="5"/>
  <c r="L502" i="5"/>
  <c r="L719" i="5"/>
  <c r="L74" i="5"/>
  <c r="L188" i="5"/>
  <c r="L471" i="5"/>
  <c r="L961" i="5"/>
  <c r="L973" i="5"/>
  <c r="L525" i="5"/>
  <c r="L538" i="5"/>
  <c r="L943" i="5"/>
  <c r="L982" i="5"/>
  <c r="L1036" i="5"/>
  <c r="L592" i="5"/>
  <c r="L925" i="5"/>
  <c r="L1040" i="5"/>
  <c r="L949" i="5"/>
  <c r="L907" i="5"/>
  <c r="L77" i="5"/>
  <c r="L73" i="5"/>
  <c r="G6" i="3"/>
  <c r="G149" i="14"/>
  <c r="G147" i="14"/>
  <c r="G129" i="14"/>
  <c r="L267" i="5"/>
  <c r="N16" i="5"/>
  <c r="L313" i="5"/>
  <c r="L264" i="5"/>
  <c r="L352" i="5"/>
  <c r="L406" i="5"/>
  <c r="L472" i="5"/>
  <c r="L172" i="5"/>
  <c r="L185" i="5"/>
  <c r="L208" i="5"/>
  <c r="L221" i="5"/>
  <c r="L244" i="5"/>
  <c r="L257" i="5"/>
  <c r="L268" i="5"/>
  <c r="L275" i="5"/>
  <c r="L51" i="5"/>
  <c r="L54" i="5"/>
  <c r="L57" i="5"/>
  <c r="L261" i="5"/>
  <c r="L279" i="5"/>
  <c r="L343" i="5"/>
  <c r="L166" i="5"/>
  <c r="L179" i="5"/>
  <c r="L202" i="5"/>
  <c r="L215" i="5"/>
  <c r="L238" i="5"/>
  <c r="L251" i="5"/>
  <c r="L265" i="5"/>
  <c r="L272" i="5"/>
  <c r="L334" i="5"/>
  <c r="L258" i="5"/>
  <c r="L276" i="5"/>
  <c r="L388" i="5"/>
  <c r="L442" i="5"/>
  <c r="L460" i="5"/>
  <c r="L160" i="5"/>
  <c r="L196" i="5"/>
  <c r="L209" i="5"/>
  <c r="L232" i="5"/>
  <c r="L245" i="5"/>
  <c r="L262" i="5"/>
  <c r="L269" i="5"/>
  <c r="L325" i="5"/>
  <c r="L52" i="5"/>
  <c r="L55" i="5"/>
  <c r="L58" i="5"/>
  <c r="L273" i="5"/>
  <c r="L316" i="5"/>
  <c r="N2" i="5"/>
  <c r="N8" i="5"/>
  <c r="N14" i="5"/>
  <c r="L154" i="5"/>
  <c r="L190" i="5"/>
  <c r="L203" i="5"/>
  <c r="L226" i="5"/>
  <c r="L239" i="5"/>
  <c r="L259" i="5"/>
  <c r="L266" i="5"/>
  <c r="L277" i="5"/>
  <c r="L270" i="5"/>
  <c r="L307" i="5"/>
  <c r="L370" i="5"/>
  <c r="L424" i="5"/>
  <c r="L476" i="5"/>
  <c r="L485" i="5"/>
  <c r="L432" i="5"/>
  <c r="L450" i="5"/>
  <c r="L508" i="5"/>
  <c r="L521" i="5"/>
  <c r="L495" i="5"/>
  <c r="L444" i="5"/>
  <c r="L531" i="5"/>
  <c r="L282" i="5"/>
  <c r="L285" i="5"/>
  <c r="L466" i="5"/>
  <c r="L760" i="5"/>
  <c r="L796" i="5"/>
  <c r="L836" i="5"/>
  <c r="L922" i="5"/>
  <c r="L544" i="5"/>
  <c r="L567" i="5"/>
  <c r="L580" i="5"/>
  <c r="L603" i="5"/>
  <c r="L904" i="5"/>
  <c r="L486" i="5"/>
  <c r="L499" i="5"/>
  <c r="L522" i="5"/>
  <c r="L535" i="5"/>
  <c r="L558" i="5"/>
  <c r="L571" i="5"/>
  <c r="L594" i="5"/>
  <c r="L607" i="5"/>
  <c r="L641" i="5"/>
  <c r="L686" i="5"/>
  <c r="L673" i="5"/>
  <c r="L778" i="5"/>
  <c r="L853" i="5"/>
  <c r="L723" i="5"/>
  <c r="L887" i="5"/>
  <c r="L662" i="5"/>
  <c r="L878" i="5"/>
  <c r="L944" i="5"/>
  <c r="L962" i="5"/>
  <c r="L868" i="5"/>
  <c r="L1101" i="5"/>
  <c r="L1128" i="5"/>
  <c r="L926" i="5"/>
  <c r="L877" i="5"/>
  <c r="L886" i="5"/>
  <c r="L940" i="5"/>
  <c r="L958" i="5"/>
  <c r="L1088" i="5"/>
  <c r="L865" i="5"/>
  <c r="L1061" i="5"/>
  <c r="L883" i="5"/>
  <c r="L937" i="5"/>
  <c r="L955" i="5"/>
  <c r="L980" i="5"/>
  <c r="L871" i="5"/>
  <c r="L901" i="5"/>
  <c r="L919" i="5"/>
  <c r="L889" i="5"/>
  <c r="L1119" i="5"/>
  <c r="L916" i="5"/>
  <c r="L934" i="5"/>
  <c r="L1043" i="5"/>
  <c r="L913" i="5"/>
  <c r="L931" i="5"/>
  <c r="L1110" i="5"/>
  <c r="L1137" i="5"/>
  <c r="L1050" i="5"/>
  <c r="N12" i="5"/>
  <c r="N6" i="5"/>
  <c r="L49" i="5"/>
  <c r="L46" i="5"/>
  <c r="L4" i="5"/>
  <c r="L7" i="5"/>
  <c r="L10" i="5"/>
  <c r="L13" i="5"/>
  <c r="L16" i="5"/>
  <c r="L19" i="5"/>
  <c r="L22" i="5"/>
  <c r="L25" i="5"/>
  <c r="L28" i="5"/>
  <c r="L31" i="5"/>
  <c r="L34" i="5"/>
  <c r="L37" i="5"/>
  <c r="L40" i="5"/>
  <c r="L43" i="5"/>
  <c r="L2" i="5"/>
  <c r="L5" i="5"/>
  <c r="L8" i="5"/>
  <c r="L14" i="5"/>
  <c r="L17" i="5"/>
  <c r="L20" i="5"/>
  <c r="L23" i="5"/>
  <c r="L26" i="5"/>
  <c r="L29" i="5"/>
  <c r="L32" i="5"/>
  <c r="L35" i="5"/>
  <c r="L38" i="5"/>
  <c r="L44" i="5"/>
  <c r="L50" i="5"/>
  <c r="L47" i="5"/>
  <c r="N3" i="5"/>
  <c r="N9" i="5"/>
  <c r="N15" i="5"/>
  <c r="L11" i="5"/>
  <c r="L41" i="5"/>
</calcChain>
</file>

<file path=xl/sharedStrings.xml><?xml version="1.0" encoding="utf-8"?>
<sst xmlns="http://schemas.openxmlformats.org/spreadsheetml/2006/main" count="71563" uniqueCount="895">
  <si>
    <t>Total</t>
  </si>
  <si>
    <t>Total general</t>
  </si>
  <si>
    <t>Cliente</t>
  </si>
  <si>
    <t>Monto</t>
  </si>
  <si>
    <t>TOTAL $</t>
  </si>
  <si>
    <t>Sdo. RK</t>
  </si>
  <si>
    <t>Contrato</t>
  </si>
  <si>
    <t>Diferencia</t>
  </si>
  <si>
    <t>GESTION</t>
  </si>
  <si>
    <t>Nombre</t>
  </si>
  <si>
    <t>PENSIONES</t>
  </si>
  <si>
    <t>ICA CP</t>
  </si>
  <si>
    <t>INFONAVIT</t>
  </si>
  <si>
    <t>PRAXAIR</t>
  </si>
  <si>
    <t>TRIBUNAL</t>
  </si>
  <si>
    <t>UADY-1002461</t>
  </si>
  <si>
    <t>UADY-208750</t>
  </si>
  <si>
    <t>UADY-112720</t>
  </si>
  <si>
    <t>UADY-112800</t>
  </si>
  <si>
    <t>UADY-113610</t>
  </si>
  <si>
    <t>UADY-204410</t>
  </si>
  <si>
    <t>FORTE TABASCO</t>
  </si>
  <si>
    <t>JOHNSON-1-(152971)</t>
  </si>
  <si>
    <t>JOHNSON-1-(152974)</t>
  </si>
  <si>
    <t>JOHNSON-1-(152976)</t>
  </si>
  <si>
    <t>JOHNSON-1-(152979)</t>
  </si>
  <si>
    <t>JOHNSON-1-(152981)</t>
  </si>
  <si>
    <t>JOHNSON-1-(152983)</t>
  </si>
  <si>
    <t>Admon</t>
  </si>
  <si>
    <t>NumCliente</t>
  </si>
  <si>
    <t>NombreCorto</t>
  </si>
  <si>
    <t>DescCorta</t>
  </si>
  <si>
    <t>TipoMov</t>
  </si>
  <si>
    <t>Codigo</t>
  </si>
  <si>
    <t>CLUB INDUSTRIAL</t>
  </si>
  <si>
    <t>CI</t>
  </si>
  <si>
    <t>OFR</t>
  </si>
  <si>
    <t>OFRA</t>
  </si>
  <si>
    <t>OAA</t>
  </si>
  <si>
    <t>LIQA</t>
  </si>
  <si>
    <t>LC</t>
  </si>
  <si>
    <t>LAFON LAUNAY COSMETICS</t>
  </si>
  <si>
    <t>HEB ASI</t>
  </si>
  <si>
    <t>PUMA</t>
  </si>
  <si>
    <t>PUMA DE MEXICO</t>
  </si>
  <si>
    <t>SP</t>
  </si>
  <si>
    <t>NMPP</t>
  </si>
  <si>
    <t>Suma de TOTAL $</t>
  </si>
  <si>
    <t>INVERCAP</t>
  </si>
  <si>
    <t>NMP</t>
  </si>
  <si>
    <t>PPR</t>
  </si>
  <si>
    <t>MANTARA</t>
  </si>
  <si>
    <t>CHARTIS</t>
  </si>
  <si>
    <t>GPOSANEMPL</t>
  </si>
  <si>
    <t>GESTION EMPL</t>
  </si>
  <si>
    <t>GESTION CIA</t>
  </si>
  <si>
    <t>GESBAN-AEMP</t>
  </si>
  <si>
    <t>SANTCIA20</t>
  </si>
  <si>
    <t>SANTEMP35</t>
  </si>
  <si>
    <t>SANTEMP50</t>
  </si>
  <si>
    <t>SANTEMP60</t>
  </si>
  <si>
    <t>SANTCIA35</t>
  </si>
  <si>
    <t>SANTCIA50</t>
  </si>
  <si>
    <t>SANTCIA60</t>
  </si>
  <si>
    <t>C.B. EMPL</t>
  </si>
  <si>
    <t>C.B. CIA</t>
  </si>
  <si>
    <t>ELAVONSCE EMP</t>
  </si>
  <si>
    <t>PRESIDENTE 2000486</t>
  </si>
  <si>
    <t>AFORE INVERCAP</t>
  </si>
  <si>
    <t>ISSSTEP 1013187</t>
  </si>
  <si>
    <t>AP DEDUCIBLE RV</t>
  </si>
  <si>
    <t>SAUZAPENS</t>
  </si>
  <si>
    <t>INVERCAP AFORE</t>
  </si>
  <si>
    <t>SERPAPROSA</t>
  </si>
  <si>
    <t>Gestion</t>
  </si>
  <si>
    <t>MontoA</t>
  </si>
  <si>
    <t>Suma de MontoA</t>
  </si>
  <si>
    <t>OPERATIVA PENDIENTE a)</t>
  </si>
  <si>
    <t>Tipo Fondo</t>
  </si>
  <si>
    <t>Fecha Valor</t>
  </si>
  <si>
    <t>D/R</t>
  </si>
  <si>
    <t>Vigencia</t>
  </si>
  <si>
    <t>Estado</t>
  </si>
  <si>
    <t>Medio de Liquidación</t>
  </si>
  <si>
    <t>Chequera</t>
  </si>
  <si>
    <t>Banco</t>
  </si>
  <si>
    <t>RK</t>
  </si>
  <si>
    <t>Record Keeping</t>
  </si>
  <si>
    <t>ALBANY</t>
  </si>
  <si>
    <t>DAIMLER</t>
  </si>
  <si>
    <t>FIANZAS MONTERREY</t>
  </si>
  <si>
    <t>HEB</t>
  </si>
  <si>
    <t>ICA</t>
  </si>
  <si>
    <t>ISSSTEP</t>
  </si>
  <si>
    <t>SAUZA</t>
  </si>
  <si>
    <t>Contrato RK</t>
  </si>
  <si>
    <t>VALOR</t>
  </si>
  <si>
    <t>Sdo. Cto Inversión</t>
  </si>
  <si>
    <t>CAJA AHORRO</t>
  </si>
  <si>
    <t>TIPO</t>
  </si>
  <si>
    <t>ANAHUAC</t>
  </si>
  <si>
    <t>OASISAL</t>
  </si>
  <si>
    <t>OASIS LATINOAMERICA</t>
  </si>
  <si>
    <t>SPC</t>
  </si>
  <si>
    <t>SERVICIOS MODELO DE COAHUILA</t>
  </si>
  <si>
    <t>FIRCAFE</t>
  </si>
  <si>
    <t>FINANCIERA NACIONAL DE DESARROLLO RESUMEN</t>
  </si>
  <si>
    <t>MOTOROLA MOBILITY DE MEXICO /  BCO SANTANDER MEXICO FIDEICOMISO F/2001807 2</t>
  </si>
  <si>
    <t>U.J.A.T UNIV TABASCO /BCO SANTANDER (MEXICO) FIDEICOMISO F/2001447-1</t>
  </si>
  <si>
    <t>TEXO ALIM / BCO SANTANDER (MEXICO) FIDEICOMISO F/10527-0</t>
  </si>
  <si>
    <t>BOLSA MEXICANA CMMV</t>
  </si>
  <si>
    <t>FIANZAS FIANDLLS</t>
  </si>
  <si>
    <t>BOLSA MEXICANA AMIB</t>
  </si>
  <si>
    <t>TUMEX</t>
  </si>
  <si>
    <t>SAUZA AHORRO</t>
  </si>
  <si>
    <t>ADMINISTRADORA DE PERSONAL DE CASA LEY 80 SA DE CV FONDO DE AHORRO</t>
  </si>
  <si>
    <t>CHRYSLER DAIMLER</t>
  </si>
  <si>
    <t>LA SALLE</t>
  </si>
  <si>
    <t>BOLSA MEXICANA SIF-ICAP</t>
  </si>
  <si>
    <t>MARQUIS REFORMA</t>
  </si>
  <si>
    <t>U.A.E.M UNIV EDO MEX</t>
  </si>
  <si>
    <t>AFIANZADORA ASERTA</t>
  </si>
  <si>
    <t>TRIBUNAL T.S.J.D.F  AHORRO</t>
  </si>
  <si>
    <t>AXALTO / GMALTO PRINTER</t>
  </si>
  <si>
    <t>ALBANY CIA</t>
  </si>
  <si>
    <t>ALBANY EMPL</t>
  </si>
  <si>
    <t>EL POTOSI CIA</t>
  </si>
  <si>
    <t>EL POTOSI EMPL</t>
  </si>
  <si>
    <t xml:space="preserve">AFIANZADORA P.F.M.N / AFIANZ.P.M.M.N.  / </t>
  </si>
  <si>
    <t>AFIANZADORAP.F. DOLARES</t>
  </si>
  <si>
    <t>AFIANZADORA P.M. DOLARES</t>
  </si>
  <si>
    <t>ADMINISTRADORA DE PERSONAL DE CASA LEY 80 SA DE CV PENSIONES</t>
  </si>
  <si>
    <t>JOHNSON</t>
  </si>
  <si>
    <t>SAP ADI</t>
  </si>
  <si>
    <t>SAP EMPL</t>
  </si>
  <si>
    <t>PRENDAS JURIDICAS FMTY</t>
  </si>
  <si>
    <t>FABRICACIONES INDUSTRIALES TUMEX S.A. DE C.V. (FDO DE AHORRO)</t>
  </si>
  <si>
    <t>AISA MANCOMUNADOS</t>
  </si>
  <si>
    <t>ASERTA MANCOMUNADOS</t>
  </si>
  <si>
    <t>ASERTA CANCELADAS</t>
  </si>
  <si>
    <t>FIDEICOMISO FOMENTO MINERO</t>
  </si>
  <si>
    <t>IMPULSORA Y ADMINISTRADORA DEL EMPLEO EN ENTRETENIMIENTO</t>
  </si>
  <si>
    <t xml:space="preserve">AFIANZADORA PUNTO ASERTA S.A. GARANTIAS                               </t>
  </si>
  <si>
    <t>VIVEICA, S.A. DE C.V</t>
  </si>
  <si>
    <t>ARRENDADORA VIVEICA, S.A. DE C.V</t>
  </si>
  <si>
    <t xml:space="preserve">ICAI OPERACIÓN DE INFRAESTRUCTURA                        </t>
  </si>
  <si>
    <t>ICAI SERVICIOS</t>
  </si>
  <si>
    <t>SERVICIOS S.C. JOHNSON</t>
  </si>
  <si>
    <t>SPASA</t>
  </si>
  <si>
    <t>SPABM</t>
  </si>
  <si>
    <t xml:space="preserve">El Cliente no ha enviado su información / ya se solicitó vía correo </t>
  </si>
  <si>
    <t>BREMBO</t>
  </si>
  <si>
    <t>DISTRIBUCION MARZAM S.A. DE C.V.</t>
  </si>
  <si>
    <t>MARZAM DEL PACÍFICO S.A. DE C.V.</t>
  </si>
  <si>
    <t>ASESORIA Y DIRECCION MARZAM S.A. DE C.V.</t>
  </si>
  <si>
    <t>MARZAM S.A. DE C.V.</t>
  </si>
  <si>
    <t>DISTRIBUCION GUERRA ZAMUDIO S.A. DE C.V.</t>
  </si>
  <si>
    <t>TELEFONIA CELULAR DEL NORTE SA DE CV</t>
  </si>
  <si>
    <t>TELEFONICA FINANZAS MEXICO SA DE CV</t>
  </si>
  <si>
    <t>CELULAR DE TELEFONIA SA DE CV</t>
  </si>
  <si>
    <t>BAJA CELULAR MEXICANA SA DE CV</t>
  </si>
  <si>
    <t>GRUPO TELECOMUNICACIONES MEXICANAS SA DE CV</t>
  </si>
  <si>
    <t>PEGASO RECURSOS HUMANOS SA DE CV</t>
  </si>
  <si>
    <t>ENLACES DEL NORTE SA DE CV</t>
  </si>
  <si>
    <t>MOVITEL DEL NORTE SA DE CV</t>
  </si>
  <si>
    <t>FISATEL MEXICO SA DE CV SOFOM ENR</t>
  </si>
  <si>
    <t>PEGASO PCS SA DE CV</t>
  </si>
  <si>
    <t>TELEFONICA MOVILES MEXICO SA DE CV</t>
  </si>
  <si>
    <t>TELEFONICA GLOBAL THECNOLOGY SA DE CV</t>
  </si>
  <si>
    <t>FONDO DE AHORRO BOSE SA DE CV</t>
  </si>
  <si>
    <t>BOSE CORPORATION SA DE CV</t>
  </si>
  <si>
    <t>BOSE</t>
  </si>
  <si>
    <t>BOSECORP</t>
  </si>
  <si>
    <t>SERVICIOS GRUPO PROMOTOR IMPULSOR SA DE CV</t>
  </si>
  <si>
    <t>MARZAM</t>
  </si>
  <si>
    <t>TELEFÓNICA</t>
  </si>
  <si>
    <t>ITISA</t>
  </si>
  <si>
    <t>SPA</t>
  </si>
  <si>
    <t>NOMISER</t>
  </si>
  <si>
    <t>ENVASABON</t>
  </si>
  <si>
    <t>AGUABONS</t>
  </si>
  <si>
    <t>AGUABONQ</t>
  </si>
  <si>
    <t>AVONEMPL</t>
  </si>
  <si>
    <t>AVONSIND</t>
  </si>
  <si>
    <t>AVON COSMETICS SINDICALIZADO</t>
  </si>
  <si>
    <t>AVON COSMETICS EMPLEADOS</t>
  </si>
  <si>
    <t>AVON</t>
  </si>
  <si>
    <t>MEXICANA DE BECAS</t>
  </si>
  <si>
    <t>BECAS</t>
  </si>
  <si>
    <t>FABRICA DE JABON LA CORONA</t>
  </si>
  <si>
    <t>Observaciones</t>
  </si>
  <si>
    <t>MGI ASISTENCIA INTEGRAL S DE RL DE CV</t>
  </si>
  <si>
    <t>IESTPS</t>
  </si>
  <si>
    <t>INSTITUTO DE ESTUDIOS SUPERIORES DE TAMAULIPAS A.C. PLAN DE PENSIONES</t>
  </si>
  <si>
    <t>IESTPSCONT</t>
  </si>
  <si>
    <t>INSTITUTO DE ESTUDIOS SUPERIORES DE TAMAULIPAS A.C. PENSIONES CONTINGENCIA</t>
  </si>
  <si>
    <t>CK&amp;M BUSINESS COMPANY S.A. DE C.V.</t>
  </si>
  <si>
    <t>KANTENAH</t>
  </si>
  <si>
    <t>KANTENAH SERVICIOS SC</t>
  </si>
  <si>
    <t>Record Kepping vs Front</t>
  </si>
  <si>
    <t>Conciliación de Movimientos de Efectivo</t>
  </si>
  <si>
    <t>Sdo. Cto inversión</t>
  </si>
  <si>
    <t>Fecha</t>
  </si>
  <si>
    <t>Comisiones (No afecta RK)</t>
  </si>
  <si>
    <t>Informe de compatibilidad para Conciliación Operación RK FRONT R.xls</t>
  </si>
  <si>
    <t>Ejecutar el 02/05/2017 15:52</t>
  </si>
  <si>
    <t>Las siguientes características de este libro no son compatibles con versiones anteriores de Excel. Estas características podrían perderse o degradarse si abre el libro con una versión anterior de Excel o si lo guarda con un formato de archivo anterior.</t>
  </si>
  <si>
    <t>Pérdida significativa de funcionalidad</t>
  </si>
  <si>
    <t>Nº de apariciones</t>
  </si>
  <si>
    <t>Versión</t>
  </si>
  <si>
    <t>Algunas celdas tienen intervalos de formato condicional superpuestos. Las versiones anteriores de Excel no evaluarán todas las reglas de formato condicional en las celdas superpuestas. Las celdas superpuestas mostrarán un formato condicional diferente.</t>
  </si>
  <si>
    <t>Conciliación'!B112:B161</t>
  </si>
  <si>
    <t>Conciliación'!B164:B178</t>
  </si>
  <si>
    <t>Conciliación'!B196:B65536</t>
  </si>
  <si>
    <t>Conciliación'!B82:B86</t>
  </si>
  <si>
    <t>Excel 97-2003</t>
  </si>
  <si>
    <t>Pérdida menor de fidelidad</t>
  </si>
  <si>
    <t>Algunas fórmulas de este libro están vinculadas a otros libros que están cerrados. Cuando estas fórmulas se vuelven a calcular en versiones anteriores de Excel sin abrir los libros vinculados, los caracteres que exceden el límite de 255 caracteres no se pueden devolver.</t>
  </si>
  <si>
    <t>Conciliación'!B6:B81</t>
  </si>
  <si>
    <t>Algunas celdas o estilos de este libro contienen un formato no admitido en el formato de archivo seleccionado. Estos formatos se convertirán al formato más cercano disponible.</t>
  </si>
  <si>
    <t>VIDANTA</t>
  </si>
  <si>
    <t>VIDANTA DESARROLLO VALLARTA</t>
  </si>
  <si>
    <t>(en blanco)</t>
  </si>
  <si>
    <t>BEST BUSINESS OPERATION CK S.A. DE C.V.</t>
  </si>
  <si>
    <t>CASA SAUZA</t>
  </si>
  <si>
    <t>OTISSIND</t>
  </si>
  <si>
    <t>OTISADMON</t>
  </si>
  <si>
    <t>BANCO S3 CIA</t>
  </si>
  <si>
    <t>BANCO S3 EMP</t>
  </si>
  <si>
    <t>BANCO SANTANDER</t>
  </si>
  <si>
    <t>FONHAPO</t>
  </si>
  <si>
    <t>ENVASES PRIMO CUEVAS</t>
  </si>
  <si>
    <t>PRESTADORA DE SERVICIOS PARA HOTELES Y RESTAURANTES GP</t>
  </si>
  <si>
    <t>D</t>
  </si>
  <si>
    <t>Saldo enviado a CUSTODIA (No afecta a RK)</t>
  </si>
  <si>
    <t>SERVICIOS CORPORATIVOS</t>
  </si>
  <si>
    <t>INCLUSION FINANCIERA</t>
  </si>
  <si>
    <t>UTD CESANTÍA</t>
  </si>
  <si>
    <t>UTD RETIRO</t>
  </si>
  <si>
    <t>UTD VIVIENDA</t>
  </si>
  <si>
    <t>Envasadora de Aguas Pensiones</t>
  </si>
  <si>
    <t>Envasabon Pensiones</t>
  </si>
  <si>
    <t>Nomiser Pensiones</t>
  </si>
  <si>
    <t>Envasadora Aguabon Pensiones</t>
  </si>
  <si>
    <t>UNIVERSIDAD AUTONOMA DE AGUASCALIENTES</t>
  </si>
  <si>
    <t>AP</t>
  </si>
  <si>
    <t>P4</t>
  </si>
  <si>
    <t>APP</t>
  </si>
  <si>
    <t>RODEO CESANTIA</t>
  </si>
  <si>
    <t>RODEO RETIRO</t>
  </si>
  <si>
    <t>RODEO VIVIENDA</t>
  </si>
  <si>
    <t>Ruta ListaContratos</t>
  </si>
  <si>
    <t>CONTRATO OPICS</t>
  </si>
  <si>
    <t>SISTEMA RK</t>
  </si>
  <si>
    <t>NOMBRE P/VALUACIÓN</t>
  </si>
  <si>
    <t>EMPRESA</t>
  </si>
  <si>
    <t>TIPO DE FONDO</t>
  </si>
  <si>
    <t>ACTUALIZA</t>
  </si>
  <si>
    <t xml:space="preserve">BASE </t>
  </si>
  <si>
    <t>MANUAL</t>
  </si>
  <si>
    <t>X</t>
  </si>
  <si>
    <t>F AHORRO</t>
  </si>
  <si>
    <t xml:space="preserve">TEXO </t>
  </si>
  <si>
    <t>HOTEL K ROYAL MARQUIS REFORMA</t>
  </si>
  <si>
    <t>ICA PRIM</t>
  </si>
  <si>
    <t xml:space="preserve"> VIVEICA CONSTRUCCION Y DESARROLLO</t>
  </si>
  <si>
    <t>MOTOROLA</t>
  </si>
  <si>
    <t>ALBANY FNDO. AHORRO 544000</t>
  </si>
  <si>
    <t>ALBANY FNDO. AHORRO 503967</t>
  </si>
  <si>
    <t>AXALTO</t>
  </si>
  <si>
    <t>GPOSANEMPRE</t>
  </si>
  <si>
    <t>AFIANZADORA (ASERTA)</t>
  </si>
  <si>
    <t>FIANZAS</t>
  </si>
  <si>
    <t>FOMENTO MINERO</t>
  </si>
  <si>
    <t>1026370 - CK&amp;M BUSINESS</t>
  </si>
  <si>
    <t xml:space="preserve">CASA  SAUZA </t>
  </si>
  <si>
    <t>CASA SAUZA PENSIONES</t>
  </si>
  <si>
    <t>FIRCAFEGARA</t>
  </si>
  <si>
    <t>FIRCAFE GARANTAS</t>
  </si>
  <si>
    <t xml:space="preserve">MGI-AI </t>
  </si>
  <si>
    <t>x</t>
  </si>
  <si>
    <t>MODCOAHUILA</t>
  </si>
  <si>
    <t xml:space="preserve">NACIONAL MONTE DE PIEDAD I.A.P. </t>
  </si>
  <si>
    <t xml:space="preserve">NACIONALMONTE DE PIEDAD, I.A.P. </t>
  </si>
  <si>
    <t>NACIONAL MONTE DE PIEDAD I.A.P. VIVE 20</t>
  </si>
  <si>
    <t>NACIONAL MONTE DE PIEDAD I.A.P. VIVE 60</t>
  </si>
  <si>
    <t>NACIONAL MONTE DE PIEDAD I.A.P. VIVE 35</t>
  </si>
  <si>
    <t>NACIONAL MONTE DE PIEDAD I.A.P. VIVE 50</t>
  </si>
  <si>
    <t>BM CONTROL Y ADMINISTRACION DE PERSONAL SA DE CV</t>
  </si>
  <si>
    <t>SERVICIOS ADMINISTRATIVOS CONSOLIDADOS BM DE MEXICO SA DE CV</t>
  </si>
  <si>
    <t>U.A.D.Y.</t>
  </si>
  <si>
    <t>CASA LEY (ASESORES NORESTE)</t>
  </si>
  <si>
    <t>AIG</t>
  </si>
  <si>
    <t>BOLSA MEXICANA</t>
  </si>
  <si>
    <t xml:space="preserve">UNIV TABASCO </t>
  </si>
  <si>
    <t>UNIV EDO MÉXICO</t>
  </si>
  <si>
    <t>UADY CAJA AHORRO/BCO.SANTANDER MEXICO S.A FID.2001672-1</t>
  </si>
  <si>
    <t xml:space="preserve">HOTELES PRESIDENTE </t>
  </si>
  <si>
    <t>SANTEP20</t>
  </si>
  <si>
    <t xml:space="preserve">ELAVONSCC CIA </t>
  </si>
  <si>
    <t>ELAVON</t>
  </si>
  <si>
    <t>ELAVONCE CIA</t>
  </si>
  <si>
    <t>ELAVONCE EMP</t>
  </si>
  <si>
    <t>EL POTOSI</t>
  </si>
  <si>
    <t xml:space="preserve">UNIV B. CALIFORNIA </t>
  </si>
  <si>
    <t xml:space="preserve">UNIV.B.CALIFORNIA </t>
  </si>
  <si>
    <t>SAP</t>
  </si>
  <si>
    <t>Palace</t>
  </si>
  <si>
    <t xml:space="preserve"> Grupo Palace Resorts</t>
  </si>
  <si>
    <t>GESBAN-HACIA</t>
  </si>
  <si>
    <t xml:space="preserve">TRIBUNAL JUECES </t>
  </si>
  <si>
    <t>AGUABON QUINCENAL</t>
  </si>
  <si>
    <t>ENVASADORA</t>
  </si>
  <si>
    <t>AGUABON SEMANAL</t>
  </si>
  <si>
    <t>ANAHUAC - INVESTIGACIONES Y ESTUDIOS SUPERIORES SC</t>
  </si>
  <si>
    <t xml:space="preserve">ANAHUAC INVESTIGACIONES Y ESTUDIOS SUPERIORES SC  </t>
  </si>
  <si>
    <t>BREMBO MEXICO</t>
  </si>
  <si>
    <t>ADM SUPER MDO INTER FDO. PENS CD SVIVE20</t>
  </si>
  <si>
    <t>ADM SUPER MDO INTER FDO. PENS CD SVIVE35</t>
  </si>
  <si>
    <t>ADM SUPER MDO INTER FDO. PENS CD SVIVE50</t>
  </si>
  <si>
    <t>ADM SUPER MDO INTER FDO. PENS CD SVIVE60</t>
  </si>
  <si>
    <t>HEB SUPER MERCADOS INT</t>
  </si>
  <si>
    <t xml:space="preserve">IEST </t>
  </si>
  <si>
    <t>IEST - INSTITUTO DE  ESTUDIOS SUPERIORES DE TAMAULIPAS, A.C.</t>
  </si>
  <si>
    <t>INSTITUTO DE ESTUDIOS SUPERIORES DE TAMAULIPAS A.C. CAJA DE AHORRO</t>
  </si>
  <si>
    <t xml:space="preserve">CAJA DE AHORRO </t>
  </si>
  <si>
    <t>IESTPS - IEST PLAN DE PENSIONES</t>
  </si>
  <si>
    <t>IESTPSCONT - IEST PLAN DE PENSIONES CONTINGENCIA</t>
  </si>
  <si>
    <t>KANTENAH SERVICIOS SC FONDO DE AHORRO</t>
  </si>
  <si>
    <t>DANONE LIQUIMEX FDO AHORRO</t>
  </si>
  <si>
    <t>GRUPO DANONE</t>
  </si>
  <si>
    <t>DANONE OAM FDO AHORRO</t>
  </si>
  <si>
    <t xml:space="preserve">OASIS LATINOAMERICA </t>
  </si>
  <si>
    <t>OASISSOUTH</t>
  </si>
  <si>
    <t xml:space="preserve">OASIS SOUTH </t>
  </si>
  <si>
    <t>DANONE OFR SINDICALIZADO FDO AHORRO</t>
  </si>
  <si>
    <t>DANONE OFR NO SINDICALIZADO FDO AHORRO</t>
  </si>
  <si>
    <t>Elevadores OTIS Fondo de Ahorro Empleados</t>
  </si>
  <si>
    <t>OTIS</t>
  </si>
  <si>
    <t>Elevadores OTIS Fondo de Ahorro Sindicalizados</t>
  </si>
  <si>
    <t>POA</t>
  </si>
  <si>
    <t>DANONE OAM FDO PENSIONES</t>
  </si>
  <si>
    <t>POFR</t>
  </si>
  <si>
    <t>DANONE OFR FDO PENSIONES</t>
  </si>
  <si>
    <t xml:space="preserve">AP NO DEDUCIBLE </t>
  </si>
  <si>
    <t>P.P.R.</t>
  </si>
  <si>
    <t xml:space="preserve">AP DEDUCIBLE </t>
  </si>
  <si>
    <t>AP DEDUCIBLE GUBERNAMENTAL</t>
  </si>
  <si>
    <t>SERV. PANAMERICANOS DE PROTECCIÓN</t>
  </si>
  <si>
    <t>BRINS FA</t>
  </si>
  <si>
    <t>BRINKS SERVICIOS ADMINISTRATIVOS FA</t>
  </si>
  <si>
    <t>SERVICIOS PAN AMERICANO DE PROTECCION CAJA DE AHORRO</t>
  </si>
  <si>
    <t>UTD</t>
  </si>
  <si>
    <t>UAA</t>
  </si>
  <si>
    <t>Ajemex Consultores</t>
  </si>
  <si>
    <t>F.AHORRO</t>
  </si>
  <si>
    <t>Y:\Operativa\CONTRATOS DEFINITIVOS.xlsx</t>
  </si>
  <si>
    <t xml:space="preserve">GESTIÓN </t>
  </si>
  <si>
    <t>INSTITU</t>
  </si>
  <si>
    <t>JHONSON SERVICIOS Fid 2460173-1 RFIJA</t>
  </si>
  <si>
    <t>JHONSON SERVICIOS Fid 2460173-3(1036527) RFIJA</t>
  </si>
  <si>
    <t>JHONSON SERVICIOS Fid 2460173-4(1036528) RFIJA</t>
  </si>
  <si>
    <t>JHONSON SERVICIOS Fid 2460173-5(1036529) RV</t>
  </si>
  <si>
    <t>JHONSON SERVIVIOS Fid 2460173-6(1036530) RV</t>
  </si>
  <si>
    <t>JHONSON SERVICIOS Fid 2460173-2(1036526) RV</t>
  </si>
  <si>
    <t>Ajemex</t>
  </si>
  <si>
    <t>EAMSIND</t>
  </si>
  <si>
    <t>EAMEMP</t>
  </si>
  <si>
    <t>CGA</t>
  </si>
  <si>
    <t>EAMSIND - Envasadoras de Aguas en México Sind</t>
  </si>
  <si>
    <t>EAMEMP - Envasadoras de Aguas en México Empl</t>
  </si>
  <si>
    <t>CGA - Compañía General de Aguas</t>
  </si>
  <si>
    <t>UDG</t>
  </si>
  <si>
    <t>RADIOPOLIS CA</t>
  </si>
  <si>
    <t>RADIOPOLIS CA - RADIOPOLIS CAJA DE AHORRO</t>
  </si>
  <si>
    <t>RADIOPOLIS FA</t>
  </si>
  <si>
    <t>RADIOPOLIS FA - RADIOPOLIS FONDO DE AHORRO</t>
  </si>
  <si>
    <t>UNIVERSIDAD DE GUADALAJARA</t>
  </si>
  <si>
    <t>Cocentro</t>
  </si>
  <si>
    <t>Ajegroup</t>
  </si>
  <si>
    <t>Ajemex - Ajemex</t>
  </si>
  <si>
    <t>Cocentro - Cocentro</t>
  </si>
  <si>
    <t>Ajegroup - Ajegroup</t>
  </si>
  <si>
    <t>Danone de Mexico Q</t>
  </si>
  <si>
    <t>DANONE DE MEXICO QUINCENAL</t>
  </si>
  <si>
    <t>BONAFONT QUIN</t>
  </si>
  <si>
    <t>BONAFONT QUINENAL</t>
  </si>
  <si>
    <t>La suprema</t>
  </si>
  <si>
    <t>SUPREMA</t>
  </si>
  <si>
    <t>BONAFONT SEM</t>
  </si>
  <si>
    <t>BONAFONT SEMANAL</t>
  </si>
  <si>
    <t>Danone de México S</t>
  </si>
  <si>
    <t>DANONE DE MEXICO SEMANAL</t>
  </si>
  <si>
    <t>FDO AHORRO</t>
  </si>
  <si>
    <t>GLOBAL FACILITIES EMPLEADO</t>
  </si>
  <si>
    <t>Se aplica 3+T</t>
  </si>
  <si>
    <t>GLOBAL FACILITIES CIA</t>
  </si>
  <si>
    <t>LIQUIDACION</t>
  </si>
  <si>
    <t>Ahorro</t>
  </si>
  <si>
    <t>INSTITUCIONAL</t>
  </si>
  <si>
    <t>El Cliente no envió su información completa/ Ya se le informó vía correo</t>
  </si>
  <si>
    <t>Pensiones</t>
  </si>
  <si>
    <t xml:space="preserve">KANTENAH SERVICIOS SC </t>
  </si>
  <si>
    <t>BRINKS FA</t>
  </si>
  <si>
    <t>SERPAPROSA SPABM</t>
  </si>
  <si>
    <t>ORGANIZACIÓN FR MEXICO, SA DE CV FDO AHORRO SINDICALIZADO</t>
  </si>
  <si>
    <t>LIQUIMEX, S.A. DE C.V. FONDO AHORRO</t>
  </si>
  <si>
    <t>TRASPASO</t>
  </si>
  <si>
    <t xml:space="preserve">PUMA DE MEXICO </t>
  </si>
  <si>
    <t xml:space="preserve">ENVASABON S DE RL DE CV  Fondo de ahorro </t>
  </si>
  <si>
    <t>T+3 (Noa afecta RK</t>
  </si>
  <si>
    <t xml:space="preserve">AGUABON QN S DE RL DE CV FONDO DE AHORRO SIND </t>
  </si>
  <si>
    <t>AGUABONS FA</t>
  </si>
  <si>
    <t>1031341 </t>
  </si>
  <si>
    <t>OPERADORA TURISTICA HOTELERA SA DE CV</t>
  </si>
  <si>
    <t>NO ACTUALIZA</t>
  </si>
  <si>
    <t>CONTRATO EN REPROCESO</t>
  </si>
  <si>
    <t>c</t>
  </si>
  <si>
    <t xml:space="preserve"> (NO AFECTA RK)</t>
  </si>
  <si>
    <t>La Suprema Pens</t>
  </si>
  <si>
    <t>La Suprema Pens - Envasadora la Suprema, S.A. de C.V.</t>
  </si>
  <si>
    <t>Bonafont Pens - Bonafont Pensiones</t>
  </si>
  <si>
    <t>Bonafont Pensiones</t>
  </si>
  <si>
    <t>T+2 (No afecta RK)</t>
  </si>
  <si>
    <t>Danone Mex pensiones</t>
  </si>
  <si>
    <t>Danone Mex pensiones - Danone de México, S.A. de C.V.</t>
  </si>
  <si>
    <t xml:space="preserve"> </t>
  </si>
  <si>
    <t>Arcelor Mittal México</t>
  </si>
  <si>
    <t>Arcelor Mittal Portuarios</t>
  </si>
  <si>
    <t xml:space="preserve">Arcelor Mittal Las Truchas </t>
  </si>
  <si>
    <t>Corporación del Balsas</t>
  </si>
  <si>
    <t>CONTRATO</t>
  </si>
  <si>
    <t>RS</t>
  </si>
  <si>
    <t>FIDUCIARIO NO HA ENVIADO INFORMACIÓN</t>
  </si>
  <si>
    <t>THERMOGAS</t>
  </si>
  <si>
    <t>SPP</t>
  </si>
  <si>
    <t>ORIGEN</t>
  </si>
  <si>
    <t>ENTIDAD LEGAL</t>
  </si>
  <si>
    <t>CECO</t>
  </si>
  <si>
    <t>PROMOTOR</t>
  </si>
  <si>
    <t>NUMERO DE OPERACION</t>
  </si>
  <si>
    <t>FECHA LIQUIDACION</t>
  </si>
  <si>
    <t>MONTO</t>
  </si>
  <si>
    <t>MONEDA</t>
  </si>
  <si>
    <t>VIGENCIA</t>
  </si>
  <si>
    <t>ESTADO</t>
  </si>
  <si>
    <t>MEDIO DE LIQUIDACION</t>
  </si>
  <si>
    <t>CHEQUERA</t>
  </si>
  <si>
    <t>BANCO</t>
  </si>
  <si>
    <t>HORA DE CAPTURA</t>
  </si>
  <si>
    <t>REFERENCIA TRANSFER</t>
  </si>
  <si>
    <t>HORA ENVIO</t>
  </si>
  <si>
    <t>USUARIO</t>
  </si>
  <si>
    <t>BITACORA</t>
  </si>
  <si>
    <t>CLAVE DE TRANSFERENCIA</t>
  </si>
  <si>
    <t>CONCEPTO DE PAGO</t>
  </si>
  <si>
    <t>CLAVE RASTREO</t>
  </si>
  <si>
    <t>HORA APLICACION</t>
  </si>
  <si>
    <t>NUMERO REFERENCIA</t>
  </si>
  <si>
    <t>DEVOLUCION</t>
  </si>
  <si>
    <t>CUI</t>
  </si>
  <si>
    <t>UNIVERSIDAD DE IXTLAHUACA</t>
  </si>
  <si>
    <t>CONTRATO LIQUIDADO</t>
  </si>
  <si>
    <t>CONTRATO CON POSICION DE $682.60</t>
  </si>
  <si>
    <t>Honorarios (no afecta RK)</t>
  </si>
  <si>
    <t>Cancelacion de contrato</t>
  </si>
  <si>
    <t>01000002861</t>
  </si>
  <si>
    <t>CFE</t>
  </si>
  <si>
    <t>CFEnergía</t>
  </si>
  <si>
    <t>CASA LEY SAPI SA DE CV (FONDO DE AHORRO)</t>
  </si>
  <si>
    <t>25D0</t>
  </si>
  <si>
    <t>61A0</t>
  </si>
  <si>
    <t>61A1</t>
  </si>
  <si>
    <t>61A2</t>
  </si>
  <si>
    <t>61C0</t>
  </si>
  <si>
    <t>698W</t>
  </si>
  <si>
    <t>86F0</t>
  </si>
  <si>
    <t>904W</t>
  </si>
  <si>
    <t>MX10</t>
  </si>
  <si>
    <t>Robert Bosch México Sistemas Automotrices, S.A. de C.V. (Fondo de Ahorro 61A0)</t>
  </si>
  <si>
    <t>Robert Bosch México Sistemas Automotrices, S.A. de C.V. (Fondo de Ahorro 61A2)</t>
  </si>
  <si>
    <t>Robert Bosch México Sistemas Automotrices, S.A. de C.V. (Fondo de Ahorro 61C0)</t>
  </si>
  <si>
    <t>Robert Bosch México Sistemas de Seguridad, S.A. de C.V. (Fondo de Ahorro 1528)</t>
  </si>
  <si>
    <t>Robert Bosch México, S.A. de C.V. (Fondo de Ahorro 25D0)</t>
  </si>
  <si>
    <t>Robert Bosch Tool de México, S.A de C.V. (Fondo de Ahorro 41D0)</t>
  </si>
  <si>
    <t>Robert Bosch México Sistemas de Frenos, S. de R.L. de C.V. (Fondo de Ahorro 61A1)</t>
  </si>
  <si>
    <t>Robert Bosch Sistemas Automotrices S.A de C.V (Fondo de Ahorro 6981)</t>
  </si>
  <si>
    <t>Robert Bosch Sistemas Automotrices S.A. de C.V. (Fondo de Ahorro 698W)</t>
  </si>
  <si>
    <t>Frenados Mexicanos, S.A. de C.V. (Fondo de Ahorro 86F0)</t>
  </si>
  <si>
    <t>Robert Bosch S de RL de CV (Fondo de Ahorro 904W)</t>
  </si>
  <si>
    <t>Bosch Rexroth S.A. de C.V. (Fondo de Ahorro MX10)</t>
  </si>
  <si>
    <t>CASA LEY FA</t>
  </si>
  <si>
    <t>CASA LEY PP</t>
  </si>
  <si>
    <t>CASA LEY SAPI SA DE CV (PLAN DE PENSIONES)</t>
  </si>
  <si>
    <t>25D1</t>
  </si>
  <si>
    <t>Robert Bosch México, S.A. de C.V. (Fondo de Ahorro 25D1)</t>
  </si>
  <si>
    <t>41D0</t>
  </si>
  <si>
    <t>BSH Home Appliances, S.A de C.V. (Fondo de Ahorro</t>
  </si>
  <si>
    <t>BSH</t>
  </si>
  <si>
    <t>FTM</t>
  </si>
  <si>
    <t xml:space="preserve"> FUNDACION TELEFONICA MEXICO AC (PLAN DE PENSIONES CONTRIBUCION DEFINIDA</t>
  </si>
  <si>
    <t>PEGASO</t>
  </si>
  <si>
    <t>PEGASO PCS SA DE CV (PLAN DE PENSIONES CONTRIBUCION DEFINIDA</t>
  </si>
  <si>
    <t>AUDI</t>
  </si>
  <si>
    <t>T+2</t>
  </si>
  <si>
    <t>01000003968</t>
  </si>
  <si>
    <t>Inmobiliaria Alpamayo, S.A. de C.V</t>
  </si>
  <si>
    <t>Alpamayo</t>
  </si>
  <si>
    <t>DIFERENCIA POR PAGO DE PRESTAMO</t>
  </si>
  <si>
    <t>monto a validar con el cliente</t>
  </si>
  <si>
    <t>Lumina</t>
  </si>
  <si>
    <t>SAN-BCO</t>
  </si>
  <si>
    <t>eper</t>
  </si>
  <si>
    <t>MXN</t>
  </si>
  <si>
    <t>VIGENTE</t>
  </si>
  <si>
    <t>SETTLED</t>
  </si>
  <si>
    <t>TRANSFERENCIA CAPTACION</t>
  </si>
  <si>
    <t>BANCO SANTANDER, S.A.</t>
  </si>
  <si>
    <t/>
  </si>
  <si>
    <t>N55419</t>
  </si>
  <si>
    <t>BCO-DPL-MEX</t>
  </si>
  <si>
    <t>FCLIENTES</t>
  </si>
  <si>
    <t>OPICS</t>
  </si>
  <si>
    <t>EPER</t>
  </si>
  <si>
    <t>W</t>
  </si>
  <si>
    <t>TRANSFERENCIA INTERNA</t>
  </si>
  <si>
    <t>H2HI</t>
  </si>
  <si>
    <t>RETIRO POR TRANSFERENCIA ELECTRONICA</t>
  </si>
  <si>
    <t>R</t>
  </si>
  <si>
    <t>BCO-RPL-MEX</t>
  </si>
  <si>
    <t>RECEPCION MISMO BANCO</t>
  </si>
  <si>
    <t>SAN-CB</t>
  </si>
  <si>
    <t>CB-RPL-MEX</t>
  </si>
  <si>
    <t>SR</t>
  </si>
  <si>
    <t>retiro por trasnpaso</t>
  </si>
  <si>
    <t xml:space="preserve">diferencia por transpaso </t>
  </si>
  <si>
    <t>Retiro por traspaso</t>
  </si>
  <si>
    <t>instruccion enviada x fidu (No afecta RK)</t>
  </si>
  <si>
    <t>EP</t>
  </si>
  <si>
    <t xml:space="preserve">importe devuelto </t>
  </si>
  <si>
    <t>RECEPCION INTERNA</t>
  </si>
  <si>
    <t>BANCO SANTANDER DE NEGOCIOS MEXICO</t>
  </si>
  <si>
    <t>DEPOSITO POR TRANSFERENCIA ELECTRONICA</t>
  </si>
  <si>
    <t>t+2</t>
  </si>
  <si>
    <t>7414</t>
  </si>
  <si>
    <t>1036613</t>
  </si>
  <si>
    <t>0</t>
  </si>
  <si>
    <t>65501165736</t>
  </si>
  <si>
    <t>1008774</t>
  </si>
  <si>
    <t>1024556</t>
  </si>
  <si>
    <t>2001140</t>
  </si>
  <si>
    <t>2001141</t>
  </si>
  <si>
    <t>2001142</t>
  </si>
  <si>
    <t>01000003306</t>
  </si>
  <si>
    <t>QUE1</t>
  </si>
  <si>
    <t>Bosch Rexroth, S.A. de C.V. (Fondo de Ahorro QUE1)</t>
  </si>
  <si>
    <t>BCO-DCC-WSS</t>
  </si>
  <si>
    <t>EA</t>
  </si>
  <si>
    <t>65502334887</t>
  </si>
  <si>
    <t>65506131264</t>
  </si>
  <si>
    <t>S14</t>
  </si>
  <si>
    <t>STAHL</t>
  </si>
  <si>
    <t>STAHL PENS</t>
  </si>
  <si>
    <t>STAHL VIVE20-N</t>
  </si>
  <si>
    <t>65506131264A-N</t>
  </si>
  <si>
    <t>STAHL VIVE35-N</t>
  </si>
  <si>
    <t>65506131264B-N</t>
  </si>
  <si>
    <t>01000003293</t>
  </si>
  <si>
    <t>65506488218</t>
  </si>
  <si>
    <t>12:04:08</t>
  </si>
  <si>
    <t>01000003295</t>
  </si>
  <si>
    <t>ROBERT BOSCH</t>
  </si>
  <si>
    <t>01000003301</t>
  </si>
  <si>
    <t>65509560409</t>
  </si>
  <si>
    <t>12:04:53</t>
  </si>
  <si>
    <t>01000003291</t>
  </si>
  <si>
    <t>01000003298</t>
  </si>
  <si>
    <t>DIVISION FIDUCIARIA</t>
  </si>
  <si>
    <t>01000003300</t>
  </si>
  <si>
    <t>01000003292</t>
  </si>
  <si>
    <t>01000003297</t>
  </si>
  <si>
    <t>01000003299</t>
  </si>
  <si>
    <t>01:04:08</t>
  </si>
  <si>
    <t>01000003302</t>
  </si>
  <si>
    <t>01000003305</t>
  </si>
  <si>
    <t>10:04:17</t>
  </si>
  <si>
    <t>RT</t>
  </si>
  <si>
    <t>Parker Industrial F A FC</t>
  </si>
  <si>
    <t>Parker Industrial F A Baj</t>
  </si>
  <si>
    <t>GUNDERSON-GIMSA</t>
  </si>
  <si>
    <t>AM</t>
  </si>
  <si>
    <t>ArcelorMittal México</t>
  </si>
  <si>
    <t>5234576</t>
  </si>
  <si>
    <t>2024-04-12</t>
  </si>
  <si>
    <t>09:50:12</t>
  </si>
  <si>
    <t>6504533</t>
  </si>
  <si>
    <t>09:04:14</t>
  </si>
  <si>
    <t>01000003633</t>
  </si>
  <si>
    <t>5236235</t>
  </si>
  <si>
    <t>12:52:12</t>
  </si>
  <si>
    <t>7289656</t>
  </si>
  <si>
    <t>12:04:14</t>
  </si>
  <si>
    <t>97602914</t>
  </si>
  <si>
    <t>11:04:07</t>
  </si>
  <si>
    <t>32188885</t>
  </si>
  <si>
    <t>1037085</t>
  </si>
  <si>
    <t>5237559</t>
  </si>
  <si>
    <t>02:00:47</t>
  </si>
  <si>
    <t>140046</t>
  </si>
  <si>
    <t>97603580</t>
  </si>
  <si>
    <t>12:04:07</t>
  </si>
  <si>
    <t>32189021</t>
  </si>
  <si>
    <t>152971</t>
  </si>
  <si>
    <t>5234613</t>
  </si>
  <si>
    <t>09:54:02</t>
  </si>
  <si>
    <t>DIVISIoN FIDUCIARIA</t>
  </si>
  <si>
    <t>6516764</t>
  </si>
  <si>
    <t>09:04:03</t>
  </si>
  <si>
    <t>095400</t>
  </si>
  <si>
    <t>65509890080</t>
  </si>
  <si>
    <t>5237301</t>
  </si>
  <si>
    <t>01:43:29</t>
  </si>
  <si>
    <t>CITY FRESKO</t>
  </si>
  <si>
    <t>7553618</t>
  </si>
  <si>
    <t>01:04:31</t>
  </si>
  <si>
    <t>134326</t>
  </si>
  <si>
    <t>5236535</t>
  </si>
  <si>
    <t>ACC COMP</t>
  </si>
  <si>
    <t>01:15:16</t>
  </si>
  <si>
    <t>131512</t>
  </si>
  <si>
    <t>65502313952</t>
  </si>
  <si>
    <t>5235940</t>
  </si>
  <si>
    <t>12:13:51</t>
  </si>
  <si>
    <t>7099471</t>
  </si>
  <si>
    <t>1008776</t>
  </si>
  <si>
    <t>5234488</t>
  </si>
  <si>
    <t>09:44:27</t>
  </si>
  <si>
    <t>6484844</t>
  </si>
  <si>
    <t>09:04:29</t>
  </si>
  <si>
    <t>5236533</t>
  </si>
  <si>
    <t>01:15:15</t>
  </si>
  <si>
    <t>147311</t>
  </si>
  <si>
    <t>5235919</t>
  </si>
  <si>
    <t>12:08:57</t>
  </si>
  <si>
    <t>7075640</t>
  </si>
  <si>
    <t>12:04:59</t>
  </si>
  <si>
    <t>120854</t>
  </si>
  <si>
    <t>5236013</t>
  </si>
  <si>
    <t>12:23:28</t>
  </si>
  <si>
    <t>7145342</t>
  </si>
  <si>
    <t>12:04:29</t>
  </si>
  <si>
    <t>97603432</t>
  </si>
  <si>
    <t>32188992</t>
  </si>
  <si>
    <t>1037118</t>
  </si>
  <si>
    <t>5237556</t>
  </si>
  <si>
    <t>65509890276</t>
  </si>
  <si>
    <t>5237299</t>
  </si>
  <si>
    <t>7553592</t>
  </si>
  <si>
    <t>147309</t>
  </si>
  <si>
    <t>5236332</t>
  </si>
  <si>
    <t>01:00:07</t>
  </si>
  <si>
    <t>7324763</t>
  </si>
  <si>
    <t>120424</t>
  </si>
  <si>
    <t>5236528</t>
  </si>
  <si>
    <t>5236531</t>
  </si>
  <si>
    <t>152974</t>
  </si>
  <si>
    <t>5234614</t>
  </si>
  <si>
    <t>6514870</t>
  </si>
  <si>
    <t>152981</t>
  </si>
  <si>
    <t>5234615</t>
  </si>
  <si>
    <t>6516759</t>
  </si>
  <si>
    <t>5234927</t>
  </si>
  <si>
    <t>10:38:16</t>
  </si>
  <si>
    <t>6687853</t>
  </si>
  <si>
    <t>10:04:18</t>
  </si>
  <si>
    <t>5234995</t>
  </si>
  <si>
    <t>10:50:26</t>
  </si>
  <si>
    <t>6733506</t>
  </si>
  <si>
    <t>10:04:28</t>
  </si>
  <si>
    <t>5237193</t>
  </si>
  <si>
    <t>01:38:10</t>
  </si>
  <si>
    <t>1037113</t>
  </si>
  <si>
    <t>5237560</t>
  </si>
  <si>
    <t>02:00:49</t>
  </si>
  <si>
    <t>5236085</t>
  </si>
  <si>
    <t>12:31:44</t>
  </si>
  <si>
    <t>7184709</t>
  </si>
  <si>
    <t>12:04:47</t>
  </si>
  <si>
    <t>123140</t>
  </si>
  <si>
    <t>147314</t>
  </si>
  <si>
    <t>5236086</t>
  </si>
  <si>
    <t>12:31:45</t>
  </si>
  <si>
    <t>7184736</t>
  </si>
  <si>
    <t>65509890154</t>
  </si>
  <si>
    <t>5237300</t>
  </si>
  <si>
    <t>7553598</t>
  </si>
  <si>
    <t>5236536</t>
  </si>
  <si>
    <t>5236529</t>
  </si>
  <si>
    <t>5236530</t>
  </si>
  <si>
    <t>5235950</t>
  </si>
  <si>
    <t>12:15:17</t>
  </si>
  <si>
    <t>7106348</t>
  </si>
  <si>
    <t>12:04:18</t>
  </si>
  <si>
    <t>5237356</t>
  </si>
  <si>
    <t>01:46:26</t>
  </si>
  <si>
    <t>7569436</t>
  </si>
  <si>
    <t>01:04:27</t>
  </si>
  <si>
    <t>5234972</t>
  </si>
  <si>
    <t>10:47:44</t>
  </si>
  <si>
    <t>6722844</t>
  </si>
  <si>
    <t>10:04:45</t>
  </si>
  <si>
    <t>5237176</t>
  </si>
  <si>
    <t>01:37:34</t>
  </si>
  <si>
    <t>1037117</t>
  </si>
  <si>
    <t>5237558</t>
  </si>
  <si>
    <t>65509889998</t>
  </si>
  <si>
    <t>5237303</t>
  </si>
  <si>
    <t>01:43:30</t>
  </si>
  <si>
    <t>7553631</t>
  </si>
  <si>
    <t>01:04:32</t>
  </si>
  <si>
    <t>152979</t>
  </si>
  <si>
    <t>5234618</t>
  </si>
  <si>
    <t>6516769</t>
  </si>
  <si>
    <t>09:04:04</t>
  </si>
  <si>
    <t>65503040718</t>
  </si>
  <si>
    <t>5237302</t>
  </si>
  <si>
    <t>7553632</t>
  </si>
  <si>
    <t>5236534</t>
  </si>
  <si>
    <t>65500498081</t>
  </si>
  <si>
    <t>5235930</t>
  </si>
  <si>
    <t>12:12:57</t>
  </si>
  <si>
    <t>7095501</t>
  </si>
  <si>
    <t>12:04:58</t>
  </si>
  <si>
    <t>1018867</t>
  </si>
  <si>
    <t>5234936</t>
  </si>
  <si>
    <t>65501943181</t>
  </si>
  <si>
    <t>10:40:15</t>
  </si>
  <si>
    <t>6695665</t>
  </si>
  <si>
    <t>5236314</t>
  </si>
  <si>
    <t>12:58:54</t>
  </si>
  <si>
    <t>7319198</t>
  </si>
  <si>
    <t>12:04:55</t>
  </si>
  <si>
    <t>152976</t>
  </si>
  <si>
    <t>5234616</t>
  </si>
  <si>
    <t>6516765</t>
  </si>
  <si>
    <t>152983</t>
  </si>
  <si>
    <t>5234617</t>
  </si>
  <si>
    <t>6516762</t>
  </si>
  <si>
    <t>1037086</t>
  </si>
  <si>
    <t>5237555</t>
  </si>
  <si>
    <t>5237557</t>
  </si>
  <si>
    <t>1037090</t>
  </si>
  <si>
    <t>5237553</t>
  </si>
  <si>
    <t>01000003294</t>
  </si>
  <si>
    <t>5236537</t>
  </si>
  <si>
    <t>5236532</t>
  </si>
  <si>
    <t>24094927</t>
  </si>
  <si>
    <t>13:04:07</t>
  </si>
  <si>
    <t>6209773</t>
  </si>
  <si>
    <t>24094623</t>
  </si>
  <si>
    <t>07:04:07</t>
  </si>
  <si>
    <t>6209443</t>
  </si>
  <si>
    <t>24094619</t>
  </si>
  <si>
    <t>6209441</t>
  </si>
  <si>
    <t>24094916</t>
  </si>
  <si>
    <t>6209756</t>
  </si>
  <si>
    <t>2001050</t>
  </si>
  <si>
    <t>5234955</t>
  </si>
  <si>
    <t>10:43:52</t>
  </si>
  <si>
    <t>CB-DPL-NOD</t>
  </si>
  <si>
    <t>104350</t>
  </si>
  <si>
    <t>24094929</t>
  </si>
  <si>
    <t>6209774</t>
  </si>
  <si>
    <t>24094607</t>
  </si>
  <si>
    <t>6209435</t>
  </si>
  <si>
    <t>24094621</t>
  </si>
  <si>
    <t>6209442</t>
  </si>
  <si>
    <t>24094910</t>
  </si>
  <si>
    <t>6209753</t>
  </si>
  <si>
    <t>24094609</t>
  </si>
  <si>
    <t>6209436</t>
  </si>
  <si>
    <t>24094925</t>
  </si>
  <si>
    <t>6209772</t>
  </si>
  <si>
    <t>2000221</t>
  </si>
  <si>
    <t>5234554</t>
  </si>
  <si>
    <t>09:49:05</t>
  </si>
  <si>
    <t>6499713</t>
  </si>
  <si>
    <t>09:04:07</t>
  </si>
  <si>
    <t>2000220</t>
  </si>
  <si>
    <t>5237375</t>
  </si>
  <si>
    <t>01:47:45</t>
  </si>
  <si>
    <t>7575825</t>
  </si>
  <si>
    <t>01:04:46</t>
  </si>
  <si>
    <t>2000218</t>
  </si>
  <si>
    <t>5234536</t>
  </si>
  <si>
    <t>09:48:04</t>
  </si>
  <si>
    <t>6496355</t>
  </si>
  <si>
    <t>09:04:05</t>
  </si>
  <si>
    <t>24094631</t>
  </si>
  <si>
    <t>6209447</t>
  </si>
  <si>
    <t>24094920</t>
  </si>
  <si>
    <t>6209758</t>
  </si>
  <si>
    <t>24094625</t>
  </si>
  <si>
    <t>6209444</t>
  </si>
  <si>
    <t>24094912</t>
  </si>
  <si>
    <t>6209754</t>
  </si>
  <si>
    <t>2000217</t>
  </si>
  <si>
    <t>5237369</t>
  </si>
  <si>
    <t>01:47:13</t>
  </si>
  <si>
    <t>7571815</t>
  </si>
  <si>
    <t>01:04:15</t>
  </si>
  <si>
    <t>2000905</t>
  </si>
  <si>
    <t>5236576</t>
  </si>
  <si>
    <t>RECEPCION SPEI</t>
  </si>
  <si>
    <t>01:18:04</t>
  </si>
  <si>
    <t>7405997</t>
  </si>
  <si>
    <t>CB-DPL-SPE</t>
  </si>
  <si>
    <t>12:04:34</t>
  </si>
  <si>
    <t>24094914</t>
  </si>
  <si>
    <t>6209755</t>
  </si>
  <si>
    <t>24094918</t>
  </si>
  <si>
    <t>6209757</t>
  </si>
  <si>
    <t>2001049</t>
  </si>
  <si>
    <t>5234954</t>
  </si>
  <si>
    <t>JONHSON Y TU</t>
  </si>
  <si>
    <t>JOHNSON-2-(152971)</t>
  </si>
  <si>
    <t>JOHNSON-3-(152974)</t>
  </si>
  <si>
    <t>JOHNSON-4-(152983)</t>
  </si>
  <si>
    <t>JOHNSON-5-(152976)</t>
  </si>
  <si>
    <t>JOHNSON-6-(152979)</t>
  </si>
  <si>
    <t>MOTOROLA MOB</t>
  </si>
  <si>
    <t>MOTOROLA MOBILITY 1008496</t>
  </si>
  <si>
    <t xml:space="preserve">GRAL CABLE </t>
  </si>
  <si>
    <t>2257- GENERAL DC</t>
  </si>
  <si>
    <t xml:space="preserve">PRESTOLITE </t>
  </si>
  <si>
    <t>2258- PRESTOLITE</t>
  </si>
  <si>
    <t>LA CORONA</t>
  </si>
  <si>
    <t>FABRICA DE JABON LA CORON</t>
  </si>
  <si>
    <t>GRAMMERPUEBLA</t>
  </si>
  <si>
    <t>GRAMMER PUEBLA</t>
  </si>
  <si>
    <t>ST</t>
  </si>
  <si>
    <t>GRAMMERPUEBLA(Q)</t>
  </si>
  <si>
    <t>GRAMMER PUEBLA (QUERETARO</t>
  </si>
  <si>
    <t>GMM</t>
  </si>
  <si>
    <t>PHNIA SL SIND</t>
  </si>
  <si>
    <t>BW San Luis Sindicalizado</t>
  </si>
  <si>
    <t>COMERCIALIZADORA</t>
  </si>
  <si>
    <t>BW COMERCIALIZADORA</t>
  </si>
  <si>
    <t>Campari Mexico FA</t>
  </si>
  <si>
    <t>Campari Mexico Pens</t>
  </si>
  <si>
    <t>147309/1002461</t>
  </si>
  <si>
    <t>UADY 147309 FID/1002461</t>
  </si>
  <si>
    <t>RV</t>
  </si>
  <si>
    <t>GM FINANCIAL DE MEXICO FA</t>
  </si>
  <si>
    <t>Borgwarner Turbo And Emis</t>
  </si>
  <si>
    <t>MAZDA</t>
  </si>
  <si>
    <t>NGK Ceramics México</t>
  </si>
  <si>
    <t>PARKER SERVICIOS</t>
  </si>
  <si>
    <t>PARKER SERVICIOS PREST</t>
  </si>
  <si>
    <t>2202 parker</t>
  </si>
  <si>
    <t>2202P parker</t>
  </si>
  <si>
    <t>2202P</t>
  </si>
  <si>
    <t>Puma Mexico Sport</t>
  </si>
  <si>
    <t>Importaciones RDS</t>
  </si>
  <si>
    <t>SECRETOS MOXCHE</t>
  </si>
  <si>
    <t>Abent 3T</t>
  </si>
  <si>
    <t>C. A. TRABAJADORES CAF</t>
  </si>
  <si>
    <t>C. A. TRABAJADORES CAF PR</t>
  </si>
  <si>
    <t>APG</t>
  </si>
  <si>
    <t>Thyssenkrup Presta de Méx</t>
  </si>
  <si>
    <t>GPLA CA</t>
  </si>
  <si>
    <t>2248P- GRUPO PLASENCIA</t>
  </si>
  <si>
    <t>2248P</t>
  </si>
  <si>
    <t>2248- GRUPO PLASENCIA</t>
  </si>
  <si>
    <t>Baldwin Filters Pres</t>
  </si>
  <si>
    <t>Baldwin Filters</t>
  </si>
  <si>
    <t>FEDERAL MOGUL DE MATAMORO</t>
  </si>
  <si>
    <t>2277P PARKER</t>
  </si>
  <si>
    <t>2277P</t>
  </si>
  <si>
    <t>2277 PARKER</t>
  </si>
  <si>
    <t>Borgwarner SLP CA Pres</t>
  </si>
  <si>
    <t>Borgwarner SLP CA</t>
  </si>
  <si>
    <t>147311/112720</t>
  </si>
  <si>
    <t>UADY 147311 FID/112720</t>
  </si>
  <si>
    <t>147314/204410</t>
  </si>
  <si>
    <t>UADY 147314 FID/204410</t>
  </si>
  <si>
    <t>UJAT</t>
  </si>
  <si>
    <t>UJAT PREST</t>
  </si>
  <si>
    <t>65502313952P</t>
  </si>
  <si>
    <t xml:space="preserve">ANAHUAC </t>
  </si>
  <si>
    <t>STAHL VIVE50-N</t>
  </si>
  <si>
    <t>65506131264C-N</t>
  </si>
  <si>
    <t xml:space="preserve">INFONACOT </t>
  </si>
  <si>
    <t>INFONACOT</t>
  </si>
  <si>
    <t>TEQUILA SAUZA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</si>
</sst>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quot;$&quot;#,##0.00"/>
    <numFmt numFmtId="8" formatCode="&quot;$&quot;#,##0.00;[Red]\-&quot;$&quot;#,##0.00"/>
    <numFmt numFmtId="44" formatCode="_-&quot;$&quot;* #,##0.00_-;\-&quot;$&quot;* #,##0.00_-;_-&quot;$&quot;* &quot;-&quot;??_-;_-@_-"/>
    <numFmt numFmtId="43" formatCode="_-* #,##0.00_-;\-* #,##0.00_-;_-* &quot;-&quot;??_-;_-@_-"/>
    <numFmt numFmtId="164" formatCode="#,##0.00_ ;[Red]\-#,##0.00\ "/>
    <numFmt numFmtId="165" formatCode="###,###,###,###,##0.00"/>
    <numFmt numFmtId="166" formatCode="[$-80A]dddd\,\ dd&quot; de &quot;mmmm&quot; de &quot;yyyy;@"/>
    <numFmt numFmtId="167" formatCode="dd/mm/yy;@"/>
    <numFmt numFmtId="168" formatCode="\$#,##0.00;[Red]\-\$#,##0.00"/>
    <numFmt numFmtId="169" formatCode="&quot;$&quot;0.00;\-&quot;$&quot;0.00"/>
    <numFmt numFmtId="170" formatCode="00000000000"/>
  </numFmts>
  <fonts count="11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sz val="10"/>
      <name val="Arial"/>
      <family val="2"/>
    </font>
    <font>
      <u/>
      <sz val="10"/>
      <color indexed="12"/>
      <name val="Arial"/>
      <family val="2"/>
    </font>
    <font>
      <sz val="10"/>
      <color indexed="8"/>
      <name val="Arial"/>
      <family val="2"/>
    </font>
    <font>
      <sz val="8.25"/>
      <name val="Microsoft Sans Serif"/>
      <family val="2"/>
    </font>
    <font>
      <b/>
      <sz val="8.25"/>
      <name val="Microsoft Sans Serif"/>
      <family val="2"/>
    </font>
    <font>
      <sz val="10"/>
      <color indexed="8"/>
      <name val="Arial"/>
      <family val="2"/>
    </font>
    <font>
      <sz val="11"/>
      <color indexed="8"/>
      <name val="Calibri"/>
      <family val="2"/>
    </font>
    <font>
      <sz val="11"/>
      <name val="Calibri"/>
      <family val="2"/>
    </font>
    <font>
      <sz val="11"/>
      <color indexed="8"/>
      <name val="Calibri"/>
      <family val="2"/>
    </font>
    <font>
      <sz val="8.25"/>
      <name val="Microsoft Sans Serif"/>
      <family val="2"/>
    </font>
    <font>
      <sz val="11"/>
      <color indexed="8"/>
      <name val="Calibri"/>
      <family val="2"/>
    </font>
    <font>
      <sz val="11"/>
      <color indexed="8"/>
      <name val="Calibri"/>
      <family val="2"/>
    </font>
    <font>
      <sz val="11"/>
      <color indexed="8"/>
      <name val="Calibri"/>
      <family val="2"/>
    </font>
    <font>
      <sz val="11"/>
      <color indexed="8"/>
      <name val="Calibri"/>
      <family val="2"/>
    </font>
    <font>
      <b/>
      <sz val="11"/>
      <name val="Calibri"/>
      <family val="2"/>
    </font>
    <font>
      <sz val="11"/>
      <color indexed="10"/>
      <name val="Calibri"/>
      <family val="2"/>
    </font>
    <font>
      <sz val="8"/>
      <name val="Arial"/>
      <family val="2"/>
    </font>
    <font>
      <sz val="7"/>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8.25"/>
      <name val="Microsoft Sans Serif"/>
      <family val="2"/>
    </font>
    <font>
      <sz val="10"/>
      <name val="Arial"/>
      <family val="2"/>
    </font>
    <font>
      <sz val="10"/>
      <name val="Arial"/>
      <family val="2"/>
    </font>
    <font>
      <sz val="10"/>
      <name val="Arial"/>
      <family val="2"/>
    </font>
    <font>
      <sz val="10"/>
      <name val="Arial"/>
      <family val="2"/>
    </font>
    <font>
      <sz val="10"/>
      <name val="Arial"/>
      <family val="2"/>
    </font>
    <font>
      <sz val="8.25"/>
      <name val="Microsoft Sans Serif"/>
      <family val="2"/>
    </font>
    <font>
      <sz val="8.25"/>
      <name val="Microsoft Sans Serif"/>
      <family val="2"/>
    </font>
    <font>
      <sz val="10"/>
      <name val="Arial"/>
      <family val="2"/>
    </font>
    <font>
      <sz val="10"/>
      <name val="Arial"/>
      <family val="2"/>
    </font>
    <font>
      <b/>
      <sz val="10"/>
      <color indexed="18"/>
      <name val="Arial"/>
      <family val="2"/>
    </font>
    <font>
      <sz val="8.25"/>
      <name val="Microsoft Sans Serif"/>
      <family val="2"/>
    </font>
    <font>
      <sz val="8.25"/>
      <name val="Microsoft Sans Serif"/>
      <family val="2"/>
    </font>
    <font>
      <sz val="10"/>
      <name val="Arial"/>
      <family val="2"/>
    </font>
    <font>
      <sz val="8.25"/>
      <name val="Microsoft Sans Serif"/>
      <family val="2"/>
    </font>
    <font>
      <b/>
      <sz val="10"/>
      <color indexed="18"/>
      <name val="Arial"/>
      <family val="2"/>
    </font>
    <font>
      <sz val="11"/>
      <name val="Arial"/>
      <family val="2"/>
    </font>
    <font>
      <sz val="11"/>
      <color indexed="10"/>
      <name val="Arial"/>
      <family val="2"/>
    </font>
    <font>
      <b/>
      <sz val="11"/>
      <color indexed="10"/>
      <name val="Calibri"/>
      <family val="2"/>
    </font>
    <font>
      <b/>
      <i/>
      <sz val="11"/>
      <name val="Calibri"/>
      <family val="2"/>
    </font>
    <font>
      <sz val="11"/>
      <color theme="1"/>
      <name val="Calibri"/>
      <family val="2"/>
      <scheme val="minor"/>
    </font>
    <font>
      <sz val="10"/>
      <color theme="1"/>
      <name val="Arial"/>
      <family val="2"/>
    </font>
    <font>
      <sz val="11"/>
      <color theme="0"/>
      <name val="Calibri"/>
      <family val="2"/>
      <scheme val="minor"/>
    </font>
    <font>
      <sz val="10"/>
      <color theme="0"/>
      <name val="Arial"/>
      <family val="2"/>
    </font>
    <font>
      <sz val="11"/>
      <color rgb="FF9C0006"/>
      <name val="Calibri"/>
      <family val="2"/>
      <scheme val="minor"/>
    </font>
    <font>
      <sz val="10"/>
      <color rgb="FF006100"/>
      <name val="Arial"/>
      <family val="2"/>
    </font>
    <font>
      <sz val="11"/>
      <color rgb="FF006100"/>
      <name val="Calibri"/>
      <family val="2"/>
      <scheme val="minor"/>
    </font>
    <font>
      <b/>
      <sz val="11"/>
      <color rgb="FFFA7D00"/>
      <name val="Calibri"/>
      <family val="2"/>
      <scheme val="minor"/>
    </font>
    <font>
      <b/>
      <sz val="10"/>
      <color rgb="FFFA7D00"/>
      <name val="Arial"/>
      <family val="2"/>
    </font>
    <font>
      <b/>
      <sz val="10"/>
      <color theme="0"/>
      <name val="Arial"/>
      <family val="2"/>
    </font>
    <font>
      <b/>
      <sz val="11"/>
      <color theme="0"/>
      <name val="Calibri"/>
      <family val="2"/>
      <scheme val="minor"/>
    </font>
    <font>
      <sz val="10"/>
      <color rgb="FFFA7D00"/>
      <name val="Arial"/>
      <family val="2"/>
    </font>
    <font>
      <sz val="11"/>
      <color rgb="FFFA7D00"/>
      <name val="Calibri"/>
      <family val="2"/>
      <scheme val="minor"/>
    </font>
    <font>
      <b/>
      <sz val="11"/>
      <color theme="3"/>
      <name val="Arial"/>
      <family val="2"/>
    </font>
    <font>
      <b/>
      <sz val="11"/>
      <color theme="3"/>
      <name val="Calibri"/>
      <family val="2"/>
      <scheme val="minor"/>
    </font>
    <font>
      <sz val="10"/>
      <color rgb="FF3F3F76"/>
      <name val="Arial"/>
      <family val="2"/>
    </font>
    <font>
      <sz val="11"/>
      <color rgb="FF3F3F76"/>
      <name val="Calibri"/>
      <family val="2"/>
      <scheme val="minor"/>
    </font>
    <font>
      <i/>
      <sz val="11"/>
      <color rgb="FF7F7F7F"/>
      <name val="Calibri"/>
      <family val="2"/>
      <scheme val="minor"/>
    </font>
    <font>
      <b/>
      <sz val="15"/>
      <color theme="3"/>
      <name val="Calibri"/>
      <family val="2"/>
      <scheme val="minor"/>
    </font>
    <font>
      <b/>
      <sz val="13"/>
      <color theme="3"/>
      <name val="Calibri"/>
      <family val="2"/>
      <scheme val="minor"/>
    </font>
    <font>
      <sz val="10"/>
      <color rgb="FF9C0006"/>
      <name val="Arial"/>
      <family val="2"/>
    </font>
    <font>
      <sz val="10"/>
      <color rgb="FF9C6500"/>
      <name val="Arial"/>
      <family val="2"/>
    </font>
    <font>
      <sz val="11"/>
      <color rgb="FF9C6500"/>
      <name val="Calibri"/>
      <family val="2"/>
      <scheme val="minor"/>
    </font>
    <font>
      <b/>
      <sz val="11"/>
      <color rgb="FF3F3F3F"/>
      <name val="Calibri"/>
      <family val="2"/>
      <scheme val="minor"/>
    </font>
    <font>
      <b/>
      <sz val="10"/>
      <color rgb="FF3F3F3F"/>
      <name val="Arial"/>
      <family val="2"/>
    </font>
    <font>
      <sz val="10"/>
      <color rgb="FFFF0000"/>
      <name val="Arial"/>
      <family val="2"/>
    </font>
    <font>
      <sz val="11"/>
      <color rgb="FFFF0000"/>
      <name val="Calibri"/>
      <family val="2"/>
      <scheme val="minor"/>
    </font>
    <font>
      <i/>
      <sz val="10"/>
      <color rgb="FF7F7F7F"/>
      <name val="Arial"/>
      <family val="2"/>
    </font>
    <font>
      <b/>
      <sz val="18"/>
      <color theme="3"/>
      <name val="Cambria"/>
      <family val="2"/>
      <scheme val="major"/>
    </font>
    <font>
      <b/>
      <sz val="13"/>
      <color theme="3"/>
      <name val="Arial"/>
      <family val="2"/>
    </font>
    <font>
      <b/>
      <sz val="10"/>
      <color theme="1"/>
      <name val="Arial"/>
      <family val="2"/>
    </font>
    <font>
      <b/>
      <sz val="11"/>
      <color theme="1"/>
      <name val="Calibri"/>
      <family val="2"/>
      <scheme val="minor"/>
    </font>
    <font>
      <sz val="11"/>
      <color rgb="FF1F497D"/>
      <name val="Calibri"/>
      <family val="2"/>
    </font>
    <font>
      <sz val="12"/>
      <name val="Arial"/>
      <family val="2"/>
    </font>
    <font>
      <b/>
      <sz val="10"/>
      <color theme="1"/>
      <name val="Calibri"/>
      <family val="2"/>
      <scheme val="minor"/>
    </font>
    <font>
      <sz val="10"/>
      <color theme="1"/>
      <name val="Tahoma"/>
      <family val="2"/>
    </font>
    <font>
      <sz val="8.25"/>
      <name val="Microsoft Sans Serif"/>
      <family val="2"/>
    </font>
    <font>
      <sz val="8.25"/>
      <name val="Microsoft Sans Serif"/>
      <family val="2"/>
    </font>
    <font>
      <sz val="10"/>
      <name val="Arial"/>
      <family val="2"/>
    </font>
    <font>
      <sz val="18"/>
      <color theme="3"/>
      <name val="Cambria"/>
      <family val="2"/>
      <scheme val="major"/>
    </font>
    <font>
      <sz val="11"/>
      <color rgb="FF9C5700"/>
      <name val="Calibri"/>
      <family val="2"/>
      <scheme val="minor"/>
    </font>
    <font>
      <sz val="10"/>
      <name val="Calibri"/>
      <family val="2"/>
      <scheme val="minor"/>
    </font>
    <font>
      <b/>
      <sz val="10"/>
      <name val="Calibri"/>
      <family val="2"/>
      <scheme val="minor"/>
    </font>
    <font>
      <b/>
      <i/>
      <sz val="12"/>
      <color rgb="FFFF0000"/>
      <name val="Calibri"/>
      <family val="2"/>
    </font>
    <font>
      <b/>
      <sz val="10"/>
      <color rgb="FFFF0000"/>
      <name val="Arial"/>
      <family val="2"/>
    </font>
    <font>
      <sz val="11"/>
      <color indexed="8"/>
      <name val="Calibri"/>
      <family val="2"/>
      <scheme val="minor"/>
    </font>
    <font>
      <sz val="12"/>
      <color rgb="FF000000"/>
      <name val="Calibri"/>
      <family val="2"/>
    </font>
    <font>
      <sz val="8.25"/>
      <name val="Microsoft Sans Serif"/>
      <family val="2"/>
    </font>
    <font>
      <b/>
      <sz val="8"/>
      <name val="Arial"/>
    </font>
    <font>
      <sz val="8"/>
      <name val="Arial"/>
    </font>
    <font>
      <sz val="8.25"/>
      <name val="Microsoft Sans Serif"/>
    </font>
  </fonts>
  <fills count="5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11"/>
      </patternFill>
    </fill>
    <fill>
      <patternFill patternType="solid">
        <fgColor indexed="36"/>
      </patternFill>
    </fill>
    <fill>
      <patternFill patternType="solid">
        <fgColor indexed="52"/>
      </patternFill>
    </fill>
    <fill>
      <patternFill patternType="solid">
        <fgColor indexed="26"/>
      </patternFill>
    </fill>
    <fill>
      <patternFill patternType="solid">
        <fgColor indexed="50"/>
        <bgColor indexed="64"/>
      </patternFill>
    </fill>
    <fill>
      <patternFill patternType="solid">
        <fgColor indexed="29"/>
        <bgColor indexed="64"/>
      </patternFill>
    </fill>
    <fill>
      <patternFill patternType="solid">
        <fgColor indexed="13"/>
        <bgColor indexed="22"/>
      </patternFill>
    </fill>
    <fill>
      <patternFill patternType="solid">
        <fgColor indexed="50"/>
        <bgColor indexed="22"/>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EB9C"/>
      </patternFill>
    </fill>
    <fill>
      <patternFill patternType="solid">
        <fgColor rgb="FFFFFFCC"/>
      </patternFill>
    </fill>
    <fill>
      <patternFill patternType="solid">
        <fgColor theme="7"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indexed="55"/>
      </patternFill>
    </fill>
  </fills>
  <borders count="47">
    <border>
      <left/>
      <right/>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thin">
        <color indexed="64"/>
      </left>
      <right style="thin">
        <color indexed="64"/>
      </right>
      <top/>
      <bottom/>
      <diagonal/>
    </border>
    <border>
      <left style="medium">
        <color indexed="8"/>
      </left>
      <right/>
      <top style="medium">
        <color indexed="8"/>
      </top>
      <bottom/>
      <diagonal/>
    </border>
    <border>
      <left/>
      <right/>
      <top style="medium">
        <color indexed="8"/>
      </top>
      <bottom/>
      <diagonal/>
    </border>
    <border>
      <left style="medium">
        <color indexed="8"/>
      </left>
      <right/>
      <top/>
      <bottom/>
      <diagonal/>
    </border>
    <border>
      <left style="medium">
        <color indexed="8"/>
      </left>
      <right/>
      <top/>
      <bottom style="medium">
        <color indexed="8"/>
      </bottom>
      <diagonal/>
    </border>
    <border>
      <left/>
      <right/>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diagonal/>
    </border>
    <border>
      <left/>
      <right style="medium">
        <color indexed="8"/>
      </right>
      <top/>
      <bottom/>
      <diagonal/>
    </border>
    <border>
      <left/>
      <right style="medium">
        <color indexed="8"/>
      </right>
      <top/>
      <bottom style="medium">
        <color indexed="8"/>
      </bottom>
      <diagonal/>
    </border>
    <border>
      <left/>
      <right style="medium">
        <color indexed="8"/>
      </right>
      <top style="medium">
        <color indexed="8"/>
      </top>
      <bottom style="medium">
        <color indexed="8"/>
      </bottom>
      <diagonal/>
    </border>
    <border>
      <left/>
      <right/>
      <top style="thin">
        <color indexed="23"/>
      </top>
      <bottom/>
      <diagonal/>
    </border>
    <border>
      <left/>
      <right/>
      <top style="thin">
        <color indexed="23"/>
      </top>
      <bottom style="medium">
        <color indexed="23"/>
      </bottom>
      <diagonal/>
    </border>
    <border>
      <left/>
      <right/>
      <top style="medium">
        <color indexed="23"/>
      </top>
      <bottom style="medium">
        <color indexed="23"/>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ABABAB"/>
      </left>
      <right/>
      <top style="thin">
        <color rgb="FFABABAB"/>
      </top>
      <bottom/>
      <diagonal/>
    </border>
    <border>
      <left style="thin">
        <color rgb="FFABABAB"/>
      </left>
      <right/>
      <top/>
      <bottom/>
      <diagonal/>
    </border>
    <border>
      <left/>
      <right/>
      <top/>
      <bottom style="thin">
        <color indexed="64"/>
      </bottom>
      <diagonal/>
    </border>
    <border>
      <left/>
      <right/>
      <top style="thin">
        <color indexed="64"/>
      </top>
      <bottom style="thin">
        <color indexed="64"/>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top/>
      <bottom/>
      <diagonal/>
    </border>
    <border>
      <left style="thin">
        <color rgb="FF999999"/>
      </left>
      <right style="thin">
        <color rgb="FF999999"/>
      </right>
      <top/>
      <bottom/>
      <diagonal/>
    </border>
    <border>
      <left style="thin">
        <color indexed="64"/>
      </left>
      <right style="thin">
        <color indexed="64"/>
      </right>
      <top style="thin">
        <color indexed="64"/>
      </top>
      <bottom/>
      <diagonal/>
    </border>
  </borders>
  <cellStyleXfs count="1797">
    <xf numFmtId="0" fontId="0" fillId="0" borderId="0"/>
    <xf numFmtId="0" fontId="62" fillId="15" borderId="0" applyNumberFormat="0" applyBorder="0" applyAlignment="0" applyProtection="0"/>
    <xf numFmtId="0" fontId="62" fillId="16" borderId="0" applyNumberFormat="0" applyBorder="0" applyAlignment="0" applyProtection="0"/>
    <xf numFmtId="0" fontId="62" fillId="17" borderId="0" applyNumberFormat="0" applyBorder="0" applyAlignment="0" applyProtection="0"/>
    <xf numFmtId="0" fontId="62" fillId="18" borderId="0" applyNumberFormat="0" applyBorder="0" applyAlignment="0" applyProtection="0"/>
    <xf numFmtId="0" fontId="62" fillId="19" borderId="0" applyNumberFormat="0" applyBorder="0" applyAlignment="0" applyProtection="0"/>
    <xf numFmtId="0" fontId="62" fillId="20" borderId="0" applyNumberFormat="0" applyBorder="0" applyAlignment="0" applyProtection="0"/>
    <xf numFmtId="0" fontId="63"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3"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3"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3"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3"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3"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3"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3"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3"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3"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2" fillId="19" borderId="0" applyNumberFormat="0" applyBorder="0" applyAlignment="0" applyProtection="0"/>
    <xf numFmtId="0" fontId="63"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3"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0" borderId="0" applyNumberFormat="0" applyBorder="0" applyAlignment="0" applyProtection="0"/>
    <xf numFmtId="0" fontId="62" fillId="21" borderId="0" applyNumberFormat="0" applyBorder="0" applyAlignment="0" applyProtection="0"/>
    <xf numFmtId="0" fontId="62" fillId="22" borderId="0" applyNumberFormat="0" applyBorder="0" applyAlignment="0" applyProtection="0"/>
    <xf numFmtId="0" fontId="62" fillId="23" borderId="0" applyNumberFormat="0" applyBorder="0" applyAlignment="0" applyProtection="0"/>
    <xf numFmtId="0" fontId="62" fillId="24" borderId="0" applyNumberFormat="0" applyBorder="0" applyAlignment="0" applyProtection="0"/>
    <xf numFmtId="0" fontId="62" fillId="25" borderId="0" applyNumberFormat="0" applyBorder="0" applyAlignment="0" applyProtection="0"/>
    <xf numFmtId="0" fontId="62" fillId="26" borderId="0" applyNumberFormat="0" applyBorder="0" applyAlignment="0" applyProtection="0"/>
    <xf numFmtId="0" fontId="63"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3"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2" fillId="21" borderId="0" applyNumberFormat="0" applyBorder="0" applyAlignment="0" applyProtection="0"/>
    <xf numFmtId="0" fontId="63"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3"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2" fillId="22" borderId="0" applyNumberFormat="0" applyBorder="0" applyAlignment="0" applyProtection="0"/>
    <xf numFmtId="0" fontId="63"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3"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3"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3"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2" fillId="24" borderId="0" applyNumberFormat="0" applyBorder="0" applyAlignment="0" applyProtection="0"/>
    <xf numFmtId="0" fontId="63"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3"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2" fillId="25" borderId="0" applyNumberFormat="0" applyBorder="0" applyAlignment="0" applyProtection="0"/>
    <xf numFmtId="0" fontId="63"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3"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2" fillId="26" borderId="0" applyNumberFormat="0" applyBorder="0" applyAlignment="0" applyProtection="0"/>
    <xf numFmtId="0" fontId="64" fillId="27" borderId="0" applyNumberFormat="0" applyBorder="0" applyAlignment="0" applyProtection="0"/>
    <xf numFmtId="0" fontId="64" fillId="28" borderId="0" applyNumberFormat="0" applyBorder="0" applyAlignment="0" applyProtection="0"/>
    <xf numFmtId="0" fontId="64" fillId="29" borderId="0" applyNumberFormat="0" applyBorder="0" applyAlignment="0" applyProtection="0"/>
    <xf numFmtId="0" fontId="64" fillId="30" borderId="0" applyNumberFormat="0" applyBorder="0" applyAlignment="0" applyProtection="0"/>
    <xf numFmtId="0" fontId="64" fillId="31" borderId="0" applyNumberFormat="0" applyBorder="0" applyAlignment="0" applyProtection="0"/>
    <xf numFmtId="0" fontId="64" fillId="32" borderId="0" applyNumberFormat="0" applyBorder="0" applyAlignment="0" applyProtection="0"/>
    <xf numFmtId="0" fontId="65"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5"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4" fillId="27" borderId="0" applyNumberFormat="0" applyBorder="0" applyAlignment="0" applyProtection="0"/>
    <xf numFmtId="0" fontId="65"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5"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4" fillId="28" borderId="0" applyNumberFormat="0" applyBorder="0" applyAlignment="0" applyProtection="0"/>
    <xf numFmtId="0" fontId="65"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5"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4" fillId="6" borderId="0" applyNumberFormat="0" applyBorder="0" applyAlignment="0" applyProtection="0"/>
    <xf numFmtId="0" fontId="65"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5"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4" fillId="7" borderId="0" applyNumberFormat="0" applyBorder="0" applyAlignment="0" applyProtection="0"/>
    <xf numFmtId="0" fontId="65"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5"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4" fillId="31" borderId="0" applyNumberFormat="0" applyBorder="0" applyAlignment="0" applyProtection="0"/>
    <xf numFmtId="0" fontId="65"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5"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8" borderId="0" applyNumberFormat="0" applyBorder="0" applyAlignment="0" applyProtection="0"/>
    <xf numFmtId="0" fontId="64" fillId="33" borderId="0" applyNumberFormat="0" applyBorder="0" applyAlignment="0" applyProtection="0"/>
    <xf numFmtId="0" fontId="64" fillId="34" borderId="0" applyNumberFormat="0" applyBorder="0" applyAlignment="0" applyProtection="0"/>
    <xf numFmtId="0" fontId="64" fillId="35" borderId="0" applyNumberFormat="0" applyBorder="0" applyAlignment="0" applyProtection="0"/>
    <xf numFmtId="0" fontId="64" fillId="36" borderId="0" applyNumberFormat="0" applyBorder="0" applyAlignment="0" applyProtection="0"/>
    <xf numFmtId="0" fontId="64" fillId="37" borderId="0" applyNumberFormat="0" applyBorder="0" applyAlignment="0" applyProtection="0"/>
    <xf numFmtId="0" fontId="64" fillId="38" borderId="0" applyNumberFormat="0" applyBorder="0" applyAlignment="0" applyProtection="0"/>
    <xf numFmtId="0" fontId="66" fillId="39" borderId="0" applyNumberFormat="0" applyBorder="0" applyAlignment="0" applyProtection="0"/>
    <xf numFmtId="0" fontId="67"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7"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8" fillId="40" borderId="0" applyNumberFormat="0" applyBorder="0" applyAlignment="0" applyProtection="0"/>
    <xf numFmtId="0" fontId="69" fillId="41" borderId="27" applyNumberFormat="0" applyAlignment="0" applyProtection="0"/>
    <xf numFmtId="0" fontId="70"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70"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69" fillId="41" borderId="27" applyNumberFormat="0" applyAlignment="0" applyProtection="0"/>
    <xf numFmtId="0" fontId="71"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1"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2" fillId="42" borderId="28" applyNumberFormat="0" applyAlignment="0" applyProtection="0"/>
    <xf numFmtId="0" fontId="73"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3"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4" fillId="0" borderId="29" applyNumberFormat="0" applyFill="0" applyAlignment="0" applyProtection="0"/>
    <xf numFmtId="0" fontId="72" fillId="42" borderId="28" applyNumberFormat="0" applyAlignment="0" applyProtection="0"/>
    <xf numFmtId="0" fontId="75"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5"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65"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5"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4" fillId="33" borderId="0" applyNumberFormat="0" applyBorder="0" applyAlignment="0" applyProtection="0"/>
    <xf numFmtId="0" fontId="65"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5"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4" fillId="34" borderId="0" applyNumberFormat="0" applyBorder="0" applyAlignment="0" applyProtection="0"/>
    <xf numFmtId="0" fontId="65"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5"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4" fillId="35" borderId="0" applyNumberFormat="0" applyBorder="0" applyAlignment="0" applyProtection="0"/>
    <xf numFmtId="0" fontId="65"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5"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4" fillId="36" borderId="0" applyNumberFormat="0" applyBorder="0" applyAlignment="0" applyProtection="0"/>
    <xf numFmtId="0" fontId="65"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5"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4" fillId="37" borderId="0" applyNumberFormat="0" applyBorder="0" applyAlignment="0" applyProtection="0"/>
    <xf numFmtId="0" fontId="65"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5"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64" fillId="38" borderId="0" applyNumberFormat="0" applyBorder="0" applyAlignment="0" applyProtection="0"/>
    <xf numFmtId="0" fontId="77"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7"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8" fillId="43" borderId="27" applyNumberFormat="0" applyAlignment="0" applyProtection="0"/>
    <xf numFmtId="0" fontId="79" fillId="0" borderId="0" applyNumberFormat="0" applyFill="0" applyBorder="0" applyAlignment="0" applyProtection="0"/>
    <xf numFmtId="0" fontId="68" fillId="40" borderId="0" applyNumberFormat="0" applyBorder="0" applyAlignment="0" applyProtection="0"/>
    <xf numFmtId="0" fontId="80" fillId="0" borderId="30" applyNumberFormat="0" applyFill="0" applyAlignment="0" applyProtection="0"/>
    <xf numFmtId="0" fontId="81" fillId="0" borderId="31" applyNumberFormat="0" applyFill="0" applyAlignment="0" applyProtection="0"/>
    <xf numFmtId="0" fontId="76" fillId="0" borderId="32" applyNumberFormat="0" applyFill="0" applyAlignment="0" applyProtection="0"/>
    <xf numFmtId="0" fontId="76" fillId="0" borderId="0" applyNumberFormat="0" applyFill="0" applyBorder="0" applyAlignment="0" applyProtection="0"/>
    <xf numFmtId="0" fontId="9" fillId="0" borderId="0" applyNumberFormat="0" applyFill="0" applyBorder="0" applyAlignment="0" applyProtection="0">
      <alignment vertical="top"/>
      <protection locked="0"/>
    </xf>
    <xf numFmtId="0" fontId="82"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82"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66" fillId="39" borderId="0" applyNumberFormat="0" applyBorder="0" applyAlignment="0" applyProtection="0"/>
    <xf numFmtId="0" fontId="78" fillId="43" borderId="27" applyNumberFormat="0" applyAlignment="0" applyProtection="0"/>
    <xf numFmtId="0" fontId="74" fillId="0" borderId="29"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5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55" fillId="0" borderId="0" applyFont="0" applyFill="0" applyBorder="0" applyAlignment="0" applyProtection="0"/>
    <xf numFmtId="43" fontId="55" fillId="0" borderId="0" applyFont="0" applyFill="0" applyBorder="0" applyAlignment="0" applyProtection="0"/>
    <xf numFmtId="43" fontId="55" fillId="0" borderId="0" applyFont="0" applyFill="0" applyBorder="0" applyAlignment="0" applyProtection="0"/>
    <xf numFmtId="43" fontId="6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62" fillId="0" borderId="0" applyFont="0" applyFill="0" applyBorder="0" applyAlignment="0" applyProtection="0"/>
    <xf numFmtId="0" fontId="83"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3"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84" fillId="44" borderId="0" applyNumberFormat="0" applyBorder="0" applyAlignment="0" applyProtection="0"/>
    <xf numFmtId="0" fontId="33" fillId="0" borderId="0"/>
    <xf numFmtId="0" fontId="8" fillId="0" borderId="0"/>
    <xf numFmtId="0" fontId="34" fillId="0" borderId="0"/>
    <xf numFmtId="0" fontId="8" fillId="0" borderId="0"/>
    <xf numFmtId="0" fontId="35" fillId="0" borderId="0"/>
    <xf numFmtId="0" fontId="8" fillId="0" borderId="0"/>
    <xf numFmtId="0" fontId="36" fillId="0" borderId="0"/>
    <xf numFmtId="0" fontId="8" fillId="0" borderId="0"/>
    <xf numFmtId="0" fontId="37" fillId="0" borderId="0"/>
    <xf numFmtId="0" fontId="8" fillId="0" borderId="0"/>
    <xf numFmtId="0" fontId="38" fillId="0" borderId="0"/>
    <xf numFmtId="0" fontId="8" fillId="0" borderId="0"/>
    <xf numFmtId="0" fontId="39" fillId="0" borderId="0"/>
    <xf numFmtId="0" fontId="8" fillId="0" borderId="0"/>
    <xf numFmtId="0" fontId="40" fillId="0" borderId="0"/>
    <xf numFmtId="0" fontId="8" fillId="0" borderId="0"/>
    <xf numFmtId="0" fontId="41" fillId="0" borderId="0"/>
    <xf numFmtId="0" fontId="8" fillId="0" borderId="0"/>
    <xf numFmtId="0" fontId="43" fillId="0" borderId="0"/>
    <xf numFmtId="0" fontId="8" fillId="0" borderId="0"/>
    <xf numFmtId="0" fontId="26" fillId="0" borderId="0"/>
    <xf numFmtId="0" fontId="8" fillId="0" borderId="0"/>
    <xf numFmtId="0" fontId="44" fillId="0" borderId="0"/>
    <xf numFmtId="0" fontId="8" fillId="0" borderId="0"/>
    <xf numFmtId="0" fontId="45" fillId="0" borderId="0"/>
    <xf numFmtId="0" fontId="8" fillId="0" borderId="0"/>
    <xf numFmtId="0" fontId="46" fillId="0" borderId="0"/>
    <xf numFmtId="0" fontId="8" fillId="0" borderId="0"/>
    <xf numFmtId="0" fontId="47" fillId="0" borderId="0"/>
    <xf numFmtId="0" fontId="8" fillId="0" borderId="0"/>
    <xf numFmtId="0" fontId="27" fillId="0" borderId="0"/>
    <xf numFmtId="0" fontId="8" fillId="0" borderId="0"/>
    <xf numFmtId="0" fontId="28" fillId="0" borderId="0"/>
    <xf numFmtId="0" fontId="8" fillId="0" borderId="0"/>
    <xf numFmtId="0" fontId="29" fillId="0" borderId="0"/>
    <xf numFmtId="0" fontId="8" fillId="0" borderId="0"/>
    <xf numFmtId="0" fontId="30" fillId="0" borderId="0"/>
    <xf numFmtId="0" fontId="8" fillId="0" borderId="0"/>
    <xf numFmtId="0" fontId="8" fillId="0" borderId="0"/>
    <xf numFmtId="0" fontId="31" fillId="0" borderId="0"/>
    <xf numFmtId="0" fontId="8" fillId="0" borderId="0"/>
    <xf numFmtId="0" fontId="32" fillId="0" borderId="0"/>
    <xf numFmtId="0" fontId="8" fillId="0" borderId="0"/>
    <xf numFmtId="0" fontId="63" fillId="0" borderId="0"/>
    <xf numFmtId="0" fontId="11" fillId="0" borderId="0">
      <protection locked="0"/>
    </xf>
    <xf numFmtId="0" fontId="62" fillId="0" borderId="0"/>
    <xf numFmtId="0" fontId="42" fillId="0" borderId="0">
      <protection locked="0"/>
    </xf>
    <xf numFmtId="0" fontId="11" fillId="0" borderId="0">
      <protection locked="0"/>
    </xf>
    <xf numFmtId="0" fontId="48" fillId="0" borderId="0">
      <protection locked="0"/>
    </xf>
    <xf numFmtId="0" fontId="11" fillId="0" borderId="0">
      <protection locked="0"/>
    </xf>
    <xf numFmtId="0" fontId="49" fillId="0" borderId="0">
      <protection locked="0"/>
    </xf>
    <xf numFmtId="0" fontId="11" fillId="0" borderId="0">
      <protection locked="0"/>
    </xf>
    <xf numFmtId="0" fontId="53" fillId="0" borderId="0">
      <protection locked="0"/>
    </xf>
    <xf numFmtId="0" fontId="11" fillId="0" borderId="0">
      <protection locked="0"/>
    </xf>
    <xf numFmtId="0" fontId="54" fillId="0" borderId="0">
      <protection locked="0"/>
    </xf>
    <xf numFmtId="0" fontId="11" fillId="0" borderId="0">
      <protection locked="0"/>
    </xf>
    <xf numFmtId="0" fontId="56" fillId="0" borderId="0">
      <protection locked="0"/>
    </xf>
    <xf numFmtId="0" fontId="8" fillId="0" borderId="0"/>
    <xf numFmtId="0" fontId="8" fillId="0" borderId="0"/>
    <xf numFmtId="0" fontId="50" fillId="0" borderId="0"/>
    <xf numFmtId="0" fontId="8" fillId="0" borderId="0"/>
    <xf numFmtId="0" fontId="8" fillId="0" borderId="0"/>
    <xf numFmtId="0" fontId="8" fillId="0" borderId="0"/>
    <xf numFmtId="0" fontId="8" fillId="0" borderId="0"/>
    <xf numFmtId="0" fontId="8" fillId="0" borderId="0"/>
    <xf numFmtId="0" fontId="55" fillId="0" borderId="0"/>
    <xf numFmtId="0" fontId="18" fillId="45" borderId="33" applyNumberFormat="0" applyFont="0" applyAlignment="0" applyProtection="0"/>
    <xf numFmtId="0" fontId="14" fillId="45" borderId="33" applyNumberFormat="0" applyFont="0" applyAlignment="0" applyProtection="0"/>
    <xf numFmtId="0" fontId="18" fillId="45" borderId="33" applyNumberFormat="0" applyFont="0" applyAlignment="0" applyProtection="0"/>
    <xf numFmtId="0" fontId="14" fillId="45" borderId="33" applyNumberFormat="0" applyFont="0" applyAlignment="0" applyProtection="0"/>
    <xf numFmtId="0" fontId="19" fillId="45" borderId="33" applyNumberFormat="0" applyFont="0" applyAlignment="0" applyProtection="0"/>
    <xf numFmtId="0" fontId="14" fillId="45" borderId="33" applyNumberFormat="0" applyFont="0" applyAlignment="0" applyProtection="0"/>
    <xf numFmtId="0" fontId="19" fillId="45" borderId="33" applyNumberFormat="0" applyFont="0" applyAlignment="0" applyProtection="0"/>
    <xf numFmtId="0" fontId="14" fillId="45" borderId="33" applyNumberFormat="0" applyFont="0" applyAlignment="0" applyProtection="0"/>
    <xf numFmtId="0" fontId="19" fillId="45" borderId="33" applyNumberFormat="0" applyFont="0" applyAlignment="0" applyProtection="0"/>
    <xf numFmtId="0" fontId="14" fillId="45" borderId="33" applyNumberFormat="0" applyFont="0" applyAlignment="0" applyProtection="0"/>
    <xf numFmtId="0" fontId="20" fillId="45" borderId="33" applyNumberFormat="0" applyFont="0" applyAlignment="0" applyProtection="0"/>
    <xf numFmtId="0" fontId="14" fillId="45" borderId="33" applyNumberFormat="0" applyFont="0" applyAlignment="0" applyProtection="0"/>
    <xf numFmtId="0" fontId="21" fillId="45" borderId="33" applyNumberFormat="0" applyFont="0" applyAlignment="0" applyProtection="0"/>
    <xf numFmtId="0" fontId="14" fillId="45" borderId="33" applyNumberFormat="0" applyFont="0" applyAlignment="0" applyProtection="0"/>
    <xf numFmtId="0" fontId="21" fillId="45" borderId="33" applyNumberFormat="0" applyFont="0" applyAlignment="0" applyProtection="0"/>
    <xf numFmtId="0" fontId="14" fillId="45" borderId="33" applyNumberFormat="0" applyFont="0" applyAlignment="0" applyProtection="0"/>
    <xf numFmtId="0" fontId="21" fillId="45" borderId="33" applyNumberFormat="0" applyFont="0" applyAlignment="0" applyProtection="0"/>
    <xf numFmtId="0" fontId="14" fillId="45" borderId="33" applyNumberFormat="0" applyFont="0" applyAlignment="0" applyProtection="0"/>
    <xf numFmtId="0" fontId="21" fillId="45" borderId="33" applyNumberFormat="0" applyFont="0" applyAlignment="0" applyProtection="0"/>
    <xf numFmtId="0" fontId="14" fillId="45" borderId="33" applyNumberFormat="0" applyFont="0" applyAlignment="0" applyProtection="0"/>
    <xf numFmtId="0" fontId="10" fillId="45" borderId="33" applyNumberFormat="0" applyFont="0" applyAlignment="0" applyProtection="0"/>
    <xf numFmtId="0" fontId="10" fillId="45" borderId="33" applyNumberFormat="0" applyFont="0" applyAlignment="0" applyProtection="0"/>
    <xf numFmtId="0" fontId="10" fillId="45" borderId="33" applyNumberFormat="0" applyFont="0" applyAlignment="0" applyProtection="0"/>
    <xf numFmtId="0" fontId="10" fillId="45" borderId="33" applyNumberFormat="0" applyFont="0" applyAlignment="0" applyProtection="0"/>
    <xf numFmtId="0" fontId="10" fillId="45" borderId="33" applyNumberFormat="0" applyFont="0" applyAlignment="0" applyProtection="0"/>
    <xf numFmtId="0" fontId="10" fillId="45" borderId="33" applyNumberFormat="0" applyFont="0" applyAlignment="0" applyProtection="0"/>
    <xf numFmtId="0" fontId="10" fillId="45" borderId="33" applyNumberFormat="0" applyFont="0" applyAlignment="0" applyProtection="0"/>
    <xf numFmtId="0" fontId="10" fillId="45" borderId="33" applyNumberFormat="0" applyFont="0" applyAlignment="0" applyProtection="0"/>
    <xf numFmtId="0" fontId="13" fillId="45" borderId="33" applyNumberFormat="0" applyFont="0" applyAlignment="0" applyProtection="0"/>
    <xf numFmtId="0" fontId="10" fillId="45" borderId="33" applyNumberFormat="0" applyFont="0" applyAlignment="0" applyProtection="0"/>
    <xf numFmtId="0" fontId="14" fillId="45" borderId="33" applyNumberFormat="0" applyFont="0" applyAlignment="0" applyProtection="0"/>
    <xf numFmtId="0" fontId="14" fillId="45" borderId="33" applyNumberFormat="0" applyFont="0" applyAlignment="0" applyProtection="0"/>
    <xf numFmtId="0" fontId="16" fillId="45" borderId="33" applyNumberFormat="0" applyFont="0" applyAlignment="0" applyProtection="0"/>
    <xf numFmtId="0" fontId="14" fillId="45" borderId="33" applyNumberFormat="0" applyFont="0" applyAlignment="0" applyProtection="0"/>
    <xf numFmtId="0" fontId="16" fillId="45" borderId="33" applyNumberFormat="0" applyFont="0" applyAlignment="0" applyProtection="0"/>
    <xf numFmtId="0" fontId="14" fillId="45" borderId="33" applyNumberFormat="0" applyFont="0" applyAlignment="0" applyProtection="0"/>
    <xf numFmtId="0" fontId="11" fillId="45" borderId="33" applyNumberFormat="0" applyFont="0" applyAlignment="0" applyProtection="0"/>
    <xf numFmtId="0" fontId="85" fillId="41" borderId="34" applyNumberFormat="0" applyAlignment="0" applyProtection="0"/>
    <xf numFmtId="0" fontId="86"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6"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5" fillId="41" borderId="34" applyNumberFormat="0" applyAlignment="0" applyProtection="0"/>
    <xf numFmtId="0" fontId="87"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7"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8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9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9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81" fillId="0" borderId="31" applyNumberFormat="0" applyFill="0" applyAlignment="0" applyProtection="0"/>
    <xf numFmtId="0" fontId="75"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5"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76" fillId="0" borderId="32" applyNumberFormat="0" applyFill="0" applyAlignment="0" applyProtection="0"/>
    <xf numFmtId="0" fontId="90" fillId="0" borderId="0" applyNumberFormat="0" applyFill="0" applyBorder="0" applyAlignment="0" applyProtection="0"/>
    <xf numFmtId="0" fontId="92"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2"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93" fillId="0" borderId="35" applyNumberFormat="0" applyFill="0" applyAlignment="0" applyProtection="0"/>
    <xf numFmtId="0" fontId="88" fillId="0" borderId="0" applyNumberFormat="0" applyFill="0" applyBorder="0" applyAlignment="0" applyProtection="0"/>
    <xf numFmtId="0" fontId="98" fillId="0" borderId="0">
      <protection locked="0"/>
    </xf>
    <xf numFmtId="0" fontId="99" fillId="0" borderId="0">
      <protection locked="0"/>
    </xf>
    <xf numFmtId="0" fontId="5" fillId="0" borderId="0"/>
    <xf numFmtId="0" fontId="11" fillId="0" borderId="0">
      <protection locked="0"/>
    </xf>
    <xf numFmtId="0" fontId="11" fillId="0" borderId="0">
      <protection locked="0"/>
    </xf>
    <xf numFmtId="44" fontId="100" fillId="0" borderId="0" applyFont="0" applyFill="0" applyBorder="0" applyAlignment="0" applyProtection="0"/>
    <xf numFmtId="0" fontId="80" fillId="0" borderId="30" applyNumberFormat="0" applyFill="0" applyAlignment="0" applyProtection="0"/>
    <xf numFmtId="0" fontId="4" fillId="0" borderId="0"/>
    <xf numFmtId="0" fontId="101" fillId="0" borderId="0" applyNumberFormat="0" applyFill="0" applyBorder="0" applyAlignment="0" applyProtection="0"/>
    <xf numFmtId="0" fontId="68" fillId="40" borderId="0" applyNumberFormat="0" applyBorder="0" applyAlignment="0" applyProtection="0"/>
    <xf numFmtId="0" fontId="102" fillId="44" borderId="0" applyNumberFormat="0" applyBorder="0" applyAlignment="0" applyProtection="0"/>
    <xf numFmtId="0" fontId="4" fillId="45" borderId="33" applyNumberFormat="0" applyFont="0" applyAlignment="0" applyProtection="0"/>
    <xf numFmtId="0" fontId="4" fillId="15" borderId="0" applyNumberFormat="0" applyBorder="0" applyAlignment="0" applyProtection="0"/>
    <xf numFmtId="0" fontId="4" fillId="21" borderId="0" applyNumberFormat="0" applyBorder="0" applyAlignment="0" applyProtection="0"/>
    <xf numFmtId="0" fontId="4" fillId="27" borderId="0" applyNumberFormat="0" applyBorder="0" applyAlignment="0" applyProtection="0"/>
    <xf numFmtId="0" fontId="4" fillId="16" borderId="0" applyNumberFormat="0" applyBorder="0" applyAlignment="0" applyProtection="0"/>
    <xf numFmtId="0" fontId="4" fillId="22" borderId="0" applyNumberFormat="0" applyBorder="0" applyAlignment="0" applyProtection="0"/>
    <xf numFmtId="0" fontId="4" fillId="28" borderId="0" applyNumberFormat="0" applyBorder="0" applyAlignment="0" applyProtection="0"/>
    <xf numFmtId="0" fontId="4" fillId="17" borderId="0" applyNumberFormat="0" applyBorder="0" applyAlignment="0" applyProtection="0"/>
    <xf numFmtId="0" fontId="4" fillId="23" borderId="0" applyNumberFormat="0" applyBorder="0" applyAlignment="0" applyProtection="0"/>
    <xf numFmtId="0" fontId="4" fillId="29" borderId="0" applyNumberFormat="0" applyBorder="0" applyAlignment="0" applyProtection="0"/>
    <xf numFmtId="0" fontId="4" fillId="18" borderId="0" applyNumberFormat="0" applyBorder="0" applyAlignment="0" applyProtection="0"/>
    <xf numFmtId="0" fontId="4" fillId="24" borderId="0" applyNumberFormat="0" applyBorder="0" applyAlignment="0" applyProtection="0"/>
    <xf numFmtId="0" fontId="4" fillId="30" borderId="0" applyNumberFormat="0" applyBorder="0" applyAlignment="0" applyProtection="0"/>
    <xf numFmtId="0" fontId="4" fillId="19" borderId="0" applyNumberFormat="0" applyBorder="0" applyAlignment="0" applyProtection="0"/>
    <xf numFmtId="0" fontId="4" fillId="25" borderId="0" applyNumberFormat="0" applyBorder="0" applyAlignment="0" applyProtection="0"/>
    <xf numFmtId="0" fontId="4" fillId="31" borderId="0" applyNumberFormat="0" applyBorder="0" applyAlignment="0" applyProtection="0"/>
    <xf numFmtId="0" fontId="4" fillId="20" borderId="0" applyNumberFormat="0" applyBorder="0" applyAlignment="0" applyProtection="0"/>
    <xf numFmtId="0" fontId="4" fillId="26" borderId="0" applyNumberFormat="0" applyBorder="0" applyAlignment="0" applyProtection="0"/>
    <xf numFmtId="0" fontId="4" fillId="32"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3" fillId="0" borderId="0" applyFont="0" applyFill="0" applyBorder="0" applyAlignment="0" applyProtection="0"/>
    <xf numFmtId="0" fontId="3" fillId="0" borderId="0"/>
    <xf numFmtId="0" fontId="11" fillId="0" borderId="0">
      <protection locked="0"/>
    </xf>
    <xf numFmtId="0" fontId="8" fillId="0" borderId="0"/>
    <xf numFmtId="0" fontId="3" fillId="0" borderId="0"/>
    <xf numFmtId="44" fontId="8" fillId="0" borderId="0" applyFont="0" applyFill="0" applyBorder="0" applyAlignment="0" applyProtection="0"/>
    <xf numFmtId="0" fontId="3" fillId="0" borderId="0"/>
    <xf numFmtId="0" fontId="3" fillId="45" borderId="33" applyNumberFormat="0" applyFont="0" applyAlignment="0" applyProtection="0"/>
    <xf numFmtId="0" fontId="3" fillId="15" borderId="0" applyNumberFormat="0" applyBorder="0" applyAlignment="0" applyProtection="0"/>
    <xf numFmtId="0" fontId="3" fillId="21" borderId="0" applyNumberFormat="0" applyBorder="0" applyAlignment="0" applyProtection="0"/>
    <xf numFmtId="0" fontId="3" fillId="27" borderId="0" applyNumberFormat="0" applyBorder="0" applyAlignment="0" applyProtection="0"/>
    <xf numFmtId="0" fontId="3" fillId="16" borderId="0" applyNumberFormat="0" applyBorder="0" applyAlignment="0" applyProtection="0"/>
    <xf numFmtId="0" fontId="3" fillId="22" borderId="0" applyNumberFormat="0" applyBorder="0" applyAlignment="0" applyProtection="0"/>
    <xf numFmtId="0" fontId="3" fillId="28" borderId="0" applyNumberFormat="0" applyBorder="0" applyAlignment="0" applyProtection="0"/>
    <xf numFmtId="0" fontId="3" fillId="17" borderId="0" applyNumberFormat="0" applyBorder="0" applyAlignment="0" applyProtection="0"/>
    <xf numFmtId="0" fontId="3" fillId="23" borderId="0" applyNumberFormat="0" applyBorder="0" applyAlignment="0" applyProtection="0"/>
    <xf numFmtId="0" fontId="3" fillId="29" borderId="0" applyNumberFormat="0" applyBorder="0" applyAlignment="0" applyProtection="0"/>
    <xf numFmtId="0" fontId="3" fillId="18" borderId="0" applyNumberFormat="0" applyBorder="0" applyAlignment="0" applyProtection="0"/>
    <xf numFmtId="0" fontId="3" fillId="24"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25" borderId="0" applyNumberFormat="0" applyBorder="0" applyAlignment="0" applyProtection="0"/>
    <xf numFmtId="0" fontId="3" fillId="31" borderId="0" applyNumberFormat="0" applyBorder="0" applyAlignment="0" applyProtection="0"/>
    <xf numFmtId="0" fontId="3" fillId="20" borderId="0" applyNumberFormat="0" applyBorder="0" applyAlignment="0" applyProtection="0"/>
    <xf numFmtId="0" fontId="3" fillId="26" borderId="0" applyNumberFormat="0" applyBorder="0" applyAlignment="0" applyProtection="0"/>
    <xf numFmtId="0" fontId="3" fillId="32" borderId="0" applyNumberFormat="0" applyBorder="0" applyAlignment="0" applyProtection="0"/>
    <xf numFmtId="0" fontId="2" fillId="0" borderId="0"/>
    <xf numFmtId="0" fontId="1" fillId="0" borderId="0"/>
    <xf numFmtId="0" fontId="107" fillId="0" borderId="0"/>
    <xf numFmtId="0" fontId="107" fillId="0" borderId="0"/>
    <xf numFmtId="0" fontId="109" fillId="0" borderId="0">
      <protection locked="0"/>
    </xf>
  </cellStyleXfs>
  <cellXfs count="214">
    <xf numFmtId="0" fontId="0" fillId="0" borderId="0" xfId="0"/>
    <xf numFmtId="0" fontId="6" fillId="0" borderId="0" xfId="0" applyFont="1"/>
    <xf numFmtId="165" fontId="0" fillId="0" borderId="0" xfId="0" applyNumberFormat="1"/>
    <xf numFmtId="0" fontId="8" fillId="0" borderId="0" xfId="0" applyFont="1"/>
    <xf numFmtId="0" fontId="12" fillId="9" borderId="0" xfId="0" applyFont="1" applyFill="1" applyAlignment="1" applyProtection="1">
      <alignment horizontal="center" vertical="center"/>
      <protection locked="0"/>
    </xf>
    <xf numFmtId="0" fontId="15" fillId="0" borderId="0" xfId="0" applyFont="1"/>
    <xf numFmtId="7" fontId="17" fillId="0" borderId="0" xfId="0" applyNumberFormat="1" applyFont="1"/>
    <xf numFmtId="0" fontId="23" fillId="0" borderId="0" xfId="0" applyFont="1"/>
    <xf numFmtId="0" fontId="12" fillId="10" borderId="0" xfId="0" applyFont="1" applyFill="1" applyAlignment="1" applyProtection="1">
      <alignment horizontal="center" vertical="center"/>
      <protection locked="0"/>
    </xf>
    <xf numFmtId="0" fontId="15" fillId="0" borderId="0" xfId="0" applyFont="1" applyFill="1"/>
    <xf numFmtId="0" fontId="8" fillId="10" borderId="0" xfId="0" applyFont="1" applyFill="1" applyAlignment="1">
      <alignment horizontal="center"/>
    </xf>
    <xf numFmtId="0" fontId="8" fillId="0" borderId="0" xfId="0" applyFont="1" applyAlignment="1">
      <alignment horizontal="center"/>
    </xf>
    <xf numFmtId="0" fontId="6" fillId="10" borderId="0" xfId="0" applyFont="1" applyFill="1"/>
    <xf numFmtId="0" fontId="6" fillId="12" borderId="2" xfId="0" applyFont="1" applyFill="1" applyBorder="1" applyAlignment="1">
      <alignment horizontal="center" wrapText="1"/>
    </xf>
    <xf numFmtId="0" fontId="6" fillId="13" borderId="0" xfId="0" applyFont="1" applyFill="1" applyBorder="1" applyAlignment="1">
      <alignment horizontal="center" wrapText="1"/>
    </xf>
    <xf numFmtId="49" fontId="6" fillId="10" borderId="0" xfId="0" applyNumberFormat="1" applyFont="1" applyFill="1" applyAlignment="1">
      <alignment horizontal="center"/>
    </xf>
    <xf numFmtId="0" fontId="8" fillId="0" borderId="0" xfId="0" applyFont="1" applyAlignment="1">
      <alignment horizontal="left" wrapText="1"/>
    </xf>
    <xf numFmtId="164" fontId="8" fillId="0" borderId="0" xfId="0" applyNumberFormat="1" applyFont="1"/>
    <xf numFmtId="0" fontId="12" fillId="9" borderId="0" xfId="0" applyNumberFormat="1" applyFont="1" applyFill="1" applyAlignment="1" applyProtection="1">
      <alignment horizontal="center" vertical="center"/>
      <protection locked="0"/>
    </xf>
    <xf numFmtId="0" fontId="25" fillId="0" borderId="0" xfId="0" applyFont="1" applyAlignment="1">
      <alignment horizontal="left" wrapText="1"/>
    </xf>
    <xf numFmtId="7" fontId="25" fillId="0" borderId="0" xfId="0" applyNumberFormat="1" applyFont="1" applyAlignment="1">
      <alignment horizontal="right" wrapText="1"/>
    </xf>
    <xf numFmtId="0" fontId="25" fillId="0" borderId="0" xfId="0" applyNumberFormat="1" applyFont="1" applyAlignment="1">
      <alignment horizontal="left" wrapText="1"/>
    </xf>
    <xf numFmtId="0" fontId="15" fillId="0" borderId="0" xfId="0" applyFont="1" applyAlignment="1">
      <alignment wrapText="1"/>
    </xf>
    <xf numFmtId="0" fontId="6" fillId="0" borderId="0" xfId="0" applyNumberFormat="1" applyFont="1" applyAlignment="1">
      <alignment vertical="top" wrapText="1"/>
    </xf>
    <xf numFmtId="0" fontId="0" fillId="0" borderId="0" xfId="0" applyNumberFormat="1" applyAlignment="1">
      <alignment vertical="top" wrapText="1"/>
    </xf>
    <xf numFmtId="0" fontId="0" fillId="0" borderId="4" xfId="0" applyNumberFormat="1" applyBorder="1" applyAlignment="1">
      <alignment vertical="top" wrapText="1"/>
    </xf>
    <xf numFmtId="0" fontId="0" fillId="0" borderId="5" xfId="0" applyNumberFormat="1" applyBorder="1" applyAlignment="1">
      <alignment vertical="top" wrapText="1"/>
    </xf>
    <xf numFmtId="0" fontId="0" fillId="0" borderId="6" xfId="0" applyNumberFormat="1" applyBorder="1" applyAlignment="1">
      <alignment vertical="top" wrapText="1"/>
    </xf>
    <xf numFmtId="0" fontId="0" fillId="0" borderId="7" xfId="0" applyNumberFormat="1" applyBorder="1" applyAlignment="1">
      <alignment vertical="top" wrapText="1"/>
    </xf>
    <xf numFmtId="0" fontId="0" fillId="0" borderId="8" xfId="0" applyNumberFormat="1" applyBorder="1" applyAlignment="1">
      <alignment vertical="top" wrapText="1"/>
    </xf>
    <xf numFmtId="0" fontId="0" fillId="0" borderId="9" xfId="0" applyNumberFormat="1" applyBorder="1" applyAlignment="1">
      <alignment vertical="top" wrapText="1"/>
    </xf>
    <xf numFmtId="0" fontId="0" fillId="0" borderId="10" xfId="0" applyNumberFormat="1" applyBorder="1" applyAlignment="1">
      <alignment vertical="top" wrapText="1"/>
    </xf>
    <xf numFmtId="0" fontId="6" fillId="0" borderId="0" xfId="0" applyNumberFormat="1" applyFont="1" applyAlignment="1">
      <alignment horizontal="center" vertical="top" wrapText="1"/>
    </xf>
    <xf numFmtId="0" fontId="0" fillId="0" borderId="0" xfId="0" applyNumberFormat="1" applyAlignment="1">
      <alignment horizontal="center" vertical="top" wrapText="1"/>
    </xf>
    <xf numFmtId="0" fontId="0" fillId="0" borderId="5" xfId="0" applyNumberFormat="1" applyBorder="1" applyAlignment="1">
      <alignment horizontal="center" vertical="top" wrapText="1"/>
    </xf>
    <xf numFmtId="0" fontId="0" fillId="0" borderId="11" xfId="0" applyNumberFormat="1" applyBorder="1" applyAlignment="1">
      <alignment horizontal="center" vertical="top" wrapText="1"/>
    </xf>
    <xf numFmtId="0" fontId="9" fillId="0" borderId="0" xfId="874" quotePrefix="1" applyNumberFormat="1" applyAlignment="1" applyProtection="1">
      <alignment horizontal="center" vertical="top" wrapText="1"/>
    </xf>
    <xf numFmtId="0" fontId="0" fillId="0" borderId="12" xfId="0" applyNumberFormat="1" applyBorder="1" applyAlignment="1">
      <alignment horizontal="center" vertical="top" wrapText="1"/>
    </xf>
    <xf numFmtId="0" fontId="0" fillId="0" borderId="8" xfId="0" applyNumberFormat="1" applyBorder="1" applyAlignment="1">
      <alignment horizontal="center" vertical="top" wrapText="1"/>
    </xf>
    <xf numFmtId="0" fontId="9" fillId="0" borderId="8" xfId="874" quotePrefix="1" applyNumberFormat="1" applyBorder="1" applyAlignment="1" applyProtection="1">
      <alignment horizontal="center" vertical="top" wrapText="1"/>
    </xf>
    <xf numFmtId="0" fontId="0" fillId="0" borderId="13" xfId="0" applyNumberFormat="1" applyBorder="1" applyAlignment="1">
      <alignment horizontal="center" vertical="top" wrapText="1"/>
    </xf>
    <xf numFmtId="0" fontId="0" fillId="0" borderId="10" xfId="0" applyNumberFormat="1" applyBorder="1" applyAlignment="1">
      <alignment horizontal="center" vertical="top" wrapText="1"/>
    </xf>
    <xf numFmtId="0" fontId="0" fillId="0" borderId="14" xfId="0" applyNumberFormat="1" applyBorder="1" applyAlignment="1">
      <alignment horizontal="center" vertical="top" wrapText="1"/>
    </xf>
    <xf numFmtId="8" fontId="23" fillId="0" borderId="0" xfId="0" applyNumberFormat="1" applyFont="1"/>
    <xf numFmtId="164" fontId="15" fillId="14" borderId="0" xfId="0" applyNumberFormat="1" applyFont="1" applyFill="1" applyBorder="1"/>
    <xf numFmtId="164" fontId="15" fillId="0" borderId="0" xfId="0" applyNumberFormat="1" applyFont="1" applyFill="1"/>
    <xf numFmtId="0" fontId="0" fillId="0" borderId="15" xfId="0" applyFill="1" applyBorder="1" applyAlignment="1"/>
    <xf numFmtId="0" fontId="0" fillId="0" borderId="16" xfId="0" applyFill="1" applyBorder="1" applyAlignment="1"/>
    <xf numFmtId="0" fontId="52" fillId="0" borderId="17" xfId="0" applyFont="1" applyFill="1" applyBorder="1" applyAlignment="1">
      <alignment horizontal="center"/>
    </xf>
    <xf numFmtId="164" fontId="15" fillId="0" borderId="1" xfId="0" applyNumberFormat="1" applyFont="1" applyBorder="1"/>
    <xf numFmtId="4" fontId="94" fillId="0" borderId="0" xfId="0" applyNumberFormat="1" applyFont="1"/>
    <xf numFmtId="0" fontId="57" fillId="0" borderId="17" xfId="0" applyFont="1" applyFill="1" applyBorder="1" applyAlignment="1">
      <alignment horizontal="center"/>
    </xf>
    <xf numFmtId="0" fontId="58" fillId="0" borderId="0" xfId="0" applyFont="1"/>
    <xf numFmtId="0" fontId="15" fillId="0" borderId="0" xfId="0" applyFont="1" applyAlignment="1">
      <alignment horizontal="center"/>
    </xf>
    <xf numFmtId="0" fontId="15" fillId="11" borderId="1" xfId="0" applyFont="1" applyFill="1" applyBorder="1" applyAlignment="1">
      <alignment horizontal="center"/>
    </xf>
    <xf numFmtId="0" fontId="15" fillId="11" borderId="1" xfId="0" applyFont="1" applyFill="1" applyBorder="1" applyAlignment="1">
      <alignment horizontal="center" wrapText="1"/>
    </xf>
    <xf numFmtId="0" fontId="58" fillId="0" borderId="0" xfId="0" applyFont="1" applyAlignment="1">
      <alignment horizontal="center"/>
    </xf>
    <xf numFmtId="0" fontId="15" fillId="0" borderId="1" xfId="0" applyFont="1" applyBorder="1" applyAlignment="1">
      <alignment horizontal="center"/>
    </xf>
    <xf numFmtId="0" fontId="15" fillId="0" borderId="1" xfId="0" applyFont="1" applyFill="1" applyBorder="1" applyAlignment="1">
      <alignment horizontal="center" wrapText="1"/>
    </xf>
    <xf numFmtId="0" fontId="15" fillId="0" borderId="1" xfId="0" applyFont="1" applyFill="1" applyBorder="1" applyAlignment="1">
      <alignment wrapText="1"/>
    </xf>
    <xf numFmtId="164" fontId="15" fillId="0" borderId="18" xfId="0" applyNumberFormat="1" applyFont="1" applyFill="1" applyBorder="1"/>
    <xf numFmtId="164" fontId="15" fillId="0" borderId="18" xfId="0" applyNumberFormat="1" applyFont="1" applyBorder="1"/>
    <xf numFmtId="164" fontId="15" fillId="0" borderId="0" xfId="0" applyNumberFormat="1" applyFont="1"/>
    <xf numFmtId="4" fontId="58" fillId="0" borderId="0" xfId="0" applyNumberFormat="1" applyFont="1"/>
    <xf numFmtId="166" fontId="22" fillId="14" borderId="0" xfId="0" applyNumberFormat="1" applyFont="1" applyFill="1" applyBorder="1" applyAlignment="1"/>
    <xf numFmtId="0" fontId="15" fillId="14" borderId="0" xfId="0" applyFont="1" applyFill="1" applyBorder="1" applyAlignment="1">
      <alignment horizontal="center"/>
    </xf>
    <xf numFmtId="0" fontId="22" fillId="14" borderId="0" xfId="0" applyFont="1" applyFill="1" applyBorder="1" applyAlignment="1">
      <alignment wrapText="1"/>
    </xf>
    <xf numFmtId="0" fontId="58" fillId="0" borderId="0" xfId="0" applyFont="1" applyFill="1"/>
    <xf numFmtId="8" fontId="15" fillId="0" borderId="0" xfId="0" applyNumberFormat="1" applyFont="1" applyFill="1"/>
    <xf numFmtId="4" fontId="15" fillId="0" borderId="0" xfId="0" applyNumberFormat="1" applyFont="1" applyFill="1"/>
    <xf numFmtId="0" fontId="15" fillId="0" borderId="0" xfId="0" applyFont="1" applyBorder="1" applyAlignment="1">
      <alignment horizontal="center"/>
    </xf>
    <xf numFmtId="0" fontId="15" fillId="0" borderId="0" xfId="0" applyFont="1" applyFill="1" applyBorder="1" applyAlignment="1">
      <alignment wrapText="1"/>
    </xf>
    <xf numFmtId="164" fontId="15" fillId="0" borderId="0" xfId="0" applyNumberFormat="1" applyFont="1" applyBorder="1"/>
    <xf numFmtId="164" fontId="15" fillId="0" borderId="0" xfId="0" applyNumberFormat="1" applyFont="1" applyFill="1" applyBorder="1"/>
    <xf numFmtId="0" fontId="59" fillId="0" borderId="0" xfId="0" applyFont="1"/>
    <xf numFmtId="0" fontId="15" fillId="0" borderId="0" xfId="0" applyFont="1" applyFill="1" applyBorder="1" applyAlignment="1">
      <alignment horizontal="center"/>
    </xf>
    <xf numFmtId="0" fontId="60" fillId="0" borderId="0" xfId="0" applyFont="1" applyFill="1" applyBorder="1" applyAlignment="1">
      <alignment wrapText="1"/>
    </xf>
    <xf numFmtId="4" fontId="15" fillId="0" borderId="0" xfId="0" applyNumberFormat="1" applyFont="1"/>
    <xf numFmtId="15" fontId="61" fillId="0" borderId="0" xfId="0" applyNumberFormat="1" applyFont="1" applyBorder="1" applyAlignment="1">
      <alignment horizontal="center"/>
    </xf>
    <xf numFmtId="167" fontId="61" fillId="0" borderId="1" xfId="0" applyNumberFormat="1" applyFont="1" applyBorder="1" applyAlignment="1">
      <alignment horizontal="center" wrapText="1"/>
    </xf>
    <xf numFmtId="14" fontId="15" fillId="0" borderId="1" xfId="0" applyNumberFormat="1" applyFont="1" applyBorder="1" applyAlignment="1">
      <alignment horizontal="center"/>
    </xf>
    <xf numFmtId="0" fontId="58" fillId="0" borderId="0" xfId="0" applyFont="1" applyAlignment="1">
      <alignment wrapText="1"/>
    </xf>
    <xf numFmtId="0" fontId="0" fillId="0" borderId="36" xfId="0" applyFont="1" applyBorder="1"/>
    <xf numFmtId="0" fontId="0" fillId="0" borderId="37" xfId="0" applyFont="1" applyBorder="1"/>
    <xf numFmtId="0" fontId="95" fillId="0" borderId="0" xfId="0" applyFont="1" applyFill="1"/>
    <xf numFmtId="49" fontId="95" fillId="0" borderId="0" xfId="0" applyNumberFormat="1" applyFont="1" applyFill="1" applyAlignment="1" applyProtection="1">
      <alignment vertical="top"/>
      <protection locked="0"/>
    </xf>
    <xf numFmtId="0" fontId="95" fillId="0" borderId="1" xfId="0" applyFont="1" applyFill="1" applyBorder="1" applyAlignment="1">
      <alignment horizontal="center" vertical="center" wrapText="1"/>
    </xf>
    <xf numFmtId="1" fontId="95" fillId="0" borderId="1" xfId="0" applyNumberFormat="1" applyFont="1" applyFill="1" applyBorder="1" applyAlignment="1">
      <alignment horizontal="center"/>
    </xf>
    <xf numFmtId="0" fontId="95" fillId="0" borderId="1" xfId="0" applyFont="1" applyFill="1" applyBorder="1" applyAlignment="1">
      <alignment horizontal="center"/>
    </xf>
    <xf numFmtId="0" fontId="95" fillId="0" borderId="1" xfId="0" applyNumberFormat="1" applyFont="1" applyFill="1" applyBorder="1" applyAlignment="1">
      <alignment horizontal="center"/>
    </xf>
    <xf numFmtId="1" fontId="95" fillId="0" borderId="3" xfId="0" applyNumberFormat="1" applyFont="1" applyFill="1" applyBorder="1" applyAlignment="1">
      <alignment horizontal="center"/>
    </xf>
    <xf numFmtId="0" fontId="95" fillId="0" borderId="3" xfId="0" applyFont="1" applyFill="1" applyBorder="1" applyAlignment="1">
      <alignment horizontal="center"/>
    </xf>
    <xf numFmtId="0" fontId="9" fillId="0" borderId="0" xfId="874" applyAlignment="1" applyProtection="1"/>
    <xf numFmtId="0" fontId="22" fillId="0" borderId="1" xfId="0" applyFont="1" applyBorder="1" applyAlignment="1">
      <alignment wrapText="1"/>
    </xf>
    <xf numFmtId="0" fontId="0" fillId="0" borderId="1" xfId="0" applyBorder="1" applyAlignment="1">
      <alignment horizontal="center" wrapText="1"/>
    </xf>
    <xf numFmtId="0" fontId="0" fillId="0" borderId="1" xfId="0" applyBorder="1" applyAlignment="1">
      <alignment horizontal="left" wrapText="1"/>
    </xf>
    <xf numFmtId="0" fontId="0" fillId="0" borderId="40" xfId="0" pivotButton="1" applyBorder="1"/>
    <xf numFmtId="0" fontId="0" fillId="0" borderId="41" xfId="0" applyBorder="1"/>
    <xf numFmtId="164" fontId="0" fillId="0" borderId="41" xfId="0" applyNumberFormat="1" applyBorder="1"/>
    <xf numFmtId="0" fontId="0" fillId="0" borderId="42" xfId="0" applyBorder="1"/>
    <xf numFmtId="164" fontId="0" fillId="0" borderId="43" xfId="0" applyNumberFormat="1" applyBorder="1"/>
    <xf numFmtId="0" fontId="0" fillId="0" borderId="40" xfId="0" applyBorder="1" applyAlignment="1">
      <alignment horizontal="center"/>
    </xf>
    <xf numFmtId="0" fontId="22" fillId="0" borderId="1" xfId="0" applyFont="1" applyBorder="1" applyAlignment="1">
      <alignment horizontal="center" wrapText="1"/>
    </xf>
    <xf numFmtId="0" fontId="15" fillId="0" borderId="1" xfId="0" applyFont="1" applyBorder="1" applyAlignment="1">
      <alignment wrapText="1"/>
    </xf>
    <xf numFmtId="0" fontId="15" fillId="0" borderId="1" xfId="0" applyFont="1" applyBorder="1" applyAlignment="1">
      <alignment horizontal="center" wrapText="1"/>
    </xf>
    <xf numFmtId="0" fontId="8" fillId="0" borderId="1" xfId="0" applyFont="1" applyBorder="1" applyAlignment="1">
      <alignment horizontal="left" wrapText="1"/>
    </xf>
    <xf numFmtId="0" fontId="0" fillId="0" borderId="1" xfId="0" applyBorder="1" applyAlignment="1">
      <alignment horizontal="center" vertical="center" wrapText="1"/>
    </xf>
    <xf numFmtId="0" fontId="0" fillId="0" borderId="1" xfId="0" applyBorder="1"/>
    <xf numFmtId="166" fontId="22" fillId="11" borderId="25" xfId="0" applyNumberFormat="1" applyFont="1" applyFill="1" applyBorder="1" applyAlignment="1">
      <alignment horizontal="center"/>
    </xf>
    <xf numFmtId="0" fontId="0" fillId="0" borderId="0" xfId="0"/>
    <xf numFmtId="0" fontId="22" fillId="11" borderId="1" xfId="0" applyFont="1" applyFill="1" applyBorder="1" applyAlignment="1">
      <alignment horizontal="center" vertical="center" wrapText="1"/>
    </xf>
    <xf numFmtId="0" fontId="6" fillId="0" borderId="0" xfId="0" applyFont="1" applyAlignment="1">
      <alignment vertical="center" wrapText="1"/>
    </xf>
    <xf numFmtId="164" fontId="15" fillId="51" borderId="18" xfId="0" applyNumberFormat="1" applyFont="1" applyFill="1" applyBorder="1"/>
    <xf numFmtId="164" fontId="15" fillId="0" borderId="1" xfId="0" applyNumberFormat="1" applyFont="1" applyBorder="1" applyAlignment="1">
      <alignment horizontal="center"/>
    </xf>
    <xf numFmtId="164" fontId="15" fillId="0" borderId="18" xfId="0" applyNumberFormat="1" applyFont="1" applyBorder="1" applyAlignment="1">
      <alignment horizontal="center"/>
    </xf>
    <xf numFmtId="0" fontId="58" fillId="0" borderId="1" xfId="0" applyFont="1" applyBorder="1" applyAlignment="1">
      <alignment wrapText="1"/>
    </xf>
    <xf numFmtId="14" fontId="0" fillId="0" borderId="1" xfId="0" applyNumberFormat="1" applyBorder="1" applyAlignment="1">
      <alignment horizontal="center" wrapText="1"/>
    </xf>
    <xf numFmtId="0" fontId="0" fillId="52" borderId="1" xfId="0" applyFill="1" applyBorder="1" applyAlignment="1">
      <alignment horizontal="center" wrapText="1"/>
    </xf>
    <xf numFmtId="0" fontId="58" fillId="52" borderId="1" xfId="0" applyFont="1" applyFill="1" applyBorder="1" applyAlignment="1">
      <alignment wrapText="1"/>
    </xf>
    <xf numFmtId="44" fontId="15" fillId="52" borderId="1" xfId="1329" applyFont="1" applyFill="1" applyBorder="1"/>
    <xf numFmtId="164" fontId="0" fillId="0" borderId="45" xfId="0" applyNumberFormat="1" applyBorder="1"/>
    <xf numFmtId="0" fontId="0" fillId="0" borderId="44" xfId="0" applyBorder="1" applyAlignment="1">
      <alignment horizontal="center"/>
    </xf>
    <xf numFmtId="0" fontId="15" fillId="0" borderId="0" xfId="0" applyFont="1" applyBorder="1" applyAlignment="1">
      <alignment horizontal="center" wrapText="1"/>
    </xf>
    <xf numFmtId="0" fontId="0" fillId="0" borderId="0" xfId="0" applyBorder="1" applyAlignment="1">
      <alignment horizontal="center" wrapText="1"/>
    </xf>
    <xf numFmtId="14" fontId="0" fillId="0" borderId="0" xfId="0" applyNumberFormat="1" applyBorder="1" applyAlignment="1">
      <alignment horizontal="center" wrapText="1"/>
    </xf>
    <xf numFmtId="0" fontId="0" fillId="52" borderId="0" xfId="0" applyFill="1" applyBorder="1" applyAlignment="1">
      <alignment horizontal="center" wrapText="1"/>
    </xf>
    <xf numFmtId="164" fontId="15" fillId="0" borderId="1" xfId="0" applyNumberFormat="1" applyFont="1" applyFill="1" applyBorder="1"/>
    <xf numFmtId="0" fontId="58" fillId="53" borderId="1" xfId="0" applyFont="1" applyFill="1" applyBorder="1" applyAlignment="1">
      <alignment wrapText="1"/>
    </xf>
    <xf numFmtId="164" fontId="15" fillId="53" borderId="1" xfId="0" applyNumberFormat="1" applyFont="1" applyFill="1" applyBorder="1"/>
    <xf numFmtId="0" fontId="22" fillId="53" borderId="1" xfId="0" applyFont="1" applyFill="1" applyBorder="1" applyAlignment="1">
      <alignment wrapText="1"/>
    </xf>
    <xf numFmtId="14" fontId="0" fillId="53" borderId="1" xfId="0" applyNumberFormat="1" applyFill="1" applyBorder="1" applyAlignment="1">
      <alignment horizontal="center" wrapText="1"/>
    </xf>
    <xf numFmtId="0" fontId="58" fillId="53" borderId="0" xfId="0" applyFont="1" applyFill="1" applyBorder="1" applyAlignment="1">
      <alignment wrapText="1"/>
    </xf>
    <xf numFmtId="164" fontId="15" fillId="53" borderId="0" xfId="0" applyNumberFormat="1" applyFont="1" applyFill="1" applyBorder="1"/>
    <xf numFmtId="0" fontId="22" fillId="53" borderId="0" xfId="0" applyFont="1" applyFill="1" applyBorder="1" applyAlignment="1">
      <alignment wrapText="1"/>
    </xf>
    <xf numFmtId="14" fontId="0" fillId="53" borderId="0" xfId="0" applyNumberFormat="1" applyFill="1" applyBorder="1" applyAlignment="1">
      <alignment horizontal="center" wrapText="1"/>
    </xf>
    <xf numFmtId="8" fontId="8" fillId="0" borderId="0" xfId="0" applyNumberFormat="1" applyFont="1"/>
    <xf numFmtId="0" fontId="96" fillId="47" borderId="0" xfId="0" applyFont="1" applyFill="1" applyAlignment="1">
      <alignment horizontal="center" vertical="center" wrapText="1"/>
    </xf>
    <xf numFmtId="0" fontId="0" fillId="0" borderId="0" xfId="0" applyAlignment="1">
      <alignment horizontal="center" vertical="center"/>
    </xf>
    <xf numFmtId="0" fontId="0" fillId="46" borderId="1" xfId="0" applyFill="1" applyBorder="1" applyAlignment="1">
      <alignment horizontal="center" vertical="center" wrapText="1"/>
    </xf>
    <xf numFmtId="0" fontId="0" fillId="46" borderId="1" xfId="0" applyFill="1" applyBorder="1" applyAlignment="1">
      <alignment horizontal="center" vertical="center"/>
    </xf>
    <xf numFmtId="0" fontId="0" fillId="50" borderId="1" xfId="0" applyFill="1" applyBorder="1" applyAlignment="1">
      <alignment horizontal="center" vertical="center" wrapText="1"/>
    </xf>
    <xf numFmtId="0" fontId="0" fillId="0" borderId="0" xfId="0" applyAlignment="1">
      <alignment horizontal="center" vertical="center" wrapText="1"/>
    </xf>
    <xf numFmtId="0" fontId="93" fillId="0" borderId="1" xfId="0" applyFont="1" applyBorder="1" applyAlignment="1">
      <alignment horizontal="center" vertical="center" wrapText="1"/>
    </xf>
    <xf numFmtId="0" fontId="0" fillId="48" borderId="1" xfId="0" applyFill="1" applyBorder="1" applyAlignment="1">
      <alignment horizontal="center" vertical="center" wrapText="1"/>
    </xf>
    <xf numFmtId="0" fontId="0" fillId="0" borderId="39" xfId="0" applyBorder="1" applyAlignment="1">
      <alignment horizontal="center" vertical="center" wrapText="1"/>
    </xf>
    <xf numFmtId="0" fontId="0" fillId="0" borderId="1" xfId="0" applyBorder="1" applyAlignment="1">
      <alignment horizontal="center" vertical="center"/>
    </xf>
    <xf numFmtId="0" fontId="0" fillId="49" borderId="1" xfId="0" applyFill="1" applyBorder="1" applyAlignment="1">
      <alignment horizontal="center" vertical="center" wrapText="1"/>
    </xf>
    <xf numFmtId="0" fontId="0" fillId="49" borderId="0" xfId="0" applyFill="1" applyAlignment="1">
      <alignment horizontal="center" vertical="center" wrapText="1"/>
    </xf>
    <xf numFmtId="0" fontId="97" fillId="0" borderId="1" xfId="0" applyFont="1" applyBorder="1" applyAlignment="1">
      <alignment horizontal="center" vertical="center" wrapText="1"/>
    </xf>
    <xf numFmtId="0" fontId="0" fillId="48" borderId="46" xfId="0" applyFill="1" applyBorder="1" applyAlignment="1">
      <alignment horizontal="center" vertical="center" wrapText="1"/>
    </xf>
    <xf numFmtId="0" fontId="0" fillId="48" borderId="1" xfId="0" applyFont="1" applyFill="1" applyBorder="1" applyAlignment="1">
      <alignment horizontal="center" vertical="center" wrapText="1"/>
    </xf>
    <xf numFmtId="166" fontId="22" fillId="11" borderId="26" xfId="0" applyNumberFormat="1" applyFont="1" applyFill="1" applyBorder="1" applyAlignment="1">
      <alignment horizontal="center" vertical="center"/>
    </xf>
    <xf numFmtId="0" fontId="15" fillId="0" borderId="0" xfId="0" applyFont="1" applyAlignment="1">
      <alignment vertical="center"/>
    </xf>
    <xf numFmtId="0" fontId="15" fillId="11" borderId="1" xfId="0" applyFont="1" applyFill="1" applyBorder="1" applyAlignment="1">
      <alignment horizontal="center" vertical="center"/>
    </xf>
    <xf numFmtId="0" fontId="22" fillId="0" borderId="1" xfId="0" applyFont="1" applyBorder="1" applyAlignment="1">
      <alignment vertical="center" wrapText="1"/>
    </xf>
    <xf numFmtId="0" fontId="22" fillId="0" borderId="0" xfId="0" applyFont="1" applyBorder="1" applyAlignment="1">
      <alignment vertical="center" wrapText="1"/>
    </xf>
    <xf numFmtId="0" fontId="58" fillId="0" borderId="0" xfId="0" applyFont="1" applyAlignment="1">
      <alignment vertical="center"/>
    </xf>
    <xf numFmtId="44" fontId="15" fillId="0" borderId="0" xfId="1329" applyFont="1"/>
    <xf numFmtId="14" fontId="103" fillId="0" borderId="1" xfId="0" applyNumberFormat="1" applyFont="1" applyBorder="1" applyAlignment="1">
      <alignment horizontal="center" wrapText="1"/>
    </xf>
    <xf numFmtId="0" fontId="103" fillId="0" borderId="1" xfId="0" applyFont="1" applyBorder="1" applyAlignment="1">
      <alignment horizontal="center" wrapText="1"/>
    </xf>
    <xf numFmtId="0" fontId="103" fillId="0" borderId="1" xfId="0" applyFont="1" applyBorder="1" applyAlignment="1">
      <alignment horizontal="center"/>
    </xf>
    <xf numFmtId="0" fontId="103" fillId="0" borderId="1" xfId="0" applyFont="1" applyBorder="1" applyAlignment="1">
      <alignment wrapText="1"/>
    </xf>
    <xf numFmtId="44" fontId="103" fillId="0" borderId="1" xfId="0" applyNumberFormat="1" applyFont="1" applyBorder="1" applyAlignment="1">
      <alignment wrapText="1"/>
    </xf>
    <xf numFmtId="164" fontId="103" fillId="0" borderId="1" xfId="0" applyNumberFormat="1" applyFont="1" applyBorder="1"/>
    <xf numFmtId="4" fontId="105" fillId="0" borderId="0" xfId="0" applyNumberFormat="1" applyFont="1"/>
    <xf numFmtId="14" fontId="104" fillId="51" borderId="1" xfId="0" applyNumberFormat="1" applyFont="1" applyFill="1" applyBorder="1" applyAlignment="1">
      <alignment horizontal="center" wrapText="1"/>
    </xf>
    <xf numFmtId="49" fontId="108" fillId="0" borderId="0" xfId="0" applyNumberFormat="1" applyFont="1"/>
    <xf numFmtId="49"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49" fontId="0" fillId="0" borderId="0" xfId="0" applyNumberFormat="1"/>
    <xf numFmtId="49" fontId="0" fillId="51" borderId="0" xfId="0" applyNumberFormat="1" applyFill="1"/>
    <xf numFmtId="0" fontId="103" fillId="0" borderId="18" xfId="0" applyFont="1" applyBorder="1" applyAlignment="1">
      <alignment horizontal="center"/>
    </xf>
    <xf numFmtId="0" fontId="103" fillId="0" borderId="18" xfId="0" applyFont="1" applyBorder="1" applyAlignment="1">
      <alignment horizontal="center" wrapText="1"/>
    </xf>
    <xf numFmtId="14" fontId="103" fillId="0" borderId="18" xfId="0" applyNumberFormat="1" applyFont="1" applyBorder="1" applyAlignment="1">
      <alignment horizontal="center" wrapText="1"/>
    </xf>
    <xf numFmtId="170" fontId="95" fillId="0" borderId="0" xfId="0" applyNumberFormat="1" applyFont="1"/>
    <xf numFmtId="0" fontId="95" fillId="0" borderId="3" xfId="0" applyFont="1" applyBorder="1" applyAlignment="1">
      <alignment horizontal="center"/>
    </xf>
    <xf numFmtId="49" fontId="95" fillId="0" borderId="0" xfId="0" applyNumberFormat="1" applyFont="1" applyAlignment="1" applyProtection="1">
      <alignment vertical="top"/>
      <protection locked="0"/>
    </xf>
    <xf numFmtId="0" fontId="58" fillId="0" borderId="1" xfId="0" applyFont="1" applyBorder="1"/>
    <xf numFmtId="0" fontId="58" fillId="0" borderId="1" xfId="0" applyFont="1" applyBorder="1" applyAlignment="1">
      <alignment vertical="center"/>
    </xf>
    <xf numFmtId="0" fontId="8" fillId="48" borderId="1" xfId="0" applyFont="1" applyFill="1" applyBorder="1" applyAlignment="1">
      <alignment horizontal="center" vertical="center" wrapText="1"/>
    </xf>
    <xf numFmtId="0" fontId="0" fillId="48" borderId="1" xfId="0" applyNumberFormat="1" applyFill="1" applyBorder="1" applyAlignment="1">
      <alignment horizontal="center" vertical="center" wrapText="1"/>
    </xf>
    <xf numFmtId="170" fontId="95" fillId="0" borderId="0" xfId="0" applyNumberFormat="1" applyFont="1" applyFill="1"/>
    <xf numFmtId="0" fontId="103" fillId="0" borderId="18" xfId="0" applyFont="1" applyBorder="1" applyAlignment="1">
      <alignment wrapText="1"/>
    </xf>
    <xf numFmtId="44" fontId="103" fillId="0" borderId="0" xfId="0" applyNumberFormat="1" applyFont="1" applyBorder="1" applyAlignment="1">
      <alignment wrapText="1"/>
    </xf>
    <xf numFmtId="164" fontId="103" fillId="0" borderId="18" xfId="0" applyNumberFormat="1" applyFont="1" applyBorder="1"/>
    <xf numFmtId="14" fontId="104" fillId="51" borderId="18" xfId="0" applyNumberFormat="1" applyFont="1" applyFill="1" applyBorder="1" applyAlignment="1">
      <alignment horizontal="center" wrapText="1"/>
    </xf>
    <xf numFmtId="0" fontId="7" fillId="0" borderId="0" xfId="0" applyFont="1" applyAlignment="1">
      <alignment horizontal="center"/>
    </xf>
    <xf numFmtId="168" fontId="7" fillId="0" borderId="0" xfId="0" applyNumberFormat="1" applyFont="1" applyAlignment="1">
      <alignment horizontal="center"/>
    </xf>
    <xf numFmtId="170" fontId="95" fillId="0" borderId="0" xfId="0" applyNumberFormat="1" applyFont="1" applyFill="1" applyAlignment="1">
      <alignment horizontal="right"/>
    </xf>
    <xf numFmtId="0" fontId="110" fillId="54" borderId="0" xfId="0" applyFont="1" applyFill="1" applyAlignment="1">
      <alignment horizontal="center"/>
    </xf>
    <xf numFmtId="0" fontId="111" fillId="0" borderId="0" xfId="0" applyFont="1" applyAlignment="1">
      <alignment horizontal="center"/>
    </xf>
    <xf numFmtId="168" fontId="111" fillId="0" borderId="0" xfId="0" applyNumberFormat="1" applyFont="1" applyAlignment="1">
      <alignment horizontal="center"/>
    </xf>
    <xf numFmtId="49" fontId="112" fillId="0" borderId="0" xfId="0" applyNumberFormat="1" applyFont="1" applyAlignment="1">
      <alignment vertical="top"/>
    </xf>
    <xf numFmtId="169" fontId="112" fillId="0" borderId="0" xfId="0" applyNumberFormat="1" applyFont="1" applyAlignment="1">
      <alignment vertical="top"/>
    </xf>
    <xf numFmtId="0" fontId="112" fillId="0" borderId="0" xfId="0" applyNumberFormat="1" applyFont="1" applyAlignment="1">
      <alignment vertical="top"/>
    </xf>
    <xf numFmtId="0" fontId="0" fillId="0" borderId="40" xfId="0" pivotButton="1" applyFont="1" applyBorder="1"/>
    <xf numFmtId="0" fontId="0" fillId="0" borderId="41" xfId="0" applyFont="1" applyBorder="1"/>
    <xf numFmtId="0" fontId="0" fillId="0" borderId="40" xfId="0" applyFont="1" applyBorder="1"/>
    <xf numFmtId="164" fontId="0" fillId="0" borderId="41" xfId="0" applyNumberFormat="1" applyFont="1" applyBorder="1"/>
    <xf numFmtId="0" fontId="0" fillId="0" borderId="44" xfId="0" applyFont="1" applyBorder="1"/>
    <xf numFmtId="164" fontId="0" fillId="0" borderId="45" xfId="0" applyNumberFormat="1" applyFont="1" applyBorder="1"/>
    <xf numFmtId="0" fontId="0" fillId="0" borderId="42" xfId="0" applyFont="1" applyBorder="1"/>
    <xf numFmtId="164" fontId="0" fillId="0" borderId="43" xfId="0" applyNumberFormat="1" applyFont="1" applyBorder="1"/>
    <xf numFmtId="0" fontId="0" fillId="0" borderId="0" xfId="0" applyAlignment="1">
      <alignment horizontal="center" vertical="center" wrapText="1"/>
    </xf>
    <xf numFmtId="0" fontId="96" fillId="47" borderId="0" xfId="0" applyFont="1" applyFill="1" applyAlignment="1">
      <alignment horizontal="center" vertical="center" wrapText="1"/>
    </xf>
    <xf numFmtId="0" fontId="96" fillId="47" borderId="38" xfId="0" applyFont="1" applyFill="1" applyBorder="1" applyAlignment="1">
      <alignment horizontal="center" vertical="center" wrapText="1"/>
    </xf>
    <xf numFmtId="0" fontId="22" fillId="11" borderId="19" xfId="0" applyFont="1" applyFill="1" applyBorder="1" applyAlignment="1">
      <alignment horizontal="center"/>
    </xf>
    <xf numFmtId="0" fontId="22" fillId="11" borderId="20" xfId="0" applyFont="1" applyFill="1" applyBorder="1" applyAlignment="1">
      <alignment horizontal="center"/>
    </xf>
    <xf numFmtId="0" fontId="22" fillId="11" borderId="21" xfId="0" applyFont="1" applyFill="1" applyBorder="1" applyAlignment="1">
      <alignment horizontal="center"/>
    </xf>
    <xf numFmtId="0" fontId="22" fillId="11" borderId="22" xfId="0" applyFont="1" applyFill="1" applyBorder="1" applyAlignment="1">
      <alignment horizontal="center"/>
    </xf>
    <xf numFmtId="0" fontId="22" fillId="11" borderId="0" xfId="0" applyFont="1" applyFill="1" applyBorder="1" applyAlignment="1">
      <alignment horizontal="center"/>
    </xf>
    <xf numFmtId="0" fontId="22" fillId="11" borderId="23" xfId="0" applyFont="1" applyFill="1" applyBorder="1" applyAlignment="1">
      <alignment horizontal="center"/>
    </xf>
    <xf numFmtId="166" fontId="22" fillId="11" borderId="24" xfId="0" applyNumberFormat="1" applyFont="1" applyFill="1" applyBorder="1" applyAlignment="1">
      <alignment horizontal="center"/>
    </xf>
    <xf numFmtId="166" fontId="22" fillId="11" borderId="25" xfId="0" applyNumberFormat="1" applyFont="1" applyFill="1" applyBorder="1" applyAlignment="1">
      <alignment horizontal="center"/>
    </xf>
  </cellXfs>
  <cellStyles count="1797">
    <cellStyle name="20% - Accent1" xfId="1" xr:uid="{00000000-0005-0000-0000-000000000000}"/>
    <cellStyle name="20% - Accent1 2" xfId="1354" xr:uid="{E0D2796B-82A4-492C-95E8-E1374F0FDBC1}"/>
    <cellStyle name="20% - Accent2" xfId="2" xr:uid="{00000000-0005-0000-0000-000001000000}"/>
    <cellStyle name="20% - Accent2 2" xfId="1355" xr:uid="{07154905-10B0-4338-A51C-D7FE2DF81948}"/>
    <cellStyle name="20% - Accent3" xfId="3" xr:uid="{00000000-0005-0000-0000-000002000000}"/>
    <cellStyle name="20% - Accent3 2" xfId="1356" xr:uid="{74950D08-7C78-4082-83A5-636871BA4A29}"/>
    <cellStyle name="20% - Accent4" xfId="4" xr:uid="{00000000-0005-0000-0000-000003000000}"/>
    <cellStyle name="20% - Accent4 2" xfId="1357" xr:uid="{9B27B334-9F98-4B9B-A2E2-CC73F4229BF4}"/>
    <cellStyle name="20% - Accent5" xfId="5" xr:uid="{00000000-0005-0000-0000-000004000000}"/>
    <cellStyle name="20% - Accent5 2" xfId="1358" xr:uid="{6CD13795-DC38-4507-BC07-30406F29E597}"/>
    <cellStyle name="20% - Accent6" xfId="6" xr:uid="{00000000-0005-0000-0000-000005000000}"/>
    <cellStyle name="20% - Accent6 2" xfId="1359" xr:uid="{8FB18BD8-DB12-4B49-82B5-488A6826142D}"/>
    <cellStyle name="20% - Énfasis1" xfId="7" builtinId="30" customBuiltin="1"/>
    <cellStyle name="20% - Énfasis1 10" xfId="8" xr:uid="{00000000-0005-0000-0000-000007000000}"/>
    <cellStyle name="20% - Énfasis1 10 2" xfId="9" xr:uid="{00000000-0005-0000-0000-000008000000}"/>
    <cellStyle name="20% - Énfasis1 10 2 2" xfId="1361" xr:uid="{99E12916-FCAE-4BCA-823E-312F5FEBA327}"/>
    <cellStyle name="20% - Énfasis1 10 3" xfId="1360" xr:uid="{5927A179-4079-4D1C-A4B6-AB8108EA8F86}"/>
    <cellStyle name="20% - Énfasis1 11" xfId="10" xr:uid="{00000000-0005-0000-0000-000009000000}"/>
    <cellStyle name="20% - Énfasis1 11 2" xfId="11" xr:uid="{00000000-0005-0000-0000-00000A000000}"/>
    <cellStyle name="20% - Énfasis1 11 2 2" xfId="1363" xr:uid="{C6C85BE9-B5C2-441D-802A-7AD48065C7FA}"/>
    <cellStyle name="20% - Énfasis1 11 3" xfId="1362" xr:uid="{BDE58B66-4EAC-405D-A600-F299766DBAF5}"/>
    <cellStyle name="20% - Énfasis1 12" xfId="12" xr:uid="{00000000-0005-0000-0000-00000B000000}"/>
    <cellStyle name="20% - Énfasis1 12 2" xfId="13" xr:uid="{00000000-0005-0000-0000-00000C000000}"/>
    <cellStyle name="20% - Énfasis1 12 2 2" xfId="1365" xr:uid="{432CA2F2-1102-4C46-9E9A-358933F51D1C}"/>
    <cellStyle name="20% - Énfasis1 12 3" xfId="1364" xr:uid="{62569E9F-16CC-46C1-90D6-6FB6A2D064FD}"/>
    <cellStyle name="20% - Énfasis1 13" xfId="14" xr:uid="{00000000-0005-0000-0000-00000D000000}"/>
    <cellStyle name="20% - Énfasis1 13 2" xfId="15" xr:uid="{00000000-0005-0000-0000-00000E000000}"/>
    <cellStyle name="20% - Énfasis1 13 2 2" xfId="1367" xr:uid="{D79C3971-FFDD-4BAD-8A9C-BB096D2E27D7}"/>
    <cellStyle name="20% - Énfasis1 13 3" xfId="1366" xr:uid="{072BFB45-D330-46E0-A4C0-8DE4078030D2}"/>
    <cellStyle name="20% - Énfasis1 14" xfId="16" xr:uid="{00000000-0005-0000-0000-00000F000000}"/>
    <cellStyle name="20% - Énfasis1 14 2" xfId="17" xr:uid="{00000000-0005-0000-0000-000010000000}"/>
    <cellStyle name="20% - Énfasis1 14 2 2" xfId="1369" xr:uid="{4FF284FA-FA3A-435D-85F4-6D6CBA43DF24}"/>
    <cellStyle name="20% - Énfasis1 14 3" xfId="1368" xr:uid="{8FC69E5B-1118-43FD-8736-3916CA31F2FB}"/>
    <cellStyle name="20% - Énfasis1 15" xfId="18" xr:uid="{00000000-0005-0000-0000-000011000000}"/>
    <cellStyle name="20% - Énfasis1 16" xfId="1336" xr:uid="{61E1F276-E14F-45EC-8592-4EA28BF901CF}"/>
    <cellStyle name="20% - Énfasis1 16 2" xfId="1774" xr:uid="{FBA09E78-424D-4870-81B0-28FF17F2941A}"/>
    <cellStyle name="20% - Énfasis1 2" xfId="19" xr:uid="{00000000-0005-0000-0000-000012000000}"/>
    <cellStyle name="20% - Énfasis1 2 2" xfId="20" xr:uid="{00000000-0005-0000-0000-000013000000}"/>
    <cellStyle name="20% - Énfasis1 2 2 2" xfId="1371" xr:uid="{8706F5AF-C8B8-4A90-8939-A75E3859B1DA}"/>
    <cellStyle name="20% - Énfasis1 2 3" xfId="1370" xr:uid="{251B8DAC-FD19-400D-9C7F-09B41759EE60}"/>
    <cellStyle name="20% - Énfasis1 3" xfId="21" xr:uid="{00000000-0005-0000-0000-000014000000}"/>
    <cellStyle name="20% - Énfasis1 3 2" xfId="22" xr:uid="{00000000-0005-0000-0000-000015000000}"/>
    <cellStyle name="20% - Énfasis1 3 2 2" xfId="1373" xr:uid="{D0B0549D-AD02-469E-8E9A-EF589A19A9F0}"/>
    <cellStyle name="20% - Énfasis1 3 3" xfId="1372" xr:uid="{E1D11C73-C748-486D-B2F1-38512F1441DA}"/>
    <cellStyle name="20% - Énfasis1 4" xfId="23" xr:uid="{00000000-0005-0000-0000-000016000000}"/>
    <cellStyle name="20% - Énfasis1 4 2" xfId="24" xr:uid="{00000000-0005-0000-0000-000017000000}"/>
    <cellStyle name="20% - Énfasis1 4 2 2" xfId="1375" xr:uid="{72BF742F-2CD8-40E0-89ED-B1EB87D66B84}"/>
    <cellStyle name="20% - Énfasis1 4 3" xfId="1374" xr:uid="{230E022E-FB88-43E6-BF24-976CF68D5F70}"/>
    <cellStyle name="20% - Énfasis1 5" xfId="25" xr:uid="{00000000-0005-0000-0000-000018000000}"/>
    <cellStyle name="20% - Énfasis1 5 2" xfId="26" xr:uid="{00000000-0005-0000-0000-000019000000}"/>
    <cellStyle name="20% - Énfasis1 5 2 2" xfId="1377" xr:uid="{B1D3B063-00D3-4209-8181-857A4A0D77FC}"/>
    <cellStyle name="20% - Énfasis1 5 3" xfId="1376" xr:uid="{F1770B23-2A76-4776-9B94-ED5BBB58B8FA}"/>
    <cellStyle name="20% - Énfasis1 6" xfId="27" xr:uid="{00000000-0005-0000-0000-00001A000000}"/>
    <cellStyle name="20% - Énfasis1 6 2" xfId="28" xr:uid="{00000000-0005-0000-0000-00001B000000}"/>
    <cellStyle name="20% - Énfasis1 6 2 2" xfId="1379" xr:uid="{F46A1E75-E10F-4553-BAF9-6BC2D1B80260}"/>
    <cellStyle name="20% - Énfasis1 6 3" xfId="1378" xr:uid="{32CB862A-D1C1-4E0A-AF4F-BFD392876E4A}"/>
    <cellStyle name="20% - Énfasis1 7" xfId="29" xr:uid="{00000000-0005-0000-0000-00001C000000}"/>
    <cellStyle name="20% - Énfasis1 7 2" xfId="30" xr:uid="{00000000-0005-0000-0000-00001D000000}"/>
    <cellStyle name="20% - Énfasis1 7 2 2" xfId="1381" xr:uid="{41394034-96D3-4C94-A805-B5B27DC0F81F}"/>
    <cellStyle name="20% - Énfasis1 7 3" xfId="1380" xr:uid="{3D2E2CC9-255B-4A63-A07E-887872552710}"/>
    <cellStyle name="20% - Énfasis1 8" xfId="31" xr:uid="{00000000-0005-0000-0000-00001E000000}"/>
    <cellStyle name="20% - Énfasis1 8 2" xfId="32" xr:uid="{00000000-0005-0000-0000-00001F000000}"/>
    <cellStyle name="20% - Énfasis1 8 2 2" xfId="1383" xr:uid="{4D5D1700-65C5-46E8-96F8-6EFA51ADF209}"/>
    <cellStyle name="20% - Énfasis1 8 3" xfId="1382" xr:uid="{0EEFECB7-D5E1-43E5-BBAC-87DB8C2825B0}"/>
    <cellStyle name="20% - Énfasis1 9" xfId="33" xr:uid="{00000000-0005-0000-0000-000020000000}"/>
    <cellStyle name="20% - Énfasis1 9 2" xfId="34" xr:uid="{00000000-0005-0000-0000-000021000000}"/>
    <cellStyle name="20% - Énfasis1 9 2 2" xfId="1385" xr:uid="{D4E3CBA5-03A1-4D97-A140-BAD490D1B093}"/>
    <cellStyle name="20% - Énfasis1 9 3" xfId="1384" xr:uid="{3CBF2D89-7110-4E21-ADCA-FD73752C499E}"/>
    <cellStyle name="20% - Énfasis2" xfId="35" builtinId="34" customBuiltin="1"/>
    <cellStyle name="20% - Énfasis2 10" xfId="36" xr:uid="{00000000-0005-0000-0000-000023000000}"/>
    <cellStyle name="20% - Énfasis2 10 2" xfId="37" xr:uid="{00000000-0005-0000-0000-000024000000}"/>
    <cellStyle name="20% - Énfasis2 10 2 2" xfId="1387" xr:uid="{6182B46F-CD91-4F39-A497-C5F9F2F0B2E7}"/>
    <cellStyle name="20% - Énfasis2 10 3" xfId="1386" xr:uid="{ACC724E5-402A-4135-A822-C7C10650A5DC}"/>
    <cellStyle name="20% - Énfasis2 11" xfId="38" xr:uid="{00000000-0005-0000-0000-000025000000}"/>
    <cellStyle name="20% - Énfasis2 11 2" xfId="39" xr:uid="{00000000-0005-0000-0000-000026000000}"/>
    <cellStyle name="20% - Énfasis2 11 2 2" xfId="1389" xr:uid="{236E831A-EDC6-4B1C-BD49-3C138905CE7C}"/>
    <cellStyle name="20% - Énfasis2 11 3" xfId="1388" xr:uid="{939AFCE5-4A04-48B6-B46C-A0FEABA8BFAF}"/>
    <cellStyle name="20% - Énfasis2 12" xfId="40" xr:uid="{00000000-0005-0000-0000-000027000000}"/>
    <cellStyle name="20% - Énfasis2 12 2" xfId="41" xr:uid="{00000000-0005-0000-0000-000028000000}"/>
    <cellStyle name="20% - Énfasis2 12 2 2" xfId="1391" xr:uid="{8DD344C0-7BB6-4FF5-84B3-80CB8C2286A9}"/>
    <cellStyle name="20% - Énfasis2 12 3" xfId="1390" xr:uid="{D54A773E-F343-4C86-AE89-1C5B628370F7}"/>
    <cellStyle name="20% - Énfasis2 13" xfId="42" xr:uid="{00000000-0005-0000-0000-000029000000}"/>
    <cellStyle name="20% - Énfasis2 13 2" xfId="43" xr:uid="{00000000-0005-0000-0000-00002A000000}"/>
    <cellStyle name="20% - Énfasis2 13 2 2" xfId="1393" xr:uid="{AA303C08-8F5D-410D-ADB2-9C6C540C5381}"/>
    <cellStyle name="20% - Énfasis2 13 3" xfId="1392" xr:uid="{D0B1C622-C30C-4185-9794-04FF4EAB8191}"/>
    <cellStyle name="20% - Énfasis2 14" xfId="44" xr:uid="{00000000-0005-0000-0000-00002B000000}"/>
    <cellStyle name="20% - Énfasis2 14 2" xfId="45" xr:uid="{00000000-0005-0000-0000-00002C000000}"/>
    <cellStyle name="20% - Énfasis2 14 2 2" xfId="1395" xr:uid="{E297E5C2-E0B7-4887-AE95-456ABEABD267}"/>
    <cellStyle name="20% - Énfasis2 14 3" xfId="1394" xr:uid="{03753D3B-7AD3-48A6-B31B-28B5F667EDE0}"/>
    <cellStyle name="20% - Énfasis2 15" xfId="46" xr:uid="{00000000-0005-0000-0000-00002D000000}"/>
    <cellStyle name="20% - Énfasis2 16" xfId="1339" xr:uid="{296122F6-0C34-4273-9B8C-349D75A0EF95}"/>
    <cellStyle name="20% - Énfasis2 16 2" xfId="1777" xr:uid="{887E4B0A-ED12-4D7A-9CAE-A3A222B82600}"/>
    <cellStyle name="20% - Énfasis2 2" xfId="47" xr:uid="{00000000-0005-0000-0000-00002E000000}"/>
    <cellStyle name="20% - Énfasis2 2 2" xfId="48" xr:uid="{00000000-0005-0000-0000-00002F000000}"/>
    <cellStyle name="20% - Énfasis2 2 2 2" xfId="1397" xr:uid="{5958168A-3821-43C1-9749-743B3A61D9CA}"/>
    <cellStyle name="20% - Énfasis2 2 3" xfId="1396" xr:uid="{1B594BF0-254C-4586-B202-B577D7089C83}"/>
    <cellStyle name="20% - Énfasis2 3" xfId="49" xr:uid="{00000000-0005-0000-0000-000030000000}"/>
    <cellStyle name="20% - Énfasis2 3 2" xfId="50" xr:uid="{00000000-0005-0000-0000-000031000000}"/>
    <cellStyle name="20% - Énfasis2 3 2 2" xfId="1399" xr:uid="{28D558F3-FFE5-4578-BF8C-23C449F30142}"/>
    <cellStyle name="20% - Énfasis2 3 3" xfId="1398" xr:uid="{212B9C27-2CC2-42BE-A225-B35B35A606EE}"/>
    <cellStyle name="20% - Énfasis2 4" xfId="51" xr:uid="{00000000-0005-0000-0000-000032000000}"/>
    <cellStyle name="20% - Énfasis2 4 2" xfId="52" xr:uid="{00000000-0005-0000-0000-000033000000}"/>
    <cellStyle name="20% - Énfasis2 4 2 2" xfId="1401" xr:uid="{CA1D2D5E-E697-432B-929C-E54A957DCD06}"/>
    <cellStyle name="20% - Énfasis2 4 3" xfId="1400" xr:uid="{A6B9CAD2-0922-424D-A700-D43C3E2260FB}"/>
    <cellStyle name="20% - Énfasis2 5" xfId="53" xr:uid="{00000000-0005-0000-0000-000034000000}"/>
    <cellStyle name="20% - Énfasis2 5 2" xfId="54" xr:uid="{00000000-0005-0000-0000-000035000000}"/>
    <cellStyle name="20% - Énfasis2 5 2 2" xfId="1403" xr:uid="{5E871348-3A49-42F5-ABE6-ED570F50712A}"/>
    <cellStyle name="20% - Énfasis2 5 3" xfId="1402" xr:uid="{C63D91A2-9BCC-4117-99B2-C13207DF664F}"/>
    <cellStyle name="20% - Énfasis2 6" xfId="55" xr:uid="{00000000-0005-0000-0000-000036000000}"/>
    <cellStyle name="20% - Énfasis2 6 2" xfId="56" xr:uid="{00000000-0005-0000-0000-000037000000}"/>
    <cellStyle name="20% - Énfasis2 6 2 2" xfId="1405" xr:uid="{F3EEB7C8-428D-4ADD-BF9E-EF02D0747509}"/>
    <cellStyle name="20% - Énfasis2 6 3" xfId="1404" xr:uid="{F7BC9878-0BA6-4536-9227-BAFE0387CDA2}"/>
    <cellStyle name="20% - Énfasis2 7" xfId="57" xr:uid="{00000000-0005-0000-0000-000038000000}"/>
    <cellStyle name="20% - Énfasis2 7 2" xfId="58" xr:uid="{00000000-0005-0000-0000-000039000000}"/>
    <cellStyle name="20% - Énfasis2 7 2 2" xfId="1407" xr:uid="{451FD398-6824-4856-9F43-A361CACDC884}"/>
    <cellStyle name="20% - Énfasis2 7 3" xfId="1406" xr:uid="{5257FB20-4242-413D-A4D1-E0403AA7714C}"/>
    <cellStyle name="20% - Énfasis2 8" xfId="59" xr:uid="{00000000-0005-0000-0000-00003A000000}"/>
    <cellStyle name="20% - Énfasis2 8 2" xfId="60" xr:uid="{00000000-0005-0000-0000-00003B000000}"/>
    <cellStyle name="20% - Énfasis2 8 2 2" xfId="1409" xr:uid="{CEFFF82A-EFF8-456F-BAFD-4F5BB9E2F128}"/>
    <cellStyle name="20% - Énfasis2 8 3" xfId="1408" xr:uid="{2EC039DC-8CB9-4E91-8574-38F84DF24D0C}"/>
    <cellStyle name="20% - Énfasis2 9" xfId="61" xr:uid="{00000000-0005-0000-0000-00003C000000}"/>
    <cellStyle name="20% - Énfasis2 9 2" xfId="62" xr:uid="{00000000-0005-0000-0000-00003D000000}"/>
    <cellStyle name="20% - Énfasis2 9 2 2" xfId="1411" xr:uid="{C2EC237C-A0F5-4EAB-88DF-D0D44C15F497}"/>
    <cellStyle name="20% - Énfasis2 9 3" xfId="1410" xr:uid="{5214DD09-D171-47C6-A201-D5B969F27838}"/>
    <cellStyle name="20% - Énfasis3" xfId="63" builtinId="38" customBuiltin="1"/>
    <cellStyle name="20% - Énfasis3 10" xfId="64" xr:uid="{00000000-0005-0000-0000-00003F000000}"/>
    <cellStyle name="20% - Énfasis3 10 2" xfId="65" xr:uid="{00000000-0005-0000-0000-000040000000}"/>
    <cellStyle name="20% - Énfasis3 10 2 2" xfId="1413" xr:uid="{F0C9F570-A779-4D4C-9EE5-E649CF33F7B8}"/>
    <cellStyle name="20% - Énfasis3 10 3" xfId="1412" xr:uid="{F5CBB903-343F-4E21-848C-8C901827B6C8}"/>
    <cellStyle name="20% - Énfasis3 11" xfId="66" xr:uid="{00000000-0005-0000-0000-000041000000}"/>
    <cellStyle name="20% - Énfasis3 11 2" xfId="67" xr:uid="{00000000-0005-0000-0000-000042000000}"/>
    <cellStyle name="20% - Énfasis3 11 2 2" xfId="1415" xr:uid="{E9A8C2D8-12DF-44DC-9F88-F2392A99A9AF}"/>
    <cellStyle name="20% - Énfasis3 11 3" xfId="1414" xr:uid="{D1E3FE82-6289-4094-9F4A-41BEB985C2DE}"/>
    <cellStyle name="20% - Énfasis3 12" xfId="68" xr:uid="{00000000-0005-0000-0000-000043000000}"/>
    <cellStyle name="20% - Énfasis3 12 2" xfId="69" xr:uid="{00000000-0005-0000-0000-000044000000}"/>
    <cellStyle name="20% - Énfasis3 12 2 2" xfId="1417" xr:uid="{2497D396-FE18-44B1-BE87-60FC70F61E42}"/>
    <cellStyle name="20% - Énfasis3 12 3" xfId="1416" xr:uid="{B936B39D-F67A-4C3F-92B9-3BFE10AA6B9B}"/>
    <cellStyle name="20% - Énfasis3 13" xfId="70" xr:uid="{00000000-0005-0000-0000-000045000000}"/>
    <cellStyle name="20% - Énfasis3 13 2" xfId="71" xr:uid="{00000000-0005-0000-0000-000046000000}"/>
    <cellStyle name="20% - Énfasis3 13 2 2" xfId="1419" xr:uid="{CF717AC0-70E0-4601-A591-5BD077190E49}"/>
    <cellStyle name="20% - Énfasis3 13 3" xfId="1418" xr:uid="{EDBA8B3A-8F73-401D-92BB-6102F706DD60}"/>
    <cellStyle name="20% - Énfasis3 14" xfId="72" xr:uid="{00000000-0005-0000-0000-000047000000}"/>
    <cellStyle name="20% - Énfasis3 14 2" xfId="73" xr:uid="{00000000-0005-0000-0000-000048000000}"/>
    <cellStyle name="20% - Énfasis3 14 2 2" xfId="1421" xr:uid="{17ED9414-6375-471D-ADFA-5CC4DE82FE5F}"/>
    <cellStyle name="20% - Énfasis3 14 3" xfId="1420" xr:uid="{B4774F0F-AECE-4D1D-9C64-145FF8F94FDB}"/>
    <cellStyle name="20% - Énfasis3 15" xfId="74" xr:uid="{00000000-0005-0000-0000-000049000000}"/>
    <cellStyle name="20% - Énfasis3 16" xfId="1342" xr:uid="{52984048-5FBD-4B65-AFC8-A1227D0B0575}"/>
    <cellStyle name="20% - Énfasis3 16 2" xfId="1780" xr:uid="{77853713-6F88-40AB-B423-EE08E52923DC}"/>
    <cellStyle name="20% - Énfasis3 2" xfId="75" xr:uid="{00000000-0005-0000-0000-00004A000000}"/>
    <cellStyle name="20% - Énfasis3 2 2" xfId="76" xr:uid="{00000000-0005-0000-0000-00004B000000}"/>
    <cellStyle name="20% - Énfasis3 2 2 2" xfId="1423" xr:uid="{0A823E89-7422-4043-8B9F-719B43BCFA54}"/>
    <cellStyle name="20% - Énfasis3 2 3" xfId="1422" xr:uid="{EC6D0A4E-ED48-4DAA-BDAC-5342EA77BB58}"/>
    <cellStyle name="20% - Énfasis3 3" xfId="77" xr:uid="{00000000-0005-0000-0000-00004C000000}"/>
    <cellStyle name="20% - Énfasis3 3 2" xfId="78" xr:uid="{00000000-0005-0000-0000-00004D000000}"/>
    <cellStyle name="20% - Énfasis3 3 2 2" xfId="1425" xr:uid="{C831BB74-4FCD-44EF-B417-E32672193D3E}"/>
    <cellStyle name="20% - Énfasis3 3 3" xfId="1424" xr:uid="{5DA52296-EC12-4433-BC9E-71C20A47BB14}"/>
    <cellStyle name="20% - Énfasis3 4" xfId="79" xr:uid="{00000000-0005-0000-0000-00004E000000}"/>
    <cellStyle name="20% - Énfasis3 4 2" xfId="80" xr:uid="{00000000-0005-0000-0000-00004F000000}"/>
    <cellStyle name="20% - Énfasis3 4 2 2" xfId="1427" xr:uid="{5ED62094-ABDC-4D8B-B3CB-47142703AF94}"/>
    <cellStyle name="20% - Énfasis3 4 3" xfId="1426" xr:uid="{CED77BA7-C4D1-4D35-B892-EDCA3D714498}"/>
    <cellStyle name="20% - Énfasis3 5" xfId="81" xr:uid="{00000000-0005-0000-0000-000050000000}"/>
    <cellStyle name="20% - Énfasis3 5 2" xfId="82" xr:uid="{00000000-0005-0000-0000-000051000000}"/>
    <cellStyle name="20% - Énfasis3 5 2 2" xfId="1429" xr:uid="{C32163CA-205A-4DD0-8822-9C20ED79132C}"/>
    <cellStyle name="20% - Énfasis3 5 3" xfId="1428" xr:uid="{75C2FD5A-6141-471F-8754-2A3E0BD1555C}"/>
    <cellStyle name="20% - Énfasis3 6" xfId="83" xr:uid="{00000000-0005-0000-0000-000052000000}"/>
    <cellStyle name="20% - Énfasis3 6 2" xfId="84" xr:uid="{00000000-0005-0000-0000-000053000000}"/>
    <cellStyle name="20% - Énfasis3 6 2 2" xfId="1431" xr:uid="{17738486-EBDE-4FD8-9843-D82B6761E6C8}"/>
    <cellStyle name="20% - Énfasis3 6 3" xfId="1430" xr:uid="{6E39E0FB-811A-4CCE-A26E-CFBA6CD8348E}"/>
    <cellStyle name="20% - Énfasis3 7" xfId="85" xr:uid="{00000000-0005-0000-0000-000054000000}"/>
    <cellStyle name="20% - Énfasis3 7 2" xfId="86" xr:uid="{00000000-0005-0000-0000-000055000000}"/>
    <cellStyle name="20% - Énfasis3 7 2 2" xfId="1433" xr:uid="{782E46E1-D18F-4674-9E26-53B5DCCAA1B9}"/>
    <cellStyle name="20% - Énfasis3 7 3" xfId="1432" xr:uid="{0E2DEA97-19C5-4267-81C6-3FBC1D58A191}"/>
    <cellStyle name="20% - Énfasis3 8" xfId="87" xr:uid="{00000000-0005-0000-0000-000056000000}"/>
    <cellStyle name="20% - Énfasis3 8 2" xfId="88" xr:uid="{00000000-0005-0000-0000-000057000000}"/>
    <cellStyle name="20% - Énfasis3 8 2 2" xfId="1435" xr:uid="{AEE78909-7682-4090-88AE-575AD9809916}"/>
    <cellStyle name="20% - Énfasis3 8 3" xfId="1434" xr:uid="{8E1E7B6D-E6E2-4902-92C4-03675C0FA882}"/>
    <cellStyle name="20% - Énfasis3 9" xfId="89" xr:uid="{00000000-0005-0000-0000-000058000000}"/>
    <cellStyle name="20% - Énfasis3 9 2" xfId="90" xr:uid="{00000000-0005-0000-0000-000059000000}"/>
    <cellStyle name="20% - Énfasis3 9 2 2" xfId="1437" xr:uid="{783F8644-4C09-4657-A057-D891F98886B9}"/>
    <cellStyle name="20% - Énfasis3 9 3" xfId="1436" xr:uid="{9CF66AE1-2ADF-4A30-A90E-C1FC6599EB31}"/>
    <cellStyle name="20% - Énfasis4" xfId="91" builtinId="42" customBuiltin="1"/>
    <cellStyle name="20% - Énfasis4 10" xfId="92" xr:uid="{00000000-0005-0000-0000-00005B000000}"/>
    <cellStyle name="20% - Énfasis4 10 2" xfId="93" xr:uid="{00000000-0005-0000-0000-00005C000000}"/>
    <cellStyle name="20% - Énfasis4 10 2 2" xfId="1439" xr:uid="{8AF4D680-D2D0-4E7F-97C2-D328BC8E7C6F}"/>
    <cellStyle name="20% - Énfasis4 10 3" xfId="1438" xr:uid="{AB4330D1-C5F7-4A39-A161-173C81D04724}"/>
    <cellStyle name="20% - Énfasis4 11" xfId="94" xr:uid="{00000000-0005-0000-0000-00005D000000}"/>
    <cellStyle name="20% - Énfasis4 11 2" xfId="95" xr:uid="{00000000-0005-0000-0000-00005E000000}"/>
    <cellStyle name="20% - Énfasis4 11 2 2" xfId="1441" xr:uid="{94467D04-2B66-44AB-8D26-52400627E5D2}"/>
    <cellStyle name="20% - Énfasis4 11 3" xfId="1440" xr:uid="{0044A10E-E4BA-4716-9A9B-5049656B67FB}"/>
    <cellStyle name="20% - Énfasis4 12" xfId="96" xr:uid="{00000000-0005-0000-0000-00005F000000}"/>
    <cellStyle name="20% - Énfasis4 12 2" xfId="97" xr:uid="{00000000-0005-0000-0000-000060000000}"/>
    <cellStyle name="20% - Énfasis4 12 2 2" xfId="1443" xr:uid="{12496435-EF25-45C3-AE53-C9A1A21D6D27}"/>
    <cellStyle name="20% - Énfasis4 12 3" xfId="1442" xr:uid="{4CAF0DA7-B0CF-43FA-A25D-0F0A70D42A80}"/>
    <cellStyle name="20% - Énfasis4 13" xfId="98" xr:uid="{00000000-0005-0000-0000-000061000000}"/>
    <cellStyle name="20% - Énfasis4 13 2" xfId="99" xr:uid="{00000000-0005-0000-0000-000062000000}"/>
    <cellStyle name="20% - Énfasis4 13 2 2" xfId="1445" xr:uid="{AE1E60DB-FCA7-4B28-91C1-6A807D6438A9}"/>
    <cellStyle name="20% - Énfasis4 13 3" xfId="1444" xr:uid="{AC094735-5045-4717-82A3-16C6E48889DB}"/>
    <cellStyle name="20% - Énfasis4 14" xfId="100" xr:uid="{00000000-0005-0000-0000-000063000000}"/>
    <cellStyle name="20% - Énfasis4 14 2" xfId="101" xr:uid="{00000000-0005-0000-0000-000064000000}"/>
    <cellStyle name="20% - Énfasis4 14 2 2" xfId="1447" xr:uid="{283DA742-8C03-425A-9398-C945F3F39BEF}"/>
    <cellStyle name="20% - Énfasis4 14 3" xfId="1446" xr:uid="{754CC201-B113-412F-B204-7FE9AE6FE923}"/>
    <cellStyle name="20% - Énfasis4 15" xfId="102" xr:uid="{00000000-0005-0000-0000-000065000000}"/>
    <cellStyle name="20% - Énfasis4 16" xfId="1345" xr:uid="{8D2ABB5C-3A91-4A9E-B7C7-321876348E7F}"/>
    <cellStyle name="20% - Énfasis4 16 2" xfId="1783" xr:uid="{3C9DD22B-E0B3-468A-9E39-FBFCCADAAF11}"/>
    <cellStyle name="20% - Énfasis4 2" xfId="103" xr:uid="{00000000-0005-0000-0000-000066000000}"/>
    <cellStyle name="20% - Énfasis4 2 2" xfId="104" xr:uid="{00000000-0005-0000-0000-000067000000}"/>
    <cellStyle name="20% - Énfasis4 2 2 2" xfId="1449" xr:uid="{AAB4D89F-8326-4338-9A7C-569903A78F35}"/>
    <cellStyle name="20% - Énfasis4 2 3" xfId="1448" xr:uid="{7E0A5BEE-4B39-4B08-ACFB-B542C2353E74}"/>
    <cellStyle name="20% - Énfasis4 3" xfId="105" xr:uid="{00000000-0005-0000-0000-000068000000}"/>
    <cellStyle name="20% - Énfasis4 3 2" xfId="106" xr:uid="{00000000-0005-0000-0000-000069000000}"/>
    <cellStyle name="20% - Énfasis4 3 2 2" xfId="1451" xr:uid="{110465C4-33B9-4895-AD5A-24A262CFC97B}"/>
    <cellStyle name="20% - Énfasis4 3 3" xfId="1450" xr:uid="{9E338E3C-F6C1-4FDD-8755-C0F6B13998BB}"/>
    <cellStyle name="20% - Énfasis4 4" xfId="107" xr:uid="{00000000-0005-0000-0000-00006A000000}"/>
    <cellStyle name="20% - Énfasis4 4 2" xfId="108" xr:uid="{00000000-0005-0000-0000-00006B000000}"/>
    <cellStyle name="20% - Énfasis4 4 2 2" xfId="1453" xr:uid="{613BCA2C-775F-48EA-876A-6BFA94E03A7E}"/>
    <cellStyle name="20% - Énfasis4 4 3" xfId="1452" xr:uid="{F63AB721-756C-4197-8617-05CC4B56447F}"/>
    <cellStyle name="20% - Énfasis4 5" xfId="109" xr:uid="{00000000-0005-0000-0000-00006C000000}"/>
    <cellStyle name="20% - Énfasis4 5 2" xfId="110" xr:uid="{00000000-0005-0000-0000-00006D000000}"/>
    <cellStyle name="20% - Énfasis4 5 2 2" xfId="1455" xr:uid="{26299FF2-0A3E-4FEA-B6C4-07FB978CAD0B}"/>
    <cellStyle name="20% - Énfasis4 5 3" xfId="1454" xr:uid="{390B9846-1808-42A6-91F4-E60C907D8C4C}"/>
    <cellStyle name="20% - Énfasis4 6" xfId="111" xr:uid="{00000000-0005-0000-0000-00006E000000}"/>
    <cellStyle name="20% - Énfasis4 6 2" xfId="112" xr:uid="{00000000-0005-0000-0000-00006F000000}"/>
    <cellStyle name="20% - Énfasis4 6 2 2" xfId="1457" xr:uid="{60A5ABEB-9B08-4E39-AF77-820A9F8644E4}"/>
    <cellStyle name="20% - Énfasis4 6 3" xfId="1456" xr:uid="{A1521BC4-2A17-4D1B-B5D3-FA7CD51E5904}"/>
    <cellStyle name="20% - Énfasis4 7" xfId="113" xr:uid="{00000000-0005-0000-0000-000070000000}"/>
    <cellStyle name="20% - Énfasis4 7 2" xfId="114" xr:uid="{00000000-0005-0000-0000-000071000000}"/>
    <cellStyle name="20% - Énfasis4 7 2 2" xfId="1459" xr:uid="{9C824C68-76DD-40B3-84B3-F1C4CD782590}"/>
    <cellStyle name="20% - Énfasis4 7 3" xfId="1458" xr:uid="{E031E962-D7EC-41E1-B993-1FAA017DB54E}"/>
    <cellStyle name="20% - Énfasis4 8" xfId="115" xr:uid="{00000000-0005-0000-0000-000072000000}"/>
    <cellStyle name="20% - Énfasis4 8 2" xfId="116" xr:uid="{00000000-0005-0000-0000-000073000000}"/>
    <cellStyle name="20% - Énfasis4 8 2 2" xfId="1461" xr:uid="{F7F4917C-49D4-4248-99D1-6F8159CD42FF}"/>
    <cellStyle name="20% - Énfasis4 8 3" xfId="1460" xr:uid="{1445B63B-2D1F-4798-B5D4-37E97E6431E8}"/>
    <cellStyle name="20% - Énfasis4 9" xfId="117" xr:uid="{00000000-0005-0000-0000-000074000000}"/>
    <cellStyle name="20% - Énfasis4 9 2" xfId="118" xr:uid="{00000000-0005-0000-0000-000075000000}"/>
    <cellStyle name="20% - Énfasis4 9 2 2" xfId="1463" xr:uid="{AB0B3108-3A31-4A8B-8044-9465F3A1C8A9}"/>
    <cellStyle name="20% - Énfasis4 9 3" xfId="1462" xr:uid="{92CA9DAD-777A-4A9E-BA91-610E8DC68217}"/>
    <cellStyle name="20% - Énfasis5" xfId="119" builtinId="46" customBuiltin="1"/>
    <cellStyle name="20% - Énfasis5 10" xfId="120" xr:uid="{00000000-0005-0000-0000-000077000000}"/>
    <cellStyle name="20% - Énfasis5 10 2" xfId="121" xr:uid="{00000000-0005-0000-0000-000078000000}"/>
    <cellStyle name="20% - Énfasis5 10 2 2" xfId="1465" xr:uid="{548B0402-7394-48B7-B7D6-B24D361EBF3E}"/>
    <cellStyle name="20% - Énfasis5 10 3" xfId="1464" xr:uid="{82668C1C-54AB-44A7-868B-EB53045DB839}"/>
    <cellStyle name="20% - Énfasis5 11" xfId="122" xr:uid="{00000000-0005-0000-0000-000079000000}"/>
    <cellStyle name="20% - Énfasis5 11 2" xfId="123" xr:uid="{00000000-0005-0000-0000-00007A000000}"/>
    <cellStyle name="20% - Énfasis5 11 2 2" xfId="1467" xr:uid="{F62D7828-BB0E-41AB-94FF-DEADF60A186C}"/>
    <cellStyle name="20% - Énfasis5 11 3" xfId="1466" xr:uid="{F8BA34FA-E98C-4659-93EB-4D1EAEFA82AB}"/>
    <cellStyle name="20% - Énfasis5 12" xfId="124" xr:uid="{00000000-0005-0000-0000-00007B000000}"/>
    <cellStyle name="20% - Énfasis5 12 2" xfId="125" xr:uid="{00000000-0005-0000-0000-00007C000000}"/>
    <cellStyle name="20% - Énfasis5 12 2 2" xfId="1469" xr:uid="{2605DB5E-A9C0-4C71-917F-3532D6EE5D4C}"/>
    <cellStyle name="20% - Énfasis5 12 3" xfId="1468" xr:uid="{990ADA17-F9B7-4AC7-901D-F96F5FFD5737}"/>
    <cellStyle name="20% - Énfasis5 13" xfId="126" xr:uid="{00000000-0005-0000-0000-00007D000000}"/>
    <cellStyle name="20% - Énfasis5 13 2" xfId="127" xr:uid="{00000000-0005-0000-0000-00007E000000}"/>
    <cellStyle name="20% - Énfasis5 13 2 2" xfId="1471" xr:uid="{DEE97504-94DC-417F-86EF-145727F041B2}"/>
    <cellStyle name="20% - Énfasis5 13 3" xfId="1470" xr:uid="{1CF8ED06-8616-477C-A8C9-18C7CA4058E4}"/>
    <cellStyle name="20% - Énfasis5 14" xfId="128" xr:uid="{00000000-0005-0000-0000-00007F000000}"/>
    <cellStyle name="20% - Énfasis5 14 2" xfId="129" xr:uid="{00000000-0005-0000-0000-000080000000}"/>
    <cellStyle name="20% - Énfasis5 14 2 2" xfId="1473" xr:uid="{2B1CBF3C-C691-4D30-839A-D8595078EB3E}"/>
    <cellStyle name="20% - Énfasis5 14 3" xfId="1472" xr:uid="{483D69A2-7CA5-4541-A149-5397326C2C0C}"/>
    <cellStyle name="20% - Énfasis5 15" xfId="130" xr:uid="{00000000-0005-0000-0000-000081000000}"/>
    <cellStyle name="20% - Énfasis5 16" xfId="1348" xr:uid="{E944BD2E-60A1-4692-B9BD-EB209EE1F7DE}"/>
    <cellStyle name="20% - Énfasis5 16 2" xfId="1786" xr:uid="{DC1D050C-0A76-489B-9B6C-0B4A49D861BE}"/>
    <cellStyle name="20% - Énfasis5 2" xfId="131" xr:uid="{00000000-0005-0000-0000-000082000000}"/>
    <cellStyle name="20% - Énfasis5 2 2" xfId="132" xr:uid="{00000000-0005-0000-0000-000083000000}"/>
    <cellStyle name="20% - Énfasis5 2 2 2" xfId="1475" xr:uid="{D2775DE1-7426-4D59-9B98-BAF9FA444485}"/>
    <cellStyle name="20% - Énfasis5 2 3" xfId="1474" xr:uid="{CF979779-5235-47B9-94BF-9346EDC07D26}"/>
    <cellStyle name="20% - Énfasis5 3" xfId="133" xr:uid="{00000000-0005-0000-0000-000084000000}"/>
    <cellStyle name="20% - Énfasis5 3 2" xfId="134" xr:uid="{00000000-0005-0000-0000-000085000000}"/>
    <cellStyle name="20% - Énfasis5 3 2 2" xfId="1477" xr:uid="{E07AEE11-058F-4798-895C-5C22F98C831C}"/>
    <cellStyle name="20% - Énfasis5 3 3" xfId="1476" xr:uid="{6FCEA0E5-CD59-4FB7-9463-C8EFB9962DE3}"/>
    <cellStyle name="20% - Énfasis5 4" xfId="135" xr:uid="{00000000-0005-0000-0000-000086000000}"/>
    <cellStyle name="20% - Énfasis5 4 2" xfId="136" xr:uid="{00000000-0005-0000-0000-000087000000}"/>
    <cellStyle name="20% - Énfasis5 4 2 2" xfId="1479" xr:uid="{498E09C9-B8F9-4EA1-93C5-72F16CF9F4F1}"/>
    <cellStyle name="20% - Énfasis5 4 3" xfId="1478" xr:uid="{E115AB7C-D14D-458C-91D9-D9C1CA2FFAAC}"/>
    <cellStyle name="20% - Énfasis5 5" xfId="137" xr:uid="{00000000-0005-0000-0000-000088000000}"/>
    <cellStyle name="20% - Énfasis5 5 2" xfId="138" xr:uid="{00000000-0005-0000-0000-000089000000}"/>
    <cellStyle name="20% - Énfasis5 5 2 2" xfId="1481" xr:uid="{3A84DEDA-5F43-407D-BD38-7427463CE1C2}"/>
    <cellStyle name="20% - Énfasis5 5 3" xfId="1480" xr:uid="{4A33770B-1F0F-42C7-B6E4-3B83E4DD6015}"/>
    <cellStyle name="20% - Énfasis5 6" xfId="139" xr:uid="{00000000-0005-0000-0000-00008A000000}"/>
    <cellStyle name="20% - Énfasis5 6 2" xfId="140" xr:uid="{00000000-0005-0000-0000-00008B000000}"/>
    <cellStyle name="20% - Énfasis5 6 2 2" xfId="1483" xr:uid="{FB2A4BB2-989D-4038-8DB4-58EACFA779CD}"/>
    <cellStyle name="20% - Énfasis5 6 3" xfId="1482" xr:uid="{AFE63ECF-9745-4512-AB2B-7294693151FC}"/>
    <cellStyle name="20% - Énfasis5 7" xfId="141" xr:uid="{00000000-0005-0000-0000-00008C000000}"/>
    <cellStyle name="20% - Énfasis5 7 2" xfId="142" xr:uid="{00000000-0005-0000-0000-00008D000000}"/>
    <cellStyle name="20% - Énfasis5 7 2 2" xfId="1485" xr:uid="{D06F18A8-4176-4B25-892B-970984D290F9}"/>
    <cellStyle name="20% - Énfasis5 7 3" xfId="1484" xr:uid="{78344CD5-BACD-4357-84C9-1BA9B00BE300}"/>
    <cellStyle name="20% - Énfasis5 8" xfId="143" xr:uid="{00000000-0005-0000-0000-00008E000000}"/>
    <cellStyle name="20% - Énfasis5 8 2" xfId="144" xr:uid="{00000000-0005-0000-0000-00008F000000}"/>
    <cellStyle name="20% - Énfasis5 8 2 2" xfId="1487" xr:uid="{F64E3E72-D355-4103-8FE7-38F7CE0A78BD}"/>
    <cellStyle name="20% - Énfasis5 8 3" xfId="1486" xr:uid="{60928715-22E9-490C-9601-2503A46C4F37}"/>
    <cellStyle name="20% - Énfasis5 9" xfId="145" xr:uid="{00000000-0005-0000-0000-000090000000}"/>
    <cellStyle name="20% - Énfasis5 9 2" xfId="146" xr:uid="{00000000-0005-0000-0000-000091000000}"/>
    <cellStyle name="20% - Énfasis5 9 2 2" xfId="1489" xr:uid="{6380433F-8E96-4437-9296-910CC03C852A}"/>
    <cellStyle name="20% - Énfasis5 9 3" xfId="1488" xr:uid="{6C3FAD3B-CEFF-4AF9-804F-07BDF5E96371}"/>
    <cellStyle name="20% - Énfasis6" xfId="147" builtinId="50" customBuiltin="1"/>
    <cellStyle name="20% - Énfasis6 10" xfId="148" xr:uid="{00000000-0005-0000-0000-000093000000}"/>
    <cellStyle name="20% - Énfasis6 10 2" xfId="149" xr:uid="{00000000-0005-0000-0000-000094000000}"/>
    <cellStyle name="20% - Énfasis6 10 2 2" xfId="1491" xr:uid="{31EBA234-A544-4E08-BF49-8D699BC6BD02}"/>
    <cellStyle name="20% - Énfasis6 10 3" xfId="1490" xr:uid="{6B90434D-7A46-4B46-9E3A-53D54578077A}"/>
    <cellStyle name="20% - Énfasis6 11" xfId="150" xr:uid="{00000000-0005-0000-0000-000095000000}"/>
    <cellStyle name="20% - Énfasis6 11 2" xfId="151" xr:uid="{00000000-0005-0000-0000-000096000000}"/>
    <cellStyle name="20% - Énfasis6 11 2 2" xfId="1493" xr:uid="{F8903607-F56B-4D24-99C0-E95719AE1538}"/>
    <cellStyle name="20% - Énfasis6 11 3" xfId="1492" xr:uid="{B98EC2F4-94B8-4B7D-B1E4-7616101A3D19}"/>
    <cellStyle name="20% - Énfasis6 12" xfId="152" xr:uid="{00000000-0005-0000-0000-000097000000}"/>
    <cellStyle name="20% - Énfasis6 12 2" xfId="153" xr:uid="{00000000-0005-0000-0000-000098000000}"/>
    <cellStyle name="20% - Énfasis6 12 2 2" xfId="1495" xr:uid="{B0D84925-AA29-4771-B5A4-89A57A54CCEB}"/>
    <cellStyle name="20% - Énfasis6 12 3" xfId="1494" xr:uid="{3D095C25-E3A1-4585-BEE5-CD4A899BEDCC}"/>
    <cellStyle name="20% - Énfasis6 13" xfId="154" xr:uid="{00000000-0005-0000-0000-000099000000}"/>
    <cellStyle name="20% - Énfasis6 13 2" xfId="155" xr:uid="{00000000-0005-0000-0000-00009A000000}"/>
    <cellStyle name="20% - Énfasis6 13 2 2" xfId="1497" xr:uid="{0C8C8A0B-D90B-4909-AEE4-8D8C832D0A9A}"/>
    <cellStyle name="20% - Énfasis6 13 3" xfId="1496" xr:uid="{2023C093-7CA6-45C2-8029-EA7925D7EB55}"/>
    <cellStyle name="20% - Énfasis6 14" xfId="156" xr:uid="{00000000-0005-0000-0000-00009B000000}"/>
    <cellStyle name="20% - Énfasis6 14 2" xfId="157" xr:uid="{00000000-0005-0000-0000-00009C000000}"/>
    <cellStyle name="20% - Énfasis6 14 2 2" xfId="1499" xr:uid="{B3367D7B-07FE-4F2D-9396-961E91640288}"/>
    <cellStyle name="20% - Énfasis6 14 3" xfId="1498" xr:uid="{DD6BD3D6-4F68-4FC7-BE21-FFD470FF7942}"/>
    <cellStyle name="20% - Énfasis6 15" xfId="158" xr:uid="{00000000-0005-0000-0000-00009D000000}"/>
    <cellStyle name="20% - Énfasis6 16" xfId="1351" xr:uid="{2752EEBC-BF2C-433F-9D43-85F778F3E43C}"/>
    <cellStyle name="20% - Énfasis6 16 2" xfId="1789" xr:uid="{6502B006-AFC7-4EB0-9914-572B45A5E155}"/>
    <cellStyle name="20% - Énfasis6 2" xfId="159" xr:uid="{00000000-0005-0000-0000-00009E000000}"/>
    <cellStyle name="20% - Énfasis6 2 2" xfId="160" xr:uid="{00000000-0005-0000-0000-00009F000000}"/>
    <cellStyle name="20% - Énfasis6 2 2 2" xfId="1501" xr:uid="{908E3581-5FAD-4514-85EF-EA47F17D620F}"/>
    <cellStyle name="20% - Énfasis6 2 3" xfId="1500" xr:uid="{5DB78387-FC23-40A4-8F56-A4A6BEFB656B}"/>
    <cellStyle name="20% - Énfasis6 3" xfId="161" xr:uid="{00000000-0005-0000-0000-0000A0000000}"/>
    <cellStyle name="20% - Énfasis6 3 2" xfId="162" xr:uid="{00000000-0005-0000-0000-0000A1000000}"/>
    <cellStyle name="20% - Énfasis6 3 2 2" xfId="1503" xr:uid="{2C7CF6D5-72F8-4824-9E3B-783600D8D02D}"/>
    <cellStyle name="20% - Énfasis6 3 3" xfId="1502" xr:uid="{0A64DB67-2275-45D9-8C6C-58F4AAC49807}"/>
    <cellStyle name="20% - Énfasis6 4" xfId="163" xr:uid="{00000000-0005-0000-0000-0000A2000000}"/>
    <cellStyle name="20% - Énfasis6 4 2" xfId="164" xr:uid="{00000000-0005-0000-0000-0000A3000000}"/>
    <cellStyle name="20% - Énfasis6 4 2 2" xfId="1505" xr:uid="{CBD60E0D-0FE6-4A85-988D-39EA010DEFBE}"/>
    <cellStyle name="20% - Énfasis6 4 3" xfId="1504" xr:uid="{6CFDF0AA-6FE1-4E82-98B0-EE252684E8DF}"/>
    <cellStyle name="20% - Énfasis6 5" xfId="165" xr:uid="{00000000-0005-0000-0000-0000A4000000}"/>
    <cellStyle name="20% - Énfasis6 5 2" xfId="166" xr:uid="{00000000-0005-0000-0000-0000A5000000}"/>
    <cellStyle name="20% - Énfasis6 5 2 2" xfId="1507" xr:uid="{3DE33DE1-BBCD-4F59-B860-836B68AEA1E8}"/>
    <cellStyle name="20% - Énfasis6 5 3" xfId="1506" xr:uid="{2917431E-B12E-4512-970C-285D3DDB6518}"/>
    <cellStyle name="20% - Énfasis6 6" xfId="167" xr:uid="{00000000-0005-0000-0000-0000A6000000}"/>
    <cellStyle name="20% - Énfasis6 6 2" xfId="168" xr:uid="{00000000-0005-0000-0000-0000A7000000}"/>
    <cellStyle name="20% - Énfasis6 6 2 2" xfId="1509" xr:uid="{C518E024-C0DF-4FE9-9095-6F02166524CC}"/>
    <cellStyle name="20% - Énfasis6 6 3" xfId="1508" xr:uid="{A5680942-3583-46D2-B553-37D315660024}"/>
    <cellStyle name="20% - Énfasis6 7" xfId="169" xr:uid="{00000000-0005-0000-0000-0000A8000000}"/>
    <cellStyle name="20% - Énfasis6 7 2" xfId="170" xr:uid="{00000000-0005-0000-0000-0000A9000000}"/>
    <cellStyle name="20% - Énfasis6 7 2 2" xfId="1511" xr:uid="{53E27ADD-C4D4-4BF7-B6EB-F66ED471779B}"/>
    <cellStyle name="20% - Énfasis6 7 3" xfId="1510" xr:uid="{F5280434-35DB-4453-ABFF-9CA78F8677FE}"/>
    <cellStyle name="20% - Énfasis6 8" xfId="171" xr:uid="{00000000-0005-0000-0000-0000AA000000}"/>
    <cellStyle name="20% - Énfasis6 8 2" xfId="172" xr:uid="{00000000-0005-0000-0000-0000AB000000}"/>
    <cellStyle name="20% - Énfasis6 8 2 2" xfId="1513" xr:uid="{5D92712B-E202-4151-8BF8-F3BDAAA92656}"/>
    <cellStyle name="20% - Énfasis6 8 3" xfId="1512" xr:uid="{E6321CFF-4F4C-418C-BBF8-1B02AE106266}"/>
    <cellStyle name="20% - Énfasis6 9" xfId="173" xr:uid="{00000000-0005-0000-0000-0000AC000000}"/>
    <cellStyle name="20% - Énfasis6 9 2" xfId="174" xr:uid="{00000000-0005-0000-0000-0000AD000000}"/>
    <cellStyle name="20% - Énfasis6 9 2 2" xfId="1515" xr:uid="{33CD0B0C-EA2E-41A1-835D-7818258FC01B}"/>
    <cellStyle name="20% - Énfasis6 9 3" xfId="1514" xr:uid="{CE726A23-25EF-4687-AC39-362DF0531F3F}"/>
    <cellStyle name="40% - Accent1" xfId="175" xr:uid="{00000000-0005-0000-0000-0000AE000000}"/>
    <cellStyle name="40% - Accent1 2" xfId="1516" xr:uid="{DD7751B9-2EC7-4FC8-A782-2CD5005406FE}"/>
    <cellStyle name="40% - Accent2" xfId="176" xr:uid="{00000000-0005-0000-0000-0000AF000000}"/>
    <cellStyle name="40% - Accent2 2" xfId="1517" xr:uid="{F88DB0BB-E14F-48F3-AB27-7B28FA290339}"/>
    <cellStyle name="40% - Accent3" xfId="177" xr:uid="{00000000-0005-0000-0000-0000B0000000}"/>
    <cellStyle name="40% - Accent3 2" xfId="1518" xr:uid="{4D98AC7C-5DB1-4843-9E9A-9D982DF192A1}"/>
    <cellStyle name="40% - Accent4" xfId="178" xr:uid="{00000000-0005-0000-0000-0000B1000000}"/>
    <cellStyle name="40% - Accent4 2" xfId="1519" xr:uid="{E9B1E1B7-0DA7-45F9-B5BC-6B6F5FECF101}"/>
    <cellStyle name="40% - Accent5" xfId="179" xr:uid="{00000000-0005-0000-0000-0000B2000000}"/>
    <cellStyle name="40% - Accent5 2" xfId="1520" xr:uid="{0AB12786-EA3B-48FF-B710-3F867B300F31}"/>
    <cellStyle name="40% - Accent6" xfId="180" xr:uid="{00000000-0005-0000-0000-0000B3000000}"/>
    <cellStyle name="40% - Accent6 2" xfId="1521" xr:uid="{78019ADB-F4F5-4FBD-A4B2-DE71E580D59F}"/>
    <cellStyle name="40% - Énfasis1" xfId="181" builtinId="31" customBuiltin="1"/>
    <cellStyle name="40% - Énfasis1 10" xfId="182" xr:uid="{00000000-0005-0000-0000-0000B5000000}"/>
    <cellStyle name="40% - Énfasis1 10 2" xfId="183" xr:uid="{00000000-0005-0000-0000-0000B6000000}"/>
    <cellStyle name="40% - Énfasis1 10 2 2" xfId="1523" xr:uid="{1DDF53C3-D1F0-4186-B82C-164C9B3AE22E}"/>
    <cellStyle name="40% - Énfasis1 10 3" xfId="1522" xr:uid="{DCACCD17-546D-4E63-8F04-A76E5ACD32E1}"/>
    <cellStyle name="40% - Énfasis1 11" xfId="184" xr:uid="{00000000-0005-0000-0000-0000B7000000}"/>
    <cellStyle name="40% - Énfasis1 11 2" xfId="185" xr:uid="{00000000-0005-0000-0000-0000B8000000}"/>
    <cellStyle name="40% - Énfasis1 11 2 2" xfId="1525" xr:uid="{DB60717D-5543-4974-A390-D8B741257C10}"/>
    <cellStyle name="40% - Énfasis1 11 3" xfId="1524" xr:uid="{BA29E53F-A0F0-46F2-85D9-CB3D94422D59}"/>
    <cellStyle name="40% - Énfasis1 12" xfId="186" xr:uid="{00000000-0005-0000-0000-0000B9000000}"/>
    <cellStyle name="40% - Énfasis1 12 2" xfId="187" xr:uid="{00000000-0005-0000-0000-0000BA000000}"/>
    <cellStyle name="40% - Énfasis1 12 2 2" xfId="1527" xr:uid="{4109D504-3F24-48D7-A410-3462637E7E36}"/>
    <cellStyle name="40% - Énfasis1 12 3" xfId="1526" xr:uid="{D098E229-6396-42BA-AA6F-7CE2EEA83936}"/>
    <cellStyle name="40% - Énfasis1 13" xfId="188" xr:uid="{00000000-0005-0000-0000-0000BB000000}"/>
    <cellStyle name="40% - Énfasis1 13 2" xfId="189" xr:uid="{00000000-0005-0000-0000-0000BC000000}"/>
    <cellStyle name="40% - Énfasis1 13 2 2" xfId="1529" xr:uid="{F16D90E4-1996-414E-93A3-2C558814AA36}"/>
    <cellStyle name="40% - Énfasis1 13 3" xfId="1528" xr:uid="{DA47F50F-D0D7-4568-A7B8-FF86B87E8446}"/>
    <cellStyle name="40% - Énfasis1 14" xfId="190" xr:uid="{00000000-0005-0000-0000-0000BD000000}"/>
    <cellStyle name="40% - Énfasis1 14 2" xfId="191" xr:uid="{00000000-0005-0000-0000-0000BE000000}"/>
    <cellStyle name="40% - Énfasis1 14 2 2" xfId="1531" xr:uid="{37DC8724-7359-45C8-AEFE-7DAB88FB10F2}"/>
    <cellStyle name="40% - Énfasis1 14 3" xfId="1530" xr:uid="{26E6E0C0-D463-4D2E-A3FA-826684AC3D2E}"/>
    <cellStyle name="40% - Énfasis1 15" xfId="192" xr:uid="{00000000-0005-0000-0000-0000BF000000}"/>
    <cellStyle name="40% - Énfasis1 16" xfId="1337" xr:uid="{478112AE-15A6-4F69-8B63-23E7E9A27886}"/>
    <cellStyle name="40% - Énfasis1 16 2" xfId="1775" xr:uid="{EAD8381E-CA5F-48CF-BA9D-47A6ED3C2C8F}"/>
    <cellStyle name="40% - Énfasis1 2" xfId="193" xr:uid="{00000000-0005-0000-0000-0000C0000000}"/>
    <cellStyle name="40% - Énfasis1 2 2" xfId="194" xr:uid="{00000000-0005-0000-0000-0000C1000000}"/>
    <cellStyle name="40% - Énfasis1 2 2 2" xfId="1533" xr:uid="{F4C712A1-7574-467B-AE21-1B35E82323EC}"/>
    <cellStyle name="40% - Énfasis1 2 3" xfId="1532" xr:uid="{F99CFC0F-5541-4769-B80C-EB537F9872A5}"/>
    <cellStyle name="40% - Énfasis1 3" xfId="195" xr:uid="{00000000-0005-0000-0000-0000C2000000}"/>
    <cellStyle name="40% - Énfasis1 3 2" xfId="196" xr:uid="{00000000-0005-0000-0000-0000C3000000}"/>
    <cellStyle name="40% - Énfasis1 3 2 2" xfId="1535" xr:uid="{8A613523-2EF6-4507-B0B7-B0D0AA547B1A}"/>
    <cellStyle name="40% - Énfasis1 3 3" xfId="1534" xr:uid="{BFE65016-9B51-4403-A58D-774821AFD808}"/>
    <cellStyle name="40% - Énfasis1 4" xfId="197" xr:uid="{00000000-0005-0000-0000-0000C4000000}"/>
    <cellStyle name="40% - Énfasis1 4 2" xfId="198" xr:uid="{00000000-0005-0000-0000-0000C5000000}"/>
    <cellStyle name="40% - Énfasis1 4 2 2" xfId="1537" xr:uid="{A2E2702E-0744-464B-A8E0-579BF88606EF}"/>
    <cellStyle name="40% - Énfasis1 4 3" xfId="1536" xr:uid="{1B327157-2FE8-40CC-AA92-5B9703AA9939}"/>
    <cellStyle name="40% - Énfasis1 5" xfId="199" xr:uid="{00000000-0005-0000-0000-0000C6000000}"/>
    <cellStyle name="40% - Énfasis1 5 2" xfId="200" xr:uid="{00000000-0005-0000-0000-0000C7000000}"/>
    <cellStyle name="40% - Énfasis1 5 2 2" xfId="1539" xr:uid="{8C54A710-073A-4536-A9B8-27188B6D72F4}"/>
    <cellStyle name="40% - Énfasis1 5 3" xfId="1538" xr:uid="{E7602436-1BD2-4B0F-94F5-1C22A95DBEF5}"/>
    <cellStyle name="40% - Énfasis1 6" xfId="201" xr:uid="{00000000-0005-0000-0000-0000C8000000}"/>
    <cellStyle name="40% - Énfasis1 6 2" xfId="202" xr:uid="{00000000-0005-0000-0000-0000C9000000}"/>
    <cellStyle name="40% - Énfasis1 6 2 2" xfId="1541" xr:uid="{7CA9FDCA-C3D6-4099-83CC-EDEFF8A88F18}"/>
    <cellStyle name="40% - Énfasis1 6 3" xfId="1540" xr:uid="{58785429-BF22-4CCE-8765-767FEDA81772}"/>
    <cellStyle name="40% - Énfasis1 7" xfId="203" xr:uid="{00000000-0005-0000-0000-0000CA000000}"/>
    <cellStyle name="40% - Énfasis1 7 2" xfId="204" xr:uid="{00000000-0005-0000-0000-0000CB000000}"/>
    <cellStyle name="40% - Énfasis1 7 2 2" xfId="1543" xr:uid="{503D2E79-1BB2-4F06-BC98-12EF333169C5}"/>
    <cellStyle name="40% - Énfasis1 7 3" xfId="1542" xr:uid="{522454E4-BD71-4930-9D98-1B332EE245C0}"/>
    <cellStyle name="40% - Énfasis1 8" xfId="205" xr:uid="{00000000-0005-0000-0000-0000CC000000}"/>
    <cellStyle name="40% - Énfasis1 8 2" xfId="206" xr:uid="{00000000-0005-0000-0000-0000CD000000}"/>
    <cellStyle name="40% - Énfasis1 8 2 2" xfId="1545" xr:uid="{A7A741D4-500E-4A01-A5C3-6A8CB97DD650}"/>
    <cellStyle name="40% - Énfasis1 8 3" xfId="1544" xr:uid="{E7CACD40-971D-4494-BA9F-29642532E576}"/>
    <cellStyle name="40% - Énfasis1 9" xfId="207" xr:uid="{00000000-0005-0000-0000-0000CE000000}"/>
    <cellStyle name="40% - Énfasis1 9 2" xfId="208" xr:uid="{00000000-0005-0000-0000-0000CF000000}"/>
    <cellStyle name="40% - Énfasis1 9 2 2" xfId="1547" xr:uid="{4642F9C4-261E-4F66-A2D4-7CDDE74EE5A6}"/>
    <cellStyle name="40% - Énfasis1 9 3" xfId="1546" xr:uid="{027C23AC-8172-44B2-AF52-F73419F56D37}"/>
    <cellStyle name="40% - Énfasis2" xfId="209" builtinId="35" customBuiltin="1"/>
    <cellStyle name="40% - Énfasis2 10" xfId="210" xr:uid="{00000000-0005-0000-0000-0000D1000000}"/>
    <cellStyle name="40% - Énfasis2 10 2" xfId="211" xr:uid="{00000000-0005-0000-0000-0000D2000000}"/>
    <cellStyle name="40% - Énfasis2 10 2 2" xfId="1549" xr:uid="{EA84947B-A6CA-4E19-8E92-9E485334C86D}"/>
    <cellStyle name="40% - Énfasis2 10 3" xfId="1548" xr:uid="{F622902B-3648-424E-8628-D3D4ACE60D82}"/>
    <cellStyle name="40% - Énfasis2 11" xfId="212" xr:uid="{00000000-0005-0000-0000-0000D3000000}"/>
    <cellStyle name="40% - Énfasis2 11 2" xfId="213" xr:uid="{00000000-0005-0000-0000-0000D4000000}"/>
    <cellStyle name="40% - Énfasis2 11 2 2" xfId="1551" xr:uid="{47152BCF-E6B0-4604-A98C-9C9DDAE3FDAC}"/>
    <cellStyle name="40% - Énfasis2 11 3" xfId="1550" xr:uid="{30AD1150-B2A9-4244-B715-6828D363724C}"/>
    <cellStyle name="40% - Énfasis2 12" xfId="214" xr:uid="{00000000-0005-0000-0000-0000D5000000}"/>
    <cellStyle name="40% - Énfasis2 12 2" xfId="215" xr:uid="{00000000-0005-0000-0000-0000D6000000}"/>
    <cellStyle name="40% - Énfasis2 12 2 2" xfId="1553" xr:uid="{B7CDE265-59C8-447B-ABBF-229F75D953F2}"/>
    <cellStyle name="40% - Énfasis2 12 3" xfId="1552" xr:uid="{2BDCC59C-59AD-4472-8FB4-12BDF86FFCCB}"/>
    <cellStyle name="40% - Énfasis2 13" xfId="216" xr:uid="{00000000-0005-0000-0000-0000D7000000}"/>
    <cellStyle name="40% - Énfasis2 13 2" xfId="217" xr:uid="{00000000-0005-0000-0000-0000D8000000}"/>
    <cellStyle name="40% - Énfasis2 13 2 2" xfId="1555" xr:uid="{768BAF18-29F3-44C3-AA88-262360FA4525}"/>
    <cellStyle name="40% - Énfasis2 13 3" xfId="1554" xr:uid="{472C2551-71F5-4BB4-98B7-DB331504ADC4}"/>
    <cellStyle name="40% - Énfasis2 14" xfId="218" xr:uid="{00000000-0005-0000-0000-0000D9000000}"/>
    <cellStyle name="40% - Énfasis2 14 2" xfId="219" xr:uid="{00000000-0005-0000-0000-0000DA000000}"/>
    <cellStyle name="40% - Énfasis2 14 2 2" xfId="1557" xr:uid="{662ABF9F-EB2F-48C7-B3F1-59B05D1983AF}"/>
    <cellStyle name="40% - Énfasis2 14 3" xfId="1556" xr:uid="{6D770F53-D60D-4C97-8A50-A4DB0AD24AE8}"/>
    <cellStyle name="40% - Énfasis2 15" xfId="220" xr:uid="{00000000-0005-0000-0000-0000DB000000}"/>
    <cellStyle name="40% - Énfasis2 16" xfId="1340" xr:uid="{F570D2BC-49BA-4E7C-AC02-E3713009B3BE}"/>
    <cellStyle name="40% - Énfasis2 16 2" xfId="1778" xr:uid="{92722A1E-7755-4F49-AD6B-D418E6025507}"/>
    <cellStyle name="40% - Énfasis2 2" xfId="221" xr:uid="{00000000-0005-0000-0000-0000DC000000}"/>
    <cellStyle name="40% - Énfasis2 2 2" xfId="222" xr:uid="{00000000-0005-0000-0000-0000DD000000}"/>
    <cellStyle name="40% - Énfasis2 2 2 2" xfId="1559" xr:uid="{5CE1D50C-52AE-4F51-ADAD-2EFD512F26D2}"/>
    <cellStyle name="40% - Énfasis2 2 3" xfId="1558" xr:uid="{64687995-013B-45C4-B89F-87758BC893ED}"/>
    <cellStyle name="40% - Énfasis2 3" xfId="223" xr:uid="{00000000-0005-0000-0000-0000DE000000}"/>
    <cellStyle name="40% - Énfasis2 3 2" xfId="224" xr:uid="{00000000-0005-0000-0000-0000DF000000}"/>
    <cellStyle name="40% - Énfasis2 3 2 2" xfId="1561" xr:uid="{C2FE086A-92A7-4876-AE31-8EEBE899448C}"/>
    <cellStyle name="40% - Énfasis2 3 3" xfId="1560" xr:uid="{619B5869-CCDE-45AE-B23F-9C52F88CDA52}"/>
    <cellStyle name="40% - Énfasis2 4" xfId="225" xr:uid="{00000000-0005-0000-0000-0000E0000000}"/>
    <cellStyle name="40% - Énfasis2 4 2" xfId="226" xr:uid="{00000000-0005-0000-0000-0000E1000000}"/>
    <cellStyle name="40% - Énfasis2 4 2 2" xfId="1563" xr:uid="{02CC40E9-6C0F-4A7F-AAC1-EF49D58E8960}"/>
    <cellStyle name="40% - Énfasis2 4 3" xfId="1562" xr:uid="{6EB24294-5D7D-4601-9733-32C4CB2EC753}"/>
    <cellStyle name="40% - Énfasis2 5" xfId="227" xr:uid="{00000000-0005-0000-0000-0000E2000000}"/>
    <cellStyle name="40% - Énfasis2 5 2" xfId="228" xr:uid="{00000000-0005-0000-0000-0000E3000000}"/>
    <cellStyle name="40% - Énfasis2 5 2 2" xfId="1565" xr:uid="{48DDE127-0AAD-413C-89D6-E4ED3FFDC0F4}"/>
    <cellStyle name="40% - Énfasis2 5 3" xfId="1564" xr:uid="{DADB5B42-2CAA-4DA6-90B1-BCDB46A3FF53}"/>
    <cellStyle name="40% - Énfasis2 6" xfId="229" xr:uid="{00000000-0005-0000-0000-0000E4000000}"/>
    <cellStyle name="40% - Énfasis2 6 2" xfId="230" xr:uid="{00000000-0005-0000-0000-0000E5000000}"/>
    <cellStyle name="40% - Énfasis2 6 2 2" xfId="1567" xr:uid="{27D88010-0DAA-4317-A596-1E666091E9F7}"/>
    <cellStyle name="40% - Énfasis2 6 3" xfId="1566" xr:uid="{DB5BF9EE-F267-48C4-933C-5614344728EC}"/>
    <cellStyle name="40% - Énfasis2 7" xfId="231" xr:uid="{00000000-0005-0000-0000-0000E6000000}"/>
    <cellStyle name="40% - Énfasis2 7 2" xfId="232" xr:uid="{00000000-0005-0000-0000-0000E7000000}"/>
    <cellStyle name="40% - Énfasis2 7 2 2" xfId="1569" xr:uid="{9FFB342F-73B7-4C6E-A9D9-5BA6AD3AC5E1}"/>
    <cellStyle name="40% - Énfasis2 7 3" xfId="1568" xr:uid="{355917AB-BB5C-4FD8-8942-7EA203771AF4}"/>
    <cellStyle name="40% - Énfasis2 8" xfId="233" xr:uid="{00000000-0005-0000-0000-0000E8000000}"/>
    <cellStyle name="40% - Énfasis2 8 2" xfId="234" xr:uid="{00000000-0005-0000-0000-0000E9000000}"/>
    <cellStyle name="40% - Énfasis2 8 2 2" xfId="1571" xr:uid="{A79EFFB7-9D70-4884-8F43-8D516E85E47F}"/>
    <cellStyle name="40% - Énfasis2 8 3" xfId="1570" xr:uid="{6E490413-C722-439E-AC21-CEEE490F988A}"/>
    <cellStyle name="40% - Énfasis2 9" xfId="235" xr:uid="{00000000-0005-0000-0000-0000EA000000}"/>
    <cellStyle name="40% - Énfasis2 9 2" xfId="236" xr:uid="{00000000-0005-0000-0000-0000EB000000}"/>
    <cellStyle name="40% - Énfasis2 9 2 2" xfId="1573" xr:uid="{2BD10925-C5AF-4A11-8743-68B4410C8A30}"/>
    <cellStyle name="40% - Énfasis2 9 3" xfId="1572" xr:uid="{668A9ED8-CC54-4C49-ADB0-864B85CF327B}"/>
    <cellStyle name="40% - Énfasis3" xfId="237" builtinId="39" customBuiltin="1"/>
    <cellStyle name="40% - Énfasis3 10" xfId="238" xr:uid="{00000000-0005-0000-0000-0000ED000000}"/>
    <cellStyle name="40% - Énfasis3 10 2" xfId="239" xr:uid="{00000000-0005-0000-0000-0000EE000000}"/>
    <cellStyle name="40% - Énfasis3 10 2 2" xfId="1575" xr:uid="{CBBD1A1F-B83D-4D13-8057-39716D5A0D33}"/>
    <cellStyle name="40% - Énfasis3 10 3" xfId="1574" xr:uid="{49021107-35F9-43BA-AC56-CD5AC2A4CF8B}"/>
    <cellStyle name="40% - Énfasis3 11" xfId="240" xr:uid="{00000000-0005-0000-0000-0000EF000000}"/>
    <cellStyle name="40% - Énfasis3 11 2" xfId="241" xr:uid="{00000000-0005-0000-0000-0000F0000000}"/>
    <cellStyle name="40% - Énfasis3 11 2 2" xfId="1577" xr:uid="{2CBE933E-2DC2-41A7-8C86-A539C25F2EA3}"/>
    <cellStyle name="40% - Énfasis3 11 3" xfId="1576" xr:uid="{80C6942B-6698-4A61-AE92-321326D88584}"/>
    <cellStyle name="40% - Énfasis3 12" xfId="242" xr:uid="{00000000-0005-0000-0000-0000F1000000}"/>
    <cellStyle name="40% - Énfasis3 12 2" xfId="243" xr:uid="{00000000-0005-0000-0000-0000F2000000}"/>
    <cellStyle name="40% - Énfasis3 12 2 2" xfId="1579" xr:uid="{0346F26E-B2B5-49B5-B9F2-37679DDBD48D}"/>
    <cellStyle name="40% - Énfasis3 12 3" xfId="1578" xr:uid="{22D43E46-940C-4766-9C27-E1EC24AC52B9}"/>
    <cellStyle name="40% - Énfasis3 13" xfId="244" xr:uid="{00000000-0005-0000-0000-0000F3000000}"/>
    <cellStyle name="40% - Énfasis3 13 2" xfId="245" xr:uid="{00000000-0005-0000-0000-0000F4000000}"/>
    <cellStyle name="40% - Énfasis3 13 2 2" xfId="1581" xr:uid="{8A1933AA-D95D-43AA-8833-A7E7397F965D}"/>
    <cellStyle name="40% - Énfasis3 13 3" xfId="1580" xr:uid="{8689181E-AA96-4920-A936-3CE85E6341EF}"/>
    <cellStyle name="40% - Énfasis3 14" xfId="246" xr:uid="{00000000-0005-0000-0000-0000F5000000}"/>
    <cellStyle name="40% - Énfasis3 14 2" xfId="247" xr:uid="{00000000-0005-0000-0000-0000F6000000}"/>
    <cellStyle name="40% - Énfasis3 14 2 2" xfId="1583" xr:uid="{BA6CA170-B31F-4A1B-8524-608A197AF12E}"/>
    <cellStyle name="40% - Énfasis3 14 3" xfId="1582" xr:uid="{B28AF963-950C-4CC0-AC93-DC038FB99F8B}"/>
    <cellStyle name="40% - Énfasis3 15" xfId="248" xr:uid="{00000000-0005-0000-0000-0000F7000000}"/>
    <cellStyle name="40% - Énfasis3 16" xfId="1343" xr:uid="{F4CA01ED-2DE1-422E-9A93-BDC35A06DFD9}"/>
    <cellStyle name="40% - Énfasis3 16 2" xfId="1781" xr:uid="{BB78D9B6-A785-4069-9B75-90F9F400277E}"/>
    <cellStyle name="40% - Énfasis3 2" xfId="249" xr:uid="{00000000-0005-0000-0000-0000F8000000}"/>
    <cellStyle name="40% - Énfasis3 2 2" xfId="250" xr:uid="{00000000-0005-0000-0000-0000F9000000}"/>
    <cellStyle name="40% - Énfasis3 2 2 2" xfId="1585" xr:uid="{3AD57DF2-97CF-4B9D-A34B-690A37DD7939}"/>
    <cellStyle name="40% - Énfasis3 2 3" xfId="1584" xr:uid="{68601BA7-76FD-4A57-9EFD-6CF52371091D}"/>
    <cellStyle name="40% - Énfasis3 3" xfId="251" xr:uid="{00000000-0005-0000-0000-0000FA000000}"/>
    <cellStyle name="40% - Énfasis3 3 2" xfId="252" xr:uid="{00000000-0005-0000-0000-0000FB000000}"/>
    <cellStyle name="40% - Énfasis3 3 2 2" xfId="1587" xr:uid="{A06C3AF1-1006-4046-ACAF-A916458B6DB5}"/>
    <cellStyle name="40% - Énfasis3 3 3" xfId="1586" xr:uid="{A49D7EB4-4197-453C-8D63-C063ED751C17}"/>
    <cellStyle name="40% - Énfasis3 4" xfId="253" xr:uid="{00000000-0005-0000-0000-0000FC000000}"/>
    <cellStyle name="40% - Énfasis3 4 2" xfId="254" xr:uid="{00000000-0005-0000-0000-0000FD000000}"/>
    <cellStyle name="40% - Énfasis3 4 2 2" xfId="1589" xr:uid="{387C9564-D33B-4D8D-8399-50537F5C7D4A}"/>
    <cellStyle name="40% - Énfasis3 4 3" xfId="1588" xr:uid="{F6F61950-EAB6-4E15-8BAD-FD4C9591903E}"/>
    <cellStyle name="40% - Énfasis3 5" xfId="255" xr:uid="{00000000-0005-0000-0000-0000FE000000}"/>
    <cellStyle name="40% - Énfasis3 5 2" xfId="256" xr:uid="{00000000-0005-0000-0000-0000FF000000}"/>
    <cellStyle name="40% - Énfasis3 5 2 2" xfId="1591" xr:uid="{94A247F4-625B-4311-BA29-E120DFF053ED}"/>
    <cellStyle name="40% - Énfasis3 5 3" xfId="1590" xr:uid="{8B581E08-46E9-41E5-BD9F-9ACCA4A2CABC}"/>
    <cellStyle name="40% - Énfasis3 6" xfId="257" xr:uid="{00000000-0005-0000-0000-000000010000}"/>
    <cellStyle name="40% - Énfasis3 6 2" xfId="258" xr:uid="{00000000-0005-0000-0000-000001010000}"/>
    <cellStyle name="40% - Énfasis3 6 2 2" xfId="1593" xr:uid="{DB72FC89-9BFD-408F-9373-98451F8116F7}"/>
    <cellStyle name="40% - Énfasis3 6 3" xfId="1592" xr:uid="{213CA8C2-16FF-4084-B8DD-694A9F65E526}"/>
    <cellStyle name="40% - Énfasis3 7" xfId="259" xr:uid="{00000000-0005-0000-0000-000002010000}"/>
    <cellStyle name="40% - Énfasis3 7 2" xfId="260" xr:uid="{00000000-0005-0000-0000-000003010000}"/>
    <cellStyle name="40% - Énfasis3 7 2 2" xfId="1595" xr:uid="{E06841BF-69C3-40D3-BBEA-637F3551B291}"/>
    <cellStyle name="40% - Énfasis3 7 3" xfId="1594" xr:uid="{3B5DB074-3E11-49A2-BFA1-FD804E497C04}"/>
    <cellStyle name="40% - Énfasis3 8" xfId="261" xr:uid="{00000000-0005-0000-0000-000004010000}"/>
    <cellStyle name="40% - Énfasis3 8 2" xfId="262" xr:uid="{00000000-0005-0000-0000-000005010000}"/>
    <cellStyle name="40% - Énfasis3 8 2 2" xfId="1597" xr:uid="{9D5C4A58-4456-4C24-BB82-1C1DF3367F22}"/>
    <cellStyle name="40% - Énfasis3 8 3" xfId="1596" xr:uid="{00AD1E11-1EAA-4199-9616-09EE92D8CB13}"/>
    <cellStyle name="40% - Énfasis3 9" xfId="263" xr:uid="{00000000-0005-0000-0000-000006010000}"/>
    <cellStyle name="40% - Énfasis3 9 2" xfId="264" xr:uid="{00000000-0005-0000-0000-000007010000}"/>
    <cellStyle name="40% - Énfasis3 9 2 2" xfId="1599" xr:uid="{D478E7F4-7776-4430-8B94-188A9811A900}"/>
    <cellStyle name="40% - Énfasis3 9 3" xfId="1598" xr:uid="{8F56DBFA-15DF-4167-99D5-A79D68327D13}"/>
    <cellStyle name="40% - Énfasis4" xfId="265" builtinId="43" customBuiltin="1"/>
    <cellStyle name="40% - Énfasis4 10" xfId="266" xr:uid="{00000000-0005-0000-0000-000009010000}"/>
    <cellStyle name="40% - Énfasis4 10 2" xfId="267" xr:uid="{00000000-0005-0000-0000-00000A010000}"/>
    <cellStyle name="40% - Énfasis4 10 2 2" xfId="1601" xr:uid="{937AC068-7FC3-4F45-9174-F5F311DA8288}"/>
    <cellStyle name="40% - Énfasis4 10 3" xfId="1600" xr:uid="{F64EFA98-8D56-4F88-A92F-CB7A8939A9CB}"/>
    <cellStyle name="40% - Énfasis4 11" xfId="268" xr:uid="{00000000-0005-0000-0000-00000B010000}"/>
    <cellStyle name="40% - Énfasis4 11 2" xfId="269" xr:uid="{00000000-0005-0000-0000-00000C010000}"/>
    <cellStyle name="40% - Énfasis4 11 2 2" xfId="1603" xr:uid="{F034A2AC-52EF-4521-85F1-0F2C530E4FB1}"/>
    <cellStyle name="40% - Énfasis4 11 3" xfId="1602" xr:uid="{A00627EA-CFA7-4774-8298-9E7ED2B6CC16}"/>
    <cellStyle name="40% - Énfasis4 12" xfId="270" xr:uid="{00000000-0005-0000-0000-00000D010000}"/>
    <cellStyle name="40% - Énfasis4 12 2" xfId="271" xr:uid="{00000000-0005-0000-0000-00000E010000}"/>
    <cellStyle name="40% - Énfasis4 12 2 2" xfId="1605" xr:uid="{1582B290-2EB2-4639-9E58-D0D851F6325D}"/>
    <cellStyle name="40% - Énfasis4 12 3" xfId="1604" xr:uid="{F31613C3-FADF-4464-A3B4-67D008A4217C}"/>
    <cellStyle name="40% - Énfasis4 13" xfId="272" xr:uid="{00000000-0005-0000-0000-00000F010000}"/>
    <cellStyle name="40% - Énfasis4 13 2" xfId="273" xr:uid="{00000000-0005-0000-0000-000010010000}"/>
    <cellStyle name="40% - Énfasis4 13 2 2" xfId="1607" xr:uid="{461302AD-280E-4694-B808-DF264E2F8832}"/>
    <cellStyle name="40% - Énfasis4 13 3" xfId="1606" xr:uid="{DB7D3F8D-3C85-498A-8334-E7033F0B6EED}"/>
    <cellStyle name="40% - Énfasis4 14" xfId="274" xr:uid="{00000000-0005-0000-0000-000011010000}"/>
    <cellStyle name="40% - Énfasis4 14 2" xfId="275" xr:uid="{00000000-0005-0000-0000-000012010000}"/>
    <cellStyle name="40% - Énfasis4 14 2 2" xfId="1609" xr:uid="{A021FA18-DD73-4EF6-9B2B-F65BD31EC40F}"/>
    <cellStyle name="40% - Énfasis4 14 3" xfId="1608" xr:uid="{34D59B5E-38C1-4F21-815E-FD8B39D85673}"/>
    <cellStyle name="40% - Énfasis4 15" xfId="276" xr:uid="{00000000-0005-0000-0000-000013010000}"/>
    <cellStyle name="40% - Énfasis4 16" xfId="1346" xr:uid="{5118EA84-FC26-48A1-8DC5-4C8B39E8A9FD}"/>
    <cellStyle name="40% - Énfasis4 16 2" xfId="1784" xr:uid="{9ED7954A-CAA0-4F25-9256-AEB6BFEE7759}"/>
    <cellStyle name="40% - Énfasis4 2" xfId="277" xr:uid="{00000000-0005-0000-0000-000014010000}"/>
    <cellStyle name="40% - Énfasis4 2 2" xfId="278" xr:uid="{00000000-0005-0000-0000-000015010000}"/>
    <cellStyle name="40% - Énfasis4 2 2 2" xfId="1611" xr:uid="{E015DF5C-6D35-4B6C-B944-BE197E4EDC4D}"/>
    <cellStyle name="40% - Énfasis4 2 3" xfId="1610" xr:uid="{C5E84E47-633C-4A56-AA08-365A41C6F7D3}"/>
    <cellStyle name="40% - Énfasis4 3" xfId="279" xr:uid="{00000000-0005-0000-0000-000016010000}"/>
    <cellStyle name="40% - Énfasis4 3 2" xfId="280" xr:uid="{00000000-0005-0000-0000-000017010000}"/>
    <cellStyle name="40% - Énfasis4 3 2 2" xfId="1613" xr:uid="{5BF3F208-FE62-4879-AC78-5F0653C9434C}"/>
    <cellStyle name="40% - Énfasis4 3 3" xfId="1612" xr:uid="{FEDDCC28-12F8-4D2F-B186-57C91620C93A}"/>
    <cellStyle name="40% - Énfasis4 4" xfId="281" xr:uid="{00000000-0005-0000-0000-000018010000}"/>
    <cellStyle name="40% - Énfasis4 4 2" xfId="282" xr:uid="{00000000-0005-0000-0000-000019010000}"/>
    <cellStyle name="40% - Énfasis4 4 2 2" xfId="1615" xr:uid="{79512786-76B6-4444-B313-4E9119F949DD}"/>
    <cellStyle name="40% - Énfasis4 4 3" xfId="1614" xr:uid="{B1BD967B-55E0-42D0-837D-4C8D8E60293A}"/>
    <cellStyle name="40% - Énfasis4 5" xfId="283" xr:uid="{00000000-0005-0000-0000-00001A010000}"/>
    <cellStyle name="40% - Énfasis4 5 2" xfId="284" xr:uid="{00000000-0005-0000-0000-00001B010000}"/>
    <cellStyle name="40% - Énfasis4 5 2 2" xfId="1617" xr:uid="{D6B36DC8-35A8-4504-8F59-04F2CD91A89A}"/>
    <cellStyle name="40% - Énfasis4 5 3" xfId="1616" xr:uid="{59140569-159F-4972-8D16-57EF57DF9AF1}"/>
    <cellStyle name="40% - Énfasis4 6" xfId="285" xr:uid="{00000000-0005-0000-0000-00001C010000}"/>
    <cellStyle name="40% - Énfasis4 6 2" xfId="286" xr:uid="{00000000-0005-0000-0000-00001D010000}"/>
    <cellStyle name="40% - Énfasis4 6 2 2" xfId="1619" xr:uid="{FA0108DB-1A51-491C-8B45-6ECB946A8EB2}"/>
    <cellStyle name="40% - Énfasis4 6 3" xfId="1618" xr:uid="{74D18B82-4BEC-4A2E-81EF-D720DC484B72}"/>
    <cellStyle name="40% - Énfasis4 7" xfId="287" xr:uid="{00000000-0005-0000-0000-00001E010000}"/>
    <cellStyle name="40% - Énfasis4 7 2" xfId="288" xr:uid="{00000000-0005-0000-0000-00001F010000}"/>
    <cellStyle name="40% - Énfasis4 7 2 2" xfId="1621" xr:uid="{31E39C02-685B-48A4-B438-35061AD579A1}"/>
    <cellStyle name="40% - Énfasis4 7 3" xfId="1620" xr:uid="{EC01BE73-B399-4BCA-B15E-77FD5197E4A8}"/>
    <cellStyle name="40% - Énfasis4 8" xfId="289" xr:uid="{00000000-0005-0000-0000-000020010000}"/>
    <cellStyle name="40% - Énfasis4 8 2" xfId="290" xr:uid="{00000000-0005-0000-0000-000021010000}"/>
    <cellStyle name="40% - Énfasis4 8 2 2" xfId="1623" xr:uid="{5C4DAAB7-1892-43C2-91F1-111E4C67ED4B}"/>
    <cellStyle name="40% - Énfasis4 8 3" xfId="1622" xr:uid="{8A407DBD-3A6D-4C6B-9A9B-9A55E1C49306}"/>
    <cellStyle name="40% - Énfasis4 9" xfId="291" xr:uid="{00000000-0005-0000-0000-000022010000}"/>
    <cellStyle name="40% - Énfasis4 9 2" xfId="292" xr:uid="{00000000-0005-0000-0000-000023010000}"/>
    <cellStyle name="40% - Énfasis4 9 2 2" xfId="1625" xr:uid="{7ADB4008-339C-41DD-9BC8-6EE35FA2849A}"/>
    <cellStyle name="40% - Énfasis4 9 3" xfId="1624" xr:uid="{B762E2BA-FAA0-4AB5-9B28-984FCCCA59B1}"/>
    <cellStyle name="40% - Énfasis5" xfId="293" builtinId="47" customBuiltin="1"/>
    <cellStyle name="40% - Énfasis5 10" xfId="294" xr:uid="{00000000-0005-0000-0000-000025010000}"/>
    <cellStyle name="40% - Énfasis5 10 2" xfId="295" xr:uid="{00000000-0005-0000-0000-000026010000}"/>
    <cellStyle name="40% - Énfasis5 10 2 2" xfId="1627" xr:uid="{C71BE7D6-E65F-40F1-A2E5-6B4E3B81E327}"/>
    <cellStyle name="40% - Énfasis5 10 3" xfId="1626" xr:uid="{AEFF61D5-F01F-4879-8D69-1F43F08A8BD6}"/>
    <cellStyle name="40% - Énfasis5 11" xfId="296" xr:uid="{00000000-0005-0000-0000-000027010000}"/>
    <cellStyle name="40% - Énfasis5 11 2" xfId="297" xr:uid="{00000000-0005-0000-0000-000028010000}"/>
    <cellStyle name="40% - Énfasis5 11 2 2" xfId="1629" xr:uid="{DBC2B7CA-4D05-4A37-B563-A3482D960679}"/>
    <cellStyle name="40% - Énfasis5 11 3" xfId="1628" xr:uid="{8211FD50-57B2-499F-B658-97774643FCBE}"/>
    <cellStyle name="40% - Énfasis5 12" xfId="298" xr:uid="{00000000-0005-0000-0000-000029010000}"/>
    <cellStyle name="40% - Énfasis5 12 2" xfId="299" xr:uid="{00000000-0005-0000-0000-00002A010000}"/>
    <cellStyle name="40% - Énfasis5 12 2 2" xfId="1631" xr:uid="{A1E8B511-40A7-4C83-A151-C67B58B568C3}"/>
    <cellStyle name="40% - Énfasis5 12 3" xfId="1630" xr:uid="{99704716-1DE3-41A8-AB96-83CE136AD50A}"/>
    <cellStyle name="40% - Énfasis5 13" xfId="300" xr:uid="{00000000-0005-0000-0000-00002B010000}"/>
    <cellStyle name="40% - Énfasis5 13 2" xfId="301" xr:uid="{00000000-0005-0000-0000-00002C010000}"/>
    <cellStyle name="40% - Énfasis5 13 2 2" xfId="1633" xr:uid="{52A62A14-D248-4F53-9D94-89ADB7D5356D}"/>
    <cellStyle name="40% - Énfasis5 13 3" xfId="1632" xr:uid="{542CBB6F-4D08-40C5-8CA6-956661F877C1}"/>
    <cellStyle name="40% - Énfasis5 14" xfId="302" xr:uid="{00000000-0005-0000-0000-00002D010000}"/>
    <cellStyle name="40% - Énfasis5 14 2" xfId="303" xr:uid="{00000000-0005-0000-0000-00002E010000}"/>
    <cellStyle name="40% - Énfasis5 14 2 2" xfId="1635" xr:uid="{EC69D7D1-7B28-4FF2-B87F-14E02FE9CC44}"/>
    <cellStyle name="40% - Énfasis5 14 3" xfId="1634" xr:uid="{4F406C6F-6328-4D36-9D49-ADB331F95107}"/>
    <cellStyle name="40% - Énfasis5 15" xfId="304" xr:uid="{00000000-0005-0000-0000-00002F010000}"/>
    <cellStyle name="40% - Énfasis5 16" xfId="1349" xr:uid="{F6E79167-877C-4061-A8BB-23F5DAA523E6}"/>
    <cellStyle name="40% - Énfasis5 16 2" xfId="1787" xr:uid="{4E89D78F-0885-467F-AC31-44BDB76FA698}"/>
    <cellStyle name="40% - Énfasis5 2" xfId="305" xr:uid="{00000000-0005-0000-0000-000030010000}"/>
    <cellStyle name="40% - Énfasis5 2 2" xfId="306" xr:uid="{00000000-0005-0000-0000-000031010000}"/>
    <cellStyle name="40% - Énfasis5 2 2 2" xfId="1637" xr:uid="{5C0601B7-351C-4C52-B5A3-2FF8782894F4}"/>
    <cellStyle name="40% - Énfasis5 2 3" xfId="1636" xr:uid="{938AFF29-294F-46DE-BC8E-72F84C991606}"/>
    <cellStyle name="40% - Énfasis5 3" xfId="307" xr:uid="{00000000-0005-0000-0000-000032010000}"/>
    <cellStyle name="40% - Énfasis5 3 2" xfId="308" xr:uid="{00000000-0005-0000-0000-000033010000}"/>
    <cellStyle name="40% - Énfasis5 3 2 2" xfId="1639" xr:uid="{8EC05C25-E28D-4BB1-9052-03D48A318C68}"/>
    <cellStyle name="40% - Énfasis5 3 3" xfId="1638" xr:uid="{4C8BF90A-8A49-47F8-9C5C-B64F46578CD8}"/>
    <cellStyle name="40% - Énfasis5 4" xfId="309" xr:uid="{00000000-0005-0000-0000-000034010000}"/>
    <cellStyle name="40% - Énfasis5 4 2" xfId="310" xr:uid="{00000000-0005-0000-0000-000035010000}"/>
    <cellStyle name="40% - Énfasis5 4 2 2" xfId="1641" xr:uid="{141DE117-6E47-4C5B-8112-499998772DF5}"/>
    <cellStyle name="40% - Énfasis5 4 3" xfId="1640" xr:uid="{B400001D-6984-47A2-A2BE-E37404250C16}"/>
    <cellStyle name="40% - Énfasis5 5" xfId="311" xr:uid="{00000000-0005-0000-0000-000036010000}"/>
    <cellStyle name="40% - Énfasis5 5 2" xfId="312" xr:uid="{00000000-0005-0000-0000-000037010000}"/>
    <cellStyle name="40% - Énfasis5 5 2 2" xfId="1643" xr:uid="{DB40C233-C261-445F-ABCA-9627AE7DCA27}"/>
    <cellStyle name="40% - Énfasis5 5 3" xfId="1642" xr:uid="{6C69C58B-EF76-4960-9CBE-91EB11595DF5}"/>
    <cellStyle name="40% - Énfasis5 6" xfId="313" xr:uid="{00000000-0005-0000-0000-000038010000}"/>
    <cellStyle name="40% - Énfasis5 6 2" xfId="314" xr:uid="{00000000-0005-0000-0000-000039010000}"/>
    <cellStyle name="40% - Énfasis5 6 2 2" xfId="1645" xr:uid="{2BC4931A-1A94-4856-BCD9-1B4BC2917EC1}"/>
    <cellStyle name="40% - Énfasis5 6 3" xfId="1644" xr:uid="{D3A4EFCE-D56A-4BE8-AC98-06532993CDD7}"/>
    <cellStyle name="40% - Énfasis5 7" xfId="315" xr:uid="{00000000-0005-0000-0000-00003A010000}"/>
    <cellStyle name="40% - Énfasis5 7 2" xfId="316" xr:uid="{00000000-0005-0000-0000-00003B010000}"/>
    <cellStyle name="40% - Énfasis5 7 2 2" xfId="1647" xr:uid="{036317FA-D5C5-45CD-B76A-D718D12E5E0B}"/>
    <cellStyle name="40% - Énfasis5 7 3" xfId="1646" xr:uid="{53737324-1EE0-4A97-9A6B-22C8517358D2}"/>
    <cellStyle name="40% - Énfasis5 8" xfId="317" xr:uid="{00000000-0005-0000-0000-00003C010000}"/>
    <cellStyle name="40% - Énfasis5 8 2" xfId="318" xr:uid="{00000000-0005-0000-0000-00003D010000}"/>
    <cellStyle name="40% - Énfasis5 8 2 2" xfId="1649" xr:uid="{6E5CB97F-CD32-4808-9289-15C5CAD4F910}"/>
    <cellStyle name="40% - Énfasis5 8 3" xfId="1648" xr:uid="{9B80BF41-6321-46B3-85C8-F9FAC7445F01}"/>
    <cellStyle name="40% - Énfasis5 9" xfId="319" xr:uid="{00000000-0005-0000-0000-00003E010000}"/>
    <cellStyle name="40% - Énfasis5 9 2" xfId="320" xr:uid="{00000000-0005-0000-0000-00003F010000}"/>
    <cellStyle name="40% - Énfasis5 9 2 2" xfId="1651" xr:uid="{3803F3B2-2AF7-4F7A-8A84-9F53B304C6E3}"/>
    <cellStyle name="40% - Énfasis5 9 3" xfId="1650" xr:uid="{2BD286A7-303A-4128-AEB9-269E01E9CA75}"/>
    <cellStyle name="40% - Énfasis6" xfId="321" builtinId="51" customBuiltin="1"/>
    <cellStyle name="40% - Énfasis6 10" xfId="322" xr:uid="{00000000-0005-0000-0000-000041010000}"/>
    <cellStyle name="40% - Énfasis6 10 2" xfId="323" xr:uid="{00000000-0005-0000-0000-000042010000}"/>
    <cellStyle name="40% - Énfasis6 10 2 2" xfId="1653" xr:uid="{718476C0-D7F6-4F8C-A477-ABC12FD44932}"/>
    <cellStyle name="40% - Énfasis6 10 3" xfId="1652" xr:uid="{EE3885A8-0BC0-43B0-8BC6-8340CE4F9544}"/>
    <cellStyle name="40% - Énfasis6 11" xfId="324" xr:uid="{00000000-0005-0000-0000-000043010000}"/>
    <cellStyle name="40% - Énfasis6 11 2" xfId="325" xr:uid="{00000000-0005-0000-0000-000044010000}"/>
    <cellStyle name="40% - Énfasis6 11 2 2" xfId="1655" xr:uid="{EDF94094-B34D-42FC-B61C-20145CB9835A}"/>
    <cellStyle name="40% - Énfasis6 11 3" xfId="1654" xr:uid="{A881E4A1-8135-4D94-A190-B5BA348539F0}"/>
    <cellStyle name="40% - Énfasis6 12" xfId="326" xr:uid="{00000000-0005-0000-0000-000045010000}"/>
    <cellStyle name="40% - Énfasis6 12 2" xfId="327" xr:uid="{00000000-0005-0000-0000-000046010000}"/>
    <cellStyle name="40% - Énfasis6 12 2 2" xfId="1657" xr:uid="{A2EEAC1B-3095-4B82-B03F-B70983DCD504}"/>
    <cellStyle name="40% - Énfasis6 12 3" xfId="1656" xr:uid="{D76F122C-C3D4-4795-9F3F-DCF452259032}"/>
    <cellStyle name="40% - Énfasis6 13" xfId="328" xr:uid="{00000000-0005-0000-0000-000047010000}"/>
    <cellStyle name="40% - Énfasis6 13 2" xfId="329" xr:uid="{00000000-0005-0000-0000-000048010000}"/>
    <cellStyle name="40% - Énfasis6 13 2 2" xfId="1659" xr:uid="{C14EB937-EF83-47D4-9FD9-7D7BACB36FD6}"/>
    <cellStyle name="40% - Énfasis6 13 3" xfId="1658" xr:uid="{05448DC4-C1E3-49E7-B987-4AF81C095A9F}"/>
    <cellStyle name="40% - Énfasis6 14" xfId="330" xr:uid="{00000000-0005-0000-0000-000049010000}"/>
    <cellStyle name="40% - Énfasis6 14 2" xfId="331" xr:uid="{00000000-0005-0000-0000-00004A010000}"/>
    <cellStyle name="40% - Énfasis6 14 2 2" xfId="1661" xr:uid="{ABF1D398-9359-4BEF-B04F-928E8FDA61AB}"/>
    <cellStyle name="40% - Énfasis6 14 3" xfId="1660" xr:uid="{8BC8E500-0AD8-4B25-9E1A-EE1D06C35C1E}"/>
    <cellStyle name="40% - Énfasis6 15" xfId="332" xr:uid="{00000000-0005-0000-0000-00004B010000}"/>
    <cellStyle name="40% - Énfasis6 16" xfId="1352" xr:uid="{3F9E82F5-FC30-4197-A1C8-318DF1EE7DBA}"/>
    <cellStyle name="40% - Énfasis6 16 2" xfId="1790" xr:uid="{6B7F3523-40C2-4492-8DC5-87113611A321}"/>
    <cellStyle name="40% - Énfasis6 2" xfId="333" xr:uid="{00000000-0005-0000-0000-00004C010000}"/>
    <cellStyle name="40% - Énfasis6 2 2" xfId="334" xr:uid="{00000000-0005-0000-0000-00004D010000}"/>
    <cellStyle name="40% - Énfasis6 2 2 2" xfId="1663" xr:uid="{41792120-E359-4B57-A81C-9033704FA3B7}"/>
    <cellStyle name="40% - Énfasis6 2 3" xfId="1662" xr:uid="{98992DFA-B1D7-4286-A896-A8EEED0339CE}"/>
    <cellStyle name="40% - Énfasis6 3" xfId="335" xr:uid="{00000000-0005-0000-0000-00004E010000}"/>
    <cellStyle name="40% - Énfasis6 3 2" xfId="336" xr:uid="{00000000-0005-0000-0000-00004F010000}"/>
    <cellStyle name="40% - Énfasis6 3 2 2" xfId="1665" xr:uid="{A1777278-6793-4E4D-8E5D-F1221931058E}"/>
    <cellStyle name="40% - Énfasis6 3 3" xfId="1664" xr:uid="{F3E3BE17-F51F-430B-884E-3B75578D4019}"/>
    <cellStyle name="40% - Énfasis6 4" xfId="337" xr:uid="{00000000-0005-0000-0000-000050010000}"/>
    <cellStyle name="40% - Énfasis6 4 2" xfId="338" xr:uid="{00000000-0005-0000-0000-000051010000}"/>
    <cellStyle name="40% - Énfasis6 4 2 2" xfId="1667" xr:uid="{91C2E04D-C189-4ADF-B535-7BCE451DAD93}"/>
    <cellStyle name="40% - Énfasis6 4 3" xfId="1666" xr:uid="{E585874F-0AFF-4A38-9B34-5075E7BA218B}"/>
    <cellStyle name="40% - Énfasis6 5" xfId="339" xr:uid="{00000000-0005-0000-0000-000052010000}"/>
    <cellStyle name="40% - Énfasis6 5 2" xfId="340" xr:uid="{00000000-0005-0000-0000-000053010000}"/>
    <cellStyle name="40% - Énfasis6 5 2 2" xfId="1669" xr:uid="{4B6FD901-5A22-4235-A0BB-F2457A08FC55}"/>
    <cellStyle name="40% - Énfasis6 5 3" xfId="1668" xr:uid="{29883E4E-77BA-4A12-80C3-CC7C8EEFB5D3}"/>
    <cellStyle name="40% - Énfasis6 6" xfId="341" xr:uid="{00000000-0005-0000-0000-000054010000}"/>
    <cellStyle name="40% - Énfasis6 6 2" xfId="342" xr:uid="{00000000-0005-0000-0000-000055010000}"/>
    <cellStyle name="40% - Énfasis6 6 2 2" xfId="1671" xr:uid="{456CA6D9-F6E1-44CD-9792-BF3E81F51A6E}"/>
    <cellStyle name="40% - Énfasis6 6 3" xfId="1670" xr:uid="{9FADAA7D-F13B-4936-82C2-13751A8D9BFB}"/>
    <cellStyle name="40% - Énfasis6 7" xfId="343" xr:uid="{00000000-0005-0000-0000-000056010000}"/>
    <cellStyle name="40% - Énfasis6 7 2" xfId="344" xr:uid="{00000000-0005-0000-0000-000057010000}"/>
    <cellStyle name="40% - Énfasis6 7 2 2" xfId="1673" xr:uid="{3FE17DAB-FF90-41E0-976D-E7A51F889ADC}"/>
    <cellStyle name="40% - Énfasis6 7 3" xfId="1672" xr:uid="{15083251-44E7-408F-B714-D255700B6869}"/>
    <cellStyle name="40% - Énfasis6 8" xfId="345" xr:uid="{00000000-0005-0000-0000-000058010000}"/>
    <cellStyle name="40% - Énfasis6 8 2" xfId="346" xr:uid="{00000000-0005-0000-0000-000059010000}"/>
    <cellStyle name="40% - Énfasis6 8 2 2" xfId="1675" xr:uid="{A6BD1219-91D9-4DBF-A507-D2BBB00598A1}"/>
    <cellStyle name="40% - Énfasis6 8 3" xfId="1674" xr:uid="{D6A27D51-F965-4946-9AAC-A72D50FF5D50}"/>
    <cellStyle name="40% - Énfasis6 9" xfId="347" xr:uid="{00000000-0005-0000-0000-00005A010000}"/>
    <cellStyle name="40% - Énfasis6 9 2" xfId="348" xr:uid="{00000000-0005-0000-0000-00005B010000}"/>
    <cellStyle name="40% - Énfasis6 9 2 2" xfId="1677" xr:uid="{95A6858A-B554-48C1-B8D5-A60C741AD715}"/>
    <cellStyle name="40% - Énfasis6 9 3" xfId="1676" xr:uid="{FA2BB508-8057-481B-8DD5-4A92909372DC}"/>
    <cellStyle name="60% - Accent1" xfId="349" xr:uid="{00000000-0005-0000-0000-00005C010000}"/>
    <cellStyle name="60% - Accent2" xfId="350" xr:uid="{00000000-0005-0000-0000-00005D010000}"/>
    <cellStyle name="60% - Accent3" xfId="351" xr:uid="{00000000-0005-0000-0000-00005E010000}"/>
    <cellStyle name="60% - Accent4" xfId="352" xr:uid="{00000000-0005-0000-0000-00005F010000}"/>
    <cellStyle name="60% - Accent5" xfId="353" xr:uid="{00000000-0005-0000-0000-000060010000}"/>
    <cellStyle name="60% - Accent6" xfId="354" xr:uid="{00000000-0005-0000-0000-000061010000}"/>
    <cellStyle name="60% - Énfasis1" xfId="355" builtinId="32" customBuiltin="1"/>
    <cellStyle name="60% - Énfasis1 10" xfId="356" xr:uid="{00000000-0005-0000-0000-000063010000}"/>
    <cellStyle name="60% - Énfasis1 10 2" xfId="357" xr:uid="{00000000-0005-0000-0000-000064010000}"/>
    <cellStyle name="60% - Énfasis1 11" xfId="358" xr:uid="{00000000-0005-0000-0000-000065010000}"/>
    <cellStyle name="60% - Énfasis1 11 2" xfId="359" xr:uid="{00000000-0005-0000-0000-000066010000}"/>
    <cellStyle name="60% - Énfasis1 12" xfId="360" xr:uid="{00000000-0005-0000-0000-000067010000}"/>
    <cellStyle name="60% - Énfasis1 12 2" xfId="361" xr:uid="{00000000-0005-0000-0000-000068010000}"/>
    <cellStyle name="60% - Énfasis1 13" xfId="362" xr:uid="{00000000-0005-0000-0000-000069010000}"/>
    <cellStyle name="60% - Énfasis1 13 2" xfId="363" xr:uid="{00000000-0005-0000-0000-00006A010000}"/>
    <cellStyle name="60% - Énfasis1 14" xfId="364" xr:uid="{00000000-0005-0000-0000-00006B010000}"/>
    <cellStyle name="60% - Énfasis1 14 2" xfId="365" xr:uid="{00000000-0005-0000-0000-00006C010000}"/>
    <cellStyle name="60% - Énfasis1 15" xfId="366" xr:uid="{00000000-0005-0000-0000-00006D010000}"/>
    <cellStyle name="60% - Énfasis1 16" xfId="1338" xr:uid="{8ACABFFB-EFD7-4CD3-9C18-E61374A64CB1}"/>
    <cellStyle name="60% - Énfasis1 16 2" xfId="1776" xr:uid="{7CBC5812-BF05-4740-BF2F-816979FDE0DD}"/>
    <cellStyle name="60% - Énfasis1 2" xfId="367" xr:uid="{00000000-0005-0000-0000-00006E010000}"/>
    <cellStyle name="60% - Énfasis1 2 2" xfId="368" xr:uid="{00000000-0005-0000-0000-00006F010000}"/>
    <cellStyle name="60% - Énfasis1 3" xfId="369" xr:uid="{00000000-0005-0000-0000-000070010000}"/>
    <cellStyle name="60% - Énfasis1 3 2" xfId="370" xr:uid="{00000000-0005-0000-0000-000071010000}"/>
    <cellStyle name="60% - Énfasis1 4" xfId="371" xr:uid="{00000000-0005-0000-0000-000072010000}"/>
    <cellStyle name="60% - Énfasis1 4 2" xfId="372" xr:uid="{00000000-0005-0000-0000-000073010000}"/>
    <cellStyle name="60% - Énfasis1 5" xfId="373" xr:uid="{00000000-0005-0000-0000-000074010000}"/>
    <cellStyle name="60% - Énfasis1 5 2" xfId="374" xr:uid="{00000000-0005-0000-0000-000075010000}"/>
    <cellStyle name="60% - Énfasis1 6" xfId="375" xr:uid="{00000000-0005-0000-0000-000076010000}"/>
    <cellStyle name="60% - Énfasis1 6 2" xfId="376" xr:uid="{00000000-0005-0000-0000-000077010000}"/>
    <cellStyle name="60% - Énfasis1 7" xfId="377" xr:uid="{00000000-0005-0000-0000-000078010000}"/>
    <cellStyle name="60% - Énfasis1 7 2" xfId="378" xr:uid="{00000000-0005-0000-0000-000079010000}"/>
    <cellStyle name="60% - Énfasis1 8" xfId="379" xr:uid="{00000000-0005-0000-0000-00007A010000}"/>
    <cellStyle name="60% - Énfasis1 8 2" xfId="380" xr:uid="{00000000-0005-0000-0000-00007B010000}"/>
    <cellStyle name="60% - Énfasis1 9" xfId="381" xr:uid="{00000000-0005-0000-0000-00007C010000}"/>
    <cellStyle name="60% - Énfasis1 9 2" xfId="382" xr:uid="{00000000-0005-0000-0000-00007D010000}"/>
    <cellStyle name="60% - Énfasis2" xfId="383" builtinId="36" customBuiltin="1"/>
    <cellStyle name="60% - Énfasis2 10" xfId="384" xr:uid="{00000000-0005-0000-0000-00007F010000}"/>
    <cellStyle name="60% - Énfasis2 10 2" xfId="385" xr:uid="{00000000-0005-0000-0000-000080010000}"/>
    <cellStyle name="60% - Énfasis2 11" xfId="386" xr:uid="{00000000-0005-0000-0000-000081010000}"/>
    <cellStyle name="60% - Énfasis2 11 2" xfId="387" xr:uid="{00000000-0005-0000-0000-000082010000}"/>
    <cellStyle name="60% - Énfasis2 12" xfId="388" xr:uid="{00000000-0005-0000-0000-000083010000}"/>
    <cellStyle name="60% - Énfasis2 12 2" xfId="389" xr:uid="{00000000-0005-0000-0000-000084010000}"/>
    <cellStyle name="60% - Énfasis2 13" xfId="390" xr:uid="{00000000-0005-0000-0000-000085010000}"/>
    <cellStyle name="60% - Énfasis2 13 2" xfId="391" xr:uid="{00000000-0005-0000-0000-000086010000}"/>
    <cellStyle name="60% - Énfasis2 14" xfId="392" xr:uid="{00000000-0005-0000-0000-000087010000}"/>
    <cellStyle name="60% - Énfasis2 14 2" xfId="393" xr:uid="{00000000-0005-0000-0000-000088010000}"/>
    <cellStyle name="60% - Énfasis2 15" xfId="394" xr:uid="{00000000-0005-0000-0000-000089010000}"/>
    <cellStyle name="60% - Énfasis2 16" xfId="1341" xr:uid="{B3BAA709-F3DF-4D1D-A890-6EEC4326D8BB}"/>
    <cellStyle name="60% - Énfasis2 16 2" xfId="1779" xr:uid="{EF7361C0-460D-42B3-9780-A0E9BEC4A151}"/>
    <cellStyle name="60% - Énfasis2 2" xfId="395" xr:uid="{00000000-0005-0000-0000-00008A010000}"/>
    <cellStyle name="60% - Énfasis2 2 2" xfId="396" xr:uid="{00000000-0005-0000-0000-00008B010000}"/>
    <cellStyle name="60% - Énfasis2 3" xfId="397" xr:uid="{00000000-0005-0000-0000-00008C010000}"/>
    <cellStyle name="60% - Énfasis2 3 2" xfId="398" xr:uid="{00000000-0005-0000-0000-00008D010000}"/>
    <cellStyle name="60% - Énfasis2 4" xfId="399" xr:uid="{00000000-0005-0000-0000-00008E010000}"/>
    <cellStyle name="60% - Énfasis2 4 2" xfId="400" xr:uid="{00000000-0005-0000-0000-00008F010000}"/>
    <cellStyle name="60% - Énfasis2 5" xfId="401" xr:uid="{00000000-0005-0000-0000-000090010000}"/>
    <cellStyle name="60% - Énfasis2 5 2" xfId="402" xr:uid="{00000000-0005-0000-0000-000091010000}"/>
    <cellStyle name="60% - Énfasis2 6" xfId="403" xr:uid="{00000000-0005-0000-0000-000092010000}"/>
    <cellStyle name="60% - Énfasis2 6 2" xfId="404" xr:uid="{00000000-0005-0000-0000-000093010000}"/>
    <cellStyle name="60% - Énfasis2 7" xfId="405" xr:uid="{00000000-0005-0000-0000-000094010000}"/>
    <cellStyle name="60% - Énfasis2 7 2" xfId="406" xr:uid="{00000000-0005-0000-0000-000095010000}"/>
    <cellStyle name="60% - Énfasis2 8" xfId="407" xr:uid="{00000000-0005-0000-0000-000096010000}"/>
    <cellStyle name="60% - Énfasis2 8 2" xfId="408" xr:uid="{00000000-0005-0000-0000-000097010000}"/>
    <cellStyle name="60% - Énfasis2 9" xfId="409" xr:uid="{00000000-0005-0000-0000-000098010000}"/>
    <cellStyle name="60% - Énfasis2 9 2" xfId="410" xr:uid="{00000000-0005-0000-0000-000099010000}"/>
    <cellStyle name="60% - Énfasis3" xfId="411" builtinId="40" customBuiltin="1"/>
    <cellStyle name="60% - Énfasis3 10" xfId="412" xr:uid="{00000000-0005-0000-0000-00009B010000}"/>
    <cellStyle name="60% - Énfasis3 10 2" xfId="413" xr:uid="{00000000-0005-0000-0000-00009C010000}"/>
    <cellStyle name="60% - Énfasis3 11" xfId="414" xr:uid="{00000000-0005-0000-0000-00009D010000}"/>
    <cellStyle name="60% - Énfasis3 11 2" xfId="415" xr:uid="{00000000-0005-0000-0000-00009E010000}"/>
    <cellStyle name="60% - Énfasis3 12" xfId="416" xr:uid="{00000000-0005-0000-0000-00009F010000}"/>
    <cellStyle name="60% - Énfasis3 12 2" xfId="417" xr:uid="{00000000-0005-0000-0000-0000A0010000}"/>
    <cellStyle name="60% - Énfasis3 13" xfId="418" xr:uid="{00000000-0005-0000-0000-0000A1010000}"/>
    <cellStyle name="60% - Énfasis3 13 2" xfId="419" xr:uid="{00000000-0005-0000-0000-0000A2010000}"/>
    <cellStyle name="60% - Énfasis3 14" xfId="420" xr:uid="{00000000-0005-0000-0000-0000A3010000}"/>
    <cellStyle name="60% - Énfasis3 14 2" xfId="421" xr:uid="{00000000-0005-0000-0000-0000A4010000}"/>
    <cellStyle name="60% - Énfasis3 15" xfId="422" xr:uid="{00000000-0005-0000-0000-0000A5010000}"/>
    <cellStyle name="60% - Énfasis3 16" xfId="1344" xr:uid="{C623B35B-DA23-4490-B78F-F2560BBFDD33}"/>
    <cellStyle name="60% - Énfasis3 16 2" xfId="1782" xr:uid="{7F540554-425A-47F7-811C-8ED6D30BFA21}"/>
    <cellStyle name="60% - Énfasis3 2" xfId="423" xr:uid="{00000000-0005-0000-0000-0000A6010000}"/>
    <cellStyle name="60% - Énfasis3 2 2" xfId="424" xr:uid="{00000000-0005-0000-0000-0000A7010000}"/>
    <cellStyle name="60% - Énfasis3 3" xfId="425" xr:uid="{00000000-0005-0000-0000-0000A8010000}"/>
    <cellStyle name="60% - Énfasis3 3 2" xfId="426" xr:uid="{00000000-0005-0000-0000-0000A9010000}"/>
    <cellStyle name="60% - Énfasis3 4" xfId="427" xr:uid="{00000000-0005-0000-0000-0000AA010000}"/>
    <cellStyle name="60% - Énfasis3 4 2" xfId="428" xr:uid="{00000000-0005-0000-0000-0000AB010000}"/>
    <cellStyle name="60% - Énfasis3 5" xfId="429" xr:uid="{00000000-0005-0000-0000-0000AC010000}"/>
    <cellStyle name="60% - Énfasis3 5 2" xfId="430" xr:uid="{00000000-0005-0000-0000-0000AD010000}"/>
    <cellStyle name="60% - Énfasis3 6" xfId="431" xr:uid="{00000000-0005-0000-0000-0000AE010000}"/>
    <cellStyle name="60% - Énfasis3 6 2" xfId="432" xr:uid="{00000000-0005-0000-0000-0000AF010000}"/>
    <cellStyle name="60% - Énfasis3 7" xfId="433" xr:uid="{00000000-0005-0000-0000-0000B0010000}"/>
    <cellStyle name="60% - Énfasis3 7 2" xfId="434" xr:uid="{00000000-0005-0000-0000-0000B1010000}"/>
    <cellStyle name="60% - Énfasis3 8" xfId="435" xr:uid="{00000000-0005-0000-0000-0000B2010000}"/>
    <cellStyle name="60% - Énfasis3 8 2" xfId="436" xr:uid="{00000000-0005-0000-0000-0000B3010000}"/>
    <cellStyle name="60% - Énfasis3 9" xfId="437" xr:uid="{00000000-0005-0000-0000-0000B4010000}"/>
    <cellStyle name="60% - Énfasis3 9 2" xfId="438" xr:uid="{00000000-0005-0000-0000-0000B5010000}"/>
    <cellStyle name="60% - Énfasis4" xfId="439" builtinId="44" customBuiltin="1"/>
    <cellStyle name="60% - Énfasis4 10" xfId="440" xr:uid="{00000000-0005-0000-0000-0000B7010000}"/>
    <cellStyle name="60% - Énfasis4 10 2" xfId="441" xr:uid="{00000000-0005-0000-0000-0000B8010000}"/>
    <cellStyle name="60% - Énfasis4 11" xfId="442" xr:uid="{00000000-0005-0000-0000-0000B9010000}"/>
    <cellStyle name="60% - Énfasis4 11 2" xfId="443" xr:uid="{00000000-0005-0000-0000-0000BA010000}"/>
    <cellStyle name="60% - Énfasis4 12" xfId="444" xr:uid="{00000000-0005-0000-0000-0000BB010000}"/>
    <cellStyle name="60% - Énfasis4 12 2" xfId="445" xr:uid="{00000000-0005-0000-0000-0000BC010000}"/>
    <cellStyle name="60% - Énfasis4 13" xfId="446" xr:uid="{00000000-0005-0000-0000-0000BD010000}"/>
    <cellStyle name="60% - Énfasis4 13 2" xfId="447" xr:uid="{00000000-0005-0000-0000-0000BE010000}"/>
    <cellStyle name="60% - Énfasis4 14" xfId="448" xr:uid="{00000000-0005-0000-0000-0000BF010000}"/>
    <cellStyle name="60% - Énfasis4 14 2" xfId="449" xr:uid="{00000000-0005-0000-0000-0000C0010000}"/>
    <cellStyle name="60% - Énfasis4 15" xfId="450" xr:uid="{00000000-0005-0000-0000-0000C1010000}"/>
    <cellStyle name="60% - Énfasis4 16" xfId="1347" xr:uid="{F1177BE6-BDC8-4EF3-8096-A21724ACF69A}"/>
    <cellStyle name="60% - Énfasis4 16 2" xfId="1785" xr:uid="{319C746F-2A33-4A9E-A7B6-C1104740F4BE}"/>
    <cellStyle name="60% - Énfasis4 2" xfId="451" xr:uid="{00000000-0005-0000-0000-0000C2010000}"/>
    <cellStyle name="60% - Énfasis4 2 2" xfId="452" xr:uid="{00000000-0005-0000-0000-0000C3010000}"/>
    <cellStyle name="60% - Énfasis4 3" xfId="453" xr:uid="{00000000-0005-0000-0000-0000C4010000}"/>
    <cellStyle name="60% - Énfasis4 3 2" xfId="454" xr:uid="{00000000-0005-0000-0000-0000C5010000}"/>
    <cellStyle name="60% - Énfasis4 4" xfId="455" xr:uid="{00000000-0005-0000-0000-0000C6010000}"/>
    <cellStyle name="60% - Énfasis4 4 2" xfId="456" xr:uid="{00000000-0005-0000-0000-0000C7010000}"/>
    <cellStyle name="60% - Énfasis4 5" xfId="457" xr:uid="{00000000-0005-0000-0000-0000C8010000}"/>
    <cellStyle name="60% - Énfasis4 5 2" xfId="458" xr:uid="{00000000-0005-0000-0000-0000C9010000}"/>
    <cellStyle name="60% - Énfasis4 6" xfId="459" xr:uid="{00000000-0005-0000-0000-0000CA010000}"/>
    <cellStyle name="60% - Énfasis4 6 2" xfId="460" xr:uid="{00000000-0005-0000-0000-0000CB010000}"/>
    <cellStyle name="60% - Énfasis4 7" xfId="461" xr:uid="{00000000-0005-0000-0000-0000CC010000}"/>
    <cellStyle name="60% - Énfasis4 7 2" xfId="462" xr:uid="{00000000-0005-0000-0000-0000CD010000}"/>
    <cellStyle name="60% - Énfasis4 8" xfId="463" xr:uid="{00000000-0005-0000-0000-0000CE010000}"/>
    <cellStyle name="60% - Énfasis4 8 2" xfId="464" xr:uid="{00000000-0005-0000-0000-0000CF010000}"/>
    <cellStyle name="60% - Énfasis4 9" xfId="465" xr:uid="{00000000-0005-0000-0000-0000D0010000}"/>
    <cellStyle name="60% - Énfasis4 9 2" xfId="466" xr:uid="{00000000-0005-0000-0000-0000D1010000}"/>
    <cellStyle name="60% - Énfasis5" xfId="467" builtinId="48" customBuiltin="1"/>
    <cellStyle name="60% - Énfasis5 10" xfId="468" xr:uid="{00000000-0005-0000-0000-0000D3010000}"/>
    <cellStyle name="60% - Énfasis5 10 2" xfId="469" xr:uid="{00000000-0005-0000-0000-0000D4010000}"/>
    <cellStyle name="60% - Énfasis5 11" xfId="470" xr:uid="{00000000-0005-0000-0000-0000D5010000}"/>
    <cellStyle name="60% - Énfasis5 11 2" xfId="471" xr:uid="{00000000-0005-0000-0000-0000D6010000}"/>
    <cellStyle name="60% - Énfasis5 12" xfId="472" xr:uid="{00000000-0005-0000-0000-0000D7010000}"/>
    <cellStyle name="60% - Énfasis5 12 2" xfId="473" xr:uid="{00000000-0005-0000-0000-0000D8010000}"/>
    <cellStyle name="60% - Énfasis5 13" xfId="474" xr:uid="{00000000-0005-0000-0000-0000D9010000}"/>
    <cellStyle name="60% - Énfasis5 13 2" xfId="475" xr:uid="{00000000-0005-0000-0000-0000DA010000}"/>
    <cellStyle name="60% - Énfasis5 14" xfId="476" xr:uid="{00000000-0005-0000-0000-0000DB010000}"/>
    <cellStyle name="60% - Énfasis5 14 2" xfId="477" xr:uid="{00000000-0005-0000-0000-0000DC010000}"/>
    <cellStyle name="60% - Énfasis5 15" xfId="478" xr:uid="{00000000-0005-0000-0000-0000DD010000}"/>
    <cellStyle name="60% - Énfasis5 16" xfId="1350" xr:uid="{A08C823C-59A6-4078-860B-19C6D533193A}"/>
    <cellStyle name="60% - Énfasis5 16 2" xfId="1788" xr:uid="{C98C74E5-D2C1-41D2-B147-76188CDC49D3}"/>
    <cellStyle name="60% - Énfasis5 2" xfId="479" xr:uid="{00000000-0005-0000-0000-0000DE010000}"/>
    <cellStyle name="60% - Énfasis5 2 2" xfId="480" xr:uid="{00000000-0005-0000-0000-0000DF010000}"/>
    <cellStyle name="60% - Énfasis5 3" xfId="481" xr:uid="{00000000-0005-0000-0000-0000E0010000}"/>
    <cellStyle name="60% - Énfasis5 3 2" xfId="482" xr:uid="{00000000-0005-0000-0000-0000E1010000}"/>
    <cellStyle name="60% - Énfasis5 4" xfId="483" xr:uid="{00000000-0005-0000-0000-0000E2010000}"/>
    <cellStyle name="60% - Énfasis5 4 2" xfId="484" xr:uid="{00000000-0005-0000-0000-0000E3010000}"/>
    <cellStyle name="60% - Énfasis5 5" xfId="485" xr:uid="{00000000-0005-0000-0000-0000E4010000}"/>
    <cellStyle name="60% - Énfasis5 5 2" xfId="486" xr:uid="{00000000-0005-0000-0000-0000E5010000}"/>
    <cellStyle name="60% - Énfasis5 6" xfId="487" xr:uid="{00000000-0005-0000-0000-0000E6010000}"/>
    <cellStyle name="60% - Énfasis5 6 2" xfId="488" xr:uid="{00000000-0005-0000-0000-0000E7010000}"/>
    <cellStyle name="60% - Énfasis5 7" xfId="489" xr:uid="{00000000-0005-0000-0000-0000E8010000}"/>
    <cellStyle name="60% - Énfasis5 7 2" xfId="490" xr:uid="{00000000-0005-0000-0000-0000E9010000}"/>
    <cellStyle name="60% - Énfasis5 8" xfId="491" xr:uid="{00000000-0005-0000-0000-0000EA010000}"/>
    <cellStyle name="60% - Énfasis5 8 2" xfId="492" xr:uid="{00000000-0005-0000-0000-0000EB010000}"/>
    <cellStyle name="60% - Énfasis5 9" xfId="493" xr:uid="{00000000-0005-0000-0000-0000EC010000}"/>
    <cellStyle name="60% - Énfasis5 9 2" xfId="494" xr:uid="{00000000-0005-0000-0000-0000ED010000}"/>
    <cellStyle name="60% - Énfasis6" xfId="495" builtinId="52" customBuiltin="1"/>
    <cellStyle name="60% - Énfasis6 10" xfId="496" xr:uid="{00000000-0005-0000-0000-0000EF010000}"/>
    <cellStyle name="60% - Énfasis6 10 2" xfId="497" xr:uid="{00000000-0005-0000-0000-0000F0010000}"/>
    <cellStyle name="60% - Énfasis6 11" xfId="498" xr:uid="{00000000-0005-0000-0000-0000F1010000}"/>
    <cellStyle name="60% - Énfasis6 11 2" xfId="499" xr:uid="{00000000-0005-0000-0000-0000F2010000}"/>
    <cellStyle name="60% - Énfasis6 12" xfId="500" xr:uid="{00000000-0005-0000-0000-0000F3010000}"/>
    <cellStyle name="60% - Énfasis6 12 2" xfId="501" xr:uid="{00000000-0005-0000-0000-0000F4010000}"/>
    <cellStyle name="60% - Énfasis6 13" xfId="502" xr:uid="{00000000-0005-0000-0000-0000F5010000}"/>
    <cellStyle name="60% - Énfasis6 13 2" xfId="503" xr:uid="{00000000-0005-0000-0000-0000F6010000}"/>
    <cellStyle name="60% - Énfasis6 14" xfId="504" xr:uid="{00000000-0005-0000-0000-0000F7010000}"/>
    <cellStyle name="60% - Énfasis6 14 2" xfId="505" xr:uid="{00000000-0005-0000-0000-0000F8010000}"/>
    <cellStyle name="60% - Énfasis6 15" xfId="506" xr:uid="{00000000-0005-0000-0000-0000F9010000}"/>
    <cellStyle name="60% - Énfasis6 16" xfId="1353" xr:uid="{79E92D34-987F-4E19-8C0B-E457136BE23A}"/>
    <cellStyle name="60% - Énfasis6 16 2" xfId="1791" xr:uid="{DB2CC7A5-1375-4D75-BB16-CF15535B8063}"/>
    <cellStyle name="60% - Énfasis6 2" xfId="507" xr:uid="{00000000-0005-0000-0000-0000FA010000}"/>
    <cellStyle name="60% - Énfasis6 2 2" xfId="508" xr:uid="{00000000-0005-0000-0000-0000FB010000}"/>
    <cellStyle name="60% - Énfasis6 3" xfId="509" xr:uid="{00000000-0005-0000-0000-0000FC010000}"/>
    <cellStyle name="60% - Énfasis6 3 2" xfId="510" xr:uid="{00000000-0005-0000-0000-0000FD010000}"/>
    <cellStyle name="60% - Énfasis6 4" xfId="511" xr:uid="{00000000-0005-0000-0000-0000FE010000}"/>
    <cellStyle name="60% - Énfasis6 4 2" xfId="512" xr:uid="{00000000-0005-0000-0000-0000FF010000}"/>
    <cellStyle name="60% - Énfasis6 5" xfId="513" xr:uid="{00000000-0005-0000-0000-000000020000}"/>
    <cellStyle name="60% - Énfasis6 5 2" xfId="514" xr:uid="{00000000-0005-0000-0000-000001020000}"/>
    <cellStyle name="60% - Énfasis6 6" xfId="515" xr:uid="{00000000-0005-0000-0000-000002020000}"/>
    <cellStyle name="60% - Énfasis6 6 2" xfId="516" xr:uid="{00000000-0005-0000-0000-000003020000}"/>
    <cellStyle name="60% - Énfasis6 7" xfId="517" xr:uid="{00000000-0005-0000-0000-000004020000}"/>
    <cellStyle name="60% - Énfasis6 7 2" xfId="518" xr:uid="{00000000-0005-0000-0000-000005020000}"/>
    <cellStyle name="60% - Énfasis6 8" xfId="519" xr:uid="{00000000-0005-0000-0000-000006020000}"/>
    <cellStyle name="60% - Énfasis6 8 2" xfId="520" xr:uid="{00000000-0005-0000-0000-000007020000}"/>
    <cellStyle name="60% - Énfasis6 9" xfId="521" xr:uid="{00000000-0005-0000-0000-000008020000}"/>
    <cellStyle name="60% - Énfasis6 9 2" xfId="522" xr:uid="{00000000-0005-0000-0000-000009020000}"/>
    <cellStyle name="Accent1" xfId="523" xr:uid="{00000000-0005-0000-0000-00000A020000}"/>
    <cellStyle name="Accent2" xfId="524" xr:uid="{00000000-0005-0000-0000-00000B020000}"/>
    <cellStyle name="Accent3" xfId="525" xr:uid="{00000000-0005-0000-0000-00000C020000}"/>
    <cellStyle name="Accent4" xfId="526" xr:uid="{00000000-0005-0000-0000-00000D020000}"/>
    <cellStyle name="Accent5" xfId="527" xr:uid="{00000000-0005-0000-0000-00000E020000}"/>
    <cellStyle name="Accent6" xfId="528" xr:uid="{00000000-0005-0000-0000-00000F020000}"/>
    <cellStyle name="Bad" xfId="529" xr:uid="{00000000-0005-0000-0000-000010020000}"/>
    <cellStyle name="Buena 10" xfId="531" xr:uid="{00000000-0005-0000-0000-000012020000}"/>
    <cellStyle name="Buena 10 2" xfId="532" xr:uid="{00000000-0005-0000-0000-000013020000}"/>
    <cellStyle name="Buena 11" xfId="533" xr:uid="{00000000-0005-0000-0000-000014020000}"/>
    <cellStyle name="Buena 11 2" xfId="534" xr:uid="{00000000-0005-0000-0000-000015020000}"/>
    <cellStyle name="Buena 12" xfId="535" xr:uid="{00000000-0005-0000-0000-000016020000}"/>
    <cellStyle name="Buena 12 2" xfId="536" xr:uid="{00000000-0005-0000-0000-000017020000}"/>
    <cellStyle name="Buena 13" xfId="537" xr:uid="{00000000-0005-0000-0000-000018020000}"/>
    <cellStyle name="Buena 13 2" xfId="538" xr:uid="{00000000-0005-0000-0000-000019020000}"/>
    <cellStyle name="Buena 14" xfId="539" xr:uid="{00000000-0005-0000-0000-00001A020000}"/>
    <cellStyle name="Buena 14 2" xfId="540" xr:uid="{00000000-0005-0000-0000-00001B020000}"/>
    <cellStyle name="Buena 15" xfId="541" xr:uid="{00000000-0005-0000-0000-00001C020000}"/>
    <cellStyle name="Buena 2" xfId="542" xr:uid="{00000000-0005-0000-0000-00001D020000}"/>
    <cellStyle name="Buena 2 2" xfId="543" xr:uid="{00000000-0005-0000-0000-00001E020000}"/>
    <cellStyle name="Buena 3" xfId="544" xr:uid="{00000000-0005-0000-0000-00001F020000}"/>
    <cellStyle name="Buena 3 2" xfId="545" xr:uid="{00000000-0005-0000-0000-000020020000}"/>
    <cellStyle name="Buena 4" xfId="546" xr:uid="{00000000-0005-0000-0000-000021020000}"/>
    <cellStyle name="Buena 4 2" xfId="547" xr:uid="{00000000-0005-0000-0000-000022020000}"/>
    <cellStyle name="Buena 5" xfId="548" xr:uid="{00000000-0005-0000-0000-000023020000}"/>
    <cellStyle name="Buena 5 2" xfId="549" xr:uid="{00000000-0005-0000-0000-000024020000}"/>
    <cellStyle name="Buena 6" xfId="550" xr:uid="{00000000-0005-0000-0000-000025020000}"/>
    <cellStyle name="Buena 6 2" xfId="551" xr:uid="{00000000-0005-0000-0000-000026020000}"/>
    <cellStyle name="Buena 7" xfId="552" xr:uid="{00000000-0005-0000-0000-000027020000}"/>
    <cellStyle name="Buena 7 2" xfId="553" xr:uid="{00000000-0005-0000-0000-000028020000}"/>
    <cellStyle name="Buena 8" xfId="554" xr:uid="{00000000-0005-0000-0000-000029020000}"/>
    <cellStyle name="Buena 8 2" xfId="555" xr:uid="{00000000-0005-0000-0000-00002A020000}"/>
    <cellStyle name="Buena 9" xfId="556" xr:uid="{00000000-0005-0000-0000-00002B020000}"/>
    <cellStyle name="Buena 9 2" xfId="557" xr:uid="{00000000-0005-0000-0000-00002C020000}"/>
    <cellStyle name="Bueno" xfId="530" builtinId="26" customBuiltin="1"/>
    <cellStyle name="Bueno 2" xfId="1333" xr:uid="{C7FDEF4A-57E0-4434-8515-D6BDA84ED5E4}"/>
    <cellStyle name="Calculation" xfId="558" xr:uid="{00000000-0005-0000-0000-00002D020000}"/>
    <cellStyle name="Cálculo" xfId="559" builtinId="22" customBuiltin="1"/>
    <cellStyle name="Cálculo 10" xfId="560" xr:uid="{00000000-0005-0000-0000-00002F020000}"/>
    <cellStyle name="Cálculo 10 2" xfId="561" xr:uid="{00000000-0005-0000-0000-000030020000}"/>
    <cellStyle name="Cálculo 11" xfId="562" xr:uid="{00000000-0005-0000-0000-000031020000}"/>
    <cellStyle name="Cálculo 11 2" xfId="563" xr:uid="{00000000-0005-0000-0000-000032020000}"/>
    <cellStyle name="Cálculo 12" xfId="564" xr:uid="{00000000-0005-0000-0000-000033020000}"/>
    <cellStyle name="Cálculo 12 2" xfId="565" xr:uid="{00000000-0005-0000-0000-000034020000}"/>
    <cellStyle name="Cálculo 13" xfId="566" xr:uid="{00000000-0005-0000-0000-000035020000}"/>
    <cellStyle name="Cálculo 13 2" xfId="567" xr:uid="{00000000-0005-0000-0000-000036020000}"/>
    <cellStyle name="Cálculo 14" xfId="568" xr:uid="{00000000-0005-0000-0000-000037020000}"/>
    <cellStyle name="Cálculo 14 2" xfId="569" xr:uid="{00000000-0005-0000-0000-000038020000}"/>
    <cellStyle name="Cálculo 15" xfId="570" xr:uid="{00000000-0005-0000-0000-000039020000}"/>
    <cellStyle name="Cálculo 2" xfId="571" xr:uid="{00000000-0005-0000-0000-00003A020000}"/>
    <cellStyle name="Cálculo 2 2" xfId="572" xr:uid="{00000000-0005-0000-0000-00003B020000}"/>
    <cellStyle name="Cálculo 3" xfId="573" xr:uid="{00000000-0005-0000-0000-00003C020000}"/>
    <cellStyle name="Cálculo 3 2" xfId="574" xr:uid="{00000000-0005-0000-0000-00003D020000}"/>
    <cellStyle name="Cálculo 4" xfId="575" xr:uid="{00000000-0005-0000-0000-00003E020000}"/>
    <cellStyle name="Cálculo 4 2" xfId="576" xr:uid="{00000000-0005-0000-0000-00003F020000}"/>
    <cellStyle name="Cálculo 5" xfId="577" xr:uid="{00000000-0005-0000-0000-000040020000}"/>
    <cellStyle name="Cálculo 5 2" xfId="578" xr:uid="{00000000-0005-0000-0000-000041020000}"/>
    <cellStyle name="Cálculo 6" xfId="579" xr:uid="{00000000-0005-0000-0000-000042020000}"/>
    <cellStyle name="Cálculo 6 2" xfId="580" xr:uid="{00000000-0005-0000-0000-000043020000}"/>
    <cellStyle name="Cálculo 7" xfId="581" xr:uid="{00000000-0005-0000-0000-000044020000}"/>
    <cellStyle name="Cálculo 7 2" xfId="582" xr:uid="{00000000-0005-0000-0000-000045020000}"/>
    <cellStyle name="Cálculo 8" xfId="583" xr:uid="{00000000-0005-0000-0000-000046020000}"/>
    <cellStyle name="Cálculo 8 2" xfId="584" xr:uid="{00000000-0005-0000-0000-000047020000}"/>
    <cellStyle name="Cálculo 9" xfId="585" xr:uid="{00000000-0005-0000-0000-000048020000}"/>
    <cellStyle name="Cálculo 9 2" xfId="586" xr:uid="{00000000-0005-0000-0000-000049020000}"/>
    <cellStyle name="Celda de comprobación" xfId="587" builtinId="23" customBuiltin="1"/>
    <cellStyle name="Celda de comprobación 10" xfId="588" xr:uid="{00000000-0005-0000-0000-00004B020000}"/>
    <cellStyle name="Celda de comprobación 10 2" xfId="589" xr:uid="{00000000-0005-0000-0000-00004C020000}"/>
    <cellStyle name="Celda de comprobación 11" xfId="590" xr:uid="{00000000-0005-0000-0000-00004D020000}"/>
    <cellStyle name="Celda de comprobación 11 2" xfId="591" xr:uid="{00000000-0005-0000-0000-00004E020000}"/>
    <cellStyle name="Celda de comprobación 12" xfId="592" xr:uid="{00000000-0005-0000-0000-00004F020000}"/>
    <cellStyle name="Celda de comprobación 12 2" xfId="593" xr:uid="{00000000-0005-0000-0000-000050020000}"/>
    <cellStyle name="Celda de comprobación 13" xfId="594" xr:uid="{00000000-0005-0000-0000-000051020000}"/>
    <cellStyle name="Celda de comprobación 13 2" xfId="595" xr:uid="{00000000-0005-0000-0000-000052020000}"/>
    <cellStyle name="Celda de comprobación 14" xfId="596" xr:uid="{00000000-0005-0000-0000-000053020000}"/>
    <cellStyle name="Celda de comprobación 14 2" xfId="597" xr:uid="{00000000-0005-0000-0000-000054020000}"/>
    <cellStyle name="Celda de comprobación 15" xfId="598" xr:uid="{00000000-0005-0000-0000-000055020000}"/>
    <cellStyle name="Celda de comprobación 2" xfId="599" xr:uid="{00000000-0005-0000-0000-000056020000}"/>
    <cellStyle name="Celda de comprobación 2 2" xfId="600" xr:uid="{00000000-0005-0000-0000-000057020000}"/>
    <cellStyle name="Celda de comprobación 3" xfId="601" xr:uid="{00000000-0005-0000-0000-000058020000}"/>
    <cellStyle name="Celda de comprobación 3 2" xfId="602" xr:uid="{00000000-0005-0000-0000-000059020000}"/>
    <cellStyle name="Celda de comprobación 4" xfId="603" xr:uid="{00000000-0005-0000-0000-00005A020000}"/>
    <cellStyle name="Celda de comprobación 4 2" xfId="604" xr:uid="{00000000-0005-0000-0000-00005B020000}"/>
    <cellStyle name="Celda de comprobación 5" xfId="605" xr:uid="{00000000-0005-0000-0000-00005C020000}"/>
    <cellStyle name="Celda de comprobación 5 2" xfId="606" xr:uid="{00000000-0005-0000-0000-00005D020000}"/>
    <cellStyle name="Celda de comprobación 6" xfId="607" xr:uid="{00000000-0005-0000-0000-00005E020000}"/>
    <cellStyle name="Celda de comprobación 6 2" xfId="608" xr:uid="{00000000-0005-0000-0000-00005F020000}"/>
    <cellStyle name="Celda de comprobación 7" xfId="609" xr:uid="{00000000-0005-0000-0000-000060020000}"/>
    <cellStyle name="Celda de comprobación 7 2" xfId="610" xr:uid="{00000000-0005-0000-0000-000061020000}"/>
    <cellStyle name="Celda de comprobación 8" xfId="611" xr:uid="{00000000-0005-0000-0000-000062020000}"/>
    <cellStyle name="Celda de comprobación 8 2" xfId="612" xr:uid="{00000000-0005-0000-0000-000063020000}"/>
    <cellStyle name="Celda de comprobación 9" xfId="613" xr:uid="{00000000-0005-0000-0000-000064020000}"/>
    <cellStyle name="Celda de comprobación 9 2" xfId="614" xr:uid="{00000000-0005-0000-0000-000065020000}"/>
    <cellStyle name="Celda vinculada" xfId="615" builtinId="24" customBuiltin="1"/>
    <cellStyle name="Celda vinculada 10" xfId="616" xr:uid="{00000000-0005-0000-0000-000067020000}"/>
    <cellStyle name="Celda vinculada 10 2" xfId="617" xr:uid="{00000000-0005-0000-0000-000068020000}"/>
    <cellStyle name="Celda vinculada 11" xfId="618" xr:uid="{00000000-0005-0000-0000-000069020000}"/>
    <cellStyle name="Celda vinculada 11 2" xfId="619" xr:uid="{00000000-0005-0000-0000-00006A020000}"/>
    <cellStyle name="Celda vinculada 12" xfId="620" xr:uid="{00000000-0005-0000-0000-00006B020000}"/>
    <cellStyle name="Celda vinculada 12 2" xfId="621" xr:uid="{00000000-0005-0000-0000-00006C020000}"/>
    <cellStyle name="Celda vinculada 13" xfId="622" xr:uid="{00000000-0005-0000-0000-00006D020000}"/>
    <cellStyle name="Celda vinculada 13 2" xfId="623" xr:uid="{00000000-0005-0000-0000-00006E020000}"/>
    <cellStyle name="Celda vinculada 14" xfId="624" xr:uid="{00000000-0005-0000-0000-00006F020000}"/>
    <cellStyle name="Celda vinculada 14 2" xfId="625" xr:uid="{00000000-0005-0000-0000-000070020000}"/>
    <cellStyle name="Celda vinculada 15" xfId="626" xr:uid="{00000000-0005-0000-0000-000071020000}"/>
    <cellStyle name="Celda vinculada 2" xfId="627" xr:uid="{00000000-0005-0000-0000-000072020000}"/>
    <cellStyle name="Celda vinculada 2 2" xfId="628" xr:uid="{00000000-0005-0000-0000-000073020000}"/>
    <cellStyle name="Celda vinculada 3" xfId="629" xr:uid="{00000000-0005-0000-0000-000074020000}"/>
    <cellStyle name="Celda vinculada 3 2" xfId="630" xr:uid="{00000000-0005-0000-0000-000075020000}"/>
    <cellStyle name="Celda vinculada 4" xfId="631" xr:uid="{00000000-0005-0000-0000-000076020000}"/>
    <cellStyle name="Celda vinculada 4 2" xfId="632" xr:uid="{00000000-0005-0000-0000-000077020000}"/>
    <cellStyle name="Celda vinculada 5" xfId="633" xr:uid="{00000000-0005-0000-0000-000078020000}"/>
    <cellStyle name="Celda vinculada 5 2" xfId="634" xr:uid="{00000000-0005-0000-0000-000079020000}"/>
    <cellStyle name="Celda vinculada 6" xfId="635" xr:uid="{00000000-0005-0000-0000-00007A020000}"/>
    <cellStyle name="Celda vinculada 6 2" xfId="636" xr:uid="{00000000-0005-0000-0000-00007B020000}"/>
    <cellStyle name="Celda vinculada 7" xfId="637" xr:uid="{00000000-0005-0000-0000-00007C020000}"/>
    <cellStyle name="Celda vinculada 7 2" xfId="638" xr:uid="{00000000-0005-0000-0000-00007D020000}"/>
    <cellStyle name="Celda vinculada 8" xfId="639" xr:uid="{00000000-0005-0000-0000-00007E020000}"/>
    <cellStyle name="Celda vinculada 8 2" xfId="640" xr:uid="{00000000-0005-0000-0000-00007F020000}"/>
    <cellStyle name="Celda vinculada 9" xfId="641" xr:uid="{00000000-0005-0000-0000-000080020000}"/>
    <cellStyle name="Celda vinculada 9 2" xfId="642" xr:uid="{00000000-0005-0000-0000-000081020000}"/>
    <cellStyle name="Check Cell" xfId="643" xr:uid="{00000000-0005-0000-0000-000082020000}"/>
    <cellStyle name="Encabezado 1" xfId="1330" builtinId="16" customBuiltin="1"/>
    <cellStyle name="Encabezado 4" xfId="644" builtinId="19" customBuiltin="1"/>
    <cellStyle name="Encabezado 4 10" xfId="645" xr:uid="{00000000-0005-0000-0000-000084020000}"/>
    <cellStyle name="Encabezado 4 10 2" xfId="646" xr:uid="{00000000-0005-0000-0000-000085020000}"/>
    <cellStyle name="Encabezado 4 11" xfId="647" xr:uid="{00000000-0005-0000-0000-000086020000}"/>
    <cellStyle name="Encabezado 4 11 2" xfId="648" xr:uid="{00000000-0005-0000-0000-000087020000}"/>
    <cellStyle name="Encabezado 4 12" xfId="649" xr:uid="{00000000-0005-0000-0000-000088020000}"/>
    <cellStyle name="Encabezado 4 12 2" xfId="650" xr:uid="{00000000-0005-0000-0000-000089020000}"/>
    <cellStyle name="Encabezado 4 13" xfId="651" xr:uid="{00000000-0005-0000-0000-00008A020000}"/>
    <cellStyle name="Encabezado 4 13 2" xfId="652" xr:uid="{00000000-0005-0000-0000-00008B020000}"/>
    <cellStyle name="Encabezado 4 14" xfId="653" xr:uid="{00000000-0005-0000-0000-00008C020000}"/>
    <cellStyle name="Encabezado 4 14 2" xfId="654" xr:uid="{00000000-0005-0000-0000-00008D020000}"/>
    <cellStyle name="Encabezado 4 15" xfId="655" xr:uid="{00000000-0005-0000-0000-00008E020000}"/>
    <cellStyle name="Encabezado 4 2" xfId="656" xr:uid="{00000000-0005-0000-0000-00008F020000}"/>
    <cellStyle name="Encabezado 4 2 2" xfId="657" xr:uid="{00000000-0005-0000-0000-000090020000}"/>
    <cellStyle name="Encabezado 4 3" xfId="658" xr:uid="{00000000-0005-0000-0000-000091020000}"/>
    <cellStyle name="Encabezado 4 3 2" xfId="659" xr:uid="{00000000-0005-0000-0000-000092020000}"/>
    <cellStyle name="Encabezado 4 4" xfId="660" xr:uid="{00000000-0005-0000-0000-000093020000}"/>
    <cellStyle name="Encabezado 4 4 2" xfId="661" xr:uid="{00000000-0005-0000-0000-000094020000}"/>
    <cellStyle name="Encabezado 4 5" xfId="662" xr:uid="{00000000-0005-0000-0000-000095020000}"/>
    <cellStyle name="Encabezado 4 5 2" xfId="663" xr:uid="{00000000-0005-0000-0000-000096020000}"/>
    <cellStyle name="Encabezado 4 6" xfId="664" xr:uid="{00000000-0005-0000-0000-000097020000}"/>
    <cellStyle name="Encabezado 4 6 2" xfId="665" xr:uid="{00000000-0005-0000-0000-000098020000}"/>
    <cellStyle name="Encabezado 4 7" xfId="666" xr:uid="{00000000-0005-0000-0000-000099020000}"/>
    <cellStyle name="Encabezado 4 7 2" xfId="667" xr:uid="{00000000-0005-0000-0000-00009A020000}"/>
    <cellStyle name="Encabezado 4 8" xfId="668" xr:uid="{00000000-0005-0000-0000-00009B020000}"/>
    <cellStyle name="Encabezado 4 8 2" xfId="669" xr:uid="{00000000-0005-0000-0000-00009C020000}"/>
    <cellStyle name="Encabezado 4 9" xfId="670" xr:uid="{00000000-0005-0000-0000-00009D020000}"/>
    <cellStyle name="Encabezado 4 9 2" xfId="671" xr:uid="{00000000-0005-0000-0000-00009E020000}"/>
    <cellStyle name="Énfasis1" xfId="672" builtinId="29" customBuiltin="1"/>
    <cellStyle name="Énfasis1 10" xfId="673" xr:uid="{00000000-0005-0000-0000-0000A0020000}"/>
    <cellStyle name="Énfasis1 10 2" xfId="674" xr:uid="{00000000-0005-0000-0000-0000A1020000}"/>
    <cellStyle name="Énfasis1 11" xfId="675" xr:uid="{00000000-0005-0000-0000-0000A2020000}"/>
    <cellStyle name="Énfasis1 11 2" xfId="676" xr:uid="{00000000-0005-0000-0000-0000A3020000}"/>
    <cellStyle name="Énfasis1 12" xfId="677" xr:uid="{00000000-0005-0000-0000-0000A4020000}"/>
    <cellStyle name="Énfasis1 12 2" xfId="678" xr:uid="{00000000-0005-0000-0000-0000A5020000}"/>
    <cellStyle name="Énfasis1 13" xfId="679" xr:uid="{00000000-0005-0000-0000-0000A6020000}"/>
    <cellStyle name="Énfasis1 13 2" xfId="680" xr:uid="{00000000-0005-0000-0000-0000A7020000}"/>
    <cellStyle name="Énfasis1 14" xfId="681" xr:uid="{00000000-0005-0000-0000-0000A8020000}"/>
    <cellStyle name="Énfasis1 14 2" xfId="682" xr:uid="{00000000-0005-0000-0000-0000A9020000}"/>
    <cellStyle name="Énfasis1 15" xfId="683" xr:uid="{00000000-0005-0000-0000-0000AA020000}"/>
    <cellStyle name="Énfasis1 2" xfId="684" xr:uid="{00000000-0005-0000-0000-0000AB020000}"/>
    <cellStyle name="Énfasis1 2 2" xfId="685" xr:uid="{00000000-0005-0000-0000-0000AC020000}"/>
    <cellStyle name="Énfasis1 3" xfId="686" xr:uid="{00000000-0005-0000-0000-0000AD020000}"/>
    <cellStyle name="Énfasis1 3 2" xfId="687" xr:uid="{00000000-0005-0000-0000-0000AE020000}"/>
    <cellStyle name="Énfasis1 4" xfId="688" xr:uid="{00000000-0005-0000-0000-0000AF020000}"/>
    <cellStyle name="Énfasis1 4 2" xfId="689" xr:uid="{00000000-0005-0000-0000-0000B0020000}"/>
    <cellStyle name="Énfasis1 5" xfId="690" xr:uid="{00000000-0005-0000-0000-0000B1020000}"/>
    <cellStyle name="Énfasis1 5 2" xfId="691" xr:uid="{00000000-0005-0000-0000-0000B2020000}"/>
    <cellStyle name="Énfasis1 6" xfId="692" xr:uid="{00000000-0005-0000-0000-0000B3020000}"/>
    <cellStyle name="Énfasis1 6 2" xfId="693" xr:uid="{00000000-0005-0000-0000-0000B4020000}"/>
    <cellStyle name="Énfasis1 7" xfId="694" xr:uid="{00000000-0005-0000-0000-0000B5020000}"/>
    <cellStyle name="Énfasis1 7 2" xfId="695" xr:uid="{00000000-0005-0000-0000-0000B6020000}"/>
    <cellStyle name="Énfasis1 8" xfId="696" xr:uid="{00000000-0005-0000-0000-0000B7020000}"/>
    <cellStyle name="Énfasis1 8 2" xfId="697" xr:uid="{00000000-0005-0000-0000-0000B8020000}"/>
    <cellStyle name="Énfasis1 9" xfId="698" xr:uid="{00000000-0005-0000-0000-0000B9020000}"/>
    <cellStyle name="Énfasis1 9 2" xfId="699" xr:uid="{00000000-0005-0000-0000-0000BA020000}"/>
    <cellStyle name="Énfasis2" xfId="700" builtinId="33" customBuiltin="1"/>
    <cellStyle name="Énfasis2 10" xfId="701" xr:uid="{00000000-0005-0000-0000-0000BC020000}"/>
    <cellStyle name="Énfasis2 10 2" xfId="702" xr:uid="{00000000-0005-0000-0000-0000BD020000}"/>
    <cellStyle name="Énfasis2 11" xfId="703" xr:uid="{00000000-0005-0000-0000-0000BE020000}"/>
    <cellStyle name="Énfasis2 11 2" xfId="704" xr:uid="{00000000-0005-0000-0000-0000BF020000}"/>
    <cellStyle name="Énfasis2 12" xfId="705" xr:uid="{00000000-0005-0000-0000-0000C0020000}"/>
    <cellStyle name="Énfasis2 12 2" xfId="706" xr:uid="{00000000-0005-0000-0000-0000C1020000}"/>
    <cellStyle name="Énfasis2 13" xfId="707" xr:uid="{00000000-0005-0000-0000-0000C2020000}"/>
    <cellStyle name="Énfasis2 13 2" xfId="708" xr:uid="{00000000-0005-0000-0000-0000C3020000}"/>
    <cellStyle name="Énfasis2 14" xfId="709" xr:uid="{00000000-0005-0000-0000-0000C4020000}"/>
    <cellStyle name="Énfasis2 14 2" xfId="710" xr:uid="{00000000-0005-0000-0000-0000C5020000}"/>
    <cellStyle name="Énfasis2 15" xfId="711" xr:uid="{00000000-0005-0000-0000-0000C6020000}"/>
    <cellStyle name="Énfasis2 2" xfId="712" xr:uid="{00000000-0005-0000-0000-0000C7020000}"/>
    <cellStyle name="Énfasis2 2 2" xfId="713" xr:uid="{00000000-0005-0000-0000-0000C8020000}"/>
    <cellStyle name="Énfasis2 3" xfId="714" xr:uid="{00000000-0005-0000-0000-0000C9020000}"/>
    <cellStyle name="Énfasis2 3 2" xfId="715" xr:uid="{00000000-0005-0000-0000-0000CA020000}"/>
    <cellStyle name="Énfasis2 4" xfId="716" xr:uid="{00000000-0005-0000-0000-0000CB020000}"/>
    <cellStyle name="Énfasis2 4 2" xfId="717" xr:uid="{00000000-0005-0000-0000-0000CC020000}"/>
    <cellStyle name="Énfasis2 5" xfId="718" xr:uid="{00000000-0005-0000-0000-0000CD020000}"/>
    <cellStyle name="Énfasis2 5 2" xfId="719" xr:uid="{00000000-0005-0000-0000-0000CE020000}"/>
    <cellStyle name="Énfasis2 6" xfId="720" xr:uid="{00000000-0005-0000-0000-0000CF020000}"/>
    <cellStyle name="Énfasis2 6 2" xfId="721" xr:uid="{00000000-0005-0000-0000-0000D0020000}"/>
    <cellStyle name="Énfasis2 7" xfId="722" xr:uid="{00000000-0005-0000-0000-0000D1020000}"/>
    <cellStyle name="Énfasis2 7 2" xfId="723" xr:uid="{00000000-0005-0000-0000-0000D2020000}"/>
    <cellStyle name="Énfasis2 8" xfId="724" xr:uid="{00000000-0005-0000-0000-0000D3020000}"/>
    <cellStyle name="Énfasis2 8 2" xfId="725" xr:uid="{00000000-0005-0000-0000-0000D4020000}"/>
    <cellStyle name="Énfasis2 9" xfId="726" xr:uid="{00000000-0005-0000-0000-0000D5020000}"/>
    <cellStyle name="Énfasis2 9 2" xfId="727" xr:uid="{00000000-0005-0000-0000-0000D6020000}"/>
    <cellStyle name="Énfasis3" xfId="728" builtinId="37" customBuiltin="1"/>
    <cellStyle name="Énfasis3 10" xfId="729" xr:uid="{00000000-0005-0000-0000-0000D8020000}"/>
    <cellStyle name="Énfasis3 10 2" xfId="730" xr:uid="{00000000-0005-0000-0000-0000D9020000}"/>
    <cellStyle name="Énfasis3 11" xfId="731" xr:uid="{00000000-0005-0000-0000-0000DA020000}"/>
    <cellStyle name="Énfasis3 11 2" xfId="732" xr:uid="{00000000-0005-0000-0000-0000DB020000}"/>
    <cellStyle name="Énfasis3 12" xfId="733" xr:uid="{00000000-0005-0000-0000-0000DC020000}"/>
    <cellStyle name="Énfasis3 12 2" xfId="734" xr:uid="{00000000-0005-0000-0000-0000DD020000}"/>
    <cellStyle name="Énfasis3 13" xfId="735" xr:uid="{00000000-0005-0000-0000-0000DE020000}"/>
    <cellStyle name="Énfasis3 13 2" xfId="736" xr:uid="{00000000-0005-0000-0000-0000DF020000}"/>
    <cellStyle name="Énfasis3 14" xfId="737" xr:uid="{00000000-0005-0000-0000-0000E0020000}"/>
    <cellStyle name="Énfasis3 14 2" xfId="738" xr:uid="{00000000-0005-0000-0000-0000E1020000}"/>
    <cellStyle name="Énfasis3 15" xfId="739" xr:uid="{00000000-0005-0000-0000-0000E2020000}"/>
    <cellStyle name="Énfasis3 2" xfId="740" xr:uid="{00000000-0005-0000-0000-0000E3020000}"/>
    <cellStyle name="Énfasis3 2 2" xfId="741" xr:uid="{00000000-0005-0000-0000-0000E4020000}"/>
    <cellStyle name="Énfasis3 3" xfId="742" xr:uid="{00000000-0005-0000-0000-0000E5020000}"/>
    <cellStyle name="Énfasis3 3 2" xfId="743" xr:uid="{00000000-0005-0000-0000-0000E6020000}"/>
    <cellStyle name="Énfasis3 4" xfId="744" xr:uid="{00000000-0005-0000-0000-0000E7020000}"/>
    <cellStyle name="Énfasis3 4 2" xfId="745" xr:uid="{00000000-0005-0000-0000-0000E8020000}"/>
    <cellStyle name="Énfasis3 5" xfId="746" xr:uid="{00000000-0005-0000-0000-0000E9020000}"/>
    <cellStyle name="Énfasis3 5 2" xfId="747" xr:uid="{00000000-0005-0000-0000-0000EA020000}"/>
    <cellStyle name="Énfasis3 6" xfId="748" xr:uid="{00000000-0005-0000-0000-0000EB020000}"/>
    <cellStyle name="Énfasis3 6 2" xfId="749" xr:uid="{00000000-0005-0000-0000-0000EC020000}"/>
    <cellStyle name="Énfasis3 7" xfId="750" xr:uid="{00000000-0005-0000-0000-0000ED020000}"/>
    <cellStyle name="Énfasis3 7 2" xfId="751" xr:uid="{00000000-0005-0000-0000-0000EE020000}"/>
    <cellStyle name="Énfasis3 8" xfId="752" xr:uid="{00000000-0005-0000-0000-0000EF020000}"/>
    <cellStyle name="Énfasis3 8 2" xfId="753" xr:uid="{00000000-0005-0000-0000-0000F0020000}"/>
    <cellStyle name="Énfasis3 9" xfId="754" xr:uid="{00000000-0005-0000-0000-0000F1020000}"/>
    <cellStyle name="Énfasis3 9 2" xfId="755" xr:uid="{00000000-0005-0000-0000-0000F2020000}"/>
    <cellStyle name="Énfasis4" xfId="756" builtinId="41" customBuiltin="1"/>
    <cellStyle name="Énfasis4 10" xfId="757" xr:uid="{00000000-0005-0000-0000-0000F4020000}"/>
    <cellStyle name="Énfasis4 10 2" xfId="758" xr:uid="{00000000-0005-0000-0000-0000F5020000}"/>
    <cellStyle name="Énfasis4 11" xfId="759" xr:uid="{00000000-0005-0000-0000-0000F6020000}"/>
    <cellStyle name="Énfasis4 11 2" xfId="760" xr:uid="{00000000-0005-0000-0000-0000F7020000}"/>
    <cellStyle name="Énfasis4 12" xfId="761" xr:uid="{00000000-0005-0000-0000-0000F8020000}"/>
    <cellStyle name="Énfasis4 12 2" xfId="762" xr:uid="{00000000-0005-0000-0000-0000F9020000}"/>
    <cellStyle name="Énfasis4 13" xfId="763" xr:uid="{00000000-0005-0000-0000-0000FA020000}"/>
    <cellStyle name="Énfasis4 13 2" xfId="764" xr:uid="{00000000-0005-0000-0000-0000FB020000}"/>
    <cellStyle name="Énfasis4 14" xfId="765" xr:uid="{00000000-0005-0000-0000-0000FC020000}"/>
    <cellStyle name="Énfasis4 14 2" xfId="766" xr:uid="{00000000-0005-0000-0000-0000FD020000}"/>
    <cellStyle name="Énfasis4 15" xfId="767" xr:uid="{00000000-0005-0000-0000-0000FE020000}"/>
    <cellStyle name="Énfasis4 2" xfId="768" xr:uid="{00000000-0005-0000-0000-0000FF020000}"/>
    <cellStyle name="Énfasis4 2 2" xfId="769" xr:uid="{00000000-0005-0000-0000-000000030000}"/>
    <cellStyle name="Énfasis4 3" xfId="770" xr:uid="{00000000-0005-0000-0000-000001030000}"/>
    <cellStyle name="Énfasis4 3 2" xfId="771" xr:uid="{00000000-0005-0000-0000-000002030000}"/>
    <cellStyle name="Énfasis4 4" xfId="772" xr:uid="{00000000-0005-0000-0000-000003030000}"/>
    <cellStyle name="Énfasis4 4 2" xfId="773" xr:uid="{00000000-0005-0000-0000-000004030000}"/>
    <cellStyle name="Énfasis4 5" xfId="774" xr:uid="{00000000-0005-0000-0000-000005030000}"/>
    <cellStyle name="Énfasis4 5 2" xfId="775" xr:uid="{00000000-0005-0000-0000-000006030000}"/>
    <cellStyle name="Énfasis4 6" xfId="776" xr:uid="{00000000-0005-0000-0000-000007030000}"/>
    <cellStyle name="Énfasis4 6 2" xfId="777" xr:uid="{00000000-0005-0000-0000-000008030000}"/>
    <cellStyle name="Énfasis4 7" xfId="778" xr:uid="{00000000-0005-0000-0000-000009030000}"/>
    <cellStyle name="Énfasis4 7 2" xfId="779" xr:uid="{00000000-0005-0000-0000-00000A030000}"/>
    <cellStyle name="Énfasis4 8" xfId="780" xr:uid="{00000000-0005-0000-0000-00000B030000}"/>
    <cellStyle name="Énfasis4 8 2" xfId="781" xr:uid="{00000000-0005-0000-0000-00000C030000}"/>
    <cellStyle name="Énfasis4 9" xfId="782" xr:uid="{00000000-0005-0000-0000-00000D030000}"/>
    <cellStyle name="Énfasis4 9 2" xfId="783" xr:uid="{00000000-0005-0000-0000-00000E030000}"/>
    <cellStyle name="Énfasis5" xfId="784" builtinId="45" customBuiltin="1"/>
    <cellStyle name="Énfasis5 10" xfId="785" xr:uid="{00000000-0005-0000-0000-000010030000}"/>
    <cellStyle name="Énfasis5 10 2" xfId="786" xr:uid="{00000000-0005-0000-0000-000011030000}"/>
    <cellStyle name="Énfasis5 11" xfId="787" xr:uid="{00000000-0005-0000-0000-000012030000}"/>
    <cellStyle name="Énfasis5 11 2" xfId="788" xr:uid="{00000000-0005-0000-0000-000013030000}"/>
    <cellStyle name="Énfasis5 12" xfId="789" xr:uid="{00000000-0005-0000-0000-000014030000}"/>
    <cellStyle name="Énfasis5 12 2" xfId="790" xr:uid="{00000000-0005-0000-0000-000015030000}"/>
    <cellStyle name="Énfasis5 13" xfId="791" xr:uid="{00000000-0005-0000-0000-000016030000}"/>
    <cellStyle name="Énfasis5 13 2" xfId="792" xr:uid="{00000000-0005-0000-0000-000017030000}"/>
    <cellStyle name="Énfasis5 14" xfId="793" xr:uid="{00000000-0005-0000-0000-000018030000}"/>
    <cellStyle name="Énfasis5 14 2" xfId="794" xr:uid="{00000000-0005-0000-0000-000019030000}"/>
    <cellStyle name="Énfasis5 15" xfId="795" xr:uid="{00000000-0005-0000-0000-00001A030000}"/>
    <cellStyle name="Énfasis5 2" xfId="796" xr:uid="{00000000-0005-0000-0000-00001B030000}"/>
    <cellStyle name="Énfasis5 2 2" xfId="797" xr:uid="{00000000-0005-0000-0000-00001C030000}"/>
    <cellStyle name="Énfasis5 3" xfId="798" xr:uid="{00000000-0005-0000-0000-00001D030000}"/>
    <cellStyle name="Énfasis5 3 2" xfId="799" xr:uid="{00000000-0005-0000-0000-00001E030000}"/>
    <cellStyle name="Énfasis5 4" xfId="800" xr:uid="{00000000-0005-0000-0000-00001F030000}"/>
    <cellStyle name="Énfasis5 4 2" xfId="801" xr:uid="{00000000-0005-0000-0000-000020030000}"/>
    <cellStyle name="Énfasis5 5" xfId="802" xr:uid="{00000000-0005-0000-0000-000021030000}"/>
    <cellStyle name="Énfasis5 5 2" xfId="803" xr:uid="{00000000-0005-0000-0000-000022030000}"/>
    <cellStyle name="Énfasis5 6" xfId="804" xr:uid="{00000000-0005-0000-0000-000023030000}"/>
    <cellStyle name="Énfasis5 6 2" xfId="805" xr:uid="{00000000-0005-0000-0000-000024030000}"/>
    <cellStyle name="Énfasis5 7" xfId="806" xr:uid="{00000000-0005-0000-0000-000025030000}"/>
    <cellStyle name="Énfasis5 7 2" xfId="807" xr:uid="{00000000-0005-0000-0000-000026030000}"/>
    <cellStyle name="Énfasis5 8" xfId="808" xr:uid="{00000000-0005-0000-0000-000027030000}"/>
    <cellStyle name="Énfasis5 8 2" xfId="809" xr:uid="{00000000-0005-0000-0000-000028030000}"/>
    <cellStyle name="Énfasis5 9" xfId="810" xr:uid="{00000000-0005-0000-0000-000029030000}"/>
    <cellStyle name="Énfasis5 9 2" xfId="811" xr:uid="{00000000-0005-0000-0000-00002A030000}"/>
    <cellStyle name="Énfasis6" xfId="812" builtinId="49" customBuiltin="1"/>
    <cellStyle name="Énfasis6 10" xfId="813" xr:uid="{00000000-0005-0000-0000-00002C030000}"/>
    <cellStyle name="Énfasis6 10 2" xfId="814" xr:uid="{00000000-0005-0000-0000-00002D030000}"/>
    <cellStyle name="Énfasis6 11" xfId="815" xr:uid="{00000000-0005-0000-0000-00002E030000}"/>
    <cellStyle name="Énfasis6 11 2" xfId="816" xr:uid="{00000000-0005-0000-0000-00002F030000}"/>
    <cellStyle name="Énfasis6 12" xfId="817" xr:uid="{00000000-0005-0000-0000-000030030000}"/>
    <cellStyle name="Énfasis6 12 2" xfId="818" xr:uid="{00000000-0005-0000-0000-000031030000}"/>
    <cellStyle name="Énfasis6 13" xfId="819" xr:uid="{00000000-0005-0000-0000-000032030000}"/>
    <cellStyle name="Énfasis6 13 2" xfId="820" xr:uid="{00000000-0005-0000-0000-000033030000}"/>
    <cellStyle name="Énfasis6 14" xfId="821" xr:uid="{00000000-0005-0000-0000-000034030000}"/>
    <cellStyle name="Énfasis6 14 2" xfId="822" xr:uid="{00000000-0005-0000-0000-000035030000}"/>
    <cellStyle name="Énfasis6 15" xfId="823" xr:uid="{00000000-0005-0000-0000-000036030000}"/>
    <cellStyle name="Énfasis6 2" xfId="824" xr:uid="{00000000-0005-0000-0000-000037030000}"/>
    <cellStyle name="Énfasis6 2 2" xfId="825" xr:uid="{00000000-0005-0000-0000-000038030000}"/>
    <cellStyle name="Énfasis6 3" xfId="826" xr:uid="{00000000-0005-0000-0000-000039030000}"/>
    <cellStyle name="Énfasis6 3 2" xfId="827" xr:uid="{00000000-0005-0000-0000-00003A030000}"/>
    <cellStyle name="Énfasis6 4" xfId="828" xr:uid="{00000000-0005-0000-0000-00003B030000}"/>
    <cellStyle name="Énfasis6 4 2" xfId="829" xr:uid="{00000000-0005-0000-0000-00003C030000}"/>
    <cellStyle name="Énfasis6 5" xfId="830" xr:uid="{00000000-0005-0000-0000-00003D030000}"/>
    <cellStyle name="Énfasis6 5 2" xfId="831" xr:uid="{00000000-0005-0000-0000-00003E030000}"/>
    <cellStyle name="Énfasis6 6" xfId="832" xr:uid="{00000000-0005-0000-0000-00003F030000}"/>
    <cellStyle name="Énfasis6 6 2" xfId="833" xr:uid="{00000000-0005-0000-0000-000040030000}"/>
    <cellStyle name="Énfasis6 7" xfId="834" xr:uid="{00000000-0005-0000-0000-000041030000}"/>
    <cellStyle name="Énfasis6 7 2" xfId="835" xr:uid="{00000000-0005-0000-0000-000042030000}"/>
    <cellStyle name="Énfasis6 8" xfId="836" xr:uid="{00000000-0005-0000-0000-000043030000}"/>
    <cellStyle name="Énfasis6 8 2" xfId="837" xr:uid="{00000000-0005-0000-0000-000044030000}"/>
    <cellStyle name="Énfasis6 9" xfId="838" xr:uid="{00000000-0005-0000-0000-000045030000}"/>
    <cellStyle name="Énfasis6 9 2" xfId="839" xr:uid="{00000000-0005-0000-0000-000046030000}"/>
    <cellStyle name="Entrada" xfId="840" builtinId="20" customBuiltin="1"/>
    <cellStyle name="Entrada 10" xfId="841" xr:uid="{00000000-0005-0000-0000-000048030000}"/>
    <cellStyle name="Entrada 10 2" xfId="842" xr:uid="{00000000-0005-0000-0000-000049030000}"/>
    <cellStyle name="Entrada 11" xfId="843" xr:uid="{00000000-0005-0000-0000-00004A030000}"/>
    <cellStyle name="Entrada 11 2" xfId="844" xr:uid="{00000000-0005-0000-0000-00004B030000}"/>
    <cellStyle name="Entrada 12" xfId="845" xr:uid="{00000000-0005-0000-0000-00004C030000}"/>
    <cellStyle name="Entrada 12 2" xfId="846" xr:uid="{00000000-0005-0000-0000-00004D030000}"/>
    <cellStyle name="Entrada 13" xfId="847" xr:uid="{00000000-0005-0000-0000-00004E030000}"/>
    <cellStyle name="Entrada 13 2" xfId="848" xr:uid="{00000000-0005-0000-0000-00004F030000}"/>
    <cellStyle name="Entrada 14" xfId="849" xr:uid="{00000000-0005-0000-0000-000050030000}"/>
    <cellStyle name="Entrada 14 2" xfId="850" xr:uid="{00000000-0005-0000-0000-000051030000}"/>
    <cellStyle name="Entrada 15" xfId="851" xr:uid="{00000000-0005-0000-0000-000052030000}"/>
    <cellStyle name="Entrada 2" xfId="852" xr:uid="{00000000-0005-0000-0000-000053030000}"/>
    <cellStyle name="Entrada 2 2" xfId="853" xr:uid="{00000000-0005-0000-0000-000054030000}"/>
    <cellStyle name="Entrada 3" xfId="854" xr:uid="{00000000-0005-0000-0000-000055030000}"/>
    <cellStyle name="Entrada 3 2" xfId="855" xr:uid="{00000000-0005-0000-0000-000056030000}"/>
    <cellStyle name="Entrada 4" xfId="856" xr:uid="{00000000-0005-0000-0000-000057030000}"/>
    <cellStyle name="Entrada 4 2" xfId="857" xr:uid="{00000000-0005-0000-0000-000058030000}"/>
    <cellStyle name="Entrada 5" xfId="858" xr:uid="{00000000-0005-0000-0000-000059030000}"/>
    <cellStyle name="Entrada 5 2" xfId="859" xr:uid="{00000000-0005-0000-0000-00005A030000}"/>
    <cellStyle name="Entrada 6" xfId="860" xr:uid="{00000000-0005-0000-0000-00005B030000}"/>
    <cellStyle name="Entrada 6 2" xfId="861" xr:uid="{00000000-0005-0000-0000-00005C030000}"/>
    <cellStyle name="Entrada 7" xfId="862" xr:uid="{00000000-0005-0000-0000-00005D030000}"/>
    <cellStyle name="Entrada 7 2" xfId="863" xr:uid="{00000000-0005-0000-0000-00005E030000}"/>
    <cellStyle name="Entrada 8" xfId="864" xr:uid="{00000000-0005-0000-0000-00005F030000}"/>
    <cellStyle name="Entrada 8 2" xfId="865" xr:uid="{00000000-0005-0000-0000-000060030000}"/>
    <cellStyle name="Entrada 9" xfId="866" xr:uid="{00000000-0005-0000-0000-000061030000}"/>
    <cellStyle name="Entrada 9 2" xfId="867" xr:uid="{00000000-0005-0000-0000-000062030000}"/>
    <cellStyle name="Explanatory Text" xfId="868" xr:uid="{00000000-0005-0000-0000-000063030000}"/>
    <cellStyle name="Good" xfId="869" xr:uid="{00000000-0005-0000-0000-000064030000}"/>
    <cellStyle name="Heading 1" xfId="870" xr:uid="{00000000-0005-0000-0000-000065030000}"/>
    <cellStyle name="Heading 2" xfId="871" xr:uid="{00000000-0005-0000-0000-000066030000}"/>
    <cellStyle name="Heading 3" xfId="872" xr:uid="{00000000-0005-0000-0000-000067030000}"/>
    <cellStyle name="Heading 4" xfId="873" xr:uid="{00000000-0005-0000-0000-000068030000}"/>
    <cellStyle name="Hipervínculo" xfId="874" builtinId="8"/>
    <cellStyle name="Incorrecto" xfId="875" builtinId="27" customBuiltin="1"/>
    <cellStyle name="Incorrecto 10" xfId="876" xr:uid="{00000000-0005-0000-0000-00006B030000}"/>
    <cellStyle name="Incorrecto 10 2" xfId="877" xr:uid="{00000000-0005-0000-0000-00006C030000}"/>
    <cellStyle name="Incorrecto 11" xfId="878" xr:uid="{00000000-0005-0000-0000-00006D030000}"/>
    <cellStyle name="Incorrecto 11 2" xfId="879" xr:uid="{00000000-0005-0000-0000-00006E030000}"/>
    <cellStyle name="Incorrecto 12" xfId="880" xr:uid="{00000000-0005-0000-0000-00006F030000}"/>
    <cellStyle name="Incorrecto 12 2" xfId="881" xr:uid="{00000000-0005-0000-0000-000070030000}"/>
    <cellStyle name="Incorrecto 13" xfId="882" xr:uid="{00000000-0005-0000-0000-000071030000}"/>
    <cellStyle name="Incorrecto 13 2" xfId="883" xr:uid="{00000000-0005-0000-0000-000072030000}"/>
    <cellStyle name="Incorrecto 14" xfId="884" xr:uid="{00000000-0005-0000-0000-000073030000}"/>
    <cellStyle name="Incorrecto 14 2" xfId="885" xr:uid="{00000000-0005-0000-0000-000074030000}"/>
    <cellStyle name="Incorrecto 15" xfId="886" xr:uid="{00000000-0005-0000-0000-000075030000}"/>
    <cellStyle name="Incorrecto 2" xfId="887" xr:uid="{00000000-0005-0000-0000-000076030000}"/>
    <cellStyle name="Incorrecto 2 2" xfId="888" xr:uid="{00000000-0005-0000-0000-000077030000}"/>
    <cellStyle name="Incorrecto 3" xfId="889" xr:uid="{00000000-0005-0000-0000-000078030000}"/>
    <cellStyle name="Incorrecto 3 2" xfId="890" xr:uid="{00000000-0005-0000-0000-000079030000}"/>
    <cellStyle name="Incorrecto 4" xfId="891" xr:uid="{00000000-0005-0000-0000-00007A030000}"/>
    <cellStyle name="Incorrecto 4 2" xfId="892" xr:uid="{00000000-0005-0000-0000-00007B030000}"/>
    <cellStyle name="Incorrecto 5" xfId="893" xr:uid="{00000000-0005-0000-0000-00007C030000}"/>
    <cellStyle name="Incorrecto 5 2" xfId="894" xr:uid="{00000000-0005-0000-0000-00007D030000}"/>
    <cellStyle name="Incorrecto 6" xfId="895" xr:uid="{00000000-0005-0000-0000-00007E030000}"/>
    <cellStyle name="Incorrecto 6 2" xfId="896" xr:uid="{00000000-0005-0000-0000-00007F030000}"/>
    <cellStyle name="Incorrecto 7" xfId="897" xr:uid="{00000000-0005-0000-0000-000080030000}"/>
    <cellStyle name="Incorrecto 7 2" xfId="898" xr:uid="{00000000-0005-0000-0000-000081030000}"/>
    <cellStyle name="Incorrecto 8" xfId="899" xr:uid="{00000000-0005-0000-0000-000082030000}"/>
    <cellStyle name="Incorrecto 8 2" xfId="900" xr:uid="{00000000-0005-0000-0000-000083030000}"/>
    <cellStyle name="Incorrecto 9" xfId="901" xr:uid="{00000000-0005-0000-0000-000084030000}"/>
    <cellStyle name="Incorrecto 9 2" xfId="902" xr:uid="{00000000-0005-0000-0000-000085030000}"/>
    <cellStyle name="Input" xfId="903" xr:uid="{00000000-0005-0000-0000-000086030000}"/>
    <cellStyle name="Linked Cell" xfId="904" xr:uid="{00000000-0005-0000-0000-000087030000}"/>
    <cellStyle name="Millares 10" xfId="905" xr:uid="{00000000-0005-0000-0000-000088030000}"/>
    <cellStyle name="Millares 10 2" xfId="1678" xr:uid="{3FEDD7C6-6247-4CD0-9074-88631EB1EBE4}"/>
    <cellStyle name="Millares 11" xfId="906" xr:uid="{00000000-0005-0000-0000-000089030000}"/>
    <cellStyle name="Millares 11 2" xfId="1679" xr:uid="{B3C9C75C-99A6-4DD7-8BE5-283104EF74B9}"/>
    <cellStyle name="Millares 12" xfId="907" xr:uid="{00000000-0005-0000-0000-00008A030000}"/>
    <cellStyle name="Millares 12 2" xfId="1680" xr:uid="{1E6A8C67-03AD-4F7E-AD55-AC022A98800A}"/>
    <cellStyle name="Millares 13" xfId="908" xr:uid="{00000000-0005-0000-0000-00008B030000}"/>
    <cellStyle name="Millares 13 2" xfId="1681" xr:uid="{B0DD878B-2711-445C-B054-9ECC544A672F}"/>
    <cellStyle name="Millares 14" xfId="909" xr:uid="{00000000-0005-0000-0000-00008C030000}"/>
    <cellStyle name="Millares 14 2" xfId="1682" xr:uid="{79858BAF-6082-48FD-AB6D-63C1D2F89DEB}"/>
    <cellStyle name="Millares 15" xfId="910" xr:uid="{00000000-0005-0000-0000-00008D030000}"/>
    <cellStyle name="Millares 15 2" xfId="1683" xr:uid="{9396A802-6414-435B-B4BD-09355301411A}"/>
    <cellStyle name="Millares 16" xfId="911" xr:uid="{00000000-0005-0000-0000-00008E030000}"/>
    <cellStyle name="Millares 16 2" xfId="1684" xr:uid="{3F742DFD-C7C4-43E4-BBF8-9BA38C9EF768}"/>
    <cellStyle name="Millares 17" xfId="912" xr:uid="{00000000-0005-0000-0000-00008F030000}"/>
    <cellStyle name="Millares 17 2" xfId="1685" xr:uid="{6FD057C6-6C67-4A7E-99F2-FD6220052F57}"/>
    <cellStyle name="Millares 18" xfId="913" xr:uid="{00000000-0005-0000-0000-000090030000}"/>
    <cellStyle name="Millares 18 2" xfId="1686" xr:uid="{4036383D-EF62-4DE8-AEF9-A4582DA5BA4D}"/>
    <cellStyle name="Millares 19" xfId="914" xr:uid="{00000000-0005-0000-0000-000091030000}"/>
    <cellStyle name="Millares 19 2" xfId="1687" xr:uid="{D28C7C60-7C53-4521-AF0E-336499D0B5CE}"/>
    <cellStyle name="Millares 2" xfId="915" xr:uid="{00000000-0005-0000-0000-000092030000}"/>
    <cellStyle name="Millares 2 10" xfId="916" xr:uid="{00000000-0005-0000-0000-000093030000}"/>
    <cellStyle name="Millares 2 10 2" xfId="1689" xr:uid="{7122E272-9B26-48DA-AD3B-DFAC66CC3321}"/>
    <cellStyle name="Millares 2 11" xfId="917" xr:uid="{00000000-0005-0000-0000-000094030000}"/>
    <cellStyle name="Millares 2 11 2" xfId="1690" xr:uid="{47911935-D448-4894-9520-B8FBADBF879A}"/>
    <cellStyle name="Millares 2 12" xfId="918" xr:uid="{00000000-0005-0000-0000-000095030000}"/>
    <cellStyle name="Millares 2 12 2" xfId="1691" xr:uid="{28CC2A45-DDA0-4277-976D-F52F5BC2D5ED}"/>
    <cellStyle name="Millares 2 13" xfId="919" xr:uid="{00000000-0005-0000-0000-000096030000}"/>
    <cellStyle name="Millares 2 13 2" xfId="1692" xr:uid="{75E379F0-F7D1-4DF7-8A12-0D4829E705C1}"/>
    <cellStyle name="Millares 2 14" xfId="920" xr:uid="{00000000-0005-0000-0000-000097030000}"/>
    <cellStyle name="Millares 2 14 2" xfId="1693" xr:uid="{0575CF68-8547-4046-ADB7-4C82F285C375}"/>
    <cellStyle name="Millares 2 15" xfId="921" xr:uid="{00000000-0005-0000-0000-000098030000}"/>
    <cellStyle name="Millares 2 15 2" xfId="1694" xr:uid="{FBBF9338-FB44-4FC4-AC4F-7199E37BF817}"/>
    <cellStyle name="Millares 2 16" xfId="922" xr:uid="{00000000-0005-0000-0000-000099030000}"/>
    <cellStyle name="Millares 2 16 2" xfId="1695" xr:uid="{882DE0C5-B734-4EB9-985F-F4073D934D71}"/>
    <cellStyle name="Millares 2 17" xfId="923" xr:uid="{00000000-0005-0000-0000-00009A030000}"/>
    <cellStyle name="Millares 2 17 2" xfId="1696" xr:uid="{3DFB25A6-5DB3-4E7A-B572-1134AD2453F3}"/>
    <cellStyle name="Millares 2 18" xfId="924" xr:uid="{00000000-0005-0000-0000-00009B030000}"/>
    <cellStyle name="Millares 2 18 2" xfId="1697" xr:uid="{8451DA33-C6B3-4285-A15B-57988AE2CF68}"/>
    <cellStyle name="Millares 2 19" xfId="925" xr:uid="{00000000-0005-0000-0000-00009C030000}"/>
    <cellStyle name="Millares 2 19 2" xfId="1698" xr:uid="{854FE1A2-6126-4D1E-A49D-916F7BACE066}"/>
    <cellStyle name="Millares 2 2" xfId="926" xr:uid="{00000000-0005-0000-0000-00009D030000}"/>
    <cellStyle name="Millares 2 2 10" xfId="927" xr:uid="{00000000-0005-0000-0000-00009E030000}"/>
    <cellStyle name="Millares 2 2 10 2" xfId="1700" xr:uid="{1E9A3431-C807-401A-97F3-2E154F26C36B}"/>
    <cellStyle name="Millares 2 2 11" xfId="928" xr:uid="{00000000-0005-0000-0000-00009F030000}"/>
    <cellStyle name="Millares 2 2 11 2" xfId="1701" xr:uid="{C5EFBE87-C1EE-46B2-BF03-BF08EA8F2299}"/>
    <cellStyle name="Millares 2 2 12" xfId="929" xr:uid="{00000000-0005-0000-0000-0000A0030000}"/>
    <cellStyle name="Millares 2 2 12 2" xfId="1702" xr:uid="{3D9EC9BA-9AE4-467E-9B7E-63817CF43D84}"/>
    <cellStyle name="Millares 2 2 13" xfId="930" xr:uid="{00000000-0005-0000-0000-0000A1030000}"/>
    <cellStyle name="Millares 2 2 13 2" xfId="1703" xr:uid="{9BFC0514-2945-4BBE-9629-606DBBFB8161}"/>
    <cellStyle name="Millares 2 2 14" xfId="931" xr:uid="{00000000-0005-0000-0000-0000A2030000}"/>
    <cellStyle name="Millares 2 2 14 2" xfId="1704" xr:uid="{44659B12-FBC5-4A7C-B9E5-45D2CBB30B4D}"/>
    <cellStyle name="Millares 2 2 15" xfId="932" xr:uid="{00000000-0005-0000-0000-0000A3030000}"/>
    <cellStyle name="Millares 2 2 15 2" xfId="1705" xr:uid="{B5A63538-9FAA-4899-933A-6A9C0269FD2C}"/>
    <cellStyle name="Millares 2 2 16" xfId="933" xr:uid="{00000000-0005-0000-0000-0000A4030000}"/>
    <cellStyle name="Millares 2 2 16 2" xfId="1706" xr:uid="{46E1FEC2-F9E9-4AE6-8112-A32FC13F15F8}"/>
    <cellStyle name="Millares 2 2 17" xfId="934" xr:uid="{00000000-0005-0000-0000-0000A5030000}"/>
    <cellStyle name="Millares 2 2 17 2" xfId="1707" xr:uid="{972C0F10-8056-4001-B96F-14F13EC80FEA}"/>
    <cellStyle name="Millares 2 2 18" xfId="935" xr:uid="{00000000-0005-0000-0000-0000A6030000}"/>
    <cellStyle name="Millares 2 2 18 2" xfId="1708" xr:uid="{E9E4357D-DF12-43A8-8DE1-D50FF92D87E2}"/>
    <cellStyle name="Millares 2 2 19" xfId="936" xr:uid="{00000000-0005-0000-0000-0000A7030000}"/>
    <cellStyle name="Millares 2 2 19 2" xfId="1709" xr:uid="{7319DCA8-C908-41E5-8DE9-E99183CE29C8}"/>
    <cellStyle name="Millares 2 2 2" xfId="937" xr:uid="{00000000-0005-0000-0000-0000A8030000}"/>
    <cellStyle name="Millares 2 2 2 2" xfId="1710" xr:uid="{7BF85920-2981-4047-9304-FB70322F638B}"/>
    <cellStyle name="Millares 2 2 20" xfId="938" xr:uid="{00000000-0005-0000-0000-0000A9030000}"/>
    <cellStyle name="Millares 2 2 20 2" xfId="1711" xr:uid="{63A348D6-3037-41A2-9A0E-8184E7C648FB}"/>
    <cellStyle name="Millares 2 2 21" xfId="939" xr:uid="{00000000-0005-0000-0000-0000AA030000}"/>
    <cellStyle name="Millares 2 2 21 2" xfId="1712" xr:uid="{BE9BB77D-3CA1-4079-AA55-039260B8C1A5}"/>
    <cellStyle name="Millares 2 2 22" xfId="940" xr:uid="{00000000-0005-0000-0000-0000AB030000}"/>
    <cellStyle name="Millares 2 2 22 2" xfId="1713" xr:uid="{7D2F90C3-2673-41F8-87FF-02FA73B3DE0D}"/>
    <cellStyle name="Millares 2 2 23" xfId="1699" xr:uid="{2053D1CC-535C-4AE9-9060-19E171951C95}"/>
    <cellStyle name="Millares 2 2 3" xfId="941" xr:uid="{00000000-0005-0000-0000-0000AC030000}"/>
    <cellStyle name="Millares 2 2 3 2" xfId="1714" xr:uid="{026CC9DB-979D-4561-A72F-706DCD416ACF}"/>
    <cellStyle name="Millares 2 2 4" xfId="942" xr:uid="{00000000-0005-0000-0000-0000AD030000}"/>
    <cellStyle name="Millares 2 2 4 2" xfId="1715" xr:uid="{3F3A6013-5736-420F-9CF7-A2707EB1BA2C}"/>
    <cellStyle name="Millares 2 2 5" xfId="943" xr:uid="{00000000-0005-0000-0000-0000AE030000}"/>
    <cellStyle name="Millares 2 2 5 2" xfId="1716" xr:uid="{72260D8B-CB62-4140-ACD0-462DBF8CA251}"/>
    <cellStyle name="Millares 2 2 6" xfId="944" xr:uid="{00000000-0005-0000-0000-0000AF030000}"/>
    <cellStyle name="Millares 2 2 6 2" xfId="1717" xr:uid="{39181B64-864A-4EEA-AF5D-493DD2A23557}"/>
    <cellStyle name="Millares 2 2 7" xfId="945" xr:uid="{00000000-0005-0000-0000-0000B0030000}"/>
    <cellStyle name="Millares 2 2 7 2" xfId="1718" xr:uid="{72DFB8D7-D327-4598-AA77-7CC122D67CBD}"/>
    <cellStyle name="Millares 2 2 8" xfId="946" xr:uid="{00000000-0005-0000-0000-0000B1030000}"/>
    <cellStyle name="Millares 2 2 8 2" xfId="1719" xr:uid="{1E232EAD-34B9-4D35-808E-14B6D6C407F6}"/>
    <cellStyle name="Millares 2 2 9" xfId="947" xr:uid="{00000000-0005-0000-0000-0000B2030000}"/>
    <cellStyle name="Millares 2 2 9 2" xfId="1720" xr:uid="{0B7C75A8-A0A7-4711-9CED-1A764C99F693}"/>
    <cellStyle name="Millares 2 20" xfId="948" xr:uid="{00000000-0005-0000-0000-0000B3030000}"/>
    <cellStyle name="Millares 2 20 2" xfId="1721" xr:uid="{0CCF4033-7EB8-49F2-8DE9-F8B3E3755C93}"/>
    <cellStyle name="Millares 2 21" xfId="949" xr:uid="{00000000-0005-0000-0000-0000B4030000}"/>
    <cellStyle name="Millares 2 21 2" xfId="1722" xr:uid="{A7889E47-8B8A-4FA0-A8F3-EED3303BAD07}"/>
    <cellStyle name="Millares 2 22" xfId="950" xr:uid="{00000000-0005-0000-0000-0000B5030000}"/>
    <cellStyle name="Millares 2 22 2" xfId="1723" xr:uid="{B6A1B992-10B6-4B7C-95A1-B583DFC37233}"/>
    <cellStyle name="Millares 2 23" xfId="951" xr:uid="{00000000-0005-0000-0000-0000B6030000}"/>
    <cellStyle name="Millares 2 23 2" xfId="1724" xr:uid="{F1C20E8A-B04E-48E0-9DE6-2BA0F82EBBD6}"/>
    <cellStyle name="Millares 2 24" xfId="1688" xr:uid="{07E7CD29-E204-4777-90CF-7125567119DF}"/>
    <cellStyle name="Millares 2 3" xfId="952" xr:uid="{00000000-0005-0000-0000-0000B7030000}"/>
    <cellStyle name="Millares 2 3 2" xfId="1725" xr:uid="{812F3801-DE3D-4C12-A0AB-E55B3D66AA55}"/>
    <cellStyle name="Millares 2 4" xfId="953" xr:uid="{00000000-0005-0000-0000-0000B8030000}"/>
    <cellStyle name="Millares 2 4 2" xfId="1726" xr:uid="{DD49171A-7D6E-4B07-A92F-7F7245A93043}"/>
    <cellStyle name="Millares 2 5" xfId="954" xr:uid="{00000000-0005-0000-0000-0000B9030000}"/>
    <cellStyle name="Millares 2 5 2" xfId="1727" xr:uid="{EA249282-4CB6-4276-BFFA-15DEA93C69A4}"/>
    <cellStyle name="Millares 2 6" xfId="955" xr:uid="{00000000-0005-0000-0000-0000BA030000}"/>
    <cellStyle name="Millares 2 6 2" xfId="1728" xr:uid="{23ED6EE8-E3B7-4A30-8662-7F0AFFDEAACA}"/>
    <cellStyle name="Millares 2 7" xfId="956" xr:uid="{00000000-0005-0000-0000-0000BB030000}"/>
    <cellStyle name="Millares 2 7 2" xfId="1729" xr:uid="{2AE2C719-7AAF-4D9B-ABDE-EDA76BA7A8DE}"/>
    <cellStyle name="Millares 2 8" xfId="957" xr:uid="{00000000-0005-0000-0000-0000BC030000}"/>
    <cellStyle name="Millares 2 8 2" xfId="1730" xr:uid="{E89AC75E-525E-4A15-AE10-637A865DEB76}"/>
    <cellStyle name="Millares 2 9" xfId="958" xr:uid="{00000000-0005-0000-0000-0000BD030000}"/>
    <cellStyle name="Millares 2 9 2" xfId="1731" xr:uid="{53932F56-5792-4418-B200-2A1BE8C07CB3}"/>
    <cellStyle name="Millares 20" xfId="959" xr:uid="{00000000-0005-0000-0000-0000BE030000}"/>
    <cellStyle name="Millares 20 2" xfId="1732" xr:uid="{8FDE02CB-2E76-4DA3-94EA-89B658882C39}"/>
    <cellStyle name="Millares 21" xfId="960" xr:uid="{00000000-0005-0000-0000-0000BF030000}"/>
    <cellStyle name="Millares 21 2" xfId="1733" xr:uid="{0DF0B791-DC1C-41F9-B9D8-5986253C574A}"/>
    <cellStyle name="Millares 22" xfId="961" xr:uid="{00000000-0005-0000-0000-0000C0030000}"/>
    <cellStyle name="Millares 22 2" xfId="1734" xr:uid="{59E10761-E8A7-422E-91DA-CE7170B06D11}"/>
    <cellStyle name="Millares 23" xfId="962" xr:uid="{00000000-0005-0000-0000-0000C1030000}"/>
    <cellStyle name="Millares 23 2" xfId="1735" xr:uid="{A9A6EE0A-1850-4564-A951-BE3388D3C36C}"/>
    <cellStyle name="Millares 24" xfId="963" xr:uid="{00000000-0005-0000-0000-0000C2030000}"/>
    <cellStyle name="Millares 24 2" xfId="1736" xr:uid="{169B6717-A724-414C-9F1D-A3D72F1D9636}"/>
    <cellStyle name="Millares 25" xfId="964" xr:uid="{00000000-0005-0000-0000-0000C3030000}"/>
    <cellStyle name="Millares 25 2" xfId="1737" xr:uid="{4B8F3B63-1F0D-47F1-86D5-FBD4B2135CFC}"/>
    <cellStyle name="Millares 3" xfId="965" xr:uid="{00000000-0005-0000-0000-0000C4030000}"/>
    <cellStyle name="Millares 3 10" xfId="966" xr:uid="{00000000-0005-0000-0000-0000C5030000}"/>
    <cellStyle name="Millares 3 10 2" xfId="1739" xr:uid="{5E090E2F-AA81-4BC2-9E96-689D684EC2FC}"/>
    <cellStyle name="Millares 3 11" xfId="967" xr:uid="{00000000-0005-0000-0000-0000C6030000}"/>
    <cellStyle name="Millares 3 11 2" xfId="1740" xr:uid="{0CD9BF78-9F47-42FC-A710-180591735B6A}"/>
    <cellStyle name="Millares 3 12" xfId="968" xr:uid="{00000000-0005-0000-0000-0000C7030000}"/>
    <cellStyle name="Millares 3 12 2" xfId="1741" xr:uid="{08697B35-C271-42A7-9226-019E2CE87131}"/>
    <cellStyle name="Millares 3 13" xfId="969" xr:uid="{00000000-0005-0000-0000-0000C8030000}"/>
    <cellStyle name="Millares 3 13 2" xfId="1742" xr:uid="{945E97E7-459C-44BC-B7E1-0F2971226757}"/>
    <cellStyle name="Millares 3 14" xfId="970" xr:uid="{00000000-0005-0000-0000-0000C9030000}"/>
    <cellStyle name="Millares 3 14 2" xfId="1743" xr:uid="{2024D6CD-FEC6-4FEF-8D86-B7F4F7DB8EF8}"/>
    <cellStyle name="Millares 3 15" xfId="971" xr:uid="{00000000-0005-0000-0000-0000CA030000}"/>
    <cellStyle name="Millares 3 15 2" xfId="1744" xr:uid="{1F2305C4-315D-47AE-83AA-08365ECF6FB6}"/>
    <cellStyle name="Millares 3 16" xfId="972" xr:uid="{00000000-0005-0000-0000-0000CB030000}"/>
    <cellStyle name="Millares 3 16 2" xfId="1745" xr:uid="{F90A68B0-8CBD-4F16-BA99-454FD1A559A1}"/>
    <cellStyle name="Millares 3 17" xfId="973" xr:uid="{00000000-0005-0000-0000-0000CC030000}"/>
    <cellStyle name="Millares 3 17 2" xfId="1746" xr:uid="{30738DE6-8341-4003-B2AE-33774002C79F}"/>
    <cellStyle name="Millares 3 18" xfId="974" xr:uid="{00000000-0005-0000-0000-0000CD030000}"/>
    <cellStyle name="Millares 3 18 2" xfId="1747" xr:uid="{41177A82-72A8-4D67-85EB-9599166AF76B}"/>
    <cellStyle name="Millares 3 19" xfId="975" xr:uid="{00000000-0005-0000-0000-0000CE030000}"/>
    <cellStyle name="Millares 3 19 2" xfId="1748" xr:uid="{C6C22782-66F2-46A3-9D15-1848A7CA58B3}"/>
    <cellStyle name="Millares 3 2" xfId="976" xr:uid="{00000000-0005-0000-0000-0000CF030000}"/>
    <cellStyle name="Millares 3 2 2" xfId="1749" xr:uid="{9911DA72-2080-4E69-8D26-E807E9D244EE}"/>
    <cellStyle name="Millares 3 20" xfId="977" xr:uid="{00000000-0005-0000-0000-0000D0030000}"/>
    <cellStyle name="Millares 3 20 2" xfId="1750" xr:uid="{4ABDE7DF-2961-4509-96B9-F34247C0E0CB}"/>
    <cellStyle name="Millares 3 21" xfId="978" xr:uid="{00000000-0005-0000-0000-0000D1030000}"/>
    <cellStyle name="Millares 3 21 2" xfId="1751" xr:uid="{CEF35F44-3015-423A-B8A2-750D7077D98C}"/>
    <cellStyle name="Millares 3 22" xfId="979" xr:uid="{00000000-0005-0000-0000-0000D2030000}"/>
    <cellStyle name="Millares 3 22 2" xfId="1752" xr:uid="{773BE866-C173-4ACD-AFEE-F888F3C9FD26}"/>
    <cellStyle name="Millares 3 23" xfId="1738" xr:uid="{87149B8C-79F8-4986-ADD7-168B48F6DF46}"/>
    <cellStyle name="Millares 3 3" xfId="980" xr:uid="{00000000-0005-0000-0000-0000D3030000}"/>
    <cellStyle name="Millares 3 3 2" xfId="1753" xr:uid="{C3B5B940-C954-41A4-9DC6-4B84C205B51A}"/>
    <cellStyle name="Millares 3 4" xfId="981" xr:uid="{00000000-0005-0000-0000-0000D4030000}"/>
    <cellStyle name="Millares 3 4 2" xfId="1754" xr:uid="{B60EA033-3581-4ABA-8974-D58F64B212FB}"/>
    <cellStyle name="Millares 3 5" xfId="982" xr:uid="{00000000-0005-0000-0000-0000D5030000}"/>
    <cellStyle name="Millares 3 5 2" xfId="1755" xr:uid="{C56B28DB-8C4F-4F8B-AD86-9EFAC0F0146D}"/>
    <cellStyle name="Millares 3 6" xfId="983" xr:uid="{00000000-0005-0000-0000-0000D6030000}"/>
    <cellStyle name="Millares 3 6 2" xfId="1756" xr:uid="{AC41ED88-F1CB-4C97-853F-5A8AFBE87D29}"/>
    <cellStyle name="Millares 3 7" xfId="984" xr:uid="{00000000-0005-0000-0000-0000D7030000}"/>
    <cellStyle name="Millares 3 7 2" xfId="1757" xr:uid="{C5CBE104-9DF1-4079-8662-C2D94CF82440}"/>
    <cellStyle name="Millares 3 8" xfId="985" xr:uid="{00000000-0005-0000-0000-0000D8030000}"/>
    <cellStyle name="Millares 3 8 2" xfId="1758" xr:uid="{80BFC83B-DBF4-479F-83F1-21F9E1AADB87}"/>
    <cellStyle name="Millares 3 9" xfId="986" xr:uid="{00000000-0005-0000-0000-0000D9030000}"/>
    <cellStyle name="Millares 3 9 2" xfId="1759" xr:uid="{ADDCE13E-782E-44EA-9EED-B99B04727B3C}"/>
    <cellStyle name="Millares 4" xfId="987" xr:uid="{00000000-0005-0000-0000-0000DA030000}"/>
    <cellStyle name="Millares 4 2" xfId="1760" xr:uid="{26DAF265-9329-4700-8FF0-F875ACA7C8FD}"/>
    <cellStyle name="Millares 5" xfId="988" xr:uid="{00000000-0005-0000-0000-0000DB030000}"/>
    <cellStyle name="Millares 5 2" xfId="1761" xr:uid="{96AB7C90-7B8C-4FEC-8A5E-154B907B2880}"/>
    <cellStyle name="Millares 6" xfId="989" xr:uid="{00000000-0005-0000-0000-0000DC030000}"/>
    <cellStyle name="Millares 6 2" xfId="1762" xr:uid="{98EB0555-EF60-4829-9EC4-341ED19D2DD4}"/>
    <cellStyle name="Millares 7" xfId="990" xr:uid="{00000000-0005-0000-0000-0000DD030000}"/>
    <cellStyle name="Millares 7 2" xfId="1763" xr:uid="{D0EA9ED2-403D-4322-9B23-9FE44E98DAF3}"/>
    <cellStyle name="Millares 8" xfId="991" xr:uid="{00000000-0005-0000-0000-0000DE030000}"/>
    <cellStyle name="Millares 8 2" xfId="1764" xr:uid="{81AA9B1D-6366-4721-9EA2-B3CE9377D179}"/>
    <cellStyle name="Millares 9" xfId="992" xr:uid="{00000000-0005-0000-0000-0000DF030000}"/>
    <cellStyle name="Millares 9 2" xfId="1765" xr:uid="{11077097-1A3B-42AD-8AAE-441F451EE085}"/>
    <cellStyle name="Moneda" xfId="1329" builtinId="4"/>
    <cellStyle name="Moneda 2" xfId="993" xr:uid="{00000000-0005-0000-0000-0000E0030000}"/>
    <cellStyle name="Moneda 2 2" xfId="1766" xr:uid="{DA71438E-5B94-41CE-830D-06525C213DE8}"/>
    <cellStyle name="Moneda 3" xfId="1771" xr:uid="{6F6F91CA-763F-4515-A07B-F85075C922A6}"/>
    <cellStyle name="Neutral" xfId="994" builtinId="28" customBuiltin="1"/>
    <cellStyle name="Neutral 10" xfId="995" xr:uid="{00000000-0005-0000-0000-0000E2030000}"/>
    <cellStyle name="Neutral 10 2" xfId="996" xr:uid="{00000000-0005-0000-0000-0000E3030000}"/>
    <cellStyle name="Neutral 11" xfId="997" xr:uid="{00000000-0005-0000-0000-0000E4030000}"/>
    <cellStyle name="Neutral 11 2" xfId="998" xr:uid="{00000000-0005-0000-0000-0000E5030000}"/>
    <cellStyle name="Neutral 12" xfId="999" xr:uid="{00000000-0005-0000-0000-0000E6030000}"/>
    <cellStyle name="Neutral 12 2" xfId="1000" xr:uid="{00000000-0005-0000-0000-0000E7030000}"/>
    <cellStyle name="Neutral 13" xfId="1001" xr:uid="{00000000-0005-0000-0000-0000E8030000}"/>
    <cellStyle name="Neutral 13 2" xfId="1002" xr:uid="{00000000-0005-0000-0000-0000E9030000}"/>
    <cellStyle name="Neutral 14" xfId="1003" xr:uid="{00000000-0005-0000-0000-0000EA030000}"/>
    <cellStyle name="Neutral 14 2" xfId="1004" xr:uid="{00000000-0005-0000-0000-0000EB030000}"/>
    <cellStyle name="Neutral 15" xfId="1005" xr:uid="{00000000-0005-0000-0000-0000EC030000}"/>
    <cellStyle name="Neutral 16" xfId="1334" xr:uid="{A5B92997-38CC-4BDD-AC06-30E29D7C8DC5}"/>
    <cellStyle name="Neutral 2" xfId="1006" xr:uid="{00000000-0005-0000-0000-0000ED030000}"/>
    <cellStyle name="Neutral 2 2" xfId="1007" xr:uid="{00000000-0005-0000-0000-0000EE030000}"/>
    <cellStyle name="Neutral 3" xfId="1008" xr:uid="{00000000-0005-0000-0000-0000EF030000}"/>
    <cellStyle name="Neutral 3 2" xfId="1009" xr:uid="{00000000-0005-0000-0000-0000F0030000}"/>
    <cellStyle name="Neutral 4" xfId="1010" xr:uid="{00000000-0005-0000-0000-0000F1030000}"/>
    <cellStyle name="Neutral 4 2" xfId="1011" xr:uid="{00000000-0005-0000-0000-0000F2030000}"/>
    <cellStyle name="Neutral 5" xfId="1012" xr:uid="{00000000-0005-0000-0000-0000F3030000}"/>
    <cellStyle name="Neutral 5 2" xfId="1013" xr:uid="{00000000-0005-0000-0000-0000F4030000}"/>
    <cellStyle name="Neutral 6" xfId="1014" xr:uid="{00000000-0005-0000-0000-0000F5030000}"/>
    <cellStyle name="Neutral 6 2" xfId="1015" xr:uid="{00000000-0005-0000-0000-0000F6030000}"/>
    <cellStyle name="Neutral 7" xfId="1016" xr:uid="{00000000-0005-0000-0000-0000F7030000}"/>
    <cellStyle name="Neutral 7 2" xfId="1017" xr:uid="{00000000-0005-0000-0000-0000F8030000}"/>
    <cellStyle name="Neutral 8" xfId="1018" xr:uid="{00000000-0005-0000-0000-0000F9030000}"/>
    <cellStyle name="Neutral 8 2" xfId="1019" xr:uid="{00000000-0005-0000-0000-0000FA030000}"/>
    <cellStyle name="Neutral 9" xfId="1020" xr:uid="{00000000-0005-0000-0000-0000FB030000}"/>
    <cellStyle name="Neutral 9 2" xfId="1021" xr:uid="{00000000-0005-0000-0000-0000FC030000}"/>
    <cellStyle name="Normal" xfId="0" builtinId="0"/>
    <cellStyle name="Normal 2" xfId="1324" xr:uid="{00000000-0005-0000-0000-0000FE030000}"/>
    <cellStyle name="Normal 2 10" xfId="1022" xr:uid="{00000000-0005-0000-0000-0000FF030000}"/>
    <cellStyle name="Normal 2 10 2" xfId="1023" xr:uid="{00000000-0005-0000-0000-000000040000}"/>
    <cellStyle name="Normal 2 11" xfId="1024" xr:uid="{00000000-0005-0000-0000-000001040000}"/>
    <cellStyle name="Normal 2 11 2" xfId="1025" xr:uid="{00000000-0005-0000-0000-000002040000}"/>
    <cellStyle name="Normal 2 12" xfId="1026" xr:uid="{00000000-0005-0000-0000-000003040000}"/>
    <cellStyle name="Normal 2 12 2" xfId="1027" xr:uid="{00000000-0005-0000-0000-000004040000}"/>
    <cellStyle name="Normal 2 13" xfId="1028" xr:uid="{00000000-0005-0000-0000-000005040000}"/>
    <cellStyle name="Normal 2 13 2" xfId="1029" xr:uid="{00000000-0005-0000-0000-000006040000}"/>
    <cellStyle name="Normal 2 14" xfId="1030" xr:uid="{00000000-0005-0000-0000-000007040000}"/>
    <cellStyle name="Normal 2 14 2" xfId="1031" xr:uid="{00000000-0005-0000-0000-000008040000}"/>
    <cellStyle name="Normal 2 15" xfId="1032" xr:uid="{00000000-0005-0000-0000-000009040000}"/>
    <cellStyle name="Normal 2 15 2" xfId="1033" xr:uid="{00000000-0005-0000-0000-00000A040000}"/>
    <cellStyle name="Normal 2 16" xfId="1034" xr:uid="{00000000-0005-0000-0000-00000B040000}"/>
    <cellStyle name="Normal 2 16 2" xfId="1035" xr:uid="{00000000-0005-0000-0000-00000C040000}"/>
    <cellStyle name="Normal 2 17" xfId="1036" xr:uid="{00000000-0005-0000-0000-00000D040000}"/>
    <cellStyle name="Normal 2 17 2" xfId="1037" xr:uid="{00000000-0005-0000-0000-00000E040000}"/>
    <cellStyle name="Normal 2 18" xfId="1038" xr:uid="{00000000-0005-0000-0000-00000F040000}"/>
    <cellStyle name="Normal 2 18 2" xfId="1039" xr:uid="{00000000-0005-0000-0000-000010040000}"/>
    <cellStyle name="Normal 2 19" xfId="1040" xr:uid="{00000000-0005-0000-0000-000011040000}"/>
    <cellStyle name="Normal 2 19 2" xfId="1041" xr:uid="{00000000-0005-0000-0000-000012040000}"/>
    <cellStyle name="Normal 2 2" xfId="1042" xr:uid="{00000000-0005-0000-0000-000013040000}"/>
    <cellStyle name="Normal 2 2 2" xfId="1043" xr:uid="{00000000-0005-0000-0000-000014040000}"/>
    <cellStyle name="Normal 2 20" xfId="1044" xr:uid="{00000000-0005-0000-0000-000015040000}"/>
    <cellStyle name="Normal 2 20 2" xfId="1045" xr:uid="{00000000-0005-0000-0000-000016040000}"/>
    <cellStyle name="Normal 2 21" xfId="1046" xr:uid="{00000000-0005-0000-0000-000017040000}"/>
    <cellStyle name="Normal 2 21 2" xfId="1047" xr:uid="{00000000-0005-0000-0000-000018040000}"/>
    <cellStyle name="Normal 2 22" xfId="1048" xr:uid="{00000000-0005-0000-0000-000019040000}"/>
    <cellStyle name="Normal 2 22 2" xfId="1049" xr:uid="{00000000-0005-0000-0000-00001A040000}"/>
    <cellStyle name="Normal 2 23" xfId="1050" xr:uid="{00000000-0005-0000-0000-00001B040000}"/>
    <cellStyle name="Normal 2 23 2" xfId="1051" xr:uid="{00000000-0005-0000-0000-00001C040000}"/>
    <cellStyle name="Normal 2 24" xfId="1327" xr:uid="{8051C9A7-0B48-4F05-8A06-579A0A5AA449}"/>
    <cellStyle name="Normal 2 25" xfId="1795" xr:uid="{B86B9DD9-28F9-4436-BED9-1304B533D3C4}"/>
    <cellStyle name="Normal 2 3" xfId="1052" xr:uid="{00000000-0005-0000-0000-00001D040000}"/>
    <cellStyle name="Normal 2 3 2" xfId="1053" xr:uid="{00000000-0005-0000-0000-00001E040000}"/>
    <cellStyle name="Normal 2 4" xfId="1054" xr:uid="{00000000-0005-0000-0000-00001F040000}"/>
    <cellStyle name="Normal 2 4 2" xfId="1055" xr:uid="{00000000-0005-0000-0000-000020040000}"/>
    <cellStyle name="Normal 2 5" xfId="1056" xr:uid="{00000000-0005-0000-0000-000021040000}"/>
    <cellStyle name="Normal 2 5 2" xfId="1057" xr:uid="{00000000-0005-0000-0000-000022040000}"/>
    <cellStyle name="Normal 2 6" xfId="1058" xr:uid="{00000000-0005-0000-0000-000023040000}"/>
    <cellStyle name="Normal 2 6 2" xfId="1059" xr:uid="{00000000-0005-0000-0000-000024040000}"/>
    <cellStyle name="Normal 2 7" xfId="1060" xr:uid="{00000000-0005-0000-0000-000025040000}"/>
    <cellStyle name="Normal 2 8" xfId="1061" xr:uid="{00000000-0005-0000-0000-000026040000}"/>
    <cellStyle name="Normal 2 8 2" xfId="1062" xr:uid="{00000000-0005-0000-0000-000027040000}"/>
    <cellStyle name="Normal 2 9" xfId="1063" xr:uid="{00000000-0005-0000-0000-000028040000}"/>
    <cellStyle name="Normal 2 9 2" xfId="1064" xr:uid="{00000000-0005-0000-0000-000029040000}"/>
    <cellStyle name="Normal 216" xfId="1065" xr:uid="{00000000-0005-0000-0000-00002A040000}"/>
    <cellStyle name="Normal 234" xfId="1066" xr:uid="{00000000-0005-0000-0000-00002B040000}"/>
    <cellStyle name="Normal 235" xfId="1067" xr:uid="{00000000-0005-0000-0000-00002C040000}"/>
    <cellStyle name="Normal 235 2" xfId="1767" xr:uid="{C752F208-9A8C-4C5C-9FFF-F71CC94394CA}"/>
    <cellStyle name="Normal 236" xfId="1068" xr:uid="{00000000-0005-0000-0000-00002D040000}"/>
    <cellStyle name="Normal 236 2" xfId="1069" xr:uid="{00000000-0005-0000-0000-00002E040000}"/>
    <cellStyle name="Normal 237" xfId="1070" xr:uid="{00000000-0005-0000-0000-00002F040000}"/>
    <cellStyle name="Normal 237 2" xfId="1071" xr:uid="{00000000-0005-0000-0000-000030040000}"/>
    <cellStyle name="Normal 238" xfId="1072" xr:uid="{00000000-0005-0000-0000-000031040000}"/>
    <cellStyle name="Normal 238 2" xfId="1073" xr:uid="{00000000-0005-0000-0000-000032040000}"/>
    <cellStyle name="Normal 239" xfId="1074" xr:uid="{00000000-0005-0000-0000-000033040000}"/>
    <cellStyle name="Normal 239 2" xfId="1075" xr:uid="{00000000-0005-0000-0000-000034040000}"/>
    <cellStyle name="Normal 240" xfId="1076" xr:uid="{00000000-0005-0000-0000-000035040000}"/>
    <cellStyle name="Normal 240 2" xfId="1077" xr:uid="{00000000-0005-0000-0000-000036040000}"/>
    <cellStyle name="Normal 241" xfId="1078" xr:uid="{00000000-0005-0000-0000-000037040000}"/>
    <cellStyle name="Normal 241 2" xfId="1768" xr:uid="{9A44BA96-B6CE-4295-9EB7-0448F28AA9CB}"/>
    <cellStyle name="Normal 3" xfId="1325" xr:uid="{00000000-0005-0000-0000-000038040000}"/>
    <cellStyle name="Normal 3 2" xfId="1079" xr:uid="{00000000-0005-0000-0000-000039040000}"/>
    <cellStyle name="Normal 3 3" xfId="1328" xr:uid="{E116C934-EE54-41DB-A558-08A9B45383B9}"/>
    <cellStyle name="Normal 4" xfId="1326" xr:uid="{BD65CAE5-B7FC-49E3-8D20-389A800B51B4}"/>
    <cellStyle name="Normal 4 2" xfId="1080" xr:uid="{00000000-0005-0000-0000-00003A040000}"/>
    <cellStyle name="Normal 4 3" xfId="1081" xr:uid="{00000000-0005-0000-0000-00003B040000}"/>
    <cellStyle name="Normal 4 3 2" xfId="1082" xr:uid="{00000000-0005-0000-0000-00003C040000}"/>
    <cellStyle name="Normal 4 4" xfId="1770" xr:uid="{09156FFF-699F-4740-9B99-7546DE3D7181}"/>
    <cellStyle name="Normal 5" xfId="1331" xr:uid="{AB5E477C-35AE-4526-9E20-24AA06411DD4}"/>
    <cellStyle name="Normal 5 2" xfId="1083" xr:uid="{00000000-0005-0000-0000-00003D040000}"/>
    <cellStyle name="Normal 5 3" xfId="1772" xr:uid="{2FACB3E9-DC90-475A-90CA-9780793F65EF}"/>
    <cellStyle name="Normal 6" xfId="1792" xr:uid="{DFD56817-BF9D-47A1-954B-D5F5F792F2B3}"/>
    <cellStyle name="Normal 6 2" xfId="1084" xr:uid="{00000000-0005-0000-0000-00003E040000}"/>
    <cellStyle name="Normal 7" xfId="1793" xr:uid="{3438BFA3-655F-4CB3-BA2E-79315120E349}"/>
    <cellStyle name="Normal 7 2" xfId="1085" xr:uid="{00000000-0005-0000-0000-00003F040000}"/>
    <cellStyle name="Normal 8" xfId="1794" xr:uid="{D8ADCF23-CF86-4F69-957F-190AFB7FD27B}"/>
    <cellStyle name="Normal 8 2" xfId="1086" xr:uid="{00000000-0005-0000-0000-000040040000}"/>
    <cellStyle name="Normal 9" xfId="1796" xr:uid="{60DCE765-69D0-4FB9-AE43-89433169D073}"/>
    <cellStyle name="Normal 9 2" xfId="1087" xr:uid="{00000000-0005-0000-0000-000041040000}"/>
    <cellStyle name="Normal 9 2 2" xfId="1769" xr:uid="{EFB3540F-1019-4EA3-9310-BD246CC32819}"/>
    <cellStyle name="Notas 10" xfId="1088" xr:uid="{00000000-0005-0000-0000-000042040000}"/>
    <cellStyle name="Notas 10 2" xfId="1089" xr:uid="{00000000-0005-0000-0000-000043040000}"/>
    <cellStyle name="Notas 11" xfId="1090" xr:uid="{00000000-0005-0000-0000-000044040000}"/>
    <cellStyle name="Notas 11 2" xfId="1091" xr:uid="{00000000-0005-0000-0000-000045040000}"/>
    <cellStyle name="Notas 12" xfId="1092" xr:uid="{00000000-0005-0000-0000-000046040000}"/>
    <cellStyle name="Notas 12 2" xfId="1093" xr:uid="{00000000-0005-0000-0000-000047040000}"/>
    <cellStyle name="Notas 13" xfId="1094" xr:uid="{00000000-0005-0000-0000-000048040000}"/>
    <cellStyle name="Notas 13 2" xfId="1095" xr:uid="{00000000-0005-0000-0000-000049040000}"/>
    <cellStyle name="Notas 14" xfId="1096" xr:uid="{00000000-0005-0000-0000-00004A040000}"/>
    <cellStyle name="Notas 14 2" xfId="1097" xr:uid="{00000000-0005-0000-0000-00004B040000}"/>
    <cellStyle name="Notas 15" xfId="1098" xr:uid="{00000000-0005-0000-0000-00004C040000}"/>
    <cellStyle name="Notas 15 2" xfId="1099" xr:uid="{00000000-0005-0000-0000-00004D040000}"/>
    <cellStyle name="Notas 16" xfId="1100" xr:uid="{00000000-0005-0000-0000-00004E040000}"/>
    <cellStyle name="Notas 16 2" xfId="1101" xr:uid="{00000000-0005-0000-0000-00004F040000}"/>
    <cellStyle name="Notas 17" xfId="1102" xr:uid="{00000000-0005-0000-0000-000050040000}"/>
    <cellStyle name="Notas 17 2" xfId="1103" xr:uid="{00000000-0005-0000-0000-000051040000}"/>
    <cellStyle name="Notas 18" xfId="1104" xr:uid="{00000000-0005-0000-0000-000052040000}"/>
    <cellStyle name="Notas 18 2" xfId="1105" xr:uid="{00000000-0005-0000-0000-000053040000}"/>
    <cellStyle name="Notas 19" xfId="1106" xr:uid="{00000000-0005-0000-0000-000054040000}"/>
    <cellStyle name="Notas 19 2" xfId="1107" xr:uid="{00000000-0005-0000-0000-000055040000}"/>
    <cellStyle name="Notas 2" xfId="1108" xr:uid="{00000000-0005-0000-0000-000056040000}"/>
    <cellStyle name="Notas 2 2" xfId="1109" xr:uid="{00000000-0005-0000-0000-000057040000}"/>
    <cellStyle name="Notas 20" xfId="1335" xr:uid="{408E9091-A337-4C09-A964-EEAE3D0D3012}"/>
    <cellStyle name="Notas 20 2" xfId="1773" xr:uid="{2F8EF46F-7B44-4D92-967C-B586234CBC61}"/>
    <cellStyle name="Notas 3" xfId="1110" xr:uid="{00000000-0005-0000-0000-000058040000}"/>
    <cellStyle name="Notas 3 2" xfId="1111" xr:uid="{00000000-0005-0000-0000-000059040000}"/>
    <cellStyle name="Notas 4" xfId="1112" xr:uid="{00000000-0005-0000-0000-00005A040000}"/>
    <cellStyle name="Notas 4 2" xfId="1113" xr:uid="{00000000-0005-0000-0000-00005B040000}"/>
    <cellStyle name="Notas 5" xfId="1114" xr:uid="{00000000-0005-0000-0000-00005C040000}"/>
    <cellStyle name="Notas 5 2" xfId="1115" xr:uid="{00000000-0005-0000-0000-00005D040000}"/>
    <cellStyle name="Notas 6" xfId="1116" xr:uid="{00000000-0005-0000-0000-00005E040000}"/>
    <cellStyle name="Notas 6 2" xfId="1117" xr:uid="{00000000-0005-0000-0000-00005F040000}"/>
    <cellStyle name="Notas 7" xfId="1118" xr:uid="{00000000-0005-0000-0000-000060040000}"/>
    <cellStyle name="Notas 7 2" xfId="1119" xr:uid="{00000000-0005-0000-0000-000061040000}"/>
    <cellStyle name="Notas 8" xfId="1120" xr:uid="{00000000-0005-0000-0000-000062040000}"/>
    <cellStyle name="Notas 8 2" xfId="1121" xr:uid="{00000000-0005-0000-0000-000063040000}"/>
    <cellStyle name="Notas 9" xfId="1122" xr:uid="{00000000-0005-0000-0000-000064040000}"/>
    <cellStyle name="Notas 9 2" xfId="1123" xr:uid="{00000000-0005-0000-0000-000065040000}"/>
    <cellStyle name="Note" xfId="1124" xr:uid="{00000000-0005-0000-0000-000066040000}"/>
    <cellStyle name="Output" xfId="1125" xr:uid="{00000000-0005-0000-0000-000067040000}"/>
    <cellStyle name="Salida" xfId="1126" builtinId="21" customBuiltin="1"/>
    <cellStyle name="Salida 10" xfId="1127" xr:uid="{00000000-0005-0000-0000-000069040000}"/>
    <cellStyle name="Salida 10 2" xfId="1128" xr:uid="{00000000-0005-0000-0000-00006A040000}"/>
    <cellStyle name="Salida 11" xfId="1129" xr:uid="{00000000-0005-0000-0000-00006B040000}"/>
    <cellStyle name="Salida 11 2" xfId="1130" xr:uid="{00000000-0005-0000-0000-00006C040000}"/>
    <cellStyle name="Salida 12" xfId="1131" xr:uid="{00000000-0005-0000-0000-00006D040000}"/>
    <cellStyle name="Salida 12 2" xfId="1132" xr:uid="{00000000-0005-0000-0000-00006E040000}"/>
    <cellStyle name="Salida 13" xfId="1133" xr:uid="{00000000-0005-0000-0000-00006F040000}"/>
    <cellStyle name="Salida 13 2" xfId="1134" xr:uid="{00000000-0005-0000-0000-000070040000}"/>
    <cellStyle name="Salida 14" xfId="1135" xr:uid="{00000000-0005-0000-0000-000071040000}"/>
    <cellStyle name="Salida 14 2" xfId="1136" xr:uid="{00000000-0005-0000-0000-000072040000}"/>
    <cellStyle name="Salida 15" xfId="1137" xr:uid="{00000000-0005-0000-0000-000073040000}"/>
    <cellStyle name="Salida 2" xfId="1138" xr:uid="{00000000-0005-0000-0000-000074040000}"/>
    <cellStyle name="Salida 2 2" xfId="1139" xr:uid="{00000000-0005-0000-0000-000075040000}"/>
    <cellStyle name="Salida 3" xfId="1140" xr:uid="{00000000-0005-0000-0000-000076040000}"/>
    <cellStyle name="Salida 3 2" xfId="1141" xr:uid="{00000000-0005-0000-0000-000077040000}"/>
    <cellStyle name="Salida 4" xfId="1142" xr:uid="{00000000-0005-0000-0000-000078040000}"/>
    <cellStyle name="Salida 4 2" xfId="1143" xr:uid="{00000000-0005-0000-0000-000079040000}"/>
    <cellStyle name="Salida 5" xfId="1144" xr:uid="{00000000-0005-0000-0000-00007A040000}"/>
    <cellStyle name="Salida 5 2" xfId="1145" xr:uid="{00000000-0005-0000-0000-00007B040000}"/>
    <cellStyle name="Salida 6" xfId="1146" xr:uid="{00000000-0005-0000-0000-00007C040000}"/>
    <cellStyle name="Salida 6 2" xfId="1147" xr:uid="{00000000-0005-0000-0000-00007D040000}"/>
    <cellStyle name="Salida 7" xfId="1148" xr:uid="{00000000-0005-0000-0000-00007E040000}"/>
    <cellStyle name="Salida 7 2" xfId="1149" xr:uid="{00000000-0005-0000-0000-00007F040000}"/>
    <cellStyle name="Salida 8" xfId="1150" xr:uid="{00000000-0005-0000-0000-000080040000}"/>
    <cellStyle name="Salida 8 2" xfId="1151" xr:uid="{00000000-0005-0000-0000-000081040000}"/>
    <cellStyle name="Salida 9" xfId="1152" xr:uid="{00000000-0005-0000-0000-000082040000}"/>
    <cellStyle name="Salida 9 2" xfId="1153" xr:uid="{00000000-0005-0000-0000-000083040000}"/>
    <cellStyle name="Texto de advertencia" xfId="1154" builtinId="11" customBuiltin="1"/>
    <cellStyle name="Texto de advertencia 10" xfId="1155" xr:uid="{00000000-0005-0000-0000-000085040000}"/>
    <cellStyle name="Texto de advertencia 10 2" xfId="1156" xr:uid="{00000000-0005-0000-0000-000086040000}"/>
    <cellStyle name="Texto de advertencia 11" xfId="1157" xr:uid="{00000000-0005-0000-0000-000087040000}"/>
    <cellStyle name="Texto de advertencia 11 2" xfId="1158" xr:uid="{00000000-0005-0000-0000-000088040000}"/>
    <cellStyle name="Texto de advertencia 12" xfId="1159" xr:uid="{00000000-0005-0000-0000-000089040000}"/>
    <cellStyle name="Texto de advertencia 12 2" xfId="1160" xr:uid="{00000000-0005-0000-0000-00008A040000}"/>
    <cellStyle name="Texto de advertencia 13" xfId="1161" xr:uid="{00000000-0005-0000-0000-00008B040000}"/>
    <cellStyle name="Texto de advertencia 13 2" xfId="1162" xr:uid="{00000000-0005-0000-0000-00008C040000}"/>
    <cellStyle name="Texto de advertencia 14" xfId="1163" xr:uid="{00000000-0005-0000-0000-00008D040000}"/>
    <cellStyle name="Texto de advertencia 14 2" xfId="1164" xr:uid="{00000000-0005-0000-0000-00008E040000}"/>
    <cellStyle name="Texto de advertencia 15" xfId="1165" xr:uid="{00000000-0005-0000-0000-00008F040000}"/>
    <cellStyle name="Texto de advertencia 2" xfId="1166" xr:uid="{00000000-0005-0000-0000-000090040000}"/>
    <cellStyle name="Texto de advertencia 2 2" xfId="1167" xr:uid="{00000000-0005-0000-0000-000091040000}"/>
    <cellStyle name="Texto de advertencia 3" xfId="1168" xr:uid="{00000000-0005-0000-0000-000092040000}"/>
    <cellStyle name="Texto de advertencia 3 2" xfId="1169" xr:uid="{00000000-0005-0000-0000-000093040000}"/>
    <cellStyle name="Texto de advertencia 4" xfId="1170" xr:uid="{00000000-0005-0000-0000-000094040000}"/>
    <cellStyle name="Texto de advertencia 4 2" xfId="1171" xr:uid="{00000000-0005-0000-0000-000095040000}"/>
    <cellStyle name="Texto de advertencia 5" xfId="1172" xr:uid="{00000000-0005-0000-0000-000096040000}"/>
    <cellStyle name="Texto de advertencia 5 2" xfId="1173" xr:uid="{00000000-0005-0000-0000-000097040000}"/>
    <cellStyle name="Texto de advertencia 6" xfId="1174" xr:uid="{00000000-0005-0000-0000-000098040000}"/>
    <cellStyle name="Texto de advertencia 6 2" xfId="1175" xr:uid="{00000000-0005-0000-0000-000099040000}"/>
    <cellStyle name="Texto de advertencia 7" xfId="1176" xr:uid="{00000000-0005-0000-0000-00009A040000}"/>
    <cellStyle name="Texto de advertencia 7 2" xfId="1177" xr:uid="{00000000-0005-0000-0000-00009B040000}"/>
    <cellStyle name="Texto de advertencia 8" xfId="1178" xr:uid="{00000000-0005-0000-0000-00009C040000}"/>
    <cellStyle name="Texto de advertencia 8 2" xfId="1179" xr:uid="{00000000-0005-0000-0000-00009D040000}"/>
    <cellStyle name="Texto de advertencia 9" xfId="1180" xr:uid="{00000000-0005-0000-0000-00009E040000}"/>
    <cellStyle name="Texto de advertencia 9 2" xfId="1181" xr:uid="{00000000-0005-0000-0000-00009F040000}"/>
    <cellStyle name="Texto explicativo" xfId="1182" builtinId="53" customBuiltin="1"/>
    <cellStyle name="Texto explicativo 10" xfId="1183" xr:uid="{00000000-0005-0000-0000-0000A1040000}"/>
    <cellStyle name="Texto explicativo 10 2" xfId="1184" xr:uid="{00000000-0005-0000-0000-0000A2040000}"/>
    <cellStyle name="Texto explicativo 11" xfId="1185" xr:uid="{00000000-0005-0000-0000-0000A3040000}"/>
    <cellStyle name="Texto explicativo 11 2" xfId="1186" xr:uid="{00000000-0005-0000-0000-0000A4040000}"/>
    <cellStyle name="Texto explicativo 12" xfId="1187" xr:uid="{00000000-0005-0000-0000-0000A5040000}"/>
    <cellStyle name="Texto explicativo 12 2" xfId="1188" xr:uid="{00000000-0005-0000-0000-0000A6040000}"/>
    <cellStyle name="Texto explicativo 13" xfId="1189" xr:uid="{00000000-0005-0000-0000-0000A7040000}"/>
    <cellStyle name="Texto explicativo 13 2" xfId="1190" xr:uid="{00000000-0005-0000-0000-0000A8040000}"/>
    <cellStyle name="Texto explicativo 14" xfId="1191" xr:uid="{00000000-0005-0000-0000-0000A9040000}"/>
    <cellStyle name="Texto explicativo 14 2" xfId="1192" xr:uid="{00000000-0005-0000-0000-0000AA040000}"/>
    <cellStyle name="Texto explicativo 15" xfId="1193" xr:uid="{00000000-0005-0000-0000-0000AB040000}"/>
    <cellStyle name="Texto explicativo 2" xfId="1194" xr:uid="{00000000-0005-0000-0000-0000AC040000}"/>
    <cellStyle name="Texto explicativo 2 2" xfId="1195" xr:uid="{00000000-0005-0000-0000-0000AD040000}"/>
    <cellStyle name="Texto explicativo 3" xfId="1196" xr:uid="{00000000-0005-0000-0000-0000AE040000}"/>
    <cellStyle name="Texto explicativo 3 2" xfId="1197" xr:uid="{00000000-0005-0000-0000-0000AF040000}"/>
    <cellStyle name="Texto explicativo 4" xfId="1198" xr:uid="{00000000-0005-0000-0000-0000B0040000}"/>
    <cellStyle name="Texto explicativo 4 2" xfId="1199" xr:uid="{00000000-0005-0000-0000-0000B1040000}"/>
    <cellStyle name="Texto explicativo 5" xfId="1200" xr:uid="{00000000-0005-0000-0000-0000B2040000}"/>
    <cellStyle name="Texto explicativo 5 2" xfId="1201" xr:uid="{00000000-0005-0000-0000-0000B3040000}"/>
    <cellStyle name="Texto explicativo 6" xfId="1202" xr:uid="{00000000-0005-0000-0000-0000B4040000}"/>
    <cellStyle name="Texto explicativo 6 2" xfId="1203" xr:uid="{00000000-0005-0000-0000-0000B5040000}"/>
    <cellStyle name="Texto explicativo 7" xfId="1204" xr:uid="{00000000-0005-0000-0000-0000B6040000}"/>
    <cellStyle name="Texto explicativo 7 2" xfId="1205" xr:uid="{00000000-0005-0000-0000-0000B7040000}"/>
    <cellStyle name="Texto explicativo 8" xfId="1206" xr:uid="{00000000-0005-0000-0000-0000B8040000}"/>
    <cellStyle name="Texto explicativo 8 2" xfId="1207" xr:uid="{00000000-0005-0000-0000-0000B9040000}"/>
    <cellStyle name="Texto explicativo 9" xfId="1208" xr:uid="{00000000-0005-0000-0000-0000BA040000}"/>
    <cellStyle name="Texto explicativo 9 2" xfId="1209" xr:uid="{00000000-0005-0000-0000-0000BB040000}"/>
    <cellStyle name="Title" xfId="1210" xr:uid="{00000000-0005-0000-0000-0000BC040000}"/>
    <cellStyle name="Título" xfId="1211" builtinId="15" customBuiltin="1"/>
    <cellStyle name="Título 1 10" xfId="1212" xr:uid="{00000000-0005-0000-0000-0000BE040000}"/>
    <cellStyle name="Título 1 10 2" xfId="1213" xr:uid="{00000000-0005-0000-0000-0000BF040000}"/>
    <cellStyle name="Título 1 11" xfId="1214" xr:uid="{00000000-0005-0000-0000-0000C0040000}"/>
    <cellStyle name="Título 1 11 2" xfId="1215" xr:uid="{00000000-0005-0000-0000-0000C1040000}"/>
    <cellStyle name="Título 1 12" xfId="1216" xr:uid="{00000000-0005-0000-0000-0000C2040000}"/>
    <cellStyle name="Título 1 12 2" xfId="1217" xr:uid="{00000000-0005-0000-0000-0000C3040000}"/>
    <cellStyle name="Título 1 13" xfId="1218" xr:uid="{00000000-0005-0000-0000-0000C4040000}"/>
    <cellStyle name="Título 1 13 2" xfId="1219" xr:uid="{00000000-0005-0000-0000-0000C5040000}"/>
    <cellStyle name="Título 1 14" xfId="1220" xr:uid="{00000000-0005-0000-0000-0000C6040000}"/>
    <cellStyle name="Título 1 14 2" xfId="1221" xr:uid="{00000000-0005-0000-0000-0000C7040000}"/>
    <cellStyle name="Título 1 2" xfId="1222" xr:uid="{00000000-0005-0000-0000-0000C8040000}"/>
    <cellStyle name="Título 1 2 2" xfId="1223" xr:uid="{00000000-0005-0000-0000-0000C9040000}"/>
    <cellStyle name="Título 1 3" xfId="1224" xr:uid="{00000000-0005-0000-0000-0000CA040000}"/>
    <cellStyle name="Título 1 3 2" xfId="1225" xr:uid="{00000000-0005-0000-0000-0000CB040000}"/>
    <cellStyle name="Título 1 4" xfId="1226" xr:uid="{00000000-0005-0000-0000-0000CC040000}"/>
    <cellStyle name="Título 1 4 2" xfId="1227" xr:uid="{00000000-0005-0000-0000-0000CD040000}"/>
    <cellStyle name="Título 1 5" xfId="1228" xr:uid="{00000000-0005-0000-0000-0000CE040000}"/>
    <cellStyle name="Título 1 5 2" xfId="1229" xr:uid="{00000000-0005-0000-0000-0000CF040000}"/>
    <cellStyle name="Título 1 6" xfId="1230" xr:uid="{00000000-0005-0000-0000-0000D0040000}"/>
    <cellStyle name="Título 1 6 2" xfId="1231" xr:uid="{00000000-0005-0000-0000-0000D1040000}"/>
    <cellStyle name="Título 1 7" xfId="1232" xr:uid="{00000000-0005-0000-0000-0000D2040000}"/>
    <cellStyle name="Título 1 7 2" xfId="1233" xr:uid="{00000000-0005-0000-0000-0000D3040000}"/>
    <cellStyle name="Título 1 8" xfId="1234" xr:uid="{00000000-0005-0000-0000-0000D4040000}"/>
    <cellStyle name="Título 1 8 2" xfId="1235" xr:uid="{00000000-0005-0000-0000-0000D5040000}"/>
    <cellStyle name="Título 1 9" xfId="1236" xr:uid="{00000000-0005-0000-0000-0000D6040000}"/>
    <cellStyle name="Título 1 9 2" xfId="1237" xr:uid="{00000000-0005-0000-0000-0000D7040000}"/>
    <cellStyle name="Título 2" xfId="1238" builtinId="17" customBuiltin="1"/>
    <cellStyle name="Título 2 10" xfId="1239" xr:uid="{00000000-0005-0000-0000-0000D9040000}"/>
    <cellStyle name="Título 2 10 2" xfId="1240" xr:uid="{00000000-0005-0000-0000-0000DA040000}"/>
    <cellStyle name="Título 2 11" xfId="1241" xr:uid="{00000000-0005-0000-0000-0000DB040000}"/>
    <cellStyle name="Título 2 11 2" xfId="1242" xr:uid="{00000000-0005-0000-0000-0000DC040000}"/>
    <cellStyle name="Título 2 12" xfId="1243" xr:uid="{00000000-0005-0000-0000-0000DD040000}"/>
    <cellStyle name="Título 2 12 2" xfId="1244" xr:uid="{00000000-0005-0000-0000-0000DE040000}"/>
    <cellStyle name="Título 2 13" xfId="1245" xr:uid="{00000000-0005-0000-0000-0000DF040000}"/>
    <cellStyle name="Título 2 13 2" xfId="1246" xr:uid="{00000000-0005-0000-0000-0000E0040000}"/>
    <cellStyle name="Título 2 14" xfId="1247" xr:uid="{00000000-0005-0000-0000-0000E1040000}"/>
    <cellStyle name="Título 2 14 2" xfId="1248" xr:uid="{00000000-0005-0000-0000-0000E2040000}"/>
    <cellStyle name="Título 2 15" xfId="1249" xr:uid="{00000000-0005-0000-0000-0000E3040000}"/>
    <cellStyle name="Título 2 2" xfId="1250" xr:uid="{00000000-0005-0000-0000-0000E4040000}"/>
    <cellStyle name="Título 2 2 2" xfId="1251" xr:uid="{00000000-0005-0000-0000-0000E5040000}"/>
    <cellStyle name="Título 2 3" xfId="1252" xr:uid="{00000000-0005-0000-0000-0000E6040000}"/>
    <cellStyle name="Título 2 3 2" xfId="1253" xr:uid="{00000000-0005-0000-0000-0000E7040000}"/>
    <cellStyle name="Título 2 4" xfId="1254" xr:uid="{00000000-0005-0000-0000-0000E8040000}"/>
    <cellStyle name="Título 2 4 2" xfId="1255" xr:uid="{00000000-0005-0000-0000-0000E9040000}"/>
    <cellStyle name="Título 2 5" xfId="1256" xr:uid="{00000000-0005-0000-0000-0000EA040000}"/>
    <cellStyle name="Título 2 5 2" xfId="1257" xr:uid="{00000000-0005-0000-0000-0000EB040000}"/>
    <cellStyle name="Título 2 6" xfId="1258" xr:uid="{00000000-0005-0000-0000-0000EC040000}"/>
    <cellStyle name="Título 2 6 2" xfId="1259" xr:uid="{00000000-0005-0000-0000-0000ED040000}"/>
    <cellStyle name="Título 2 7" xfId="1260" xr:uid="{00000000-0005-0000-0000-0000EE040000}"/>
    <cellStyle name="Título 2 7 2" xfId="1261" xr:uid="{00000000-0005-0000-0000-0000EF040000}"/>
    <cellStyle name="Título 2 8" xfId="1262" xr:uid="{00000000-0005-0000-0000-0000F0040000}"/>
    <cellStyle name="Título 2 8 2" xfId="1263" xr:uid="{00000000-0005-0000-0000-0000F1040000}"/>
    <cellStyle name="Título 2 9" xfId="1264" xr:uid="{00000000-0005-0000-0000-0000F2040000}"/>
    <cellStyle name="Título 2 9 2" xfId="1265" xr:uid="{00000000-0005-0000-0000-0000F3040000}"/>
    <cellStyle name="Título 3" xfId="1266" builtinId="18" customBuiltin="1"/>
    <cellStyle name="Título 3 10" xfId="1267" xr:uid="{00000000-0005-0000-0000-0000F5040000}"/>
    <cellStyle name="Título 3 10 2" xfId="1268" xr:uid="{00000000-0005-0000-0000-0000F6040000}"/>
    <cellStyle name="Título 3 11" xfId="1269" xr:uid="{00000000-0005-0000-0000-0000F7040000}"/>
    <cellStyle name="Título 3 11 2" xfId="1270" xr:uid="{00000000-0005-0000-0000-0000F8040000}"/>
    <cellStyle name="Título 3 12" xfId="1271" xr:uid="{00000000-0005-0000-0000-0000F9040000}"/>
    <cellStyle name="Título 3 12 2" xfId="1272" xr:uid="{00000000-0005-0000-0000-0000FA040000}"/>
    <cellStyle name="Título 3 13" xfId="1273" xr:uid="{00000000-0005-0000-0000-0000FB040000}"/>
    <cellStyle name="Título 3 13 2" xfId="1274" xr:uid="{00000000-0005-0000-0000-0000FC040000}"/>
    <cellStyle name="Título 3 14" xfId="1275" xr:uid="{00000000-0005-0000-0000-0000FD040000}"/>
    <cellStyle name="Título 3 14 2" xfId="1276" xr:uid="{00000000-0005-0000-0000-0000FE040000}"/>
    <cellStyle name="Título 3 15" xfId="1277" xr:uid="{00000000-0005-0000-0000-0000FF040000}"/>
    <cellStyle name="Título 3 2" xfId="1278" xr:uid="{00000000-0005-0000-0000-000000050000}"/>
    <cellStyle name="Título 3 2 2" xfId="1279" xr:uid="{00000000-0005-0000-0000-000001050000}"/>
    <cellStyle name="Título 3 3" xfId="1280" xr:uid="{00000000-0005-0000-0000-000002050000}"/>
    <cellStyle name="Título 3 3 2" xfId="1281" xr:uid="{00000000-0005-0000-0000-000003050000}"/>
    <cellStyle name="Título 3 4" xfId="1282" xr:uid="{00000000-0005-0000-0000-000004050000}"/>
    <cellStyle name="Título 3 4 2" xfId="1283" xr:uid="{00000000-0005-0000-0000-000005050000}"/>
    <cellStyle name="Título 3 5" xfId="1284" xr:uid="{00000000-0005-0000-0000-000006050000}"/>
    <cellStyle name="Título 3 5 2" xfId="1285" xr:uid="{00000000-0005-0000-0000-000007050000}"/>
    <cellStyle name="Título 3 6" xfId="1286" xr:uid="{00000000-0005-0000-0000-000008050000}"/>
    <cellStyle name="Título 3 6 2" xfId="1287" xr:uid="{00000000-0005-0000-0000-000009050000}"/>
    <cellStyle name="Título 3 7" xfId="1288" xr:uid="{00000000-0005-0000-0000-00000A050000}"/>
    <cellStyle name="Título 3 7 2" xfId="1289" xr:uid="{00000000-0005-0000-0000-00000B050000}"/>
    <cellStyle name="Título 3 8" xfId="1290" xr:uid="{00000000-0005-0000-0000-00000C050000}"/>
    <cellStyle name="Título 3 8 2" xfId="1291" xr:uid="{00000000-0005-0000-0000-00000D050000}"/>
    <cellStyle name="Título 3 9" xfId="1292" xr:uid="{00000000-0005-0000-0000-00000E050000}"/>
    <cellStyle name="Título 3 9 2" xfId="1293" xr:uid="{00000000-0005-0000-0000-00000F050000}"/>
    <cellStyle name="Título 4" xfId="1294" xr:uid="{00000000-0005-0000-0000-000010050000}"/>
    <cellStyle name="Título 5" xfId="1332" xr:uid="{459B9233-3F67-436F-8DBC-F58D4C7CEC7F}"/>
    <cellStyle name="Total" xfId="1295" builtinId="25" customBuiltin="1"/>
    <cellStyle name="Total 10" xfId="1296" xr:uid="{00000000-0005-0000-0000-000012050000}"/>
    <cellStyle name="Total 10 2" xfId="1297" xr:uid="{00000000-0005-0000-0000-000013050000}"/>
    <cellStyle name="Total 11" xfId="1298" xr:uid="{00000000-0005-0000-0000-000014050000}"/>
    <cellStyle name="Total 11 2" xfId="1299" xr:uid="{00000000-0005-0000-0000-000015050000}"/>
    <cellStyle name="Total 12" xfId="1300" xr:uid="{00000000-0005-0000-0000-000016050000}"/>
    <cellStyle name="Total 12 2" xfId="1301" xr:uid="{00000000-0005-0000-0000-000017050000}"/>
    <cellStyle name="Total 13" xfId="1302" xr:uid="{00000000-0005-0000-0000-000018050000}"/>
    <cellStyle name="Total 13 2" xfId="1303" xr:uid="{00000000-0005-0000-0000-000019050000}"/>
    <cellStyle name="Total 14" xfId="1304" xr:uid="{00000000-0005-0000-0000-00001A050000}"/>
    <cellStyle name="Total 14 2" xfId="1305" xr:uid="{00000000-0005-0000-0000-00001B050000}"/>
    <cellStyle name="Total 15" xfId="1306" xr:uid="{00000000-0005-0000-0000-00001C050000}"/>
    <cellStyle name="Total 2" xfId="1307" xr:uid="{00000000-0005-0000-0000-00001D050000}"/>
    <cellStyle name="Total 2 2" xfId="1308" xr:uid="{00000000-0005-0000-0000-00001E050000}"/>
    <cellStyle name="Total 3" xfId="1309" xr:uid="{00000000-0005-0000-0000-00001F050000}"/>
    <cellStyle name="Total 3 2" xfId="1310" xr:uid="{00000000-0005-0000-0000-000020050000}"/>
    <cellStyle name="Total 4" xfId="1311" xr:uid="{00000000-0005-0000-0000-000021050000}"/>
    <cellStyle name="Total 4 2" xfId="1312" xr:uid="{00000000-0005-0000-0000-000022050000}"/>
    <cellStyle name="Total 5" xfId="1313" xr:uid="{00000000-0005-0000-0000-000023050000}"/>
    <cellStyle name="Total 5 2" xfId="1314" xr:uid="{00000000-0005-0000-0000-000024050000}"/>
    <cellStyle name="Total 6" xfId="1315" xr:uid="{00000000-0005-0000-0000-000025050000}"/>
    <cellStyle name="Total 6 2" xfId="1316" xr:uid="{00000000-0005-0000-0000-000026050000}"/>
    <cellStyle name="Total 7" xfId="1317" xr:uid="{00000000-0005-0000-0000-000027050000}"/>
    <cellStyle name="Total 7 2" xfId="1318" xr:uid="{00000000-0005-0000-0000-000028050000}"/>
    <cellStyle name="Total 8" xfId="1319" xr:uid="{00000000-0005-0000-0000-000029050000}"/>
    <cellStyle name="Total 8 2" xfId="1320" xr:uid="{00000000-0005-0000-0000-00002A050000}"/>
    <cellStyle name="Total 9" xfId="1321" xr:uid="{00000000-0005-0000-0000-00002B050000}"/>
    <cellStyle name="Total 9 2" xfId="1322" xr:uid="{00000000-0005-0000-0000-00002C050000}"/>
    <cellStyle name="Warning Text" xfId="1323" xr:uid="{00000000-0005-0000-0000-00002D050000}"/>
  </cellStyles>
  <dxfs count="117">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b val="0"/>
        <i/>
        <condense val="0"/>
        <extend val="0"/>
      </font>
      <fill>
        <patternFill>
          <bgColor indexed="13"/>
        </patternFill>
      </fill>
    </dxf>
    <dxf>
      <font>
        <color theme="0"/>
      </font>
      <fill>
        <patternFill>
          <bgColor rgb="FFFF0000"/>
        </patternFill>
      </fill>
    </dxf>
    <dxf>
      <font>
        <color theme="0"/>
      </font>
      <fill>
        <patternFill>
          <bgColor theme="3" tint="0.39994506668294322"/>
        </patternFill>
      </fill>
    </dxf>
    <dxf>
      <font>
        <b val="0"/>
        <i/>
        <condense val="0"/>
        <extend val="0"/>
      </font>
      <fill>
        <patternFill>
          <bgColor indexed="13"/>
        </patternFill>
      </fill>
    </dxf>
    <dxf>
      <font>
        <b/>
        <i val="0"/>
        <condense val="0"/>
        <extend val="0"/>
      </font>
      <fill>
        <patternFill>
          <bgColor indexed="11"/>
        </patternFill>
      </fill>
    </dxf>
    <dxf>
      <font>
        <condense val="0"/>
        <extend val="0"/>
        <color indexed="9"/>
      </font>
    </dxf>
    <dxf>
      <font>
        <condense val="0"/>
        <extend val="0"/>
        <color indexed="9"/>
      </font>
      <fill>
        <patternFill patternType="none">
          <bgColor indexed="65"/>
        </patternFill>
      </fill>
    </dxf>
    <dxf>
      <font>
        <b/>
        <i val="0"/>
        <condense val="0"/>
        <extend val="0"/>
        <color auto="1"/>
      </font>
      <fill>
        <patternFill>
          <bgColor indexed="13"/>
        </patternFill>
      </fill>
    </dxf>
    <dxf>
      <font>
        <b val="0"/>
        <i/>
        <condense val="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z val="10"/>
      </font>
    </dxf>
    <dxf>
      <numFmt numFmtId="164" formatCode="#,##0.00_ ;[Red]\-#,##0.00\ "/>
    </dxf>
    <dxf>
      <alignment horizontal="center"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00"/>
                  </a:solidFill>
                  <a:latin typeface="Arial"/>
                  <a:cs typeface="Arial"/>
                </a:rPr>
                <a:t>Actualiza</a:t>
              </a:r>
            </a:p>
          </xdr:txBody>
        </xdr:sp>
        <xdr:clientData fPrintsWithSheet="0"/>
      </xdr:twoCellAnchor>
    </mc:Choice>
    <mc:Fallback/>
  </mc:AlternateContent>
  <xdr:twoCellAnchor>
    <xdr:from>
      <xdr:col>3</xdr:col>
      <xdr:colOff>907677</xdr:colOff>
      <xdr:row>0</xdr:row>
      <xdr:rowOff>33618</xdr:rowOff>
    </xdr:from>
    <xdr:to>
      <xdr:col>3</xdr:col>
      <xdr:colOff>1983441</xdr:colOff>
      <xdr:row>2</xdr:row>
      <xdr:rowOff>156883</xdr:rowOff>
    </xdr:to>
    <xdr:sp macro="[0]!Contratos" textlink="">
      <xdr:nvSpPr>
        <xdr:cNvPr id="2" name="Rectángulo redondeado 1">
          <a:extLst>
            <a:ext uri="{FF2B5EF4-FFF2-40B4-BE49-F238E27FC236}">
              <a16:creationId xmlns:a16="http://schemas.microsoft.com/office/drawing/2014/main" id="{00000000-0008-0000-0400-000002000000}"/>
            </a:ext>
          </a:extLst>
        </xdr:cNvPr>
        <xdr:cNvSpPr/>
      </xdr:nvSpPr>
      <xdr:spPr>
        <a:xfrm>
          <a:off x="3709148" y="33618"/>
          <a:ext cx="1075764" cy="571500"/>
        </a:xfrm>
        <a:prstGeom prst="roundRect">
          <a:avLst/>
        </a:prstGeom>
        <a:no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300" b="1"/>
            <a:t>Carga Catalogo</a:t>
          </a:r>
        </a:p>
      </xdr:txBody>
    </xdr:sp>
    <xdr:clientData/>
  </xdr:twoCellAnchor>
  <xdr:twoCellAnchor>
    <xdr:from>
      <xdr:col>2</xdr:col>
      <xdr:colOff>862852</xdr:colOff>
      <xdr:row>0</xdr:row>
      <xdr:rowOff>22412</xdr:rowOff>
    </xdr:from>
    <xdr:to>
      <xdr:col>3</xdr:col>
      <xdr:colOff>784410</xdr:colOff>
      <xdr:row>2</xdr:row>
      <xdr:rowOff>145677</xdr:rowOff>
    </xdr:to>
    <xdr:sp macro="[0]!Procesar" textlink="">
      <xdr:nvSpPr>
        <xdr:cNvPr id="7" name="Rectángulo redondeado 6">
          <a:extLst>
            <a:ext uri="{FF2B5EF4-FFF2-40B4-BE49-F238E27FC236}">
              <a16:creationId xmlns:a16="http://schemas.microsoft.com/office/drawing/2014/main" id="{00000000-0008-0000-0400-000007000000}"/>
            </a:ext>
          </a:extLst>
        </xdr:cNvPr>
        <xdr:cNvSpPr/>
      </xdr:nvSpPr>
      <xdr:spPr>
        <a:xfrm>
          <a:off x="2588558" y="22412"/>
          <a:ext cx="997323" cy="571500"/>
        </a:xfrm>
        <a:prstGeom prst="roundRect">
          <a:avLst/>
        </a:prstGeom>
        <a:no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300" b="1"/>
            <a:t>Procesar</a:t>
          </a:r>
        </a:p>
      </xdr:txBody>
    </xdr:sp>
    <xdr:clientData/>
  </xdr:twoCellAnchor>
  <xdr:twoCellAnchor>
    <xdr:from>
      <xdr:col>1</xdr:col>
      <xdr:colOff>623046</xdr:colOff>
      <xdr:row>0</xdr:row>
      <xdr:rowOff>6723</xdr:rowOff>
    </xdr:from>
    <xdr:to>
      <xdr:col>2</xdr:col>
      <xdr:colOff>768722</xdr:colOff>
      <xdr:row>2</xdr:row>
      <xdr:rowOff>129988</xdr:rowOff>
    </xdr:to>
    <xdr:sp macro="[0]!Diferencia" textlink="">
      <xdr:nvSpPr>
        <xdr:cNvPr id="8" name="Rectángulo redondeado 7">
          <a:extLst>
            <a:ext uri="{FF2B5EF4-FFF2-40B4-BE49-F238E27FC236}">
              <a16:creationId xmlns:a16="http://schemas.microsoft.com/office/drawing/2014/main" id="{00000000-0008-0000-0400-000008000000}"/>
            </a:ext>
          </a:extLst>
        </xdr:cNvPr>
        <xdr:cNvSpPr/>
      </xdr:nvSpPr>
      <xdr:spPr>
        <a:xfrm>
          <a:off x="1497105" y="6723"/>
          <a:ext cx="997323" cy="627530"/>
        </a:xfrm>
        <a:prstGeom prst="roundRect">
          <a:avLst/>
        </a:prstGeom>
        <a:no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300" b="1"/>
            <a:t>Diferencia</a:t>
          </a:r>
        </a:p>
      </xdr:txBody>
    </xdr:sp>
    <xdr:clientData/>
  </xdr:twoCellAnchor>
  <xdr:twoCellAnchor>
    <xdr:from>
      <xdr:col>0</xdr:col>
      <xdr:colOff>383240</xdr:colOff>
      <xdr:row>0</xdr:row>
      <xdr:rowOff>24652</xdr:rowOff>
    </xdr:from>
    <xdr:to>
      <xdr:col>1</xdr:col>
      <xdr:colOff>506504</xdr:colOff>
      <xdr:row>2</xdr:row>
      <xdr:rowOff>147917</xdr:rowOff>
    </xdr:to>
    <xdr:sp macro="[0]!Borrar" textlink="">
      <xdr:nvSpPr>
        <xdr:cNvPr id="9" name="Rectángulo redondeado 8">
          <a:extLst>
            <a:ext uri="{FF2B5EF4-FFF2-40B4-BE49-F238E27FC236}">
              <a16:creationId xmlns:a16="http://schemas.microsoft.com/office/drawing/2014/main" id="{00000000-0008-0000-0400-000009000000}"/>
            </a:ext>
          </a:extLst>
        </xdr:cNvPr>
        <xdr:cNvSpPr/>
      </xdr:nvSpPr>
      <xdr:spPr>
        <a:xfrm>
          <a:off x="383240" y="24652"/>
          <a:ext cx="997323" cy="627530"/>
        </a:xfrm>
        <a:prstGeom prst="roundRect">
          <a:avLst/>
        </a:prstGeom>
        <a:no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300" b="1"/>
            <a:t>Borrar</a:t>
          </a:r>
        </a:p>
      </xdr:txBody>
    </xdr:sp>
    <xdr:clientData/>
  </xdr:twoCellAnchor>
  <xdr:twoCellAnchor>
    <xdr:from>
      <xdr:col>5</xdr:col>
      <xdr:colOff>582705</xdr:colOff>
      <xdr:row>0</xdr:row>
      <xdr:rowOff>11206</xdr:rowOff>
    </xdr:from>
    <xdr:to>
      <xdr:col>8</xdr:col>
      <xdr:colOff>627530</xdr:colOff>
      <xdr:row>3</xdr:row>
      <xdr:rowOff>235323</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7216587" y="11206"/>
          <a:ext cx="5277972" cy="1400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1.- Seleccione Btn Borrar para limpieza de campos, en pestañas CITRIX, RK y conciliación.</a:t>
          </a:r>
        </a:p>
        <a:p>
          <a:r>
            <a:rPr lang="es-ES" sz="1100"/>
            <a:t>2.- Pegar Movimientos</a:t>
          </a:r>
          <a:r>
            <a:rPr lang="es-ES" sz="1100" baseline="0"/>
            <a:t> en Pestañas Citrix(Banco y Casa de bolsa), RK(Movimientos Especial y Comercial)</a:t>
          </a:r>
          <a:endParaRPr lang="es-ES" sz="1100"/>
        </a:p>
        <a:p>
          <a:r>
            <a:rPr lang="es-ES" sz="1100"/>
            <a:t>3.- Seleccione Btn Procesar para inicio de Conciliación.</a:t>
          </a:r>
        </a:p>
        <a:p>
          <a:r>
            <a:rPr lang="es-ES" sz="1100"/>
            <a:t>4.- Una vez conluído el día, seleccionar Btn Diferencia para indicar que contratos presentan diferencias.</a:t>
          </a:r>
        </a:p>
        <a:p>
          <a:r>
            <a:rPr lang="es-ES" sz="1100" b="1"/>
            <a:t>Nota.</a:t>
          </a:r>
          <a:r>
            <a:rPr lang="es-ES" sz="1100" b="1" baseline="0"/>
            <a:t> En caso de que se cree un nuevo contrato, favor de seleccionar Carga Contratos y agregar el contrato en la pestaña catálogo. </a:t>
          </a:r>
          <a:endParaRPr lang="es-E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0</xdr:row>
          <xdr:rowOff>0</xdr:rowOff>
        </xdr:from>
        <xdr:to>
          <xdr:col>14</xdr:col>
          <xdr:colOff>400050</xdr:colOff>
          <xdr:row>2</xdr:row>
          <xdr:rowOff>95250</xdr:rowOff>
        </xdr:to>
        <xdr:sp macro="" textlink="">
          <xdr:nvSpPr>
            <xdr:cNvPr id="2049" name="cmdCargar" hidden="1">
              <a:extLst>
                <a:ext uri="{63B3BB69-23CF-44E3-9099-C40C66FF867C}">
                  <a14:compatExt spid="_x0000_s2049"/>
                </a:ext>
                <a:ext uri="{FF2B5EF4-FFF2-40B4-BE49-F238E27FC236}">
                  <a16:creationId xmlns:a16="http://schemas.microsoft.com/office/drawing/2014/main" id="{00000000-0008-0000-0B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233693" refreshedDate="45394.640099189812" createdVersion="5" refreshedVersion="8" recordCount="1296" xr:uid="{00000000-000A-0000-FFFF-FFFF0A000000}">
  <cacheSource type="worksheet">
    <worksheetSource ref="L1:N1998" sheet="FRONT"/>
  </cacheSource>
  <cacheFields count="3">
    <cacheField name="Contrato RK" numFmtId="0">
      <sharedItems containsString="0" containsBlank="1" containsNumber="1" containsInteger="1" minValue="0" maxValue="65509560457" count="290">
        <n v="0"/>
        <n v="1000003633"/>
        <n v="152971"/>
        <n v="1037085"/>
        <n v="1000003299"/>
        <n v="65502313952"/>
        <n v="147311"/>
        <n v="1000003300"/>
        <n v="1037118"/>
        <n v="152974"/>
        <n v="152981"/>
        <n v="147309"/>
        <n v="1000003298"/>
        <n v="1000003302"/>
        <n v="1000003305"/>
        <n v="1037113"/>
        <n v="1000003292"/>
        <n v="147314"/>
        <n v="1000003291"/>
        <n v="1000003295"/>
        <n v="65509560409"/>
        <n v="1000003293"/>
        <n v="152979"/>
        <n v="1037117"/>
        <n v="1000003301"/>
        <n v="1018867"/>
        <n v="1000003294"/>
        <n v="1000003297"/>
        <n v="152976"/>
        <n v="152983"/>
        <n v="1037086"/>
        <n v="1037090"/>
        <n v="2001050"/>
        <n v="2000221"/>
        <n v="2000220"/>
        <n v="2000218"/>
        <n v="2000217"/>
        <n v="2000905"/>
        <n v="2001049"/>
        <m/>
        <n v="1005849" u="1"/>
        <n v="65501372909" u="1"/>
        <n v="1037124" u="1"/>
        <n v="147313" u="1"/>
        <n v="65507430562" u="1"/>
        <n v="65509560426" u="1"/>
        <n v="1000003296" u="1"/>
        <n v="65509560443" u="1"/>
        <n v="1013407" u="1"/>
        <n v="2000183" u="1"/>
        <n v="2000424" u="1"/>
        <n v="2000423" u="1"/>
        <n v="2000182" u="1"/>
        <n v="1031340" u="1"/>
        <n v="80862" u="1"/>
        <n v="2000581" u="1"/>
        <n v="2000795" u="1"/>
        <n v="2000569" u="1"/>
        <n v="65503691935" u="1"/>
        <n v="1010401" u="1"/>
        <n v="152965" u="1"/>
        <n v="1036723" u="1"/>
        <n v="2000597" u="1"/>
        <n v="2000730" u="1"/>
        <n v="2000722" u="1"/>
        <n v="1031627" u="1"/>
        <n v="65508886089" u="1"/>
        <n v="65508881201" u="1"/>
        <n v="65508989338" u="1"/>
        <n v="1031629" u="1"/>
        <n v="2000926" u="1"/>
        <n v="1000001249" u="1"/>
        <n v="1012260" u="1"/>
        <n v="1012259" u="1"/>
        <n v="1033545" u="1"/>
        <n v="1033546" u="1"/>
        <n v="2000927" u="1"/>
        <n v="2000216" u="1"/>
        <n v="78665" u="1"/>
        <n v="2001047" u="1"/>
        <n v="2001046" u="1"/>
        <n v="156622" u="1"/>
        <n v="1036691" u="1"/>
        <n v="1037923" u="1"/>
        <n v="1000002861" u="1"/>
        <n v="1002455" u="1"/>
        <n v="1037925" u="1"/>
        <n v="2000534" u="1"/>
        <n v="2000928" u="1"/>
        <n v="65509560457" u="1"/>
        <n v="1000002677" u="1"/>
        <n v="1036724" u="1"/>
        <n v="65502425394" u="1"/>
        <n v="65501902345" u="1"/>
        <n v="2000467" u="1"/>
        <n v="1033811" u="1"/>
        <n v="1031341" u="1"/>
        <n v="1036530" u="1"/>
        <n v="1036528" u="1"/>
        <n v="1036529" u="1"/>
        <n v="1036527" u="1"/>
        <n v="2000577" u="1"/>
        <n v="2000576" u="1"/>
        <n v="147312" u="1"/>
        <n v="147310" u="1"/>
        <n v="65501387259" u="1"/>
        <n v="1036525" u="1"/>
        <n v="1036526" u="1"/>
        <n v="2000574" u="1"/>
        <n v="2000575" u="1"/>
        <n v="2000219" u="1"/>
        <n v="1037115" u="1"/>
        <n v="1013187" u="1"/>
        <n v="65507671187" u="1"/>
        <n v="65507528400" u="1"/>
        <n v="65507684389" u="1"/>
        <n v="147492" u="1"/>
        <n v="78666" u="1"/>
        <n v="1000003307" u="1"/>
        <n v="65501285111" u="1"/>
        <n v="65505285253" u="1"/>
        <n v="65507142173" u="1"/>
        <n v="65507143699" u="1"/>
        <n v="65507143745" u="1"/>
        <n v="65502397418" u="1"/>
        <n v="1033795" u="1"/>
        <n v="2000465" u="1"/>
        <n v="65507052294" u="1"/>
        <n v="1008776" u="1"/>
        <n v="65505216453" u="1"/>
        <n v="2000466" u="1"/>
        <n v="65501293805" u="1"/>
        <n v="540994" u="1"/>
        <n v="71312" u="1"/>
        <n v="75146" u="1"/>
        <n v="65503863624" u="1"/>
        <n v="1002140" u="1"/>
        <n v="1037924" u="1"/>
        <n v="2000469" u="1"/>
        <n v="81119" u="1"/>
        <n v="2000470" u="1"/>
        <n v="2000471" u="1"/>
        <n v="65507665273" u="1"/>
        <n v="1008496" u="1"/>
        <n v="65507408917" u="1"/>
        <n v="147491" u="1"/>
        <n v="531448" u="1"/>
        <n v="1014710" u="1"/>
        <n v="65502222299" u="1"/>
        <n v="75222" u="1"/>
        <n v="156331" u="1"/>
        <n v="1012617" u="1"/>
        <n v="2111047" u="1"/>
        <n v="24856485" u="1"/>
        <n v="64972" u="1"/>
        <n v="1018014" u="1"/>
        <n v="2000480" u="1"/>
        <n v="536741" u="1"/>
        <n v="1032747" u="1"/>
        <n v="65503863638" u="1"/>
        <n v="79043" u="1"/>
        <n v="566810" u="1"/>
        <n v="79296" u="1"/>
        <n v="1018122" u="1"/>
        <n v="71313" u="1"/>
        <n v="77703" u="1"/>
        <n v="2000697" u="1"/>
        <n v="1020040" u="1"/>
        <n v="2000485" u="1"/>
        <n v="2000698" u="1"/>
        <n v="69902" u="1"/>
        <n v="71535" u="1"/>
        <n v="2000486" u="1"/>
        <n v="65502334887" u="1"/>
        <n v="2000487" u="1"/>
        <n v="1018302" u="1"/>
        <n v="2000204" u="1"/>
        <n v="65504667724" u="1"/>
        <n v="65505283448" u="1"/>
        <n v="69880" u="1"/>
        <n v="2000205" u="1"/>
        <n v="2000135" u="1"/>
        <n v="2000206" u="1"/>
        <n v="79971" u="1"/>
        <n v="2000776" u="1"/>
        <n v="65505569851" u="1"/>
        <n v="2000777" u="1"/>
        <n v="2000848" u="1"/>
        <n v="2000919" u="1"/>
        <n v="65504052011" u="1"/>
        <n v="2000778" u="1"/>
        <n v="2000849" u="1"/>
        <n v="1031547" u="1"/>
        <n v="2000779" u="1"/>
        <n v="2000780" u="1"/>
        <n v="67715" u="1"/>
        <n v="75170" u="1"/>
        <n v="1031548" u="1"/>
        <n v="1020473" u="1"/>
        <n v="1031549" u="1"/>
        <n v="1037087" u="1"/>
        <n v="2000570" u="1"/>
        <n v="2000641" u="1"/>
        <n v="75219" u="1"/>
        <n v="1024556" u="1"/>
        <n v="2000571" u="1"/>
        <n v="2000642" u="1"/>
        <n v="65503562246" u="1"/>
        <n v="1031550" u="1"/>
        <n v="2000572" u="1"/>
        <n v="65507052215" u="1"/>
        <n v="2000573" u="1"/>
        <n v="561886" u="1"/>
        <n v="1031551" u="1"/>
        <n v="1032901" u="1"/>
        <n v="65505283309" u="1"/>
        <n v="503967" u="1"/>
        <n v="1026370" u="1"/>
        <n v="2000152" u="1"/>
        <n v="2001004" u="1"/>
        <n v="142481" u="1"/>
        <n v="2000863" u="1"/>
        <n v="71532" u="1"/>
        <n v="154702" u="1"/>
        <n v="159246" u="1"/>
        <n v="1033543" u="1"/>
        <n v="2000724" u="1"/>
        <n v="1018811" u="1"/>
        <n v="2000725" u="1"/>
        <n v="2000938" u="1"/>
        <n v="74390" u="1"/>
        <n v="157862" u="1"/>
        <n v="556424" u="1"/>
        <n v="1033544" u="1"/>
        <n v="80820" u="1"/>
        <n v="2000727" u="1"/>
        <n v="65503851337" u="1"/>
        <n v="65505843310" u="1"/>
        <n v="73618" u="1"/>
        <n v="544000" u="1"/>
        <n v="2001012" u="1"/>
        <n v="65503523505" u="1"/>
        <n v="75220" u="1"/>
        <n v="77705" u="1"/>
        <n v="142482" u="1"/>
        <n v="73627" u="1"/>
        <n v="1018991" u="1"/>
        <n v="75655" u="1"/>
        <n v="1021441" u="1"/>
        <n v="65504039719" u="1"/>
        <n v="65507052277" u="1"/>
        <n v="2000732" u="1"/>
        <n v="2000803" u="1"/>
        <n v="142518" u="1"/>
        <n v="1032873" u="1"/>
        <n v="1033796" u="1"/>
        <n v="2000733" u="1"/>
        <n v="79041" u="1"/>
        <n v="1032128" u="1"/>
        <n v="1020023" u="1"/>
        <n v="2000238" u="1"/>
        <n v="2000522" u="1"/>
        <n v="75145" u="1"/>
        <n v="2000239" u="1"/>
        <n v="2000736" u="1"/>
        <n v="1033798" u="1"/>
        <n v="2000240" u="1"/>
        <n v="2000808" u="1"/>
        <n v="2000241" u="1"/>
        <n v="2000809" u="1"/>
        <n v="2001022" u="1"/>
        <n v="1013635" u="1"/>
        <n v="1020025" u="1"/>
        <n v="2000810" u="1"/>
        <n v="65503863610" u="1"/>
        <n v="1020416" u="1"/>
        <n v="2000385" u="1"/>
        <n v="2000811" u="1"/>
        <n v="566691" u="1"/>
        <n v="1020026" u="1"/>
        <n v="2000812" u="1"/>
        <n v="65505283360" u="1"/>
        <n v="74391" u="1"/>
        <n v="79046" u="1"/>
        <n v="1020027" u="1"/>
        <n v="1032381" u="1"/>
        <n v="1008774" u="1"/>
        <n v="1032382" u="1"/>
        <n v="4031" u="1"/>
        <n v="1020029" u="1"/>
      </sharedItems>
    </cacheField>
    <cacheField name="VALOR" numFmtId="0">
      <sharedItems containsBlank="1"/>
    </cacheField>
    <cacheField name="TOTAL $" numFmtId="0">
      <sharedItems containsString="0" containsBlank="1" containsNumber="1" minValue="-6380852.9100000001" maxValue="4812430.8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233693" refreshedDate="45394.640102662037" createdVersion="5" refreshedVersion="8" recordCount="874" xr:uid="{00000000-000A-0000-FFFF-FFFF0B000000}">
  <cacheSource type="worksheet">
    <worksheetSource ref="B1:H875" sheet="RK"/>
  </cacheSource>
  <cacheFields count="7">
    <cacheField name="NumCliente" numFmtId="0">
      <sharedItems containsBlank="1" containsMixedTypes="1" containsNumber="1" containsInteger="1" minValue="21" maxValue="2000905"/>
    </cacheField>
    <cacheField name="NombreCorto" numFmtId="0">
      <sharedItems containsBlank="1" containsMixedTypes="1" containsNumber="1" containsInteger="1" minValue="2052" maxValue="2279"/>
    </cacheField>
    <cacheField name="DescCorta" numFmtId="0">
      <sharedItems containsBlank="1"/>
    </cacheField>
    <cacheField name="TipoMov" numFmtId="0">
      <sharedItems containsBlank="1"/>
    </cacheField>
    <cacheField name="Monto" numFmtId="0">
      <sharedItems containsString="0" containsBlank="1" containsNumber="1" minValue="-6607267.2099999962" maxValue="28601197.559999809"/>
    </cacheField>
    <cacheField name="Codigo" numFmtId="0">
      <sharedItems containsBlank="1" containsMixedTypes="1" containsNumber="1" minValue="-22054.400000000001" maxValue="100000267750" count="441">
        <n v="152981"/>
        <n v="152971"/>
        <n v="152974"/>
        <n v="152983"/>
        <n v="152976"/>
        <n v="152979"/>
        <n v="1008496"/>
        <n v="2257"/>
        <n v="2258"/>
        <n v="2000905"/>
        <n v="2017"/>
        <n v="2018"/>
        <n v="2038"/>
        <n v="2039"/>
        <n v="2040"/>
        <n v="2041"/>
        <n v="2052"/>
        <n v="2053"/>
        <n v="147309"/>
        <n v="2100"/>
        <n v="2131"/>
        <n v="2153"/>
        <n v="2170"/>
        <n v="2173"/>
        <n v="2201"/>
        <n v="220"/>
        <n v="2202"/>
        <s v="2202P"/>
        <n v="2203"/>
        <n v="2204"/>
        <n v="2205"/>
        <n v="2206"/>
        <n v="2219"/>
        <n v="2241"/>
        <n v="2242"/>
        <n v="224"/>
        <n v="2244"/>
        <s v="2248P"/>
        <n v="2248"/>
        <n v="226"/>
        <n v="2263"/>
        <n v="2270"/>
        <n v="2272"/>
        <s v="2277P"/>
        <n v="2277"/>
        <n v="227"/>
        <n v="2279"/>
        <n v="147311"/>
        <n v="147314"/>
        <s v="65502313952P"/>
        <n v="65502313952"/>
        <n v="65509560409"/>
        <n v="1018867"/>
        <s v="65506131264B-N"/>
        <s v="65506131264A-N"/>
        <s v="65506131264C-N"/>
        <m/>
        <n v="1005849" u="1"/>
        <n v="147313" u="1"/>
        <n v="204" u="1"/>
        <n v="2046" u="1"/>
        <n v="2047" u="1"/>
        <n v="2092" u="1"/>
        <n v="2107" u="1"/>
        <n v="2119" u="1"/>
        <n v="2128" u="1"/>
        <n v="2138" u="1"/>
        <n v="2143" u="1"/>
        <n v="2160" u="1"/>
        <n v="2245" u="1"/>
        <n v="2247" u="1"/>
        <n v="2262" u="1"/>
        <n v="2281" u="1"/>
        <n v="2292" u="1"/>
        <n v="1000003295" u="1"/>
        <n v="1000003296" u="1"/>
        <n v="1000003297" u="1"/>
        <n v="1000003291" u="1"/>
        <n v="1000003298" u="1"/>
        <n v="1000003292" u="1"/>
        <n v="1000003293" u="1"/>
        <n v="1000003299" u="1"/>
        <n v="1000003300" u="1"/>
        <n v="1000003301" u="1"/>
        <n v="1000003302" u="1"/>
        <n v="65509560426" u="1"/>
        <n v="65501372909" u="1"/>
        <n v="6550137290" u="1"/>
        <n v="65509560443" u="1"/>
        <n v="1000003305" u="1"/>
        <n v="65507430562" u="1"/>
        <n v="6550743056" u="1"/>
        <n v="2000795" u="1"/>
        <n v="2137" u="1"/>
        <n v="2156" u="1"/>
        <n v="2236" u="1"/>
        <n v="2273" u="1"/>
        <n v="2283" u="1"/>
        <n v="2284" u="1"/>
        <n v="2291" u="1"/>
        <n v="2298" u="1"/>
        <n v="80862" u="1"/>
        <n v="1037117" u="1"/>
        <n v="1031340" u="1"/>
        <n v="2000581" u="1"/>
        <n v="152965" u="1"/>
        <n v="2070" u="1"/>
        <n v="2071" u="1"/>
        <n v="2193" u="1"/>
        <n v="2198" u="1"/>
        <n v="222" u="1"/>
        <n v="2225" u="1"/>
        <n v="2226" u="1"/>
        <n v="2280" u="1"/>
        <n v="1002455" u="1"/>
        <n v="1000003633" u="1"/>
        <n v="2000926" u="1"/>
        <n v="65503691935" u="1"/>
        <n v="1010401" u="1"/>
        <n v="103672" u="1"/>
        <n v="1036723" u="1"/>
        <n v="1031627" u="1"/>
        <n v="1031629" u="1"/>
        <n v="2034" u="1"/>
        <n v="2037" u="1"/>
        <n v="207" u="1"/>
        <n v="2074" u="1"/>
        <n v="2086" u="1"/>
        <n v="2146" u="1"/>
        <n v="219" u="1"/>
        <n v="2195" u="1"/>
        <n v="65508881201" u="1"/>
        <n v="65508886089" u="1"/>
        <n v="65508989338" u="1"/>
        <n v="2023" u="1"/>
        <n v="2043" u="1"/>
        <n v="208" u="1"/>
        <n v="2083" u="1"/>
        <n v="2180" u="1"/>
        <n v="2251" u="1"/>
        <n v="2297" u="1"/>
        <n v="100000267735" u="1"/>
        <n v="100000267750" u="1"/>
        <n v="2000927" u="1"/>
        <n v="100000124" u="1"/>
        <n v="1000001249" u="1"/>
        <n v="2067" u="1"/>
        <n v="2068" u="1"/>
        <n v="2150" u="1"/>
        <n v="2152" u="1"/>
        <n v="2164" u="1"/>
        <n v="2165" u="1"/>
        <n v="2259" u="1"/>
        <n v="2276" u="1"/>
        <n v="156622" u="1"/>
        <n v="1037923" u="1"/>
        <n v="1036691" u="1"/>
        <n v="1037925" u="1"/>
        <n v="2000928" u="1"/>
        <n v="2000534" u="1"/>
        <n v="1000003294" u="1"/>
        <n v="2099" u="1"/>
        <n v="2126" u="1"/>
        <n v="2129" u="1"/>
        <n v="65509560457" u="1"/>
        <n v="2059" u="1"/>
        <n v="2103" u="1"/>
        <n v="2233" u="1"/>
        <n v="2235" u="1"/>
        <n v="65502425394" u="1"/>
        <n v="1036724" u="1"/>
        <n v="2155" u="1"/>
        <n v="200053" u="1"/>
        <n v="2085" u="1"/>
        <n v="2089" u="1"/>
        <n v="2249" u="1"/>
        <n v="2252" u="1"/>
        <n v="1033811" u="1"/>
        <n v="1031341" u="1"/>
        <n v="2075" u="1"/>
        <n v="2076" u="1"/>
        <n v="2163" u="1"/>
        <n v="2015" u="1"/>
        <n v="1036527" u="1"/>
        <n v="1036528" u="1"/>
        <n v="1036529" u="1"/>
        <n v="1036530" u="1"/>
        <n v="2161" u="1"/>
        <n v="2162" u="1"/>
        <n v="2232" u="1"/>
        <n v="65507895505" u="1"/>
        <n v="2087" u="1"/>
        <n v="2132" u="1"/>
        <n v="2282" u="1"/>
        <n v="1013407" u="1"/>
        <n v="2054" u="1"/>
        <n v="2125" u="1"/>
        <n v="1037124" u="1"/>
        <n v="2000730" u="1"/>
        <n v="2082" u="1"/>
        <n v="2000574" u="1"/>
        <n v="2000575" u="1"/>
        <n v="2000576" u="1"/>
        <n v="2000577" u="1"/>
        <n v="2109" u="1"/>
        <n v="2237" u="1"/>
        <n v="65506131264" u="1"/>
        <n v="1036525" u="1"/>
        <n v="1036526" u="1"/>
        <n v="147312" u="1"/>
        <n v="147310" u="1"/>
        <n v="1000002861" u="1"/>
        <n v="159246" u="1"/>
        <n v="1013187" u="1"/>
        <n v="2000597" u="1"/>
        <n v="147492" u="1"/>
        <n v="65507528400" u="1"/>
        <n v="65507671187" u="1"/>
        <n v="65507684389" u="1"/>
        <n v="2000183" u="1"/>
        <n v="2000182" u="1"/>
        <n v="2069" u="1"/>
        <n v="2120" u="1"/>
        <n v="2035" u="1"/>
        <n v="2168" u="1"/>
        <n v="2169" u="1"/>
        <n v="2256" u="1"/>
        <n v="2254" u="1"/>
        <n v="2255" u="1"/>
        <n v="65507052294" u="1"/>
        <n v="2124" u="1"/>
        <n v="2000219" u="1"/>
        <n v="78666" u="1"/>
        <n v="78665" u="1"/>
        <n v="2001046" u="1"/>
        <n v="2001047" u="1"/>
        <n v="2139" u="1"/>
        <n v="2223" u="1"/>
        <n v="2113" u="1"/>
        <n v="1000003307" u="1"/>
        <n v="2000220" u="1"/>
        <n v="2000221" u="1"/>
        <n v="2000216" u="1"/>
        <n v="2000217" u="1"/>
        <n v="2000218" u="1"/>
        <n v="2033" u="1"/>
        <n v="2114" u="1"/>
        <n v="2001050" u="1"/>
        <n v="0" u="1"/>
        <n v="206" u="1"/>
        <n v="2081" u="1"/>
        <n v="2000465" u="1"/>
        <n v="2171" u="1"/>
        <n v="2000466" u="1"/>
        <n v="65501293805" u="1"/>
        <n v="2048" u="1"/>
        <n v="540994" u="1"/>
        <n v="2000467" u="1"/>
        <n v="13" u="1"/>
        <n v="2022" u="1"/>
        <n v="75146" u="1"/>
        <n v="65503863624" u="1"/>
        <n v="2157" u="1"/>
        <n v="1002140" u="1"/>
        <n v="1037924" u="1"/>
        <n v="2000469" u="1"/>
        <n v="81119" u="1"/>
        <n v="2000470" u="1"/>
        <n v="65507665273" u="1"/>
        <n v="2072" u="1"/>
        <n v="1012259" u="1"/>
        <n v="65507143745" u="1"/>
        <n v="65507408917" u="1"/>
        <n v="-22054.400000000001" u="1"/>
        <n v="147491" u="1"/>
        <n v="531448" u="1"/>
        <n v="1012260" u="1"/>
        <n v="65502222299" u="1"/>
        <n v="2096" u="1"/>
        <n v="2167" u="1"/>
        <n v="156331" u="1"/>
        <n v="2115" u="1"/>
        <n v="1012617" u="1"/>
        <n v="2063" u="1"/>
        <n v="2134" u="1"/>
        <n v="64972" u="1"/>
        <n v="1018014" u="1"/>
        <n v="1037113" u="1"/>
        <n v="2000480" u="1"/>
        <n v="65507143699" u="1"/>
        <n v="2172" u="1"/>
        <n v="2001049" u="1"/>
        <n v="65503863638" u="1"/>
        <n v="2049" u="1"/>
        <n v="566810" u="1"/>
        <n v="79296" u="1"/>
        <n v="1018122" u="1"/>
        <n v="65507142173" u="1"/>
        <n v="2158" u="1"/>
        <n v="77703" u="1"/>
        <n v="2000697" u="1"/>
        <n v="1020040" u="1"/>
        <n v="2196" u="1"/>
        <n v="2267" u="1"/>
        <n v="69902" u="1"/>
        <n v="2000486" u="1"/>
        <n v="2025" u="1"/>
        <n v="1018302" u="1"/>
        <n v="2000204" u="1"/>
        <n v="65501387259" u="1"/>
        <n v="65504667724" u="1"/>
        <n v="65505283448" u="1"/>
        <n v="69880" u="1"/>
        <n v="2000205" u="1"/>
        <n v="200042" u="1"/>
        <n v="1037118" u="1"/>
        <n v="2000135" u="1"/>
        <n v="2000206" u="1"/>
        <n v="442" u="1"/>
        <n v="79971" u="1"/>
        <n v="2097" u="1"/>
        <n v="65502397418" u="1"/>
        <n v="65505569851" u="1"/>
        <n v="2116" u="1"/>
        <n v="2000848" u="1"/>
        <n v="-7802.9216331761927" u="1"/>
        <n v="215" u="1"/>
        <n v="2000423" u="1"/>
        <n v="2000849" u="1"/>
        <n v="19" u="1"/>
        <n v="1031547" u="1"/>
        <n v="1037085" u="1"/>
        <n v="2000424" u="1"/>
        <n v="2000779" u="1"/>
        <n v="2000780" u="1"/>
        <n v="2050" u="1"/>
        <n v="67715" u="1"/>
        <n v="75170" u="1"/>
        <n v="1031548" u="1"/>
        <n v="1037086" u="1"/>
        <n v="20" u="1"/>
        <n v="2000569" u="1"/>
        <n v="2088" u="1"/>
        <n v="2159" u="1"/>
        <n v="1031549" u="1"/>
        <n v="1037087" u="1"/>
        <n v="2000570" u="1"/>
        <n v="2042" u="1"/>
        <n v="2178" u="1"/>
        <n v="2000571" u="1"/>
        <n v="65503562246" u="1"/>
        <n v="210" u="1"/>
        <n v="2016" u="1"/>
        <n v="2197" u="1"/>
        <n v="2268" u="1"/>
        <n v="1031550" u="1"/>
        <n v="2000572" u="1"/>
        <n v="65507052215" u="1"/>
        <n v="2000573" u="1"/>
        <n v="1031551" u="1"/>
        <n v="2060" u="1"/>
        <n v="1032901" u="1"/>
        <n v="1037090" u="1"/>
        <n v="37" u="1"/>
        <n v="2079" u="1"/>
        <n v="65505283309" u="1"/>
        <n v="503967" u="1"/>
        <n v="1026370" u="1"/>
        <n v="1032902" u="1"/>
        <n v="2000152" u="1"/>
        <n v="2001004" u="1"/>
        <n v="3" u="1"/>
        <n v="142481" u="1"/>
        <n v="2000863" u="1"/>
        <n v="2021" u="1"/>
        <n v="154702" u="1"/>
        <n v="2000722" u="1"/>
        <n v="2084" u="1"/>
        <n v="2174" u="1"/>
        <n v="1033543" u="1"/>
        <n v="2051" u="1"/>
        <n v="2122" u="1"/>
        <n v="1018811" u="1"/>
        <n v="2000725" u="1"/>
        <n v="2000938" u="1"/>
        <n v="1033544" u="1"/>
        <n v="80820" u="1"/>
        <n v="2000940" u="1"/>
        <n v="65503851337" u="1"/>
        <n v="65505843310" u="1"/>
        <n v="2108" u="1"/>
        <n v="73618" u="1"/>
        <n v="544000" u="1"/>
        <n v="1033545" u="1"/>
        <n v="2001012" u="1"/>
        <n v="2269" u="1"/>
        <n v="77705" u="1"/>
        <n v="142482" u="1"/>
        <n v="73627" u="1"/>
        <n v="200072" u="1"/>
        <n v="1033546" u="1"/>
        <n v="75655" u="1"/>
        <n v="65507052277" u="1"/>
        <n v="2000732" u="1"/>
        <n v="2000803" u="1"/>
        <n v="1032873" u="1"/>
        <n v="2000733" u="1"/>
        <n v="2080" u="1"/>
        <n v="1032128" u="1"/>
        <n v="1020023" u="1"/>
        <n v="2000238" u="1"/>
        <n v="2000522" u="1"/>
        <n v="75145" u="1"/>
        <n v="2000239" u="1"/>
        <n v="2000736" u="1"/>
        <n v="2066" u="1"/>
        <n v="2000240" u="1"/>
        <n v="2000808" u="1"/>
        <n v="203" u="1"/>
        <n v="2000241" u="1"/>
        <n v="2000809" u="1"/>
        <n v="2001022" u="1"/>
        <n v="1020025" u="1"/>
        <n v="2000810" u="1"/>
        <n v="65503863610" u="1"/>
        <n v="65505285253" u="1"/>
        <n v="2000811" u="1"/>
        <n v="2142" u="1"/>
        <n v="1020026" u="1"/>
        <n v="2000812" u="1"/>
        <n v="65505283360" u="1"/>
        <n v="1020027" u="1"/>
        <n v="1032381" u="1"/>
        <n v="65501902345" u="1"/>
        <n v="1094" u="1"/>
        <n v="65506084191" u="1"/>
        <n v="1032382" u="1"/>
        <n v="2036" u="1"/>
        <n v="2166" u="1"/>
        <n v="4031" u="1"/>
        <n v="1020029" u="1"/>
      </sharedItems>
    </cacheField>
    <cacheField name="MontoA" numFmtId="165">
      <sharedItems containsSemiMixedTypes="0" containsString="0" containsNumber="1" minValue="-6607267.2099999962" maxValue="28601197.55999980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96">
  <r>
    <x v="0"/>
    <s v=""/>
    <n v="0"/>
  </r>
  <r>
    <x v="1"/>
    <s v=""/>
    <n v="2814976.57"/>
  </r>
  <r>
    <x v="0"/>
    <s v=""/>
    <n v="0"/>
  </r>
  <r>
    <x v="0"/>
    <s v=""/>
    <n v="0"/>
  </r>
  <r>
    <x v="2"/>
    <s v=""/>
    <n v="46749.73"/>
  </r>
  <r>
    <x v="3"/>
    <s v=""/>
    <n v="2064207.96"/>
  </r>
  <r>
    <x v="0"/>
    <s v=""/>
    <n v="0"/>
  </r>
  <r>
    <x v="4"/>
    <s v=""/>
    <n v="4306110.5199999996"/>
  </r>
  <r>
    <x v="5"/>
    <s v=""/>
    <n v="-6380852.9100000001"/>
  </r>
  <r>
    <x v="0"/>
    <s v=""/>
    <n v="0"/>
  </r>
  <r>
    <x v="6"/>
    <s v=""/>
    <n v="-174262.89"/>
  </r>
  <r>
    <x v="7"/>
    <s v=""/>
    <n v="79478.38"/>
  </r>
  <r>
    <x v="0"/>
    <s v=""/>
    <n v="0"/>
  </r>
  <r>
    <x v="0"/>
    <s v=""/>
    <n v="0"/>
  </r>
  <r>
    <x v="8"/>
    <s v=""/>
    <n v="1349158.58"/>
  </r>
  <r>
    <x v="0"/>
    <s v=""/>
    <n v="0"/>
  </r>
  <r>
    <x v="9"/>
    <s v=""/>
    <n v="54907.85"/>
  </r>
  <r>
    <x v="10"/>
    <s v=""/>
    <n v="420.98"/>
  </r>
  <r>
    <x v="11"/>
    <s v=""/>
    <n v="-97548.75"/>
  </r>
  <r>
    <x v="12"/>
    <s v=""/>
    <n v="1287842.92"/>
  </r>
  <r>
    <x v="13"/>
    <s v=""/>
    <n v="6110.72"/>
  </r>
  <r>
    <x v="5"/>
    <s v=""/>
    <n v="-226414.3"/>
  </r>
  <r>
    <x v="0"/>
    <s v=""/>
    <n v="0"/>
  </r>
  <r>
    <x v="14"/>
    <s v=""/>
    <n v="7164.8"/>
  </r>
  <r>
    <x v="11"/>
    <s v=""/>
    <n v="-180378.87"/>
  </r>
  <r>
    <x v="15"/>
    <s v=""/>
    <n v="1855358.5"/>
  </r>
  <r>
    <x v="0"/>
    <s v=""/>
    <n v="0"/>
  </r>
  <r>
    <x v="16"/>
    <s v=""/>
    <n v="235415.54"/>
  </r>
  <r>
    <x v="17"/>
    <s v=""/>
    <n v="-842181.34"/>
  </r>
  <r>
    <x v="18"/>
    <s v=""/>
    <n v="1472872.78"/>
  </r>
  <r>
    <x v="19"/>
    <s v=""/>
    <n v="127747.52"/>
  </r>
  <r>
    <x v="20"/>
    <s v=""/>
    <n v="-328774.36"/>
  </r>
  <r>
    <x v="0"/>
    <s v=""/>
    <n v="0"/>
  </r>
  <r>
    <x v="0"/>
    <s v=""/>
    <n v="0"/>
  </r>
  <r>
    <x v="21"/>
    <s v=""/>
    <n v="1691448.94"/>
  </r>
  <r>
    <x v="22"/>
    <s v=""/>
    <n v="15940.96"/>
  </r>
  <r>
    <x v="23"/>
    <s v=""/>
    <n v="411634.52"/>
  </r>
  <r>
    <x v="0"/>
    <s v=""/>
    <n v="0"/>
  </r>
  <r>
    <x v="0"/>
    <s v=""/>
    <n v="0"/>
  </r>
  <r>
    <x v="24"/>
    <s v=""/>
    <n v="282407.12"/>
  </r>
  <r>
    <x v="0"/>
    <s v=""/>
    <n v="0"/>
  </r>
  <r>
    <x v="25"/>
    <s v=""/>
    <n v="4222900.04"/>
  </r>
  <r>
    <x v="0"/>
    <s v=""/>
    <n v="0"/>
  </r>
  <r>
    <x v="26"/>
    <s v=""/>
    <n v="125643.36"/>
  </r>
  <r>
    <x v="27"/>
    <s v=""/>
    <n v="495640.24"/>
  </r>
  <r>
    <x v="28"/>
    <s v=""/>
    <n v="18647.599999999999"/>
  </r>
  <r>
    <x v="29"/>
    <s v=""/>
    <n v="157.57"/>
  </r>
  <r>
    <x v="30"/>
    <s v=""/>
    <n v="4812430.88"/>
  </r>
  <r>
    <x v="15"/>
    <s v=""/>
    <n v="638721.04"/>
  </r>
  <r>
    <x v="31"/>
    <s v=""/>
    <n v="719603.28"/>
  </r>
  <r>
    <x v="0"/>
    <s v=""/>
    <n v="0"/>
  </r>
  <r>
    <x v="0"/>
    <s v=""/>
    <n v="0"/>
  </r>
  <r>
    <x v="0"/>
    <s v=""/>
    <n v="0"/>
  </r>
  <r>
    <x v="0"/>
    <s v=""/>
    <n v="0"/>
  </r>
  <r>
    <x v="32"/>
    <s v=""/>
    <n v="1342934.68"/>
  </r>
  <r>
    <x v="0"/>
    <s v=""/>
    <n v="0"/>
  </r>
  <r>
    <x v="0"/>
    <s v=""/>
    <n v="0"/>
  </r>
  <r>
    <x v="0"/>
    <s v=""/>
    <n v="0"/>
  </r>
  <r>
    <x v="0"/>
    <s v=""/>
    <n v="0"/>
  </r>
  <r>
    <x v="0"/>
    <s v=""/>
    <n v="0"/>
  </r>
  <r>
    <x v="0"/>
    <s v=""/>
    <n v="0"/>
  </r>
  <r>
    <x v="33"/>
    <s v=""/>
    <n v="-14813.16"/>
  </r>
  <r>
    <x v="34"/>
    <s v=""/>
    <n v="-90283.26"/>
  </r>
  <r>
    <x v="35"/>
    <s v=""/>
    <n v="-4939.75"/>
  </r>
  <r>
    <x v="0"/>
    <s v=""/>
    <n v="0"/>
  </r>
  <r>
    <x v="0"/>
    <s v=""/>
    <n v="0"/>
  </r>
  <r>
    <x v="0"/>
    <s v=""/>
    <n v="0"/>
  </r>
  <r>
    <x v="0"/>
    <s v=""/>
    <n v="0"/>
  </r>
  <r>
    <x v="36"/>
    <s v=""/>
    <n v="-30149.45"/>
  </r>
  <r>
    <x v="37"/>
    <s v=""/>
    <n v="2718867.31"/>
  </r>
  <r>
    <x v="0"/>
    <s v=""/>
    <n v="0"/>
  </r>
  <r>
    <x v="0"/>
    <s v=""/>
    <n v="0"/>
  </r>
  <r>
    <x v="38"/>
    <s v=""/>
    <n v="496235.54"/>
  </r>
  <r>
    <x v="0"/>
    <s v=""/>
    <n v="0"/>
  </r>
  <r>
    <x v="38"/>
    <s v=""/>
    <n v="496235.54"/>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0"/>
    <s v=""/>
    <n v="0"/>
  </r>
  <r>
    <x v="39"/>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4">
  <r>
    <n v="1096"/>
    <s v="JONHSON Y TU"/>
    <s v="JOHNSON-1-(152981)"/>
    <s v="AP"/>
    <n v="420.97999999999985"/>
    <x v="0"/>
    <n v="420.97999999999985"/>
  </r>
  <r>
    <n v="1096"/>
    <s v="JONHSON Y TU"/>
    <s v="JOHNSON-2-(152971)"/>
    <s v="AP"/>
    <n v="46749.729999999996"/>
    <x v="1"/>
    <n v="46749.729999999996"/>
  </r>
  <r>
    <n v="1096"/>
    <s v="JONHSON Y TU"/>
    <s v="JOHNSON-3-(152974)"/>
    <s v="AP"/>
    <n v="54907.849999999991"/>
    <x v="2"/>
    <n v="54907.849999999991"/>
  </r>
  <r>
    <n v="1096"/>
    <s v="JONHSON Y TU"/>
    <s v="JOHNSON-4-(152983)"/>
    <s v="AP"/>
    <n v="157.57000000000002"/>
    <x v="3"/>
    <n v="157.57000000000002"/>
  </r>
  <r>
    <n v="1096"/>
    <s v="JONHSON Y TU"/>
    <s v="JOHNSON-5-(152976)"/>
    <s v="AP"/>
    <n v="18647.599999999988"/>
    <x v="4"/>
    <n v="18647.599999999988"/>
  </r>
  <r>
    <n v="1096"/>
    <s v="JONHSON Y TU"/>
    <s v="JOHNSON-6-(152979)"/>
    <s v="AP"/>
    <n v="15940.959999999986"/>
    <x v="5"/>
    <n v="15940.959999999986"/>
  </r>
  <r>
    <n v="119"/>
    <s v="MOTOROLA MOB"/>
    <s v="MOTOROLA MOBILITY 1008496"/>
    <s v="RS"/>
    <n v="-33846.47"/>
    <x v="6"/>
    <n v="-33846.47"/>
  </r>
  <r>
    <n v="1932"/>
    <s v="GRAL CABLE "/>
    <s v="2257- GENERAL DC"/>
    <s v="AP"/>
    <n v="68467.999999999854"/>
    <x v="7"/>
    <n v="68467.999999999854"/>
  </r>
  <r>
    <n v="1934"/>
    <s v="PRESTOLITE "/>
    <s v="2258- PRESTOLITE"/>
    <s v="AP"/>
    <n v="437215.25999999949"/>
    <x v="8"/>
    <n v="437215.25999999949"/>
  </r>
  <r>
    <n v="2000905"/>
    <s v="LA CORONA"/>
    <s v="FABRICA DE JABON LA CORON"/>
    <s v="EA"/>
    <n v="0"/>
    <x v="9"/>
    <n v="0"/>
  </r>
  <r>
    <n v="2000905"/>
    <s v="LA CORONA"/>
    <s v="FABRICA DE JABON LA CORON"/>
    <s v="AP"/>
    <n v="2718867.3099999996"/>
    <x v="9"/>
    <n v="2718867.3099999996"/>
  </r>
  <r>
    <n v="2017"/>
    <s v="GRAMMERPUEBLA"/>
    <s v="GRAMMER PUEBLA"/>
    <s v="ST"/>
    <n v="-18834.439999999999"/>
    <x v="10"/>
    <n v="-18834.439999999999"/>
  </r>
  <r>
    <n v="2017"/>
    <s v="GRAMMERPUEBLA"/>
    <s v="GRAMMER PUEBLA"/>
    <s v="P4"/>
    <n v="-18834.440000000002"/>
    <x v="10"/>
    <n v="-18834.440000000002"/>
  </r>
  <r>
    <n v="2018"/>
    <s v="GRAMMERPUEBLA(Q)"/>
    <s v="GRAMMER PUEBLA (QUERETARO"/>
    <s v="AP"/>
    <n v="948557.80000001937"/>
    <x v="11"/>
    <n v="948557.80000001937"/>
  </r>
  <r>
    <n v="2018"/>
    <s v="GRAMMERPUEBLA(Q)"/>
    <s v="GRAMMER PUEBLA (QUERETARO"/>
    <s v="RT"/>
    <n v="-13432.48"/>
    <x v="11"/>
    <n v="-13432.48"/>
  </r>
  <r>
    <n v="2038"/>
    <s v="INFONACOT "/>
    <s v="INFONACOT"/>
    <s v="AP"/>
    <n v="2408971.7799999993"/>
    <x v="12"/>
    <n v="2408971.7799999993"/>
  </r>
  <r>
    <n v="2039"/>
    <s v="GMM"/>
    <s v="GMM"/>
    <s v="AP"/>
    <n v="28601197.559999809"/>
    <x v="13"/>
    <n v="28601197.559999809"/>
  </r>
  <r>
    <n v="2039"/>
    <s v="GMM"/>
    <s v="GMM"/>
    <s v="RS"/>
    <n v="-480656.2"/>
    <x v="13"/>
    <n v="-480656.2"/>
  </r>
  <r>
    <n v="2040"/>
    <s v="PHNIA SL SIND"/>
    <s v="BW San Luis Sindicalizado"/>
    <s v="EA"/>
    <n v="0"/>
    <x v="14"/>
    <n v="0"/>
  </r>
  <r>
    <n v="2040"/>
    <s v="PHNIA SL SIND"/>
    <s v="BW San Luis Sindicalizado"/>
    <s v="AP"/>
    <n v="792633.17999999726"/>
    <x v="14"/>
    <n v="792633.17999999726"/>
  </r>
  <r>
    <n v="2041"/>
    <s v="COMERCIALIZADORA"/>
    <s v="BW COMERCIALIZADORA"/>
    <s v="AP"/>
    <n v="23664"/>
    <x v="15"/>
    <n v="23664"/>
  </r>
  <r>
    <n v="2052"/>
    <n v="2052"/>
    <s v="Campari Mexico FA"/>
    <s v="AP"/>
    <n v="80944.44000000009"/>
    <x v="16"/>
    <n v="80944.44000000009"/>
  </r>
  <r>
    <n v="2053"/>
    <n v="2053"/>
    <s v="Campari Mexico Pens"/>
    <s v="AP"/>
    <n v="39654.320000000051"/>
    <x v="17"/>
    <n v="39654.320000000051"/>
  </r>
  <r>
    <n v="21"/>
    <s v="147309/1002461"/>
    <s v="UADY 147309 FID/1002461"/>
    <s v="RV"/>
    <n v="-180378.87"/>
    <x v="18"/>
    <n v="-180378.87"/>
  </r>
  <r>
    <n v="21"/>
    <s v="147309/1002461"/>
    <s v="UADY 147309 FID/1002461"/>
    <s v="RS"/>
    <n v="-97548.75"/>
    <x v="18"/>
    <n v="-97548.75"/>
  </r>
  <r>
    <n v="2100"/>
    <n v="2100"/>
    <s v="GM FINANCIAL DE MEXICO FA"/>
    <s v="AP"/>
    <n v="889578.79999999795"/>
    <x v="19"/>
    <n v="889578.79999999795"/>
  </r>
  <r>
    <n v="2131"/>
    <s v="TEQUILA SAUZA"/>
    <s v="TEQUILA SAUZA"/>
    <s v="AP"/>
    <n v="1357357.7799999982"/>
    <x v="20"/>
    <n v="1357357.7799999982"/>
  </r>
  <r>
    <n v="2153"/>
    <n v="2153"/>
    <s v="Borgwarner Turbo And Emis"/>
    <s v="AP"/>
    <n v="1676507.8999999801"/>
    <x v="21"/>
    <n v="1676507.8999999801"/>
  </r>
  <r>
    <n v="2170"/>
    <n v="2170"/>
    <s v="MAZDA"/>
    <s v="EA"/>
    <n v="0"/>
    <x v="22"/>
    <n v="0"/>
  </r>
  <r>
    <n v="2170"/>
    <n v="2170"/>
    <s v="MAZDA"/>
    <s v="AP"/>
    <n v="809915.8399999995"/>
    <x v="22"/>
    <n v="809915.8399999995"/>
  </r>
  <r>
    <n v="2173"/>
    <n v="2173"/>
    <s v="NGK Ceramics México"/>
    <s v="AP"/>
    <n v="600459.80000000214"/>
    <x v="23"/>
    <n v="600459.80000000214"/>
  </r>
  <r>
    <n v="2173"/>
    <n v="2173"/>
    <s v="NGK Ceramics México"/>
    <s v="RS"/>
    <n v="-66133.64"/>
    <x v="23"/>
    <n v="-66133.64"/>
  </r>
  <r>
    <n v="2201"/>
    <n v="2201"/>
    <s v="PARKER SERVICIOS"/>
    <s v="EP"/>
    <n v="3547.7800000000007"/>
    <x v="24"/>
    <n v="3547.7800000000007"/>
  </r>
  <r>
    <n v="2201"/>
    <n v="2201"/>
    <s v="PARKER SERVICIOS PREST"/>
    <s v="SPP"/>
    <n v="-2615.38"/>
    <x v="25"/>
    <n v="-2615.38"/>
  </r>
  <r>
    <n v="2201"/>
    <n v="2201"/>
    <s v="PARKER SERVICIOS"/>
    <s v="AP"/>
    <n v="139463.95999999996"/>
    <x v="24"/>
    <n v="139463.95999999996"/>
  </r>
  <r>
    <n v="2202"/>
    <n v="2202"/>
    <s v="2202 parker"/>
    <s v="EP"/>
    <n v="207825.8000000001"/>
    <x v="26"/>
    <n v="207825.8000000001"/>
  </r>
  <r>
    <n v="2202"/>
    <n v="2202"/>
    <s v="2202P parker"/>
    <s v="EP"/>
    <n v="125000"/>
    <x v="27"/>
    <n v="125000"/>
  </r>
  <r>
    <n v="2202"/>
    <n v="2202"/>
    <s v="2202 parker"/>
    <s v="SP"/>
    <n v="-125000"/>
    <x v="26"/>
    <n v="-125000"/>
  </r>
  <r>
    <n v="2202"/>
    <n v="2202"/>
    <s v="2202P parker"/>
    <s v="SPP"/>
    <n v="-181241.49000000014"/>
    <x v="27"/>
    <n v="-181241.49000000014"/>
  </r>
  <r>
    <n v="2202"/>
    <n v="2202"/>
    <s v="2202 parker"/>
    <s v="AP"/>
    <n v="1423116.2600000028"/>
    <x v="26"/>
    <n v="1423116.2600000028"/>
  </r>
  <r>
    <n v="2203"/>
    <n v="2203"/>
    <s v="Parker Industrial F A FC"/>
    <s v="AP"/>
    <n v="79463.119999999966"/>
    <x v="28"/>
    <n v="79463.119999999966"/>
  </r>
  <r>
    <n v="2204"/>
    <n v="2204"/>
    <s v="Parker Industrial F A Baj"/>
    <s v="EP"/>
    <n v="27265.669999999915"/>
    <x v="29"/>
    <n v="27265.669999999915"/>
  </r>
  <r>
    <n v="2204"/>
    <n v="2204"/>
    <s v="Parker Industrial F A Baj"/>
    <s v="SPP"/>
    <n v="-25847.379999999917"/>
    <x v="25"/>
    <n v="-25847.379999999917"/>
  </r>
  <r>
    <n v="2204"/>
    <n v="2204"/>
    <s v="Parker Industrial F A Baj"/>
    <s v="AP"/>
    <n v="751459.98000001709"/>
    <x v="29"/>
    <n v="751459.98000001709"/>
  </r>
  <r>
    <n v="2205"/>
    <n v="2205"/>
    <s v="Puma Mexico Sport"/>
    <s v="AP"/>
    <n v="758207.41999999806"/>
    <x v="30"/>
    <n v="758207.41999999806"/>
  </r>
  <r>
    <n v="2206"/>
    <n v="2206"/>
    <s v="Importaciones RDS"/>
    <s v="AP"/>
    <n v="153218.08000000005"/>
    <x v="31"/>
    <n v="153218.08000000005"/>
  </r>
  <r>
    <n v="2219"/>
    <n v="2219"/>
    <s v="SECRETOS MOXCHE"/>
    <s v="SR"/>
    <n v="-19000"/>
    <x v="32"/>
    <n v="-19000"/>
  </r>
  <r>
    <n v="2219"/>
    <n v="2219"/>
    <s v="SECRETOS MOXCHE"/>
    <s v="RS"/>
    <n v="-385735.34"/>
    <x v="32"/>
    <n v="-385735.34"/>
  </r>
  <r>
    <n v="2241"/>
    <n v="2241"/>
    <s v="Abent 3T"/>
    <s v="SR"/>
    <n v="-34314.26"/>
    <x v="33"/>
    <n v="-34314.26"/>
  </r>
  <r>
    <n v="2242"/>
    <n v="2242"/>
    <s v="C. A. TRABAJADORES CAF"/>
    <s v="EP"/>
    <n v="262059.68"/>
    <x v="34"/>
    <n v="262059.68"/>
  </r>
  <r>
    <n v="2242"/>
    <n v="2242"/>
    <s v="C. A. TRABAJADORES CAF PR"/>
    <s v="EP"/>
    <n v="796291.49999999953"/>
    <x v="35"/>
    <n v="796291.49999999953"/>
  </r>
  <r>
    <n v="2242"/>
    <n v="2242"/>
    <s v="C. A. TRABAJADORES CAF"/>
    <s v="SR"/>
    <n v="-84463.319999999992"/>
    <x v="34"/>
    <n v="-84463.319999999992"/>
  </r>
  <r>
    <n v="2242"/>
    <n v="2242"/>
    <s v="C. A. TRABAJADORES CAF"/>
    <s v="SP"/>
    <n v="-796291.49999999953"/>
    <x v="34"/>
    <n v="-796291.49999999953"/>
  </r>
  <r>
    <n v="2242"/>
    <n v="2242"/>
    <s v="C. A. TRABAJADORES CAF PR"/>
    <s v="SPP"/>
    <n v="-262059.68"/>
    <x v="35"/>
    <n v="-262059.68"/>
  </r>
  <r>
    <n v="2242"/>
    <n v="2242"/>
    <s v="C. A. TRABAJADORES CAF"/>
    <s v="APG"/>
    <n v="53812.5"/>
    <x v="34"/>
    <n v="53812.5"/>
  </r>
  <r>
    <n v="2244"/>
    <n v="2244"/>
    <s v="Thyssenkrup Presta de Méx"/>
    <s v="AP"/>
    <n v="478242.43999999727"/>
    <x v="36"/>
    <n v="478242.43999999727"/>
  </r>
  <r>
    <n v="2248"/>
    <s v="GPLA CA"/>
    <s v="2248P- GRUPO PLASENCIA"/>
    <s v="EP"/>
    <n v="81000"/>
    <x v="37"/>
    <n v="81000"/>
  </r>
  <r>
    <n v="2248"/>
    <s v="GPLA CA"/>
    <s v="2248- GRUPO PLASENCIA"/>
    <s v="SP"/>
    <n v="-81000"/>
    <x v="38"/>
    <n v="-81000"/>
  </r>
  <r>
    <n v="2263"/>
    <n v="2263"/>
    <s v="Baldwin Filters Pres"/>
    <s v="EP"/>
    <n v="75500"/>
    <x v="39"/>
    <n v="75500"/>
  </r>
  <r>
    <n v="2263"/>
    <n v="2263"/>
    <s v="Baldwin Filters"/>
    <s v="SP"/>
    <n v="-75500"/>
    <x v="40"/>
    <n v="-75500"/>
  </r>
  <r>
    <n v="2263"/>
    <n v="2263"/>
    <s v="Baldwin Filters"/>
    <s v="AP"/>
    <n v="53825.799999999967"/>
    <x v="40"/>
    <n v="53825.799999999967"/>
  </r>
  <r>
    <n v="2270"/>
    <n v="2270"/>
    <s v="GUNDERSON-GIMSA"/>
    <s v="AP"/>
    <n v="55809.520000000004"/>
    <x v="41"/>
    <n v="55809.520000000004"/>
  </r>
  <r>
    <n v="2272"/>
    <n v="2272"/>
    <s v="FEDERAL MOGUL DE MATAMORO"/>
    <s v="S14"/>
    <n v="277269.08"/>
    <x v="42"/>
    <n v="277269.08"/>
  </r>
  <r>
    <n v="2277"/>
    <n v="2277"/>
    <s v="2277P PARKER"/>
    <s v="EP"/>
    <n v="36000"/>
    <x v="43"/>
    <n v="36000"/>
  </r>
  <r>
    <n v="2277"/>
    <n v="2277"/>
    <s v="2277 PARKER"/>
    <s v="SP"/>
    <n v="-36000"/>
    <x v="44"/>
    <n v="-36000"/>
  </r>
  <r>
    <n v="2277"/>
    <n v="2277"/>
    <s v="2277 PARKER"/>
    <s v="AP"/>
    <n v="62991.919999999933"/>
    <x v="44"/>
    <n v="62991.919999999933"/>
  </r>
  <r>
    <n v="2279"/>
    <n v="2279"/>
    <s v="Borgwarner SLP CA Pres"/>
    <s v="EP"/>
    <n v="13000"/>
    <x v="45"/>
    <n v="13000"/>
  </r>
  <r>
    <n v="2279"/>
    <n v="2279"/>
    <s v="Borgwarner SLP CA"/>
    <s v="SP"/>
    <n v="-13000"/>
    <x v="46"/>
    <n v="-13000"/>
  </r>
  <r>
    <n v="23"/>
    <s v="147311/112720"/>
    <s v="UADY 147311 FID/112720"/>
    <s v="RV"/>
    <n v="-174262.89"/>
    <x v="47"/>
    <n v="-174262.89"/>
  </r>
  <r>
    <n v="25"/>
    <s v="147314/204410"/>
    <s v="UADY 147314 FID/204410"/>
    <s v="RV"/>
    <n v="-842181.34"/>
    <x v="48"/>
    <n v="-842181.34"/>
  </r>
  <r>
    <n v="92"/>
    <s v="UJAT"/>
    <s v="UJAT PREST"/>
    <s v="EP"/>
    <n v="6607267.2099999962"/>
    <x v="49"/>
    <n v="6607267.2099999962"/>
  </r>
  <r>
    <n v="92"/>
    <s v="UJAT"/>
    <s v="UJAT"/>
    <s v="SP"/>
    <n v="-6607267.2099999962"/>
    <x v="50"/>
    <n v="-6607267.2099999962"/>
  </r>
  <r>
    <s v="AM"/>
    <s v="AM"/>
    <s v="ArcelorMittal México"/>
    <s v="SR"/>
    <n v="-328774.35999999993"/>
    <x v="51"/>
    <n v="-328774.35999999993"/>
  </r>
  <r>
    <s v="ANAHUAC "/>
    <s v="ANAHUAC "/>
    <s v="ANAHUAC"/>
    <s v="AP"/>
    <n v="4222900.0400000103"/>
    <x v="52"/>
    <n v="4222900.0400000103"/>
  </r>
  <r>
    <s v="STAHL"/>
    <s v="STAHL PENS"/>
    <s v="STAHL VIVE35-N"/>
    <s v="EA"/>
    <n v="0"/>
    <x v="53"/>
    <n v="0"/>
  </r>
  <r>
    <s v="STAHL"/>
    <s v="STAHL PENS"/>
    <s v="STAHL VIVE20-N"/>
    <s v="AP"/>
    <n v="391.82"/>
    <x v="54"/>
    <n v="391.82"/>
  </r>
  <r>
    <s v="STAHL"/>
    <s v="STAHL PENS"/>
    <s v="STAHL VIVE35-N"/>
    <s v="AP"/>
    <n v="2493.9599999999996"/>
    <x v="53"/>
    <n v="2493.9599999999996"/>
  </r>
  <r>
    <s v="STAHL"/>
    <s v="STAHL PENS"/>
    <s v="STAHL VIVE50-N"/>
    <s v="AP"/>
    <n v="1726.9"/>
    <x v="55"/>
    <n v="1726.9"/>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r>
    <m/>
    <m/>
    <m/>
    <m/>
    <m/>
    <x v="56"/>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 dinámica6" cacheId="1" dataOnRows="1" applyNumberFormats="0" applyBorderFormats="0" applyFontFormats="0" applyPatternFormats="0" applyAlignmentFormats="0" applyWidthHeightFormats="1" dataCaption="Datos" showMissing="0" updatedVersion="8" minRefreshableVersion="3" asteriskTotals="1" showMemberPropertyTips="0" useAutoFormatting="1" itemPrintTitles="1" createdVersion="5" indent="0" compact="0" compactData="0" gridDropZones="1">
  <location ref="J3:K62" firstHeaderRow="2" firstDataRow="2" firstDataCol="1"/>
  <pivotFields count="7">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sortType="ascending" defaultSubtotal="0">
      <items count="441">
        <item m="1" x="273"/>
        <item m="1" x="325"/>
        <item m="1" x="248"/>
        <item m="1" x="371"/>
        <item m="1" x="258"/>
        <item m="1" x="329"/>
        <item m="1" x="340"/>
        <item m="1" x="363"/>
        <item m="1" x="418"/>
        <item m="1" x="59"/>
        <item m="1" x="249"/>
        <item m="1" x="125"/>
        <item m="1" x="136"/>
        <item m="1" x="351"/>
        <item m="1" x="326"/>
        <item m="1" x="129"/>
        <item x="25"/>
        <item m="1" x="110"/>
        <item x="35"/>
        <item x="39"/>
        <item x="45"/>
        <item m="1" x="318"/>
        <item m="1" x="434"/>
        <item m="1" x="182"/>
        <item m="1" x="352"/>
        <item x="10"/>
        <item x="11"/>
        <item m="1" x="374"/>
        <item m="1" x="259"/>
        <item m="1" x="134"/>
        <item m="1" x="306"/>
        <item m="1" x="123"/>
        <item m="1" x="223"/>
        <item m="1" x="437"/>
        <item m="1" x="124"/>
        <item x="12"/>
        <item x="13"/>
        <item x="14"/>
        <item x="15"/>
        <item m="1" x="347"/>
        <item m="1" x="135"/>
        <item m="1" x="60"/>
        <item m="1" x="61"/>
        <item m="1" x="255"/>
        <item m="1" x="293"/>
        <item m="1" x="335"/>
        <item m="1" x="380"/>
        <item x="16"/>
        <item x="17"/>
        <item m="1" x="195"/>
        <item m="1" x="165"/>
        <item m="1" x="360"/>
        <item m="1" x="283"/>
        <item m="1" x="415"/>
        <item m="1" x="146"/>
        <item m="1" x="147"/>
        <item m="1" x="221"/>
        <item m="1" x="106"/>
        <item m="1" x="107"/>
        <item m="1" x="269"/>
        <item m="1" x="126"/>
        <item m="1" x="179"/>
        <item m="1" x="180"/>
        <item m="1" x="364"/>
        <item m="1" x="407"/>
        <item m="1" x="250"/>
        <item m="1" x="199"/>
        <item m="1" x="137"/>
        <item m="1" x="377"/>
        <item m="1" x="173"/>
        <item m="1" x="127"/>
        <item m="1" x="191"/>
        <item m="1" x="342"/>
        <item m="1" x="174"/>
        <item m="1" x="62"/>
        <item m="1" x="278"/>
        <item m="1" x="320"/>
        <item m="1" x="161"/>
        <item x="19"/>
        <item m="1" x="166"/>
        <item m="1" x="63"/>
        <item m="1" x="390"/>
        <item m="1" x="204"/>
        <item m="1" x="238"/>
        <item m="1" x="246"/>
        <item m="1" x="281"/>
        <item m="1" x="323"/>
        <item m="1" x="64"/>
        <item m="1" x="222"/>
        <item m="1" x="381"/>
        <item m="1" x="230"/>
        <item m="1" x="196"/>
        <item m="1" x="162"/>
        <item m="1" x="65"/>
        <item m="1" x="163"/>
        <item x="20"/>
        <item m="1" x="192"/>
        <item m="1" x="284"/>
        <item m="1" x="93"/>
        <item m="1" x="66"/>
        <item m="1" x="236"/>
        <item m="1" x="427"/>
        <item m="1" x="67"/>
        <item m="1" x="128"/>
        <item m="1" x="148"/>
        <item m="1" x="149"/>
        <item x="21"/>
        <item m="1" x="171"/>
        <item m="1" x="94"/>
        <item m="1" x="262"/>
        <item m="1" x="298"/>
        <item m="1" x="343"/>
        <item m="1" x="68"/>
        <item m="1" x="187"/>
        <item m="1" x="188"/>
        <item m="1" x="181"/>
        <item m="1" x="150"/>
        <item m="1" x="151"/>
        <item m="1" x="438"/>
        <item m="1" x="279"/>
        <item m="1" x="224"/>
        <item m="1" x="225"/>
        <item x="22"/>
        <item m="1" x="252"/>
        <item m="1" x="290"/>
        <item x="23"/>
        <item m="1" x="378"/>
        <item m="1" x="348"/>
        <item m="1" x="138"/>
        <item m="1" x="108"/>
        <item m="1" x="130"/>
        <item m="1" x="302"/>
        <item m="1" x="353"/>
        <item m="1" x="109"/>
        <item x="24"/>
        <item x="26"/>
        <item x="28"/>
        <item x="29"/>
        <item x="30"/>
        <item x="31"/>
        <item x="32"/>
        <item m="1" x="237"/>
        <item m="1" x="111"/>
        <item m="1" x="112"/>
        <item m="1" x="189"/>
        <item m="1" x="167"/>
        <item m="1" x="168"/>
        <item m="1" x="95"/>
        <item m="1" x="205"/>
        <item x="33"/>
        <item x="34"/>
        <item x="36"/>
        <item m="1" x="69"/>
        <item m="1" x="70"/>
        <item x="38"/>
        <item m="1" x="175"/>
        <item m="1" x="139"/>
        <item m="1" x="176"/>
        <item m="1" x="227"/>
        <item m="1" x="228"/>
        <item m="1" x="226"/>
        <item x="7"/>
        <item x="8"/>
        <item m="1" x="152"/>
        <item m="1" x="71"/>
        <item x="40"/>
        <item m="1" x="303"/>
        <item m="1" x="354"/>
        <item m="1" x="395"/>
        <item x="41"/>
        <item x="42"/>
        <item m="1" x="96"/>
        <item m="1" x="153"/>
        <item x="44"/>
        <item x="46"/>
        <item m="1" x="113"/>
        <item m="1" x="72"/>
        <item m="1" x="193"/>
        <item m="1" x="97"/>
        <item m="1" x="98"/>
        <item m="1" x="99"/>
        <item m="1" x="73"/>
        <item m="1" x="140"/>
        <item m="1" x="100"/>
        <item m="1" x="439"/>
        <item m="1" x="285"/>
        <item m="1" x="336"/>
        <item m="1" x="312"/>
        <item m="1" x="304"/>
        <item m="1" x="391"/>
        <item m="1" x="398"/>
        <item m="1" x="412"/>
        <item m="1" x="260"/>
        <item m="1" x="337"/>
        <item m="1" x="401"/>
        <item m="1" x="299"/>
        <item m="1" x="396"/>
        <item m="1" x="233"/>
        <item m="1" x="232"/>
        <item m="1" x="295"/>
        <item m="1" x="319"/>
        <item m="1" x="386"/>
        <item m="1" x="101"/>
        <item m="1" x="266"/>
        <item m="1" x="119"/>
        <item m="1" x="372"/>
        <item m="1" x="397"/>
        <item x="18"/>
        <item m="1" x="210"/>
        <item x="47"/>
        <item m="1" x="209"/>
        <item m="1" x="58"/>
        <item x="48"/>
        <item m="1" x="274"/>
        <item m="1" x="215"/>
        <item m="1" x="105"/>
        <item x="1"/>
        <item x="2"/>
        <item x="4"/>
        <item x="5"/>
        <item x="0"/>
        <item x="3"/>
        <item m="1" x="375"/>
        <item m="1" x="280"/>
        <item m="1" x="154"/>
        <item m="1" x="212"/>
        <item m="1" x="314"/>
        <item m="1" x="172"/>
        <item m="1" x="399"/>
        <item m="1" x="366"/>
        <item m="1" x="275"/>
        <item m="1" x="256"/>
        <item m="1" x="392"/>
        <item m="1" x="294"/>
        <item m="1" x="263"/>
        <item m="1" x="114"/>
        <item m="1" x="57"/>
        <item x="6"/>
        <item m="1" x="118"/>
        <item m="1" x="270"/>
        <item m="1" x="276"/>
        <item m="1" x="282"/>
        <item m="1" x="213"/>
        <item m="1" x="194"/>
        <item m="1" x="286"/>
        <item m="1" x="296"/>
        <item m="1" x="307"/>
        <item m="1" x="382"/>
        <item x="52"/>
        <item m="1" x="409"/>
        <item m="1" x="422"/>
        <item m="1" x="428"/>
        <item m="1" x="431"/>
        <item m="1" x="440"/>
        <item m="1" x="301"/>
        <item m="1" x="367"/>
        <item m="1" x="103"/>
        <item m="1" x="178"/>
        <item m="1" x="330"/>
        <item m="1" x="338"/>
        <item m="1" x="344"/>
        <item m="1" x="355"/>
        <item m="1" x="359"/>
        <item m="1" x="121"/>
        <item m="1" x="122"/>
        <item m="1" x="408"/>
        <item m="1" x="432"/>
        <item m="1" x="436"/>
        <item m="1" x="405"/>
        <item m="1" x="361"/>
        <item m="1" x="368"/>
        <item m="1" x="379"/>
        <item m="1" x="385"/>
        <item m="1" x="393"/>
        <item m="1" x="400"/>
        <item m="1" x="177"/>
        <item m="1" x="207"/>
        <item m="1" x="208"/>
        <item m="1" x="183"/>
        <item m="1" x="184"/>
        <item m="1" x="185"/>
        <item m="1" x="186"/>
        <item m="1" x="156"/>
        <item m="1" x="120"/>
        <item m="1" x="170"/>
        <item m="1" x="331"/>
        <item m="1" x="339"/>
        <item m="1" x="345"/>
        <item m="1" x="362"/>
        <item m="1" x="287"/>
        <item m="1" x="102"/>
        <item m="1" x="315"/>
        <item m="1" x="197"/>
        <item m="1" x="155"/>
        <item m="1" x="264"/>
        <item m="1" x="157"/>
        <item m="1" x="316"/>
        <item m="1" x="369"/>
        <item m="1" x="220"/>
        <item m="1" x="219"/>
        <item m="1" x="308"/>
        <item m="1" x="313"/>
        <item m="1" x="317"/>
        <item m="1" x="242"/>
        <item m="1" x="243"/>
        <item m="1" x="244"/>
        <item m="1" x="231"/>
        <item m="1" x="240"/>
        <item m="1" x="241"/>
        <item m="1" x="410"/>
        <item m="1" x="413"/>
        <item m="1" x="416"/>
        <item m="1" x="419"/>
        <item m="1" x="327"/>
        <item m="1" x="332"/>
        <item m="1" x="251"/>
        <item m="1" x="253"/>
        <item m="1" x="257"/>
        <item m="1" x="265"/>
        <item m="1" x="267"/>
        <item m="1" x="288"/>
        <item m="1" x="305"/>
        <item m="1" x="411"/>
        <item m="1" x="159"/>
        <item m="1" x="341"/>
        <item m="1" x="346"/>
        <item m="1" x="349"/>
        <item m="1" x="356"/>
        <item m="1" x="358"/>
        <item m="1" x="200"/>
        <item m="1" x="201"/>
        <item m="1" x="202"/>
        <item m="1" x="203"/>
        <item m="1" x="104"/>
        <item m="1" x="214"/>
        <item m="1" x="300"/>
        <item m="1" x="376"/>
        <item m="1" x="383"/>
        <item m="1" x="198"/>
        <item m="1" x="403"/>
        <item m="1" x="406"/>
        <item m="1" x="414"/>
        <item m="1" x="333"/>
        <item m="1" x="334"/>
        <item m="1" x="92"/>
        <item m="1" x="404"/>
        <item m="1" x="417"/>
        <item m="1" x="420"/>
        <item m="1" x="423"/>
        <item m="1" x="426"/>
        <item m="1" x="429"/>
        <item m="1" x="324"/>
        <item m="1" x="328"/>
        <item m="1" x="373"/>
        <item x="9"/>
        <item m="1" x="116"/>
        <item m="1" x="143"/>
        <item m="1" x="158"/>
        <item m="1" x="384"/>
        <item m="1" x="387"/>
        <item m="1" x="370"/>
        <item m="1" x="394"/>
        <item m="1" x="421"/>
        <item m="1" x="234"/>
        <item m="1" x="235"/>
        <item m="1" x="291"/>
        <item m="1" x="247"/>
        <item m="1" x="144"/>
        <item m="1" x="145"/>
        <item m="1" x="211"/>
        <item m="1" x="77"/>
        <item m="1" x="79"/>
        <item m="1" x="80"/>
        <item m="1" x="160"/>
        <item m="1" x="74"/>
        <item m="1" x="75"/>
        <item m="1" x="76"/>
        <item m="1" x="78"/>
        <item m="1" x="81"/>
        <item m="1" x="82"/>
        <item m="1" x="83"/>
        <item m="1" x="84"/>
        <item m="1" x="89"/>
        <item m="1" x="239"/>
        <item m="1" x="115"/>
        <item m="1" x="87"/>
        <item m="1" x="91"/>
        <item m="1" x="254"/>
        <item m="1" x="86"/>
        <item m="1" x="309"/>
        <item m="1" x="433"/>
        <item m="1" x="277"/>
        <item x="50"/>
        <item m="1" x="321"/>
        <item m="1" x="169"/>
        <item m="1" x="350"/>
        <item m="1" x="117"/>
        <item m="1" x="388"/>
        <item m="1" x="424"/>
        <item m="1" x="261"/>
        <item m="1" x="292"/>
        <item m="1" x="310"/>
        <item m="1" x="365"/>
        <item m="1" x="430"/>
        <item m="1" x="311"/>
        <item m="1" x="425"/>
        <item m="1" x="322"/>
        <item m="1" x="389"/>
        <item m="1" x="435"/>
        <item m="1" x="206"/>
        <item m="1" x="357"/>
        <item m="1" x="402"/>
        <item m="1" x="229"/>
        <item m="1" x="297"/>
        <item m="1" x="289"/>
        <item m="1" x="271"/>
        <item m="1" x="272"/>
        <item m="1" x="90"/>
        <item m="1" x="216"/>
        <item m="1" x="268"/>
        <item m="1" x="217"/>
        <item m="1" x="218"/>
        <item m="1" x="190"/>
        <item m="1" x="131"/>
        <item m="1" x="132"/>
        <item m="1" x="133"/>
        <item x="51"/>
        <item m="1" x="85"/>
        <item m="1" x="88"/>
        <item m="1" x="164"/>
        <item m="1" x="141"/>
        <item m="1" x="142"/>
        <item n=" " m="1" x="245"/>
        <item x="27"/>
        <item x="37"/>
        <item x="43"/>
        <item x="49"/>
        <item x="54"/>
        <item x="53"/>
        <item x="55"/>
        <item x="56"/>
      </items>
    </pivotField>
    <pivotField dataField="1" compact="0" outline="0" subtotalTop="0" showAll="0" includeNewItemsInFilter="1" defaultSubtotal="0"/>
  </pivotFields>
  <rowFields count="1">
    <field x="5"/>
  </rowFields>
  <rowItems count="58">
    <i>
      <x v="16"/>
    </i>
    <i>
      <x v="18"/>
    </i>
    <i>
      <x v="19"/>
    </i>
    <i>
      <x v="20"/>
    </i>
    <i>
      <x v="25"/>
    </i>
    <i>
      <x v="26"/>
    </i>
    <i>
      <x v="35"/>
    </i>
    <i>
      <x v="36"/>
    </i>
    <i>
      <x v="37"/>
    </i>
    <i>
      <x v="38"/>
    </i>
    <i>
      <x v="47"/>
    </i>
    <i>
      <x v="48"/>
    </i>
    <i>
      <x v="78"/>
    </i>
    <i>
      <x v="95"/>
    </i>
    <i>
      <x v="106"/>
    </i>
    <i>
      <x v="122"/>
    </i>
    <i>
      <x v="125"/>
    </i>
    <i>
      <x v="134"/>
    </i>
    <i>
      <x v="135"/>
    </i>
    <i>
      <x v="136"/>
    </i>
    <i>
      <x v="137"/>
    </i>
    <i>
      <x v="138"/>
    </i>
    <i>
      <x v="139"/>
    </i>
    <i>
      <x v="140"/>
    </i>
    <i>
      <x v="149"/>
    </i>
    <i>
      <x v="150"/>
    </i>
    <i>
      <x v="151"/>
    </i>
    <i>
      <x v="154"/>
    </i>
    <i>
      <x v="161"/>
    </i>
    <i>
      <x v="162"/>
    </i>
    <i>
      <x v="165"/>
    </i>
    <i>
      <x v="169"/>
    </i>
    <i>
      <x v="170"/>
    </i>
    <i>
      <x v="173"/>
    </i>
    <i>
      <x v="174"/>
    </i>
    <i>
      <x v="207"/>
    </i>
    <i>
      <x v="209"/>
    </i>
    <i>
      <x v="212"/>
    </i>
    <i>
      <x v="216"/>
    </i>
    <i>
      <x v="217"/>
    </i>
    <i>
      <x v="218"/>
    </i>
    <i>
      <x v="219"/>
    </i>
    <i>
      <x v="220"/>
    </i>
    <i>
      <x v="221"/>
    </i>
    <i>
      <x v="237"/>
    </i>
    <i>
      <x v="248"/>
    </i>
    <i>
      <x v="354"/>
    </i>
    <i>
      <x v="392"/>
    </i>
    <i>
      <x v="426"/>
    </i>
    <i>
      <x v="433"/>
    </i>
    <i>
      <x v="434"/>
    </i>
    <i>
      <x v="435"/>
    </i>
    <i>
      <x v="436"/>
    </i>
    <i>
      <x v="437"/>
    </i>
    <i>
      <x v="438"/>
    </i>
    <i>
      <x v="439"/>
    </i>
    <i>
      <x v="440"/>
    </i>
    <i t="grand">
      <x/>
    </i>
  </rowItems>
  <colItems count="1">
    <i/>
  </colItems>
  <dataFields count="1">
    <dataField name="Suma de MontoA" fld="6" baseField="0" baseItem="0" numFmtId="164"/>
  </dataFields>
  <formats count="2">
    <format dxfId="116">
      <pivotArea dataOnly="0" labelOnly="1" outline="0" fieldPosition="0">
        <references count="1">
          <reference field="5" count="0"/>
        </references>
      </pivotArea>
    </format>
    <format dxfId="115">
      <pivotArea outline="0" fieldPosition="0">
        <references count="1">
          <reference field="4294967294" count="1">
            <x v="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 cacheId="0" dataOnRows="1" applyNumberFormats="0" applyBorderFormats="0" applyFontFormats="0" applyPatternFormats="0" applyAlignmentFormats="0" applyWidthHeightFormats="1" dataCaption="Datos" showMissing="0" updatedVersion="8" minRefreshableVersion="3" showMemberPropertyTips="0" useAutoFormatting="1" itemPrintTitles="1" createdVersion="5" indent="0" compact="0" compactData="0" gridDropZones="1">
  <location ref="P3:Q43" firstHeaderRow="2" firstDataRow="2" firstDataCol="1"/>
  <pivotFields count="3">
    <pivotField axis="axisRow" compact="0" outline="0" subtotalTop="0" showAll="0" includeNewItemsInFilter="1" sortType="ascending" defaultSubtotal="0">
      <items count="290">
        <item h="1" x="0"/>
        <item m="1" x="288"/>
        <item m="1" x="154"/>
        <item m="1" x="195"/>
        <item m="1" x="179"/>
        <item m="1" x="170"/>
        <item m="1" x="133"/>
        <item m="1" x="164"/>
        <item m="1" x="222"/>
        <item m="1" x="171"/>
        <item m="1" x="238"/>
        <item m="1" x="245"/>
        <item m="1" x="230"/>
        <item m="1" x="282"/>
        <item m="1" x="262"/>
        <item m="1" x="134"/>
        <item m="1" x="196"/>
        <item m="1" x="203"/>
        <item m="1" x="242"/>
        <item m="1" x="149"/>
        <item m="1" x="247"/>
        <item m="1" x="165"/>
        <item m="1" x="243"/>
        <item m="1" x="78"/>
        <item m="1" x="117"/>
        <item m="1" x="257"/>
        <item m="1" x="160"/>
        <item m="1" x="283"/>
        <item m="1" x="162"/>
        <item m="1" x="183"/>
        <item m="1" x="234"/>
        <item m="1" x="54"/>
        <item m="1" x="139"/>
        <item m="1" x="220"/>
        <item m="1" x="244"/>
        <item m="1" x="253"/>
        <item x="11"/>
        <item m="1" x="104"/>
        <item x="6"/>
        <item m="1" x="103"/>
        <item m="1" x="43"/>
        <item x="17"/>
        <item m="1" x="145"/>
        <item m="1" x="116"/>
        <item m="1" x="60"/>
        <item x="2"/>
        <item x="9"/>
        <item x="28"/>
        <item x="22"/>
        <item x="10"/>
        <item x="29"/>
        <item m="1" x="223"/>
        <item m="1" x="150"/>
        <item m="1" x="81"/>
        <item m="1" x="231"/>
        <item m="1" x="224"/>
        <item m="1" x="216"/>
        <item m="1" x="146"/>
        <item m="1" x="157"/>
        <item m="1" x="132"/>
        <item m="1" x="239"/>
        <item m="1" x="232"/>
        <item m="1" x="212"/>
        <item m="1" x="278"/>
        <item m="1" x="161"/>
        <item m="1" x="136"/>
        <item m="1" x="85"/>
        <item m="1" x="40"/>
        <item m="1" x="143"/>
        <item m="1" x="286"/>
        <item m="1" x="128"/>
        <item m="1" x="59"/>
        <item m="1" x="73"/>
        <item m="1" x="72"/>
        <item m="1" x="151"/>
        <item m="1" x="112"/>
        <item m="1" x="48"/>
        <item m="1" x="271"/>
        <item m="1" x="147"/>
        <item m="1" x="155"/>
        <item m="1" x="163"/>
        <item m="1" x="175"/>
        <item m="1" x="227"/>
        <item x="25"/>
        <item m="1" x="246"/>
        <item m="1" x="259"/>
        <item m="1" x="272"/>
        <item m="1" x="279"/>
        <item m="1" x="284"/>
        <item m="1" x="289"/>
        <item m="1" x="167"/>
        <item m="1" x="275"/>
        <item m="1" x="198"/>
        <item m="1" x="248"/>
        <item m="1" x="204"/>
        <item m="1" x="217"/>
        <item m="1" x="53"/>
        <item m="1" x="96"/>
        <item m="1" x="192"/>
        <item m="1" x="197"/>
        <item m="1" x="199"/>
        <item m="1" x="208"/>
        <item m="1" x="213"/>
        <item m="1" x="65"/>
        <item m="1" x="69"/>
        <item m="1" x="258"/>
        <item m="1" x="285"/>
        <item m="1" x="287"/>
        <item m="1" x="158"/>
        <item m="1" x="254"/>
        <item m="1" x="214"/>
        <item m="1" x="225"/>
        <item m="1" x="233"/>
        <item m="1" x="74"/>
        <item m="1" x="75"/>
        <item m="1" x="125"/>
        <item m="1" x="255"/>
        <item m="1" x="265"/>
        <item m="1" x="95"/>
        <item m="1" x="106"/>
        <item m="1" x="107"/>
        <item m="1" x="100"/>
        <item m="1" x="98"/>
        <item m="1" x="99"/>
        <item m="1" x="97"/>
        <item m="1" x="82"/>
        <item m="1" x="61"/>
        <item m="1" x="91"/>
        <item x="3"/>
        <item x="30"/>
        <item m="1" x="200"/>
        <item x="31"/>
        <item x="15"/>
        <item m="1" x="111"/>
        <item x="23"/>
        <item x="8"/>
        <item m="1" x="42"/>
        <item m="1" x="83"/>
        <item m="1" x="137"/>
        <item m="1" x="86"/>
        <item m="1" x="181"/>
        <item m="1" x="218"/>
        <item m="1" x="52"/>
        <item m="1" x="49"/>
        <item m="1" x="176"/>
        <item m="1" x="180"/>
        <item m="1" x="182"/>
        <item m="1" x="77"/>
        <item x="36"/>
        <item x="35"/>
        <item m="1" x="110"/>
        <item x="34"/>
        <item x="33"/>
        <item m="1" x="260"/>
        <item m="1" x="263"/>
        <item m="1" x="266"/>
        <item m="1" x="268"/>
        <item m="1" x="276"/>
        <item m="1" x="51"/>
        <item m="1" x="50"/>
        <item m="1" x="126"/>
        <item m="1" x="130"/>
        <item m="1" x="94"/>
        <item m="1" x="138"/>
        <item m="1" x="140"/>
        <item m="1" x="141"/>
        <item m="1" x="156"/>
        <item m="1" x="168"/>
        <item m="1" x="172"/>
        <item m="1" x="174"/>
        <item m="1" x="261"/>
        <item m="1" x="87"/>
        <item m="1" x="57"/>
        <item m="1" x="201"/>
        <item m="1" x="205"/>
        <item m="1" x="209"/>
        <item m="1" x="211"/>
        <item m="1" x="108"/>
        <item m="1" x="109"/>
        <item m="1" x="102"/>
        <item m="1" x="101"/>
        <item m="1" x="55"/>
        <item m="1" x="62"/>
        <item m="1" x="202"/>
        <item m="1" x="206"/>
        <item m="1" x="166"/>
        <item m="1" x="169"/>
        <item m="1" x="64"/>
        <item m="1" x="226"/>
        <item m="1" x="228"/>
        <item m="1" x="235"/>
        <item m="1" x="63"/>
        <item m="1" x="251"/>
        <item m="1" x="256"/>
        <item m="1" x="264"/>
        <item m="1" x="184"/>
        <item m="1" x="186"/>
        <item m="1" x="190"/>
        <item m="1" x="193"/>
        <item m="1" x="194"/>
        <item m="1" x="56"/>
        <item m="1" x="252"/>
        <item m="1" x="267"/>
        <item m="1" x="269"/>
        <item m="1" x="273"/>
        <item m="1" x="277"/>
        <item m="1" x="280"/>
        <item m="1" x="187"/>
        <item m="1" x="191"/>
        <item m="1" x="221"/>
        <item x="37"/>
        <item m="1" x="188"/>
        <item m="1" x="70"/>
        <item m="1" x="76"/>
        <item m="1" x="88"/>
        <item m="1" x="229"/>
        <item m="1" x="219"/>
        <item m="1" x="240"/>
        <item m="1" x="270"/>
        <item m="1" x="80"/>
        <item m="1" x="79"/>
        <item x="38"/>
        <item x="32"/>
        <item m="1" x="152"/>
        <item m="1" x="153"/>
        <item m="1" x="71"/>
        <item m="1" x="90"/>
        <item m="1" x="84"/>
        <item x="18"/>
        <item x="16"/>
        <item x="21"/>
        <item x="26"/>
        <item x="19"/>
        <item m="1" x="46"/>
        <item x="27"/>
        <item x="12"/>
        <item x="4"/>
        <item x="7"/>
        <item x="24"/>
        <item x="13"/>
        <item x="14"/>
        <item m="1" x="118"/>
        <item x="1"/>
        <item m="1" x="119"/>
        <item m="1" x="131"/>
        <item m="1" x="41"/>
        <item m="1" x="105"/>
        <item m="1" x="93"/>
        <item m="1" x="148"/>
        <item x="5"/>
        <item m="1" x="173"/>
        <item m="1" x="124"/>
        <item m="1" x="92"/>
        <item m="1" x="241"/>
        <item m="1" x="207"/>
        <item m="1" x="58"/>
        <item m="1" x="236"/>
        <item m="1" x="274"/>
        <item m="1" x="135"/>
        <item m="1" x="159"/>
        <item m="1" x="249"/>
        <item m="1" x="189"/>
        <item m="1" x="177"/>
        <item m="1" x="129"/>
        <item m="1" x="215"/>
        <item m="1" x="281"/>
        <item m="1" x="178"/>
        <item m="1" x="120"/>
        <item m="1" x="185"/>
        <item m="1" x="237"/>
        <item m="1" x="210"/>
        <item m="1" x="250"/>
        <item m="1" x="127"/>
        <item m="1" x="121"/>
        <item m="1" x="122"/>
        <item m="1" x="123"/>
        <item m="1" x="144"/>
        <item m="1" x="44"/>
        <item m="1" x="114"/>
        <item m="1" x="142"/>
        <item m="1" x="113"/>
        <item m="1" x="115"/>
        <item m="1" x="67"/>
        <item m="1" x="66"/>
        <item m="1" x="68"/>
        <item x="20"/>
        <item m="1" x="45"/>
        <item m="1" x="47"/>
        <item m="1" x="89"/>
        <item h="1" x="39"/>
      </items>
    </pivotField>
    <pivotField compact="0" outline="0" subtotalTop="0" showAll="0" includeNewItemsInFilter="1" defaultSubtotal="0"/>
    <pivotField dataField="1" compact="0" outline="0" subtotalTop="0" showAll="0" includeNewItemsInFilter="1"/>
  </pivotFields>
  <rowFields count="1">
    <field x="0"/>
  </rowFields>
  <rowItems count="39">
    <i>
      <x v="36"/>
    </i>
    <i>
      <x v="38"/>
    </i>
    <i>
      <x v="41"/>
    </i>
    <i>
      <x v="45"/>
    </i>
    <i>
      <x v="46"/>
    </i>
    <i>
      <x v="47"/>
    </i>
    <i>
      <x v="48"/>
    </i>
    <i>
      <x v="49"/>
    </i>
    <i>
      <x v="50"/>
    </i>
    <i>
      <x v="83"/>
    </i>
    <i>
      <x v="128"/>
    </i>
    <i>
      <x v="129"/>
    </i>
    <i>
      <x v="131"/>
    </i>
    <i>
      <x v="132"/>
    </i>
    <i>
      <x v="134"/>
    </i>
    <i>
      <x v="135"/>
    </i>
    <i>
      <x v="148"/>
    </i>
    <i>
      <x v="149"/>
    </i>
    <i>
      <x v="151"/>
    </i>
    <i>
      <x v="152"/>
    </i>
    <i>
      <x v="210"/>
    </i>
    <i>
      <x v="221"/>
    </i>
    <i>
      <x v="222"/>
    </i>
    <i>
      <x v="228"/>
    </i>
    <i>
      <x v="229"/>
    </i>
    <i>
      <x v="230"/>
    </i>
    <i>
      <x v="231"/>
    </i>
    <i>
      <x v="232"/>
    </i>
    <i>
      <x v="234"/>
    </i>
    <i>
      <x v="235"/>
    </i>
    <i>
      <x v="236"/>
    </i>
    <i>
      <x v="237"/>
    </i>
    <i>
      <x v="238"/>
    </i>
    <i>
      <x v="239"/>
    </i>
    <i>
      <x v="240"/>
    </i>
    <i>
      <x v="242"/>
    </i>
    <i>
      <x v="249"/>
    </i>
    <i>
      <x v="285"/>
    </i>
    <i t="grand">
      <x/>
    </i>
  </rowItems>
  <colItems count="1">
    <i/>
  </colItems>
  <dataFields count="1">
    <dataField name="Suma de TOTAL $" fld="2" baseField="0" baseItem="0" numFmtId="164"/>
  </dataFields>
  <formats count="1">
    <format dxfId="114">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58AA5D-6AD7-4E71-9456-30224093B2F3}" name="Tabla2" displayName="Tabla2" ref="A1:G2" totalsRowShown="0">
  <autoFilter ref="A1:G2" xr:uid="{F658AA5D-6AD7-4E71-9456-30224093B2F3}"/>
  <tableColumns count="7">
    <tableColumn id="1" xr3:uid="{B1E47D25-7419-44AE-814B-7EC2EF51292D}" name="NumCliente"/>
    <tableColumn id="2" xr3:uid="{012EE561-309A-40E1-BD86-E2BEF7FE1FC3}" name="NombreCorto"/>
    <tableColumn id="3" xr3:uid="{09322604-2B84-4F08-ACD6-7379DDCF0F44}" name="DescCorta"/>
    <tableColumn id="4" xr3:uid="{A30FDDEF-FB6F-4B57-88DB-958AD177A7F0}" name="TipoMov"/>
    <tableColumn id="5" xr3:uid="{8E945669-7481-42F4-9DC9-F32F22F3FD5A}" name="Monto"/>
    <tableColumn id="6" xr3:uid="{DC9D005D-0923-4288-9843-17844610ABCC}" name="Codigo"/>
    <tableColumn id="7" xr3:uid="{6EE66584-D20F-41BD-A16B-17EACB8848DF}" name="MontoA"/>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F89795-5908-459F-83F9-649018BBB058}" name="Tabla1" displayName="Tabla1" ref="A1:G2" totalsRowShown="0">
  <autoFilter ref="A1:G2" xr:uid="{EEF89795-5908-459F-83F9-649018BBB058}"/>
  <tableColumns count="7">
    <tableColumn id="1" xr3:uid="{08C99644-3024-49C2-9B67-CFF157EA22B1}" name="NumCliente"/>
    <tableColumn id="2" xr3:uid="{D98FC7C2-0B7C-43AB-BE77-CDEA8968C094}" name="NombreCorto"/>
    <tableColumn id="3" xr3:uid="{9EF13BA5-86F9-49BB-BA96-2643C3C48F24}" name="DescCorta"/>
    <tableColumn id="4" xr3:uid="{E3001501-F014-4B26-B0AB-B5E9B707BACA}" name="TipoMov"/>
    <tableColumn id="5" xr3:uid="{768DB8D1-4A4F-480E-BB96-48F2F7BD44A9}" name="Monto"/>
    <tableColumn id="6" xr3:uid="{3672C973-E38D-4CA2-B7D7-753CE7557321}" name="Codigo"/>
    <tableColumn id="7" xr3:uid="{74BF152E-9EFF-49C3-B9B4-4892544CED40}" name="MontoA"/>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file:///\\180.2.159.233\Operaciones\Operativa\CONTRATOS%20DEFINITIVOS.xlsx"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4" Type="http://schemas.openxmlformats.org/officeDocument/2006/relationships/printerSettings" Target="../printerSettings/printerSettings10.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5.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8"/>
  <dimension ref="A1:C3"/>
  <sheetViews>
    <sheetView workbookViewId="0"/>
  </sheetViews>
  <sheetFormatPr baseColWidth="10" defaultRowHeight="12.75" x14ac:dyDescent="0.2"/>
  <cols>
    <col min="1" max="1" width="11.85546875" bestFit="1" customWidth="1"/>
    <col min="2" max="2" width="7.42578125" bestFit="1" customWidth="1"/>
    <col min="3" max="3" width="10" bestFit="1" customWidth="1"/>
  </cols>
  <sheetData>
    <row r="1" spans="1:3" ht="13.5" thickBot="1" x14ac:dyDescent="0.25">
      <c r="A1" s="48" t="s">
        <v>95</v>
      </c>
      <c r="B1" s="48" t="s">
        <v>96</v>
      </c>
      <c r="C1" s="48" t="s">
        <v>4</v>
      </c>
    </row>
    <row r="2" spans="1:3" x14ac:dyDescent="0.2">
      <c r="A2" s="46">
        <v>2000795</v>
      </c>
      <c r="B2" s="46" t="s">
        <v>233</v>
      </c>
      <c r="C2" s="46">
        <v>6390.74</v>
      </c>
    </row>
    <row r="3" spans="1:3" ht="13.5" thickBot="1" x14ac:dyDescent="0.25">
      <c r="A3" s="47">
        <v>2000795</v>
      </c>
      <c r="B3" s="47" t="s">
        <v>233</v>
      </c>
      <c r="C3" s="47">
        <v>608128.16</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2"/>
  <dimension ref="A2:I65527"/>
  <sheetViews>
    <sheetView topLeftCell="A228" zoomScaleNormal="100" workbookViewId="0">
      <selection activeCell="A245" sqref="A245"/>
    </sheetView>
  </sheetViews>
  <sheetFormatPr baseColWidth="10" defaultColWidth="11.42578125" defaultRowHeight="12.75" x14ac:dyDescent="0.2"/>
  <cols>
    <col min="1" max="1" width="14.7109375" style="137" bestFit="1" customWidth="1"/>
    <col min="2" max="2" width="11.42578125" style="137"/>
    <col min="3" max="3" width="10.28515625" style="137" customWidth="1"/>
    <col min="4" max="4" width="43.5703125" style="137" customWidth="1"/>
    <col min="5" max="5" width="44.140625" style="137" customWidth="1"/>
    <col min="6" max="6" width="14.28515625" style="137" bestFit="1" customWidth="1"/>
    <col min="7" max="7" width="4.85546875" style="137" bestFit="1" customWidth="1"/>
    <col min="8" max="8" width="8.140625" style="137" bestFit="1" customWidth="1"/>
    <col min="9" max="16384" width="11.42578125" style="137"/>
  </cols>
  <sheetData>
    <row r="2" spans="1:9" x14ac:dyDescent="0.2">
      <c r="A2" s="204" t="s">
        <v>252</v>
      </c>
      <c r="B2" s="204" t="s">
        <v>253</v>
      </c>
      <c r="C2" s="204" t="s">
        <v>99</v>
      </c>
      <c r="D2" s="204" t="s">
        <v>254</v>
      </c>
      <c r="E2" s="204" t="s">
        <v>255</v>
      </c>
      <c r="F2" s="204" t="s">
        <v>256</v>
      </c>
      <c r="G2" s="203" t="s">
        <v>257</v>
      </c>
      <c r="H2" s="203"/>
    </row>
    <row r="3" spans="1:9" x14ac:dyDescent="0.2">
      <c r="A3" s="205"/>
      <c r="B3" s="205"/>
      <c r="C3" s="205"/>
      <c r="D3" s="205"/>
      <c r="E3" s="205"/>
      <c r="F3" s="205"/>
      <c r="G3" s="136" t="s">
        <v>258</v>
      </c>
      <c r="H3" s="136" t="s">
        <v>259</v>
      </c>
    </row>
    <row r="4" spans="1:9" x14ac:dyDescent="0.2">
      <c r="A4" s="138">
        <v>77705</v>
      </c>
      <c r="B4" s="138">
        <v>31</v>
      </c>
      <c r="C4" s="138" t="s">
        <v>357</v>
      </c>
      <c r="D4" s="138" t="s">
        <v>71</v>
      </c>
      <c r="E4" s="138" t="s">
        <v>94</v>
      </c>
      <c r="F4" s="138" t="s">
        <v>10</v>
      </c>
      <c r="G4" s="138"/>
      <c r="H4" s="138" t="s">
        <v>260</v>
      </c>
      <c r="I4" s="137" t="s">
        <v>74</v>
      </c>
    </row>
    <row r="5" spans="1:9" x14ac:dyDescent="0.2">
      <c r="A5" s="138">
        <v>156331</v>
      </c>
      <c r="B5" s="138">
        <v>71</v>
      </c>
      <c r="C5" s="138" t="s">
        <v>358</v>
      </c>
      <c r="D5" s="138" t="s">
        <v>116</v>
      </c>
      <c r="E5" s="138" t="s">
        <v>89</v>
      </c>
      <c r="F5" s="138" t="s">
        <v>261</v>
      </c>
      <c r="G5" s="138" t="s">
        <v>260</v>
      </c>
      <c r="H5" s="138"/>
      <c r="I5" s="137" t="s">
        <v>74</v>
      </c>
    </row>
    <row r="6" spans="1:9" x14ac:dyDescent="0.2">
      <c r="A6" s="138">
        <v>65502222299</v>
      </c>
      <c r="B6" s="138">
        <v>74</v>
      </c>
      <c r="C6" s="138" t="s">
        <v>358</v>
      </c>
      <c r="D6" s="138" t="s">
        <v>117</v>
      </c>
      <c r="E6" s="138" t="s">
        <v>117</v>
      </c>
      <c r="F6" s="138" t="s">
        <v>261</v>
      </c>
      <c r="G6" s="138" t="s">
        <v>260</v>
      </c>
      <c r="H6" s="138"/>
      <c r="I6" s="137" t="s">
        <v>74</v>
      </c>
    </row>
    <row r="7" spans="1:9" ht="25.5" x14ac:dyDescent="0.2">
      <c r="A7" s="138">
        <v>556424</v>
      </c>
      <c r="B7" s="138">
        <v>87</v>
      </c>
      <c r="C7" s="138" t="s">
        <v>358</v>
      </c>
      <c r="D7" s="138" t="s">
        <v>109</v>
      </c>
      <c r="E7" s="138" t="s">
        <v>262</v>
      </c>
      <c r="F7" s="138" t="s">
        <v>261</v>
      </c>
      <c r="G7" s="138" t="s">
        <v>260</v>
      </c>
      <c r="H7" s="138"/>
      <c r="I7" s="137" t="s">
        <v>74</v>
      </c>
    </row>
    <row r="8" spans="1:9" x14ac:dyDescent="0.2">
      <c r="A8" s="138">
        <v>531448</v>
      </c>
      <c r="B8" s="138">
        <v>91</v>
      </c>
      <c r="C8" s="138" t="s">
        <v>358</v>
      </c>
      <c r="D8" s="138" t="s">
        <v>119</v>
      </c>
      <c r="E8" s="138" t="s">
        <v>263</v>
      </c>
      <c r="F8" s="138" t="s">
        <v>261</v>
      </c>
      <c r="G8" s="138"/>
      <c r="H8" s="138" t="s">
        <v>260</v>
      </c>
      <c r="I8" s="137" t="s">
        <v>74</v>
      </c>
    </row>
    <row r="9" spans="1:9" x14ac:dyDescent="0.2">
      <c r="A9" s="138">
        <v>2000135</v>
      </c>
      <c r="B9" s="138">
        <v>100</v>
      </c>
      <c r="C9" s="138" t="s">
        <v>358</v>
      </c>
      <c r="D9" s="138" t="s">
        <v>264</v>
      </c>
      <c r="E9" s="138" t="s">
        <v>92</v>
      </c>
      <c r="F9" s="138" t="s">
        <v>261</v>
      </c>
      <c r="G9" s="138" t="s">
        <v>260</v>
      </c>
      <c r="H9" s="138"/>
      <c r="I9" s="137" t="s">
        <v>74</v>
      </c>
    </row>
    <row r="10" spans="1:9" x14ac:dyDescent="0.2">
      <c r="A10" s="138">
        <v>2000152</v>
      </c>
      <c r="B10" s="138">
        <v>102</v>
      </c>
      <c r="C10" s="138" t="s">
        <v>357</v>
      </c>
      <c r="D10" s="138" t="s">
        <v>11</v>
      </c>
      <c r="E10" s="138" t="s">
        <v>92</v>
      </c>
      <c r="F10" s="138" t="s">
        <v>261</v>
      </c>
      <c r="G10" s="138" t="s">
        <v>260</v>
      </c>
      <c r="H10" s="138"/>
      <c r="I10" s="137" t="s">
        <v>74</v>
      </c>
    </row>
    <row r="11" spans="1:9" x14ac:dyDescent="0.2">
      <c r="A11" s="138">
        <v>2000204</v>
      </c>
      <c r="B11" s="138">
        <v>115</v>
      </c>
      <c r="C11" s="138" t="s">
        <v>358</v>
      </c>
      <c r="D11" s="138" t="s">
        <v>265</v>
      </c>
      <c r="E11" s="138" t="s">
        <v>92</v>
      </c>
      <c r="F11" s="138" t="s">
        <v>261</v>
      </c>
      <c r="G11" s="138" t="s">
        <v>260</v>
      </c>
      <c r="H11" s="138"/>
      <c r="I11" s="137" t="s">
        <v>74</v>
      </c>
    </row>
    <row r="12" spans="1:9" ht="38.25" x14ac:dyDescent="0.2">
      <c r="A12" s="106">
        <v>1008496</v>
      </c>
      <c r="B12" s="106">
        <v>119</v>
      </c>
      <c r="C12" s="106" t="s">
        <v>358</v>
      </c>
      <c r="D12" s="106" t="s">
        <v>107</v>
      </c>
      <c r="E12" s="106" t="s">
        <v>266</v>
      </c>
      <c r="F12" s="106" t="s">
        <v>10</v>
      </c>
      <c r="G12" s="106" t="s">
        <v>260</v>
      </c>
      <c r="H12" s="106"/>
      <c r="I12" s="137" t="s">
        <v>74</v>
      </c>
    </row>
    <row r="13" spans="1:9" x14ac:dyDescent="0.2">
      <c r="A13" s="138">
        <v>544000</v>
      </c>
      <c r="B13" s="138">
        <v>125</v>
      </c>
      <c r="C13" s="138" t="s">
        <v>357</v>
      </c>
      <c r="D13" s="138" t="s">
        <v>267</v>
      </c>
      <c r="E13" s="138" t="s">
        <v>88</v>
      </c>
      <c r="F13" s="138" t="s">
        <v>10</v>
      </c>
      <c r="G13" s="138" t="s">
        <v>260</v>
      </c>
      <c r="H13" s="138"/>
      <c r="I13" s="137" t="s">
        <v>74</v>
      </c>
    </row>
    <row r="14" spans="1:9" x14ac:dyDescent="0.2">
      <c r="A14" s="138">
        <v>503967</v>
      </c>
      <c r="B14" s="138">
        <v>126</v>
      </c>
      <c r="C14" s="138" t="s">
        <v>357</v>
      </c>
      <c r="D14" s="138" t="s">
        <v>268</v>
      </c>
      <c r="E14" s="138" t="s">
        <v>88</v>
      </c>
      <c r="F14" s="138" t="s">
        <v>10</v>
      </c>
      <c r="G14" s="138" t="s">
        <v>260</v>
      </c>
      <c r="H14" s="138"/>
      <c r="I14" s="137" t="s">
        <v>74</v>
      </c>
    </row>
    <row r="15" spans="1:9" x14ac:dyDescent="0.2">
      <c r="A15" s="138">
        <v>67715</v>
      </c>
      <c r="B15" s="138">
        <v>1068</v>
      </c>
      <c r="C15" s="138" t="s">
        <v>358</v>
      </c>
      <c r="D15" s="138" t="s">
        <v>123</v>
      </c>
      <c r="E15" s="138" t="s">
        <v>269</v>
      </c>
      <c r="F15" s="138" t="s">
        <v>10</v>
      </c>
      <c r="G15" s="138" t="s">
        <v>260</v>
      </c>
      <c r="H15" s="138"/>
      <c r="I15" s="137" t="s">
        <v>74</v>
      </c>
    </row>
    <row r="16" spans="1:9" x14ac:dyDescent="0.2">
      <c r="A16" s="138">
        <v>71312</v>
      </c>
      <c r="B16" s="138">
        <v>1072</v>
      </c>
      <c r="C16" s="138" t="s">
        <v>357</v>
      </c>
      <c r="D16" s="138" t="s">
        <v>270</v>
      </c>
      <c r="E16" s="138" t="s">
        <v>229</v>
      </c>
      <c r="F16" s="138" t="s">
        <v>10</v>
      </c>
      <c r="G16" s="138"/>
      <c r="H16" s="138" t="s">
        <v>260</v>
      </c>
      <c r="I16" s="137" t="s">
        <v>74</v>
      </c>
    </row>
    <row r="17" spans="1:9" x14ac:dyDescent="0.2">
      <c r="A17" s="138">
        <v>71313</v>
      </c>
      <c r="B17" s="138">
        <v>1072</v>
      </c>
      <c r="C17" s="138" t="s">
        <v>357</v>
      </c>
      <c r="D17" s="138" t="s">
        <v>53</v>
      </c>
      <c r="E17" s="138" t="s">
        <v>229</v>
      </c>
      <c r="F17" s="138" t="s">
        <v>10</v>
      </c>
      <c r="G17" s="138"/>
      <c r="H17" s="138" t="s">
        <v>260</v>
      </c>
      <c r="I17" s="137" t="s">
        <v>74</v>
      </c>
    </row>
    <row r="18" spans="1:9" x14ac:dyDescent="0.2">
      <c r="A18" s="138">
        <v>152869</v>
      </c>
      <c r="B18" s="138">
        <v>1079</v>
      </c>
      <c r="C18" s="138" t="s">
        <v>357</v>
      </c>
      <c r="D18" s="138" t="s">
        <v>128</v>
      </c>
      <c r="E18" s="138" t="s">
        <v>271</v>
      </c>
      <c r="F18" s="138" t="s">
        <v>10</v>
      </c>
      <c r="G18" s="138" t="s">
        <v>260</v>
      </c>
      <c r="H18" s="138"/>
      <c r="I18" s="137" t="s">
        <v>74</v>
      </c>
    </row>
    <row r="19" spans="1:9" x14ac:dyDescent="0.2">
      <c r="A19" s="138">
        <v>2000385</v>
      </c>
      <c r="B19" s="138">
        <v>2100</v>
      </c>
      <c r="C19" s="138" t="s">
        <v>358</v>
      </c>
      <c r="D19" s="138" t="s">
        <v>135</v>
      </c>
      <c r="E19" s="138" t="s">
        <v>90</v>
      </c>
      <c r="F19" s="138" t="s">
        <v>272</v>
      </c>
      <c r="G19" s="138"/>
      <c r="H19" s="138" t="s">
        <v>260</v>
      </c>
      <c r="I19" s="137" t="s">
        <v>74</v>
      </c>
    </row>
    <row r="20" spans="1:9" x14ac:dyDescent="0.2">
      <c r="A20" s="138">
        <v>566810</v>
      </c>
      <c r="B20" s="138">
        <v>2200</v>
      </c>
      <c r="C20" s="138" t="s">
        <v>358</v>
      </c>
      <c r="D20" s="138" t="s">
        <v>90</v>
      </c>
      <c r="E20" s="138" t="s">
        <v>90</v>
      </c>
      <c r="F20" s="138" t="s">
        <v>272</v>
      </c>
      <c r="G20" s="138"/>
      <c r="H20" s="138" t="s">
        <v>260</v>
      </c>
      <c r="I20" s="137" t="s">
        <v>74</v>
      </c>
    </row>
    <row r="21" spans="1:9" x14ac:dyDescent="0.2">
      <c r="A21" s="138">
        <v>142518</v>
      </c>
      <c r="B21" s="138">
        <v>2300</v>
      </c>
      <c r="C21" s="138" t="s">
        <v>358</v>
      </c>
      <c r="D21" s="138" t="s">
        <v>111</v>
      </c>
      <c r="E21" s="138" t="s">
        <v>90</v>
      </c>
      <c r="F21" s="138" t="s">
        <v>272</v>
      </c>
      <c r="G21" s="138"/>
      <c r="H21" s="138" t="s">
        <v>260</v>
      </c>
      <c r="I21" s="137" t="s">
        <v>74</v>
      </c>
    </row>
    <row r="22" spans="1:9" x14ac:dyDescent="0.2">
      <c r="A22" s="138">
        <v>1018811</v>
      </c>
      <c r="B22" s="138">
        <v>1018811</v>
      </c>
      <c r="C22" s="138" t="s">
        <v>358</v>
      </c>
      <c r="D22" s="138" t="s">
        <v>140</v>
      </c>
      <c r="E22" s="138" t="s">
        <v>273</v>
      </c>
      <c r="F22" s="138" t="s">
        <v>261</v>
      </c>
      <c r="G22" s="138" t="s">
        <v>260</v>
      </c>
      <c r="H22" s="138"/>
      <c r="I22" s="137" t="s">
        <v>74</v>
      </c>
    </row>
    <row r="23" spans="1:9" ht="25.5" x14ac:dyDescent="0.2">
      <c r="A23" s="138">
        <v>1018991</v>
      </c>
      <c r="B23" s="138">
        <v>1018991</v>
      </c>
      <c r="C23" s="138" t="s">
        <v>358</v>
      </c>
      <c r="D23" s="138" t="s">
        <v>141</v>
      </c>
      <c r="E23" s="138" t="s">
        <v>141</v>
      </c>
      <c r="F23" s="138" t="s">
        <v>261</v>
      </c>
      <c r="G23" s="138" t="s">
        <v>260</v>
      </c>
      <c r="H23" s="138"/>
      <c r="I23" s="137" t="s">
        <v>74</v>
      </c>
    </row>
    <row r="24" spans="1:9" ht="25.5" x14ac:dyDescent="0.2">
      <c r="A24" s="138">
        <v>1020416</v>
      </c>
      <c r="B24" s="138">
        <v>1020416</v>
      </c>
      <c r="C24" s="138" t="s">
        <v>357</v>
      </c>
      <c r="D24" s="138" t="s">
        <v>142</v>
      </c>
      <c r="E24" s="138" t="s">
        <v>271</v>
      </c>
      <c r="F24" s="138" t="s">
        <v>272</v>
      </c>
      <c r="G24" s="138" t="s">
        <v>260</v>
      </c>
      <c r="H24" s="138"/>
      <c r="I24" s="137" t="s">
        <v>74</v>
      </c>
    </row>
    <row r="25" spans="1:9" ht="25.5" x14ac:dyDescent="0.2">
      <c r="A25" s="138">
        <v>1022367</v>
      </c>
      <c r="B25" s="138">
        <v>1022367</v>
      </c>
      <c r="C25" s="138" t="s">
        <v>358</v>
      </c>
      <c r="D25" s="138" t="s">
        <v>173</v>
      </c>
      <c r="E25" s="138" t="s">
        <v>176</v>
      </c>
      <c r="F25" s="138" t="s">
        <v>261</v>
      </c>
      <c r="G25" s="138" t="s">
        <v>260</v>
      </c>
      <c r="H25" s="138"/>
      <c r="I25" s="137" t="s">
        <v>74</v>
      </c>
    </row>
    <row r="26" spans="1:9" x14ac:dyDescent="0.2">
      <c r="A26" s="138">
        <v>1026370</v>
      </c>
      <c r="B26" s="138">
        <v>1026370</v>
      </c>
      <c r="C26" s="138" t="s">
        <v>358</v>
      </c>
      <c r="D26" s="138" t="s">
        <v>274</v>
      </c>
      <c r="E26" s="138" t="s">
        <v>196</v>
      </c>
      <c r="F26" s="138" t="s">
        <v>261</v>
      </c>
      <c r="G26" s="138" t="s">
        <v>260</v>
      </c>
      <c r="H26" s="138"/>
      <c r="I26" s="137" t="s">
        <v>74</v>
      </c>
    </row>
    <row r="27" spans="1:9" x14ac:dyDescent="0.2">
      <c r="A27" s="139">
        <v>1032382</v>
      </c>
      <c r="B27" s="139">
        <v>1032382</v>
      </c>
      <c r="C27" s="138" t="s">
        <v>358</v>
      </c>
      <c r="D27" s="138" t="s">
        <v>231</v>
      </c>
      <c r="E27" s="138" t="s">
        <v>231</v>
      </c>
      <c r="F27" s="138" t="s">
        <v>261</v>
      </c>
      <c r="G27" s="138" t="s">
        <v>260</v>
      </c>
      <c r="H27" s="138"/>
      <c r="I27" s="137" t="s">
        <v>74</v>
      </c>
    </row>
    <row r="28" spans="1:9" x14ac:dyDescent="0.2">
      <c r="A28" s="138">
        <v>2000697</v>
      </c>
      <c r="B28" s="138">
        <v>2000697</v>
      </c>
      <c r="C28" s="138" t="s">
        <v>358</v>
      </c>
      <c r="D28" s="138" t="s">
        <v>143</v>
      </c>
      <c r="E28" s="138" t="s">
        <v>92</v>
      </c>
      <c r="F28" s="138" t="s">
        <v>261</v>
      </c>
      <c r="G28" s="138" t="s">
        <v>260</v>
      </c>
      <c r="H28" s="138"/>
      <c r="I28" s="137" t="s">
        <v>74</v>
      </c>
    </row>
    <row r="29" spans="1:9" x14ac:dyDescent="0.2">
      <c r="A29" s="138">
        <v>2000698</v>
      </c>
      <c r="B29" s="138">
        <v>2000698</v>
      </c>
      <c r="C29" s="138" t="s">
        <v>358</v>
      </c>
      <c r="D29" s="138" t="s">
        <v>144</v>
      </c>
      <c r="E29" s="138" t="s">
        <v>92</v>
      </c>
      <c r="F29" s="138" t="s">
        <v>261</v>
      </c>
      <c r="G29" s="138" t="s">
        <v>260</v>
      </c>
      <c r="H29" s="138"/>
      <c r="I29" s="137" t="s">
        <v>74</v>
      </c>
    </row>
    <row r="30" spans="1:9" x14ac:dyDescent="0.2">
      <c r="A30" s="138">
        <v>2000732</v>
      </c>
      <c r="B30" s="138">
        <v>2000732</v>
      </c>
      <c r="C30" s="138" t="s">
        <v>358</v>
      </c>
      <c r="D30" s="138" t="s">
        <v>145</v>
      </c>
      <c r="E30" s="138" t="s">
        <v>92</v>
      </c>
      <c r="F30" s="138" t="s">
        <v>261</v>
      </c>
      <c r="G30" s="138" t="s">
        <v>260</v>
      </c>
      <c r="H30" s="138"/>
      <c r="I30" s="137" t="s">
        <v>74</v>
      </c>
    </row>
    <row r="31" spans="1:9" x14ac:dyDescent="0.2">
      <c r="A31" s="138">
        <v>2000733</v>
      </c>
      <c r="B31" s="138">
        <v>2000733</v>
      </c>
      <c r="C31" s="138" t="s">
        <v>358</v>
      </c>
      <c r="D31" s="138" t="s">
        <v>146</v>
      </c>
      <c r="E31" s="138" t="s">
        <v>92</v>
      </c>
      <c r="F31" s="138" t="s">
        <v>261</v>
      </c>
      <c r="G31" s="138" t="s">
        <v>260</v>
      </c>
      <c r="H31" s="138"/>
      <c r="I31" s="137" t="s">
        <v>74</v>
      </c>
    </row>
    <row r="32" spans="1:9" x14ac:dyDescent="0.2">
      <c r="A32" s="138">
        <v>2001004</v>
      </c>
      <c r="B32" s="138">
        <v>2001004</v>
      </c>
      <c r="C32" s="138" t="s">
        <v>358</v>
      </c>
      <c r="D32" s="138" t="s">
        <v>223</v>
      </c>
      <c r="E32" s="138" t="s">
        <v>223</v>
      </c>
      <c r="F32" s="138" t="s">
        <v>261</v>
      </c>
      <c r="G32" s="138"/>
      <c r="H32" s="138" t="s">
        <v>260</v>
      </c>
      <c r="I32" s="137" t="s">
        <v>74</v>
      </c>
    </row>
    <row r="33" spans="1:9" x14ac:dyDescent="0.2">
      <c r="A33" s="138">
        <v>2001012</v>
      </c>
      <c r="B33" s="138">
        <v>2001012</v>
      </c>
      <c r="C33" s="138" t="s">
        <v>357</v>
      </c>
      <c r="D33" s="138" t="s">
        <v>275</v>
      </c>
      <c r="E33" s="138" t="s">
        <v>224</v>
      </c>
      <c r="F33" s="138" t="s">
        <v>261</v>
      </c>
      <c r="G33" s="138" t="s">
        <v>260</v>
      </c>
      <c r="H33" s="138"/>
      <c r="I33" s="137" t="s">
        <v>74</v>
      </c>
    </row>
    <row r="34" spans="1:9" x14ac:dyDescent="0.2">
      <c r="A34" s="138">
        <v>2001022</v>
      </c>
      <c r="B34" s="138">
        <v>2001022</v>
      </c>
      <c r="C34" s="138" t="s">
        <v>357</v>
      </c>
      <c r="D34" s="138" t="s">
        <v>276</v>
      </c>
      <c r="E34" s="138" t="s">
        <v>224</v>
      </c>
      <c r="F34" s="138" t="s">
        <v>10</v>
      </c>
      <c r="G34" s="138" t="s">
        <v>260</v>
      </c>
      <c r="H34" s="138"/>
      <c r="I34" s="137" t="s">
        <v>74</v>
      </c>
    </row>
    <row r="35" spans="1:9" x14ac:dyDescent="0.2">
      <c r="A35" s="138">
        <v>65501293805</v>
      </c>
      <c r="B35" s="138" t="s">
        <v>171</v>
      </c>
      <c r="C35" s="138" t="s">
        <v>357</v>
      </c>
      <c r="D35" s="138" t="s">
        <v>169</v>
      </c>
      <c r="E35" s="138" t="s">
        <v>171</v>
      </c>
      <c r="F35" s="138" t="s">
        <v>261</v>
      </c>
      <c r="G35" s="138" t="s">
        <v>260</v>
      </c>
      <c r="H35" s="138"/>
      <c r="I35" s="137" t="s">
        <v>74</v>
      </c>
    </row>
    <row r="36" spans="1:9" ht="25.5" x14ac:dyDescent="0.2">
      <c r="A36" s="138">
        <v>1020473</v>
      </c>
      <c r="B36" s="138" t="s">
        <v>105</v>
      </c>
      <c r="C36" s="138" t="s">
        <v>357</v>
      </c>
      <c r="D36" s="138" t="s">
        <v>106</v>
      </c>
      <c r="E36" s="138" t="s">
        <v>105</v>
      </c>
      <c r="F36" s="138" t="s">
        <v>261</v>
      </c>
      <c r="G36" s="138"/>
      <c r="H36" s="138" t="s">
        <v>260</v>
      </c>
      <c r="I36" s="137" t="s">
        <v>74</v>
      </c>
    </row>
    <row r="37" spans="1:9" ht="25.5" x14ac:dyDescent="0.2">
      <c r="A37" s="138">
        <v>1021441</v>
      </c>
      <c r="B37" s="138" t="s">
        <v>277</v>
      </c>
      <c r="C37" s="138" t="s">
        <v>357</v>
      </c>
      <c r="D37" s="138" t="s">
        <v>278</v>
      </c>
      <c r="E37" s="138" t="s">
        <v>105</v>
      </c>
      <c r="F37" s="138" t="s">
        <v>261</v>
      </c>
      <c r="G37" s="138"/>
      <c r="H37" s="138" t="s">
        <v>260</v>
      </c>
      <c r="I37" s="137" t="s">
        <v>74</v>
      </c>
    </row>
    <row r="38" spans="1:9" x14ac:dyDescent="0.2">
      <c r="A38" s="138">
        <v>65505843310</v>
      </c>
      <c r="B38" s="138" t="s">
        <v>279</v>
      </c>
      <c r="C38" s="138" t="s">
        <v>357</v>
      </c>
      <c r="D38" s="138">
        <v>1046454</v>
      </c>
      <c r="E38" s="138" t="s">
        <v>191</v>
      </c>
      <c r="F38" s="138" t="s">
        <v>261</v>
      </c>
      <c r="G38" s="138" t="s">
        <v>280</v>
      </c>
      <c r="H38" s="138"/>
      <c r="I38" s="137" t="s">
        <v>74</v>
      </c>
    </row>
    <row r="39" spans="1:9" ht="25.5" x14ac:dyDescent="0.2">
      <c r="A39" s="138">
        <v>65504667724</v>
      </c>
      <c r="B39" s="138" t="s">
        <v>281</v>
      </c>
      <c r="C39" s="138" t="s">
        <v>357</v>
      </c>
      <c r="D39" s="138" t="s">
        <v>104</v>
      </c>
      <c r="E39" s="138" t="s">
        <v>104</v>
      </c>
      <c r="F39" s="138" t="s">
        <v>261</v>
      </c>
      <c r="G39" s="138" t="s">
        <v>280</v>
      </c>
      <c r="H39" s="138"/>
      <c r="I39" s="137" t="s">
        <v>74</v>
      </c>
    </row>
    <row r="40" spans="1:9" x14ac:dyDescent="0.2">
      <c r="A40" s="138">
        <v>1012617</v>
      </c>
      <c r="B40" s="138" t="s">
        <v>49</v>
      </c>
      <c r="C40" s="138" t="s">
        <v>357</v>
      </c>
      <c r="D40" s="138" t="s">
        <v>282</v>
      </c>
      <c r="E40" s="138" t="s">
        <v>283</v>
      </c>
      <c r="F40" s="138" t="s">
        <v>10</v>
      </c>
      <c r="G40" s="138" t="s">
        <v>260</v>
      </c>
      <c r="H40" s="138"/>
      <c r="I40" s="137" t="s">
        <v>74</v>
      </c>
    </row>
    <row r="41" spans="1:9" x14ac:dyDescent="0.2">
      <c r="A41" s="138">
        <v>65503851337</v>
      </c>
      <c r="B41" s="138" t="s">
        <v>46</v>
      </c>
      <c r="C41" s="138" t="s">
        <v>357</v>
      </c>
      <c r="D41" s="138" t="s">
        <v>284</v>
      </c>
      <c r="E41" s="138" t="s">
        <v>283</v>
      </c>
      <c r="F41" s="138" t="s">
        <v>10</v>
      </c>
      <c r="G41" s="138" t="s">
        <v>260</v>
      </c>
      <c r="H41" s="138"/>
      <c r="I41" s="137" t="s">
        <v>74</v>
      </c>
    </row>
    <row r="42" spans="1:9" x14ac:dyDescent="0.2">
      <c r="A42" s="138">
        <v>65503863610</v>
      </c>
      <c r="B42" s="138" t="s">
        <v>46</v>
      </c>
      <c r="C42" s="138" t="s">
        <v>357</v>
      </c>
      <c r="D42" s="138" t="s">
        <v>285</v>
      </c>
      <c r="E42" s="138" t="s">
        <v>283</v>
      </c>
      <c r="F42" s="138" t="s">
        <v>10</v>
      </c>
      <c r="G42" s="138" t="s">
        <v>260</v>
      </c>
      <c r="H42" s="138"/>
      <c r="I42" s="137" t="s">
        <v>74</v>
      </c>
    </row>
    <row r="43" spans="1:9" x14ac:dyDescent="0.2">
      <c r="A43" s="138">
        <v>65503863624</v>
      </c>
      <c r="B43" s="138" t="s">
        <v>46</v>
      </c>
      <c r="C43" s="138" t="s">
        <v>357</v>
      </c>
      <c r="D43" s="138" t="s">
        <v>286</v>
      </c>
      <c r="E43" s="138" t="s">
        <v>283</v>
      </c>
      <c r="F43" s="138" t="s">
        <v>10</v>
      </c>
      <c r="G43" s="138" t="s">
        <v>260</v>
      </c>
      <c r="H43" s="138"/>
      <c r="I43" s="137" t="s">
        <v>74</v>
      </c>
    </row>
    <row r="44" spans="1:9" x14ac:dyDescent="0.2">
      <c r="A44" s="138">
        <v>65503863638</v>
      </c>
      <c r="B44" s="138" t="s">
        <v>46</v>
      </c>
      <c r="C44" s="138" t="s">
        <v>357</v>
      </c>
      <c r="D44" s="138" t="s">
        <v>287</v>
      </c>
      <c r="E44" s="138" t="s">
        <v>283</v>
      </c>
      <c r="F44" s="138" t="s">
        <v>10</v>
      </c>
      <c r="G44" s="138" t="s">
        <v>260</v>
      </c>
      <c r="H44" s="138"/>
      <c r="I44" s="137" t="s">
        <v>74</v>
      </c>
    </row>
    <row r="45" spans="1:9" ht="25.5" x14ac:dyDescent="0.2">
      <c r="A45" s="140">
        <v>2000725</v>
      </c>
      <c r="B45" s="140" t="s">
        <v>149</v>
      </c>
      <c r="C45" s="140" t="s">
        <v>357</v>
      </c>
      <c r="D45" s="140" t="s">
        <v>288</v>
      </c>
      <c r="E45" s="138" t="s">
        <v>73</v>
      </c>
      <c r="F45" s="138" t="s">
        <v>261</v>
      </c>
      <c r="G45" s="138"/>
      <c r="H45" s="138" t="s">
        <v>260</v>
      </c>
      <c r="I45" s="137" t="s">
        <v>74</v>
      </c>
    </row>
    <row r="46" spans="1:9" ht="25.5" x14ac:dyDescent="0.2">
      <c r="A46" s="138">
        <v>2000727</v>
      </c>
      <c r="B46" s="138" t="s">
        <v>148</v>
      </c>
      <c r="C46" s="138" t="s">
        <v>357</v>
      </c>
      <c r="D46" s="138" t="s">
        <v>289</v>
      </c>
      <c r="E46" s="138" t="s">
        <v>73</v>
      </c>
      <c r="F46" s="138" t="s">
        <v>261</v>
      </c>
      <c r="G46" s="138"/>
      <c r="H46" s="138" t="s">
        <v>260</v>
      </c>
      <c r="I46" s="137" t="s">
        <v>74</v>
      </c>
    </row>
    <row r="47" spans="1:9" ht="25.5" x14ac:dyDescent="0.2">
      <c r="A47" s="138">
        <v>1014710</v>
      </c>
      <c r="B47" s="138" t="s">
        <v>113</v>
      </c>
      <c r="C47" s="138" t="s">
        <v>358</v>
      </c>
      <c r="D47" s="138" t="s">
        <v>136</v>
      </c>
      <c r="E47" s="138" t="s">
        <v>113</v>
      </c>
      <c r="F47" s="138" t="s">
        <v>261</v>
      </c>
      <c r="G47" s="138" t="s">
        <v>260</v>
      </c>
      <c r="H47" s="138"/>
      <c r="I47" s="137" t="s">
        <v>74</v>
      </c>
    </row>
    <row r="48" spans="1:9" x14ac:dyDescent="0.2">
      <c r="A48" s="106">
        <v>147313</v>
      </c>
      <c r="B48" s="106">
        <v>20</v>
      </c>
      <c r="C48" s="106" t="s">
        <v>357</v>
      </c>
      <c r="D48" s="106" t="s">
        <v>19</v>
      </c>
      <c r="E48" s="106" t="s">
        <v>290</v>
      </c>
      <c r="F48" s="106" t="s">
        <v>261</v>
      </c>
      <c r="G48" s="106"/>
      <c r="H48" s="106" t="s">
        <v>260</v>
      </c>
      <c r="I48" s="137" t="s">
        <v>74</v>
      </c>
    </row>
    <row r="49" spans="1:9" x14ac:dyDescent="0.2">
      <c r="A49" s="106">
        <v>147309</v>
      </c>
      <c r="B49" s="106">
        <v>21</v>
      </c>
      <c r="C49" s="106" t="s">
        <v>357</v>
      </c>
      <c r="D49" s="106" t="s">
        <v>15</v>
      </c>
      <c r="E49" s="106" t="s">
        <v>290</v>
      </c>
      <c r="F49" s="106" t="s">
        <v>10</v>
      </c>
      <c r="G49" s="106"/>
      <c r="H49" s="106" t="s">
        <v>260</v>
      </c>
      <c r="I49" s="137" t="s">
        <v>74</v>
      </c>
    </row>
    <row r="50" spans="1:9" x14ac:dyDescent="0.2">
      <c r="A50" s="106">
        <v>147312</v>
      </c>
      <c r="B50" s="106">
        <v>22</v>
      </c>
      <c r="C50" s="106" t="s">
        <v>357</v>
      </c>
      <c r="D50" s="106" t="s">
        <v>18</v>
      </c>
      <c r="E50" s="106" t="s">
        <v>290</v>
      </c>
      <c r="F50" s="106" t="s">
        <v>261</v>
      </c>
      <c r="G50" s="106"/>
      <c r="H50" s="106" t="s">
        <v>260</v>
      </c>
      <c r="I50" s="137" t="s">
        <v>74</v>
      </c>
    </row>
    <row r="51" spans="1:9" x14ac:dyDescent="0.2">
      <c r="A51" s="106">
        <v>147311</v>
      </c>
      <c r="B51" s="106">
        <v>23</v>
      </c>
      <c r="C51" s="106" t="s">
        <v>357</v>
      </c>
      <c r="D51" s="106" t="s">
        <v>17</v>
      </c>
      <c r="E51" s="106" t="s">
        <v>290</v>
      </c>
      <c r="F51" s="106" t="s">
        <v>10</v>
      </c>
      <c r="G51" s="106"/>
      <c r="H51" s="106" t="s">
        <v>260</v>
      </c>
      <c r="I51" s="137" t="s">
        <v>74</v>
      </c>
    </row>
    <row r="52" spans="1:9" x14ac:dyDescent="0.2">
      <c r="A52" s="106">
        <v>147310</v>
      </c>
      <c r="B52" s="106">
        <v>24</v>
      </c>
      <c r="C52" s="106" t="s">
        <v>357</v>
      </c>
      <c r="D52" s="106" t="s">
        <v>16</v>
      </c>
      <c r="E52" s="106" t="s">
        <v>290</v>
      </c>
      <c r="F52" s="106" t="s">
        <v>261</v>
      </c>
      <c r="G52" s="106"/>
      <c r="H52" s="106" t="s">
        <v>260</v>
      </c>
      <c r="I52" s="137" t="s">
        <v>74</v>
      </c>
    </row>
    <row r="53" spans="1:9" x14ac:dyDescent="0.2">
      <c r="A53" s="106">
        <v>147314</v>
      </c>
      <c r="B53" s="106">
        <v>25</v>
      </c>
      <c r="C53" s="106" t="s">
        <v>357</v>
      </c>
      <c r="D53" s="106" t="s">
        <v>20</v>
      </c>
      <c r="E53" s="106" t="s">
        <v>290</v>
      </c>
      <c r="F53" s="106" t="s">
        <v>10</v>
      </c>
      <c r="G53" s="106"/>
      <c r="H53" s="106" t="s">
        <v>260</v>
      </c>
      <c r="I53" s="137" t="s">
        <v>74</v>
      </c>
    </row>
    <row r="54" spans="1:9" ht="25.5" x14ac:dyDescent="0.2">
      <c r="A54" s="106">
        <v>65507408917</v>
      </c>
      <c r="B54" s="106">
        <v>37</v>
      </c>
      <c r="C54" s="106" t="s">
        <v>357</v>
      </c>
      <c r="D54" s="106" t="s">
        <v>115</v>
      </c>
      <c r="E54" s="106" t="s">
        <v>291</v>
      </c>
      <c r="F54" s="106" t="s">
        <v>261</v>
      </c>
      <c r="G54" s="106" t="s">
        <v>260</v>
      </c>
      <c r="H54" s="106"/>
      <c r="I54" s="137" t="s">
        <v>74</v>
      </c>
    </row>
    <row r="55" spans="1:9" x14ac:dyDescent="0.2">
      <c r="A55" s="106">
        <v>156622</v>
      </c>
      <c r="B55" s="106">
        <v>58</v>
      </c>
      <c r="C55" s="106" t="s">
        <v>357</v>
      </c>
      <c r="D55" s="106" t="s">
        <v>12</v>
      </c>
      <c r="E55" s="106" t="s">
        <v>12</v>
      </c>
      <c r="F55" s="106" t="s">
        <v>261</v>
      </c>
      <c r="G55" s="106" t="s">
        <v>260</v>
      </c>
      <c r="H55" s="106"/>
      <c r="I55" s="137" t="s">
        <v>74</v>
      </c>
    </row>
    <row r="56" spans="1:9" x14ac:dyDescent="0.2">
      <c r="A56" s="106">
        <v>154702</v>
      </c>
      <c r="B56" s="106">
        <v>60</v>
      </c>
      <c r="C56" s="106" t="s">
        <v>357</v>
      </c>
      <c r="D56" s="106" t="s">
        <v>52</v>
      </c>
      <c r="E56" s="106" t="s">
        <v>292</v>
      </c>
      <c r="F56" s="106" t="s">
        <v>10</v>
      </c>
      <c r="G56" s="106" t="s">
        <v>260</v>
      </c>
      <c r="H56" s="106"/>
      <c r="I56" s="137" t="s">
        <v>74</v>
      </c>
    </row>
    <row r="57" spans="1:9" x14ac:dyDescent="0.2">
      <c r="A57" s="167" t="s">
        <v>466</v>
      </c>
      <c r="B57" s="168" t="s">
        <v>467</v>
      </c>
      <c r="C57" s="106" t="s">
        <v>357</v>
      </c>
      <c r="D57" s="168" t="s">
        <v>468</v>
      </c>
      <c r="E57" s="168" t="s">
        <v>468</v>
      </c>
      <c r="F57" s="168" t="s">
        <v>261</v>
      </c>
      <c r="G57" s="106" t="s">
        <v>260</v>
      </c>
      <c r="H57" s="106"/>
      <c r="I57" s="137" t="s">
        <v>74</v>
      </c>
    </row>
    <row r="58" spans="1:9" x14ac:dyDescent="0.2">
      <c r="A58" s="106">
        <v>80862</v>
      </c>
      <c r="B58" s="106">
        <v>64</v>
      </c>
      <c r="C58" s="106" t="s">
        <v>357</v>
      </c>
      <c r="D58" s="106" t="s">
        <v>14</v>
      </c>
      <c r="E58" s="106" t="s">
        <v>14</v>
      </c>
      <c r="F58" s="106" t="s">
        <v>10</v>
      </c>
      <c r="G58" s="106"/>
      <c r="H58" s="106" t="s">
        <v>260</v>
      </c>
      <c r="I58" s="137" t="s">
        <v>74</v>
      </c>
    </row>
    <row r="59" spans="1:9" x14ac:dyDescent="0.2">
      <c r="A59" s="106">
        <v>1037124</v>
      </c>
      <c r="B59" s="106">
        <v>75</v>
      </c>
      <c r="C59" s="106" t="s">
        <v>357</v>
      </c>
      <c r="D59" s="106" t="s">
        <v>118</v>
      </c>
      <c r="E59" s="106" t="s">
        <v>293</v>
      </c>
      <c r="F59" s="106" t="s">
        <v>261</v>
      </c>
      <c r="G59" s="106" t="s">
        <v>260</v>
      </c>
      <c r="H59" s="106"/>
      <c r="I59" s="137" t="s">
        <v>74</v>
      </c>
    </row>
    <row r="60" spans="1:9" x14ac:dyDescent="0.2">
      <c r="A60" s="106">
        <v>1033811</v>
      </c>
      <c r="B60" s="106">
        <v>76</v>
      </c>
      <c r="C60" s="106" t="s">
        <v>357</v>
      </c>
      <c r="D60" s="106" t="s">
        <v>112</v>
      </c>
      <c r="E60" s="106" t="s">
        <v>293</v>
      </c>
      <c r="F60" s="106" t="s">
        <v>261</v>
      </c>
      <c r="G60" s="106" t="s">
        <v>260</v>
      </c>
      <c r="H60" s="106"/>
      <c r="I60" s="137" t="s">
        <v>74</v>
      </c>
    </row>
    <row r="61" spans="1:9" x14ac:dyDescent="0.2">
      <c r="A61" s="106">
        <v>69902</v>
      </c>
      <c r="B61" s="106">
        <v>78</v>
      </c>
      <c r="C61" s="106" t="s">
        <v>357</v>
      </c>
      <c r="D61" s="106" t="s">
        <v>110</v>
      </c>
      <c r="E61" s="106" t="s">
        <v>293</v>
      </c>
      <c r="F61" s="106" t="s">
        <v>261</v>
      </c>
      <c r="G61" s="106" t="s">
        <v>260</v>
      </c>
      <c r="H61" s="106"/>
      <c r="I61" s="137" t="s">
        <v>74</v>
      </c>
    </row>
    <row r="62" spans="1:9" x14ac:dyDescent="0.2">
      <c r="A62" s="106">
        <v>64972</v>
      </c>
      <c r="B62" s="106">
        <v>86</v>
      </c>
      <c r="C62" s="106" t="s">
        <v>357</v>
      </c>
      <c r="D62" s="106" t="s">
        <v>13</v>
      </c>
      <c r="E62" s="106" t="s">
        <v>13</v>
      </c>
      <c r="F62" s="106" t="s">
        <v>261</v>
      </c>
      <c r="G62" s="106" t="s">
        <v>260</v>
      </c>
      <c r="H62" s="106"/>
      <c r="I62" s="137" t="s">
        <v>74</v>
      </c>
    </row>
    <row r="63" spans="1:9" ht="25.5" x14ac:dyDescent="0.2">
      <c r="A63" s="106">
        <v>65502313952</v>
      </c>
      <c r="B63" s="106">
        <v>92</v>
      </c>
      <c r="C63" s="106" t="s">
        <v>357</v>
      </c>
      <c r="D63" s="106" t="s">
        <v>108</v>
      </c>
      <c r="E63" s="106" t="s">
        <v>294</v>
      </c>
      <c r="F63" s="106" t="s">
        <v>10</v>
      </c>
      <c r="G63" s="106" t="s">
        <v>260</v>
      </c>
      <c r="H63" s="106"/>
      <c r="I63" s="137" t="s">
        <v>74</v>
      </c>
    </row>
    <row r="64" spans="1:9" x14ac:dyDescent="0.2">
      <c r="A64" s="106">
        <v>65502425394</v>
      </c>
      <c r="B64" s="141">
        <v>93</v>
      </c>
      <c r="C64" s="106" t="s">
        <v>358</v>
      </c>
      <c r="D64" s="106" t="s">
        <v>120</v>
      </c>
      <c r="E64" s="106" t="s">
        <v>295</v>
      </c>
      <c r="F64" s="106" t="s">
        <v>10</v>
      </c>
      <c r="G64" s="106" t="s">
        <v>260</v>
      </c>
      <c r="H64" s="106"/>
      <c r="I64" s="137" t="s">
        <v>74</v>
      </c>
    </row>
    <row r="65" spans="1:9" x14ac:dyDescent="0.2">
      <c r="A65" s="106">
        <v>1002455</v>
      </c>
      <c r="B65" s="106">
        <v>94</v>
      </c>
      <c r="C65" s="106" t="s">
        <v>357</v>
      </c>
      <c r="D65" s="106" t="s">
        <v>121</v>
      </c>
      <c r="E65" s="106" t="s">
        <v>271</v>
      </c>
      <c r="F65" s="106" t="s">
        <v>272</v>
      </c>
      <c r="G65" s="106" t="s">
        <v>260</v>
      </c>
      <c r="H65" s="106"/>
      <c r="I65" s="137" t="s">
        <v>74</v>
      </c>
    </row>
    <row r="66" spans="1:9" x14ac:dyDescent="0.2">
      <c r="A66" s="106">
        <v>152965</v>
      </c>
      <c r="B66" s="106">
        <v>105</v>
      </c>
      <c r="C66" s="106" t="s">
        <v>358</v>
      </c>
      <c r="D66" s="106" t="s">
        <v>122</v>
      </c>
      <c r="E66" s="106" t="s">
        <v>14</v>
      </c>
      <c r="F66" s="106" t="s">
        <v>261</v>
      </c>
      <c r="G66" s="106" t="s">
        <v>260</v>
      </c>
      <c r="H66" s="106"/>
      <c r="I66" s="137" t="s">
        <v>74</v>
      </c>
    </row>
    <row r="67" spans="1:9" ht="25.5" x14ac:dyDescent="0.2">
      <c r="A67" s="106">
        <v>1005849</v>
      </c>
      <c r="B67" s="106">
        <v>114</v>
      </c>
      <c r="C67" s="106" t="s">
        <v>357</v>
      </c>
      <c r="D67" s="106" t="s">
        <v>296</v>
      </c>
      <c r="E67" s="106" t="s">
        <v>290</v>
      </c>
      <c r="F67" s="106" t="s">
        <v>98</v>
      </c>
      <c r="G67" s="106" t="s">
        <v>260</v>
      </c>
      <c r="H67" s="106"/>
      <c r="I67" s="137" t="s">
        <v>74</v>
      </c>
    </row>
    <row r="68" spans="1:9" x14ac:dyDescent="0.2">
      <c r="A68" s="106">
        <v>78665</v>
      </c>
      <c r="B68" s="106">
        <v>118</v>
      </c>
      <c r="C68" s="106" t="s">
        <v>357</v>
      </c>
      <c r="D68" s="106" t="s">
        <v>298</v>
      </c>
      <c r="E68" s="106" t="s">
        <v>229</v>
      </c>
      <c r="F68" s="106" t="s">
        <v>10</v>
      </c>
      <c r="G68" s="106"/>
      <c r="H68" s="106" t="s">
        <v>260</v>
      </c>
      <c r="I68" s="137" t="s">
        <v>74</v>
      </c>
    </row>
    <row r="69" spans="1:9" x14ac:dyDescent="0.2">
      <c r="A69" s="106">
        <v>78666</v>
      </c>
      <c r="B69" s="106">
        <v>118</v>
      </c>
      <c r="C69" s="106" t="s">
        <v>357</v>
      </c>
      <c r="D69" s="106" t="s">
        <v>57</v>
      </c>
      <c r="E69" s="106" t="s">
        <v>229</v>
      </c>
      <c r="F69" s="106" t="s">
        <v>10</v>
      </c>
      <c r="G69" s="106"/>
      <c r="H69" s="106" t="s">
        <v>260</v>
      </c>
      <c r="I69" s="137" t="s">
        <v>74</v>
      </c>
    </row>
    <row r="70" spans="1:9" x14ac:dyDescent="0.2">
      <c r="A70" s="106">
        <v>2000216</v>
      </c>
      <c r="B70" s="106">
        <v>118</v>
      </c>
      <c r="C70" s="106" t="s">
        <v>357</v>
      </c>
      <c r="D70" s="106" t="s">
        <v>58</v>
      </c>
      <c r="E70" s="106" t="s">
        <v>229</v>
      </c>
      <c r="F70" s="106" t="s">
        <v>10</v>
      </c>
      <c r="G70" s="106"/>
      <c r="H70" s="106" t="s">
        <v>260</v>
      </c>
      <c r="I70" s="137" t="s">
        <v>74</v>
      </c>
    </row>
    <row r="71" spans="1:9" x14ac:dyDescent="0.2">
      <c r="A71" s="106">
        <v>2000217</v>
      </c>
      <c r="B71" s="106">
        <v>118</v>
      </c>
      <c r="C71" s="106" t="s">
        <v>357</v>
      </c>
      <c r="D71" s="106" t="s">
        <v>59</v>
      </c>
      <c r="E71" s="106" t="s">
        <v>229</v>
      </c>
      <c r="F71" s="106" t="s">
        <v>10</v>
      </c>
      <c r="G71" s="106"/>
      <c r="H71" s="106" t="s">
        <v>260</v>
      </c>
      <c r="I71" s="137" t="s">
        <v>74</v>
      </c>
    </row>
    <row r="72" spans="1:9" x14ac:dyDescent="0.2">
      <c r="A72" s="106">
        <v>2000218</v>
      </c>
      <c r="B72" s="106">
        <v>118</v>
      </c>
      <c r="C72" s="106" t="s">
        <v>357</v>
      </c>
      <c r="D72" s="106" t="s">
        <v>60</v>
      </c>
      <c r="E72" s="106" t="s">
        <v>229</v>
      </c>
      <c r="F72" s="106" t="s">
        <v>10</v>
      </c>
      <c r="G72" s="106"/>
      <c r="H72" s="106" t="s">
        <v>260</v>
      </c>
      <c r="I72" s="137" t="s">
        <v>74</v>
      </c>
    </row>
    <row r="73" spans="1:9" x14ac:dyDescent="0.2">
      <c r="A73" s="106">
        <v>2000219</v>
      </c>
      <c r="B73" s="106">
        <v>118</v>
      </c>
      <c r="C73" s="106" t="s">
        <v>357</v>
      </c>
      <c r="D73" s="106" t="s">
        <v>61</v>
      </c>
      <c r="E73" s="106" t="s">
        <v>229</v>
      </c>
      <c r="F73" s="106" t="s">
        <v>10</v>
      </c>
      <c r="G73" s="106"/>
      <c r="H73" s="106" t="s">
        <v>260</v>
      </c>
      <c r="I73" s="137" t="s">
        <v>74</v>
      </c>
    </row>
    <row r="74" spans="1:9" x14ac:dyDescent="0.2">
      <c r="A74" s="106">
        <v>2000220</v>
      </c>
      <c r="B74" s="106">
        <v>118</v>
      </c>
      <c r="C74" s="106" t="s">
        <v>357</v>
      </c>
      <c r="D74" s="106" t="s">
        <v>62</v>
      </c>
      <c r="E74" s="106" t="s">
        <v>229</v>
      </c>
      <c r="F74" s="106" t="s">
        <v>10</v>
      </c>
      <c r="G74" s="106"/>
      <c r="H74" s="106" t="s">
        <v>260</v>
      </c>
      <c r="I74" s="137" t="s">
        <v>74</v>
      </c>
    </row>
    <row r="75" spans="1:9" x14ac:dyDescent="0.2">
      <c r="A75" s="106">
        <v>2000221</v>
      </c>
      <c r="B75" s="106">
        <v>118</v>
      </c>
      <c r="C75" s="106" t="s">
        <v>357</v>
      </c>
      <c r="D75" s="106" t="s">
        <v>63</v>
      </c>
      <c r="E75" s="106" t="s">
        <v>229</v>
      </c>
      <c r="F75" s="106" t="s">
        <v>10</v>
      </c>
      <c r="G75" s="106"/>
      <c r="H75" s="106" t="s">
        <v>260</v>
      </c>
      <c r="I75" s="137" t="s">
        <v>74</v>
      </c>
    </row>
    <row r="76" spans="1:9" x14ac:dyDescent="0.2">
      <c r="A76" s="106">
        <v>2000240</v>
      </c>
      <c r="B76" s="106">
        <v>120</v>
      </c>
      <c r="C76" s="106" t="s">
        <v>357</v>
      </c>
      <c r="D76" s="106" t="s">
        <v>299</v>
      </c>
      <c r="E76" s="106" t="s">
        <v>300</v>
      </c>
      <c r="F76" s="106" t="s">
        <v>10</v>
      </c>
      <c r="G76" s="106" t="s">
        <v>260</v>
      </c>
      <c r="H76" s="106"/>
      <c r="I76" s="137" t="s">
        <v>74</v>
      </c>
    </row>
    <row r="77" spans="1:9" x14ac:dyDescent="0.2">
      <c r="A77" s="106">
        <v>2000241</v>
      </c>
      <c r="B77" s="106">
        <v>120</v>
      </c>
      <c r="C77" s="106" t="s">
        <v>357</v>
      </c>
      <c r="D77" s="106" t="s">
        <v>66</v>
      </c>
      <c r="E77" s="106" t="s">
        <v>300</v>
      </c>
      <c r="F77" s="106" t="s">
        <v>10</v>
      </c>
      <c r="G77" s="106" t="s">
        <v>260</v>
      </c>
      <c r="H77" s="106"/>
      <c r="I77" s="137" t="s">
        <v>74</v>
      </c>
    </row>
    <row r="78" spans="1:9" x14ac:dyDescent="0.2">
      <c r="A78" s="106">
        <v>2000238</v>
      </c>
      <c r="B78" s="106">
        <v>121</v>
      </c>
      <c r="C78" s="106" t="s">
        <v>357</v>
      </c>
      <c r="D78" s="106" t="s">
        <v>301</v>
      </c>
      <c r="E78" s="106" t="s">
        <v>300</v>
      </c>
      <c r="F78" s="106" t="s">
        <v>10</v>
      </c>
      <c r="G78" s="106" t="s">
        <v>260</v>
      </c>
      <c r="H78" s="106"/>
      <c r="I78" s="137" t="s">
        <v>74</v>
      </c>
    </row>
    <row r="79" spans="1:9" x14ac:dyDescent="0.2">
      <c r="A79" s="106">
        <v>2000239</v>
      </c>
      <c r="B79" s="106">
        <v>121</v>
      </c>
      <c r="C79" s="106" t="s">
        <v>357</v>
      </c>
      <c r="D79" s="106" t="s">
        <v>302</v>
      </c>
      <c r="E79" s="106" t="s">
        <v>300</v>
      </c>
      <c r="F79" s="106" t="s">
        <v>10</v>
      </c>
      <c r="G79" s="106" t="s">
        <v>260</v>
      </c>
      <c r="H79" s="106"/>
      <c r="I79" s="137" t="s">
        <v>74</v>
      </c>
    </row>
    <row r="80" spans="1:9" x14ac:dyDescent="0.2">
      <c r="A80" s="106">
        <v>65501387259</v>
      </c>
      <c r="B80" s="106">
        <v>122</v>
      </c>
      <c r="C80" s="106" t="s">
        <v>357</v>
      </c>
      <c r="D80" s="106" t="s">
        <v>21</v>
      </c>
      <c r="E80" s="106" t="s">
        <v>21</v>
      </c>
      <c r="F80" s="106" t="s">
        <v>10</v>
      </c>
      <c r="G80" s="106" t="s">
        <v>260</v>
      </c>
      <c r="H80" s="106"/>
      <c r="I80" s="137" t="s">
        <v>74</v>
      </c>
    </row>
    <row r="81" spans="1:9" x14ac:dyDescent="0.2">
      <c r="A81" s="106">
        <v>1013187</v>
      </c>
      <c r="B81" s="106">
        <v>127</v>
      </c>
      <c r="C81" s="106" t="s">
        <v>357</v>
      </c>
      <c r="D81" s="106" t="s">
        <v>69</v>
      </c>
      <c r="E81" s="106" t="s">
        <v>93</v>
      </c>
      <c r="F81" s="106" t="s">
        <v>10</v>
      </c>
      <c r="G81" s="106" t="s">
        <v>260</v>
      </c>
      <c r="H81" s="106"/>
      <c r="I81" s="137" t="s">
        <v>74</v>
      </c>
    </row>
    <row r="82" spans="1:9" x14ac:dyDescent="0.2">
      <c r="A82" s="106">
        <v>2000486</v>
      </c>
      <c r="B82" s="106">
        <v>128</v>
      </c>
      <c r="C82" s="106" t="s">
        <v>357</v>
      </c>
      <c r="D82" s="106" t="s">
        <v>67</v>
      </c>
      <c r="E82" s="106" t="s">
        <v>297</v>
      </c>
      <c r="F82" s="106" t="s">
        <v>261</v>
      </c>
      <c r="G82" s="106" t="s">
        <v>260</v>
      </c>
      <c r="H82" s="106"/>
      <c r="I82" s="137" t="s">
        <v>74</v>
      </c>
    </row>
    <row r="83" spans="1:9" x14ac:dyDescent="0.2">
      <c r="A83" s="106">
        <v>71535</v>
      </c>
      <c r="B83" s="106">
        <v>1071</v>
      </c>
      <c r="C83" s="106" t="s">
        <v>358</v>
      </c>
      <c r="D83" s="106" t="s">
        <v>124</v>
      </c>
      <c r="E83" s="106" t="s">
        <v>88</v>
      </c>
      <c r="F83" s="106" t="s">
        <v>10</v>
      </c>
      <c r="G83" s="106"/>
      <c r="H83" s="106" t="s">
        <v>260</v>
      </c>
      <c r="I83" s="137" t="s">
        <v>74</v>
      </c>
    </row>
    <row r="84" spans="1:9" x14ac:dyDescent="0.2">
      <c r="A84" s="106">
        <v>71532</v>
      </c>
      <c r="B84" s="106">
        <v>1071</v>
      </c>
      <c r="C84" s="106" t="s">
        <v>358</v>
      </c>
      <c r="D84" s="106" t="s">
        <v>125</v>
      </c>
      <c r="E84" s="106" t="s">
        <v>88</v>
      </c>
      <c r="F84" s="106" t="s">
        <v>10</v>
      </c>
      <c r="G84" s="106"/>
      <c r="H84" s="106" t="s">
        <v>260</v>
      </c>
      <c r="I84" s="137" t="s">
        <v>74</v>
      </c>
    </row>
    <row r="85" spans="1:9" x14ac:dyDescent="0.2">
      <c r="A85" s="106">
        <v>1031629</v>
      </c>
      <c r="B85" s="106">
        <v>1074</v>
      </c>
      <c r="C85" s="106" t="s">
        <v>357</v>
      </c>
      <c r="D85" s="106" t="s">
        <v>126</v>
      </c>
      <c r="E85" s="106" t="s">
        <v>303</v>
      </c>
      <c r="F85" s="106" t="s">
        <v>10</v>
      </c>
      <c r="G85" s="106" t="s">
        <v>260</v>
      </c>
      <c r="H85" s="106"/>
      <c r="I85" s="137" t="s">
        <v>74</v>
      </c>
    </row>
    <row r="86" spans="1:9" x14ac:dyDescent="0.2">
      <c r="A86" s="106">
        <v>1031627</v>
      </c>
      <c r="B86" s="106">
        <v>1074</v>
      </c>
      <c r="C86" s="106" t="s">
        <v>357</v>
      </c>
      <c r="D86" s="106" t="s">
        <v>127</v>
      </c>
      <c r="E86" s="106" t="s">
        <v>303</v>
      </c>
      <c r="F86" s="106" t="s">
        <v>10</v>
      </c>
      <c r="G86" s="106" t="s">
        <v>260</v>
      </c>
      <c r="H86" s="106"/>
      <c r="I86" s="137" t="s">
        <v>74</v>
      </c>
    </row>
    <row r="87" spans="1:9" ht="15" x14ac:dyDescent="0.2">
      <c r="A87" s="106">
        <v>142481</v>
      </c>
      <c r="B87" s="106">
        <v>1081</v>
      </c>
      <c r="C87" s="106" t="s">
        <v>357</v>
      </c>
      <c r="D87" s="106" t="s">
        <v>129</v>
      </c>
      <c r="E87" s="142" t="s">
        <v>271</v>
      </c>
      <c r="F87" s="106" t="s">
        <v>272</v>
      </c>
      <c r="G87" s="106" t="s">
        <v>260</v>
      </c>
      <c r="H87" s="106"/>
      <c r="I87" s="137" t="s">
        <v>74</v>
      </c>
    </row>
    <row r="88" spans="1:9" ht="15" x14ac:dyDescent="0.2">
      <c r="A88" s="106">
        <v>142482</v>
      </c>
      <c r="B88" s="106">
        <v>1082</v>
      </c>
      <c r="C88" s="106" t="s">
        <v>357</v>
      </c>
      <c r="D88" s="106" t="s">
        <v>130</v>
      </c>
      <c r="E88" s="142" t="s">
        <v>271</v>
      </c>
      <c r="F88" s="106" t="s">
        <v>272</v>
      </c>
      <c r="G88" s="106" t="s">
        <v>260</v>
      </c>
      <c r="H88" s="106"/>
      <c r="I88" s="137" t="s">
        <v>74</v>
      </c>
    </row>
    <row r="89" spans="1:9" ht="25.5" x14ac:dyDescent="0.2">
      <c r="A89" s="106">
        <v>65507665273</v>
      </c>
      <c r="B89" s="106">
        <v>1094</v>
      </c>
      <c r="C89" s="106" t="s">
        <v>357</v>
      </c>
      <c r="D89" s="106" t="s">
        <v>131</v>
      </c>
      <c r="E89" s="106" t="s">
        <v>291</v>
      </c>
      <c r="F89" s="106" t="s">
        <v>10</v>
      </c>
      <c r="G89" s="106" t="s">
        <v>260</v>
      </c>
      <c r="H89" s="106"/>
      <c r="I89" s="137" t="s">
        <v>74</v>
      </c>
    </row>
    <row r="90" spans="1:9" x14ac:dyDescent="0.2">
      <c r="A90" s="106">
        <v>152971</v>
      </c>
      <c r="B90" s="106">
        <v>1096</v>
      </c>
      <c r="C90" s="106" t="s">
        <v>357</v>
      </c>
      <c r="D90" s="106" t="s">
        <v>22</v>
      </c>
      <c r="E90" s="106" t="s">
        <v>132</v>
      </c>
      <c r="F90" s="106" t="s">
        <v>10</v>
      </c>
      <c r="G90" s="106"/>
      <c r="H90" s="106" t="s">
        <v>260</v>
      </c>
      <c r="I90" s="137" t="s">
        <v>74</v>
      </c>
    </row>
    <row r="91" spans="1:9" x14ac:dyDescent="0.2">
      <c r="A91" s="106">
        <v>152974</v>
      </c>
      <c r="B91" s="106">
        <v>1096</v>
      </c>
      <c r="C91" s="106" t="s">
        <v>357</v>
      </c>
      <c r="D91" s="106" t="s">
        <v>23</v>
      </c>
      <c r="E91" s="106" t="s">
        <v>132</v>
      </c>
      <c r="F91" s="106" t="s">
        <v>10</v>
      </c>
      <c r="G91" s="106"/>
      <c r="H91" s="106" t="s">
        <v>260</v>
      </c>
      <c r="I91" s="137" t="s">
        <v>74</v>
      </c>
    </row>
    <row r="92" spans="1:9" x14ac:dyDescent="0.2">
      <c r="A92" s="106">
        <v>152976</v>
      </c>
      <c r="B92" s="106">
        <v>1096</v>
      </c>
      <c r="C92" s="106" t="s">
        <v>357</v>
      </c>
      <c r="D92" s="106" t="s">
        <v>24</v>
      </c>
      <c r="E92" s="106" t="s">
        <v>132</v>
      </c>
      <c r="F92" s="106" t="s">
        <v>10</v>
      </c>
      <c r="G92" s="106"/>
      <c r="H92" s="106" t="s">
        <v>260</v>
      </c>
      <c r="I92" s="137" t="s">
        <v>74</v>
      </c>
    </row>
    <row r="93" spans="1:9" x14ac:dyDescent="0.2">
      <c r="A93" s="106">
        <v>152979</v>
      </c>
      <c r="B93" s="106">
        <v>1096</v>
      </c>
      <c r="C93" s="106" t="s">
        <v>357</v>
      </c>
      <c r="D93" s="106" t="s">
        <v>25</v>
      </c>
      <c r="E93" s="106" t="s">
        <v>132</v>
      </c>
      <c r="F93" s="106" t="s">
        <v>10</v>
      </c>
      <c r="G93" s="106"/>
      <c r="H93" s="106" t="s">
        <v>260</v>
      </c>
      <c r="I93" s="137" t="s">
        <v>74</v>
      </c>
    </row>
    <row r="94" spans="1:9" x14ac:dyDescent="0.2">
      <c r="A94" s="106">
        <v>152981</v>
      </c>
      <c r="B94" s="106">
        <v>1096</v>
      </c>
      <c r="C94" s="106" t="s">
        <v>357</v>
      </c>
      <c r="D94" s="106" t="s">
        <v>26</v>
      </c>
      <c r="E94" s="106" t="s">
        <v>132</v>
      </c>
      <c r="F94" s="106" t="s">
        <v>10</v>
      </c>
      <c r="G94" s="106"/>
      <c r="H94" s="106" t="s">
        <v>260</v>
      </c>
      <c r="I94" s="137" t="s">
        <v>74</v>
      </c>
    </row>
    <row r="95" spans="1:9" x14ac:dyDescent="0.2">
      <c r="A95" s="106">
        <v>152983</v>
      </c>
      <c r="B95" s="106">
        <v>1096</v>
      </c>
      <c r="C95" s="106" t="s">
        <v>357</v>
      </c>
      <c r="D95" s="106" t="s">
        <v>27</v>
      </c>
      <c r="E95" s="106" t="s">
        <v>132</v>
      </c>
      <c r="F95" s="106" t="s">
        <v>10</v>
      </c>
      <c r="G95" s="106"/>
      <c r="H95" s="106" t="s">
        <v>260</v>
      </c>
      <c r="I95" s="137" t="s">
        <v>74</v>
      </c>
    </row>
    <row r="96" spans="1:9" x14ac:dyDescent="0.2">
      <c r="A96" s="106">
        <v>1036525</v>
      </c>
      <c r="B96" s="106">
        <v>1096</v>
      </c>
      <c r="C96" s="106" t="s">
        <v>357</v>
      </c>
      <c r="D96" s="106" t="s">
        <v>359</v>
      </c>
      <c r="E96" s="106" t="s">
        <v>132</v>
      </c>
      <c r="F96" s="106" t="s">
        <v>10</v>
      </c>
      <c r="G96" s="106"/>
      <c r="H96" s="106" t="s">
        <v>260</v>
      </c>
      <c r="I96" s="137" t="s">
        <v>74</v>
      </c>
    </row>
    <row r="97" spans="1:9" ht="25.5" x14ac:dyDescent="0.2">
      <c r="A97" s="106">
        <v>1036527</v>
      </c>
      <c r="B97" s="106">
        <v>1096</v>
      </c>
      <c r="C97" s="106" t="s">
        <v>357</v>
      </c>
      <c r="D97" s="106" t="s">
        <v>360</v>
      </c>
      <c r="E97" s="106" t="s">
        <v>132</v>
      </c>
      <c r="F97" s="106" t="s">
        <v>10</v>
      </c>
      <c r="G97" s="106"/>
      <c r="H97" s="106" t="s">
        <v>260</v>
      </c>
      <c r="I97" s="137" t="s">
        <v>74</v>
      </c>
    </row>
    <row r="98" spans="1:9" ht="25.5" x14ac:dyDescent="0.2">
      <c r="A98" s="106">
        <v>1036528</v>
      </c>
      <c r="B98" s="106">
        <v>1096</v>
      </c>
      <c r="C98" s="106" t="s">
        <v>357</v>
      </c>
      <c r="D98" s="106" t="s">
        <v>361</v>
      </c>
      <c r="E98" s="106" t="s">
        <v>132</v>
      </c>
      <c r="F98" s="106" t="s">
        <v>10</v>
      </c>
      <c r="G98" s="106"/>
      <c r="H98" s="106" t="s">
        <v>260</v>
      </c>
      <c r="I98" s="137" t="s">
        <v>74</v>
      </c>
    </row>
    <row r="99" spans="1:9" ht="25.5" x14ac:dyDescent="0.2">
      <c r="A99" s="106">
        <v>1036529</v>
      </c>
      <c r="B99" s="106">
        <v>1096</v>
      </c>
      <c r="C99" s="106" t="s">
        <v>357</v>
      </c>
      <c r="D99" s="106" t="s">
        <v>362</v>
      </c>
      <c r="E99" s="106" t="s">
        <v>132</v>
      </c>
      <c r="F99" s="106" t="s">
        <v>10</v>
      </c>
      <c r="G99" s="106"/>
      <c r="H99" s="106" t="s">
        <v>260</v>
      </c>
      <c r="I99" s="137" t="s">
        <v>74</v>
      </c>
    </row>
    <row r="100" spans="1:9" ht="25.5" x14ac:dyDescent="0.2">
      <c r="A100" s="106">
        <v>1036530</v>
      </c>
      <c r="B100" s="106">
        <v>1096</v>
      </c>
      <c r="C100" s="106" t="s">
        <v>357</v>
      </c>
      <c r="D100" s="106" t="s">
        <v>363</v>
      </c>
      <c r="E100" s="106" t="s">
        <v>132</v>
      </c>
      <c r="F100" s="106" t="s">
        <v>10</v>
      </c>
      <c r="G100" s="106"/>
      <c r="H100" s="106" t="s">
        <v>260</v>
      </c>
      <c r="I100" s="137" t="s">
        <v>74</v>
      </c>
    </row>
    <row r="101" spans="1:9" ht="25.5" x14ac:dyDescent="0.2">
      <c r="A101" s="106">
        <v>1036526</v>
      </c>
      <c r="B101" s="106">
        <v>1096</v>
      </c>
      <c r="C101" s="106" t="s">
        <v>357</v>
      </c>
      <c r="D101" s="106" t="s">
        <v>364</v>
      </c>
      <c r="E101" s="106" t="s">
        <v>132</v>
      </c>
      <c r="F101" s="106" t="s">
        <v>10</v>
      </c>
      <c r="G101" s="106"/>
      <c r="H101" s="106" t="s">
        <v>260</v>
      </c>
      <c r="I101" s="137" t="s">
        <v>74</v>
      </c>
    </row>
    <row r="102" spans="1:9" x14ac:dyDescent="0.2">
      <c r="A102" s="140">
        <v>75655</v>
      </c>
      <c r="B102" s="140">
        <v>1097</v>
      </c>
      <c r="C102" s="140" t="s">
        <v>357</v>
      </c>
      <c r="D102" s="140" t="s">
        <v>132</v>
      </c>
      <c r="E102" s="106" t="s">
        <v>132</v>
      </c>
      <c r="F102" s="106" t="s">
        <v>261</v>
      </c>
      <c r="G102" s="106" t="s">
        <v>260</v>
      </c>
      <c r="H102" s="106"/>
      <c r="I102" s="137" t="s">
        <v>74</v>
      </c>
    </row>
    <row r="103" spans="1:9" x14ac:dyDescent="0.2">
      <c r="A103" s="106">
        <v>1013407</v>
      </c>
      <c r="B103" s="106">
        <v>1100</v>
      </c>
      <c r="C103" s="106" t="s">
        <v>357</v>
      </c>
      <c r="D103" s="106" t="s">
        <v>304</v>
      </c>
      <c r="E103" s="106" t="s">
        <v>305</v>
      </c>
      <c r="F103" s="106" t="s">
        <v>10</v>
      </c>
      <c r="G103" s="106"/>
      <c r="H103" s="106" t="s">
        <v>260</v>
      </c>
      <c r="I103" s="137" t="s">
        <v>74</v>
      </c>
    </row>
    <row r="104" spans="1:9" x14ac:dyDescent="0.2">
      <c r="A104" s="106">
        <v>75145</v>
      </c>
      <c r="B104" s="106">
        <v>1800</v>
      </c>
      <c r="C104" s="106" t="s">
        <v>358</v>
      </c>
      <c r="D104" s="106" t="s">
        <v>133</v>
      </c>
      <c r="E104" s="106" t="s">
        <v>306</v>
      </c>
      <c r="F104" s="106" t="s">
        <v>10</v>
      </c>
      <c r="G104" s="106" t="s">
        <v>260</v>
      </c>
      <c r="H104" s="106"/>
      <c r="I104" s="137" t="s">
        <v>74</v>
      </c>
    </row>
    <row r="105" spans="1:9" x14ac:dyDescent="0.2">
      <c r="A105" s="106">
        <v>75146</v>
      </c>
      <c r="B105" s="106">
        <v>1800</v>
      </c>
      <c r="C105" s="106" t="s">
        <v>358</v>
      </c>
      <c r="D105" s="106" t="s">
        <v>134</v>
      </c>
      <c r="E105" s="106" t="s">
        <v>306</v>
      </c>
      <c r="F105" s="106" t="s">
        <v>10</v>
      </c>
      <c r="G105" s="106" t="s">
        <v>260</v>
      </c>
      <c r="H105" s="106"/>
      <c r="I105" s="137" t="s">
        <v>74</v>
      </c>
    </row>
    <row r="106" spans="1:9" x14ac:dyDescent="0.2">
      <c r="A106" s="140">
        <v>77703</v>
      </c>
      <c r="B106" s="140">
        <v>2060</v>
      </c>
      <c r="C106" s="140" t="s">
        <v>357</v>
      </c>
      <c r="D106" s="140" t="s">
        <v>114</v>
      </c>
      <c r="E106" s="143" t="s">
        <v>94</v>
      </c>
      <c r="F106" s="143" t="s">
        <v>261</v>
      </c>
      <c r="G106" s="143" t="s">
        <v>260</v>
      </c>
      <c r="H106" s="143"/>
      <c r="I106" s="137" t="s">
        <v>74</v>
      </c>
    </row>
    <row r="107" spans="1:9" x14ac:dyDescent="0.2">
      <c r="A107" s="106">
        <v>65507430562</v>
      </c>
      <c r="B107" s="106" t="s">
        <v>307</v>
      </c>
      <c r="C107" s="106" t="s">
        <v>8</v>
      </c>
      <c r="D107" s="106" t="s">
        <v>308</v>
      </c>
      <c r="E107" s="106" t="s">
        <v>308</v>
      </c>
      <c r="F107" s="106" t="s">
        <v>261</v>
      </c>
      <c r="G107" s="106" t="s">
        <v>260</v>
      </c>
      <c r="H107" s="106"/>
      <c r="I107" s="137" t="s">
        <v>74</v>
      </c>
    </row>
    <row r="108" spans="1:9" x14ac:dyDescent="0.2">
      <c r="A108" s="106">
        <v>2000182</v>
      </c>
      <c r="B108" s="106">
        <v>2500</v>
      </c>
      <c r="C108" s="106" t="s">
        <v>357</v>
      </c>
      <c r="D108" s="106" t="s">
        <v>56</v>
      </c>
      <c r="E108" s="106" t="s">
        <v>229</v>
      </c>
      <c r="F108" s="106" t="s">
        <v>10</v>
      </c>
      <c r="G108" s="106"/>
      <c r="H108" s="106" t="s">
        <v>260</v>
      </c>
      <c r="I108" s="137" t="s">
        <v>74</v>
      </c>
    </row>
    <row r="109" spans="1:9" x14ac:dyDescent="0.2">
      <c r="A109" s="106">
        <v>2000183</v>
      </c>
      <c r="B109" s="106">
        <v>2500</v>
      </c>
      <c r="C109" s="106" t="s">
        <v>357</v>
      </c>
      <c r="D109" s="106" t="s">
        <v>309</v>
      </c>
      <c r="E109" s="106" t="s">
        <v>229</v>
      </c>
      <c r="F109" s="106" t="s">
        <v>10</v>
      </c>
      <c r="G109" s="106"/>
      <c r="H109" s="106" t="s">
        <v>260</v>
      </c>
      <c r="I109" s="137" t="s">
        <v>74</v>
      </c>
    </row>
    <row r="110" spans="1:9" x14ac:dyDescent="0.2">
      <c r="A110" s="106">
        <v>1012259</v>
      </c>
      <c r="B110" s="106">
        <v>2600</v>
      </c>
      <c r="C110" s="106" t="s">
        <v>357</v>
      </c>
      <c r="D110" s="106" t="s">
        <v>54</v>
      </c>
      <c r="E110" s="106" t="s">
        <v>229</v>
      </c>
      <c r="F110" s="106" t="s">
        <v>10</v>
      </c>
      <c r="G110" s="106"/>
      <c r="H110" s="106" t="s">
        <v>260</v>
      </c>
      <c r="I110" s="137" t="s">
        <v>74</v>
      </c>
    </row>
    <row r="111" spans="1:9" x14ac:dyDescent="0.2">
      <c r="A111" s="106">
        <v>1012260</v>
      </c>
      <c r="B111" s="106">
        <v>2600</v>
      </c>
      <c r="C111" s="106" t="s">
        <v>357</v>
      </c>
      <c r="D111" s="106" t="s">
        <v>55</v>
      </c>
      <c r="E111" s="106" t="s">
        <v>229</v>
      </c>
      <c r="F111" s="106" t="s">
        <v>10</v>
      </c>
      <c r="G111" s="106"/>
      <c r="H111" s="106" t="s">
        <v>260</v>
      </c>
      <c r="I111" s="137" t="s">
        <v>74</v>
      </c>
    </row>
    <row r="112" spans="1:9" x14ac:dyDescent="0.2">
      <c r="A112" s="106">
        <v>2000423</v>
      </c>
      <c r="B112" s="106">
        <v>2700</v>
      </c>
      <c r="C112" s="106" t="s">
        <v>357</v>
      </c>
      <c r="D112" s="106" t="s">
        <v>64</v>
      </c>
      <c r="E112" s="106" t="s">
        <v>229</v>
      </c>
      <c r="F112" s="106" t="s">
        <v>10</v>
      </c>
      <c r="G112" s="106"/>
      <c r="H112" s="106" t="s">
        <v>260</v>
      </c>
      <c r="I112" s="137" t="s">
        <v>74</v>
      </c>
    </row>
    <row r="113" spans="1:9" x14ac:dyDescent="0.2">
      <c r="A113" s="106">
        <v>2000424</v>
      </c>
      <c r="B113" s="106">
        <v>2700</v>
      </c>
      <c r="C113" s="106" t="s">
        <v>357</v>
      </c>
      <c r="D113" s="106" t="s">
        <v>65</v>
      </c>
      <c r="E113" s="106" t="s">
        <v>229</v>
      </c>
      <c r="F113" s="106" t="s">
        <v>10</v>
      </c>
      <c r="G113" s="106"/>
      <c r="H113" s="106" t="s">
        <v>260</v>
      </c>
      <c r="I113" s="137" t="s">
        <v>74</v>
      </c>
    </row>
    <row r="114" spans="1:9" x14ac:dyDescent="0.2">
      <c r="A114" s="106">
        <v>2001047</v>
      </c>
      <c r="B114" s="106">
        <v>2779</v>
      </c>
      <c r="C114" s="106" t="s">
        <v>357</v>
      </c>
      <c r="D114" s="106" t="s">
        <v>228</v>
      </c>
      <c r="E114" s="144" t="s">
        <v>229</v>
      </c>
      <c r="F114" s="106" t="s">
        <v>10</v>
      </c>
      <c r="G114" s="106"/>
      <c r="H114" s="106" t="s">
        <v>260</v>
      </c>
      <c r="I114" s="137" t="s">
        <v>74</v>
      </c>
    </row>
    <row r="115" spans="1:9" x14ac:dyDescent="0.2">
      <c r="A115" s="106">
        <v>2001046</v>
      </c>
      <c r="B115" s="106">
        <v>2779</v>
      </c>
      <c r="C115" s="106" t="s">
        <v>357</v>
      </c>
      <c r="D115" s="106" t="s">
        <v>227</v>
      </c>
      <c r="E115" s="144" t="s">
        <v>229</v>
      </c>
      <c r="F115" s="106" t="s">
        <v>10</v>
      </c>
      <c r="G115" s="106"/>
      <c r="H115" s="106" t="s">
        <v>260</v>
      </c>
      <c r="I115" s="137" t="s">
        <v>74</v>
      </c>
    </row>
    <row r="116" spans="1:9" x14ac:dyDescent="0.2">
      <c r="A116" s="106">
        <v>1033543</v>
      </c>
      <c r="B116" s="106">
        <v>2900</v>
      </c>
      <c r="C116" s="106" t="s">
        <v>357</v>
      </c>
      <c r="D116" s="106" t="s">
        <v>235</v>
      </c>
      <c r="E116" s="144" t="s">
        <v>229</v>
      </c>
      <c r="F116" s="106" t="s">
        <v>10</v>
      </c>
      <c r="G116" s="106"/>
      <c r="H116" s="106" t="s">
        <v>260</v>
      </c>
      <c r="I116" s="137" t="s">
        <v>74</v>
      </c>
    </row>
    <row r="117" spans="1:9" x14ac:dyDescent="0.2">
      <c r="A117" s="106">
        <v>1033544</v>
      </c>
      <c r="B117" s="106">
        <v>2900</v>
      </c>
      <c r="C117" s="106" t="s">
        <v>357</v>
      </c>
      <c r="D117" s="106" t="s">
        <v>235</v>
      </c>
      <c r="E117" s="144" t="s">
        <v>229</v>
      </c>
      <c r="F117" s="106" t="s">
        <v>10</v>
      </c>
      <c r="G117" s="106"/>
      <c r="H117" s="106" t="s">
        <v>260</v>
      </c>
      <c r="I117" s="137" t="s">
        <v>74</v>
      </c>
    </row>
    <row r="118" spans="1:9" x14ac:dyDescent="0.2">
      <c r="A118" s="106">
        <v>1033545</v>
      </c>
      <c r="B118" s="106">
        <v>2901</v>
      </c>
      <c r="C118" s="106" t="s">
        <v>357</v>
      </c>
      <c r="D118" s="106" t="s">
        <v>236</v>
      </c>
      <c r="E118" s="106" t="s">
        <v>229</v>
      </c>
      <c r="F118" s="106" t="s">
        <v>10</v>
      </c>
      <c r="G118" s="106"/>
      <c r="H118" s="106" t="s">
        <v>260</v>
      </c>
      <c r="I118" s="137" t="s">
        <v>74</v>
      </c>
    </row>
    <row r="119" spans="1:9" x14ac:dyDescent="0.2">
      <c r="A119" s="144">
        <v>1033546</v>
      </c>
      <c r="B119" s="106">
        <v>2901</v>
      </c>
      <c r="C119" s="106" t="s">
        <v>357</v>
      </c>
      <c r="D119" s="106" t="s">
        <v>236</v>
      </c>
      <c r="E119" s="144" t="s">
        <v>229</v>
      </c>
      <c r="F119" s="106" t="s">
        <v>10</v>
      </c>
      <c r="G119" s="106"/>
      <c r="H119" s="106" t="s">
        <v>260</v>
      </c>
      <c r="I119" s="137" t="s">
        <v>74</v>
      </c>
    </row>
    <row r="120" spans="1:9" x14ac:dyDescent="0.2">
      <c r="A120" s="144">
        <v>4031</v>
      </c>
      <c r="B120" s="106">
        <v>4031</v>
      </c>
      <c r="C120" s="106" t="s">
        <v>358</v>
      </c>
      <c r="D120" s="106" t="s">
        <v>230</v>
      </c>
      <c r="E120" s="144" t="s">
        <v>230</v>
      </c>
      <c r="F120" s="106" t="s">
        <v>261</v>
      </c>
      <c r="G120" s="106" t="s">
        <v>260</v>
      </c>
      <c r="H120" s="106"/>
      <c r="I120" s="137" t="s">
        <v>74</v>
      </c>
    </row>
    <row r="121" spans="1:9" x14ac:dyDescent="0.2">
      <c r="A121" s="106">
        <v>1018014</v>
      </c>
      <c r="B121" s="106">
        <v>1018014</v>
      </c>
      <c r="C121" s="106" t="s">
        <v>357</v>
      </c>
      <c r="D121" s="106" t="s">
        <v>137</v>
      </c>
      <c r="E121" s="106" t="s">
        <v>137</v>
      </c>
      <c r="F121" s="106" t="s">
        <v>272</v>
      </c>
      <c r="G121" s="106" t="s">
        <v>260</v>
      </c>
      <c r="H121" s="106"/>
      <c r="I121" s="137" t="s">
        <v>74</v>
      </c>
    </row>
    <row r="122" spans="1:9" x14ac:dyDescent="0.2">
      <c r="A122" s="106">
        <v>1018122</v>
      </c>
      <c r="B122" s="106">
        <v>1018122</v>
      </c>
      <c r="C122" s="106" t="s">
        <v>357</v>
      </c>
      <c r="D122" s="106" t="s">
        <v>138</v>
      </c>
      <c r="E122" s="106" t="s">
        <v>271</v>
      </c>
      <c r="F122" s="106" t="s">
        <v>272</v>
      </c>
      <c r="G122" s="106" t="s">
        <v>260</v>
      </c>
      <c r="H122" s="106"/>
      <c r="I122" s="137" t="s">
        <v>74</v>
      </c>
    </row>
    <row r="123" spans="1:9" x14ac:dyDescent="0.2">
      <c r="A123" s="106">
        <v>1018302</v>
      </c>
      <c r="B123" s="106">
        <v>1018302</v>
      </c>
      <c r="C123" s="106" t="s">
        <v>357</v>
      </c>
      <c r="D123" s="106" t="s">
        <v>139</v>
      </c>
      <c r="E123" s="106" t="s">
        <v>271</v>
      </c>
      <c r="F123" s="106" t="s">
        <v>272</v>
      </c>
      <c r="G123" s="106" t="s">
        <v>260</v>
      </c>
      <c r="H123" s="106"/>
      <c r="I123" s="137" t="s">
        <v>74</v>
      </c>
    </row>
    <row r="124" spans="1:9" x14ac:dyDescent="0.2">
      <c r="A124" s="106">
        <v>1031547</v>
      </c>
      <c r="B124" s="106">
        <v>1031547</v>
      </c>
      <c r="C124" s="106" t="s">
        <v>357</v>
      </c>
      <c r="D124" s="106" t="s">
        <v>152</v>
      </c>
      <c r="E124" s="106" t="s">
        <v>174</v>
      </c>
      <c r="F124" s="106" t="s">
        <v>261</v>
      </c>
      <c r="G124" s="106" t="s">
        <v>260</v>
      </c>
      <c r="H124" s="106"/>
      <c r="I124" s="137" t="s">
        <v>74</v>
      </c>
    </row>
    <row r="125" spans="1:9" x14ac:dyDescent="0.2">
      <c r="A125" s="106">
        <v>1031548</v>
      </c>
      <c r="B125" s="106">
        <v>1031548</v>
      </c>
      <c r="C125" s="106" t="s">
        <v>357</v>
      </c>
      <c r="D125" s="106" t="s">
        <v>153</v>
      </c>
      <c r="E125" s="106" t="s">
        <v>174</v>
      </c>
      <c r="F125" s="106" t="s">
        <v>261</v>
      </c>
      <c r="G125" s="106" t="s">
        <v>260</v>
      </c>
      <c r="H125" s="106"/>
      <c r="I125" s="137" t="s">
        <v>74</v>
      </c>
    </row>
    <row r="126" spans="1:9" ht="25.5" x14ac:dyDescent="0.2">
      <c r="A126" s="106">
        <v>1031549</v>
      </c>
      <c r="B126" s="106">
        <v>1031549</v>
      </c>
      <c r="C126" s="106" t="s">
        <v>357</v>
      </c>
      <c r="D126" s="106" t="s">
        <v>154</v>
      </c>
      <c r="E126" s="106" t="s">
        <v>174</v>
      </c>
      <c r="F126" s="106" t="s">
        <v>261</v>
      </c>
      <c r="G126" s="106" t="s">
        <v>260</v>
      </c>
      <c r="H126" s="106"/>
      <c r="I126" s="137" t="s">
        <v>74</v>
      </c>
    </row>
    <row r="127" spans="1:9" x14ac:dyDescent="0.2">
      <c r="A127" s="106">
        <v>1031550</v>
      </c>
      <c r="B127" s="106">
        <v>1031550</v>
      </c>
      <c r="C127" s="106" t="s">
        <v>357</v>
      </c>
      <c r="D127" s="106" t="s">
        <v>155</v>
      </c>
      <c r="E127" s="106" t="s">
        <v>174</v>
      </c>
      <c r="F127" s="106" t="s">
        <v>261</v>
      </c>
      <c r="G127" s="106" t="s">
        <v>260</v>
      </c>
      <c r="H127" s="106"/>
      <c r="I127" s="137" t="s">
        <v>74</v>
      </c>
    </row>
    <row r="128" spans="1:9" x14ac:dyDescent="0.2">
      <c r="A128" s="106">
        <v>1031551</v>
      </c>
      <c r="B128" s="106">
        <v>1031551</v>
      </c>
      <c r="C128" s="106" t="s">
        <v>357</v>
      </c>
      <c r="D128" s="106" t="s">
        <v>156</v>
      </c>
      <c r="E128" s="106" t="s">
        <v>174</v>
      </c>
      <c r="F128" s="141" t="s">
        <v>261</v>
      </c>
      <c r="G128" s="106" t="s">
        <v>260</v>
      </c>
      <c r="H128" s="106"/>
      <c r="I128" s="137" t="s">
        <v>74</v>
      </c>
    </row>
    <row r="129" spans="1:9" ht="25.5" x14ac:dyDescent="0.2">
      <c r="A129" s="145">
        <v>1032873</v>
      </c>
      <c r="B129" s="106">
        <v>1032873</v>
      </c>
      <c r="C129" s="106" t="s">
        <v>8</v>
      </c>
      <c r="D129" s="106" t="s">
        <v>232</v>
      </c>
      <c r="E129" s="106" t="s">
        <v>232</v>
      </c>
      <c r="F129" s="106" t="s">
        <v>10</v>
      </c>
      <c r="G129" s="106" t="s">
        <v>260</v>
      </c>
      <c r="H129" s="106"/>
      <c r="I129" s="137" t="s">
        <v>74</v>
      </c>
    </row>
    <row r="130" spans="1:9" x14ac:dyDescent="0.2">
      <c r="A130" s="140">
        <v>2000736</v>
      </c>
      <c r="B130" s="140">
        <v>2000736</v>
      </c>
      <c r="C130" s="140" t="s">
        <v>358</v>
      </c>
      <c r="D130" s="140" t="s">
        <v>147</v>
      </c>
      <c r="E130" s="106" t="s">
        <v>132</v>
      </c>
      <c r="F130" s="106" t="s">
        <v>261</v>
      </c>
      <c r="G130" s="106" t="s">
        <v>260</v>
      </c>
      <c r="H130" s="106"/>
      <c r="I130" s="137" t="s">
        <v>74</v>
      </c>
    </row>
    <row r="131" spans="1:9" x14ac:dyDescent="0.2">
      <c r="A131" s="106">
        <v>2000795</v>
      </c>
      <c r="B131" s="106">
        <v>2000795</v>
      </c>
      <c r="C131" s="106" t="s">
        <v>357</v>
      </c>
      <c r="D131" s="106" t="s">
        <v>310</v>
      </c>
      <c r="E131" s="106" t="s">
        <v>14</v>
      </c>
      <c r="F131" s="106" t="s">
        <v>10</v>
      </c>
      <c r="G131" s="106"/>
      <c r="H131" s="106" t="s">
        <v>260</v>
      </c>
      <c r="I131" s="137" t="s">
        <v>74</v>
      </c>
    </row>
    <row r="132" spans="1:9" x14ac:dyDescent="0.2">
      <c r="A132" s="146">
        <v>2000819</v>
      </c>
      <c r="B132" s="147">
        <v>2000819</v>
      </c>
      <c r="C132" s="146" t="s">
        <v>357</v>
      </c>
      <c r="D132" s="146" t="s">
        <v>157</v>
      </c>
      <c r="E132" s="146" t="s">
        <v>175</v>
      </c>
      <c r="F132" s="146" t="s">
        <v>10</v>
      </c>
      <c r="G132" s="146" t="s">
        <v>260</v>
      </c>
      <c r="H132" s="146"/>
      <c r="I132" s="137" t="s">
        <v>74</v>
      </c>
    </row>
    <row r="133" spans="1:9" x14ac:dyDescent="0.2">
      <c r="A133" s="146">
        <v>2000820</v>
      </c>
      <c r="B133" s="146">
        <v>2000820</v>
      </c>
      <c r="C133" s="146" t="s">
        <v>357</v>
      </c>
      <c r="D133" s="146" t="s">
        <v>158</v>
      </c>
      <c r="E133" s="146" t="s">
        <v>175</v>
      </c>
      <c r="F133" s="146" t="s">
        <v>10</v>
      </c>
      <c r="G133" s="146" t="s">
        <v>260</v>
      </c>
      <c r="H133" s="146"/>
      <c r="I133" s="137" t="s">
        <v>74</v>
      </c>
    </row>
    <row r="134" spans="1:9" x14ac:dyDescent="0.2">
      <c r="A134" s="146">
        <v>2000821</v>
      </c>
      <c r="B134" s="146">
        <v>2000821</v>
      </c>
      <c r="C134" s="146" t="s">
        <v>357</v>
      </c>
      <c r="D134" s="146" t="s">
        <v>159</v>
      </c>
      <c r="E134" s="146" t="s">
        <v>175</v>
      </c>
      <c r="F134" s="146" t="s">
        <v>10</v>
      </c>
      <c r="G134" s="146" t="s">
        <v>260</v>
      </c>
      <c r="H134" s="146"/>
      <c r="I134" s="137" t="s">
        <v>74</v>
      </c>
    </row>
    <row r="135" spans="1:9" x14ac:dyDescent="0.2">
      <c r="A135" s="146">
        <v>2000822</v>
      </c>
      <c r="B135" s="146">
        <v>2000822</v>
      </c>
      <c r="C135" s="146" t="s">
        <v>357</v>
      </c>
      <c r="D135" s="146" t="s">
        <v>160</v>
      </c>
      <c r="E135" s="146" t="s">
        <v>175</v>
      </c>
      <c r="F135" s="146" t="s">
        <v>10</v>
      </c>
      <c r="G135" s="146" t="s">
        <v>260</v>
      </c>
      <c r="H135" s="146"/>
      <c r="I135" s="137" t="s">
        <v>74</v>
      </c>
    </row>
    <row r="136" spans="1:9" ht="25.5" x14ac:dyDescent="0.2">
      <c r="A136" s="146">
        <v>2000823</v>
      </c>
      <c r="B136" s="146">
        <v>2000823</v>
      </c>
      <c r="C136" s="146" t="s">
        <v>357</v>
      </c>
      <c r="D136" s="146" t="s">
        <v>161</v>
      </c>
      <c r="E136" s="146" t="s">
        <v>175</v>
      </c>
      <c r="F136" s="146" t="s">
        <v>10</v>
      </c>
      <c r="G136" s="146" t="s">
        <v>260</v>
      </c>
      <c r="H136" s="146"/>
      <c r="I136" s="137" t="s">
        <v>74</v>
      </c>
    </row>
    <row r="137" spans="1:9" x14ac:dyDescent="0.2">
      <c r="A137" s="146">
        <v>2000824</v>
      </c>
      <c r="B137" s="146">
        <v>2000824</v>
      </c>
      <c r="C137" s="146" t="s">
        <v>357</v>
      </c>
      <c r="D137" s="146" t="s">
        <v>162</v>
      </c>
      <c r="E137" s="146" t="s">
        <v>175</v>
      </c>
      <c r="F137" s="146" t="s">
        <v>10</v>
      </c>
      <c r="G137" s="146" t="s">
        <v>260</v>
      </c>
      <c r="H137" s="146"/>
      <c r="I137" s="137" t="s">
        <v>74</v>
      </c>
    </row>
    <row r="138" spans="1:9" x14ac:dyDescent="0.2">
      <c r="A138" s="146">
        <v>2000825</v>
      </c>
      <c r="B138" s="146">
        <v>2000825</v>
      </c>
      <c r="C138" s="146" t="s">
        <v>357</v>
      </c>
      <c r="D138" s="146" t="s">
        <v>163</v>
      </c>
      <c r="E138" s="146" t="s">
        <v>175</v>
      </c>
      <c r="F138" s="146" t="s">
        <v>10</v>
      </c>
      <c r="G138" s="146" t="s">
        <v>260</v>
      </c>
      <c r="H138" s="146"/>
      <c r="I138" s="137" t="s">
        <v>74</v>
      </c>
    </row>
    <row r="139" spans="1:9" x14ac:dyDescent="0.2">
      <c r="A139" s="146">
        <v>2000826</v>
      </c>
      <c r="B139" s="146">
        <v>2000826</v>
      </c>
      <c r="C139" s="146" t="s">
        <v>357</v>
      </c>
      <c r="D139" s="146" t="s">
        <v>164</v>
      </c>
      <c r="E139" s="146" t="s">
        <v>175</v>
      </c>
      <c r="F139" s="146" t="s">
        <v>10</v>
      </c>
      <c r="G139" s="146" t="s">
        <v>260</v>
      </c>
      <c r="H139" s="146"/>
      <c r="I139" s="137" t="s">
        <v>74</v>
      </c>
    </row>
    <row r="140" spans="1:9" x14ac:dyDescent="0.2">
      <c r="A140" s="146">
        <v>2000827</v>
      </c>
      <c r="B140" s="146">
        <v>2000827</v>
      </c>
      <c r="C140" s="146" t="s">
        <v>357</v>
      </c>
      <c r="D140" s="146" t="s">
        <v>165</v>
      </c>
      <c r="E140" s="146" t="s">
        <v>175</v>
      </c>
      <c r="F140" s="146" t="s">
        <v>10</v>
      </c>
      <c r="G140" s="146" t="s">
        <v>260</v>
      </c>
      <c r="H140" s="146"/>
      <c r="I140" s="137" t="s">
        <v>74</v>
      </c>
    </row>
    <row r="141" spans="1:9" x14ac:dyDescent="0.2">
      <c r="A141" s="146">
        <v>2000828</v>
      </c>
      <c r="B141" s="146">
        <v>2000828</v>
      </c>
      <c r="C141" s="146" t="s">
        <v>357</v>
      </c>
      <c r="D141" s="146" t="s">
        <v>166</v>
      </c>
      <c r="E141" s="146" t="s">
        <v>175</v>
      </c>
      <c r="F141" s="146" t="s">
        <v>10</v>
      </c>
      <c r="G141" s="146" t="s">
        <v>260</v>
      </c>
      <c r="H141" s="146"/>
      <c r="I141" s="137" t="s">
        <v>74</v>
      </c>
    </row>
    <row r="142" spans="1:9" x14ac:dyDescent="0.2">
      <c r="A142" s="146">
        <v>2000830</v>
      </c>
      <c r="B142" s="146">
        <v>2000830</v>
      </c>
      <c r="C142" s="146" t="s">
        <v>357</v>
      </c>
      <c r="D142" s="146" t="s">
        <v>167</v>
      </c>
      <c r="E142" s="146" t="s">
        <v>175</v>
      </c>
      <c r="F142" s="146" t="s">
        <v>10</v>
      </c>
      <c r="G142" s="146" t="s">
        <v>260</v>
      </c>
      <c r="H142" s="146"/>
      <c r="I142" s="137" t="s">
        <v>74</v>
      </c>
    </row>
    <row r="143" spans="1:9" ht="25.5" x14ac:dyDescent="0.2">
      <c r="A143" s="146">
        <v>2000831</v>
      </c>
      <c r="B143" s="146">
        <v>2000831</v>
      </c>
      <c r="C143" s="146" t="s">
        <v>357</v>
      </c>
      <c r="D143" s="146" t="s">
        <v>168</v>
      </c>
      <c r="E143" s="146" t="s">
        <v>175</v>
      </c>
      <c r="F143" s="146" t="s">
        <v>10</v>
      </c>
      <c r="G143" s="146" t="s">
        <v>260</v>
      </c>
      <c r="H143" s="146"/>
      <c r="I143" s="137" t="s">
        <v>74</v>
      </c>
    </row>
    <row r="144" spans="1:9" x14ac:dyDescent="0.2">
      <c r="A144" s="106">
        <v>2000905</v>
      </c>
      <c r="B144" s="106">
        <v>2000905</v>
      </c>
      <c r="C144" s="106" t="s">
        <v>357</v>
      </c>
      <c r="D144" s="106" t="s">
        <v>189</v>
      </c>
      <c r="E144" s="106" t="s">
        <v>189</v>
      </c>
      <c r="F144" s="106" t="s">
        <v>10</v>
      </c>
      <c r="G144" s="106" t="s">
        <v>260</v>
      </c>
      <c r="H144" s="106"/>
      <c r="I144" s="137" t="s">
        <v>74</v>
      </c>
    </row>
    <row r="145" spans="1:9" ht="25.5" x14ac:dyDescent="0.2">
      <c r="A145" s="106">
        <v>65505283448</v>
      </c>
      <c r="B145" s="106" t="s">
        <v>181</v>
      </c>
      <c r="C145" s="106" t="s">
        <v>357</v>
      </c>
      <c r="D145" s="106" t="s">
        <v>311</v>
      </c>
      <c r="E145" s="106" t="s">
        <v>312</v>
      </c>
      <c r="F145" s="106" t="s">
        <v>261</v>
      </c>
      <c r="G145" s="106" t="s">
        <v>260</v>
      </c>
      <c r="H145" s="106"/>
      <c r="I145" s="137" t="s">
        <v>74</v>
      </c>
    </row>
    <row r="146" spans="1:9" ht="25.5" x14ac:dyDescent="0.2">
      <c r="A146" s="106">
        <v>65505283360</v>
      </c>
      <c r="B146" s="106" t="s">
        <v>180</v>
      </c>
      <c r="C146" s="106" t="s">
        <v>357</v>
      </c>
      <c r="D146" s="106" t="s">
        <v>313</v>
      </c>
      <c r="E146" s="106" t="s">
        <v>312</v>
      </c>
      <c r="F146" s="106" t="s">
        <v>261</v>
      </c>
      <c r="G146" s="106" t="s">
        <v>260</v>
      </c>
      <c r="H146" s="106"/>
      <c r="I146" s="137" t="s">
        <v>74</v>
      </c>
    </row>
    <row r="147" spans="1:9" ht="25.5" x14ac:dyDescent="0.2">
      <c r="A147" s="106">
        <v>1018867</v>
      </c>
      <c r="B147" s="106" t="s">
        <v>100</v>
      </c>
      <c r="C147" s="106" t="s">
        <v>357</v>
      </c>
      <c r="D147" s="106" t="s">
        <v>314</v>
      </c>
      <c r="E147" s="148" t="s">
        <v>315</v>
      </c>
      <c r="F147" s="106" t="s">
        <v>261</v>
      </c>
      <c r="G147" s="106" t="s">
        <v>260</v>
      </c>
      <c r="H147" s="106"/>
      <c r="I147" s="137" t="s">
        <v>74</v>
      </c>
    </row>
    <row r="148" spans="1:9" x14ac:dyDescent="0.2">
      <c r="A148" s="106">
        <v>2000849</v>
      </c>
      <c r="B148" s="106" t="s">
        <v>182</v>
      </c>
      <c r="C148" s="106" t="s">
        <v>357</v>
      </c>
      <c r="D148" s="106" t="s">
        <v>185</v>
      </c>
      <c r="E148" s="106" t="s">
        <v>186</v>
      </c>
      <c r="F148" s="106" t="s">
        <v>261</v>
      </c>
      <c r="G148" s="106" t="s">
        <v>260</v>
      </c>
      <c r="H148" s="106"/>
      <c r="I148" s="137" t="s">
        <v>74</v>
      </c>
    </row>
    <row r="149" spans="1:9" x14ac:dyDescent="0.2">
      <c r="A149" s="106">
        <v>2000848</v>
      </c>
      <c r="B149" s="106" t="s">
        <v>183</v>
      </c>
      <c r="C149" s="106" t="s">
        <v>357</v>
      </c>
      <c r="D149" s="106" t="s">
        <v>184</v>
      </c>
      <c r="E149" s="106" t="s">
        <v>186</v>
      </c>
      <c r="F149" s="106" t="s">
        <v>261</v>
      </c>
      <c r="G149" s="106" t="s">
        <v>260</v>
      </c>
      <c r="H149" s="106"/>
      <c r="I149" s="137" t="s">
        <v>74</v>
      </c>
    </row>
    <row r="150" spans="1:9" ht="25.5" x14ac:dyDescent="0.2">
      <c r="A150" s="106">
        <v>65501372909</v>
      </c>
      <c r="B150" s="106" t="s">
        <v>172</v>
      </c>
      <c r="C150" s="106" t="s">
        <v>357</v>
      </c>
      <c r="D150" s="106" t="s">
        <v>170</v>
      </c>
      <c r="E150" s="106" t="s">
        <v>171</v>
      </c>
      <c r="F150" s="106" t="s">
        <v>261</v>
      </c>
      <c r="G150" s="106" t="s">
        <v>260</v>
      </c>
      <c r="H150" s="106"/>
      <c r="I150" s="137" t="s">
        <v>74</v>
      </c>
    </row>
    <row r="151" spans="1:9" x14ac:dyDescent="0.2">
      <c r="A151" s="106">
        <v>1031340</v>
      </c>
      <c r="B151" s="106" t="s">
        <v>151</v>
      </c>
      <c r="C151" s="106" t="s">
        <v>357</v>
      </c>
      <c r="D151" s="106" t="s">
        <v>316</v>
      </c>
      <c r="E151" s="106" t="s">
        <v>316</v>
      </c>
      <c r="F151" s="106" t="s">
        <v>261</v>
      </c>
      <c r="G151" s="106" t="s">
        <v>260</v>
      </c>
      <c r="H151" s="106"/>
      <c r="I151" s="137" t="s">
        <v>74</v>
      </c>
    </row>
    <row r="152" spans="1:9" x14ac:dyDescent="0.2">
      <c r="A152" s="140">
        <v>2000522</v>
      </c>
      <c r="B152" s="140" t="s">
        <v>35</v>
      </c>
      <c r="C152" s="140" t="s">
        <v>357</v>
      </c>
      <c r="D152" s="140" t="s">
        <v>34</v>
      </c>
      <c r="E152" s="106" t="s">
        <v>34</v>
      </c>
      <c r="F152" s="106" t="s">
        <v>261</v>
      </c>
      <c r="G152" s="106" t="s">
        <v>260</v>
      </c>
      <c r="H152" s="106"/>
      <c r="I152" s="137" t="s">
        <v>74</v>
      </c>
    </row>
    <row r="153" spans="1:9" ht="25.5" x14ac:dyDescent="0.2">
      <c r="A153" s="106">
        <v>65505283309</v>
      </c>
      <c r="B153" s="106" t="s">
        <v>179</v>
      </c>
      <c r="C153" s="106" t="s">
        <v>357</v>
      </c>
      <c r="D153" s="106" t="s">
        <v>179</v>
      </c>
      <c r="E153" s="106" t="s">
        <v>312</v>
      </c>
      <c r="F153" s="106" t="s">
        <v>261</v>
      </c>
      <c r="G153" s="106" t="s">
        <v>260</v>
      </c>
      <c r="H153" s="106"/>
      <c r="I153" s="137" t="s">
        <v>74</v>
      </c>
    </row>
    <row r="154" spans="1:9" ht="25.5" x14ac:dyDescent="0.2">
      <c r="A154" s="138">
        <v>2000570</v>
      </c>
      <c r="B154" s="138" t="s">
        <v>42</v>
      </c>
      <c r="C154" s="138" t="s">
        <v>357</v>
      </c>
      <c r="D154" s="138" t="s">
        <v>317</v>
      </c>
      <c r="E154" s="138" t="s">
        <v>91</v>
      </c>
      <c r="F154" s="138" t="s">
        <v>10</v>
      </c>
      <c r="G154" s="138" t="s">
        <v>260</v>
      </c>
      <c r="H154" s="138"/>
      <c r="I154" s="137" t="s">
        <v>74</v>
      </c>
    </row>
    <row r="155" spans="1:9" ht="25.5" x14ac:dyDescent="0.2">
      <c r="A155" s="138">
        <v>2000571</v>
      </c>
      <c r="B155" s="138" t="s">
        <v>42</v>
      </c>
      <c r="C155" s="138" t="s">
        <v>357</v>
      </c>
      <c r="D155" s="138" t="s">
        <v>318</v>
      </c>
      <c r="E155" s="138" t="s">
        <v>91</v>
      </c>
      <c r="F155" s="138" t="s">
        <v>10</v>
      </c>
      <c r="G155" s="138" t="s">
        <v>260</v>
      </c>
      <c r="H155" s="138"/>
      <c r="I155" s="137" t="s">
        <v>74</v>
      </c>
    </row>
    <row r="156" spans="1:9" ht="25.5" x14ac:dyDescent="0.2">
      <c r="A156" s="138">
        <v>2000572</v>
      </c>
      <c r="B156" s="138" t="s">
        <v>42</v>
      </c>
      <c r="C156" s="138" t="s">
        <v>357</v>
      </c>
      <c r="D156" s="138" t="s">
        <v>319</v>
      </c>
      <c r="E156" s="138" t="s">
        <v>91</v>
      </c>
      <c r="F156" s="138" t="s">
        <v>10</v>
      </c>
      <c r="G156" s="138" t="s">
        <v>260</v>
      </c>
      <c r="H156" s="138"/>
      <c r="I156" s="137" t="s">
        <v>74</v>
      </c>
    </row>
    <row r="157" spans="1:9" ht="25.5" x14ac:dyDescent="0.2">
      <c r="A157" s="138">
        <v>2000573</v>
      </c>
      <c r="B157" s="138" t="s">
        <v>42</v>
      </c>
      <c r="C157" s="138" t="s">
        <v>357</v>
      </c>
      <c r="D157" s="138" t="s">
        <v>320</v>
      </c>
      <c r="E157" s="138" t="s">
        <v>91</v>
      </c>
      <c r="F157" s="138" t="s">
        <v>10</v>
      </c>
      <c r="G157" s="138" t="s">
        <v>260</v>
      </c>
      <c r="H157" s="138"/>
      <c r="I157" s="137" t="s">
        <v>74</v>
      </c>
    </row>
    <row r="158" spans="1:9" x14ac:dyDescent="0.2">
      <c r="A158" s="106">
        <v>2000574</v>
      </c>
      <c r="B158" s="106" t="s">
        <v>91</v>
      </c>
      <c r="C158" s="106" t="s">
        <v>357</v>
      </c>
      <c r="D158" s="106" t="s">
        <v>321</v>
      </c>
      <c r="E158" s="106" t="s">
        <v>91</v>
      </c>
      <c r="F158" s="106" t="s">
        <v>10</v>
      </c>
      <c r="G158" s="106" t="s">
        <v>260</v>
      </c>
      <c r="H158" s="106"/>
      <c r="I158" s="137" t="s">
        <v>74</v>
      </c>
    </row>
    <row r="159" spans="1:9" x14ac:dyDescent="0.2">
      <c r="A159" s="106">
        <v>2000577</v>
      </c>
      <c r="B159" s="106" t="s">
        <v>91</v>
      </c>
      <c r="C159" s="106" t="s">
        <v>357</v>
      </c>
      <c r="D159" s="106" t="s">
        <v>321</v>
      </c>
      <c r="E159" s="106" t="s">
        <v>91</v>
      </c>
      <c r="F159" s="106" t="s">
        <v>10</v>
      </c>
      <c r="G159" s="106" t="s">
        <v>260</v>
      </c>
      <c r="H159" s="106"/>
      <c r="I159" s="137" t="s">
        <v>74</v>
      </c>
    </row>
    <row r="160" spans="1:9" x14ac:dyDescent="0.2">
      <c r="A160" s="106">
        <v>2000575</v>
      </c>
      <c r="B160" s="106" t="s">
        <v>91</v>
      </c>
      <c r="C160" s="106" t="s">
        <v>357</v>
      </c>
      <c r="D160" s="106" t="s">
        <v>321</v>
      </c>
      <c r="E160" s="106" t="s">
        <v>91</v>
      </c>
      <c r="F160" s="106" t="s">
        <v>10</v>
      </c>
      <c r="G160" s="106" t="s">
        <v>260</v>
      </c>
      <c r="H160" s="106"/>
      <c r="I160" s="137" t="s">
        <v>74</v>
      </c>
    </row>
    <row r="161" spans="1:9" x14ac:dyDescent="0.2">
      <c r="A161" s="106">
        <v>2000576</v>
      </c>
      <c r="B161" s="106" t="s">
        <v>91</v>
      </c>
      <c r="C161" s="106" t="s">
        <v>357</v>
      </c>
      <c r="D161" s="106" t="s">
        <v>321</v>
      </c>
      <c r="E161" s="106" t="s">
        <v>91</v>
      </c>
      <c r="F161" s="106" t="s">
        <v>10</v>
      </c>
      <c r="G161" s="106" t="s">
        <v>260</v>
      </c>
      <c r="H161" s="106"/>
      <c r="I161" s="137" t="s">
        <v>74</v>
      </c>
    </row>
    <row r="162" spans="1:9" ht="25.5" x14ac:dyDescent="0.2">
      <c r="A162" s="106">
        <v>2000926</v>
      </c>
      <c r="B162" s="106" t="s">
        <v>322</v>
      </c>
      <c r="C162" s="106" t="s">
        <v>357</v>
      </c>
      <c r="D162" s="106" t="s">
        <v>323</v>
      </c>
      <c r="E162" s="106" t="s">
        <v>324</v>
      </c>
      <c r="F162" s="106" t="s">
        <v>325</v>
      </c>
      <c r="G162" s="106" t="s">
        <v>260</v>
      </c>
      <c r="H162" s="106"/>
      <c r="I162" s="137" t="s">
        <v>74</v>
      </c>
    </row>
    <row r="163" spans="1:9" ht="25.5" x14ac:dyDescent="0.2">
      <c r="A163" s="106">
        <v>2000928</v>
      </c>
      <c r="B163" s="106" t="s">
        <v>192</v>
      </c>
      <c r="C163" s="106" t="s">
        <v>357</v>
      </c>
      <c r="D163" s="106" t="s">
        <v>326</v>
      </c>
      <c r="E163" s="106" t="s">
        <v>193</v>
      </c>
      <c r="F163" s="106" t="s">
        <v>10</v>
      </c>
      <c r="G163" s="106" t="s">
        <v>260</v>
      </c>
      <c r="H163" s="106"/>
      <c r="I163" s="137" t="s">
        <v>74</v>
      </c>
    </row>
    <row r="164" spans="1:9" ht="25.5" x14ac:dyDescent="0.2">
      <c r="A164" s="106">
        <v>2000927</v>
      </c>
      <c r="B164" s="106" t="s">
        <v>194</v>
      </c>
      <c r="C164" s="106" t="s">
        <v>357</v>
      </c>
      <c r="D164" s="106" t="s">
        <v>327</v>
      </c>
      <c r="E164" s="106" t="s">
        <v>195</v>
      </c>
      <c r="F164" s="106" t="s">
        <v>10</v>
      </c>
      <c r="G164" s="106" t="s">
        <v>260</v>
      </c>
      <c r="H164" s="106"/>
      <c r="I164" s="137" t="s">
        <v>74</v>
      </c>
    </row>
    <row r="165" spans="1:9" ht="25.5" x14ac:dyDescent="0.2">
      <c r="A165" s="106">
        <v>65503691935</v>
      </c>
      <c r="B165" s="106" t="s">
        <v>72</v>
      </c>
      <c r="C165" s="106" t="s">
        <v>357</v>
      </c>
      <c r="D165" s="106" t="s">
        <v>68</v>
      </c>
      <c r="E165" s="106" t="s">
        <v>48</v>
      </c>
      <c r="F165" s="106" t="s">
        <v>261</v>
      </c>
      <c r="G165" s="106" t="s">
        <v>260</v>
      </c>
      <c r="H165" s="106"/>
      <c r="I165" s="137" t="s">
        <v>74</v>
      </c>
    </row>
    <row r="166" spans="1:9" ht="25.5" x14ac:dyDescent="0.2">
      <c r="A166" s="106">
        <v>65505569851</v>
      </c>
      <c r="B166" s="106" t="s">
        <v>197</v>
      </c>
      <c r="C166" s="106" t="s">
        <v>357</v>
      </c>
      <c r="D166" s="106" t="s">
        <v>328</v>
      </c>
      <c r="E166" s="106" t="s">
        <v>198</v>
      </c>
      <c r="F166" s="106" t="s">
        <v>261</v>
      </c>
      <c r="G166" s="106" t="s">
        <v>260</v>
      </c>
      <c r="H166" s="106"/>
      <c r="I166" s="137" t="s">
        <v>74</v>
      </c>
    </row>
    <row r="167" spans="1:9" ht="25.5" x14ac:dyDescent="0.2">
      <c r="A167" s="106">
        <v>2000534</v>
      </c>
      <c r="B167" s="106" t="s">
        <v>40</v>
      </c>
      <c r="C167" s="106" t="s">
        <v>357</v>
      </c>
      <c r="D167" s="106" t="s">
        <v>41</v>
      </c>
      <c r="E167" s="106" t="s">
        <v>41</v>
      </c>
      <c r="F167" s="106" t="s">
        <v>325</v>
      </c>
      <c r="G167" s="106" t="s">
        <v>260</v>
      </c>
      <c r="H167" s="106"/>
      <c r="I167" s="137" t="s">
        <v>74</v>
      </c>
    </row>
    <row r="168" spans="1:9" x14ac:dyDescent="0.2">
      <c r="A168" s="106">
        <v>2000470</v>
      </c>
      <c r="B168" s="106" t="s">
        <v>39</v>
      </c>
      <c r="C168" s="106" t="s">
        <v>357</v>
      </c>
      <c r="D168" s="106" t="s">
        <v>329</v>
      </c>
      <c r="E168" s="106" t="s">
        <v>330</v>
      </c>
      <c r="F168" s="106" t="s">
        <v>261</v>
      </c>
      <c r="G168" s="106" t="s">
        <v>260</v>
      </c>
      <c r="H168" s="106"/>
      <c r="I168" s="137" t="s">
        <v>74</v>
      </c>
    </row>
    <row r="169" spans="1:9" x14ac:dyDescent="0.2">
      <c r="A169" s="106">
        <v>65505285253</v>
      </c>
      <c r="B169" s="106" t="s">
        <v>178</v>
      </c>
      <c r="C169" s="106" t="s">
        <v>357</v>
      </c>
      <c r="D169" s="106" t="s">
        <v>178</v>
      </c>
      <c r="E169" s="106" t="s">
        <v>312</v>
      </c>
      <c r="F169" s="106" t="s">
        <v>261</v>
      </c>
      <c r="G169" s="106"/>
      <c r="H169" s="106"/>
      <c r="I169" s="137" t="s">
        <v>74</v>
      </c>
    </row>
    <row r="170" spans="1:9" x14ac:dyDescent="0.2">
      <c r="A170" s="106">
        <v>2000469</v>
      </c>
      <c r="B170" s="106" t="s">
        <v>38</v>
      </c>
      <c r="C170" s="106" t="s">
        <v>357</v>
      </c>
      <c r="D170" s="106" t="s">
        <v>331</v>
      </c>
      <c r="E170" s="106" t="s">
        <v>330</v>
      </c>
      <c r="F170" s="106" t="s">
        <v>261</v>
      </c>
      <c r="G170" s="106" t="s">
        <v>260</v>
      </c>
      <c r="H170" s="106"/>
      <c r="I170" s="137" t="s">
        <v>74</v>
      </c>
    </row>
    <row r="171" spans="1:9" x14ac:dyDescent="0.2">
      <c r="A171" s="106">
        <v>2000730</v>
      </c>
      <c r="B171" s="106" t="s">
        <v>101</v>
      </c>
      <c r="C171" s="106" t="s">
        <v>357</v>
      </c>
      <c r="D171" s="106" t="s">
        <v>332</v>
      </c>
      <c r="E171" s="106" t="s">
        <v>102</v>
      </c>
      <c r="F171" s="106" t="s">
        <v>261</v>
      </c>
      <c r="G171" s="106" t="s">
        <v>260</v>
      </c>
      <c r="H171" s="106"/>
      <c r="I171" s="137" t="s">
        <v>74</v>
      </c>
    </row>
    <row r="172" spans="1:9" ht="25.5" x14ac:dyDescent="0.2">
      <c r="A172" s="106">
        <v>2000597</v>
      </c>
      <c r="B172" s="106" t="s">
        <v>333</v>
      </c>
      <c r="C172" s="106" t="s">
        <v>357</v>
      </c>
      <c r="D172" s="106" t="s">
        <v>334</v>
      </c>
      <c r="E172" s="106" t="s">
        <v>334</v>
      </c>
      <c r="F172" s="106" t="s">
        <v>261</v>
      </c>
      <c r="G172" s="106" t="s">
        <v>260</v>
      </c>
      <c r="H172" s="106"/>
      <c r="I172" s="137" t="s">
        <v>74</v>
      </c>
    </row>
    <row r="173" spans="1:9" x14ac:dyDescent="0.2">
      <c r="A173" s="106">
        <v>2000466</v>
      </c>
      <c r="B173" s="106" t="s">
        <v>36</v>
      </c>
      <c r="C173" s="106" t="s">
        <v>357</v>
      </c>
      <c r="D173" s="106" t="s">
        <v>335</v>
      </c>
      <c r="E173" s="106" t="s">
        <v>330</v>
      </c>
      <c r="F173" s="106" t="s">
        <v>261</v>
      </c>
      <c r="G173" s="106" t="s">
        <v>260</v>
      </c>
      <c r="H173" s="106"/>
      <c r="I173" s="137" t="s">
        <v>74</v>
      </c>
    </row>
    <row r="174" spans="1:9" ht="25.5" x14ac:dyDescent="0.2">
      <c r="A174" s="106">
        <v>2000467</v>
      </c>
      <c r="B174" s="106" t="s">
        <v>37</v>
      </c>
      <c r="C174" s="106" t="s">
        <v>357</v>
      </c>
      <c r="D174" s="106" t="s">
        <v>336</v>
      </c>
      <c r="E174" s="106" t="s">
        <v>330</v>
      </c>
      <c r="F174" s="106" t="s">
        <v>261</v>
      </c>
      <c r="G174" s="106" t="s">
        <v>260</v>
      </c>
      <c r="H174" s="106"/>
      <c r="I174" s="137" t="s">
        <v>74</v>
      </c>
    </row>
    <row r="175" spans="1:9" ht="25.5" x14ac:dyDescent="0.2">
      <c r="A175" s="106">
        <v>2001050</v>
      </c>
      <c r="B175" s="106" t="s">
        <v>226</v>
      </c>
      <c r="C175" s="106" t="s">
        <v>357</v>
      </c>
      <c r="D175" s="106" t="s">
        <v>337</v>
      </c>
      <c r="E175" s="106" t="s">
        <v>338</v>
      </c>
      <c r="F175" s="106" t="s">
        <v>261</v>
      </c>
      <c r="G175" s="106" t="s">
        <v>260</v>
      </c>
      <c r="H175" s="106"/>
      <c r="I175" s="137" t="s">
        <v>74</v>
      </c>
    </row>
    <row r="176" spans="1:9" x14ac:dyDescent="0.2">
      <c r="A176" s="106">
        <v>2001049</v>
      </c>
      <c r="B176" s="106" t="s">
        <v>225</v>
      </c>
      <c r="C176" s="106" t="s">
        <v>357</v>
      </c>
      <c r="D176" s="106" t="s">
        <v>339</v>
      </c>
      <c r="E176" s="106" t="s">
        <v>338</v>
      </c>
      <c r="F176" s="106" t="s">
        <v>261</v>
      </c>
      <c r="G176" s="106" t="s">
        <v>260</v>
      </c>
      <c r="H176" s="106"/>
      <c r="I176" s="137" t="s">
        <v>74</v>
      </c>
    </row>
    <row r="177" spans="1:9" x14ac:dyDescent="0.2">
      <c r="A177" s="106">
        <v>2000480</v>
      </c>
      <c r="B177" s="106" t="s">
        <v>340</v>
      </c>
      <c r="C177" s="106" t="s">
        <v>357</v>
      </c>
      <c r="D177" s="106" t="s">
        <v>341</v>
      </c>
      <c r="E177" s="106" t="s">
        <v>330</v>
      </c>
      <c r="F177" s="106" t="s">
        <v>10</v>
      </c>
      <c r="G177" s="106"/>
      <c r="H177" s="106" t="s">
        <v>260</v>
      </c>
      <c r="I177" s="137" t="s">
        <v>74</v>
      </c>
    </row>
    <row r="178" spans="1:9" x14ac:dyDescent="0.2">
      <c r="A178" s="106">
        <v>2000465</v>
      </c>
      <c r="B178" s="106" t="s">
        <v>342</v>
      </c>
      <c r="C178" s="106" t="s">
        <v>357</v>
      </c>
      <c r="D178" s="106" t="s">
        <v>343</v>
      </c>
      <c r="E178" s="106" t="s">
        <v>330</v>
      </c>
      <c r="F178" s="106" t="s">
        <v>10</v>
      </c>
      <c r="G178" s="106"/>
      <c r="H178" s="106" t="s">
        <v>260</v>
      </c>
      <c r="I178" s="137" t="s">
        <v>74</v>
      </c>
    </row>
    <row r="179" spans="1:9" x14ac:dyDescent="0.2">
      <c r="A179" s="106">
        <v>147491</v>
      </c>
      <c r="B179" s="106" t="s">
        <v>50</v>
      </c>
      <c r="C179" s="106" t="s">
        <v>357</v>
      </c>
      <c r="D179" s="106" t="s">
        <v>344</v>
      </c>
      <c r="E179" s="106" t="s">
        <v>345</v>
      </c>
      <c r="F179" s="106" t="s">
        <v>50</v>
      </c>
      <c r="G179" s="106" t="s">
        <v>260</v>
      </c>
      <c r="H179" s="106"/>
      <c r="I179" s="137" t="s">
        <v>74</v>
      </c>
    </row>
    <row r="180" spans="1:9" x14ac:dyDescent="0.2">
      <c r="A180" s="106">
        <v>147492</v>
      </c>
      <c r="B180" s="106" t="s">
        <v>50</v>
      </c>
      <c r="C180" s="106" t="s">
        <v>357</v>
      </c>
      <c r="D180" s="106" t="s">
        <v>346</v>
      </c>
      <c r="E180" s="106" t="s">
        <v>345</v>
      </c>
      <c r="F180" s="106" t="s">
        <v>50</v>
      </c>
      <c r="G180" s="106" t="s">
        <v>260</v>
      </c>
      <c r="H180" s="106"/>
      <c r="I180" s="137" t="s">
        <v>74</v>
      </c>
    </row>
    <row r="181" spans="1:9" x14ac:dyDescent="0.2">
      <c r="A181" s="106">
        <v>159246</v>
      </c>
      <c r="B181" s="106" t="s">
        <v>50</v>
      </c>
      <c r="C181" s="106" t="s">
        <v>357</v>
      </c>
      <c r="D181" s="106" t="s">
        <v>70</v>
      </c>
      <c r="E181" s="106" t="s">
        <v>345</v>
      </c>
      <c r="F181" s="106" t="s">
        <v>50</v>
      </c>
      <c r="G181" s="106" t="s">
        <v>260</v>
      </c>
      <c r="H181" s="106"/>
      <c r="I181" s="137" t="s">
        <v>74</v>
      </c>
    </row>
    <row r="182" spans="1:9" x14ac:dyDescent="0.2">
      <c r="A182" s="106">
        <v>1010401</v>
      </c>
      <c r="B182" s="106" t="s">
        <v>50</v>
      </c>
      <c r="C182" s="106" t="s">
        <v>357</v>
      </c>
      <c r="D182" s="106" t="s">
        <v>347</v>
      </c>
      <c r="E182" s="106" t="s">
        <v>345</v>
      </c>
      <c r="F182" s="106" t="s">
        <v>50</v>
      </c>
      <c r="G182" s="106" t="s">
        <v>260</v>
      </c>
      <c r="H182" s="106"/>
      <c r="I182" s="137" t="s">
        <v>74</v>
      </c>
    </row>
    <row r="183" spans="1:9" x14ac:dyDescent="0.2">
      <c r="A183" s="106">
        <v>65503562246</v>
      </c>
      <c r="B183" s="106" t="s">
        <v>43</v>
      </c>
      <c r="C183" s="106" t="s">
        <v>357</v>
      </c>
      <c r="D183" s="106" t="s">
        <v>44</v>
      </c>
      <c r="E183" s="106" t="s">
        <v>44</v>
      </c>
      <c r="F183" s="106" t="s">
        <v>261</v>
      </c>
      <c r="G183" s="106" t="s">
        <v>260</v>
      </c>
      <c r="H183" s="106"/>
      <c r="I183" s="137" t="s">
        <v>74</v>
      </c>
    </row>
    <row r="184" spans="1:9" x14ac:dyDescent="0.2">
      <c r="A184" s="106">
        <v>2000581</v>
      </c>
      <c r="B184" s="106" t="s">
        <v>45</v>
      </c>
      <c r="C184" s="106" t="s">
        <v>357</v>
      </c>
      <c r="D184" s="106" t="s">
        <v>348</v>
      </c>
      <c r="E184" s="106" t="s">
        <v>73</v>
      </c>
      <c r="F184" s="106" t="s">
        <v>10</v>
      </c>
      <c r="G184" s="106"/>
      <c r="H184" s="106" t="s">
        <v>260</v>
      </c>
      <c r="I184" s="137" t="s">
        <v>74</v>
      </c>
    </row>
    <row r="185" spans="1:9" x14ac:dyDescent="0.2">
      <c r="A185" s="106">
        <v>2000569</v>
      </c>
      <c r="B185" s="106" t="s">
        <v>177</v>
      </c>
      <c r="C185" s="106" t="s">
        <v>357</v>
      </c>
      <c r="D185" s="106" t="s">
        <v>348</v>
      </c>
      <c r="E185" s="106" t="s">
        <v>73</v>
      </c>
      <c r="F185" s="106" t="s">
        <v>261</v>
      </c>
      <c r="G185" s="106"/>
      <c r="H185" s="106" t="s">
        <v>260</v>
      </c>
      <c r="I185" s="137" t="s">
        <v>74</v>
      </c>
    </row>
    <row r="186" spans="1:9" x14ac:dyDescent="0.2">
      <c r="A186" s="106">
        <v>1032901</v>
      </c>
      <c r="B186" s="106" t="s">
        <v>349</v>
      </c>
      <c r="C186" s="106" t="s">
        <v>357</v>
      </c>
      <c r="D186" s="106" t="s">
        <v>350</v>
      </c>
      <c r="E186" s="106" t="s">
        <v>73</v>
      </c>
      <c r="F186" s="106" t="s">
        <v>261</v>
      </c>
      <c r="G186" s="106"/>
      <c r="H186" s="106" t="s">
        <v>260</v>
      </c>
      <c r="I186" s="137" t="s">
        <v>74</v>
      </c>
    </row>
    <row r="187" spans="1:9" ht="25.5" x14ac:dyDescent="0.2">
      <c r="A187" s="106">
        <v>2000722</v>
      </c>
      <c r="B187" s="106" t="s">
        <v>103</v>
      </c>
      <c r="C187" s="106" t="s">
        <v>357</v>
      </c>
      <c r="D187" s="106" t="s">
        <v>351</v>
      </c>
      <c r="E187" s="106" t="s">
        <v>73</v>
      </c>
      <c r="F187" s="106" t="s">
        <v>325</v>
      </c>
      <c r="G187" s="106" t="s">
        <v>260</v>
      </c>
      <c r="H187" s="106"/>
      <c r="I187" s="137" t="s">
        <v>74</v>
      </c>
    </row>
    <row r="188" spans="1:9" ht="25.5" x14ac:dyDescent="0.2">
      <c r="A188" s="106">
        <v>65507052215</v>
      </c>
      <c r="B188" s="106" t="s">
        <v>237</v>
      </c>
      <c r="C188" s="106" t="s">
        <v>357</v>
      </c>
      <c r="D188" s="106" t="s">
        <v>237</v>
      </c>
      <c r="E188" s="106" t="s">
        <v>352</v>
      </c>
      <c r="F188" s="106" t="s">
        <v>10</v>
      </c>
      <c r="G188" s="106" t="s">
        <v>260</v>
      </c>
      <c r="H188" s="106"/>
      <c r="I188" s="137" t="s">
        <v>74</v>
      </c>
    </row>
    <row r="189" spans="1:9" ht="25.5" x14ac:dyDescent="0.2">
      <c r="A189" s="106">
        <v>65507052277</v>
      </c>
      <c r="B189" s="106" t="s">
        <v>238</v>
      </c>
      <c r="C189" s="106" t="s">
        <v>357</v>
      </c>
      <c r="D189" s="106" t="s">
        <v>238</v>
      </c>
      <c r="E189" s="106" t="s">
        <v>352</v>
      </c>
      <c r="F189" s="106" t="s">
        <v>10</v>
      </c>
      <c r="G189" s="106" t="s">
        <v>260</v>
      </c>
      <c r="H189" s="106"/>
      <c r="I189" s="137" t="s">
        <v>74</v>
      </c>
    </row>
    <row r="190" spans="1:9" ht="25.5" x14ac:dyDescent="0.2">
      <c r="A190" s="106">
        <v>65507052294</v>
      </c>
      <c r="B190" s="106" t="s">
        <v>239</v>
      </c>
      <c r="C190" s="106" t="s">
        <v>357</v>
      </c>
      <c r="D190" s="106" t="s">
        <v>239</v>
      </c>
      <c r="E190" s="106" t="s">
        <v>352</v>
      </c>
      <c r="F190" s="106" t="s">
        <v>10</v>
      </c>
      <c r="G190" s="106" t="s">
        <v>260</v>
      </c>
      <c r="H190" s="106"/>
      <c r="I190" s="137" t="s">
        <v>74</v>
      </c>
    </row>
    <row r="191" spans="1:9" x14ac:dyDescent="0.2">
      <c r="A191" s="106">
        <v>1031341</v>
      </c>
      <c r="B191" s="106" t="s">
        <v>220</v>
      </c>
      <c r="C191" s="106" t="s">
        <v>357</v>
      </c>
      <c r="D191" s="106" t="s">
        <v>221</v>
      </c>
      <c r="E191" s="106" t="s">
        <v>221</v>
      </c>
      <c r="F191" s="106" t="s">
        <v>261</v>
      </c>
      <c r="G191" s="106" t="s">
        <v>260</v>
      </c>
      <c r="H191" s="106"/>
      <c r="I191" s="137" t="s">
        <v>74</v>
      </c>
    </row>
    <row r="192" spans="1:9" x14ac:dyDescent="0.2">
      <c r="A192" s="106">
        <v>1033795</v>
      </c>
      <c r="B192" s="106">
        <v>1033795</v>
      </c>
      <c r="C192" s="106" t="s">
        <v>357</v>
      </c>
      <c r="D192" s="106" t="s">
        <v>240</v>
      </c>
      <c r="E192" s="106" t="s">
        <v>240</v>
      </c>
      <c r="F192" s="106" t="s">
        <v>10</v>
      </c>
      <c r="G192" s="106"/>
      <c r="H192" s="106" t="s">
        <v>260</v>
      </c>
      <c r="I192" s="137" t="s">
        <v>74</v>
      </c>
    </row>
    <row r="193" spans="1:9" x14ac:dyDescent="0.2">
      <c r="A193" s="106">
        <v>1033796</v>
      </c>
      <c r="B193" s="106">
        <v>1033796</v>
      </c>
      <c r="C193" s="106" t="s">
        <v>357</v>
      </c>
      <c r="D193" s="106" t="s">
        <v>241</v>
      </c>
      <c r="E193" s="106" t="s">
        <v>241</v>
      </c>
      <c r="F193" s="106" t="s">
        <v>10</v>
      </c>
      <c r="G193" s="106"/>
      <c r="H193" s="106" t="s">
        <v>260</v>
      </c>
      <c r="I193" s="137" t="s">
        <v>74</v>
      </c>
    </row>
    <row r="194" spans="1:9" x14ac:dyDescent="0.2">
      <c r="A194" s="106">
        <v>1033797</v>
      </c>
      <c r="B194" s="106">
        <v>1033797</v>
      </c>
      <c r="C194" s="106" t="s">
        <v>357</v>
      </c>
      <c r="D194" s="106" t="s">
        <v>242</v>
      </c>
      <c r="E194" s="106" t="s">
        <v>242</v>
      </c>
      <c r="F194" s="106" t="s">
        <v>10</v>
      </c>
      <c r="G194" s="106"/>
      <c r="H194" s="106" t="s">
        <v>260</v>
      </c>
      <c r="I194" s="137" t="s">
        <v>74</v>
      </c>
    </row>
    <row r="195" spans="1:9" x14ac:dyDescent="0.2">
      <c r="A195" s="106">
        <v>1033798</v>
      </c>
      <c r="B195" s="106">
        <v>1033798</v>
      </c>
      <c r="C195" s="106" t="s">
        <v>357</v>
      </c>
      <c r="D195" s="106" t="s">
        <v>243</v>
      </c>
      <c r="E195" s="106" t="s">
        <v>243</v>
      </c>
      <c r="F195" s="106" t="s">
        <v>10</v>
      </c>
      <c r="G195" s="106"/>
      <c r="H195" s="106" t="s">
        <v>260</v>
      </c>
      <c r="I195" s="137" t="s">
        <v>74</v>
      </c>
    </row>
    <row r="196" spans="1:9" ht="25.5" x14ac:dyDescent="0.2">
      <c r="A196" s="106">
        <v>65507528400</v>
      </c>
      <c r="B196" s="106" t="s">
        <v>353</v>
      </c>
      <c r="C196" s="106" t="s">
        <v>357</v>
      </c>
      <c r="D196" s="106" t="s">
        <v>244</v>
      </c>
      <c r="E196" s="106" t="s">
        <v>244</v>
      </c>
      <c r="F196" s="106" t="s">
        <v>10</v>
      </c>
      <c r="G196" s="106"/>
      <c r="H196" s="106" t="s">
        <v>260</v>
      </c>
      <c r="I196" s="137" t="s">
        <v>74</v>
      </c>
    </row>
    <row r="197" spans="1:9" ht="25.5" x14ac:dyDescent="0.2">
      <c r="A197" s="106">
        <v>65507671187</v>
      </c>
      <c r="B197" s="106" t="s">
        <v>353</v>
      </c>
      <c r="C197" s="106" t="s">
        <v>357</v>
      </c>
      <c r="D197" s="106" t="s">
        <v>244</v>
      </c>
      <c r="E197" s="106" t="s">
        <v>244</v>
      </c>
      <c r="F197" s="106" t="s">
        <v>10</v>
      </c>
      <c r="G197" s="106"/>
      <c r="H197" s="106" t="s">
        <v>260</v>
      </c>
      <c r="I197" s="137" t="s">
        <v>74</v>
      </c>
    </row>
    <row r="198" spans="1:9" ht="25.5" x14ac:dyDescent="0.2">
      <c r="A198" s="106">
        <v>65507684389</v>
      </c>
      <c r="B198" s="106" t="s">
        <v>353</v>
      </c>
      <c r="C198" s="106" t="s">
        <v>357</v>
      </c>
      <c r="D198" s="106" t="s">
        <v>244</v>
      </c>
      <c r="E198" s="106" t="s">
        <v>244</v>
      </c>
      <c r="F198" s="106" t="s">
        <v>10</v>
      </c>
      <c r="G198" s="106"/>
      <c r="H198" s="106" t="s">
        <v>260</v>
      </c>
      <c r="I198" s="137" t="s">
        <v>74</v>
      </c>
    </row>
    <row r="199" spans="1:9" ht="25.5" x14ac:dyDescent="0.2">
      <c r="A199" s="106">
        <v>1036691</v>
      </c>
      <c r="B199" s="106" t="s">
        <v>354</v>
      </c>
      <c r="C199" s="106" t="s">
        <v>357</v>
      </c>
      <c r="D199" s="106" t="s">
        <v>354</v>
      </c>
      <c r="E199" s="106" t="s">
        <v>354</v>
      </c>
      <c r="F199" s="106" t="s">
        <v>355</v>
      </c>
      <c r="G199" s="106" t="s">
        <v>260</v>
      </c>
      <c r="H199" s="106"/>
      <c r="I199" s="137" t="s">
        <v>74</v>
      </c>
    </row>
    <row r="200" spans="1:9" ht="25.5" x14ac:dyDescent="0.2">
      <c r="A200" s="106">
        <v>65507143699</v>
      </c>
      <c r="B200" s="106" t="s">
        <v>248</v>
      </c>
      <c r="C200" s="106" t="s">
        <v>357</v>
      </c>
      <c r="D200" s="106" t="s">
        <v>248</v>
      </c>
      <c r="E200" s="106" t="s">
        <v>248</v>
      </c>
      <c r="F200" s="106" t="s">
        <v>10</v>
      </c>
      <c r="G200" s="106" t="s">
        <v>260</v>
      </c>
      <c r="H200" s="106"/>
      <c r="I200" s="137" t="s">
        <v>74</v>
      </c>
    </row>
    <row r="201" spans="1:9" ht="25.5" x14ac:dyDescent="0.2">
      <c r="A201" s="106">
        <v>65507143745</v>
      </c>
      <c r="B201" s="106" t="s">
        <v>249</v>
      </c>
      <c r="C201" s="106" t="s">
        <v>357</v>
      </c>
      <c r="D201" s="106" t="s">
        <v>249</v>
      </c>
      <c r="E201" s="106" t="s">
        <v>249</v>
      </c>
      <c r="F201" s="106" t="s">
        <v>10</v>
      </c>
      <c r="G201" s="106" t="s">
        <v>260</v>
      </c>
      <c r="H201" s="106"/>
      <c r="I201" s="137" t="s">
        <v>74</v>
      </c>
    </row>
    <row r="202" spans="1:9" ht="25.5" x14ac:dyDescent="0.2">
      <c r="A202" s="106">
        <v>65507142173</v>
      </c>
      <c r="B202" s="106" t="s">
        <v>250</v>
      </c>
      <c r="C202" s="106" t="s">
        <v>357</v>
      </c>
      <c r="D202" s="106" t="s">
        <v>250</v>
      </c>
      <c r="E202" s="106" t="s">
        <v>250</v>
      </c>
      <c r="F202" s="106" t="s">
        <v>10</v>
      </c>
      <c r="G202" s="106" t="s">
        <v>260</v>
      </c>
      <c r="H202" s="106"/>
      <c r="I202" s="137" t="s">
        <v>74</v>
      </c>
    </row>
    <row r="203" spans="1:9" ht="25.5" x14ac:dyDescent="0.2">
      <c r="A203" s="143">
        <v>1037090</v>
      </c>
      <c r="B203" s="143" t="s">
        <v>366</v>
      </c>
      <c r="C203" s="143" t="s">
        <v>357</v>
      </c>
      <c r="D203" s="143" t="s">
        <v>369</v>
      </c>
      <c r="E203" s="143" t="s">
        <v>369</v>
      </c>
      <c r="F203" s="143" t="s">
        <v>355</v>
      </c>
      <c r="G203" s="143" t="s">
        <v>260</v>
      </c>
      <c r="H203" s="143"/>
      <c r="I203" s="137" t="s">
        <v>74</v>
      </c>
    </row>
    <row r="204" spans="1:9" ht="25.5" x14ac:dyDescent="0.2">
      <c r="A204" s="143">
        <v>65501902345</v>
      </c>
      <c r="B204" s="143" t="s">
        <v>367</v>
      </c>
      <c r="C204" s="143" t="s">
        <v>357</v>
      </c>
      <c r="D204" s="143" t="s">
        <v>370</v>
      </c>
      <c r="E204" s="143" t="s">
        <v>370</v>
      </c>
      <c r="F204" s="143" t="s">
        <v>355</v>
      </c>
      <c r="G204" s="143" t="s">
        <v>260</v>
      </c>
      <c r="H204" s="143"/>
      <c r="I204" s="137" t="s">
        <v>74</v>
      </c>
    </row>
    <row r="205" spans="1:9" x14ac:dyDescent="0.2">
      <c r="A205" s="143">
        <v>1037087</v>
      </c>
      <c r="B205" s="143" t="s">
        <v>368</v>
      </c>
      <c r="C205" s="143" t="s">
        <v>357</v>
      </c>
      <c r="D205" s="143" t="s">
        <v>371</v>
      </c>
      <c r="E205" s="143" t="s">
        <v>371</v>
      </c>
      <c r="F205" s="143" t="s">
        <v>355</v>
      </c>
      <c r="G205" s="143" t="s">
        <v>260</v>
      </c>
      <c r="H205" s="143"/>
      <c r="I205" s="137" t="s">
        <v>74</v>
      </c>
    </row>
    <row r="206" spans="1:9" ht="25.5" x14ac:dyDescent="0.2">
      <c r="A206" s="143">
        <v>1036723</v>
      </c>
      <c r="B206" s="143" t="s">
        <v>373</v>
      </c>
      <c r="C206" s="143" t="s">
        <v>8</v>
      </c>
      <c r="D206" s="143" t="s">
        <v>374</v>
      </c>
      <c r="E206" s="143" t="s">
        <v>374</v>
      </c>
      <c r="F206" s="143" t="s">
        <v>325</v>
      </c>
      <c r="G206" s="143" t="s">
        <v>260</v>
      </c>
      <c r="H206" s="143"/>
      <c r="I206" s="137" t="s">
        <v>74</v>
      </c>
    </row>
    <row r="207" spans="1:9" ht="25.5" x14ac:dyDescent="0.2">
      <c r="A207" s="143">
        <v>1036724</v>
      </c>
      <c r="B207" s="143" t="s">
        <v>375</v>
      </c>
      <c r="C207" s="143" t="s">
        <v>8</v>
      </c>
      <c r="D207" s="143" t="s">
        <v>376</v>
      </c>
      <c r="E207" s="143" t="s">
        <v>376</v>
      </c>
      <c r="F207" s="143" t="s">
        <v>355</v>
      </c>
      <c r="G207" s="143" t="s">
        <v>260</v>
      </c>
      <c r="H207" s="143"/>
      <c r="I207" s="137" t="s">
        <v>74</v>
      </c>
    </row>
    <row r="208" spans="1:9" x14ac:dyDescent="0.2">
      <c r="A208" s="143">
        <v>65508989338</v>
      </c>
      <c r="B208" s="143" t="s">
        <v>372</v>
      </c>
      <c r="C208" s="143" t="s">
        <v>8</v>
      </c>
      <c r="D208" s="143" t="s">
        <v>377</v>
      </c>
      <c r="E208" s="143" t="s">
        <v>377</v>
      </c>
      <c r="F208" s="143" t="s">
        <v>355</v>
      </c>
      <c r="G208" s="143" t="s">
        <v>260</v>
      </c>
      <c r="H208" s="143"/>
      <c r="I208" s="137" t="s">
        <v>74</v>
      </c>
    </row>
    <row r="209" spans="1:9" x14ac:dyDescent="0.2">
      <c r="A209" s="143">
        <v>1037923</v>
      </c>
      <c r="B209" s="143" t="s">
        <v>365</v>
      </c>
      <c r="C209" s="143" t="s">
        <v>8</v>
      </c>
      <c r="D209" s="143" t="s">
        <v>380</v>
      </c>
      <c r="E209" s="143" t="s">
        <v>354</v>
      </c>
      <c r="F209" s="143" t="s">
        <v>355</v>
      </c>
      <c r="G209" s="143" t="s">
        <v>260</v>
      </c>
      <c r="H209" s="143"/>
      <c r="I209" s="137" t="s">
        <v>74</v>
      </c>
    </row>
    <row r="210" spans="1:9" x14ac:dyDescent="0.2">
      <c r="A210" s="143">
        <v>1037925</v>
      </c>
      <c r="B210" s="143" t="s">
        <v>378</v>
      </c>
      <c r="C210" s="143" t="s">
        <v>8</v>
      </c>
      <c r="D210" s="143" t="s">
        <v>381</v>
      </c>
      <c r="E210" s="143" t="s">
        <v>354</v>
      </c>
      <c r="F210" s="143" t="s">
        <v>355</v>
      </c>
      <c r="G210" s="143" t="s">
        <v>260</v>
      </c>
      <c r="H210" s="143"/>
      <c r="I210" s="137" t="s">
        <v>74</v>
      </c>
    </row>
    <row r="211" spans="1:9" x14ac:dyDescent="0.2">
      <c r="A211" s="143">
        <v>1037924</v>
      </c>
      <c r="B211" s="143" t="s">
        <v>379</v>
      </c>
      <c r="C211" s="143" t="s">
        <v>8</v>
      </c>
      <c r="D211" s="143" t="s">
        <v>382</v>
      </c>
      <c r="E211" s="143" t="s">
        <v>354</v>
      </c>
      <c r="F211" s="143" t="s">
        <v>355</v>
      </c>
      <c r="G211" s="143" t="s">
        <v>260</v>
      </c>
      <c r="H211" s="143"/>
      <c r="I211" s="137" t="s">
        <v>74</v>
      </c>
    </row>
    <row r="212" spans="1:9" ht="25.5" x14ac:dyDescent="0.2">
      <c r="A212" s="143">
        <v>1037086</v>
      </c>
      <c r="B212" s="143" t="s">
        <v>383</v>
      </c>
      <c r="C212" s="143" t="s">
        <v>8</v>
      </c>
      <c r="D212" s="143" t="s">
        <v>384</v>
      </c>
      <c r="E212" s="143" t="s">
        <v>384</v>
      </c>
      <c r="F212" s="143" t="s">
        <v>261</v>
      </c>
      <c r="G212" s="143" t="s">
        <v>260</v>
      </c>
      <c r="H212" s="143"/>
      <c r="I212" s="137" t="s">
        <v>74</v>
      </c>
    </row>
    <row r="213" spans="1:9" ht="25.5" x14ac:dyDescent="0.2">
      <c r="A213" s="143">
        <v>1037118</v>
      </c>
      <c r="B213" s="143" t="s">
        <v>385</v>
      </c>
      <c r="C213" s="143" t="s">
        <v>8</v>
      </c>
      <c r="D213" s="143" t="s">
        <v>386</v>
      </c>
      <c r="E213" s="143" t="s">
        <v>386</v>
      </c>
      <c r="F213" s="143" t="s">
        <v>261</v>
      </c>
      <c r="G213" s="143" t="s">
        <v>260</v>
      </c>
      <c r="H213" s="143"/>
      <c r="I213" s="137" t="s">
        <v>74</v>
      </c>
    </row>
    <row r="214" spans="1:9" ht="25.5" x14ac:dyDescent="0.2">
      <c r="A214" s="143">
        <v>1037115</v>
      </c>
      <c r="B214" s="143" t="s">
        <v>419</v>
      </c>
      <c r="C214" s="143" t="s">
        <v>8</v>
      </c>
      <c r="D214" s="143" t="s">
        <v>420</v>
      </c>
      <c r="E214" s="143" t="s">
        <v>420</v>
      </c>
      <c r="F214" s="143" t="s">
        <v>10</v>
      </c>
      <c r="G214" s="143" t="s">
        <v>260</v>
      </c>
      <c r="H214" s="143"/>
      <c r="I214" s="137" t="s">
        <v>74</v>
      </c>
    </row>
    <row r="215" spans="1:9" x14ac:dyDescent="0.2">
      <c r="A215" s="143">
        <v>1037113</v>
      </c>
      <c r="B215" s="143" t="s">
        <v>387</v>
      </c>
      <c r="C215" s="143" t="s">
        <v>8</v>
      </c>
      <c r="D215" s="143" t="s">
        <v>388</v>
      </c>
      <c r="E215" s="143" t="s">
        <v>388</v>
      </c>
      <c r="F215" s="143" t="s">
        <v>261</v>
      </c>
      <c r="G215" s="143" t="s">
        <v>260</v>
      </c>
      <c r="H215" s="143"/>
      <c r="I215" s="137" t="s">
        <v>74</v>
      </c>
    </row>
    <row r="216" spans="1:9" ht="25.5" x14ac:dyDescent="0.2">
      <c r="A216" s="143">
        <v>1037117</v>
      </c>
      <c r="B216" s="143" t="s">
        <v>389</v>
      </c>
      <c r="C216" s="143" t="s">
        <v>8</v>
      </c>
      <c r="D216" s="143" t="s">
        <v>390</v>
      </c>
      <c r="E216" s="143" t="s">
        <v>390</v>
      </c>
      <c r="F216" s="143" t="s">
        <v>261</v>
      </c>
      <c r="G216" s="143" t="s">
        <v>260</v>
      </c>
      <c r="H216" s="143"/>
      <c r="I216" s="137" t="s">
        <v>74</v>
      </c>
    </row>
    <row r="217" spans="1:9" ht="25.5" x14ac:dyDescent="0.2">
      <c r="A217" s="149">
        <v>1037085</v>
      </c>
      <c r="B217" s="149" t="s">
        <v>391</v>
      </c>
      <c r="C217" s="149" t="s">
        <v>8</v>
      </c>
      <c r="D217" s="149" t="s">
        <v>392</v>
      </c>
      <c r="E217" s="149" t="s">
        <v>392</v>
      </c>
      <c r="F217" s="149" t="s">
        <v>261</v>
      </c>
      <c r="G217" s="149" t="s">
        <v>260</v>
      </c>
      <c r="H217" s="143"/>
      <c r="I217" s="137" t="s">
        <v>74</v>
      </c>
    </row>
    <row r="218" spans="1:9" ht="25.5" x14ac:dyDescent="0.2">
      <c r="A218" s="143">
        <v>65502397418</v>
      </c>
      <c r="B218" s="143" t="s">
        <v>422</v>
      </c>
      <c r="C218" s="143" t="s">
        <v>8</v>
      </c>
      <c r="D218" s="143" t="s">
        <v>421</v>
      </c>
      <c r="E218" s="143" t="s">
        <v>421</v>
      </c>
      <c r="F218" s="143" t="s">
        <v>10</v>
      </c>
      <c r="G218" s="143" t="s">
        <v>260</v>
      </c>
      <c r="H218" s="149"/>
      <c r="I218" s="137" t="s">
        <v>74</v>
      </c>
    </row>
    <row r="219" spans="1:9" ht="25.5" x14ac:dyDescent="0.2">
      <c r="A219" s="143">
        <v>65501285111</v>
      </c>
      <c r="B219" s="150" t="s">
        <v>424</v>
      </c>
      <c r="C219" s="143" t="s">
        <v>8</v>
      </c>
      <c r="D219" s="150" t="s">
        <v>425</v>
      </c>
      <c r="E219" s="150" t="s">
        <v>425</v>
      </c>
      <c r="F219" s="143" t="s">
        <v>10</v>
      </c>
      <c r="G219" s="143" t="s">
        <v>260</v>
      </c>
      <c r="H219" s="149"/>
      <c r="I219" s="137" t="s">
        <v>74</v>
      </c>
    </row>
    <row r="220" spans="1:9" ht="38.25" x14ac:dyDescent="0.2">
      <c r="A220" s="143">
        <v>65509560409</v>
      </c>
      <c r="B220" s="150" t="s">
        <v>427</v>
      </c>
      <c r="C220" s="143" t="s">
        <v>8</v>
      </c>
      <c r="D220" s="150" t="s">
        <v>427</v>
      </c>
      <c r="E220" s="150" t="s">
        <v>427</v>
      </c>
      <c r="F220" s="143" t="s">
        <v>355</v>
      </c>
      <c r="G220" s="143" t="s">
        <v>260</v>
      </c>
      <c r="H220" s="149"/>
      <c r="I220" s="137" t="s">
        <v>74</v>
      </c>
    </row>
    <row r="221" spans="1:9" ht="38.25" x14ac:dyDescent="0.2">
      <c r="A221" s="143">
        <v>65509560426</v>
      </c>
      <c r="B221" s="150" t="s">
        <v>428</v>
      </c>
      <c r="C221" s="143" t="s">
        <v>8</v>
      </c>
      <c r="D221" s="150" t="s">
        <v>428</v>
      </c>
      <c r="E221" s="150" t="s">
        <v>428</v>
      </c>
      <c r="F221" s="143" t="s">
        <v>355</v>
      </c>
      <c r="G221" s="143" t="s">
        <v>260</v>
      </c>
      <c r="H221" s="149"/>
      <c r="I221" s="137" t="s">
        <v>74</v>
      </c>
    </row>
    <row r="222" spans="1:9" ht="38.25" x14ac:dyDescent="0.2">
      <c r="A222" s="143">
        <v>65509560457</v>
      </c>
      <c r="B222" s="150" t="s">
        <v>429</v>
      </c>
      <c r="C222" s="143" t="s">
        <v>8</v>
      </c>
      <c r="D222" s="150" t="s">
        <v>429</v>
      </c>
      <c r="E222" s="150" t="s">
        <v>429</v>
      </c>
      <c r="F222" s="143" t="s">
        <v>355</v>
      </c>
      <c r="G222" s="143" t="s">
        <v>260</v>
      </c>
      <c r="H222" s="149"/>
      <c r="I222" s="137" t="s">
        <v>74</v>
      </c>
    </row>
    <row r="223" spans="1:9" ht="25.5" x14ac:dyDescent="0.2">
      <c r="A223" s="143">
        <v>65509560443</v>
      </c>
      <c r="B223" s="150" t="s">
        <v>430</v>
      </c>
      <c r="C223" s="143" t="s">
        <v>8</v>
      </c>
      <c r="D223" s="150" t="s">
        <v>430</v>
      </c>
      <c r="E223" s="150" t="s">
        <v>430</v>
      </c>
      <c r="F223" s="143" t="s">
        <v>355</v>
      </c>
      <c r="G223" s="143" t="s">
        <v>260</v>
      </c>
      <c r="H223" s="149"/>
      <c r="I223" s="137" t="s">
        <v>74</v>
      </c>
    </row>
    <row r="224" spans="1:9" ht="25.5" x14ac:dyDescent="0.2">
      <c r="A224" s="143">
        <v>65508881201</v>
      </c>
      <c r="B224" s="150" t="s">
        <v>491</v>
      </c>
      <c r="C224" s="143" t="s">
        <v>8</v>
      </c>
      <c r="D224" s="150" t="s">
        <v>469</v>
      </c>
      <c r="E224" s="150" t="s">
        <v>469</v>
      </c>
      <c r="F224" s="143" t="s">
        <v>355</v>
      </c>
      <c r="G224" s="143" t="s">
        <v>260</v>
      </c>
      <c r="H224" s="149"/>
      <c r="I224" s="137" t="s">
        <v>74</v>
      </c>
    </row>
    <row r="225" spans="1:9" ht="25.5" x14ac:dyDescent="0.2">
      <c r="A225" s="143">
        <v>65508886089</v>
      </c>
      <c r="B225" s="150" t="s">
        <v>492</v>
      </c>
      <c r="C225" s="143" t="s">
        <v>8</v>
      </c>
      <c r="D225" s="150" t="s">
        <v>493</v>
      </c>
      <c r="E225" s="150" t="s">
        <v>493</v>
      </c>
      <c r="F225" s="143" t="s">
        <v>355</v>
      </c>
      <c r="G225" s="143" t="s">
        <v>260</v>
      </c>
      <c r="H225" s="149"/>
      <c r="I225" s="137" t="s">
        <v>74</v>
      </c>
    </row>
    <row r="226" spans="1:9" ht="25.5" x14ac:dyDescent="0.2">
      <c r="A226" s="143">
        <v>1000003291</v>
      </c>
      <c r="B226" s="150" t="s">
        <v>471</v>
      </c>
      <c r="C226" s="143" t="s">
        <v>8</v>
      </c>
      <c r="D226" s="150" t="s">
        <v>479</v>
      </c>
      <c r="E226" s="150" t="s">
        <v>479</v>
      </c>
      <c r="F226" s="143" t="s">
        <v>355</v>
      </c>
      <c r="G226" s="143" t="s">
        <v>260</v>
      </c>
      <c r="H226" s="149"/>
      <c r="I226" s="137" t="s">
        <v>74</v>
      </c>
    </row>
    <row r="227" spans="1:9" ht="25.5" x14ac:dyDescent="0.2">
      <c r="A227" s="143">
        <v>1000003292</v>
      </c>
      <c r="B227" s="150" t="s">
        <v>473</v>
      </c>
      <c r="C227" s="143" t="s">
        <v>8</v>
      </c>
      <c r="D227" s="150" t="s">
        <v>480</v>
      </c>
      <c r="E227" s="150" t="s">
        <v>480</v>
      </c>
      <c r="F227" s="143" t="s">
        <v>355</v>
      </c>
      <c r="G227" s="143" t="s">
        <v>260</v>
      </c>
      <c r="H227" s="149"/>
      <c r="I227" s="137" t="s">
        <v>74</v>
      </c>
    </row>
    <row r="228" spans="1:9" ht="25.5" x14ac:dyDescent="0.2">
      <c r="A228" s="143">
        <v>1000003293</v>
      </c>
      <c r="B228" s="150" t="s">
        <v>474</v>
      </c>
      <c r="C228" s="143" t="s">
        <v>8</v>
      </c>
      <c r="D228" s="150" t="s">
        <v>481</v>
      </c>
      <c r="E228" s="150" t="s">
        <v>481</v>
      </c>
      <c r="F228" s="143" t="s">
        <v>355</v>
      </c>
      <c r="G228" s="143" t="s">
        <v>260</v>
      </c>
      <c r="H228" s="149"/>
      <c r="I228" s="137" t="s">
        <v>74</v>
      </c>
    </row>
    <row r="229" spans="1:9" ht="25.5" x14ac:dyDescent="0.2">
      <c r="A229" s="143">
        <v>1000003294</v>
      </c>
      <c r="B229" s="150">
        <v>1528</v>
      </c>
      <c r="C229" s="143" t="s">
        <v>8</v>
      </c>
      <c r="D229" s="150" t="s">
        <v>482</v>
      </c>
      <c r="E229" s="150" t="s">
        <v>482</v>
      </c>
      <c r="F229" s="143" t="s">
        <v>355</v>
      </c>
      <c r="G229" s="143" t="s">
        <v>260</v>
      </c>
      <c r="H229" s="149"/>
      <c r="I229" s="137" t="s">
        <v>74</v>
      </c>
    </row>
    <row r="230" spans="1:9" ht="25.5" x14ac:dyDescent="0.2">
      <c r="A230" s="143">
        <v>1000003295</v>
      </c>
      <c r="B230" s="150" t="s">
        <v>470</v>
      </c>
      <c r="C230" s="143" t="s">
        <v>8</v>
      </c>
      <c r="D230" s="150" t="s">
        <v>483</v>
      </c>
      <c r="E230" s="150" t="s">
        <v>483</v>
      </c>
      <c r="F230" s="143" t="s">
        <v>355</v>
      </c>
      <c r="G230" s="143" t="s">
        <v>260</v>
      </c>
      <c r="H230" s="149"/>
      <c r="I230" s="137" t="s">
        <v>74</v>
      </c>
    </row>
    <row r="231" spans="1:9" ht="25.5" x14ac:dyDescent="0.2">
      <c r="A231" s="143">
        <v>1000003296</v>
      </c>
      <c r="B231" s="150" t="s">
        <v>494</v>
      </c>
      <c r="C231" s="143" t="s">
        <v>8</v>
      </c>
      <c r="D231" s="150" t="s">
        <v>495</v>
      </c>
      <c r="E231" s="150" t="s">
        <v>495</v>
      </c>
      <c r="F231" s="143" t="s">
        <v>355</v>
      </c>
      <c r="G231" s="143" t="s">
        <v>260</v>
      </c>
      <c r="H231" s="149"/>
      <c r="I231" s="137" t="s">
        <v>74</v>
      </c>
    </row>
    <row r="232" spans="1:9" ht="25.5" x14ac:dyDescent="0.2">
      <c r="A232" s="143">
        <v>1000003297</v>
      </c>
      <c r="B232" s="150" t="s">
        <v>496</v>
      </c>
      <c r="C232" s="143" t="s">
        <v>8</v>
      </c>
      <c r="D232" s="150" t="s">
        <v>484</v>
      </c>
      <c r="E232" s="150" t="s">
        <v>484</v>
      </c>
      <c r="F232" s="143" t="s">
        <v>355</v>
      </c>
      <c r="G232" s="143" t="s">
        <v>260</v>
      </c>
      <c r="H232" s="149"/>
      <c r="I232" s="137" t="s">
        <v>74</v>
      </c>
    </row>
    <row r="233" spans="1:9" ht="25.5" x14ac:dyDescent="0.2">
      <c r="A233" s="143">
        <v>1000003298</v>
      </c>
      <c r="B233" s="150" t="s">
        <v>472</v>
      </c>
      <c r="C233" s="143" t="s">
        <v>8</v>
      </c>
      <c r="D233" s="150" t="s">
        <v>485</v>
      </c>
      <c r="E233" s="150" t="s">
        <v>485</v>
      </c>
      <c r="F233" s="143" t="s">
        <v>355</v>
      </c>
      <c r="G233" s="143" t="s">
        <v>260</v>
      </c>
      <c r="H233" s="149"/>
      <c r="I233" s="137" t="s">
        <v>74</v>
      </c>
    </row>
    <row r="234" spans="1:9" ht="25.5" x14ac:dyDescent="0.2">
      <c r="A234" s="143">
        <v>1000003299</v>
      </c>
      <c r="B234" s="150">
        <v>6981</v>
      </c>
      <c r="C234" s="143" t="s">
        <v>8</v>
      </c>
      <c r="D234" s="150" t="s">
        <v>486</v>
      </c>
      <c r="E234" s="150" t="s">
        <v>486</v>
      </c>
      <c r="F234" s="143" t="s">
        <v>355</v>
      </c>
      <c r="G234" s="143" t="s">
        <v>260</v>
      </c>
      <c r="H234" s="149"/>
      <c r="I234" s="137" t="s">
        <v>74</v>
      </c>
    </row>
    <row r="235" spans="1:9" ht="25.5" x14ac:dyDescent="0.2">
      <c r="A235" s="143">
        <v>1000003300</v>
      </c>
      <c r="B235" s="150" t="s">
        <v>475</v>
      </c>
      <c r="C235" s="143" t="s">
        <v>8</v>
      </c>
      <c r="D235" s="150" t="s">
        <v>487</v>
      </c>
      <c r="E235" s="150" t="s">
        <v>487</v>
      </c>
      <c r="F235" s="143" t="s">
        <v>355</v>
      </c>
      <c r="G235" s="143" t="s">
        <v>260</v>
      </c>
      <c r="H235" s="149"/>
      <c r="I235" s="137" t="s">
        <v>74</v>
      </c>
    </row>
    <row r="236" spans="1:9" ht="25.5" x14ac:dyDescent="0.2">
      <c r="A236" s="143">
        <v>1000003301</v>
      </c>
      <c r="B236" s="150" t="s">
        <v>476</v>
      </c>
      <c r="C236" s="143" t="s">
        <v>8</v>
      </c>
      <c r="D236" s="150" t="s">
        <v>488</v>
      </c>
      <c r="E236" s="150" t="s">
        <v>488</v>
      </c>
      <c r="F236" s="143" t="s">
        <v>355</v>
      </c>
      <c r="G236" s="143" t="s">
        <v>260</v>
      </c>
      <c r="H236" s="149"/>
      <c r="I236" s="137" t="s">
        <v>74</v>
      </c>
    </row>
    <row r="237" spans="1:9" ht="25.5" x14ac:dyDescent="0.2">
      <c r="A237" s="143">
        <v>1000003302</v>
      </c>
      <c r="B237" s="150" t="s">
        <v>477</v>
      </c>
      <c r="C237" s="143" t="s">
        <v>8</v>
      </c>
      <c r="D237" s="150" t="s">
        <v>489</v>
      </c>
      <c r="E237" s="150" t="s">
        <v>489</v>
      </c>
      <c r="F237" s="143" t="s">
        <v>355</v>
      </c>
      <c r="G237" s="143" t="s">
        <v>260</v>
      </c>
      <c r="H237" s="149"/>
      <c r="I237" s="137" t="s">
        <v>74</v>
      </c>
    </row>
    <row r="238" spans="1:9" ht="25.5" x14ac:dyDescent="0.2">
      <c r="A238" s="143">
        <v>1000003305</v>
      </c>
      <c r="B238" s="150" t="s">
        <v>478</v>
      </c>
      <c r="C238" s="143" t="s">
        <v>8</v>
      </c>
      <c r="D238" s="150" t="s">
        <v>490</v>
      </c>
      <c r="E238" s="150" t="s">
        <v>490</v>
      </c>
      <c r="F238" s="143" t="s">
        <v>355</v>
      </c>
      <c r="G238" s="143" t="s">
        <v>260</v>
      </c>
      <c r="H238" s="149"/>
      <c r="I238" s="137" t="s">
        <v>74</v>
      </c>
    </row>
    <row r="239" spans="1:9" x14ac:dyDescent="0.2">
      <c r="A239" s="143">
        <v>1000002861</v>
      </c>
      <c r="B239" s="150" t="s">
        <v>467</v>
      </c>
      <c r="C239" s="143" t="s">
        <v>8</v>
      </c>
      <c r="D239" s="150" t="s">
        <v>467</v>
      </c>
      <c r="E239" s="150" t="s">
        <v>467</v>
      </c>
      <c r="F239" s="143" t="s">
        <v>355</v>
      </c>
      <c r="G239" s="143" t="s">
        <v>260</v>
      </c>
      <c r="H239" s="149"/>
      <c r="I239" s="137" t="s">
        <v>74</v>
      </c>
    </row>
    <row r="240" spans="1:9" ht="25.5" x14ac:dyDescent="0.2">
      <c r="A240" s="180">
        <v>1000003307</v>
      </c>
      <c r="B240" s="179" t="s">
        <v>498</v>
      </c>
      <c r="C240" s="179" t="s">
        <v>8</v>
      </c>
      <c r="D240" s="150" t="s">
        <v>497</v>
      </c>
      <c r="E240" s="150" t="s">
        <v>497</v>
      </c>
      <c r="F240" s="179" t="s">
        <v>355</v>
      </c>
      <c r="G240" s="179" t="s">
        <v>260</v>
      </c>
      <c r="H240" s="149"/>
      <c r="I240" s="137" t="s">
        <v>74</v>
      </c>
    </row>
    <row r="241" spans="1:9" ht="25.5" x14ac:dyDescent="0.2">
      <c r="A241" s="180">
        <v>1000002677</v>
      </c>
      <c r="B241" s="179" t="s">
        <v>499</v>
      </c>
      <c r="C241" s="179" t="s">
        <v>8</v>
      </c>
      <c r="D241" s="150" t="s">
        <v>500</v>
      </c>
      <c r="E241" s="150" t="s">
        <v>500</v>
      </c>
      <c r="F241" s="179" t="s">
        <v>10</v>
      </c>
      <c r="G241" s="179" t="s">
        <v>260</v>
      </c>
      <c r="H241" s="149"/>
      <c r="I241" s="137" t="s">
        <v>74</v>
      </c>
    </row>
    <row r="242" spans="1:9" ht="25.5" x14ac:dyDescent="0.2">
      <c r="A242" s="180">
        <v>1000001249</v>
      </c>
      <c r="B242" s="179" t="s">
        <v>501</v>
      </c>
      <c r="C242" s="179" t="s">
        <v>8</v>
      </c>
      <c r="D242" s="150" t="s">
        <v>502</v>
      </c>
      <c r="E242" s="150" t="s">
        <v>502</v>
      </c>
      <c r="F242" s="179" t="s">
        <v>10</v>
      </c>
      <c r="G242" s="179" t="s">
        <v>260</v>
      </c>
      <c r="H242" s="179"/>
      <c r="I242" s="137" t="s">
        <v>74</v>
      </c>
    </row>
    <row r="243" spans="1:9" x14ac:dyDescent="0.2">
      <c r="A243" s="180">
        <v>1000003633</v>
      </c>
      <c r="B243" s="179" t="s">
        <v>503</v>
      </c>
      <c r="C243" s="179" t="s">
        <v>8</v>
      </c>
      <c r="D243" s="150" t="s">
        <v>503</v>
      </c>
      <c r="E243" s="150" t="s">
        <v>503</v>
      </c>
      <c r="F243" s="179" t="s">
        <v>10</v>
      </c>
      <c r="G243" s="179" t="s">
        <v>260</v>
      </c>
      <c r="H243" s="179"/>
    </row>
    <row r="244" spans="1:9" x14ac:dyDescent="0.2">
      <c r="A244" s="180">
        <v>1000003968</v>
      </c>
      <c r="B244" s="179" t="s">
        <v>507</v>
      </c>
      <c r="C244" s="179" t="s">
        <v>8</v>
      </c>
      <c r="D244" s="150" t="s">
        <v>506</v>
      </c>
      <c r="E244" s="150" t="s">
        <v>506</v>
      </c>
      <c r="F244" s="179" t="s">
        <v>355</v>
      </c>
      <c r="G244" s="179" t="s">
        <v>260</v>
      </c>
      <c r="H244" s="179"/>
      <c r="I244" s="137" t="s">
        <v>74</v>
      </c>
    </row>
    <row r="245" spans="1:9" ht="25.5" x14ac:dyDescent="0.2">
      <c r="A245" s="180">
        <v>1000003306</v>
      </c>
      <c r="B245" s="179" t="s">
        <v>554</v>
      </c>
      <c r="C245" s="179" t="s">
        <v>8</v>
      </c>
      <c r="D245" s="150" t="s">
        <v>555</v>
      </c>
      <c r="E245" s="150" t="s">
        <v>555</v>
      </c>
      <c r="F245" s="179" t="s">
        <v>355</v>
      </c>
      <c r="G245" s="179" t="s">
        <v>260</v>
      </c>
      <c r="H245" s="179"/>
      <c r="I245" s="137" t="s">
        <v>74</v>
      </c>
    </row>
    <row r="246" spans="1:9" x14ac:dyDescent="0.2">
      <c r="I246" s="137" t="s">
        <v>74</v>
      </c>
    </row>
    <row r="247" spans="1:9" x14ac:dyDescent="0.2">
      <c r="I247" s="137" t="s">
        <v>74</v>
      </c>
    </row>
    <row r="248" spans="1:9" x14ac:dyDescent="0.2">
      <c r="I248" s="137" t="s">
        <v>74</v>
      </c>
    </row>
    <row r="249" spans="1:9" x14ac:dyDescent="0.2">
      <c r="I249" s="137" t="s">
        <v>74</v>
      </c>
    </row>
    <row r="250" spans="1:9" x14ac:dyDescent="0.2">
      <c r="I250" s="137" t="s">
        <v>74</v>
      </c>
    </row>
    <row r="251" spans="1:9" x14ac:dyDescent="0.2">
      <c r="I251" s="137" t="s">
        <v>74</v>
      </c>
    </row>
    <row r="252" spans="1:9" x14ac:dyDescent="0.2">
      <c r="I252" s="137" t="s">
        <v>74</v>
      </c>
    </row>
    <row r="253" spans="1:9" x14ac:dyDescent="0.2">
      <c r="I253" s="137" t="s">
        <v>74</v>
      </c>
    </row>
    <row r="254" spans="1:9" x14ac:dyDescent="0.2">
      <c r="I254" s="137" t="s">
        <v>74</v>
      </c>
    </row>
    <row r="255" spans="1:9" x14ac:dyDescent="0.2">
      <c r="I255" s="137" t="s">
        <v>74</v>
      </c>
    </row>
    <row r="256" spans="1:9" x14ac:dyDescent="0.2">
      <c r="I256" s="137" t="s">
        <v>74</v>
      </c>
    </row>
    <row r="257" spans="9:9" x14ac:dyDescent="0.2">
      <c r="I257" s="137" t="s">
        <v>74</v>
      </c>
    </row>
    <row r="258" spans="9:9" x14ac:dyDescent="0.2">
      <c r="I258" s="137" t="s">
        <v>74</v>
      </c>
    </row>
    <row r="259" spans="9:9" x14ac:dyDescent="0.2">
      <c r="I259" s="137" t="s">
        <v>74</v>
      </c>
    </row>
    <row r="260" spans="9:9" x14ac:dyDescent="0.2">
      <c r="I260" s="137" t="s">
        <v>74</v>
      </c>
    </row>
    <row r="261" spans="9:9" x14ac:dyDescent="0.2">
      <c r="I261" s="137" t="s">
        <v>74</v>
      </c>
    </row>
    <row r="262" spans="9:9" x14ac:dyDescent="0.2">
      <c r="I262" s="137" t="s">
        <v>74</v>
      </c>
    </row>
    <row r="263" spans="9:9" x14ac:dyDescent="0.2">
      <c r="I263" s="137" t="s">
        <v>74</v>
      </c>
    </row>
    <row r="264" spans="9:9" x14ac:dyDescent="0.2">
      <c r="I264" s="137" t="s">
        <v>74</v>
      </c>
    </row>
    <row r="265" spans="9:9" x14ac:dyDescent="0.2">
      <c r="I265" s="137" t="s">
        <v>74</v>
      </c>
    </row>
    <row r="266" spans="9:9" x14ac:dyDescent="0.2">
      <c r="I266" s="137" t="s">
        <v>74</v>
      </c>
    </row>
    <row r="267" spans="9:9" x14ac:dyDescent="0.2">
      <c r="I267" s="137" t="s">
        <v>74</v>
      </c>
    </row>
    <row r="268" spans="9:9" x14ac:dyDescent="0.2">
      <c r="I268" s="137" t="s">
        <v>74</v>
      </c>
    </row>
    <row r="269" spans="9:9" x14ac:dyDescent="0.2">
      <c r="I269" s="137" t="s">
        <v>74</v>
      </c>
    </row>
    <row r="270" spans="9:9" x14ac:dyDescent="0.2">
      <c r="I270" s="137" t="s">
        <v>74</v>
      </c>
    </row>
    <row r="271" spans="9:9" x14ac:dyDescent="0.2">
      <c r="I271" s="137" t="s">
        <v>74</v>
      </c>
    </row>
    <row r="272" spans="9:9" x14ac:dyDescent="0.2">
      <c r="I272" s="137" t="s">
        <v>74</v>
      </c>
    </row>
    <row r="273" spans="9:9" x14ac:dyDescent="0.2">
      <c r="I273" s="137" t="s">
        <v>74</v>
      </c>
    </row>
    <row r="274" spans="9:9" x14ac:dyDescent="0.2">
      <c r="I274" s="137" t="s">
        <v>74</v>
      </c>
    </row>
    <row r="275" spans="9:9" x14ac:dyDescent="0.2">
      <c r="I275" s="137" t="s">
        <v>74</v>
      </c>
    </row>
    <row r="276" spans="9:9" x14ac:dyDescent="0.2">
      <c r="I276" s="137" t="s">
        <v>74</v>
      </c>
    </row>
    <row r="277" spans="9:9" x14ac:dyDescent="0.2">
      <c r="I277" s="137" t="s">
        <v>74</v>
      </c>
    </row>
    <row r="278" spans="9:9" x14ac:dyDescent="0.2">
      <c r="I278" s="137" t="s">
        <v>74</v>
      </c>
    </row>
    <row r="279" spans="9:9" x14ac:dyDescent="0.2">
      <c r="I279" s="137" t="s">
        <v>74</v>
      </c>
    </row>
    <row r="280" spans="9:9" x14ac:dyDescent="0.2">
      <c r="I280" s="137" t="s">
        <v>74</v>
      </c>
    </row>
    <row r="281" spans="9:9" x14ac:dyDescent="0.2">
      <c r="I281" s="137" t="s">
        <v>74</v>
      </c>
    </row>
    <row r="282" spans="9:9" x14ac:dyDescent="0.2">
      <c r="I282" s="137" t="s">
        <v>74</v>
      </c>
    </row>
    <row r="283" spans="9:9" x14ac:dyDescent="0.2">
      <c r="I283" s="137" t="s">
        <v>74</v>
      </c>
    </row>
    <row r="284" spans="9:9" x14ac:dyDescent="0.2">
      <c r="I284" s="137" t="s">
        <v>74</v>
      </c>
    </row>
    <row r="285" spans="9:9" x14ac:dyDescent="0.2">
      <c r="I285" s="137" t="s">
        <v>74</v>
      </c>
    </row>
    <row r="286" spans="9:9" x14ac:dyDescent="0.2">
      <c r="I286" s="137" t="s">
        <v>74</v>
      </c>
    </row>
    <row r="287" spans="9:9" x14ac:dyDescent="0.2">
      <c r="I287" s="137" t="s">
        <v>74</v>
      </c>
    </row>
    <row r="288" spans="9:9" x14ac:dyDescent="0.2">
      <c r="I288" s="137" t="s">
        <v>74</v>
      </c>
    </row>
    <row r="289" spans="9:9" x14ac:dyDescent="0.2">
      <c r="I289" s="137" t="s">
        <v>74</v>
      </c>
    </row>
    <row r="290" spans="9:9" x14ac:dyDescent="0.2">
      <c r="I290" s="137" t="s">
        <v>74</v>
      </c>
    </row>
    <row r="291" spans="9:9" x14ac:dyDescent="0.2">
      <c r="I291" s="137" t="s">
        <v>74</v>
      </c>
    </row>
    <row r="292" spans="9:9" x14ac:dyDescent="0.2">
      <c r="I292" s="137" t="s">
        <v>74</v>
      </c>
    </row>
    <row r="293" spans="9:9" x14ac:dyDescent="0.2">
      <c r="I293" s="137" t="s">
        <v>74</v>
      </c>
    </row>
    <row r="294" spans="9:9" x14ac:dyDescent="0.2">
      <c r="I294" s="137" t="s">
        <v>74</v>
      </c>
    </row>
    <row r="295" spans="9:9" x14ac:dyDescent="0.2">
      <c r="I295" s="137" t="s">
        <v>74</v>
      </c>
    </row>
    <row r="296" spans="9:9" x14ac:dyDescent="0.2">
      <c r="I296" s="137" t="s">
        <v>74</v>
      </c>
    </row>
    <row r="297" spans="9:9" x14ac:dyDescent="0.2">
      <c r="I297" s="137" t="s">
        <v>74</v>
      </c>
    </row>
    <row r="298" spans="9:9" x14ac:dyDescent="0.2">
      <c r="I298" s="137" t="s">
        <v>74</v>
      </c>
    </row>
    <row r="299" spans="9:9" x14ac:dyDescent="0.2">
      <c r="I299" s="137" t="s">
        <v>74</v>
      </c>
    </row>
    <row r="300" spans="9:9" x14ac:dyDescent="0.2">
      <c r="I300" s="137" t="s">
        <v>74</v>
      </c>
    </row>
    <row r="301" spans="9:9" x14ac:dyDescent="0.2">
      <c r="I301" s="137" t="s">
        <v>74</v>
      </c>
    </row>
    <row r="302" spans="9:9" x14ac:dyDescent="0.2">
      <c r="I302" s="137" t="s">
        <v>74</v>
      </c>
    </row>
    <row r="303" spans="9:9" x14ac:dyDescent="0.2">
      <c r="I303" s="137" t="s">
        <v>74</v>
      </c>
    </row>
    <row r="304" spans="9:9" x14ac:dyDescent="0.2">
      <c r="I304" s="137" t="s">
        <v>74</v>
      </c>
    </row>
    <row r="305" spans="9:9" x14ac:dyDescent="0.2">
      <c r="I305" s="137" t="s">
        <v>74</v>
      </c>
    </row>
    <row r="306" spans="9:9" x14ac:dyDescent="0.2">
      <c r="I306" s="137" t="s">
        <v>74</v>
      </c>
    </row>
    <row r="307" spans="9:9" x14ac:dyDescent="0.2">
      <c r="I307" s="137" t="s">
        <v>74</v>
      </c>
    </row>
    <row r="308" spans="9:9" x14ac:dyDescent="0.2">
      <c r="I308" s="137" t="s">
        <v>74</v>
      </c>
    </row>
    <row r="309" spans="9:9" x14ac:dyDescent="0.2">
      <c r="I309" s="137" t="s">
        <v>74</v>
      </c>
    </row>
    <row r="310" spans="9:9" x14ac:dyDescent="0.2">
      <c r="I310" s="137" t="s">
        <v>74</v>
      </c>
    </row>
    <row r="311" spans="9:9" x14ac:dyDescent="0.2">
      <c r="I311" s="137" t="s">
        <v>74</v>
      </c>
    </row>
    <row r="312" spans="9:9" x14ac:dyDescent="0.2">
      <c r="I312" s="137" t="s">
        <v>74</v>
      </c>
    </row>
    <row r="313" spans="9:9" x14ac:dyDescent="0.2">
      <c r="I313" s="137" t="s">
        <v>74</v>
      </c>
    </row>
    <row r="314" spans="9:9" x14ac:dyDescent="0.2">
      <c r="I314" s="137" t="s">
        <v>74</v>
      </c>
    </row>
    <row r="315" spans="9:9" x14ac:dyDescent="0.2">
      <c r="I315" s="137" t="s">
        <v>74</v>
      </c>
    </row>
    <row r="316" spans="9:9" x14ac:dyDescent="0.2">
      <c r="I316" s="137" t="s">
        <v>74</v>
      </c>
    </row>
    <row r="317" spans="9:9" x14ac:dyDescent="0.2">
      <c r="I317" s="137" t="s">
        <v>74</v>
      </c>
    </row>
    <row r="318" spans="9:9" x14ac:dyDescent="0.2">
      <c r="I318" s="137" t="s">
        <v>74</v>
      </c>
    </row>
    <row r="319" spans="9:9" x14ac:dyDescent="0.2">
      <c r="I319" s="137" t="s">
        <v>74</v>
      </c>
    </row>
    <row r="320" spans="9:9" x14ac:dyDescent="0.2">
      <c r="I320" s="137" t="s">
        <v>74</v>
      </c>
    </row>
    <row r="321" spans="9:9" x14ac:dyDescent="0.2">
      <c r="I321" s="137" t="s">
        <v>74</v>
      </c>
    </row>
    <row r="322" spans="9:9" x14ac:dyDescent="0.2">
      <c r="I322" s="137" t="s">
        <v>74</v>
      </c>
    </row>
    <row r="323" spans="9:9" x14ac:dyDescent="0.2">
      <c r="I323" s="137" t="s">
        <v>74</v>
      </c>
    </row>
    <row r="324" spans="9:9" x14ac:dyDescent="0.2">
      <c r="I324" s="137" t="s">
        <v>74</v>
      </c>
    </row>
    <row r="325" spans="9:9" x14ac:dyDescent="0.2">
      <c r="I325" s="137" t="s">
        <v>74</v>
      </c>
    </row>
    <row r="326" spans="9:9" x14ac:dyDescent="0.2">
      <c r="I326" s="137" t="s">
        <v>74</v>
      </c>
    </row>
    <row r="327" spans="9:9" x14ac:dyDescent="0.2">
      <c r="I327" s="137" t="s">
        <v>74</v>
      </c>
    </row>
    <row r="328" spans="9:9" x14ac:dyDescent="0.2">
      <c r="I328" s="137" t="s">
        <v>74</v>
      </c>
    </row>
    <row r="329" spans="9:9" x14ac:dyDescent="0.2">
      <c r="I329" s="137" t="s">
        <v>74</v>
      </c>
    </row>
    <row r="330" spans="9:9" x14ac:dyDescent="0.2">
      <c r="I330" s="137" t="s">
        <v>74</v>
      </c>
    </row>
    <row r="331" spans="9:9" x14ac:dyDescent="0.2">
      <c r="I331" s="137" t="s">
        <v>74</v>
      </c>
    </row>
    <row r="332" spans="9:9" x14ac:dyDescent="0.2">
      <c r="I332" s="137" t="s">
        <v>74</v>
      </c>
    </row>
    <row r="333" spans="9:9" x14ac:dyDescent="0.2">
      <c r="I333" s="137" t="s">
        <v>74</v>
      </c>
    </row>
    <row r="334" spans="9:9" x14ac:dyDescent="0.2">
      <c r="I334" s="137" t="s">
        <v>74</v>
      </c>
    </row>
    <row r="335" spans="9:9" x14ac:dyDescent="0.2">
      <c r="I335" s="137" t="s">
        <v>74</v>
      </c>
    </row>
    <row r="336" spans="9:9" x14ac:dyDescent="0.2">
      <c r="I336" s="137" t="s">
        <v>74</v>
      </c>
    </row>
    <row r="337" spans="9:9" x14ac:dyDescent="0.2">
      <c r="I337" s="137" t="s">
        <v>74</v>
      </c>
    </row>
    <row r="338" spans="9:9" x14ac:dyDescent="0.2">
      <c r="I338" s="137" t="s">
        <v>74</v>
      </c>
    </row>
    <row r="339" spans="9:9" x14ac:dyDescent="0.2">
      <c r="I339" s="137" t="s">
        <v>74</v>
      </c>
    </row>
    <row r="340" spans="9:9" x14ac:dyDescent="0.2">
      <c r="I340" s="137" t="s">
        <v>74</v>
      </c>
    </row>
    <row r="341" spans="9:9" x14ac:dyDescent="0.2">
      <c r="I341" s="137" t="s">
        <v>74</v>
      </c>
    </row>
    <row r="342" spans="9:9" x14ac:dyDescent="0.2">
      <c r="I342" s="137" t="s">
        <v>74</v>
      </c>
    </row>
    <row r="343" spans="9:9" x14ac:dyDescent="0.2">
      <c r="I343" s="137" t="s">
        <v>74</v>
      </c>
    </row>
    <row r="344" spans="9:9" x14ac:dyDescent="0.2">
      <c r="I344" s="137" t="s">
        <v>74</v>
      </c>
    </row>
    <row r="345" spans="9:9" x14ac:dyDescent="0.2">
      <c r="I345" s="137" t="s">
        <v>74</v>
      </c>
    </row>
    <row r="346" spans="9:9" x14ac:dyDescent="0.2">
      <c r="I346" s="137" t="s">
        <v>74</v>
      </c>
    </row>
    <row r="347" spans="9:9" x14ac:dyDescent="0.2">
      <c r="I347" s="137" t="s">
        <v>74</v>
      </c>
    </row>
    <row r="348" spans="9:9" x14ac:dyDescent="0.2">
      <c r="I348" s="137" t="s">
        <v>74</v>
      </c>
    </row>
    <row r="349" spans="9:9" x14ac:dyDescent="0.2">
      <c r="I349" s="137" t="s">
        <v>74</v>
      </c>
    </row>
    <row r="350" spans="9:9" x14ac:dyDescent="0.2">
      <c r="I350" s="137" t="s">
        <v>74</v>
      </c>
    </row>
    <row r="351" spans="9:9" x14ac:dyDescent="0.2">
      <c r="I351" s="137" t="s">
        <v>74</v>
      </c>
    </row>
    <row r="352" spans="9:9" x14ac:dyDescent="0.2">
      <c r="I352" s="137" t="s">
        <v>74</v>
      </c>
    </row>
    <row r="353" spans="9:9" x14ac:dyDescent="0.2">
      <c r="I353" s="137" t="s">
        <v>74</v>
      </c>
    </row>
    <row r="354" spans="9:9" x14ac:dyDescent="0.2">
      <c r="I354" s="137" t="s">
        <v>74</v>
      </c>
    </row>
    <row r="355" spans="9:9" x14ac:dyDescent="0.2">
      <c r="I355" s="137" t="s">
        <v>74</v>
      </c>
    </row>
    <row r="356" spans="9:9" x14ac:dyDescent="0.2">
      <c r="I356" s="137" t="s">
        <v>74</v>
      </c>
    </row>
    <row r="357" spans="9:9" x14ac:dyDescent="0.2">
      <c r="I357" s="137" t="s">
        <v>74</v>
      </c>
    </row>
    <row r="358" spans="9:9" x14ac:dyDescent="0.2">
      <c r="I358" s="137" t="s">
        <v>74</v>
      </c>
    </row>
    <row r="359" spans="9:9" x14ac:dyDescent="0.2">
      <c r="I359" s="137" t="s">
        <v>74</v>
      </c>
    </row>
    <row r="360" spans="9:9" x14ac:dyDescent="0.2">
      <c r="I360" s="137" t="s">
        <v>74</v>
      </c>
    </row>
    <row r="361" spans="9:9" x14ac:dyDescent="0.2">
      <c r="I361" s="137" t="s">
        <v>74</v>
      </c>
    </row>
    <row r="362" spans="9:9" x14ac:dyDescent="0.2">
      <c r="I362" s="137" t="s">
        <v>74</v>
      </c>
    </row>
    <row r="363" spans="9:9" x14ac:dyDescent="0.2">
      <c r="I363" s="137" t="s">
        <v>74</v>
      </c>
    </row>
    <row r="364" spans="9:9" x14ac:dyDescent="0.2">
      <c r="I364" s="137" t="s">
        <v>74</v>
      </c>
    </row>
    <row r="365" spans="9:9" x14ac:dyDescent="0.2">
      <c r="I365" s="137" t="s">
        <v>74</v>
      </c>
    </row>
    <row r="366" spans="9:9" x14ac:dyDescent="0.2">
      <c r="I366" s="137" t="s">
        <v>74</v>
      </c>
    </row>
    <row r="367" spans="9:9" x14ac:dyDescent="0.2">
      <c r="I367" s="137" t="s">
        <v>74</v>
      </c>
    </row>
    <row r="368" spans="9:9" x14ac:dyDescent="0.2">
      <c r="I368" s="137" t="s">
        <v>74</v>
      </c>
    </row>
    <row r="369" spans="9:9" x14ac:dyDescent="0.2">
      <c r="I369" s="137" t="s">
        <v>74</v>
      </c>
    </row>
    <row r="370" spans="9:9" x14ac:dyDescent="0.2">
      <c r="I370" s="137" t="s">
        <v>74</v>
      </c>
    </row>
    <row r="371" spans="9:9" x14ac:dyDescent="0.2">
      <c r="I371" s="137" t="s">
        <v>74</v>
      </c>
    </row>
    <row r="372" spans="9:9" x14ac:dyDescent="0.2">
      <c r="I372" s="137" t="s">
        <v>74</v>
      </c>
    </row>
    <row r="373" spans="9:9" x14ac:dyDescent="0.2">
      <c r="I373" s="137" t="s">
        <v>74</v>
      </c>
    </row>
    <row r="374" spans="9:9" x14ac:dyDescent="0.2">
      <c r="I374" s="137" t="s">
        <v>74</v>
      </c>
    </row>
    <row r="375" spans="9:9" x14ac:dyDescent="0.2">
      <c r="I375" s="137" t="s">
        <v>74</v>
      </c>
    </row>
    <row r="376" spans="9:9" x14ac:dyDescent="0.2">
      <c r="I376" s="137" t="s">
        <v>74</v>
      </c>
    </row>
    <row r="377" spans="9:9" x14ac:dyDescent="0.2">
      <c r="I377" s="137" t="s">
        <v>74</v>
      </c>
    </row>
    <row r="378" spans="9:9" x14ac:dyDescent="0.2">
      <c r="I378" s="137" t="s">
        <v>74</v>
      </c>
    </row>
    <row r="379" spans="9:9" x14ac:dyDescent="0.2">
      <c r="I379" s="137" t="s">
        <v>74</v>
      </c>
    </row>
    <row r="380" spans="9:9" x14ac:dyDescent="0.2">
      <c r="I380" s="137" t="s">
        <v>74</v>
      </c>
    </row>
    <row r="381" spans="9:9" x14ac:dyDescent="0.2">
      <c r="I381" s="137" t="s">
        <v>74</v>
      </c>
    </row>
    <row r="382" spans="9:9" x14ac:dyDescent="0.2">
      <c r="I382" s="137" t="s">
        <v>74</v>
      </c>
    </row>
    <row r="383" spans="9:9" x14ac:dyDescent="0.2">
      <c r="I383" s="137" t="s">
        <v>74</v>
      </c>
    </row>
    <row r="384" spans="9:9" x14ac:dyDescent="0.2">
      <c r="I384" s="137" t="s">
        <v>74</v>
      </c>
    </row>
    <row r="385" spans="9:9" x14ac:dyDescent="0.2">
      <c r="I385" s="137" t="s">
        <v>74</v>
      </c>
    </row>
    <row r="386" spans="9:9" x14ac:dyDescent="0.2">
      <c r="I386" s="137" t="s">
        <v>74</v>
      </c>
    </row>
    <row r="387" spans="9:9" x14ac:dyDescent="0.2">
      <c r="I387" s="137" t="s">
        <v>74</v>
      </c>
    </row>
    <row r="388" spans="9:9" x14ac:dyDescent="0.2">
      <c r="I388" s="137" t="s">
        <v>74</v>
      </c>
    </row>
    <row r="389" spans="9:9" x14ac:dyDescent="0.2">
      <c r="I389" s="137" t="s">
        <v>74</v>
      </c>
    </row>
    <row r="390" spans="9:9" x14ac:dyDescent="0.2">
      <c r="I390" s="137" t="s">
        <v>74</v>
      </c>
    </row>
    <row r="391" spans="9:9" x14ac:dyDescent="0.2">
      <c r="I391" s="137" t="s">
        <v>74</v>
      </c>
    </row>
    <row r="392" spans="9:9" x14ac:dyDescent="0.2">
      <c r="I392" s="137" t="s">
        <v>74</v>
      </c>
    </row>
    <row r="393" spans="9:9" x14ac:dyDescent="0.2">
      <c r="I393" s="137" t="s">
        <v>74</v>
      </c>
    </row>
    <row r="394" spans="9:9" x14ac:dyDescent="0.2">
      <c r="I394" s="137" t="s">
        <v>74</v>
      </c>
    </row>
    <row r="395" spans="9:9" x14ac:dyDescent="0.2">
      <c r="I395" s="137" t="s">
        <v>74</v>
      </c>
    </row>
    <row r="396" spans="9:9" x14ac:dyDescent="0.2">
      <c r="I396" s="137" t="s">
        <v>74</v>
      </c>
    </row>
    <row r="397" spans="9:9" x14ac:dyDescent="0.2">
      <c r="I397" s="137" t="s">
        <v>74</v>
      </c>
    </row>
    <row r="398" spans="9:9" x14ac:dyDescent="0.2">
      <c r="I398" s="137" t="s">
        <v>74</v>
      </c>
    </row>
    <row r="399" spans="9:9" x14ac:dyDescent="0.2">
      <c r="I399" s="137" t="s">
        <v>74</v>
      </c>
    </row>
    <row r="400" spans="9:9" x14ac:dyDescent="0.2">
      <c r="I400" s="137" t="s">
        <v>74</v>
      </c>
    </row>
    <row r="401" spans="9:9" x14ac:dyDescent="0.2">
      <c r="I401" s="137" t="s">
        <v>74</v>
      </c>
    </row>
    <row r="402" spans="9:9" x14ac:dyDescent="0.2">
      <c r="I402" s="137" t="s">
        <v>74</v>
      </c>
    </row>
    <row r="403" spans="9:9" x14ac:dyDescent="0.2">
      <c r="I403" s="137" t="s">
        <v>74</v>
      </c>
    </row>
    <row r="404" spans="9:9" x14ac:dyDescent="0.2">
      <c r="I404" s="137" t="s">
        <v>74</v>
      </c>
    </row>
    <row r="405" spans="9:9" x14ac:dyDescent="0.2">
      <c r="I405" s="137" t="s">
        <v>74</v>
      </c>
    </row>
    <row r="406" spans="9:9" x14ac:dyDescent="0.2">
      <c r="I406" s="137" t="s">
        <v>74</v>
      </c>
    </row>
    <row r="407" spans="9:9" x14ac:dyDescent="0.2">
      <c r="I407" s="137" t="s">
        <v>74</v>
      </c>
    </row>
    <row r="408" spans="9:9" x14ac:dyDescent="0.2">
      <c r="I408" s="137" t="s">
        <v>74</v>
      </c>
    </row>
    <row r="409" spans="9:9" x14ac:dyDescent="0.2">
      <c r="I409" s="137" t="s">
        <v>74</v>
      </c>
    </row>
    <row r="410" spans="9:9" x14ac:dyDescent="0.2">
      <c r="I410" s="137" t="s">
        <v>74</v>
      </c>
    </row>
    <row r="411" spans="9:9" x14ac:dyDescent="0.2">
      <c r="I411" s="137" t="s">
        <v>74</v>
      </c>
    </row>
    <row r="412" spans="9:9" x14ac:dyDescent="0.2">
      <c r="I412" s="137" t="s">
        <v>74</v>
      </c>
    </row>
    <row r="413" spans="9:9" x14ac:dyDescent="0.2">
      <c r="I413" s="137" t="s">
        <v>74</v>
      </c>
    </row>
    <row r="414" spans="9:9" x14ac:dyDescent="0.2">
      <c r="I414" s="137" t="s">
        <v>74</v>
      </c>
    </row>
    <row r="415" spans="9:9" x14ac:dyDescent="0.2">
      <c r="I415" s="137" t="s">
        <v>74</v>
      </c>
    </row>
    <row r="416" spans="9:9" x14ac:dyDescent="0.2">
      <c r="I416" s="137" t="s">
        <v>74</v>
      </c>
    </row>
    <row r="417" spans="9:9" x14ac:dyDescent="0.2">
      <c r="I417" s="137" t="s">
        <v>74</v>
      </c>
    </row>
    <row r="418" spans="9:9" x14ac:dyDescent="0.2">
      <c r="I418" s="137" t="s">
        <v>74</v>
      </c>
    </row>
    <row r="419" spans="9:9" x14ac:dyDescent="0.2">
      <c r="I419" s="137" t="s">
        <v>74</v>
      </c>
    </row>
    <row r="420" spans="9:9" x14ac:dyDescent="0.2">
      <c r="I420" s="137" t="s">
        <v>74</v>
      </c>
    </row>
    <row r="421" spans="9:9" x14ac:dyDescent="0.2">
      <c r="I421" s="137" t="s">
        <v>74</v>
      </c>
    </row>
    <row r="422" spans="9:9" x14ac:dyDescent="0.2">
      <c r="I422" s="137" t="s">
        <v>74</v>
      </c>
    </row>
    <row r="423" spans="9:9" x14ac:dyDescent="0.2">
      <c r="I423" s="137" t="s">
        <v>74</v>
      </c>
    </row>
    <row r="424" spans="9:9" x14ac:dyDescent="0.2">
      <c r="I424" s="137" t="s">
        <v>74</v>
      </c>
    </row>
    <row r="425" spans="9:9" x14ac:dyDescent="0.2">
      <c r="I425" s="137" t="s">
        <v>74</v>
      </c>
    </row>
    <row r="426" spans="9:9" x14ac:dyDescent="0.2">
      <c r="I426" s="137" t="s">
        <v>74</v>
      </c>
    </row>
    <row r="427" spans="9:9" x14ac:dyDescent="0.2">
      <c r="I427" s="137" t="s">
        <v>74</v>
      </c>
    </row>
    <row r="428" spans="9:9" x14ac:dyDescent="0.2">
      <c r="I428" s="137" t="s">
        <v>74</v>
      </c>
    </row>
    <row r="429" spans="9:9" x14ac:dyDescent="0.2">
      <c r="I429" s="137" t="s">
        <v>74</v>
      </c>
    </row>
    <row r="430" spans="9:9" x14ac:dyDescent="0.2">
      <c r="I430" s="137" t="s">
        <v>74</v>
      </c>
    </row>
    <row r="431" spans="9:9" x14ac:dyDescent="0.2">
      <c r="I431" s="137" t="s">
        <v>74</v>
      </c>
    </row>
    <row r="432" spans="9:9" x14ac:dyDescent="0.2">
      <c r="I432" s="137" t="s">
        <v>74</v>
      </c>
    </row>
    <row r="433" spans="9:9" x14ac:dyDescent="0.2">
      <c r="I433" s="137" t="s">
        <v>74</v>
      </c>
    </row>
    <row r="434" spans="9:9" x14ac:dyDescent="0.2">
      <c r="I434" s="137" t="s">
        <v>74</v>
      </c>
    </row>
    <row r="435" spans="9:9" x14ac:dyDescent="0.2">
      <c r="I435" s="137" t="s">
        <v>74</v>
      </c>
    </row>
    <row r="436" spans="9:9" x14ac:dyDescent="0.2">
      <c r="I436" s="137" t="s">
        <v>74</v>
      </c>
    </row>
    <row r="437" spans="9:9" x14ac:dyDescent="0.2">
      <c r="I437" s="137" t="s">
        <v>74</v>
      </c>
    </row>
    <row r="438" spans="9:9" x14ac:dyDescent="0.2">
      <c r="I438" s="137" t="s">
        <v>74</v>
      </c>
    </row>
    <row r="439" spans="9:9" x14ac:dyDescent="0.2">
      <c r="I439" s="137" t="s">
        <v>74</v>
      </c>
    </row>
    <row r="440" spans="9:9" x14ac:dyDescent="0.2">
      <c r="I440" s="137" t="s">
        <v>74</v>
      </c>
    </row>
    <row r="441" spans="9:9" x14ac:dyDescent="0.2">
      <c r="I441" s="137" t="s">
        <v>74</v>
      </c>
    </row>
    <row r="442" spans="9:9" x14ac:dyDescent="0.2">
      <c r="I442" s="137" t="s">
        <v>74</v>
      </c>
    </row>
    <row r="443" spans="9:9" x14ac:dyDescent="0.2">
      <c r="I443" s="137" t="s">
        <v>74</v>
      </c>
    </row>
    <row r="444" spans="9:9" x14ac:dyDescent="0.2">
      <c r="I444" s="137" t="s">
        <v>74</v>
      </c>
    </row>
    <row r="445" spans="9:9" x14ac:dyDescent="0.2">
      <c r="I445" s="137" t="s">
        <v>74</v>
      </c>
    </row>
    <row r="446" spans="9:9" x14ac:dyDescent="0.2">
      <c r="I446" s="137" t="s">
        <v>74</v>
      </c>
    </row>
    <row r="447" spans="9:9" x14ac:dyDescent="0.2">
      <c r="I447" s="137" t="s">
        <v>74</v>
      </c>
    </row>
    <row r="448" spans="9:9" x14ac:dyDescent="0.2">
      <c r="I448" s="137" t="s">
        <v>74</v>
      </c>
    </row>
    <row r="449" spans="9:9" x14ac:dyDescent="0.2">
      <c r="I449" s="137" t="s">
        <v>74</v>
      </c>
    </row>
    <row r="450" spans="9:9" x14ac:dyDescent="0.2">
      <c r="I450" s="137" t="s">
        <v>74</v>
      </c>
    </row>
    <row r="451" spans="9:9" x14ac:dyDescent="0.2">
      <c r="I451" s="137" t="s">
        <v>74</v>
      </c>
    </row>
    <row r="452" spans="9:9" x14ac:dyDescent="0.2">
      <c r="I452" s="137" t="s">
        <v>74</v>
      </c>
    </row>
    <row r="453" spans="9:9" x14ac:dyDescent="0.2">
      <c r="I453" s="137" t="s">
        <v>74</v>
      </c>
    </row>
    <row r="454" spans="9:9" x14ac:dyDescent="0.2">
      <c r="I454" s="137" t="s">
        <v>74</v>
      </c>
    </row>
    <row r="455" spans="9:9" x14ac:dyDescent="0.2">
      <c r="I455" s="137" t="s">
        <v>74</v>
      </c>
    </row>
    <row r="456" spans="9:9" x14ac:dyDescent="0.2">
      <c r="I456" s="137" t="s">
        <v>74</v>
      </c>
    </row>
    <row r="457" spans="9:9" x14ac:dyDescent="0.2">
      <c r="I457" s="137" t="s">
        <v>74</v>
      </c>
    </row>
    <row r="458" spans="9:9" x14ac:dyDescent="0.2">
      <c r="I458" s="137" t="s">
        <v>74</v>
      </c>
    </row>
    <row r="459" spans="9:9" x14ac:dyDescent="0.2">
      <c r="I459" s="137" t="s">
        <v>74</v>
      </c>
    </row>
    <row r="460" spans="9:9" x14ac:dyDescent="0.2">
      <c r="I460" s="137" t="s">
        <v>74</v>
      </c>
    </row>
    <row r="461" spans="9:9" x14ac:dyDescent="0.2">
      <c r="I461" s="137" t="s">
        <v>74</v>
      </c>
    </row>
    <row r="462" spans="9:9" x14ac:dyDescent="0.2">
      <c r="I462" s="137" t="s">
        <v>74</v>
      </c>
    </row>
    <row r="463" spans="9:9" x14ac:dyDescent="0.2">
      <c r="I463" s="137" t="s">
        <v>74</v>
      </c>
    </row>
    <row r="464" spans="9:9" x14ac:dyDescent="0.2">
      <c r="I464" s="137" t="s">
        <v>74</v>
      </c>
    </row>
    <row r="465" spans="9:9" x14ac:dyDescent="0.2">
      <c r="I465" s="137" t="s">
        <v>74</v>
      </c>
    </row>
    <row r="466" spans="9:9" x14ac:dyDescent="0.2">
      <c r="I466" s="137" t="s">
        <v>74</v>
      </c>
    </row>
    <row r="467" spans="9:9" x14ac:dyDescent="0.2">
      <c r="I467" s="137" t="s">
        <v>74</v>
      </c>
    </row>
    <row r="468" spans="9:9" x14ac:dyDescent="0.2">
      <c r="I468" s="137" t="s">
        <v>74</v>
      </c>
    </row>
    <row r="469" spans="9:9" x14ac:dyDescent="0.2">
      <c r="I469" s="137" t="s">
        <v>74</v>
      </c>
    </row>
    <row r="470" spans="9:9" x14ac:dyDescent="0.2">
      <c r="I470" s="137" t="s">
        <v>74</v>
      </c>
    </row>
    <row r="471" spans="9:9" x14ac:dyDescent="0.2">
      <c r="I471" s="137" t="s">
        <v>74</v>
      </c>
    </row>
    <row r="472" spans="9:9" x14ac:dyDescent="0.2">
      <c r="I472" s="137" t="s">
        <v>74</v>
      </c>
    </row>
    <row r="473" spans="9:9" x14ac:dyDescent="0.2">
      <c r="I473" s="137" t="s">
        <v>74</v>
      </c>
    </row>
    <row r="474" spans="9:9" x14ac:dyDescent="0.2">
      <c r="I474" s="137" t="s">
        <v>74</v>
      </c>
    </row>
    <row r="475" spans="9:9" x14ac:dyDescent="0.2">
      <c r="I475" s="137" t="s">
        <v>74</v>
      </c>
    </row>
    <row r="476" spans="9:9" x14ac:dyDescent="0.2">
      <c r="I476" s="137" t="s">
        <v>74</v>
      </c>
    </row>
    <row r="477" spans="9:9" x14ac:dyDescent="0.2">
      <c r="I477" s="137" t="s">
        <v>74</v>
      </c>
    </row>
    <row r="478" spans="9:9" x14ac:dyDescent="0.2">
      <c r="I478" s="137" t="s">
        <v>74</v>
      </c>
    </row>
    <row r="479" spans="9:9" x14ac:dyDescent="0.2">
      <c r="I479" s="137" t="s">
        <v>74</v>
      </c>
    </row>
    <row r="480" spans="9:9" x14ac:dyDescent="0.2">
      <c r="I480" s="137" t="s">
        <v>74</v>
      </c>
    </row>
    <row r="481" spans="9:9" x14ac:dyDescent="0.2">
      <c r="I481" s="137" t="s">
        <v>74</v>
      </c>
    </row>
    <row r="482" spans="9:9" x14ac:dyDescent="0.2">
      <c r="I482" s="137" t="s">
        <v>74</v>
      </c>
    </row>
    <row r="483" spans="9:9" x14ac:dyDescent="0.2">
      <c r="I483" s="137" t="s">
        <v>74</v>
      </c>
    </row>
    <row r="484" spans="9:9" x14ac:dyDescent="0.2">
      <c r="I484" s="137" t="s">
        <v>74</v>
      </c>
    </row>
    <row r="485" spans="9:9" x14ac:dyDescent="0.2">
      <c r="I485" s="137" t="s">
        <v>74</v>
      </c>
    </row>
    <row r="486" spans="9:9" x14ac:dyDescent="0.2">
      <c r="I486" s="137" t="s">
        <v>74</v>
      </c>
    </row>
    <row r="487" spans="9:9" x14ac:dyDescent="0.2">
      <c r="I487" s="137" t="s">
        <v>74</v>
      </c>
    </row>
    <row r="488" spans="9:9" x14ac:dyDescent="0.2">
      <c r="I488" s="137" t="s">
        <v>74</v>
      </c>
    </row>
    <row r="489" spans="9:9" x14ac:dyDescent="0.2">
      <c r="I489" s="137" t="s">
        <v>74</v>
      </c>
    </row>
    <row r="490" spans="9:9" x14ac:dyDescent="0.2">
      <c r="I490" s="137" t="s">
        <v>74</v>
      </c>
    </row>
    <row r="491" spans="9:9" x14ac:dyDescent="0.2">
      <c r="I491" s="137" t="s">
        <v>74</v>
      </c>
    </row>
    <row r="492" spans="9:9" x14ac:dyDescent="0.2">
      <c r="I492" s="137" t="s">
        <v>74</v>
      </c>
    </row>
    <row r="493" spans="9:9" x14ac:dyDescent="0.2">
      <c r="I493" s="137" t="s">
        <v>74</v>
      </c>
    </row>
    <row r="494" spans="9:9" x14ac:dyDescent="0.2">
      <c r="I494" s="137" t="s">
        <v>74</v>
      </c>
    </row>
    <row r="495" spans="9:9" x14ac:dyDescent="0.2">
      <c r="I495" s="137" t="s">
        <v>74</v>
      </c>
    </row>
    <row r="496" spans="9:9" x14ac:dyDescent="0.2">
      <c r="I496" s="137" t="s">
        <v>74</v>
      </c>
    </row>
    <row r="497" spans="9:9" x14ac:dyDescent="0.2">
      <c r="I497" s="137" t="s">
        <v>74</v>
      </c>
    </row>
    <row r="498" spans="9:9" x14ac:dyDescent="0.2">
      <c r="I498" s="137" t="s">
        <v>74</v>
      </c>
    </row>
    <row r="499" spans="9:9" x14ac:dyDescent="0.2">
      <c r="I499" s="137" t="s">
        <v>74</v>
      </c>
    </row>
    <row r="500" spans="9:9" x14ac:dyDescent="0.2">
      <c r="I500" s="137" t="s">
        <v>74</v>
      </c>
    </row>
    <row r="501" spans="9:9" x14ac:dyDescent="0.2">
      <c r="I501" s="137" t="s">
        <v>74</v>
      </c>
    </row>
    <row r="502" spans="9:9" x14ac:dyDescent="0.2">
      <c r="I502" s="137" t="s">
        <v>74</v>
      </c>
    </row>
    <row r="503" spans="9:9" x14ac:dyDescent="0.2">
      <c r="I503" s="137" t="s">
        <v>74</v>
      </c>
    </row>
    <row r="504" spans="9:9" x14ac:dyDescent="0.2">
      <c r="I504" s="137" t="s">
        <v>74</v>
      </c>
    </row>
    <row r="505" spans="9:9" x14ac:dyDescent="0.2">
      <c r="I505" s="137" t="s">
        <v>74</v>
      </c>
    </row>
    <row r="506" spans="9:9" x14ac:dyDescent="0.2">
      <c r="I506" s="137" t="s">
        <v>74</v>
      </c>
    </row>
    <row r="507" spans="9:9" x14ac:dyDescent="0.2">
      <c r="I507" s="137" t="s">
        <v>74</v>
      </c>
    </row>
    <row r="508" spans="9:9" x14ac:dyDescent="0.2">
      <c r="I508" s="137" t="s">
        <v>74</v>
      </c>
    </row>
    <row r="509" spans="9:9" x14ac:dyDescent="0.2">
      <c r="I509" s="137" t="s">
        <v>74</v>
      </c>
    </row>
    <row r="510" spans="9:9" x14ac:dyDescent="0.2">
      <c r="I510" s="137" t="s">
        <v>74</v>
      </c>
    </row>
    <row r="511" spans="9:9" x14ac:dyDescent="0.2">
      <c r="I511" s="137" t="s">
        <v>74</v>
      </c>
    </row>
    <row r="512" spans="9:9" x14ac:dyDescent="0.2">
      <c r="I512" s="137" t="s">
        <v>74</v>
      </c>
    </row>
    <row r="513" spans="9:9" x14ac:dyDescent="0.2">
      <c r="I513" s="137" t="s">
        <v>74</v>
      </c>
    </row>
    <row r="514" spans="9:9" x14ac:dyDescent="0.2">
      <c r="I514" s="137" t="s">
        <v>74</v>
      </c>
    </row>
    <row r="515" spans="9:9" x14ac:dyDescent="0.2">
      <c r="I515" s="137" t="s">
        <v>74</v>
      </c>
    </row>
    <row r="516" spans="9:9" x14ac:dyDescent="0.2">
      <c r="I516" s="137" t="s">
        <v>74</v>
      </c>
    </row>
    <row r="517" spans="9:9" x14ac:dyDescent="0.2">
      <c r="I517" s="137" t="s">
        <v>74</v>
      </c>
    </row>
    <row r="518" spans="9:9" x14ac:dyDescent="0.2">
      <c r="I518" s="137" t="s">
        <v>74</v>
      </c>
    </row>
    <row r="519" spans="9:9" x14ac:dyDescent="0.2">
      <c r="I519" s="137" t="s">
        <v>74</v>
      </c>
    </row>
    <row r="520" spans="9:9" x14ac:dyDescent="0.2">
      <c r="I520" s="137" t="s">
        <v>74</v>
      </c>
    </row>
    <row r="521" spans="9:9" x14ac:dyDescent="0.2">
      <c r="I521" s="137" t="s">
        <v>74</v>
      </c>
    </row>
    <row r="522" spans="9:9" x14ac:dyDescent="0.2">
      <c r="I522" s="137" t="s">
        <v>74</v>
      </c>
    </row>
    <row r="523" spans="9:9" x14ac:dyDescent="0.2">
      <c r="I523" s="137" t="s">
        <v>74</v>
      </c>
    </row>
    <row r="524" spans="9:9" x14ac:dyDescent="0.2">
      <c r="I524" s="137" t="s">
        <v>74</v>
      </c>
    </row>
    <row r="525" spans="9:9" x14ac:dyDescent="0.2">
      <c r="I525" s="137" t="s">
        <v>74</v>
      </c>
    </row>
    <row r="526" spans="9:9" x14ac:dyDescent="0.2">
      <c r="I526" s="137" t="s">
        <v>74</v>
      </c>
    </row>
    <row r="527" spans="9:9" x14ac:dyDescent="0.2">
      <c r="I527" s="137" t="s">
        <v>74</v>
      </c>
    </row>
    <row r="528" spans="9:9" x14ac:dyDescent="0.2">
      <c r="I528" s="137" t="s">
        <v>74</v>
      </c>
    </row>
    <row r="529" spans="9:9" x14ac:dyDescent="0.2">
      <c r="I529" s="137" t="s">
        <v>74</v>
      </c>
    </row>
    <row r="530" spans="9:9" x14ac:dyDescent="0.2">
      <c r="I530" s="137" t="s">
        <v>74</v>
      </c>
    </row>
    <row r="531" spans="9:9" x14ac:dyDescent="0.2">
      <c r="I531" s="137" t="s">
        <v>74</v>
      </c>
    </row>
    <row r="532" spans="9:9" x14ac:dyDescent="0.2">
      <c r="I532" s="137" t="s">
        <v>74</v>
      </c>
    </row>
    <row r="533" spans="9:9" x14ac:dyDescent="0.2">
      <c r="I533" s="137" t="s">
        <v>74</v>
      </c>
    </row>
    <row r="534" spans="9:9" x14ac:dyDescent="0.2">
      <c r="I534" s="137" t="s">
        <v>74</v>
      </c>
    </row>
    <row r="535" spans="9:9" x14ac:dyDescent="0.2">
      <c r="I535" s="137" t="s">
        <v>74</v>
      </c>
    </row>
    <row r="536" spans="9:9" x14ac:dyDescent="0.2">
      <c r="I536" s="137" t="s">
        <v>74</v>
      </c>
    </row>
    <row r="537" spans="9:9" x14ac:dyDescent="0.2">
      <c r="I537" s="137" t="s">
        <v>74</v>
      </c>
    </row>
    <row r="538" spans="9:9" x14ac:dyDescent="0.2">
      <c r="I538" s="137" t="s">
        <v>74</v>
      </c>
    </row>
    <row r="539" spans="9:9" x14ac:dyDescent="0.2">
      <c r="I539" s="137" t="s">
        <v>74</v>
      </c>
    </row>
    <row r="540" spans="9:9" x14ac:dyDescent="0.2">
      <c r="I540" s="137" t="s">
        <v>74</v>
      </c>
    </row>
    <row r="541" spans="9:9" x14ac:dyDescent="0.2">
      <c r="I541" s="137" t="s">
        <v>74</v>
      </c>
    </row>
    <row r="542" spans="9:9" x14ac:dyDescent="0.2">
      <c r="I542" s="137" t="s">
        <v>74</v>
      </c>
    </row>
    <row r="543" spans="9:9" x14ac:dyDescent="0.2">
      <c r="I543" s="137" t="s">
        <v>74</v>
      </c>
    </row>
    <row r="544" spans="9:9" x14ac:dyDescent="0.2">
      <c r="I544" s="137" t="s">
        <v>74</v>
      </c>
    </row>
    <row r="545" spans="9:9" x14ac:dyDescent="0.2">
      <c r="I545" s="137" t="s">
        <v>74</v>
      </c>
    </row>
    <row r="546" spans="9:9" x14ac:dyDescent="0.2">
      <c r="I546" s="137" t="s">
        <v>74</v>
      </c>
    </row>
    <row r="547" spans="9:9" x14ac:dyDescent="0.2">
      <c r="I547" s="137" t="s">
        <v>74</v>
      </c>
    </row>
    <row r="548" spans="9:9" x14ac:dyDescent="0.2">
      <c r="I548" s="137" t="s">
        <v>74</v>
      </c>
    </row>
    <row r="549" spans="9:9" x14ac:dyDescent="0.2">
      <c r="I549" s="137" t="s">
        <v>74</v>
      </c>
    </row>
    <row r="550" spans="9:9" x14ac:dyDescent="0.2">
      <c r="I550" s="137" t="s">
        <v>74</v>
      </c>
    </row>
    <row r="551" spans="9:9" x14ac:dyDescent="0.2">
      <c r="I551" s="137" t="s">
        <v>74</v>
      </c>
    </row>
    <row r="552" spans="9:9" x14ac:dyDescent="0.2">
      <c r="I552" s="137" t="s">
        <v>74</v>
      </c>
    </row>
    <row r="553" spans="9:9" x14ac:dyDescent="0.2">
      <c r="I553" s="137" t="s">
        <v>74</v>
      </c>
    </row>
    <row r="554" spans="9:9" x14ac:dyDescent="0.2">
      <c r="I554" s="137" t="s">
        <v>74</v>
      </c>
    </row>
    <row r="555" spans="9:9" x14ac:dyDescent="0.2">
      <c r="I555" s="137" t="s">
        <v>74</v>
      </c>
    </row>
    <row r="556" spans="9:9" x14ac:dyDescent="0.2">
      <c r="I556" s="137" t="s">
        <v>74</v>
      </c>
    </row>
    <row r="557" spans="9:9" x14ac:dyDescent="0.2">
      <c r="I557" s="137" t="s">
        <v>74</v>
      </c>
    </row>
    <row r="558" spans="9:9" x14ac:dyDescent="0.2">
      <c r="I558" s="137" t="s">
        <v>74</v>
      </c>
    </row>
    <row r="559" spans="9:9" x14ac:dyDescent="0.2">
      <c r="I559" s="137" t="s">
        <v>74</v>
      </c>
    </row>
    <row r="560" spans="9:9" x14ac:dyDescent="0.2">
      <c r="I560" s="137" t="s">
        <v>74</v>
      </c>
    </row>
    <row r="561" spans="9:9" x14ac:dyDescent="0.2">
      <c r="I561" s="137" t="s">
        <v>74</v>
      </c>
    </row>
    <row r="562" spans="9:9" x14ac:dyDescent="0.2">
      <c r="I562" s="137" t="s">
        <v>74</v>
      </c>
    </row>
    <row r="563" spans="9:9" x14ac:dyDescent="0.2">
      <c r="I563" s="137" t="s">
        <v>74</v>
      </c>
    </row>
    <row r="564" spans="9:9" x14ac:dyDescent="0.2">
      <c r="I564" s="137" t="s">
        <v>74</v>
      </c>
    </row>
    <row r="565" spans="9:9" x14ac:dyDescent="0.2">
      <c r="I565" s="137" t="s">
        <v>74</v>
      </c>
    </row>
    <row r="566" spans="9:9" x14ac:dyDescent="0.2">
      <c r="I566" s="137" t="s">
        <v>74</v>
      </c>
    </row>
    <row r="567" spans="9:9" x14ac:dyDescent="0.2">
      <c r="I567" s="137" t="s">
        <v>74</v>
      </c>
    </row>
    <row r="568" spans="9:9" x14ac:dyDescent="0.2">
      <c r="I568" s="137" t="s">
        <v>74</v>
      </c>
    </row>
    <row r="569" spans="9:9" x14ac:dyDescent="0.2">
      <c r="I569" s="137" t="s">
        <v>74</v>
      </c>
    </row>
    <row r="570" spans="9:9" x14ac:dyDescent="0.2">
      <c r="I570" s="137" t="s">
        <v>74</v>
      </c>
    </row>
    <row r="571" spans="9:9" x14ac:dyDescent="0.2">
      <c r="I571" s="137" t="s">
        <v>74</v>
      </c>
    </row>
    <row r="572" spans="9:9" x14ac:dyDescent="0.2">
      <c r="I572" s="137" t="s">
        <v>74</v>
      </c>
    </row>
    <row r="573" spans="9:9" x14ac:dyDescent="0.2">
      <c r="I573" s="137" t="s">
        <v>74</v>
      </c>
    </row>
    <row r="574" spans="9:9" x14ac:dyDescent="0.2">
      <c r="I574" s="137" t="s">
        <v>74</v>
      </c>
    </row>
    <row r="575" spans="9:9" x14ac:dyDescent="0.2">
      <c r="I575" s="137" t="s">
        <v>74</v>
      </c>
    </row>
    <row r="576" spans="9:9" x14ac:dyDescent="0.2">
      <c r="I576" s="137" t="s">
        <v>74</v>
      </c>
    </row>
    <row r="577" spans="9:9" x14ac:dyDescent="0.2">
      <c r="I577" s="137" t="s">
        <v>74</v>
      </c>
    </row>
    <row r="578" spans="9:9" x14ac:dyDescent="0.2">
      <c r="I578" s="137" t="s">
        <v>74</v>
      </c>
    </row>
    <row r="579" spans="9:9" x14ac:dyDescent="0.2">
      <c r="I579" s="137" t="s">
        <v>74</v>
      </c>
    </row>
    <row r="580" spans="9:9" x14ac:dyDescent="0.2">
      <c r="I580" s="137" t="s">
        <v>74</v>
      </c>
    </row>
    <row r="581" spans="9:9" x14ac:dyDescent="0.2">
      <c r="I581" s="137" t="s">
        <v>74</v>
      </c>
    </row>
    <row r="582" spans="9:9" x14ac:dyDescent="0.2">
      <c r="I582" s="137" t="s">
        <v>74</v>
      </c>
    </row>
    <row r="583" spans="9:9" x14ac:dyDescent="0.2">
      <c r="I583" s="137" t="s">
        <v>74</v>
      </c>
    </row>
    <row r="584" spans="9:9" x14ac:dyDescent="0.2">
      <c r="I584" s="137" t="s">
        <v>74</v>
      </c>
    </row>
    <row r="585" spans="9:9" x14ac:dyDescent="0.2">
      <c r="I585" s="137" t="s">
        <v>74</v>
      </c>
    </row>
    <row r="586" spans="9:9" x14ac:dyDescent="0.2">
      <c r="I586" s="137" t="s">
        <v>74</v>
      </c>
    </row>
    <row r="587" spans="9:9" x14ac:dyDescent="0.2">
      <c r="I587" s="137" t="s">
        <v>74</v>
      </c>
    </row>
    <row r="588" spans="9:9" x14ac:dyDescent="0.2">
      <c r="I588" s="137" t="s">
        <v>74</v>
      </c>
    </row>
    <row r="589" spans="9:9" x14ac:dyDescent="0.2">
      <c r="I589" s="137" t="s">
        <v>74</v>
      </c>
    </row>
    <row r="590" spans="9:9" x14ac:dyDescent="0.2">
      <c r="I590" s="137" t="s">
        <v>74</v>
      </c>
    </row>
    <row r="591" spans="9:9" x14ac:dyDescent="0.2">
      <c r="I591" s="137" t="s">
        <v>74</v>
      </c>
    </row>
    <row r="592" spans="9:9" x14ac:dyDescent="0.2">
      <c r="I592" s="137" t="s">
        <v>74</v>
      </c>
    </row>
    <row r="593" spans="9:9" x14ac:dyDescent="0.2">
      <c r="I593" s="137" t="s">
        <v>74</v>
      </c>
    </row>
    <row r="594" spans="9:9" x14ac:dyDescent="0.2">
      <c r="I594" s="137" t="s">
        <v>74</v>
      </c>
    </row>
    <row r="595" spans="9:9" x14ac:dyDescent="0.2">
      <c r="I595" s="137" t="s">
        <v>74</v>
      </c>
    </row>
    <row r="596" spans="9:9" x14ac:dyDescent="0.2">
      <c r="I596" s="137" t="s">
        <v>74</v>
      </c>
    </row>
    <row r="597" spans="9:9" x14ac:dyDescent="0.2">
      <c r="I597" s="137" t="s">
        <v>74</v>
      </c>
    </row>
    <row r="598" spans="9:9" x14ac:dyDescent="0.2">
      <c r="I598" s="137" t="s">
        <v>74</v>
      </c>
    </row>
    <row r="599" spans="9:9" x14ac:dyDescent="0.2">
      <c r="I599" s="137" t="s">
        <v>74</v>
      </c>
    </row>
    <row r="600" spans="9:9" x14ac:dyDescent="0.2">
      <c r="I600" s="137" t="s">
        <v>74</v>
      </c>
    </row>
    <row r="601" spans="9:9" x14ac:dyDescent="0.2">
      <c r="I601" s="137" t="s">
        <v>74</v>
      </c>
    </row>
    <row r="602" spans="9:9" x14ac:dyDescent="0.2">
      <c r="I602" s="137" t="s">
        <v>74</v>
      </c>
    </row>
    <row r="603" spans="9:9" x14ac:dyDescent="0.2">
      <c r="I603" s="137" t="s">
        <v>74</v>
      </c>
    </row>
    <row r="604" spans="9:9" x14ac:dyDescent="0.2">
      <c r="I604" s="137" t="s">
        <v>74</v>
      </c>
    </row>
    <row r="605" spans="9:9" x14ac:dyDescent="0.2">
      <c r="I605" s="137" t="s">
        <v>74</v>
      </c>
    </row>
    <row r="606" spans="9:9" x14ac:dyDescent="0.2">
      <c r="I606" s="137" t="s">
        <v>74</v>
      </c>
    </row>
    <row r="607" spans="9:9" x14ac:dyDescent="0.2">
      <c r="I607" s="137" t="s">
        <v>74</v>
      </c>
    </row>
    <row r="608" spans="9:9" x14ac:dyDescent="0.2">
      <c r="I608" s="137" t="s">
        <v>74</v>
      </c>
    </row>
    <row r="609" spans="9:9" x14ac:dyDescent="0.2">
      <c r="I609" s="137" t="s">
        <v>74</v>
      </c>
    </row>
    <row r="610" spans="9:9" x14ac:dyDescent="0.2">
      <c r="I610" s="137" t="s">
        <v>74</v>
      </c>
    </row>
    <row r="611" spans="9:9" x14ac:dyDescent="0.2">
      <c r="I611" s="137" t="s">
        <v>74</v>
      </c>
    </row>
    <row r="612" spans="9:9" x14ac:dyDescent="0.2">
      <c r="I612" s="137" t="s">
        <v>74</v>
      </c>
    </row>
    <row r="613" spans="9:9" x14ac:dyDescent="0.2">
      <c r="I613" s="137" t="s">
        <v>74</v>
      </c>
    </row>
    <row r="614" spans="9:9" x14ac:dyDescent="0.2">
      <c r="I614" s="137" t="s">
        <v>74</v>
      </c>
    </row>
    <row r="615" spans="9:9" x14ac:dyDescent="0.2">
      <c r="I615" s="137" t="s">
        <v>74</v>
      </c>
    </row>
    <row r="616" spans="9:9" x14ac:dyDescent="0.2">
      <c r="I616" s="137" t="s">
        <v>74</v>
      </c>
    </row>
    <row r="617" spans="9:9" x14ac:dyDescent="0.2">
      <c r="I617" s="137" t="s">
        <v>74</v>
      </c>
    </row>
    <row r="618" spans="9:9" x14ac:dyDescent="0.2">
      <c r="I618" s="137" t="s">
        <v>74</v>
      </c>
    </row>
    <row r="619" spans="9:9" x14ac:dyDescent="0.2">
      <c r="I619" s="137" t="s">
        <v>74</v>
      </c>
    </row>
    <row r="620" spans="9:9" x14ac:dyDescent="0.2">
      <c r="I620" s="137" t="s">
        <v>74</v>
      </c>
    </row>
    <row r="621" spans="9:9" x14ac:dyDescent="0.2">
      <c r="I621" s="137" t="s">
        <v>74</v>
      </c>
    </row>
    <row r="622" spans="9:9" x14ac:dyDescent="0.2">
      <c r="I622" s="137" t="s">
        <v>74</v>
      </c>
    </row>
    <row r="623" spans="9:9" x14ac:dyDescent="0.2">
      <c r="I623" s="137" t="s">
        <v>74</v>
      </c>
    </row>
    <row r="624" spans="9:9" x14ac:dyDescent="0.2">
      <c r="I624" s="137" t="s">
        <v>74</v>
      </c>
    </row>
    <row r="625" spans="9:9" x14ac:dyDescent="0.2">
      <c r="I625" s="137" t="s">
        <v>74</v>
      </c>
    </row>
    <row r="626" spans="9:9" x14ac:dyDescent="0.2">
      <c r="I626" s="137" t="s">
        <v>74</v>
      </c>
    </row>
    <row r="627" spans="9:9" x14ac:dyDescent="0.2">
      <c r="I627" s="137" t="s">
        <v>74</v>
      </c>
    </row>
    <row r="628" spans="9:9" x14ac:dyDescent="0.2">
      <c r="I628" s="137" t="s">
        <v>74</v>
      </c>
    </row>
    <row r="629" spans="9:9" x14ac:dyDescent="0.2">
      <c r="I629" s="137" t="s">
        <v>74</v>
      </c>
    </row>
    <row r="630" spans="9:9" x14ac:dyDescent="0.2">
      <c r="I630" s="137" t="s">
        <v>74</v>
      </c>
    </row>
    <row r="631" spans="9:9" x14ac:dyDescent="0.2">
      <c r="I631" s="137" t="s">
        <v>74</v>
      </c>
    </row>
    <row r="632" spans="9:9" x14ac:dyDescent="0.2">
      <c r="I632" s="137" t="s">
        <v>74</v>
      </c>
    </row>
    <row r="633" spans="9:9" x14ac:dyDescent="0.2">
      <c r="I633" s="137" t="s">
        <v>74</v>
      </c>
    </row>
    <row r="634" spans="9:9" x14ac:dyDescent="0.2">
      <c r="I634" s="137" t="s">
        <v>74</v>
      </c>
    </row>
    <row r="635" spans="9:9" x14ac:dyDescent="0.2">
      <c r="I635" s="137" t="s">
        <v>74</v>
      </c>
    </row>
    <row r="636" spans="9:9" x14ac:dyDescent="0.2">
      <c r="I636" s="137" t="s">
        <v>74</v>
      </c>
    </row>
    <row r="637" spans="9:9" x14ac:dyDescent="0.2">
      <c r="I637" s="137" t="s">
        <v>74</v>
      </c>
    </row>
    <row r="638" spans="9:9" x14ac:dyDescent="0.2">
      <c r="I638" s="137" t="s">
        <v>74</v>
      </c>
    </row>
    <row r="639" spans="9:9" x14ac:dyDescent="0.2">
      <c r="I639" s="137" t="s">
        <v>74</v>
      </c>
    </row>
    <row r="640" spans="9:9" x14ac:dyDescent="0.2">
      <c r="I640" s="137" t="s">
        <v>74</v>
      </c>
    </row>
    <row r="641" spans="9:9" x14ac:dyDescent="0.2">
      <c r="I641" s="137" t="s">
        <v>74</v>
      </c>
    </row>
    <row r="642" spans="9:9" x14ac:dyDescent="0.2">
      <c r="I642" s="137" t="s">
        <v>74</v>
      </c>
    </row>
    <row r="643" spans="9:9" x14ac:dyDescent="0.2">
      <c r="I643" s="137" t="s">
        <v>74</v>
      </c>
    </row>
    <row r="644" spans="9:9" x14ac:dyDescent="0.2">
      <c r="I644" s="137" t="s">
        <v>74</v>
      </c>
    </row>
    <row r="645" spans="9:9" x14ac:dyDescent="0.2">
      <c r="I645" s="137" t="s">
        <v>74</v>
      </c>
    </row>
    <row r="646" spans="9:9" x14ac:dyDescent="0.2">
      <c r="I646" s="137" t="s">
        <v>74</v>
      </c>
    </row>
    <row r="647" spans="9:9" x14ac:dyDescent="0.2">
      <c r="I647" s="137" t="s">
        <v>74</v>
      </c>
    </row>
    <row r="648" spans="9:9" x14ac:dyDescent="0.2">
      <c r="I648" s="137" t="s">
        <v>74</v>
      </c>
    </row>
    <row r="649" spans="9:9" x14ac:dyDescent="0.2">
      <c r="I649" s="137" t="s">
        <v>74</v>
      </c>
    </row>
    <row r="650" spans="9:9" x14ac:dyDescent="0.2">
      <c r="I650" s="137" t="s">
        <v>74</v>
      </c>
    </row>
    <row r="651" spans="9:9" x14ac:dyDescent="0.2">
      <c r="I651" s="137" t="s">
        <v>74</v>
      </c>
    </row>
    <row r="652" spans="9:9" x14ac:dyDescent="0.2">
      <c r="I652" s="137" t="s">
        <v>74</v>
      </c>
    </row>
    <row r="653" spans="9:9" x14ac:dyDescent="0.2">
      <c r="I653" s="137" t="s">
        <v>74</v>
      </c>
    </row>
    <row r="654" spans="9:9" x14ac:dyDescent="0.2">
      <c r="I654" s="137" t="s">
        <v>74</v>
      </c>
    </row>
    <row r="655" spans="9:9" x14ac:dyDescent="0.2">
      <c r="I655" s="137" t="s">
        <v>74</v>
      </c>
    </row>
    <row r="656" spans="9:9" x14ac:dyDescent="0.2">
      <c r="I656" s="137" t="s">
        <v>74</v>
      </c>
    </row>
    <row r="657" spans="9:9" x14ac:dyDescent="0.2">
      <c r="I657" s="137" t="s">
        <v>74</v>
      </c>
    </row>
    <row r="658" spans="9:9" x14ac:dyDescent="0.2">
      <c r="I658" s="137" t="s">
        <v>74</v>
      </c>
    </row>
    <row r="659" spans="9:9" x14ac:dyDescent="0.2">
      <c r="I659" s="137" t="s">
        <v>74</v>
      </c>
    </row>
    <row r="660" spans="9:9" x14ac:dyDescent="0.2">
      <c r="I660" s="137" t="s">
        <v>74</v>
      </c>
    </row>
    <row r="661" spans="9:9" x14ac:dyDescent="0.2">
      <c r="I661" s="137" t="s">
        <v>74</v>
      </c>
    </row>
    <row r="662" spans="9:9" x14ac:dyDescent="0.2">
      <c r="I662" s="137" t="s">
        <v>74</v>
      </c>
    </row>
    <row r="663" spans="9:9" x14ac:dyDescent="0.2">
      <c r="I663" s="137" t="s">
        <v>74</v>
      </c>
    </row>
    <row r="664" spans="9:9" x14ac:dyDescent="0.2">
      <c r="I664" s="137" t="s">
        <v>74</v>
      </c>
    </row>
    <row r="665" spans="9:9" x14ac:dyDescent="0.2">
      <c r="I665" s="137" t="s">
        <v>74</v>
      </c>
    </row>
    <row r="666" spans="9:9" x14ac:dyDescent="0.2">
      <c r="I666" s="137" t="s">
        <v>74</v>
      </c>
    </row>
    <row r="667" spans="9:9" x14ac:dyDescent="0.2">
      <c r="I667" s="137" t="s">
        <v>74</v>
      </c>
    </row>
    <row r="668" spans="9:9" x14ac:dyDescent="0.2">
      <c r="I668" s="137" t="s">
        <v>74</v>
      </c>
    </row>
    <row r="669" spans="9:9" x14ac:dyDescent="0.2">
      <c r="I669" s="137" t="s">
        <v>74</v>
      </c>
    </row>
    <row r="670" spans="9:9" x14ac:dyDescent="0.2">
      <c r="I670" s="137" t="s">
        <v>74</v>
      </c>
    </row>
    <row r="671" spans="9:9" x14ac:dyDescent="0.2">
      <c r="I671" s="137" t="s">
        <v>74</v>
      </c>
    </row>
    <row r="672" spans="9:9" x14ac:dyDescent="0.2">
      <c r="I672" s="137" t="s">
        <v>74</v>
      </c>
    </row>
    <row r="673" spans="9:9" x14ac:dyDescent="0.2">
      <c r="I673" s="137" t="s">
        <v>74</v>
      </c>
    </row>
    <row r="674" spans="9:9" x14ac:dyDescent="0.2">
      <c r="I674" s="137" t="s">
        <v>74</v>
      </c>
    </row>
    <row r="675" spans="9:9" x14ac:dyDescent="0.2">
      <c r="I675" s="137" t="s">
        <v>74</v>
      </c>
    </row>
    <row r="676" spans="9:9" x14ac:dyDescent="0.2">
      <c r="I676" s="137" t="s">
        <v>74</v>
      </c>
    </row>
    <row r="677" spans="9:9" x14ac:dyDescent="0.2">
      <c r="I677" s="137" t="s">
        <v>74</v>
      </c>
    </row>
    <row r="678" spans="9:9" x14ac:dyDescent="0.2">
      <c r="I678" s="137" t="s">
        <v>74</v>
      </c>
    </row>
    <row r="679" spans="9:9" x14ac:dyDescent="0.2">
      <c r="I679" s="137" t="s">
        <v>74</v>
      </c>
    </row>
    <row r="680" spans="9:9" x14ac:dyDescent="0.2">
      <c r="I680" s="137" t="s">
        <v>74</v>
      </c>
    </row>
    <row r="681" spans="9:9" x14ac:dyDescent="0.2">
      <c r="I681" s="137" t="s">
        <v>74</v>
      </c>
    </row>
    <row r="682" spans="9:9" x14ac:dyDescent="0.2">
      <c r="I682" s="137" t="s">
        <v>74</v>
      </c>
    </row>
    <row r="683" spans="9:9" x14ac:dyDescent="0.2">
      <c r="I683" s="137" t="s">
        <v>74</v>
      </c>
    </row>
    <row r="684" spans="9:9" x14ac:dyDescent="0.2">
      <c r="I684" s="137" t="s">
        <v>74</v>
      </c>
    </row>
    <row r="685" spans="9:9" x14ac:dyDescent="0.2">
      <c r="I685" s="137" t="s">
        <v>74</v>
      </c>
    </row>
    <row r="686" spans="9:9" x14ac:dyDescent="0.2">
      <c r="I686" s="137" t="s">
        <v>74</v>
      </c>
    </row>
    <row r="687" spans="9:9" x14ac:dyDescent="0.2">
      <c r="I687" s="137" t="s">
        <v>74</v>
      </c>
    </row>
    <row r="688" spans="9:9" x14ac:dyDescent="0.2">
      <c r="I688" s="137" t="s">
        <v>74</v>
      </c>
    </row>
    <row r="689" spans="9:9" x14ac:dyDescent="0.2">
      <c r="I689" s="137" t="s">
        <v>74</v>
      </c>
    </row>
    <row r="690" spans="9:9" x14ac:dyDescent="0.2">
      <c r="I690" s="137" t="s">
        <v>74</v>
      </c>
    </row>
    <row r="691" spans="9:9" x14ac:dyDescent="0.2">
      <c r="I691" s="137" t="s">
        <v>74</v>
      </c>
    </row>
    <row r="692" spans="9:9" x14ac:dyDescent="0.2">
      <c r="I692" s="137" t="s">
        <v>74</v>
      </c>
    </row>
    <row r="693" spans="9:9" x14ac:dyDescent="0.2">
      <c r="I693" s="137" t="s">
        <v>74</v>
      </c>
    </row>
    <row r="694" spans="9:9" x14ac:dyDescent="0.2">
      <c r="I694" s="137" t="s">
        <v>74</v>
      </c>
    </row>
    <row r="695" spans="9:9" x14ac:dyDescent="0.2">
      <c r="I695" s="137" t="s">
        <v>74</v>
      </c>
    </row>
    <row r="696" spans="9:9" x14ac:dyDescent="0.2">
      <c r="I696" s="137" t="s">
        <v>74</v>
      </c>
    </row>
    <row r="697" spans="9:9" x14ac:dyDescent="0.2">
      <c r="I697" s="137" t="s">
        <v>74</v>
      </c>
    </row>
    <row r="698" spans="9:9" x14ac:dyDescent="0.2">
      <c r="I698" s="137" t="s">
        <v>74</v>
      </c>
    </row>
    <row r="699" spans="9:9" x14ac:dyDescent="0.2">
      <c r="I699" s="137" t="s">
        <v>74</v>
      </c>
    </row>
    <row r="700" spans="9:9" x14ac:dyDescent="0.2">
      <c r="I700" s="137" t="s">
        <v>74</v>
      </c>
    </row>
    <row r="701" spans="9:9" x14ac:dyDescent="0.2">
      <c r="I701" s="137" t="s">
        <v>74</v>
      </c>
    </row>
    <row r="702" spans="9:9" x14ac:dyDescent="0.2">
      <c r="I702" s="137" t="s">
        <v>74</v>
      </c>
    </row>
    <row r="703" spans="9:9" x14ac:dyDescent="0.2">
      <c r="I703" s="137" t="s">
        <v>74</v>
      </c>
    </row>
    <row r="704" spans="9:9" x14ac:dyDescent="0.2">
      <c r="I704" s="137" t="s">
        <v>74</v>
      </c>
    </row>
    <row r="705" spans="9:9" x14ac:dyDescent="0.2">
      <c r="I705" s="137" t="s">
        <v>74</v>
      </c>
    </row>
    <row r="706" spans="9:9" x14ac:dyDescent="0.2">
      <c r="I706" s="137" t="s">
        <v>74</v>
      </c>
    </row>
    <row r="707" spans="9:9" x14ac:dyDescent="0.2">
      <c r="I707" s="137" t="s">
        <v>74</v>
      </c>
    </row>
    <row r="708" spans="9:9" x14ac:dyDescent="0.2">
      <c r="I708" s="137" t="s">
        <v>74</v>
      </c>
    </row>
    <row r="709" spans="9:9" x14ac:dyDescent="0.2">
      <c r="I709" s="137" t="s">
        <v>74</v>
      </c>
    </row>
    <row r="710" spans="9:9" x14ac:dyDescent="0.2">
      <c r="I710" s="137" t="s">
        <v>74</v>
      </c>
    </row>
    <row r="711" spans="9:9" x14ac:dyDescent="0.2">
      <c r="I711" s="137" t="s">
        <v>74</v>
      </c>
    </row>
    <row r="712" spans="9:9" x14ac:dyDescent="0.2">
      <c r="I712" s="137" t="s">
        <v>74</v>
      </c>
    </row>
    <row r="713" spans="9:9" x14ac:dyDescent="0.2">
      <c r="I713" s="137" t="s">
        <v>74</v>
      </c>
    </row>
    <row r="714" spans="9:9" x14ac:dyDescent="0.2">
      <c r="I714" s="137" t="s">
        <v>74</v>
      </c>
    </row>
    <row r="715" spans="9:9" x14ac:dyDescent="0.2">
      <c r="I715" s="137" t="s">
        <v>74</v>
      </c>
    </row>
    <row r="716" spans="9:9" x14ac:dyDescent="0.2">
      <c r="I716" s="137" t="s">
        <v>74</v>
      </c>
    </row>
    <row r="717" spans="9:9" x14ac:dyDescent="0.2">
      <c r="I717" s="137" t="s">
        <v>74</v>
      </c>
    </row>
    <row r="718" spans="9:9" x14ac:dyDescent="0.2">
      <c r="I718" s="137" t="s">
        <v>74</v>
      </c>
    </row>
    <row r="719" spans="9:9" x14ac:dyDescent="0.2">
      <c r="I719" s="137" t="s">
        <v>74</v>
      </c>
    </row>
    <row r="720" spans="9:9" x14ac:dyDescent="0.2">
      <c r="I720" s="137" t="s">
        <v>74</v>
      </c>
    </row>
    <row r="721" spans="9:9" x14ac:dyDescent="0.2">
      <c r="I721" s="137" t="s">
        <v>74</v>
      </c>
    </row>
    <row r="722" spans="9:9" x14ac:dyDescent="0.2">
      <c r="I722" s="137" t="s">
        <v>74</v>
      </c>
    </row>
    <row r="723" spans="9:9" x14ac:dyDescent="0.2">
      <c r="I723" s="137" t="s">
        <v>74</v>
      </c>
    </row>
    <row r="724" spans="9:9" x14ac:dyDescent="0.2">
      <c r="I724" s="137" t="s">
        <v>74</v>
      </c>
    </row>
    <row r="725" spans="9:9" x14ac:dyDescent="0.2">
      <c r="I725" s="137" t="s">
        <v>74</v>
      </c>
    </row>
    <row r="726" spans="9:9" x14ac:dyDescent="0.2">
      <c r="I726" s="137" t="s">
        <v>74</v>
      </c>
    </row>
    <row r="727" spans="9:9" x14ac:dyDescent="0.2">
      <c r="I727" s="137" t="s">
        <v>74</v>
      </c>
    </row>
    <row r="728" spans="9:9" x14ac:dyDescent="0.2">
      <c r="I728" s="137" t="s">
        <v>74</v>
      </c>
    </row>
    <row r="729" spans="9:9" x14ac:dyDescent="0.2">
      <c r="I729" s="137" t="s">
        <v>74</v>
      </c>
    </row>
    <row r="730" spans="9:9" x14ac:dyDescent="0.2">
      <c r="I730" s="137" t="s">
        <v>74</v>
      </c>
    </row>
    <row r="731" spans="9:9" x14ac:dyDescent="0.2">
      <c r="I731" s="137" t="s">
        <v>74</v>
      </c>
    </row>
    <row r="732" spans="9:9" x14ac:dyDescent="0.2">
      <c r="I732" s="137" t="s">
        <v>74</v>
      </c>
    </row>
    <row r="733" spans="9:9" x14ac:dyDescent="0.2">
      <c r="I733" s="137" t="s">
        <v>74</v>
      </c>
    </row>
    <row r="734" spans="9:9" x14ac:dyDescent="0.2">
      <c r="I734" s="137" t="s">
        <v>74</v>
      </c>
    </row>
    <row r="735" spans="9:9" x14ac:dyDescent="0.2">
      <c r="I735" s="137" t="s">
        <v>74</v>
      </c>
    </row>
    <row r="736" spans="9:9" x14ac:dyDescent="0.2">
      <c r="I736" s="137" t="s">
        <v>74</v>
      </c>
    </row>
    <row r="737" spans="9:9" x14ac:dyDescent="0.2">
      <c r="I737" s="137" t="s">
        <v>74</v>
      </c>
    </row>
    <row r="738" spans="9:9" x14ac:dyDescent="0.2">
      <c r="I738" s="137" t="s">
        <v>74</v>
      </c>
    </row>
    <row r="739" spans="9:9" x14ac:dyDescent="0.2">
      <c r="I739" s="137" t="s">
        <v>74</v>
      </c>
    </row>
    <row r="740" spans="9:9" x14ac:dyDescent="0.2">
      <c r="I740" s="137" t="s">
        <v>74</v>
      </c>
    </row>
    <row r="741" spans="9:9" x14ac:dyDescent="0.2">
      <c r="I741" s="137" t="s">
        <v>74</v>
      </c>
    </row>
    <row r="742" spans="9:9" x14ac:dyDescent="0.2">
      <c r="I742" s="137" t="s">
        <v>74</v>
      </c>
    </row>
    <row r="743" spans="9:9" x14ac:dyDescent="0.2">
      <c r="I743" s="137" t="s">
        <v>74</v>
      </c>
    </row>
    <row r="744" spans="9:9" x14ac:dyDescent="0.2">
      <c r="I744" s="137" t="s">
        <v>74</v>
      </c>
    </row>
    <row r="745" spans="9:9" x14ac:dyDescent="0.2">
      <c r="I745" s="137" t="s">
        <v>74</v>
      </c>
    </row>
    <row r="746" spans="9:9" x14ac:dyDescent="0.2">
      <c r="I746" s="137" t="s">
        <v>74</v>
      </c>
    </row>
    <row r="747" spans="9:9" x14ac:dyDescent="0.2">
      <c r="I747" s="137" t="s">
        <v>74</v>
      </c>
    </row>
    <row r="748" spans="9:9" x14ac:dyDescent="0.2">
      <c r="I748" s="137" t="s">
        <v>74</v>
      </c>
    </row>
    <row r="749" spans="9:9" x14ac:dyDescent="0.2">
      <c r="I749" s="137" t="s">
        <v>74</v>
      </c>
    </row>
    <row r="750" spans="9:9" x14ac:dyDescent="0.2">
      <c r="I750" s="137" t="s">
        <v>74</v>
      </c>
    </row>
    <row r="751" spans="9:9" x14ac:dyDescent="0.2">
      <c r="I751" s="137" t="s">
        <v>74</v>
      </c>
    </row>
    <row r="752" spans="9:9" x14ac:dyDescent="0.2">
      <c r="I752" s="137" t="s">
        <v>74</v>
      </c>
    </row>
    <row r="753" spans="9:9" x14ac:dyDescent="0.2">
      <c r="I753" s="137" t="s">
        <v>74</v>
      </c>
    </row>
    <row r="754" spans="9:9" x14ac:dyDescent="0.2">
      <c r="I754" s="137" t="s">
        <v>74</v>
      </c>
    </row>
    <row r="755" spans="9:9" x14ac:dyDescent="0.2">
      <c r="I755" s="137" t="s">
        <v>74</v>
      </c>
    </row>
    <row r="756" spans="9:9" x14ac:dyDescent="0.2">
      <c r="I756" s="137" t="s">
        <v>74</v>
      </c>
    </row>
    <row r="757" spans="9:9" x14ac:dyDescent="0.2">
      <c r="I757" s="137" t="s">
        <v>74</v>
      </c>
    </row>
    <row r="758" spans="9:9" x14ac:dyDescent="0.2">
      <c r="I758" s="137" t="s">
        <v>74</v>
      </c>
    </row>
    <row r="759" spans="9:9" x14ac:dyDescent="0.2">
      <c r="I759" s="137" t="s">
        <v>74</v>
      </c>
    </row>
    <row r="760" spans="9:9" x14ac:dyDescent="0.2">
      <c r="I760" s="137" t="s">
        <v>74</v>
      </c>
    </row>
    <row r="761" spans="9:9" x14ac:dyDescent="0.2">
      <c r="I761" s="137" t="s">
        <v>74</v>
      </c>
    </row>
    <row r="762" spans="9:9" x14ac:dyDescent="0.2">
      <c r="I762" s="137" t="s">
        <v>74</v>
      </c>
    </row>
    <row r="763" spans="9:9" x14ac:dyDescent="0.2">
      <c r="I763" s="137" t="s">
        <v>74</v>
      </c>
    </row>
    <row r="764" spans="9:9" x14ac:dyDescent="0.2">
      <c r="I764" s="137" t="s">
        <v>74</v>
      </c>
    </row>
    <row r="765" spans="9:9" x14ac:dyDescent="0.2">
      <c r="I765" s="137" t="s">
        <v>74</v>
      </c>
    </row>
    <row r="766" spans="9:9" x14ac:dyDescent="0.2">
      <c r="I766" s="137" t="s">
        <v>74</v>
      </c>
    </row>
    <row r="767" spans="9:9" x14ac:dyDescent="0.2">
      <c r="I767" s="137" t="s">
        <v>74</v>
      </c>
    </row>
    <row r="768" spans="9:9" x14ac:dyDescent="0.2">
      <c r="I768" s="137" t="s">
        <v>74</v>
      </c>
    </row>
    <row r="769" spans="9:9" x14ac:dyDescent="0.2">
      <c r="I769" s="137" t="s">
        <v>74</v>
      </c>
    </row>
    <row r="770" spans="9:9" x14ac:dyDescent="0.2">
      <c r="I770" s="137" t="s">
        <v>74</v>
      </c>
    </row>
    <row r="771" spans="9:9" x14ac:dyDescent="0.2">
      <c r="I771" s="137" t="s">
        <v>74</v>
      </c>
    </row>
    <row r="772" spans="9:9" x14ac:dyDescent="0.2">
      <c r="I772" s="137" t="s">
        <v>74</v>
      </c>
    </row>
    <row r="773" spans="9:9" x14ac:dyDescent="0.2">
      <c r="I773" s="137" t="s">
        <v>74</v>
      </c>
    </row>
    <row r="774" spans="9:9" x14ac:dyDescent="0.2">
      <c r="I774" s="137" t="s">
        <v>74</v>
      </c>
    </row>
    <row r="775" spans="9:9" x14ac:dyDescent="0.2">
      <c r="I775" s="137" t="s">
        <v>74</v>
      </c>
    </row>
    <row r="776" spans="9:9" x14ac:dyDescent="0.2">
      <c r="I776" s="137" t="s">
        <v>74</v>
      </c>
    </row>
    <row r="777" spans="9:9" x14ac:dyDescent="0.2">
      <c r="I777" s="137" t="s">
        <v>74</v>
      </c>
    </row>
    <row r="778" spans="9:9" x14ac:dyDescent="0.2">
      <c r="I778" s="137" t="s">
        <v>74</v>
      </c>
    </row>
    <row r="779" spans="9:9" x14ac:dyDescent="0.2">
      <c r="I779" s="137" t="s">
        <v>74</v>
      </c>
    </row>
    <row r="780" spans="9:9" x14ac:dyDescent="0.2">
      <c r="I780" s="137" t="s">
        <v>74</v>
      </c>
    </row>
    <row r="781" spans="9:9" x14ac:dyDescent="0.2">
      <c r="I781" s="137" t="s">
        <v>74</v>
      </c>
    </row>
    <row r="782" spans="9:9" x14ac:dyDescent="0.2">
      <c r="I782" s="137" t="s">
        <v>74</v>
      </c>
    </row>
    <row r="783" spans="9:9" x14ac:dyDescent="0.2">
      <c r="I783" s="137" t="s">
        <v>74</v>
      </c>
    </row>
    <row r="784" spans="9:9" x14ac:dyDescent="0.2">
      <c r="I784" s="137" t="s">
        <v>74</v>
      </c>
    </row>
    <row r="785" spans="9:9" x14ac:dyDescent="0.2">
      <c r="I785" s="137" t="s">
        <v>74</v>
      </c>
    </row>
    <row r="786" spans="9:9" x14ac:dyDescent="0.2">
      <c r="I786" s="137" t="s">
        <v>74</v>
      </c>
    </row>
    <row r="787" spans="9:9" x14ac:dyDescent="0.2">
      <c r="I787" s="137" t="s">
        <v>74</v>
      </c>
    </row>
    <row r="788" spans="9:9" x14ac:dyDescent="0.2">
      <c r="I788" s="137" t="s">
        <v>74</v>
      </c>
    </row>
    <row r="789" spans="9:9" x14ac:dyDescent="0.2">
      <c r="I789" s="137" t="s">
        <v>74</v>
      </c>
    </row>
    <row r="790" spans="9:9" x14ac:dyDescent="0.2">
      <c r="I790" s="137" t="s">
        <v>74</v>
      </c>
    </row>
    <row r="791" spans="9:9" x14ac:dyDescent="0.2">
      <c r="I791" s="137" t="s">
        <v>74</v>
      </c>
    </row>
    <row r="792" spans="9:9" x14ac:dyDescent="0.2">
      <c r="I792" s="137" t="s">
        <v>74</v>
      </c>
    </row>
    <row r="793" spans="9:9" x14ac:dyDescent="0.2">
      <c r="I793" s="137" t="s">
        <v>74</v>
      </c>
    </row>
    <row r="794" spans="9:9" x14ac:dyDescent="0.2">
      <c r="I794" s="137" t="s">
        <v>74</v>
      </c>
    </row>
    <row r="795" spans="9:9" x14ac:dyDescent="0.2">
      <c r="I795" s="137" t="s">
        <v>74</v>
      </c>
    </row>
    <row r="796" spans="9:9" x14ac:dyDescent="0.2">
      <c r="I796" s="137" t="s">
        <v>74</v>
      </c>
    </row>
    <row r="797" spans="9:9" x14ac:dyDescent="0.2">
      <c r="I797" s="137" t="s">
        <v>74</v>
      </c>
    </row>
    <row r="798" spans="9:9" x14ac:dyDescent="0.2">
      <c r="I798" s="137" t="s">
        <v>74</v>
      </c>
    </row>
    <row r="799" spans="9:9" x14ac:dyDescent="0.2">
      <c r="I799" s="137" t="s">
        <v>74</v>
      </c>
    </row>
    <row r="800" spans="9:9" x14ac:dyDescent="0.2">
      <c r="I800" s="137" t="s">
        <v>74</v>
      </c>
    </row>
    <row r="801" spans="9:9" x14ac:dyDescent="0.2">
      <c r="I801" s="137" t="s">
        <v>74</v>
      </c>
    </row>
    <row r="802" spans="9:9" x14ac:dyDescent="0.2">
      <c r="I802" s="137" t="s">
        <v>74</v>
      </c>
    </row>
    <row r="803" spans="9:9" x14ac:dyDescent="0.2">
      <c r="I803" s="137" t="s">
        <v>74</v>
      </c>
    </row>
    <row r="804" spans="9:9" x14ac:dyDescent="0.2">
      <c r="I804" s="137" t="s">
        <v>74</v>
      </c>
    </row>
    <row r="805" spans="9:9" x14ac:dyDescent="0.2">
      <c r="I805" s="137" t="s">
        <v>74</v>
      </c>
    </row>
    <row r="806" spans="9:9" x14ac:dyDescent="0.2">
      <c r="I806" s="137" t="s">
        <v>74</v>
      </c>
    </row>
    <row r="807" spans="9:9" x14ac:dyDescent="0.2">
      <c r="I807" s="137" t="s">
        <v>74</v>
      </c>
    </row>
    <row r="808" spans="9:9" x14ac:dyDescent="0.2">
      <c r="I808" s="137" t="s">
        <v>74</v>
      </c>
    </row>
    <row r="809" spans="9:9" x14ac:dyDescent="0.2">
      <c r="I809" s="137" t="s">
        <v>74</v>
      </c>
    </row>
    <row r="810" spans="9:9" x14ac:dyDescent="0.2">
      <c r="I810" s="137" t="s">
        <v>74</v>
      </c>
    </row>
    <row r="811" spans="9:9" x14ac:dyDescent="0.2">
      <c r="I811" s="137" t="s">
        <v>74</v>
      </c>
    </row>
    <row r="812" spans="9:9" x14ac:dyDescent="0.2">
      <c r="I812" s="137" t="s">
        <v>74</v>
      </c>
    </row>
    <row r="813" spans="9:9" x14ac:dyDescent="0.2">
      <c r="I813" s="137" t="s">
        <v>74</v>
      </c>
    </row>
    <row r="814" spans="9:9" x14ac:dyDescent="0.2">
      <c r="I814" s="137" t="s">
        <v>74</v>
      </c>
    </row>
    <row r="815" spans="9:9" x14ac:dyDescent="0.2">
      <c r="I815" s="137" t="s">
        <v>74</v>
      </c>
    </row>
    <row r="816" spans="9:9" x14ac:dyDescent="0.2">
      <c r="I816" s="137" t="s">
        <v>74</v>
      </c>
    </row>
    <row r="817" spans="9:9" x14ac:dyDescent="0.2">
      <c r="I817" s="137" t="s">
        <v>74</v>
      </c>
    </row>
    <row r="818" spans="9:9" x14ac:dyDescent="0.2">
      <c r="I818" s="137" t="s">
        <v>74</v>
      </c>
    </row>
    <row r="819" spans="9:9" x14ac:dyDescent="0.2">
      <c r="I819" s="137" t="s">
        <v>74</v>
      </c>
    </row>
    <row r="820" spans="9:9" x14ac:dyDescent="0.2">
      <c r="I820" s="137" t="s">
        <v>74</v>
      </c>
    </row>
    <row r="821" spans="9:9" x14ac:dyDescent="0.2">
      <c r="I821" s="137" t="s">
        <v>74</v>
      </c>
    </row>
    <row r="822" spans="9:9" x14ac:dyDescent="0.2">
      <c r="I822" s="137" t="s">
        <v>74</v>
      </c>
    </row>
    <row r="823" spans="9:9" x14ac:dyDescent="0.2">
      <c r="I823" s="137" t="s">
        <v>74</v>
      </c>
    </row>
    <row r="824" spans="9:9" x14ac:dyDescent="0.2">
      <c r="I824" s="137" t="s">
        <v>74</v>
      </c>
    </row>
    <row r="825" spans="9:9" x14ac:dyDescent="0.2">
      <c r="I825" s="137" t="s">
        <v>74</v>
      </c>
    </row>
    <row r="826" spans="9:9" x14ac:dyDescent="0.2">
      <c r="I826" s="137" t="s">
        <v>74</v>
      </c>
    </row>
    <row r="827" spans="9:9" x14ac:dyDescent="0.2">
      <c r="I827" s="137" t="s">
        <v>74</v>
      </c>
    </row>
    <row r="828" spans="9:9" x14ac:dyDescent="0.2">
      <c r="I828" s="137" t="s">
        <v>74</v>
      </c>
    </row>
    <row r="829" spans="9:9" x14ac:dyDescent="0.2">
      <c r="I829" s="137" t="s">
        <v>74</v>
      </c>
    </row>
    <row r="830" spans="9:9" x14ac:dyDescent="0.2">
      <c r="I830" s="137" t="s">
        <v>74</v>
      </c>
    </row>
    <row r="831" spans="9:9" x14ac:dyDescent="0.2">
      <c r="I831" s="137" t="s">
        <v>74</v>
      </c>
    </row>
    <row r="832" spans="9:9" x14ac:dyDescent="0.2">
      <c r="I832" s="137" t="s">
        <v>74</v>
      </c>
    </row>
    <row r="833" spans="9:9" x14ac:dyDescent="0.2">
      <c r="I833" s="137" t="s">
        <v>74</v>
      </c>
    </row>
    <row r="834" spans="9:9" x14ac:dyDescent="0.2">
      <c r="I834" s="137" t="s">
        <v>74</v>
      </c>
    </row>
    <row r="835" spans="9:9" x14ac:dyDescent="0.2">
      <c r="I835" s="137" t="s">
        <v>74</v>
      </c>
    </row>
    <row r="836" spans="9:9" x14ac:dyDescent="0.2">
      <c r="I836" s="137" t="s">
        <v>74</v>
      </c>
    </row>
    <row r="837" spans="9:9" x14ac:dyDescent="0.2">
      <c r="I837" s="137" t="s">
        <v>74</v>
      </c>
    </row>
    <row r="838" spans="9:9" x14ac:dyDescent="0.2">
      <c r="I838" s="137" t="s">
        <v>74</v>
      </c>
    </row>
    <row r="839" spans="9:9" x14ac:dyDescent="0.2">
      <c r="I839" s="137" t="s">
        <v>74</v>
      </c>
    </row>
    <row r="840" spans="9:9" x14ac:dyDescent="0.2">
      <c r="I840" s="137" t="s">
        <v>74</v>
      </c>
    </row>
    <row r="841" spans="9:9" x14ac:dyDescent="0.2">
      <c r="I841" s="137" t="s">
        <v>74</v>
      </c>
    </row>
    <row r="842" spans="9:9" x14ac:dyDescent="0.2">
      <c r="I842" s="137" t="s">
        <v>74</v>
      </c>
    </row>
    <row r="843" spans="9:9" x14ac:dyDescent="0.2">
      <c r="I843" s="137" t="s">
        <v>74</v>
      </c>
    </row>
    <row r="844" spans="9:9" x14ac:dyDescent="0.2">
      <c r="I844" s="137" t="s">
        <v>74</v>
      </c>
    </row>
    <row r="845" spans="9:9" x14ac:dyDescent="0.2">
      <c r="I845" s="137" t="s">
        <v>74</v>
      </c>
    </row>
    <row r="846" spans="9:9" x14ac:dyDescent="0.2">
      <c r="I846" s="137" t="s">
        <v>74</v>
      </c>
    </row>
    <row r="847" spans="9:9" x14ac:dyDescent="0.2">
      <c r="I847" s="137" t="s">
        <v>74</v>
      </c>
    </row>
    <row r="848" spans="9:9" x14ac:dyDescent="0.2">
      <c r="I848" s="137" t="s">
        <v>74</v>
      </c>
    </row>
    <row r="849" spans="9:9" x14ac:dyDescent="0.2">
      <c r="I849" s="137" t="s">
        <v>74</v>
      </c>
    </row>
    <row r="850" spans="9:9" x14ac:dyDescent="0.2">
      <c r="I850" s="137" t="s">
        <v>74</v>
      </c>
    </row>
    <row r="851" spans="9:9" x14ac:dyDescent="0.2">
      <c r="I851" s="137" t="s">
        <v>74</v>
      </c>
    </row>
    <row r="852" spans="9:9" x14ac:dyDescent="0.2">
      <c r="I852" s="137" t="s">
        <v>74</v>
      </c>
    </row>
    <row r="853" spans="9:9" x14ac:dyDescent="0.2">
      <c r="I853" s="137" t="s">
        <v>74</v>
      </c>
    </row>
    <row r="854" spans="9:9" x14ac:dyDescent="0.2">
      <c r="I854" s="137" t="s">
        <v>74</v>
      </c>
    </row>
    <row r="855" spans="9:9" x14ac:dyDescent="0.2">
      <c r="I855" s="137" t="s">
        <v>74</v>
      </c>
    </row>
    <row r="856" spans="9:9" x14ac:dyDescent="0.2">
      <c r="I856" s="137" t="s">
        <v>74</v>
      </c>
    </row>
    <row r="857" spans="9:9" x14ac:dyDescent="0.2">
      <c r="I857" s="137" t="s">
        <v>74</v>
      </c>
    </row>
    <row r="858" spans="9:9" x14ac:dyDescent="0.2">
      <c r="I858" s="137" t="s">
        <v>74</v>
      </c>
    </row>
    <row r="859" spans="9:9" x14ac:dyDescent="0.2">
      <c r="I859" s="137" t="s">
        <v>74</v>
      </c>
    </row>
    <row r="860" spans="9:9" x14ac:dyDescent="0.2">
      <c r="I860" s="137" t="s">
        <v>74</v>
      </c>
    </row>
    <row r="861" spans="9:9" x14ac:dyDescent="0.2">
      <c r="I861" s="137" t="s">
        <v>74</v>
      </c>
    </row>
    <row r="862" spans="9:9" x14ac:dyDescent="0.2">
      <c r="I862" s="137" t="s">
        <v>74</v>
      </c>
    </row>
    <row r="863" spans="9:9" x14ac:dyDescent="0.2">
      <c r="I863" s="137" t="s">
        <v>74</v>
      </c>
    </row>
    <row r="864" spans="9:9" x14ac:dyDescent="0.2">
      <c r="I864" s="137" t="s">
        <v>74</v>
      </c>
    </row>
    <row r="865" spans="9:9" x14ac:dyDescent="0.2">
      <c r="I865" s="137" t="s">
        <v>74</v>
      </c>
    </row>
    <row r="866" spans="9:9" x14ac:dyDescent="0.2">
      <c r="I866" s="137" t="s">
        <v>74</v>
      </c>
    </row>
    <row r="867" spans="9:9" x14ac:dyDescent="0.2">
      <c r="I867" s="137" t="s">
        <v>74</v>
      </c>
    </row>
    <row r="868" spans="9:9" x14ac:dyDescent="0.2">
      <c r="I868" s="137" t="s">
        <v>74</v>
      </c>
    </row>
    <row r="869" spans="9:9" x14ac:dyDescent="0.2">
      <c r="I869" s="137" t="s">
        <v>74</v>
      </c>
    </row>
    <row r="870" spans="9:9" x14ac:dyDescent="0.2">
      <c r="I870" s="137" t="s">
        <v>74</v>
      </c>
    </row>
    <row r="871" spans="9:9" x14ac:dyDescent="0.2">
      <c r="I871" s="137" t="s">
        <v>74</v>
      </c>
    </row>
    <row r="872" spans="9:9" x14ac:dyDescent="0.2">
      <c r="I872" s="137" t="s">
        <v>74</v>
      </c>
    </row>
    <row r="873" spans="9:9" x14ac:dyDescent="0.2">
      <c r="I873" s="137" t="s">
        <v>74</v>
      </c>
    </row>
    <row r="874" spans="9:9" x14ac:dyDescent="0.2">
      <c r="I874" s="137" t="s">
        <v>74</v>
      </c>
    </row>
    <row r="875" spans="9:9" x14ac:dyDescent="0.2">
      <c r="I875" s="137" t="s">
        <v>74</v>
      </c>
    </row>
    <row r="876" spans="9:9" x14ac:dyDescent="0.2">
      <c r="I876" s="137" t="s">
        <v>74</v>
      </c>
    </row>
    <row r="877" spans="9:9" x14ac:dyDescent="0.2">
      <c r="I877" s="137" t="s">
        <v>74</v>
      </c>
    </row>
    <row r="878" spans="9:9" x14ac:dyDescent="0.2">
      <c r="I878" s="137" t="s">
        <v>74</v>
      </c>
    </row>
    <row r="879" spans="9:9" x14ac:dyDescent="0.2">
      <c r="I879" s="137" t="s">
        <v>74</v>
      </c>
    </row>
    <row r="880" spans="9:9" x14ac:dyDescent="0.2">
      <c r="I880" s="137" t="s">
        <v>74</v>
      </c>
    </row>
    <row r="881" spans="9:9" x14ac:dyDescent="0.2">
      <c r="I881" s="137" t="s">
        <v>74</v>
      </c>
    </row>
    <row r="882" spans="9:9" x14ac:dyDescent="0.2">
      <c r="I882" s="137" t="s">
        <v>74</v>
      </c>
    </row>
    <row r="883" spans="9:9" x14ac:dyDescent="0.2">
      <c r="I883" s="137" t="s">
        <v>74</v>
      </c>
    </row>
    <row r="884" spans="9:9" x14ac:dyDescent="0.2">
      <c r="I884" s="137" t="s">
        <v>74</v>
      </c>
    </row>
    <row r="885" spans="9:9" x14ac:dyDescent="0.2">
      <c r="I885" s="137" t="s">
        <v>74</v>
      </c>
    </row>
    <row r="886" spans="9:9" x14ac:dyDescent="0.2">
      <c r="I886" s="137" t="s">
        <v>74</v>
      </c>
    </row>
    <row r="887" spans="9:9" x14ac:dyDescent="0.2">
      <c r="I887" s="137" t="s">
        <v>74</v>
      </c>
    </row>
    <row r="888" spans="9:9" x14ac:dyDescent="0.2">
      <c r="I888" s="137" t="s">
        <v>74</v>
      </c>
    </row>
    <row r="889" spans="9:9" x14ac:dyDescent="0.2">
      <c r="I889" s="137" t="s">
        <v>74</v>
      </c>
    </row>
    <row r="890" spans="9:9" x14ac:dyDescent="0.2">
      <c r="I890" s="137" t="s">
        <v>74</v>
      </c>
    </row>
    <row r="891" spans="9:9" x14ac:dyDescent="0.2">
      <c r="I891" s="137" t="s">
        <v>74</v>
      </c>
    </row>
    <row r="892" spans="9:9" x14ac:dyDescent="0.2">
      <c r="I892" s="137" t="s">
        <v>74</v>
      </c>
    </row>
    <row r="893" spans="9:9" x14ac:dyDescent="0.2">
      <c r="I893" s="137" t="s">
        <v>74</v>
      </c>
    </row>
    <row r="894" spans="9:9" x14ac:dyDescent="0.2">
      <c r="I894" s="137" t="s">
        <v>74</v>
      </c>
    </row>
    <row r="895" spans="9:9" x14ac:dyDescent="0.2">
      <c r="I895" s="137" t="s">
        <v>74</v>
      </c>
    </row>
    <row r="896" spans="9:9" x14ac:dyDescent="0.2">
      <c r="I896" s="137" t="s">
        <v>74</v>
      </c>
    </row>
    <row r="897" spans="9:9" x14ac:dyDescent="0.2">
      <c r="I897" s="137" t="s">
        <v>74</v>
      </c>
    </row>
    <row r="898" spans="9:9" x14ac:dyDescent="0.2">
      <c r="I898" s="137" t="s">
        <v>74</v>
      </c>
    </row>
    <row r="899" spans="9:9" x14ac:dyDescent="0.2">
      <c r="I899" s="137" t="s">
        <v>74</v>
      </c>
    </row>
    <row r="900" spans="9:9" x14ac:dyDescent="0.2">
      <c r="I900" s="137" t="s">
        <v>74</v>
      </c>
    </row>
    <row r="901" spans="9:9" x14ac:dyDescent="0.2">
      <c r="I901" s="137" t="s">
        <v>74</v>
      </c>
    </row>
    <row r="902" spans="9:9" x14ac:dyDescent="0.2">
      <c r="I902" s="137" t="s">
        <v>74</v>
      </c>
    </row>
    <row r="903" spans="9:9" x14ac:dyDescent="0.2">
      <c r="I903" s="137" t="s">
        <v>74</v>
      </c>
    </row>
    <row r="904" spans="9:9" x14ac:dyDescent="0.2">
      <c r="I904" s="137" t="s">
        <v>74</v>
      </c>
    </row>
    <row r="905" spans="9:9" x14ac:dyDescent="0.2">
      <c r="I905" s="137" t="s">
        <v>74</v>
      </c>
    </row>
    <row r="906" spans="9:9" x14ac:dyDescent="0.2">
      <c r="I906" s="137" t="s">
        <v>74</v>
      </c>
    </row>
    <row r="907" spans="9:9" x14ac:dyDescent="0.2">
      <c r="I907" s="137" t="s">
        <v>74</v>
      </c>
    </row>
    <row r="908" spans="9:9" x14ac:dyDescent="0.2">
      <c r="I908" s="137" t="s">
        <v>74</v>
      </c>
    </row>
    <row r="909" spans="9:9" x14ac:dyDescent="0.2">
      <c r="I909" s="137" t="s">
        <v>74</v>
      </c>
    </row>
    <row r="910" spans="9:9" x14ac:dyDescent="0.2">
      <c r="I910" s="137" t="s">
        <v>74</v>
      </c>
    </row>
    <row r="911" spans="9:9" x14ac:dyDescent="0.2">
      <c r="I911" s="137" t="s">
        <v>74</v>
      </c>
    </row>
    <row r="912" spans="9:9" x14ac:dyDescent="0.2">
      <c r="I912" s="137" t="s">
        <v>74</v>
      </c>
    </row>
    <row r="913" spans="9:9" x14ac:dyDescent="0.2">
      <c r="I913" s="137" t="s">
        <v>74</v>
      </c>
    </row>
    <row r="914" spans="9:9" x14ac:dyDescent="0.2">
      <c r="I914" s="137" t="s">
        <v>74</v>
      </c>
    </row>
    <row r="915" spans="9:9" x14ac:dyDescent="0.2">
      <c r="I915" s="137" t="s">
        <v>74</v>
      </c>
    </row>
    <row r="916" spans="9:9" x14ac:dyDescent="0.2">
      <c r="I916" s="137" t="s">
        <v>74</v>
      </c>
    </row>
    <row r="917" spans="9:9" x14ac:dyDescent="0.2">
      <c r="I917" s="137" t="s">
        <v>74</v>
      </c>
    </row>
    <row r="918" spans="9:9" x14ac:dyDescent="0.2">
      <c r="I918" s="137" t="s">
        <v>74</v>
      </c>
    </row>
    <row r="919" spans="9:9" x14ac:dyDescent="0.2">
      <c r="I919" s="137" t="s">
        <v>74</v>
      </c>
    </row>
    <row r="920" spans="9:9" x14ac:dyDescent="0.2">
      <c r="I920" s="137" t="s">
        <v>74</v>
      </c>
    </row>
    <row r="921" spans="9:9" x14ac:dyDescent="0.2">
      <c r="I921" s="137" t="s">
        <v>74</v>
      </c>
    </row>
    <row r="922" spans="9:9" x14ac:dyDescent="0.2">
      <c r="I922" s="137" t="s">
        <v>74</v>
      </c>
    </row>
    <row r="923" spans="9:9" x14ac:dyDescent="0.2">
      <c r="I923" s="137" t="s">
        <v>74</v>
      </c>
    </row>
    <row r="924" spans="9:9" x14ac:dyDescent="0.2">
      <c r="I924" s="137" t="s">
        <v>74</v>
      </c>
    </row>
    <row r="925" spans="9:9" x14ac:dyDescent="0.2">
      <c r="I925" s="137" t="s">
        <v>74</v>
      </c>
    </row>
    <row r="926" spans="9:9" x14ac:dyDescent="0.2">
      <c r="I926" s="137" t="s">
        <v>74</v>
      </c>
    </row>
    <row r="927" spans="9:9" x14ac:dyDescent="0.2">
      <c r="I927" s="137" t="s">
        <v>74</v>
      </c>
    </row>
    <row r="928" spans="9:9" x14ac:dyDescent="0.2">
      <c r="I928" s="137" t="s">
        <v>74</v>
      </c>
    </row>
    <row r="929" spans="9:9" x14ac:dyDescent="0.2">
      <c r="I929" s="137" t="s">
        <v>74</v>
      </c>
    </row>
    <row r="930" spans="9:9" x14ac:dyDescent="0.2">
      <c r="I930" s="137" t="s">
        <v>74</v>
      </c>
    </row>
    <row r="931" spans="9:9" x14ac:dyDescent="0.2">
      <c r="I931" s="137" t="s">
        <v>74</v>
      </c>
    </row>
    <row r="932" spans="9:9" x14ac:dyDescent="0.2">
      <c r="I932" s="137" t="s">
        <v>74</v>
      </c>
    </row>
    <row r="933" spans="9:9" x14ac:dyDescent="0.2">
      <c r="I933" s="137" t="s">
        <v>74</v>
      </c>
    </row>
    <row r="934" spans="9:9" x14ac:dyDescent="0.2">
      <c r="I934" s="137" t="s">
        <v>74</v>
      </c>
    </row>
    <row r="935" spans="9:9" x14ac:dyDescent="0.2">
      <c r="I935" s="137" t="s">
        <v>74</v>
      </c>
    </row>
    <row r="936" spans="9:9" x14ac:dyDescent="0.2">
      <c r="I936" s="137" t="s">
        <v>74</v>
      </c>
    </row>
    <row r="937" spans="9:9" x14ac:dyDescent="0.2">
      <c r="I937" s="137" t="s">
        <v>74</v>
      </c>
    </row>
    <row r="938" spans="9:9" x14ac:dyDescent="0.2">
      <c r="I938" s="137" t="s">
        <v>74</v>
      </c>
    </row>
    <row r="939" spans="9:9" x14ac:dyDescent="0.2">
      <c r="I939" s="137" t="s">
        <v>74</v>
      </c>
    </row>
    <row r="940" spans="9:9" x14ac:dyDescent="0.2">
      <c r="I940" s="137" t="s">
        <v>74</v>
      </c>
    </row>
    <row r="941" spans="9:9" x14ac:dyDescent="0.2">
      <c r="I941" s="137" t="s">
        <v>74</v>
      </c>
    </row>
    <row r="942" spans="9:9" x14ac:dyDescent="0.2">
      <c r="I942" s="137" t="s">
        <v>74</v>
      </c>
    </row>
    <row r="943" spans="9:9" x14ac:dyDescent="0.2">
      <c r="I943" s="137" t="s">
        <v>74</v>
      </c>
    </row>
    <row r="944" spans="9:9" x14ac:dyDescent="0.2">
      <c r="I944" s="137" t="s">
        <v>74</v>
      </c>
    </row>
    <row r="945" spans="9:9" x14ac:dyDescent="0.2">
      <c r="I945" s="137" t="s">
        <v>74</v>
      </c>
    </row>
    <row r="946" spans="9:9" x14ac:dyDescent="0.2">
      <c r="I946" s="137" t="s">
        <v>74</v>
      </c>
    </row>
    <row r="947" spans="9:9" x14ac:dyDescent="0.2">
      <c r="I947" s="137" t="s">
        <v>74</v>
      </c>
    </row>
    <row r="948" spans="9:9" x14ac:dyDescent="0.2">
      <c r="I948" s="137" t="s">
        <v>74</v>
      </c>
    </row>
    <row r="949" spans="9:9" x14ac:dyDescent="0.2">
      <c r="I949" s="137" t="s">
        <v>74</v>
      </c>
    </row>
    <row r="950" spans="9:9" x14ac:dyDescent="0.2">
      <c r="I950" s="137" t="s">
        <v>74</v>
      </c>
    </row>
    <row r="951" spans="9:9" x14ac:dyDescent="0.2">
      <c r="I951" s="137" t="s">
        <v>74</v>
      </c>
    </row>
    <row r="952" spans="9:9" x14ac:dyDescent="0.2">
      <c r="I952" s="137" t="s">
        <v>74</v>
      </c>
    </row>
    <row r="953" spans="9:9" x14ac:dyDescent="0.2">
      <c r="I953" s="137" t="s">
        <v>74</v>
      </c>
    </row>
    <row r="954" spans="9:9" x14ac:dyDescent="0.2">
      <c r="I954" s="137" t="s">
        <v>74</v>
      </c>
    </row>
    <row r="955" spans="9:9" x14ac:dyDescent="0.2">
      <c r="I955" s="137" t="s">
        <v>74</v>
      </c>
    </row>
    <row r="956" spans="9:9" x14ac:dyDescent="0.2">
      <c r="I956" s="137" t="s">
        <v>74</v>
      </c>
    </row>
    <row r="957" spans="9:9" x14ac:dyDescent="0.2">
      <c r="I957" s="137" t="s">
        <v>74</v>
      </c>
    </row>
    <row r="958" spans="9:9" x14ac:dyDescent="0.2">
      <c r="I958" s="137" t="s">
        <v>74</v>
      </c>
    </row>
    <row r="959" spans="9:9" x14ac:dyDescent="0.2">
      <c r="I959" s="137" t="s">
        <v>74</v>
      </c>
    </row>
    <row r="960" spans="9:9" x14ac:dyDescent="0.2">
      <c r="I960" s="137" t="s">
        <v>74</v>
      </c>
    </row>
    <row r="961" spans="9:9" x14ac:dyDescent="0.2">
      <c r="I961" s="137" t="s">
        <v>74</v>
      </c>
    </row>
    <row r="962" spans="9:9" x14ac:dyDescent="0.2">
      <c r="I962" s="137" t="s">
        <v>74</v>
      </c>
    </row>
    <row r="963" spans="9:9" x14ac:dyDescent="0.2">
      <c r="I963" s="137" t="s">
        <v>74</v>
      </c>
    </row>
    <row r="964" spans="9:9" x14ac:dyDescent="0.2">
      <c r="I964" s="137" t="s">
        <v>74</v>
      </c>
    </row>
    <row r="965" spans="9:9" x14ac:dyDescent="0.2">
      <c r="I965" s="137" t="s">
        <v>74</v>
      </c>
    </row>
    <row r="966" spans="9:9" x14ac:dyDescent="0.2">
      <c r="I966" s="137" t="s">
        <v>74</v>
      </c>
    </row>
    <row r="967" spans="9:9" x14ac:dyDescent="0.2">
      <c r="I967" s="137" t="s">
        <v>74</v>
      </c>
    </row>
    <row r="968" spans="9:9" x14ac:dyDescent="0.2">
      <c r="I968" s="137" t="s">
        <v>74</v>
      </c>
    </row>
    <row r="969" spans="9:9" x14ac:dyDescent="0.2">
      <c r="I969" s="137" t="s">
        <v>74</v>
      </c>
    </row>
    <row r="970" spans="9:9" x14ac:dyDescent="0.2">
      <c r="I970" s="137" t="s">
        <v>74</v>
      </c>
    </row>
    <row r="971" spans="9:9" x14ac:dyDescent="0.2">
      <c r="I971" s="137" t="s">
        <v>74</v>
      </c>
    </row>
    <row r="972" spans="9:9" x14ac:dyDescent="0.2">
      <c r="I972" s="137" t="s">
        <v>74</v>
      </c>
    </row>
    <row r="973" spans="9:9" x14ac:dyDescent="0.2">
      <c r="I973" s="137" t="s">
        <v>74</v>
      </c>
    </row>
    <row r="974" spans="9:9" x14ac:dyDescent="0.2">
      <c r="I974" s="137" t="s">
        <v>74</v>
      </c>
    </row>
    <row r="975" spans="9:9" x14ac:dyDescent="0.2">
      <c r="I975" s="137" t="s">
        <v>74</v>
      </c>
    </row>
    <row r="976" spans="9:9" x14ac:dyDescent="0.2">
      <c r="I976" s="137" t="s">
        <v>74</v>
      </c>
    </row>
    <row r="977" spans="9:9" x14ac:dyDescent="0.2">
      <c r="I977" s="137" t="s">
        <v>74</v>
      </c>
    </row>
    <row r="978" spans="9:9" x14ac:dyDescent="0.2">
      <c r="I978" s="137" t="s">
        <v>74</v>
      </c>
    </row>
    <row r="979" spans="9:9" x14ac:dyDescent="0.2">
      <c r="I979" s="137" t="s">
        <v>74</v>
      </c>
    </row>
    <row r="980" spans="9:9" x14ac:dyDescent="0.2">
      <c r="I980" s="137" t="s">
        <v>74</v>
      </c>
    </row>
    <row r="981" spans="9:9" x14ac:dyDescent="0.2">
      <c r="I981" s="137" t="s">
        <v>74</v>
      </c>
    </row>
    <row r="982" spans="9:9" x14ac:dyDescent="0.2">
      <c r="I982" s="137" t="s">
        <v>74</v>
      </c>
    </row>
    <row r="983" spans="9:9" x14ac:dyDescent="0.2">
      <c r="I983" s="137" t="s">
        <v>74</v>
      </c>
    </row>
    <row r="984" spans="9:9" x14ac:dyDescent="0.2">
      <c r="I984" s="137" t="s">
        <v>74</v>
      </c>
    </row>
    <row r="985" spans="9:9" x14ac:dyDescent="0.2">
      <c r="I985" s="137" t="s">
        <v>74</v>
      </c>
    </row>
    <row r="986" spans="9:9" x14ac:dyDescent="0.2">
      <c r="I986" s="137" t="s">
        <v>74</v>
      </c>
    </row>
    <row r="987" spans="9:9" x14ac:dyDescent="0.2">
      <c r="I987" s="137" t="s">
        <v>74</v>
      </c>
    </row>
    <row r="988" spans="9:9" x14ac:dyDescent="0.2">
      <c r="I988" s="137" t="s">
        <v>74</v>
      </c>
    </row>
    <row r="989" spans="9:9" x14ac:dyDescent="0.2">
      <c r="I989" s="137" t="s">
        <v>74</v>
      </c>
    </row>
    <row r="990" spans="9:9" x14ac:dyDescent="0.2">
      <c r="I990" s="137" t="s">
        <v>74</v>
      </c>
    </row>
    <row r="991" spans="9:9" x14ac:dyDescent="0.2">
      <c r="I991" s="137" t="s">
        <v>74</v>
      </c>
    </row>
    <row r="992" spans="9:9" x14ac:dyDescent="0.2">
      <c r="I992" s="137" t="s">
        <v>74</v>
      </c>
    </row>
    <row r="993" spans="9:9" x14ac:dyDescent="0.2">
      <c r="I993" s="137" t="s">
        <v>74</v>
      </c>
    </row>
    <row r="994" spans="9:9" x14ac:dyDescent="0.2">
      <c r="I994" s="137" t="s">
        <v>74</v>
      </c>
    </row>
    <row r="995" spans="9:9" x14ac:dyDescent="0.2">
      <c r="I995" s="137" t="s">
        <v>74</v>
      </c>
    </row>
    <row r="996" spans="9:9" x14ac:dyDescent="0.2">
      <c r="I996" s="137" t="s">
        <v>74</v>
      </c>
    </row>
    <row r="997" spans="9:9" x14ac:dyDescent="0.2">
      <c r="I997" s="137" t="s">
        <v>74</v>
      </c>
    </row>
    <row r="998" spans="9:9" x14ac:dyDescent="0.2">
      <c r="I998" s="137" t="s">
        <v>74</v>
      </c>
    </row>
    <row r="999" spans="9:9" x14ac:dyDescent="0.2">
      <c r="I999" s="137" t="s">
        <v>74</v>
      </c>
    </row>
    <row r="1000" spans="9:9" x14ac:dyDescent="0.2">
      <c r="I1000" s="137" t="s">
        <v>74</v>
      </c>
    </row>
    <row r="1001" spans="9:9" x14ac:dyDescent="0.2">
      <c r="I1001" s="137" t="s">
        <v>74</v>
      </c>
    </row>
    <row r="1002" spans="9:9" x14ac:dyDescent="0.2">
      <c r="I1002" s="137" t="s">
        <v>74</v>
      </c>
    </row>
    <row r="1003" spans="9:9" x14ac:dyDescent="0.2">
      <c r="I1003" s="137" t="s">
        <v>74</v>
      </c>
    </row>
    <row r="1004" spans="9:9" x14ac:dyDescent="0.2">
      <c r="I1004" s="137" t="s">
        <v>74</v>
      </c>
    </row>
    <row r="1005" spans="9:9" x14ac:dyDescent="0.2">
      <c r="I1005" s="137" t="s">
        <v>74</v>
      </c>
    </row>
    <row r="1006" spans="9:9" x14ac:dyDescent="0.2">
      <c r="I1006" s="137" t="s">
        <v>74</v>
      </c>
    </row>
    <row r="1007" spans="9:9" x14ac:dyDescent="0.2">
      <c r="I1007" s="137" t="s">
        <v>74</v>
      </c>
    </row>
    <row r="1008" spans="9:9" x14ac:dyDescent="0.2">
      <c r="I1008" s="137" t="s">
        <v>74</v>
      </c>
    </row>
    <row r="1009" spans="9:9" x14ac:dyDescent="0.2">
      <c r="I1009" s="137" t="s">
        <v>74</v>
      </c>
    </row>
    <row r="1010" spans="9:9" x14ac:dyDescent="0.2">
      <c r="I1010" s="137" t="s">
        <v>74</v>
      </c>
    </row>
    <row r="1011" spans="9:9" x14ac:dyDescent="0.2">
      <c r="I1011" s="137" t="s">
        <v>74</v>
      </c>
    </row>
    <row r="1012" spans="9:9" x14ac:dyDescent="0.2">
      <c r="I1012" s="137" t="s">
        <v>74</v>
      </c>
    </row>
    <row r="1013" spans="9:9" x14ac:dyDescent="0.2">
      <c r="I1013" s="137" t="s">
        <v>74</v>
      </c>
    </row>
    <row r="1014" spans="9:9" x14ac:dyDescent="0.2">
      <c r="I1014" s="137" t="s">
        <v>74</v>
      </c>
    </row>
    <row r="1015" spans="9:9" x14ac:dyDescent="0.2">
      <c r="I1015" s="137" t="s">
        <v>74</v>
      </c>
    </row>
    <row r="1016" spans="9:9" x14ac:dyDescent="0.2">
      <c r="I1016" s="137" t="s">
        <v>74</v>
      </c>
    </row>
    <row r="1017" spans="9:9" x14ac:dyDescent="0.2">
      <c r="I1017" s="137" t="s">
        <v>74</v>
      </c>
    </row>
    <row r="1018" spans="9:9" x14ac:dyDescent="0.2">
      <c r="I1018" s="137" t="s">
        <v>74</v>
      </c>
    </row>
    <row r="1019" spans="9:9" x14ac:dyDescent="0.2">
      <c r="I1019" s="137" t="s">
        <v>74</v>
      </c>
    </row>
    <row r="1020" spans="9:9" x14ac:dyDescent="0.2">
      <c r="I1020" s="137" t="s">
        <v>74</v>
      </c>
    </row>
    <row r="1021" spans="9:9" x14ac:dyDescent="0.2">
      <c r="I1021" s="137" t="s">
        <v>74</v>
      </c>
    </row>
    <row r="1022" spans="9:9" x14ac:dyDescent="0.2">
      <c r="I1022" s="137" t="s">
        <v>74</v>
      </c>
    </row>
    <row r="1023" spans="9:9" x14ac:dyDescent="0.2">
      <c r="I1023" s="137" t="s">
        <v>74</v>
      </c>
    </row>
    <row r="1024" spans="9:9" x14ac:dyDescent="0.2">
      <c r="I1024" s="137" t="s">
        <v>74</v>
      </c>
    </row>
    <row r="1025" spans="9:9" x14ac:dyDescent="0.2">
      <c r="I1025" s="137" t="s">
        <v>74</v>
      </c>
    </row>
    <row r="1026" spans="9:9" x14ac:dyDescent="0.2">
      <c r="I1026" s="137" t="s">
        <v>74</v>
      </c>
    </row>
    <row r="1027" spans="9:9" x14ac:dyDescent="0.2">
      <c r="I1027" s="137" t="s">
        <v>74</v>
      </c>
    </row>
    <row r="1028" spans="9:9" x14ac:dyDescent="0.2">
      <c r="I1028" s="137" t="s">
        <v>74</v>
      </c>
    </row>
    <row r="1029" spans="9:9" x14ac:dyDescent="0.2">
      <c r="I1029" s="137" t="s">
        <v>74</v>
      </c>
    </row>
    <row r="1030" spans="9:9" x14ac:dyDescent="0.2">
      <c r="I1030" s="137" t="s">
        <v>74</v>
      </c>
    </row>
    <row r="1031" spans="9:9" x14ac:dyDescent="0.2">
      <c r="I1031" s="137" t="s">
        <v>74</v>
      </c>
    </row>
    <row r="1032" spans="9:9" x14ac:dyDescent="0.2">
      <c r="I1032" s="137" t="s">
        <v>74</v>
      </c>
    </row>
    <row r="1033" spans="9:9" x14ac:dyDescent="0.2">
      <c r="I1033" s="137" t="s">
        <v>74</v>
      </c>
    </row>
    <row r="1034" spans="9:9" x14ac:dyDescent="0.2">
      <c r="I1034" s="137" t="s">
        <v>74</v>
      </c>
    </row>
    <row r="1035" spans="9:9" x14ac:dyDescent="0.2">
      <c r="I1035" s="137" t="s">
        <v>74</v>
      </c>
    </row>
    <row r="1036" spans="9:9" x14ac:dyDescent="0.2">
      <c r="I1036" s="137" t="s">
        <v>74</v>
      </c>
    </row>
    <row r="1037" spans="9:9" x14ac:dyDescent="0.2">
      <c r="I1037" s="137" t="s">
        <v>74</v>
      </c>
    </row>
    <row r="1038" spans="9:9" x14ac:dyDescent="0.2">
      <c r="I1038" s="137" t="s">
        <v>74</v>
      </c>
    </row>
    <row r="1039" spans="9:9" x14ac:dyDescent="0.2">
      <c r="I1039" s="137" t="s">
        <v>74</v>
      </c>
    </row>
    <row r="1040" spans="9:9" x14ac:dyDescent="0.2">
      <c r="I1040" s="137" t="s">
        <v>74</v>
      </c>
    </row>
    <row r="1041" spans="9:9" x14ac:dyDescent="0.2">
      <c r="I1041" s="137" t="s">
        <v>74</v>
      </c>
    </row>
    <row r="1042" spans="9:9" x14ac:dyDescent="0.2">
      <c r="I1042" s="137" t="s">
        <v>74</v>
      </c>
    </row>
    <row r="1043" spans="9:9" x14ac:dyDescent="0.2">
      <c r="I1043" s="137" t="s">
        <v>74</v>
      </c>
    </row>
    <row r="1044" spans="9:9" x14ac:dyDescent="0.2">
      <c r="I1044" s="137" t="s">
        <v>74</v>
      </c>
    </row>
    <row r="1045" spans="9:9" x14ac:dyDescent="0.2">
      <c r="I1045" s="137" t="s">
        <v>74</v>
      </c>
    </row>
    <row r="1046" spans="9:9" x14ac:dyDescent="0.2">
      <c r="I1046" s="137" t="s">
        <v>74</v>
      </c>
    </row>
    <row r="1047" spans="9:9" x14ac:dyDescent="0.2">
      <c r="I1047" s="137" t="s">
        <v>74</v>
      </c>
    </row>
    <row r="1048" spans="9:9" x14ac:dyDescent="0.2">
      <c r="I1048" s="137" t="s">
        <v>74</v>
      </c>
    </row>
    <row r="1049" spans="9:9" x14ac:dyDescent="0.2">
      <c r="I1049" s="137" t="s">
        <v>74</v>
      </c>
    </row>
    <row r="1050" spans="9:9" x14ac:dyDescent="0.2">
      <c r="I1050" s="137" t="s">
        <v>74</v>
      </c>
    </row>
    <row r="1051" spans="9:9" x14ac:dyDescent="0.2">
      <c r="I1051" s="137" t="s">
        <v>74</v>
      </c>
    </row>
    <row r="1052" spans="9:9" x14ac:dyDescent="0.2">
      <c r="I1052" s="137" t="s">
        <v>74</v>
      </c>
    </row>
    <row r="1053" spans="9:9" x14ac:dyDescent="0.2">
      <c r="I1053" s="137" t="s">
        <v>74</v>
      </c>
    </row>
    <row r="1054" spans="9:9" x14ac:dyDescent="0.2">
      <c r="I1054" s="137" t="s">
        <v>74</v>
      </c>
    </row>
    <row r="1055" spans="9:9" x14ac:dyDescent="0.2">
      <c r="I1055" s="137" t="s">
        <v>74</v>
      </c>
    </row>
    <row r="1056" spans="9:9" x14ac:dyDescent="0.2">
      <c r="I1056" s="137" t="s">
        <v>74</v>
      </c>
    </row>
    <row r="1057" spans="9:9" x14ac:dyDescent="0.2">
      <c r="I1057" s="137" t="s">
        <v>74</v>
      </c>
    </row>
    <row r="1058" spans="9:9" x14ac:dyDescent="0.2">
      <c r="I1058" s="137" t="s">
        <v>74</v>
      </c>
    </row>
    <row r="1059" spans="9:9" x14ac:dyDescent="0.2">
      <c r="I1059" s="137" t="s">
        <v>74</v>
      </c>
    </row>
    <row r="1060" spans="9:9" x14ac:dyDescent="0.2">
      <c r="I1060" s="137" t="s">
        <v>74</v>
      </c>
    </row>
    <row r="1061" spans="9:9" x14ac:dyDescent="0.2">
      <c r="I1061" s="137" t="s">
        <v>74</v>
      </c>
    </row>
    <row r="1062" spans="9:9" x14ac:dyDescent="0.2">
      <c r="I1062" s="137" t="s">
        <v>74</v>
      </c>
    </row>
    <row r="1063" spans="9:9" x14ac:dyDescent="0.2">
      <c r="I1063" s="137" t="s">
        <v>74</v>
      </c>
    </row>
    <row r="1064" spans="9:9" x14ac:dyDescent="0.2">
      <c r="I1064" s="137" t="s">
        <v>74</v>
      </c>
    </row>
    <row r="1065" spans="9:9" x14ac:dyDescent="0.2">
      <c r="I1065" s="137" t="s">
        <v>74</v>
      </c>
    </row>
    <row r="1066" spans="9:9" x14ac:dyDescent="0.2">
      <c r="I1066" s="137" t="s">
        <v>74</v>
      </c>
    </row>
    <row r="1067" spans="9:9" x14ac:dyDescent="0.2">
      <c r="I1067" s="137" t="s">
        <v>74</v>
      </c>
    </row>
    <row r="1068" spans="9:9" x14ac:dyDescent="0.2">
      <c r="I1068" s="137" t="s">
        <v>74</v>
      </c>
    </row>
    <row r="1069" spans="9:9" x14ac:dyDescent="0.2">
      <c r="I1069" s="137" t="s">
        <v>74</v>
      </c>
    </row>
    <row r="1070" spans="9:9" x14ac:dyDescent="0.2">
      <c r="I1070" s="137" t="s">
        <v>74</v>
      </c>
    </row>
    <row r="1071" spans="9:9" x14ac:dyDescent="0.2">
      <c r="I1071" s="137" t="s">
        <v>74</v>
      </c>
    </row>
    <row r="1072" spans="9:9" x14ac:dyDescent="0.2">
      <c r="I1072" s="137" t="s">
        <v>74</v>
      </c>
    </row>
    <row r="1073" spans="9:9" x14ac:dyDescent="0.2">
      <c r="I1073" s="137" t="s">
        <v>74</v>
      </c>
    </row>
    <row r="1074" spans="9:9" x14ac:dyDescent="0.2">
      <c r="I1074" s="137" t="s">
        <v>74</v>
      </c>
    </row>
    <row r="1075" spans="9:9" x14ac:dyDescent="0.2">
      <c r="I1075" s="137" t="s">
        <v>74</v>
      </c>
    </row>
    <row r="1076" spans="9:9" x14ac:dyDescent="0.2">
      <c r="I1076" s="137" t="s">
        <v>74</v>
      </c>
    </row>
    <row r="1077" spans="9:9" x14ac:dyDescent="0.2">
      <c r="I1077" s="137" t="s">
        <v>74</v>
      </c>
    </row>
    <row r="1078" spans="9:9" x14ac:dyDescent="0.2">
      <c r="I1078" s="137" t="s">
        <v>74</v>
      </c>
    </row>
    <row r="1079" spans="9:9" x14ac:dyDescent="0.2">
      <c r="I1079" s="137" t="s">
        <v>74</v>
      </c>
    </row>
    <row r="1080" spans="9:9" x14ac:dyDescent="0.2">
      <c r="I1080" s="137" t="s">
        <v>74</v>
      </c>
    </row>
    <row r="1081" spans="9:9" x14ac:dyDescent="0.2">
      <c r="I1081" s="137" t="s">
        <v>74</v>
      </c>
    </row>
    <row r="1082" spans="9:9" x14ac:dyDescent="0.2">
      <c r="I1082" s="137" t="s">
        <v>74</v>
      </c>
    </row>
    <row r="1083" spans="9:9" x14ac:dyDescent="0.2">
      <c r="I1083" s="137" t="s">
        <v>74</v>
      </c>
    </row>
    <row r="1084" spans="9:9" x14ac:dyDescent="0.2">
      <c r="I1084" s="137" t="s">
        <v>74</v>
      </c>
    </row>
    <row r="1085" spans="9:9" x14ac:dyDescent="0.2">
      <c r="I1085" s="137" t="s">
        <v>74</v>
      </c>
    </row>
    <row r="1086" spans="9:9" x14ac:dyDescent="0.2">
      <c r="I1086" s="137" t="s">
        <v>74</v>
      </c>
    </row>
    <row r="1087" spans="9:9" x14ac:dyDescent="0.2">
      <c r="I1087" s="137" t="s">
        <v>74</v>
      </c>
    </row>
    <row r="1088" spans="9:9" x14ac:dyDescent="0.2">
      <c r="I1088" s="137" t="s">
        <v>74</v>
      </c>
    </row>
    <row r="1089" spans="9:9" x14ac:dyDescent="0.2">
      <c r="I1089" s="137" t="s">
        <v>74</v>
      </c>
    </row>
    <row r="1090" spans="9:9" x14ac:dyDescent="0.2">
      <c r="I1090" s="137" t="s">
        <v>74</v>
      </c>
    </row>
    <row r="1091" spans="9:9" x14ac:dyDescent="0.2">
      <c r="I1091" s="137" t="s">
        <v>74</v>
      </c>
    </row>
    <row r="1092" spans="9:9" x14ac:dyDescent="0.2">
      <c r="I1092" s="137" t="s">
        <v>74</v>
      </c>
    </row>
    <row r="1093" spans="9:9" x14ac:dyDescent="0.2">
      <c r="I1093" s="137" t="s">
        <v>74</v>
      </c>
    </row>
    <row r="1094" spans="9:9" x14ac:dyDescent="0.2">
      <c r="I1094" s="137" t="s">
        <v>74</v>
      </c>
    </row>
    <row r="1095" spans="9:9" x14ac:dyDescent="0.2">
      <c r="I1095" s="137" t="s">
        <v>74</v>
      </c>
    </row>
    <row r="1096" spans="9:9" x14ac:dyDescent="0.2">
      <c r="I1096" s="137" t="s">
        <v>74</v>
      </c>
    </row>
    <row r="1097" spans="9:9" x14ac:dyDescent="0.2">
      <c r="I1097" s="137" t="s">
        <v>74</v>
      </c>
    </row>
    <row r="1098" spans="9:9" x14ac:dyDescent="0.2">
      <c r="I1098" s="137" t="s">
        <v>74</v>
      </c>
    </row>
    <row r="1099" spans="9:9" x14ac:dyDescent="0.2">
      <c r="I1099" s="137" t="s">
        <v>74</v>
      </c>
    </row>
    <row r="1100" spans="9:9" x14ac:dyDescent="0.2">
      <c r="I1100" s="137" t="s">
        <v>74</v>
      </c>
    </row>
    <row r="1101" spans="9:9" x14ac:dyDescent="0.2">
      <c r="I1101" s="137" t="s">
        <v>74</v>
      </c>
    </row>
    <row r="1102" spans="9:9" x14ac:dyDescent="0.2">
      <c r="I1102" s="137" t="s">
        <v>74</v>
      </c>
    </row>
    <row r="1103" spans="9:9" x14ac:dyDescent="0.2">
      <c r="I1103" s="137" t="s">
        <v>74</v>
      </c>
    </row>
    <row r="1104" spans="9:9" x14ac:dyDescent="0.2">
      <c r="I1104" s="137" t="s">
        <v>74</v>
      </c>
    </row>
    <row r="1105" spans="9:9" x14ac:dyDescent="0.2">
      <c r="I1105" s="137" t="s">
        <v>74</v>
      </c>
    </row>
    <row r="1106" spans="9:9" x14ac:dyDescent="0.2">
      <c r="I1106" s="137" t="s">
        <v>74</v>
      </c>
    </row>
    <row r="1107" spans="9:9" x14ac:dyDescent="0.2">
      <c r="I1107" s="137" t="s">
        <v>74</v>
      </c>
    </row>
    <row r="1108" spans="9:9" x14ac:dyDescent="0.2">
      <c r="I1108" s="137" t="s">
        <v>74</v>
      </c>
    </row>
    <row r="1109" spans="9:9" x14ac:dyDescent="0.2">
      <c r="I1109" s="137" t="s">
        <v>74</v>
      </c>
    </row>
    <row r="1110" spans="9:9" x14ac:dyDescent="0.2">
      <c r="I1110" s="137" t="s">
        <v>74</v>
      </c>
    </row>
    <row r="1111" spans="9:9" x14ac:dyDescent="0.2">
      <c r="I1111" s="137" t="s">
        <v>74</v>
      </c>
    </row>
    <row r="1112" spans="9:9" x14ac:dyDescent="0.2">
      <c r="I1112" s="137" t="s">
        <v>74</v>
      </c>
    </row>
    <row r="1113" spans="9:9" x14ac:dyDescent="0.2">
      <c r="I1113" s="137" t="s">
        <v>74</v>
      </c>
    </row>
    <row r="1114" spans="9:9" x14ac:dyDescent="0.2">
      <c r="I1114" s="137" t="s">
        <v>74</v>
      </c>
    </row>
    <row r="1115" spans="9:9" x14ac:dyDescent="0.2">
      <c r="I1115" s="137" t="s">
        <v>74</v>
      </c>
    </row>
    <row r="1116" spans="9:9" x14ac:dyDescent="0.2">
      <c r="I1116" s="137" t="s">
        <v>74</v>
      </c>
    </row>
    <row r="1117" spans="9:9" x14ac:dyDescent="0.2">
      <c r="I1117" s="137" t="s">
        <v>74</v>
      </c>
    </row>
    <row r="1118" spans="9:9" x14ac:dyDescent="0.2">
      <c r="I1118" s="137" t="s">
        <v>74</v>
      </c>
    </row>
    <row r="1119" spans="9:9" x14ac:dyDescent="0.2">
      <c r="I1119" s="137" t="s">
        <v>74</v>
      </c>
    </row>
    <row r="1120" spans="9:9" x14ac:dyDescent="0.2">
      <c r="I1120" s="137" t="s">
        <v>74</v>
      </c>
    </row>
    <row r="1121" spans="9:9" x14ac:dyDescent="0.2">
      <c r="I1121" s="137" t="s">
        <v>74</v>
      </c>
    </row>
    <row r="1122" spans="9:9" x14ac:dyDescent="0.2">
      <c r="I1122" s="137" t="s">
        <v>74</v>
      </c>
    </row>
    <row r="1123" spans="9:9" x14ac:dyDescent="0.2">
      <c r="I1123" s="137" t="s">
        <v>74</v>
      </c>
    </row>
    <row r="1124" spans="9:9" x14ac:dyDescent="0.2">
      <c r="I1124" s="137" t="s">
        <v>74</v>
      </c>
    </row>
    <row r="1125" spans="9:9" x14ac:dyDescent="0.2">
      <c r="I1125" s="137" t="s">
        <v>74</v>
      </c>
    </row>
    <row r="1126" spans="9:9" x14ac:dyDescent="0.2">
      <c r="I1126" s="137" t="s">
        <v>74</v>
      </c>
    </row>
    <row r="1127" spans="9:9" x14ac:dyDescent="0.2">
      <c r="I1127" s="137" t="s">
        <v>74</v>
      </c>
    </row>
    <row r="1128" spans="9:9" x14ac:dyDescent="0.2">
      <c r="I1128" s="137" t="s">
        <v>74</v>
      </c>
    </row>
    <row r="1129" spans="9:9" x14ac:dyDescent="0.2">
      <c r="I1129" s="137" t="s">
        <v>74</v>
      </c>
    </row>
    <row r="1130" spans="9:9" x14ac:dyDescent="0.2">
      <c r="I1130" s="137" t="s">
        <v>74</v>
      </c>
    </row>
    <row r="1131" spans="9:9" x14ac:dyDescent="0.2">
      <c r="I1131" s="137" t="s">
        <v>74</v>
      </c>
    </row>
    <row r="1132" spans="9:9" x14ac:dyDescent="0.2">
      <c r="I1132" s="137" t="s">
        <v>74</v>
      </c>
    </row>
    <row r="1133" spans="9:9" x14ac:dyDescent="0.2">
      <c r="I1133" s="137" t="s">
        <v>74</v>
      </c>
    </row>
    <row r="1134" spans="9:9" x14ac:dyDescent="0.2">
      <c r="I1134" s="137" t="s">
        <v>74</v>
      </c>
    </row>
    <row r="1135" spans="9:9" x14ac:dyDescent="0.2">
      <c r="I1135" s="137" t="s">
        <v>74</v>
      </c>
    </row>
    <row r="1136" spans="9:9" x14ac:dyDescent="0.2">
      <c r="I1136" s="137" t="s">
        <v>74</v>
      </c>
    </row>
    <row r="1137" spans="9:9" x14ac:dyDescent="0.2">
      <c r="I1137" s="137" t="s">
        <v>74</v>
      </c>
    </row>
    <row r="1138" spans="9:9" x14ac:dyDescent="0.2">
      <c r="I1138" s="137" t="s">
        <v>74</v>
      </c>
    </row>
    <row r="1139" spans="9:9" x14ac:dyDescent="0.2">
      <c r="I1139" s="137" t="s">
        <v>74</v>
      </c>
    </row>
    <row r="1140" spans="9:9" x14ac:dyDescent="0.2">
      <c r="I1140" s="137" t="s">
        <v>74</v>
      </c>
    </row>
    <row r="1141" spans="9:9" x14ac:dyDescent="0.2">
      <c r="I1141" s="137" t="s">
        <v>74</v>
      </c>
    </row>
    <row r="1142" spans="9:9" x14ac:dyDescent="0.2">
      <c r="I1142" s="137" t="s">
        <v>74</v>
      </c>
    </row>
    <row r="1143" spans="9:9" x14ac:dyDescent="0.2">
      <c r="I1143" s="137" t="s">
        <v>74</v>
      </c>
    </row>
    <row r="1144" spans="9:9" x14ac:dyDescent="0.2">
      <c r="I1144" s="137" t="s">
        <v>74</v>
      </c>
    </row>
    <row r="1145" spans="9:9" x14ac:dyDescent="0.2">
      <c r="I1145" s="137" t="s">
        <v>74</v>
      </c>
    </row>
    <row r="1146" spans="9:9" x14ac:dyDescent="0.2">
      <c r="I1146" s="137" t="s">
        <v>74</v>
      </c>
    </row>
    <row r="1147" spans="9:9" x14ac:dyDescent="0.2">
      <c r="I1147" s="137" t="s">
        <v>74</v>
      </c>
    </row>
    <row r="1148" spans="9:9" x14ac:dyDescent="0.2">
      <c r="I1148" s="137" t="s">
        <v>74</v>
      </c>
    </row>
    <row r="1149" spans="9:9" x14ac:dyDescent="0.2">
      <c r="I1149" s="137" t="s">
        <v>74</v>
      </c>
    </row>
    <row r="1150" spans="9:9" x14ac:dyDescent="0.2">
      <c r="I1150" s="137" t="s">
        <v>74</v>
      </c>
    </row>
    <row r="1151" spans="9:9" x14ac:dyDescent="0.2">
      <c r="I1151" s="137" t="s">
        <v>74</v>
      </c>
    </row>
    <row r="1152" spans="9:9" x14ac:dyDescent="0.2">
      <c r="I1152" s="137" t="s">
        <v>74</v>
      </c>
    </row>
    <row r="1153" spans="9:9" x14ac:dyDescent="0.2">
      <c r="I1153" s="137" t="s">
        <v>74</v>
      </c>
    </row>
    <row r="1154" spans="9:9" x14ac:dyDescent="0.2">
      <c r="I1154" s="137" t="s">
        <v>74</v>
      </c>
    </row>
    <row r="1155" spans="9:9" x14ac:dyDescent="0.2">
      <c r="I1155" s="137" t="s">
        <v>74</v>
      </c>
    </row>
    <row r="1156" spans="9:9" x14ac:dyDescent="0.2">
      <c r="I1156" s="137" t="s">
        <v>74</v>
      </c>
    </row>
    <row r="1157" spans="9:9" x14ac:dyDescent="0.2">
      <c r="I1157" s="137" t="s">
        <v>74</v>
      </c>
    </row>
    <row r="1158" spans="9:9" x14ac:dyDescent="0.2">
      <c r="I1158" s="137" t="s">
        <v>74</v>
      </c>
    </row>
    <row r="1159" spans="9:9" x14ac:dyDescent="0.2">
      <c r="I1159" s="137" t="s">
        <v>74</v>
      </c>
    </row>
    <row r="1160" spans="9:9" x14ac:dyDescent="0.2">
      <c r="I1160" s="137" t="s">
        <v>74</v>
      </c>
    </row>
    <row r="1161" spans="9:9" x14ac:dyDescent="0.2">
      <c r="I1161" s="137" t="s">
        <v>74</v>
      </c>
    </row>
    <row r="1162" spans="9:9" x14ac:dyDescent="0.2">
      <c r="I1162" s="137" t="s">
        <v>74</v>
      </c>
    </row>
    <row r="1163" spans="9:9" x14ac:dyDescent="0.2">
      <c r="I1163" s="137" t="s">
        <v>74</v>
      </c>
    </row>
    <row r="1164" spans="9:9" x14ac:dyDescent="0.2">
      <c r="I1164" s="137" t="s">
        <v>74</v>
      </c>
    </row>
    <row r="1165" spans="9:9" x14ac:dyDescent="0.2">
      <c r="I1165" s="137" t="s">
        <v>74</v>
      </c>
    </row>
    <row r="1166" spans="9:9" x14ac:dyDescent="0.2">
      <c r="I1166" s="137" t="s">
        <v>74</v>
      </c>
    </row>
    <row r="1167" spans="9:9" x14ac:dyDescent="0.2">
      <c r="I1167" s="137" t="s">
        <v>74</v>
      </c>
    </row>
    <row r="1168" spans="9:9" x14ac:dyDescent="0.2">
      <c r="I1168" s="137" t="s">
        <v>74</v>
      </c>
    </row>
    <row r="1169" spans="9:9" x14ac:dyDescent="0.2">
      <c r="I1169" s="137" t="s">
        <v>74</v>
      </c>
    </row>
    <row r="1170" spans="9:9" x14ac:dyDescent="0.2">
      <c r="I1170" s="137" t="s">
        <v>74</v>
      </c>
    </row>
    <row r="1171" spans="9:9" x14ac:dyDescent="0.2">
      <c r="I1171" s="137" t="s">
        <v>74</v>
      </c>
    </row>
    <row r="1172" spans="9:9" x14ac:dyDescent="0.2">
      <c r="I1172" s="137" t="s">
        <v>74</v>
      </c>
    </row>
    <row r="1173" spans="9:9" x14ac:dyDescent="0.2">
      <c r="I1173" s="137" t="s">
        <v>74</v>
      </c>
    </row>
    <row r="1174" spans="9:9" x14ac:dyDescent="0.2">
      <c r="I1174" s="137" t="s">
        <v>74</v>
      </c>
    </row>
    <row r="1175" spans="9:9" x14ac:dyDescent="0.2">
      <c r="I1175" s="137" t="s">
        <v>74</v>
      </c>
    </row>
    <row r="1176" spans="9:9" x14ac:dyDescent="0.2">
      <c r="I1176" s="137" t="s">
        <v>74</v>
      </c>
    </row>
    <row r="1177" spans="9:9" x14ac:dyDescent="0.2">
      <c r="I1177" s="137" t="s">
        <v>74</v>
      </c>
    </row>
    <row r="1178" spans="9:9" x14ac:dyDescent="0.2">
      <c r="I1178" s="137" t="s">
        <v>74</v>
      </c>
    </row>
    <row r="1179" spans="9:9" x14ac:dyDescent="0.2">
      <c r="I1179" s="137" t="s">
        <v>74</v>
      </c>
    </row>
    <row r="1180" spans="9:9" x14ac:dyDescent="0.2">
      <c r="I1180" s="137" t="s">
        <v>74</v>
      </c>
    </row>
    <row r="1181" spans="9:9" x14ac:dyDescent="0.2">
      <c r="I1181" s="137" t="s">
        <v>74</v>
      </c>
    </row>
    <row r="1182" spans="9:9" x14ac:dyDescent="0.2">
      <c r="I1182" s="137" t="s">
        <v>74</v>
      </c>
    </row>
    <row r="1183" spans="9:9" x14ac:dyDescent="0.2">
      <c r="I1183" s="137" t="s">
        <v>74</v>
      </c>
    </row>
    <row r="1184" spans="9:9" x14ac:dyDescent="0.2">
      <c r="I1184" s="137" t="s">
        <v>74</v>
      </c>
    </row>
    <row r="1185" spans="9:9" x14ac:dyDescent="0.2">
      <c r="I1185" s="137" t="s">
        <v>74</v>
      </c>
    </row>
    <row r="1186" spans="9:9" x14ac:dyDescent="0.2">
      <c r="I1186" s="137" t="s">
        <v>74</v>
      </c>
    </row>
    <row r="1187" spans="9:9" x14ac:dyDescent="0.2">
      <c r="I1187" s="137" t="s">
        <v>74</v>
      </c>
    </row>
    <row r="1188" spans="9:9" x14ac:dyDescent="0.2">
      <c r="I1188" s="137" t="s">
        <v>74</v>
      </c>
    </row>
    <row r="1189" spans="9:9" x14ac:dyDescent="0.2">
      <c r="I1189" s="137" t="s">
        <v>74</v>
      </c>
    </row>
    <row r="1190" spans="9:9" x14ac:dyDescent="0.2">
      <c r="I1190" s="137" t="s">
        <v>74</v>
      </c>
    </row>
    <row r="1191" spans="9:9" x14ac:dyDescent="0.2">
      <c r="I1191" s="137" t="s">
        <v>74</v>
      </c>
    </row>
    <row r="1192" spans="9:9" x14ac:dyDescent="0.2">
      <c r="I1192" s="137" t="s">
        <v>74</v>
      </c>
    </row>
    <row r="1193" spans="9:9" x14ac:dyDescent="0.2">
      <c r="I1193" s="137" t="s">
        <v>74</v>
      </c>
    </row>
    <row r="1194" spans="9:9" x14ac:dyDescent="0.2">
      <c r="I1194" s="137" t="s">
        <v>74</v>
      </c>
    </row>
    <row r="1195" spans="9:9" x14ac:dyDescent="0.2">
      <c r="I1195" s="137" t="s">
        <v>74</v>
      </c>
    </row>
    <row r="1196" spans="9:9" x14ac:dyDescent="0.2">
      <c r="I1196" s="137" t="s">
        <v>74</v>
      </c>
    </row>
    <row r="1197" spans="9:9" x14ac:dyDescent="0.2">
      <c r="I1197" s="137" t="s">
        <v>74</v>
      </c>
    </row>
    <row r="1198" spans="9:9" x14ac:dyDescent="0.2">
      <c r="I1198" s="137" t="s">
        <v>74</v>
      </c>
    </row>
    <row r="1199" spans="9:9" x14ac:dyDescent="0.2">
      <c r="I1199" s="137" t="s">
        <v>74</v>
      </c>
    </row>
    <row r="1200" spans="9:9" x14ac:dyDescent="0.2">
      <c r="I1200" s="137" t="s">
        <v>74</v>
      </c>
    </row>
    <row r="1201" spans="9:9" x14ac:dyDescent="0.2">
      <c r="I1201" s="137" t="s">
        <v>74</v>
      </c>
    </row>
    <row r="1202" spans="9:9" x14ac:dyDescent="0.2">
      <c r="I1202" s="137" t="s">
        <v>74</v>
      </c>
    </row>
    <row r="1203" spans="9:9" x14ac:dyDescent="0.2">
      <c r="I1203" s="137" t="s">
        <v>74</v>
      </c>
    </row>
    <row r="1204" spans="9:9" x14ac:dyDescent="0.2">
      <c r="I1204" s="137" t="s">
        <v>74</v>
      </c>
    </row>
    <row r="1205" spans="9:9" x14ac:dyDescent="0.2">
      <c r="I1205" s="137" t="s">
        <v>74</v>
      </c>
    </row>
    <row r="1206" spans="9:9" x14ac:dyDescent="0.2">
      <c r="I1206" s="137" t="s">
        <v>74</v>
      </c>
    </row>
    <row r="1207" spans="9:9" x14ac:dyDescent="0.2">
      <c r="I1207" s="137" t="s">
        <v>74</v>
      </c>
    </row>
    <row r="1208" spans="9:9" x14ac:dyDescent="0.2">
      <c r="I1208" s="137" t="s">
        <v>74</v>
      </c>
    </row>
    <row r="1209" spans="9:9" x14ac:dyDescent="0.2">
      <c r="I1209" s="137" t="s">
        <v>74</v>
      </c>
    </row>
    <row r="1210" spans="9:9" x14ac:dyDescent="0.2">
      <c r="I1210" s="137" t="s">
        <v>74</v>
      </c>
    </row>
    <row r="1211" spans="9:9" x14ac:dyDescent="0.2">
      <c r="I1211" s="137" t="s">
        <v>74</v>
      </c>
    </row>
    <row r="1212" spans="9:9" x14ac:dyDescent="0.2">
      <c r="I1212" s="137" t="s">
        <v>74</v>
      </c>
    </row>
    <row r="1213" spans="9:9" x14ac:dyDescent="0.2">
      <c r="I1213" s="137" t="s">
        <v>74</v>
      </c>
    </row>
    <row r="1214" spans="9:9" x14ac:dyDescent="0.2">
      <c r="I1214" s="137" t="s">
        <v>74</v>
      </c>
    </row>
    <row r="1215" spans="9:9" x14ac:dyDescent="0.2">
      <c r="I1215" s="137" t="s">
        <v>74</v>
      </c>
    </row>
    <row r="1216" spans="9:9" x14ac:dyDescent="0.2">
      <c r="I1216" s="137" t="s">
        <v>74</v>
      </c>
    </row>
    <row r="1217" spans="9:9" x14ac:dyDescent="0.2">
      <c r="I1217" s="137" t="s">
        <v>74</v>
      </c>
    </row>
    <row r="1218" spans="9:9" x14ac:dyDescent="0.2">
      <c r="I1218" s="137" t="s">
        <v>74</v>
      </c>
    </row>
    <row r="1219" spans="9:9" x14ac:dyDescent="0.2">
      <c r="I1219" s="137" t="s">
        <v>74</v>
      </c>
    </row>
    <row r="1220" spans="9:9" x14ac:dyDescent="0.2">
      <c r="I1220" s="137" t="s">
        <v>74</v>
      </c>
    </row>
    <row r="1221" spans="9:9" x14ac:dyDescent="0.2">
      <c r="I1221" s="137" t="s">
        <v>74</v>
      </c>
    </row>
    <row r="1222" spans="9:9" x14ac:dyDescent="0.2">
      <c r="I1222" s="137" t="s">
        <v>74</v>
      </c>
    </row>
    <row r="1223" spans="9:9" x14ac:dyDescent="0.2">
      <c r="I1223" s="137" t="s">
        <v>74</v>
      </c>
    </row>
    <row r="1224" spans="9:9" x14ac:dyDescent="0.2">
      <c r="I1224" s="137" t="s">
        <v>74</v>
      </c>
    </row>
    <row r="1225" spans="9:9" x14ac:dyDescent="0.2">
      <c r="I1225" s="137" t="s">
        <v>74</v>
      </c>
    </row>
    <row r="1226" spans="9:9" x14ac:dyDescent="0.2">
      <c r="I1226" s="137" t="s">
        <v>74</v>
      </c>
    </row>
    <row r="1227" spans="9:9" x14ac:dyDescent="0.2">
      <c r="I1227" s="137" t="s">
        <v>74</v>
      </c>
    </row>
    <row r="1228" spans="9:9" x14ac:dyDescent="0.2">
      <c r="I1228" s="137" t="s">
        <v>74</v>
      </c>
    </row>
    <row r="1229" spans="9:9" x14ac:dyDescent="0.2">
      <c r="I1229" s="137" t="s">
        <v>74</v>
      </c>
    </row>
    <row r="1230" spans="9:9" x14ac:dyDescent="0.2">
      <c r="I1230" s="137" t="s">
        <v>74</v>
      </c>
    </row>
    <row r="1231" spans="9:9" x14ac:dyDescent="0.2">
      <c r="I1231" s="137" t="s">
        <v>74</v>
      </c>
    </row>
    <row r="1232" spans="9:9" x14ac:dyDescent="0.2">
      <c r="I1232" s="137" t="s">
        <v>74</v>
      </c>
    </row>
    <row r="1233" spans="9:9" x14ac:dyDescent="0.2">
      <c r="I1233" s="137" t="s">
        <v>74</v>
      </c>
    </row>
    <row r="1234" spans="9:9" x14ac:dyDescent="0.2">
      <c r="I1234" s="137" t="s">
        <v>74</v>
      </c>
    </row>
    <row r="1235" spans="9:9" x14ac:dyDescent="0.2">
      <c r="I1235" s="137" t="s">
        <v>74</v>
      </c>
    </row>
    <row r="1236" spans="9:9" x14ac:dyDescent="0.2">
      <c r="I1236" s="137" t="s">
        <v>74</v>
      </c>
    </row>
    <row r="1237" spans="9:9" x14ac:dyDescent="0.2">
      <c r="I1237" s="137" t="s">
        <v>74</v>
      </c>
    </row>
    <row r="1238" spans="9:9" x14ac:dyDescent="0.2">
      <c r="I1238" s="137" t="s">
        <v>74</v>
      </c>
    </row>
    <row r="1239" spans="9:9" x14ac:dyDescent="0.2">
      <c r="I1239" s="137" t="s">
        <v>74</v>
      </c>
    </row>
    <row r="1240" spans="9:9" x14ac:dyDescent="0.2">
      <c r="I1240" s="137" t="s">
        <v>74</v>
      </c>
    </row>
    <row r="1241" spans="9:9" x14ac:dyDescent="0.2">
      <c r="I1241" s="137" t="s">
        <v>74</v>
      </c>
    </row>
    <row r="1242" spans="9:9" x14ac:dyDescent="0.2">
      <c r="I1242" s="137" t="s">
        <v>74</v>
      </c>
    </row>
    <row r="1243" spans="9:9" x14ac:dyDescent="0.2">
      <c r="I1243" s="137" t="s">
        <v>74</v>
      </c>
    </row>
    <row r="1244" spans="9:9" x14ac:dyDescent="0.2">
      <c r="I1244" s="137" t="s">
        <v>74</v>
      </c>
    </row>
    <row r="1245" spans="9:9" x14ac:dyDescent="0.2">
      <c r="I1245" s="137" t="s">
        <v>74</v>
      </c>
    </row>
    <row r="1246" spans="9:9" x14ac:dyDescent="0.2">
      <c r="I1246" s="137" t="s">
        <v>74</v>
      </c>
    </row>
    <row r="1247" spans="9:9" x14ac:dyDescent="0.2">
      <c r="I1247" s="137" t="s">
        <v>74</v>
      </c>
    </row>
    <row r="1248" spans="9:9" x14ac:dyDescent="0.2">
      <c r="I1248" s="137" t="s">
        <v>74</v>
      </c>
    </row>
    <row r="1249" spans="9:9" x14ac:dyDescent="0.2">
      <c r="I1249" s="137" t="s">
        <v>74</v>
      </c>
    </row>
    <row r="1250" spans="9:9" x14ac:dyDescent="0.2">
      <c r="I1250" s="137" t="s">
        <v>74</v>
      </c>
    </row>
    <row r="1251" spans="9:9" x14ac:dyDescent="0.2">
      <c r="I1251" s="137" t="s">
        <v>74</v>
      </c>
    </row>
    <row r="1252" spans="9:9" x14ac:dyDescent="0.2">
      <c r="I1252" s="137" t="s">
        <v>74</v>
      </c>
    </row>
    <row r="1253" spans="9:9" x14ac:dyDescent="0.2">
      <c r="I1253" s="137" t="s">
        <v>74</v>
      </c>
    </row>
    <row r="1254" spans="9:9" x14ac:dyDescent="0.2">
      <c r="I1254" s="137" t="s">
        <v>74</v>
      </c>
    </row>
    <row r="1255" spans="9:9" x14ac:dyDescent="0.2">
      <c r="I1255" s="137" t="s">
        <v>74</v>
      </c>
    </row>
    <row r="1256" spans="9:9" x14ac:dyDescent="0.2">
      <c r="I1256" s="137" t="s">
        <v>74</v>
      </c>
    </row>
    <row r="1257" spans="9:9" x14ac:dyDescent="0.2">
      <c r="I1257" s="137" t="s">
        <v>74</v>
      </c>
    </row>
    <row r="1258" spans="9:9" x14ac:dyDescent="0.2">
      <c r="I1258" s="137" t="s">
        <v>74</v>
      </c>
    </row>
    <row r="1259" spans="9:9" x14ac:dyDescent="0.2">
      <c r="I1259" s="137" t="s">
        <v>74</v>
      </c>
    </row>
    <row r="1260" spans="9:9" x14ac:dyDescent="0.2">
      <c r="I1260" s="137" t="s">
        <v>74</v>
      </c>
    </row>
    <row r="1261" spans="9:9" x14ac:dyDescent="0.2">
      <c r="I1261" s="137" t="s">
        <v>74</v>
      </c>
    </row>
    <row r="1262" spans="9:9" x14ac:dyDescent="0.2">
      <c r="I1262" s="137" t="s">
        <v>74</v>
      </c>
    </row>
    <row r="1263" spans="9:9" x14ac:dyDescent="0.2">
      <c r="I1263" s="137" t="s">
        <v>74</v>
      </c>
    </row>
    <row r="1264" spans="9:9" x14ac:dyDescent="0.2">
      <c r="I1264" s="137" t="s">
        <v>74</v>
      </c>
    </row>
    <row r="1265" spans="9:9" x14ac:dyDescent="0.2">
      <c r="I1265" s="137" t="s">
        <v>74</v>
      </c>
    </row>
    <row r="1266" spans="9:9" x14ac:dyDescent="0.2">
      <c r="I1266" s="137" t="s">
        <v>74</v>
      </c>
    </row>
    <row r="1267" spans="9:9" x14ac:dyDescent="0.2">
      <c r="I1267" s="137" t="s">
        <v>74</v>
      </c>
    </row>
    <row r="1268" spans="9:9" x14ac:dyDescent="0.2">
      <c r="I1268" s="137" t="s">
        <v>74</v>
      </c>
    </row>
    <row r="1269" spans="9:9" x14ac:dyDescent="0.2">
      <c r="I1269" s="137" t="s">
        <v>74</v>
      </c>
    </row>
    <row r="1270" spans="9:9" x14ac:dyDescent="0.2">
      <c r="I1270" s="137" t="s">
        <v>74</v>
      </c>
    </row>
    <row r="1271" spans="9:9" x14ac:dyDescent="0.2">
      <c r="I1271" s="137" t="s">
        <v>74</v>
      </c>
    </row>
    <row r="1272" spans="9:9" x14ac:dyDescent="0.2">
      <c r="I1272" s="137" t="s">
        <v>74</v>
      </c>
    </row>
    <row r="1273" spans="9:9" x14ac:dyDescent="0.2">
      <c r="I1273" s="137" t="s">
        <v>74</v>
      </c>
    </row>
    <row r="1274" spans="9:9" x14ac:dyDescent="0.2">
      <c r="I1274" s="137" t="s">
        <v>74</v>
      </c>
    </row>
    <row r="1275" spans="9:9" x14ac:dyDescent="0.2">
      <c r="I1275" s="137" t="s">
        <v>74</v>
      </c>
    </row>
    <row r="1276" spans="9:9" x14ac:dyDescent="0.2">
      <c r="I1276" s="137" t="s">
        <v>74</v>
      </c>
    </row>
    <row r="1277" spans="9:9" x14ac:dyDescent="0.2">
      <c r="I1277" s="137" t="s">
        <v>74</v>
      </c>
    </row>
    <row r="1278" spans="9:9" x14ac:dyDescent="0.2">
      <c r="I1278" s="137" t="s">
        <v>74</v>
      </c>
    </row>
    <row r="1279" spans="9:9" x14ac:dyDescent="0.2">
      <c r="I1279" s="137" t="s">
        <v>74</v>
      </c>
    </row>
    <row r="1280" spans="9:9" x14ac:dyDescent="0.2">
      <c r="I1280" s="137" t="s">
        <v>74</v>
      </c>
    </row>
    <row r="1281" spans="9:9" x14ac:dyDescent="0.2">
      <c r="I1281" s="137" t="s">
        <v>74</v>
      </c>
    </row>
    <row r="1282" spans="9:9" x14ac:dyDescent="0.2">
      <c r="I1282" s="137" t="s">
        <v>74</v>
      </c>
    </row>
    <row r="1283" spans="9:9" x14ac:dyDescent="0.2">
      <c r="I1283" s="137" t="s">
        <v>74</v>
      </c>
    </row>
    <row r="1284" spans="9:9" x14ac:dyDescent="0.2">
      <c r="I1284" s="137" t="s">
        <v>74</v>
      </c>
    </row>
    <row r="1285" spans="9:9" x14ac:dyDescent="0.2">
      <c r="I1285" s="137" t="s">
        <v>74</v>
      </c>
    </row>
    <row r="1286" spans="9:9" x14ac:dyDescent="0.2">
      <c r="I1286" s="137" t="s">
        <v>74</v>
      </c>
    </row>
    <row r="1287" spans="9:9" x14ac:dyDescent="0.2">
      <c r="I1287" s="137" t="s">
        <v>74</v>
      </c>
    </row>
    <row r="1288" spans="9:9" x14ac:dyDescent="0.2">
      <c r="I1288" s="137" t="s">
        <v>74</v>
      </c>
    </row>
    <row r="1289" spans="9:9" x14ac:dyDescent="0.2">
      <c r="I1289" s="137" t="s">
        <v>74</v>
      </c>
    </row>
    <row r="1290" spans="9:9" x14ac:dyDescent="0.2">
      <c r="I1290" s="137" t="s">
        <v>74</v>
      </c>
    </row>
    <row r="1291" spans="9:9" x14ac:dyDescent="0.2">
      <c r="I1291" s="137" t="s">
        <v>74</v>
      </c>
    </row>
    <row r="1292" spans="9:9" x14ac:dyDescent="0.2">
      <c r="I1292" s="137" t="s">
        <v>74</v>
      </c>
    </row>
    <row r="1293" spans="9:9" x14ac:dyDescent="0.2">
      <c r="I1293" s="137" t="s">
        <v>74</v>
      </c>
    </row>
    <row r="1294" spans="9:9" x14ac:dyDescent="0.2">
      <c r="I1294" s="137" t="s">
        <v>74</v>
      </c>
    </row>
    <row r="1295" spans="9:9" x14ac:dyDescent="0.2">
      <c r="I1295" s="137" t="s">
        <v>74</v>
      </c>
    </row>
    <row r="1296" spans="9:9" x14ac:dyDescent="0.2">
      <c r="I1296" s="137" t="s">
        <v>74</v>
      </c>
    </row>
    <row r="1297" spans="9:9" x14ac:dyDescent="0.2">
      <c r="I1297" s="137" t="s">
        <v>74</v>
      </c>
    </row>
    <row r="1298" spans="9:9" x14ac:dyDescent="0.2">
      <c r="I1298" s="137" t="s">
        <v>74</v>
      </c>
    </row>
    <row r="1299" spans="9:9" x14ac:dyDescent="0.2">
      <c r="I1299" s="137" t="s">
        <v>74</v>
      </c>
    </row>
    <row r="1300" spans="9:9" x14ac:dyDescent="0.2">
      <c r="I1300" s="137" t="s">
        <v>74</v>
      </c>
    </row>
    <row r="1301" spans="9:9" x14ac:dyDescent="0.2">
      <c r="I1301" s="137" t="s">
        <v>74</v>
      </c>
    </row>
    <row r="1302" spans="9:9" x14ac:dyDescent="0.2">
      <c r="I1302" s="137" t="s">
        <v>74</v>
      </c>
    </row>
    <row r="1303" spans="9:9" x14ac:dyDescent="0.2">
      <c r="I1303" s="137" t="s">
        <v>74</v>
      </c>
    </row>
    <row r="1304" spans="9:9" x14ac:dyDescent="0.2">
      <c r="I1304" s="137" t="s">
        <v>74</v>
      </c>
    </row>
    <row r="1305" spans="9:9" x14ac:dyDescent="0.2">
      <c r="I1305" s="137" t="s">
        <v>74</v>
      </c>
    </row>
    <row r="1306" spans="9:9" x14ac:dyDescent="0.2">
      <c r="I1306" s="137" t="s">
        <v>74</v>
      </c>
    </row>
    <row r="1307" spans="9:9" x14ac:dyDescent="0.2">
      <c r="I1307" s="137" t="s">
        <v>74</v>
      </c>
    </row>
    <row r="1308" spans="9:9" x14ac:dyDescent="0.2">
      <c r="I1308" s="137" t="s">
        <v>74</v>
      </c>
    </row>
    <row r="1309" spans="9:9" x14ac:dyDescent="0.2">
      <c r="I1309" s="137" t="s">
        <v>74</v>
      </c>
    </row>
    <row r="1310" spans="9:9" x14ac:dyDescent="0.2">
      <c r="I1310" s="137" t="s">
        <v>74</v>
      </c>
    </row>
    <row r="1311" spans="9:9" x14ac:dyDescent="0.2">
      <c r="I1311" s="137" t="s">
        <v>74</v>
      </c>
    </row>
    <row r="1312" spans="9:9" x14ac:dyDescent="0.2">
      <c r="I1312" s="137" t="s">
        <v>74</v>
      </c>
    </row>
    <row r="1313" spans="9:9" x14ac:dyDescent="0.2">
      <c r="I1313" s="137" t="s">
        <v>74</v>
      </c>
    </row>
    <row r="1314" spans="9:9" x14ac:dyDescent="0.2">
      <c r="I1314" s="137" t="s">
        <v>74</v>
      </c>
    </row>
    <row r="1315" spans="9:9" x14ac:dyDescent="0.2">
      <c r="I1315" s="137" t="s">
        <v>74</v>
      </c>
    </row>
    <row r="1316" spans="9:9" x14ac:dyDescent="0.2">
      <c r="I1316" s="137" t="s">
        <v>74</v>
      </c>
    </row>
    <row r="1317" spans="9:9" x14ac:dyDescent="0.2">
      <c r="I1317" s="137" t="s">
        <v>74</v>
      </c>
    </row>
    <row r="1318" spans="9:9" x14ac:dyDescent="0.2">
      <c r="I1318" s="137" t="s">
        <v>74</v>
      </c>
    </row>
    <row r="1319" spans="9:9" x14ac:dyDescent="0.2">
      <c r="I1319" s="137" t="s">
        <v>74</v>
      </c>
    </row>
    <row r="1320" spans="9:9" x14ac:dyDescent="0.2">
      <c r="I1320" s="137" t="s">
        <v>74</v>
      </c>
    </row>
    <row r="1321" spans="9:9" x14ac:dyDescent="0.2">
      <c r="I1321" s="137" t="s">
        <v>74</v>
      </c>
    </row>
    <row r="1322" spans="9:9" x14ac:dyDescent="0.2">
      <c r="I1322" s="137" t="s">
        <v>74</v>
      </c>
    </row>
    <row r="1323" spans="9:9" x14ac:dyDescent="0.2">
      <c r="I1323" s="137" t="s">
        <v>74</v>
      </c>
    </row>
    <row r="1324" spans="9:9" x14ac:dyDescent="0.2">
      <c r="I1324" s="137" t="s">
        <v>74</v>
      </c>
    </row>
    <row r="1325" spans="9:9" x14ac:dyDescent="0.2">
      <c r="I1325" s="137" t="s">
        <v>74</v>
      </c>
    </row>
    <row r="1326" spans="9:9" x14ac:dyDescent="0.2">
      <c r="I1326" s="137" t="s">
        <v>74</v>
      </c>
    </row>
    <row r="1327" spans="9:9" x14ac:dyDescent="0.2">
      <c r="I1327" s="137" t="s">
        <v>74</v>
      </c>
    </row>
    <row r="1328" spans="9:9" x14ac:dyDescent="0.2">
      <c r="I1328" s="137" t="s">
        <v>74</v>
      </c>
    </row>
    <row r="1329" spans="9:9" x14ac:dyDescent="0.2">
      <c r="I1329" s="137" t="s">
        <v>74</v>
      </c>
    </row>
    <row r="1330" spans="9:9" x14ac:dyDescent="0.2">
      <c r="I1330" s="137" t="s">
        <v>74</v>
      </c>
    </row>
    <row r="1331" spans="9:9" x14ac:dyDescent="0.2">
      <c r="I1331" s="137" t="s">
        <v>74</v>
      </c>
    </row>
    <row r="1332" spans="9:9" x14ac:dyDescent="0.2">
      <c r="I1332" s="137" t="s">
        <v>74</v>
      </c>
    </row>
    <row r="1333" spans="9:9" x14ac:dyDescent="0.2">
      <c r="I1333" s="137" t="s">
        <v>74</v>
      </c>
    </row>
    <row r="1334" spans="9:9" x14ac:dyDescent="0.2">
      <c r="I1334" s="137" t="s">
        <v>74</v>
      </c>
    </row>
    <row r="1335" spans="9:9" x14ac:dyDescent="0.2">
      <c r="I1335" s="137" t="s">
        <v>74</v>
      </c>
    </row>
    <row r="1336" spans="9:9" x14ac:dyDescent="0.2">
      <c r="I1336" s="137" t="s">
        <v>74</v>
      </c>
    </row>
    <row r="1337" spans="9:9" x14ac:dyDescent="0.2">
      <c r="I1337" s="137" t="s">
        <v>74</v>
      </c>
    </row>
    <row r="1338" spans="9:9" x14ac:dyDescent="0.2">
      <c r="I1338" s="137" t="s">
        <v>74</v>
      </c>
    </row>
    <row r="1339" spans="9:9" x14ac:dyDescent="0.2">
      <c r="I1339" s="137" t="s">
        <v>74</v>
      </c>
    </row>
    <row r="1340" spans="9:9" x14ac:dyDescent="0.2">
      <c r="I1340" s="137" t="s">
        <v>74</v>
      </c>
    </row>
    <row r="1341" spans="9:9" x14ac:dyDescent="0.2">
      <c r="I1341" s="137" t="s">
        <v>74</v>
      </c>
    </row>
    <row r="1342" spans="9:9" x14ac:dyDescent="0.2">
      <c r="I1342" s="137" t="s">
        <v>74</v>
      </c>
    </row>
    <row r="1343" spans="9:9" x14ac:dyDescent="0.2">
      <c r="I1343" s="137" t="s">
        <v>74</v>
      </c>
    </row>
    <row r="1344" spans="9:9" x14ac:dyDescent="0.2">
      <c r="I1344" s="137" t="s">
        <v>74</v>
      </c>
    </row>
    <row r="1345" spans="9:9" x14ac:dyDescent="0.2">
      <c r="I1345" s="137" t="s">
        <v>74</v>
      </c>
    </row>
    <row r="1346" spans="9:9" x14ac:dyDescent="0.2">
      <c r="I1346" s="137" t="s">
        <v>74</v>
      </c>
    </row>
    <row r="1347" spans="9:9" x14ac:dyDescent="0.2">
      <c r="I1347" s="137" t="s">
        <v>74</v>
      </c>
    </row>
    <row r="1348" spans="9:9" x14ac:dyDescent="0.2">
      <c r="I1348" s="137" t="s">
        <v>74</v>
      </c>
    </row>
    <row r="1349" spans="9:9" x14ac:dyDescent="0.2">
      <c r="I1349" s="137" t="s">
        <v>74</v>
      </c>
    </row>
    <row r="1350" spans="9:9" x14ac:dyDescent="0.2">
      <c r="I1350" s="137" t="s">
        <v>74</v>
      </c>
    </row>
    <row r="1351" spans="9:9" x14ac:dyDescent="0.2">
      <c r="I1351" s="137" t="s">
        <v>74</v>
      </c>
    </row>
    <row r="1352" spans="9:9" x14ac:dyDescent="0.2">
      <c r="I1352" s="137" t="s">
        <v>74</v>
      </c>
    </row>
    <row r="1353" spans="9:9" x14ac:dyDescent="0.2">
      <c r="I1353" s="137" t="s">
        <v>74</v>
      </c>
    </row>
    <row r="1354" spans="9:9" x14ac:dyDescent="0.2">
      <c r="I1354" s="137" t="s">
        <v>74</v>
      </c>
    </row>
    <row r="1355" spans="9:9" x14ac:dyDescent="0.2">
      <c r="I1355" s="137" t="s">
        <v>74</v>
      </c>
    </row>
    <row r="1356" spans="9:9" x14ac:dyDescent="0.2">
      <c r="I1356" s="137" t="s">
        <v>74</v>
      </c>
    </row>
    <row r="1357" spans="9:9" x14ac:dyDescent="0.2">
      <c r="I1357" s="137" t="s">
        <v>74</v>
      </c>
    </row>
    <row r="1358" spans="9:9" x14ac:dyDescent="0.2">
      <c r="I1358" s="137" t="s">
        <v>74</v>
      </c>
    </row>
    <row r="1359" spans="9:9" x14ac:dyDescent="0.2">
      <c r="I1359" s="137" t="s">
        <v>74</v>
      </c>
    </row>
    <row r="1360" spans="9:9" x14ac:dyDescent="0.2">
      <c r="I1360" s="137" t="s">
        <v>74</v>
      </c>
    </row>
    <row r="1361" spans="9:9" x14ac:dyDescent="0.2">
      <c r="I1361" s="137" t="s">
        <v>74</v>
      </c>
    </row>
    <row r="1362" spans="9:9" x14ac:dyDescent="0.2">
      <c r="I1362" s="137" t="s">
        <v>74</v>
      </c>
    </row>
    <row r="1363" spans="9:9" x14ac:dyDescent="0.2">
      <c r="I1363" s="137" t="s">
        <v>74</v>
      </c>
    </row>
    <row r="1364" spans="9:9" x14ac:dyDescent="0.2">
      <c r="I1364" s="137" t="s">
        <v>74</v>
      </c>
    </row>
    <row r="1365" spans="9:9" x14ac:dyDescent="0.2">
      <c r="I1365" s="137" t="s">
        <v>74</v>
      </c>
    </row>
    <row r="1366" spans="9:9" x14ac:dyDescent="0.2">
      <c r="I1366" s="137" t="s">
        <v>74</v>
      </c>
    </row>
    <row r="1367" spans="9:9" x14ac:dyDescent="0.2">
      <c r="I1367" s="137" t="s">
        <v>74</v>
      </c>
    </row>
    <row r="1368" spans="9:9" x14ac:dyDescent="0.2">
      <c r="I1368" s="137" t="s">
        <v>74</v>
      </c>
    </row>
    <row r="1369" spans="9:9" x14ac:dyDescent="0.2">
      <c r="I1369" s="137" t="s">
        <v>74</v>
      </c>
    </row>
    <row r="1370" spans="9:9" x14ac:dyDescent="0.2">
      <c r="I1370" s="137" t="s">
        <v>74</v>
      </c>
    </row>
    <row r="1371" spans="9:9" x14ac:dyDescent="0.2">
      <c r="I1371" s="137" t="s">
        <v>74</v>
      </c>
    </row>
    <row r="1372" spans="9:9" x14ac:dyDescent="0.2">
      <c r="I1372" s="137" t="s">
        <v>74</v>
      </c>
    </row>
    <row r="1373" spans="9:9" x14ac:dyDescent="0.2">
      <c r="I1373" s="137" t="s">
        <v>74</v>
      </c>
    </row>
    <row r="1374" spans="9:9" x14ac:dyDescent="0.2">
      <c r="I1374" s="137" t="s">
        <v>74</v>
      </c>
    </row>
    <row r="1375" spans="9:9" x14ac:dyDescent="0.2">
      <c r="I1375" s="137" t="s">
        <v>74</v>
      </c>
    </row>
    <row r="1376" spans="9:9" x14ac:dyDescent="0.2">
      <c r="I1376" s="137" t="s">
        <v>74</v>
      </c>
    </row>
    <row r="1377" spans="9:9" x14ac:dyDescent="0.2">
      <c r="I1377" s="137" t="s">
        <v>74</v>
      </c>
    </row>
    <row r="1378" spans="9:9" x14ac:dyDescent="0.2">
      <c r="I1378" s="137" t="s">
        <v>74</v>
      </c>
    </row>
    <row r="1379" spans="9:9" x14ac:dyDescent="0.2">
      <c r="I1379" s="137" t="s">
        <v>74</v>
      </c>
    </row>
    <row r="1380" spans="9:9" x14ac:dyDescent="0.2">
      <c r="I1380" s="137" t="s">
        <v>74</v>
      </c>
    </row>
    <row r="1381" spans="9:9" x14ac:dyDescent="0.2">
      <c r="I1381" s="137" t="s">
        <v>74</v>
      </c>
    </row>
    <row r="1382" spans="9:9" x14ac:dyDescent="0.2">
      <c r="I1382" s="137" t="s">
        <v>74</v>
      </c>
    </row>
    <row r="1383" spans="9:9" x14ac:dyDescent="0.2">
      <c r="I1383" s="137" t="s">
        <v>74</v>
      </c>
    </row>
    <row r="1384" spans="9:9" x14ac:dyDescent="0.2">
      <c r="I1384" s="137" t="s">
        <v>74</v>
      </c>
    </row>
    <row r="1385" spans="9:9" x14ac:dyDescent="0.2">
      <c r="I1385" s="137" t="s">
        <v>74</v>
      </c>
    </row>
    <row r="1386" spans="9:9" x14ac:dyDescent="0.2">
      <c r="I1386" s="137" t="s">
        <v>74</v>
      </c>
    </row>
    <row r="1387" spans="9:9" x14ac:dyDescent="0.2">
      <c r="I1387" s="137" t="s">
        <v>74</v>
      </c>
    </row>
    <row r="1388" spans="9:9" x14ac:dyDescent="0.2">
      <c r="I1388" s="137" t="s">
        <v>74</v>
      </c>
    </row>
    <row r="1389" spans="9:9" x14ac:dyDescent="0.2">
      <c r="I1389" s="137" t="s">
        <v>74</v>
      </c>
    </row>
    <row r="1390" spans="9:9" x14ac:dyDescent="0.2">
      <c r="I1390" s="137" t="s">
        <v>74</v>
      </c>
    </row>
    <row r="1391" spans="9:9" x14ac:dyDescent="0.2">
      <c r="I1391" s="137" t="s">
        <v>74</v>
      </c>
    </row>
    <row r="1392" spans="9:9" x14ac:dyDescent="0.2">
      <c r="I1392" s="137" t="s">
        <v>74</v>
      </c>
    </row>
    <row r="1393" spans="9:9" x14ac:dyDescent="0.2">
      <c r="I1393" s="137" t="s">
        <v>74</v>
      </c>
    </row>
    <row r="1394" spans="9:9" x14ac:dyDescent="0.2">
      <c r="I1394" s="137" t="s">
        <v>74</v>
      </c>
    </row>
    <row r="1395" spans="9:9" x14ac:dyDescent="0.2">
      <c r="I1395" s="137" t="s">
        <v>74</v>
      </c>
    </row>
    <row r="1396" spans="9:9" x14ac:dyDescent="0.2">
      <c r="I1396" s="137" t="s">
        <v>74</v>
      </c>
    </row>
    <row r="1397" spans="9:9" x14ac:dyDescent="0.2">
      <c r="I1397" s="137" t="s">
        <v>74</v>
      </c>
    </row>
    <row r="1398" spans="9:9" x14ac:dyDescent="0.2">
      <c r="I1398" s="137" t="s">
        <v>74</v>
      </c>
    </row>
    <row r="1399" spans="9:9" x14ac:dyDescent="0.2">
      <c r="I1399" s="137" t="s">
        <v>74</v>
      </c>
    </row>
    <row r="1400" spans="9:9" x14ac:dyDescent="0.2">
      <c r="I1400" s="137" t="s">
        <v>74</v>
      </c>
    </row>
    <row r="1401" spans="9:9" x14ac:dyDescent="0.2">
      <c r="I1401" s="137" t="s">
        <v>74</v>
      </c>
    </row>
    <row r="1402" spans="9:9" x14ac:dyDescent="0.2">
      <c r="I1402" s="137" t="s">
        <v>74</v>
      </c>
    </row>
    <row r="1403" spans="9:9" x14ac:dyDescent="0.2">
      <c r="I1403" s="137" t="s">
        <v>74</v>
      </c>
    </row>
    <row r="1404" spans="9:9" x14ac:dyDescent="0.2">
      <c r="I1404" s="137" t="s">
        <v>74</v>
      </c>
    </row>
    <row r="1405" spans="9:9" x14ac:dyDescent="0.2">
      <c r="I1405" s="137" t="s">
        <v>74</v>
      </c>
    </row>
    <row r="1406" spans="9:9" x14ac:dyDescent="0.2">
      <c r="I1406" s="137" t="s">
        <v>74</v>
      </c>
    </row>
    <row r="1407" spans="9:9" x14ac:dyDescent="0.2">
      <c r="I1407" s="137" t="s">
        <v>74</v>
      </c>
    </row>
    <row r="1408" spans="9:9" x14ac:dyDescent="0.2">
      <c r="I1408" s="137" t="s">
        <v>74</v>
      </c>
    </row>
    <row r="1409" spans="9:9" x14ac:dyDescent="0.2">
      <c r="I1409" s="137" t="s">
        <v>74</v>
      </c>
    </row>
    <row r="1410" spans="9:9" x14ac:dyDescent="0.2">
      <c r="I1410" s="137" t="s">
        <v>74</v>
      </c>
    </row>
    <row r="1411" spans="9:9" x14ac:dyDescent="0.2">
      <c r="I1411" s="137" t="s">
        <v>74</v>
      </c>
    </row>
    <row r="1412" spans="9:9" x14ac:dyDescent="0.2">
      <c r="I1412" s="137" t="s">
        <v>74</v>
      </c>
    </row>
    <row r="1413" spans="9:9" x14ac:dyDescent="0.2">
      <c r="I1413" s="137" t="s">
        <v>74</v>
      </c>
    </row>
    <row r="1414" spans="9:9" x14ac:dyDescent="0.2">
      <c r="I1414" s="137" t="s">
        <v>74</v>
      </c>
    </row>
    <row r="1415" spans="9:9" x14ac:dyDescent="0.2">
      <c r="I1415" s="137" t="s">
        <v>74</v>
      </c>
    </row>
    <row r="1416" spans="9:9" x14ac:dyDescent="0.2">
      <c r="I1416" s="137" t="s">
        <v>74</v>
      </c>
    </row>
    <row r="1417" spans="9:9" x14ac:dyDescent="0.2">
      <c r="I1417" s="137" t="s">
        <v>74</v>
      </c>
    </row>
    <row r="1418" spans="9:9" x14ac:dyDescent="0.2">
      <c r="I1418" s="137" t="s">
        <v>74</v>
      </c>
    </row>
    <row r="1419" spans="9:9" x14ac:dyDescent="0.2">
      <c r="I1419" s="137" t="s">
        <v>74</v>
      </c>
    </row>
    <row r="1420" spans="9:9" x14ac:dyDescent="0.2">
      <c r="I1420" s="137" t="s">
        <v>74</v>
      </c>
    </row>
    <row r="1421" spans="9:9" x14ac:dyDescent="0.2">
      <c r="I1421" s="137" t="s">
        <v>74</v>
      </c>
    </row>
    <row r="1422" spans="9:9" x14ac:dyDescent="0.2">
      <c r="I1422" s="137" t="s">
        <v>74</v>
      </c>
    </row>
    <row r="1423" spans="9:9" x14ac:dyDescent="0.2">
      <c r="I1423" s="137" t="s">
        <v>74</v>
      </c>
    </row>
    <row r="1424" spans="9:9" x14ac:dyDescent="0.2">
      <c r="I1424" s="137" t="s">
        <v>74</v>
      </c>
    </row>
    <row r="1425" spans="9:9" x14ac:dyDescent="0.2">
      <c r="I1425" s="137" t="s">
        <v>74</v>
      </c>
    </row>
    <row r="1426" spans="9:9" x14ac:dyDescent="0.2">
      <c r="I1426" s="137" t="s">
        <v>74</v>
      </c>
    </row>
    <row r="1427" spans="9:9" x14ac:dyDescent="0.2">
      <c r="I1427" s="137" t="s">
        <v>74</v>
      </c>
    </row>
    <row r="1428" spans="9:9" x14ac:dyDescent="0.2">
      <c r="I1428" s="137" t="s">
        <v>74</v>
      </c>
    </row>
    <row r="1429" spans="9:9" x14ac:dyDescent="0.2">
      <c r="I1429" s="137" t="s">
        <v>74</v>
      </c>
    </row>
    <row r="1430" spans="9:9" x14ac:dyDescent="0.2">
      <c r="I1430" s="137" t="s">
        <v>74</v>
      </c>
    </row>
    <row r="1431" spans="9:9" x14ac:dyDescent="0.2">
      <c r="I1431" s="137" t="s">
        <v>74</v>
      </c>
    </row>
    <row r="1432" spans="9:9" x14ac:dyDescent="0.2">
      <c r="I1432" s="137" t="s">
        <v>74</v>
      </c>
    </row>
    <row r="1433" spans="9:9" x14ac:dyDescent="0.2">
      <c r="I1433" s="137" t="s">
        <v>74</v>
      </c>
    </row>
    <row r="1434" spans="9:9" x14ac:dyDescent="0.2">
      <c r="I1434" s="137" t="s">
        <v>74</v>
      </c>
    </row>
    <row r="1435" spans="9:9" x14ac:dyDescent="0.2">
      <c r="I1435" s="137" t="s">
        <v>74</v>
      </c>
    </row>
    <row r="1436" spans="9:9" x14ac:dyDescent="0.2">
      <c r="I1436" s="137" t="s">
        <v>74</v>
      </c>
    </row>
    <row r="1437" spans="9:9" x14ac:dyDescent="0.2">
      <c r="I1437" s="137" t="s">
        <v>74</v>
      </c>
    </row>
    <row r="1438" spans="9:9" x14ac:dyDescent="0.2">
      <c r="I1438" s="137" t="s">
        <v>74</v>
      </c>
    </row>
    <row r="1439" spans="9:9" x14ac:dyDescent="0.2">
      <c r="I1439" s="137" t="s">
        <v>74</v>
      </c>
    </row>
    <row r="1440" spans="9:9" x14ac:dyDescent="0.2">
      <c r="I1440" s="137" t="s">
        <v>74</v>
      </c>
    </row>
    <row r="1441" spans="9:9" x14ac:dyDescent="0.2">
      <c r="I1441" s="137" t="s">
        <v>74</v>
      </c>
    </row>
    <row r="1442" spans="9:9" x14ac:dyDescent="0.2">
      <c r="I1442" s="137" t="s">
        <v>74</v>
      </c>
    </row>
    <row r="1443" spans="9:9" x14ac:dyDescent="0.2">
      <c r="I1443" s="137" t="s">
        <v>74</v>
      </c>
    </row>
    <row r="1444" spans="9:9" x14ac:dyDescent="0.2">
      <c r="I1444" s="137" t="s">
        <v>74</v>
      </c>
    </row>
    <row r="1445" spans="9:9" x14ac:dyDescent="0.2">
      <c r="I1445" s="137" t="s">
        <v>74</v>
      </c>
    </row>
    <row r="1446" spans="9:9" x14ac:dyDescent="0.2">
      <c r="I1446" s="137" t="s">
        <v>74</v>
      </c>
    </row>
    <row r="1447" spans="9:9" x14ac:dyDescent="0.2">
      <c r="I1447" s="137" t="s">
        <v>74</v>
      </c>
    </row>
    <row r="1448" spans="9:9" x14ac:dyDescent="0.2">
      <c r="I1448" s="137" t="s">
        <v>74</v>
      </c>
    </row>
    <row r="1449" spans="9:9" x14ac:dyDescent="0.2">
      <c r="I1449" s="137" t="s">
        <v>74</v>
      </c>
    </row>
    <row r="1450" spans="9:9" x14ac:dyDescent="0.2">
      <c r="I1450" s="137" t="s">
        <v>74</v>
      </c>
    </row>
    <row r="1451" spans="9:9" x14ac:dyDescent="0.2">
      <c r="I1451" s="137" t="s">
        <v>74</v>
      </c>
    </row>
    <row r="1452" spans="9:9" x14ac:dyDescent="0.2">
      <c r="I1452" s="137" t="s">
        <v>74</v>
      </c>
    </row>
    <row r="1453" spans="9:9" x14ac:dyDescent="0.2">
      <c r="I1453" s="137" t="s">
        <v>74</v>
      </c>
    </row>
    <row r="1454" spans="9:9" x14ac:dyDescent="0.2">
      <c r="I1454" s="137" t="s">
        <v>74</v>
      </c>
    </row>
    <row r="1455" spans="9:9" x14ac:dyDescent="0.2">
      <c r="I1455" s="137" t="s">
        <v>74</v>
      </c>
    </row>
    <row r="1456" spans="9:9" x14ac:dyDescent="0.2">
      <c r="I1456" s="137" t="s">
        <v>74</v>
      </c>
    </row>
    <row r="1457" spans="9:9" x14ac:dyDescent="0.2">
      <c r="I1457" s="137" t="s">
        <v>74</v>
      </c>
    </row>
    <row r="1458" spans="9:9" x14ac:dyDescent="0.2">
      <c r="I1458" s="137" t="s">
        <v>74</v>
      </c>
    </row>
    <row r="1459" spans="9:9" x14ac:dyDescent="0.2">
      <c r="I1459" s="137" t="s">
        <v>74</v>
      </c>
    </row>
    <row r="1460" spans="9:9" x14ac:dyDescent="0.2">
      <c r="I1460" s="137" t="s">
        <v>74</v>
      </c>
    </row>
    <row r="1461" spans="9:9" x14ac:dyDescent="0.2">
      <c r="I1461" s="137" t="s">
        <v>74</v>
      </c>
    </row>
    <row r="1462" spans="9:9" x14ac:dyDescent="0.2">
      <c r="I1462" s="137" t="s">
        <v>74</v>
      </c>
    </row>
    <row r="1463" spans="9:9" x14ac:dyDescent="0.2">
      <c r="I1463" s="137" t="s">
        <v>74</v>
      </c>
    </row>
    <row r="1464" spans="9:9" x14ac:dyDescent="0.2">
      <c r="I1464" s="137" t="s">
        <v>74</v>
      </c>
    </row>
    <row r="1465" spans="9:9" x14ac:dyDescent="0.2">
      <c r="I1465" s="137" t="s">
        <v>74</v>
      </c>
    </row>
    <row r="1466" spans="9:9" x14ac:dyDescent="0.2">
      <c r="I1466" s="137" t="s">
        <v>74</v>
      </c>
    </row>
    <row r="1467" spans="9:9" x14ac:dyDescent="0.2">
      <c r="I1467" s="137" t="s">
        <v>74</v>
      </c>
    </row>
    <row r="1468" spans="9:9" x14ac:dyDescent="0.2">
      <c r="I1468" s="137" t="s">
        <v>74</v>
      </c>
    </row>
    <row r="1469" spans="9:9" x14ac:dyDescent="0.2">
      <c r="I1469" s="137" t="s">
        <v>74</v>
      </c>
    </row>
    <row r="1470" spans="9:9" x14ac:dyDescent="0.2">
      <c r="I1470" s="137" t="s">
        <v>74</v>
      </c>
    </row>
    <row r="1471" spans="9:9" x14ac:dyDescent="0.2">
      <c r="I1471" s="137" t="s">
        <v>74</v>
      </c>
    </row>
    <row r="1472" spans="9:9" x14ac:dyDescent="0.2">
      <c r="I1472" s="137" t="s">
        <v>74</v>
      </c>
    </row>
    <row r="1473" spans="9:9" x14ac:dyDescent="0.2">
      <c r="I1473" s="137" t="s">
        <v>74</v>
      </c>
    </row>
    <row r="1474" spans="9:9" x14ac:dyDescent="0.2">
      <c r="I1474" s="137" t="s">
        <v>74</v>
      </c>
    </row>
    <row r="1475" spans="9:9" x14ac:dyDescent="0.2">
      <c r="I1475" s="137" t="s">
        <v>74</v>
      </c>
    </row>
    <row r="1476" spans="9:9" x14ac:dyDescent="0.2">
      <c r="I1476" s="137" t="s">
        <v>74</v>
      </c>
    </row>
    <row r="1477" spans="9:9" x14ac:dyDescent="0.2">
      <c r="I1477" s="137" t="s">
        <v>74</v>
      </c>
    </row>
    <row r="1478" spans="9:9" x14ac:dyDescent="0.2">
      <c r="I1478" s="137" t="s">
        <v>74</v>
      </c>
    </row>
    <row r="1479" spans="9:9" x14ac:dyDescent="0.2">
      <c r="I1479" s="137" t="s">
        <v>74</v>
      </c>
    </row>
    <row r="1480" spans="9:9" x14ac:dyDescent="0.2">
      <c r="I1480" s="137" t="s">
        <v>74</v>
      </c>
    </row>
    <row r="1481" spans="9:9" x14ac:dyDescent="0.2">
      <c r="I1481" s="137" t="s">
        <v>74</v>
      </c>
    </row>
    <row r="1482" spans="9:9" x14ac:dyDescent="0.2">
      <c r="I1482" s="137" t="s">
        <v>74</v>
      </c>
    </row>
    <row r="1483" spans="9:9" x14ac:dyDescent="0.2">
      <c r="I1483" s="137" t="s">
        <v>74</v>
      </c>
    </row>
    <row r="1484" spans="9:9" x14ac:dyDescent="0.2">
      <c r="I1484" s="137" t="s">
        <v>74</v>
      </c>
    </row>
    <row r="1485" spans="9:9" x14ac:dyDescent="0.2">
      <c r="I1485" s="137" t="s">
        <v>74</v>
      </c>
    </row>
    <row r="1486" spans="9:9" x14ac:dyDescent="0.2">
      <c r="I1486" s="137" t="s">
        <v>74</v>
      </c>
    </row>
    <row r="1487" spans="9:9" x14ac:dyDescent="0.2">
      <c r="I1487" s="137" t="s">
        <v>74</v>
      </c>
    </row>
    <row r="1488" spans="9:9" x14ac:dyDescent="0.2">
      <c r="I1488" s="137" t="s">
        <v>74</v>
      </c>
    </row>
    <row r="1489" spans="9:9" x14ac:dyDescent="0.2">
      <c r="I1489" s="137" t="s">
        <v>74</v>
      </c>
    </row>
    <row r="1490" spans="9:9" x14ac:dyDescent="0.2">
      <c r="I1490" s="137" t="s">
        <v>74</v>
      </c>
    </row>
    <row r="1491" spans="9:9" x14ac:dyDescent="0.2">
      <c r="I1491" s="137" t="s">
        <v>74</v>
      </c>
    </row>
    <row r="1492" spans="9:9" x14ac:dyDescent="0.2">
      <c r="I1492" s="137" t="s">
        <v>74</v>
      </c>
    </row>
    <row r="1493" spans="9:9" x14ac:dyDescent="0.2">
      <c r="I1493" s="137" t="s">
        <v>74</v>
      </c>
    </row>
    <row r="1494" spans="9:9" x14ac:dyDescent="0.2">
      <c r="I1494" s="137" t="s">
        <v>74</v>
      </c>
    </row>
    <row r="1495" spans="9:9" x14ac:dyDescent="0.2">
      <c r="I1495" s="137" t="s">
        <v>74</v>
      </c>
    </row>
    <row r="1496" spans="9:9" x14ac:dyDescent="0.2">
      <c r="I1496" s="137" t="s">
        <v>74</v>
      </c>
    </row>
    <row r="1497" spans="9:9" x14ac:dyDescent="0.2">
      <c r="I1497" s="137" t="s">
        <v>74</v>
      </c>
    </row>
    <row r="1498" spans="9:9" x14ac:dyDescent="0.2">
      <c r="I1498" s="137" t="s">
        <v>74</v>
      </c>
    </row>
    <row r="1499" spans="9:9" x14ac:dyDescent="0.2">
      <c r="I1499" s="137" t="s">
        <v>74</v>
      </c>
    </row>
    <row r="1500" spans="9:9" x14ac:dyDescent="0.2">
      <c r="I1500" s="137" t="s">
        <v>74</v>
      </c>
    </row>
    <row r="1501" spans="9:9" x14ac:dyDescent="0.2">
      <c r="I1501" s="137" t="s">
        <v>74</v>
      </c>
    </row>
    <row r="1502" spans="9:9" x14ac:dyDescent="0.2">
      <c r="I1502" s="137" t="s">
        <v>74</v>
      </c>
    </row>
    <row r="1503" spans="9:9" x14ac:dyDescent="0.2">
      <c r="I1503" s="137" t="s">
        <v>74</v>
      </c>
    </row>
    <row r="1504" spans="9:9" x14ac:dyDescent="0.2">
      <c r="I1504" s="137" t="s">
        <v>74</v>
      </c>
    </row>
    <row r="1505" spans="9:9" x14ac:dyDescent="0.2">
      <c r="I1505" s="137" t="s">
        <v>74</v>
      </c>
    </row>
    <row r="1506" spans="9:9" x14ac:dyDescent="0.2">
      <c r="I1506" s="137" t="s">
        <v>74</v>
      </c>
    </row>
    <row r="1507" spans="9:9" x14ac:dyDescent="0.2">
      <c r="I1507" s="137" t="s">
        <v>74</v>
      </c>
    </row>
    <row r="1508" spans="9:9" x14ac:dyDescent="0.2">
      <c r="I1508" s="137" t="s">
        <v>74</v>
      </c>
    </row>
    <row r="1509" spans="9:9" x14ac:dyDescent="0.2">
      <c r="I1509" s="137" t="s">
        <v>74</v>
      </c>
    </row>
    <row r="1510" spans="9:9" x14ac:dyDescent="0.2">
      <c r="I1510" s="137" t="s">
        <v>74</v>
      </c>
    </row>
    <row r="1511" spans="9:9" x14ac:dyDescent="0.2">
      <c r="I1511" s="137" t="s">
        <v>74</v>
      </c>
    </row>
    <row r="1512" spans="9:9" x14ac:dyDescent="0.2">
      <c r="I1512" s="137" t="s">
        <v>74</v>
      </c>
    </row>
    <row r="1513" spans="9:9" x14ac:dyDescent="0.2">
      <c r="I1513" s="137" t="s">
        <v>74</v>
      </c>
    </row>
    <row r="1514" spans="9:9" x14ac:dyDescent="0.2">
      <c r="I1514" s="137" t="s">
        <v>74</v>
      </c>
    </row>
    <row r="1515" spans="9:9" x14ac:dyDescent="0.2">
      <c r="I1515" s="137" t="s">
        <v>74</v>
      </c>
    </row>
    <row r="1516" spans="9:9" x14ac:dyDescent="0.2">
      <c r="I1516" s="137" t="s">
        <v>74</v>
      </c>
    </row>
    <row r="1517" spans="9:9" x14ac:dyDescent="0.2">
      <c r="I1517" s="137" t="s">
        <v>74</v>
      </c>
    </row>
    <row r="1518" spans="9:9" x14ac:dyDescent="0.2">
      <c r="I1518" s="137" t="s">
        <v>74</v>
      </c>
    </row>
    <row r="1519" spans="9:9" x14ac:dyDescent="0.2">
      <c r="I1519" s="137" t="s">
        <v>74</v>
      </c>
    </row>
    <row r="1520" spans="9:9" x14ac:dyDescent="0.2">
      <c r="I1520" s="137" t="s">
        <v>74</v>
      </c>
    </row>
    <row r="1521" spans="9:9" x14ac:dyDescent="0.2">
      <c r="I1521" s="137" t="s">
        <v>74</v>
      </c>
    </row>
    <row r="1522" spans="9:9" x14ac:dyDescent="0.2">
      <c r="I1522" s="137" t="s">
        <v>74</v>
      </c>
    </row>
    <row r="1523" spans="9:9" x14ac:dyDescent="0.2">
      <c r="I1523" s="137" t="s">
        <v>74</v>
      </c>
    </row>
    <row r="1524" spans="9:9" x14ac:dyDescent="0.2">
      <c r="I1524" s="137" t="s">
        <v>74</v>
      </c>
    </row>
    <row r="1525" spans="9:9" x14ac:dyDescent="0.2">
      <c r="I1525" s="137" t="s">
        <v>74</v>
      </c>
    </row>
    <row r="1526" spans="9:9" x14ac:dyDescent="0.2">
      <c r="I1526" s="137" t="s">
        <v>74</v>
      </c>
    </row>
    <row r="1527" spans="9:9" x14ac:dyDescent="0.2">
      <c r="I1527" s="137" t="s">
        <v>74</v>
      </c>
    </row>
    <row r="1528" spans="9:9" x14ac:dyDescent="0.2">
      <c r="I1528" s="137" t="s">
        <v>74</v>
      </c>
    </row>
    <row r="1529" spans="9:9" x14ac:dyDescent="0.2">
      <c r="I1529" s="137" t="s">
        <v>74</v>
      </c>
    </row>
    <row r="1530" spans="9:9" x14ac:dyDescent="0.2">
      <c r="I1530" s="137" t="s">
        <v>74</v>
      </c>
    </row>
    <row r="1531" spans="9:9" x14ac:dyDescent="0.2">
      <c r="I1531" s="137" t="s">
        <v>74</v>
      </c>
    </row>
    <row r="1532" spans="9:9" x14ac:dyDescent="0.2">
      <c r="I1532" s="137" t="s">
        <v>74</v>
      </c>
    </row>
    <row r="1533" spans="9:9" x14ac:dyDescent="0.2">
      <c r="I1533" s="137" t="s">
        <v>74</v>
      </c>
    </row>
    <row r="1534" spans="9:9" x14ac:dyDescent="0.2">
      <c r="I1534" s="137" t="s">
        <v>74</v>
      </c>
    </row>
    <row r="1535" spans="9:9" x14ac:dyDescent="0.2">
      <c r="I1535" s="137" t="s">
        <v>74</v>
      </c>
    </row>
    <row r="1536" spans="9:9" x14ac:dyDescent="0.2">
      <c r="I1536" s="137" t="s">
        <v>74</v>
      </c>
    </row>
    <row r="1537" spans="9:9" x14ac:dyDescent="0.2">
      <c r="I1537" s="137" t="s">
        <v>74</v>
      </c>
    </row>
    <row r="1538" spans="9:9" x14ac:dyDescent="0.2">
      <c r="I1538" s="137" t="s">
        <v>74</v>
      </c>
    </row>
    <row r="1539" spans="9:9" x14ac:dyDescent="0.2">
      <c r="I1539" s="137" t="s">
        <v>74</v>
      </c>
    </row>
    <row r="1540" spans="9:9" x14ac:dyDescent="0.2">
      <c r="I1540" s="137" t="s">
        <v>74</v>
      </c>
    </row>
    <row r="1541" spans="9:9" x14ac:dyDescent="0.2">
      <c r="I1541" s="137" t="s">
        <v>74</v>
      </c>
    </row>
    <row r="1542" spans="9:9" x14ac:dyDescent="0.2">
      <c r="I1542" s="137" t="s">
        <v>74</v>
      </c>
    </row>
    <row r="1543" spans="9:9" x14ac:dyDescent="0.2">
      <c r="I1543" s="137" t="s">
        <v>74</v>
      </c>
    </row>
    <row r="1544" spans="9:9" x14ac:dyDescent="0.2">
      <c r="I1544" s="137" t="s">
        <v>74</v>
      </c>
    </row>
    <row r="1545" spans="9:9" x14ac:dyDescent="0.2">
      <c r="I1545" s="137" t="s">
        <v>74</v>
      </c>
    </row>
    <row r="1546" spans="9:9" x14ac:dyDescent="0.2">
      <c r="I1546" s="137" t="s">
        <v>74</v>
      </c>
    </row>
    <row r="1547" spans="9:9" x14ac:dyDescent="0.2">
      <c r="I1547" s="137" t="s">
        <v>74</v>
      </c>
    </row>
    <row r="1548" spans="9:9" x14ac:dyDescent="0.2">
      <c r="I1548" s="137" t="s">
        <v>74</v>
      </c>
    </row>
    <row r="1549" spans="9:9" x14ac:dyDescent="0.2">
      <c r="I1549" s="137" t="s">
        <v>74</v>
      </c>
    </row>
    <row r="1550" spans="9:9" x14ac:dyDescent="0.2">
      <c r="I1550" s="137" t="s">
        <v>74</v>
      </c>
    </row>
    <row r="1551" spans="9:9" x14ac:dyDescent="0.2">
      <c r="I1551" s="137" t="s">
        <v>74</v>
      </c>
    </row>
    <row r="1552" spans="9:9" x14ac:dyDescent="0.2">
      <c r="I1552" s="137" t="s">
        <v>74</v>
      </c>
    </row>
    <row r="1553" spans="9:9" x14ac:dyDescent="0.2">
      <c r="I1553" s="137" t="s">
        <v>74</v>
      </c>
    </row>
    <row r="1554" spans="9:9" x14ac:dyDescent="0.2">
      <c r="I1554" s="137" t="s">
        <v>74</v>
      </c>
    </row>
    <row r="1555" spans="9:9" x14ac:dyDescent="0.2">
      <c r="I1555" s="137" t="s">
        <v>74</v>
      </c>
    </row>
    <row r="1556" spans="9:9" x14ac:dyDescent="0.2">
      <c r="I1556" s="137" t="s">
        <v>74</v>
      </c>
    </row>
    <row r="1557" spans="9:9" x14ac:dyDescent="0.2">
      <c r="I1557" s="137" t="s">
        <v>74</v>
      </c>
    </row>
    <row r="1558" spans="9:9" x14ac:dyDescent="0.2">
      <c r="I1558" s="137" t="s">
        <v>74</v>
      </c>
    </row>
    <row r="1559" spans="9:9" x14ac:dyDescent="0.2">
      <c r="I1559" s="137" t="s">
        <v>74</v>
      </c>
    </row>
    <row r="1560" spans="9:9" x14ac:dyDescent="0.2">
      <c r="I1560" s="137" t="s">
        <v>74</v>
      </c>
    </row>
    <row r="1561" spans="9:9" x14ac:dyDescent="0.2">
      <c r="I1561" s="137" t="s">
        <v>74</v>
      </c>
    </row>
    <row r="1562" spans="9:9" x14ac:dyDescent="0.2">
      <c r="I1562" s="137" t="s">
        <v>74</v>
      </c>
    </row>
    <row r="1563" spans="9:9" x14ac:dyDescent="0.2">
      <c r="I1563" s="137" t="s">
        <v>74</v>
      </c>
    </row>
    <row r="1564" spans="9:9" x14ac:dyDescent="0.2">
      <c r="I1564" s="137" t="s">
        <v>74</v>
      </c>
    </row>
    <row r="1565" spans="9:9" x14ac:dyDescent="0.2">
      <c r="I1565" s="137" t="s">
        <v>74</v>
      </c>
    </row>
    <row r="1566" spans="9:9" x14ac:dyDescent="0.2">
      <c r="I1566" s="137" t="s">
        <v>74</v>
      </c>
    </row>
    <row r="1567" spans="9:9" x14ac:dyDescent="0.2">
      <c r="I1567" s="137" t="s">
        <v>74</v>
      </c>
    </row>
    <row r="1568" spans="9:9" x14ac:dyDescent="0.2">
      <c r="I1568" s="137" t="s">
        <v>74</v>
      </c>
    </row>
    <row r="1569" spans="9:9" x14ac:dyDescent="0.2">
      <c r="I1569" s="137" t="s">
        <v>74</v>
      </c>
    </row>
    <row r="1570" spans="9:9" x14ac:dyDescent="0.2">
      <c r="I1570" s="137" t="s">
        <v>74</v>
      </c>
    </row>
    <row r="1571" spans="9:9" x14ac:dyDescent="0.2">
      <c r="I1571" s="137" t="s">
        <v>74</v>
      </c>
    </row>
    <row r="1572" spans="9:9" x14ac:dyDescent="0.2">
      <c r="I1572" s="137" t="s">
        <v>74</v>
      </c>
    </row>
    <row r="1573" spans="9:9" x14ac:dyDescent="0.2">
      <c r="I1573" s="137" t="s">
        <v>74</v>
      </c>
    </row>
    <row r="1574" spans="9:9" x14ac:dyDescent="0.2">
      <c r="I1574" s="137" t="s">
        <v>74</v>
      </c>
    </row>
    <row r="1575" spans="9:9" x14ac:dyDescent="0.2">
      <c r="I1575" s="137" t="s">
        <v>74</v>
      </c>
    </row>
    <row r="1576" spans="9:9" x14ac:dyDescent="0.2">
      <c r="I1576" s="137" t="s">
        <v>74</v>
      </c>
    </row>
    <row r="1577" spans="9:9" x14ac:dyDescent="0.2">
      <c r="I1577" s="137" t="s">
        <v>74</v>
      </c>
    </row>
    <row r="1578" spans="9:9" x14ac:dyDescent="0.2">
      <c r="I1578" s="137" t="s">
        <v>74</v>
      </c>
    </row>
    <row r="1579" spans="9:9" x14ac:dyDescent="0.2">
      <c r="I1579" s="137" t="s">
        <v>74</v>
      </c>
    </row>
    <row r="1580" spans="9:9" x14ac:dyDescent="0.2">
      <c r="I1580" s="137" t="s">
        <v>74</v>
      </c>
    </row>
    <row r="1581" spans="9:9" x14ac:dyDescent="0.2">
      <c r="I1581" s="137" t="s">
        <v>74</v>
      </c>
    </row>
    <row r="1582" spans="9:9" x14ac:dyDescent="0.2">
      <c r="I1582" s="137" t="s">
        <v>74</v>
      </c>
    </row>
    <row r="1583" spans="9:9" x14ac:dyDescent="0.2">
      <c r="I1583" s="137" t="s">
        <v>74</v>
      </c>
    </row>
    <row r="1584" spans="9:9" x14ac:dyDescent="0.2">
      <c r="I1584" s="137" t="s">
        <v>74</v>
      </c>
    </row>
    <row r="1585" spans="9:9" x14ac:dyDescent="0.2">
      <c r="I1585" s="137" t="s">
        <v>74</v>
      </c>
    </row>
    <row r="1586" spans="9:9" x14ac:dyDescent="0.2">
      <c r="I1586" s="137" t="s">
        <v>74</v>
      </c>
    </row>
    <row r="1587" spans="9:9" x14ac:dyDescent="0.2">
      <c r="I1587" s="137" t="s">
        <v>74</v>
      </c>
    </row>
    <row r="1588" spans="9:9" x14ac:dyDescent="0.2">
      <c r="I1588" s="137" t="s">
        <v>74</v>
      </c>
    </row>
    <row r="1589" spans="9:9" x14ac:dyDescent="0.2">
      <c r="I1589" s="137" t="s">
        <v>74</v>
      </c>
    </row>
    <row r="1590" spans="9:9" x14ac:dyDescent="0.2">
      <c r="I1590" s="137" t="s">
        <v>74</v>
      </c>
    </row>
    <row r="1591" spans="9:9" x14ac:dyDescent="0.2">
      <c r="I1591" s="137" t="s">
        <v>74</v>
      </c>
    </row>
    <row r="1592" spans="9:9" x14ac:dyDescent="0.2">
      <c r="I1592" s="137" t="s">
        <v>74</v>
      </c>
    </row>
    <row r="1593" spans="9:9" x14ac:dyDescent="0.2">
      <c r="I1593" s="137" t="s">
        <v>74</v>
      </c>
    </row>
    <row r="1594" spans="9:9" x14ac:dyDescent="0.2">
      <c r="I1594" s="137" t="s">
        <v>74</v>
      </c>
    </row>
    <row r="1595" spans="9:9" x14ac:dyDescent="0.2">
      <c r="I1595" s="137" t="s">
        <v>74</v>
      </c>
    </row>
    <row r="1596" spans="9:9" x14ac:dyDescent="0.2">
      <c r="I1596" s="137" t="s">
        <v>74</v>
      </c>
    </row>
    <row r="1597" spans="9:9" x14ac:dyDescent="0.2">
      <c r="I1597" s="137" t="s">
        <v>74</v>
      </c>
    </row>
    <row r="1598" spans="9:9" x14ac:dyDescent="0.2">
      <c r="I1598" s="137" t="s">
        <v>74</v>
      </c>
    </row>
    <row r="1599" spans="9:9" x14ac:dyDescent="0.2">
      <c r="I1599" s="137" t="s">
        <v>74</v>
      </c>
    </row>
    <row r="1600" spans="9:9" x14ac:dyDescent="0.2">
      <c r="I1600" s="137" t="s">
        <v>74</v>
      </c>
    </row>
    <row r="1601" spans="9:9" x14ac:dyDescent="0.2">
      <c r="I1601" s="137" t="s">
        <v>74</v>
      </c>
    </row>
    <row r="1602" spans="9:9" x14ac:dyDescent="0.2">
      <c r="I1602" s="137" t="s">
        <v>74</v>
      </c>
    </row>
    <row r="1603" spans="9:9" x14ac:dyDescent="0.2">
      <c r="I1603" s="137" t="s">
        <v>74</v>
      </c>
    </row>
    <row r="1604" spans="9:9" x14ac:dyDescent="0.2">
      <c r="I1604" s="137" t="s">
        <v>74</v>
      </c>
    </row>
    <row r="1605" spans="9:9" x14ac:dyDescent="0.2">
      <c r="I1605" s="137" t="s">
        <v>74</v>
      </c>
    </row>
    <row r="1606" spans="9:9" x14ac:dyDescent="0.2">
      <c r="I1606" s="137" t="s">
        <v>74</v>
      </c>
    </row>
    <row r="1607" spans="9:9" x14ac:dyDescent="0.2">
      <c r="I1607" s="137" t="s">
        <v>74</v>
      </c>
    </row>
    <row r="1608" spans="9:9" x14ac:dyDescent="0.2">
      <c r="I1608" s="137" t="s">
        <v>74</v>
      </c>
    </row>
    <row r="1609" spans="9:9" x14ac:dyDescent="0.2">
      <c r="I1609" s="137" t="s">
        <v>74</v>
      </c>
    </row>
    <row r="1610" spans="9:9" x14ac:dyDescent="0.2">
      <c r="I1610" s="137" t="s">
        <v>74</v>
      </c>
    </row>
    <row r="1611" spans="9:9" x14ac:dyDescent="0.2">
      <c r="I1611" s="137" t="s">
        <v>74</v>
      </c>
    </row>
    <row r="1612" spans="9:9" x14ac:dyDescent="0.2">
      <c r="I1612" s="137" t="s">
        <v>74</v>
      </c>
    </row>
    <row r="1613" spans="9:9" x14ac:dyDescent="0.2">
      <c r="I1613" s="137" t="s">
        <v>74</v>
      </c>
    </row>
    <row r="1614" spans="9:9" x14ac:dyDescent="0.2">
      <c r="I1614" s="137" t="s">
        <v>74</v>
      </c>
    </row>
    <row r="1615" spans="9:9" x14ac:dyDescent="0.2">
      <c r="I1615" s="137" t="s">
        <v>74</v>
      </c>
    </row>
    <row r="1616" spans="9:9" x14ac:dyDescent="0.2">
      <c r="I1616" s="137" t="s">
        <v>74</v>
      </c>
    </row>
    <row r="1617" spans="9:9" x14ac:dyDescent="0.2">
      <c r="I1617" s="137" t="s">
        <v>74</v>
      </c>
    </row>
    <row r="1618" spans="9:9" x14ac:dyDescent="0.2">
      <c r="I1618" s="137" t="s">
        <v>74</v>
      </c>
    </row>
    <row r="1619" spans="9:9" x14ac:dyDescent="0.2">
      <c r="I1619" s="137" t="s">
        <v>74</v>
      </c>
    </row>
    <row r="1620" spans="9:9" x14ac:dyDescent="0.2">
      <c r="I1620" s="137" t="s">
        <v>74</v>
      </c>
    </row>
    <row r="1621" spans="9:9" x14ac:dyDescent="0.2">
      <c r="I1621" s="137" t="s">
        <v>74</v>
      </c>
    </row>
    <row r="1622" spans="9:9" x14ac:dyDescent="0.2">
      <c r="I1622" s="137" t="s">
        <v>74</v>
      </c>
    </row>
    <row r="1623" spans="9:9" x14ac:dyDescent="0.2">
      <c r="I1623" s="137" t="s">
        <v>74</v>
      </c>
    </row>
    <row r="1624" spans="9:9" x14ac:dyDescent="0.2">
      <c r="I1624" s="137" t="s">
        <v>74</v>
      </c>
    </row>
    <row r="1625" spans="9:9" x14ac:dyDescent="0.2">
      <c r="I1625" s="137" t="s">
        <v>74</v>
      </c>
    </row>
    <row r="1626" spans="9:9" x14ac:dyDescent="0.2">
      <c r="I1626" s="137" t="s">
        <v>74</v>
      </c>
    </row>
    <row r="1627" spans="9:9" x14ac:dyDescent="0.2">
      <c r="I1627" s="137" t="s">
        <v>74</v>
      </c>
    </row>
    <row r="1628" spans="9:9" x14ac:dyDescent="0.2">
      <c r="I1628" s="137" t="s">
        <v>74</v>
      </c>
    </row>
    <row r="1629" spans="9:9" x14ac:dyDescent="0.2">
      <c r="I1629" s="137" t="s">
        <v>74</v>
      </c>
    </row>
    <row r="1630" spans="9:9" x14ac:dyDescent="0.2">
      <c r="I1630" s="137" t="s">
        <v>74</v>
      </c>
    </row>
    <row r="1631" spans="9:9" x14ac:dyDescent="0.2">
      <c r="I1631" s="137" t="s">
        <v>74</v>
      </c>
    </row>
    <row r="1632" spans="9:9" x14ac:dyDescent="0.2">
      <c r="I1632" s="137" t="s">
        <v>74</v>
      </c>
    </row>
    <row r="1633" spans="9:9" x14ac:dyDescent="0.2">
      <c r="I1633" s="137" t="s">
        <v>74</v>
      </c>
    </row>
    <row r="1634" spans="9:9" x14ac:dyDescent="0.2">
      <c r="I1634" s="137" t="s">
        <v>74</v>
      </c>
    </row>
    <row r="1635" spans="9:9" x14ac:dyDescent="0.2">
      <c r="I1635" s="137" t="s">
        <v>74</v>
      </c>
    </row>
    <row r="1636" spans="9:9" x14ac:dyDescent="0.2">
      <c r="I1636" s="137" t="s">
        <v>74</v>
      </c>
    </row>
    <row r="1637" spans="9:9" x14ac:dyDescent="0.2">
      <c r="I1637" s="137" t="s">
        <v>74</v>
      </c>
    </row>
    <row r="1638" spans="9:9" x14ac:dyDescent="0.2">
      <c r="I1638" s="137" t="s">
        <v>74</v>
      </c>
    </row>
    <row r="1639" spans="9:9" x14ac:dyDescent="0.2">
      <c r="I1639" s="137" t="s">
        <v>74</v>
      </c>
    </row>
    <row r="1640" spans="9:9" x14ac:dyDescent="0.2">
      <c r="I1640" s="137" t="s">
        <v>74</v>
      </c>
    </row>
    <row r="1641" spans="9:9" x14ac:dyDescent="0.2">
      <c r="I1641" s="137" t="s">
        <v>74</v>
      </c>
    </row>
    <row r="1642" spans="9:9" x14ac:dyDescent="0.2">
      <c r="I1642" s="137" t="s">
        <v>74</v>
      </c>
    </row>
    <row r="1643" spans="9:9" x14ac:dyDescent="0.2">
      <c r="I1643" s="137" t="s">
        <v>74</v>
      </c>
    </row>
    <row r="1644" spans="9:9" x14ac:dyDescent="0.2">
      <c r="I1644" s="137" t="s">
        <v>74</v>
      </c>
    </row>
    <row r="1645" spans="9:9" x14ac:dyDescent="0.2">
      <c r="I1645" s="137" t="s">
        <v>74</v>
      </c>
    </row>
    <row r="1646" spans="9:9" x14ac:dyDescent="0.2">
      <c r="I1646" s="137" t="s">
        <v>74</v>
      </c>
    </row>
    <row r="1647" spans="9:9" x14ac:dyDescent="0.2">
      <c r="I1647" s="137" t="s">
        <v>74</v>
      </c>
    </row>
    <row r="1648" spans="9:9" x14ac:dyDescent="0.2">
      <c r="I1648" s="137" t="s">
        <v>74</v>
      </c>
    </row>
    <row r="1649" spans="9:9" x14ac:dyDescent="0.2">
      <c r="I1649" s="137" t="s">
        <v>74</v>
      </c>
    </row>
    <row r="1650" spans="9:9" x14ac:dyDescent="0.2">
      <c r="I1650" s="137" t="s">
        <v>74</v>
      </c>
    </row>
    <row r="1651" spans="9:9" x14ac:dyDescent="0.2">
      <c r="I1651" s="137" t="s">
        <v>74</v>
      </c>
    </row>
    <row r="1652" spans="9:9" x14ac:dyDescent="0.2">
      <c r="I1652" s="137" t="s">
        <v>74</v>
      </c>
    </row>
    <row r="1653" spans="9:9" x14ac:dyDescent="0.2">
      <c r="I1653" s="137" t="s">
        <v>74</v>
      </c>
    </row>
    <row r="1654" spans="9:9" x14ac:dyDescent="0.2">
      <c r="I1654" s="137" t="s">
        <v>74</v>
      </c>
    </row>
    <row r="1655" spans="9:9" x14ac:dyDescent="0.2">
      <c r="I1655" s="137" t="s">
        <v>74</v>
      </c>
    </row>
    <row r="1656" spans="9:9" x14ac:dyDescent="0.2">
      <c r="I1656" s="137" t="s">
        <v>74</v>
      </c>
    </row>
    <row r="1657" spans="9:9" x14ac:dyDescent="0.2">
      <c r="I1657" s="137" t="s">
        <v>74</v>
      </c>
    </row>
    <row r="1658" spans="9:9" x14ac:dyDescent="0.2">
      <c r="I1658" s="137" t="s">
        <v>74</v>
      </c>
    </row>
    <row r="1659" spans="9:9" x14ac:dyDescent="0.2">
      <c r="I1659" s="137" t="s">
        <v>74</v>
      </c>
    </row>
    <row r="1660" spans="9:9" x14ac:dyDescent="0.2">
      <c r="I1660" s="137" t="s">
        <v>74</v>
      </c>
    </row>
    <row r="1661" spans="9:9" x14ac:dyDescent="0.2">
      <c r="I1661" s="137" t="s">
        <v>74</v>
      </c>
    </row>
    <row r="1662" spans="9:9" x14ac:dyDescent="0.2">
      <c r="I1662" s="137" t="s">
        <v>74</v>
      </c>
    </row>
    <row r="1663" spans="9:9" x14ac:dyDescent="0.2">
      <c r="I1663" s="137" t="s">
        <v>74</v>
      </c>
    </row>
    <row r="1664" spans="9:9" x14ac:dyDescent="0.2">
      <c r="I1664" s="137" t="s">
        <v>74</v>
      </c>
    </row>
    <row r="1665" spans="9:9" x14ac:dyDescent="0.2">
      <c r="I1665" s="137" t="s">
        <v>74</v>
      </c>
    </row>
    <row r="1666" spans="9:9" x14ac:dyDescent="0.2">
      <c r="I1666" s="137" t="s">
        <v>74</v>
      </c>
    </row>
    <row r="1667" spans="9:9" x14ac:dyDescent="0.2">
      <c r="I1667" s="137" t="s">
        <v>74</v>
      </c>
    </row>
    <row r="1668" spans="9:9" x14ac:dyDescent="0.2">
      <c r="I1668" s="137" t="s">
        <v>74</v>
      </c>
    </row>
    <row r="1669" spans="9:9" x14ac:dyDescent="0.2">
      <c r="I1669" s="137" t="s">
        <v>74</v>
      </c>
    </row>
    <row r="1670" spans="9:9" x14ac:dyDescent="0.2">
      <c r="I1670" s="137" t="s">
        <v>74</v>
      </c>
    </row>
    <row r="1671" spans="9:9" x14ac:dyDescent="0.2">
      <c r="I1671" s="137" t="s">
        <v>74</v>
      </c>
    </row>
    <row r="1672" spans="9:9" x14ac:dyDescent="0.2">
      <c r="I1672" s="137" t="s">
        <v>74</v>
      </c>
    </row>
    <row r="1673" spans="9:9" x14ac:dyDescent="0.2">
      <c r="I1673" s="137" t="s">
        <v>74</v>
      </c>
    </row>
    <row r="1674" spans="9:9" x14ac:dyDescent="0.2">
      <c r="I1674" s="137" t="s">
        <v>74</v>
      </c>
    </row>
    <row r="1675" spans="9:9" x14ac:dyDescent="0.2">
      <c r="I1675" s="137" t="s">
        <v>74</v>
      </c>
    </row>
    <row r="1676" spans="9:9" x14ac:dyDescent="0.2">
      <c r="I1676" s="137" t="s">
        <v>74</v>
      </c>
    </row>
    <row r="1677" spans="9:9" x14ac:dyDescent="0.2">
      <c r="I1677" s="137" t="s">
        <v>74</v>
      </c>
    </row>
    <row r="1678" spans="9:9" x14ac:dyDescent="0.2">
      <c r="I1678" s="137" t="s">
        <v>74</v>
      </c>
    </row>
    <row r="1679" spans="9:9" x14ac:dyDescent="0.2">
      <c r="I1679" s="137" t="s">
        <v>74</v>
      </c>
    </row>
    <row r="1680" spans="9:9" x14ac:dyDescent="0.2">
      <c r="I1680" s="137" t="s">
        <v>74</v>
      </c>
    </row>
    <row r="1681" spans="9:9" x14ac:dyDescent="0.2">
      <c r="I1681" s="137" t="s">
        <v>74</v>
      </c>
    </row>
    <row r="1682" spans="9:9" x14ac:dyDescent="0.2">
      <c r="I1682" s="137" t="s">
        <v>74</v>
      </c>
    </row>
    <row r="1683" spans="9:9" x14ac:dyDescent="0.2">
      <c r="I1683" s="137" t="s">
        <v>74</v>
      </c>
    </row>
    <row r="1684" spans="9:9" x14ac:dyDescent="0.2">
      <c r="I1684" s="137" t="s">
        <v>74</v>
      </c>
    </row>
    <row r="1685" spans="9:9" x14ac:dyDescent="0.2">
      <c r="I1685" s="137" t="s">
        <v>74</v>
      </c>
    </row>
    <row r="1686" spans="9:9" x14ac:dyDescent="0.2">
      <c r="I1686" s="137" t="s">
        <v>74</v>
      </c>
    </row>
    <row r="1687" spans="9:9" x14ac:dyDescent="0.2">
      <c r="I1687" s="137" t="s">
        <v>74</v>
      </c>
    </row>
    <row r="1688" spans="9:9" x14ac:dyDescent="0.2">
      <c r="I1688" s="137" t="s">
        <v>74</v>
      </c>
    </row>
    <row r="1689" spans="9:9" x14ac:dyDescent="0.2">
      <c r="I1689" s="137" t="s">
        <v>74</v>
      </c>
    </row>
    <row r="1690" spans="9:9" x14ac:dyDescent="0.2">
      <c r="I1690" s="137" t="s">
        <v>74</v>
      </c>
    </row>
    <row r="1691" spans="9:9" x14ac:dyDescent="0.2">
      <c r="I1691" s="137" t="s">
        <v>74</v>
      </c>
    </row>
    <row r="1692" spans="9:9" x14ac:dyDescent="0.2">
      <c r="I1692" s="137" t="s">
        <v>74</v>
      </c>
    </row>
    <row r="1693" spans="9:9" x14ac:dyDescent="0.2">
      <c r="I1693" s="137" t="s">
        <v>74</v>
      </c>
    </row>
    <row r="1694" spans="9:9" x14ac:dyDescent="0.2">
      <c r="I1694" s="137" t="s">
        <v>74</v>
      </c>
    </row>
    <row r="1695" spans="9:9" x14ac:dyDescent="0.2">
      <c r="I1695" s="137" t="s">
        <v>74</v>
      </c>
    </row>
    <row r="1696" spans="9:9" x14ac:dyDescent="0.2">
      <c r="I1696" s="137" t="s">
        <v>74</v>
      </c>
    </row>
    <row r="1697" spans="9:9" x14ac:dyDescent="0.2">
      <c r="I1697" s="137" t="s">
        <v>74</v>
      </c>
    </row>
    <row r="1698" spans="9:9" x14ac:dyDescent="0.2">
      <c r="I1698" s="137" t="s">
        <v>74</v>
      </c>
    </row>
    <row r="1699" spans="9:9" x14ac:dyDescent="0.2">
      <c r="I1699" s="137" t="s">
        <v>74</v>
      </c>
    </row>
    <row r="1700" spans="9:9" x14ac:dyDescent="0.2">
      <c r="I1700" s="137" t="s">
        <v>74</v>
      </c>
    </row>
    <row r="1701" spans="9:9" x14ac:dyDescent="0.2">
      <c r="I1701" s="137" t="s">
        <v>74</v>
      </c>
    </row>
    <row r="1702" spans="9:9" x14ac:dyDescent="0.2">
      <c r="I1702" s="137" t="s">
        <v>74</v>
      </c>
    </row>
    <row r="1703" spans="9:9" x14ac:dyDescent="0.2">
      <c r="I1703" s="137" t="s">
        <v>74</v>
      </c>
    </row>
    <row r="1704" spans="9:9" x14ac:dyDescent="0.2">
      <c r="I1704" s="137" t="s">
        <v>74</v>
      </c>
    </row>
    <row r="1705" spans="9:9" x14ac:dyDescent="0.2">
      <c r="I1705" s="137" t="s">
        <v>74</v>
      </c>
    </row>
    <row r="1706" spans="9:9" x14ac:dyDescent="0.2">
      <c r="I1706" s="137" t="s">
        <v>74</v>
      </c>
    </row>
    <row r="1707" spans="9:9" x14ac:dyDescent="0.2">
      <c r="I1707" s="137" t="s">
        <v>74</v>
      </c>
    </row>
    <row r="1708" spans="9:9" x14ac:dyDescent="0.2">
      <c r="I1708" s="137" t="s">
        <v>74</v>
      </c>
    </row>
    <row r="1709" spans="9:9" x14ac:dyDescent="0.2">
      <c r="I1709" s="137" t="s">
        <v>74</v>
      </c>
    </row>
    <row r="1710" spans="9:9" x14ac:dyDescent="0.2">
      <c r="I1710" s="137" t="s">
        <v>74</v>
      </c>
    </row>
    <row r="1711" spans="9:9" x14ac:dyDescent="0.2">
      <c r="I1711" s="137" t="s">
        <v>74</v>
      </c>
    </row>
    <row r="1712" spans="9:9" x14ac:dyDescent="0.2">
      <c r="I1712" s="137" t="s">
        <v>74</v>
      </c>
    </row>
    <row r="1713" spans="9:9" x14ac:dyDescent="0.2">
      <c r="I1713" s="137" t="s">
        <v>74</v>
      </c>
    </row>
    <row r="1714" spans="9:9" x14ac:dyDescent="0.2">
      <c r="I1714" s="137" t="s">
        <v>74</v>
      </c>
    </row>
    <row r="1715" spans="9:9" x14ac:dyDescent="0.2">
      <c r="I1715" s="137" t="s">
        <v>74</v>
      </c>
    </row>
    <row r="1716" spans="9:9" x14ac:dyDescent="0.2">
      <c r="I1716" s="137" t="s">
        <v>74</v>
      </c>
    </row>
    <row r="1717" spans="9:9" x14ac:dyDescent="0.2">
      <c r="I1717" s="137" t="s">
        <v>74</v>
      </c>
    </row>
    <row r="1718" spans="9:9" x14ac:dyDescent="0.2">
      <c r="I1718" s="137" t="s">
        <v>74</v>
      </c>
    </row>
    <row r="1719" spans="9:9" x14ac:dyDescent="0.2">
      <c r="I1719" s="137" t="s">
        <v>74</v>
      </c>
    </row>
    <row r="1720" spans="9:9" x14ac:dyDescent="0.2">
      <c r="I1720" s="137" t="s">
        <v>74</v>
      </c>
    </row>
    <row r="1721" spans="9:9" x14ac:dyDescent="0.2">
      <c r="I1721" s="137" t="s">
        <v>74</v>
      </c>
    </row>
    <row r="1722" spans="9:9" x14ac:dyDescent="0.2">
      <c r="I1722" s="137" t="s">
        <v>74</v>
      </c>
    </row>
    <row r="1723" spans="9:9" x14ac:dyDescent="0.2">
      <c r="I1723" s="137" t="s">
        <v>74</v>
      </c>
    </row>
    <row r="1724" spans="9:9" x14ac:dyDescent="0.2">
      <c r="I1724" s="137" t="s">
        <v>74</v>
      </c>
    </row>
    <row r="1725" spans="9:9" x14ac:dyDescent="0.2">
      <c r="I1725" s="137" t="s">
        <v>74</v>
      </c>
    </row>
    <row r="1726" spans="9:9" x14ac:dyDescent="0.2">
      <c r="I1726" s="137" t="s">
        <v>74</v>
      </c>
    </row>
    <row r="1727" spans="9:9" x14ac:dyDescent="0.2">
      <c r="I1727" s="137" t="s">
        <v>74</v>
      </c>
    </row>
    <row r="1728" spans="9:9" x14ac:dyDescent="0.2">
      <c r="I1728" s="137" t="s">
        <v>74</v>
      </c>
    </row>
    <row r="1729" spans="9:9" x14ac:dyDescent="0.2">
      <c r="I1729" s="137" t="s">
        <v>74</v>
      </c>
    </row>
    <row r="1730" spans="9:9" x14ac:dyDescent="0.2">
      <c r="I1730" s="137" t="s">
        <v>74</v>
      </c>
    </row>
    <row r="1731" spans="9:9" x14ac:dyDescent="0.2">
      <c r="I1731" s="137" t="s">
        <v>74</v>
      </c>
    </row>
    <row r="1732" spans="9:9" x14ac:dyDescent="0.2">
      <c r="I1732" s="137" t="s">
        <v>74</v>
      </c>
    </row>
    <row r="1733" spans="9:9" x14ac:dyDescent="0.2">
      <c r="I1733" s="137" t="s">
        <v>74</v>
      </c>
    </row>
    <row r="1734" spans="9:9" x14ac:dyDescent="0.2">
      <c r="I1734" s="137" t="s">
        <v>74</v>
      </c>
    </row>
    <row r="1735" spans="9:9" x14ac:dyDescent="0.2">
      <c r="I1735" s="137" t="s">
        <v>74</v>
      </c>
    </row>
    <row r="1736" spans="9:9" x14ac:dyDescent="0.2">
      <c r="I1736" s="137" t="s">
        <v>74</v>
      </c>
    </row>
    <row r="1737" spans="9:9" x14ac:dyDescent="0.2">
      <c r="I1737" s="137" t="s">
        <v>74</v>
      </c>
    </row>
    <row r="1738" spans="9:9" x14ac:dyDescent="0.2">
      <c r="I1738" s="137" t="s">
        <v>74</v>
      </c>
    </row>
    <row r="1739" spans="9:9" x14ac:dyDescent="0.2">
      <c r="I1739" s="137" t="s">
        <v>74</v>
      </c>
    </row>
    <row r="1740" spans="9:9" x14ac:dyDescent="0.2">
      <c r="I1740" s="137" t="s">
        <v>74</v>
      </c>
    </row>
    <row r="1741" spans="9:9" x14ac:dyDescent="0.2">
      <c r="I1741" s="137" t="s">
        <v>74</v>
      </c>
    </row>
    <row r="1742" spans="9:9" x14ac:dyDescent="0.2">
      <c r="I1742" s="137" t="s">
        <v>74</v>
      </c>
    </row>
    <row r="1743" spans="9:9" x14ac:dyDescent="0.2">
      <c r="I1743" s="137" t="s">
        <v>74</v>
      </c>
    </row>
    <row r="1744" spans="9:9" x14ac:dyDescent="0.2">
      <c r="I1744" s="137" t="s">
        <v>74</v>
      </c>
    </row>
    <row r="1745" spans="9:9" x14ac:dyDescent="0.2">
      <c r="I1745" s="137" t="s">
        <v>74</v>
      </c>
    </row>
    <row r="1746" spans="9:9" x14ac:dyDescent="0.2">
      <c r="I1746" s="137" t="s">
        <v>74</v>
      </c>
    </row>
    <row r="1747" spans="9:9" x14ac:dyDescent="0.2">
      <c r="I1747" s="137" t="s">
        <v>74</v>
      </c>
    </row>
    <row r="1748" spans="9:9" x14ac:dyDescent="0.2">
      <c r="I1748" s="137" t="s">
        <v>74</v>
      </c>
    </row>
    <row r="1749" spans="9:9" x14ac:dyDescent="0.2">
      <c r="I1749" s="137" t="s">
        <v>74</v>
      </c>
    </row>
    <row r="1750" spans="9:9" x14ac:dyDescent="0.2">
      <c r="I1750" s="137" t="s">
        <v>74</v>
      </c>
    </row>
    <row r="1751" spans="9:9" x14ac:dyDescent="0.2">
      <c r="I1751" s="137" t="s">
        <v>74</v>
      </c>
    </row>
    <row r="1752" spans="9:9" x14ac:dyDescent="0.2">
      <c r="I1752" s="137" t="s">
        <v>74</v>
      </c>
    </row>
    <row r="1753" spans="9:9" x14ac:dyDescent="0.2">
      <c r="I1753" s="137" t="s">
        <v>74</v>
      </c>
    </row>
    <row r="1754" spans="9:9" x14ac:dyDescent="0.2">
      <c r="I1754" s="137" t="s">
        <v>74</v>
      </c>
    </row>
    <row r="1755" spans="9:9" x14ac:dyDescent="0.2">
      <c r="I1755" s="137" t="s">
        <v>74</v>
      </c>
    </row>
    <row r="1756" spans="9:9" x14ac:dyDescent="0.2">
      <c r="I1756" s="137" t="s">
        <v>74</v>
      </c>
    </row>
    <row r="1757" spans="9:9" x14ac:dyDescent="0.2">
      <c r="I1757" s="137" t="s">
        <v>74</v>
      </c>
    </row>
    <row r="1758" spans="9:9" x14ac:dyDescent="0.2">
      <c r="I1758" s="137" t="s">
        <v>74</v>
      </c>
    </row>
    <row r="1759" spans="9:9" x14ac:dyDescent="0.2">
      <c r="I1759" s="137" t="s">
        <v>74</v>
      </c>
    </row>
    <row r="1760" spans="9:9" x14ac:dyDescent="0.2">
      <c r="I1760" s="137" t="s">
        <v>74</v>
      </c>
    </row>
    <row r="1761" spans="9:9" x14ac:dyDescent="0.2">
      <c r="I1761" s="137" t="s">
        <v>74</v>
      </c>
    </row>
    <row r="1762" spans="9:9" x14ac:dyDescent="0.2">
      <c r="I1762" s="137" t="s">
        <v>74</v>
      </c>
    </row>
    <row r="1763" spans="9:9" x14ac:dyDescent="0.2">
      <c r="I1763" s="137" t="s">
        <v>74</v>
      </c>
    </row>
    <row r="1764" spans="9:9" x14ac:dyDescent="0.2">
      <c r="I1764" s="137" t="s">
        <v>74</v>
      </c>
    </row>
    <row r="1765" spans="9:9" x14ac:dyDescent="0.2">
      <c r="I1765" s="137" t="s">
        <v>74</v>
      </c>
    </row>
    <row r="1766" spans="9:9" x14ac:dyDescent="0.2">
      <c r="I1766" s="137" t="s">
        <v>74</v>
      </c>
    </row>
    <row r="1767" spans="9:9" x14ac:dyDescent="0.2">
      <c r="I1767" s="137" t="s">
        <v>74</v>
      </c>
    </row>
    <row r="1768" spans="9:9" x14ac:dyDescent="0.2">
      <c r="I1768" s="137" t="s">
        <v>74</v>
      </c>
    </row>
    <row r="1769" spans="9:9" x14ac:dyDescent="0.2">
      <c r="I1769" s="137" t="s">
        <v>74</v>
      </c>
    </row>
    <row r="1770" spans="9:9" x14ac:dyDescent="0.2">
      <c r="I1770" s="137" t="s">
        <v>74</v>
      </c>
    </row>
    <row r="1771" spans="9:9" x14ac:dyDescent="0.2">
      <c r="I1771" s="137" t="s">
        <v>74</v>
      </c>
    </row>
    <row r="1772" spans="9:9" x14ac:dyDescent="0.2">
      <c r="I1772" s="137" t="s">
        <v>74</v>
      </c>
    </row>
    <row r="1773" spans="9:9" x14ac:dyDescent="0.2">
      <c r="I1773" s="137" t="s">
        <v>74</v>
      </c>
    </row>
    <row r="1774" spans="9:9" x14ac:dyDescent="0.2">
      <c r="I1774" s="137" t="s">
        <v>74</v>
      </c>
    </row>
    <row r="1775" spans="9:9" x14ac:dyDescent="0.2">
      <c r="I1775" s="137" t="s">
        <v>74</v>
      </c>
    </row>
    <row r="1776" spans="9:9" x14ac:dyDescent="0.2">
      <c r="I1776" s="137" t="s">
        <v>74</v>
      </c>
    </row>
    <row r="1777" spans="9:9" x14ac:dyDescent="0.2">
      <c r="I1777" s="137" t="s">
        <v>74</v>
      </c>
    </row>
    <row r="1778" spans="9:9" x14ac:dyDescent="0.2">
      <c r="I1778" s="137" t="s">
        <v>74</v>
      </c>
    </row>
    <row r="1779" spans="9:9" x14ac:dyDescent="0.2">
      <c r="I1779" s="137" t="s">
        <v>74</v>
      </c>
    </row>
    <row r="1780" spans="9:9" x14ac:dyDescent="0.2">
      <c r="I1780" s="137" t="s">
        <v>74</v>
      </c>
    </row>
    <row r="1781" spans="9:9" x14ac:dyDescent="0.2">
      <c r="I1781" s="137" t="s">
        <v>74</v>
      </c>
    </row>
    <row r="1782" spans="9:9" x14ac:dyDescent="0.2">
      <c r="I1782" s="137" t="s">
        <v>74</v>
      </c>
    </row>
    <row r="1783" spans="9:9" x14ac:dyDescent="0.2">
      <c r="I1783" s="137" t="s">
        <v>74</v>
      </c>
    </row>
    <row r="1784" spans="9:9" x14ac:dyDescent="0.2">
      <c r="I1784" s="137" t="s">
        <v>74</v>
      </c>
    </row>
    <row r="1785" spans="9:9" x14ac:dyDescent="0.2">
      <c r="I1785" s="137" t="s">
        <v>74</v>
      </c>
    </row>
    <row r="1786" spans="9:9" x14ac:dyDescent="0.2">
      <c r="I1786" s="137" t="s">
        <v>74</v>
      </c>
    </row>
    <row r="1787" spans="9:9" x14ac:dyDescent="0.2">
      <c r="I1787" s="137" t="s">
        <v>74</v>
      </c>
    </row>
    <row r="1788" spans="9:9" x14ac:dyDescent="0.2">
      <c r="I1788" s="137" t="s">
        <v>74</v>
      </c>
    </row>
    <row r="1789" spans="9:9" x14ac:dyDescent="0.2">
      <c r="I1789" s="137" t="s">
        <v>74</v>
      </c>
    </row>
    <row r="1790" spans="9:9" x14ac:dyDescent="0.2">
      <c r="I1790" s="137" t="s">
        <v>74</v>
      </c>
    </row>
    <row r="1791" spans="9:9" x14ac:dyDescent="0.2">
      <c r="I1791" s="137" t="s">
        <v>74</v>
      </c>
    </row>
    <row r="1792" spans="9:9" x14ac:dyDescent="0.2">
      <c r="I1792" s="137" t="s">
        <v>74</v>
      </c>
    </row>
    <row r="1793" spans="9:9" x14ac:dyDescent="0.2">
      <c r="I1793" s="137" t="s">
        <v>74</v>
      </c>
    </row>
    <row r="1794" spans="9:9" x14ac:dyDescent="0.2">
      <c r="I1794" s="137" t="s">
        <v>74</v>
      </c>
    </row>
    <row r="1795" spans="9:9" x14ac:dyDescent="0.2">
      <c r="I1795" s="137" t="s">
        <v>74</v>
      </c>
    </row>
    <row r="1796" spans="9:9" x14ac:dyDescent="0.2">
      <c r="I1796" s="137" t="s">
        <v>74</v>
      </c>
    </row>
    <row r="1797" spans="9:9" x14ac:dyDescent="0.2">
      <c r="I1797" s="137" t="s">
        <v>74</v>
      </c>
    </row>
    <row r="1798" spans="9:9" x14ac:dyDescent="0.2">
      <c r="I1798" s="137" t="s">
        <v>74</v>
      </c>
    </row>
    <row r="1799" spans="9:9" x14ac:dyDescent="0.2">
      <c r="I1799" s="137" t="s">
        <v>74</v>
      </c>
    </row>
    <row r="1800" spans="9:9" x14ac:dyDescent="0.2">
      <c r="I1800" s="137" t="s">
        <v>74</v>
      </c>
    </row>
    <row r="1801" spans="9:9" x14ac:dyDescent="0.2">
      <c r="I1801" s="137" t="s">
        <v>74</v>
      </c>
    </row>
    <row r="1802" spans="9:9" x14ac:dyDescent="0.2">
      <c r="I1802" s="137" t="s">
        <v>74</v>
      </c>
    </row>
    <row r="1803" spans="9:9" x14ac:dyDescent="0.2">
      <c r="I1803" s="137" t="s">
        <v>74</v>
      </c>
    </row>
    <row r="1804" spans="9:9" x14ac:dyDescent="0.2">
      <c r="I1804" s="137" t="s">
        <v>74</v>
      </c>
    </row>
    <row r="1805" spans="9:9" x14ac:dyDescent="0.2">
      <c r="I1805" s="137" t="s">
        <v>74</v>
      </c>
    </row>
    <row r="1806" spans="9:9" x14ac:dyDescent="0.2">
      <c r="I1806" s="137" t="s">
        <v>74</v>
      </c>
    </row>
    <row r="1807" spans="9:9" x14ac:dyDescent="0.2">
      <c r="I1807" s="137" t="s">
        <v>74</v>
      </c>
    </row>
    <row r="1808" spans="9:9" x14ac:dyDescent="0.2">
      <c r="I1808" s="137" t="s">
        <v>74</v>
      </c>
    </row>
    <row r="1809" spans="9:9" x14ac:dyDescent="0.2">
      <c r="I1809" s="137" t="s">
        <v>74</v>
      </c>
    </row>
    <row r="1810" spans="9:9" x14ac:dyDescent="0.2">
      <c r="I1810" s="137" t="s">
        <v>74</v>
      </c>
    </row>
    <row r="1811" spans="9:9" x14ac:dyDescent="0.2">
      <c r="I1811" s="137" t="s">
        <v>74</v>
      </c>
    </row>
    <row r="1812" spans="9:9" x14ac:dyDescent="0.2">
      <c r="I1812" s="137" t="s">
        <v>74</v>
      </c>
    </row>
    <row r="1813" spans="9:9" x14ac:dyDescent="0.2">
      <c r="I1813" s="137" t="s">
        <v>74</v>
      </c>
    </row>
    <row r="1814" spans="9:9" x14ac:dyDescent="0.2">
      <c r="I1814" s="137" t="s">
        <v>74</v>
      </c>
    </row>
    <row r="1815" spans="9:9" x14ac:dyDescent="0.2">
      <c r="I1815" s="137" t="s">
        <v>74</v>
      </c>
    </row>
    <row r="1816" spans="9:9" x14ac:dyDescent="0.2">
      <c r="I1816" s="137" t="s">
        <v>74</v>
      </c>
    </row>
    <row r="1817" spans="9:9" x14ac:dyDescent="0.2">
      <c r="I1817" s="137" t="s">
        <v>74</v>
      </c>
    </row>
    <row r="1818" spans="9:9" x14ac:dyDescent="0.2">
      <c r="I1818" s="137" t="s">
        <v>74</v>
      </c>
    </row>
    <row r="1819" spans="9:9" x14ac:dyDescent="0.2">
      <c r="I1819" s="137" t="s">
        <v>74</v>
      </c>
    </row>
    <row r="1820" spans="9:9" x14ac:dyDescent="0.2">
      <c r="I1820" s="137" t="s">
        <v>74</v>
      </c>
    </row>
    <row r="1821" spans="9:9" x14ac:dyDescent="0.2">
      <c r="I1821" s="137" t="s">
        <v>74</v>
      </c>
    </row>
    <row r="1822" spans="9:9" x14ac:dyDescent="0.2">
      <c r="I1822" s="137" t="s">
        <v>74</v>
      </c>
    </row>
    <row r="1823" spans="9:9" x14ac:dyDescent="0.2">
      <c r="I1823" s="137" t="s">
        <v>74</v>
      </c>
    </row>
    <row r="1824" spans="9:9" x14ac:dyDescent="0.2">
      <c r="I1824" s="137" t="s">
        <v>74</v>
      </c>
    </row>
    <row r="1825" spans="9:9" x14ac:dyDescent="0.2">
      <c r="I1825" s="137" t="s">
        <v>74</v>
      </c>
    </row>
    <row r="1826" spans="9:9" x14ac:dyDescent="0.2">
      <c r="I1826" s="137" t="s">
        <v>74</v>
      </c>
    </row>
    <row r="1827" spans="9:9" x14ac:dyDescent="0.2">
      <c r="I1827" s="137" t="s">
        <v>74</v>
      </c>
    </row>
    <row r="1828" spans="9:9" x14ac:dyDescent="0.2">
      <c r="I1828" s="137" t="s">
        <v>74</v>
      </c>
    </row>
    <row r="1829" spans="9:9" x14ac:dyDescent="0.2">
      <c r="I1829" s="137" t="s">
        <v>74</v>
      </c>
    </row>
    <row r="1830" spans="9:9" x14ac:dyDescent="0.2">
      <c r="I1830" s="137" t="s">
        <v>74</v>
      </c>
    </row>
    <row r="1831" spans="9:9" x14ac:dyDescent="0.2">
      <c r="I1831" s="137" t="s">
        <v>74</v>
      </c>
    </row>
    <row r="1832" spans="9:9" x14ac:dyDescent="0.2">
      <c r="I1832" s="137" t="s">
        <v>74</v>
      </c>
    </row>
    <row r="1833" spans="9:9" x14ac:dyDescent="0.2">
      <c r="I1833" s="137" t="s">
        <v>74</v>
      </c>
    </row>
    <row r="1834" spans="9:9" x14ac:dyDescent="0.2">
      <c r="I1834" s="137" t="s">
        <v>74</v>
      </c>
    </row>
    <row r="1835" spans="9:9" x14ac:dyDescent="0.2">
      <c r="I1835" s="137" t="s">
        <v>74</v>
      </c>
    </row>
    <row r="1836" spans="9:9" x14ac:dyDescent="0.2">
      <c r="I1836" s="137" t="s">
        <v>74</v>
      </c>
    </row>
    <row r="1837" spans="9:9" x14ac:dyDescent="0.2">
      <c r="I1837" s="137" t="s">
        <v>74</v>
      </c>
    </row>
    <row r="1838" spans="9:9" x14ac:dyDescent="0.2">
      <c r="I1838" s="137" t="s">
        <v>74</v>
      </c>
    </row>
    <row r="1839" spans="9:9" x14ac:dyDescent="0.2">
      <c r="I1839" s="137" t="s">
        <v>74</v>
      </c>
    </row>
    <row r="1840" spans="9:9" x14ac:dyDescent="0.2">
      <c r="I1840" s="137" t="s">
        <v>74</v>
      </c>
    </row>
    <row r="1841" spans="9:9" x14ac:dyDescent="0.2">
      <c r="I1841" s="137" t="s">
        <v>74</v>
      </c>
    </row>
    <row r="1842" spans="9:9" x14ac:dyDescent="0.2">
      <c r="I1842" s="137" t="s">
        <v>74</v>
      </c>
    </row>
    <row r="1843" spans="9:9" x14ac:dyDescent="0.2">
      <c r="I1843" s="137" t="s">
        <v>74</v>
      </c>
    </row>
    <row r="1844" spans="9:9" x14ac:dyDescent="0.2">
      <c r="I1844" s="137" t="s">
        <v>74</v>
      </c>
    </row>
    <row r="1845" spans="9:9" x14ac:dyDescent="0.2">
      <c r="I1845" s="137" t="s">
        <v>74</v>
      </c>
    </row>
    <row r="1846" spans="9:9" x14ac:dyDescent="0.2">
      <c r="I1846" s="137" t="s">
        <v>74</v>
      </c>
    </row>
    <row r="1847" spans="9:9" x14ac:dyDescent="0.2">
      <c r="I1847" s="137" t="s">
        <v>74</v>
      </c>
    </row>
    <row r="1848" spans="9:9" x14ac:dyDescent="0.2">
      <c r="I1848" s="137" t="s">
        <v>74</v>
      </c>
    </row>
    <row r="1849" spans="9:9" x14ac:dyDescent="0.2">
      <c r="I1849" s="137" t="s">
        <v>74</v>
      </c>
    </row>
    <row r="1850" spans="9:9" x14ac:dyDescent="0.2">
      <c r="I1850" s="137" t="s">
        <v>74</v>
      </c>
    </row>
    <row r="1851" spans="9:9" x14ac:dyDescent="0.2">
      <c r="I1851" s="137" t="s">
        <v>74</v>
      </c>
    </row>
    <row r="1852" spans="9:9" x14ac:dyDescent="0.2">
      <c r="I1852" s="137" t="s">
        <v>74</v>
      </c>
    </row>
    <row r="1853" spans="9:9" x14ac:dyDescent="0.2">
      <c r="I1853" s="137" t="s">
        <v>74</v>
      </c>
    </row>
    <row r="1854" spans="9:9" x14ac:dyDescent="0.2">
      <c r="I1854" s="137" t="s">
        <v>74</v>
      </c>
    </row>
    <row r="1855" spans="9:9" x14ac:dyDescent="0.2">
      <c r="I1855" s="137" t="s">
        <v>74</v>
      </c>
    </row>
    <row r="1856" spans="9:9" x14ac:dyDescent="0.2">
      <c r="I1856" s="137" t="s">
        <v>74</v>
      </c>
    </row>
    <row r="1857" spans="9:9" x14ac:dyDescent="0.2">
      <c r="I1857" s="137" t="s">
        <v>74</v>
      </c>
    </row>
    <row r="1858" spans="9:9" x14ac:dyDescent="0.2">
      <c r="I1858" s="137" t="s">
        <v>74</v>
      </c>
    </row>
    <row r="1859" spans="9:9" x14ac:dyDescent="0.2">
      <c r="I1859" s="137" t="s">
        <v>74</v>
      </c>
    </row>
    <row r="1860" spans="9:9" x14ac:dyDescent="0.2">
      <c r="I1860" s="137" t="s">
        <v>74</v>
      </c>
    </row>
    <row r="1861" spans="9:9" x14ac:dyDescent="0.2">
      <c r="I1861" s="137" t="s">
        <v>74</v>
      </c>
    </row>
    <row r="1862" spans="9:9" x14ac:dyDescent="0.2">
      <c r="I1862" s="137" t="s">
        <v>74</v>
      </c>
    </row>
    <row r="1863" spans="9:9" x14ac:dyDescent="0.2">
      <c r="I1863" s="137" t="s">
        <v>74</v>
      </c>
    </row>
    <row r="1864" spans="9:9" x14ac:dyDescent="0.2">
      <c r="I1864" s="137" t="s">
        <v>74</v>
      </c>
    </row>
    <row r="1865" spans="9:9" x14ac:dyDescent="0.2">
      <c r="I1865" s="137" t="s">
        <v>74</v>
      </c>
    </row>
    <row r="1866" spans="9:9" x14ac:dyDescent="0.2">
      <c r="I1866" s="137" t="s">
        <v>74</v>
      </c>
    </row>
    <row r="1867" spans="9:9" x14ac:dyDescent="0.2">
      <c r="I1867" s="137" t="s">
        <v>74</v>
      </c>
    </row>
    <row r="1868" spans="9:9" x14ac:dyDescent="0.2">
      <c r="I1868" s="137" t="s">
        <v>74</v>
      </c>
    </row>
    <row r="1869" spans="9:9" x14ac:dyDescent="0.2">
      <c r="I1869" s="137" t="s">
        <v>74</v>
      </c>
    </row>
    <row r="1870" spans="9:9" x14ac:dyDescent="0.2">
      <c r="I1870" s="137" t="s">
        <v>74</v>
      </c>
    </row>
    <row r="1871" spans="9:9" x14ac:dyDescent="0.2">
      <c r="I1871" s="137" t="s">
        <v>74</v>
      </c>
    </row>
    <row r="1872" spans="9:9" x14ac:dyDescent="0.2">
      <c r="I1872" s="137" t="s">
        <v>74</v>
      </c>
    </row>
    <row r="1873" spans="9:9" x14ac:dyDescent="0.2">
      <c r="I1873" s="137" t="s">
        <v>74</v>
      </c>
    </row>
    <row r="1874" spans="9:9" x14ac:dyDescent="0.2">
      <c r="I1874" s="137" t="s">
        <v>74</v>
      </c>
    </row>
    <row r="1875" spans="9:9" x14ac:dyDescent="0.2">
      <c r="I1875" s="137" t="s">
        <v>74</v>
      </c>
    </row>
    <row r="1876" spans="9:9" x14ac:dyDescent="0.2">
      <c r="I1876" s="137" t="s">
        <v>74</v>
      </c>
    </row>
    <row r="1877" spans="9:9" x14ac:dyDescent="0.2">
      <c r="I1877" s="137" t="s">
        <v>74</v>
      </c>
    </row>
    <row r="1878" spans="9:9" x14ac:dyDescent="0.2">
      <c r="I1878" s="137" t="s">
        <v>74</v>
      </c>
    </row>
    <row r="1879" spans="9:9" x14ac:dyDescent="0.2">
      <c r="I1879" s="137" t="s">
        <v>74</v>
      </c>
    </row>
    <row r="1880" spans="9:9" x14ac:dyDescent="0.2">
      <c r="I1880" s="137" t="s">
        <v>74</v>
      </c>
    </row>
    <row r="1881" spans="9:9" x14ac:dyDescent="0.2">
      <c r="I1881" s="137" t="s">
        <v>74</v>
      </c>
    </row>
    <row r="1882" spans="9:9" x14ac:dyDescent="0.2">
      <c r="I1882" s="137" t="s">
        <v>74</v>
      </c>
    </row>
    <row r="1883" spans="9:9" x14ac:dyDescent="0.2">
      <c r="I1883" s="137" t="s">
        <v>74</v>
      </c>
    </row>
    <row r="1884" spans="9:9" x14ac:dyDescent="0.2">
      <c r="I1884" s="137" t="s">
        <v>74</v>
      </c>
    </row>
    <row r="1885" spans="9:9" x14ac:dyDescent="0.2">
      <c r="I1885" s="137" t="s">
        <v>74</v>
      </c>
    </row>
    <row r="1886" spans="9:9" x14ac:dyDescent="0.2">
      <c r="I1886" s="137" t="s">
        <v>74</v>
      </c>
    </row>
    <row r="1887" spans="9:9" x14ac:dyDescent="0.2">
      <c r="I1887" s="137" t="s">
        <v>74</v>
      </c>
    </row>
    <row r="1888" spans="9:9" x14ac:dyDescent="0.2">
      <c r="I1888" s="137" t="s">
        <v>74</v>
      </c>
    </row>
    <row r="1889" spans="9:9" x14ac:dyDescent="0.2">
      <c r="I1889" s="137" t="s">
        <v>74</v>
      </c>
    </row>
    <row r="1890" spans="9:9" x14ac:dyDescent="0.2">
      <c r="I1890" s="137" t="s">
        <v>74</v>
      </c>
    </row>
    <row r="1891" spans="9:9" x14ac:dyDescent="0.2">
      <c r="I1891" s="137" t="s">
        <v>74</v>
      </c>
    </row>
    <row r="1892" spans="9:9" x14ac:dyDescent="0.2">
      <c r="I1892" s="137" t="s">
        <v>74</v>
      </c>
    </row>
    <row r="1893" spans="9:9" x14ac:dyDescent="0.2">
      <c r="I1893" s="137" t="s">
        <v>74</v>
      </c>
    </row>
    <row r="1894" spans="9:9" x14ac:dyDescent="0.2">
      <c r="I1894" s="137" t="s">
        <v>74</v>
      </c>
    </row>
    <row r="1895" spans="9:9" x14ac:dyDescent="0.2">
      <c r="I1895" s="137" t="s">
        <v>74</v>
      </c>
    </row>
    <row r="1896" spans="9:9" x14ac:dyDescent="0.2">
      <c r="I1896" s="137" t="s">
        <v>74</v>
      </c>
    </row>
    <row r="1897" spans="9:9" x14ac:dyDescent="0.2">
      <c r="I1897" s="137" t="s">
        <v>74</v>
      </c>
    </row>
    <row r="1898" spans="9:9" x14ac:dyDescent="0.2">
      <c r="I1898" s="137" t="s">
        <v>74</v>
      </c>
    </row>
    <row r="1899" spans="9:9" x14ac:dyDescent="0.2">
      <c r="I1899" s="137" t="s">
        <v>74</v>
      </c>
    </row>
    <row r="1900" spans="9:9" x14ac:dyDescent="0.2">
      <c r="I1900" s="137" t="s">
        <v>74</v>
      </c>
    </row>
    <row r="1901" spans="9:9" x14ac:dyDescent="0.2">
      <c r="I1901" s="137" t="s">
        <v>74</v>
      </c>
    </row>
    <row r="1902" spans="9:9" x14ac:dyDescent="0.2">
      <c r="I1902" s="137" t="s">
        <v>74</v>
      </c>
    </row>
    <row r="1903" spans="9:9" x14ac:dyDescent="0.2">
      <c r="I1903" s="137" t="s">
        <v>74</v>
      </c>
    </row>
    <row r="1904" spans="9:9" x14ac:dyDescent="0.2">
      <c r="I1904" s="137" t="s">
        <v>74</v>
      </c>
    </row>
    <row r="1905" spans="9:9" x14ac:dyDescent="0.2">
      <c r="I1905" s="137" t="s">
        <v>74</v>
      </c>
    </row>
    <row r="1906" spans="9:9" x14ac:dyDescent="0.2">
      <c r="I1906" s="137" t="s">
        <v>74</v>
      </c>
    </row>
    <row r="1907" spans="9:9" x14ac:dyDescent="0.2">
      <c r="I1907" s="137" t="s">
        <v>74</v>
      </c>
    </row>
    <row r="1908" spans="9:9" x14ac:dyDescent="0.2">
      <c r="I1908" s="137" t="s">
        <v>74</v>
      </c>
    </row>
    <row r="1909" spans="9:9" x14ac:dyDescent="0.2">
      <c r="I1909" s="137" t="s">
        <v>74</v>
      </c>
    </row>
    <row r="1910" spans="9:9" x14ac:dyDescent="0.2">
      <c r="I1910" s="137" t="s">
        <v>74</v>
      </c>
    </row>
    <row r="1911" spans="9:9" x14ac:dyDescent="0.2">
      <c r="I1911" s="137" t="s">
        <v>74</v>
      </c>
    </row>
    <row r="1912" spans="9:9" x14ac:dyDescent="0.2">
      <c r="I1912" s="137" t="s">
        <v>74</v>
      </c>
    </row>
    <row r="1913" spans="9:9" x14ac:dyDescent="0.2">
      <c r="I1913" s="137" t="s">
        <v>74</v>
      </c>
    </row>
    <row r="1914" spans="9:9" x14ac:dyDescent="0.2">
      <c r="I1914" s="137" t="s">
        <v>74</v>
      </c>
    </row>
    <row r="1915" spans="9:9" x14ac:dyDescent="0.2">
      <c r="I1915" s="137" t="s">
        <v>74</v>
      </c>
    </row>
    <row r="1916" spans="9:9" x14ac:dyDescent="0.2">
      <c r="I1916" s="137" t="s">
        <v>74</v>
      </c>
    </row>
    <row r="1917" spans="9:9" x14ac:dyDescent="0.2">
      <c r="I1917" s="137" t="s">
        <v>74</v>
      </c>
    </row>
    <row r="1918" spans="9:9" x14ac:dyDescent="0.2">
      <c r="I1918" s="137" t="s">
        <v>74</v>
      </c>
    </row>
    <row r="1919" spans="9:9" x14ac:dyDescent="0.2">
      <c r="I1919" s="137" t="s">
        <v>74</v>
      </c>
    </row>
    <row r="1920" spans="9:9" x14ac:dyDescent="0.2">
      <c r="I1920" s="137" t="s">
        <v>74</v>
      </c>
    </row>
    <row r="1921" spans="9:9" x14ac:dyDescent="0.2">
      <c r="I1921" s="137" t="s">
        <v>74</v>
      </c>
    </row>
    <row r="1922" spans="9:9" x14ac:dyDescent="0.2">
      <c r="I1922" s="137" t="s">
        <v>74</v>
      </c>
    </row>
    <row r="1923" spans="9:9" x14ac:dyDescent="0.2">
      <c r="I1923" s="137" t="s">
        <v>74</v>
      </c>
    </row>
    <row r="1924" spans="9:9" x14ac:dyDescent="0.2">
      <c r="I1924" s="137" t="s">
        <v>74</v>
      </c>
    </row>
    <row r="1925" spans="9:9" x14ac:dyDescent="0.2">
      <c r="I1925" s="137" t="s">
        <v>74</v>
      </c>
    </row>
    <row r="1926" spans="9:9" x14ac:dyDescent="0.2">
      <c r="I1926" s="137" t="s">
        <v>74</v>
      </c>
    </row>
    <row r="1927" spans="9:9" x14ac:dyDescent="0.2">
      <c r="I1927" s="137" t="s">
        <v>74</v>
      </c>
    </row>
    <row r="1928" spans="9:9" x14ac:dyDescent="0.2">
      <c r="I1928" s="137" t="s">
        <v>74</v>
      </c>
    </row>
    <row r="1929" spans="9:9" x14ac:dyDescent="0.2">
      <c r="I1929" s="137" t="s">
        <v>74</v>
      </c>
    </row>
    <row r="1930" spans="9:9" x14ac:dyDescent="0.2">
      <c r="I1930" s="137" t="s">
        <v>74</v>
      </c>
    </row>
    <row r="1931" spans="9:9" x14ac:dyDescent="0.2">
      <c r="I1931" s="137" t="s">
        <v>74</v>
      </c>
    </row>
    <row r="1932" spans="9:9" x14ac:dyDescent="0.2">
      <c r="I1932" s="137" t="s">
        <v>74</v>
      </c>
    </row>
    <row r="1933" spans="9:9" x14ac:dyDescent="0.2">
      <c r="I1933" s="137" t="s">
        <v>74</v>
      </c>
    </row>
    <row r="1934" spans="9:9" x14ac:dyDescent="0.2">
      <c r="I1934" s="137" t="s">
        <v>74</v>
      </c>
    </row>
    <row r="1935" spans="9:9" x14ac:dyDescent="0.2">
      <c r="I1935" s="137" t="s">
        <v>74</v>
      </c>
    </row>
    <row r="1936" spans="9:9" x14ac:dyDescent="0.2">
      <c r="I1936" s="137" t="s">
        <v>74</v>
      </c>
    </row>
    <row r="1937" spans="9:9" x14ac:dyDescent="0.2">
      <c r="I1937" s="137" t="s">
        <v>74</v>
      </c>
    </row>
    <row r="1938" spans="9:9" x14ac:dyDescent="0.2">
      <c r="I1938" s="137" t="s">
        <v>74</v>
      </c>
    </row>
    <row r="1939" spans="9:9" x14ac:dyDescent="0.2">
      <c r="I1939" s="137" t="s">
        <v>74</v>
      </c>
    </row>
    <row r="1940" spans="9:9" x14ac:dyDescent="0.2">
      <c r="I1940" s="137" t="s">
        <v>74</v>
      </c>
    </row>
    <row r="1941" spans="9:9" x14ac:dyDescent="0.2">
      <c r="I1941" s="137" t="s">
        <v>74</v>
      </c>
    </row>
    <row r="1942" spans="9:9" x14ac:dyDescent="0.2">
      <c r="I1942" s="137" t="s">
        <v>74</v>
      </c>
    </row>
    <row r="1943" spans="9:9" x14ac:dyDescent="0.2">
      <c r="I1943" s="137" t="s">
        <v>74</v>
      </c>
    </row>
    <row r="1944" spans="9:9" x14ac:dyDescent="0.2">
      <c r="I1944" s="137" t="s">
        <v>74</v>
      </c>
    </row>
    <row r="1945" spans="9:9" x14ac:dyDescent="0.2">
      <c r="I1945" s="137" t="s">
        <v>74</v>
      </c>
    </row>
    <row r="1946" spans="9:9" x14ac:dyDescent="0.2">
      <c r="I1946" s="137" t="s">
        <v>74</v>
      </c>
    </row>
    <row r="1947" spans="9:9" x14ac:dyDescent="0.2">
      <c r="I1947" s="137" t="s">
        <v>74</v>
      </c>
    </row>
    <row r="1948" spans="9:9" x14ac:dyDescent="0.2">
      <c r="I1948" s="137" t="s">
        <v>74</v>
      </c>
    </row>
    <row r="1949" spans="9:9" x14ac:dyDescent="0.2">
      <c r="I1949" s="137" t="s">
        <v>74</v>
      </c>
    </row>
    <row r="1950" spans="9:9" x14ac:dyDescent="0.2">
      <c r="I1950" s="137" t="s">
        <v>74</v>
      </c>
    </row>
    <row r="1951" spans="9:9" x14ac:dyDescent="0.2">
      <c r="I1951" s="137" t="s">
        <v>74</v>
      </c>
    </row>
    <row r="1952" spans="9:9" x14ac:dyDescent="0.2">
      <c r="I1952" s="137" t="s">
        <v>74</v>
      </c>
    </row>
    <row r="1953" spans="9:9" x14ac:dyDescent="0.2">
      <c r="I1953" s="137" t="s">
        <v>74</v>
      </c>
    </row>
    <row r="1954" spans="9:9" x14ac:dyDescent="0.2">
      <c r="I1954" s="137" t="s">
        <v>74</v>
      </c>
    </row>
    <row r="1955" spans="9:9" x14ac:dyDescent="0.2">
      <c r="I1955" s="137" t="s">
        <v>74</v>
      </c>
    </row>
    <row r="1956" spans="9:9" x14ac:dyDescent="0.2">
      <c r="I1956" s="137" t="s">
        <v>74</v>
      </c>
    </row>
    <row r="1957" spans="9:9" x14ac:dyDescent="0.2">
      <c r="I1957" s="137" t="s">
        <v>74</v>
      </c>
    </row>
    <row r="1958" spans="9:9" x14ac:dyDescent="0.2">
      <c r="I1958" s="137" t="s">
        <v>74</v>
      </c>
    </row>
    <row r="1959" spans="9:9" x14ac:dyDescent="0.2">
      <c r="I1959" s="137" t="s">
        <v>74</v>
      </c>
    </row>
    <row r="1960" spans="9:9" x14ac:dyDescent="0.2">
      <c r="I1960" s="137" t="s">
        <v>74</v>
      </c>
    </row>
    <row r="1961" spans="9:9" x14ac:dyDescent="0.2">
      <c r="I1961" s="137" t="s">
        <v>74</v>
      </c>
    </row>
    <row r="1962" spans="9:9" x14ac:dyDescent="0.2">
      <c r="I1962" s="137" t="s">
        <v>74</v>
      </c>
    </row>
    <row r="1963" spans="9:9" x14ac:dyDescent="0.2">
      <c r="I1963" s="137" t="s">
        <v>74</v>
      </c>
    </row>
    <row r="1964" spans="9:9" x14ac:dyDescent="0.2">
      <c r="I1964" s="137" t="s">
        <v>74</v>
      </c>
    </row>
    <row r="1965" spans="9:9" x14ac:dyDescent="0.2">
      <c r="I1965" s="137" t="s">
        <v>74</v>
      </c>
    </row>
    <row r="1966" spans="9:9" x14ac:dyDescent="0.2">
      <c r="I1966" s="137" t="s">
        <v>74</v>
      </c>
    </row>
    <row r="1967" spans="9:9" x14ac:dyDescent="0.2">
      <c r="I1967" s="137" t="s">
        <v>74</v>
      </c>
    </row>
    <row r="1968" spans="9:9" x14ac:dyDescent="0.2">
      <c r="I1968" s="137" t="s">
        <v>74</v>
      </c>
    </row>
    <row r="1969" spans="9:9" x14ac:dyDescent="0.2">
      <c r="I1969" s="137" t="s">
        <v>74</v>
      </c>
    </row>
    <row r="1970" spans="9:9" x14ac:dyDescent="0.2">
      <c r="I1970" s="137" t="s">
        <v>74</v>
      </c>
    </row>
    <row r="1971" spans="9:9" x14ac:dyDescent="0.2">
      <c r="I1971" s="137" t="s">
        <v>74</v>
      </c>
    </row>
    <row r="1972" spans="9:9" x14ac:dyDescent="0.2">
      <c r="I1972" s="137" t="s">
        <v>74</v>
      </c>
    </row>
    <row r="1973" spans="9:9" x14ac:dyDescent="0.2">
      <c r="I1973" s="137" t="s">
        <v>74</v>
      </c>
    </row>
    <row r="1974" spans="9:9" x14ac:dyDescent="0.2">
      <c r="I1974" s="137" t="s">
        <v>74</v>
      </c>
    </row>
    <row r="1975" spans="9:9" x14ac:dyDescent="0.2">
      <c r="I1975" s="137" t="s">
        <v>74</v>
      </c>
    </row>
    <row r="1976" spans="9:9" x14ac:dyDescent="0.2">
      <c r="I1976" s="137" t="s">
        <v>74</v>
      </c>
    </row>
    <row r="1977" spans="9:9" x14ac:dyDescent="0.2">
      <c r="I1977" s="137" t="s">
        <v>74</v>
      </c>
    </row>
    <row r="1978" spans="9:9" x14ac:dyDescent="0.2">
      <c r="I1978" s="137" t="s">
        <v>74</v>
      </c>
    </row>
    <row r="1979" spans="9:9" x14ac:dyDescent="0.2">
      <c r="I1979" s="137" t="s">
        <v>74</v>
      </c>
    </row>
    <row r="1980" spans="9:9" x14ac:dyDescent="0.2">
      <c r="I1980" s="137" t="s">
        <v>74</v>
      </c>
    </row>
    <row r="1981" spans="9:9" x14ac:dyDescent="0.2">
      <c r="I1981" s="137" t="s">
        <v>74</v>
      </c>
    </row>
    <row r="1982" spans="9:9" x14ac:dyDescent="0.2">
      <c r="I1982" s="137" t="s">
        <v>74</v>
      </c>
    </row>
    <row r="1983" spans="9:9" x14ac:dyDescent="0.2">
      <c r="I1983" s="137" t="s">
        <v>74</v>
      </c>
    </row>
    <row r="1984" spans="9:9" x14ac:dyDescent="0.2">
      <c r="I1984" s="137" t="s">
        <v>74</v>
      </c>
    </row>
    <row r="1985" spans="9:9" x14ac:dyDescent="0.2">
      <c r="I1985" s="137" t="s">
        <v>74</v>
      </c>
    </row>
    <row r="1986" spans="9:9" x14ac:dyDescent="0.2">
      <c r="I1986" s="137" t="s">
        <v>74</v>
      </c>
    </row>
    <row r="1987" spans="9:9" x14ac:dyDescent="0.2">
      <c r="I1987" s="137" t="s">
        <v>74</v>
      </c>
    </row>
    <row r="1988" spans="9:9" x14ac:dyDescent="0.2">
      <c r="I1988" s="137" t="s">
        <v>74</v>
      </c>
    </row>
    <row r="1989" spans="9:9" x14ac:dyDescent="0.2">
      <c r="I1989" s="137" t="s">
        <v>74</v>
      </c>
    </row>
    <row r="1990" spans="9:9" x14ac:dyDescent="0.2">
      <c r="I1990" s="137" t="s">
        <v>74</v>
      </c>
    </row>
    <row r="1991" spans="9:9" x14ac:dyDescent="0.2">
      <c r="I1991" s="137" t="s">
        <v>74</v>
      </c>
    </row>
    <row r="1992" spans="9:9" x14ac:dyDescent="0.2">
      <c r="I1992" s="137" t="s">
        <v>74</v>
      </c>
    </row>
    <row r="1993" spans="9:9" x14ac:dyDescent="0.2">
      <c r="I1993" s="137" t="s">
        <v>74</v>
      </c>
    </row>
    <row r="1994" spans="9:9" x14ac:dyDescent="0.2">
      <c r="I1994" s="137" t="s">
        <v>74</v>
      </c>
    </row>
    <row r="1995" spans="9:9" x14ac:dyDescent="0.2">
      <c r="I1995" s="137" t="s">
        <v>74</v>
      </c>
    </row>
    <row r="1996" spans="9:9" x14ac:dyDescent="0.2">
      <c r="I1996" s="137" t="s">
        <v>74</v>
      </c>
    </row>
    <row r="1997" spans="9:9" x14ac:dyDescent="0.2">
      <c r="I1997" s="137" t="s">
        <v>74</v>
      </c>
    </row>
    <row r="1998" spans="9:9" x14ac:dyDescent="0.2">
      <c r="I1998" s="137" t="s">
        <v>74</v>
      </c>
    </row>
    <row r="1999" spans="9:9" x14ac:dyDescent="0.2">
      <c r="I1999" s="137" t="s">
        <v>74</v>
      </c>
    </row>
    <row r="2000" spans="9:9" x14ac:dyDescent="0.2">
      <c r="I2000" s="137" t="s">
        <v>74</v>
      </c>
    </row>
    <row r="2001" spans="9:9" x14ac:dyDescent="0.2">
      <c r="I2001" s="137" t="s">
        <v>74</v>
      </c>
    </row>
    <row r="2002" spans="9:9" x14ac:dyDescent="0.2">
      <c r="I2002" s="137" t="s">
        <v>74</v>
      </c>
    </row>
    <row r="2003" spans="9:9" x14ac:dyDescent="0.2">
      <c r="I2003" s="137" t="s">
        <v>74</v>
      </c>
    </row>
    <row r="2004" spans="9:9" x14ac:dyDescent="0.2">
      <c r="I2004" s="137" t="s">
        <v>74</v>
      </c>
    </row>
    <row r="2005" spans="9:9" x14ac:dyDescent="0.2">
      <c r="I2005" s="137" t="s">
        <v>74</v>
      </c>
    </row>
    <row r="2006" spans="9:9" x14ac:dyDescent="0.2">
      <c r="I2006" s="137" t="s">
        <v>74</v>
      </c>
    </row>
    <row r="2007" spans="9:9" x14ac:dyDescent="0.2">
      <c r="I2007" s="137" t="s">
        <v>74</v>
      </c>
    </row>
    <row r="2008" spans="9:9" x14ac:dyDescent="0.2">
      <c r="I2008" s="137" t="s">
        <v>74</v>
      </c>
    </row>
    <row r="2009" spans="9:9" x14ac:dyDescent="0.2">
      <c r="I2009" s="137" t="s">
        <v>74</v>
      </c>
    </row>
    <row r="2010" spans="9:9" x14ac:dyDescent="0.2">
      <c r="I2010" s="137" t="s">
        <v>74</v>
      </c>
    </row>
    <row r="2011" spans="9:9" x14ac:dyDescent="0.2">
      <c r="I2011" s="137" t="s">
        <v>74</v>
      </c>
    </row>
    <row r="2012" spans="9:9" x14ac:dyDescent="0.2">
      <c r="I2012" s="137" t="s">
        <v>74</v>
      </c>
    </row>
    <row r="2013" spans="9:9" x14ac:dyDescent="0.2">
      <c r="I2013" s="137" t="s">
        <v>74</v>
      </c>
    </row>
    <row r="2014" spans="9:9" x14ac:dyDescent="0.2">
      <c r="I2014" s="137" t="s">
        <v>74</v>
      </c>
    </row>
    <row r="2015" spans="9:9" x14ac:dyDescent="0.2">
      <c r="I2015" s="137" t="s">
        <v>74</v>
      </c>
    </row>
    <row r="2016" spans="9:9" x14ac:dyDescent="0.2">
      <c r="I2016" s="137" t="s">
        <v>74</v>
      </c>
    </row>
    <row r="2017" spans="9:9" x14ac:dyDescent="0.2">
      <c r="I2017" s="137" t="s">
        <v>74</v>
      </c>
    </row>
    <row r="2018" spans="9:9" x14ac:dyDescent="0.2">
      <c r="I2018" s="137" t="s">
        <v>74</v>
      </c>
    </row>
    <row r="2019" spans="9:9" x14ac:dyDescent="0.2">
      <c r="I2019" s="137" t="s">
        <v>74</v>
      </c>
    </row>
    <row r="2020" spans="9:9" x14ac:dyDescent="0.2">
      <c r="I2020" s="137" t="s">
        <v>74</v>
      </c>
    </row>
    <row r="2021" spans="9:9" x14ac:dyDescent="0.2">
      <c r="I2021" s="137" t="s">
        <v>74</v>
      </c>
    </row>
    <row r="2022" spans="9:9" x14ac:dyDescent="0.2">
      <c r="I2022" s="137" t="s">
        <v>74</v>
      </c>
    </row>
    <row r="2023" spans="9:9" x14ac:dyDescent="0.2">
      <c r="I2023" s="137" t="s">
        <v>74</v>
      </c>
    </row>
    <row r="2024" spans="9:9" x14ac:dyDescent="0.2">
      <c r="I2024" s="137" t="s">
        <v>74</v>
      </c>
    </row>
    <row r="2025" spans="9:9" x14ac:dyDescent="0.2">
      <c r="I2025" s="137" t="s">
        <v>74</v>
      </c>
    </row>
    <row r="2026" spans="9:9" x14ac:dyDescent="0.2">
      <c r="I2026" s="137" t="s">
        <v>74</v>
      </c>
    </row>
    <row r="2027" spans="9:9" x14ac:dyDescent="0.2">
      <c r="I2027" s="137" t="s">
        <v>74</v>
      </c>
    </row>
    <row r="2028" spans="9:9" x14ac:dyDescent="0.2">
      <c r="I2028" s="137" t="s">
        <v>74</v>
      </c>
    </row>
    <row r="2029" spans="9:9" x14ac:dyDescent="0.2">
      <c r="I2029" s="137" t="s">
        <v>74</v>
      </c>
    </row>
    <row r="2030" spans="9:9" x14ac:dyDescent="0.2">
      <c r="I2030" s="137" t="s">
        <v>74</v>
      </c>
    </row>
    <row r="2031" spans="9:9" x14ac:dyDescent="0.2">
      <c r="I2031" s="137" t="s">
        <v>74</v>
      </c>
    </row>
    <row r="2032" spans="9:9" x14ac:dyDescent="0.2">
      <c r="I2032" s="137" t="s">
        <v>74</v>
      </c>
    </row>
    <row r="2033" spans="9:9" x14ac:dyDescent="0.2">
      <c r="I2033" s="137" t="s">
        <v>74</v>
      </c>
    </row>
    <row r="2034" spans="9:9" x14ac:dyDescent="0.2">
      <c r="I2034" s="137" t="s">
        <v>74</v>
      </c>
    </row>
    <row r="2035" spans="9:9" x14ac:dyDescent="0.2">
      <c r="I2035" s="137" t="s">
        <v>74</v>
      </c>
    </row>
    <row r="2036" spans="9:9" x14ac:dyDescent="0.2">
      <c r="I2036" s="137" t="s">
        <v>74</v>
      </c>
    </row>
    <row r="2037" spans="9:9" x14ac:dyDescent="0.2">
      <c r="I2037" s="137" t="s">
        <v>74</v>
      </c>
    </row>
    <row r="2038" spans="9:9" x14ac:dyDescent="0.2">
      <c r="I2038" s="137" t="s">
        <v>74</v>
      </c>
    </row>
    <row r="2039" spans="9:9" x14ac:dyDescent="0.2">
      <c r="I2039" s="137" t="s">
        <v>74</v>
      </c>
    </row>
    <row r="2040" spans="9:9" x14ac:dyDescent="0.2">
      <c r="I2040" s="137" t="s">
        <v>74</v>
      </c>
    </row>
    <row r="2041" spans="9:9" x14ac:dyDescent="0.2">
      <c r="I2041" s="137" t="s">
        <v>74</v>
      </c>
    </row>
    <row r="2042" spans="9:9" x14ac:dyDescent="0.2">
      <c r="I2042" s="137" t="s">
        <v>74</v>
      </c>
    </row>
    <row r="2043" spans="9:9" x14ac:dyDescent="0.2">
      <c r="I2043" s="137" t="s">
        <v>74</v>
      </c>
    </row>
    <row r="2044" spans="9:9" x14ac:dyDescent="0.2">
      <c r="I2044" s="137" t="s">
        <v>74</v>
      </c>
    </row>
    <row r="2045" spans="9:9" x14ac:dyDescent="0.2">
      <c r="I2045" s="137" t="s">
        <v>74</v>
      </c>
    </row>
    <row r="2046" spans="9:9" x14ac:dyDescent="0.2">
      <c r="I2046" s="137" t="s">
        <v>74</v>
      </c>
    </row>
    <row r="2047" spans="9:9" x14ac:dyDescent="0.2">
      <c r="I2047" s="137" t="s">
        <v>74</v>
      </c>
    </row>
    <row r="2048" spans="9:9" x14ac:dyDescent="0.2">
      <c r="I2048" s="137" t="s">
        <v>74</v>
      </c>
    </row>
    <row r="2049" spans="9:9" x14ac:dyDescent="0.2">
      <c r="I2049" s="137" t="s">
        <v>74</v>
      </c>
    </row>
    <row r="2050" spans="9:9" x14ac:dyDescent="0.2">
      <c r="I2050" s="137" t="s">
        <v>74</v>
      </c>
    </row>
    <row r="2051" spans="9:9" x14ac:dyDescent="0.2">
      <c r="I2051" s="137" t="s">
        <v>74</v>
      </c>
    </row>
    <row r="2052" spans="9:9" x14ac:dyDescent="0.2">
      <c r="I2052" s="137" t="s">
        <v>74</v>
      </c>
    </row>
    <row r="2053" spans="9:9" x14ac:dyDescent="0.2">
      <c r="I2053" s="137" t="s">
        <v>74</v>
      </c>
    </row>
    <row r="2054" spans="9:9" x14ac:dyDescent="0.2">
      <c r="I2054" s="137" t="s">
        <v>74</v>
      </c>
    </row>
    <row r="2055" spans="9:9" x14ac:dyDescent="0.2">
      <c r="I2055" s="137" t="s">
        <v>74</v>
      </c>
    </row>
    <row r="2056" spans="9:9" x14ac:dyDescent="0.2">
      <c r="I2056" s="137" t="s">
        <v>74</v>
      </c>
    </row>
    <row r="2057" spans="9:9" x14ac:dyDescent="0.2">
      <c r="I2057" s="137" t="s">
        <v>74</v>
      </c>
    </row>
    <row r="2058" spans="9:9" x14ac:dyDescent="0.2">
      <c r="I2058" s="137" t="s">
        <v>74</v>
      </c>
    </row>
    <row r="2059" spans="9:9" x14ac:dyDescent="0.2">
      <c r="I2059" s="137" t="s">
        <v>74</v>
      </c>
    </row>
    <row r="2060" spans="9:9" x14ac:dyDescent="0.2">
      <c r="I2060" s="137" t="s">
        <v>74</v>
      </c>
    </row>
    <row r="2061" spans="9:9" x14ac:dyDescent="0.2">
      <c r="I2061" s="137" t="s">
        <v>74</v>
      </c>
    </row>
    <row r="2062" spans="9:9" x14ac:dyDescent="0.2">
      <c r="I2062" s="137" t="s">
        <v>74</v>
      </c>
    </row>
    <row r="2063" spans="9:9" x14ac:dyDescent="0.2">
      <c r="I2063" s="137" t="s">
        <v>74</v>
      </c>
    </row>
    <row r="2064" spans="9:9" x14ac:dyDescent="0.2">
      <c r="I2064" s="137" t="s">
        <v>74</v>
      </c>
    </row>
    <row r="2065" spans="9:9" x14ac:dyDescent="0.2">
      <c r="I2065" s="137" t="s">
        <v>74</v>
      </c>
    </row>
    <row r="2066" spans="9:9" x14ac:dyDescent="0.2">
      <c r="I2066" s="137" t="s">
        <v>74</v>
      </c>
    </row>
    <row r="2067" spans="9:9" x14ac:dyDescent="0.2">
      <c r="I2067" s="137" t="s">
        <v>74</v>
      </c>
    </row>
    <row r="2068" spans="9:9" x14ac:dyDescent="0.2">
      <c r="I2068" s="137" t="s">
        <v>74</v>
      </c>
    </row>
    <row r="2069" spans="9:9" x14ac:dyDescent="0.2">
      <c r="I2069" s="137" t="s">
        <v>74</v>
      </c>
    </row>
    <row r="2070" spans="9:9" x14ac:dyDescent="0.2">
      <c r="I2070" s="137" t="s">
        <v>74</v>
      </c>
    </row>
    <row r="2071" spans="9:9" x14ac:dyDescent="0.2">
      <c r="I2071" s="137" t="s">
        <v>74</v>
      </c>
    </row>
    <row r="2072" spans="9:9" x14ac:dyDescent="0.2">
      <c r="I2072" s="137" t="s">
        <v>74</v>
      </c>
    </row>
    <row r="2073" spans="9:9" x14ac:dyDescent="0.2">
      <c r="I2073" s="137" t="s">
        <v>74</v>
      </c>
    </row>
    <row r="2074" spans="9:9" x14ac:dyDescent="0.2">
      <c r="I2074" s="137" t="s">
        <v>74</v>
      </c>
    </row>
    <row r="2075" spans="9:9" x14ac:dyDescent="0.2">
      <c r="I2075" s="137" t="s">
        <v>74</v>
      </c>
    </row>
    <row r="2076" spans="9:9" x14ac:dyDescent="0.2">
      <c r="I2076" s="137" t="s">
        <v>74</v>
      </c>
    </row>
    <row r="2077" spans="9:9" x14ac:dyDescent="0.2">
      <c r="I2077" s="137" t="s">
        <v>74</v>
      </c>
    </row>
    <row r="2078" spans="9:9" x14ac:dyDescent="0.2">
      <c r="I2078" s="137" t="s">
        <v>74</v>
      </c>
    </row>
    <row r="2079" spans="9:9" x14ac:dyDescent="0.2">
      <c r="I2079" s="137" t="s">
        <v>74</v>
      </c>
    </row>
    <row r="2080" spans="9:9" x14ac:dyDescent="0.2">
      <c r="I2080" s="137" t="s">
        <v>74</v>
      </c>
    </row>
    <row r="2081" spans="9:9" x14ac:dyDescent="0.2">
      <c r="I2081" s="137" t="s">
        <v>74</v>
      </c>
    </row>
    <row r="2082" spans="9:9" x14ac:dyDescent="0.2">
      <c r="I2082" s="137" t="s">
        <v>74</v>
      </c>
    </row>
    <row r="2083" spans="9:9" x14ac:dyDescent="0.2">
      <c r="I2083" s="137" t="s">
        <v>74</v>
      </c>
    </row>
    <row r="2084" spans="9:9" x14ac:dyDescent="0.2">
      <c r="I2084" s="137" t="s">
        <v>74</v>
      </c>
    </row>
    <row r="2085" spans="9:9" x14ac:dyDescent="0.2">
      <c r="I2085" s="137" t="s">
        <v>74</v>
      </c>
    </row>
    <row r="2086" spans="9:9" x14ac:dyDescent="0.2">
      <c r="I2086" s="137" t="s">
        <v>74</v>
      </c>
    </row>
    <row r="2087" spans="9:9" x14ac:dyDescent="0.2">
      <c r="I2087" s="137" t="s">
        <v>74</v>
      </c>
    </row>
    <row r="2088" spans="9:9" x14ac:dyDescent="0.2">
      <c r="I2088" s="137" t="s">
        <v>74</v>
      </c>
    </row>
    <row r="2089" spans="9:9" x14ac:dyDescent="0.2">
      <c r="I2089" s="137" t="s">
        <v>74</v>
      </c>
    </row>
    <row r="2090" spans="9:9" x14ac:dyDescent="0.2">
      <c r="I2090" s="137" t="s">
        <v>74</v>
      </c>
    </row>
    <row r="2091" spans="9:9" x14ac:dyDescent="0.2">
      <c r="I2091" s="137" t="s">
        <v>74</v>
      </c>
    </row>
    <row r="2092" spans="9:9" x14ac:dyDescent="0.2">
      <c r="I2092" s="137" t="s">
        <v>74</v>
      </c>
    </row>
    <row r="2093" spans="9:9" x14ac:dyDescent="0.2">
      <c r="I2093" s="137" t="s">
        <v>74</v>
      </c>
    </row>
    <row r="2094" spans="9:9" x14ac:dyDescent="0.2">
      <c r="I2094" s="137" t="s">
        <v>74</v>
      </c>
    </row>
    <row r="2095" spans="9:9" x14ac:dyDescent="0.2">
      <c r="I2095" s="137" t="s">
        <v>74</v>
      </c>
    </row>
    <row r="2096" spans="9:9" x14ac:dyDescent="0.2">
      <c r="I2096" s="137" t="s">
        <v>74</v>
      </c>
    </row>
    <row r="2097" spans="9:9" x14ac:dyDescent="0.2">
      <c r="I2097" s="137" t="s">
        <v>74</v>
      </c>
    </row>
    <row r="2098" spans="9:9" x14ac:dyDescent="0.2">
      <c r="I2098" s="137" t="s">
        <v>74</v>
      </c>
    </row>
    <row r="2099" spans="9:9" x14ac:dyDescent="0.2">
      <c r="I2099" s="137" t="s">
        <v>74</v>
      </c>
    </row>
    <row r="2100" spans="9:9" x14ac:dyDescent="0.2">
      <c r="I2100" s="137" t="s">
        <v>74</v>
      </c>
    </row>
    <row r="2101" spans="9:9" x14ac:dyDescent="0.2">
      <c r="I2101" s="137" t="s">
        <v>74</v>
      </c>
    </row>
    <row r="2102" spans="9:9" x14ac:dyDescent="0.2">
      <c r="I2102" s="137" t="s">
        <v>74</v>
      </c>
    </row>
    <row r="2103" spans="9:9" x14ac:dyDescent="0.2">
      <c r="I2103" s="137" t="s">
        <v>74</v>
      </c>
    </row>
    <row r="2104" spans="9:9" x14ac:dyDescent="0.2">
      <c r="I2104" s="137" t="s">
        <v>74</v>
      </c>
    </row>
    <row r="2105" spans="9:9" x14ac:dyDescent="0.2">
      <c r="I2105" s="137" t="s">
        <v>74</v>
      </c>
    </row>
    <row r="2106" spans="9:9" x14ac:dyDescent="0.2">
      <c r="I2106" s="137" t="s">
        <v>74</v>
      </c>
    </row>
    <row r="2107" spans="9:9" x14ac:dyDescent="0.2">
      <c r="I2107" s="137" t="s">
        <v>74</v>
      </c>
    </row>
    <row r="2108" spans="9:9" x14ac:dyDescent="0.2">
      <c r="I2108" s="137" t="s">
        <v>74</v>
      </c>
    </row>
    <row r="2109" spans="9:9" x14ac:dyDescent="0.2">
      <c r="I2109" s="137" t="s">
        <v>74</v>
      </c>
    </row>
    <row r="2110" spans="9:9" x14ac:dyDescent="0.2">
      <c r="I2110" s="137" t="s">
        <v>74</v>
      </c>
    </row>
    <row r="2111" spans="9:9" x14ac:dyDescent="0.2">
      <c r="I2111" s="137" t="s">
        <v>74</v>
      </c>
    </row>
    <row r="2112" spans="9:9" x14ac:dyDescent="0.2">
      <c r="I2112" s="137" t="s">
        <v>74</v>
      </c>
    </row>
    <row r="2113" spans="9:9" x14ac:dyDescent="0.2">
      <c r="I2113" s="137" t="s">
        <v>74</v>
      </c>
    </row>
    <row r="2114" spans="9:9" x14ac:dyDescent="0.2">
      <c r="I2114" s="137" t="s">
        <v>74</v>
      </c>
    </row>
    <row r="2115" spans="9:9" x14ac:dyDescent="0.2">
      <c r="I2115" s="137" t="s">
        <v>74</v>
      </c>
    </row>
    <row r="2116" spans="9:9" x14ac:dyDescent="0.2">
      <c r="I2116" s="137" t="s">
        <v>74</v>
      </c>
    </row>
    <row r="2117" spans="9:9" x14ac:dyDescent="0.2">
      <c r="I2117" s="137" t="s">
        <v>74</v>
      </c>
    </row>
    <row r="2118" spans="9:9" x14ac:dyDescent="0.2">
      <c r="I2118" s="137" t="s">
        <v>74</v>
      </c>
    </row>
    <row r="2119" spans="9:9" x14ac:dyDescent="0.2">
      <c r="I2119" s="137" t="s">
        <v>74</v>
      </c>
    </row>
    <row r="2120" spans="9:9" x14ac:dyDescent="0.2">
      <c r="I2120" s="137" t="s">
        <v>74</v>
      </c>
    </row>
    <row r="2121" spans="9:9" x14ac:dyDescent="0.2">
      <c r="I2121" s="137" t="s">
        <v>74</v>
      </c>
    </row>
    <row r="2122" spans="9:9" x14ac:dyDescent="0.2">
      <c r="I2122" s="137" t="s">
        <v>74</v>
      </c>
    </row>
    <row r="2123" spans="9:9" x14ac:dyDescent="0.2">
      <c r="I2123" s="137" t="s">
        <v>74</v>
      </c>
    </row>
    <row r="2124" spans="9:9" x14ac:dyDescent="0.2">
      <c r="I2124" s="137" t="s">
        <v>74</v>
      </c>
    </row>
    <row r="2125" spans="9:9" x14ac:dyDescent="0.2">
      <c r="I2125" s="137" t="s">
        <v>74</v>
      </c>
    </row>
    <row r="2126" spans="9:9" x14ac:dyDescent="0.2">
      <c r="I2126" s="137" t="s">
        <v>74</v>
      </c>
    </row>
    <row r="2127" spans="9:9" x14ac:dyDescent="0.2">
      <c r="I2127" s="137" t="s">
        <v>74</v>
      </c>
    </row>
    <row r="2128" spans="9:9" x14ac:dyDescent="0.2">
      <c r="I2128" s="137" t="s">
        <v>74</v>
      </c>
    </row>
    <row r="2129" spans="9:9" x14ac:dyDescent="0.2">
      <c r="I2129" s="137" t="s">
        <v>74</v>
      </c>
    </row>
    <row r="2130" spans="9:9" x14ac:dyDescent="0.2">
      <c r="I2130" s="137" t="s">
        <v>74</v>
      </c>
    </row>
    <row r="2131" spans="9:9" x14ac:dyDescent="0.2">
      <c r="I2131" s="137" t="s">
        <v>74</v>
      </c>
    </row>
    <row r="2132" spans="9:9" x14ac:dyDescent="0.2">
      <c r="I2132" s="137" t="s">
        <v>74</v>
      </c>
    </row>
    <row r="2133" spans="9:9" x14ac:dyDescent="0.2">
      <c r="I2133" s="137" t="s">
        <v>74</v>
      </c>
    </row>
    <row r="2134" spans="9:9" x14ac:dyDescent="0.2">
      <c r="I2134" s="137" t="s">
        <v>74</v>
      </c>
    </row>
    <row r="2135" spans="9:9" x14ac:dyDescent="0.2">
      <c r="I2135" s="137" t="s">
        <v>74</v>
      </c>
    </row>
    <row r="2136" spans="9:9" x14ac:dyDescent="0.2">
      <c r="I2136" s="137" t="s">
        <v>74</v>
      </c>
    </row>
    <row r="2137" spans="9:9" x14ac:dyDescent="0.2">
      <c r="I2137" s="137" t="s">
        <v>74</v>
      </c>
    </row>
    <row r="2138" spans="9:9" x14ac:dyDescent="0.2">
      <c r="I2138" s="137" t="s">
        <v>74</v>
      </c>
    </row>
    <row r="2139" spans="9:9" x14ac:dyDescent="0.2">
      <c r="I2139" s="137" t="s">
        <v>74</v>
      </c>
    </row>
    <row r="2140" spans="9:9" x14ac:dyDescent="0.2">
      <c r="I2140" s="137" t="s">
        <v>74</v>
      </c>
    </row>
    <row r="2141" spans="9:9" x14ac:dyDescent="0.2">
      <c r="I2141" s="137" t="s">
        <v>74</v>
      </c>
    </row>
    <row r="2142" spans="9:9" x14ac:dyDescent="0.2">
      <c r="I2142" s="137" t="s">
        <v>74</v>
      </c>
    </row>
    <row r="2143" spans="9:9" x14ac:dyDescent="0.2">
      <c r="I2143" s="137" t="s">
        <v>74</v>
      </c>
    </row>
    <row r="2144" spans="9:9" x14ac:dyDescent="0.2">
      <c r="I2144" s="137" t="s">
        <v>74</v>
      </c>
    </row>
    <row r="2145" spans="9:9" x14ac:dyDescent="0.2">
      <c r="I2145" s="137" t="s">
        <v>74</v>
      </c>
    </row>
    <row r="2146" spans="9:9" x14ac:dyDescent="0.2">
      <c r="I2146" s="137" t="s">
        <v>74</v>
      </c>
    </row>
    <row r="2147" spans="9:9" x14ac:dyDescent="0.2">
      <c r="I2147" s="137" t="s">
        <v>74</v>
      </c>
    </row>
    <row r="2148" spans="9:9" x14ac:dyDescent="0.2">
      <c r="I2148" s="137" t="s">
        <v>74</v>
      </c>
    </row>
    <row r="2149" spans="9:9" x14ac:dyDescent="0.2">
      <c r="I2149" s="137" t="s">
        <v>74</v>
      </c>
    </row>
    <row r="2150" spans="9:9" x14ac:dyDescent="0.2">
      <c r="I2150" s="137" t="s">
        <v>74</v>
      </c>
    </row>
    <row r="2151" spans="9:9" x14ac:dyDescent="0.2">
      <c r="I2151" s="137" t="s">
        <v>74</v>
      </c>
    </row>
    <row r="2152" spans="9:9" x14ac:dyDescent="0.2">
      <c r="I2152" s="137" t="s">
        <v>74</v>
      </c>
    </row>
    <row r="2153" spans="9:9" x14ac:dyDescent="0.2">
      <c r="I2153" s="137" t="s">
        <v>74</v>
      </c>
    </row>
    <row r="2154" spans="9:9" x14ac:dyDescent="0.2">
      <c r="I2154" s="137" t="s">
        <v>74</v>
      </c>
    </row>
    <row r="2155" spans="9:9" x14ac:dyDescent="0.2">
      <c r="I2155" s="137" t="s">
        <v>74</v>
      </c>
    </row>
    <row r="2156" spans="9:9" x14ac:dyDescent="0.2">
      <c r="I2156" s="137" t="s">
        <v>74</v>
      </c>
    </row>
    <row r="2157" spans="9:9" x14ac:dyDescent="0.2">
      <c r="I2157" s="137" t="s">
        <v>74</v>
      </c>
    </row>
    <row r="2158" spans="9:9" x14ac:dyDescent="0.2">
      <c r="I2158" s="137" t="s">
        <v>74</v>
      </c>
    </row>
    <row r="2159" spans="9:9" x14ac:dyDescent="0.2">
      <c r="I2159" s="137" t="s">
        <v>74</v>
      </c>
    </row>
    <row r="2160" spans="9:9" x14ac:dyDescent="0.2">
      <c r="I2160" s="137" t="s">
        <v>74</v>
      </c>
    </row>
    <row r="2161" spans="9:9" x14ac:dyDescent="0.2">
      <c r="I2161" s="137" t="s">
        <v>74</v>
      </c>
    </row>
    <row r="2162" spans="9:9" x14ac:dyDescent="0.2">
      <c r="I2162" s="137" t="s">
        <v>74</v>
      </c>
    </row>
    <row r="2163" spans="9:9" x14ac:dyDescent="0.2">
      <c r="I2163" s="137" t="s">
        <v>74</v>
      </c>
    </row>
    <row r="2164" spans="9:9" x14ac:dyDescent="0.2">
      <c r="I2164" s="137" t="s">
        <v>74</v>
      </c>
    </row>
    <row r="2165" spans="9:9" x14ac:dyDescent="0.2">
      <c r="I2165" s="137" t="s">
        <v>74</v>
      </c>
    </row>
    <row r="2166" spans="9:9" x14ac:dyDescent="0.2">
      <c r="I2166" s="137" t="s">
        <v>74</v>
      </c>
    </row>
    <row r="2167" spans="9:9" x14ac:dyDescent="0.2">
      <c r="I2167" s="137" t="s">
        <v>74</v>
      </c>
    </row>
    <row r="2168" spans="9:9" x14ac:dyDescent="0.2">
      <c r="I2168" s="137" t="s">
        <v>74</v>
      </c>
    </row>
    <row r="2169" spans="9:9" x14ac:dyDescent="0.2">
      <c r="I2169" s="137" t="s">
        <v>74</v>
      </c>
    </row>
    <row r="2170" spans="9:9" x14ac:dyDescent="0.2">
      <c r="I2170" s="137" t="s">
        <v>74</v>
      </c>
    </row>
    <row r="2171" spans="9:9" x14ac:dyDescent="0.2">
      <c r="I2171" s="137" t="s">
        <v>74</v>
      </c>
    </row>
    <row r="2172" spans="9:9" x14ac:dyDescent="0.2">
      <c r="I2172" s="137" t="s">
        <v>74</v>
      </c>
    </row>
    <row r="2173" spans="9:9" x14ac:dyDescent="0.2">
      <c r="I2173" s="137" t="s">
        <v>74</v>
      </c>
    </row>
    <row r="2174" spans="9:9" x14ac:dyDescent="0.2">
      <c r="I2174" s="137" t="s">
        <v>74</v>
      </c>
    </row>
    <row r="2175" spans="9:9" x14ac:dyDescent="0.2">
      <c r="I2175" s="137" t="s">
        <v>74</v>
      </c>
    </row>
    <row r="2176" spans="9:9" x14ac:dyDescent="0.2">
      <c r="I2176" s="137" t="s">
        <v>74</v>
      </c>
    </row>
    <row r="2177" spans="9:9" x14ac:dyDescent="0.2">
      <c r="I2177" s="137" t="s">
        <v>74</v>
      </c>
    </row>
    <row r="2178" spans="9:9" x14ac:dyDescent="0.2">
      <c r="I2178" s="137" t="s">
        <v>74</v>
      </c>
    </row>
    <row r="2179" spans="9:9" x14ac:dyDescent="0.2">
      <c r="I2179" s="137" t="s">
        <v>74</v>
      </c>
    </row>
    <row r="2180" spans="9:9" x14ac:dyDescent="0.2">
      <c r="I2180" s="137" t="s">
        <v>74</v>
      </c>
    </row>
    <row r="2181" spans="9:9" x14ac:dyDescent="0.2">
      <c r="I2181" s="137" t="s">
        <v>74</v>
      </c>
    </row>
    <row r="2182" spans="9:9" x14ac:dyDescent="0.2">
      <c r="I2182" s="137" t="s">
        <v>74</v>
      </c>
    </row>
    <row r="2183" spans="9:9" x14ac:dyDescent="0.2">
      <c r="I2183" s="137" t="s">
        <v>74</v>
      </c>
    </row>
    <row r="2184" spans="9:9" x14ac:dyDescent="0.2">
      <c r="I2184" s="137" t="s">
        <v>74</v>
      </c>
    </row>
    <row r="2185" spans="9:9" x14ac:dyDescent="0.2">
      <c r="I2185" s="137" t="s">
        <v>74</v>
      </c>
    </row>
    <row r="2186" spans="9:9" x14ac:dyDescent="0.2">
      <c r="I2186" s="137" t="s">
        <v>74</v>
      </c>
    </row>
    <row r="2187" spans="9:9" x14ac:dyDescent="0.2">
      <c r="I2187" s="137" t="s">
        <v>74</v>
      </c>
    </row>
    <row r="2188" spans="9:9" x14ac:dyDescent="0.2">
      <c r="I2188" s="137" t="s">
        <v>74</v>
      </c>
    </row>
    <row r="2189" spans="9:9" x14ac:dyDescent="0.2">
      <c r="I2189" s="137" t="s">
        <v>74</v>
      </c>
    </row>
    <row r="2190" spans="9:9" x14ac:dyDescent="0.2">
      <c r="I2190" s="137" t="s">
        <v>74</v>
      </c>
    </row>
    <row r="2191" spans="9:9" x14ac:dyDescent="0.2">
      <c r="I2191" s="137" t="s">
        <v>74</v>
      </c>
    </row>
    <row r="2192" spans="9:9" x14ac:dyDescent="0.2">
      <c r="I2192" s="137" t="s">
        <v>74</v>
      </c>
    </row>
    <row r="2193" spans="9:9" x14ac:dyDescent="0.2">
      <c r="I2193" s="137" t="s">
        <v>74</v>
      </c>
    </row>
    <row r="2194" spans="9:9" x14ac:dyDescent="0.2">
      <c r="I2194" s="137" t="s">
        <v>74</v>
      </c>
    </row>
    <row r="2195" spans="9:9" x14ac:dyDescent="0.2">
      <c r="I2195" s="137" t="s">
        <v>74</v>
      </c>
    </row>
    <row r="2196" spans="9:9" x14ac:dyDescent="0.2">
      <c r="I2196" s="137" t="s">
        <v>74</v>
      </c>
    </row>
    <row r="2197" spans="9:9" x14ac:dyDescent="0.2">
      <c r="I2197" s="137" t="s">
        <v>74</v>
      </c>
    </row>
    <row r="2198" spans="9:9" x14ac:dyDescent="0.2">
      <c r="I2198" s="137" t="s">
        <v>74</v>
      </c>
    </row>
    <row r="2199" spans="9:9" x14ac:dyDescent="0.2">
      <c r="I2199" s="137" t="s">
        <v>74</v>
      </c>
    </row>
    <row r="2200" spans="9:9" x14ac:dyDescent="0.2">
      <c r="I2200" s="137" t="s">
        <v>74</v>
      </c>
    </row>
    <row r="2201" spans="9:9" x14ac:dyDescent="0.2">
      <c r="I2201" s="137" t="s">
        <v>74</v>
      </c>
    </row>
    <row r="2202" spans="9:9" x14ac:dyDescent="0.2">
      <c r="I2202" s="137" t="s">
        <v>74</v>
      </c>
    </row>
    <row r="2203" spans="9:9" x14ac:dyDescent="0.2">
      <c r="I2203" s="137" t="s">
        <v>74</v>
      </c>
    </row>
    <row r="2204" spans="9:9" x14ac:dyDescent="0.2">
      <c r="I2204" s="137" t="s">
        <v>74</v>
      </c>
    </row>
    <row r="2205" spans="9:9" x14ac:dyDescent="0.2">
      <c r="I2205" s="137" t="s">
        <v>74</v>
      </c>
    </row>
    <row r="2206" spans="9:9" x14ac:dyDescent="0.2">
      <c r="I2206" s="137" t="s">
        <v>74</v>
      </c>
    </row>
    <row r="2207" spans="9:9" x14ac:dyDescent="0.2">
      <c r="I2207" s="137" t="s">
        <v>74</v>
      </c>
    </row>
    <row r="2208" spans="9:9" x14ac:dyDescent="0.2">
      <c r="I2208" s="137" t="s">
        <v>74</v>
      </c>
    </row>
    <row r="2209" spans="9:9" x14ac:dyDescent="0.2">
      <c r="I2209" s="137" t="s">
        <v>74</v>
      </c>
    </row>
    <row r="2210" spans="9:9" x14ac:dyDescent="0.2">
      <c r="I2210" s="137" t="s">
        <v>74</v>
      </c>
    </row>
    <row r="2211" spans="9:9" x14ac:dyDescent="0.2">
      <c r="I2211" s="137" t="s">
        <v>74</v>
      </c>
    </row>
    <row r="2212" spans="9:9" x14ac:dyDescent="0.2">
      <c r="I2212" s="137" t="s">
        <v>74</v>
      </c>
    </row>
    <row r="2213" spans="9:9" x14ac:dyDescent="0.2">
      <c r="I2213" s="137" t="s">
        <v>74</v>
      </c>
    </row>
    <row r="2214" spans="9:9" x14ac:dyDescent="0.2">
      <c r="I2214" s="137" t="s">
        <v>74</v>
      </c>
    </row>
    <row r="2215" spans="9:9" x14ac:dyDescent="0.2">
      <c r="I2215" s="137" t="s">
        <v>74</v>
      </c>
    </row>
    <row r="2216" spans="9:9" x14ac:dyDescent="0.2">
      <c r="I2216" s="137" t="s">
        <v>74</v>
      </c>
    </row>
    <row r="2217" spans="9:9" x14ac:dyDescent="0.2">
      <c r="I2217" s="137" t="s">
        <v>74</v>
      </c>
    </row>
    <row r="2218" spans="9:9" x14ac:dyDescent="0.2">
      <c r="I2218" s="137" t="s">
        <v>74</v>
      </c>
    </row>
    <row r="2219" spans="9:9" x14ac:dyDescent="0.2">
      <c r="I2219" s="137" t="s">
        <v>74</v>
      </c>
    </row>
    <row r="2220" spans="9:9" x14ac:dyDescent="0.2">
      <c r="I2220" s="137" t="s">
        <v>74</v>
      </c>
    </row>
    <row r="2221" spans="9:9" x14ac:dyDescent="0.2">
      <c r="I2221" s="137" t="s">
        <v>74</v>
      </c>
    </row>
    <row r="2222" spans="9:9" x14ac:dyDescent="0.2">
      <c r="I2222" s="137" t="s">
        <v>74</v>
      </c>
    </row>
    <row r="2223" spans="9:9" x14ac:dyDescent="0.2">
      <c r="I2223" s="137" t="s">
        <v>74</v>
      </c>
    </row>
    <row r="2224" spans="9:9" x14ac:dyDescent="0.2">
      <c r="I2224" s="137" t="s">
        <v>74</v>
      </c>
    </row>
    <row r="2225" spans="9:9" x14ac:dyDescent="0.2">
      <c r="I2225" s="137" t="s">
        <v>74</v>
      </c>
    </row>
    <row r="2226" spans="9:9" x14ac:dyDescent="0.2">
      <c r="I2226" s="137" t="s">
        <v>74</v>
      </c>
    </row>
    <row r="2227" spans="9:9" x14ac:dyDescent="0.2">
      <c r="I2227" s="137" t="s">
        <v>74</v>
      </c>
    </row>
    <row r="2228" spans="9:9" x14ac:dyDescent="0.2">
      <c r="I2228" s="137" t="s">
        <v>74</v>
      </c>
    </row>
    <row r="2229" spans="9:9" x14ac:dyDescent="0.2">
      <c r="I2229" s="137" t="s">
        <v>74</v>
      </c>
    </row>
    <row r="2230" spans="9:9" x14ac:dyDescent="0.2">
      <c r="I2230" s="137" t="s">
        <v>74</v>
      </c>
    </row>
    <row r="2231" spans="9:9" x14ac:dyDescent="0.2">
      <c r="I2231" s="137" t="s">
        <v>74</v>
      </c>
    </row>
    <row r="2232" spans="9:9" x14ac:dyDescent="0.2">
      <c r="I2232" s="137" t="s">
        <v>74</v>
      </c>
    </row>
    <row r="2233" spans="9:9" x14ac:dyDescent="0.2">
      <c r="I2233" s="137" t="s">
        <v>74</v>
      </c>
    </row>
    <row r="2234" spans="9:9" x14ac:dyDescent="0.2">
      <c r="I2234" s="137" t="s">
        <v>74</v>
      </c>
    </row>
    <row r="2235" spans="9:9" x14ac:dyDescent="0.2">
      <c r="I2235" s="137" t="s">
        <v>74</v>
      </c>
    </row>
    <row r="2236" spans="9:9" x14ac:dyDescent="0.2">
      <c r="I2236" s="137" t="s">
        <v>74</v>
      </c>
    </row>
    <row r="2237" spans="9:9" x14ac:dyDescent="0.2">
      <c r="I2237" s="137" t="s">
        <v>74</v>
      </c>
    </row>
    <row r="2238" spans="9:9" x14ac:dyDescent="0.2">
      <c r="I2238" s="137" t="s">
        <v>74</v>
      </c>
    </row>
    <row r="2239" spans="9:9" x14ac:dyDescent="0.2">
      <c r="I2239" s="137" t="s">
        <v>74</v>
      </c>
    </row>
    <row r="2240" spans="9:9" x14ac:dyDescent="0.2">
      <c r="I2240" s="137" t="s">
        <v>74</v>
      </c>
    </row>
    <row r="2241" spans="9:9" x14ac:dyDescent="0.2">
      <c r="I2241" s="137" t="s">
        <v>74</v>
      </c>
    </row>
    <row r="2242" spans="9:9" x14ac:dyDescent="0.2">
      <c r="I2242" s="137" t="s">
        <v>74</v>
      </c>
    </row>
    <row r="2243" spans="9:9" x14ac:dyDescent="0.2">
      <c r="I2243" s="137" t="s">
        <v>74</v>
      </c>
    </row>
    <row r="2244" spans="9:9" x14ac:dyDescent="0.2">
      <c r="I2244" s="137" t="s">
        <v>74</v>
      </c>
    </row>
    <row r="2245" spans="9:9" x14ac:dyDescent="0.2">
      <c r="I2245" s="137" t="s">
        <v>74</v>
      </c>
    </row>
    <row r="2246" spans="9:9" x14ac:dyDescent="0.2">
      <c r="I2246" s="137" t="s">
        <v>74</v>
      </c>
    </row>
    <row r="2247" spans="9:9" x14ac:dyDescent="0.2">
      <c r="I2247" s="137" t="s">
        <v>74</v>
      </c>
    </row>
    <row r="2248" spans="9:9" x14ac:dyDescent="0.2">
      <c r="I2248" s="137" t="s">
        <v>74</v>
      </c>
    </row>
    <row r="2249" spans="9:9" x14ac:dyDescent="0.2">
      <c r="I2249" s="137" t="s">
        <v>74</v>
      </c>
    </row>
    <row r="2250" spans="9:9" x14ac:dyDescent="0.2">
      <c r="I2250" s="137" t="s">
        <v>74</v>
      </c>
    </row>
    <row r="2251" spans="9:9" x14ac:dyDescent="0.2">
      <c r="I2251" s="137" t="s">
        <v>74</v>
      </c>
    </row>
    <row r="2252" spans="9:9" x14ac:dyDescent="0.2">
      <c r="I2252" s="137" t="s">
        <v>74</v>
      </c>
    </row>
    <row r="2253" spans="9:9" x14ac:dyDescent="0.2">
      <c r="I2253" s="137" t="s">
        <v>74</v>
      </c>
    </row>
    <row r="2254" spans="9:9" x14ac:dyDescent="0.2">
      <c r="I2254" s="137" t="s">
        <v>74</v>
      </c>
    </row>
    <row r="2255" spans="9:9" x14ac:dyDescent="0.2">
      <c r="I2255" s="137" t="s">
        <v>74</v>
      </c>
    </row>
    <row r="2256" spans="9:9" x14ac:dyDescent="0.2">
      <c r="I2256" s="137" t="s">
        <v>74</v>
      </c>
    </row>
    <row r="2257" spans="9:9" x14ac:dyDescent="0.2">
      <c r="I2257" s="137" t="s">
        <v>74</v>
      </c>
    </row>
    <row r="2258" spans="9:9" x14ac:dyDescent="0.2">
      <c r="I2258" s="137" t="s">
        <v>74</v>
      </c>
    </row>
    <row r="2259" spans="9:9" x14ac:dyDescent="0.2">
      <c r="I2259" s="137" t="s">
        <v>74</v>
      </c>
    </row>
    <row r="2260" spans="9:9" x14ac:dyDescent="0.2">
      <c r="I2260" s="137" t="s">
        <v>74</v>
      </c>
    </row>
    <row r="2261" spans="9:9" x14ac:dyDescent="0.2">
      <c r="I2261" s="137" t="s">
        <v>74</v>
      </c>
    </row>
    <row r="2262" spans="9:9" x14ac:dyDescent="0.2">
      <c r="I2262" s="137" t="s">
        <v>74</v>
      </c>
    </row>
    <row r="2263" spans="9:9" x14ac:dyDescent="0.2">
      <c r="I2263" s="137" t="s">
        <v>74</v>
      </c>
    </row>
    <row r="2264" spans="9:9" x14ac:dyDescent="0.2">
      <c r="I2264" s="137" t="s">
        <v>74</v>
      </c>
    </row>
    <row r="2265" spans="9:9" x14ac:dyDescent="0.2">
      <c r="I2265" s="137" t="s">
        <v>74</v>
      </c>
    </row>
    <row r="2266" spans="9:9" x14ac:dyDescent="0.2">
      <c r="I2266" s="137" t="s">
        <v>74</v>
      </c>
    </row>
    <row r="2267" spans="9:9" x14ac:dyDescent="0.2">
      <c r="I2267" s="137" t="s">
        <v>74</v>
      </c>
    </row>
    <row r="2268" spans="9:9" x14ac:dyDescent="0.2">
      <c r="I2268" s="137" t="s">
        <v>74</v>
      </c>
    </row>
    <row r="2269" spans="9:9" x14ac:dyDescent="0.2">
      <c r="I2269" s="137" t="s">
        <v>74</v>
      </c>
    </row>
    <row r="2270" spans="9:9" x14ac:dyDescent="0.2">
      <c r="I2270" s="137" t="s">
        <v>74</v>
      </c>
    </row>
    <row r="2271" spans="9:9" x14ac:dyDescent="0.2">
      <c r="I2271" s="137" t="s">
        <v>74</v>
      </c>
    </row>
    <row r="2272" spans="9:9" x14ac:dyDescent="0.2">
      <c r="I2272" s="137" t="s">
        <v>74</v>
      </c>
    </row>
    <row r="2273" spans="9:9" x14ac:dyDescent="0.2">
      <c r="I2273" s="137" t="s">
        <v>74</v>
      </c>
    </row>
    <row r="2274" spans="9:9" x14ac:dyDescent="0.2">
      <c r="I2274" s="137" t="s">
        <v>74</v>
      </c>
    </row>
    <row r="2275" spans="9:9" x14ac:dyDescent="0.2">
      <c r="I2275" s="137" t="s">
        <v>74</v>
      </c>
    </row>
    <row r="2276" spans="9:9" x14ac:dyDescent="0.2">
      <c r="I2276" s="137" t="s">
        <v>74</v>
      </c>
    </row>
    <row r="2277" spans="9:9" x14ac:dyDescent="0.2">
      <c r="I2277" s="137" t="s">
        <v>74</v>
      </c>
    </row>
    <row r="2278" spans="9:9" x14ac:dyDescent="0.2">
      <c r="I2278" s="137" t="s">
        <v>74</v>
      </c>
    </row>
    <row r="2279" spans="9:9" x14ac:dyDescent="0.2">
      <c r="I2279" s="137" t="s">
        <v>74</v>
      </c>
    </row>
    <row r="2280" spans="9:9" x14ac:dyDescent="0.2">
      <c r="I2280" s="137" t="s">
        <v>74</v>
      </c>
    </row>
    <row r="2281" spans="9:9" x14ac:dyDescent="0.2">
      <c r="I2281" s="137" t="s">
        <v>74</v>
      </c>
    </row>
    <row r="2282" spans="9:9" x14ac:dyDescent="0.2">
      <c r="I2282" s="137" t="s">
        <v>74</v>
      </c>
    </row>
    <row r="2283" spans="9:9" x14ac:dyDescent="0.2">
      <c r="I2283" s="137" t="s">
        <v>74</v>
      </c>
    </row>
    <row r="2284" spans="9:9" x14ac:dyDescent="0.2">
      <c r="I2284" s="137" t="s">
        <v>74</v>
      </c>
    </row>
    <row r="2285" spans="9:9" x14ac:dyDescent="0.2">
      <c r="I2285" s="137" t="s">
        <v>74</v>
      </c>
    </row>
    <row r="2286" spans="9:9" x14ac:dyDescent="0.2">
      <c r="I2286" s="137" t="s">
        <v>74</v>
      </c>
    </row>
    <row r="2287" spans="9:9" x14ac:dyDescent="0.2">
      <c r="I2287" s="137" t="s">
        <v>74</v>
      </c>
    </row>
    <row r="2288" spans="9:9" x14ac:dyDescent="0.2">
      <c r="I2288" s="137" t="s">
        <v>74</v>
      </c>
    </row>
    <row r="2289" spans="9:9" x14ac:dyDescent="0.2">
      <c r="I2289" s="137" t="s">
        <v>74</v>
      </c>
    </row>
    <row r="2290" spans="9:9" x14ac:dyDescent="0.2">
      <c r="I2290" s="137" t="s">
        <v>74</v>
      </c>
    </row>
    <row r="2291" spans="9:9" x14ac:dyDescent="0.2">
      <c r="I2291" s="137" t="s">
        <v>74</v>
      </c>
    </row>
    <row r="2292" spans="9:9" x14ac:dyDescent="0.2">
      <c r="I2292" s="137" t="s">
        <v>74</v>
      </c>
    </row>
    <row r="2293" spans="9:9" x14ac:dyDescent="0.2">
      <c r="I2293" s="137" t="s">
        <v>74</v>
      </c>
    </row>
    <row r="2294" spans="9:9" x14ac:dyDescent="0.2">
      <c r="I2294" s="137" t="s">
        <v>74</v>
      </c>
    </row>
    <row r="2295" spans="9:9" x14ac:dyDescent="0.2">
      <c r="I2295" s="137" t="s">
        <v>74</v>
      </c>
    </row>
    <row r="2296" spans="9:9" x14ac:dyDescent="0.2">
      <c r="I2296" s="137" t="s">
        <v>74</v>
      </c>
    </row>
    <row r="2297" spans="9:9" x14ac:dyDescent="0.2">
      <c r="I2297" s="137" t="s">
        <v>74</v>
      </c>
    </row>
    <row r="2298" spans="9:9" x14ac:dyDescent="0.2">
      <c r="I2298" s="137" t="s">
        <v>74</v>
      </c>
    </row>
    <row r="2299" spans="9:9" x14ac:dyDescent="0.2">
      <c r="I2299" s="137" t="s">
        <v>74</v>
      </c>
    </row>
    <row r="2300" spans="9:9" x14ac:dyDescent="0.2">
      <c r="I2300" s="137" t="s">
        <v>74</v>
      </c>
    </row>
    <row r="2301" spans="9:9" x14ac:dyDescent="0.2">
      <c r="I2301" s="137" t="s">
        <v>74</v>
      </c>
    </row>
    <row r="2302" spans="9:9" x14ac:dyDescent="0.2">
      <c r="I2302" s="137" t="s">
        <v>74</v>
      </c>
    </row>
    <row r="2303" spans="9:9" x14ac:dyDescent="0.2">
      <c r="I2303" s="137" t="s">
        <v>74</v>
      </c>
    </row>
    <row r="2304" spans="9:9" x14ac:dyDescent="0.2">
      <c r="I2304" s="137" t="s">
        <v>74</v>
      </c>
    </row>
    <row r="2305" spans="9:9" x14ac:dyDescent="0.2">
      <c r="I2305" s="137" t="s">
        <v>74</v>
      </c>
    </row>
    <row r="2306" spans="9:9" x14ac:dyDescent="0.2">
      <c r="I2306" s="137" t="s">
        <v>74</v>
      </c>
    </row>
    <row r="2307" spans="9:9" x14ac:dyDescent="0.2">
      <c r="I2307" s="137" t="s">
        <v>74</v>
      </c>
    </row>
    <row r="2308" spans="9:9" x14ac:dyDescent="0.2">
      <c r="I2308" s="137" t="s">
        <v>74</v>
      </c>
    </row>
    <row r="2309" spans="9:9" x14ac:dyDescent="0.2">
      <c r="I2309" s="137" t="s">
        <v>74</v>
      </c>
    </row>
    <row r="2310" spans="9:9" x14ac:dyDescent="0.2">
      <c r="I2310" s="137" t="s">
        <v>74</v>
      </c>
    </row>
    <row r="2311" spans="9:9" x14ac:dyDescent="0.2">
      <c r="I2311" s="137" t="s">
        <v>74</v>
      </c>
    </row>
    <row r="2312" spans="9:9" x14ac:dyDescent="0.2">
      <c r="I2312" s="137" t="s">
        <v>74</v>
      </c>
    </row>
    <row r="2313" spans="9:9" x14ac:dyDescent="0.2">
      <c r="I2313" s="137" t="s">
        <v>74</v>
      </c>
    </row>
    <row r="2314" spans="9:9" x14ac:dyDescent="0.2">
      <c r="I2314" s="137" t="s">
        <v>74</v>
      </c>
    </row>
    <row r="2315" spans="9:9" x14ac:dyDescent="0.2">
      <c r="I2315" s="137" t="s">
        <v>74</v>
      </c>
    </row>
    <row r="2316" spans="9:9" x14ac:dyDescent="0.2">
      <c r="I2316" s="137" t="s">
        <v>74</v>
      </c>
    </row>
    <row r="2317" spans="9:9" x14ac:dyDescent="0.2">
      <c r="I2317" s="137" t="s">
        <v>74</v>
      </c>
    </row>
    <row r="2318" spans="9:9" x14ac:dyDescent="0.2">
      <c r="I2318" s="137" t="s">
        <v>74</v>
      </c>
    </row>
    <row r="2319" spans="9:9" x14ac:dyDescent="0.2">
      <c r="I2319" s="137" t="s">
        <v>74</v>
      </c>
    </row>
    <row r="2320" spans="9:9" x14ac:dyDescent="0.2">
      <c r="I2320" s="137" t="s">
        <v>74</v>
      </c>
    </row>
    <row r="2321" spans="9:9" x14ac:dyDescent="0.2">
      <c r="I2321" s="137" t="s">
        <v>74</v>
      </c>
    </row>
    <row r="2322" spans="9:9" x14ac:dyDescent="0.2">
      <c r="I2322" s="137" t="s">
        <v>74</v>
      </c>
    </row>
    <row r="2323" spans="9:9" x14ac:dyDescent="0.2">
      <c r="I2323" s="137" t="s">
        <v>74</v>
      </c>
    </row>
    <row r="2324" spans="9:9" x14ac:dyDescent="0.2">
      <c r="I2324" s="137" t="s">
        <v>74</v>
      </c>
    </row>
    <row r="2325" spans="9:9" x14ac:dyDescent="0.2">
      <c r="I2325" s="137" t="s">
        <v>74</v>
      </c>
    </row>
    <row r="2326" spans="9:9" x14ac:dyDescent="0.2">
      <c r="I2326" s="137" t="s">
        <v>74</v>
      </c>
    </row>
    <row r="2327" spans="9:9" x14ac:dyDescent="0.2">
      <c r="I2327" s="137" t="s">
        <v>74</v>
      </c>
    </row>
    <row r="2328" spans="9:9" x14ac:dyDescent="0.2">
      <c r="I2328" s="137" t="s">
        <v>74</v>
      </c>
    </row>
    <row r="2329" spans="9:9" x14ac:dyDescent="0.2">
      <c r="I2329" s="137" t="s">
        <v>74</v>
      </c>
    </row>
    <row r="2330" spans="9:9" x14ac:dyDescent="0.2">
      <c r="I2330" s="137" t="s">
        <v>74</v>
      </c>
    </row>
    <row r="2331" spans="9:9" x14ac:dyDescent="0.2">
      <c r="I2331" s="137" t="s">
        <v>74</v>
      </c>
    </row>
    <row r="2332" spans="9:9" x14ac:dyDescent="0.2">
      <c r="I2332" s="137" t="s">
        <v>74</v>
      </c>
    </row>
    <row r="2333" spans="9:9" x14ac:dyDescent="0.2">
      <c r="I2333" s="137" t="s">
        <v>74</v>
      </c>
    </row>
    <row r="2334" spans="9:9" x14ac:dyDescent="0.2">
      <c r="I2334" s="137" t="s">
        <v>74</v>
      </c>
    </row>
    <row r="2335" spans="9:9" x14ac:dyDescent="0.2">
      <c r="I2335" s="137" t="s">
        <v>74</v>
      </c>
    </row>
    <row r="2336" spans="9:9" x14ac:dyDescent="0.2">
      <c r="I2336" s="137" t="s">
        <v>74</v>
      </c>
    </row>
    <row r="2337" spans="9:9" x14ac:dyDescent="0.2">
      <c r="I2337" s="137" t="s">
        <v>74</v>
      </c>
    </row>
    <row r="2338" spans="9:9" x14ac:dyDescent="0.2">
      <c r="I2338" s="137" t="s">
        <v>74</v>
      </c>
    </row>
    <row r="2339" spans="9:9" x14ac:dyDescent="0.2">
      <c r="I2339" s="137" t="s">
        <v>74</v>
      </c>
    </row>
    <row r="2340" spans="9:9" x14ac:dyDescent="0.2">
      <c r="I2340" s="137" t="s">
        <v>74</v>
      </c>
    </row>
    <row r="2341" spans="9:9" x14ac:dyDescent="0.2">
      <c r="I2341" s="137" t="s">
        <v>74</v>
      </c>
    </row>
    <row r="2342" spans="9:9" x14ac:dyDescent="0.2">
      <c r="I2342" s="137" t="s">
        <v>74</v>
      </c>
    </row>
    <row r="2343" spans="9:9" x14ac:dyDescent="0.2">
      <c r="I2343" s="137" t="s">
        <v>74</v>
      </c>
    </row>
    <row r="2344" spans="9:9" x14ac:dyDescent="0.2">
      <c r="I2344" s="137" t="s">
        <v>74</v>
      </c>
    </row>
    <row r="2345" spans="9:9" x14ac:dyDescent="0.2">
      <c r="I2345" s="137" t="s">
        <v>74</v>
      </c>
    </row>
    <row r="2346" spans="9:9" x14ac:dyDescent="0.2">
      <c r="I2346" s="137" t="s">
        <v>74</v>
      </c>
    </row>
    <row r="2347" spans="9:9" x14ac:dyDescent="0.2">
      <c r="I2347" s="137" t="s">
        <v>74</v>
      </c>
    </row>
    <row r="2348" spans="9:9" x14ac:dyDescent="0.2">
      <c r="I2348" s="137" t="s">
        <v>74</v>
      </c>
    </row>
    <row r="2349" spans="9:9" x14ac:dyDescent="0.2">
      <c r="I2349" s="137" t="s">
        <v>74</v>
      </c>
    </row>
    <row r="2350" spans="9:9" x14ac:dyDescent="0.2">
      <c r="I2350" s="137" t="s">
        <v>74</v>
      </c>
    </row>
    <row r="2351" spans="9:9" x14ac:dyDescent="0.2">
      <c r="I2351" s="137" t="s">
        <v>74</v>
      </c>
    </row>
    <row r="2352" spans="9:9" x14ac:dyDescent="0.2">
      <c r="I2352" s="137" t="s">
        <v>74</v>
      </c>
    </row>
    <row r="2353" spans="9:9" x14ac:dyDescent="0.2">
      <c r="I2353" s="137" t="s">
        <v>74</v>
      </c>
    </row>
    <row r="2354" spans="9:9" x14ac:dyDescent="0.2">
      <c r="I2354" s="137" t="s">
        <v>74</v>
      </c>
    </row>
    <row r="2355" spans="9:9" x14ac:dyDescent="0.2">
      <c r="I2355" s="137" t="s">
        <v>74</v>
      </c>
    </row>
    <row r="2356" spans="9:9" x14ac:dyDescent="0.2">
      <c r="I2356" s="137" t="s">
        <v>74</v>
      </c>
    </row>
    <row r="2357" spans="9:9" x14ac:dyDescent="0.2">
      <c r="I2357" s="137" t="s">
        <v>74</v>
      </c>
    </row>
    <row r="2358" spans="9:9" x14ac:dyDescent="0.2">
      <c r="I2358" s="137" t="s">
        <v>74</v>
      </c>
    </row>
    <row r="2359" spans="9:9" x14ac:dyDescent="0.2">
      <c r="I2359" s="137" t="s">
        <v>74</v>
      </c>
    </row>
    <row r="2360" spans="9:9" x14ac:dyDescent="0.2">
      <c r="I2360" s="137" t="s">
        <v>74</v>
      </c>
    </row>
    <row r="2361" spans="9:9" x14ac:dyDescent="0.2">
      <c r="I2361" s="137" t="s">
        <v>74</v>
      </c>
    </row>
    <row r="2362" spans="9:9" x14ac:dyDescent="0.2">
      <c r="I2362" s="137" t="s">
        <v>74</v>
      </c>
    </row>
    <row r="2363" spans="9:9" x14ac:dyDescent="0.2">
      <c r="I2363" s="137" t="s">
        <v>74</v>
      </c>
    </row>
    <row r="2364" spans="9:9" x14ac:dyDescent="0.2">
      <c r="I2364" s="137" t="s">
        <v>74</v>
      </c>
    </row>
    <row r="2365" spans="9:9" x14ac:dyDescent="0.2">
      <c r="I2365" s="137" t="s">
        <v>74</v>
      </c>
    </row>
    <row r="2366" spans="9:9" x14ac:dyDescent="0.2">
      <c r="I2366" s="137" t="s">
        <v>74</v>
      </c>
    </row>
    <row r="2367" spans="9:9" x14ac:dyDescent="0.2">
      <c r="I2367" s="137" t="s">
        <v>74</v>
      </c>
    </row>
    <row r="2368" spans="9:9" x14ac:dyDescent="0.2">
      <c r="I2368" s="137" t="s">
        <v>74</v>
      </c>
    </row>
    <row r="2369" spans="9:9" x14ac:dyDescent="0.2">
      <c r="I2369" s="137" t="s">
        <v>74</v>
      </c>
    </row>
    <row r="2370" spans="9:9" x14ac:dyDescent="0.2">
      <c r="I2370" s="137" t="s">
        <v>74</v>
      </c>
    </row>
    <row r="2371" spans="9:9" x14ac:dyDescent="0.2">
      <c r="I2371" s="137" t="s">
        <v>74</v>
      </c>
    </row>
    <row r="2372" spans="9:9" x14ac:dyDescent="0.2">
      <c r="I2372" s="137" t="s">
        <v>74</v>
      </c>
    </row>
    <row r="2373" spans="9:9" x14ac:dyDescent="0.2">
      <c r="I2373" s="137" t="s">
        <v>74</v>
      </c>
    </row>
    <row r="2374" spans="9:9" x14ac:dyDescent="0.2">
      <c r="I2374" s="137" t="s">
        <v>74</v>
      </c>
    </row>
    <row r="2375" spans="9:9" x14ac:dyDescent="0.2">
      <c r="I2375" s="137" t="s">
        <v>74</v>
      </c>
    </row>
    <row r="2376" spans="9:9" x14ac:dyDescent="0.2">
      <c r="I2376" s="137" t="s">
        <v>74</v>
      </c>
    </row>
    <row r="2377" spans="9:9" x14ac:dyDescent="0.2">
      <c r="I2377" s="137" t="s">
        <v>74</v>
      </c>
    </row>
    <row r="2378" spans="9:9" x14ac:dyDescent="0.2">
      <c r="I2378" s="137" t="s">
        <v>74</v>
      </c>
    </row>
    <row r="2379" spans="9:9" x14ac:dyDescent="0.2">
      <c r="I2379" s="137" t="s">
        <v>74</v>
      </c>
    </row>
    <row r="2380" spans="9:9" x14ac:dyDescent="0.2">
      <c r="I2380" s="137" t="s">
        <v>74</v>
      </c>
    </row>
    <row r="2381" spans="9:9" x14ac:dyDescent="0.2">
      <c r="I2381" s="137" t="s">
        <v>74</v>
      </c>
    </row>
    <row r="2382" spans="9:9" x14ac:dyDescent="0.2">
      <c r="I2382" s="137" t="s">
        <v>74</v>
      </c>
    </row>
    <row r="2383" spans="9:9" x14ac:dyDescent="0.2">
      <c r="I2383" s="137" t="s">
        <v>74</v>
      </c>
    </row>
    <row r="2384" spans="9:9" x14ac:dyDescent="0.2">
      <c r="I2384" s="137" t="s">
        <v>74</v>
      </c>
    </row>
    <row r="2385" spans="9:9" x14ac:dyDescent="0.2">
      <c r="I2385" s="137" t="s">
        <v>74</v>
      </c>
    </row>
    <row r="2386" spans="9:9" x14ac:dyDescent="0.2">
      <c r="I2386" s="137" t="s">
        <v>74</v>
      </c>
    </row>
    <row r="2387" spans="9:9" x14ac:dyDescent="0.2">
      <c r="I2387" s="137" t="s">
        <v>74</v>
      </c>
    </row>
    <row r="2388" spans="9:9" x14ac:dyDescent="0.2">
      <c r="I2388" s="137" t="s">
        <v>74</v>
      </c>
    </row>
    <row r="2389" spans="9:9" x14ac:dyDescent="0.2">
      <c r="I2389" s="137" t="s">
        <v>74</v>
      </c>
    </row>
    <row r="2390" spans="9:9" x14ac:dyDescent="0.2">
      <c r="I2390" s="137" t="s">
        <v>74</v>
      </c>
    </row>
    <row r="2391" spans="9:9" x14ac:dyDescent="0.2">
      <c r="I2391" s="137" t="s">
        <v>74</v>
      </c>
    </row>
    <row r="2392" spans="9:9" x14ac:dyDescent="0.2">
      <c r="I2392" s="137" t="s">
        <v>74</v>
      </c>
    </row>
    <row r="2393" spans="9:9" x14ac:dyDescent="0.2">
      <c r="I2393" s="137" t="s">
        <v>74</v>
      </c>
    </row>
    <row r="2394" spans="9:9" x14ac:dyDescent="0.2">
      <c r="I2394" s="137" t="s">
        <v>74</v>
      </c>
    </row>
    <row r="2395" spans="9:9" x14ac:dyDescent="0.2">
      <c r="I2395" s="137" t="s">
        <v>74</v>
      </c>
    </row>
    <row r="2396" spans="9:9" x14ac:dyDescent="0.2">
      <c r="I2396" s="137" t="s">
        <v>74</v>
      </c>
    </row>
    <row r="2397" spans="9:9" x14ac:dyDescent="0.2">
      <c r="I2397" s="137" t="s">
        <v>74</v>
      </c>
    </row>
    <row r="2398" spans="9:9" x14ac:dyDescent="0.2">
      <c r="I2398" s="137" t="s">
        <v>74</v>
      </c>
    </row>
    <row r="2399" spans="9:9" x14ac:dyDescent="0.2">
      <c r="I2399" s="137" t="s">
        <v>74</v>
      </c>
    </row>
    <row r="2400" spans="9:9" x14ac:dyDescent="0.2">
      <c r="I2400" s="137" t="s">
        <v>74</v>
      </c>
    </row>
    <row r="2401" spans="9:9" x14ac:dyDescent="0.2">
      <c r="I2401" s="137" t="s">
        <v>74</v>
      </c>
    </row>
    <row r="2402" spans="9:9" x14ac:dyDescent="0.2">
      <c r="I2402" s="137" t="s">
        <v>74</v>
      </c>
    </row>
    <row r="2403" spans="9:9" x14ac:dyDescent="0.2">
      <c r="I2403" s="137" t="s">
        <v>74</v>
      </c>
    </row>
    <row r="2404" spans="9:9" x14ac:dyDescent="0.2">
      <c r="I2404" s="137" t="s">
        <v>74</v>
      </c>
    </row>
    <row r="2405" spans="9:9" x14ac:dyDescent="0.2">
      <c r="I2405" s="137" t="s">
        <v>74</v>
      </c>
    </row>
    <row r="2406" spans="9:9" x14ac:dyDescent="0.2">
      <c r="I2406" s="137" t="s">
        <v>74</v>
      </c>
    </row>
    <row r="2407" spans="9:9" x14ac:dyDescent="0.2">
      <c r="I2407" s="137" t="s">
        <v>74</v>
      </c>
    </row>
    <row r="2408" spans="9:9" x14ac:dyDescent="0.2">
      <c r="I2408" s="137" t="s">
        <v>74</v>
      </c>
    </row>
    <row r="2409" spans="9:9" x14ac:dyDescent="0.2">
      <c r="I2409" s="137" t="s">
        <v>74</v>
      </c>
    </row>
    <row r="2410" spans="9:9" x14ac:dyDescent="0.2">
      <c r="I2410" s="137" t="s">
        <v>74</v>
      </c>
    </row>
    <row r="2411" spans="9:9" x14ac:dyDescent="0.2">
      <c r="I2411" s="137" t="s">
        <v>74</v>
      </c>
    </row>
    <row r="2412" spans="9:9" x14ac:dyDescent="0.2">
      <c r="I2412" s="137" t="s">
        <v>74</v>
      </c>
    </row>
    <row r="2413" spans="9:9" x14ac:dyDescent="0.2">
      <c r="I2413" s="137" t="s">
        <v>74</v>
      </c>
    </row>
    <row r="2414" spans="9:9" x14ac:dyDescent="0.2">
      <c r="I2414" s="137" t="s">
        <v>74</v>
      </c>
    </row>
    <row r="2415" spans="9:9" x14ac:dyDescent="0.2">
      <c r="I2415" s="137" t="s">
        <v>74</v>
      </c>
    </row>
    <row r="2416" spans="9:9" x14ac:dyDescent="0.2">
      <c r="I2416" s="137" t="s">
        <v>74</v>
      </c>
    </row>
    <row r="2417" spans="9:9" x14ac:dyDescent="0.2">
      <c r="I2417" s="137" t="s">
        <v>74</v>
      </c>
    </row>
    <row r="2418" spans="9:9" x14ac:dyDescent="0.2">
      <c r="I2418" s="137" t="s">
        <v>74</v>
      </c>
    </row>
    <row r="2419" spans="9:9" x14ac:dyDescent="0.2">
      <c r="I2419" s="137" t="s">
        <v>74</v>
      </c>
    </row>
    <row r="2420" spans="9:9" x14ac:dyDescent="0.2">
      <c r="I2420" s="137" t="s">
        <v>74</v>
      </c>
    </row>
    <row r="2421" spans="9:9" x14ac:dyDescent="0.2">
      <c r="I2421" s="137" t="s">
        <v>74</v>
      </c>
    </row>
    <row r="2422" spans="9:9" x14ac:dyDescent="0.2">
      <c r="I2422" s="137" t="s">
        <v>74</v>
      </c>
    </row>
    <row r="2423" spans="9:9" x14ac:dyDescent="0.2">
      <c r="I2423" s="137" t="s">
        <v>74</v>
      </c>
    </row>
    <row r="2424" spans="9:9" x14ac:dyDescent="0.2">
      <c r="I2424" s="137" t="s">
        <v>74</v>
      </c>
    </row>
    <row r="2425" spans="9:9" x14ac:dyDescent="0.2">
      <c r="I2425" s="137" t="s">
        <v>74</v>
      </c>
    </row>
    <row r="2426" spans="9:9" x14ac:dyDescent="0.2">
      <c r="I2426" s="137" t="s">
        <v>74</v>
      </c>
    </row>
    <row r="2427" spans="9:9" x14ac:dyDescent="0.2">
      <c r="I2427" s="137" t="s">
        <v>74</v>
      </c>
    </row>
    <row r="2428" spans="9:9" x14ac:dyDescent="0.2">
      <c r="I2428" s="137" t="s">
        <v>74</v>
      </c>
    </row>
    <row r="2429" spans="9:9" x14ac:dyDescent="0.2">
      <c r="I2429" s="137" t="s">
        <v>74</v>
      </c>
    </row>
    <row r="2430" spans="9:9" x14ac:dyDescent="0.2">
      <c r="I2430" s="137" t="s">
        <v>74</v>
      </c>
    </row>
    <row r="2431" spans="9:9" x14ac:dyDescent="0.2">
      <c r="I2431" s="137" t="s">
        <v>74</v>
      </c>
    </row>
    <row r="2432" spans="9:9" x14ac:dyDescent="0.2">
      <c r="I2432" s="137" t="s">
        <v>74</v>
      </c>
    </row>
    <row r="2433" spans="9:9" x14ac:dyDescent="0.2">
      <c r="I2433" s="137" t="s">
        <v>74</v>
      </c>
    </row>
    <row r="2434" spans="9:9" x14ac:dyDescent="0.2">
      <c r="I2434" s="137" t="s">
        <v>74</v>
      </c>
    </row>
    <row r="2435" spans="9:9" x14ac:dyDescent="0.2">
      <c r="I2435" s="137" t="s">
        <v>74</v>
      </c>
    </row>
    <row r="2436" spans="9:9" x14ac:dyDescent="0.2">
      <c r="I2436" s="137" t="s">
        <v>74</v>
      </c>
    </row>
    <row r="2437" spans="9:9" x14ac:dyDescent="0.2">
      <c r="I2437" s="137" t="s">
        <v>74</v>
      </c>
    </row>
    <row r="2438" spans="9:9" x14ac:dyDescent="0.2">
      <c r="I2438" s="137" t="s">
        <v>74</v>
      </c>
    </row>
    <row r="2439" spans="9:9" x14ac:dyDescent="0.2">
      <c r="I2439" s="137" t="s">
        <v>74</v>
      </c>
    </row>
    <row r="2440" spans="9:9" x14ac:dyDescent="0.2">
      <c r="I2440" s="137" t="s">
        <v>74</v>
      </c>
    </row>
    <row r="2441" spans="9:9" x14ac:dyDescent="0.2">
      <c r="I2441" s="137" t="s">
        <v>74</v>
      </c>
    </row>
    <row r="2442" spans="9:9" x14ac:dyDescent="0.2">
      <c r="I2442" s="137" t="s">
        <v>74</v>
      </c>
    </row>
    <row r="2443" spans="9:9" x14ac:dyDescent="0.2">
      <c r="I2443" s="137" t="s">
        <v>74</v>
      </c>
    </row>
    <row r="2444" spans="9:9" x14ac:dyDescent="0.2">
      <c r="I2444" s="137" t="s">
        <v>74</v>
      </c>
    </row>
    <row r="2445" spans="9:9" x14ac:dyDescent="0.2">
      <c r="I2445" s="137" t="s">
        <v>74</v>
      </c>
    </row>
    <row r="2446" spans="9:9" x14ac:dyDescent="0.2">
      <c r="I2446" s="137" t="s">
        <v>74</v>
      </c>
    </row>
    <row r="2447" spans="9:9" x14ac:dyDescent="0.2">
      <c r="I2447" s="137" t="s">
        <v>74</v>
      </c>
    </row>
    <row r="2448" spans="9:9" x14ac:dyDescent="0.2">
      <c r="I2448" s="137" t="s">
        <v>74</v>
      </c>
    </row>
    <row r="2449" spans="9:9" x14ac:dyDescent="0.2">
      <c r="I2449" s="137" t="s">
        <v>74</v>
      </c>
    </row>
    <row r="2450" spans="9:9" x14ac:dyDescent="0.2">
      <c r="I2450" s="137" t="s">
        <v>74</v>
      </c>
    </row>
    <row r="2451" spans="9:9" x14ac:dyDescent="0.2">
      <c r="I2451" s="137" t="s">
        <v>74</v>
      </c>
    </row>
    <row r="2452" spans="9:9" x14ac:dyDescent="0.2">
      <c r="I2452" s="137" t="s">
        <v>74</v>
      </c>
    </row>
    <row r="2453" spans="9:9" x14ac:dyDescent="0.2">
      <c r="I2453" s="137" t="s">
        <v>74</v>
      </c>
    </row>
    <row r="2454" spans="9:9" x14ac:dyDescent="0.2">
      <c r="I2454" s="137" t="s">
        <v>74</v>
      </c>
    </row>
    <row r="2455" spans="9:9" x14ac:dyDescent="0.2">
      <c r="I2455" s="137" t="s">
        <v>74</v>
      </c>
    </row>
    <row r="2456" spans="9:9" x14ac:dyDescent="0.2">
      <c r="I2456" s="137" t="s">
        <v>74</v>
      </c>
    </row>
    <row r="2457" spans="9:9" x14ac:dyDescent="0.2">
      <c r="I2457" s="137" t="s">
        <v>74</v>
      </c>
    </row>
    <row r="2458" spans="9:9" x14ac:dyDescent="0.2">
      <c r="I2458" s="137" t="s">
        <v>74</v>
      </c>
    </row>
    <row r="2459" spans="9:9" x14ac:dyDescent="0.2">
      <c r="I2459" s="137" t="s">
        <v>74</v>
      </c>
    </row>
    <row r="2460" spans="9:9" x14ac:dyDescent="0.2">
      <c r="I2460" s="137" t="s">
        <v>74</v>
      </c>
    </row>
    <row r="2461" spans="9:9" x14ac:dyDescent="0.2">
      <c r="I2461" s="137" t="s">
        <v>74</v>
      </c>
    </row>
    <row r="2462" spans="9:9" x14ac:dyDescent="0.2">
      <c r="I2462" s="137" t="s">
        <v>74</v>
      </c>
    </row>
    <row r="2463" spans="9:9" x14ac:dyDescent="0.2">
      <c r="I2463" s="137" t="s">
        <v>74</v>
      </c>
    </row>
    <row r="2464" spans="9:9" x14ac:dyDescent="0.2">
      <c r="I2464" s="137" t="s">
        <v>74</v>
      </c>
    </row>
    <row r="2465" spans="9:9" x14ac:dyDescent="0.2">
      <c r="I2465" s="137" t="s">
        <v>74</v>
      </c>
    </row>
    <row r="2466" spans="9:9" x14ac:dyDescent="0.2">
      <c r="I2466" s="137" t="s">
        <v>74</v>
      </c>
    </row>
    <row r="2467" spans="9:9" x14ac:dyDescent="0.2">
      <c r="I2467" s="137" t="s">
        <v>74</v>
      </c>
    </row>
    <row r="2468" spans="9:9" x14ac:dyDescent="0.2">
      <c r="I2468" s="137" t="s">
        <v>74</v>
      </c>
    </row>
    <row r="2469" spans="9:9" x14ac:dyDescent="0.2">
      <c r="I2469" s="137" t="s">
        <v>74</v>
      </c>
    </row>
    <row r="2470" spans="9:9" x14ac:dyDescent="0.2">
      <c r="I2470" s="137" t="s">
        <v>74</v>
      </c>
    </row>
    <row r="2471" spans="9:9" x14ac:dyDescent="0.2">
      <c r="I2471" s="137" t="s">
        <v>74</v>
      </c>
    </row>
    <row r="2472" spans="9:9" x14ac:dyDescent="0.2">
      <c r="I2472" s="137" t="s">
        <v>74</v>
      </c>
    </row>
    <row r="2473" spans="9:9" x14ac:dyDescent="0.2">
      <c r="I2473" s="137" t="s">
        <v>74</v>
      </c>
    </row>
    <row r="2474" spans="9:9" x14ac:dyDescent="0.2">
      <c r="I2474" s="137" t="s">
        <v>74</v>
      </c>
    </row>
    <row r="2475" spans="9:9" x14ac:dyDescent="0.2">
      <c r="I2475" s="137" t="s">
        <v>74</v>
      </c>
    </row>
    <row r="2476" spans="9:9" x14ac:dyDescent="0.2">
      <c r="I2476" s="137" t="s">
        <v>74</v>
      </c>
    </row>
    <row r="2477" spans="9:9" x14ac:dyDescent="0.2">
      <c r="I2477" s="137" t="s">
        <v>74</v>
      </c>
    </row>
    <row r="2478" spans="9:9" x14ac:dyDescent="0.2">
      <c r="I2478" s="137" t="s">
        <v>74</v>
      </c>
    </row>
    <row r="2479" spans="9:9" x14ac:dyDescent="0.2">
      <c r="I2479" s="137" t="s">
        <v>74</v>
      </c>
    </row>
    <row r="2480" spans="9:9" x14ac:dyDescent="0.2">
      <c r="I2480" s="137" t="s">
        <v>74</v>
      </c>
    </row>
    <row r="2481" spans="9:9" x14ac:dyDescent="0.2">
      <c r="I2481" s="137" t="s">
        <v>74</v>
      </c>
    </row>
    <row r="2482" spans="9:9" x14ac:dyDescent="0.2">
      <c r="I2482" s="137" t="s">
        <v>74</v>
      </c>
    </row>
    <row r="2483" spans="9:9" x14ac:dyDescent="0.2">
      <c r="I2483" s="137" t="s">
        <v>74</v>
      </c>
    </row>
    <row r="2484" spans="9:9" x14ac:dyDescent="0.2">
      <c r="I2484" s="137" t="s">
        <v>74</v>
      </c>
    </row>
    <row r="2485" spans="9:9" x14ac:dyDescent="0.2">
      <c r="I2485" s="137" t="s">
        <v>74</v>
      </c>
    </row>
    <row r="2486" spans="9:9" x14ac:dyDescent="0.2">
      <c r="I2486" s="137" t="s">
        <v>74</v>
      </c>
    </row>
    <row r="2487" spans="9:9" x14ac:dyDescent="0.2">
      <c r="I2487" s="137" t="s">
        <v>74</v>
      </c>
    </row>
    <row r="2488" spans="9:9" x14ac:dyDescent="0.2">
      <c r="I2488" s="137" t="s">
        <v>74</v>
      </c>
    </row>
    <row r="2489" spans="9:9" x14ac:dyDescent="0.2">
      <c r="I2489" s="137" t="s">
        <v>74</v>
      </c>
    </row>
    <row r="2490" spans="9:9" x14ac:dyDescent="0.2">
      <c r="I2490" s="137" t="s">
        <v>74</v>
      </c>
    </row>
    <row r="2491" spans="9:9" x14ac:dyDescent="0.2">
      <c r="I2491" s="137" t="s">
        <v>74</v>
      </c>
    </row>
    <row r="2492" spans="9:9" x14ac:dyDescent="0.2">
      <c r="I2492" s="137" t="s">
        <v>74</v>
      </c>
    </row>
    <row r="2493" spans="9:9" x14ac:dyDescent="0.2">
      <c r="I2493" s="137" t="s">
        <v>74</v>
      </c>
    </row>
    <row r="2494" spans="9:9" x14ac:dyDescent="0.2">
      <c r="I2494" s="137" t="s">
        <v>74</v>
      </c>
    </row>
    <row r="2495" spans="9:9" x14ac:dyDescent="0.2">
      <c r="I2495" s="137" t="s">
        <v>74</v>
      </c>
    </row>
    <row r="2496" spans="9:9" x14ac:dyDescent="0.2">
      <c r="I2496" s="137" t="s">
        <v>74</v>
      </c>
    </row>
    <row r="2497" spans="9:9" x14ac:dyDescent="0.2">
      <c r="I2497" s="137" t="s">
        <v>74</v>
      </c>
    </row>
    <row r="2498" spans="9:9" x14ac:dyDescent="0.2">
      <c r="I2498" s="137" t="s">
        <v>74</v>
      </c>
    </row>
    <row r="2499" spans="9:9" x14ac:dyDescent="0.2">
      <c r="I2499" s="137" t="s">
        <v>74</v>
      </c>
    </row>
    <row r="2500" spans="9:9" x14ac:dyDescent="0.2">
      <c r="I2500" s="137" t="s">
        <v>74</v>
      </c>
    </row>
    <row r="2501" spans="9:9" x14ac:dyDescent="0.2">
      <c r="I2501" s="137" t="s">
        <v>74</v>
      </c>
    </row>
    <row r="2502" spans="9:9" x14ac:dyDescent="0.2">
      <c r="I2502" s="137" t="s">
        <v>74</v>
      </c>
    </row>
    <row r="2503" spans="9:9" x14ac:dyDescent="0.2">
      <c r="I2503" s="137" t="s">
        <v>74</v>
      </c>
    </row>
    <row r="2504" spans="9:9" x14ac:dyDescent="0.2">
      <c r="I2504" s="137" t="s">
        <v>74</v>
      </c>
    </row>
    <row r="2505" spans="9:9" x14ac:dyDescent="0.2">
      <c r="I2505" s="137" t="s">
        <v>74</v>
      </c>
    </row>
    <row r="2506" spans="9:9" x14ac:dyDescent="0.2">
      <c r="I2506" s="137" t="s">
        <v>74</v>
      </c>
    </row>
    <row r="2507" spans="9:9" x14ac:dyDescent="0.2">
      <c r="I2507" s="137" t="s">
        <v>74</v>
      </c>
    </row>
    <row r="2508" spans="9:9" x14ac:dyDescent="0.2">
      <c r="I2508" s="137" t="s">
        <v>74</v>
      </c>
    </row>
    <row r="2509" spans="9:9" x14ac:dyDescent="0.2">
      <c r="I2509" s="137" t="s">
        <v>74</v>
      </c>
    </row>
    <row r="2510" spans="9:9" x14ac:dyDescent="0.2">
      <c r="I2510" s="137" t="s">
        <v>74</v>
      </c>
    </row>
    <row r="2511" spans="9:9" x14ac:dyDescent="0.2">
      <c r="I2511" s="137" t="s">
        <v>74</v>
      </c>
    </row>
    <row r="2512" spans="9:9" x14ac:dyDescent="0.2">
      <c r="I2512" s="137" t="s">
        <v>74</v>
      </c>
    </row>
    <row r="2513" spans="9:9" x14ac:dyDescent="0.2">
      <c r="I2513" s="137" t="s">
        <v>74</v>
      </c>
    </row>
    <row r="2514" spans="9:9" x14ac:dyDescent="0.2">
      <c r="I2514" s="137" t="s">
        <v>74</v>
      </c>
    </row>
    <row r="2515" spans="9:9" x14ac:dyDescent="0.2">
      <c r="I2515" s="137" t="s">
        <v>74</v>
      </c>
    </row>
    <row r="2516" spans="9:9" x14ac:dyDescent="0.2">
      <c r="I2516" s="137" t="s">
        <v>74</v>
      </c>
    </row>
    <row r="2517" spans="9:9" x14ac:dyDescent="0.2">
      <c r="I2517" s="137" t="s">
        <v>74</v>
      </c>
    </row>
    <row r="2518" spans="9:9" x14ac:dyDescent="0.2">
      <c r="I2518" s="137" t="s">
        <v>74</v>
      </c>
    </row>
    <row r="2519" spans="9:9" x14ac:dyDescent="0.2">
      <c r="I2519" s="137" t="s">
        <v>74</v>
      </c>
    </row>
    <row r="2520" spans="9:9" x14ac:dyDescent="0.2">
      <c r="I2520" s="137" t="s">
        <v>74</v>
      </c>
    </row>
    <row r="2521" spans="9:9" x14ac:dyDescent="0.2">
      <c r="I2521" s="137" t="s">
        <v>74</v>
      </c>
    </row>
    <row r="2522" spans="9:9" x14ac:dyDescent="0.2">
      <c r="I2522" s="137" t="s">
        <v>74</v>
      </c>
    </row>
    <row r="2523" spans="9:9" x14ac:dyDescent="0.2">
      <c r="I2523" s="137" t="s">
        <v>74</v>
      </c>
    </row>
    <row r="2524" spans="9:9" x14ac:dyDescent="0.2">
      <c r="I2524" s="137" t="s">
        <v>74</v>
      </c>
    </row>
    <row r="2525" spans="9:9" x14ac:dyDescent="0.2">
      <c r="I2525" s="137" t="s">
        <v>74</v>
      </c>
    </row>
    <row r="2526" spans="9:9" x14ac:dyDescent="0.2">
      <c r="I2526" s="137" t="s">
        <v>74</v>
      </c>
    </row>
    <row r="2527" spans="9:9" x14ac:dyDescent="0.2">
      <c r="I2527" s="137" t="s">
        <v>74</v>
      </c>
    </row>
    <row r="2528" spans="9:9" x14ac:dyDescent="0.2">
      <c r="I2528" s="137" t="s">
        <v>74</v>
      </c>
    </row>
    <row r="2529" spans="9:9" x14ac:dyDescent="0.2">
      <c r="I2529" s="137" t="s">
        <v>74</v>
      </c>
    </row>
    <row r="2530" spans="9:9" x14ac:dyDescent="0.2">
      <c r="I2530" s="137" t="s">
        <v>74</v>
      </c>
    </row>
    <row r="2531" spans="9:9" x14ac:dyDescent="0.2">
      <c r="I2531" s="137" t="s">
        <v>74</v>
      </c>
    </row>
    <row r="2532" spans="9:9" x14ac:dyDescent="0.2">
      <c r="I2532" s="137" t="s">
        <v>74</v>
      </c>
    </row>
    <row r="2533" spans="9:9" x14ac:dyDescent="0.2">
      <c r="I2533" s="137" t="s">
        <v>74</v>
      </c>
    </row>
    <row r="2534" spans="9:9" x14ac:dyDescent="0.2">
      <c r="I2534" s="137" t="s">
        <v>74</v>
      </c>
    </row>
    <row r="2535" spans="9:9" x14ac:dyDescent="0.2">
      <c r="I2535" s="137" t="s">
        <v>74</v>
      </c>
    </row>
    <row r="2536" spans="9:9" x14ac:dyDescent="0.2">
      <c r="I2536" s="137" t="s">
        <v>74</v>
      </c>
    </row>
    <row r="2537" spans="9:9" x14ac:dyDescent="0.2">
      <c r="I2537" s="137" t="s">
        <v>74</v>
      </c>
    </row>
    <row r="2538" spans="9:9" x14ac:dyDescent="0.2">
      <c r="I2538" s="137" t="s">
        <v>74</v>
      </c>
    </row>
    <row r="2539" spans="9:9" x14ac:dyDescent="0.2">
      <c r="I2539" s="137" t="s">
        <v>74</v>
      </c>
    </row>
    <row r="2540" spans="9:9" x14ac:dyDescent="0.2">
      <c r="I2540" s="137" t="s">
        <v>74</v>
      </c>
    </row>
    <row r="2541" spans="9:9" x14ac:dyDescent="0.2">
      <c r="I2541" s="137" t="s">
        <v>74</v>
      </c>
    </row>
    <row r="2542" spans="9:9" x14ac:dyDescent="0.2">
      <c r="I2542" s="137" t="s">
        <v>74</v>
      </c>
    </row>
    <row r="2543" spans="9:9" x14ac:dyDescent="0.2">
      <c r="I2543" s="137" t="s">
        <v>74</v>
      </c>
    </row>
    <row r="2544" spans="9:9" x14ac:dyDescent="0.2">
      <c r="I2544" s="137" t="s">
        <v>74</v>
      </c>
    </row>
    <row r="2545" spans="9:9" x14ac:dyDescent="0.2">
      <c r="I2545" s="137" t="s">
        <v>74</v>
      </c>
    </row>
    <row r="2546" spans="9:9" x14ac:dyDescent="0.2">
      <c r="I2546" s="137" t="s">
        <v>74</v>
      </c>
    </row>
    <row r="2547" spans="9:9" x14ac:dyDescent="0.2">
      <c r="I2547" s="137" t="s">
        <v>74</v>
      </c>
    </row>
    <row r="2548" spans="9:9" x14ac:dyDescent="0.2">
      <c r="I2548" s="137" t="s">
        <v>74</v>
      </c>
    </row>
    <row r="2549" spans="9:9" x14ac:dyDescent="0.2">
      <c r="I2549" s="137" t="s">
        <v>74</v>
      </c>
    </row>
    <row r="2550" spans="9:9" x14ac:dyDescent="0.2">
      <c r="I2550" s="137" t="s">
        <v>74</v>
      </c>
    </row>
    <row r="2551" spans="9:9" x14ac:dyDescent="0.2">
      <c r="I2551" s="137" t="s">
        <v>74</v>
      </c>
    </row>
    <row r="2552" spans="9:9" x14ac:dyDescent="0.2">
      <c r="I2552" s="137" t="s">
        <v>74</v>
      </c>
    </row>
    <row r="2553" spans="9:9" x14ac:dyDescent="0.2">
      <c r="I2553" s="137" t="s">
        <v>74</v>
      </c>
    </row>
    <row r="2554" spans="9:9" x14ac:dyDescent="0.2">
      <c r="I2554" s="137" t="s">
        <v>74</v>
      </c>
    </row>
    <row r="2555" spans="9:9" x14ac:dyDescent="0.2">
      <c r="I2555" s="137" t="s">
        <v>74</v>
      </c>
    </row>
    <row r="2556" spans="9:9" x14ac:dyDescent="0.2">
      <c r="I2556" s="137" t="s">
        <v>74</v>
      </c>
    </row>
    <row r="2557" spans="9:9" x14ac:dyDescent="0.2">
      <c r="I2557" s="137" t="s">
        <v>74</v>
      </c>
    </row>
    <row r="2558" spans="9:9" x14ac:dyDescent="0.2">
      <c r="I2558" s="137" t="s">
        <v>74</v>
      </c>
    </row>
    <row r="2559" spans="9:9" x14ac:dyDescent="0.2">
      <c r="I2559" s="137" t="s">
        <v>74</v>
      </c>
    </row>
    <row r="2560" spans="9:9" x14ac:dyDescent="0.2">
      <c r="I2560" s="137" t="s">
        <v>74</v>
      </c>
    </row>
    <row r="2561" spans="9:9" x14ac:dyDescent="0.2">
      <c r="I2561" s="137" t="s">
        <v>74</v>
      </c>
    </row>
    <row r="2562" spans="9:9" x14ac:dyDescent="0.2">
      <c r="I2562" s="137" t="s">
        <v>74</v>
      </c>
    </row>
    <row r="2563" spans="9:9" x14ac:dyDescent="0.2">
      <c r="I2563" s="137" t="s">
        <v>74</v>
      </c>
    </row>
    <row r="2564" spans="9:9" x14ac:dyDescent="0.2">
      <c r="I2564" s="137" t="s">
        <v>74</v>
      </c>
    </row>
    <row r="2565" spans="9:9" x14ac:dyDescent="0.2">
      <c r="I2565" s="137" t="s">
        <v>74</v>
      </c>
    </row>
    <row r="2566" spans="9:9" x14ac:dyDescent="0.2">
      <c r="I2566" s="137" t="s">
        <v>74</v>
      </c>
    </row>
    <row r="2567" spans="9:9" x14ac:dyDescent="0.2">
      <c r="I2567" s="137" t="s">
        <v>74</v>
      </c>
    </row>
    <row r="2568" spans="9:9" x14ac:dyDescent="0.2">
      <c r="I2568" s="137" t="s">
        <v>74</v>
      </c>
    </row>
    <row r="2569" spans="9:9" x14ac:dyDescent="0.2">
      <c r="I2569" s="137" t="s">
        <v>74</v>
      </c>
    </row>
    <row r="2570" spans="9:9" x14ac:dyDescent="0.2">
      <c r="I2570" s="137" t="s">
        <v>74</v>
      </c>
    </row>
    <row r="2571" spans="9:9" x14ac:dyDescent="0.2">
      <c r="I2571" s="137" t="s">
        <v>74</v>
      </c>
    </row>
    <row r="2572" spans="9:9" x14ac:dyDescent="0.2">
      <c r="I2572" s="137" t="s">
        <v>74</v>
      </c>
    </row>
    <row r="2573" spans="9:9" x14ac:dyDescent="0.2">
      <c r="I2573" s="137" t="s">
        <v>74</v>
      </c>
    </row>
    <row r="2574" spans="9:9" x14ac:dyDescent="0.2">
      <c r="I2574" s="137" t="s">
        <v>74</v>
      </c>
    </row>
    <row r="2575" spans="9:9" x14ac:dyDescent="0.2">
      <c r="I2575" s="137" t="s">
        <v>74</v>
      </c>
    </row>
    <row r="2576" spans="9:9" x14ac:dyDescent="0.2">
      <c r="I2576" s="137" t="s">
        <v>74</v>
      </c>
    </row>
    <row r="2577" spans="9:9" x14ac:dyDescent="0.2">
      <c r="I2577" s="137" t="s">
        <v>74</v>
      </c>
    </row>
    <row r="2578" spans="9:9" x14ac:dyDescent="0.2">
      <c r="I2578" s="137" t="s">
        <v>74</v>
      </c>
    </row>
    <row r="2579" spans="9:9" x14ac:dyDescent="0.2">
      <c r="I2579" s="137" t="s">
        <v>74</v>
      </c>
    </row>
    <row r="2580" spans="9:9" x14ac:dyDescent="0.2">
      <c r="I2580" s="137" t="s">
        <v>74</v>
      </c>
    </row>
    <row r="2581" spans="9:9" x14ac:dyDescent="0.2">
      <c r="I2581" s="137" t="s">
        <v>74</v>
      </c>
    </row>
    <row r="2582" spans="9:9" x14ac:dyDescent="0.2">
      <c r="I2582" s="137" t="s">
        <v>74</v>
      </c>
    </row>
    <row r="2583" spans="9:9" x14ac:dyDescent="0.2">
      <c r="I2583" s="137" t="s">
        <v>74</v>
      </c>
    </row>
    <row r="2584" spans="9:9" x14ac:dyDescent="0.2">
      <c r="I2584" s="137" t="s">
        <v>74</v>
      </c>
    </row>
    <row r="2585" spans="9:9" x14ac:dyDescent="0.2">
      <c r="I2585" s="137" t="s">
        <v>74</v>
      </c>
    </row>
    <row r="2586" spans="9:9" x14ac:dyDescent="0.2">
      <c r="I2586" s="137" t="s">
        <v>74</v>
      </c>
    </row>
    <row r="2587" spans="9:9" x14ac:dyDescent="0.2">
      <c r="I2587" s="137" t="s">
        <v>74</v>
      </c>
    </row>
    <row r="2588" spans="9:9" x14ac:dyDescent="0.2">
      <c r="I2588" s="137" t="s">
        <v>74</v>
      </c>
    </row>
    <row r="2589" spans="9:9" x14ac:dyDescent="0.2">
      <c r="I2589" s="137" t="s">
        <v>74</v>
      </c>
    </row>
    <row r="2590" spans="9:9" x14ac:dyDescent="0.2">
      <c r="I2590" s="137" t="s">
        <v>74</v>
      </c>
    </row>
    <row r="2591" spans="9:9" x14ac:dyDescent="0.2">
      <c r="I2591" s="137" t="s">
        <v>74</v>
      </c>
    </row>
    <row r="2592" spans="9:9" x14ac:dyDescent="0.2">
      <c r="I2592" s="137" t="s">
        <v>74</v>
      </c>
    </row>
    <row r="2593" spans="9:9" x14ac:dyDescent="0.2">
      <c r="I2593" s="137" t="s">
        <v>74</v>
      </c>
    </row>
    <row r="2594" spans="9:9" x14ac:dyDescent="0.2">
      <c r="I2594" s="137" t="s">
        <v>74</v>
      </c>
    </row>
    <row r="2595" spans="9:9" x14ac:dyDescent="0.2">
      <c r="I2595" s="137" t="s">
        <v>74</v>
      </c>
    </row>
    <row r="2596" spans="9:9" x14ac:dyDescent="0.2">
      <c r="I2596" s="137" t="s">
        <v>74</v>
      </c>
    </row>
    <row r="2597" spans="9:9" x14ac:dyDescent="0.2">
      <c r="I2597" s="137" t="s">
        <v>74</v>
      </c>
    </row>
    <row r="2598" spans="9:9" x14ac:dyDescent="0.2">
      <c r="I2598" s="137" t="s">
        <v>74</v>
      </c>
    </row>
    <row r="2599" spans="9:9" x14ac:dyDescent="0.2">
      <c r="I2599" s="137" t="s">
        <v>74</v>
      </c>
    </row>
    <row r="2600" spans="9:9" x14ac:dyDescent="0.2">
      <c r="I2600" s="137" t="s">
        <v>74</v>
      </c>
    </row>
    <row r="2601" spans="9:9" x14ac:dyDescent="0.2">
      <c r="I2601" s="137" t="s">
        <v>74</v>
      </c>
    </row>
    <row r="2602" spans="9:9" x14ac:dyDescent="0.2">
      <c r="I2602" s="137" t="s">
        <v>74</v>
      </c>
    </row>
    <row r="2603" spans="9:9" x14ac:dyDescent="0.2">
      <c r="I2603" s="137" t="s">
        <v>74</v>
      </c>
    </row>
    <row r="2604" spans="9:9" x14ac:dyDescent="0.2">
      <c r="I2604" s="137" t="s">
        <v>74</v>
      </c>
    </row>
    <row r="2605" spans="9:9" x14ac:dyDescent="0.2">
      <c r="I2605" s="137" t="s">
        <v>74</v>
      </c>
    </row>
    <row r="2606" spans="9:9" x14ac:dyDescent="0.2">
      <c r="I2606" s="137" t="s">
        <v>74</v>
      </c>
    </row>
    <row r="2607" spans="9:9" x14ac:dyDescent="0.2">
      <c r="I2607" s="137" t="s">
        <v>74</v>
      </c>
    </row>
    <row r="2608" spans="9:9" x14ac:dyDescent="0.2">
      <c r="I2608" s="137" t="s">
        <v>74</v>
      </c>
    </row>
    <row r="2609" spans="9:9" x14ac:dyDescent="0.2">
      <c r="I2609" s="137" t="s">
        <v>74</v>
      </c>
    </row>
    <row r="2610" spans="9:9" x14ac:dyDescent="0.2">
      <c r="I2610" s="137" t="s">
        <v>74</v>
      </c>
    </row>
    <row r="2611" spans="9:9" x14ac:dyDescent="0.2">
      <c r="I2611" s="137" t="s">
        <v>74</v>
      </c>
    </row>
    <row r="2612" spans="9:9" x14ac:dyDescent="0.2">
      <c r="I2612" s="137" t="s">
        <v>74</v>
      </c>
    </row>
    <row r="2613" spans="9:9" x14ac:dyDescent="0.2">
      <c r="I2613" s="137" t="s">
        <v>74</v>
      </c>
    </row>
    <row r="2614" spans="9:9" x14ac:dyDescent="0.2">
      <c r="I2614" s="137" t="s">
        <v>74</v>
      </c>
    </row>
    <row r="2615" spans="9:9" x14ac:dyDescent="0.2">
      <c r="I2615" s="137" t="s">
        <v>74</v>
      </c>
    </row>
    <row r="2616" spans="9:9" x14ac:dyDescent="0.2">
      <c r="I2616" s="137" t="s">
        <v>74</v>
      </c>
    </row>
    <row r="2617" spans="9:9" x14ac:dyDescent="0.2">
      <c r="I2617" s="137" t="s">
        <v>74</v>
      </c>
    </row>
    <row r="2618" spans="9:9" x14ac:dyDescent="0.2">
      <c r="I2618" s="137" t="s">
        <v>74</v>
      </c>
    </row>
    <row r="2619" spans="9:9" x14ac:dyDescent="0.2">
      <c r="I2619" s="137" t="s">
        <v>74</v>
      </c>
    </row>
    <row r="2620" spans="9:9" x14ac:dyDescent="0.2">
      <c r="I2620" s="137" t="s">
        <v>74</v>
      </c>
    </row>
    <row r="2621" spans="9:9" x14ac:dyDescent="0.2">
      <c r="I2621" s="137" t="s">
        <v>74</v>
      </c>
    </row>
    <row r="2622" spans="9:9" x14ac:dyDescent="0.2">
      <c r="I2622" s="137" t="s">
        <v>74</v>
      </c>
    </row>
    <row r="2623" spans="9:9" x14ac:dyDescent="0.2">
      <c r="I2623" s="137" t="s">
        <v>74</v>
      </c>
    </row>
    <row r="2624" spans="9:9" x14ac:dyDescent="0.2">
      <c r="I2624" s="137" t="s">
        <v>74</v>
      </c>
    </row>
    <row r="2625" spans="9:9" x14ac:dyDescent="0.2">
      <c r="I2625" s="137" t="s">
        <v>74</v>
      </c>
    </row>
    <row r="2626" spans="9:9" x14ac:dyDescent="0.2">
      <c r="I2626" s="137" t="s">
        <v>74</v>
      </c>
    </row>
    <row r="2627" spans="9:9" x14ac:dyDescent="0.2">
      <c r="I2627" s="137" t="s">
        <v>74</v>
      </c>
    </row>
    <row r="2628" spans="9:9" x14ac:dyDescent="0.2">
      <c r="I2628" s="137" t="s">
        <v>74</v>
      </c>
    </row>
    <row r="2629" spans="9:9" x14ac:dyDescent="0.2">
      <c r="I2629" s="137" t="s">
        <v>74</v>
      </c>
    </row>
    <row r="2630" spans="9:9" x14ac:dyDescent="0.2">
      <c r="I2630" s="137" t="s">
        <v>74</v>
      </c>
    </row>
    <row r="2631" spans="9:9" x14ac:dyDescent="0.2">
      <c r="I2631" s="137" t="s">
        <v>74</v>
      </c>
    </row>
    <row r="2632" spans="9:9" x14ac:dyDescent="0.2">
      <c r="I2632" s="137" t="s">
        <v>74</v>
      </c>
    </row>
    <row r="2633" spans="9:9" x14ac:dyDescent="0.2">
      <c r="I2633" s="137" t="s">
        <v>74</v>
      </c>
    </row>
    <row r="2634" spans="9:9" x14ac:dyDescent="0.2">
      <c r="I2634" s="137" t="s">
        <v>74</v>
      </c>
    </row>
    <row r="2635" spans="9:9" x14ac:dyDescent="0.2">
      <c r="I2635" s="137" t="s">
        <v>74</v>
      </c>
    </row>
    <row r="2636" spans="9:9" x14ac:dyDescent="0.2">
      <c r="I2636" s="137" t="s">
        <v>74</v>
      </c>
    </row>
    <row r="2637" spans="9:9" x14ac:dyDescent="0.2">
      <c r="I2637" s="137" t="s">
        <v>74</v>
      </c>
    </row>
    <row r="2638" spans="9:9" x14ac:dyDescent="0.2">
      <c r="I2638" s="137" t="s">
        <v>74</v>
      </c>
    </row>
    <row r="2639" spans="9:9" x14ac:dyDescent="0.2">
      <c r="I2639" s="137" t="s">
        <v>74</v>
      </c>
    </row>
    <row r="2640" spans="9:9" x14ac:dyDescent="0.2">
      <c r="I2640" s="137" t="s">
        <v>74</v>
      </c>
    </row>
    <row r="2641" spans="9:9" x14ac:dyDescent="0.2">
      <c r="I2641" s="137" t="s">
        <v>74</v>
      </c>
    </row>
    <row r="2642" spans="9:9" x14ac:dyDescent="0.2">
      <c r="I2642" s="137" t="s">
        <v>74</v>
      </c>
    </row>
    <row r="2643" spans="9:9" x14ac:dyDescent="0.2">
      <c r="I2643" s="137" t="s">
        <v>74</v>
      </c>
    </row>
    <row r="2644" spans="9:9" x14ac:dyDescent="0.2">
      <c r="I2644" s="137" t="s">
        <v>74</v>
      </c>
    </row>
    <row r="2645" spans="9:9" x14ac:dyDescent="0.2">
      <c r="I2645" s="137" t="s">
        <v>74</v>
      </c>
    </row>
    <row r="2646" spans="9:9" x14ac:dyDescent="0.2">
      <c r="I2646" s="137" t="s">
        <v>74</v>
      </c>
    </row>
    <row r="2647" spans="9:9" x14ac:dyDescent="0.2">
      <c r="I2647" s="137" t="s">
        <v>74</v>
      </c>
    </row>
    <row r="2648" spans="9:9" x14ac:dyDescent="0.2">
      <c r="I2648" s="137" t="s">
        <v>74</v>
      </c>
    </row>
    <row r="2649" spans="9:9" x14ac:dyDescent="0.2">
      <c r="I2649" s="137" t="s">
        <v>74</v>
      </c>
    </row>
    <row r="2650" spans="9:9" x14ac:dyDescent="0.2">
      <c r="I2650" s="137" t="s">
        <v>74</v>
      </c>
    </row>
    <row r="2651" spans="9:9" x14ac:dyDescent="0.2">
      <c r="I2651" s="137" t="s">
        <v>74</v>
      </c>
    </row>
    <row r="2652" spans="9:9" x14ac:dyDescent="0.2">
      <c r="I2652" s="137" t="s">
        <v>74</v>
      </c>
    </row>
    <row r="2653" spans="9:9" x14ac:dyDescent="0.2">
      <c r="I2653" s="137" t="s">
        <v>74</v>
      </c>
    </row>
    <row r="2654" spans="9:9" x14ac:dyDescent="0.2">
      <c r="I2654" s="137" t="s">
        <v>74</v>
      </c>
    </row>
    <row r="2655" spans="9:9" x14ac:dyDescent="0.2">
      <c r="I2655" s="137" t="s">
        <v>74</v>
      </c>
    </row>
    <row r="2656" spans="9:9" x14ac:dyDescent="0.2">
      <c r="I2656" s="137" t="s">
        <v>74</v>
      </c>
    </row>
    <row r="2657" spans="9:9" x14ac:dyDescent="0.2">
      <c r="I2657" s="137" t="s">
        <v>74</v>
      </c>
    </row>
    <row r="2658" spans="9:9" x14ac:dyDescent="0.2">
      <c r="I2658" s="137" t="s">
        <v>74</v>
      </c>
    </row>
    <row r="2659" spans="9:9" x14ac:dyDescent="0.2">
      <c r="I2659" s="137" t="s">
        <v>74</v>
      </c>
    </row>
    <row r="2660" spans="9:9" x14ac:dyDescent="0.2">
      <c r="I2660" s="137" t="s">
        <v>74</v>
      </c>
    </row>
    <row r="2661" spans="9:9" x14ac:dyDescent="0.2">
      <c r="I2661" s="137" t="s">
        <v>74</v>
      </c>
    </row>
    <row r="2662" spans="9:9" x14ac:dyDescent="0.2">
      <c r="I2662" s="137" t="s">
        <v>74</v>
      </c>
    </row>
    <row r="2663" spans="9:9" x14ac:dyDescent="0.2">
      <c r="I2663" s="137" t="s">
        <v>74</v>
      </c>
    </row>
    <row r="2664" spans="9:9" x14ac:dyDescent="0.2">
      <c r="I2664" s="137" t="s">
        <v>74</v>
      </c>
    </row>
    <row r="2665" spans="9:9" x14ac:dyDescent="0.2">
      <c r="I2665" s="137" t="s">
        <v>74</v>
      </c>
    </row>
    <row r="2666" spans="9:9" x14ac:dyDescent="0.2">
      <c r="I2666" s="137" t="s">
        <v>74</v>
      </c>
    </row>
    <row r="2667" spans="9:9" x14ac:dyDescent="0.2">
      <c r="I2667" s="137" t="s">
        <v>74</v>
      </c>
    </row>
    <row r="2668" spans="9:9" x14ac:dyDescent="0.2">
      <c r="I2668" s="137" t="s">
        <v>74</v>
      </c>
    </row>
    <row r="2669" spans="9:9" x14ac:dyDescent="0.2">
      <c r="I2669" s="137" t="s">
        <v>74</v>
      </c>
    </row>
    <row r="2670" spans="9:9" x14ac:dyDescent="0.2">
      <c r="I2670" s="137" t="s">
        <v>74</v>
      </c>
    </row>
    <row r="2671" spans="9:9" x14ac:dyDescent="0.2">
      <c r="I2671" s="137" t="s">
        <v>74</v>
      </c>
    </row>
    <row r="2672" spans="9:9" x14ac:dyDescent="0.2">
      <c r="I2672" s="137" t="s">
        <v>74</v>
      </c>
    </row>
    <row r="2673" spans="9:9" x14ac:dyDescent="0.2">
      <c r="I2673" s="137" t="s">
        <v>74</v>
      </c>
    </row>
    <row r="2674" spans="9:9" x14ac:dyDescent="0.2">
      <c r="I2674" s="137" t="s">
        <v>74</v>
      </c>
    </row>
    <row r="2675" spans="9:9" x14ac:dyDescent="0.2">
      <c r="I2675" s="137" t="s">
        <v>74</v>
      </c>
    </row>
    <row r="2676" spans="9:9" x14ac:dyDescent="0.2">
      <c r="I2676" s="137" t="s">
        <v>74</v>
      </c>
    </row>
    <row r="2677" spans="9:9" x14ac:dyDescent="0.2">
      <c r="I2677" s="137" t="s">
        <v>74</v>
      </c>
    </row>
    <row r="2678" spans="9:9" x14ac:dyDescent="0.2">
      <c r="I2678" s="137" t="s">
        <v>74</v>
      </c>
    </row>
    <row r="2679" spans="9:9" x14ac:dyDescent="0.2">
      <c r="I2679" s="137" t="s">
        <v>74</v>
      </c>
    </row>
    <row r="2680" spans="9:9" x14ac:dyDescent="0.2">
      <c r="I2680" s="137" t="s">
        <v>74</v>
      </c>
    </row>
    <row r="2681" spans="9:9" x14ac:dyDescent="0.2">
      <c r="I2681" s="137" t="s">
        <v>74</v>
      </c>
    </row>
    <row r="2682" spans="9:9" x14ac:dyDescent="0.2">
      <c r="I2682" s="137" t="s">
        <v>74</v>
      </c>
    </row>
    <row r="2683" spans="9:9" x14ac:dyDescent="0.2">
      <c r="I2683" s="137" t="s">
        <v>74</v>
      </c>
    </row>
    <row r="2684" spans="9:9" x14ac:dyDescent="0.2">
      <c r="I2684" s="137" t="s">
        <v>74</v>
      </c>
    </row>
    <row r="2685" spans="9:9" x14ac:dyDescent="0.2">
      <c r="I2685" s="137" t="s">
        <v>74</v>
      </c>
    </row>
    <row r="2686" spans="9:9" x14ac:dyDescent="0.2">
      <c r="I2686" s="137" t="s">
        <v>74</v>
      </c>
    </row>
    <row r="2687" spans="9:9" x14ac:dyDescent="0.2">
      <c r="I2687" s="137" t="s">
        <v>74</v>
      </c>
    </row>
    <row r="2688" spans="9:9" x14ac:dyDescent="0.2">
      <c r="I2688" s="137" t="s">
        <v>74</v>
      </c>
    </row>
    <row r="2689" spans="9:9" x14ac:dyDescent="0.2">
      <c r="I2689" s="137" t="s">
        <v>74</v>
      </c>
    </row>
    <row r="2690" spans="9:9" x14ac:dyDescent="0.2">
      <c r="I2690" s="137" t="s">
        <v>74</v>
      </c>
    </row>
    <row r="2691" spans="9:9" x14ac:dyDescent="0.2">
      <c r="I2691" s="137" t="s">
        <v>74</v>
      </c>
    </row>
    <row r="2692" spans="9:9" x14ac:dyDescent="0.2">
      <c r="I2692" s="137" t="s">
        <v>74</v>
      </c>
    </row>
    <row r="2693" spans="9:9" x14ac:dyDescent="0.2">
      <c r="I2693" s="137" t="s">
        <v>74</v>
      </c>
    </row>
    <row r="2694" spans="9:9" x14ac:dyDescent="0.2">
      <c r="I2694" s="137" t="s">
        <v>74</v>
      </c>
    </row>
    <row r="2695" spans="9:9" x14ac:dyDescent="0.2">
      <c r="I2695" s="137" t="s">
        <v>74</v>
      </c>
    </row>
    <row r="2696" spans="9:9" x14ac:dyDescent="0.2">
      <c r="I2696" s="137" t="s">
        <v>74</v>
      </c>
    </row>
    <row r="2697" spans="9:9" x14ac:dyDescent="0.2">
      <c r="I2697" s="137" t="s">
        <v>74</v>
      </c>
    </row>
    <row r="2698" spans="9:9" x14ac:dyDescent="0.2">
      <c r="I2698" s="137" t="s">
        <v>74</v>
      </c>
    </row>
    <row r="2699" spans="9:9" x14ac:dyDescent="0.2">
      <c r="I2699" s="137" t="s">
        <v>74</v>
      </c>
    </row>
    <row r="2700" spans="9:9" x14ac:dyDescent="0.2">
      <c r="I2700" s="137" t="s">
        <v>74</v>
      </c>
    </row>
    <row r="2701" spans="9:9" x14ac:dyDescent="0.2">
      <c r="I2701" s="137" t="s">
        <v>74</v>
      </c>
    </row>
    <row r="2702" spans="9:9" x14ac:dyDescent="0.2">
      <c r="I2702" s="137" t="s">
        <v>74</v>
      </c>
    </row>
    <row r="2703" spans="9:9" x14ac:dyDescent="0.2">
      <c r="I2703" s="137" t="s">
        <v>74</v>
      </c>
    </row>
    <row r="2704" spans="9:9" x14ac:dyDescent="0.2">
      <c r="I2704" s="137" t="s">
        <v>74</v>
      </c>
    </row>
    <row r="2705" spans="9:9" x14ac:dyDescent="0.2">
      <c r="I2705" s="137" t="s">
        <v>74</v>
      </c>
    </row>
    <row r="2706" spans="9:9" x14ac:dyDescent="0.2">
      <c r="I2706" s="137" t="s">
        <v>74</v>
      </c>
    </row>
    <row r="2707" spans="9:9" x14ac:dyDescent="0.2">
      <c r="I2707" s="137" t="s">
        <v>74</v>
      </c>
    </row>
    <row r="2708" spans="9:9" x14ac:dyDescent="0.2">
      <c r="I2708" s="137" t="s">
        <v>74</v>
      </c>
    </row>
    <row r="2709" spans="9:9" x14ac:dyDescent="0.2">
      <c r="I2709" s="137" t="s">
        <v>74</v>
      </c>
    </row>
    <row r="2710" spans="9:9" x14ac:dyDescent="0.2">
      <c r="I2710" s="137" t="s">
        <v>74</v>
      </c>
    </row>
    <row r="2711" spans="9:9" x14ac:dyDescent="0.2">
      <c r="I2711" s="137" t="s">
        <v>74</v>
      </c>
    </row>
    <row r="2712" spans="9:9" x14ac:dyDescent="0.2">
      <c r="I2712" s="137" t="s">
        <v>74</v>
      </c>
    </row>
    <row r="2713" spans="9:9" x14ac:dyDescent="0.2">
      <c r="I2713" s="137" t="s">
        <v>74</v>
      </c>
    </row>
    <row r="2714" spans="9:9" x14ac:dyDescent="0.2">
      <c r="I2714" s="137" t="s">
        <v>74</v>
      </c>
    </row>
    <row r="2715" spans="9:9" x14ac:dyDescent="0.2">
      <c r="I2715" s="137" t="s">
        <v>74</v>
      </c>
    </row>
    <row r="2716" spans="9:9" x14ac:dyDescent="0.2">
      <c r="I2716" s="137" t="s">
        <v>74</v>
      </c>
    </row>
    <row r="2717" spans="9:9" x14ac:dyDescent="0.2">
      <c r="I2717" s="137" t="s">
        <v>74</v>
      </c>
    </row>
    <row r="2718" spans="9:9" x14ac:dyDescent="0.2">
      <c r="I2718" s="137" t="s">
        <v>74</v>
      </c>
    </row>
    <row r="2719" spans="9:9" x14ac:dyDescent="0.2">
      <c r="I2719" s="137" t="s">
        <v>74</v>
      </c>
    </row>
    <row r="2720" spans="9:9" x14ac:dyDescent="0.2">
      <c r="I2720" s="137" t="s">
        <v>74</v>
      </c>
    </row>
    <row r="2721" spans="9:9" x14ac:dyDescent="0.2">
      <c r="I2721" s="137" t="s">
        <v>74</v>
      </c>
    </row>
    <row r="2722" spans="9:9" x14ac:dyDescent="0.2">
      <c r="I2722" s="137" t="s">
        <v>74</v>
      </c>
    </row>
    <row r="2723" spans="9:9" x14ac:dyDescent="0.2">
      <c r="I2723" s="137" t="s">
        <v>74</v>
      </c>
    </row>
    <row r="2724" spans="9:9" x14ac:dyDescent="0.2">
      <c r="I2724" s="137" t="s">
        <v>74</v>
      </c>
    </row>
    <row r="2725" spans="9:9" x14ac:dyDescent="0.2">
      <c r="I2725" s="137" t="s">
        <v>74</v>
      </c>
    </row>
    <row r="2726" spans="9:9" x14ac:dyDescent="0.2">
      <c r="I2726" s="137" t="s">
        <v>74</v>
      </c>
    </row>
    <row r="2727" spans="9:9" x14ac:dyDescent="0.2">
      <c r="I2727" s="137" t="s">
        <v>74</v>
      </c>
    </row>
    <row r="2728" spans="9:9" x14ac:dyDescent="0.2">
      <c r="I2728" s="137" t="s">
        <v>74</v>
      </c>
    </row>
    <row r="2729" spans="9:9" x14ac:dyDescent="0.2">
      <c r="I2729" s="137" t="s">
        <v>74</v>
      </c>
    </row>
    <row r="2730" spans="9:9" x14ac:dyDescent="0.2">
      <c r="I2730" s="137" t="s">
        <v>74</v>
      </c>
    </row>
    <row r="2731" spans="9:9" x14ac:dyDescent="0.2">
      <c r="I2731" s="137" t="s">
        <v>74</v>
      </c>
    </row>
    <row r="2732" spans="9:9" x14ac:dyDescent="0.2">
      <c r="I2732" s="137" t="s">
        <v>74</v>
      </c>
    </row>
    <row r="2733" spans="9:9" x14ac:dyDescent="0.2">
      <c r="I2733" s="137" t="s">
        <v>74</v>
      </c>
    </row>
    <row r="2734" spans="9:9" x14ac:dyDescent="0.2">
      <c r="I2734" s="137" t="s">
        <v>74</v>
      </c>
    </row>
    <row r="2735" spans="9:9" x14ac:dyDescent="0.2">
      <c r="I2735" s="137" t="s">
        <v>74</v>
      </c>
    </row>
    <row r="2736" spans="9:9" x14ac:dyDescent="0.2">
      <c r="I2736" s="137" t="s">
        <v>74</v>
      </c>
    </row>
    <row r="2737" spans="9:9" x14ac:dyDescent="0.2">
      <c r="I2737" s="137" t="s">
        <v>74</v>
      </c>
    </row>
    <row r="2738" spans="9:9" x14ac:dyDescent="0.2">
      <c r="I2738" s="137" t="s">
        <v>74</v>
      </c>
    </row>
    <row r="2739" spans="9:9" x14ac:dyDescent="0.2">
      <c r="I2739" s="137" t="s">
        <v>74</v>
      </c>
    </row>
    <row r="2740" spans="9:9" x14ac:dyDescent="0.2">
      <c r="I2740" s="137" t="s">
        <v>74</v>
      </c>
    </row>
    <row r="2741" spans="9:9" x14ac:dyDescent="0.2">
      <c r="I2741" s="137" t="s">
        <v>74</v>
      </c>
    </row>
    <row r="2742" spans="9:9" x14ac:dyDescent="0.2">
      <c r="I2742" s="137" t="s">
        <v>74</v>
      </c>
    </row>
    <row r="2743" spans="9:9" x14ac:dyDescent="0.2">
      <c r="I2743" s="137" t="s">
        <v>74</v>
      </c>
    </row>
    <row r="2744" spans="9:9" x14ac:dyDescent="0.2">
      <c r="I2744" s="137" t="s">
        <v>74</v>
      </c>
    </row>
    <row r="2745" spans="9:9" x14ac:dyDescent="0.2">
      <c r="I2745" s="137" t="s">
        <v>74</v>
      </c>
    </row>
    <row r="2746" spans="9:9" x14ac:dyDescent="0.2">
      <c r="I2746" s="137" t="s">
        <v>74</v>
      </c>
    </row>
    <row r="2747" spans="9:9" x14ac:dyDescent="0.2">
      <c r="I2747" s="137" t="s">
        <v>74</v>
      </c>
    </row>
    <row r="2748" spans="9:9" x14ac:dyDescent="0.2">
      <c r="I2748" s="137" t="s">
        <v>74</v>
      </c>
    </row>
    <row r="2749" spans="9:9" x14ac:dyDescent="0.2">
      <c r="I2749" s="137" t="s">
        <v>74</v>
      </c>
    </row>
    <row r="2750" spans="9:9" x14ac:dyDescent="0.2">
      <c r="I2750" s="137" t="s">
        <v>74</v>
      </c>
    </row>
    <row r="2751" spans="9:9" x14ac:dyDescent="0.2">
      <c r="I2751" s="137" t="s">
        <v>74</v>
      </c>
    </row>
    <row r="2752" spans="9:9" x14ac:dyDescent="0.2">
      <c r="I2752" s="137" t="s">
        <v>74</v>
      </c>
    </row>
    <row r="2753" spans="9:9" x14ac:dyDescent="0.2">
      <c r="I2753" s="137" t="s">
        <v>74</v>
      </c>
    </row>
    <row r="2754" spans="9:9" x14ac:dyDescent="0.2">
      <c r="I2754" s="137" t="s">
        <v>74</v>
      </c>
    </row>
    <row r="2755" spans="9:9" x14ac:dyDescent="0.2">
      <c r="I2755" s="137" t="s">
        <v>74</v>
      </c>
    </row>
    <row r="2756" spans="9:9" x14ac:dyDescent="0.2">
      <c r="I2756" s="137" t="s">
        <v>74</v>
      </c>
    </row>
    <row r="2757" spans="9:9" x14ac:dyDescent="0.2">
      <c r="I2757" s="137" t="s">
        <v>74</v>
      </c>
    </row>
    <row r="2758" spans="9:9" x14ac:dyDescent="0.2">
      <c r="I2758" s="137" t="s">
        <v>74</v>
      </c>
    </row>
    <row r="2759" spans="9:9" x14ac:dyDescent="0.2">
      <c r="I2759" s="137" t="s">
        <v>74</v>
      </c>
    </row>
    <row r="2760" spans="9:9" x14ac:dyDescent="0.2">
      <c r="I2760" s="137" t="s">
        <v>74</v>
      </c>
    </row>
    <row r="2761" spans="9:9" x14ac:dyDescent="0.2">
      <c r="I2761" s="137" t="s">
        <v>74</v>
      </c>
    </row>
    <row r="2762" spans="9:9" x14ac:dyDescent="0.2">
      <c r="I2762" s="137" t="s">
        <v>74</v>
      </c>
    </row>
    <row r="2763" spans="9:9" x14ac:dyDescent="0.2">
      <c r="I2763" s="137" t="s">
        <v>74</v>
      </c>
    </row>
    <row r="2764" spans="9:9" x14ac:dyDescent="0.2">
      <c r="I2764" s="137" t="s">
        <v>74</v>
      </c>
    </row>
    <row r="2765" spans="9:9" x14ac:dyDescent="0.2">
      <c r="I2765" s="137" t="s">
        <v>74</v>
      </c>
    </row>
    <row r="2766" spans="9:9" x14ac:dyDescent="0.2">
      <c r="I2766" s="137" t="s">
        <v>74</v>
      </c>
    </row>
    <row r="2767" spans="9:9" x14ac:dyDescent="0.2">
      <c r="I2767" s="137" t="s">
        <v>74</v>
      </c>
    </row>
    <row r="2768" spans="9:9" x14ac:dyDescent="0.2">
      <c r="I2768" s="137" t="s">
        <v>74</v>
      </c>
    </row>
    <row r="2769" spans="9:9" x14ac:dyDescent="0.2">
      <c r="I2769" s="137" t="s">
        <v>74</v>
      </c>
    </row>
    <row r="2770" spans="9:9" x14ac:dyDescent="0.2">
      <c r="I2770" s="137" t="s">
        <v>74</v>
      </c>
    </row>
    <row r="2771" spans="9:9" x14ac:dyDescent="0.2">
      <c r="I2771" s="137" t="s">
        <v>74</v>
      </c>
    </row>
    <row r="2772" spans="9:9" x14ac:dyDescent="0.2">
      <c r="I2772" s="137" t="s">
        <v>74</v>
      </c>
    </row>
    <row r="2773" spans="9:9" x14ac:dyDescent="0.2">
      <c r="I2773" s="137" t="s">
        <v>74</v>
      </c>
    </row>
    <row r="2774" spans="9:9" x14ac:dyDescent="0.2">
      <c r="I2774" s="137" t="s">
        <v>74</v>
      </c>
    </row>
    <row r="2775" spans="9:9" x14ac:dyDescent="0.2">
      <c r="I2775" s="137" t="s">
        <v>74</v>
      </c>
    </row>
    <row r="2776" spans="9:9" x14ac:dyDescent="0.2">
      <c r="I2776" s="137" t="s">
        <v>74</v>
      </c>
    </row>
    <row r="2777" spans="9:9" x14ac:dyDescent="0.2">
      <c r="I2777" s="137" t="s">
        <v>74</v>
      </c>
    </row>
    <row r="2778" spans="9:9" x14ac:dyDescent="0.2">
      <c r="I2778" s="137" t="s">
        <v>74</v>
      </c>
    </row>
    <row r="2779" spans="9:9" x14ac:dyDescent="0.2">
      <c r="I2779" s="137" t="s">
        <v>74</v>
      </c>
    </row>
    <row r="2780" spans="9:9" x14ac:dyDescent="0.2">
      <c r="I2780" s="137" t="s">
        <v>74</v>
      </c>
    </row>
    <row r="2781" spans="9:9" x14ac:dyDescent="0.2">
      <c r="I2781" s="137" t="s">
        <v>74</v>
      </c>
    </row>
    <row r="2782" spans="9:9" x14ac:dyDescent="0.2">
      <c r="I2782" s="137" t="s">
        <v>74</v>
      </c>
    </row>
    <row r="2783" spans="9:9" x14ac:dyDescent="0.2">
      <c r="I2783" s="137" t="s">
        <v>74</v>
      </c>
    </row>
    <row r="2784" spans="9:9" x14ac:dyDescent="0.2">
      <c r="I2784" s="137" t="s">
        <v>74</v>
      </c>
    </row>
    <row r="2785" spans="9:9" x14ac:dyDescent="0.2">
      <c r="I2785" s="137" t="s">
        <v>74</v>
      </c>
    </row>
    <row r="2786" spans="9:9" x14ac:dyDescent="0.2">
      <c r="I2786" s="137" t="s">
        <v>74</v>
      </c>
    </row>
    <row r="2787" spans="9:9" x14ac:dyDescent="0.2">
      <c r="I2787" s="137" t="s">
        <v>74</v>
      </c>
    </row>
    <row r="2788" spans="9:9" x14ac:dyDescent="0.2">
      <c r="I2788" s="137" t="s">
        <v>74</v>
      </c>
    </row>
    <row r="2789" spans="9:9" x14ac:dyDescent="0.2">
      <c r="I2789" s="137" t="s">
        <v>74</v>
      </c>
    </row>
    <row r="2790" spans="9:9" x14ac:dyDescent="0.2">
      <c r="I2790" s="137" t="s">
        <v>74</v>
      </c>
    </row>
    <row r="2791" spans="9:9" x14ac:dyDescent="0.2">
      <c r="I2791" s="137" t="s">
        <v>74</v>
      </c>
    </row>
    <row r="2792" spans="9:9" x14ac:dyDescent="0.2">
      <c r="I2792" s="137" t="s">
        <v>74</v>
      </c>
    </row>
    <row r="2793" spans="9:9" x14ac:dyDescent="0.2">
      <c r="I2793" s="137" t="s">
        <v>74</v>
      </c>
    </row>
    <row r="2794" spans="9:9" x14ac:dyDescent="0.2">
      <c r="I2794" s="137" t="s">
        <v>74</v>
      </c>
    </row>
    <row r="2795" spans="9:9" x14ac:dyDescent="0.2">
      <c r="I2795" s="137" t="s">
        <v>74</v>
      </c>
    </row>
    <row r="2796" spans="9:9" x14ac:dyDescent="0.2">
      <c r="I2796" s="137" t="s">
        <v>74</v>
      </c>
    </row>
    <row r="2797" spans="9:9" x14ac:dyDescent="0.2">
      <c r="I2797" s="137" t="s">
        <v>74</v>
      </c>
    </row>
    <row r="2798" spans="9:9" x14ac:dyDescent="0.2">
      <c r="I2798" s="137" t="s">
        <v>74</v>
      </c>
    </row>
    <row r="2799" spans="9:9" x14ac:dyDescent="0.2">
      <c r="I2799" s="137" t="s">
        <v>74</v>
      </c>
    </row>
    <row r="2800" spans="9:9" x14ac:dyDescent="0.2">
      <c r="I2800" s="137" t="s">
        <v>74</v>
      </c>
    </row>
    <row r="2801" spans="9:9" x14ac:dyDescent="0.2">
      <c r="I2801" s="137" t="s">
        <v>74</v>
      </c>
    </row>
    <row r="2802" spans="9:9" x14ac:dyDescent="0.2">
      <c r="I2802" s="137" t="s">
        <v>74</v>
      </c>
    </row>
    <row r="2803" spans="9:9" x14ac:dyDescent="0.2">
      <c r="I2803" s="137" t="s">
        <v>74</v>
      </c>
    </row>
    <row r="2804" spans="9:9" x14ac:dyDescent="0.2">
      <c r="I2804" s="137" t="s">
        <v>74</v>
      </c>
    </row>
    <row r="2805" spans="9:9" x14ac:dyDescent="0.2">
      <c r="I2805" s="137" t="s">
        <v>74</v>
      </c>
    </row>
    <row r="2806" spans="9:9" x14ac:dyDescent="0.2">
      <c r="I2806" s="137" t="s">
        <v>74</v>
      </c>
    </row>
    <row r="2807" spans="9:9" x14ac:dyDescent="0.2">
      <c r="I2807" s="137" t="s">
        <v>74</v>
      </c>
    </row>
    <row r="2808" spans="9:9" x14ac:dyDescent="0.2">
      <c r="I2808" s="137" t="s">
        <v>74</v>
      </c>
    </row>
    <row r="2809" spans="9:9" x14ac:dyDescent="0.2">
      <c r="I2809" s="137" t="s">
        <v>74</v>
      </c>
    </row>
    <row r="2810" spans="9:9" x14ac:dyDescent="0.2">
      <c r="I2810" s="137" t="s">
        <v>74</v>
      </c>
    </row>
    <row r="2811" spans="9:9" x14ac:dyDescent="0.2">
      <c r="I2811" s="137" t="s">
        <v>74</v>
      </c>
    </row>
    <row r="2812" spans="9:9" x14ac:dyDescent="0.2">
      <c r="I2812" s="137" t="s">
        <v>74</v>
      </c>
    </row>
    <row r="2813" spans="9:9" x14ac:dyDescent="0.2">
      <c r="I2813" s="137" t="s">
        <v>74</v>
      </c>
    </row>
    <row r="2814" spans="9:9" x14ac:dyDescent="0.2">
      <c r="I2814" s="137" t="s">
        <v>74</v>
      </c>
    </row>
    <row r="2815" spans="9:9" x14ac:dyDescent="0.2">
      <c r="I2815" s="137" t="s">
        <v>74</v>
      </c>
    </row>
    <row r="2816" spans="9:9" x14ac:dyDescent="0.2">
      <c r="I2816" s="137" t="s">
        <v>74</v>
      </c>
    </row>
    <row r="2817" spans="9:9" x14ac:dyDescent="0.2">
      <c r="I2817" s="137" t="s">
        <v>74</v>
      </c>
    </row>
    <row r="2818" spans="9:9" x14ac:dyDescent="0.2">
      <c r="I2818" s="137" t="s">
        <v>74</v>
      </c>
    </row>
    <row r="2819" spans="9:9" x14ac:dyDescent="0.2">
      <c r="I2819" s="137" t="s">
        <v>74</v>
      </c>
    </row>
    <row r="2820" spans="9:9" x14ac:dyDescent="0.2">
      <c r="I2820" s="137" t="s">
        <v>74</v>
      </c>
    </row>
    <row r="2821" spans="9:9" x14ac:dyDescent="0.2">
      <c r="I2821" s="137" t="s">
        <v>74</v>
      </c>
    </row>
    <row r="2822" spans="9:9" x14ac:dyDescent="0.2">
      <c r="I2822" s="137" t="s">
        <v>74</v>
      </c>
    </row>
    <row r="2823" spans="9:9" x14ac:dyDescent="0.2">
      <c r="I2823" s="137" t="s">
        <v>74</v>
      </c>
    </row>
    <row r="2824" spans="9:9" x14ac:dyDescent="0.2">
      <c r="I2824" s="137" t="s">
        <v>74</v>
      </c>
    </row>
    <row r="2825" spans="9:9" x14ac:dyDescent="0.2">
      <c r="I2825" s="137" t="s">
        <v>74</v>
      </c>
    </row>
    <row r="2826" spans="9:9" x14ac:dyDescent="0.2">
      <c r="I2826" s="137" t="s">
        <v>74</v>
      </c>
    </row>
    <row r="2827" spans="9:9" x14ac:dyDescent="0.2">
      <c r="I2827" s="137" t="s">
        <v>74</v>
      </c>
    </row>
    <row r="2828" spans="9:9" x14ac:dyDescent="0.2">
      <c r="I2828" s="137" t="s">
        <v>74</v>
      </c>
    </row>
    <row r="2829" spans="9:9" x14ac:dyDescent="0.2">
      <c r="I2829" s="137" t="s">
        <v>74</v>
      </c>
    </row>
    <row r="2830" spans="9:9" x14ac:dyDescent="0.2">
      <c r="I2830" s="137" t="s">
        <v>74</v>
      </c>
    </row>
    <row r="2831" spans="9:9" x14ac:dyDescent="0.2">
      <c r="I2831" s="137" t="s">
        <v>74</v>
      </c>
    </row>
    <row r="2832" spans="9:9" x14ac:dyDescent="0.2">
      <c r="I2832" s="137" t="s">
        <v>74</v>
      </c>
    </row>
    <row r="2833" spans="9:9" x14ac:dyDescent="0.2">
      <c r="I2833" s="137" t="s">
        <v>74</v>
      </c>
    </row>
    <row r="2834" spans="9:9" x14ac:dyDescent="0.2">
      <c r="I2834" s="137" t="s">
        <v>74</v>
      </c>
    </row>
    <row r="2835" spans="9:9" x14ac:dyDescent="0.2">
      <c r="I2835" s="137" t="s">
        <v>74</v>
      </c>
    </row>
    <row r="2836" spans="9:9" x14ac:dyDescent="0.2">
      <c r="I2836" s="137" t="s">
        <v>74</v>
      </c>
    </row>
    <row r="2837" spans="9:9" x14ac:dyDescent="0.2">
      <c r="I2837" s="137" t="s">
        <v>74</v>
      </c>
    </row>
    <row r="2838" spans="9:9" x14ac:dyDescent="0.2">
      <c r="I2838" s="137" t="s">
        <v>74</v>
      </c>
    </row>
    <row r="2839" spans="9:9" x14ac:dyDescent="0.2">
      <c r="I2839" s="137" t="s">
        <v>74</v>
      </c>
    </row>
    <row r="2840" spans="9:9" x14ac:dyDescent="0.2">
      <c r="I2840" s="137" t="s">
        <v>74</v>
      </c>
    </row>
    <row r="2841" spans="9:9" x14ac:dyDescent="0.2">
      <c r="I2841" s="137" t="s">
        <v>74</v>
      </c>
    </row>
    <row r="2842" spans="9:9" x14ac:dyDescent="0.2">
      <c r="I2842" s="137" t="s">
        <v>74</v>
      </c>
    </row>
    <row r="2843" spans="9:9" x14ac:dyDescent="0.2">
      <c r="I2843" s="137" t="s">
        <v>74</v>
      </c>
    </row>
    <row r="2844" spans="9:9" x14ac:dyDescent="0.2">
      <c r="I2844" s="137" t="s">
        <v>74</v>
      </c>
    </row>
    <row r="2845" spans="9:9" x14ac:dyDescent="0.2">
      <c r="I2845" s="137" t="s">
        <v>74</v>
      </c>
    </row>
    <row r="2846" spans="9:9" x14ac:dyDescent="0.2">
      <c r="I2846" s="137" t="s">
        <v>74</v>
      </c>
    </row>
    <row r="2847" spans="9:9" x14ac:dyDescent="0.2">
      <c r="I2847" s="137" t="s">
        <v>74</v>
      </c>
    </row>
    <row r="2848" spans="9:9" x14ac:dyDescent="0.2">
      <c r="I2848" s="137" t="s">
        <v>74</v>
      </c>
    </row>
    <row r="2849" spans="9:9" x14ac:dyDescent="0.2">
      <c r="I2849" s="137" t="s">
        <v>74</v>
      </c>
    </row>
    <row r="2850" spans="9:9" x14ac:dyDescent="0.2">
      <c r="I2850" s="137" t="s">
        <v>74</v>
      </c>
    </row>
    <row r="2851" spans="9:9" x14ac:dyDescent="0.2">
      <c r="I2851" s="137" t="s">
        <v>74</v>
      </c>
    </row>
    <row r="2852" spans="9:9" x14ac:dyDescent="0.2">
      <c r="I2852" s="137" t="s">
        <v>74</v>
      </c>
    </row>
    <row r="2853" spans="9:9" x14ac:dyDescent="0.2">
      <c r="I2853" s="137" t="s">
        <v>74</v>
      </c>
    </row>
    <row r="2854" spans="9:9" x14ac:dyDescent="0.2">
      <c r="I2854" s="137" t="s">
        <v>74</v>
      </c>
    </row>
    <row r="2855" spans="9:9" x14ac:dyDescent="0.2">
      <c r="I2855" s="137" t="s">
        <v>74</v>
      </c>
    </row>
    <row r="2856" spans="9:9" x14ac:dyDescent="0.2">
      <c r="I2856" s="137" t="s">
        <v>74</v>
      </c>
    </row>
    <row r="2857" spans="9:9" x14ac:dyDescent="0.2">
      <c r="I2857" s="137" t="s">
        <v>74</v>
      </c>
    </row>
    <row r="2858" spans="9:9" x14ac:dyDescent="0.2">
      <c r="I2858" s="137" t="s">
        <v>74</v>
      </c>
    </row>
    <row r="2859" spans="9:9" x14ac:dyDescent="0.2">
      <c r="I2859" s="137" t="s">
        <v>74</v>
      </c>
    </row>
    <row r="2860" spans="9:9" x14ac:dyDescent="0.2">
      <c r="I2860" s="137" t="s">
        <v>74</v>
      </c>
    </row>
    <row r="2861" spans="9:9" x14ac:dyDescent="0.2">
      <c r="I2861" s="137" t="s">
        <v>74</v>
      </c>
    </row>
    <row r="2862" spans="9:9" x14ac:dyDescent="0.2">
      <c r="I2862" s="137" t="s">
        <v>74</v>
      </c>
    </row>
    <row r="2863" spans="9:9" x14ac:dyDescent="0.2">
      <c r="I2863" s="137" t="s">
        <v>74</v>
      </c>
    </row>
    <row r="2864" spans="9:9" x14ac:dyDescent="0.2">
      <c r="I2864" s="137" t="s">
        <v>74</v>
      </c>
    </row>
    <row r="2865" spans="9:9" x14ac:dyDescent="0.2">
      <c r="I2865" s="137" t="s">
        <v>74</v>
      </c>
    </row>
    <row r="2866" spans="9:9" x14ac:dyDescent="0.2">
      <c r="I2866" s="137" t="s">
        <v>74</v>
      </c>
    </row>
    <row r="2867" spans="9:9" x14ac:dyDescent="0.2">
      <c r="I2867" s="137" t="s">
        <v>74</v>
      </c>
    </row>
    <row r="2868" spans="9:9" x14ac:dyDescent="0.2">
      <c r="I2868" s="137" t="s">
        <v>74</v>
      </c>
    </row>
    <row r="2869" spans="9:9" x14ac:dyDescent="0.2">
      <c r="I2869" s="137" t="s">
        <v>74</v>
      </c>
    </row>
    <row r="2870" spans="9:9" x14ac:dyDescent="0.2">
      <c r="I2870" s="137" t="s">
        <v>74</v>
      </c>
    </row>
    <row r="2871" spans="9:9" x14ac:dyDescent="0.2">
      <c r="I2871" s="137" t="s">
        <v>74</v>
      </c>
    </row>
    <row r="2872" spans="9:9" x14ac:dyDescent="0.2">
      <c r="I2872" s="137" t="s">
        <v>74</v>
      </c>
    </row>
    <row r="2873" spans="9:9" x14ac:dyDescent="0.2">
      <c r="I2873" s="137" t="s">
        <v>74</v>
      </c>
    </row>
    <row r="2874" spans="9:9" x14ac:dyDescent="0.2">
      <c r="I2874" s="137" t="s">
        <v>74</v>
      </c>
    </row>
    <row r="2875" spans="9:9" x14ac:dyDescent="0.2">
      <c r="I2875" s="137" t="s">
        <v>74</v>
      </c>
    </row>
    <row r="2876" spans="9:9" x14ac:dyDescent="0.2">
      <c r="I2876" s="137" t="s">
        <v>74</v>
      </c>
    </row>
    <row r="2877" spans="9:9" x14ac:dyDescent="0.2">
      <c r="I2877" s="137" t="s">
        <v>74</v>
      </c>
    </row>
    <row r="2878" spans="9:9" x14ac:dyDescent="0.2">
      <c r="I2878" s="137" t="s">
        <v>74</v>
      </c>
    </row>
    <row r="2879" spans="9:9" x14ac:dyDescent="0.2">
      <c r="I2879" s="137" t="s">
        <v>74</v>
      </c>
    </row>
    <row r="2880" spans="9:9" x14ac:dyDescent="0.2">
      <c r="I2880" s="137" t="s">
        <v>74</v>
      </c>
    </row>
    <row r="2881" spans="9:9" x14ac:dyDescent="0.2">
      <c r="I2881" s="137" t="s">
        <v>74</v>
      </c>
    </row>
    <row r="2882" spans="9:9" x14ac:dyDescent="0.2">
      <c r="I2882" s="137" t="s">
        <v>74</v>
      </c>
    </row>
    <row r="2883" spans="9:9" x14ac:dyDescent="0.2">
      <c r="I2883" s="137" t="s">
        <v>74</v>
      </c>
    </row>
    <row r="2884" spans="9:9" x14ac:dyDescent="0.2">
      <c r="I2884" s="137" t="s">
        <v>74</v>
      </c>
    </row>
    <row r="2885" spans="9:9" x14ac:dyDescent="0.2">
      <c r="I2885" s="137" t="s">
        <v>74</v>
      </c>
    </row>
    <row r="2886" spans="9:9" x14ac:dyDescent="0.2">
      <c r="I2886" s="137" t="s">
        <v>74</v>
      </c>
    </row>
    <row r="2887" spans="9:9" x14ac:dyDescent="0.2">
      <c r="I2887" s="137" t="s">
        <v>74</v>
      </c>
    </row>
    <row r="2888" spans="9:9" x14ac:dyDescent="0.2">
      <c r="I2888" s="137" t="s">
        <v>74</v>
      </c>
    </row>
    <row r="2889" spans="9:9" x14ac:dyDescent="0.2">
      <c r="I2889" s="137" t="s">
        <v>74</v>
      </c>
    </row>
    <row r="2890" spans="9:9" x14ac:dyDescent="0.2">
      <c r="I2890" s="137" t="s">
        <v>74</v>
      </c>
    </row>
    <row r="2891" spans="9:9" x14ac:dyDescent="0.2">
      <c r="I2891" s="137" t="s">
        <v>74</v>
      </c>
    </row>
    <row r="2892" spans="9:9" x14ac:dyDescent="0.2">
      <c r="I2892" s="137" t="s">
        <v>74</v>
      </c>
    </row>
    <row r="2893" spans="9:9" x14ac:dyDescent="0.2">
      <c r="I2893" s="137" t="s">
        <v>74</v>
      </c>
    </row>
    <row r="2894" spans="9:9" x14ac:dyDescent="0.2">
      <c r="I2894" s="137" t="s">
        <v>74</v>
      </c>
    </row>
    <row r="2895" spans="9:9" x14ac:dyDescent="0.2">
      <c r="I2895" s="137" t="s">
        <v>74</v>
      </c>
    </row>
    <row r="2896" spans="9:9" x14ac:dyDescent="0.2">
      <c r="I2896" s="137" t="s">
        <v>74</v>
      </c>
    </row>
    <row r="2897" spans="9:9" x14ac:dyDescent="0.2">
      <c r="I2897" s="137" t="s">
        <v>74</v>
      </c>
    </row>
    <row r="2898" spans="9:9" x14ac:dyDescent="0.2">
      <c r="I2898" s="137" t="s">
        <v>74</v>
      </c>
    </row>
    <row r="2899" spans="9:9" x14ac:dyDescent="0.2">
      <c r="I2899" s="137" t="s">
        <v>74</v>
      </c>
    </row>
    <row r="2900" spans="9:9" x14ac:dyDescent="0.2">
      <c r="I2900" s="137" t="s">
        <v>74</v>
      </c>
    </row>
    <row r="2901" spans="9:9" x14ac:dyDescent="0.2">
      <c r="I2901" s="137" t="s">
        <v>74</v>
      </c>
    </row>
    <row r="2902" spans="9:9" x14ac:dyDescent="0.2">
      <c r="I2902" s="137" t="s">
        <v>74</v>
      </c>
    </row>
    <row r="2903" spans="9:9" x14ac:dyDescent="0.2">
      <c r="I2903" s="137" t="s">
        <v>74</v>
      </c>
    </row>
    <row r="2904" spans="9:9" x14ac:dyDescent="0.2">
      <c r="I2904" s="137" t="s">
        <v>74</v>
      </c>
    </row>
    <row r="2905" spans="9:9" x14ac:dyDescent="0.2">
      <c r="I2905" s="137" t="s">
        <v>74</v>
      </c>
    </row>
    <row r="2906" spans="9:9" x14ac:dyDescent="0.2">
      <c r="I2906" s="137" t="s">
        <v>74</v>
      </c>
    </row>
    <row r="2907" spans="9:9" x14ac:dyDescent="0.2">
      <c r="I2907" s="137" t="s">
        <v>74</v>
      </c>
    </row>
    <row r="2908" spans="9:9" x14ac:dyDescent="0.2">
      <c r="I2908" s="137" t="s">
        <v>74</v>
      </c>
    </row>
    <row r="2909" spans="9:9" x14ac:dyDescent="0.2">
      <c r="I2909" s="137" t="s">
        <v>74</v>
      </c>
    </row>
    <row r="2910" spans="9:9" x14ac:dyDescent="0.2">
      <c r="I2910" s="137" t="s">
        <v>74</v>
      </c>
    </row>
    <row r="2911" spans="9:9" x14ac:dyDescent="0.2">
      <c r="I2911" s="137" t="s">
        <v>74</v>
      </c>
    </row>
    <row r="2912" spans="9:9" x14ac:dyDescent="0.2">
      <c r="I2912" s="137" t="s">
        <v>74</v>
      </c>
    </row>
    <row r="2913" spans="9:9" x14ac:dyDescent="0.2">
      <c r="I2913" s="137" t="s">
        <v>74</v>
      </c>
    </row>
    <row r="2914" spans="9:9" x14ac:dyDescent="0.2">
      <c r="I2914" s="137" t="s">
        <v>74</v>
      </c>
    </row>
    <row r="2915" spans="9:9" x14ac:dyDescent="0.2">
      <c r="I2915" s="137" t="s">
        <v>74</v>
      </c>
    </row>
    <row r="2916" spans="9:9" x14ac:dyDescent="0.2">
      <c r="I2916" s="137" t="s">
        <v>74</v>
      </c>
    </row>
    <row r="2917" spans="9:9" x14ac:dyDescent="0.2">
      <c r="I2917" s="137" t="s">
        <v>74</v>
      </c>
    </row>
    <row r="2918" spans="9:9" x14ac:dyDescent="0.2">
      <c r="I2918" s="137" t="s">
        <v>74</v>
      </c>
    </row>
    <row r="2919" spans="9:9" x14ac:dyDescent="0.2">
      <c r="I2919" s="137" t="s">
        <v>74</v>
      </c>
    </row>
    <row r="2920" spans="9:9" x14ac:dyDescent="0.2">
      <c r="I2920" s="137" t="s">
        <v>74</v>
      </c>
    </row>
    <row r="2921" spans="9:9" x14ac:dyDescent="0.2">
      <c r="I2921" s="137" t="s">
        <v>74</v>
      </c>
    </row>
    <row r="2922" spans="9:9" x14ac:dyDescent="0.2">
      <c r="I2922" s="137" t="s">
        <v>74</v>
      </c>
    </row>
    <row r="2923" spans="9:9" x14ac:dyDescent="0.2">
      <c r="I2923" s="137" t="s">
        <v>74</v>
      </c>
    </row>
    <row r="2924" spans="9:9" x14ac:dyDescent="0.2">
      <c r="I2924" s="137" t="s">
        <v>74</v>
      </c>
    </row>
    <row r="2925" spans="9:9" x14ac:dyDescent="0.2">
      <c r="I2925" s="137" t="s">
        <v>74</v>
      </c>
    </row>
    <row r="2926" spans="9:9" x14ac:dyDescent="0.2">
      <c r="I2926" s="137" t="s">
        <v>74</v>
      </c>
    </row>
    <row r="2927" spans="9:9" x14ac:dyDescent="0.2">
      <c r="I2927" s="137" t="s">
        <v>74</v>
      </c>
    </row>
    <row r="2928" spans="9:9" x14ac:dyDescent="0.2">
      <c r="I2928" s="137" t="s">
        <v>74</v>
      </c>
    </row>
    <row r="2929" spans="9:9" x14ac:dyDescent="0.2">
      <c r="I2929" s="137" t="s">
        <v>74</v>
      </c>
    </row>
    <row r="2930" spans="9:9" x14ac:dyDescent="0.2">
      <c r="I2930" s="137" t="s">
        <v>74</v>
      </c>
    </row>
    <row r="2931" spans="9:9" x14ac:dyDescent="0.2">
      <c r="I2931" s="137" t="s">
        <v>74</v>
      </c>
    </row>
    <row r="2932" spans="9:9" x14ac:dyDescent="0.2">
      <c r="I2932" s="137" t="s">
        <v>74</v>
      </c>
    </row>
    <row r="2933" spans="9:9" x14ac:dyDescent="0.2">
      <c r="I2933" s="137" t="s">
        <v>74</v>
      </c>
    </row>
    <row r="2934" spans="9:9" x14ac:dyDescent="0.2">
      <c r="I2934" s="137" t="s">
        <v>74</v>
      </c>
    </row>
    <row r="2935" spans="9:9" x14ac:dyDescent="0.2">
      <c r="I2935" s="137" t="s">
        <v>74</v>
      </c>
    </row>
    <row r="2936" spans="9:9" x14ac:dyDescent="0.2">
      <c r="I2936" s="137" t="s">
        <v>74</v>
      </c>
    </row>
    <row r="2937" spans="9:9" x14ac:dyDescent="0.2">
      <c r="I2937" s="137" t="s">
        <v>74</v>
      </c>
    </row>
    <row r="2938" spans="9:9" x14ac:dyDescent="0.2">
      <c r="I2938" s="137" t="s">
        <v>74</v>
      </c>
    </row>
    <row r="2939" spans="9:9" x14ac:dyDescent="0.2">
      <c r="I2939" s="137" t="s">
        <v>74</v>
      </c>
    </row>
    <row r="2940" spans="9:9" x14ac:dyDescent="0.2">
      <c r="I2940" s="137" t="s">
        <v>74</v>
      </c>
    </row>
    <row r="2941" spans="9:9" x14ac:dyDescent="0.2">
      <c r="I2941" s="137" t="s">
        <v>74</v>
      </c>
    </row>
    <row r="2942" spans="9:9" x14ac:dyDescent="0.2">
      <c r="I2942" s="137" t="s">
        <v>74</v>
      </c>
    </row>
    <row r="2943" spans="9:9" x14ac:dyDescent="0.2">
      <c r="I2943" s="137" t="s">
        <v>74</v>
      </c>
    </row>
    <row r="2944" spans="9:9" x14ac:dyDescent="0.2">
      <c r="I2944" s="137" t="s">
        <v>74</v>
      </c>
    </row>
    <row r="2945" spans="9:9" x14ac:dyDescent="0.2">
      <c r="I2945" s="137" t="s">
        <v>74</v>
      </c>
    </row>
    <row r="2946" spans="9:9" x14ac:dyDescent="0.2">
      <c r="I2946" s="137" t="s">
        <v>74</v>
      </c>
    </row>
    <row r="2947" spans="9:9" x14ac:dyDescent="0.2">
      <c r="I2947" s="137" t="s">
        <v>74</v>
      </c>
    </row>
    <row r="2948" spans="9:9" x14ac:dyDescent="0.2">
      <c r="I2948" s="137" t="s">
        <v>74</v>
      </c>
    </row>
    <row r="2949" spans="9:9" x14ac:dyDescent="0.2">
      <c r="I2949" s="137" t="s">
        <v>74</v>
      </c>
    </row>
    <row r="2950" spans="9:9" x14ac:dyDescent="0.2">
      <c r="I2950" s="137" t="s">
        <v>74</v>
      </c>
    </row>
    <row r="2951" spans="9:9" x14ac:dyDescent="0.2">
      <c r="I2951" s="137" t="s">
        <v>74</v>
      </c>
    </row>
    <row r="2952" spans="9:9" x14ac:dyDescent="0.2">
      <c r="I2952" s="137" t="s">
        <v>74</v>
      </c>
    </row>
    <row r="2953" spans="9:9" x14ac:dyDescent="0.2">
      <c r="I2953" s="137" t="s">
        <v>74</v>
      </c>
    </row>
    <row r="2954" spans="9:9" x14ac:dyDescent="0.2">
      <c r="I2954" s="137" t="s">
        <v>74</v>
      </c>
    </row>
    <row r="2955" spans="9:9" x14ac:dyDescent="0.2">
      <c r="I2955" s="137" t="s">
        <v>74</v>
      </c>
    </row>
    <row r="2956" spans="9:9" x14ac:dyDescent="0.2">
      <c r="I2956" s="137" t="s">
        <v>74</v>
      </c>
    </row>
    <row r="2957" spans="9:9" x14ac:dyDescent="0.2">
      <c r="I2957" s="137" t="s">
        <v>74</v>
      </c>
    </row>
    <row r="2958" spans="9:9" x14ac:dyDescent="0.2">
      <c r="I2958" s="137" t="s">
        <v>74</v>
      </c>
    </row>
    <row r="2959" spans="9:9" x14ac:dyDescent="0.2">
      <c r="I2959" s="137" t="s">
        <v>74</v>
      </c>
    </row>
    <row r="2960" spans="9:9" x14ac:dyDescent="0.2">
      <c r="I2960" s="137" t="s">
        <v>74</v>
      </c>
    </row>
    <row r="2961" spans="9:9" x14ac:dyDescent="0.2">
      <c r="I2961" s="137" t="s">
        <v>74</v>
      </c>
    </row>
    <row r="2962" spans="9:9" x14ac:dyDescent="0.2">
      <c r="I2962" s="137" t="s">
        <v>74</v>
      </c>
    </row>
    <row r="2963" spans="9:9" x14ac:dyDescent="0.2">
      <c r="I2963" s="137" t="s">
        <v>74</v>
      </c>
    </row>
    <row r="2964" spans="9:9" x14ac:dyDescent="0.2">
      <c r="I2964" s="137" t="s">
        <v>74</v>
      </c>
    </row>
    <row r="2965" spans="9:9" x14ac:dyDescent="0.2">
      <c r="I2965" s="137" t="s">
        <v>74</v>
      </c>
    </row>
    <row r="2966" spans="9:9" x14ac:dyDescent="0.2">
      <c r="I2966" s="137" t="s">
        <v>74</v>
      </c>
    </row>
    <row r="2967" spans="9:9" x14ac:dyDescent="0.2">
      <c r="I2967" s="137" t="s">
        <v>74</v>
      </c>
    </row>
    <row r="2968" spans="9:9" x14ac:dyDescent="0.2">
      <c r="I2968" s="137" t="s">
        <v>74</v>
      </c>
    </row>
    <row r="2969" spans="9:9" x14ac:dyDescent="0.2">
      <c r="I2969" s="137" t="s">
        <v>74</v>
      </c>
    </row>
    <row r="2970" spans="9:9" x14ac:dyDescent="0.2">
      <c r="I2970" s="137" t="s">
        <v>74</v>
      </c>
    </row>
    <row r="2971" spans="9:9" x14ac:dyDescent="0.2">
      <c r="I2971" s="137" t="s">
        <v>74</v>
      </c>
    </row>
    <row r="2972" spans="9:9" x14ac:dyDescent="0.2">
      <c r="I2972" s="137" t="s">
        <v>74</v>
      </c>
    </row>
    <row r="2973" spans="9:9" x14ac:dyDescent="0.2">
      <c r="I2973" s="137" t="s">
        <v>74</v>
      </c>
    </row>
    <row r="2974" spans="9:9" x14ac:dyDescent="0.2">
      <c r="I2974" s="137" t="s">
        <v>74</v>
      </c>
    </row>
    <row r="2975" spans="9:9" x14ac:dyDescent="0.2">
      <c r="I2975" s="137" t="s">
        <v>74</v>
      </c>
    </row>
    <row r="2976" spans="9:9" x14ac:dyDescent="0.2">
      <c r="I2976" s="137" t="s">
        <v>74</v>
      </c>
    </row>
    <row r="2977" spans="9:9" x14ac:dyDescent="0.2">
      <c r="I2977" s="137" t="s">
        <v>74</v>
      </c>
    </row>
    <row r="2978" spans="9:9" x14ac:dyDescent="0.2">
      <c r="I2978" s="137" t="s">
        <v>74</v>
      </c>
    </row>
    <row r="2979" spans="9:9" x14ac:dyDescent="0.2">
      <c r="I2979" s="137" t="s">
        <v>74</v>
      </c>
    </row>
    <row r="2980" spans="9:9" x14ac:dyDescent="0.2">
      <c r="I2980" s="137" t="s">
        <v>74</v>
      </c>
    </row>
    <row r="2981" spans="9:9" x14ac:dyDescent="0.2">
      <c r="I2981" s="137" t="s">
        <v>74</v>
      </c>
    </row>
    <row r="2982" spans="9:9" x14ac:dyDescent="0.2">
      <c r="I2982" s="137" t="s">
        <v>74</v>
      </c>
    </row>
    <row r="2983" spans="9:9" x14ac:dyDescent="0.2">
      <c r="I2983" s="137" t="s">
        <v>74</v>
      </c>
    </row>
    <row r="2984" spans="9:9" x14ac:dyDescent="0.2">
      <c r="I2984" s="137" t="s">
        <v>74</v>
      </c>
    </row>
    <row r="2985" spans="9:9" x14ac:dyDescent="0.2">
      <c r="I2985" s="137" t="s">
        <v>74</v>
      </c>
    </row>
    <row r="2986" spans="9:9" x14ac:dyDescent="0.2">
      <c r="I2986" s="137" t="s">
        <v>74</v>
      </c>
    </row>
    <row r="2987" spans="9:9" x14ac:dyDescent="0.2">
      <c r="I2987" s="137" t="s">
        <v>74</v>
      </c>
    </row>
    <row r="2988" spans="9:9" x14ac:dyDescent="0.2">
      <c r="I2988" s="137" t="s">
        <v>74</v>
      </c>
    </row>
    <row r="2989" spans="9:9" x14ac:dyDescent="0.2">
      <c r="I2989" s="137" t="s">
        <v>74</v>
      </c>
    </row>
    <row r="2990" spans="9:9" x14ac:dyDescent="0.2">
      <c r="I2990" s="137" t="s">
        <v>74</v>
      </c>
    </row>
    <row r="2991" spans="9:9" x14ac:dyDescent="0.2">
      <c r="I2991" s="137" t="s">
        <v>74</v>
      </c>
    </row>
    <row r="2992" spans="9:9" x14ac:dyDescent="0.2">
      <c r="I2992" s="137" t="s">
        <v>74</v>
      </c>
    </row>
    <row r="2993" spans="9:9" x14ac:dyDescent="0.2">
      <c r="I2993" s="137" t="s">
        <v>74</v>
      </c>
    </row>
    <row r="2994" spans="9:9" x14ac:dyDescent="0.2">
      <c r="I2994" s="137" t="s">
        <v>74</v>
      </c>
    </row>
    <row r="2995" spans="9:9" x14ac:dyDescent="0.2">
      <c r="I2995" s="137" t="s">
        <v>74</v>
      </c>
    </row>
    <row r="2996" spans="9:9" x14ac:dyDescent="0.2">
      <c r="I2996" s="137" t="s">
        <v>74</v>
      </c>
    </row>
    <row r="2997" spans="9:9" x14ac:dyDescent="0.2">
      <c r="I2997" s="137" t="s">
        <v>74</v>
      </c>
    </row>
    <row r="2998" spans="9:9" x14ac:dyDescent="0.2">
      <c r="I2998" s="137" t="s">
        <v>74</v>
      </c>
    </row>
    <row r="2999" spans="9:9" x14ac:dyDescent="0.2">
      <c r="I2999" s="137" t="s">
        <v>74</v>
      </c>
    </row>
    <row r="3000" spans="9:9" x14ac:dyDescent="0.2">
      <c r="I3000" s="137" t="s">
        <v>74</v>
      </c>
    </row>
    <row r="3001" spans="9:9" x14ac:dyDescent="0.2">
      <c r="I3001" s="137" t="s">
        <v>74</v>
      </c>
    </row>
    <row r="3002" spans="9:9" x14ac:dyDescent="0.2">
      <c r="I3002" s="137" t="s">
        <v>74</v>
      </c>
    </row>
    <row r="3003" spans="9:9" x14ac:dyDescent="0.2">
      <c r="I3003" s="137" t="s">
        <v>74</v>
      </c>
    </row>
    <row r="3004" spans="9:9" x14ac:dyDescent="0.2">
      <c r="I3004" s="137" t="s">
        <v>74</v>
      </c>
    </row>
    <row r="3005" spans="9:9" x14ac:dyDescent="0.2">
      <c r="I3005" s="137" t="s">
        <v>74</v>
      </c>
    </row>
    <row r="3006" spans="9:9" x14ac:dyDescent="0.2">
      <c r="I3006" s="137" t="s">
        <v>74</v>
      </c>
    </row>
    <row r="3007" spans="9:9" x14ac:dyDescent="0.2">
      <c r="I3007" s="137" t="s">
        <v>74</v>
      </c>
    </row>
    <row r="3008" spans="9:9" x14ac:dyDescent="0.2">
      <c r="I3008" s="137" t="s">
        <v>74</v>
      </c>
    </row>
    <row r="3009" spans="9:9" x14ac:dyDescent="0.2">
      <c r="I3009" s="137" t="s">
        <v>74</v>
      </c>
    </row>
    <row r="3010" spans="9:9" x14ac:dyDescent="0.2">
      <c r="I3010" s="137" t="s">
        <v>74</v>
      </c>
    </row>
    <row r="3011" spans="9:9" x14ac:dyDescent="0.2">
      <c r="I3011" s="137" t="s">
        <v>74</v>
      </c>
    </row>
    <row r="3012" spans="9:9" x14ac:dyDescent="0.2">
      <c r="I3012" s="137" t="s">
        <v>74</v>
      </c>
    </row>
    <row r="3013" spans="9:9" x14ac:dyDescent="0.2">
      <c r="I3013" s="137" t="s">
        <v>74</v>
      </c>
    </row>
    <row r="3014" spans="9:9" x14ac:dyDescent="0.2">
      <c r="I3014" s="137" t="s">
        <v>74</v>
      </c>
    </row>
    <row r="3015" spans="9:9" x14ac:dyDescent="0.2">
      <c r="I3015" s="137" t="s">
        <v>74</v>
      </c>
    </row>
    <row r="3016" spans="9:9" x14ac:dyDescent="0.2">
      <c r="I3016" s="137" t="s">
        <v>74</v>
      </c>
    </row>
    <row r="3017" spans="9:9" x14ac:dyDescent="0.2">
      <c r="I3017" s="137" t="s">
        <v>74</v>
      </c>
    </row>
    <row r="3018" spans="9:9" x14ac:dyDescent="0.2">
      <c r="I3018" s="137" t="s">
        <v>74</v>
      </c>
    </row>
    <row r="3019" spans="9:9" x14ac:dyDescent="0.2">
      <c r="I3019" s="137" t="s">
        <v>74</v>
      </c>
    </row>
    <row r="3020" spans="9:9" x14ac:dyDescent="0.2">
      <c r="I3020" s="137" t="s">
        <v>74</v>
      </c>
    </row>
    <row r="3021" spans="9:9" x14ac:dyDescent="0.2">
      <c r="I3021" s="137" t="s">
        <v>74</v>
      </c>
    </row>
    <row r="3022" spans="9:9" x14ac:dyDescent="0.2">
      <c r="I3022" s="137" t="s">
        <v>74</v>
      </c>
    </row>
    <row r="3023" spans="9:9" x14ac:dyDescent="0.2">
      <c r="I3023" s="137" t="s">
        <v>74</v>
      </c>
    </row>
    <row r="3024" spans="9:9" x14ac:dyDescent="0.2">
      <c r="I3024" s="137" t="s">
        <v>74</v>
      </c>
    </row>
    <row r="3025" spans="9:9" x14ac:dyDescent="0.2">
      <c r="I3025" s="137" t="s">
        <v>74</v>
      </c>
    </row>
    <row r="3026" spans="9:9" x14ac:dyDescent="0.2">
      <c r="I3026" s="137" t="s">
        <v>74</v>
      </c>
    </row>
    <row r="3027" spans="9:9" x14ac:dyDescent="0.2">
      <c r="I3027" s="137" t="s">
        <v>74</v>
      </c>
    </row>
    <row r="3028" spans="9:9" x14ac:dyDescent="0.2">
      <c r="I3028" s="137" t="s">
        <v>74</v>
      </c>
    </row>
    <row r="3029" spans="9:9" x14ac:dyDescent="0.2">
      <c r="I3029" s="137" t="s">
        <v>74</v>
      </c>
    </row>
    <row r="3030" spans="9:9" x14ac:dyDescent="0.2">
      <c r="I3030" s="137" t="s">
        <v>74</v>
      </c>
    </row>
    <row r="3031" spans="9:9" x14ac:dyDescent="0.2">
      <c r="I3031" s="137" t="s">
        <v>74</v>
      </c>
    </row>
    <row r="3032" spans="9:9" x14ac:dyDescent="0.2">
      <c r="I3032" s="137" t="s">
        <v>74</v>
      </c>
    </row>
    <row r="3033" spans="9:9" x14ac:dyDescent="0.2">
      <c r="I3033" s="137" t="s">
        <v>74</v>
      </c>
    </row>
    <row r="3034" spans="9:9" x14ac:dyDescent="0.2">
      <c r="I3034" s="137" t="s">
        <v>74</v>
      </c>
    </row>
    <row r="3035" spans="9:9" x14ac:dyDescent="0.2">
      <c r="I3035" s="137" t="s">
        <v>74</v>
      </c>
    </row>
    <row r="3036" spans="9:9" x14ac:dyDescent="0.2">
      <c r="I3036" s="137" t="s">
        <v>74</v>
      </c>
    </row>
    <row r="3037" spans="9:9" x14ac:dyDescent="0.2">
      <c r="I3037" s="137" t="s">
        <v>74</v>
      </c>
    </row>
    <row r="3038" spans="9:9" x14ac:dyDescent="0.2">
      <c r="I3038" s="137" t="s">
        <v>74</v>
      </c>
    </row>
    <row r="3039" spans="9:9" x14ac:dyDescent="0.2">
      <c r="I3039" s="137" t="s">
        <v>74</v>
      </c>
    </row>
    <row r="3040" spans="9:9" x14ac:dyDescent="0.2">
      <c r="I3040" s="137" t="s">
        <v>74</v>
      </c>
    </row>
    <row r="3041" spans="9:9" x14ac:dyDescent="0.2">
      <c r="I3041" s="137" t="s">
        <v>74</v>
      </c>
    </row>
    <row r="3042" spans="9:9" x14ac:dyDescent="0.2">
      <c r="I3042" s="137" t="s">
        <v>74</v>
      </c>
    </row>
    <row r="3043" spans="9:9" x14ac:dyDescent="0.2">
      <c r="I3043" s="137" t="s">
        <v>74</v>
      </c>
    </row>
    <row r="3044" spans="9:9" x14ac:dyDescent="0.2">
      <c r="I3044" s="137" t="s">
        <v>74</v>
      </c>
    </row>
    <row r="3045" spans="9:9" x14ac:dyDescent="0.2">
      <c r="I3045" s="137" t="s">
        <v>74</v>
      </c>
    </row>
    <row r="3046" spans="9:9" x14ac:dyDescent="0.2">
      <c r="I3046" s="137" t="s">
        <v>74</v>
      </c>
    </row>
    <row r="3047" spans="9:9" x14ac:dyDescent="0.2">
      <c r="I3047" s="137" t="s">
        <v>74</v>
      </c>
    </row>
    <row r="3048" spans="9:9" x14ac:dyDescent="0.2">
      <c r="I3048" s="137" t="s">
        <v>74</v>
      </c>
    </row>
    <row r="3049" spans="9:9" x14ac:dyDescent="0.2">
      <c r="I3049" s="137" t="s">
        <v>74</v>
      </c>
    </row>
    <row r="3050" spans="9:9" x14ac:dyDescent="0.2">
      <c r="I3050" s="137" t="s">
        <v>74</v>
      </c>
    </row>
    <row r="3051" spans="9:9" x14ac:dyDescent="0.2">
      <c r="I3051" s="137" t="s">
        <v>74</v>
      </c>
    </row>
    <row r="3052" spans="9:9" x14ac:dyDescent="0.2">
      <c r="I3052" s="137" t="s">
        <v>74</v>
      </c>
    </row>
    <row r="3053" spans="9:9" x14ac:dyDescent="0.2">
      <c r="I3053" s="137" t="s">
        <v>74</v>
      </c>
    </row>
    <row r="3054" spans="9:9" x14ac:dyDescent="0.2">
      <c r="I3054" s="137" t="s">
        <v>74</v>
      </c>
    </row>
    <row r="3055" spans="9:9" x14ac:dyDescent="0.2">
      <c r="I3055" s="137" t="s">
        <v>74</v>
      </c>
    </row>
    <row r="3056" spans="9:9" x14ac:dyDescent="0.2">
      <c r="I3056" s="137" t="s">
        <v>74</v>
      </c>
    </row>
    <row r="3057" spans="9:9" x14ac:dyDescent="0.2">
      <c r="I3057" s="137" t="s">
        <v>74</v>
      </c>
    </row>
    <row r="3058" spans="9:9" x14ac:dyDescent="0.2">
      <c r="I3058" s="137" t="s">
        <v>74</v>
      </c>
    </row>
    <row r="3059" spans="9:9" x14ac:dyDescent="0.2">
      <c r="I3059" s="137" t="s">
        <v>74</v>
      </c>
    </row>
    <row r="3060" spans="9:9" x14ac:dyDescent="0.2">
      <c r="I3060" s="137" t="s">
        <v>74</v>
      </c>
    </row>
    <row r="3061" spans="9:9" x14ac:dyDescent="0.2">
      <c r="I3061" s="137" t="s">
        <v>74</v>
      </c>
    </row>
    <row r="3062" spans="9:9" x14ac:dyDescent="0.2">
      <c r="I3062" s="137" t="s">
        <v>74</v>
      </c>
    </row>
    <row r="3063" spans="9:9" x14ac:dyDescent="0.2">
      <c r="I3063" s="137" t="s">
        <v>74</v>
      </c>
    </row>
    <row r="3064" spans="9:9" x14ac:dyDescent="0.2">
      <c r="I3064" s="137" t="s">
        <v>74</v>
      </c>
    </row>
    <row r="3065" spans="9:9" x14ac:dyDescent="0.2">
      <c r="I3065" s="137" t="s">
        <v>74</v>
      </c>
    </row>
    <row r="3066" spans="9:9" x14ac:dyDescent="0.2">
      <c r="I3066" s="137" t="s">
        <v>74</v>
      </c>
    </row>
    <row r="3067" spans="9:9" x14ac:dyDescent="0.2">
      <c r="I3067" s="137" t="s">
        <v>74</v>
      </c>
    </row>
    <row r="3068" spans="9:9" x14ac:dyDescent="0.2">
      <c r="I3068" s="137" t="s">
        <v>74</v>
      </c>
    </row>
    <row r="3069" spans="9:9" x14ac:dyDescent="0.2">
      <c r="I3069" s="137" t="s">
        <v>74</v>
      </c>
    </row>
    <row r="3070" spans="9:9" x14ac:dyDescent="0.2">
      <c r="I3070" s="137" t="s">
        <v>74</v>
      </c>
    </row>
    <row r="3071" spans="9:9" x14ac:dyDescent="0.2">
      <c r="I3071" s="137" t="s">
        <v>74</v>
      </c>
    </row>
    <row r="3072" spans="9:9" x14ac:dyDescent="0.2">
      <c r="I3072" s="137" t="s">
        <v>74</v>
      </c>
    </row>
    <row r="3073" spans="9:9" x14ac:dyDescent="0.2">
      <c r="I3073" s="137" t="s">
        <v>74</v>
      </c>
    </row>
    <row r="3074" spans="9:9" x14ac:dyDescent="0.2">
      <c r="I3074" s="137" t="s">
        <v>74</v>
      </c>
    </row>
    <row r="3075" spans="9:9" x14ac:dyDescent="0.2">
      <c r="I3075" s="137" t="s">
        <v>74</v>
      </c>
    </row>
    <row r="3076" spans="9:9" x14ac:dyDescent="0.2">
      <c r="I3076" s="137" t="s">
        <v>74</v>
      </c>
    </row>
    <row r="3077" spans="9:9" x14ac:dyDescent="0.2">
      <c r="I3077" s="137" t="s">
        <v>74</v>
      </c>
    </row>
    <row r="3078" spans="9:9" x14ac:dyDescent="0.2">
      <c r="I3078" s="137" t="s">
        <v>74</v>
      </c>
    </row>
    <row r="3079" spans="9:9" x14ac:dyDescent="0.2">
      <c r="I3079" s="137" t="s">
        <v>74</v>
      </c>
    </row>
    <row r="3080" spans="9:9" x14ac:dyDescent="0.2">
      <c r="I3080" s="137" t="s">
        <v>74</v>
      </c>
    </row>
    <row r="3081" spans="9:9" x14ac:dyDescent="0.2">
      <c r="I3081" s="137" t="s">
        <v>74</v>
      </c>
    </row>
    <row r="3082" spans="9:9" x14ac:dyDescent="0.2">
      <c r="I3082" s="137" t="s">
        <v>74</v>
      </c>
    </row>
    <row r="3083" spans="9:9" x14ac:dyDescent="0.2">
      <c r="I3083" s="137" t="s">
        <v>74</v>
      </c>
    </row>
    <row r="3084" spans="9:9" x14ac:dyDescent="0.2">
      <c r="I3084" s="137" t="s">
        <v>74</v>
      </c>
    </row>
    <row r="3085" spans="9:9" x14ac:dyDescent="0.2">
      <c r="I3085" s="137" t="s">
        <v>74</v>
      </c>
    </row>
    <row r="3086" spans="9:9" x14ac:dyDescent="0.2">
      <c r="I3086" s="137" t="s">
        <v>74</v>
      </c>
    </row>
    <row r="3087" spans="9:9" x14ac:dyDescent="0.2">
      <c r="I3087" s="137" t="s">
        <v>74</v>
      </c>
    </row>
    <row r="3088" spans="9:9" x14ac:dyDescent="0.2">
      <c r="I3088" s="137" t="s">
        <v>74</v>
      </c>
    </row>
    <row r="3089" spans="9:9" x14ac:dyDescent="0.2">
      <c r="I3089" s="137" t="s">
        <v>74</v>
      </c>
    </row>
    <row r="3090" spans="9:9" x14ac:dyDescent="0.2">
      <c r="I3090" s="137" t="s">
        <v>74</v>
      </c>
    </row>
    <row r="3091" spans="9:9" x14ac:dyDescent="0.2">
      <c r="I3091" s="137" t="s">
        <v>74</v>
      </c>
    </row>
    <row r="3092" spans="9:9" x14ac:dyDescent="0.2">
      <c r="I3092" s="137" t="s">
        <v>74</v>
      </c>
    </row>
    <row r="3093" spans="9:9" x14ac:dyDescent="0.2">
      <c r="I3093" s="137" t="s">
        <v>74</v>
      </c>
    </row>
    <row r="3094" spans="9:9" x14ac:dyDescent="0.2">
      <c r="I3094" s="137" t="s">
        <v>74</v>
      </c>
    </row>
    <row r="3095" spans="9:9" x14ac:dyDescent="0.2">
      <c r="I3095" s="137" t="s">
        <v>74</v>
      </c>
    </row>
    <row r="3096" spans="9:9" x14ac:dyDescent="0.2">
      <c r="I3096" s="137" t="s">
        <v>74</v>
      </c>
    </row>
    <row r="3097" spans="9:9" x14ac:dyDescent="0.2">
      <c r="I3097" s="137" t="s">
        <v>74</v>
      </c>
    </row>
    <row r="3098" spans="9:9" x14ac:dyDescent="0.2">
      <c r="I3098" s="137" t="s">
        <v>74</v>
      </c>
    </row>
    <row r="3099" spans="9:9" x14ac:dyDescent="0.2">
      <c r="I3099" s="137" t="s">
        <v>74</v>
      </c>
    </row>
    <row r="3100" spans="9:9" x14ac:dyDescent="0.2">
      <c r="I3100" s="137" t="s">
        <v>74</v>
      </c>
    </row>
    <row r="3101" spans="9:9" x14ac:dyDescent="0.2">
      <c r="I3101" s="137" t="s">
        <v>74</v>
      </c>
    </row>
    <row r="3102" spans="9:9" x14ac:dyDescent="0.2">
      <c r="I3102" s="137" t="s">
        <v>74</v>
      </c>
    </row>
    <row r="3103" spans="9:9" x14ac:dyDescent="0.2">
      <c r="I3103" s="137" t="s">
        <v>74</v>
      </c>
    </row>
    <row r="3104" spans="9:9" x14ac:dyDescent="0.2">
      <c r="I3104" s="137" t="s">
        <v>74</v>
      </c>
    </row>
    <row r="3105" spans="9:9" x14ac:dyDescent="0.2">
      <c r="I3105" s="137" t="s">
        <v>74</v>
      </c>
    </row>
    <row r="3106" spans="9:9" x14ac:dyDescent="0.2">
      <c r="I3106" s="137" t="s">
        <v>74</v>
      </c>
    </row>
    <row r="3107" spans="9:9" x14ac:dyDescent="0.2">
      <c r="I3107" s="137" t="s">
        <v>74</v>
      </c>
    </row>
    <row r="3108" spans="9:9" x14ac:dyDescent="0.2">
      <c r="I3108" s="137" t="s">
        <v>74</v>
      </c>
    </row>
    <row r="3109" spans="9:9" x14ac:dyDescent="0.2">
      <c r="I3109" s="137" t="s">
        <v>74</v>
      </c>
    </row>
    <row r="3110" spans="9:9" x14ac:dyDescent="0.2">
      <c r="I3110" s="137" t="s">
        <v>74</v>
      </c>
    </row>
    <row r="3111" spans="9:9" x14ac:dyDescent="0.2">
      <c r="I3111" s="137" t="s">
        <v>74</v>
      </c>
    </row>
    <row r="3112" spans="9:9" x14ac:dyDescent="0.2">
      <c r="I3112" s="137" t="s">
        <v>74</v>
      </c>
    </row>
    <row r="3113" spans="9:9" x14ac:dyDescent="0.2">
      <c r="I3113" s="137" t="s">
        <v>74</v>
      </c>
    </row>
    <row r="3114" spans="9:9" x14ac:dyDescent="0.2">
      <c r="I3114" s="137" t="s">
        <v>74</v>
      </c>
    </row>
    <row r="3115" spans="9:9" x14ac:dyDescent="0.2">
      <c r="I3115" s="137" t="s">
        <v>74</v>
      </c>
    </row>
    <row r="3116" spans="9:9" x14ac:dyDescent="0.2">
      <c r="I3116" s="137" t="s">
        <v>74</v>
      </c>
    </row>
    <row r="3117" spans="9:9" x14ac:dyDescent="0.2">
      <c r="I3117" s="137" t="s">
        <v>74</v>
      </c>
    </row>
    <row r="3118" spans="9:9" x14ac:dyDescent="0.2">
      <c r="I3118" s="137" t="s">
        <v>74</v>
      </c>
    </row>
    <row r="3119" spans="9:9" x14ac:dyDescent="0.2">
      <c r="I3119" s="137" t="s">
        <v>74</v>
      </c>
    </row>
    <row r="3120" spans="9:9" x14ac:dyDescent="0.2">
      <c r="I3120" s="137" t="s">
        <v>74</v>
      </c>
    </row>
    <row r="3121" spans="9:9" x14ac:dyDescent="0.2">
      <c r="I3121" s="137" t="s">
        <v>74</v>
      </c>
    </row>
    <row r="3122" spans="9:9" x14ac:dyDescent="0.2">
      <c r="I3122" s="137" t="s">
        <v>74</v>
      </c>
    </row>
    <row r="3123" spans="9:9" x14ac:dyDescent="0.2">
      <c r="I3123" s="137" t="s">
        <v>74</v>
      </c>
    </row>
    <row r="3124" spans="9:9" x14ac:dyDescent="0.2">
      <c r="I3124" s="137" t="s">
        <v>74</v>
      </c>
    </row>
    <row r="3125" spans="9:9" x14ac:dyDescent="0.2">
      <c r="I3125" s="137" t="s">
        <v>74</v>
      </c>
    </row>
    <row r="3126" spans="9:9" x14ac:dyDescent="0.2">
      <c r="I3126" s="137" t="s">
        <v>74</v>
      </c>
    </row>
    <row r="3127" spans="9:9" x14ac:dyDescent="0.2">
      <c r="I3127" s="137" t="s">
        <v>74</v>
      </c>
    </row>
    <row r="3128" spans="9:9" x14ac:dyDescent="0.2">
      <c r="I3128" s="137" t="s">
        <v>74</v>
      </c>
    </row>
    <row r="3129" spans="9:9" x14ac:dyDescent="0.2">
      <c r="I3129" s="137" t="s">
        <v>74</v>
      </c>
    </row>
    <row r="3130" spans="9:9" x14ac:dyDescent="0.2">
      <c r="I3130" s="137" t="s">
        <v>74</v>
      </c>
    </row>
    <row r="3131" spans="9:9" x14ac:dyDescent="0.2">
      <c r="I3131" s="137" t="s">
        <v>74</v>
      </c>
    </row>
    <row r="3132" spans="9:9" x14ac:dyDescent="0.2">
      <c r="I3132" s="137" t="s">
        <v>74</v>
      </c>
    </row>
    <row r="3133" spans="9:9" x14ac:dyDescent="0.2">
      <c r="I3133" s="137" t="s">
        <v>74</v>
      </c>
    </row>
    <row r="3134" spans="9:9" x14ac:dyDescent="0.2">
      <c r="I3134" s="137" t="s">
        <v>74</v>
      </c>
    </row>
    <row r="3135" spans="9:9" x14ac:dyDescent="0.2">
      <c r="I3135" s="137" t="s">
        <v>74</v>
      </c>
    </row>
    <row r="3136" spans="9:9" x14ac:dyDescent="0.2">
      <c r="I3136" s="137" t="s">
        <v>74</v>
      </c>
    </row>
    <row r="3137" spans="9:9" x14ac:dyDescent="0.2">
      <c r="I3137" s="137" t="s">
        <v>74</v>
      </c>
    </row>
    <row r="3138" spans="9:9" x14ac:dyDescent="0.2">
      <c r="I3138" s="137" t="s">
        <v>74</v>
      </c>
    </row>
    <row r="3139" spans="9:9" x14ac:dyDescent="0.2">
      <c r="I3139" s="137" t="s">
        <v>74</v>
      </c>
    </row>
    <row r="3140" spans="9:9" x14ac:dyDescent="0.2">
      <c r="I3140" s="137" t="s">
        <v>74</v>
      </c>
    </row>
    <row r="3141" spans="9:9" x14ac:dyDescent="0.2">
      <c r="I3141" s="137" t="s">
        <v>74</v>
      </c>
    </row>
    <row r="3142" spans="9:9" x14ac:dyDescent="0.2">
      <c r="I3142" s="137" t="s">
        <v>74</v>
      </c>
    </row>
    <row r="3143" spans="9:9" x14ac:dyDescent="0.2">
      <c r="I3143" s="137" t="s">
        <v>74</v>
      </c>
    </row>
    <row r="3144" spans="9:9" x14ac:dyDescent="0.2">
      <c r="I3144" s="137" t="s">
        <v>74</v>
      </c>
    </row>
    <row r="3145" spans="9:9" x14ac:dyDescent="0.2">
      <c r="I3145" s="137" t="s">
        <v>74</v>
      </c>
    </row>
    <row r="3146" spans="9:9" x14ac:dyDescent="0.2">
      <c r="I3146" s="137" t="s">
        <v>74</v>
      </c>
    </row>
    <row r="3147" spans="9:9" x14ac:dyDescent="0.2">
      <c r="I3147" s="137" t="s">
        <v>74</v>
      </c>
    </row>
    <row r="3148" spans="9:9" x14ac:dyDescent="0.2">
      <c r="I3148" s="137" t="s">
        <v>74</v>
      </c>
    </row>
    <row r="3149" spans="9:9" x14ac:dyDescent="0.2">
      <c r="I3149" s="137" t="s">
        <v>74</v>
      </c>
    </row>
    <row r="3150" spans="9:9" x14ac:dyDescent="0.2">
      <c r="I3150" s="137" t="s">
        <v>74</v>
      </c>
    </row>
    <row r="3151" spans="9:9" x14ac:dyDescent="0.2">
      <c r="I3151" s="137" t="s">
        <v>74</v>
      </c>
    </row>
    <row r="3152" spans="9:9" x14ac:dyDescent="0.2">
      <c r="I3152" s="137" t="s">
        <v>74</v>
      </c>
    </row>
    <row r="3153" spans="9:9" x14ac:dyDescent="0.2">
      <c r="I3153" s="137" t="s">
        <v>74</v>
      </c>
    </row>
    <row r="3154" spans="9:9" x14ac:dyDescent="0.2">
      <c r="I3154" s="137" t="s">
        <v>74</v>
      </c>
    </row>
    <row r="3155" spans="9:9" x14ac:dyDescent="0.2">
      <c r="I3155" s="137" t="s">
        <v>74</v>
      </c>
    </row>
    <row r="3156" spans="9:9" x14ac:dyDescent="0.2">
      <c r="I3156" s="137" t="s">
        <v>74</v>
      </c>
    </row>
    <row r="3157" spans="9:9" x14ac:dyDescent="0.2">
      <c r="I3157" s="137" t="s">
        <v>74</v>
      </c>
    </row>
    <row r="3158" spans="9:9" x14ac:dyDescent="0.2">
      <c r="I3158" s="137" t="s">
        <v>74</v>
      </c>
    </row>
    <row r="3159" spans="9:9" x14ac:dyDescent="0.2">
      <c r="I3159" s="137" t="s">
        <v>74</v>
      </c>
    </row>
    <row r="3160" spans="9:9" x14ac:dyDescent="0.2">
      <c r="I3160" s="137" t="s">
        <v>74</v>
      </c>
    </row>
    <row r="3161" spans="9:9" x14ac:dyDescent="0.2">
      <c r="I3161" s="137" t="s">
        <v>74</v>
      </c>
    </row>
    <row r="3162" spans="9:9" x14ac:dyDescent="0.2">
      <c r="I3162" s="137" t="s">
        <v>74</v>
      </c>
    </row>
    <row r="3163" spans="9:9" x14ac:dyDescent="0.2">
      <c r="I3163" s="137" t="s">
        <v>74</v>
      </c>
    </row>
    <row r="3164" spans="9:9" x14ac:dyDescent="0.2">
      <c r="I3164" s="137" t="s">
        <v>74</v>
      </c>
    </row>
    <row r="3165" spans="9:9" x14ac:dyDescent="0.2">
      <c r="I3165" s="137" t="s">
        <v>74</v>
      </c>
    </row>
    <row r="3166" spans="9:9" x14ac:dyDescent="0.2">
      <c r="I3166" s="137" t="s">
        <v>74</v>
      </c>
    </row>
    <row r="3167" spans="9:9" x14ac:dyDescent="0.2">
      <c r="I3167" s="137" t="s">
        <v>74</v>
      </c>
    </row>
    <row r="3168" spans="9:9" x14ac:dyDescent="0.2">
      <c r="I3168" s="137" t="s">
        <v>74</v>
      </c>
    </row>
    <row r="3169" spans="9:9" x14ac:dyDescent="0.2">
      <c r="I3169" s="137" t="s">
        <v>74</v>
      </c>
    </row>
    <row r="3170" spans="9:9" x14ac:dyDescent="0.2">
      <c r="I3170" s="137" t="s">
        <v>74</v>
      </c>
    </row>
    <row r="3171" spans="9:9" x14ac:dyDescent="0.2">
      <c r="I3171" s="137" t="s">
        <v>74</v>
      </c>
    </row>
    <row r="3172" spans="9:9" x14ac:dyDescent="0.2">
      <c r="I3172" s="137" t="s">
        <v>74</v>
      </c>
    </row>
    <row r="3173" spans="9:9" x14ac:dyDescent="0.2">
      <c r="I3173" s="137" t="s">
        <v>74</v>
      </c>
    </row>
    <row r="3174" spans="9:9" x14ac:dyDescent="0.2">
      <c r="I3174" s="137" t="s">
        <v>74</v>
      </c>
    </row>
    <row r="3175" spans="9:9" x14ac:dyDescent="0.2">
      <c r="I3175" s="137" t="s">
        <v>74</v>
      </c>
    </row>
    <row r="3176" spans="9:9" x14ac:dyDescent="0.2">
      <c r="I3176" s="137" t="s">
        <v>74</v>
      </c>
    </row>
    <row r="3177" spans="9:9" x14ac:dyDescent="0.2">
      <c r="I3177" s="137" t="s">
        <v>74</v>
      </c>
    </row>
    <row r="3178" spans="9:9" x14ac:dyDescent="0.2">
      <c r="I3178" s="137" t="s">
        <v>74</v>
      </c>
    </row>
    <row r="3179" spans="9:9" x14ac:dyDescent="0.2">
      <c r="I3179" s="137" t="s">
        <v>74</v>
      </c>
    </row>
    <row r="3180" spans="9:9" x14ac:dyDescent="0.2">
      <c r="I3180" s="137" t="s">
        <v>74</v>
      </c>
    </row>
    <row r="3181" spans="9:9" x14ac:dyDescent="0.2">
      <c r="I3181" s="137" t="s">
        <v>74</v>
      </c>
    </row>
    <row r="3182" spans="9:9" x14ac:dyDescent="0.2">
      <c r="I3182" s="137" t="s">
        <v>74</v>
      </c>
    </row>
    <row r="3183" spans="9:9" x14ac:dyDescent="0.2">
      <c r="I3183" s="137" t="s">
        <v>74</v>
      </c>
    </row>
    <row r="3184" spans="9:9" x14ac:dyDescent="0.2">
      <c r="I3184" s="137" t="s">
        <v>74</v>
      </c>
    </row>
    <row r="3185" spans="9:9" x14ac:dyDescent="0.2">
      <c r="I3185" s="137" t="s">
        <v>74</v>
      </c>
    </row>
    <row r="3186" spans="9:9" x14ac:dyDescent="0.2">
      <c r="I3186" s="137" t="s">
        <v>74</v>
      </c>
    </row>
    <row r="3187" spans="9:9" x14ac:dyDescent="0.2">
      <c r="I3187" s="137" t="s">
        <v>74</v>
      </c>
    </row>
    <row r="3188" spans="9:9" x14ac:dyDescent="0.2">
      <c r="I3188" s="137" t="s">
        <v>74</v>
      </c>
    </row>
    <row r="3189" spans="9:9" x14ac:dyDescent="0.2">
      <c r="I3189" s="137" t="s">
        <v>74</v>
      </c>
    </row>
    <row r="3190" spans="9:9" x14ac:dyDescent="0.2">
      <c r="I3190" s="137" t="s">
        <v>74</v>
      </c>
    </row>
    <row r="3191" spans="9:9" x14ac:dyDescent="0.2">
      <c r="I3191" s="137" t="s">
        <v>74</v>
      </c>
    </row>
    <row r="3192" spans="9:9" x14ac:dyDescent="0.2">
      <c r="I3192" s="137" t="s">
        <v>74</v>
      </c>
    </row>
    <row r="3193" spans="9:9" x14ac:dyDescent="0.2">
      <c r="I3193" s="137" t="s">
        <v>74</v>
      </c>
    </row>
    <row r="3194" spans="9:9" x14ac:dyDescent="0.2">
      <c r="I3194" s="137" t="s">
        <v>74</v>
      </c>
    </row>
    <row r="3195" spans="9:9" x14ac:dyDescent="0.2">
      <c r="I3195" s="137" t="s">
        <v>74</v>
      </c>
    </row>
    <row r="3196" spans="9:9" x14ac:dyDescent="0.2">
      <c r="I3196" s="137" t="s">
        <v>74</v>
      </c>
    </row>
    <row r="3197" spans="9:9" x14ac:dyDescent="0.2">
      <c r="I3197" s="137" t="s">
        <v>74</v>
      </c>
    </row>
    <row r="3198" spans="9:9" x14ac:dyDescent="0.2">
      <c r="I3198" s="137" t="s">
        <v>74</v>
      </c>
    </row>
    <row r="3199" spans="9:9" x14ac:dyDescent="0.2">
      <c r="I3199" s="137" t="s">
        <v>74</v>
      </c>
    </row>
    <row r="3200" spans="9:9" x14ac:dyDescent="0.2">
      <c r="I3200" s="137" t="s">
        <v>74</v>
      </c>
    </row>
    <row r="3201" spans="9:9" x14ac:dyDescent="0.2">
      <c r="I3201" s="137" t="s">
        <v>74</v>
      </c>
    </row>
    <row r="3202" spans="9:9" x14ac:dyDescent="0.2">
      <c r="I3202" s="137" t="s">
        <v>74</v>
      </c>
    </row>
    <row r="3203" spans="9:9" x14ac:dyDescent="0.2">
      <c r="I3203" s="137" t="s">
        <v>74</v>
      </c>
    </row>
    <row r="3204" spans="9:9" x14ac:dyDescent="0.2">
      <c r="I3204" s="137" t="s">
        <v>74</v>
      </c>
    </row>
    <row r="3205" spans="9:9" x14ac:dyDescent="0.2">
      <c r="I3205" s="137" t="s">
        <v>74</v>
      </c>
    </row>
    <row r="3206" spans="9:9" x14ac:dyDescent="0.2">
      <c r="I3206" s="137" t="s">
        <v>74</v>
      </c>
    </row>
    <row r="3207" spans="9:9" x14ac:dyDescent="0.2">
      <c r="I3207" s="137" t="s">
        <v>74</v>
      </c>
    </row>
    <row r="3208" spans="9:9" x14ac:dyDescent="0.2">
      <c r="I3208" s="137" t="s">
        <v>74</v>
      </c>
    </row>
    <row r="3209" spans="9:9" x14ac:dyDescent="0.2">
      <c r="I3209" s="137" t="s">
        <v>74</v>
      </c>
    </row>
    <row r="3210" spans="9:9" x14ac:dyDescent="0.2">
      <c r="I3210" s="137" t="s">
        <v>74</v>
      </c>
    </row>
    <row r="3211" spans="9:9" x14ac:dyDescent="0.2">
      <c r="I3211" s="137" t="s">
        <v>74</v>
      </c>
    </row>
    <row r="3212" spans="9:9" x14ac:dyDescent="0.2">
      <c r="I3212" s="137" t="s">
        <v>74</v>
      </c>
    </row>
    <row r="3213" spans="9:9" x14ac:dyDescent="0.2">
      <c r="I3213" s="137" t="s">
        <v>74</v>
      </c>
    </row>
    <row r="3214" spans="9:9" x14ac:dyDescent="0.2">
      <c r="I3214" s="137" t="s">
        <v>74</v>
      </c>
    </row>
    <row r="3215" spans="9:9" x14ac:dyDescent="0.2">
      <c r="I3215" s="137" t="s">
        <v>74</v>
      </c>
    </row>
    <row r="3216" spans="9:9" x14ac:dyDescent="0.2">
      <c r="I3216" s="137" t="s">
        <v>74</v>
      </c>
    </row>
    <row r="3217" spans="9:9" x14ac:dyDescent="0.2">
      <c r="I3217" s="137" t="s">
        <v>74</v>
      </c>
    </row>
    <row r="3218" spans="9:9" x14ac:dyDescent="0.2">
      <c r="I3218" s="137" t="s">
        <v>74</v>
      </c>
    </row>
    <row r="3219" spans="9:9" x14ac:dyDescent="0.2">
      <c r="I3219" s="137" t="s">
        <v>74</v>
      </c>
    </row>
    <row r="3220" spans="9:9" x14ac:dyDescent="0.2">
      <c r="I3220" s="137" t="s">
        <v>74</v>
      </c>
    </row>
    <row r="3221" spans="9:9" x14ac:dyDescent="0.2">
      <c r="I3221" s="137" t="s">
        <v>74</v>
      </c>
    </row>
    <row r="3222" spans="9:9" x14ac:dyDescent="0.2">
      <c r="I3222" s="137" t="s">
        <v>74</v>
      </c>
    </row>
    <row r="3223" spans="9:9" x14ac:dyDescent="0.2">
      <c r="I3223" s="137" t="s">
        <v>74</v>
      </c>
    </row>
    <row r="3224" spans="9:9" x14ac:dyDescent="0.2">
      <c r="I3224" s="137" t="s">
        <v>74</v>
      </c>
    </row>
    <row r="3225" spans="9:9" x14ac:dyDescent="0.2">
      <c r="I3225" s="137" t="s">
        <v>74</v>
      </c>
    </row>
    <row r="3226" spans="9:9" x14ac:dyDescent="0.2">
      <c r="I3226" s="137" t="s">
        <v>74</v>
      </c>
    </row>
    <row r="3227" spans="9:9" x14ac:dyDescent="0.2">
      <c r="I3227" s="137" t="s">
        <v>74</v>
      </c>
    </row>
    <row r="3228" spans="9:9" x14ac:dyDescent="0.2">
      <c r="I3228" s="137" t="s">
        <v>74</v>
      </c>
    </row>
    <row r="3229" spans="9:9" x14ac:dyDescent="0.2">
      <c r="I3229" s="137" t="s">
        <v>74</v>
      </c>
    </row>
    <row r="3230" spans="9:9" x14ac:dyDescent="0.2">
      <c r="I3230" s="137" t="s">
        <v>74</v>
      </c>
    </row>
    <row r="3231" spans="9:9" x14ac:dyDescent="0.2">
      <c r="I3231" s="137" t="s">
        <v>74</v>
      </c>
    </row>
    <row r="3232" spans="9:9" x14ac:dyDescent="0.2">
      <c r="I3232" s="137" t="s">
        <v>74</v>
      </c>
    </row>
    <row r="3233" spans="9:9" x14ac:dyDescent="0.2">
      <c r="I3233" s="137" t="s">
        <v>74</v>
      </c>
    </row>
    <row r="3234" spans="9:9" x14ac:dyDescent="0.2">
      <c r="I3234" s="137" t="s">
        <v>74</v>
      </c>
    </row>
    <row r="3235" spans="9:9" x14ac:dyDescent="0.2">
      <c r="I3235" s="137" t="s">
        <v>74</v>
      </c>
    </row>
    <row r="3236" spans="9:9" x14ac:dyDescent="0.2">
      <c r="I3236" s="137" t="s">
        <v>74</v>
      </c>
    </row>
    <row r="3237" spans="9:9" x14ac:dyDescent="0.2">
      <c r="I3237" s="137" t="s">
        <v>74</v>
      </c>
    </row>
    <row r="3238" spans="9:9" x14ac:dyDescent="0.2">
      <c r="I3238" s="137" t="s">
        <v>74</v>
      </c>
    </row>
    <row r="3239" spans="9:9" x14ac:dyDescent="0.2">
      <c r="I3239" s="137" t="s">
        <v>74</v>
      </c>
    </row>
    <row r="3240" spans="9:9" x14ac:dyDescent="0.2">
      <c r="I3240" s="137" t="s">
        <v>74</v>
      </c>
    </row>
    <row r="3241" spans="9:9" x14ac:dyDescent="0.2">
      <c r="I3241" s="137" t="s">
        <v>74</v>
      </c>
    </row>
    <row r="3242" spans="9:9" x14ac:dyDescent="0.2">
      <c r="I3242" s="137" t="s">
        <v>74</v>
      </c>
    </row>
    <row r="3243" spans="9:9" x14ac:dyDescent="0.2">
      <c r="I3243" s="137" t="s">
        <v>74</v>
      </c>
    </row>
    <row r="3244" spans="9:9" x14ac:dyDescent="0.2">
      <c r="I3244" s="137" t="s">
        <v>74</v>
      </c>
    </row>
    <row r="3245" spans="9:9" x14ac:dyDescent="0.2">
      <c r="I3245" s="137" t="s">
        <v>74</v>
      </c>
    </row>
    <row r="3246" spans="9:9" x14ac:dyDescent="0.2">
      <c r="I3246" s="137" t="s">
        <v>74</v>
      </c>
    </row>
    <row r="3247" spans="9:9" x14ac:dyDescent="0.2">
      <c r="I3247" s="137" t="s">
        <v>74</v>
      </c>
    </row>
    <row r="3248" spans="9:9" x14ac:dyDescent="0.2">
      <c r="I3248" s="137" t="s">
        <v>74</v>
      </c>
    </row>
    <row r="3249" spans="9:9" x14ac:dyDescent="0.2">
      <c r="I3249" s="137" t="s">
        <v>74</v>
      </c>
    </row>
    <row r="3250" spans="9:9" x14ac:dyDescent="0.2">
      <c r="I3250" s="137" t="s">
        <v>74</v>
      </c>
    </row>
    <row r="3251" spans="9:9" x14ac:dyDescent="0.2">
      <c r="I3251" s="137" t="s">
        <v>74</v>
      </c>
    </row>
    <row r="3252" spans="9:9" x14ac:dyDescent="0.2">
      <c r="I3252" s="137" t="s">
        <v>74</v>
      </c>
    </row>
    <row r="3253" spans="9:9" x14ac:dyDescent="0.2">
      <c r="I3253" s="137" t="s">
        <v>74</v>
      </c>
    </row>
    <row r="3254" spans="9:9" x14ac:dyDescent="0.2">
      <c r="I3254" s="137" t="s">
        <v>74</v>
      </c>
    </row>
    <row r="3255" spans="9:9" x14ac:dyDescent="0.2">
      <c r="I3255" s="137" t="s">
        <v>74</v>
      </c>
    </row>
    <row r="3256" spans="9:9" x14ac:dyDescent="0.2">
      <c r="I3256" s="137" t="s">
        <v>74</v>
      </c>
    </row>
    <row r="3257" spans="9:9" x14ac:dyDescent="0.2">
      <c r="I3257" s="137" t="s">
        <v>74</v>
      </c>
    </row>
    <row r="3258" spans="9:9" x14ac:dyDescent="0.2">
      <c r="I3258" s="137" t="s">
        <v>74</v>
      </c>
    </row>
    <row r="3259" spans="9:9" x14ac:dyDescent="0.2">
      <c r="I3259" s="137" t="s">
        <v>74</v>
      </c>
    </row>
    <row r="3260" spans="9:9" x14ac:dyDescent="0.2">
      <c r="I3260" s="137" t="s">
        <v>74</v>
      </c>
    </row>
    <row r="3261" spans="9:9" x14ac:dyDescent="0.2">
      <c r="I3261" s="137" t="s">
        <v>74</v>
      </c>
    </row>
    <row r="3262" spans="9:9" x14ac:dyDescent="0.2">
      <c r="I3262" s="137" t="s">
        <v>74</v>
      </c>
    </row>
    <row r="3263" spans="9:9" x14ac:dyDescent="0.2">
      <c r="I3263" s="137" t="s">
        <v>74</v>
      </c>
    </row>
    <row r="3264" spans="9:9" x14ac:dyDescent="0.2">
      <c r="I3264" s="137" t="s">
        <v>74</v>
      </c>
    </row>
    <row r="3265" spans="9:9" x14ac:dyDescent="0.2">
      <c r="I3265" s="137" t="s">
        <v>74</v>
      </c>
    </row>
    <row r="3266" spans="9:9" x14ac:dyDescent="0.2">
      <c r="I3266" s="137" t="s">
        <v>74</v>
      </c>
    </row>
    <row r="3267" spans="9:9" x14ac:dyDescent="0.2">
      <c r="I3267" s="137" t="s">
        <v>74</v>
      </c>
    </row>
    <row r="3268" spans="9:9" x14ac:dyDescent="0.2">
      <c r="I3268" s="137" t="s">
        <v>74</v>
      </c>
    </row>
    <row r="3269" spans="9:9" x14ac:dyDescent="0.2">
      <c r="I3269" s="137" t="s">
        <v>74</v>
      </c>
    </row>
    <row r="3270" spans="9:9" x14ac:dyDescent="0.2">
      <c r="I3270" s="137" t="s">
        <v>74</v>
      </c>
    </row>
    <row r="3271" spans="9:9" x14ac:dyDescent="0.2">
      <c r="I3271" s="137" t="s">
        <v>74</v>
      </c>
    </row>
    <row r="3272" spans="9:9" x14ac:dyDescent="0.2">
      <c r="I3272" s="137" t="s">
        <v>74</v>
      </c>
    </row>
    <row r="3273" spans="9:9" x14ac:dyDescent="0.2">
      <c r="I3273" s="137" t="s">
        <v>74</v>
      </c>
    </row>
    <row r="3274" spans="9:9" x14ac:dyDescent="0.2">
      <c r="I3274" s="137" t="s">
        <v>74</v>
      </c>
    </row>
    <row r="3275" spans="9:9" x14ac:dyDescent="0.2">
      <c r="I3275" s="137" t="s">
        <v>74</v>
      </c>
    </row>
    <row r="3276" spans="9:9" x14ac:dyDescent="0.2">
      <c r="I3276" s="137" t="s">
        <v>74</v>
      </c>
    </row>
    <row r="3277" spans="9:9" x14ac:dyDescent="0.2">
      <c r="I3277" s="137" t="s">
        <v>74</v>
      </c>
    </row>
    <row r="3278" spans="9:9" x14ac:dyDescent="0.2">
      <c r="I3278" s="137" t="s">
        <v>74</v>
      </c>
    </row>
    <row r="3279" spans="9:9" x14ac:dyDescent="0.2">
      <c r="I3279" s="137" t="s">
        <v>74</v>
      </c>
    </row>
    <row r="3280" spans="9:9" x14ac:dyDescent="0.2">
      <c r="I3280" s="137" t="s">
        <v>74</v>
      </c>
    </row>
    <row r="3281" spans="9:9" x14ac:dyDescent="0.2">
      <c r="I3281" s="137" t="s">
        <v>74</v>
      </c>
    </row>
    <row r="3282" spans="9:9" x14ac:dyDescent="0.2">
      <c r="I3282" s="137" t="s">
        <v>74</v>
      </c>
    </row>
    <row r="3283" spans="9:9" x14ac:dyDescent="0.2">
      <c r="I3283" s="137" t="s">
        <v>74</v>
      </c>
    </row>
    <row r="3284" spans="9:9" x14ac:dyDescent="0.2">
      <c r="I3284" s="137" t="s">
        <v>74</v>
      </c>
    </row>
    <row r="3285" spans="9:9" x14ac:dyDescent="0.2">
      <c r="I3285" s="137" t="s">
        <v>74</v>
      </c>
    </row>
    <row r="3286" spans="9:9" x14ac:dyDescent="0.2">
      <c r="I3286" s="137" t="s">
        <v>74</v>
      </c>
    </row>
    <row r="3287" spans="9:9" x14ac:dyDescent="0.2">
      <c r="I3287" s="137" t="s">
        <v>74</v>
      </c>
    </row>
    <row r="3288" spans="9:9" x14ac:dyDescent="0.2">
      <c r="I3288" s="137" t="s">
        <v>74</v>
      </c>
    </row>
    <row r="3289" spans="9:9" x14ac:dyDescent="0.2">
      <c r="I3289" s="137" t="s">
        <v>74</v>
      </c>
    </row>
    <row r="3290" spans="9:9" x14ac:dyDescent="0.2">
      <c r="I3290" s="137" t="s">
        <v>74</v>
      </c>
    </row>
    <row r="3291" spans="9:9" x14ac:dyDescent="0.2">
      <c r="I3291" s="137" t="s">
        <v>74</v>
      </c>
    </row>
    <row r="3292" spans="9:9" x14ac:dyDescent="0.2">
      <c r="I3292" s="137" t="s">
        <v>74</v>
      </c>
    </row>
    <row r="3293" spans="9:9" x14ac:dyDescent="0.2">
      <c r="I3293" s="137" t="s">
        <v>74</v>
      </c>
    </row>
    <row r="3294" spans="9:9" x14ac:dyDescent="0.2">
      <c r="I3294" s="137" t="s">
        <v>74</v>
      </c>
    </row>
    <row r="3295" spans="9:9" x14ac:dyDescent="0.2">
      <c r="I3295" s="137" t="s">
        <v>74</v>
      </c>
    </row>
    <row r="3296" spans="9:9" x14ac:dyDescent="0.2">
      <c r="I3296" s="137" t="s">
        <v>74</v>
      </c>
    </row>
    <row r="3297" spans="9:9" x14ac:dyDescent="0.2">
      <c r="I3297" s="137" t="s">
        <v>74</v>
      </c>
    </row>
    <row r="3298" spans="9:9" x14ac:dyDescent="0.2">
      <c r="I3298" s="137" t="s">
        <v>74</v>
      </c>
    </row>
    <row r="3299" spans="9:9" x14ac:dyDescent="0.2">
      <c r="I3299" s="137" t="s">
        <v>74</v>
      </c>
    </row>
    <row r="3300" spans="9:9" x14ac:dyDescent="0.2">
      <c r="I3300" s="137" t="s">
        <v>74</v>
      </c>
    </row>
    <row r="3301" spans="9:9" x14ac:dyDescent="0.2">
      <c r="I3301" s="137" t="s">
        <v>74</v>
      </c>
    </row>
    <row r="3302" spans="9:9" x14ac:dyDescent="0.2">
      <c r="I3302" s="137" t="s">
        <v>74</v>
      </c>
    </row>
    <row r="3303" spans="9:9" x14ac:dyDescent="0.2">
      <c r="I3303" s="137" t="s">
        <v>74</v>
      </c>
    </row>
    <row r="3304" spans="9:9" x14ac:dyDescent="0.2">
      <c r="I3304" s="137" t="s">
        <v>74</v>
      </c>
    </row>
    <row r="3305" spans="9:9" x14ac:dyDescent="0.2">
      <c r="I3305" s="137" t="s">
        <v>74</v>
      </c>
    </row>
    <row r="3306" spans="9:9" x14ac:dyDescent="0.2">
      <c r="I3306" s="137" t="s">
        <v>74</v>
      </c>
    </row>
    <row r="3307" spans="9:9" x14ac:dyDescent="0.2">
      <c r="I3307" s="137" t="s">
        <v>74</v>
      </c>
    </row>
    <row r="3308" spans="9:9" x14ac:dyDescent="0.2">
      <c r="I3308" s="137" t="s">
        <v>74</v>
      </c>
    </row>
    <row r="3309" spans="9:9" x14ac:dyDescent="0.2">
      <c r="I3309" s="137" t="s">
        <v>74</v>
      </c>
    </row>
    <row r="3310" spans="9:9" x14ac:dyDescent="0.2">
      <c r="I3310" s="137" t="s">
        <v>74</v>
      </c>
    </row>
    <row r="3311" spans="9:9" x14ac:dyDescent="0.2">
      <c r="I3311" s="137" t="s">
        <v>74</v>
      </c>
    </row>
    <row r="3312" spans="9:9" x14ac:dyDescent="0.2">
      <c r="I3312" s="137" t="s">
        <v>74</v>
      </c>
    </row>
    <row r="3313" spans="9:9" x14ac:dyDescent="0.2">
      <c r="I3313" s="137" t="s">
        <v>74</v>
      </c>
    </row>
    <row r="3314" spans="9:9" x14ac:dyDescent="0.2">
      <c r="I3314" s="137" t="s">
        <v>74</v>
      </c>
    </row>
    <row r="3315" spans="9:9" x14ac:dyDescent="0.2">
      <c r="I3315" s="137" t="s">
        <v>74</v>
      </c>
    </row>
    <row r="3316" spans="9:9" x14ac:dyDescent="0.2">
      <c r="I3316" s="137" t="s">
        <v>74</v>
      </c>
    </row>
    <row r="3317" spans="9:9" x14ac:dyDescent="0.2">
      <c r="I3317" s="137" t="s">
        <v>74</v>
      </c>
    </row>
    <row r="3318" spans="9:9" x14ac:dyDescent="0.2">
      <c r="I3318" s="137" t="s">
        <v>74</v>
      </c>
    </row>
    <row r="3319" spans="9:9" x14ac:dyDescent="0.2">
      <c r="I3319" s="137" t="s">
        <v>74</v>
      </c>
    </row>
    <row r="3320" spans="9:9" x14ac:dyDescent="0.2">
      <c r="I3320" s="137" t="s">
        <v>74</v>
      </c>
    </row>
    <row r="3321" spans="9:9" x14ac:dyDescent="0.2">
      <c r="I3321" s="137" t="s">
        <v>74</v>
      </c>
    </row>
    <row r="3322" spans="9:9" x14ac:dyDescent="0.2">
      <c r="I3322" s="137" t="s">
        <v>74</v>
      </c>
    </row>
    <row r="3323" spans="9:9" x14ac:dyDescent="0.2">
      <c r="I3323" s="137" t="s">
        <v>74</v>
      </c>
    </row>
    <row r="3324" spans="9:9" x14ac:dyDescent="0.2">
      <c r="I3324" s="137" t="s">
        <v>74</v>
      </c>
    </row>
    <row r="3325" spans="9:9" x14ac:dyDescent="0.2">
      <c r="I3325" s="137" t="s">
        <v>74</v>
      </c>
    </row>
    <row r="3326" spans="9:9" x14ac:dyDescent="0.2">
      <c r="I3326" s="137" t="s">
        <v>74</v>
      </c>
    </row>
    <row r="3327" spans="9:9" x14ac:dyDescent="0.2">
      <c r="I3327" s="137" t="s">
        <v>74</v>
      </c>
    </row>
    <row r="3328" spans="9:9" x14ac:dyDescent="0.2">
      <c r="I3328" s="137" t="s">
        <v>74</v>
      </c>
    </row>
    <row r="3329" spans="9:9" x14ac:dyDescent="0.2">
      <c r="I3329" s="137" t="s">
        <v>74</v>
      </c>
    </row>
    <row r="3330" spans="9:9" x14ac:dyDescent="0.2">
      <c r="I3330" s="137" t="s">
        <v>74</v>
      </c>
    </row>
    <row r="3331" spans="9:9" x14ac:dyDescent="0.2">
      <c r="I3331" s="137" t="s">
        <v>74</v>
      </c>
    </row>
    <row r="3332" spans="9:9" x14ac:dyDescent="0.2">
      <c r="I3332" s="137" t="s">
        <v>74</v>
      </c>
    </row>
    <row r="3333" spans="9:9" x14ac:dyDescent="0.2">
      <c r="I3333" s="137" t="s">
        <v>74</v>
      </c>
    </row>
    <row r="3334" spans="9:9" x14ac:dyDescent="0.2">
      <c r="I3334" s="137" t="s">
        <v>74</v>
      </c>
    </row>
    <row r="3335" spans="9:9" x14ac:dyDescent="0.2">
      <c r="I3335" s="137" t="s">
        <v>74</v>
      </c>
    </row>
    <row r="3336" spans="9:9" x14ac:dyDescent="0.2">
      <c r="I3336" s="137" t="s">
        <v>74</v>
      </c>
    </row>
    <row r="3337" spans="9:9" x14ac:dyDescent="0.2">
      <c r="I3337" s="137" t="s">
        <v>74</v>
      </c>
    </row>
    <row r="3338" spans="9:9" x14ac:dyDescent="0.2">
      <c r="I3338" s="137" t="s">
        <v>74</v>
      </c>
    </row>
    <row r="3339" spans="9:9" x14ac:dyDescent="0.2">
      <c r="I3339" s="137" t="s">
        <v>74</v>
      </c>
    </row>
    <row r="3340" spans="9:9" x14ac:dyDescent="0.2">
      <c r="I3340" s="137" t="s">
        <v>74</v>
      </c>
    </row>
    <row r="3341" spans="9:9" x14ac:dyDescent="0.2">
      <c r="I3341" s="137" t="s">
        <v>74</v>
      </c>
    </row>
    <row r="3342" spans="9:9" x14ac:dyDescent="0.2">
      <c r="I3342" s="137" t="s">
        <v>74</v>
      </c>
    </row>
    <row r="3343" spans="9:9" x14ac:dyDescent="0.2">
      <c r="I3343" s="137" t="s">
        <v>74</v>
      </c>
    </row>
    <row r="3344" spans="9:9" x14ac:dyDescent="0.2">
      <c r="I3344" s="137" t="s">
        <v>74</v>
      </c>
    </row>
    <row r="3345" spans="9:9" x14ac:dyDescent="0.2">
      <c r="I3345" s="137" t="s">
        <v>74</v>
      </c>
    </row>
    <row r="3346" spans="9:9" x14ac:dyDescent="0.2">
      <c r="I3346" s="137" t="s">
        <v>74</v>
      </c>
    </row>
    <row r="3347" spans="9:9" x14ac:dyDescent="0.2">
      <c r="I3347" s="137" t="s">
        <v>74</v>
      </c>
    </row>
    <row r="3348" spans="9:9" x14ac:dyDescent="0.2">
      <c r="I3348" s="137" t="s">
        <v>74</v>
      </c>
    </row>
    <row r="3349" spans="9:9" x14ac:dyDescent="0.2">
      <c r="I3349" s="137" t="s">
        <v>74</v>
      </c>
    </row>
    <row r="3350" spans="9:9" x14ac:dyDescent="0.2">
      <c r="I3350" s="137" t="s">
        <v>74</v>
      </c>
    </row>
    <row r="3351" spans="9:9" x14ac:dyDescent="0.2">
      <c r="I3351" s="137" t="s">
        <v>74</v>
      </c>
    </row>
    <row r="3352" spans="9:9" x14ac:dyDescent="0.2">
      <c r="I3352" s="137" t="s">
        <v>74</v>
      </c>
    </row>
    <row r="3353" spans="9:9" x14ac:dyDescent="0.2">
      <c r="I3353" s="137" t="s">
        <v>74</v>
      </c>
    </row>
    <row r="3354" spans="9:9" x14ac:dyDescent="0.2">
      <c r="I3354" s="137" t="s">
        <v>74</v>
      </c>
    </row>
    <row r="3355" spans="9:9" x14ac:dyDescent="0.2">
      <c r="I3355" s="137" t="s">
        <v>74</v>
      </c>
    </row>
    <row r="3356" spans="9:9" x14ac:dyDescent="0.2">
      <c r="I3356" s="137" t="s">
        <v>74</v>
      </c>
    </row>
    <row r="3357" spans="9:9" x14ac:dyDescent="0.2">
      <c r="I3357" s="137" t="s">
        <v>74</v>
      </c>
    </row>
    <row r="3358" spans="9:9" x14ac:dyDescent="0.2">
      <c r="I3358" s="137" t="s">
        <v>74</v>
      </c>
    </row>
    <row r="3359" spans="9:9" x14ac:dyDescent="0.2">
      <c r="I3359" s="137" t="s">
        <v>74</v>
      </c>
    </row>
    <row r="3360" spans="9:9" x14ac:dyDescent="0.2">
      <c r="I3360" s="137" t="s">
        <v>74</v>
      </c>
    </row>
    <row r="3361" spans="9:9" x14ac:dyDescent="0.2">
      <c r="I3361" s="137" t="s">
        <v>74</v>
      </c>
    </row>
    <row r="3362" spans="9:9" x14ac:dyDescent="0.2">
      <c r="I3362" s="137" t="s">
        <v>74</v>
      </c>
    </row>
    <row r="3363" spans="9:9" x14ac:dyDescent="0.2">
      <c r="I3363" s="137" t="s">
        <v>74</v>
      </c>
    </row>
    <row r="3364" spans="9:9" x14ac:dyDescent="0.2">
      <c r="I3364" s="137" t="s">
        <v>74</v>
      </c>
    </row>
    <row r="3365" spans="9:9" x14ac:dyDescent="0.2">
      <c r="I3365" s="137" t="s">
        <v>74</v>
      </c>
    </row>
    <row r="3366" spans="9:9" x14ac:dyDescent="0.2">
      <c r="I3366" s="137" t="s">
        <v>74</v>
      </c>
    </row>
    <row r="3367" spans="9:9" x14ac:dyDescent="0.2">
      <c r="I3367" s="137" t="s">
        <v>74</v>
      </c>
    </row>
    <row r="3368" spans="9:9" x14ac:dyDescent="0.2">
      <c r="I3368" s="137" t="s">
        <v>74</v>
      </c>
    </row>
    <row r="3369" spans="9:9" x14ac:dyDescent="0.2">
      <c r="I3369" s="137" t="s">
        <v>74</v>
      </c>
    </row>
    <row r="3370" spans="9:9" x14ac:dyDescent="0.2">
      <c r="I3370" s="137" t="s">
        <v>74</v>
      </c>
    </row>
    <row r="3371" spans="9:9" x14ac:dyDescent="0.2">
      <c r="I3371" s="137" t="s">
        <v>74</v>
      </c>
    </row>
    <row r="3372" spans="9:9" x14ac:dyDescent="0.2">
      <c r="I3372" s="137" t="s">
        <v>74</v>
      </c>
    </row>
    <row r="3373" spans="9:9" x14ac:dyDescent="0.2">
      <c r="I3373" s="137" t="s">
        <v>74</v>
      </c>
    </row>
    <row r="3374" spans="9:9" x14ac:dyDescent="0.2">
      <c r="I3374" s="137" t="s">
        <v>74</v>
      </c>
    </row>
    <row r="3375" spans="9:9" x14ac:dyDescent="0.2">
      <c r="I3375" s="137" t="s">
        <v>74</v>
      </c>
    </row>
    <row r="3376" spans="9:9" x14ac:dyDescent="0.2">
      <c r="I3376" s="137" t="s">
        <v>74</v>
      </c>
    </row>
    <row r="3377" spans="9:9" x14ac:dyDescent="0.2">
      <c r="I3377" s="137" t="s">
        <v>74</v>
      </c>
    </row>
    <row r="3378" spans="9:9" x14ac:dyDescent="0.2">
      <c r="I3378" s="137" t="s">
        <v>74</v>
      </c>
    </row>
    <row r="3379" spans="9:9" x14ac:dyDescent="0.2">
      <c r="I3379" s="137" t="s">
        <v>74</v>
      </c>
    </row>
    <row r="3380" spans="9:9" x14ac:dyDescent="0.2">
      <c r="I3380" s="137" t="s">
        <v>74</v>
      </c>
    </row>
    <row r="3381" spans="9:9" x14ac:dyDescent="0.2">
      <c r="I3381" s="137" t="s">
        <v>74</v>
      </c>
    </row>
    <row r="3382" spans="9:9" x14ac:dyDescent="0.2">
      <c r="I3382" s="137" t="s">
        <v>74</v>
      </c>
    </row>
    <row r="3383" spans="9:9" x14ac:dyDescent="0.2">
      <c r="I3383" s="137" t="s">
        <v>74</v>
      </c>
    </row>
    <row r="3384" spans="9:9" x14ac:dyDescent="0.2">
      <c r="I3384" s="137" t="s">
        <v>74</v>
      </c>
    </row>
    <row r="3385" spans="9:9" x14ac:dyDescent="0.2">
      <c r="I3385" s="137" t="s">
        <v>74</v>
      </c>
    </row>
    <row r="3386" spans="9:9" x14ac:dyDescent="0.2">
      <c r="I3386" s="137" t="s">
        <v>74</v>
      </c>
    </row>
    <row r="3387" spans="9:9" x14ac:dyDescent="0.2">
      <c r="I3387" s="137" t="s">
        <v>74</v>
      </c>
    </row>
    <row r="3388" spans="9:9" x14ac:dyDescent="0.2">
      <c r="I3388" s="137" t="s">
        <v>74</v>
      </c>
    </row>
    <row r="3389" spans="9:9" x14ac:dyDescent="0.2">
      <c r="I3389" s="137" t="s">
        <v>74</v>
      </c>
    </row>
    <row r="3390" spans="9:9" x14ac:dyDescent="0.2">
      <c r="I3390" s="137" t="s">
        <v>74</v>
      </c>
    </row>
    <row r="3391" spans="9:9" x14ac:dyDescent="0.2">
      <c r="I3391" s="137" t="s">
        <v>74</v>
      </c>
    </row>
    <row r="3392" spans="9:9" x14ac:dyDescent="0.2">
      <c r="I3392" s="137" t="s">
        <v>74</v>
      </c>
    </row>
    <row r="3393" spans="9:9" x14ac:dyDescent="0.2">
      <c r="I3393" s="137" t="s">
        <v>74</v>
      </c>
    </row>
    <row r="3394" spans="9:9" x14ac:dyDescent="0.2">
      <c r="I3394" s="137" t="s">
        <v>74</v>
      </c>
    </row>
    <row r="3395" spans="9:9" x14ac:dyDescent="0.2">
      <c r="I3395" s="137" t="s">
        <v>74</v>
      </c>
    </row>
    <row r="3396" spans="9:9" x14ac:dyDescent="0.2">
      <c r="I3396" s="137" t="s">
        <v>74</v>
      </c>
    </row>
    <row r="3397" spans="9:9" x14ac:dyDescent="0.2">
      <c r="I3397" s="137" t="s">
        <v>74</v>
      </c>
    </row>
    <row r="3398" spans="9:9" x14ac:dyDescent="0.2">
      <c r="I3398" s="137" t="s">
        <v>74</v>
      </c>
    </row>
    <row r="3399" spans="9:9" x14ac:dyDescent="0.2">
      <c r="I3399" s="137" t="s">
        <v>74</v>
      </c>
    </row>
    <row r="3400" spans="9:9" x14ac:dyDescent="0.2">
      <c r="I3400" s="137" t="s">
        <v>74</v>
      </c>
    </row>
    <row r="3401" spans="9:9" x14ac:dyDescent="0.2">
      <c r="I3401" s="137" t="s">
        <v>74</v>
      </c>
    </row>
    <row r="3402" spans="9:9" x14ac:dyDescent="0.2">
      <c r="I3402" s="137" t="s">
        <v>74</v>
      </c>
    </row>
    <row r="3403" spans="9:9" x14ac:dyDescent="0.2">
      <c r="I3403" s="137" t="s">
        <v>74</v>
      </c>
    </row>
    <row r="3404" spans="9:9" x14ac:dyDescent="0.2">
      <c r="I3404" s="137" t="s">
        <v>74</v>
      </c>
    </row>
    <row r="3405" spans="9:9" x14ac:dyDescent="0.2">
      <c r="I3405" s="137" t="s">
        <v>74</v>
      </c>
    </row>
    <row r="3406" spans="9:9" x14ac:dyDescent="0.2">
      <c r="I3406" s="137" t="s">
        <v>74</v>
      </c>
    </row>
    <row r="3407" spans="9:9" x14ac:dyDescent="0.2">
      <c r="I3407" s="137" t="s">
        <v>74</v>
      </c>
    </row>
    <row r="3408" spans="9:9" x14ac:dyDescent="0.2">
      <c r="I3408" s="137" t="s">
        <v>74</v>
      </c>
    </row>
    <row r="3409" spans="9:9" x14ac:dyDescent="0.2">
      <c r="I3409" s="137" t="s">
        <v>74</v>
      </c>
    </row>
    <row r="3410" spans="9:9" x14ac:dyDescent="0.2">
      <c r="I3410" s="137" t="s">
        <v>74</v>
      </c>
    </row>
    <row r="3411" spans="9:9" x14ac:dyDescent="0.2">
      <c r="I3411" s="137" t="s">
        <v>74</v>
      </c>
    </row>
    <row r="3412" spans="9:9" x14ac:dyDescent="0.2">
      <c r="I3412" s="137" t="s">
        <v>74</v>
      </c>
    </row>
    <row r="3413" spans="9:9" x14ac:dyDescent="0.2">
      <c r="I3413" s="137" t="s">
        <v>74</v>
      </c>
    </row>
    <row r="3414" spans="9:9" x14ac:dyDescent="0.2">
      <c r="I3414" s="137" t="s">
        <v>74</v>
      </c>
    </row>
    <row r="3415" spans="9:9" x14ac:dyDescent="0.2">
      <c r="I3415" s="137" t="s">
        <v>74</v>
      </c>
    </row>
    <row r="3416" spans="9:9" x14ac:dyDescent="0.2">
      <c r="I3416" s="137" t="s">
        <v>74</v>
      </c>
    </row>
    <row r="3417" spans="9:9" x14ac:dyDescent="0.2">
      <c r="I3417" s="137" t="s">
        <v>74</v>
      </c>
    </row>
    <row r="3418" spans="9:9" x14ac:dyDescent="0.2">
      <c r="I3418" s="137" t="s">
        <v>74</v>
      </c>
    </row>
    <row r="3419" spans="9:9" x14ac:dyDescent="0.2">
      <c r="I3419" s="137" t="s">
        <v>74</v>
      </c>
    </row>
    <row r="3420" spans="9:9" x14ac:dyDescent="0.2">
      <c r="I3420" s="137" t="s">
        <v>74</v>
      </c>
    </row>
    <row r="3421" spans="9:9" x14ac:dyDescent="0.2">
      <c r="I3421" s="137" t="s">
        <v>74</v>
      </c>
    </row>
    <row r="3422" spans="9:9" x14ac:dyDescent="0.2">
      <c r="I3422" s="137" t="s">
        <v>74</v>
      </c>
    </row>
    <row r="3423" spans="9:9" x14ac:dyDescent="0.2">
      <c r="I3423" s="137" t="s">
        <v>74</v>
      </c>
    </row>
    <row r="3424" spans="9:9" x14ac:dyDescent="0.2">
      <c r="I3424" s="137" t="s">
        <v>74</v>
      </c>
    </row>
    <row r="3425" spans="9:9" x14ac:dyDescent="0.2">
      <c r="I3425" s="137" t="s">
        <v>74</v>
      </c>
    </row>
    <row r="3426" spans="9:9" x14ac:dyDescent="0.2">
      <c r="I3426" s="137" t="s">
        <v>74</v>
      </c>
    </row>
    <row r="3427" spans="9:9" x14ac:dyDescent="0.2">
      <c r="I3427" s="137" t="s">
        <v>74</v>
      </c>
    </row>
    <row r="3428" spans="9:9" x14ac:dyDescent="0.2">
      <c r="I3428" s="137" t="s">
        <v>74</v>
      </c>
    </row>
    <row r="3429" spans="9:9" x14ac:dyDescent="0.2">
      <c r="I3429" s="137" t="s">
        <v>74</v>
      </c>
    </row>
    <row r="3430" spans="9:9" x14ac:dyDescent="0.2">
      <c r="I3430" s="137" t="s">
        <v>74</v>
      </c>
    </row>
    <row r="3431" spans="9:9" x14ac:dyDescent="0.2">
      <c r="I3431" s="137" t="s">
        <v>74</v>
      </c>
    </row>
    <row r="3432" spans="9:9" x14ac:dyDescent="0.2">
      <c r="I3432" s="137" t="s">
        <v>74</v>
      </c>
    </row>
    <row r="3433" spans="9:9" x14ac:dyDescent="0.2">
      <c r="I3433" s="137" t="s">
        <v>74</v>
      </c>
    </row>
    <row r="3434" spans="9:9" x14ac:dyDescent="0.2">
      <c r="I3434" s="137" t="s">
        <v>74</v>
      </c>
    </row>
    <row r="3435" spans="9:9" x14ac:dyDescent="0.2">
      <c r="I3435" s="137" t="s">
        <v>74</v>
      </c>
    </row>
    <row r="3436" spans="9:9" x14ac:dyDescent="0.2">
      <c r="I3436" s="137" t="s">
        <v>74</v>
      </c>
    </row>
    <row r="3437" spans="9:9" x14ac:dyDescent="0.2">
      <c r="I3437" s="137" t="s">
        <v>74</v>
      </c>
    </row>
    <row r="3438" spans="9:9" x14ac:dyDescent="0.2">
      <c r="I3438" s="137" t="s">
        <v>74</v>
      </c>
    </row>
    <row r="3439" spans="9:9" x14ac:dyDescent="0.2">
      <c r="I3439" s="137" t="s">
        <v>74</v>
      </c>
    </row>
    <row r="3440" spans="9:9" x14ac:dyDescent="0.2">
      <c r="I3440" s="137" t="s">
        <v>74</v>
      </c>
    </row>
    <row r="3441" spans="9:9" x14ac:dyDescent="0.2">
      <c r="I3441" s="137" t="s">
        <v>74</v>
      </c>
    </row>
    <row r="3442" spans="9:9" x14ac:dyDescent="0.2">
      <c r="I3442" s="137" t="s">
        <v>74</v>
      </c>
    </row>
    <row r="3443" spans="9:9" x14ac:dyDescent="0.2">
      <c r="I3443" s="137" t="s">
        <v>74</v>
      </c>
    </row>
    <row r="3444" spans="9:9" x14ac:dyDescent="0.2">
      <c r="I3444" s="137" t="s">
        <v>74</v>
      </c>
    </row>
    <row r="3445" spans="9:9" x14ac:dyDescent="0.2">
      <c r="I3445" s="137" t="s">
        <v>74</v>
      </c>
    </row>
    <row r="3446" spans="9:9" x14ac:dyDescent="0.2">
      <c r="I3446" s="137" t="s">
        <v>74</v>
      </c>
    </row>
    <row r="3447" spans="9:9" x14ac:dyDescent="0.2">
      <c r="I3447" s="137" t="s">
        <v>74</v>
      </c>
    </row>
    <row r="3448" spans="9:9" x14ac:dyDescent="0.2">
      <c r="I3448" s="137" t="s">
        <v>74</v>
      </c>
    </row>
    <row r="3449" spans="9:9" x14ac:dyDescent="0.2">
      <c r="I3449" s="137" t="s">
        <v>74</v>
      </c>
    </row>
    <row r="3450" spans="9:9" x14ac:dyDescent="0.2">
      <c r="I3450" s="137" t="s">
        <v>74</v>
      </c>
    </row>
    <row r="3451" spans="9:9" x14ac:dyDescent="0.2">
      <c r="I3451" s="137" t="s">
        <v>74</v>
      </c>
    </row>
    <row r="3452" spans="9:9" x14ac:dyDescent="0.2">
      <c r="I3452" s="137" t="s">
        <v>74</v>
      </c>
    </row>
    <row r="3453" spans="9:9" x14ac:dyDescent="0.2">
      <c r="I3453" s="137" t="s">
        <v>74</v>
      </c>
    </row>
    <row r="3454" spans="9:9" x14ac:dyDescent="0.2">
      <c r="I3454" s="137" t="s">
        <v>74</v>
      </c>
    </row>
    <row r="3455" spans="9:9" x14ac:dyDescent="0.2">
      <c r="I3455" s="137" t="s">
        <v>74</v>
      </c>
    </row>
    <row r="3456" spans="9:9" x14ac:dyDescent="0.2">
      <c r="I3456" s="137" t="s">
        <v>74</v>
      </c>
    </row>
    <row r="3457" spans="9:9" x14ac:dyDescent="0.2">
      <c r="I3457" s="137" t="s">
        <v>74</v>
      </c>
    </row>
    <row r="3458" spans="9:9" x14ac:dyDescent="0.2">
      <c r="I3458" s="137" t="s">
        <v>74</v>
      </c>
    </row>
    <row r="3459" spans="9:9" x14ac:dyDescent="0.2">
      <c r="I3459" s="137" t="s">
        <v>74</v>
      </c>
    </row>
    <row r="3460" spans="9:9" x14ac:dyDescent="0.2">
      <c r="I3460" s="137" t="s">
        <v>74</v>
      </c>
    </row>
    <row r="3461" spans="9:9" x14ac:dyDescent="0.2">
      <c r="I3461" s="137" t="s">
        <v>74</v>
      </c>
    </row>
    <row r="3462" spans="9:9" x14ac:dyDescent="0.2">
      <c r="I3462" s="137" t="s">
        <v>74</v>
      </c>
    </row>
    <row r="3463" spans="9:9" x14ac:dyDescent="0.2">
      <c r="I3463" s="137" t="s">
        <v>74</v>
      </c>
    </row>
    <row r="3464" spans="9:9" x14ac:dyDescent="0.2">
      <c r="I3464" s="137" t="s">
        <v>74</v>
      </c>
    </row>
    <row r="3465" spans="9:9" x14ac:dyDescent="0.2">
      <c r="I3465" s="137" t="s">
        <v>74</v>
      </c>
    </row>
    <row r="3466" spans="9:9" x14ac:dyDescent="0.2">
      <c r="I3466" s="137" t="s">
        <v>74</v>
      </c>
    </row>
    <row r="3467" spans="9:9" x14ac:dyDescent="0.2">
      <c r="I3467" s="137" t="s">
        <v>74</v>
      </c>
    </row>
    <row r="3468" spans="9:9" x14ac:dyDescent="0.2">
      <c r="I3468" s="137" t="s">
        <v>74</v>
      </c>
    </row>
    <row r="3469" spans="9:9" x14ac:dyDescent="0.2">
      <c r="I3469" s="137" t="s">
        <v>74</v>
      </c>
    </row>
    <row r="3470" spans="9:9" x14ac:dyDescent="0.2">
      <c r="I3470" s="137" t="s">
        <v>74</v>
      </c>
    </row>
    <row r="3471" spans="9:9" x14ac:dyDescent="0.2">
      <c r="I3471" s="137" t="s">
        <v>74</v>
      </c>
    </row>
    <row r="3472" spans="9:9" x14ac:dyDescent="0.2">
      <c r="I3472" s="137" t="s">
        <v>74</v>
      </c>
    </row>
    <row r="3473" spans="9:9" x14ac:dyDescent="0.2">
      <c r="I3473" s="137" t="s">
        <v>74</v>
      </c>
    </row>
    <row r="3474" spans="9:9" x14ac:dyDescent="0.2">
      <c r="I3474" s="137" t="s">
        <v>74</v>
      </c>
    </row>
    <row r="3475" spans="9:9" x14ac:dyDescent="0.2">
      <c r="I3475" s="137" t="s">
        <v>74</v>
      </c>
    </row>
    <row r="3476" spans="9:9" x14ac:dyDescent="0.2">
      <c r="I3476" s="137" t="s">
        <v>74</v>
      </c>
    </row>
    <row r="3477" spans="9:9" x14ac:dyDescent="0.2">
      <c r="I3477" s="137" t="s">
        <v>74</v>
      </c>
    </row>
    <row r="3478" spans="9:9" x14ac:dyDescent="0.2">
      <c r="I3478" s="137" t="s">
        <v>74</v>
      </c>
    </row>
    <row r="3479" spans="9:9" x14ac:dyDescent="0.2">
      <c r="I3479" s="137" t="s">
        <v>74</v>
      </c>
    </row>
    <row r="3480" spans="9:9" x14ac:dyDescent="0.2">
      <c r="I3480" s="137" t="s">
        <v>74</v>
      </c>
    </row>
    <row r="3481" spans="9:9" x14ac:dyDescent="0.2">
      <c r="I3481" s="137" t="s">
        <v>74</v>
      </c>
    </row>
    <row r="3482" spans="9:9" x14ac:dyDescent="0.2">
      <c r="I3482" s="137" t="s">
        <v>74</v>
      </c>
    </row>
    <row r="3483" spans="9:9" x14ac:dyDescent="0.2">
      <c r="I3483" s="137" t="s">
        <v>74</v>
      </c>
    </row>
    <row r="3484" spans="9:9" x14ac:dyDescent="0.2">
      <c r="I3484" s="137" t="s">
        <v>74</v>
      </c>
    </row>
    <row r="3485" spans="9:9" x14ac:dyDescent="0.2">
      <c r="I3485" s="137" t="s">
        <v>74</v>
      </c>
    </row>
    <row r="3486" spans="9:9" x14ac:dyDescent="0.2">
      <c r="I3486" s="137" t="s">
        <v>74</v>
      </c>
    </row>
    <row r="3487" spans="9:9" x14ac:dyDescent="0.2">
      <c r="I3487" s="137" t="s">
        <v>74</v>
      </c>
    </row>
    <row r="3488" spans="9:9" x14ac:dyDescent="0.2">
      <c r="I3488" s="137" t="s">
        <v>74</v>
      </c>
    </row>
    <row r="3489" spans="9:9" x14ac:dyDescent="0.2">
      <c r="I3489" s="137" t="s">
        <v>74</v>
      </c>
    </row>
    <row r="3490" spans="9:9" x14ac:dyDescent="0.2">
      <c r="I3490" s="137" t="s">
        <v>74</v>
      </c>
    </row>
    <row r="3491" spans="9:9" x14ac:dyDescent="0.2">
      <c r="I3491" s="137" t="s">
        <v>74</v>
      </c>
    </row>
    <row r="3492" spans="9:9" x14ac:dyDescent="0.2">
      <c r="I3492" s="137" t="s">
        <v>74</v>
      </c>
    </row>
    <row r="3493" spans="9:9" x14ac:dyDescent="0.2">
      <c r="I3493" s="137" t="s">
        <v>74</v>
      </c>
    </row>
    <row r="3494" spans="9:9" x14ac:dyDescent="0.2">
      <c r="I3494" s="137" t="s">
        <v>74</v>
      </c>
    </row>
    <row r="3495" spans="9:9" x14ac:dyDescent="0.2">
      <c r="I3495" s="137" t="s">
        <v>74</v>
      </c>
    </row>
    <row r="3496" spans="9:9" x14ac:dyDescent="0.2">
      <c r="I3496" s="137" t="s">
        <v>74</v>
      </c>
    </row>
    <row r="3497" spans="9:9" x14ac:dyDescent="0.2">
      <c r="I3497" s="137" t="s">
        <v>74</v>
      </c>
    </row>
    <row r="3498" spans="9:9" x14ac:dyDescent="0.2">
      <c r="I3498" s="137" t="s">
        <v>74</v>
      </c>
    </row>
    <row r="3499" spans="9:9" x14ac:dyDescent="0.2">
      <c r="I3499" s="137" t="s">
        <v>74</v>
      </c>
    </row>
    <row r="3500" spans="9:9" x14ac:dyDescent="0.2">
      <c r="I3500" s="137" t="s">
        <v>74</v>
      </c>
    </row>
    <row r="3501" spans="9:9" x14ac:dyDescent="0.2">
      <c r="I3501" s="137" t="s">
        <v>74</v>
      </c>
    </row>
    <row r="3502" spans="9:9" x14ac:dyDescent="0.2">
      <c r="I3502" s="137" t="s">
        <v>74</v>
      </c>
    </row>
    <row r="3503" spans="9:9" x14ac:dyDescent="0.2">
      <c r="I3503" s="137" t="s">
        <v>74</v>
      </c>
    </row>
    <row r="3504" spans="9:9" x14ac:dyDescent="0.2">
      <c r="I3504" s="137" t="s">
        <v>74</v>
      </c>
    </row>
    <row r="3505" spans="9:9" x14ac:dyDescent="0.2">
      <c r="I3505" s="137" t="s">
        <v>74</v>
      </c>
    </row>
    <row r="3506" spans="9:9" x14ac:dyDescent="0.2">
      <c r="I3506" s="137" t="s">
        <v>74</v>
      </c>
    </row>
    <row r="3507" spans="9:9" x14ac:dyDescent="0.2">
      <c r="I3507" s="137" t="s">
        <v>74</v>
      </c>
    </row>
    <row r="3508" spans="9:9" x14ac:dyDescent="0.2">
      <c r="I3508" s="137" t="s">
        <v>74</v>
      </c>
    </row>
    <row r="3509" spans="9:9" x14ac:dyDescent="0.2">
      <c r="I3509" s="137" t="s">
        <v>74</v>
      </c>
    </row>
    <row r="3510" spans="9:9" x14ac:dyDescent="0.2">
      <c r="I3510" s="137" t="s">
        <v>74</v>
      </c>
    </row>
    <row r="3511" spans="9:9" x14ac:dyDescent="0.2">
      <c r="I3511" s="137" t="s">
        <v>74</v>
      </c>
    </row>
    <row r="3512" spans="9:9" x14ac:dyDescent="0.2">
      <c r="I3512" s="137" t="s">
        <v>74</v>
      </c>
    </row>
    <row r="3513" spans="9:9" x14ac:dyDescent="0.2">
      <c r="I3513" s="137" t="s">
        <v>74</v>
      </c>
    </row>
    <row r="3514" spans="9:9" x14ac:dyDescent="0.2">
      <c r="I3514" s="137" t="s">
        <v>74</v>
      </c>
    </row>
    <row r="3515" spans="9:9" x14ac:dyDescent="0.2">
      <c r="I3515" s="137" t="s">
        <v>74</v>
      </c>
    </row>
    <row r="3516" spans="9:9" x14ac:dyDescent="0.2">
      <c r="I3516" s="137" t="s">
        <v>74</v>
      </c>
    </row>
    <row r="3517" spans="9:9" x14ac:dyDescent="0.2">
      <c r="I3517" s="137" t="s">
        <v>74</v>
      </c>
    </row>
    <row r="3518" spans="9:9" x14ac:dyDescent="0.2">
      <c r="I3518" s="137" t="s">
        <v>74</v>
      </c>
    </row>
    <row r="3519" spans="9:9" x14ac:dyDescent="0.2">
      <c r="I3519" s="137" t="s">
        <v>74</v>
      </c>
    </row>
    <row r="3520" spans="9:9" x14ac:dyDescent="0.2">
      <c r="I3520" s="137" t="s">
        <v>74</v>
      </c>
    </row>
    <row r="3521" spans="9:9" x14ac:dyDescent="0.2">
      <c r="I3521" s="137" t="s">
        <v>74</v>
      </c>
    </row>
    <row r="3522" spans="9:9" x14ac:dyDescent="0.2">
      <c r="I3522" s="137" t="s">
        <v>74</v>
      </c>
    </row>
    <row r="3523" spans="9:9" x14ac:dyDescent="0.2">
      <c r="I3523" s="137" t="s">
        <v>74</v>
      </c>
    </row>
    <row r="3524" spans="9:9" x14ac:dyDescent="0.2">
      <c r="I3524" s="137" t="s">
        <v>74</v>
      </c>
    </row>
    <row r="3525" spans="9:9" x14ac:dyDescent="0.2">
      <c r="I3525" s="137" t="s">
        <v>74</v>
      </c>
    </row>
    <row r="3526" spans="9:9" x14ac:dyDescent="0.2">
      <c r="I3526" s="137" t="s">
        <v>74</v>
      </c>
    </row>
    <row r="3527" spans="9:9" x14ac:dyDescent="0.2">
      <c r="I3527" s="137" t="s">
        <v>74</v>
      </c>
    </row>
    <row r="3528" spans="9:9" x14ac:dyDescent="0.2">
      <c r="I3528" s="137" t="s">
        <v>74</v>
      </c>
    </row>
    <row r="3529" spans="9:9" x14ac:dyDescent="0.2">
      <c r="I3529" s="137" t="s">
        <v>74</v>
      </c>
    </row>
    <row r="3530" spans="9:9" x14ac:dyDescent="0.2">
      <c r="I3530" s="137" t="s">
        <v>74</v>
      </c>
    </row>
    <row r="3531" spans="9:9" x14ac:dyDescent="0.2">
      <c r="I3531" s="137" t="s">
        <v>74</v>
      </c>
    </row>
    <row r="3532" spans="9:9" x14ac:dyDescent="0.2">
      <c r="I3532" s="137" t="s">
        <v>74</v>
      </c>
    </row>
    <row r="3533" spans="9:9" x14ac:dyDescent="0.2">
      <c r="I3533" s="137" t="s">
        <v>74</v>
      </c>
    </row>
    <row r="3534" spans="9:9" x14ac:dyDescent="0.2">
      <c r="I3534" s="137" t="s">
        <v>74</v>
      </c>
    </row>
    <row r="3535" spans="9:9" x14ac:dyDescent="0.2">
      <c r="I3535" s="137" t="s">
        <v>74</v>
      </c>
    </row>
    <row r="3536" spans="9:9" x14ac:dyDescent="0.2">
      <c r="I3536" s="137" t="s">
        <v>74</v>
      </c>
    </row>
    <row r="3537" spans="9:9" x14ac:dyDescent="0.2">
      <c r="I3537" s="137" t="s">
        <v>74</v>
      </c>
    </row>
    <row r="3538" spans="9:9" x14ac:dyDescent="0.2">
      <c r="I3538" s="137" t="s">
        <v>74</v>
      </c>
    </row>
    <row r="3539" spans="9:9" x14ac:dyDescent="0.2">
      <c r="I3539" s="137" t="s">
        <v>74</v>
      </c>
    </row>
    <row r="3540" spans="9:9" x14ac:dyDescent="0.2">
      <c r="I3540" s="137" t="s">
        <v>74</v>
      </c>
    </row>
    <row r="3541" spans="9:9" x14ac:dyDescent="0.2">
      <c r="I3541" s="137" t="s">
        <v>74</v>
      </c>
    </row>
    <row r="3542" spans="9:9" x14ac:dyDescent="0.2">
      <c r="I3542" s="137" t="s">
        <v>74</v>
      </c>
    </row>
    <row r="3543" spans="9:9" x14ac:dyDescent="0.2">
      <c r="I3543" s="137" t="s">
        <v>74</v>
      </c>
    </row>
    <row r="3544" spans="9:9" x14ac:dyDescent="0.2">
      <c r="I3544" s="137" t="s">
        <v>74</v>
      </c>
    </row>
    <row r="3545" spans="9:9" x14ac:dyDescent="0.2">
      <c r="I3545" s="137" t="s">
        <v>74</v>
      </c>
    </row>
    <row r="3546" spans="9:9" x14ac:dyDescent="0.2">
      <c r="I3546" s="137" t="s">
        <v>74</v>
      </c>
    </row>
    <row r="3547" spans="9:9" x14ac:dyDescent="0.2">
      <c r="I3547" s="137" t="s">
        <v>74</v>
      </c>
    </row>
    <row r="3548" spans="9:9" x14ac:dyDescent="0.2">
      <c r="I3548" s="137" t="s">
        <v>74</v>
      </c>
    </row>
    <row r="3549" spans="9:9" x14ac:dyDescent="0.2">
      <c r="I3549" s="137" t="s">
        <v>74</v>
      </c>
    </row>
    <row r="3550" spans="9:9" x14ac:dyDescent="0.2">
      <c r="I3550" s="137" t="s">
        <v>74</v>
      </c>
    </row>
    <row r="3551" spans="9:9" x14ac:dyDescent="0.2">
      <c r="I3551" s="137" t="s">
        <v>74</v>
      </c>
    </row>
    <row r="3552" spans="9:9" x14ac:dyDescent="0.2">
      <c r="I3552" s="137" t="s">
        <v>74</v>
      </c>
    </row>
    <row r="3553" spans="9:9" x14ac:dyDescent="0.2">
      <c r="I3553" s="137" t="s">
        <v>74</v>
      </c>
    </row>
    <row r="3554" spans="9:9" x14ac:dyDescent="0.2">
      <c r="I3554" s="137" t="s">
        <v>74</v>
      </c>
    </row>
    <row r="3555" spans="9:9" x14ac:dyDescent="0.2">
      <c r="I3555" s="137" t="s">
        <v>74</v>
      </c>
    </row>
    <row r="3556" spans="9:9" x14ac:dyDescent="0.2">
      <c r="I3556" s="137" t="s">
        <v>74</v>
      </c>
    </row>
    <row r="3557" spans="9:9" x14ac:dyDescent="0.2">
      <c r="I3557" s="137" t="s">
        <v>74</v>
      </c>
    </row>
    <row r="3558" spans="9:9" x14ac:dyDescent="0.2">
      <c r="I3558" s="137" t="s">
        <v>74</v>
      </c>
    </row>
    <row r="3559" spans="9:9" x14ac:dyDescent="0.2">
      <c r="I3559" s="137" t="s">
        <v>74</v>
      </c>
    </row>
    <row r="3560" spans="9:9" x14ac:dyDescent="0.2">
      <c r="I3560" s="137" t="s">
        <v>74</v>
      </c>
    </row>
    <row r="3561" spans="9:9" x14ac:dyDescent="0.2">
      <c r="I3561" s="137" t="s">
        <v>74</v>
      </c>
    </row>
    <row r="3562" spans="9:9" x14ac:dyDescent="0.2">
      <c r="I3562" s="137" t="s">
        <v>74</v>
      </c>
    </row>
    <row r="3563" spans="9:9" x14ac:dyDescent="0.2">
      <c r="I3563" s="137" t="s">
        <v>74</v>
      </c>
    </row>
    <row r="3564" spans="9:9" x14ac:dyDescent="0.2">
      <c r="I3564" s="137" t="s">
        <v>74</v>
      </c>
    </row>
    <row r="3565" spans="9:9" x14ac:dyDescent="0.2">
      <c r="I3565" s="137" t="s">
        <v>74</v>
      </c>
    </row>
    <row r="3566" spans="9:9" x14ac:dyDescent="0.2">
      <c r="I3566" s="137" t="s">
        <v>74</v>
      </c>
    </row>
    <row r="3567" spans="9:9" x14ac:dyDescent="0.2">
      <c r="I3567" s="137" t="s">
        <v>74</v>
      </c>
    </row>
    <row r="3568" spans="9:9" x14ac:dyDescent="0.2">
      <c r="I3568" s="137" t="s">
        <v>74</v>
      </c>
    </row>
    <row r="3569" spans="9:9" x14ac:dyDescent="0.2">
      <c r="I3569" s="137" t="s">
        <v>74</v>
      </c>
    </row>
    <row r="3570" spans="9:9" x14ac:dyDescent="0.2">
      <c r="I3570" s="137" t="s">
        <v>74</v>
      </c>
    </row>
    <row r="3571" spans="9:9" x14ac:dyDescent="0.2">
      <c r="I3571" s="137" t="s">
        <v>74</v>
      </c>
    </row>
    <row r="3572" spans="9:9" x14ac:dyDescent="0.2">
      <c r="I3572" s="137" t="s">
        <v>74</v>
      </c>
    </row>
    <row r="3573" spans="9:9" x14ac:dyDescent="0.2">
      <c r="I3573" s="137" t="s">
        <v>74</v>
      </c>
    </row>
    <row r="3574" spans="9:9" x14ac:dyDescent="0.2">
      <c r="I3574" s="137" t="s">
        <v>74</v>
      </c>
    </row>
    <row r="3575" spans="9:9" x14ac:dyDescent="0.2">
      <c r="I3575" s="137" t="s">
        <v>74</v>
      </c>
    </row>
    <row r="3576" spans="9:9" x14ac:dyDescent="0.2">
      <c r="I3576" s="137" t="s">
        <v>74</v>
      </c>
    </row>
    <row r="3577" spans="9:9" x14ac:dyDescent="0.2">
      <c r="I3577" s="137" t="s">
        <v>74</v>
      </c>
    </row>
    <row r="3578" spans="9:9" x14ac:dyDescent="0.2">
      <c r="I3578" s="137" t="s">
        <v>74</v>
      </c>
    </row>
    <row r="3579" spans="9:9" x14ac:dyDescent="0.2">
      <c r="I3579" s="137" t="s">
        <v>74</v>
      </c>
    </row>
    <row r="3580" spans="9:9" x14ac:dyDescent="0.2">
      <c r="I3580" s="137" t="s">
        <v>74</v>
      </c>
    </row>
    <row r="3581" spans="9:9" x14ac:dyDescent="0.2">
      <c r="I3581" s="137" t="s">
        <v>74</v>
      </c>
    </row>
    <row r="3582" spans="9:9" x14ac:dyDescent="0.2">
      <c r="I3582" s="137" t="s">
        <v>74</v>
      </c>
    </row>
    <row r="3583" spans="9:9" x14ac:dyDescent="0.2">
      <c r="I3583" s="137" t="s">
        <v>74</v>
      </c>
    </row>
    <row r="3584" spans="9:9" x14ac:dyDescent="0.2">
      <c r="I3584" s="137" t="s">
        <v>74</v>
      </c>
    </row>
    <row r="3585" spans="9:9" x14ac:dyDescent="0.2">
      <c r="I3585" s="137" t="s">
        <v>74</v>
      </c>
    </row>
    <row r="3586" spans="9:9" x14ac:dyDescent="0.2">
      <c r="I3586" s="137" t="s">
        <v>74</v>
      </c>
    </row>
    <row r="3587" spans="9:9" x14ac:dyDescent="0.2">
      <c r="I3587" s="137" t="s">
        <v>74</v>
      </c>
    </row>
    <row r="3588" spans="9:9" x14ac:dyDescent="0.2">
      <c r="I3588" s="137" t="s">
        <v>74</v>
      </c>
    </row>
    <row r="3589" spans="9:9" x14ac:dyDescent="0.2">
      <c r="I3589" s="137" t="s">
        <v>74</v>
      </c>
    </row>
    <row r="3590" spans="9:9" x14ac:dyDescent="0.2">
      <c r="I3590" s="137" t="s">
        <v>74</v>
      </c>
    </row>
    <row r="3591" spans="9:9" x14ac:dyDescent="0.2">
      <c r="I3591" s="137" t="s">
        <v>74</v>
      </c>
    </row>
    <row r="3592" spans="9:9" x14ac:dyDescent="0.2">
      <c r="I3592" s="137" t="s">
        <v>74</v>
      </c>
    </row>
    <row r="3593" spans="9:9" x14ac:dyDescent="0.2">
      <c r="I3593" s="137" t="s">
        <v>74</v>
      </c>
    </row>
    <row r="3594" spans="9:9" x14ac:dyDescent="0.2">
      <c r="I3594" s="137" t="s">
        <v>74</v>
      </c>
    </row>
    <row r="3595" spans="9:9" x14ac:dyDescent="0.2">
      <c r="I3595" s="137" t="s">
        <v>74</v>
      </c>
    </row>
    <row r="3596" spans="9:9" x14ac:dyDescent="0.2">
      <c r="I3596" s="137" t="s">
        <v>74</v>
      </c>
    </row>
    <row r="3597" spans="9:9" x14ac:dyDescent="0.2">
      <c r="I3597" s="137" t="s">
        <v>74</v>
      </c>
    </row>
    <row r="3598" spans="9:9" x14ac:dyDescent="0.2">
      <c r="I3598" s="137" t="s">
        <v>74</v>
      </c>
    </row>
    <row r="3599" spans="9:9" x14ac:dyDescent="0.2">
      <c r="I3599" s="137" t="s">
        <v>74</v>
      </c>
    </row>
    <row r="3600" spans="9:9" x14ac:dyDescent="0.2">
      <c r="I3600" s="137" t="s">
        <v>74</v>
      </c>
    </row>
    <row r="3601" spans="9:9" x14ac:dyDescent="0.2">
      <c r="I3601" s="137" t="s">
        <v>74</v>
      </c>
    </row>
    <row r="3602" spans="9:9" x14ac:dyDescent="0.2">
      <c r="I3602" s="137" t="s">
        <v>74</v>
      </c>
    </row>
    <row r="3603" spans="9:9" x14ac:dyDescent="0.2">
      <c r="I3603" s="137" t="s">
        <v>74</v>
      </c>
    </row>
    <row r="3604" spans="9:9" x14ac:dyDescent="0.2">
      <c r="I3604" s="137" t="s">
        <v>74</v>
      </c>
    </row>
    <row r="3605" spans="9:9" x14ac:dyDescent="0.2">
      <c r="I3605" s="137" t="s">
        <v>74</v>
      </c>
    </row>
    <row r="3606" spans="9:9" x14ac:dyDescent="0.2">
      <c r="I3606" s="137" t="s">
        <v>74</v>
      </c>
    </row>
    <row r="3607" spans="9:9" x14ac:dyDescent="0.2">
      <c r="I3607" s="137" t="s">
        <v>74</v>
      </c>
    </row>
    <row r="3608" spans="9:9" x14ac:dyDescent="0.2">
      <c r="I3608" s="137" t="s">
        <v>74</v>
      </c>
    </row>
    <row r="3609" spans="9:9" x14ac:dyDescent="0.2">
      <c r="I3609" s="137" t="s">
        <v>74</v>
      </c>
    </row>
    <row r="3610" spans="9:9" x14ac:dyDescent="0.2">
      <c r="I3610" s="137" t="s">
        <v>74</v>
      </c>
    </row>
    <row r="3611" spans="9:9" x14ac:dyDescent="0.2">
      <c r="I3611" s="137" t="s">
        <v>74</v>
      </c>
    </row>
    <row r="3612" spans="9:9" x14ac:dyDescent="0.2">
      <c r="I3612" s="137" t="s">
        <v>74</v>
      </c>
    </row>
    <row r="3613" spans="9:9" x14ac:dyDescent="0.2">
      <c r="I3613" s="137" t="s">
        <v>74</v>
      </c>
    </row>
    <row r="3614" spans="9:9" x14ac:dyDescent="0.2">
      <c r="I3614" s="137" t="s">
        <v>74</v>
      </c>
    </row>
    <row r="3615" spans="9:9" x14ac:dyDescent="0.2">
      <c r="I3615" s="137" t="s">
        <v>74</v>
      </c>
    </row>
    <row r="3616" spans="9:9" x14ac:dyDescent="0.2">
      <c r="I3616" s="137" t="s">
        <v>74</v>
      </c>
    </row>
    <row r="3617" spans="9:9" x14ac:dyDescent="0.2">
      <c r="I3617" s="137" t="s">
        <v>74</v>
      </c>
    </row>
    <row r="3618" spans="9:9" x14ac:dyDescent="0.2">
      <c r="I3618" s="137" t="s">
        <v>74</v>
      </c>
    </row>
    <row r="3619" spans="9:9" x14ac:dyDescent="0.2">
      <c r="I3619" s="137" t="s">
        <v>74</v>
      </c>
    </row>
    <row r="3620" spans="9:9" x14ac:dyDescent="0.2">
      <c r="I3620" s="137" t="s">
        <v>74</v>
      </c>
    </row>
    <row r="3621" spans="9:9" x14ac:dyDescent="0.2">
      <c r="I3621" s="137" t="s">
        <v>74</v>
      </c>
    </row>
    <row r="3622" spans="9:9" x14ac:dyDescent="0.2">
      <c r="I3622" s="137" t="s">
        <v>74</v>
      </c>
    </row>
    <row r="3623" spans="9:9" x14ac:dyDescent="0.2">
      <c r="I3623" s="137" t="s">
        <v>74</v>
      </c>
    </row>
    <row r="3624" spans="9:9" x14ac:dyDescent="0.2">
      <c r="I3624" s="137" t="s">
        <v>74</v>
      </c>
    </row>
    <row r="3625" spans="9:9" x14ac:dyDescent="0.2">
      <c r="I3625" s="137" t="s">
        <v>74</v>
      </c>
    </row>
    <row r="3626" spans="9:9" x14ac:dyDescent="0.2">
      <c r="I3626" s="137" t="s">
        <v>74</v>
      </c>
    </row>
    <row r="3627" spans="9:9" x14ac:dyDescent="0.2">
      <c r="I3627" s="137" t="s">
        <v>74</v>
      </c>
    </row>
    <row r="3628" spans="9:9" x14ac:dyDescent="0.2">
      <c r="I3628" s="137" t="s">
        <v>74</v>
      </c>
    </row>
    <row r="3629" spans="9:9" x14ac:dyDescent="0.2">
      <c r="I3629" s="137" t="s">
        <v>74</v>
      </c>
    </row>
    <row r="3630" spans="9:9" x14ac:dyDescent="0.2">
      <c r="I3630" s="137" t="s">
        <v>74</v>
      </c>
    </row>
    <row r="3631" spans="9:9" x14ac:dyDescent="0.2">
      <c r="I3631" s="137" t="s">
        <v>74</v>
      </c>
    </row>
    <row r="3632" spans="9:9" x14ac:dyDescent="0.2">
      <c r="I3632" s="137" t="s">
        <v>74</v>
      </c>
    </row>
    <row r="3633" spans="9:9" x14ac:dyDescent="0.2">
      <c r="I3633" s="137" t="s">
        <v>74</v>
      </c>
    </row>
    <row r="3634" spans="9:9" x14ac:dyDescent="0.2">
      <c r="I3634" s="137" t="s">
        <v>74</v>
      </c>
    </row>
    <row r="3635" spans="9:9" x14ac:dyDescent="0.2">
      <c r="I3635" s="137" t="s">
        <v>74</v>
      </c>
    </row>
    <row r="3636" spans="9:9" x14ac:dyDescent="0.2">
      <c r="I3636" s="137" t="s">
        <v>74</v>
      </c>
    </row>
    <row r="3637" spans="9:9" x14ac:dyDescent="0.2">
      <c r="I3637" s="137" t="s">
        <v>74</v>
      </c>
    </row>
    <row r="3638" spans="9:9" x14ac:dyDescent="0.2">
      <c r="I3638" s="137" t="s">
        <v>74</v>
      </c>
    </row>
    <row r="3639" spans="9:9" x14ac:dyDescent="0.2">
      <c r="I3639" s="137" t="s">
        <v>74</v>
      </c>
    </row>
    <row r="3640" spans="9:9" x14ac:dyDescent="0.2">
      <c r="I3640" s="137" t="s">
        <v>74</v>
      </c>
    </row>
    <row r="3641" spans="9:9" x14ac:dyDescent="0.2">
      <c r="I3641" s="137" t="s">
        <v>74</v>
      </c>
    </row>
    <row r="3642" spans="9:9" x14ac:dyDescent="0.2">
      <c r="I3642" s="137" t="s">
        <v>74</v>
      </c>
    </row>
    <row r="3643" spans="9:9" x14ac:dyDescent="0.2">
      <c r="I3643" s="137" t="s">
        <v>74</v>
      </c>
    </row>
    <row r="3644" spans="9:9" x14ac:dyDescent="0.2">
      <c r="I3644" s="137" t="s">
        <v>74</v>
      </c>
    </row>
    <row r="3645" spans="9:9" x14ac:dyDescent="0.2">
      <c r="I3645" s="137" t="s">
        <v>74</v>
      </c>
    </row>
    <row r="3646" spans="9:9" x14ac:dyDescent="0.2">
      <c r="I3646" s="137" t="s">
        <v>74</v>
      </c>
    </row>
    <row r="3647" spans="9:9" x14ac:dyDescent="0.2">
      <c r="I3647" s="137" t="s">
        <v>74</v>
      </c>
    </row>
    <row r="3648" spans="9:9" x14ac:dyDescent="0.2">
      <c r="I3648" s="137" t="s">
        <v>74</v>
      </c>
    </row>
    <row r="3649" spans="9:9" x14ac:dyDescent="0.2">
      <c r="I3649" s="137" t="s">
        <v>74</v>
      </c>
    </row>
    <row r="3650" spans="9:9" x14ac:dyDescent="0.2">
      <c r="I3650" s="137" t="s">
        <v>74</v>
      </c>
    </row>
    <row r="3651" spans="9:9" x14ac:dyDescent="0.2">
      <c r="I3651" s="137" t="s">
        <v>74</v>
      </c>
    </row>
    <row r="3652" spans="9:9" x14ac:dyDescent="0.2">
      <c r="I3652" s="137" t="s">
        <v>74</v>
      </c>
    </row>
    <row r="3653" spans="9:9" x14ac:dyDescent="0.2">
      <c r="I3653" s="137" t="s">
        <v>74</v>
      </c>
    </row>
    <row r="3654" spans="9:9" x14ac:dyDescent="0.2">
      <c r="I3654" s="137" t="s">
        <v>74</v>
      </c>
    </row>
    <row r="3655" spans="9:9" x14ac:dyDescent="0.2">
      <c r="I3655" s="137" t="s">
        <v>74</v>
      </c>
    </row>
    <row r="3656" spans="9:9" x14ac:dyDescent="0.2">
      <c r="I3656" s="137" t="s">
        <v>74</v>
      </c>
    </row>
    <row r="3657" spans="9:9" x14ac:dyDescent="0.2">
      <c r="I3657" s="137" t="s">
        <v>74</v>
      </c>
    </row>
    <row r="3658" spans="9:9" x14ac:dyDescent="0.2">
      <c r="I3658" s="137" t="s">
        <v>74</v>
      </c>
    </row>
    <row r="3659" spans="9:9" x14ac:dyDescent="0.2">
      <c r="I3659" s="137" t="s">
        <v>74</v>
      </c>
    </row>
    <row r="3660" spans="9:9" x14ac:dyDescent="0.2">
      <c r="I3660" s="137" t="s">
        <v>74</v>
      </c>
    </row>
    <row r="3661" spans="9:9" x14ac:dyDescent="0.2">
      <c r="I3661" s="137" t="s">
        <v>74</v>
      </c>
    </row>
    <row r="3662" spans="9:9" x14ac:dyDescent="0.2">
      <c r="I3662" s="137" t="s">
        <v>74</v>
      </c>
    </row>
    <row r="3663" spans="9:9" x14ac:dyDescent="0.2">
      <c r="I3663" s="137" t="s">
        <v>74</v>
      </c>
    </row>
    <row r="3664" spans="9:9" x14ac:dyDescent="0.2">
      <c r="I3664" s="137" t="s">
        <v>74</v>
      </c>
    </row>
    <row r="3665" spans="9:9" x14ac:dyDescent="0.2">
      <c r="I3665" s="137" t="s">
        <v>74</v>
      </c>
    </row>
    <row r="3666" spans="9:9" x14ac:dyDescent="0.2">
      <c r="I3666" s="137" t="s">
        <v>74</v>
      </c>
    </row>
    <row r="3667" spans="9:9" x14ac:dyDescent="0.2">
      <c r="I3667" s="137" t="s">
        <v>74</v>
      </c>
    </row>
    <row r="3668" spans="9:9" x14ac:dyDescent="0.2">
      <c r="I3668" s="137" t="s">
        <v>74</v>
      </c>
    </row>
    <row r="3669" spans="9:9" x14ac:dyDescent="0.2">
      <c r="I3669" s="137" t="s">
        <v>74</v>
      </c>
    </row>
    <row r="3670" spans="9:9" x14ac:dyDescent="0.2">
      <c r="I3670" s="137" t="s">
        <v>74</v>
      </c>
    </row>
    <row r="3671" spans="9:9" x14ac:dyDescent="0.2">
      <c r="I3671" s="137" t="s">
        <v>74</v>
      </c>
    </row>
    <row r="3672" spans="9:9" x14ac:dyDescent="0.2">
      <c r="I3672" s="137" t="s">
        <v>74</v>
      </c>
    </row>
    <row r="3673" spans="9:9" x14ac:dyDescent="0.2">
      <c r="I3673" s="137" t="s">
        <v>74</v>
      </c>
    </row>
    <row r="3674" spans="9:9" x14ac:dyDescent="0.2">
      <c r="I3674" s="137" t="s">
        <v>74</v>
      </c>
    </row>
    <row r="3675" spans="9:9" x14ac:dyDescent="0.2">
      <c r="I3675" s="137" t="s">
        <v>74</v>
      </c>
    </row>
    <row r="3676" spans="9:9" x14ac:dyDescent="0.2">
      <c r="I3676" s="137" t="s">
        <v>74</v>
      </c>
    </row>
    <row r="3677" spans="9:9" x14ac:dyDescent="0.2">
      <c r="I3677" s="137" t="s">
        <v>74</v>
      </c>
    </row>
    <row r="3678" spans="9:9" x14ac:dyDescent="0.2">
      <c r="I3678" s="137" t="s">
        <v>74</v>
      </c>
    </row>
    <row r="3679" spans="9:9" x14ac:dyDescent="0.2">
      <c r="I3679" s="137" t="s">
        <v>74</v>
      </c>
    </row>
    <row r="3680" spans="9:9" x14ac:dyDescent="0.2">
      <c r="I3680" s="137" t="s">
        <v>74</v>
      </c>
    </row>
    <row r="3681" spans="9:9" x14ac:dyDescent="0.2">
      <c r="I3681" s="137" t="s">
        <v>74</v>
      </c>
    </row>
    <row r="3682" spans="9:9" x14ac:dyDescent="0.2">
      <c r="I3682" s="137" t="s">
        <v>74</v>
      </c>
    </row>
    <row r="3683" spans="9:9" x14ac:dyDescent="0.2">
      <c r="I3683" s="137" t="s">
        <v>74</v>
      </c>
    </row>
    <row r="3684" spans="9:9" x14ac:dyDescent="0.2">
      <c r="I3684" s="137" t="s">
        <v>74</v>
      </c>
    </row>
    <row r="3685" spans="9:9" x14ac:dyDescent="0.2">
      <c r="I3685" s="137" t="s">
        <v>74</v>
      </c>
    </row>
    <row r="3686" spans="9:9" x14ac:dyDescent="0.2">
      <c r="I3686" s="137" t="s">
        <v>74</v>
      </c>
    </row>
    <row r="3687" spans="9:9" x14ac:dyDescent="0.2">
      <c r="I3687" s="137" t="s">
        <v>74</v>
      </c>
    </row>
    <row r="3688" spans="9:9" x14ac:dyDescent="0.2">
      <c r="I3688" s="137" t="s">
        <v>74</v>
      </c>
    </row>
    <row r="3689" spans="9:9" x14ac:dyDescent="0.2">
      <c r="I3689" s="137" t="s">
        <v>74</v>
      </c>
    </row>
    <row r="3690" spans="9:9" x14ac:dyDescent="0.2">
      <c r="I3690" s="137" t="s">
        <v>74</v>
      </c>
    </row>
    <row r="3691" spans="9:9" x14ac:dyDescent="0.2">
      <c r="I3691" s="137" t="s">
        <v>74</v>
      </c>
    </row>
    <row r="3692" spans="9:9" x14ac:dyDescent="0.2">
      <c r="I3692" s="137" t="s">
        <v>74</v>
      </c>
    </row>
    <row r="3693" spans="9:9" x14ac:dyDescent="0.2">
      <c r="I3693" s="137" t="s">
        <v>74</v>
      </c>
    </row>
    <row r="3694" spans="9:9" x14ac:dyDescent="0.2">
      <c r="I3694" s="137" t="s">
        <v>74</v>
      </c>
    </row>
    <row r="3695" spans="9:9" x14ac:dyDescent="0.2">
      <c r="I3695" s="137" t="s">
        <v>74</v>
      </c>
    </row>
    <row r="3696" spans="9:9" x14ac:dyDescent="0.2">
      <c r="I3696" s="137" t="s">
        <v>74</v>
      </c>
    </row>
    <row r="3697" spans="9:9" x14ac:dyDescent="0.2">
      <c r="I3697" s="137" t="s">
        <v>74</v>
      </c>
    </row>
    <row r="3698" spans="9:9" x14ac:dyDescent="0.2">
      <c r="I3698" s="137" t="s">
        <v>74</v>
      </c>
    </row>
    <row r="3699" spans="9:9" x14ac:dyDescent="0.2">
      <c r="I3699" s="137" t="s">
        <v>74</v>
      </c>
    </row>
    <row r="3700" spans="9:9" x14ac:dyDescent="0.2">
      <c r="I3700" s="137" t="s">
        <v>74</v>
      </c>
    </row>
    <row r="3701" spans="9:9" x14ac:dyDescent="0.2">
      <c r="I3701" s="137" t="s">
        <v>74</v>
      </c>
    </row>
    <row r="3702" spans="9:9" x14ac:dyDescent="0.2">
      <c r="I3702" s="137" t="s">
        <v>74</v>
      </c>
    </row>
    <row r="3703" spans="9:9" x14ac:dyDescent="0.2">
      <c r="I3703" s="137" t="s">
        <v>74</v>
      </c>
    </row>
    <row r="3704" spans="9:9" x14ac:dyDescent="0.2">
      <c r="I3704" s="137" t="s">
        <v>74</v>
      </c>
    </row>
    <row r="3705" spans="9:9" x14ac:dyDescent="0.2">
      <c r="I3705" s="137" t="s">
        <v>74</v>
      </c>
    </row>
    <row r="3706" spans="9:9" x14ac:dyDescent="0.2">
      <c r="I3706" s="137" t="s">
        <v>74</v>
      </c>
    </row>
    <row r="3707" spans="9:9" x14ac:dyDescent="0.2">
      <c r="I3707" s="137" t="s">
        <v>74</v>
      </c>
    </row>
    <row r="3708" spans="9:9" x14ac:dyDescent="0.2">
      <c r="I3708" s="137" t="s">
        <v>74</v>
      </c>
    </row>
    <row r="3709" spans="9:9" x14ac:dyDescent="0.2">
      <c r="I3709" s="137" t="s">
        <v>74</v>
      </c>
    </row>
    <row r="3710" spans="9:9" x14ac:dyDescent="0.2">
      <c r="I3710" s="137" t="s">
        <v>74</v>
      </c>
    </row>
    <row r="3711" spans="9:9" x14ac:dyDescent="0.2">
      <c r="I3711" s="137" t="s">
        <v>74</v>
      </c>
    </row>
    <row r="3712" spans="9:9" x14ac:dyDescent="0.2">
      <c r="I3712" s="137" t="s">
        <v>74</v>
      </c>
    </row>
    <row r="3713" spans="9:9" x14ac:dyDescent="0.2">
      <c r="I3713" s="137" t="s">
        <v>74</v>
      </c>
    </row>
    <row r="3714" spans="9:9" x14ac:dyDescent="0.2">
      <c r="I3714" s="137" t="s">
        <v>74</v>
      </c>
    </row>
    <row r="3715" spans="9:9" x14ac:dyDescent="0.2">
      <c r="I3715" s="137" t="s">
        <v>74</v>
      </c>
    </row>
    <row r="3716" spans="9:9" x14ac:dyDescent="0.2">
      <c r="I3716" s="137" t="s">
        <v>74</v>
      </c>
    </row>
    <row r="3717" spans="9:9" x14ac:dyDescent="0.2">
      <c r="I3717" s="137" t="s">
        <v>74</v>
      </c>
    </row>
    <row r="3718" spans="9:9" x14ac:dyDescent="0.2">
      <c r="I3718" s="137" t="s">
        <v>74</v>
      </c>
    </row>
    <row r="3719" spans="9:9" x14ac:dyDescent="0.2">
      <c r="I3719" s="137" t="s">
        <v>74</v>
      </c>
    </row>
    <row r="3720" spans="9:9" x14ac:dyDescent="0.2">
      <c r="I3720" s="137" t="s">
        <v>74</v>
      </c>
    </row>
    <row r="3721" spans="9:9" x14ac:dyDescent="0.2">
      <c r="I3721" s="137" t="s">
        <v>74</v>
      </c>
    </row>
    <row r="3722" spans="9:9" x14ac:dyDescent="0.2">
      <c r="I3722" s="137" t="s">
        <v>74</v>
      </c>
    </row>
    <row r="3723" spans="9:9" x14ac:dyDescent="0.2">
      <c r="I3723" s="137" t="s">
        <v>74</v>
      </c>
    </row>
    <row r="3724" spans="9:9" x14ac:dyDescent="0.2">
      <c r="I3724" s="137" t="s">
        <v>74</v>
      </c>
    </row>
    <row r="3725" spans="9:9" x14ac:dyDescent="0.2">
      <c r="I3725" s="137" t="s">
        <v>74</v>
      </c>
    </row>
    <row r="3726" spans="9:9" x14ac:dyDescent="0.2">
      <c r="I3726" s="137" t="s">
        <v>74</v>
      </c>
    </row>
    <row r="3727" spans="9:9" x14ac:dyDescent="0.2">
      <c r="I3727" s="137" t="s">
        <v>74</v>
      </c>
    </row>
    <row r="3728" spans="9:9" x14ac:dyDescent="0.2">
      <c r="I3728" s="137" t="s">
        <v>74</v>
      </c>
    </row>
    <row r="3729" spans="9:9" x14ac:dyDescent="0.2">
      <c r="I3729" s="137" t="s">
        <v>74</v>
      </c>
    </row>
    <row r="3730" spans="9:9" x14ac:dyDescent="0.2">
      <c r="I3730" s="137" t="s">
        <v>74</v>
      </c>
    </row>
    <row r="3731" spans="9:9" x14ac:dyDescent="0.2">
      <c r="I3731" s="137" t="s">
        <v>74</v>
      </c>
    </row>
    <row r="3732" spans="9:9" x14ac:dyDescent="0.2">
      <c r="I3732" s="137" t="s">
        <v>74</v>
      </c>
    </row>
    <row r="3733" spans="9:9" x14ac:dyDescent="0.2">
      <c r="I3733" s="137" t="s">
        <v>74</v>
      </c>
    </row>
    <row r="3734" spans="9:9" x14ac:dyDescent="0.2">
      <c r="I3734" s="137" t="s">
        <v>74</v>
      </c>
    </row>
    <row r="3735" spans="9:9" x14ac:dyDescent="0.2">
      <c r="I3735" s="137" t="s">
        <v>74</v>
      </c>
    </row>
    <row r="3736" spans="9:9" x14ac:dyDescent="0.2">
      <c r="I3736" s="137" t="s">
        <v>74</v>
      </c>
    </row>
    <row r="3737" spans="9:9" x14ac:dyDescent="0.2">
      <c r="I3737" s="137" t="s">
        <v>74</v>
      </c>
    </row>
    <row r="3738" spans="9:9" x14ac:dyDescent="0.2">
      <c r="I3738" s="137" t="s">
        <v>74</v>
      </c>
    </row>
    <row r="3739" spans="9:9" x14ac:dyDescent="0.2">
      <c r="I3739" s="137" t="s">
        <v>74</v>
      </c>
    </row>
    <row r="3740" spans="9:9" x14ac:dyDescent="0.2">
      <c r="I3740" s="137" t="s">
        <v>74</v>
      </c>
    </row>
    <row r="3741" spans="9:9" x14ac:dyDescent="0.2">
      <c r="I3741" s="137" t="s">
        <v>74</v>
      </c>
    </row>
    <row r="3742" spans="9:9" x14ac:dyDescent="0.2">
      <c r="I3742" s="137" t="s">
        <v>74</v>
      </c>
    </row>
    <row r="3743" spans="9:9" x14ac:dyDescent="0.2">
      <c r="I3743" s="137" t="s">
        <v>74</v>
      </c>
    </row>
    <row r="3744" spans="9:9" x14ac:dyDescent="0.2">
      <c r="I3744" s="137" t="s">
        <v>74</v>
      </c>
    </row>
    <row r="3745" spans="9:9" x14ac:dyDescent="0.2">
      <c r="I3745" s="137" t="s">
        <v>74</v>
      </c>
    </row>
    <row r="3746" spans="9:9" x14ac:dyDescent="0.2">
      <c r="I3746" s="137" t="s">
        <v>74</v>
      </c>
    </row>
    <row r="3747" spans="9:9" x14ac:dyDescent="0.2">
      <c r="I3747" s="137" t="s">
        <v>74</v>
      </c>
    </row>
    <row r="3748" spans="9:9" x14ac:dyDescent="0.2">
      <c r="I3748" s="137" t="s">
        <v>74</v>
      </c>
    </row>
    <row r="3749" spans="9:9" x14ac:dyDescent="0.2">
      <c r="I3749" s="137" t="s">
        <v>74</v>
      </c>
    </row>
    <row r="3750" spans="9:9" x14ac:dyDescent="0.2">
      <c r="I3750" s="137" t="s">
        <v>74</v>
      </c>
    </row>
    <row r="3751" spans="9:9" x14ac:dyDescent="0.2">
      <c r="I3751" s="137" t="s">
        <v>74</v>
      </c>
    </row>
    <row r="3752" spans="9:9" x14ac:dyDescent="0.2">
      <c r="I3752" s="137" t="s">
        <v>74</v>
      </c>
    </row>
    <row r="3753" spans="9:9" x14ac:dyDescent="0.2">
      <c r="I3753" s="137" t="s">
        <v>74</v>
      </c>
    </row>
    <row r="3754" spans="9:9" x14ac:dyDescent="0.2">
      <c r="I3754" s="137" t="s">
        <v>74</v>
      </c>
    </row>
    <row r="3755" spans="9:9" x14ac:dyDescent="0.2">
      <c r="I3755" s="137" t="s">
        <v>74</v>
      </c>
    </row>
    <row r="3756" spans="9:9" x14ac:dyDescent="0.2">
      <c r="I3756" s="137" t="s">
        <v>74</v>
      </c>
    </row>
    <row r="3757" spans="9:9" x14ac:dyDescent="0.2">
      <c r="I3757" s="137" t="s">
        <v>74</v>
      </c>
    </row>
    <row r="3758" spans="9:9" x14ac:dyDescent="0.2">
      <c r="I3758" s="137" t="s">
        <v>74</v>
      </c>
    </row>
    <row r="3759" spans="9:9" x14ac:dyDescent="0.2">
      <c r="I3759" s="137" t="s">
        <v>74</v>
      </c>
    </row>
    <row r="3760" spans="9:9" x14ac:dyDescent="0.2">
      <c r="I3760" s="137" t="s">
        <v>74</v>
      </c>
    </row>
    <row r="3761" spans="9:9" x14ac:dyDescent="0.2">
      <c r="I3761" s="137" t="s">
        <v>74</v>
      </c>
    </row>
    <row r="3762" spans="9:9" x14ac:dyDescent="0.2">
      <c r="I3762" s="137" t="s">
        <v>74</v>
      </c>
    </row>
    <row r="3763" spans="9:9" x14ac:dyDescent="0.2">
      <c r="I3763" s="137" t="s">
        <v>74</v>
      </c>
    </row>
    <row r="3764" spans="9:9" x14ac:dyDescent="0.2">
      <c r="I3764" s="137" t="s">
        <v>74</v>
      </c>
    </row>
    <row r="3765" spans="9:9" x14ac:dyDescent="0.2">
      <c r="I3765" s="137" t="s">
        <v>74</v>
      </c>
    </row>
    <row r="3766" spans="9:9" x14ac:dyDescent="0.2">
      <c r="I3766" s="137" t="s">
        <v>74</v>
      </c>
    </row>
    <row r="3767" spans="9:9" x14ac:dyDescent="0.2">
      <c r="I3767" s="137" t="s">
        <v>74</v>
      </c>
    </row>
    <row r="3768" spans="9:9" x14ac:dyDescent="0.2">
      <c r="I3768" s="137" t="s">
        <v>74</v>
      </c>
    </row>
    <row r="3769" spans="9:9" x14ac:dyDescent="0.2">
      <c r="I3769" s="137" t="s">
        <v>74</v>
      </c>
    </row>
    <row r="3770" spans="9:9" x14ac:dyDescent="0.2">
      <c r="I3770" s="137" t="s">
        <v>74</v>
      </c>
    </row>
    <row r="3771" spans="9:9" x14ac:dyDescent="0.2">
      <c r="I3771" s="137" t="s">
        <v>74</v>
      </c>
    </row>
    <row r="3772" spans="9:9" x14ac:dyDescent="0.2">
      <c r="I3772" s="137" t="s">
        <v>74</v>
      </c>
    </row>
    <row r="3773" spans="9:9" x14ac:dyDescent="0.2">
      <c r="I3773" s="137" t="s">
        <v>74</v>
      </c>
    </row>
    <row r="3774" spans="9:9" x14ac:dyDescent="0.2">
      <c r="I3774" s="137" t="s">
        <v>74</v>
      </c>
    </row>
    <row r="3775" spans="9:9" x14ac:dyDescent="0.2">
      <c r="I3775" s="137" t="s">
        <v>74</v>
      </c>
    </row>
    <row r="3776" spans="9:9" x14ac:dyDescent="0.2">
      <c r="I3776" s="137" t="s">
        <v>74</v>
      </c>
    </row>
    <row r="3777" spans="9:9" x14ac:dyDescent="0.2">
      <c r="I3777" s="137" t="s">
        <v>74</v>
      </c>
    </row>
    <row r="3778" spans="9:9" x14ac:dyDescent="0.2">
      <c r="I3778" s="137" t="s">
        <v>74</v>
      </c>
    </row>
    <row r="3779" spans="9:9" x14ac:dyDescent="0.2">
      <c r="I3779" s="137" t="s">
        <v>74</v>
      </c>
    </row>
    <row r="3780" spans="9:9" x14ac:dyDescent="0.2">
      <c r="I3780" s="137" t="s">
        <v>74</v>
      </c>
    </row>
    <row r="3781" spans="9:9" x14ac:dyDescent="0.2">
      <c r="I3781" s="137" t="s">
        <v>74</v>
      </c>
    </row>
    <row r="3782" spans="9:9" x14ac:dyDescent="0.2">
      <c r="I3782" s="137" t="s">
        <v>74</v>
      </c>
    </row>
    <row r="3783" spans="9:9" x14ac:dyDescent="0.2">
      <c r="I3783" s="137" t="s">
        <v>74</v>
      </c>
    </row>
    <row r="3784" spans="9:9" x14ac:dyDescent="0.2">
      <c r="I3784" s="137" t="s">
        <v>74</v>
      </c>
    </row>
    <row r="3785" spans="9:9" x14ac:dyDescent="0.2">
      <c r="I3785" s="137" t="s">
        <v>74</v>
      </c>
    </row>
    <row r="3786" spans="9:9" x14ac:dyDescent="0.2">
      <c r="I3786" s="137" t="s">
        <v>74</v>
      </c>
    </row>
    <row r="3787" spans="9:9" x14ac:dyDescent="0.2">
      <c r="I3787" s="137" t="s">
        <v>74</v>
      </c>
    </row>
    <row r="3788" spans="9:9" x14ac:dyDescent="0.2">
      <c r="I3788" s="137" t="s">
        <v>74</v>
      </c>
    </row>
    <row r="3789" spans="9:9" x14ac:dyDescent="0.2">
      <c r="I3789" s="137" t="s">
        <v>74</v>
      </c>
    </row>
    <row r="3790" spans="9:9" x14ac:dyDescent="0.2">
      <c r="I3790" s="137" t="s">
        <v>74</v>
      </c>
    </row>
    <row r="3791" spans="9:9" x14ac:dyDescent="0.2">
      <c r="I3791" s="137" t="s">
        <v>74</v>
      </c>
    </row>
    <row r="3792" spans="9:9" x14ac:dyDescent="0.2">
      <c r="I3792" s="137" t="s">
        <v>74</v>
      </c>
    </row>
    <row r="3793" spans="9:9" x14ac:dyDescent="0.2">
      <c r="I3793" s="137" t="s">
        <v>74</v>
      </c>
    </row>
    <row r="3794" spans="9:9" x14ac:dyDescent="0.2">
      <c r="I3794" s="137" t="s">
        <v>74</v>
      </c>
    </row>
    <row r="3795" spans="9:9" x14ac:dyDescent="0.2">
      <c r="I3795" s="137" t="s">
        <v>74</v>
      </c>
    </row>
    <row r="3796" spans="9:9" x14ac:dyDescent="0.2">
      <c r="I3796" s="137" t="s">
        <v>74</v>
      </c>
    </row>
    <row r="3797" spans="9:9" x14ac:dyDescent="0.2">
      <c r="I3797" s="137" t="s">
        <v>74</v>
      </c>
    </row>
    <row r="3798" spans="9:9" x14ac:dyDescent="0.2">
      <c r="I3798" s="137" t="s">
        <v>74</v>
      </c>
    </row>
    <row r="3799" spans="9:9" x14ac:dyDescent="0.2">
      <c r="I3799" s="137" t="s">
        <v>74</v>
      </c>
    </row>
    <row r="3800" spans="9:9" x14ac:dyDescent="0.2">
      <c r="I3800" s="137" t="s">
        <v>74</v>
      </c>
    </row>
    <row r="3801" spans="9:9" x14ac:dyDescent="0.2">
      <c r="I3801" s="137" t="s">
        <v>74</v>
      </c>
    </row>
    <row r="3802" spans="9:9" x14ac:dyDescent="0.2">
      <c r="I3802" s="137" t="s">
        <v>74</v>
      </c>
    </row>
    <row r="3803" spans="9:9" x14ac:dyDescent="0.2">
      <c r="I3803" s="137" t="s">
        <v>74</v>
      </c>
    </row>
    <row r="3804" spans="9:9" x14ac:dyDescent="0.2">
      <c r="I3804" s="137" t="s">
        <v>74</v>
      </c>
    </row>
    <row r="3805" spans="9:9" x14ac:dyDescent="0.2">
      <c r="I3805" s="137" t="s">
        <v>74</v>
      </c>
    </row>
    <row r="3806" spans="9:9" x14ac:dyDescent="0.2">
      <c r="I3806" s="137" t="s">
        <v>74</v>
      </c>
    </row>
    <row r="3807" spans="9:9" x14ac:dyDescent="0.2">
      <c r="I3807" s="137" t="s">
        <v>74</v>
      </c>
    </row>
    <row r="3808" spans="9:9" x14ac:dyDescent="0.2">
      <c r="I3808" s="137" t="s">
        <v>74</v>
      </c>
    </row>
    <row r="3809" spans="9:9" x14ac:dyDescent="0.2">
      <c r="I3809" s="137" t="s">
        <v>74</v>
      </c>
    </row>
    <row r="3810" spans="9:9" x14ac:dyDescent="0.2">
      <c r="I3810" s="137" t="s">
        <v>74</v>
      </c>
    </row>
    <row r="3811" spans="9:9" x14ac:dyDescent="0.2">
      <c r="I3811" s="137" t="s">
        <v>74</v>
      </c>
    </row>
    <row r="3812" spans="9:9" x14ac:dyDescent="0.2">
      <c r="I3812" s="137" t="s">
        <v>74</v>
      </c>
    </row>
    <row r="3813" spans="9:9" x14ac:dyDescent="0.2">
      <c r="I3813" s="137" t="s">
        <v>74</v>
      </c>
    </row>
    <row r="3814" spans="9:9" x14ac:dyDescent="0.2">
      <c r="I3814" s="137" t="s">
        <v>74</v>
      </c>
    </row>
    <row r="3815" spans="9:9" x14ac:dyDescent="0.2">
      <c r="I3815" s="137" t="s">
        <v>74</v>
      </c>
    </row>
    <row r="3816" spans="9:9" x14ac:dyDescent="0.2">
      <c r="I3816" s="137" t="s">
        <v>74</v>
      </c>
    </row>
    <row r="3817" spans="9:9" x14ac:dyDescent="0.2">
      <c r="I3817" s="137" t="s">
        <v>74</v>
      </c>
    </row>
    <row r="3818" spans="9:9" x14ac:dyDescent="0.2">
      <c r="I3818" s="137" t="s">
        <v>74</v>
      </c>
    </row>
    <row r="3819" spans="9:9" x14ac:dyDescent="0.2">
      <c r="I3819" s="137" t="s">
        <v>74</v>
      </c>
    </row>
    <row r="3820" spans="9:9" x14ac:dyDescent="0.2">
      <c r="I3820" s="137" t="s">
        <v>74</v>
      </c>
    </row>
    <row r="3821" spans="9:9" x14ac:dyDescent="0.2">
      <c r="I3821" s="137" t="s">
        <v>74</v>
      </c>
    </row>
    <row r="3822" spans="9:9" x14ac:dyDescent="0.2">
      <c r="I3822" s="137" t="s">
        <v>74</v>
      </c>
    </row>
    <row r="3823" spans="9:9" x14ac:dyDescent="0.2">
      <c r="I3823" s="137" t="s">
        <v>74</v>
      </c>
    </row>
    <row r="3824" spans="9:9" x14ac:dyDescent="0.2">
      <c r="I3824" s="137" t="s">
        <v>74</v>
      </c>
    </row>
    <row r="3825" spans="9:9" x14ac:dyDescent="0.2">
      <c r="I3825" s="137" t="s">
        <v>74</v>
      </c>
    </row>
    <row r="3826" spans="9:9" x14ac:dyDescent="0.2">
      <c r="I3826" s="137" t="s">
        <v>74</v>
      </c>
    </row>
    <row r="3827" spans="9:9" x14ac:dyDescent="0.2">
      <c r="I3827" s="137" t="s">
        <v>74</v>
      </c>
    </row>
    <row r="3828" spans="9:9" x14ac:dyDescent="0.2">
      <c r="I3828" s="137" t="s">
        <v>74</v>
      </c>
    </row>
    <row r="3829" spans="9:9" x14ac:dyDescent="0.2">
      <c r="I3829" s="137" t="s">
        <v>74</v>
      </c>
    </row>
    <row r="3830" spans="9:9" x14ac:dyDescent="0.2">
      <c r="I3830" s="137" t="s">
        <v>74</v>
      </c>
    </row>
    <row r="3831" spans="9:9" x14ac:dyDescent="0.2">
      <c r="I3831" s="137" t="s">
        <v>74</v>
      </c>
    </row>
    <row r="3832" spans="9:9" x14ac:dyDescent="0.2">
      <c r="I3832" s="137" t="s">
        <v>74</v>
      </c>
    </row>
    <row r="3833" spans="9:9" x14ac:dyDescent="0.2">
      <c r="I3833" s="137" t="s">
        <v>74</v>
      </c>
    </row>
    <row r="3834" spans="9:9" x14ac:dyDescent="0.2">
      <c r="I3834" s="137" t="s">
        <v>74</v>
      </c>
    </row>
    <row r="3835" spans="9:9" x14ac:dyDescent="0.2">
      <c r="I3835" s="137" t="s">
        <v>74</v>
      </c>
    </row>
    <row r="3836" spans="9:9" x14ac:dyDescent="0.2">
      <c r="I3836" s="137" t="s">
        <v>74</v>
      </c>
    </row>
    <row r="3837" spans="9:9" x14ac:dyDescent="0.2">
      <c r="I3837" s="137" t="s">
        <v>74</v>
      </c>
    </row>
    <row r="3838" spans="9:9" x14ac:dyDescent="0.2">
      <c r="I3838" s="137" t="s">
        <v>74</v>
      </c>
    </row>
    <row r="3839" spans="9:9" x14ac:dyDescent="0.2">
      <c r="I3839" s="137" t="s">
        <v>74</v>
      </c>
    </row>
    <row r="3840" spans="9:9" x14ac:dyDescent="0.2">
      <c r="I3840" s="137" t="s">
        <v>74</v>
      </c>
    </row>
    <row r="3841" spans="9:9" x14ac:dyDescent="0.2">
      <c r="I3841" s="137" t="s">
        <v>74</v>
      </c>
    </row>
    <row r="3842" spans="9:9" x14ac:dyDescent="0.2">
      <c r="I3842" s="137" t="s">
        <v>74</v>
      </c>
    </row>
    <row r="3843" spans="9:9" x14ac:dyDescent="0.2">
      <c r="I3843" s="137" t="s">
        <v>74</v>
      </c>
    </row>
    <row r="3844" spans="9:9" x14ac:dyDescent="0.2">
      <c r="I3844" s="137" t="s">
        <v>74</v>
      </c>
    </row>
    <row r="3845" spans="9:9" x14ac:dyDescent="0.2">
      <c r="I3845" s="137" t="s">
        <v>74</v>
      </c>
    </row>
    <row r="3846" spans="9:9" x14ac:dyDescent="0.2">
      <c r="I3846" s="137" t="s">
        <v>74</v>
      </c>
    </row>
    <row r="3847" spans="9:9" x14ac:dyDescent="0.2">
      <c r="I3847" s="137" t="s">
        <v>74</v>
      </c>
    </row>
    <row r="3848" spans="9:9" x14ac:dyDescent="0.2">
      <c r="I3848" s="137" t="s">
        <v>74</v>
      </c>
    </row>
    <row r="3849" spans="9:9" x14ac:dyDescent="0.2">
      <c r="I3849" s="137" t="s">
        <v>74</v>
      </c>
    </row>
    <row r="3850" spans="9:9" x14ac:dyDescent="0.2">
      <c r="I3850" s="137" t="s">
        <v>74</v>
      </c>
    </row>
    <row r="3851" spans="9:9" x14ac:dyDescent="0.2">
      <c r="I3851" s="137" t="s">
        <v>74</v>
      </c>
    </row>
    <row r="3852" spans="9:9" x14ac:dyDescent="0.2">
      <c r="I3852" s="137" t="s">
        <v>74</v>
      </c>
    </row>
    <row r="3853" spans="9:9" x14ac:dyDescent="0.2">
      <c r="I3853" s="137" t="s">
        <v>74</v>
      </c>
    </row>
    <row r="3854" spans="9:9" x14ac:dyDescent="0.2">
      <c r="I3854" s="137" t="s">
        <v>74</v>
      </c>
    </row>
    <row r="3855" spans="9:9" x14ac:dyDescent="0.2">
      <c r="I3855" s="137" t="s">
        <v>74</v>
      </c>
    </row>
    <row r="3856" spans="9:9" x14ac:dyDescent="0.2">
      <c r="I3856" s="137" t="s">
        <v>74</v>
      </c>
    </row>
    <row r="3857" spans="9:9" x14ac:dyDescent="0.2">
      <c r="I3857" s="137" t="s">
        <v>74</v>
      </c>
    </row>
    <row r="3858" spans="9:9" x14ac:dyDescent="0.2">
      <c r="I3858" s="137" t="s">
        <v>74</v>
      </c>
    </row>
    <row r="3859" spans="9:9" x14ac:dyDescent="0.2">
      <c r="I3859" s="137" t="s">
        <v>74</v>
      </c>
    </row>
    <row r="3860" spans="9:9" x14ac:dyDescent="0.2">
      <c r="I3860" s="137" t="s">
        <v>74</v>
      </c>
    </row>
    <row r="3861" spans="9:9" x14ac:dyDescent="0.2">
      <c r="I3861" s="137" t="s">
        <v>74</v>
      </c>
    </row>
    <row r="3862" spans="9:9" x14ac:dyDescent="0.2">
      <c r="I3862" s="137" t="s">
        <v>74</v>
      </c>
    </row>
    <row r="3863" spans="9:9" x14ac:dyDescent="0.2">
      <c r="I3863" s="137" t="s">
        <v>74</v>
      </c>
    </row>
    <row r="3864" spans="9:9" x14ac:dyDescent="0.2">
      <c r="I3864" s="137" t="s">
        <v>74</v>
      </c>
    </row>
    <row r="3865" spans="9:9" x14ac:dyDescent="0.2">
      <c r="I3865" s="137" t="s">
        <v>74</v>
      </c>
    </row>
    <row r="3866" spans="9:9" x14ac:dyDescent="0.2">
      <c r="I3866" s="137" t="s">
        <v>74</v>
      </c>
    </row>
    <row r="3867" spans="9:9" x14ac:dyDescent="0.2">
      <c r="I3867" s="137" t="s">
        <v>74</v>
      </c>
    </row>
    <row r="3868" spans="9:9" x14ac:dyDescent="0.2">
      <c r="I3868" s="137" t="s">
        <v>74</v>
      </c>
    </row>
    <row r="3869" spans="9:9" x14ac:dyDescent="0.2">
      <c r="I3869" s="137" t="s">
        <v>74</v>
      </c>
    </row>
    <row r="3870" spans="9:9" x14ac:dyDescent="0.2">
      <c r="I3870" s="137" t="s">
        <v>74</v>
      </c>
    </row>
    <row r="3871" spans="9:9" x14ac:dyDescent="0.2">
      <c r="I3871" s="137" t="s">
        <v>74</v>
      </c>
    </row>
    <row r="3872" spans="9:9" x14ac:dyDescent="0.2">
      <c r="I3872" s="137" t="s">
        <v>74</v>
      </c>
    </row>
    <row r="3873" spans="9:9" x14ac:dyDescent="0.2">
      <c r="I3873" s="137" t="s">
        <v>74</v>
      </c>
    </row>
    <row r="3874" spans="9:9" x14ac:dyDescent="0.2">
      <c r="I3874" s="137" t="s">
        <v>74</v>
      </c>
    </row>
    <row r="3875" spans="9:9" x14ac:dyDescent="0.2">
      <c r="I3875" s="137" t="s">
        <v>74</v>
      </c>
    </row>
    <row r="3876" spans="9:9" x14ac:dyDescent="0.2">
      <c r="I3876" s="137" t="s">
        <v>74</v>
      </c>
    </row>
    <row r="3877" spans="9:9" x14ac:dyDescent="0.2">
      <c r="I3877" s="137" t="s">
        <v>74</v>
      </c>
    </row>
    <row r="3878" spans="9:9" x14ac:dyDescent="0.2">
      <c r="I3878" s="137" t="s">
        <v>74</v>
      </c>
    </row>
    <row r="3879" spans="9:9" x14ac:dyDescent="0.2">
      <c r="I3879" s="137" t="s">
        <v>74</v>
      </c>
    </row>
    <row r="3880" spans="9:9" x14ac:dyDescent="0.2">
      <c r="I3880" s="137" t="s">
        <v>74</v>
      </c>
    </row>
    <row r="3881" spans="9:9" x14ac:dyDescent="0.2">
      <c r="I3881" s="137" t="s">
        <v>74</v>
      </c>
    </row>
    <row r="3882" spans="9:9" x14ac:dyDescent="0.2">
      <c r="I3882" s="137" t="s">
        <v>74</v>
      </c>
    </row>
    <row r="3883" spans="9:9" x14ac:dyDescent="0.2">
      <c r="I3883" s="137" t="s">
        <v>74</v>
      </c>
    </row>
    <row r="3884" spans="9:9" x14ac:dyDescent="0.2">
      <c r="I3884" s="137" t="s">
        <v>74</v>
      </c>
    </row>
    <row r="3885" spans="9:9" x14ac:dyDescent="0.2">
      <c r="I3885" s="137" t="s">
        <v>74</v>
      </c>
    </row>
    <row r="3886" spans="9:9" x14ac:dyDescent="0.2">
      <c r="I3886" s="137" t="s">
        <v>74</v>
      </c>
    </row>
    <row r="3887" spans="9:9" x14ac:dyDescent="0.2">
      <c r="I3887" s="137" t="s">
        <v>74</v>
      </c>
    </row>
    <row r="3888" spans="9:9" x14ac:dyDescent="0.2">
      <c r="I3888" s="137" t="s">
        <v>74</v>
      </c>
    </row>
    <row r="3889" spans="9:9" x14ac:dyDescent="0.2">
      <c r="I3889" s="137" t="s">
        <v>74</v>
      </c>
    </row>
    <row r="3890" spans="9:9" x14ac:dyDescent="0.2">
      <c r="I3890" s="137" t="s">
        <v>74</v>
      </c>
    </row>
    <row r="3891" spans="9:9" x14ac:dyDescent="0.2">
      <c r="I3891" s="137" t="s">
        <v>74</v>
      </c>
    </row>
    <row r="3892" spans="9:9" x14ac:dyDescent="0.2">
      <c r="I3892" s="137" t="s">
        <v>74</v>
      </c>
    </row>
    <row r="3893" spans="9:9" x14ac:dyDescent="0.2">
      <c r="I3893" s="137" t="s">
        <v>74</v>
      </c>
    </row>
    <row r="3894" spans="9:9" x14ac:dyDescent="0.2">
      <c r="I3894" s="137" t="s">
        <v>74</v>
      </c>
    </row>
    <row r="3895" spans="9:9" x14ac:dyDescent="0.2">
      <c r="I3895" s="137" t="s">
        <v>74</v>
      </c>
    </row>
    <row r="3896" spans="9:9" x14ac:dyDescent="0.2">
      <c r="I3896" s="137" t="s">
        <v>74</v>
      </c>
    </row>
    <row r="3897" spans="9:9" x14ac:dyDescent="0.2">
      <c r="I3897" s="137" t="s">
        <v>74</v>
      </c>
    </row>
    <row r="3898" spans="9:9" x14ac:dyDescent="0.2">
      <c r="I3898" s="137" t="s">
        <v>74</v>
      </c>
    </row>
    <row r="3899" spans="9:9" x14ac:dyDescent="0.2">
      <c r="I3899" s="137" t="s">
        <v>74</v>
      </c>
    </row>
    <row r="3900" spans="9:9" x14ac:dyDescent="0.2">
      <c r="I3900" s="137" t="s">
        <v>74</v>
      </c>
    </row>
    <row r="3901" spans="9:9" x14ac:dyDescent="0.2">
      <c r="I3901" s="137" t="s">
        <v>74</v>
      </c>
    </row>
    <row r="3902" spans="9:9" x14ac:dyDescent="0.2">
      <c r="I3902" s="137" t="s">
        <v>74</v>
      </c>
    </row>
    <row r="3903" spans="9:9" x14ac:dyDescent="0.2">
      <c r="I3903" s="137" t="s">
        <v>74</v>
      </c>
    </row>
    <row r="3904" spans="9:9" x14ac:dyDescent="0.2">
      <c r="I3904" s="137" t="s">
        <v>74</v>
      </c>
    </row>
    <row r="3905" spans="9:9" x14ac:dyDescent="0.2">
      <c r="I3905" s="137" t="s">
        <v>74</v>
      </c>
    </row>
    <row r="3906" spans="9:9" x14ac:dyDescent="0.2">
      <c r="I3906" s="137" t="s">
        <v>74</v>
      </c>
    </row>
    <row r="3907" spans="9:9" x14ac:dyDescent="0.2">
      <c r="I3907" s="137" t="s">
        <v>74</v>
      </c>
    </row>
    <row r="3908" spans="9:9" x14ac:dyDescent="0.2">
      <c r="I3908" s="137" t="s">
        <v>74</v>
      </c>
    </row>
    <row r="3909" spans="9:9" x14ac:dyDescent="0.2">
      <c r="I3909" s="137" t="s">
        <v>74</v>
      </c>
    </row>
    <row r="3910" spans="9:9" x14ac:dyDescent="0.2">
      <c r="I3910" s="137" t="s">
        <v>74</v>
      </c>
    </row>
    <row r="3911" spans="9:9" x14ac:dyDescent="0.2">
      <c r="I3911" s="137" t="s">
        <v>74</v>
      </c>
    </row>
    <row r="3912" spans="9:9" x14ac:dyDescent="0.2">
      <c r="I3912" s="137" t="s">
        <v>74</v>
      </c>
    </row>
    <row r="3913" spans="9:9" x14ac:dyDescent="0.2">
      <c r="I3913" s="137" t="s">
        <v>74</v>
      </c>
    </row>
    <row r="3914" spans="9:9" x14ac:dyDescent="0.2">
      <c r="I3914" s="137" t="s">
        <v>74</v>
      </c>
    </row>
    <row r="3915" spans="9:9" x14ac:dyDescent="0.2">
      <c r="I3915" s="137" t="s">
        <v>74</v>
      </c>
    </row>
    <row r="3916" spans="9:9" x14ac:dyDescent="0.2">
      <c r="I3916" s="137" t="s">
        <v>74</v>
      </c>
    </row>
    <row r="3917" spans="9:9" x14ac:dyDescent="0.2">
      <c r="I3917" s="137" t="s">
        <v>74</v>
      </c>
    </row>
    <row r="3918" spans="9:9" x14ac:dyDescent="0.2">
      <c r="I3918" s="137" t="s">
        <v>74</v>
      </c>
    </row>
    <row r="3919" spans="9:9" x14ac:dyDescent="0.2">
      <c r="I3919" s="137" t="s">
        <v>74</v>
      </c>
    </row>
    <row r="3920" spans="9:9" x14ac:dyDescent="0.2">
      <c r="I3920" s="137" t="s">
        <v>74</v>
      </c>
    </row>
    <row r="3921" spans="9:9" x14ac:dyDescent="0.2">
      <c r="I3921" s="137" t="s">
        <v>74</v>
      </c>
    </row>
    <row r="3922" spans="9:9" x14ac:dyDescent="0.2">
      <c r="I3922" s="137" t="s">
        <v>74</v>
      </c>
    </row>
    <row r="3923" spans="9:9" x14ac:dyDescent="0.2">
      <c r="I3923" s="137" t="s">
        <v>74</v>
      </c>
    </row>
    <row r="3924" spans="9:9" x14ac:dyDescent="0.2">
      <c r="I3924" s="137" t="s">
        <v>74</v>
      </c>
    </row>
    <row r="3925" spans="9:9" x14ac:dyDescent="0.2">
      <c r="I3925" s="137" t="s">
        <v>74</v>
      </c>
    </row>
    <row r="3926" spans="9:9" x14ac:dyDescent="0.2">
      <c r="I3926" s="137" t="s">
        <v>74</v>
      </c>
    </row>
    <row r="3927" spans="9:9" x14ac:dyDescent="0.2">
      <c r="I3927" s="137" t="s">
        <v>74</v>
      </c>
    </row>
    <row r="3928" spans="9:9" x14ac:dyDescent="0.2">
      <c r="I3928" s="137" t="s">
        <v>74</v>
      </c>
    </row>
    <row r="3929" spans="9:9" x14ac:dyDescent="0.2">
      <c r="I3929" s="137" t="s">
        <v>74</v>
      </c>
    </row>
    <row r="3930" spans="9:9" x14ac:dyDescent="0.2">
      <c r="I3930" s="137" t="s">
        <v>74</v>
      </c>
    </row>
    <row r="3931" spans="9:9" x14ac:dyDescent="0.2">
      <c r="I3931" s="137" t="s">
        <v>74</v>
      </c>
    </row>
    <row r="3932" spans="9:9" x14ac:dyDescent="0.2">
      <c r="I3932" s="137" t="s">
        <v>74</v>
      </c>
    </row>
    <row r="3933" spans="9:9" x14ac:dyDescent="0.2">
      <c r="I3933" s="137" t="s">
        <v>74</v>
      </c>
    </row>
    <row r="3934" spans="9:9" x14ac:dyDescent="0.2">
      <c r="I3934" s="137" t="s">
        <v>74</v>
      </c>
    </row>
    <row r="3935" spans="9:9" x14ac:dyDescent="0.2">
      <c r="I3935" s="137" t="s">
        <v>74</v>
      </c>
    </row>
    <row r="3936" spans="9:9" x14ac:dyDescent="0.2">
      <c r="I3936" s="137" t="s">
        <v>74</v>
      </c>
    </row>
    <row r="3937" spans="9:9" x14ac:dyDescent="0.2">
      <c r="I3937" s="137" t="s">
        <v>74</v>
      </c>
    </row>
    <row r="3938" spans="9:9" x14ac:dyDescent="0.2">
      <c r="I3938" s="137" t="s">
        <v>74</v>
      </c>
    </row>
    <row r="3939" spans="9:9" x14ac:dyDescent="0.2">
      <c r="I3939" s="137" t="s">
        <v>74</v>
      </c>
    </row>
    <row r="3940" spans="9:9" x14ac:dyDescent="0.2">
      <c r="I3940" s="137" t="s">
        <v>74</v>
      </c>
    </row>
    <row r="3941" spans="9:9" x14ac:dyDescent="0.2">
      <c r="I3941" s="137" t="s">
        <v>74</v>
      </c>
    </row>
    <row r="3942" spans="9:9" x14ac:dyDescent="0.2">
      <c r="I3942" s="137" t="s">
        <v>74</v>
      </c>
    </row>
    <row r="3943" spans="9:9" x14ac:dyDescent="0.2">
      <c r="I3943" s="137" t="s">
        <v>74</v>
      </c>
    </row>
    <row r="3944" spans="9:9" x14ac:dyDescent="0.2">
      <c r="I3944" s="137" t="s">
        <v>74</v>
      </c>
    </row>
    <row r="3945" spans="9:9" x14ac:dyDescent="0.2">
      <c r="I3945" s="137" t="s">
        <v>74</v>
      </c>
    </row>
    <row r="3946" spans="9:9" x14ac:dyDescent="0.2">
      <c r="I3946" s="137" t="s">
        <v>74</v>
      </c>
    </row>
    <row r="3947" spans="9:9" x14ac:dyDescent="0.2">
      <c r="I3947" s="137" t="s">
        <v>74</v>
      </c>
    </row>
    <row r="3948" spans="9:9" x14ac:dyDescent="0.2">
      <c r="I3948" s="137" t="s">
        <v>74</v>
      </c>
    </row>
    <row r="3949" spans="9:9" x14ac:dyDescent="0.2">
      <c r="I3949" s="137" t="s">
        <v>74</v>
      </c>
    </row>
    <row r="3950" spans="9:9" x14ac:dyDescent="0.2">
      <c r="I3950" s="137" t="s">
        <v>74</v>
      </c>
    </row>
    <row r="3951" spans="9:9" x14ac:dyDescent="0.2">
      <c r="I3951" s="137" t="s">
        <v>74</v>
      </c>
    </row>
    <row r="3952" spans="9:9" x14ac:dyDescent="0.2">
      <c r="I3952" s="137" t="s">
        <v>74</v>
      </c>
    </row>
    <row r="3953" spans="9:9" x14ac:dyDescent="0.2">
      <c r="I3953" s="137" t="s">
        <v>74</v>
      </c>
    </row>
    <row r="3954" spans="9:9" x14ac:dyDescent="0.2">
      <c r="I3954" s="137" t="s">
        <v>74</v>
      </c>
    </row>
    <row r="3955" spans="9:9" x14ac:dyDescent="0.2">
      <c r="I3955" s="137" t="s">
        <v>74</v>
      </c>
    </row>
    <row r="3956" spans="9:9" x14ac:dyDescent="0.2">
      <c r="I3956" s="137" t="s">
        <v>74</v>
      </c>
    </row>
    <row r="3957" spans="9:9" x14ac:dyDescent="0.2">
      <c r="I3957" s="137" t="s">
        <v>74</v>
      </c>
    </row>
    <row r="3958" spans="9:9" x14ac:dyDescent="0.2">
      <c r="I3958" s="137" t="s">
        <v>74</v>
      </c>
    </row>
    <row r="3959" spans="9:9" x14ac:dyDescent="0.2">
      <c r="I3959" s="137" t="s">
        <v>74</v>
      </c>
    </row>
    <row r="3960" spans="9:9" x14ac:dyDescent="0.2">
      <c r="I3960" s="137" t="s">
        <v>74</v>
      </c>
    </row>
    <row r="3961" spans="9:9" x14ac:dyDescent="0.2">
      <c r="I3961" s="137" t="s">
        <v>74</v>
      </c>
    </row>
    <row r="3962" spans="9:9" x14ac:dyDescent="0.2">
      <c r="I3962" s="137" t="s">
        <v>74</v>
      </c>
    </row>
    <row r="3963" spans="9:9" x14ac:dyDescent="0.2">
      <c r="I3963" s="137" t="s">
        <v>74</v>
      </c>
    </row>
    <row r="3964" spans="9:9" x14ac:dyDescent="0.2">
      <c r="I3964" s="137" t="s">
        <v>74</v>
      </c>
    </row>
    <row r="3965" spans="9:9" x14ac:dyDescent="0.2">
      <c r="I3965" s="137" t="s">
        <v>74</v>
      </c>
    </row>
    <row r="3966" spans="9:9" x14ac:dyDescent="0.2">
      <c r="I3966" s="137" t="s">
        <v>74</v>
      </c>
    </row>
    <row r="3967" spans="9:9" x14ac:dyDescent="0.2">
      <c r="I3967" s="137" t="s">
        <v>74</v>
      </c>
    </row>
    <row r="3968" spans="9:9" x14ac:dyDescent="0.2">
      <c r="I3968" s="137" t="s">
        <v>74</v>
      </c>
    </row>
    <row r="3969" spans="9:9" x14ac:dyDescent="0.2">
      <c r="I3969" s="137" t="s">
        <v>74</v>
      </c>
    </row>
    <row r="3970" spans="9:9" x14ac:dyDescent="0.2">
      <c r="I3970" s="137" t="s">
        <v>74</v>
      </c>
    </row>
    <row r="3971" spans="9:9" x14ac:dyDescent="0.2">
      <c r="I3971" s="137" t="s">
        <v>74</v>
      </c>
    </row>
    <row r="3972" spans="9:9" x14ac:dyDescent="0.2">
      <c r="I3972" s="137" t="s">
        <v>74</v>
      </c>
    </row>
    <row r="3973" spans="9:9" x14ac:dyDescent="0.2">
      <c r="I3973" s="137" t="s">
        <v>74</v>
      </c>
    </row>
    <row r="3974" spans="9:9" x14ac:dyDescent="0.2">
      <c r="I3974" s="137" t="s">
        <v>74</v>
      </c>
    </row>
    <row r="3975" spans="9:9" x14ac:dyDescent="0.2">
      <c r="I3975" s="137" t="s">
        <v>74</v>
      </c>
    </row>
    <row r="3976" spans="9:9" x14ac:dyDescent="0.2">
      <c r="I3976" s="137" t="s">
        <v>74</v>
      </c>
    </row>
    <row r="3977" spans="9:9" x14ac:dyDescent="0.2">
      <c r="I3977" s="137" t="s">
        <v>74</v>
      </c>
    </row>
    <row r="3978" spans="9:9" x14ac:dyDescent="0.2">
      <c r="I3978" s="137" t="s">
        <v>74</v>
      </c>
    </row>
    <row r="3979" spans="9:9" x14ac:dyDescent="0.2">
      <c r="I3979" s="137" t="s">
        <v>74</v>
      </c>
    </row>
    <row r="3980" spans="9:9" x14ac:dyDescent="0.2">
      <c r="I3980" s="137" t="s">
        <v>74</v>
      </c>
    </row>
    <row r="3981" spans="9:9" x14ac:dyDescent="0.2">
      <c r="I3981" s="137" t="s">
        <v>74</v>
      </c>
    </row>
    <row r="3982" spans="9:9" x14ac:dyDescent="0.2">
      <c r="I3982" s="137" t="s">
        <v>74</v>
      </c>
    </row>
    <row r="3983" spans="9:9" x14ac:dyDescent="0.2">
      <c r="I3983" s="137" t="s">
        <v>74</v>
      </c>
    </row>
    <row r="3984" spans="9:9" x14ac:dyDescent="0.2">
      <c r="I3984" s="137" t="s">
        <v>74</v>
      </c>
    </row>
    <row r="3985" spans="9:9" x14ac:dyDescent="0.2">
      <c r="I3985" s="137" t="s">
        <v>74</v>
      </c>
    </row>
    <row r="3986" spans="9:9" x14ac:dyDescent="0.2">
      <c r="I3986" s="137" t="s">
        <v>74</v>
      </c>
    </row>
    <row r="3987" spans="9:9" x14ac:dyDescent="0.2">
      <c r="I3987" s="137" t="s">
        <v>74</v>
      </c>
    </row>
    <row r="3988" spans="9:9" x14ac:dyDescent="0.2">
      <c r="I3988" s="137" t="s">
        <v>74</v>
      </c>
    </row>
    <row r="3989" spans="9:9" x14ac:dyDescent="0.2">
      <c r="I3989" s="137" t="s">
        <v>74</v>
      </c>
    </row>
    <row r="3990" spans="9:9" x14ac:dyDescent="0.2">
      <c r="I3990" s="137" t="s">
        <v>74</v>
      </c>
    </row>
    <row r="3991" spans="9:9" x14ac:dyDescent="0.2">
      <c r="I3991" s="137" t="s">
        <v>74</v>
      </c>
    </row>
    <row r="3992" spans="9:9" x14ac:dyDescent="0.2">
      <c r="I3992" s="137" t="s">
        <v>74</v>
      </c>
    </row>
    <row r="3993" spans="9:9" x14ac:dyDescent="0.2">
      <c r="I3993" s="137" t="s">
        <v>74</v>
      </c>
    </row>
    <row r="3994" spans="9:9" x14ac:dyDescent="0.2">
      <c r="I3994" s="137" t="s">
        <v>74</v>
      </c>
    </row>
    <row r="3995" spans="9:9" x14ac:dyDescent="0.2">
      <c r="I3995" s="137" t="s">
        <v>74</v>
      </c>
    </row>
    <row r="3996" spans="9:9" x14ac:dyDescent="0.2">
      <c r="I3996" s="137" t="s">
        <v>74</v>
      </c>
    </row>
    <row r="3997" spans="9:9" x14ac:dyDescent="0.2">
      <c r="I3997" s="137" t="s">
        <v>74</v>
      </c>
    </row>
    <row r="3998" spans="9:9" x14ac:dyDescent="0.2">
      <c r="I3998" s="137" t="s">
        <v>74</v>
      </c>
    </row>
    <row r="3999" spans="9:9" x14ac:dyDescent="0.2">
      <c r="I3999" s="137" t="s">
        <v>74</v>
      </c>
    </row>
    <row r="4000" spans="9:9" x14ac:dyDescent="0.2">
      <c r="I4000" s="137" t="s">
        <v>74</v>
      </c>
    </row>
    <row r="4001" spans="9:9" x14ac:dyDescent="0.2">
      <c r="I4001" s="137" t="s">
        <v>74</v>
      </c>
    </row>
    <row r="4002" spans="9:9" x14ac:dyDescent="0.2">
      <c r="I4002" s="137" t="s">
        <v>74</v>
      </c>
    </row>
    <row r="4003" spans="9:9" x14ac:dyDescent="0.2">
      <c r="I4003" s="137" t="s">
        <v>74</v>
      </c>
    </row>
    <row r="4004" spans="9:9" x14ac:dyDescent="0.2">
      <c r="I4004" s="137" t="s">
        <v>74</v>
      </c>
    </row>
    <row r="4005" spans="9:9" x14ac:dyDescent="0.2">
      <c r="I4005" s="137" t="s">
        <v>74</v>
      </c>
    </row>
    <row r="4006" spans="9:9" x14ac:dyDescent="0.2">
      <c r="I4006" s="137" t="s">
        <v>74</v>
      </c>
    </row>
    <row r="4007" spans="9:9" x14ac:dyDescent="0.2">
      <c r="I4007" s="137" t="s">
        <v>74</v>
      </c>
    </row>
    <row r="4008" spans="9:9" x14ac:dyDescent="0.2">
      <c r="I4008" s="137" t="s">
        <v>74</v>
      </c>
    </row>
    <row r="4009" spans="9:9" x14ac:dyDescent="0.2">
      <c r="I4009" s="137" t="s">
        <v>74</v>
      </c>
    </row>
    <row r="4010" spans="9:9" x14ac:dyDescent="0.2">
      <c r="I4010" s="137" t="s">
        <v>74</v>
      </c>
    </row>
    <row r="4011" spans="9:9" x14ac:dyDescent="0.2">
      <c r="I4011" s="137" t="s">
        <v>74</v>
      </c>
    </row>
    <row r="4012" spans="9:9" x14ac:dyDescent="0.2">
      <c r="I4012" s="137" t="s">
        <v>74</v>
      </c>
    </row>
    <row r="4013" spans="9:9" x14ac:dyDescent="0.2">
      <c r="I4013" s="137" t="s">
        <v>74</v>
      </c>
    </row>
    <row r="4014" spans="9:9" x14ac:dyDescent="0.2">
      <c r="I4014" s="137" t="s">
        <v>74</v>
      </c>
    </row>
    <row r="4015" spans="9:9" x14ac:dyDescent="0.2">
      <c r="I4015" s="137" t="s">
        <v>74</v>
      </c>
    </row>
    <row r="4016" spans="9:9" x14ac:dyDescent="0.2">
      <c r="I4016" s="137" t="s">
        <v>74</v>
      </c>
    </row>
    <row r="4017" spans="9:9" x14ac:dyDescent="0.2">
      <c r="I4017" s="137" t="s">
        <v>74</v>
      </c>
    </row>
    <row r="4018" spans="9:9" x14ac:dyDescent="0.2">
      <c r="I4018" s="137" t="s">
        <v>74</v>
      </c>
    </row>
    <row r="4019" spans="9:9" x14ac:dyDescent="0.2">
      <c r="I4019" s="137" t="s">
        <v>74</v>
      </c>
    </row>
    <row r="4020" spans="9:9" x14ac:dyDescent="0.2">
      <c r="I4020" s="137" t="s">
        <v>74</v>
      </c>
    </row>
    <row r="4021" spans="9:9" x14ac:dyDescent="0.2">
      <c r="I4021" s="137" t="s">
        <v>74</v>
      </c>
    </row>
    <row r="4022" spans="9:9" x14ac:dyDescent="0.2">
      <c r="I4022" s="137" t="s">
        <v>74</v>
      </c>
    </row>
    <row r="4023" spans="9:9" x14ac:dyDescent="0.2">
      <c r="I4023" s="137" t="s">
        <v>74</v>
      </c>
    </row>
    <row r="4024" spans="9:9" x14ac:dyDescent="0.2">
      <c r="I4024" s="137" t="s">
        <v>74</v>
      </c>
    </row>
    <row r="4025" spans="9:9" x14ac:dyDescent="0.2">
      <c r="I4025" s="137" t="s">
        <v>74</v>
      </c>
    </row>
    <row r="4026" spans="9:9" x14ac:dyDescent="0.2">
      <c r="I4026" s="137" t="s">
        <v>74</v>
      </c>
    </row>
    <row r="4027" spans="9:9" x14ac:dyDescent="0.2">
      <c r="I4027" s="137" t="s">
        <v>74</v>
      </c>
    </row>
    <row r="4028" spans="9:9" x14ac:dyDescent="0.2">
      <c r="I4028" s="137" t="s">
        <v>74</v>
      </c>
    </row>
    <row r="4029" spans="9:9" x14ac:dyDescent="0.2">
      <c r="I4029" s="137" t="s">
        <v>74</v>
      </c>
    </row>
    <row r="4030" spans="9:9" x14ac:dyDescent="0.2">
      <c r="I4030" s="137" t="s">
        <v>74</v>
      </c>
    </row>
    <row r="4031" spans="9:9" x14ac:dyDescent="0.2">
      <c r="I4031" s="137" t="s">
        <v>74</v>
      </c>
    </row>
    <row r="4032" spans="9:9" x14ac:dyDescent="0.2">
      <c r="I4032" s="137" t="s">
        <v>74</v>
      </c>
    </row>
    <row r="4033" spans="9:9" x14ac:dyDescent="0.2">
      <c r="I4033" s="137" t="s">
        <v>74</v>
      </c>
    </row>
    <row r="4034" spans="9:9" x14ac:dyDescent="0.2">
      <c r="I4034" s="137" t="s">
        <v>74</v>
      </c>
    </row>
    <row r="4035" spans="9:9" x14ac:dyDescent="0.2">
      <c r="I4035" s="137" t="s">
        <v>74</v>
      </c>
    </row>
    <row r="4036" spans="9:9" x14ac:dyDescent="0.2">
      <c r="I4036" s="137" t="s">
        <v>74</v>
      </c>
    </row>
    <row r="4037" spans="9:9" x14ac:dyDescent="0.2">
      <c r="I4037" s="137" t="s">
        <v>74</v>
      </c>
    </row>
    <row r="4038" spans="9:9" x14ac:dyDescent="0.2">
      <c r="I4038" s="137" t="s">
        <v>74</v>
      </c>
    </row>
    <row r="4039" spans="9:9" x14ac:dyDescent="0.2">
      <c r="I4039" s="137" t="s">
        <v>74</v>
      </c>
    </row>
    <row r="4040" spans="9:9" x14ac:dyDescent="0.2">
      <c r="I4040" s="137" t="s">
        <v>74</v>
      </c>
    </row>
    <row r="4041" spans="9:9" x14ac:dyDescent="0.2">
      <c r="I4041" s="137" t="s">
        <v>74</v>
      </c>
    </row>
    <row r="4042" spans="9:9" x14ac:dyDescent="0.2">
      <c r="I4042" s="137" t="s">
        <v>74</v>
      </c>
    </row>
    <row r="4043" spans="9:9" x14ac:dyDescent="0.2">
      <c r="I4043" s="137" t="s">
        <v>74</v>
      </c>
    </row>
    <row r="4044" spans="9:9" x14ac:dyDescent="0.2">
      <c r="I4044" s="137" t="s">
        <v>74</v>
      </c>
    </row>
    <row r="4045" spans="9:9" x14ac:dyDescent="0.2">
      <c r="I4045" s="137" t="s">
        <v>74</v>
      </c>
    </row>
    <row r="4046" spans="9:9" x14ac:dyDescent="0.2">
      <c r="I4046" s="137" t="s">
        <v>74</v>
      </c>
    </row>
    <row r="4047" spans="9:9" x14ac:dyDescent="0.2">
      <c r="I4047" s="137" t="s">
        <v>74</v>
      </c>
    </row>
    <row r="4048" spans="9:9" x14ac:dyDescent="0.2">
      <c r="I4048" s="137" t="s">
        <v>74</v>
      </c>
    </row>
    <row r="4049" spans="9:9" x14ac:dyDescent="0.2">
      <c r="I4049" s="137" t="s">
        <v>74</v>
      </c>
    </row>
    <row r="4050" spans="9:9" x14ac:dyDescent="0.2">
      <c r="I4050" s="137" t="s">
        <v>74</v>
      </c>
    </row>
    <row r="4051" spans="9:9" x14ac:dyDescent="0.2">
      <c r="I4051" s="137" t="s">
        <v>74</v>
      </c>
    </row>
    <row r="4052" spans="9:9" x14ac:dyDescent="0.2">
      <c r="I4052" s="137" t="s">
        <v>74</v>
      </c>
    </row>
    <row r="4053" spans="9:9" x14ac:dyDescent="0.2">
      <c r="I4053" s="137" t="s">
        <v>74</v>
      </c>
    </row>
    <row r="4054" spans="9:9" x14ac:dyDescent="0.2">
      <c r="I4054" s="137" t="s">
        <v>74</v>
      </c>
    </row>
    <row r="4055" spans="9:9" x14ac:dyDescent="0.2">
      <c r="I4055" s="137" t="s">
        <v>74</v>
      </c>
    </row>
    <row r="4056" spans="9:9" x14ac:dyDescent="0.2">
      <c r="I4056" s="137" t="s">
        <v>74</v>
      </c>
    </row>
    <row r="4057" spans="9:9" x14ac:dyDescent="0.2">
      <c r="I4057" s="137" t="s">
        <v>74</v>
      </c>
    </row>
    <row r="4058" spans="9:9" x14ac:dyDescent="0.2">
      <c r="I4058" s="137" t="s">
        <v>74</v>
      </c>
    </row>
    <row r="4059" spans="9:9" x14ac:dyDescent="0.2">
      <c r="I4059" s="137" t="s">
        <v>74</v>
      </c>
    </row>
    <row r="4060" spans="9:9" x14ac:dyDescent="0.2">
      <c r="I4060" s="137" t="s">
        <v>74</v>
      </c>
    </row>
    <row r="4061" spans="9:9" x14ac:dyDescent="0.2">
      <c r="I4061" s="137" t="s">
        <v>74</v>
      </c>
    </row>
    <row r="4062" spans="9:9" x14ac:dyDescent="0.2">
      <c r="I4062" s="137" t="s">
        <v>74</v>
      </c>
    </row>
    <row r="4063" spans="9:9" x14ac:dyDescent="0.2">
      <c r="I4063" s="137" t="s">
        <v>74</v>
      </c>
    </row>
    <row r="4064" spans="9:9" x14ac:dyDescent="0.2">
      <c r="I4064" s="137" t="s">
        <v>74</v>
      </c>
    </row>
    <row r="4065" spans="9:9" x14ac:dyDescent="0.2">
      <c r="I4065" s="137" t="s">
        <v>74</v>
      </c>
    </row>
    <row r="4066" spans="9:9" x14ac:dyDescent="0.2">
      <c r="I4066" s="137" t="s">
        <v>74</v>
      </c>
    </row>
    <row r="4067" spans="9:9" x14ac:dyDescent="0.2">
      <c r="I4067" s="137" t="s">
        <v>74</v>
      </c>
    </row>
    <row r="4068" spans="9:9" x14ac:dyDescent="0.2">
      <c r="I4068" s="137" t="s">
        <v>74</v>
      </c>
    </row>
    <row r="4069" spans="9:9" x14ac:dyDescent="0.2">
      <c r="I4069" s="137" t="s">
        <v>74</v>
      </c>
    </row>
    <row r="4070" spans="9:9" x14ac:dyDescent="0.2">
      <c r="I4070" s="137" t="s">
        <v>74</v>
      </c>
    </row>
    <row r="4071" spans="9:9" x14ac:dyDescent="0.2">
      <c r="I4071" s="137" t="s">
        <v>74</v>
      </c>
    </row>
    <row r="4072" spans="9:9" x14ac:dyDescent="0.2">
      <c r="I4072" s="137" t="s">
        <v>74</v>
      </c>
    </row>
    <row r="4073" spans="9:9" x14ac:dyDescent="0.2">
      <c r="I4073" s="137" t="s">
        <v>74</v>
      </c>
    </row>
    <row r="4074" spans="9:9" x14ac:dyDescent="0.2">
      <c r="I4074" s="137" t="s">
        <v>74</v>
      </c>
    </row>
    <row r="4075" spans="9:9" x14ac:dyDescent="0.2">
      <c r="I4075" s="137" t="s">
        <v>74</v>
      </c>
    </row>
    <row r="4076" spans="9:9" x14ac:dyDescent="0.2">
      <c r="I4076" s="137" t="s">
        <v>74</v>
      </c>
    </row>
    <row r="4077" spans="9:9" x14ac:dyDescent="0.2">
      <c r="I4077" s="137" t="s">
        <v>74</v>
      </c>
    </row>
    <row r="4078" spans="9:9" x14ac:dyDescent="0.2">
      <c r="I4078" s="137" t="s">
        <v>74</v>
      </c>
    </row>
    <row r="4079" spans="9:9" x14ac:dyDescent="0.2">
      <c r="I4079" s="137" t="s">
        <v>74</v>
      </c>
    </row>
    <row r="4080" spans="9:9" x14ac:dyDescent="0.2">
      <c r="I4080" s="137" t="s">
        <v>74</v>
      </c>
    </row>
    <row r="4081" spans="9:9" x14ac:dyDescent="0.2">
      <c r="I4081" s="137" t="s">
        <v>74</v>
      </c>
    </row>
    <row r="4082" spans="9:9" x14ac:dyDescent="0.2">
      <c r="I4082" s="137" t="s">
        <v>74</v>
      </c>
    </row>
    <row r="4083" spans="9:9" x14ac:dyDescent="0.2">
      <c r="I4083" s="137" t="s">
        <v>74</v>
      </c>
    </row>
    <row r="4084" spans="9:9" x14ac:dyDescent="0.2">
      <c r="I4084" s="137" t="s">
        <v>74</v>
      </c>
    </row>
    <row r="4085" spans="9:9" x14ac:dyDescent="0.2">
      <c r="I4085" s="137" t="s">
        <v>74</v>
      </c>
    </row>
    <row r="4086" spans="9:9" x14ac:dyDescent="0.2">
      <c r="I4086" s="137" t="s">
        <v>74</v>
      </c>
    </row>
    <row r="4087" spans="9:9" x14ac:dyDescent="0.2">
      <c r="I4087" s="137" t="s">
        <v>74</v>
      </c>
    </row>
    <row r="4088" spans="9:9" x14ac:dyDescent="0.2">
      <c r="I4088" s="137" t="s">
        <v>74</v>
      </c>
    </row>
    <row r="4089" spans="9:9" x14ac:dyDescent="0.2">
      <c r="I4089" s="137" t="s">
        <v>74</v>
      </c>
    </row>
    <row r="4090" spans="9:9" x14ac:dyDescent="0.2">
      <c r="I4090" s="137" t="s">
        <v>74</v>
      </c>
    </row>
    <row r="4091" spans="9:9" x14ac:dyDescent="0.2">
      <c r="I4091" s="137" t="s">
        <v>74</v>
      </c>
    </row>
    <row r="4092" spans="9:9" x14ac:dyDescent="0.2">
      <c r="I4092" s="137" t="s">
        <v>74</v>
      </c>
    </row>
    <row r="4093" spans="9:9" x14ac:dyDescent="0.2">
      <c r="I4093" s="137" t="s">
        <v>74</v>
      </c>
    </row>
    <row r="4094" spans="9:9" x14ac:dyDescent="0.2">
      <c r="I4094" s="137" t="s">
        <v>74</v>
      </c>
    </row>
    <row r="4095" spans="9:9" x14ac:dyDescent="0.2">
      <c r="I4095" s="137" t="s">
        <v>74</v>
      </c>
    </row>
    <row r="4096" spans="9:9" x14ac:dyDescent="0.2">
      <c r="I4096" s="137" t="s">
        <v>74</v>
      </c>
    </row>
    <row r="4097" spans="9:9" x14ac:dyDescent="0.2">
      <c r="I4097" s="137" t="s">
        <v>74</v>
      </c>
    </row>
    <row r="4098" spans="9:9" x14ac:dyDescent="0.2">
      <c r="I4098" s="137" t="s">
        <v>74</v>
      </c>
    </row>
    <row r="4099" spans="9:9" x14ac:dyDescent="0.2">
      <c r="I4099" s="137" t="s">
        <v>74</v>
      </c>
    </row>
    <row r="4100" spans="9:9" x14ac:dyDescent="0.2">
      <c r="I4100" s="137" t="s">
        <v>74</v>
      </c>
    </row>
    <row r="4101" spans="9:9" x14ac:dyDescent="0.2">
      <c r="I4101" s="137" t="s">
        <v>74</v>
      </c>
    </row>
    <row r="4102" spans="9:9" x14ac:dyDescent="0.2">
      <c r="I4102" s="137" t="s">
        <v>74</v>
      </c>
    </row>
    <row r="4103" spans="9:9" x14ac:dyDescent="0.2">
      <c r="I4103" s="137" t="s">
        <v>74</v>
      </c>
    </row>
    <row r="4104" spans="9:9" x14ac:dyDescent="0.2">
      <c r="I4104" s="137" t="s">
        <v>74</v>
      </c>
    </row>
    <row r="4105" spans="9:9" x14ac:dyDescent="0.2">
      <c r="I4105" s="137" t="s">
        <v>74</v>
      </c>
    </row>
    <row r="4106" spans="9:9" x14ac:dyDescent="0.2">
      <c r="I4106" s="137" t="s">
        <v>74</v>
      </c>
    </row>
    <row r="4107" spans="9:9" x14ac:dyDescent="0.2">
      <c r="I4107" s="137" t="s">
        <v>74</v>
      </c>
    </row>
    <row r="4108" spans="9:9" x14ac:dyDescent="0.2">
      <c r="I4108" s="137" t="s">
        <v>74</v>
      </c>
    </row>
    <row r="4109" spans="9:9" x14ac:dyDescent="0.2">
      <c r="I4109" s="137" t="s">
        <v>74</v>
      </c>
    </row>
    <row r="4110" spans="9:9" x14ac:dyDescent="0.2">
      <c r="I4110" s="137" t="s">
        <v>74</v>
      </c>
    </row>
    <row r="4111" spans="9:9" x14ac:dyDescent="0.2">
      <c r="I4111" s="137" t="s">
        <v>74</v>
      </c>
    </row>
    <row r="4112" spans="9:9" x14ac:dyDescent="0.2">
      <c r="I4112" s="137" t="s">
        <v>74</v>
      </c>
    </row>
    <row r="4113" spans="9:9" x14ac:dyDescent="0.2">
      <c r="I4113" s="137" t="s">
        <v>74</v>
      </c>
    </row>
    <row r="4114" spans="9:9" x14ac:dyDescent="0.2">
      <c r="I4114" s="137" t="s">
        <v>74</v>
      </c>
    </row>
    <row r="4115" spans="9:9" x14ac:dyDescent="0.2">
      <c r="I4115" s="137" t="s">
        <v>74</v>
      </c>
    </row>
    <row r="4116" spans="9:9" x14ac:dyDescent="0.2">
      <c r="I4116" s="137" t="s">
        <v>74</v>
      </c>
    </row>
    <row r="4117" spans="9:9" x14ac:dyDescent="0.2">
      <c r="I4117" s="137" t="s">
        <v>74</v>
      </c>
    </row>
    <row r="4118" spans="9:9" x14ac:dyDescent="0.2">
      <c r="I4118" s="137" t="s">
        <v>74</v>
      </c>
    </row>
    <row r="4119" spans="9:9" x14ac:dyDescent="0.2">
      <c r="I4119" s="137" t="s">
        <v>74</v>
      </c>
    </row>
    <row r="4120" spans="9:9" x14ac:dyDescent="0.2">
      <c r="I4120" s="137" t="s">
        <v>74</v>
      </c>
    </row>
    <row r="4121" spans="9:9" x14ac:dyDescent="0.2">
      <c r="I4121" s="137" t="s">
        <v>74</v>
      </c>
    </row>
    <row r="4122" spans="9:9" x14ac:dyDescent="0.2">
      <c r="I4122" s="137" t="s">
        <v>74</v>
      </c>
    </row>
    <row r="4123" spans="9:9" x14ac:dyDescent="0.2">
      <c r="I4123" s="137" t="s">
        <v>74</v>
      </c>
    </row>
    <row r="4124" spans="9:9" x14ac:dyDescent="0.2">
      <c r="I4124" s="137" t="s">
        <v>74</v>
      </c>
    </row>
    <row r="4125" spans="9:9" x14ac:dyDescent="0.2">
      <c r="I4125" s="137" t="s">
        <v>74</v>
      </c>
    </row>
    <row r="4126" spans="9:9" x14ac:dyDescent="0.2">
      <c r="I4126" s="137" t="s">
        <v>74</v>
      </c>
    </row>
    <row r="4127" spans="9:9" x14ac:dyDescent="0.2">
      <c r="I4127" s="137" t="s">
        <v>74</v>
      </c>
    </row>
    <row r="4128" spans="9:9" x14ac:dyDescent="0.2">
      <c r="I4128" s="137" t="s">
        <v>74</v>
      </c>
    </row>
    <row r="4129" spans="9:9" x14ac:dyDescent="0.2">
      <c r="I4129" s="137" t="s">
        <v>74</v>
      </c>
    </row>
    <row r="4130" spans="9:9" x14ac:dyDescent="0.2">
      <c r="I4130" s="137" t="s">
        <v>74</v>
      </c>
    </row>
    <row r="4131" spans="9:9" x14ac:dyDescent="0.2">
      <c r="I4131" s="137" t="s">
        <v>74</v>
      </c>
    </row>
    <row r="4132" spans="9:9" x14ac:dyDescent="0.2">
      <c r="I4132" s="137" t="s">
        <v>74</v>
      </c>
    </row>
    <row r="4133" spans="9:9" x14ac:dyDescent="0.2">
      <c r="I4133" s="137" t="s">
        <v>74</v>
      </c>
    </row>
    <row r="4134" spans="9:9" x14ac:dyDescent="0.2">
      <c r="I4134" s="137" t="s">
        <v>74</v>
      </c>
    </row>
    <row r="4135" spans="9:9" x14ac:dyDescent="0.2">
      <c r="I4135" s="137" t="s">
        <v>74</v>
      </c>
    </row>
    <row r="4136" spans="9:9" x14ac:dyDescent="0.2">
      <c r="I4136" s="137" t="s">
        <v>74</v>
      </c>
    </row>
    <row r="4137" spans="9:9" x14ac:dyDescent="0.2">
      <c r="I4137" s="137" t="s">
        <v>74</v>
      </c>
    </row>
    <row r="4138" spans="9:9" x14ac:dyDescent="0.2">
      <c r="I4138" s="137" t="s">
        <v>74</v>
      </c>
    </row>
    <row r="4139" spans="9:9" x14ac:dyDescent="0.2">
      <c r="I4139" s="137" t="s">
        <v>74</v>
      </c>
    </row>
    <row r="4140" spans="9:9" x14ac:dyDescent="0.2">
      <c r="I4140" s="137" t="s">
        <v>74</v>
      </c>
    </row>
    <row r="4141" spans="9:9" x14ac:dyDescent="0.2">
      <c r="I4141" s="137" t="s">
        <v>74</v>
      </c>
    </row>
    <row r="4142" spans="9:9" x14ac:dyDescent="0.2">
      <c r="I4142" s="137" t="s">
        <v>74</v>
      </c>
    </row>
    <row r="4143" spans="9:9" x14ac:dyDescent="0.2">
      <c r="I4143" s="137" t="s">
        <v>74</v>
      </c>
    </row>
    <row r="4144" spans="9:9" x14ac:dyDescent="0.2">
      <c r="I4144" s="137" t="s">
        <v>74</v>
      </c>
    </row>
    <row r="4145" spans="9:9" x14ac:dyDescent="0.2">
      <c r="I4145" s="137" t="s">
        <v>74</v>
      </c>
    </row>
    <row r="4146" spans="9:9" x14ac:dyDescent="0.2">
      <c r="I4146" s="137" t="s">
        <v>74</v>
      </c>
    </row>
    <row r="4147" spans="9:9" x14ac:dyDescent="0.2">
      <c r="I4147" s="137" t="s">
        <v>74</v>
      </c>
    </row>
    <row r="4148" spans="9:9" x14ac:dyDescent="0.2">
      <c r="I4148" s="137" t="s">
        <v>74</v>
      </c>
    </row>
    <row r="4149" spans="9:9" x14ac:dyDescent="0.2">
      <c r="I4149" s="137" t="s">
        <v>74</v>
      </c>
    </row>
    <row r="4150" spans="9:9" x14ac:dyDescent="0.2">
      <c r="I4150" s="137" t="s">
        <v>74</v>
      </c>
    </row>
    <row r="4151" spans="9:9" x14ac:dyDescent="0.2">
      <c r="I4151" s="137" t="s">
        <v>74</v>
      </c>
    </row>
    <row r="4152" spans="9:9" x14ac:dyDescent="0.2">
      <c r="I4152" s="137" t="s">
        <v>74</v>
      </c>
    </row>
    <row r="4153" spans="9:9" x14ac:dyDescent="0.2">
      <c r="I4153" s="137" t="s">
        <v>74</v>
      </c>
    </row>
    <row r="4154" spans="9:9" x14ac:dyDescent="0.2">
      <c r="I4154" s="137" t="s">
        <v>74</v>
      </c>
    </row>
    <row r="4155" spans="9:9" x14ac:dyDescent="0.2">
      <c r="I4155" s="137" t="s">
        <v>74</v>
      </c>
    </row>
    <row r="4156" spans="9:9" x14ac:dyDescent="0.2">
      <c r="I4156" s="137" t="s">
        <v>74</v>
      </c>
    </row>
    <row r="4157" spans="9:9" x14ac:dyDescent="0.2">
      <c r="I4157" s="137" t="s">
        <v>74</v>
      </c>
    </row>
    <row r="4158" spans="9:9" x14ac:dyDescent="0.2">
      <c r="I4158" s="137" t="s">
        <v>74</v>
      </c>
    </row>
    <row r="4159" spans="9:9" x14ac:dyDescent="0.2">
      <c r="I4159" s="137" t="s">
        <v>74</v>
      </c>
    </row>
    <row r="4160" spans="9:9" x14ac:dyDescent="0.2">
      <c r="I4160" s="137" t="s">
        <v>74</v>
      </c>
    </row>
    <row r="4161" spans="9:9" x14ac:dyDescent="0.2">
      <c r="I4161" s="137" t="s">
        <v>74</v>
      </c>
    </row>
    <row r="4162" spans="9:9" x14ac:dyDescent="0.2">
      <c r="I4162" s="137" t="s">
        <v>74</v>
      </c>
    </row>
    <row r="4163" spans="9:9" x14ac:dyDescent="0.2">
      <c r="I4163" s="137" t="s">
        <v>74</v>
      </c>
    </row>
    <row r="4164" spans="9:9" x14ac:dyDescent="0.2">
      <c r="I4164" s="137" t="s">
        <v>74</v>
      </c>
    </row>
    <row r="4165" spans="9:9" x14ac:dyDescent="0.2">
      <c r="I4165" s="137" t="s">
        <v>74</v>
      </c>
    </row>
    <row r="4166" spans="9:9" x14ac:dyDescent="0.2">
      <c r="I4166" s="137" t="s">
        <v>74</v>
      </c>
    </row>
    <row r="4167" spans="9:9" x14ac:dyDescent="0.2">
      <c r="I4167" s="137" t="s">
        <v>74</v>
      </c>
    </row>
    <row r="4168" spans="9:9" x14ac:dyDescent="0.2">
      <c r="I4168" s="137" t="s">
        <v>74</v>
      </c>
    </row>
    <row r="4169" spans="9:9" x14ac:dyDescent="0.2">
      <c r="I4169" s="137" t="s">
        <v>74</v>
      </c>
    </row>
    <row r="4170" spans="9:9" x14ac:dyDescent="0.2">
      <c r="I4170" s="137" t="s">
        <v>74</v>
      </c>
    </row>
    <row r="4171" spans="9:9" x14ac:dyDescent="0.2">
      <c r="I4171" s="137" t="s">
        <v>74</v>
      </c>
    </row>
    <row r="4172" spans="9:9" x14ac:dyDescent="0.2">
      <c r="I4172" s="137" t="s">
        <v>74</v>
      </c>
    </row>
    <row r="4173" spans="9:9" x14ac:dyDescent="0.2">
      <c r="I4173" s="137" t="s">
        <v>74</v>
      </c>
    </row>
    <row r="4174" spans="9:9" x14ac:dyDescent="0.2">
      <c r="I4174" s="137" t="s">
        <v>74</v>
      </c>
    </row>
    <row r="4175" spans="9:9" x14ac:dyDescent="0.2">
      <c r="I4175" s="137" t="s">
        <v>74</v>
      </c>
    </row>
    <row r="4176" spans="9:9" x14ac:dyDescent="0.2">
      <c r="I4176" s="137" t="s">
        <v>74</v>
      </c>
    </row>
    <row r="4177" spans="9:9" x14ac:dyDescent="0.2">
      <c r="I4177" s="137" t="s">
        <v>74</v>
      </c>
    </row>
    <row r="4178" spans="9:9" x14ac:dyDescent="0.2">
      <c r="I4178" s="137" t="s">
        <v>74</v>
      </c>
    </row>
    <row r="4179" spans="9:9" x14ac:dyDescent="0.2">
      <c r="I4179" s="137" t="s">
        <v>74</v>
      </c>
    </row>
    <row r="4180" spans="9:9" x14ac:dyDescent="0.2">
      <c r="I4180" s="137" t="s">
        <v>74</v>
      </c>
    </row>
    <row r="4181" spans="9:9" x14ac:dyDescent="0.2">
      <c r="I4181" s="137" t="s">
        <v>74</v>
      </c>
    </row>
    <row r="4182" spans="9:9" x14ac:dyDescent="0.2">
      <c r="I4182" s="137" t="s">
        <v>74</v>
      </c>
    </row>
    <row r="4183" spans="9:9" x14ac:dyDescent="0.2">
      <c r="I4183" s="137" t="s">
        <v>74</v>
      </c>
    </row>
    <row r="4184" spans="9:9" x14ac:dyDescent="0.2">
      <c r="I4184" s="137" t="s">
        <v>74</v>
      </c>
    </row>
    <row r="4185" spans="9:9" x14ac:dyDescent="0.2">
      <c r="I4185" s="137" t="s">
        <v>74</v>
      </c>
    </row>
    <row r="4186" spans="9:9" x14ac:dyDescent="0.2">
      <c r="I4186" s="137" t="s">
        <v>74</v>
      </c>
    </row>
    <row r="4187" spans="9:9" x14ac:dyDescent="0.2">
      <c r="I4187" s="137" t="s">
        <v>74</v>
      </c>
    </row>
    <row r="4188" spans="9:9" x14ac:dyDescent="0.2">
      <c r="I4188" s="137" t="s">
        <v>74</v>
      </c>
    </row>
    <row r="4189" spans="9:9" x14ac:dyDescent="0.2">
      <c r="I4189" s="137" t="s">
        <v>74</v>
      </c>
    </row>
    <row r="4190" spans="9:9" x14ac:dyDescent="0.2">
      <c r="I4190" s="137" t="s">
        <v>74</v>
      </c>
    </row>
    <row r="4191" spans="9:9" x14ac:dyDescent="0.2">
      <c r="I4191" s="137" t="s">
        <v>74</v>
      </c>
    </row>
    <row r="4192" spans="9:9" x14ac:dyDescent="0.2">
      <c r="I4192" s="137" t="s">
        <v>74</v>
      </c>
    </row>
    <row r="4193" spans="9:9" x14ac:dyDescent="0.2">
      <c r="I4193" s="137" t="s">
        <v>74</v>
      </c>
    </row>
    <row r="4194" spans="9:9" x14ac:dyDescent="0.2">
      <c r="I4194" s="137" t="s">
        <v>74</v>
      </c>
    </row>
    <row r="4195" spans="9:9" x14ac:dyDescent="0.2">
      <c r="I4195" s="137" t="s">
        <v>74</v>
      </c>
    </row>
    <row r="4196" spans="9:9" x14ac:dyDescent="0.2">
      <c r="I4196" s="137" t="s">
        <v>74</v>
      </c>
    </row>
    <row r="4197" spans="9:9" x14ac:dyDescent="0.2">
      <c r="I4197" s="137" t="s">
        <v>74</v>
      </c>
    </row>
    <row r="4198" spans="9:9" x14ac:dyDescent="0.2">
      <c r="I4198" s="137" t="s">
        <v>74</v>
      </c>
    </row>
    <row r="4199" spans="9:9" x14ac:dyDescent="0.2">
      <c r="I4199" s="137" t="s">
        <v>74</v>
      </c>
    </row>
    <row r="4200" spans="9:9" x14ac:dyDescent="0.2">
      <c r="I4200" s="137" t="s">
        <v>74</v>
      </c>
    </row>
    <row r="4201" spans="9:9" x14ac:dyDescent="0.2">
      <c r="I4201" s="137" t="s">
        <v>74</v>
      </c>
    </row>
    <row r="4202" spans="9:9" x14ac:dyDescent="0.2">
      <c r="I4202" s="137" t="s">
        <v>74</v>
      </c>
    </row>
    <row r="4203" spans="9:9" x14ac:dyDescent="0.2">
      <c r="I4203" s="137" t="s">
        <v>74</v>
      </c>
    </row>
    <row r="4204" spans="9:9" x14ac:dyDescent="0.2">
      <c r="I4204" s="137" t="s">
        <v>74</v>
      </c>
    </row>
    <row r="4205" spans="9:9" x14ac:dyDescent="0.2">
      <c r="I4205" s="137" t="s">
        <v>74</v>
      </c>
    </row>
    <row r="4206" spans="9:9" x14ac:dyDescent="0.2">
      <c r="I4206" s="137" t="s">
        <v>74</v>
      </c>
    </row>
    <row r="4207" spans="9:9" x14ac:dyDescent="0.2">
      <c r="I4207" s="137" t="s">
        <v>74</v>
      </c>
    </row>
    <row r="4208" spans="9:9" x14ac:dyDescent="0.2">
      <c r="I4208" s="137" t="s">
        <v>74</v>
      </c>
    </row>
    <row r="4209" spans="9:9" x14ac:dyDescent="0.2">
      <c r="I4209" s="137" t="s">
        <v>74</v>
      </c>
    </row>
    <row r="4210" spans="9:9" x14ac:dyDescent="0.2">
      <c r="I4210" s="137" t="s">
        <v>74</v>
      </c>
    </row>
    <row r="4211" spans="9:9" x14ac:dyDescent="0.2">
      <c r="I4211" s="137" t="s">
        <v>74</v>
      </c>
    </row>
    <row r="4212" spans="9:9" x14ac:dyDescent="0.2">
      <c r="I4212" s="137" t="s">
        <v>74</v>
      </c>
    </row>
    <row r="4213" spans="9:9" x14ac:dyDescent="0.2">
      <c r="I4213" s="137" t="s">
        <v>74</v>
      </c>
    </row>
    <row r="4214" spans="9:9" x14ac:dyDescent="0.2">
      <c r="I4214" s="137" t="s">
        <v>74</v>
      </c>
    </row>
    <row r="4215" spans="9:9" x14ac:dyDescent="0.2">
      <c r="I4215" s="137" t="s">
        <v>74</v>
      </c>
    </row>
    <row r="4216" spans="9:9" x14ac:dyDescent="0.2">
      <c r="I4216" s="137" t="s">
        <v>74</v>
      </c>
    </row>
    <row r="4217" spans="9:9" x14ac:dyDescent="0.2">
      <c r="I4217" s="137" t="s">
        <v>74</v>
      </c>
    </row>
    <row r="4218" spans="9:9" x14ac:dyDescent="0.2">
      <c r="I4218" s="137" t="s">
        <v>74</v>
      </c>
    </row>
    <row r="4219" spans="9:9" x14ac:dyDescent="0.2">
      <c r="I4219" s="137" t="s">
        <v>74</v>
      </c>
    </row>
    <row r="4220" spans="9:9" x14ac:dyDescent="0.2">
      <c r="I4220" s="137" t="s">
        <v>74</v>
      </c>
    </row>
    <row r="4221" spans="9:9" x14ac:dyDescent="0.2">
      <c r="I4221" s="137" t="s">
        <v>74</v>
      </c>
    </row>
    <row r="4222" spans="9:9" x14ac:dyDescent="0.2">
      <c r="I4222" s="137" t="s">
        <v>74</v>
      </c>
    </row>
    <row r="4223" spans="9:9" x14ac:dyDescent="0.2">
      <c r="I4223" s="137" t="s">
        <v>74</v>
      </c>
    </row>
    <row r="4224" spans="9:9" x14ac:dyDescent="0.2">
      <c r="I4224" s="137" t="s">
        <v>74</v>
      </c>
    </row>
    <row r="4225" spans="9:9" x14ac:dyDescent="0.2">
      <c r="I4225" s="137" t="s">
        <v>74</v>
      </c>
    </row>
    <row r="4226" spans="9:9" x14ac:dyDescent="0.2">
      <c r="I4226" s="137" t="s">
        <v>74</v>
      </c>
    </row>
    <row r="4227" spans="9:9" x14ac:dyDescent="0.2">
      <c r="I4227" s="137" t="s">
        <v>74</v>
      </c>
    </row>
    <row r="4228" spans="9:9" x14ac:dyDescent="0.2">
      <c r="I4228" s="137" t="s">
        <v>74</v>
      </c>
    </row>
    <row r="4229" spans="9:9" x14ac:dyDescent="0.2">
      <c r="I4229" s="137" t="s">
        <v>74</v>
      </c>
    </row>
    <row r="4230" spans="9:9" x14ac:dyDescent="0.2">
      <c r="I4230" s="137" t="s">
        <v>74</v>
      </c>
    </row>
    <row r="4231" spans="9:9" x14ac:dyDescent="0.2">
      <c r="I4231" s="137" t="s">
        <v>74</v>
      </c>
    </row>
    <row r="4232" spans="9:9" x14ac:dyDescent="0.2">
      <c r="I4232" s="137" t="s">
        <v>74</v>
      </c>
    </row>
    <row r="4233" spans="9:9" x14ac:dyDescent="0.2">
      <c r="I4233" s="137" t="s">
        <v>74</v>
      </c>
    </row>
    <row r="4234" spans="9:9" x14ac:dyDescent="0.2">
      <c r="I4234" s="137" t="s">
        <v>74</v>
      </c>
    </row>
    <row r="4235" spans="9:9" x14ac:dyDescent="0.2">
      <c r="I4235" s="137" t="s">
        <v>74</v>
      </c>
    </row>
    <row r="4236" spans="9:9" x14ac:dyDescent="0.2">
      <c r="I4236" s="137" t="s">
        <v>74</v>
      </c>
    </row>
    <row r="4237" spans="9:9" x14ac:dyDescent="0.2">
      <c r="I4237" s="137" t="s">
        <v>74</v>
      </c>
    </row>
    <row r="4238" spans="9:9" x14ac:dyDescent="0.2">
      <c r="I4238" s="137" t="s">
        <v>74</v>
      </c>
    </row>
    <row r="4239" spans="9:9" x14ac:dyDescent="0.2">
      <c r="I4239" s="137" t="s">
        <v>74</v>
      </c>
    </row>
    <row r="4240" spans="9:9" x14ac:dyDescent="0.2">
      <c r="I4240" s="137" t="s">
        <v>74</v>
      </c>
    </row>
    <row r="4241" spans="9:9" x14ac:dyDescent="0.2">
      <c r="I4241" s="137" t="s">
        <v>74</v>
      </c>
    </row>
    <row r="4242" spans="9:9" x14ac:dyDescent="0.2">
      <c r="I4242" s="137" t="s">
        <v>74</v>
      </c>
    </row>
    <row r="4243" spans="9:9" x14ac:dyDescent="0.2">
      <c r="I4243" s="137" t="s">
        <v>74</v>
      </c>
    </row>
    <row r="4244" spans="9:9" x14ac:dyDescent="0.2">
      <c r="I4244" s="137" t="s">
        <v>74</v>
      </c>
    </row>
    <row r="4245" spans="9:9" x14ac:dyDescent="0.2">
      <c r="I4245" s="137" t="s">
        <v>74</v>
      </c>
    </row>
    <row r="4246" spans="9:9" x14ac:dyDescent="0.2">
      <c r="I4246" s="137" t="s">
        <v>74</v>
      </c>
    </row>
    <row r="4247" spans="9:9" x14ac:dyDescent="0.2">
      <c r="I4247" s="137" t="s">
        <v>74</v>
      </c>
    </row>
    <row r="4248" spans="9:9" x14ac:dyDescent="0.2">
      <c r="I4248" s="137" t="s">
        <v>74</v>
      </c>
    </row>
    <row r="4249" spans="9:9" x14ac:dyDescent="0.2">
      <c r="I4249" s="137" t="s">
        <v>74</v>
      </c>
    </row>
    <row r="4250" spans="9:9" x14ac:dyDescent="0.2">
      <c r="I4250" s="137" t="s">
        <v>74</v>
      </c>
    </row>
    <row r="4251" spans="9:9" x14ac:dyDescent="0.2">
      <c r="I4251" s="137" t="s">
        <v>74</v>
      </c>
    </row>
    <row r="4252" spans="9:9" x14ac:dyDescent="0.2">
      <c r="I4252" s="137" t="s">
        <v>74</v>
      </c>
    </row>
    <row r="4253" spans="9:9" x14ac:dyDescent="0.2">
      <c r="I4253" s="137" t="s">
        <v>74</v>
      </c>
    </row>
    <row r="4254" spans="9:9" x14ac:dyDescent="0.2">
      <c r="I4254" s="137" t="s">
        <v>74</v>
      </c>
    </row>
    <row r="4255" spans="9:9" x14ac:dyDescent="0.2">
      <c r="I4255" s="137" t="s">
        <v>74</v>
      </c>
    </row>
    <row r="4256" spans="9:9" x14ac:dyDescent="0.2">
      <c r="I4256" s="137" t="s">
        <v>74</v>
      </c>
    </row>
    <row r="4257" spans="9:9" x14ac:dyDescent="0.2">
      <c r="I4257" s="137" t="s">
        <v>74</v>
      </c>
    </row>
    <row r="4258" spans="9:9" x14ac:dyDescent="0.2">
      <c r="I4258" s="137" t="s">
        <v>74</v>
      </c>
    </row>
    <row r="4259" spans="9:9" x14ac:dyDescent="0.2">
      <c r="I4259" s="137" t="s">
        <v>74</v>
      </c>
    </row>
    <row r="4260" spans="9:9" x14ac:dyDescent="0.2">
      <c r="I4260" s="137" t="s">
        <v>74</v>
      </c>
    </row>
    <row r="4261" spans="9:9" x14ac:dyDescent="0.2">
      <c r="I4261" s="137" t="s">
        <v>74</v>
      </c>
    </row>
    <row r="4262" spans="9:9" x14ac:dyDescent="0.2">
      <c r="I4262" s="137" t="s">
        <v>74</v>
      </c>
    </row>
    <row r="4263" spans="9:9" x14ac:dyDescent="0.2">
      <c r="I4263" s="137" t="s">
        <v>74</v>
      </c>
    </row>
    <row r="4264" spans="9:9" x14ac:dyDescent="0.2">
      <c r="I4264" s="137" t="s">
        <v>74</v>
      </c>
    </row>
    <row r="4265" spans="9:9" x14ac:dyDescent="0.2">
      <c r="I4265" s="137" t="s">
        <v>74</v>
      </c>
    </row>
    <row r="4266" spans="9:9" x14ac:dyDescent="0.2">
      <c r="I4266" s="137" t="s">
        <v>74</v>
      </c>
    </row>
    <row r="4267" spans="9:9" x14ac:dyDescent="0.2">
      <c r="I4267" s="137" t="s">
        <v>74</v>
      </c>
    </row>
    <row r="4268" spans="9:9" x14ac:dyDescent="0.2">
      <c r="I4268" s="137" t="s">
        <v>74</v>
      </c>
    </row>
    <row r="4269" spans="9:9" x14ac:dyDescent="0.2">
      <c r="I4269" s="137" t="s">
        <v>74</v>
      </c>
    </row>
    <row r="4270" spans="9:9" x14ac:dyDescent="0.2">
      <c r="I4270" s="137" t="s">
        <v>74</v>
      </c>
    </row>
    <row r="4271" spans="9:9" x14ac:dyDescent="0.2">
      <c r="I4271" s="137" t="s">
        <v>74</v>
      </c>
    </row>
    <row r="4272" spans="9:9" x14ac:dyDescent="0.2">
      <c r="I4272" s="137" t="s">
        <v>74</v>
      </c>
    </row>
    <row r="4273" spans="9:9" x14ac:dyDescent="0.2">
      <c r="I4273" s="137" t="s">
        <v>74</v>
      </c>
    </row>
    <row r="4274" spans="9:9" x14ac:dyDescent="0.2">
      <c r="I4274" s="137" t="s">
        <v>74</v>
      </c>
    </row>
    <row r="4275" spans="9:9" x14ac:dyDescent="0.2">
      <c r="I4275" s="137" t="s">
        <v>74</v>
      </c>
    </row>
    <row r="4276" spans="9:9" x14ac:dyDescent="0.2">
      <c r="I4276" s="137" t="s">
        <v>74</v>
      </c>
    </row>
    <row r="4277" spans="9:9" x14ac:dyDescent="0.2">
      <c r="I4277" s="137" t="s">
        <v>74</v>
      </c>
    </row>
    <row r="4278" spans="9:9" x14ac:dyDescent="0.2">
      <c r="I4278" s="137" t="s">
        <v>74</v>
      </c>
    </row>
    <row r="4279" spans="9:9" x14ac:dyDescent="0.2">
      <c r="I4279" s="137" t="s">
        <v>74</v>
      </c>
    </row>
    <row r="4280" spans="9:9" x14ac:dyDescent="0.2">
      <c r="I4280" s="137" t="s">
        <v>74</v>
      </c>
    </row>
    <row r="4281" spans="9:9" x14ac:dyDescent="0.2">
      <c r="I4281" s="137" t="s">
        <v>74</v>
      </c>
    </row>
    <row r="4282" spans="9:9" x14ac:dyDescent="0.2">
      <c r="I4282" s="137" t="s">
        <v>74</v>
      </c>
    </row>
    <row r="4283" spans="9:9" x14ac:dyDescent="0.2">
      <c r="I4283" s="137" t="s">
        <v>74</v>
      </c>
    </row>
    <row r="4284" spans="9:9" x14ac:dyDescent="0.2">
      <c r="I4284" s="137" t="s">
        <v>74</v>
      </c>
    </row>
    <row r="4285" spans="9:9" x14ac:dyDescent="0.2">
      <c r="I4285" s="137" t="s">
        <v>74</v>
      </c>
    </row>
    <row r="4286" spans="9:9" x14ac:dyDescent="0.2">
      <c r="I4286" s="137" t="s">
        <v>74</v>
      </c>
    </row>
    <row r="4287" spans="9:9" x14ac:dyDescent="0.2">
      <c r="I4287" s="137" t="s">
        <v>74</v>
      </c>
    </row>
    <row r="4288" spans="9:9" x14ac:dyDescent="0.2">
      <c r="I4288" s="137" t="s">
        <v>74</v>
      </c>
    </row>
    <row r="4289" spans="9:9" x14ac:dyDescent="0.2">
      <c r="I4289" s="137" t="s">
        <v>74</v>
      </c>
    </row>
    <row r="4290" spans="9:9" x14ac:dyDescent="0.2">
      <c r="I4290" s="137" t="s">
        <v>74</v>
      </c>
    </row>
    <row r="4291" spans="9:9" x14ac:dyDescent="0.2">
      <c r="I4291" s="137" t="s">
        <v>74</v>
      </c>
    </row>
    <row r="4292" spans="9:9" x14ac:dyDescent="0.2">
      <c r="I4292" s="137" t="s">
        <v>74</v>
      </c>
    </row>
    <row r="4293" spans="9:9" x14ac:dyDescent="0.2">
      <c r="I4293" s="137" t="s">
        <v>74</v>
      </c>
    </row>
    <row r="4294" spans="9:9" x14ac:dyDescent="0.2">
      <c r="I4294" s="137" t="s">
        <v>74</v>
      </c>
    </row>
    <row r="4295" spans="9:9" x14ac:dyDescent="0.2">
      <c r="I4295" s="137" t="s">
        <v>74</v>
      </c>
    </row>
    <row r="4296" spans="9:9" x14ac:dyDescent="0.2">
      <c r="I4296" s="137" t="s">
        <v>74</v>
      </c>
    </row>
    <row r="4297" spans="9:9" x14ac:dyDescent="0.2">
      <c r="I4297" s="137" t="s">
        <v>74</v>
      </c>
    </row>
    <row r="4298" spans="9:9" x14ac:dyDescent="0.2">
      <c r="I4298" s="137" t="s">
        <v>74</v>
      </c>
    </row>
    <row r="4299" spans="9:9" x14ac:dyDescent="0.2">
      <c r="I4299" s="137" t="s">
        <v>74</v>
      </c>
    </row>
    <row r="4300" spans="9:9" x14ac:dyDescent="0.2">
      <c r="I4300" s="137" t="s">
        <v>74</v>
      </c>
    </row>
    <row r="4301" spans="9:9" x14ac:dyDescent="0.2">
      <c r="I4301" s="137" t="s">
        <v>74</v>
      </c>
    </row>
    <row r="4302" spans="9:9" x14ac:dyDescent="0.2">
      <c r="I4302" s="137" t="s">
        <v>74</v>
      </c>
    </row>
    <row r="4303" spans="9:9" x14ac:dyDescent="0.2">
      <c r="I4303" s="137" t="s">
        <v>74</v>
      </c>
    </row>
    <row r="4304" spans="9:9" x14ac:dyDescent="0.2">
      <c r="I4304" s="137" t="s">
        <v>74</v>
      </c>
    </row>
    <row r="4305" spans="9:9" x14ac:dyDescent="0.2">
      <c r="I4305" s="137" t="s">
        <v>74</v>
      </c>
    </row>
    <row r="4306" spans="9:9" x14ac:dyDescent="0.2">
      <c r="I4306" s="137" t="s">
        <v>74</v>
      </c>
    </row>
    <row r="4307" spans="9:9" x14ac:dyDescent="0.2">
      <c r="I4307" s="137" t="s">
        <v>74</v>
      </c>
    </row>
    <row r="4308" spans="9:9" x14ac:dyDescent="0.2">
      <c r="I4308" s="137" t="s">
        <v>74</v>
      </c>
    </row>
    <row r="4309" spans="9:9" x14ac:dyDescent="0.2">
      <c r="I4309" s="137" t="s">
        <v>74</v>
      </c>
    </row>
    <row r="4310" spans="9:9" x14ac:dyDescent="0.2">
      <c r="I4310" s="137" t="s">
        <v>74</v>
      </c>
    </row>
    <row r="4311" spans="9:9" x14ac:dyDescent="0.2">
      <c r="I4311" s="137" t="s">
        <v>74</v>
      </c>
    </row>
    <row r="4312" spans="9:9" x14ac:dyDescent="0.2">
      <c r="I4312" s="137" t="s">
        <v>74</v>
      </c>
    </row>
    <row r="4313" spans="9:9" x14ac:dyDescent="0.2">
      <c r="I4313" s="137" t="s">
        <v>74</v>
      </c>
    </row>
    <row r="4314" spans="9:9" x14ac:dyDescent="0.2">
      <c r="I4314" s="137" t="s">
        <v>74</v>
      </c>
    </row>
    <row r="4315" spans="9:9" x14ac:dyDescent="0.2">
      <c r="I4315" s="137" t="s">
        <v>74</v>
      </c>
    </row>
    <row r="4316" spans="9:9" x14ac:dyDescent="0.2">
      <c r="I4316" s="137" t="s">
        <v>74</v>
      </c>
    </row>
    <row r="4317" spans="9:9" x14ac:dyDescent="0.2">
      <c r="I4317" s="137" t="s">
        <v>74</v>
      </c>
    </row>
    <row r="4318" spans="9:9" x14ac:dyDescent="0.2">
      <c r="I4318" s="137" t="s">
        <v>74</v>
      </c>
    </row>
    <row r="4319" spans="9:9" x14ac:dyDescent="0.2">
      <c r="I4319" s="137" t="s">
        <v>74</v>
      </c>
    </row>
    <row r="4320" spans="9:9" x14ac:dyDescent="0.2">
      <c r="I4320" s="137" t="s">
        <v>74</v>
      </c>
    </row>
    <row r="4321" spans="9:9" x14ac:dyDescent="0.2">
      <c r="I4321" s="137" t="s">
        <v>74</v>
      </c>
    </row>
    <row r="4322" spans="9:9" x14ac:dyDescent="0.2">
      <c r="I4322" s="137" t="s">
        <v>74</v>
      </c>
    </row>
    <row r="4323" spans="9:9" x14ac:dyDescent="0.2">
      <c r="I4323" s="137" t="s">
        <v>74</v>
      </c>
    </row>
    <row r="4324" spans="9:9" x14ac:dyDescent="0.2">
      <c r="I4324" s="137" t="s">
        <v>74</v>
      </c>
    </row>
    <row r="4325" spans="9:9" x14ac:dyDescent="0.2">
      <c r="I4325" s="137" t="s">
        <v>74</v>
      </c>
    </row>
    <row r="4326" spans="9:9" x14ac:dyDescent="0.2">
      <c r="I4326" s="137" t="s">
        <v>74</v>
      </c>
    </row>
    <row r="4327" spans="9:9" x14ac:dyDescent="0.2">
      <c r="I4327" s="137" t="s">
        <v>74</v>
      </c>
    </row>
    <row r="4328" spans="9:9" x14ac:dyDescent="0.2">
      <c r="I4328" s="137" t="s">
        <v>74</v>
      </c>
    </row>
    <row r="4329" spans="9:9" x14ac:dyDescent="0.2">
      <c r="I4329" s="137" t="s">
        <v>74</v>
      </c>
    </row>
    <row r="4330" spans="9:9" x14ac:dyDescent="0.2">
      <c r="I4330" s="137" t="s">
        <v>74</v>
      </c>
    </row>
    <row r="4331" spans="9:9" x14ac:dyDescent="0.2">
      <c r="I4331" s="137" t="s">
        <v>74</v>
      </c>
    </row>
    <row r="4332" spans="9:9" x14ac:dyDescent="0.2">
      <c r="I4332" s="137" t="s">
        <v>74</v>
      </c>
    </row>
    <row r="4333" spans="9:9" x14ac:dyDescent="0.2">
      <c r="I4333" s="137" t="s">
        <v>74</v>
      </c>
    </row>
    <row r="4334" spans="9:9" x14ac:dyDescent="0.2">
      <c r="I4334" s="137" t="s">
        <v>74</v>
      </c>
    </row>
    <row r="4335" spans="9:9" x14ac:dyDescent="0.2">
      <c r="I4335" s="137" t="s">
        <v>74</v>
      </c>
    </row>
    <row r="4336" spans="9:9" x14ac:dyDescent="0.2">
      <c r="I4336" s="137" t="s">
        <v>74</v>
      </c>
    </row>
    <row r="4337" spans="9:9" x14ac:dyDescent="0.2">
      <c r="I4337" s="137" t="s">
        <v>74</v>
      </c>
    </row>
    <row r="4338" spans="9:9" x14ac:dyDescent="0.2">
      <c r="I4338" s="137" t="s">
        <v>74</v>
      </c>
    </row>
    <row r="4339" spans="9:9" x14ac:dyDescent="0.2">
      <c r="I4339" s="137" t="s">
        <v>74</v>
      </c>
    </row>
    <row r="4340" spans="9:9" x14ac:dyDescent="0.2">
      <c r="I4340" s="137" t="s">
        <v>74</v>
      </c>
    </row>
    <row r="4341" spans="9:9" x14ac:dyDescent="0.2">
      <c r="I4341" s="137" t="s">
        <v>74</v>
      </c>
    </row>
    <row r="4342" spans="9:9" x14ac:dyDescent="0.2">
      <c r="I4342" s="137" t="s">
        <v>74</v>
      </c>
    </row>
    <row r="4343" spans="9:9" x14ac:dyDescent="0.2">
      <c r="I4343" s="137" t="s">
        <v>74</v>
      </c>
    </row>
    <row r="4344" spans="9:9" x14ac:dyDescent="0.2">
      <c r="I4344" s="137" t="s">
        <v>74</v>
      </c>
    </row>
    <row r="4345" spans="9:9" x14ac:dyDescent="0.2">
      <c r="I4345" s="137" t="s">
        <v>74</v>
      </c>
    </row>
    <row r="4346" spans="9:9" x14ac:dyDescent="0.2">
      <c r="I4346" s="137" t="s">
        <v>74</v>
      </c>
    </row>
    <row r="4347" spans="9:9" x14ac:dyDescent="0.2">
      <c r="I4347" s="137" t="s">
        <v>74</v>
      </c>
    </row>
    <row r="4348" spans="9:9" x14ac:dyDescent="0.2">
      <c r="I4348" s="137" t="s">
        <v>74</v>
      </c>
    </row>
    <row r="4349" spans="9:9" x14ac:dyDescent="0.2">
      <c r="I4349" s="137" t="s">
        <v>74</v>
      </c>
    </row>
    <row r="4350" spans="9:9" x14ac:dyDescent="0.2">
      <c r="I4350" s="137" t="s">
        <v>74</v>
      </c>
    </row>
    <row r="4351" spans="9:9" x14ac:dyDescent="0.2">
      <c r="I4351" s="137" t="s">
        <v>74</v>
      </c>
    </row>
    <row r="4352" spans="9:9" x14ac:dyDescent="0.2">
      <c r="I4352" s="137" t="s">
        <v>74</v>
      </c>
    </row>
    <row r="4353" spans="9:9" x14ac:dyDescent="0.2">
      <c r="I4353" s="137" t="s">
        <v>74</v>
      </c>
    </row>
    <row r="4354" spans="9:9" x14ac:dyDescent="0.2">
      <c r="I4354" s="137" t="s">
        <v>74</v>
      </c>
    </row>
    <row r="4355" spans="9:9" x14ac:dyDescent="0.2">
      <c r="I4355" s="137" t="s">
        <v>74</v>
      </c>
    </row>
    <row r="4356" spans="9:9" x14ac:dyDescent="0.2">
      <c r="I4356" s="137" t="s">
        <v>74</v>
      </c>
    </row>
    <row r="4357" spans="9:9" x14ac:dyDescent="0.2">
      <c r="I4357" s="137" t="s">
        <v>74</v>
      </c>
    </row>
    <row r="4358" spans="9:9" x14ac:dyDescent="0.2">
      <c r="I4358" s="137" t="s">
        <v>74</v>
      </c>
    </row>
    <row r="4359" spans="9:9" x14ac:dyDescent="0.2">
      <c r="I4359" s="137" t="s">
        <v>74</v>
      </c>
    </row>
    <row r="4360" spans="9:9" x14ac:dyDescent="0.2">
      <c r="I4360" s="137" t="s">
        <v>74</v>
      </c>
    </row>
    <row r="4361" spans="9:9" x14ac:dyDescent="0.2">
      <c r="I4361" s="137" t="s">
        <v>74</v>
      </c>
    </row>
    <row r="4362" spans="9:9" x14ac:dyDescent="0.2">
      <c r="I4362" s="137" t="s">
        <v>74</v>
      </c>
    </row>
    <row r="4363" spans="9:9" x14ac:dyDescent="0.2">
      <c r="I4363" s="137" t="s">
        <v>74</v>
      </c>
    </row>
    <row r="4364" spans="9:9" x14ac:dyDescent="0.2">
      <c r="I4364" s="137" t="s">
        <v>74</v>
      </c>
    </row>
    <row r="4365" spans="9:9" x14ac:dyDescent="0.2">
      <c r="I4365" s="137" t="s">
        <v>74</v>
      </c>
    </row>
    <row r="4366" spans="9:9" x14ac:dyDescent="0.2">
      <c r="I4366" s="137" t="s">
        <v>74</v>
      </c>
    </row>
    <row r="4367" spans="9:9" x14ac:dyDescent="0.2">
      <c r="I4367" s="137" t="s">
        <v>74</v>
      </c>
    </row>
    <row r="4368" spans="9:9" x14ac:dyDescent="0.2">
      <c r="I4368" s="137" t="s">
        <v>74</v>
      </c>
    </row>
    <row r="4369" spans="9:9" x14ac:dyDescent="0.2">
      <c r="I4369" s="137" t="s">
        <v>74</v>
      </c>
    </row>
    <row r="4370" spans="9:9" x14ac:dyDescent="0.2">
      <c r="I4370" s="137" t="s">
        <v>74</v>
      </c>
    </row>
    <row r="4371" spans="9:9" x14ac:dyDescent="0.2">
      <c r="I4371" s="137" t="s">
        <v>74</v>
      </c>
    </row>
    <row r="4372" spans="9:9" x14ac:dyDescent="0.2">
      <c r="I4372" s="137" t="s">
        <v>74</v>
      </c>
    </row>
    <row r="4373" spans="9:9" x14ac:dyDescent="0.2">
      <c r="I4373" s="137" t="s">
        <v>74</v>
      </c>
    </row>
    <row r="4374" spans="9:9" x14ac:dyDescent="0.2">
      <c r="I4374" s="137" t="s">
        <v>74</v>
      </c>
    </row>
    <row r="4375" spans="9:9" x14ac:dyDescent="0.2">
      <c r="I4375" s="137" t="s">
        <v>74</v>
      </c>
    </row>
    <row r="4376" spans="9:9" x14ac:dyDescent="0.2">
      <c r="I4376" s="137" t="s">
        <v>74</v>
      </c>
    </row>
    <row r="4377" spans="9:9" x14ac:dyDescent="0.2">
      <c r="I4377" s="137" t="s">
        <v>74</v>
      </c>
    </row>
    <row r="4378" spans="9:9" x14ac:dyDescent="0.2">
      <c r="I4378" s="137" t="s">
        <v>74</v>
      </c>
    </row>
    <row r="4379" spans="9:9" x14ac:dyDescent="0.2">
      <c r="I4379" s="137" t="s">
        <v>74</v>
      </c>
    </row>
    <row r="4380" spans="9:9" x14ac:dyDescent="0.2">
      <c r="I4380" s="137" t="s">
        <v>74</v>
      </c>
    </row>
    <row r="4381" spans="9:9" x14ac:dyDescent="0.2">
      <c r="I4381" s="137" t="s">
        <v>74</v>
      </c>
    </row>
    <row r="4382" spans="9:9" x14ac:dyDescent="0.2">
      <c r="I4382" s="137" t="s">
        <v>74</v>
      </c>
    </row>
    <row r="4383" spans="9:9" x14ac:dyDescent="0.2">
      <c r="I4383" s="137" t="s">
        <v>74</v>
      </c>
    </row>
    <row r="4384" spans="9:9" x14ac:dyDescent="0.2">
      <c r="I4384" s="137" t="s">
        <v>74</v>
      </c>
    </row>
    <row r="4385" spans="9:9" x14ac:dyDescent="0.2">
      <c r="I4385" s="137" t="s">
        <v>74</v>
      </c>
    </row>
    <row r="4386" spans="9:9" x14ac:dyDescent="0.2">
      <c r="I4386" s="137" t="s">
        <v>74</v>
      </c>
    </row>
    <row r="4387" spans="9:9" x14ac:dyDescent="0.2">
      <c r="I4387" s="137" t="s">
        <v>74</v>
      </c>
    </row>
    <row r="4388" spans="9:9" x14ac:dyDescent="0.2">
      <c r="I4388" s="137" t="s">
        <v>74</v>
      </c>
    </row>
    <row r="4389" spans="9:9" x14ac:dyDescent="0.2">
      <c r="I4389" s="137" t="s">
        <v>74</v>
      </c>
    </row>
    <row r="4390" spans="9:9" x14ac:dyDescent="0.2">
      <c r="I4390" s="137" t="s">
        <v>74</v>
      </c>
    </row>
    <row r="4391" spans="9:9" x14ac:dyDescent="0.2">
      <c r="I4391" s="137" t="s">
        <v>74</v>
      </c>
    </row>
    <row r="4392" spans="9:9" x14ac:dyDescent="0.2">
      <c r="I4392" s="137" t="s">
        <v>74</v>
      </c>
    </row>
    <row r="4393" spans="9:9" x14ac:dyDescent="0.2">
      <c r="I4393" s="137" t="s">
        <v>74</v>
      </c>
    </row>
    <row r="4394" spans="9:9" x14ac:dyDescent="0.2">
      <c r="I4394" s="137" t="s">
        <v>74</v>
      </c>
    </row>
    <row r="4395" spans="9:9" x14ac:dyDescent="0.2">
      <c r="I4395" s="137" t="s">
        <v>74</v>
      </c>
    </row>
    <row r="4396" spans="9:9" x14ac:dyDescent="0.2">
      <c r="I4396" s="137" t="s">
        <v>74</v>
      </c>
    </row>
    <row r="4397" spans="9:9" x14ac:dyDescent="0.2">
      <c r="I4397" s="137" t="s">
        <v>74</v>
      </c>
    </row>
    <row r="4398" spans="9:9" x14ac:dyDescent="0.2">
      <c r="I4398" s="137" t="s">
        <v>74</v>
      </c>
    </row>
    <row r="4399" spans="9:9" x14ac:dyDescent="0.2">
      <c r="I4399" s="137" t="s">
        <v>74</v>
      </c>
    </row>
    <row r="4400" spans="9:9" x14ac:dyDescent="0.2">
      <c r="I4400" s="137" t="s">
        <v>74</v>
      </c>
    </row>
    <row r="4401" spans="9:9" x14ac:dyDescent="0.2">
      <c r="I4401" s="137" t="s">
        <v>74</v>
      </c>
    </row>
    <row r="4402" spans="9:9" x14ac:dyDescent="0.2">
      <c r="I4402" s="137" t="s">
        <v>74</v>
      </c>
    </row>
    <row r="4403" spans="9:9" x14ac:dyDescent="0.2">
      <c r="I4403" s="137" t="s">
        <v>74</v>
      </c>
    </row>
    <row r="4404" spans="9:9" x14ac:dyDescent="0.2">
      <c r="I4404" s="137" t="s">
        <v>74</v>
      </c>
    </row>
    <row r="4405" spans="9:9" x14ac:dyDescent="0.2">
      <c r="I4405" s="137" t="s">
        <v>74</v>
      </c>
    </row>
    <row r="4406" spans="9:9" x14ac:dyDescent="0.2">
      <c r="I4406" s="137" t="s">
        <v>74</v>
      </c>
    </row>
    <row r="4407" spans="9:9" x14ac:dyDescent="0.2">
      <c r="I4407" s="137" t="s">
        <v>74</v>
      </c>
    </row>
    <row r="4408" spans="9:9" x14ac:dyDescent="0.2">
      <c r="I4408" s="137" t="s">
        <v>74</v>
      </c>
    </row>
    <row r="4409" spans="9:9" x14ac:dyDescent="0.2">
      <c r="I4409" s="137" t="s">
        <v>74</v>
      </c>
    </row>
    <row r="4410" spans="9:9" x14ac:dyDescent="0.2">
      <c r="I4410" s="137" t="s">
        <v>74</v>
      </c>
    </row>
    <row r="4411" spans="9:9" x14ac:dyDescent="0.2">
      <c r="I4411" s="137" t="s">
        <v>74</v>
      </c>
    </row>
    <row r="4412" spans="9:9" x14ac:dyDescent="0.2">
      <c r="I4412" s="137" t="s">
        <v>74</v>
      </c>
    </row>
    <row r="4413" spans="9:9" x14ac:dyDescent="0.2">
      <c r="I4413" s="137" t="s">
        <v>74</v>
      </c>
    </row>
    <row r="4414" spans="9:9" x14ac:dyDescent="0.2">
      <c r="I4414" s="137" t="s">
        <v>74</v>
      </c>
    </row>
    <row r="4415" spans="9:9" x14ac:dyDescent="0.2">
      <c r="I4415" s="137" t="s">
        <v>74</v>
      </c>
    </row>
    <row r="4416" spans="9:9" x14ac:dyDescent="0.2">
      <c r="I4416" s="137" t="s">
        <v>74</v>
      </c>
    </row>
    <row r="4417" spans="9:9" x14ac:dyDescent="0.2">
      <c r="I4417" s="137" t="s">
        <v>74</v>
      </c>
    </row>
    <row r="4418" spans="9:9" x14ac:dyDescent="0.2">
      <c r="I4418" s="137" t="s">
        <v>74</v>
      </c>
    </row>
    <row r="4419" spans="9:9" x14ac:dyDescent="0.2">
      <c r="I4419" s="137" t="s">
        <v>74</v>
      </c>
    </row>
    <row r="4420" spans="9:9" x14ac:dyDescent="0.2">
      <c r="I4420" s="137" t="s">
        <v>74</v>
      </c>
    </row>
    <row r="4421" spans="9:9" x14ac:dyDescent="0.2">
      <c r="I4421" s="137" t="s">
        <v>74</v>
      </c>
    </row>
    <row r="4422" spans="9:9" x14ac:dyDescent="0.2">
      <c r="I4422" s="137" t="s">
        <v>74</v>
      </c>
    </row>
    <row r="4423" spans="9:9" x14ac:dyDescent="0.2">
      <c r="I4423" s="137" t="s">
        <v>74</v>
      </c>
    </row>
    <row r="4424" spans="9:9" x14ac:dyDescent="0.2">
      <c r="I4424" s="137" t="s">
        <v>74</v>
      </c>
    </row>
    <row r="4425" spans="9:9" x14ac:dyDescent="0.2">
      <c r="I4425" s="137" t="s">
        <v>74</v>
      </c>
    </row>
    <row r="4426" spans="9:9" x14ac:dyDescent="0.2">
      <c r="I4426" s="137" t="s">
        <v>74</v>
      </c>
    </row>
    <row r="4427" spans="9:9" x14ac:dyDescent="0.2">
      <c r="I4427" s="137" t="s">
        <v>74</v>
      </c>
    </row>
    <row r="4428" spans="9:9" x14ac:dyDescent="0.2">
      <c r="I4428" s="137" t="s">
        <v>74</v>
      </c>
    </row>
    <row r="4429" spans="9:9" x14ac:dyDescent="0.2">
      <c r="I4429" s="137" t="s">
        <v>74</v>
      </c>
    </row>
    <row r="4430" spans="9:9" x14ac:dyDescent="0.2">
      <c r="I4430" s="137" t="s">
        <v>74</v>
      </c>
    </row>
    <row r="4431" spans="9:9" x14ac:dyDescent="0.2">
      <c r="I4431" s="137" t="s">
        <v>74</v>
      </c>
    </row>
    <row r="4432" spans="9:9" x14ac:dyDescent="0.2">
      <c r="I4432" s="137" t="s">
        <v>74</v>
      </c>
    </row>
    <row r="4433" spans="9:9" x14ac:dyDescent="0.2">
      <c r="I4433" s="137" t="s">
        <v>74</v>
      </c>
    </row>
    <row r="4434" spans="9:9" x14ac:dyDescent="0.2">
      <c r="I4434" s="137" t="s">
        <v>74</v>
      </c>
    </row>
    <row r="4435" spans="9:9" x14ac:dyDescent="0.2">
      <c r="I4435" s="137" t="s">
        <v>74</v>
      </c>
    </row>
    <row r="4436" spans="9:9" x14ac:dyDescent="0.2">
      <c r="I4436" s="137" t="s">
        <v>74</v>
      </c>
    </row>
    <row r="4437" spans="9:9" x14ac:dyDescent="0.2">
      <c r="I4437" s="137" t="s">
        <v>74</v>
      </c>
    </row>
    <row r="4438" spans="9:9" x14ac:dyDescent="0.2">
      <c r="I4438" s="137" t="s">
        <v>74</v>
      </c>
    </row>
    <row r="4439" spans="9:9" x14ac:dyDescent="0.2">
      <c r="I4439" s="137" t="s">
        <v>74</v>
      </c>
    </row>
    <row r="4440" spans="9:9" x14ac:dyDescent="0.2">
      <c r="I4440" s="137" t="s">
        <v>74</v>
      </c>
    </row>
    <row r="4441" spans="9:9" x14ac:dyDescent="0.2">
      <c r="I4441" s="137" t="s">
        <v>74</v>
      </c>
    </row>
    <row r="4442" spans="9:9" x14ac:dyDescent="0.2">
      <c r="I4442" s="137" t="s">
        <v>74</v>
      </c>
    </row>
    <row r="4443" spans="9:9" x14ac:dyDescent="0.2">
      <c r="I4443" s="137" t="s">
        <v>74</v>
      </c>
    </row>
    <row r="4444" spans="9:9" x14ac:dyDescent="0.2">
      <c r="I4444" s="137" t="s">
        <v>74</v>
      </c>
    </row>
    <row r="4445" spans="9:9" x14ac:dyDescent="0.2">
      <c r="I4445" s="137" t="s">
        <v>74</v>
      </c>
    </row>
    <row r="4446" spans="9:9" x14ac:dyDescent="0.2">
      <c r="I4446" s="137" t="s">
        <v>74</v>
      </c>
    </row>
    <row r="4447" spans="9:9" x14ac:dyDescent="0.2">
      <c r="I4447" s="137" t="s">
        <v>74</v>
      </c>
    </row>
    <row r="4448" spans="9:9" x14ac:dyDescent="0.2">
      <c r="I4448" s="137" t="s">
        <v>74</v>
      </c>
    </row>
    <row r="4449" spans="9:9" x14ac:dyDescent="0.2">
      <c r="I4449" s="137" t="s">
        <v>74</v>
      </c>
    </row>
    <row r="4450" spans="9:9" x14ac:dyDescent="0.2">
      <c r="I4450" s="137" t="s">
        <v>74</v>
      </c>
    </row>
    <row r="4451" spans="9:9" x14ac:dyDescent="0.2">
      <c r="I4451" s="137" t="s">
        <v>74</v>
      </c>
    </row>
    <row r="4452" spans="9:9" x14ac:dyDescent="0.2">
      <c r="I4452" s="137" t="s">
        <v>74</v>
      </c>
    </row>
    <row r="4453" spans="9:9" x14ac:dyDescent="0.2">
      <c r="I4453" s="137" t="s">
        <v>74</v>
      </c>
    </row>
    <row r="4454" spans="9:9" x14ac:dyDescent="0.2">
      <c r="I4454" s="137" t="s">
        <v>74</v>
      </c>
    </row>
    <row r="4455" spans="9:9" x14ac:dyDescent="0.2">
      <c r="I4455" s="137" t="s">
        <v>74</v>
      </c>
    </row>
    <row r="4456" spans="9:9" x14ac:dyDescent="0.2">
      <c r="I4456" s="137" t="s">
        <v>74</v>
      </c>
    </row>
    <row r="4457" spans="9:9" x14ac:dyDescent="0.2">
      <c r="I4457" s="137" t="s">
        <v>74</v>
      </c>
    </row>
    <row r="4458" spans="9:9" x14ac:dyDescent="0.2">
      <c r="I4458" s="137" t="s">
        <v>74</v>
      </c>
    </row>
    <row r="4459" spans="9:9" x14ac:dyDescent="0.2">
      <c r="I4459" s="137" t="s">
        <v>74</v>
      </c>
    </row>
    <row r="4460" spans="9:9" x14ac:dyDescent="0.2">
      <c r="I4460" s="137" t="s">
        <v>74</v>
      </c>
    </row>
    <row r="4461" spans="9:9" x14ac:dyDescent="0.2">
      <c r="I4461" s="137" t="s">
        <v>74</v>
      </c>
    </row>
    <row r="4462" spans="9:9" x14ac:dyDescent="0.2">
      <c r="I4462" s="137" t="s">
        <v>74</v>
      </c>
    </row>
    <row r="4463" spans="9:9" x14ac:dyDescent="0.2">
      <c r="I4463" s="137" t="s">
        <v>74</v>
      </c>
    </row>
    <row r="4464" spans="9:9" x14ac:dyDescent="0.2">
      <c r="I4464" s="137" t="s">
        <v>74</v>
      </c>
    </row>
    <row r="4465" spans="9:9" x14ac:dyDescent="0.2">
      <c r="I4465" s="137" t="s">
        <v>74</v>
      </c>
    </row>
    <row r="4466" spans="9:9" x14ac:dyDescent="0.2">
      <c r="I4466" s="137" t="s">
        <v>74</v>
      </c>
    </row>
    <row r="4467" spans="9:9" x14ac:dyDescent="0.2">
      <c r="I4467" s="137" t="s">
        <v>74</v>
      </c>
    </row>
    <row r="4468" spans="9:9" x14ac:dyDescent="0.2">
      <c r="I4468" s="137" t="s">
        <v>74</v>
      </c>
    </row>
    <row r="4469" spans="9:9" x14ac:dyDescent="0.2">
      <c r="I4469" s="137" t="s">
        <v>74</v>
      </c>
    </row>
    <row r="4470" spans="9:9" x14ac:dyDescent="0.2">
      <c r="I4470" s="137" t="s">
        <v>74</v>
      </c>
    </row>
    <row r="4471" spans="9:9" x14ac:dyDescent="0.2">
      <c r="I4471" s="137" t="s">
        <v>74</v>
      </c>
    </row>
    <row r="4472" spans="9:9" x14ac:dyDescent="0.2">
      <c r="I4472" s="137" t="s">
        <v>74</v>
      </c>
    </row>
    <row r="4473" spans="9:9" x14ac:dyDescent="0.2">
      <c r="I4473" s="137" t="s">
        <v>74</v>
      </c>
    </row>
    <row r="4474" spans="9:9" x14ac:dyDescent="0.2">
      <c r="I4474" s="137" t="s">
        <v>74</v>
      </c>
    </row>
    <row r="4475" spans="9:9" x14ac:dyDescent="0.2">
      <c r="I4475" s="137" t="s">
        <v>74</v>
      </c>
    </row>
    <row r="4476" spans="9:9" x14ac:dyDescent="0.2">
      <c r="I4476" s="137" t="s">
        <v>74</v>
      </c>
    </row>
    <row r="4477" spans="9:9" x14ac:dyDescent="0.2">
      <c r="I4477" s="137" t="s">
        <v>74</v>
      </c>
    </row>
    <row r="4478" spans="9:9" x14ac:dyDescent="0.2">
      <c r="I4478" s="137" t="s">
        <v>74</v>
      </c>
    </row>
    <row r="4479" spans="9:9" x14ac:dyDescent="0.2">
      <c r="I4479" s="137" t="s">
        <v>74</v>
      </c>
    </row>
    <row r="4480" spans="9:9" x14ac:dyDescent="0.2">
      <c r="I4480" s="137" t="s">
        <v>74</v>
      </c>
    </row>
    <row r="4481" spans="9:9" x14ac:dyDescent="0.2">
      <c r="I4481" s="137" t="s">
        <v>74</v>
      </c>
    </row>
    <row r="4482" spans="9:9" x14ac:dyDescent="0.2">
      <c r="I4482" s="137" t="s">
        <v>74</v>
      </c>
    </row>
    <row r="4483" spans="9:9" x14ac:dyDescent="0.2">
      <c r="I4483" s="137" t="s">
        <v>74</v>
      </c>
    </row>
    <row r="4484" spans="9:9" x14ac:dyDescent="0.2">
      <c r="I4484" s="137" t="s">
        <v>74</v>
      </c>
    </row>
    <row r="4485" spans="9:9" x14ac:dyDescent="0.2">
      <c r="I4485" s="137" t="s">
        <v>74</v>
      </c>
    </row>
    <row r="4486" spans="9:9" x14ac:dyDescent="0.2">
      <c r="I4486" s="137" t="s">
        <v>74</v>
      </c>
    </row>
    <row r="4487" spans="9:9" x14ac:dyDescent="0.2">
      <c r="I4487" s="137" t="s">
        <v>74</v>
      </c>
    </row>
    <row r="4488" spans="9:9" x14ac:dyDescent="0.2">
      <c r="I4488" s="137" t="s">
        <v>74</v>
      </c>
    </row>
    <row r="4489" spans="9:9" x14ac:dyDescent="0.2">
      <c r="I4489" s="137" t="s">
        <v>74</v>
      </c>
    </row>
    <row r="4490" spans="9:9" x14ac:dyDescent="0.2">
      <c r="I4490" s="137" t="s">
        <v>74</v>
      </c>
    </row>
    <row r="4491" spans="9:9" x14ac:dyDescent="0.2">
      <c r="I4491" s="137" t="s">
        <v>74</v>
      </c>
    </row>
    <row r="4492" spans="9:9" x14ac:dyDescent="0.2">
      <c r="I4492" s="137" t="s">
        <v>74</v>
      </c>
    </row>
    <row r="4493" spans="9:9" x14ac:dyDescent="0.2">
      <c r="I4493" s="137" t="s">
        <v>74</v>
      </c>
    </row>
    <row r="4494" spans="9:9" x14ac:dyDescent="0.2">
      <c r="I4494" s="137" t="s">
        <v>74</v>
      </c>
    </row>
    <row r="4495" spans="9:9" x14ac:dyDescent="0.2">
      <c r="I4495" s="137" t="s">
        <v>74</v>
      </c>
    </row>
    <row r="4496" spans="9:9" x14ac:dyDescent="0.2">
      <c r="I4496" s="137" t="s">
        <v>74</v>
      </c>
    </row>
    <row r="4497" spans="9:9" x14ac:dyDescent="0.2">
      <c r="I4497" s="137" t="s">
        <v>74</v>
      </c>
    </row>
    <row r="4498" spans="9:9" x14ac:dyDescent="0.2">
      <c r="I4498" s="137" t="s">
        <v>74</v>
      </c>
    </row>
    <row r="4499" spans="9:9" x14ac:dyDescent="0.2">
      <c r="I4499" s="137" t="s">
        <v>74</v>
      </c>
    </row>
    <row r="4500" spans="9:9" x14ac:dyDescent="0.2">
      <c r="I4500" s="137" t="s">
        <v>74</v>
      </c>
    </row>
    <row r="4501" spans="9:9" x14ac:dyDescent="0.2">
      <c r="I4501" s="137" t="s">
        <v>74</v>
      </c>
    </row>
    <row r="4502" spans="9:9" x14ac:dyDescent="0.2">
      <c r="I4502" s="137" t="s">
        <v>74</v>
      </c>
    </row>
    <row r="4503" spans="9:9" x14ac:dyDescent="0.2">
      <c r="I4503" s="137" t="s">
        <v>74</v>
      </c>
    </row>
    <row r="4504" spans="9:9" x14ac:dyDescent="0.2">
      <c r="I4504" s="137" t="s">
        <v>74</v>
      </c>
    </row>
    <row r="4505" spans="9:9" x14ac:dyDescent="0.2">
      <c r="I4505" s="137" t="s">
        <v>74</v>
      </c>
    </row>
    <row r="4506" spans="9:9" x14ac:dyDescent="0.2">
      <c r="I4506" s="137" t="s">
        <v>74</v>
      </c>
    </row>
    <row r="4507" spans="9:9" x14ac:dyDescent="0.2">
      <c r="I4507" s="137" t="s">
        <v>74</v>
      </c>
    </row>
    <row r="4508" spans="9:9" x14ac:dyDescent="0.2">
      <c r="I4508" s="137" t="s">
        <v>74</v>
      </c>
    </row>
    <row r="4509" spans="9:9" x14ac:dyDescent="0.2">
      <c r="I4509" s="137" t="s">
        <v>74</v>
      </c>
    </row>
    <row r="4510" spans="9:9" x14ac:dyDescent="0.2">
      <c r="I4510" s="137" t="s">
        <v>74</v>
      </c>
    </row>
    <row r="4511" spans="9:9" x14ac:dyDescent="0.2">
      <c r="I4511" s="137" t="s">
        <v>74</v>
      </c>
    </row>
    <row r="4512" spans="9:9" x14ac:dyDescent="0.2">
      <c r="I4512" s="137" t="s">
        <v>74</v>
      </c>
    </row>
    <row r="4513" spans="9:9" x14ac:dyDescent="0.2">
      <c r="I4513" s="137" t="s">
        <v>74</v>
      </c>
    </row>
    <row r="4514" spans="9:9" x14ac:dyDescent="0.2">
      <c r="I4514" s="137" t="s">
        <v>74</v>
      </c>
    </row>
    <row r="4515" spans="9:9" x14ac:dyDescent="0.2">
      <c r="I4515" s="137" t="s">
        <v>74</v>
      </c>
    </row>
    <row r="4516" spans="9:9" x14ac:dyDescent="0.2">
      <c r="I4516" s="137" t="s">
        <v>74</v>
      </c>
    </row>
    <row r="4517" spans="9:9" x14ac:dyDescent="0.2">
      <c r="I4517" s="137" t="s">
        <v>74</v>
      </c>
    </row>
    <row r="4518" spans="9:9" x14ac:dyDescent="0.2">
      <c r="I4518" s="137" t="s">
        <v>74</v>
      </c>
    </row>
    <row r="4519" spans="9:9" x14ac:dyDescent="0.2">
      <c r="I4519" s="137" t="s">
        <v>74</v>
      </c>
    </row>
    <row r="4520" spans="9:9" x14ac:dyDescent="0.2">
      <c r="I4520" s="137" t="s">
        <v>74</v>
      </c>
    </row>
    <row r="4521" spans="9:9" x14ac:dyDescent="0.2">
      <c r="I4521" s="137" t="s">
        <v>74</v>
      </c>
    </row>
    <row r="4522" spans="9:9" x14ac:dyDescent="0.2">
      <c r="I4522" s="137" t="s">
        <v>74</v>
      </c>
    </row>
    <row r="4523" spans="9:9" x14ac:dyDescent="0.2">
      <c r="I4523" s="137" t="s">
        <v>74</v>
      </c>
    </row>
    <row r="4524" spans="9:9" x14ac:dyDescent="0.2">
      <c r="I4524" s="137" t="s">
        <v>74</v>
      </c>
    </row>
    <row r="4525" spans="9:9" x14ac:dyDescent="0.2">
      <c r="I4525" s="137" t="s">
        <v>74</v>
      </c>
    </row>
    <row r="4526" spans="9:9" x14ac:dyDescent="0.2">
      <c r="I4526" s="137" t="s">
        <v>74</v>
      </c>
    </row>
    <row r="4527" spans="9:9" x14ac:dyDescent="0.2">
      <c r="I4527" s="137" t="s">
        <v>74</v>
      </c>
    </row>
    <row r="4528" spans="9:9" x14ac:dyDescent="0.2">
      <c r="I4528" s="137" t="s">
        <v>74</v>
      </c>
    </row>
    <row r="4529" spans="9:9" x14ac:dyDescent="0.2">
      <c r="I4529" s="137" t="s">
        <v>74</v>
      </c>
    </row>
    <row r="4530" spans="9:9" x14ac:dyDescent="0.2">
      <c r="I4530" s="137" t="s">
        <v>74</v>
      </c>
    </row>
    <row r="4531" spans="9:9" x14ac:dyDescent="0.2">
      <c r="I4531" s="137" t="s">
        <v>74</v>
      </c>
    </row>
    <row r="4532" spans="9:9" x14ac:dyDescent="0.2">
      <c r="I4532" s="137" t="s">
        <v>74</v>
      </c>
    </row>
    <row r="4533" spans="9:9" x14ac:dyDescent="0.2">
      <c r="I4533" s="137" t="s">
        <v>74</v>
      </c>
    </row>
    <row r="4534" spans="9:9" x14ac:dyDescent="0.2">
      <c r="I4534" s="137" t="s">
        <v>74</v>
      </c>
    </row>
    <row r="4535" spans="9:9" x14ac:dyDescent="0.2">
      <c r="I4535" s="137" t="s">
        <v>74</v>
      </c>
    </row>
    <row r="4536" spans="9:9" x14ac:dyDescent="0.2">
      <c r="I4536" s="137" t="s">
        <v>74</v>
      </c>
    </row>
    <row r="4537" spans="9:9" x14ac:dyDescent="0.2">
      <c r="I4537" s="137" t="s">
        <v>74</v>
      </c>
    </row>
    <row r="4538" spans="9:9" x14ac:dyDescent="0.2">
      <c r="I4538" s="137" t="s">
        <v>74</v>
      </c>
    </row>
    <row r="4539" spans="9:9" x14ac:dyDescent="0.2">
      <c r="I4539" s="137" t="s">
        <v>74</v>
      </c>
    </row>
    <row r="4540" spans="9:9" x14ac:dyDescent="0.2">
      <c r="I4540" s="137" t="s">
        <v>74</v>
      </c>
    </row>
    <row r="4541" spans="9:9" x14ac:dyDescent="0.2">
      <c r="I4541" s="137" t="s">
        <v>74</v>
      </c>
    </row>
    <row r="4542" spans="9:9" x14ac:dyDescent="0.2">
      <c r="I4542" s="137" t="s">
        <v>74</v>
      </c>
    </row>
    <row r="4543" spans="9:9" x14ac:dyDescent="0.2">
      <c r="I4543" s="137" t="s">
        <v>74</v>
      </c>
    </row>
    <row r="4544" spans="9:9" x14ac:dyDescent="0.2">
      <c r="I4544" s="137" t="s">
        <v>74</v>
      </c>
    </row>
    <row r="4545" spans="9:9" x14ac:dyDescent="0.2">
      <c r="I4545" s="137" t="s">
        <v>74</v>
      </c>
    </row>
    <row r="4546" spans="9:9" x14ac:dyDescent="0.2">
      <c r="I4546" s="137" t="s">
        <v>74</v>
      </c>
    </row>
    <row r="4547" spans="9:9" x14ac:dyDescent="0.2">
      <c r="I4547" s="137" t="s">
        <v>74</v>
      </c>
    </row>
    <row r="4548" spans="9:9" x14ac:dyDescent="0.2">
      <c r="I4548" s="137" t="s">
        <v>74</v>
      </c>
    </row>
    <row r="4549" spans="9:9" x14ac:dyDescent="0.2">
      <c r="I4549" s="137" t="s">
        <v>74</v>
      </c>
    </row>
    <row r="4550" spans="9:9" x14ac:dyDescent="0.2">
      <c r="I4550" s="137" t="s">
        <v>74</v>
      </c>
    </row>
    <row r="4551" spans="9:9" x14ac:dyDescent="0.2">
      <c r="I4551" s="137" t="s">
        <v>74</v>
      </c>
    </row>
    <row r="4552" spans="9:9" x14ac:dyDescent="0.2">
      <c r="I4552" s="137" t="s">
        <v>74</v>
      </c>
    </row>
    <row r="4553" spans="9:9" x14ac:dyDescent="0.2">
      <c r="I4553" s="137" t="s">
        <v>74</v>
      </c>
    </row>
    <row r="4554" spans="9:9" x14ac:dyDescent="0.2">
      <c r="I4554" s="137" t="s">
        <v>74</v>
      </c>
    </row>
    <row r="4555" spans="9:9" x14ac:dyDescent="0.2">
      <c r="I4555" s="137" t="s">
        <v>74</v>
      </c>
    </row>
    <row r="4556" spans="9:9" x14ac:dyDescent="0.2">
      <c r="I4556" s="137" t="s">
        <v>74</v>
      </c>
    </row>
    <row r="4557" spans="9:9" x14ac:dyDescent="0.2">
      <c r="I4557" s="137" t="s">
        <v>74</v>
      </c>
    </row>
    <row r="4558" spans="9:9" x14ac:dyDescent="0.2">
      <c r="I4558" s="137" t="s">
        <v>74</v>
      </c>
    </row>
    <row r="4559" spans="9:9" x14ac:dyDescent="0.2">
      <c r="I4559" s="137" t="s">
        <v>74</v>
      </c>
    </row>
    <row r="4560" spans="9:9" x14ac:dyDescent="0.2">
      <c r="I4560" s="137" t="s">
        <v>74</v>
      </c>
    </row>
    <row r="4561" spans="9:9" x14ac:dyDescent="0.2">
      <c r="I4561" s="137" t="s">
        <v>74</v>
      </c>
    </row>
    <row r="4562" spans="9:9" x14ac:dyDescent="0.2">
      <c r="I4562" s="137" t="s">
        <v>74</v>
      </c>
    </row>
    <row r="4563" spans="9:9" x14ac:dyDescent="0.2">
      <c r="I4563" s="137" t="s">
        <v>74</v>
      </c>
    </row>
    <row r="4564" spans="9:9" x14ac:dyDescent="0.2">
      <c r="I4564" s="137" t="s">
        <v>74</v>
      </c>
    </row>
    <row r="4565" spans="9:9" x14ac:dyDescent="0.2">
      <c r="I4565" s="137" t="s">
        <v>74</v>
      </c>
    </row>
    <row r="4566" spans="9:9" x14ac:dyDescent="0.2">
      <c r="I4566" s="137" t="s">
        <v>74</v>
      </c>
    </row>
    <row r="4567" spans="9:9" x14ac:dyDescent="0.2">
      <c r="I4567" s="137" t="s">
        <v>74</v>
      </c>
    </row>
    <row r="4568" spans="9:9" x14ac:dyDescent="0.2">
      <c r="I4568" s="137" t="s">
        <v>74</v>
      </c>
    </row>
    <row r="4569" spans="9:9" x14ac:dyDescent="0.2">
      <c r="I4569" s="137" t="s">
        <v>74</v>
      </c>
    </row>
    <row r="4570" spans="9:9" x14ac:dyDescent="0.2">
      <c r="I4570" s="137" t="s">
        <v>74</v>
      </c>
    </row>
    <row r="4571" spans="9:9" x14ac:dyDescent="0.2">
      <c r="I4571" s="137" t="s">
        <v>74</v>
      </c>
    </row>
    <row r="4572" spans="9:9" x14ac:dyDescent="0.2">
      <c r="I4572" s="137" t="s">
        <v>74</v>
      </c>
    </row>
    <row r="4573" spans="9:9" x14ac:dyDescent="0.2">
      <c r="I4573" s="137" t="s">
        <v>74</v>
      </c>
    </row>
    <row r="4574" spans="9:9" x14ac:dyDescent="0.2">
      <c r="I4574" s="137" t="s">
        <v>74</v>
      </c>
    </row>
    <row r="4575" spans="9:9" x14ac:dyDescent="0.2">
      <c r="I4575" s="137" t="s">
        <v>74</v>
      </c>
    </row>
    <row r="4576" spans="9:9" x14ac:dyDescent="0.2">
      <c r="I4576" s="137" t="s">
        <v>74</v>
      </c>
    </row>
    <row r="4577" spans="9:9" x14ac:dyDescent="0.2">
      <c r="I4577" s="137" t="s">
        <v>74</v>
      </c>
    </row>
    <row r="4578" spans="9:9" x14ac:dyDescent="0.2">
      <c r="I4578" s="137" t="s">
        <v>74</v>
      </c>
    </row>
    <row r="4579" spans="9:9" x14ac:dyDescent="0.2">
      <c r="I4579" s="137" t="s">
        <v>74</v>
      </c>
    </row>
    <row r="4580" spans="9:9" x14ac:dyDescent="0.2">
      <c r="I4580" s="137" t="s">
        <v>74</v>
      </c>
    </row>
    <row r="4581" spans="9:9" x14ac:dyDescent="0.2">
      <c r="I4581" s="137" t="s">
        <v>74</v>
      </c>
    </row>
    <row r="4582" spans="9:9" x14ac:dyDescent="0.2">
      <c r="I4582" s="137" t="s">
        <v>74</v>
      </c>
    </row>
    <row r="4583" spans="9:9" x14ac:dyDescent="0.2">
      <c r="I4583" s="137" t="s">
        <v>74</v>
      </c>
    </row>
    <row r="4584" spans="9:9" x14ac:dyDescent="0.2">
      <c r="I4584" s="137" t="s">
        <v>74</v>
      </c>
    </row>
    <row r="4585" spans="9:9" x14ac:dyDescent="0.2">
      <c r="I4585" s="137" t="s">
        <v>74</v>
      </c>
    </row>
    <row r="4586" spans="9:9" x14ac:dyDescent="0.2">
      <c r="I4586" s="137" t="s">
        <v>74</v>
      </c>
    </row>
    <row r="4587" spans="9:9" x14ac:dyDescent="0.2">
      <c r="I4587" s="137" t="s">
        <v>74</v>
      </c>
    </row>
    <row r="4588" spans="9:9" x14ac:dyDescent="0.2">
      <c r="I4588" s="137" t="s">
        <v>74</v>
      </c>
    </row>
    <row r="4589" spans="9:9" x14ac:dyDescent="0.2">
      <c r="I4589" s="137" t="s">
        <v>74</v>
      </c>
    </row>
    <row r="4590" spans="9:9" x14ac:dyDescent="0.2">
      <c r="I4590" s="137" t="s">
        <v>74</v>
      </c>
    </row>
    <row r="4591" spans="9:9" x14ac:dyDescent="0.2">
      <c r="I4591" s="137" t="s">
        <v>74</v>
      </c>
    </row>
    <row r="4592" spans="9:9" x14ac:dyDescent="0.2">
      <c r="I4592" s="137" t="s">
        <v>74</v>
      </c>
    </row>
    <row r="4593" spans="9:9" x14ac:dyDescent="0.2">
      <c r="I4593" s="137" t="s">
        <v>74</v>
      </c>
    </row>
    <row r="4594" spans="9:9" x14ac:dyDescent="0.2">
      <c r="I4594" s="137" t="s">
        <v>74</v>
      </c>
    </row>
    <row r="4595" spans="9:9" x14ac:dyDescent="0.2">
      <c r="I4595" s="137" t="s">
        <v>74</v>
      </c>
    </row>
    <row r="4596" spans="9:9" x14ac:dyDescent="0.2">
      <c r="I4596" s="137" t="s">
        <v>74</v>
      </c>
    </row>
    <row r="4597" spans="9:9" x14ac:dyDescent="0.2">
      <c r="I4597" s="137" t="s">
        <v>74</v>
      </c>
    </row>
    <row r="4598" spans="9:9" x14ac:dyDescent="0.2">
      <c r="I4598" s="137" t="s">
        <v>74</v>
      </c>
    </row>
    <row r="4599" spans="9:9" x14ac:dyDescent="0.2">
      <c r="I4599" s="137" t="s">
        <v>74</v>
      </c>
    </row>
    <row r="4600" spans="9:9" x14ac:dyDescent="0.2">
      <c r="I4600" s="137" t="s">
        <v>74</v>
      </c>
    </row>
    <row r="4601" spans="9:9" x14ac:dyDescent="0.2">
      <c r="I4601" s="137" t="s">
        <v>74</v>
      </c>
    </row>
    <row r="4602" spans="9:9" x14ac:dyDescent="0.2">
      <c r="I4602" s="137" t="s">
        <v>74</v>
      </c>
    </row>
    <row r="4603" spans="9:9" x14ac:dyDescent="0.2">
      <c r="I4603" s="137" t="s">
        <v>74</v>
      </c>
    </row>
    <row r="4604" spans="9:9" x14ac:dyDescent="0.2">
      <c r="I4604" s="137" t="s">
        <v>74</v>
      </c>
    </row>
    <row r="4605" spans="9:9" x14ac:dyDescent="0.2">
      <c r="I4605" s="137" t="s">
        <v>74</v>
      </c>
    </row>
    <row r="4606" spans="9:9" x14ac:dyDescent="0.2">
      <c r="I4606" s="137" t="s">
        <v>74</v>
      </c>
    </row>
    <row r="4607" spans="9:9" x14ac:dyDescent="0.2">
      <c r="I4607" s="137" t="s">
        <v>74</v>
      </c>
    </row>
    <row r="4608" spans="9:9" x14ac:dyDescent="0.2">
      <c r="I4608" s="137" t="s">
        <v>74</v>
      </c>
    </row>
    <row r="4609" spans="9:9" x14ac:dyDescent="0.2">
      <c r="I4609" s="137" t="s">
        <v>74</v>
      </c>
    </row>
    <row r="4610" spans="9:9" x14ac:dyDescent="0.2">
      <c r="I4610" s="137" t="s">
        <v>74</v>
      </c>
    </row>
    <row r="4611" spans="9:9" x14ac:dyDescent="0.2">
      <c r="I4611" s="137" t="s">
        <v>74</v>
      </c>
    </row>
    <row r="4612" spans="9:9" x14ac:dyDescent="0.2">
      <c r="I4612" s="137" t="s">
        <v>74</v>
      </c>
    </row>
    <row r="4613" spans="9:9" x14ac:dyDescent="0.2">
      <c r="I4613" s="137" t="s">
        <v>74</v>
      </c>
    </row>
    <row r="4614" spans="9:9" x14ac:dyDescent="0.2">
      <c r="I4614" s="137" t="s">
        <v>74</v>
      </c>
    </row>
    <row r="4615" spans="9:9" x14ac:dyDescent="0.2">
      <c r="I4615" s="137" t="s">
        <v>74</v>
      </c>
    </row>
    <row r="4616" spans="9:9" x14ac:dyDescent="0.2">
      <c r="I4616" s="137" t="s">
        <v>74</v>
      </c>
    </row>
    <row r="4617" spans="9:9" x14ac:dyDescent="0.2">
      <c r="I4617" s="137" t="s">
        <v>74</v>
      </c>
    </row>
    <row r="4618" spans="9:9" x14ac:dyDescent="0.2">
      <c r="I4618" s="137" t="s">
        <v>74</v>
      </c>
    </row>
    <row r="4619" spans="9:9" x14ac:dyDescent="0.2">
      <c r="I4619" s="137" t="s">
        <v>74</v>
      </c>
    </row>
    <row r="4620" spans="9:9" x14ac:dyDescent="0.2">
      <c r="I4620" s="137" t="s">
        <v>74</v>
      </c>
    </row>
    <row r="4621" spans="9:9" x14ac:dyDescent="0.2">
      <c r="I4621" s="137" t="s">
        <v>74</v>
      </c>
    </row>
    <row r="4622" spans="9:9" x14ac:dyDescent="0.2">
      <c r="I4622" s="137" t="s">
        <v>74</v>
      </c>
    </row>
    <row r="4623" spans="9:9" x14ac:dyDescent="0.2">
      <c r="I4623" s="137" t="s">
        <v>74</v>
      </c>
    </row>
    <row r="4624" spans="9:9" x14ac:dyDescent="0.2">
      <c r="I4624" s="137" t="s">
        <v>74</v>
      </c>
    </row>
    <row r="4625" spans="9:9" x14ac:dyDescent="0.2">
      <c r="I4625" s="137" t="s">
        <v>74</v>
      </c>
    </row>
    <row r="4626" spans="9:9" x14ac:dyDescent="0.2">
      <c r="I4626" s="137" t="s">
        <v>74</v>
      </c>
    </row>
    <row r="4627" spans="9:9" x14ac:dyDescent="0.2">
      <c r="I4627" s="137" t="s">
        <v>74</v>
      </c>
    </row>
    <row r="4628" spans="9:9" x14ac:dyDescent="0.2">
      <c r="I4628" s="137" t="s">
        <v>74</v>
      </c>
    </row>
    <row r="4629" spans="9:9" x14ac:dyDescent="0.2">
      <c r="I4629" s="137" t="s">
        <v>74</v>
      </c>
    </row>
    <row r="4630" spans="9:9" x14ac:dyDescent="0.2">
      <c r="I4630" s="137" t="s">
        <v>74</v>
      </c>
    </row>
    <row r="4631" spans="9:9" x14ac:dyDescent="0.2">
      <c r="I4631" s="137" t="s">
        <v>74</v>
      </c>
    </row>
    <row r="4632" spans="9:9" x14ac:dyDescent="0.2">
      <c r="I4632" s="137" t="s">
        <v>74</v>
      </c>
    </row>
    <row r="4633" spans="9:9" x14ac:dyDescent="0.2">
      <c r="I4633" s="137" t="s">
        <v>74</v>
      </c>
    </row>
    <row r="4634" spans="9:9" x14ac:dyDescent="0.2">
      <c r="I4634" s="137" t="s">
        <v>74</v>
      </c>
    </row>
    <row r="4635" spans="9:9" x14ac:dyDescent="0.2">
      <c r="I4635" s="137" t="s">
        <v>74</v>
      </c>
    </row>
    <row r="4636" spans="9:9" x14ac:dyDescent="0.2">
      <c r="I4636" s="137" t="s">
        <v>74</v>
      </c>
    </row>
    <row r="4637" spans="9:9" x14ac:dyDescent="0.2">
      <c r="I4637" s="137" t="s">
        <v>74</v>
      </c>
    </row>
    <row r="4638" spans="9:9" x14ac:dyDescent="0.2">
      <c r="I4638" s="137" t="s">
        <v>74</v>
      </c>
    </row>
    <row r="4639" spans="9:9" x14ac:dyDescent="0.2">
      <c r="I4639" s="137" t="s">
        <v>74</v>
      </c>
    </row>
    <row r="4640" spans="9:9" x14ac:dyDescent="0.2">
      <c r="I4640" s="137" t="s">
        <v>74</v>
      </c>
    </row>
    <row r="4641" spans="9:9" x14ac:dyDescent="0.2">
      <c r="I4641" s="137" t="s">
        <v>74</v>
      </c>
    </row>
    <row r="4642" spans="9:9" x14ac:dyDescent="0.2">
      <c r="I4642" s="137" t="s">
        <v>74</v>
      </c>
    </row>
    <row r="4643" spans="9:9" x14ac:dyDescent="0.2">
      <c r="I4643" s="137" t="s">
        <v>74</v>
      </c>
    </row>
    <row r="4644" spans="9:9" x14ac:dyDescent="0.2">
      <c r="I4644" s="137" t="s">
        <v>74</v>
      </c>
    </row>
    <row r="4645" spans="9:9" x14ac:dyDescent="0.2">
      <c r="I4645" s="137" t="s">
        <v>74</v>
      </c>
    </row>
    <row r="4646" spans="9:9" x14ac:dyDescent="0.2">
      <c r="I4646" s="137" t="s">
        <v>74</v>
      </c>
    </row>
    <row r="4647" spans="9:9" x14ac:dyDescent="0.2">
      <c r="I4647" s="137" t="s">
        <v>74</v>
      </c>
    </row>
    <row r="4648" spans="9:9" x14ac:dyDescent="0.2">
      <c r="I4648" s="137" t="s">
        <v>74</v>
      </c>
    </row>
    <row r="4649" spans="9:9" x14ac:dyDescent="0.2">
      <c r="I4649" s="137" t="s">
        <v>74</v>
      </c>
    </row>
    <row r="4650" spans="9:9" x14ac:dyDescent="0.2">
      <c r="I4650" s="137" t="s">
        <v>74</v>
      </c>
    </row>
    <row r="4651" spans="9:9" x14ac:dyDescent="0.2">
      <c r="I4651" s="137" t="s">
        <v>74</v>
      </c>
    </row>
    <row r="4652" spans="9:9" x14ac:dyDescent="0.2">
      <c r="I4652" s="137" t="s">
        <v>74</v>
      </c>
    </row>
    <row r="4653" spans="9:9" x14ac:dyDescent="0.2">
      <c r="I4653" s="137" t="s">
        <v>74</v>
      </c>
    </row>
    <row r="4654" spans="9:9" x14ac:dyDescent="0.2">
      <c r="I4654" s="137" t="s">
        <v>74</v>
      </c>
    </row>
    <row r="4655" spans="9:9" x14ac:dyDescent="0.2">
      <c r="I4655" s="137" t="s">
        <v>74</v>
      </c>
    </row>
    <row r="4656" spans="9:9" x14ac:dyDescent="0.2">
      <c r="I4656" s="137" t="s">
        <v>74</v>
      </c>
    </row>
    <row r="4657" spans="9:9" x14ac:dyDescent="0.2">
      <c r="I4657" s="137" t="s">
        <v>74</v>
      </c>
    </row>
    <row r="4658" spans="9:9" x14ac:dyDescent="0.2">
      <c r="I4658" s="137" t="s">
        <v>74</v>
      </c>
    </row>
    <row r="4659" spans="9:9" x14ac:dyDescent="0.2">
      <c r="I4659" s="137" t="s">
        <v>74</v>
      </c>
    </row>
    <row r="4660" spans="9:9" x14ac:dyDescent="0.2">
      <c r="I4660" s="137" t="s">
        <v>74</v>
      </c>
    </row>
    <row r="4661" spans="9:9" x14ac:dyDescent="0.2">
      <c r="I4661" s="137" t="s">
        <v>74</v>
      </c>
    </row>
    <row r="4662" spans="9:9" x14ac:dyDescent="0.2">
      <c r="I4662" s="137" t="s">
        <v>74</v>
      </c>
    </row>
    <row r="4663" spans="9:9" x14ac:dyDescent="0.2">
      <c r="I4663" s="137" t="s">
        <v>74</v>
      </c>
    </row>
    <row r="4664" spans="9:9" x14ac:dyDescent="0.2">
      <c r="I4664" s="137" t="s">
        <v>74</v>
      </c>
    </row>
    <row r="4665" spans="9:9" x14ac:dyDescent="0.2">
      <c r="I4665" s="137" t="s">
        <v>74</v>
      </c>
    </row>
    <row r="4666" spans="9:9" x14ac:dyDescent="0.2">
      <c r="I4666" s="137" t="s">
        <v>74</v>
      </c>
    </row>
    <row r="4667" spans="9:9" x14ac:dyDescent="0.2">
      <c r="I4667" s="137" t="s">
        <v>74</v>
      </c>
    </row>
    <row r="4668" spans="9:9" x14ac:dyDescent="0.2">
      <c r="I4668" s="137" t="s">
        <v>74</v>
      </c>
    </row>
    <row r="4669" spans="9:9" x14ac:dyDescent="0.2">
      <c r="I4669" s="137" t="s">
        <v>74</v>
      </c>
    </row>
    <row r="4670" spans="9:9" x14ac:dyDescent="0.2">
      <c r="I4670" s="137" t="s">
        <v>74</v>
      </c>
    </row>
    <row r="4671" spans="9:9" x14ac:dyDescent="0.2">
      <c r="I4671" s="137" t="s">
        <v>74</v>
      </c>
    </row>
    <row r="4672" spans="9:9" x14ac:dyDescent="0.2">
      <c r="I4672" s="137" t="s">
        <v>74</v>
      </c>
    </row>
    <row r="4673" spans="9:9" x14ac:dyDescent="0.2">
      <c r="I4673" s="137" t="s">
        <v>74</v>
      </c>
    </row>
    <row r="4674" spans="9:9" x14ac:dyDescent="0.2">
      <c r="I4674" s="137" t="s">
        <v>74</v>
      </c>
    </row>
    <row r="4675" spans="9:9" x14ac:dyDescent="0.2">
      <c r="I4675" s="137" t="s">
        <v>74</v>
      </c>
    </row>
    <row r="4676" spans="9:9" x14ac:dyDescent="0.2">
      <c r="I4676" s="137" t="s">
        <v>74</v>
      </c>
    </row>
    <row r="4677" spans="9:9" x14ac:dyDescent="0.2">
      <c r="I4677" s="137" t="s">
        <v>74</v>
      </c>
    </row>
    <row r="4678" spans="9:9" x14ac:dyDescent="0.2">
      <c r="I4678" s="137" t="s">
        <v>74</v>
      </c>
    </row>
    <row r="4679" spans="9:9" x14ac:dyDescent="0.2">
      <c r="I4679" s="137" t="s">
        <v>74</v>
      </c>
    </row>
    <row r="4680" spans="9:9" x14ac:dyDescent="0.2">
      <c r="I4680" s="137" t="s">
        <v>74</v>
      </c>
    </row>
    <row r="4681" spans="9:9" x14ac:dyDescent="0.2">
      <c r="I4681" s="137" t="s">
        <v>74</v>
      </c>
    </row>
    <row r="4682" spans="9:9" x14ac:dyDescent="0.2">
      <c r="I4682" s="137" t="s">
        <v>74</v>
      </c>
    </row>
    <row r="4683" spans="9:9" x14ac:dyDescent="0.2">
      <c r="I4683" s="137" t="s">
        <v>74</v>
      </c>
    </row>
    <row r="4684" spans="9:9" x14ac:dyDescent="0.2">
      <c r="I4684" s="137" t="s">
        <v>74</v>
      </c>
    </row>
    <row r="4685" spans="9:9" x14ac:dyDescent="0.2">
      <c r="I4685" s="137" t="s">
        <v>74</v>
      </c>
    </row>
    <row r="4686" spans="9:9" x14ac:dyDescent="0.2">
      <c r="I4686" s="137" t="s">
        <v>74</v>
      </c>
    </row>
    <row r="4687" spans="9:9" x14ac:dyDescent="0.2">
      <c r="I4687" s="137" t="s">
        <v>74</v>
      </c>
    </row>
    <row r="4688" spans="9:9" x14ac:dyDescent="0.2">
      <c r="I4688" s="137" t="s">
        <v>74</v>
      </c>
    </row>
    <row r="4689" spans="9:9" x14ac:dyDescent="0.2">
      <c r="I4689" s="137" t="s">
        <v>74</v>
      </c>
    </row>
    <row r="4690" spans="9:9" x14ac:dyDescent="0.2">
      <c r="I4690" s="137" t="s">
        <v>74</v>
      </c>
    </row>
    <row r="4691" spans="9:9" x14ac:dyDescent="0.2">
      <c r="I4691" s="137" t="s">
        <v>74</v>
      </c>
    </row>
    <row r="4692" spans="9:9" x14ac:dyDescent="0.2">
      <c r="I4692" s="137" t="s">
        <v>74</v>
      </c>
    </row>
    <row r="4693" spans="9:9" x14ac:dyDescent="0.2">
      <c r="I4693" s="137" t="s">
        <v>74</v>
      </c>
    </row>
    <row r="4694" spans="9:9" x14ac:dyDescent="0.2">
      <c r="I4694" s="137" t="s">
        <v>74</v>
      </c>
    </row>
    <row r="4695" spans="9:9" x14ac:dyDescent="0.2">
      <c r="I4695" s="137" t="s">
        <v>74</v>
      </c>
    </row>
    <row r="4696" spans="9:9" x14ac:dyDescent="0.2">
      <c r="I4696" s="137" t="s">
        <v>74</v>
      </c>
    </row>
    <row r="4697" spans="9:9" x14ac:dyDescent="0.2">
      <c r="I4697" s="137" t="s">
        <v>74</v>
      </c>
    </row>
    <row r="4698" spans="9:9" x14ac:dyDescent="0.2">
      <c r="I4698" s="137" t="s">
        <v>74</v>
      </c>
    </row>
    <row r="4699" spans="9:9" x14ac:dyDescent="0.2">
      <c r="I4699" s="137" t="s">
        <v>74</v>
      </c>
    </row>
    <row r="4700" spans="9:9" x14ac:dyDescent="0.2">
      <c r="I4700" s="137" t="s">
        <v>74</v>
      </c>
    </row>
    <row r="4701" spans="9:9" x14ac:dyDescent="0.2">
      <c r="I4701" s="137" t="s">
        <v>74</v>
      </c>
    </row>
    <row r="4702" spans="9:9" x14ac:dyDescent="0.2">
      <c r="I4702" s="137" t="s">
        <v>74</v>
      </c>
    </row>
    <row r="4703" spans="9:9" x14ac:dyDescent="0.2">
      <c r="I4703" s="137" t="s">
        <v>74</v>
      </c>
    </row>
    <row r="4704" spans="9:9" x14ac:dyDescent="0.2">
      <c r="I4704" s="137" t="s">
        <v>74</v>
      </c>
    </row>
    <row r="4705" spans="9:9" x14ac:dyDescent="0.2">
      <c r="I4705" s="137" t="s">
        <v>74</v>
      </c>
    </row>
    <row r="4706" spans="9:9" x14ac:dyDescent="0.2">
      <c r="I4706" s="137" t="s">
        <v>74</v>
      </c>
    </row>
    <row r="4707" spans="9:9" x14ac:dyDescent="0.2">
      <c r="I4707" s="137" t="s">
        <v>74</v>
      </c>
    </row>
    <row r="4708" spans="9:9" x14ac:dyDescent="0.2">
      <c r="I4708" s="137" t="s">
        <v>74</v>
      </c>
    </row>
    <row r="4709" spans="9:9" x14ac:dyDescent="0.2">
      <c r="I4709" s="137" t="s">
        <v>74</v>
      </c>
    </row>
    <row r="4710" spans="9:9" x14ac:dyDescent="0.2">
      <c r="I4710" s="137" t="s">
        <v>74</v>
      </c>
    </row>
    <row r="4711" spans="9:9" x14ac:dyDescent="0.2">
      <c r="I4711" s="137" t="s">
        <v>74</v>
      </c>
    </row>
    <row r="4712" spans="9:9" x14ac:dyDescent="0.2">
      <c r="I4712" s="137" t="s">
        <v>74</v>
      </c>
    </row>
    <row r="4713" spans="9:9" x14ac:dyDescent="0.2">
      <c r="I4713" s="137" t="s">
        <v>74</v>
      </c>
    </row>
    <row r="4714" spans="9:9" x14ac:dyDescent="0.2">
      <c r="I4714" s="137" t="s">
        <v>74</v>
      </c>
    </row>
    <row r="4715" spans="9:9" x14ac:dyDescent="0.2">
      <c r="I4715" s="137" t="s">
        <v>74</v>
      </c>
    </row>
    <row r="4716" spans="9:9" x14ac:dyDescent="0.2">
      <c r="I4716" s="137" t="s">
        <v>74</v>
      </c>
    </row>
    <row r="4717" spans="9:9" x14ac:dyDescent="0.2">
      <c r="I4717" s="137" t="s">
        <v>74</v>
      </c>
    </row>
    <row r="4718" spans="9:9" x14ac:dyDescent="0.2">
      <c r="I4718" s="137" t="s">
        <v>74</v>
      </c>
    </row>
    <row r="4719" spans="9:9" x14ac:dyDescent="0.2">
      <c r="I4719" s="137" t="s">
        <v>74</v>
      </c>
    </row>
    <row r="4720" spans="9:9" x14ac:dyDescent="0.2">
      <c r="I4720" s="137" t="s">
        <v>74</v>
      </c>
    </row>
    <row r="4721" spans="9:9" x14ac:dyDescent="0.2">
      <c r="I4721" s="137" t="s">
        <v>74</v>
      </c>
    </row>
    <row r="4722" spans="9:9" x14ac:dyDescent="0.2">
      <c r="I4722" s="137" t="s">
        <v>74</v>
      </c>
    </row>
    <row r="4723" spans="9:9" x14ac:dyDescent="0.2">
      <c r="I4723" s="137" t="s">
        <v>74</v>
      </c>
    </row>
    <row r="4724" spans="9:9" x14ac:dyDescent="0.2">
      <c r="I4724" s="137" t="s">
        <v>74</v>
      </c>
    </row>
    <row r="4725" spans="9:9" x14ac:dyDescent="0.2">
      <c r="I4725" s="137" t="s">
        <v>74</v>
      </c>
    </row>
    <row r="4726" spans="9:9" x14ac:dyDescent="0.2">
      <c r="I4726" s="137" t="s">
        <v>74</v>
      </c>
    </row>
    <row r="4727" spans="9:9" x14ac:dyDescent="0.2">
      <c r="I4727" s="137" t="s">
        <v>74</v>
      </c>
    </row>
    <row r="4728" spans="9:9" x14ac:dyDescent="0.2">
      <c r="I4728" s="137" t="s">
        <v>74</v>
      </c>
    </row>
    <row r="4729" spans="9:9" x14ac:dyDescent="0.2">
      <c r="I4729" s="137" t="s">
        <v>74</v>
      </c>
    </row>
    <row r="4730" spans="9:9" x14ac:dyDescent="0.2">
      <c r="I4730" s="137" t="s">
        <v>74</v>
      </c>
    </row>
    <row r="4731" spans="9:9" x14ac:dyDescent="0.2">
      <c r="I4731" s="137" t="s">
        <v>74</v>
      </c>
    </row>
    <row r="4732" spans="9:9" x14ac:dyDescent="0.2">
      <c r="I4732" s="137" t="s">
        <v>74</v>
      </c>
    </row>
    <row r="4733" spans="9:9" x14ac:dyDescent="0.2">
      <c r="I4733" s="137" t="s">
        <v>74</v>
      </c>
    </row>
    <row r="4734" spans="9:9" x14ac:dyDescent="0.2">
      <c r="I4734" s="137" t="s">
        <v>74</v>
      </c>
    </row>
    <row r="4735" spans="9:9" x14ac:dyDescent="0.2">
      <c r="I4735" s="137" t="s">
        <v>74</v>
      </c>
    </row>
    <row r="4736" spans="9:9" x14ac:dyDescent="0.2">
      <c r="I4736" s="137" t="s">
        <v>74</v>
      </c>
    </row>
    <row r="4737" spans="9:9" x14ac:dyDescent="0.2">
      <c r="I4737" s="137" t="s">
        <v>74</v>
      </c>
    </row>
    <row r="4738" spans="9:9" x14ac:dyDescent="0.2">
      <c r="I4738" s="137" t="s">
        <v>74</v>
      </c>
    </row>
    <row r="4739" spans="9:9" x14ac:dyDescent="0.2">
      <c r="I4739" s="137" t="s">
        <v>74</v>
      </c>
    </row>
    <row r="4740" spans="9:9" x14ac:dyDescent="0.2">
      <c r="I4740" s="137" t="s">
        <v>74</v>
      </c>
    </row>
    <row r="4741" spans="9:9" x14ac:dyDescent="0.2">
      <c r="I4741" s="137" t="s">
        <v>74</v>
      </c>
    </row>
    <row r="4742" spans="9:9" x14ac:dyDescent="0.2">
      <c r="I4742" s="137" t="s">
        <v>74</v>
      </c>
    </row>
    <row r="4743" spans="9:9" x14ac:dyDescent="0.2">
      <c r="I4743" s="137" t="s">
        <v>74</v>
      </c>
    </row>
    <row r="4744" spans="9:9" x14ac:dyDescent="0.2">
      <c r="I4744" s="137" t="s">
        <v>74</v>
      </c>
    </row>
    <row r="4745" spans="9:9" x14ac:dyDescent="0.2">
      <c r="I4745" s="137" t="s">
        <v>74</v>
      </c>
    </row>
    <row r="4746" spans="9:9" x14ac:dyDescent="0.2">
      <c r="I4746" s="137" t="s">
        <v>74</v>
      </c>
    </row>
    <row r="4747" spans="9:9" x14ac:dyDescent="0.2">
      <c r="I4747" s="137" t="s">
        <v>74</v>
      </c>
    </row>
    <row r="4748" spans="9:9" x14ac:dyDescent="0.2">
      <c r="I4748" s="137" t="s">
        <v>74</v>
      </c>
    </row>
    <row r="4749" spans="9:9" x14ac:dyDescent="0.2">
      <c r="I4749" s="137" t="s">
        <v>74</v>
      </c>
    </row>
    <row r="4750" spans="9:9" x14ac:dyDescent="0.2">
      <c r="I4750" s="137" t="s">
        <v>74</v>
      </c>
    </row>
    <row r="4751" spans="9:9" x14ac:dyDescent="0.2">
      <c r="I4751" s="137" t="s">
        <v>74</v>
      </c>
    </row>
    <row r="4752" spans="9:9" x14ac:dyDescent="0.2">
      <c r="I4752" s="137" t="s">
        <v>74</v>
      </c>
    </row>
    <row r="4753" spans="9:9" x14ac:dyDescent="0.2">
      <c r="I4753" s="137" t="s">
        <v>74</v>
      </c>
    </row>
    <row r="4754" spans="9:9" x14ac:dyDescent="0.2">
      <c r="I4754" s="137" t="s">
        <v>74</v>
      </c>
    </row>
    <row r="4755" spans="9:9" x14ac:dyDescent="0.2">
      <c r="I4755" s="137" t="s">
        <v>74</v>
      </c>
    </row>
    <row r="4756" spans="9:9" x14ac:dyDescent="0.2">
      <c r="I4756" s="137" t="s">
        <v>74</v>
      </c>
    </row>
    <row r="4757" spans="9:9" x14ac:dyDescent="0.2">
      <c r="I4757" s="137" t="s">
        <v>74</v>
      </c>
    </row>
    <row r="4758" spans="9:9" x14ac:dyDescent="0.2">
      <c r="I4758" s="137" t="s">
        <v>74</v>
      </c>
    </row>
    <row r="4759" spans="9:9" x14ac:dyDescent="0.2">
      <c r="I4759" s="137" t="s">
        <v>74</v>
      </c>
    </row>
    <row r="4760" spans="9:9" x14ac:dyDescent="0.2">
      <c r="I4760" s="137" t="s">
        <v>74</v>
      </c>
    </row>
    <row r="4761" spans="9:9" x14ac:dyDescent="0.2">
      <c r="I4761" s="137" t="s">
        <v>74</v>
      </c>
    </row>
    <row r="4762" spans="9:9" x14ac:dyDescent="0.2">
      <c r="I4762" s="137" t="s">
        <v>74</v>
      </c>
    </row>
    <row r="4763" spans="9:9" x14ac:dyDescent="0.2">
      <c r="I4763" s="137" t="s">
        <v>74</v>
      </c>
    </row>
    <row r="4764" spans="9:9" x14ac:dyDescent="0.2">
      <c r="I4764" s="137" t="s">
        <v>74</v>
      </c>
    </row>
    <row r="4765" spans="9:9" x14ac:dyDescent="0.2">
      <c r="I4765" s="137" t="s">
        <v>74</v>
      </c>
    </row>
    <row r="4766" spans="9:9" x14ac:dyDescent="0.2">
      <c r="I4766" s="137" t="s">
        <v>74</v>
      </c>
    </row>
    <row r="4767" spans="9:9" x14ac:dyDescent="0.2">
      <c r="I4767" s="137" t="s">
        <v>74</v>
      </c>
    </row>
    <row r="4768" spans="9:9" x14ac:dyDescent="0.2">
      <c r="I4768" s="137" t="s">
        <v>74</v>
      </c>
    </row>
    <row r="4769" spans="9:9" x14ac:dyDescent="0.2">
      <c r="I4769" s="137" t="s">
        <v>74</v>
      </c>
    </row>
    <row r="4770" spans="9:9" x14ac:dyDescent="0.2">
      <c r="I4770" s="137" t="s">
        <v>74</v>
      </c>
    </row>
    <row r="4771" spans="9:9" x14ac:dyDescent="0.2">
      <c r="I4771" s="137" t="s">
        <v>74</v>
      </c>
    </row>
    <row r="4772" spans="9:9" x14ac:dyDescent="0.2">
      <c r="I4772" s="137" t="s">
        <v>74</v>
      </c>
    </row>
    <row r="4773" spans="9:9" x14ac:dyDescent="0.2">
      <c r="I4773" s="137" t="s">
        <v>74</v>
      </c>
    </row>
    <row r="4774" spans="9:9" x14ac:dyDescent="0.2">
      <c r="I4774" s="137" t="s">
        <v>74</v>
      </c>
    </row>
    <row r="4775" spans="9:9" x14ac:dyDescent="0.2">
      <c r="I4775" s="137" t="s">
        <v>74</v>
      </c>
    </row>
    <row r="4776" spans="9:9" x14ac:dyDescent="0.2">
      <c r="I4776" s="137" t="s">
        <v>74</v>
      </c>
    </row>
    <row r="4777" spans="9:9" x14ac:dyDescent="0.2">
      <c r="I4777" s="137" t="s">
        <v>74</v>
      </c>
    </row>
    <row r="4778" spans="9:9" x14ac:dyDescent="0.2">
      <c r="I4778" s="137" t="s">
        <v>74</v>
      </c>
    </row>
    <row r="4779" spans="9:9" x14ac:dyDescent="0.2">
      <c r="I4779" s="137" t="s">
        <v>74</v>
      </c>
    </row>
    <row r="4780" spans="9:9" x14ac:dyDescent="0.2">
      <c r="I4780" s="137" t="s">
        <v>74</v>
      </c>
    </row>
    <row r="4781" spans="9:9" x14ac:dyDescent="0.2">
      <c r="I4781" s="137" t="s">
        <v>74</v>
      </c>
    </row>
    <row r="4782" spans="9:9" x14ac:dyDescent="0.2">
      <c r="I4782" s="137" t="s">
        <v>74</v>
      </c>
    </row>
    <row r="4783" spans="9:9" x14ac:dyDescent="0.2">
      <c r="I4783" s="137" t="s">
        <v>74</v>
      </c>
    </row>
    <row r="4784" spans="9:9" x14ac:dyDescent="0.2">
      <c r="I4784" s="137" t="s">
        <v>74</v>
      </c>
    </row>
    <row r="4785" spans="9:9" x14ac:dyDescent="0.2">
      <c r="I4785" s="137" t="s">
        <v>74</v>
      </c>
    </row>
    <row r="4786" spans="9:9" x14ac:dyDescent="0.2">
      <c r="I4786" s="137" t="s">
        <v>74</v>
      </c>
    </row>
    <row r="4787" spans="9:9" x14ac:dyDescent="0.2">
      <c r="I4787" s="137" t="s">
        <v>74</v>
      </c>
    </row>
    <row r="4788" spans="9:9" x14ac:dyDescent="0.2">
      <c r="I4788" s="137" t="s">
        <v>74</v>
      </c>
    </row>
    <row r="4789" spans="9:9" x14ac:dyDescent="0.2">
      <c r="I4789" s="137" t="s">
        <v>74</v>
      </c>
    </row>
    <row r="4790" spans="9:9" x14ac:dyDescent="0.2">
      <c r="I4790" s="137" t="s">
        <v>74</v>
      </c>
    </row>
    <row r="4791" spans="9:9" x14ac:dyDescent="0.2">
      <c r="I4791" s="137" t="s">
        <v>74</v>
      </c>
    </row>
    <row r="4792" spans="9:9" x14ac:dyDescent="0.2">
      <c r="I4792" s="137" t="s">
        <v>74</v>
      </c>
    </row>
    <row r="4793" spans="9:9" x14ac:dyDescent="0.2">
      <c r="I4793" s="137" t="s">
        <v>74</v>
      </c>
    </row>
    <row r="4794" spans="9:9" x14ac:dyDescent="0.2">
      <c r="I4794" s="137" t="s">
        <v>74</v>
      </c>
    </row>
    <row r="4795" spans="9:9" x14ac:dyDescent="0.2">
      <c r="I4795" s="137" t="s">
        <v>74</v>
      </c>
    </row>
    <row r="4796" spans="9:9" x14ac:dyDescent="0.2">
      <c r="I4796" s="137" t="s">
        <v>74</v>
      </c>
    </row>
    <row r="4797" spans="9:9" x14ac:dyDescent="0.2">
      <c r="I4797" s="137" t="s">
        <v>74</v>
      </c>
    </row>
    <row r="4798" spans="9:9" x14ac:dyDescent="0.2">
      <c r="I4798" s="137" t="s">
        <v>74</v>
      </c>
    </row>
    <row r="4799" spans="9:9" x14ac:dyDescent="0.2">
      <c r="I4799" s="137" t="s">
        <v>74</v>
      </c>
    </row>
    <row r="4800" spans="9:9" x14ac:dyDescent="0.2">
      <c r="I4800" s="137" t="s">
        <v>74</v>
      </c>
    </row>
    <row r="4801" spans="9:9" x14ac:dyDescent="0.2">
      <c r="I4801" s="137" t="s">
        <v>74</v>
      </c>
    </row>
    <row r="4802" spans="9:9" x14ac:dyDescent="0.2">
      <c r="I4802" s="137" t="s">
        <v>74</v>
      </c>
    </row>
    <row r="4803" spans="9:9" x14ac:dyDescent="0.2">
      <c r="I4803" s="137" t="s">
        <v>74</v>
      </c>
    </row>
    <row r="4804" spans="9:9" x14ac:dyDescent="0.2">
      <c r="I4804" s="137" t="s">
        <v>74</v>
      </c>
    </row>
    <row r="4805" spans="9:9" x14ac:dyDescent="0.2">
      <c r="I4805" s="137" t="s">
        <v>74</v>
      </c>
    </row>
    <row r="4806" spans="9:9" x14ac:dyDescent="0.2">
      <c r="I4806" s="137" t="s">
        <v>74</v>
      </c>
    </row>
    <row r="4807" spans="9:9" x14ac:dyDescent="0.2">
      <c r="I4807" s="137" t="s">
        <v>74</v>
      </c>
    </row>
    <row r="4808" spans="9:9" x14ac:dyDescent="0.2">
      <c r="I4808" s="137" t="s">
        <v>74</v>
      </c>
    </row>
    <row r="4809" spans="9:9" x14ac:dyDescent="0.2">
      <c r="I4809" s="137" t="s">
        <v>74</v>
      </c>
    </row>
    <row r="4810" spans="9:9" x14ac:dyDescent="0.2">
      <c r="I4810" s="137" t="s">
        <v>74</v>
      </c>
    </row>
    <row r="4811" spans="9:9" x14ac:dyDescent="0.2">
      <c r="I4811" s="137" t="s">
        <v>74</v>
      </c>
    </row>
    <row r="4812" spans="9:9" x14ac:dyDescent="0.2">
      <c r="I4812" s="137" t="s">
        <v>74</v>
      </c>
    </row>
    <row r="4813" spans="9:9" x14ac:dyDescent="0.2">
      <c r="I4813" s="137" t="s">
        <v>74</v>
      </c>
    </row>
    <row r="4814" spans="9:9" x14ac:dyDescent="0.2">
      <c r="I4814" s="137" t="s">
        <v>74</v>
      </c>
    </row>
    <row r="4815" spans="9:9" x14ac:dyDescent="0.2">
      <c r="I4815" s="137" t="s">
        <v>74</v>
      </c>
    </row>
    <row r="4816" spans="9:9" x14ac:dyDescent="0.2">
      <c r="I4816" s="137" t="s">
        <v>74</v>
      </c>
    </row>
    <row r="4817" spans="9:9" x14ac:dyDescent="0.2">
      <c r="I4817" s="137" t="s">
        <v>74</v>
      </c>
    </row>
    <row r="4818" spans="9:9" x14ac:dyDescent="0.2">
      <c r="I4818" s="137" t="s">
        <v>74</v>
      </c>
    </row>
    <row r="4819" spans="9:9" x14ac:dyDescent="0.2">
      <c r="I4819" s="137" t="s">
        <v>74</v>
      </c>
    </row>
    <row r="4820" spans="9:9" x14ac:dyDescent="0.2">
      <c r="I4820" s="137" t="s">
        <v>74</v>
      </c>
    </row>
    <row r="4821" spans="9:9" x14ac:dyDescent="0.2">
      <c r="I4821" s="137" t="s">
        <v>74</v>
      </c>
    </row>
    <row r="4822" spans="9:9" x14ac:dyDescent="0.2">
      <c r="I4822" s="137" t="s">
        <v>74</v>
      </c>
    </row>
    <row r="4823" spans="9:9" x14ac:dyDescent="0.2">
      <c r="I4823" s="137" t="s">
        <v>74</v>
      </c>
    </row>
    <row r="4824" spans="9:9" x14ac:dyDescent="0.2">
      <c r="I4824" s="137" t="s">
        <v>74</v>
      </c>
    </row>
    <row r="4825" spans="9:9" x14ac:dyDescent="0.2">
      <c r="I4825" s="137" t="s">
        <v>74</v>
      </c>
    </row>
    <row r="4826" spans="9:9" x14ac:dyDescent="0.2">
      <c r="I4826" s="137" t="s">
        <v>74</v>
      </c>
    </row>
    <row r="4827" spans="9:9" x14ac:dyDescent="0.2">
      <c r="I4827" s="137" t="s">
        <v>74</v>
      </c>
    </row>
    <row r="4828" spans="9:9" x14ac:dyDescent="0.2">
      <c r="I4828" s="137" t="s">
        <v>74</v>
      </c>
    </row>
    <row r="4829" spans="9:9" x14ac:dyDescent="0.2">
      <c r="I4829" s="137" t="s">
        <v>74</v>
      </c>
    </row>
    <row r="4830" spans="9:9" x14ac:dyDescent="0.2">
      <c r="I4830" s="137" t="s">
        <v>74</v>
      </c>
    </row>
    <row r="4831" spans="9:9" x14ac:dyDescent="0.2">
      <c r="I4831" s="137" t="s">
        <v>74</v>
      </c>
    </row>
    <row r="4832" spans="9:9" x14ac:dyDescent="0.2">
      <c r="I4832" s="137" t="s">
        <v>74</v>
      </c>
    </row>
    <row r="4833" spans="9:9" x14ac:dyDescent="0.2">
      <c r="I4833" s="137" t="s">
        <v>74</v>
      </c>
    </row>
    <row r="4834" spans="9:9" x14ac:dyDescent="0.2">
      <c r="I4834" s="137" t="s">
        <v>74</v>
      </c>
    </row>
    <row r="4835" spans="9:9" x14ac:dyDescent="0.2">
      <c r="I4835" s="137" t="s">
        <v>74</v>
      </c>
    </row>
    <row r="4836" spans="9:9" x14ac:dyDescent="0.2">
      <c r="I4836" s="137" t="s">
        <v>74</v>
      </c>
    </row>
    <row r="4837" spans="9:9" x14ac:dyDescent="0.2">
      <c r="I4837" s="137" t="s">
        <v>74</v>
      </c>
    </row>
    <row r="4838" spans="9:9" x14ac:dyDescent="0.2">
      <c r="I4838" s="137" t="s">
        <v>74</v>
      </c>
    </row>
    <row r="4839" spans="9:9" x14ac:dyDescent="0.2">
      <c r="I4839" s="137" t="s">
        <v>74</v>
      </c>
    </row>
    <row r="4840" spans="9:9" x14ac:dyDescent="0.2">
      <c r="I4840" s="137" t="s">
        <v>74</v>
      </c>
    </row>
    <row r="4841" spans="9:9" x14ac:dyDescent="0.2">
      <c r="I4841" s="137" t="s">
        <v>74</v>
      </c>
    </row>
    <row r="4842" spans="9:9" x14ac:dyDescent="0.2">
      <c r="I4842" s="137" t="s">
        <v>74</v>
      </c>
    </row>
    <row r="4843" spans="9:9" x14ac:dyDescent="0.2">
      <c r="I4843" s="137" t="s">
        <v>74</v>
      </c>
    </row>
    <row r="4844" spans="9:9" x14ac:dyDescent="0.2">
      <c r="I4844" s="137" t="s">
        <v>74</v>
      </c>
    </row>
    <row r="4845" spans="9:9" x14ac:dyDescent="0.2">
      <c r="I4845" s="137" t="s">
        <v>74</v>
      </c>
    </row>
    <row r="4846" spans="9:9" x14ac:dyDescent="0.2">
      <c r="I4846" s="137" t="s">
        <v>74</v>
      </c>
    </row>
    <row r="4847" spans="9:9" x14ac:dyDescent="0.2">
      <c r="I4847" s="137" t="s">
        <v>74</v>
      </c>
    </row>
    <row r="4848" spans="9:9" x14ac:dyDescent="0.2">
      <c r="I4848" s="137" t="s">
        <v>74</v>
      </c>
    </row>
    <row r="4849" spans="9:9" x14ac:dyDescent="0.2">
      <c r="I4849" s="137" t="s">
        <v>74</v>
      </c>
    </row>
    <row r="4850" spans="9:9" x14ac:dyDescent="0.2">
      <c r="I4850" s="137" t="s">
        <v>74</v>
      </c>
    </row>
    <row r="4851" spans="9:9" x14ac:dyDescent="0.2">
      <c r="I4851" s="137" t="s">
        <v>74</v>
      </c>
    </row>
    <row r="4852" spans="9:9" x14ac:dyDescent="0.2">
      <c r="I4852" s="137" t="s">
        <v>74</v>
      </c>
    </row>
    <row r="4853" spans="9:9" x14ac:dyDescent="0.2">
      <c r="I4853" s="137" t="s">
        <v>74</v>
      </c>
    </row>
    <row r="4854" spans="9:9" x14ac:dyDescent="0.2">
      <c r="I4854" s="137" t="s">
        <v>74</v>
      </c>
    </row>
    <row r="4855" spans="9:9" x14ac:dyDescent="0.2">
      <c r="I4855" s="137" t="s">
        <v>74</v>
      </c>
    </row>
    <row r="4856" spans="9:9" x14ac:dyDescent="0.2">
      <c r="I4856" s="137" t="s">
        <v>74</v>
      </c>
    </row>
    <row r="4857" spans="9:9" x14ac:dyDescent="0.2">
      <c r="I4857" s="137" t="s">
        <v>74</v>
      </c>
    </row>
    <row r="4858" spans="9:9" x14ac:dyDescent="0.2">
      <c r="I4858" s="137" t="s">
        <v>74</v>
      </c>
    </row>
    <row r="4859" spans="9:9" x14ac:dyDescent="0.2">
      <c r="I4859" s="137" t="s">
        <v>74</v>
      </c>
    </row>
    <row r="4860" spans="9:9" x14ac:dyDescent="0.2">
      <c r="I4860" s="137" t="s">
        <v>74</v>
      </c>
    </row>
    <row r="4861" spans="9:9" x14ac:dyDescent="0.2">
      <c r="I4861" s="137" t="s">
        <v>74</v>
      </c>
    </row>
    <row r="4862" spans="9:9" x14ac:dyDescent="0.2">
      <c r="I4862" s="137" t="s">
        <v>74</v>
      </c>
    </row>
    <row r="4863" spans="9:9" x14ac:dyDescent="0.2">
      <c r="I4863" s="137" t="s">
        <v>74</v>
      </c>
    </row>
    <row r="4864" spans="9:9" x14ac:dyDescent="0.2">
      <c r="I4864" s="137" t="s">
        <v>74</v>
      </c>
    </row>
    <row r="4865" spans="9:9" x14ac:dyDescent="0.2">
      <c r="I4865" s="137" t="s">
        <v>74</v>
      </c>
    </row>
    <row r="4866" spans="9:9" x14ac:dyDescent="0.2">
      <c r="I4866" s="137" t="s">
        <v>74</v>
      </c>
    </row>
    <row r="4867" spans="9:9" x14ac:dyDescent="0.2">
      <c r="I4867" s="137" t="s">
        <v>74</v>
      </c>
    </row>
    <row r="4868" spans="9:9" x14ac:dyDescent="0.2">
      <c r="I4868" s="137" t="s">
        <v>74</v>
      </c>
    </row>
    <row r="4869" spans="9:9" x14ac:dyDescent="0.2">
      <c r="I4869" s="137" t="s">
        <v>74</v>
      </c>
    </row>
    <row r="4870" spans="9:9" x14ac:dyDescent="0.2">
      <c r="I4870" s="137" t="s">
        <v>74</v>
      </c>
    </row>
    <row r="4871" spans="9:9" x14ac:dyDescent="0.2">
      <c r="I4871" s="137" t="s">
        <v>74</v>
      </c>
    </row>
    <row r="4872" spans="9:9" x14ac:dyDescent="0.2">
      <c r="I4872" s="137" t="s">
        <v>74</v>
      </c>
    </row>
    <row r="4873" spans="9:9" x14ac:dyDescent="0.2">
      <c r="I4873" s="137" t="s">
        <v>74</v>
      </c>
    </row>
    <row r="4874" spans="9:9" x14ac:dyDescent="0.2">
      <c r="I4874" s="137" t="s">
        <v>74</v>
      </c>
    </row>
    <row r="4875" spans="9:9" x14ac:dyDescent="0.2">
      <c r="I4875" s="137" t="s">
        <v>74</v>
      </c>
    </row>
    <row r="4876" spans="9:9" x14ac:dyDescent="0.2">
      <c r="I4876" s="137" t="s">
        <v>74</v>
      </c>
    </row>
    <row r="4877" spans="9:9" x14ac:dyDescent="0.2">
      <c r="I4877" s="137" t="s">
        <v>74</v>
      </c>
    </row>
    <row r="4878" spans="9:9" x14ac:dyDescent="0.2">
      <c r="I4878" s="137" t="s">
        <v>74</v>
      </c>
    </row>
    <row r="4879" spans="9:9" x14ac:dyDescent="0.2">
      <c r="I4879" s="137" t="s">
        <v>74</v>
      </c>
    </row>
    <row r="4880" spans="9:9" x14ac:dyDescent="0.2">
      <c r="I4880" s="137" t="s">
        <v>74</v>
      </c>
    </row>
    <row r="4881" spans="9:9" x14ac:dyDescent="0.2">
      <c r="I4881" s="137" t="s">
        <v>74</v>
      </c>
    </row>
    <row r="4882" spans="9:9" x14ac:dyDescent="0.2">
      <c r="I4882" s="137" t="s">
        <v>74</v>
      </c>
    </row>
    <row r="4883" spans="9:9" x14ac:dyDescent="0.2">
      <c r="I4883" s="137" t="s">
        <v>74</v>
      </c>
    </row>
    <row r="4884" spans="9:9" x14ac:dyDescent="0.2">
      <c r="I4884" s="137" t="s">
        <v>74</v>
      </c>
    </row>
    <row r="4885" spans="9:9" x14ac:dyDescent="0.2">
      <c r="I4885" s="137" t="s">
        <v>74</v>
      </c>
    </row>
    <row r="4886" spans="9:9" x14ac:dyDescent="0.2">
      <c r="I4886" s="137" t="s">
        <v>74</v>
      </c>
    </row>
    <row r="4887" spans="9:9" x14ac:dyDescent="0.2">
      <c r="I4887" s="137" t="s">
        <v>74</v>
      </c>
    </row>
    <row r="4888" spans="9:9" x14ac:dyDescent="0.2">
      <c r="I4888" s="137" t="s">
        <v>74</v>
      </c>
    </row>
    <row r="4889" spans="9:9" x14ac:dyDescent="0.2">
      <c r="I4889" s="137" t="s">
        <v>74</v>
      </c>
    </row>
    <row r="4890" spans="9:9" x14ac:dyDescent="0.2">
      <c r="I4890" s="137" t="s">
        <v>74</v>
      </c>
    </row>
    <row r="4891" spans="9:9" x14ac:dyDescent="0.2">
      <c r="I4891" s="137" t="s">
        <v>74</v>
      </c>
    </row>
    <row r="4892" spans="9:9" x14ac:dyDescent="0.2">
      <c r="I4892" s="137" t="s">
        <v>74</v>
      </c>
    </row>
    <row r="4893" spans="9:9" x14ac:dyDescent="0.2">
      <c r="I4893" s="137" t="s">
        <v>74</v>
      </c>
    </row>
    <row r="4894" spans="9:9" x14ac:dyDescent="0.2">
      <c r="I4894" s="137" t="s">
        <v>74</v>
      </c>
    </row>
    <row r="4895" spans="9:9" x14ac:dyDescent="0.2">
      <c r="I4895" s="137" t="s">
        <v>74</v>
      </c>
    </row>
    <row r="4896" spans="9:9" x14ac:dyDescent="0.2">
      <c r="I4896" s="137" t="s">
        <v>74</v>
      </c>
    </row>
    <row r="4897" spans="9:9" x14ac:dyDescent="0.2">
      <c r="I4897" s="137" t="s">
        <v>74</v>
      </c>
    </row>
    <row r="4898" spans="9:9" x14ac:dyDescent="0.2">
      <c r="I4898" s="137" t="s">
        <v>74</v>
      </c>
    </row>
    <row r="4899" spans="9:9" x14ac:dyDescent="0.2">
      <c r="I4899" s="137" t="s">
        <v>74</v>
      </c>
    </row>
    <row r="4900" spans="9:9" x14ac:dyDescent="0.2">
      <c r="I4900" s="137" t="s">
        <v>74</v>
      </c>
    </row>
    <row r="4901" spans="9:9" x14ac:dyDescent="0.2">
      <c r="I4901" s="137" t="s">
        <v>74</v>
      </c>
    </row>
    <row r="4902" spans="9:9" x14ac:dyDescent="0.2">
      <c r="I4902" s="137" t="s">
        <v>74</v>
      </c>
    </row>
    <row r="4903" spans="9:9" x14ac:dyDescent="0.2">
      <c r="I4903" s="137" t="s">
        <v>74</v>
      </c>
    </row>
    <row r="4904" spans="9:9" x14ac:dyDescent="0.2">
      <c r="I4904" s="137" t="s">
        <v>74</v>
      </c>
    </row>
    <row r="4905" spans="9:9" x14ac:dyDescent="0.2">
      <c r="I4905" s="137" t="s">
        <v>74</v>
      </c>
    </row>
    <row r="4906" spans="9:9" x14ac:dyDescent="0.2">
      <c r="I4906" s="137" t="s">
        <v>74</v>
      </c>
    </row>
    <row r="4907" spans="9:9" x14ac:dyDescent="0.2">
      <c r="I4907" s="137" t="s">
        <v>74</v>
      </c>
    </row>
    <row r="4908" spans="9:9" x14ac:dyDescent="0.2">
      <c r="I4908" s="137" t="s">
        <v>74</v>
      </c>
    </row>
    <row r="4909" spans="9:9" x14ac:dyDescent="0.2">
      <c r="I4909" s="137" t="s">
        <v>74</v>
      </c>
    </row>
    <row r="4910" spans="9:9" x14ac:dyDescent="0.2">
      <c r="I4910" s="137" t="s">
        <v>74</v>
      </c>
    </row>
    <row r="4911" spans="9:9" x14ac:dyDescent="0.2">
      <c r="I4911" s="137" t="s">
        <v>74</v>
      </c>
    </row>
    <row r="4912" spans="9:9" x14ac:dyDescent="0.2">
      <c r="I4912" s="137" t="s">
        <v>74</v>
      </c>
    </row>
    <row r="4913" spans="9:9" x14ac:dyDescent="0.2">
      <c r="I4913" s="137" t="s">
        <v>74</v>
      </c>
    </row>
    <row r="4914" spans="9:9" x14ac:dyDescent="0.2">
      <c r="I4914" s="137" t="s">
        <v>74</v>
      </c>
    </row>
    <row r="4915" spans="9:9" x14ac:dyDescent="0.2">
      <c r="I4915" s="137" t="s">
        <v>74</v>
      </c>
    </row>
    <row r="4916" spans="9:9" x14ac:dyDescent="0.2">
      <c r="I4916" s="137" t="s">
        <v>74</v>
      </c>
    </row>
    <row r="4917" spans="9:9" x14ac:dyDescent="0.2">
      <c r="I4917" s="137" t="s">
        <v>74</v>
      </c>
    </row>
    <row r="4918" spans="9:9" x14ac:dyDescent="0.2">
      <c r="I4918" s="137" t="s">
        <v>74</v>
      </c>
    </row>
    <row r="4919" spans="9:9" x14ac:dyDescent="0.2">
      <c r="I4919" s="137" t="s">
        <v>74</v>
      </c>
    </row>
    <row r="4920" spans="9:9" x14ac:dyDescent="0.2">
      <c r="I4920" s="137" t="s">
        <v>74</v>
      </c>
    </row>
    <row r="4921" spans="9:9" x14ac:dyDescent="0.2">
      <c r="I4921" s="137" t="s">
        <v>74</v>
      </c>
    </row>
    <row r="4922" spans="9:9" x14ac:dyDescent="0.2">
      <c r="I4922" s="137" t="s">
        <v>74</v>
      </c>
    </row>
    <row r="4923" spans="9:9" x14ac:dyDescent="0.2">
      <c r="I4923" s="137" t="s">
        <v>74</v>
      </c>
    </row>
    <row r="4924" spans="9:9" x14ac:dyDescent="0.2">
      <c r="I4924" s="137" t="s">
        <v>74</v>
      </c>
    </row>
    <row r="4925" spans="9:9" x14ac:dyDescent="0.2">
      <c r="I4925" s="137" t="s">
        <v>74</v>
      </c>
    </row>
    <row r="4926" spans="9:9" x14ac:dyDescent="0.2">
      <c r="I4926" s="137" t="s">
        <v>74</v>
      </c>
    </row>
    <row r="4927" spans="9:9" x14ac:dyDescent="0.2">
      <c r="I4927" s="137" t="s">
        <v>74</v>
      </c>
    </row>
    <row r="4928" spans="9:9" x14ac:dyDescent="0.2">
      <c r="I4928" s="137" t="s">
        <v>74</v>
      </c>
    </row>
    <row r="4929" spans="9:9" x14ac:dyDescent="0.2">
      <c r="I4929" s="137" t="s">
        <v>74</v>
      </c>
    </row>
    <row r="4930" spans="9:9" x14ac:dyDescent="0.2">
      <c r="I4930" s="137" t="s">
        <v>74</v>
      </c>
    </row>
    <row r="4931" spans="9:9" x14ac:dyDescent="0.2">
      <c r="I4931" s="137" t="s">
        <v>74</v>
      </c>
    </row>
    <row r="4932" spans="9:9" x14ac:dyDescent="0.2">
      <c r="I4932" s="137" t="s">
        <v>74</v>
      </c>
    </row>
    <row r="4933" spans="9:9" x14ac:dyDescent="0.2">
      <c r="I4933" s="137" t="s">
        <v>74</v>
      </c>
    </row>
    <row r="4934" spans="9:9" x14ac:dyDescent="0.2">
      <c r="I4934" s="137" t="s">
        <v>74</v>
      </c>
    </row>
    <row r="4935" spans="9:9" x14ac:dyDescent="0.2">
      <c r="I4935" s="137" t="s">
        <v>74</v>
      </c>
    </row>
    <row r="4936" spans="9:9" x14ac:dyDescent="0.2">
      <c r="I4936" s="137" t="s">
        <v>74</v>
      </c>
    </row>
    <row r="4937" spans="9:9" x14ac:dyDescent="0.2">
      <c r="I4937" s="137" t="s">
        <v>74</v>
      </c>
    </row>
    <row r="4938" spans="9:9" x14ac:dyDescent="0.2">
      <c r="I4938" s="137" t="s">
        <v>74</v>
      </c>
    </row>
    <row r="4939" spans="9:9" x14ac:dyDescent="0.2">
      <c r="I4939" s="137" t="s">
        <v>74</v>
      </c>
    </row>
    <row r="4940" spans="9:9" x14ac:dyDescent="0.2">
      <c r="I4940" s="137" t="s">
        <v>74</v>
      </c>
    </row>
    <row r="4941" spans="9:9" x14ac:dyDescent="0.2">
      <c r="I4941" s="137" t="s">
        <v>74</v>
      </c>
    </row>
    <row r="4942" spans="9:9" x14ac:dyDescent="0.2">
      <c r="I4942" s="137" t="s">
        <v>74</v>
      </c>
    </row>
    <row r="4943" spans="9:9" x14ac:dyDescent="0.2">
      <c r="I4943" s="137" t="s">
        <v>74</v>
      </c>
    </row>
    <row r="4944" spans="9:9" x14ac:dyDescent="0.2">
      <c r="I4944" s="137" t="s">
        <v>74</v>
      </c>
    </row>
    <row r="4945" spans="9:9" x14ac:dyDescent="0.2">
      <c r="I4945" s="137" t="s">
        <v>74</v>
      </c>
    </row>
    <row r="4946" spans="9:9" x14ac:dyDescent="0.2">
      <c r="I4946" s="137" t="s">
        <v>74</v>
      </c>
    </row>
    <row r="4947" spans="9:9" x14ac:dyDescent="0.2">
      <c r="I4947" s="137" t="s">
        <v>74</v>
      </c>
    </row>
    <row r="4948" spans="9:9" x14ac:dyDescent="0.2">
      <c r="I4948" s="137" t="s">
        <v>74</v>
      </c>
    </row>
    <row r="4949" spans="9:9" x14ac:dyDescent="0.2">
      <c r="I4949" s="137" t="s">
        <v>74</v>
      </c>
    </row>
    <row r="4950" spans="9:9" x14ac:dyDescent="0.2">
      <c r="I4950" s="137" t="s">
        <v>74</v>
      </c>
    </row>
    <row r="4951" spans="9:9" x14ac:dyDescent="0.2">
      <c r="I4951" s="137" t="s">
        <v>74</v>
      </c>
    </row>
    <row r="4952" spans="9:9" x14ac:dyDescent="0.2">
      <c r="I4952" s="137" t="s">
        <v>74</v>
      </c>
    </row>
    <row r="4953" spans="9:9" x14ac:dyDescent="0.2">
      <c r="I4953" s="137" t="s">
        <v>74</v>
      </c>
    </row>
    <row r="4954" spans="9:9" x14ac:dyDescent="0.2">
      <c r="I4954" s="137" t="s">
        <v>74</v>
      </c>
    </row>
    <row r="4955" spans="9:9" x14ac:dyDescent="0.2">
      <c r="I4955" s="137" t="s">
        <v>74</v>
      </c>
    </row>
    <row r="4956" spans="9:9" x14ac:dyDescent="0.2">
      <c r="I4956" s="137" t="s">
        <v>74</v>
      </c>
    </row>
    <row r="4957" spans="9:9" x14ac:dyDescent="0.2">
      <c r="I4957" s="137" t="s">
        <v>74</v>
      </c>
    </row>
    <row r="4958" spans="9:9" x14ac:dyDescent="0.2">
      <c r="I4958" s="137" t="s">
        <v>74</v>
      </c>
    </row>
    <row r="4959" spans="9:9" x14ac:dyDescent="0.2">
      <c r="I4959" s="137" t="s">
        <v>74</v>
      </c>
    </row>
    <row r="4960" spans="9:9" x14ac:dyDescent="0.2">
      <c r="I4960" s="137" t="s">
        <v>74</v>
      </c>
    </row>
    <row r="4961" spans="9:9" x14ac:dyDescent="0.2">
      <c r="I4961" s="137" t="s">
        <v>74</v>
      </c>
    </row>
    <row r="4962" spans="9:9" x14ac:dyDescent="0.2">
      <c r="I4962" s="137" t="s">
        <v>74</v>
      </c>
    </row>
    <row r="4963" spans="9:9" x14ac:dyDescent="0.2">
      <c r="I4963" s="137" t="s">
        <v>74</v>
      </c>
    </row>
    <row r="4964" spans="9:9" x14ac:dyDescent="0.2">
      <c r="I4964" s="137" t="s">
        <v>74</v>
      </c>
    </row>
    <row r="4965" spans="9:9" x14ac:dyDescent="0.2">
      <c r="I4965" s="137" t="s">
        <v>74</v>
      </c>
    </row>
    <row r="4966" spans="9:9" x14ac:dyDescent="0.2">
      <c r="I4966" s="137" t="s">
        <v>74</v>
      </c>
    </row>
    <row r="4967" spans="9:9" x14ac:dyDescent="0.2">
      <c r="I4967" s="137" t="s">
        <v>74</v>
      </c>
    </row>
    <row r="4968" spans="9:9" x14ac:dyDescent="0.2">
      <c r="I4968" s="137" t="s">
        <v>74</v>
      </c>
    </row>
    <row r="4969" spans="9:9" x14ac:dyDescent="0.2">
      <c r="I4969" s="137" t="s">
        <v>74</v>
      </c>
    </row>
    <row r="4970" spans="9:9" x14ac:dyDescent="0.2">
      <c r="I4970" s="137" t="s">
        <v>74</v>
      </c>
    </row>
    <row r="4971" spans="9:9" x14ac:dyDescent="0.2">
      <c r="I4971" s="137" t="s">
        <v>74</v>
      </c>
    </row>
    <row r="4972" spans="9:9" x14ac:dyDescent="0.2">
      <c r="I4972" s="137" t="s">
        <v>74</v>
      </c>
    </row>
    <row r="4973" spans="9:9" x14ac:dyDescent="0.2">
      <c r="I4973" s="137" t="s">
        <v>74</v>
      </c>
    </row>
    <row r="4974" spans="9:9" x14ac:dyDescent="0.2">
      <c r="I4974" s="137" t="s">
        <v>74</v>
      </c>
    </row>
    <row r="4975" spans="9:9" x14ac:dyDescent="0.2">
      <c r="I4975" s="137" t="s">
        <v>74</v>
      </c>
    </row>
    <row r="4976" spans="9:9" x14ac:dyDescent="0.2">
      <c r="I4976" s="137" t="s">
        <v>74</v>
      </c>
    </row>
    <row r="4977" spans="9:9" x14ac:dyDescent="0.2">
      <c r="I4977" s="137" t="s">
        <v>74</v>
      </c>
    </row>
    <row r="4978" spans="9:9" x14ac:dyDescent="0.2">
      <c r="I4978" s="137" t="s">
        <v>74</v>
      </c>
    </row>
    <row r="4979" spans="9:9" x14ac:dyDescent="0.2">
      <c r="I4979" s="137" t="s">
        <v>74</v>
      </c>
    </row>
    <row r="4980" spans="9:9" x14ac:dyDescent="0.2">
      <c r="I4980" s="137" t="s">
        <v>74</v>
      </c>
    </row>
    <row r="4981" spans="9:9" x14ac:dyDescent="0.2">
      <c r="I4981" s="137" t="s">
        <v>74</v>
      </c>
    </row>
    <row r="4982" spans="9:9" x14ac:dyDescent="0.2">
      <c r="I4982" s="137" t="s">
        <v>74</v>
      </c>
    </row>
    <row r="4983" spans="9:9" x14ac:dyDescent="0.2">
      <c r="I4983" s="137" t="s">
        <v>74</v>
      </c>
    </row>
    <row r="4984" spans="9:9" x14ac:dyDescent="0.2">
      <c r="I4984" s="137" t="s">
        <v>74</v>
      </c>
    </row>
    <row r="4985" spans="9:9" x14ac:dyDescent="0.2">
      <c r="I4985" s="137" t="s">
        <v>74</v>
      </c>
    </row>
    <row r="4986" spans="9:9" x14ac:dyDescent="0.2">
      <c r="I4986" s="137" t="s">
        <v>74</v>
      </c>
    </row>
    <row r="4987" spans="9:9" x14ac:dyDescent="0.2">
      <c r="I4987" s="137" t="s">
        <v>74</v>
      </c>
    </row>
    <row r="4988" spans="9:9" x14ac:dyDescent="0.2">
      <c r="I4988" s="137" t="s">
        <v>74</v>
      </c>
    </row>
    <row r="4989" spans="9:9" x14ac:dyDescent="0.2">
      <c r="I4989" s="137" t="s">
        <v>74</v>
      </c>
    </row>
    <row r="4990" spans="9:9" x14ac:dyDescent="0.2">
      <c r="I4990" s="137" t="s">
        <v>74</v>
      </c>
    </row>
    <row r="4991" spans="9:9" x14ac:dyDescent="0.2">
      <c r="I4991" s="137" t="s">
        <v>74</v>
      </c>
    </row>
    <row r="4992" spans="9:9" x14ac:dyDescent="0.2">
      <c r="I4992" s="137" t="s">
        <v>74</v>
      </c>
    </row>
    <row r="4993" spans="9:9" x14ac:dyDescent="0.2">
      <c r="I4993" s="137" t="s">
        <v>74</v>
      </c>
    </row>
    <row r="4994" spans="9:9" x14ac:dyDescent="0.2">
      <c r="I4994" s="137" t="s">
        <v>74</v>
      </c>
    </row>
    <row r="4995" spans="9:9" x14ac:dyDescent="0.2">
      <c r="I4995" s="137" t="s">
        <v>74</v>
      </c>
    </row>
    <row r="4996" spans="9:9" x14ac:dyDescent="0.2">
      <c r="I4996" s="137" t="s">
        <v>74</v>
      </c>
    </row>
    <row r="4997" spans="9:9" x14ac:dyDescent="0.2">
      <c r="I4997" s="137" t="s">
        <v>74</v>
      </c>
    </row>
    <row r="4998" spans="9:9" x14ac:dyDescent="0.2">
      <c r="I4998" s="137" t="s">
        <v>74</v>
      </c>
    </row>
    <row r="4999" spans="9:9" x14ac:dyDescent="0.2">
      <c r="I4999" s="137" t="s">
        <v>74</v>
      </c>
    </row>
    <row r="5000" spans="9:9" x14ac:dyDescent="0.2">
      <c r="I5000" s="137" t="s">
        <v>74</v>
      </c>
    </row>
    <row r="5001" spans="9:9" x14ac:dyDescent="0.2">
      <c r="I5001" s="137" t="s">
        <v>74</v>
      </c>
    </row>
    <row r="5002" spans="9:9" x14ac:dyDescent="0.2">
      <c r="I5002" s="137" t="s">
        <v>74</v>
      </c>
    </row>
    <row r="5003" spans="9:9" x14ac:dyDescent="0.2">
      <c r="I5003" s="137" t="s">
        <v>74</v>
      </c>
    </row>
    <row r="5004" spans="9:9" x14ac:dyDescent="0.2">
      <c r="I5004" s="137" t="s">
        <v>74</v>
      </c>
    </row>
    <row r="5005" spans="9:9" x14ac:dyDescent="0.2">
      <c r="I5005" s="137" t="s">
        <v>74</v>
      </c>
    </row>
    <row r="5006" spans="9:9" x14ac:dyDescent="0.2">
      <c r="I5006" s="137" t="s">
        <v>74</v>
      </c>
    </row>
    <row r="5007" spans="9:9" x14ac:dyDescent="0.2">
      <c r="I5007" s="137" t="s">
        <v>74</v>
      </c>
    </row>
    <row r="5008" spans="9:9" x14ac:dyDescent="0.2">
      <c r="I5008" s="137" t="s">
        <v>74</v>
      </c>
    </row>
    <row r="5009" spans="9:9" x14ac:dyDescent="0.2">
      <c r="I5009" s="137" t="s">
        <v>74</v>
      </c>
    </row>
    <row r="5010" spans="9:9" x14ac:dyDescent="0.2">
      <c r="I5010" s="137" t="s">
        <v>74</v>
      </c>
    </row>
    <row r="5011" spans="9:9" x14ac:dyDescent="0.2">
      <c r="I5011" s="137" t="s">
        <v>74</v>
      </c>
    </row>
    <row r="5012" spans="9:9" x14ac:dyDescent="0.2">
      <c r="I5012" s="137" t="s">
        <v>74</v>
      </c>
    </row>
    <row r="5013" spans="9:9" x14ac:dyDescent="0.2">
      <c r="I5013" s="137" t="s">
        <v>74</v>
      </c>
    </row>
    <row r="5014" spans="9:9" x14ac:dyDescent="0.2">
      <c r="I5014" s="137" t="s">
        <v>74</v>
      </c>
    </row>
    <row r="5015" spans="9:9" x14ac:dyDescent="0.2">
      <c r="I5015" s="137" t="s">
        <v>74</v>
      </c>
    </row>
    <row r="5016" spans="9:9" x14ac:dyDescent="0.2">
      <c r="I5016" s="137" t="s">
        <v>74</v>
      </c>
    </row>
    <row r="5017" spans="9:9" x14ac:dyDescent="0.2">
      <c r="I5017" s="137" t="s">
        <v>74</v>
      </c>
    </row>
    <row r="5018" spans="9:9" x14ac:dyDescent="0.2">
      <c r="I5018" s="137" t="s">
        <v>74</v>
      </c>
    </row>
    <row r="5019" spans="9:9" x14ac:dyDescent="0.2">
      <c r="I5019" s="137" t="s">
        <v>74</v>
      </c>
    </row>
    <row r="5020" spans="9:9" x14ac:dyDescent="0.2">
      <c r="I5020" s="137" t="s">
        <v>74</v>
      </c>
    </row>
    <row r="5021" spans="9:9" x14ac:dyDescent="0.2">
      <c r="I5021" s="137" t="s">
        <v>74</v>
      </c>
    </row>
    <row r="5022" spans="9:9" x14ac:dyDescent="0.2">
      <c r="I5022" s="137" t="s">
        <v>74</v>
      </c>
    </row>
    <row r="5023" spans="9:9" x14ac:dyDescent="0.2">
      <c r="I5023" s="137" t="s">
        <v>74</v>
      </c>
    </row>
    <row r="5024" spans="9:9" x14ac:dyDescent="0.2">
      <c r="I5024" s="137" t="s">
        <v>74</v>
      </c>
    </row>
    <row r="5025" spans="9:9" x14ac:dyDescent="0.2">
      <c r="I5025" s="137" t="s">
        <v>74</v>
      </c>
    </row>
    <row r="5026" spans="9:9" x14ac:dyDescent="0.2">
      <c r="I5026" s="137" t="s">
        <v>74</v>
      </c>
    </row>
    <row r="5027" spans="9:9" x14ac:dyDescent="0.2">
      <c r="I5027" s="137" t="s">
        <v>74</v>
      </c>
    </row>
    <row r="5028" spans="9:9" x14ac:dyDescent="0.2">
      <c r="I5028" s="137" t="s">
        <v>74</v>
      </c>
    </row>
    <row r="5029" spans="9:9" x14ac:dyDescent="0.2">
      <c r="I5029" s="137" t="s">
        <v>74</v>
      </c>
    </row>
    <row r="5030" spans="9:9" x14ac:dyDescent="0.2">
      <c r="I5030" s="137" t="s">
        <v>74</v>
      </c>
    </row>
    <row r="5031" spans="9:9" x14ac:dyDescent="0.2">
      <c r="I5031" s="137" t="s">
        <v>74</v>
      </c>
    </row>
    <row r="5032" spans="9:9" x14ac:dyDescent="0.2">
      <c r="I5032" s="137" t="s">
        <v>74</v>
      </c>
    </row>
    <row r="5033" spans="9:9" x14ac:dyDescent="0.2">
      <c r="I5033" s="137" t="s">
        <v>74</v>
      </c>
    </row>
    <row r="5034" spans="9:9" x14ac:dyDescent="0.2">
      <c r="I5034" s="137" t="s">
        <v>74</v>
      </c>
    </row>
    <row r="5035" spans="9:9" x14ac:dyDescent="0.2">
      <c r="I5035" s="137" t="s">
        <v>74</v>
      </c>
    </row>
    <row r="5036" spans="9:9" x14ac:dyDescent="0.2">
      <c r="I5036" s="137" t="s">
        <v>74</v>
      </c>
    </row>
    <row r="5037" spans="9:9" x14ac:dyDescent="0.2">
      <c r="I5037" s="137" t="s">
        <v>74</v>
      </c>
    </row>
    <row r="5038" spans="9:9" x14ac:dyDescent="0.2">
      <c r="I5038" s="137" t="s">
        <v>74</v>
      </c>
    </row>
    <row r="5039" spans="9:9" x14ac:dyDescent="0.2">
      <c r="I5039" s="137" t="s">
        <v>74</v>
      </c>
    </row>
    <row r="5040" spans="9:9" x14ac:dyDescent="0.2">
      <c r="I5040" s="137" t="s">
        <v>74</v>
      </c>
    </row>
    <row r="5041" spans="9:9" x14ac:dyDescent="0.2">
      <c r="I5041" s="137" t="s">
        <v>74</v>
      </c>
    </row>
    <row r="5042" spans="9:9" x14ac:dyDescent="0.2">
      <c r="I5042" s="137" t="s">
        <v>74</v>
      </c>
    </row>
    <row r="5043" spans="9:9" x14ac:dyDescent="0.2">
      <c r="I5043" s="137" t="s">
        <v>74</v>
      </c>
    </row>
    <row r="5044" spans="9:9" x14ac:dyDescent="0.2">
      <c r="I5044" s="137" t="s">
        <v>74</v>
      </c>
    </row>
    <row r="5045" spans="9:9" x14ac:dyDescent="0.2">
      <c r="I5045" s="137" t="s">
        <v>74</v>
      </c>
    </row>
    <row r="5046" spans="9:9" x14ac:dyDescent="0.2">
      <c r="I5046" s="137" t="s">
        <v>74</v>
      </c>
    </row>
    <row r="5047" spans="9:9" x14ac:dyDescent="0.2">
      <c r="I5047" s="137" t="s">
        <v>74</v>
      </c>
    </row>
    <row r="5048" spans="9:9" x14ac:dyDescent="0.2">
      <c r="I5048" s="137" t="s">
        <v>74</v>
      </c>
    </row>
    <row r="5049" spans="9:9" x14ac:dyDescent="0.2">
      <c r="I5049" s="137" t="s">
        <v>74</v>
      </c>
    </row>
    <row r="5050" spans="9:9" x14ac:dyDescent="0.2">
      <c r="I5050" s="137" t="s">
        <v>74</v>
      </c>
    </row>
    <row r="5051" spans="9:9" x14ac:dyDescent="0.2">
      <c r="I5051" s="137" t="s">
        <v>74</v>
      </c>
    </row>
    <row r="5052" spans="9:9" x14ac:dyDescent="0.2">
      <c r="I5052" s="137" t="s">
        <v>74</v>
      </c>
    </row>
    <row r="5053" spans="9:9" x14ac:dyDescent="0.2">
      <c r="I5053" s="137" t="s">
        <v>74</v>
      </c>
    </row>
    <row r="5054" spans="9:9" x14ac:dyDescent="0.2">
      <c r="I5054" s="137" t="s">
        <v>74</v>
      </c>
    </row>
    <row r="5055" spans="9:9" x14ac:dyDescent="0.2">
      <c r="I5055" s="137" t="s">
        <v>74</v>
      </c>
    </row>
    <row r="5056" spans="9:9" x14ac:dyDescent="0.2">
      <c r="I5056" s="137" t="s">
        <v>74</v>
      </c>
    </row>
    <row r="5057" spans="9:9" x14ac:dyDescent="0.2">
      <c r="I5057" s="137" t="s">
        <v>74</v>
      </c>
    </row>
    <row r="5058" spans="9:9" x14ac:dyDescent="0.2">
      <c r="I5058" s="137" t="s">
        <v>74</v>
      </c>
    </row>
    <row r="5059" spans="9:9" x14ac:dyDescent="0.2">
      <c r="I5059" s="137" t="s">
        <v>74</v>
      </c>
    </row>
    <row r="5060" spans="9:9" x14ac:dyDescent="0.2">
      <c r="I5060" s="137" t="s">
        <v>74</v>
      </c>
    </row>
    <row r="5061" spans="9:9" x14ac:dyDescent="0.2">
      <c r="I5061" s="137" t="s">
        <v>74</v>
      </c>
    </row>
    <row r="5062" spans="9:9" x14ac:dyDescent="0.2">
      <c r="I5062" s="137" t="s">
        <v>74</v>
      </c>
    </row>
    <row r="5063" spans="9:9" x14ac:dyDescent="0.2">
      <c r="I5063" s="137" t="s">
        <v>74</v>
      </c>
    </row>
    <row r="5064" spans="9:9" x14ac:dyDescent="0.2">
      <c r="I5064" s="137" t="s">
        <v>74</v>
      </c>
    </row>
    <row r="5065" spans="9:9" x14ac:dyDescent="0.2">
      <c r="I5065" s="137" t="s">
        <v>74</v>
      </c>
    </row>
    <row r="5066" spans="9:9" x14ac:dyDescent="0.2">
      <c r="I5066" s="137" t="s">
        <v>74</v>
      </c>
    </row>
    <row r="5067" spans="9:9" x14ac:dyDescent="0.2">
      <c r="I5067" s="137" t="s">
        <v>74</v>
      </c>
    </row>
    <row r="5068" spans="9:9" x14ac:dyDescent="0.2">
      <c r="I5068" s="137" t="s">
        <v>74</v>
      </c>
    </row>
    <row r="5069" spans="9:9" x14ac:dyDescent="0.2">
      <c r="I5069" s="137" t="s">
        <v>74</v>
      </c>
    </row>
    <row r="5070" spans="9:9" x14ac:dyDescent="0.2">
      <c r="I5070" s="137" t="s">
        <v>74</v>
      </c>
    </row>
    <row r="5071" spans="9:9" x14ac:dyDescent="0.2">
      <c r="I5071" s="137" t="s">
        <v>74</v>
      </c>
    </row>
    <row r="5072" spans="9:9" x14ac:dyDescent="0.2">
      <c r="I5072" s="137" t="s">
        <v>74</v>
      </c>
    </row>
    <row r="5073" spans="9:9" x14ac:dyDescent="0.2">
      <c r="I5073" s="137" t="s">
        <v>74</v>
      </c>
    </row>
    <row r="5074" spans="9:9" x14ac:dyDescent="0.2">
      <c r="I5074" s="137" t="s">
        <v>74</v>
      </c>
    </row>
    <row r="5075" spans="9:9" x14ac:dyDescent="0.2">
      <c r="I5075" s="137" t="s">
        <v>74</v>
      </c>
    </row>
    <row r="5076" spans="9:9" x14ac:dyDescent="0.2">
      <c r="I5076" s="137" t="s">
        <v>74</v>
      </c>
    </row>
    <row r="5077" spans="9:9" x14ac:dyDescent="0.2">
      <c r="I5077" s="137" t="s">
        <v>74</v>
      </c>
    </row>
    <row r="5078" spans="9:9" x14ac:dyDescent="0.2">
      <c r="I5078" s="137" t="s">
        <v>74</v>
      </c>
    </row>
    <row r="5079" spans="9:9" x14ac:dyDescent="0.2">
      <c r="I5079" s="137" t="s">
        <v>74</v>
      </c>
    </row>
    <row r="5080" spans="9:9" x14ac:dyDescent="0.2">
      <c r="I5080" s="137" t="s">
        <v>74</v>
      </c>
    </row>
    <row r="5081" spans="9:9" x14ac:dyDescent="0.2">
      <c r="I5081" s="137" t="s">
        <v>74</v>
      </c>
    </row>
    <row r="5082" spans="9:9" x14ac:dyDescent="0.2">
      <c r="I5082" s="137" t="s">
        <v>74</v>
      </c>
    </row>
    <row r="5083" spans="9:9" x14ac:dyDescent="0.2">
      <c r="I5083" s="137" t="s">
        <v>74</v>
      </c>
    </row>
    <row r="5084" spans="9:9" x14ac:dyDescent="0.2">
      <c r="I5084" s="137" t="s">
        <v>74</v>
      </c>
    </row>
    <row r="5085" spans="9:9" x14ac:dyDescent="0.2">
      <c r="I5085" s="137" t="s">
        <v>74</v>
      </c>
    </row>
    <row r="5086" spans="9:9" x14ac:dyDescent="0.2">
      <c r="I5086" s="137" t="s">
        <v>74</v>
      </c>
    </row>
    <row r="5087" spans="9:9" x14ac:dyDescent="0.2">
      <c r="I5087" s="137" t="s">
        <v>74</v>
      </c>
    </row>
    <row r="5088" spans="9:9" x14ac:dyDescent="0.2">
      <c r="I5088" s="137" t="s">
        <v>74</v>
      </c>
    </row>
    <row r="5089" spans="9:9" x14ac:dyDescent="0.2">
      <c r="I5089" s="137" t="s">
        <v>74</v>
      </c>
    </row>
    <row r="5090" spans="9:9" x14ac:dyDescent="0.2">
      <c r="I5090" s="137" t="s">
        <v>74</v>
      </c>
    </row>
    <row r="5091" spans="9:9" x14ac:dyDescent="0.2">
      <c r="I5091" s="137" t="s">
        <v>74</v>
      </c>
    </row>
    <row r="5092" spans="9:9" x14ac:dyDescent="0.2">
      <c r="I5092" s="137" t="s">
        <v>74</v>
      </c>
    </row>
    <row r="5093" spans="9:9" x14ac:dyDescent="0.2">
      <c r="I5093" s="137" t="s">
        <v>74</v>
      </c>
    </row>
    <row r="5094" spans="9:9" x14ac:dyDescent="0.2">
      <c r="I5094" s="137" t="s">
        <v>74</v>
      </c>
    </row>
    <row r="5095" spans="9:9" x14ac:dyDescent="0.2">
      <c r="I5095" s="137" t="s">
        <v>74</v>
      </c>
    </row>
    <row r="5096" spans="9:9" x14ac:dyDescent="0.2">
      <c r="I5096" s="137" t="s">
        <v>74</v>
      </c>
    </row>
    <row r="5097" spans="9:9" x14ac:dyDescent="0.2">
      <c r="I5097" s="137" t="s">
        <v>74</v>
      </c>
    </row>
    <row r="5098" spans="9:9" x14ac:dyDescent="0.2">
      <c r="I5098" s="137" t="s">
        <v>74</v>
      </c>
    </row>
    <row r="5099" spans="9:9" x14ac:dyDescent="0.2">
      <c r="I5099" s="137" t="s">
        <v>74</v>
      </c>
    </row>
    <row r="5100" spans="9:9" x14ac:dyDescent="0.2">
      <c r="I5100" s="137" t="s">
        <v>74</v>
      </c>
    </row>
    <row r="5101" spans="9:9" x14ac:dyDescent="0.2">
      <c r="I5101" s="137" t="s">
        <v>74</v>
      </c>
    </row>
    <row r="5102" spans="9:9" x14ac:dyDescent="0.2">
      <c r="I5102" s="137" t="s">
        <v>74</v>
      </c>
    </row>
    <row r="5103" spans="9:9" x14ac:dyDescent="0.2">
      <c r="I5103" s="137" t="s">
        <v>74</v>
      </c>
    </row>
    <row r="5104" spans="9:9" x14ac:dyDescent="0.2">
      <c r="I5104" s="137" t="s">
        <v>74</v>
      </c>
    </row>
    <row r="5105" spans="9:9" x14ac:dyDescent="0.2">
      <c r="I5105" s="137" t="s">
        <v>74</v>
      </c>
    </row>
    <row r="5106" spans="9:9" x14ac:dyDescent="0.2">
      <c r="I5106" s="137" t="s">
        <v>74</v>
      </c>
    </row>
    <row r="5107" spans="9:9" x14ac:dyDescent="0.2">
      <c r="I5107" s="137" t="s">
        <v>74</v>
      </c>
    </row>
    <row r="5108" spans="9:9" x14ac:dyDescent="0.2">
      <c r="I5108" s="137" t="s">
        <v>74</v>
      </c>
    </row>
    <row r="5109" spans="9:9" x14ac:dyDescent="0.2">
      <c r="I5109" s="137" t="s">
        <v>74</v>
      </c>
    </row>
    <row r="5110" spans="9:9" x14ac:dyDescent="0.2">
      <c r="I5110" s="137" t="s">
        <v>74</v>
      </c>
    </row>
    <row r="5111" spans="9:9" x14ac:dyDescent="0.2">
      <c r="I5111" s="137" t="s">
        <v>74</v>
      </c>
    </row>
    <row r="5112" spans="9:9" x14ac:dyDescent="0.2">
      <c r="I5112" s="137" t="s">
        <v>74</v>
      </c>
    </row>
    <row r="5113" spans="9:9" x14ac:dyDescent="0.2">
      <c r="I5113" s="137" t="s">
        <v>74</v>
      </c>
    </row>
    <row r="5114" spans="9:9" x14ac:dyDescent="0.2">
      <c r="I5114" s="137" t="s">
        <v>74</v>
      </c>
    </row>
    <row r="5115" spans="9:9" x14ac:dyDescent="0.2">
      <c r="I5115" s="137" t="s">
        <v>74</v>
      </c>
    </row>
    <row r="5116" spans="9:9" x14ac:dyDescent="0.2">
      <c r="I5116" s="137" t="s">
        <v>74</v>
      </c>
    </row>
    <row r="5117" spans="9:9" x14ac:dyDescent="0.2">
      <c r="I5117" s="137" t="s">
        <v>74</v>
      </c>
    </row>
    <row r="5118" spans="9:9" x14ac:dyDescent="0.2">
      <c r="I5118" s="137" t="s">
        <v>74</v>
      </c>
    </row>
    <row r="5119" spans="9:9" x14ac:dyDescent="0.2">
      <c r="I5119" s="137" t="s">
        <v>74</v>
      </c>
    </row>
    <row r="5120" spans="9:9" x14ac:dyDescent="0.2">
      <c r="I5120" s="137" t="s">
        <v>74</v>
      </c>
    </row>
    <row r="5121" spans="9:9" x14ac:dyDescent="0.2">
      <c r="I5121" s="137" t="s">
        <v>74</v>
      </c>
    </row>
    <row r="5122" spans="9:9" x14ac:dyDescent="0.2">
      <c r="I5122" s="137" t="s">
        <v>74</v>
      </c>
    </row>
    <row r="5123" spans="9:9" x14ac:dyDescent="0.2">
      <c r="I5123" s="137" t="s">
        <v>74</v>
      </c>
    </row>
    <row r="5124" spans="9:9" x14ac:dyDescent="0.2">
      <c r="I5124" s="137" t="s">
        <v>74</v>
      </c>
    </row>
    <row r="5125" spans="9:9" x14ac:dyDescent="0.2">
      <c r="I5125" s="137" t="s">
        <v>74</v>
      </c>
    </row>
    <row r="5126" spans="9:9" x14ac:dyDescent="0.2">
      <c r="I5126" s="137" t="s">
        <v>74</v>
      </c>
    </row>
    <row r="5127" spans="9:9" x14ac:dyDescent="0.2">
      <c r="I5127" s="137" t="s">
        <v>74</v>
      </c>
    </row>
    <row r="5128" spans="9:9" x14ac:dyDescent="0.2">
      <c r="I5128" s="137" t="s">
        <v>74</v>
      </c>
    </row>
    <row r="5129" spans="9:9" x14ac:dyDescent="0.2">
      <c r="I5129" s="137" t="s">
        <v>74</v>
      </c>
    </row>
    <row r="5130" spans="9:9" x14ac:dyDescent="0.2">
      <c r="I5130" s="137" t="s">
        <v>74</v>
      </c>
    </row>
    <row r="5131" spans="9:9" x14ac:dyDescent="0.2">
      <c r="I5131" s="137" t="s">
        <v>74</v>
      </c>
    </row>
    <row r="5132" spans="9:9" x14ac:dyDescent="0.2">
      <c r="I5132" s="137" t="s">
        <v>74</v>
      </c>
    </row>
    <row r="5133" spans="9:9" x14ac:dyDescent="0.2">
      <c r="I5133" s="137" t="s">
        <v>74</v>
      </c>
    </row>
    <row r="5134" spans="9:9" x14ac:dyDescent="0.2">
      <c r="I5134" s="137" t="s">
        <v>74</v>
      </c>
    </row>
    <row r="5135" spans="9:9" x14ac:dyDescent="0.2">
      <c r="I5135" s="137" t="s">
        <v>74</v>
      </c>
    </row>
    <row r="5136" spans="9:9" x14ac:dyDescent="0.2">
      <c r="I5136" s="137" t="s">
        <v>74</v>
      </c>
    </row>
    <row r="5137" spans="9:9" x14ac:dyDescent="0.2">
      <c r="I5137" s="137" t="s">
        <v>74</v>
      </c>
    </row>
    <row r="5138" spans="9:9" x14ac:dyDescent="0.2">
      <c r="I5138" s="137" t="s">
        <v>74</v>
      </c>
    </row>
    <row r="5139" spans="9:9" x14ac:dyDescent="0.2">
      <c r="I5139" s="137" t="s">
        <v>74</v>
      </c>
    </row>
    <row r="5140" spans="9:9" x14ac:dyDescent="0.2">
      <c r="I5140" s="137" t="s">
        <v>74</v>
      </c>
    </row>
    <row r="5141" spans="9:9" x14ac:dyDescent="0.2">
      <c r="I5141" s="137" t="s">
        <v>74</v>
      </c>
    </row>
    <row r="5142" spans="9:9" x14ac:dyDescent="0.2">
      <c r="I5142" s="137" t="s">
        <v>74</v>
      </c>
    </row>
    <row r="5143" spans="9:9" x14ac:dyDescent="0.2">
      <c r="I5143" s="137" t="s">
        <v>74</v>
      </c>
    </row>
    <row r="5144" spans="9:9" x14ac:dyDescent="0.2">
      <c r="I5144" s="137" t="s">
        <v>74</v>
      </c>
    </row>
    <row r="5145" spans="9:9" x14ac:dyDescent="0.2">
      <c r="I5145" s="137" t="s">
        <v>74</v>
      </c>
    </row>
    <row r="5146" spans="9:9" x14ac:dyDescent="0.2">
      <c r="I5146" s="137" t="s">
        <v>74</v>
      </c>
    </row>
    <row r="5147" spans="9:9" x14ac:dyDescent="0.2">
      <c r="I5147" s="137" t="s">
        <v>74</v>
      </c>
    </row>
    <row r="5148" spans="9:9" x14ac:dyDescent="0.2">
      <c r="I5148" s="137" t="s">
        <v>74</v>
      </c>
    </row>
    <row r="5149" spans="9:9" x14ac:dyDescent="0.2">
      <c r="I5149" s="137" t="s">
        <v>74</v>
      </c>
    </row>
    <row r="5150" spans="9:9" x14ac:dyDescent="0.2">
      <c r="I5150" s="137" t="s">
        <v>74</v>
      </c>
    </row>
    <row r="5151" spans="9:9" x14ac:dyDescent="0.2">
      <c r="I5151" s="137" t="s">
        <v>74</v>
      </c>
    </row>
    <row r="5152" spans="9:9" x14ac:dyDescent="0.2">
      <c r="I5152" s="137" t="s">
        <v>74</v>
      </c>
    </row>
    <row r="5153" spans="9:9" x14ac:dyDescent="0.2">
      <c r="I5153" s="137" t="s">
        <v>74</v>
      </c>
    </row>
    <row r="5154" spans="9:9" x14ac:dyDescent="0.2">
      <c r="I5154" s="137" t="s">
        <v>74</v>
      </c>
    </row>
    <row r="5155" spans="9:9" x14ac:dyDescent="0.2">
      <c r="I5155" s="137" t="s">
        <v>74</v>
      </c>
    </row>
    <row r="5156" spans="9:9" x14ac:dyDescent="0.2">
      <c r="I5156" s="137" t="s">
        <v>74</v>
      </c>
    </row>
    <row r="5157" spans="9:9" x14ac:dyDescent="0.2">
      <c r="I5157" s="137" t="s">
        <v>74</v>
      </c>
    </row>
    <row r="5158" spans="9:9" x14ac:dyDescent="0.2">
      <c r="I5158" s="137" t="s">
        <v>74</v>
      </c>
    </row>
    <row r="5159" spans="9:9" x14ac:dyDescent="0.2">
      <c r="I5159" s="137" t="s">
        <v>74</v>
      </c>
    </row>
    <row r="5160" spans="9:9" x14ac:dyDescent="0.2">
      <c r="I5160" s="137" t="s">
        <v>74</v>
      </c>
    </row>
    <row r="5161" spans="9:9" x14ac:dyDescent="0.2">
      <c r="I5161" s="137" t="s">
        <v>74</v>
      </c>
    </row>
    <row r="5162" spans="9:9" x14ac:dyDescent="0.2">
      <c r="I5162" s="137" t="s">
        <v>74</v>
      </c>
    </row>
    <row r="5163" spans="9:9" x14ac:dyDescent="0.2">
      <c r="I5163" s="137" t="s">
        <v>74</v>
      </c>
    </row>
    <row r="5164" spans="9:9" x14ac:dyDescent="0.2">
      <c r="I5164" s="137" t="s">
        <v>74</v>
      </c>
    </row>
    <row r="5165" spans="9:9" x14ac:dyDescent="0.2">
      <c r="I5165" s="137" t="s">
        <v>74</v>
      </c>
    </row>
    <row r="5166" spans="9:9" x14ac:dyDescent="0.2">
      <c r="I5166" s="137" t="s">
        <v>74</v>
      </c>
    </row>
    <row r="5167" spans="9:9" x14ac:dyDescent="0.2">
      <c r="I5167" s="137" t="s">
        <v>74</v>
      </c>
    </row>
    <row r="5168" spans="9:9" x14ac:dyDescent="0.2">
      <c r="I5168" s="137" t="s">
        <v>74</v>
      </c>
    </row>
    <row r="5169" spans="9:9" x14ac:dyDescent="0.2">
      <c r="I5169" s="137" t="s">
        <v>74</v>
      </c>
    </row>
    <row r="5170" spans="9:9" x14ac:dyDescent="0.2">
      <c r="I5170" s="137" t="s">
        <v>74</v>
      </c>
    </row>
    <row r="5171" spans="9:9" x14ac:dyDescent="0.2">
      <c r="I5171" s="137" t="s">
        <v>74</v>
      </c>
    </row>
    <row r="5172" spans="9:9" x14ac:dyDescent="0.2">
      <c r="I5172" s="137" t="s">
        <v>74</v>
      </c>
    </row>
    <row r="5173" spans="9:9" x14ac:dyDescent="0.2">
      <c r="I5173" s="137" t="s">
        <v>74</v>
      </c>
    </row>
    <row r="5174" spans="9:9" x14ac:dyDescent="0.2">
      <c r="I5174" s="137" t="s">
        <v>74</v>
      </c>
    </row>
    <row r="5175" spans="9:9" x14ac:dyDescent="0.2">
      <c r="I5175" s="137" t="s">
        <v>74</v>
      </c>
    </row>
    <row r="5176" spans="9:9" x14ac:dyDescent="0.2">
      <c r="I5176" s="137" t="s">
        <v>74</v>
      </c>
    </row>
    <row r="5177" spans="9:9" x14ac:dyDescent="0.2">
      <c r="I5177" s="137" t="s">
        <v>74</v>
      </c>
    </row>
    <row r="5178" spans="9:9" x14ac:dyDescent="0.2">
      <c r="I5178" s="137" t="s">
        <v>74</v>
      </c>
    </row>
    <row r="5179" spans="9:9" x14ac:dyDescent="0.2">
      <c r="I5179" s="137" t="s">
        <v>74</v>
      </c>
    </row>
    <row r="5180" spans="9:9" x14ac:dyDescent="0.2">
      <c r="I5180" s="137" t="s">
        <v>74</v>
      </c>
    </row>
    <row r="5181" spans="9:9" x14ac:dyDescent="0.2">
      <c r="I5181" s="137" t="s">
        <v>74</v>
      </c>
    </row>
    <row r="5182" spans="9:9" x14ac:dyDescent="0.2">
      <c r="I5182" s="137" t="s">
        <v>74</v>
      </c>
    </row>
    <row r="5183" spans="9:9" x14ac:dyDescent="0.2">
      <c r="I5183" s="137" t="s">
        <v>74</v>
      </c>
    </row>
    <row r="5184" spans="9:9" x14ac:dyDescent="0.2">
      <c r="I5184" s="137" t="s">
        <v>74</v>
      </c>
    </row>
    <row r="5185" spans="9:9" x14ac:dyDescent="0.2">
      <c r="I5185" s="137" t="s">
        <v>74</v>
      </c>
    </row>
    <row r="5186" spans="9:9" x14ac:dyDescent="0.2">
      <c r="I5186" s="137" t="s">
        <v>74</v>
      </c>
    </row>
    <row r="5187" spans="9:9" x14ac:dyDescent="0.2">
      <c r="I5187" s="137" t="s">
        <v>74</v>
      </c>
    </row>
    <row r="5188" spans="9:9" x14ac:dyDescent="0.2">
      <c r="I5188" s="137" t="s">
        <v>74</v>
      </c>
    </row>
    <row r="5189" spans="9:9" x14ac:dyDescent="0.2">
      <c r="I5189" s="137" t="s">
        <v>74</v>
      </c>
    </row>
    <row r="5190" spans="9:9" x14ac:dyDescent="0.2">
      <c r="I5190" s="137" t="s">
        <v>74</v>
      </c>
    </row>
    <row r="5191" spans="9:9" x14ac:dyDescent="0.2">
      <c r="I5191" s="137" t="s">
        <v>74</v>
      </c>
    </row>
    <row r="5192" spans="9:9" x14ac:dyDescent="0.2">
      <c r="I5192" s="137" t="s">
        <v>74</v>
      </c>
    </row>
    <row r="5193" spans="9:9" x14ac:dyDescent="0.2">
      <c r="I5193" s="137" t="s">
        <v>74</v>
      </c>
    </row>
    <row r="5194" spans="9:9" x14ac:dyDescent="0.2">
      <c r="I5194" s="137" t="s">
        <v>74</v>
      </c>
    </row>
    <row r="5195" spans="9:9" x14ac:dyDescent="0.2">
      <c r="I5195" s="137" t="s">
        <v>74</v>
      </c>
    </row>
    <row r="5196" spans="9:9" x14ac:dyDescent="0.2">
      <c r="I5196" s="137" t="s">
        <v>74</v>
      </c>
    </row>
    <row r="5197" spans="9:9" x14ac:dyDescent="0.2">
      <c r="I5197" s="137" t="s">
        <v>74</v>
      </c>
    </row>
    <row r="5198" spans="9:9" x14ac:dyDescent="0.2">
      <c r="I5198" s="137" t="s">
        <v>74</v>
      </c>
    </row>
    <row r="5199" spans="9:9" x14ac:dyDescent="0.2">
      <c r="I5199" s="137" t="s">
        <v>74</v>
      </c>
    </row>
    <row r="5200" spans="9:9" x14ac:dyDescent="0.2">
      <c r="I5200" s="137" t="s">
        <v>74</v>
      </c>
    </row>
    <row r="5201" spans="9:9" x14ac:dyDescent="0.2">
      <c r="I5201" s="137" t="s">
        <v>74</v>
      </c>
    </row>
    <row r="5202" spans="9:9" x14ac:dyDescent="0.2">
      <c r="I5202" s="137" t="s">
        <v>74</v>
      </c>
    </row>
    <row r="5203" spans="9:9" x14ac:dyDescent="0.2">
      <c r="I5203" s="137" t="s">
        <v>74</v>
      </c>
    </row>
    <row r="5204" spans="9:9" x14ac:dyDescent="0.2">
      <c r="I5204" s="137" t="s">
        <v>74</v>
      </c>
    </row>
    <row r="5205" spans="9:9" x14ac:dyDescent="0.2">
      <c r="I5205" s="137" t="s">
        <v>74</v>
      </c>
    </row>
    <row r="5206" spans="9:9" x14ac:dyDescent="0.2">
      <c r="I5206" s="137" t="s">
        <v>74</v>
      </c>
    </row>
    <row r="5207" spans="9:9" x14ac:dyDescent="0.2">
      <c r="I5207" s="137" t="s">
        <v>74</v>
      </c>
    </row>
    <row r="5208" spans="9:9" x14ac:dyDescent="0.2">
      <c r="I5208" s="137" t="s">
        <v>74</v>
      </c>
    </row>
    <row r="5209" spans="9:9" x14ac:dyDescent="0.2">
      <c r="I5209" s="137" t="s">
        <v>74</v>
      </c>
    </row>
    <row r="5210" spans="9:9" x14ac:dyDescent="0.2">
      <c r="I5210" s="137" t="s">
        <v>74</v>
      </c>
    </row>
    <row r="5211" spans="9:9" x14ac:dyDescent="0.2">
      <c r="I5211" s="137" t="s">
        <v>74</v>
      </c>
    </row>
    <row r="5212" spans="9:9" x14ac:dyDescent="0.2">
      <c r="I5212" s="137" t="s">
        <v>74</v>
      </c>
    </row>
    <row r="5213" spans="9:9" x14ac:dyDescent="0.2">
      <c r="I5213" s="137" t="s">
        <v>74</v>
      </c>
    </row>
    <row r="5214" spans="9:9" x14ac:dyDescent="0.2">
      <c r="I5214" s="137" t="s">
        <v>74</v>
      </c>
    </row>
    <row r="5215" spans="9:9" x14ac:dyDescent="0.2">
      <c r="I5215" s="137" t="s">
        <v>74</v>
      </c>
    </row>
    <row r="5216" spans="9:9" x14ac:dyDescent="0.2">
      <c r="I5216" s="137" t="s">
        <v>74</v>
      </c>
    </row>
    <row r="5217" spans="9:9" x14ac:dyDescent="0.2">
      <c r="I5217" s="137" t="s">
        <v>74</v>
      </c>
    </row>
    <row r="5218" spans="9:9" x14ac:dyDescent="0.2">
      <c r="I5218" s="137" t="s">
        <v>74</v>
      </c>
    </row>
    <row r="5219" spans="9:9" x14ac:dyDescent="0.2">
      <c r="I5219" s="137" t="s">
        <v>74</v>
      </c>
    </row>
    <row r="5220" spans="9:9" x14ac:dyDescent="0.2">
      <c r="I5220" s="137" t="s">
        <v>74</v>
      </c>
    </row>
    <row r="5221" spans="9:9" x14ac:dyDescent="0.2">
      <c r="I5221" s="137" t="s">
        <v>74</v>
      </c>
    </row>
    <row r="5222" spans="9:9" x14ac:dyDescent="0.2">
      <c r="I5222" s="137" t="s">
        <v>74</v>
      </c>
    </row>
    <row r="5223" spans="9:9" x14ac:dyDescent="0.2">
      <c r="I5223" s="137" t="s">
        <v>74</v>
      </c>
    </row>
    <row r="5224" spans="9:9" x14ac:dyDescent="0.2">
      <c r="I5224" s="137" t="s">
        <v>74</v>
      </c>
    </row>
    <row r="5225" spans="9:9" x14ac:dyDescent="0.2">
      <c r="I5225" s="137" t="s">
        <v>74</v>
      </c>
    </row>
    <row r="5226" spans="9:9" x14ac:dyDescent="0.2">
      <c r="I5226" s="137" t="s">
        <v>74</v>
      </c>
    </row>
    <row r="5227" spans="9:9" x14ac:dyDescent="0.2">
      <c r="I5227" s="137" t="s">
        <v>74</v>
      </c>
    </row>
    <row r="5228" spans="9:9" x14ac:dyDescent="0.2">
      <c r="I5228" s="137" t="s">
        <v>74</v>
      </c>
    </row>
    <row r="5229" spans="9:9" x14ac:dyDescent="0.2">
      <c r="I5229" s="137" t="s">
        <v>74</v>
      </c>
    </row>
    <row r="5230" spans="9:9" x14ac:dyDescent="0.2">
      <c r="I5230" s="137" t="s">
        <v>74</v>
      </c>
    </row>
    <row r="5231" spans="9:9" x14ac:dyDescent="0.2">
      <c r="I5231" s="137" t="s">
        <v>74</v>
      </c>
    </row>
    <row r="5232" spans="9:9" x14ac:dyDescent="0.2">
      <c r="I5232" s="137" t="s">
        <v>74</v>
      </c>
    </row>
    <row r="5233" spans="9:9" x14ac:dyDescent="0.2">
      <c r="I5233" s="137" t="s">
        <v>74</v>
      </c>
    </row>
    <row r="5234" spans="9:9" x14ac:dyDescent="0.2">
      <c r="I5234" s="137" t="s">
        <v>74</v>
      </c>
    </row>
    <row r="5235" spans="9:9" x14ac:dyDescent="0.2">
      <c r="I5235" s="137" t="s">
        <v>74</v>
      </c>
    </row>
    <row r="5236" spans="9:9" x14ac:dyDescent="0.2">
      <c r="I5236" s="137" t="s">
        <v>74</v>
      </c>
    </row>
    <row r="5237" spans="9:9" x14ac:dyDescent="0.2">
      <c r="I5237" s="137" t="s">
        <v>74</v>
      </c>
    </row>
    <row r="5238" spans="9:9" x14ac:dyDescent="0.2">
      <c r="I5238" s="137" t="s">
        <v>74</v>
      </c>
    </row>
    <row r="5239" spans="9:9" x14ac:dyDescent="0.2">
      <c r="I5239" s="137" t="s">
        <v>74</v>
      </c>
    </row>
    <row r="5240" spans="9:9" x14ac:dyDescent="0.2">
      <c r="I5240" s="137" t="s">
        <v>74</v>
      </c>
    </row>
    <row r="5241" spans="9:9" x14ac:dyDescent="0.2">
      <c r="I5241" s="137" t="s">
        <v>74</v>
      </c>
    </row>
    <row r="5242" spans="9:9" x14ac:dyDescent="0.2">
      <c r="I5242" s="137" t="s">
        <v>74</v>
      </c>
    </row>
    <row r="5243" spans="9:9" x14ac:dyDescent="0.2">
      <c r="I5243" s="137" t="s">
        <v>74</v>
      </c>
    </row>
    <row r="5244" spans="9:9" x14ac:dyDescent="0.2">
      <c r="I5244" s="137" t="s">
        <v>74</v>
      </c>
    </row>
    <row r="5245" spans="9:9" x14ac:dyDescent="0.2">
      <c r="I5245" s="137" t="s">
        <v>74</v>
      </c>
    </row>
    <row r="5246" spans="9:9" x14ac:dyDescent="0.2">
      <c r="I5246" s="137" t="s">
        <v>74</v>
      </c>
    </row>
    <row r="5247" spans="9:9" x14ac:dyDescent="0.2">
      <c r="I5247" s="137" t="s">
        <v>74</v>
      </c>
    </row>
    <row r="5248" spans="9:9" x14ac:dyDescent="0.2">
      <c r="I5248" s="137" t="s">
        <v>74</v>
      </c>
    </row>
    <row r="5249" spans="9:9" x14ac:dyDescent="0.2">
      <c r="I5249" s="137" t="s">
        <v>74</v>
      </c>
    </row>
    <row r="5250" spans="9:9" x14ac:dyDescent="0.2">
      <c r="I5250" s="137" t="s">
        <v>74</v>
      </c>
    </row>
    <row r="5251" spans="9:9" x14ac:dyDescent="0.2">
      <c r="I5251" s="137" t="s">
        <v>74</v>
      </c>
    </row>
    <row r="5252" spans="9:9" x14ac:dyDescent="0.2">
      <c r="I5252" s="137" t="s">
        <v>74</v>
      </c>
    </row>
    <row r="5253" spans="9:9" x14ac:dyDescent="0.2">
      <c r="I5253" s="137" t="s">
        <v>74</v>
      </c>
    </row>
    <row r="5254" spans="9:9" x14ac:dyDescent="0.2">
      <c r="I5254" s="137" t="s">
        <v>74</v>
      </c>
    </row>
    <row r="5255" spans="9:9" x14ac:dyDescent="0.2">
      <c r="I5255" s="137" t="s">
        <v>74</v>
      </c>
    </row>
    <row r="5256" spans="9:9" x14ac:dyDescent="0.2">
      <c r="I5256" s="137" t="s">
        <v>74</v>
      </c>
    </row>
    <row r="5257" spans="9:9" x14ac:dyDescent="0.2">
      <c r="I5257" s="137" t="s">
        <v>74</v>
      </c>
    </row>
    <row r="5258" spans="9:9" x14ac:dyDescent="0.2">
      <c r="I5258" s="137" t="s">
        <v>74</v>
      </c>
    </row>
    <row r="5259" spans="9:9" x14ac:dyDescent="0.2">
      <c r="I5259" s="137" t="s">
        <v>74</v>
      </c>
    </row>
    <row r="5260" spans="9:9" x14ac:dyDescent="0.2">
      <c r="I5260" s="137" t="s">
        <v>74</v>
      </c>
    </row>
    <row r="5261" spans="9:9" x14ac:dyDescent="0.2">
      <c r="I5261" s="137" t="s">
        <v>74</v>
      </c>
    </row>
    <row r="5262" spans="9:9" x14ac:dyDescent="0.2">
      <c r="I5262" s="137" t="s">
        <v>74</v>
      </c>
    </row>
    <row r="5263" spans="9:9" x14ac:dyDescent="0.2">
      <c r="I5263" s="137" t="s">
        <v>74</v>
      </c>
    </row>
    <row r="5264" spans="9:9" x14ac:dyDescent="0.2">
      <c r="I5264" s="137" t="s">
        <v>74</v>
      </c>
    </row>
    <row r="5265" spans="9:9" x14ac:dyDescent="0.2">
      <c r="I5265" s="137" t="s">
        <v>74</v>
      </c>
    </row>
    <row r="5266" spans="9:9" x14ac:dyDescent="0.2">
      <c r="I5266" s="137" t="s">
        <v>74</v>
      </c>
    </row>
    <row r="5267" spans="9:9" x14ac:dyDescent="0.2">
      <c r="I5267" s="137" t="s">
        <v>74</v>
      </c>
    </row>
    <row r="5268" spans="9:9" x14ac:dyDescent="0.2">
      <c r="I5268" s="137" t="s">
        <v>74</v>
      </c>
    </row>
    <row r="5269" spans="9:9" x14ac:dyDescent="0.2">
      <c r="I5269" s="137" t="s">
        <v>74</v>
      </c>
    </row>
    <row r="5270" spans="9:9" x14ac:dyDescent="0.2">
      <c r="I5270" s="137" t="s">
        <v>74</v>
      </c>
    </row>
    <row r="5271" spans="9:9" x14ac:dyDescent="0.2">
      <c r="I5271" s="137" t="s">
        <v>74</v>
      </c>
    </row>
    <row r="5272" spans="9:9" x14ac:dyDescent="0.2">
      <c r="I5272" s="137" t="s">
        <v>74</v>
      </c>
    </row>
    <row r="5273" spans="9:9" x14ac:dyDescent="0.2">
      <c r="I5273" s="137" t="s">
        <v>74</v>
      </c>
    </row>
    <row r="5274" spans="9:9" x14ac:dyDescent="0.2">
      <c r="I5274" s="137" t="s">
        <v>74</v>
      </c>
    </row>
    <row r="5275" spans="9:9" x14ac:dyDescent="0.2">
      <c r="I5275" s="137" t="s">
        <v>74</v>
      </c>
    </row>
    <row r="5276" spans="9:9" x14ac:dyDescent="0.2">
      <c r="I5276" s="137" t="s">
        <v>74</v>
      </c>
    </row>
    <row r="5277" spans="9:9" x14ac:dyDescent="0.2">
      <c r="I5277" s="137" t="s">
        <v>74</v>
      </c>
    </row>
    <row r="5278" spans="9:9" x14ac:dyDescent="0.2">
      <c r="I5278" s="137" t="s">
        <v>74</v>
      </c>
    </row>
    <row r="5279" spans="9:9" x14ac:dyDescent="0.2">
      <c r="I5279" s="137" t="s">
        <v>74</v>
      </c>
    </row>
    <row r="5280" spans="9:9" x14ac:dyDescent="0.2">
      <c r="I5280" s="137" t="s">
        <v>74</v>
      </c>
    </row>
    <row r="5281" spans="9:9" x14ac:dyDescent="0.2">
      <c r="I5281" s="137" t="s">
        <v>74</v>
      </c>
    </row>
    <row r="5282" spans="9:9" x14ac:dyDescent="0.2">
      <c r="I5282" s="137" t="s">
        <v>74</v>
      </c>
    </row>
    <row r="5283" spans="9:9" x14ac:dyDescent="0.2">
      <c r="I5283" s="137" t="s">
        <v>74</v>
      </c>
    </row>
    <row r="5284" spans="9:9" x14ac:dyDescent="0.2">
      <c r="I5284" s="137" t="s">
        <v>74</v>
      </c>
    </row>
    <row r="5285" spans="9:9" x14ac:dyDescent="0.2">
      <c r="I5285" s="137" t="s">
        <v>74</v>
      </c>
    </row>
    <row r="5286" spans="9:9" x14ac:dyDescent="0.2">
      <c r="I5286" s="137" t="s">
        <v>74</v>
      </c>
    </row>
    <row r="5287" spans="9:9" x14ac:dyDescent="0.2">
      <c r="I5287" s="137" t="s">
        <v>74</v>
      </c>
    </row>
    <row r="5288" spans="9:9" x14ac:dyDescent="0.2">
      <c r="I5288" s="137" t="s">
        <v>74</v>
      </c>
    </row>
    <row r="5289" spans="9:9" x14ac:dyDescent="0.2">
      <c r="I5289" s="137" t="s">
        <v>74</v>
      </c>
    </row>
    <row r="5290" spans="9:9" x14ac:dyDescent="0.2">
      <c r="I5290" s="137" t="s">
        <v>74</v>
      </c>
    </row>
    <row r="5291" spans="9:9" x14ac:dyDescent="0.2">
      <c r="I5291" s="137" t="s">
        <v>74</v>
      </c>
    </row>
    <row r="5292" spans="9:9" x14ac:dyDescent="0.2">
      <c r="I5292" s="137" t="s">
        <v>74</v>
      </c>
    </row>
    <row r="5293" spans="9:9" x14ac:dyDescent="0.2">
      <c r="I5293" s="137" t="s">
        <v>74</v>
      </c>
    </row>
    <row r="5294" spans="9:9" x14ac:dyDescent="0.2">
      <c r="I5294" s="137" t="s">
        <v>74</v>
      </c>
    </row>
    <row r="5295" spans="9:9" x14ac:dyDescent="0.2">
      <c r="I5295" s="137" t="s">
        <v>74</v>
      </c>
    </row>
    <row r="5296" spans="9:9" x14ac:dyDescent="0.2">
      <c r="I5296" s="137" t="s">
        <v>74</v>
      </c>
    </row>
    <row r="5297" spans="9:9" x14ac:dyDescent="0.2">
      <c r="I5297" s="137" t="s">
        <v>74</v>
      </c>
    </row>
    <row r="5298" spans="9:9" x14ac:dyDescent="0.2">
      <c r="I5298" s="137" t="s">
        <v>74</v>
      </c>
    </row>
    <row r="5299" spans="9:9" x14ac:dyDescent="0.2">
      <c r="I5299" s="137" t="s">
        <v>74</v>
      </c>
    </row>
    <row r="5300" spans="9:9" x14ac:dyDescent="0.2">
      <c r="I5300" s="137" t="s">
        <v>74</v>
      </c>
    </row>
    <row r="5301" spans="9:9" x14ac:dyDescent="0.2">
      <c r="I5301" s="137" t="s">
        <v>74</v>
      </c>
    </row>
    <row r="5302" spans="9:9" x14ac:dyDescent="0.2">
      <c r="I5302" s="137" t="s">
        <v>74</v>
      </c>
    </row>
    <row r="5303" spans="9:9" x14ac:dyDescent="0.2">
      <c r="I5303" s="137" t="s">
        <v>74</v>
      </c>
    </row>
    <row r="5304" spans="9:9" x14ac:dyDescent="0.2">
      <c r="I5304" s="137" t="s">
        <v>74</v>
      </c>
    </row>
    <row r="5305" spans="9:9" x14ac:dyDescent="0.2">
      <c r="I5305" s="137" t="s">
        <v>74</v>
      </c>
    </row>
    <row r="5306" spans="9:9" x14ac:dyDescent="0.2">
      <c r="I5306" s="137" t="s">
        <v>74</v>
      </c>
    </row>
    <row r="5307" spans="9:9" x14ac:dyDescent="0.2">
      <c r="I5307" s="137" t="s">
        <v>74</v>
      </c>
    </row>
    <row r="5308" spans="9:9" x14ac:dyDescent="0.2">
      <c r="I5308" s="137" t="s">
        <v>74</v>
      </c>
    </row>
    <row r="5309" spans="9:9" x14ac:dyDescent="0.2">
      <c r="I5309" s="137" t="s">
        <v>74</v>
      </c>
    </row>
    <row r="5310" spans="9:9" x14ac:dyDescent="0.2">
      <c r="I5310" s="137" t="s">
        <v>74</v>
      </c>
    </row>
    <row r="5311" spans="9:9" x14ac:dyDescent="0.2">
      <c r="I5311" s="137" t="s">
        <v>74</v>
      </c>
    </row>
    <row r="5312" spans="9:9" x14ac:dyDescent="0.2">
      <c r="I5312" s="137" t="s">
        <v>74</v>
      </c>
    </row>
    <row r="5313" spans="9:9" x14ac:dyDescent="0.2">
      <c r="I5313" s="137" t="s">
        <v>74</v>
      </c>
    </row>
    <row r="5314" spans="9:9" x14ac:dyDescent="0.2">
      <c r="I5314" s="137" t="s">
        <v>74</v>
      </c>
    </row>
    <row r="5315" spans="9:9" x14ac:dyDescent="0.2">
      <c r="I5315" s="137" t="s">
        <v>74</v>
      </c>
    </row>
    <row r="5316" spans="9:9" x14ac:dyDescent="0.2">
      <c r="I5316" s="137" t="s">
        <v>74</v>
      </c>
    </row>
    <row r="5317" spans="9:9" x14ac:dyDescent="0.2">
      <c r="I5317" s="137" t="s">
        <v>74</v>
      </c>
    </row>
    <row r="5318" spans="9:9" x14ac:dyDescent="0.2">
      <c r="I5318" s="137" t="s">
        <v>74</v>
      </c>
    </row>
    <row r="5319" spans="9:9" x14ac:dyDescent="0.2">
      <c r="I5319" s="137" t="s">
        <v>74</v>
      </c>
    </row>
    <row r="5320" spans="9:9" x14ac:dyDescent="0.2">
      <c r="I5320" s="137" t="s">
        <v>74</v>
      </c>
    </row>
    <row r="5321" spans="9:9" x14ac:dyDescent="0.2">
      <c r="I5321" s="137" t="s">
        <v>74</v>
      </c>
    </row>
    <row r="5322" spans="9:9" x14ac:dyDescent="0.2">
      <c r="I5322" s="137" t="s">
        <v>74</v>
      </c>
    </row>
    <row r="5323" spans="9:9" x14ac:dyDescent="0.2">
      <c r="I5323" s="137" t="s">
        <v>74</v>
      </c>
    </row>
    <row r="5324" spans="9:9" x14ac:dyDescent="0.2">
      <c r="I5324" s="137" t="s">
        <v>74</v>
      </c>
    </row>
    <row r="5325" spans="9:9" x14ac:dyDescent="0.2">
      <c r="I5325" s="137" t="s">
        <v>74</v>
      </c>
    </row>
    <row r="5326" spans="9:9" x14ac:dyDescent="0.2">
      <c r="I5326" s="137" t="s">
        <v>74</v>
      </c>
    </row>
    <row r="5327" spans="9:9" x14ac:dyDescent="0.2">
      <c r="I5327" s="137" t="s">
        <v>74</v>
      </c>
    </row>
    <row r="5328" spans="9:9" x14ac:dyDescent="0.2">
      <c r="I5328" s="137" t="s">
        <v>74</v>
      </c>
    </row>
    <row r="5329" spans="9:9" x14ac:dyDescent="0.2">
      <c r="I5329" s="137" t="s">
        <v>74</v>
      </c>
    </row>
    <row r="5330" spans="9:9" x14ac:dyDescent="0.2">
      <c r="I5330" s="137" t="s">
        <v>74</v>
      </c>
    </row>
    <row r="5331" spans="9:9" x14ac:dyDescent="0.2">
      <c r="I5331" s="137" t="s">
        <v>74</v>
      </c>
    </row>
    <row r="5332" spans="9:9" x14ac:dyDescent="0.2">
      <c r="I5332" s="137" t="s">
        <v>74</v>
      </c>
    </row>
    <row r="5333" spans="9:9" x14ac:dyDescent="0.2">
      <c r="I5333" s="137" t="s">
        <v>74</v>
      </c>
    </row>
    <row r="5334" spans="9:9" x14ac:dyDescent="0.2">
      <c r="I5334" s="137" t="s">
        <v>74</v>
      </c>
    </row>
    <row r="5335" spans="9:9" x14ac:dyDescent="0.2">
      <c r="I5335" s="137" t="s">
        <v>74</v>
      </c>
    </row>
    <row r="5336" spans="9:9" x14ac:dyDescent="0.2">
      <c r="I5336" s="137" t="s">
        <v>74</v>
      </c>
    </row>
    <row r="5337" spans="9:9" x14ac:dyDescent="0.2">
      <c r="I5337" s="137" t="s">
        <v>74</v>
      </c>
    </row>
    <row r="5338" spans="9:9" x14ac:dyDescent="0.2">
      <c r="I5338" s="137" t="s">
        <v>74</v>
      </c>
    </row>
    <row r="5339" spans="9:9" x14ac:dyDescent="0.2">
      <c r="I5339" s="137" t="s">
        <v>74</v>
      </c>
    </row>
    <row r="5340" spans="9:9" x14ac:dyDescent="0.2">
      <c r="I5340" s="137" t="s">
        <v>74</v>
      </c>
    </row>
    <row r="5341" spans="9:9" x14ac:dyDescent="0.2">
      <c r="I5341" s="137" t="s">
        <v>74</v>
      </c>
    </row>
    <row r="5342" spans="9:9" x14ac:dyDescent="0.2">
      <c r="I5342" s="137" t="s">
        <v>74</v>
      </c>
    </row>
    <row r="5343" spans="9:9" x14ac:dyDescent="0.2">
      <c r="I5343" s="137" t="s">
        <v>74</v>
      </c>
    </row>
    <row r="5344" spans="9:9" x14ac:dyDescent="0.2">
      <c r="I5344" s="137" t="s">
        <v>74</v>
      </c>
    </row>
    <row r="5345" spans="9:9" x14ac:dyDescent="0.2">
      <c r="I5345" s="137" t="s">
        <v>74</v>
      </c>
    </row>
    <row r="5346" spans="9:9" x14ac:dyDescent="0.2">
      <c r="I5346" s="137" t="s">
        <v>74</v>
      </c>
    </row>
    <row r="5347" spans="9:9" x14ac:dyDescent="0.2">
      <c r="I5347" s="137" t="s">
        <v>74</v>
      </c>
    </row>
    <row r="5348" spans="9:9" x14ac:dyDescent="0.2">
      <c r="I5348" s="137" t="s">
        <v>74</v>
      </c>
    </row>
    <row r="5349" spans="9:9" x14ac:dyDescent="0.2">
      <c r="I5349" s="137" t="s">
        <v>74</v>
      </c>
    </row>
    <row r="5350" spans="9:9" x14ac:dyDescent="0.2">
      <c r="I5350" s="137" t="s">
        <v>74</v>
      </c>
    </row>
    <row r="5351" spans="9:9" x14ac:dyDescent="0.2">
      <c r="I5351" s="137" t="s">
        <v>74</v>
      </c>
    </row>
    <row r="5352" spans="9:9" x14ac:dyDescent="0.2">
      <c r="I5352" s="137" t="s">
        <v>74</v>
      </c>
    </row>
    <row r="5353" spans="9:9" x14ac:dyDescent="0.2">
      <c r="I5353" s="137" t="s">
        <v>74</v>
      </c>
    </row>
    <row r="5354" spans="9:9" x14ac:dyDescent="0.2">
      <c r="I5354" s="137" t="s">
        <v>74</v>
      </c>
    </row>
    <row r="5355" spans="9:9" x14ac:dyDescent="0.2">
      <c r="I5355" s="137" t="s">
        <v>74</v>
      </c>
    </row>
    <row r="5356" spans="9:9" x14ac:dyDescent="0.2">
      <c r="I5356" s="137" t="s">
        <v>74</v>
      </c>
    </row>
    <row r="5357" spans="9:9" x14ac:dyDescent="0.2">
      <c r="I5357" s="137" t="s">
        <v>74</v>
      </c>
    </row>
    <row r="5358" spans="9:9" x14ac:dyDescent="0.2">
      <c r="I5358" s="137" t="s">
        <v>74</v>
      </c>
    </row>
    <row r="5359" spans="9:9" x14ac:dyDescent="0.2">
      <c r="I5359" s="137" t="s">
        <v>74</v>
      </c>
    </row>
    <row r="5360" spans="9:9" x14ac:dyDescent="0.2">
      <c r="I5360" s="137" t="s">
        <v>74</v>
      </c>
    </row>
    <row r="5361" spans="9:9" x14ac:dyDescent="0.2">
      <c r="I5361" s="137" t="s">
        <v>74</v>
      </c>
    </row>
    <row r="5362" spans="9:9" x14ac:dyDescent="0.2">
      <c r="I5362" s="137" t="s">
        <v>74</v>
      </c>
    </row>
    <row r="5363" spans="9:9" x14ac:dyDescent="0.2">
      <c r="I5363" s="137" t="s">
        <v>74</v>
      </c>
    </row>
    <row r="5364" spans="9:9" x14ac:dyDescent="0.2">
      <c r="I5364" s="137" t="s">
        <v>74</v>
      </c>
    </row>
    <row r="5365" spans="9:9" x14ac:dyDescent="0.2">
      <c r="I5365" s="137" t="s">
        <v>74</v>
      </c>
    </row>
    <row r="5366" spans="9:9" x14ac:dyDescent="0.2">
      <c r="I5366" s="137" t="s">
        <v>74</v>
      </c>
    </row>
    <row r="5367" spans="9:9" x14ac:dyDescent="0.2">
      <c r="I5367" s="137" t="s">
        <v>74</v>
      </c>
    </row>
    <row r="5368" spans="9:9" x14ac:dyDescent="0.2">
      <c r="I5368" s="137" t="s">
        <v>74</v>
      </c>
    </row>
    <row r="5369" spans="9:9" x14ac:dyDescent="0.2">
      <c r="I5369" s="137" t="s">
        <v>74</v>
      </c>
    </row>
    <row r="5370" spans="9:9" x14ac:dyDescent="0.2">
      <c r="I5370" s="137" t="s">
        <v>74</v>
      </c>
    </row>
    <row r="5371" spans="9:9" x14ac:dyDescent="0.2">
      <c r="I5371" s="137" t="s">
        <v>74</v>
      </c>
    </row>
    <row r="5372" spans="9:9" x14ac:dyDescent="0.2">
      <c r="I5372" s="137" t="s">
        <v>74</v>
      </c>
    </row>
    <row r="5373" spans="9:9" x14ac:dyDescent="0.2">
      <c r="I5373" s="137" t="s">
        <v>74</v>
      </c>
    </row>
    <row r="5374" spans="9:9" x14ac:dyDescent="0.2">
      <c r="I5374" s="137" t="s">
        <v>74</v>
      </c>
    </row>
    <row r="5375" spans="9:9" x14ac:dyDescent="0.2">
      <c r="I5375" s="137" t="s">
        <v>74</v>
      </c>
    </row>
    <row r="5376" spans="9:9" x14ac:dyDescent="0.2">
      <c r="I5376" s="137" t="s">
        <v>74</v>
      </c>
    </row>
    <row r="5377" spans="9:9" x14ac:dyDescent="0.2">
      <c r="I5377" s="137" t="s">
        <v>74</v>
      </c>
    </row>
    <row r="5378" spans="9:9" x14ac:dyDescent="0.2">
      <c r="I5378" s="137" t="s">
        <v>74</v>
      </c>
    </row>
    <row r="5379" spans="9:9" x14ac:dyDescent="0.2">
      <c r="I5379" s="137" t="s">
        <v>74</v>
      </c>
    </row>
    <row r="5380" spans="9:9" x14ac:dyDescent="0.2">
      <c r="I5380" s="137" t="s">
        <v>74</v>
      </c>
    </row>
    <row r="5381" spans="9:9" x14ac:dyDescent="0.2">
      <c r="I5381" s="137" t="s">
        <v>74</v>
      </c>
    </row>
    <row r="5382" spans="9:9" x14ac:dyDescent="0.2">
      <c r="I5382" s="137" t="s">
        <v>74</v>
      </c>
    </row>
    <row r="5383" spans="9:9" x14ac:dyDescent="0.2">
      <c r="I5383" s="137" t="s">
        <v>74</v>
      </c>
    </row>
    <row r="5384" spans="9:9" x14ac:dyDescent="0.2">
      <c r="I5384" s="137" t="s">
        <v>74</v>
      </c>
    </row>
    <row r="5385" spans="9:9" x14ac:dyDescent="0.2">
      <c r="I5385" s="137" t="s">
        <v>74</v>
      </c>
    </row>
    <row r="5386" spans="9:9" x14ac:dyDescent="0.2">
      <c r="I5386" s="137" t="s">
        <v>74</v>
      </c>
    </row>
    <row r="5387" spans="9:9" x14ac:dyDescent="0.2">
      <c r="I5387" s="137" t="s">
        <v>74</v>
      </c>
    </row>
    <row r="5388" spans="9:9" x14ac:dyDescent="0.2">
      <c r="I5388" s="137" t="s">
        <v>74</v>
      </c>
    </row>
    <row r="5389" spans="9:9" x14ac:dyDescent="0.2">
      <c r="I5389" s="137" t="s">
        <v>74</v>
      </c>
    </row>
    <row r="5390" spans="9:9" x14ac:dyDescent="0.2">
      <c r="I5390" s="137" t="s">
        <v>74</v>
      </c>
    </row>
    <row r="5391" spans="9:9" x14ac:dyDescent="0.2">
      <c r="I5391" s="137" t="s">
        <v>74</v>
      </c>
    </row>
    <row r="5392" spans="9:9" x14ac:dyDescent="0.2">
      <c r="I5392" s="137" t="s">
        <v>74</v>
      </c>
    </row>
    <row r="5393" spans="9:9" x14ac:dyDescent="0.2">
      <c r="I5393" s="137" t="s">
        <v>74</v>
      </c>
    </row>
    <row r="5394" spans="9:9" x14ac:dyDescent="0.2">
      <c r="I5394" s="137" t="s">
        <v>74</v>
      </c>
    </row>
    <row r="5395" spans="9:9" x14ac:dyDescent="0.2">
      <c r="I5395" s="137" t="s">
        <v>74</v>
      </c>
    </row>
    <row r="5396" spans="9:9" x14ac:dyDescent="0.2">
      <c r="I5396" s="137" t="s">
        <v>74</v>
      </c>
    </row>
    <row r="5397" spans="9:9" x14ac:dyDescent="0.2">
      <c r="I5397" s="137" t="s">
        <v>74</v>
      </c>
    </row>
    <row r="5398" spans="9:9" x14ac:dyDescent="0.2">
      <c r="I5398" s="137" t="s">
        <v>74</v>
      </c>
    </row>
    <row r="5399" spans="9:9" x14ac:dyDescent="0.2">
      <c r="I5399" s="137" t="s">
        <v>74</v>
      </c>
    </row>
    <row r="5400" spans="9:9" x14ac:dyDescent="0.2">
      <c r="I5400" s="137" t="s">
        <v>74</v>
      </c>
    </row>
    <row r="5401" spans="9:9" x14ac:dyDescent="0.2">
      <c r="I5401" s="137" t="s">
        <v>74</v>
      </c>
    </row>
    <row r="5402" spans="9:9" x14ac:dyDescent="0.2">
      <c r="I5402" s="137" t="s">
        <v>74</v>
      </c>
    </row>
    <row r="5403" spans="9:9" x14ac:dyDescent="0.2">
      <c r="I5403" s="137" t="s">
        <v>74</v>
      </c>
    </row>
    <row r="5404" spans="9:9" x14ac:dyDescent="0.2">
      <c r="I5404" s="137" t="s">
        <v>74</v>
      </c>
    </row>
    <row r="5405" spans="9:9" x14ac:dyDescent="0.2">
      <c r="I5405" s="137" t="s">
        <v>74</v>
      </c>
    </row>
    <row r="5406" spans="9:9" x14ac:dyDescent="0.2">
      <c r="I5406" s="137" t="s">
        <v>74</v>
      </c>
    </row>
    <row r="5407" spans="9:9" x14ac:dyDescent="0.2">
      <c r="I5407" s="137" t="s">
        <v>74</v>
      </c>
    </row>
    <row r="5408" spans="9:9" x14ac:dyDescent="0.2">
      <c r="I5408" s="137" t="s">
        <v>74</v>
      </c>
    </row>
    <row r="5409" spans="9:9" x14ac:dyDescent="0.2">
      <c r="I5409" s="137" t="s">
        <v>74</v>
      </c>
    </row>
    <row r="5410" spans="9:9" x14ac:dyDescent="0.2">
      <c r="I5410" s="137" t="s">
        <v>74</v>
      </c>
    </row>
    <row r="5411" spans="9:9" x14ac:dyDescent="0.2">
      <c r="I5411" s="137" t="s">
        <v>74</v>
      </c>
    </row>
    <row r="5412" spans="9:9" x14ac:dyDescent="0.2">
      <c r="I5412" s="137" t="s">
        <v>74</v>
      </c>
    </row>
    <row r="5413" spans="9:9" x14ac:dyDescent="0.2">
      <c r="I5413" s="137" t="s">
        <v>74</v>
      </c>
    </row>
    <row r="5414" spans="9:9" x14ac:dyDescent="0.2">
      <c r="I5414" s="137" t="s">
        <v>74</v>
      </c>
    </row>
    <row r="5415" spans="9:9" x14ac:dyDescent="0.2">
      <c r="I5415" s="137" t="s">
        <v>74</v>
      </c>
    </row>
    <row r="5416" spans="9:9" x14ac:dyDescent="0.2">
      <c r="I5416" s="137" t="s">
        <v>74</v>
      </c>
    </row>
    <row r="5417" spans="9:9" x14ac:dyDescent="0.2">
      <c r="I5417" s="137" t="s">
        <v>74</v>
      </c>
    </row>
    <row r="5418" spans="9:9" x14ac:dyDescent="0.2">
      <c r="I5418" s="137" t="s">
        <v>74</v>
      </c>
    </row>
    <row r="5419" spans="9:9" x14ac:dyDescent="0.2">
      <c r="I5419" s="137" t="s">
        <v>74</v>
      </c>
    </row>
    <row r="5420" spans="9:9" x14ac:dyDescent="0.2">
      <c r="I5420" s="137" t="s">
        <v>74</v>
      </c>
    </row>
    <row r="5421" spans="9:9" x14ac:dyDescent="0.2">
      <c r="I5421" s="137" t="s">
        <v>74</v>
      </c>
    </row>
    <row r="5422" spans="9:9" x14ac:dyDescent="0.2">
      <c r="I5422" s="137" t="s">
        <v>74</v>
      </c>
    </row>
    <row r="5423" spans="9:9" x14ac:dyDescent="0.2">
      <c r="I5423" s="137" t="s">
        <v>74</v>
      </c>
    </row>
    <row r="5424" spans="9:9" x14ac:dyDescent="0.2">
      <c r="I5424" s="137" t="s">
        <v>74</v>
      </c>
    </row>
    <row r="5425" spans="9:9" x14ac:dyDescent="0.2">
      <c r="I5425" s="137" t="s">
        <v>74</v>
      </c>
    </row>
    <row r="5426" spans="9:9" x14ac:dyDescent="0.2">
      <c r="I5426" s="137" t="s">
        <v>74</v>
      </c>
    </row>
    <row r="5427" spans="9:9" x14ac:dyDescent="0.2">
      <c r="I5427" s="137" t="s">
        <v>74</v>
      </c>
    </row>
    <row r="5428" spans="9:9" x14ac:dyDescent="0.2">
      <c r="I5428" s="137" t="s">
        <v>74</v>
      </c>
    </row>
    <row r="5429" spans="9:9" x14ac:dyDescent="0.2">
      <c r="I5429" s="137" t="s">
        <v>74</v>
      </c>
    </row>
    <row r="5430" spans="9:9" x14ac:dyDescent="0.2">
      <c r="I5430" s="137" t="s">
        <v>74</v>
      </c>
    </row>
    <row r="5431" spans="9:9" x14ac:dyDescent="0.2">
      <c r="I5431" s="137" t="s">
        <v>74</v>
      </c>
    </row>
    <row r="5432" spans="9:9" x14ac:dyDescent="0.2">
      <c r="I5432" s="137" t="s">
        <v>74</v>
      </c>
    </row>
    <row r="5433" spans="9:9" x14ac:dyDescent="0.2">
      <c r="I5433" s="137" t="s">
        <v>74</v>
      </c>
    </row>
    <row r="5434" spans="9:9" x14ac:dyDescent="0.2">
      <c r="I5434" s="137" t="s">
        <v>74</v>
      </c>
    </row>
    <row r="5435" spans="9:9" x14ac:dyDescent="0.2">
      <c r="I5435" s="137" t="s">
        <v>74</v>
      </c>
    </row>
    <row r="5436" spans="9:9" x14ac:dyDescent="0.2">
      <c r="I5436" s="137" t="s">
        <v>74</v>
      </c>
    </row>
    <row r="5437" spans="9:9" x14ac:dyDescent="0.2">
      <c r="I5437" s="137" t="s">
        <v>74</v>
      </c>
    </row>
    <row r="5438" spans="9:9" x14ac:dyDescent="0.2">
      <c r="I5438" s="137" t="s">
        <v>74</v>
      </c>
    </row>
    <row r="5439" spans="9:9" x14ac:dyDescent="0.2">
      <c r="I5439" s="137" t="s">
        <v>74</v>
      </c>
    </row>
    <row r="5440" spans="9:9" x14ac:dyDescent="0.2">
      <c r="I5440" s="137" t="s">
        <v>74</v>
      </c>
    </row>
    <row r="5441" spans="9:9" x14ac:dyDescent="0.2">
      <c r="I5441" s="137" t="s">
        <v>74</v>
      </c>
    </row>
    <row r="5442" spans="9:9" x14ac:dyDescent="0.2">
      <c r="I5442" s="137" t="s">
        <v>74</v>
      </c>
    </row>
    <row r="5443" spans="9:9" x14ac:dyDescent="0.2">
      <c r="I5443" s="137" t="s">
        <v>74</v>
      </c>
    </row>
    <row r="5444" spans="9:9" x14ac:dyDescent="0.2">
      <c r="I5444" s="137" t="s">
        <v>74</v>
      </c>
    </row>
    <row r="5445" spans="9:9" x14ac:dyDescent="0.2">
      <c r="I5445" s="137" t="s">
        <v>74</v>
      </c>
    </row>
    <row r="5446" spans="9:9" x14ac:dyDescent="0.2">
      <c r="I5446" s="137" t="s">
        <v>74</v>
      </c>
    </row>
    <row r="5447" spans="9:9" x14ac:dyDescent="0.2">
      <c r="I5447" s="137" t="s">
        <v>74</v>
      </c>
    </row>
    <row r="5448" spans="9:9" x14ac:dyDescent="0.2">
      <c r="I5448" s="137" t="s">
        <v>74</v>
      </c>
    </row>
    <row r="5449" spans="9:9" x14ac:dyDescent="0.2">
      <c r="I5449" s="137" t="s">
        <v>74</v>
      </c>
    </row>
    <row r="5450" spans="9:9" x14ac:dyDescent="0.2">
      <c r="I5450" s="137" t="s">
        <v>74</v>
      </c>
    </row>
    <row r="5451" spans="9:9" x14ac:dyDescent="0.2">
      <c r="I5451" s="137" t="s">
        <v>74</v>
      </c>
    </row>
    <row r="5452" spans="9:9" x14ac:dyDescent="0.2">
      <c r="I5452" s="137" t="s">
        <v>74</v>
      </c>
    </row>
    <row r="5453" spans="9:9" x14ac:dyDescent="0.2">
      <c r="I5453" s="137" t="s">
        <v>74</v>
      </c>
    </row>
    <row r="5454" spans="9:9" x14ac:dyDescent="0.2">
      <c r="I5454" s="137" t="s">
        <v>74</v>
      </c>
    </row>
    <row r="5455" spans="9:9" x14ac:dyDescent="0.2">
      <c r="I5455" s="137" t="s">
        <v>74</v>
      </c>
    </row>
    <row r="5456" spans="9:9" x14ac:dyDescent="0.2">
      <c r="I5456" s="137" t="s">
        <v>74</v>
      </c>
    </row>
    <row r="5457" spans="9:9" x14ac:dyDescent="0.2">
      <c r="I5457" s="137" t="s">
        <v>74</v>
      </c>
    </row>
    <row r="5458" spans="9:9" x14ac:dyDescent="0.2">
      <c r="I5458" s="137" t="s">
        <v>74</v>
      </c>
    </row>
    <row r="5459" spans="9:9" x14ac:dyDescent="0.2">
      <c r="I5459" s="137" t="s">
        <v>74</v>
      </c>
    </row>
    <row r="5460" spans="9:9" x14ac:dyDescent="0.2">
      <c r="I5460" s="137" t="s">
        <v>74</v>
      </c>
    </row>
    <row r="5461" spans="9:9" x14ac:dyDescent="0.2">
      <c r="I5461" s="137" t="s">
        <v>74</v>
      </c>
    </row>
    <row r="5462" spans="9:9" x14ac:dyDescent="0.2">
      <c r="I5462" s="137" t="s">
        <v>74</v>
      </c>
    </row>
    <row r="5463" spans="9:9" x14ac:dyDescent="0.2">
      <c r="I5463" s="137" t="s">
        <v>74</v>
      </c>
    </row>
    <row r="5464" spans="9:9" x14ac:dyDescent="0.2">
      <c r="I5464" s="137" t="s">
        <v>74</v>
      </c>
    </row>
    <row r="5465" spans="9:9" x14ac:dyDescent="0.2">
      <c r="I5465" s="137" t="s">
        <v>74</v>
      </c>
    </row>
    <row r="5466" spans="9:9" x14ac:dyDescent="0.2">
      <c r="I5466" s="137" t="s">
        <v>74</v>
      </c>
    </row>
    <row r="5467" spans="9:9" x14ac:dyDescent="0.2">
      <c r="I5467" s="137" t="s">
        <v>74</v>
      </c>
    </row>
    <row r="5468" spans="9:9" x14ac:dyDescent="0.2">
      <c r="I5468" s="137" t="s">
        <v>74</v>
      </c>
    </row>
    <row r="5469" spans="9:9" x14ac:dyDescent="0.2">
      <c r="I5469" s="137" t="s">
        <v>74</v>
      </c>
    </row>
    <row r="5470" spans="9:9" x14ac:dyDescent="0.2">
      <c r="I5470" s="137" t="s">
        <v>74</v>
      </c>
    </row>
    <row r="5471" spans="9:9" x14ac:dyDescent="0.2">
      <c r="I5471" s="137" t="s">
        <v>74</v>
      </c>
    </row>
    <row r="5472" spans="9:9" x14ac:dyDescent="0.2">
      <c r="I5472" s="137" t="s">
        <v>74</v>
      </c>
    </row>
    <row r="5473" spans="9:9" x14ac:dyDescent="0.2">
      <c r="I5473" s="137" t="s">
        <v>74</v>
      </c>
    </row>
    <row r="5474" spans="9:9" x14ac:dyDescent="0.2">
      <c r="I5474" s="137" t="s">
        <v>74</v>
      </c>
    </row>
    <row r="5475" spans="9:9" x14ac:dyDescent="0.2">
      <c r="I5475" s="137" t="s">
        <v>74</v>
      </c>
    </row>
    <row r="5476" spans="9:9" x14ac:dyDescent="0.2">
      <c r="I5476" s="137" t="s">
        <v>74</v>
      </c>
    </row>
    <row r="5477" spans="9:9" x14ac:dyDescent="0.2">
      <c r="I5477" s="137" t="s">
        <v>74</v>
      </c>
    </row>
    <row r="5478" spans="9:9" x14ac:dyDescent="0.2">
      <c r="I5478" s="137" t="s">
        <v>74</v>
      </c>
    </row>
    <row r="5479" spans="9:9" x14ac:dyDescent="0.2">
      <c r="I5479" s="137" t="s">
        <v>74</v>
      </c>
    </row>
    <row r="5480" spans="9:9" x14ac:dyDescent="0.2">
      <c r="I5480" s="137" t="s">
        <v>74</v>
      </c>
    </row>
    <row r="5481" spans="9:9" x14ac:dyDescent="0.2">
      <c r="I5481" s="137" t="s">
        <v>74</v>
      </c>
    </row>
    <row r="5482" spans="9:9" x14ac:dyDescent="0.2">
      <c r="I5482" s="137" t="s">
        <v>74</v>
      </c>
    </row>
    <row r="5483" spans="9:9" x14ac:dyDescent="0.2">
      <c r="I5483" s="137" t="s">
        <v>74</v>
      </c>
    </row>
    <row r="5484" spans="9:9" x14ac:dyDescent="0.2">
      <c r="I5484" s="137" t="s">
        <v>74</v>
      </c>
    </row>
    <row r="5485" spans="9:9" x14ac:dyDescent="0.2">
      <c r="I5485" s="137" t="s">
        <v>74</v>
      </c>
    </row>
    <row r="5486" spans="9:9" x14ac:dyDescent="0.2">
      <c r="I5486" s="137" t="s">
        <v>74</v>
      </c>
    </row>
    <row r="5487" spans="9:9" x14ac:dyDescent="0.2">
      <c r="I5487" s="137" t="s">
        <v>74</v>
      </c>
    </row>
    <row r="5488" spans="9:9" x14ac:dyDescent="0.2">
      <c r="I5488" s="137" t="s">
        <v>74</v>
      </c>
    </row>
    <row r="5489" spans="9:9" x14ac:dyDescent="0.2">
      <c r="I5489" s="137" t="s">
        <v>74</v>
      </c>
    </row>
    <row r="5490" spans="9:9" x14ac:dyDescent="0.2">
      <c r="I5490" s="137" t="s">
        <v>74</v>
      </c>
    </row>
    <row r="5491" spans="9:9" x14ac:dyDescent="0.2">
      <c r="I5491" s="137" t="s">
        <v>74</v>
      </c>
    </row>
    <row r="5492" spans="9:9" x14ac:dyDescent="0.2">
      <c r="I5492" s="137" t="s">
        <v>74</v>
      </c>
    </row>
    <row r="5493" spans="9:9" x14ac:dyDescent="0.2">
      <c r="I5493" s="137" t="s">
        <v>74</v>
      </c>
    </row>
    <row r="5494" spans="9:9" x14ac:dyDescent="0.2">
      <c r="I5494" s="137" t="s">
        <v>74</v>
      </c>
    </row>
    <row r="5495" spans="9:9" x14ac:dyDescent="0.2">
      <c r="I5495" s="137" t="s">
        <v>74</v>
      </c>
    </row>
    <row r="5496" spans="9:9" x14ac:dyDescent="0.2">
      <c r="I5496" s="137" t="s">
        <v>74</v>
      </c>
    </row>
    <row r="5497" spans="9:9" x14ac:dyDescent="0.2">
      <c r="I5497" s="137" t="s">
        <v>74</v>
      </c>
    </row>
    <row r="5498" spans="9:9" x14ac:dyDescent="0.2">
      <c r="I5498" s="137" t="s">
        <v>74</v>
      </c>
    </row>
    <row r="5499" spans="9:9" x14ac:dyDescent="0.2">
      <c r="I5499" s="137" t="s">
        <v>74</v>
      </c>
    </row>
    <row r="5500" spans="9:9" x14ac:dyDescent="0.2">
      <c r="I5500" s="137" t="s">
        <v>74</v>
      </c>
    </row>
    <row r="5501" spans="9:9" x14ac:dyDescent="0.2">
      <c r="I5501" s="137" t="s">
        <v>74</v>
      </c>
    </row>
    <row r="5502" spans="9:9" x14ac:dyDescent="0.2">
      <c r="I5502" s="137" t="s">
        <v>74</v>
      </c>
    </row>
    <row r="5503" spans="9:9" x14ac:dyDescent="0.2">
      <c r="I5503" s="137" t="s">
        <v>74</v>
      </c>
    </row>
    <row r="5504" spans="9:9" x14ac:dyDescent="0.2">
      <c r="I5504" s="137" t="s">
        <v>74</v>
      </c>
    </row>
    <row r="5505" spans="9:9" x14ac:dyDescent="0.2">
      <c r="I5505" s="137" t="s">
        <v>74</v>
      </c>
    </row>
    <row r="5506" spans="9:9" x14ac:dyDescent="0.2">
      <c r="I5506" s="137" t="s">
        <v>74</v>
      </c>
    </row>
    <row r="5507" spans="9:9" x14ac:dyDescent="0.2">
      <c r="I5507" s="137" t="s">
        <v>74</v>
      </c>
    </row>
    <row r="5508" spans="9:9" x14ac:dyDescent="0.2">
      <c r="I5508" s="137" t="s">
        <v>74</v>
      </c>
    </row>
    <row r="5509" spans="9:9" x14ac:dyDescent="0.2">
      <c r="I5509" s="137" t="s">
        <v>74</v>
      </c>
    </row>
    <row r="5510" spans="9:9" x14ac:dyDescent="0.2">
      <c r="I5510" s="137" t="s">
        <v>74</v>
      </c>
    </row>
    <row r="5511" spans="9:9" x14ac:dyDescent="0.2">
      <c r="I5511" s="137" t="s">
        <v>74</v>
      </c>
    </row>
    <row r="5512" spans="9:9" x14ac:dyDescent="0.2">
      <c r="I5512" s="137" t="s">
        <v>74</v>
      </c>
    </row>
    <row r="5513" spans="9:9" x14ac:dyDescent="0.2">
      <c r="I5513" s="137" t="s">
        <v>74</v>
      </c>
    </row>
    <row r="5514" spans="9:9" x14ac:dyDescent="0.2">
      <c r="I5514" s="137" t="s">
        <v>74</v>
      </c>
    </row>
    <row r="5515" spans="9:9" x14ac:dyDescent="0.2">
      <c r="I5515" s="137" t="s">
        <v>74</v>
      </c>
    </row>
    <row r="5516" spans="9:9" x14ac:dyDescent="0.2">
      <c r="I5516" s="137" t="s">
        <v>74</v>
      </c>
    </row>
    <row r="5517" spans="9:9" x14ac:dyDescent="0.2">
      <c r="I5517" s="137" t="s">
        <v>74</v>
      </c>
    </row>
    <row r="5518" spans="9:9" x14ac:dyDescent="0.2">
      <c r="I5518" s="137" t="s">
        <v>74</v>
      </c>
    </row>
    <row r="5519" spans="9:9" x14ac:dyDescent="0.2">
      <c r="I5519" s="137" t="s">
        <v>74</v>
      </c>
    </row>
    <row r="5520" spans="9:9" x14ac:dyDescent="0.2">
      <c r="I5520" s="137" t="s">
        <v>74</v>
      </c>
    </row>
    <row r="5521" spans="9:9" x14ac:dyDescent="0.2">
      <c r="I5521" s="137" t="s">
        <v>74</v>
      </c>
    </row>
    <row r="5522" spans="9:9" x14ac:dyDescent="0.2">
      <c r="I5522" s="137" t="s">
        <v>74</v>
      </c>
    </row>
    <row r="5523" spans="9:9" x14ac:dyDescent="0.2">
      <c r="I5523" s="137" t="s">
        <v>74</v>
      </c>
    </row>
    <row r="5524" spans="9:9" x14ac:dyDescent="0.2">
      <c r="I5524" s="137" t="s">
        <v>74</v>
      </c>
    </row>
    <row r="5525" spans="9:9" x14ac:dyDescent="0.2">
      <c r="I5525" s="137" t="s">
        <v>74</v>
      </c>
    </row>
    <row r="5526" spans="9:9" x14ac:dyDescent="0.2">
      <c r="I5526" s="137" t="s">
        <v>74</v>
      </c>
    </row>
    <row r="5527" spans="9:9" x14ac:dyDescent="0.2">
      <c r="I5527" s="137" t="s">
        <v>74</v>
      </c>
    </row>
    <row r="5528" spans="9:9" x14ac:dyDescent="0.2">
      <c r="I5528" s="137" t="s">
        <v>74</v>
      </c>
    </row>
    <row r="5529" spans="9:9" x14ac:dyDescent="0.2">
      <c r="I5529" s="137" t="s">
        <v>74</v>
      </c>
    </row>
    <row r="5530" spans="9:9" x14ac:dyDescent="0.2">
      <c r="I5530" s="137" t="s">
        <v>74</v>
      </c>
    </row>
    <row r="5531" spans="9:9" x14ac:dyDescent="0.2">
      <c r="I5531" s="137" t="s">
        <v>74</v>
      </c>
    </row>
    <row r="5532" spans="9:9" x14ac:dyDescent="0.2">
      <c r="I5532" s="137" t="s">
        <v>74</v>
      </c>
    </row>
    <row r="5533" spans="9:9" x14ac:dyDescent="0.2">
      <c r="I5533" s="137" t="s">
        <v>74</v>
      </c>
    </row>
    <row r="5534" spans="9:9" x14ac:dyDescent="0.2">
      <c r="I5534" s="137" t="s">
        <v>74</v>
      </c>
    </row>
    <row r="5535" spans="9:9" x14ac:dyDescent="0.2">
      <c r="I5535" s="137" t="s">
        <v>74</v>
      </c>
    </row>
    <row r="5536" spans="9:9" x14ac:dyDescent="0.2">
      <c r="I5536" s="137" t="s">
        <v>74</v>
      </c>
    </row>
    <row r="5537" spans="9:9" x14ac:dyDescent="0.2">
      <c r="I5537" s="137" t="s">
        <v>74</v>
      </c>
    </row>
    <row r="5538" spans="9:9" x14ac:dyDescent="0.2">
      <c r="I5538" s="137" t="s">
        <v>74</v>
      </c>
    </row>
    <row r="5539" spans="9:9" x14ac:dyDescent="0.2">
      <c r="I5539" s="137" t="s">
        <v>74</v>
      </c>
    </row>
    <row r="5540" spans="9:9" x14ac:dyDescent="0.2">
      <c r="I5540" s="137" t="s">
        <v>74</v>
      </c>
    </row>
    <row r="5541" spans="9:9" x14ac:dyDescent="0.2">
      <c r="I5541" s="137" t="s">
        <v>74</v>
      </c>
    </row>
    <row r="5542" spans="9:9" x14ac:dyDescent="0.2">
      <c r="I5542" s="137" t="s">
        <v>74</v>
      </c>
    </row>
    <row r="5543" spans="9:9" x14ac:dyDescent="0.2">
      <c r="I5543" s="137" t="s">
        <v>74</v>
      </c>
    </row>
    <row r="5544" spans="9:9" x14ac:dyDescent="0.2">
      <c r="I5544" s="137" t="s">
        <v>74</v>
      </c>
    </row>
    <row r="5545" spans="9:9" x14ac:dyDescent="0.2">
      <c r="I5545" s="137" t="s">
        <v>74</v>
      </c>
    </row>
    <row r="5546" spans="9:9" x14ac:dyDescent="0.2">
      <c r="I5546" s="137" t="s">
        <v>74</v>
      </c>
    </row>
    <row r="5547" spans="9:9" x14ac:dyDescent="0.2">
      <c r="I5547" s="137" t="s">
        <v>74</v>
      </c>
    </row>
    <row r="5548" spans="9:9" x14ac:dyDescent="0.2">
      <c r="I5548" s="137" t="s">
        <v>74</v>
      </c>
    </row>
    <row r="5549" spans="9:9" x14ac:dyDescent="0.2">
      <c r="I5549" s="137" t="s">
        <v>74</v>
      </c>
    </row>
    <row r="5550" spans="9:9" x14ac:dyDescent="0.2">
      <c r="I5550" s="137" t="s">
        <v>74</v>
      </c>
    </row>
    <row r="5551" spans="9:9" x14ac:dyDescent="0.2">
      <c r="I5551" s="137" t="s">
        <v>74</v>
      </c>
    </row>
    <row r="5552" spans="9:9" x14ac:dyDescent="0.2">
      <c r="I5552" s="137" t="s">
        <v>74</v>
      </c>
    </row>
    <row r="5553" spans="9:9" x14ac:dyDescent="0.2">
      <c r="I5553" s="137" t="s">
        <v>74</v>
      </c>
    </row>
    <row r="5554" spans="9:9" x14ac:dyDescent="0.2">
      <c r="I5554" s="137" t="s">
        <v>74</v>
      </c>
    </row>
    <row r="5555" spans="9:9" x14ac:dyDescent="0.2">
      <c r="I5555" s="137" t="s">
        <v>74</v>
      </c>
    </row>
    <row r="5556" spans="9:9" x14ac:dyDescent="0.2">
      <c r="I5556" s="137" t="s">
        <v>74</v>
      </c>
    </row>
    <row r="5557" spans="9:9" x14ac:dyDescent="0.2">
      <c r="I5557" s="137" t="s">
        <v>74</v>
      </c>
    </row>
    <row r="5558" spans="9:9" x14ac:dyDescent="0.2">
      <c r="I5558" s="137" t="s">
        <v>74</v>
      </c>
    </row>
    <row r="5559" spans="9:9" x14ac:dyDescent="0.2">
      <c r="I5559" s="137" t="s">
        <v>74</v>
      </c>
    </row>
    <row r="5560" spans="9:9" x14ac:dyDescent="0.2">
      <c r="I5560" s="137" t="s">
        <v>74</v>
      </c>
    </row>
    <row r="5561" spans="9:9" x14ac:dyDescent="0.2">
      <c r="I5561" s="137" t="s">
        <v>74</v>
      </c>
    </row>
    <row r="5562" spans="9:9" x14ac:dyDescent="0.2">
      <c r="I5562" s="137" t="s">
        <v>74</v>
      </c>
    </row>
    <row r="5563" spans="9:9" x14ac:dyDescent="0.2">
      <c r="I5563" s="137" t="s">
        <v>74</v>
      </c>
    </row>
    <row r="5564" spans="9:9" x14ac:dyDescent="0.2">
      <c r="I5564" s="137" t="s">
        <v>74</v>
      </c>
    </row>
    <row r="5565" spans="9:9" x14ac:dyDescent="0.2">
      <c r="I5565" s="137" t="s">
        <v>74</v>
      </c>
    </row>
    <row r="5566" spans="9:9" x14ac:dyDescent="0.2">
      <c r="I5566" s="137" t="s">
        <v>74</v>
      </c>
    </row>
    <row r="5567" spans="9:9" x14ac:dyDescent="0.2">
      <c r="I5567" s="137" t="s">
        <v>74</v>
      </c>
    </row>
    <row r="5568" spans="9:9" x14ac:dyDescent="0.2">
      <c r="I5568" s="137" t="s">
        <v>74</v>
      </c>
    </row>
    <row r="5569" spans="9:9" x14ac:dyDescent="0.2">
      <c r="I5569" s="137" t="s">
        <v>74</v>
      </c>
    </row>
    <row r="5570" spans="9:9" x14ac:dyDescent="0.2">
      <c r="I5570" s="137" t="s">
        <v>74</v>
      </c>
    </row>
    <row r="5571" spans="9:9" x14ac:dyDescent="0.2">
      <c r="I5571" s="137" t="s">
        <v>74</v>
      </c>
    </row>
    <row r="5572" spans="9:9" x14ac:dyDescent="0.2">
      <c r="I5572" s="137" t="s">
        <v>74</v>
      </c>
    </row>
    <row r="5573" spans="9:9" x14ac:dyDescent="0.2">
      <c r="I5573" s="137" t="s">
        <v>74</v>
      </c>
    </row>
    <row r="5574" spans="9:9" x14ac:dyDescent="0.2">
      <c r="I5574" s="137" t="s">
        <v>74</v>
      </c>
    </row>
    <row r="5575" spans="9:9" x14ac:dyDescent="0.2">
      <c r="I5575" s="137" t="s">
        <v>74</v>
      </c>
    </row>
    <row r="5576" spans="9:9" x14ac:dyDescent="0.2">
      <c r="I5576" s="137" t="s">
        <v>74</v>
      </c>
    </row>
    <row r="5577" spans="9:9" x14ac:dyDescent="0.2">
      <c r="I5577" s="137" t="s">
        <v>74</v>
      </c>
    </row>
    <row r="5578" spans="9:9" x14ac:dyDescent="0.2">
      <c r="I5578" s="137" t="s">
        <v>74</v>
      </c>
    </row>
    <row r="5579" spans="9:9" x14ac:dyDescent="0.2">
      <c r="I5579" s="137" t="s">
        <v>74</v>
      </c>
    </row>
    <row r="5580" spans="9:9" x14ac:dyDescent="0.2">
      <c r="I5580" s="137" t="s">
        <v>74</v>
      </c>
    </row>
    <row r="5581" spans="9:9" x14ac:dyDescent="0.2">
      <c r="I5581" s="137" t="s">
        <v>74</v>
      </c>
    </row>
    <row r="5582" spans="9:9" x14ac:dyDescent="0.2">
      <c r="I5582" s="137" t="s">
        <v>74</v>
      </c>
    </row>
    <row r="5583" spans="9:9" x14ac:dyDescent="0.2">
      <c r="I5583" s="137" t="s">
        <v>74</v>
      </c>
    </row>
    <row r="5584" spans="9:9" x14ac:dyDescent="0.2">
      <c r="I5584" s="137" t="s">
        <v>74</v>
      </c>
    </row>
    <row r="5585" spans="9:9" x14ac:dyDescent="0.2">
      <c r="I5585" s="137" t="s">
        <v>74</v>
      </c>
    </row>
    <row r="5586" spans="9:9" x14ac:dyDescent="0.2">
      <c r="I5586" s="137" t="s">
        <v>74</v>
      </c>
    </row>
    <row r="5587" spans="9:9" x14ac:dyDescent="0.2">
      <c r="I5587" s="137" t="s">
        <v>74</v>
      </c>
    </row>
    <row r="5588" spans="9:9" x14ac:dyDescent="0.2">
      <c r="I5588" s="137" t="s">
        <v>74</v>
      </c>
    </row>
    <row r="5589" spans="9:9" x14ac:dyDescent="0.2">
      <c r="I5589" s="137" t="s">
        <v>74</v>
      </c>
    </row>
    <row r="5590" spans="9:9" x14ac:dyDescent="0.2">
      <c r="I5590" s="137" t="s">
        <v>74</v>
      </c>
    </row>
    <row r="5591" spans="9:9" x14ac:dyDescent="0.2">
      <c r="I5591" s="137" t="s">
        <v>74</v>
      </c>
    </row>
    <row r="5592" spans="9:9" x14ac:dyDescent="0.2">
      <c r="I5592" s="137" t="s">
        <v>74</v>
      </c>
    </row>
    <row r="5593" spans="9:9" x14ac:dyDescent="0.2">
      <c r="I5593" s="137" t="s">
        <v>74</v>
      </c>
    </row>
    <row r="5594" spans="9:9" x14ac:dyDescent="0.2">
      <c r="I5594" s="137" t="s">
        <v>74</v>
      </c>
    </row>
    <row r="5595" spans="9:9" x14ac:dyDescent="0.2">
      <c r="I5595" s="137" t="s">
        <v>74</v>
      </c>
    </row>
    <row r="5596" spans="9:9" x14ac:dyDescent="0.2">
      <c r="I5596" s="137" t="s">
        <v>74</v>
      </c>
    </row>
    <row r="5597" spans="9:9" x14ac:dyDescent="0.2">
      <c r="I5597" s="137" t="s">
        <v>74</v>
      </c>
    </row>
    <row r="5598" spans="9:9" x14ac:dyDescent="0.2">
      <c r="I5598" s="137" t="s">
        <v>74</v>
      </c>
    </row>
    <row r="5599" spans="9:9" x14ac:dyDescent="0.2">
      <c r="I5599" s="137" t="s">
        <v>74</v>
      </c>
    </row>
    <row r="5600" spans="9:9" x14ac:dyDescent="0.2">
      <c r="I5600" s="137" t="s">
        <v>74</v>
      </c>
    </row>
    <row r="5601" spans="9:9" x14ac:dyDescent="0.2">
      <c r="I5601" s="137" t="s">
        <v>74</v>
      </c>
    </row>
    <row r="5602" spans="9:9" x14ac:dyDescent="0.2">
      <c r="I5602" s="137" t="s">
        <v>74</v>
      </c>
    </row>
    <row r="5603" spans="9:9" x14ac:dyDescent="0.2">
      <c r="I5603" s="137" t="s">
        <v>74</v>
      </c>
    </row>
    <row r="5604" spans="9:9" x14ac:dyDescent="0.2">
      <c r="I5604" s="137" t="s">
        <v>74</v>
      </c>
    </row>
    <row r="5605" spans="9:9" x14ac:dyDescent="0.2">
      <c r="I5605" s="137" t="s">
        <v>74</v>
      </c>
    </row>
    <row r="5606" spans="9:9" x14ac:dyDescent="0.2">
      <c r="I5606" s="137" t="s">
        <v>74</v>
      </c>
    </row>
    <row r="5607" spans="9:9" x14ac:dyDescent="0.2">
      <c r="I5607" s="137" t="s">
        <v>74</v>
      </c>
    </row>
    <row r="5608" spans="9:9" x14ac:dyDescent="0.2">
      <c r="I5608" s="137" t="s">
        <v>74</v>
      </c>
    </row>
    <row r="5609" spans="9:9" x14ac:dyDescent="0.2">
      <c r="I5609" s="137" t="s">
        <v>74</v>
      </c>
    </row>
    <row r="5610" spans="9:9" x14ac:dyDescent="0.2">
      <c r="I5610" s="137" t="s">
        <v>74</v>
      </c>
    </row>
    <row r="5611" spans="9:9" x14ac:dyDescent="0.2">
      <c r="I5611" s="137" t="s">
        <v>74</v>
      </c>
    </row>
    <row r="5612" spans="9:9" x14ac:dyDescent="0.2">
      <c r="I5612" s="137" t="s">
        <v>74</v>
      </c>
    </row>
    <row r="5613" spans="9:9" x14ac:dyDescent="0.2">
      <c r="I5613" s="137" t="s">
        <v>74</v>
      </c>
    </row>
    <row r="5614" spans="9:9" x14ac:dyDescent="0.2">
      <c r="I5614" s="137" t="s">
        <v>74</v>
      </c>
    </row>
    <row r="5615" spans="9:9" x14ac:dyDescent="0.2">
      <c r="I5615" s="137" t="s">
        <v>74</v>
      </c>
    </row>
    <row r="5616" spans="9:9" x14ac:dyDescent="0.2">
      <c r="I5616" s="137" t="s">
        <v>74</v>
      </c>
    </row>
    <row r="5617" spans="9:9" x14ac:dyDescent="0.2">
      <c r="I5617" s="137" t="s">
        <v>74</v>
      </c>
    </row>
    <row r="5618" spans="9:9" x14ac:dyDescent="0.2">
      <c r="I5618" s="137" t="s">
        <v>74</v>
      </c>
    </row>
    <row r="5619" spans="9:9" x14ac:dyDescent="0.2">
      <c r="I5619" s="137" t="s">
        <v>74</v>
      </c>
    </row>
    <row r="5620" spans="9:9" x14ac:dyDescent="0.2">
      <c r="I5620" s="137" t="s">
        <v>74</v>
      </c>
    </row>
    <row r="5621" spans="9:9" x14ac:dyDescent="0.2">
      <c r="I5621" s="137" t="s">
        <v>74</v>
      </c>
    </row>
    <row r="5622" spans="9:9" x14ac:dyDescent="0.2">
      <c r="I5622" s="137" t="s">
        <v>74</v>
      </c>
    </row>
    <row r="5623" spans="9:9" x14ac:dyDescent="0.2">
      <c r="I5623" s="137" t="s">
        <v>74</v>
      </c>
    </row>
    <row r="5624" spans="9:9" x14ac:dyDescent="0.2">
      <c r="I5624" s="137" t="s">
        <v>74</v>
      </c>
    </row>
    <row r="5625" spans="9:9" x14ac:dyDescent="0.2">
      <c r="I5625" s="137" t="s">
        <v>74</v>
      </c>
    </row>
    <row r="5626" spans="9:9" x14ac:dyDescent="0.2">
      <c r="I5626" s="137" t="s">
        <v>74</v>
      </c>
    </row>
    <row r="5627" spans="9:9" x14ac:dyDescent="0.2">
      <c r="I5627" s="137" t="s">
        <v>74</v>
      </c>
    </row>
    <row r="5628" spans="9:9" x14ac:dyDescent="0.2">
      <c r="I5628" s="137" t="s">
        <v>74</v>
      </c>
    </row>
    <row r="5629" spans="9:9" x14ac:dyDescent="0.2">
      <c r="I5629" s="137" t="s">
        <v>74</v>
      </c>
    </row>
    <row r="5630" spans="9:9" x14ac:dyDescent="0.2">
      <c r="I5630" s="137" t="s">
        <v>74</v>
      </c>
    </row>
    <row r="5631" spans="9:9" x14ac:dyDescent="0.2">
      <c r="I5631" s="137" t="s">
        <v>74</v>
      </c>
    </row>
    <row r="5632" spans="9:9" x14ac:dyDescent="0.2">
      <c r="I5632" s="137" t="s">
        <v>74</v>
      </c>
    </row>
    <row r="5633" spans="9:9" x14ac:dyDescent="0.2">
      <c r="I5633" s="137" t="s">
        <v>74</v>
      </c>
    </row>
    <row r="5634" spans="9:9" x14ac:dyDescent="0.2">
      <c r="I5634" s="137" t="s">
        <v>74</v>
      </c>
    </row>
    <row r="5635" spans="9:9" x14ac:dyDescent="0.2">
      <c r="I5635" s="137" t="s">
        <v>74</v>
      </c>
    </row>
    <row r="5636" spans="9:9" x14ac:dyDescent="0.2">
      <c r="I5636" s="137" t="s">
        <v>74</v>
      </c>
    </row>
    <row r="5637" spans="9:9" x14ac:dyDescent="0.2">
      <c r="I5637" s="137" t="s">
        <v>74</v>
      </c>
    </row>
    <row r="5638" spans="9:9" x14ac:dyDescent="0.2">
      <c r="I5638" s="137" t="s">
        <v>74</v>
      </c>
    </row>
    <row r="5639" spans="9:9" x14ac:dyDescent="0.2">
      <c r="I5639" s="137" t="s">
        <v>74</v>
      </c>
    </row>
    <row r="5640" spans="9:9" x14ac:dyDescent="0.2">
      <c r="I5640" s="137" t="s">
        <v>74</v>
      </c>
    </row>
    <row r="5641" spans="9:9" x14ac:dyDescent="0.2">
      <c r="I5641" s="137" t="s">
        <v>74</v>
      </c>
    </row>
    <row r="5642" spans="9:9" x14ac:dyDescent="0.2">
      <c r="I5642" s="137" t="s">
        <v>74</v>
      </c>
    </row>
    <row r="5643" spans="9:9" x14ac:dyDescent="0.2">
      <c r="I5643" s="137" t="s">
        <v>74</v>
      </c>
    </row>
    <row r="5644" spans="9:9" x14ac:dyDescent="0.2">
      <c r="I5644" s="137" t="s">
        <v>74</v>
      </c>
    </row>
    <row r="5645" spans="9:9" x14ac:dyDescent="0.2">
      <c r="I5645" s="137" t="s">
        <v>74</v>
      </c>
    </row>
    <row r="5646" spans="9:9" x14ac:dyDescent="0.2">
      <c r="I5646" s="137" t="s">
        <v>74</v>
      </c>
    </row>
    <row r="5647" spans="9:9" x14ac:dyDescent="0.2">
      <c r="I5647" s="137" t="s">
        <v>74</v>
      </c>
    </row>
    <row r="5648" spans="9:9" x14ac:dyDescent="0.2">
      <c r="I5648" s="137" t="s">
        <v>74</v>
      </c>
    </row>
    <row r="5649" spans="9:9" x14ac:dyDescent="0.2">
      <c r="I5649" s="137" t="s">
        <v>74</v>
      </c>
    </row>
    <row r="5650" spans="9:9" x14ac:dyDescent="0.2">
      <c r="I5650" s="137" t="s">
        <v>74</v>
      </c>
    </row>
    <row r="5651" spans="9:9" x14ac:dyDescent="0.2">
      <c r="I5651" s="137" t="s">
        <v>74</v>
      </c>
    </row>
    <row r="5652" spans="9:9" x14ac:dyDescent="0.2">
      <c r="I5652" s="137" t="s">
        <v>74</v>
      </c>
    </row>
    <row r="5653" spans="9:9" x14ac:dyDescent="0.2">
      <c r="I5653" s="137" t="s">
        <v>74</v>
      </c>
    </row>
    <row r="5654" spans="9:9" x14ac:dyDescent="0.2">
      <c r="I5654" s="137" t="s">
        <v>74</v>
      </c>
    </row>
    <row r="5655" spans="9:9" x14ac:dyDescent="0.2">
      <c r="I5655" s="137" t="s">
        <v>74</v>
      </c>
    </row>
    <row r="5656" spans="9:9" x14ac:dyDescent="0.2">
      <c r="I5656" s="137" t="s">
        <v>74</v>
      </c>
    </row>
    <row r="5657" spans="9:9" x14ac:dyDescent="0.2">
      <c r="I5657" s="137" t="s">
        <v>74</v>
      </c>
    </row>
    <row r="5658" spans="9:9" x14ac:dyDescent="0.2">
      <c r="I5658" s="137" t="s">
        <v>74</v>
      </c>
    </row>
    <row r="5659" spans="9:9" x14ac:dyDescent="0.2">
      <c r="I5659" s="137" t="s">
        <v>74</v>
      </c>
    </row>
    <row r="5660" spans="9:9" x14ac:dyDescent="0.2">
      <c r="I5660" s="137" t="s">
        <v>74</v>
      </c>
    </row>
    <row r="5661" spans="9:9" x14ac:dyDescent="0.2">
      <c r="I5661" s="137" t="s">
        <v>74</v>
      </c>
    </row>
    <row r="5662" spans="9:9" x14ac:dyDescent="0.2">
      <c r="I5662" s="137" t="s">
        <v>74</v>
      </c>
    </row>
    <row r="5663" spans="9:9" x14ac:dyDescent="0.2">
      <c r="I5663" s="137" t="s">
        <v>74</v>
      </c>
    </row>
    <row r="5664" spans="9:9" x14ac:dyDescent="0.2">
      <c r="I5664" s="137" t="s">
        <v>74</v>
      </c>
    </row>
    <row r="5665" spans="9:9" x14ac:dyDescent="0.2">
      <c r="I5665" s="137" t="s">
        <v>74</v>
      </c>
    </row>
    <row r="5666" spans="9:9" x14ac:dyDescent="0.2">
      <c r="I5666" s="137" t="s">
        <v>74</v>
      </c>
    </row>
    <row r="5667" spans="9:9" x14ac:dyDescent="0.2">
      <c r="I5667" s="137" t="s">
        <v>74</v>
      </c>
    </row>
    <row r="5668" spans="9:9" x14ac:dyDescent="0.2">
      <c r="I5668" s="137" t="s">
        <v>74</v>
      </c>
    </row>
    <row r="5669" spans="9:9" x14ac:dyDescent="0.2">
      <c r="I5669" s="137" t="s">
        <v>74</v>
      </c>
    </row>
    <row r="5670" spans="9:9" x14ac:dyDescent="0.2">
      <c r="I5670" s="137" t="s">
        <v>74</v>
      </c>
    </row>
    <row r="5671" spans="9:9" x14ac:dyDescent="0.2">
      <c r="I5671" s="137" t="s">
        <v>74</v>
      </c>
    </row>
    <row r="5672" spans="9:9" x14ac:dyDescent="0.2">
      <c r="I5672" s="137" t="s">
        <v>74</v>
      </c>
    </row>
    <row r="5673" spans="9:9" x14ac:dyDescent="0.2">
      <c r="I5673" s="137" t="s">
        <v>74</v>
      </c>
    </row>
    <row r="5674" spans="9:9" x14ac:dyDescent="0.2">
      <c r="I5674" s="137" t="s">
        <v>74</v>
      </c>
    </row>
    <row r="5675" spans="9:9" x14ac:dyDescent="0.2">
      <c r="I5675" s="137" t="s">
        <v>74</v>
      </c>
    </row>
    <row r="5676" spans="9:9" x14ac:dyDescent="0.2">
      <c r="I5676" s="137" t="s">
        <v>74</v>
      </c>
    </row>
    <row r="5677" spans="9:9" x14ac:dyDescent="0.2">
      <c r="I5677" s="137" t="s">
        <v>74</v>
      </c>
    </row>
    <row r="5678" spans="9:9" x14ac:dyDescent="0.2">
      <c r="I5678" s="137" t="s">
        <v>74</v>
      </c>
    </row>
    <row r="5679" spans="9:9" x14ac:dyDescent="0.2">
      <c r="I5679" s="137" t="s">
        <v>74</v>
      </c>
    </row>
    <row r="5680" spans="9:9" x14ac:dyDescent="0.2">
      <c r="I5680" s="137" t="s">
        <v>74</v>
      </c>
    </row>
    <row r="5681" spans="9:9" x14ac:dyDescent="0.2">
      <c r="I5681" s="137" t="s">
        <v>74</v>
      </c>
    </row>
    <row r="5682" spans="9:9" x14ac:dyDescent="0.2">
      <c r="I5682" s="137" t="s">
        <v>74</v>
      </c>
    </row>
    <row r="5683" spans="9:9" x14ac:dyDescent="0.2">
      <c r="I5683" s="137" t="s">
        <v>74</v>
      </c>
    </row>
    <row r="5684" spans="9:9" x14ac:dyDescent="0.2">
      <c r="I5684" s="137" t="s">
        <v>74</v>
      </c>
    </row>
    <row r="5685" spans="9:9" x14ac:dyDescent="0.2">
      <c r="I5685" s="137" t="s">
        <v>74</v>
      </c>
    </row>
    <row r="5686" spans="9:9" x14ac:dyDescent="0.2">
      <c r="I5686" s="137" t="s">
        <v>74</v>
      </c>
    </row>
    <row r="5687" spans="9:9" x14ac:dyDescent="0.2">
      <c r="I5687" s="137" t="s">
        <v>74</v>
      </c>
    </row>
    <row r="5688" spans="9:9" x14ac:dyDescent="0.2">
      <c r="I5688" s="137" t="s">
        <v>74</v>
      </c>
    </row>
    <row r="5689" spans="9:9" x14ac:dyDescent="0.2">
      <c r="I5689" s="137" t="s">
        <v>74</v>
      </c>
    </row>
    <row r="5690" spans="9:9" x14ac:dyDescent="0.2">
      <c r="I5690" s="137" t="s">
        <v>74</v>
      </c>
    </row>
    <row r="5691" spans="9:9" x14ac:dyDescent="0.2">
      <c r="I5691" s="137" t="s">
        <v>74</v>
      </c>
    </row>
    <row r="5692" spans="9:9" x14ac:dyDescent="0.2">
      <c r="I5692" s="137" t="s">
        <v>74</v>
      </c>
    </row>
    <row r="5693" spans="9:9" x14ac:dyDescent="0.2">
      <c r="I5693" s="137" t="s">
        <v>74</v>
      </c>
    </row>
    <row r="5694" spans="9:9" x14ac:dyDescent="0.2">
      <c r="I5694" s="137" t="s">
        <v>74</v>
      </c>
    </row>
    <row r="5695" spans="9:9" x14ac:dyDescent="0.2">
      <c r="I5695" s="137" t="s">
        <v>74</v>
      </c>
    </row>
    <row r="5696" spans="9:9" x14ac:dyDescent="0.2">
      <c r="I5696" s="137" t="s">
        <v>74</v>
      </c>
    </row>
    <row r="5697" spans="9:9" x14ac:dyDescent="0.2">
      <c r="I5697" s="137" t="s">
        <v>74</v>
      </c>
    </row>
    <row r="5698" spans="9:9" x14ac:dyDescent="0.2">
      <c r="I5698" s="137" t="s">
        <v>74</v>
      </c>
    </row>
    <row r="5699" spans="9:9" x14ac:dyDescent="0.2">
      <c r="I5699" s="137" t="s">
        <v>74</v>
      </c>
    </row>
    <row r="5700" spans="9:9" x14ac:dyDescent="0.2">
      <c r="I5700" s="137" t="s">
        <v>74</v>
      </c>
    </row>
    <row r="5701" spans="9:9" x14ac:dyDescent="0.2">
      <c r="I5701" s="137" t="s">
        <v>74</v>
      </c>
    </row>
    <row r="5702" spans="9:9" x14ac:dyDescent="0.2">
      <c r="I5702" s="137" t="s">
        <v>74</v>
      </c>
    </row>
    <row r="5703" spans="9:9" x14ac:dyDescent="0.2">
      <c r="I5703" s="137" t="s">
        <v>74</v>
      </c>
    </row>
    <row r="5704" spans="9:9" x14ac:dyDescent="0.2">
      <c r="I5704" s="137" t="s">
        <v>74</v>
      </c>
    </row>
    <row r="5705" spans="9:9" x14ac:dyDescent="0.2">
      <c r="I5705" s="137" t="s">
        <v>74</v>
      </c>
    </row>
    <row r="5706" spans="9:9" x14ac:dyDescent="0.2">
      <c r="I5706" s="137" t="s">
        <v>74</v>
      </c>
    </row>
    <row r="5707" spans="9:9" x14ac:dyDescent="0.2">
      <c r="I5707" s="137" t="s">
        <v>74</v>
      </c>
    </row>
    <row r="5708" spans="9:9" x14ac:dyDescent="0.2">
      <c r="I5708" s="137" t="s">
        <v>74</v>
      </c>
    </row>
    <row r="5709" spans="9:9" x14ac:dyDescent="0.2">
      <c r="I5709" s="137" t="s">
        <v>74</v>
      </c>
    </row>
    <row r="5710" spans="9:9" x14ac:dyDescent="0.2">
      <c r="I5710" s="137" t="s">
        <v>74</v>
      </c>
    </row>
    <row r="5711" spans="9:9" x14ac:dyDescent="0.2">
      <c r="I5711" s="137" t="s">
        <v>74</v>
      </c>
    </row>
    <row r="5712" spans="9:9" x14ac:dyDescent="0.2">
      <c r="I5712" s="137" t="s">
        <v>74</v>
      </c>
    </row>
    <row r="5713" spans="9:9" x14ac:dyDescent="0.2">
      <c r="I5713" s="137" t="s">
        <v>74</v>
      </c>
    </row>
    <row r="5714" spans="9:9" x14ac:dyDescent="0.2">
      <c r="I5714" s="137" t="s">
        <v>74</v>
      </c>
    </row>
    <row r="5715" spans="9:9" x14ac:dyDescent="0.2">
      <c r="I5715" s="137" t="s">
        <v>74</v>
      </c>
    </row>
    <row r="5716" spans="9:9" x14ac:dyDescent="0.2">
      <c r="I5716" s="137" t="s">
        <v>74</v>
      </c>
    </row>
    <row r="5717" spans="9:9" x14ac:dyDescent="0.2">
      <c r="I5717" s="137" t="s">
        <v>74</v>
      </c>
    </row>
    <row r="5718" spans="9:9" x14ac:dyDescent="0.2">
      <c r="I5718" s="137" t="s">
        <v>74</v>
      </c>
    </row>
    <row r="5719" spans="9:9" x14ac:dyDescent="0.2">
      <c r="I5719" s="137" t="s">
        <v>74</v>
      </c>
    </row>
    <row r="5720" spans="9:9" x14ac:dyDescent="0.2">
      <c r="I5720" s="137" t="s">
        <v>74</v>
      </c>
    </row>
    <row r="5721" spans="9:9" x14ac:dyDescent="0.2">
      <c r="I5721" s="137" t="s">
        <v>74</v>
      </c>
    </row>
    <row r="5722" spans="9:9" x14ac:dyDescent="0.2">
      <c r="I5722" s="137" t="s">
        <v>74</v>
      </c>
    </row>
    <row r="5723" spans="9:9" x14ac:dyDescent="0.2">
      <c r="I5723" s="137" t="s">
        <v>74</v>
      </c>
    </row>
    <row r="5724" spans="9:9" x14ac:dyDescent="0.2">
      <c r="I5724" s="137" t="s">
        <v>74</v>
      </c>
    </row>
    <row r="5725" spans="9:9" x14ac:dyDescent="0.2">
      <c r="I5725" s="137" t="s">
        <v>74</v>
      </c>
    </row>
    <row r="5726" spans="9:9" x14ac:dyDescent="0.2">
      <c r="I5726" s="137" t="s">
        <v>74</v>
      </c>
    </row>
    <row r="5727" spans="9:9" x14ac:dyDescent="0.2">
      <c r="I5727" s="137" t="s">
        <v>74</v>
      </c>
    </row>
    <row r="5728" spans="9:9" x14ac:dyDescent="0.2">
      <c r="I5728" s="137" t="s">
        <v>74</v>
      </c>
    </row>
    <row r="5729" spans="9:9" x14ac:dyDescent="0.2">
      <c r="I5729" s="137" t="s">
        <v>74</v>
      </c>
    </row>
    <row r="5730" spans="9:9" x14ac:dyDescent="0.2">
      <c r="I5730" s="137" t="s">
        <v>74</v>
      </c>
    </row>
    <row r="5731" spans="9:9" x14ac:dyDescent="0.2">
      <c r="I5731" s="137" t="s">
        <v>74</v>
      </c>
    </row>
    <row r="5732" spans="9:9" x14ac:dyDescent="0.2">
      <c r="I5732" s="137" t="s">
        <v>74</v>
      </c>
    </row>
    <row r="5733" spans="9:9" x14ac:dyDescent="0.2">
      <c r="I5733" s="137" t="s">
        <v>74</v>
      </c>
    </row>
    <row r="5734" spans="9:9" x14ac:dyDescent="0.2">
      <c r="I5734" s="137" t="s">
        <v>74</v>
      </c>
    </row>
    <row r="5735" spans="9:9" x14ac:dyDescent="0.2">
      <c r="I5735" s="137" t="s">
        <v>74</v>
      </c>
    </row>
    <row r="5736" spans="9:9" x14ac:dyDescent="0.2">
      <c r="I5736" s="137" t="s">
        <v>74</v>
      </c>
    </row>
    <row r="5737" spans="9:9" x14ac:dyDescent="0.2">
      <c r="I5737" s="137" t="s">
        <v>74</v>
      </c>
    </row>
    <row r="5738" spans="9:9" x14ac:dyDescent="0.2">
      <c r="I5738" s="137" t="s">
        <v>74</v>
      </c>
    </row>
    <row r="5739" spans="9:9" x14ac:dyDescent="0.2">
      <c r="I5739" s="137" t="s">
        <v>74</v>
      </c>
    </row>
    <row r="5740" spans="9:9" x14ac:dyDescent="0.2">
      <c r="I5740" s="137" t="s">
        <v>74</v>
      </c>
    </row>
    <row r="5741" spans="9:9" x14ac:dyDescent="0.2">
      <c r="I5741" s="137" t="s">
        <v>74</v>
      </c>
    </row>
    <row r="5742" spans="9:9" x14ac:dyDescent="0.2">
      <c r="I5742" s="137" t="s">
        <v>74</v>
      </c>
    </row>
    <row r="5743" spans="9:9" x14ac:dyDescent="0.2">
      <c r="I5743" s="137" t="s">
        <v>74</v>
      </c>
    </row>
    <row r="5744" spans="9:9" x14ac:dyDescent="0.2">
      <c r="I5744" s="137" t="s">
        <v>74</v>
      </c>
    </row>
    <row r="5745" spans="9:9" x14ac:dyDescent="0.2">
      <c r="I5745" s="137" t="s">
        <v>74</v>
      </c>
    </row>
    <row r="5746" spans="9:9" x14ac:dyDescent="0.2">
      <c r="I5746" s="137" t="s">
        <v>74</v>
      </c>
    </row>
    <row r="5747" spans="9:9" x14ac:dyDescent="0.2">
      <c r="I5747" s="137" t="s">
        <v>74</v>
      </c>
    </row>
    <row r="5748" spans="9:9" x14ac:dyDescent="0.2">
      <c r="I5748" s="137" t="s">
        <v>74</v>
      </c>
    </row>
    <row r="5749" spans="9:9" x14ac:dyDescent="0.2">
      <c r="I5749" s="137" t="s">
        <v>74</v>
      </c>
    </row>
    <row r="5750" spans="9:9" x14ac:dyDescent="0.2">
      <c r="I5750" s="137" t="s">
        <v>74</v>
      </c>
    </row>
    <row r="5751" spans="9:9" x14ac:dyDescent="0.2">
      <c r="I5751" s="137" t="s">
        <v>74</v>
      </c>
    </row>
    <row r="5752" spans="9:9" x14ac:dyDescent="0.2">
      <c r="I5752" s="137" t="s">
        <v>74</v>
      </c>
    </row>
    <row r="5753" spans="9:9" x14ac:dyDescent="0.2">
      <c r="I5753" s="137" t="s">
        <v>74</v>
      </c>
    </row>
    <row r="5754" spans="9:9" x14ac:dyDescent="0.2">
      <c r="I5754" s="137" t="s">
        <v>74</v>
      </c>
    </row>
    <row r="5755" spans="9:9" x14ac:dyDescent="0.2">
      <c r="I5755" s="137" t="s">
        <v>74</v>
      </c>
    </row>
    <row r="5756" spans="9:9" x14ac:dyDescent="0.2">
      <c r="I5756" s="137" t="s">
        <v>74</v>
      </c>
    </row>
    <row r="5757" spans="9:9" x14ac:dyDescent="0.2">
      <c r="I5757" s="137" t="s">
        <v>74</v>
      </c>
    </row>
    <row r="5758" spans="9:9" x14ac:dyDescent="0.2">
      <c r="I5758" s="137" t="s">
        <v>74</v>
      </c>
    </row>
    <row r="5759" spans="9:9" x14ac:dyDescent="0.2">
      <c r="I5759" s="137" t="s">
        <v>74</v>
      </c>
    </row>
    <row r="5760" spans="9:9" x14ac:dyDescent="0.2">
      <c r="I5760" s="137" t="s">
        <v>74</v>
      </c>
    </row>
    <row r="5761" spans="9:9" x14ac:dyDescent="0.2">
      <c r="I5761" s="137" t="s">
        <v>74</v>
      </c>
    </row>
    <row r="5762" spans="9:9" x14ac:dyDescent="0.2">
      <c r="I5762" s="137" t="s">
        <v>74</v>
      </c>
    </row>
    <row r="5763" spans="9:9" x14ac:dyDescent="0.2">
      <c r="I5763" s="137" t="s">
        <v>74</v>
      </c>
    </row>
    <row r="5764" spans="9:9" x14ac:dyDescent="0.2">
      <c r="I5764" s="137" t="s">
        <v>74</v>
      </c>
    </row>
    <row r="5765" spans="9:9" x14ac:dyDescent="0.2">
      <c r="I5765" s="137" t="s">
        <v>74</v>
      </c>
    </row>
    <row r="5766" spans="9:9" x14ac:dyDescent="0.2">
      <c r="I5766" s="137" t="s">
        <v>74</v>
      </c>
    </row>
    <row r="5767" spans="9:9" x14ac:dyDescent="0.2">
      <c r="I5767" s="137" t="s">
        <v>74</v>
      </c>
    </row>
    <row r="5768" spans="9:9" x14ac:dyDescent="0.2">
      <c r="I5768" s="137" t="s">
        <v>74</v>
      </c>
    </row>
    <row r="5769" spans="9:9" x14ac:dyDescent="0.2">
      <c r="I5769" s="137" t="s">
        <v>74</v>
      </c>
    </row>
    <row r="5770" spans="9:9" x14ac:dyDescent="0.2">
      <c r="I5770" s="137" t="s">
        <v>74</v>
      </c>
    </row>
    <row r="5771" spans="9:9" x14ac:dyDescent="0.2">
      <c r="I5771" s="137" t="s">
        <v>74</v>
      </c>
    </row>
    <row r="5772" spans="9:9" x14ac:dyDescent="0.2">
      <c r="I5772" s="137" t="s">
        <v>74</v>
      </c>
    </row>
    <row r="5773" spans="9:9" x14ac:dyDescent="0.2">
      <c r="I5773" s="137" t="s">
        <v>74</v>
      </c>
    </row>
    <row r="5774" spans="9:9" x14ac:dyDescent="0.2">
      <c r="I5774" s="137" t="s">
        <v>74</v>
      </c>
    </row>
    <row r="5775" spans="9:9" x14ac:dyDescent="0.2">
      <c r="I5775" s="137" t="s">
        <v>74</v>
      </c>
    </row>
    <row r="5776" spans="9:9" x14ac:dyDescent="0.2">
      <c r="I5776" s="137" t="s">
        <v>74</v>
      </c>
    </row>
    <row r="5777" spans="9:9" x14ac:dyDescent="0.2">
      <c r="I5777" s="137" t="s">
        <v>74</v>
      </c>
    </row>
    <row r="5778" spans="9:9" x14ac:dyDescent="0.2">
      <c r="I5778" s="137" t="s">
        <v>74</v>
      </c>
    </row>
    <row r="5779" spans="9:9" x14ac:dyDescent="0.2">
      <c r="I5779" s="137" t="s">
        <v>74</v>
      </c>
    </row>
    <row r="5780" spans="9:9" x14ac:dyDescent="0.2">
      <c r="I5780" s="137" t="s">
        <v>74</v>
      </c>
    </row>
    <row r="5781" spans="9:9" x14ac:dyDescent="0.2">
      <c r="I5781" s="137" t="s">
        <v>74</v>
      </c>
    </row>
    <row r="5782" spans="9:9" x14ac:dyDescent="0.2">
      <c r="I5782" s="137" t="s">
        <v>74</v>
      </c>
    </row>
    <row r="5783" spans="9:9" x14ac:dyDescent="0.2">
      <c r="I5783" s="137" t="s">
        <v>74</v>
      </c>
    </row>
    <row r="5784" spans="9:9" x14ac:dyDescent="0.2">
      <c r="I5784" s="137" t="s">
        <v>74</v>
      </c>
    </row>
    <row r="5785" spans="9:9" x14ac:dyDescent="0.2">
      <c r="I5785" s="137" t="s">
        <v>74</v>
      </c>
    </row>
    <row r="5786" spans="9:9" x14ac:dyDescent="0.2">
      <c r="I5786" s="137" t="s">
        <v>74</v>
      </c>
    </row>
    <row r="5787" spans="9:9" x14ac:dyDescent="0.2">
      <c r="I5787" s="137" t="s">
        <v>74</v>
      </c>
    </row>
    <row r="5788" spans="9:9" x14ac:dyDescent="0.2">
      <c r="I5788" s="137" t="s">
        <v>74</v>
      </c>
    </row>
    <row r="5789" spans="9:9" x14ac:dyDescent="0.2">
      <c r="I5789" s="137" t="s">
        <v>74</v>
      </c>
    </row>
    <row r="5790" spans="9:9" x14ac:dyDescent="0.2">
      <c r="I5790" s="137" t="s">
        <v>74</v>
      </c>
    </row>
    <row r="5791" spans="9:9" x14ac:dyDescent="0.2">
      <c r="I5791" s="137" t="s">
        <v>74</v>
      </c>
    </row>
    <row r="5792" spans="9:9" x14ac:dyDescent="0.2">
      <c r="I5792" s="137" t="s">
        <v>74</v>
      </c>
    </row>
    <row r="5793" spans="9:9" x14ac:dyDescent="0.2">
      <c r="I5793" s="137" t="s">
        <v>74</v>
      </c>
    </row>
    <row r="5794" spans="9:9" x14ac:dyDescent="0.2">
      <c r="I5794" s="137" t="s">
        <v>74</v>
      </c>
    </row>
    <row r="5795" spans="9:9" x14ac:dyDescent="0.2">
      <c r="I5795" s="137" t="s">
        <v>74</v>
      </c>
    </row>
    <row r="5796" spans="9:9" x14ac:dyDescent="0.2">
      <c r="I5796" s="137" t="s">
        <v>74</v>
      </c>
    </row>
    <row r="5797" spans="9:9" x14ac:dyDescent="0.2">
      <c r="I5797" s="137" t="s">
        <v>74</v>
      </c>
    </row>
    <row r="5798" spans="9:9" x14ac:dyDescent="0.2">
      <c r="I5798" s="137" t="s">
        <v>74</v>
      </c>
    </row>
    <row r="5799" spans="9:9" x14ac:dyDescent="0.2">
      <c r="I5799" s="137" t="s">
        <v>74</v>
      </c>
    </row>
    <row r="5800" spans="9:9" x14ac:dyDescent="0.2">
      <c r="I5800" s="137" t="s">
        <v>74</v>
      </c>
    </row>
    <row r="5801" spans="9:9" x14ac:dyDescent="0.2">
      <c r="I5801" s="137" t="s">
        <v>74</v>
      </c>
    </row>
    <row r="5802" spans="9:9" x14ac:dyDescent="0.2">
      <c r="I5802" s="137" t="s">
        <v>74</v>
      </c>
    </row>
    <row r="5803" spans="9:9" x14ac:dyDescent="0.2">
      <c r="I5803" s="137" t="s">
        <v>74</v>
      </c>
    </row>
    <row r="5804" spans="9:9" x14ac:dyDescent="0.2">
      <c r="I5804" s="137" t="s">
        <v>74</v>
      </c>
    </row>
    <row r="5805" spans="9:9" x14ac:dyDescent="0.2">
      <c r="I5805" s="137" t="s">
        <v>74</v>
      </c>
    </row>
    <row r="5806" spans="9:9" x14ac:dyDescent="0.2">
      <c r="I5806" s="137" t="s">
        <v>74</v>
      </c>
    </row>
    <row r="5807" spans="9:9" x14ac:dyDescent="0.2">
      <c r="I5807" s="137" t="s">
        <v>74</v>
      </c>
    </row>
    <row r="5808" spans="9:9" x14ac:dyDescent="0.2">
      <c r="I5808" s="137" t="s">
        <v>74</v>
      </c>
    </row>
    <row r="5809" spans="9:9" x14ac:dyDescent="0.2">
      <c r="I5809" s="137" t="s">
        <v>74</v>
      </c>
    </row>
    <row r="5810" spans="9:9" x14ac:dyDescent="0.2">
      <c r="I5810" s="137" t="s">
        <v>74</v>
      </c>
    </row>
    <row r="5811" spans="9:9" x14ac:dyDescent="0.2">
      <c r="I5811" s="137" t="s">
        <v>74</v>
      </c>
    </row>
    <row r="5812" spans="9:9" x14ac:dyDescent="0.2">
      <c r="I5812" s="137" t="s">
        <v>74</v>
      </c>
    </row>
    <row r="5813" spans="9:9" x14ac:dyDescent="0.2">
      <c r="I5813" s="137" t="s">
        <v>74</v>
      </c>
    </row>
    <row r="5814" spans="9:9" x14ac:dyDescent="0.2">
      <c r="I5814" s="137" t="s">
        <v>74</v>
      </c>
    </row>
    <row r="5815" spans="9:9" x14ac:dyDescent="0.2">
      <c r="I5815" s="137" t="s">
        <v>74</v>
      </c>
    </row>
    <row r="5816" spans="9:9" x14ac:dyDescent="0.2">
      <c r="I5816" s="137" t="s">
        <v>74</v>
      </c>
    </row>
    <row r="5817" spans="9:9" x14ac:dyDescent="0.2">
      <c r="I5817" s="137" t="s">
        <v>74</v>
      </c>
    </row>
    <row r="5818" spans="9:9" x14ac:dyDescent="0.2">
      <c r="I5818" s="137" t="s">
        <v>74</v>
      </c>
    </row>
    <row r="5819" spans="9:9" x14ac:dyDescent="0.2">
      <c r="I5819" s="137" t="s">
        <v>74</v>
      </c>
    </row>
    <row r="5820" spans="9:9" x14ac:dyDescent="0.2">
      <c r="I5820" s="137" t="s">
        <v>74</v>
      </c>
    </row>
    <row r="5821" spans="9:9" x14ac:dyDescent="0.2">
      <c r="I5821" s="137" t="s">
        <v>74</v>
      </c>
    </row>
    <row r="5822" spans="9:9" x14ac:dyDescent="0.2">
      <c r="I5822" s="137" t="s">
        <v>74</v>
      </c>
    </row>
    <row r="5823" spans="9:9" x14ac:dyDescent="0.2">
      <c r="I5823" s="137" t="s">
        <v>74</v>
      </c>
    </row>
    <row r="5824" spans="9:9" x14ac:dyDescent="0.2">
      <c r="I5824" s="137" t="s">
        <v>74</v>
      </c>
    </row>
    <row r="5825" spans="9:9" x14ac:dyDescent="0.2">
      <c r="I5825" s="137" t="s">
        <v>74</v>
      </c>
    </row>
    <row r="5826" spans="9:9" x14ac:dyDescent="0.2">
      <c r="I5826" s="137" t="s">
        <v>74</v>
      </c>
    </row>
    <row r="5827" spans="9:9" x14ac:dyDescent="0.2">
      <c r="I5827" s="137" t="s">
        <v>74</v>
      </c>
    </row>
    <row r="5828" spans="9:9" x14ac:dyDescent="0.2">
      <c r="I5828" s="137" t="s">
        <v>74</v>
      </c>
    </row>
    <row r="5829" spans="9:9" x14ac:dyDescent="0.2">
      <c r="I5829" s="137" t="s">
        <v>74</v>
      </c>
    </row>
    <row r="5830" spans="9:9" x14ac:dyDescent="0.2">
      <c r="I5830" s="137" t="s">
        <v>74</v>
      </c>
    </row>
    <row r="5831" spans="9:9" x14ac:dyDescent="0.2">
      <c r="I5831" s="137" t="s">
        <v>74</v>
      </c>
    </row>
    <row r="5832" spans="9:9" x14ac:dyDescent="0.2">
      <c r="I5832" s="137" t="s">
        <v>74</v>
      </c>
    </row>
    <row r="5833" spans="9:9" x14ac:dyDescent="0.2">
      <c r="I5833" s="137" t="s">
        <v>74</v>
      </c>
    </row>
    <row r="5834" spans="9:9" x14ac:dyDescent="0.2">
      <c r="I5834" s="137" t="s">
        <v>74</v>
      </c>
    </row>
    <row r="5835" spans="9:9" x14ac:dyDescent="0.2">
      <c r="I5835" s="137" t="s">
        <v>74</v>
      </c>
    </row>
    <row r="5836" spans="9:9" x14ac:dyDescent="0.2">
      <c r="I5836" s="137" t="s">
        <v>74</v>
      </c>
    </row>
    <row r="5837" spans="9:9" x14ac:dyDescent="0.2">
      <c r="I5837" s="137" t="s">
        <v>74</v>
      </c>
    </row>
    <row r="5838" spans="9:9" x14ac:dyDescent="0.2">
      <c r="I5838" s="137" t="s">
        <v>74</v>
      </c>
    </row>
    <row r="5839" spans="9:9" x14ac:dyDescent="0.2">
      <c r="I5839" s="137" t="s">
        <v>74</v>
      </c>
    </row>
    <row r="5840" spans="9:9" x14ac:dyDescent="0.2">
      <c r="I5840" s="137" t="s">
        <v>74</v>
      </c>
    </row>
    <row r="5841" spans="9:9" x14ac:dyDescent="0.2">
      <c r="I5841" s="137" t="s">
        <v>74</v>
      </c>
    </row>
    <row r="5842" spans="9:9" x14ac:dyDescent="0.2">
      <c r="I5842" s="137" t="s">
        <v>74</v>
      </c>
    </row>
    <row r="5843" spans="9:9" x14ac:dyDescent="0.2">
      <c r="I5843" s="137" t="s">
        <v>74</v>
      </c>
    </row>
    <row r="5844" spans="9:9" x14ac:dyDescent="0.2">
      <c r="I5844" s="137" t="s">
        <v>74</v>
      </c>
    </row>
    <row r="5845" spans="9:9" x14ac:dyDescent="0.2">
      <c r="I5845" s="137" t="s">
        <v>74</v>
      </c>
    </row>
    <row r="5846" spans="9:9" x14ac:dyDescent="0.2">
      <c r="I5846" s="137" t="s">
        <v>74</v>
      </c>
    </row>
    <row r="5847" spans="9:9" x14ac:dyDescent="0.2">
      <c r="I5847" s="137" t="s">
        <v>74</v>
      </c>
    </row>
    <row r="5848" spans="9:9" x14ac:dyDescent="0.2">
      <c r="I5848" s="137" t="s">
        <v>74</v>
      </c>
    </row>
    <row r="5849" spans="9:9" x14ac:dyDescent="0.2">
      <c r="I5849" s="137" t="s">
        <v>74</v>
      </c>
    </row>
    <row r="5850" spans="9:9" x14ac:dyDescent="0.2">
      <c r="I5850" s="137" t="s">
        <v>74</v>
      </c>
    </row>
    <row r="5851" spans="9:9" x14ac:dyDescent="0.2">
      <c r="I5851" s="137" t="s">
        <v>74</v>
      </c>
    </row>
    <row r="5852" spans="9:9" x14ac:dyDescent="0.2">
      <c r="I5852" s="137" t="s">
        <v>74</v>
      </c>
    </row>
    <row r="5853" spans="9:9" x14ac:dyDescent="0.2">
      <c r="I5853" s="137" t="s">
        <v>74</v>
      </c>
    </row>
    <row r="5854" spans="9:9" x14ac:dyDescent="0.2">
      <c r="I5854" s="137" t="s">
        <v>74</v>
      </c>
    </row>
    <row r="5855" spans="9:9" x14ac:dyDescent="0.2">
      <c r="I5855" s="137" t="s">
        <v>74</v>
      </c>
    </row>
    <row r="5856" spans="9:9" x14ac:dyDescent="0.2">
      <c r="I5856" s="137" t="s">
        <v>74</v>
      </c>
    </row>
    <row r="5857" spans="9:9" x14ac:dyDescent="0.2">
      <c r="I5857" s="137" t="s">
        <v>74</v>
      </c>
    </row>
    <row r="5858" spans="9:9" x14ac:dyDescent="0.2">
      <c r="I5858" s="137" t="s">
        <v>74</v>
      </c>
    </row>
    <row r="5859" spans="9:9" x14ac:dyDescent="0.2">
      <c r="I5859" s="137" t="s">
        <v>74</v>
      </c>
    </row>
    <row r="5860" spans="9:9" x14ac:dyDescent="0.2">
      <c r="I5860" s="137" t="s">
        <v>74</v>
      </c>
    </row>
    <row r="5861" spans="9:9" x14ac:dyDescent="0.2">
      <c r="I5861" s="137" t="s">
        <v>74</v>
      </c>
    </row>
    <row r="5862" spans="9:9" x14ac:dyDescent="0.2">
      <c r="I5862" s="137" t="s">
        <v>74</v>
      </c>
    </row>
    <row r="5863" spans="9:9" x14ac:dyDescent="0.2">
      <c r="I5863" s="137" t="s">
        <v>74</v>
      </c>
    </row>
    <row r="5864" spans="9:9" x14ac:dyDescent="0.2">
      <c r="I5864" s="137" t="s">
        <v>74</v>
      </c>
    </row>
    <row r="5865" spans="9:9" x14ac:dyDescent="0.2">
      <c r="I5865" s="137" t="s">
        <v>74</v>
      </c>
    </row>
    <row r="5866" spans="9:9" x14ac:dyDescent="0.2">
      <c r="I5866" s="137" t="s">
        <v>74</v>
      </c>
    </row>
    <row r="5867" spans="9:9" x14ac:dyDescent="0.2">
      <c r="I5867" s="137" t="s">
        <v>74</v>
      </c>
    </row>
    <row r="5868" spans="9:9" x14ac:dyDescent="0.2">
      <c r="I5868" s="137" t="s">
        <v>74</v>
      </c>
    </row>
    <row r="5869" spans="9:9" x14ac:dyDescent="0.2">
      <c r="I5869" s="137" t="s">
        <v>74</v>
      </c>
    </row>
    <row r="5870" spans="9:9" x14ac:dyDescent="0.2">
      <c r="I5870" s="137" t="s">
        <v>74</v>
      </c>
    </row>
    <row r="5871" spans="9:9" x14ac:dyDescent="0.2">
      <c r="I5871" s="137" t="s">
        <v>74</v>
      </c>
    </row>
    <row r="5872" spans="9:9" x14ac:dyDescent="0.2">
      <c r="I5872" s="137" t="s">
        <v>74</v>
      </c>
    </row>
    <row r="5873" spans="9:9" x14ac:dyDescent="0.2">
      <c r="I5873" s="137" t="s">
        <v>74</v>
      </c>
    </row>
    <row r="5874" spans="9:9" x14ac:dyDescent="0.2">
      <c r="I5874" s="137" t="s">
        <v>74</v>
      </c>
    </row>
    <row r="5875" spans="9:9" x14ac:dyDescent="0.2">
      <c r="I5875" s="137" t="s">
        <v>74</v>
      </c>
    </row>
    <row r="5876" spans="9:9" x14ac:dyDescent="0.2">
      <c r="I5876" s="137" t="s">
        <v>74</v>
      </c>
    </row>
    <row r="5877" spans="9:9" x14ac:dyDescent="0.2">
      <c r="I5877" s="137" t="s">
        <v>74</v>
      </c>
    </row>
    <row r="5878" spans="9:9" x14ac:dyDescent="0.2">
      <c r="I5878" s="137" t="s">
        <v>74</v>
      </c>
    </row>
    <row r="5879" spans="9:9" x14ac:dyDescent="0.2">
      <c r="I5879" s="137" t="s">
        <v>74</v>
      </c>
    </row>
    <row r="5880" spans="9:9" x14ac:dyDescent="0.2">
      <c r="I5880" s="137" t="s">
        <v>74</v>
      </c>
    </row>
    <row r="5881" spans="9:9" x14ac:dyDescent="0.2">
      <c r="I5881" s="137" t="s">
        <v>74</v>
      </c>
    </row>
    <row r="5882" spans="9:9" x14ac:dyDescent="0.2">
      <c r="I5882" s="137" t="s">
        <v>74</v>
      </c>
    </row>
    <row r="5883" spans="9:9" x14ac:dyDescent="0.2">
      <c r="I5883" s="137" t="s">
        <v>74</v>
      </c>
    </row>
    <row r="5884" spans="9:9" x14ac:dyDescent="0.2">
      <c r="I5884" s="137" t="s">
        <v>74</v>
      </c>
    </row>
    <row r="5885" spans="9:9" x14ac:dyDescent="0.2">
      <c r="I5885" s="137" t="s">
        <v>74</v>
      </c>
    </row>
    <row r="5886" spans="9:9" x14ac:dyDescent="0.2">
      <c r="I5886" s="137" t="s">
        <v>74</v>
      </c>
    </row>
    <row r="5887" spans="9:9" x14ac:dyDescent="0.2">
      <c r="I5887" s="137" t="s">
        <v>74</v>
      </c>
    </row>
    <row r="5888" spans="9:9" x14ac:dyDescent="0.2">
      <c r="I5888" s="137" t="s">
        <v>74</v>
      </c>
    </row>
    <row r="5889" spans="9:9" x14ac:dyDescent="0.2">
      <c r="I5889" s="137" t="s">
        <v>74</v>
      </c>
    </row>
    <row r="5890" spans="9:9" x14ac:dyDescent="0.2">
      <c r="I5890" s="137" t="s">
        <v>74</v>
      </c>
    </row>
    <row r="5891" spans="9:9" x14ac:dyDescent="0.2">
      <c r="I5891" s="137" t="s">
        <v>74</v>
      </c>
    </row>
    <row r="5892" spans="9:9" x14ac:dyDescent="0.2">
      <c r="I5892" s="137" t="s">
        <v>74</v>
      </c>
    </row>
    <row r="5893" spans="9:9" x14ac:dyDescent="0.2">
      <c r="I5893" s="137" t="s">
        <v>74</v>
      </c>
    </row>
    <row r="5894" spans="9:9" x14ac:dyDescent="0.2">
      <c r="I5894" s="137" t="s">
        <v>74</v>
      </c>
    </row>
    <row r="5895" spans="9:9" x14ac:dyDescent="0.2">
      <c r="I5895" s="137" t="s">
        <v>74</v>
      </c>
    </row>
    <row r="5896" spans="9:9" x14ac:dyDescent="0.2">
      <c r="I5896" s="137" t="s">
        <v>74</v>
      </c>
    </row>
    <row r="5897" spans="9:9" x14ac:dyDescent="0.2">
      <c r="I5897" s="137" t="s">
        <v>74</v>
      </c>
    </row>
    <row r="5898" spans="9:9" x14ac:dyDescent="0.2">
      <c r="I5898" s="137" t="s">
        <v>74</v>
      </c>
    </row>
    <row r="5899" spans="9:9" x14ac:dyDescent="0.2">
      <c r="I5899" s="137" t="s">
        <v>74</v>
      </c>
    </row>
    <row r="5900" spans="9:9" x14ac:dyDescent="0.2">
      <c r="I5900" s="137" t="s">
        <v>74</v>
      </c>
    </row>
    <row r="5901" spans="9:9" x14ac:dyDescent="0.2">
      <c r="I5901" s="137" t="s">
        <v>74</v>
      </c>
    </row>
    <row r="5902" spans="9:9" x14ac:dyDescent="0.2">
      <c r="I5902" s="137" t="s">
        <v>74</v>
      </c>
    </row>
    <row r="5903" spans="9:9" x14ac:dyDescent="0.2">
      <c r="I5903" s="137" t="s">
        <v>74</v>
      </c>
    </row>
    <row r="5904" spans="9:9" x14ac:dyDescent="0.2">
      <c r="I5904" s="137" t="s">
        <v>74</v>
      </c>
    </row>
    <row r="5905" spans="9:9" x14ac:dyDescent="0.2">
      <c r="I5905" s="137" t="s">
        <v>74</v>
      </c>
    </row>
    <row r="5906" spans="9:9" x14ac:dyDescent="0.2">
      <c r="I5906" s="137" t="s">
        <v>74</v>
      </c>
    </row>
    <row r="5907" spans="9:9" x14ac:dyDescent="0.2">
      <c r="I5907" s="137" t="s">
        <v>74</v>
      </c>
    </row>
    <row r="5908" spans="9:9" x14ac:dyDescent="0.2">
      <c r="I5908" s="137" t="s">
        <v>74</v>
      </c>
    </row>
    <row r="5909" spans="9:9" x14ac:dyDescent="0.2">
      <c r="I5909" s="137" t="s">
        <v>74</v>
      </c>
    </row>
    <row r="5910" spans="9:9" x14ac:dyDescent="0.2">
      <c r="I5910" s="137" t="s">
        <v>74</v>
      </c>
    </row>
    <row r="5911" spans="9:9" x14ac:dyDescent="0.2">
      <c r="I5911" s="137" t="s">
        <v>74</v>
      </c>
    </row>
    <row r="5912" spans="9:9" x14ac:dyDescent="0.2">
      <c r="I5912" s="137" t="s">
        <v>74</v>
      </c>
    </row>
    <row r="5913" spans="9:9" x14ac:dyDescent="0.2">
      <c r="I5913" s="137" t="s">
        <v>74</v>
      </c>
    </row>
    <row r="5914" spans="9:9" x14ac:dyDescent="0.2">
      <c r="I5914" s="137" t="s">
        <v>74</v>
      </c>
    </row>
    <row r="5915" spans="9:9" x14ac:dyDescent="0.2">
      <c r="I5915" s="137" t="s">
        <v>74</v>
      </c>
    </row>
    <row r="5916" spans="9:9" x14ac:dyDescent="0.2">
      <c r="I5916" s="137" t="s">
        <v>74</v>
      </c>
    </row>
    <row r="5917" spans="9:9" x14ac:dyDescent="0.2">
      <c r="I5917" s="137" t="s">
        <v>74</v>
      </c>
    </row>
    <row r="5918" spans="9:9" x14ac:dyDescent="0.2">
      <c r="I5918" s="137" t="s">
        <v>74</v>
      </c>
    </row>
    <row r="5919" spans="9:9" x14ac:dyDescent="0.2">
      <c r="I5919" s="137" t="s">
        <v>74</v>
      </c>
    </row>
    <row r="5920" spans="9:9" x14ac:dyDescent="0.2">
      <c r="I5920" s="137" t="s">
        <v>74</v>
      </c>
    </row>
    <row r="5921" spans="9:9" x14ac:dyDescent="0.2">
      <c r="I5921" s="137" t="s">
        <v>74</v>
      </c>
    </row>
    <row r="5922" spans="9:9" x14ac:dyDescent="0.2">
      <c r="I5922" s="137" t="s">
        <v>74</v>
      </c>
    </row>
    <row r="5923" spans="9:9" x14ac:dyDescent="0.2">
      <c r="I5923" s="137" t="s">
        <v>74</v>
      </c>
    </row>
    <row r="5924" spans="9:9" x14ac:dyDescent="0.2">
      <c r="I5924" s="137" t="s">
        <v>74</v>
      </c>
    </row>
    <row r="5925" spans="9:9" x14ac:dyDescent="0.2">
      <c r="I5925" s="137" t="s">
        <v>74</v>
      </c>
    </row>
    <row r="5926" spans="9:9" x14ac:dyDescent="0.2">
      <c r="I5926" s="137" t="s">
        <v>74</v>
      </c>
    </row>
    <row r="5927" spans="9:9" x14ac:dyDescent="0.2">
      <c r="I5927" s="137" t="s">
        <v>74</v>
      </c>
    </row>
    <row r="5928" spans="9:9" x14ac:dyDescent="0.2">
      <c r="I5928" s="137" t="s">
        <v>74</v>
      </c>
    </row>
    <row r="5929" spans="9:9" x14ac:dyDescent="0.2">
      <c r="I5929" s="137" t="s">
        <v>74</v>
      </c>
    </row>
    <row r="5930" spans="9:9" x14ac:dyDescent="0.2">
      <c r="I5930" s="137" t="s">
        <v>74</v>
      </c>
    </row>
    <row r="5931" spans="9:9" x14ac:dyDescent="0.2">
      <c r="I5931" s="137" t="s">
        <v>74</v>
      </c>
    </row>
    <row r="5932" spans="9:9" x14ac:dyDescent="0.2">
      <c r="I5932" s="137" t="s">
        <v>74</v>
      </c>
    </row>
    <row r="5933" spans="9:9" x14ac:dyDescent="0.2">
      <c r="I5933" s="137" t="s">
        <v>74</v>
      </c>
    </row>
    <row r="5934" spans="9:9" x14ac:dyDescent="0.2">
      <c r="I5934" s="137" t="s">
        <v>74</v>
      </c>
    </row>
    <row r="5935" spans="9:9" x14ac:dyDescent="0.2">
      <c r="I5935" s="137" t="s">
        <v>74</v>
      </c>
    </row>
    <row r="5936" spans="9:9" x14ac:dyDescent="0.2">
      <c r="I5936" s="137" t="s">
        <v>74</v>
      </c>
    </row>
    <row r="5937" spans="9:9" x14ac:dyDescent="0.2">
      <c r="I5937" s="137" t="s">
        <v>74</v>
      </c>
    </row>
    <row r="5938" spans="9:9" x14ac:dyDescent="0.2">
      <c r="I5938" s="137" t="s">
        <v>74</v>
      </c>
    </row>
    <row r="5939" spans="9:9" x14ac:dyDescent="0.2">
      <c r="I5939" s="137" t="s">
        <v>74</v>
      </c>
    </row>
    <row r="5940" spans="9:9" x14ac:dyDescent="0.2">
      <c r="I5940" s="137" t="s">
        <v>74</v>
      </c>
    </row>
    <row r="5941" spans="9:9" x14ac:dyDescent="0.2">
      <c r="I5941" s="137" t="s">
        <v>74</v>
      </c>
    </row>
    <row r="5942" spans="9:9" x14ac:dyDescent="0.2">
      <c r="I5942" s="137" t="s">
        <v>74</v>
      </c>
    </row>
    <row r="5943" spans="9:9" x14ac:dyDescent="0.2">
      <c r="I5943" s="137" t="s">
        <v>74</v>
      </c>
    </row>
    <row r="5944" spans="9:9" x14ac:dyDescent="0.2">
      <c r="I5944" s="137" t="s">
        <v>74</v>
      </c>
    </row>
    <row r="5945" spans="9:9" x14ac:dyDescent="0.2">
      <c r="I5945" s="137" t="s">
        <v>74</v>
      </c>
    </row>
    <row r="5946" spans="9:9" x14ac:dyDescent="0.2">
      <c r="I5946" s="137" t="s">
        <v>74</v>
      </c>
    </row>
    <row r="5947" spans="9:9" x14ac:dyDescent="0.2">
      <c r="I5947" s="137" t="s">
        <v>74</v>
      </c>
    </row>
    <row r="5948" spans="9:9" x14ac:dyDescent="0.2">
      <c r="I5948" s="137" t="s">
        <v>74</v>
      </c>
    </row>
    <row r="5949" spans="9:9" x14ac:dyDescent="0.2">
      <c r="I5949" s="137" t="s">
        <v>74</v>
      </c>
    </row>
    <row r="5950" spans="9:9" x14ac:dyDescent="0.2">
      <c r="I5950" s="137" t="s">
        <v>74</v>
      </c>
    </row>
    <row r="5951" spans="9:9" x14ac:dyDescent="0.2">
      <c r="I5951" s="137" t="s">
        <v>74</v>
      </c>
    </row>
    <row r="5952" spans="9:9" x14ac:dyDescent="0.2">
      <c r="I5952" s="137" t="s">
        <v>74</v>
      </c>
    </row>
    <row r="5953" spans="9:9" x14ac:dyDescent="0.2">
      <c r="I5953" s="137" t="s">
        <v>74</v>
      </c>
    </row>
    <row r="5954" spans="9:9" x14ac:dyDescent="0.2">
      <c r="I5954" s="137" t="s">
        <v>74</v>
      </c>
    </row>
    <row r="5955" spans="9:9" x14ac:dyDescent="0.2">
      <c r="I5955" s="137" t="s">
        <v>74</v>
      </c>
    </row>
    <row r="5956" spans="9:9" x14ac:dyDescent="0.2">
      <c r="I5956" s="137" t="s">
        <v>74</v>
      </c>
    </row>
    <row r="5957" spans="9:9" x14ac:dyDescent="0.2">
      <c r="I5957" s="137" t="s">
        <v>74</v>
      </c>
    </row>
    <row r="5958" spans="9:9" x14ac:dyDescent="0.2">
      <c r="I5958" s="137" t="s">
        <v>74</v>
      </c>
    </row>
    <row r="5959" spans="9:9" x14ac:dyDescent="0.2">
      <c r="I5959" s="137" t="s">
        <v>74</v>
      </c>
    </row>
    <row r="5960" spans="9:9" x14ac:dyDescent="0.2">
      <c r="I5960" s="137" t="s">
        <v>74</v>
      </c>
    </row>
    <row r="5961" spans="9:9" x14ac:dyDescent="0.2">
      <c r="I5961" s="137" t="s">
        <v>74</v>
      </c>
    </row>
    <row r="5962" spans="9:9" x14ac:dyDescent="0.2">
      <c r="I5962" s="137" t="s">
        <v>74</v>
      </c>
    </row>
    <row r="5963" spans="9:9" x14ac:dyDescent="0.2">
      <c r="I5963" s="137" t="s">
        <v>74</v>
      </c>
    </row>
    <row r="5964" spans="9:9" x14ac:dyDescent="0.2">
      <c r="I5964" s="137" t="s">
        <v>74</v>
      </c>
    </row>
    <row r="5965" spans="9:9" x14ac:dyDescent="0.2">
      <c r="I5965" s="137" t="s">
        <v>74</v>
      </c>
    </row>
    <row r="5966" spans="9:9" x14ac:dyDescent="0.2">
      <c r="I5966" s="137" t="s">
        <v>74</v>
      </c>
    </row>
    <row r="5967" spans="9:9" x14ac:dyDescent="0.2">
      <c r="I5967" s="137" t="s">
        <v>74</v>
      </c>
    </row>
    <row r="5968" spans="9:9" x14ac:dyDescent="0.2">
      <c r="I5968" s="137" t="s">
        <v>74</v>
      </c>
    </row>
    <row r="5969" spans="9:9" x14ac:dyDescent="0.2">
      <c r="I5969" s="137" t="s">
        <v>74</v>
      </c>
    </row>
    <row r="5970" spans="9:9" x14ac:dyDescent="0.2">
      <c r="I5970" s="137" t="s">
        <v>74</v>
      </c>
    </row>
    <row r="5971" spans="9:9" x14ac:dyDescent="0.2">
      <c r="I5971" s="137" t="s">
        <v>74</v>
      </c>
    </row>
    <row r="5972" spans="9:9" x14ac:dyDescent="0.2">
      <c r="I5972" s="137" t="s">
        <v>74</v>
      </c>
    </row>
    <row r="5973" spans="9:9" x14ac:dyDescent="0.2">
      <c r="I5973" s="137" t="s">
        <v>74</v>
      </c>
    </row>
    <row r="5974" spans="9:9" x14ac:dyDescent="0.2">
      <c r="I5974" s="137" t="s">
        <v>74</v>
      </c>
    </row>
    <row r="5975" spans="9:9" x14ac:dyDescent="0.2">
      <c r="I5975" s="137" t="s">
        <v>74</v>
      </c>
    </row>
    <row r="5976" spans="9:9" x14ac:dyDescent="0.2">
      <c r="I5976" s="137" t="s">
        <v>74</v>
      </c>
    </row>
    <row r="5977" spans="9:9" x14ac:dyDescent="0.2">
      <c r="I5977" s="137" t="s">
        <v>74</v>
      </c>
    </row>
    <row r="5978" spans="9:9" x14ac:dyDescent="0.2">
      <c r="I5978" s="137" t="s">
        <v>74</v>
      </c>
    </row>
    <row r="5979" spans="9:9" x14ac:dyDescent="0.2">
      <c r="I5979" s="137" t="s">
        <v>74</v>
      </c>
    </row>
    <row r="5980" spans="9:9" x14ac:dyDescent="0.2">
      <c r="I5980" s="137" t="s">
        <v>74</v>
      </c>
    </row>
    <row r="5981" spans="9:9" x14ac:dyDescent="0.2">
      <c r="I5981" s="137" t="s">
        <v>74</v>
      </c>
    </row>
    <row r="5982" spans="9:9" x14ac:dyDescent="0.2">
      <c r="I5982" s="137" t="s">
        <v>74</v>
      </c>
    </row>
    <row r="5983" spans="9:9" x14ac:dyDescent="0.2">
      <c r="I5983" s="137" t="s">
        <v>74</v>
      </c>
    </row>
    <row r="5984" spans="9:9" x14ac:dyDescent="0.2">
      <c r="I5984" s="137" t="s">
        <v>74</v>
      </c>
    </row>
    <row r="5985" spans="9:9" x14ac:dyDescent="0.2">
      <c r="I5985" s="137" t="s">
        <v>74</v>
      </c>
    </row>
    <row r="5986" spans="9:9" x14ac:dyDescent="0.2">
      <c r="I5986" s="137" t="s">
        <v>74</v>
      </c>
    </row>
    <row r="5987" spans="9:9" x14ac:dyDescent="0.2">
      <c r="I5987" s="137" t="s">
        <v>74</v>
      </c>
    </row>
    <row r="5988" spans="9:9" x14ac:dyDescent="0.2">
      <c r="I5988" s="137" t="s">
        <v>74</v>
      </c>
    </row>
    <row r="5989" spans="9:9" x14ac:dyDescent="0.2">
      <c r="I5989" s="137" t="s">
        <v>74</v>
      </c>
    </row>
    <row r="5990" spans="9:9" x14ac:dyDescent="0.2">
      <c r="I5990" s="137" t="s">
        <v>74</v>
      </c>
    </row>
    <row r="5991" spans="9:9" x14ac:dyDescent="0.2">
      <c r="I5991" s="137" t="s">
        <v>74</v>
      </c>
    </row>
    <row r="5992" spans="9:9" x14ac:dyDescent="0.2">
      <c r="I5992" s="137" t="s">
        <v>74</v>
      </c>
    </row>
    <row r="5993" spans="9:9" x14ac:dyDescent="0.2">
      <c r="I5993" s="137" t="s">
        <v>74</v>
      </c>
    </row>
    <row r="5994" spans="9:9" x14ac:dyDescent="0.2">
      <c r="I5994" s="137" t="s">
        <v>74</v>
      </c>
    </row>
    <row r="5995" spans="9:9" x14ac:dyDescent="0.2">
      <c r="I5995" s="137" t="s">
        <v>74</v>
      </c>
    </row>
    <row r="5996" spans="9:9" x14ac:dyDescent="0.2">
      <c r="I5996" s="137" t="s">
        <v>74</v>
      </c>
    </row>
    <row r="5997" spans="9:9" x14ac:dyDescent="0.2">
      <c r="I5997" s="137" t="s">
        <v>74</v>
      </c>
    </row>
    <row r="5998" spans="9:9" x14ac:dyDescent="0.2">
      <c r="I5998" s="137" t="s">
        <v>74</v>
      </c>
    </row>
    <row r="5999" spans="9:9" x14ac:dyDescent="0.2">
      <c r="I5999" s="137" t="s">
        <v>74</v>
      </c>
    </row>
    <row r="6000" spans="9:9" x14ac:dyDescent="0.2">
      <c r="I6000" s="137" t="s">
        <v>74</v>
      </c>
    </row>
    <row r="6001" spans="9:9" x14ac:dyDescent="0.2">
      <c r="I6001" s="137" t="s">
        <v>74</v>
      </c>
    </row>
    <row r="6002" spans="9:9" x14ac:dyDescent="0.2">
      <c r="I6002" s="137" t="s">
        <v>74</v>
      </c>
    </row>
    <row r="6003" spans="9:9" x14ac:dyDescent="0.2">
      <c r="I6003" s="137" t="s">
        <v>74</v>
      </c>
    </row>
    <row r="6004" spans="9:9" x14ac:dyDescent="0.2">
      <c r="I6004" s="137" t="s">
        <v>74</v>
      </c>
    </row>
    <row r="6005" spans="9:9" x14ac:dyDescent="0.2">
      <c r="I6005" s="137" t="s">
        <v>74</v>
      </c>
    </row>
    <row r="6006" spans="9:9" x14ac:dyDescent="0.2">
      <c r="I6006" s="137" t="s">
        <v>74</v>
      </c>
    </row>
    <row r="6007" spans="9:9" x14ac:dyDescent="0.2">
      <c r="I6007" s="137" t="s">
        <v>74</v>
      </c>
    </row>
    <row r="6008" spans="9:9" x14ac:dyDescent="0.2">
      <c r="I6008" s="137" t="s">
        <v>74</v>
      </c>
    </row>
    <row r="6009" spans="9:9" x14ac:dyDescent="0.2">
      <c r="I6009" s="137" t="s">
        <v>74</v>
      </c>
    </row>
    <row r="6010" spans="9:9" x14ac:dyDescent="0.2">
      <c r="I6010" s="137" t="s">
        <v>74</v>
      </c>
    </row>
    <row r="6011" spans="9:9" x14ac:dyDescent="0.2">
      <c r="I6011" s="137" t="s">
        <v>74</v>
      </c>
    </row>
    <row r="6012" spans="9:9" x14ac:dyDescent="0.2">
      <c r="I6012" s="137" t="s">
        <v>74</v>
      </c>
    </row>
    <row r="6013" spans="9:9" x14ac:dyDescent="0.2">
      <c r="I6013" s="137" t="s">
        <v>74</v>
      </c>
    </row>
    <row r="6014" spans="9:9" x14ac:dyDescent="0.2">
      <c r="I6014" s="137" t="s">
        <v>74</v>
      </c>
    </row>
    <row r="6015" spans="9:9" x14ac:dyDescent="0.2">
      <c r="I6015" s="137" t="s">
        <v>74</v>
      </c>
    </row>
    <row r="6016" spans="9:9" x14ac:dyDescent="0.2">
      <c r="I6016" s="137" t="s">
        <v>74</v>
      </c>
    </row>
    <row r="6017" spans="9:9" x14ac:dyDescent="0.2">
      <c r="I6017" s="137" t="s">
        <v>74</v>
      </c>
    </row>
    <row r="6018" spans="9:9" x14ac:dyDescent="0.2">
      <c r="I6018" s="137" t="s">
        <v>74</v>
      </c>
    </row>
    <row r="6019" spans="9:9" x14ac:dyDescent="0.2">
      <c r="I6019" s="137" t="s">
        <v>74</v>
      </c>
    </row>
    <row r="6020" spans="9:9" x14ac:dyDescent="0.2">
      <c r="I6020" s="137" t="s">
        <v>74</v>
      </c>
    </row>
    <row r="6021" spans="9:9" x14ac:dyDescent="0.2">
      <c r="I6021" s="137" t="s">
        <v>74</v>
      </c>
    </row>
    <row r="6022" spans="9:9" x14ac:dyDescent="0.2">
      <c r="I6022" s="137" t="s">
        <v>74</v>
      </c>
    </row>
    <row r="6023" spans="9:9" x14ac:dyDescent="0.2">
      <c r="I6023" s="137" t="s">
        <v>74</v>
      </c>
    </row>
    <row r="6024" spans="9:9" x14ac:dyDescent="0.2">
      <c r="I6024" s="137" t="s">
        <v>74</v>
      </c>
    </row>
    <row r="6025" spans="9:9" x14ac:dyDescent="0.2">
      <c r="I6025" s="137" t="s">
        <v>74</v>
      </c>
    </row>
    <row r="6026" spans="9:9" x14ac:dyDescent="0.2">
      <c r="I6026" s="137" t="s">
        <v>74</v>
      </c>
    </row>
    <row r="6027" spans="9:9" x14ac:dyDescent="0.2">
      <c r="I6027" s="137" t="s">
        <v>74</v>
      </c>
    </row>
    <row r="6028" spans="9:9" x14ac:dyDescent="0.2">
      <c r="I6028" s="137" t="s">
        <v>74</v>
      </c>
    </row>
    <row r="6029" spans="9:9" x14ac:dyDescent="0.2">
      <c r="I6029" s="137" t="s">
        <v>74</v>
      </c>
    </row>
    <row r="6030" spans="9:9" x14ac:dyDescent="0.2">
      <c r="I6030" s="137" t="s">
        <v>74</v>
      </c>
    </row>
    <row r="6031" spans="9:9" x14ac:dyDescent="0.2">
      <c r="I6031" s="137" t="s">
        <v>74</v>
      </c>
    </row>
    <row r="6032" spans="9:9" x14ac:dyDescent="0.2">
      <c r="I6032" s="137" t="s">
        <v>74</v>
      </c>
    </row>
    <row r="6033" spans="9:9" x14ac:dyDescent="0.2">
      <c r="I6033" s="137" t="s">
        <v>74</v>
      </c>
    </row>
    <row r="6034" spans="9:9" x14ac:dyDescent="0.2">
      <c r="I6034" s="137" t="s">
        <v>74</v>
      </c>
    </row>
    <row r="6035" spans="9:9" x14ac:dyDescent="0.2">
      <c r="I6035" s="137" t="s">
        <v>74</v>
      </c>
    </row>
    <row r="6036" spans="9:9" x14ac:dyDescent="0.2">
      <c r="I6036" s="137" t="s">
        <v>74</v>
      </c>
    </row>
    <row r="6037" spans="9:9" x14ac:dyDescent="0.2">
      <c r="I6037" s="137" t="s">
        <v>74</v>
      </c>
    </row>
    <row r="6038" spans="9:9" x14ac:dyDescent="0.2">
      <c r="I6038" s="137" t="s">
        <v>74</v>
      </c>
    </row>
    <row r="6039" spans="9:9" x14ac:dyDescent="0.2">
      <c r="I6039" s="137" t="s">
        <v>74</v>
      </c>
    </row>
    <row r="6040" spans="9:9" x14ac:dyDescent="0.2">
      <c r="I6040" s="137" t="s">
        <v>74</v>
      </c>
    </row>
    <row r="6041" spans="9:9" x14ac:dyDescent="0.2">
      <c r="I6041" s="137" t="s">
        <v>74</v>
      </c>
    </row>
    <row r="6042" spans="9:9" x14ac:dyDescent="0.2">
      <c r="I6042" s="137" t="s">
        <v>74</v>
      </c>
    </row>
    <row r="6043" spans="9:9" x14ac:dyDescent="0.2">
      <c r="I6043" s="137" t="s">
        <v>74</v>
      </c>
    </row>
    <row r="6044" spans="9:9" x14ac:dyDescent="0.2">
      <c r="I6044" s="137" t="s">
        <v>74</v>
      </c>
    </row>
    <row r="6045" spans="9:9" x14ac:dyDescent="0.2">
      <c r="I6045" s="137" t="s">
        <v>74</v>
      </c>
    </row>
    <row r="6046" spans="9:9" x14ac:dyDescent="0.2">
      <c r="I6046" s="137" t="s">
        <v>74</v>
      </c>
    </row>
    <row r="6047" spans="9:9" x14ac:dyDescent="0.2">
      <c r="I6047" s="137" t="s">
        <v>74</v>
      </c>
    </row>
    <row r="6048" spans="9:9" x14ac:dyDescent="0.2">
      <c r="I6048" s="137" t="s">
        <v>74</v>
      </c>
    </row>
    <row r="6049" spans="9:9" x14ac:dyDescent="0.2">
      <c r="I6049" s="137" t="s">
        <v>74</v>
      </c>
    </row>
    <row r="6050" spans="9:9" x14ac:dyDescent="0.2">
      <c r="I6050" s="137" t="s">
        <v>74</v>
      </c>
    </row>
    <row r="6051" spans="9:9" x14ac:dyDescent="0.2">
      <c r="I6051" s="137" t="s">
        <v>74</v>
      </c>
    </row>
    <row r="6052" spans="9:9" x14ac:dyDescent="0.2">
      <c r="I6052" s="137" t="s">
        <v>74</v>
      </c>
    </row>
    <row r="6053" spans="9:9" x14ac:dyDescent="0.2">
      <c r="I6053" s="137" t="s">
        <v>74</v>
      </c>
    </row>
    <row r="6054" spans="9:9" x14ac:dyDescent="0.2">
      <c r="I6054" s="137" t="s">
        <v>74</v>
      </c>
    </row>
    <row r="6055" spans="9:9" x14ac:dyDescent="0.2">
      <c r="I6055" s="137" t="s">
        <v>74</v>
      </c>
    </row>
    <row r="6056" spans="9:9" x14ac:dyDescent="0.2">
      <c r="I6056" s="137" t="s">
        <v>74</v>
      </c>
    </row>
    <row r="6057" spans="9:9" x14ac:dyDescent="0.2">
      <c r="I6057" s="137" t="s">
        <v>74</v>
      </c>
    </row>
    <row r="6058" spans="9:9" x14ac:dyDescent="0.2">
      <c r="I6058" s="137" t="s">
        <v>74</v>
      </c>
    </row>
    <row r="6059" spans="9:9" x14ac:dyDescent="0.2">
      <c r="I6059" s="137" t="s">
        <v>74</v>
      </c>
    </row>
    <row r="6060" spans="9:9" x14ac:dyDescent="0.2">
      <c r="I6060" s="137" t="s">
        <v>74</v>
      </c>
    </row>
    <row r="6061" spans="9:9" x14ac:dyDescent="0.2">
      <c r="I6061" s="137" t="s">
        <v>74</v>
      </c>
    </row>
    <row r="6062" spans="9:9" x14ac:dyDescent="0.2">
      <c r="I6062" s="137" t="s">
        <v>74</v>
      </c>
    </row>
    <row r="6063" spans="9:9" x14ac:dyDescent="0.2">
      <c r="I6063" s="137" t="s">
        <v>74</v>
      </c>
    </row>
    <row r="6064" spans="9:9" x14ac:dyDescent="0.2">
      <c r="I6064" s="137" t="s">
        <v>74</v>
      </c>
    </row>
    <row r="6065" spans="9:9" x14ac:dyDescent="0.2">
      <c r="I6065" s="137" t="s">
        <v>74</v>
      </c>
    </row>
    <row r="6066" spans="9:9" x14ac:dyDescent="0.2">
      <c r="I6066" s="137" t="s">
        <v>74</v>
      </c>
    </row>
    <row r="6067" spans="9:9" x14ac:dyDescent="0.2">
      <c r="I6067" s="137" t="s">
        <v>74</v>
      </c>
    </row>
    <row r="6068" spans="9:9" x14ac:dyDescent="0.2">
      <c r="I6068" s="137" t="s">
        <v>74</v>
      </c>
    </row>
    <row r="6069" spans="9:9" x14ac:dyDescent="0.2">
      <c r="I6069" s="137" t="s">
        <v>74</v>
      </c>
    </row>
    <row r="6070" spans="9:9" x14ac:dyDescent="0.2">
      <c r="I6070" s="137" t="s">
        <v>74</v>
      </c>
    </row>
    <row r="6071" spans="9:9" x14ac:dyDescent="0.2">
      <c r="I6071" s="137" t="s">
        <v>74</v>
      </c>
    </row>
    <row r="6072" spans="9:9" x14ac:dyDescent="0.2">
      <c r="I6072" s="137" t="s">
        <v>74</v>
      </c>
    </row>
    <row r="6073" spans="9:9" x14ac:dyDescent="0.2">
      <c r="I6073" s="137" t="s">
        <v>74</v>
      </c>
    </row>
    <row r="6074" spans="9:9" x14ac:dyDescent="0.2">
      <c r="I6074" s="137" t="s">
        <v>74</v>
      </c>
    </row>
    <row r="6075" spans="9:9" x14ac:dyDescent="0.2">
      <c r="I6075" s="137" t="s">
        <v>74</v>
      </c>
    </row>
    <row r="6076" spans="9:9" x14ac:dyDescent="0.2">
      <c r="I6076" s="137" t="s">
        <v>74</v>
      </c>
    </row>
    <row r="6077" spans="9:9" x14ac:dyDescent="0.2">
      <c r="I6077" s="137" t="s">
        <v>74</v>
      </c>
    </row>
    <row r="6078" spans="9:9" x14ac:dyDescent="0.2">
      <c r="I6078" s="137" t="s">
        <v>74</v>
      </c>
    </row>
    <row r="6079" spans="9:9" x14ac:dyDescent="0.2">
      <c r="I6079" s="137" t="s">
        <v>74</v>
      </c>
    </row>
    <row r="6080" spans="9:9" x14ac:dyDescent="0.2">
      <c r="I6080" s="137" t="s">
        <v>74</v>
      </c>
    </row>
    <row r="6081" spans="9:9" x14ac:dyDescent="0.2">
      <c r="I6081" s="137" t="s">
        <v>74</v>
      </c>
    </row>
    <row r="6082" spans="9:9" x14ac:dyDescent="0.2">
      <c r="I6082" s="137" t="s">
        <v>74</v>
      </c>
    </row>
    <row r="6083" spans="9:9" x14ac:dyDescent="0.2">
      <c r="I6083" s="137" t="s">
        <v>74</v>
      </c>
    </row>
    <row r="6084" spans="9:9" x14ac:dyDescent="0.2">
      <c r="I6084" s="137" t="s">
        <v>74</v>
      </c>
    </row>
    <row r="6085" spans="9:9" x14ac:dyDescent="0.2">
      <c r="I6085" s="137" t="s">
        <v>74</v>
      </c>
    </row>
    <row r="6086" spans="9:9" x14ac:dyDescent="0.2">
      <c r="I6086" s="137" t="s">
        <v>74</v>
      </c>
    </row>
    <row r="6087" spans="9:9" x14ac:dyDescent="0.2">
      <c r="I6087" s="137" t="s">
        <v>74</v>
      </c>
    </row>
    <row r="6088" spans="9:9" x14ac:dyDescent="0.2">
      <c r="I6088" s="137" t="s">
        <v>74</v>
      </c>
    </row>
    <row r="6089" spans="9:9" x14ac:dyDescent="0.2">
      <c r="I6089" s="137" t="s">
        <v>74</v>
      </c>
    </row>
    <row r="6090" spans="9:9" x14ac:dyDescent="0.2">
      <c r="I6090" s="137" t="s">
        <v>74</v>
      </c>
    </row>
    <row r="6091" spans="9:9" x14ac:dyDescent="0.2">
      <c r="I6091" s="137" t="s">
        <v>74</v>
      </c>
    </row>
    <row r="6092" spans="9:9" x14ac:dyDescent="0.2">
      <c r="I6092" s="137" t="s">
        <v>74</v>
      </c>
    </row>
    <row r="6093" spans="9:9" x14ac:dyDescent="0.2">
      <c r="I6093" s="137" t="s">
        <v>74</v>
      </c>
    </row>
    <row r="6094" spans="9:9" x14ac:dyDescent="0.2">
      <c r="I6094" s="137" t="s">
        <v>74</v>
      </c>
    </row>
    <row r="6095" spans="9:9" x14ac:dyDescent="0.2">
      <c r="I6095" s="137" t="s">
        <v>74</v>
      </c>
    </row>
    <row r="6096" spans="9:9" x14ac:dyDescent="0.2">
      <c r="I6096" s="137" t="s">
        <v>74</v>
      </c>
    </row>
    <row r="6097" spans="9:9" x14ac:dyDescent="0.2">
      <c r="I6097" s="137" t="s">
        <v>74</v>
      </c>
    </row>
    <row r="6098" spans="9:9" x14ac:dyDescent="0.2">
      <c r="I6098" s="137" t="s">
        <v>74</v>
      </c>
    </row>
    <row r="6099" spans="9:9" x14ac:dyDescent="0.2">
      <c r="I6099" s="137" t="s">
        <v>74</v>
      </c>
    </row>
    <row r="6100" spans="9:9" x14ac:dyDescent="0.2">
      <c r="I6100" s="137" t="s">
        <v>74</v>
      </c>
    </row>
    <row r="6101" spans="9:9" x14ac:dyDescent="0.2">
      <c r="I6101" s="137" t="s">
        <v>74</v>
      </c>
    </row>
    <row r="6102" spans="9:9" x14ac:dyDescent="0.2">
      <c r="I6102" s="137" t="s">
        <v>74</v>
      </c>
    </row>
    <row r="6103" spans="9:9" x14ac:dyDescent="0.2">
      <c r="I6103" s="137" t="s">
        <v>74</v>
      </c>
    </row>
    <row r="6104" spans="9:9" x14ac:dyDescent="0.2">
      <c r="I6104" s="137" t="s">
        <v>74</v>
      </c>
    </row>
    <row r="6105" spans="9:9" x14ac:dyDescent="0.2">
      <c r="I6105" s="137" t="s">
        <v>74</v>
      </c>
    </row>
    <row r="6106" spans="9:9" x14ac:dyDescent="0.2">
      <c r="I6106" s="137" t="s">
        <v>74</v>
      </c>
    </row>
    <row r="6107" spans="9:9" x14ac:dyDescent="0.2">
      <c r="I6107" s="137" t="s">
        <v>74</v>
      </c>
    </row>
    <row r="6108" spans="9:9" x14ac:dyDescent="0.2">
      <c r="I6108" s="137" t="s">
        <v>74</v>
      </c>
    </row>
    <row r="6109" spans="9:9" x14ac:dyDescent="0.2">
      <c r="I6109" s="137" t="s">
        <v>74</v>
      </c>
    </row>
    <row r="6110" spans="9:9" x14ac:dyDescent="0.2">
      <c r="I6110" s="137" t="s">
        <v>74</v>
      </c>
    </row>
    <row r="6111" spans="9:9" x14ac:dyDescent="0.2">
      <c r="I6111" s="137" t="s">
        <v>74</v>
      </c>
    </row>
    <row r="6112" spans="9:9" x14ac:dyDescent="0.2">
      <c r="I6112" s="137" t="s">
        <v>74</v>
      </c>
    </row>
    <row r="6113" spans="9:9" x14ac:dyDescent="0.2">
      <c r="I6113" s="137" t="s">
        <v>74</v>
      </c>
    </row>
    <row r="6114" spans="9:9" x14ac:dyDescent="0.2">
      <c r="I6114" s="137" t="s">
        <v>74</v>
      </c>
    </row>
    <row r="6115" spans="9:9" x14ac:dyDescent="0.2">
      <c r="I6115" s="137" t="s">
        <v>74</v>
      </c>
    </row>
    <row r="6116" spans="9:9" x14ac:dyDescent="0.2">
      <c r="I6116" s="137" t="s">
        <v>74</v>
      </c>
    </row>
    <row r="6117" spans="9:9" x14ac:dyDescent="0.2">
      <c r="I6117" s="137" t="s">
        <v>74</v>
      </c>
    </row>
    <row r="6118" spans="9:9" x14ac:dyDescent="0.2">
      <c r="I6118" s="137" t="s">
        <v>74</v>
      </c>
    </row>
    <row r="6119" spans="9:9" x14ac:dyDescent="0.2">
      <c r="I6119" s="137" t="s">
        <v>74</v>
      </c>
    </row>
    <row r="6120" spans="9:9" x14ac:dyDescent="0.2">
      <c r="I6120" s="137" t="s">
        <v>74</v>
      </c>
    </row>
    <row r="6121" spans="9:9" x14ac:dyDescent="0.2">
      <c r="I6121" s="137" t="s">
        <v>74</v>
      </c>
    </row>
    <row r="6122" spans="9:9" x14ac:dyDescent="0.2">
      <c r="I6122" s="137" t="s">
        <v>74</v>
      </c>
    </row>
    <row r="6123" spans="9:9" x14ac:dyDescent="0.2">
      <c r="I6123" s="137" t="s">
        <v>74</v>
      </c>
    </row>
    <row r="6124" spans="9:9" x14ac:dyDescent="0.2">
      <c r="I6124" s="137" t="s">
        <v>74</v>
      </c>
    </row>
    <row r="6125" spans="9:9" x14ac:dyDescent="0.2">
      <c r="I6125" s="137" t="s">
        <v>74</v>
      </c>
    </row>
    <row r="6126" spans="9:9" x14ac:dyDescent="0.2">
      <c r="I6126" s="137" t="s">
        <v>74</v>
      </c>
    </row>
    <row r="6127" spans="9:9" x14ac:dyDescent="0.2">
      <c r="I6127" s="137" t="s">
        <v>74</v>
      </c>
    </row>
    <row r="6128" spans="9:9" x14ac:dyDescent="0.2">
      <c r="I6128" s="137" t="s">
        <v>74</v>
      </c>
    </row>
    <row r="6129" spans="9:9" x14ac:dyDescent="0.2">
      <c r="I6129" s="137" t="s">
        <v>74</v>
      </c>
    </row>
    <row r="6130" spans="9:9" x14ac:dyDescent="0.2">
      <c r="I6130" s="137" t="s">
        <v>74</v>
      </c>
    </row>
    <row r="6131" spans="9:9" x14ac:dyDescent="0.2">
      <c r="I6131" s="137" t="s">
        <v>74</v>
      </c>
    </row>
    <row r="6132" spans="9:9" x14ac:dyDescent="0.2">
      <c r="I6132" s="137" t="s">
        <v>74</v>
      </c>
    </row>
    <row r="6133" spans="9:9" x14ac:dyDescent="0.2">
      <c r="I6133" s="137" t="s">
        <v>74</v>
      </c>
    </row>
    <row r="6134" spans="9:9" x14ac:dyDescent="0.2">
      <c r="I6134" s="137" t="s">
        <v>74</v>
      </c>
    </row>
    <row r="6135" spans="9:9" x14ac:dyDescent="0.2">
      <c r="I6135" s="137" t="s">
        <v>74</v>
      </c>
    </row>
    <row r="6136" spans="9:9" x14ac:dyDescent="0.2">
      <c r="I6136" s="137" t="s">
        <v>74</v>
      </c>
    </row>
    <row r="6137" spans="9:9" x14ac:dyDescent="0.2">
      <c r="I6137" s="137" t="s">
        <v>74</v>
      </c>
    </row>
    <row r="6138" spans="9:9" x14ac:dyDescent="0.2">
      <c r="I6138" s="137" t="s">
        <v>74</v>
      </c>
    </row>
    <row r="6139" spans="9:9" x14ac:dyDescent="0.2">
      <c r="I6139" s="137" t="s">
        <v>74</v>
      </c>
    </row>
    <row r="6140" spans="9:9" x14ac:dyDescent="0.2">
      <c r="I6140" s="137" t="s">
        <v>74</v>
      </c>
    </row>
    <row r="6141" spans="9:9" x14ac:dyDescent="0.2">
      <c r="I6141" s="137" t="s">
        <v>74</v>
      </c>
    </row>
    <row r="6142" spans="9:9" x14ac:dyDescent="0.2">
      <c r="I6142" s="137" t="s">
        <v>74</v>
      </c>
    </row>
    <row r="6143" spans="9:9" x14ac:dyDescent="0.2">
      <c r="I6143" s="137" t="s">
        <v>74</v>
      </c>
    </row>
    <row r="6144" spans="9:9" x14ac:dyDescent="0.2">
      <c r="I6144" s="137" t="s">
        <v>74</v>
      </c>
    </row>
    <row r="6145" spans="9:9" x14ac:dyDescent="0.2">
      <c r="I6145" s="137" t="s">
        <v>74</v>
      </c>
    </row>
    <row r="6146" spans="9:9" x14ac:dyDescent="0.2">
      <c r="I6146" s="137" t="s">
        <v>74</v>
      </c>
    </row>
    <row r="6147" spans="9:9" x14ac:dyDescent="0.2">
      <c r="I6147" s="137" t="s">
        <v>74</v>
      </c>
    </row>
    <row r="6148" spans="9:9" x14ac:dyDescent="0.2">
      <c r="I6148" s="137" t="s">
        <v>74</v>
      </c>
    </row>
    <row r="6149" spans="9:9" x14ac:dyDescent="0.2">
      <c r="I6149" s="137" t="s">
        <v>74</v>
      </c>
    </row>
    <row r="6150" spans="9:9" x14ac:dyDescent="0.2">
      <c r="I6150" s="137" t="s">
        <v>74</v>
      </c>
    </row>
    <row r="6151" spans="9:9" x14ac:dyDescent="0.2">
      <c r="I6151" s="137" t="s">
        <v>74</v>
      </c>
    </row>
    <row r="6152" spans="9:9" x14ac:dyDescent="0.2">
      <c r="I6152" s="137" t="s">
        <v>74</v>
      </c>
    </row>
    <row r="6153" spans="9:9" x14ac:dyDescent="0.2">
      <c r="I6153" s="137" t="s">
        <v>74</v>
      </c>
    </row>
    <row r="6154" spans="9:9" x14ac:dyDescent="0.2">
      <c r="I6154" s="137" t="s">
        <v>74</v>
      </c>
    </row>
    <row r="6155" spans="9:9" x14ac:dyDescent="0.2">
      <c r="I6155" s="137" t="s">
        <v>74</v>
      </c>
    </row>
    <row r="6156" spans="9:9" x14ac:dyDescent="0.2">
      <c r="I6156" s="137" t="s">
        <v>74</v>
      </c>
    </row>
    <row r="6157" spans="9:9" x14ac:dyDescent="0.2">
      <c r="I6157" s="137" t="s">
        <v>74</v>
      </c>
    </row>
    <row r="6158" spans="9:9" x14ac:dyDescent="0.2">
      <c r="I6158" s="137" t="s">
        <v>74</v>
      </c>
    </row>
    <row r="6159" spans="9:9" x14ac:dyDescent="0.2">
      <c r="I6159" s="137" t="s">
        <v>74</v>
      </c>
    </row>
    <row r="6160" spans="9:9" x14ac:dyDescent="0.2">
      <c r="I6160" s="137" t="s">
        <v>74</v>
      </c>
    </row>
    <row r="6161" spans="9:9" x14ac:dyDescent="0.2">
      <c r="I6161" s="137" t="s">
        <v>74</v>
      </c>
    </row>
    <row r="6162" spans="9:9" x14ac:dyDescent="0.2">
      <c r="I6162" s="137" t="s">
        <v>74</v>
      </c>
    </row>
    <row r="6163" spans="9:9" x14ac:dyDescent="0.2">
      <c r="I6163" s="137" t="s">
        <v>74</v>
      </c>
    </row>
    <row r="6164" spans="9:9" x14ac:dyDescent="0.2">
      <c r="I6164" s="137" t="s">
        <v>74</v>
      </c>
    </row>
    <row r="6165" spans="9:9" x14ac:dyDescent="0.2">
      <c r="I6165" s="137" t="s">
        <v>74</v>
      </c>
    </row>
    <row r="6166" spans="9:9" x14ac:dyDescent="0.2">
      <c r="I6166" s="137" t="s">
        <v>74</v>
      </c>
    </row>
    <row r="6167" spans="9:9" x14ac:dyDescent="0.2">
      <c r="I6167" s="137" t="s">
        <v>74</v>
      </c>
    </row>
    <row r="6168" spans="9:9" x14ac:dyDescent="0.2">
      <c r="I6168" s="137" t="s">
        <v>74</v>
      </c>
    </row>
    <row r="6169" spans="9:9" x14ac:dyDescent="0.2">
      <c r="I6169" s="137" t="s">
        <v>74</v>
      </c>
    </row>
    <row r="6170" spans="9:9" x14ac:dyDescent="0.2">
      <c r="I6170" s="137" t="s">
        <v>74</v>
      </c>
    </row>
    <row r="6171" spans="9:9" x14ac:dyDescent="0.2">
      <c r="I6171" s="137" t="s">
        <v>74</v>
      </c>
    </row>
    <row r="6172" spans="9:9" x14ac:dyDescent="0.2">
      <c r="I6172" s="137" t="s">
        <v>74</v>
      </c>
    </row>
    <row r="6173" spans="9:9" x14ac:dyDescent="0.2">
      <c r="I6173" s="137" t="s">
        <v>74</v>
      </c>
    </row>
    <row r="6174" spans="9:9" x14ac:dyDescent="0.2">
      <c r="I6174" s="137" t="s">
        <v>74</v>
      </c>
    </row>
    <row r="6175" spans="9:9" x14ac:dyDescent="0.2">
      <c r="I6175" s="137" t="s">
        <v>74</v>
      </c>
    </row>
    <row r="6176" spans="9:9" x14ac:dyDescent="0.2">
      <c r="I6176" s="137" t="s">
        <v>74</v>
      </c>
    </row>
    <row r="6177" spans="9:9" x14ac:dyDescent="0.2">
      <c r="I6177" s="137" t="s">
        <v>74</v>
      </c>
    </row>
    <row r="6178" spans="9:9" x14ac:dyDescent="0.2">
      <c r="I6178" s="137" t="s">
        <v>74</v>
      </c>
    </row>
    <row r="6179" spans="9:9" x14ac:dyDescent="0.2">
      <c r="I6179" s="137" t="s">
        <v>74</v>
      </c>
    </row>
    <row r="6180" spans="9:9" x14ac:dyDescent="0.2">
      <c r="I6180" s="137" t="s">
        <v>74</v>
      </c>
    </row>
    <row r="6181" spans="9:9" x14ac:dyDescent="0.2">
      <c r="I6181" s="137" t="s">
        <v>74</v>
      </c>
    </row>
    <row r="6182" spans="9:9" x14ac:dyDescent="0.2">
      <c r="I6182" s="137" t="s">
        <v>74</v>
      </c>
    </row>
    <row r="6183" spans="9:9" x14ac:dyDescent="0.2">
      <c r="I6183" s="137" t="s">
        <v>74</v>
      </c>
    </row>
    <row r="6184" spans="9:9" x14ac:dyDescent="0.2">
      <c r="I6184" s="137" t="s">
        <v>74</v>
      </c>
    </row>
    <row r="6185" spans="9:9" x14ac:dyDescent="0.2">
      <c r="I6185" s="137" t="s">
        <v>74</v>
      </c>
    </row>
    <row r="6186" spans="9:9" x14ac:dyDescent="0.2">
      <c r="I6186" s="137" t="s">
        <v>74</v>
      </c>
    </row>
    <row r="6187" spans="9:9" x14ac:dyDescent="0.2">
      <c r="I6187" s="137" t="s">
        <v>74</v>
      </c>
    </row>
    <row r="6188" spans="9:9" x14ac:dyDescent="0.2">
      <c r="I6188" s="137" t="s">
        <v>74</v>
      </c>
    </row>
    <row r="6189" spans="9:9" x14ac:dyDescent="0.2">
      <c r="I6189" s="137" t="s">
        <v>74</v>
      </c>
    </row>
    <row r="6190" spans="9:9" x14ac:dyDescent="0.2">
      <c r="I6190" s="137" t="s">
        <v>74</v>
      </c>
    </row>
    <row r="6191" spans="9:9" x14ac:dyDescent="0.2">
      <c r="I6191" s="137" t="s">
        <v>74</v>
      </c>
    </row>
    <row r="6192" spans="9:9" x14ac:dyDescent="0.2">
      <c r="I6192" s="137" t="s">
        <v>74</v>
      </c>
    </row>
    <row r="6193" spans="9:9" x14ac:dyDescent="0.2">
      <c r="I6193" s="137" t="s">
        <v>74</v>
      </c>
    </row>
    <row r="6194" spans="9:9" x14ac:dyDescent="0.2">
      <c r="I6194" s="137" t="s">
        <v>74</v>
      </c>
    </row>
    <row r="6195" spans="9:9" x14ac:dyDescent="0.2">
      <c r="I6195" s="137" t="s">
        <v>74</v>
      </c>
    </row>
    <row r="6196" spans="9:9" x14ac:dyDescent="0.2">
      <c r="I6196" s="137" t="s">
        <v>74</v>
      </c>
    </row>
    <row r="6197" spans="9:9" x14ac:dyDescent="0.2">
      <c r="I6197" s="137" t="s">
        <v>74</v>
      </c>
    </row>
    <row r="6198" spans="9:9" x14ac:dyDescent="0.2">
      <c r="I6198" s="137" t="s">
        <v>74</v>
      </c>
    </row>
    <row r="6199" spans="9:9" x14ac:dyDescent="0.2">
      <c r="I6199" s="137" t="s">
        <v>74</v>
      </c>
    </row>
    <row r="6200" spans="9:9" x14ac:dyDescent="0.2">
      <c r="I6200" s="137" t="s">
        <v>74</v>
      </c>
    </row>
    <row r="6201" spans="9:9" x14ac:dyDescent="0.2">
      <c r="I6201" s="137" t="s">
        <v>74</v>
      </c>
    </row>
    <row r="6202" spans="9:9" x14ac:dyDescent="0.2">
      <c r="I6202" s="137" t="s">
        <v>74</v>
      </c>
    </row>
    <row r="6203" spans="9:9" x14ac:dyDescent="0.2">
      <c r="I6203" s="137" t="s">
        <v>74</v>
      </c>
    </row>
    <row r="6204" spans="9:9" x14ac:dyDescent="0.2">
      <c r="I6204" s="137" t="s">
        <v>74</v>
      </c>
    </row>
    <row r="6205" spans="9:9" x14ac:dyDescent="0.2">
      <c r="I6205" s="137" t="s">
        <v>74</v>
      </c>
    </row>
    <row r="6206" spans="9:9" x14ac:dyDescent="0.2">
      <c r="I6206" s="137" t="s">
        <v>74</v>
      </c>
    </row>
    <row r="6207" spans="9:9" x14ac:dyDescent="0.2">
      <c r="I6207" s="137" t="s">
        <v>74</v>
      </c>
    </row>
    <row r="6208" spans="9:9" x14ac:dyDescent="0.2">
      <c r="I6208" s="137" t="s">
        <v>74</v>
      </c>
    </row>
    <row r="6209" spans="9:9" x14ac:dyDescent="0.2">
      <c r="I6209" s="137" t="s">
        <v>74</v>
      </c>
    </row>
    <row r="6210" spans="9:9" x14ac:dyDescent="0.2">
      <c r="I6210" s="137" t="s">
        <v>74</v>
      </c>
    </row>
    <row r="6211" spans="9:9" x14ac:dyDescent="0.2">
      <c r="I6211" s="137" t="s">
        <v>74</v>
      </c>
    </row>
    <row r="6212" spans="9:9" x14ac:dyDescent="0.2">
      <c r="I6212" s="137" t="s">
        <v>74</v>
      </c>
    </row>
    <row r="6213" spans="9:9" x14ac:dyDescent="0.2">
      <c r="I6213" s="137" t="s">
        <v>74</v>
      </c>
    </row>
    <row r="6214" spans="9:9" x14ac:dyDescent="0.2">
      <c r="I6214" s="137" t="s">
        <v>74</v>
      </c>
    </row>
    <row r="6215" spans="9:9" x14ac:dyDescent="0.2">
      <c r="I6215" s="137" t="s">
        <v>74</v>
      </c>
    </row>
    <row r="6216" spans="9:9" x14ac:dyDescent="0.2">
      <c r="I6216" s="137" t="s">
        <v>74</v>
      </c>
    </row>
    <row r="6217" spans="9:9" x14ac:dyDescent="0.2">
      <c r="I6217" s="137" t="s">
        <v>74</v>
      </c>
    </row>
    <row r="6218" spans="9:9" x14ac:dyDescent="0.2">
      <c r="I6218" s="137" t="s">
        <v>74</v>
      </c>
    </row>
    <row r="6219" spans="9:9" x14ac:dyDescent="0.2">
      <c r="I6219" s="137" t="s">
        <v>74</v>
      </c>
    </row>
    <row r="6220" spans="9:9" x14ac:dyDescent="0.2">
      <c r="I6220" s="137" t="s">
        <v>74</v>
      </c>
    </row>
    <row r="6221" spans="9:9" x14ac:dyDescent="0.2">
      <c r="I6221" s="137" t="s">
        <v>74</v>
      </c>
    </row>
    <row r="6222" spans="9:9" x14ac:dyDescent="0.2">
      <c r="I6222" s="137" t="s">
        <v>74</v>
      </c>
    </row>
    <row r="6223" spans="9:9" x14ac:dyDescent="0.2">
      <c r="I6223" s="137" t="s">
        <v>74</v>
      </c>
    </row>
    <row r="6224" spans="9:9" x14ac:dyDescent="0.2">
      <c r="I6224" s="137" t="s">
        <v>74</v>
      </c>
    </row>
    <row r="6225" spans="9:9" x14ac:dyDescent="0.2">
      <c r="I6225" s="137" t="s">
        <v>74</v>
      </c>
    </row>
    <row r="6226" spans="9:9" x14ac:dyDescent="0.2">
      <c r="I6226" s="137" t="s">
        <v>74</v>
      </c>
    </row>
    <row r="6227" spans="9:9" x14ac:dyDescent="0.2">
      <c r="I6227" s="137" t="s">
        <v>74</v>
      </c>
    </row>
    <row r="6228" spans="9:9" x14ac:dyDescent="0.2">
      <c r="I6228" s="137" t="s">
        <v>74</v>
      </c>
    </row>
    <row r="6229" spans="9:9" x14ac:dyDescent="0.2">
      <c r="I6229" s="137" t="s">
        <v>74</v>
      </c>
    </row>
    <row r="6230" spans="9:9" x14ac:dyDescent="0.2">
      <c r="I6230" s="137" t="s">
        <v>74</v>
      </c>
    </row>
    <row r="6231" spans="9:9" x14ac:dyDescent="0.2">
      <c r="I6231" s="137" t="s">
        <v>74</v>
      </c>
    </row>
    <row r="6232" spans="9:9" x14ac:dyDescent="0.2">
      <c r="I6232" s="137" t="s">
        <v>74</v>
      </c>
    </row>
    <row r="6233" spans="9:9" x14ac:dyDescent="0.2">
      <c r="I6233" s="137" t="s">
        <v>74</v>
      </c>
    </row>
    <row r="6234" spans="9:9" x14ac:dyDescent="0.2">
      <c r="I6234" s="137" t="s">
        <v>74</v>
      </c>
    </row>
    <row r="6235" spans="9:9" x14ac:dyDescent="0.2">
      <c r="I6235" s="137" t="s">
        <v>74</v>
      </c>
    </row>
    <row r="6236" spans="9:9" x14ac:dyDescent="0.2">
      <c r="I6236" s="137" t="s">
        <v>74</v>
      </c>
    </row>
    <row r="6237" spans="9:9" x14ac:dyDescent="0.2">
      <c r="I6237" s="137" t="s">
        <v>74</v>
      </c>
    </row>
    <row r="6238" spans="9:9" x14ac:dyDescent="0.2">
      <c r="I6238" s="137" t="s">
        <v>74</v>
      </c>
    </row>
    <row r="6239" spans="9:9" x14ac:dyDescent="0.2">
      <c r="I6239" s="137" t="s">
        <v>74</v>
      </c>
    </row>
    <row r="6240" spans="9:9" x14ac:dyDescent="0.2">
      <c r="I6240" s="137" t="s">
        <v>74</v>
      </c>
    </row>
    <row r="6241" spans="9:9" x14ac:dyDescent="0.2">
      <c r="I6241" s="137" t="s">
        <v>74</v>
      </c>
    </row>
    <row r="6242" spans="9:9" x14ac:dyDescent="0.2">
      <c r="I6242" s="137" t="s">
        <v>74</v>
      </c>
    </row>
    <row r="6243" spans="9:9" x14ac:dyDescent="0.2">
      <c r="I6243" s="137" t="s">
        <v>74</v>
      </c>
    </row>
    <row r="6244" spans="9:9" x14ac:dyDescent="0.2">
      <c r="I6244" s="137" t="s">
        <v>74</v>
      </c>
    </row>
    <row r="6245" spans="9:9" x14ac:dyDescent="0.2">
      <c r="I6245" s="137" t="s">
        <v>74</v>
      </c>
    </row>
    <row r="6246" spans="9:9" x14ac:dyDescent="0.2">
      <c r="I6246" s="137" t="s">
        <v>74</v>
      </c>
    </row>
    <row r="6247" spans="9:9" x14ac:dyDescent="0.2">
      <c r="I6247" s="137" t="s">
        <v>74</v>
      </c>
    </row>
    <row r="6248" spans="9:9" x14ac:dyDescent="0.2">
      <c r="I6248" s="137" t="s">
        <v>74</v>
      </c>
    </row>
    <row r="6249" spans="9:9" x14ac:dyDescent="0.2">
      <c r="I6249" s="137" t="s">
        <v>74</v>
      </c>
    </row>
    <row r="6250" spans="9:9" x14ac:dyDescent="0.2">
      <c r="I6250" s="137" t="s">
        <v>74</v>
      </c>
    </row>
    <row r="6251" spans="9:9" x14ac:dyDescent="0.2">
      <c r="I6251" s="137" t="s">
        <v>74</v>
      </c>
    </row>
    <row r="6252" spans="9:9" x14ac:dyDescent="0.2">
      <c r="I6252" s="137" t="s">
        <v>74</v>
      </c>
    </row>
    <row r="6253" spans="9:9" x14ac:dyDescent="0.2">
      <c r="I6253" s="137" t="s">
        <v>74</v>
      </c>
    </row>
    <row r="6254" spans="9:9" x14ac:dyDescent="0.2">
      <c r="I6254" s="137" t="s">
        <v>74</v>
      </c>
    </row>
    <row r="6255" spans="9:9" x14ac:dyDescent="0.2">
      <c r="I6255" s="137" t="s">
        <v>74</v>
      </c>
    </row>
    <row r="6256" spans="9:9" x14ac:dyDescent="0.2">
      <c r="I6256" s="137" t="s">
        <v>74</v>
      </c>
    </row>
    <row r="6257" spans="9:9" x14ac:dyDescent="0.2">
      <c r="I6257" s="137" t="s">
        <v>74</v>
      </c>
    </row>
    <row r="6258" spans="9:9" x14ac:dyDescent="0.2">
      <c r="I6258" s="137" t="s">
        <v>74</v>
      </c>
    </row>
    <row r="6259" spans="9:9" x14ac:dyDescent="0.2">
      <c r="I6259" s="137" t="s">
        <v>74</v>
      </c>
    </row>
    <row r="6260" spans="9:9" x14ac:dyDescent="0.2">
      <c r="I6260" s="137" t="s">
        <v>74</v>
      </c>
    </row>
    <row r="6261" spans="9:9" x14ac:dyDescent="0.2">
      <c r="I6261" s="137" t="s">
        <v>74</v>
      </c>
    </row>
    <row r="6262" spans="9:9" x14ac:dyDescent="0.2">
      <c r="I6262" s="137" t="s">
        <v>74</v>
      </c>
    </row>
    <row r="6263" spans="9:9" x14ac:dyDescent="0.2">
      <c r="I6263" s="137" t="s">
        <v>74</v>
      </c>
    </row>
    <row r="6264" spans="9:9" x14ac:dyDescent="0.2">
      <c r="I6264" s="137" t="s">
        <v>74</v>
      </c>
    </row>
    <row r="6265" spans="9:9" x14ac:dyDescent="0.2">
      <c r="I6265" s="137" t="s">
        <v>74</v>
      </c>
    </row>
    <row r="6266" spans="9:9" x14ac:dyDescent="0.2">
      <c r="I6266" s="137" t="s">
        <v>74</v>
      </c>
    </row>
    <row r="6267" spans="9:9" x14ac:dyDescent="0.2">
      <c r="I6267" s="137" t="s">
        <v>74</v>
      </c>
    </row>
    <row r="6268" spans="9:9" x14ac:dyDescent="0.2">
      <c r="I6268" s="137" t="s">
        <v>74</v>
      </c>
    </row>
    <row r="6269" spans="9:9" x14ac:dyDescent="0.2">
      <c r="I6269" s="137" t="s">
        <v>74</v>
      </c>
    </row>
    <row r="6270" spans="9:9" x14ac:dyDescent="0.2">
      <c r="I6270" s="137" t="s">
        <v>74</v>
      </c>
    </row>
    <row r="6271" spans="9:9" x14ac:dyDescent="0.2">
      <c r="I6271" s="137" t="s">
        <v>74</v>
      </c>
    </row>
    <row r="6272" spans="9:9" x14ac:dyDescent="0.2">
      <c r="I6272" s="137" t="s">
        <v>74</v>
      </c>
    </row>
    <row r="6273" spans="9:9" x14ac:dyDescent="0.2">
      <c r="I6273" s="137" t="s">
        <v>74</v>
      </c>
    </row>
    <row r="6274" spans="9:9" x14ac:dyDescent="0.2">
      <c r="I6274" s="137" t="s">
        <v>74</v>
      </c>
    </row>
    <row r="6275" spans="9:9" x14ac:dyDescent="0.2">
      <c r="I6275" s="137" t="s">
        <v>74</v>
      </c>
    </row>
    <row r="6276" spans="9:9" x14ac:dyDescent="0.2">
      <c r="I6276" s="137" t="s">
        <v>74</v>
      </c>
    </row>
    <row r="6277" spans="9:9" x14ac:dyDescent="0.2">
      <c r="I6277" s="137" t="s">
        <v>74</v>
      </c>
    </row>
    <row r="6278" spans="9:9" x14ac:dyDescent="0.2">
      <c r="I6278" s="137" t="s">
        <v>74</v>
      </c>
    </row>
    <row r="6279" spans="9:9" x14ac:dyDescent="0.2">
      <c r="I6279" s="137" t="s">
        <v>74</v>
      </c>
    </row>
    <row r="6280" spans="9:9" x14ac:dyDescent="0.2">
      <c r="I6280" s="137" t="s">
        <v>74</v>
      </c>
    </row>
    <row r="6281" spans="9:9" x14ac:dyDescent="0.2">
      <c r="I6281" s="137" t="s">
        <v>74</v>
      </c>
    </row>
    <row r="6282" spans="9:9" x14ac:dyDescent="0.2">
      <c r="I6282" s="137" t="s">
        <v>74</v>
      </c>
    </row>
    <row r="6283" spans="9:9" x14ac:dyDescent="0.2">
      <c r="I6283" s="137" t="s">
        <v>74</v>
      </c>
    </row>
    <row r="6284" spans="9:9" x14ac:dyDescent="0.2">
      <c r="I6284" s="137" t="s">
        <v>74</v>
      </c>
    </row>
    <row r="6285" spans="9:9" x14ac:dyDescent="0.2">
      <c r="I6285" s="137" t="s">
        <v>74</v>
      </c>
    </row>
    <row r="6286" spans="9:9" x14ac:dyDescent="0.2">
      <c r="I6286" s="137" t="s">
        <v>74</v>
      </c>
    </row>
    <row r="6287" spans="9:9" x14ac:dyDescent="0.2">
      <c r="I6287" s="137" t="s">
        <v>74</v>
      </c>
    </row>
    <row r="6288" spans="9:9" x14ac:dyDescent="0.2">
      <c r="I6288" s="137" t="s">
        <v>74</v>
      </c>
    </row>
    <row r="6289" spans="9:9" x14ac:dyDescent="0.2">
      <c r="I6289" s="137" t="s">
        <v>74</v>
      </c>
    </row>
    <row r="6290" spans="9:9" x14ac:dyDescent="0.2">
      <c r="I6290" s="137" t="s">
        <v>74</v>
      </c>
    </row>
    <row r="6291" spans="9:9" x14ac:dyDescent="0.2">
      <c r="I6291" s="137" t="s">
        <v>74</v>
      </c>
    </row>
    <row r="6292" spans="9:9" x14ac:dyDescent="0.2">
      <c r="I6292" s="137" t="s">
        <v>74</v>
      </c>
    </row>
    <row r="6293" spans="9:9" x14ac:dyDescent="0.2">
      <c r="I6293" s="137" t="s">
        <v>74</v>
      </c>
    </row>
    <row r="6294" spans="9:9" x14ac:dyDescent="0.2">
      <c r="I6294" s="137" t="s">
        <v>74</v>
      </c>
    </row>
    <row r="6295" spans="9:9" x14ac:dyDescent="0.2">
      <c r="I6295" s="137" t="s">
        <v>74</v>
      </c>
    </row>
    <row r="6296" spans="9:9" x14ac:dyDescent="0.2">
      <c r="I6296" s="137" t="s">
        <v>74</v>
      </c>
    </row>
    <row r="6297" spans="9:9" x14ac:dyDescent="0.2">
      <c r="I6297" s="137" t="s">
        <v>74</v>
      </c>
    </row>
    <row r="6298" spans="9:9" x14ac:dyDescent="0.2">
      <c r="I6298" s="137" t="s">
        <v>74</v>
      </c>
    </row>
    <row r="6299" spans="9:9" x14ac:dyDescent="0.2">
      <c r="I6299" s="137" t="s">
        <v>74</v>
      </c>
    </row>
    <row r="6300" spans="9:9" x14ac:dyDescent="0.2">
      <c r="I6300" s="137" t="s">
        <v>74</v>
      </c>
    </row>
    <row r="6301" spans="9:9" x14ac:dyDescent="0.2">
      <c r="I6301" s="137" t="s">
        <v>74</v>
      </c>
    </row>
    <row r="6302" spans="9:9" x14ac:dyDescent="0.2">
      <c r="I6302" s="137" t="s">
        <v>74</v>
      </c>
    </row>
    <row r="6303" spans="9:9" x14ac:dyDescent="0.2">
      <c r="I6303" s="137" t="s">
        <v>74</v>
      </c>
    </row>
    <row r="6304" spans="9:9" x14ac:dyDescent="0.2">
      <c r="I6304" s="137" t="s">
        <v>74</v>
      </c>
    </row>
    <row r="6305" spans="9:9" x14ac:dyDescent="0.2">
      <c r="I6305" s="137" t="s">
        <v>74</v>
      </c>
    </row>
    <row r="6306" spans="9:9" x14ac:dyDescent="0.2">
      <c r="I6306" s="137" t="s">
        <v>74</v>
      </c>
    </row>
    <row r="6307" spans="9:9" x14ac:dyDescent="0.2">
      <c r="I6307" s="137" t="s">
        <v>74</v>
      </c>
    </row>
    <row r="6308" spans="9:9" x14ac:dyDescent="0.2">
      <c r="I6308" s="137" t="s">
        <v>74</v>
      </c>
    </row>
    <row r="6309" spans="9:9" x14ac:dyDescent="0.2">
      <c r="I6309" s="137" t="s">
        <v>74</v>
      </c>
    </row>
    <row r="6310" spans="9:9" x14ac:dyDescent="0.2">
      <c r="I6310" s="137" t="s">
        <v>74</v>
      </c>
    </row>
    <row r="6311" spans="9:9" x14ac:dyDescent="0.2">
      <c r="I6311" s="137" t="s">
        <v>74</v>
      </c>
    </row>
    <row r="6312" spans="9:9" x14ac:dyDescent="0.2">
      <c r="I6312" s="137" t="s">
        <v>74</v>
      </c>
    </row>
    <row r="6313" spans="9:9" x14ac:dyDescent="0.2">
      <c r="I6313" s="137" t="s">
        <v>74</v>
      </c>
    </row>
    <row r="6314" spans="9:9" x14ac:dyDescent="0.2">
      <c r="I6314" s="137" t="s">
        <v>74</v>
      </c>
    </row>
    <row r="6315" spans="9:9" x14ac:dyDescent="0.2">
      <c r="I6315" s="137" t="s">
        <v>74</v>
      </c>
    </row>
    <row r="6316" spans="9:9" x14ac:dyDescent="0.2">
      <c r="I6316" s="137" t="s">
        <v>74</v>
      </c>
    </row>
    <row r="6317" spans="9:9" x14ac:dyDescent="0.2">
      <c r="I6317" s="137" t="s">
        <v>74</v>
      </c>
    </row>
    <row r="6318" spans="9:9" x14ac:dyDescent="0.2">
      <c r="I6318" s="137" t="s">
        <v>74</v>
      </c>
    </row>
    <row r="6319" spans="9:9" x14ac:dyDescent="0.2">
      <c r="I6319" s="137" t="s">
        <v>74</v>
      </c>
    </row>
    <row r="6320" spans="9:9" x14ac:dyDescent="0.2">
      <c r="I6320" s="137" t="s">
        <v>74</v>
      </c>
    </row>
    <row r="6321" spans="9:9" x14ac:dyDescent="0.2">
      <c r="I6321" s="137" t="s">
        <v>74</v>
      </c>
    </row>
    <row r="6322" spans="9:9" x14ac:dyDescent="0.2">
      <c r="I6322" s="137" t="s">
        <v>74</v>
      </c>
    </row>
    <row r="6323" spans="9:9" x14ac:dyDescent="0.2">
      <c r="I6323" s="137" t="s">
        <v>74</v>
      </c>
    </row>
    <row r="6324" spans="9:9" x14ac:dyDescent="0.2">
      <c r="I6324" s="137" t="s">
        <v>74</v>
      </c>
    </row>
    <row r="6325" spans="9:9" x14ac:dyDescent="0.2">
      <c r="I6325" s="137" t="s">
        <v>74</v>
      </c>
    </row>
    <row r="6326" spans="9:9" x14ac:dyDescent="0.2">
      <c r="I6326" s="137" t="s">
        <v>74</v>
      </c>
    </row>
    <row r="6327" spans="9:9" x14ac:dyDescent="0.2">
      <c r="I6327" s="137" t="s">
        <v>74</v>
      </c>
    </row>
    <row r="6328" spans="9:9" x14ac:dyDescent="0.2">
      <c r="I6328" s="137" t="s">
        <v>74</v>
      </c>
    </row>
    <row r="6329" spans="9:9" x14ac:dyDescent="0.2">
      <c r="I6329" s="137" t="s">
        <v>74</v>
      </c>
    </row>
    <row r="6330" spans="9:9" x14ac:dyDescent="0.2">
      <c r="I6330" s="137" t="s">
        <v>74</v>
      </c>
    </row>
    <row r="6331" spans="9:9" x14ac:dyDescent="0.2">
      <c r="I6331" s="137" t="s">
        <v>74</v>
      </c>
    </row>
    <row r="6332" spans="9:9" x14ac:dyDescent="0.2">
      <c r="I6332" s="137" t="s">
        <v>74</v>
      </c>
    </row>
    <row r="6333" spans="9:9" x14ac:dyDescent="0.2">
      <c r="I6333" s="137" t="s">
        <v>74</v>
      </c>
    </row>
    <row r="6334" spans="9:9" x14ac:dyDescent="0.2">
      <c r="I6334" s="137" t="s">
        <v>74</v>
      </c>
    </row>
    <row r="6335" spans="9:9" x14ac:dyDescent="0.2">
      <c r="I6335" s="137" t="s">
        <v>74</v>
      </c>
    </row>
    <row r="6336" spans="9:9" x14ac:dyDescent="0.2">
      <c r="I6336" s="137" t="s">
        <v>74</v>
      </c>
    </row>
    <row r="6337" spans="9:9" x14ac:dyDescent="0.2">
      <c r="I6337" s="137" t="s">
        <v>74</v>
      </c>
    </row>
    <row r="6338" spans="9:9" x14ac:dyDescent="0.2">
      <c r="I6338" s="137" t="s">
        <v>74</v>
      </c>
    </row>
    <row r="6339" spans="9:9" x14ac:dyDescent="0.2">
      <c r="I6339" s="137" t="s">
        <v>74</v>
      </c>
    </row>
    <row r="6340" spans="9:9" x14ac:dyDescent="0.2">
      <c r="I6340" s="137" t="s">
        <v>74</v>
      </c>
    </row>
    <row r="6341" spans="9:9" x14ac:dyDescent="0.2">
      <c r="I6341" s="137" t="s">
        <v>74</v>
      </c>
    </row>
    <row r="6342" spans="9:9" x14ac:dyDescent="0.2">
      <c r="I6342" s="137" t="s">
        <v>74</v>
      </c>
    </row>
    <row r="6343" spans="9:9" x14ac:dyDescent="0.2">
      <c r="I6343" s="137" t="s">
        <v>74</v>
      </c>
    </row>
    <row r="6344" spans="9:9" x14ac:dyDescent="0.2">
      <c r="I6344" s="137" t="s">
        <v>74</v>
      </c>
    </row>
    <row r="6345" spans="9:9" x14ac:dyDescent="0.2">
      <c r="I6345" s="137" t="s">
        <v>74</v>
      </c>
    </row>
    <row r="6346" spans="9:9" x14ac:dyDescent="0.2">
      <c r="I6346" s="137" t="s">
        <v>74</v>
      </c>
    </row>
    <row r="6347" spans="9:9" x14ac:dyDescent="0.2">
      <c r="I6347" s="137" t="s">
        <v>74</v>
      </c>
    </row>
    <row r="6348" spans="9:9" x14ac:dyDescent="0.2">
      <c r="I6348" s="137" t="s">
        <v>74</v>
      </c>
    </row>
    <row r="6349" spans="9:9" x14ac:dyDescent="0.2">
      <c r="I6349" s="137" t="s">
        <v>74</v>
      </c>
    </row>
    <row r="6350" spans="9:9" x14ac:dyDescent="0.2">
      <c r="I6350" s="137" t="s">
        <v>74</v>
      </c>
    </row>
    <row r="6351" spans="9:9" x14ac:dyDescent="0.2">
      <c r="I6351" s="137" t="s">
        <v>74</v>
      </c>
    </row>
    <row r="6352" spans="9:9" x14ac:dyDescent="0.2">
      <c r="I6352" s="137" t="s">
        <v>74</v>
      </c>
    </row>
    <row r="6353" spans="9:9" x14ac:dyDescent="0.2">
      <c r="I6353" s="137" t="s">
        <v>74</v>
      </c>
    </row>
    <row r="6354" spans="9:9" x14ac:dyDescent="0.2">
      <c r="I6354" s="137" t="s">
        <v>74</v>
      </c>
    </row>
    <row r="6355" spans="9:9" x14ac:dyDescent="0.2">
      <c r="I6355" s="137" t="s">
        <v>74</v>
      </c>
    </row>
    <row r="6356" spans="9:9" x14ac:dyDescent="0.2">
      <c r="I6356" s="137" t="s">
        <v>74</v>
      </c>
    </row>
    <row r="6357" spans="9:9" x14ac:dyDescent="0.2">
      <c r="I6357" s="137" t="s">
        <v>74</v>
      </c>
    </row>
    <row r="6358" spans="9:9" x14ac:dyDescent="0.2">
      <c r="I6358" s="137" t="s">
        <v>74</v>
      </c>
    </row>
    <row r="6359" spans="9:9" x14ac:dyDescent="0.2">
      <c r="I6359" s="137" t="s">
        <v>74</v>
      </c>
    </row>
    <row r="6360" spans="9:9" x14ac:dyDescent="0.2">
      <c r="I6360" s="137" t="s">
        <v>74</v>
      </c>
    </row>
    <row r="6361" spans="9:9" x14ac:dyDescent="0.2">
      <c r="I6361" s="137" t="s">
        <v>74</v>
      </c>
    </row>
    <row r="6362" spans="9:9" x14ac:dyDescent="0.2">
      <c r="I6362" s="137" t="s">
        <v>74</v>
      </c>
    </row>
    <row r="6363" spans="9:9" x14ac:dyDescent="0.2">
      <c r="I6363" s="137" t="s">
        <v>74</v>
      </c>
    </row>
    <row r="6364" spans="9:9" x14ac:dyDescent="0.2">
      <c r="I6364" s="137" t="s">
        <v>74</v>
      </c>
    </row>
    <row r="6365" spans="9:9" x14ac:dyDescent="0.2">
      <c r="I6365" s="137" t="s">
        <v>74</v>
      </c>
    </row>
    <row r="6366" spans="9:9" x14ac:dyDescent="0.2">
      <c r="I6366" s="137" t="s">
        <v>74</v>
      </c>
    </row>
    <row r="6367" spans="9:9" x14ac:dyDescent="0.2">
      <c r="I6367" s="137" t="s">
        <v>74</v>
      </c>
    </row>
    <row r="6368" spans="9:9" x14ac:dyDescent="0.2">
      <c r="I6368" s="137" t="s">
        <v>74</v>
      </c>
    </row>
    <row r="6369" spans="9:9" x14ac:dyDescent="0.2">
      <c r="I6369" s="137" t="s">
        <v>74</v>
      </c>
    </row>
    <row r="6370" spans="9:9" x14ac:dyDescent="0.2">
      <c r="I6370" s="137" t="s">
        <v>74</v>
      </c>
    </row>
    <row r="6371" spans="9:9" x14ac:dyDescent="0.2">
      <c r="I6371" s="137" t="s">
        <v>74</v>
      </c>
    </row>
    <row r="6372" spans="9:9" x14ac:dyDescent="0.2">
      <c r="I6372" s="137" t="s">
        <v>74</v>
      </c>
    </row>
    <row r="6373" spans="9:9" x14ac:dyDescent="0.2">
      <c r="I6373" s="137" t="s">
        <v>74</v>
      </c>
    </row>
    <row r="6374" spans="9:9" x14ac:dyDescent="0.2">
      <c r="I6374" s="137" t="s">
        <v>74</v>
      </c>
    </row>
    <row r="6375" spans="9:9" x14ac:dyDescent="0.2">
      <c r="I6375" s="137" t="s">
        <v>74</v>
      </c>
    </row>
    <row r="6376" spans="9:9" x14ac:dyDescent="0.2">
      <c r="I6376" s="137" t="s">
        <v>74</v>
      </c>
    </row>
    <row r="6377" spans="9:9" x14ac:dyDescent="0.2">
      <c r="I6377" s="137" t="s">
        <v>74</v>
      </c>
    </row>
    <row r="6378" spans="9:9" x14ac:dyDescent="0.2">
      <c r="I6378" s="137" t="s">
        <v>74</v>
      </c>
    </row>
    <row r="6379" spans="9:9" x14ac:dyDescent="0.2">
      <c r="I6379" s="137" t="s">
        <v>74</v>
      </c>
    </row>
    <row r="6380" spans="9:9" x14ac:dyDescent="0.2">
      <c r="I6380" s="137" t="s">
        <v>74</v>
      </c>
    </row>
    <row r="6381" spans="9:9" x14ac:dyDescent="0.2">
      <c r="I6381" s="137" t="s">
        <v>74</v>
      </c>
    </row>
    <row r="6382" spans="9:9" x14ac:dyDescent="0.2">
      <c r="I6382" s="137" t="s">
        <v>74</v>
      </c>
    </row>
    <row r="6383" spans="9:9" x14ac:dyDescent="0.2">
      <c r="I6383" s="137" t="s">
        <v>74</v>
      </c>
    </row>
    <row r="6384" spans="9:9" x14ac:dyDescent="0.2">
      <c r="I6384" s="137" t="s">
        <v>74</v>
      </c>
    </row>
    <row r="6385" spans="9:9" x14ac:dyDescent="0.2">
      <c r="I6385" s="137" t="s">
        <v>74</v>
      </c>
    </row>
    <row r="6386" spans="9:9" x14ac:dyDescent="0.2">
      <c r="I6386" s="137" t="s">
        <v>74</v>
      </c>
    </row>
    <row r="6387" spans="9:9" x14ac:dyDescent="0.2">
      <c r="I6387" s="137" t="s">
        <v>74</v>
      </c>
    </row>
    <row r="6388" spans="9:9" x14ac:dyDescent="0.2">
      <c r="I6388" s="137" t="s">
        <v>74</v>
      </c>
    </row>
    <row r="6389" spans="9:9" x14ac:dyDescent="0.2">
      <c r="I6389" s="137" t="s">
        <v>74</v>
      </c>
    </row>
    <row r="6390" spans="9:9" x14ac:dyDescent="0.2">
      <c r="I6390" s="137" t="s">
        <v>74</v>
      </c>
    </row>
    <row r="6391" spans="9:9" x14ac:dyDescent="0.2">
      <c r="I6391" s="137" t="s">
        <v>74</v>
      </c>
    </row>
    <row r="6392" spans="9:9" x14ac:dyDescent="0.2">
      <c r="I6392" s="137" t="s">
        <v>74</v>
      </c>
    </row>
    <row r="6393" spans="9:9" x14ac:dyDescent="0.2">
      <c r="I6393" s="137" t="s">
        <v>74</v>
      </c>
    </row>
    <row r="6394" spans="9:9" x14ac:dyDescent="0.2">
      <c r="I6394" s="137" t="s">
        <v>74</v>
      </c>
    </row>
    <row r="6395" spans="9:9" x14ac:dyDescent="0.2">
      <c r="I6395" s="137" t="s">
        <v>74</v>
      </c>
    </row>
    <row r="6396" spans="9:9" x14ac:dyDescent="0.2">
      <c r="I6396" s="137" t="s">
        <v>74</v>
      </c>
    </row>
    <row r="6397" spans="9:9" x14ac:dyDescent="0.2">
      <c r="I6397" s="137" t="s">
        <v>74</v>
      </c>
    </row>
    <row r="6398" spans="9:9" x14ac:dyDescent="0.2">
      <c r="I6398" s="137" t="s">
        <v>74</v>
      </c>
    </row>
    <row r="6399" spans="9:9" x14ac:dyDescent="0.2">
      <c r="I6399" s="137" t="s">
        <v>74</v>
      </c>
    </row>
    <row r="6400" spans="9:9" x14ac:dyDescent="0.2">
      <c r="I6400" s="137" t="s">
        <v>74</v>
      </c>
    </row>
    <row r="6401" spans="9:9" x14ac:dyDescent="0.2">
      <c r="I6401" s="137" t="s">
        <v>74</v>
      </c>
    </row>
    <row r="6402" spans="9:9" x14ac:dyDescent="0.2">
      <c r="I6402" s="137" t="s">
        <v>74</v>
      </c>
    </row>
    <row r="6403" spans="9:9" x14ac:dyDescent="0.2">
      <c r="I6403" s="137" t="s">
        <v>74</v>
      </c>
    </row>
    <row r="6404" spans="9:9" x14ac:dyDescent="0.2">
      <c r="I6404" s="137" t="s">
        <v>74</v>
      </c>
    </row>
    <row r="6405" spans="9:9" x14ac:dyDescent="0.2">
      <c r="I6405" s="137" t="s">
        <v>74</v>
      </c>
    </row>
    <row r="6406" spans="9:9" x14ac:dyDescent="0.2">
      <c r="I6406" s="137" t="s">
        <v>74</v>
      </c>
    </row>
    <row r="6407" spans="9:9" x14ac:dyDescent="0.2">
      <c r="I6407" s="137" t="s">
        <v>74</v>
      </c>
    </row>
    <row r="6408" spans="9:9" x14ac:dyDescent="0.2">
      <c r="I6408" s="137" t="s">
        <v>74</v>
      </c>
    </row>
    <row r="6409" spans="9:9" x14ac:dyDescent="0.2">
      <c r="I6409" s="137" t="s">
        <v>74</v>
      </c>
    </row>
    <row r="6410" spans="9:9" x14ac:dyDescent="0.2">
      <c r="I6410" s="137" t="s">
        <v>74</v>
      </c>
    </row>
    <row r="6411" spans="9:9" x14ac:dyDescent="0.2">
      <c r="I6411" s="137" t="s">
        <v>74</v>
      </c>
    </row>
    <row r="6412" spans="9:9" x14ac:dyDescent="0.2">
      <c r="I6412" s="137" t="s">
        <v>74</v>
      </c>
    </row>
    <row r="6413" spans="9:9" x14ac:dyDescent="0.2">
      <c r="I6413" s="137" t="s">
        <v>74</v>
      </c>
    </row>
    <row r="6414" spans="9:9" x14ac:dyDescent="0.2">
      <c r="I6414" s="137" t="s">
        <v>74</v>
      </c>
    </row>
    <row r="6415" spans="9:9" x14ac:dyDescent="0.2">
      <c r="I6415" s="137" t="s">
        <v>74</v>
      </c>
    </row>
    <row r="6416" spans="9:9" x14ac:dyDescent="0.2">
      <c r="I6416" s="137" t="s">
        <v>74</v>
      </c>
    </row>
    <row r="6417" spans="9:9" x14ac:dyDescent="0.2">
      <c r="I6417" s="137" t="s">
        <v>74</v>
      </c>
    </row>
    <row r="6418" spans="9:9" x14ac:dyDescent="0.2">
      <c r="I6418" s="137" t="s">
        <v>74</v>
      </c>
    </row>
    <row r="6419" spans="9:9" x14ac:dyDescent="0.2">
      <c r="I6419" s="137" t="s">
        <v>74</v>
      </c>
    </row>
    <row r="6420" spans="9:9" x14ac:dyDescent="0.2">
      <c r="I6420" s="137" t="s">
        <v>74</v>
      </c>
    </row>
    <row r="6421" spans="9:9" x14ac:dyDescent="0.2">
      <c r="I6421" s="137" t="s">
        <v>74</v>
      </c>
    </row>
    <row r="6422" spans="9:9" x14ac:dyDescent="0.2">
      <c r="I6422" s="137" t="s">
        <v>74</v>
      </c>
    </row>
    <row r="6423" spans="9:9" x14ac:dyDescent="0.2">
      <c r="I6423" s="137" t="s">
        <v>74</v>
      </c>
    </row>
    <row r="6424" spans="9:9" x14ac:dyDescent="0.2">
      <c r="I6424" s="137" t="s">
        <v>74</v>
      </c>
    </row>
    <row r="6425" spans="9:9" x14ac:dyDescent="0.2">
      <c r="I6425" s="137" t="s">
        <v>74</v>
      </c>
    </row>
    <row r="6426" spans="9:9" x14ac:dyDescent="0.2">
      <c r="I6426" s="137" t="s">
        <v>74</v>
      </c>
    </row>
    <row r="6427" spans="9:9" x14ac:dyDescent="0.2">
      <c r="I6427" s="137" t="s">
        <v>74</v>
      </c>
    </row>
    <row r="6428" spans="9:9" x14ac:dyDescent="0.2">
      <c r="I6428" s="137" t="s">
        <v>74</v>
      </c>
    </row>
    <row r="6429" spans="9:9" x14ac:dyDescent="0.2">
      <c r="I6429" s="137" t="s">
        <v>74</v>
      </c>
    </row>
    <row r="6430" spans="9:9" x14ac:dyDescent="0.2">
      <c r="I6430" s="137" t="s">
        <v>74</v>
      </c>
    </row>
    <row r="6431" spans="9:9" x14ac:dyDescent="0.2">
      <c r="I6431" s="137" t="s">
        <v>74</v>
      </c>
    </row>
    <row r="6432" spans="9:9" x14ac:dyDescent="0.2">
      <c r="I6432" s="137" t="s">
        <v>74</v>
      </c>
    </row>
    <row r="6433" spans="9:9" x14ac:dyDescent="0.2">
      <c r="I6433" s="137" t="s">
        <v>74</v>
      </c>
    </row>
    <row r="6434" spans="9:9" x14ac:dyDescent="0.2">
      <c r="I6434" s="137" t="s">
        <v>74</v>
      </c>
    </row>
    <row r="6435" spans="9:9" x14ac:dyDescent="0.2">
      <c r="I6435" s="137" t="s">
        <v>74</v>
      </c>
    </row>
    <row r="6436" spans="9:9" x14ac:dyDescent="0.2">
      <c r="I6436" s="137" t="s">
        <v>74</v>
      </c>
    </row>
    <row r="6437" spans="9:9" x14ac:dyDescent="0.2">
      <c r="I6437" s="137" t="s">
        <v>74</v>
      </c>
    </row>
    <row r="6438" spans="9:9" x14ac:dyDescent="0.2">
      <c r="I6438" s="137" t="s">
        <v>74</v>
      </c>
    </row>
    <row r="6439" spans="9:9" x14ac:dyDescent="0.2">
      <c r="I6439" s="137" t="s">
        <v>74</v>
      </c>
    </row>
    <row r="6440" spans="9:9" x14ac:dyDescent="0.2">
      <c r="I6440" s="137" t="s">
        <v>74</v>
      </c>
    </row>
    <row r="6441" spans="9:9" x14ac:dyDescent="0.2">
      <c r="I6441" s="137" t="s">
        <v>74</v>
      </c>
    </row>
    <row r="6442" spans="9:9" x14ac:dyDescent="0.2">
      <c r="I6442" s="137" t="s">
        <v>74</v>
      </c>
    </row>
    <row r="6443" spans="9:9" x14ac:dyDescent="0.2">
      <c r="I6443" s="137" t="s">
        <v>74</v>
      </c>
    </row>
    <row r="6444" spans="9:9" x14ac:dyDescent="0.2">
      <c r="I6444" s="137" t="s">
        <v>74</v>
      </c>
    </row>
    <row r="6445" spans="9:9" x14ac:dyDescent="0.2">
      <c r="I6445" s="137" t="s">
        <v>74</v>
      </c>
    </row>
    <row r="6446" spans="9:9" x14ac:dyDescent="0.2">
      <c r="I6446" s="137" t="s">
        <v>74</v>
      </c>
    </row>
    <row r="6447" spans="9:9" x14ac:dyDescent="0.2">
      <c r="I6447" s="137" t="s">
        <v>74</v>
      </c>
    </row>
    <row r="6448" spans="9:9" x14ac:dyDescent="0.2">
      <c r="I6448" s="137" t="s">
        <v>74</v>
      </c>
    </row>
    <row r="6449" spans="9:9" x14ac:dyDescent="0.2">
      <c r="I6449" s="137" t="s">
        <v>74</v>
      </c>
    </row>
    <row r="6450" spans="9:9" x14ac:dyDescent="0.2">
      <c r="I6450" s="137" t="s">
        <v>74</v>
      </c>
    </row>
    <row r="6451" spans="9:9" x14ac:dyDescent="0.2">
      <c r="I6451" s="137" t="s">
        <v>74</v>
      </c>
    </row>
    <row r="6452" spans="9:9" x14ac:dyDescent="0.2">
      <c r="I6452" s="137" t="s">
        <v>74</v>
      </c>
    </row>
    <row r="6453" spans="9:9" x14ac:dyDescent="0.2">
      <c r="I6453" s="137" t="s">
        <v>74</v>
      </c>
    </row>
    <row r="6454" spans="9:9" x14ac:dyDescent="0.2">
      <c r="I6454" s="137" t="s">
        <v>74</v>
      </c>
    </row>
    <row r="6455" spans="9:9" x14ac:dyDescent="0.2">
      <c r="I6455" s="137" t="s">
        <v>74</v>
      </c>
    </row>
    <row r="6456" spans="9:9" x14ac:dyDescent="0.2">
      <c r="I6456" s="137" t="s">
        <v>74</v>
      </c>
    </row>
    <row r="6457" spans="9:9" x14ac:dyDescent="0.2">
      <c r="I6457" s="137" t="s">
        <v>74</v>
      </c>
    </row>
    <row r="6458" spans="9:9" x14ac:dyDescent="0.2">
      <c r="I6458" s="137" t="s">
        <v>74</v>
      </c>
    </row>
    <row r="6459" spans="9:9" x14ac:dyDescent="0.2">
      <c r="I6459" s="137" t="s">
        <v>74</v>
      </c>
    </row>
    <row r="6460" spans="9:9" x14ac:dyDescent="0.2">
      <c r="I6460" s="137" t="s">
        <v>74</v>
      </c>
    </row>
    <row r="6461" spans="9:9" x14ac:dyDescent="0.2">
      <c r="I6461" s="137" t="s">
        <v>74</v>
      </c>
    </row>
    <row r="6462" spans="9:9" x14ac:dyDescent="0.2">
      <c r="I6462" s="137" t="s">
        <v>74</v>
      </c>
    </row>
    <row r="6463" spans="9:9" x14ac:dyDescent="0.2">
      <c r="I6463" s="137" t="s">
        <v>74</v>
      </c>
    </row>
    <row r="6464" spans="9:9" x14ac:dyDescent="0.2">
      <c r="I6464" s="137" t="s">
        <v>74</v>
      </c>
    </row>
    <row r="6465" spans="9:9" x14ac:dyDescent="0.2">
      <c r="I6465" s="137" t="s">
        <v>74</v>
      </c>
    </row>
    <row r="6466" spans="9:9" x14ac:dyDescent="0.2">
      <c r="I6466" s="137" t="s">
        <v>74</v>
      </c>
    </row>
    <row r="6467" spans="9:9" x14ac:dyDescent="0.2">
      <c r="I6467" s="137" t="s">
        <v>74</v>
      </c>
    </row>
    <row r="6468" spans="9:9" x14ac:dyDescent="0.2">
      <c r="I6468" s="137" t="s">
        <v>74</v>
      </c>
    </row>
    <row r="6469" spans="9:9" x14ac:dyDescent="0.2">
      <c r="I6469" s="137" t="s">
        <v>74</v>
      </c>
    </row>
    <row r="6470" spans="9:9" x14ac:dyDescent="0.2">
      <c r="I6470" s="137" t="s">
        <v>74</v>
      </c>
    </row>
    <row r="6471" spans="9:9" x14ac:dyDescent="0.2">
      <c r="I6471" s="137" t="s">
        <v>74</v>
      </c>
    </row>
    <row r="6472" spans="9:9" x14ac:dyDescent="0.2">
      <c r="I6472" s="137" t="s">
        <v>74</v>
      </c>
    </row>
    <row r="6473" spans="9:9" x14ac:dyDescent="0.2">
      <c r="I6473" s="137" t="s">
        <v>74</v>
      </c>
    </row>
    <row r="6474" spans="9:9" x14ac:dyDescent="0.2">
      <c r="I6474" s="137" t="s">
        <v>74</v>
      </c>
    </row>
    <row r="6475" spans="9:9" x14ac:dyDescent="0.2">
      <c r="I6475" s="137" t="s">
        <v>74</v>
      </c>
    </row>
    <row r="6476" spans="9:9" x14ac:dyDescent="0.2">
      <c r="I6476" s="137" t="s">
        <v>74</v>
      </c>
    </row>
    <row r="6477" spans="9:9" x14ac:dyDescent="0.2">
      <c r="I6477" s="137" t="s">
        <v>74</v>
      </c>
    </row>
    <row r="6478" spans="9:9" x14ac:dyDescent="0.2">
      <c r="I6478" s="137" t="s">
        <v>74</v>
      </c>
    </row>
    <row r="6479" spans="9:9" x14ac:dyDescent="0.2">
      <c r="I6479" s="137" t="s">
        <v>74</v>
      </c>
    </row>
    <row r="6480" spans="9:9" x14ac:dyDescent="0.2">
      <c r="I6480" s="137" t="s">
        <v>74</v>
      </c>
    </row>
    <row r="6481" spans="9:9" x14ac:dyDescent="0.2">
      <c r="I6481" s="137" t="s">
        <v>74</v>
      </c>
    </row>
    <row r="6482" spans="9:9" x14ac:dyDescent="0.2">
      <c r="I6482" s="137" t="s">
        <v>74</v>
      </c>
    </row>
    <row r="6483" spans="9:9" x14ac:dyDescent="0.2">
      <c r="I6483" s="137" t="s">
        <v>74</v>
      </c>
    </row>
    <row r="6484" spans="9:9" x14ac:dyDescent="0.2">
      <c r="I6484" s="137" t="s">
        <v>74</v>
      </c>
    </row>
    <row r="6485" spans="9:9" x14ac:dyDescent="0.2">
      <c r="I6485" s="137" t="s">
        <v>74</v>
      </c>
    </row>
    <row r="6486" spans="9:9" x14ac:dyDescent="0.2">
      <c r="I6486" s="137" t="s">
        <v>74</v>
      </c>
    </row>
    <row r="6487" spans="9:9" x14ac:dyDescent="0.2">
      <c r="I6487" s="137" t="s">
        <v>74</v>
      </c>
    </row>
    <row r="6488" spans="9:9" x14ac:dyDescent="0.2">
      <c r="I6488" s="137" t="s">
        <v>74</v>
      </c>
    </row>
    <row r="6489" spans="9:9" x14ac:dyDescent="0.2">
      <c r="I6489" s="137" t="s">
        <v>74</v>
      </c>
    </row>
    <row r="6490" spans="9:9" x14ac:dyDescent="0.2">
      <c r="I6490" s="137" t="s">
        <v>74</v>
      </c>
    </row>
    <row r="6491" spans="9:9" x14ac:dyDescent="0.2">
      <c r="I6491" s="137" t="s">
        <v>74</v>
      </c>
    </row>
    <row r="6492" spans="9:9" x14ac:dyDescent="0.2">
      <c r="I6492" s="137" t="s">
        <v>74</v>
      </c>
    </row>
    <row r="6493" spans="9:9" x14ac:dyDescent="0.2">
      <c r="I6493" s="137" t="s">
        <v>74</v>
      </c>
    </row>
    <row r="6494" spans="9:9" x14ac:dyDescent="0.2">
      <c r="I6494" s="137" t="s">
        <v>74</v>
      </c>
    </row>
    <row r="6495" spans="9:9" x14ac:dyDescent="0.2">
      <c r="I6495" s="137" t="s">
        <v>74</v>
      </c>
    </row>
    <row r="6496" spans="9:9" x14ac:dyDescent="0.2">
      <c r="I6496" s="137" t="s">
        <v>74</v>
      </c>
    </row>
    <row r="6497" spans="9:9" x14ac:dyDescent="0.2">
      <c r="I6497" s="137" t="s">
        <v>74</v>
      </c>
    </row>
    <row r="6498" spans="9:9" x14ac:dyDescent="0.2">
      <c r="I6498" s="137" t="s">
        <v>74</v>
      </c>
    </row>
    <row r="6499" spans="9:9" x14ac:dyDescent="0.2">
      <c r="I6499" s="137" t="s">
        <v>74</v>
      </c>
    </row>
    <row r="6500" spans="9:9" x14ac:dyDescent="0.2">
      <c r="I6500" s="137" t="s">
        <v>74</v>
      </c>
    </row>
    <row r="6501" spans="9:9" x14ac:dyDescent="0.2">
      <c r="I6501" s="137" t="s">
        <v>74</v>
      </c>
    </row>
    <row r="6502" spans="9:9" x14ac:dyDescent="0.2">
      <c r="I6502" s="137" t="s">
        <v>74</v>
      </c>
    </row>
    <row r="6503" spans="9:9" x14ac:dyDescent="0.2">
      <c r="I6503" s="137" t="s">
        <v>74</v>
      </c>
    </row>
    <row r="6504" spans="9:9" x14ac:dyDescent="0.2">
      <c r="I6504" s="137" t="s">
        <v>74</v>
      </c>
    </row>
    <row r="6505" spans="9:9" x14ac:dyDescent="0.2">
      <c r="I6505" s="137" t="s">
        <v>74</v>
      </c>
    </row>
    <row r="6506" spans="9:9" x14ac:dyDescent="0.2">
      <c r="I6506" s="137" t="s">
        <v>74</v>
      </c>
    </row>
    <row r="6507" spans="9:9" x14ac:dyDescent="0.2">
      <c r="I6507" s="137" t="s">
        <v>74</v>
      </c>
    </row>
    <row r="6508" spans="9:9" x14ac:dyDescent="0.2">
      <c r="I6508" s="137" t="s">
        <v>74</v>
      </c>
    </row>
    <row r="6509" spans="9:9" x14ac:dyDescent="0.2">
      <c r="I6509" s="137" t="s">
        <v>74</v>
      </c>
    </row>
    <row r="6510" spans="9:9" x14ac:dyDescent="0.2">
      <c r="I6510" s="137" t="s">
        <v>74</v>
      </c>
    </row>
    <row r="6511" spans="9:9" x14ac:dyDescent="0.2">
      <c r="I6511" s="137" t="s">
        <v>74</v>
      </c>
    </row>
    <row r="6512" spans="9:9" x14ac:dyDescent="0.2">
      <c r="I6512" s="137" t="s">
        <v>74</v>
      </c>
    </row>
    <row r="6513" spans="9:9" x14ac:dyDescent="0.2">
      <c r="I6513" s="137" t="s">
        <v>74</v>
      </c>
    </row>
    <row r="6514" spans="9:9" x14ac:dyDescent="0.2">
      <c r="I6514" s="137" t="s">
        <v>74</v>
      </c>
    </row>
    <row r="6515" spans="9:9" x14ac:dyDescent="0.2">
      <c r="I6515" s="137" t="s">
        <v>74</v>
      </c>
    </row>
    <row r="6516" spans="9:9" x14ac:dyDescent="0.2">
      <c r="I6516" s="137" t="s">
        <v>74</v>
      </c>
    </row>
    <row r="6517" spans="9:9" x14ac:dyDescent="0.2">
      <c r="I6517" s="137" t="s">
        <v>74</v>
      </c>
    </row>
    <row r="6518" spans="9:9" x14ac:dyDescent="0.2">
      <c r="I6518" s="137" t="s">
        <v>74</v>
      </c>
    </row>
    <row r="6519" spans="9:9" x14ac:dyDescent="0.2">
      <c r="I6519" s="137" t="s">
        <v>74</v>
      </c>
    </row>
    <row r="6520" spans="9:9" x14ac:dyDescent="0.2">
      <c r="I6520" s="137" t="s">
        <v>74</v>
      </c>
    </row>
    <row r="6521" spans="9:9" x14ac:dyDescent="0.2">
      <c r="I6521" s="137" t="s">
        <v>74</v>
      </c>
    </row>
    <row r="6522" spans="9:9" x14ac:dyDescent="0.2">
      <c r="I6522" s="137" t="s">
        <v>74</v>
      </c>
    </row>
    <row r="6523" spans="9:9" x14ac:dyDescent="0.2">
      <c r="I6523" s="137" t="s">
        <v>74</v>
      </c>
    </row>
    <row r="6524" spans="9:9" x14ac:dyDescent="0.2">
      <c r="I6524" s="137" t="s">
        <v>74</v>
      </c>
    </row>
    <row r="6525" spans="9:9" x14ac:dyDescent="0.2">
      <c r="I6525" s="137" t="s">
        <v>74</v>
      </c>
    </row>
    <row r="6526" spans="9:9" x14ac:dyDescent="0.2">
      <c r="I6526" s="137" t="s">
        <v>74</v>
      </c>
    </row>
    <row r="6527" spans="9:9" x14ac:dyDescent="0.2">
      <c r="I6527" s="137" t="s">
        <v>74</v>
      </c>
    </row>
    <row r="6528" spans="9:9" x14ac:dyDescent="0.2">
      <c r="I6528" s="137" t="s">
        <v>74</v>
      </c>
    </row>
    <row r="6529" spans="9:9" x14ac:dyDescent="0.2">
      <c r="I6529" s="137" t="s">
        <v>74</v>
      </c>
    </row>
    <row r="6530" spans="9:9" x14ac:dyDescent="0.2">
      <c r="I6530" s="137" t="s">
        <v>74</v>
      </c>
    </row>
    <row r="6531" spans="9:9" x14ac:dyDescent="0.2">
      <c r="I6531" s="137" t="s">
        <v>74</v>
      </c>
    </row>
    <row r="6532" spans="9:9" x14ac:dyDescent="0.2">
      <c r="I6532" s="137" t="s">
        <v>74</v>
      </c>
    </row>
    <row r="6533" spans="9:9" x14ac:dyDescent="0.2">
      <c r="I6533" s="137" t="s">
        <v>74</v>
      </c>
    </row>
    <row r="6534" spans="9:9" x14ac:dyDescent="0.2">
      <c r="I6534" s="137" t="s">
        <v>74</v>
      </c>
    </row>
    <row r="6535" spans="9:9" x14ac:dyDescent="0.2">
      <c r="I6535" s="137" t="s">
        <v>74</v>
      </c>
    </row>
    <row r="6536" spans="9:9" x14ac:dyDescent="0.2">
      <c r="I6536" s="137" t="s">
        <v>74</v>
      </c>
    </row>
    <row r="6537" spans="9:9" x14ac:dyDescent="0.2">
      <c r="I6537" s="137" t="s">
        <v>74</v>
      </c>
    </row>
    <row r="6538" spans="9:9" x14ac:dyDescent="0.2">
      <c r="I6538" s="137" t="s">
        <v>74</v>
      </c>
    </row>
    <row r="6539" spans="9:9" x14ac:dyDescent="0.2">
      <c r="I6539" s="137" t="s">
        <v>74</v>
      </c>
    </row>
    <row r="6540" spans="9:9" x14ac:dyDescent="0.2">
      <c r="I6540" s="137" t="s">
        <v>74</v>
      </c>
    </row>
    <row r="6541" spans="9:9" x14ac:dyDescent="0.2">
      <c r="I6541" s="137" t="s">
        <v>74</v>
      </c>
    </row>
    <row r="6542" spans="9:9" x14ac:dyDescent="0.2">
      <c r="I6542" s="137" t="s">
        <v>74</v>
      </c>
    </row>
    <row r="6543" spans="9:9" x14ac:dyDescent="0.2">
      <c r="I6543" s="137" t="s">
        <v>74</v>
      </c>
    </row>
    <row r="6544" spans="9:9" x14ac:dyDescent="0.2">
      <c r="I6544" s="137" t="s">
        <v>74</v>
      </c>
    </row>
    <row r="6545" spans="9:9" x14ac:dyDescent="0.2">
      <c r="I6545" s="137" t="s">
        <v>74</v>
      </c>
    </row>
    <row r="6546" spans="9:9" x14ac:dyDescent="0.2">
      <c r="I6546" s="137" t="s">
        <v>74</v>
      </c>
    </row>
    <row r="6547" spans="9:9" x14ac:dyDescent="0.2">
      <c r="I6547" s="137" t="s">
        <v>74</v>
      </c>
    </row>
    <row r="6548" spans="9:9" x14ac:dyDescent="0.2">
      <c r="I6548" s="137" t="s">
        <v>74</v>
      </c>
    </row>
    <row r="6549" spans="9:9" x14ac:dyDescent="0.2">
      <c r="I6549" s="137" t="s">
        <v>74</v>
      </c>
    </row>
    <row r="6550" spans="9:9" x14ac:dyDescent="0.2">
      <c r="I6550" s="137" t="s">
        <v>74</v>
      </c>
    </row>
    <row r="6551" spans="9:9" x14ac:dyDescent="0.2">
      <c r="I6551" s="137" t="s">
        <v>74</v>
      </c>
    </row>
    <row r="6552" spans="9:9" x14ac:dyDescent="0.2">
      <c r="I6552" s="137" t="s">
        <v>74</v>
      </c>
    </row>
    <row r="6553" spans="9:9" x14ac:dyDescent="0.2">
      <c r="I6553" s="137" t="s">
        <v>74</v>
      </c>
    </row>
    <row r="6554" spans="9:9" x14ac:dyDescent="0.2">
      <c r="I6554" s="137" t="s">
        <v>74</v>
      </c>
    </row>
    <row r="6555" spans="9:9" x14ac:dyDescent="0.2">
      <c r="I6555" s="137" t="s">
        <v>74</v>
      </c>
    </row>
    <row r="6556" spans="9:9" x14ac:dyDescent="0.2">
      <c r="I6556" s="137" t="s">
        <v>74</v>
      </c>
    </row>
    <row r="6557" spans="9:9" x14ac:dyDescent="0.2">
      <c r="I6557" s="137" t="s">
        <v>74</v>
      </c>
    </row>
    <row r="6558" spans="9:9" x14ac:dyDescent="0.2">
      <c r="I6558" s="137" t="s">
        <v>74</v>
      </c>
    </row>
    <row r="6559" spans="9:9" x14ac:dyDescent="0.2">
      <c r="I6559" s="137" t="s">
        <v>74</v>
      </c>
    </row>
    <row r="6560" spans="9:9" x14ac:dyDescent="0.2">
      <c r="I6560" s="137" t="s">
        <v>74</v>
      </c>
    </row>
    <row r="6561" spans="9:9" x14ac:dyDescent="0.2">
      <c r="I6561" s="137" t="s">
        <v>74</v>
      </c>
    </row>
    <row r="6562" spans="9:9" x14ac:dyDescent="0.2">
      <c r="I6562" s="137" t="s">
        <v>74</v>
      </c>
    </row>
    <row r="6563" spans="9:9" x14ac:dyDescent="0.2">
      <c r="I6563" s="137" t="s">
        <v>74</v>
      </c>
    </row>
    <row r="6564" spans="9:9" x14ac:dyDescent="0.2">
      <c r="I6564" s="137" t="s">
        <v>74</v>
      </c>
    </row>
    <row r="6565" spans="9:9" x14ac:dyDescent="0.2">
      <c r="I6565" s="137" t="s">
        <v>74</v>
      </c>
    </row>
    <row r="6566" spans="9:9" x14ac:dyDescent="0.2">
      <c r="I6566" s="137" t="s">
        <v>74</v>
      </c>
    </row>
    <row r="6567" spans="9:9" x14ac:dyDescent="0.2">
      <c r="I6567" s="137" t="s">
        <v>74</v>
      </c>
    </row>
    <row r="6568" spans="9:9" x14ac:dyDescent="0.2">
      <c r="I6568" s="137" t="s">
        <v>74</v>
      </c>
    </row>
    <row r="6569" spans="9:9" x14ac:dyDescent="0.2">
      <c r="I6569" s="137" t="s">
        <v>74</v>
      </c>
    </row>
    <row r="6570" spans="9:9" x14ac:dyDescent="0.2">
      <c r="I6570" s="137" t="s">
        <v>74</v>
      </c>
    </row>
    <row r="6571" spans="9:9" x14ac:dyDescent="0.2">
      <c r="I6571" s="137" t="s">
        <v>74</v>
      </c>
    </row>
    <row r="6572" spans="9:9" x14ac:dyDescent="0.2">
      <c r="I6572" s="137" t="s">
        <v>74</v>
      </c>
    </row>
    <row r="6573" spans="9:9" x14ac:dyDescent="0.2">
      <c r="I6573" s="137" t="s">
        <v>74</v>
      </c>
    </row>
    <row r="6574" spans="9:9" x14ac:dyDescent="0.2">
      <c r="I6574" s="137" t="s">
        <v>74</v>
      </c>
    </row>
    <row r="6575" spans="9:9" x14ac:dyDescent="0.2">
      <c r="I6575" s="137" t="s">
        <v>74</v>
      </c>
    </row>
    <row r="6576" spans="9:9" x14ac:dyDescent="0.2">
      <c r="I6576" s="137" t="s">
        <v>74</v>
      </c>
    </row>
    <row r="6577" spans="9:9" x14ac:dyDescent="0.2">
      <c r="I6577" s="137" t="s">
        <v>74</v>
      </c>
    </row>
    <row r="6578" spans="9:9" x14ac:dyDescent="0.2">
      <c r="I6578" s="137" t="s">
        <v>74</v>
      </c>
    </row>
    <row r="6579" spans="9:9" x14ac:dyDescent="0.2">
      <c r="I6579" s="137" t="s">
        <v>74</v>
      </c>
    </row>
    <row r="6580" spans="9:9" x14ac:dyDescent="0.2">
      <c r="I6580" s="137" t="s">
        <v>74</v>
      </c>
    </row>
    <row r="6581" spans="9:9" x14ac:dyDescent="0.2">
      <c r="I6581" s="137" t="s">
        <v>74</v>
      </c>
    </row>
    <row r="6582" spans="9:9" x14ac:dyDescent="0.2">
      <c r="I6582" s="137" t="s">
        <v>74</v>
      </c>
    </row>
    <row r="6583" spans="9:9" x14ac:dyDescent="0.2">
      <c r="I6583" s="137" t="s">
        <v>74</v>
      </c>
    </row>
    <row r="6584" spans="9:9" x14ac:dyDescent="0.2">
      <c r="I6584" s="137" t="s">
        <v>74</v>
      </c>
    </row>
    <row r="6585" spans="9:9" x14ac:dyDescent="0.2">
      <c r="I6585" s="137" t="s">
        <v>74</v>
      </c>
    </row>
    <row r="6586" spans="9:9" x14ac:dyDescent="0.2">
      <c r="I6586" s="137" t="s">
        <v>74</v>
      </c>
    </row>
    <row r="6587" spans="9:9" x14ac:dyDescent="0.2">
      <c r="I6587" s="137" t="s">
        <v>74</v>
      </c>
    </row>
    <row r="6588" spans="9:9" x14ac:dyDescent="0.2">
      <c r="I6588" s="137" t="s">
        <v>74</v>
      </c>
    </row>
    <row r="6589" spans="9:9" x14ac:dyDescent="0.2">
      <c r="I6589" s="137" t="s">
        <v>74</v>
      </c>
    </row>
    <row r="6590" spans="9:9" x14ac:dyDescent="0.2">
      <c r="I6590" s="137" t="s">
        <v>74</v>
      </c>
    </row>
    <row r="6591" spans="9:9" x14ac:dyDescent="0.2">
      <c r="I6591" s="137" t="s">
        <v>74</v>
      </c>
    </row>
    <row r="6592" spans="9:9" x14ac:dyDescent="0.2">
      <c r="I6592" s="137" t="s">
        <v>74</v>
      </c>
    </row>
    <row r="6593" spans="9:9" x14ac:dyDescent="0.2">
      <c r="I6593" s="137" t="s">
        <v>74</v>
      </c>
    </row>
    <row r="6594" spans="9:9" x14ac:dyDescent="0.2">
      <c r="I6594" s="137" t="s">
        <v>74</v>
      </c>
    </row>
    <row r="6595" spans="9:9" x14ac:dyDescent="0.2">
      <c r="I6595" s="137" t="s">
        <v>74</v>
      </c>
    </row>
    <row r="6596" spans="9:9" x14ac:dyDescent="0.2">
      <c r="I6596" s="137" t="s">
        <v>74</v>
      </c>
    </row>
    <row r="6597" spans="9:9" x14ac:dyDescent="0.2">
      <c r="I6597" s="137" t="s">
        <v>74</v>
      </c>
    </row>
    <row r="6598" spans="9:9" x14ac:dyDescent="0.2">
      <c r="I6598" s="137" t="s">
        <v>74</v>
      </c>
    </row>
    <row r="6599" spans="9:9" x14ac:dyDescent="0.2">
      <c r="I6599" s="137" t="s">
        <v>74</v>
      </c>
    </row>
    <row r="6600" spans="9:9" x14ac:dyDescent="0.2">
      <c r="I6600" s="137" t="s">
        <v>74</v>
      </c>
    </row>
    <row r="6601" spans="9:9" x14ac:dyDescent="0.2">
      <c r="I6601" s="137" t="s">
        <v>74</v>
      </c>
    </row>
    <row r="6602" spans="9:9" x14ac:dyDescent="0.2">
      <c r="I6602" s="137" t="s">
        <v>74</v>
      </c>
    </row>
    <row r="6603" spans="9:9" x14ac:dyDescent="0.2">
      <c r="I6603" s="137" t="s">
        <v>74</v>
      </c>
    </row>
    <row r="6604" spans="9:9" x14ac:dyDescent="0.2">
      <c r="I6604" s="137" t="s">
        <v>74</v>
      </c>
    </row>
    <row r="6605" spans="9:9" x14ac:dyDescent="0.2">
      <c r="I6605" s="137" t="s">
        <v>74</v>
      </c>
    </row>
    <row r="6606" spans="9:9" x14ac:dyDescent="0.2">
      <c r="I6606" s="137" t="s">
        <v>74</v>
      </c>
    </row>
    <row r="6607" spans="9:9" x14ac:dyDescent="0.2">
      <c r="I6607" s="137" t="s">
        <v>74</v>
      </c>
    </row>
    <row r="6608" spans="9:9" x14ac:dyDescent="0.2">
      <c r="I6608" s="137" t="s">
        <v>74</v>
      </c>
    </row>
    <row r="6609" spans="9:9" x14ac:dyDescent="0.2">
      <c r="I6609" s="137" t="s">
        <v>74</v>
      </c>
    </row>
    <row r="6610" spans="9:9" x14ac:dyDescent="0.2">
      <c r="I6610" s="137" t="s">
        <v>74</v>
      </c>
    </row>
    <row r="6611" spans="9:9" x14ac:dyDescent="0.2">
      <c r="I6611" s="137" t="s">
        <v>74</v>
      </c>
    </row>
    <row r="6612" spans="9:9" x14ac:dyDescent="0.2">
      <c r="I6612" s="137" t="s">
        <v>74</v>
      </c>
    </row>
    <row r="6613" spans="9:9" x14ac:dyDescent="0.2">
      <c r="I6613" s="137" t="s">
        <v>74</v>
      </c>
    </row>
    <row r="6614" spans="9:9" x14ac:dyDescent="0.2">
      <c r="I6614" s="137" t="s">
        <v>74</v>
      </c>
    </row>
    <row r="6615" spans="9:9" x14ac:dyDescent="0.2">
      <c r="I6615" s="137" t="s">
        <v>74</v>
      </c>
    </row>
    <row r="6616" spans="9:9" x14ac:dyDescent="0.2">
      <c r="I6616" s="137" t="s">
        <v>74</v>
      </c>
    </row>
    <row r="6617" spans="9:9" x14ac:dyDescent="0.2">
      <c r="I6617" s="137" t="s">
        <v>74</v>
      </c>
    </row>
    <row r="6618" spans="9:9" x14ac:dyDescent="0.2">
      <c r="I6618" s="137" t="s">
        <v>74</v>
      </c>
    </row>
    <row r="6619" spans="9:9" x14ac:dyDescent="0.2">
      <c r="I6619" s="137" t="s">
        <v>74</v>
      </c>
    </row>
    <row r="6620" spans="9:9" x14ac:dyDescent="0.2">
      <c r="I6620" s="137" t="s">
        <v>74</v>
      </c>
    </row>
    <row r="6621" spans="9:9" x14ac:dyDescent="0.2">
      <c r="I6621" s="137" t="s">
        <v>74</v>
      </c>
    </row>
    <row r="6622" spans="9:9" x14ac:dyDescent="0.2">
      <c r="I6622" s="137" t="s">
        <v>74</v>
      </c>
    </row>
    <row r="6623" spans="9:9" x14ac:dyDescent="0.2">
      <c r="I6623" s="137" t="s">
        <v>74</v>
      </c>
    </row>
    <row r="6624" spans="9:9" x14ac:dyDescent="0.2">
      <c r="I6624" s="137" t="s">
        <v>74</v>
      </c>
    </row>
    <row r="6625" spans="9:9" x14ac:dyDescent="0.2">
      <c r="I6625" s="137" t="s">
        <v>74</v>
      </c>
    </row>
    <row r="6626" spans="9:9" x14ac:dyDescent="0.2">
      <c r="I6626" s="137" t="s">
        <v>74</v>
      </c>
    </row>
    <row r="6627" spans="9:9" x14ac:dyDescent="0.2">
      <c r="I6627" s="137" t="s">
        <v>74</v>
      </c>
    </row>
    <row r="6628" spans="9:9" x14ac:dyDescent="0.2">
      <c r="I6628" s="137" t="s">
        <v>74</v>
      </c>
    </row>
    <row r="6629" spans="9:9" x14ac:dyDescent="0.2">
      <c r="I6629" s="137" t="s">
        <v>74</v>
      </c>
    </row>
    <row r="6630" spans="9:9" x14ac:dyDescent="0.2">
      <c r="I6630" s="137" t="s">
        <v>74</v>
      </c>
    </row>
    <row r="6631" spans="9:9" x14ac:dyDescent="0.2">
      <c r="I6631" s="137" t="s">
        <v>74</v>
      </c>
    </row>
    <row r="6632" spans="9:9" x14ac:dyDescent="0.2">
      <c r="I6632" s="137" t="s">
        <v>74</v>
      </c>
    </row>
    <row r="6633" spans="9:9" x14ac:dyDescent="0.2">
      <c r="I6633" s="137" t="s">
        <v>74</v>
      </c>
    </row>
    <row r="6634" spans="9:9" x14ac:dyDescent="0.2">
      <c r="I6634" s="137" t="s">
        <v>74</v>
      </c>
    </row>
    <row r="6635" spans="9:9" x14ac:dyDescent="0.2">
      <c r="I6635" s="137" t="s">
        <v>74</v>
      </c>
    </row>
    <row r="6636" spans="9:9" x14ac:dyDescent="0.2">
      <c r="I6636" s="137" t="s">
        <v>74</v>
      </c>
    </row>
    <row r="6637" spans="9:9" x14ac:dyDescent="0.2">
      <c r="I6637" s="137" t="s">
        <v>74</v>
      </c>
    </row>
    <row r="6638" spans="9:9" x14ac:dyDescent="0.2">
      <c r="I6638" s="137" t="s">
        <v>74</v>
      </c>
    </row>
    <row r="6639" spans="9:9" x14ac:dyDescent="0.2">
      <c r="I6639" s="137" t="s">
        <v>74</v>
      </c>
    </row>
    <row r="6640" spans="9:9" x14ac:dyDescent="0.2">
      <c r="I6640" s="137" t="s">
        <v>74</v>
      </c>
    </row>
    <row r="6641" spans="9:9" x14ac:dyDescent="0.2">
      <c r="I6641" s="137" t="s">
        <v>74</v>
      </c>
    </row>
    <row r="6642" spans="9:9" x14ac:dyDescent="0.2">
      <c r="I6642" s="137" t="s">
        <v>74</v>
      </c>
    </row>
    <row r="6643" spans="9:9" x14ac:dyDescent="0.2">
      <c r="I6643" s="137" t="s">
        <v>74</v>
      </c>
    </row>
    <row r="6644" spans="9:9" x14ac:dyDescent="0.2">
      <c r="I6644" s="137" t="s">
        <v>74</v>
      </c>
    </row>
    <row r="6645" spans="9:9" x14ac:dyDescent="0.2">
      <c r="I6645" s="137" t="s">
        <v>74</v>
      </c>
    </row>
    <row r="6646" spans="9:9" x14ac:dyDescent="0.2">
      <c r="I6646" s="137" t="s">
        <v>74</v>
      </c>
    </row>
    <row r="6647" spans="9:9" x14ac:dyDescent="0.2">
      <c r="I6647" s="137" t="s">
        <v>74</v>
      </c>
    </row>
    <row r="6648" spans="9:9" x14ac:dyDescent="0.2">
      <c r="I6648" s="137" t="s">
        <v>74</v>
      </c>
    </row>
    <row r="6649" spans="9:9" x14ac:dyDescent="0.2">
      <c r="I6649" s="137" t="s">
        <v>74</v>
      </c>
    </row>
    <row r="6650" spans="9:9" x14ac:dyDescent="0.2">
      <c r="I6650" s="137" t="s">
        <v>74</v>
      </c>
    </row>
    <row r="6651" spans="9:9" x14ac:dyDescent="0.2">
      <c r="I6651" s="137" t="s">
        <v>74</v>
      </c>
    </row>
    <row r="6652" spans="9:9" x14ac:dyDescent="0.2">
      <c r="I6652" s="137" t="s">
        <v>74</v>
      </c>
    </row>
    <row r="6653" spans="9:9" x14ac:dyDescent="0.2">
      <c r="I6653" s="137" t="s">
        <v>74</v>
      </c>
    </row>
    <row r="6654" spans="9:9" x14ac:dyDescent="0.2">
      <c r="I6654" s="137" t="s">
        <v>74</v>
      </c>
    </row>
    <row r="6655" spans="9:9" x14ac:dyDescent="0.2">
      <c r="I6655" s="137" t="s">
        <v>74</v>
      </c>
    </row>
    <row r="6656" spans="9:9" x14ac:dyDescent="0.2">
      <c r="I6656" s="137" t="s">
        <v>74</v>
      </c>
    </row>
    <row r="6657" spans="9:9" x14ac:dyDescent="0.2">
      <c r="I6657" s="137" t="s">
        <v>74</v>
      </c>
    </row>
    <row r="6658" spans="9:9" x14ac:dyDescent="0.2">
      <c r="I6658" s="137" t="s">
        <v>74</v>
      </c>
    </row>
    <row r="6659" spans="9:9" x14ac:dyDescent="0.2">
      <c r="I6659" s="137" t="s">
        <v>74</v>
      </c>
    </row>
    <row r="6660" spans="9:9" x14ac:dyDescent="0.2">
      <c r="I6660" s="137" t="s">
        <v>74</v>
      </c>
    </row>
    <row r="6661" spans="9:9" x14ac:dyDescent="0.2">
      <c r="I6661" s="137" t="s">
        <v>74</v>
      </c>
    </row>
    <row r="6662" spans="9:9" x14ac:dyDescent="0.2">
      <c r="I6662" s="137" t="s">
        <v>74</v>
      </c>
    </row>
    <row r="6663" spans="9:9" x14ac:dyDescent="0.2">
      <c r="I6663" s="137" t="s">
        <v>74</v>
      </c>
    </row>
    <row r="6664" spans="9:9" x14ac:dyDescent="0.2">
      <c r="I6664" s="137" t="s">
        <v>74</v>
      </c>
    </row>
    <row r="6665" spans="9:9" x14ac:dyDescent="0.2">
      <c r="I6665" s="137" t="s">
        <v>74</v>
      </c>
    </row>
    <row r="6666" spans="9:9" x14ac:dyDescent="0.2">
      <c r="I6666" s="137" t="s">
        <v>74</v>
      </c>
    </row>
    <row r="6667" spans="9:9" x14ac:dyDescent="0.2">
      <c r="I6667" s="137" t="s">
        <v>74</v>
      </c>
    </row>
    <row r="6668" spans="9:9" x14ac:dyDescent="0.2">
      <c r="I6668" s="137" t="s">
        <v>74</v>
      </c>
    </row>
    <row r="6669" spans="9:9" x14ac:dyDescent="0.2">
      <c r="I6669" s="137" t="s">
        <v>74</v>
      </c>
    </row>
    <row r="6670" spans="9:9" x14ac:dyDescent="0.2">
      <c r="I6670" s="137" t="s">
        <v>74</v>
      </c>
    </row>
    <row r="6671" spans="9:9" x14ac:dyDescent="0.2">
      <c r="I6671" s="137" t="s">
        <v>74</v>
      </c>
    </row>
    <row r="6672" spans="9:9" x14ac:dyDescent="0.2">
      <c r="I6672" s="137" t="s">
        <v>74</v>
      </c>
    </row>
    <row r="6673" spans="9:9" x14ac:dyDescent="0.2">
      <c r="I6673" s="137" t="s">
        <v>74</v>
      </c>
    </row>
    <row r="6674" spans="9:9" x14ac:dyDescent="0.2">
      <c r="I6674" s="137" t="s">
        <v>74</v>
      </c>
    </row>
    <row r="6675" spans="9:9" x14ac:dyDescent="0.2">
      <c r="I6675" s="137" t="s">
        <v>74</v>
      </c>
    </row>
    <row r="6676" spans="9:9" x14ac:dyDescent="0.2">
      <c r="I6676" s="137" t="s">
        <v>74</v>
      </c>
    </row>
    <row r="6677" spans="9:9" x14ac:dyDescent="0.2">
      <c r="I6677" s="137" t="s">
        <v>74</v>
      </c>
    </row>
    <row r="6678" spans="9:9" x14ac:dyDescent="0.2">
      <c r="I6678" s="137" t="s">
        <v>74</v>
      </c>
    </row>
    <row r="6679" spans="9:9" x14ac:dyDescent="0.2">
      <c r="I6679" s="137" t="s">
        <v>74</v>
      </c>
    </row>
    <row r="6680" spans="9:9" x14ac:dyDescent="0.2">
      <c r="I6680" s="137" t="s">
        <v>74</v>
      </c>
    </row>
    <row r="6681" spans="9:9" x14ac:dyDescent="0.2">
      <c r="I6681" s="137" t="s">
        <v>74</v>
      </c>
    </row>
    <row r="6682" spans="9:9" x14ac:dyDescent="0.2">
      <c r="I6682" s="137" t="s">
        <v>74</v>
      </c>
    </row>
    <row r="6683" spans="9:9" x14ac:dyDescent="0.2">
      <c r="I6683" s="137" t="s">
        <v>74</v>
      </c>
    </row>
    <row r="6684" spans="9:9" x14ac:dyDescent="0.2">
      <c r="I6684" s="137" t="s">
        <v>74</v>
      </c>
    </row>
    <row r="6685" spans="9:9" x14ac:dyDescent="0.2">
      <c r="I6685" s="137" t="s">
        <v>74</v>
      </c>
    </row>
    <row r="6686" spans="9:9" x14ac:dyDescent="0.2">
      <c r="I6686" s="137" t="s">
        <v>74</v>
      </c>
    </row>
    <row r="6687" spans="9:9" x14ac:dyDescent="0.2">
      <c r="I6687" s="137" t="s">
        <v>74</v>
      </c>
    </row>
    <row r="6688" spans="9:9" x14ac:dyDescent="0.2">
      <c r="I6688" s="137" t="s">
        <v>74</v>
      </c>
    </row>
    <row r="6689" spans="9:9" x14ac:dyDescent="0.2">
      <c r="I6689" s="137" t="s">
        <v>74</v>
      </c>
    </row>
    <row r="6690" spans="9:9" x14ac:dyDescent="0.2">
      <c r="I6690" s="137" t="s">
        <v>74</v>
      </c>
    </row>
    <row r="6691" spans="9:9" x14ac:dyDescent="0.2">
      <c r="I6691" s="137" t="s">
        <v>74</v>
      </c>
    </row>
    <row r="6692" spans="9:9" x14ac:dyDescent="0.2">
      <c r="I6692" s="137" t="s">
        <v>74</v>
      </c>
    </row>
    <row r="6693" spans="9:9" x14ac:dyDescent="0.2">
      <c r="I6693" s="137" t="s">
        <v>74</v>
      </c>
    </row>
    <row r="6694" spans="9:9" x14ac:dyDescent="0.2">
      <c r="I6694" s="137" t="s">
        <v>74</v>
      </c>
    </row>
    <row r="6695" spans="9:9" x14ac:dyDescent="0.2">
      <c r="I6695" s="137" t="s">
        <v>74</v>
      </c>
    </row>
    <row r="6696" spans="9:9" x14ac:dyDescent="0.2">
      <c r="I6696" s="137" t="s">
        <v>74</v>
      </c>
    </row>
    <row r="6697" spans="9:9" x14ac:dyDescent="0.2">
      <c r="I6697" s="137" t="s">
        <v>74</v>
      </c>
    </row>
    <row r="6698" spans="9:9" x14ac:dyDescent="0.2">
      <c r="I6698" s="137" t="s">
        <v>74</v>
      </c>
    </row>
    <row r="6699" spans="9:9" x14ac:dyDescent="0.2">
      <c r="I6699" s="137" t="s">
        <v>74</v>
      </c>
    </row>
    <row r="6700" spans="9:9" x14ac:dyDescent="0.2">
      <c r="I6700" s="137" t="s">
        <v>74</v>
      </c>
    </row>
    <row r="6701" spans="9:9" x14ac:dyDescent="0.2">
      <c r="I6701" s="137" t="s">
        <v>74</v>
      </c>
    </row>
    <row r="6702" spans="9:9" x14ac:dyDescent="0.2">
      <c r="I6702" s="137" t="s">
        <v>74</v>
      </c>
    </row>
    <row r="6703" spans="9:9" x14ac:dyDescent="0.2">
      <c r="I6703" s="137" t="s">
        <v>74</v>
      </c>
    </row>
    <row r="6704" spans="9:9" x14ac:dyDescent="0.2">
      <c r="I6704" s="137" t="s">
        <v>74</v>
      </c>
    </row>
    <row r="6705" spans="9:9" x14ac:dyDescent="0.2">
      <c r="I6705" s="137" t="s">
        <v>74</v>
      </c>
    </row>
    <row r="6706" spans="9:9" x14ac:dyDescent="0.2">
      <c r="I6706" s="137" t="s">
        <v>74</v>
      </c>
    </row>
    <row r="6707" spans="9:9" x14ac:dyDescent="0.2">
      <c r="I6707" s="137" t="s">
        <v>74</v>
      </c>
    </row>
    <row r="6708" spans="9:9" x14ac:dyDescent="0.2">
      <c r="I6708" s="137" t="s">
        <v>74</v>
      </c>
    </row>
    <row r="6709" spans="9:9" x14ac:dyDescent="0.2">
      <c r="I6709" s="137" t="s">
        <v>74</v>
      </c>
    </row>
    <row r="6710" spans="9:9" x14ac:dyDescent="0.2">
      <c r="I6710" s="137" t="s">
        <v>74</v>
      </c>
    </row>
    <row r="6711" spans="9:9" x14ac:dyDescent="0.2">
      <c r="I6711" s="137" t="s">
        <v>74</v>
      </c>
    </row>
    <row r="6712" spans="9:9" x14ac:dyDescent="0.2">
      <c r="I6712" s="137" t="s">
        <v>74</v>
      </c>
    </row>
    <row r="6713" spans="9:9" x14ac:dyDescent="0.2">
      <c r="I6713" s="137" t="s">
        <v>74</v>
      </c>
    </row>
    <row r="6714" spans="9:9" x14ac:dyDescent="0.2">
      <c r="I6714" s="137" t="s">
        <v>74</v>
      </c>
    </row>
    <row r="6715" spans="9:9" x14ac:dyDescent="0.2">
      <c r="I6715" s="137" t="s">
        <v>74</v>
      </c>
    </row>
    <row r="6716" spans="9:9" x14ac:dyDescent="0.2">
      <c r="I6716" s="137" t="s">
        <v>74</v>
      </c>
    </row>
    <row r="6717" spans="9:9" x14ac:dyDescent="0.2">
      <c r="I6717" s="137" t="s">
        <v>74</v>
      </c>
    </row>
    <row r="6718" spans="9:9" x14ac:dyDescent="0.2">
      <c r="I6718" s="137" t="s">
        <v>74</v>
      </c>
    </row>
    <row r="6719" spans="9:9" x14ac:dyDescent="0.2">
      <c r="I6719" s="137" t="s">
        <v>74</v>
      </c>
    </row>
    <row r="6720" spans="9:9" x14ac:dyDescent="0.2">
      <c r="I6720" s="137" t="s">
        <v>74</v>
      </c>
    </row>
    <row r="6721" spans="9:9" x14ac:dyDescent="0.2">
      <c r="I6721" s="137" t="s">
        <v>74</v>
      </c>
    </row>
    <row r="6722" spans="9:9" x14ac:dyDescent="0.2">
      <c r="I6722" s="137" t="s">
        <v>74</v>
      </c>
    </row>
    <row r="6723" spans="9:9" x14ac:dyDescent="0.2">
      <c r="I6723" s="137" t="s">
        <v>74</v>
      </c>
    </row>
    <row r="6724" spans="9:9" x14ac:dyDescent="0.2">
      <c r="I6724" s="137" t="s">
        <v>74</v>
      </c>
    </row>
    <row r="6725" spans="9:9" x14ac:dyDescent="0.2">
      <c r="I6725" s="137" t="s">
        <v>74</v>
      </c>
    </row>
    <row r="6726" spans="9:9" x14ac:dyDescent="0.2">
      <c r="I6726" s="137" t="s">
        <v>74</v>
      </c>
    </row>
    <row r="6727" spans="9:9" x14ac:dyDescent="0.2">
      <c r="I6727" s="137" t="s">
        <v>74</v>
      </c>
    </row>
    <row r="6728" spans="9:9" x14ac:dyDescent="0.2">
      <c r="I6728" s="137" t="s">
        <v>74</v>
      </c>
    </row>
    <row r="6729" spans="9:9" x14ac:dyDescent="0.2">
      <c r="I6729" s="137" t="s">
        <v>74</v>
      </c>
    </row>
    <row r="6730" spans="9:9" x14ac:dyDescent="0.2">
      <c r="I6730" s="137" t="s">
        <v>74</v>
      </c>
    </row>
    <row r="6731" spans="9:9" x14ac:dyDescent="0.2">
      <c r="I6731" s="137" t="s">
        <v>74</v>
      </c>
    </row>
    <row r="6732" spans="9:9" x14ac:dyDescent="0.2">
      <c r="I6732" s="137" t="s">
        <v>74</v>
      </c>
    </row>
    <row r="6733" spans="9:9" x14ac:dyDescent="0.2">
      <c r="I6733" s="137" t="s">
        <v>74</v>
      </c>
    </row>
    <row r="6734" spans="9:9" x14ac:dyDescent="0.2">
      <c r="I6734" s="137" t="s">
        <v>74</v>
      </c>
    </row>
    <row r="6735" spans="9:9" x14ac:dyDescent="0.2">
      <c r="I6735" s="137" t="s">
        <v>74</v>
      </c>
    </row>
    <row r="6736" spans="9:9" x14ac:dyDescent="0.2">
      <c r="I6736" s="137" t="s">
        <v>74</v>
      </c>
    </row>
    <row r="6737" spans="9:9" x14ac:dyDescent="0.2">
      <c r="I6737" s="137" t="s">
        <v>74</v>
      </c>
    </row>
    <row r="6738" spans="9:9" x14ac:dyDescent="0.2">
      <c r="I6738" s="137" t="s">
        <v>74</v>
      </c>
    </row>
    <row r="6739" spans="9:9" x14ac:dyDescent="0.2">
      <c r="I6739" s="137" t="s">
        <v>74</v>
      </c>
    </row>
    <row r="6740" spans="9:9" x14ac:dyDescent="0.2">
      <c r="I6740" s="137" t="s">
        <v>74</v>
      </c>
    </row>
    <row r="6741" spans="9:9" x14ac:dyDescent="0.2">
      <c r="I6741" s="137" t="s">
        <v>74</v>
      </c>
    </row>
    <row r="6742" spans="9:9" x14ac:dyDescent="0.2">
      <c r="I6742" s="137" t="s">
        <v>74</v>
      </c>
    </row>
    <row r="6743" spans="9:9" x14ac:dyDescent="0.2">
      <c r="I6743" s="137" t="s">
        <v>74</v>
      </c>
    </row>
    <row r="6744" spans="9:9" x14ac:dyDescent="0.2">
      <c r="I6744" s="137" t="s">
        <v>74</v>
      </c>
    </row>
    <row r="6745" spans="9:9" x14ac:dyDescent="0.2">
      <c r="I6745" s="137" t="s">
        <v>74</v>
      </c>
    </row>
    <row r="6746" spans="9:9" x14ac:dyDescent="0.2">
      <c r="I6746" s="137" t="s">
        <v>74</v>
      </c>
    </row>
    <row r="6747" spans="9:9" x14ac:dyDescent="0.2">
      <c r="I6747" s="137" t="s">
        <v>74</v>
      </c>
    </row>
    <row r="6748" spans="9:9" x14ac:dyDescent="0.2">
      <c r="I6748" s="137" t="s">
        <v>74</v>
      </c>
    </row>
    <row r="6749" spans="9:9" x14ac:dyDescent="0.2">
      <c r="I6749" s="137" t="s">
        <v>74</v>
      </c>
    </row>
    <row r="6750" spans="9:9" x14ac:dyDescent="0.2">
      <c r="I6750" s="137" t="s">
        <v>74</v>
      </c>
    </row>
    <row r="6751" spans="9:9" x14ac:dyDescent="0.2">
      <c r="I6751" s="137" t="s">
        <v>74</v>
      </c>
    </row>
    <row r="6752" spans="9:9" x14ac:dyDescent="0.2">
      <c r="I6752" s="137" t="s">
        <v>74</v>
      </c>
    </row>
    <row r="6753" spans="9:9" x14ac:dyDescent="0.2">
      <c r="I6753" s="137" t="s">
        <v>74</v>
      </c>
    </row>
    <row r="6754" spans="9:9" x14ac:dyDescent="0.2">
      <c r="I6754" s="137" t="s">
        <v>74</v>
      </c>
    </row>
    <row r="6755" spans="9:9" x14ac:dyDescent="0.2">
      <c r="I6755" s="137" t="s">
        <v>74</v>
      </c>
    </row>
    <row r="6756" spans="9:9" x14ac:dyDescent="0.2">
      <c r="I6756" s="137" t="s">
        <v>74</v>
      </c>
    </row>
    <row r="6757" spans="9:9" x14ac:dyDescent="0.2">
      <c r="I6757" s="137" t="s">
        <v>74</v>
      </c>
    </row>
    <row r="6758" spans="9:9" x14ac:dyDescent="0.2">
      <c r="I6758" s="137" t="s">
        <v>74</v>
      </c>
    </row>
    <row r="6759" spans="9:9" x14ac:dyDescent="0.2">
      <c r="I6759" s="137" t="s">
        <v>74</v>
      </c>
    </row>
    <row r="6760" spans="9:9" x14ac:dyDescent="0.2">
      <c r="I6760" s="137" t="s">
        <v>74</v>
      </c>
    </row>
    <row r="6761" spans="9:9" x14ac:dyDescent="0.2">
      <c r="I6761" s="137" t="s">
        <v>74</v>
      </c>
    </row>
    <row r="6762" spans="9:9" x14ac:dyDescent="0.2">
      <c r="I6762" s="137" t="s">
        <v>74</v>
      </c>
    </row>
    <row r="6763" spans="9:9" x14ac:dyDescent="0.2">
      <c r="I6763" s="137" t="s">
        <v>74</v>
      </c>
    </row>
    <row r="6764" spans="9:9" x14ac:dyDescent="0.2">
      <c r="I6764" s="137" t="s">
        <v>74</v>
      </c>
    </row>
    <row r="6765" spans="9:9" x14ac:dyDescent="0.2">
      <c r="I6765" s="137" t="s">
        <v>74</v>
      </c>
    </row>
    <row r="6766" spans="9:9" x14ac:dyDescent="0.2">
      <c r="I6766" s="137" t="s">
        <v>74</v>
      </c>
    </row>
    <row r="6767" spans="9:9" x14ac:dyDescent="0.2">
      <c r="I6767" s="137" t="s">
        <v>74</v>
      </c>
    </row>
    <row r="6768" spans="9:9" x14ac:dyDescent="0.2">
      <c r="I6768" s="137" t="s">
        <v>74</v>
      </c>
    </row>
    <row r="6769" spans="9:9" x14ac:dyDescent="0.2">
      <c r="I6769" s="137" t="s">
        <v>74</v>
      </c>
    </row>
    <row r="6770" spans="9:9" x14ac:dyDescent="0.2">
      <c r="I6770" s="137" t="s">
        <v>74</v>
      </c>
    </row>
    <row r="6771" spans="9:9" x14ac:dyDescent="0.2">
      <c r="I6771" s="137" t="s">
        <v>74</v>
      </c>
    </row>
    <row r="6772" spans="9:9" x14ac:dyDescent="0.2">
      <c r="I6772" s="137" t="s">
        <v>74</v>
      </c>
    </row>
    <row r="6773" spans="9:9" x14ac:dyDescent="0.2">
      <c r="I6773" s="137" t="s">
        <v>74</v>
      </c>
    </row>
    <row r="6774" spans="9:9" x14ac:dyDescent="0.2">
      <c r="I6774" s="137" t="s">
        <v>74</v>
      </c>
    </row>
    <row r="6775" spans="9:9" x14ac:dyDescent="0.2">
      <c r="I6775" s="137" t="s">
        <v>74</v>
      </c>
    </row>
    <row r="6776" spans="9:9" x14ac:dyDescent="0.2">
      <c r="I6776" s="137" t="s">
        <v>74</v>
      </c>
    </row>
    <row r="6777" spans="9:9" x14ac:dyDescent="0.2">
      <c r="I6777" s="137" t="s">
        <v>74</v>
      </c>
    </row>
    <row r="6778" spans="9:9" x14ac:dyDescent="0.2">
      <c r="I6778" s="137" t="s">
        <v>74</v>
      </c>
    </row>
    <row r="6779" spans="9:9" x14ac:dyDescent="0.2">
      <c r="I6779" s="137" t="s">
        <v>74</v>
      </c>
    </row>
    <row r="6780" spans="9:9" x14ac:dyDescent="0.2">
      <c r="I6780" s="137" t="s">
        <v>74</v>
      </c>
    </row>
    <row r="6781" spans="9:9" x14ac:dyDescent="0.2">
      <c r="I6781" s="137" t="s">
        <v>74</v>
      </c>
    </row>
    <row r="6782" spans="9:9" x14ac:dyDescent="0.2">
      <c r="I6782" s="137" t="s">
        <v>74</v>
      </c>
    </row>
    <row r="6783" spans="9:9" x14ac:dyDescent="0.2">
      <c r="I6783" s="137" t="s">
        <v>74</v>
      </c>
    </row>
    <row r="6784" spans="9:9" x14ac:dyDescent="0.2">
      <c r="I6784" s="137" t="s">
        <v>74</v>
      </c>
    </row>
    <row r="6785" spans="9:9" x14ac:dyDescent="0.2">
      <c r="I6785" s="137" t="s">
        <v>74</v>
      </c>
    </row>
    <row r="6786" spans="9:9" x14ac:dyDescent="0.2">
      <c r="I6786" s="137" t="s">
        <v>74</v>
      </c>
    </row>
    <row r="6787" spans="9:9" x14ac:dyDescent="0.2">
      <c r="I6787" s="137" t="s">
        <v>74</v>
      </c>
    </row>
    <row r="6788" spans="9:9" x14ac:dyDescent="0.2">
      <c r="I6788" s="137" t="s">
        <v>74</v>
      </c>
    </row>
    <row r="6789" spans="9:9" x14ac:dyDescent="0.2">
      <c r="I6789" s="137" t="s">
        <v>74</v>
      </c>
    </row>
    <row r="6790" spans="9:9" x14ac:dyDescent="0.2">
      <c r="I6790" s="137" t="s">
        <v>74</v>
      </c>
    </row>
    <row r="6791" spans="9:9" x14ac:dyDescent="0.2">
      <c r="I6791" s="137" t="s">
        <v>74</v>
      </c>
    </row>
    <row r="6792" spans="9:9" x14ac:dyDescent="0.2">
      <c r="I6792" s="137" t="s">
        <v>74</v>
      </c>
    </row>
    <row r="6793" spans="9:9" x14ac:dyDescent="0.2">
      <c r="I6793" s="137" t="s">
        <v>74</v>
      </c>
    </row>
    <row r="6794" spans="9:9" x14ac:dyDescent="0.2">
      <c r="I6794" s="137" t="s">
        <v>74</v>
      </c>
    </row>
    <row r="6795" spans="9:9" x14ac:dyDescent="0.2">
      <c r="I6795" s="137" t="s">
        <v>74</v>
      </c>
    </row>
    <row r="6796" spans="9:9" x14ac:dyDescent="0.2">
      <c r="I6796" s="137" t="s">
        <v>74</v>
      </c>
    </row>
    <row r="6797" spans="9:9" x14ac:dyDescent="0.2">
      <c r="I6797" s="137" t="s">
        <v>74</v>
      </c>
    </row>
    <row r="6798" spans="9:9" x14ac:dyDescent="0.2">
      <c r="I6798" s="137" t="s">
        <v>74</v>
      </c>
    </row>
    <row r="6799" spans="9:9" x14ac:dyDescent="0.2">
      <c r="I6799" s="137" t="s">
        <v>74</v>
      </c>
    </row>
    <row r="6800" spans="9:9" x14ac:dyDescent="0.2">
      <c r="I6800" s="137" t="s">
        <v>74</v>
      </c>
    </row>
    <row r="6801" spans="9:9" x14ac:dyDescent="0.2">
      <c r="I6801" s="137" t="s">
        <v>74</v>
      </c>
    </row>
    <row r="6802" spans="9:9" x14ac:dyDescent="0.2">
      <c r="I6802" s="137" t="s">
        <v>74</v>
      </c>
    </row>
    <row r="6803" spans="9:9" x14ac:dyDescent="0.2">
      <c r="I6803" s="137" t="s">
        <v>74</v>
      </c>
    </row>
    <row r="6804" spans="9:9" x14ac:dyDescent="0.2">
      <c r="I6804" s="137" t="s">
        <v>74</v>
      </c>
    </row>
    <row r="6805" spans="9:9" x14ac:dyDescent="0.2">
      <c r="I6805" s="137" t="s">
        <v>74</v>
      </c>
    </row>
    <row r="6806" spans="9:9" x14ac:dyDescent="0.2">
      <c r="I6806" s="137" t="s">
        <v>74</v>
      </c>
    </row>
    <row r="6807" spans="9:9" x14ac:dyDescent="0.2">
      <c r="I6807" s="137" t="s">
        <v>74</v>
      </c>
    </row>
    <row r="6808" spans="9:9" x14ac:dyDescent="0.2">
      <c r="I6808" s="137" t="s">
        <v>74</v>
      </c>
    </row>
    <row r="6809" spans="9:9" x14ac:dyDescent="0.2">
      <c r="I6809" s="137" t="s">
        <v>74</v>
      </c>
    </row>
    <row r="6810" spans="9:9" x14ac:dyDescent="0.2">
      <c r="I6810" s="137" t="s">
        <v>74</v>
      </c>
    </row>
    <row r="6811" spans="9:9" x14ac:dyDescent="0.2">
      <c r="I6811" s="137" t="s">
        <v>74</v>
      </c>
    </row>
    <row r="6812" spans="9:9" x14ac:dyDescent="0.2">
      <c r="I6812" s="137" t="s">
        <v>74</v>
      </c>
    </row>
    <row r="6813" spans="9:9" x14ac:dyDescent="0.2">
      <c r="I6813" s="137" t="s">
        <v>74</v>
      </c>
    </row>
    <row r="6814" spans="9:9" x14ac:dyDescent="0.2">
      <c r="I6814" s="137" t="s">
        <v>74</v>
      </c>
    </row>
    <row r="6815" spans="9:9" x14ac:dyDescent="0.2">
      <c r="I6815" s="137" t="s">
        <v>74</v>
      </c>
    </row>
    <row r="6816" spans="9:9" x14ac:dyDescent="0.2">
      <c r="I6816" s="137" t="s">
        <v>74</v>
      </c>
    </row>
    <row r="6817" spans="9:9" x14ac:dyDescent="0.2">
      <c r="I6817" s="137" t="s">
        <v>74</v>
      </c>
    </row>
    <row r="6818" spans="9:9" x14ac:dyDescent="0.2">
      <c r="I6818" s="137" t="s">
        <v>74</v>
      </c>
    </row>
    <row r="6819" spans="9:9" x14ac:dyDescent="0.2">
      <c r="I6819" s="137" t="s">
        <v>74</v>
      </c>
    </row>
    <row r="6820" spans="9:9" x14ac:dyDescent="0.2">
      <c r="I6820" s="137" t="s">
        <v>74</v>
      </c>
    </row>
    <row r="6821" spans="9:9" x14ac:dyDescent="0.2">
      <c r="I6821" s="137" t="s">
        <v>74</v>
      </c>
    </row>
    <row r="6822" spans="9:9" x14ac:dyDescent="0.2">
      <c r="I6822" s="137" t="s">
        <v>74</v>
      </c>
    </row>
    <row r="6823" spans="9:9" x14ac:dyDescent="0.2">
      <c r="I6823" s="137" t="s">
        <v>74</v>
      </c>
    </row>
    <row r="6824" spans="9:9" x14ac:dyDescent="0.2">
      <c r="I6824" s="137" t="s">
        <v>74</v>
      </c>
    </row>
    <row r="6825" spans="9:9" x14ac:dyDescent="0.2">
      <c r="I6825" s="137" t="s">
        <v>74</v>
      </c>
    </row>
    <row r="6826" spans="9:9" x14ac:dyDescent="0.2">
      <c r="I6826" s="137" t="s">
        <v>74</v>
      </c>
    </row>
    <row r="6827" spans="9:9" x14ac:dyDescent="0.2">
      <c r="I6827" s="137" t="s">
        <v>74</v>
      </c>
    </row>
    <row r="6828" spans="9:9" x14ac:dyDescent="0.2">
      <c r="I6828" s="137" t="s">
        <v>74</v>
      </c>
    </row>
    <row r="6829" spans="9:9" x14ac:dyDescent="0.2">
      <c r="I6829" s="137" t="s">
        <v>74</v>
      </c>
    </row>
    <row r="6830" spans="9:9" x14ac:dyDescent="0.2">
      <c r="I6830" s="137" t="s">
        <v>74</v>
      </c>
    </row>
    <row r="6831" spans="9:9" x14ac:dyDescent="0.2">
      <c r="I6831" s="137" t="s">
        <v>74</v>
      </c>
    </row>
    <row r="6832" spans="9:9" x14ac:dyDescent="0.2">
      <c r="I6832" s="137" t="s">
        <v>74</v>
      </c>
    </row>
    <row r="6833" spans="9:9" x14ac:dyDescent="0.2">
      <c r="I6833" s="137" t="s">
        <v>74</v>
      </c>
    </row>
    <row r="6834" spans="9:9" x14ac:dyDescent="0.2">
      <c r="I6834" s="137" t="s">
        <v>74</v>
      </c>
    </row>
    <row r="6835" spans="9:9" x14ac:dyDescent="0.2">
      <c r="I6835" s="137" t="s">
        <v>74</v>
      </c>
    </row>
    <row r="6836" spans="9:9" x14ac:dyDescent="0.2">
      <c r="I6836" s="137" t="s">
        <v>74</v>
      </c>
    </row>
    <row r="6837" spans="9:9" x14ac:dyDescent="0.2">
      <c r="I6837" s="137" t="s">
        <v>74</v>
      </c>
    </row>
    <row r="6838" spans="9:9" x14ac:dyDescent="0.2">
      <c r="I6838" s="137" t="s">
        <v>74</v>
      </c>
    </row>
    <row r="6839" spans="9:9" x14ac:dyDescent="0.2">
      <c r="I6839" s="137" t="s">
        <v>74</v>
      </c>
    </row>
    <row r="6840" spans="9:9" x14ac:dyDescent="0.2">
      <c r="I6840" s="137" t="s">
        <v>74</v>
      </c>
    </row>
    <row r="6841" spans="9:9" x14ac:dyDescent="0.2">
      <c r="I6841" s="137" t="s">
        <v>74</v>
      </c>
    </row>
    <row r="6842" spans="9:9" x14ac:dyDescent="0.2">
      <c r="I6842" s="137" t="s">
        <v>74</v>
      </c>
    </row>
    <row r="6843" spans="9:9" x14ac:dyDescent="0.2">
      <c r="I6843" s="137" t="s">
        <v>74</v>
      </c>
    </row>
    <row r="6844" spans="9:9" x14ac:dyDescent="0.2">
      <c r="I6844" s="137" t="s">
        <v>74</v>
      </c>
    </row>
    <row r="6845" spans="9:9" x14ac:dyDescent="0.2">
      <c r="I6845" s="137" t="s">
        <v>74</v>
      </c>
    </row>
    <row r="6846" spans="9:9" x14ac:dyDescent="0.2">
      <c r="I6846" s="137" t="s">
        <v>74</v>
      </c>
    </row>
    <row r="6847" spans="9:9" x14ac:dyDescent="0.2">
      <c r="I6847" s="137" t="s">
        <v>74</v>
      </c>
    </row>
    <row r="6848" spans="9:9" x14ac:dyDescent="0.2">
      <c r="I6848" s="137" t="s">
        <v>74</v>
      </c>
    </row>
    <row r="6849" spans="9:9" x14ac:dyDescent="0.2">
      <c r="I6849" s="137" t="s">
        <v>74</v>
      </c>
    </row>
    <row r="6850" spans="9:9" x14ac:dyDescent="0.2">
      <c r="I6850" s="137" t="s">
        <v>74</v>
      </c>
    </row>
    <row r="6851" spans="9:9" x14ac:dyDescent="0.2">
      <c r="I6851" s="137" t="s">
        <v>74</v>
      </c>
    </row>
    <row r="6852" spans="9:9" x14ac:dyDescent="0.2">
      <c r="I6852" s="137" t="s">
        <v>74</v>
      </c>
    </row>
    <row r="6853" spans="9:9" x14ac:dyDescent="0.2">
      <c r="I6853" s="137" t="s">
        <v>74</v>
      </c>
    </row>
    <row r="6854" spans="9:9" x14ac:dyDescent="0.2">
      <c r="I6854" s="137" t="s">
        <v>74</v>
      </c>
    </row>
    <row r="6855" spans="9:9" x14ac:dyDescent="0.2">
      <c r="I6855" s="137" t="s">
        <v>74</v>
      </c>
    </row>
    <row r="6856" spans="9:9" x14ac:dyDescent="0.2">
      <c r="I6856" s="137" t="s">
        <v>74</v>
      </c>
    </row>
    <row r="6857" spans="9:9" x14ac:dyDescent="0.2">
      <c r="I6857" s="137" t="s">
        <v>74</v>
      </c>
    </row>
    <row r="6858" spans="9:9" x14ac:dyDescent="0.2">
      <c r="I6858" s="137" t="s">
        <v>74</v>
      </c>
    </row>
    <row r="6859" spans="9:9" x14ac:dyDescent="0.2">
      <c r="I6859" s="137" t="s">
        <v>74</v>
      </c>
    </row>
    <row r="6860" spans="9:9" x14ac:dyDescent="0.2">
      <c r="I6860" s="137" t="s">
        <v>74</v>
      </c>
    </row>
    <row r="6861" spans="9:9" x14ac:dyDescent="0.2">
      <c r="I6861" s="137" t="s">
        <v>74</v>
      </c>
    </row>
    <row r="6862" spans="9:9" x14ac:dyDescent="0.2">
      <c r="I6862" s="137" t="s">
        <v>74</v>
      </c>
    </row>
    <row r="6863" spans="9:9" x14ac:dyDescent="0.2">
      <c r="I6863" s="137" t="s">
        <v>74</v>
      </c>
    </row>
    <row r="6864" spans="9:9" x14ac:dyDescent="0.2">
      <c r="I6864" s="137" t="s">
        <v>74</v>
      </c>
    </row>
    <row r="6865" spans="9:9" x14ac:dyDescent="0.2">
      <c r="I6865" s="137" t="s">
        <v>74</v>
      </c>
    </row>
    <row r="6866" spans="9:9" x14ac:dyDescent="0.2">
      <c r="I6866" s="137" t="s">
        <v>74</v>
      </c>
    </row>
    <row r="6867" spans="9:9" x14ac:dyDescent="0.2">
      <c r="I6867" s="137" t="s">
        <v>74</v>
      </c>
    </row>
    <row r="6868" spans="9:9" x14ac:dyDescent="0.2">
      <c r="I6868" s="137" t="s">
        <v>74</v>
      </c>
    </row>
    <row r="6869" spans="9:9" x14ac:dyDescent="0.2">
      <c r="I6869" s="137" t="s">
        <v>74</v>
      </c>
    </row>
    <row r="6870" spans="9:9" x14ac:dyDescent="0.2">
      <c r="I6870" s="137" t="s">
        <v>74</v>
      </c>
    </row>
    <row r="6871" spans="9:9" x14ac:dyDescent="0.2">
      <c r="I6871" s="137" t="s">
        <v>74</v>
      </c>
    </row>
    <row r="6872" spans="9:9" x14ac:dyDescent="0.2">
      <c r="I6872" s="137" t="s">
        <v>74</v>
      </c>
    </row>
    <row r="6873" spans="9:9" x14ac:dyDescent="0.2">
      <c r="I6873" s="137" t="s">
        <v>74</v>
      </c>
    </row>
    <row r="6874" spans="9:9" x14ac:dyDescent="0.2">
      <c r="I6874" s="137" t="s">
        <v>74</v>
      </c>
    </row>
    <row r="6875" spans="9:9" x14ac:dyDescent="0.2">
      <c r="I6875" s="137" t="s">
        <v>74</v>
      </c>
    </row>
    <row r="6876" spans="9:9" x14ac:dyDescent="0.2">
      <c r="I6876" s="137" t="s">
        <v>74</v>
      </c>
    </row>
    <row r="6877" spans="9:9" x14ac:dyDescent="0.2">
      <c r="I6877" s="137" t="s">
        <v>74</v>
      </c>
    </row>
    <row r="6878" spans="9:9" x14ac:dyDescent="0.2">
      <c r="I6878" s="137" t="s">
        <v>74</v>
      </c>
    </row>
    <row r="6879" spans="9:9" x14ac:dyDescent="0.2">
      <c r="I6879" s="137" t="s">
        <v>74</v>
      </c>
    </row>
    <row r="6880" spans="9:9" x14ac:dyDescent="0.2">
      <c r="I6880" s="137" t="s">
        <v>74</v>
      </c>
    </row>
    <row r="6881" spans="9:9" x14ac:dyDescent="0.2">
      <c r="I6881" s="137" t="s">
        <v>74</v>
      </c>
    </row>
    <row r="6882" spans="9:9" x14ac:dyDescent="0.2">
      <c r="I6882" s="137" t="s">
        <v>74</v>
      </c>
    </row>
    <row r="6883" spans="9:9" x14ac:dyDescent="0.2">
      <c r="I6883" s="137" t="s">
        <v>74</v>
      </c>
    </row>
    <row r="6884" spans="9:9" x14ac:dyDescent="0.2">
      <c r="I6884" s="137" t="s">
        <v>74</v>
      </c>
    </row>
    <row r="6885" spans="9:9" x14ac:dyDescent="0.2">
      <c r="I6885" s="137" t="s">
        <v>74</v>
      </c>
    </row>
    <row r="6886" spans="9:9" x14ac:dyDescent="0.2">
      <c r="I6886" s="137" t="s">
        <v>74</v>
      </c>
    </row>
    <row r="6887" spans="9:9" x14ac:dyDescent="0.2">
      <c r="I6887" s="137" t="s">
        <v>74</v>
      </c>
    </row>
    <row r="6888" spans="9:9" x14ac:dyDescent="0.2">
      <c r="I6888" s="137" t="s">
        <v>74</v>
      </c>
    </row>
    <row r="6889" spans="9:9" x14ac:dyDescent="0.2">
      <c r="I6889" s="137" t="s">
        <v>74</v>
      </c>
    </row>
    <row r="6890" spans="9:9" x14ac:dyDescent="0.2">
      <c r="I6890" s="137" t="s">
        <v>74</v>
      </c>
    </row>
    <row r="6891" spans="9:9" x14ac:dyDescent="0.2">
      <c r="I6891" s="137" t="s">
        <v>74</v>
      </c>
    </row>
    <row r="6892" spans="9:9" x14ac:dyDescent="0.2">
      <c r="I6892" s="137" t="s">
        <v>74</v>
      </c>
    </row>
    <row r="6893" spans="9:9" x14ac:dyDescent="0.2">
      <c r="I6893" s="137" t="s">
        <v>74</v>
      </c>
    </row>
    <row r="6894" spans="9:9" x14ac:dyDescent="0.2">
      <c r="I6894" s="137" t="s">
        <v>74</v>
      </c>
    </row>
    <row r="6895" spans="9:9" x14ac:dyDescent="0.2">
      <c r="I6895" s="137" t="s">
        <v>74</v>
      </c>
    </row>
    <row r="6896" spans="9:9" x14ac:dyDescent="0.2">
      <c r="I6896" s="137" t="s">
        <v>74</v>
      </c>
    </row>
    <row r="6897" spans="9:9" x14ac:dyDescent="0.2">
      <c r="I6897" s="137" t="s">
        <v>74</v>
      </c>
    </row>
    <row r="6898" spans="9:9" x14ac:dyDescent="0.2">
      <c r="I6898" s="137" t="s">
        <v>74</v>
      </c>
    </row>
    <row r="6899" spans="9:9" x14ac:dyDescent="0.2">
      <c r="I6899" s="137" t="s">
        <v>74</v>
      </c>
    </row>
    <row r="6900" spans="9:9" x14ac:dyDescent="0.2">
      <c r="I6900" s="137" t="s">
        <v>74</v>
      </c>
    </row>
    <row r="6901" spans="9:9" x14ac:dyDescent="0.2">
      <c r="I6901" s="137" t="s">
        <v>74</v>
      </c>
    </row>
    <row r="6902" spans="9:9" x14ac:dyDescent="0.2">
      <c r="I6902" s="137" t="s">
        <v>74</v>
      </c>
    </row>
    <row r="6903" spans="9:9" x14ac:dyDescent="0.2">
      <c r="I6903" s="137" t="s">
        <v>74</v>
      </c>
    </row>
    <row r="6904" spans="9:9" x14ac:dyDescent="0.2">
      <c r="I6904" s="137" t="s">
        <v>74</v>
      </c>
    </row>
    <row r="6905" spans="9:9" x14ac:dyDescent="0.2">
      <c r="I6905" s="137" t="s">
        <v>74</v>
      </c>
    </row>
    <row r="6906" spans="9:9" x14ac:dyDescent="0.2">
      <c r="I6906" s="137" t="s">
        <v>74</v>
      </c>
    </row>
    <row r="6907" spans="9:9" x14ac:dyDescent="0.2">
      <c r="I6907" s="137" t="s">
        <v>74</v>
      </c>
    </row>
    <row r="6908" spans="9:9" x14ac:dyDescent="0.2">
      <c r="I6908" s="137" t="s">
        <v>74</v>
      </c>
    </row>
    <row r="6909" spans="9:9" x14ac:dyDescent="0.2">
      <c r="I6909" s="137" t="s">
        <v>74</v>
      </c>
    </row>
    <row r="6910" spans="9:9" x14ac:dyDescent="0.2">
      <c r="I6910" s="137" t="s">
        <v>74</v>
      </c>
    </row>
    <row r="6911" spans="9:9" x14ac:dyDescent="0.2">
      <c r="I6911" s="137" t="s">
        <v>74</v>
      </c>
    </row>
    <row r="6912" spans="9:9" x14ac:dyDescent="0.2">
      <c r="I6912" s="137" t="s">
        <v>74</v>
      </c>
    </row>
    <row r="6913" spans="9:9" x14ac:dyDescent="0.2">
      <c r="I6913" s="137" t="s">
        <v>74</v>
      </c>
    </row>
    <row r="6914" spans="9:9" x14ac:dyDescent="0.2">
      <c r="I6914" s="137" t="s">
        <v>74</v>
      </c>
    </row>
    <row r="6915" spans="9:9" x14ac:dyDescent="0.2">
      <c r="I6915" s="137" t="s">
        <v>74</v>
      </c>
    </row>
    <row r="6916" spans="9:9" x14ac:dyDescent="0.2">
      <c r="I6916" s="137" t="s">
        <v>74</v>
      </c>
    </row>
    <row r="6917" spans="9:9" x14ac:dyDescent="0.2">
      <c r="I6917" s="137" t="s">
        <v>74</v>
      </c>
    </row>
    <row r="6918" spans="9:9" x14ac:dyDescent="0.2">
      <c r="I6918" s="137" t="s">
        <v>74</v>
      </c>
    </row>
    <row r="6919" spans="9:9" x14ac:dyDescent="0.2">
      <c r="I6919" s="137" t="s">
        <v>74</v>
      </c>
    </row>
    <row r="6920" spans="9:9" x14ac:dyDescent="0.2">
      <c r="I6920" s="137" t="s">
        <v>74</v>
      </c>
    </row>
    <row r="6921" spans="9:9" x14ac:dyDescent="0.2">
      <c r="I6921" s="137" t="s">
        <v>74</v>
      </c>
    </row>
    <row r="6922" spans="9:9" x14ac:dyDescent="0.2">
      <c r="I6922" s="137" t="s">
        <v>74</v>
      </c>
    </row>
    <row r="6923" spans="9:9" x14ac:dyDescent="0.2">
      <c r="I6923" s="137" t="s">
        <v>74</v>
      </c>
    </row>
    <row r="6924" spans="9:9" x14ac:dyDescent="0.2">
      <c r="I6924" s="137" t="s">
        <v>74</v>
      </c>
    </row>
    <row r="6925" spans="9:9" x14ac:dyDescent="0.2">
      <c r="I6925" s="137" t="s">
        <v>74</v>
      </c>
    </row>
    <row r="6926" spans="9:9" x14ac:dyDescent="0.2">
      <c r="I6926" s="137" t="s">
        <v>74</v>
      </c>
    </row>
    <row r="6927" spans="9:9" x14ac:dyDescent="0.2">
      <c r="I6927" s="137" t="s">
        <v>74</v>
      </c>
    </row>
    <row r="6928" spans="9:9" x14ac:dyDescent="0.2">
      <c r="I6928" s="137" t="s">
        <v>74</v>
      </c>
    </row>
    <row r="6929" spans="9:9" x14ac:dyDescent="0.2">
      <c r="I6929" s="137" t="s">
        <v>74</v>
      </c>
    </row>
    <row r="6930" spans="9:9" x14ac:dyDescent="0.2">
      <c r="I6930" s="137" t="s">
        <v>74</v>
      </c>
    </row>
    <row r="6931" spans="9:9" x14ac:dyDescent="0.2">
      <c r="I6931" s="137" t="s">
        <v>74</v>
      </c>
    </row>
    <row r="6932" spans="9:9" x14ac:dyDescent="0.2">
      <c r="I6932" s="137" t="s">
        <v>74</v>
      </c>
    </row>
    <row r="6933" spans="9:9" x14ac:dyDescent="0.2">
      <c r="I6933" s="137" t="s">
        <v>74</v>
      </c>
    </row>
    <row r="6934" spans="9:9" x14ac:dyDescent="0.2">
      <c r="I6934" s="137" t="s">
        <v>74</v>
      </c>
    </row>
    <row r="6935" spans="9:9" x14ac:dyDescent="0.2">
      <c r="I6935" s="137" t="s">
        <v>74</v>
      </c>
    </row>
    <row r="6936" spans="9:9" x14ac:dyDescent="0.2">
      <c r="I6936" s="137" t="s">
        <v>74</v>
      </c>
    </row>
    <row r="6937" spans="9:9" x14ac:dyDescent="0.2">
      <c r="I6937" s="137" t="s">
        <v>74</v>
      </c>
    </row>
    <row r="6938" spans="9:9" x14ac:dyDescent="0.2">
      <c r="I6938" s="137" t="s">
        <v>74</v>
      </c>
    </row>
    <row r="6939" spans="9:9" x14ac:dyDescent="0.2">
      <c r="I6939" s="137" t="s">
        <v>74</v>
      </c>
    </row>
    <row r="6940" spans="9:9" x14ac:dyDescent="0.2">
      <c r="I6940" s="137" t="s">
        <v>74</v>
      </c>
    </row>
    <row r="6941" spans="9:9" x14ac:dyDescent="0.2">
      <c r="I6941" s="137" t="s">
        <v>74</v>
      </c>
    </row>
    <row r="6942" spans="9:9" x14ac:dyDescent="0.2">
      <c r="I6942" s="137" t="s">
        <v>74</v>
      </c>
    </row>
    <row r="6943" spans="9:9" x14ac:dyDescent="0.2">
      <c r="I6943" s="137" t="s">
        <v>74</v>
      </c>
    </row>
    <row r="6944" spans="9:9" x14ac:dyDescent="0.2">
      <c r="I6944" s="137" t="s">
        <v>74</v>
      </c>
    </row>
    <row r="6945" spans="9:9" x14ac:dyDescent="0.2">
      <c r="I6945" s="137" t="s">
        <v>74</v>
      </c>
    </row>
    <row r="6946" spans="9:9" x14ac:dyDescent="0.2">
      <c r="I6946" s="137" t="s">
        <v>74</v>
      </c>
    </row>
    <row r="6947" spans="9:9" x14ac:dyDescent="0.2">
      <c r="I6947" s="137" t="s">
        <v>74</v>
      </c>
    </row>
    <row r="6948" spans="9:9" x14ac:dyDescent="0.2">
      <c r="I6948" s="137" t="s">
        <v>74</v>
      </c>
    </row>
    <row r="6949" spans="9:9" x14ac:dyDescent="0.2">
      <c r="I6949" s="137" t="s">
        <v>74</v>
      </c>
    </row>
    <row r="6950" spans="9:9" x14ac:dyDescent="0.2">
      <c r="I6950" s="137" t="s">
        <v>74</v>
      </c>
    </row>
    <row r="6951" spans="9:9" x14ac:dyDescent="0.2">
      <c r="I6951" s="137" t="s">
        <v>74</v>
      </c>
    </row>
    <row r="6952" spans="9:9" x14ac:dyDescent="0.2">
      <c r="I6952" s="137" t="s">
        <v>74</v>
      </c>
    </row>
    <row r="6953" spans="9:9" x14ac:dyDescent="0.2">
      <c r="I6953" s="137" t="s">
        <v>74</v>
      </c>
    </row>
    <row r="6954" spans="9:9" x14ac:dyDescent="0.2">
      <c r="I6954" s="137" t="s">
        <v>74</v>
      </c>
    </row>
    <row r="6955" spans="9:9" x14ac:dyDescent="0.2">
      <c r="I6955" s="137" t="s">
        <v>74</v>
      </c>
    </row>
    <row r="6956" spans="9:9" x14ac:dyDescent="0.2">
      <c r="I6956" s="137" t="s">
        <v>74</v>
      </c>
    </row>
    <row r="6957" spans="9:9" x14ac:dyDescent="0.2">
      <c r="I6957" s="137" t="s">
        <v>74</v>
      </c>
    </row>
    <row r="6958" spans="9:9" x14ac:dyDescent="0.2">
      <c r="I6958" s="137" t="s">
        <v>74</v>
      </c>
    </row>
    <row r="6959" spans="9:9" x14ac:dyDescent="0.2">
      <c r="I6959" s="137" t="s">
        <v>74</v>
      </c>
    </row>
    <row r="6960" spans="9:9" x14ac:dyDescent="0.2">
      <c r="I6960" s="137" t="s">
        <v>74</v>
      </c>
    </row>
    <row r="6961" spans="9:9" x14ac:dyDescent="0.2">
      <c r="I6961" s="137" t="s">
        <v>74</v>
      </c>
    </row>
    <row r="6962" spans="9:9" x14ac:dyDescent="0.2">
      <c r="I6962" s="137" t="s">
        <v>74</v>
      </c>
    </row>
    <row r="6963" spans="9:9" x14ac:dyDescent="0.2">
      <c r="I6963" s="137" t="s">
        <v>74</v>
      </c>
    </row>
    <row r="6964" spans="9:9" x14ac:dyDescent="0.2">
      <c r="I6964" s="137" t="s">
        <v>74</v>
      </c>
    </row>
    <row r="6965" spans="9:9" x14ac:dyDescent="0.2">
      <c r="I6965" s="137" t="s">
        <v>74</v>
      </c>
    </row>
    <row r="6966" spans="9:9" x14ac:dyDescent="0.2">
      <c r="I6966" s="137" t="s">
        <v>74</v>
      </c>
    </row>
    <row r="6967" spans="9:9" x14ac:dyDescent="0.2">
      <c r="I6967" s="137" t="s">
        <v>74</v>
      </c>
    </row>
    <row r="6968" spans="9:9" x14ac:dyDescent="0.2">
      <c r="I6968" s="137" t="s">
        <v>74</v>
      </c>
    </row>
    <row r="6969" spans="9:9" x14ac:dyDescent="0.2">
      <c r="I6969" s="137" t="s">
        <v>74</v>
      </c>
    </row>
    <row r="6970" spans="9:9" x14ac:dyDescent="0.2">
      <c r="I6970" s="137" t="s">
        <v>74</v>
      </c>
    </row>
    <row r="6971" spans="9:9" x14ac:dyDescent="0.2">
      <c r="I6971" s="137" t="s">
        <v>74</v>
      </c>
    </row>
    <row r="6972" spans="9:9" x14ac:dyDescent="0.2">
      <c r="I6972" s="137" t="s">
        <v>74</v>
      </c>
    </row>
    <row r="6973" spans="9:9" x14ac:dyDescent="0.2">
      <c r="I6973" s="137" t="s">
        <v>74</v>
      </c>
    </row>
    <row r="6974" spans="9:9" x14ac:dyDescent="0.2">
      <c r="I6974" s="137" t="s">
        <v>74</v>
      </c>
    </row>
    <row r="6975" spans="9:9" x14ac:dyDescent="0.2">
      <c r="I6975" s="137" t="s">
        <v>74</v>
      </c>
    </row>
    <row r="6976" spans="9:9" x14ac:dyDescent="0.2">
      <c r="I6976" s="137" t="s">
        <v>74</v>
      </c>
    </row>
    <row r="6977" spans="9:9" x14ac:dyDescent="0.2">
      <c r="I6977" s="137" t="s">
        <v>74</v>
      </c>
    </row>
    <row r="6978" spans="9:9" x14ac:dyDescent="0.2">
      <c r="I6978" s="137" t="s">
        <v>74</v>
      </c>
    </row>
    <row r="6979" spans="9:9" x14ac:dyDescent="0.2">
      <c r="I6979" s="137" t="s">
        <v>74</v>
      </c>
    </row>
    <row r="6980" spans="9:9" x14ac:dyDescent="0.2">
      <c r="I6980" s="137" t="s">
        <v>74</v>
      </c>
    </row>
    <row r="6981" spans="9:9" x14ac:dyDescent="0.2">
      <c r="I6981" s="137" t="s">
        <v>74</v>
      </c>
    </row>
    <row r="6982" spans="9:9" x14ac:dyDescent="0.2">
      <c r="I6982" s="137" t="s">
        <v>74</v>
      </c>
    </row>
    <row r="6983" spans="9:9" x14ac:dyDescent="0.2">
      <c r="I6983" s="137" t="s">
        <v>74</v>
      </c>
    </row>
    <row r="6984" spans="9:9" x14ac:dyDescent="0.2">
      <c r="I6984" s="137" t="s">
        <v>74</v>
      </c>
    </row>
    <row r="6985" spans="9:9" x14ac:dyDescent="0.2">
      <c r="I6985" s="137" t="s">
        <v>74</v>
      </c>
    </row>
    <row r="6986" spans="9:9" x14ac:dyDescent="0.2">
      <c r="I6986" s="137" t="s">
        <v>74</v>
      </c>
    </row>
    <row r="6987" spans="9:9" x14ac:dyDescent="0.2">
      <c r="I6987" s="137" t="s">
        <v>74</v>
      </c>
    </row>
    <row r="6988" spans="9:9" x14ac:dyDescent="0.2">
      <c r="I6988" s="137" t="s">
        <v>74</v>
      </c>
    </row>
    <row r="6989" spans="9:9" x14ac:dyDescent="0.2">
      <c r="I6989" s="137" t="s">
        <v>74</v>
      </c>
    </row>
    <row r="6990" spans="9:9" x14ac:dyDescent="0.2">
      <c r="I6990" s="137" t="s">
        <v>74</v>
      </c>
    </row>
    <row r="6991" spans="9:9" x14ac:dyDescent="0.2">
      <c r="I6991" s="137" t="s">
        <v>74</v>
      </c>
    </row>
    <row r="6992" spans="9:9" x14ac:dyDescent="0.2">
      <c r="I6992" s="137" t="s">
        <v>74</v>
      </c>
    </row>
    <row r="6993" spans="9:9" x14ac:dyDescent="0.2">
      <c r="I6993" s="137" t="s">
        <v>74</v>
      </c>
    </row>
    <row r="6994" spans="9:9" x14ac:dyDescent="0.2">
      <c r="I6994" s="137" t="s">
        <v>74</v>
      </c>
    </row>
    <row r="6995" spans="9:9" x14ac:dyDescent="0.2">
      <c r="I6995" s="137" t="s">
        <v>74</v>
      </c>
    </row>
    <row r="6996" spans="9:9" x14ac:dyDescent="0.2">
      <c r="I6996" s="137" t="s">
        <v>74</v>
      </c>
    </row>
    <row r="6997" spans="9:9" x14ac:dyDescent="0.2">
      <c r="I6997" s="137" t="s">
        <v>74</v>
      </c>
    </row>
    <row r="6998" spans="9:9" x14ac:dyDescent="0.2">
      <c r="I6998" s="137" t="s">
        <v>74</v>
      </c>
    </row>
    <row r="6999" spans="9:9" x14ac:dyDescent="0.2">
      <c r="I6999" s="137" t="s">
        <v>74</v>
      </c>
    </row>
    <row r="7000" spans="9:9" x14ac:dyDescent="0.2">
      <c r="I7000" s="137" t="s">
        <v>74</v>
      </c>
    </row>
    <row r="7001" spans="9:9" x14ac:dyDescent="0.2">
      <c r="I7001" s="137" t="s">
        <v>74</v>
      </c>
    </row>
    <row r="7002" spans="9:9" x14ac:dyDescent="0.2">
      <c r="I7002" s="137" t="s">
        <v>74</v>
      </c>
    </row>
    <row r="7003" spans="9:9" x14ac:dyDescent="0.2">
      <c r="I7003" s="137" t="s">
        <v>74</v>
      </c>
    </row>
    <row r="7004" spans="9:9" x14ac:dyDescent="0.2">
      <c r="I7004" s="137" t="s">
        <v>74</v>
      </c>
    </row>
    <row r="7005" spans="9:9" x14ac:dyDescent="0.2">
      <c r="I7005" s="137" t="s">
        <v>74</v>
      </c>
    </row>
    <row r="7006" spans="9:9" x14ac:dyDescent="0.2">
      <c r="I7006" s="137" t="s">
        <v>74</v>
      </c>
    </row>
    <row r="7007" spans="9:9" x14ac:dyDescent="0.2">
      <c r="I7007" s="137" t="s">
        <v>74</v>
      </c>
    </row>
    <row r="7008" spans="9:9" x14ac:dyDescent="0.2">
      <c r="I7008" s="137" t="s">
        <v>74</v>
      </c>
    </row>
    <row r="7009" spans="9:9" x14ac:dyDescent="0.2">
      <c r="I7009" s="137" t="s">
        <v>74</v>
      </c>
    </row>
    <row r="7010" spans="9:9" x14ac:dyDescent="0.2">
      <c r="I7010" s="137" t="s">
        <v>74</v>
      </c>
    </row>
    <row r="7011" spans="9:9" x14ac:dyDescent="0.2">
      <c r="I7011" s="137" t="s">
        <v>74</v>
      </c>
    </row>
    <row r="7012" spans="9:9" x14ac:dyDescent="0.2">
      <c r="I7012" s="137" t="s">
        <v>74</v>
      </c>
    </row>
    <row r="7013" spans="9:9" x14ac:dyDescent="0.2">
      <c r="I7013" s="137" t="s">
        <v>74</v>
      </c>
    </row>
    <row r="7014" spans="9:9" x14ac:dyDescent="0.2">
      <c r="I7014" s="137" t="s">
        <v>74</v>
      </c>
    </row>
    <row r="7015" spans="9:9" x14ac:dyDescent="0.2">
      <c r="I7015" s="137" t="s">
        <v>74</v>
      </c>
    </row>
    <row r="7016" spans="9:9" x14ac:dyDescent="0.2">
      <c r="I7016" s="137" t="s">
        <v>74</v>
      </c>
    </row>
    <row r="7017" spans="9:9" x14ac:dyDescent="0.2">
      <c r="I7017" s="137" t="s">
        <v>74</v>
      </c>
    </row>
    <row r="7018" spans="9:9" x14ac:dyDescent="0.2">
      <c r="I7018" s="137" t="s">
        <v>74</v>
      </c>
    </row>
    <row r="7019" spans="9:9" x14ac:dyDescent="0.2">
      <c r="I7019" s="137" t="s">
        <v>74</v>
      </c>
    </row>
    <row r="7020" spans="9:9" x14ac:dyDescent="0.2">
      <c r="I7020" s="137" t="s">
        <v>74</v>
      </c>
    </row>
    <row r="7021" spans="9:9" x14ac:dyDescent="0.2">
      <c r="I7021" s="137" t="s">
        <v>74</v>
      </c>
    </row>
    <row r="7022" spans="9:9" x14ac:dyDescent="0.2">
      <c r="I7022" s="137" t="s">
        <v>74</v>
      </c>
    </row>
    <row r="7023" spans="9:9" x14ac:dyDescent="0.2">
      <c r="I7023" s="137" t="s">
        <v>74</v>
      </c>
    </row>
    <row r="7024" spans="9:9" x14ac:dyDescent="0.2">
      <c r="I7024" s="137" t="s">
        <v>74</v>
      </c>
    </row>
    <row r="7025" spans="9:9" x14ac:dyDescent="0.2">
      <c r="I7025" s="137" t="s">
        <v>74</v>
      </c>
    </row>
    <row r="7026" spans="9:9" x14ac:dyDescent="0.2">
      <c r="I7026" s="137" t="s">
        <v>74</v>
      </c>
    </row>
    <row r="7027" spans="9:9" x14ac:dyDescent="0.2">
      <c r="I7027" s="137" t="s">
        <v>74</v>
      </c>
    </row>
    <row r="7028" spans="9:9" x14ac:dyDescent="0.2">
      <c r="I7028" s="137" t="s">
        <v>74</v>
      </c>
    </row>
    <row r="7029" spans="9:9" x14ac:dyDescent="0.2">
      <c r="I7029" s="137" t="s">
        <v>74</v>
      </c>
    </row>
    <row r="7030" spans="9:9" x14ac:dyDescent="0.2">
      <c r="I7030" s="137" t="s">
        <v>74</v>
      </c>
    </row>
    <row r="7031" spans="9:9" x14ac:dyDescent="0.2">
      <c r="I7031" s="137" t="s">
        <v>74</v>
      </c>
    </row>
    <row r="7032" spans="9:9" x14ac:dyDescent="0.2">
      <c r="I7032" s="137" t="s">
        <v>74</v>
      </c>
    </row>
    <row r="7033" spans="9:9" x14ac:dyDescent="0.2">
      <c r="I7033" s="137" t="s">
        <v>74</v>
      </c>
    </row>
    <row r="7034" spans="9:9" x14ac:dyDescent="0.2">
      <c r="I7034" s="137" t="s">
        <v>74</v>
      </c>
    </row>
    <row r="7035" spans="9:9" x14ac:dyDescent="0.2">
      <c r="I7035" s="137" t="s">
        <v>74</v>
      </c>
    </row>
    <row r="7036" spans="9:9" x14ac:dyDescent="0.2">
      <c r="I7036" s="137" t="s">
        <v>74</v>
      </c>
    </row>
    <row r="7037" spans="9:9" x14ac:dyDescent="0.2">
      <c r="I7037" s="137" t="s">
        <v>74</v>
      </c>
    </row>
    <row r="7038" spans="9:9" x14ac:dyDescent="0.2">
      <c r="I7038" s="137" t="s">
        <v>74</v>
      </c>
    </row>
    <row r="7039" spans="9:9" x14ac:dyDescent="0.2">
      <c r="I7039" s="137" t="s">
        <v>74</v>
      </c>
    </row>
    <row r="7040" spans="9:9" x14ac:dyDescent="0.2">
      <c r="I7040" s="137" t="s">
        <v>74</v>
      </c>
    </row>
    <row r="7041" spans="9:9" x14ac:dyDescent="0.2">
      <c r="I7041" s="137" t="s">
        <v>74</v>
      </c>
    </row>
    <row r="7042" spans="9:9" x14ac:dyDescent="0.2">
      <c r="I7042" s="137" t="s">
        <v>74</v>
      </c>
    </row>
    <row r="7043" spans="9:9" x14ac:dyDescent="0.2">
      <c r="I7043" s="137" t="s">
        <v>74</v>
      </c>
    </row>
    <row r="7044" spans="9:9" x14ac:dyDescent="0.2">
      <c r="I7044" s="137" t="s">
        <v>74</v>
      </c>
    </row>
    <row r="7045" spans="9:9" x14ac:dyDescent="0.2">
      <c r="I7045" s="137" t="s">
        <v>74</v>
      </c>
    </row>
    <row r="7046" spans="9:9" x14ac:dyDescent="0.2">
      <c r="I7046" s="137" t="s">
        <v>74</v>
      </c>
    </row>
    <row r="7047" spans="9:9" x14ac:dyDescent="0.2">
      <c r="I7047" s="137" t="s">
        <v>74</v>
      </c>
    </row>
    <row r="7048" spans="9:9" x14ac:dyDescent="0.2">
      <c r="I7048" s="137" t="s">
        <v>74</v>
      </c>
    </row>
    <row r="7049" spans="9:9" x14ac:dyDescent="0.2">
      <c r="I7049" s="137" t="s">
        <v>74</v>
      </c>
    </row>
    <row r="7050" spans="9:9" x14ac:dyDescent="0.2">
      <c r="I7050" s="137" t="s">
        <v>74</v>
      </c>
    </row>
    <row r="7051" spans="9:9" x14ac:dyDescent="0.2">
      <c r="I7051" s="137" t="s">
        <v>74</v>
      </c>
    </row>
    <row r="7052" spans="9:9" x14ac:dyDescent="0.2">
      <c r="I7052" s="137" t="s">
        <v>74</v>
      </c>
    </row>
    <row r="7053" spans="9:9" x14ac:dyDescent="0.2">
      <c r="I7053" s="137" t="s">
        <v>74</v>
      </c>
    </row>
    <row r="7054" spans="9:9" x14ac:dyDescent="0.2">
      <c r="I7054" s="137" t="s">
        <v>74</v>
      </c>
    </row>
    <row r="7055" spans="9:9" x14ac:dyDescent="0.2">
      <c r="I7055" s="137" t="s">
        <v>74</v>
      </c>
    </row>
    <row r="7056" spans="9:9" x14ac:dyDescent="0.2">
      <c r="I7056" s="137" t="s">
        <v>74</v>
      </c>
    </row>
    <row r="7057" spans="9:9" x14ac:dyDescent="0.2">
      <c r="I7057" s="137" t="s">
        <v>74</v>
      </c>
    </row>
    <row r="7058" spans="9:9" x14ac:dyDescent="0.2">
      <c r="I7058" s="137" t="s">
        <v>74</v>
      </c>
    </row>
    <row r="7059" spans="9:9" x14ac:dyDescent="0.2">
      <c r="I7059" s="137" t="s">
        <v>74</v>
      </c>
    </row>
    <row r="7060" spans="9:9" x14ac:dyDescent="0.2">
      <c r="I7060" s="137" t="s">
        <v>74</v>
      </c>
    </row>
    <row r="7061" spans="9:9" x14ac:dyDescent="0.2">
      <c r="I7061" s="137" t="s">
        <v>74</v>
      </c>
    </row>
    <row r="7062" spans="9:9" x14ac:dyDescent="0.2">
      <c r="I7062" s="137" t="s">
        <v>74</v>
      </c>
    </row>
    <row r="7063" spans="9:9" x14ac:dyDescent="0.2">
      <c r="I7063" s="137" t="s">
        <v>74</v>
      </c>
    </row>
    <row r="7064" spans="9:9" x14ac:dyDescent="0.2">
      <c r="I7064" s="137" t="s">
        <v>74</v>
      </c>
    </row>
    <row r="7065" spans="9:9" x14ac:dyDescent="0.2">
      <c r="I7065" s="137" t="s">
        <v>74</v>
      </c>
    </row>
    <row r="7066" spans="9:9" x14ac:dyDescent="0.2">
      <c r="I7066" s="137" t="s">
        <v>74</v>
      </c>
    </row>
    <row r="7067" spans="9:9" x14ac:dyDescent="0.2">
      <c r="I7067" s="137" t="s">
        <v>74</v>
      </c>
    </row>
    <row r="7068" spans="9:9" x14ac:dyDescent="0.2">
      <c r="I7068" s="137" t="s">
        <v>74</v>
      </c>
    </row>
    <row r="7069" spans="9:9" x14ac:dyDescent="0.2">
      <c r="I7069" s="137" t="s">
        <v>74</v>
      </c>
    </row>
    <row r="7070" spans="9:9" x14ac:dyDescent="0.2">
      <c r="I7070" s="137" t="s">
        <v>74</v>
      </c>
    </row>
    <row r="7071" spans="9:9" x14ac:dyDescent="0.2">
      <c r="I7071" s="137" t="s">
        <v>74</v>
      </c>
    </row>
    <row r="7072" spans="9:9" x14ac:dyDescent="0.2">
      <c r="I7072" s="137" t="s">
        <v>74</v>
      </c>
    </row>
    <row r="7073" spans="9:9" x14ac:dyDescent="0.2">
      <c r="I7073" s="137" t="s">
        <v>74</v>
      </c>
    </row>
    <row r="7074" spans="9:9" x14ac:dyDescent="0.2">
      <c r="I7074" s="137" t="s">
        <v>74</v>
      </c>
    </row>
    <row r="7075" spans="9:9" x14ac:dyDescent="0.2">
      <c r="I7075" s="137" t="s">
        <v>74</v>
      </c>
    </row>
    <row r="7076" spans="9:9" x14ac:dyDescent="0.2">
      <c r="I7076" s="137" t="s">
        <v>74</v>
      </c>
    </row>
    <row r="7077" spans="9:9" x14ac:dyDescent="0.2">
      <c r="I7077" s="137" t="s">
        <v>74</v>
      </c>
    </row>
    <row r="7078" spans="9:9" x14ac:dyDescent="0.2">
      <c r="I7078" s="137" t="s">
        <v>74</v>
      </c>
    </row>
    <row r="7079" spans="9:9" x14ac:dyDescent="0.2">
      <c r="I7079" s="137" t="s">
        <v>74</v>
      </c>
    </row>
    <row r="7080" spans="9:9" x14ac:dyDescent="0.2">
      <c r="I7080" s="137" t="s">
        <v>74</v>
      </c>
    </row>
    <row r="7081" spans="9:9" x14ac:dyDescent="0.2">
      <c r="I7081" s="137" t="s">
        <v>74</v>
      </c>
    </row>
    <row r="7082" spans="9:9" x14ac:dyDescent="0.2">
      <c r="I7082" s="137" t="s">
        <v>74</v>
      </c>
    </row>
    <row r="7083" spans="9:9" x14ac:dyDescent="0.2">
      <c r="I7083" s="137" t="s">
        <v>74</v>
      </c>
    </row>
    <row r="7084" spans="9:9" x14ac:dyDescent="0.2">
      <c r="I7084" s="137" t="s">
        <v>74</v>
      </c>
    </row>
    <row r="7085" spans="9:9" x14ac:dyDescent="0.2">
      <c r="I7085" s="137" t="s">
        <v>74</v>
      </c>
    </row>
    <row r="7086" spans="9:9" x14ac:dyDescent="0.2">
      <c r="I7086" s="137" t="s">
        <v>74</v>
      </c>
    </row>
    <row r="7087" spans="9:9" x14ac:dyDescent="0.2">
      <c r="I7087" s="137" t="s">
        <v>74</v>
      </c>
    </row>
    <row r="7088" spans="9:9" x14ac:dyDescent="0.2">
      <c r="I7088" s="137" t="s">
        <v>74</v>
      </c>
    </row>
    <row r="7089" spans="9:9" x14ac:dyDescent="0.2">
      <c r="I7089" s="137" t="s">
        <v>74</v>
      </c>
    </row>
    <row r="7090" spans="9:9" x14ac:dyDescent="0.2">
      <c r="I7090" s="137" t="s">
        <v>74</v>
      </c>
    </row>
    <row r="7091" spans="9:9" x14ac:dyDescent="0.2">
      <c r="I7091" s="137" t="s">
        <v>74</v>
      </c>
    </row>
    <row r="7092" spans="9:9" x14ac:dyDescent="0.2">
      <c r="I7092" s="137" t="s">
        <v>74</v>
      </c>
    </row>
    <row r="7093" spans="9:9" x14ac:dyDescent="0.2">
      <c r="I7093" s="137" t="s">
        <v>74</v>
      </c>
    </row>
    <row r="7094" spans="9:9" x14ac:dyDescent="0.2">
      <c r="I7094" s="137" t="s">
        <v>74</v>
      </c>
    </row>
    <row r="7095" spans="9:9" x14ac:dyDescent="0.2">
      <c r="I7095" s="137" t="s">
        <v>74</v>
      </c>
    </row>
    <row r="7096" spans="9:9" x14ac:dyDescent="0.2">
      <c r="I7096" s="137" t="s">
        <v>74</v>
      </c>
    </row>
    <row r="7097" spans="9:9" x14ac:dyDescent="0.2">
      <c r="I7097" s="137" t="s">
        <v>74</v>
      </c>
    </row>
    <row r="7098" spans="9:9" x14ac:dyDescent="0.2">
      <c r="I7098" s="137" t="s">
        <v>74</v>
      </c>
    </row>
    <row r="7099" spans="9:9" x14ac:dyDescent="0.2">
      <c r="I7099" s="137" t="s">
        <v>74</v>
      </c>
    </row>
    <row r="7100" spans="9:9" x14ac:dyDescent="0.2">
      <c r="I7100" s="137" t="s">
        <v>74</v>
      </c>
    </row>
    <row r="7101" spans="9:9" x14ac:dyDescent="0.2">
      <c r="I7101" s="137" t="s">
        <v>74</v>
      </c>
    </row>
    <row r="7102" spans="9:9" x14ac:dyDescent="0.2">
      <c r="I7102" s="137" t="s">
        <v>74</v>
      </c>
    </row>
    <row r="7103" spans="9:9" x14ac:dyDescent="0.2">
      <c r="I7103" s="137" t="s">
        <v>74</v>
      </c>
    </row>
    <row r="7104" spans="9:9" x14ac:dyDescent="0.2">
      <c r="I7104" s="137" t="s">
        <v>74</v>
      </c>
    </row>
    <row r="7105" spans="9:9" x14ac:dyDescent="0.2">
      <c r="I7105" s="137" t="s">
        <v>74</v>
      </c>
    </row>
    <row r="7106" spans="9:9" x14ac:dyDescent="0.2">
      <c r="I7106" s="137" t="s">
        <v>74</v>
      </c>
    </row>
    <row r="7107" spans="9:9" x14ac:dyDescent="0.2">
      <c r="I7107" s="137" t="s">
        <v>74</v>
      </c>
    </row>
    <row r="7108" spans="9:9" x14ac:dyDescent="0.2">
      <c r="I7108" s="137" t="s">
        <v>74</v>
      </c>
    </row>
    <row r="7109" spans="9:9" x14ac:dyDescent="0.2">
      <c r="I7109" s="137" t="s">
        <v>74</v>
      </c>
    </row>
    <row r="7110" spans="9:9" x14ac:dyDescent="0.2">
      <c r="I7110" s="137" t="s">
        <v>74</v>
      </c>
    </row>
    <row r="7111" spans="9:9" x14ac:dyDescent="0.2">
      <c r="I7111" s="137" t="s">
        <v>74</v>
      </c>
    </row>
    <row r="7112" spans="9:9" x14ac:dyDescent="0.2">
      <c r="I7112" s="137" t="s">
        <v>74</v>
      </c>
    </row>
    <row r="7113" spans="9:9" x14ac:dyDescent="0.2">
      <c r="I7113" s="137" t="s">
        <v>74</v>
      </c>
    </row>
    <row r="7114" spans="9:9" x14ac:dyDescent="0.2">
      <c r="I7114" s="137" t="s">
        <v>74</v>
      </c>
    </row>
    <row r="7115" spans="9:9" x14ac:dyDescent="0.2">
      <c r="I7115" s="137" t="s">
        <v>74</v>
      </c>
    </row>
    <row r="7116" spans="9:9" x14ac:dyDescent="0.2">
      <c r="I7116" s="137" t="s">
        <v>74</v>
      </c>
    </row>
    <row r="7117" spans="9:9" x14ac:dyDescent="0.2">
      <c r="I7117" s="137" t="s">
        <v>74</v>
      </c>
    </row>
    <row r="7118" spans="9:9" x14ac:dyDescent="0.2">
      <c r="I7118" s="137" t="s">
        <v>74</v>
      </c>
    </row>
    <row r="7119" spans="9:9" x14ac:dyDescent="0.2">
      <c r="I7119" s="137" t="s">
        <v>74</v>
      </c>
    </row>
    <row r="7120" spans="9:9" x14ac:dyDescent="0.2">
      <c r="I7120" s="137" t="s">
        <v>74</v>
      </c>
    </row>
    <row r="7121" spans="9:9" x14ac:dyDescent="0.2">
      <c r="I7121" s="137" t="s">
        <v>74</v>
      </c>
    </row>
    <row r="7122" spans="9:9" x14ac:dyDescent="0.2">
      <c r="I7122" s="137" t="s">
        <v>74</v>
      </c>
    </row>
    <row r="7123" spans="9:9" x14ac:dyDescent="0.2">
      <c r="I7123" s="137" t="s">
        <v>74</v>
      </c>
    </row>
    <row r="7124" spans="9:9" x14ac:dyDescent="0.2">
      <c r="I7124" s="137" t="s">
        <v>74</v>
      </c>
    </row>
    <row r="7125" spans="9:9" x14ac:dyDescent="0.2">
      <c r="I7125" s="137" t="s">
        <v>74</v>
      </c>
    </row>
    <row r="7126" spans="9:9" x14ac:dyDescent="0.2">
      <c r="I7126" s="137" t="s">
        <v>74</v>
      </c>
    </row>
    <row r="7127" spans="9:9" x14ac:dyDescent="0.2">
      <c r="I7127" s="137" t="s">
        <v>74</v>
      </c>
    </row>
    <row r="7128" spans="9:9" x14ac:dyDescent="0.2">
      <c r="I7128" s="137" t="s">
        <v>74</v>
      </c>
    </row>
    <row r="7129" spans="9:9" x14ac:dyDescent="0.2">
      <c r="I7129" s="137" t="s">
        <v>74</v>
      </c>
    </row>
    <row r="7130" spans="9:9" x14ac:dyDescent="0.2">
      <c r="I7130" s="137" t="s">
        <v>74</v>
      </c>
    </row>
    <row r="7131" spans="9:9" x14ac:dyDescent="0.2">
      <c r="I7131" s="137" t="s">
        <v>74</v>
      </c>
    </row>
    <row r="7132" spans="9:9" x14ac:dyDescent="0.2">
      <c r="I7132" s="137" t="s">
        <v>74</v>
      </c>
    </row>
    <row r="7133" spans="9:9" x14ac:dyDescent="0.2">
      <c r="I7133" s="137" t="s">
        <v>74</v>
      </c>
    </row>
    <row r="7134" spans="9:9" x14ac:dyDescent="0.2">
      <c r="I7134" s="137" t="s">
        <v>74</v>
      </c>
    </row>
    <row r="7135" spans="9:9" x14ac:dyDescent="0.2">
      <c r="I7135" s="137" t="s">
        <v>74</v>
      </c>
    </row>
    <row r="7136" spans="9:9" x14ac:dyDescent="0.2">
      <c r="I7136" s="137" t="s">
        <v>74</v>
      </c>
    </row>
    <row r="7137" spans="9:9" x14ac:dyDescent="0.2">
      <c r="I7137" s="137" t="s">
        <v>74</v>
      </c>
    </row>
    <row r="7138" spans="9:9" x14ac:dyDescent="0.2">
      <c r="I7138" s="137" t="s">
        <v>74</v>
      </c>
    </row>
    <row r="7139" spans="9:9" x14ac:dyDescent="0.2">
      <c r="I7139" s="137" t="s">
        <v>74</v>
      </c>
    </row>
    <row r="7140" spans="9:9" x14ac:dyDescent="0.2">
      <c r="I7140" s="137" t="s">
        <v>74</v>
      </c>
    </row>
    <row r="7141" spans="9:9" x14ac:dyDescent="0.2">
      <c r="I7141" s="137" t="s">
        <v>74</v>
      </c>
    </row>
    <row r="7142" spans="9:9" x14ac:dyDescent="0.2">
      <c r="I7142" s="137" t="s">
        <v>74</v>
      </c>
    </row>
    <row r="7143" spans="9:9" x14ac:dyDescent="0.2">
      <c r="I7143" s="137" t="s">
        <v>74</v>
      </c>
    </row>
    <row r="7144" spans="9:9" x14ac:dyDescent="0.2">
      <c r="I7144" s="137" t="s">
        <v>74</v>
      </c>
    </row>
    <row r="7145" spans="9:9" x14ac:dyDescent="0.2">
      <c r="I7145" s="137" t="s">
        <v>74</v>
      </c>
    </row>
    <row r="7146" spans="9:9" x14ac:dyDescent="0.2">
      <c r="I7146" s="137" t="s">
        <v>74</v>
      </c>
    </row>
    <row r="7147" spans="9:9" x14ac:dyDescent="0.2">
      <c r="I7147" s="137" t="s">
        <v>74</v>
      </c>
    </row>
    <row r="7148" spans="9:9" x14ac:dyDescent="0.2">
      <c r="I7148" s="137" t="s">
        <v>74</v>
      </c>
    </row>
    <row r="7149" spans="9:9" x14ac:dyDescent="0.2">
      <c r="I7149" s="137" t="s">
        <v>74</v>
      </c>
    </row>
    <row r="7150" spans="9:9" x14ac:dyDescent="0.2">
      <c r="I7150" s="137" t="s">
        <v>74</v>
      </c>
    </row>
    <row r="7151" spans="9:9" x14ac:dyDescent="0.2">
      <c r="I7151" s="137" t="s">
        <v>74</v>
      </c>
    </row>
    <row r="7152" spans="9:9" x14ac:dyDescent="0.2">
      <c r="I7152" s="137" t="s">
        <v>74</v>
      </c>
    </row>
    <row r="7153" spans="9:9" x14ac:dyDescent="0.2">
      <c r="I7153" s="137" t="s">
        <v>74</v>
      </c>
    </row>
    <row r="7154" spans="9:9" x14ac:dyDescent="0.2">
      <c r="I7154" s="137" t="s">
        <v>74</v>
      </c>
    </row>
    <row r="7155" spans="9:9" x14ac:dyDescent="0.2">
      <c r="I7155" s="137" t="s">
        <v>74</v>
      </c>
    </row>
    <row r="7156" spans="9:9" x14ac:dyDescent="0.2">
      <c r="I7156" s="137" t="s">
        <v>74</v>
      </c>
    </row>
    <row r="7157" spans="9:9" x14ac:dyDescent="0.2">
      <c r="I7157" s="137" t="s">
        <v>74</v>
      </c>
    </row>
    <row r="7158" spans="9:9" x14ac:dyDescent="0.2">
      <c r="I7158" s="137" t="s">
        <v>74</v>
      </c>
    </row>
    <row r="7159" spans="9:9" x14ac:dyDescent="0.2">
      <c r="I7159" s="137" t="s">
        <v>74</v>
      </c>
    </row>
    <row r="7160" spans="9:9" x14ac:dyDescent="0.2">
      <c r="I7160" s="137" t="s">
        <v>74</v>
      </c>
    </row>
    <row r="7161" spans="9:9" x14ac:dyDescent="0.2">
      <c r="I7161" s="137" t="s">
        <v>74</v>
      </c>
    </row>
    <row r="7162" spans="9:9" x14ac:dyDescent="0.2">
      <c r="I7162" s="137" t="s">
        <v>74</v>
      </c>
    </row>
    <row r="7163" spans="9:9" x14ac:dyDescent="0.2">
      <c r="I7163" s="137" t="s">
        <v>74</v>
      </c>
    </row>
    <row r="7164" spans="9:9" x14ac:dyDescent="0.2">
      <c r="I7164" s="137" t="s">
        <v>74</v>
      </c>
    </row>
    <row r="7165" spans="9:9" x14ac:dyDescent="0.2">
      <c r="I7165" s="137" t="s">
        <v>74</v>
      </c>
    </row>
    <row r="7166" spans="9:9" x14ac:dyDescent="0.2">
      <c r="I7166" s="137" t="s">
        <v>74</v>
      </c>
    </row>
    <row r="7167" spans="9:9" x14ac:dyDescent="0.2">
      <c r="I7167" s="137" t="s">
        <v>74</v>
      </c>
    </row>
    <row r="7168" spans="9:9" x14ac:dyDescent="0.2">
      <c r="I7168" s="137" t="s">
        <v>74</v>
      </c>
    </row>
    <row r="7169" spans="9:9" x14ac:dyDescent="0.2">
      <c r="I7169" s="137" t="s">
        <v>74</v>
      </c>
    </row>
    <row r="7170" spans="9:9" x14ac:dyDescent="0.2">
      <c r="I7170" s="137" t="s">
        <v>74</v>
      </c>
    </row>
    <row r="7171" spans="9:9" x14ac:dyDescent="0.2">
      <c r="I7171" s="137" t="s">
        <v>74</v>
      </c>
    </row>
    <row r="7172" spans="9:9" x14ac:dyDescent="0.2">
      <c r="I7172" s="137" t="s">
        <v>74</v>
      </c>
    </row>
    <row r="7173" spans="9:9" x14ac:dyDescent="0.2">
      <c r="I7173" s="137" t="s">
        <v>74</v>
      </c>
    </row>
    <row r="7174" spans="9:9" x14ac:dyDescent="0.2">
      <c r="I7174" s="137" t="s">
        <v>74</v>
      </c>
    </row>
    <row r="7175" spans="9:9" x14ac:dyDescent="0.2">
      <c r="I7175" s="137" t="s">
        <v>74</v>
      </c>
    </row>
    <row r="7176" spans="9:9" x14ac:dyDescent="0.2">
      <c r="I7176" s="137" t="s">
        <v>74</v>
      </c>
    </row>
    <row r="7177" spans="9:9" x14ac:dyDescent="0.2">
      <c r="I7177" s="137" t="s">
        <v>74</v>
      </c>
    </row>
    <row r="7178" spans="9:9" x14ac:dyDescent="0.2">
      <c r="I7178" s="137" t="s">
        <v>74</v>
      </c>
    </row>
    <row r="7179" spans="9:9" x14ac:dyDescent="0.2">
      <c r="I7179" s="137" t="s">
        <v>74</v>
      </c>
    </row>
    <row r="7180" spans="9:9" x14ac:dyDescent="0.2">
      <c r="I7180" s="137" t="s">
        <v>74</v>
      </c>
    </row>
    <row r="7181" spans="9:9" x14ac:dyDescent="0.2">
      <c r="I7181" s="137" t="s">
        <v>74</v>
      </c>
    </row>
    <row r="7182" spans="9:9" x14ac:dyDescent="0.2">
      <c r="I7182" s="137" t="s">
        <v>74</v>
      </c>
    </row>
    <row r="7183" spans="9:9" x14ac:dyDescent="0.2">
      <c r="I7183" s="137" t="s">
        <v>74</v>
      </c>
    </row>
    <row r="7184" spans="9:9" x14ac:dyDescent="0.2">
      <c r="I7184" s="137" t="s">
        <v>74</v>
      </c>
    </row>
    <row r="7185" spans="9:9" x14ac:dyDescent="0.2">
      <c r="I7185" s="137" t="s">
        <v>74</v>
      </c>
    </row>
    <row r="7186" spans="9:9" x14ac:dyDescent="0.2">
      <c r="I7186" s="137" t="s">
        <v>74</v>
      </c>
    </row>
    <row r="7187" spans="9:9" x14ac:dyDescent="0.2">
      <c r="I7187" s="137" t="s">
        <v>74</v>
      </c>
    </row>
    <row r="7188" spans="9:9" x14ac:dyDescent="0.2">
      <c r="I7188" s="137" t="s">
        <v>74</v>
      </c>
    </row>
    <row r="7189" spans="9:9" x14ac:dyDescent="0.2">
      <c r="I7189" s="137" t="s">
        <v>74</v>
      </c>
    </row>
    <row r="7190" spans="9:9" x14ac:dyDescent="0.2">
      <c r="I7190" s="137" t="s">
        <v>74</v>
      </c>
    </row>
    <row r="7191" spans="9:9" x14ac:dyDescent="0.2">
      <c r="I7191" s="137" t="s">
        <v>74</v>
      </c>
    </row>
    <row r="7192" spans="9:9" x14ac:dyDescent="0.2">
      <c r="I7192" s="137" t="s">
        <v>74</v>
      </c>
    </row>
    <row r="7193" spans="9:9" x14ac:dyDescent="0.2">
      <c r="I7193" s="137" t="s">
        <v>74</v>
      </c>
    </row>
    <row r="7194" spans="9:9" x14ac:dyDescent="0.2">
      <c r="I7194" s="137" t="s">
        <v>74</v>
      </c>
    </row>
    <row r="7195" spans="9:9" x14ac:dyDescent="0.2">
      <c r="I7195" s="137" t="s">
        <v>74</v>
      </c>
    </row>
    <row r="7196" spans="9:9" x14ac:dyDescent="0.2">
      <c r="I7196" s="137" t="s">
        <v>74</v>
      </c>
    </row>
    <row r="7197" spans="9:9" x14ac:dyDescent="0.2">
      <c r="I7197" s="137" t="s">
        <v>74</v>
      </c>
    </row>
    <row r="7198" spans="9:9" x14ac:dyDescent="0.2">
      <c r="I7198" s="137" t="s">
        <v>74</v>
      </c>
    </row>
    <row r="7199" spans="9:9" x14ac:dyDescent="0.2">
      <c r="I7199" s="137" t="s">
        <v>74</v>
      </c>
    </row>
    <row r="7200" spans="9:9" x14ac:dyDescent="0.2">
      <c r="I7200" s="137" t="s">
        <v>74</v>
      </c>
    </row>
    <row r="7201" spans="9:9" x14ac:dyDescent="0.2">
      <c r="I7201" s="137" t="s">
        <v>74</v>
      </c>
    </row>
    <row r="7202" spans="9:9" x14ac:dyDescent="0.2">
      <c r="I7202" s="137" t="s">
        <v>74</v>
      </c>
    </row>
    <row r="7203" spans="9:9" x14ac:dyDescent="0.2">
      <c r="I7203" s="137" t="s">
        <v>74</v>
      </c>
    </row>
    <row r="7204" spans="9:9" x14ac:dyDescent="0.2">
      <c r="I7204" s="137" t="s">
        <v>74</v>
      </c>
    </row>
    <row r="7205" spans="9:9" x14ac:dyDescent="0.2">
      <c r="I7205" s="137" t="s">
        <v>74</v>
      </c>
    </row>
    <row r="7206" spans="9:9" x14ac:dyDescent="0.2">
      <c r="I7206" s="137" t="s">
        <v>74</v>
      </c>
    </row>
    <row r="7207" spans="9:9" x14ac:dyDescent="0.2">
      <c r="I7207" s="137" t="s">
        <v>74</v>
      </c>
    </row>
    <row r="7208" spans="9:9" x14ac:dyDescent="0.2">
      <c r="I7208" s="137" t="s">
        <v>74</v>
      </c>
    </row>
    <row r="7209" spans="9:9" x14ac:dyDescent="0.2">
      <c r="I7209" s="137" t="s">
        <v>74</v>
      </c>
    </row>
    <row r="7210" spans="9:9" x14ac:dyDescent="0.2">
      <c r="I7210" s="137" t="s">
        <v>74</v>
      </c>
    </row>
    <row r="7211" spans="9:9" x14ac:dyDescent="0.2">
      <c r="I7211" s="137" t="s">
        <v>74</v>
      </c>
    </row>
    <row r="7212" spans="9:9" x14ac:dyDescent="0.2">
      <c r="I7212" s="137" t="s">
        <v>74</v>
      </c>
    </row>
    <row r="7213" spans="9:9" x14ac:dyDescent="0.2">
      <c r="I7213" s="137" t="s">
        <v>74</v>
      </c>
    </row>
    <row r="7214" spans="9:9" x14ac:dyDescent="0.2">
      <c r="I7214" s="137" t="s">
        <v>74</v>
      </c>
    </row>
    <row r="7215" spans="9:9" x14ac:dyDescent="0.2">
      <c r="I7215" s="137" t="s">
        <v>74</v>
      </c>
    </row>
    <row r="7216" spans="9:9" x14ac:dyDescent="0.2">
      <c r="I7216" s="137" t="s">
        <v>74</v>
      </c>
    </row>
    <row r="7217" spans="9:9" x14ac:dyDescent="0.2">
      <c r="I7217" s="137" t="s">
        <v>74</v>
      </c>
    </row>
    <row r="7218" spans="9:9" x14ac:dyDescent="0.2">
      <c r="I7218" s="137" t="s">
        <v>74</v>
      </c>
    </row>
    <row r="7219" spans="9:9" x14ac:dyDescent="0.2">
      <c r="I7219" s="137" t="s">
        <v>74</v>
      </c>
    </row>
    <row r="7220" spans="9:9" x14ac:dyDescent="0.2">
      <c r="I7220" s="137" t="s">
        <v>74</v>
      </c>
    </row>
    <row r="7221" spans="9:9" x14ac:dyDescent="0.2">
      <c r="I7221" s="137" t="s">
        <v>74</v>
      </c>
    </row>
    <row r="7222" spans="9:9" x14ac:dyDescent="0.2">
      <c r="I7222" s="137" t="s">
        <v>74</v>
      </c>
    </row>
    <row r="7223" spans="9:9" x14ac:dyDescent="0.2">
      <c r="I7223" s="137" t="s">
        <v>74</v>
      </c>
    </row>
    <row r="7224" spans="9:9" x14ac:dyDescent="0.2">
      <c r="I7224" s="137" t="s">
        <v>74</v>
      </c>
    </row>
    <row r="7225" spans="9:9" x14ac:dyDescent="0.2">
      <c r="I7225" s="137" t="s">
        <v>74</v>
      </c>
    </row>
    <row r="7226" spans="9:9" x14ac:dyDescent="0.2">
      <c r="I7226" s="137" t="s">
        <v>74</v>
      </c>
    </row>
    <row r="7227" spans="9:9" x14ac:dyDescent="0.2">
      <c r="I7227" s="137" t="s">
        <v>74</v>
      </c>
    </row>
    <row r="7228" spans="9:9" x14ac:dyDescent="0.2">
      <c r="I7228" s="137" t="s">
        <v>74</v>
      </c>
    </row>
    <row r="7229" spans="9:9" x14ac:dyDescent="0.2">
      <c r="I7229" s="137" t="s">
        <v>74</v>
      </c>
    </row>
    <row r="7230" spans="9:9" x14ac:dyDescent="0.2">
      <c r="I7230" s="137" t="s">
        <v>74</v>
      </c>
    </row>
    <row r="7231" spans="9:9" x14ac:dyDescent="0.2">
      <c r="I7231" s="137" t="s">
        <v>74</v>
      </c>
    </row>
    <row r="7232" spans="9:9" x14ac:dyDescent="0.2">
      <c r="I7232" s="137" t="s">
        <v>74</v>
      </c>
    </row>
    <row r="7233" spans="9:9" x14ac:dyDescent="0.2">
      <c r="I7233" s="137" t="s">
        <v>74</v>
      </c>
    </row>
    <row r="7234" spans="9:9" x14ac:dyDescent="0.2">
      <c r="I7234" s="137" t="s">
        <v>74</v>
      </c>
    </row>
    <row r="7235" spans="9:9" x14ac:dyDescent="0.2">
      <c r="I7235" s="137" t="s">
        <v>74</v>
      </c>
    </row>
    <row r="7236" spans="9:9" x14ac:dyDescent="0.2">
      <c r="I7236" s="137" t="s">
        <v>74</v>
      </c>
    </row>
    <row r="7237" spans="9:9" x14ac:dyDescent="0.2">
      <c r="I7237" s="137" t="s">
        <v>74</v>
      </c>
    </row>
    <row r="7238" spans="9:9" x14ac:dyDescent="0.2">
      <c r="I7238" s="137" t="s">
        <v>74</v>
      </c>
    </row>
    <row r="7239" spans="9:9" x14ac:dyDescent="0.2">
      <c r="I7239" s="137" t="s">
        <v>74</v>
      </c>
    </row>
    <row r="7240" spans="9:9" x14ac:dyDescent="0.2">
      <c r="I7240" s="137" t="s">
        <v>74</v>
      </c>
    </row>
    <row r="7241" spans="9:9" x14ac:dyDescent="0.2">
      <c r="I7241" s="137" t="s">
        <v>74</v>
      </c>
    </row>
    <row r="7242" spans="9:9" x14ac:dyDescent="0.2">
      <c r="I7242" s="137" t="s">
        <v>74</v>
      </c>
    </row>
    <row r="7243" spans="9:9" x14ac:dyDescent="0.2">
      <c r="I7243" s="137" t="s">
        <v>74</v>
      </c>
    </row>
    <row r="7244" spans="9:9" x14ac:dyDescent="0.2">
      <c r="I7244" s="137" t="s">
        <v>74</v>
      </c>
    </row>
    <row r="7245" spans="9:9" x14ac:dyDescent="0.2">
      <c r="I7245" s="137" t="s">
        <v>74</v>
      </c>
    </row>
    <row r="7246" spans="9:9" x14ac:dyDescent="0.2">
      <c r="I7246" s="137" t="s">
        <v>74</v>
      </c>
    </row>
    <row r="7247" spans="9:9" x14ac:dyDescent="0.2">
      <c r="I7247" s="137" t="s">
        <v>74</v>
      </c>
    </row>
    <row r="7248" spans="9:9" x14ac:dyDescent="0.2">
      <c r="I7248" s="137" t="s">
        <v>74</v>
      </c>
    </row>
    <row r="7249" spans="9:9" x14ac:dyDescent="0.2">
      <c r="I7249" s="137" t="s">
        <v>74</v>
      </c>
    </row>
    <row r="7250" spans="9:9" x14ac:dyDescent="0.2">
      <c r="I7250" s="137" t="s">
        <v>74</v>
      </c>
    </row>
    <row r="7251" spans="9:9" x14ac:dyDescent="0.2">
      <c r="I7251" s="137" t="s">
        <v>74</v>
      </c>
    </row>
    <row r="7252" spans="9:9" x14ac:dyDescent="0.2">
      <c r="I7252" s="137" t="s">
        <v>74</v>
      </c>
    </row>
    <row r="7253" spans="9:9" x14ac:dyDescent="0.2">
      <c r="I7253" s="137" t="s">
        <v>74</v>
      </c>
    </row>
    <row r="7254" spans="9:9" x14ac:dyDescent="0.2">
      <c r="I7254" s="137" t="s">
        <v>74</v>
      </c>
    </row>
    <row r="7255" spans="9:9" x14ac:dyDescent="0.2">
      <c r="I7255" s="137" t="s">
        <v>74</v>
      </c>
    </row>
    <row r="7256" spans="9:9" x14ac:dyDescent="0.2">
      <c r="I7256" s="137" t="s">
        <v>74</v>
      </c>
    </row>
    <row r="7257" spans="9:9" x14ac:dyDescent="0.2">
      <c r="I7257" s="137" t="s">
        <v>74</v>
      </c>
    </row>
    <row r="7258" spans="9:9" x14ac:dyDescent="0.2">
      <c r="I7258" s="137" t="s">
        <v>74</v>
      </c>
    </row>
    <row r="7259" spans="9:9" x14ac:dyDescent="0.2">
      <c r="I7259" s="137" t="s">
        <v>74</v>
      </c>
    </row>
    <row r="7260" spans="9:9" x14ac:dyDescent="0.2">
      <c r="I7260" s="137" t="s">
        <v>74</v>
      </c>
    </row>
    <row r="7261" spans="9:9" x14ac:dyDescent="0.2">
      <c r="I7261" s="137" t="s">
        <v>74</v>
      </c>
    </row>
    <row r="7262" spans="9:9" x14ac:dyDescent="0.2">
      <c r="I7262" s="137" t="s">
        <v>74</v>
      </c>
    </row>
    <row r="7263" spans="9:9" x14ac:dyDescent="0.2">
      <c r="I7263" s="137" t="s">
        <v>74</v>
      </c>
    </row>
    <row r="7264" spans="9:9" x14ac:dyDescent="0.2">
      <c r="I7264" s="137" t="s">
        <v>74</v>
      </c>
    </row>
    <row r="7265" spans="9:9" x14ac:dyDescent="0.2">
      <c r="I7265" s="137" t="s">
        <v>74</v>
      </c>
    </row>
    <row r="7266" spans="9:9" x14ac:dyDescent="0.2">
      <c r="I7266" s="137" t="s">
        <v>74</v>
      </c>
    </row>
    <row r="7267" spans="9:9" x14ac:dyDescent="0.2">
      <c r="I7267" s="137" t="s">
        <v>74</v>
      </c>
    </row>
    <row r="7268" spans="9:9" x14ac:dyDescent="0.2">
      <c r="I7268" s="137" t="s">
        <v>74</v>
      </c>
    </row>
    <row r="7269" spans="9:9" x14ac:dyDescent="0.2">
      <c r="I7269" s="137" t="s">
        <v>74</v>
      </c>
    </row>
    <row r="7270" spans="9:9" x14ac:dyDescent="0.2">
      <c r="I7270" s="137" t="s">
        <v>74</v>
      </c>
    </row>
    <row r="7271" spans="9:9" x14ac:dyDescent="0.2">
      <c r="I7271" s="137" t="s">
        <v>74</v>
      </c>
    </row>
    <row r="7272" spans="9:9" x14ac:dyDescent="0.2">
      <c r="I7272" s="137" t="s">
        <v>74</v>
      </c>
    </row>
    <row r="7273" spans="9:9" x14ac:dyDescent="0.2">
      <c r="I7273" s="137" t="s">
        <v>74</v>
      </c>
    </row>
    <row r="7274" spans="9:9" x14ac:dyDescent="0.2">
      <c r="I7274" s="137" t="s">
        <v>74</v>
      </c>
    </row>
    <row r="7275" spans="9:9" x14ac:dyDescent="0.2">
      <c r="I7275" s="137" t="s">
        <v>74</v>
      </c>
    </row>
    <row r="7276" spans="9:9" x14ac:dyDescent="0.2">
      <c r="I7276" s="137" t="s">
        <v>74</v>
      </c>
    </row>
    <row r="7277" spans="9:9" x14ac:dyDescent="0.2">
      <c r="I7277" s="137" t="s">
        <v>74</v>
      </c>
    </row>
    <row r="7278" spans="9:9" x14ac:dyDescent="0.2">
      <c r="I7278" s="137" t="s">
        <v>74</v>
      </c>
    </row>
    <row r="7279" spans="9:9" x14ac:dyDescent="0.2">
      <c r="I7279" s="137" t="s">
        <v>74</v>
      </c>
    </row>
    <row r="7280" spans="9:9" x14ac:dyDescent="0.2">
      <c r="I7280" s="137" t="s">
        <v>74</v>
      </c>
    </row>
    <row r="7281" spans="9:9" x14ac:dyDescent="0.2">
      <c r="I7281" s="137" t="s">
        <v>74</v>
      </c>
    </row>
    <row r="7282" spans="9:9" x14ac:dyDescent="0.2">
      <c r="I7282" s="137" t="s">
        <v>74</v>
      </c>
    </row>
    <row r="7283" spans="9:9" x14ac:dyDescent="0.2">
      <c r="I7283" s="137" t="s">
        <v>74</v>
      </c>
    </row>
    <row r="7284" spans="9:9" x14ac:dyDescent="0.2">
      <c r="I7284" s="137" t="s">
        <v>74</v>
      </c>
    </row>
    <row r="7285" spans="9:9" x14ac:dyDescent="0.2">
      <c r="I7285" s="137" t="s">
        <v>74</v>
      </c>
    </row>
    <row r="7286" spans="9:9" x14ac:dyDescent="0.2">
      <c r="I7286" s="137" t="s">
        <v>74</v>
      </c>
    </row>
    <row r="7287" spans="9:9" x14ac:dyDescent="0.2">
      <c r="I7287" s="137" t="s">
        <v>74</v>
      </c>
    </row>
    <row r="7288" spans="9:9" x14ac:dyDescent="0.2">
      <c r="I7288" s="137" t="s">
        <v>74</v>
      </c>
    </row>
    <row r="7289" spans="9:9" x14ac:dyDescent="0.2">
      <c r="I7289" s="137" t="s">
        <v>74</v>
      </c>
    </row>
    <row r="7290" spans="9:9" x14ac:dyDescent="0.2">
      <c r="I7290" s="137" t="s">
        <v>74</v>
      </c>
    </row>
    <row r="7291" spans="9:9" x14ac:dyDescent="0.2">
      <c r="I7291" s="137" t="s">
        <v>74</v>
      </c>
    </row>
    <row r="7292" spans="9:9" x14ac:dyDescent="0.2">
      <c r="I7292" s="137" t="s">
        <v>74</v>
      </c>
    </row>
    <row r="7293" spans="9:9" x14ac:dyDescent="0.2">
      <c r="I7293" s="137" t="s">
        <v>74</v>
      </c>
    </row>
    <row r="7294" spans="9:9" x14ac:dyDescent="0.2">
      <c r="I7294" s="137" t="s">
        <v>74</v>
      </c>
    </row>
    <row r="7295" spans="9:9" x14ac:dyDescent="0.2">
      <c r="I7295" s="137" t="s">
        <v>74</v>
      </c>
    </row>
    <row r="7296" spans="9:9" x14ac:dyDescent="0.2">
      <c r="I7296" s="137" t="s">
        <v>74</v>
      </c>
    </row>
    <row r="7297" spans="9:9" x14ac:dyDescent="0.2">
      <c r="I7297" s="137" t="s">
        <v>74</v>
      </c>
    </row>
    <row r="7298" spans="9:9" x14ac:dyDescent="0.2">
      <c r="I7298" s="137" t="s">
        <v>74</v>
      </c>
    </row>
    <row r="7299" spans="9:9" x14ac:dyDescent="0.2">
      <c r="I7299" s="137" t="s">
        <v>74</v>
      </c>
    </row>
    <row r="7300" spans="9:9" x14ac:dyDescent="0.2">
      <c r="I7300" s="137" t="s">
        <v>74</v>
      </c>
    </row>
    <row r="7301" spans="9:9" x14ac:dyDescent="0.2">
      <c r="I7301" s="137" t="s">
        <v>74</v>
      </c>
    </row>
    <row r="7302" spans="9:9" x14ac:dyDescent="0.2">
      <c r="I7302" s="137" t="s">
        <v>74</v>
      </c>
    </row>
    <row r="7303" spans="9:9" x14ac:dyDescent="0.2">
      <c r="I7303" s="137" t="s">
        <v>74</v>
      </c>
    </row>
    <row r="7304" spans="9:9" x14ac:dyDescent="0.2">
      <c r="I7304" s="137" t="s">
        <v>74</v>
      </c>
    </row>
    <row r="7305" spans="9:9" x14ac:dyDescent="0.2">
      <c r="I7305" s="137" t="s">
        <v>74</v>
      </c>
    </row>
    <row r="7306" spans="9:9" x14ac:dyDescent="0.2">
      <c r="I7306" s="137" t="s">
        <v>74</v>
      </c>
    </row>
    <row r="7307" spans="9:9" x14ac:dyDescent="0.2">
      <c r="I7307" s="137" t="s">
        <v>74</v>
      </c>
    </row>
    <row r="7308" spans="9:9" x14ac:dyDescent="0.2">
      <c r="I7308" s="137" t="s">
        <v>74</v>
      </c>
    </row>
    <row r="7309" spans="9:9" x14ac:dyDescent="0.2">
      <c r="I7309" s="137" t="s">
        <v>74</v>
      </c>
    </row>
    <row r="7310" spans="9:9" x14ac:dyDescent="0.2">
      <c r="I7310" s="137" t="s">
        <v>74</v>
      </c>
    </row>
    <row r="7311" spans="9:9" x14ac:dyDescent="0.2">
      <c r="I7311" s="137" t="s">
        <v>74</v>
      </c>
    </row>
    <row r="7312" spans="9:9" x14ac:dyDescent="0.2">
      <c r="I7312" s="137" t="s">
        <v>74</v>
      </c>
    </row>
    <row r="7313" spans="9:9" x14ac:dyDescent="0.2">
      <c r="I7313" s="137" t="s">
        <v>74</v>
      </c>
    </row>
    <row r="7314" spans="9:9" x14ac:dyDescent="0.2">
      <c r="I7314" s="137" t="s">
        <v>74</v>
      </c>
    </row>
    <row r="7315" spans="9:9" x14ac:dyDescent="0.2">
      <c r="I7315" s="137" t="s">
        <v>74</v>
      </c>
    </row>
    <row r="7316" spans="9:9" x14ac:dyDescent="0.2">
      <c r="I7316" s="137" t="s">
        <v>74</v>
      </c>
    </row>
    <row r="7317" spans="9:9" x14ac:dyDescent="0.2">
      <c r="I7317" s="137" t="s">
        <v>74</v>
      </c>
    </row>
    <row r="7318" spans="9:9" x14ac:dyDescent="0.2">
      <c r="I7318" s="137" t="s">
        <v>74</v>
      </c>
    </row>
    <row r="7319" spans="9:9" x14ac:dyDescent="0.2">
      <c r="I7319" s="137" t="s">
        <v>74</v>
      </c>
    </row>
    <row r="7320" spans="9:9" x14ac:dyDescent="0.2">
      <c r="I7320" s="137" t="s">
        <v>74</v>
      </c>
    </row>
    <row r="7321" spans="9:9" x14ac:dyDescent="0.2">
      <c r="I7321" s="137" t="s">
        <v>74</v>
      </c>
    </row>
    <row r="7322" spans="9:9" x14ac:dyDescent="0.2">
      <c r="I7322" s="137" t="s">
        <v>74</v>
      </c>
    </row>
    <row r="7323" spans="9:9" x14ac:dyDescent="0.2">
      <c r="I7323" s="137" t="s">
        <v>74</v>
      </c>
    </row>
    <row r="7324" spans="9:9" x14ac:dyDescent="0.2">
      <c r="I7324" s="137" t="s">
        <v>74</v>
      </c>
    </row>
    <row r="7325" spans="9:9" x14ac:dyDescent="0.2">
      <c r="I7325" s="137" t="s">
        <v>74</v>
      </c>
    </row>
    <row r="7326" spans="9:9" x14ac:dyDescent="0.2">
      <c r="I7326" s="137" t="s">
        <v>74</v>
      </c>
    </row>
    <row r="7327" spans="9:9" x14ac:dyDescent="0.2">
      <c r="I7327" s="137" t="s">
        <v>74</v>
      </c>
    </row>
    <row r="7328" spans="9:9" x14ac:dyDescent="0.2">
      <c r="I7328" s="137" t="s">
        <v>74</v>
      </c>
    </row>
    <row r="7329" spans="9:9" x14ac:dyDescent="0.2">
      <c r="I7329" s="137" t="s">
        <v>74</v>
      </c>
    </row>
    <row r="7330" spans="9:9" x14ac:dyDescent="0.2">
      <c r="I7330" s="137" t="s">
        <v>74</v>
      </c>
    </row>
    <row r="7331" spans="9:9" x14ac:dyDescent="0.2">
      <c r="I7331" s="137" t="s">
        <v>74</v>
      </c>
    </row>
    <row r="7332" spans="9:9" x14ac:dyDescent="0.2">
      <c r="I7332" s="137" t="s">
        <v>74</v>
      </c>
    </row>
    <row r="7333" spans="9:9" x14ac:dyDescent="0.2">
      <c r="I7333" s="137" t="s">
        <v>74</v>
      </c>
    </row>
    <row r="7334" spans="9:9" x14ac:dyDescent="0.2">
      <c r="I7334" s="137" t="s">
        <v>74</v>
      </c>
    </row>
    <row r="7335" spans="9:9" x14ac:dyDescent="0.2">
      <c r="I7335" s="137" t="s">
        <v>74</v>
      </c>
    </row>
    <row r="7336" spans="9:9" x14ac:dyDescent="0.2">
      <c r="I7336" s="137" t="s">
        <v>74</v>
      </c>
    </row>
    <row r="7337" spans="9:9" x14ac:dyDescent="0.2">
      <c r="I7337" s="137" t="s">
        <v>74</v>
      </c>
    </row>
    <row r="7338" spans="9:9" x14ac:dyDescent="0.2">
      <c r="I7338" s="137" t="s">
        <v>74</v>
      </c>
    </row>
    <row r="7339" spans="9:9" x14ac:dyDescent="0.2">
      <c r="I7339" s="137" t="s">
        <v>74</v>
      </c>
    </row>
    <row r="7340" spans="9:9" x14ac:dyDescent="0.2">
      <c r="I7340" s="137" t="s">
        <v>74</v>
      </c>
    </row>
    <row r="7341" spans="9:9" x14ac:dyDescent="0.2">
      <c r="I7341" s="137" t="s">
        <v>74</v>
      </c>
    </row>
    <row r="7342" spans="9:9" x14ac:dyDescent="0.2">
      <c r="I7342" s="137" t="s">
        <v>74</v>
      </c>
    </row>
    <row r="7343" spans="9:9" x14ac:dyDescent="0.2">
      <c r="I7343" s="137" t="s">
        <v>74</v>
      </c>
    </row>
    <row r="7344" spans="9:9" x14ac:dyDescent="0.2">
      <c r="I7344" s="137" t="s">
        <v>74</v>
      </c>
    </row>
    <row r="7345" spans="9:9" x14ac:dyDescent="0.2">
      <c r="I7345" s="137" t="s">
        <v>74</v>
      </c>
    </row>
    <row r="7346" spans="9:9" x14ac:dyDescent="0.2">
      <c r="I7346" s="137" t="s">
        <v>74</v>
      </c>
    </row>
    <row r="7347" spans="9:9" x14ac:dyDescent="0.2">
      <c r="I7347" s="137" t="s">
        <v>74</v>
      </c>
    </row>
    <row r="7348" spans="9:9" x14ac:dyDescent="0.2">
      <c r="I7348" s="137" t="s">
        <v>74</v>
      </c>
    </row>
    <row r="7349" spans="9:9" x14ac:dyDescent="0.2">
      <c r="I7349" s="137" t="s">
        <v>74</v>
      </c>
    </row>
    <row r="7350" spans="9:9" x14ac:dyDescent="0.2">
      <c r="I7350" s="137" t="s">
        <v>74</v>
      </c>
    </row>
    <row r="7351" spans="9:9" x14ac:dyDescent="0.2">
      <c r="I7351" s="137" t="s">
        <v>74</v>
      </c>
    </row>
    <row r="7352" spans="9:9" x14ac:dyDescent="0.2">
      <c r="I7352" s="137" t="s">
        <v>74</v>
      </c>
    </row>
    <row r="7353" spans="9:9" x14ac:dyDescent="0.2">
      <c r="I7353" s="137" t="s">
        <v>74</v>
      </c>
    </row>
    <row r="7354" spans="9:9" x14ac:dyDescent="0.2">
      <c r="I7354" s="137" t="s">
        <v>74</v>
      </c>
    </row>
    <row r="7355" spans="9:9" x14ac:dyDescent="0.2">
      <c r="I7355" s="137" t="s">
        <v>74</v>
      </c>
    </row>
    <row r="7356" spans="9:9" x14ac:dyDescent="0.2">
      <c r="I7356" s="137" t="s">
        <v>74</v>
      </c>
    </row>
    <row r="7357" spans="9:9" x14ac:dyDescent="0.2">
      <c r="I7357" s="137" t="s">
        <v>74</v>
      </c>
    </row>
    <row r="7358" spans="9:9" x14ac:dyDescent="0.2">
      <c r="I7358" s="137" t="s">
        <v>74</v>
      </c>
    </row>
    <row r="7359" spans="9:9" x14ac:dyDescent="0.2">
      <c r="I7359" s="137" t="s">
        <v>74</v>
      </c>
    </row>
    <row r="7360" spans="9:9" x14ac:dyDescent="0.2">
      <c r="I7360" s="137" t="s">
        <v>74</v>
      </c>
    </row>
    <row r="7361" spans="9:9" x14ac:dyDescent="0.2">
      <c r="I7361" s="137" t="s">
        <v>74</v>
      </c>
    </row>
    <row r="7362" spans="9:9" x14ac:dyDescent="0.2">
      <c r="I7362" s="137" t="s">
        <v>74</v>
      </c>
    </row>
    <row r="7363" spans="9:9" x14ac:dyDescent="0.2">
      <c r="I7363" s="137" t="s">
        <v>74</v>
      </c>
    </row>
    <row r="7364" spans="9:9" x14ac:dyDescent="0.2">
      <c r="I7364" s="137" t="s">
        <v>74</v>
      </c>
    </row>
    <row r="7365" spans="9:9" x14ac:dyDescent="0.2">
      <c r="I7365" s="137" t="s">
        <v>74</v>
      </c>
    </row>
    <row r="7366" spans="9:9" x14ac:dyDescent="0.2">
      <c r="I7366" s="137" t="s">
        <v>74</v>
      </c>
    </row>
    <row r="7367" spans="9:9" x14ac:dyDescent="0.2">
      <c r="I7367" s="137" t="s">
        <v>74</v>
      </c>
    </row>
    <row r="7368" spans="9:9" x14ac:dyDescent="0.2">
      <c r="I7368" s="137" t="s">
        <v>74</v>
      </c>
    </row>
    <row r="7369" spans="9:9" x14ac:dyDescent="0.2">
      <c r="I7369" s="137" t="s">
        <v>74</v>
      </c>
    </row>
    <row r="7370" spans="9:9" x14ac:dyDescent="0.2">
      <c r="I7370" s="137" t="s">
        <v>74</v>
      </c>
    </row>
    <row r="7371" spans="9:9" x14ac:dyDescent="0.2">
      <c r="I7371" s="137" t="s">
        <v>74</v>
      </c>
    </row>
    <row r="7372" spans="9:9" x14ac:dyDescent="0.2">
      <c r="I7372" s="137" t="s">
        <v>74</v>
      </c>
    </row>
    <row r="7373" spans="9:9" x14ac:dyDescent="0.2">
      <c r="I7373" s="137" t="s">
        <v>74</v>
      </c>
    </row>
    <row r="7374" spans="9:9" x14ac:dyDescent="0.2">
      <c r="I7374" s="137" t="s">
        <v>74</v>
      </c>
    </row>
    <row r="7375" spans="9:9" x14ac:dyDescent="0.2">
      <c r="I7375" s="137" t="s">
        <v>74</v>
      </c>
    </row>
    <row r="7376" spans="9:9" x14ac:dyDescent="0.2">
      <c r="I7376" s="137" t="s">
        <v>74</v>
      </c>
    </row>
    <row r="7377" spans="9:9" x14ac:dyDescent="0.2">
      <c r="I7377" s="137" t="s">
        <v>74</v>
      </c>
    </row>
    <row r="7378" spans="9:9" x14ac:dyDescent="0.2">
      <c r="I7378" s="137" t="s">
        <v>74</v>
      </c>
    </row>
    <row r="7379" spans="9:9" x14ac:dyDescent="0.2">
      <c r="I7379" s="137" t="s">
        <v>74</v>
      </c>
    </row>
    <row r="7380" spans="9:9" x14ac:dyDescent="0.2">
      <c r="I7380" s="137" t="s">
        <v>74</v>
      </c>
    </row>
    <row r="7381" spans="9:9" x14ac:dyDescent="0.2">
      <c r="I7381" s="137" t="s">
        <v>74</v>
      </c>
    </row>
    <row r="7382" spans="9:9" x14ac:dyDescent="0.2">
      <c r="I7382" s="137" t="s">
        <v>74</v>
      </c>
    </row>
    <row r="7383" spans="9:9" x14ac:dyDescent="0.2">
      <c r="I7383" s="137" t="s">
        <v>74</v>
      </c>
    </row>
    <row r="7384" spans="9:9" x14ac:dyDescent="0.2">
      <c r="I7384" s="137" t="s">
        <v>74</v>
      </c>
    </row>
    <row r="7385" spans="9:9" x14ac:dyDescent="0.2">
      <c r="I7385" s="137" t="s">
        <v>74</v>
      </c>
    </row>
    <row r="7386" spans="9:9" x14ac:dyDescent="0.2">
      <c r="I7386" s="137" t="s">
        <v>74</v>
      </c>
    </row>
    <row r="7387" spans="9:9" x14ac:dyDescent="0.2">
      <c r="I7387" s="137" t="s">
        <v>74</v>
      </c>
    </row>
    <row r="7388" spans="9:9" x14ac:dyDescent="0.2">
      <c r="I7388" s="137" t="s">
        <v>74</v>
      </c>
    </row>
    <row r="7389" spans="9:9" x14ac:dyDescent="0.2">
      <c r="I7389" s="137" t="s">
        <v>74</v>
      </c>
    </row>
    <row r="7390" spans="9:9" x14ac:dyDescent="0.2">
      <c r="I7390" s="137" t="s">
        <v>74</v>
      </c>
    </row>
    <row r="7391" spans="9:9" x14ac:dyDescent="0.2">
      <c r="I7391" s="137" t="s">
        <v>74</v>
      </c>
    </row>
    <row r="7392" spans="9:9" x14ac:dyDescent="0.2">
      <c r="I7392" s="137" t="s">
        <v>74</v>
      </c>
    </row>
    <row r="7393" spans="9:9" x14ac:dyDescent="0.2">
      <c r="I7393" s="137" t="s">
        <v>74</v>
      </c>
    </row>
    <row r="7394" spans="9:9" x14ac:dyDescent="0.2">
      <c r="I7394" s="137" t="s">
        <v>74</v>
      </c>
    </row>
    <row r="7395" spans="9:9" x14ac:dyDescent="0.2">
      <c r="I7395" s="137" t="s">
        <v>74</v>
      </c>
    </row>
    <row r="7396" spans="9:9" x14ac:dyDescent="0.2">
      <c r="I7396" s="137" t="s">
        <v>74</v>
      </c>
    </row>
    <row r="7397" spans="9:9" x14ac:dyDescent="0.2">
      <c r="I7397" s="137" t="s">
        <v>74</v>
      </c>
    </row>
    <row r="7398" spans="9:9" x14ac:dyDescent="0.2">
      <c r="I7398" s="137" t="s">
        <v>74</v>
      </c>
    </row>
    <row r="7399" spans="9:9" x14ac:dyDescent="0.2">
      <c r="I7399" s="137" t="s">
        <v>74</v>
      </c>
    </row>
    <row r="7400" spans="9:9" x14ac:dyDescent="0.2">
      <c r="I7400" s="137" t="s">
        <v>74</v>
      </c>
    </row>
    <row r="7401" spans="9:9" x14ac:dyDescent="0.2">
      <c r="I7401" s="137" t="s">
        <v>74</v>
      </c>
    </row>
    <row r="7402" spans="9:9" x14ac:dyDescent="0.2">
      <c r="I7402" s="137" t="s">
        <v>74</v>
      </c>
    </row>
    <row r="7403" spans="9:9" x14ac:dyDescent="0.2">
      <c r="I7403" s="137" t="s">
        <v>74</v>
      </c>
    </row>
    <row r="7404" spans="9:9" x14ac:dyDescent="0.2">
      <c r="I7404" s="137" t="s">
        <v>74</v>
      </c>
    </row>
    <row r="7405" spans="9:9" x14ac:dyDescent="0.2">
      <c r="I7405" s="137" t="s">
        <v>74</v>
      </c>
    </row>
    <row r="7406" spans="9:9" x14ac:dyDescent="0.2">
      <c r="I7406" s="137" t="s">
        <v>74</v>
      </c>
    </row>
    <row r="7407" spans="9:9" x14ac:dyDescent="0.2">
      <c r="I7407" s="137" t="s">
        <v>74</v>
      </c>
    </row>
    <row r="7408" spans="9:9" x14ac:dyDescent="0.2">
      <c r="I7408" s="137" t="s">
        <v>74</v>
      </c>
    </row>
    <row r="7409" spans="9:9" x14ac:dyDescent="0.2">
      <c r="I7409" s="137" t="s">
        <v>74</v>
      </c>
    </row>
    <row r="7410" spans="9:9" x14ac:dyDescent="0.2">
      <c r="I7410" s="137" t="s">
        <v>74</v>
      </c>
    </row>
    <row r="7411" spans="9:9" x14ac:dyDescent="0.2">
      <c r="I7411" s="137" t="s">
        <v>74</v>
      </c>
    </row>
    <row r="7412" spans="9:9" x14ac:dyDescent="0.2">
      <c r="I7412" s="137" t="s">
        <v>74</v>
      </c>
    </row>
    <row r="7413" spans="9:9" x14ac:dyDescent="0.2">
      <c r="I7413" s="137" t="s">
        <v>74</v>
      </c>
    </row>
    <row r="7414" spans="9:9" x14ac:dyDescent="0.2">
      <c r="I7414" s="137" t="s">
        <v>74</v>
      </c>
    </row>
    <row r="7415" spans="9:9" x14ac:dyDescent="0.2">
      <c r="I7415" s="137" t="s">
        <v>74</v>
      </c>
    </row>
    <row r="7416" spans="9:9" x14ac:dyDescent="0.2">
      <c r="I7416" s="137" t="s">
        <v>74</v>
      </c>
    </row>
    <row r="7417" spans="9:9" x14ac:dyDescent="0.2">
      <c r="I7417" s="137" t="s">
        <v>74</v>
      </c>
    </row>
    <row r="7418" spans="9:9" x14ac:dyDescent="0.2">
      <c r="I7418" s="137" t="s">
        <v>74</v>
      </c>
    </row>
    <row r="7419" spans="9:9" x14ac:dyDescent="0.2">
      <c r="I7419" s="137" t="s">
        <v>74</v>
      </c>
    </row>
    <row r="7420" spans="9:9" x14ac:dyDescent="0.2">
      <c r="I7420" s="137" t="s">
        <v>74</v>
      </c>
    </row>
    <row r="7421" spans="9:9" x14ac:dyDescent="0.2">
      <c r="I7421" s="137" t="s">
        <v>74</v>
      </c>
    </row>
    <row r="7422" spans="9:9" x14ac:dyDescent="0.2">
      <c r="I7422" s="137" t="s">
        <v>74</v>
      </c>
    </row>
    <row r="7423" spans="9:9" x14ac:dyDescent="0.2">
      <c r="I7423" s="137" t="s">
        <v>74</v>
      </c>
    </row>
    <row r="7424" spans="9:9" x14ac:dyDescent="0.2">
      <c r="I7424" s="137" t="s">
        <v>74</v>
      </c>
    </row>
    <row r="7425" spans="9:9" x14ac:dyDescent="0.2">
      <c r="I7425" s="137" t="s">
        <v>74</v>
      </c>
    </row>
    <row r="7426" spans="9:9" x14ac:dyDescent="0.2">
      <c r="I7426" s="137" t="s">
        <v>74</v>
      </c>
    </row>
    <row r="7427" spans="9:9" x14ac:dyDescent="0.2">
      <c r="I7427" s="137" t="s">
        <v>74</v>
      </c>
    </row>
    <row r="7428" spans="9:9" x14ac:dyDescent="0.2">
      <c r="I7428" s="137" t="s">
        <v>74</v>
      </c>
    </row>
    <row r="7429" spans="9:9" x14ac:dyDescent="0.2">
      <c r="I7429" s="137" t="s">
        <v>74</v>
      </c>
    </row>
    <row r="7430" spans="9:9" x14ac:dyDescent="0.2">
      <c r="I7430" s="137" t="s">
        <v>74</v>
      </c>
    </row>
    <row r="7431" spans="9:9" x14ac:dyDescent="0.2">
      <c r="I7431" s="137" t="s">
        <v>74</v>
      </c>
    </row>
    <row r="7432" spans="9:9" x14ac:dyDescent="0.2">
      <c r="I7432" s="137" t="s">
        <v>74</v>
      </c>
    </row>
    <row r="7433" spans="9:9" x14ac:dyDescent="0.2">
      <c r="I7433" s="137" t="s">
        <v>74</v>
      </c>
    </row>
    <row r="7434" spans="9:9" x14ac:dyDescent="0.2">
      <c r="I7434" s="137" t="s">
        <v>74</v>
      </c>
    </row>
    <row r="7435" spans="9:9" x14ac:dyDescent="0.2">
      <c r="I7435" s="137" t="s">
        <v>74</v>
      </c>
    </row>
    <row r="7436" spans="9:9" x14ac:dyDescent="0.2">
      <c r="I7436" s="137" t="s">
        <v>74</v>
      </c>
    </row>
    <row r="7437" spans="9:9" x14ac:dyDescent="0.2">
      <c r="I7437" s="137" t="s">
        <v>74</v>
      </c>
    </row>
    <row r="7438" spans="9:9" x14ac:dyDescent="0.2">
      <c r="I7438" s="137" t="s">
        <v>74</v>
      </c>
    </row>
    <row r="7439" spans="9:9" x14ac:dyDescent="0.2">
      <c r="I7439" s="137" t="s">
        <v>74</v>
      </c>
    </row>
    <row r="7440" spans="9:9" x14ac:dyDescent="0.2">
      <c r="I7440" s="137" t="s">
        <v>74</v>
      </c>
    </row>
    <row r="7441" spans="9:9" x14ac:dyDescent="0.2">
      <c r="I7441" s="137" t="s">
        <v>74</v>
      </c>
    </row>
    <row r="7442" spans="9:9" x14ac:dyDescent="0.2">
      <c r="I7442" s="137" t="s">
        <v>74</v>
      </c>
    </row>
    <row r="7443" spans="9:9" x14ac:dyDescent="0.2">
      <c r="I7443" s="137" t="s">
        <v>74</v>
      </c>
    </row>
    <row r="7444" spans="9:9" x14ac:dyDescent="0.2">
      <c r="I7444" s="137" t="s">
        <v>74</v>
      </c>
    </row>
    <row r="7445" spans="9:9" x14ac:dyDescent="0.2">
      <c r="I7445" s="137" t="s">
        <v>74</v>
      </c>
    </row>
    <row r="7446" spans="9:9" x14ac:dyDescent="0.2">
      <c r="I7446" s="137" t="s">
        <v>74</v>
      </c>
    </row>
    <row r="7447" spans="9:9" x14ac:dyDescent="0.2">
      <c r="I7447" s="137" t="s">
        <v>74</v>
      </c>
    </row>
    <row r="7448" spans="9:9" x14ac:dyDescent="0.2">
      <c r="I7448" s="137" t="s">
        <v>74</v>
      </c>
    </row>
    <row r="7449" spans="9:9" x14ac:dyDescent="0.2">
      <c r="I7449" s="137" t="s">
        <v>74</v>
      </c>
    </row>
    <row r="7450" spans="9:9" x14ac:dyDescent="0.2">
      <c r="I7450" s="137" t="s">
        <v>74</v>
      </c>
    </row>
    <row r="7451" spans="9:9" x14ac:dyDescent="0.2">
      <c r="I7451" s="137" t="s">
        <v>74</v>
      </c>
    </row>
    <row r="7452" spans="9:9" x14ac:dyDescent="0.2">
      <c r="I7452" s="137" t="s">
        <v>74</v>
      </c>
    </row>
    <row r="7453" spans="9:9" x14ac:dyDescent="0.2">
      <c r="I7453" s="137" t="s">
        <v>74</v>
      </c>
    </row>
    <row r="7454" spans="9:9" x14ac:dyDescent="0.2">
      <c r="I7454" s="137" t="s">
        <v>74</v>
      </c>
    </row>
    <row r="7455" spans="9:9" x14ac:dyDescent="0.2">
      <c r="I7455" s="137" t="s">
        <v>74</v>
      </c>
    </row>
    <row r="7456" spans="9:9" x14ac:dyDescent="0.2">
      <c r="I7456" s="137" t="s">
        <v>74</v>
      </c>
    </row>
    <row r="7457" spans="9:9" x14ac:dyDescent="0.2">
      <c r="I7457" s="137" t="s">
        <v>74</v>
      </c>
    </row>
    <row r="7458" spans="9:9" x14ac:dyDescent="0.2">
      <c r="I7458" s="137" t="s">
        <v>74</v>
      </c>
    </row>
    <row r="7459" spans="9:9" x14ac:dyDescent="0.2">
      <c r="I7459" s="137" t="s">
        <v>74</v>
      </c>
    </row>
    <row r="7460" spans="9:9" x14ac:dyDescent="0.2">
      <c r="I7460" s="137" t="s">
        <v>74</v>
      </c>
    </row>
    <row r="7461" spans="9:9" x14ac:dyDescent="0.2">
      <c r="I7461" s="137" t="s">
        <v>74</v>
      </c>
    </row>
    <row r="7462" spans="9:9" x14ac:dyDescent="0.2">
      <c r="I7462" s="137" t="s">
        <v>74</v>
      </c>
    </row>
    <row r="7463" spans="9:9" x14ac:dyDescent="0.2">
      <c r="I7463" s="137" t="s">
        <v>74</v>
      </c>
    </row>
    <row r="7464" spans="9:9" x14ac:dyDescent="0.2">
      <c r="I7464" s="137" t="s">
        <v>74</v>
      </c>
    </row>
    <row r="7465" spans="9:9" x14ac:dyDescent="0.2">
      <c r="I7465" s="137" t="s">
        <v>74</v>
      </c>
    </row>
    <row r="7466" spans="9:9" x14ac:dyDescent="0.2">
      <c r="I7466" s="137" t="s">
        <v>74</v>
      </c>
    </row>
    <row r="7467" spans="9:9" x14ac:dyDescent="0.2">
      <c r="I7467" s="137" t="s">
        <v>74</v>
      </c>
    </row>
    <row r="7468" spans="9:9" x14ac:dyDescent="0.2">
      <c r="I7468" s="137" t="s">
        <v>74</v>
      </c>
    </row>
    <row r="7469" spans="9:9" x14ac:dyDescent="0.2">
      <c r="I7469" s="137" t="s">
        <v>74</v>
      </c>
    </row>
    <row r="7470" spans="9:9" x14ac:dyDescent="0.2">
      <c r="I7470" s="137" t="s">
        <v>74</v>
      </c>
    </row>
    <row r="7471" spans="9:9" x14ac:dyDescent="0.2">
      <c r="I7471" s="137" t="s">
        <v>74</v>
      </c>
    </row>
    <row r="7472" spans="9:9" x14ac:dyDescent="0.2">
      <c r="I7472" s="137" t="s">
        <v>74</v>
      </c>
    </row>
    <row r="7473" spans="9:9" x14ac:dyDescent="0.2">
      <c r="I7473" s="137" t="s">
        <v>74</v>
      </c>
    </row>
    <row r="7474" spans="9:9" x14ac:dyDescent="0.2">
      <c r="I7474" s="137" t="s">
        <v>74</v>
      </c>
    </row>
    <row r="7475" spans="9:9" x14ac:dyDescent="0.2">
      <c r="I7475" s="137" t="s">
        <v>74</v>
      </c>
    </row>
    <row r="7476" spans="9:9" x14ac:dyDescent="0.2">
      <c r="I7476" s="137" t="s">
        <v>74</v>
      </c>
    </row>
    <row r="7477" spans="9:9" x14ac:dyDescent="0.2">
      <c r="I7477" s="137" t="s">
        <v>74</v>
      </c>
    </row>
    <row r="7478" spans="9:9" x14ac:dyDescent="0.2">
      <c r="I7478" s="137" t="s">
        <v>74</v>
      </c>
    </row>
    <row r="7479" spans="9:9" x14ac:dyDescent="0.2">
      <c r="I7479" s="137" t="s">
        <v>74</v>
      </c>
    </row>
    <row r="7480" spans="9:9" x14ac:dyDescent="0.2">
      <c r="I7480" s="137" t="s">
        <v>74</v>
      </c>
    </row>
    <row r="7481" spans="9:9" x14ac:dyDescent="0.2">
      <c r="I7481" s="137" t="s">
        <v>74</v>
      </c>
    </row>
    <row r="7482" spans="9:9" x14ac:dyDescent="0.2">
      <c r="I7482" s="137" t="s">
        <v>74</v>
      </c>
    </row>
    <row r="7483" spans="9:9" x14ac:dyDescent="0.2">
      <c r="I7483" s="137" t="s">
        <v>74</v>
      </c>
    </row>
    <row r="7484" spans="9:9" x14ac:dyDescent="0.2">
      <c r="I7484" s="137" t="s">
        <v>74</v>
      </c>
    </row>
    <row r="7485" spans="9:9" x14ac:dyDescent="0.2">
      <c r="I7485" s="137" t="s">
        <v>74</v>
      </c>
    </row>
    <row r="7486" spans="9:9" x14ac:dyDescent="0.2">
      <c r="I7486" s="137" t="s">
        <v>74</v>
      </c>
    </row>
    <row r="7487" spans="9:9" x14ac:dyDescent="0.2">
      <c r="I7487" s="137" t="s">
        <v>74</v>
      </c>
    </row>
    <row r="7488" spans="9:9" x14ac:dyDescent="0.2">
      <c r="I7488" s="137" t="s">
        <v>74</v>
      </c>
    </row>
    <row r="7489" spans="9:9" x14ac:dyDescent="0.2">
      <c r="I7489" s="137" t="s">
        <v>74</v>
      </c>
    </row>
    <row r="7490" spans="9:9" x14ac:dyDescent="0.2">
      <c r="I7490" s="137" t="s">
        <v>74</v>
      </c>
    </row>
    <row r="7491" spans="9:9" x14ac:dyDescent="0.2">
      <c r="I7491" s="137" t="s">
        <v>74</v>
      </c>
    </row>
    <row r="7492" spans="9:9" x14ac:dyDescent="0.2">
      <c r="I7492" s="137" t="s">
        <v>74</v>
      </c>
    </row>
    <row r="7493" spans="9:9" x14ac:dyDescent="0.2">
      <c r="I7493" s="137" t="s">
        <v>74</v>
      </c>
    </row>
    <row r="7494" spans="9:9" x14ac:dyDescent="0.2">
      <c r="I7494" s="137" t="s">
        <v>74</v>
      </c>
    </row>
    <row r="7495" spans="9:9" x14ac:dyDescent="0.2">
      <c r="I7495" s="137" t="s">
        <v>74</v>
      </c>
    </row>
    <row r="7496" spans="9:9" x14ac:dyDescent="0.2">
      <c r="I7496" s="137" t="s">
        <v>74</v>
      </c>
    </row>
    <row r="7497" spans="9:9" x14ac:dyDescent="0.2">
      <c r="I7497" s="137" t="s">
        <v>74</v>
      </c>
    </row>
    <row r="7498" spans="9:9" x14ac:dyDescent="0.2">
      <c r="I7498" s="137" t="s">
        <v>74</v>
      </c>
    </row>
    <row r="7499" spans="9:9" x14ac:dyDescent="0.2">
      <c r="I7499" s="137" t="s">
        <v>74</v>
      </c>
    </row>
    <row r="7500" spans="9:9" x14ac:dyDescent="0.2">
      <c r="I7500" s="137" t="s">
        <v>74</v>
      </c>
    </row>
    <row r="7501" spans="9:9" x14ac:dyDescent="0.2">
      <c r="I7501" s="137" t="s">
        <v>74</v>
      </c>
    </row>
    <row r="7502" spans="9:9" x14ac:dyDescent="0.2">
      <c r="I7502" s="137" t="s">
        <v>74</v>
      </c>
    </row>
    <row r="7503" spans="9:9" x14ac:dyDescent="0.2">
      <c r="I7503" s="137" t="s">
        <v>74</v>
      </c>
    </row>
    <row r="7504" spans="9:9" x14ac:dyDescent="0.2">
      <c r="I7504" s="137" t="s">
        <v>74</v>
      </c>
    </row>
    <row r="7505" spans="9:9" x14ac:dyDescent="0.2">
      <c r="I7505" s="137" t="s">
        <v>74</v>
      </c>
    </row>
    <row r="7506" spans="9:9" x14ac:dyDescent="0.2">
      <c r="I7506" s="137" t="s">
        <v>74</v>
      </c>
    </row>
    <row r="7507" spans="9:9" x14ac:dyDescent="0.2">
      <c r="I7507" s="137" t="s">
        <v>74</v>
      </c>
    </row>
    <row r="7508" spans="9:9" x14ac:dyDescent="0.2">
      <c r="I7508" s="137" t="s">
        <v>74</v>
      </c>
    </row>
    <row r="7509" spans="9:9" x14ac:dyDescent="0.2">
      <c r="I7509" s="137" t="s">
        <v>74</v>
      </c>
    </row>
    <row r="7510" spans="9:9" x14ac:dyDescent="0.2">
      <c r="I7510" s="137" t="s">
        <v>74</v>
      </c>
    </row>
    <row r="7511" spans="9:9" x14ac:dyDescent="0.2">
      <c r="I7511" s="137" t="s">
        <v>74</v>
      </c>
    </row>
    <row r="7512" spans="9:9" x14ac:dyDescent="0.2">
      <c r="I7512" s="137" t="s">
        <v>74</v>
      </c>
    </row>
    <row r="7513" spans="9:9" x14ac:dyDescent="0.2">
      <c r="I7513" s="137" t="s">
        <v>74</v>
      </c>
    </row>
    <row r="7514" spans="9:9" x14ac:dyDescent="0.2">
      <c r="I7514" s="137" t="s">
        <v>74</v>
      </c>
    </row>
    <row r="7515" spans="9:9" x14ac:dyDescent="0.2">
      <c r="I7515" s="137" t="s">
        <v>74</v>
      </c>
    </row>
    <row r="7516" spans="9:9" x14ac:dyDescent="0.2">
      <c r="I7516" s="137" t="s">
        <v>74</v>
      </c>
    </row>
    <row r="7517" spans="9:9" x14ac:dyDescent="0.2">
      <c r="I7517" s="137" t="s">
        <v>74</v>
      </c>
    </row>
    <row r="7518" spans="9:9" x14ac:dyDescent="0.2">
      <c r="I7518" s="137" t="s">
        <v>74</v>
      </c>
    </row>
    <row r="7519" spans="9:9" x14ac:dyDescent="0.2">
      <c r="I7519" s="137" t="s">
        <v>74</v>
      </c>
    </row>
    <row r="7520" spans="9:9" x14ac:dyDescent="0.2">
      <c r="I7520" s="137" t="s">
        <v>74</v>
      </c>
    </row>
    <row r="7521" spans="9:9" x14ac:dyDescent="0.2">
      <c r="I7521" s="137" t="s">
        <v>74</v>
      </c>
    </row>
    <row r="7522" spans="9:9" x14ac:dyDescent="0.2">
      <c r="I7522" s="137" t="s">
        <v>74</v>
      </c>
    </row>
    <row r="7523" spans="9:9" x14ac:dyDescent="0.2">
      <c r="I7523" s="137" t="s">
        <v>74</v>
      </c>
    </row>
    <row r="7524" spans="9:9" x14ac:dyDescent="0.2">
      <c r="I7524" s="137" t="s">
        <v>74</v>
      </c>
    </row>
    <row r="7525" spans="9:9" x14ac:dyDescent="0.2">
      <c r="I7525" s="137" t="s">
        <v>74</v>
      </c>
    </row>
    <row r="7526" spans="9:9" x14ac:dyDescent="0.2">
      <c r="I7526" s="137" t="s">
        <v>74</v>
      </c>
    </row>
    <row r="7527" spans="9:9" x14ac:dyDescent="0.2">
      <c r="I7527" s="137" t="s">
        <v>74</v>
      </c>
    </row>
    <row r="7528" spans="9:9" x14ac:dyDescent="0.2">
      <c r="I7528" s="137" t="s">
        <v>74</v>
      </c>
    </row>
    <row r="7529" spans="9:9" x14ac:dyDescent="0.2">
      <c r="I7529" s="137" t="s">
        <v>74</v>
      </c>
    </row>
    <row r="7530" spans="9:9" x14ac:dyDescent="0.2">
      <c r="I7530" s="137" t="s">
        <v>74</v>
      </c>
    </row>
    <row r="7531" spans="9:9" x14ac:dyDescent="0.2">
      <c r="I7531" s="137" t="s">
        <v>74</v>
      </c>
    </row>
    <row r="7532" spans="9:9" x14ac:dyDescent="0.2">
      <c r="I7532" s="137" t="s">
        <v>74</v>
      </c>
    </row>
    <row r="7533" spans="9:9" x14ac:dyDescent="0.2">
      <c r="I7533" s="137" t="s">
        <v>74</v>
      </c>
    </row>
    <row r="7534" spans="9:9" x14ac:dyDescent="0.2">
      <c r="I7534" s="137" t="s">
        <v>74</v>
      </c>
    </row>
    <row r="7535" spans="9:9" x14ac:dyDescent="0.2">
      <c r="I7535" s="137" t="s">
        <v>74</v>
      </c>
    </row>
    <row r="7536" spans="9:9" x14ac:dyDescent="0.2">
      <c r="I7536" s="137" t="s">
        <v>74</v>
      </c>
    </row>
    <row r="7537" spans="9:9" x14ac:dyDescent="0.2">
      <c r="I7537" s="137" t="s">
        <v>74</v>
      </c>
    </row>
    <row r="7538" spans="9:9" x14ac:dyDescent="0.2">
      <c r="I7538" s="137" t="s">
        <v>74</v>
      </c>
    </row>
    <row r="7539" spans="9:9" x14ac:dyDescent="0.2">
      <c r="I7539" s="137" t="s">
        <v>74</v>
      </c>
    </row>
    <row r="7540" spans="9:9" x14ac:dyDescent="0.2">
      <c r="I7540" s="137" t="s">
        <v>74</v>
      </c>
    </row>
    <row r="7541" spans="9:9" x14ac:dyDescent="0.2">
      <c r="I7541" s="137" t="s">
        <v>74</v>
      </c>
    </row>
    <row r="7542" spans="9:9" x14ac:dyDescent="0.2">
      <c r="I7542" s="137" t="s">
        <v>74</v>
      </c>
    </row>
    <row r="7543" spans="9:9" x14ac:dyDescent="0.2">
      <c r="I7543" s="137" t="s">
        <v>74</v>
      </c>
    </row>
    <row r="7544" spans="9:9" x14ac:dyDescent="0.2">
      <c r="I7544" s="137" t="s">
        <v>74</v>
      </c>
    </row>
    <row r="7545" spans="9:9" x14ac:dyDescent="0.2">
      <c r="I7545" s="137" t="s">
        <v>74</v>
      </c>
    </row>
    <row r="7546" spans="9:9" x14ac:dyDescent="0.2">
      <c r="I7546" s="137" t="s">
        <v>74</v>
      </c>
    </row>
    <row r="7547" spans="9:9" x14ac:dyDescent="0.2">
      <c r="I7547" s="137" t="s">
        <v>74</v>
      </c>
    </row>
    <row r="7548" spans="9:9" x14ac:dyDescent="0.2">
      <c r="I7548" s="137" t="s">
        <v>74</v>
      </c>
    </row>
    <row r="7549" spans="9:9" x14ac:dyDescent="0.2">
      <c r="I7549" s="137" t="s">
        <v>74</v>
      </c>
    </row>
    <row r="7550" spans="9:9" x14ac:dyDescent="0.2">
      <c r="I7550" s="137" t="s">
        <v>74</v>
      </c>
    </row>
    <row r="7551" spans="9:9" x14ac:dyDescent="0.2">
      <c r="I7551" s="137" t="s">
        <v>74</v>
      </c>
    </row>
    <row r="7552" spans="9:9" x14ac:dyDescent="0.2">
      <c r="I7552" s="137" t="s">
        <v>74</v>
      </c>
    </row>
    <row r="7553" spans="9:9" x14ac:dyDescent="0.2">
      <c r="I7553" s="137" t="s">
        <v>74</v>
      </c>
    </row>
    <row r="7554" spans="9:9" x14ac:dyDescent="0.2">
      <c r="I7554" s="137" t="s">
        <v>74</v>
      </c>
    </row>
    <row r="7555" spans="9:9" x14ac:dyDescent="0.2">
      <c r="I7555" s="137" t="s">
        <v>74</v>
      </c>
    </row>
    <row r="7556" spans="9:9" x14ac:dyDescent="0.2">
      <c r="I7556" s="137" t="s">
        <v>74</v>
      </c>
    </row>
    <row r="7557" spans="9:9" x14ac:dyDescent="0.2">
      <c r="I7557" s="137" t="s">
        <v>74</v>
      </c>
    </row>
    <row r="7558" spans="9:9" x14ac:dyDescent="0.2">
      <c r="I7558" s="137" t="s">
        <v>74</v>
      </c>
    </row>
    <row r="7559" spans="9:9" x14ac:dyDescent="0.2">
      <c r="I7559" s="137" t="s">
        <v>74</v>
      </c>
    </row>
    <row r="7560" spans="9:9" x14ac:dyDescent="0.2">
      <c r="I7560" s="137" t="s">
        <v>74</v>
      </c>
    </row>
    <row r="7561" spans="9:9" x14ac:dyDescent="0.2">
      <c r="I7561" s="137" t="s">
        <v>74</v>
      </c>
    </row>
    <row r="7562" spans="9:9" x14ac:dyDescent="0.2">
      <c r="I7562" s="137" t="s">
        <v>74</v>
      </c>
    </row>
    <row r="7563" spans="9:9" x14ac:dyDescent="0.2">
      <c r="I7563" s="137" t="s">
        <v>74</v>
      </c>
    </row>
    <row r="7564" spans="9:9" x14ac:dyDescent="0.2">
      <c r="I7564" s="137" t="s">
        <v>74</v>
      </c>
    </row>
    <row r="7565" spans="9:9" x14ac:dyDescent="0.2">
      <c r="I7565" s="137" t="s">
        <v>74</v>
      </c>
    </row>
    <row r="7566" spans="9:9" x14ac:dyDescent="0.2">
      <c r="I7566" s="137" t="s">
        <v>74</v>
      </c>
    </row>
    <row r="7567" spans="9:9" x14ac:dyDescent="0.2">
      <c r="I7567" s="137" t="s">
        <v>74</v>
      </c>
    </row>
    <row r="7568" spans="9:9" x14ac:dyDescent="0.2">
      <c r="I7568" s="137" t="s">
        <v>74</v>
      </c>
    </row>
    <row r="7569" spans="9:9" x14ac:dyDescent="0.2">
      <c r="I7569" s="137" t="s">
        <v>74</v>
      </c>
    </row>
    <row r="7570" spans="9:9" x14ac:dyDescent="0.2">
      <c r="I7570" s="137" t="s">
        <v>74</v>
      </c>
    </row>
    <row r="7571" spans="9:9" x14ac:dyDescent="0.2">
      <c r="I7571" s="137" t="s">
        <v>74</v>
      </c>
    </row>
    <row r="7572" spans="9:9" x14ac:dyDescent="0.2">
      <c r="I7572" s="137" t="s">
        <v>74</v>
      </c>
    </row>
    <row r="7573" spans="9:9" x14ac:dyDescent="0.2">
      <c r="I7573" s="137" t="s">
        <v>74</v>
      </c>
    </row>
    <row r="7574" spans="9:9" x14ac:dyDescent="0.2">
      <c r="I7574" s="137" t="s">
        <v>74</v>
      </c>
    </row>
    <row r="7575" spans="9:9" x14ac:dyDescent="0.2">
      <c r="I7575" s="137" t="s">
        <v>74</v>
      </c>
    </row>
    <row r="7576" spans="9:9" x14ac:dyDescent="0.2">
      <c r="I7576" s="137" t="s">
        <v>74</v>
      </c>
    </row>
    <row r="7577" spans="9:9" x14ac:dyDescent="0.2">
      <c r="I7577" s="137" t="s">
        <v>74</v>
      </c>
    </row>
    <row r="7578" spans="9:9" x14ac:dyDescent="0.2">
      <c r="I7578" s="137" t="s">
        <v>74</v>
      </c>
    </row>
    <row r="7579" spans="9:9" x14ac:dyDescent="0.2">
      <c r="I7579" s="137" t="s">
        <v>74</v>
      </c>
    </row>
    <row r="7580" spans="9:9" x14ac:dyDescent="0.2">
      <c r="I7580" s="137" t="s">
        <v>74</v>
      </c>
    </row>
    <row r="7581" spans="9:9" x14ac:dyDescent="0.2">
      <c r="I7581" s="137" t="s">
        <v>74</v>
      </c>
    </row>
    <row r="7582" spans="9:9" x14ac:dyDescent="0.2">
      <c r="I7582" s="137" t="s">
        <v>74</v>
      </c>
    </row>
    <row r="7583" spans="9:9" x14ac:dyDescent="0.2">
      <c r="I7583" s="137" t="s">
        <v>74</v>
      </c>
    </row>
    <row r="7584" spans="9:9" x14ac:dyDescent="0.2">
      <c r="I7584" s="137" t="s">
        <v>74</v>
      </c>
    </row>
    <row r="7585" spans="9:9" x14ac:dyDescent="0.2">
      <c r="I7585" s="137" t="s">
        <v>74</v>
      </c>
    </row>
    <row r="7586" spans="9:9" x14ac:dyDescent="0.2">
      <c r="I7586" s="137" t="s">
        <v>74</v>
      </c>
    </row>
    <row r="7587" spans="9:9" x14ac:dyDescent="0.2">
      <c r="I7587" s="137" t="s">
        <v>74</v>
      </c>
    </row>
    <row r="7588" spans="9:9" x14ac:dyDescent="0.2">
      <c r="I7588" s="137" t="s">
        <v>74</v>
      </c>
    </row>
    <row r="7589" spans="9:9" x14ac:dyDescent="0.2">
      <c r="I7589" s="137" t="s">
        <v>74</v>
      </c>
    </row>
    <row r="7590" spans="9:9" x14ac:dyDescent="0.2">
      <c r="I7590" s="137" t="s">
        <v>74</v>
      </c>
    </row>
    <row r="7591" spans="9:9" x14ac:dyDescent="0.2">
      <c r="I7591" s="137" t="s">
        <v>74</v>
      </c>
    </row>
    <row r="7592" spans="9:9" x14ac:dyDescent="0.2">
      <c r="I7592" s="137" t="s">
        <v>74</v>
      </c>
    </row>
    <row r="7593" spans="9:9" x14ac:dyDescent="0.2">
      <c r="I7593" s="137" t="s">
        <v>74</v>
      </c>
    </row>
    <row r="7594" spans="9:9" x14ac:dyDescent="0.2">
      <c r="I7594" s="137" t="s">
        <v>74</v>
      </c>
    </row>
    <row r="7595" spans="9:9" x14ac:dyDescent="0.2">
      <c r="I7595" s="137" t="s">
        <v>74</v>
      </c>
    </row>
    <row r="7596" spans="9:9" x14ac:dyDescent="0.2">
      <c r="I7596" s="137" t="s">
        <v>74</v>
      </c>
    </row>
    <row r="7597" spans="9:9" x14ac:dyDescent="0.2">
      <c r="I7597" s="137" t="s">
        <v>74</v>
      </c>
    </row>
    <row r="7598" spans="9:9" x14ac:dyDescent="0.2">
      <c r="I7598" s="137" t="s">
        <v>74</v>
      </c>
    </row>
    <row r="7599" spans="9:9" x14ac:dyDescent="0.2">
      <c r="I7599" s="137" t="s">
        <v>74</v>
      </c>
    </row>
    <row r="7600" spans="9:9" x14ac:dyDescent="0.2">
      <c r="I7600" s="137" t="s">
        <v>74</v>
      </c>
    </row>
    <row r="7601" spans="9:9" x14ac:dyDescent="0.2">
      <c r="I7601" s="137" t="s">
        <v>74</v>
      </c>
    </row>
    <row r="7602" spans="9:9" x14ac:dyDescent="0.2">
      <c r="I7602" s="137" t="s">
        <v>74</v>
      </c>
    </row>
    <row r="7603" spans="9:9" x14ac:dyDescent="0.2">
      <c r="I7603" s="137" t="s">
        <v>74</v>
      </c>
    </row>
    <row r="7604" spans="9:9" x14ac:dyDescent="0.2">
      <c r="I7604" s="137" t="s">
        <v>74</v>
      </c>
    </row>
    <row r="7605" spans="9:9" x14ac:dyDescent="0.2">
      <c r="I7605" s="137" t="s">
        <v>74</v>
      </c>
    </row>
    <row r="7606" spans="9:9" x14ac:dyDescent="0.2">
      <c r="I7606" s="137" t="s">
        <v>74</v>
      </c>
    </row>
    <row r="7607" spans="9:9" x14ac:dyDescent="0.2">
      <c r="I7607" s="137" t="s">
        <v>74</v>
      </c>
    </row>
    <row r="7608" spans="9:9" x14ac:dyDescent="0.2">
      <c r="I7608" s="137" t="s">
        <v>74</v>
      </c>
    </row>
    <row r="7609" spans="9:9" x14ac:dyDescent="0.2">
      <c r="I7609" s="137" t="s">
        <v>74</v>
      </c>
    </row>
    <row r="7610" spans="9:9" x14ac:dyDescent="0.2">
      <c r="I7610" s="137" t="s">
        <v>74</v>
      </c>
    </row>
    <row r="7611" spans="9:9" x14ac:dyDescent="0.2">
      <c r="I7611" s="137" t="s">
        <v>74</v>
      </c>
    </row>
    <row r="7612" spans="9:9" x14ac:dyDescent="0.2">
      <c r="I7612" s="137" t="s">
        <v>74</v>
      </c>
    </row>
    <row r="7613" spans="9:9" x14ac:dyDescent="0.2">
      <c r="I7613" s="137" t="s">
        <v>74</v>
      </c>
    </row>
    <row r="7614" spans="9:9" x14ac:dyDescent="0.2">
      <c r="I7614" s="137" t="s">
        <v>74</v>
      </c>
    </row>
    <row r="7615" spans="9:9" x14ac:dyDescent="0.2">
      <c r="I7615" s="137" t="s">
        <v>74</v>
      </c>
    </row>
    <row r="7616" spans="9:9" x14ac:dyDescent="0.2">
      <c r="I7616" s="137" t="s">
        <v>74</v>
      </c>
    </row>
    <row r="7617" spans="9:9" x14ac:dyDescent="0.2">
      <c r="I7617" s="137" t="s">
        <v>74</v>
      </c>
    </row>
    <row r="7618" spans="9:9" x14ac:dyDescent="0.2">
      <c r="I7618" s="137" t="s">
        <v>74</v>
      </c>
    </row>
    <row r="7619" spans="9:9" x14ac:dyDescent="0.2">
      <c r="I7619" s="137" t="s">
        <v>74</v>
      </c>
    </row>
    <row r="7620" spans="9:9" x14ac:dyDescent="0.2">
      <c r="I7620" s="137" t="s">
        <v>74</v>
      </c>
    </row>
    <row r="7621" spans="9:9" x14ac:dyDescent="0.2">
      <c r="I7621" s="137" t="s">
        <v>74</v>
      </c>
    </row>
    <row r="7622" spans="9:9" x14ac:dyDescent="0.2">
      <c r="I7622" s="137" t="s">
        <v>74</v>
      </c>
    </row>
    <row r="7623" spans="9:9" x14ac:dyDescent="0.2">
      <c r="I7623" s="137" t="s">
        <v>74</v>
      </c>
    </row>
    <row r="7624" spans="9:9" x14ac:dyDescent="0.2">
      <c r="I7624" s="137" t="s">
        <v>74</v>
      </c>
    </row>
    <row r="7625" spans="9:9" x14ac:dyDescent="0.2">
      <c r="I7625" s="137" t="s">
        <v>74</v>
      </c>
    </row>
    <row r="7626" spans="9:9" x14ac:dyDescent="0.2">
      <c r="I7626" s="137" t="s">
        <v>74</v>
      </c>
    </row>
    <row r="7627" spans="9:9" x14ac:dyDescent="0.2">
      <c r="I7627" s="137" t="s">
        <v>74</v>
      </c>
    </row>
    <row r="7628" spans="9:9" x14ac:dyDescent="0.2">
      <c r="I7628" s="137" t="s">
        <v>74</v>
      </c>
    </row>
    <row r="7629" spans="9:9" x14ac:dyDescent="0.2">
      <c r="I7629" s="137" t="s">
        <v>74</v>
      </c>
    </row>
    <row r="7630" spans="9:9" x14ac:dyDescent="0.2">
      <c r="I7630" s="137" t="s">
        <v>74</v>
      </c>
    </row>
    <row r="7631" spans="9:9" x14ac:dyDescent="0.2">
      <c r="I7631" s="137" t="s">
        <v>74</v>
      </c>
    </row>
    <row r="7632" spans="9:9" x14ac:dyDescent="0.2">
      <c r="I7632" s="137" t="s">
        <v>74</v>
      </c>
    </row>
    <row r="7633" spans="9:9" x14ac:dyDescent="0.2">
      <c r="I7633" s="137" t="s">
        <v>74</v>
      </c>
    </row>
    <row r="7634" spans="9:9" x14ac:dyDescent="0.2">
      <c r="I7634" s="137" t="s">
        <v>74</v>
      </c>
    </row>
    <row r="7635" spans="9:9" x14ac:dyDescent="0.2">
      <c r="I7635" s="137" t="s">
        <v>74</v>
      </c>
    </row>
    <row r="7636" spans="9:9" x14ac:dyDescent="0.2">
      <c r="I7636" s="137" t="s">
        <v>74</v>
      </c>
    </row>
    <row r="7637" spans="9:9" x14ac:dyDescent="0.2">
      <c r="I7637" s="137" t="s">
        <v>74</v>
      </c>
    </row>
    <row r="7638" spans="9:9" x14ac:dyDescent="0.2">
      <c r="I7638" s="137" t="s">
        <v>74</v>
      </c>
    </row>
    <row r="7639" spans="9:9" x14ac:dyDescent="0.2">
      <c r="I7639" s="137" t="s">
        <v>74</v>
      </c>
    </row>
    <row r="7640" spans="9:9" x14ac:dyDescent="0.2">
      <c r="I7640" s="137" t="s">
        <v>74</v>
      </c>
    </row>
    <row r="7641" spans="9:9" x14ac:dyDescent="0.2">
      <c r="I7641" s="137" t="s">
        <v>74</v>
      </c>
    </row>
    <row r="7642" spans="9:9" x14ac:dyDescent="0.2">
      <c r="I7642" s="137" t="s">
        <v>74</v>
      </c>
    </row>
    <row r="7643" spans="9:9" x14ac:dyDescent="0.2">
      <c r="I7643" s="137" t="s">
        <v>74</v>
      </c>
    </row>
    <row r="7644" spans="9:9" x14ac:dyDescent="0.2">
      <c r="I7644" s="137" t="s">
        <v>74</v>
      </c>
    </row>
    <row r="7645" spans="9:9" x14ac:dyDescent="0.2">
      <c r="I7645" s="137" t="s">
        <v>74</v>
      </c>
    </row>
    <row r="7646" spans="9:9" x14ac:dyDescent="0.2">
      <c r="I7646" s="137" t="s">
        <v>74</v>
      </c>
    </row>
    <row r="7647" spans="9:9" x14ac:dyDescent="0.2">
      <c r="I7647" s="137" t="s">
        <v>74</v>
      </c>
    </row>
    <row r="7648" spans="9:9" x14ac:dyDescent="0.2">
      <c r="I7648" s="137" t="s">
        <v>74</v>
      </c>
    </row>
    <row r="7649" spans="9:9" x14ac:dyDescent="0.2">
      <c r="I7649" s="137" t="s">
        <v>74</v>
      </c>
    </row>
    <row r="7650" spans="9:9" x14ac:dyDescent="0.2">
      <c r="I7650" s="137" t="s">
        <v>74</v>
      </c>
    </row>
    <row r="7651" spans="9:9" x14ac:dyDescent="0.2">
      <c r="I7651" s="137" t="s">
        <v>74</v>
      </c>
    </row>
    <row r="7652" spans="9:9" x14ac:dyDescent="0.2">
      <c r="I7652" s="137" t="s">
        <v>74</v>
      </c>
    </row>
    <row r="7653" spans="9:9" x14ac:dyDescent="0.2">
      <c r="I7653" s="137" t="s">
        <v>74</v>
      </c>
    </row>
    <row r="7654" spans="9:9" x14ac:dyDescent="0.2">
      <c r="I7654" s="137" t="s">
        <v>74</v>
      </c>
    </row>
    <row r="7655" spans="9:9" x14ac:dyDescent="0.2">
      <c r="I7655" s="137" t="s">
        <v>74</v>
      </c>
    </row>
    <row r="7656" spans="9:9" x14ac:dyDescent="0.2">
      <c r="I7656" s="137" t="s">
        <v>74</v>
      </c>
    </row>
    <row r="7657" spans="9:9" x14ac:dyDescent="0.2">
      <c r="I7657" s="137" t="s">
        <v>74</v>
      </c>
    </row>
    <row r="7658" spans="9:9" x14ac:dyDescent="0.2">
      <c r="I7658" s="137" t="s">
        <v>74</v>
      </c>
    </row>
    <row r="7659" spans="9:9" x14ac:dyDescent="0.2">
      <c r="I7659" s="137" t="s">
        <v>74</v>
      </c>
    </row>
    <row r="7660" spans="9:9" x14ac:dyDescent="0.2">
      <c r="I7660" s="137" t="s">
        <v>74</v>
      </c>
    </row>
    <row r="7661" spans="9:9" x14ac:dyDescent="0.2">
      <c r="I7661" s="137" t="s">
        <v>74</v>
      </c>
    </row>
    <row r="7662" spans="9:9" x14ac:dyDescent="0.2">
      <c r="I7662" s="137" t="s">
        <v>74</v>
      </c>
    </row>
    <row r="7663" spans="9:9" x14ac:dyDescent="0.2">
      <c r="I7663" s="137" t="s">
        <v>74</v>
      </c>
    </row>
    <row r="7664" spans="9:9" x14ac:dyDescent="0.2">
      <c r="I7664" s="137" t="s">
        <v>74</v>
      </c>
    </row>
    <row r="7665" spans="9:9" x14ac:dyDescent="0.2">
      <c r="I7665" s="137" t="s">
        <v>74</v>
      </c>
    </row>
    <row r="7666" spans="9:9" x14ac:dyDescent="0.2">
      <c r="I7666" s="137" t="s">
        <v>74</v>
      </c>
    </row>
    <row r="7667" spans="9:9" x14ac:dyDescent="0.2">
      <c r="I7667" s="137" t="s">
        <v>74</v>
      </c>
    </row>
    <row r="7668" spans="9:9" x14ac:dyDescent="0.2">
      <c r="I7668" s="137" t="s">
        <v>74</v>
      </c>
    </row>
    <row r="7669" spans="9:9" x14ac:dyDescent="0.2">
      <c r="I7669" s="137" t="s">
        <v>74</v>
      </c>
    </row>
    <row r="7670" spans="9:9" x14ac:dyDescent="0.2">
      <c r="I7670" s="137" t="s">
        <v>74</v>
      </c>
    </row>
    <row r="7671" spans="9:9" x14ac:dyDescent="0.2">
      <c r="I7671" s="137" t="s">
        <v>74</v>
      </c>
    </row>
    <row r="7672" spans="9:9" x14ac:dyDescent="0.2">
      <c r="I7672" s="137" t="s">
        <v>74</v>
      </c>
    </row>
    <row r="7673" spans="9:9" x14ac:dyDescent="0.2">
      <c r="I7673" s="137" t="s">
        <v>74</v>
      </c>
    </row>
    <row r="7674" spans="9:9" x14ac:dyDescent="0.2">
      <c r="I7674" s="137" t="s">
        <v>74</v>
      </c>
    </row>
    <row r="7675" spans="9:9" x14ac:dyDescent="0.2">
      <c r="I7675" s="137" t="s">
        <v>74</v>
      </c>
    </row>
    <row r="7676" spans="9:9" x14ac:dyDescent="0.2">
      <c r="I7676" s="137" t="s">
        <v>74</v>
      </c>
    </row>
    <row r="7677" spans="9:9" x14ac:dyDescent="0.2">
      <c r="I7677" s="137" t="s">
        <v>74</v>
      </c>
    </row>
    <row r="7678" spans="9:9" x14ac:dyDescent="0.2">
      <c r="I7678" s="137" t="s">
        <v>74</v>
      </c>
    </row>
    <row r="7679" spans="9:9" x14ac:dyDescent="0.2">
      <c r="I7679" s="137" t="s">
        <v>74</v>
      </c>
    </row>
    <row r="7680" spans="9:9" x14ac:dyDescent="0.2">
      <c r="I7680" s="137" t="s">
        <v>74</v>
      </c>
    </row>
    <row r="7681" spans="9:9" x14ac:dyDescent="0.2">
      <c r="I7681" s="137" t="s">
        <v>74</v>
      </c>
    </row>
    <row r="7682" spans="9:9" x14ac:dyDescent="0.2">
      <c r="I7682" s="137" t="s">
        <v>74</v>
      </c>
    </row>
    <row r="7683" spans="9:9" x14ac:dyDescent="0.2">
      <c r="I7683" s="137" t="s">
        <v>74</v>
      </c>
    </row>
    <row r="7684" spans="9:9" x14ac:dyDescent="0.2">
      <c r="I7684" s="137" t="s">
        <v>74</v>
      </c>
    </row>
    <row r="7685" spans="9:9" x14ac:dyDescent="0.2">
      <c r="I7685" s="137" t="s">
        <v>74</v>
      </c>
    </row>
    <row r="7686" spans="9:9" x14ac:dyDescent="0.2">
      <c r="I7686" s="137" t="s">
        <v>74</v>
      </c>
    </row>
    <row r="7687" spans="9:9" x14ac:dyDescent="0.2">
      <c r="I7687" s="137" t="s">
        <v>74</v>
      </c>
    </row>
    <row r="7688" spans="9:9" x14ac:dyDescent="0.2">
      <c r="I7688" s="137" t="s">
        <v>74</v>
      </c>
    </row>
    <row r="7689" spans="9:9" x14ac:dyDescent="0.2">
      <c r="I7689" s="137" t="s">
        <v>74</v>
      </c>
    </row>
    <row r="7690" spans="9:9" x14ac:dyDescent="0.2">
      <c r="I7690" s="137" t="s">
        <v>74</v>
      </c>
    </row>
    <row r="7691" spans="9:9" x14ac:dyDescent="0.2">
      <c r="I7691" s="137" t="s">
        <v>74</v>
      </c>
    </row>
    <row r="7692" spans="9:9" x14ac:dyDescent="0.2">
      <c r="I7692" s="137" t="s">
        <v>74</v>
      </c>
    </row>
    <row r="7693" spans="9:9" x14ac:dyDescent="0.2">
      <c r="I7693" s="137" t="s">
        <v>74</v>
      </c>
    </row>
    <row r="7694" spans="9:9" x14ac:dyDescent="0.2">
      <c r="I7694" s="137" t="s">
        <v>74</v>
      </c>
    </row>
    <row r="7695" spans="9:9" x14ac:dyDescent="0.2">
      <c r="I7695" s="137" t="s">
        <v>74</v>
      </c>
    </row>
    <row r="7696" spans="9:9" x14ac:dyDescent="0.2">
      <c r="I7696" s="137" t="s">
        <v>74</v>
      </c>
    </row>
    <row r="7697" spans="9:9" x14ac:dyDescent="0.2">
      <c r="I7697" s="137" t="s">
        <v>74</v>
      </c>
    </row>
    <row r="7698" spans="9:9" x14ac:dyDescent="0.2">
      <c r="I7698" s="137" t="s">
        <v>74</v>
      </c>
    </row>
    <row r="7699" spans="9:9" x14ac:dyDescent="0.2">
      <c r="I7699" s="137" t="s">
        <v>74</v>
      </c>
    </row>
    <row r="7700" spans="9:9" x14ac:dyDescent="0.2">
      <c r="I7700" s="137" t="s">
        <v>74</v>
      </c>
    </row>
    <row r="7701" spans="9:9" x14ac:dyDescent="0.2">
      <c r="I7701" s="137" t="s">
        <v>74</v>
      </c>
    </row>
    <row r="7702" spans="9:9" x14ac:dyDescent="0.2">
      <c r="I7702" s="137" t="s">
        <v>74</v>
      </c>
    </row>
    <row r="7703" spans="9:9" x14ac:dyDescent="0.2">
      <c r="I7703" s="137" t="s">
        <v>74</v>
      </c>
    </row>
    <row r="7704" spans="9:9" x14ac:dyDescent="0.2">
      <c r="I7704" s="137" t="s">
        <v>74</v>
      </c>
    </row>
    <row r="7705" spans="9:9" x14ac:dyDescent="0.2">
      <c r="I7705" s="137" t="s">
        <v>74</v>
      </c>
    </row>
    <row r="7706" spans="9:9" x14ac:dyDescent="0.2">
      <c r="I7706" s="137" t="s">
        <v>74</v>
      </c>
    </row>
    <row r="7707" spans="9:9" x14ac:dyDescent="0.2">
      <c r="I7707" s="137" t="s">
        <v>74</v>
      </c>
    </row>
    <row r="7708" spans="9:9" x14ac:dyDescent="0.2">
      <c r="I7708" s="137" t="s">
        <v>74</v>
      </c>
    </row>
    <row r="7709" spans="9:9" x14ac:dyDescent="0.2">
      <c r="I7709" s="137" t="s">
        <v>74</v>
      </c>
    </row>
    <row r="7710" spans="9:9" x14ac:dyDescent="0.2">
      <c r="I7710" s="137" t="s">
        <v>74</v>
      </c>
    </row>
    <row r="7711" spans="9:9" x14ac:dyDescent="0.2">
      <c r="I7711" s="137" t="s">
        <v>74</v>
      </c>
    </row>
    <row r="7712" spans="9:9" x14ac:dyDescent="0.2">
      <c r="I7712" s="137" t="s">
        <v>74</v>
      </c>
    </row>
    <row r="7713" spans="9:9" x14ac:dyDescent="0.2">
      <c r="I7713" s="137" t="s">
        <v>74</v>
      </c>
    </row>
    <row r="7714" spans="9:9" x14ac:dyDescent="0.2">
      <c r="I7714" s="137" t="s">
        <v>74</v>
      </c>
    </row>
    <row r="7715" spans="9:9" x14ac:dyDescent="0.2">
      <c r="I7715" s="137" t="s">
        <v>74</v>
      </c>
    </row>
    <row r="7716" spans="9:9" x14ac:dyDescent="0.2">
      <c r="I7716" s="137" t="s">
        <v>74</v>
      </c>
    </row>
    <row r="7717" spans="9:9" x14ac:dyDescent="0.2">
      <c r="I7717" s="137" t="s">
        <v>74</v>
      </c>
    </row>
    <row r="7718" spans="9:9" x14ac:dyDescent="0.2">
      <c r="I7718" s="137" t="s">
        <v>74</v>
      </c>
    </row>
    <row r="7719" spans="9:9" x14ac:dyDescent="0.2">
      <c r="I7719" s="137" t="s">
        <v>74</v>
      </c>
    </row>
    <row r="7720" spans="9:9" x14ac:dyDescent="0.2">
      <c r="I7720" s="137" t="s">
        <v>74</v>
      </c>
    </row>
    <row r="7721" spans="9:9" x14ac:dyDescent="0.2">
      <c r="I7721" s="137" t="s">
        <v>74</v>
      </c>
    </row>
    <row r="7722" spans="9:9" x14ac:dyDescent="0.2">
      <c r="I7722" s="137" t="s">
        <v>74</v>
      </c>
    </row>
    <row r="7723" spans="9:9" x14ac:dyDescent="0.2">
      <c r="I7723" s="137" t="s">
        <v>74</v>
      </c>
    </row>
    <row r="7724" spans="9:9" x14ac:dyDescent="0.2">
      <c r="I7724" s="137" t="s">
        <v>74</v>
      </c>
    </row>
    <row r="7725" spans="9:9" x14ac:dyDescent="0.2">
      <c r="I7725" s="137" t="s">
        <v>74</v>
      </c>
    </row>
    <row r="7726" spans="9:9" x14ac:dyDescent="0.2">
      <c r="I7726" s="137" t="s">
        <v>74</v>
      </c>
    </row>
    <row r="7727" spans="9:9" x14ac:dyDescent="0.2">
      <c r="I7727" s="137" t="s">
        <v>74</v>
      </c>
    </row>
    <row r="7728" spans="9:9" x14ac:dyDescent="0.2">
      <c r="I7728" s="137" t="s">
        <v>74</v>
      </c>
    </row>
    <row r="7729" spans="9:9" x14ac:dyDescent="0.2">
      <c r="I7729" s="137" t="s">
        <v>74</v>
      </c>
    </row>
    <row r="7730" spans="9:9" x14ac:dyDescent="0.2">
      <c r="I7730" s="137" t="s">
        <v>74</v>
      </c>
    </row>
    <row r="7731" spans="9:9" x14ac:dyDescent="0.2">
      <c r="I7731" s="137" t="s">
        <v>74</v>
      </c>
    </row>
    <row r="7732" spans="9:9" x14ac:dyDescent="0.2">
      <c r="I7732" s="137" t="s">
        <v>74</v>
      </c>
    </row>
    <row r="7733" spans="9:9" x14ac:dyDescent="0.2">
      <c r="I7733" s="137" t="s">
        <v>74</v>
      </c>
    </row>
    <row r="7734" spans="9:9" x14ac:dyDescent="0.2">
      <c r="I7734" s="137" t="s">
        <v>74</v>
      </c>
    </row>
    <row r="7735" spans="9:9" x14ac:dyDescent="0.2">
      <c r="I7735" s="137" t="s">
        <v>74</v>
      </c>
    </row>
    <row r="7736" spans="9:9" x14ac:dyDescent="0.2">
      <c r="I7736" s="137" t="s">
        <v>74</v>
      </c>
    </row>
    <row r="7737" spans="9:9" x14ac:dyDescent="0.2">
      <c r="I7737" s="137" t="s">
        <v>74</v>
      </c>
    </row>
    <row r="7738" spans="9:9" x14ac:dyDescent="0.2">
      <c r="I7738" s="137" t="s">
        <v>74</v>
      </c>
    </row>
    <row r="7739" spans="9:9" x14ac:dyDescent="0.2">
      <c r="I7739" s="137" t="s">
        <v>74</v>
      </c>
    </row>
    <row r="7740" spans="9:9" x14ac:dyDescent="0.2">
      <c r="I7740" s="137" t="s">
        <v>74</v>
      </c>
    </row>
    <row r="7741" spans="9:9" x14ac:dyDescent="0.2">
      <c r="I7741" s="137" t="s">
        <v>74</v>
      </c>
    </row>
    <row r="7742" spans="9:9" x14ac:dyDescent="0.2">
      <c r="I7742" s="137" t="s">
        <v>74</v>
      </c>
    </row>
    <row r="7743" spans="9:9" x14ac:dyDescent="0.2">
      <c r="I7743" s="137" t="s">
        <v>74</v>
      </c>
    </row>
    <row r="7744" spans="9:9" x14ac:dyDescent="0.2">
      <c r="I7744" s="137" t="s">
        <v>74</v>
      </c>
    </row>
    <row r="7745" spans="9:9" x14ac:dyDescent="0.2">
      <c r="I7745" s="137" t="s">
        <v>74</v>
      </c>
    </row>
    <row r="7746" spans="9:9" x14ac:dyDescent="0.2">
      <c r="I7746" s="137" t="s">
        <v>74</v>
      </c>
    </row>
    <row r="7747" spans="9:9" x14ac:dyDescent="0.2">
      <c r="I7747" s="137" t="s">
        <v>74</v>
      </c>
    </row>
    <row r="7748" spans="9:9" x14ac:dyDescent="0.2">
      <c r="I7748" s="137" t="s">
        <v>74</v>
      </c>
    </row>
    <row r="7749" spans="9:9" x14ac:dyDescent="0.2">
      <c r="I7749" s="137" t="s">
        <v>74</v>
      </c>
    </row>
    <row r="7750" spans="9:9" x14ac:dyDescent="0.2">
      <c r="I7750" s="137" t="s">
        <v>74</v>
      </c>
    </row>
    <row r="7751" spans="9:9" x14ac:dyDescent="0.2">
      <c r="I7751" s="137" t="s">
        <v>74</v>
      </c>
    </row>
    <row r="7752" spans="9:9" x14ac:dyDescent="0.2">
      <c r="I7752" s="137" t="s">
        <v>74</v>
      </c>
    </row>
    <row r="7753" spans="9:9" x14ac:dyDescent="0.2">
      <c r="I7753" s="137" t="s">
        <v>74</v>
      </c>
    </row>
    <row r="7754" spans="9:9" x14ac:dyDescent="0.2">
      <c r="I7754" s="137" t="s">
        <v>74</v>
      </c>
    </row>
    <row r="7755" spans="9:9" x14ac:dyDescent="0.2">
      <c r="I7755" s="137" t="s">
        <v>74</v>
      </c>
    </row>
    <row r="7756" spans="9:9" x14ac:dyDescent="0.2">
      <c r="I7756" s="137" t="s">
        <v>74</v>
      </c>
    </row>
    <row r="7757" spans="9:9" x14ac:dyDescent="0.2">
      <c r="I7757" s="137" t="s">
        <v>74</v>
      </c>
    </row>
    <row r="7758" spans="9:9" x14ac:dyDescent="0.2">
      <c r="I7758" s="137" t="s">
        <v>74</v>
      </c>
    </row>
    <row r="7759" spans="9:9" x14ac:dyDescent="0.2">
      <c r="I7759" s="137" t="s">
        <v>74</v>
      </c>
    </row>
    <row r="7760" spans="9:9" x14ac:dyDescent="0.2">
      <c r="I7760" s="137" t="s">
        <v>74</v>
      </c>
    </row>
    <row r="7761" spans="9:9" x14ac:dyDescent="0.2">
      <c r="I7761" s="137" t="s">
        <v>74</v>
      </c>
    </row>
    <row r="7762" spans="9:9" x14ac:dyDescent="0.2">
      <c r="I7762" s="137" t="s">
        <v>74</v>
      </c>
    </row>
    <row r="7763" spans="9:9" x14ac:dyDescent="0.2">
      <c r="I7763" s="137" t="s">
        <v>74</v>
      </c>
    </row>
    <row r="7764" spans="9:9" x14ac:dyDescent="0.2">
      <c r="I7764" s="137" t="s">
        <v>74</v>
      </c>
    </row>
    <row r="7765" spans="9:9" x14ac:dyDescent="0.2">
      <c r="I7765" s="137" t="s">
        <v>74</v>
      </c>
    </row>
    <row r="7766" spans="9:9" x14ac:dyDescent="0.2">
      <c r="I7766" s="137" t="s">
        <v>74</v>
      </c>
    </row>
    <row r="7767" spans="9:9" x14ac:dyDescent="0.2">
      <c r="I7767" s="137" t="s">
        <v>74</v>
      </c>
    </row>
    <row r="7768" spans="9:9" x14ac:dyDescent="0.2">
      <c r="I7768" s="137" t="s">
        <v>74</v>
      </c>
    </row>
    <row r="7769" spans="9:9" x14ac:dyDescent="0.2">
      <c r="I7769" s="137" t="s">
        <v>74</v>
      </c>
    </row>
    <row r="7770" spans="9:9" x14ac:dyDescent="0.2">
      <c r="I7770" s="137" t="s">
        <v>74</v>
      </c>
    </row>
    <row r="7771" spans="9:9" x14ac:dyDescent="0.2">
      <c r="I7771" s="137" t="s">
        <v>74</v>
      </c>
    </row>
    <row r="7772" spans="9:9" x14ac:dyDescent="0.2">
      <c r="I7772" s="137" t="s">
        <v>74</v>
      </c>
    </row>
    <row r="7773" spans="9:9" x14ac:dyDescent="0.2">
      <c r="I7773" s="137" t="s">
        <v>74</v>
      </c>
    </row>
    <row r="7774" spans="9:9" x14ac:dyDescent="0.2">
      <c r="I7774" s="137" t="s">
        <v>74</v>
      </c>
    </row>
    <row r="7775" spans="9:9" x14ac:dyDescent="0.2">
      <c r="I7775" s="137" t="s">
        <v>74</v>
      </c>
    </row>
    <row r="7776" spans="9:9" x14ac:dyDescent="0.2">
      <c r="I7776" s="137" t="s">
        <v>74</v>
      </c>
    </row>
    <row r="7777" spans="9:9" x14ac:dyDescent="0.2">
      <c r="I7777" s="137" t="s">
        <v>74</v>
      </c>
    </row>
    <row r="7778" spans="9:9" x14ac:dyDescent="0.2">
      <c r="I7778" s="137" t="s">
        <v>74</v>
      </c>
    </row>
    <row r="7779" spans="9:9" x14ac:dyDescent="0.2">
      <c r="I7779" s="137" t="s">
        <v>74</v>
      </c>
    </row>
    <row r="7780" spans="9:9" x14ac:dyDescent="0.2">
      <c r="I7780" s="137" t="s">
        <v>74</v>
      </c>
    </row>
    <row r="7781" spans="9:9" x14ac:dyDescent="0.2">
      <c r="I7781" s="137" t="s">
        <v>74</v>
      </c>
    </row>
    <row r="7782" spans="9:9" x14ac:dyDescent="0.2">
      <c r="I7782" s="137" t="s">
        <v>74</v>
      </c>
    </row>
    <row r="7783" spans="9:9" x14ac:dyDescent="0.2">
      <c r="I7783" s="137" t="s">
        <v>74</v>
      </c>
    </row>
    <row r="7784" spans="9:9" x14ac:dyDescent="0.2">
      <c r="I7784" s="137" t="s">
        <v>74</v>
      </c>
    </row>
    <row r="7785" spans="9:9" x14ac:dyDescent="0.2">
      <c r="I7785" s="137" t="s">
        <v>74</v>
      </c>
    </row>
    <row r="7786" spans="9:9" x14ac:dyDescent="0.2">
      <c r="I7786" s="137" t="s">
        <v>74</v>
      </c>
    </row>
    <row r="7787" spans="9:9" x14ac:dyDescent="0.2">
      <c r="I7787" s="137" t="s">
        <v>74</v>
      </c>
    </row>
    <row r="7788" spans="9:9" x14ac:dyDescent="0.2">
      <c r="I7788" s="137" t="s">
        <v>74</v>
      </c>
    </row>
    <row r="7789" spans="9:9" x14ac:dyDescent="0.2">
      <c r="I7789" s="137" t="s">
        <v>74</v>
      </c>
    </row>
    <row r="7790" spans="9:9" x14ac:dyDescent="0.2">
      <c r="I7790" s="137" t="s">
        <v>74</v>
      </c>
    </row>
    <row r="7791" spans="9:9" x14ac:dyDescent="0.2">
      <c r="I7791" s="137" t="s">
        <v>74</v>
      </c>
    </row>
    <row r="7792" spans="9:9" x14ac:dyDescent="0.2">
      <c r="I7792" s="137" t="s">
        <v>74</v>
      </c>
    </row>
    <row r="7793" spans="9:9" x14ac:dyDescent="0.2">
      <c r="I7793" s="137" t="s">
        <v>74</v>
      </c>
    </row>
    <row r="7794" spans="9:9" x14ac:dyDescent="0.2">
      <c r="I7794" s="137" t="s">
        <v>74</v>
      </c>
    </row>
    <row r="7795" spans="9:9" x14ac:dyDescent="0.2">
      <c r="I7795" s="137" t="s">
        <v>74</v>
      </c>
    </row>
    <row r="7796" spans="9:9" x14ac:dyDescent="0.2">
      <c r="I7796" s="137" t="s">
        <v>74</v>
      </c>
    </row>
    <row r="7797" spans="9:9" x14ac:dyDescent="0.2">
      <c r="I7797" s="137" t="s">
        <v>74</v>
      </c>
    </row>
    <row r="7798" spans="9:9" x14ac:dyDescent="0.2">
      <c r="I7798" s="137" t="s">
        <v>74</v>
      </c>
    </row>
    <row r="7799" spans="9:9" x14ac:dyDescent="0.2">
      <c r="I7799" s="137" t="s">
        <v>74</v>
      </c>
    </row>
    <row r="7800" spans="9:9" x14ac:dyDescent="0.2">
      <c r="I7800" s="137" t="s">
        <v>74</v>
      </c>
    </row>
    <row r="7801" spans="9:9" x14ac:dyDescent="0.2">
      <c r="I7801" s="137" t="s">
        <v>74</v>
      </c>
    </row>
    <row r="7802" spans="9:9" x14ac:dyDescent="0.2">
      <c r="I7802" s="137" t="s">
        <v>74</v>
      </c>
    </row>
    <row r="7803" spans="9:9" x14ac:dyDescent="0.2">
      <c r="I7803" s="137" t="s">
        <v>74</v>
      </c>
    </row>
    <row r="7804" spans="9:9" x14ac:dyDescent="0.2">
      <c r="I7804" s="137" t="s">
        <v>74</v>
      </c>
    </row>
    <row r="7805" spans="9:9" x14ac:dyDescent="0.2">
      <c r="I7805" s="137" t="s">
        <v>74</v>
      </c>
    </row>
    <row r="7806" spans="9:9" x14ac:dyDescent="0.2">
      <c r="I7806" s="137" t="s">
        <v>74</v>
      </c>
    </row>
    <row r="7807" spans="9:9" x14ac:dyDescent="0.2">
      <c r="I7807" s="137" t="s">
        <v>74</v>
      </c>
    </row>
    <row r="7808" spans="9:9" x14ac:dyDescent="0.2">
      <c r="I7808" s="137" t="s">
        <v>74</v>
      </c>
    </row>
    <row r="7809" spans="9:9" x14ac:dyDescent="0.2">
      <c r="I7809" s="137" t="s">
        <v>74</v>
      </c>
    </row>
    <row r="7810" spans="9:9" x14ac:dyDescent="0.2">
      <c r="I7810" s="137" t="s">
        <v>74</v>
      </c>
    </row>
    <row r="7811" spans="9:9" x14ac:dyDescent="0.2">
      <c r="I7811" s="137" t="s">
        <v>74</v>
      </c>
    </row>
    <row r="7812" spans="9:9" x14ac:dyDescent="0.2">
      <c r="I7812" s="137" t="s">
        <v>74</v>
      </c>
    </row>
    <row r="7813" spans="9:9" x14ac:dyDescent="0.2">
      <c r="I7813" s="137" t="s">
        <v>74</v>
      </c>
    </row>
    <row r="7814" spans="9:9" x14ac:dyDescent="0.2">
      <c r="I7814" s="137" t="s">
        <v>74</v>
      </c>
    </row>
    <row r="7815" spans="9:9" x14ac:dyDescent="0.2">
      <c r="I7815" s="137" t="s">
        <v>74</v>
      </c>
    </row>
    <row r="7816" spans="9:9" x14ac:dyDescent="0.2">
      <c r="I7816" s="137" t="s">
        <v>74</v>
      </c>
    </row>
    <row r="7817" spans="9:9" x14ac:dyDescent="0.2">
      <c r="I7817" s="137" t="s">
        <v>74</v>
      </c>
    </row>
    <row r="7818" spans="9:9" x14ac:dyDescent="0.2">
      <c r="I7818" s="137" t="s">
        <v>74</v>
      </c>
    </row>
    <row r="7819" spans="9:9" x14ac:dyDescent="0.2">
      <c r="I7819" s="137" t="s">
        <v>74</v>
      </c>
    </row>
    <row r="7820" spans="9:9" x14ac:dyDescent="0.2">
      <c r="I7820" s="137" t="s">
        <v>74</v>
      </c>
    </row>
    <row r="7821" spans="9:9" x14ac:dyDescent="0.2">
      <c r="I7821" s="137" t="s">
        <v>74</v>
      </c>
    </row>
    <row r="7822" spans="9:9" x14ac:dyDescent="0.2">
      <c r="I7822" s="137" t="s">
        <v>74</v>
      </c>
    </row>
    <row r="7823" spans="9:9" x14ac:dyDescent="0.2">
      <c r="I7823" s="137" t="s">
        <v>74</v>
      </c>
    </row>
    <row r="7824" spans="9:9" x14ac:dyDescent="0.2">
      <c r="I7824" s="137" t="s">
        <v>74</v>
      </c>
    </row>
    <row r="7825" spans="9:9" x14ac:dyDescent="0.2">
      <c r="I7825" s="137" t="s">
        <v>74</v>
      </c>
    </row>
    <row r="7826" spans="9:9" x14ac:dyDescent="0.2">
      <c r="I7826" s="137" t="s">
        <v>74</v>
      </c>
    </row>
    <row r="7827" spans="9:9" x14ac:dyDescent="0.2">
      <c r="I7827" s="137" t="s">
        <v>74</v>
      </c>
    </row>
    <row r="7828" spans="9:9" x14ac:dyDescent="0.2">
      <c r="I7828" s="137" t="s">
        <v>74</v>
      </c>
    </row>
    <row r="7829" spans="9:9" x14ac:dyDescent="0.2">
      <c r="I7829" s="137" t="s">
        <v>74</v>
      </c>
    </row>
    <row r="7830" spans="9:9" x14ac:dyDescent="0.2">
      <c r="I7830" s="137" t="s">
        <v>74</v>
      </c>
    </row>
    <row r="7831" spans="9:9" x14ac:dyDescent="0.2">
      <c r="I7831" s="137" t="s">
        <v>74</v>
      </c>
    </row>
    <row r="7832" spans="9:9" x14ac:dyDescent="0.2">
      <c r="I7832" s="137" t="s">
        <v>74</v>
      </c>
    </row>
    <row r="7833" spans="9:9" x14ac:dyDescent="0.2">
      <c r="I7833" s="137" t="s">
        <v>74</v>
      </c>
    </row>
    <row r="7834" spans="9:9" x14ac:dyDescent="0.2">
      <c r="I7834" s="137" t="s">
        <v>74</v>
      </c>
    </row>
    <row r="7835" spans="9:9" x14ac:dyDescent="0.2">
      <c r="I7835" s="137" t="s">
        <v>74</v>
      </c>
    </row>
    <row r="7836" spans="9:9" x14ac:dyDescent="0.2">
      <c r="I7836" s="137" t="s">
        <v>74</v>
      </c>
    </row>
    <row r="7837" spans="9:9" x14ac:dyDescent="0.2">
      <c r="I7837" s="137" t="s">
        <v>74</v>
      </c>
    </row>
    <row r="7838" spans="9:9" x14ac:dyDescent="0.2">
      <c r="I7838" s="137" t="s">
        <v>74</v>
      </c>
    </row>
    <row r="7839" spans="9:9" x14ac:dyDescent="0.2">
      <c r="I7839" s="137" t="s">
        <v>74</v>
      </c>
    </row>
    <row r="7840" spans="9:9" x14ac:dyDescent="0.2">
      <c r="I7840" s="137" t="s">
        <v>74</v>
      </c>
    </row>
    <row r="7841" spans="9:9" x14ac:dyDescent="0.2">
      <c r="I7841" s="137" t="s">
        <v>74</v>
      </c>
    </row>
    <row r="7842" spans="9:9" x14ac:dyDescent="0.2">
      <c r="I7842" s="137" t="s">
        <v>74</v>
      </c>
    </row>
    <row r="7843" spans="9:9" x14ac:dyDescent="0.2">
      <c r="I7843" s="137" t="s">
        <v>74</v>
      </c>
    </row>
    <row r="7844" spans="9:9" x14ac:dyDescent="0.2">
      <c r="I7844" s="137" t="s">
        <v>74</v>
      </c>
    </row>
    <row r="7845" spans="9:9" x14ac:dyDescent="0.2">
      <c r="I7845" s="137" t="s">
        <v>74</v>
      </c>
    </row>
    <row r="7846" spans="9:9" x14ac:dyDescent="0.2">
      <c r="I7846" s="137" t="s">
        <v>74</v>
      </c>
    </row>
    <row r="7847" spans="9:9" x14ac:dyDescent="0.2">
      <c r="I7847" s="137" t="s">
        <v>74</v>
      </c>
    </row>
    <row r="7848" spans="9:9" x14ac:dyDescent="0.2">
      <c r="I7848" s="137" t="s">
        <v>74</v>
      </c>
    </row>
    <row r="7849" spans="9:9" x14ac:dyDescent="0.2">
      <c r="I7849" s="137" t="s">
        <v>74</v>
      </c>
    </row>
    <row r="7850" spans="9:9" x14ac:dyDescent="0.2">
      <c r="I7850" s="137" t="s">
        <v>74</v>
      </c>
    </row>
    <row r="7851" spans="9:9" x14ac:dyDescent="0.2">
      <c r="I7851" s="137" t="s">
        <v>74</v>
      </c>
    </row>
    <row r="7852" spans="9:9" x14ac:dyDescent="0.2">
      <c r="I7852" s="137" t="s">
        <v>74</v>
      </c>
    </row>
    <row r="7853" spans="9:9" x14ac:dyDescent="0.2">
      <c r="I7853" s="137" t="s">
        <v>74</v>
      </c>
    </row>
    <row r="7854" spans="9:9" x14ac:dyDescent="0.2">
      <c r="I7854" s="137" t="s">
        <v>74</v>
      </c>
    </row>
    <row r="7855" spans="9:9" x14ac:dyDescent="0.2">
      <c r="I7855" s="137" t="s">
        <v>74</v>
      </c>
    </row>
    <row r="7856" spans="9:9" x14ac:dyDescent="0.2">
      <c r="I7856" s="137" t="s">
        <v>74</v>
      </c>
    </row>
    <row r="7857" spans="9:9" x14ac:dyDescent="0.2">
      <c r="I7857" s="137" t="s">
        <v>74</v>
      </c>
    </row>
    <row r="7858" spans="9:9" x14ac:dyDescent="0.2">
      <c r="I7858" s="137" t="s">
        <v>74</v>
      </c>
    </row>
    <row r="7859" spans="9:9" x14ac:dyDescent="0.2">
      <c r="I7859" s="137" t="s">
        <v>74</v>
      </c>
    </row>
    <row r="7860" spans="9:9" x14ac:dyDescent="0.2">
      <c r="I7860" s="137" t="s">
        <v>74</v>
      </c>
    </row>
    <row r="7861" spans="9:9" x14ac:dyDescent="0.2">
      <c r="I7861" s="137" t="s">
        <v>74</v>
      </c>
    </row>
    <row r="7862" spans="9:9" x14ac:dyDescent="0.2">
      <c r="I7862" s="137" t="s">
        <v>74</v>
      </c>
    </row>
    <row r="7863" spans="9:9" x14ac:dyDescent="0.2">
      <c r="I7863" s="137" t="s">
        <v>74</v>
      </c>
    </row>
    <row r="7864" spans="9:9" x14ac:dyDescent="0.2">
      <c r="I7864" s="137" t="s">
        <v>74</v>
      </c>
    </row>
    <row r="7865" spans="9:9" x14ac:dyDescent="0.2">
      <c r="I7865" s="137" t="s">
        <v>74</v>
      </c>
    </row>
    <row r="7866" spans="9:9" x14ac:dyDescent="0.2">
      <c r="I7866" s="137" t="s">
        <v>74</v>
      </c>
    </row>
    <row r="7867" spans="9:9" x14ac:dyDescent="0.2">
      <c r="I7867" s="137" t="s">
        <v>74</v>
      </c>
    </row>
    <row r="7868" spans="9:9" x14ac:dyDescent="0.2">
      <c r="I7868" s="137" t="s">
        <v>74</v>
      </c>
    </row>
    <row r="7869" spans="9:9" x14ac:dyDescent="0.2">
      <c r="I7869" s="137" t="s">
        <v>74</v>
      </c>
    </row>
    <row r="7870" spans="9:9" x14ac:dyDescent="0.2">
      <c r="I7870" s="137" t="s">
        <v>74</v>
      </c>
    </row>
    <row r="7871" spans="9:9" x14ac:dyDescent="0.2">
      <c r="I7871" s="137" t="s">
        <v>74</v>
      </c>
    </row>
    <row r="7872" spans="9:9" x14ac:dyDescent="0.2">
      <c r="I7872" s="137" t="s">
        <v>74</v>
      </c>
    </row>
    <row r="7873" spans="9:9" x14ac:dyDescent="0.2">
      <c r="I7873" s="137" t="s">
        <v>74</v>
      </c>
    </row>
    <row r="7874" spans="9:9" x14ac:dyDescent="0.2">
      <c r="I7874" s="137" t="s">
        <v>74</v>
      </c>
    </row>
    <row r="7875" spans="9:9" x14ac:dyDescent="0.2">
      <c r="I7875" s="137" t="s">
        <v>74</v>
      </c>
    </row>
    <row r="7876" spans="9:9" x14ac:dyDescent="0.2">
      <c r="I7876" s="137" t="s">
        <v>74</v>
      </c>
    </row>
    <row r="7877" spans="9:9" x14ac:dyDescent="0.2">
      <c r="I7877" s="137" t="s">
        <v>74</v>
      </c>
    </row>
    <row r="7878" spans="9:9" x14ac:dyDescent="0.2">
      <c r="I7878" s="137" t="s">
        <v>74</v>
      </c>
    </row>
    <row r="7879" spans="9:9" x14ac:dyDescent="0.2">
      <c r="I7879" s="137" t="s">
        <v>74</v>
      </c>
    </row>
    <row r="7880" spans="9:9" x14ac:dyDescent="0.2">
      <c r="I7880" s="137" t="s">
        <v>74</v>
      </c>
    </row>
    <row r="7881" spans="9:9" x14ac:dyDescent="0.2">
      <c r="I7881" s="137" t="s">
        <v>74</v>
      </c>
    </row>
    <row r="7882" spans="9:9" x14ac:dyDescent="0.2">
      <c r="I7882" s="137" t="s">
        <v>74</v>
      </c>
    </row>
    <row r="7883" spans="9:9" x14ac:dyDescent="0.2">
      <c r="I7883" s="137" t="s">
        <v>74</v>
      </c>
    </row>
    <row r="7884" spans="9:9" x14ac:dyDescent="0.2">
      <c r="I7884" s="137" t="s">
        <v>74</v>
      </c>
    </row>
    <row r="7885" spans="9:9" x14ac:dyDescent="0.2">
      <c r="I7885" s="137" t="s">
        <v>74</v>
      </c>
    </row>
    <row r="7886" spans="9:9" x14ac:dyDescent="0.2">
      <c r="I7886" s="137" t="s">
        <v>74</v>
      </c>
    </row>
    <row r="7887" spans="9:9" x14ac:dyDescent="0.2">
      <c r="I7887" s="137" t="s">
        <v>74</v>
      </c>
    </row>
    <row r="7888" spans="9:9" x14ac:dyDescent="0.2">
      <c r="I7888" s="137" t="s">
        <v>74</v>
      </c>
    </row>
    <row r="7889" spans="9:9" x14ac:dyDescent="0.2">
      <c r="I7889" s="137" t="s">
        <v>74</v>
      </c>
    </row>
    <row r="7890" spans="9:9" x14ac:dyDescent="0.2">
      <c r="I7890" s="137" t="s">
        <v>74</v>
      </c>
    </row>
    <row r="7891" spans="9:9" x14ac:dyDescent="0.2">
      <c r="I7891" s="137" t="s">
        <v>74</v>
      </c>
    </row>
    <row r="7892" spans="9:9" x14ac:dyDescent="0.2">
      <c r="I7892" s="137" t="s">
        <v>74</v>
      </c>
    </row>
    <row r="7893" spans="9:9" x14ac:dyDescent="0.2">
      <c r="I7893" s="137" t="s">
        <v>74</v>
      </c>
    </row>
    <row r="7894" spans="9:9" x14ac:dyDescent="0.2">
      <c r="I7894" s="137" t="s">
        <v>74</v>
      </c>
    </row>
    <row r="7895" spans="9:9" x14ac:dyDescent="0.2">
      <c r="I7895" s="137" t="s">
        <v>74</v>
      </c>
    </row>
    <row r="7896" spans="9:9" x14ac:dyDescent="0.2">
      <c r="I7896" s="137" t="s">
        <v>74</v>
      </c>
    </row>
    <row r="7897" spans="9:9" x14ac:dyDescent="0.2">
      <c r="I7897" s="137" t="s">
        <v>74</v>
      </c>
    </row>
    <row r="7898" spans="9:9" x14ac:dyDescent="0.2">
      <c r="I7898" s="137" t="s">
        <v>74</v>
      </c>
    </row>
    <row r="7899" spans="9:9" x14ac:dyDescent="0.2">
      <c r="I7899" s="137" t="s">
        <v>74</v>
      </c>
    </row>
    <row r="7900" spans="9:9" x14ac:dyDescent="0.2">
      <c r="I7900" s="137" t="s">
        <v>74</v>
      </c>
    </row>
    <row r="7901" spans="9:9" x14ac:dyDescent="0.2">
      <c r="I7901" s="137" t="s">
        <v>74</v>
      </c>
    </row>
    <row r="7902" spans="9:9" x14ac:dyDescent="0.2">
      <c r="I7902" s="137" t="s">
        <v>74</v>
      </c>
    </row>
    <row r="7903" spans="9:9" x14ac:dyDescent="0.2">
      <c r="I7903" s="137" t="s">
        <v>74</v>
      </c>
    </row>
    <row r="7904" spans="9:9" x14ac:dyDescent="0.2">
      <c r="I7904" s="137" t="s">
        <v>74</v>
      </c>
    </row>
    <row r="7905" spans="9:9" x14ac:dyDescent="0.2">
      <c r="I7905" s="137" t="s">
        <v>74</v>
      </c>
    </row>
    <row r="7906" spans="9:9" x14ac:dyDescent="0.2">
      <c r="I7906" s="137" t="s">
        <v>74</v>
      </c>
    </row>
    <row r="7907" spans="9:9" x14ac:dyDescent="0.2">
      <c r="I7907" s="137" t="s">
        <v>74</v>
      </c>
    </row>
    <row r="7908" spans="9:9" x14ac:dyDescent="0.2">
      <c r="I7908" s="137" t="s">
        <v>74</v>
      </c>
    </row>
    <row r="7909" spans="9:9" x14ac:dyDescent="0.2">
      <c r="I7909" s="137" t="s">
        <v>74</v>
      </c>
    </row>
    <row r="7910" spans="9:9" x14ac:dyDescent="0.2">
      <c r="I7910" s="137" t="s">
        <v>74</v>
      </c>
    </row>
    <row r="7911" spans="9:9" x14ac:dyDescent="0.2">
      <c r="I7911" s="137" t="s">
        <v>74</v>
      </c>
    </row>
    <row r="7912" spans="9:9" x14ac:dyDescent="0.2">
      <c r="I7912" s="137" t="s">
        <v>74</v>
      </c>
    </row>
    <row r="7913" spans="9:9" x14ac:dyDescent="0.2">
      <c r="I7913" s="137" t="s">
        <v>74</v>
      </c>
    </row>
    <row r="7914" spans="9:9" x14ac:dyDescent="0.2">
      <c r="I7914" s="137" t="s">
        <v>74</v>
      </c>
    </row>
    <row r="7915" spans="9:9" x14ac:dyDescent="0.2">
      <c r="I7915" s="137" t="s">
        <v>74</v>
      </c>
    </row>
    <row r="7916" spans="9:9" x14ac:dyDescent="0.2">
      <c r="I7916" s="137" t="s">
        <v>74</v>
      </c>
    </row>
    <row r="7917" spans="9:9" x14ac:dyDescent="0.2">
      <c r="I7917" s="137" t="s">
        <v>74</v>
      </c>
    </row>
    <row r="7918" spans="9:9" x14ac:dyDescent="0.2">
      <c r="I7918" s="137" t="s">
        <v>74</v>
      </c>
    </row>
    <row r="7919" spans="9:9" x14ac:dyDescent="0.2">
      <c r="I7919" s="137" t="s">
        <v>74</v>
      </c>
    </row>
    <row r="7920" spans="9:9" x14ac:dyDescent="0.2">
      <c r="I7920" s="137" t="s">
        <v>74</v>
      </c>
    </row>
    <row r="7921" spans="9:9" x14ac:dyDescent="0.2">
      <c r="I7921" s="137" t="s">
        <v>74</v>
      </c>
    </row>
    <row r="7922" spans="9:9" x14ac:dyDescent="0.2">
      <c r="I7922" s="137" t="s">
        <v>74</v>
      </c>
    </row>
    <row r="7923" spans="9:9" x14ac:dyDescent="0.2">
      <c r="I7923" s="137" t="s">
        <v>74</v>
      </c>
    </row>
    <row r="7924" spans="9:9" x14ac:dyDescent="0.2">
      <c r="I7924" s="137" t="s">
        <v>74</v>
      </c>
    </row>
    <row r="7925" spans="9:9" x14ac:dyDescent="0.2">
      <c r="I7925" s="137" t="s">
        <v>74</v>
      </c>
    </row>
    <row r="7926" spans="9:9" x14ac:dyDescent="0.2">
      <c r="I7926" s="137" t="s">
        <v>74</v>
      </c>
    </row>
    <row r="7927" spans="9:9" x14ac:dyDescent="0.2">
      <c r="I7927" s="137" t="s">
        <v>74</v>
      </c>
    </row>
    <row r="7928" spans="9:9" x14ac:dyDescent="0.2">
      <c r="I7928" s="137" t="s">
        <v>74</v>
      </c>
    </row>
    <row r="7929" spans="9:9" x14ac:dyDescent="0.2">
      <c r="I7929" s="137" t="s">
        <v>74</v>
      </c>
    </row>
    <row r="7930" spans="9:9" x14ac:dyDescent="0.2">
      <c r="I7930" s="137" t="s">
        <v>74</v>
      </c>
    </row>
    <row r="7931" spans="9:9" x14ac:dyDescent="0.2">
      <c r="I7931" s="137" t="s">
        <v>74</v>
      </c>
    </row>
    <row r="7932" spans="9:9" x14ac:dyDescent="0.2">
      <c r="I7932" s="137" t="s">
        <v>74</v>
      </c>
    </row>
    <row r="7933" spans="9:9" x14ac:dyDescent="0.2">
      <c r="I7933" s="137" t="s">
        <v>74</v>
      </c>
    </row>
    <row r="7934" spans="9:9" x14ac:dyDescent="0.2">
      <c r="I7934" s="137" t="s">
        <v>74</v>
      </c>
    </row>
    <row r="7935" spans="9:9" x14ac:dyDescent="0.2">
      <c r="I7935" s="137" t="s">
        <v>74</v>
      </c>
    </row>
    <row r="7936" spans="9:9" x14ac:dyDescent="0.2">
      <c r="I7936" s="137" t="s">
        <v>74</v>
      </c>
    </row>
    <row r="7937" spans="9:9" x14ac:dyDescent="0.2">
      <c r="I7937" s="137" t="s">
        <v>74</v>
      </c>
    </row>
    <row r="7938" spans="9:9" x14ac:dyDescent="0.2">
      <c r="I7938" s="137" t="s">
        <v>74</v>
      </c>
    </row>
    <row r="7939" spans="9:9" x14ac:dyDescent="0.2">
      <c r="I7939" s="137" t="s">
        <v>74</v>
      </c>
    </row>
    <row r="7940" spans="9:9" x14ac:dyDescent="0.2">
      <c r="I7940" s="137" t="s">
        <v>74</v>
      </c>
    </row>
    <row r="7941" spans="9:9" x14ac:dyDescent="0.2">
      <c r="I7941" s="137" t="s">
        <v>74</v>
      </c>
    </row>
    <row r="7942" spans="9:9" x14ac:dyDescent="0.2">
      <c r="I7942" s="137" t="s">
        <v>74</v>
      </c>
    </row>
    <row r="7943" spans="9:9" x14ac:dyDescent="0.2">
      <c r="I7943" s="137" t="s">
        <v>74</v>
      </c>
    </row>
    <row r="7944" spans="9:9" x14ac:dyDescent="0.2">
      <c r="I7944" s="137" t="s">
        <v>74</v>
      </c>
    </row>
    <row r="7945" spans="9:9" x14ac:dyDescent="0.2">
      <c r="I7945" s="137" t="s">
        <v>74</v>
      </c>
    </row>
    <row r="7946" spans="9:9" x14ac:dyDescent="0.2">
      <c r="I7946" s="137" t="s">
        <v>74</v>
      </c>
    </row>
    <row r="7947" spans="9:9" x14ac:dyDescent="0.2">
      <c r="I7947" s="137" t="s">
        <v>74</v>
      </c>
    </row>
    <row r="7948" spans="9:9" x14ac:dyDescent="0.2">
      <c r="I7948" s="137" t="s">
        <v>74</v>
      </c>
    </row>
    <row r="7949" spans="9:9" x14ac:dyDescent="0.2">
      <c r="I7949" s="137" t="s">
        <v>74</v>
      </c>
    </row>
    <row r="7950" spans="9:9" x14ac:dyDescent="0.2">
      <c r="I7950" s="137" t="s">
        <v>74</v>
      </c>
    </row>
    <row r="7951" spans="9:9" x14ac:dyDescent="0.2">
      <c r="I7951" s="137" t="s">
        <v>74</v>
      </c>
    </row>
    <row r="7952" spans="9:9" x14ac:dyDescent="0.2">
      <c r="I7952" s="137" t="s">
        <v>74</v>
      </c>
    </row>
    <row r="7953" spans="9:9" x14ac:dyDescent="0.2">
      <c r="I7953" s="137" t="s">
        <v>74</v>
      </c>
    </row>
    <row r="7954" spans="9:9" x14ac:dyDescent="0.2">
      <c r="I7954" s="137" t="s">
        <v>74</v>
      </c>
    </row>
    <row r="7955" spans="9:9" x14ac:dyDescent="0.2">
      <c r="I7955" s="137" t="s">
        <v>74</v>
      </c>
    </row>
    <row r="7956" spans="9:9" x14ac:dyDescent="0.2">
      <c r="I7956" s="137" t="s">
        <v>74</v>
      </c>
    </row>
    <row r="7957" spans="9:9" x14ac:dyDescent="0.2">
      <c r="I7957" s="137" t="s">
        <v>74</v>
      </c>
    </row>
    <row r="7958" spans="9:9" x14ac:dyDescent="0.2">
      <c r="I7958" s="137" t="s">
        <v>74</v>
      </c>
    </row>
    <row r="7959" spans="9:9" x14ac:dyDescent="0.2">
      <c r="I7959" s="137" t="s">
        <v>74</v>
      </c>
    </row>
    <row r="7960" spans="9:9" x14ac:dyDescent="0.2">
      <c r="I7960" s="137" t="s">
        <v>74</v>
      </c>
    </row>
    <row r="7961" spans="9:9" x14ac:dyDescent="0.2">
      <c r="I7961" s="137" t="s">
        <v>74</v>
      </c>
    </row>
    <row r="7962" spans="9:9" x14ac:dyDescent="0.2">
      <c r="I7962" s="137" t="s">
        <v>74</v>
      </c>
    </row>
    <row r="7963" spans="9:9" x14ac:dyDescent="0.2">
      <c r="I7963" s="137" t="s">
        <v>74</v>
      </c>
    </row>
    <row r="7964" spans="9:9" x14ac:dyDescent="0.2">
      <c r="I7964" s="137" t="s">
        <v>74</v>
      </c>
    </row>
    <row r="7965" spans="9:9" x14ac:dyDescent="0.2">
      <c r="I7965" s="137" t="s">
        <v>74</v>
      </c>
    </row>
    <row r="7966" spans="9:9" x14ac:dyDescent="0.2">
      <c r="I7966" s="137" t="s">
        <v>74</v>
      </c>
    </row>
    <row r="7967" spans="9:9" x14ac:dyDescent="0.2">
      <c r="I7967" s="137" t="s">
        <v>74</v>
      </c>
    </row>
    <row r="7968" spans="9:9" x14ac:dyDescent="0.2">
      <c r="I7968" s="137" t="s">
        <v>74</v>
      </c>
    </row>
    <row r="7969" spans="9:9" x14ac:dyDescent="0.2">
      <c r="I7969" s="137" t="s">
        <v>74</v>
      </c>
    </row>
    <row r="7970" spans="9:9" x14ac:dyDescent="0.2">
      <c r="I7970" s="137" t="s">
        <v>74</v>
      </c>
    </row>
    <row r="7971" spans="9:9" x14ac:dyDescent="0.2">
      <c r="I7971" s="137" t="s">
        <v>74</v>
      </c>
    </row>
    <row r="7972" spans="9:9" x14ac:dyDescent="0.2">
      <c r="I7972" s="137" t="s">
        <v>74</v>
      </c>
    </row>
    <row r="7973" spans="9:9" x14ac:dyDescent="0.2">
      <c r="I7973" s="137" t="s">
        <v>74</v>
      </c>
    </row>
    <row r="7974" spans="9:9" x14ac:dyDescent="0.2">
      <c r="I7974" s="137" t="s">
        <v>74</v>
      </c>
    </row>
    <row r="7975" spans="9:9" x14ac:dyDescent="0.2">
      <c r="I7975" s="137" t="s">
        <v>74</v>
      </c>
    </row>
    <row r="7976" spans="9:9" x14ac:dyDescent="0.2">
      <c r="I7976" s="137" t="s">
        <v>74</v>
      </c>
    </row>
    <row r="7977" spans="9:9" x14ac:dyDescent="0.2">
      <c r="I7977" s="137" t="s">
        <v>74</v>
      </c>
    </row>
    <row r="7978" spans="9:9" x14ac:dyDescent="0.2">
      <c r="I7978" s="137" t="s">
        <v>74</v>
      </c>
    </row>
    <row r="7979" spans="9:9" x14ac:dyDescent="0.2">
      <c r="I7979" s="137" t="s">
        <v>74</v>
      </c>
    </row>
    <row r="7980" spans="9:9" x14ac:dyDescent="0.2">
      <c r="I7980" s="137" t="s">
        <v>74</v>
      </c>
    </row>
    <row r="7981" spans="9:9" x14ac:dyDescent="0.2">
      <c r="I7981" s="137" t="s">
        <v>74</v>
      </c>
    </row>
    <row r="7982" spans="9:9" x14ac:dyDescent="0.2">
      <c r="I7982" s="137" t="s">
        <v>74</v>
      </c>
    </row>
    <row r="7983" spans="9:9" x14ac:dyDescent="0.2">
      <c r="I7983" s="137" t="s">
        <v>74</v>
      </c>
    </row>
    <row r="7984" spans="9:9" x14ac:dyDescent="0.2">
      <c r="I7984" s="137" t="s">
        <v>74</v>
      </c>
    </row>
    <row r="7985" spans="9:9" x14ac:dyDescent="0.2">
      <c r="I7985" s="137" t="s">
        <v>74</v>
      </c>
    </row>
    <row r="7986" spans="9:9" x14ac:dyDescent="0.2">
      <c r="I7986" s="137" t="s">
        <v>74</v>
      </c>
    </row>
    <row r="7987" spans="9:9" x14ac:dyDescent="0.2">
      <c r="I7987" s="137" t="s">
        <v>74</v>
      </c>
    </row>
    <row r="7988" spans="9:9" x14ac:dyDescent="0.2">
      <c r="I7988" s="137" t="s">
        <v>74</v>
      </c>
    </row>
    <row r="7989" spans="9:9" x14ac:dyDescent="0.2">
      <c r="I7989" s="137" t="s">
        <v>74</v>
      </c>
    </row>
    <row r="7990" spans="9:9" x14ac:dyDescent="0.2">
      <c r="I7990" s="137" t="s">
        <v>74</v>
      </c>
    </row>
    <row r="7991" spans="9:9" x14ac:dyDescent="0.2">
      <c r="I7991" s="137" t="s">
        <v>74</v>
      </c>
    </row>
    <row r="7992" spans="9:9" x14ac:dyDescent="0.2">
      <c r="I7992" s="137" t="s">
        <v>74</v>
      </c>
    </row>
    <row r="7993" spans="9:9" x14ac:dyDescent="0.2">
      <c r="I7993" s="137" t="s">
        <v>74</v>
      </c>
    </row>
    <row r="7994" spans="9:9" x14ac:dyDescent="0.2">
      <c r="I7994" s="137" t="s">
        <v>74</v>
      </c>
    </row>
    <row r="7995" spans="9:9" x14ac:dyDescent="0.2">
      <c r="I7995" s="137" t="s">
        <v>74</v>
      </c>
    </row>
    <row r="7996" spans="9:9" x14ac:dyDescent="0.2">
      <c r="I7996" s="137" t="s">
        <v>74</v>
      </c>
    </row>
    <row r="7997" spans="9:9" x14ac:dyDescent="0.2">
      <c r="I7997" s="137" t="s">
        <v>74</v>
      </c>
    </row>
    <row r="7998" spans="9:9" x14ac:dyDescent="0.2">
      <c r="I7998" s="137" t="s">
        <v>74</v>
      </c>
    </row>
    <row r="7999" spans="9:9" x14ac:dyDescent="0.2">
      <c r="I7999" s="137" t="s">
        <v>74</v>
      </c>
    </row>
    <row r="8000" spans="9:9" x14ac:dyDescent="0.2">
      <c r="I8000" s="137" t="s">
        <v>74</v>
      </c>
    </row>
    <row r="8001" spans="9:9" x14ac:dyDescent="0.2">
      <c r="I8001" s="137" t="s">
        <v>74</v>
      </c>
    </row>
    <row r="8002" spans="9:9" x14ac:dyDescent="0.2">
      <c r="I8002" s="137" t="s">
        <v>74</v>
      </c>
    </row>
    <row r="8003" spans="9:9" x14ac:dyDescent="0.2">
      <c r="I8003" s="137" t="s">
        <v>74</v>
      </c>
    </row>
    <row r="8004" spans="9:9" x14ac:dyDescent="0.2">
      <c r="I8004" s="137" t="s">
        <v>74</v>
      </c>
    </row>
    <row r="8005" spans="9:9" x14ac:dyDescent="0.2">
      <c r="I8005" s="137" t="s">
        <v>74</v>
      </c>
    </row>
    <row r="8006" spans="9:9" x14ac:dyDescent="0.2">
      <c r="I8006" s="137" t="s">
        <v>74</v>
      </c>
    </row>
    <row r="8007" spans="9:9" x14ac:dyDescent="0.2">
      <c r="I8007" s="137" t="s">
        <v>74</v>
      </c>
    </row>
    <row r="8008" spans="9:9" x14ac:dyDescent="0.2">
      <c r="I8008" s="137" t="s">
        <v>74</v>
      </c>
    </row>
    <row r="8009" spans="9:9" x14ac:dyDescent="0.2">
      <c r="I8009" s="137" t="s">
        <v>74</v>
      </c>
    </row>
    <row r="8010" spans="9:9" x14ac:dyDescent="0.2">
      <c r="I8010" s="137" t="s">
        <v>74</v>
      </c>
    </row>
    <row r="8011" spans="9:9" x14ac:dyDescent="0.2">
      <c r="I8011" s="137" t="s">
        <v>74</v>
      </c>
    </row>
    <row r="8012" spans="9:9" x14ac:dyDescent="0.2">
      <c r="I8012" s="137" t="s">
        <v>74</v>
      </c>
    </row>
    <row r="8013" spans="9:9" x14ac:dyDescent="0.2">
      <c r="I8013" s="137" t="s">
        <v>74</v>
      </c>
    </row>
    <row r="8014" spans="9:9" x14ac:dyDescent="0.2">
      <c r="I8014" s="137" t="s">
        <v>74</v>
      </c>
    </row>
    <row r="8015" spans="9:9" x14ac:dyDescent="0.2">
      <c r="I8015" s="137" t="s">
        <v>74</v>
      </c>
    </row>
    <row r="8016" spans="9:9" x14ac:dyDescent="0.2">
      <c r="I8016" s="137" t="s">
        <v>74</v>
      </c>
    </row>
    <row r="8017" spans="9:9" x14ac:dyDescent="0.2">
      <c r="I8017" s="137" t="s">
        <v>74</v>
      </c>
    </row>
    <row r="8018" spans="9:9" x14ac:dyDescent="0.2">
      <c r="I8018" s="137" t="s">
        <v>74</v>
      </c>
    </row>
    <row r="8019" spans="9:9" x14ac:dyDescent="0.2">
      <c r="I8019" s="137" t="s">
        <v>74</v>
      </c>
    </row>
    <row r="8020" spans="9:9" x14ac:dyDescent="0.2">
      <c r="I8020" s="137" t="s">
        <v>74</v>
      </c>
    </row>
    <row r="8021" spans="9:9" x14ac:dyDescent="0.2">
      <c r="I8021" s="137" t="s">
        <v>74</v>
      </c>
    </row>
    <row r="8022" spans="9:9" x14ac:dyDescent="0.2">
      <c r="I8022" s="137" t="s">
        <v>74</v>
      </c>
    </row>
    <row r="8023" spans="9:9" x14ac:dyDescent="0.2">
      <c r="I8023" s="137" t="s">
        <v>74</v>
      </c>
    </row>
    <row r="8024" spans="9:9" x14ac:dyDescent="0.2">
      <c r="I8024" s="137" t="s">
        <v>74</v>
      </c>
    </row>
    <row r="8025" spans="9:9" x14ac:dyDescent="0.2">
      <c r="I8025" s="137" t="s">
        <v>74</v>
      </c>
    </row>
    <row r="8026" spans="9:9" x14ac:dyDescent="0.2">
      <c r="I8026" s="137" t="s">
        <v>74</v>
      </c>
    </row>
    <row r="8027" spans="9:9" x14ac:dyDescent="0.2">
      <c r="I8027" s="137" t="s">
        <v>74</v>
      </c>
    </row>
    <row r="8028" spans="9:9" x14ac:dyDescent="0.2">
      <c r="I8028" s="137" t="s">
        <v>74</v>
      </c>
    </row>
    <row r="8029" spans="9:9" x14ac:dyDescent="0.2">
      <c r="I8029" s="137" t="s">
        <v>74</v>
      </c>
    </row>
    <row r="8030" spans="9:9" x14ac:dyDescent="0.2">
      <c r="I8030" s="137" t="s">
        <v>74</v>
      </c>
    </row>
    <row r="8031" spans="9:9" x14ac:dyDescent="0.2">
      <c r="I8031" s="137" t="s">
        <v>74</v>
      </c>
    </row>
    <row r="8032" spans="9:9" x14ac:dyDescent="0.2">
      <c r="I8032" s="137" t="s">
        <v>74</v>
      </c>
    </row>
    <row r="8033" spans="9:9" x14ac:dyDescent="0.2">
      <c r="I8033" s="137" t="s">
        <v>74</v>
      </c>
    </row>
    <row r="8034" spans="9:9" x14ac:dyDescent="0.2">
      <c r="I8034" s="137" t="s">
        <v>74</v>
      </c>
    </row>
    <row r="8035" spans="9:9" x14ac:dyDescent="0.2">
      <c r="I8035" s="137" t="s">
        <v>74</v>
      </c>
    </row>
    <row r="8036" spans="9:9" x14ac:dyDescent="0.2">
      <c r="I8036" s="137" t="s">
        <v>74</v>
      </c>
    </row>
    <row r="8037" spans="9:9" x14ac:dyDescent="0.2">
      <c r="I8037" s="137" t="s">
        <v>74</v>
      </c>
    </row>
    <row r="8038" spans="9:9" x14ac:dyDescent="0.2">
      <c r="I8038" s="137" t="s">
        <v>74</v>
      </c>
    </row>
    <row r="8039" spans="9:9" x14ac:dyDescent="0.2">
      <c r="I8039" s="137" t="s">
        <v>74</v>
      </c>
    </row>
    <row r="8040" spans="9:9" x14ac:dyDescent="0.2">
      <c r="I8040" s="137" t="s">
        <v>74</v>
      </c>
    </row>
    <row r="8041" spans="9:9" x14ac:dyDescent="0.2">
      <c r="I8041" s="137" t="s">
        <v>74</v>
      </c>
    </row>
    <row r="8042" spans="9:9" x14ac:dyDescent="0.2">
      <c r="I8042" s="137" t="s">
        <v>74</v>
      </c>
    </row>
    <row r="8043" spans="9:9" x14ac:dyDescent="0.2">
      <c r="I8043" s="137" t="s">
        <v>74</v>
      </c>
    </row>
    <row r="8044" spans="9:9" x14ac:dyDescent="0.2">
      <c r="I8044" s="137" t="s">
        <v>74</v>
      </c>
    </row>
    <row r="8045" spans="9:9" x14ac:dyDescent="0.2">
      <c r="I8045" s="137" t="s">
        <v>74</v>
      </c>
    </row>
    <row r="8046" spans="9:9" x14ac:dyDescent="0.2">
      <c r="I8046" s="137" t="s">
        <v>74</v>
      </c>
    </row>
    <row r="8047" spans="9:9" x14ac:dyDescent="0.2">
      <c r="I8047" s="137" t="s">
        <v>74</v>
      </c>
    </row>
    <row r="8048" spans="9:9" x14ac:dyDescent="0.2">
      <c r="I8048" s="137" t="s">
        <v>74</v>
      </c>
    </row>
    <row r="8049" spans="9:9" x14ac:dyDescent="0.2">
      <c r="I8049" s="137" t="s">
        <v>74</v>
      </c>
    </row>
    <row r="8050" spans="9:9" x14ac:dyDescent="0.2">
      <c r="I8050" s="137" t="s">
        <v>74</v>
      </c>
    </row>
    <row r="8051" spans="9:9" x14ac:dyDescent="0.2">
      <c r="I8051" s="137" t="s">
        <v>74</v>
      </c>
    </row>
    <row r="8052" spans="9:9" x14ac:dyDescent="0.2">
      <c r="I8052" s="137" t="s">
        <v>74</v>
      </c>
    </row>
    <row r="8053" spans="9:9" x14ac:dyDescent="0.2">
      <c r="I8053" s="137" t="s">
        <v>74</v>
      </c>
    </row>
    <row r="8054" spans="9:9" x14ac:dyDescent="0.2">
      <c r="I8054" s="137" t="s">
        <v>74</v>
      </c>
    </row>
    <row r="8055" spans="9:9" x14ac:dyDescent="0.2">
      <c r="I8055" s="137" t="s">
        <v>74</v>
      </c>
    </row>
    <row r="8056" spans="9:9" x14ac:dyDescent="0.2">
      <c r="I8056" s="137" t="s">
        <v>74</v>
      </c>
    </row>
    <row r="8057" spans="9:9" x14ac:dyDescent="0.2">
      <c r="I8057" s="137" t="s">
        <v>74</v>
      </c>
    </row>
    <row r="8058" spans="9:9" x14ac:dyDescent="0.2">
      <c r="I8058" s="137" t="s">
        <v>74</v>
      </c>
    </row>
    <row r="8059" spans="9:9" x14ac:dyDescent="0.2">
      <c r="I8059" s="137" t="s">
        <v>74</v>
      </c>
    </row>
    <row r="8060" spans="9:9" x14ac:dyDescent="0.2">
      <c r="I8060" s="137" t="s">
        <v>74</v>
      </c>
    </row>
    <row r="8061" spans="9:9" x14ac:dyDescent="0.2">
      <c r="I8061" s="137" t="s">
        <v>74</v>
      </c>
    </row>
    <row r="8062" spans="9:9" x14ac:dyDescent="0.2">
      <c r="I8062" s="137" t="s">
        <v>74</v>
      </c>
    </row>
    <row r="8063" spans="9:9" x14ac:dyDescent="0.2">
      <c r="I8063" s="137" t="s">
        <v>74</v>
      </c>
    </row>
    <row r="8064" spans="9:9" x14ac:dyDescent="0.2">
      <c r="I8064" s="137" t="s">
        <v>74</v>
      </c>
    </row>
    <row r="8065" spans="9:9" x14ac:dyDescent="0.2">
      <c r="I8065" s="137" t="s">
        <v>74</v>
      </c>
    </row>
    <row r="8066" spans="9:9" x14ac:dyDescent="0.2">
      <c r="I8066" s="137" t="s">
        <v>74</v>
      </c>
    </row>
    <row r="8067" spans="9:9" x14ac:dyDescent="0.2">
      <c r="I8067" s="137" t="s">
        <v>74</v>
      </c>
    </row>
    <row r="8068" spans="9:9" x14ac:dyDescent="0.2">
      <c r="I8068" s="137" t="s">
        <v>74</v>
      </c>
    </row>
    <row r="8069" spans="9:9" x14ac:dyDescent="0.2">
      <c r="I8069" s="137" t="s">
        <v>74</v>
      </c>
    </row>
    <row r="8070" spans="9:9" x14ac:dyDescent="0.2">
      <c r="I8070" s="137" t="s">
        <v>74</v>
      </c>
    </row>
    <row r="8071" spans="9:9" x14ac:dyDescent="0.2">
      <c r="I8071" s="137" t="s">
        <v>74</v>
      </c>
    </row>
    <row r="8072" spans="9:9" x14ac:dyDescent="0.2">
      <c r="I8072" s="137" t="s">
        <v>74</v>
      </c>
    </row>
    <row r="8073" spans="9:9" x14ac:dyDescent="0.2">
      <c r="I8073" s="137" t="s">
        <v>74</v>
      </c>
    </row>
    <row r="8074" spans="9:9" x14ac:dyDescent="0.2">
      <c r="I8074" s="137" t="s">
        <v>74</v>
      </c>
    </row>
    <row r="8075" spans="9:9" x14ac:dyDescent="0.2">
      <c r="I8075" s="137" t="s">
        <v>74</v>
      </c>
    </row>
    <row r="8076" spans="9:9" x14ac:dyDescent="0.2">
      <c r="I8076" s="137" t="s">
        <v>74</v>
      </c>
    </row>
    <row r="8077" spans="9:9" x14ac:dyDescent="0.2">
      <c r="I8077" s="137" t="s">
        <v>74</v>
      </c>
    </row>
    <row r="8078" spans="9:9" x14ac:dyDescent="0.2">
      <c r="I8078" s="137" t="s">
        <v>74</v>
      </c>
    </row>
    <row r="8079" spans="9:9" x14ac:dyDescent="0.2">
      <c r="I8079" s="137" t="s">
        <v>74</v>
      </c>
    </row>
    <row r="8080" spans="9:9" x14ac:dyDescent="0.2">
      <c r="I8080" s="137" t="s">
        <v>74</v>
      </c>
    </row>
    <row r="8081" spans="9:9" x14ac:dyDescent="0.2">
      <c r="I8081" s="137" t="s">
        <v>74</v>
      </c>
    </row>
    <row r="8082" spans="9:9" x14ac:dyDescent="0.2">
      <c r="I8082" s="137" t="s">
        <v>74</v>
      </c>
    </row>
    <row r="8083" spans="9:9" x14ac:dyDescent="0.2">
      <c r="I8083" s="137" t="s">
        <v>74</v>
      </c>
    </row>
    <row r="8084" spans="9:9" x14ac:dyDescent="0.2">
      <c r="I8084" s="137" t="s">
        <v>74</v>
      </c>
    </row>
    <row r="8085" spans="9:9" x14ac:dyDescent="0.2">
      <c r="I8085" s="137" t="s">
        <v>74</v>
      </c>
    </row>
    <row r="8086" spans="9:9" x14ac:dyDescent="0.2">
      <c r="I8086" s="137" t="s">
        <v>74</v>
      </c>
    </row>
    <row r="8087" spans="9:9" x14ac:dyDescent="0.2">
      <c r="I8087" s="137" t="s">
        <v>74</v>
      </c>
    </row>
    <row r="8088" spans="9:9" x14ac:dyDescent="0.2">
      <c r="I8088" s="137" t="s">
        <v>74</v>
      </c>
    </row>
    <row r="8089" spans="9:9" x14ac:dyDescent="0.2">
      <c r="I8089" s="137" t="s">
        <v>74</v>
      </c>
    </row>
    <row r="8090" spans="9:9" x14ac:dyDescent="0.2">
      <c r="I8090" s="137" t="s">
        <v>74</v>
      </c>
    </row>
    <row r="8091" spans="9:9" x14ac:dyDescent="0.2">
      <c r="I8091" s="137" t="s">
        <v>74</v>
      </c>
    </row>
    <row r="8092" spans="9:9" x14ac:dyDescent="0.2">
      <c r="I8092" s="137" t="s">
        <v>74</v>
      </c>
    </row>
    <row r="8093" spans="9:9" x14ac:dyDescent="0.2">
      <c r="I8093" s="137" t="s">
        <v>74</v>
      </c>
    </row>
    <row r="8094" spans="9:9" x14ac:dyDescent="0.2">
      <c r="I8094" s="137" t="s">
        <v>74</v>
      </c>
    </row>
    <row r="8095" spans="9:9" x14ac:dyDescent="0.2">
      <c r="I8095" s="137" t="s">
        <v>74</v>
      </c>
    </row>
    <row r="8096" spans="9:9" x14ac:dyDescent="0.2">
      <c r="I8096" s="137" t="s">
        <v>74</v>
      </c>
    </row>
    <row r="8097" spans="9:9" x14ac:dyDescent="0.2">
      <c r="I8097" s="137" t="s">
        <v>74</v>
      </c>
    </row>
    <row r="8098" spans="9:9" x14ac:dyDescent="0.2">
      <c r="I8098" s="137" t="s">
        <v>74</v>
      </c>
    </row>
    <row r="8099" spans="9:9" x14ac:dyDescent="0.2">
      <c r="I8099" s="137" t="s">
        <v>74</v>
      </c>
    </row>
    <row r="8100" spans="9:9" x14ac:dyDescent="0.2">
      <c r="I8100" s="137" t="s">
        <v>74</v>
      </c>
    </row>
    <row r="8101" spans="9:9" x14ac:dyDescent="0.2">
      <c r="I8101" s="137" t="s">
        <v>74</v>
      </c>
    </row>
    <row r="8102" spans="9:9" x14ac:dyDescent="0.2">
      <c r="I8102" s="137" t="s">
        <v>74</v>
      </c>
    </row>
    <row r="8103" spans="9:9" x14ac:dyDescent="0.2">
      <c r="I8103" s="137" t="s">
        <v>74</v>
      </c>
    </row>
    <row r="8104" spans="9:9" x14ac:dyDescent="0.2">
      <c r="I8104" s="137" t="s">
        <v>74</v>
      </c>
    </row>
    <row r="8105" spans="9:9" x14ac:dyDescent="0.2">
      <c r="I8105" s="137" t="s">
        <v>74</v>
      </c>
    </row>
    <row r="8106" spans="9:9" x14ac:dyDescent="0.2">
      <c r="I8106" s="137" t="s">
        <v>74</v>
      </c>
    </row>
    <row r="8107" spans="9:9" x14ac:dyDescent="0.2">
      <c r="I8107" s="137" t="s">
        <v>74</v>
      </c>
    </row>
    <row r="8108" spans="9:9" x14ac:dyDescent="0.2">
      <c r="I8108" s="137" t="s">
        <v>74</v>
      </c>
    </row>
    <row r="8109" spans="9:9" x14ac:dyDescent="0.2">
      <c r="I8109" s="137" t="s">
        <v>74</v>
      </c>
    </row>
    <row r="8110" spans="9:9" x14ac:dyDescent="0.2">
      <c r="I8110" s="137" t="s">
        <v>74</v>
      </c>
    </row>
    <row r="8111" spans="9:9" x14ac:dyDescent="0.2">
      <c r="I8111" s="137" t="s">
        <v>74</v>
      </c>
    </row>
    <row r="8112" spans="9:9" x14ac:dyDescent="0.2">
      <c r="I8112" s="137" t="s">
        <v>74</v>
      </c>
    </row>
    <row r="8113" spans="9:9" x14ac:dyDescent="0.2">
      <c r="I8113" s="137" t="s">
        <v>74</v>
      </c>
    </row>
    <row r="8114" spans="9:9" x14ac:dyDescent="0.2">
      <c r="I8114" s="137" t="s">
        <v>74</v>
      </c>
    </row>
    <row r="8115" spans="9:9" x14ac:dyDescent="0.2">
      <c r="I8115" s="137" t="s">
        <v>74</v>
      </c>
    </row>
    <row r="8116" spans="9:9" x14ac:dyDescent="0.2">
      <c r="I8116" s="137" t="s">
        <v>74</v>
      </c>
    </row>
    <row r="8117" spans="9:9" x14ac:dyDescent="0.2">
      <c r="I8117" s="137" t="s">
        <v>74</v>
      </c>
    </row>
    <row r="8118" spans="9:9" x14ac:dyDescent="0.2">
      <c r="I8118" s="137" t="s">
        <v>74</v>
      </c>
    </row>
    <row r="8119" spans="9:9" x14ac:dyDescent="0.2">
      <c r="I8119" s="137" t="s">
        <v>74</v>
      </c>
    </row>
    <row r="8120" spans="9:9" x14ac:dyDescent="0.2">
      <c r="I8120" s="137" t="s">
        <v>74</v>
      </c>
    </row>
    <row r="8121" spans="9:9" x14ac:dyDescent="0.2">
      <c r="I8121" s="137" t="s">
        <v>74</v>
      </c>
    </row>
    <row r="8122" spans="9:9" x14ac:dyDescent="0.2">
      <c r="I8122" s="137" t="s">
        <v>74</v>
      </c>
    </row>
    <row r="8123" spans="9:9" x14ac:dyDescent="0.2">
      <c r="I8123" s="137" t="s">
        <v>74</v>
      </c>
    </row>
    <row r="8124" spans="9:9" x14ac:dyDescent="0.2">
      <c r="I8124" s="137" t="s">
        <v>74</v>
      </c>
    </row>
    <row r="8125" spans="9:9" x14ac:dyDescent="0.2">
      <c r="I8125" s="137" t="s">
        <v>74</v>
      </c>
    </row>
    <row r="8126" spans="9:9" x14ac:dyDescent="0.2">
      <c r="I8126" s="137" t="s">
        <v>74</v>
      </c>
    </row>
    <row r="8127" spans="9:9" x14ac:dyDescent="0.2">
      <c r="I8127" s="137" t="s">
        <v>74</v>
      </c>
    </row>
    <row r="8128" spans="9:9" x14ac:dyDescent="0.2">
      <c r="I8128" s="137" t="s">
        <v>74</v>
      </c>
    </row>
    <row r="8129" spans="9:9" x14ac:dyDescent="0.2">
      <c r="I8129" s="137" t="s">
        <v>74</v>
      </c>
    </row>
    <row r="8130" spans="9:9" x14ac:dyDescent="0.2">
      <c r="I8130" s="137" t="s">
        <v>74</v>
      </c>
    </row>
    <row r="8131" spans="9:9" x14ac:dyDescent="0.2">
      <c r="I8131" s="137" t="s">
        <v>74</v>
      </c>
    </row>
    <row r="8132" spans="9:9" x14ac:dyDescent="0.2">
      <c r="I8132" s="137" t="s">
        <v>74</v>
      </c>
    </row>
    <row r="8133" spans="9:9" x14ac:dyDescent="0.2">
      <c r="I8133" s="137" t="s">
        <v>74</v>
      </c>
    </row>
    <row r="8134" spans="9:9" x14ac:dyDescent="0.2">
      <c r="I8134" s="137" t="s">
        <v>74</v>
      </c>
    </row>
    <row r="8135" spans="9:9" x14ac:dyDescent="0.2">
      <c r="I8135" s="137" t="s">
        <v>74</v>
      </c>
    </row>
    <row r="8136" spans="9:9" x14ac:dyDescent="0.2">
      <c r="I8136" s="137" t="s">
        <v>74</v>
      </c>
    </row>
    <row r="8137" spans="9:9" x14ac:dyDescent="0.2">
      <c r="I8137" s="137" t="s">
        <v>74</v>
      </c>
    </row>
    <row r="8138" spans="9:9" x14ac:dyDescent="0.2">
      <c r="I8138" s="137" t="s">
        <v>74</v>
      </c>
    </row>
    <row r="8139" spans="9:9" x14ac:dyDescent="0.2">
      <c r="I8139" s="137" t="s">
        <v>74</v>
      </c>
    </row>
    <row r="8140" spans="9:9" x14ac:dyDescent="0.2">
      <c r="I8140" s="137" t="s">
        <v>74</v>
      </c>
    </row>
    <row r="8141" spans="9:9" x14ac:dyDescent="0.2">
      <c r="I8141" s="137" t="s">
        <v>74</v>
      </c>
    </row>
    <row r="8142" spans="9:9" x14ac:dyDescent="0.2">
      <c r="I8142" s="137" t="s">
        <v>74</v>
      </c>
    </row>
    <row r="8143" spans="9:9" x14ac:dyDescent="0.2">
      <c r="I8143" s="137" t="s">
        <v>74</v>
      </c>
    </row>
    <row r="8144" spans="9:9" x14ac:dyDescent="0.2">
      <c r="I8144" s="137" t="s">
        <v>74</v>
      </c>
    </row>
    <row r="8145" spans="9:9" x14ac:dyDescent="0.2">
      <c r="I8145" s="137" t="s">
        <v>74</v>
      </c>
    </row>
    <row r="8146" spans="9:9" x14ac:dyDescent="0.2">
      <c r="I8146" s="137" t="s">
        <v>74</v>
      </c>
    </row>
    <row r="8147" spans="9:9" x14ac:dyDescent="0.2">
      <c r="I8147" s="137" t="s">
        <v>74</v>
      </c>
    </row>
    <row r="8148" spans="9:9" x14ac:dyDescent="0.2">
      <c r="I8148" s="137" t="s">
        <v>74</v>
      </c>
    </row>
    <row r="8149" spans="9:9" x14ac:dyDescent="0.2">
      <c r="I8149" s="137" t="s">
        <v>74</v>
      </c>
    </row>
    <row r="8150" spans="9:9" x14ac:dyDescent="0.2">
      <c r="I8150" s="137" t="s">
        <v>74</v>
      </c>
    </row>
    <row r="8151" spans="9:9" x14ac:dyDescent="0.2">
      <c r="I8151" s="137" t="s">
        <v>74</v>
      </c>
    </row>
    <row r="8152" spans="9:9" x14ac:dyDescent="0.2">
      <c r="I8152" s="137" t="s">
        <v>74</v>
      </c>
    </row>
    <row r="8153" spans="9:9" x14ac:dyDescent="0.2">
      <c r="I8153" s="137" t="s">
        <v>74</v>
      </c>
    </row>
    <row r="8154" spans="9:9" x14ac:dyDescent="0.2">
      <c r="I8154" s="137" t="s">
        <v>74</v>
      </c>
    </row>
    <row r="8155" spans="9:9" x14ac:dyDescent="0.2">
      <c r="I8155" s="137" t="s">
        <v>74</v>
      </c>
    </row>
    <row r="8156" spans="9:9" x14ac:dyDescent="0.2">
      <c r="I8156" s="137" t="s">
        <v>74</v>
      </c>
    </row>
    <row r="8157" spans="9:9" x14ac:dyDescent="0.2">
      <c r="I8157" s="137" t="s">
        <v>74</v>
      </c>
    </row>
    <row r="8158" spans="9:9" x14ac:dyDescent="0.2">
      <c r="I8158" s="137" t="s">
        <v>74</v>
      </c>
    </row>
    <row r="8159" spans="9:9" x14ac:dyDescent="0.2">
      <c r="I8159" s="137" t="s">
        <v>74</v>
      </c>
    </row>
    <row r="8160" spans="9:9" x14ac:dyDescent="0.2">
      <c r="I8160" s="137" t="s">
        <v>74</v>
      </c>
    </row>
    <row r="8161" spans="9:9" x14ac:dyDescent="0.2">
      <c r="I8161" s="137" t="s">
        <v>74</v>
      </c>
    </row>
    <row r="8162" spans="9:9" x14ac:dyDescent="0.2">
      <c r="I8162" s="137" t="s">
        <v>74</v>
      </c>
    </row>
    <row r="8163" spans="9:9" x14ac:dyDescent="0.2">
      <c r="I8163" s="137" t="s">
        <v>74</v>
      </c>
    </row>
    <row r="8164" spans="9:9" x14ac:dyDescent="0.2">
      <c r="I8164" s="137" t="s">
        <v>74</v>
      </c>
    </row>
    <row r="8165" spans="9:9" x14ac:dyDescent="0.2">
      <c r="I8165" s="137" t="s">
        <v>74</v>
      </c>
    </row>
    <row r="8166" spans="9:9" x14ac:dyDescent="0.2">
      <c r="I8166" s="137" t="s">
        <v>74</v>
      </c>
    </row>
    <row r="8167" spans="9:9" x14ac:dyDescent="0.2">
      <c r="I8167" s="137" t="s">
        <v>74</v>
      </c>
    </row>
    <row r="8168" spans="9:9" x14ac:dyDescent="0.2">
      <c r="I8168" s="137" t="s">
        <v>74</v>
      </c>
    </row>
    <row r="8169" spans="9:9" x14ac:dyDescent="0.2">
      <c r="I8169" s="137" t="s">
        <v>74</v>
      </c>
    </row>
    <row r="8170" spans="9:9" x14ac:dyDescent="0.2">
      <c r="I8170" s="137" t="s">
        <v>74</v>
      </c>
    </row>
    <row r="8171" spans="9:9" x14ac:dyDescent="0.2">
      <c r="I8171" s="137" t="s">
        <v>74</v>
      </c>
    </row>
    <row r="8172" spans="9:9" x14ac:dyDescent="0.2">
      <c r="I8172" s="137" t="s">
        <v>74</v>
      </c>
    </row>
    <row r="8173" spans="9:9" x14ac:dyDescent="0.2">
      <c r="I8173" s="137" t="s">
        <v>74</v>
      </c>
    </row>
    <row r="8174" spans="9:9" x14ac:dyDescent="0.2">
      <c r="I8174" s="137" t="s">
        <v>74</v>
      </c>
    </row>
    <row r="8175" spans="9:9" x14ac:dyDescent="0.2">
      <c r="I8175" s="137" t="s">
        <v>74</v>
      </c>
    </row>
    <row r="8176" spans="9:9" x14ac:dyDescent="0.2">
      <c r="I8176" s="137" t="s">
        <v>74</v>
      </c>
    </row>
    <row r="8177" spans="9:9" x14ac:dyDescent="0.2">
      <c r="I8177" s="137" t="s">
        <v>74</v>
      </c>
    </row>
    <row r="8178" spans="9:9" x14ac:dyDescent="0.2">
      <c r="I8178" s="137" t="s">
        <v>74</v>
      </c>
    </row>
    <row r="8179" spans="9:9" x14ac:dyDescent="0.2">
      <c r="I8179" s="137" t="s">
        <v>74</v>
      </c>
    </row>
    <row r="8180" spans="9:9" x14ac:dyDescent="0.2">
      <c r="I8180" s="137" t="s">
        <v>74</v>
      </c>
    </row>
    <row r="8181" spans="9:9" x14ac:dyDescent="0.2">
      <c r="I8181" s="137" t="s">
        <v>74</v>
      </c>
    </row>
    <row r="8182" spans="9:9" x14ac:dyDescent="0.2">
      <c r="I8182" s="137" t="s">
        <v>74</v>
      </c>
    </row>
    <row r="8183" spans="9:9" x14ac:dyDescent="0.2">
      <c r="I8183" s="137" t="s">
        <v>74</v>
      </c>
    </row>
    <row r="8184" spans="9:9" x14ac:dyDescent="0.2">
      <c r="I8184" s="137" t="s">
        <v>74</v>
      </c>
    </row>
    <row r="8185" spans="9:9" x14ac:dyDescent="0.2">
      <c r="I8185" s="137" t="s">
        <v>74</v>
      </c>
    </row>
    <row r="8186" spans="9:9" x14ac:dyDescent="0.2">
      <c r="I8186" s="137" t="s">
        <v>74</v>
      </c>
    </row>
    <row r="8187" spans="9:9" x14ac:dyDescent="0.2">
      <c r="I8187" s="137" t="s">
        <v>74</v>
      </c>
    </row>
    <row r="8188" spans="9:9" x14ac:dyDescent="0.2">
      <c r="I8188" s="137" t="s">
        <v>74</v>
      </c>
    </row>
    <row r="8189" spans="9:9" x14ac:dyDescent="0.2">
      <c r="I8189" s="137" t="s">
        <v>74</v>
      </c>
    </row>
    <row r="8190" spans="9:9" x14ac:dyDescent="0.2">
      <c r="I8190" s="137" t="s">
        <v>74</v>
      </c>
    </row>
    <row r="8191" spans="9:9" x14ac:dyDescent="0.2">
      <c r="I8191" s="137" t="s">
        <v>74</v>
      </c>
    </row>
    <row r="8192" spans="9:9" x14ac:dyDescent="0.2">
      <c r="I8192" s="137" t="s">
        <v>74</v>
      </c>
    </row>
    <row r="8193" spans="9:9" x14ac:dyDescent="0.2">
      <c r="I8193" s="137" t="s">
        <v>74</v>
      </c>
    </row>
    <row r="8194" spans="9:9" x14ac:dyDescent="0.2">
      <c r="I8194" s="137" t="s">
        <v>74</v>
      </c>
    </row>
    <row r="8195" spans="9:9" x14ac:dyDescent="0.2">
      <c r="I8195" s="137" t="s">
        <v>74</v>
      </c>
    </row>
    <row r="8196" spans="9:9" x14ac:dyDescent="0.2">
      <c r="I8196" s="137" t="s">
        <v>74</v>
      </c>
    </row>
    <row r="8197" spans="9:9" x14ac:dyDescent="0.2">
      <c r="I8197" s="137" t="s">
        <v>74</v>
      </c>
    </row>
    <row r="8198" spans="9:9" x14ac:dyDescent="0.2">
      <c r="I8198" s="137" t="s">
        <v>74</v>
      </c>
    </row>
    <row r="8199" spans="9:9" x14ac:dyDescent="0.2">
      <c r="I8199" s="137" t="s">
        <v>74</v>
      </c>
    </row>
    <row r="8200" spans="9:9" x14ac:dyDescent="0.2">
      <c r="I8200" s="137" t="s">
        <v>74</v>
      </c>
    </row>
    <row r="8201" spans="9:9" x14ac:dyDescent="0.2">
      <c r="I8201" s="137" t="s">
        <v>74</v>
      </c>
    </row>
    <row r="8202" spans="9:9" x14ac:dyDescent="0.2">
      <c r="I8202" s="137" t="s">
        <v>74</v>
      </c>
    </row>
    <row r="8203" spans="9:9" x14ac:dyDescent="0.2">
      <c r="I8203" s="137" t="s">
        <v>74</v>
      </c>
    </row>
    <row r="8204" spans="9:9" x14ac:dyDescent="0.2">
      <c r="I8204" s="137" t="s">
        <v>74</v>
      </c>
    </row>
    <row r="8205" spans="9:9" x14ac:dyDescent="0.2">
      <c r="I8205" s="137" t="s">
        <v>74</v>
      </c>
    </row>
    <row r="8206" spans="9:9" x14ac:dyDescent="0.2">
      <c r="I8206" s="137" t="s">
        <v>74</v>
      </c>
    </row>
    <row r="8207" spans="9:9" x14ac:dyDescent="0.2">
      <c r="I8207" s="137" t="s">
        <v>74</v>
      </c>
    </row>
    <row r="8208" spans="9:9" x14ac:dyDescent="0.2">
      <c r="I8208" s="137" t="s">
        <v>74</v>
      </c>
    </row>
    <row r="8209" spans="9:9" x14ac:dyDescent="0.2">
      <c r="I8209" s="137" t="s">
        <v>74</v>
      </c>
    </row>
    <row r="8210" spans="9:9" x14ac:dyDescent="0.2">
      <c r="I8210" s="137" t="s">
        <v>74</v>
      </c>
    </row>
    <row r="8211" spans="9:9" x14ac:dyDescent="0.2">
      <c r="I8211" s="137" t="s">
        <v>74</v>
      </c>
    </row>
    <row r="8212" spans="9:9" x14ac:dyDescent="0.2">
      <c r="I8212" s="137" t="s">
        <v>74</v>
      </c>
    </row>
    <row r="8213" spans="9:9" x14ac:dyDescent="0.2">
      <c r="I8213" s="137" t="s">
        <v>74</v>
      </c>
    </row>
    <row r="8214" spans="9:9" x14ac:dyDescent="0.2">
      <c r="I8214" s="137" t="s">
        <v>74</v>
      </c>
    </row>
    <row r="8215" spans="9:9" x14ac:dyDescent="0.2">
      <c r="I8215" s="137" t="s">
        <v>74</v>
      </c>
    </row>
    <row r="8216" spans="9:9" x14ac:dyDescent="0.2">
      <c r="I8216" s="137" t="s">
        <v>74</v>
      </c>
    </row>
    <row r="8217" spans="9:9" x14ac:dyDescent="0.2">
      <c r="I8217" s="137" t="s">
        <v>74</v>
      </c>
    </row>
    <row r="8218" spans="9:9" x14ac:dyDescent="0.2">
      <c r="I8218" s="137" t="s">
        <v>74</v>
      </c>
    </row>
    <row r="8219" spans="9:9" x14ac:dyDescent="0.2">
      <c r="I8219" s="137" t="s">
        <v>74</v>
      </c>
    </row>
    <row r="8220" spans="9:9" x14ac:dyDescent="0.2">
      <c r="I8220" s="137" t="s">
        <v>74</v>
      </c>
    </row>
    <row r="8221" spans="9:9" x14ac:dyDescent="0.2">
      <c r="I8221" s="137" t="s">
        <v>74</v>
      </c>
    </row>
    <row r="8222" spans="9:9" x14ac:dyDescent="0.2">
      <c r="I8222" s="137" t="s">
        <v>74</v>
      </c>
    </row>
    <row r="8223" spans="9:9" x14ac:dyDescent="0.2">
      <c r="I8223" s="137" t="s">
        <v>74</v>
      </c>
    </row>
    <row r="8224" spans="9:9" x14ac:dyDescent="0.2">
      <c r="I8224" s="137" t="s">
        <v>74</v>
      </c>
    </row>
    <row r="8225" spans="9:9" x14ac:dyDescent="0.2">
      <c r="I8225" s="137" t="s">
        <v>74</v>
      </c>
    </row>
    <row r="8226" spans="9:9" x14ac:dyDescent="0.2">
      <c r="I8226" s="137" t="s">
        <v>74</v>
      </c>
    </row>
    <row r="8227" spans="9:9" x14ac:dyDescent="0.2">
      <c r="I8227" s="137" t="s">
        <v>74</v>
      </c>
    </row>
    <row r="8228" spans="9:9" x14ac:dyDescent="0.2">
      <c r="I8228" s="137" t="s">
        <v>74</v>
      </c>
    </row>
    <row r="8229" spans="9:9" x14ac:dyDescent="0.2">
      <c r="I8229" s="137" t="s">
        <v>74</v>
      </c>
    </row>
    <row r="8230" spans="9:9" x14ac:dyDescent="0.2">
      <c r="I8230" s="137" t="s">
        <v>74</v>
      </c>
    </row>
    <row r="8231" spans="9:9" x14ac:dyDescent="0.2">
      <c r="I8231" s="137" t="s">
        <v>74</v>
      </c>
    </row>
    <row r="8232" spans="9:9" x14ac:dyDescent="0.2">
      <c r="I8232" s="137" t="s">
        <v>74</v>
      </c>
    </row>
    <row r="8233" spans="9:9" x14ac:dyDescent="0.2">
      <c r="I8233" s="137" t="s">
        <v>74</v>
      </c>
    </row>
    <row r="8234" spans="9:9" x14ac:dyDescent="0.2">
      <c r="I8234" s="137" t="s">
        <v>74</v>
      </c>
    </row>
    <row r="8235" spans="9:9" x14ac:dyDescent="0.2">
      <c r="I8235" s="137" t="s">
        <v>74</v>
      </c>
    </row>
    <row r="8236" spans="9:9" x14ac:dyDescent="0.2">
      <c r="I8236" s="137" t="s">
        <v>74</v>
      </c>
    </row>
    <row r="8237" spans="9:9" x14ac:dyDescent="0.2">
      <c r="I8237" s="137" t="s">
        <v>74</v>
      </c>
    </row>
    <row r="8238" spans="9:9" x14ac:dyDescent="0.2">
      <c r="I8238" s="137" t="s">
        <v>74</v>
      </c>
    </row>
    <row r="8239" spans="9:9" x14ac:dyDescent="0.2">
      <c r="I8239" s="137" t="s">
        <v>74</v>
      </c>
    </row>
    <row r="8240" spans="9:9" x14ac:dyDescent="0.2">
      <c r="I8240" s="137" t="s">
        <v>74</v>
      </c>
    </row>
    <row r="8241" spans="9:9" x14ac:dyDescent="0.2">
      <c r="I8241" s="137" t="s">
        <v>74</v>
      </c>
    </row>
    <row r="8242" spans="9:9" x14ac:dyDescent="0.2">
      <c r="I8242" s="137" t="s">
        <v>74</v>
      </c>
    </row>
    <row r="8243" spans="9:9" x14ac:dyDescent="0.2">
      <c r="I8243" s="137" t="s">
        <v>74</v>
      </c>
    </row>
    <row r="8244" spans="9:9" x14ac:dyDescent="0.2">
      <c r="I8244" s="137" t="s">
        <v>74</v>
      </c>
    </row>
    <row r="8245" spans="9:9" x14ac:dyDescent="0.2">
      <c r="I8245" s="137" t="s">
        <v>74</v>
      </c>
    </row>
    <row r="8246" spans="9:9" x14ac:dyDescent="0.2">
      <c r="I8246" s="137" t="s">
        <v>74</v>
      </c>
    </row>
    <row r="8247" spans="9:9" x14ac:dyDescent="0.2">
      <c r="I8247" s="137" t="s">
        <v>74</v>
      </c>
    </row>
    <row r="8248" spans="9:9" x14ac:dyDescent="0.2">
      <c r="I8248" s="137" t="s">
        <v>74</v>
      </c>
    </row>
    <row r="8249" spans="9:9" x14ac:dyDescent="0.2">
      <c r="I8249" s="137" t="s">
        <v>74</v>
      </c>
    </row>
    <row r="8250" spans="9:9" x14ac:dyDescent="0.2">
      <c r="I8250" s="137" t="s">
        <v>74</v>
      </c>
    </row>
    <row r="8251" spans="9:9" x14ac:dyDescent="0.2">
      <c r="I8251" s="137" t="s">
        <v>74</v>
      </c>
    </row>
    <row r="8252" spans="9:9" x14ac:dyDescent="0.2">
      <c r="I8252" s="137" t="s">
        <v>74</v>
      </c>
    </row>
    <row r="8253" spans="9:9" x14ac:dyDescent="0.2">
      <c r="I8253" s="137" t="s">
        <v>74</v>
      </c>
    </row>
    <row r="8254" spans="9:9" x14ac:dyDescent="0.2">
      <c r="I8254" s="137" t="s">
        <v>74</v>
      </c>
    </row>
    <row r="8255" spans="9:9" x14ac:dyDescent="0.2">
      <c r="I8255" s="137" t="s">
        <v>74</v>
      </c>
    </row>
    <row r="8256" spans="9:9" x14ac:dyDescent="0.2">
      <c r="I8256" s="137" t="s">
        <v>74</v>
      </c>
    </row>
    <row r="8257" spans="9:9" x14ac:dyDescent="0.2">
      <c r="I8257" s="137" t="s">
        <v>74</v>
      </c>
    </row>
    <row r="8258" spans="9:9" x14ac:dyDescent="0.2">
      <c r="I8258" s="137" t="s">
        <v>74</v>
      </c>
    </row>
    <row r="8259" spans="9:9" x14ac:dyDescent="0.2">
      <c r="I8259" s="137" t="s">
        <v>74</v>
      </c>
    </row>
    <row r="8260" spans="9:9" x14ac:dyDescent="0.2">
      <c r="I8260" s="137" t="s">
        <v>74</v>
      </c>
    </row>
    <row r="8261" spans="9:9" x14ac:dyDescent="0.2">
      <c r="I8261" s="137" t="s">
        <v>74</v>
      </c>
    </row>
    <row r="8262" spans="9:9" x14ac:dyDescent="0.2">
      <c r="I8262" s="137" t="s">
        <v>74</v>
      </c>
    </row>
    <row r="8263" spans="9:9" x14ac:dyDescent="0.2">
      <c r="I8263" s="137" t="s">
        <v>74</v>
      </c>
    </row>
    <row r="8264" spans="9:9" x14ac:dyDescent="0.2">
      <c r="I8264" s="137" t="s">
        <v>74</v>
      </c>
    </row>
    <row r="8265" spans="9:9" x14ac:dyDescent="0.2">
      <c r="I8265" s="137" t="s">
        <v>74</v>
      </c>
    </row>
    <row r="8266" spans="9:9" x14ac:dyDescent="0.2">
      <c r="I8266" s="137" t="s">
        <v>74</v>
      </c>
    </row>
    <row r="8267" spans="9:9" x14ac:dyDescent="0.2">
      <c r="I8267" s="137" t="s">
        <v>74</v>
      </c>
    </row>
    <row r="8268" spans="9:9" x14ac:dyDescent="0.2">
      <c r="I8268" s="137" t="s">
        <v>74</v>
      </c>
    </row>
    <row r="8269" spans="9:9" x14ac:dyDescent="0.2">
      <c r="I8269" s="137" t="s">
        <v>74</v>
      </c>
    </row>
    <row r="8270" spans="9:9" x14ac:dyDescent="0.2">
      <c r="I8270" s="137" t="s">
        <v>74</v>
      </c>
    </row>
    <row r="8271" spans="9:9" x14ac:dyDescent="0.2">
      <c r="I8271" s="137" t="s">
        <v>74</v>
      </c>
    </row>
    <row r="8272" spans="9:9" x14ac:dyDescent="0.2">
      <c r="I8272" s="137" t="s">
        <v>74</v>
      </c>
    </row>
    <row r="8273" spans="9:9" x14ac:dyDescent="0.2">
      <c r="I8273" s="137" t="s">
        <v>74</v>
      </c>
    </row>
    <row r="8274" spans="9:9" x14ac:dyDescent="0.2">
      <c r="I8274" s="137" t="s">
        <v>74</v>
      </c>
    </row>
    <row r="8275" spans="9:9" x14ac:dyDescent="0.2">
      <c r="I8275" s="137" t="s">
        <v>74</v>
      </c>
    </row>
    <row r="8276" spans="9:9" x14ac:dyDescent="0.2">
      <c r="I8276" s="137" t="s">
        <v>74</v>
      </c>
    </row>
    <row r="8277" spans="9:9" x14ac:dyDescent="0.2">
      <c r="I8277" s="137" t="s">
        <v>74</v>
      </c>
    </row>
    <row r="8278" spans="9:9" x14ac:dyDescent="0.2">
      <c r="I8278" s="137" t="s">
        <v>74</v>
      </c>
    </row>
    <row r="8279" spans="9:9" x14ac:dyDescent="0.2">
      <c r="I8279" s="137" t="s">
        <v>74</v>
      </c>
    </row>
    <row r="8280" spans="9:9" x14ac:dyDescent="0.2">
      <c r="I8280" s="137" t="s">
        <v>74</v>
      </c>
    </row>
    <row r="8281" spans="9:9" x14ac:dyDescent="0.2">
      <c r="I8281" s="137" t="s">
        <v>74</v>
      </c>
    </row>
    <row r="8282" spans="9:9" x14ac:dyDescent="0.2">
      <c r="I8282" s="137" t="s">
        <v>74</v>
      </c>
    </row>
    <row r="8283" spans="9:9" x14ac:dyDescent="0.2">
      <c r="I8283" s="137" t="s">
        <v>74</v>
      </c>
    </row>
    <row r="8284" spans="9:9" x14ac:dyDescent="0.2">
      <c r="I8284" s="137" t="s">
        <v>74</v>
      </c>
    </row>
    <row r="8285" spans="9:9" x14ac:dyDescent="0.2">
      <c r="I8285" s="137" t="s">
        <v>74</v>
      </c>
    </row>
    <row r="8286" spans="9:9" x14ac:dyDescent="0.2">
      <c r="I8286" s="137" t="s">
        <v>74</v>
      </c>
    </row>
    <row r="8287" spans="9:9" x14ac:dyDescent="0.2">
      <c r="I8287" s="137" t="s">
        <v>74</v>
      </c>
    </row>
    <row r="8288" spans="9:9" x14ac:dyDescent="0.2">
      <c r="I8288" s="137" t="s">
        <v>74</v>
      </c>
    </row>
    <row r="8289" spans="9:9" x14ac:dyDescent="0.2">
      <c r="I8289" s="137" t="s">
        <v>74</v>
      </c>
    </row>
    <row r="8290" spans="9:9" x14ac:dyDescent="0.2">
      <c r="I8290" s="137" t="s">
        <v>74</v>
      </c>
    </row>
    <row r="8291" spans="9:9" x14ac:dyDescent="0.2">
      <c r="I8291" s="137" t="s">
        <v>74</v>
      </c>
    </row>
    <row r="8292" spans="9:9" x14ac:dyDescent="0.2">
      <c r="I8292" s="137" t="s">
        <v>74</v>
      </c>
    </row>
    <row r="8293" spans="9:9" x14ac:dyDescent="0.2">
      <c r="I8293" s="137" t="s">
        <v>74</v>
      </c>
    </row>
    <row r="8294" spans="9:9" x14ac:dyDescent="0.2">
      <c r="I8294" s="137" t="s">
        <v>74</v>
      </c>
    </row>
    <row r="8295" spans="9:9" x14ac:dyDescent="0.2">
      <c r="I8295" s="137" t="s">
        <v>74</v>
      </c>
    </row>
    <row r="8296" spans="9:9" x14ac:dyDescent="0.2">
      <c r="I8296" s="137" t="s">
        <v>74</v>
      </c>
    </row>
    <row r="8297" spans="9:9" x14ac:dyDescent="0.2">
      <c r="I8297" s="137" t="s">
        <v>74</v>
      </c>
    </row>
    <row r="8298" spans="9:9" x14ac:dyDescent="0.2">
      <c r="I8298" s="137" t="s">
        <v>74</v>
      </c>
    </row>
    <row r="8299" spans="9:9" x14ac:dyDescent="0.2">
      <c r="I8299" s="137" t="s">
        <v>74</v>
      </c>
    </row>
    <row r="8300" spans="9:9" x14ac:dyDescent="0.2">
      <c r="I8300" s="137" t="s">
        <v>74</v>
      </c>
    </row>
    <row r="8301" spans="9:9" x14ac:dyDescent="0.2">
      <c r="I8301" s="137" t="s">
        <v>74</v>
      </c>
    </row>
    <row r="8302" spans="9:9" x14ac:dyDescent="0.2">
      <c r="I8302" s="137" t="s">
        <v>74</v>
      </c>
    </row>
    <row r="8303" spans="9:9" x14ac:dyDescent="0.2">
      <c r="I8303" s="137" t="s">
        <v>74</v>
      </c>
    </row>
    <row r="8304" spans="9:9" x14ac:dyDescent="0.2">
      <c r="I8304" s="137" t="s">
        <v>74</v>
      </c>
    </row>
    <row r="8305" spans="9:9" x14ac:dyDescent="0.2">
      <c r="I8305" s="137" t="s">
        <v>74</v>
      </c>
    </row>
    <row r="8306" spans="9:9" x14ac:dyDescent="0.2">
      <c r="I8306" s="137" t="s">
        <v>74</v>
      </c>
    </row>
    <row r="8307" spans="9:9" x14ac:dyDescent="0.2">
      <c r="I8307" s="137" t="s">
        <v>74</v>
      </c>
    </row>
    <row r="8308" spans="9:9" x14ac:dyDescent="0.2">
      <c r="I8308" s="137" t="s">
        <v>74</v>
      </c>
    </row>
    <row r="8309" spans="9:9" x14ac:dyDescent="0.2">
      <c r="I8309" s="137" t="s">
        <v>74</v>
      </c>
    </row>
    <row r="8310" spans="9:9" x14ac:dyDescent="0.2">
      <c r="I8310" s="137" t="s">
        <v>74</v>
      </c>
    </row>
    <row r="8311" spans="9:9" x14ac:dyDescent="0.2">
      <c r="I8311" s="137" t="s">
        <v>74</v>
      </c>
    </row>
    <row r="8312" spans="9:9" x14ac:dyDescent="0.2">
      <c r="I8312" s="137" t="s">
        <v>74</v>
      </c>
    </row>
    <row r="8313" spans="9:9" x14ac:dyDescent="0.2">
      <c r="I8313" s="137" t="s">
        <v>74</v>
      </c>
    </row>
    <row r="8314" spans="9:9" x14ac:dyDescent="0.2">
      <c r="I8314" s="137" t="s">
        <v>74</v>
      </c>
    </row>
    <row r="8315" spans="9:9" x14ac:dyDescent="0.2">
      <c r="I8315" s="137" t="s">
        <v>74</v>
      </c>
    </row>
    <row r="8316" spans="9:9" x14ac:dyDescent="0.2">
      <c r="I8316" s="137" t="s">
        <v>74</v>
      </c>
    </row>
    <row r="8317" spans="9:9" x14ac:dyDescent="0.2">
      <c r="I8317" s="137" t="s">
        <v>74</v>
      </c>
    </row>
    <row r="8318" spans="9:9" x14ac:dyDescent="0.2">
      <c r="I8318" s="137" t="s">
        <v>74</v>
      </c>
    </row>
    <row r="8319" spans="9:9" x14ac:dyDescent="0.2">
      <c r="I8319" s="137" t="s">
        <v>74</v>
      </c>
    </row>
    <row r="8320" spans="9:9" x14ac:dyDescent="0.2">
      <c r="I8320" s="137" t="s">
        <v>74</v>
      </c>
    </row>
    <row r="8321" spans="9:9" x14ac:dyDescent="0.2">
      <c r="I8321" s="137" t="s">
        <v>74</v>
      </c>
    </row>
    <row r="8322" spans="9:9" x14ac:dyDescent="0.2">
      <c r="I8322" s="137" t="s">
        <v>74</v>
      </c>
    </row>
    <row r="8323" spans="9:9" x14ac:dyDescent="0.2">
      <c r="I8323" s="137" t="s">
        <v>74</v>
      </c>
    </row>
    <row r="8324" spans="9:9" x14ac:dyDescent="0.2">
      <c r="I8324" s="137" t="s">
        <v>74</v>
      </c>
    </row>
    <row r="8325" spans="9:9" x14ac:dyDescent="0.2">
      <c r="I8325" s="137" t="s">
        <v>74</v>
      </c>
    </row>
    <row r="8326" spans="9:9" x14ac:dyDescent="0.2">
      <c r="I8326" s="137" t="s">
        <v>74</v>
      </c>
    </row>
    <row r="8327" spans="9:9" x14ac:dyDescent="0.2">
      <c r="I8327" s="137" t="s">
        <v>74</v>
      </c>
    </row>
    <row r="8328" spans="9:9" x14ac:dyDescent="0.2">
      <c r="I8328" s="137" t="s">
        <v>74</v>
      </c>
    </row>
    <row r="8329" spans="9:9" x14ac:dyDescent="0.2">
      <c r="I8329" s="137" t="s">
        <v>74</v>
      </c>
    </row>
    <row r="8330" spans="9:9" x14ac:dyDescent="0.2">
      <c r="I8330" s="137" t="s">
        <v>74</v>
      </c>
    </row>
    <row r="8331" spans="9:9" x14ac:dyDescent="0.2">
      <c r="I8331" s="137" t="s">
        <v>74</v>
      </c>
    </row>
    <row r="8332" spans="9:9" x14ac:dyDescent="0.2">
      <c r="I8332" s="137" t="s">
        <v>74</v>
      </c>
    </row>
    <row r="8333" spans="9:9" x14ac:dyDescent="0.2">
      <c r="I8333" s="137" t="s">
        <v>74</v>
      </c>
    </row>
    <row r="8334" spans="9:9" x14ac:dyDescent="0.2">
      <c r="I8334" s="137" t="s">
        <v>74</v>
      </c>
    </row>
    <row r="8335" spans="9:9" x14ac:dyDescent="0.2">
      <c r="I8335" s="137" t="s">
        <v>74</v>
      </c>
    </row>
    <row r="8336" spans="9:9" x14ac:dyDescent="0.2">
      <c r="I8336" s="137" t="s">
        <v>74</v>
      </c>
    </row>
    <row r="8337" spans="9:9" x14ac:dyDescent="0.2">
      <c r="I8337" s="137" t="s">
        <v>74</v>
      </c>
    </row>
    <row r="8338" spans="9:9" x14ac:dyDescent="0.2">
      <c r="I8338" s="137" t="s">
        <v>74</v>
      </c>
    </row>
    <row r="8339" spans="9:9" x14ac:dyDescent="0.2">
      <c r="I8339" s="137" t="s">
        <v>74</v>
      </c>
    </row>
    <row r="8340" spans="9:9" x14ac:dyDescent="0.2">
      <c r="I8340" s="137" t="s">
        <v>74</v>
      </c>
    </row>
    <row r="8341" spans="9:9" x14ac:dyDescent="0.2">
      <c r="I8341" s="137" t="s">
        <v>74</v>
      </c>
    </row>
    <row r="8342" spans="9:9" x14ac:dyDescent="0.2">
      <c r="I8342" s="137" t="s">
        <v>74</v>
      </c>
    </row>
    <row r="8343" spans="9:9" x14ac:dyDescent="0.2">
      <c r="I8343" s="137" t="s">
        <v>74</v>
      </c>
    </row>
    <row r="8344" spans="9:9" x14ac:dyDescent="0.2">
      <c r="I8344" s="137" t="s">
        <v>74</v>
      </c>
    </row>
    <row r="8345" spans="9:9" x14ac:dyDescent="0.2">
      <c r="I8345" s="137" t="s">
        <v>74</v>
      </c>
    </row>
    <row r="8346" spans="9:9" x14ac:dyDescent="0.2">
      <c r="I8346" s="137" t="s">
        <v>74</v>
      </c>
    </row>
    <row r="8347" spans="9:9" x14ac:dyDescent="0.2">
      <c r="I8347" s="137" t="s">
        <v>74</v>
      </c>
    </row>
    <row r="8348" spans="9:9" x14ac:dyDescent="0.2">
      <c r="I8348" s="137" t="s">
        <v>74</v>
      </c>
    </row>
    <row r="8349" spans="9:9" x14ac:dyDescent="0.2">
      <c r="I8349" s="137" t="s">
        <v>74</v>
      </c>
    </row>
    <row r="8350" spans="9:9" x14ac:dyDescent="0.2">
      <c r="I8350" s="137" t="s">
        <v>74</v>
      </c>
    </row>
    <row r="8351" spans="9:9" x14ac:dyDescent="0.2">
      <c r="I8351" s="137" t="s">
        <v>74</v>
      </c>
    </row>
    <row r="8352" spans="9:9" x14ac:dyDescent="0.2">
      <c r="I8352" s="137" t="s">
        <v>74</v>
      </c>
    </row>
    <row r="8353" spans="9:9" x14ac:dyDescent="0.2">
      <c r="I8353" s="137" t="s">
        <v>74</v>
      </c>
    </row>
    <row r="8354" spans="9:9" x14ac:dyDescent="0.2">
      <c r="I8354" s="137" t="s">
        <v>74</v>
      </c>
    </row>
    <row r="8355" spans="9:9" x14ac:dyDescent="0.2">
      <c r="I8355" s="137" t="s">
        <v>74</v>
      </c>
    </row>
    <row r="8356" spans="9:9" x14ac:dyDescent="0.2">
      <c r="I8356" s="137" t="s">
        <v>74</v>
      </c>
    </row>
    <row r="8357" spans="9:9" x14ac:dyDescent="0.2">
      <c r="I8357" s="137" t="s">
        <v>74</v>
      </c>
    </row>
    <row r="8358" spans="9:9" x14ac:dyDescent="0.2">
      <c r="I8358" s="137" t="s">
        <v>74</v>
      </c>
    </row>
    <row r="8359" spans="9:9" x14ac:dyDescent="0.2">
      <c r="I8359" s="137" t="s">
        <v>74</v>
      </c>
    </row>
    <row r="8360" spans="9:9" x14ac:dyDescent="0.2">
      <c r="I8360" s="137" t="s">
        <v>74</v>
      </c>
    </row>
    <row r="8361" spans="9:9" x14ac:dyDescent="0.2">
      <c r="I8361" s="137" t="s">
        <v>74</v>
      </c>
    </row>
    <row r="8362" spans="9:9" x14ac:dyDescent="0.2">
      <c r="I8362" s="137" t="s">
        <v>74</v>
      </c>
    </row>
    <row r="8363" spans="9:9" x14ac:dyDescent="0.2">
      <c r="I8363" s="137" t="s">
        <v>74</v>
      </c>
    </row>
    <row r="8364" spans="9:9" x14ac:dyDescent="0.2">
      <c r="I8364" s="137" t="s">
        <v>74</v>
      </c>
    </row>
    <row r="8365" spans="9:9" x14ac:dyDescent="0.2">
      <c r="I8365" s="137" t="s">
        <v>74</v>
      </c>
    </row>
    <row r="8366" spans="9:9" x14ac:dyDescent="0.2">
      <c r="I8366" s="137" t="s">
        <v>74</v>
      </c>
    </row>
    <row r="8367" spans="9:9" x14ac:dyDescent="0.2">
      <c r="I8367" s="137" t="s">
        <v>74</v>
      </c>
    </row>
    <row r="8368" spans="9:9" x14ac:dyDescent="0.2">
      <c r="I8368" s="137" t="s">
        <v>74</v>
      </c>
    </row>
    <row r="8369" spans="9:9" x14ac:dyDescent="0.2">
      <c r="I8369" s="137" t="s">
        <v>74</v>
      </c>
    </row>
    <row r="8370" spans="9:9" x14ac:dyDescent="0.2">
      <c r="I8370" s="137" t="s">
        <v>74</v>
      </c>
    </row>
    <row r="8371" spans="9:9" x14ac:dyDescent="0.2">
      <c r="I8371" s="137" t="s">
        <v>74</v>
      </c>
    </row>
    <row r="8372" spans="9:9" x14ac:dyDescent="0.2">
      <c r="I8372" s="137" t="s">
        <v>74</v>
      </c>
    </row>
    <row r="8373" spans="9:9" x14ac:dyDescent="0.2">
      <c r="I8373" s="137" t="s">
        <v>74</v>
      </c>
    </row>
    <row r="8374" spans="9:9" x14ac:dyDescent="0.2">
      <c r="I8374" s="137" t="s">
        <v>74</v>
      </c>
    </row>
    <row r="8375" spans="9:9" x14ac:dyDescent="0.2">
      <c r="I8375" s="137" t="s">
        <v>74</v>
      </c>
    </row>
    <row r="8376" spans="9:9" x14ac:dyDescent="0.2">
      <c r="I8376" s="137" t="s">
        <v>74</v>
      </c>
    </row>
    <row r="8377" spans="9:9" x14ac:dyDescent="0.2">
      <c r="I8377" s="137" t="s">
        <v>74</v>
      </c>
    </row>
    <row r="8378" spans="9:9" x14ac:dyDescent="0.2">
      <c r="I8378" s="137" t="s">
        <v>74</v>
      </c>
    </row>
    <row r="8379" spans="9:9" x14ac:dyDescent="0.2">
      <c r="I8379" s="137" t="s">
        <v>74</v>
      </c>
    </row>
    <row r="8380" spans="9:9" x14ac:dyDescent="0.2">
      <c r="I8380" s="137" t="s">
        <v>74</v>
      </c>
    </row>
    <row r="8381" spans="9:9" x14ac:dyDescent="0.2">
      <c r="I8381" s="137" t="s">
        <v>74</v>
      </c>
    </row>
    <row r="8382" spans="9:9" x14ac:dyDescent="0.2">
      <c r="I8382" s="137" t="s">
        <v>74</v>
      </c>
    </row>
    <row r="8383" spans="9:9" x14ac:dyDescent="0.2">
      <c r="I8383" s="137" t="s">
        <v>74</v>
      </c>
    </row>
    <row r="8384" spans="9:9" x14ac:dyDescent="0.2">
      <c r="I8384" s="137" t="s">
        <v>74</v>
      </c>
    </row>
    <row r="8385" spans="9:9" x14ac:dyDescent="0.2">
      <c r="I8385" s="137" t="s">
        <v>74</v>
      </c>
    </row>
    <row r="8386" spans="9:9" x14ac:dyDescent="0.2">
      <c r="I8386" s="137" t="s">
        <v>74</v>
      </c>
    </row>
    <row r="8387" spans="9:9" x14ac:dyDescent="0.2">
      <c r="I8387" s="137" t="s">
        <v>74</v>
      </c>
    </row>
    <row r="8388" spans="9:9" x14ac:dyDescent="0.2">
      <c r="I8388" s="137" t="s">
        <v>74</v>
      </c>
    </row>
    <row r="8389" spans="9:9" x14ac:dyDescent="0.2">
      <c r="I8389" s="137" t="s">
        <v>74</v>
      </c>
    </row>
    <row r="8390" spans="9:9" x14ac:dyDescent="0.2">
      <c r="I8390" s="137" t="s">
        <v>74</v>
      </c>
    </row>
    <row r="8391" spans="9:9" x14ac:dyDescent="0.2">
      <c r="I8391" s="137" t="s">
        <v>74</v>
      </c>
    </row>
    <row r="8392" spans="9:9" x14ac:dyDescent="0.2">
      <c r="I8392" s="137" t="s">
        <v>74</v>
      </c>
    </row>
    <row r="8393" spans="9:9" x14ac:dyDescent="0.2">
      <c r="I8393" s="137" t="s">
        <v>74</v>
      </c>
    </row>
    <row r="8394" spans="9:9" x14ac:dyDescent="0.2">
      <c r="I8394" s="137" t="s">
        <v>74</v>
      </c>
    </row>
    <row r="8395" spans="9:9" x14ac:dyDescent="0.2">
      <c r="I8395" s="137" t="s">
        <v>74</v>
      </c>
    </row>
    <row r="8396" spans="9:9" x14ac:dyDescent="0.2">
      <c r="I8396" s="137" t="s">
        <v>74</v>
      </c>
    </row>
    <row r="8397" spans="9:9" x14ac:dyDescent="0.2">
      <c r="I8397" s="137" t="s">
        <v>74</v>
      </c>
    </row>
    <row r="8398" spans="9:9" x14ac:dyDescent="0.2">
      <c r="I8398" s="137" t="s">
        <v>74</v>
      </c>
    </row>
    <row r="8399" spans="9:9" x14ac:dyDescent="0.2">
      <c r="I8399" s="137" t="s">
        <v>74</v>
      </c>
    </row>
    <row r="8400" spans="9:9" x14ac:dyDescent="0.2">
      <c r="I8400" s="137" t="s">
        <v>74</v>
      </c>
    </row>
    <row r="8401" spans="9:9" x14ac:dyDescent="0.2">
      <c r="I8401" s="137" t="s">
        <v>74</v>
      </c>
    </row>
    <row r="8402" spans="9:9" x14ac:dyDescent="0.2">
      <c r="I8402" s="137" t="s">
        <v>74</v>
      </c>
    </row>
    <row r="8403" spans="9:9" x14ac:dyDescent="0.2">
      <c r="I8403" s="137" t="s">
        <v>74</v>
      </c>
    </row>
    <row r="8404" spans="9:9" x14ac:dyDescent="0.2">
      <c r="I8404" s="137" t="s">
        <v>74</v>
      </c>
    </row>
    <row r="8405" spans="9:9" x14ac:dyDescent="0.2">
      <c r="I8405" s="137" t="s">
        <v>74</v>
      </c>
    </row>
    <row r="8406" spans="9:9" x14ac:dyDescent="0.2">
      <c r="I8406" s="137" t="s">
        <v>74</v>
      </c>
    </row>
    <row r="8407" spans="9:9" x14ac:dyDescent="0.2">
      <c r="I8407" s="137" t="s">
        <v>74</v>
      </c>
    </row>
    <row r="8408" spans="9:9" x14ac:dyDescent="0.2">
      <c r="I8408" s="137" t="s">
        <v>74</v>
      </c>
    </row>
    <row r="8409" spans="9:9" x14ac:dyDescent="0.2">
      <c r="I8409" s="137" t="s">
        <v>74</v>
      </c>
    </row>
    <row r="8410" spans="9:9" x14ac:dyDescent="0.2">
      <c r="I8410" s="137" t="s">
        <v>74</v>
      </c>
    </row>
    <row r="8411" spans="9:9" x14ac:dyDescent="0.2">
      <c r="I8411" s="137" t="s">
        <v>74</v>
      </c>
    </row>
    <row r="8412" spans="9:9" x14ac:dyDescent="0.2">
      <c r="I8412" s="137" t="s">
        <v>74</v>
      </c>
    </row>
    <row r="8413" spans="9:9" x14ac:dyDescent="0.2">
      <c r="I8413" s="137" t="s">
        <v>74</v>
      </c>
    </row>
    <row r="8414" spans="9:9" x14ac:dyDescent="0.2">
      <c r="I8414" s="137" t="s">
        <v>74</v>
      </c>
    </row>
    <row r="8415" spans="9:9" x14ac:dyDescent="0.2">
      <c r="I8415" s="137" t="s">
        <v>74</v>
      </c>
    </row>
    <row r="8416" spans="9:9" x14ac:dyDescent="0.2">
      <c r="I8416" s="137" t="s">
        <v>74</v>
      </c>
    </row>
    <row r="8417" spans="9:9" x14ac:dyDescent="0.2">
      <c r="I8417" s="137" t="s">
        <v>74</v>
      </c>
    </row>
    <row r="8418" spans="9:9" x14ac:dyDescent="0.2">
      <c r="I8418" s="137" t="s">
        <v>74</v>
      </c>
    </row>
    <row r="8419" spans="9:9" x14ac:dyDescent="0.2">
      <c r="I8419" s="137" t="s">
        <v>74</v>
      </c>
    </row>
    <row r="8420" spans="9:9" x14ac:dyDescent="0.2">
      <c r="I8420" s="137" t="s">
        <v>74</v>
      </c>
    </row>
    <row r="8421" spans="9:9" x14ac:dyDescent="0.2">
      <c r="I8421" s="137" t="s">
        <v>74</v>
      </c>
    </row>
    <row r="8422" spans="9:9" x14ac:dyDescent="0.2">
      <c r="I8422" s="137" t="s">
        <v>74</v>
      </c>
    </row>
    <row r="8423" spans="9:9" x14ac:dyDescent="0.2">
      <c r="I8423" s="137" t="s">
        <v>74</v>
      </c>
    </row>
    <row r="8424" spans="9:9" x14ac:dyDescent="0.2">
      <c r="I8424" s="137" t="s">
        <v>74</v>
      </c>
    </row>
    <row r="8425" spans="9:9" x14ac:dyDescent="0.2">
      <c r="I8425" s="137" t="s">
        <v>74</v>
      </c>
    </row>
    <row r="8426" spans="9:9" x14ac:dyDescent="0.2">
      <c r="I8426" s="137" t="s">
        <v>74</v>
      </c>
    </row>
    <row r="8427" spans="9:9" x14ac:dyDescent="0.2">
      <c r="I8427" s="137" t="s">
        <v>74</v>
      </c>
    </row>
    <row r="8428" spans="9:9" x14ac:dyDescent="0.2">
      <c r="I8428" s="137" t="s">
        <v>74</v>
      </c>
    </row>
    <row r="8429" spans="9:9" x14ac:dyDescent="0.2">
      <c r="I8429" s="137" t="s">
        <v>74</v>
      </c>
    </row>
    <row r="8430" spans="9:9" x14ac:dyDescent="0.2">
      <c r="I8430" s="137" t="s">
        <v>74</v>
      </c>
    </row>
    <row r="8431" spans="9:9" x14ac:dyDescent="0.2">
      <c r="I8431" s="137" t="s">
        <v>74</v>
      </c>
    </row>
    <row r="8432" spans="9:9" x14ac:dyDescent="0.2">
      <c r="I8432" s="137" t="s">
        <v>74</v>
      </c>
    </row>
    <row r="8433" spans="9:9" x14ac:dyDescent="0.2">
      <c r="I8433" s="137" t="s">
        <v>74</v>
      </c>
    </row>
    <row r="8434" spans="9:9" x14ac:dyDescent="0.2">
      <c r="I8434" s="137" t="s">
        <v>74</v>
      </c>
    </row>
    <row r="8435" spans="9:9" x14ac:dyDescent="0.2">
      <c r="I8435" s="137" t="s">
        <v>74</v>
      </c>
    </row>
    <row r="8436" spans="9:9" x14ac:dyDescent="0.2">
      <c r="I8436" s="137" t="s">
        <v>74</v>
      </c>
    </row>
    <row r="8437" spans="9:9" x14ac:dyDescent="0.2">
      <c r="I8437" s="137" t="s">
        <v>74</v>
      </c>
    </row>
    <row r="8438" spans="9:9" x14ac:dyDescent="0.2">
      <c r="I8438" s="137" t="s">
        <v>74</v>
      </c>
    </row>
    <row r="8439" spans="9:9" x14ac:dyDescent="0.2">
      <c r="I8439" s="137" t="s">
        <v>74</v>
      </c>
    </row>
    <row r="8440" spans="9:9" x14ac:dyDescent="0.2">
      <c r="I8440" s="137" t="s">
        <v>74</v>
      </c>
    </row>
    <row r="8441" spans="9:9" x14ac:dyDescent="0.2">
      <c r="I8441" s="137" t="s">
        <v>74</v>
      </c>
    </row>
    <row r="8442" spans="9:9" x14ac:dyDescent="0.2">
      <c r="I8442" s="137" t="s">
        <v>74</v>
      </c>
    </row>
    <row r="8443" spans="9:9" x14ac:dyDescent="0.2">
      <c r="I8443" s="137" t="s">
        <v>74</v>
      </c>
    </row>
    <row r="8444" spans="9:9" x14ac:dyDescent="0.2">
      <c r="I8444" s="137" t="s">
        <v>74</v>
      </c>
    </row>
    <row r="8445" spans="9:9" x14ac:dyDescent="0.2">
      <c r="I8445" s="137" t="s">
        <v>74</v>
      </c>
    </row>
    <row r="8446" spans="9:9" x14ac:dyDescent="0.2">
      <c r="I8446" s="137" t="s">
        <v>74</v>
      </c>
    </row>
    <row r="8447" spans="9:9" x14ac:dyDescent="0.2">
      <c r="I8447" s="137" t="s">
        <v>74</v>
      </c>
    </row>
    <row r="8448" spans="9:9" x14ac:dyDescent="0.2">
      <c r="I8448" s="137" t="s">
        <v>74</v>
      </c>
    </row>
    <row r="8449" spans="9:9" x14ac:dyDescent="0.2">
      <c r="I8449" s="137" t="s">
        <v>74</v>
      </c>
    </row>
    <row r="8450" spans="9:9" x14ac:dyDescent="0.2">
      <c r="I8450" s="137" t="s">
        <v>74</v>
      </c>
    </row>
    <row r="8451" spans="9:9" x14ac:dyDescent="0.2">
      <c r="I8451" s="137" t="s">
        <v>74</v>
      </c>
    </row>
    <row r="8452" spans="9:9" x14ac:dyDescent="0.2">
      <c r="I8452" s="137" t="s">
        <v>74</v>
      </c>
    </row>
    <row r="8453" spans="9:9" x14ac:dyDescent="0.2">
      <c r="I8453" s="137" t="s">
        <v>74</v>
      </c>
    </row>
    <row r="8454" spans="9:9" x14ac:dyDescent="0.2">
      <c r="I8454" s="137" t="s">
        <v>74</v>
      </c>
    </row>
    <row r="8455" spans="9:9" x14ac:dyDescent="0.2">
      <c r="I8455" s="137" t="s">
        <v>74</v>
      </c>
    </row>
    <row r="8456" spans="9:9" x14ac:dyDescent="0.2">
      <c r="I8456" s="137" t="s">
        <v>74</v>
      </c>
    </row>
    <row r="8457" spans="9:9" x14ac:dyDescent="0.2">
      <c r="I8457" s="137" t="s">
        <v>74</v>
      </c>
    </row>
    <row r="8458" spans="9:9" x14ac:dyDescent="0.2">
      <c r="I8458" s="137" t="s">
        <v>74</v>
      </c>
    </row>
    <row r="8459" spans="9:9" x14ac:dyDescent="0.2">
      <c r="I8459" s="137" t="s">
        <v>74</v>
      </c>
    </row>
    <row r="8460" spans="9:9" x14ac:dyDescent="0.2">
      <c r="I8460" s="137" t="s">
        <v>74</v>
      </c>
    </row>
    <row r="8461" spans="9:9" x14ac:dyDescent="0.2">
      <c r="I8461" s="137" t="s">
        <v>74</v>
      </c>
    </row>
    <row r="8462" spans="9:9" x14ac:dyDescent="0.2">
      <c r="I8462" s="137" t="s">
        <v>74</v>
      </c>
    </row>
    <row r="8463" spans="9:9" x14ac:dyDescent="0.2">
      <c r="I8463" s="137" t="s">
        <v>74</v>
      </c>
    </row>
    <row r="8464" spans="9:9" x14ac:dyDescent="0.2">
      <c r="I8464" s="137" t="s">
        <v>74</v>
      </c>
    </row>
    <row r="8465" spans="9:9" x14ac:dyDescent="0.2">
      <c r="I8465" s="137" t="s">
        <v>74</v>
      </c>
    </row>
    <row r="8466" spans="9:9" x14ac:dyDescent="0.2">
      <c r="I8466" s="137" t="s">
        <v>74</v>
      </c>
    </row>
    <row r="8467" spans="9:9" x14ac:dyDescent="0.2">
      <c r="I8467" s="137" t="s">
        <v>74</v>
      </c>
    </row>
    <row r="8468" spans="9:9" x14ac:dyDescent="0.2">
      <c r="I8468" s="137" t="s">
        <v>74</v>
      </c>
    </row>
    <row r="8469" spans="9:9" x14ac:dyDescent="0.2">
      <c r="I8469" s="137" t="s">
        <v>74</v>
      </c>
    </row>
    <row r="8470" spans="9:9" x14ac:dyDescent="0.2">
      <c r="I8470" s="137" t="s">
        <v>74</v>
      </c>
    </row>
    <row r="8471" spans="9:9" x14ac:dyDescent="0.2">
      <c r="I8471" s="137" t="s">
        <v>74</v>
      </c>
    </row>
    <row r="8472" spans="9:9" x14ac:dyDescent="0.2">
      <c r="I8472" s="137" t="s">
        <v>74</v>
      </c>
    </row>
    <row r="8473" spans="9:9" x14ac:dyDescent="0.2">
      <c r="I8473" s="137" t="s">
        <v>74</v>
      </c>
    </row>
    <row r="8474" spans="9:9" x14ac:dyDescent="0.2">
      <c r="I8474" s="137" t="s">
        <v>74</v>
      </c>
    </row>
    <row r="8475" spans="9:9" x14ac:dyDescent="0.2">
      <c r="I8475" s="137" t="s">
        <v>74</v>
      </c>
    </row>
    <row r="8476" spans="9:9" x14ac:dyDescent="0.2">
      <c r="I8476" s="137" t="s">
        <v>74</v>
      </c>
    </row>
    <row r="8477" spans="9:9" x14ac:dyDescent="0.2">
      <c r="I8477" s="137" t="s">
        <v>74</v>
      </c>
    </row>
    <row r="8478" spans="9:9" x14ac:dyDescent="0.2">
      <c r="I8478" s="137" t="s">
        <v>74</v>
      </c>
    </row>
    <row r="8479" spans="9:9" x14ac:dyDescent="0.2">
      <c r="I8479" s="137" t="s">
        <v>74</v>
      </c>
    </row>
    <row r="8480" spans="9:9" x14ac:dyDescent="0.2">
      <c r="I8480" s="137" t="s">
        <v>74</v>
      </c>
    </row>
    <row r="8481" spans="9:9" x14ac:dyDescent="0.2">
      <c r="I8481" s="137" t="s">
        <v>74</v>
      </c>
    </row>
    <row r="8482" spans="9:9" x14ac:dyDescent="0.2">
      <c r="I8482" s="137" t="s">
        <v>74</v>
      </c>
    </row>
    <row r="8483" spans="9:9" x14ac:dyDescent="0.2">
      <c r="I8483" s="137" t="s">
        <v>74</v>
      </c>
    </row>
    <row r="8484" spans="9:9" x14ac:dyDescent="0.2">
      <c r="I8484" s="137" t="s">
        <v>74</v>
      </c>
    </row>
    <row r="8485" spans="9:9" x14ac:dyDescent="0.2">
      <c r="I8485" s="137" t="s">
        <v>74</v>
      </c>
    </row>
    <row r="8486" spans="9:9" x14ac:dyDescent="0.2">
      <c r="I8486" s="137" t="s">
        <v>74</v>
      </c>
    </row>
    <row r="8487" spans="9:9" x14ac:dyDescent="0.2">
      <c r="I8487" s="137" t="s">
        <v>74</v>
      </c>
    </row>
    <row r="8488" spans="9:9" x14ac:dyDescent="0.2">
      <c r="I8488" s="137" t="s">
        <v>74</v>
      </c>
    </row>
    <row r="8489" spans="9:9" x14ac:dyDescent="0.2">
      <c r="I8489" s="137" t="s">
        <v>74</v>
      </c>
    </row>
    <row r="8490" spans="9:9" x14ac:dyDescent="0.2">
      <c r="I8490" s="137" t="s">
        <v>74</v>
      </c>
    </row>
    <row r="8491" spans="9:9" x14ac:dyDescent="0.2">
      <c r="I8491" s="137" t="s">
        <v>74</v>
      </c>
    </row>
    <row r="8492" spans="9:9" x14ac:dyDescent="0.2">
      <c r="I8492" s="137" t="s">
        <v>74</v>
      </c>
    </row>
    <row r="8493" spans="9:9" x14ac:dyDescent="0.2">
      <c r="I8493" s="137" t="s">
        <v>74</v>
      </c>
    </row>
    <row r="8494" spans="9:9" x14ac:dyDescent="0.2">
      <c r="I8494" s="137" t="s">
        <v>74</v>
      </c>
    </row>
    <row r="8495" spans="9:9" x14ac:dyDescent="0.2">
      <c r="I8495" s="137" t="s">
        <v>74</v>
      </c>
    </row>
    <row r="8496" spans="9:9" x14ac:dyDescent="0.2">
      <c r="I8496" s="137" t="s">
        <v>74</v>
      </c>
    </row>
    <row r="8497" spans="9:9" x14ac:dyDescent="0.2">
      <c r="I8497" s="137" t="s">
        <v>74</v>
      </c>
    </row>
    <row r="8498" spans="9:9" x14ac:dyDescent="0.2">
      <c r="I8498" s="137" t="s">
        <v>74</v>
      </c>
    </row>
    <row r="8499" spans="9:9" x14ac:dyDescent="0.2">
      <c r="I8499" s="137" t="s">
        <v>74</v>
      </c>
    </row>
    <row r="8500" spans="9:9" x14ac:dyDescent="0.2">
      <c r="I8500" s="137" t="s">
        <v>74</v>
      </c>
    </row>
    <row r="8501" spans="9:9" x14ac:dyDescent="0.2">
      <c r="I8501" s="137" t="s">
        <v>74</v>
      </c>
    </row>
    <row r="8502" spans="9:9" x14ac:dyDescent="0.2">
      <c r="I8502" s="137" t="s">
        <v>74</v>
      </c>
    </row>
    <row r="8503" spans="9:9" x14ac:dyDescent="0.2">
      <c r="I8503" s="137" t="s">
        <v>74</v>
      </c>
    </row>
    <row r="8504" spans="9:9" x14ac:dyDescent="0.2">
      <c r="I8504" s="137" t="s">
        <v>74</v>
      </c>
    </row>
    <row r="8505" spans="9:9" x14ac:dyDescent="0.2">
      <c r="I8505" s="137" t="s">
        <v>74</v>
      </c>
    </row>
    <row r="8506" spans="9:9" x14ac:dyDescent="0.2">
      <c r="I8506" s="137" t="s">
        <v>74</v>
      </c>
    </row>
    <row r="8507" spans="9:9" x14ac:dyDescent="0.2">
      <c r="I8507" s="137" t="s">
        <v>74</v>
      </c>
    </row>
    <row r="8508" spans="9:9" x14ac:dyDescent="0.2">
      <c r="I8508" s="137" t="s">
        <v>74</v>
      </c>
    </row>
    <row r="8509" spans="9:9" x14ac:dyDescent="0.2">
      <c r="I8509" s="137" t="s">
        <v>74</v>
      </c>
    </row>
    <row r="8510" spans="9:9" x14ac:dyDescent="0.2">
      <c r="I8510" s="137" t="s">
        <v>74</v>
      </c>
    </row>
    <row r="8511" spans="9:9" x14ac:dyDescent="0.2">
      <c r="I8511" s="137" t="s">
        <v>74</v>
      </c>
    </row>
    <row r="8512" spans="9:9" x14ac:dyDescent="0.2">
      <c r="I8512" s="137" t="s">
        <v>74</v>
      </c>
    </row>
    <row r="8513" spans="9:9" x14ac:dyDescent="0.2">
      <c r="I8513" s="137" t="s">
        <v>74</v>
      </c>
    </row>
    <row r="8514" spans="9:9" x14ac:dyDescent="0.2">
      <c r="I8514" s="137" t="s">
        <v>74</v>
      </c>
    </row>
    <row r="8515" spans="9:9" x14ac:dyDescent="0.2">
      <c r="I8515" s="137" t="s">
        <v>74</v>
      </c>
    </row>
    <row r="8516" spans="9:9" x14ac:dyDescent="0.2">
      <c r="I8516" s="137" t="s">
        <v>74</v>
      </c>
    </row>
    <row r="8517" spans="9:9" x14ac:dyDescent="0.2">
      <c r="I8517" s="137" t="s">
        <v>74</v>
      </c>
    </row>
    <row r="8518" spans="9:9" x14ac:dyDescent="0.2">
      <c r="I8518" s="137" t="s">
        <v>74</v>
      </c>
    </row>
    <row r="8519" spans="9:9" x14ac:dyDescent="0.2">
      <c r="I8519" s="137" t="s">
        <v>74</v>
      </c>
    </row>
    <row r="8520" spans="9:9" x14ac:dyDescent="0.2">
      <c r="I8520" s="137" t="s">
        <v>74</v>
      </c>
    </row>
    <row r="8521" spans="9:9" x14ac:dyDescent="0.2">
      <c r="I8521" s="137" t="s">
        <v>74</v>
      </c>
    </row>
    <row r="8522" spans="9:9" x14ac:dyDescent="0.2">
      <c r="I8522" s="137" t="s">
        <v>74</v>
      </c>
    </row>
    <row r="8523" spans="9:9" x14ac:dyDescent="0.2">
      <c r="I8523" s="137" t="s">
        <v>74</v>
      </c>
    </row>
    <row r="8524" spans="9:9" x14ac:dyDescent="0.2">
      <c r="I8524" s="137" t="s">
        <v>74</v>
      </c>
    </row>
    <row r="8525" spans="9:9" x14ac:dyDescent="0.2">
      <c r="I8525" s="137" t="s">
        <v>74</v>
      </c>
    </row>
    <row r="8526" spans="9:9" x14ac:dyDescent="0.2">
      <c r="I8526" s="137" t="s">
        <v>74</v>
      </c>
    </row>
    <row r="8527" spans="9:9" x14ac:dyDescent="0.2">
      <c r="I8527" s="137" t="s">
        <v>74</v>
      </c>
    </row>
    <row r="8528" spans="9:9" x14ac:dyDescent="0.2">
      <c r="I8528" s="137" t="s">
        <v>74</v>
      </c>
    </row>
    <row r="8529" spans="9:9" x14ac:dyDescent="0.2">
      <c r="I8529" s="137" t="s">
        <v>74</v>
      </c>
    </row>
    <row r="8530" spans="9:9" x14ac:dyDescent="0.2">
      <c r="I8530" s="137" t="s">
        <v>74</v>
      </c>
    </row>
    <row r="8531" spans="9:9" x14ac:dyDescent="0.2">
      <c r="I8531" s="137" t="s">
        <v>74</v>
      </c>
    </row>
    <row r="8532" spans="9:9" x14ac:dyDescent="0.2">
      <c r="I8532" s="137" t="s">
        <v>74</v>
      </c>
    </row>
    <row r="8533" spans="9:9" x14ac:dyDescent="0.2">
      <c r="I8533" s="137" t="s">
        <v>74</v>
      </c>
    </row>
    <row r="8534" spans="9:9" x14ac:dyDescent="0.2">
      <c r="I8534" s="137" t="s">
        <v>74</v>
      </c>
    </row>
    <row r="8535" spans="9:9" x14ac:dyDescent="0.2">
      <c r="I8535" s="137" t="s">
        <v>74</v>
      </c>
    </row>
    <row r="8536" spans="9:9" x14ac:dyDescent="0.2">
      <c r="I8536" s="137" t="s">
        <v>74</v>
      </c>
    </row>
    <row r="8537" spans="9:9" x14ac:dyDescent="0.2">
      <c r="I8537" s="137" t="s">
        <v>74</v>
      </c>
    </row>
    <row r="8538" spans="9:9" x14ac:dyDescent="0.2">
      <c r="I8538" s="137" t="s">
        <v>74</v>
      </c>
    </row>
    <row r="8539" spans="9:9" x14ac:dyDescent="0.2">
      <c r="I8539" s="137" t="s">
        <v>74</v>
      </c>
    </row>
    <row r="8540" spans="9:9" x14ac:dyDescent="0.2">
      <c r="I8540" s="137" t="s">
        <v>74</v>
      </c>
    </row>
    <row r="8541" spans="9:9" x14ac:dyDescent="0.2">
      <c r="I8541" s="137" t="s">
        <v>74</v>
      </c>
    </row>
    <row r="8542" spans="9:9" x14ac:dyDescent="0.2">
      <c r="I8542" s="137" t="s">
        <v>74</v>
      </c>
    </row>
    <row r="8543" spans="9:9" x14ac:dyDescent="0.2">
      <c r="I8543" s="137" t="s">
        <v>74</v>
      </c>
    </row>
    <row r="8544" spans="9:9" x14ac:dyDescent="0.2">
      <c r="I8544" s="137" t="s">
        <v>74</v>
      </c>
    </row>
    <row r="8545" spans="9:9" x14ac:dyDescent="0.2">
      <c r="I8545" s="137" t="s">
        <v>74</v>
      </c>
    </row>
    <row r="8546" spans="9:9" x14ac:dyDescent="0.2">
      <c r="I8546" s="137" t="s">
        <v>74</v>
      </c>
    </row>
    <row r="8547" spans="9:9" x14ac:dyDescent="0.2">
      <c r="I8547" s="137" t="s">
        <v>74</v>
      </c>
    </row>
    <row r="8548" spans="9:9" x14ac:dyDescent="0.2">
      <c r="I8548" s="137" t="s">
        <v>74</v>
      </c>
    </row>
    <row r="8549" spans="9:9" x14ac:dyDescent="0.2">
      <c r="I8549" s="137" t="s">
        <v>74</v>
      </c>
    </row>
    <row r="8550" spans="9:9" x14ac:dyDescent="0.2">
      <c r="I8550" s="137" t="s">
        <v>74</v>
      </c>
    </row>
    <row r="8551" spans="9:9" x14ac:dyDescent="0.2">
      <c r="I8551" s="137" t="s">
        <v>74</v>
      </c>
    </row>
    <row r="8552" spans="9:9" x14ac:dyDescent="0.2">
      <c r="I8552" s="137" t="s">
        <v>74</v>
      </c>
    </row>
    <row r="8553" spans="9:9" x14ac:dyDescent="0.2">
      <c r="I8553" s="137" t="s">
        <v>74</v>
      </c>
    </row>
    <row r="8554" spans="9:9" x14ac:dyDescent="0.2">
      <c r="I8554" s="137" t="s">
        <v>74</v>
      </c>
    </row>
    <row r="8555" spans="9:9" x14ac:dyDescent="0.2">
      <c r="I8555" s="137" t="s">
        <v>74</v>
      </c>
    </row>
    <row r="8556" spans="9:9" x14ac:dyDescent="0.2">
      <c r="I8556" s="137" t="s">
        <v>74</v>
      </c>
    </row>
    <row r="8557" spans="9:9" x14ac:dyDescent="0.2">
      <c r="I8557" s="137" t="s">
        <v>74</v>
      </c>
    </row>
    <row r="8558" spans="9:9" x14ac:dyDescent="0.2">
      <c r="I8558" s="137" t="s">
        <v>74</v>
      </c>
    </row>
    <row r="8559" spans="9:9" x14ac:dyDescent="0.2">
      <c r="I8559" s="137" t="s">
        <v>74</v>
      </c>
    </row>
    <row r="8560" spans="9:9" x14ac:dyDescent="0.2">
      <c r="I8560" s="137" t="s">
        <v>74</v>
      </c>
    </row>
    <row r="8561" spans="9:9" x14ac:dyDescent="0.2">
      <c r="I8561" s="137" t="s">
        <v>74</v>
      </c>
    </row>
    <row r="8562" spans="9:9" x14ac:dyDescent="0.2">
      <c r="I8562" s="137" t="s">
        <v>74</v>
      </c>
    </row>
    <row r="8563" spans="9:9" x14ac:dyDescent="0.2">
      <c r="I8563" s="137" t="s">
        <v>74</v>
      </c>
    </row>
    <row r="8564" spans="9:9" x14ac:dyDescent="0.2">
      <c r="I8564" s="137" t="s">
        <v>74</v>
      </c>
    </row>
    <row r="8565" spans="9:9" x14ac:dyDescent="0.2">
      <c r="I8565" s="137" t="s">
        <v>74</v>
      </c>
    </row>
    <row r="8566" spans="9:9" x14ac:dyDescent="0.2">
      <c r="I8566" s="137" t="s">
        <v>74</v>
      </c>
    </row>
    <row r="8567" spans="9:9" x14ac:dyDescent="0.2">
      <c r="I8567" s="137" t="s">
        <v>74</v>
      </c>
    </row>
    <row r="8568" spans="9:9" x14ac:dyDescent="0.2">
      <c r="I8568" s="137" t="s">
        <v>74</v>
      </c>
    </row>
    <row r="8569" spans="9:9" x14ac:dyDescent="0.2">
      <c r="I8569" s="137" t="s">
        <v>74</v>
      </c>
    </row>
    <row r="8570" spans="9:9" x14ac:dyDescent="0.2">
      <c r="I8570" s="137" t="s">
        <v>74</v>
      </c>
    </row>
    <row r="8571" spans="9:9" x14ac:dyDescent="0.2">
      <c r="I8571" s="137" t="s">
        <v>74</v>
      </c>
    </row>
    <row r="8572" spans="9:9" x14ac:dyDescent="0.2">
      <c r="I8572" s="137" t="s">
        <v>74</v>
      </c>
    </row>
    <row r="8573" spans="9:9" x14ac:dyDescent="0.2">
      <c r="I8573" s="137" t="s">
        <v>74</v>
      </c>
    </row>
    <row r="8574" spans="9:9" x14ac:dyDescent="0.2">
      <c r="I8574" s="137" t="s">
        <v>74</v>
      </c>
    </row>
    <row r="8575" spans="9:9" x14ac:dyDescent="0.2">
      <c r="I8575" s="137" t="s">
        <v>74</v>
      </c>
    </row>
    <row r="8576" spans="9:9" x14ac:dyDescent="0.2">
      <c r="I8576" s="137" t="s">
        <v>74</v>
      </c>
    </row>
    <row r="8577" spans="9:9" x14ac:dyDescent="0.2">
      <c r="I8577" s="137" t="s">
        <v>74</v>
      </c>
    </row>
    <row r="8578" spans="9:9" x14ac:dyDescent="0.2">
      <c r="I8578" s="137" t="s">
        <v>74</v>
      </c>
    </row>
    <row r="8579" spans="9:9" x14ac:dyDescent="0.2">
      <c r="I8579" s="137" t="s">
        <v>74</v>
      </c>
    </row>
    <row r="8580" spans="9:9" x14ac:dyDescent="0.2">
      <c r="I8580" s="137" t="s">
        <v>74</v>
      </c>
    </row>
    <row r="8581" spans="9:9" x14ac:dyDescent="0.2">
      <c r="I8581" s="137" t="s">
        <v>74</v>
      </c>
    </row>
    <row r="8582" spans="9:9" x14ac:dyDescent="0.2">
      <c r="I8582" s="137" t="s">
        <v>74</v>
      </c>
    </row>
    <row r="8583" spans="9:9" x14ac:dyDescent="0.2">
      <c r="I8583" s="137" t="s">
        <v>74</v>
      </c>
    </row>
    <row r="8584" spans="9:9" x14ac:dyDescent="0.2">
      <c r="I8584" s="137" t="s">
        <v>74</v>
      </c>
    </row>
    <row r="8585" spans="9:9" x14ac:dyDescent="0.2">
      <c r="I8585" s="137" t="s">
        <v>74</v>
      </c>
    </row>
    <row r="8586" spans="9:9" x14ac:dyDescent="0.2">
      <c r="I8586" s="137" t="s">
        <v>74</v>
      </c>
    </row>
    <row r="8587" spans="9:9" x14ac:dyDescent="0.2">
      <c r="I8587" s="137" t="s">
        <v>74</v>
      </c>
    </row>
    <row r="8588" spans="9:9" x14ac:dyDescent="0.2">
      <c r="I8588" s="137" t="s">
        <v>74</v>
      </c>
    </row>
    <row r="8589" spans="9:9" x14ac:dyDescent="0.2">
      <c r="I8589" s="137" t="s">
        <v>74</v>
      </c>
    </row>
    <row r="8590" spans="9:9" x14ac:dyDescent="0.2">
      <c r="I8590" s="137" t="s">
        <v>74</v>
      </c>
    </row>
    <row r="8591" spans="9:9" x14ac:dyDescent="0.2">
      <c r="I8591" s="137" t="s">
        <v>74</v>
      </c>
    </row>
    <row r="8592" spans="9:9" x14ac:dyDescent="0.2">
      <c r="I8592" s="137" t="s">
        <v>74</v>
      </c>
    </row>
    <row r="8593" spans="9:9" x14ac:dyDescent="0.2">
      <c r="I8593" s="137" t="s">
        <v>74</v>
      </c>
    </row>
    <row r="8594" spans="9:9" x14ac:dyDescent="0.2">
      <c r="I8594" s="137" t="s">
        <v>74</v>
      </c>
    </row>
    <row r="8595" spans="9:9" x14ac:dyDescent="0.2">
      <c r="I8595" s="137" t="s">
        <v>74</v>
      </c>
    </row>
    <row r="8596" spans="9:9" x14ac:dyDescent="0.2">
      <c r="I8596" s="137" t="s">
        <v>74</v>
      </c>
    </row>
    <row r="8597" spans="9:9" x14ac:dyDescent="0.2">
      <c r="I8597" s="137" t="s">
        <v>74</v>
      </c>
    </row>
    <row r="8598" spans="9:9" x14ac:dyDescent="0.2">
      <c r="I8598" s="137" t="s">
        <v>74</v>
      </c>
    </row>
    <row r="8599" spans="9:9" x14ac:dyDescent="0.2">
      <c r="I8599" s="137" t="s">
        <v>74</v>
      </c>
    </row>
    <row r="8600" spans="9:9" x14ac:dyDescent="0.2">
      <c r="I8600" s="137" t="s">
        <v>74</v>
      </c>
    </row>
    <row r="8601" spans="9:9" x14ac:dyDescent="0.2">
      <c r="I8601" s="137" t="s">
        <v>74</v>
      </c>
    </row>
    <row r="8602" spans="9:9" x14ac:dyDescent="0.2">
      <c r="I8602" s="137" t="s">
        <v>74</v>
      </c>
    </row>
    <row r="8603" spans="9:9" x14ac:dyDescent="0.2">
      <c r="I8603" s="137" t="s">
        <v>74</v>
      </c>
    </row>
    <row r="8604" spans="9:9" x14ac:dyDescent="0.2">
      <c r="I8604" s="137" t="s">
        <v>74</v>
      </c>
    </row>
    <row r="8605" spans="9:9" x14ac:dyDescent="0.2">
      <c r="I8605" s="137" t="s">
        <v>74</v>
      </c>
    </row>
    <row r="8606" spans="9:9" x14ac:dyDescent="0.2">
      <c r="I8606" s="137" t="s">
        <v>74</v>
      </c>
    </row>
    <row r="8607" spans="9:9" x14ac:dyDescent="0.2">
      <c r="I8607" s="137" t="s">
        <v>74</v>
      </c>
    </row>
    <row r="8608" spans="9:9" x14ac:dyDescent="0.2">
      <c r="I8608" s="137" t="s">
        <v>74</v>
      </c>
    </row>
    <row r="8609" spans="9:9" x14ac:dyDescent="0.2">
      <c r="I8609" s="137" t="s">
        <v>74</v>
      </c>
    </row>
    <row r="8610" spans="9:9" x14ac:dyDescent="0.2">
      <c r="I8610" s="137" t="s">
        <v>74</v>
      </c>
    </row>
    <row r="8611" spans="9:9" x14ac:dyDescent="0.2">
      <c r="I8611" s="137" t="s">
        <v>74</v>
      </c>
    </row>
    <row r="8612" spans="9:9" x14ac:dyDescent="0.2">
      <c r="I8612" s="137" t="s">
        <v>74</v>
      </c>
    </row>
    <row r="8613" spans="9:9" x14ac:dyDescent="0.2">
      <c r="I8613" s="137" t="s">
        <v>74</v>
      </c>
    </row>
    <row r="8614" spans="9:9" x14ac:dyDescent="0.2">
      <c r="I8614" s="137" t="s">
        <v>74</v>
      </c>
    </row>
    <row r="8615" spans="9:9" x14ac:dyDescent="0.2">
      <c r="I8615" s="137" t="s">
        <v>74</v>
      </c>
    </row>
    <row r="8616" spans="9:9" x14ac:dyDescent="0.2">
      <c r="I8616" s="137" t="s">
        <v>74</v>
      </c>
    </row>
    <row r="8617" spans="9:9" x14ac:dyDescent="0.2">
      <c r="I8617" s="137" t="s">
        <v>74</v>
      </c>
    </row>
    <row r="8618" spans="9:9" x14ac:dyDescent="0.2">
      <c r="I8618" s="137" t="s">
        <v>74</v>
      </c>
    </row>
    <row r="8619" spans="9:9" x14ac:dyDescent="0.2">
      <c r="I8619" s="137" t="s">
        <v>74</v>
      </c>
    </row>
    <row r="8620" spans="9:9" x14ac:dyDescent="0.2">
      <c r="I8620" s="137" t="s">
        <v>74</v>
      </c>
    </row>
    <row r="8621" spans="9:9" x14ac:dyDescent="0.2">
      <c r="I8621" s="137" t="s">
        <v>74</v>
      </c>
    </row>
    <row r="8622" spans="9:9" x14ac:dyDescent="0.2">
      <c r="I8622" s="137" t="s">
        <v>74</v>
      </c>
    </row>
    <row r="8623" spans="9:9" x14ac:dyDescent="0.2">
      <c r="I8623" s="137" t="s">
        <v>74</v>
      </c>
    </row>
    <row r="8624" spans="9:9" x14ac:dyDescent="0.2">
      <c r="I8624" s="137" t="s">
        <v>74</v>
      </c>
    </row>
    <row r="8625" spans="9:9" x14ac:dyDescent="0.2">
      <c r="I8625" s="137" t="s">
        <v>74</v>
      </c>
    </row>
    <row r="8626" spans="9:9" x14ac:dyDescent="0.2">
      <c r="I8626" s="137" t="s">
        <v>74</v>
      </c>
    </row>
    <row r="8627" spans="9:9" x14ac:dyDescent="0.2">
      <c r="I8627" s="137" t="s">
        <v>74</v>
      </c>
    </row>
    <row r="8628" spans="9:9" x14ac:dyDescent="0.2">
      <c r="I8628" s="137" t="s">
        <v>74</v>
      </c>
    </row>
    <row r="8629" spans="9:9" x14ac:dyDescent="0.2">
      <c r="I8629" s="137" t="s">
        <v>74</v>
      </c>
    </row>
    <row r="8630" spans="9:9" x14ac:dyDescent="0.2">
      <c r="I8630" s="137" t="s">
        <v>74</v>
      </c>
    </row>
    <row r="8631" spans="9:9" x14ac:dyDescent="0.2">
      <c r="I8631" s="137" t="s">
        <v>74</v>
      </c>
    </row>
    <row r="8632" spans="9:9" x14ac:dyDescent="0.2">
      <c r="I8632" s="137" t="s">
        <v>74</v>
      </c>
    </row>
    <row r="8633" spans="9:9" x14ac:dyDescent="0.2">
      <c r="I8633" s="137" t="s">
        <v>74</v>
      </c>
    </row>
    <row r="8634" spans="9:9" x14ac:dyDescent="0.2">
      <c r="I8634" s="137" t="s">
        <v>74</v>
      </c>
    </row>
    <row r="8635" spans="9:9" x14ac:dyDescent="0.2">
      <c r="I8635" s="137" t="s">
        <v>74</v>
      </c>
    </row>
    <row r="8636" spans="9:9" x14ac:dyDescent="0.2">
      <c r="I8636" s="137" t="s">
        <v>74</v>
      </c>
    </row>
    <row r="8637" spans="9:9" x14ac:dyDescent="0.2">
      <c r="I8637" s="137" t="s">
        <v>74</v>
      </c>
    </row>
    <row r="8638" spans="9:9" x14ac:dyDescent="0.2">
      <c r="I8638" s="137" t="s">
        <v>74</v>
      </c>
    </row>
    <row r="8639" spans="9:9" x14ac:dyDescent="0.2">
      <c r="I8639" s="137" t="s">
        <v>74</v>
      </c>
    </row>
    <row r="8640" spans="9:9" x14ac:dyDescent="0.2">
      <c r="I8640" s="137" t="s">
        <v>74</v>
      </c>
    </row>
    <row r="8641" spans="9:9" x14ac:dyDescent="0.2">
      <c r="I8641" s="137" t="s">
        <v>74</v>
      </c>
    </row>
    <row r="8642" spans="9:9" x14ac:dyDescent="0.2">
      <c r="I8642" s="137" t="s">
        <v>74</v>
      </c>
    </row>
    <row r="8643" spans="9:9" x14ac:dyDescent="0.2">
      <c r="I8643" s="137" t="s">
        <v>74</v>
      </c>
    </row>
    <row r="8644" spans="9:9" x14ac:dyDescent="0.2">
      <c r="I8644" s="137" t="s">
        <v>74</v>
      </c>
    </row>
    <row r="8645" spans="9:9" x14ac:dyDescent="0.2">
      <c r="I8645" s="137" t="s">
        <v>74</v>
      </c>
    </row>
    <row r="8646" spans="9:9" x14ac:dyDescent="0.2">
      <c r="I8646" s="137" t="s">
        <v>74</v>
      </c>
    </row>
    <row r="8647" spans="9:9" x14ac:dyDescent="0.2">
      <c r="I8647" s="137" t="s">
        <v>74</v>
      </c>
    </row>
    <row r="8648" spans="9:9" x14ac:dyDescent="0.2">
      <c r="I8648" s="137" t="s">
        <v>74</v>
      </c>
    </row>
    <row r="8649" spans="9:9" x14ac:dyDescent="0.2">
      <c r="I8649" s="137" t="s">
        <v>74</v>
      </c>
    </row>
    <row r="8650" spans="9:9" x14ac:dyDescent="0.2">
      <c r="I8650" s="137" t="s">
        <v>74</v>
      </c>
    </row>
    <row r="8651" spans="9:9" x14ac:dyDescent="0.2">
      <c r="I8651" s="137" t="s">
        <v>74</v>
      </c>
    </row>
    <row r="8652" spans="9:9" x14ac:dyDescent="0.2">
      <c r="I8652" s="137" t="s">
        <v>74</v>
      </c>
    </row>
    <row r="8653" spans="9:9" x14ac:dyDescent="0.2">
      <c r="I8653" s="137" t="s">
        <v>74</v>
      </c>
    </row>
    <row r="8654" spans="9:9" x14ac:dyDescent="0.2">
      <c r="I8654" s="137" t="s">
        <v>74</v>
      </c>
    </row>
    <row r="8655" spans="9:9" x14ac:dyDescent="0.2">
      <c r="I8655" s="137" t="s">
        <v>74</v>
      </c>
    </row>
    <row r="8656" spans="9:9" x14ac:dyDescent="0.2">
      <c r="I8656" s="137" t="s">
        <v>74</v>
      </c>
    </row>
    <row r="8657" spans="9:9" x14ac:dyDescent="0.2">
      <c r="I8657" s="137" t="s">
        <v>74</v>
      </c>
    </row>
    <row r="8658" spans="9:9" x14ac:dyDescent="0.2">
      <c r="I8658" s="137" t="s">
        <v>74</v>
      </c>
    </row>
    <row r="8659" spans="9:9" x14ac:dyDescent="0.2">
      <c r="I8659" s="137" t="s">
        <v>74</v>
      </c>
    </row>
    <row r="8660" spans="9:9" x14ac:dyDescent="0.2">
      <c r="I8660" s="137" t="s">
        <v>74</v>
      </c>
    </row>
    <row r="8661" spans="9:9" x14ac:dyDescent="0.2">
      <c r="I8661" s="137" t="s">
        <v>74</v>
      </c>
    </row>
    <row r="8662" spans="9:9" x14ac:dyDescent="0.2">
      <c r="I8662" s="137" t="s">
        <v>74</v>
      </c>
    </row>
    <row r="8663" spans="9:9" x14ac:dyDescent="0.2">
      <c r="I8663" s="137" t="s">
        <v>74</v>
      </c>
    </row>
    <row r="8664" spans="9:9" x14ac:dyDescent="0.2">
      <c r="I8664" s="137" t="s">
        <v>74</v>
      </c>
    </row>
    <row r="8665" spans="9:9" x14ac:dyDescent="0.2">
      <c r="I8665" s="137" t="s">
        <v>74</v>
      </c>
    </row>
    <row r="8666" spans="9:9" x14ac:dyDescent="0.2">
      <c r="I8666" s="137" t="s">
        <v>74</v>
      </c>
    </row>
    <row r="8667" spans="9:9" x14ac:dyDescent="0.2">
      <c r="I8667" s="137" t="s">
        <v>74</v>
      </c>
    </row>
    <row r="8668" spans="9:9" x14ac:dyDescent="0.2">
      <c r="I8668" s="137" t="s">
        <v>74</v>
      </c>
    </row>
    <row r="8669" spans="9:9" x14ac:dyDescent="0.2">
      <c r="I8669" s="137" t="s">
        <v>74</v>
      </c>
    </row>
    <row r="8670" spans="9:9" x14ac:dyDescent="0.2">
      <c r="I8670" s="137" t="s">
        <v>74</v>
      </c>
    </row>
    <row r="8671" spans="9:9" x14ac:dyDescent="0.2">
      <c r="I8671" s="137" t="s">
        <v>74</v>
      </c>
    </row>
    <row r="8672" spans="9:9" x14ac:dyDescent="0.2">
      <c r="I8672" s="137" t="s">
        <v>74</v>
      </c>
    </row>
    <row r="8673" spans="9:9" x14ac:dyDescent="0.2">
      <c r="I8673" s="137" t="s">
        <v>74</v>
      </c>
    </row>
    <row r="8674" spans="9:9" x14ac:dyDescent="0.2">
      <c r="I8674" s="137" t="s">
        <v>74</v>
      </c>
    </row>
    <row r="8675" spans="9:9" x14ac:dyDescent="0.2">
      <c r="I8675" s="137" t="s">
        <v>74</v>
      </c>
    </row>
    <row r="8676" spans="9:9" x14ac:dyDescent="0.2">
      <c r="I8676" s="137" t="s">
        <v>74</v>
      </c>
    </row>
    <row r="8677" spans="9:9" x14ac:dyDescent="0.2">
      <c r="I8677" s="137" t="s">
        <v>74</v>
      </c>
    </row>
    <row r="8678" spans="9:9" x14ac:dyDescent="0.2">
      <c r="I8678" s="137" t="s">
        <v>74</v>
      </c>
    </row>
    <row r="8679" spans="9:9" x14ac:dyDescent="0.2">
      <c r="I8679" s="137" t="s">
        <v>74</v>
      </c>
    </row>
    <row r="8680" spans="9:9" x14ac:dyDescent="0.2">
      <c r="I8680" s="137" t="s">
        <v>74</v>
      </c>
    </row>
    <row r="8681" spans="9:9" x14ac:dyDescent="0.2">
      <c r="I8681" s="137" t="s">
        <v>74</v>
      </c>
    </row>
    <row r="8682" spans="9:9" x14ac:dyDescent="0.2">
      <c r="I8682" s="137" t="s">
        <v>74</v>
      </c>
    </row>
    <row r="8683" spans="9:9" x14ac:dyDescent="0.2">
      <c r="I8683" s="137" t="s">
        <v>74</v>
      </c>
    </row>
    <row r="8684" spans="9:9" x14ac:dyDescent="0.2">
      <c r="I8684" s="137" t="s">
        <v>74</v>
      </c>
    </row>
    <row r="8685" spans="9:9" x14ac:dyDescent="0.2">
      <c r="I8685" s="137" t="s">
        <v>74</v>
      </c>
    </row>
    <row r="8686" spans="9:9" x14ac:dyDescent="0.2">
      <c r="I8686" s="137" t="s">
        <v>74</v>
      </c>
    </row>
    <row r="8687" spans="9:9" x14ac:dyDescent="0.2">
      <c r="I8687" s="137" t="s">
        <v>74</v>
      </c>
    </row>
    <row r="8688" spans="9:9" x14ac:dyDescent="0.2">
      <c r="I8688" s="137" t="s">
        <v>74</v>
      </c>
    </row>
    <row r="8689" spans="9:9" x14ac:dyDescent="0.2">
      <c r="I8689" s="137" t="s">
        <v>74</v>
      </c>
    </row>
    <row r="8690" spans="9:9" x14ac:dyDescent="0.2">
      <c r="I8690" s="137" t="s">
        <v>74</v>
      </c>
    </row>
    <row r="8691" spans="9:9" x14ac:dyDescent="0.2">
      <c r="I8691" s="137" t="s">
        <v>74</v>
      </c>
    </row>
    <row r="8692" spans="9:9" x14ac:dyDescent="0.2">
      <c r="I8692" s="137" t="s">
        <v>74</v>
      </c>
    </row>
    <row r="8693" spans="9:9" x14ac:dyDescent="0.2">
      <c r="I8693" s="137" t="s">
        <v>74</v>
      </c>
    </row>
    <row r="8694" spans="9:9" x14ac:dyDescent="0.2">
      <c r="I8694" s="137" t="s">
        <v>74</v>
      </c>
    </row>
    <row r="8695" spans="9:9" x14ac:dyDescent="0.2">
      <c r="I8695" s="137" t="s">
        <v>74</v>
      </c>
    </row>
    <row r="8696" spans="9:9" x14ac:dyDescent="0.2">
      <c r="I8696" s="137" t="s">
        <v>74</v>
      </c>
    </row>
    <row r="8697" spans="9:9" x14ac:dyDescent="0.2">
      <c r="I8697" s="137" t="s">
        <v>74</v>
      </c>
    </row>
    <row r="8698" spans="9:9" x14ac:dyDescent="0.2">
      <c r="I8698" s="137" t="s">
        <v>74</v>
      </c>
    </row>
    <row r="8699" spans="9:9" x14ac:dyDescent="0.2">
      <c r="I8699" s="137" t="s">
        <v>74</v>
      </c>
    </row>
    <row r="8700" spans="9:9" x14ac:dyDescent="0.2">
      <c r="I8700" s="137" t="s">
        <v>74</v>
      </c>
    </row>
    <row r="8701" spans="9:9" x14ac:dyDescent="0.2">
      <c r="I8701" s="137" t="s">
        <v>74</v>
      </c>
    </row>
    <row r="8702" spans="9:9" x14ac:dyDescent="0.2">
      <c r="I8702" s="137" t="s">
        <v>74</v>
      </c>
    </row>
    <row r="8703" spans="9:9" x14ac:dyDescent="0.2">
      <c r="I8703" s="137" t="s">
        <v>74</v>
      </c>
    </row>
    <row r="8704" spans="9:9" x14ac:dyDescent="0.2">
      <c r="I8704" s="137" t="s">
        <v>74</v>
      </c>
    </row>
    <row r="8705" spans="9:9" x14ac:dyDescent="0.2">
      <c r="I8705" s="137" t="s">
        <v>74</v>
      </c>
    </row>
    <row r="8706" spans="9:9" x14ac:dyDescent="0.2">
      <c r="I8706" s="137" t="s">
        <v>74</v>
      </c>
    </row>
    <row r="8707" spans="9:9" x14ac:dyDescent="0.2">
      <c r="I8707" s="137" t="s">
        <v>74</v>
      </c>
    </row>
    <row r="8708" spans="9:9" x14ac:dyDescent="0.2">
      <c r="I8708" s="137" t="s">
        <v>74</v>
      </c>
    </row>
    <row r="8709" spans="9:9" x14ac:dyDescent="0.2">
      <c r="I8709" s="137" t="s">
        <v>74</v>
      </c>
    </row>
    <row r="8710" spans="9:9" x14ac:dyDescent="0.2">
      <c r="I8710" s="137" t="s">
        <v>74</v>
      </c>
    </row>
    <row r="8711" spans="9:9" x14ac:dyDescent="0.2">
      <c r="I8711" s="137" t="s">
        <v>74</v>
      </c>
    </row>
    <row r="8712" spans="9:9" x14ac:dyDescent="0.2">
      <c r="I8712" s="137" t="s">
        <v>74</v>
      </c>
    </row>
    <row r="8713" spans="9:9" x14ac:dyDescent="0.2">
      <c r="I8713" s="137" t="s">
        <v>74</v>
      </c>
    </row>
    <row r="8714" spans="9:9" x14ac:dyDescent="0.2">
      <c r="I8714" s="137" t="s">
        <v>74</v>
      </c>
    </row>
    <row r="8715" spans="9:9" x14ac:dyDescent="0.2">
      <c r="I8715" s="137" t="s">
        <v>74</v>
      </c>
    </row>
    <row r="8716" spans="9:9" x14ac:dyDescent="0.2">
      <c r="I8716" s="137" t="s">
        <v>74</v>
      </c>
    </row>
    <row r="8717" spans="9:9" x14ac:dyDescent="0.2">
      <c r="I8717" s="137" t="s">
        <v>74</v>
      </c>
    </row>
    <row r="8718" spans="9:9" x14ac:dyDescent="0.2">
      <c r="I8718" s="137" t="s">
        <v>74</v>
      </c>
    </row>
    <row r="8719" spans="9:9" x14ac:dyDescent="0.2">
      <c r="I8719" s="137" t="s">
        <v>74</v>
      </c>
    </row>
    <row r="8720" spans="9:9" x14ac:dyDescent="0.2">
      <c r="I8720" s="137" t="s">
        <v>74</v>
      </c>
    </row>
    <row r="8721" spans="9:9" x14ac:dyDescent="0.2">
      <c r="I8721" s="137" t="s">
        <v>74</v>
      </c>
    </row>
    <row r="8722" spans="9:9" x14ac:dyDescent="0.2">
      <c r="I8722" s="137" t="s">
        <v>74</v>
      </c>
    </row>
    <row r="8723" spans="9:9" x14ac:dyDescent="0.2">
      <c r="I8723" s="137" t="s">
        <v>74</v>
      </c>
    </row>
    <row r="8724" spans="9:9" x14ac:dyDescent="0.2">
      <c r="I8724" s="137" t="s">
        <v>74</v>
      </c>
    </row>
    <row r="8725" spans="9:9" x14ac:dyDescent="0.2">
      <c r="I8725" s="137" t="s">
        <v>74</v>
      </c>
    </row>
    <row r="8726" spans="9:9" x14ac:dyDescent="0.2">
      <c r="I8726" s="137" t="s">
        <v>74</v>
      </c>
    </row>
    <row r="8727" spans="9:9" x14ac:dyDescent="0.2">
      <c r="I8727" s="137" t="s">
        <v>74</v>
      </c>
    </row>
    <row r="8728" spans="9:9" x14ac:dyDescent="0.2">
      <c r="I8728" s="137" t="s">
        <v>74</v>
      </c>
    </row>
    <row r="8729" spans="9:9" x14ac:dyDescent="0.2">
      <c r="I8729" s="137" t="s">
        <v>74</v>
      </c>
    </row>
    <row r="8730" spans="9:9" x14ac:dyDescent="0.2">
      <c r="I8730" s="137" t="s">
        <v>74</v>
      </c>
    </row>
    <row r="8731" spans="9:9" x14ac:dyDescent="0.2">
      <c r="I8731" s="137" t="s">
        <v>74</v>
      </c>
    </row>
    <row r="8732" spans="9:9" x14ac:dyDescent="0.2">
      <c r="I8732" s="137" t="s">
        <v>74</v>
      </c>
    </row>
    <row r="8733" spans="9:9" x14ac:dyDescent="0.2">
      <c r="I8733" s="137" t="s">
        <v>74</v>
      </c>
    </row>
    <row r="8734" spans="9:9" x14ac:dyDescent="0.2">
      <c r="I8734" s="137" t="s">
        <v>74</v>
      </c>
    </row>
    <row r="8735" spans="9:9" x14ac:dyDescent="0.2">
      <c r="I8735" s="137" t="s">
        <v>74</v>
      </c>
    </row>
    <row r="8736" spans="9:9" x14ac:dyDescent="0.2">
      <c r="I8736" s="137" t="s">
        <v>74</v>
      </c>
    </row>
    <row r="8737" spans="9:9" x14ac:dyDescent="0.2">
      <c r="I8737" s="137" t="s">
        <v>74</v>
      </c>
    </row>
    <row r="8738" spans="9:9" x14ac:dyDescent="0.2">
      <c r="I8738" s="137" t="s">
        <v>74</v>
      </c>
    </row>
    <row r="8739" spans="9:9" x14ac:dyDescent="0.2">
      <c r="I8739" s="137" t="s">
        <v>74</v>
      </c>
    </row>
    <row r="8740" spans="9:9" x14ac:dyDescent="0.2">
      <c r="I8740" s="137" t="s">
        <v>74</v>
      </c>
    </row>
    <row r="8741" spans="9:9" x14ac:dyDescent="0.2">
      <c r="I8741" s="137" t="s">
        <v>74</v>
      </c>
    </row>
    <row r="8742" spans="9:9" x14ac:dyDescent="0.2">
      <c r="I8742" s="137" t="s">
        <v>74</v>
      </c>
    </row>
    <row r="8743" spans="9:9" x14ac:dyDescent="0.2">
      <c r="I8743" s="137" t="s">
        <v>74</v>
      </c>
    </row>
    <row r="8744" spans="9:9" x14ac:dyDescent="0.2">
      <c r="I8744" s="137" t="s">
        <v>74</v>
      </c>
    </row>
    <row r="8745" spans="9:9" x14ac:dyDescent="0.2">
      <c r="I8745" s="137" t="s">
        <v>74</v>
      </c>
    </row>
    <row r="8746" spans="9:9" x14ac:dyDescent="0.2">
      <c r="I8746" s="137" t="s">
        <v>74</v>
      </c>
    </row>
    <row r="8747" spans="9:9" x14ac:dyDescent="0.2">
      <c r="I8747" s="137" t="s">
        <v>74</v>
      </c>
    </row>
    <row r="8748" spans="9:9" x14ac:dyDescent="0.2">
      <c r="I8748" s="137" t="s">
        <v>74</v>
      </c>
    </row>
    <row r="8749" spans="9:9" x14ac:dyDescent="0.2">
      <c r="I8749" s="137" t="s">
        <v>74</v>
      </c>
    </row>
    <row r="8750" spans="9:9" x14ac:dyDescent="0.2">
      <c r="I8750" s="137" t="s">
        <v>74</v>
      </c>
    </row>
    <row r="8751" spans="9:9" x14ac:dyDescent="0.2">
      <c r="I8751" s="137" t="s">
        <v>74</v>
      </c>
    </row>
    <row r="8752" spans="9:9" x14ac:dyDescent="0.2">
      <c r="I8752" s="137" t="s">
        <v>74</v>
      </c>
    </row>
    <row r="8753" spans="9:9" x14ac:dyDescent="0.2">
      <c r="I8753" s="137" t="s">
        <v>74</v>
      </c>
    </row>
    <row r="8754" spans="9:9" x14ac:dyDescent="0.2">
      <c r="I8754" s="137" t="s">
        <v>74</v>
      </c>
    </row>
    <row r="8755" spans="9:9" x14ac:dyDescent="0.2">
      <c r="I8755" s="137" t="s">
        <v>74</v>
      </c>
    </row>
    <row r="8756" spans="9:9" x14ac:dyDescent="0.2">
      <c r="I8756" s="137" t="s">
        <v>74</v>
      </c>
    </row>
    <row r="8757" spans="9:9" x14ac:dyDescent="0.2">
      <c r="I8757" s="137" t="s">
        <v>74</v>
      </c>
    </row>
    <row r="8758" spans="9:9" x14ac:dyDescent="0.2">
      <c r="I8758" s="137" t="s">
        <v>74</v>
      </c>
    </row>
    <row r="8759" spans="9:9" x14ac:dyDescent="0.2">
      <c r="I8759" s="137" t="s">
        <v>74</v>
      </c>
    </row>
    <row r="8760" spans="9:9" x14ac:dyDescent="0.2">
      <c r="I8760" s="137" t="s">
        <v>74</v>
      </c>
    </row>
    <row r="8761" spans="9:9" x14ac:dyDescent="0.2">
      <c r="I8761" s="137" t="s">
        <v>74</v>
      </c>
    </row>
    <row r="8762" spans="9:9" x14ac:dyDescent="0.2">
      <c r="I8762" s="137" t="s">
        <v>74</v>
      </c>
    </row>
    <row r="8763" spans="9:9" x14ac:dyDescent="0.2">
      <c r="I8763" s="137" t="s">
        <v>74</v>
      </c>
    </row>
    <row r="8764" spans="9:9" x14ac:dyDescent="0.2">
      <c r="I8764" s="137" t="s">
        <v>74</v>
      </c>
    </row>
    <row r="8765" spans="9:9" x14ac:dyDescent="0.2">
      <c r="I8765" s="137" t="s">
        <v>74</v>
      </c>
    </row>
    <row r="8766" spans="9:9" x14ac:dyDescent="0.2">
      <c r="I8766" s="137" t="s">
        <v>74</v>
      </c>
    </row>
    <row r="8767" spans="9:9" x14ac:dyDescent="0.2">
      <c r="I8767" s="137" t="s">
        <v>74</v>
      </c>
    </row>
    <row r="8768" spans="9:9" x14ac:dyDescent="0.2">
      <c r="I8768" s="137" t="s">
        <v>74</v>
      </c>
    </row>
    <row r="8769" spans="9:9" x14ac:dyDescent="0.2">
      <c r="I8769" s="137" t="s">
        <v>74</v>
      </c>
    </row>
    <row r="8770" spans="9:9" x14ac:dyDescent="0.2">
      <c r="I8770" s="137" t="s">
        <v>74</v>
      </c>
    </row>
    <row r="8771" spans="9:9" x14ac:dyDescent="0.2">
      <c r="I8771" s="137" t="s">
        <v>74</v>
      </c>
    </row>
    <row r="8772" spans="9:9" x14ac:dyDescent="0.2">
      <c r="I8772" s="137" t="s">
        <v>74</v>
      </c>
    </row>
    <row r="8773" spans="9:9" x14ac:dyDescent="0.2">
      <c r="I8773" s="137" t="s">
        <v>74</v>
      </c>
    </row>
    <row r="8774" spans="9:9" x14ac:dyDescent="0.2">
      <c r="I8774" s="137" t="s">
        <v>74</v>
      </c>
    </row>
    <row r="8775" spans="9:9" x14ac:dyDescent="0.2">
      <c r="I8775" s="137" t="s">
        <v>74</v>
      </c>
    </row>
    <row r="8776" spans="9:9" x14ac:dyDescent="0.2">
      <c r="I8776" s="137" t="s">
        <v>74</v>
      </c>
    </row>
    <row r="8777" spans="9:9" x14ac:dyDescent="0.2">
      <c r="I8777" s="137" t="s">
        <v>74</v>
      </c>
    </row>
    <row r="8778" spans="9:9" x14ac:dyDescent="0.2">
      <c r="I8778" s="137" t="s">
        <v>74</v>
      </c>
    </row>
    <row r="8779" spans="9:9" x14ac:dyDescent="0.2">
      <c r="I8779" s="137" t="s">
        <v>74</v>
      </c>
    </row>
    <row r="8780" spans="9:9" x14ac:dyDescent="0.2">
      <c r="I8780" s="137" t="s">
        <v>74</v>
      </c>
    </row>
    <row r="8781" spans="9:9" x14ac:dyDescent="0.2">
      <c r="I8781" s="137" t="s">
        <v>74</v>
      </c>
    </row>
    <row r="8782" spans="9:9" x14ac:dyDescent="0.2">
      <c r="I8782" s="137" t="s">
        <v>74</v>
      </c>
    </row>
    <row r="8783" spans="9:9" x14ac:dyDescent="0.2">
      <c r="I8783" s="137" t="s">
        <v>74</v>
      </c>
    </row>
    <row r="8784" spans="9:9" x14ac:dyDescent="0.2">
      <c r="I8784" s="137" t="s">
        <v>74</v>
      </c>
    </row>
    <row r="8785" spans="9:9" x14ac:dyDescent="0.2">
      <c r="I8785" s="137" t="s">
        <v>74</v>
      </c>
    </row>
    <row r="8786" spans="9:9" x14ac:dyDescent="0.2">
      <c r="I8786" s="137" t="s">
        <v>74</v>
      </c>
    </row>
    <row r="8787" spans="9:9" x14ac:dyDescent="0.2">
      <c r="I8787" s="137" t="s">
        <v>74</v>
      </c>
    </row>
    <row r="8788" spans="9:9" x14ac:dyDescent="0.2">
      <c r="I8788" s="137" t="s">
        <v>74</v>
      </c>
    </row>
    <row r="8789" spans="9:9" x14ac:dyDescent="0.2">
      <c r="I8789" s="137" t="s">
        <v>74</v>
      </c>
    </row>
    <row r="8790" spans="9:9" x14ac:dyDescent="0.2">
      <c r="I8790" s="137" t="s">
        <v>74</v>
      </c>
    </row>
    <row r="8791" spans="9:9" x14ac:dyDescent="0.2">
      <c r="I8791" s="137" t="s">
        <v>74</v>
      </c>
    </row>
    <row r="8792" spans="9:9" x14ac:dyDescent="0.2">
      <c r="I8792" s="137" t="s">
        <v>74</v>
      </c>
    </row>
    <row r="8793" spans="9:9" x14ac:dyDescent="0.2">
      <c r="I8793" s="137" t="s">
        <v>74</v>
      </c>
    </row>
    <row r="8794" spans="9:9" x14ac:dyDescent="0.2">
      <c r="I8794" s="137" t="s">
        <v>74</v>
      </c>
    </row>
    <row r="8795" spans="9:9" x14ac:dyDescent="0.2">
      <c r="I8795" s="137" t="s">
        <v>74</v>
      </c>
    </row>
    <row r="8796" spans="9:9" x14ac:dyDescent="0.2">
      <c r="I8796" s="137" t="s">
        <v>74</v>
      </c>
    </row>
    <row r="8797" spans="9:9" x14ac:dyDescent="0.2">
      <c r="I8797" s="137" t="s">
        <v>74</v>
      </c>
    </row>
    <row r="8798" spans="9:9" x14ac:dyDescent="0.2">
      <c r="I8798" s="137" t="s">
        <v>74</v>
      </c>
    </row>
    <row r="8799" spans="9:9" x14ac:dyDescent="0.2">
      <c r="I8799" s="137" t="s">
        <v>74</v>
      </c>
    </row>
    <row r="8800" spans="9:9" x14ac:dyDescent="0.2">
      <c r="I8800" s="137" t="s">
        <v>74</v>
      </c>
    </row>
    <row r="8801" spans="9:9" x14ac:dyDescent="0.2">
      <c r="I8801" s="137" t="s">
        <v>74</v>
      </c>
    </row>
    <row r="8802" spans="9:9" x14ac:dyDescent="0.2">
      <c r="I8802" s="137" t="s">
        <v>74</v>
      </c>
    </row>
    <row r="8803" spans="9:9" x14ac:dyDescent="0.2">
      <c r="I8803" s="137" t="s">
        <v>74</v>
      </c>
    </row>
    <row r="8804" spans="9:9" x14ac:dyDescent="0.2">
      <c r="I8804" s="137" t="s">
        <v>74</v>
      </c>
    </row>
    <row r="8805" spans="9:9" x14ac:dyDescent="0.2">
      <c r="I8805" s="137" t="s">
        <v>74</v>
      </c>
    </row>
    <row r="8806" spans="9:9" x14ac:dyDescent="0.2">
      <c r="I8806" s="137" t="s">
        <v>74</v>
      </c>
    </row>
    <row r="8807" spans="9:9" x14ac:dyDescent="0.2">
      <c r="I8807" s="137" t="s">
        <v>74</v>
      </c>
    </row>
    <row r="8808" spans="9:9" x14ac:dyDescent="0.2">
      <c r="I8808" s="137" t="s">
        <v>74</v>
      </c>
    </row>
    <row r="8809" spans="9:9" x14ac:dyDescent="0.2">
      <c r="I8809" s="137" t="s">
        <v>74</v>
      </c>
    </row>
    <row r="8810" spans="9:9" x14ac:dyDescent="0.2">
      <c r="I8810" s="137" t="s">
        <v>74</v>
      </c>
    </row>
    <row r="8811" spans="9:9" x14ac:dyDescent="0.2">
      <c r="I8811" s="137" t="s">
        <v>74</v>
      </c>
    </row>
    <row r="8812" spans="9:9" x14ac:dyDescent="0.2">
      <c r="I8812" s="137" t="s">
        <v>74</v>
      </c>
    </row>
    <row r="8813" spans="9:9" x14ac:dyDescent="0.2">
      <c r="I8813" s="137" t="s">
        <v>74</v>
      </c>
    </row>
    <row r="8814" spans="9:9" x14ac:dyDescent="0.2">
      <c r="I8814" s="137" t="s">
        <v>74</v>
      </c>
    </row>
    <row r="8815" spans="9:9" x14ac:dyDescent="0.2">
      <c r="I8815" s="137" t="s">
        <v>74</v>
      </c>
    </row>
    <row r="8816" spans="9:9" x14ac:dyDescent="0.2">
      <c r="I8816" s="137" t="s">
        <v>74</v>
      </c>
    </row>
    <row r="8817" spans="9:9" x14ac:dyDescent="0.2">
      <c r="I8817" s="137" t="s">
        <v>74</v>
      </c>
    </row>
    <row r="8818" spans="9:9" x14ac:dyDescent="0.2">
      <c r="I8818" s="137" t="s">
        <v>74</v>
      </c>
    </row>
    <row r="8819" spans="9:9" x14ac:dyDescent="0.2">
      <c r="I8819" s="137" t="s">
        <v>74</v>
      </c>
    </row>
    <row r="8820" spans="9:9" x14ac:dyDescent="0.2">
      <c r="I8820" s="137" t="s">
        <v>74</v>
      </c>
    </row>
    <row r="8821" spans="9:9" x14ac:dyDescent="0.2">
      <c r="I8821" s="137" t="s">
        <v>74</v>
      </c>
    </row>
    <row r="8822" spans="9:9" x14ac:dyDescent="0.2">
      <c r="I8822" s="137" t="s">
        <v>74</v>
      </c>
    </row>
    <row r="8823" spans="9:9" x14ac:dyDescent="0.2">
      <c r="I8823" s="137" t="s">
        <v>74</v>
      </c>
    </row>
    <row r="8824" spans="9:9" x14ac:dyDescent="0.2">
      <c r="I8824" s="137" t="s">
        <v>74</v>
      </c>
    </row>
    <row r="8825" spans="9:9" x14ac:dyDescent="0.2">
      <c r="I8825" s="137" t="s">
        <v>74</v>
      </c>
    </row>
    <row r="8826" spans="9:9" x14ac:dyDescent="0.2">
      <c r="I8826" s="137" t="s">
        <v>74</v>
      </c>
    </row>
    <row r="8827" spans="9:9" x14ac:dyDescent="0.2">
      <c r="I8827" s="137" t="s">
        <v>74</v>
      </c>
    </row>
    <row r="8828" spans="9:9" x14ac:dyDescent="0.2">
      <c r="I8828" s="137" t="s">
        <v>74</v>
      </c>
    </row>
    <row r="8829" spans="9:9" x14ac:dyDescent="0.2">
      <c r="I8829" s="137" t="s">
        <v>74</v>
      </c>
    </row>
    <row r="8830" spans="9:9" x14ac:dyDescent="0.2">
      <c r="I8830" s="137" t="s">
        <v>74</v>
      </c>
    </row>
    <row r="8831" spans="9:9" x14ac:dyDescent="0.2">
      <c r="I8831" s="137" t="s">
        <v>74</v>
      </c>
    </row>
    <row r="8832" spans="9:9" x14ac:dyDescent="0.2">
      <c r="I8832" s="137" t="s">
        <v>74</v>
      </c>
    </row>
    <row r="8833" spans="9:9" x14ac:dyDescent="0.2">
      <c r="I8833" s="137" t="s">
        <v>74</v>
      </c>
    </row>
    <row r="8834" spans="9:9" x14ac:dyDescent="0.2">
      <c r="I8834" s="137" t="s">
        <v>74</v>
      </c>
    </row>
    <row r="8835" spans="9:9" x14ac:dyDescent="0.2">
      <c r="I8835" s="137" t="s">
        <v>74</v>
      </c>
    </row>
    <row r="8836" spans="9:9" x14ac:dyDescent="0.2">
      <c r="I8836" s="137" t="s">
        <v>74</v>
      </c>
    </row>
    <row r="8837" spans="9:9" x14ac:dyDescent="0.2">
      <c r="I8837" s="137" t="s">
        <v>74</v>
      </c>
    </row>
    <row r="8838" spans="9:9" x14ac:dyDescent="0.2">
      <c r="I8838" s="137" t="s">
        <v>74</v>
      </c>
    </row>
    <row r="8839" spans="9:9" x14ac:dyDescent="0.2">
      <c r="I8839" s="137" t="s">
        <v>74</v>
      </c>
    </row>
    <row r="8840" spans="9:9" x14ac:dyDescent="0.2">
      <c r="I8840" s="137" t="s">
        <v>74</v>
      </c>
    </row>
    <row r="8841" spans="9:9" x14ac:dyDescent="0.2">
      <c r="I8841" s="137" t="s">
        <v>74</v>
      </c>
    </row>
    <row r="8842" spans="9:9" x14ac:dyDescent="0.2">
      <c r="I8842" s="137" t="s">
        <v>74</v>
      </c>
    </row>
    <row r="8843" spans="9:9" x14ac:dyDescent="0.2">
      <c r="I8843" s="137" t="s">
        <v>74</v>
      </c>
    </row>
    <row r="8844" spans="9:9" x14ac:dyDescent="0.2">
      <c r="I8844" s="137" t="s">
        <v>74</v>
      </c>
    </row>
    <row r="8845" spans="9:9" x14ac:dyDescent="0.2">
      <c r="I8845" s="137" t="s">
        <v>74</v>
      </c>
    </row>
    <row r="8846" spans="9:9" x14ac:dyDescent="0.2">
      <c r="I8846" s="137" t="s">
        <v>74</v>
      </c>
    </row>
    <row r="8847" spans="9:9" x14ac:dyDescent="0.2">
      <c r="I8847" s="137" t="s">
        <v>74</v>
      </c>
    </row>
    <row r="8848" spans="9:9" x14ac:dyDescent="0.2">
      <c r="I8848" s="137" t="s">
        <v>74</v>
      </c>
    </row>
    <row r="8849" spans="9:9" x14ac:dyDescent="0.2">
      <c r="I8849" s="137" t="s">
        <v>74</v>
      </c>
    </row>
    <row r="8850" spans="9:9" x14ac:dyDescent="0.2">
      <c r="I8850" s="137" t="s">
        <v>74</v>
      </c>
    </row>
    <row r="8851" spans="9:9" x14ac:dyDescent="0.2">
      <c r="I8851" s="137" t="s">
        <v>74</v>
      </c>
    </row>
    <row r="8852" spans="9:9" x14ac:dyDescent="0.2">
      <c r="I8852" s="137" t="s">
        <v>74</v>
      </c>
    </row>
    <row r="8853" spans="9:9" x14ac:dyDescent="0.2">
      <c r="I8853" s="137" t="s">
        <v>74</v>
      </c>
    </row>
    <row r="8854" spans="9:9" x14ac:dyDescent="0.2">
      <c r="I8854" s="137" t="s">
        <v>74</v>
      </c>
    </row>
    <row r="8855" spans="9:9" x14ac:dyDescent="0.2">
      <c r="I8855" s="137" t="s">
        <v>74</v>
      </c>
    </row>
    <row r="8856" spans="9:9" x14ac:dyDescent="0.2">
      <c r="I8856" s="137" t="s">
        <v>74</v>
      </c>
    </row>
    <row r="8857" spans="9:9" x14ac:dyDescent="0.2">
      <c r="I8857" s="137" t="s">
        <v>74</v>
      </c>
    </row>
    <row r="8858" spans="9:9" x14ac:dyDescent="0.2">
      <c r="I8858" s="137" t="s">
        <v>74</v>
      </c>
    </row>
    <row r="8859" spans="9:9" x14ac:dyDescent="0.2">
      <c r="I8859" s="137" t="s">
        <v>74</v>
      </c>
    </row>
    <row r="8860" spans="9:9" x14ac:dyDescent="0.2">
      <c r="I8860" s="137" t="s">
        <v>74</v>
      </c>
    </row>
    <row r="8861" spans="9:9" x14ac:dyDescent="0.2">
      <c r="I8861" s="137" t="s">
        <v>74</v>
      </c>
    </row>
    <row r="8862" spans="9:9" x14ac:dyDescent="0.2">
      <c r="I8862" s="137" t="s">
        <v>74</v>
      </c>
    </row>
    <row r="8863" spans="9:9" x14ac:dyDescent="0.2">
      <c r="I8863" s="137" t="s">
        <v>74</v>
      </c>
    </row>
    <row r="8864" spans="9:9" x14ac:dyDescent="0.2">
      <c r="I8864" s="137" t="s">
        <v>74</v>
      </c>
    </row>
    <row r="8865" spans="9:9" x14ac:dyDescent="0.2">
      <c r="I8865" s="137" t="s">
        <v>74</v>
      </c>
    </row>
    <row r="8866" spans="9:9" x14ac:dyDescent="0.2">
      <c r="I8866" s="137" t="s">
        <v>74</v>
      </c>
    </row>
    <row r="8867" spans="9:9" x14ac:dyDescent="0.2">
      <c r="I8867" s="137" t="s">
        <v>74</v>
      </c>
    </row>
    <row r="8868" spans="9:9" x14ac:dyDescent="0.2">
      <c r="I8868" s="137" t="s">
        <v>74</v>
      </c>
    </row>
    <row r="8869" spans="9:9" x14ac:dyDescent="0.2">
      <c r="I8869" s="137" t="s">
        <v>74</v>
      </c>
    </row>
    <row r="8870" spans="9:9" x14ac:dyDescent="0.2">
      <c r="I8870" s="137" t="s">
        <v>74</v>
      </c>
    </row>
    <row r="8871" spans="9:9" x14ac:dyDescent="0.2">
      <c r="I8871" s="137" t="s">
        <v>74</v>
      </c>
    </row>
    <row r="8872" spans="9:9" x14ac:dyDescent="0.2">
      <c r="I8872" s="137" t="s">
        <v>74</v>
      </c>
    </row>
    <row r="8873" spans="9:9" x14ac:dyDescent="0.2">
      <c r="I8873" s="137" t="s">
        <v>74</v>
      </c>
    </row>
    <row r="8874" spans="9:9" x14ac:dyDescent="0.2">
      <c r="I8874" s="137" t="s">
        <v>74</v>
      </c>
    </row>
    <row r="8875" spans="9:9" x14ac:dyDescent="0.2">
      <c r="I8875" s="137" t="s">
        <v>74</v>
      </c>
    </row>
    <row r="8876" spans="9:9" x14ac:dyDescent="0.2">
      <c r="I8876" s="137" t="s">
        <v>74</v>
      </c>
    </row>
    <row r="8877" spans="9:9" x14ac:dyDescent="0.2">
      <c r="I8877" s="137" t="s">
        <v>74</v>
      </c>
    </row>
    <row r="8878" spans="9:9" x14ac:dyDescent="0.2">
      <c r="I8878" s="137" t="s">
        <v>74</v>
      </c>
    </row>
    <row r="8879" spans="9:9" x14ac:dyDescent="0.2">
      <c r="I8879" s="137" t="s">
        <v>74</v>
      </c>
    </row>
    <row r="8880" spans="9:9" x14ac:dyDescent="0.2">
      <c r="I8880" s="137" t="s">
        <v>74</v>
      </c>
    </row>
    <row r="8881" spans="9:9" x14ac:dyDescent="0.2">
      <c r="I8881" s="137" t="s">
        <v>74</v>
      </c>
    </row>
    <row r="8882" spans="9:9" x14ac:dyDescent="0.2">
      <c r="I8882" s="137" t="s">
        <v>74</v>
      </c>
    </row>
    <row r="8883" spans="9:9" x14ac:dyDescent="0.2">
      <c r="I8883" s="137" t="s">
        <v>74</v>
      </c>
    </row>
    <row r="8884" spans="9:9" x14ac:dyDescent="0.2">
      <c r="I8884" s="137" t="s">
        <v>74</v>
      </c>
    </row>
    <row r="8885" spans="9:9" x14ac:dyDescent="0.2">
      <c r="I8885" s="137" t="s">
        <v>74</v>
      </c>
    </row>
    <row r="8886" spans="9:9" x14ac:dyDescent="0.2">
      <c r="I8886" s="137" t="s">
        <v>74</v>
      </c>
    </row>
    <row r="8887" spans="9:9" x14ac:dyDescent="0.2">
      <c r="I8887" s="137" t="s">
        <v>74</v>
      </c>
    </row>
    <row r="8888" spans="9:9" x14ac:dyDescent="0.2">
      <c r="I8888" s="137" t="s">
        <v>74</v>
      </c>
    </row>
    <row r="8889" spans="9:9" x14ac:dyDescent="0.2">
      <c r="I8889" s="137" t="s">
        <v>74</v>
      </c>
    </row>
    <row r="8890" spans="9:9" x14ac:dyDescent="0.2">
      <c r="I8890" s="137" t="s">
        <v>74</v>
      </c>
    </row>
    <row r="8891" spans="9:9" x14ac:dyDescent="0.2">
      <c r="I8891" s="137" t="s">
        <v>74</v>
      </c>
    </row>
    <row r="8892" spans="9:9" x14ac:dyDescent="0.2">
      <c r="I8892" s="137" t="s">
        <v>74</v>
      </c>
    </row>
    <row r="8893" spans="9:9" x14ac:dyDescent="0.2">
      <c r="I8893" s="137" t="s">
        <v>74</v>
      </c>
    </row>
    <row r="8894" spans="9:9" x14ac:dyDescent="0.2">
      <c r="I8894" s="137" t="s">
        <v>74</v>
      </c>
    </row>
    <row r="8895" spans="9:9" x14ac:dyDescent="0.2">
      <c r="I8895" s="137" t="s">
        <v>74</v>
      </c>
    </row>
    <row r="8896" spans="9:9" x14ac:dyDescent="0.2">
      <c r="I8896" s="137" t="s">
        <v>74</v>
      </c>
    </row>
    <row r="8897" spans="9:9" x14ac:dyDescent="0.2">
      <c r="I8897" s="137" t="s">
        <v>74</v>
      </c>
    </row>
    <row r="8898" spans="9:9" x14ac:dyDescent="0.2">
      <c r="I8898" s="137" t="s">
        <v>74</v>
      </c>
    </row>
    <row r="8899" spans="9:9" x14ac:dyDescent="0.2">
      <c r="I8899" s="137" t="s">
        <v>74</v>
      </c>
    </row>
    <row r="8900" spans="9:9" x14ac:dyDescent="0.2">
      <c r="I8900" s="137" t="s">
        <v>74</v>
      </c>
    </row>
    <row r="8901" spans="9:9" x14ac:dyDescent="0.2">
      <c r="I8901" s="137" t="s">
        <v>74</v>
      </c>
    </row>
    <row r="8902" spans="9:9" x14ac:dyDescent="0.2">
      <c r="I8902" s="137" t="s">
        <v>74</v>
      </c>
    </row>
    <row r="8903" spans="9:9" x14ac:dyDescent="0.2">
      <c r="I8903" s="137" t="s">
        <v>74</v>
      </c>
    </row>
    <row r="8904" spans="9:9" x14ac:dyDescent="0.2">
      <c r="I8904" s="137" t="s">
        <v>74</v>
      </c>
    </row>
    <row r="8905" spans="9:9" x14ac:dyDescent="0.2">
      <c r="I8905" s="137" t="s">
        <v>74</v>
      </c>
    </row>
    <row r="8906" spans="9:9" x14ac:dyDescent="0.2">
      <c r="I8906" s="137" t="s">
        <v>74</v>
      </c>
    </row>
    <row r="8907" spans="9:9" x14ac:dyDescent="0.2">
      <c r="I8907" s="137" t="s">
        <v>74</v>
      </c>
    </row>
    <row r="8908" spans="9:9" x14ac:dyDescent="0.2">
      <c r="I8908" s="137" t="s">
        <v>74</v>
      </c>
    </row>
    <row r="8909" spans="9:9" x14ac:dyDescent="0.2">
      <c r="I8909" s="137" t="s">
        <v>74</v>
      </c>
    </row>
    <row r="8910" spans="9:9" x14ac:dyDescent="0.2">
      <c r="I8910" s="137" t="s">
        <v>74</v>
      </c>
    </row>
    <row r="8911" spans="9:9" x14ac:dyDescent="0.2">
      <c r="I8911" s="137" t="s">
        <v>74</v>
      </c>
    </row>
    <row r="8912" spans="9:9" x14ac:dyDescent="0.2">
      <c r="I8912" s="137" t="s">
        <v>74</v>
      </c>
    </row>
    <row r="8913" spans="9:9" x14ac:dyDescent="0.2">
      <c r="I8913" s="137" t="s">
        <v>74</v>
      </c>
    </row>
    <row r="8914" spans="9:9" x14ac:dyDescent="0.2">
      <c r="I8914" s="137" t="s">
        <v>74</v>
      </c>
    </row>
    <row r="8915" spans="9:9" x14ac:dyDescent="0.2">
      <c r="I8915" s="137" t="s">
        <v>74</v>
      </c>
    </row>
    <row r="8916" spans="9:9" x14ac:dyDescent="0.2">
      <c r="I8916" s="137" t="s">
        <v>74</v>
      </c>
    </row>
    <row r="8917" spans="9:9" x14ac:dyDescent="0.2">
      <c r="I8917" s="137" t="s">
        <v>74</v>
      </c>
    </row>
    <row r="8918" spans="9:9" x14ac:dyDescent="0.2">
      <c r="I8918" s="137" t="s">
        <v>74</v>
      </c>
    </row>
    <row r="8919" spans="9:9" x14ac:dyDescent="0.2">
      <c r="I8919" s="137" t="s">
        <v>74</v>
      </c>
    </row>
    <row r="8920" spans="9:9" x14ac:dyDescent="0.2">
      <c r="I8920" s="137" t="s">
        <v>74</v>
      </c>
    </row>
    <row r="8921" spans="9:9" x14ac:dyDescent="0.2">
      <c r="I8921" s="137" t="s">
        <v>74</v>
      </c>
    </row>
    <row r="8922" spans="9:9" x14ac:dyDescent="0.2">
      <c r="I8922" s="137" t="s">
        <v>74</v>
      </c>
    </row>
    <row r="8923" spans="9:9" x14ac:dyDescent="0.2">
      <c r="I8923" s="137" t="s">
        <v>74</v>
      </c>
    </row>
    <row r="8924" spans="9:9" x14ac:dyDescent="0.2">
      <c r="I8924" s="137" t="s">
        <v>74</v>
      </c>
    </row>
    <row r="8925" spans="9:9" x14ac:dyDescent="0.2">
      <c r="I8925" s="137" t="s">
        <v>74</v>
      </c>
    </row>
    <row r="8926" spans="9:9" x14ac:dyDescent="0.2">
      <c r="I8926" s="137" t="s">
        <v>74</v>
      </c>
    </row>
    <row r="8927" spans="9:9" x14ac:dyDescent="0.2">
      <c r="I8927" s="137" t="s">
        <v>74</v>
      </c>
    </row>
    <row r="8928" spans="9:9" x14ac:dyDescent="0.2">
      <c r="I8928" s="137" t="s">
        <v>74</v>
      </c>
    </row>
    <row r="8929" spans="9:9" x14ac:dyDescent="0.2">
      <c r="I8929" s="137" t="s">
        <v>74</v>
      </c>
    </row>
    <row r="8930" spans="9:9" x14ac:dyDescent="0.2">
      <c r="I8930" s="137" t="s">
        <v>74</v>
      </c>
    </row>
    <row r="8931" spans="9:9" x14ac:dyDescent="0.2">
      <c r="I8931" s="137" t="s">
        <v>74</v>
      </c>
    </row>
    <row r="8932" spans="9:9" x14ac:dyDescent="0.2">
      <c r="I8932" s="137" t="s">
        <v>74</v>
      </c>
    </row>
    <row r="8933" spans="9:9" x14ac:dyDescent="0.2">
      <c r="I8933" s="137" t="s">
        <v>74</v>
      </c>
    </row>
    <row r="8934" spans="9:9" x14ac:dyDescent="0.2">
      <c r="I8934" s="137" t="s">
        <v>74</v>
      </c>
    </row>
    <row r="8935" spans="9:9" x14ac:dyDescent="0.2">
      <c r="I8935" s="137" t="s">
        <v>74</v>
      </c>
    </row>
    <row r="8936" spans="9:9" x14ac:dyDescent="0.2">
      <c r="I8936" s="137" t="s">
        <v>74</v>
      </c>
    </row>
    <row r="8937" spans="9:9" x14ac:dyDescent="0.2">
      <c r="I8937" s="137" t="s">
        <v>74</v>
      </c>
    </row>
    <row r="8938" spans="9:9" x14ac:dyDescent="0.2">
      <c r="I8938" s="137" t="s">
        <v>74</v>
      </c>
    </row>
    <row r="8939" spans="9:9" x14ac:dyDescent="0.2">
      <c r="I8939" s="137" t="s">
        <v>74</v>
      </c>
    </row>
    <row r="8940" spans="9:9" x14ac:dyDescent="0.2">
      <c r="I8940" s="137" t="s">
        <v>74</v>
      </c>
    </row>
    <row r="8941" spans="9:9" x14ac:dyDescent="0.2">
      <c r="I8941" s="137" t="s">
        <v>74</v>
      </c>
    </row>
    <row r="8942" spans="9:9" x14ac:dyDescent="0.2">
      <c r="I8942" s="137" t="s">
        <v>74</v>
      </c>
    </row>
    <row r="8943" spans="9:9" x14ac:dyDescent="0.2">
      <c r="I8943" s="137" t="s">
        <v>74</v>
      </c>
    </row>
    <row r="8944" spans="9:9" x14ac:dyDescent="0.2">
      <c r="I8944" s="137" t="s">
        <v>74</v>
      </c>
    </row>
    <row r="8945" spans="9:9" x14ac:dyDescent="0.2">
      <c r="I8945" s="137" t="s">
        <v>74</v>
      </c>
    </row>
    <row r="8946" spans="9:9" x14ac:dyDescent="0.2">
      <c r="I8946" s="137" t="s">
        <v>74</v>
      </c>
    </row>
    <row r="8947" spans="9:9" x14ac:dyDescent="0.2">
      <c r="I8947" s="137" t="s">
        <v>74</v>
      </c>
    </row>
    <row r="8948" spans="9:9" x14ac:dyDescent="0.2">
      <c r="I8948" s="137" t="s">
        <v>74</v>
      </c>
    </row>
    <row r="8949" spans="9:9" x14ac:dyDescent="0.2">
      <c r="I8949" s="137" t="s">
        <v>74</v>
      </c>
    </row>
    <row r="8950" spans="9:9" x14ac:dyDescent="0.2">
      <c r="I8950" s="137" t="s">
        <v>74</v>
      </c>
    </row>
    <row r="8951" spans="9:9" x14ac:dyDescent="0.2">
      <c r="I8951" s="137" t="s">
        <v>74</v>
      </c>
    </row>
    <row r="8952" spans="9:9" x14ac:dyDescent="0.2">
      <c r="I8952" s="137" t="s">
        <v>74</v>
      </c>
    </row>
    <row r="8953" spans="9:9" x14ac:dyDescent="0.2">
      <c r="I8953" s="137" t="s">
        <v>74</v>
      </c>
    </row>
    <row r="8954" spans="9:9" x14ac:dyDescent="0.2">
      <c r="I8954" s="137" t="s">
        <v>74</v>
      </c>
    </row>
    <row r="8955" spans="9:9" x14ac:dyDescent="0.2">
      <c r="I8955" s="137" t="s">
        <v>74</v>
      </c>
    </row>
    <row r="8956" spans="9:9" x14ac:dyDescent="0.2">
      <c r="I8956" s="137" t="s">
        <v>74</v>
      </c>
    </row>
    <row r="8957" spans="9:9" x14ac:dyDescent="0.2">
      <c r="I8957" s="137" t="s">
        <v>74</v>
      </c>
    </row>
    <row r="8958" spans="9:9" x14ac:dyDescent="0.2">
      <c r="I8958" s="137" t="s">
        <v>74</v>
      </c>
    </row>
    <row r="8959" spans="9:9" x14ac:dyDescent="0.2">
      <c r="I8959" s="137" t="s">
        <v>74</v>
      </c>
    </row>
    <row r="8960" spans="9:9" x14ac:dyDescent="0.2">
      <c r="I8960" s="137" t="s">
        <v>74</v>
      </c>
    </row>
    <row r="8961" spans="9:9" x14ac:dyDescent="0.2">
      <c r="I8961" s="137" t="s">
        <v>74</v>
      </c>
    </row>
    <row r="8962" spans="9:9" x14ac:dyDescent="0.2">
      <c r="I8962" s="137" t="s">
        <v>74</v>
      </c>
    </row>
    <row r="8963" spans="9:9" x14ac:dyDescent="0.2">
      <c r="I8963" s="137" t="s">
        <v>74</v>
      </c>
    </row>
    <row r="8964" spans="9:9" x14ac:dyDescent="0.2">
      <c r="I8964" s="137" t="s">
        <v>74</v>
      </c>
    </row>
    <row r="8965" spans="9:9" x14ac:dyDescent="0.2">
      <c r="I8965" s="137" t="s">
        <v>74</v>
      </c>
    </row>
    <row r="8966" spans="9:9" x14ac:dyDescent="0.2">
      <c r="I8966" s="137" t="s">
        <v>74</v>
      </c>
    </row>
    <row r="8967" spans="9:9" x14ac:dyDescent="0.2">
      <c r="I8967" s="137" t="s">
        <v>74</v>
      </c>
    </row>
    <row r="8968" spans="9:9" x14ac:dyDescent="0.2">
      <c r="I8968" s="137" t="s">
        <v>74</v>
      </c>
    </row>
    <row r="8969" spans="9:9" x14ac:dyDescent="0.2">
      <c r="I8969" s="137" t="s">
        <v>74</v>
      </c>
    </row>
    <row r="8970" spans="9:9" x14ac:dyDescent="0.2">
      <c r="I8970" s="137" t="s">
        <v>74</v>
      </c>
    </row>
    <row r="8971" spans="9:9" x14ac:dyDescent="0.2">
      <c r="I8971" s="137" t="s">
        <v>74</v>
      </c>
    </row>
    <row r="8972" spans="9:9" x14ac:dyDescent="0.2">
      <c r="I8972" s="137" t="s">
        <v>74</v>
      </c>
    </row>
    <row r="8973" spans="9:9" x14ac:dyDescent="0.2">
      <c r="I8973" s="137" t="s">
        <v>74</v>
      </c>
    </row>
    <row r="8974" spans="9:9" x14ac:dyDescent="0.2">
      <c r="I8974" s="137" t="s">
        <v>74</v>
      </c>
    </row>
    <row r="8975" spans="9:9" x14ac:dyDescent="0.2">
      <c r="I8975" s="137" t="s">
        <v>74</v>
      </c>
    </row>
    <row r="8976" spans="9:9" x14ac:dyDescent="0.2">
      <c r="I8976" s="137" t="s">
        <v>74</v>
      </c>
    </row>
    <row r="8977" spans="9:9" x14ac:dyDescent="0.2">
      <c r="I8977" s="137" t="s">
        <v>74</v>
      </c>
    </row>
    <row r="8978" spans="9:9" x14ac:dyDescent="0.2">
      <c r="I8978" s="137" t="s">
        <v>74</v>
      </c>
    </row>
    <row r="8979" spans="9:9" x14ac:dyDescent="0.2">
      <c r="I8979" s="137" t="s">
        <v>74</v>
      </c>
    </row>
    <row r="8980" spans="9:9" x14ac:dyDescent="0.2">
      <c r="I8980" s="137" t="s">
        <v>74</v>
      </c>
    </row>
    <row r="8981" spans="9:9" x14ac:dyDescent="0.2">
      <c r="I8981" s="137" t="s">
        <v>74</v>
      </c>
    </row>
    <row r="8982" spans="9:9" x14ac:dyDescent="0.2">
      <c r="I8982" s="137" t="s">
        <v>74</v>
      </c>
    </row>
    <row r="8983" spans="9:9" x14ac:dyDescent="0.2">
      <c r="I8983" s="137" t="s">
        <v>74</v>
      </c>
    </row>
    <row r="8984" spans="9:9" x14ac:dyDescent="0.2">
      <c r="I8984" s="137" t="s">
        <v>74</v>
      </c>
    </row>
    <row r="8985" spans="9:9" x14ac:dyDescent="0.2">
      <c r="I8985" s="137" t="s">
        <v>74</v>
      </c>
    </row>
    <row r="8986" spans="9:9" x14ac:dyDescent="0.2">
      <c r="I8986" s="137" t="s">
        <v>74</v>
      </c>
    </row>
    <row r="8987" spans="9:9" x14ac:dyDescent="0.2">
      <c r="I8987" s="137" t="s">
        <v>74</v>
      </c>
    </row>
    <row r="8988" spans="9:9" x14ac:dyDescent="0.2">
      <c r="I8988" s="137" t="s">
        <v>74</v>
      </c>
    </row>
    <row r="8989" spans="9:9" x14ac:dyDescent="0.2">
      <c r="I8989" s="137" t="s">
        <v>74</v>
      </c>
    </row>
    <row r="8990" spans="9:9" x14ac:dyDescent="0.2">
      <c r="I8990" s="137" t="s">
        <v>74</v>
      </c>
    </row>
    <row r="8991" spans="9:9" x14ac:dyDescent="0.2">
      <c r="I8991" s="137" t="s">
        <v>74</v>
      </c>
    </row>
    <row r="8992" spans="9:9" x14ac:dyDescent="0.2">
      <c r="I8992" s="137" t="s">
        <v>74</v>
      </c>
    </row>
    <row r="8993" spans="9:9" x14ac:dyDescent="0.2">
      <c r="I8993" s="137" t="s">
        <v>74</v>
      </c>
    </row>
    <row r="8994" spans="9:9" x14ac:dyDescent="0.2">
      <c r="I8994" s="137" t="s">
        <v>74</v>
      </c>
    </row>
    <row r="8995" spans="9:9" x14ac:dyDescent="0.2">
      <c r="I8995" s="137" t="s">
        <v>74</v>
      </c>
    </row>
    <row r="8996" spans="9:9" x14ac:dyDescent="0.2">
      <c r="I8996" s="137" t="s">
        <v>74</v>
      </c>
    </row>
    <row r="8997" spans="9:9" x14ac:dyDescent="0.2">
      <c r="I8997" s="137" t="s">
        <v>74</v>
      </c>
    </row>
    <row r="8998" spans="9:9" x14ac:dyDescent="0.2">
      <c r="I8998" s="137" t="s">
        <v>74</v>
      </c>
    </row>
    <row r="8999" spans="9:9" x14ac:dyDescent="0.2">
      <c r="I8999" s="137" t="s">
        <v>74</v>
      </c>
    </row>
    <row r="9000" spans="9:9" x14ac:dyDescent="0.2">
      <c r="I9000" s="137" t="s">
        <v>74</v>
      </c>
    </row>
    <row r="9001" spans="9:9" x14ac:dyDescent="0.2">
      <c r="I9001" s="137" t="s">
        <v>74</v>
      </c>
    </row>
    <row r="9002" spans="9:9" x14ac:dyDescent="0.2">
      <c r="I9002" s="137" t="s">
        <v>74</v>
      </c>
    </row>
    <row r="9003" spans="9:9" x14ac:dyDescent="0.2">
      <c r="I9003" s="137" t="s">
        <v>74</v>
      </c>
    </row>
    <row r="9004" spans="9:9" x14ac:dyDescent="0.2">
      <c r="I9004" s="137" t="s">
        <v>74</v>
      </c>
    </row>
    <row r="9005" spans="9:9" x14ac:dyDescent="0.2">
      <c r="I9005" s="137" t="s">
        <v>74</v>
      </c>
    </row>
    <row r="9006" spans="9:9" x14ac:dyDescent="0.2">
      <c r="I9006" s="137" t="s">
        <v>74</v>
      </c>
    </row>
    <row r="9007" spans="9:9" x14ac:dyDescent="0.2">
      <c r="I9007" s="137" t="s">
        <v>74</v>
      </c>
    </row>
    <row r="9008" spans="9:9" x14ac:dyDescent="0.2">
      <c r="I9008" s="137" t="s">
        <v>74</v>
      </c>
    </row>
    <row r="9009" spans="9:9" x14ac:dyDescent="0.2">
      <c r="I9009" s="137" t="s">
        <v>74</v>
      </c>
    </row>
    <row r="9010" spans="9:9" x14ac:dyDescent="0.2">
      <c r="I9010" s="137" t="s">
        <v>74</v>
      </c>
    </row>
    <row r="9011" spans="9:9" x14ac:dyDescent="0.2">
      <c r="I9011" s="137" t="s">
        <v>74</v>
      </c>
    </row>
    <row r="9012" spans="9:9" x14ac:dyDescent="0.2">
      <c r="I9012" s="137" t="s">
        <v>74</v>
      </c>
    </row>
    <row r="9013" spans="9:9" x14ac:dyDescent="0.2">
      <c r="I9013" s="137" t="s">
        <v>74</v>
      </c>
    </row>
    <row r="9014" spans="9:9" x14ac:dyDescent="0.2">
      <c r="I9014" s="137" t="s">
        <v>74</v>
      </c>
    </row>
    <row r="9015" spans="9:9" x14ac:dyDescent="0.2">
      <c r="I9015" s="137" t="s">
        <v>74</v>
      </c>
    </row>
    <row r="9016" spans="9:9" x14ac:dyDescent="0.2">
      <c r="I9016" s="137" t="s">
        <v>74</v>
      </c>
    </row>
    <row r="9017" spans="9:9" x14ac:dyDescent="0.2">
      <c r="I9017" s="137" t="s">
        <v>74</v>
      </c>
    </row>
    <row r="9018" spans="9:9" x14ac:dyDescent="0.2">
      <c r="I9018" s="137" t="s">
        <v>74</v>
      </c>
    </row>
    <row r="9019" spans="9:9" x14ac:dyDescent="0.2">
      <c r="I9019" s="137" t="s">
        <v>74</v>
      </c>
    </row>
    <row r="9020" spans="9:9" x14ac:dyDescent="0.2">
      <c r="I9020" s="137" t="s">
        <v>74</v>
      </c>
    </row>
    <row r="9021" spans="9:9" x14ac:dyDescent="0.2">
      <c r="I9021" s="137" t="s">
        <v>74</v>
      </c>
    </row>
    <row r="9022" spans="9:9" x14ac:dyDescent="0.2">
      <c r="I9022" s="137" t="s">
        <v>74</v>
      </c>
    </row>
    <row r="9023" spans="9:9" x14ac:dyDescent="0.2">
      <c r="I9023" s="137" t="s">
        <v>74</v>
      </c>
    </row>
    <row r="9024" spans="9:9" x14ac:dyDescent="0.2">
      <c r="I9024" s="137" t="s">
        <v>74</v>
      </c>
    </row>
    <row r="9025" spans="9:9" x14ac:dyDescent="0.2">
      <c r="I9025" s="137" t="s">
        <v>74</v>
      </c>
    </row>
    <row r="9026" spans="9:9" x14ac:dyDescent="0.2">
      <c r="I9026" s="137" t="s">
        <v>74</v>
      </c>
    </row>
    <row r="9027" spans="9:9" x14ac:dyDescent="0.2">
      <c r="I9027" s="137" t="s">
        <v>74</v>
      </c>
    </row>
    <row r="9028" spans="9:9" x14ac:dyDescent="0.2">
      <c r="I9028" s="137" t="s">
        <v>74</v>
      </c>
    </row>
    <row r="9029" spans="9:9" x14ac:dyDescent="0.2">
      <c r="I9029" s="137" t="s">
        <v>74</v>
      </c>
    </row>
    <row r="9030" spans="9:9" x14ac:dyDescent="0.2">
      <c r="I9030" s="137" t="s">
        <v>74</v>
      </c>
    </row>
    <row r="9031" spans="9:9" x14ac:dyDescent="0.2">
      <c r="I9031" s="137" t="s">
        <v>74</v>
      </c>
    </row>
    <row r="9032" spans="9:9" x14ac:dyDescent="0.2">
      <c r="I9032" s="137" t="s">
        <v>74</v>
      </c>
    </row>
    <row r="9033" spans="9:9" x14ac:dyDescent="0.2">
      <c r="I9033" s="137" t="s">
        <v>74</v>
      </c>
    </row>
    <row r="9034" spans="9:9" x14ac:dyDescent="0.2">
      <c r="I9034" s="137" t="s">
        <v>74</v>
      </c>
    </row>
    <row r="9035" spans="9:9" x14ac:dyDescent="0.2">
      <c r="I9035" s="137" t="s">
        <v>74</v>
      </c>
    </row>
    <row r="9036" spans="9:9" x14ac:dyDescent="0.2">
      <c r="I9036" s="137" t="s">
        <v>74</v>
      </c>
    </row>
    <row r="9037" spans="9:9" x14ac:dyDescent="0.2">
      <c r="I9037" s="137" t="s">
        <v>74</v>
      </c>
    </row>
    <row r="9038" spans="9:9" x14ac:dyDescent="0.2">
      <c r="I9038" s="137" t="s">
        <v>74</v>
      </c>
    </row>
    <row r="9039" spans="9:9" x14ac:dyDescent="0.2">
      <c r="I9039" s="137" t="s">
        <v>74</v>
      </c>
    </row>
    <row r="9040" spans="9:9" x14ac:dyDescent="0.2">
      <c r="I9040" s="137" t="s">
        <v>74</v>
      </c>
    </row>
    <row r="9041" spans="9:9" x14ac:dyDescent="0.2">
      <c r="I9041" s="137" t="s">
        <v>74</v>
      </c>
    </row>
    <row r="9042" spans="9:9" x14ac:dyDescent="0.2">
      <c r="I9042" s="137" t="s">
        <v>74</v>
      </c>
    </row>
    <row r="9043" spans="9:9" x14ac:dyDescent="0.2">
      <c r="I9043" s="137" t="s">
        <v>74</v>
      </c>
    </row>
    <row r="9044" spans="9:9" x14ac:dyDescent="0.2">
      <c r="I9044" s="137" t="s">
        <v>74</v>
      </c>
    </row>
    <row r="9045" spans="9:9" x14ac:dyDescent="0.2">
      <c r="I9045" s="137" t="s">
        <v>74</v>
      </c>
    </row>
    <row r="9046" spans="9:9" x14ac:dyDescent="0.2">
      <c r="I9046" s="137" t="s">
        <v>74</v>
      </c>
    </row>
    <row r="9047" spans="9:9" x14ac:dyDescent="0.2">
      <c r="I9047" s="137" t="s">
        <v>74</v>
      </c>
    </row>
    <row r="9048" spans="9:9" x14ac:dyDescent="0.2">
      <c r="I9048" s="137" t="s">
        <v>74</v>
      </c>
    </row>
    <row r="9049" spans="9:9" x14ac:dyDescent="0.2">
      <c r="I9049" s="137" t="s">
        <v>74</v>
      </c>
    </row>
    <row r="9050" spans="9:9" x14ac:dyDescent="0.2">
      <c r="I9050" s="137" t="s">
        <v>74</v>
      </c>
    </row>
    <row r="9051" spans="9:9" x14ac:dyDescent="0.2">
      <c r="I9051" s="137" t="s">
        <v>74</v>
      </c>
    </row>
    <row r="9052" spans="9:9" x14ac:dyDescent="0.2">
      <c r="I9052" s="137" t="s">
        <v>74</v>
      </c>
    </row>
    <row r="9053" spans="9:9" x14ac:dyDescent="0.2">
      <c r="I9053" s="137" t="s">
        <v>74</v>
      </c>
    </row>
    <row r="9054" spans="9:9" x14ac:dyDescent="0.2">
      <c r="I9054" s="137" t="s">
        <v>74</v>
      </c>
    </row>
    <row r="9055" spans="9:9" x14ac:dyDescent="0.2">
      <c r="I9055" s="137" t="s">
        <v>74</v>
      </c>
    </row>
    <row r="9056" spans="9:9" x14ac:dyDescent="0.2">
      <c r="I9056" s="137" t="s">
        <v>74</v>
      </c>
    </row>
    <row r="9057" spans="9:9" x14ac:dyDescent="0.2">
      <c r="I9057" s="137" t="s">
        <v>74</v>
      </c>
    </row>
    <row r="9058" spans="9:9" x14ac:dyDescent="0.2">
      <c r="I9058" s="137" t="s">
        <v>74</v>
      </c>
    </row>
    <row r="9059" spans="9:9" x14ac:dyDescent="0.2">
      <c r="I9059" s="137" t="s">
        <v>74</v>
      </c>
    </row>
    <row r="9060" spans="9:9" x14ac:dyDescent="0.2">
      <c r="I9060" s="137" t="s">
        <v>74</v>
      </c>
    </row>
    <row r="9061" spans="9:9" x14ac:dyDescent="0.2">
      <c r="I9061" s="137" t="s">
        <v>74</v>
      </c>
    </row>
    <row r="9062" spans="9:9" x14ac:dyDescent="0.2">
      <c r="I9062" s="137" t="s">
        <v>74</v>
      </c>
    </row>
    <row r="9063" spans="9:9" x14ac:dyDescent="0.2">
      <c r="I9063" s="137" t="s">
        <v>74</v>
      </c>
    </row>
    <row r="9064" spans="9:9" x14ac:dyDescent="0.2">
      <c r="I9064" s="137" t="s">
        <v>74</v>
      </c>
    </row>
    <row r="9065" spans="9:9" x14ac:dyDescent="0.2">
      <c r="I9065" s="137" t="s">
        <v>74</v>
      </c>
    </row>
    <row r="9066" spans="9:9" x14ac:dyDescent="0.2">
      <c r="I9066" s="137" t="s">
        <v>74</v>
      </c>
    </row>
    <row r="9067" spans="9:9" x14ac:dyDescent="0.2">
      <c r="I9067" s="137" t="s">
        <v>74</v>
      </c>
    </row>
    <row r="9068" spans="9:9" x14ac:dyDescent="0.2">
      <c r="I9068" s="137" t="s">
        <v>74</v>
      </c>
    </row>
    <row r="9069" spans="9:9" x14ac:dyDescent="0.2">
      <c r="I9069" s="137" t="s">
        <v>74</v>
      </c>
    </row>
    <row r="9070" spans="9:9" x14ac:dyDescent="0.2">
      <c r="I9070" s="137" t="s">
        <v>74</v>
      </c>
    </row>
    <row r="9071" spans="9:9" x14ac:dyDescent="0.2">
      <c r="I9071" s="137" t="s">
        <v>74</v>
      </c>
    </row>
    <row r="9072" spans="9:9" x14ac:dyDescent="0.2">
      <c r="I9072" s="137" t="s">
        <v>74</v>
      </c>
    </row>
    <row r="9073" spans="9:9" x14ac:dyDescent="0.2">
      <c r="I9073" s="137" t="s">
        <v>74</v>
      </c>
    </row>
    <row r="9074" spans="9:9" x14ac:dyDescent="0.2">
      <c r="I9074" s="137" t="s">
        <v>74</v>
      </c>
    </row>
    <row r="9075" spans="9:9" x14ac:dyDescent="0.2">
      <c r="I9075" s="137" t="s">
        <v>74</v>
      </c>
    </row>
    <row r="9076" spans="9:9" x14ac:dyDescent="0.2">
      <c r="I9076" s="137" t="s">
        <v>74</v>
      </c>
    </row>
    <row r="9077" spans="9:9" x14ac:dyDescent="0.2">
      <c r="I9077" s="137" t="s">
        <v>74</v>
      </c>
    </row>
    <row r="9078" spans="9:9" x14ac:dyDescent="0.2">
      <c r="I9078" s="137" t="s">
        <v>74</v>
      </c>
    </row>
    <row r="9079" spans="9:9" x14ac:dyDescent="0.2">
      <c r="I9079" s="137" t="s">
        <v>74</v>
      </c>
    </row>
    <row r="9080" spans="9:9" x14ac:dyDescent="0.2">
      <c r="I9080" s="137" t="s">
        <v>74</v>
      </c>
    </row>
    <row r="9081" spans="9:9" x14ac:dyDescent="0.2">
      <c r="I9081" s="137" t="s">
        <v>74</v>
      </c>
    </row>
    <row r="9082" spans="9:9" x14ac:dyDescent="0.2">
      <c r="I9082" s="137" t="s">
        <v>74</v>
      </c>
    </row>
    <row r="9083" spans="9:9" x14ac:dyDescent="0.2">
      <c r="I9083" s="137" t="s">
        <v>74</v>
      </c>
    </row>
    <row r="9084" spans="9:9" x14ac:dyDescent="0.2">
      <c r="I9084" s="137" t="s">
        <v>74</v>
      </c>
    </row>
    <row r="9085" spans="9:9" x14ac:dyDescent="0.2">
      <c r="I9085" s="137" t="s">
        <v>74</v>
      </c>
    </row>
    <row r="9086" spans="9:9" x14ac:dyDescent="0.2">
      <c r="I9086" s="137" t="s">
        <v>74</v>
      </c>
    </row>
    <row r="9087" spans="9:9" x14ac:dyDescent="0.2">
      <c r="I9087" s="137" t="s">
        <v>74</v>
      </c>
    </row>
    <row r="9088" spans="9:9" x14ac:dyDescent="0.2">
      <c r="I9088" s="137" t="s">
        <v>74</v>
      </c>
    </row>
    <row r="9089" spans="9:9" x14ac:dyDescent="0.2">
      <c r="I9089" s="137" t="s">
        <v>74</v>
      </c>
    </row>
    <row r="9090" spans="9:9" x14ac:dyDescent="0.2">
      <c r="I9090" s="137" t="s">
        <v>74</v>
      </c>
    </row>
    <row r="9091" spans="9:9" x14ac:dyDescent="0.2">
      <c r="I9091" s="137" t="s">
        <v>74</v>
      </c>
    </row>
    <row r="9092" spans="9:9" x14ac:dyDescent="0.2">
      <c r="I9092" s="137" t="s">
        <v>74</v>
      </c>
    </row>
    <row r="9093" spans="9:9" x14ac:dyDescent="0.2">
      <c r="I9093" s="137" t="s">
        <v>74</v>
      </c>
    </row>
    <row r="9094" spans="9:9" x14ac:dyDescent="0.2">
      <c r="I9094" s="137" t="s">
        <v>74</v>
      </c>
    </row>
    <row r="9095" spans="9:9" x14ac:dyDescent="0.2">
      <c r="I9095" s="137" t="s">
        <v>74</v>
      </c>
    </row>
    <row r="9096" spans="9:9" x14ac:dyDescent="0.2">
      <c r="I9096" s="137" t="s">
        <v>74</v>
      </c>
    </row>
    <row r="9097" spans="9:9" x14ac:dyDescent="0.2">
      <c r="I9097" s="137" t="s">
        <v>74</v>
      </c>
    </row>
    <row r="9098" spans="9:9" x14ac:dyDescent="0.2">
      <c r="I9098" s="137" t="s">
        <v>74</v>
      </c>
    </row>
    <row r="9099" spans="9:9" x14ac:dyDescent="0.2">
      <c r="I9099" s="137" t="s">
        <v>74</v>
      </c>
    </row>
    <row r="9100" spans="9:9" x14ac:dyDescent="0.2">
      <c r="I9100" s="137" t="s">
        <v>74</v>
      </c>
    </row>
    <row r="9101" spans="9:9" x14ac:dyDescent="0.2">
      <c r="I9101" s="137" t="s">
        <v>74</v>
      </c>
    </row>
    <row r="9102" spans="9:9" x14ac:dyDescent="0.2">
      <c r="I9102" s="137" t="s">
        <v>74</v>
      </c>
    </row>
    <row r="9103" spans="9:9" x14ac:dyDescent="0.2">
      <c r="I9103" s="137" t="s">
        <v>74</v>
      </c>
    </row>
    <row r="9104" spans="9:9" x14ac:dyDescent="0.2">
      <c r="I9104" s="137" t="s">
        <v>74</v>
      </c>
    </row>
    <row r="9105" spans="9:9" x14ac:dyDescent="0.2">
      <c r="I9105" s="137" t="s">
        <v>74</v>
      </c>
    </row>
    <row r="9106" spans="9:9" x14ac:dyDescent="0.2">
      <c r="I9106" s="137" t="s">
        <v>74</v>
      </c>
    </row>
    <row r="9107" spans="9:9" x14ac:dyDescent="0.2">
      <c r="I9107" s="137" t="s">
        <v>74</v>
      </c>
    </row>
    <row r="9108" spans="9:9" x14ac:dyDescent="0.2">
      <c r="I9108" s="137" t="s">
        <v>74</v>
      </c>
    </row>
    <row r="9109" spans="9:9" x14ac:dyDescent="0.2">
      <c r="I9109" s="137" t="s">
        <v>74</v>
      </c>
    </row>
    <row r="9110" spans="9:9" x14ac:dyDescent="0.2">
      <c r="I9110" s="137" t="s">
        <v>74</v>
      </c>
    </row>
    <row r="9111" spans="9:9" x14ac:dyDescent="0.2">
      <c r="I9111" s="137" t="s">
        <v>74</v>
      </c>
    </row>
    <row r="9112" spans="9:9" x14ac:dyDescent="0.2">
      <c r="I9112" s="137" t="s">
        <v>74</v>
      </c>
    </row>
    <row r="9113" spans="9:9" x14ac:dyDescent="0.2">
      <c r="I9113" s="137" t="s">
        <v>74</v>
      </c>
    </row>
    <row r="9114" spans="9:9" x14ac:dyDescent="0.2">
      <c r="I9114" s="137" t="s">
        <v>74</v>
      </c>
    </row>
    <row r="9115" spans="9:9" x14ac:dyDescent="0.2">
      <c r="I9115" s="137" t="s">
        <v>74</v>
      </c>
    </row>
    <row r="9116" spans="9:9" x14ac:dyDescent="0.2">
      <c r="I9116" s="137" t="s">
        <v>74</v>
      </c>
    </row>
    <row r="9117" spans="9:9" x14ac:dyDescent="0.2">
      <c r="I9117" s="137" t="s">
        <v>74</v>
      </c>
    </row>
    <row r="9118" spans="9:9" x14ac:dyDescent="0.2">
      <c r="I9118" s="137" t="s">
        <v>74</v>
      </c>
    </row>
    <row r="9119" spans="9:9" x14ac:dyDescent="0.2">
      <c r="I9119" s="137" t="s">
        <v>74</v>
      </c>
    </row>
    <row r="9120" spans="9:9" x14ac:dyDescent="0.2">
      <c r="I9120" s="137" t="s">
        <v>74</v>
      </c>
    </row>
    <row r="9121" spans="9:9" x14ac:dyDescent="0.2">
      <c r="I9121" s="137" t="s">
        <v>74</v>
      </c>
    </row>
    <row r="9122" spans="9:9" x14ac:dyDescent="0.2">
      <c r="I9122" s="137" t="s">
        <v>74</v>
      </c>
    </row>
    <row r="9123" spans="9:9" x14ac:dyDescent="0.2">
      <c r="I9123" s="137" t="s">
        <v>74</v>
      </c>
    </row>
    <row r="9124" spans="9:9" x14ac:dyDescent="0.2">
      <c r="I9124" s="137" t="s">
        <v>74</v>
      </c>
    </row>
    <row r="9125" spans="9:9" x14ac:dyDescent="0.2">
      <c r="I9125" s="137" t="s">
        <v>74</v>
      </c>
    </row>
    <row r="9126" spans="9:9" x14ac:dyDescent="0.2">
      <c r="I9126" s="137" t="s">
        <v>74</v>
      </c>
    </row>
    <row r="9127" spans="9:9" x14ac:dyDescent="0.2">
      <c r="I9127" s="137" t="s">
        <v>74</v>
      </c>
    </row>
    <row r="9128" spans="9:9" x14ac:dyDescent="0.2">
      <c r="I9128" s="137" t="s">
        <v>74</v>
      </c>
    </row>
    <row r="9129" spans="9:9" x14ac:dyDescent="0.2">
      <c r="I9129" s="137" t="s">
        <v>74</v>
      </c>
    </row>
    <row r="9130" spans="9:9" x14ac:dyDescent="0.2">
      <c r="I9130" s="137" t="s">
        <v>74</v>
      </c>
    </row>
    <row r="9131" spans="9:9" x14ac:dyDescent="0.2">
      <c r="I9131" s="137" t="s">
        <v>74</v>
      </c>
    </row>
    <row r="9132" spans="9:9" x14ac:dyDescent="0.2">
      <c r="I9132" s="137" t="s">
        <v>74</v>
      </c>
    </row>
    <row r="9133" spans="9:9" x14ac:dyDescent="0.2">
      <c r="I9133" s="137" t="s">
        <v>74</v>
      </c>
    </row>
    <row r="9134" spans="9:9" x14ac:dyDescent="0.2">
      <c r="I9134" s="137" t="s">
        <v>74</v>
      </c>
    </row>
    <row r="9135" spans="9:9" x14ac:dyDescent="0.2">
      <c r="I9135" s="137" t="s">
        <v>74</v>
      </c>
    </row>
    <row r="9136" spans="9:9" x14ac:dyDescent="0.2">
      <c r="I9136" s="137" t="s">
        <v>74</v>
      </c>
    </row>
    <row r="9137" spans="9:9" x14ac:dyDescent="0.2">
      <c r="I9137" s="137" t="s">
        <v>74</v>
      </c>
    </row>
    <row r="9138" spans="9:9" x14ac:dyDescent="0.2">
      <c r="I9138" s="137" t="s">
        <v>74</v>
      </c>
    </row>
    <row r="9139" spans="9:9" x14ac:dyDescent="0.2">
      <c r="I9139" s="137" t="s">
        <v>74</v>
      </c>
    </row>
    <row r="9140" spans="9:9" x14ac:dyDescent="0.2">
      <c r="I9140" s="137" t="s">
        <v>74</v>
      </c>
    </row>
    <row r="9141" spans="9:9" x14ac:dyDescent="0.2">
      <c r="I9141" s="137" t="s">
        <v>74</v>
      </c>
    </row>
    <row r="9142" spans="9:9" x14ac:dyDescent="0.2">
      <c r="I9142" s="137" t="s">
        <v>74</v>
      </c>
    </row>
    <row r="9143" spans="9:9" x14ac:dyDescent="0.2">
      <c r="I9143" s="137" t="s">
        <v>74</v>
      </c>
    </row>
    <row r="9144" spans="9:9" x14ac:dyDescent="0.2">
      <c r="I9144" s="137" t="s">
        <v>74</v>
      </c>
    </row>
    <row r="9145" spans="9:9" x14ac:dyDescent="0.2">
      <c r="I9145" s="137" t="s">
        <v>74</v>
      </c>
    </row>
    <row r="9146" spans="9:9" x14ac:dyDescent="0.2">
      <c r="I9146" s="137" t="s">
        <v>74</v>
      </c>
    </row>
    <row r="9147" spans="9:9" x14ac:dyDescent="0.2">
      <c r="I9147" s="137" t="s">
        <v>74</v>
      </c>
    </row>
    <row r="9148" spans="9:9" x14ac:dyDescent="0.2">
      <c r="I9148" s="137" t="s">
        <v>74</v>
      </c>
    </row>
    <row r="9149" spans="9:9" x14ac:dyDescent="0.2">
      <c r="I9149" s="137" t="s">
        <v>74</v>
      </c>
    </row>
    <row r="9150" spans="9:9" x14ac:dyDescent="0.2">
      <c r="I9150" s="137" t="s">
        <v>74</v>
      </c>
    </row>
    <row r="9151" spans="9:9" x14ac:dyDescent="0.2">
      <c r="I9151" s="137" t="s">
        <v>74</v>
      </c>
    </row>
    <row r="9152" spans="9:9" x14ac:dyDescent="0.2">
      <c r="I9152" s="137" t="s">
        <v>74</v>
      </c>
    </row>
    <row r="9153" spans="9:9" x14ac:dyDescent="0.2">
      <c r="I9153" s="137" t="s">
        <v>74</v>
      </c>
    </row>
    <row r="9154" spans="9:9" x14ac:dyDescent="0.2">
      <c r="I9154" s="137" t="s">
        <v>74</v>
      </c>
    </row>
    <row r="9155" spans="9:9" x14ac:dyDescent="0.2">
      <c r="I9155" s="137" t="s">
        <v>74</v>
      </c>
    </row>
    <row r="9156" spans="9:9" x14ac:dyDescent="0.2">
      <c r="I9156" s="137" t="s">
        <v>74</v>
      </c>
    </row>
    <row r="9157" spans="9:9" x14ac:dyDescent="0.2">
      <c r="I9157" s="137" t="s">
        <v>74</v>
      </c>
    </row>
    <row r="9158" spans="9:9" x14ac:dyDescent="0.2">
      <c r="I9158" s="137" t="s">
        <v>74</v>
      </c>
    </row>
    <row r="9159" spans="9:9" x14ac:dyDescent="0.2">
      <c r="I9159" s="137" t="s">
        <v>74</v>
      </c>
    </row>
    <row r="9160" spans="9:9" x14ac:dyDescent="0.2">
      <c r="I9160" s="137" t="s">
        <v>74</v>
      </c>
    </row>
    <row r="9161" spans="9:9" x14ac:dyDescent="0.2">
      <c r="I9161" s="137" t="s">
        <v>74</v>
      </c>
    </row>
    <row r="9162" spans="9:9" x14ac:dyDescent="0.2">
      <c r="I9162" s="137" t="s">
        <v>74</v>
      </c>
    </row>
    <row r="9163" spans="9:9" x14ac:dyDescent="0.2">
      <c r="I9163" s="137" t="s">
        <v>74</v>
      </c>
    </row>
    <row r="9164" spans="9:9" x14ac:dyDescent="0.2">
      <c r="I9164" s="137" t="s">
        <v>74</v>
      </c>
    </row>
    <row r="9165" spans="9:9" x14ac:dyDescent="0.2">
      <c r="I9165" s="137" t="s">
        <v>74</v>
      </c>
    </row>
    <row r="9166" spans="9:9" x14ac:dyDescent="0.2">
      <c r="I9166" s="137" t="s">
        <v>74</v>
      </c>
    </row>
    <row r="9167" spans="9:9" x14ac:dyDescent="0.2">
      <c r="I9167" s="137" t="s">
        <v>74</v>
      </c>
    </row>
    <row r="9168" spans="9:9" x14ac:dyDescent="0.2">
      <c r="I9168" s="137" t="s">
        <v>74</v>
      </c>
    </row>
    <row r="9169" spans="9:9" x14ac:dyDescent="0.2">
      <c r="I9169" s="137" t="s">
        <v>74</v>
      </c>
    </row>
    <row r="9170" spans="9:9" x14ac:dyDescent="0.2">
      <c r="I9170" s="137" t="s">
        <v>74</v>
      </c>
    </row>
    <row r="9171" spans="9:9" x14ac:dyDescent="0.2">
      <c r="I9171" s="137" t="s">
        <v>74</v>
      </c>
    </row>
    <row r="9172" spans="9:9" x14ac:dyDescent="0.2">
      <c r="I9172" s="137" t="s">
        <v>74</v>
      </c>
    </row>
    <row r="9173" spans="9:9" x14ac:dyDescent="0.2">
      <c r="I9173" s="137" t="s">
        <v>74</v>
      </c>
    </row>
    <row r="9174" spans="9:9" x14ac:dyDescent="0.2">
      <c r="I9174" s="137" t="s">
        <v>74</v>
      </c>
    </row>
    <row r="9175" spans="9:9" x14ac:dyDescent="0.2">
      <c r="I9175" s="137" t="s">
        <v>74</v>
      </c>
    </row>
    <row r="9176" spans="9:9" x14ac:dyDescent="0.2">
      <c r="I9176" s="137" t="s">
        <v>74</v>
      </c>
    </row>
    <row r="9177" spans="9:9" x14ac:dyDescent="0.2">
      <c r="I9177" s="137" t="s">
        <v>74</v>
      </c>
    </row>
    <row r="9178" spans="9:9" x14ac:dyDescent="0.2">
      <c r="I9178" s="137" t="s">
        <v>74</v>
      </c>
    </row>
    <row r="9179" spans="9:9" x14ac:dyDescent="0.2">
      <c r="I9179" s="137" t="s">
        <v>74</v>
      </c>
    </row>
    <row r="9180" spans="9:9" x14ac:dyDescent="0.2">
      <c r="I9180" s="137" t="s">
        <v>74</v>
      </c>
    </row>
    <row r="9181" spans="9:9" x14ac:dyDescent="0.2">
      <c r="I9181" s="137" t="s">
        <v>74</v>
      </c>
    </row>
    <row r="9182" spans="9:9" x14ac:dyDescent="0.2">
      <c r="I9182" s="137" t="s">
        <v>74</v>
      </c>
    </row>
    <row r="9183" spans="9:9" x14ac:dyDescent="0.2">
      <c r="I9183" s="137" t="s">
        <v>74</v>
      </c>
    </row>
    <row r="9184" spans="9:9" x14ac:dyDescent="0.2">
      <c r="I9184" s="137" t="s">
        <v>74</v>
      </c>
    </row>
    <row r="9185" spans="9:9" x14ac:dyDescent="0.2">
      <c r="I9185" s="137" t="s">
        <v>74</v>
      </c>
    </row>
    <row r="9186" spans="9:9" x14ac:dyDescent="0.2">
      <c r="I9186" s="137" t="s">
        <v>74</v>
      </c>
    </row>
    <row r="9187" spans="9:9" x14ac:dyDescent="0.2">
      <c r="I9187" s="137" t="s">
        <v>74</v>
      </c>
    </row>
    <row r="9188" spans="9:9" x14ac:dyDescent="0.2">
      <c r="I9188" s="137" t="s">
        <v>74</v>
      </c>
    </row>
    <row r="9189" spans="9:9" x14ac:dyDescent="0.2">
      <c r="I9189" s="137" t="s">
        <v>74</v>
      </c>
    </row>
    <row r="9190" spans="9:9" x14ac:dyDescent="0.2">
      <c r="I9190" s="137" t="s">
        <v>74</v>
      </c>
    </row>
    <row r="9191" spans="9:9" x14ac:dyDescent="0.2">
      <c r="I9191" s="137" t="s">
        <v>74</v>
      </c>
    </row>
    <row r="9192" spans="9:9" x14ac:dyDescent="0.2">
      <c r="I9192" s="137" t="s">
        <v>74</v>
      </c>
    </row>
    <row r="9193" spans="9:9" x14ac:dyDescent="0.2">
      <c r="I9193" s="137" t="s">
        <v>74</v>
      </c>
    </row>
    <row r="9194" spans="9:9" x14ac:dyDescent="0.2">
      <c r="I9194" s="137" t="s">
        <v>74</v>
      </c>
    </row>
    <row r="9195" spans="9:9" x14ac:dyDescent="0.2">
      <c r="I9195" s="137" t="s">
        <v>74</v>
      </c>
    </row>
    <row r="9196" spans="9:9" x14ac:dyDescent="0.2">
      <c r="I9196" s="137" t="s">
        <v>74</v>
      </c>
    </row>
    <row r="9197" spans="9:9" x14ac:dyDescent="0.2">
      <c r="I9197" s="137" t="s">
        <v>74</v>
      </c>
    </row>
    <row r="9198" spans="9:9" x14ac:dyDescent="0.2">
      <c r="I9198" s="137" t="s">
        <v>74</v>
      </c>
    </row>
    <row r="9199" spans="9:9" x14ac:dyDescent="0.2">
      <c r="I9199" s="137" t="s">
        <v>74</v>
      </c>
    </row>
    <row r="9200" spans="9:9" x14ac:dyDescent="0.2">
      <c r="I9200" s="137" t="s">
        <v>74</v>
      </c>
    </row>
    <row r="9201" spans="9:9" x14ac:dyDescent="0.2">
      <c r="I9201" s="137" t="s">
        <v>74</v>
      </c>
    </row>
    <row r="9202" spans="9:9" x14ac:dyDescent="0.2">
      <c r="I9202" s="137" t="s">
        <v>74</v>
      </c>
    </row>
    <row r="9203" spans="9:9" x14ac:dyDescent="0.2">
      <c r="I9203" s="137" t="s">
        <v>74</v>
      </c>
    </row>
    <row r="9204" spans="9:9" x14ac:dyDescent="0.2">
      <c r="I9204" s="137" t="s">
        <v>74</v>
      </c>
    </row>
    <row r="9205" spans="9:9" x14ac:dyDescent="0.2">
      <c r="I9205" s="137" t="s">
        <v>74</v>
      </c>
    </row>
    <row r="9206" spans="9:9" x14ac:dyDescent="0.2">
      <c r="I9206" s="137" t="s">
        <v>74</v>
      </c>
    </row>
    <row r="9207" spans="9:9" x14ac:dyDescent="0.2">
      <c r="I9207" s="137" t="s">
        <v>74</v>
      </c>
    </row>
    <row r="9208" spans="9:9" x14ac:dyDescent="0.2">
      <c r="I9208" s="137" t="s">
        <v>74</v>
      </c>
    </row>
    <row r="9209" spans="9:9" x14ac:dyDescent="0.2">
      <c r="I9209" s="137" t="s">
        <v>74</v>
      </c>
    </row>
    <row r="9210" spans="9:9" x14ac:dyDescent="0.2">
      <c r="I9210" s="137" t="s">
        <v>74</v>
      </c>
    </row>
    <row r="9211" spans="9:9" x14ac:dyDescent="0.2">
      <c r="I9211" s="137" t="s">
        <v>74</v>
      </c>
    </row>
    <row r="9212" spans="9:9" x14ac:dyDescent="0.2">
      <c r="I9212" s="137" t="s">
        <v>74</v>
      </c>
    </row>
    <row r="9213" spans="9:9" x14ac:dyDescent="0.2">
      <c r="I9213" s="137" t="s">
        <v>74</v>
      </c>
    </row>
    <row r="9214" spans="9:9" x14ac:dyDescent="0.2">
      <c r="I9214" s="137" t="s">
        <v>74</v>
      </c>
    </row>
    <row r="9215" spans="9:9" x14ac:dyDescent="0.2">
      <c r="I9215" s="137" t="s">
        <v>74</v>
      </c>
    </row>
    <row r="9216" spans="9:9" x14ac:dyDescent="0.2">
      <c r="I9216" s="137" t="s">
        <v>74</v>
      </c>
    </row>
    <row r="9217" spans="9:9" x14ac:dyDescent="0.2">
      <c r="I9217" s="137" t="s">
        <v>74</v>
      </c>
    </row>
    <row r="9218" spans="9:9" x14ac:dyDescent="0.2">
      <c r="I9218" s="137" t="s">
        <v>74</v>
      </c>
    </row>
    <row r="9219" spans="9:9" x14ac:dyDescent="0.2">
      <c r="I9219" s="137" t="s">
        <v>74</v>
      </c>
    </row>
    <row r="9220" spans="9:9" x14ac:dyDescent="0.2">
      <c r="I9220" s="137" t="s">
        <v>74</v>
      </c>
    </row>
    <row r="9221" spans="9:9" x14ac:dyDescent="0.2">
      <c r="I9221" s="137" t="s">
        <v>74</v>
      </c>
    </row>
    <row r="9222" spans="9:9" x14ac:dyDescent="0.2">
      <c r="I9222" s="137" t="s">
        <v>74</v>
      </c>
    </row>
    <row r="9223" spans="9:9" x14ac:dyDescent="0.2">
      <c r="I9223" s="137" t="s">
        <v>74</v>
      </c>
    </row>
    <row r="9224" spans="9:9" x14ac:dyDescent="0.2">
      <c r="I9224" s="137" t="s">
        <v>74</v>
      </c>
    </row>
    <row r="9225" spans="9:9" x14ac:dyDescent="0.2">
      <c r="I9225" s="137" t="s">
        <v>74</v>
      </c>
    </row>
    <row r="9226" spans="9:9" x14ac:dyDescent="0.2">
      <c r="I9226" s="137" t="s">
        <v>74</v>
      </c>
    </row>
    <row r="9227" spans="9:9" x14ac:dyDescent="0.2">
      <c r="I9227" s="137" t="s">
        <v>74</v>
      </c>
    </row>
    <row r="9228" spans="9:9" x14ac:dyDescent="0.2">
      <c r="I9228" s="137" t="s">
        <v>74</v>
      </c>
    </row>
    <row r="9229" spans="9:9" x14ac:dyDescent="0.2">
      <c r="I9229" s="137" t="s">
        <v>74</v>
      </c>
    </row>
    <row r="9230" spans="9:9" x14ac:dyDescent="0.2">
      <c r="I9230" s="137" t="s">
        <v>74</v>
      </c>
    </row>
    <row r="9231" spans="9:9" x14ac:dyDescent="0.2">
      <c r="I9231" s="137" t="s">
        <v>74</v>
      </c>
    </row>
    <row r="9232" spans="9:9" x14ac:dyDescent="0.2">
      <c r="I9232" s="137" t="s">
        <v>74</v>
      </c>
    </row>
    <row r="9233" spans="9:9" x14ac:dyDescent="0.2">
      <c r="I9233" s="137" t="s">
        <v>74</v>
      </c>
    </row>
    <row r="9234" spans="9:9" x14ac:dyDescent="0.2">
      <c r="I9234" s="137" t="s">
        <v>74</v>
      </c>
    </row>
    <row r="9235" spans="9:9" x14ac:dyDescent="0.2">
      <c r="I9235" s="137" t="s">
        <v>74</v>
      </c>
    </row>
    <row r="9236" spans="9:9" x14ac:dyDescent="0.2">
      <c r="I9236" s="137" t="s">
        <v>74</v>
      </c>
    </row>
    <row r="9237" spans="9:9" x14ac:dyDescent="0.2">
      <c r="I9237" s="137" t="s">
        <v>74</v>
      </c>
    </row>
    <row r="9238" spans="9:9" x14ac:dyDescent="0.2">
      <c r="I9238" s="137" t="s">
        <v>74</v>
      </c>
    </row>
    <row r="9239" spans="9:9" x14ac:dyDescent="0.2">
      <c r="I9239" s="137" t="s">
        <v>74</v>
      </c>
    </row>
    <row r="9240" spans="9:9" x14ac:dyDescent="0.2">
      <c r="I9240" s="137" t="s">
        <v>74</v>
      </c>
    </row>
    <row r="9241" spans="9:9" x14ac:dyDescent="0.2">
      <c r="I9241" s="137" t="s">
        <v>74</v>
      </c>
    </row>
    <row r="9242" spans="9:9" x14ac:dyDescent="0.2">
      <c r="I9242" s="137" t="s">
        <v>74</v>
      </c>
    </row>
    <row r="9243" spans="9:9" x14ac:dyDescent="0.2">
      <c r="I9243" s="137" t="s">
        <v>74</v>
      </c>
    </row>
    <row r="9244" spans="9:9" x14ac:dyDescent="0.2">
      <c r="I9244" s="137" t="s">
        <v>74</v>
      </c>
    </row>
    <row r="9245" spans="9:9" x14ac:dyDescent="0.2">
      <c r="I9245" s="137" t="s">
        <v>74</v>
      </c>
    </row>
    <row r="9246" spans="9:9" x14ac:dyDescent="0.2">
      <c r="I9246" s="137" t="s">
        <v>74</v>
      </c>
    </row>
    <row r="9247" spans="9:9" x14ac:dyDescent="0.2">
      <c r="I9247" s="137" t="s">
        <v>74</v>
      </c>
    </row>
    <row r="9248" spans="9:9" x14ac:dyDescent="0.2">
      <c r="I9248" s="137" t="s">
        <v>74</v>
      </c>
    </row>
    <row r="9249" spans="9:9" x14ac:dyDescent="0.2">
      <c r="I9249" s="137" t="s">
        <v>74</v>
      </c>
    </row>
    <row r="9250" spans="9:9" x14ac:dyDescent="0.2">
      <c r="I9250" s="137" t="s">
        <v>74</v>
      </c>
    </row>
    <row r="9251" spans="9:9" x14ac:dyDescent="0.2">
      <c r="I9251" s="137" t="s">
        <v>74</v>
      </c>
    </row>
    <row r="9252" spans="9:9" x14ac:dyDescent="0.2">
      <c r="I9252" s="137" t="s">
        <v>74</v>
      </c>
    </row>
    <row r="9253" spans="9:9" x14ac:dyDescent="0.2">
      <c r="I9253" s="137" t="s">
        <v>74</v>
      </c>
    </row>
    <row r="9254" spans="9:9" x14ac:dyDescent="0.2">
      <c r="I9254" s="137" t="s">
        <v>74</v>
      </c>
    </row>
    <row r="9255" spans="9:9" x14ac:dyDescent="0.2">
      <c r="I9255" s="137" t="s">
        <v>74</v>
      </c>
    </row>
    <row r="9256" spans="9:9" x14ac:dyDescent="0.2">
      <c r="I9256" s="137" t="s">
        <v>74</v>
      </c>
    </row>
    <row r="9257" spans="9:9" x14ac:dyDescent="0.2">
      <c r="I9257" s="137" t="s">
        <v>74</v>
      </c>
    </row>
    <row r="9258" spans="9:9" x14ac:dyDescent="0.2">
      <c r="I9258" s="137" t="s">
        <v>74</v>
      </c>
    </row>
    <row r="9259" spans="9:9" x14ac:dyDescent="0.2">
      <c r="I9259" s="137" t="s">
        <v>74</v>
      </c>
    </row>
    <row r="9260" spans="9:9" x14ac:dyDescent="0.2">
      <c r="I9260" s="137" t="s">
        <v>74</v>
      </c>
    </row>
    <row r="9261" spans="9:9" x14ac:dyDescent="0.2">
      <c r="I9261" s="137" t="s">
        <v>74</v>
      </c>
    </row>
    <row r="9262" spans="9:9" x14ac:dyDescent="0.2">
      <c r="I9262" s="137" t="s">
        <v>74</v>
      </c>
    </row>
    <row r="9263" spans="9:9" x14ac:dyDescent="0.2">
      <c r="I9263" s="137" t="s">
        <v>74</v>
      </c>
    </row>
    <row r="9264" spans="9:9" x14ac:dyDescent="0.2">
      <c r="I9264" s="137" t="s">
        <v>74</v>
      </c>
    </row>
    <row r="9265" spans="9:9" x14ac:dyDescent="0.2">
      <c r="I9265" s="137" t="s">
        <v>74</v>
      </c>
    </row>
    <row r="9266" spans="9:9" x14ac:dyDescent="0.2">
      <c r="I9266" s="137" t="s">
        <v>74</v>
      </c>
    </row>
    <row r="9267" spans="9:9" x14ac:dyDescent="0.2">
      <c r="I9267" s="137" t="s">
        <v>74</v>
      </c>
    </row>
    <row r="9268" spans="9:9" x14ac:dyDescent="0.2">
      <c r="I9268" s="137" t="s">
        <v>74</v>
      </c>
    </row>
    <row r="9269" spans="9:9" x14ac:dyDescent="0.2">
      <c r="I9269" s="137" t="s">
        <v>74</v>
      </c>
    </row>
    <row r="9270" spans="9:9" x14ac:dyDescent="0.2">
      <c r="I9270" s="137" t="s">
        <v>74</v>
      </c>
    </row>
    <row r="9271" spans="9:9" x14ac:dyDescent="0.2">
      <c r="I9271" s="137" t="s">
        <v>74</v>
      </c>
    </row>
    <row r="9272" spans="9:9" x14ac:dyDescent="0.2">
      <c r="I9272" s="137" t="s">
        <v>74</v>
      </c>
    </row>
    <row r="9273" spans="9:9" x14ac:dyDescent="0.2">
      <c r="I9273" s="137" t="s">
        <v>74</v>
      </c>
    </row>
    <row r="9274" spans="9:9" x14ac:dyDescent="0.2">
      <c r="I9274" s="137" t="s">
        <v>74</v>
      </c>
    </row>
    <row r="9275" spans="9:9" x14ac:dyDescent="0.2">
      <c r="I9275" s="137" t="s">
        <v>74</v>
      </c>
    </row>
    <row r="9276" spans="9:9" x14ac:dyDescent="0.2">
      <c r="I9276" s="137" t="s">
        <v>74</v>
      </c>
    </row>
    <row r="9277" spans="9:9" x14ac:dyDescent="0.2">
      <c r="I9277" s="137" t="s">
        <v>74</v>
      </c>
    </row>
    <row r="9278" spans="9:9" x14ac:dyDescent="0.2">
      <c r="I9278" s="137" t="s">
        <v>74</v>
      </c>
    </row>
    <row r="9279" spans="9:9" x14ac:dyDescent="0.2">
      <c r="I9279" s="137" t="s">
        <v>74</v>
      </c>
    </row>
    <row r="9280" spans="9:9" x14ac:dyDescent="0.2">
      <c r="I9280" s="137" t="s">
        <v>74</v>
      </c>
    </row>
    <row r="9281" spans="9:9" x14ac:dyDescent="0.2">
      <c r="I9281" s="137" t="s">
        <v>74</v>
      </c>
    </row>
    <row r="9282" spans="9:9" x14ac:dyDescent="0.2">
      <c r="I9282" s="137" t="s">
        <v>74</v>
      </c>
    </row>
    <row r="9283" spans="9:9" x14ac:dyDescent="0.2">
      <c r="I9283" s="137" t="s">
        <v>74</v>
      </c>
    </row>
    <row r="9284" spans="9:9" x14ac:dyDescent="0.2">
      <c r="I9284" s="137" t="s">
        <v>74</v>
      </c>
    </row>
    <row r="9285" spans="9:9" x14ac:dyDescent="0.2">
      <c r="I9285" s="137" t="s">
        <v>74</v>
      </c>
    </row>
    <row r="9286" spans="9:9" x14ac:dyDescent="0.2">
      <c r="I9286" s="137" t="s">
        <v>74</v>
      </c>
    </row>
    <row r="9287" spans="9:9" x14ac:dyDescent="0.2">
      <c r="I9287" s="137" t="s">
        <v>74</v>
      </c>
    </row>
    <row r="9288" spans="9:9" x14ac:dyDescent="0.2">
      <c r="I9288" s="137" t="s">
        <v>74</v>
      </c>
    </row>
    <row r="9289" spans="9:9" x14ac:dyDescent="0.2">
      <c r="I9289" s="137" t="s">
        <v>74</v>
      </c>
    </row>
    <row r="9290" spans="9:9" x14ac:dyDescent="0.2">
      <c r="I9290" s="137" t="s">
        <v>74</v>
      </c>
    </row>
    <row r="9291" spans="9:9" x14ac:dyDescent="0.2">
      <c r="I9291" s="137" t="s">
        <v>74</v>
      </c>
    </row>
    <row r="9292" spans="9:9" x14ac:dyDescent="0.2">
      <c r="I9292" s="137" t="s">
        <v>74</v>
      </c>
    </row>
    <row r="9293" spans="9:9" x14ac:dyDescent="0.2">
      <c r="I9293" s="137" t="s">
        <v>74</v>
      </c>
    </row>
    <row r="9294" spans="9:9" x14ac:dyDescent="0.2">
      <c r="I9294" s="137" t="s">
        <v>74</v>
      </c>
    </row>
    <row r="9295" spans="9:9" x14ac:dyDescent="0.2">
      <c r="I9295" s="137" t="s">
        <v>74</v>
      </c>
    </row>
    <row r="9296" spans="9:9" x14ac:dyDescent="0.2">
      <c r="I9296" s="137" t="s">
        <v>74</v>
      </c>
    </row>
    <row r="9297" spans="9:9" x14ac:dyDescent="0.2">
      <c r="I9297" s="137" t="s">
        <v>74</v>
      </c>
    </row>
    <row r="9298" spans="9:9" x14ac:dyDescent="0.2">
      <c r="I9298" s="137" t="s">
        <v>74</v>
      </c>
    </row>
    <row r="9299" spans="9:9" x14ac:dyDescent="0.2">
      <c r="I9299" s="137" t="s">
        <v>74</v>
      </c>
    </row>
    <row r="9300" spans="9:9" x14ac:dyDescent="0.2">
      <c r="I9300" s="137" t="s">
        <v>74</v>
      </c>
    </row>
    <row r="9301" spans="9:9" x14ac:dyDescent="0.2">
      <c r="I9301" s="137" t="s">
        <v>74</v>
      </c>
    </row>
    <row r="9302" spans="9:9" x14ac:dyDescent="0.2">
      <c r="I9302" s="137" t="s">
        <v>74</v>
      </c>
    </row>
    <row r="9303" spans="9:9" x14ac:dyDescent="0.2">
      <c r="I9303" s="137" t="s">
        <v>74</v>
      </c>
    </row>
    <row r="9304" spans="9:9" x14ac:dyDescent="0.2">
      <c r="I9304" s="137" t="s">
        <v>74</v>
      </c>
    </row>
    <row r="9305" spans="9:9" x14ac:dyDescent="0.2">
      <c r="I9305" s="137" t="s">
        <v>74</v>
      </c>
    </row>
    <row r="9306" spans="9:9" x14ac:dyDescent="0.2">
      <c r="I9306" s="137" t="s">
        <v>74</v>
      </c>
    </row>
    <row r="9307" spans="9:9" x14ac:dyDescent="0.2">
      <c r="I9307" s="137" t="s">
        <v>74</v>
      </c>
    </row>
    <row r="9308" spans="9:9" x14ac:dyDescent="0.2">
      <c r="I9308" s="137" t="s">
        <v>74</v>
      </c>
    </row>
    <row r="9309" spans="9:9" x14ac:dyDescent="0.2">
      <c r="I9309" s="137" t="s">
        <v>74</v>
      </c>
    </row>
    <row r="9310" spans="9:9" x14ac:dyDescent="0.2">
      <c r="I9310" s="137" t="s">
        <v>74</v>
      </c>
    </row>
    <row r="9311" spans="9:9" x14ac:dyDescent="0.2">
      <c r="I9311" s="137" t="s">
        <v>74</v>
      </c>
    </row>
    <row r="9312" spans="9:9" x14ac:dyDescent="0.2">
      <c r="I9312" s="137" t="s">
        <v>74</v>
      </c>
    </row>
    <row r="9313" spans="9:9" x14ac:dyDescent="0.2">
      <c r="I9313" s="137" t="s">
        <v>74</v>
      </c>
    </row>
    <row r="9314" spans="9:9" x14ac:dyDescent="0.2">
      <c r="I9314" s="137" t="s">
        <v>74</v>
      </c>
    </row>
    <row r="9315" spans="9:9" x14ac:dyDescent="0.2">
      <c r="I9315" s="137" t="s">
        <v>74</v>
      </c>
    </row>
    <row r="9316" spans="9:9" x14ac:dyDescent="0.2">
      <c r="I9316" s="137" t="s">
        <v>74</v>
      </c>
    </row>
    <row r="9317" spans="9:9" x14ac:dyDescent="0.2">
      <c r="I9317" s="137" t="s">
        <v>74</v>
      </c>
    </row>
    <row r="9318" spans="9:9" x14ac:dyDescent="0.2">
      <c r="I9318" s="137" t="s">
        <v>74</v>
      </c>
    </row>
    <row r="9319" spans="9:9" x14ac:dyDescent="0.2">
      <c r="I9319" s="137" t="s">
        <v>74</v>
      </c>
    </row>
    <row r="9320" spans="9:9" x14ac:dyDescent="0.2">
      <c r="I9320" s="137" t="s">
        <v>74</v>
      </c>
    </row>
    <row r="9321" spans="9:9" x14ac:dyDescent="0.2">
      <c r="I9321" s="137" t="s">
        <v>74</v>
      </c>
    </row>
    <row r="9322" spans="9:9" x14ac:dyDescent="0.2">
      <c r="I9322" s="137" t="s">
        <v>74</v>
      </c>
    </row>
    <row r="9323" spans="9:9" x14ac:dyDescent="0.2">
      <c r="I9323" s="137" t="s">
        <v>74</v>
      </c>
    </row>
    <row r="9324" spans="9:9" x14ac:dyDescent="0.2">
      <c r="I9324" s="137" t="s">
        <v>74</v>
      </c>
    </row>
    <row r="9325" spans="9:9" x14ac:dyDescent="0.2">
      <c r="I9325" s="137" t="s">
        <v>74</v>
      </c>
    </row>
    <row r="9326" spans="9:9" x14ac:dyDescent="0.2">
      <c r="I9326" s="137" t="s">
        <v>74</v>
      </c>
    </row>
    <row r="9327" spans="9:9" x14ac:dyDescent="0.2">
      <c r="I9327" s="137" t="s">
        <v>74</v>
      </c>
    </row>
    <row r="9328" spans="9:9" x14ac:dyDescent="0.2">
      <c r="I9328" s="137" t="s">
        <v>74</v>
      </c>
    </row>
    <row r="9329" spans="9:9" x14ac:dyDescent="0.2">
      <c r="I9329" s="137" t="s">
        <v>74</v>
      </c>
    </row>
    <row r="9330" spans="9:9" x14ac:dyDescent="0.2">
      <c r="I9330" s="137" t="s">
        <v>74</v>
      </c>
    </row>
    <row r="9331" spans="9:9" x14ac:dyDescent="0.2">
      <c r="I9331" s="137" t="s">
        <v>74</v>
      </c>
    </row>
    <row r="9332" spans="9:9" x14ac:dyDescent="0.2">
      <c r="I9332" s="137" t="s">
        <v>74</v>
      </c>
    </row>
    <row r="9333" spans="9:9" x14ac:dyDescent="0.2">
      <c r="I9333" s="137" t="s">
        <v>74</v>
      </c>
    </row>
    <row r="9334" spans="9:9" x14ac:dyDescent="0.2">
      <c r="I9334" s="137" t="s">
        <v>74</v>
      </c>
    </row>
    <row r="9335" spans="9:9" x14ac:dyDescent="0.2">
      <c r="I9335" s="137" t="s">
        <v>74</v>
      </c>
    </row>
    <row r="9336" spans="9:9" x14ac:dyDescent="0.2">
      <c r="I9336" s="137" t="s">
        <v>74</v>
      </c>
    </row>
    <row r="9337" spans="9:9" x14ac:dyDescent="0.2">
      <c r="I9337" s="137" t="s">
        <v>74</v>
      </c>
    </row>
    <row r="9338" spans="9:9" x14ac:dyDescent="0.2">
      <c r="I9338" s="137" t="s">
        <v>74</v>
      </c>
    </row>
    <row r="9339" spans="9:9" x14ac:dyDescent="0.2">
      <c r="I9339" s="137" t="s">
        <v>74</v>
      </c>
    </row>
    <row r="9340" spans="9:9" x14ac:dyDescent="0.2">
      <c r="I9340" s="137" t="s">
        <v>74</v>
      </c>
    </row>
    <row r="9341" spans="9:9" x14ac:dyDescent="0.2">
      <c r="I9341" s="137" t="s">
        <v>74</v>
      </c>
    </row>
    <row r="9342" spans="9:9" x14ac:dyDescent="0.2">
      <c r="I9342" s="137" t="s">
        <v>74</v>
      </c>
    </row>
    <row r="9343" spans="9:9" x14ac:dyDescent="0.2">
      <c r="I9343" s="137" t="s">
        <v>74</v>
      </c>
    </row>
    <row r="9344" spans="9:9" x14ac:dyDescent="0.2">
      <c r="I9344" s="137" t="s">
        <v>74</v>
      </c>
    </row>
    <row r="9345" spans="9:9" x14ac:dyDescent="0.2">
      <c r="I9345" s="137" t="s">
        <v>74</v>
      </c>
    </row>
    <row r="9346" spans="9:9" x14ac:dyDescent="0.2">
      <c r="I9346" s="137" t="s">
        <v>74</v>
      </c>
    </row>
    <row r="9347" spans="9:9" x14ac:dyDescent="0.2">
      <c r="I9347" s="137" t="s">
        <v>74</v>
      </c>
    </row>
    <row r="9348" spans="9:9" x14ac:dyDescent="0.2">
      <c r="I9348" s="137" t="s">
        <v>74</v>
      </c>
    </row>
    <row r="9349" spans="9:9" x14ac:dyDescent="0.2">
      <c r="I9349" s="137" t="s">
        <v>74</v>
      </c>
    </row>
    <row r="9350" spans="9:9" x14ac:dyDescent="0.2">
      <c r="I9350" s="137" t="s">
        <v>74</v>
      </c>
    </row>
    <row r="9351" spans="9:9" x14ac:dyDescent="0.2">
      <c r="I9351" s="137" t="s">
        <v>74</v>
      </c>
    </row>
    <row r="9352" spans="9:9" x14ac:dyDescent="0.2">
      <c r="I9352" s="137" t="s">
        <v>74</v>
      </c>
    </row>
    <row r="9353" spans="9:9" x14ac:dyDescent="0.2">
      <c r="I9353" s="137" t="s">
        <v>74</v>
      </c>
    </row>
    <row r="9354" spans="9:9" x14ac:dyDescent="0.2">
      <c r="I9354" s="137" t="s">
        <v>74</v>
      </c>
    </row>
    <row r="9355" spans="9:9" x14ac:dyDescent="0.2">
      <c r="I9355" s="137" t="s">
        <v>74</v>
      </c>
    </row>
    <row r="9356" spans="9:9" x14ac:dyDescent="0.2">
      <c r="I9356" s="137" t="s">
        <v>74</v>
      </c>
    </row>
    <row r="9357" spans="9:9" x14ac:dyDescent="0.2">
      <c r="I9357" s="137" t="s">
        <v>74</v>
      </c>
    </row>
    <row r="9358" spans="9:9" x14ac:dyDescent="0.2">
      <c r="I9358" s="137" t="s">
        <v>74</v>
      </c>
    </row>
    <row r="9359" spans="9:9" x14ac:dyDescent="0.2">
      <c r="I9359" s="137" t="s">
        <v>74</v>
      </c>
    </row>
    <row r="9360" spans="9:9" x14ac:dyDescent="0.2">
      <c r="I9360" s="137" t="s">
        <v>74</v>
      </c>
    </row>
    <row r="9361" spans="9:9" x14ac:dyDescent="0.2">
      <c r="I9361" s="137" t="s">
        <v>74</v>
      </c>
    </row>
    <row r="9362" spans="9:9" x14ac:dyDescent="0.2">
      <c r="I9362" s="137" t="s">
        <v>74</v>
      </c>
    </row>
    <row r="9363" spans="9:9" x14ac:dyDescent="0.2">
      <c r="I9363" s="137" t="s">
        <v>74</v>
      </c>
    </row>
    <row r="9364" spans="9:9" x14ac:dyDescent="0.2">
      <c r="I9364" s="137" t="s">
        <v>74</v>
      </c>
    </row>
    <row r="9365" spans="9:9" x14ac:dyDescent="0.2">
      <c r="I9365" s="137" t="s">
        <v>74</v>
      </c>
    </row>
    <row r="9366" spans="9:9" x14ac:dyDescent="0.2">
      <c r="I9366" s="137" t="s">
        <v>74</v>
      </c>
    </row>
    <row r="9367" spans="9:9" x14ac:dyDescent="0.2">
      <c r="I9367" s="137" t="s">
        <v>74</v>
      </c>
    </row>
    <row r="9368" spans="9:9" x14ac:dyDescent="0.2">
      <c r="I9368" s="137" t="s">
        <v>74</v>
      </c>
    </row>
    <row r="9369" spans="9:9" x14ac:dyDescent="0.2">
      <c r="I9369" s="137" t="s">
        <v>74</v>
      </c>
    </row>
    <row r="9370" spans="9:9" x14ac:dyDescent="0.2">
      <c r="I9370" s="137" t="s">
        <v>74</v>
      </c>
    </row>
    <row r="9371" spans="9:9" x14ac:dyDescent="0.2">
      <c r="I9371" s="137" t="s">
        <v>74</v>
      </c>
    </row>
    <row r="9372" spans="9:9" x14ac:dyDescent="0.2">
      <c r="I9372" s="137" t="s">
        <v>74</v>
      </c>
    </row>
    <row r="9373" spans="9:9" x14ac:dyDescent="0.2">
      <c r="I9373" s="137" t="s">
        <v>74</v>
      </c>
    </row>
    <row r="9374" spans="9:9" x14ac:dyDescent="0.2">
      <c r="I9374" s="137" t="s">
        <v>74</v>
      </c>
    </row>
    <row r="9375" spans="9:9" x14ac:dyDescent="0.2">
      <c r="I9375" s="137" t="s">
        <v>74</v>
      </c>
    </row>
    <row r="9376" spans="9:9" x14ac:dyDescent="0.2">
      <c r="I9376" s="137" t="s">
        <v>74</v>
      </c>
    </row>
    <row r="9377" spans="9:9" x14ac:dyDescent="0.2">
      <c r="I9377" s="137" t="s">
        <v>74</v>
      </c>
    </row>
    <row r="9378" spans="9:9" x14ac:dyDescent="0.2">
      <c r="I9378" s="137" t="s">
        <v>74</v>
      </c>
    </row>
    <row r="9379" spans="9:9" x14ac:dyDescent="0.2">
      <c r="I9379" s="137" t="s">
        <v>74</v>
      </c>
    </row>
    <row r="9380" spans="9:9" x14ac:dyDescent="0.2">
      <c r="I9380" s="137" t="s">
        <v>74</v>
      </c>
    </row>
    <row r="9381" spans="9:9" x14ac:dyDescent="0.2">
      <c r="I9381" s="137" t="s">
        <v>74</v>
      </c>
    </row>
    <row r="9382" spans="9:9" x14ac:dyDescent="0.2">
      <c r="I9382" s="137" t="s">
        <v>74</v>
      </c>
    </row>
    <row r="9383" spans="9:9" x14ac:dyDescent="0.2">
      <c r="I9383" s="137" t="s">
        <v>74</v>
      </c>
    </row>
    <row r="9384" spans="9:9" x14ac:dyDescent="0.2">
      <c r="I9384" s="137" t="s">
        <v>74</v>
      </c>
    </row>
    <row r="9385" spans="9:9" x14ac:dyDescent="0.2">
      <c r="I9385" s="137" t="s">
        <v>74</v>
      </c>
    </row>
    <row r="9386" spans="9:9" x14ac:dyDescent="0.2">
      <c r="I9386" s="137" t="s">
        <v>74</v>
      </c>
    </row>
    <row r="9387" spans="9:9" x14ac:dyDescent="0.2">
      <c r="I9387" s="137" t="s">
        <v>74</v>
      </c>
    </row>
    <row r="9388" spans="9:9" x14ac:dyDescent="0.2">
      <c r="I9388" s="137" t="s">
        <v>74</v>
      </c>
    </row>
    <row r="9389" spans="9:9" x14ac:dyDescent="0.2">
      <c r="I9389" s="137" t="s">
        <v>74</v>
      </c>
    </row>
    <row r="9390" spans="9:9" x14ac:dyDescent="0.2">
      <c r="I9390" s="137" t="s">
        <v>74</v>
      </c>
    </row>
    <row r="9391" spans="9:9" x14ac:dyDescent="0.2">
      <c r="I9391" s="137" t="s">
        <v>74</v>
      </c>
    </row>
    <row r="9392" spans="9:9" x14ac:dyDescent="0.2">
      <c r="I9392" s="137" t="s">
        <v>74</v>
      </c>
    </row>
    <row r="9393" spans="9:9" x14ac:dyDescent="0.2">
      <c r="I9393" s="137" t="s">
        <v>74</v>
      </c>
    </row>
    <row r="9394" spans="9:9" x14ac:dyDescent="0.2">
      <c r="I9394" s="137" t="s">
        <v>74</v>
      </c>
    </row>
    <row r="9395" spans="9:9" x14ac:dyDescent="0.2">
      <c r="I9395" s="137" t="s">
        <v>74</v>
      </c>
    </row>
    <row r="9396" spans="9:9" x14ac:dyDescent="0.2">
      <c r="I9396" s="137" t="s">
        <v>74</v>
      </c>
    </row>
    <row r="9397" spans="9:9" x14ac:dyDescent="0.2">
      <c r="I9397" s="137" t="s">
        <v>74</v>
      </c>
    </row>
    <row r="9398" spans="9:9" x14ac:dyDescent="0.2">
      <c r="I9398" s="137" t="s">
        <v>74</v>
      </c>
    </row>
    <row r="9399" spans="9:9" x14ac:dyDescent="0.2">
      <c r="I9399" s="137" t="s">
        <v>74</v>
      </c>
    </row>
    <row r="9400" spans="9:9" x14ac:dyDescent="0.2">
      <c r="I9400" s="137" t="s">
        <v>74</v>
      </c>
    </row>
    <row r="9401" spans="9:9" x14ac:dyDescent="0.2">
      <c r="I9401" s="137" t="s">
        <v>74</v>
      </c>
    </row>
    <row r="9402" spans="9:9" x14ac:dyDescent="0.2">
      <c r="I9402" s="137" t="s">
        <v>74</v>
      </c>
    </row>
    <row r="9403" spans="9:9" x14ac:dyDescent="0.2">
      <c r="I9403" s="137" t="s">
        <v>74</v>
      </c>
    </row>
    <row r="9404" spans="9:9" x14ac:dyDescent="0.2">
      <c r="I9404" s="137" t="s">
        <v>74</v>
      </c>
    </row>
    <row r="9405" spans="9:9" x14ac:dyDescent="0.2">
      <c r="I9405" s="137" t="s">
        <v>74</v>
      </c>
    </row>
    <row r="9406" spans="9:9" x14ac:dyDescent="0.2">
      <c r="I9406" s="137" t="s">
        <v>74</v>
      </c>
    </row>
    <row r="9407" spans="9:9" x14ac:dyDescent="0.2">
      <c r="I9407" s="137" t="s">
        <v>74</v>
      </c>
    </row>
    <row r="9408" spans="9:9" x14ac:dyDescent="0.2">
      <c r="I9408" s="137" t="s">
        <v>74</v>
      </c>
    </row>
    <row r="9409" spans="9:9" x14ac:dyDescent="0.2">
      <c r="I9409" s="137" t="s">
        <v>74</v>
      </c>
    </row>
    <row r="9410" spans="9:9" x14ac:dyDescent="0.2">
      <c r="I9410" s="137" t="s">
        <v>74</v>
      </c>
    </row>
    <row r="9411" spans="9:9" x14ac:dyDescent="0.2">
      <c r="I9411" s="137" t="s">
        <v>74</v>
      </c>
    </row>
    <row r="9412" spans="9:9" x14ac:dyDescent="0.2">
      <c r="I9412" s="137" t="s">
        <v>74</v>
      </c>
    </row>
    <row r="9413" spans="9:9" x14ac:dyDescent="0.2">
      <c r="I9413" s="137" t="s">
        <v>74</v>
      </c>
    </row>
    <row r="9414" spans="9:9" x14ac:dyDescent="0.2">
      <c r="I9414" s="137" t="s">
        <v>74</v>
      </c>
    </row>
    <row r="9415" spans="9:9" x14ac:dyDescent="0.2">
      <c r="I9415" s="137" t="s">
        <v>74</v>
      </c>
    </row>
    <row r="9416" spans="9:9" x14ac:dyDescent="0.2">
      <c r="I9416" s="137" t="s">
        <v>74</v>
      </c>
    </row>
    <row r="9417" spans="9:9" x14ac:dyDescent="0.2">
      <c r="I9417" s="137" t="s">
        <v>74</v>
      </c>
    </row>
    <row r="9418" spans="9:9" x14ac:dyDescent="0.2">
      <c r="I9418" s="137" t="s">
        <v>74</v>
      </c>
    </row>
    <row r="9419" spans="9:9" x14ac:dyDescent="0.2">
      <c r="I9419" s="137" t="s">
        <v>74</v>
      </c>
    </row>
    <row r="9420" spans="9:9" x14ac:dyDescent="0.2">
      <c r="I9420" s="137" t="s">
        <v>74</v>
      </c>
    </row>
    <row r="9421" spans="9:9" x14ac:dyDescent="0.2">
      <c r="I9421" s="137" t="s">
        <v>74</v>
      </c>
    </row>
    <row r="9422" spans="9:9" x14ac:dyDescent="0.2">
      <c r="I9422" s="137" t="s">
        <v>74</v>
      </c>
    </row>
    <row r="9423" spans="9:9" x14ac:dyDescent="0.2">
      <c r="I9423" s="137" t="s">
        <v>74</v>
      </c>
    </row>
    <row r="9424" spans="9:9" x14ac:dyDescent="0.2">
      <c r="I9424" s="137" t="s">
        <v>74</v>
      </c>
    </row>
    <row r="9425" spans="9:9" x14ac:dyDescent="0.2">
      <c r="I9425" s="137" t="s">
        <v>74</v>
      </c>
    </row>
    <row r="9426" spans="9:9" x14ac:dyDescent="0.2">
      <c r="I9426" s="137" t="s">
        <v>74</v>
      </c>
    </row>
    <row r="9427" spans="9:9" x14ac:dyDescent="0.2">
      <c r="I9427" s="137" t="s">
        <v>74</v>
      </c>
    </row>
    <row r="9428" spans="9:9" x14ac:dyDescent="0.2">
      <c r="I9428" s="137" t="s">
        <v>74</v>
      </c>
    </row>
    <row r="9429" spans="9:9" x14ac:dyDescent="0.2">
      <c r="I9429" s="137" t="s">
        <v>74</v>
      </c>
    </row>
    <row r="9430" spans="9:9" x14ac:dyDescent="0.2">
      <c r="I9430" s="137" t="s">
        <v>74</v>
      </c>
    </row>
    <row r="9431" spans="9:9" x14ac:dyDescent="0.2">
      <c r="I9431" s="137" t="s">
        <v>74</v>
      </c>
    </row>
    <row r="9432" spans="9:9" x14ac:dyDescent="0.2">
      <c r="I9432" s="137" t="s">
        <v>74</v>
      </c>
    </row>
    <row r="9433" spans="9:9" x14ac:dyDescent="0.2">
      <c r="I9433" s="137" t="s">
        <v>74</v>
      </c>
    </row>
    <row r="9434" spans="9:9" x14ac:dyDescent="0.2">
      <c r="I9434" s="137" t="s">
        <v>74</v>
      </c>
    </row>
    <row r="9435" spans="9:9" x14ac:dyDescent="0.2">
      <c r="I9435" s="137" t="s">
        <v>74</v>
      </c>
    </row>
    <row r="9436" spans="9:9" x14ac:dyDescent="0.2">
      <c r="I9436" s="137" t="s">
        <v>74</v>
      </c>
    </row>
    <row r="9437" spans="9:9" x14ac:dyDescent="0.2">
      <c r="I9437" s="137" t="s">
        <v>74</v>
      </c>
    </row>
    <row r="9438" spans="9:9" x14ac:dyDescent="0.2">
      <c r="I9438" s="137" t="s">
        <v>74</v>
      </c>
    </row>
    <row r="9439" spans="9:9" x14ac:dyDescent="0.2">
      <c r="I9439" s="137" t="s">
        <v>74</v>
      </c>
    </row>
    <row r="9440" spans="9:9" x14ac:dyDescent="0.2">
      <c r="I9440" s="137" t="s">
        <v>74</v>
      </c>
    </row>
    <row r="9441" spans="9:9" x14ac:dyDescent="0.2">
      <c r="I9441" s="137" t="s">
        <v>74</v>
      </c>
    </row>
    <row r="9442" spans="9:9" x14ac:dyDescent="0.2">
      <c r="I9442" s="137" t="s">
        <v>74</v>
      </c>
    </row>
    <row r="9443" spans="9:9" x14ac:dyDescent="0.2">
      <c r="I9443" s="137" t="s">
        <v>74</v>
      </c>
    </row>
    <row r="9444" spans="9:9" x14ac:dyDescent="0.2">
      <c r="I9444" s="137" t="s">
        <v>74</v>
      </c>
    </row>
    <row r="9445" spans="9:9" x14ac:dyDescent="0.2">
      <c r="I9445" s="137" t="s">
        <v>74</v>
      </c>
    </row>
    <row r="9446" spans="9:9" x14ac:dyDescent="0.2">
      <c r="I9446" s="137" t="s">
        <v>74</v>
      </c>
    </row>
    <row r="9447" spans="9:9" x14ac:dyDescent="0.2">
      <c r="I9447" s="137" t="s">
        <v>74</v>
      </c>
    </row>
    <row r="9448" spans="9:9" x14ac:dyDescent="0.2">
      <c r="I9448" s="137" t="s">
        <v>74</v>
      </c>
    </row>
    <row r="9449" spans="9:9" x14ac:dyDescent="0.2">
      <c r="I9449" s="137" t="s">
        <v>74</v>
      </c>
    </row>
    <row r="9450" spans="9:9" x14ac:dyDescent="0.2">
      <c r="I9450" s="137" t="s">
        <v>74</v>
      </c>
    </row>
    <row r="9451" spans="9:9" x14ac:dyDescent="0.2">
      <c r="I9451" s="137" t="s">
        <v>74</v>
      </c>
    </row>
    <row r="9452" spans="9:9" x14ac:dyDescent="0.2">
      <c r="I9452" s="137" t="s">
        <v>74</v>
      </c>
    </row>
    <row r="9453" spans="9:9" x14ac:dyDescent="0.2">
      <c r="I9453" s="137" t="s">
        <v>74</v>
      </c>
    </row>
    <row r="9454" spans="9:9" x14ac:dyDescent="0.2">
      <c r="I9454" s="137" t="s">
        <v>74</v>
      </c>
    </row>
    <row r="9455" spans="9:9" x14ac:dyDescent="0.2">
      <c r="I9455" s="137" t="s">
        <v>74</v>
      </c>
    </row>
    <row r="9456" spans="9:9" x14ac:dyDescent="0.2">
      <c r="I9456" s="137" t="s">
        <v>74</v>
      </c>
    </row>
    <row r="9457" spans="9:9" x14ac:dyDescent="0.2">
      <c r="I9457" s="137" t="s">
        <v>74</v>
      </c>
    </row>
    <row r="9458" spans="9:9" x14ac:dyDescent="0.2">
      <c r="I9458" s="137" t="s">
        <v>74</v>
      </c>
    </row>
    <row r="9459" spans="9:9" x14ac:dyDescent="0.2">
      <c r="I9459" s="137" t="s">
        <v>74</v>
      </c>
    </row>
    <row r="9460" spans="9:9" x14ac:dyDescent="0.2">
      <c r="I9460" s="137" t="s">
        <v>74</v>
      </c>
    </row>
    <row r="9461" spans="9:9" x14ac:dyDescent="0.2">
      <c r="I9461" s="137" t="s">
        <v>74</v>
      </c>
    </row>
    <row r="9462" spans="9:9" x14ac:dyDescent="0.2">
      <c r="I9462" s="137" t="s">
        <v>74</v>
      </c>
    </row>
    <row r="9463" spans="9:9" x14ac:dyDescent="0.2">
      <c r="I9463" s="137" t="s">
        <v>74</v>
      </c>
    </row>
    <row r="9464" spans="9:9" x14ac:dyDescent="0.2">
      <c r="I9464" s="137" t="s">
        <v>74</v>
      </c>
    </row>
    <row r="9465" spans="9:9" x14ac:dyDescent="0.2">
      <c r="I9465" s="137" t="s">
        <v>74</v>
      </c>
    </row>
    <row r="9466" spans="9:9" x14ac:dyDescent="0.2">
      <c r="I9466" s="137" t="s">
        <v>74</v>
      </c>
    </row>
    <row r="9467" spans="9:9" x14ac:dyDescent="0.2">
      <c r="I9467" s="137" t="s">
        <v>74</v>
      </c>
    </row>
    <row r="9468" spans="9:9" x14ac:dyDescent="0.2">
      <c r="I9468" s="137" t="s">
        <v>74</v>
      </c>
    </row>
    <row r="9469" spans="9:9" x14ac:dyDescent="0.2">
      <c r="I9469" s="137" t="s">
        <v>74</v>
      </c>
    </row>
    <row r="9470" spans="9:9" x14ac:dyDescent="0.2">
      <c r="I9470" s="137" t="s">
        <v>74</v>
      </c>
    </row>
    <row r="9471" spans="9:9" x14ac:dyDescent="0.2">
      <c r="I9471" s="137" t="s">
        <v>74</v>
      </c>
    </row>
    <row r="9472" spans="9:9" x14ac:dyDescent="0.2">
      <c r="I9472" s="137" t="s">
        <v>74</v>
      </c>
    </row>
    <row r="9473" spans="9:9" x14ac:dyDescent="0.2">
      <c r="I9473" s="137" t="s">
        <v>74</v>
      </c>
    </row>
    <row r="9474" spans="9:9" x14ac:dyDescent="0.2">
      <c r="I9474" s="137" t="s">
        <v>74</v>
      </c>
    </row>
    <row r="9475" spans="9:9" x14ac:dyDescent="0.2">
      <c r="I9475" s="137" t="s">
        <v>74</v>
      </c>
    </row>
    <row r="9476" spans="9:9" x14ac:dyDescent="0.2">
      <c r="I9476" s="137" t="s">
        <v>74</v>
      </c>
    </row>
    <row r="9477" spans="9:9" x14ac:dyDescent="0.2">
      <c r="I9477" s="137" t="s">
        <v>74</v>
      </c>
    </row>
    <row r="9478" spans="9:9" x14ac:dyDescent="0.2">
      <c r="I9478" s="137" t="s">
        <v>74</v>
      </c>
    </row>
    <row r="9479" spans="9:9" x14ac:dyDescent="0.2">
      <c r="I9479" s="137" t="s">
        <v>74</v>
      </c>
    </row>
    <row r="9480" spans="9:9" x14ac:dyDescent="0.2">
      <c r="I9480" s="137" t="s">
        <v>74</v>
      </c>
    </row>
    <row r="9481" spans="9:9" x14ac:dyDescent="0.2">
      <c r="I9481" s="137" t="s">
        <v>74</v>
      </c>
    </row>
    <row r="9482" spans="9:9" x14ac:dyDescent="0.2">
      <c r="I9482" s="137" t="s">
        <v>74</v>
      </c>
    </row>
    <row r="9483" spans="9:9" x14ac:dyDescent="0.2">
      <c r="I9483" s="137" t="s">
        <v>74</v>
      </c>
    </row>
    <row r="9484" spans="9:9" x14ac:dyDescent="0.2">
      <c r="I9484" s="137" t="s">
        <v>74</v>
      </c>
    </row>
    <row r="9485" spans="9:9" x14ac:dyDescent="0.2">
      <c r="I9485" s="137" t="s">
        <v>74</v>
      </c>
    </row>
    <row r="9486" spans="9:9" x14ac:dyDescent="0.2">
      <c r="I9486" s="137" t="s">
        <v>74</v>
      </c>
    </row>
    <row r="9487" spans="9:9" x14ac:dyDescent="0.2">
      <c r="I9487" s="137" t="s">
        <v>74</v>
      </c>
    </row>
    <row r="9488" spans="9:9" x14ac:dyDescent="0.2">
      <c r="I9488" s="137" t="s">
        <v>74</v>
      </c>
    </row>
    <row r="9489" spans="9:9" x14ac:dyDescent="0.2">
      <c r="I9489" s="137" t="s">
        <v>74</v>
      </c>
    </row>
    <row r="9490" spans="9:9" x14ac:dyDescent="0.2">
      <c r="I9490" s="137" t="s">
        <v>74</v>
      </c>
    </row>
    <row r="9491" spans="9:9" x14ac:dyDescent="0.2">
      <c r="I9491" s="137" t="s">
        <v>74</v>
      </c>
    </row>
    <row r="9492" spans="9:9" x14ac:dyDescent="0.2">
      <c r="I9492" s="137" t="s">
        <v>74</v>
      </c>
    </row>
    <row r="9493" spans="9:9" x14ac:dyDescent="0.2">
      <c r="I9493" s="137" t="s">
        <v>74</v>
      </c>
    </row>
    <row r="9494" spans="9:9" x14ac:dyDescent="0.2">
      <c r="I9494" s="137" t="s">
        <v>74</v>
      </c>
    </row>
    <row r="9495" spans="9:9" x14ac:dyDescent="0.2">
      <c r="I9495" s="137" t="s">
        <v>74</v>
      </c>
    </row>
    <row r="9496" spans="9:9" x14ac:dyDescent="0.2">
      <c r="I9496" s="137" t="s">
        <v>74</v>
      </c>
    </row>
    <row r="9497" spans="9:9" x14ac:dyDescent="0.2">
      <c r="I9497" s="137" t="s">
        <v>74</v>
      </c>
    </row>
    <row r="9498" spans="9:9" x14ac:dyDescent="0.2">
      <c r="I9498" s="137" t="s">
        <v>74</v>
      </c>
    </row>
    <row r="9499" spans="9:9" x14ac:dyDescent="0.2">
      <c r="I9499" s="137" t="s">
        <v>74</v>
      </c>
    </row>
    <row r="9500" spans="9:9" x14ac:dyDescent="0.2">
      <c r="I9500" s="137" t="s">
        <v>74</v>
      </c>
    </row>
    <row r="9501" spans="9:9" x14ac:dyDescent="0.2">
      <c r="I9501" s="137" t="s">
        <v>74</v>
      </c>
    </row>
    <row r="9502" spans="9:9" x14ac:dyDescent="0.2">
      <c r="I9502" s="137" t="s">
        <v>74</v>
      </c>
    </row>
    <row r="9503" spans="9:9" x14ac:dyDescent="0.2">
      <c r="I9503" s="137" t="s">
        <v>74</v>
      </c>
    </row>
    <row r="9504" spans="9:9" x14ac:dyDescent="0.2">
      <c r="I9504" s="137" t="s">
        <v>74</v>
      </c>
    </row>
    <row r="9505" spans="9:9" x14ac:dyDescent="0.2">
      <c r="I9505" s="137" t="s">
        <v>74</v>
      </c>
    </row>
    <row r="9506" spans="9:9" x14ac:dyDescent="0.2">
      <c r="I9506" s="137" t="s">
        <v>74</v>
      </c>
    </row>
    <row r="9507" spans="9:9" x14ac:dyDescent="0.2">
      <c r="I9507" s="137" t="s">
        <v>74</v>
      </c>
    </row>
    <row r="9508" spans="9:9" x14ac:dyDescent="0.2">
      <c r="I9508" s="137" t="s">
        <v>74</v>
      </c>
    </row>
    <row r="9509" spans="9:9" x14ac:dyDescent="0.2">
      <c r="I9509" s="137" t="s">
        <v>74</v>
      </c>
    </row>
    <row r="9510" spans="9:9" x14ac:dyDescent="0.2">
      <c r="I9510" s="137" t="s">
        <v>74</v>
      </c>
    </row>
    <row r="9511" spans="9:9" x14ac:dyDescent="0.2">
      <c r="I9511" s="137" t="s">
        <v>74</v>
      </c>
    </row>
    <row r="9512" spans="9:9" x14ac:dyDescent="0.2">
      <c r="I9512" s="137" t="s">
        <v>74</v>
      </c>
    </row>
    <row r="9513" spans="9:9" x14ac:dyDescent="0.2">
      <c r="I9513" s="137" t="s">
        <v>74</v>
      </c>
    </row>
    <row r="9514" spans="9:9" x14ac:dyDescent="0.2">
      <c r="I9514" s="137" t="s">
        <v>74</v>
      </c>
    </row>
    <row r="9515" spans="9:9" x14ac:dyDescent="0.2">
      <c r="I9515" s="137" t="s">
        <v>74</v>
      </c>
    </row>
    <row r="9516" spans="9:9" x14ac:dyDescent="0.2">
      <c r="I9516" s="137" t="s">
        <v>74</v>
      </c>
    </row>
    <row r="9517" spans="9:9" x14ac:dyDescent="0.2">
      <c r="I9517" s="137" t="s">
        <v>74</v>
      </c>
    </row>
    <row r="9518" spans="9:9" x14ac:dyDescent="0.2">
      <c r="I9518" s="137" t="s">
        <v>74</v>
      </c>
    </row>
    <row r="9519" spans="9:9" x14ac:dyDescent="0.2">
      <c r="I9519" s="137" t="s">
        <v>74</v>
      </c>
    </row>
    <row r="9520" spans="9:9" x14ac:dyDescent="0.2">
      <c r="I9520" s="137" t="s">
        <v>74</v>
      </c>
    </row>
    <row r="9521" spans="9:9" x14ac:dyDescent="0.2">
      <c r="I9521" s="137" t="s">
        <v>74</v>
      </c>
    </row>
    <row r="9522" spans="9:9" x14ac:dyDescent="0.2">
      <c r="I9522" s="137" t="s">
        <v>74</v>
      </c>
    </row>
    <row r="9523" spans="9:9" x14ac:dyDescent="0.2">
      <c r="I9523" s="137" t="s">
        <v>74</v>
      </c>
    </row>
    <row r="9524" spans="9:9" x14ac:dyDescent="0.2">
      <c r="I9524" s="137" t="s">
        <v>74</v>
      </c>
    </row>
    <row r="9525" spans="9:9" x14ac:dyDescent="0.2">
      <c r="I9525" s="137" t="s">
        <v>74</v>
      </c>
    </row>
    <row r="9526" spans="9:9" x14ac:dyDescent="0.2">
      <c r="I9526" s="137" t="s">
        <v>74</v>
      </c>
    </row>
    <row r="9527" spans="9:9" x14ac:dyDescent="0.2">
      <c r="I9527" s="137" t="s">
        <v>74</v>
      </c>
    </row>
    <row r="9528" spans="9:9" x14ac:dyDescent="0.2">
      <c r="I9528" s="137" t="s">
        <v>74</v>
      </c>
    </row>
    <row r="9529" spans="9:9" x14ac:dyDescent="0.2">
      <c r="I9529" s="137" t="s">
        <v>74</v>
      </c>
    </row>
    <row r="9530" spans="9:9" x14ac:dyDescent="0.2">
      <c r="I9530" s="137" t="s">
        <v>74</v>
      </c>
    </row>
    <row r="9531" spans="9:9" x14ac:dyDescent="0.2">
      <c r="I9531" s="137" t="s">
        <v>74</v>
      </c>
    </row>
    <row r="9532" spans="9:9" x14ac:dyDescent="0.2">
      <c r="I9532" s="137" t="s">
        <v>74</v>
      </c>
    </row>
    <row r="9533" spans="9:9" x14ac:dyDescent="0.2">
      <c r="I9533" s="137" t="s">
        <v>74</v>
      </c>
    </row>
    <row r="9534" spans="9:9" x14ac:dyDescent="0.2">
      <c r="I9534" s="137" t="s">
        <v>74</v>
      </c>
    </row>
    <row r="9535" spans="9:9" x14ac:dyDescent="0.2">
      <c r="I9535" s="137" t="s">
        <v>74</v>
      </c>
    </row>
    <row r="9536" spans="9:9" x14ac:dyDescent="0.2">
      <c r="I9536" s="137" t="s">
        <v>74</v>
      </c>
    </row>
    <row r="9537" spans="9:9" x14ac:dyDescent="0.2">
      <c r="I9537" s="137" t="s">
        <v>74</v>
      </c>
    </row>
    <row r="9538" spans="9:9" x14ac:dyDescent="0.2">
      <c r="I9538" s="137" t="s">
        <v>74</v>
      </c>
    </row>
    <row r="9539" spans="9:9" x14ac:dyDescent="0.2">
      <c r="I9539" s="137" t="s">
        <v>74</v>
      </c>
    </row>
    <row r="9540" spans="9:9" x14ac:dyDescent="0.2">
      <c r="I9540" s="137" t="s">
        <v>74</v>
      </c>
    </row>
    <row r="9541" spans="9:9" x14ac:dyDescent="0.2">
      <c r="I9541" s="137" t="s">
        <v>74</v>
      </c>
    </row>
    <row r="9542" spans="9:9" x14ac:dyDescent="0.2">
      <c r="I9542" s="137" t="s">
        <v>74</v>
      </c>
    </row>
    <row r="9543" spans="9:9" x14ac:dyDescent="0.2">
      <c r="I9543" s="137" t="s">
        <v>74</v>
      </c>
    </row>
    <row r="9544" spans="9:9" x14ac:dyDescent="0.2">
      <c r="I9544" s="137" t="s">
        <v>74</v>
      </c>
    </row>
    <row r="9545" spans="9:9" x14ac:dyDescent="0.2">
      <c r="I9545" s="137" t="s">
        <v>74</v>
      </c>
    </row>
    <row r="9546" spans="9:9" x14ac:dyDescent="0.2">
      <c r="I9546" s="137" t="s">
        <v>74</v>
      </c>
    </row>
    <row r="9547" spans="9:9" x14ac:dyDescent="0.2">
      <c r="I9547" s="137" t="s">
        <v>74</v>
      </c>
    </row>
    <row r="9548" spans="9:9" x14ac:dyDescent="0.2">
      <c r="I9548" s="137" t="s">
        <v>74</v>
      </c>
    </row>
    <row r="9549" spans="9:9" x14ac:dyDescent="0.2">
      <c r="I9549" s="137" t="s">
        <v>74</v>
      </c>
    </row>
    <row r="9550" spans="9:9" x14ac:dyDescent="0.2">
      <c r="I9550" s="137" t="s">
        <v>74</v>
      </c>
    </row>
    <row r="9551" spans="9:9" x14ac:dyDescent="0.2">
      <c r="I9551" s="137" t="s">
        <v>74</v>
      </c>
    </row>
    <row r="9552" spans="9:9" x14ac:dyDescent="0.2">
      <c r="I9552" s="137" t="s">
        <v>74</v>
      </c>
    </row>
    <row r="9553" spans="9:9" x14ac:dyDescent="0.2">
      <c r="I9553" s="137" t="s">
        <v>74</v>
      </c>
    </row>
    <row r="9554" spans="9:9" x14ac:dyDescent="0.2">
      <c r="I9554" s="137" t="s">
        <v>74</v>
      </c>
    </row>
    <row r="9555" spans="9:9" x14ac:dyDescent="0.2">
      <c r="I9555" s="137" t="s">
        <v>74</v>
      </c>
    </row>
    <row r="9556" spans="9:9" x14ac:dyDescent="0.2">
      <c r="I9556" s="137" t="s">
        <v>74</v>
      </c>
    </row>
    <row r="9557" spans="9:9" x14ac:dyDescent="0.2">
      <c r="I9557" s="137" t="s">
        <v>74</v>
      </c>
    </row>
    <row r="9558" spans="9:9" x14ac:dyDescent="0.2">
      <c r="I9558" s="137" t="s">
        <v>74</v>
      </c>
    </row>
    <row r="9559" spans="9:9" x14ac:dyDescent="0.2">
      <c r="I9559" s="137" t="s">
        <v>74</v>
      </c>
    </row>
    <row r="9560" spans="9:9" x14ac:dyDescent="0.2">
      <c r="I9560" s="137" t="s">
        <v>74</v>
      </c>
    </row>
    <row r="9561" spans="9:9" x14ac:dyDescent="0.2">
      <c r="I9561" s="137" t="s">
        <v>74</v>
      </c>
    </row>
    <row r="9562" spans="9:9" x14ac:dyDescent="0.2">
      <c r="I9562" s="137" t="s">
        <v>74</v>
      </c>
    </row>
    <row r="9563" spans="9:9" x14ac:dyDescent="0.2">
      <c r="I9563" s="137" t="s">
        <v>74</v>
      </c>
    </row>
    <row r="9564" spans="9:9" x14ac:dyDescent="0.2">
      <c r="I9564" s="137" t="s">
        <v>74</v>
      </c>
    </row>
    <row r="9565" spans="9:9" x14ac:dyDescent="0.2">
      <c r="I9565" s="137" t="s">
        <v>74</v>
      </c>
    </row>
    <row r="9566" spans="9:9" x14ac:dyDescent="0.2">
      <c r="I9566" s="137" t="s">
        <v>74</v>
      </c>
    </row>
    <row r="9567" spans="9:9" x14ac:dyDescent="0.2">
      <c r="I9567" s="137" t="s">
        <v>74</v>
      </c>
    </row>
    <row r="9568" spans="9:9" x14ac:dyDescent="0.2">
      <c r="I9568" s="137" t="s">
        <v>74</v>
      </c>
    </row>
    <row r="9569" spans="9:9" x14ac:dyDescent="0.2">
      <c r="I9569" s="137" t="s">
        <v>74</v>
      </c>
    </row>
    <row r="9570" spans="9:9" x14ac:dyDescent="0.2">
      <c r="I9570" s="137" t="s">
        <v>74</v>
      </c>
    </row>
    <row r="9571" spans="9:9" x14ac:dyDescent="0.2">
      <c r="I9571" s="137" t="s">
        <v>74</v>
      </c>
    </row>
    <row r="9572" spans="9:9" x14ac:dyDescent="0.2">
      <c r="I9572" s="137" t="s">
        <v>74</v>
      </c>
    </row>
    <row r="9573" spans="9:9" x14ac:dyDescent="0.2">
      <c r="I9573" s="137" t="s">
        <v>74</v>
      </c>
    </row>
    <row r="9574" spans="9:9" x14ac:dyDescent="0.2">
      <c r="I9574" s="137" t="s">
        <v>74</v>
      </c>
    </row>
    <row r="9575" spans="9:9" x14ac:dyDescent="0.2">
      <c r="I9575" s="137" t="s">
        <v>74</v>
      </c>
    </row>
    <row r="9576" spans="9:9" x14ac:dyDescent="0.2">
      <c r="I9576" s="137" t="s">
        <v>74</v>
      </c>
    </row>
    <row r="9577" spans="9:9" x14ac:dyDescent="0.2">
      <c r="I9577" s="137" t="s">
        <v>74</v>
      </c>
    </row>
    <row r="9578" spans="9:9" x14ac:dyDescent="0.2">
      <c r="I9578" s="137" t="s">
        <v>74</v>
      </c>
    </row>
    <row r="9579" spans="9:9" x14ac:dyDescent="0.2">
      <c r="I9579" s="137" t="s">
        <v>74</v>
      </c>
    </row>
    <row r="9580" spans="9:9" x14ac:dyDescent="0.2">
      <c r="I9580" s="137" t="s">
        <v>74</v>
      </c>
    </row>
    <row r="9581" spans="9:9" x14ac:dyDescent="0.2">
      <c r="I9581" s="137" t="s">
        <v>74</v>
      </c>
    </row>
    <row r="9582" spans="9:9" x14ac:dyDescent="0.2">
      <c r="I9582" s="137" t="s">
        <v>74</v>
      </c>
    </row>
    <row r="9583" spans="9:9" x14ac:dyDescent="0.2">
      <c r="I9583" s="137" t="s">
        <v>74</v>
      </c>
    </row>
    <row r="9584" spans="9:9" x14ac:dyDescent="0.2">
      <c r="I9584" s="137" t="s">
        <v>74</v>
      </c>
    </row>
    <row r="9585" spans="9:9" x14ac:dyDescent="0.2">
      <c r="I9585" s="137" t="s">
        <v>74</v>
      </c>
    </row>
    <row r="9586" spans="9:9" x14ac:dyDescent="0.2">
      <c r="I9586" s="137" t="s">
        <v>74</v>
      </c>
    </row>
    <row r="9587" spans="9:9" x14ac:dyDescent="0.2">
      <c r="I9587" s="137" t="s">
        <v>74</v>
      </c>
    </row>
    <row r="9588" spans="9:9" x14ac:dyDescent="0.2">
      <c r="I9588" s="137" t="s">
        <v>74</v>
      </c>
    </row>
    <row r="9589" spans="9:9" x14ac:dyDescent="0.2">
      <c r="I9589" s="137" t="s">
        <v>74</v>
      </c>
    </row>
    <row r="9590" spans="9:9" x14ac:dyDescent="0.2">
      <c r="I9590" s="137" t="s">
        <v>74</v>
      </c>
    </row>
    <row r="9591" spans="9:9" x14ac:dyDescent="0.2">
      <c r="I9591" s="137" t="s">
        <v>74</v>
      </c>
    </row>
    <row r="9592" spans="9:9" x14ac:dyDescent="0.2">
      <c r="I9592" s="137" t="s">
        <v>74</v>
      </c>
    </row>
    <row r="9593" spans="9:9" x14ac:dyDescent="0.2">
      <c r="I9593" s="137" t="s">
        <v>74</v>
      </c>
    </row>
    <row r="9594" spans="9:9" x14ac:dyDescent="0.2">
      <c r="I9594" s="137" t="s">
        <v>74</v>
      </c>
    </row>
    <row r="9595" spans="9:9" x14ac:dyDescent="0.2">
      <c r="I9595" s="137" t="s">
        <v>74</v>
      </c>
    </row>
    <row r="9596" spans="9:9" x14ac:dyDescent="0.2">
      <c r="I9596" s="137" t="s">
        <v>74</v>
      </c>
    </row>
    <row r="9597" spans="9:9" x14ac:dyDescent="0.2">
      <c r="I9597" s="137" t="s">
        <v>74</v>
      </c>
    </row>
    <row r="9598" spans="9:9" x14ac:dyDescent="0.2">
      <c r="I9598" s="137" t="s">
        <v>74</v>
      </c>
    </row>
    <row r="9599" spans="9:9" x14ac:dyDescent="0.2">
      <c r="I9599" s="137" t="s">
        <v>74</v>
      </c>
    </row>
    <row r="9600" spans="9:9" x14ac:dyDescent="0.2">
      <c r="I9600" s="137" t="s">
        <v>74</v>
      </c>
    </row>
    <row r="9601" spans="9:9" x14ac:dyDescent="0.2">
      <c r="I9601" s="137" t="s">
        <v>74</v>
      </c>
    </row>
    <row r="9602" spans="9:9" x14ac:dyDescent="0.2">
      <c r="I9602" s="137" t="s">
        <v>74</v>
      </c>
    </row>
    <row r="9603" spans="9:9" x14ac:dyDescent="0.2">
      <c r="I9603" s="137" t="s">
        <v>74</v>
      </c>
    </row>
    <row r="9604" spans="9:9" x14ac:dyDescent="0.2">
      <c r="I9604" s="137" t="s">
        <v>74</v>
      </c>
    </row>
    <row r="9605" spans="9:9" x14ac:dyDescent="0.2">
      <c r="I9605" s="137" t="s">
        <v>74</v>
      </c>
    </row>
    <row r="9606" spans="9:9" x14ac:dyDescent="0.2">
      <c r="I9606" s="137" t="s">
        <v>74</v>
      </c>
    </row>
    <row r="9607" spans="9:9" x14ac:dyDescent="0.2">
      <c r="I9607" s="137" t="s">
        <v>74</v>
      </c>
    </row>
    <row r="9608" spans="9:9" x14ac:dyDescent="0.2">
      <c r="I9608" s="137" t="s">
        <v>74</v>
      </c>
    </row>
    <row r="9609" spans="9:9" x14ac:dyDescent="0.2">
      <c r="I9609" s="137" t="s">
        <v>74</v>
      </c>
    </row>
    <row r="9610" spans="9:9" x14ac:dyDescent="0.2">
      <c r="I9610" s="137" t="s">
        <v>74</v>
      </c>
    </row>
    <row r="9611" spans="9:9" x14ac:dyDescent="0.2">
      <c r="I9611" s="137" t="s">
        <v>74</v>
      </c>
    </row>
    <row r="9612" spans="9:9" x14ac:dyDescent="0.2">
      <c r="I9612" s="137" t="s">
        <v>74</v>
      </c>
    </row>
    <row r="9613" spans="9:9" x14ac:dyDescent="0.2">
      <c r="I9613" s="137" t="s">
        <v>74</v>
      </c>
    </row>
    <row r="9614" spans="9:9" x14ac:dyDescent="0.2">
      <c r="I9614" s="137" t="s">
        <v>74</v>
      </c>
    </row>
    <row r="9615" spans="9:9" x14ac:dyDescent="0.2">
      <c r="I9615" s="137" t="s">
        <v>74</v>
      </c>
    </row>
    <row r="9616" spans="9:9" x14ac:dyDescent="0.2">
      <c r="I9616" s="137" t="s">
        <v>74</v>
      </c>
    </row>
    <row r="9617" spans="9:9" x14ac:dyDescent="0.2">
      <c r="I9617" s="137" t="s">
        <v>74</v>
      </c>
    </row>
    <row r="9618" spans="9:9" x14ac:dyDescent="0.2">
      <c r="I9618" s="137" t="s">
        <v>74</v>
      </c>
    </row>
    <row r="9619" spans="9:9" x14ac:dyDescent="0.2">
      <c r="I9619" s="137" t="s">
        <v>74</v>
      </c>
    </row>
    <row r="9620" spans="9:9" x14ac:dyDescent="0.2">
      <c r="I9620" s="137" t="s">
        <v>74</v>
      </c>
    </row>
    <row r="9621" spans="9:9" x14ac:dyDescent="0.2">
      <c r="I9621" s="137" t="s">
        <v>74</v>
      </c>
    </row>
    <row r="9622" spans="9:9" x14ac:dyDescent="0.2">
      <c r="I9622" s="137" t="s">
        <v>74</v>
      </c>
    </row>
    <row r="9623" spans="9:9" x14ac:dyDescent="0.2">
      <c r="I9623" s="137" t="s">
        <v>74</v>
      </c>
    </row>
    <row r="9624" spans="9:9" x14ac:dyDescent="0.2">
      <c r="I9624" s="137" t="s">
        <v>74</v>
      </c>
    </row>
    <row r="9625" spans="9:9" x14ac:dyDescent="0.2">
      <c r="I9625" s="137" t="s">
        <v>74</v>
      </c>
    </row>
    <row r="9626" spans="9:9" x14ac:dyDescent="0.2">
      <c r="I9626" s="137" t="s">
        <v>74</v>
      </c>
    </row>
    <row r="9627" spans="9:9" x14ac:dyDescent="0.2">
      <c r="I9627" s="137" t="s">
        <v>74</v>
      </c>
    </row>
    <row r="9628" spans="9:9" x14ac:dyDescent="0.2">
      <c r="I9628" s="137" t="s">
        <v>74</v>
      </c>
    </row>
    <row r="9629" spans="9:9" x14ac:dyDescent="0.2">
      <c r="I9629" s="137" t="s">
        <v>74</v>
      </c>
    </row>
    <row r="9630" spans="9:9" x14ac:dyDescent="0.2">
      <c r="I9630" s="137" t="s">
        <v>74</v>
      </c>
    </row>
    <row r="9631" spans="9:9" x14ac:dyDescent="0.2">
      <c r="I9631" s="137" t="s">
        <v>74</v>
      </c>
    </row>
    <row r="9632" spans="9:9" x14ac:dyDescent="0.2">
      <c r="I9632" s="137" t="s">
        <v>74</v>
      </c>
    </row>
    <row r="9633" spans="9:9" x14ac:dyDescent="0.2">
      <c r="I9633" s="137" t="s">
        <v>74</v>
      </c>
    </row>
    <row r="9634" spans="9:9" x14ac:dyDescent="0.2">
      <c r="I9634" s="137" t="s">
        <v>74</v>
      </c>
    </row>
    <row r="9635" spans="9:9" x14ac:dyDescent="0.2">
      <c r="I9635" s="137" t="s">
        <v>74</v>
      </c>
    </row>
    <row r="9636" spans="9:9" x14ac:dyDescent="0.2">
      <c r="I9636" s="137" t="s">
        <v>74</v>
      </c>
    </row>
    <row r="9637" spans="9:9" x14ac:dyDescent="0.2">
      <c r="I9637" s="137" t="s">
        <v>74</v>
      </c>
    </row>
    <row r="9638" spans="9:9" x14ac:dyDescent="0.2">
      <c r="I9638" s="137" t="s">
        <v>74</v>
      </c>
    </row>
    <row r="9639" spans="9:9" x14ac:dyDescent="0.2">
      <c r="I9639" s="137" t="s">
        <v>74</v>
      </c>
    </row>
    <row r="9640" spans="9:9" x14ac:dyDescent="0.2">
      <c r="I9640" s="137" t="s">
        <v>74</v>
      </c>
    </row>
    <row r="9641" spans="9:9" x14ac:dyDescent="0.2">
      <c r="I9641" s="137" t="s">
        <v>74</v>
      </c>
    </row>
    <row r="9642" spans="9:9" x14ac:dyDescent="0.2">
      <c r="I9642" s="137" t="s">
        <v>74</v>
      </c>
    </row>
    <row r="9643" spans="9:9" x14ac:dyDescent="0.2">
      <c r="I9643" s="137" t="s">
        <v>74</v>
      </c>
    </row>
    <row r="9644" spans="9:9" x14ac:dyDescent="0.2">
      <c r="I9644" s="137" t="s">
        <v>74</v>
      </c>
    </row>
    <row r="9645" spans="9:9" x14ac:dyDescent="0.2">
      <c r="I9645" s="137" t="s">
        <v>74</v>
      </c>
    </row>
    <row r="9646" spans="9:9" x14ac:dyDescent="0.2">
      <c r="I9646" s="137" t="s">
        <v>74</v>
      </c>
    </row>
    <row r="9647" spans="9:9" x14ac:dyDescent="0.2">
      <c r="I9647" s="137" t="s">
        <v>74</v>
      </c>
    </row>
    <row r="9648" spans="9:9" x14ac:dyDescent="0.2">
      <c r="I9648" s="137" t="s">
        <v>74</v>
      </c>
    </row>
    <row r="9649" spans="9:9" x14ac:dyDescent="0.2">
      <c r="I9649" s="137" t="s">
        <v>74</v>
      </c>
    </row>
    <row r="9650" spans="9:9" x14ac:dyDescent="0.2">
      <c r="I9650" s="137" t="s">
        <v>74</v>
      </c>
    </row>
    <row r="9651" spans="9:9" x14ac:dyDescent="0.2">
      <c r="I9651" s="137" t="s">
        <v>74</v>
      </c>
    </row>
    <row r="9652" spans="9:9" x14ac:dyDescent="0.2">
      <c r="I9652" s="137" t="s">
        <v>74</v>
      </c>
    </row>
    <row r="9653" spans="9:9" x14ac:dyDescent="0.2">
      <c r="I9653" s="137" t="s">
        <v>74</v>
      </c>
    </row>
    <row r="9654" spans="9:9" x14ac:dyDescent="0.2">
      <c r="I9654" s="137" t="s">
        <v>74</v>
      </c>
    </row>
    <row r="9655" spans="9:9" x14ac:dyDescent="0.2">
      <c r="I9655" s="137" t="s">
        <v>74</v>
      </c>
    </row>
    <row r="9656" spans="9:9" x14ac:dyDescent="0.2">
      <c r="I9656" s="137" t="s">
        <v>74</v>
      </c>
    </row>
    <row r="9657" spans="9:9" x14ac:dyDescent="0.2">
      <c r="I9657" s="137" t="s">
        <v>74</v>
      </c>
    </row>
    <row r="9658" spans="9:9" x14ac:dyDescent="0.2">
      <c r="I9658" s="137" t="s">
        <v>74</v>
      </c>
    </row>
    <row r="9659" spans="9:9" x14ac:dyDescent="0.2">
      <c r="I9659" s="137" t="s">
        <v>74</v>
      </c>
    </row>
    <row r="9660" spans="9:9" x14ac:dyDescent="0.2">
      <c r="I9660" s="137" t="s">
        <v>74</v>
      </c>
    </row>
    <row r="9661" spans="9:9" x14ac:dyDescent="0.2">
      <c r="I9661" s="137" t="s">
        <v>74</v>
      </c>
    </row>
    <row r="9662" spans="9:9" x14ac:dyDescent="0.2">
      <c r="I9662" s="137" t="s">
        <v>74</v>
      </c>
    </row>
    <row r="9663" spans="9:9" x14ac:dyDescent="0.2">
      <c r="I9663" s="137" t="s">
        <v>74</v>
      </c>
    </row>
    <row r="9664" spans="9:9" x14ac:dyDescent="0.2">
      <c r="I9664" s="137" t="s">
        <v>74</v>
      </c>
    </row>
    <row r="9665" spans="9:9" x14ac:dyDescent="0.2">
      <c r="I9665" s="137" t="s">
        <v>74</v>
      </c>
    </row>
    <row r="9666" spans="9:9" x14ac:dyDescent="0.2">
      <c r="I9666" s="137" t="s">
        <v>74</v>
      </c>
    </row>
    <row r="9667" spans="9:9" x14ac:dyDescent="0.2">
      <c r="I9667" s="137" t="s">
        <v>74</v>
      </c>
    </row>
    <row r="9668" spans="9:9" x14ac:dyDescent="0.2">
      <c r="I9668" s="137" t="s">
        <v>74</v>
      </c>
    </row>
    <row r="9669" spans="9:9" x14ac:dyDescent="0.2">
      <c r="I9669" s="137" t="s">
        <v>74</v>
      </c>
    </row>
    <row r="9670" spans="9:9" x14ac:dyDescent="0.2">
      <c r="I9670" s="137" t="s">
        <v>74</v>
      </c>
    </row>
    <row r="9671" spans="9:9" x14ac:dyDescent="0.2">
      <c r="I9671" s="137" t="s">
        <v>74</v>
      </c>
    </row>
    <row r="9672" spans="9:9" x14ac:dyDescent="0.2">
      <c r="I9672" s="137" t="s">
        <v>74</v>
      </c>
    </row>
    <row r="9673" spans="9:9" x14ac:dyDescent="0.2">
      <c r="I9673" s="137" t="s">
        <v>74</v>
      </c>
    </row>
    <row r="9674" spans="9:9" x14ac:dyDescent="0.2">
      <c r="I9674" s="137" t="s">
        <v>74</v>
      </c>
    </row>
    <row r="9675" spans="9:9" x14ac:dyDescent="0.2">
      <c r="I9675" s="137" t="s">
        <v>74</v>
      </c>
    </row>
    <row r="9676" spans="9:9" x14ac:dyDescent="0.2">
      <c r="I9676" s="137" t="s">
        <v>74</v>
      </c>
    </row>
    <row r="9677" spans="9:9" x14ac:dyDescent="0.2">
      <c r="I9677" s="137" t="s">
        <v>74</v>
      </c>
    </row>
    <row r="9678" spans="9:9" x14ac:dyDescent="0.2">
      <c r="I9678" s="137" t="s">
        <v>74</v>
      </c>
    </row>
    <row r="9679" spans="9:9" x14ac:dyDescent="0.2">
      <c r="I9679" s="137" t="s">
        <v>74</v>
      </c>
    </row>
    <row r="9680" spans="9:9" x14ac:dyDescent="0.2">
      <c r="I9680" s="137" t="s">
        <v>74</v>
      </c>
    </row>
    <row r="9681" spans="9:9" x14ac:dyDescent="0.2">
      <c r="I9681" s="137" t="s">
        <v>74</v>
      </c>
    </row>
    <row r="9682" spans="9:9" x14ac:dyDescent="0.2">
      <c r="I9682" s="137" t="s">
        <v>74</v>
      </c>
    </row>
    <row r="9683" spans="9:9" x14ac:dyDescent="0.2">
      <c r="I9683" s="137" t="s">
        <v>74</v>
      </c>
    </row>
    <row r="9684" spans="9:9" x14ac:dyDescent="0.2">
      <c r="I9684" s="137" t="s">
        <v>74</v>
      </c>
    </row>
    <row r="9685" spans="9:9" x14ac:dyDescent="0.2">
      <c r="I9685" s="137" t="s">
        <v>74</v>
      </c>
    </row>
    <row r="9686" spans="9:9" x14ac:dyDescent="0.2">
      <c r="I9686" s="137" t="s">
        <v>74</v>
      </c>
    </row>
    <row r="9687" spans="9:9" x14ac:dyDescent="0.2">
      <c r="I9687" s="137" t="s">
        <v>74</v>
      </c>
    </row>
    <row r="9688" spans="9:9" x14ac:dyDescent="0.2">
      <c r="I9688" s="137" t="s">
        <v>74</v>
      </c>
    </row>
    <row r="9689" spans="9:9" x14ac:dyDescent="0.2">
      <c r="I9689" s="137" t="s">
        <v>74</v>
      </c>
    </row>
    <row r="9690" spans="9:9" x14ac:dyDescent="0.2">
      <c r="I9690" s="137" t="s">
        <v>74</v>
      </c>
    </row>
    <row r="9691" spans="9:9" x14ac:dyDescent="0.2">
      <c r="I9691" s="137" t="s">
        <v>74</v>
      </c>
    </row>
    <row r="9692" spans="9:9" x14ac:dyDescent="0.2">
      <c r="I9692" s="137" t="s">
        <v>74</v>
      </c>
    </row>
    <row r="9693" spans="9:9" x14ac:dyDescent="0.2">
      <c r="I9693" s="137" t="s">
        <v>74</v>
      </c>
    </row>
    <row r="9694" spans="9:9" x14ac:dyDescent="0.2">
      <c r="I9694" s="137" t="s">
        <v>74</v>
      </c>
    </row>
    <row r="9695" spans="9:9" x14ac:dyDescent="0.2">
      <c r="I9695" s="137" t="s">
        <v>74</v>
      </c>
    </row>
    <row r="9696" spans="9:9" x14ac:dyDescent="0.2">
      <c r="I9696" s="137" t="s">
        <v>74</v>
      </c>
    </row>
    <row r="9697" spans="9:9" x14ac:dyDescent="0.2">
      <c r="I9697" s="137" t="s">
        <v>74</v>
      </c>
    </row>
    <row r="9698" spans="9:9" x14ac:dyDescent="0.2">
      <c r="I9698" s="137" t="s">
        <v>74</v>
      </c>
    </row>
    <row r="9699" spans="9:9" x14ac:dyDescent="0.2">
      <c r="I9699" s="137" t="s">
        <v>74</v>
      </c>
    </row>
    <row r="9700" spans="9:9" x14ac:dyDescent="0.2">
      <c r="I9700" s="137" t="s">
        <v>74</v>
      </c>
    </row>
    <row r="9701" spans="9:9" x14ac:dyDescent="0.2">
      <c r="I9701" s="137" t="s">
        <v>74</v>
      </c>
    </row>
    <row r="9702" spans="9:9" x14ac:dyDescent="0.2">
      <c r="I9702" s="137" t="s">
        <v>74</v>
      </c>
    </row>
    <row r="9703" spans="9:9" x14ac:dyDescent="0.2">
      <c r="I9703" s="137" t="s">
        <v>74</v>
      </c>
    </row>
    <row r="9704" spans="9:9" x14ac:dyDescent="0.2">
      <c r="I9704" s="137" t="s">
        <v>74</v>
      </c>
    </row>
    <row r="9705" spans="9:9" x14ac:dyDescent="0.2">
      <c r="I9705" s="137" t="s">
        <v>74</v>
      </c>
    </row>
    <row r="9706" spans="9:9" x14ac:dyDescent="0.2">
      <c r="I9706" s="137" t="s">
        <v>74</v>
      </c>
    </row>
    <row r="9707" spans="9:9" x14ac:dyDescent="0.2">
      <c r="I9707" s="137" t="s">
        <v>74</v>
      </c>
    </row>
    <row r="9708" spans="9:9" x14ac:dyDescent="0.2">
      <c r="I9708" s="137" t="s">
        <v>74</v>
      </c>
    </row>
    <row r="9709" spans="9:9" x14ac:dyDescent="0.2">
      <c r="I9709" s="137" t="s">
        <v>74</v>
      </c>
    </row>
    <row r="9710" spans="9:9" x14ac:dyDescent="0.2">
      <c r="I9710" s="137" t="s">
        <v>74</v>
      </c>
    </row>
    <row r="9711" spans="9:9" x14ac:dyDescent="0.2">
      <c r="I9711" s="137" t="s">
        <v>74</v>
      </c>
    </row>
    <row r="9712" spans="9:9" x14ac:dyDescent="0.2">
      <c r="I9712" s="137" t="s">
        <v>74</v>
      </c>
    </row>
    <row r="9713" spans="9:9" x14ac:dyDescent="0.2">
      <c r="I9713" s="137" t="s">
        <v>74</v>
      </c>
    </row>
    <row r="9714" spans="9:9" x14ac:dyDescent="0.2">
      <c r="I9714" s="137" t="s">
        <v>74</v>
      </c>
    </row>
    <row r="9715" spans="9:9" x14ac:dyDescent="0.2">
      <c r="I9715" s="137" t="s">
        <v>74</v>
      </c>
    </row>
    <row r="9716" spans="9:9" x14ac:dyDescent="0.2">
      <c r="I9716" s="137" t="s">
        <v>74</v>
      </c>
    </row>
    <row r="9717" spans="9:9" x14ac:dyDescent="0.2">
      <c r="I9717" s="137" t="s">
        <v>74</v>
      </c>
    </row>
    <row r="9718" spans="9:9" x14ac:dyDescent="0.2">
      <c r="I9718" s="137" t="s">
        <v>74</v>
      </c>
    </row>
    <row r="9719" spans="9:9" x14ac:dyDescent="0.2">
      <c r="I9719" s="137" t="s">
        <v>74</v>
      </c>
    </row>
    <row r="9720" spans="9:9" x14ac:dyDescent="0.2">
      <c r="I9720" s="137" t="s">
        <v>74</v>
      </c>
    </row>
    <row r="9721" spans="9:9" x14ac:dyDescent="0.2">
      <c r="I9721" s="137" t="s">
        <v>74</v>
      </c>
    </row>
    <row r="9722" spans="9:9" x14ac:dyDescent="0.2">
      <c r="I9722" s="137" t="s">
        <v>74</v>
      </c>
    </row>
    <row r="9723" spans="9:9" x14ac:dyDescent="0.2">
      <c r="I9723" s="137" t="s">
        <v>74</v>
      </c>
    </row>
    <row r="9724" spans="9:9" x14ac:dyDescent="0.2">
      <c r="I9724" s="137" t="s">
        <v>74</v>
      </c>
    </row>
    <row r="9725" spans="9:9" x14ac:dyDescent="0.2">
      <c r="I9725" s="137" t="s">
        <v>74</v>
      </c>
    </row>
    <row r="9726" spans="9:9" x14ac:dyDescent="0.2">
      <c r="I9726" s="137" t="s">
        <v>74</v>
      </c>
    </row>
    <row r="9727" spans="9:9" x14ac:dyDescent="0.2">
      <c r="I9727" s="137" t="s">
        <v>74</v>
      </c>
    </row>
    <row r="9728" spans="9:9" x14ac:dyDescent="0.2">
      <c r="I9728" s="137" t="s">
        <v>74</v>
      </c>
    </row>
    <row r="9729" spans="9:9" x14ac:dyDescent="0.2">
      <c r="I9729" s="137" t="s">
        <v>74</v>
      </c>
    </row>
    <row r="9730" spans="9:9" x14ac:dyDescent="0.2">
      <c r="I9730" s="137" t="s">
        <v>74</v>
      </c>
    </row>
    <row r="9731" spans="9:9" x14ac:dyDescent="0.2">
      <c r="I9731" s="137" t="s">
        <v>74</v>
      </c>
    </row>
    <row r="9732" spans="9:9" x14ac:dyDescent="0.2">
      <c r="I9732" s="137" t="s">
        <v>74</v>
      </c>
    </row>
    <row r="9733" spans="9:9" x14ac:dyDescent="0.2">
      <c r="I9733" s="137" t="s">
        <v>74</v>
      </c>
    </row>
    <row r="9734" spans="9:9" x14ac:dyDescent="0.2">
      <c r="I9734" s="137" t="s">
        <v>74</v>
      </c>
    </row>
    <row r="9735" spans="9:9" x14ac:dyDescent="0.2">
      <c r="I9735" s="137" t="s">
        <v>74</v>
      </c>
    </row>
    <row r="9736" spans="9:9" x14ac:dyDescent="0.2">
      <c r="I9736" s="137" t="s">
        <v>74</v>
      </c>
    </row>
    <row r="9737" spans="9:9" x14ac:dyDescent="0.2">
      <c r="I9737" s="137" t="s">
        <v>74</v>
      </c>
    </row>
    <row r="9738" spans="9:9" x14ac:dyDescent="0.2">
      <c r="I9738" s="137" t="s">
        <v>74</v>
      </c>
    </row>
    <row r="9739" spans="9:9" x14ac:dyDescent="0.2">
      <c r="I9739" s="137" t="s">
        <v>74</v>
      </c>
    </row>
    <row r="9740" spans="9:9" x14ac:dyDescent="0.2">
      <c r="I9740" s="137" t="s">
        <v>74</v>
      </c>
    </row>
    <row r="9741" spans="9:9" x14ac:dyDescent="0.2">
      <c r="I9741" s="137" t="s">
        <v>74</v>
      </c>
    </row>
    <row r="9742" spans="9:9" x14ac:dyDescent="0.2">
      <c r="I9742" s="137" t="s">
        <v>74</v>
      </c>
    </row>
    <row r="9743" spans="9:9" x14ac:dyDescent="0.2">
      <c r="I9743" s="137" t="s">
        <v>74</v>
      </c>
    </row>
    <row r="9744" spans="9:9" x14ac:dyDescent="0.2">
      <c r="I9744" s="137" t="s">
        <v>74</v>
      </c>
    </row>
    <row r="9745" spans="9:9" x14ac:dyDescent="0.2">
      <c r="I9745" s="137" t="s">
        <v>74</v>
      </c>
    </row>
    <row r="9746" spans="9:9" x14ac:dyDescent="0.2">
      <c r="I9746" s="137" t="s">
        <v>74</v>
      </c>
    </row>
    <row r="9747" spans="9:9" x14ac:dyDescent="0.2">
      <c r="I9747" s="137" t="s">
        <v>74</v>
      </c>
    </row>
    <row r="9748" spans="9:9" x14ac:dyDescent="0.2">
      <c r="I9748" s="137" t="s">
        <v>74</v>
      </c>
    </row>
    <row r="9749" spans="9:9" x14ac:dyDescent="0.2">
      <c r="I9749" s="137" t="s">
        <v>74</v>
      </c>
    </row>
    <row r="9750" spans="9:9" x14ac:dyDescent="0.2">
      <c r="I9750" s="137" t="s">
        <v>74</v>
      </c>
    </row>
    <row r="9751" spans="9:9" x14ac:dyDescent="0.2">
      <c r="I9751" s="137" t="s">
        <v>74</v>
      </c>
    </row>
    <row r="9752" spans="9:9" x14ac:dyDescent="0.2">
      <c r="I9752" s="137" t="s">
        <v>74</v>
      </c>
    </row>
    <row r="9753" spans="9:9" x14ac:dyDescent="0.2">
      <c r="I9753" s="137" t="s">
        <v>74</v>
      </c>
    </row>
    <row r="9754" spans="9:9" x14ac:dyDescent="0.2">
      <c r="I9754" s="137" t="s">
        <v>74</v>
      </c>
    </row>
    <row r="9755" spans="9:9" x14ac:dyDescent="0.2">
      <c r="I9755" s="137" t="s">
        <v>74</v>
      </c>
    </row>
    <row r="9756" spans="9:9" x14ac:dyDescent="0.2">
      <c r="I9756" s="137" t="s">
        <v>74</v>
      </c>
    </row>
    <row r="9757" spans="9:9" x14ac:dyDescent="0.2">
      <c r="I9757" s="137" t="s">
        <v>74</v>
      </c>
    </row>
    <row r="9758" spans="9:9" x14ac:dyDescent="0.2">
      <c r="I9758" s="137" t="s">
        <v>74</v>
      </c>
    </row>
    <row r="9759" spans="9:9" x14ac:dyDescent="0.2">
      <c r="I9759" s="137" t="s">
        <v>74</v>
      </c>
    </row>
    <row r="9760" spans="9:9" x14ac:dyDescent="0.2">
      <c r="I9760" s="137" t="s">
        <v>74</v>
      </c>
    </row>
    <row r="9761" spans="9:9" x14ac:dyDescent="0.2">
      <c r="I9761" s="137" t="s">
        <v>74</v>
      </c>
    </row>
    <row r="9762" spans="9:9" x14ac:dyDescent="0.2">
      <c r="I9762" s="137" t="s">
        <v>74</v>
      </c>
    </row>
    <row r="9763" spans="9:9" x14ac:dyDescent="0.2">
      <c r="I9763" s="137" t="s">
        <v>74</v>
      </c>
    </row>
    <row r="9764" spans="9:9" x14ac:dyDescent="0.2">
      <c r="I9764" s="137" t="s">
        <v>74</v>
      </c>
    </row>
    <row r="9765" spans="9:9" x14ac:dyDescent="0.2">
      <c r="I9765" s="137" t="s">
        <v>74</v>
      </c>
    </row>
    <row r="9766" spans="9:9" x14ac:dyDescent="0.2">
      <c r="I9766" s="137" t="s">
        <v>74</v>
      </c>
    </row>
    <row r="9767" spans="9:9" x14ac:dyDescent="0.2">
      <c r="I9767" s="137" t="s">
        <v>74</v>
      </c>
    </row>
    <row r="9768" spans="9:9" x14ac:dyDescent="0.2">
      <c r="I9768" s="137" t="s">
        <v>74</v>
      </c>
    </row>
    <row r="9769" spans="9:9" x14ac:dyDescent="0.2">
      <c r="I9769" s="137" t="s">
        <v>74</v>
      </c>
    </row>
    <row r="9770" spans="9:9" x14ac:dyDescent="0.2">
      <c r="I9770" s="137" t="s">
        <v>74</v>
      </c>
    </row>
    <row r="9771" spans="9:9" x14ac:dyDescent="0.2">
      <c r="I9771" s="137" t="s">
        <v>74</v>
      </c>
    </row>
    <row r="9772" spans="9:9" x14ac:dyDescent="0.2">
      <c r="I9772" s="137" t="s">
        <v>74</v>
      </c>
    </row>
    <row r="9773" spans="9:9" x14ac:dyDescent="0.2">
      <c r="I9773" s="137" t="s">
        <v>74</v>
      </c>
    </row>
    <row r="9774" spans="9:9" x14ac:dyDescent="0.2">
      <c r="I9774" s="137" t="s">
        <v>74</v>
      </c>
    </row>
    <row r="9775" spans="9:9" x14ac:dyDescent="0.2">
      <c r="I9775" s="137" t="s">
        <v>74</v>
      </c>
    </row>
    <row r="9776" spans="9:9" x14ac:dyDescent="0.2">
      <c r="I9776" s="137" t="s">
        <v>74</v>
      </c>
    </row>
    <row r="9777" spans="9:9" x14ac:dyDescent="0.2">
      <c r="I9777" s="137" t="s">
        <v>74</v>
      </c>
    </row>
    <row r="9778" spans="9:9" x14ac:dyDescent="0.2">
      <c r="I9778" s="137" t="s">
        <v>74</v>
      </c>
    </row>
    <row r="9779" spans="9:9" x14ac:dyDescent="0.2">
      <c r="I9779" s="137" t="s">
        <v>74</v>
      </c>
    </row>
    <row r="9780" spans="9:9" x14ac:dyDescent="0.2">
      <c r="I9780" s="137" t="s">
        <v>74</v>
      </c>
    </row>
    <row r="9781" spans="9:9" x14ac:dyDescent="0.2">
      <c r="I9781" s="137" t="s">
        <v>74</v>
      </c>
    </row>
    <row r="9782" spans="9:9" x14ac:dyDescent="0.2">
      <c r="I9782" s="137" t="s">
        <v>74</v>
      </c>
    </row>
    <row r="9783" spans="9:9" x14ac:dyDescent="0.2">
      <c r="I9783" s="137" t="s">
        <v>74</v>
      </c>
    </row>
    <row r="9784" spans="9:9" x14ac:dyDescent="0.2">
      <c r="I9784" s="137" t="s">
        <v>74</v>
      </c>
    </row>
    <row r="9785" spans="9:9" x14ac:dyDescent="0.2">
      <c r="I9785" s="137" t="s">
        <v>74</v>
      </c>
    </row>
    <row r="9786" spans="9:9" x14ac:dyDescent="0.2">
      <c r="I9786" s="137" t="s">
        <v>74</v>
      </c>
    </row>
    <row r="9787" spans="9:9" x14ac:dyDescent="0.2">
      <c r="I9787" s="137" t="s">
        <v>74</v>
      </c>
    </row>
    <row r="9788" spans="9:9" x14ac:dyDescent="0.2">
      <c r="I9788" s="137" t="s">
        <v>74</v>
      </c>
    </row>
    <row r="9789" spans="9:9" x14ac:dyDescent="0.2">
      <c r="I9789" s="137" t="s">
        <v>74</v>
      </c>
    </row>
    <row r="9790" spans="9:9" x14ac:dyDescent="0.2">
      <c r="I9790" s="137" t="s">
        <v>74</v>
      </c>
    </row>
    <row r="9791" spans="9:9" x14ac:dyDescent="0.2">
      <c r="I9791" s="137" t="s">
        <v>74</v>
      </c>
    </row>
    <row r="9792" spans="9:9" x14ac:dyDescent="0.2">
      <c r="I9792" s="137" t="s">
        <v>74</v>
      </c>
    </row>
    <row r="9793" spans="9:9" x14ac:dyDescent="0.2">
      <c r="I9793" s="137" t="s">
        <v>74</v>
      </c>
    </row>
    <row r="9794" spans="9:9" x14ac:dyDescent="0.2">
      <c r="I9794" s="137" t="s">
        <v>74</v>
      </c>
    </row>
    <row r="9795" spans="9:9" x14ac:dyDescent="0.2">
      <c r="I9795" s="137" t="s">
        <v>74</v>
      </c>
    </row>
    <row r="9796" spans="9:9" x14ac:dyDescent="0.2">
      <c r="I9796" s="137" t="s">
        <v>74</v>
      </c>
    </row>
    <row r="9797" spans="9:9" x14ac:dyDescent="0.2">
      <c r="I9797" s="137" t="s">
        <v>74</v>
      </c>
    </row>
    <row r="9798" spans="9:9" x14ac:dyDescent="0.2">
      <c r="I9798" s="137" t="s">
        <v>74</v>
      </c>
    </row>
    <row r="9799" spans="9:9" x14ac:dyDescent="0.2">
      <c r="I9799" s="137" t="s">
        <v>74</v>
      </c>
    </row>
    <row r="9800" spans="9:9" x14ac:dyDescent="0.2">
      <c r="I9800" s="137" t="s">
        <v>74</v>
      </c>
    </row>
    <row r="9801" spans="9:9" x14ac:dyDescent="0.2">
      <c r="I9801" s="137" t="s">
        <v>74</v>
      </c>
    </row>
    <row r="9802" spans="9:9" x14ac:dyDescent="0.2">
      <c r="I9802" s="137" t="s">
        <v>74</v>
      </c>
    </row>
    <row r="9803" spans="9:9" x14ac:dyDescent="0.2">
      <c r="I9803" s="137" t="s">
        <v>74</v>
      </c>
    </row>
    <row r="9804" spans="9:9" x14ac:dyDescent="0.2">
      <c r="I9804" s="137" t="s">
        <v>74</v>
      </c>
    </row>
    <row r="9805" spans="9:9" x14ac:dyDescent="0.2">
      <c r="I9805" s="137" t="s">
        <v>74</v>
      </c>
    </row>
    <row r="9806" spans="9:9" x14ac:dyDescent="0.2">
      <c r="I9806" s="137" t="s">
        <v>74</v>
      </c>
    </row>
    <row r="9807" spans="9:9" x14ac:dyDescent="0.2">
      <c r="I9807" s="137" t="s">
        <v>74</v>
      </c>
    </row>
    <row r="9808" spans="9:9" x14ac:dyDescent="0.2">
      <c r="I9808" s="137" t="s">
        <v>74</v>
      </c>
    </row>
    <row r="9809" spans="9:9" x14ac:dyDescent="0.2">
      <c r="I9809" s="137" t="s">
        <v>74</v>
      </c>
    </row>
    <row r="9810" spans="9:9" x14ac:dyDescent="0.2">
      <c r="I9810" s="137" t="s">
        <v>74</v>
      </c>
    </row>
    <row r="9811" spans="9:9" x14ac:dyDescent="0.2">
      <c r="I9811" s="137" t="s">
        <v>74</v>
      </c>
    </row>
    <row r="9812" spans="9:9" x14ac:dyDescent="0.2">
      <c r="I9812" s="137" t="s">
        <v>74</v>
      </c>
    </row>
    <row r="9813" spans="9:9" x14ac:dyDescent="0.2">
      <c r="I9813" s="137" t="s">
        <v>74</v>
      </c>
    </row>
    <row r="9814" spans="9:9" x14ac:dyDescent="0.2">
      <c r="I9814" s="137" t="s">
        <v>74</v>
      </c>
    </row>
    <row r="9815" spans="9:9" x14ac:dyDescent="0.2">
      <c r="I9815" s="137" t="s">
        <v>74</v>
      </c>
    </row>
    <row r="9816" spans="9:9" x14ac:dyDescent="0.2">
      <c r="I9816" s="137" t="s">
        <v>74</v>
      </c>
    </row>
    <row r="9817" spans="9:9" x14ac:dyDescent="0.2">
      <c r="I9817" s="137" t="s">
        <v>74</v>
      </c>
    </row>
    <row r="9818" spans="9:9" x14ac:dyDescent="0.2">
      <c r="I9818" s="137" t="s">
        <v>74</v>
      </c>
    </row>
    <row r="9819" spans="9:9" x14ac:dyDescent="0.2">
      <c r="I9819" s="137" t="s">
        <v>74</v>
      </c>
    </row>
    <row r="9820" spans="9:9" x14ac:dyDescent="0.2">
      <c r="I9820" s="137" t="s">
        <v>74</v>
      </c>
    </row>
    <row r="9821" spans="9:9" x14ac:dyDescent="0.2">
      <c r="I9821" s="137" t="s">
        <v>74</v>
      </c>
    </row>
    <row r="9822" spans="9:9" x14ac:dyDescent="0.2">
      <c r="I9822" s="137" t="s">
        <v>74</v>
      </c>
    </row>
    <row r="9823" spans="9:9" x14ac:dyDescent="0.2">
      <c r="I9823" s="137" t="s">
        <v>74</v>
      </c>
    </row>
    <row r="9824" spans="9:9" x14ac:dyDescent="0.2">
      <c r="I9824" s="137" t="s">
        <v>74</v>
      </c>
    </row>
    <row r="9825" spans="9:9" x14ac:dyDescent="0.2">
      <c r="I9825" s="137" t="s">
        <v>74</v>
      </c>
    </row>
    <row r="9826" spans="9:9" x14ac:dyDescent="0.2">
      <c r="I9826" s="137" t="s">
        <v>74</v>
      </c>
    </row>
    <row r="9827" spans="9:9" x14ac:dyDescent="0.2">
      <c r="I9827" s="137" t="s">
        <v>74</v>
      </c>
    </row>
    <row r="9828" spans="9:9" x14ac:dyDescent="0.2">
      <c r="I9828" s="137" t="s">
        <v>74</v>
      </c>
    </row>
    <row r="9829" spans="9:9" x14ac:dyDescent="0.2">
      <c r="I9829" s="137" t="s">
        <v>74</v>
      </c>
    </row>
    <row r="9830" spans="9:9" x14ac:dyDescent="0.2">
      <c r="I9830" s="137" t="s">
        <v>74</v>
      </c>
    </row>
    <row r="9831" spans="9:9" x14ac:dyDescent="0.2">
      <c r="I9831" s="137" t="s">
        <v>74</v>
      </c>
    </row>
    <row r="9832" spans="9:9" x14ac:dyDescent="0.2">
      <c r="I9832" s="137" t="s">
        <v>74</v>
      </c>
    </row>
    <row r="9833" spans="9:9" x14ac:dyDescent="0.2">
      <c r="I9833" s="137" t="s">
        <v>74</v>
      </c>
    </row>
    <row r="9834" spans="9:9" x14ac:dyDescent="0.2">
      <c r="I9834" s="137" t="s">
        <v>74</v>
      </c>
    </row>
    <row r="9835" spans="9:9" x14ac:dyDescent="0.2">
      <c r="I9835" s="137" t="s">
        <v>74</v>
      </c>
    </row>
    <row r="9836" spans="9:9" x14ac:dyDescent="0.2">
      <c r="I9836" s="137" t="s">
        <v>74</v>
      </c>
    </row>
    <row r="9837" spans="9:9" x14ac:dyDescent="0.2">
      <c r="I9837" s="137" t="s">
        <v>74</v>
      </c>
    </row>
    <row r="9838" spans="9:9" x14ac:dyDescent="0.2">
      <c r="I9838" s="137" t="s">
        <v>74</v>
      </c>
    </row>
    <row r="9839" spans="9:9" x14ac:dyDescent="0.2">
      <c r="I9839" s="137" t="s">
        <v>74</v>
      </c>
    </row>
    <row r="9840" spans="9:9" x14ac:dyDescent="0.2">
      <c r="I9840" s="137" t="s">
        <v>74</v>
      </c>
    </row>
    <row r="9841" spans="9:9" x14ac:dyDescent="0.2">
      <c r="I9841" s="137" t="s">
        <v>74</v>
      </c>
    </row>
    <row r="9842" spans="9:9" x14ac:dyDescent="0.2">
      <c r="I9842" s="137" t="s">
        <v>74</v>
      </c>
    </row>
    <row r="9843" spans="9:9" x14ac:dyDescent="0.2">
      <c r="I9843" s="137" t="s">
        <v>74</v>
      </c>
    </row>
    <row r="9844" spans="9:9" x14ac:dyDescent="0.2">
      <c r="I9844" s="137" t="s">
        <v>74</v>
      </c>
    </row>
    <row r="9845" spans="9:9" x14ac:dyDescent="0.2">
      <c r="I9845" s="137" t="s">
        <v>74</v>
      </c>
    </row>
    <row r="9846" spans="9:9" x14ac:dyDescent="0.2">
      <c r="I9846" s="137" t="s">
        <v>74</v>
      </c>
    </row>
    <row r="9847" spans="9:9" x14ac:dyDescent="0.2">
      <c r="I9847" s="137" t="s">
        <v>74</v>
      </c>
    </row>
    <row r="9848" spans="9:9" x14ac:dyDescent="0.2">
      <c r="I9848" s="137" t="s">
        <v>74</v>
      </c>
    </row>
    <row r="9849" spans="9:9" x14ac:dyDescent="0.2">
      <c r="I9849" s="137" t="s">
        <v>74</v>
      </c>
    </row>
    <row r="9850" spans="9:9" x14ac:dyDescent="0.2">
      <c r="I9850" s="137" t="s">
        <v>74</v>
      </c>
    </row>
    <row r="9851" spans="9:9" x14ac:dyDescent="0.2">
      <c r="I9851" s="137" t="s">
        <v>74</v>
      </c>
    </row>
    <row r="9852" spans="9:9" x14ac:dyDescent="0.2">
      <c r="I9852" s="137" t="s">
        <v>74</v>
      </c>
    </row>
    <row r="9853" spans="9:9" x14ac:dyDescent="0.2">
      <c r="I9853" s="137" t="s">
        <v>74</v>
      </c>
    </row>
    <row r="9854" spans="9:9" x14ac:dyDescent="0.2">
      <c r="I9854" s="137" t="s">
        <v>74</v>
      </c>
    </row>
    <row r="9855" spans="9:9" x14ac:dyDescent="0.2">
      <c r="I9855" s="137" t="s">
        <v>74</v>
      </c>
    </row>
    <row r="9856" spans="9:9" x14ac:dyDescent="0.2">
      <c r="I9856" s="137" t="s">
        <v>74</v>
      </c>
    </row>
    <row r="9857" spans="9:9" x14ac:dyDescent="0.2">
      <c r="I9857" s="137" t="s">
        <v>74</v>
      </c>
    </row>
    <row r="9858" spans="9:9" x14ac:dyDescent="0.2">
      <c r="I9858" s="137" t="s">
        <v>74</v>
      </c>
    </row>
    <row r="9859" spans="9:9" x14ac:dyDescent="0.2">
      <c r="I9859" s="137" t="s">
        <v>74</v>
      </c>
    </row>
    <row r="9860" spans="9:9" x14ac:dyDescent="0.2">
      <c r="I9860" s="137" t="s">
        <v>74</v>
      </c>
    </row>
    <row r="9861" spans="9:9" x14ac:dyDescent="0.2">
      <c r="I9861" s="137" t="s">
        <v>74</v>
      </c>
    </row>
    <row r="9862" spans="9:9" x14ac:dyDescent="0.2">
      <c r="I9862" s="137" t="s">
        <v>74</v>
      </c>
    </row>
    <row r="9863" spans="9:9" x14ac:dyDescent="0.2">
      <c r="I9863" s="137" t="s">
        <v>74</v>
      </c>
    </row>
    <row r="9864" spans="9:9" x14ac:dyDescent="0.2">
      <c r="I9864" s="137" t="s">
        <v>74</v>
      </c>
    </row>
    <row r="9865" spans="9:9" x14ac:dyDescent="0.2">
      <c r="I9865" s="137" t="s">
        <v>74</v>
      </c>
    </row>
    <row r="9866" spans="9:9" x14ac:dyDescent="0.2">
      <c r="I9866" s="137" t="s">
        <v>74</v>
      </c>
    </row>
    <row r="9867" spans="9:9" x14ac:dyDescent="0.2">
      <c r="I9867" s="137" t="s">
        <v>74</v>
      </c>
    </row>
    <row r="9868" spans="9:9" x14ac:dyDescent="0.2">
      <c r="I9868" s="137" t="s">
        <v>74</v>
      </c>
    </row>
    <row r="9869" spans="9:9" x14ac:dyDescent="0.2">
      <c r="I9869" s="137" t="s">
        <v>74</v>
      </c>
    </row>
    <row r="9870" spans="9:9" x14ac:dyDescent="0.2">
      <c r="I9870" s="137" t="s">
        <v>74</v>
      </c>
    </row>
    <row r="9871" spans="9:9" x14ac:dyDescent="0.2">
      <c r="I9871" s="137" t="s">
        <v>74</v>
      </c>
    </row>
    <row r="9872" spans="9:9" x14ac:dyDescent="0.2">
      <c r="I9872" s="137" t="s">
        <v>74</v>
      </c>
    </row>
    <row r="9873" spans="9:9" x14ac:dyDescent="0.2">
      <c r="I9873" s="137" t="s">
        <v>74</v>
      </c>
    </row>
    <row r="9874" spans="9:9" x14ac:dyDescent="0.2">
      <c r="I9874" s="137" t="s">
        <v>74</v>
      </c>
    </row>
    <row r="9875" spans="9:9" x14ac:dyDescent="0.2">
      <c r="I9875" s="137" t="s">
        <v>74</v>
      </c>
    </row>
    <row r="9876" spans="9:9" x14ac:dyDescent="0.2">
      <c r="I9876" s="137" t="s">
        <v>74</v>
      </c>
    </row>
    <row r="9877" spans="9:9" x14ac:dyDescent="0.2">
      <c r="I9877" s="137" t="s">
        <v>74</v>
      </c>
    </row>
    <row r="9878" spans="9:9" x14ac:dyDescent="0.2">
      <c r="I9878" s="137" t="s">
        <v>74</v>
      </c>
    </row>
    <row r="9879" spans="9:9" x14ac:dyDescent="0.2">
      <c r="I9879" s="137" t="s">
        <v>74</v>
      </c>
    </row>
    <row r="9880" spans="9:9" x14ac:dyDescent="0.2">
      <c r="I9880" s="137" t="s">
        <v>74</v>
      </c>
    </row>
    <row r="9881" spans="9:9" x14ac:dyDescent="0.2">
      <c r="I9881" s="137" t="s">
        <v>74</v>
      </c>
    </row>
    <row r="9882" spans="9:9" x14ac:dyDescent="0.2">
      <c r="I9882" s="137" t="s">
        <v>74</v>
      </c>
    </row>
    <row r="9883" spans="9:9" x14ac:dyDescent="0.2">
      <c r="I9883" s="137" t="s">
        <v>74</v>
      </c>
    </row>
    <row r="9884" spans="9:9" x14ac:dyDescent="0.2">
      <c r="I9884" s="137" t="s">
        <v>74</v>
      </c>
    </row>
    <row r="9885" spans="9:9" x14ac:dyDescent="0.2">
      <c r="I9885" s="137" t="s">
        <v>74</v>
      </c>
    </row>
    <row r="9886" spans="9:9" x14ac:dyDescent="0.2">
      <c r="I9886" s="137" t="s">
        <v>74</v>
      </c>
    </row>
    <row r="9887" spans="9:9" x14ac:dyDescent="0.2">
      <c r="I9887" s="137" t="s">
        <v>74</v>
      </c>
    </row>
    <row r="9888" spans="9:9" x14ac:dyDescent="0.2">
      <c r="I9888" s="137" t="s">
        <v>74</v>
      </c>
    </row>
    <row r="9889" spans="9:9" x14ac:dyDescent="0.2">
      <c r="I9889" s="137" t="s">
        <v>74</v>
      </c>
    </row>
    <row r="9890" spans="9:9" x14ac:dyDescent="0.2">
      <c r="I9890" s="137" t="s">
        <v>74</v>
      </c>
    </row>
    <row r="9891" spans="9:9" x14ac:dyDescent="0.2">
      <c r="I9891" s="137" t="s">
        <v>74</v>
      </c>
    </row>
    <row r="9892" spans="9:9" x14ac:dyDescent="0.2">
      <c r="I9892" s="137" t="s">
        <v>74</v>
      </c>
    </row>
    <row r="9893" spans="9:9" x14ac:dyDescent="0.2">
      <c r="I9893" s="137" t="s">
        <v>74</v>
      </c>
    </row>
    <row r="9894" spans="9:9" x14ac:dyDescent="0.2">
      <c r="I9894" s="137" t="s">
        <v>74</v>
      </c>
    </row>
    <row r="9895" spans="9:9" x14ac:dyDescent="0.2">
      <c r="I9895" s="137" t="s">
        <v>74</v>
      </c>
    </row>
    <row r="9896" spans="9:9" x14ac:dyDescent="0.2">
      <c r="I9896" s="137" t="s">
        <v>74</v>
      </c>
    </row>
    <row r="9897" spans="9:9" x14ac:dyDescent="0.2">
      <c r="I9897" s="137" t="s">
        <v>74</v>
      </c>
    </row>
    <row r="9898" spans="9:9" x14ac:dyDescent="0.2">
      <c r="I9898" s="137" t="s">
        <v>74</v>
      </c>
    </row>
    <row r="9899" spans="9:9" x14ac:dyDescent="0.2">
      <c r="I9899" s="137" t="s">
        <v>74</v>
      </c>
    </row>
    <row r="9900" spans="9:9" x14ac:dyDescent="0.2">
      <c r="I9900" s="137" t="s">
        <v>74</v>
      </c>
    </row>
    <row r="9901" spans="9:9" x14ac:dyDescent="0.2">
      <c r="I9901" s="137" t="s">
        <v>74</v>
      </c>
    </row>
    <row r="9902" spans="9:9" x14ac:dyDescent="0.2">
      <c r="I9902" s="137" t="s">
        <v>74</v>
      </c>
    </row>
    <row r="9903" spans="9:9" x14ac:dyDescent="0.2">
      <c r="I9903" s="137" t="s">
        <v>74</v>
      </c>
    </row>
    <row r="9904" spans="9:9" x14ac:dyDescent="0.2">
      <c r="I9904" s="137" t="s">
        <v>74</v>
      </c>
    </row>
    <row r="9905" spans="9:9" x14ac:dyDescent="0.2">
      <c r="I9905" s="137" t="s">
        <v>74</v>
      </c>
    </row>
    <row r="9906" spans="9:9" x14ac:dyDescent="0.2">
      <c r="I9906" s="137" t="s">
        <v>74</v>
      </c>
    </row>
    <row r="9907" spans="9:9" x14ac:dyDescent="0.2">
      <c r="I9907" s="137" t="s">
        <v>74</v>
      </c>
    </row>
    <row r="9908" spans="9:9" x14ac:dyDescent="0.2">
      <c r="I9908" s="137" t="s">
        <v>74</v>
      </c>
    </row>
    <row r="9909" spans="9:9" x14ac:dyDescent="0.2">
      <c r="I9909" s="137" t="s">
        <v>74</v>
      </c>
    </row>
    <row r="9910" spans="9:9" x14ac:dyDescent="0.2">
      <c r="I9910" s="137" t="s">
        <v>74</v>
      </c>
    </row>
    <row r="9911" spans="9:9" x14ac:dyDescent="0.2">
      <c r="I9911" s="137" t="s">
        <v>74</v>
      </c>
    </row>
    <row r="9912" spans="9:9" x14ac:dyDescent="0.2">
      <c r="I9912" s="137" t="s">
        <v>74</v>
      </c>
    </row>
    <row r="9913" spans="9:9" x14ac:dyDescent="0.2">
      <c r="I9913" s="137" t="s">
        <v>74</v>
      </c>
    </row>
    <row r="9914" spans="9:9" x14ac:dyDescent="0.2">
      <c r="I9914" s="137" t="s">
        <v>74</v>
      </c>
    </row>
    <row r="9915" spans="9:9" x14ac:dyDescent="0.2">
      <c r="I9915" s="137" t="s">
        <v>74</v>
      </c>
    </row>
    <row r="9916" spans="9:9" x14ac:dyDescent="0.2">
      <c r="I9916" s="137" t="s">
        <v>74</v>
      </c>
    </row>
    <row r="9917" spans="9:9" x14ac:dyDescent="0.2">
      <c r="I9917" s="137" t="s">
        <v>74</v>
      </c>
    </row>
    <row r="9918" spans="9:9" x14ac:dyDescent="0.2">
      <c r="I9918" s="137" t="s">
        <v>74</v>
      </c>
    </row>
    <row r="9919" spans="9:9" x14ac:dyDescent="0.2">
      <c r="I9919" s="137" t="s">
        <v>74</v>
      </c>
    </row>
    <row r="9920" spans="9:9" x14ac:dyDescent="0.2">
      <c r="I9920" s="137" t="s">
        <v>74</v>
      </c>
    </row>
    <row r="9921" spans="9:9" x14ac:dyDescent="0.2">
      <c r="I9921" s="137" t="s">
        <v>74</v>
      </c>
    </row>
    <row r="9922" spans="9:9" x14ac:dyDescent="0.2">
      <c r="I9922" s="137" t="s">
        <v>74</v>
      </c>
    </row>
    <row r="9923" spans="9:9" x14ac:dyDescent="0.2">
      <c r="I9923" s="137" t="s">
        <v>74</v>
      </c>
    </row>
    <row r="9924" spans="9:9" x14ac:dyDescent="0.2">
      <c r="I9924" s="137" t="s">
        <v>74</v>
      </c>
    </row>
    <row r="9925" spans="9:9" x14ac:dyDescent="0.2">
      <c r="I9925" s="137" t="s">
        <v>74</v>
      </c>
    </row>
    <row r="9926" spans="9:9" x14ac:dyDescent="0.2">
      <c r="I9926" s="137" t="s">
        <v>74</v>
      </c>
    </row>
    <row r="9927" spans="9:9" x14ac:dyDescent="0.2">
      <c r="I9927" s="137" t="s">
        <v>74</v>
      </c>
    </row>
    <row r="9928" spans="9:9" x14ac:dyDescent="0.2">
      <c r="I9928" s="137" t="s">
        <v>74</v>
      </c>
    </row>
    <row r="9929" spans="9:9" x14ac:dyDescent="0.2">
      <c r="I9929" s="137" t="s">
        <v>74</v>
      </c>
    </row>
    <row r="9930" spans="9:9" x14ac:dyDescent="0.2">
      <c r="I9930" s="137" t="s">
        <v>74</v>
      </c>
    </row>
    <row r="9931" spans="9:9" x14ac:dyDescent="0.2">
      <c r="I9931" s="137" t="s">
        <v>74</v>
      </c>
    </row>
    <row r="9932" spans="9:9" x14ac:dyDescent="0.2">
      <c r="I9932" s="137" t="s">
        <v>74</v>
      </c>
    </row>
    <row r="9933" spans="9:9" x14ac:dyDescent="0.2">
      <c r="I9933" s="137" t="s">
        <v>74</v>
      </c>
    </row>
    <row r="9934" spans="9:9" x14ac:dyDescent="0.2">
      <c r="I9934" s="137" t="s">
        <v>74</v>
      </c>
    </row>
    <row r="9935" spans="9:9" x14ac:dyDescent="0.2">
      <c r="I9935" s="137" t="s">
        <v>74</v>
      </c>
    </row>
    <row r="9936" spans="9:9" x14ac:dyDescent="0.2">
      <c r="I9936" s="137" t="s">
        <v>74</v>
      </c>
    </row>
    <row r="9937" spans="9:9" x14ac:dyDescent="0.2">
      <c r="I9937" s="137" t="s">
        <v>74</v>
      </c>
    </row>
    <row r="9938" spans="9:9" x14ac:dyDescent="0.2">
      <c r="I9938" s="137" t="s">
        <v>74</v>
      </c>
    </row>
    <row r="9939" spans="9:9" x14ac:dyDescent="0.2">
      <c r="I9939" s="137" t="s">
        <v>74</v>
      </c>
    </row>
    <row r="9940" spans="9:9" x14ac:dyDescent="0.2">
      <c r="I9940" s="137" t="s">
        <v>74</v>
      </c>
    </row>
    <row r="9941" spans="9:9" x14ac:dyDescent="0.2">
      <c r="I9941" s="137" t="s">
        <v>74</v>
      </c>
    </row>
    <row r="9942" spans="9:9" x14ac:dyDescent="0.2">
      <c r="I9942" s="137" t="s">
        <v>74</v>
      </c>
    </row>
    <row r="9943" spans="9:9" x14ac:dyDescent="0.2">
      <c r="I9943" s="137" t="s">
        <v>74</v>
      </c>
    </row>
    <row r="9944" spans="9:9" x14ac:dyDescent="0.2">
      <c r="I9944" s="137" t="s">
        <v>74</v>
      </c>
    </row>
    <row r="9945" spans="9:9" x14ac:dyDescent="0.2">
      <c r="I9945" s="137" t="s">
        <v>74</v>
      </c>
    </row>
    <row r="9946" spans="9:9" x14ac:dyDescent="0.2">
      <c r="I9946" s="137" t="s">
        <v>74</v>
      </c>
    </row>
    <row r="9947" spans="9:9" x14ac:dyDescent="0.2">
      <c r="I9947" s="137" t="s">
        <v>74</v>
      </c>
    </row>
    <row r="9948" spans="9:9" x14ac:dyDescent="0.2">
      <c r="I9948" s="137" t="s">
        <v>74</v>
      </c>
    </row>
    <row r="9949" spans="9:9" x14ac:dyDescent="0.2">
      <c r="I9949" s="137" t="s">
        <v>74</v>
      </c>
    </row>
    <row r="9950" spans="9:9" x14ac:dyDescent="0.2">
      <c r="I9950" s="137" t="s">
        <v>74</v>
      </c>
    </row>
    <row r="9951" spans="9:9" x14ac:dyDescent="0.2">
      <c r="I9951" s="137" t="s">
        <v>74</v>
      </c>
    </row>
    <row r="9952" spans="9:9" x14ac:dyDescent="0.2">
      <c r="I9952" s="137" t="s">
        <v>74</v>
      </c>
    </row>
    <row r="9953" spans="9:9" x14ac:dyDescent="0.2">
      <c r="I9953" s="137" t="s">
        <v>74</v>
      </c>
    </row>
    <row r="9954" spans="9:9" x14ac:dyDescent="0.2">
      <c r="I9954" s="137" t="s">
        <v>74</v>
      </c>
    </row>
    <row r="9955" spans="9:9" x14ac:dyDescent="0.2">
      <c r="I9955" s="137" t="s">
        <v>74</v>
      </c>
    </row>
    <row r="9956" spans="9:9" x14ac:dyDescent="0.2">
      <c r="I9956" s="137" t="s">
        <v>74</v>
      </c>
    </row>
    <row r="9957" spans="9:9" x14ac:dyDescent="0.2">
      <c r="I9957" s="137" t="s">
        <v>74</v>
      </c>
    </row>
    <row r="9958" spans="9:9" x14ac:dyDescent="0.2">
      <c r="I9958" s="137" t="s">
        <v>74</v>
      </c>
    </row>
    <row r="9959" spans="9:9" x14ac:dyDescent="0.2">
      <c r="I9959" s="137" t="s">
        <v>74</v>
      </c>
    </row>
    <row r="9960" spans="9:9" x14ac:dyDescent="0.2">
      <c r="I9960" s="137" t="s">
        <v>74</v>
      </c>
    </row>
    <row r="9961" spans="9:9" x14ac:dyDescent="0.2">
      <c r="I9961" s="137" t="s">
        <v>74</v>
      </c>
    </row>
    <row r="9962" spans="9:9" x14ac:dyDescent="0.2">
      <c r="I9962" s="137" t="s">
        <v>74</v>
      </c>
    </row>
    <row r="9963" spans="9:9" x14ac:dyDescent="0.2">
      <c r="I9963" s="137" t="s">
        <v>74</v>
      </c>
    </row>
    <row r="9964" spans="9:9" x14ac:dyDescent="0.2">
      <c r="I9964" s="137" t="s">
        <v>74</v>
      </c>
    </row>
    <row r="9965" spans="9:9" x14ac:dyDescent="0.2">
      <c r="I9965" s="137" t="s">
        <v>74</v>
      </c>
    </row>
    <row r="9966" spans="9:9" x14ac:dyDescent="0.2">
      <c r="I9966" s="137" t="s">
        <v>74</v>
      </c>
    </row>
    <row r="9967" spans="9:9" x14ac:dyDescent="0.2">
      <c r="I9967" s="137" t="s">
        <v>74</v>
      </c>
    </row>
    <row r="9968" spans="9:9" x14ac:dyDescent="0.2">
      <c r="I9968" s="137" t="s">
        <v>74</v>
      </c>
    </row>
    <row r="9969" spans="9:9" x14ac:dyDescent="0.2">
      <c r="I9969" s="137" t="s">
        <v>74</v>
      </c>
    </row>
    <row r="9970" spans="9:9" x14ac:dyDescent="0.2">
      <c r="I9970" s="137" t="s">
        <v>74</v>
      </c>
    </row>
    <row r="9971" spans="9:9" x14ac:dyDescent="0.2">
      <c r="I9971" s="137" t="s">
        <v>74</v>
      </c>
    </row>
    <row r="9972" spans="9:9" x14ac:dyDescent="0.2">
      <c r="I9972" s="137" t="s">
        <v>74</v>
      </c>
    </row>
    <row r="9973" spans="9:9" x14ac:dyDescent="0.2">
      <c r="I9973" s="137" t="s">
        <v>74</v>
      </c>
    </row>
    <row r="9974" spans="9:9" x14ac:dyDescent="0.2">
      <c r="I9974" s="137" t="s">
        <v>74</v>
      </c>
    </row>
    <row r="9975" spans="9:9" x14ac:dyDescent="0.2">
      <c r="I9975" s="137" t="s">
        <v>74</v>
      </c>
    </row>
    <row r="9976" spans="9:9" x14ac:dyDescent="0.2">
      <c r="I9976" s="137" t="s">
        <v>74</v>
      </c>
    </row>
    <row r="9977" spans="9:9" x14ac:dyDescent="0.2">
      <c r="I9977" s="137" t="s">
        <v>74</v>
      </c>
    </row>
    <row r="9978" spans="9:9" x14ac:dyDescent="0.2">
      <c r="I9978" s="137" t="s">
        <v>74</v>
      </c>
    </row>
    <row r="9979" spans="9:9" x14ac:dyDescent="0.2">
      <c r="I9979" s="137" t="s">
        <v>74</v>
      </c>
    </row>
    <row r="9980" spans="9:9" x14ac:dyDescent="0.2">
      <c r="I9980" s="137" t="s">
        <v>74</v>
      </c>
    </row>
    <row r="9981" spans="9:9" x14ac:dyDescent="0.2">
      <c r="I9981" s="137" t="s">
        <v>74</v>
      </c>
    </row>
    <row r="9982" spans="9:9" x14ac:dyDescent="0.2">
      <c r="I9982" s="137" t="s">
        <v>74</v>
      </c>
    </row>
    <row r="9983" spans="9:9" x14ac:dyDescent="0.2">
      <c r="I9983" s="137" t="s">
        <v>74</v>
      </c>
    </row>
    <row r="9984" spans="9:9" x14ac:dyDescent="0.2">
      <c r="I9984" s="137" t="s">
        <v>74</v>
      </c>
    </row>
    <row r="9985" spans="9:9" x14ac:dyDescent="0.2">
      <c r="I9985" s="137" t="s">
        <v>74</v>
      </c>
    </row>
    <row r="9986" spans="9:9" x14ac:dyDescent="0.2">
      <c r="I9986" s="137" t="s">
        <v>74</v>
      </c>
    </row>
    <row r="9987" spans="9:9" x14ac:dyDescent="0.2">
      <c r="I9987" s="137" t="s">
        <v>74</v>
      </c>
    </row>
    <row r="9988" spans="9:9" x14ac:dyDescent="0.2">
      <c r="I9988" s="137" t="s">
        <v>74</v>
      </c>
    </row>
    <row r="9989" spans="9:9" x14ac:dyDescent="0.2">
      <c r="I9989" s="137" t="s">
        <v>74</v>
      </c>
    </row>
    <row r="9990" spans="9:9" x14ac:dyDescent="0.2">
      <c r="I9990" s="137" t="s">
        <v>74</v>
      </c>
    </row>
    <row r="9991" spans="9:9" x14ac:dyDescent="0.2">
      <c r="I9991" s="137" t="s">
        <v>74</v>
      </c>
    </row>
    <row r="9992" spans="9:9" x14ac:dyDescent="0.2">
      <c r="I9992" s="137" t="s">
        <v>74</v>
      </c>
    </row>
    <row r="9993" spans="9:9" x14ac:dyDescent="0.2">
      <c r="I9993" s="137" t="s">
        <v>74</v>
      </c>
    </row>
    <row r="9994" spans="9:9" x14ac:dyDescent="0.2">
      <c r="I9994" s="137" t="s">
        <v>74</v>
      </c>
    </row>
    <row r="9995" spans="9:9" x14ac:dyDescent="0.2">
      <c r="I9995" s="137" t="s">
        <v>74</v>
      </c>
    </row>
    <row r="9996" spans="9:9" x14ac:dyDescent="0.2">
      <c r="I9996" s="137" t="s">
        <v>74</v>
      </c>
    </row>
    <row r="9997" spans="9:9" x14ac:dyDescent="0.2">
      <c r="I9997" s="137" t="s">
        <v>74</v>
      </c>
    </row>
    <row r="9998" spans="9:9" x14ac:dyDescent="0.2">
      <c r="I9998" s="137" t="s">
        <v>74</v>
      </c>
    </row>
    <row r="9999" spans="9:9" x14ac:dyDescent="0.2">
      <c r="I9999" s="137" t="s">
        <v>74</v>
      </c>
    </row>
    <row r="10000" spans="9:9" x14ac:dyDescent="0.2">
      <c r="I10000" s="137" t="s">
        <v>74</v>
      </c>
    </row>
    <row r="10001" spans="9:9" x14ac:dyDescent="0.2">
      <c r="I10001" s="137" t="s">
        <v>74</v>
      </c>
    </row>
    <row r="10002" spans="9:9" x14ac:dyDescent="0.2">
      <c r="I10002" s="137" t="s">
        <v>74</v>
      </c>
    </row>
    <row r="10003" spans="9:9" x14ac:dyDescent="0.2">
      <c r="I10003" s="137" t="s">
        <v>74</v>
      </c>
    </row>
    <row r="10004" spans="9:9" x14ac:dyDescent="0.2">
      <c r="I10004" s="137" t="s">
        <v>74</v>
      </c>
    </row>
    <row r="10005" spans="9:9" x14ac:dyDescent="0.2">
      <c r="I10005" s="137" t="s">
        <v>74</v>
      </c>
    </row>
    <row r="10006" spans="9:9" x14ac:dyDescent="0.2">
      <c r="I10006" s="137" t="s">
        <v>74</v>
      </c>
    </row>
    <row r="10007" spans="9:9" x14ac:dyDescent="0.2">
      <c r="I10007" s="137" t="s">
        <v>74</v>
      </c>
    </row>
    <row r="10008" spans="9:9" x14ac:dyDescent="0.2">
      <c r="I10008" s="137" t="s">
        <v>74</v>
      </c>
    </row>
    <row r="10009" spans="9:9" x14ac:dyDescent="0.2">
      <c r="I10009" s="137" t="s">
        <v>74</v>
      </c>
    </row>
    <row r="10010" spans="9:9" x14ac:dyDescent="0.2">
      <c r="I10010" s="137" t="s">
        <v>74</v>
      </c>
    </row>
    <row r="10011" spans="9:9" x14ac:dyDescent="0.2">
      <c r="I10011" s="137" t="s">
        <v>74</v>
      </c>
    </row>
    <row r="10012" spans="9:9" x14ac:dyDescent="0.2">
      <c r="I10012" s="137" t="s">
        <v>74</v>
      </c>
    </row>
    <row r="10013" spans="9:9" x14ac:dyDescent="0.2">
      <c r="I10013" s="137" t="s">
        <v>74</v>
      </c>
    </row>
    <row r="10014" spans="9:9" x14ac:dyDescent="0.2">
      <c r="I10014" s="137" t="s">
        <v>74</v>
      </c>
    </row>
    <row r="10015" spans="9:9" x14ac:dyDescent="0.2">
      <c r="I10015" s="137" t="s">
        <v>74</v>
      </c>
    </row>
    <row r="10016" spans="9:9" x14ac:dyDescent="0.2">
      <c r="I10016" s="137" t="s">
        <v>74</v>
      </c>
    </row>
    <row r="10017" spans="9:9" x14ac:dyDescent="0.2">
      <c r="I10017" s="137" t="s">
        <v>74</v>
      </c>
    </row>
    <row r="10018" spans="9:9" x14ac:dyDescent="0.2">
      <c r="I10018" s="137" t="s">
        <v>74</v>
      </c>
    </row>
    <row r="10019" spans="9:9" x14ac:dyDescent="0.2">
      <c r="I10019" s="137" t="s">
        <v>74</v>
      </c>
    </row>
    <row r="10020" spans="9:9" x14ac:dyDescent="0.2">
      <c r="I10020" s="137" t="s">
        <v>74</v>
      </c>
    </row>
    <row r="10021" spans="9:9" x14ac:dyDescent="0.2">
      <c r="I10021" s="137" t="s">
        <v>74</v>
      </c>
    </row>
    <row r="10022" spans="9:9" x14ac:dyDescent="0.2">
      <c r="I10022" s="137" t="s">
        <v>74</v>
      </c>
    </row>
    <row r="10023" spans="9:9" x14ac:dyDescent="0.2">
      <c r="I10023" s="137" t="s">
        <v>74</v>
      </c>
    </row>
    <row r="10024" spans="9:9" x14ac:dyDescent="0.2">
      <c r="I10024" s="137" t="s">
        <v>74</v>
      </c>
    </row>
    <row r="10025" spans="9:9" x14ac:dyDescent="0.2">
      <c r="I10025" s="137" t="s">
        <v>74</v>
      </c>
    </row>
    <row r="10026" spans="9:9" x14ac:dyDescent="0.2">
      <c r="I10026" s="137" t="s">
        <v>74</v>
      </c>
    </row>
    <row r="10027" spans="9:9" x14ac:dyDescent="0.2">
      <c r="I10027" s="137" t="s">
        <v>74</v>
      </c>
    </row>
    <row r="10028" spans="9:9" x14ac:dyDescent="0.2">
      <c r="I10028" s="137" t="s">
        <v>74</v>
      </c>
    </row>
    <row r="10029" spans="9:9" x14ac:dyDescent="0.2">
      <c r="I10029" s="137" t="s">
        <v>74</v>
      </c>
    </row>
    <row r="10030" spans="9:9" x14ac:dyDescent="0.2">
      <c r="I10030" s="137" t="s">
        <v>74</v>
      </c>
    </row>
    <row r="10031" spans="9:9" x14ac:dyDescent="0.2">
      <c r="I10031" s="137" t="s">
        <v>74</v>
      </c>
    </row>
    <row r="10032" spans="9:9" x14ac:dyDescent="0.2">
      <c r="I10032" s="137" t="s">
        <v>74</v>
      </c>
    </row>
    <row r="10033" spans="9:9" x14ac:dyDescent="0.2">
      <c r="I10033" s="137" t="s">
        <v>74</v>
      </c>
    </row>
    <row r="10034" spans="9:9" x14ac:dyDescent="0.2">
      <c r="I10034" s="137" t="s">
        <v>74</v>
      </c>
    </row>
    <row r="10035" spans="9:9" x14ac:dyDescent="0.2">
      <c r="I10035" s="137" t="s">
        <v>74</v>
      </c>
    </row>
    <row r="10036" spans="9:9" x14ac:dyDescent="0.2">
      <c r="I10036" s="137" t="s">
        <v>74</v>
      </c>
    </row>
    <row r="10037" spans="9:9" x14ac:dyDescent="0.2">
      <c r="I10037" s="137" t="s">
        <v>74</v>
      </c>
    </row>
    <row r="10038" spans="9:9" x14ac:dyDescent="0.2">
      <c r="I10038" s="137" t="s">
        <v>74</v>
      </c>
    </row>
    <row r="10039" spans="9:9" x14ac:dyDescent="0.2">
      <c r="I10039" s="137" t="s">
        <v>74</v>
      </c>
    </row>
    <row r="10040" spans="9:9" x14ac:dyDescent="0.2">
      <c r="I10040" s="137" t="s">
        <v>74</v>
      </c>
    </row>
    <row r="10041" spans="9:9" x14ac:dyDescent="0.2">
      <c r="I10041" s="137" t="s">
        <v>74</v>
      </c>
    </row>
    <row r="10042" spans="9:9" x14ac:dyDescent="0.2">
      <c r="I10042" s="137" t="s">
        <v>74</v>
      </c>
    </row>
    <row r="10043" spans="9:9" x14ac:dyDescent="0.2">
      <c r="I10043" s="137" t="s">
        <v>74</v>
      </c>
    </row>
    <row r="10044" spans="9:9" x14ac:dyDescent="0.2">
      <c r="I10044" s="137" t="s">
        <v>74</v>
      </c>
    </row>
    <row r="10045" spans="9:9" x14ac:dyDescent="0.2">
      <c r="I10045" s="137" t="s">
        <v>74</v>
      </c>
    </row>
    <row r="10046" spans="9:9" x14ac:dyDescent="0.2">
      <c r="I10046" s="137" t="s">
        <v>74</v>
      </c>
    </row>
    <row r="10047" spans="9:9" x14ac:dyDescent="0.2">
      <c r="I10047" s="137" t="s">
        <v>74</v>
      </c>
    </row>
    <row r="10048" spans="9:9" x14ac:dyDescent="0.2">
      <c r="I10048" s="137" t="s">
        <v>74</v>
      </c>
    </row>
    <row r="10049" spans="9:9" x14ac:dyDescent="0.2">
      <c r="I10049" s="137" t="s">
        <v>74</v>
      </c>
    </row>
    <row r="10050" spans="9:9" x14ac:dyDescent="0.2">
      <c r="I10050" s="137" t="s">
        <v>74</v>
      </c>
    </row>
    <row r="10051" spans="9:9" x14ac:dyDescent="0.2">
      <c r="I10051" s="137" t="s">
        <v>74</v>
      </c>
    </row>
    <row r="10052" spans="9:9" x14ac:dyDescent="0.2">
      <c r="I10052" s="137" t="s">
        <v>74</v>
      </c>
    </row>
    <row r="10053" spans="9:9" x14ac:dyDescent="0.2">
      <c r="I10053" s="137" t="s">
        <v>74</v>
      </c>
    </row>
    <row r="10054" spans="9:9" x14ac:dyDescent="0.2">
      <c r="I10054" s="137" t="s">
        <v>74</v>
      </c>
    </row>
    <row r="10055" spans="9:9" x14ac:dyDescent="0.2">
      <c r="I10055" s="137" t="s">
        <v>74</v>
      </c>
    </row>
    <row r="10056" spans="9:9" x14ac:dyDescent="0.2">
      <c r="I10056" s="137" t="s">
        <v>74</v>
      </c>
    </row>
    <row r="10057" spans="9:9" x14ac:dyDescent="0.2">
      <c r="I10057" s="137" t="s">
        <v>74</v>
      </c>
    </row>
    <row r="10058" spans="9:9" x14ac:dyDescent="0.2">
      <c r="I10058" s="137" t="s">
        <v>74</v>
      </c>
    </row>
    <row r="10059" spans="9:9" x14ac:dyDescent="0.2">
      <c r="I10059" s="137" t="s">
        <v>74</v>
      </c>
    </row>
    <row r="10060" spans="9:9" x14ac:dyDescent="0.2">
      <c r="I10060" s="137" t="s">
        <v>74</v>
      </c>
    </row>
    <row r="10061" spans="9:9" x14ac:dyDescent="0.2">
      <c r="I10061" s="137" t="s">
        <v>74</v>
      </c>
    </row>
    <row r="10062" spans="9:9" x14ac:dyDescent="0.2">
      <c r="I10062" s="137" t="s">
        <v>74</v>
      </c>
    </row>
    <row r="10063" spans="9:9" x14ac:dyDescent="0.2">
      <c r="I10063" s="137" t="s">
        <v>74</v>
      </c>
    </row>
    <row r="10064" spans="9:9" x14ac:dyDescent="0.2">
      <c r="I10064" s="137" t="s">
        <v>74</v>
      </c>
    </row>
    <row r="10065" spans="9:9" x14ac:dyDescent="0.2">
      <c r="I10065" s="137" t="s">
        <v>74</v>
      </c>
    </row>
    <row r="10066" spans="9:9" x14ac:dyDescent="0.2">
      <c r="I10066" s="137" t="s">
        <v>74</v>
      </c>
    </row>
    <row r="10067" spans="9:9" x14ac:dyDescent="0.2">
      <c r="I10067" s="137" t="s">
        <v>74</v>
      </c>
    </row>
    <row r="10068" spans="9:9" x14ac:dyDescent="0.2">
      <c r="I10068" s="137" t="s">
        <v>74</v>
      </c>
    </row>
    <row r="10069" spans="9:9" x14ac:dyDescent="0.2">
      <c r="I10069" s="137" t="s">
        <v>74</v>
      </c>
    </row>
    <row r="10070" spans="9:9" x14ac:dyDescent="0.2">
      <c r="I10070" s="137" t="s">
        <v>74</v>
      </c>
    </row>
    <row r="10071" spans="9:9" x14ac:dyDescent="0.2">
      <c r="I10071" s="137" t="s">
        <v>74</v>
      </c>
    </row>
    <row r="10072" spans="9:9" x14ac:dyDescent="0.2">
      <c r="I10072" s="137" t="s">
        <v>74</v>
      </c>
    </row>
    <row r="10073" spans="9:9" x14ac:dyDescent="0.2">
      <c r="I10073" s="137" t="s">
        <v>74</v>
      </c>
    </row>
    <row r="10074" spans="9:9" x14ac:dyDescent="0.2">
      <c r="I10074" s="137" t="s">
        <v>74</v>
      </c>
    </row>
    <row r="10075" spans="9:9" x14ac:dyDescent="0.2">
      <c r="I10075" s="137" t="s">
        <v>74</v>
      </c>
    </row>
    <row r="10076" spans="9:9" x14ac:dyDescent="0.2">
      <c r="I10076" s="137" t="s">
        <v>74</v>
      </c>
    </row>
    <row r="10077" spans="9:9" x14ac:dyDescent="0.2">
      <c r="I10077" s="137" t="s">
        <v>74</v>
      </c>
    </row>
    <row r="10078" spans="9:9" x14ac:dyDescent="0.2">
      <c r="I10078" s="137" t="s">
        <v>74</v>
      </c>
    </row>
    <row r="10079" spans="9:9" x14ac:dyDescent="0.2">
      <c r="I10079" s="137" t="s">
        <v>74</v>
      </c>
    </row>
    <row r="10080" spans="9:9" x14ac:dyDescent="0.2">
      <c r="I10080" s="137" t="s">
        <v>74</v>
      </c>
    </row>
    <row r="10081" spans="9:9" x14ac:dyDescent="0.2">
      <c r="I10081" s="137" t="s">
        <v>74</v>
      </c>
    </row>
    <row r="10082" spans="9:9" x14ac:dyDescent="0.2">
      <c r="I10082" s="137" t="s">
        <v>74</v>
      </c>
    </row>
    <row r="10083" spans="9:9" x14ac:dyDescent="0.2">
      <c r="I10083" s="137" t="s">
        <v>74</v>
      </c>
    </row>
    <row r="10084" spans="9:9" x14ac:dyDescent="0.2">
      <c r="I10084" s="137" t="s">
        <v>74</v>
      </c>
    </row>
    <row r="10085" spans="9:9" x14ac:dyDescent="0.2">
      <c r="I10085" s="137" t="s">
        <v>74</v>
      </c>
    </row>
    <row r="10086" spans="9:9" x14ac:dyDescent="0.2">
      <c r="I10086" s="137" t="s">
        <v>74</v>
      </c>
    </row>
    <row r="10087" spans="9:9" x14ac:dyDescent="0.2">
      <c r="I10087" s="137" t="s">
        <v>74</v>
      </c>
    </row>
    <row r="10088" spans="9:9" x14ac:dyDescent="0.2">
      <c r="I10088" s="137" t="s">
        <v>74</v>
      </c>
    </row>
    <row r="10089" spans="9:9" x14ac:dyDescent="0.2">
      <c r="I10089" s="137" t="s">
        <v>74</v>
      </c>
    </row>
    <row r="10090" spans="9:9" x14ac:dyDescent="0.2">
      <c r="I10090" s="137" t="s">
        <v>74</v>
      </c>
    </row>
    <row r="10091" spans="9:9" x14ac:dyDescent="0.2">
      <c r="I10091" s="137" t="s">
        <v>74</v>
      </c>
    </row>
    <row r="10092" spans="9:9" x14ac:dyDescent="0.2">
      <c r="I10092" s="137" t="s">
        <v>74</v>
      </c>
    </row>
    <row r="10093" spans="9:9" x14ac:dyDescent="0.2">
      <c r="I10093" s="137" t="s">
        <v>74</v>
      </c>
    </row>
    <row r="10094" spans="9:9" x14ac:dyDescent="0.2">
      <c r="I10094" s="137" t="s">
        <v>74</v>
      </c>
    </row>
    <row r="10095" spans="9:9" x14ac:dyDescent="0.2">
      <c r="I10095" s="137" t="s">
        <v>74</v>
      </c>
    </row>
    <row r="10096" spans="9:9" x14ac:dyDescent="0.2">
      <c r="I10096" s="137" t="s">
        <v>74</v>
      </c>
    </row>
    <row r="10097" spans="9:9" x14ac:dyDescent="0.2">
      <c r="I10097" s="137" t="s">
        <v>74</v>
      </c>
    </row>
    <row r="10098" spans="9:9" x14ac:dyDescent="0.2">
      <c r="I10098" s="137" t="s">
        <v>74</v>
      </c>
    </row>
    <row r="10099" spans="9:9" x14ac:dyDescent="0.2">
      <c r="I10099" s="137" t="s">
        <v>74</v>
      </c>
    </row>
    <row r="10100" spans="9:9" x14ac:dyDescent="0.2">
      <c r="I10100" s="137" t="s">
        <v>74</v>
      </c>
    </row>
    <row r="10101" spans="9:9" x14ac:dyDescent="0.2">
      <c r="I10101" s="137" t="s">
        <v>74</v>
      </c>
    </row>
    <row r="10102" spans="9:9" x14ac:dyDescent="0.2">
      <c r="I10102" s="137" t="s">
        <v>74</v>
      </c>
    </row>
    <row r="10103" spans="9:9" x14ac:dyDescent="0.2">
      <c r="I10103" s="137" t="s">
        <v>74</v>
      </c>
    </row>
    <row r="10104" spans="9:9" x14ac:dyDescent="0.2">
      <c r="I10104" s="137" t="s">
        <v>74</v>
      </c>
    </row>
    <row r="10105" spans="9:9" x14ac:dyDescent="0.2">
      <c r="I10105" s="137" t="s">
        <v>74</v>
      </c>
    </row>
    <row r="10106" spans="9:9" x14ac:dyDescent="0.2">
      <c r="I10106" s="137" t="s">
        <v>74</v>
      </c>
    </row>
    <row r="10107" spans="9:9" x14ac:dyDescent="0.2">
      <c r="I10107" s="137" t="s">
        <v>74</v>
      </c>
    </row>
    <row r="10108" spans="9:9" x14ac:dyDescent="0.2">
      <c r="I10108" s="137" t="s">
        <v>74</v>
      </c>
    </row>
    <row r="10109" spans="9:9" x14ac:dyDescent="0.2">
      <c r="I10109" s="137" t="s">
        <v>74</v>
      </c>
    </row>
    <row r="10110" spans="9:9" x14ac:dyDescent="0.2">
      <c r="I10110" s="137" t="s">
        <v>74</v>
      </c>
    </row>
    <row r="10111" spans="9:9" x14ac:dyDescent="0.2">
      <c r="I10111" s="137" t="s">
        <v>74</v>
      </c>
    </row>
    <row r="10112" spans="9:9" x14ac:dyDescent="0.2">
      <c r="I10112" s="137" t="s">
        <v>74</v>
      </c>
    </row>
    <row r="10113" spans="9:9" x14ac:dyDescent="0.2">
      <c r="I10113" s="137" t="s">
        <v>74</v>
      </c>
    </row>
    <row r="10114" spans="9:9" x14ac:dyDescent="0.2">
      <c r="I10114" s="137" t="s">
        <v>74</v>
      </c>
    </row>
    <row r="10115" spans="9:9" x14ac:dyDescent="0.2">
      <c r="I10115" s="137" t="s">
        <v>74</v>
      </c>
    </row>
    <row r="10116" spans="9:9" x14ac:dyDescent="0.2">
      <c r="I10116" s="137" t="s">
        <v>74</v>
      </c>
    </row>
    <row r="10117" spans="9:9" x14ac:dyDescent="0.2">
      <c r="I10117" s="137" t="s">
        <v>74</v>
      </c>
    </row>
    <row r="10118" spans="9:9" x14ac:dyDescent="0.2">
      <c r="I10118" s="137" t="s">
        <v>74</v>
      </c>
    </row>
    <row r="10119" spans="9:9" x14ac:dyDescent="0.2">
      <c r="I10119" s="137" t="s">
        <v>74</v>
      </c>
    </row>
    <row r="10120" spans="9:9" x14ac:dyDescent="0.2">
      <c r="I10120" s="137" t="s">
        <v>74</v>
      </c>
    </row>
    <row r="10121" spans="9:9" x14ac:dyDescent="0.2">
      <c r="I10121" s="137" t="s">
        <v>74</v>
      </c>
    </row>
    <row r="10122" spans="9:9" x14ac:dyDescent="0.2">
      <c r="I10122" s="137" t="s">
        <v>74</v>
      </c>
    </row>
    <row r="10123" spans="9:9" x14ac:dyDescent="0.2">
      <c r="I10123" s="137" t="s">
        <v>74</v>
      </c>
    </row>
    <row r="10124" spans="9:9" x14ac:dyDescent="0.2">
      <c r="I10124" s="137" t="s">
        <v>74</v>
      </c>
    </row>
    <row r="10125" spans="9:9" x14ac:dyDescent="0.2">
      <c r="I10125" s="137" t="s">
        <v>74</v>
      </c>
    </row>
    <row r="10126" spans="9:9" x14ac:dyDescent="0.2">
      <c r="I10126" s="137" t="s">
        <v>74</v>
      </c>
    </row>
    <row r="10127" spans="9:9" x14ac:dyDescent="0.2">
      <c r="I10127" s="137" t="s">
        <v>74</v>
      </c>
    </row>
    <row r="10128" spans="9:9" x14ac:dyDescent="0.2">
      <c r="I10128" s="137" t="s">
        <v>74</v>
      </c>
    </row>
    <row r="10129" spans="9:9" x14ac:dyDescent="0.2">
      <c r="I10129" s="137" t="s">
        <v>74</v>
      </c>
    </row>
    <row r="10130" spans="9:9" x14ac:dyDescent="0.2">
      <c r="I10130" s="137" t="s">
        <v>74</v>
      </c>
    </row>
    <row r="10131" spans="9:9" x14ac:dyDescent="0.2">
      <c r="I10131" s="137" t="s">
        <v>74</v>
      </c>
    </row>
    <row r="10132" spans="9:9" x14ac:dyDescent="0.2">
      <c r="I10132" s="137" t="s">
        <v>74</v>
      </c>
    </row>
    <row r="10133" spans="9:9" x14ac:dyDescent="0.2">
      <c r="I10133" s="137" t="s">
        <v>74</v>
      </c>
    </row>
    <row r="10134" spans="9:9" x14ac:dyDescent="0.2">
      <c r="I10134" s="137" t="s">
        <v>74</v>
      </c>
    </row>
    <row r="10135" spans="9:9" x14ac:dyDescent="0.2">
      <c r="I10135" s="137" t="s">
        <v>74</v>
      </c>
    </row>
    <row r="10136" spans="9:9" x14ac:dyDescent="0.2">
      <c r="I10136" s="137" t="s">
        <v>74</v>
      </c>
    </row>
    <row r="10137" spans="9:9" x14ac:dyDescent="0.2">
      <c r="I10137" s="137" t="s">
        <v>74</v>
      </c>
    </row>
    <row r="10138" spans="9:9" x14ac:dyDescent="0.2">
      <c r="I10138" s="137" t="s">
        <v>74</v>
      </c>
    </row>
    <row r="10139" spans="9:9" x14ac:dyDescent="0.2">
      <c r="I10139" s="137" t="s">
        <v>74</v>
      </c>
    </row>
    <row r="10140" spans="9:9" x14ac:dyDescent="0.2">
      <c r="I10140" s="137" t="s">
        <v>74</v>
      </c>
    </row>
    <row r="10141" spans="9:9" x14ac:dyDescent="0.2">
      <c r="I10141" s="137" t="s">
        <v>74</v>
      </c>
    </row>
    <row r="10142" spans="9:9" x14ac:dyDescent="0.2">
      <c r="I10142" s="137" t="s">
        <v>74</v>
      </c>
    </row>
    <row r="10143" spans="9:9" x14ac:dyDescent="0.2">
      <c r="I10143" s="137" t="s">
        <v>74</v>
      </c>
    </row>
    <row r="10144" spans="9:9" x14ac:dyDescent="0.2">
      <c r="I10144" s="137" t="s">
        <v>74</v>
      </c>
    </row>
    <row r="10145" spans="9:9" x14ac:dyDescent="0.2">
      <c r="I10145" s="137" t="s">
        <v>74</v>
      </c>
    </row>
    <row r="10146" spans="9:9" x14ac:dyDescent="0.2">
      <c r="I10146" s="137" t="s">
        <v>74</v>
      </c>
    </row>
    <row r="10147" spans="9:9" x14ac:dyDescent="0.2">
      <c r="I10147" s="137" t="s">
        <v>74</v>
      </c>
    </row>
    <row r="10148" spans="9:9" x14ac:dyDescent="0.2">
      <c r="I10148" s="137" t="s">
        <v>74</v>
      </c>
    </row>
    <row r="10149" spans="9:9" x14ac:dyDescent="0.2">
      <c r="I10149" s="137" t="s">
        <v>74</v>
      </c>
    </row>
    <row r="10150" spans="9:9" x14ac:dyDescent="0.2">
      <c r="I10150" s="137" t="s">
        <v>74</v>
      </c>
    </row>
    <row r="10151" spans="9:9" x14ac:dyDescent="0.2">
      <c r="I10151" s="137" t="s">
        <v>74</v>
      </c>
    </row>
    <row r="10152" spans="9:9" x14ac:dyDescent="0.2">
      <c r="I10152" s="137" t="s">
        <v>74</v>
      </c>
    </row>
    <row r="10153" spans="9:9" x14ac:dyDescent="0.2">
      <c r="I10153" s="137" t="s">
        <v>74</v>
      </c>
    </row>
    <row r="10154" spans="9:9" x14ac:dyDescent="0.2">
      <c r="I10154" s="137" t="s">
        <v>74</v>
      </c>
    </row>
    <row r="10155" spans="9:9" x14ac:dyDescent="0.2">
      <c r="I10155" s="137" t="s">
        <v>74</v>
      </c>
    </row>
    <row r="10156" spans="9:9" x14ac:dyDescent="0.2">
      <c r="I10156" s="137" t="s">
        <v>74</v>
      </c>
    </row>
    <row r="10157" spans="9:9" x14ac:dyDescent="0.2">
      <c r="I10157" s="137" t="s">
        <v>74</v>
      </c>
    </row>
    <row r="10158" spans="9:9" x14ac:dyDescent="0.2">
      <c r="I10158" s="137" t="s">
        <v>74</v>
      </c>
    </row>
    <row r="10159" spans="9:9" x14ac:dyDescent="0.2">
      <c r="I10159" s="137" t="s">
        <v>74</v>
      </c>
    </row>
    <row r="10160" spans="9:9" x14ac:dyDescent="0.2">
      <c r="I10160" s="137" t="s">
        <v>74</v>
      </c>
    </row>
    <row r="10161" spans="9:9" x14ac:dyDescent="0.2">
      <c r="I10161" s="137" t="s">
        <v>74</v>
      </c>
    </row>
    <row r="10162" spans="9:9" x14ac:dyDescent="0.2">
      <c r="I10162" s="137" t="s">
        <v>74</v>
      </c>
    </row>
    <row r="10163" spans="9:9" x14ac:dyDescent="0.2">
      <c r="I10163" s="137" t="s">
        <v>74</v>
      </c>
    </row>
    <row r="10164" spans="9:9" x14ac:dyDescent="0.2">
      <c r="I10164" s="137" t="s">
        <v>74</v>
      </c>
    </row>
    <row r="10165" spans="9:9" x14ac:dyDescent="0.2">
      <c r="I10165" s="137" t="s">
        <v>74</v>
      </c>
    </row>
    <row r="10166" spans="9:9" x14ac:dyDescent="0.2">
      <c r="I10166" s="137" t="s">
        <v>74</v>
      </c>
    </row>
    <row r="10167" spans="9:9" x14ac:dyDescent="0.2">
      <c r="I10167" s="137" t="s">
        <v>74</v>
      </c>
    </row>
    <row r="10168" spans="9:9" x14ac:dyDescent="0.2">
      <c r="I10168" s="137" t="s">
        <v>74</v>
      </c>
    </row>
    <row r="10169" spans="9:9" x14ac:dyDescent="0.2">
      <c r="I10169" s="137" t="s">
        <v>74</v>
      </c>
    </row>
    <row r="10170" spans="9:9" x14ac:dyDescent="0.2">
      <c r="I10170" s="137" t="s">
        <v>74</v>
      </c>
    </row>
    <row r="10171" spans="9:9" x14ac:dyDescent="0.2">
      <c r="I10171" s="137" t="s">
        <v>74</v>
      </c>
    </row>
    <row r="10172" spans="9:9" x14ac:dyDescent="0.2">
      <c r="I10172" s="137" t="s">
        <v>74</v>
      </c>
    </row>
    <row r="10173" spans="9:9" x14ac:dyDescent="0.2">
      <c r="I10173" s="137" t="s">
        <v>74</v>
      </c>
    </row>
    <row r="10174" spans="9:9" x14ac:dyDescent="0.2">
      <c r="I10174" s="137" t="s">
        <v>74</v>
      </c>
    </row>
    <row r="10175" spans="9:9" x14ac:dyDescent="0.2">
      <c r="I10175" s="137" t="s">
        <v>74</v>
      </c>
    </row>
    <row r="10176" spans="9:9" x14ac:dyDescent="0.2">
      <c r="I10176" s="137" t="s">
        <v>74</v>
      </c>
    </row>
    <row r="10177" spans="9:9" x14ac:dyDescent="0.2">
      <c r="I10177" s="137" t="s">
        <v>74</v>
      </c>
    </row>
    <row r="10178" spans="9:9" x14ac:dyDescent="0.2">
      <c r="I10178" s="137" t="s">
        <v>74</v>
      </c>
    </row>
    <row r="10179" spans="9:9" x14ac:dyDescent="0.2">
      <c r="I10179" s="137" t="s">
        <v>74</v>
      </c>
    </row>
    <row r="10180" spans="9:9" x14ac:dyDescent="0.2">
      <c r="I10180" s="137" t="s">
        <v>74</v>
      </c>
    </row>
    <row r="10181" spans="9:9" x14ac:dyDescent="0.2">
      <c r="I10181" s="137" t="s">
        <v>74</v>
      </c>
    </row>
    <row r="10182" spans="9:9" x14ac:dyDescent="0.2">
      <c r="I10182" s="137" t="s">
        <v>74</v>
      </c>
    </row>
    <row r="10183" spans="9:9" x14ac:dyDescent="0.2">
      <c r="I10183" s="137" t="s">
        <v>74</v>
      </c>
    </row>
    <row r="10184" spans="9:9" x14ac:dyDescent="0.2">
      <c r="I10184" s="137" t="s">
        <v>74</v>
      </c>
    </row>
    <row r="10185" spans="9:9" x14ac:dyDescent="0.2">
      <c r="I10185" s="137" t="s">
        <v>74</v>
      </c>
    </row>
    <row r="10186" spans="9:9" x14ac:dyDescent="0.2">
      <c r="I10186" s="137" t="s">
        <v>74</v>
      </c>
    </row>
    <row r="10187" spans="9:9" x14ac:dyDescent="0.2">
      <c r="I10187" s="137" t="s">
        <v>74</v>
      </c>
    </row>
    <row r="10188" spans="9:9" x14ac:dyDescent="0.2">
      <c r="I10188" s="137" t="s">
        <v>74</v>
      </c>
    </row>
    <row r="10189" spans="9:9" x14ac:dyDescent="0.2">
      <c r="I10189" s="137" t="s">
        <v>74</v>
      </c>
    </row>
    <row r="10190" spans="9:9" x14ac:dyDescent="0.2">
      <c r="I10190" s="137" t="s">
        <v>74</v>
      </c>
    </row>
    <row r="10191" spans="9:9" x14ac:dyDescent="0.2">
      <c r="I10191" s="137" t="s">
        <v>74</v>
      </c>
    </row>
    <row r="10192" spans="9:9" x14ac:dyDescent="0.2">
      <c r="I10192" s="137" t="s">
        <v>74</v>
      </c>
    </row>
    <row r="10193" spans="9:9" x14ac:dyDescent="0.2">
      <c r="I10193" s="137" t="s">
        <v>74</v>
      </c>
    </row>
    <row r="10194" spans="9:9" x14ac:dyDescent="0.2">
      <c r="I10194" s="137" t="s">
        <v>74</v>
      </c>
    </row>
    <row r="10195" spans="9:9" x14ac:dyDescent="0.2">
      <c r="I10195" s="137" t="s">
        <v>74</v>
      </c>
    </row>
    <row r="10196" spans="9:9" x14ac:dyDescent="0.2">
      <c r="I10196" s="137" t="s">
        <v>74</v>
      </c>
    </row>
    <row r="10197" spans="9:9" x14ac:dyDescent="0.2">
      <c r="I10197" s="137" t="s">
        <v>74</v>
      </c>
    </row>
    <row r="10198" spans="9:9" x14ac:dyDescent="0.2">
      <c r="I10198" s="137" t="s">
        <v>74</v>
      </c>
    </row>
    <row r="10199" spans="9:9" x14ac:dyDescent="0.2">
      <c r="I10199" s="137" t="s">
        <v>74</v>
      </c>
    </row>
    <row r="10200" spans="9:9" x14ac:dyDescent="0.2">
      <c r="I10200" s="137" t="s">
        <v>74</v>
      </c>
    </row>
    <row r="10201" spans="9:9" x14ac:dyDescent="0.2">
      <c r="I10201" s="137" t="s">
        <v>74</v>
      </c>
    </row>
    <row r="10202" spans="9:9" x14ac:dyDescent="0.2">
      <c r="I10202" s="137" t="s">
        <v>74</v>
      </c>
    </row>
    <row r="10203" spans="9:9" x14ac:dyDescent="0.2">
      <c r="I10203" s="137" t="s">
        <v>74</v>
      </c>
    </row>
    <row r="10204" spans="9:9" x14ac:dyDescent="0.2">
      <c r="I10204" s="137" t="s">
        <v>74</v>
      </c>
    </row>
    <row r="10205" spans="9:9" x14ac:dyDescent="0.2">
      <c r="I10205" s="137" t="s">
        <v>74</v>
      </c>
    </row>
    <row r="10206" spans="9:9" x14ac:dyDescent="0.2">
      <c r="I10206" s="137" t="s">
        <v>74</v>
      </c>
    </row>
    <row r="10207" spans="9:9" x14ac:dyDescent="0.2">
      <c r="I10207" s="137" t="s">
        <v>74</v>
      </c>
    </row>
    <row r="10208" spans="9:9" x14ac:dyDescent="0.2">
      <c r="I10208" s="137" t="s">
        <v>74</v>
      </c>
    </row>
    <row r="10209" spans="9:9" x14ac:dyDescent="0.2">
      <c r="I10209" s="137" t="s">
        <v>74</v>
      </c>
    </row>
    <row r="10210" spans="9:9" x14ac:dyDescent="0.2">
      <c r="I10210" s="137" t="s">
        <v>74</v>
      </c>
    </row>
    <row r="10211" spans="9:9" x14ac:dyDescent="0.2">
      <c r="I10211" s="137" t="s">
        <v>74</v>
      </c>
    </row>
    <row r="10212" spans="9:9" x14ac:dyDescent="0.2">
      <c r="I10212" s="137" t="s">
        <v>74</v>
      </c>
    </row>
    <row r="10213" spans="9:9" x14ac:dyDescent="0.2">
      <c r="I10213" s="137" t="s">
        <v>74</v>
      </c>
    </row>
    <row r="10214" spans="9:9" x14ac:dyDescent="0.2">
      <c r="I10214" s="137" t="s">
        <v>74</v>
      </c>
    </row>
    <row r="10215" spans="9:9" x14ac:dyDescent="0.2">
      <c r="I10215" s="137" t="s">
        <v>74</v>
      </c>
    </row>
    <row r="10216" spans="9:9" x14ac:dyDescent="0.2">
      <c r="I10216" s="137" t="s">
        <v>74</v>
      </c>
    </row>
    <row r="10217" spans="9:9" x14ac:dyDescent="0.2">
      <c r="I10217" s="137" t="s">
        <v>74</v>
      </c>
    </row>
    <row r="10218" spans="9:9" x14ac:dyDescent="0.2">
      <c r="I10218" s="137" t="s">
        <v>74</v>
      </c>
    </row>
    <row r="10219" spans="9:9" x14ac:dyDescent="0.2">
      <c r="I10219" s="137" t="s">
        <v>74</v>
      </c>
    </row>
    <row r="10220" spans="9:9" x14ac:dyDescent="0.2">
      <c r="I10220" s="137" t="s">
        <v>74</v>
      </c>
    </row>
    <row r="10221" spans="9:9" x14ac:dyDescent="0.2">
      <c r="I10221" s="137" t="s">
        <v>74</v>
      </c>
    </row>
    <row r="10222" spans="9:9" x14ac:dyDescent="0.2">
      <c r="I10222" s="137" t="s">
        <v>74</v>
      </c>
    </row>
    <row r="10223" spans="9:9" x14ac:dyDescent="0.2">
      <c r="I10223" s="137" t="s">
        <v>74</v>
      </c>
    </row>
    <row r="10224" spans="9:9" x14ac:dyDescent="0.2">
      <c r="I10224" s="137" t="s">
        <v>74</v>
      </c>
    </row>
    <row r="10225" spans="9:9" x14ac:dyDescent="0.2">
      <c r="I10225" s="137" t="s">
        <v>74</v>
      </c>
    </row>
    <row r="10226" spans="9:9" x14ac:dyDescent="0.2">
      <c r="I10226" s="137" t="s">
        <v>74</v>
      </c>
    </row>
    <row r="10227" spans="9:9" x14ac:dyDescent="0.2">
      <c r="I10227" s="137" t="s">
        <v>74</v>
      </c>
    </row>
    <row r="10228" spans="9:9" x14ac:dyDescent="0.2">
      <c r="I10228" s="137" t="s">
        <v>74</v>
      </c>
    </row>
    <row r="10229" spans="9:9" x14ac:dyDescent="0.2">
      <c r="I10229" s="137" t="s">
        <v>74</v>
      </c>
    </row>
    <row r="10230" spans="9:9" x14ac:dyDescent="0.2">
      <c r="I10230" s="137" t="s">
        <v>74</v>
      </c>
    </row>
    <row r="10231" spans="9:9" x14ac:dyDescent="0.2">
      <c r="I10231" s="137" t="s">
        <v>74</v>
      </c>
    </row>
    <row r="10232" spans="9:9" x14ac:dyDescent="0.2">
      <c r="I10232" s="137" t="s">
        <v>74</v>
      </c>
    </row>
    <row r="10233" spans="9:9" x14ac:dyDescent="0.2">
      <c r="I10233" s="137" t="s">
        <v>74</v>
      </c>
    </row>
    <row r="10234" spans="9:9" x14ac:dyDescent="0.2">
      <c r="I10234" s="137" t="s">
        <v>74</v>
      </c>
    </row>
    <row r="10235" spans="9:9" x14ac:dyDescent="0.2">
      <c r="I10235" s="137" t="s">
        <v>74</v>
      </c>
    </row>
    <row r="10236" spans="9:9" x14ac:dyDescent="0.2">
      <c r="I10236" s="137" t="s">
        <v>74</v>
      </c>
    </row>
    <row r="10237" spans="9:9" x14ac:dyDescent="0.2">
      <c r="I10237" s="137" t="s">
        <v>74</v>
      </c>
    </row>
    <row r="10238" spans="9:9" x14ac:dyDescent="0.2">
      <c r="I10238" s="137" t="s">
        <v>74</v>
      </c>
    </row>
    <row r="10239" spans="9:9" x14ac:dyDescent="0.2">
      <c r="I10239" s="137" t="s">
        <v>74</v>
      </c>
    </row>
    <row r="10240" spans="9:9" x14ac:dyDescent="0.2">
      <c r="I10240" s="137" t="s">
        <v>74</v>
      </c>
    </row>
    <row r="10241" spans="9:9" x14ac:dyDescent="0.2">
      <c r="I10241" s="137" t="s">
        <v>74</v>
      </c>
    </row>
    <row r="10242" spans="9:9" x14ac:dyDescent="0.2">
      <c r="I10242" s="137" t="s">
        <v>74</v>
      </c>
    </row>
    <row r="10243" spans="9:9" x14ac:dyDescent="0.2">
      <c r="I10243" s="137" t="s">
        <v>74</v>
      </c>
    </row>
    <row r="10244" spans="9:9" x14ac:dyDescent="0.2">
      <c r="I10244" s="137" t="s">
        <v>74</v>
      </c>
    </row>
    <row r="10245" spans="9:9" x14ac:dyDescent="0.2">
      <c r="I10245" s="137" t="s">
        <v>74</v>
      </c>
    </row>
    <row r="10246" spans="9:9" x14ac:dyDescent="0.2">
      <c r="I10246" s="137" t="s">
        <v>74</v>
      </c>
    </row>
    <row r="10247" spans="9:9" x14ac:dyDescent="0.2">
      <c r="I10247" s="137" t="s">
        <v>74</v>
      </c>
    </row>
    <row r="10248" spans="9:9" x14ac:dyDescent="0.2">
      <c r="I10248" s="137" t="s">
        <v>74</v>
      </c>
    </row>
    <row r="10249" spans="9:9" x14ac:dyDescent="0.2">
      <c r="I10249" s="137" t="s">
        <v>74</v>
      </c>
    </row>
    <row r="10250" spans="9:9" x14ac:dyDescent="0.2">
      <c r="I10250" s="137" t="s">
        <v>74</v>
      </c>
    </row>
    <row r="10251" spans="9:9" x14ac:dyDescent="0.2">
      <c r="I10251" s="137" t="s">
        <v>74</v>
      </c>
    </row>
    <row r="10252" spans="9:9" x14ac:dyDescent="0.2">
      <c r="I10252" s="137" t="s">
        <v>74</v>
      </c>
    </row>
    <row r="10253" spans="9:9" x14ac:dyDescent="0.2">
      <c r="I10253" s="137" t="s">
        <v>74</v>
      </c>
    </row>
    <row r="10254" spans="9:9" x14ac:dyDescent="0.2">
      <c r="I10254" s="137" t="s">
        <v>74</v>
      </c>
    </row>
    <row r="10255" spans="9:9" x14ac:dyDescent="0.2">
      <c r="I10255" s="137" t="s">
        <v>74</v>
      </c>
    </row>
    <row r="10256" spans="9:9" x14ac:dyDescent="0.2">
      <c r="I10256" s="137" t="s">
        <v>74</v>
      </c>
    </row>
    <row r="10257" spans="9:9" x14ac:dyDescent="0.2">
      <c r="I10257" s="137" t="s">
        <v>74</v>
      </c>
    </row>
    <row r="10258" spans="9:9" x14ac:dyDescent="0.2">
      <c r="I10258" s="137" t="s">
        <v>74</v>
      </c>
    </row>
    <row r="10259" spans="9:9" x14ac:dyDescent="0.2">
      <c r="I10259" s="137" t="s">
        <v>74</v>
      </c>
    </row>
    <row r="10260" spans="9:9" x14ac:dyDescent="0.2">
      <c r="I10260" s="137" t="s">
        <v>74</v>
      </c>
    </row>
    <row r="10261" spans="9:9" x14ac:dyDescent="0.2">
      <c r="I10261" s="137" t="s">
        <v>74</v>
      </c>
    </row>
    <row r="10262" spans="9:9" x14ac:dyDescent="0.2">
      <c r="I10262" s="137" t="s">
        <v>74</v>
      </c>
    </row>
    <row r="10263" spans="9:9" x14ac:dyDescent="0.2">
      <c r="I10263" s="137" t="s">
        <v>74</v>
      </c>
    </row>
    <row r="10264" spans="9:9" x14ac:dyDescent="0.2">
      <c r="I10264" s="137" t="s">
        <v>74</v>
      </c>
    </row>
    <row r="10265" spans="9:9" x14ac:dyDescent="0.2">
      <c r="I10265" s="137" t="s">
        <v>74</v>
      </c>
    </row>
    <row r="10266" spans="9:9" x14ac:dyDescent="0.2">
      <c r="I10266" s="137" t="s">
        <v>74</v>
      </c>
    </row>
    <row r="10267" spans="9:9" x14ac:dyDescent="0.2">
      <c r="I10267" s="137" t="s">
        <v>74</v>
      </c>
    </row>
    <row r="10268" spans="9:9" x14ac:dyDescent="0.2">
      <c r="I10268" s="137" t="s">
        <v>74</v>
      </c>
    </row>
    <row r="10269" spans="9:9" x14ac:dyDescent="0.2">
      <c r="I10269" s="137" t="s">
        <v>74</v>
      </c>
    </row>
    <row r="10270" spans="9:9" x14ac:dyDescent="0.2">
      <c r="I10270" s="137" t="s">
        <v>74</v>
      </c>
    </row>
    <row r="10271" spans="9:9" x14ac:dyDescent="0.2">
      <c r="I10271" s="137" t="s">
        <v>74</v>
      </c>
    </row>
    <row r="10272" spans="9:9" x14ac:dyDescent="0.2">
      <c r="I10272" s="137" t="s">
        <v>74</v>
      </c>
    </row>
    <row r="10273" spans="9:9" x14ac:dyDescent="0.2">
      <c r="I10273" s="137" t="s">
        <v>74</v>
      </c>
    </row>
    <row r="10274" spans="9:9" x14ac:dyDescent="0.2">
      <c r="I10274" s="137" t="s">
        <v>74</v>
      </c>
    </row>
    <row r="10275" spans="9:9" x14ac:dyDescent="0.2">
      <c r="I10275" s="137" t="s">
        <v>74</v>
      </c>
    </row>
    <row r="10276" spans="9:9" x14ac:dyDescent="0.2">
      <c r="I10276" s="137" t="s">
        <v>74</v>
      </c>
    </row>
    <row r="10277" spans="9:9" x14ac:dyDescent="0.2">
      <c r="I10277" s="137" t="s">
        <v>74</v>
      </c>
    </row>
    <row r="10278" spans="9:9" x14ac:dyDescent="0.2">
      <c r="I10278" s="137" t="s">
        <v>74</v>
      </c>
    </row>
    <row r="10279" spans="9:9" x14ac:dyDescent="0.2">
      <c r="I10279" s="137" t="s">
        <v>74</v>
      </c>
    </row>
    <row r="10280" spans="9:9" x14ac:dyDescent="0.2">
      <c r="I10280" s="137" t="s">
        <v>74</v>
      </c>
    </row>
    <row r="10281" spans="9:9" x14ac:dyDescent="0.2">
      <c r="I10281" s="137" t="s">
        <v>74</v>
      </c>
    </row>
    <row r="10282" spans="9:9" x14ac:dyDescent="0.2">
      <c r="I10282" s="137" t="s">
        <v>74</v>
      </c>
    </row>
    <row r="10283" spans="9:9" x14ac:dyDescent="0.2">
      <c r="I10283" s="137" t="s">
        <v>74</v>
      </c>
    </row>
    <row r="10284" spans="9:9" x14ac:dyDescent="0.2">
      <c r="I10284" s="137" t="s">
        <v>74</v>
      </c>
    </row>
    <row r="10285" spans="9:9" x14ac:dyDescent="0.2">
      <c r="I10285" s="137" t="s">
        <v>74</v>
      </c>
    </row>
    <row r="10286" spans="9:9" x14ac:dyDescent="0.2">
      <c r="I10286" s="137" t="s">
        <v>74</v>
      </c>
    </row>
    <row r="10287" spans="9:9" x14ac:dyDescent="0.2">
      <c r="I10287" s="137" t="s">
        <v>74</v>
      </c>
    </row>
    <row r="10288" spans="9:9" x14ac:dyDescent="0.2">
      <c r="I10288" s="137" t="s">
        <v>74</v>
      </c>
    </row>
    <row r="10289" spans="9:9" x14ac:dyDescent="0.2">
      <c r="I10289" s="137" t="s">
        <v>74</v>
      </c>
    </row>
    <row r="10290" spans="9:9" x14ac:dyDescent="0.2">
      <c r="I10290" s="137" t="s">
        <v>74</v>
      </c>
    </row>
    <row r="10291" spans="9:9" x14ac:dyDescent="0.2">
      <c r="I10291" s="137" t="s">
        <v>74</v>
      </c>
    </row>
    <row r="10292" spans="9:9" x14ac:dyDescent="0.2">
      <c r="I10292" s="137" t="s">
        <v>74</v>
      </c>
    </row>
    <row r="10293" spans="9:9" x14ac:dyDescent="0.2">
      <c r="I10293" s="137" t="s">
        <v>74</v>
      </c>
    </row>
    <row r="10294" spans="9:9" x14ac:dyDescent="0.2">
      <c r="I10294" s="137" t="s">
        <v>74</v>
      </c>
    </row>
    <row r="10295" spans="9:9" x14ac:dyDescent="0.2">
      <c r="I10295" s="137" t="s">
        <v>74</v>
      </c>
    </row>
    <row r="10296" spans="9:9" x14ac:dyDescent="0.2">
      <c r="I10296" s="137" t="s">
        <v>74</v>
      </c>
    </row>
    <row r="10297" spans="9:9" x14ac:dyDescent="0.2">
      <c r="I10297" s="137" t="s">
        <v>74</v>
      </c>
    </row>
    <row r="10298" spans="9:9" x14ac:dyDescent="0.2">
      <c r="I10298" s="137" t="s">
        <v>74</v>
      </c>
    </row>
    <row r="10299" spans="9:9" x14ac:dyDescent="0.2">
      <c r="I10299" s="137" t="s">
        <v>74</v>
      </c>
    </row>
    <row r="10300" spans="9:9" x14ac:dyDescent="0.2">
      <c r="I10300" s="137" t="s">
        <v>74</v>
      </c>
    </row>
    <row r="10301" spans="9:9" x14ac:dyDescent="0.2">
      <c r="I10301" s="137" t="s">
        <v>74</v>
      </c>
    </row>
    <row r="10302" spans="9:9" x14ac:dyDescent="0.2">
      <c r="I10302" s="137" t="s">
        <v>74</v>
      </c>
    </row>
    <row r="10303" spans="9:9" x14ac:dyDescent="0.2">
      <c r="I10303" s="137" t="s">
        <v>74</v>
      </c>
    </row>
    <row r="10304" spans="9:9" x14ac:dyDescent="0.2">
      <c r="I10304" s="137" t="s">
        <v>74</v>
      </c>
    </row>
    <row r="10305" spans="9:9" x14ac:dyDescent="0.2">
      <c r="I10305" s="137" t="s">
        <v>74</v>
      </c>
    </row>
    <row r="10306" spans="9:9" x14ac:dyDescent="0.2">
      <c r="I10306" s="137" t="s">
        <v>74</v>
      </c>
    </row>
    <row r="10307" spans="9:9" x14ac:dyDescent="0.2">
      <c r="I10307" s="137" t="s">
        <v>74</v>
      </c>
    </row>
    <row r="10308" spans="9:9" x14ac:dyDescent="0.2">
      <c r="I10308" s="137" t="s">
        <v>74</v>
      </c>
    </row>
    <row r="10309" spans="9:9" x14ac:dyDescent="0.2">
      <c r="I10309" s="137" t="s">
        <v>74</v>
      </c>
    </row>
    <row r="10310" spans="9:9" x14ac:dyDescent="0.2">
      <c r="I10310" s="137" t="s">
        <v>74</v>
      </c>
    </row>
    <row r="10311" spans="9:9" x14ac:dyDescent="0.2">
      <c r="I10311" s="137" t="s">
        <v>74</v>
      </c>
    </row>
    <row r="10312" spans="9:9" x14ac:dyDescent="0.2">
      <c r="I10312" s="137" t="s">
        <v>74</v>
      </c>
    </row>
    <row r="10313" spans="9:9" x14ac:dyDescent="0.2">
      <c r="I10313" s="137" t="s">
        <v>74</v>
      </c>
    </row>
    <row r="10314" spans="9:9" x14ac:dyDescent="0.2">
      <c r="I10314" s="137" t="s">
        <v>74</v>
      </c>
    </row>
    <row r="10315" spans="9:9" x14ac:dyDescent="0.2">
      <c r="I10315" s="137" t="s">
        <v>74</v>
      </c>
    </row>
    <row r="10316" spans="9:9" x14ac:dyDescent="0.2">
      <c r="I10316" s="137" t="s">
        <v>74</v>
      </c>
    </row>
    <row r="10317" spans="9:9" x14ac:dyDescent="0.2">
      <c r="I10317" s="137" t="s">
        <v>74</v>
      </c>
    </row>
    <row r="10318" spans="9:9" x14ac:dyDescent="0.2">
      <c r="I10318" s="137" t="s">
        <v>74</v>
      </c>
    </row>
    <row r="10319" spans="9:9" x14ac:dyDescent="0.2">
      <c r="I10319" s="137" t="s">
        <v>74</v>
      </c>
    </row>
    <row r="10320" spans="9:9" x14ac:dyDescent="0.2">
      <c r="I10320" s="137" t="s">
        <v>74</v>
      </c>
    </row>
    <row r="10321" spans="9:9" x14ac:dyDescent="0.2">
      <c r="I10321" s="137" t="s">
        <v>74</v>
      </c>
    </row>
    <row r="10322" spans="9:9" x14ac:dyDescent="0.2">
      <c r="I10322" s="137" t="s">
        <v>74</v>
      </c>
    </row>
    <row r="10323" spans="9:9" x14ac:dyDescent="0.2">
      <c r="I10323" s="137" t="s">
        <v>74</v>
      </c>
    </row>
    <row r="10324" spans="9:9" x14ac:dyDescent="0.2">
      <c r="I10324" s="137" t="s">
        <v>74</v>
      </c>
    </row>
    <row r="10325" spans="9:9" x14ac:dyDescent="0.2">
      <c r="I10325" s="137" t="s">
        <v>74</v>
      </c>
    </row>
    <row r="10326" spans="9:9" x14ac:dyDescent="0.2">
      <c r="I10326" s="137" t="s">
        <v>74</v>
      </c>
    </row>
    <row r="10327" spans="9:9" x14ac:dyDescent="0.2">
      <c r="I10327" s="137" t="s">
        <v>74</v>
      </c>
    </row>
    <row r="10328" spans="9:9" x14ac:dyDescent="0.2">
      <c r="I10328" s="137" t="s">
        <v>74</v>
      </c>
    </row>
    <row r="10329" spans="9:9" x14ac:dyDescent="0.2">
      <c r="I10329" s="137" t="s">
        <v>74</v>
      </c>
    </row>
    <row r="10330" spans="9:9" x14ac:dyDescent="0.2">
      <c r="I10330" s="137" t="s">
        <v>74</v>
      </c>
    </row>
    <row r="10331" spans="9:9" x14ac:dyDescent="0.2">
      <c r="I10331" s="137" t="s">
        <v>74</v>
      </c>
    </row>
    <row r="10332" spans="9:9" x14ac:dyDescent="0.2">
      <c r="I10332" s="137" t="s">
        <v>74</v>
      </c>
    </row>
    <row r="10333" spans="9:9" x14ac:dyDescent="0.2">
      <c r="I10333" s="137" t="s">
        <v>74</v>
      </c>
    </row>
    <row r="10334" spans="9:9" x14ac:dyDescent="0.2">
      <c r="I10334" s="137" t="s">
        <v>74</v>
      </c>
    </row>
    <row r="10335" spans="9:9" x14ac:dyDescent="0.2">
      <c r="I10335" s="137" t="s">
        <v>74</v>
      </c>
    </row>
    <row r="10336" spans="9:9" x14ac:dyDescent="0.2">
      <c r="I10336" s="137" t="s">
        <v>74</v>
      </c>
    </row>
    <row r="10337" spans="9:9" x14ac:dyDescent="0.2">
      <c r="I10337" s="137" t="s">
        <v>74</v>
      </c>
    </row>
    <row r="10338" spans="9:9" x14ac:dyDescent="0.2">
      <c r="I10338" s="137" t="s">
        <v>74</v>
      </c>
    </row>
    <row r="10339" spans="9:9" x14ac:dyDescent="0.2">
      <c r="I10339" s="137" t="s">
        <v>74</v>
      </c>
    </row>
    <row r="10340" spans="9:9" x14ac:dyDescent="0.2">
      <c r="I10340" s="137" t="s">
        <v>74</v>
      </c>
    </row>
    <row r="10341" spans="9:9" x14ac:dyDescent="0.2">
      <c r="I10341" s="137" t="s">
        <v>74</v>
      </c>
    </row>
    <row r="10342" spans="9:9" x14ac:dyDescent="0.2">
      <c r="I10342" s="137" t="s">
        <v>74</v>
      </c>
    </row>
    <row r="10343" spans="9:9" x14ac:dyDescent="0.2">
      <c r="I10343" s="137" t="s">
        <v>74</v>
      </c>
    </row>
    <row r="10344" spans="9:9" x14ac:dyDescent="0.2">
      <c r="I10344" s="137" t="s">
        <v>74</v>
      </c>
    </row>
    <row r="10345" spans="9:9" x14ac:dyDescent="0.2">
      <c r="I10345" s="137" t="s">
        <v>74</v>
      </c>
    </row>
    <row r="10346" spans="9:9" x14ac:dyDescent="0.2">
      <c r="I10346" s="137" t="s">
        <v>74</v>
      </c>
    </row>
    <row r="10347" spans="9:9" x14ac:dyDescent="0.2">
      <c r="I10347" s="137" t="s">
        <v>74</v>
      </c>
    </row>
    <row r="10348" spans="9:9" x14ac:dyDescent="0.2">
      <c r="I10348" s="137" t="s">
        <v>74</v>
      </c>
    </row>
    <row r="10349" spans="9:9" x14ac:dyDescent="0.2">
      <c r="I10349" s="137" t="s">
        <v>74</v>
      </c>
    </row>
    <row r="10350" spans="9:9" x14ac:dyDescent="0.2">
      <c r="I10350" s="137" t="s">
        <v>74</v>
      </c>
    </row>
    <row r="10351" spans="9:9" x14ac:dyDescent="0.2">
      <c r="I10351" s="137" t="s">
        <v>74</v>
      </c>
    </row>
    <row r="10352" spans="9:9" x14ac:dyDescent="0.2">
      <c r="I10352" s="137" t="s">
        <v>74</v>
      </c>
    </row>
    <row r="10353" spans="9:9" x14ac:dyDescent="0.2">
      <c r="I10353" s="137" t="s">
        <v>74</v>
      </c>
    </row>
    <row r="10354" spans="9:9" x14ac:dyDescent="0.2">
      <c r="I10354" s="137" t="s">
        <v>74</v>
      </c>
    </row>
    <row r="10355" spans="9:9" x14ac:dyDescent="0.2">
      <c r="I10355" s="137" t="s">
        <v>74</v>
      </c>
    </row>
    <row r="10356" spans="9:9" x14ac:dyDescent="0.2">
      <c r="I10356" s="137" t="s">
        <v>74</v>
      </c>
    </row>
    <row r="10357" spans="9:9" x14ac:dyDescent="0.2">
      <c r="I10357" s="137" t="s">
        <v>74</v>
      </c>
    </row>
    <row r="10358" spans="9:9" x14ac:dyDescent="0.2">
      <c r="I10358" s="137" t="s">
        <v>74</v>
      </c>
    </row>
    <row r="10359" spans="9:9" x14ac:dyDescent="0.2">
      <c r="I10359" s="137" t="s">
        <v>74</v>
      </c>
    </row>
    <row r="10360" spans="9:9" x14ac:dyDescent="0.2">
      <c r="I10360" s="137" t="s">
        <v>74</v>
      </c>
    </row>
    <row r="10361" spans="9:9" x14ac:dyDescent="0.2">
      <c r="I10361" s="137" t="s">
        <v>74</v>
      </c>
    </row>
    <row r="10362" spans="9:9" x14ac:dyDescent="0.2">
      <c r="I10362" s="137" t="s">
        <v>74</v>
      </c>
    </row>
    <row r="10363" spans="9:9" x14ac:dyDescent="0.2">
      <c r="I10363" s="137" t="s">
        <v>74</v>
      </c>
    </row>
    <row r="10364" spans="9:9" x14ac:dyDescent="0.2">
      <c r="I10364" s="137" t="s">
        <v>74</v>
      </c>
    </row>
    <row r="10365" spans="9:9" x14ac:dyDescent="0.2">
      <c r="I10365" s="137" t="s">
        <v>74</v>
      </c>
    </row>
    <row r="10366" spans="9:9" x14ac:dyDescent="0.2">
      <c r="I10366" s="137" t="s">
        <v>74</v>
      </c>
    </row>
    <row r="10367" spans="9:9" x14ac:dyDescent="0.2">
      <c r="I10367" s="137" t="s">
        <v>74</v>
      </c>
    </row>
    <row r="10368" spans="9:9" x14ac:dyDescent="0.2">
      <c r="I10368" s="137" t="s">
        <v>74</v>
      </c>
    </row>
    <row r="10369" spans="9:9" x14ac:dyDescent="0.2">
      <c r="I10369" s="137" t="s">
        <v>74</v>
      </c>
    </row>
    <row r="10370" spans="9:9" x14ac:dyDescent="0.2">
      <c r="I10370" s="137" t="s">
        <v>74</v>
      </c>
    </row>
    <row r="10371" spans="9:9" x14ac:dyDescent="0.2">
      <c r="I10371" s="137" t="s">
        <v>74</v>
      </c>
    </row>
    <row r="10372" spans="9:9" x14ac:dyDescent="0.2">
      <c r="I10372" s="137" t="s">
        <v>74</v>
      </c>
    </row>
    <row r="10373" spans="9:9" x14ac:dyDescent="0.2">
      <c r="I10373" s="137" t="s">
        <v>74</v>
      </c>
    </row>
    <row r="10374" spans="9:9" x14ac:dyDescent="0.2">
      <c r="I10374" s="137" t="s">
        <v>74</v>
      </c>
    </row>
    <row r="10375" spans="9:9" x14ac:dyDescent="0.2">
      <c r="I10375" s="137" t="s">
        <v>74</v>
      </c>
    </row>
    <row r="10376" spans="9:9" x14ac:dyDescent="0.2">
      <c r="I10376" s="137" t="s">
        <v>74</v>
      </c>
    </row>
    <row r="10377" spans="9:9" x14ac:dyDescent="0.2">
      <c r="I10377" s="137" t="s">
        <v>74</v>
      </c>
    </row>
    <row r="10378" spans="9:9" x14ac:dyDescent="0.2">
      <c r="I10378" s="137" t="s">
        <v>74</v>
      </c>
    </row>
    <row r="10379" spans="9:9" x14ac:dyDescent="0.2">
      <c r="I10379" s="137" t="s">
        <v>74</v>
      </c>
    </row>
    <row r="10380" spans="9:9" x14ac:dyDescent="0.2">
      <c r="I10380" s="137" t="s">
        <v>74</v>
      </c>
    </row>
    <row r="10381" spans="9:9" x14ac:dyDescent="0.2">
      <c r="I10381" s="137" t="s">
        <v>74</v>
      </c>
    </row>
    <row r="10382" spans="9:9" x14ac:dyDescent="0.2">
      <c r="I10382" s="137" t="s">
        <v>74</v>
      </c>
    </row>
    <row r="10383" spans="9:9" x14ac:dyDescent="0.2">
      <c r="I10383" s="137" t="s">
        <v>74</v>
      </c>
    </row>
    <row r="10384" spans="9:9" x14ac:dyDescent="0.2">
      <c r="I10384" s="137" t="s">
        <v>74</v>
      </c>
    </row>
    <row r="10385" spans="9:9" x14ac:dyDescent="0.2">
      <c r="I10385" s="137" t="s">
        <v>74</v>
      </c>
    </row>
    <row r="10386" spans="9:9" x14ac:dyDescent="0.2">
      <c r="I10386" s="137" t="s">
        <v>74</v>
      </c>
    </row>
    <row r="10387" spans="9:9" x14ac:dyDescent="0.2">
      <c r="I10387" s="137" t="s">
        <v>74</v>
      </c>
    </row>
    <row r="10388" spans="9:9" x14ac:dyDescent="0.2">
      <c r="I10388" s="137" t="s">
        <v>74</v>
      </c>
    </row>
    <row r="10389" spans="9:9" x14ac:dyDescent="0.2">
      <c r="I10389" s="137" t="s">
        <v>74</v>
      </c>
    </row>
    <row r="10390" spans="9:9" x14ac:dyDescent="0.2">
      <c r="I10390" s="137" t="s">
        <v>74</v>
      </c>
    </row>
    <row r="10391" spans="9:9" x14ac:dyDescent="0.2">
      <c r="I10391" s="137" t="s">
        <v>74</v>
      </c>
    </row>
    <row r="10392" spans="9:9" x14ac:dyDescent="0.2">
      <c r="I10392" s="137" t="s">
        <v>74</v>
      </c>
    </row>
    <row r="10393" spans="9:9" x14ac:dyDescent="0.2">
      <c r="I10393" s="137" t="s">
        <v>74</v>
      </c>
    </row>
    <row r="10394" spans="9:9" x14ac:dyDescent="0.2">
      <c r="I10394" s="137" t="s">
        <v>74</v>
      </c>
    </row>
    <row r="10395" spans="9:9" x14ac:dyDescent="0.2">
      <c r="I10395" s="137" t="s">
        <v>74</v>
      </c>
    </row>
    <row r="10396" spans="9:9" x14ac:dyDescent="0.2">
      <c r="I10396" s="137" t="s">
        <v>74</v>
      </c>
    </row>
    <row r="10397" spans="9:9" x14ac:dyDescent="0.2">
      <c r="I10397" s="137" t="s">
        <v>74</v>
      </c>
    </row>
    <row r="10398" spans="9:9" x14ac:dyDescent="0.2">
      <c r="I10398" s="137" t="s">
        <v>74</v>
      </c>
    </row>
    <row r="10399" spans="9:9" x14ac:dyDescent="0.2">
      <c r="I10399" s="137" t="s">
        <v>74</v>
      </c>
    </row>
    <row r="10400" spans="9:9" x14ac:dyDescent="0.2">
      <c r="I10400" s="137" t="s">
        <v>74</v>
      </c>
    </row>
    <row r="10401" spans="9:9" x14ac:dyDescent="0.2">
      <c r="I10401" s="137" t="s">
        <v>74</v>
      </c>
    </row>
    <row r="10402" spans="9:9" x14ac:dyDescent="0.2">
      <c r="I10402" s="137" t="s">
        <v>74</v>
      </c>
    </row>
    <row r="10403" spans="9:9" x14ac:dyDescent="0.2">
      <c r="I10403" s="137" t="s">
        <v>74</v>
      </c>
    </row>
    <row r="10404" spans="9:9" x14ac:dyDescent="0.2">
      <c r="I10404" s="137" t="s">
        <v>74</v>
      </c>
    </row>
    <row r="10405" spans="9:9" x14ac:dyDescent="0.2">
      <c r="I10405" s="137" t="s">
        <v>74</v>
      </c>
    </row>
    <row r="10406" spans="9:9" x14ac:dyDescent="0.2">
      <c r="I10406" s="137" t="s">
        <v>74</v>
      </c>
    </row>
    <row r="10407" spans="9:9" x14ac:dyDescent="0.2">
      <c r="I10407" s="137" t="s">
        <v>74</v>
      </c>
    </row>
    <row r="10408" spans="9:9" x14ac:dyDescent="0.2">
      <c r="I10408" s="137" t="s">
        <v>74</v>
      </c>
    </row>
    <row r="10409" spans="9:9" x14ac:dyDescent="0.2">
      <c r="I10409" s="137" t="s">
        <v>74</v>
      </c>
    </row>
    <row r="10410" spans="9:9" x14ac:dyDescent="0.2">
      <c r="I10410" s="137" t="s">
        <v>74</v>
      </c>
    </row>
    <row r="10411" spans="9:9" x14ac:dyDescent="0.2">
      <c r="I10411" s="137" t="s">
        <v>74</v>
      </c>
    </row>
    <row r="10412" spans="9:9" x14ac:dyDescent="0.2">
      <c r="I10412" s="137" t="s">
        <v>74</v>
      </c>
    </row>
    <row r="10413" spans="9:9" x14ac:dyDescent="0.2">
      <c r="I10413" s="137" t="s">
        <v>74</v>
      </c>
    </row>
    <row r="10414" spans="9:9" x14ac:dyDescent="0.2">
      <c r="I10414" s="137" t="s">
        <v>74</v>
      </c>
    </row>
    <row r="10415" spans="9:9" x14ac:dyDescent="0.2">
      <c r="I10415" s="137" t="s">
        <v>74</v>
      </c>
    </row>
    <row r="10416" spans="9:9" x14ac:dyDescent="0.2">
      <c r="I10416" s="137" t="s">
        <v>74</v>
      </c>
    </row>
    <row r="10417" spans="9:9" x14ac:dyDescent="0.2">
      <c r="I10417" s="137" t="s">
        <v>74</v>
      </c>
    </row>
    <row r="10418" spans="9:9" x14ac:dyDescent="0.2">
      <c r="I10418" s="137" t="s">
        <v>74</v>
      </c>
    </row>
    <row r="10419" spans="9:9" x14ac:dyDescent="0.2">
      <c r="I10419" s="137" t="s">
        <v>74</v>
      </c>
    </row>
    <row r="10420" spans="9:9" x14ac:dyDescent="0.2">
      <c r="I10420" s="137" t="s">
        <v>74</v>
      </c>
    </row>
    <row r="10421" spans="9:9" x14ac:dyDescent="0.2">
      <c r="I10421" s="137" t="s">
        <v>74</v>
      </c>
    </row>
    <row r="10422" spans="9:9" x14ac:dyDescent="0.2">
      <c r="I10422" s="137" t="s">
        <v>74</v>
      </c>
    </row>
    <row r="10423" spans="9:9" x14ac:dyDescent="0.2">
      <c r="I10423" s="137" t="s">
        <v>74</v>
      </c>
    </row>
    <row r="10424" spans="9:9" x14ac:dyDescent="0.2">
      <c r="I10424" s="137" t="s">
        <v>74</v>
      </c>
    </row>
    <row r="10425" spans="9:9" x14ac:dyDescent="0.2">
      <c r="I10425" s="137" t="s">
        <v>74</v>
      </c>
    </row>
    <row r="10426" spans="9:9" x14ac:dyDescent="0.2">
      <c r="I10426" s="137" t="s">
        <v>74</v>
      </c>
    </row>
    <row r="10427" spans="9:9" x14ac:dyDescent="0.2">
      <c r="I10427" s="137" t="s">
        <v>74</v>
      </c>
    </row>
    <row r="10428" spans="9:9" x14ac:dyDescent="0.2">
      <c r="I10428" s="137" t="s">
        <v>74</v>
      </c>
    </row>
    <row r="10429" spans="9:9" x14ac:dyDescent="0.2">
      <c r="I10429" s="137" t="s">
        <v>74</v>
      </c>
    </row>
    <row r="10430" spans="9:9" x14ac:dyDescent="0.2">
      <c r="I10430" s="137" t="s">
        <v>74</v>
      </c>
    </row>
    <row r="10431" spans="9:9" x14ac:dyDescent="0.2">
      <c r="I10431" s="137" t="s">
        <v>74</v>
      </c>
    </row>
    <row r="10432" spans="9:9" x14ac:dyDescent="0.2">
      <c r="I10432" s="137" t="s">
        <v>74</v>
      </c>
    </row>
    <row r="10433" spans="9:9" x14ac:dyDescent="0.2">
      <c r="I10433" s="137" t="s">
        <v>74</v>
      </c>
    </row>
    <row r="10434" spans="9:9" x14ac:dyDescent="0.2">
      <c r="I10434" s="137" t="s">
        <v>74</v>
      </c>
    </row>
    <row r="10435" spans="9:9" x14ac:dyDescent="0.2">
      <c r="I10435" s="137" t="s">
        <v>74</v>
      </c>
    </row>
    <row r="10436" spans="9:9" x14ac:dyDescent="0.2">
      <c r="I10436" s="137" t="s">
        <v>74</v>
      </c>
    </row>
    <row r="10437" spans="9:9" x14ac:dyDescent="0.2">
      <c r="I10437" s="137" t="s">
        <v>74</v>
      </c>
    </row>
    <row r="10438" spans="9:9" x14ac:dyDescent="0.2">
      <c r="I10438" s="137" t="s">
        <v>74</v>
      </c>
    </row>
    <row r="10439" spans="9:9" x14ac:dyDescent="0.2">
      <c r="I10439" s="137" t="s">
        <v>74</v>
      </c>
    </row>
    <row r="10440" spans="9:9" x14ac:dyDescent="0.2">
      <c r="I10440" s="137" t="s">
        <v>74</v>
      </c>
    </row>
    <row r="10441" spans="9:9" x14ac:dyDescent="0.2">
      <c r="I10441" s="137" t="s">
        <v>74</v>
      </c>
    </row>
    <row r="10442" spans="9:9" x14ac:dyDescent="0.2">
      <c r="I10442" s="137" t="s">
        <v>74</v>
      </c>
    </row>
    <row r="10443" spans="9:9" x14ac:dyDescent="0.2">
      <c r="I10443" s="137" t="s">
        <v>74</v>
      </c>
    </row>
    <row r="10444" spans="9:9" x14ac:dyDescent="0.2">
      <c r="I10444" s="137" t="s">
        <v>74</v>
      </c>
    </row>
    <row r="10445" spans="9:9" x14ac:dyDescent="0.2">
      <c r="I10445" s="137" t="s">
        <v>74</v>
      </c>
    </row>
    <row r="10446" spans="9:9" x14ac:dyDescent="0.2">
      <c r="I10446" s="137" t="s">
        <v>74</v>
      </c>
    </row>
    <row r="10447" spans="9:9" x14ac:dyDescent="0.2">
      <c r="I10447" s="137" t="s">
        <v>74</v>
      </c>
    </row>
    <row r="10448" spans="9:9" x14ac:dyDescent="0.2">
      <c r="I10448" s="137" t="s">
        <v>74</v>
      </c>
    </row>
    <row r="10449" spans="9:9" x14ac:dyDescent="0.2">
      <c r="I10449" s="137" t="s">
        <v>74</v>
      </c>
    </row>
    <row r="10450" spans="9:9" x14ac:dyDescent="0.2">
      <c r="I10450" s="137" t="s">
        <v>74</v>
      </c>
    </row>
    <row r="10451" spans="9:9" x14ac:dyDescent="0.2">
      <c r="I10451" s="137" t="s">
        <v>74</v>
      </c>
    </row>
    <row r="10452" spans="9:9" x14ac:dyDescent="0.2">
      <c r="I10452" s="137" t="s">
        <v>74</v>
      </c>
    </row>
    <row r="10453" spans="9:9" x14ac:dyDescent="0.2">
      <c r="I10453" s="137" t="s">
        <v>74</v>
      </c>
    </row>
    <row r="10454" spans="9:9" x14ac:dyDescent="0.2">
      <c r="I10454" s="137" t="s">
        <v>74</v>
      </c>
    </row>
    <row r="10455" spans="9:9" x14ac:dyDescent="0.2">
      <c r="I10455" s="137" t="s">
        <v>74</v>
      </c>
    </row>
    <row r="10456" spans="9:9" x14ac:dyDescent="0.2">
      <c r="I10456" s="137" t="s">
        <v>74</v>
      </c>
    </row>
    <row r="10457" spans="9:9" x14ac:dyDescent="0.2">
      <c r="I10457" s="137" t="s">
        <v>74</v>
      </c>
    </row>
    <row r="10458" spans="9:9" x14ac:dyDescent="0.2">
      <c r="I10458" s="137" t="s">
        <v>74</v>
      </c>
    </row>
    <row r="10459" spans="9:9" x14ac:dyDescent="0.2">
      <c r="I10459" s="137" t="s">
        <v>74</v>
      </c>
    </row>
    <row r="10460" spans="9:9" x14ac:dyDescent="0.2">
      <c r="I10460" s="137" t="s">
        <v>74</v>
      </c>
    </row>
    <row r="10461" spans="9:9" x14ac:dyDescent="0.2">
      <c r="I10461" s="137" t="s">
        <v>74</v>
      </c>
    </row>
    <row r="10462" spans="9:9" x14ac:dyDescent="0.2">
      <c r="I10462" s="137" t="s">
        <v>74</v>
      </c>
    </row>
    <row r="10463" spans="9:9" x14ac:dyDescent="0.2">
      <c r="I10463" s="137" t="s">
        <v>74</v>
      </c>
    </row>
    <row r="10464" spans="9:9" x14ac:dyDescent="0.2">
      <c r="I10464" s="137" t="s">
        <v>74</v>
      </c>
    </row>
    <row r="10465" spans="9:9" x14ac:dyDescent="0.2">
      <c r="I10465" s="137" t="s">
        <v>74</v>
      </c>
    </row>
    <row r="10466" spans="9:9" x14ac:dyDescent="0.2">
      <c r="I10466" s="137" t="s">
        <v>74</v>
      </c>
    </row>
    <row r="10467" spans="9:9" x14ac:dyDescent="0.2">
      <c r="I10467" s="137" t="s">
        <v>74</v>
      </c>
    </row>
    <row r="10468" spans="9:9" x14ac:dyDescent="0.2">
      <c r="I10468" s="137" t="s">
        <v>74</v>
      </c>
    </row>
    <row r="10469" spans="9:9" x14ac:dyDescent="0.2">
      <c r="I10469" s="137" t="s">
        <v>74</v>
      </c>
    </row>
    <row r="10470" spans="9:9" x14ac:dyDescent="0.2">
      <c r="I10470" s="137" t="s">
        <v>74</v>
      </c>
    </row>
    <row r="10471" spans="9:9" x14ac:dyDescent="0.2">
      <c r="I10471" s="137" t="s">
        <v>74</v>
      </c>
    </row>
    <row r="10472" spans="9:9" x14ac:dyDescent="0.2">
      <c r="I10472" s="137" t="s">
        <v>74</v>
      </c>
    </row>
    <row r="10473" spans="9:9" x14ac:dyDescent="0.2">
      <c r="I10473" s="137" t="s">
        <v>74</v>
      </c>
    </row>
    <row r="10474" spans="9:9" x14ac:dyDescent="0.2">
      <c r="I10474" s="137" t="s">
        <v>74</v>
      </c>
    </row>
    <row r="10475" spans="9:9" x14ac:dyDescent="0.2">
      <c r="I10475" s="137" t="s">
        <v>74</v>
      </c>
    </row>
    <row r="10476" spans="9:9" x14ac:dyDescent="0.2">
      <c r="I10476" s="137" t="s">
        <v>74</v>
      </c>
    </row>
    <row r="10477" spans="9:9" x14ac:dyDescent="0.2">
      <c r="I10477" s="137" t="s">
        <v>74</v>
      </c>
    </row>
    <row r="10478" spans="9:9" x14ac:dyDescent="0.2">
      <c r="I10478" s="137" t="s">
        <v>74</v>
      </c>
    </row>
    <row r="10479" spans="9:9" x14ac:dyDescent="0.2">
      <c r="I10479" s="137" t="s">
        <v>74</v>
      </c>
    </row>
    <row r="10480" spans="9:9" x14ac:dyDescent="0.2">
      <c r="I10480" s="137" t="s">
        <v>74</v>
      </c>
    </row>
    <row r="10481" spans="9:9" x14ac:dyDescent="0.2">
      <c r="I10481" s="137" t="s">
        <v>74</v>
      </c>
    </row>
    <row r="10482" spans="9:9" x14ac:dyDescent="0.2">
      <c r="I10482" s="137" t="s">
        <v>74</v>
      </c>
    </row>
    <row r="10483" spans="9:9" x14ac:dyDescent="0.2">
      <c r="I10483" s="137" t="s">
        <v>74</v>
      </c>
    </row>
    <row r="10484" spans="9:9" x14ac:dyDescent="0.2">
      <c r="I10484" s="137" t="s">
        <v>74</v>
      </c>
    </row>
    <row r="10485" spans="9:9" x14ac:dyDescent="0.2">
      <c r="I10485" s="137" t="s">
        <v>74</v>
      </c>
    </row>
    <row r="10486" spans="9:9" x14ac:dyDescent="0.2">
      <c r="I10486" s="137" t="s">
        <v>74</v>
      </c>
    </row>
    <row r="10487" spans="9:9" x14ac:dyDescent="0.2">
      <c r="I10487" s="137" t="s">
        <v>74</v>
      </c>
    </row>
    <row r="10488" spans="9:9" x14ac:dyDescent="0.2">
      <c r="I10488" s="137" t="s">
        <v>74</v>
      </c>
    </row>
    <row r="10489" spans="9:9" x14ac:dyDescent="0.2">
      <c r="I10489" s="137" t="s">
        <v>74</v>
      </c>
    </row>
    <row r="10490" spans="9:9" x14ac:dyDescent="0.2">
      <c r="I10490" s="137" t="s">
        <v>74</v>
      </c>
    </row>
    <row r="10491" spans="9:9" x14ac:dyDescent="0.2">
      <c r="I10491" s="137" t="s">
        <v>74</v>
      </c>
    </row>
    <row r="10492" spans="9:9" x14ac:dyDescent="0.2">
      <c r="I10492" s="137" t="s">
        <v>74</v>
      </c>
    </row>
    <row r="10493" spans="9:9" x14ac:dyDescent="0.2">
      <c r="I10493" s="137" t="s">
        <v>74</v>
      </c>
    </row>
    <row r="10494" spans="9:9" x14ac:dyDescent="0.2">
      <c r="I10494" s="137" t="s">
        <v>74</v>
      </c>
    </row>
    <row r="10495" spans="9:9" x14ac:dyDescent="0.2">
      <c r="I10495" s="137" t="s">
        <v>74</v>
      </c>
    </row>
    <row r="10496" spans="9:9" x14ac:dyDescent="0.2">
      <c r="I10496" s="137" t="s">
        <v>74</v>
      </c>
    </row>
    <row r="10497" spans="9:9" x14ac:dyDescent="0.2">
      <c r="I10497" s="137" t="s">
        <v>74</v>
      </c>
    </row>
    <row r="10498" spans="9:9" x14ac:dyDescent="0.2">
      <c r="I10498" s="137" t="s">
        <v>74</v>
      </c>
    </row>
    <row r="10499" spans="9:9" x14ac:dyDescent="0.2">
      <c r="I10499" s="137" t="s">
        <v>74</v>
      </c>
    </row>
    <row r="10500" spans="9:9" x14ac:dyDescent="0.2">
      <c r="I10500" s="137" t="s">
        <v>74</v>
      </c>
    </row>
    <row r="10501" spans="9:9" x14ac:dyDescent="0.2">
      <c r="I10501" s="137" t="s">
        <v>74</v>
      </c>
    </row>
    <row r="10502" spans="9:9" x14ac:dyDescent="0.2">
      <c r="I10502" s="137" t="s">
        <v>74</v>
      </c>
    </row>
    <row r="10503" spans="9:9" x14ac:dyDescent="0.2">
      <c r="I10503" s="137" t="s">
        <v>74</v>
      </c>
    </row>
    <row r="10504" spans="9:9" x14ac:dyDescent="0.2">
      <c r="I10504" s="137" t="s">
        <v>74</v>
      </c>
    </row>
    <row r="10505" spans="9:9" x14ac:dyDescent="0.2">
      <c r="I10505" s="137" t="s">
        <v>74</v>
      </c>
    </row>
    <row r="10506" spans="9:9" x14ac:dyDescent="0.2">
      <c r="I10506" s="137" t="s">
        <v>74</v>
      </c>
    </row>
    <row r="10507" spans="9:9" x14ac:dyDescent="0.2">
      <c r="I10507" s="137" t="s">
        <v>74</v>
      </c>
    </row>
    <row r="10508" spans="9:9" x14ac:dyDescent="0.2">
      <c r="I10508" s="137" t="s">
        <v>74</v>
      </c>
    </row>
    <row r="10509" spans="9:9" x14ac:dyDescent="0.2">
      <c r="I10509" s="137" t="s">
        <v>74</v>
      </c>
    </row>
    <row r="10510" spans="9:9" x14ac:dyDescent="0.2">
      <c r="I10510" s="137" t="s">
        <v>74</v>
      </c>
    </row>
    <row r="10511" spans="9:9" x14ac:dyDescent="0.2">
      <c r="I10511" s="137" t="s">
        <v>74</v>
      </c>
    </row>
    <row r="10512" spans="9:9" x14ac:dyDescent="0.2">
      <c r="I10512" s="137" t="s">
        <v>74</v>
      </c>
    </row>
    <row r="10513" spans="9:9" x14ac:dyDescent="0.2">
      <c r="I10513" s="137" t="s">
        <v>74</v>
      </c>
    </row>
    <row r="10514" spans="9:9" x14ac:dyDescent="0.2">
      <c r="I10514" s="137" t="s">
        <v>74</v>
      </c>
    </row>
    <row r="10515" spans="9:9" x14ac:dyDescent="0.2">
      <c r="I10515" s="137" t="s">
        <v>74</v>
      </c>
    </row>
    <row r="10516" spans="9:9" x14ac:dyDescent="0.2">
      <c r="I10516" s="137" t="s">
        <v>74</v>
      </c>
    </row>
    <row r="10517" spans="9:9" x14ac:dyDescent="0.2">
      <c r="I10517" s="137" t="s">
        <v>74</v>
      </c>
    </row>
    <row r="10518" spans="9:9" x14ac:dyDescent="0.2">
      <c r="I10518" s="137" t="s">
        <v>74</v>
      </c>
    </row>
    <row r="10519" spans="9:9" x14ac:dyDescent="0.2">
      <c r="I10519" s="137" t="s">
        <v>74</v>
      </c>
    </row>
    <row r="10520" spans="9:9" x14ac:dyDescent="0.2">
      <c r="I10520" s="137" t="s">
        <v>74</v>
      </c>
    </row>
    <row r="10521" spans="9:9" x14ac:dyDescent="0.2">
      <c r="I10521" s="137" t="s">
        <v>74</v>
      </c>
    </row>
    <row r="10522" spans="9:9" x14ac:dyDescent="0.2">
      <c r="I10522" s="137" t="s">
        <v>74</v>
      </c>
    </row>
    <row r="10523" spans="9:9" x14ac:dyDescent="0.2">
      <c r="I10523" s="137" t="s">
        <v>74</v>
      </c>
    </row>
    <row r="10524" spans="9:9" x14ac:dyDescent="0.2">
      <c r="I10524" s="137" t="s">
        <v>74</v>
      </c>
    </row>
    <row r="10525" spans="9:9" x14ac:dyDescent="0.2">
      <c r="I10525" s="137" t="s">
        <v>74</v>
      </c>
    </row>
    <row r="10526" spans="9:9" x14ac:dyDescent="0.2">
      <c r="I10526" s="137" t="s">
        <v>74</v>
      </c>
    </row>
    <row r="10527" spans="9:9" x14ac:dyDescent="0.2">
      <c r="I10527" s="137" t="s">
        <v>74</v>
      </c>
    </row>
    <row r="10528" spans="9:9" x14ac:dyDescent="0.2">
      <c r="I10528" s="137" t="s">
        <v>74</v>
      </c>
    </row>
    <row r="10529" spans="9:9" x14ac:dyDescent="0.2">
      <c r="I10529" s="137" t="s">
        <v>74</v>
      </c>
    </row>
    <row r="10530" spans="9:9" x14ac:dyDescent="0.2">
      <c r="I10530" s="137" t="s">
        <v>74</v>
      </c>
    </row>
    <row r="10531" spans="9:9" x14ac:dyDescent="0.2">
      <c r="I10531" s="137" t="s">
        <v>74</v>
      </c>
    </row>
    <row r="10532" spans="9:9" x14ac:dyDescent="0.2">
      <c r="I10532" s="137" t="s">
        <v>74</v>
      </c>
    </row>
    <row r="10533" spans="9:9" x14ac:dyDescent="0.2">
      <c r="I10533" s="137" t="s">
        <v>74</v>
      </c>
    </row>
    <row r="10534" spans="9:9" x14ac:dyDescent="0.2">
      <c r="I10534" s="137" t="s">
        <v>74</v>
      </c>
    </row>
    <row r="10535" spans="9:9" x14ac:dyDescent="0.2">
      <c r="I10535" s="137" t="s">
        <v>74</v>
      </c>
    </row>
    <row r="10536" spans="9:9" x14ac:dyDescent="0.2">
      <c r="I10536" s="137" t="s">
        <v>74</v>
      </c>
    </row>
    <row r="10537" spans="9:9" x14ac:dyDescent="0.2">
      <c r="I10537" s="137" t="s">
        <v>74</v>
      </c>
    </row>
    <row r="10538" spans="9:9" x14ac:dyDescent="0.2">
      <c r="I10538" s="137" t="s">
        <v>74</v>
      </c>
    </row>
    <row r="10539" spans="9:9" x14ac:dyDescent="0.2">
      <c r="I10539" s="137" t="s">
        <v>74</v>
      </c>
    </row>
    <row r="10540" spans="9:9" x14ac:dyDescent="0.2">
      <c r="I10540" s="137" t="s">
        <v>74</v>
      </c>
    </row>
    <row r="10541" spans="9:9" x14ac:dyDescent="0.2">
      <c r="I10541" s="137" t="s">
        <v>74</v>
      </c>
    </row>
    <row r="10542" spans="9:9" x14ac:dyDescent="0.2">
      <c r="I10542" s="137" t="s">
        <v>74</v>
      </c>
    </row>
    <row r="10543" spans="9:9" x14ac:dyDescent="0.2">
      <c r="I10543" s="137" t="s">
        <v>74</v>
      </c>
    </row>
    <row r="10544" spans="9:9" x14ac:dyDescent="0.2">
      <c r="I10544" s="137" t="s">
        <v>74</v>
      </c>
    </row>
    <row r="10545" spans="9:9" x14ac:dyDescent="0.2">
      <c r="I10545" s="137" t="s">
        <v>74</v>
      </c>
    </row>
    <row r="10546" spans="9:9" x14ac:dyDescent="0.2">
      <c r="I10546" s="137" t="s">
        <v>74</v>
      </c>
    </row>
    <row r="10547" spans="9:9" x14ac:dyDescent="0.2">
      <c r="I10547" s="137" t="s">
        <v>74</v>
      </c>
    </row>
    <row r="10548" spans="9:9" x14ac:dyDescent="0.2">
      <c r="I10548" s="137" t="s">
        <v>74</v>
      </c>
    </row>
    <row r="10549" spans="9:9" x14ac:dyDescent="0.2">
      <c r="I10549" s="137" t="s">
        <v>74</v>
      </c>
    </row>
    <row r="10550" spans="9:9" x14ac:dyDescent="0.2">
      <c r="I10550" s="137" t="s">
        <v>74</v>
      </c>
    </row>
    <row r="10551" spans="9:9" x14ac:dyDescent="0.2">
      <c r="I10551" s="137" t="s">
        <v>74</v>
      </c>
    </row>
    <row r="10552" spans="9:9" x14ac:dyDescent="0.2">
      <c r="I10552" s="137" t="s">
        <v>74</v>
      </c>
    </row>
    <row r="10553" spans="9:9" x14ac:dyDescent="0.2">
      <c r="I10553" s="137" t="s">
        <v>74</v>
      </c>
    </row>
    <row r="10554" spans="9:9" x14ac:dyDescent="0.2">
      <c r="I10554" s="137" t="s">
        <v>74</v>
      </c>
    </row>
    <row r="10555" spans="9:9" x14ac:dyDescent="0.2">
      <c r="I10555" s="137" t="s">
        <v>74</v>
      </c>
    </row>
    <row r="10556" spans="9:9" x14ac:dyDescent="0.2">
      <c r="I10556" s="137" t="s">
        <v>74</v>
      </c>
    </row>
    <row r="10557" spans="9:9" x14ac:dyDescent="0.2">
      <c r="I10557" s="137" t="s">
        <v>74</v>
      </c>
    </row>
    <row r="10558" spans="9:9" x14ac:dyDescent="0.2">
      <c r="I10558" s="137" t="s">
        <v>74</v>
      </c>
    </row>
    <row r="10559" spans="9:9" x14ac:dyDescent="0.2">
      <c r="I10559" s="137" t="s">
        <v>74</v>
      </c>
    </row>
    <row r="10560" spans="9:9" x14ac:dyDescent="0.2">
      <c r="I10560" s="137" t="s">
        <v>74</v>
      </c>
    </row>
    <row r="10561" spans="9:9" x14ac:dyDescent="0.2">
      <c r="I10561" s="137" t="s">
        <v>74</v>
      </c>
    </row>
    <row r="10562" spans="9:9" x14ac:dyDescent="0.2">
      <c r="I10562" s="137" t="s">
        <v>74</v>
      </c>
    </row>
    <row r="10563" spans="9:9" x14ac:dyDescent="0.2">
      <c r="I10563" s="137" t="s">
        <v>74</v>
      </c>
    </row>
    <row r="10564" spans="9:9" x14ac:dyDescent="0.2">
      <c r="I10564" s="137" t="s">
        <v>74</v>
      </c>
    </row>
    <row r="10565" spans="9:9" x14ac:dyDescent="0.2">
      <c r="I10565" s="137" t="s">
        <v>74</v>
      </c>
    </row>
    <row r="10566" spans="9:9" x14ac:dyDescent="0.2">
      <c r="I10566" s="137" t="s">
        <v>74</v>
      </c>
    </row>
    <row r="10567" spans="9:9" x14ac:dyDescent="0.2">
      <c r="I10567" s="137" t="s">
        <v>74</v>
      </c>
    </row>
    <row r="10568" spans="9:9" x14ac:dyDescent="0.2">
      <c r="I10568" s="137" t="s">
        <v>74</v>
      </c>
    </row>
    <row r="10569" spans="9:9" x14ac:dyDescent="0.2">
      <c r="I10569" s="137" t="s">
        <v>74</v>
      </c>
    </row>
    <row r="10570" spans="9:9" x14ac:dyDescent="0.2">
      <c r="I10570" s="137" t="s">
        <v>74</v>
      </c>
    </row>
    <row r="10571" spans="9:9" x14ac:dyDescent="0.2">
      <c r="I10571" s="137" t="s">
        <v>74</v>
      </c>
    </row>
    <row r="10572" spans="9:9" x14ac:dyDescent="0.2">
      <c r="I10572" s="137" t="s">
        <v>74</v>
      </c>
    </row>
    <row r="10573" spans="9:9" x14ac:dyDescent="0.2">
      <c r="I10573" s="137" t="s">
        <v>74</v>
      </c>
    </row>
    <row r="10574" spans="9:9" x14ac:dyDescent="0.2">
      <c r="I10574" s="137" t="s">
        <v>74</v>
      </c>
    </row>
    <row r="10575" spans="9:9" x14ac:dyDescent="0.2">
      <c r="I10575" s="137" t="s">
        <v>74</v>
      </c>
    </row>
    <row r="10576" spans="9:9" x14ac:dyDescent="0.2">
      <c r="I10576" s="137" t="s">
        <v>74</v>
      </c>
    </row>
    <row r="10577" spans="9:9" x14ac:dyDescent="0.2">
      <c r="I10577" s="137" t="s">
        <v>74</v>
      </c>
    </row>
    <row r="10578" spans="9:9" x14ac:dyDescent="0.2">
      <c r="I10578" s="137" t="s">
        <v>74</v>
      </c>
    </row>
    <row r="10579" spans="9:9" x14ac:dyDescent="0.2">
      <c r="I10579" s="137" t="s">
        <v>74</v>
      </c>
    </row>
    <row r="10580" spans="9:9" x14ac:dyDescent="0.2">
      <c r="I10580" s="137" t="s">
        <v>74</v>
      </c>
    </row>
    <row r="10581" spans="9:9" x14ac:dyDescent="0.2">
      <c r="I10581" s="137" t="s">
        <v>74</v>
      </c>
    </row>
    <row r="10582" spans="9:9" x14ac:dyDescent="0.2">
      <c r="I10582" s="137" t="s">
        <v>74</v>
      </c>
    </row>
    <row r="10583" spans="9:9" x14ac:dyDescent="0.2">
      <c r="I10583" s="137" t="s">
        <v>74</v>
      </c>
    </row>
    <row r="10584" spans="9:9" x14ac:dyDescent="0.2">
      <c r="I10584" s="137" t="s">
        <v>74</v>
      </c>
    </row>
    <row r="10585" spans="9:9" x14ac:dyDescent="0.2">
      <c r="I10585" s="137" t="s">
        <v>74</v>
      </c>
    </row>
    <row r="10586" spans="9:9" x14ac:dyDescent="0.2">
      <c r="I10586" s="137" t="s">
        <v>74</v>
      </c>
    </row>
    <row r="10587" spans="9:9" x14ac:dyDescent="0.2">
      <c r="I10587" s="137" t="s">
        <v>74</v>
      </c>
    </row>
    <row r="10588" spans="9:9" x14ac:dyDescent="0.2">
      <c r="I10588" s="137" t="s">
        <v>74</v>
      </c>
    </row>
    <row r="10589" spans="9:9" x14ac:dyDescent="0.2">
      <c r="I10589" s="137" t="s">
        <v>74</v>
      </c>
    </row>
    <row r="10590" spans="9:9" x14ac:dyDescent="0.2">
      <c r="I10590" s="137" t="s">
        <v>74</v>
      </c>
    </row>
    <row r="10591" spans="9:9" x14ac:dyDescent="0.2">
      <c r="I10591" s="137" t="s">
        <v>74</v>
      </c>
    </row>
    <row r="10592" spans="9:9" x14ac:dyDescent="0.2">
      <c r="I10592" s="137" t="s">
        <v>74</v>
      </c>
    </row>
    <row r="10593" spans="9:9" x14ac:dyDescent="0.2">
      <c r="I10593" s="137" t="s">
        <v>74</v>
      </c>
    </row>
    <row r="10594" spans="9:9" x14ac:dyDescent="0.2">
      <c r="I10594" s="137" t="s">
        <v>74</v>
      </c>
    </row>
    <row r="10595" spans="9:9" x14ac:dyDescent="0.2">
      <c r="I10595" s="137" t="s">
        <v>74</v>
      </c>
    </row>
    <row r="10596" spans="9:9" x14ac:dyDescent="0.2">
      <c r="I10596" s="137" t="s">
        <v>74</v>
      </c>
    </row>
    <row r="10597" spans="9:9" x14ac:dyDescent="0.2">
      <c r="I10597" s="137" t="s">
        <v>74</v>
      </c>
    </row>
    <row r="10598" spans="9:9" x14ac:dyDescent="0.2">
      <c r="I10598" s="137" t="s">
        <v>74</v>
      </c>
    </row>
    <row r="10599" spans="9:9" x14ac:dyDescent="0.2">
      <c r="I10599" s="137" t="s">
        <v>74</v>
      </c>
    </row>
    <row r="10600" spans="9:9" x14ac:dyDescent="0.2">
      <c r="I10600" s="137" t="s">
        <v>74</v>
      </c>
    </row>
    <row r="10601" spans="9:9" x14ac:dyDescent="0.2">
      <c r="I10601" s="137" t="s">
        <v>74</v>
      </c>
    </row>
    <row r="10602" spans="9:9" x14ac:dyDescent="0.2">
      <c r="I10602" s="137" t="s">
        <v>74</v>
      </c>
    </row>
    <row r="10603" spans="9:9" x14ac:dyDescent="0.2">
      <c r="I10603" s="137" t="s">
        <v>74</v>
      </c>
    </row>
    <row r="10604" spans="9:9" x14ac:dyDescent="0.2">
      <c r="I10604" s="137" t="s">
        <v>74</v>
      </c>
    </row>
    <row r="10605" spans="9:9" x14ac:dyDescent="0.2">
      <c r="I10605" s="137" t="s">
        <v>74</v>
      </c>
    </row>
    <row r="10606" spans="9:9" x14ac:dyDescent="0.2">
      <c r="I10606" s="137" t="s">
        <v>74</v>
      </c>
    </row>
    <row r="10607" spans="9:9" x14ac:dyDescent="0.2">
      <c r="I10607" s="137" t="s">
        <v>74</v>
      </c>
    </row>
    <row r="10608" spans="9:9" x14ac:dyDescent="0.2">
      <c r="I10608" s="137" t="s">
        <v>74</v>
      </c>
    </row>
    <row r="10609" spans="9:9" x14ac:dyDescent="0.2">
      <c r="I10609" s="137" t="s">
        <v>74</v>
      </c>
    </row>
    <row r="10610" spans="9:9" x14ac:dyDescent="0.2">
      <c r="I10610" s="137" t="s">
        <v>74</v>
      </c>
    </row>
    <row r="10611" spans="9:9" x14ac:dyDescent="0.2">
      <c r="I10611" s="137" t="s">
        <v>74</v>
      </c>
    </row>
    <row r="10612" spans="9:9" x14ac:dyDescent="0.2">
      <c r="I10612" s="137" t="s">
        <v>74</v>
      </c>
    </row>
    <row r="10613" spans="9:9" x14ac:dyDescent="0.2">
      <c r="I10613" s="137" t="s">
        <v>74</v>
      </c>
    </row>
    <row r="10614" spans="9:9" x14ac:dyDescent="0.2">
      <c r="I10614" s="137" t="s">
        <v>74</v>
      </c>
    </row>
    <row r="10615" spans="9:9" x14ac:dyDescent="0.2">
      <c r="I10615" s="137" t="s">
        <v>74</v>
      </c>
    </row>
    <row r="10616" spans="9:9" x14ac:dyDescent="0.2">
      <c r="I10616" s="137" t="s">
        <v>74</v>
      </c>
    </row>
    <row r="10617" spans="9:9" x14ac:dyDescent="0.2">
      <c r="I10617" s="137" t="s">
        <v>74</v>
      </c>
    </row>
    <row r="10618" spans="9:9" x14ac:dyDescent="0.2">
      <c r="I10618" s="137" t="s">
        <v>74</v>
      </c>
    </row>
    <row r="10619" spans="9:9" x14ac:dyDescent="0.2">
      <c r="I10619" s="137" t="s">
        <v>74</v>
      </c>
    </row>
    <row r="10620" spans="9:9" x14ac:dyDescent="0.2">
      <c r="I10620" s="137" t="s">
        <v>74</v>
      </c>
    </row>
    <row r="10621" spans="9:9" x14ac:dyDescent="0.2">
      <c r="I10621" s="137" t="s">
        <v>74</v>
      </c>
    </row>
    <row r="10622" spans="9:9" x14ac:dyDescent="0.2">
      <c r="I10622" s="137" t="s">
        <v>74</v>
      </c>
    </row>
    <row r="10623" spans="9:9" x14ac:dyDescent="0.2">
      <c r="I10623" s="137" t="s">
        <v>74</v>
      </c>
    </row>
    <row r="10624" spans="9:9" x14ac:dyDescent="0.2">
      <c r="I10624" s="137" t="s">
        <v>74</v>
      </c>
    </row>
    <row r="10625" spans="9:9" x14ac:dyDescent="0.2">
      <c r="I10625" s="137" t="s">
        <v>74</v>
      </c>
    </row>
    <row r="10626" spans="9:9" x14ac:dyDescent="0.2">
      <c r="I10626" s="137" t="s">
        <v>74</v>
      </c>
    </row>
    <row r="10627" spans="9:9" x14ac:dyDescent="0.2">
      <c r="I10627" s="137" t="s">
        <v>74</v>
      </c>
    </row>
    <row r="10628" spans="9:9" x14ac:dyDescent="0.2">
      <c r="I10628" s="137" t="s">
        <v>74</v>
      </c>
    </row>
    <row r="10629" spans="9:9" x14ac:dyDescent="0.2">
      <c r="I10629" s="137" t="s">
        <v>74</v>
      </c>
    </row>
    <row r="10630" spans="9:9" x14ac:dyDescent="0.2">
      <c r="I10630" s="137" t="s">
        <v>74</v>
      </c>
    </row>
    <row r="10631" spans="9:9" x14ac:dyDescent="0.2">
      <c r="I10631" s="137" t="s">
        <v>74</v>
      </c>
    </row>
    <row r="10632" spans="9:9" x14ac:dyDescent="0.2">
      <c r="I10632" s="137" t="s">
        <v>74</v>
      </c>
    </row>
    <row r="10633" spans="9:9" x14ac:dyDescent="0.2">
      <c r="I10633" s="137" t="s">
        <v>74</v>
      </c>
    </row>
    <row r="10634" spans="9:9" x14ac:dyDescent="0.2">
      <c r="I10634" s="137" t="s">
        <v>74</v>
      </c>
    </row>
    <row r="10635" spans="9:9" x14ac:dyDescent="0.2">
      <c r="I10635" s="137" t="s">
        <v>74</v>
      </c>
    </row>
    <row r="10636" spans="9:9" x14ac:dyDescent="0.2">
      <c r="I10636" s="137" t="s">
        <v>74</v>
      </c>
    </row>
    <row r="10637" spans="9:9" x14ac:dyDescent="0.2">
      <c r="I10637" s="137" t="s">
        <v>74</v>
      </c>
    </row>
    <row r="10638" spans="9:9" x14ac:dyDescent="0.2">
      <c r="I10638" s="137" t="s">
        <v>74</v>
      </c>
    </row>
    <row r="10639" spans="9:9" x14ac:dyDescent="0.2">
      <c r="I10639" s="137" t="s">
        <v>74</v>
      </c>
    </row>
    <row r="10640" spans="9:9" x14ac:dyDescent="0.2">
      <c r="I10640" s="137" t="s">
        <v>74</v>
      </c>
    </row>
    <row r="10641" spans="9:9" x14ac:dyDescent="0.2">
      <c r="I10641" s="137" t="s">
        <v>74</v>
      </c>
    </row>
    <row r="10642" spans="9:9" x14ac:dyDescent="0.2">
      <c r="I10642" s="137" t="s">
        <v>74</v>
      </c>
    </row>
    <row r="10643" spans="9:9" x14ac:dyDescent="0.2">
      <c r="I10643" s="137" t="s">
        <v>74</v>
      </c>
    </row>
    <row r="10644" spans="9:9" x14ac:dyDescent="0.2">
      <c r="I10644" s="137" t="s">
        <v>74</v>
      </c>
    </row>
    <row r="10645" spans="9:9" x14ac:dyDescent="0.2">
      <c r="I10645" s="137" t="s">
        <v>74</v>
      </c>
    </row>
    <row r="10646" spans="9:9" x14ac:dyDescent="0.2">
      <c r="I10646" s="137" t="s">
        <v>74</v>
      </c>
    </row>
    <row r="10647" spans="9:9" x14ac:dyDescent="0.2">
      <c r="I10647" s="137" t="s">
        <v>74</v>
      </c>
    </row>
    <row r="10648" spans="9:9" x14ac:dyDescent="0.2">
      <c r="I10648" s="137" t="s">
        <v>74</v>
      </c>
    </row>
    <row r="10649" spans="9:9" x14ac:dyDescent="0.2">
      <c r="I10649" s="137" t="s">
        <v>74</v>
      </c>
    </row>
    <row r="10650" spans="9:9" x14ac:dyDescent="0.2">
      <c r="I10650" s="137" t="s">
        <v>74</v>
      </c>
    </row>
    <row r="10651" spans="9:9" x14ac:dyDescent="0.2">
      <c r="I10651" s="137" t="s">
        <v>74</v>
      </c>
    </row>
    <row r="10652" spans="9:9" x14ac:dyDescent="0.2">
      <c r="I10652" s="137" t="s">
        <v>74</v>
      </c>
    </row>
    <row r="10653" spans="9:9" x14ac:dyDescent="0.2">
      <c r="I10653" s="137" t="s">
        <v>74</v>
      </c>
    </row>
    <row r="10654" spans="9:9" x14ac:dyDescent="0.2">
      <c r="I10654" s="137" t="s">
        <v>74</v>
      </c>
    </row>
    <row r="10655" spans="9:9" x14ac:dyDescent="0.2">
      <c r="I10655" s="137" t="s">
        <v>74</v>
      </c>
    </row>
    <row r="10656" spans="9:9" x14ac:dyDescent="0.2">
      <c r="I10656" s="137" t="s">
        <v>74</v>
      </c>
    </row>
    <row r="10657" spans="9:9" x14ac:dyDescent="0.2">
      <c r="I10657" s="137" t="s">
        <v>74</v>
      </c>
    </row>
    <row r="10658" spans="9:9" x14ac:dyDescent="0.2">
      <c r="I10658" s="137" t="s">
        <v>74</v>
      </c>
    </row>
    <row r="10659" spans="9:9" x14ac:dyDescent="0.2">
      <c r="I10659" s="137" t="s">
        <v>74</v>
      </c>
    </row>
    <row r="10660" spans="9:9" x14ac:dyDescent="0.2">
      <c r="I10660" s="137" t="s">
        <v>74</v>
      </c>
    </row>
    <row r="10661" spans="9:9" x14ac:dyDescent="0.2">
      <c r="I10661" s="137" t="s">
        <v>74</v>
      </c>
    </row>
    <row r="10662" spans="9:9" x14ac:dyDescent="0.2">
      <c r="I10662" s="137" t="s">
        <v>74</v>
      </c>
    </row>
    <row r="10663" spans="9:9" x14ac:dyDescent="0.2">
      <c r="I10663" s="137" t="s">
        <v>74</v>
      </c>
    </row>
    <row r="10664" spans="9:9" x14ac:dyDescent="0.2">
      <c r="I10664" s="137" t="s">
        <v>74</v>
      </c>
    </row>
    <row r="10665" spans="9:9" x14ac:dyDescent="0.2">
      <c r="I10665" s="137" t="s">
        <v>74</v>
      </c>
    </row>
    <row r="10666" spans="9:9" x14ac:dyDescent="0.2">
      <c r="I10666" s="137" t="s">
        <v>74</v>
      </c>
    </row>
    <row r="10667" spans="9:9" x14ac:dyDescent="0.2">
      <c r="I10667" s="137" t="s">
        <v>74</v>
      </c>
    </row>
    <row r="10668" spans="9:9" x14ac:dyDescent="0.2">
      <c r="I10668" s="137" t="s">
        <v>74</v>
      </c>
    </row>
    <row r="10669" spans="9:9" x14ac:dyDescent="0.2">
      <c r="I10669" s="137" t="s">
        <v>74</v>
      </c>
    </row>
    <row r="10670" spans="9:9" x14ac:dyDescent="0.2">
      <c r="I10670" s="137" t="s">
        <v>74</v>
      </c>
    </row>
    <row r="10671" spans="9:9" x14ac:dyDescent="0.2">
      <c r="I10671" s="137" t="s">
        <v>74</v>
      </c>
    </row>
    <row r="10672" spans="9:9" x14ac:dyDescent="0.2">
      <c r="I10672" s="137" t="s">
        <v>74</v>
      </c>
    </row>
    <row r="10673" spans="9:9" x14ac:dyDescent="0.2">
      <c r="I10673" s="137" t="s">
        <v>74</v>
      </c>
    </row>
    <row r="10674" spans="9:9" x14ac:dyDescent="0.2">
      <c r="I10674" s="137" t="s">
        <v>74</v>
      </c>
    </row>
    <row r="10675" spans="9:9" x14ac:dyDescent="0.2">
      <c r="I10675" s="137" t="s">
        <v>74</v>
      </c>
    </row>
    <row r="10676" spans="9:9" x14ac:dyDescent="0.2">
      <c r="I10676" s="137" t="s">
        <v>74</v>
      </c>
    </row>
    <row r="10677" spans="9:9" x14ac:dyDescent="0.2">
      <c r="I10677" s="137" t="s">
        <v>74</v>
      </c>
    </row>
    <row r="10678" spans="9:9" x14ac:dyDescent="0.2">
      <c r="I10678" s="137" t="s">
        <v>74</v>
      </c>
    </row>
    <row r="10679" spans="9:9" x14ac:dyDescent="0.2">
      <c r="I10679" s="137" t="s">
        <v>74</v>
      </c>
    </row>
    <row r="10680" spans="9:9" x14ac:dyDescent="0.2">
      <c r="I10680" s="137" t="s">
        <v>74</v>
      </c>
    </row>
    <row r="10681" spans="9:9" x14ac:dyDescent="0.2">
      <c r="I10681" s="137" t="s">
        <v>74</v>
      </c>
    </row>
    <row r="10682" spans="9:9" x14ac:dyDescent="0.2">
      <c r="I10682" s="137" t="s">
        <v>74</v>
      </c>
    </row>
    <row r="10683" spans="9:9" x14ac:dyDescent="0.2">
      <c r="I10683" s="137" t="s">
        <v>74</v>
      </c>
    </row>
    <row r="10684" spans="9:9" x14ac:dyDescent="0.2">
      <c r="I10684" s="137" t="s">
        <v>74</v>
      </c>
    </row>
    <row r="10685" spans="9:9" x14ac:dyDescent="0.2">
      <c r="I10685" s="137" t="s">
        <v>74</v>
      </c>
    </row>
    <row r="10686" spans="9:9" x14ac:dyDescent="0.2">
      <c r="I10686" s="137" t="s">
        <v>74</v>
      </c>
    </row>
    <row r="10687" spans="9:9" x14ac:dyDescent="0.2">
      <c r="I10687" s="137" t="s">
        <v>74</v>
      </c>
    </row>
    <row r="10688" spans="9:9" x14ac:dyDescent="0.2">
      <c r="I10688" s="137" t="s">
        <v>74</v>
      </c>
    </row>
    <row r="10689" spans="9:9" x14ac:dyDescent="0.2">
      <c r="I10689" s="137" t="s">
        <v>74</v>
      </c>
    </row>
    <row r="10690" spans="9:9" x14ac:dyDescent="0.2">
      <c r="I10690" s="137" t="s">
        <v>74</v>
      </c>
    </row>
    <row r="10691" spans="9:9" x14ac:dyDescent="0.2">
      <c r="I10691" s="137" t="s">
        <v>74</v>
      </c>
    </row>
    <row r="10692" spans="9:9" x14ac:dyDescent="0.2">
      <c r="I10692" s="137" t="s">
        <v>74</v>
      </c>
    </row>
    <row r="10693" spans="9:9" x14ac:dyDescent="0.2">
      <c r="I10693" s="137" t="s">
        <v>74</v>
      </c>
    </row>
    <row r="10694" spans="9:9" x14ac:dyDescent="0.2">
      <c r="I10694" s="137" t="s">
        <v>74</v>
      </c>
    </row>
    <row r="10695" spans="9:9" x14ac:dyDescent="0.2">
      <c r="I10695" s="137" t="s">
        <v>74</v>
      </c>
    </row>
    <row r="10696" spans="9:9" x14ac:dyDescent="0.2">
      <c r="I10696" s="137" t="s">
        <v>74</v>
      </c>
    </row>
    <row r="10697" spans="9:9" x14ac:dyDescent="0.2">
      <c r="I10697" s="137" t="s">
        <v>74</v>
      </c>
    </row>
    <row r="10698" spans="9:9" x14ac:dyDescent="0.2">
      <c r="I10698" s="137" t="s">
        <v>74</v>
      </c>
    </row>
    <row r="10699" spans="9:9" x14ac:dyDescent="0.2">
      <c r="I10699" s="137" t="s">
        <v>74</v>
      </c>
    </row>
    <row r="10700" spans="9:9" x14ac:dyDescent="0.2">
      <c r="I10700" s="137" t="s">
        <v>74</v>
      </c>
    </row>
    <row r="10701" spans="9:9" x14ac:dyDescent="0.2">
      <c r="I10701" s="137" t="s">
        <v>74</v>
      </c>
    </row>
    <row r="10702" spans="9:9" x14ac:dyDescent="0.2">
      <c r="I10702" s="137" t="s">
        <v>74</v>
      </c>
    </row>
    <row r="10703" spans="9:9" x14ac:dyDescent="0.2">
      <c r="I10703" s="137" t="s">
        <v>74</v>
      </c>
    </row>
    <row r="10704" spans="9:9" x14ac:dyDescent="0.2">
      <c r="I10704" s="137" t="s">
        <v>74</v>
      </c>
    </row>
    <row r="10705" spans="9:9" x14ac:dyDescent="0.2">
      <c r="I10705" s="137" t="s">
        <v>74</v>
      </c>
    </row>
    <row r="10706" spans="9:9" x14ac:dyDescent="0.2">
      <c r="I10706" s="137" t="s">
        <v>74</v>
      </c>
    </row>
    <row r="10707" spans="9:9" x14ac:dyDescent="0.2">
      <c r="I10707" s="137" t="s">
        <v>74</v>
      </c>
    </row>
    <row r="10708" spans="9:9" x14ac:dyDescent="0.2">
      <c r="I10708" s="137" t="s">
        <v>74</v>
      </c>
    </row>
    <row r="10709" spans="9:9" x14ac:dyDescent="0.2">
      <c r="I10709" s="137" t="s">
        <v>74</v>
      </c>
    </row>
    <row r="10710" spans="9:9" x14ac:dyDescent="0.2">
      <c r="I10710" s="137" t="s">
        <v>74</v>
      </c>
    </row>
    <row r="10711" spans="9:9" x14ac:dyDescent="0.2">
      <c r="I10711" s="137" t="s">
        <v>74</v>
      </c>
    </row>
    <row r="10712" spans="9:9" x14ac:dyDescent="0.2">
      <c r="I10712" s="137" t="s">
        <v>74</v>
      </c>
    </row>
    <row r="10713" spans="9:9" x14ac:dyDescent="0.2">
      <c r="I10713" s="137" t="s">
        <v>74</v>
      </c>
    </row>
    <row r="10714" spans="9:9" x14ac:dyDescent="0.2">
      <c r="I10714" s="137" t="s">
        <v>74</v>
      </c>
    </row>
    <row r="10715" spans="9:9" x14ac:dyDescent="0.2">
      <c r="I10715" s="137" t="s">
        <v>74</v>
      </c>
    </row>
    <row r="10716" spans="9:9" x14ac:dyDescent="0.2">
      <c r="I10716" s="137" t="s">
        <v>74</v>
      </c>
    </row>
    <row r="10717" spans="9:9" x14ac:dyDescent="0.2">
      <c r="I10717" s="137" t="s">
        <v>74</v>
      </c>
    </row>
    <row r="10718" spans="9:9" x14ac:dyDescent="0.2">
      <c r="I10718" s="137" t="s">
        <v>74</v>
      </c>
    </row>
    <row r="10719" spans="9:9" x14ac:dyDescent="0.2">
      <c r="I10719" s="137" t="s">
        <v>74</v>
      </c>
    </row>
    <row r="10720" spans="9:9" x14ac:dyDescent="0.2">
      <c r="I10720" s="137" t="s">
        <v>74</v>
      </c>
    </row>
    <row r="10721" spans="9:9" x14ac:dyDescent="0.2">
      <c r="I10721" s="137" t="s">
        <v>74</v>
      </c>
    </row>
    <row r="10722" spans="9:9" x14ac:dyDescent="0.2">
      <c r="I10722" s="137" t="s">
        <v>74</v>
      </c>
    </row>
    <row r="10723" spans="9:9" x14ac:dyDescent="0.2">
      <c r="I10723" s="137" t="s">
        <v>74</v>
      </c>
    </row>
    <row r="10724" spans="9:9" x14ac:dyDescent="0.2">
      <c r="I10724" s="137" t="s">
        <v>74</v>
      </c>
    </row>
    <row r="10725" spans="9:9" x14ac:dyDescent="0.2">
      <c r="I10725" s="137" t="s">
        <v>74</v>
      </c>
    </row>
    <row r="10726" spans="9:9" x14ac:dyDescent="0.2">
      <c r="I10726" s="137" t="s">
        <v>74</v>
      </c>
    </row>
    <row r="10727" spans="9:9" x14ac:dyDescent="0.2">
      <c r="I10727" s="137" t="s">
        <v>74</v>
      </c>
    </row>
    <row r="10728" spans="9:9" x14ac:dyDescent="0.2">
      <c r="I10728" s="137" t="s">
        <v>74</v>
      </c>
    </row>
    <row r="10729" spans="9:9" x14ac:dyDescent="0.2">
      <c r="I10729" s="137" t="s">
        <v>74</v>
      </c>
    </row>
    <row r="10730" spans="9:9" x14ac:dyDescent="0.2">
      <c r="I10730" s="137" t="s">
        <v>74</v>
      </c>
    </row>
    <row r="10731" spans="9:9" x14ac:dyDescent="0.2">
      <c r="I10731" s="137" t="s">
        <v>74</v>
      </c>
    </row>
    <row r="10732" spans="9:9" x14ac:dyDescent="0.2">
      <c r="I10732" s="137" t="s">
        <v>74</v>
      </c>
    </row>
    <row r="10733" spans="9:9" x14ac:dyDescent="0.2">
      <c r="I10733" s="137" t="s">
        <v>74</v>
      </c>
    </row>
    <row r="10734" spans="9:9" x14ac:dyDescent="0.2">
      <c r="I10734" s="137" t="s">
        <v>74</v>
      </c>
    </row>
    <row r="10735" spans="9:9" x14ac:dyDescent="0.2">
      <c r="I10735" s="137" t="s">
        <v>74</v>
      </c>
    </row>
    <row r="10736" spans="9:9" x14ac:dyDescent="0.2">
      <c r="I10736" s="137" t="s">
        <v>74</v>
      </c>
    </row>
    <row r="10737" spans="9:9" x14ac:dyDescent="0.2">
      <c r="I10737" s="137" t="s">
        <v>74</v>
      </c>
    </row>
    <row r="10738" spans="9:9" x14ac:dyDescent="0.2">
      <c r="I10738" s="137" t="s">
        <v>74</v>
      </c>
    </row>
    <row r="10739" spans="9:9" x14ac:dyDescent="0.2">
      <c r="I10739" s="137" t="s">
        <v>74</v>
      </c>
    </row>
    <row r="10740" spans="9:9" x14ac:dyDescent="0.2">
      <c r="I10740" s="137" t="s">
        <v>74</v>
      </c>
    </row>
    <row r="10741" spans="9:9" x14ac:dyDescent="0.2">
      <c r="I10741" s="137" t="s">
        <v>74</v>
      </c>
    </row>
    <row r="10742" spans="9:9" x14ac:dyDescent="0.2">
      <c r="I10742" s="137" t="s">
        <v>74</v>
      </c>
    </row>
    <row r="10743" spans="9:9" x14ac:dyDescent="0.2">
      <c r="I10743" s="137" t="s">
        <v>74</v>
      </c>
    </row>
    <row r="10744" spans="9:9" x14ac:dyDescent="0.2">
      <c r="I10744" s="137" t="s">
        <v>74</v>
      </c>
    </row>
    <row r="10745" spans="9:9" x14ac:dyDescent="0.2">
      <c r="I10745" s="137" t="s">
        <v>74</v>
      </c>
    </row>
    <row r="10746" spans="9:9" x14ac:dyDescent="0.2">
      <c r="I10746" s="137" t="s">
        <v>74</v>
      </c>
    </row>
    <row r="10747" spans="9:9" x14ac:dyDescent="0.2">
      <c r="I10747" s="137" t="s">
        <v>74</v>
      </c>
    </row>
    <row r="10748" spans="9:9" x14ac:dyDescent="0.2">
      <c r="I10748" s="137" t="s">
        <v>74</v>
      </c>
    </row>
    <row r="10749" spans="9:9" x14ac:dyDescent="0.2">
      <c r="I10749" s="137" t="s">
        <v>74</v>
      </c>
    </row>
    <row r="10750" spans="9:9" x14ac:dyDescent="0.2">
      <c r="I10750" s="137" t="s">
        <v>74</v>
      </c>
    </row>
    <row r="10751" spans="9:9" x14ac:dyDescent="0.2">
      <c r="I10751" s="137" t="s">
        <v>74</v>
      </c>
    </row>
    <row r="10752" spans="9:9" x14ac:dyDescent="0.2">
      <c r="I10752" s="137" t="s">
        <v>74</v>
      </c>
    </row>
    <row r="10753" spans="9:9" x14ac:dyDescent="0.2">
      <c r="I10753" s="137" t="s">
        <v>74</v>
      </c>
    </row>
    <row r="10754" spans="9:9" x14ac:dyDescent="0.2">
      <c r="I10754" s="137" t="s">
        <v>74</v>
      </c>
    </row>
    <row r="10755" spans="9:9" x14ac:dyDescent="0.2">
      <c r="I10755" s="137" t="s">
        <v>74</v>
      </c>
    </row>
    <row r="10756" spans="9:9" x14ac:dyDescent="0.2">
      <c r="I10756" s="137" t="s">
        <v>74</v>
      </c>
    </row>
    <row r="10757" spans="9:9" x14ac:dyDescent="0.2">
      <c r="I10757" s="137" t="s">
        <v>74</v>
      </c>
    </row>
    <row r="10758" spans="9:9" x14ac:dyDescent="0.2">
      <c r="I10758" s="137" t="s">
        <v>74</v>
      </c>
    </row>
    <row r="10759" spans="9:9" x14ac:dyDescent="0.2">
      <c r="I10759" s="137" t="s">
        <v>74</v>
      </c>
    </row>
    <row r="10760" spans="9:9" x14ac:dyDescent="0.2">
      <c r="I10760" s="137" t="s">
        <v>74</v>
      </c>
    </row>
    <row r="10761" spans="9:9" x14ac:dyDescent="0.2">
      <c r="I10761" s="137" t="s">
        <v>74</v>
      </c>
    </row>
    <row r="10762" spans="9:9" x14ac:dyDescent="0.2">
      <c r="I10762" s="137" t="s">
        <v>74</v>
      </c>
    </row>
    <row r="10763" spans="9:9" x14ac:dyDescent="0.2">
      <c r="I10763" s="137" t="s">
        <v>74</v>
      </c>
    </row>
    <row r="10764" spans="9:9" x14ac:dyDescent="0.2">
      <c r="I10764" s="137" t="s">
        <v>74</v>
      </c>
    </row>
    <row r="10765" spans="9:9" x14ac:dyDescent="0.2">
      <c r="I10765" s="137" t="s">
        <v>74</v>
      </c>
    </row>
    <row r="10766" spans="9:9" x14ac:dyDescent="0.2">
      <c r="I10766" s="137" t="s">
        <v>74</v>
      </c>
    </row>
    <row r="10767" spans="9:9" x14ac:dyDescent="0.2">
      <c r="I10767" s="137" t="s">
        <v>74</v>
      </c>
    </row>
    <row r="10768" spans="9:9" x14ac:dyDescent="0.2">
      <c r="I10768" s="137" t="s">
        <v>74</v>
      </c>
    </row>
    <row r="10769" spans="9:9" x14ac:dyDescent="0.2">
      <c r="I10769" s="137" t="s">
        <v>74</v>
      </c>
    </row>
    <row r="10770" spans="9:9" x14ac:dyDescent="0.2">
      <c r="I10770" s="137" t="s">
        <v>74</v>
      </c>
    </row>
    <row r="10771" spans="9:9" x14ac:dyDescent="0.2">
      <c r="I10771" s="137" t="s">
        <v>74</v>
      </c>
    </row>
    <row r="10772" spans="9:9" x14ac:dyDescent="0.2">
      <c r="I10772" s="137" t="s">
        <v>74</v>
      </c>
    </row>
    <row r="10773" spans="9:9" x14ac:dyDescent="0.2">
      <c r="I10773" s="137" t="s">
        <v>74</v>
      </c>
    </row>
    <row r="10774" spans="9:9" x14ac:dyDescent="0.2">
      <c r="I10774" s="137" t="s">
        <v>74</v>
      </c>
    </row>
    <row r="10775" spans="9:9" x14ac:dyDescent="0.2">
      <c r="I10775" s="137" t="s">
        <v>74</v>
      </c>
    </row>
    <row r="10776" spans="9:9" x14ac:dyDescent="0.2">
      <c r="I10776" s="137" t="s">
        <v>74</v>
      </c>
    </row>
    <row r="10777" spans="9:9" x14ac:dyDescent="0.2">
      <c r="I10777" s="137" t="s">
        <v>74</v>
      </c>
    </row>
    <row r="10778" spans="9:9" x14ac:dyDescent="0.2">
      <c r="I10778" s="137" t="s">
        <v>74</v>
      </c>
    </row>
    <row r="10779" spans="9:9" x14ac:dyDescent="0.2">
      <c r="I10779" s="137" t="s">
        <v>74</v>
      </c>
    </row>
    <row r="10780" spans="9:9" x14ac:dyDescent="0.2">
      <c r="I10780" s="137" t="s">
        <v>74</v>
      </c>
    </row>
    <row r="10781" spans="9:9" x14ac:dyDescent="0.2">
      <c r="I10781" s="137" t="s">
        <v>74</v>
      </c>
    </row>
    <row r="10782" spans="9:9" x14ac:dyDescent="0.2">
      <c r="I10782" s="137" t="s">
        <v>74</v>
      </c>
    </row>
    <row r="10783" spans="9:9" x14ac:dyDescent="0.2">
      <c r="I10783" s="137" t="s">
        <v>74</v>
      </c>
    </row>
    <row r="10784" spans="9:9" x14ac:dyDescent="0.2">
      <c r="I10784" s="137" t="s">
        <v>74</v>
      </c>
    </row>
    <row r="10785" spans="9:9" x14ac:dyDescent="0.2">
      <c r="I10785" s="137" t="s">
        <v>74</v>
      </c>
    </row>
    <row r="10786" spans="9:9" x14ac:dyDescent="0.2">
      <c r="I10786" s="137" t="s">
        <v>74</v>
      </c>
    </row>
    <row r="10787" spans="9:9" x14ac:dyDescent="0.2">
      <c r="I10787" s="137" t="s">
        <v>74</v>
      </c>
    </row>
    <row r="10788" spans="9:9" x14ac:dyDescent="0.2">
      <c r="I10788" s="137" t="s">
        <v>74</v>
      </c>
    </row>
    <row r="10789" spans="9:9" x14ac:dyDescent="0.2">
      <c r="I10789" s="137" t="s">
        <v>74</v>
      </c>
    </row>
    <row r="10790" spans="9:9" x14ac:dyDescent="0.2">
      <c r="I10790" s="137" t="s">
        <v>74</v>
      </c>
    </row>
    <row r="10791" spans="9:9" x14ac:dyDescent="0.2">
      <c r="I10791" s="137" t="s">
        <v>74</v>
      </c>
    </row>
    <row r="10792" spans="9:9" x14ac:dyDescent="0.2">
      <c r="I10792" s="137" t="s">
        <v>74</v>
      </c>
    </row>
    <row r="10793" spans="9:9" x14ac:dyDescent="0.2">
      <c r="I10793" s="137" t="s">
        <v>74</v>
      </c>
    </row>
    <row r="10794" spans="9:9" x14ac:dyDescent="0.2">
      <c r="I10794" s="137" t="s">
        <v>74</v>
      </c>
    </row>
    <row r="10795" spans="9:9" x14ac:dyDescent="0.2">
      <c r="I10795" s="137" t="s">
        <v>74</v>
      </c>
    </row>
    <row r="10796" spans="9:9" x14ac:dyDescent="0.2">
      <c r="I10796" s="137" t="s">
        <v>74</v>
      </c>
    </row>
    <row r="10797" spans="9:9" x14ac:dyDescent="0.2">
      <c r="I10797" s="137" t="s">
        <v>74</v>
      </c>
    </row>
    <row r="10798" spans="9:9" x14ac:dyDescent="0.2">
      <c r="I10798" s="137" t="s">
        <v>74</v>
      </c>
    </row>
    <row r="10799" spans="9:9" x14ac:dyDescent="0.2">
      <c r="I10799" s="137" t="s">
        <v>74</v>
      </c>
    </row>
    <row r="10800" spans="9:9" x14ac:dyDescent="0.2">
      <c r="I10800" s="137" t="s">
        <v>74</v>
      </c>
    </row>
    <row r="10801" spans="9:9" x14ac:dyDescent="0.2">
      <c r="I10801" s="137" t="s">
        <v>74</v>
      </c>
    </row>
    <row r="10802" spans="9:9" x14ac:dyDescent="0.2">
      <c r="I10802" s="137" t="s">
        <v>74</v>
      </c>
    </row>
    <row r="10803" spans="9:9" x14ac:dyDescent="0.2">
      <c r="I10803" s="137" t="s">
        <v>74</v>
      </c>
    </row>
    <row r="10804" spans="9:9" x14ac:dyDescent="0.2">
      <c r="I10804" s="137" t="s">
        <v>74</v>
      </c>
    </row>
    <row r="10805" spans="9:9" x14ac:dyDescent="0.2">
      <c r="I10805" s="137" t="s">
        <v>74</v>
      </c>
    </row>
    <row r="10806" spans="9:9" x14ac:dyDescent="0.2">
      <c r="I10806" s="137" t="s">
        <v>74</v>
      </c>
    </row>
    <row r="10807" spans="9:9" x14ac:dyDescent="0.2">
      <c r="I10807" s="137" t="s">
        <v>74</v>
      </c>
    </row>
    <row r="10808" spans="9:9" x14ac:dyDescent="0.2">
      <c r="I10808" s="137" t="s">
        <v>74</v>
      </c>
    </row>
    <row r="10809" spans="9:9" x14ac:dyDescent="0.2">
      <c r="I10809" s="137" t="s">
        <v>74</v>
      </c>
    </row>
    <row r="10810" spans="9:9" x14ac:dyDescent="0.2">
      <c r="I10810" s="137" t="s">
        <v>74</v>
      </c>
    </row>
    <row r="10811" spans="9:9" x14ac:dyDescent="0.2">
      <c r="I10811" s="137" t="s">
        <v>74</v>
      </c>
    </row>
    <row r="10812" spans="9:9" x14ac:dyDescent="0.2">
      <c r="I10812" s="137" t="s">
        <v>74</v>
      </c>
    </row>
    <row r="10813" spans="9:9" x14ac:dyDescent="0.2">
      <c r="I10813" s="137" t="s">
        <v>74</v>
      </c>
    </row>
    <row r="10814" spans="9:9" x14ac:dyDescent="0.2">
      <c r="I10814" s="137" t="s">
        <v>74</v>
      </c>
    </row>
    <row r="10815" spans="9:9" x14ac:dyDescent="0.2">
      <c r="I10815" s="137" t="s">
        <v>74</v>
      </c>
    </row>
    <row r="10816" spans="9:9" x14ac:dyDescent="0.2">
      <c r="I10816" s="137" t="s">
        <v>74</v>
      </c>
    </row>
    <row r="10817" spans="9:9" x14ac:dyDescent="0.2">
      <c r="I10817" s="137" t="s">
        <v>74</v>
      </c>
    </row>
    <row r="10818" spans="9:9" x14ac:dyDescent="0.2">
      <c r="I10818" s="137" t="s">
        <v>74</v>
      </c>
    </row>
    <row r="10819" spans="9:9" x14ac:dyDescent="0.2">
      <c r="I10819" s="137" t="s">
        <v>74</v>
      </c>
    </row>
    <row r="10820" spans="9:9" x14ac:dyDescent="0.2">
      <c r="I10820" s="137" t="s">
        <v>74</v>
      </c>
    </row>
    <row r="10821" spans="9:9" x14ac:dyDescent="0.2">
      <c r="I10821" s="137" t="s">
        <v>74</v>
      </c>
    </row>
    <row r="10822" spans="9:9" x14ac:dyDescent="0.2">
      <c r="I10822" s="137" t="s">
        <v>74</v>
      </c>
    </row>
    <row r="10823" spans="9:9" x14ac:dyDescent="0.2">
      <c r="I10823" s="137" t="s">
        <v>74</v>
      </c>
    </row>
    <row r="10824" spans="9:9" x14ac:dyDescent="0.2">
      <c r="I10824" s="137" t="s">
        <v>74</v>
      </c>
    </row>
    <row r="10825" spans="9:9" x14ac:dyDescent="0.2">
      <c r="I10825" s="137" t="s">
        <v>74</v>
      </c>
    </row>
    <row r="10826" spans="9:9" x14ac:dyDescent="0.2">
      <c r="I10826" s="137" t="s">
        <v>74</v>
      </c>
    </row>
    <row r="10827" spans="9:9" x14ac:dyDescent="0.2">
      <c r="I10827" s="137" t="s">
        <v>74</v>
      </c>
    </row>
    <row r="10828" spans="9:9" x14ac:dyDescent="0.2">
      <c r="I10828" s="137" t="s">
        <v>74</v>
      </c>
    </row>
    <row r="10829" spans="9:9" x14ac:dyDescent="0.2">
      <c r="I10829" s="137" t="s">
        <v>74</v>
      </c>
    </row>
    <row r="10830" spans="9:9" x14ac:dyDescent="0.2">
      <c r="I10830" s="137" t="s">
        <v>74</v>
      </c>
    </row>
    <row r="10831" spans="9:9" x14ac:dyDescent="0.2">
      <c r="I10831" s="137" t="s">
        <v>74</v>
      </c>
    </row>
    <row r="10832" spans="9:9" x14ac:dyDescent="0.2">
      <c r="I10832" s="137" t="s">
        <v>74</v>
      </c>
    </row>
    <row r="10833" spans="9:9" x14ac:dyDescent="0.2">
      <c r="I10833" s="137" t="s">
        <v>74</v>
      </c>
    </row>
    <row r="10834" spans="9:9" x14ac:dyDescent="0.2">
      <c r="I10834" s="137" t="s">
        <v>74</v>
      </c>
    </row>
    <row r="10835" spans="9:9" x14ac:dyDescent="0.2">
      <c r="I10835" s="137" t="s">
        <v>74</v>
      </c>
    </row>
    <row r="10836" spans="9:9" x14ac:dyDescent="0.2">
      <c r="I10836" s="137" t="s">
        <v>74</v>
      </c>
    </row>
    <row r="10837" spans="9:9" x14ac:dyDescent="0.2">
      <c r="I10837" s="137" t="s">
        <v>74</v>
      </c>
    </row>
    <row r="10838" spans="9:9" x14ac:dyDescent="0.2">
      <c r="I10838" s="137" t="s">
        <v>74</v>
      </c>
    </row>
    <row r="10839" spans="9:9" x14ac:dyDescent="0.2">
      <c r="I10839" s="137" t="s">
        <v>74</v>
      </c>
    </row>
    <row r="10840" spans="9:9" x14ac:dyDescent="0.2">
      <c r="I10840" s="137" t="s">
        <v>74</v>
      </c>
    </row>
    <row r="10841" spans="9:9" x14ac:dyDescent="0.2">
      <c r="I10841" s="137" t="s">
        <v>74</v>
      </c>
    </row>
    <row r="10842" spans="9:9" x14ac:dyDescent="0.2">
      <c r="I10842" s="137" t="s">
        <v>74</v>
      </c>
    </row>
    <row r="10843" spans="9:9" x14ac:dyDescent="0.2">
      <c r="I10843" s="137" t="s">
        <v>74</v>
      </c>
    </row>
    <row r="10844" spans="9:9" x14ac:dyDescent="0.2">
      <c r="I10844" s="137" t="s">
        <v>74</v>
      </c>
    </row>
    <row r="10845" spans="9:9" x14ac:dyDescent="0.2">
      <c r="I10845" s="137" t="s">
        <v>74</v>
      </c>
    </row>
    <row r="10846" spans="9:9" x14ac:dyDescent="0.2">
      <c r="I10846" s="137" t="s">
        <v>74</v>
      </c>
    </row>
    <row r="10847" spans="9:9" x14ac:dyDescent="0.2">
      <c r="I10847" s="137" t="s">
        <v>74</v>
      </c>
    </row>
    <row r="10848" spans="9:9" x14ac:dyDescent="0.2">
      <c r="I10848" s="137" t="s">
        <v>74</v>
      </c>
    </row>
    <row r="10849" spans="9:9" x14ac:dyDescent="0.2">
      <c r="I10849" s="137" t="s">
        <v>74</v>
      </c>
    </row>
    <row r="10850" spans="9:9" x14ac:dyDescent="0.2">
      <c r="I10850" s="137" t="s">
        <v>74</v>
      </c>
    </row>
    <row r="10851" spans="9:9" x14ac:dyDescent="0.2">
      <c r="I10851" s="137" t="s">
        <v>74</v>
      </c>
    </row>
    <row r="10852" spans="9:9" x14ac:dyDescent="0.2">
      <c r="I10852" s="137" t="s">
        <v>74</v>
      </c>
    </row>
    <row r="10853" spans="9:9" x14ac:dyDescent="0.2">
      <c r="I10853" s="137" t="s">
        <v>74</v>
      </c>
    </row>
    <row r="10854" spans="9:9" x14ac:dyDescent="0.2">
      <c r="I10854" s="137" t="s">
        <v>74</v>
      </c>
    </row>
    <row r="10855" spans="9:9" x14ac:dyDescent="0.2">
      <c r="I10855" s="137" t="s">
        <v>74</v>
      </c>
    </row>
    <row r="10856" spans="9:9" x14ac:dyDescent="0.2">
      <c r="I10856" s="137" t="s">
        <v>74</v>
      </c>
    </row>
    <row r="10857" spans="9:9" x14ac:dyDescent="0.2">
      <c r="I10857" s="137" t="s">
        <v>74</v>
      </c>
    </row>
    <row r="10858" spans="9:9" x14ac:dyDescent="0.2">
      <c r="I10858" s="137" t="s">
        <v>74</v>
      </c>
    </row>
    <row r="10859" spans="9:9" x14ac:dyDescent="0.2">
      <c r="I10859" s="137" t="s">
        <v>74</v>
      </c>
    </row>
    <row r="10860" spans="9:9" x14ac:dyDescent="0.2">
      <c r="I10860" s="137" t="s">
        <v>74</v>
      </c>
    </row>
    <row r="10861" spans="9:9" x14ac:dyDescent="0.2">
      <c r="I10861" s="137" t="s">
        <v>74</v>
      </c>
    </row>
    <row r="10862" spans="9:9" x14ac:dyDescent="0.2">
      <c r="I10862" s="137" t="s">
        <v>74</v>
      </c>
    </row>
    <row r="10863" spans="9:9" x14ac:dyDescent="0.2">
      <c r="I10863" s="137" t="s">
        <v>74</v>
      </c>
    </row>
    <row r="10864" spans="9:9" x14ac:dyDescent="0.2">
      <c r="I10864" s="137" t="s">
        <v>74</v>
      </c>
    </row>
    <row r="10865" spans="9:9" x14ac:dyDescent="0.2">
      <c r="I10865" s="137" t="s">
        <v>74</v>
      </c>
    </row>
    <row r="10866" spans="9:9" x14ac:dyDescent="0.2">
      <c r="I10866" s="137" t="s">
        <v>74</v>
      </c>
    </row>
    <row r="10867" spans="9:9" x14ac:dyDescent="0.2">
      <c r="I10867" s="137" t="s">
        <v>74</v>
      </c>
    </row>
    <row r="10868" spans="9:9" x14ac:dyDescent="0.2">
      <c r="I10868" s="137" t="s">
        <v>74</v>
      </c>
    </row>
    <row r="10869" spans="9:9" x14ac:dyDescent="0.2">
      <c r="I10869" s="137" t="s">
        <v>74</v>
      </c>
    </row>
    <row r="10870" spans="9:9" x14ac:dyDescent="0.2">
      <c r="I10870" s="137" t="s">
        <v>74</v>
      </c>
    </row>
    <row r="10871" spans="9:9" x14ac:dyDescent="0.2">
      <c r="I10871" s="137" t="s">
        <v>74</v>
      </c>
    </row>
    <row r="10872" spans="9:9" x14ac:dyDescent="0.2">
      <c r="I10872" s="137" t="s">
        <v>74</v>
      </c>
    </row>
    <row r="10873" spans="9:9" x14ac:dyDescent="0.2">
      <c r="I10873" s="137" t="s">
        <v>74</v>
      </c>
    </row>
    <row r="10874" spans="9:9" x14ac:dyDescent="0.2">
      <c r="I10874" s="137" t="s">
        <v>74</v>
      </c>
    </row>
    <row r="10875" spans="9:9" x14ac:dyDescent="0.2">
      <c r="I10875" s="137" t="s">
        <v>74</v>
      </c>
    </row>
    <row r="10876" spans="9:9" x14ac:dyDescent="0.2">
      <c r="I10876" s="137" t="s">
        <v>74</v>
      </c>
    </row>
    <row r="10877" spans="9:9" x14ac:dyDescent="0.2">
      <c r="I10877" s="137" t="s">
        <v>74</v>
      </c>
    </row>
    <row r="10878" spans="9:9" x14ac:dyDescent="0.2">
      <c r="I10878" s="137" t="s">
        <v>74</v>
      </c>
    </row>
    <row r="10879" spans="9:9" x14ac:dyDescent="0.2">
      <c r="I10879" s="137" t="s">
        <v>74</v>
      </c>
    </row>
    <row r="10880" spans="9:9" x14ac:dyDescent="0.2">
      <c r="I10880" s="137" t="s">
        <v>74</v>
      </c>
    </row>
    <row r="10881" spans="9:9" x14ac:dyDescent="0.2">
      <c r="I10881" s="137" t="s">
        <v>74</v>
      </c>
    </row>
    <row r="10882" spans="9:9" x14ac:dyDescent="0.2">
      <c r="I10882" s="137" t="s">
        <v>74</v>
      </c>
    </row>
    <row r="10883" spans="9:9" x14ac:dyDescent="0.2">
      <c r="I10883" s="137" t="s">
        <v>74</v>
      </c>
    </row>
    <row r="10884" spans="9:9" x14ac:dyDescent="0.2">
      <c r="I10884" s="137" t="s">
        <v>74</v>
      </c>
    </row>
    <row r="10885" spans="9:9" x14ac:dyDescent="0.2">
      <c r="I10885" s="137" t="s">
        <v>74</v>
      </c>
    </row>
    <row r="10886" spans="9:9" x14ac:dyDescent="0.2">
      <c r="I10886" s="137" t="s">
        <v>74</v>
      </c>
    </row>
    <row r="10887" spans="9:9" x14ac:dyDescent="0.2">
      <c r="I10887" s="137" t="s">
        <v>74</v>
      </c>
    </row>
    <row r="10888" spans="9:9" x14ac:dyDescent="0.2">
      <c r="I10888" s="137" t="s">
        <v>74</v>
      </c>
    </row>
    <row r="10889" spans="9:9" x14ac:dyDescent="0.2">
      <c r="I10889" s="137" t="s">
        <v>74</v>
      </c>
    </row>
    <row r="10890" spans="9:9" x14ac:dyDescent="0.2">
      <c r="I10890" s="137" t="s">
        <v>74</v>
      </c>
    </row>
    <row r="10891" spans="9:9" x14ac:dyDescent="0.2">
      <c r="I10891" s="137" t="s">
        <v>74</v>
      </c>
    </row>
    <row r="10892" spans="9:9" x14ac:dyDescent="0.2">
      <c r="I10892" s="137" t="s">
        <v>74</v>
      </c>
    </row>
    <row r="10893" spans="9:9" x14ac:dyDescent="0.2">
      <c r="I10893" s="137" t="s">
        <v>74</v>
      </c>
    </row>
    <row r="10894" spans="9:9" x14ac:dyDescent="0.2">
      <c r="I10894" s="137" t="s">
        <v>74</v>
      </c>
    </row>
    <row r="10895" spans="9:9" x14ac:dyDescent="0.2">
      <c r="I10895" s="137" t="s">
        <v>74</v>
      </c>
    </row>
    <row r="10896" spans="9:9" x14ac:dyDescent="0.2">
      <c r="I10896" s="137" t="s">
        <v>74</v>
      </c>
    </row>
    <row r="10897" spans="9:9" x14ac:dyDescent="0.2">
      <c r="I10897" s="137" t="s">
        <v>74</v>
      </c>
    </row>
    <row r="10898" spans="9:9" x14ac:dyDescent="0.2">
      <c r="I10898" s="137" t="s">
        <v>74</v>
      </c>
    </row>
    <row r="10899" spans="9:9" x14ac:dyDescent="0.2">
      <c r="I10899" s="137" t="s">
        <v>74</v>
      </c>
    </row>
    <row r="10900" spans="9:9" x14ac:dyDescent="0.2">
      <c r="I10900" s="137" t="s">
        <v>74</v>
      </c>
    </row>
    <row r="10901" spans="9:9" x14ac:dyDescent="0.2">
      <c r="I10901" s="137" t="s">
        <v>74</v>
      </c>
    </row>
    <row r="10902" spans="9:9" x14ac:dyDescent="0.2">
      <c r="I10902" s="137" t="s">
        <v>74</v>
      </c>
    </row>
    <row r="10903" spans="9:9" x14ac:dyDescent="0.2">
      <c r="I10903" s="137" t="s">
        <v>74</v>
      </c>
    </row>
    <row r="10904" spans="9:9" x14ac:dyDescent="0.2">
      <c r="I10904" s="137" t="s">
        <v>74</v>
      </c>
    </row>
    <row r="10905" spans="9:9" x14ac:dyDescent="0.2">
      <c r="I10905" s="137" t="s">
        <v>74</v>
      </c>
    </row>
    <row r="10906" spans="9:9" x14ac:dyDescent="0.2">
      <c r="I10906" s="137" t="s">
        <v>74</v>
      </c>
    </row>
    <row r="10907" spans="9:9" x14ac:dyDescent="0.2">
      <c r="I10907" s="137" t="s">
        <v>74</v>
      </c>
    </row>
    <row r="10908" spans="9:9" x14ac:dyDescent="0.2">
      <c r="I10908" s="137" t="s">
        <v>74</v>
      </c>
    </row>
    <row r="10909" spans="9:9" x14ac:dyDescent="0.2">
      <c r="I10909" s="137" t="s">
        <v>74</v>
      </c>
    </row>
    <row r="10910" spans="9:9" x14ac:dyDescent="0.2">
      <c r="I10910" s="137" t="s">
        <v>74</v>
      </c>
    </row>
    <row r="10911" spans="9:9" x14ac:dyDescent="0.2">
      <c r="I10911" s="137" t="s">
        <v>74</v>
      </c>
    </row>
    <row r="10912" spans="9:9" x14ac:dyDescent="0.2">
      <c r="I10912" s="137" t="s">
        <v>74</v>
      </c>
    </row>
    <row r="10913" spans="9:9" x14ac:dyDescent="0.2">
      <c r="I10913" s="137" t="s">
        <v>74</v>
      </c>
    </row>
    <row r="10914" spans="9:9" x14ac:dyDescent="0.2">
      <c r="I10914" s="137" t="s">
        <v>74</v>
      </c>
    </row>
    <row r="10915" spans="9:9" x14ac:dyDescent="0.2">
      <c r="I10915" s="137" t="s">
        <v>74</v>
      </c>
    </row>
    <row r="10916" spans="9:9" x14ac:dyDescent="0.2">
      <c r="I10916" s="137" t="s">
        <v>74</v>
      </c>
    </row>
    <row r="10917" spans="9:9" x14ac:dyDescent="0.2">
      <c r="I10917" s="137" t="s">
        <v>74</v>
      </c>
    </row>
    <row r="10918" spans="9:9" x14ac:dyDescent="0.2">
      <c r="I10918" s="137" t="s">
        <v>74</v>
      </c>
    </row>
    <row r="10919" spans="9:9" x14ac:dyDescent="0.2">
      <c r="I10919" s="137" t="s">
        <v>74</v>
      </c>
    </row>
    <row r="10920" spans="9:9" x14ac:dyDescent="0.2">
      <c r="I10920" s="137" t="s">
        <v>74</v>
      </c>
    </row>
    <row r="10921" spans="9:9" x14ac:dyDescent="0.2">
      <c r="I10921" s="137" t="s">
        <v>74</v>
      </c>
    </row>
    <row r="10922" spans="9:9" x14ac:dyDescent="0.2">
      <c r="I10922" s="137" t="s">
        <v>74</v>
      </c>
    </row>
    <row r="10923" spans="9:9" x14ac:dyDescent="0.2">
      <c r="I10923" s="137" t="s">
        <v>74</v>
      </c>
    </row>
    <row r="10924" spans="9:9" x14ac:dyDescent="0.2">
      <c r="I10924" s="137" t="s">
        <v>74</v>
      </c>
    </row>
    <row r="10925" spans="9:9" x14ac:dyDescent="0.2">
      <c r="I10925" s="137" t="s">
        <v>74</v>
      </c>
    </row>
    <row r="10926" spans="9:9" x14ac:dyDescent="0.2">
      <c r="I10926" s="137" t="s">
        <v>74</v>
      </c>
    </row>
    <row r="10927" spans="9:9" x14ac:dyDescent="0.2">
      <c r="I10927" s="137" t="s">
        <v>74</v>
      </c>
    </row>
    <row r="10928" spans="9:9" x14ac:dyDescent="0.2">
      <c r="I10928" s="137" t="s">
        <v>74</v>
      </c>
    </row>
    <row r="10929" spans="9:9" x14ac:dyDescent="0.2">
      <c r="I10929" s="137" t="s">
        <v>74</v>
      </c>
    </row>
    <row r="10930" spans="9:9" x14ac:dyDescent="0.2">
      <c r="I10930" s="137" t="s">
        <v>74</v>
      </c>
    </row>
    <row r="10931" spans="9:9" x14ac:dyDescent="0.2">
      <c r="I10931" s="137" t="s">
        <v>74</v>
      </c>
    </row>
    <row r="10932" spans="9:9" x14ac:dyDescent="0.2">
      <c r="I10932" s="137" t="s">
        <v>74</v>
      </c>
    </row>
    <row r="10933" spans="9:9" x14ac:dyDescent="0.2">
      <c r="I10933" s="137" t="s">
        <v>74</v>
      </c>
    </row>
    <row r="10934" spans="9:9" x14ac:dyDescent="0.2">
      <c r="I10934" s="137" t="s">
        <v>74</v>
      </c>
    </row>
    <row r="10935" spans="9:9" x14ac:dyDescent="0.2">
      <c r="I10935" s="137" t="s">
        <v>74</v>
      </c>
    </row>
    <row r="10936" spans="9:9" x14ac:dyDescent="0.2">
      <c r="I10936" s="137" t="s">
        <v>74</v>
      </c>
    </row>
    <row r="10937" spans="9:9" x14ac:dyDescent="0.2">
      <c r="I10937" s="137" t="s">
        <v>74</v>
      </c>
    </row>
    <row r="10938" spans="9:9" x14ac:dyDescent="0.2">
      <c r="I10938" s="137" t="s">
        <v>74</v>
      </c>
    </row>
    <row r="10939" spans="9:9" x14ac:dyDescent="0.2">
      <c r="I10939" s="137" t="s">
        <v>74</v>
      </c>
    </row>
    <row r="10940" spans="9:9" x14ac:dyDescent="0.2">
      <c r="I10940" s="137" t="s">
        <v>74</v>
      </c>
    </row>
    <row r="10941" spans="9:9" x14ac:dyDescent="0.2">
      <c r="I10941" s="137" t="s">
        <v>74</v>
      </c>
    </row>
    <row r="10942" spans="9:9" x14ac:dyDescent="0.2">
      <c r="I10942" s="137" t="s">
        <v>74</v>
      </c>
    </row>
    <row r="10943" spans="9:9" x14ac:dyDescent="0.2">
      <c r="I10943" s="137" t="s">
        <v>74</v>
      </c>
    </row>
    <row r="10944" spans="9:9" x14ac:dyDescent="0.2">
      <c r="I10944" s="137" t="s">
        <v>74</v>
      </c>
    </row>
    <row r="10945" spans="9:9" x14ac:dyDescent="0.2">
      <c r="I10945" s="137" t="s">
        <v>74</v>
      </c>
    </row>
    <row r="10946" spans="9:9" x14ac:dyDescent="0.2">
      <c r="I10946" s="137" t="s">
        <v>74</v>
      </c>
    </row>
    <row r="10947" spans="9:9" x14ac:dyDescent="0.2">
      <c r="I10947" s="137" t="s">
        <v>74</v>
      </c>
    </row>
    <row r="10948" spans="9:9" x14ac:dyDescent="0.2">
      <c r="I10948" s="137" t="s">
        <v>74</v>
      </c>
    </row>
    <row r="10949" spans="9:9" x14ac:dyDescent="0.2">
      <c r="I10949" s="137" t="s">
        <v>74</v>
      </c>
    </row>
    <row r="10950" spans="9:9" x14ac:dyDescent="0.2">
      <c r="I10950" s="137" t="s">
        <v>74</v>
      </c>
    </row>
    <row r="10951" spans="9:9" x14ac:dyDescent="0.2">
      <c r="I10951" s="137" t="s">
        <v>74</v>
      </c>
    </row>
    <row r="10952" spans="9:9" x14ac:dyDescent="0.2">
      <c r="I10952" s="137" t="s">
        <v>74</v>
      </c>
    </row>
    <row r="10953" spans="9:9" x14ac:dyDescent="0.2">
      <c r="I10953" s="137" t="s">
        <v>74</v>
      </c>
    </row>
    <row r="10954" spans="9:9" x14ac:dyDescent="0.2">
      <c r="I10954" s="137" t="s">
        <v>74</v>
      </c>
    </row>
    <row r="10955" spans="9:9" x14ac:dyDescent="0.2">
      <c r="I10955" s="137" t="s">
        <v>74</v>
      </c>
    </row>
    <row r="10956" spans="9:9" x14ac:dyDescent="0.2">
      <c r="I10956" s="137" t="s">
        <v>74</v>
      </c>
    </row>
    <row r="10957" spans="9:9" x14ac:dyDescent="0.2">
      <c r="I10957" s="137" t="s">
        <v>74</v>
      </c>
    </row>
    <row r="10958" spans="9:9" x14ac:dyDescent="0.2">
      <c r="I10958" s="137" t="s">
        <v>74</v>
      </c>
    </row>
    <row r="10959" spans="9:9" x14ac:dyDescent="0.2">
      <c r="I10959" s="137" t="s">
        <v>74</v>
      </c>
    </row>
    <row r="10960" spans="9:9" x14ac:dyDescent="0.2">
      <c r="I10960" s="137" t="s">
        <v>74</v>
      </c>
    </row>
    <row r="10961" spans="9:9" x14ac:dyDescent="0.2">
      <c r="I10961" s="137" t="s">
        <v>74</v>
      </c>
    </row>
    <row r="10962" spans="9:9" x14ac:dyDescent="0.2">
      <c r="I10962" s="137" t="s">
        <v>74</v>
      </c>
    </row>
    <row r="10963" spans="9:9" x14ac:dyDescent="0.2">
      <c r="I10963" s="137" t="s">
        <v>74</v>
      </c>
    </row>
    <row r="10964" spans="9:9" x14ac:dyDescent="0.2">
      <c r="I10964" s="137" t="s">
        <v>74</v>
      </c>
    </row>
    <row r="10965" spans="9:9" x14ac:dyDescent="0.2">
      <c r="I10965" s="137" t="s">
        <v>74</v>
      </c>
    </row>
    <row r="10966" spans="9:9" x14ac:dyDescent="0.2">
      <c r="I10966" s="137" t="s">
        <v>74</v>
      </c>
    </row>
    <row r="10967" spans="9:9" x14ac:dyDescent="0.2">
      <c r="I10967" s="137" t="s">
        <v>74</v>
      </c>
    </row>
    <row r="10968" spans="9:9" x14ac:dyDescent="0.2">
      <c r="I10968" s="137" t="s">
        <v>74</v>
      </c>
    </row>
    <row r="10969" spans="9:9" x14ac:dyDescent="0.2">
      <c r="I10969" s="137" t="s">
        <v>74</v>
      </c>
    </row>
    <row r="10970" spans="9:9" x14ac:dyDescent="0.2">
      <c r="I10970" s="137" t="s">
        <v>74</v>
      </c>
    </row>
    <row r="10971" spans="9:9" x14ac:dyDescent="0.2">
      <c r="I10971" s="137" t="s">
        <v>74</v>
      </c>
    </row>
    <row r="10972" spans="9:9" x14ac:dyDescent="0.2">
      <c r="I10972" s="137" t="s">
        <v>74</v>
      </c>
    </row>
    <row r="10973" spans="9:9" x14ac:dyDescent="0.2">
      <c r="I10973" s="137" t="s">
        <v>74</v>
      </c>
    </row>
    <row r="10974" spans="9:9" x14ac:dyDescent="0.2">
      <c r="I10974" s="137" t="s">
        <v>74</v>
      </c>
    </row>
    <row r="10975" spans="9:9" x14ac:dyDescent="0.2">
      <c r="I10975" s="137" t="s">
        <v>74</v>
      </c>
    </row>
    <row r="10976" spans="9:9" x14ac:dyDescent="0.2">
      <c r="I10976" s="137" t="s">
        <v>74</v>
      </c>
    </row>
    <row r="10977" spans="9:9" x14ac:dyDescent="0.2">
      <c r="I10977" s="137" t="s">
        <v>74</v>
      </c>
    </row>
    <row r="10978" spans="9:9" x14ac:dyDescent="0.2">
      <c r="I10978" s="137" t="s">
        <v>74</v>
      </c>
    </row>
    <row r="10979" spans="9:9" x14ac:dyDescent="0.2">
      <c r="I10979" s="137" t="s">
        <v>74</v>
      </c>
    </row>
    <row r="10980" spans="9:9" x14ac:dyDescent="0.2">
      <c r="I10980" s="137" t="s">
        <v>74</v>
      </c>
    </row>
    <row r="10981" spans="9:9" x14ac:dyDescent="0.2">
      <c r="I10981" s="137" t="s">
        <v>74</v>
      </c>
    </row>
    <row r="10982" spans="9:9" x14ac:dyDescent="0.2">
      <c r="I10982" s="137" t="s">
        <v>74</v>
      </c>
    </row>
    <row r="10983" spans="9:9" x14ac:dyDescent="0.2">
      <c r="I10983" s="137" t="s">
        <v>74</v>
      </c>
    </row>
    <row r="10984" spans="9:9" x14ac:dyDescent="0.2">
      <c r="I10984" s="137" t="s">
        <v>74</v>
      </c>
    </row>
    <row r="10985" spans="9:9" x14ac:dyDescent="0.2">
      <c r="I10985" s="137" t="s">
        <v>74</v>
      </c>
    </row>
    <row r="10986" spans="9:9" x14ac:dyDescent="0.2">
      <c r="I10986" s="137" t="s">
        <v>74</v>
      </c>
    </row>
    <row r="10987" spans="9:9" x14ac:dyDescent="0.2">
      <c r="I10987" s="137" t="s">
        <v>74</v>
      </c>
    </row>
    <row r="10988" spans="9:9" x14ac:dyDescent="0.2">
      <c r="I10988" s="137" t="s">
        <v>74</v>
      </c>
    </row>
    <row r="10989" spans="9:9" x14ac:dyDescent="0.2">
      <c r="I10989" s="137" t="s">
        <v>74</v>
      </c>
    </row>
    <row r="10990" spans="9:9" x14ac:dyDescent="0.2">
      <c r="I10990" s="137" t="s">
        <v>74</v>
      </c>
    </row>
    <row r="10991" spans="9:9" x14ac:dyDescent="0.2">
      <c r="I10991" s="137" t="s">
        <v>74</v>
      </c>
    </row>
    <row r="10992" spans="9:9" x14ac:dyDescent="0.2">
      <c r="I10992" s="137" t="s">
        <v>74</v>
      </c>
    </row>
    <row r="10993" spans="9:9" x14ac:dyDescent="0.2">
      <c r="I10993" s="137" t="s">
        <v>74</v>
      </c>
    </row>
    <row r="10994" spans="9:9" x14ac:dyDescent="0.2">
      <c r="I10994" s="137" t="s">
        <v>74</v>
      </c>
    </row>
    <row r="10995" spans="9:9" x14ac:dyDescent="0.2">
      <c r="I10995" s="137" t="s">
        <v>74</v>
      </c>
    </row>
    <row r="10996" spans="9:9" x14ac:dyDescent="0.2">
      <c r="I10996" s="137" t="s">
        <v>74</v>
      </c>
    </row>
    <row r="10997" spans="9:9" x14ac:dyDescent="0.2">
      <c r="I10997" s="137" t="s">
        <v>74</v>
      </c>
    </row>
    <row r="10998" spans="9:9" x14ac:dyDescent="0.2">
      <c r="I10998" s="137" t="s">
        <v>74</v>
      </c>
    </row>
    <row r="10999" spans="9:9" x14ac:dyDescent="0.2">
      <c r="I10999" s="137" t="s">
        <v>74</v>
      </c>
    </row>
    <row r="11000" spans="9:9" x14ac:dyDescent="0.2">
      <c r="I11000" s="137" t="s">
        <v>74</v>
      </c>
    </row>
    <row r="11001" spans="9:9" x14ac:dyDescent="0.2">
      <c r="I11001" s="137" t="s">
        <v>74</v>
      </c>
    </row>
    <row r="11002" spans="9:9" x14ac:dyDescent="0.2">
      <c r="I11002" s="137" t="s">
        <v>74</v>
      </c>
    </row>
    <row r="11003" spans="9:9" x14ac:dyDescent="0.2">
      <c r="I11003" s="137" t="s">
        <v>74</v>
      </c>
    </row>
    <row r="11004" spans="9:9" x14ac:dyDescent="0.2">
      <c r="I11004" s="137" t="s">
        <v>74</v>
      </c>
    </row>
    <row r="11005" spans="9:9" x14ac:dyDescent="0.2">
      <c r="I11005" s="137" t="s">
        <v>74</v>
      </c>
    </row>
    <row r="11006" spans="9:9" x14ac:dyDescent="0.2">
      <c r="I11006" s="137" t="s">
        <v>74</v>
      </c>
    </row>
    <row r="11007" spans="9:9" x14ac:dyDescent="0.2">
      <c r="I11007" s="137" t="s">
        <v>74</v>
      </c>
    </row>
    <row r="11008" spans="9:9" x14ac:dyDescent="0.2">
      <c r="I11008" s="137" t="s">
        <v>74</v>
      </c>
    </row>
    <row r="11009" spans="9:9" x14ac:dyDescent="0.2">
      <c r="I11009" s="137" t="s">
        <v>74</v>
      </c>
    </row>
    <row r="11010" spans="9:9" x14ac:dyDescent="0.2">
      <c r="I11010" s="137" t="s">
        <v>74</v>
      </c>
    </row>
    <row r="11011" spans="9:9" x14ac:dyDescent="0.2">
      <c r="I11011" s="137" t="s">
        <v>74</v>
      </c>
    </row>
    <row r="11012" spans="9:9" x14ac:dyDescent="0.2">
      <c r="I11012" s="137" t="s">
        <v>74</v>
      </c>
    </row>
    <row r="11013" spans="9:9" x14ac:dyDescent="0.2">
      <c r="I11013" s="137" t="s">
        <v>74</v>
      </c>
    </row>
    <row r="11014" spans="9:9" x14ac:dyDescent="0.2">
      <c r="I11014" s="137" t="s">
        <v>74</v>
      </c>
    </row>
    <row r="11015" spans="9:9" x14ac:dyDescent="0.2">
      <c r="I11015" s="137" t="s">
        <v>74</v>
      </c>
    </row>
    <row r="11016" spans="9:9" x14ac:dyDescent="0.2">
      <c r="I11016" s="137" t="s">
        <v>74</v>
      </c>
    </row>
    <row r="11017" spans="9:9" x14ac:dyDescent="0.2">
      <c r="I11017" s="137" t="s">
        <v>74</v>
      </c>
    </row>
    <row r="11018" spans="9:9" x14ac:dyDescent="0.2">
      <c r="I11018" s="137" t="s">
        <v>74</v>
      </c>
    </row>
    <row r="11019" spans="9:9" x14ac:dyDescent="0.2">
      <c r="I11019" s="137" t="s">
        <v>74</v>
      </c>
    </row>
    <row r="11020" spans="9:9" x14ac:dyDescent="0.2">
      <c r="I11020" s="137" t="s">
        <v>74</v>
      </c>
    </row>
    <row r="11021" spans="9:9" x14ac:dyDescent="0.2">
      <c r="I11021" s="137" t="s">
        <v>74</v>
      </c>
    </row>
    <row r="11022" spans="9:9" x14ac:dyDescent="0.2">
      <c r="I11022" s="137" t="s">
        <v>74</v>
      </c>
    </row>
    <row r="11023" spans="9:9" x14ac:dyDescent="0.2">
      <c r="I11023" s="137" t="s">
        <v>74</v>
      </c>
    </row>
    <row r="11024" spans="9:9" x14ac:dyDescent="0.2">
      <c r="I11024" s="137" t="s">
        <v>74</v>
      </c>
    </row>
    <row r="11025" spans="9:9" x14ac:dyDescent="0.2">
      <c r="I11025" s="137" t="s">
        <v>74</v>
      </c>
    </row>
    <row r="11026" spans="9:9" x14ac:dyDescent="0.2">
      <c r="I11026" s="137" t="s">
        <v>74</v>
      </c>
    </row>
    <row r="11027" spans="9:9" x14ac:dyDescent="0.2">
      <c r="I11027" s="137" t="s">
        <v>74</v>
      </c>
    </row>
    <row r="11028" spans="9:9" x14ac:dyDescent="0.2">
      <c r="I11028" s="137" t="s">
        <v>74</v>
      </c>
    </row>
    <row r="11029" spans="9:9" x14ac:dyDescent="0.2">
      <c r="I11029" s="137" t="s">
        <v>74</v>
      </c>
    </row>
    <row r="11030" spans="9:9" x14ac:dyDescent="0.2">
      <c r="I11030" s="137" t="s">
        <v>74</v>
      </c>
    </row>
    <row r="11031" spans="9:9" x14ac:dyDescent="0.2">
      <c r="I11031" s="137" t="s">
        <v>74</v>
      </c>
    </row>
    <row r="11032" spans="9:9" x14ac:dyDescent="0.2">
      <c r="I11032" s="137" t="s">
        <v>74</v>
      </c>
    </row>
    <row r="11033" spans="9:9" x14ac:dyDescent="0.2">
      <c r="I11033" s="137" t="s">
        <v>74</v>
      </c>
    </row>
    <row r="11034" spans="9:9" x14ac:dyDescent="0.2">
      <c r="I11034" s="137" t="s">
        <v>74</v>
      </c>
    </row>
    <row r="11035" spans="9:9" x14ac:dyDescent="0.2">
      <c r="I11035" s="137" t="s">
        <v>74</v>
      </c>
    </row>
    <row r="11036" spans="9:9" x14ac:dyDescent="0.2">
      <c r="I11036" s="137" t="s">
        <v>74</v>
      </c>
    </row>
    <row r="11037" spans="9:9" x14ac:dyDescent="0.2">
      <c r="I11037" s="137" t="s">
        <v>74</v>
      </c>
    </row>
    <row r="11038" spans="9:9" x14ac:dyDescent="0.2">
      <c r="I11038" s="137" t="s">
        <v>74</v>
      </c>
    </row>
    <row r="11039" spans="9:9" x14ac:dyDescent="0.2">
      <c r="I11039" s="137" t="s">
        <v>74</v>
      </c>
    </row>
    <row r="11040" spans="9:9" x14ac:dyDescent="0.2">
      <c r="I11040" s="137" t="s">
        <v>74</v>
      </c>
    </row>
    <row r="11041" spans="9:9" x14ac:dyDescent="0.2">
      <c r="I11041" s="137" t="s">
        <v>74</v>
      </c>
    </row>
    <row r="11042" spans="9:9" x14ac:dyDescent="0.2">
      <c r="I11042" s="137" t="s">
        <v>74</v>
      </c>
    </row>
    <row r="11043" spans="9:9" x14ac:dyDescent="0.2">
      <c r="I11043" s="137" t="s">
        <v>74</v>
      </c>
    </row>
    <row r="11044" spans="9:9" x14ac:dyDescent="0.2">
      <c r="I11044" s="137" t="s">
        <v>74</v>
      </c>
    </row>
    <row r="11045" spans="9:9" x14ac:dyDescent="0.2">
      <c r="I11045" s="137" t="s">
        <v>74</v>
      </c>
    </row>
    <row r="11046" spans="9:9" x14ac:dyDescent="0.2">
      <c r="I11046" s="137" t="s">
        <v>74</v>
      </c>
    </row>
    <row r="11047" spans="9:9" x14ac:dyDescent="0.2">
      <c r="I11047" s="137" t="s">
        <v>74</v>
      </c>
    </row>
    <row r="11048" spans="9:9" x14ac:dyDescent="0.2">
      <c r="I11048" s="137" t="s">
        <v>74</v>
      </c>
    </row>
    <row r="11049" spans="9:9" x14ac:dyDescent="0.2">
      <c r="I11049" s="137" t="s">
        <v>74</v>
      </c>
    </row>
    <row r="11050" spans="9:9" x14ac:dyDescent="0.2">
      <c r="I11050" s="137" t="s">
        <v>74</v>
      </c>
    </row>
    <row r="11051" spans="9:9" x14ac:dyDescent="0.2">
      <c r="I11051" s="137" t="s">
        <v>74</v>
      </c>
    </row>
    <row r="11052" spans="9:9" x14ac:dyDescent="0.2">
      <c r="I11052" s="137" t="s">
        <v>74</v>
      </c>
    </row>
    <row r="11053" spans="9:9" x14ac:dyDescent="0.2">
      <c r="I11053" s="137" t="s">
        <v>74</v>
      </c>
    </row>
    <row r="11054" spans="9:9" x14ac:dyDescent="0.2">
      <c r="I11054" s="137" t="s">
        <v>74</v>
      </c>
    </row>
    <row r="11055" spans="9:9" x14ac:dyDescent="0.2">
      <c r="I11055" s="137" t="s">
        <v>74</v>
      </c>
    </row>
    <row r="11056" spans="9:9" x14ac:dyDescent="0.2">
      <c r="I11056" s="137" t="s">
        <v>74</v>
      </c>
    </row>
    <row r="11057" spans="9:9" x14ac:dyDescent="0.2">
      <c r="I11057" s="137" t="s">
        <v>74</v>
      </c>
    </row>
    <row r="11058" spans="9:9" x14ac:dyDescent="0.2">
      <c r="I11058" s="137" t="s">
        <v>74</v>
      </c>
    </row>
    <row r="11059" spans="9:9" x14ac:dyDescent="0.2">
      <c r="I11059" s="137" t="s">
        <v>74</v>
      </c>
    </row>
    <row r="11060" spans="9:9" x14ac:dyDescent="0.2">
      <c r="I11060" s="137" t="s">
        <v>74</v>
      </c>
    </row>
    <row r="11061" spans="9:9" x14ac:dyDescent="0.2">
      <c r="I11061" s="137" t="s">
        <v>74</v>
      </c>
    </row>
    <row r="11062" spans="9:9" x14ac:dyDescent="0.2">
      <c r="I11062" s="137" t="s">
        <v>74</v>
      </c>
    </row>
    <row r="11063" spans="9:9" x14ac:dyDescent="0.2">
      <c r="I11063" s="137" t="s">
        <v>74</v>
      </c>
    </row>
    <row r="11064" spans="9:9" x14ac:dyDescent="0.2">
      <c r="I11064" s="137" t="s">
        <v>74</v>
      </c>
    </row>
    <row r="11065" spans="9:9" x14ac:dyDescent="0.2">
      <c r="I11065" s="137" t="s">
        <v>74</v>
      </c>
    </row>
    <row r="11066" spans="9:9" x14ac:dyDescent="0.2">
      <c r="I11066" s="137" t="s">
        <v>74</v>
      </c>
    </row>
    <row r="11067" spans="9:9" x14ac:dyDescent="0.2">
      <c r="I11067" s="137" t="s">
        <v>74</v>
      </c>
    </row>
    <row r="11068" spans="9:9" x14ac:dyDescent="0.2">
      <c r="I11068" s="137" t="s">
        <v>74</v>
      </c>
    </row>
    <row r="11069" spans="9:9" x14ac:dyDescent="0.2">
      <c r="I11069" s="137" t="s">
        <v>74</v>
      </c>
    </row>
    <row r="11070" spans="9:9" x14ac:dyDescent="0.2">
      <c r="I11070" s="137" t="s">
        <v>74</v>
      </c>
    </row>
    <row r="11071" spans="9:9" x14ac:dyDescent="0.2">
      <c r="I11071" s="137" t="s">
        <v>74</v>
      </c>
    </row>
    <row r="11072" spans="9:9" x14ac:dyDescent="0.2">
      <c r="I11072" s="137" t="s">
        <v>74</v>
      </c>
    </row>
    <row r="11073" spans="9:9" x14ac:dyDescent="0.2">
      <c r="I11073" s="137" t="s">
        <v>74</v>
      </c>
    </row>
    <row r="11074" spans="9:9" x14ac:dyDescent="0.2">
      <c r="I11074" s="137" t="s">
        <v>74</v>
      </c>
    </row>
    <row r="11075" spans="9:9" x14ac:dyDescent="0.2">
      <c r="I11075" s="137" t="s">
        <v>74</v>
      </c>
    </row>
    <row r="11076" spans="9:9" x14ac:dyDescent="0.2">
      <c r="I11076" s="137" t="s">
        <v>74</v>
      </c>
    </row>
    <row r="11077" spans="9:9" x14ac:dyDescent="0.2">
      <c r="I11077" s="137" t="s">
        <v>74</v>
      </c>
    </row>
    <row r="11078" spans="9:9" x14ac:dyDescent="0.2">
      <c r="I11078" s="137" t="s">
        <v>74</v>
      </c>
    </row>
    <row r="11079" spans="9:9" x14ac:dyDescent="0.2">
      <c r="I11079" s="137" t="s">
        <v>74</v>
      </c>
    </row>
    <row r="11080" spans="9:9" x14ac:dyDescent="0.2">
      <c r="I11080" s="137" t="s">
        <v>74</v>
      </c>
    </row>
    <row r="11081" spans="9:9" x14ac:dyDescent="0.2">
      <c r="I11081" s="137" t="s">
        <v>74</v>
      </c>
    </row>
    <row r="11082" spans="9:9" x14ac:dyDescent="0.2">
      <c r="I11082" s="137" t="s">
        <v>74</v>
      </c>
    </row>
    <row r="11083" spans="9:9" x14ac:dyDescent="0.2">
      <c r="I11083" s="137" t="s">
        <v>74</v>
      </c>
    </row>
    <row r="11084" spans="9:9" x14ac:dyDescent="0.2">
      <c r="I11084" s="137" t="s">
        <v>74</v>
      </c>
    </row>
    <row r="11085" spans="9:9" x14ac:dyDescent="0.2">
      <c r="I11085" s="137" t="s">
        <v>74</v>
      </c>
    </row>
    <row r="11086" spans="9:9" x14ac:dyDescent="0.2">
      <c r="I11086" s="137" t="s">
        <v>74</v>
      </c>
    </row>
    <row r="11087" spans="9:9" x14ac:dyDescent="0.2">
      <c r="I11087" s="137" t="s">
        <v>74</v>
      </c>
    </row>
    <row r="11088" spans="9:9" x14ac:dyDescent="0.2">
      <c r="I11088" s="137" t="s">
        <v>74</v>
      </c>
    </row>
    <row r="11089" spans="9:9" x14ac:dyDescent="0.2">
      <c r="I11089" s="137" t="s">
        <v>74</v>
      </c>
    </row>
    <row r="11090" spans="9:9" x14ac:dyDescent="0.2">
      <c r="I11090" s="137" t="s">
        <v>74</v>
      </c>
    </row>
    <row r="11091" spans="9:9" x14ac:dyDescent="0.2">
      <c r="I11091" s="137" t="s">
        <v>74</v>
      </c>
    </row>
    <row r="11092" spans="9:9" x14ac:dyDescent="0.2">
      <c r="I11092" s="137" t="s">
        <v>74</v>
      </c>
    </row>
    <row r="11093" spans="9:9" x14ac:dyDescent="0.2">
      <c r="I11093" s="137" t="s">
        <v>74</v>
      </c>
    </row>
    <row r="11094" spans="9:9" x14ac:dyDescent="0.2">
      <c r="I11094" s="137" t="s">
        <v>74</v>
      </c>
    </row>
    <row r="11095" spans="9:9" x14ac:dyDescent="0.2">
      <c r="I11095" s="137" t="s">
        <v>74</v>
      </c>
    </row>
    <row r="11096" spans="9:9" x14ac:dyDescent="0.2">
      <c r="I11096" s="137" t="s">
        <v>74</v>
      </c>
    </row>
    <row r="11097" spans="9:9" x14ac:dyDescent="0.2">
      <c r="I11097" s="137" t="s">
        <v>74</v>
      </c>
    </row>
    <row r="11098" spans="9:9" x14ac:dyDescent="0.2">
      <c r="I11098" s="137" t="s">
        <v>74</v>
      </c>
    </row>
    <row r="11099" spans="9:9" x14ac:dyDescent="0.2">
      <c r="I11099" s="137" t="s">
        <v>74</v>
      </c>
    </row>
    <row r="11100" spans="9:9" x14ac:dyDescent="0.2">
      <c r="I11100" s="137" t="s">
        <v>74</v>
      </c>
    </row>
    <row r="11101" spans="9:9" x14ac:dyDescent="0.2">
      <c r="I11101" s="137" t="s">
        <v>74</v>
      </c>
    </row>
    <row r="11102" spans="9:9" x14ac:dyDescent="0.2">
      <c r="I11102" s="137" t="s">
        <v>74</v>
      </c>
    </row>
    <row r="11103" spans="9:9" x14ac:dyDescent="0.2">
      <c r="I11103" s="137" t="s">
        <v>74</v>
      </c>
    </row>
    <row r="11104" spans="9:9" x14ac:dyDescent="0.2">
      <c r="I11104" s="137" t="s">
        <v>74</v>
      </c>
    </row>
    <row r="11105" spans="9:9" x14ac:dyDescent="0.2">
      <c r="I11105" s="137" t="s">
        <v>74</v>
      </c>
    </row>
    <row r="11106" spans="9:9" x14ac:dyDescent="0.2">
      <c r="I11106" s="137" t="s">
        <v>74</v>
      </c>
    </row>
    <row r="11107" spans="9:9" x14ac:dyDescent="0.2">
      <c r="I11107" s="137" t="s">
        <v>74</v>
      </c>
    </row>
    <row r="11108" spans="9:9" x14ac:dyDescent="0.2">
      <c r="I11108" s="137" t="s">
        <v>74</v>
      </c>
    </row>
    <row r="11109" spans="9:9" x14ac:dyDescent="0.2">
      <c r="I11109" s="137" t="s">
        <v>74</v>
      </c>
    </row>
    <row r="11110" spans="9:9" x14ac:dyDescent="0.2">
      <c r="I11110" s="137" t="s">
        <v>74</v>
      </c>
    </row>
    <row r="11111" spans="9:9" x14ac:dyDescent="0.2">
      <c r="I11111" s="137" t="s">
        <v>74</v>
      </c>
    </row>
    <row r="11112" spans="9:9" x14ac:dyDescent="0.2">
      <c r="I11112" s="137" t="s">
        <v>74</v>
      </c>
    </row>
    <row r="11113" spans="9:9" x14ac:dyDescent="0.2">
      <c r="I11113" s="137" t="s">
        <v>74</v>
      </c>
    </row>
    <row r="11114" spans="9:9" x14ac:dyDescent="0.2">
      <c r="I11114" s="137" t="s">
        <v>74</v>
      </c>
    </row>
    <row r="11115" spans="9:9" x14ac:dyDescent="0.2">
      <c r="I11115" s="137" t="s">
        <v>74</v>
      </c>
    </row>
    <row r="11116" spans="9:9" x14ac:dyDescent="0.2">
      <c r="I11116" s="137" t="s">
        <v>74</v>
      </c>
    </row>
    <row r="11117" spans="9:9" x14ac:dyDescent="0.2">
      <c r="I11117" s="137" t="s">
        <v>74</v>
      </c>
    </row>
    <row r="11118" spans="9:9" x14ac:dyDescent="0.2">
      <c r="I11118" s="137" t="s">
        <v>74</v>
      </c>
    </row>
    <row r="11119" spans="9:9" x14ac:dyDescent="0.2">
      <c r="I11119" s="137" t="s">
        <v>74</v>
      </c>
    </row>
    <row r="11120" spans="9:9" x14ac:dyDescent="0.2">
      <c r="I11120" s="137" t="s">
        <v>74</v>
      </c>
    </row>
    <row r="11121" spans="9:9" x14ac:dyDescent="0.2">
      <c r="I11121" s="137" t="s">
        <v>74</v>
      </c>
    </row>
    <row r="11122" spans="9:9" x14ac:dyDescent="0.2">
      <c r="I11122" s="137" t="s">
        <v>74</v>
      </c>
    </row>
    <row r="11123" spans="9:9" x14ac:dyDescent="0.2">
      <c r="I11123" s="137" t="s">
        <v>74</v>
      </c>
    </row>
    <row r="11124" spans="9:9" x14ac:dyDescent="0.2">
      <c r="I11124" s="137" t="s">
        <v>74</v>
      </c>
    </row>
    <row r="11125" spans="9:9" x14ac:dyDescent="0.2">
      <c r="I11125" s="137" t="s">
        <v>74</v>
      </c>
    </row>
    <row r="11126" spans="9:9" x14ac:dyDescent="0.2">
      <c r="I11126" s="137" t="s">
        <v>74</v>
      </c>
    </row>
    <row r="11127" spans="9:9" x14ac:dyDescent="0.2">
      <c r="I11127" s="137" t="s">
        <v>74</v>
      </c>
    </row>
    <row r="11128" spans="9:9" x14ac:dyDescent="0.2">
      <c r="I11128" s="137" t="s">
        <v>74</v>
      </c>
    </row>
    <row r="11129" spans="9:9" x14ac:dyDescent="0.2">
      <c r="I11129" s="137" t="s">
        <v>74</v>
      </c>
    </row>
    <row r="11130" spans="9:9" x14ac:dyDescent="0.2">
      <c r="I11130" s="137" t="s">
        <v>74</v>
      </c>
    </row>
    <row r="11131" spans="9:9" x14ac:dyDescent="0.2">
      <c r="I11131" s="137" t="s">
        <v>74</v>
      </c>
    </row>
    <row r="11132" spans="9:9" x14ac:dyDescent="0.2">
      <c r="I11132" s="137" t="s">
        <v>74</v>
      </c>
    </row>
    <row r="11133" spans="9:9" x14ac:dyDescent="0.2">
      <c r="I11133" s="137" t="s">
        <v>74</v>
      </c>
    </row>
    <row r="11134" spans="9:9" x14ac:dyDescent="0.2">
      <c r="I11134" s="137" t="s">
        <v>74</v>
      </c>
    </row>
    <row r="11135" spans="9:9" x14ac:dyDescent="0.2">
      <c r="I11135" s="137" t="s">
        <v>74</v>
      </c>
    </row>
    <row r="11136" spans="9:9" x14ac:dyDescent="0.2">
      <c r="I11136" s="137" t="s">
        <v>74</v>
      </c>
    </row>
    <row r="11137" spans="9:9" x14ac:dyDescent="0.2">
      <c r="I11137" s="137" t="s">
        <v>74</v>
      </c>
    </row>
    <row r="11138" spans="9:9" x14ac:dyDescent="0.2">
      <c r="I11138" s="137" t="s">
        <v>74</v>
      </c>
    </row>
    <row r="11139" spans="9:9" x14ac:dyDescent="0.2">
      <c r="I11139" s="137" t="s">
        <v>74</v>
      </c>
    </row>
    <row r="11140" spans="9:9" x14ac:dyDescent="0.2">
      <c r="I11140" s="137" t="s">
        <v>74</v>
      </c>
    </row>
    <row r="11141" spans="9:9" x14ac:dyDescent="0.2">
      <c r="I11141" s="137" t="s">
        <v>74</v>
      </c>
    </row>
    <row r="11142" spans="9:9" x14ac:dyDescent="0.2">
      <c r="I11142" s="137" t="s">
        <v>74</v>
      </c>
    </row>
    <row r="11143" spans="9:9" x14ac:dyDescent="0.2">
      <c r="I11143" s="137" t="s">
        <v>74</v>
      </c>
    </row>
    <row r="11144" spans="9:9" x14ac:dyDescent="0.2">
      <c r="I11144" s="137" t="s">
        <v>74</v>
      </c>
    </row>
    <row r="11145" spans="9:9" x14ac:dyDescent="0.2">
      <c r="I11145" s="137" t="s">
        <v>74</v>
      </c>
    </row>
    <row r="11146" spans="9:9" x14ac:dyDescent="0.2">
      <c r="I11146" s="137" t="s">
        <v>74</v>
      </c>
    </row>
    <row r="11147" spans="9:9" x14ac:dyDescent="0.2">
      <c r="I11147" s="137" t="s">
        <v>74</v>
      </c>
    </row>
    <row r="11148" spans="9:9" x14ac:dyDescent="0.2">
      <c r="I11148" s="137" t="s">
        <v>74</v>
      </c>
    </row>
    <row r="11149" spans="9:9" x14ac:dyDescent="0.2">
      <c r="I11149" s="137" t="s">
        <v>74</v>
      </c>
    </row>
    <row r="11150" spans="9:9" x14ac:dyDescent="0.2">
      <c r="I11150" s="137" t="s">
        <v>74</v>
      </c>
    </row>
    <row r="11151" spans="9:9" x14ac:dyDescent="0.2">
      <c r="I11151" s="137" t="s">
        <v>74</v>
      </c>
    </row>
    <row r="11152" spans="9:9" x14ac:dyDescent="0.2">
      <c r="I11152" s="137" t="s">
        <v>74</v>
      </c>
    </row>
    <row r="11153" spans="9:9" x14ac:dyDescent="0.2">
      <c r="I11153" s="137" t="s">
        <v>74</v>
      </c>
    </row>
    <row r="11154" spans="9:9" x14ac:dyDescent="0.2">
      <c r="I11154" s="137" t="s">
        <v>74</v>
      </c>
    </row>
    <row r="11155" spans="9:9" x14ac:dyDescent="0.2">
      <c r="I11155" s="137" t="s">
        <v>74</v>
      </c>
    </row>
    <row r="11156" spans="9:9" x14ac:dyDescent="0.2">
      <c r="I11156" s="137" t="s">
        <v>74</v>
      </c>
    </row>
    <row r="11157" spans="9:9" x14ac:dyDescent="0.2">
      <c r="I11157" s="137" t="s">
        <v>74</v>
      </c>
    </row>
    <row r="11158" spans="9:9" x14ac:dyDescent="0.2">
      <c r="I11158" s="137" t="s">
        <v>74</v>
      </c>
    </row>
    <row r="11159" spans="9:9" x14ac:dyDescent="0.2">
      <c r="I11159" s="137" t="s">
        <v>74</v>
      </c>
    </row>
    <row r="11160" spans="9:9" x14ac:dyDescent="0.2">
      <c r="I11160" s="137" t="s">
        <v>74</v>
      </c>
    </row>
    <row r="11161" spans="9:9" x14ac:dyDescent="0.2">
      <c r="I11161" s="137" t="s">
        <v>74</v>
      </c>
    </row>
    <row r="11162" spans="9:9" x14ac:dyDescent="0.2">
      <c r="I11162" s="137" t="s">
        <v>74</v>
      </c>
    </row>
    <row r="11163" spans="9:9" x14ac:dyDescent="0.2">
      <c r="I11163" s="137" t="s">
        <v>74</v>
      </c>
    </row>
    <row r="11164" spans="9:9" x14ac:dyDescent="0.2">
      <c r="I11164" s="137" t="s">
        <v>74</v>
      </c>
    </row>
    <row r="11165" spans="9:9" x14ac:dyDescent="0.2">
      <c r="I11165" s="137" t="s">
        <v>74</v>
      </c>
    </row>
    <row r="11166" spans="9:9" x14ac:dyDescent="0.2">
      <c r="I11166" s="137" t="s">
        <v>74</v>
      </c>
    </row>
    <row r="11167" spans="9:9" x14ac:dyDescent="0.2">
      <c r="I11167" s="137" t="s">
        <v>74</v>
      </c>
    </row>
    <row r="11168" spans="9:9" x14ac:dyDescent="0.2">
      <c r="I11168" s="137" t="s">
        <v>74</v>
      </c>
    </row>
    <row r="11169" spans="9:9" x14ac:dyDescent="0.2">
      <c r="I11169" s="137" t="s">
        <v>74</v>
      </c>
    </row>
    <row r="11170" spans="9:9" x14ac:dyDescent="0.2">
      <c r="I11170" s="137" t="s">
        <v>74</v>
      </c>
    </row>
    <row r="11171" spans="9:9" x14ac:dyDescent="0.2">
      <c r="I11171" s="137" t="s">
        <v>74</v>
      </c>
    </row>
    <row r="11172" spans="9:9" x14ac:dyDescent="0.2">
      <c r="I11172" s="137" t="s">
        <v>74</v>
      </c>
    </row>
    <row r="11173" spans="9:9" x14ac:dyDescent="0.2">
      <c r="I11173" s="137" t="s">
        <v>74</v>
      </c>
    </row>
    <row r="11174" spans="9:9" x14ac:dyDescent="0.2">
      <c r="I11174" s="137" t="s">
        <v>74</v>
      </c>
    </row>
    <row r="11175" spans="9:9" x14ac:dyDescent="0.2">
      <c r="I11175" s="137" t="s">
        <v>74</v>
      </c>
    </row>
    <row r="11176" spans="9:9" x14ac:dyDescent="0.2">
      <c r="I11176" s="137" t="s">
        <v>74</v>
      </c>
    </row>
    <row r="11177" spans="9:9" x14ac:dyDescent="0.2">
      <c r="I11177" s="137" t="s">
        <v>74</v>
      </c>
    </row>
    <row r="11178" spans="9:9" x14ac:dyDescent="0.2">
      <c r="I11178" s="137" t="s">
        <v>74</v>
      </c>
    </row>
    <row r="11179" spans="9:9" x14ac:dyDescent="0.2">
      <c r="I11179" s="137" t="s">
        <v>74</v>
      </c>
    </row>
    <row r="11180" spans="9:9" x14ac:dyDescent="0.2">
      <c r="I11180" s="137" t="s">
        <v>74</v>
      </c>
    </row>
    <row r="11181" spans="9:9" x14ac:dyDescent="0.2">
      <c r="I11181" s="137" t="s">
        <v>74</v>
      </c>
    </row>
    <row r="11182" spans="9:9" x14ac:dyDescent="0.2">
      <c r="I11182" s="137" t="s">
        <v>74</v>
      </c>
    </row>
    <row r="11183" spans="9:9" x14ac:dyDescent="0.2">
      <c r="I11183" s="137" t="s">
        <v>74</v>
      </c>
    </row>
    <row r="11184" spans="9:9" x14ac:dyDescent="0.2">
      <c r="I11184" s="137" t="s">
        <v>74</v>
      </c>
    </row>
    <row r="11185" spans="9:9" x14ac:dyDescent="0.2">
      <c r="I11185" s="137" t="s">
        <v>74</v>
      </c>
    </row>
    <row r="11186" spans="9:9" x14ac:dyDescent="0.2">
      <c r="I11186" s="137" t="s">
        <v>74</v>
      </c>
    </row>
    <row r="11187" spans="9:9" x14ac:dyDescent="0.2">
      <c r="I11187" s="137" t="s">
        <v>74</v>
      </c>
    </row>
    <row r="11188" spans="9:9" x14ac:dyDescent="0.2">
      <c r="I11188" s="137" t="s">
        <v>74</v>
      </c>
    </row>
    <row r="11189" spans="9:9" x14ac:dyDescent="0.2">
      <c r="I11189" s="137" t="s">
        <v>74</v>
      </c>
    </row>
    <row r="11190" spans="9:9" x14ac:dyDescent="0.2">
      <c r="I11190" s="137" t="s">
        <v>74</v>
      </c>
    </row>
    <row r="11191" spans="9:9" x14ac:dyDescent="0.2">
      <c r="I11191" s="137" t="s">
        <v>74</v>
      </c>
    </row>
    <row r="11192" spans="9:9" x14ac:dyDescent="0.2">
      <c r="I11192" s="137" t="s">
        <v>74</v>
      </c>
    </row>
    <row r="11193" spans="9:9" x14ac:dyDescent="0.2">
      <c r="I11193" s="137" t="s">
        <v>74</v>
      </c>
    </row>
    <row r="11194" spans="9:9" x14ac:dyDescent="0.2">
      <c r="I11194" s="137" t="s">
        <v>74</v>
      </c>
    </row>
    <row r="11195" spans="9:9" x14ac:dyDescent="0.2">
      <c r="I11195" s="137" t="s">
        <v>74</v>
      </c>
    </row>
    <row r="11196" spans="9:9" x14ac:dyDescent="0.2">
      <c r="I11196" s="137" t="s">
        <v>74</v>
      </c>
    </row>
    <row r="11197" spans="9:9" x14ac:dyDescent="0.2">
      <c r="I11197" s="137" t="s">
        <v>74</v>
      </c>
    </row>
    <row r="11198" spans="9:9" x14ac:dyDescent="0.2">
      <c r="I11198" s="137" t="s">
        <v>74</v>
      </c>
    </row>
    <row r="11199" spans="9:9" x14ac:dyDescent="0.2">
      <c r="I11199" s="137" t="s">
        <v>74</v>
      </c>
    </row>
    <row r="11200" spans="9:9" x14ac:dyDescent="0.2">
      <c r="I11200" s="137" t="s">
        <v>74</v>
      </c>
    </row>
    <row r="11201" spans="9:9" x14ac:dyDescent="0.2">
      <c r="I11201" s="137" t="s">
        <v>74</v>
      </c>
    </row>
    <row r="11202" spans="9:9" x14ac:dyDescent="0.2">
      <c r="I11202" s="137" t="s">
        <v>74</v>
      </c>
    </row>
    <row r="11203" spans="9:9" x14ac:dyDescent="0.2">
      <c r="I11203" s="137" t="s">
        <v>74</v>
      </c>
    </row>
    <row r="11204" spans="9:9" x14ac:dyDescent="0.2">
      <c r="I11204" s="137" t="s">
        <v>74</v>
      </c>
    </row>
    <row r="11205" spans="9:9" x14ac:dyDescent="0.2">
      <c r="I11205" s="137" t="s">
        <v>74</v>
      </c>
    </row>
    <row r="11206" spans="9:9" x14ac:dyDescent="0.2">
      <c r="I11206" s="137" t="s">
        <v>74</v>
      </c>
    </row>
    <row r="11207" spans="9:9" x14ac:dyDescent="0.2">
      <c r="I11207" s="137" t="s">
        <v>74</v>
      </c>
    </row>
    <row r="11208" spans="9:9" x14ac:dyDescent="0.2">
      <c r="I11208" s="137" t="s">
        <v>74</v>
      </c>
    </row>
    <row r="11209" spans="9:9" x14ac:dyDescent="0.2">
      <c r="I11209" s="137" t="s">
        <v>74</v>
      </c>
    </row>
    <row r="11210" spans="9:9" x14ac:dyDescent="0.2">
      <c r="I11210" s="137" t="s">
        <v>74</v>
      </c>
    </row>
    <row r="11211" spans="9:9" x14ac:dyDescent="0.2">
      <c r="I11211" s="137" t="s">
        <v>74</v>
      </c>
    </row>
    <row r="11212" spans="9:9" x14ac:dyDescent="0.2">
      <c r="I11212" s="137" t="s">
        <v>74</v>
      </c>
    </row>
    <row r="11213" spans="9:9" x14ac:dyDescent="0.2">
      <c r="I11213" s="137" t="s">
        <v>74</v>
      </c>
    </row>
    <row r="11214" spans="9:9" x14ac:dyDescent="0.2">
      <c r="I11214" s="137" t="s">
        <v>74</v>
      </c>
    </row>
    <row r="11215" spans="9:9" x14ac:dyDescent="0.2">
      <c r="I11215" s="137" t="s">
        <v>74</v>
      </c>
    </row>
    <row r="11216" spans="9:9" x14ac:dyDescent="0.2">
      <c r="I11216" s="137" t="s">
        <v>74</v>
      </c>
    </row>
    <row r="11217" spans="9:9" x14ac:dyDescent="0.2">
      <c r="I11217" s="137" t="s">
        <v>74</v>
      </c>
    </row>
    <row r="11218" spans="9:9" x14ac:dyDescent="0.2">
      <c r="I11218" s="137" t="s">
        <v>74</v>
      </c>
    </row>
    <row r="11219" spans="9:9" x14ac:dyDescent="0.2">
      <c r="I11219" s="137" t="s">
        <v>74</v>
      </c>
    </row>
    <row r="11220" spans="9:9" x14ac:dyDescent="0.2">
      <c r="I11220" s="137" t="s">
        <v>74</v>
      </c>
    </row>
    <row r="11221" spans="9:9" x14ac:dyDescent="0.2">
      <c r="I11221" s="137" t="s">
        <v>74</v>
      </c>
    </row>
    <row r="11222" spans="9:9" x14ac:dyDescent="0.2">
      <c r="I11222" s="137" t="s">
        <v>74</v>
      </c>
    </row>
    <row r="11223" spans="9:9" x14ac:dyDescent="0.2">
      <c r="I11223" s="137" t="s">
        <v>74</v>
      </c>
    </row>
    <row r="11224" spans="9:9" x14ac:dyDescent="0.2">
      <c r="I11224" s="137" t="s">
        <v>74</v>
      </c>
    </row>
    <row r="11225" spans="9:9" x14ac:dyDescent="0.2">
      <c r="I11225" s="137" t="s">
        <v>74</v>
      </c>
    </row>
    <row r="11226" spans="9:9" x14ac:dyDescent="0.2">
      <c r="I11226" s="137" t="s">
        <v>74</v>
      </c>
    </row>
    <row r="11227" spans="9:9" x14ac:dyDescent="0.2">
      <c r="I11227" s="137" t="s">
        <v>74</v>
      </c>
    </row>
    <row r="11228" spans="9:9" x14ac:dyDescent="0.2">
      <c r="I11228" s="137" t="s">
        <v>74</v>
      </c>
    </row>
    <row r="11229" spans="9:9" x14ac:dyDescent="0.2">
      <c r="I11229" s="137" t="s">
        <v>74</v>
      </c>
    </row>
    <row r="11230" spans="9:9" x14ac:dyDescent="0.2">
      <c r="I11230" s="137" t="s">
        <v>74</v>
      </c>
    </row>
    <row r="11231" spans="9:9" x14ac:dyDescent="0.2">
      <c r="I11231" s="137" t="s">
        <v>74</v>
      </c>
    </row>
    <row r="11232" spans="9:9" x14ac:dyDescent="0.2">
      <c r="I11232" s="137" t="s">
        <v>74</v>
      </c>
    </row>
    <row r="11233" spans="9:9" x14ac:dyDescent="0.2">
      <c r="I11233" s="137" t="s">
        <v>74</v>
      </c>
    </row>
    <row r="11234" spans="9:9" x14ac:dyDescent="0.2">
      <c r="I11234" s="137" t="s">
        <v>74</v>
      </c>
    </row>
    <row r="11235" spans="9:9" x14ac:dyDescent="0.2">
      <c r="I11235" s="137" t="s">
        <v>74</v>
      </c>
    </row>
    <row r="11236" spans="9:9" x14ac:dyDescent="0.2">
      <c r="I11236" s="137" t="s">
        <v>74</v>
      </c>
    </row>
    <row r="11237" spans="9:9" x14ac:dyDescent="0.2">
      <c r="I11237" s="137" t="s">
        <v>74</v>
      </c>
    </row>
    <row r="11238" spans="9:9" x14ac:dyDescent="0.2">
      <c r="I11238" s="137" t="s">
        <v>74</v>
      </c>
    </row>
    <row r="11239" spans="9:9" x14ac:dyDescent="0.2">
      <c r="I11239" s="137" t="s">
        <v>74</v>
      </c>
    </row>
    <row r="11240" spans="9:9" x14ac:dyDescent="0.2">
      <c r="I11240" s="137" t="s">
        <v>74</v>
      </c>
    </row>
    <row r="11241" spans="9:9" x14ac:dyDescent="0.2">
      <c r="I11241" s="137" t="s">
        <v>74</v>
      </c>
    </row>
    <row r="11242" spans="9:9" x14ac:dyDescent="0.2">
      <c r="I11242" s="137" t="s">
        <v>74</v>
      </c>
    </row>
    <row r="11243" spans="9:9" x14ac:dyDescent="0.2">
      <c r="I11243" s="137" t="s">
        <v>74</v>
      </c>
    </row>
    <row r="11244" spans="9:9" x14ac:dyDescent="0.2">
      <c r="I11244" s="137" t="s">
        <v>74</v>
      </c>
    </row>
    <row r="11245" spans="9:9" x14ac:dyDescent="0.2">
      <c r="I11245" s="137" t="s">
        <v>74</v>
      </c>
    </row>
    <row r="11246" spans="9:9" x14ac:dyDescent="0.2">
      <c r="I11246" s="137" t="s">
        <v>74</v>
      </c>
    </row>
    <row r="11247" spans="9:9" x14ac:dyDescent="0.2">
      <c r="I11247" s="137" t="s">
        <v>74</v>
      </c>
    </row>
    <row r="11248" spans="9:9" x14ac:dyDescent="0.2">
      <c r="I11248" s="137" t="s">
        <v>74</v>
      </c>
    </row>
    <row r="11249" spans="9:9" x14ac:dyDescent="0.2">
      <c r="I11249" s="137" t="s">
        <v>74</v>
      </c>
    </row>
    <row r="11250" spans="9:9" x14ac:dyDescent="0.2">
      <c r="I11250" s="137" t="s">
        <v>74</v>
      </c>
    </row>
    <row r="11251" spans="9:9" x14ac:dyDescent="0.2">
      <c r="I11251" s="137" t="s">
        <v>74</v>
      </c>
    </row>
    <row r="11252" spans="9:9" x14ac:dyDescent="0.2">
      <c r="I11252" s="137" t="s">
        <v>74</v>
      </c>
    </row>
    <row r="11253" spans="9:9" x14ac:dyDescent="0.2">
      <c r="I11253" s="137" t="s">
        <v>74</v>
      </c>
    </row>
    <row r="11254" spans="9:9" x14ac:dyDescent="0.2">
      <c r="I11254" s="137" t="s">
        <v>74</v>
      </c>
    </row>
    <row r="11255" spans="9:9" x14ac:dyDescent="0.2">
      <c r="I11255" s="137" t="s">
        <v>74</v>
      </c>
    </row>
    <row r="11256" spans="9:9" x14ac:dyDescent="0.2">
      <c r="I11256" s="137" t="s">
        <v>74</v>
      </c>
    </row>
    <row r="11257" spans="9:9" x14ac:dyDescent="0.2">
      <c r="I11257" s="137" t="s">
        <v>74</v>
      </c>
    </row>
    <row r="11258" spans="9:9" x14ac:dyDescent="0.2">
      <c r="I11258" s="137" t="s">
        <v>74</v>
      </c>
    </row>
    <row r="11259" spans="9:9" x14ac:dyDescent="0.2">
      <c r="I11259" s="137" t="s">
        <v>74</v>
      </c>
    </row>
    <row r="11260" spans="9:9" x14ac:dyDescent="0.2">
      <c r="I11260" s="137" t="s">
        <v>74</v>
      </c>
    </row>
    <row r="11261" spans="9:9" x14ac:dyDescent="0.2">
      <c r="I11261" s="137" t="s">
        <v>74</v>
      </c>
    </row>
    <row r="11262" spans="9:9" x14ac:dyDescent="0.2">
      <c r="I11262" s="137" t="s">
        <v>74</v>
      </c>
    </row>
    <row r="11263" spans="9:9" x14ac:dyDescent="0.2">
      <c r="I11263" s="137" t="s">
        <v>74</v>
      </c>
    </row>
    <row r="11264" spans="9:9" x14ac:dyDescent="0.2">
      <c r="I11264" s="137" t="s">
        <v>74</v>
      </c>
    </row>
    <row r="11265" spans="9:9" x14ac:dyDescent="0.2">
      <c r="I11265" s="137" t="s">
        <v>74</v>
      </c>
    </row>
    <row r="11266" spans="9:9" x14ac:dyDescent="0.2">
      <c r="I11266" s="137" t="s">
        <v>74</v>
      </c>
    </row>
    <row r="11267" spans="9:9" x14ac:dyDescent="0.2">
      <c r="I11267" s="137" t="s">
        <v>74</v>
      </c>
    </row>
    <row r="11268" spans="9:9" x14ac:dyDescent="0.2">
      <c r="I11268" s="137" t="s">
        <v>74</v>
      </c>
    </row>
    <row r="11269" spans="9:9" x14ac:dyDescent="0.2">
      <c r="I11269" s="137" t="s">
        <v>74</v>
      </c>
    </row>
    <row r="11270" spans="9:9" x14ac:dyDescent="0.2">
      <c r="I11270" s="137" t="s">
        <v>74</v>
      </c>
    </row>
    <row r="11271" spans="9:9" x14ac:dyDescent="0.2">
      <c r="I11271" s="137" t="s">
        <v>74</v>
      </c>
    </row>
    <row r="11272" spans="9:9" x14ac:dyDescent="0.2">
      <c r="I11272" s="137" t="s">
        <v>74</v>
      </c>
    </row>
    <row r="11273" spans="9:9" x14ac:dyDescent="0.2">
      <c r="I11273" s="137" t="s">
        <v>74</v>
      </c>
    </row>
    <row r="11274" spans="9:9" x14ac:dyDescent="0.2">
      <c r="I11274" s="137" t="s">
        <v>74</v>
      </c>
    </row>
    <row r="11275" spans="9:9" x14ac:dyDescent="0.2">
      <c r="I11275" s="137" t="s">
        <v>74</v>
      </c>
    </row>
    <row r="11276" spans="9:9" x14ac:dyDescent="0.2">
      <c r="I11276" s="137" t="s">
        <v>74</v>
      </c>
    </row>
    <row r="11277" spans="9:9" x14ac:dyDescent="0.2">
      <c r="I11277" s="137" t="s">
        <v>74</v>
      </c>
    </row>
    <row r="11278" spans="9:9" x14ac:dyDescent="0.2">
      <c r="I11278" s="137" t="s">
        <v>74</v>
      </c>
    </row>
    <row r="11279" spans="9:9" x14ac:dyDescent="0.2">
      <c r="I11279" s="137" t="s">
        <v>74</v>
      </c>
    </row>
    <row r="11280" spans="9:9" x14ac:dyDescent="0.2">
      <c r="I11280" s="137" t="s">
        <v>74</v>
      </c>
    </row>
    <row r="11281" spans="9:9" x14ac:dyDescent="0.2">
      <c r="I11281" s="137" t="s">
        <v>74</v>
      </c>
    </row>
    <row r="11282" spans="9:9" x14ac:dyDescent="0.2">
      <c r="I11282" s="137" t="s">
        <v>74</v>
      </c>
    </row>
    <row r="11283" spans="9:9" x14ac:dyDescent="0.2">
      <c r="I11283" s="137" t="s">
        <v>74</v>
      </c>
    </row>
    <row r="11284" spans="9:9" x14ac:dyDescent="0.2">
      <c r="I11284" s="137" t="s">
        <v>74</v>
      </c>
    </row>
    <row r="11285" spans="9:9" x14ac:dyDescent="0.2">
      <c r="I11285" s="137" t="s">
        <v>74</v>
      </c>
    </row>
    <row r="11286" spans="9:9" x14ac:dyDescent="0.2">
      <c r="I11286" s="137" t="s">
        <v>74</v>
      </c>
    </row>
    <row r="11287" spans="9:9" x14ac:dyDescent="0.2">
      <c r="I11287" s="137" t="s">
        <v>74</v>
      </c>
    </row>
    <row r="11288" spans="9:9" x14ac:dyDescent="0.2">
      <c r="I11288" s="137" t="s">
        <v>74</v>
      </c>
    </row>
    <row r="11289" spans="9:9" x14ac:dyDescent="0.2">
      <c r="I11289" s="137" t="s">
        <v>74</v>
      </c>
    </row>
    <row r="11290" spans="9:9" x14ac:dyDescent="0.2">
      <c r="I11290" s="137" t="s">
        <v>74</v>
      </c>
    </row>
    <row r="11291" spans="9:9" x14ac:dyDescent="0.2">
      <c r="I11291" s="137" t="s">
        <v>74</v>
      </c>
    </row>
    <row r="11292" spans="9:9" x14ac:dyDescent="0.2">
      <c r="I11292" s="137" t="s">
        <v>74</v>
      </c>
    </row>
    <row r="11293" spans="9:9" x14ac:dyDescent="0.2">
      <c r="I11293" s="137" t="s">
        <v>74</v>
      </c>
    </row>
    <row r="11294" spans="9:9" x14ac:dyDescent="0.2">
      <c r="I11294" s="137" t="s">
        <v>74</v>
      </c>
    </row>
    <row r="11295" spans="9:9" x14ac:dyDescent="0.2">
      <c r="I11295" s="137" t="s">
        <v>74</v>
      </c>
    </row>
    <row r="11296" spans="9:9" x14ac:dyDescent="0.2">
      <c r="I11296" s="137" t="s">
        <v>74</v>
      </c>
    </row>
    <row r="11297" spans="9:9" x14ac:dyDescent="0.2">
      <c r="I11297" s="137" t="s">
        <v>74</v>
      </c>
    </row>
    <row r="11298" spans="9:9" x14ac:dyDescent="0.2">
      <c r="I11298" s="137" t="s">
        <v>74</v>
      </c>
    </row>
    <row r="11299" spans="9:9" x14ac:dyDescent="0.2">
      <c r="I11299" s="137" t="s">
        <v>74</v>
      </c>
    </row>
    <row r="11300" spans="9:9" x14ac:dyDescent="0.2">
      <c r="I11300" s="137" t="s">
        <v>74</v>
      </c>
    </row>
    <row r="11301" spans="9:9" x14ac:dyDescent="0.2">
      <c r="I11301" s="137" t="s">
        <v>74</v>
      </c>
    </row>
    <row r="11302" spans="9:9" x14ac:dyDescent="0.2">
      <c r="I11302" s="137" t="s">
        <v>74</v>
      </c>
    </row>
    <row r="11303" spans="9:9" x14ac:dyDescent="0.2">
      <c r="I11303" s="137" t="s">
        <v>74</v>
      </c>
    </row>
    <row r="11304" spans="9:9" x14ac:dyDescent="0.2">
      <c r="I11304" s="137" t="s">
        <v>74</v>
      </c>
    </row>
    <row r="11305" spans="9:9" x14ac:dyDescent="0.2">
      <c r="I11305" s="137" t="s">
        <v>74</v>
      </c>
    </row>
    <row r="11306" spans="9:9" x14ac:dyDescent="0.2">
      <c r="I11306" s="137" t="s">
        <v>74</v>
      </c>
    </row>
    <row r="11307" spans="9:9" x14ac:dyDescent="0.2">
      <c r="I11307" s="137" t="s">
        <v>74</v>
      </c>
    </row>
    <row r="11308" spans="9:9" x14ac:dyDescent="0.2">
      <c r="I11308" s="137" t="s">
        <v>74</v>
      </c>
    </row>
    <row r="11309" spans="9:9" x14ac:dyDescent="0.2">
      <c r="I11309" s="137" t="s">
        <v>74</v>
      </c>
    </row>
    <row r="11310" spans="9:9" x14ac:dyDescent="0.2">
      <c r="I11310" s="137" t="s">
        <v>74</v>
      </c>
    </row>
    <row r="11311" spans="9:9" x14ac:dyDescent="0.2">
      <c r="I11311" s="137" t="s">
        <v>74</v>
      </c>
    </row>
    <row r="11312" spans="9:9" x14ac:dyDescent="0.2">
      <c r="I11312" s="137" t="s">
        <v>74</v>
      </c>
    </row>
    <row r="11313" spans="9:9" x14ac:dyDescent="0.2">
      <c r="I11313" s="137" t="s">
        <v>74</v>
      </c>
    </row>
    <row r="11314" spans="9:9" x14ac:dyDescent="0.2">
      <c r="I11314" s="137" t="s">
        <v>74</v>
      </c>
    </row>
    <row r="11315" spans="9:9" x14ac:dyDescent="0.2">
      <c r="I11315" s="137" t="s">
        <v>74</v>
      </c>
    </row>
    <row r="11316" spans="9:9" x14ac:dyDescent="0.2">
      <c r="I11316" s="137" t="s">
        <v>74</v>
      </c>
    </row>
    <row r="11317" spans="9:9" x14ac:dyDescent="0.2">
      <c r="I11317" s="137" t="s">
        <v>74</v>
      </c>
    </row>
    <row r="11318" spans="9:9" x14ac:dyDescent="0.2">
      <c r="I11318" s="137" t="s">
        <v>74</v>
      </c>
    </row>
    <row r="11319" spans="9:9" x14ac:dyDescent="0.2">
      <c r="I11319" s="137" t="s">
        <v>74</v>
      </c>
    </row>
    <row r="11320" spans="9:9" x14ac:dyDescent="0.2">
      <c r="I11320" s="137" t="s">
        <v>74</v>
      </c>
    </row>
    <row r="11321" spans="9:9" x14ac:dyDescent="0.2">
      <c r="I11321" s="137" t="s">
        <v>74</v>
      </c>
    </row>
    <row r="11322" spans="9:9" x14ac:dyDescent="0.2">
      <c r="I11322" s="137" t="s">
        <v>74</v>
      </c>
    </row>
    <row r="11323" spans="9:9" x14ac:dyDescent="0.2">
      <c r="I11323" s="137" t="s">
        <v>74</v>
      </c>
    </row>
    <row r="11324" spans="9:9" x14ac:dyDescent="0.2">
      <c r="I11324" s="137" t="s">
        <v>74</v>
      </c>
    </row>
    <row r="11325" spans="9:9" x14ac:dyDescent="0.2">
      <c r="I11325" s="137" t="s">
        <v>74</v>
      </c>
    </row>
    <row r="11326" spans="9:9" x14ac:dyDescent="0.2">
      <c r="I11326" s="137" t="s">
        <v>74</v>
      </c>
    </row>
    <row r="11327" spans="9:9" x14ac:dyDescent="0.2">
      <c r="I11327" s="137" t="s">
        <v>74</v>
      </c>
    </row>
    <row r="11328" spans="9:9" x14ac:dyDescent="0.2">
      <c r="I11328" s="137" t="s">
        <v>74</v>
      </c>
    </row>
    <row r="11329" spans="9:9" x14ac:dyDescent="0.2">
      <c r="I11329" s="137" t="s">
        <v>74</v>
      </c>
    </row>
    <row r="11330" spans="9:9" x14ac:dyDescent="0.2">
      <c r="I11330" s="137" t="s">
        <v>74</v>
      </c>
    </row>
    <row r="11331" spans="9:9" x14ac:dyDescent="0.2">
      <c r="I11331" s="137" t="s">
        <v>74</v>
      </c>
    </row>
    <row r="11332" spans="9:9" x14ac:dyDescent="0.2">
      <c r="I11332" s="137" t="s">
        <v>74</v>
      </c>
    </row>
    <row r="11333" spans="9:9" x14ac:dyDescent="0.2">
      <c r="I11333" s="137" t="s">
        <v>74</v>
      </c>
    </row>
    <row r="11334" spans="9:9" x14ac:dyDescent="0.2">
      <c r="I11334" s="137" t="s">
        <v>74</v>
      </c>
    </row>
    <row r="11335" spans="9:9" x14ac:dyDescent="0.2">
      <c r="I11335" s="137" t="s">
        <v>74</v>
      </c>
    </row>
    <row r="11336" spans="9:9" x14ac:dyDescent="0.2">
      <c r="I11336" s="137" t="s">
        <v>74</v>
      </c>
    </row>
    <row r="11337" spans="9:9" x14ac:dyDescent="0.2">
      <c r="I11337" s="137" t="s">
        <v>74</v>
      </c>
    </row>
    <row r="11338" spans="9:9" x14ac:dyDescent="0.2">
      <c r="I11338" s="137" t="s">
        <v>74</v>
      </c>
    </row>
    <row r="11339" spans="9:9" x14ac:dyDescent="0.2">
      <c r="I11339" s="137" t="s">
        <v>74</v>
      </c>
    </row>
    <row r="11340" spans="9:9" x14ac:dyDescent="0.2">
      <c r="I11340" s="137" t="s">
        <v>74</v>
      </c>
    </row>
    <row r="11341" spans="9:9" x14ac:dyDescent="0.2">
      <c r="I11341" s="137" t="s">
        <v>74</v>
      </c>
    </row>
    <row r="11342" spans="9:9" x14ac:dyDescent="0.2">
      <c r="I11342" s="137" t="s">
        <v>74</v>
      </c>
    </row>
    <row r="11343" spans="9:9" x14ac:dyDescent="0.2">
      <c r="I11343" s="137" t="s">
        <v>74</v>
      </c>
    </row>
    <row r="11344" spans="9:9" x14ac:dyDescent="0.2">
      <c r="I11344" s="137" t="s">
        <v>74</v>
      </c>
    </row>
    <row r="11345" spans="9:9" x14ac:dyDescent="0.2">
      <c r="I11345" s="137" t="s">
        <v>74</v>
      </c>
    </row>
    <row r="11346" spans="9:9" x14ac:dyDescent="0.2">
      <c r="I11346" s="137" t="s">
        <v>74</v>
      </c>
    </row>
    <row r="11347" spans="9:9" x14ac:dyDescent="0.2">
      <c r="I11347" s="137" t="s">
        <v>74</v>
      </c>
    </row>
    <row r="11348" spans="9:9" x14ac:dyDescent="0.2">
      <c r="I11348" s="137" t="s">
        <v>74</v>
      </c>
    </row>
    <row r="11349" spans="9:9" x14ac:dyDescent="0.2">
      <c r="I11349" s="137" t="s">
        <v>74</v>
      </c>
    </row>
    <row r="11350" spans="9:9" x14ac:dyDescent="0.2">
      <c r="I11350" s="137" t="s">
        <v>74</v>
      </c>
    </row>
    <row r="11351" spans="9:9" x14ac:dyDescent="0.2">
      <c r="I11351" s="137" t="s">
        <v>74</v>
      </c>
    </row>
    <row r="11352" spans="9:9" x14ac:dyDescent="0.2">
      <c r="I11352" s="137" t="s">
        <v>74</v>
      </c>
    </row>
    <row r="11353" spans="9:9" x14ac:dyDescent="0.2">
      <c r="I11353" s="137" t="s">
        <v>74</v>
      </c>
    </row>
    <row r="11354" spans="9:9" x14ac:dyDescent="0.2">
      <c r="I11354" s="137" t="s">
        <v>74</v>
      </c>
    </row>
    <row r="11355" spans="9:9" x14ac:dyDescent="0.2">
      <c r="I11355" s="137" t="s">
        <v>74</v>
      </c>
    </row>
    <row r="11356" spans="9:9" x14ac:dyDescent="0.2">
      <c r="I11356" s="137" t="s">
        <v>74</v>
      </c>
    </row>
    <row r="11357" spans="9:9" x14ac:dyDescent="0.2">
      <c r="I11357" s="137" t="s">
        <v>74</v>
      </c>
    </row>
    <row r="11358" spans="9:9" x14ac:dyDescent="0.2">
      <c r="I11358" s="137" t="s">
        <v>74</v>
      </c>
    </row>
    <row r="11359" spans="9:9" x14ac:dyDescent="0.2">
      <c r="I11359" s="137" t="s">
        <v>74</v>
      </c>
    </row>
    <row r="11360" spans="9:9" x14ac:dyDescent="0.2">
      <c r="I11360" s="137" t="s">
        <v>74</v>
      </c>
    </row>
    <row r="11361" spans="9:9" x14ac:dyDescent="0.2">
      <c r="I11361" s="137" t="s">
        <v>74</v>
      </c>
    </row>
    <row r="11362" spans="9:9" x14ac:dyDescent="0.2">
      <c r="I11362" s="137" t="s">
        <v>74</v>
      </c>
    </row>
    <row r="11363" spans="9:9" x14ac:dyDescent="0.2">
      <c r="I11363" s="137" t="s">
        <v>74</v>
      </c>
    </row>
    <row r="11364" spans="9:9" x14ac:dyDescent="0.2">
      <c r="I11364" s="137" t="s">
        <v>74</v>
      </c>
    </row>
    <row r="11365" spans="9:9" x14ac:dyDescent="0.2">
      <c r="I11365" s="137" t="s">
        <v>74</v>
      </c>
    </row>
    <row r="11366" spans="9:9" x14ac:dyDescent="0.2">
      <c r="I11366" s="137" t="s">
        <v>74</v>
      </c>
    </row>
    <row r="11367" spans="9:9" x14ac:dyDescent="0.2">
      <c r="I11367" s="137" t="s">
        <v>74</v>
      </c>
    </row>
    <row r="11368" spans="9:9" x14ac:dyDescent="0.2">
      <c r="I11368" s="137" t="s">
        <v>74</v>
      </c>
    </row>
    <row r="11369" spans="9:9" x14ac:dyDescent="0.2">
      <c r="I11369" s="137" t="s">
        <v>74</v>
      </c>
    </row>
    <row r="11370" spans="9:9" x14ac:dyDescent="0.2">
      <c r="I11370" s="137" t="s">
        <v>74</v>
      </c>
    </row>
    <row r="11371" spans="9:9" x14ac:dyDescent="0.2">
      <c r="I11371" s="137" t="s">
        <v>74</v>
      </c>
    </row>
    <row r="11372" spans="9:9" x14ac:dyDescent="0.2">
      <c r="I11372" s="137" t="s">
        <v>74</v>
      </c>
    </row>
    <row r="11373" spans="9:9" x14ac:dyDescent="0.2">
      <c r="I11373" s="137" t="s">
        <v>74</v>
      </c>
    </row>
    <row r="11374" spans="9:9" x14ac:dyDescent="0.2">
      <c r="I11374" s="137" t="s">
        <v>74</v>
      </c>
    </row>
    <row r="11375" spans="9:9" x14ac:dyDescent="0.2">
      <c r="I11375" s="137" t="s">
        <v>74</v>
      </c>
    </row>
    <row r="11376" spans="9:9" x14ac:dyDescent="0.2">
      <c r="I11376" s="137" t="s">
        <v>74</v>
      </c>
    </row>
    <row r="11377" spans="9:9" x14ac:dyDescent="0.2">
      <c r="I11377" s="137" t="s">
        <v>74</v>
      </c>
    </row>
    <row r="11378" spans="9:9" x14ac:dyDescent="0.2">
      <c r="I11378" s="137" t="s">
        <v>74</v>
      </c>
    </row>
    <row r="11379" spans="9:9" x14ac:dyDescent="0.2">
      <c r="I11379" s="137" t="s">
        <v>74</v>
      </c>
    </row>
    <row r="11380" spans="9:9" x14ac:dyDescent="0.2">
      <c r="I11380" s="137" t="s">
        <v>74</v>
      </c>
    </row>
    <row r="11381" spans="9:9" x14ac:dyDescent="0.2">
      <c r="I11381" s="137" t="s">
        <v>74</v>
      </c>
    </row>
    <row r="11382" spans="9:9" x14ac:dyDescent="0.2">
      <c r="I11382" s="137" t="s">
        <v>74</v>
      </c>
    </row>
    <row r="11383" spans="9:9" x14ac:dyDescent="0.2">
      <c r="I11383" s="137" t="s">
        <v>74</v>
      </c>
    </row>
    <row r="11384" spans="9:9" x14ac:dyDescent="0.2">
      <c r="I11384" s="137" t="s">
        <v>74</v>
      </c>
    </row>
    <row r="11385" spans="9:9" x14ac:dyDescent="0.2">
      <c r="I11385" s="137" t="s">
        <v>74</v>
      </c>
    </row>
    <row r="11386" spans="9:9" x14ac:dyDescent="0.2">
      <c r="I11386" s="137" t="s">
        <v>74</v>
      </c>
    </row>
    <row r="11387" spans="9:9" x14ac:dyDescent="0.2">
      <c r="I11387" s="137" t="s">
        <v>74</v>
      </c>
    </row>
    <row r="11388" spans="9:9" x14ac:dyDescent="0.2">
      <c r="I11388" s="137" t="s">
        <v>74</v>
      </c>
    </row>
    <row r="11389" spans="9:9" x14ac:dyDescent="0.2">
      <c r="I11389" s="137" t="s">
        <v>74</v>
      </c>
    </row>
    <row r="11390" spans="9:9" x14ac:dyDescent="0.2">
      <c r="I11390" s="137" t="s">
        <v>74</v>
      </c>
    </row>
    <row r="11391" spans="9:9" x14ac:dyDescent="0.2">
      <c r="I11391" s="137" t="s">
        <v>74</v>
      </c>
    </row>
    <row r="11392" spans="9:9" x14ac:dyDescent="0.2">
      <c r="I11392" s="137" t="s">
        <v>74</v>
      </c>
    </row>
    <row r="11393" spans="9:9" x14ac:dyDescent="0.2">
      <c r="I11393" s="137" t="s">
        <v>74</v>
      </c>
    </row>
    <row r="11394" spans="9:9" x14ac:dyDescent="0.2">
      <c r="I11394" s="137" t="s">
        <v>74</v>
      </c>
    </row>
    <row r="11395" spans="9:9" x14ac:dyDescent="0.2">
      <c r="I11395" s="137" t="s">
        <v>74</v>
      </c>
    </row>
    <row r="11396" spans="9:9" x14ac:dyDescent="0.2">
      <c r="I11396" s="137" t="s">
        <v>74</v>
      </c>
    </row>
    <row r="11397" spans="9:9" x14ac:dyDescent="0.2">
      <c r="I11397" s="137" t="s">
        <v>74</v>
      </c>
    </row>
    <row r="11398" spans="9:9" x14ac:dyDescent="0.2">
      <c r="I11398" s="137" t="s">
        <v>74</v>
      </c>
    </row>
    <row r="11399" spans="9:9" x14ac:dyDescent="0.2">
      <c r="I11399" s="137" t="s">
        <v>74</v>
      </c>
    </row>
    <row r="11400" spans="9:9" x14ac:dyDescent="0.2">
      <c r="I11400" s="137" t="s">
        <v>74</v>
      </c>
    </row>
    <row r="11401" spans="9:9" x14ac:dyDescent="0.2">
      <c r="I11401" s="137" t="s">
        <v>74</v>
      </c>
    </row>
    <row r="11402" spans="9:9" x14ac:dyDescent="0.2">
      <c r="I11402" s="137" t="s">
        <v>74</v>
      </c>
    </row>
    <row r="11403" spans="9:9" x14ac:dyDescent="0.2">
      <c r="I11403" s="137" t="s">
        <v>74</v>
      </c>
    </row>
    <row r="11404" spans="9:9" x14ac:dyDescent="0.2">
      <c r="I11404" s="137" t="s">
        <v>74</v>
      </c>
    </row>
    <row r="11405" spans="9:9" x14ac:dyDescent="0.2">
      <c r="I11405" s="137" t="s">
        <v>74</v>
      </c>
    </row>
    <row r="11406" spans="9:9" x14ac:dyDescent="0.2">
      <c r="I11406" s="137" t="s">
        <v>74</v>
      </c>
    </row>
    <row r="11407" spans="9:9" x14ac:dyDescent="0.2">
      <c r="I11407" s="137" t="s">
        <v>74</v>
      </c>
    </row>
    <row r="11408" spans="9:9" x14ac:dyDescent="0.2">
      <c r="I11408" s="137" t="s">
        <v>74</v>
      </c>
    </row>
    <row r="11409" spans="9:9" x14ac:dyDescent="0.2">
      <c r="I11409" s="137" t="s">
        <v>74</v>
      </c>
    </row>
    <row r="11410" spans="9:9" x14ac:dyDescent="0.2">
      <c r="I11410" s="137" t="s">
        <v>74</v>
      </c>
    </row>
    <row r="11411" spans="9:9" x14ac:dyDescent="0.2">
      <c r="I11411" s="137" t="s">
        <v>74</v>
      </c>
    </row>
    <row r="11412" spans="9:9" x14ac:dyDescent="0.2">
      <c r="I11412" s="137" t="s">
        <v>74</v>
      </c>
    </row>
    <row r="11413" spans="9:9" x14ac:dyDescent="0.2">
      <c r="I11413" s="137" t="s">
        <v>74</v>
      </c>
    </row>
    <row r="11414" spans="9:9" x14ac:dyDescent="0.2">
      <c r="I11414" s="137" t="s">
        <v>74</v>
      </c>
    </row>
    <row r="11415" spans="9:9" x14ac:dyDescent="0.2">
      <c r="I11415" s="137" t="s">
        <v>74</v>
      </c>
    </row>
    <row r="11416" spans="9:9" x14ac:dyDescent="0.2">
      <c r="I11416" s="137" t="s">
        <v>74</v>
      </c>
    </row>
    <row r="11417" spans="9:9" x14ac:dyDescent="0.2">
      <c r="I11417" s="137" t="s">
        <v>74</v>
      </c>
    </row>
    <row r="11418" spans="9:9" x14ac:dyDescent="0.2">
      <c r="I11418" s="137" t="s">
        <v>74</v>
      </c>
    </row>
    <row r="11419" spans="9:9" x14ac:dyDescent="0.2">
      <c r="I11419" s="137" t="s">
        <v>74</v>
      </c>
    </row>
    <row r="11420" spans="9:9" x14ac:dyDescent="0.2">
      <c r="I11420" s="137" t="s">
        <v>74</v>
      </c>
    </row>
    <row r="11421" spans="9:9" x14ac:dyDescent="0.2">
      <c r="I11421" s="137" t="s">
        <v>74</v>
      </c>
    </row>
    <row r="11422" spans="9:9" x14ac:dyDescent="0.2">
      <c r="I11422" s="137" t="s">
        <v>74</v>
      </c>
    </row>
    <row r="11423" spans="9:9" x14ac:dyDescent="0.2">
      <c r="I11423" s="137" t="s">
        <v>74</v>
      </c>
    </row>
    <row r="11424" spans="9:9" x14ac:dyDescent="0.2">
      <c r="I11424" s="137" t="s">
        <v>74</v>
      </c>
    </row>
    <row r="11425" spans="9:9" x14ac:dyDescent="0.2">
      <c r="I11425" s="137" t="s">
        <v>74</v>
      </c>
    </row>
    <row r="11426" spans="9:9" x14ac:dyDescent="0.2">
      <c r="I11426" s="137" t="s">
        <v>74</v>
      </c>
    </row>
    <row r="11427" spans="9:9" x14ac:dyDescent="0.2">
      <c r="I11427" s="137" t="s">
        <v>74</v>
      </c>
    </row>
    <row r="11428" spans="9:9" x14ac:dyDescent="0.2">
      <c r="I11428" s="137" t="s">
        <v>74</v>
      </c>
    </row>
    <row r="11429" spans="9:9" x14ac:dyDescent="0.2">
      <c r="I11429" s="137" t="s">
        <v>74</v>
      </c>
    </row>
    <row r="11430" spans="9:9" x14ac:dyDescent="0.2">
      <c r="I11430" s="137" t="s">
        <v>74</v>
      </c>
    </row>
    <row r="11431" spans="9:9" x14ac:dyDescent="0.2">
      <c r="I11431" s="137" t="s">
        <v>74</v>
      </c>
    </row>
    <row r="11432" spans="9:9" x14ac:dyDescent="0.2">
      <c r="I11432" s="137" t="s">
        <v>74</v>
      </c>
    </row>
    <row r="11433" spans="9:9" x14ac:dyDescent="0.2">
      <c r="I11433" s="137" t="s">
        <v>74</v>
      </c>
    </row>
    <row r="11434" spans="9:9" x14ac:dyDescent="0.2">
      <c r="I11434" s="137" t="s">
        <v>74</v>
      </c>
    </row>
    <row r="11435" spans="9:9" x14ac:dyDescent="0.2">
      <c r="I11435" s="137" t="s">
        <v>74</v>
      </c>
    </row>
    <row r="11436" spans="9:9" x14ac:dyDescent="0.2">
      <c r="I11436" s="137" t="s">
        <v>74</v>
      </c>
    </row>
    <row r="11437" spans="9:9" x14ac:dyDescent="0.2">
      <c r="I11437" s="137" t="s">
        <v>74</v>
      </c>
    </row>
    <row r="11438" spans="9:9" x14ac:dyDescent="0.2">
      <c r="I11438" s="137" t="s">
        <v>74</v>
      </c>
    </row>
    <row r="11439" spans="9:9" x14ac:dyDescent="0.2">
      <c r="I11439" s="137" t="s">
        <v>74</v>
      </c>
    </row>
    <row r="11440" spans="9:9" x14ac:dyDescent="0.2">
      <c r="I11440" s="137" t="s">
        <v>74</v>
      </c>
    </row>
    <row r="11441" spans="9:9" x14ac:dyDescent="0.2">
      <c r="I11441" s="137" t="s">
        <v>74</v>
      </c>
    </row>
    <row r="11442" spans="9:9" x14ac:dyDescent="0.2">
      <c r="I11442" s="137" t="s">
        <v>74</v>
      </c>
    </row>
    <row r="11443" spans="9:9" x14ac:dyDescent="0.2">
      <c r="I11443" s="137" t="s">
        <v>74</v>
      </c>
    </row>
    <row r="11444" spans="9:9" x14ac:dyDescent="0.2">
      <c r="I11444" s="137" t="s">
        <v>74</v>
      </c>
    </row>
    <row r="11445" spans="9:9" x14ac:dyDescent="0.2">
      <c r="I11445" s="137" t="s">
        <v>74</v>
      </c>
    </row>
    <row r="11446" spans="9:9" x14ac:dyDescent="0.2">
      <c r="I11446" s="137" t="s">
        <v>74</v>
      </c>
    </row>
    <row r="11447" spans="9:9" x14ac:dyDescent="0.2">
      <c r="I11447" s="137" t="s">
        <v>74</v>
      </c>
    </row>
    <row r="11448" spans="9:9" x14ac:dyDescent="0.2">
      <c r="I11448" s="137" t="s">
        <v>74</v>
      </c>
    </row>
    <row r="11449" spans="9:9" x14ac:dyDescent="0.2">
      <c r="I11449" s="137" t="s">
        <v>74</v>
      </c>
    </row>
    <row r="11450" spans="9:9" x14ac:dyDescent="0.2">
      <c r="I11450" s="137" t="s">
        <v>74</v>
      </c>
    </row>
    <row r="11451" spans="9:9" x14ac:dyDescent="0.2">
      <c r="I11451" s="137" t="s">
        <v>74</v>
      </c>
    </row>
    <row r="11452" spans="9:9" x14ac:dyDescent="0.2">
      <c r="I11452" s="137" t="s">
        <v>74</v>
      </c>
    </row>
    <row r="11453" spans="9:9" x14ac:dyDescent="0.2">
      <c r="I11453" s="137" t="s">
        <v>74</v>
      </c>
    </row>
    <row r="11454" spans="9:9" x14ac:dyDescent="0.2">
      <c r="I11454" s="137" t="s">
        <v>74</v>
      </c>
    </row>
    <row r="11455" spans="9:9" x14ac:dyDescent="0.2">
      <c r="I11455" s="137" t="s">
        <v>74</v>
      </c>
    </row>
    <row r="11456" spans="9:9" x14ac:dyDescent="0.2">
      <c r="I11456" s="137" t="s">
        <v>74</v>
      </c>
    </row>
    <row r="11457" spans="9:9" x14ac:dyDescent="0.2">
      <c r="I11457" s="137" t="s">
        <v>74</v>
      </c>
    </row>
    <row r="11458" spans="9:9" x14ac:dyDescent="0.2">
      <c r="I11458" s="137" t="s">
        <v>74</v>
      </c>
    </row>
    <row r="11459" spans="9:9" x14ac:dyDescent="0.2">
      <c r="I11459" s="137" t="s">
        <v>74</v>
      </c>
    </row>
    <row r="11460" spans="9:9" x14ac:dyDescent="0.2">
      <c r="I11460" s="137" t="s">
        <v>74</v>
      </c>
    </row>
    <row r="11461" spans="9:9" x14ac:dyDescent="0.2">
      <c r="I11461" s="137" t="s">
        <v>74</v>
      </c>
    </row>
    <row r="11462" spans="9:9" x14ac:dyDescent="0.2">
      <c r="I11462" s="137" t="s">
        <v>74</v>
      </c>
    </row>
    <row r="11463" spans="9:9" x14ac:dyDescent="0.2">
      <c r="I11463" s="137" t="s">
        <v>74</v>
      </c>
    </row>
    <row r="11464" spans="9:9" x14ac:dyDescent="0.2">
      <c r="I11464" s="137" t="s">
        <v>74</v>
      </c>
    </row>
    <row r="11465" spans="9:9" x14ac:dyDescent="0.2">
      <c r="I11465" s="137" t="s">
        <v>74</v>
      </c>
    </row>
    <row r="11466" spans="9:9" x14ac:dyDescent="0.2">
      <c r="I11466" s="137" t="s">
        <v>74</v>
      </c>
    </row>
    <row r="11467" spans="9:9" x14ac:dyDescent="0.2">
      <c r="I11467" s="137" t="s">
        <v>74</v>
      </c>
    </row>
    <row r="11468" spans="9:9" x14ac:dyDescent="0.2">
      <c r="I11468" s="137" t="s">
        <v>74</v>
      </c>
    </row>
    <row r="11469" spans="9:9" x14ac:dyDescent="0.2">
      <c r="I11469" s="137" t="s">
        <v>74</v>
      </c>
    </row>
    <row r="11470" spans="9:9" x14ac:dyDescent="0.2">
      <c r="I11470" s="137" t="s">
        <v>74</v>
      </c>
    </row>
    <row r="11471" spans="9:9" x14ac:dyDescent="0.2">
      <c r="I11471" s="137" t="s">
        <v>74</v>
      </c>
    </row>
    <row r="11472" spans="9:9" x14ac:dyDescent="0.2">
      <c r="I11472" s="137" t="s">
        <v>74</v>
      </c>
    </row>
    <row r="11473" spans="9:9" x14ac:dyDescent="0.2">
      <c r="I11473" s="137" t="s">
        <v>74</v>
      </c>
    </row>
    <row r="11474" spans="9:9" x14ac:dyDescent="0.2">
      <c r="I11474" s="137" t="s">
        <v>74</v>
      </c>
    </row>
    <row r="11475" spans="9:9" x14ac:dyDescent="0.2">
      <c r="I11475" s="137" t="s">
        <v>74</v>
      </c>
    </row>
    <row r="11476" spans="9:9" x14ac:dyDescent="0.2">
      <c r="I11476" s="137" t="s">
        <v>74</v>
      </c>
    </row>
    <row r="11477" spans="9:9" x14ac:dyDescent="0.2">
      <c r="I11477" s="137" t="s">
        <v>74</v>
      </c>
    </row>
    <row r="11478" spans="9:9" x14ac:dyDescent="0.2">
      <c r="I11478" s="137" t="s">
        <v>74</v>
      </c>
    </row>
    <row r="11479" spans="9:9" x14ac:dyDescent="0.2">
      <c r="I11479" s="137" t="s">
        <v>74</v>
      </c>
    </row>
    <row r="11480" spans="9:9" x14ac:dyDescent="0.2">
      <c r="I11480" s="137" t="s">
        <v>74</v>
      </c>
    </row>
    <row r="11481" spans="9:9" x14ac:dyDescent="0.2">
      <c r="I11481" s="137" t="s">
        <v>74</v>
      </c>
    </row>
    <row r="11482" spans="9:9" x14ac:dyDescent="0.2">
      <c r="I11482" s="137" t="s">
        <v>74</v>
      </c>
    </row>
    <row r="11483" spans="9:9" x14ac:dyDescent="0.2">
      <c r="I11483" s="137" t="s">
        <v>74</v>
      </c>
    </row>
    <row r="11484" spans="9:9" x14ac:dyDescent="0.2">
      <c r="I11484" s="137" t="s">
        <v>74</v>
      </c>
    </row>
    <row r="11485" spans="9:9" x14ac:dyDescent="0.2">
      <c r="I11485" s="137" t="s">
        <v>74</v>
      </c>
    </row>
    <row r="11486" spans="9:9" x14ac:dyDescent="0.2">
      <c r="I11486" s="137" t="s">
        <v>74</v>
      </c>
    </row>
    <row r="11487" spans="9:9" x14ac:dyDescent="0.2">
      <c r="I11487" s="137" t="s">
        <v>74</v>
      </c>
    </row>
    <row r="11488" spans="9:9" x14ac:dyDescent="0.2">
      <c r="I11488" s="137" t="s">
        <v>74</v>
      </c>
    </row>
    <row r="11489" spans="9:9" x14ac:dyDescent="0.2">
      <c r="I11489" s="137" t="s">
        <v>74</v>
      </c>
    </row>
    <row r="11490" spans="9:9" x14ac:dyDescent="0.2">
      <c r="I11490" s="137" t="s">
        <v>74</v>
      </c>
    </row>
    <row r="11491" spans="9:9" x14ac:dyDescent="0.2">
      <c r="I11491" s="137" t="s">
        <v>74</v>
      </c>
    </row>
    <row r="11492" spans="9:9" x14ac:dyDescent="0.2">
      <c r="I11492" s="137" t="s">
        <v>74</v>
      </c>
    </row>
    <row r="11493" spans="9:9" x14ac:dyDescent="0.2">
      <c r="I11493" s="137" t="s">
        <v>74</v>
      </c>
    </row>
    <row r="11494" spans="9:9" x14ac:dyDescent="0.2">
      <c r="I11494" s="137" t="s">
        <v>74</v>
      </c>
    </row>
    <row r="11495" spans="9:9" x14ac:dyDescent="0.2">
      <c r="I11495" s="137" t="s">
        <v>74</v>
      </c>
    </row>
    <row r="11496" spans="9:9" x14ac:dyDescent="0.2">
      <c r="I11496" s="137" t="s">
        <v>74</v>
      </c>
    </row>
    <row r="11497" spans="9:9" x14ac:dyDescent="0.2">
      <c r="I11497" s="137" t="s">
        <v>74</v>
      </c>
    </row>
    <row r="11498" spans="9:9" x14ac:dyDescent="0.2">
      <c r="I11498" s="137" t="s">
        <v>74</v>
      </c>
    </row>
    <row r="11499" spans="9:9" x14ac:dyDescent="0.2">
      <c r="I11499" s="137" t="s">
        <v>74</v>
      </c>
    </row>
    <row r="11500" spans="9:9" x14ac:dyDescent="0.2">
      <c r="I11500" s="137" t="s">
        <v>74</v>
      </c>
    </row>
    <row r="11501" spans="9:9" x14ac:dyDescent="0.2">
      <c r="I11501" s="137" t="s">
        <v>74</v>
      </c>
    </row>
    <row r="11502" spans="9:9" x14ac:dyDescent="0.2">
      <c r="I11502" s="137" t="s">
        <v>74</v>
      </c>
    </row>
    <row r="11503" spans="9:9" x14ac:dyDescent="0.2">
      <c r="I11503" s="137" t="s">
        <v>74</v>
      </c>
    </row>
    <row r="11504" spans="9:9" x14ac:dyDescent="0.2">
      <c r="I11504" s="137" t="s">
        <v>74</v>
      </c>
    </row>
    <row r="11505" spans="9:9" x14ac:dyDescent="0.2">
      <c r="I11505" s="137" t="s">
        <v>74</v>
      </c>
    </row>
    <row r="11506" spans="9:9" x14ac:dyDescent="0.2">
      <c r="I11506" s="137" t="s">
        <v>74</v>
      </c>
    </row>
    <row r="11507" spans="9:9" x14ac:dyDescent="0.2">
      <c r="I11507" s="137" t="s">
        <v>74</v>
      </c>
    </row>
    <row r="11508" spans="9:9" x14ac:dyDescent="0.2">
      <c r="I11508" s="137" t="s">
        <v>74</v>
      </c>
    </row>
    <row r="11509" spans="9:9" x14ac:dyDescent="0.2">
      <c r="I11509" s="137" t="s">
        <v>74</v>
      </c>
    </row>
    <row r="11510" spans="9:9" x14ac:dyDescent="0.2">
      <c r="I11510" s="137" t="s">
        <v>74</v>
      </c>
    </row>
    <row r="11511" spans="9:9" x14ac:dyDescent="0.2">
      <c r="I11511" s="137" t="s">
        <v>74</v>
      </c>
    </row>
    <row r="11512" spans="9:9" x14ac:dyDescent="0.2">
      <c r="I11512" s="137" t="s">
        <v>74</v>
      </c>
    </row>
    <row r="11513" spans="9:9" x14ac:dyDescent="0.2">
      <c r="I11513" s="137" t="s">
        <v>74</v>
      </c>
    </row>
    <row r="11514" spans="9:9" x14ac:dyDescent="0.2">
      <c r="I11514" s="137" t="s">
        <v>74</v>
      </c>
    </row>
    <row r="11515" spans="9:9" x14ac:dyDescent="0.2">
      <c r="I11515" s="137" t="s">
        <v>74</v>
      </c>
    </row>
    <row r="11516" spans="9:9" x14ac:dyDescent="0.2">
      <c r="I11516" s="137" t="s">
        <v>74</v>
      </c>
    </row>
    <row r="11517" spans="9:9" x14ac:dyDescent="0.2">
      <c r="I11517" s="137" t="s">
        <v>74</v>
      </c>
    </row>
    <row r="11518" spans="9:9" x14ac:dyDescent="0.2">
      <c r="I11518" s="137" t="s">
        <v>74</v>
      </c>
    </row>
    <row r="11519" spans="9:9" x14ac:dyDescent="0.2">
      <c r="I11519" s="137" t="s">
        <v>74</v>
      </c>
    </row>
    <row r="11520" spans="9:9" x14ac:dyDescent="0.2">
      <c r="I11520" s="137" t="s">
        <v>74</v>
      </c>
    </row>
    <row r="11521" spans="9:9" x14ac:dyDescent="0.2">
      <c r="I11521" s="137" t="s">
        <v>74</v>
      </c>
    </row>
    <row r="11522" spans="9:9" x14ac:dyDescent="0.2">
      <c r="I11522" s="137" t="s">
        <v>74</v>
      </c>
    </row>
    <row r="11523" spans="9:9" x14ac:dyDescent="0.2">
      <c r="I11523" s="137" t="s">
        <v>74</v>
      </c>
    </row>
    <row r="11524" spans="9:9" x14ac:dyDescent="0.2">
      <c r="I11524" s="137" t="s">
        <v>74</v>
      </c>
    </row>
    <row r="11525" spans="9:9" x14ac:dyDescent="0.2">
      <c r="I11525" s="137" t="s">
        <v>74</v>
      </c>
    </row>
    <row r="11526" spans="9:9" x14ac:dyDescent="0.2">
      <c r="I11526" s="137" t="s">
        <v>74</v>
      </c>
    </row>
    <row r="11527" spans="9:9" x14ac:dyDescent="0.2">
      <c r="I11527" s="137" t="s">
        <v>74</v>
      </c>
    </row>
    <row r="11528" spans="9:9" x14ac:dyDescent="0.2">
      <c r="I11528" s="137" t="s">
        <v>74</v>
      </c>
    </row>
    <row r="11529" spans="9:9" x14ac:dyDescent="0.2">
      <c r="I11529" s="137" t="s">
        <v>74</v>
      </c>
    </row>
    <row r="11530" spans="9:9" x14ac:dyDescent="0.2">
      <c r="I11530" s="137" t="s">
        <v>74</v>
      </c>
    </row>
    <row r="11531" spans="9:9" x14ac:dyDescent="0.2">
      <c r="I11531" s="137" t="s">
        <v>74</v>
      </c>
    </row>
    <row r="11532" spans="9:9" x14ac:dyDescent="0.2">
      <c r="I11532" s="137" t="s">
        <v>74</v>
      </c>
    </row>
    <row r="11533" spans="9:9" x14ac:dyDescent="0.2">
      <c r="I11533" s="137" t="s">
        <v>74</v>
      </c>
    </row>
    <row r="11534" spans="9:9" x14ac:dyDescent="0.2">
      <c r="I11534" s="137" t="s">
        <v>74</v>
      </c>
    </row>
    <row r="11535" spans="9:9" x14ac:dyDescent="0.2">
      <c r="I11535" s="137" t="s">
        <v>74</v>
      </c>
    </row>
    <row r="11536" spans="9:9" x14ac:dyDescent="0.2">
      <c r="I11536" s="137" t="s">
        <v>74</v>
      </c>
    </row>
    <row r="11537" spans="9:9" x14ac:dyDescent="0.2">
      <c r="I11537" s="137" t="s">
        <v>74</v>
      </c>
    </row>
    <row r="11538" spans="9:9" x14ac:dyDescent="0.2">
      <c r="I11538" s="137" t="s">
        <v>74</v>
      </c>
    </row>
    <row r="11539" spans="9:9" x14ac:dyDescent="0.2">
      <c r="I11539" s="137" t="s">
        <v>74</v>
      </c>
    </row>
    <row r="11540" spans="9:9" x14ac:dyDescent="0.2">
      <c r="I11540" s="137" t="s">
        <v>74</v>
      </c>
    </row>
    <row r="11541" spans="9:9" x14ac:dyDescent="0.2">
      <c r="I11541" s="137" t="s">
        <v>74</v>
      </c>
    </row>
    <row r="11542" spans="9:9" x14ac:dyDescent="0.2">
      <c r="I11542" s="137" t="s">
        <v>74</v>
      </c>
    </row>
    <row r="11543" spans="9:9" x14ac:dyDescent="0.2">
      <c r="I11543" s="137" t="s">
        <v>74</v>
      </c>
    </row>
    <row r="11544" spans="9:9" x14ac:dyDescent="0.2">
      <c r="I11544" s="137" t="s">
        <v>74</v>
      </c>
    </row>
    <row r="11545" spans="9:9" x14ac:dyDescent="0.2">
      <c r="I11545" s="137" t="s">
        <v>74</v>
      </c>
    </row>
    <row r="11546" spans="9:9" x14ac:dyDescent="0.2">
      <c r="I11546" s="137" t="s">
        <v>74</v>
      </c>
    </row>
    <row r="11547" spans="9:9" x14ac:dyDescent="0.2">
      <c r="I11547" s="137" t="s">
        <v>74</v>
      </c>
    </row>
    <row r="11548" spans="9:9" x14ac:dyDescent="0.2">
      <c r="I11548" s="137" t="s">
        <v>74</v>
      </c>
    </row>
    <row r="11549" spans="9:9" x14ac:dyDescent="0.2">
      <c r="I11549" s="137" t="s">
        <v>74</v>
      </c>
    </row>
    <row r="11550" spans="9:9" x14ac:dyDescent="0.2">
      <c r="I11550" s="137" t="s">
        <v>74</v>
      </c>
    </row>
    <row r="11551" spans="9:9" x14ac:dyDescent="0.2">
      <c r="I11551" s="137" t="s">
        <v>74</v>
      </c>
    </row>
    <row r="11552" spans="9:9" x14ac:dyDescent="0.2">
      <c r="I11552" s="137" t="s">
        <v>74</v>
      </c>
    </row>
    <row r="11553" spans="9:9" x14ac:dyDescent="0.2">
      <c r="I11553" s="137" t="s">
        <v>74</v>
      </c>
    </row>
    <row r="11554" spans="9:9" x14ac:dyDescent="0.2">
      <c r="I11554" s="137" t="s">
        <v>74</v>
      </c>
    </row>
    <row r="11555" spans="9:9" x14ac:dyDescent="0.2">
      <c r="I11555" s="137" t="s">
        <v>74</v>
      </c>
    </row>
    <row r="11556" spans="9:9" x14ac:dyDescent="0.2">
      <c r="I11556" s="137" t="s">
        <v>74</v>
      </c>
    </row>
    <row r="11557" spans="9:9" x14ac:dyDescent="0.2">
      <c r="I11557" s="137" t="s">
        <v>74</v>
      </c>
    </row>
    <row r="11558" spans="9:9" x14ac:dyDescent="0.2">
      <c r="I11558" s="137" t="s">
        <v>74</v>
      </c>
    </row>
    <row r="11559" spans="9:9" x14ac:dyDescent="0.2">
      <c r="I11559" s="137" t="s">
        <v>74</v>
      </c>
    </row>
    <row r="11560" spans="9:9" x14ac:dyDescent="0.2">
      <c r="I11560" s="137" t="s">
        <v>74</v>
      </c>
    </row>
    <row r="11561" spans="9:9" x14ac:dyDescent="0.2">
      <c r="I11561" s="137" t="s">
        <v>74</v>
      </c>
    </row>
    <row r="11562" spans="9:9" x14ac:dyDescent="0.2">
      <c r="I11562" s="137" t="s">
        <v>74</v>
      </c>
    </row>
    <row r="11563" spans="9:9" x14ac:dyDescent="0.2">
      <c r="I11563" s="137" t="s">
        <v>74</v>
      </c>
    </row>
    <row r="11564" spans="9:9" x14ac:dyDescent="0.2">
      <c r="I11564" s="137" t="s">
        <v>74</v>
      </c>
    </row>
    <row r="11565" spans="9:9" x14ac:dyDescent="0.2">
      <c r="I11565" s="137" t="s">
        <v>74</v>
      </c>
    </row>
    <row r="11566" spans="9:9" x14ac:dyDescent="0.2">
      <c r="I11566" s="137" t="s">
        <v>74</v>
      </c>
    </row>
    <row r="11567" spans="9:9" x14ac:dyDescent="0.2">
      <c r="I11567" s="137" t="s">
        <v>74</v>
      </c>
    </row>
    <row r="11568" spans="9:9" x14ac:dyDescent="0.2">
      <c r="I11568" s="137" t="s">
        <v>74</v>
      </c>
    </row>
    <row r="11569" spans="9:9" x14ac:dyDescent="0.2">
      <c r="I11569" s="137" t="s">
        <v>74</v>
      </c>
    </row>
    <row r="11570" spans="9:9" x14ac:dyDescent="0.2">
      <c r="I11570" s="137" t="s">
        <v>74</v>
      </c>
    </row>
    <row r="11571" spans="9:9" x14ac:dyDescent="0.2">
      <c r="I11571" s="137" t="s">
        <v>74</v>
      </c>
    </row>
    <row r="11572" spans="9:9" x14ac:dyDescent="0.2">
      <c r="I11572" s="137" t="s">
        <v>74</v>
      </c>
    </row>
    <row r="11573" spans="9:9" x14ac:dyDescent="0.2">
      <c r="I11573" s="137" t="s">
        <v>74</v>
      </c>
    </row>
    <row r="11574" spans="9:9" x14ac:dyDescent="0.2">
      <c r="I11574" s="137" t="s">
        <v>74</v>
      </c>
    </row>
    <row r="11575" spans="9:9" x14ac:dyDescent="0.2">
      <c r="I11575" s="137" t="s">
        <v>74</v>
      </c>
    </row>
    <row r="11576" spans="9:9" x14ac:dyDescent="0.2">
      <c r="I11576" s="137" t="s">
        <v>74</v>
      </c>
    </row>
    <row r="11577" spans="9:9" x14ac:dyDescent="0.2">
      <c r="I11577" s="137" t="s">
        <v>74</v>
      </c>
    </row>
    <row r="11578" spans="9:9" x14ac:dyDescent="0.2">
      <c r="I11578" s="137" t="s">
        <v>74</v>
      </c>
    </row>
    <row r="11579" spans="9:9" x14ac:dyDescent="0.2">
      <c r="I11579" s="137" t="s">
        <v>74</v>
      </c>
    </row>
    <row r="11580" spans="9:9" x14ac:dyDescent="0.2">
      <c r="I11580" s="137" t="s">
        <v>74</v>
      </c>
    </row>
    <row r="11581" spans="9:9" x14ac:dyDescent="0.2">
      <c r="I11581" s="137" t="s">
        <v>74</v>
      </c>
    </row>
    <row r="11582" spans="9:9" x14ac:dyDescent="0.2">
      <c r="I11582" s="137" t="s">
        <v>74</v>
      </c>
    </row>
    <row r="11583" spans="9:9" x14ac:dyDescent="0.2">
      <c r="I11583" s="137" t="s">
        <v>74</v>
      </c>
    </row>
    <row r="11584" spans="9:9" x14ac:dyDescent="0.2">
      <c r="I11584" s="137" t="s">
        <v>74</v>
      </c>
    </row>
    <row r="11585" spans="9:9" x14ac:dyDescent="0.2">
      <c r="I11585" s="137" t="s">
        <v>74</v>
      </c>
    </row>
    <row r="11586" spans="9:9" x14ac:dyDescent="0.2">
      <c r="I11586" s="137" t="s">
        <v>74</v>
      </c>
    </row>
    <row r="11587" spans="9:9" x14ac:dyDescent="0.2">
      <c r="I11587" s="137" t="s">
        <v>74</v>
      </c>
    </row>
    <row r="11588" spans="9:9" x14ac:dyDescent="0.2">
      <c r="I11588" s="137" t="s">
        <v>74</v>
      </c>
    </row>
    <row r="11589" spans="9:9" x14ac:dyDescent="0.2">
      <c r="I11589" s="137" t="s">
        <v>74</v>
      </c>
    </row>
    <row r="11590" spans="9:9" x14ac:dyDescent="0.2">
      <c r="I11590" s="137" t="s">
        <v>74</v>
      </c>
    </row>
    <row r="11591" spans="9:9" x14ac:dyDescent="0.2">
      <c r="I11591" s="137" t="s">
        <v>74</v>
      </c>
    </row>
    <row r="11592" spans="9:9" x14ac:dyDescent="0.2">
      <c r="I11592" s="137" t="s">
        <v>74</v>
      </c>
    </row>
    <row r="11593" spans="9:9" x14ac:dyDescent="0.2">
      <c r="I11593" s="137" t="s">
        <v>74</v>
      </c>
    </row>
    <row r="11594" spans="9:9" x14ac:dyDescent="0.2">
      <c r="I11594" s="137" t="s">
        <v>74</v>
      </c>
    </row>
    <row r="11595" spans="9:9" x14ac:dyDescent="0.2">
      <c r="I11595" s="137" t="s">
        <v>74</v>
      </c>
    </row>
    <row r="11596" spans="9:9" x14ac:dyDescent="0.2">
      <c r="I11596" s="137" t="s">
        <v>74</v>
      </c>
    </row>
    <row r="11597" spans="9:9" x14ac:dyDescent="0.2">
      <c r="I11597" s="137" t="s">
        <v>74</v>
      </c>
    </row>
    <row r="11598" spans="9:9" x14ac:dyDescent="0.2">
      <c r="I11598" s="137" t="s">
        <v>74</v>
      </c>
    </row>
    <row r="11599" spans="9:9" x14ac:dyDescent="0.2">
      <c r="I11599" s="137" t="s">
        <v>74</v>
      </c>
    </row>
    <row r="11600" spans="9:9" x14ac:dyDescent="0.2">
      <c r="I11600" s="137" t="s">
        <v>74</v>
      </c>
    </row>
    <row r="11601" spans="9:9" x14ac:dyDescent="0.2">
      <c r="I11601" s="137" t="s">
        <v>74</v>
      </c>
    </row>
    <row r="11602" spans="9:9" x14ac:dyDescent="0.2">
      <c r="I11602" s="137" t="s">
        <v>74</v>
      </c>
    </row>
    <row r="11603" spans="9:9" x14ac:dyDescent="0.2">
      <c r="I11603" s="137" t="s">
        <v>74</v>
      </c>
    </row>
    <row r="11604" spans="9:9" x14ac:dyDescent="0.2">
      <c r="I11604" s="137" t="s">
        <v>74</v>
      </c>
    </row>
    <row r="11605" spans="9:9" x14ac:dyDescent="0.2">
      <c r="I11605" s="137" t="s">
        <v>74</v>
      </c>
    </row>
    <row r="11606" spans="9:9" x14ac:dyDescent="0.2">
      <c r="I11606" s="137" t="s">
        <v>74</v>
      </c>
    </row>
    <row r="11607" spans="9:9" x14ac:dyDescent="0.2">
      <c r="I11607" s="137" t="s">
        <v>74</v>
      </c>
    </row>
    <row r="11608" spans="9:9" x14ac:dyDescent="0.2">
      <c r="I11608" s="137" t="s">
        <v>74</v>
      </c>
    </row>
    <row r="11609" spans="9:9" x14ac:dyDescent="0.2">
      <c r="I11609" s="137" t="s">
        <v>74</v>
      </c>
    </row>
    <row r="11610" spans="9:9" x14ac:dyDescent="0.2">
      <c r="I11610" s="137" t="s">
        <v>74</v>
      </c>
    </row>
    <row r="11611" spans="9:9" x14ac:dyDescent="0.2">
      <c r="I11611" s="137" t="s">
        <v>74</v>
      </c>
    </row>
    <row r="11612" spans="9:9" x14ac:dyDescent="0.2">
      <c r="I11612" s="137" t="s">
        <v>74</v>
      </c>
    </row>
    <row r="11613" spans="9:9" x14ac:dyDescent="0.2">
      <c r="I11613" s="137" t="s">
        <v>74</v>
      </c>
    </row>
    <row r="11614" spans="9:9" x14ac:dyDescent="0.2">
      <c r="I11614" s="137" t="s">
        <v>74</v>
      </c>
    </row>
    <row r="11615" spans="9:9" x14ac:dyDescent="0.2">
      <c r="I11615" s="137" t="s">
        <v>74</v>
      </c>
    </row>
    <row r="11616" spans="9:9" x14ac:dyDescent="0.2">
      <c r="I11616" s="137" t="s">
        <v>74</v>
      </c>
    </row>
    <row r="11617" spans="9:9" x14ac:dyDescent="0.2">
      <c r="I11617" s="137" t="s">
        <v>74</v>
      </c>
    </row>
    <row r="11618" spans="9:9" x14ac:dyDescent="0.2">
      <c r="I11618" s="137" t="s">
        <v>74</v>
      </c>
    </row>
    <row r="11619" spans="9:9" x14ac:dyDescent="0.2">
      <c r="I11619" s="137" t="s">
        <v>74</v>
      </c>
    </row>
    <row r="11620" spans="9:9" x14ac:dyDescent="0.2">
      <c r="I11620" s="137" t="s">
        <v>74</v>
      </c>
    </row>
    <row r="11621" spans="9:9" x14ac:dyDescent="0.2">
      <c r="I11621" s="137" t="s">
        <v>74</v>
      </c>
    </row>
    <row r="11622" spans="9:9" x14ac:dyDescent="0.2">
      <c r="I11622" s="137" t="s">
        <v>74</v>
      </c>
    </row>
    <row r="11623" spans="9:9" x14ac:dyDescent="0.2">
      <c r="I11623" s="137" t="s">
        <v>74</v>
      </c>
    </row>
    <row r="11624" spans="9:9" x14ac:dyDescent="0.2">
      <c r="I11624" s="137" t="s">
        <v>74</v>
      </c>
    </row>
    <row r="11625" spans="9:9" x14ac:dyDescent="0.2">
      <c r="I11625" s="137" t="s">
        <v>74</v>
      </c>
    </row>
    <row r="11626" spans="9:9" x14ac:dyDescent="0.2">
      <c r="I11626" s="137" t="s">
        <v>74</v>
      </c>
    </row>
    <row r="11627" spans="9:9" x14ac:dyDescent="0.2">
      <c r="I11627" s="137" t="s">
        <v>74</v>
      </c>
    </row>
    <row r="11628" spans="9:9" x14ac:dyDescent="0.2">
      <c r="I11628" s="137" t="s">
        <v>74</v>
      </c>
    </row>
    <row r="11629" spans="9:9" x14ac:dyDescent="0.2">
      <c r="I11629" s="137" t="s">
        <v>74</v>
      </c>
    </row>
    <row r="11630" spans="9:9" x14ac:dyDescent="0.2">
      <c r="I11630" s="137" t="s">
        <v>74</v>
      </c>
    </row>
    <row r="11631" spans="9:9" x14ac:dyDescent="0.2">
      <c r="I11631" s="137" t="s">
        <v>74</v>
      </c>
    </row>
    <row r="11632" spans="9:9" x14ac:dyDescent="0.2">
      <c r="I11632" s="137" t="s">
        <v>74</v>
      </c>
    </row>
    <row r="11633" spans="9:9" x14ac:dyDescent="0.2">
      <c r="I11633" s="137" t="s">
        <v>74</v>
      </c>
    </row>
    <row r="11634" spans="9:9" x14ac:dyDescent="0.2">
      <c r="I11634" s="137" t="s">
        <v>74</v>
      </c>
    </row>
    <row r="11635" spans="9:9" x14ac:dyDescent="0.2">
      <c r="I11635" s="137" t="s">
        <v>74</v>
      </c>
    </row>
    <row r="11636" spans="9:9" x14ac:dyDescent="0.2">
      <c r="I11636" s="137" t="s">
        <v>74</v>
      </c>
    </row>
    <row r="11637" spans="9:9" x14ac:dyDescent="0.2">
      <c r="I11637" s="137" t="s">
        <v>74</v>
      </c>
    </row>
    <row r="11638" spans="9:9" x14ac:dyDescent="0.2">
      <c r="I11638" s="137" t="s">
        <v>74</v>
      </c>
    </row>
    <row r="11639" spans="9:9" x14ac:dyDescent="0.2">
      <c r="I11639" s="137" t="s">
        <v>74</v>
      </c>
    </row>
    <row r="11640" spans="9:9" x14ac:dyDescent="0.2">
      <c r="I11640" s="137" t="s">
        <v>74</v>
      </c>
    </row>
    <row r="11641" spans="9:9" x14ac:dyDescent="0.2">
      <c r="I11641" s="137" t="s">
        <v>74</v>
      </c>
    </row>
    <row r="11642" spans="9:9" x14ac:dyDescent="0.2">
      <c r="I11642" s="137" t="s">
        <v>74</v>
      </c>
    </row>
    <row r="11643" spans="9:9" x14ac:dyDescent="0.2">
      <c r="I11643" s="137" t="s">
        <v>74</v>
      </c>
    </row>
    <row r="11644" spans="9:9" x14ac:dyDescent="0.2">
      <c r="I11644" s="137" t="s">
        <v>74</v>
      </c>
    </row>
    <row r="11645" spans="9:9" x14ac:dyDescent="0.2">
      <c r="I11645" s="137" t="s">
        <v>74</v>
      </c>
    </row>
    <row r="11646" spans="9:9" x14ac:dyDescent="0.2">
      <c r="I11646" s="137" t="s">
        <v>74</v>
      </c>
    </row>
    <row r="11647" spans="9:9" x14ac:dyDescent="0.2">
      <c r="I11647" s="137" t="s">
        <v>74</v>
      </c>
    </row>
    <row r="11648" spans="9:9" x14ac:dyDescent="0.2">
      <c r="I11648" s="137" t="s">
        <v>74</v>
      </c>
    </row>
    <row r="11649" spans="9:9" x14ac:dyDescent="0.2">
      <c r="I11649" s="137" t="s">
        <v>74</v>
      </c>
    </row>
    <row r="11650" spans="9:9" x14ac:dyDescent="0.2">
      <c r="I11650" s="137" t="s">
        <v>74</v>
      </c>
    </row>
    <row r="11651" spans="9:9" x14ac:dyDescent="0.2">
      <c r="I11651" s="137" t="s">
        <v>74</v>
      </c>
    </row>
    <row r="11652" spans="9:9" x14ac:dyDescent="0.2">
      <c r="I11652" s="137" t="s">
        <v>74</v>
      </c>
    </row>
    <row r="11653" spans="9:9" x14ac:dyDescent="0.2">
      <c r="I11653" s="137" t="s">
        <v>74</v>
      </c>
    </row>
    <row r="11654" spans="9:9" x14ac:dyDescent="0.2">
      <c r="I11654" s="137" t="s">
        <v>74</v>
      </c>
    </row>
    <row r="11655" spans="9:9" x14ac:dyDescent="0.2">
      <c r="I11655" s="137" t="s">
        <v>74</v>
      </c>
    </row>
    <row r="11656" spans="9:9" x14ac:dyDescent="0.2">
      <c r="I11656" s="137" t="s">
        <v>74</v>
      </c>
    </row>
    <row r="11657" spans="9:9" x14ac:dyDescent="0.2">
      <c r="I11657" s="137" t="s">
        <v>74</v>
      </c>
    </row>
    <row r="11658" spans="9:9" x14ac:dyDescent="0.2">
      <c r="I11658" s="137" t="s">
        <v>74</v>
      </c>
    </row>
    <row r="11659" spans="9:9" x14ac:dyDescent="0.2">
      <c r="I11659" s="137" t="s">
        <v>74</v>
      </c>
    </row>
    <row r="11660" spans="9:9" x14ac:dyDescent="0.2">
      <c r="I11660" s="137" t="s">
        <v>74</v>
      </c>
    </row>
    <row r="11661" spans="9:9" x14ac:dyDescent="0.2">
      <c r="I11661" s="137" t="s">
        <v>74</v>
      </c>
    </row>
    <row r="11662" spans="9:9" x14ac:dyDescent="0.2">
      <c r="I11662" s="137" t="s">
        <v>74</v>
      </c>
    </row>
    <row r="11663" spans="9:9" x14ac:dyDescent="0.2">
      <c r="I11663" s="137" t="s">
        <v>74</v>
      </c>
    </row>
    <row r="11664" spans="9:9" x14ac:dyDescent="0.2">
      <c r="I11664" s="137" t="s">
        <v>74</v>
      </c>
    </row>
    <row r="11665" spans="9:9" x14ac:dyDescent="0.2">
      <c r="I11665" s="137" t="s">
        <v>74</v>
      </c>
    </row>
    <row r="11666" spans="9:9" x14ac:dyDescent="0.2">
      <c r="I11666" s="137" t="s">
        <v>74</v>
      </c>
    </row>
    <row r="11667" spans="9:9" x14ac:dyDescent="0.2">
      <c r="I11667" s="137" t="s">
        <v>74</v>
      </c>
    </row>
    <row r="11668" spans="9:9" x14ac:dyDescent="0.2">
      <c r="I11668" s="137" t="s">
        <v>74</v>
      </c>
    </row>
    <row r="11669" spans="9:9" x14ac:dyDescent="0.2">
      <c r="I11669" s="137" t="s">
        <v>74</v>
      </c>
    </row>
    <row r="11670" spans="9:9" x14ac:dyDescent="0.2">
      <c r="I11670" s="137" t="s">
        <v>74</v>
      </c>
    </row>
    <row r="11671" spans="9:9" x14ac:dyDescent="0.2">
      <c r="I11671" s="137" t="s">
        <v>74</v>
      </c>
    </row>
    <row r="11672" spans="9:9" x14ac:dyDescent="0.2">
      <c r="I11672" s="137" t="s">
        <v>74</v>
      </c>
    </row>
    <row r="11673" spans="9:9" x14ac:dyDescent="0.2">
      <c r="I11673" s="137" t="s">
        <v>74</v>
      </c>
    </row>
    <row r="11674" spans="9:9" x14ac:dyDescent="0.2">
      <c r="I11674" s="137" t="s">
        <v>74</v>
      </c>
    </row>
    <row r="11675" spans="9:9" x14ac:dyDescent="0.2">
      <c r="I11675" s="137" t="s">
        <v>74</v>
      </c>
    </row>
    <row r="11676" spans="9:9" x14ac:dyDescent="0.2">
      <c r="I11676" s="137" t="s">
        <v>74</v>
      </c>
    </row>
    <row r="11677" spans="9:9" x14ac:dyDescent="0.2">
      <c r="I11677" s="137" t="s">
        <v>74</v>
      </c>
    </row>
    <row r="11678" spans="9:9" x14ac:dyDescent="0.2">
      <c r="I11678" s="137" t="s">
        <v>74</v>
      </c>
    </row>
    <row r="11679" spans="9:9" x14ac:dyDescent="0.2">
      <c r="I11679" s="137" t="s">
        <v>74</v>
      </c>
    </row>
    <row r="11680" spans="9:9" x14ac:dyDescent="0.2">
      <c r="I11680" s="137" t="s">
        <v>74</v>
      </c>
    </row>
    <row r="11681" spans="9:9" x14ac:dyDescent="0.2">
      <c r="I11681" s="137" t="s">
        <v>74</v>
      </c>
    </row>
    <row r="11682" spans="9:9" x14ac:dyDescent="0.2">
      <c r="I11682" s="137" t="s">
        <v>74</v>
      </c>
    </row>
    <row r="11683" spans="9:9" x14ac:dyDescent="0.2">
      <c r="I11683" s="137" t="s">
        <v>74</v>
      </c>
    </row>
    <row r="11684" spans="9:9" x14ac:dyDescent="0.2">
      <c r="I11684" s="137" t="s">
        <v>74</v>
      </c>
    </row>
    <row r="11685" spans="9:9" x14ac:dyDescent="0.2">
      <c r="I11685" s="137" t="s">
        <v>74</v>
      </c>
    </row>
    <row r="11686" spans="9:9" x14ac:dyDescent="0.2">
      <c r="I11686" s="137" t="s">
        <v>74</v>
      </c>
    </row>
    <row r="11687" spans="9:9" x14ac:dyDescent="0.2">
      <c r="I11687" s="137" t="s">
        <v>74</v>
      </c>
    </row>
    <row r="11688" spans="9:9" x14ac:dyDescent="0.2">
      <c r="I11688" s="137" t="s">
        <v>74</v>
      </c>
    </row>
    <row r="11689" spans="9:9" x14ac:dyDescent="0.2">
      <c r="I11689" s="137" t="s">
        <v>74</v>
      </c>
    </row>
    <row r="11690" spans="9:9" x14ac:dyDescent="0.2">
      <c r="I11690" s="137" t="s">
        <v>74</v>
      </c>
    </row>
    <row r="11691" spans="9:9" x14ac:dyDescent="0.2">
      <c r="I11691" s="137" t="s">
        <v>74</v>
      </c>
    </row>
    <row r="11692" spans="9:9" x14ac:dyDescent="0.2">
      <c r="I11692" s="137" t="s">
        <v>74</v>
      </c>
    </row>
    <row r="11693" spans="9:9" x14ac:dyDescent="0.2">
      <c r="I11693" s="137" t="s">
        <v>74</v>
      </c>
    </row>
    <row r="11694" spans="9:9" x14ac:dyDescent="0.2">
      <c r="I11694" s="137" t="s">
        <v>74</v>
      </c>
    </row>
    <row r="11695" spans="9:9" x14ac:dyDescent="0.2">
      <c r="I11695" s="137" t="s">
        <v>74</v>
      </c>
    </row>
    <row r="11696" spans="9:9" x14ac:dyDescent="0.2">
      <c r="I11696" s="137" t="s">
        <v>74</v>
      </c>
    </row>
    <row r="11697" spans="9:9" x14ac:dyDescent="0.2">
      <c r="I11697" s="137" t="s">
        <v>74</v>
      </c>
    </row>
    <row r="11698" spans="9:9" x14ac:dyDescent="0.2">
      <c r="I11698" s="137" t="s">
        <v>74</v>
      </c>
    </row>
    <row r="11699" spans="9:9" x14ac:dyDescent="0.2">
      <c r="I11699" s="137" t="s">
        <v>74</v>
      </c>
    </row>
    <row r="11700" spans="9:9" x14ac:dyDescent="0.2">
      <c r="I11700" s="137" t="s">
        <v>74</v>
      </c>
    </row>
    <row r="11701" spans="9:9" x14ac:dyDescent="0.2">
      <c r="I11701" s="137" t="s">
        <v>74</v>
      </c>
    </row>
    <row r="11702" spans="9:9" x14ac:dyDescent="0.2">
      <c r="I11702" s="137" t="s">
        <v>74</v>
      </c>
    </row>
    <row r="11703" spans="9:9" x14ac:dyDescent="0.2">
      <c r="I11703" s="137" t="s">
        <v>74</v>
      </c>
    </row>
    <row r="11704" spans="9:9" x14ac:dyDescent="0.2">
      <c r="I11704" s="137" t="s">
        <v>74</v>
      </c>
    </row>
    <row r="11705" spans="9:9" x14ac:dyDescent="0.2">
      <c r="I11705" s="137" t="s">
        <v>74</v>
      </c>
    </row>
    <row r="11706" spans="9:9" x14ac:dyDescent="0.2">
      <c r="I11706" s="137" t="s">
        <v>74</v>
      </c>
    </row>
    <row r="11707" spans="9:9" x14ac:dyDescent="0.2">
      <c r="I11707" s="137" t="s">
        <v>74</v>
      </c>
    </row>
    <row r="11708" spans="9:9" x14ac:dyDescent="0.2">
      <c r="I11708" s="137" t="s">
        <v>74</v>
      </c>
    </row>
    <row r="11709" spans="9:9" x14ac:dyDescent="0.2">
      <c r="I11709" s="137" t="s">
        <v>74</v>
      </c>
    </row>
    <row r="11710" spans="9:9" x14ac:dyDescent="0.2">
      <c r="I11710" s="137" t="s">
        <v>74</v>
      </c>
    </row>
    <row r="11711" spans="9:9" x14ac:dyDescent="0.2">
      <c r="I11711" s="137" t="s">
        <v>74</v>
      </c>
    </row>
    <row r="11712" spans="9:9" x14ac:dyDescent="0.2">
      <c r="I11712" s="137" t="s">
        <v>74</v>
      </c>
    </row>
    <row r="11713" spans="9:9" x14ac:dyDescent="0.2">
      <c r="I11713" s="137" t="s">
        <v>74</v>
      </c>
    </row>
    <row r="11714" spans="9:9" x14ac:dyDescent="0.2">
      <c r="I11714" s="137" t="s">
        <v>74</v>
      </c>
    </row>
    <row r="11715" spans="9:9" x14ac:dyDescent="0.2">
      <c r="I11715" s="137" t="s">
        <v>74</v>
      </c>
    </row>
    <row r="11716" spans="9:9" x14ac:dyDescent="0.2">
      <c r="I11716" s="137" t="s">
        <v>74</v>
      </c>
    </row>
    <row r="11717" spans="9:9" x14ac:dyDescent="0.2">
      <c r="I11717" s="137" t="s">
        <v>74</v>
      </c>
    </row>
    <row r="11718" spans="9:9" x14ac:dyDescent="0.2">
      <c r="I11718" s="137" t="s">
        <v>74</v>
      </c>
    </row>
    <row r="11719" spans="9:9" x14ac:dyDescent="0.2">
      <c r="I11719" s="137" t="s">
        <v>74</v>
      </c>
    </row>
    <row r="11720" spans="9:9" x14ac:dyDescent="0.2">
      <c r="I11720" s="137" t="s">
        <v>74</v>
      </c>
    </row>
    <row r="11721" spans="9:9" x14ac:dyDescent="0.2">
      <c r="I11721" s="137" t="s">
        <v>74</v>
      </c>
    </row>
    <row r="11722" spans="9:9" x14ac:dyDescent="0.2">
      <c r="I11722" s="137" t="s">
        <v>74</v>
      </c>
    </row>
    <row r="11723" spans="9:9" x14ac:dyDescent="0.2">
      <c r="I11723" s="137" t="s">
        <v>74</v>
      </c>
    </row>
    <row r="11724" spans="9:9" x14ac:dyDescent="0.2">
      <c r="I11724" s="137" t="s">
        <v>74</v>
      </c>
    </row>
    <row r="11725" spans="9:9" x14ac:dyDescent="0.2">
      <c r="I11725" s="137" t="s">
        <v>74</v>
      </c>
    </row>
    <row r="11726" spans="9:9" x14ac:dyDescent="0.2">
      <c r="I11726" s="137" t="s">
        <v>74</v>
      </c>
    </row>
    <row r="11727" spans="9:9" x14ac:dyDescent="0.2">
      <c r="I11727" s="137" t="s">
        <v>74</v>
      </c>
    </row>
    <row r="11728" spans="9:9" x14ac:dyDescent="0.2">
      <c r="I11728" s="137" t="s">
        <v>74</v>
      </c>
    </row>
    <row r="11729" spans="9:9" x14ac:dyDescent="0.2">
      <c r="I11729" s="137" t="s">
        <v>74</v>
      </c>
    </row>
    <row r="11730" spans="9:9" x14ac:dyDescent="0.2">
      <c r="I11730" s="137" t="s">
        <v>74</v>
      </c>
    </row>
    <row r="11731" spans="9:9" x14ac:dyDescent="0.2">
      <c r="I11731" s="137" t="s">
        <v>74</v>
      </c>
    </row>
    <row r="11732" spans="9:9" x14ac:dyDescent="0.2">
      <c r="I11732" s="137" t="s">
        <v>74</v>
      </c>
    </row>
    <row r="11733" spans="9:9" x14ac:dyDescent="0.2">
      <c r="I11733" s="137" t="s">
        <v>74</v>
      </c>
    </row>
    <row r="11734" spans="9:9" x14ac:dyDescent="0.2">
      <c r="I11734" s="137" t="s">
        <v>74</v>
      </c>
    </row>
    <row r="11735" spans="9:9" x14ac:dyDescent="0.2">
      <c r="I11735" s="137" t="s">
        <v>74</v>
      </c>
    </row>
    <row r="11736" spans="9:9" x14ac:dyDescent="0.2">
      <c r="I11736" s="137" t="s">
        <v>74</v>
      </c>
    </row>
    <row r="11737" spans="9:9" x14ac:dyDescent="0.2">
      <c r="I11737" s="137" t="s">
        <v>74</v>
      </c>
    </row>
    <row r="11738" spans="9:9" x14ac:dyDescent="0.2">
      <c r="I11738" s="137" t="s">
        <v>74</v>
      </c>
    </row>
    <row r="11739" spans="9:9" x14ac:dyDescent="0.2">
      <c r="I11739" s="137" t="s">
        <v>74</v>
      </c>
    </row>
    <row r="11740" spans="9:9" x14ac:dyDescent="0.2">
      <c r="I11740" s="137" t="s">
        <v>74</v>
      </c>
    </row>
    <row r="11741" spans="9:9" x14ac:dyDescent="0.2">
      <c r="I11741" s="137" t="s">
        <v>74</v>
      </c>
    </row>
    <row r="11742" spans="9:9" x14ac:dyDescent="0.2">
      <c r="I11742" s="137" t="s">
        <v>74</v>
      </c>
    </row>
    <row r="11743" spans="9:9" x14ac:dyDescent="0.2">
      <c r="I11743" s="137" t="s">
        <v>74</v>
      </c>
    </row>
    <row r="11744" spans="9:9" x14ac:dyDescent="0.2">
      <c r="I11744" s="137" t="s">
        <v>74</v>
      </c>
    </row>
    <row r="11745" spans="9:9" x14ac:dyDescent="0.2">
      <c r="I11745" s="137" t="s">
        <v>74</v>
      </c>
    </row>
    <row r="11746" spans="9:9" x14ac:dyDescent="0.2">
      <c r="I11746" s="137" t="s">
        <v>74</v>
      </c>
    </row>
    <row r="11747" spans="9:9" x14ac:dyDescent="0.2">
      <c r="I11747" s="137" t="s">
        <v>74</v>
      </c>
    </row>
    <row r="11748" spans="9:9" x14ac:dyDescent="0.2">
      <c r="I11748" s="137" t="s">
        <v>74</v>
      </c>
    </row>
    <row r="11749" spans="9:9" x14ac:dyDescent="0.2">
      <c r="I11749" s="137" t="s">
        <v>74</v>
      </c>
    </row>
    <row r="11750" spans="9:9" x14ac:dyDescent="0.2">
      <c r="I11750" s="137" t="s">
        <v>74</v>
      </c>
    </row>
    <row r="11751" spans="9:9" x14ac:dyDescent="0.2">
      <c r="I11751" s="137" t="s">
        <v>74</v>
      </c>
    </row>
    <row r="11752" spans="9:9" x14ac:dyDescent="0.2">
      <c r="I11752" s="137" t="s">
        <v>74</v>
      </c>
    </row>
    <row r="11753" spans="9:9" x14ac:dyDescent="0.2">
      <c r="I11753" s="137" t="s">
        <v>74</v>
      </c>
    </row>
    <row r="11754" spans="9:9" x14ac:dyDescent="0.2">
      <c r="I11754" s="137" t="s">
        <v>74</v>
      </c>
    </row>
    <row r="11755" spans="9:9" x14ac:dyDescent="0.2">
      <c r="I11755" s="137" t="s">
        <v>74</v>
      </c>
    </row>
    <row r="11756" spans="9:9" x14ac:dyDescent="0.2">
      <c r="I11756" s="137" t="s">
        <v>74</v>
      </c>
    </row>
    <row r="11757" spans="9:9" x14ac:dyDescent="0.2">
      <c r="I11757" s="137" t="s">
        <v>74</v>
      </c>
    </row>
    <row r="11758" spans="9:9" x14ac:dyDescent="0.2">
      <c r="I11758" s="137" t="s">
        <v>74</v>
      </c>
    </row>
    <row r="11759" spans="9:9" x14ac:dyDescent="0.2">
      <c r="I11759" s="137" t="s">
        <v>74</v>
      </c>
    </row>
    <row r="11760" spans="9:9" x14ac:dyDescent="0.2">
      <c r="I11760" s="137" t="s">
        <v>74</v>
      </c>
    </row>
    <row r="11761" spans="9:9" x14ac:dyDescent="0.2">
      <c r="I11761" s="137" t="s">
        <v>74</v>
      </c>
    </row>
    <row r="11762" spans="9:9" x14ac:dyDescent="0.2">
      <c r="I11762" s="137" t="s">
        <v>74</v>
      </c>
    </row>
    <row r="11763" spans="9:9" x14ac:dyDescent="0.2">
      <c r="I11763" s="137" t="s">
        <v>74</v>
      </c>
    </row>
    <row r="11764" spans="9:9" x14ac:dyDescent="0.2">
      <c r="I11764" s="137" t="s">
        <v>74</v>
      </c>
    </row>
    <row r="11765" spans="9:9" x14ac:dyDescent="0.2">
      <c r="I11765" s="137" t="s">
        <v>74</v>
      </c>
    </row>
    <row r="11766" spans="9:9" x14ac:dyDescent="0.2">
      <c r="I11766" s="137" t="s">
        <v>74</v>
      </c>
    </row>
    <row r="11767" spans="9:9" x14ac:dyDescent="0.2">
      <c r="I11767" s="137" t="s">
        <v>74</v>
      </c>
    </row>
    <row r="11768" spans="9:9" x14ac:dyDescent="0.2">
      <c r="I11768" s="137" t="s">
        <v>74</v>
      </c>
    </row>
    <row r="11769" spans="9:9" x14ac:dyDescent="0.2">
      <c r="I11769" s="137" t="s">
        <v>74</v>
      </c>
    </row>
    <row r="11770" spans="9:9" x14ac:dyDescent="0.2">
      <c r="I11770" s="137" t="s">
        <v>74</v>
      </c>
    </row>
    <row r="11771" spans="9:9" x14ac:dyDescent="0.2">
      <c r="I11771" s="137" t="s">
        <v>74</v>
      </c>
    </row>
    <row r="11772" spans="9:9" x14ac:dyDescent="0.2">
      <c r="I11772" s="137" t="s">
        <v>74</v>
      </c>
    </row>
    <row r="11773" spans="9:9" x14ac:dyDescent="0.2">
      <c r="I11773" s="137" t="s">
        <v>74</v>
      </c>
    </row>
    <row r="11774" spans="9:9" x14ac:dyDescent="0.2">
      <c r="I11774" s="137" t="s">
        <v>74</v>
      </c>
    </row>
    <row r="11775" spans="9:9" x14ac:dyDescent="0.2">
      <c r="I11775" s="137" t="s">
        <v>74</v>
      </c>
    </row>
    <row r="11776" spans="9:9" x14ac:dyDescent="0.2">
      <c r="I11776" s="137" t="s">
        <v>74</v>
      </c>
    </row>
    <row r="11777" spans="9:9" x14ac:dyDescent="0.2">
      <c r="I11777" s="137" t="s">
        <v>74</v>
      </c>
    </row>
    <row r="11778" spans="9:9" x14ac:dyDescent="0.2">
      <c r="I11778" s="137" t="s">
        <v>74</v>
      </c>
    </row>
    <row r="11779" spans="9:9" x14ac:dyDescent="0.2">
      <c r="I11779" s="137" t="s">
        <v>74</v>
      </c>
    </row>
    <row r="11780" spans="9:9" x14ac:dyDescent="0.2">
      <c r="I11780" s="137" t="s">
        <v>74</v>
      </c>
    </row>
    <row r="11781" spans="9:9" x14ac:dyDescent="0.2">
      <c r="I11781" s="137" t="s">
        <v>74</v>
      </c>
    </row>
    <row r="11782" spans="9:9" x14ac:dyDescent="0.2">
      <c r="I11782" s="137" t="s">
        <v>74</v>
      </c>
    </row>
    <row r="11783" spans="9:9" x14ac:dyDescent="0.2">
      <c r="I11783" s="137" t="s">
        <v>74</v>
      </c>
    </row>
    <row r="11784" spans="9:9" x14ac:dyDescent="0.2">
      <c r="I11784" s="137" t="s">
        <v>74</v>
      </c>
    </row>
    <row r="11785" spans="9:9" x14ac:dyDescent="0.2">
      <c r="I11785" s="137" t="s">
        <v>74</v>
      </c>
    </row>
    <row r="11786" spans="9:9" x14ac:dyDescent="0.2">
      <c r="I11786" s="137" t="s">
        <v>74</v>
      </c>
    </row>
    <row r="11787" spans="9:9" x14ac:dyDescent="0.2">
      <c r="I11787" s="137" t="s">
        <v>74</v>
      </c>
    </row>
    <row r="11788" spans="9:9" x14ac:dyDescent="0.2">
      <c r="I11788" s="137" t="s">
        <v>74</v>
      </c>
    </row>
    <row r="11789" spans="9:9" x14ac:dyDescent="0.2">
      <c r="I11789" s="137" t="s">
        <v>74</v>
      </c>
    </row>
    <row r="11790" spans="9:9" x14ac:dyDescent="0.2">
      <c r="I11790" s="137" t="s">
        <v>74</v>
      </c>
    </row>
    <row r="11791" spans="9:9" x14ac:dyDescent="0.2">
      <c r="I11791" s="137" t="s">
        <v>74</v>
      </c>
    </row>
    <row r="11792" spans="9:9" x14ac:dyDescent="0.2">
      <c r="I11792" s="137" t="s">
        <v>74</v>
      </c>
    </row>
    <row r="11793" spans="9:9" x14ac:dyDescent="0.2">
      <c r="I11793" s="137" t="s">
        <v>74</v>
      </c>
    </row>
    <row r="11794" spans="9:9" x14ac:dyDescent="0.2">
      <c r="I11794" s="137" t="s">
        <v>74</v>
      </c>
    </row>
    <row r="11795" spans="9:9" x14ac:dyDescent="0.2">
      <c r="I11795" s="137" t="s">
        <v>74</v>
      </c>
    </row>
    <row r="11796" spans="9:9" x14ac:dyDescent="0.2">
      <c r="I11796" s="137" t="s">
        <v>74</v>
      </c>
    </row>
    <row r="11797" spans="9:9" x14ac:dyDescent="0.2">
      <c r="I11797" s="137" t="s">
        <v>74</v>
      </c>
    </row>
    <row r="11798" spans="9:9" x14ac:dyDescent="0.2">
      <c r="I11798" s="137" t="s">
        <v>74</v>
      </c>
    </row>
    <row r="11799" spans="9:9" x14ac:dyDescent="0.2">
      <c r="I11799" s="137" t="s">
        <v>74</v>
      </c>
    </row>
    <row r="11800" spans="9:9" x14ac:dyDescent="0.2">
      <c r="I11800" s="137" t="s">
        <v>74</v>
      </c>
    </row>
    <row r="11801" spans="9:9" x14ac:dyDescent="0.2">
      <c r="I11801" s="137" t="s">
        <v>74</v>
      </c>
    </row>
    <row r="11802" spans="9:9" x14ac:dyDescent="0.2">
      <c r="I11802" s="137" t="s">
        <v>74</v>
      </c>
    </row>
    <row r="11803" spans="9:9" x14ac:dyDescent="0.2">
      <c r="I11803" s="137" t="s">
        <v>74</v>
      </c>
    </row>
    <row r="11804" spans="9:9" x14ac:dyDescent="0.2">
      <c r="I11804" s="137" t="s">
        <v>74</v>
      </c>
    </row>
    <row r="11805" spans="9:9" x14ac:dyDescent="0.2">
      <c r="I11805" s="137" t="s">
        <v>74</v>
      </c>
    </row>
    <row r="11806" spans="9:9" x14ac:dyDescent="0.2">
      <c r="I11806" s="137" t="s">
        <v>74</v>
      </c>
    </row>
    <row r="11807" spans="9:9" x14ac:dyDescent="0.2">
      <c r="I11807" s="137" t="s">
        <v>74</v>
      </c>
    </row>
    <row r="11808" spans="9:9" x14ac:dyDescent="0.2">
      <c r="I11808" s="137" t="s">
        <v>74</v>
      </c>
    </row>
    <row r="11809" spans="9:9" x14ac:dyDescent="0.2">
      <c r="I11809" s="137" t="s">
        <v>74</v>
      </c>
    </row>
    <row r="11810" spans="9:9" x14ac:dyDescent="0.2">
      <c r="I11810" s="137" t="s">
        <v>74</v>
      </c>
    </row>
    <row r="11811" spans="9:9" x14ac:dyDescent="0.2">
      <c r="I11811" s="137" t="s">
        <v>74</v>
      </c>
    </row>
    <row r="11812" spans="9:9" x14ac:dyDescent="0.2">
      <c r="I11812" s="137" t="s">
        <v>74</v>
      </c>
    </row>
    <row r="11813" spans="9:9" x14ac:dyDescent="0.2">
      <c r="I11813" s="137" t="s">
        <v>74</v>
      </c>
    </row>
    <row r="11814" spans="9:9" x14ac:dyDescent="0.2">
      <c r="I11814" s="137" t="s">
        <v>74</v>
      </c>
    </row>
    <row r="11815" spans="9:9" x14ac:dyDescent="0.2">
      <c r="I11815" s="137" t="s">
        <v>74</v>
      </c>
    </row>
    <row r="11816" spans="9:9" x14ac:dyDescent="0.2">
      <c r="I11816" s="137" t="s">
        <v>74</v>
      </c>
    </row>
    <row r="11817" spans="9:9" x14ac:dyDescent="0.2">
      <c r="I11817" s="137" t="s">
        <v>74</v>
      </c>
    </row>
    <row r="11818" spans="9:9" x14ac:dyDescent="0.2">
      <c r="I11818" s="137" t="s">
        <v>74</v>
      </c>
    </row>
    <row r="11819" spans="9:9" x14ac:dyDescent="0.2">
      <c r="I11819" s="137" t="s">
        <v>74</v>
      </c>
    </row>
    <row r="11820" spans="9:9" x14ac:dyDescent="0.2">
      <c r="I11820" s="137" t="s">
        <v>74</v>
      </c>
    </row>
    <row r="11821" spans="9:9" x14ac:dyDescent="0.2">
      <c r="I11821" s="137" t="s">
        <v>74</v>
      </c>
    </row>
    <row r="11822" spans="9:9" x14ac:dyDescent="0.2">
      <c r="I11822" s="137" t="s">
        <v>74</v>
      </c>
    </row>
    <row r="11823" spans="9:9" x14ac:dyDescent="0.2">
      <c r="I11823" s="137" t="s">
        <v>74</v>
      </c>
    </row>
    <row r="11824" spans="9:9" x14ac:dyDescent="0.2">
      <c r="I11824" s="137" t="s">
        <v>74</v>
      </c>
    </row>
    <row r="11825" spans="9:9" x14ac:dyDescent="0.2">
      <c r="I11825" s="137" t="s">
        <v>74</v>
      </c>
    </row>
    <row r="11826" spans="9:9" x14ac:dyDescent="0.2">
      <c r="I11826" s="137" t="s">
        <v>74</v>
      </c>
    </row>
    <row r="11827" spans="9:9" x14ac:dyDescent="0.2">
      <c r="I11827" s="137" t="s">
        <v>74</v>
      </c>
    </row>
    <row r="11828" spans="9:9" x14ac:dyDescent="0.2">
      <c r="I11828" s="137" t="s">
        <v>74</v>
      </c>
    </row>
    <row r="11829" spans="9:9" x14ac:dyDescent="0.2">
      <c r="I11829" s="137" t="s">
        <v>74</v>
      </c>
    </row>
    <row r="11830" spans="9:9" x14ac:dyDescent="0.2">
      <c r="I11830" s="137" t="s">
        <v>74</v>
      </c>
    </row>
    <row r="11831" spans="9:9" x14ac:dyDescent="0.2">
      <c r="I11831" s="137" t="s">
        <v>74</v>
      </c>
    </row>
    <row r="11832" spans="9:9" x14ac:dyDescent="0.2">
      <c r="I11832" s="137" t="s">
        <v>74</v>
      </c>
    </row>
    <row r="11833" spans="9:9" x14ac:dyDescent="0.2">
      <c r="I11833" s="137" t="s">
        <v>74</v>
      </c>
    </row>
    <row r="11834" spans="9:9" x14ac:dyDescent="0.2">
      <c r="I11834" s="137" t="s">
        <v>74</v>
      </c>
    </row>
    <row r="11835" spans="9:9" x14ac:dyDescent="0.2">
      <c r="I11835" s="137" t="s">
        <v>74</v>
      </c>
    </row>
    <row r="11836" spans="9:9" x14ac:dyDescent="0.2">
      <c r="I11836" s="137" t="s">
        <v>74</v>
      </c>
    </row>
    <row r="11837" spans="9:9" x14ac:dyDescent="0.2">
      <c r="I11837" s="137" t="s">
        <v>74</v>
      </c>
    </row>
    <row r="11838" spans="9:9" x14ac:dyDescent="0.2">
      <c r="I11838" s="137" t="s">
        <v>74</v>
      </c>
    </row>
    <row r="11839" spans="9:9" x14ac:dyDescent="0.2">
      <c r="I11839" s="137" t="s">
        <v>74</v>
      </c>
    </row>
    <row r="11840" spans="9:9" x14ac:dyDescent="0.2">
      <c r="I11840" s="137" t="s">
        <v>74</v>
      </c>
    </row>
    <row r="11841" spans="9:9" x14ac:dyDescent="0.2">
      <c r="I11841" s="137" t="s">
        <v>74</v>
      </c>
    </row>
    <row r="11842" spans="9:9" x14ac:dyDescent="0.2">
      <c r="I11842" s="137" t="s">
        <v>74</v>
      </c>
    </row>
    <row r="11843" spans="9:9" x14ac:dyDescent="0.2">
      <c r="I11843" s="137" t="s">
        <v>74</v>
      </c>
    </row>
    <row r="11844" spans="9:9" x14ac:dyDescent="0.2">
      <c r="I11844" s="137" t="s">
        <v>74</v>
      </c>
    </row>
    <row r="11845" spans="9:9" x14ac:dyDescent="0.2">
      <c r="I11845" s="137" t="s">
        <v>74</v>
      </c>
    </row>
    <row r="11846" spans="9:9" x14ac:dyDescent="0.2">
      <c r="I11846" s="137" t="s">
        <v>74</v>
      </c>
    </row>
    <row r="11847" spans="9:9" x14ac:dyDescent="0.2">
      <c r="I11847" s="137" t="s">
        <v>74</v>
      </c>
    </row>
    <row r="11848" spans="9:9" x14ac:dyDescent="0.2">
      <c r="I11848" s="137" t="s">
        <v>74</v>
      </c>
    </row>
    <row r="11849" spans="9:9" x14ac:dyDescent="0.2">
      <c r="I11849" s="137" t="s">
        <v>74</v>
      </c>
    </row>
    <row r="11850" spans="9:9" x14ac:dyDescent="0.2">
      <c r="I11850" s="137" t="s">
        <v>74</v>
      </c>
    </row>
    <row r="11851" spans="9:9" x14ac:dyDescent="0.2">
      <c r="I11851" s="137" t="s">
        <v>74</v>
      </c>
    </row>
    <row r="11852" spans="9:9" x14ac:dyDescent="0.2">
      <c r="I11852" s="137" t="s">
        <v>74</v>
      </c>
    </row>
    <row r="11853" spans="9:9" x14ac:dyDescent="0.2">
      <c r="I11853" s="137" t="s">
        <v>74</v>
      </c>
    </row>
    <row r="11854" spans="9:9" x14ac:dyDescent="0.2">
      <c r="I11854" s="137" t="s">
        <v>74</v>
      </c>
    </row>
    <row r="11855" spans="9:9" x14ac:dyDescent="0.2">
      <c r="I11855" s="137" t="s">
        <v>74</v>
      </c>
    </row>
    <row r="11856" spans="9:9" x14ac:dyDescent="0.2">
      <c r="I11856" s="137" t="s">
        <v>74</v>
      </c>
    </row>
    <row r="11857" spans="9:9" x14ac:dyDescent="0.2">
      <c r="I11857" s="137" t="s">
        <v>74</v>
      </c>
    </row>
    <row r="11858" spans="9:9" x14ac:dyDescent="0.2">
      <c r="I11858" s="137" t="s">
        <v>74</v>
      </c>
    </row>
    <row r="11859" spans="9:9" x14ac:dyDescent="0.2">
      <c r="I11859" s="137" t="s">
        <v>74</v>
      </c>
    </row>
    <row r="11860" spans="9:9" x14ac:dyDescent="0.2">
      <c r="I11860" s="137" t="s">
        <v>74</v>
      </c>
    </row>
    <row r="11861" spans="9:9" x14ac:dyDescent="0.2">
      <c r="I11861" s="137" t="s">
        <v>74</v>
      </c>
    </row>
    <row r="11862" spans="9:9" x14ac:dyDescent="0.2">
      <c r="I11862" s="137" t="s">
        <v>74</v>
      </c>
    </row>
    <row r="11863" spans="9:9" x14ac:dyDescent="0.2">
      <c r="I11863" s="137" t="s">
        <v>74</v>
      </c>
    </row>
    <row r="11864" spans="9:9" x14ac:dyDescent="0.2">
      <c r="I11864" s="137" t="s">
        <v>74</v>
      </c>
    </row>
    <row r="11865" spans="9:9" x14ac:dyDescent="0.2">
      <c r="I11865" s="137" t="s">
        <v>74</v>
      </c>
    </row>
    <row r="11866" spans="9:9" x14ac:dyDescent="0.2">
      <c r="I11866" s="137" t="s">
        <v>74</v>
      </c>
    </row>
    <row r="11867" spans="9:9" x14ac:dyDescent="0.2">
      <c r="I11867" s="137" t="s">
        <v>74</v>
      </c>
    </row>
    <row r="11868" spans="9:9" x14ac:dyDescent="0.2">
      <c r="I11868" s="137" t="s">
        <v>74</v>
      </c>
    </row>
    <row r="11869" spans="9:9" x14ac:dyDescent="0.2">
      <c r="I11869" s="137" t="s">
        <v>74</v>
      </c>
    </row>
    <row r="11870" spans="9:9" x14ac:dyDescent="0.2">
      <c r="I11870" s="137" t="s">
        <v>74</v>
      </c>
    </row>
    <row r="11871" spans="9:9" x14ac:dyDescent="0.2">
      <c r="I11871" s="137" t="s">
        <v>74</v>
      </c>
    </row>
    <row r="11872" spans="9:9" x14ac:dyDescent="0.2">
      <c r="I11872" s="137" t="s">
        <v>74</v>
      </c>
    </row>
    <row r="11873" spans="9:9" x14ac:dyDescent="0.2">
      <c r="I11873" s="137" t="s">
        <v>74</v>
      </c>
    </row>
    <row r="11874" spans="9:9" x14ac:dyDescent="0.2">
      <c r="I11874" s="137" t="s">
        <v>74</v>
      </c>
    </row>
    <row r="11875" spans="9:9" x14ac:dyDescent="0.2">
      <c r="I11875" s="137" t="s">
        <v>74</v>
      </c>
    </row>
    <row r="11876" spans="9:9" x14ac:dyDescent="0.2">
      <c r="I11876" s="137" t="s">
        <v>74</v>
      </c>
    </row>
    <row r="11877" spans="9:9" x14ac:dyDescent="0.2">
      <c r="I11877" s="137" t="s">
        <v>74</v>
      </c>
    </row>
    <row r="11878" spans="9:9" x14ac:dyDescent="0.2">
      <c r="I11878" s="137" t="s">
        <v>74</v>
      </c>
    </row>
    <row r="11879" spans="9:9" x14ac:dyDescent="0.2">
      <c r="I11879" s="137" t="s">
        <v>74</v>
      </c>
    </row>
    <row r="11880" spans="9:9" x14ac:dyDescent="0.2">
      <c r="I11880" s="137" t="s">
        <v>74</v>
      </c>
    </row>
    <row r="11881" spans="9:9" x14ac:dyDescent="0.2">
      <c r="I11881" s="137" t="s">
        <v>74</v>
      </c>
    </row>
    <row r="11882" spans="9:9" x14ac:dyDescent="0.2">
      <c r="I11882" s="137" t="s">
        <v>74</v>
      </c>
    </row>
    <row r="11883" spans="9:9" x14ac:dyDescent="0.2">
      <c r="I11883" s="137" t="s">
        <v>74</v>
      </c>
    </row>
    <row r="11884" spans="9:9" x14ac:dyDescent="0.2">
      <c r="I11884" s="137" t="s">
        <v>74</v>
      </c>
    </row>
    <row r="11885" spans="9:9" x14ac:dyDescent="0.2">
      <c r="I11885" s="137" t="s">
        <v>74</v>
      </c>
    </row>
    <row r="11886" spans="9:9" x14ac:dyDescent="0.2">
      <c r="I11886" s="137" t="s">
        <v>74</v>
      </c>
    </row>
    <row r="11887" spans="9:9" x14ac:dyDescent="0.2">
      <c r="I11887" s="137" t="s">
        <v>74</v>
      </c>
    </row>
    <row r="11888" spans="9:9" x14ac:dyDescent="0.2">
      <c r="I11888" s="137" t="s">
        <v>74</v>
      </c>
    </row>
    <row r="11889" spans="9:9" x14ac:dyDescent="0.2">
      <c r="I11889" s="137" t="s">
        <v>74</v>
      </c>
    </row>
    <row r="11890" spans="9:9" x14ac:dyDescent="0.2">
      <c r="I11890" s="137" t="s">
        <v>74</v>
      </c>
    </row>
    <row r="11891" spans="9:9" x14ac:dyDescent="0.2">
      <c r="I11891" s="137" t="s">
        <v>74</v>
      </c>
    </row>
    <row r="11892" spans="9:9" x14ac:dyDescent="0.2">
      <c r="I11892" s="137" t="s">
        <v>74</v>
      </c>
    </row>
    <row r="11893" spans="9:9" x14ac:dyDescent="0.2">
      <c r="I11893" s="137" t="s">
        <v>74</v>
      </c>
    </row>
    <row r="11894" spans="9:9" x14ac:dyDescent="0.2">
      <c r="I11894" s="137" t="s">
        <v>74</v>
      </c>
    </row>
    <row r="11895" spans="9:9" x14ac:dyDescent="0.2">
      <c r="I11895" s="137" t="s">
        <v>74</v>
      </c>
    </row>
    <row r="11896" spans="9:9" x14ac:dyDescent="0.2">
      <c r="I11896" s="137" t="s">
        <v>74</v>
      </c>
    </row>
    <row r="11897" spans="9:9" x14ac:dyDescent="0.2">
      <c r="I11897" s="137" t="s">
        <v>74</v>
      </c>
    </row>
    <row r="11898" spans="9:9" x14ac:dyDescent="0.2">
      <c r="I11898" s="137" t="s">
        <v>74</v>
      </c>
    </row>
    <row r="11899" spans="9:9" x14ac:dyDescent="0.2">
      <c r="I11899" s="137" t="s">
        <v>74</v>
      </c>
    </row>
    <row r="11900" spans="9:9" x14ac:dyDescent="0.2">
      <c r="I11900" s="137" t="s">
        <v>74</v>
      </c>
    </row>
    <row r="11901" spans="9:9" x14ac:dyDescent="0.2">
      <c r="I11901" s="137" t="s">
        <v>74</v>
      </c>
    </row>
    <row r="11902" spans="9:9" x14ac:dyDescent="0.2">
      <c r="I11902" s="137" t="s">
        <v>74</v>
      </c>
    </row>
    <row r="11903" spans="9:9" x14ac:dyDescent="0.2">
      <c r="I11903" s="137" t="s">
        <v>74</v>
      </c>
    </row>
    <row r="11904" spans="9:9" x14ac:dyDescent="0.2">
      <c r="I11904" s="137" t="s">
        <v>74</v>
      </c>
    </row>
    <row r="11905" spans="9:9" x14ac:dyDescent="0.2">
      <c r="I11905" s="137" t="s">
        <v>74</v>
      </c>
    </row>
    <row r="11906" spans="9:9" x14ac:dyDescent="0.2">
      <c r="I11906" s="137" t="s">
        <v>74</v>
      </c>
    </row>
    <row r="11907" spans="9:9" x14ac:dyDescent="0.2">
      <c r="I11907" s="137" t="s">
        <v>74</v>
      </c>
    </row>
    <row r="11908" spans="9:9" x14ac:dyDescent="0.2">
      <c r="I11908" s="137" t="s">
        <v>74</v>
      </c>
    </row>
    <row r="11909" spans="9:9" x14ac:dyDescent="0.2">
      <c r="I11909" s="137" t="s">
        <v>74</v>
      </c>
    </row>
    <row r="11910" spans="9:9" x14ac:dyDescent="0.2">
      <c r="I11910" s="137" t="s">
        <v>74</v>
      </c>
    </row>
    <row r="11911" spans="9:9" x14ac:dyDescent="0.2">
      <c r="I11911" s="137" t="s">
        <v>74</v>
      </c>
    </row>
    <row r="11912" spans="9:9" x14ac:dyDescent="0.2">
      <c r="I11912" s="137" t="s">
        <v>74</v>
      </c>
    </row>
    <row r="11913" spans="9:9" x14ac:dyDescent="0.2">
      <c r="I11913" s="137" t="s">
        <v>74</v>
      </c>
    </row>
    <row r="11914" spans="9:9" x14ac:dyDescent="0.2">
      <c r="I11914" s="137" t="s">
        <v>74</v>
      </c>
    </row>
    <row r="11915" spans="9:9" x14ac:dyDescent="0.2">
      <c r="I11915" s="137" t="s">
        <v>74</v>
      </c>
    </row>
    <row r="11916" spans="9:9" x14ac:dyDescent="0.2">
      <c r="I11916" s="137" t="s">
        <v>74</v>
      </c>
    </row>
    <row r="11917" spans="9:9" x14ac:dyDescent="0.2">
      <c r="I11917" s="137" t="s">
        <v>74</v>
      </c>
    </row>
    <row r="11918" spans="9:9" x14ac:dyDescent="0.2">
      <c r="I11918" s="137" t="s">
        <v>74</v>
      </c>
    </row>
    <row r="11919" spans="9:9" x14ac:dyDescent="0.2">
      <c r="I11919" s="137" t="s">
        <v>74</v>
      </c>
    </row>
    <row r="11920" spans="9:9" x14ac:dyDescent="0.2">
      <c r="I11920" s="137" t="s">
        <v>74</v>
      </c>
    </row>
    <row r="11921" spans="9:9" x14ac:dyDescent="0.2">
      <c r="I11921" s="137" t="s">
        <v>74</v>
      </c>
    </row>
    <row r="11922" spans="9:9" x14ac:dyDescent="0.2">
      <c r="I11922" s="137" t="s">
        <v>74</v>
      </c>
    </row>
    <row r="11923" spans="9:9" x14ac:dyDescent="0.2">
      <c r="I11923" s="137" t="s">
        <v>74</v>
      </c>
    </row>
    <row r="11924" spans="9:9" x14ac:dyDescent="0.2">
      <c r="I11924" s="137" t="s">
        <v>74</v>
      </c>
    </row>
    <row r="11925" spans="9:9" x14ac:dyDescent="0.2">
      <c r="I11925" s="137" t="s">
        <v>74</v>
      </c>
    </row>
    <row r="11926" spans="9:9" x14ac:dyDescent="0.2">
      <c r="I11926" s="137" t="s">
        <v>74</v>
      </c>
    </row>
    <row r="11927" spans="9:9" x14ac:dyDescent="0.2">
      <c r="I11927" s="137" t="s">
        <v>74</v>
      </c>
    </row>
    <row r="11928" spans="9:9" x14ac:dyDescent="0.2">
      <c r="I11928" s="137" t="s">
        <v>74</v>
      </c>
    </row>
    <row r="11929" spans="9:9" x14ac:dyDescent="0.2">
      <c r="I11929" s="137" t="s">
        <v>74</v>
      </c>
    </row>
    <row r="11930" spans="9:9" x14ac:dyDescent="0.2">
      <c r="I11930" s="137" t="s">
        <v>74</v>
      </c>
    </row>
    <row r="11931" spans="9:9" x14ac:dyDescent="0.2">
      <c r="I11931" s="137" t="s">
        <v>74</v>
      </c>
    </row>
    <row r="11932" spans="9:9" x14ac:dyDescent="0.2">
      <c r="I11932" s="137" t="s">
        <v>74</v>
      </c>
    </row>
    <row r="11933" spans="9:9" x14ac:dyDescent="0.2">
      <c r="I11933" s="137" t="s">
        <v>74</v>
      </c>
    </row>
    <row r="11934" spans="9:9" x14ac:dyDescent="0.2">
      <c r="I11934" s="137" t="s">
        <v>74</v>
      </c>
    </row>
    <row r="11935" spans="9:9" x14ac:dyDescent="0.2">
      <c r="I11935" s="137" t="s">
        <v>74</v>
      </c>
    </row>
    <row r="11936" spans="9:9" x14ac:dyDescent="0.2">
      <c r="I11936" s="137" t="s">
        <v>74</v>
      </c>
    </row>
    <row r="11937" spans="9:9" x14ac:dyDescent="0.2">
      <c r="I11937" s="137" t="s">
        <v>74</v>
      </c>
    </row>
    <row r="11938" spans="9:9" x14ac:dyDescent="0.2">
      <c r="I11938" s="137" t="s">
        <v>74</v>
      </c>
    </row>
    <row r="11939" spans="9:9" x14ac:dyDescent="0.2">
      <c r="I11939" s="137" t="s">
        <v>74</v>
      </c>
    </row>
    <row r="11940" spans="9:9" x14ac:dyDescent="0.2">
      <c r="I11940" s="137" t="s">
        <v>74</v>
      </c>
    </row>
    <row r="11941" spans="9:9" x14ac:dyDescent="0.2">
      <c r="I11941" s="137" t="s">
        <v>74</v>
      </c>
    </row>
    <row r="11942" spans="9:9" x14ac:dyDescent="0.2">
      <c r="I11942" s="137" t="s">
        <v>74</v>
      </c>
    </row>
    <row r="11943" spans="9:9" x14ac:dyDescent="0.2">
      <c r="I11943" s="137" t="s">
        <v>74</v>
      </c>
    </row>
    <row r="11944" spans="9:9" x14ac:dyDescent="0.2">
      <c r="I11944" s="137" t="s">
        <v>74</v>
      </c>
    </row>
    <row r="11945" spans="9:9" x14ac:dyDescent="0.2">
      <c r="I11945" s="137" t="s">
        <v>74</v>
      </c>
    </row>
    <row r="11946" spans="9:9" x14ac:dyDescent="0.2">
      <c r="I11946" s="137" t="s">
        <v>74</v>
      </c>
    </row>
    <row r="11947" spans="9:9" x14ac:dyDescent="0.2">
      <c r="I11947" s="137" t="s">
        <v>74</v>
      </c>
    </row>
    <row r="11948" spans="9:9" x14ac:dyDescent="0.2">
      <c r="I11948" s="137" t="s">
        <v>74</v>
      </c>
    </row>
    <row r="11949" spans="9:9" x14ac:dyDescent="0.2">
      <c r="I11949" s="137" t="s">
        <v>74</v>
      </c>
    </row>
    <row r="11950" spans="9:9" x14ac:dyDescent="0.2">
      <c r="I11950" s="137" t="s">
        <v>74</v>
      </c>
    </row>
    <row r="11951" spans="9:9" x14ac:dyDescent="0.2">
      <c r="I11951" s="137" t="s">
        <v>74</v>
      </c>
    </row>
    <row r="11952" spans="9:9" x14ac:dyDescent="0.2">
      <c r="I11952" s="137" t="s">
        <v>74</v>
      </c>
    </row>
    <row r="11953" spans="9:9" x14ac:dyDescent="0.2">
      <c r="I11953" s="137" t="s">
        <v>74</v>
      </c>
    </row>
    <row r="11954" spans="9:9" x14ac:dyDescent="0.2">
      <c r="I11954" s="137" t="s">
        <v>74</v>
      </c>
    </row>
    <row r="11955" spans="9:9" x14ac:dyDescent="0.2">
      <c r="I11955" s="137" t="s">
        <v>74</v>
      </c>
    </row>
    <row r="11956" spans="9:9" x14ac:dyDescent="0.2">
      <c r="I11956" s="137" t="s">
        <v>74</v>
      </c>
    </row>
    <row r="11957" spans="9:9" x14ac:dyDescent="0.2">
      <c r="I11957" s="137" t="s">
        <v>74</v>
      </c>
    </row>
    <row r="11958" spans="9:9" x14ac:dyDescent="0.2">
      <c r="I11958" s="137" t="s">
        <v>74</v>
      </c>
    </row>
    <row r="11959" spans="9:9" x14ac:dyDescent="0.2">
      <c r="I11959" s="137" t="s">
        <v>74</v>
      </c>
    </row>
    <row r="11960" spans="9:9" x14ac:dyDescent="0.2">
      <c r="I11960" s="137" t="s">
        <v>74</v>
      </c>
    </row>
    <row r="11961" spans="9:9" x14ac:dyDescent="0.2">
      <c r="I11961" s="137" t="s">
        <v>74</v>
      </c>
    </row>
    <row r="11962" spans="9:9" x14ac:dyDescent="0.2">
      <c r="I11962" s="137" t="s">
        <v>74</v>
      </c>
    </row>
    <row r="11963" spans="9:9" x14ac:dyDescent="0.2">
      <c r="I11963" s="137" t="s">
        <v>74</v>
      </c>
    </row>
    <row r="11964" spans="9:9" x14ac:dyDescent="0.2">
      <c r="I11964" s="137" t="s">
        <v>74</v>
      </c>
    </row>
    <row r="11965" spans="9:9" x14ac:dyDescent="0.2">
      <c r="I11965" s="137" t="s">
        <v>74</v>
      </c>
    </row>
    <row r="11966" spans="9:9" x14ac:dyDescent="0.2">
      <c r="I11966" s="137" t="s">
        <v>74</v>
      </c>
    </row>
    <row r="11967" spans="9:9" x14ac:dyDescent="0.2">
      <c r="I11967" s="137" t="s">
        <v>74</v>
      </c>
    </row>
    <row r="11968" spans="9:9" x14ac:dyDescent="0.2">
      <c r="I11968" s="137" t="s">
        <v>74</v>
      </c>
    </row>
    <row r="11969" spans="9:9" x14ac:dyDescent="0.2">
      <c r="I11969" s="137" t="s">
        <v>74</v>
      </c>
    </row>
    <row r="11970" spans="9:9" x14ac:dyDescent="0.2">
      <c r="I11970" s="137" t="s">
        <v>74</v>
      </c>
    </row>
    <row r="11971" spans="9:9" x14ac:dyDescent="0.2">
      <c r="I11971" s="137" t="s">
        <v>74</v>
      </c>
    </row>
    <row r="11972" spans="9:9" x14ac:dyDescent="0.2">
      <c r="I11972" s="137" t="s">
        <v>74</v>
      </c>
    </row>
    <row r="11973" spans="9:9" x14ac:dyDescent="0.2">
      <c r="I11973" s="137" t="s">
        <v>74</v>
      </c>
    </row>
    <row r="11974" spans="9:9" x14ac:dyDescent="0.2">
      <c r="I11974" s="137" t="s">
        <v>74</v>
      </c>
    </row>
    <row r="11975" spans="9:9" x14ac:dyDescent="0.2">
      <c r="I11975" s="137" t="s">
        <v>74</v>
      </c>
    </row>
    <row r="11976" spans="9:9" x14ac:dyDescent="0.2">
      <c r="I11976" s="137" t="s">
        <v>74</v>
      </c>
    </row>
    <row r="11977" spans="9:9" x14ac:dyDescent="0.2">
      <c r="I11977" s="137" t="s">
        <v>74</v>
      </c>
    </row>
    <row r="11978" spans="9:9" x14ac:dyDescent="0.2">
      <c r="I11978" s="137" t="s">
        <v>74</v>
      </c>
    </row>
    <row r="11979" spans="9:9" x14ac:dyDescent="0.2">
      <c r="I11979" s="137" t="s">
        <v>74</v>
      </c>
    </row>
    <row r="11980" spans="9:9" x14ac:dyDescent="0.2">
      <c r="I11980" s="137" t="s">
        <v>74</v>
      </c>
    </row>
    <row r="11981" spans="9:9" x14ac:dyDescent="0.2">
      <c r="I11981" s="137" t="s">
        <v>74</v>
      </c>
    </row>
    <row r="11982" spans="9:9" x14ac:dyDescent="0.2">
      <c r="I11982" s="137" t="s">
        <v>74</v>
      </c>
    </row>
    <row r="11983" spans="9:9" x14ac:dyDescent="0.2">
      <c r="I11983" s="137" t="s">
        <v>74</v>
      </c>
    </row>
    <row r="11984" spans="9:9" x14ac:dyDescent="0.2">
      <c r="I11984" s="137" t="s">
        <v>74</v>
      </c>
    </row>
    <row r="11985" spans="9:9" x14ac:dyDescent="0.2">
      <c r="I11985" s="137" t="s">
        <v>74</v>
      </c>
    </row>
    <row r="11986" spans="9:9" x14ac:dyDescent="0.2">
      <c r="I11986" s="137" t="s">
        <v>74</v>
      </c>
    </row>
    <row r="11987" spans="9:9" x14ac:dyDescent="0.2">
      <c r="I11987" s="137" t="s">
        <v>74</v>
      </c>
    </row>
    <row r="11988" spans="9:9" x14ac:dyDescent="0.2">
      <c r="I11988" s="137" t="s">
        <v>74</v>
      </c>
    </row>
    <row r="11989" spans="9:9" x14ac:dyDescent="0.2">
      <c r="I11989" s="137" t="s">
        <v>74</v>
      </c>
    </row>
    <row r="11990" spans="9:9" x14ac:dyDescent="0.2">
      <c r="I11990" s="137" t="s">
        <v>74</v>
      </c>
    </row>
    <row r="11991" spans="9:9" x14ac:dyDescent="0.2">
      <c r="I11991" s="137" t="s">
        <v>74</v>
      </c>
    </row>
    <row r="11992" spans="9:9" x14ac:dyDescent="0.2">
      <c r="I11992" s="137" t="s">
        <v>74</v>
      </c>
    </row>
    <row r="11993" spans="9:9" x14ac:dyDescent="0.2">
      <c r="I11993" s="137" t="s">
        <v>74</v>
      </c>
    </row>
    <row r="11994" spans="9:9" x14ac:dyDescent="0.2">
      <c r="I11994" s="137" t="s">
        <v>74</v>
      </c>
    </row>
    <row r="11995" spans="9:9" x14ac:dyDescent="0.2">
      <c r="I11995" s="137" t="s">
        <v>74</v>
      </c>
    </row>
    <row r="11996" spans="9:9" x14ac:dyDescent="0.2">
      <c r="I11996" s="137" t="s">
        <v>74</v>
      </c>
    </row>
    <row r="11997" spans="9:9" x14ac:dyDescent="0.2">
      <c r="I11997" s="137" t="s">
        <v>74</v>
      </c>
    </row>
    <row r="11998" spans="9:9" x14ac:dyDescent="0.2">
      <c r="I11998" s="137" t="s">
        <v>74</v>
      </c>
    </row>
    <row r="11999" spans="9:9" x14ac:dyDescent="0.2">
      <c r="I11999" s="137" t="s">
        <v>74</v>
      </c>
    </row>
    <row r="12000" spans="9:9" x14ac:dyDescent="0.2">
      <c r="I12000" s="137" t="s">
        <v>74</v>
      </c>
    </row>
    <row r="12001" spans="9:9" x14ac:dyDescent="0.2">
      <c r="I12001" s="137" t="s">
        <v>74</v>
      </c>
    </row>
    <row r="12002" spans="9:9" x14ac:dyDescent="0.2">
      <c r="I12002" s="137" t="s">
        <v>74</v>
      </c>
    </row>
    <row r="12003" spans="9:9" x14ac:dyDescent="0.2">
      <c r="I12003" s="137" t="s">
        <v>74</v>
      </c>
    </row>
    <row r="12004" spans="9:9" x14ac:dyDescent="0.2">
      <c r="I12004" s="137" t="s">
        <v>74</v>
      </c>
    </row>
    <row r="12005" spans="9:9" x14ac:dyDescent="0.2">
      <c r="I12005" s="137" t="s">
        <v>74</v>
      </c>
    </row>
    <row r="12006" spans="9:9" x14ac:dyDescent="0.2">
      <c r="I12006" s="137" t="s">
        <v>74</v>
      </c>
    </row>
    <row r="12007" spans="9:9" x14ac:dyDescent="0.2">
      <c r="I12007" s="137" t="s">
        <v>74</v>
      </c>
    </row>
    <row r="12008" spans="9:9" x14ac:dyDescent="0.2">
      <c r="I12008" s="137" t="s">
        <v>74</v>
      </c>
    </row>
    <row r="12009" spans="9:9" x14ac:dyDescent="0.2">
      <c r="I12009" s="137" t="s">
        <v>74</v>
      </c>
    </row>
    <row r="12010" spans="9:9" x14ac:dyDescent="0.2">
      <c r="I12010" s="137" t="s">
        <v>74</v>
      </c>
    </row>
    <row r="12011" spans="9:9" x14ac:dyDescent="0.2">
      <c r="I12011" s="137" t="s">
        <v>74</v>
      </c>
    </row>
    <row r="12012" spans="9:9" x14ac:dyDescent="0.2">
      <c r="I12012" s="137" t="s">
        <v>74</v>
      </c>
    </row>
    <row r="12013" spans="9:9" x14ac:dyDescent="0.2">
      <c r="I12013" s="137" t="s">
        <v>74</v>
      </c>
    </row>
    <row r="12014" spans="9:9" x14ac:dyDescent="0.2">
      <c r="I12014" s="137" t="s">
        <v>74</v>
      </c>
    </row>
    <row r="12015" spans="9:9" x14ac:dyDescent="0.2">
      <c r="I12015" s="137" t="s">
        <v>74</v>
      </c>
    </row>
    <row r="12016" spans="9:9" x14ac:dyDescent="0.2">
      <c r="I12016" s="137" t="s">
        <v>74</v>
      </c>
    </row>
    <row r="12017" spans="9:9" x14ac:dyDescent="0.2">
      <c r="I12017" s="137" t="s">
        <v>74</v>
      </c>
    </row>
    <row r="12018" spans="9:9" x14ac:dyDescent="0.2">
      <c r="I12018" s="137" t="s">
        <v>74</v>
      </c>
    </row>
    <row r="12019" spans="9:9" x14ac:dyDescent="0.2">
      <c r="I12019" s="137" t="s">
        <v>74</v>
      </c>
    </row>
    <row r="12020" spans="9:9" x14ac:dyDescent="0.2">
      <c r="I12020" s="137" t="s">
        <v>74</v>
      </c>
    </row>
    <row r="12021" spans="9:9" x14ac:dyDescent="0.2">
      <c r="I12021" s="137" t="s">
        <v>74</v>
      </c>
    </row>
    <row r="12022" spans="9:9" x14ac:dyDescent="0.2">
      <c r="I12022" s="137" t="s">
        <v>74</v>
      </c>
    </row>
    <row r="12023" spans="9:9" x14ac:dyDescent="0.2">
      <c r="I12023" s="137" t="s">
        <v>74</v>
      </c>
    </row>
    <row r="12024" spans="9:9" x14ac:dyDescent="0.2">
      <c r="I12024" s="137" t="s">
        <v>74</v>
      </c>
    </row>
    <row r="12025" spans="9:9" x14ac:dyDescent="0.2">
      <c r="I12025" s="137" t="s">
        <v>74</v>
      </c>
    </row>
    <row r="12026" spans="9:9" x14ac:dyDescent="0.2">
      <c r="I12026" s="137" t="s">
        <v>74</v>
      </c>
    </row>
    <row r="12027" spans="9:9" x14ac:dyDescent="0.2">
      <c r="I12027" s="137" t="s">
        <v>74</v>
      </c>
    </row>
    <row r="12028" spans="9:9" x14ac:dyDescent="0.2">
      <c r="I12028" s="137" t="s">
        <v>74</v>
      </c>
    </row>
    <row r="12029" spans="9:9" x14ac:dyDescent="0.2">
      <c r="I12029" s="137" t="s">
        <v>74</v>
      </c>
    </row>
    <row r="12030" spans="9:9" x14ac:dyDescent="0.2">
      <c r="I12030" s="137" t="s">
        <v>74</v>
      </c>
    </row>
    <row r="12031" spans="9:9" x14ac:dyDescent="0.2">
      <c r="I12031" s="137" t="s">
        <v>74</v>
      </c>
    </row>
    <row r="12032" spans="9:9" x14ac:dyDescent="0.2">
      <c r="I12032" s="137" t="s">
        <v>74</v>
      </c>
    </row>
    <row r="12033" spans="9:9" x14ac:dyDescent="0.2">
      <c r="I12033" s="137" t="s">
        <v>74</v>
      </c>
    </row>
    <row r="12034" spans="9:9" x14ac:dyDescent="0.2">
      <c r="I12034" s="137" t="s">
        <v>74</v>
      </c>
    </row>
    <row r="12035" spans="9:9" x14ac:dyDescent="0.2">
      <c r="I12035" s="137" t="s">
        <v>74</v>
      </c>
    </row>
    <row r="12036" spans="9:9" x14ac:dyDescent="0.2">
      <c r="I12036" s="137" t="s">
        <v>74</v>
      </c>
    </row>
    <row r="12037" spans="9:9" x14ac:dyDescent="0.2">
      <c r="I12037" s="137" t="s">
        <v>74</v>
      </c>
    </row>
    <row r="12038" spans="9:9" x14ac:dyDescent="0.2">
      <c r="I12038" s="137" t="s">
        <v>74</v>
      </c>
    </row>
    <row r="12039" spans="9:9" x14ac:dyDescent="0.2">
      <c r="I12039" s="137" t="s">
        <v>74</v>
      </c>
    </row>
    <row r="12040" spans="9:9" x14ac:dyDescent="0.2">
      <c r="I12040" s="137" t="s">
        <v>74</v>
      </c>
    </row>
    <row r="12041" spans="9:9" x14ac:dyDescent="0.2">
      <c r="I12041" s="137" t="s">
        <v>74</v>
      </c>
    </row>
    <row r="12042" spans="9:9" x14ac:dyDescent="0.2">
      <c r="I12042" s="137" t="s">
        <v>74</v>
      </c>
    </row>
    <row r="12043" spans="9:9" x14ac:dyDescent="0.2">
      <c r="I12043" s="137" t="s">
        <v>74</v>
      </c>
    </row>
    <row r="12044" spans="9:9" x14ac:dyDescent="0.2">
      <c r="I12044" s="137" t="s">
        <v>74</v>
      </c>
    </row>
    <row r="12045" spans="9:9" x14ac:dyDescent="0.2">
      <c r="I12045" s="137" t="s">
        <v>74</v>
      </c>
    </row>
    <row r="12046" spans="9:9" x14ac:dyDescent="0.2">
      <c r="I12046" s="137" t="s">
        <v>74</v>
      </c>
    </row>
    <row r="12047" spans="9:9" x14ac:dyDescent="0.2">
      <c r="I12047" s="137" t="s">
        <v>74</v>
      </c>
    </row>
    <row r="12048" spans="9:9" x14ac:dyDescent="0.2">
      <c r="I12048" s="137" t="s">
        <v>74</v>
      </c>
    </row>
    <row r="12049" spans="9:9" x14ac:dyDescent="0.2">
      <c r="I12049" s="137" t="s">
        <v>74</v>
      </c>
    </row>
    <row r="12050" spans="9:9" x14ac:dyDescent="0.2">
      <c r="I12050" s="137" t="s">
        <v>74</v>
      </c>
    </row>
    <row r="12051" spans="9:9" x14ac:dyDescent="0.2">
      <c r="I12051" s="137" t="s">
        <v>74</v>
      </c>
    </row>
    <row r="12052" spans="9:9" x14ac:dyDescent="0.2">
      <c r="I12052" s="137" t="s">
        <v>74</v>
      </c>
    </row>
    <row r="12053" spans="9:9" x14ac:dyDescent="0.2">
      <c r="I12053" s="137" t="s">
        <v>74</v>
      </c>
    </row>
    <row r="12054" spans="9:9" x14ac:dyDescent="0.2">
      <c r="I12054" s="137" t="s">
        <v>74</v>
      </c>
    </row>
    <row r="12055" spans="9:9" x14ac:dyDescent="0.2">
      <c r="I12055" s="137" t="s">
        <v>74</v>
      </c>
    </row>
    <row r="12056" spans="9:9" x14ac:dyDescent="0.2">
      <c r="I12056" s="137" t="s">
        <v>74</v>
      </c>
    </row>
    <row r="12057" spans="9:9" x14ac:dyDescent="0.2">
      <c r="I12057" s="137" t="s">
        <v>74</v>
      </c>
    </row>
    <row r="12058" spans="9:9" x14ac:dyDescent="0.2">
      <c r="I12058" s="137" t="s">
        <v>74</v>
      </c>
    </row>
    <row r="12059" spans="9:9" x14ac:dyDescent="0.2">
      <c r="I12059" s="137" t="s">
        <v>74</v>
      </c>
    </row>
    <row r="12060" spans="9:9" x14ac:dyDescent="0.2">
      <c r="I12060" s="137" t="s">
        <v>74</v>
      </c>
    </row>
    <row r="12061" spans="9:9" x14ac:dyDescent="0.2">
      <c r="I12061" s="137" t="s">
        <v>74</v>
      </c>
    </row>
    <row r="12062" spans="9:9" x14ac:dyDescent="0.2">
      <c r="I12062" s="137" t="s">
        <v>74</v>
      </c>
    </row>
    <row r="12063" spans="9:9" x14ac:dyDescent="0.2">
      <c r="I12063" s="137" t="s">
        <v>74</v>
      </c>
    </row>
    <row r="12064" spans="9:9" x14ac:dyDescent="0.2">
      <c r="I12064" s="137" t="s">
        <v>74</v>
      </c>
    </row>
    <row r="12065" spans="9:9" x14ac:dyDescent="0.2">
      <c r="I12065" s="137" t="s">
        <v>74</v>
      </c>
    </row>
    <row r="12066" spans="9:9" x14ac:dyDescent="0.2">
      <c r="I12066" s="137" t="s">
        <v>74</v>
      </c>
    </row>
    <row r="12067" spans="9:9" x14ac:dyDescent="0.2">
      <c r="I12067" s="137" t="s">
        <v>74</v>
      </c>
    </row>
    <row r="12068" spans="9:9" x14ac:dyDescent="0.2">
      <c r="I12068" s="137" t="s">
        <v>74</v>
      </c>
    </row>
    <row r="12069" spans="9:9" x14ac:dyDescent="0.2">
      <c r="I12069" s="137" t="s">
        <v>74</v>
      </c>
    </row>
    <row r="12070" spans="9:9" x14ac:dyDescent="0.2">
      <c r="I12070" s="137" t="s">
        <v>74</v>
      </c>
    </row>
    <row r="12071" spans="9:9" x14ac:dyDescent="0.2">
      <c r="I12071" s="137" t="s">
        <v>74</v>
      </c>
    </row>
    <row r="12072" spans="9:9" x14ac:dyDescent="0.2">
      <c r="I12072" s="137" t="s">
        <v>74</v>
      </c>
    </row>
    <row r="12073" spans="9:9" x14ac:dyDescent="0.2">
      <c r="I12073" s="137" t="s">
        <v>74</v>
      </c>
    </row>
    <row r="12074" spans="9:9" x14ac:dyDescent="0.2">
      <c r="I12074" s="137" t="s">
        <v>74</v>
      </c>
    </row>
    <row r="12075" spans="9:9" x14ac:dyDescent="0.2">
      <c r="I12075" s="137" t="s">
        <v>74</v>
      </c>
    </row>
    <row r="12076" spans="9:9" x14ac:dyDescent="0.2">
      <c r="I12076" s="137" t="s">
        <v>74</v>
      </c>
    </row>
    <row r="12077" spans="9:9" x14ac:dyDescent="0.2">
      <c r="I12077" s="137" t="s">
        <v>74</v>
      </c>
    </row>
    <row r="12078" spans="9:9" x14ac:dyDescent="0.2">
      <c r="I12078" s="137" t="s">
        <v>74</v>
      </c>
    </row>
    <row r="12079" spans="9:9" x14ac:dyDescent="0.2">
      <c r="I12079" s="137" t="s">
        <v>74</v>
      </c>
    </row>
    <row r="12080" spans="9:9" x14ac:dyDescent="0.2">
      <c r="I12080" s="137" t="s">
        <v>74</v>
      </c>
    </row>
    <row r="12081" spans="9:9" x14ac:dyDescent="0.2">
      <c r="I12081" s="137" t="s">
        <v>74</v>
      </c>
    </row>
    <row r="12082" spans="9:9" x14ac:dyDescent="0.2">
      <c r="I12082" s="137" t="s">
        <v>74</v>
      </c>
    </row>
    <row r="12083" spans="9:9" x14ac:dyDescent="0.2">
      <c r="I12083" s="137" t="s">
        <v>74</v>
      </c>
    </row>
    <row r="12084" spans="9:9" x14ac:dyDescent="0.2">
      <c r="I12084" s="137" t="s">
        <v>74</v>
      </c>
    </row>
    <row r="12085" spans="9:9" x14ac:dyDescent="0.2">
      <c r="I12085" s="137" t="s">
        <v>74</v>
      </c>
    </row>
    <row r="12086" spans="9:9" x14ac:dyDescent="0.2">
      <c r="I12086" s="137" t="s">
        <v>74</v>
      </c>
    </row>
    <row r="12087" spans="9:9" x14ac:dyDescent="0.2">
      <c r="I12087" s="137" t="s">
        <v>74</v>
      </c>
    </row>
    <row r="12088" spans="9:9" x14ac:dyDescent="0.2">
      <c r="I12088" s="137" t="s">
        <v>74</v>
      </c>
    </row>
    <row r="12089" spans="9:9" x14ac:dyDescent="0.2">
      <c r="I12089" s="137" t="s">
        <v>74</v>
      </c>
    </row>
    <row r="12090" spans="9:9" x14ac:dyDescent="0.2">
      <c r="I12090" s="137" t="s">
        <v>74</v>
      </c>
    </row>
    <row r="12091" spans="9:9" x14ac:dyDescent="0.2">
      <c r="I12091" s="137" t="s">
        <v>74</v>
      </c>
    </row>
    <row r="12092" spans="9:9" x14ac:dyDescent="0.2">
      <c r="I12092" s="137" t="s">
        <v>74</v>
      </c>
    </row>
    <row r="12093" spans="9:9" x14ac:dyDescent="0.2">
      <c r="I12093" s="137" t="s">
        <v>74</v>
      </c>
    </row>
    <row r="12094" spans="9:9" x14ac:dyDescent="0.2">
      <c r="I12094" s="137" t="s">
        <v>74</v>
      </c>
    </row>
    <row r="12095" spans="9:9" x14ac:dyDescent="0.2">
      <c r="I12095" s="137" t="s">
        <v>74</v>
      </c>
    </row>
    <row r="12096" spans="9:9" x14ac:dyDescent="0.2">
      <c r="I12096" s="137" t="s">
        <v>74</v>
      </c>
    </row>
    <row r="12097" spans="9:9" x14ac:dyDescent="0.2">
      <c r="I12097" s="137" t="s">
        <v>74</v>
      </c>
    </row>
    <row r="12098" spans="9:9" x14ac:dyDescent="0.2">
      <c r="I12098" s="137" t="s">
        <v>74</v>
      </c>
    </row>
    <row r="12099" spans="9:9" x14ac:dyDescent="0.2">
      <c r="I12099" s="137" t="s">
        <v>74</v>
      </c>
    </row>
    <row r="12100" spans="9:9" x14ac:dyDescent="0.2">
      <c r="I12100" s="137" t="s">
        <v>74</v>
      </c>
    </row>
    <row r="12101" spans="9:9" x14ac:dyDescent="0.2">
      <c r="I12101" s="137" t="s">
        <v>74</v>
      </c>
    </row>
    <row r="12102" spans="9:9" x14ac:dyDescent="0.2">
      <c r="I12102" s="137" t="s">
        <v>74</v>
      </c>
    </row>
    <row r="12103" spans="9:9" x14ac:dyDescent="0.2">
      <c r="I12103" s="137" t="s">
        <v>74</v>
      </c>
    </row>
    <row r="12104" spans="9:9" x14ac:dyDescent="0.2">
      <c r="I12104" s="137" t="s">
        <v>74</v>
      </c>
    </row>
    <row r="12105" spans="9:9" x14ac:dyDescent="0.2">
      <c r="I12105" s="137" t="s">
        <v>74</v>
      </c>
    </row>
    <row r="12106" spans="9:9" x14ac:dyDescent="0.2">
      <c r="I12106" s="137" t="s">
        <v>74</v>
      </c>
    </row>
    <row r="12107" spans="9:9" x14ac:dyDescent="0.2">
      <c r="I12107" s="137" t="s">
        <v>74</v>
      </c>
    </row>
    <row r="12108" spans="9:9" x14ac:dyDescent="0.2">
      <c r="I12108" s="137" t="s">
        <v>74</v>
      </c>
    </row>
    <row r="12109" spans="9:9" x14ac:dyDescent="0.2">
      <c r="I12109" s="137" t="s">
        <v>74</v>
      </c>
    </row>
    <row r="12110" spans="9:9" x14ac:dyDescent="0.2">
      <c r="I12110" s="137" t="s">
        <v>74</v>
      </c>
    </row>
    <row r="12111" spans="9:9" x14ac:dyDescent="0.2">
      <c r="I12111" s="137" t="s">
        <v>74</v>
      </c>
    </row>
    <row r="12112" spans="9:9" x14ac:dyDescent="0.2">
      <c r="I12112" s="137" t="s">
        <v>74</v>
      </c>
    </row>
    <row r="12113" spans="9:9" x14ac:dyDescent="0.2">
      <c r="I12113" s="137" t="s">
        <v>74</v>
      </c>
    </row>
    <row r="12114" spans="9:9" x14ac:dyDescent="0.2">
      <c r="I12114" s="137" t="s">
        <v>74</v>
      </c>
    </row>
    <row r="12115" spans="9:9" x14ac:dyDescent="0.2">
      <c r="I12115" s="137" t="s">
        <v>74</v>
      </c>
    </row>
    <row r="12116" spans="9:9" x14ac:dyDescent="0.2">
      <c r="I12116" s="137" t="s">
        <v>74</v>
      </c>
    </row>
    <row r="12117" spans="9:9" x14ac:dyDescent="0.2">
      <c r="I12117" s="137" t="s">
        <v>74</v>
      </c>
    </row>
    <row r="12118" spans="9:9" x14ac:dyDescent="0.2">
      <c r="I12118" s="137" t="s">
        <v>74</v>
      </c>
    </row>
    <row r="12119" spans="9:9" x14ac:dyDescent="0.2">
      <c r="I12119" s="137" t="s">
        <v>74</v>
      </c>
    </row>
    <row r="12120" spans="9:9" x14ac:dyDescent="0.2">
      <c r="I12120" s="137" t="s">
        <v>74</v>
      </c>
    </row>
    <row r="12121" spans="9:9" x14ac:dyDescent="0.2">
      <c r="I12121" s="137" t="s">
        <v>74</v>
      </c>
    </row>
    <row r="12122" spans="9:9" x14ac:dyDescent="0.2">
      <c r="I12122" s="137" t="s">
        <v>74</v>
      </c>
    </row>
    <row r="12123" spans="9:9" x14ac:dyDescent="0.2">
      <c r="I12123" s="137" t="s">
        <v>74</v>
      </c>
    </row>
    <row r="12124" spans="9:9" x14ac:dyDescent="0.2">
      <c r="I12124" s="137" t="s">
        <v>74</v>
      </c>
    </row>
    <row r="12125" spans="9:9" x14ac:dyDescent="0.2">
      <c r="I12125" s="137" t="s">
        <v>74</v>
      </c>
    </row>
    <row r="12126" spans="9:9" x14ac:dyDescent="0.2">
      <c r="I12126" s="137" t="s">
        <v>74</v>
      </c>
    </row>
    <row r="12127" spans="9:9" x14ac:dyDescent="0.2">
      <c r="I12127" s="137" t="s">
        <v>74</v>
      </c>
    </row>
    <row r="12128" spans="9:9" x14ac:dyDescent="0.2">
      <c r="I12128" s="137" t="s">
        <v>74</v>
      </c>
    </row>
    <row r="12129" spans="9:9" x14ac:dyDescent="0.2">
      <c r="I12129" s="137" t="s">
        <v>74</v>
      </c>
    </row>
    <row r="12130" spans="9:9" x14ac:dyDescent="0.2">
      <c r="I12130" s="137" t="s">
        <v>74</v>
      </c>
    </row>
    <row r="12131" spans="9:9" x14ac:dyDescent="0.2">
      <c r="I12131" s="137" t="s">
        <v>74</v>
      </c>
    </row>
    <row r="12132" spans="9:9" x14ac:dyDescent="0.2">
      <c r="I12132" s="137" t="s">
        <v>74</v>
      </c>
    </row>
    <row r="12133" spans="9:9" x14ac:dyDescent="0.2">
      <c r="I12133" s="137" t="s">
        <v>74</v>
      </c>
    </row>
    <row r="12134" spans="9:9" x14ac:dyDescent="0.2">
      <c r="I12134" s="137" t="s">
        <v>74</v>
      </c>
    </row>
    <row r="12135" spans="9:9" x14ac:dyDescent="0.2">
      <c r="I12135" s="137" t="s">
        <v>74</v>
      </c>
    </row>
    <row r="12136" spans="9:9" x14ac:dyDescent="0.2">
      <c r="I12136" s="137" t="s">
        <v>74</v>
      </c>
    </row>
    <row r="12137" spans="9:9" x14ac:dyDescent="0.2">
      <c r="I12137" s="137" t="s">
        <v>74</v>
      </c>
    </row>
    <row r="12138" spans="9:9" x14ac:dyDescent="0.2">
      <c r="I12138" s="137" t="s">
        <v>74</v>
      </c>
    </row>
    <row r="12139" spans="9:9" x14ac:dyDescent="0.2">
      <c r="I12139" s="137" t="s">
        <v>74</v>
      </c>
    </row>
    <row r="12140" spans="9:9" x14ac:dyDescent="0.2">
      <c r="I12140" s="137" t="s">
        <v>74</v>
      </c>
    </row>
    <row r="12141" spans="9:9" x14ac:dyDescent="0.2">
      <c r="I12141" s="137" t="s">
        <v>74</v>
      </c>
    </row>
    <row r="12142" spans="9:9" x14ac:dyDescent="0.2">
      <c r="I12142" s="137" t="s">
        <v>74</v>
      </c>
    </row>
    <row r="12143" spans="9:9" x14ac:dyDescent="0.2">
      <c r="I12143" s="137" t="s">
        <v>74</v>
      </c>
    </row>
    <row r="12144" spans="9:9" x14ac:dyDescent="0.2">
      <c r="I12144" s="137" t="s">
        <v>74</v>
      </c>
    </row>
    <row r="12145" spans="9:9" x14ac:dyDescent="0.2">
      <c r="I12145" s="137" t="s">
        <v>74</v>
      </c>
    </row>
    <row r="12146" spans="9:9" x14ac:dyDescent="0.2">
      <c r="I12146" s="137" t="s">
        <v>74</v>
      </c>
    </row>
    <row r="12147" spans="9:9" x14ac:dyDescent="0.2">
      <c r="I12147" s="137" t="s">
        <v>74</v>
      </c>
    </row>
    <row r="12148" spans="9:9" x14ac:dyDescent="0.2">
      <c r="I12148" s="137" t="s">
        <v>74</v>
      </c>
    </row>
    <row r="12149" spans="9:9" x14ac:dyDescent="0.2">
      <c r="I12149" s="137" t="s">
        <v>74</v>
      </c>
    </row>
    <row r="12150" spans="9:9" x14ac:dyDescent="0.2">
      <c r="I12150" s="137" t="s">
        <v>74</v>
      </c>
    </row>
    <row r="12151" spans="9:9" x14ac:dyDescent="0.2">
      <c r="I12151" s="137" t="s">
        <v>74</v>
      </c>
    </row>
    <row r="12152" spans="9:9" x14ac:dyDescent="0.2">
      <c r="I12152" s="137" t="s">
        <v>74</v>
      </c>
    </row>
    <row r="12153" spans="9:9" x14ac:dyDescent="0.2">
      <c r="I12153" s="137" t="s">
        <v>74</v>
      </c>
    </row>
    <row r="12154" spans="9:9" x14ac:dyDescent="0.2">
      <c r="I12154" s="137" t="s">
        <v>74</v>
      </c>
    </row>
    <row r="12155" spans="9:9" x14ac:dyDescent="0.2">
      <c r="I12155" s="137" t="s">
        <v>74</v>
      </c>
    </row>
    <row r="12156" spans="9:9" x14ac:dyDescent="0.2">
      <c r="I12156" s="137" t="s">
        <v>74</v>
      </c>
    </row>
    <row r="12157" spans="9:9" x14ac:dyDescent="0.2">
      <c r="I12157" s="137" t="s">
        <v>74</v>
      </c>
    </row>
    <row r="12158" spans="9:9" x14ac:dyDescent="0.2">
      <c r="I12158" s="137" t="s">
        <v>74</v>
      </c>
    </row>
    <row r="12159" spans="9:9" x14ac:dyDescent="0.2">
      <c r="I12159" s="137" t="s">
        <v>74</v>
      </c>
    </row>
    <row r="12160" spans="9:9" x14ac:dyDescent="0.2">
      <c r="I12160" s="137" t="s">
        <v>74</v>
      </c>
    </row>
    <row r="12161" spans="9:9" x14ac:dyDescent="0.2">
      <c r="I12161" s="137" t="s">
        <v>74</v>
      </c>
    </row>
    <row r="12162" spans="9:9" x14ac:dyDescent="0.2">
      <c r="I12162" s="137" t="s">
        <v>74</v>
      </c>
    </row>
    <row r="12163" spans="9:9" x14ac:dyDescent="0.2">
      <c r="I12163" s="137" t="s">
        <v>74</v>
      </c>
    </row>
    <row r="12164" spans="9:9" x14ac:dyDescent="0.2">
      <c r="I12164" s="137" t="s">
        <v>74</v>
      </c>
    </row>
    <row r="12165" spans="9:9" x14ac:dyDescent="0.2">
      <c r="I12165" s="137" t="s">
        <v>74</v>
      </c>
    </row>
    <row r="12166" spans="9:9" x14ac:dyDescent="0.2">
      <c r="I12166" s="137" t="s">
        <v>74</v>
      </c>
    </row>
    <row r="12167" spans="9:9" x14ac:dyDescent="0.2">
      <c r="I12167" s="137" t="s">
        <v>74</v>
      </c>
    </row>
    <row r="12168" spans="9:9" x14ac:dyDescent="0.2">
      <c r="I12168" s="137" t="s">
        <v>74</v>
      </c>
    </row>
    <row r="12169" spans="9:9" x14ac:dyDescent="0.2">
      <c r="I12169" s="137" t="s">
        <v>74</v>
      </c>
    </row>
    <row r="12170" spans="9:9" x14ac:dyDescent="0.2">
      <c r="I12170" s="137" t="s">
        <v>74</v>
      </c>
    </row>
    <row r="12171" spans="9:9" x14ac:dyDescent="0.2">
      <c r="I12171" s="137" t="s">
        <v>74</v>
      </c>
    </row>
    <row r="12172" spans="9:9" x14ac:dyDescent="0.2">
      <c r="I12172" s="137" t="s">
        <v>74</v>
      </c>
    </row>
    <row r="12173" spans="9:9" x14ac:dyDescent="0.2">
      <c r="I12173" s="137" t="s">
        <v>74</v>
      </c>
    </row>
    <row r="12174" spans="9:9" x14ac:dyDescent="0.2">
      <c r="I12174" s="137" t="s">
        <v>74</v>
      </c>
    </row>
    <row r="12175" spans="9:9" x14ac:dyDescent="0.2">
      <c r="I12175" s="137" t="s">
        <v>74</v>
      </c>
    </row>
    <row r="12176" spans="9:9" x14ac:dyDescent="0.2">
      <c r="I12176" s="137" t="s">
        <v>74</v>
      </c>
    </row>
    <row r="12177" spans="9:9" x14ac:dyDescent="0.2">
      <c r="I12177" s="137" t="s">
        <v>74</v>
      </c>
    </row>
    <row r="12178" spans="9:9" x14ac:dyDescent="0.2">
      <c r="I12178" s="137" t="s">
        <v>74</v>
      </c>
    </row>
    <row r="12179" spans="9:9" x14ac:dyDescent="0.2">
      <c r="I12179" s="137" t="s">
        <v>74</v>
      </c>
    </row>
    <row r="12180" spans="9:9" x14ac:dyDescent="0.2">
      <c r="I12180" s="137" t="s">
        <v>74</v>
      </c>
    </row>
    <row r="12181" spans="9:9" x14ac:dyDescent="0.2">
      <c r="I12181" s="137" t="s">
        <v>74</v>
      </c>
    </row>
    <row r="12182" spans="9:9" x14ac:dyDescent="0.2">
      <c r="I12182" s="137" t="s">
        <v>74</v>
      </c>
    </row>
    <row r="12183" spans="9:9" x14ac:dyDescent="0.2">
      <c r="I12183" s="137" t="s">
        <v>74</v>
      </c>
    </row>
    <row r="12184" spans="9:9" x14ac:dyDescent="0.2">
      <c r="I12184" s="137" t="s">
        <v>74</v>
      </c>
    </row>
    <row r="12185" spans="9:9" x14ac:dyDescent="0.2">
      <c r="I12185" s="137" t="s">
        <v>74</v>
      </c>
    </row>
    <row r="12186" spans="9:9" x14ac:dyDescent="0.2">
      <c r="I12186" s="137" t="s">
        <v>74</v>
      </c>
    </row>
    <row r="12187" spans="9:9" x14ac:dyDescent="0.2">
      <c r="I12187" s="137" t="s">
        <v>74</v>
      </c>
    </row>
    <row r="12188" spans="9:9" x14ac:dyDescent="0.2">
      <c r="I12188" s="137" t="s">
        <v>74</v>
      </c>
    </row>
    <row r="12189" spans="9:9" x14ac:dyDescent="0.2">
      <c r="I12189" s="137" t="s">
        <v>74</v>
      </c>
    </row>
    <row r="12190" spans="9:9" x14ac:dyDescent="0.2">
      <c r="I12190" s="137" t="s">
        <v>74</v>
      </c>
    </row>
    <row r="12191" spans="9:9" x14ac:dyDescent="0.2">
      <c r="I12191" s="137" t="s">
        <v>74</v>
      </c>
    </row>
    <row r="12192" spans="9:9" x14ac:dyDescent="0.2">
      <c r="I12192" s="137" t="s">
        <v>74</v>
      </c>
    </row>
    <row r="12193" spans="9:9" x14ac:dyDescent="0.2">
      <c r="I12193" s="137" t="s">
        <v>74</v>
      </c>
    </row>
    <row r="12194" spans="9:9" x14ac:dyDescent="0.2">
      <c r="I12194" s="137" t="s">
        <v>74</v>
      </c>
    </row>
    <row r="12195" spans="9:9" x14ac:dyDescent="0.2">
      <c r="I12195" s="137" t="s">
        <v>74</v>
      </c>
    </row>
    <row r="12196" spans="9:9" x14ac:dyDescent="0.2">
      <c r="I12196" s="137" t="s">
        <v>74</v>
      </c>
    </row>
    <row r="12197" spans="9:9" x14ac:dyDescent="0.2">
      <c r="I12197" s="137" t="s">
        <v>74</v>
      </c>
    </row>
    <row r="12198" spans="9:9" x14ac:dyDescent="0.2">
      <c r="I12198" s="137" t="s">
        <v>74</v>
      </c>
    </row>
    <row r="12199" spans="9:9" x14ac:dyDescent="0.2">
      <c r="I12199" s="137" t="s">
        <v>74</v>
      </c>
    </row>
    <row r="12200" spans="9:9" x14ac:dyDescent="0.2">
      <c r="I12200" s="137" t="s">
        <v>74</v>
      </c>
    </row>
    <row r="12201" spans="9:9" x14ac:dyDescent="0.2">
      <c r="I12201" s="137" t="s">
        <v>74</v>
      </c>
    </row>
    <row r="12202" spans="9:9" x14ac:dyDescent="0.2">
      <c r="I12202" s="137" t="s">
        <v>74</v>
      </c>
    </row>
    <row r="12203" spans="9:9" x14ac:dyDescent="0.2">
      <c r="I12203" s="137" t="s">
        <v>74</v>
      </c>
    </row>
    <row r="12204" spans="9:9" x14ac:dyDescent="0.2">
      <c r="I12204" s="137" t="s">
        <v>74</v>
      </c>
    </row>
    <row r="12205" spans="9:9" x14ac:dyDescent="0.2">
      <c r="I12205" s="137" t="s">
        <v>74</v>
      </c>
    </row>
    <row r="12206" spans="9:9" x14ac:dyDescent="0.2">
      <c r="I12206" s="137" t="s">
        <v>74</v>
      </c>
    </row>
    <row r="12207" spans="9:9" x14ac:dyDescent="0.2">
      <c r="I12207" s="137" t="s">
        <v>74</v>
      </c>
    </row>
    <row r="12208" spans="9:9" x14ac:dyDescent="0.2">
      <c r="I12208" s="137" t="s">
        <v>74</v>
      </c>
    </row>
    <row r="12209" spans="9:9" x14ac:dyDescent="0.2">
      <c r="I12209" s="137" t="s">
        <v>74</v>
      </c>
    </row>
    <row r="12210" spans="9:9" x14ac:dyDescent="0.2">
      <c r="I12210" s="137" t="s">
        <v>74</v>
      </c>
    </row>
    <row r="12211" spans="9:9" x14ac:dyDescent="0.2">
      <c r="I12211" s="137" t="s">
        <v>74</v>
      </c>
    </row>
    <row r="12212" spans="9:9" x14ac:dyDescent="0.2">
      <c r="I12212" s="137" t="s">
        <v>74</v>
      </c>
    </row>
    <row r="12213" spans="9:9" x14ac:dyDescent="0.2">
      <c r="I12213" s="137" t="s">
        <v>74</v>
      </c>
    </row>
    <row r="12214" spans="9:9" x14ac:dyDescent="0.2">
      <c r="I12214" s="137" t="s">
        <v>74</v>
      </c>
    </row>
    <row r="12215" spans="9:9" x14ac:dyDescent="0.2">
      <c r="I12215" s="137" t="s">
        <v>74</v>
      </c>
    </row>
    <row r="12216" spans="9:9" x14ac:dyDescent="0.2">
      <c r="I12216" s="137" t="s">
        <v>74</v>
      </c>
    </row>
    <row r="12217" spans="9:9" x14ac:dyDescent="0.2">
      <c r="I12217" s="137" t="s">
        <v>74</v>
      </c>
    </row>
    <row r="12218" spans="9:9" x14ac:dyDescent="0.2">
      <c r="I12218" s="137" t="s">
        <v>74</v>
      </c>
    </row>
    <row r="12219" spans="9:9" x14ac:dyDescent="0.2">
      <c r="I12219" s="137" t="s">
        <v>74</v>
      </c>
    </row>
    <row r="12220" spans="9:9" x14ac:dyDescent="0.2">
      <c r="I12220" s="137" t="s">
        <v>74</v>
      </c>
    </row>
    <row r="12221" spans="9:9" x14ac:dyDescent="0.2">
      <c r="I12221" s="137" t="s">
        <v>74</v>
      </c>
    </row>
    <row r="12222" spans="9:9" x14ac:dyDescent="0.2">
      <c r="I12222" s="137" t="s">
        <v>74</v>
      </c>
    </row>
    <row r="12223" spans="9:9" x14ac:dyDescent="0.2">
      <c r="I12223" s="137" t="s">
        <v>74</v>
      </c>
    </row>
    <row r="12224" spans="9:9" x14ac:dyDescent="0.2">
      <c r="I12224" s="137" t="s">
        <v>74</v>
      </c>
    </row>
    <row r="12225" spans="9:9" x14ac:dyDescent="0.2">
      <c r="I12225" s="137" t="s">
        <v>74</v>
      </c>
    </row>
    <row r="12226" spans="9:9" x14ac:dyDescent="0.2">
      <c r="I12226" s="137" t="s">
        <v>74</v>
      </c>
    </row>
    <row r="12227" spans="9:9" x14ac:dyDescent="0.2">
      <c r="I12227" s="137" t="s">
        <v>74</v>
      </c>
    </row>
    <row r="12228" spans="9:9" x14ac:dyDescent="0.2">
      <c r="I12228" s="137" t="s">
        <v>74</v>
      </c>
    </row>
    <row r="12229" spans="9:9" x14ac:dyDescent="0.2">
      <c r="I12229" s="137" t="s">
        <v>74</v>
      </c>
    </row>
    <row r="12230" spans="9:9" x14ac:dyDescent="0.2">
      <c r="I12230" s="137" t="s">
        <v>74</v>
      </c>
    </row>
    <row r="12231" spans="9:9" x14ac:dyDescent="0.2">
      <c r="I12231" s="137" t="s">
        <v>74</v>
      </c>
    </row>
    <row r="12232" spans="9:9" x14ac:dyDescent="0.2">
      <c r="I12232" s="137" t="s">
        <v>74</v>
      </c>
    </row>
    <row r="12233" spans="9:9" x14ac:dyDescent="0.2">
      <c r="I12233" s="137" t="s">
        <v>74</v>
      </c>
    </row>
    <row r="12234" spans="9:9" x14ac:dyDescent="0.2">
      <c r="I12234" s="137" t="s">
        <v>74</v>
      </c>
    </row>
    <row r="12235" spans="9:9" x14ac:dyDescent="0.2">
      <c r="I12235" s="137" t="s">
        <v>74</v>
      </c>
    </row>
    <row r="12236" spans="9:9" x14ac:dyDescent="0.2">
      <c r="I12236" s="137" t="s">
        <v>74</v>
      </c>
    </row>
    <row r="12237" spans="9:9" x14ac:dyDescent="0.2">
      <c r="I12237" s="137" t="s">
        <v>74</v>
      </c>
    </row>
    <row r="12238" spans="9:9" x14ac:dyDescent="0.2">
      <c r="I12238" s="137" t="s">
        <v>74</v>
      </c>
    </row>
    <row r="12239" spans="9:9" x14ac:dyDescent="0.2">
      <c r="I12239" s="137" t="s">
        <v>74</v>
      </c>
    </row>
    <row r="12240" spans="9:9" x14ac:dyDescent="0.2">
      <c r="I12240" s="137" t="s">
        <v>74</v>
      </c>
    </row>
    <row r="12241" spans="9:9" x14ac:dyDescent="0.2">
      <c r="I12241" s="137" t="s">
        <v>74</v>
      </c>
    </row>
    <row r="12242" spans="9:9" x14ac:dyDescent="0.2">
      <c r="I12242" s="137" t="s">
        <v>74</v>
      </c>
    </row>
    <row r="12243" spans="9:9" x14ac:dyDescent="0.2">
      <c r="I12243" s="137" t="s">
        <v>74</v>
      </c>
    </row>
    <row r="12244" spans="9:9" x14ac:dyDescent="0.2">
      <c r="I12244" s="137" t="s">
        <v>74</v>
      </c>
    </row>
    <row r="12245" spans="9:9" x14ac:dyDescent="0.2">
      <c r="I12245" s="137" t="s">
        <v>74</v>
      </c>
    </row>
    <row r="12246" spans="9:9" x14ac:dyDescent="0.2">
      <c r="I12246" s="137" t="s">
        <v>74</v>
      </c>
    </row>
    <row r="12247" spans="9:9" x14ac:dyDescent="0.2">
      <c r="I12247" s="137" t="s">
        <v>74</v>
      </c>
    </row>
    <row r="12248" spans="9:9" x14ac:dyDescent="0.2">
      <c r="I12248" s="137" t="s">
        <v>74</v>
      </c>
    </row>
    <row r="12249" spans="9:9" x14ac:dyDescent="0.2">
      <c r="I12249" s="137" t="s">
        <v>74</v>
      </c>
    </row>
    <row r="12250" spans="9:9" x14ac:dyDescent="0.2">
      <c r="I12250" s="137" t="s">
        <v>74</v>
      </c>
    </row>
    <row r="12251" spans="9:9" x14ac:dyDescent="0.2">
      <c r="I12251" s="137" t="s">
        <v>74</v>
      </c>
    </row>
    <row r="12252" spans="9:9" x14ac:dyDescent="0.2">
      <c r="I12252" s="137" t="s">
        <v>74</v>
      </c>
    </row>
    <row r="12253" spans="9:9" x14ac:dyDescent="0.2">
      <c r="I12253" s="137" t="s">
        <v>74</v>
      </c>
    </row>
    <row r="12254" spans="9:9" x14ac:dyDescent="0.2">
      <c r="I12254" s="137" t="s">
        <v>74</v>
      </c>
    </row>
    <row r="12255" spans="9:9" x14ac:dyDescent="0.2">
      <c r="I12255" s="137" t="s">
        <v>74</v>
      </c>
    </row>
    <row r="12256" spans="9:9" x14ac:dyDescent="0.2">
      <c r="I12256" s="137" t="s">
        <v>74</v>
      </c>
    </row>
    <row r="12257" spans="9:9" x14ac:dyDescent="0.2">
      <c r="I12257" s="137" t="s">
        <v>74</v>
      </c>
    </row>
    <row r="12258" spans="9:9" x14ac:dyDescent="0.2">
      <c r="I12258" s="137" t="s">
        <v>74</v>
      </c>
    </row>
    <row r="12259" spans="9:9" x14ac:dyDescent="0.2">
      <c r="I12259" s="137" t="s">
        <v>74</v>
      </c>
    </row>
    <row r="12260" spans="9:9" x14ac:dyDescent="0.2">
      <c r="I12260" s="137" t="s">
        <v>74</v>
      </c>
    </row>
    <row r="12261" spans="9:9" x14ac:dyDescent="0.2">
      <c r="I12261" s="137" t="s">
        <v>74</v>
      </c>
    </row>
    <row r="12262" spans="9:9" x14ac:dyDescent="0.2">
      <c r="I12262" s="137" t="s">
        <v>74</v>
      </c>
    </row>
    <row r="12263" spans="9:9" x14ac:dyDescent="0.2">
      <c r="I12263" s="137" t="s">
        <v>74</v>
      </c>
    </row>
    <row r="12264" spans="9:9" x14ac:dyDescent="0.2">
      <c r="I12264" s="137" t="s">
        <v>74</v>
      </c>
    </row>
    <row r="12265" spans="9:9" x14ac:dyDescent="0.2">
      <c r="I12265" s="137" t="s">
        <v>74</v>
      </c>
    </row>
    <row r="12266" spans="9:9" x14ac:dyDescent="0.2">
      <c r="I12266" s="137" t="s">
        <v>74</v>
      </c>
    </row>
    <row r="12267" spans="9:9" x14ac:dyDescent="0.2">
      <c r="I12267" s="137" t="s">
        <v>74</v>
      </c>
    </row>
    <row r="12268" spans="9:9" x14ac:dyDescent="0.2">
      <c r="I12268" s="137" t="s">
        <v>74</v>
      </c>
    </row>
    <row r="12269" spans="9:9" x14ac:dyDescent="0.2">
      <c r="I12269" s="137" t="s">
        <v>74</v>
      </c>
    </row>
    <row r="12270" spans="9:9" x14ac:dyDescent="0.2">
      <c r="I12270" s="137" t="s">
        <v>74</v>
      </c>
    </row>
    <row r="12271" spans="9:9" x14ac:dyDescent="0.2">
      <c r="I12271" s="137" t="s">
        <v>74</v>
      </c>
    </row>
    <row r="12272" spans="9:9" x14ac:dyDescent="0.2">
      <c r="I12272" s="137" t="s">
        <v>74</v>
      </c>
    </row>
    <row r="12273" spans="9:9" x14ac:dyDescent="0.2">
      <c r="I12273" s="137" t="s">
        <v>74</v>
      </c>
    </row>
    <row r="12274" spans="9:9" x14ac:dyDescent="0.2">
      <c r="I12274" s="137" t="s">
        <v>74</v>
      </c>
    </row>
    <row r="12275" spans="9:9" x14ac:dyDescent="0.2">
      <c r="I12275" s="137" t="s">
        <v>74</v>
      </c>
    </row>
    <row r="12276" spans="9:9" x14ac:dyDescent="0.2">
      <c r="I12276" s="137" t="s">
        <v>74</v>
      </c>
    </row>
    <row r="12277" spans="9:9" x14ac:dyDescent="0.2">
      <c r="I12277" s="137" t="s">
        <v>74</v>
      </c>
    </row>
    <row r="12278" spans="9:9" x14ac:dyDescent="0.2">
      <c r="I12278" s="137" t="s">
        <v>74</v>
      </c>
    </row>
    <row r="12279" spans="9:9" x14ac:dyDescent="0.2">
      <c r="I12279" s="137" t="s">
        <v>74</v>
      </c>
    </row>
    <row r="12280" spans="9:9" x14ac:dyDescent="0.2">
      <c r="I12280" s="137" t="s">
        <v>74</v>
      </c>
    </row>
    <row r="12281" spans="9:9" x14ac:dyDescent="0.2">
      <c r="I12281" s="137" t="s">
        <v>74</v>
      </c>
    </row>
    <row r="12282" spans="9:9" x14ac:dyDescent="0.2">
      <c r="I12282" s="137" t="s">
        <v>74</v>
      </c>
    </row>
    <row r="12283" spans="9:9" x14ac:dyDescent="0.2">
      <c r="I12283" s="137" t="s">
        <v>74</v>
      </c>
    </row>
    <row r="12284" spans="9:9" x14ac:dyDescent="0.2">
      <c r="I12284" s="137" t="s">
        <v>74</v>
      </c>
    </row>
    <row r="12285" spans="9:9" x14ac:dyDescent="0.2">
      <c r="I12285" s="137" t="s">
        <v>74</v>
      </c>
    </row>
    <row r="12286" spans="9:9" x14ac:dyDescent="0.2">
      <c r="I12286" s="137" t="s">
        <v>74</v>
      </c>
    </row>
    <row r="12287" spans="9:9" x14ac:dyDescent="0.2">
      <c r="I12287" s="137" t="s">
        <v>74</v>
      </c>
    </row>
    <row r="12288" spans="9:9" x14ac:dyDescent="0.2">
      <c r="I12288" s="137" t="s">
        <v>74</v>
      </c>
    </row>
    <row r="12289" spans="9:9" x14ac:dyDescent="0.2">
      <c r="I12289" s="137" t="s">
        <v>74</v>
      </c>
    </row>
    <row r="12290" spans="9:9" x14ac:dyDescent="0.2">
      <c r="I12290" s="137" t="s">
        <v>74</v>
      </c>
    </row>
    <row r="12291" spans="9:9" x14ac:dyDescent="0.2">
      <c r="I12291" s="137" t="s">
        <v>74</v>
      </c>
    </row>
    <row r="12292" spans="9:9" x14ac:dyDescent="0.2">
      <c r="I12292" s="137" t="s">
        <v>74</v>
      </c>
    </row>
    <row r="12293" spans="9:9" x14ac:dyDescent="0.2">
      <c r="I12293" s="137" t="s">
        <v>74</v>
      </c>
    </row>
    <row r="12294" spans="9:9" x14ac:dyDescent="0.2">
      <c r="I12294" s="137" t="s">
        <v>74</v>
      </c>
    </row>
    <row r="12295" spans="9:9" x14ac:dyDescent="0.2">
      <c r="I12295" s="137" t="s">
        <v>74</v>
      </c>
    </row>
    <row r="12296" spans="9:9" x14ac:dyDescent="0.2">
      <c r="I12296" s="137" t="s">
        <v>74</v>
      </c>
    </row>
    <row r="12297" spans="9:9" x14ac:dyDescent="0.2">
      <c r="I12297" s="137" t="s">
        <v>74</v>
      </c>
    </row>
    <row r="12298" spans="9:9" x14ac:dyDescent="0.2">
      <c r="I12298" s="137" t="s">
        <v>74</v>
      </c>
    </row>
    <row r="12299" spans="9:9" x14ac:dyDescent="0.2">
      <c r="I12299" s="137" t="s">
        <v>74</v>
      </c>
    </row>
    <row r="12300" spans="9:9" x14ac:dyDescent="0.2">
      <c r="I12300" s="137" t="s">
        <v>74</v>
      </c>
    </row>
    <row r="12301" spans="9:9" x14ac:dyDescent="0.2">
      <c r="I12301" s="137" t="s">
        <v>74</v>
      </c>
    </row>
    <row r="12302" spans="9:9" x14ac:dyDescent="0.2">
      <c r="I12302" s="137" t="s">
        <v>74</v>
      </c>
    </row>
    <row r="12303" spans="9:9" x14ac:dyDescent="0.2">
      <c r="I12303" s="137" t="s">
        <v>74</v>
      </c>
    </row>
    <row r="12304" spans="9:9" x14ac:dyDescent="0.2">
      <c r="I12304" s="137" t="s">
        <v>74</v>
      </c>
    </row>
    <row r="12305" spans="9:9" x14ac:dyDescent="0.2">
      <c r="I12305" s="137" t="s">
        <v>74</v>
      </c>
    </row>
    <row r="12306" spans="9:9" x14ac:dyDescent="0.2">
      <c r="I12306" s="137" t="s">
        <v>74</v>
      </c>
    </row>
    <row r="12307" spans="9:9" x14ac:dyDescent="0.2">
      <c r="I12307" s="137" t="s">
        <v>74</v>
      </c>
    </row>
    <row r="12308" spans="9:9" x14ac:dyDescent="0.2">
      <c r="I12308" s="137" t="s">
        <v>74</v>
      </c>
    </row>
    <row r="12309" spans="9:9" x14ac:dyDescent="0.2">
      <c r="I12309" s="137" t="s">
        <v>74</v>
      </c>
    </row>
    <row r="12310" spans="9:9" x14ac:dyDescent="0.2">
      <c r="I12310" s="137" t="s">
        <v>74</v>
      </c>
    </row>
    <row r="12311" spans="9:9" x14ac:dyDescent="0.2">
      <c r="I12311" s="137" t="s">
        <v>74</v>
      </c>
    </row>
    <row r="12312" spans="9:9" x14ac:dyDescent="0.2">
      <c r="I12312" s="137" t="s">
        <v>74</v>
      </c>
    </row>
    <row r="12313" spans="9:9" x14ac:dyDescent="0.2">
      <c r="I12313" s="137" t="s">
        <v>74</v>
      </c>
    </row>
    <row r="12314" spans="9:9" x14ac:dyDescent="0.2">
      <c r="I12314" s="137" t="s">
        <v>74</v>
      </c>
    </row>
    <row r="12315" spans="9:9" x14ac:dyDescent="0.2">
      <c r="I12315" s="137" t="s">
        <v>74</v>
      </c>
    </row>
    <row r="12316" spans="9:9" x14ac:dyDescent="0.2">
      <c r="I12316" s="137" t="s">
        <v>74</v>
      </c>
    </row>
    <row r="12317" spans="9:9" x14ac:dyDescent="0.2">
      <c r="I12317" s="137" t="s">
        <v>74</v>
      </c>
    </row>
    <row r="12318" spans="9:9" x14ac:dyDescent="0.2">
      <c r="I12318" s="137" t="s">
        <v>74</v>
      </c>
    </row>
    <row r="12319" spans="9:9" x14ac:dyDescent="0.2">
      <c r="I12319" s="137" t="s">
        <v>74</v>
      </c>
    </row>
    <row r="12320" spans="9:9" x14ac:dyDescent="0.2">
      <c r="I12320" s="137" t="s">
        <v>74</v>
      </c>
    </row>
    <row r="12321" spans="9:9" x14ac:dyDescent="0.2">
      <c r="I12321" s="137" t="s">
        <v>74</v>
      </c>
    </row>
    <row r="12322" spans="9:9" x14ac:dyDescent="0.2">
      <c r="I12322" s="137" t="s">
        <v>74</v>
      </c>
    </row>
    <row r="12323" spans="9:9" x14ac:dyDescent="0.2">
      <c r="I12323" s="137" t="s">
        <v>74</v>
      </c>
    </row>
    <row r="12324" spans="9:9" x14ac:dyDescent="0.2">
      <c r="I12324" s="137" t="s">
        <v>74</v>
      </c>
    </row>
    <row r="12325" spans="9:9" x14ac:dyDescent="0.2">
      <c r="I12325" s="137" t="s">
        <v>74</v>
      </c>
    </row>
    <row r="12326" spans="9:9" x14ac:dyDescent="0.2">
      <c r="I12326" s="137" t="s">
        <v>74</v>
      </c>
    </row>
    <row r="12327" spans="9:9" x14ac:dyDescent="0.2">
      <c r="I12327" s="137" t="s">
        <v>74</v>
      </c>
    </row>
    <row r="12328" spans="9:9" x14ac:dyDescent="0.2">
      <c r="I12328" s="137" t="s">
        <v>74</v>
      </c>
    </row>
    <row r="12329" spans="9:9" x14ac:dyDescent="0.2">
      <c r="I12329" s="137" t="s">
        <v>74</v>
      </c>
    </row>
    <row r="12330" spans="9:9" x14ac:dyDescent="0.2">
      <c r="I12330" s="137" t="s">
        <v>74</v>
      </c>
    </row>
    <row r="12331" spans="9:9" x14ac:dyDescent="0.2">
      <c r="I12331" s="137" t="s">
        <v>74</v>
      </c>
    </row>
    <row r="12332" spans="9:9" x14ac:dyDescent="0.2">
      <c r="I12332" s="137" t="s">
        <v>74</v>
      </c>
    </row>
    <row r="12333" spans="9:9" x14ac:dyDescent="0.2">
      <c r="I12333" s="137" t="s">
        <v>74</v>
      </c>
    </row>
    <row r="12334" spans="9:9" x14ac:dyDescent="0.2">
      <c r="I12334" s="137" t="s">
        <v>74</v>
      </c>
    </row>
    <row r="12335" spans="9:9" x14ac:dyDescent="0.2">
      <c r="I12335" s="137" t="s">
        <v>74</v>
      </c>
    </row>
    <row r="12336" spans="9:9" x14ac:dyDescent="0.2">
      <c r="I12336" s="137" t="s">
        <v>74</v>
      </c>
    </row>
    <row r="12337" spans="9:9" x14ac:dyDescent="0.2">
      <c r="I12337" s="137" t="s">
        <v>74</v>
      </c>
    </row>
    <row r="12338" spans="9:9" x14ac:dyDescent="0.2">
      <c r="I12338" s="137" t="s">
        <v>74</v>
      </c>
    </row>
    <row r="12339" spans="9:9" x14ac:dyDescent="0.2">
      <c r="I12339" s="137" t="s">
        <v>74</v>
      </c>
    </row>
    <row r="12340" spans="9:9" x14ac:dyDescent="0.2">
      <c r="I12340" s="137" t="s">
        <v>74</v>
      </c>
    </row>
    <row r="12341" spans="9:9" x14ac:dyDescent="0.2">
      <c r="I12341" s="137" t="s">
        <v>74</v>
      </c>
    </row>
    <row r="12342" spans="9:9" x14ac:dyDescent="0.2">
      <c r="I12342" s="137" t="s">
        <v>74</v>
      </c>
    </row>
    <row r="12343" spans="9:9" x14ac:dyDescent="0.2">
      <c r="I12343" s="137" t="s">
        <v>74</v>
      </c>
    </row>
    <row r="12344" spans="9:9" x14ac:dyDescent="0.2">
      <c r="I12344" s="137" t="s">
        <v>74</v>
      </c>
    </row>
    <row r="12345" spans="9:9" x14ac:dyDescent="0.2">
      <c r="I12345" s="137" t="s">
        <v>74</v>
      </c>
    </row>
    <row r="12346" spans="9:9" x14ac:dyDescent="0.2">
      <c r="I12346" s="137" t="s">
        <v>74</v>
      </c>
    </row>
    <row r="12347" spans="9:9" x14ac:dyDescent="0.2">
      <c r="I12347" s="137" t="s">
        <v>74</v>
      </c>
    </row>
    <row r="12348" spans="9:9" x14ac:dyDescent="0.2">
      <c r="I12348" s="137" t="s">
        <v>74</v>
      </c>
    </row>
    <row r="12349" spans="9:9" x14ac:dyDescent="0.2">
      <c r="I12349" s="137" t="s">
        <v>74</v>
      </c>
    </row>
    <row r="12350" spans="9:9" x14ac:dyDescent="0.2">
      <c r="I12350" s="137" t="s">
        <v>74</v>
      </c>
    </row>
    <row r="12351" spans="9:9" x14ac:dyDescent="0.2">
      <c r="I12351" s="137" t="s">
        <v>74</v>
      </c>
    </row>
    <row r="12352" spans="9:9" x14ac:dyDescent="0.2">
      <c r="I12352" s="137" t="s">
        <v>74</v>
      </c>
    </row>
    <row r="12353" spans="9:9" x14ac:dyDescent="0.2">
      <c r="I12353" s="137" t="s">
        <v>74</v>
      </c>
    </row>
    <row r="12354" spans="9:9" x14ac:dyDescent="0.2">
      <c r="I12354" s="137" t="s">
        <v>74</v>
      </c>
    </row>
    <row r="12355" spans="9:9" x14ac:dyDescent="0.2">
      <c r="I12355" s="137" t="s">
        <v>74</v>
      </c>
    </row>
    <row r="12356" spans="9:9" x14ac:dyDescent="0.2">
      <c r="I12356" s="137" t="s">
        <v>74</v>
      </c>
    </row>
    <row r="12357" spans="9:9" x14ac:dyDescent="0.2">
      <c r="I12357" s="137" t="s">
        <v>74</v>
      </c>
    </row>
    <row r="12358" spans="9:9" x14ac:dyDescent="0.2">
      <c r="I12358" s="137" t="s">
        <v>74</v>
      </c>
    </row>
    <row r="12359" spans="9:9" x14ac:dyDescent="0.2">
      <c r="I12359" s="137" t="s">
        <v>74</v>
      </c>
    </row>
    <row r="12360" spans="9:9" x14ac:dyDescent="0.2">
      <c r="I12360" s="137" t="s">
        <v>74</v>
      </c>
    </row>
    <row r="12361" spans="9:9" x14ac:dyDescent="0.2">
      <c r="I12361" s="137" t="s">
        <v>74</v>
      </c>
    </row>
    <row r="12362" spans="9:9" x14ac:dyDescent="0.2">
      <c r="I12362" s="137" t="s">
        <v>74</v>
      </c>
    </row>
    <row r="12363" spans="9:9" x14ac:dyDescent="0.2">
      <c r="I12363" s="137" t="s">
        <v>74</v>
      </c>
    </row>
    <row r="12364" spans="9:9" x14ac:dyDescent="0.2">
      <c r="I12364" s="137" t="s">
        <v>74</v>
      </c>
    </row>
    <row r="12365" spans="9:9" x14ac:dyDescent="0.2">
      <c r="I12365" s="137" t="s">
        <v>74</v>
      </c>
    </row>
    <row r="12366" spans="9:9" x14ac:dyDescent="0.2">
      <c r="I12366" s="137" t="s">
        <v>74</v>
      </c>
    </row>
    <row r="12367" spans="9:9" x14ac:dyDescent="0.2">
      <c r="I12367" s="137" t="s">
        <v>74</v>
      </c>
    </row>
    <row r="12368" spans="9:9" x14ac:dyDescent="0.2">
      <c r="I12368" s="137" t="s">
        <v>74</v>
      </c>
    </row>
    <row r="12369" spans="9:9" x14ac:dyDescent="0.2">
      <c r="I12369" s="137" t="s">
        <v>74</v>
      </c>
    </row>
    <row r="12370" spans="9:9" x14ac:dyDescent="0.2">
      <c r="I12370" s="137" t="s">
        <v>74</v>
      </c>
    </row>
    <row r="12371" spans="9:9" x14ac:dyDescent="0.2">
      <c r="I12371" s="137" t="s">
        <v>74</v>
      </c>
    </row>
    <row r="12372" spans="9:9" x14ac:dyDescent="0.2">
      <c r="I12372" s="137" t="s">
        <v>74</v>
      </c>
    </row>
    <row r="12373" spans="9:9" x14ac:dyDescent="0.2">
      <c r="I12373" s="137" t="s">
        <v>74</v>
      </c>
    </row>
    <row r="12374" spans="9:9" x14ac:dyDescent="0.2">
      <c r="I12374" s="137" t="s">
        <v>74</v>
      </c>
    </row>
    <row r="12375" spans="9:9" x14ac:dyDescent="0.2">
      <c r="I12375" s="137" t="s">
        <v>74</v>
      </c>
    </row>
    <row r="12376" spans="9:9" x14ac:dyDescent="0.2">
      <c r="I12376" s="137" t="s">
        <v>74</v>
      </c>
    </row>
    <row r="12377" spans="9:9" x14ac:dyDescent="0.2">
      <c r="I12377" s="137" t="s">
        <v>74</v>
      </c>
    </row>
    <row r="12378" spans="9:9" x14ac:dyDescent="0.2">
      <c r="I12378" s="137" t="s">
        <v>74</v>
      </c>
    </row>
    <row r="12379" spans="9:9" x14ac:dyDescent="0.2">
      <c r="I12379" s="137" t="s">
        <v>74</v>
      </c>
    </row>
    <row r="12380" spans="9:9" x14ac:dyDescent="0.2">
      <c r="I12380" s="137" t="s">
        <v>74</v>
      </c>
    </row>
    <row r="12381" spans="9:9" x14ac:dyDescent="0.2">
      <c r="I12381" s="137" t="s">
        <v>74</v>
      </c>
    </row>
    <row r="12382" spans="9:9" x14ac:dyDescent="0.2">
      <c r="I12382" s="137" t="s">
        <v>74</v>
      </c>
    </row>
    <row r="12383" spans="9:9" x14ac:dyDescent="0.2">
      <c r="I12383" s="137" t="s">
        <v>74</v>
      </c>
    </row>
    <row r="12384" spans="9:9" x14ac:dyDescent="0.2">
      <c r="I12384" s="137" t="s">
        <v>74</v>
      </c>
    </row>
    <row r="12385" spans="9:9" x14ac:dyDescent="0.2">
      <c r="I12385" s="137" t="s">
        <v>74</v>
      </c>
    </row>
    <row r="12386" spans="9:9" x14ac:dyDescent="0.2">
      <c r="I12386" s="137" t="s">
        <v>74</v>
      </c>
    </row>
    <row r="12387" spans="9:9" x14ac:dyDescent="0.2">
      <c r="I12387" s="137" t="s">
        <v>74</v>
      </c>
    </row>
    <row r="12388" spans="9:9" x14ac:dyDescent="0.2">
      <c r="I12388" s="137" t="s">
        <v>74</v>
      </c>
    </row>
    <row r="12389" spans="9:9" x14ac:dyDescent="0.2">
      <c r="I12389" s="137" t="s">
        <v>74</v>
      </c>
    </row>
    <row r="12390" spans="9:9" x14ac:dyDescent="0.2">
      <c r="I12390" s="137" t="s">
        <v>74</v>
      </c>
    </row>
    <row r="12391" spans="9:9" x14ac:dyDescent="0.2">
      <c r="I12391" s="137" t="s">
        <v>74</v>
      </c>
    </row>
    <row r="12392" spans="9:9" x14ac:dyDescent="0.2">
      <c r="I12392" s="137" t="s">
        <v>74</v>
      </c>
    </row>
    <row r="12393" spans="9:9" x14ac:dyDescent="0.2">
      <c r="I12393" s="137" t="s">
        <v>74</v>
      </c>
    </row>
    <row r="12394" spans="9:9" x14ac:dyDescent="0.2">
      <c r="I12394" s="137" t="s">
        <v>74</v>
      </c>
    </row>
    <row r="12395" spans="9:9" x14ac:dyDescent="0.2">
      <c r="I12395" s="137" t="s">
        <v>74</v>
      </c>
    </row>
    <row r="12396" spans="9:9" x14ac:dyDescent="0.2">
      <c r="I12396" s="137" t="s">
        <v>74</v>
      </c>
    </row>
    <row r="12397" spans="9:9" x14ac:dyDescent="0.2">
      <c r="I12397" s="137" t="s">
        <v>74</v>
      </c>
    </row>
    <row r="12398" spans="9:9" x14ac:dyDescent="0.2">
      <c r="I12398" s="137" t="s">
        <v>74</v>
      </c>
    </row>
    <row r="12399" spans="9:9" x14ac:dyDescent="0.2">
      <c r="I12399" s="137" t="s">
        <v>74</v>
      </c>
    </row>
    <row r="12400" spans="9:9" x14ac:dyDescent="0.2">
      <c r="I12400" s="137" t="s">
        <v>74</v>
      </c>
    </row>
    <row r="12401" spans="9:9" x14ac:dyDescent="0.2">
      <c r="I12401" s="137" t="s">
        <v>74</v>
      </c>
    </row>
    <row r="12402" spans="9:9" x14ac:dyDescent="0.2">
      <c r="I12402" s="137" t="s">
        <v>74</v>
      </c>
    </row>
    <row r="12403" spans="9:9" x14ac:dyDescent="0.2">
      <c r="I12403" s="137" t="s">
        <v>74</v>
      </c>
    </row>
    <row r="12404" spans="9:9" x14ac:dyDescent="0.2">
      <c r="I12404" s="137" t="s">
        <v>74</v>
      </c>
    </row>
    <row r="12405" spans="9:9" x14ac:dyDescent="0.2">
      <c r="I12405" s="137" t="s">
        <v>74</v>
      </c>
    </row>
    <row r="12406" spans="9:9" x14ac:dyDescent="0.2">
      <c r="I12406" s="137" t="s">
        <v>74</v>
      </c>
    </row>
    <row r="12407" spans="9:9" x14ac:dyDescent="0.2">
      <c r="I12407" s="137" t="s">
        <v>74</v>
      </c>
    </row>
    <row r="12408" spans="9:9" x14ac:dyDescent="0.2">
      <c r="I12408" s="137" t="s">
        <v>74</v>
      </c>
    </row>
    <row r="12409" spans="9:9" x14ac:dyDescent="0.2">
      <c r="I12409" s="137" t="s">
        <v>74</v>
      </c>
    </row>
    <row r="12410" spans="9:9" x14ac:dyDescent="0.2">
      <c r="I12410" s="137" t="s">
        <v>74</v>
      </c>
    </row>
    <row r="12411" spans="9:9" x14ac:dyDescent="0.2">
      <c r="I12411" s="137" t="s">
        <v>74</v>
      </c>
    </row>
    <row r="12412" spans="9:9" x14ac:dyDescent="0.2">
      <c r="I12412" s="137" t="s">
        <v>74</v>
      </c>
    </row>
    <row r="12413" spans="9:9" x14ac:dyDescent="0.2">
      <c r="I12413" s="137" t="s">
        <v>74</v>
      </c>
    </row>
    <row r="12414" spans="9:9" x14ac:dyDescent="0.2">
      <c r="I12414" s="137" t="s">
        <v>74</v>
      </c>
    </row>
    <row r="12415" spans="9:9" x14ac:dyDescent="0.2">
      <c r="I12415" s="137" t="s">
        <v>74</v>
      </c>
    </row>
    <row r="12416" spans="9:9" x14ac:dyDescent="0.2">
      <c r="I12416" s="137" t="s">
        <v>74</v>
      </c>
    </row>
    <row r="12417" spans="9:9" x14ac:dyDescent="0.2">
      <c r="I12417" s="137" t="s">
        <v>74</v>
      </c>
    </row>
    <row r="12418" spans="9:9" x14ac:dyDescent="0.2">
      <c r="I12418" s="137" t="s">
        <v>74</v>
      </c>
    </row>
    <row r="12419" spans="9:9" x14ac:dyDescent="0.2">
      <c r="I12419" s="137" t="s">
        <v>74</v>
      </c>
    </row>
    <row r="12420" spans="9:9" x14ac:dyDescent="0.2">
      <c r="I12420" s="137" t="s">
        <v>74</v>
      </c>
    </row>
    <row r="12421" spans="9:9" x14ac:dyDescent="0.2">
      <c r="I12421" s="137" t="s">
        <v>74</v>
      </c>
    </row>
    <row r="12422" spans="9:9" x14ac:dyDescent="0.2">
      <c r="I12422" s="137" t="s">
        <v>74</v>
      </c>
    </row>
    <row r="12423" spans="9:9" x14ac:dyDescent="0.2">
      <c r="I12423" s="137" t="s">
        <v>74</v>
      </c>
    </row>
    <row r="12424" spans="9:9" x14ac:dyDescent="0.2">
      <c r="I12424" s="137" t="s">
        <v>74</v>
      </c>
    </row>
    <row r="12425" spans="9:9" x14ac:dyDescent="0.2">
      <c r="I12425" s="137" t="s">
        <v>74</v>
      </c>
    </row>
    <row r="12426" spans="9:9" x14ac:dyDescent="0.2">
      <c r="I12426" s="137" t="s">
        <v>74</v>
      </c>
    </row>
    <row r="12427" spans="9:9" x14ac:dyDescent="0.2">
      <c r="I12427" s="137" t="s">
        <v>74</v>
      </c>
    </row>
    <row r="12428" spans="9:9" x14ac:dyDescent="0.2">
      <c r="I12428" s="137" t="s">
        <v>74</v>
      </c>
    </row>
    <row r="12429" spans="9:9" x14ac:dyDescent="0.2">
      <c r="I12429" s="137" t="s">
        <v>74</v>
      </c>
    </row>
    <row r="12430" spans="9:9" x14ac:dyDescent="0.2">
      <c r="I12430" s="137" t="s">
        <v>74</v>
      </c>
    </row>
    <row r="12431" spans="9:9" x14ac:dyDescent="0.2">
      <c r="I12431" s="137" t="s">
        <v>74</v>
      </c>
    </row>
    <row r="12432" spans="9:9" x14ac:dyDescent="0.2">
      <c r="I12432" s="137" t="s">
        <v>74</v>
      </c>
    </row>
    <row r="12433" spans="9:9" x14ac:dyDescent="0.2">
      <c r="I12433" s="137" t="s">
        <v>74</v>
      </c>
    </row>
    <row r="12434" spans="9:9" x14ac:dyDescent="0.2">
      <c r="I12434" s="137" t="s">
        <v>74</v>
      </c>
    </row>
    <row r="12435" spans="9:9" x14ac:dyDescent="0.2">
      <c r="I12435" s="137" t="s">
        <v>74</v>
      </c>
    </row>
    <row r="12436" spans="9:9" x14ac:dyDescent="0.2">
      <c r="I12436" s="137" t="s">
        <v>74</v>
      </c>
    </row>
    <row r="12437" spans="9:9" x14ac:dyDescent="0.2">
      <c r="I12437" s="137" t="s">
        <v>74</v>
      </c>
    </row>
    <row r="12438" spans="9:9" x14ac:dyDescent="0.2">
      <c r="I12438" s="137" t="s">
        <v>74</v>
      </c>
    </row>
    <row r="12439" spans="9:9" x14ac:dyDescent="0.2">
      <c r="I12439" s="137" t="s">
        <v>74</v>
      </c>
    </row>
    <row r="12440" spans="9:9" x14ac:dyDescent="0.2">
      <c r="I12440" s="137" t="s">
        <v>74</v>
      </c>
    </row>
    <row r="12441" spans="9:9" x14ac:dyDescent="0.2">
      <c r="I12441" s="137" t="s">
        <v>74</v>
      </c>
    </row>
    <row r="12442" spans="9:9" x14ac:dyDescent="0.2">
      <c r="I12442" s="137" t="s">
        <v>74</v>
      </c>
    </row>
    <row r="12443" spans="9:9" x14ac:dyDescent="0.2">
      <c r="I12443" s="137" t="s">
        <v>74</v>
      </c>
    </row>
    <row r="12444" spans="9:9" x14ac:dyDescent="0.2">
      <c r="I12444" s="137" t="s">
        <v>74</v>
      </c>
    </row>
    <row r="12445" spans="9:9" x14ac:dyDescent="0.2">
      <c r="I12445" s="137" t="s">
        <v>74</v>
      </c>
    </row>
    <row r="12446" spans="9:9" x14ac:dyDescent="0.2">
      <c r="I12446" s="137" t="s">
        <v>74</v>
      </c>
    </row>
    <row r="12447" spans="9:9" x14ac:dyDescent="0.2">
      <c r="I12447" s="137" t="s">
        <v>74</v>
      </c>
    </row>
    <row r="12448" spans="9:9" x14ac:dyDescent="0.2">
      <c r="I12448" s="137" t="s">
        <v>74</v>
      </c>
    </row>
    <row r="12449" spans="9:9" x14ac:dyDescent="0.2">
      <c r="I12449" s="137" t="s">
        <v>74</v>
      </c>
    </row>
    <row r="12450" spans="9:9" x14ac:dyDescent="0.2">
      <c r="I12450" s="137" t="s">
        <v>74</v>
      </c>
    </row>
    <row r="12451" spans="9:9" x14ac:dyDescent="0.2">
      <c r="I12451" s="137" t="s">
        <v>74</v>
      </c>
    </row>
    <row r="12452" spans="9:9" x14ac:dyDescent="0.2">
      <c r="I12452" s="137" t="s">
        <v>74</v>
      </c>
    </row>
    <row r="12453" spans="9:9" x14ac:dyDescent="0.2">
      <c r="I12453" s="137" t="s">
        <v>74</v>
      </c>
    </row>
    <row r="12454" spans="9:9" x14ac:dyDescent="0.2">
      <c r="I12454" s="137" t="s">
        <v>74</v>
      </c>
    </row>
    <row r="12455" spans="9:9" x14ac:dyDescent="0.2">
      <c r="I12455" s="137" t="s">
        <v>74</v>
      </c>
    </row>
    <row r="12456" spans="9:9" x14ac:dyDescent="0.2">
      <c r="I12456" s="137" t="s">
        <v>74</v>
      </c>
    </row>
    <row r="12457" spans="9:9" x14ac:dyDescent="0.2">
      <c r="I12457" s="137" t="s">
        <v>74</v>
      </c>
    </row>
    <row r="12458" spans="9:9" x14ac:dyDescent="0.2">
      <c r="I12458" s="137" t="s">
        <v>74</v>
      </c>
    </row>
    <row r="12459" spans="9:9" x14ac:dyDescent="0.2">
      <c r="I12459" s="137" t="s">
        <v>74</v>
      </c>
    </row>
    <row r="12460" spans="9:9" x14ac:dyDescent="0.2">
      <c r="I12460" s="137" t="s">
        <v>74</v>
      </c>
    </row>
    <row r="12461" spans="9:9" x14ac:dyDescent="0.2">
      <c r="I12461" s="137" t="s">
        <v>74</v>
      </c>
    </row>
    <row r="12462" spans="9:9" x14ac:dyDescent="0.2">
      <c r="I12462" s="137" t="s">
        <v>74</v>
      </c>
    </row>
    <row r="12463" spans="9:9" x14ac:dyDescent="0.2">
      <c r="I12463" s="137" t="s">
        <v>74</v>
      </c>
    </row>
    <row r="12464" spans="9:9" x14ac:dyDescent="0.2">
      <c r="I12464" s="137" t="s">
        <v>74</v>
      </c>
    </row>
    <row r="12465" spans="9:9" x14ac:dyDescent="0.2">
      <c r="I12465" s="137" t="s">
        <v>74</v>
      </c>
    </row>
    <row r="12466" spans="9:9" x14ac:dyDescent="0.2">
      <c r="I12466" s="137" t="s">
        <v>74</v>
      </c>
    </row>
    <row r="12467" spans="9:9" x14ac:dyDescent="0.2">
      <c r="I12467" s="137" t="s">
        <v>74</v>
      </c>
    </row>
    <row r="12468" spans="9:9" x14ac:dyDescent="0.2">
      <c r="I12468" s="137" t="s">
        <v>74</v>
      </c>
    </row>
    <row r="12469" spans="9:9" x14ac:dyDescent="0.2">
      <c r="I12469" s="137" t="s">
        <v>74</v>
      </c>
    </row>
    <row r="12470" spans="9:9" x14ac:dyDescent="0.2">
      <c r="I12470" s="137" t="s">
        <v>74</v>
      </c>
    </row>
    <row r="12471" spans="9:9" x14ac:dyDescent="0.2">
      <c r="I12471" s="137" t="s">
        <v>74</v>
      </c>
    </row>
    <row r="12472" spans="9:9" x14ac:dyDescent="0.2">
      <c r="I12472" s="137" t="s">
        <v>74</v>
      </c>
    </row>
    <row r="12473" spans="9:9" x14ac:dyDescent="0.2">
      <c r="I12473" s="137" t="s">
        <v>74</v>
      </c>
    </row>
    <row r="12474" spans="9:9" x14ac:dyDescent="0.2">
      <c r="I12474" s="137" t="s">
        <v>74</v>
      </c>
    </row>
    <row r="12475" spans="9:9" x14ac:dyDescent="0.2">
      <c r="I12475" s="137" t="s">
        <v>74</v>
      </c>
    </row>
    <row r="12476" spans="9:9" x14ac:dyDescent="0.2">
      <c r="I12476" s="137" t="s">
        <v>74</v>
      </c>
    </row>
    <row r="12477" spans="9:9" x14ac:dyDescent="0.2">
      <c r="I12477" s="137" t="s">
        <v>74</v>
      </c>
    </row>
    <row r="12478" spans="9:9" x14ac:dyDescent="0.2">
      <c r="I12478" s="137" t="s">
        <v>74</v>
      </c>
    </row>
    <row r="12479" spans="9:9" x14ac:dyDescent="0.2">
      <c r="I12479" s="137" t="s">
        <v>74</v>
      </c>
    </row>
    <row r="12480" spans="9:9" x14ac:dyDescent="0.2">
      <c r="I12480" s="137" t="s">
        <v>74</v>
      </c>
    </row>
    <row r="12481" spans="9:9" x14ac:dyDescent="0.2">
      <c r="I12481" s="137" t="s">
        <v>74</v>
      </c>
    </row>
    <row r="12482" spans="9:9" x14ac:dyDescent="0.2">
      <c r="I12482" s="137" t="s">
        <v>74</v>
      </c>
    </row>
    <row r="12483" spans="9:9" x14ac:dyDescent="0.2">
      <c r="I12483" s="137" t="s">
        <v>74</v>
      </c>
    </row>
    <row r="12484" spans="9:9" x14ac:dyDescent="0.2">
      <c r="I12484" s="137" t="s">
        <v>74</v>
      </c>
    </row>
    <row r="12485" spans="9:9" x14ac:dyDescent="0.2">
      <c r="I12485" s="137" t="s">
        <v>74</v>
      </c>
    </row>
    <row r="12486" spans="9:9" x14ac:dyDescent="0.2">
      <c r="I12486" s="137" t="s">
        <v>74</v>
      </c>
    </row>
    <row r="12487" spans="9:9" x14ac:dyDescent="0.2">
      <c r="I12487" s="137" t="s">
        <v>74</v>
      </c>
    </row>
    <row r="12488" spans="9:9" x14ac:dyDescent="0.2">
      <c r="I12488" s="137" t="s">
        <v>74</v>
      </c>
    </row>
    <row r="12489" spans="9:9" x14ac:dyDescent="0.2">
      <c r="I12489" s="137" t="s">
        <v>74</v>
      </c>
    </row>
    <row r="12490" spans="9:9" x14ac:dyDescent="0.2">
      <c r="I12490" s="137" t="s">
        <v>74</v>
      </c>
    </row>
    <row r="12491" spans="9:9" x14ac:dyDescent="0.2">
      <c r="I12491" s="137" t="s">
        <v>74</v>
      </c>
    </row>
    <row r="12492" spans="9:9" x14ac:dyDescent="0.2">
      <c r="I12492" s="137" t="s">
        <v>74</v>
      </c>
    </row>
    <row r="12493" spans="9:9" x14ac:dyDescent="0.2">
      <c r="I12493" s="137" t="s">
        <v>74</v>
      </c>
    </row>
    <row r="12494" spans="9:9" x14ac:dyDescent="0.2">
      <c r="I12494" s="137" t="s">
        <v>74</v>
      </c>
    </row>
    <row r="12495" spans="9:9" x14ac:dyDescent="0.2">
      <c r="I12495" s="137" t="s">
        <v>74</v>
      </c>
    </row>
    <row r="12496" spans="9:9" x14ac:dyDescent="0.2">
      <c r="I12496" s="137" t="s">
        <v>74</v>
      </c>
    </row>
    <row r="12497" spans="9:9" x14ac:dyDescent="0.2">
      <c r="I12497" s="137" t="s">
        <v>74</v>
      </c>
    </row>
    <row r="12498" spans="9:9" x14ac:dyDescent="0.2">
      <c r="I12498" s="137" t="s">
        <v>74</v>
      </c>
    </row>
    <row r="12499" spans="9:9" x14ac:dyDescent="0.2">
      <c r="I12499" s="137" t="s">
        <v>74</v>
      </c>
    </row>
    <row r="12500" spans="9:9" x14ac:dyDescent="0.2">
      <c r="I12500" s="137" t="s">
        <v>74</v>
      </c>
    </row>
    <row r="12501" spans="9:9" x14ac:dyDescent="0.2">
      <c r="I12501" s="137" t="s">
        <v>74</v>
      </c>
    </row>
    <row r="12502" spans="9:9" x14ac:dyDescent="0.2">
      <c r="I12502" s="137" t="s">
        <v>74</v>
      </c>
    </row>
    <row r="12503" spans="9:9" x14ac:dyDescent="0.2">
      <c r="I12503" s="137" t="s">
        <v>74</v>
      </c>
    </row>
    <row r="12504" spans="9:9" x14ac:dyDescent="0.2">
      <c r="I12504" s="137" t="s">
        <v>74</v>
      </c>
    </row>
    <row r="12505" spans="9:9" x14ac:dyDescent="0.2">
      <c r="I12505" s="137" t="s">
        <v>74</v>
      </c>
    </row>
    <row r="12506" spans="9:9" x14ac:dyDescent="0.2">
      <c r="I12506" s="137" t="s">
        <v>74</v>
      </c>
    </row>
    <row r="12507" spans="9:9" x14ac:dyDescent="0.2">
      <c r="I12507" s="137" t="s">
        <v>74</v>
      </c>
    </row>
    <row r="12508" spans="9:9" x14ac:dyDescent="0.2">
      <c r="I12508" s="137" t="s">
        <v>74</v>
      </c>
    </row>
    <row r="12509" spans="9:9" x14ac:dyDescent="0.2">
      <c r="I12509" s="137" t="s">
        <v>74</v>
      </c>
    </row>
    <row r="12510" spans="9:9" x14ac:dyDescent="0.2">
      <c r="I12510" s="137" t="s">
        <v>74</v>
      </c>
    </row>
    <row r="12511" spans="9:9" x14ac:dyDescent="0.2">
      <c r="I12511" s="137" t="s">
        <v>74</v>
      </c>
    </row>
    <row r="12512" spans="9:9" x14ac:dyDescent="0.2">
      <c r="I12512" s="137" t="s">
        <v>74</v>
      </c>
    </row>
    <row r="12513" spans="9:9" x14ac:dyDescent="0.2">
      <c r="I12513" s="137" t="s">
        <v>74</v>
      </c>
    </row>
    <row r="12514" spans="9:9" x14ac:dyDescent="0.2">
      <c r="I12514" s="137" t="s">
        <v>74</v>
      </c>
    </row>
    <row r="12515" spans="9:9" x14ac:dyDescent="0.2">
      <c r="I12515" s="137" t="s">
        <v>74</v>
      </c>
    </row>
    <row r="12516" spans="9:9" x14ac:dyDescent="0.2">
      <c r="I12516" s="137" t="s">
        <v>74</v>
      </c>
    </row>
    <row r="12517" spans="9:9" x14ac:dyDescent="0.2">
      <c r="I12517" s="137" t="s">
        <v>74</v>
      </c>
    </row>
    <row r="12518" spans="9:9" x14ac:dyDescent="0.2">
      <c r="I12518" s="137" t="s">
        <v>74</v>
      </c>
    </row>
    <row r="12519" spans="9:9" x14ac:dyDescent="0.2">
      <c r="I12519" s="137" t="s">
        <v>74</v>
      </c>
    </row>
    <row r="12520" spans="9:9" x14ac:dyDescent="0.2">
      <c r="I12520" s="137" t="s">
        <v>74</v>
      </c>
    </row>
    <row r="12521" spans="9:9" x14ac:dyDescent="0.2">
      <c r="I12521" s="137" t="s">
        <v>74</v>
      </c>
    </row>
    <row r="12522" spans="9:9" x14ac:dyDescent="0.2">
      <c r="I12522" s="137" t="s">
        <v>74</v>
      </c>
    </row>
    <row r="12523" spans="9:9" x14ac:dyDescent="0.2">
      <c r="I12523" s="137" t="s">
        <v>74</v>
      </c>
    </row>
    <row r="12524" spans="9:9" x14ac:dyDescent="0.2">
      <c r="I12524" s="137" t="s">
        <v>74</v>
      </c>
    </row>
    <row r="12525" spans="9:9" x14ac:dyDescent="0.2">
      <c r="I12525" s="137" t="s">
        <v>74</v>
      </c>
    </row>
    <row r="12526" spans="9:9" x14ac:dyDescent="0.2">
      <c r="I12526" s="137" t="s">
        <v>74</v>
      </c>
    </row>
    <row r="12527" spans="9:9" x14ac:dyDescent="0.2">
      <c r="I12527" s="137" t="s">
        <v>74</v>
      </c>
    </row>
    <row r="12528" spans="9:9" x14ac:dyDescent="0.2">
      <c r="I12528" s="137" t="s">
        <v>74</v>
      </c>
    </row>
    <row r="12529" spans="9:9" x14ac:dyDescent="0.2">
      <c r="I12529" s="137" t="s">
        <v>74</v>
      </c>
    </row>
    <row r="12530" spans="9:9" x14ac:dyDescent="0.2">
      <c r="I12530" s="137" t="s">
        <v>74</v>
      </c>
    </row>
    <row r="12531" spans="9:9" x14ac:dyDescent="0.2">
      <c r="I12531" s="137" t="s">
        <v>74</v>
      </c>
    </row>
    <row r="12532" spans="9:9" x14ac:dyDescent="0.2">
      <c r="I12532" s="137" t="s">
        <v>74</v>
      </c>
    </row>
    <row r="12533" spans="9:9" x14ac:dyDescent="0.2">
      <c r="I12533" s="137" t="s">
        <v>74</v>
      </c>
    </row>
    <row r="12534" spans="9:9" x14ac:dyDescent="0.2">
      <c r="I12534" s="137" t="s">
        <v>74</v>
      </c>
    </row>
    <row r="12535" spans="9:9" x14ac:dyDescent="0.2">
      <c r="I12535" s="137" t="s">
        <v>74</v>
      </c>
    </row>
    <row r="12536" spans="9:9" x14ac:dyDescent="0.2">
      <c r="I12536" s="137" t="s">
        <v>74</v>
      </c>
    </row>
    <row r="12537" spans="9:9" x14ac:dyDescent="0.2">
      <c r="I12537" s="137" t="s">
        <v>74</v>
      </c>
    </row>
    <row r="12538" spans="9:9" x14ac:dyDescent="0.2">
      <c r="I12538" s="137" t="s">
        <v>74</v>
      </c>
    </row>
    <row r="12539" spans="9:9" x14ac:dyDescent="0.2">
      <c r="I12539" s="137" t="s">
        <v>74</v>
      </c>
    </row>
    <row r="12540" spans="9:9" x14ac:dyDescent="0.2">
      <c r="I12540" s="137" t="s">
        <v>74</v>
      </c>
    </row>
    <row r="12541" spans="9:9" x14ac:dyDescent="0.2">
      <c r="I12541" s="137" t="s">
        <v>74</v>
      </c>
    </row>
    <row r="12542" spans="9:9" x14ac:dyDescent="0.2">
      <c r="I12542" s="137" t="s">
        <v>74</v>
      </c>
    </row>
    <row r="12543" spans="9:9" x14ac:dyDescent="0.2">
      <c r="I12543" s="137" t="s">
        <v>74</v>
      </c>
    </row>
    <row r="12544" spans="9:9" x14ac:dyDescent="0.2">
      <c r="I12544" s="137" t="s">
        <v>74</v>
      </c>
    </row>
    <row r="12545" spans="9:9" x14ac:dyDescent="0.2">
      <c r="I12545" s="137" t="s">
        <v>74</v>
      </c>
    </row>
    <row r="12546" spans="9:9" x14ac:dyDescent="0.2">
      <c r="I12546" s="137" t="s">
        <v>74</v>
      </c>
    </row>
    <row r="12547" spans="9:9" x14ac:dyDescent="0.2">
      <c r="I12547" s="137" t="s">
        <v>74</v>
      </c>
    </row>
    <row r="12548" spans="9:9" x14ac:dyDescent="0.2">
      <c r="I12548" s="137" t="s">
        <v>74</v>
      </c>
    </row>
    <row r="12549" spans="9:9" x14ac:dyDescent="0.2">
      <c r="I12549" s="137" t="s">
        <v>74</v>
      </c>
    </row>
    <row r="12550" spans="9:9" x14ac:dyDescent="0.2">
      <c r="I12550" s="137" t="s">
        <v>74</v>
      </c>
    </row>
    <row r="12551" spans="9:9" x14ac:dyDescent="0.2">
      <c r="I12551" s="137" t="s">
        <v>74</v>
      </c>
    </row>
    <row r="12552" spans="9:9" x14ac:dyDescent="0.2">
      <c r="I12552" s="137" t="s">
        <v>74</v>
      </c>
    </row>
    <row r="12553" spans="9:9" x14ac:dyDescent="0.2">
      <c r="I12553" s="137" t="s">
        <v>74</v>
      </c>
    </row>
    <row r="12554" spans="9:9" x14ac:dyDescent="0.2">
      <c r="I12554" s="137" t="s">
        <v>74</v>
      </c>
    </row>
    <row r="12555" spans="9:9" x14ac:dyDescent="0.2">
      <c r="I12555" s="137" t="s">
        <v>74</v>
      </c>
    </row>
    <row r="12556" spans="9:9" x14ac:dyDescent="0.2">
      <c r="I12556" s="137" t="s">
        <v>74</v>
      </c>
    </row>
    <row r="12557" spans="9:9" x14ac:dyDescent="0.2">
      <c r="I12557" s="137" t="s">
        <v>74</v>
      </c>
    </row>
    <row r="12558" spans="9:9" x14ac:dyDescent="0.2">
      <c r="I12558" s="137" t="s">
        <v>74</v>
      </c>
    </row>
    <row r="12559" spans="9:9" x14ac:dyDescent="0.2">
      <c r="I12559" s="137" t="s">
        <v>74</v>
      </c>
    </row>
    <row r="12560" spans="9:9" x14ac:dyDescent="0.2">
      <c r="I12560" s="137" t="s">
        <v>74</v>
      </c>
    </row>
    <row r="12561" spans="9:9" x14ac:dyDescent="0.2">
      <c r="I12561" s="137" t="s">
        <v>74</v>
      </c>
    </row>
    <row r="12562" spans="9:9" x14ac:dyDescent="0.2">
      <c r="I12562" s="137" t="s">
        <v>74</v>
      </c>
    </row>
    <row r="12563" spans="9:9" x14ac:dyDescent="0.2">
      <c r="I12563" s="137" t="s">
        <v>74</v>
      </c>
    </row>
    <row r="12564" spans="9:9" x14ac:dyDescent="0.2">
      <c r="I12564" s="137" t="s">
        <v>74</v>
      </c>
    </row>
    <row r="12565" spans="9:9" x14ac:dyDescent="0.2">
      <c r="I12565" s="137" t="s">
        <v>74</v>
      </c>
    </row>
    <row r="12566" spans="9:9" x14ac:dyDescent="0.2">
      <c r="I12566" s="137" t="s">
        <v>74</v>
      </c>
    </row>
    <row r="12567" spans="9:9" x14ac:dyDescent="0.2">
      <c r="I12567" s="137" t="s">
        <v>74</v>
      </c>
    </row>
    <row r="12568" spans="9:9" x14ac:dyDescent="0.2">
      <c r="I12568" s="137" t="s">
        <v>74</v>
      </c>
    </row>
    <row r="12569" spans="9:9" x14ac:dyDescent="0.2">
      <c r="I12569" s="137" t="s">
        <v>74</v>
      </c>
    </row>
    <row r="12570" spans="9:9" x14ac:dyDescent="0.2">
      <c r="I12570" s="137" t="s">
        <v>74</v>
      </c>
    </row>
    <row r="12571" spans="9:9" x14ac:dyDescent="0.2">
      <c r="I12571" s="137" t="s">
        <v>74</v>
      </c>
    </row>
    <row r="12572" spans="9:9" x14ac:dyDescent="0.2">
      <c r="I12572" s="137" t="s">
        <v>74</v>
      </c>
    </row>
    <row r="12573" spans="9:9" x14ac:dyDescent="0.2">
      <c r="I12573" s="137" t="s">
        <v>74</v>
      </c>
    </row>
    <row r="12574" spans="9:9" x14ac:dyDescent="0.2">
      <c r="I12574" s="137" t="s">
        <v>74</v>
      </c>
    </row>
    <row r="12575" spans="9:9" x14ac:dyDescent="0.2">
      <c r="I12575" s="137" t="s">
        <v>74</v>
      </c>
    </row>
    <row r="12576" spans="9:9" x14ac:dyDescent="0.2">
      <c r="I12576" s="137" t="s">
        <v>74</v>
      </c>
    </row>
    <row r="12577" spans="9:9" x14ac:dyDescent="0.2">
      <c r="I12577" s="137" t="s">
        <v>74</v>
      </c>
    </row>
    <row r="12578" spans="9:9" x14ac:dyDescent="0.2">
      <c r="I12578" s="137" t="s">
        <v>74</v>
      </c>
    </row>
    <row r="12579" spans="9:9" x14ac:dyDescent="0.2">
      <c r="I12579" s="137" t="s">
        <v>74</v>
      </c>
    </row>
    <row r="12580" spans="9:9" x14ac:dyDescent="0.2">
      <c r="I12580" s="137" t="s">
        <v>74</v>
      </c>
    </row>
    <row r="12581" spans="9:9" x14ac:dyDescent="0.2">
      <c r="I12581" s="137" t="s">
        <v>74</v>
      </c>
    </row>
    <row r="12582" spans="9:9" x14ac:dyDescent="0.2">
      <c r="I12582" s="137" t="s">
        <v>74</v>
      </c>
    </row>
    <row r="12583" spans="9:9" x14ac:dyDescent="0.2">
      <c r="I12583" s="137" t="s">
        <v>74</v>
      </c>
    </row>
    <row r="12584" spans="9:9" x14ac:dyDescent="0.2">
      <c r="I12584" s="137" t="s">
        <v>74</v>
      </c>
    </row>
    <row r="12585" spans="9:9" x14ac:dyDescent="0.2">
      <c r="I12585" s="137" t="s">
        <v>74</v>
      </c>
    </row>
    <row r="12586" spans="9:9" x14ac:dyDescent="0.2">
      <c r="I12586" s="137" t="s">
        <v>74</v>
      </c>
    </row>
    <row r="12587" spans="9:9" x14ac:dyDescent="0.2">
      <c r="I12587" s="137" t="s">
        <v>74</v>
      </c>
    </row>
    <row r="12588" spans="9:9" x14ac:dyDescent="0.2">
      <c r="I12588" s="137" t="s">
        <v>74</v>
      </c>
    </row>
    <row r="12589" spans="9:9" x14ac:dyDescent="0.2">
      <c r="I12589" s="137" t="s">
        <v>74</v>
      </c>
    </row>
    <row r="12590" spans="9:9" x14ac:dyDescent="0.2">
      <c r="I12590" s="137" t="s">
        <v>74</v>
      </c>
    </row>
    <row r="12591" spans="9:9" x14ac:dyDescent="0.2">
      <c r="I12591" s="137" t="s">
        <v>74</v>
      </c>
    </row>
    <row r="12592" spans="9:9" x14ac:dyDescent="0.2">
      <c r="I12592" s="137" t="s">
        <v>74</v>
      </c>
    </row>
    <row r="12593" spans="9:9" x14ac:dyDescent="0.2">
      <c r="I12593" s="137" t="s">
        <v>74</v>
      </c>
    </row>
    <row r="12594" spans="9:9" x14ac:dyDescent="0.2">
      <c r="I12594" s="137" t="s">
        <v>74</v>
      </c>
    </row>
    <row r="12595" spans="9:9" x14ac:dyDescent="0.2">
      <c r="I12595" s="137" t="s">
        <v>74</v>
      </c>
    </row>
    <row r="12596" spans="9:9" x14ac:dyDescent="0.2">
      <c r="I12596" s="137" t="s">
        <v>74</v>
      </c>
    </row>
    <row r="12597" spans="9:9" x14ac:dyDescent="0.2">
      <c r="I12597" s="137" t="s">
        <v>74</v>
      </c>
    </row>
    <row r="12598" spans="9:9" x14ac:dyDescent="0.2">
      <c r="I12598" s="137" t="s">
        <v>74</v>
      </c>
    </row>
    <row r="12599" spans="9:9" x14ac:dyDescent="0.2">
      <c r="I12599" s="137" t="s">
        <v>74</v>
      </c>
    </row>
    <row r="12600" spans="9:9" x14ac:dyDescent="0.2">
      <c r="I12600" s="137" t="s">
        <v>74</v>
      </c>
    </row>
    <row r="12601" spans="9:9" x14ac:dyDescent="0.2">
      <c r="I12601" s="137" t="s">
        <v>74</v>
      </c>
    </row>
    <row r="12602" spans="9:9" x14ac:dyDescent="0.2">
      <c r="I12602" s="137" t="s">
        <v>74</v>
      </c>
    </row>
    <row r="12603" spans="9:9" x14ac:dyDescent="0.2">
      <c r="I12603" s="137" t="s">
        <v>74</v>
      </c>
    </row>
    <row r="12604" spans="9:9" x14ac:dyDescent="0.2">
      <c r="I12604" s="137" t="s">
        <v>74</v>
      </c>
    </row>
    <row r="12605" spans="9:9" x14ac:dyDescent="0.2">
      <c r="I12605" s="137" t="s">
        <v>74</v>
      </c>
    </row>
    <row r="12606" spans="9:9" x14ac:dyDescent="0.2">
      <c r="I12606" s="137" t="s">
        <v>74</v>
      </c>
    </row>
    <row r="12607" spans="9:9" x14ac:dyDescent="0.2">
      <c r="I12607" s="137" t="s">
        <v>74</v>
      </c>
    </row>
    <row r="12608" spans="9:9" x14ac:dyDescent="0.2">
      <c r="I12608" s="137" t="s">
        <v>74</v>
      </c>
    </row>
    <row r="12609" spans="9:9" x14ac:dyDescent="0.2">
      <c r="I12609" s="137" t="s">
        <v>74</v>
      </c>
    </row>
    <row r="12610" spans="9:9" x14ac:dyDescent="0.2">
      <c r="I12610" s="137" t="s">
        <v>74</v>
      </c>
    </row>
    <row r="12611" spans="9:9" x14ac:dyDescent="0.2">
      <c r="I12611" s="137" t="s">
        <v>74</v>
      </c>
    </row>
    <row r="12612" spans="9:9" x14ac:dyDescent="0.2">
      <c r="I12612" s="137" t="s">
        <v>74</v>
      </c>
    </row>
    <row r="12613" spans="9:9" x14ac:dyDescent="0.2">
      <c r="I12613" s="137" t="s">
        <v>74</v>
      </c>
    </row>
    <row r="12614" spans="9:9" x14ac:dyDescent="0.2">
      <c r="I12614" s="137" t="s">
        <v>74</v>
      </c>
    </row>
    <row r="12615" spans="9:9" x14ac:dyDescent="0.2">
      <c r="I12615" s="137" t="s">
        <v>74</v>
      </c>
    </row>
    <row r="12616" spans="9:9" x14ac:dyDescent="0.2">
      <c r="I12616" s="137" t="s">
        <v>74</v>
      </c>
    </row>
    <row r="12617" spans="9:9" x14ac:dyDescent="0.2">
      <c r="I12617" s="137" t="s">
        <v>74</v>
      </c>
    </row>
    <row r="12618" spans="9:9" x14ac:dyDescent="0.2">
      <c r="I12618" s="137" t="s">
        <v>74</v>
      </c>
    </row>
    <row r="12619" spans="9:9" x14ac:dyDescent="0.2">
      <c r="I12619" s="137" t="s">
        <v>74</v>
      </c>
    </row>
    <row r="12620" spans="9:9" x14ac:dyDescent="0.2">
      <c r="I12620" s="137" t="s">
        <v>74</v>
      </c>
    </row>
    <row r="12621" spans="9:9" x14ac:dyDescent="0.2">
      <c r="I12621" s="137" t="s">
        <v>74</v>
      </c>
    </row>
    <row r="12622" spans="9:9" x14ac:dyDescent="0.2">
      <c r="I12622" s="137" t="s">
        <v>74</v>
      </c>
    </row>
    <row r="12623" spans="9:9" x14ac:dyDescent="0.2">
      <c r="I12623" s="137" t="s">
        <v>74</v>
      </c>
    </row>
    <row r="12624" spans="9:9" x14ac:dyDescent="0.2">
      <c r="I12624" s="137" t="s">
        <v>74</v>
      </c>
    </row>
    <row r="12625" spans="9:9" x14ac:dyDescent="0.2">
      <c r="I12625" s="137" t="s">
        <v>74</v>
      </c>
    </row>
    <row r="12626" spans="9:9" x14ac:dyDescent="0.2">
      <c r="I12626" s="137" t="s">
        <v>74</v>
      </c>
    </row>
    <row r="12627" spans="9:9" x14ac:dyDescent="0.2">
      <c r="I12627" s="137" t="s">
        <v>74</v>
      </c>
    </row>
    <row r="12628" spans="9:9" x14ac:dyDescent="0.2">
      <c r="I12628" s="137" t="s">
        <v>74</v>
      </c>
    </row>
    <row r="12629" spans="9:9" x14ac:dyDescent="0.2">
      <c r="I12629" s="137" t="s">
        <v>74</v>
      </c>
    </row>
    <row r="12630" spans="9:9" x14ac:dyDescent="0.2">
      <c r="I12630" s="137" t="s">
        <v>74</v>
      </c>
    </row>
    <row r="12631" spans="9:9" x14ac:dyDescent="0.2">
      <c r="I12631" s="137" t="s">
        <v>74</v>
      </c>
    </row>
    <row r="12632" spans="9:9" x14ac:dyDescent="0.2">
      <c r="I12632" s="137" t="s">
        <v>74</v>
      </c>
    </row>
    <row r="12633" spans="9:9" x14ac:dyDescent="0.2">
      <c r="I12633" s="137" t="s">
        <v>74</v>
      </c>
    </row>
    <row r="12634" spans="9:9" x14ac:dyDescent="0.2">
      <c r="I12634" s="137" t="s">
        <v>74</v>
      </c>
    </row>
    <row r="12635" spans="9:9" x14ac:dyDescent="0.2">
      <c r="I12635" s="137" t="s">
        <v>74</v>
      </c>
    </row>
    <row r="12636" spans="9:9" x14ac:dyDescent="0.2">
      <c r="I12636" s="137" t="s">
        <v>74</v>
      </c>
    </row>
    <row r="12637" spans="9:9" x14ac:dyDescent="0.2">
      <c r="I12637" s="137" t="s">
        <v>74</v>
      </c>
    </row>
    <row r="12638" spans="9:9" x14ac:dyDescent="0.2">
      <c r="I12638" s="137" t="s">
        <v>74</v>
      </c>
    </row>
    <row r="12639" spans="9:9" x14ac:dyDescent="0.2">
      <c r="I12639" s="137" t="s">
        <v>74</v>
      </c>
    </row>
    <row r="12640" spans="9:9" x14ac:dyDescent="0.2">
      <c r="I12640" s="137" t="s">
        <v>74</v>
      </c>
    </row>
    <row r="12641" spans="9:9" x14ac:dyDescent="0.2">
      <c r="I12641" s="137" t="s">
        <v>74</v>
      </c>
    </row>
    <row r="12642" spans="9:9" x14ac:dyDescent="0.2">
      <c r="I12642" s="137" t="s">
        <v>74</v>
      </c>
    </row>
    <row r="12643" spans="9:9" x14ac:dyDescent="0.2">
      <c r="I12643" s="137" t="s">
        <v>74</v>
      </c>
    </row>
    <row r="12644" spans="9:9" x14ac:dyDescent="0.2">
      <c r="I12644" s="137" t="s">
        <v>74</v>
      </c>
    </row>
    <row r="12645" spans="9:9" x14ac:dyDescent="0.2">
      <c r="I12645" s="137" t="s">
        <v>74</v>
      </c>
    </row>
    <row r="12646" spans="9:9" x14ac:dyDescent="0.2">
      <c r="I12646" s="137" t="s">
        <v>74</v>
      </c>
    </row>
    <row r="12647" spans="9:9" x14ac:dyDescent="0.2">
      <c r="I12647" s="137" t="s">
        <v>74</v>
      </c>
    </row>
    <row r="12648" spans="9:9" x14ac:dyDescent="0.2">
      <c r="I12648" s="137" t="s">
        <v>74</v>
      </c>
    </row>
    <row r="12649" spans="9:9" x14ac:dyDescent="0.2">
      <c r="I12649" s="137" t="s">
        <v>74</v>
      </c>
    </row>
    <row r="12650" spans="9:9" x14ac:dyDescent="0.2">
      <c r="I12650" s="137" t="s">
        <v>74</v>
      </c>
    </row>
    <row r="12651" spans="9:9" x14ac:dyDescent="0.2">
      <c r="I12651" s="137" t="s">
        <v>74</v>
      </c>
    </row>
    <row r="12652" spans="9:9" x14ac:dyDescent="0.2">
      <c r="I12652" s="137" t="s">
        <v>74</v>
      </c>
    </row>
    <row r="12653" spans="9:9" x14ac:dyDescent="0.2">
      <c r="I12653" s="137" t="s">
        <v>74</v>
      </c>
    </row>
    <row r="12654" spans="9:9" x14ac:dyDescent="0.2">
      <c r="I12654" s="137" t="s">
        <v>74</v>
      </c>
    </row>
    <row r="12655" spans="9:9" x14ac:dyDescent="0.2">
      <c r="I12655" s="137" t="s">
        <v>74</v>
      </c>
    </row>
    <row r="12656" spans="9:9" x14ac:dyDescent="0.2">
      <c r="I12656" s="137" t="s">
        <v>74</v>
      </c>
    </row>
    <row r="12657" spans="9:9" x14ac:dyDescent="0.2">
      <c r="I12657" s="137" t="s">
        <v>74</v>
      </c>
    </row>
    <row r="12658" spans="9:9" x14ac:dyDescent="0.2">
      <c r="I12658" s="137" t="s">
        <v>74</v>
      </c>
    </row>
    <row r="12659" spans="9:9" x14ac:dyDescent="0.2">
      <c r="I12659" s="137" t="s">
        <v>74</v>
      </c>
    </row>
    <row r="12660" spans="9:9" x14ac:dyDescent="0.2">
      <c r="I12660" s="137" t="s">
        <v>74</v>
      </c>
    </row>
    <row r="12661" spans="9:9" x14ac:dyDescent="0.2">
      <c r="I12661" s="137" t="s">
        <v>74</v>
      </c>
    </row>
    <row r="12662" spans="9:9" x14ac:dyDescent="0.2">
      <c r="I12662" s="137" t="s">
        <v>74</v>
      </c>
    </row>
    <row r="12663" spans="9:9" x14ac:dyDescent="0.2">
      <c r="I12663" s="137" t="s">
        <v>74</v>
      </c>
    </row>
    <row r="12664" spans="9:9" x14ac:dyDescent="0.2">
      <c r="I12664" s="137" t="s">
        <v>74</v>
      </c>
    </row>
    <row r="12665" spans="9:9" x14ac:dyDescent="0.2">
      <c r="I12665" s="137" t="s">
        <v>74</v>
      </c>
    </row>
    <row r="12666" spans="9:9" x14ac:dyDescent="0.2">
      <c r="I12666" s="137" t="s">
        <v>74</v>
      </c>
    </row>
    <row r="12667" spans="9:9" x14ac:dyDescent="0.2">
      <c r="I12667" s="137" t="s">
        <v>74</v>
      </c>
    </row>
    <row r="12668" spans="9:9" x14ac:dyDescent="0.2">
      <c r="I12668" s="137" t="s">
        <v>74</v>
      </c>
    </row>
    <row r="12669" spans="9:9" x14ac:dyDescent="0.2">
      <c r="I12669" s="137" t="s">
        <v>74</v>
      </c>
    </row>
    <row r="12670" spans="9:9" x14ac:dyDescent="0.2">
      <c r="I12670" s="137" t="s">
        <v>74</v>
      </c>
    </row>
    <row r="12671" spans="9:9" x14ac:dyDescent="0.2">
      <c r="I12671" s="137" t="s">
        <v>74</v>
      </c>
    </row>
    <row r="12672" spans="9:9" x14ac:dyDescent="0.2">
      <c r="I12672" s="137" t="s">
        <v>74</v>
      </c>
    </row>
    <row r="12673" spans="9:9" x14ac:dyDescent="0.2">
      <c r="I12673" s="137" t="s">
        <v>74</v>
      </c>
    </row>
    <row r="12674" spans="9:9" x14ac:dyDescent="0.2">
      <c r="I12674" s="137" t="s">
        <v>74</v>
      </c>
    </row>
    <row r="12675" spans="9:9" x14ac:dyDescent="0.2">
      <c r="I12675" s="137" t="s">
        <v>74</v>
      </c>
    </row>
    <row r="12676" spans="9:9" x14ac:dyDescent="0.2">
      <c r="I12676" s="137" t="s">
        <v>74</v>
      </c>
    </row>
    <row r="12677" spans="9:9" x14ac:dyDescent="0.2">
      <c r="I12677" s="137" t="s">
        <v>74</v>
      </c>
    </row>
    <row r="12678" spans="9:9" x14ac:dyDescent="0.2">
      <c r="I12678" s="137" t="s">
        <v>74</v>
      </c>
    </row>
    <row r="12679" spans="9:9" x14ac:dyDescent="0.2">
      <c r="I12679" s="137" t="s">
        <v>74</v>
      </c>
    </row>
    <row r="12680" spans="9:9" x14ac:dyDescent="0.2">
      <c r="I12680" s="137" t="s">
        <v>74</v>
      </c>
    </row>
    <row r="12681" spans="9:9" x14ac:dyDescent="0.2">
      <c r="I12681" s="137" t="s">
        <v>74</v>
      </c>
    </row>
    <row r="12682" spans="9:9" x14ac:dyDescent="0.2">
      <c r="I12682" s="137" t="s">
        <v>74</v>
      </c>
    </row>
    <row r="12683" spans="9:9" x14ac:dyDescent="0.2">
      <c r="I12683" s="137" t="s">
        <v>74</v>
      </c>
    </row>
    <row r="12684" spans="9:9" x14ac:dyDescent="0.2">
      <c r="I12684" s="137" t="s">
        <v>74</v>
      </c>
    </row>
    <row r="12685" spans="9:9" x14ac:dyDescent="0.2">
      <c r="I12685" s="137" t="s">
        <v>74</v>
      </c>
    </row>
    <row r="12686" spans="9:9" x14ac:dyDescent="0.2">
      <c r="I12686" s="137" t="s">
        <v>74</v>
      </c>
    </row>
    <row r="12687" spans="9:9" x14ac:dyDescent="0.2">
      <c r="I12687" s="137" t="s">
        <v>74</v>
      </c>
    </row>
    <row r="12688" spans="9:9" x14ac:dyDescent="0.2">
      <c r="I12688" s="137" t="s">
        <v>74</v>
      </c>
    </row>
    <row r="12689" spans="9:9" x14ac:dyDescent="0.2">
      <c r="I12689" s="137" t="s">
        <v>74</v>
      </c>
    </row>
    <row r="12690" spans="9:9" x14ac:dyDescent="0.2">
      <c r="I12690" s="137" t="s">
        <v>74</v>
      </c>
    </row>
    <row r="12691" spans="9:9" x14ac:dyDescent="0.2">
      <c r="I12691" s="137" t="s">
        <v>74</v>
      </c>
    </row>
    <row r="12692" spans="9:9" x14ac:dyDescent="0.2">
      <c r="I12692" s="137" t="s">
        <v>74</v>
      </c>
    </row>
    <row r="12693" spans="9:9" x14ac:dyDescent="0.2">
      <c r="I12693" s="137" t="s">
        <v>74</v>
      </c>
    </row>
    <row r="12694" spans="9:9" x14ac:dyDescent="0.2">
      <c r="I12694" s="137" t="s">
        <v>74</v>
      </c>
    </row>
    <row r="12695" spans="9:9" x14ac:dyDescent="0.2">
      <c r="I12695" s="137" t="s">
        <v>74</v>
      </c>
    </row>
    <row r="12696" spans="9:9" x14ac:dyDescent="0.2">
      <c r="I12696" s="137" t="s">
        <v>74</v>
      </c>
    </row>
    <row r="12697" spans="9:9" x14ac:dyDescent="0.2">
      <c r="I12697" s="137" t="s">
        <v>74</v>
      </c>
    </row>
    <row r="12698" spans="9:9" x14ac:dyDescent="0.2">
      <c r="I12698" s="137" t="s">
        <v>74</v>
      </c>
    </row>
    <row r="12699" spans="9:9" x14ac:dyDescent="0.2">
      <c r="I12699" s="137" t="s">
        <v>74</v>
      </c>
    </row>
    <row r="12700" spans="9:9" x14ac:dyDescent="0.2">
      <c r="I12700" s="137" t="s">
        <v>74</v>
      </c>
    </row>
    <row r="12701" spans="9:9" x14ac:dyDescent="0.2">
      <c r="I12701" s="137" t="s">
        <v>74</v>
      </c>
    </row>
    <row r="12702" spans="9:9" x14ac:dyDescent="0.2">
      <c r="I12702" s="137" t="s">
        <v>74</v>
      </c>
    </row>
    <row r="12703" spans="9:9" x14ac:dyDescent="0.2">
      <c r="I12703" s="137" t="s">
        <v>74</v>
      </c>
    </row>
    <row r="12704" spans="9:9" x14ac:dyDescent="0.2">
      <c r="I12704" s="137" t="s">
        <v>74</v>
      </c>
    </row>
    <row r="12705" spans="9:9" x14ac:dyDescent="0.2">
      <c r="I12705" s="137" t="s">
        <v>74</v>
      </c>
    </row>
    <row r="12706" spans="9:9" x14ac:dyDescent="0.2">
      <c r="I12706" s="137" t="s">
        <v>74</v>
      </c>
    </row>
    <row r="12707" spans="9:9" x14ac:dyDescent="0.2">
      <c r="I12707" s="137" t="s">
        <v>74</v>
      </c>
    </row>
    <row r="12708" spans="9:9" x14ac:dyDescent="0.2">
      <c r="I12708" s="137" t="s">
        <v>74</v>
      </c>
    </row>
    <row r="12709" spans="9:9" x14ac:dyDescent="0.2">
      <c r="I12709" s="137" t="s">
        <v>74</v>
      </c>
    </row>
    <row r="12710" spans="9:9" x14ac:dyDescent="0.2">
      <c r="I12710" s="137" t="s">
        <v>74</v>
      </c>
    </row>
    <row r="12711" spans="9:9" x14ac:dyDescent="0.2">
      <c r="I12711" s="137" t="s">
        <v>74</v>
      </c>
    </row>
    <row r="12712" spans="9:9" x14ac:dyDescent="0.2">
      <c r="I12712" s="137" t="s">
        <v>74</v>
      </c>
    </row>
    <row r="12713" spans="9:9" x14ac:dyDescent="0.2">
      <c r="I12713" s="137" t="s">
        <v>74</v>
      </c>
    </row>
    <row r="12714" spans="9:9" x14ac:dyDescent="0.2">
      <c r="I12714" s="137" t="s">
        <v>74</v>
      </c>
    </row>
    <row r="12715" spans="9:9" x14ac:dyDescent="0.2">
      <c r="I12715" s="137" t="s">
        <v>74</v>
      </c>
    </row>
    <row r="12716" spans="9:9" x14ac:dyDescent="0.2">
      <c r="I12716" s="137" t="s">
        <v>74</v>
      </c>
    </row>
    <row r="12717" spans="9:9" x14ac:dyDescent="0.2">
      <c r="I12717" s="137" t="s">
        <v>74</v>
      </c>
    </row>
    <row r="12718" spans="9:9" x14ac:dyDescent="0.2">
      <c r="I12718" s="137" t="s">
        <v>74</v>
      </c>
    </row>
    <row r="12719" spans="9:9" x14ac:dyDescent="0.2">
      <c r="I12719" s="137" t="s">
        <v>74</v>
      </c>
    </row>
    <row r="12720" spans="9:9" x14ac:dyDescent="0.2">
      <c r="I12720" s="137" t="s">
        <v>74</v>
      </c>
    </row>
    <row r="12721" spans="9:9" x14ac:dyDescent="0.2">
      <c r="I12721" s="137" t="s">
        <v>74</v>
      </c>
    </row>
    <row r="12722" spans="9:9" x14ac:dyDescent="0.2">
      <c r="I12722" s="137" t="s">
        <v>74</v>
      </c>
    </row>
    <row r="12723" spans="9:9" x14ac:dyDescent="0.2">
      <c r="I12723" s="137" t="s">
        <v>74</v>
      </c>
    </row>
    <row r="12724" spans="9:9" x14ac:dyDescent="0.2">
      <c r="I12724" s="137" t="s">
        <v>74</v>
      </c>
    </row>
    <row r="12725" spans="9:9" x14ac:dyDescent="0.2">
      <c r="I12725" s="137" t="s">
        <v>74</v>
      </c>
    </row>
    <row r="12726" spans="9:9" x14ac:dyDescent="0.2">
      <c r="I12726" s="137" t="s">
        <v>74</v>
      </c>
    </row>
    <row r="12727" spans="9:9" x14ac:dyDescent="0.2">
      <c r="I12727" s="137" t="s">
        <v>74</v>
      </c>
    </row>
    <row r="12728" spans="9:9" x14ac:dyDescent="0.2">
      <c r="I12728" s="137" t="s">
        <v>74</v>
      </c>
    </row>
    <row r="12729" spans="9:9" x14ac:dyDescent="0.2">
      <c r="I12729" s="137" t="s">
        <v>74</v>
      </c>
    </row>
    <row r="12730" spans="9:9" x14ac:dyDescent="0.2">
      <c r="I12730" s="137" t="s">
        <v>74</v>
      </c>
    </row>
    <row r="12731" spans="9:9" x14ac:dyDescent="0.2">
      <c r="I12731" s="137" t="s">
        <v>74</v>
      </c>
    </row>
    <row r="12732" spans="9:9" x14ac:dyDescent="0.2">
      <c r="I12732" s="137" t="s">
        <v>74</v>
      </c>
    </row>
    <row r="12733" spans="9:9" x14ac:dyDescent="0.2">
      <c r="I12733" s="137" t="s">
        <v>74</v>
      </c>
    </row>
    <row r="12734" spans="9:9" x14ac:dyDescent="0.2">
      <c r="I12734" s="137" t="s">
        <v>74</v>
      </c>
    </row>
    <row r="12735" spans="9:9" x14ac:dyDescent="0.2">
      <c r="I12735" s="137" t="s">
        <v>74</v>
      </c>
    </row>
    <row r="12736" spans="9:9" x14ac:dyDescent="0.2">
      <c r="I12736" s="137" t="s">
        <v>74</v>
      </c>
    </row>
    <row r="12737" spans="9:9" x14ac:dyDescent="0.2">
      <c r="I12737" s="137" t="s">
        <v>74</v>
      </c>
    </row>
    <row r="12738" spans="9:9" x14ac:dyDescent="0.2">
      <c r="I12738" s="137" t="s">
        <v>74</v>
      </c>
    </row>
    <row r="12739" spans="9:9" x14ac:dyDescent="0.2">
      <c r="I12739" s="137" t="s">
        <v>74</v>
      </c>
    </row>
    <row r="12740" spans="9:9" x14ac:dyDescent="0.2">
      <c r="I12740" s="137" t="s">
        <v>74</v>
      </c>
    </row>
    <row r="12741" spans="9:9" x14ac:dyDescent="0.2">
      <c r="I12741" s="137" t="s">
        <v>74</v>
      </c>
    </row>
    <row r="12742" spans="9:9" x14ac:dyDescent="0.2">
      <c r="I12742" s="137" t="s">
        <v>74</v>
      </c>
    </row>
    <row r="12743" spans="9:9" x14ac:dyDescent="0.2">
      <c r="I12743" s="137" t="s">
        <v>74</v>
      </c>
    </row>
    <row r="12744" spans="9:9" x14ac:dyDescent="0.2">
      <c r="I12744" s="137" t="s">
        <v>74</v>
      </c>
    </row>
    <row r="12745" spans="9:9" x14ac:dyDescent="0.2">
      <c r="I12745" s="137" t="s">
        <v>74</v>
      </c>
    </row>
    <row r="12746" spans="9:9" x14ac:dyDescent="0.2">
      <c r="I12746" s="137" t="s">
        <v>74</v>
      </c>
    </row>
    <row r="12747" spans="9:9" x14ac:dyDescent="0.2">
      <c r="I12747" s="137" t="s">
        <v>74</v>
      </c>
    </row>
    <row r="12748" spans="9:9" x14ac:dyDescent="0.2">
      <c r="I12748" s="137" t="s">
        <v>74</v>
      </c>
    </row>
    <row r="12749" spans="9:9" x14ac:dyDescent="0.2">
      <c r="I12749" s="137" t="s">
        <v>74</v>
      </c>
    </row>
    <row r="12750" spans="9:9" x14ac:dyDescent="0.2">
      <c r="I12750" s="137" t="s">
        <v>74</v>
      </c>
    </row>
    <row r="12751" spans="9:9" x14ac:dyDescent="0.2">
      <c r="I12751" s="137" t="s">
        <v>74</v>
      </c>
    </row>
    <row r="12752" spans="9:9" x14ac:dyDescent="0.2">
      <c r="I12752" s="137" t="s">
        <v>74</v>
      </c>
    </row>
    <row r="12753" spans="9:9" x14ac:dyDescent="0.2">
      <c r="I12753" s="137" t="s">
        <v>74</v>
      </c>
    </row>
    <row r="12754" spans="9:9" x14ac:dyDescent="0.2">
      <c r="I12754" s="137" t="s">
        <v>74</v>
      </c>
    </row>
    <row r="12755" spans="9:9" x14ac:dyDescent="0.2">
      <c r="I12755" s="137" t="s">
        <v>74</v>
      </c>
    </row>
    <row r="12756" spans="9:9" x14ac:dyDescent="0.2">
      <c r="I12756" s="137" t="s">
        <v>74</v>
      </c>
    </row>
    <row r="12757" spans="9:9" x14ac:dyDescent="0.2">
      <c r="I12757" s="137" t="s">
        <v>74</v>
      </c>
    </row>
    <row r="12758" spans="9:9" x14ac:dyDescent="0.2">
      <c r="I12758" s="137" t="s">
        <v>74</v>
      </c>
    </row>
    <row r="12759" spans="9:9" x14ac:dyDescent="0.2">
      <c r="I12759" s="137" t="s">
        <v>74</v>
      </c>
    </row>
    <row r="12760" spans="9:9" x14ac:dyDescent="0.2">
      <c r="I12760" s="137" t="s">
        <v>74</v>
      </c>
    </row>
    <row r="12761" spans="9:9" x14ac:dyDescent="0.2">
      <c r="I12761" s="137" t="s">
        <v>74</v>
      </c>
    </row>
    <row r="12762" spans="9:9" x14ac:dyDescent="0.2">
      <c r="I12762" s="137" t="s">
        <v>74</v>
      </c>
    </row>
    <row r="12763" spans="9:9" x14ac:dyDescent="0.2">
      <c r="I12763" s="137" t="s">
        <v>74</v>
      </c>
    </row>
    <row r="12764" spans="9:9" x14ac:dyDescent="0.2">
      <c r="I12764" s="137" t="s">
        <v>74</v>
      </c>
    </row>
    <row r="12765" spans="9:9" x14ac:dyDescent="0.2">
      <c r="I12765" s="137" t="s">
        <v>74</v>
      </c>
    </row>
    <row r="12766" spans="9:9" x14ac:dyDescent="0.2">
      <c r="I12766" s="137" t="s">
        <v>74</v>
      </c>
    </row>
    <row r="12767" spans="9:9" x14ac:dyDescent="0.2">
      <c r="I12767" s="137" t="s">
        <v>74</v>
      </c>
    </row>
    <row r="12768" spans="9:9" x14ac:dyDescent="0.2">
      <c r="I12768" s="137" t="s">
        <v>74</v>
      </c>
    </row>
    <row r="12769" spans="9:9" x14ac:dyDescent="0.2">
      <c r="I12769" s="137" t="s">
        <v>74</v>
      </c>
    </row>
    <row r="12770" spans="9:9" x14ac:dyDescent="0.2">
      <c r="I12770" s="137" t="s">
        <v>74</v>
      </c>
    </row>
    <row r="12771" spans="9:9" x14ac:dyDescent="0.2">
      <c r="I12771" s="137" t="s">
        <v>74</v>
      </c>
    </row>
    <row r="12772" spans="9:9" x14ac:dyDescent="0.2">
      <c r="I12772" s="137" t="s">
        <v>74</v>
      </c>
    </row>
    <row r="12773" spans="9:9" x14ac:dyDescent="0.2">
      <c r="I12773" s="137" t="s">
        <v>74</v>
      </c>
    </row>
    <row r="12774" spans="9:9" x14ac:dyDescent="0.2">
      <c r="I12774" s="137" t="s">
        <v>74</v>
      </c>
    </row>
    <row r="12775" spans="9:9" x14ac:dyDescent="0.2">
      <c r="I12775" s="137" t="s">
        <v>74</v>
      </c>
    </row>
    <row r="12776" spans="9:9" x14ac:dyDescent="0.2">
      <c r="I12776" s="137" t="s">
        <v>74</v>
      </c>
    </row>
    <row r="12777" spans="9:9" x14ac:dyDescent="0.2">
      <c r="I12777" s="137" t="s">
        <v>74</v>
      </c>
    </row>
    <row r="12778" spans="9:9" x14ac:dyDescent="0.2">
      <c r="I12778" s="137" t="s">
        <v>74</v>
      </c>
    </row>
    <row r="12779" spans="9:9" x14ac:dyDescent="0.2">
      <c r="I12779" s="137" t="s">
        <v>74</v>
      </c>
    </row>
    <row r="12780" spans="9:9" x14ac:dyDescent="0.2">
      <c r="I12780" s="137" t="s">
        <v>74</v>
      </c>
    </row>
    <row r="12781" spans="9:9" x14ac:dyDescent="0.2">
      <c r="I12781" s="137" t="s">
        <v>74</v>
      </c>
    </row>
    <row r="12782" spans="9:9" x14ac:dyDescent="0.2">
      <c r="I12782" s="137" t="s">
        <v>74</v>
      </c>
    </row>
    <row r="12783" spans="9:9" x14ac:dyDescent="0.2">
      <c r="I12783" s="137" t="s">
        <v>74</v>
      </c>
    </row>
    <row r="12784" spans="9:9" x14ac:dyDescent="0.2">
      <c r="I12784" s="137" t="s">
        <v>74</v>
      </c>
    </row>
    <row r="12785" spans="9:9" x14ac:dyDescent="0.2">
      <c r="I12785" s="137" t="s">
        <v>74</v>
      </c>
    </row>
    <row r="12786" spans="9:9" x14ac:dyDescent="0.2">
      <c r="I12786" s="137" t="s">
        <v>74</v>
      </c>
    </row>
    <row r="12787" spans="9:9" x14ac:dyDescent="0.2">
      <c r="I12787" s="137" t="s">
        <v>74</v>
      </c>
    </row>
    <row r="12788" spans="9:9" x14ac:dyDescent="0.2">
      <c r="I12788" s="137" t="s">
        <v>74</v>
      </c>
    </row>
    <row r="12789" spans="9:9" x14ac:dyDescent="0.2">
      <c r="I12789" s="137" t="s">
        <v>74</v>
      </c>
    </row>
    <row r="12790" spans="9:9" x14ac:dyDescent="0.2">
      <c r="I12790" s="137" t="s">
        <v>74</v>
      </c>
    </row>
    <row r="12791" spans="9:9" x14ac:dyDescent="0.2">
      <c r="I12791" s="137" t="s">
        <v>74</v>
      </c>
    </row>
    <row r="12792" spans="9:9" x14ac:dyDescent="0.2">
      <c r="I12792" s="137" t="s">
        <v>74</v>
      </c>
    </row>
    <row r="12793" spans="9:9" x14ac:dyDescent="0.2">
      <c r="I12793" s="137" t="s">
        <v>74</v>
      </c>
    </row>
    <row r="12794" spans="9:9" x14ac:dyDescent="0.2">
      <c r="I12794" s="137" t="s">
        <v>74</v>
      </c>
    </row>
    <row r="12795" spans="9:9" x14ac:dyDescent="0.2">
      <c r="I12795" s="137" t="s">
        <v>74</v>
      </c>
    </row>
    <row r="12796" spans="9:9" x14ac:dyDescent="0.2">
      <c r="I12796" s="137" t="s">
        <v>74</v>
      </c>
    </row>
    <row r="12797" spans="9:9" x14ac:dyDescent="0.2">
      <c r="I12797" s="137" t="s">
        <v>74</v>
      </c>
    </row>
    <row r="12798" spans="9:9" x14ac:dyDescent="0.2">
      <c r="I12798" s="137" t="s">
        <v>74</v>
      </c>
    </row>
    <row r="12799" spans="9:9" x14ac:dyDescent="0.2">
      <c r="I12799" s="137" t="s">
        <v>74</v>
      </c>
    </row>
    <row r="12800" spans="9:9" x14ac:dyDescent="0.2">
      <c r="I12800" s="137" t="s">
        <v>74</v>
      </c>
    </row>
    <row r="12801" spans="9:9" x14ac:dyDescent="0.2">
      <c r="I12801" s="137" t="s">
        <v>74</v>
      </c>
    </row>
    <row r="12802" spans="9:9" x14ac:dyDescent="0.2">
      <c r="I12802" s="137" t="s">
        <v>74</v>
      </c>
    </row>
    <row r="12803" spans="9:9" x14ac:dyDescent="0.2">
      <c r="I12803" s="137" t="s">
        <v>74</v>
      </c>
    </row>
    <row r="12804" spans="9:9" x14ac:dyDescent="0.2">
      <c r="I12804" s="137" t="s">
        <v>74</v>
      </c>
    </row>
    <row r="12805" spans="9:9" x14ac:dyDescent="0.2">
      <c r="I12805" s="137" t="s">
        <v>74</v>
      </c>
    </row>
    <row r="12806" spans="9:9" x14ac:dyDescent="0.2">
      <c r="I12806" s="137" t="s">
        <v>74</v>
      </c>
    </row>
    <row r="12807" spans="9:9" x14ac:dyDescent="0.2">
      <c r="I12807" s="137" t="s">
        <v>74</v>
      </c>
    </row>
    <row r="12808" spans="9:9" x14ac:dyDescent="0.2">
      <c r="I12808" s="137" t="s">
        <v>74</v>
      </c>
    </row>
    <row r="12809" spans="9:9" x14ac:dyDescent="0.2">
      <c r="I12809" s="137" t="s">
        <v>74</v>
      </c>
    </row>
    <row r="12810" spans="9:9" x14ac:dyDescent="0.2">
      <c r="I12810" s="137" t="s">
        <v>74</v>
      </c>
    </row>
    <row r="12811" spans="9:9" x14ac:dyDescent="0.2">
      <c r="I12811" s="137" t="s">
        <v>74</v>
      </c>
    </row>
    <row r="12812" spans="9:9" x14ac:dyDescent="0.2">
      <c r="I12812" s="137" t="s">
        <v>74</v>
      </c>
    </row>
    <row r="12813" spans="9:9" x14ac:dyDescent="0.2">
      <c r="I12813" s="137" t="s">
        <v>74</v>
      </c>
    </row>
    <row r="12814" spans="9:9" x14ac:dyDescent="0.2">
      <c r="I12814" s="137" t="s">
        <v>74</v>
      </c>
    </row>
    <row r="12815" spans="9:9" x14ac:dyDescent="0.2">
      <c r="I12815" s="137" t="s">
        <v>74</v>
      </c>
    </row>
    <row r="12816" spans="9:9" x14ac:dyDescent="0.2">
      <c r="I12816" s="137" t="s">
        <v>74</v>
      </c>
    </row>
    <row r="12817" spans="9:9" x14ac:dyDescent="0.2">
      <c r="I12817" s="137" t="s">
        <v>74</v>
      </c>
    </row>
    <row r="12818" spans="9:9" x14ac:dyDescent="0.2">
      <c r="I12818" s="137" t="s">
        <v>74</v>
      </c>
    </row>
    <row r="12819" spans="9:9" x14ac:dyDescent="0.2">
      <c r="I12819" s="137" t="s">
        <v>74</v>
      </c>
    </row>
    <row r="12820" spans="9:9" x14ac:dyDescent="0.2">
      <c r="I12820" s="137" t="s">
        <v>74</v>
      </c>
    </row>
    <row r="12821" spans="9:9" x14ac:dyDescent="0.2">
      <c r="I12821" s="137" t="s">
        <v>74</v>
      </c>
    </row>
    <row r="12822" spans="9:9" x14ac:dyDescent="0.2">
      <c r="I12822" s="137" t="s">
        <v>74</v>
      </c>
    </row>
    <row r="12823" spans="9:9" x14ac:dyDescent="0.2">
      <c r="I12823" s="137" t="s">
        <v>74</v>
      </c>
    </row>
    <row r="12824" spans="9:9" x14ac:dyDescent="0.2">
      <c r="I12824" s="137" t="s">
        <v>74</v>
      </c>
    </row>
    <row r="12825" spans="9:9" x14ac:dyDescent="0.2">
      <c r="I12825" s="137" t="s">
        <v>74</v>
      </c>
    </row>
    <row r="12826" spans="9:9" x14ac:dyDescent="0.2">
      <c r="I12826" s="137" t="s">
        <v>74</v>
      </c>
    </row>
    <row r="12827" spans="9:9" x14ac:dyDescent="0.2">
      <c r="I12827" s="137" t="s">
        <v>74</v>
      </c>
    </row>
    <row r="12828" spans="9:9" x14ac:dyDescent="0.2">
      <c r="I12828" s="137" t="s">
        <v>74</v>
      </c>
    </row>
    <row r="12829" spans="9:9" x14ac:dyDescent="0.2">
      <c r="I12829" s="137" t="s">
        <v>74</v>
      </c>
    </row>
    <row r="12830" spans="9:9" x14ac:dyDescent="0.2">
      <c r="I12830" s="137" t="s">
        <v>74</v>
      </c>
    </row>
    <row r="12831" spans="9:9" x14ac:dyDescent="0.2">
      <c r="I12831" s="137" t="s">
        <v>74</v>
      </c>
    </row>
    <row r="12832" spans="9:9" x14ac:dyDescent="0.2">
      <c r="I12832" s="137" t="s">
        <v>74</v>
      </c>
    </row>
    <row r="12833" spans="9:9" x14ac:dyDescent="0.2">
      <c r="I12833" s="137" t="s">
        <v>74</v>
      </c>
    </row>
    <row r="12834" spans="9:9" x14ac:dyDescent="0.2">
      <c r="I12834" s="137" t="s">
        <v>74</v>
      </c>
    </row>
    <row r="12835" spans="9:9" x14ac:dyDescent="0.2">
      <c r="I12835" s="137" t="s">
        <v>74</v>
      </c>
    </row>
    <row r="12836" spans="9:9" x14ac:dyDescent="0.2">
      <c r="I12836" s="137" t="s">
        <v>74</v>
      </c>
    </row>
    <row r="12837" spans="9:9" x14ac:dyDescent="0.2">
      <c r="I12837" s="137" t="s">
        <v>74</v>
      </c>
    </row>
    <row r="12838" spans="9:9" x14ac:dyDescent="0.2">
      <c r="I12838" s="137" t="s">
        <v>74</v>
      </c>
    </row>
    <row r="12839" spans="9:9" x14ac:dyDescent="0.2">
      <c r="I12839" s="137" t="s">
        <v>74</v>
      </c>
    </row>
    <row r="12840" spans="9:9" x14ac:dyDescent="0.2">
      <c r="I12840" s="137" t="s">
        <v>74</v>
      </c>
    </row>
    <row r="12841" spans="9:9" x14ac:dyDescent="0.2">
      <c r="I12841" s="137" t="s">
        <v>74</v>
      </c>
    </row>
    <row r="12842" spans="9:9" x14ac:dyDescent="0.2">
      <c r="I12842" s="137" t="s">
        <v>74</v>
      </c>
    </row>
    <row r="12843" spans="9:9" x14ac:dyDescent="0.2">
      <c r="I12843" s="137" t="s">
        <v>74</v>
      </c>
    </row>
    <row r="12844" spans="9:9" x14ac:dyDescent="0.2">
      <c r="I12844" s="137" t="s">
        <v>74</v>
      </c>
    </row>
    <row r="12845" spans="9:9" x14ac:dyDescent="0.2">
      <c r="I12845" s="137" t="s">
        <v>74</v>
      </c>
    </row>
    <row r="12846" spans="9:9" x14ac:dyDescent="0.2">
      <c r="I12846" s="137" t="s">
        <v>74</v>
      </c>
    </row>
    <row r="12847" spans="9:9" x14ac:dyDescent="0.2">
      <c r="I12847" s="137" t="s">
        <v>74</v>
      </c>
    </row>
    <row r="12848" spans="9:9" x14ac:dyDescent="0.2">
      <c r="I12848" s="137" t="s">
        <v>74</v>
      </c>
    </row>
    <row r="12849" spans="9:9" x14ac:dyDescent="0.2">
      <c r="I12849" s="137" t="s">
        <v>74</v>
      </c>
    </row>
    <row r="12850" spans="9:9" x14ac:dyDescent="0.2">
      <c r="I12850" s="137" t="s">
        <v>74</v>
      </c>
    </row>
    <row r="12851" spans="9:9" x14ac:dyDescent="0.2">
      <c r="I12851" s="137" t="s">
        <v>74</v>
      </c>
    </row>
    <row r="12852" spans="9:9" x14ac:dyDescent="0.2">
      <c r="I12852" s="137" t="s">
        <v>74</v>
      </c>
    </row>
    <row r="12853" spans="9:9" x14ac:dyDescent="0.2">
      <c r="I12853" s="137" t="s">
        <v>74</v>
      </c>
    </row>
    <row r="12854" spans="9:9" x14ac:dyDescent="0.2">
      <c r="I12854" s="137" t="s">
        <v>74</v>
      </c>
    </row>
    <row r="12855" spans="9:9" x14ac:dyDescent="0.2">
      <c r="I12855" s="137" t="s">
        <v>74</v>
      </c>
    </row>
    <row r="12856" spans="9:9" x14ac:dyDescent="0.2">
      <c r="I12856" s="137" t="s">
        <v>74</v>
      </c>
    </row>
    <row r="12857" spans="9:9" x14ac:dyDescent="0.2">
      <c r="I12857" s="137" t="s">
        <v>74</v>
      </c>
    </row>
    <row r="12858" spans="9:9" x14ac:dyDescent="0.2">
      <c r="I12858" s="137" t="s">
        <v>74</v>
      </c>
    </row>
    <row r="12859" spans="9:9" x14ac:dyDescent="0.2">
      <c r="I12859" s="137" t="s">
        <v>74</v>
      </c>
    </row>
    <row r="12860" spans="9:9" x14ac:dyDescent="0.2">
      <c r="I12860" s="137" t="s">
        <v>74</v>
      </c>
    </row>
    <row r="12861" spans="9:9" x14ac:dyDescent="0.2">
      <c r="I12861" s="137" t="s">
        <v>74</v>
      </c>
    </row>
    <row r="12862" spans="9:9" x14ac:dyDescent="0.2">
      <c r="I12862" s="137" t="s">
        <v>74</v>
      </c>
    </row>
    <row r="12863" spans="9:9" x14ac:dyDescent="0.2">
      <c r="I12863" s="137" t="s">
        <v>74</v>
      </c>
    </row>
    <row r="12864" spans="9:9" x14ac:dyDescent="0.2">
      <c r="I12864" s="137" t="s">
        <v>74</v>
      </c>
    </row>
    <row r="12865" spans="9:9" x14ac:dyDescent="0.2">
      <c r="I12865" s="137" t="s">
        <v>74</v>
      </c>
    </row>
    <row r="12866" spans="9:9" x14ac:dyDescent="0.2">
      <c r="I12866" s="137" t="s">
        <v>74</v>
      </c>
    </row>
    <row r="12867" spans="9:9" x14ac:dyDescent="0.2">
      <c r="I12867" s="137" t="s">
        <v>74</v>
      </c>
    </row>
    <row r="12868" spans="9:9" x14ac:dyDescent="0.2">
      <c r="I12868" s="137" t="s">
        <v>74</v>
      </c>
    </row>
    <row r="12869" spans="9:9" x14ac:dyDescent="0.2">
      <c r="I12869" s="137" t="s">
        <v>74</v>
      </c>
    </row>
    <row r="12870" spans="9:9" x14ac:dyDescent="0.2">
      <c r="I12870" s="137" t="s">
        <v>74</v>
      </c>
    </row>
    <row r="12871" spans="9:9" x14ac:dyDescent="0.2">
      <c r="I12871" s="137" t="s">
        <v>74</v>
      </c>
    </row>
    <row r="12872" spans="9:9" x14ac:dyDescent="0.2">
      <c r="I12872" s="137" t="s">
        <v>74</v>
      </c>
    </row>
    <row r="12873" spans="9:9" x14ac:dyDescent="0.2">
      <c r="I12873" s="137" t="s">
        <v>74</v>
      </c>
    </row>
    <row r="12874" spans="9:9" x14ac:dyDescent="0.2">
      <c r="I12874" s="137" t="s">
        <v>74</v>
      </c>
    </row>
    <row r="12875" spans="9:9" x14ac:dyDescent="0.2">
      <c r="I12875" s="137" t="s">
        <v>74</v>
      </c>
    </row>
    <row r="12876" spans="9:9" x14ac:dyDescent="0.2">
      <c r="I12876" s="137" t="s">
        <v>74</v>
      </c>
    </row>
    <row r="12877" spans="9:9" x14ac:dyDescent="0.2">
      <c r="I12877" s="137" t="s">
        <v>74</v>
      </c>
    </row>
    <row r="12878" spans="9:9" x14ac:dyDescent="0.2">
      <c r="I12878" s="137" t="s">
        <v>74</v>
      </c>
    </row>
    <row r="12879" spans="9:9" x14ac:dyDescent="0.2">
      <c r="I12879" s="137" t="s">
        <v>74</v>
      </c>
    </row>
    <row r="12880" spans="9:9" x14ac:dyDescent="0.2">
      <c r="I12880" s="137" t="s">
        <v>74</v>
      </c>
    </row>
    <row r="12881" spans="9:9" x14ac:dyDescent="0.2">
      <c r="I12881" s="137" t="s">
        <v>74</v>
      </c>
    </row>
    <row r="12882" spans="9:9" x14ac:dyDescent="0.2">
      <c r="I12882" s="137" t="s">
        <v>74</v>
      </c>
    </row>
    <row r="12883" spans="9:9" x14ac:dyDescent="0.2">
      <c r="I12883" s="137" t="s">
        <v>74</v>
      </c>
    </row>
    <row r="12884" spans="9:9" x14ac:dyDescent="0.2">
      <c r="I12884" s="137" t="s">
        <v>74</v>
      </c>
    </row>
    <row r="12885" spans="9:9" x14ac:dyDescent="0.2">
      <c r="I12885" s="137" t="s">
        <v>74</v>
      </c>
    </row>
    <row r="12886" spans="9:9" x14ac:dyDescent="0.2">
      <c r="I12886" s="137" t="s">
        <v>74</v>
      </c>
    </row>
    <row r="12887" spans="9:9" x14ac:dyDescent="0.2">
      <c r="I12887" s="137" t="s">
        <v>74</v>
      </c>
    </row>
    <row r="12888" spans="9:9" x14ac:dyDescent="0.2">
      <c r="I12888" s="137" t="s">
        <v>74</v>
      </c>
    </row>
    <row r="12889" spans="9:9" x14ac:dyDescent="0.2">
      <c r="I12889" s="137" t="s">
        <v>74</v>
      </c>
    </row>
    <row r="12890" spans="9:9" x14ac:dyDescent="0.2">
      <c r="I12890" s="137" t="s">
        <v>74</v>
      </c>
    </row>
    <row r="12891" spans="9:9" x14ac:dyDescent="0.2">
      <c r="I12891" s="137" t="s">
        <v>74</v>
      </c>
    </row>
    <row r="12892" spans="9:9" x14ac:dyDescent="0.2">
      <c r="I12892" s="137" t="s">
        <v>74</v>
      </c>
    </row>
    <row r="12893" spans="9:9" x14ac:dyDescent="0.2">
      <c r="I12893" s="137" t="s">
        <v>74</v>
      </c>
    </row>
    <row r="12894" spans="9:9" x14ac:dyDescent="0.2">
      <c r="I12894" s="137" t="s">
        <v>74</v>
      </c>
    </row>
    <row r="12895" spans="9:9" x14ac:dyDescent="0.2">
      <c r="I12895" s="137" t="s">
        <v>74</v>
      </c>
    </row>
    <row r="12896" spans="9:9" x14ac:dyDescent="0.2">
      <c r="I12896" s="137" t="s">
        <v>74</v>
      </c>
    </row>
    <row r="12897" spans="9:9" x14ac:dyDescent="0.2">
      <c r="I12897" s="137" t="s">
        <v>74</v>
      </c>
    </row>
    <row r="12898" spans="9:9" x14ac:dyDescent="0.2">
      <c r="I12898" s="137" t="s">
        <v>74</v>
      </c>
    </row>
    <row r="12899" spans="9:9" x14ac:dyDescent="0.2">
      <c r="I12899" s="137" t="s">
        <v>74</v>
      </c>
    </row>
    <row r="12900" spans="9:9" x14ac:dyDescent="0.2">
      <c r="I12900" s="137" t="s">
        <v>74</v>
      </c>
    </row>
    <row r="12901" spans="9:9" x14ac:dyDescent="0.2">
      <c r="I12901" s="137" t="s">
        <v>74</v>
      </c>
    </row>
    <row r="12902" spans="9:9" x14ac:dyDescent="0.2">
      <c r="I12902" s="137" t="s">
        <v>74</v>
      </c>
    </row>
    <row r="12903" spans="9:9" x14ac:dyDescent="0.2">
      <c r="I12903" s="137" t="s">
        <v>74</v>
      </c>
    </row>
    <row r="12904" spans="9:9" x14ac:dyDescent="0.2">
      <c r="I12904" s="137" t="s">
        <v>74</v>
      </c>
    </row>
    <row r="12905" spans="9:9" x14ac:dyDescent="0.2">
      <c r="I12905" s="137" t="s">
        <v>74</v>
      </c>
    </row>
    <row r="12906" spans="9:9" x14ac:dyDescent="0.2">
      <c r="I12906" s="137" t="s">
        <v>74</v>
      </c>
    </row>
    <row r="12907" spans="9:9" x14ac:dyDescent="0.2">
      <c r="I12907" s="137" t="s">
        <v>74</v>
      </c>
    </row>
    <row r="12908" spans="9:9" x14ac:dyDescent="0.2">
      <c r="I12908" s="137" t="s">
        <v>74</v>
      </c>
    </row>
    <row r="12909" spans="9:9" x14ac:dyDescent="0.2">
      <c r="I12909" s="137" t="s">
        <v>74</v>
      </c>
    </row>
    <row r="12910" spans="9:9" x14ac:dyDescent="0.2">
      <c r="I12910" s="137" t="s">
        <v>74</v>
      </c>
    </row>
    <row r="12911" spans="9:9" x14ac:dyDescent="0.2">
      <c r="I12911" s="137" t="s">
        <v>74</v>
      </c>
    </row>
    <row r="12912" spans="9:9" x14ac:dyDescent="0.2">
      <c r="I12912" s="137" t="s">
        <v>74</v>
      </c>
    </row>
    <row r="12913" spans="9:9" x14ac:dyDescent="0.2">
      <c r="I12913" s="137" t="s">
        <v>74</v>
      </c>
    </row>
    <row r="12914" spans="9:9" x14ac:dyDescent="0.2">
      <c r="I12914" s="137" t="s">
        <v>74</v>
      </c>
    </row>
    <row r="12915" spans="9:9" x14ac:dyDescent="0.2">
      <c r="I12915" s="137" t="s">
        <v>74</v>
      </c>
    </row>
    <row r="12916" spans="9:9" x14ac:dyDescent="0.2">
      <c r="I12916" s="137" t="s">
        <v>74</v>
      </c>
    </row>
    <row r="12917" spans="9:9" x14ac:dyDescent="0.2">
      <c r="I12917" s="137" t="s">
        <v>74</v>
      </c>
    </row>
    <row r="12918" spans="9:9" x14ac:dyDescent="0.2">
      <c r="I12918" s="137" t="s">
        <v>74</v>
      </c>
    </row>
    <row r="12919" spans="9:9" x14ac:dyDescent="0.2">
      <c r="I12919" s="137" t="s">
        <v>74</v>
      </c>
    </row>
    <row r="12920" spans="9:9" x14ac:dyDescent="0.2">
      <c r="I12920" s="137" t="s">
        <v>74</v>
      </c>
    </row>
    <row r="12921" spans="9:9" x14ac:dyDescent="0.2">
      <c r="I12921" s="137" t="s">
        <v>74</v>
      </c>
    </row>
    <row r="12922" spans="9:9" x14ac:dyDescent="0.2">
      <c r="I12922" s="137" t="s">
        <v>74</v>
      </c>
    </row>
    <row r="12923" spans="9:9" x14ac:dyDescent="0.2">
      <c r="I12923" s="137" t="s">
        <v>74</v>
      </c>
    </row>
    <row r="12924" spans="9:9" x14ac:dyDescent="0.2">
      <c r="I12924" s="137" t="s">
        <v>74</v>
      </c>
    </row>
    <row r="12925" spans="9:9" x14ac:dyDescent="0.2">
      <c r="I12925" s="137" t="s">
        <v>74</v>
      </c>
    </row>
    <row r="12926" spans="9:9" x14ac:dyDescent="0.2">
      <c r="I12926" s="137" t="s">
        <v>74</v>
      </c>
    </row>
    <row r="12927" spans="9:9" x14ac:dyDescent="0.2">
      <c r="I12927" s="137" t="s">
        <v>74</v>
      </c>
    </row>
    <row r="12928" spans="9:9" x14ac:dyDescent="0.2">
      <c r="I12928" s="137" t="s">
        <v>74</v>
      </c>
    </row>
    <row r="12929" spans="9:9" x14ac:dyDescent="0.2">
      <c r="I12929" s="137" t="s">
        <v>74</v>
      </c>
    </row>
    <row r="12930" spans="9:9" x14ac:dyDescent="0.2">
      <c r="I12930" s="137" t="s">
        <v>74</v>
      </c>
    </row>
    <row r="12931" spans="9:9" x14ac:dyDescent="0.2">
      <c r="I12931" s="137" t="s">
        <v>74</v>
      </c>
    </row>
    <row r="12932" spans="9:9" x14ac:dyDescent="0.2">
      <c r="I12932" s="137" t="s">
        <v>74</v>
      </c>
    </row>
    <row r="12933" spans="9:9" x14ac:dyDescent="0.2">
      <c r="I12933" s="137" t="s">
        <v>74</v>
      </c>
    </row>
    <row r="12934" spans="9:9" x14ac:dyDescent="0.2">
      <c r="I12934" s="137" t="s">
        <v>74</v>
      </c>
    </row>
    <row r="12935" spans="9:9" x14ac:dyDescent="0.2">
      <c r="I12935" s="137" t="s">
        <v>74</v>
      </c>
    </row>
    <row r="12936" spans="9:9" x14ac:dyDescent="0.2">
      <c r="I12936" s="137" t="s">
        <v>74</v>
      </c>
    </row>
    <row r="12937" spans="9:9" x14ac:dyDescent="0.2">
      <c r="I12937" s="137" t="s">
        <v>74</v>
      </c>
    </row>
    <row r="12938" spans="9:9" x14ac:dyDescent="0.2">
      <c r="I12938" s="137" t="s">
        <v>74</v>
      </c>
    </row>
    <row r="12939" spans="9:9" x14ac:dyDescent="0.2">
      <c r="I12939" s="137" t="s">
        <v>74</v>
      </c>
    </row>
    <row r="12940" spans="9:9" x14ac:dyDescent="0.2">
      <c r="I12940" s="137" t="s">
        <v>74</v>
      </c>
    </row>
    <row r="12941" spans="9:9" x14ac:dyDescent="0.2">
      <c r="I12941" s="137" t="s">
        <v>74</v>
      </c>
    </row>
    <row r="12942" spans="9:9" x14ac:dyDescent="0.2">
      <c r="I12942" s="137" t="s">
        <v>74</v>
      </c>
    </row>
    <row r="12943" spans="9:9" x14ac:dyDescent="0.2">
      <c r="I12943" s="137" t="s">
        <v>74</v>
      </c>
    </row>
    <row r="12944" spans="9:9" x14ac:dyDescent="0.2">
      <c r="I12944" s="137" t="s">
        <v>74</v>
      </c>
    </row>
    <row r="12945" spans="9:9" x14ac:dyDescent="0.2">
      <c r="I12945" s="137" t="s">
        <v>74</v>
      </c>
    </row>
    <row r="12946" spans="9:9" x14ac:dyDescent="0.2">
      <c r="I12946" s="137" t="s">
        <v>74</v>
      </c>
    </row>
    <row r="12947" spans="9:9" x14ac:dyDescent="0.2">
      <c r="I12947" s="137" t="s">
        <v>74</v>
      </c>
    </row>
    <row r="12948" spans="9:9" x14ac:dyDescent="0.2">
      <c r="I12948" s="137" t="s">
        <v>74</v>
      </c>
    </row>
    <row r="12949" spans="9:9" x14ac:dyDescent="0.2">
      <c r="I12949" s="137" t="s">
        <v>74</v>
      </c>
    </row>
    <row r="12950" spans="9:9" x14ac:dyDescent="0.2">
      <c r="I12950" s="137" t="s">
        <v>74</v>
      </c>
    </row>
    <row r="12951" spans="9:9" x14ac:dyDescent="0.2">
      <c r="I12951" s="137" t="s">
        <v>74</v>
      </c>
    </row>
    <row r="12952" spans="9:9" x14ac:dyDescent="0.2">
      <c r="I12952" s="137" t="s">
        <v>74</v>
      </c>
    </row>
    <row r="12953" spans="9:9" x14ac:dyDescent="0.2">
      <c r="I12953" s="137" t="s">
        <v>74</v>
      </c>
    </row>
    <row r="12954" spans="9:9" x14ac:dyDescent="0.2">
      <c r="I12954" s="137" t="s">
        <v>74</v>
      </c>
    </row>
    <row r="12955" spans="9:9" x14ac:dyDescent="0.2">
      <c r="I12955" s="137" t="s">
        <v>74</v>
      </c>
    </row>
    <row r="12956" spans="9:9" x14ac:dyDescent="0.2">
      <c r="I12956" s="137" t="s">
        <v>74</v>
      </c>
    </row>
    <row r="12957" spans="9:9" x14ac:dyDescent="0.2">
      <c r="I12957" s="137" t="s">
        <v>74</v>
      </c>
    </row>
    <row r="12958" spans="9:9" x14ac:dyDescent="0.2">
      <c r="I12958" s="137" t="s">
        <v>74</v>
      </c>
    </row>
    <row r="12959" spans="9:9" x14ac:dyDescent="0.2">
      <c r="I12959" s="137" t="s">
        <v>74</v>
      </c>
    </row>
    <row r="12960" spans="9:9" x14ac:dyDescent="0.2">
      <c r="I12960" s="137" t="s">
        <v>74</v>
      </c>
    </row>
    <row r="12961" spans="9:9" x14ac:dyDescent="0.2">
      <c r="I12961" s="137" t="s">
        <v>74</v>
      </c>
    </row>
    <row r="12962" spans="9:9" x14ac:dyDescent="0.2">
      <c r="I12962" s="137" t="s">
        <v>74</v>
      </c>
    </row>
    <row r="12963" spans="9:9" x14ac:dyDescent="0.2">
      <c r="I12963" s="137" t="s">
        <v>74</v>
      </c>
    </row>
    <row r="12964" spans="9:9" x14ac:dyDescent="0.2">
      <c r="I12964" s="137" t="s">
        <v>74</v>
      </c>
    </row>
    <row r="12965" spans="9:9" x14ac:dyDescent="0.2">
      <c r="I12965" s="137" t="s">
        <v>74</v>
      </c>
    </row>
    <row r="12966" spans="9:9" x14ac:dyDescent="0.2">
      <c r="I12966" s="137" t="s">
        <v>74</v>
      </c>
    </row>
    <row r="12967" spans="9:9" x14ac:dyDescent="0.2">
      <c r="I12967" s="137" t="s">
        <v>74</v>
      </c>
    </row>
    <row r="12968" spans="9:9" x14ac:dyDescent="0.2">
      <c r="I12968" s="137" t="s">
        <v>74</v>
      </c>
    </row>
    <row r="12969" spans="9:9" x14ac:dyDescent="0.2">
      <c r="I12969" s="137" t="s">
        <v>74</v>
      </c>
    </row>
    <row r="12970" spans="9:9" x14ac:dyDescent="0.2">
      <c r="I12970" s="137" t="s">
        <v>74</v>
      </c>
    </row>
    <row r="12971" spans="9:9" x14ac:dyDescent="0.2">
      <c r="I12971" s="137" t="s">
        <v>74</v>
      </c>
    </row>
    <row r="12972" spans="9:9" x14ac:dyDescent="0.2">
      <c r="I12972" s="137" t="s">
        <v>74</v>
      </c>
    </row>
    <row r="12973" spans="9:9" x14ac:dyDescent="0.2">
      <c r="I12973" s="137" t="s">
        <v>74</v>
      </c>
    </row>
    <row r="12974" spans="9:9" x14ac:dyDescent="0.2">
      <c r="I12974" s="137" t="s">
        <v>74</v>
      </c>
    </row>
    <row r="12975" spans="9:9" x14ac:dyDescent="0.2">
      <c r="I12975" s="137" t="s">
        <v>74</v>
      </c>
    </row>
    <row r="12976" spans="9:9" x14ac:dyDescent="0.2">
      <c r="I12976" s="137" t="s">
        <v>74</v>
      </c>
    </row>
    <row r="12977" spans="9:9" x14ac:dyDescent="0.2">
      <c r="I12977" s="137" t="s">
        <v>74</v>
      </c>
    </row>
    <row r="12978" spans="9:9" x14ac:dyDescent="0.2">
      <c r="I12978" s="137" t="s">
        <v>74</v>
      </c>
    </row>
    <row r="12979" spans="9:9" x14ac:dyDescent="0.2">
      <c r="I12979" s="137" t="s">
        <v>74</v>
      </c>
    </row>
    <row r="12980" spans="9:9" x14ac:dyDescent="0.2">
      <c r="I12980" s="137" t="s">
        <v>74</v>
      </c>
    </row>
    <row r="12981" spans="9:9" x14ac:dyDescent="0.2">
      <c r="I12981" s="137" t="s">
        <v>74</v>
      </c>
    </row>
    <row r="12982" spans="9:9" x14ac:dyDescent="0.2">
      <c r="I12982" s="137" t="s">
        <v>74</v>
      </c>
    </row>
    <row r="12983" spans="9:9" x14ac:dyDescent="0.2">
      <c r="I12983" s="137" t="s">
        <v>74</v>
      </c>
    </row>
    <row r="12984" spans="9:9" x14ac:dyDescent="0.2">
      <c r="I12984" s="137" t="s">
        <v>74</v>
      </c>
    </row>
    <row r="12985" spans="9:9" x14ac:dyDescent="0.2">
      <c r="I12985" s="137" t="s">
        <v>74</v>
      </c>
    </row>
    <row r="12986" spans="9:9" x14ac:dyDescent="0.2">
      <c r="I12986" s="137" t="s">
        <v>74</v>
      </c>
    </row>
    <row r="12987" spans="9:9" x14ac:dyDescent="0.2">
      <c r="I12987" s="137" t="s">
        <v>74</v>
      </c>
    </row>
    <row r="12988" spans="9:9" x14ac:dyDescent="0.2">
      <c r="I12988" s="137" t="s">
        <v>74</v>
      </c>
    </row>
    <row r="12989" spans="9:9" x14ac:dyDescent="0.2">
      <c r="I12989" s="137" t="s">
        <v>74</v>
      </c>
    </row>
    <row r="12990" spans="9:9" x14ac:dyDescent="0.2">
      <c r="I12990" s="137" t="s">
        <v>74</v>
      </c>
    </row>
    <row r="12991" spans="9:9" x14ac:dyDescent="0.2">
      <c r="I12991" s="137" t="s">
        <v>74</v>
      </c>
    </row>
    <row r="12992" spans="9:9" x14ac:dyDescent="0.2">
      <c r="I12992" s="137" t="s">
        <v>74</v>
      </c>
    </row>
    <row r="12993" spans="9:9" x14ac:dyDescent="0.2">
      <c r="I12993" s="137" t="s">
        <v>74</v>
      </c>
    </row>
    <row r="12994" spans="9:9" x14ac:dyDescent="0.2">
      <c r="I12994" s="137" t="s">
        <v>74</v>
      </c>
    </row>
    <row r="12995" spans="9:9" x14ac:dyDescent="0.2">
      <c r="I12995" s="137" t="s">
        <v>74</v>
      </c>
    </row>
    <row r="12996" spans="9:9" x14ac:dyDescent="0.2">
      <c r="I12996" s="137" t="s">
        <v>74</v>
      </c>
    </row>
    <row r="12997" spans="9:9" x14ac:dyDescent="0.2">
      <c r="I12997" s="137" t="s">
        <v>74</v>
      </c>
    </row>
    <row r="12998" spans="9:9" x14ac:dyDescent="0.2">
      <c r="I12998" s="137" t="s">
        <v>74</v>
      </c>
    </row>
    <row r="12999" spans="9:9" x14ac:dyDescent="0.2">
      <c r="I12999" s="137" t="s">
        <v>74</v>
      </c>
    </row>
    <row r="13000" spans="9:9" x14ac:dyDescent="0.2">
      <c r="I13000" s="137" t="s">
        <v>74</v>
      </c>
    </row>
    <row r="13001" spans="9:9" x14ac:dyDescent="0.2">
      <c r="I13001" s="137" t="s">
        <v>74</v>
      </c>
    </row>
    <row r="13002" spans="9:9" x14ac:dyDescent="0.2">
      <c r="I13002" s="137" t="s">
        <v>74</v>
      </c>
    </row>
    <row r="13003" spans="9:9" x14ac:dyDescent="0.2">
      <c r="I13003" s="137" t="s">
        <v>74</v>
      </c>
    </row>
    <row r="13004" spans="9:9" x14ac:dyDescent="0.2">
      <c r="I13004" s="137" t="s">
        <v>74</v>
      </c>
    </row>
    <row r="13005" spans="9:9" x14ac:dyDescent="0.2">
      <c r="I13005" s="137" t="s">
        <v>74</v>
      </c>
    </row>
    <row r="13006" spans="9:9" x14ac:dyDescent="0.2">
      <c r="I13006" s="137" t="s">
        <v>74</v>
      </c>
    </row>
    <row r="13007" spans="9:9" x14ac:dyDescent="0.2">
      <c r="I13007" s="137" t="s">
        <v>74</v>
      </c>
    </row>
    <row r="13008" spans="9:9" x14ac:dyDescent="0.2">
      <c r="I13008" s="137" t="s">
        <v>74</v>
      </c>
    </row>
    <row r="13009" spans="9:9" x14ac:dyDescent="0.2">
      <c r="I13009" s="137" t="s">
        <v>74</v>
      </c>
    </row>
    <row r="13010" spans="9:9" x14ac:dyDescent="0.2">
      <c r="I13010" s="137" t="s">
        <v>74</v>
      </c>
    </row>
    <row r="13011" spans="9:9" x14ac:dyDescent="0.2">
      <c r="I13011" s="137" t="s">
        <v>74</v>
      </c>
    </row>
    <row r="13012" spans="9:9" x14ac:dyDescent="0.2">
      <c r="I13012" s="137" t="s">
        <v>74</v>
      </c>
    </row>
    <row r="13013" spans="9:9" x14ac:dyDescent="0.2">
      <c r="I13013" s="137" t="s">
        <v>74</v>
      </c>
    </row>
    <row r="13014" spans="9:9" x14ac:dyDescent="0.2">
      <c r="I13014" s="137" t="s">
        <v>74</v>
      </c>
    </row>
    <row r="13015" spans="9:9" x14ac:dyDescent="0.2">
      <c r="I13015" s="137" t="s">
        <v>74</v>
      </c>
    </row>
    <row r="13016" spans="9:9" x14ac:dyDescent="0.2">
      <c r="I13016" s="137" t="s">
        <v>74</v>
      </c>
    </row>
    <row r="13017" spans="9:9" x14ac:dyDescent="0.2">
      <c r="I13017" s="137" t="s">
        <v>74</v>
      </c>
    </row>
    <row r="13018" spans="9:9" x14ac:dyDescent="0.2">
      <c r="I13018" s="137" t="s">
        <v>74</v>
      </c>
    </row>
    <row r="13019" spans="9:9" x14ac:dyDescent="0.2">
      <c r="I13019" s="137" t="s">
        <v>74</v>
      </c>
    </row>
    <row r="13020" spans="9:9" x14ac:dyDescent="0.2">
      <c r="I13020" s="137" t="s">
        <v>74</v>
      </c>
    </row>
    <row r="13021" spans="9:9" x14ac:dyDescent="0.2">
      <c r="I13021" s="137" t="s">
        <v>74</v>
      </c>
    </row>
    <row r="13022" spans="9:9" x14ac:dyDescent="0.2">
      <c r="I13022" s="137" t="s">
        <v>74</v>
      </c>
    </row>
    <row r="13023" spans="9:9" x14ac:dyDescent="0.2">
      <c r="I13023" s="137" t="s">
        <v>74</v>
      </c>
    </row>
    <row r="13024" spans="9:9" x14ac:dyDescent="0.2">
      <c r="I13024" s="137" t="s">
        <v>74</v>
      </c>
    </row>
    <row r="13025" spans="9:9" x14ac:dyDescent="0.2">
      <c r="I13025" s="137" t="s">
        <v>74</v>
      </c>
    </row>
    <row r="13026" spans="9:9" x14ac:dyDescent="0.2">
      <c r="I13026" s="137" t="s">
        <v>74</v>
      </c>
    </row>
    <row r="13027" spans="9:9" x14ac:dyDescent="0.2">
      <c r="I13027" s="137" t="s">
        <v>74</v>
      </c>
    </row>
    <row r="13028" spans="9:9" x14ac:dyDescent="0.2">
      <c r="I13028" s="137" t="s">
        <v>74</v>
      </c>
    </row>
    <row r="13029" spans="9:9" x14ac:dyDescent="0.2">
      <c r="I13029" s="137" t="s">
        <v>74</v>
      </c>
    </row>
    <row r="13030" spans="9:9" x14ac:dyDescent="0.2">
      <c r="I13030" s="137" t="s">
        <v>74</v>
      </c>
    </row>
    <row r="13031" spans="9:9" x14ac:dyDescent="0.2">
      <c r="I13031" s="137" t="s">
        <v>74</v>
      </c>
    </row>
    <row r="13032" spans="9:9" x14ac:dyDescent="0.2">
      <c r="I13032" s="137" t="s">
        <v>74</v>
      </c>
    </row>
    <row r="13033" spans="9:9" x14ac:dyDescent="0.2">
      <c r="I13033" s="137" t="s">
        <v>74</v>
      </c>
    </row>
    <row r="13034" spans="9:9" x14ac:dyDescent="0.2">
      <c r="I13034" s="137" t="s">
        <v>74</v>
      </c>
    </row>
    <row r="13035" spans="9:9" x14ac:dyDescent="0.2">
      <c r="I13035" s="137" t="s">
        <v>74</v>
      </c>
    </row>
    <row r="13036" spans="9:9" x14ac:dyDescent="0.2">
      <c r="I13036" s="137" t="s">
        <v>74</v>
      </c>
    </row>
    <row r="13037" spans="9:9" x14ac:dyDescent="0.2">
      <c r="I13037" s="137" t="s">
        <v>74</v>
      </c>
    </row>
    <row r="13038" spans="9:9" x14ac:dyDescent="0.2">
      <c r="I13038" s="137" t="s">
        <v>74</v>
      </c>
    </row>
    <row r="13039" spans="9:9" x14ac:dyDescent="0.2">
      <c r="I13039" s="137" t="s">
        <v>74</v>
      </c>
    </row>
    <row r="13040" spans="9:9" x14ac:dyDescent="0.2">
      <c r="I13040" s="137" t="s">
        <v>74</v>
      </c>
    </row>
    <row r="13041" spans="9:9" x14ac:dyDescent="0.2">
      <c r="I13041" s="137" t="s">
        <v>74</v>
      </c>
    </row>
    <row r="13042" spans="9:9" x14ac:dyDescent="0.2">
      <c r="I13042" s="137" t="s">
        <v>74</v>
      </c>
    </row>
    <row r="13043" spans="9:9" x14ac:dyDescent="0.2">
      <c r="I13043" s="137" t="s">
        <v>74</v>
      </c>
    </row>
    <row r="13044" spans="9:9" x14ac:dyDescent="0.2">
      <c r="I13044" s="137" t="s">
        <v>74</v>
      </c>
    </row>
    <row r="13045" spans="9:9" x14ac:dyDescent="0.2">
      <c r="I13045" s="137" t="s">
        <v>74</v>
      </c>
    </row>
    <row r="13046" spans="9:9" x14ac:dyDescent="0.2">
      <c r="I13046" s="137" t="s">
        <v>74</v>
      </c>
    </row>
    <row r="13047" spans="9:9" x14ac:dyDescent="0.2">
      <c r="I13047" s="137" t="s">
        <v>74</v>
      </c>
    </row>
    <row r="13048" spans="9:9" x14ac:dyDescent="0.2">
      <c r="I13048" s="137" t="s">
        <v>74</v>
      </c>
    </row>
    <row r="13049" spans="9:9" x14ac:dyDescent="0.2">
      <c r="I13049" s="137" t="s">
        <v>74</v>
      </c>
    </row>
    <row r="13050" spans="9:9" x14ac:dyDescent="0.2">
      <c r="I13050" s="137" t="s">
        <v>74</v>
      </c>
    </row>
    <row r="13051" spans="9:9" x14ac:dyDescent="0.2">
      <c r="I13051" s="137" t="s">
        <v>74</v>
      </c>
    </row>
    <row r="13052" spans="9:9" x14ac:dyDescent="0.2">
      <c r="I13052" s="137" t="s">
        <v>74</v>
      </c>
    </row>
    <row r="13053" spans="9:9" x14ac:dyDescent="0.2">
      <c r="I13053" s="137" t="s">
        <v>74</v>
      </c>
    </row>
    <row r="13054" spans="9:9" x14ac:dyDescent="0.2">
      <c r="I13054" s="137" t="s">
        <v>74</v>
      </c>
    </row>
    <row r="13055" spans="9:9" x14ac:dyDescent="0.2">
      <c r="I13055" s="137" t="s">
        <v>74</v>
      </c>
    </row>
    <row r="13056" spans="9:9" x14ac:dyDescent="0.2">
      <c r="I13056" s="137" t="s">
        <v>74</v>
      </c>
    </row>
    <row r="13057" spans="9:9" x14ac:dyDescent="0.2">
      <c r="I13057" s="137" t="s">
        <v>74</v>
      </c>
    </row>
    <row r="13058" spans="9:9" x14ac:dyDescent="0.2">
      <c r="I13058" s="137" t="s">
        <v>74</v>
      </c>
    </row>
    <row r="13059" spans="9:9" x14ac:dyDescent="0.2">
      <c r="I13059" s="137" t="s">
        <v>74</v>
      </c>
    </row>
    <row r="13060" spans="9:9" x14ac:dyDescent="0.2">
      <c r="I13060" s="137" t="s">
        <v>74</v>
      </c>
    </row>
    <row r="13061" spans="9:9" x14ac:dyDescent="0.2">
      <c r="I13061" s="137" t="s">
        <v>74</v>
      </c>
    </row>
    <row r="13062" spans="9:9" x14ac:dyDescent="0.2">
      <c r="I13062" s="137" t="s">
        <v>74</v>
      </c>
    </row>
    <row r="13063" spans="9:9" x14ac:dyDescent="0.2">
      <c r="I13063" s="137" t="s">
        <v>74</v>
      </c>
    </row>
    <row r="13064" spans="9:9" x14ac:dyDescent="0.2">
      <c r="I13064" s="137" t="s">
        <v>74</v>
      </c>
    </row>
    <row r="13065" spans="9:9" x14ac:dyDescent="0.2">
      <c r="I13065" s="137" t="s">
        <v>74</v>
      </c>
    </row>
    <row r="13066" spans="9:9" x14ac:dyDescent="0.2">
      <c r="I13066" s="137" t="s">
        <v>74</v>
      </c>
    </row>
    <row r="13067" spans="9:9" x14ac:dyDescent="0.2">
      <c r="I13067" s="137" t="s">
        <v>74</v>
      </c>
    </row>
    <row r="13068" spans="9:9" x14ac:dyDescent="0.2">
      <c r="I13068" s="137" t="s">
        <v>74</v>
      </c>
    </row>
    <row r="13069" spans="9:9" x14ac:dyDescent="0.2">
      <c r="I13069" s="137" t="s">
        <v>74</v>
      </c>
    </row>
    <row r="13070" spans="9:9" x14ac:dyDescent="0.2">
      <c r="I13070" s="137" t="s">
        <v>74</v>
      </c>
    </row>
    <row r="13071" spans="9:9" x14ac:dyDescent="0.2">
      <c r="I13071" s="137" t="s">
        <v>74</v>
      </c>
    </row>
    <row r="13072" spans="9:9" x14ac:dyDescent="0.2">
      <c r="I13072" s="137" t="s">
        <v>74</v>
      </c>
    </row>
    <row r="13073" spans="9:9" x14ac:dyDescent="0.2">
      <c r="I13073" s="137" t="s">
        <v>74</v>
      </c>
    </row>
    <row r="13074" spans="9:9" x14ac:dyDescent="0.2">
      <c r="I13074" s="137" t="s">
        <v>74</v>
      </c>
    </row>
    <row r="13075" spans="9:9" x14ac:dyDescent="0.2">
      <c r="I13075" s="137" t="s">
        <v>74</v>
      </c>
    </row>
    <row r="13076" spans="9:9" x14ac:dyDescent="0.2">
      <c r="I13076" s="137" t="s">
        <v>74</v>
      </c>
    </row>
    <row r="13077" spans="9:9" x14ac:dyDescent="0.2">
      <c r="I13077" s="137" t="s">
        <v>74</v>
      </c>
    </row>
    <row r="13078" spans="9:9" x14ac:dyDescent="0.2">
      <c r="I13078" s="137" t="s">
        <v>74</v>
      </c>
    </row>
    <row r="13079" spans="9:9" x14ac:dyDescent="0.2">
      <c r="I13079" s="137" t="s">
        <v>74</v>
      </c>
    </row>
    <row r="13080" spans="9:9" x14ac:dyDescent="0.2">
      <c r="I13080" s="137" t="s">
        <v>74</v>
      </c>
    </row>
    <row r="13081" spans="9:9" x14ac:dyDescent="0.2">
      <c r="I13081" s="137" t="s">
        <v>74</v>
      </c>
    </row>
    <row r="13082" spans="9:9" x14ac:dyDescent="0.2">
      <c r="I13082" s="137" t="s">
        <v>74</v>
      </c>
    </row>
    <row r="13083" spans="9:9" x14ac:dyDescent="0.2">
      <c r="I13083" s="137" t="s">
        <v>74</v>
      </c>
    </row>
    <row r="13084" spans="9:9" x14ac:dyDescent="0.2">
      <c r="I13084" s="137" t="s">
        <v>74</v>
      </c>
    </row>
    <row r="13085" spans="9:9" x14ac:dyDescent="0.2">
      <c r="I13085" s="137" t="s">
        <v>74</v>
      </c>
    </row>
    <row r="13086" spans="9:9" x14ac:dyDescent="0.2">
      <c r="I13086" s="137" t="s">
        <v>74</v>
      </c>
    </row>
    <row r="13087" spans="9:9" x14ac:dyDescent="0.2">
      <c r="I13087" s="137" t="s">
        <v>74</v>
      </c>
    </row>
    <row r="13088" spans="9:9" x14ac:dyDescent="0.2">
      <c r="I13088" s="137" t="s">
        <v>74</v>
      </c>
    </row>
    <row r="13089" spans="9:9" x14ac:dyDescent="0.2">
      <c r="I13089" s="137" t="s">
        <v>74</v>
      </c>
    </row>
    <row r="13090" spans="9:9" x14ac:dyDescent="0.2">
      <c r="I13090" s="137" t="s">
        <v>74</v>
      </c>
    </row>
    <row r="13091" spans="9:9" x14ac:dyDescent="0.2">
      <c r="I13091" s="137" t="s">
        <v>74</v>
      </c>
    </row>
    <row r="13092" spans="9:9" x14ac:dyDescent="0.2">
      <c r="I13092" s="137" t="s">
        <v>74</v>
      </c>
    </row>
    <row r="13093" spans="9:9" x14ac:dyDescent="0.2">
      <c r="I13093" s="137" t="s">
        <v>74</v>
      </c>
    </row>
    <row r="13094" spans="9:9" x14ac:dyDescent="0.2">
      <c r="I13094" s="137" t="s">
        <v>74</v>
      </c>
    </row>
    <row r="13095" spans="9:9" x14ac:dyDescent="0.2">
      <c r="I13095" s="137" t="s">
        <v>74</v>
      </c>
    </row>
    <row r="13096" spans="9:9" x14ac:dyDescent="0.2">
      <c r="I13096" s="137" t="s">
        <v>74</v>
      </c>
    </row>
    <row r="13097" spans="9:9" x14ac:dyDescent="0.2">
      <c r="I13097" s="137" t="s">
        <v>74</v>
      </c>
    </row>
    <row r="13098" spans="9:9" x14ac:dyDescent="0.2">
      <c r="I13098" s="137" t="s">
        <v>74</v>
      </c>
    </row>
    <row r="13099" spans="9:9" x14ac:dyDescent="0.2">
      <c r="I13099" s="137" t="s">
        <v>74</v>
      </c>
    </row>
    <row r="13100" spans="9:9" x14ac:dyDescent="0.2">
      <c r="I13100" s="137" t="s">
        <v>74</v>
      </c>
    </row>
    <row r="13101" spans="9:9" x14ac:dyDescent="0.2">
      <c r="I13101" s="137" t="s">
        <v>74</v>
      </c>
    </row>
    <row r="13102" spans="9:9" x14ac:dyDescent="0.2">
      <c r="I13102" s="137" t="s">
        <v>74</v>
      </c>
    </row>
    <row r="13103" spans="9:9" x14ac:dyDescent="0.2">
      <c r="I13103" s="137" t="s">
        <v>74</v>
      </c>
    </row>
    <row r="13104" spans="9:9" x14ac:dyDescent="0.2">
      <c r="I13104" s="137" t="s">
        <v>74</v>
      </c>
    </row>
    <row r="13105" spans="9:9" x14ac:dyDescent="0.2">
      <c r="I13105" s="137" t="s">
        <v>74</v>
      </c>
    </row>
    <row r="13106" spans="9:9" x14ac:dyDescent="0.2">
      <c r="I13106" s="137" t="s">
        <v>74</v>
      </c>
    </row>
    <row r="13107" spans="9:9" x14ac:dyDescent="0.2">
      <c r="I13107" s="137" t="s">
        <v>74</v>
      </c>
    </row>
    <row r="13108" spans="9:9" x14ac:dyDescent="0.2">
      <c r="I13108" s="137" t="s">
        <v>74</v>
      </c>
    </row>
    <row r="13109" spans="9:9" x14ac:dyDescent="0.2">
      <c r="I13109" s="137" t="s">
        <v>74</v>
      </c>
    </row>
    <row r="13110" spans="9:9" x14ac:dyDescent="0.2">
      <c r="I13110" s="137" t="s">
        <v>74</v>
      </c>
    </row>
    <row r="13111" spans="9:9" x14ac:dyDescent="0.2">
      <c r="I13111" s="137" t="s">
        <v>74</v>
      </c>
    </row>
    <row r="13112" spans="9:9" x14ac:dyDescent="0.2">
      <c r="I13112" s="137" t="s">
        <v>74</v>
      </c>
    </row>
    <row r="13113" spans="9:9" x14ac:dyDescent="0.2">
      <c r="I13113" s="137" t="s">
        <v>74</v>
      </c>
    </row>
    <row r="13114" spans="9:9" x14ac:dyDescent="0.2">
      <c r="I13114" s="137" t="s">
        <v>74</v>
      </c>
    </row>
    <row r="13115" spans="9:9" x14ac:dyDescent="0.2">
      <c r="I13115" s="137" t="s">
        <v>74</v>
      </c>
    </row>
    <row r="13116" spans="9:9" x14ac:dyDescent="0.2">
      <c r="I13116" s="137" t="s">
        <v>74</v>
      </c>
    </row>
    <row r="13117" spans="9:9" x14ac:dyDescent="0.2">
      <c r="I13117" s="137" t="s">
        <v>74</v>
      </c>
    </row>
    <row r="13118" spans="9:9" x14ac:dyDescent="0.2">
      <c r="I13118" s="137" t="s">
        <v>74</v>
      </c>
    </row>
    <row r="13119" spans="9:9" x14ac:dyDescent="0.2">
      <c r="I13119" s="137" t="s">
        <v>74</v>
      </c>
    </row>
    <row r="13120" spans="9:9" x14ac:dyDescent="0.2">
      <c r="I13120" s="137" t="s">
        <v>74</v>
      </c>
    </row>
    <row r="13121" spans="9:9" x14ac:dyDescent="0.2">
      <c r="I13121" s="137" t="s">
        <v>74</v>
      </c>
    </row>
    <row r="13122" spans="9:9" x14ac:dyDescent="0.2">
      <c r="I13122" s="137" t="s">
        <v>74</v>
      </c>
    </row>
    <row r="13123" spans="9:9" x14ac:dyDescent="0.2">
      <c r="I13123" s="137" t="s">
        <v>74</v>
      </c>
    </row>
    <row r="13124" spans="9:9" x14ac:dyDescent="0.2">
      <c r="I13124" s="137" t="s">
        <v>74</v>
      </c>
    </row>
    <row r="13125" spans="9:9" x14ac:dyDescent="0.2">
      <c r="I13125" s="137" t="s">
        <v>74</v>
      </c>
    </row>
    <row r="13126" spans="9:9" x14ac:dyDescent="0.2">
      <c r="I13126" s="137" t="s">
        <v>74</v>
      </c>
    </row>
    <row r="13127" spans="9:9" x14ac:dyDescent="0.2">
      <c r="I13127" s="137" t="s">
        <v>74</v>
      </c>
    </row>
    <row r="13128" spans="9:9" x14ac:dyDescent="0.2">
      <c r="I13128" s="137" t="s">
        <v>74</v>
      </c>
    </row>
    <row r="13129" spans="9:9" x14ac:dyDescent="0.2">
      <c r="I13129" s="137" t="s">
        <v>74</v>
      </c>
    </row>
    <row r="13130" spans="9:9" x14ac:dyDescent="0.2">
      <c r="I13130" s="137" t="s">
        <v>74</v>
      </c>
    </row>
    <row r="13131" spans="9:9" x14ac:dyDescent="0.2">
      <c r="I13131" s="137" t="s">
        <v>74</v>
      </c>
    </row>
    <row r="13132" spans="9:9" x14ac:dyDescent="0.2">
      <c r="I13132" s="137" t="s">
        <v>74</v>
      </c>
    </row>
    <row r="13133" spans="9:9" x14ac:dyDescent="0.2">
      <c r="I13133" s="137" t="s">
        <v>74</v>
      </c>
    </row>
    <row r="13134" spans="9:9" x14ac:dyDescent="0.2">
      <c r="I13134" s="137" t="s">
        <v>74</v>
      </c>
    </row>
    <row r="13135" spans="9:9" x14ac:dyDescent="0.2">
      <c r="I13135" s="137" t="s">
        <v>74</v>
      </c>
    </row>
    <row r="13136" spans="9:9" x14ac:dyDescent="0.2">
      <c r="I13136" s="137" t="s">
        <v>74</v>
      </c>
    </row>
    <row r="13137" spans="9:9" x14ac:dyDescent="0.2">
      <c r="I13137" s="137" t="s">
        <v>74</v>
      </c>
    </row>
    <row r="13138" spans="9:9" x14ac:dyDescent="0.2">
      <c r="I13138" s="137" t="s">
        <v>74</v>
      </c>
    </row>
    <row r="13139" spans="9:9" x14ac:dyDescent="0.2">
      <c r="I13139" s="137" t="s">
        <v>74</v>
      </c>
    </row>
    <row r="13140" spans="9:9" x14ac:dyDescent="0.2">
      <c r="I13140" s="137" t="s">
        <v>74</v>
      </c>
    </row>
    <row r="13141" spans="9:9" x14ac:dyDescent="0.2">
      <c r="I13141" s="137" t="s">
        <v>74</v>
      </c>
    </row>
    <row r="13142" spans="9:9" x14ac:dyDescent="0.2">
      <c r="I13142" s="137" t="s">
        <v>74</v>
      </c>
    </row>
    <row r="13143" spans="9:9" x14ac:dyDescent="0.2">
      <c r="I13143" s="137" t="s">
        <v>74</v>
      </c>
    </row>
    <row r="13144" spans="9:9" x14ac:dyDescent="0.2">
      <c r="I13144" s="137" t="s">
        <v>74</v>
      </c>
    </row>
    <row r="13145" spans="9:9" x14ac:dyDescent="0.2">
      <c r="I13145" s="137" t="s">
        <v>74</v>
      </c>
    </row>
    <row r="13146" spans="9:9" x14ac:dyDescent="0.2">
      <c r="I13146" s="137" t="s">
        <v>74</v>
      </c>
    </row>
    <row r="13147" spans="9:9" x14ac:dyDescent="0.2">
      <c r="I13147" s="137" t="s">
        <v>74</v>
      </c>
    </row>
    <row r="13148" spans="9:9" x14ac:dyDescent="0.2">
      <c r="I13148" s="137" t="s">
        <v>74</v>
      </c>
    </row>
    <row r="13149" spans="9:9" x14ac:dyDescent="0.2">
      <c r="I13149" s="137" t="s">
        <v>74</v>
      </c>
    </row>
    <row r="13150" spans="9:9" x14ac:dyDescent="0.2">
      <c r="I13150" s="137" t="s">
        <v>74</v>
      </c>
    </row>
    <row r="13151" spans="9:9" x14ac:dyDescent="0.2">
      <c r="I13151" s="137" t="s">
        <v>74</v>
      </c>
    </row>
    <row r="13152" spans="9:9" x14ac:dyDescent="0.2">
      <c r="I13152" s="137" t="s">
        <v>74</v>
      </c>
    </row>
    <row r="13153" spans="9:9" x14ac:dyDescent="0.2">
      <c r="I13153" s="137" t="s">
        <v>74</v>
      </c>
    </row>
    <row r="13154" spans="9:9" x14ac:dyDescent="0.2">
      <c r="I13154" s="137" t="s">
        <v>74</v>
      </c>
    </row>
    <row r="13155" spans="9:9" x14ac:dyDescent="0.2">
      <c r="I13155" s="137" t="s">
        <v>74</v>
      </c>
    </row>
    <row r="13156" spans="9:9" x14ac:dyDescent="0.2">
      <c r="I13156" s="137" t="s">
        <v>74</v>
      </c>
    </row>
    <row r="13157" spans="9:9" x14ac:dyDescent="0.2">
      <c r="I13157" s="137" t="s">
        <v>74</v>
      </c>
    </row>
    <row r="13158" spans="9:9" x14ac:dyDescent="0.2">
      <c r="I13158" s="137" t="s">
        <v>74</v>
      </c>
    </row>
    <row r="13159" spans="9:9" x14ac:dyDescent="0.2">
      <c r="I13159" s="137" t="s">
        <v>74</v>
      </c>
    </row>
    <row r="13160" spans="9:9" x14ac:dyDescent="0.2">
      <c r="I13160" s="137" t="s">
        <v>74</v>
      </c>
    </row>
    <row r="13161" spans="9:9" x14ac:dyDescent="0.2">
      <c r="I13161" s="137" t="s">
        <v>74</v>
      </c>
    </row>
    <row r="13162" spans="9:9" x14ac:dyDescent="0.2">
      <c r="I13162" s="137" t="s">
        <v>74</v>
      </c>
    </row>
    <row r="13163" spans="9:9" x14ac:dyDescent="0.2">
      <c r="I13163" s="137" t="s">
        <v>74</v>
      </c>
    </row>
    <row r="13164" spans="9:9" x14ac:dyDescent="0.2">
      <c r="I13164" s="137" t="s">
        <v>74</v>
      </c>
    </row>
    <row r="13165" spans="9:9" x14ac:dyDescent="0.2">
      <c r="I13165" s="137" t="s">
        <v>74</v>
      </c>
    </row>
    <row r="13166" spans="9:9" x14ac:dyDescent="0.2">
      <c r="I13166" s="137" t="s">
        <v>74</v>
      </c>
    </row>
    <row r="13167" spans="9:9" x14ac:dyDescent="0.2">
      <c r="I13167" s="137" t="s">
        <v>74</v>
      </c>
    </row>
    <row r="13168" spans="9:9" x14ac:dyDescent="0.2">
      <c r="I13168" s="137" t="s">
        <v>74</v>
      </c>
    </row>
    <row r="13169" spans="9:9" x14ac:dyDescent="0.2">
      <c r="I13169" s="137" t="s">
        <v>74</v>
      </c>
    </row>
    <row r="13170" spans="9:9" x14ac:dyDescent="0.2">
      <c r="I13170" s="137" t="s">
        <v>74</v>
      </c>
    </row>
    <row r="13171" spans="9:9" x14ac:dyDescent="0.2">
      <c r="I13171" s="137" t="s">
        <v>74</v>
      </c>
    </row>
    <row r="13172" spans="9:9" x14ac:dyDescent="0.2">
      <c r="I13172" s="137" t="s">
        <v>74</v>
      </c>
    </row>
    <row r="13173" spans="9:9" x14ac:dyDescent="0.2">
      <c r="I13173" s="137" t="s">
        <v>74</v>
      </c>
    </row>
    <row r="13174" spans="9:9" x14ac:dyDescent="0.2">
      <c r="I13174" s="137" t="s">
        <v>74</v>
      </c>
    </row>
    <row r="13175" spans="9:9" x14ac:dyDescent="0.2">
      <c r="I13175" s="137" t="s">
        <v>74</v>
      </c>
    </row>
    <row r="13176" spans="9:9" x14ac:dyDescent="0.2">
      <c r="I13176" s="137" t="s">
        <v>74</v>
      </c>
    </row>
    <row r="13177" spans="9:9" x14ac:dyDescent="0.2">
      <c r="I13177" s="137" t="s">
        <v>74</v>
      </c>
    </row>
    <row r="13178" spans="9:9" x14ac:dyDescent="0.2">
      <c r="I13178" s="137" t="s">
        <v>74</v>
      </c>
    </row>
    <row r="13179" spans="9:9" x14ac:dyDescent="0.2">
      <c r="I13179" s="137" t="s">
        <v>74</v>
      </c>
    </row>
    <row r="13180" spans="9:9" x14ac:dyDescent="0.2">
      <c r="I13180" s="137" t="s">
        <v>74</v>
      </c>
    </row>
    <row r="13181" spans="9:9" x14ac:dyDescent="0.2">
      <c r="I13181" s="137" t="s">
        <v>74</v>
      </c>
    </row>
    <row r="13182" spans="9:9" x14ac:dyDescent="0.2">
      <c r="I13182" s="137" t="s">
        <v>74</v>
      </c>
    </row>
    <row r="13183" spans="9:9" x14ac:dyDescent="0.2">
      <c r="I13183" s="137" t="s">
        <v>74</v>
      </c>
    </row>
    <row r="13184" spans="9:9" x14ac:dyDescent="0.2">
      <c r="I13184" s="137" t="s">
        <v>74</v>
      </c>
    </row>
    <row r="13185" spans="9:9" x14ac:dyDescent="0.2">
      <c r="I13185" s="137" t="s">
        <v>74</v>
      </c>
    </row>
    <row r="13186" spans="9:9" x14ac:dyDescent="0.2">
      <c r="I13186" s="137" t="s">
        <v>74</v>
      </c>
    </row>
    <row r="13187" spans="9:9" x14ac:dyDescent="0.2">
      <c r="I13187" s="137" t="s">
        <v>74</v>
      </c>
    </row>
    <row r="13188" spans="9:9" x14ac:dyDescent="0.2">
      <c r="I13188" s="137" t="s">
        <v>74</v>
      </c>
    </row>
    <row r="13189" spans="9:9" x14ac:dyDescent="0.2">
      <c r="I13189" s="137" t="s">
        <v>74</v>
      </c>
    </row>
    <row r="13190" spans="9:9" x14ac:dyDescent="0.2">
      <c r="I13190" s="137" t="s">
        <v>74</v>
      </c>
    </row>
    <row r="13191" spans="9:9" x14ac:dyDescent="0.2">
      <c r="I13191" s="137" t="s">
        <v>74</v>
      </c>
    </row>
    <row r="13192" spans="9:9" x14ac:dyDescent="0.2">
      <c r="I13192" s="137" t="s">
        <v>74</v>
      </c>
    </row>
    <row r="13193" spans="9:9" x14ac:dyDescent="0.2">
      <c r="I13193" s="137" t="s">
        <v>74</v>
      </c>
    </row>
    <row r="13194" spans="9:9" x14ac:dyDescent="0.2">
      <c r="I13194" s="137" t="s">
        <v>74</v>
      </c>
    </row>
    <row r="13195" spans="9:9" x14ac:dyDescent="0.2">
      <c r="I13195" s="137" t="s">
        <v>74</v>
      </c>
    </row>
    <row r="13196" spans="9:9" x14ac:dyDescent="0.2">
      <c r="I13196" s="137" t="s">
        <v>74</v>
      </c>
    </row>
    <row r="13197" spans="9:9" x14ac:dyDescent="0.2">
      <c r="I13197" s="137" t="s">
        <v>74</v>
      </c>
    </row>
    <row r="13198" spans="9:9" x14ac:dyDescent="0.2">
      <c r="I13198" s="137" t="s">
        <v>74</v>
      </c>
    </row>
    <row r="13199" spans="9:9" x14ac:dyDescent="0.2">
      <c r="I13199" s="137" t="s">
        <v>74</v>
      </c>
    </row>
    <row r="13200" spans="9:9" x14ac:dyDescent="0.2">
      <c r="I13200" s="137" t="s">
        <v>74</v>
      </c>
    </row>
    <row r="13201" spans="9:9" x14ac:dyDescent="0.2">
      <c r="I13201" s="137" t="s">
        <v>74</v>
      </c>
    </row>
    <row r="13202" spans="9:9" x14ac:dyDescent="0.2">
      <c r="I13202" s="137" t="s">
        <v>74</v>
      </c>
    </row>
    <row r="13203" spans="9:9" x14ac:dyDescent="0.2">
      <c r="I13203" s="137" t="s">
        <v>74</v>
      </c>
    </row>
    <row r="13204" spans="9:9" x14ac:dyDescent="0.2">
      <c r="I13204" s="137" t="s">
        <v>74</v>
      </c>
    </row>
    <row r="13205" spans="9:9" x14ac:dyDescent="0.2">
      <c r="I13205" s="137" t="s">
        <v>74</v>
      </c>
    </row>
    <row r="13206" spans="9:9" x14ac:dyDescent="0.2">
      <c r="I13206" s="137" t="s">
        <v>74</v>
      </c>
    </row>
    <row r="13207" spans="9:9" x14ac:dyDescent="0.2">
      <c r="I13207" s="137" t="s">
        <v>74</v>
      </c>
    </row>
    <row r="13208" spans="9:9" x14ac:dyDescent="0.2">
      <c r="I13208" s="137" t="s">
        <v>74</v>
      </c>
    </row>
    <row r="13209" spans="9:9" x14ac:dyDescent="0.2">
      <c r="I13209" s="137" t="s">
        <v>74</v>
      </c>
    </row>
    <row r="13210" spans="9:9" x14ac:dyDescent="0.2">
      <c r="I13210" s="137" t="s">
        <v>74</v>
      </c>
    </row>
    <row r="13211" spans="9:9" x14ac:dyDescent="0.2">
      <c r="I13211" s="137" t="s">
        <v>74</v>
      </c>
    </row>
    <row r="13212" spans="9:9" x14ac:dyDescent="0.2">
      <c r="I13212" s="137" t="s">
        <v>74</v>
      </c>
    </row>
    <row r="13213" spans="9:9" x14ac:dyDescent="0.2">
      <c r="I13213" s="137" t="s">
        <v>74</v>
      </c>
    </row>
    <row r="13214" spans="9:9" x14ac:dyDescent="0.2">
      <c r="I13214" s="137" t="s">
        <v>74</v>
      </c>
    </row>
    <row r="13215" spans="9:9" x14ac:dyDescent="0.2">
      <c r="I13215" s="137" t="s">
        <v>74</v>
      </c>
    </row>
    <row r="13216" spans="9:9" x14ac:dyDescent="0.2">
      <c r="I13216" s="137" t="s">
        <v>74</v>
      </c>
    </row>
    <row r="13217" spans="9:9" x14ac:dyDescent="0.2">
      <c r="I13217" s="137" t="s">
        <v>74</v>
      </c>
    </row>
    <row r="13218" spans="9:9" x14ac:dyDescent="0.2">
      <c r="I13218" s="137" t="s">
        <v>74</v>
      </c>
    </row>
    <row r="13219" spans="9:9" x14ac:dyDescent="0.2">
      <c r="I13219" s="137" t="s">
        <v>74</v>
      </c>
    </row>
    <row r="13220" spans="9:9" x14ac:dyDescent="0.2">
      <c r="I13220" s="137" t="s">
        <v>74</v>
      </c>
    </row>
    <row r="13221" spans="9:9" x14ac:dyDescent="0.2">
      <c r="I13221" s="137" t="s">
        <v>74</v>
      </c>
    </row>
    <row r="13222" spans="9:9" x14ac:dyDescent="0.2">
      <c r="I13222" s="137" t="s">
        <v>74</v>
      </c>
    </row>
    <row r="13223" spans="9:9" x14ac:dyDescent="0.2">
      <c r="I13223" s="137" t="s">
        <v>74</v>
      </c>
    </row>
    <row r="13224" spans="9:9" x14ac:dyDescent="0.2">
      <c r="I13224" s="137" t="s">
        <v>74</v>
      </c>
    </row>
    <row r="13225" spans="9:9" x14ac:dyDescent="0.2">
      <c r="I13225" s="137" t="s">
        <v>74</v>
      </c>
    </row>
    <row r="13226" spans="9:9" x14ac:dyDescent="0.2">
      <c r="I13226" s="137" t="s">
        <v>74</v>
      </c>
    </row>
    <row r="13227" spans="9:9" x14ac:dyDescent="0.2">
      <c r="I13227" s="137" t="s">
        <v>74</v>
      </c>
    </row>
    <row r="13228" spans="9:9" x14ac:dyDescent="0.2">
      <c r="I13228" s="137" t="s">
        <v>74</v>
      </c>
    </row>
    <row r="13229" spans="9:9" x14ac:dyDescent="0.2">
      <c r="I13229" s="137" t="s">
        <v>74</v>
      </c>
    </row>
    <row r="13230" spans="9:9" x14ac:dyDescent="0.2">
      <c r="I13230" s="137" t="s">
        <v>74</v>
      </c>
    </row>
    <row r="13231" spans="9:9" x14ac:dyDescent="0.2">
      <c r="I13231" s="137" t="s">
        <v>74</v>
      </c>
    </row>
    <row r="13232" spans="9:9" x14ac:dyDescent="0.2">
      <c r="I13232" s="137" t="s">
        <v>74</v>
      </c>
    </row>
    <row r="13233" spans="9:9" x14ac:dyDescent="0.2">
      <c r="I13233" s="137" t="s">
        <v>74</v>
      </c>
    </row>
    <row r="13234" spans="9:9" x14ac:dyDescent="0.2">
      <c r="I13234" s="137" t="s">
        <v>74</v>
      </c>
    </row>
    <row r="13235" spans="9:9" x14ac:dyDescent="0.2">
      <c r="I13235" s="137" t="s">
        <v>74</v>
      </c>
    </row>
    <row r="13236" spans="9:9" x14ac:dyDescent="0.2">
      <c r="I13236" s="137" t="s">
        <v>74</v>
      </c>
    </row>
    <row r="13237" spans="9:9" x14ac:dyDescent="0.2">
      <c r="I13237" s="137" t="s">
        <v>74</v>
      </c>
    </row>
    <row r="13238" spans="9:9" x14ac:dyDescent="0.2">
      <c r="I13238" s="137" t="s">
        <v>74</v>
      </c>
    </row>
    <row r="13239" spans="9:9" x14ac:dyDescent="0.2">
      <c r="I13239" s="137" t="s">
        <v>74</v>
      </c>
    </row>
    <row r="13240" spans="9:9" x14ac:dyDescent="0.2">
      <c r="I13240" s="137" t="s">
        <v>74</v>
      </c>
    </row>
    <row r="13241" spans="9:9" x14ac:dyDescent="0.2">
      <c r="I13241" s="137" t="s">
        <v>74</v>
      </c>
    </row>
    <row r="13242" spans="9:9" x14ac:dyDescent="0.2">
      <c r="I13242" s="137" t="s">
        <v>74</v>
      </c>
    </row>
    <row r="13243" spans="9:9" x14ac:dyDescent="0.2">
      <c r="I13243" s="137" t="s">
        <v>74</v>
      </c>
    </row>
    <row r="13244" spans="9:9" x14ac:dyDescent="0.2">
      <c r="I13244" s="137" t="s">
        <v>74</v>
      </c>
    </row>
    <row r="13245" spans="9:9" x14ac:dyDescent="0.2">
      <c r="I13245" s="137" t="s">
        <v>74</v>
      </c>
    </row>
    <row r="13246" spans="9:9" x14ac:dyDescent="0.2">
      <c r="I13246" s="137" t="s">
        <v>74</v>
      </c>
    </row>
    <row r="13247" spans="9:9" x14ac:dyDescent="0.2">
      <c r="I13247" s="137" t="s">
        <v>74</v>
      </c>
    </row>
    <row r="13248" spans="9:9" x14ac:dyDescent="0.2">
      <c r="I13248" s="137" t="s">
        <v>74</v>
      </c>
    </row>
    <row r="13249" spans="9:9" x14ac:dyDescent="0.2">
      <c r="I13249" s="137" t="s">
        <v>74</v>
      </c>
    </row>
    <row r="13250" spans="9:9" x14ac:dyDescent="0.2">
      <c r="I13250" s="137" t="s">
        <v>74</v>
      </c>
    </row>
    <row r="13251" spans="9:9" x14ac:dyDescent="0.2">
      <c r="I13251" s="137" t="s">
        <v>74</v>
      </c>
    </row>
    <row r="13252" spans="9:9" x14ac:dyDescent="0.2">
      <c r="I13252" s="137" t="s">
        <v>74</v>
      </c>
    </row>
    <row r="13253" spans="9:9" x14ac:dyDescent="0.2">
      <c r="I13253" s="137" t="s">
        <v>74</v>
      </c>
    </row>
    <row r="13254" spans="9:9" x14ac:dyDescent="0.2">
      <c r="I13254" s="137" t="s">
        <v>74</v>
      </c>
    </row>
    <row r="13255" spans="9:9" x14ac:dyDescent="0.2">
      <c r="I13255" s="137" t="s">
        <v>74</v>
      </c>
    </row>
    <row r="13256" spans="9:9" x14ac:dyDescent="0.2">
      <c r="I13256" s="137" t="s">
        <v>74</v>
      </c>
    </row>
    <row r="13257" spans="9:9" x14ac:dyDescent="0.2">
      <c r="I13257" s="137" t="s">
        <v>74</v>
      </c>
    </row>
    <row r="13258" spans="9:9" x14ac:dyDescent="0.2">
      <c r="I13258" s="137" t="s">
        <v>74</v>
      </c>
    </row>
    <row r="13259" spans="9:9" x14ac:dyDescent="0.2">
      <c r="I13259" s="137" t="s">
        <v>74</v>
      </c>
    </row>
    <row r="13260" spans="9:9" x14ac:dyDescent="0.2">
      <c r="I13260" s="137" t="s">
        <v>74</v>
      </c>
    </row>
    <row r="13261" spans="9:9" x14ac:dyDescent="0.2">
      <c r="I13261" s="137" t="s">
        <v>74</v>
      </c>
    </row>
    <row r="13262" spans="9:9" x14ac:dyDescent="0.2">
      <c r="I13262" s="137" t="s">
        <v>74</v>
      </c>
    </row>
    <row r="13263" spans="9:9" x14ac:dyDescent="0.2">
      <c r="I13263" s="137" t="s">
        <v>74</v>
      </c>
    </row>
    <row r="13264" spans="9:9" x14ac:dyDescent="0.2">
      <c r="I13264" s="137" t="s">
        <v>74</v>
      </c>
    </row>
    <row r="13265" spans="9:9" x14ac:dyDescent="0.2">
      <c r="I13265" s="137" t="s">
        <v>74</v>
      </c>
    </row>
    <row r="13266" spans="9:9" x14ac:dyDescent="0.2">
      <c r="I13266" s="137" t="s">
        <v>74</v>
      </c>
    </row>
    <row r="13267" spans="9:9" x14ac:dyDescent="0.2">
      <c r="I13267" s="137" t="s">
        <v>74</v>
      </c>
    </row>
    <row r="13268" spans="9:9" x14ac:dyDescent="0.2">
      <c r="I13268" s="137" t="s">
        <v>74</v>
      </c>
    </row>
    <row r="13269" spans="9:9" x14ac:dyDescent="0.2">
      <c r="I13269" s="137" t="s">
        <v>74</v>
      </c>
    </row>
    <row r="13270" spans="9:9" x14ac:dyDescent="0.2">
      <c r="I13270" s="137" t="s">
        <v>74</v>
      </c>
    </row>
    <row r="13271" spans="9:9" x14ac:dyDescent="0.2">
      <c r="I13271" s="137" t="s">
        <v>74</v>
      </c>
    </row>
    <row r="13272" spans="9:9" x14ac:dyDescent="0.2">
      <c r="I13272" s="137" t="s">
        <v>74</v>
      </c>
    </row>
    <row r="13273" spans="9:9" x14ac:dyDescent="0.2">
      <c r="I13273" s="137" t="s">
        <v>74</v>
      </c>
    </row>
    <row r="13274" spans="9:9" x14ac:dyDescent="0.2">
      <c r="I13274" s="137" t="s">
        <v>74</v>
      </c>
    </row>
    <row r="13275" spans="9:9" x14ac:dyDescent="0.2">
      <c r="I13275" s="137" t="s">
        <v>74</v>
      </c>
    </row>
    <row r="13276" spans="9:9" x14ac:dyDescent="0.2">
      <c r="I13276" s="137" t="s">
        <v>74</v>
      </c>
    </row>
    <row r="13277" spans="9:9" x14ac:dyDescent="0.2">
      <c r="I13277" s="137" t="s">
        <v>74</v>
      </c>
    </row>
    <row r="13278" spans="9:9" x14ac:dyDescent="0.2">
      <c r="I13278" s="137" t="s">
        <v>74</v>
      </c>
    </row>
    <row r="13279" spans="9:9" x14ac:dyDescent="0.2">
      <c r="I13279" s="137" t="s">
        <v>74</v>
      </c>
    </row>
    <row r="13280" spans="9:9" x14ac:dyDescent="0.2">
      <c r="I13280" s="137" t="s">
        <v>74</v>
      </c>
    </row>
    <row r="13281" spans="9:9" x14ac:dyDescent="0.2">
      <c r="I13281" s="137" t="s">
        <v>74</v>
      </c>
    </row>
    <row r="13282" spans="9:9" x14ac:dyDescent="0.2">
      <c r="I13282" s="137" t="s">
        <v>74</v>
      </c>
    </row>
    <row r="13283" spans="9:9" x14ac:dyDescent="0.2">
      <c r="I13283" s="137" t="s">
        <v>74</v>
      </c>
    </row>
    <row r="13284" spans="9:9" x14ac:dyDescent="0.2">
      <c r="I13284" s="137" t="s">
        <v>74</v>
      </c>
    </row>
    <row r="13285" spans="9:9" x14ac:dyDescent="0.2">
      <c r="I13285" s="137" t="s">
        <v>74</v>
      </c>
    </row>
    <row r="13286" spans="9:9" x14ac:dyDescent="0.2">
      <c r="I13286" s="137" t="s">
        <v>74</v>
      </c>
    </row>
    <row r="13287" spans="9:9" x14ac:dyDescent="0.2">
      <c r="I13287" s="137" t="s">
        <v>74</v>
      </c>
    </row>
    <row r="13288" spans="9:9" x14ac:dyDescent="0.2">
      <c r="I13288" s="137" t="s">
        <v>74</v>
      </c>
    </row>
    <row r="13289" spans="9:9" x14ac:dyDescent="0.2">
      <c r="I13289" s="137" t="s">
        <v>74</v>
      </c>
    </row>
    <row r="13290" spans="9:9" x14ac:dyDescent="0.2">
      <c r="I13290" s="137" t="s">
        <v>74</v>
      </c>
    </row>
    <row r="13291" spans="9:9" x14ac:dyDescent="0.2">
      <c r="I13291" s="137" t="s">
        <v>74</v>
      </c>
    </row>
    <row r="13292" spans="9:9" x14ac:dyDescent="0.2">
      <c r="I13292" s="137" t="s">
        <v>74</v>
      </c>
    </row>
    <row r="13293" spans="9:9" x14ac:dyDescent="0.2">
      <c r="I13293" s="137" t="s">
        <v>74</v>
      </c>
    </row>
    <row r="13294" spans="9:9" x14ac:dyDescent="0.2">
      <c r="I13294" s="137" t="s">
        <v>74</v>
      </c>
    </row>
    <row r="13295" spans="9:9" x14ac:dyDescent="0.2">
      <c r="I13295" s="137" t="s">
        <v>74</v>
      </c>
    </row>
    <row r="13296" spans="9:9" x14ac:dyDescent="0.2">
      <c r="I13296" s="137" t="s">
        <v>74</v>
      </c>
    </row>
    <row r="13297" spans="9:9" x14ac:dyDescent="0.2">
      <c r="I13297" s="137" t="s">
        <v>74</v>
      </c>
    </row>
    <row r="13298" spans="9:9" x14ac:dyDescent="0.2">
      <c r="I13298" s="137" t="s">
        <v>74</v>
      </c>
    </row>
    <row r="13299" spans="9:9" x14ac:dyDescent="0.2">
      <c r="I13299" s="137" t="s">
        <v>74</v>
      </c>
    </row>
    <row r="13300" spans="9:9" x14ac:dyDescent="0.2">
      <c r="I13300" s="137" t="s">
        <v>74</v>
      </c>
    </row>
    <row r="13301" spans="9:9" x14ac:dyDescent="0.2">
      <c r="I13301" s="137" t="s">
        <v>74</v>
      </c>
    </row>
    <row r="13302" spans="9:9" x14ac:dyDescent="0.2">
      <c r="I13302" s="137" t="s">
        <v>74</v>
      </c>
    </row>
    <row r="13303" spans="9:9" x14ac:dyDescent="0.2">
      <c r="I13303" s="137" t="s">
        <v>74</v>
      </c>
    </row>
    <row r="13304" spans="9:9" x14ac:dyDescent="0.2">
      <c r="I13304" s="137" t="s">
        <v>74</v>
      </c>
    </row>
    <row r="13305" spans="9:9" x14ac:dyDescent="0.2">
      <c r="I13305" s="137" t="s">
        <v>74</v>
      </c>
    </row>
    <row r="13306" spans="9:9" x14ac:dyDescent="0.2">
      <c r="I13306" s="137" t="s">
        <v>74</v>
      </c>
    </row>
    <row r="13307" spans="9:9" x14ac:dyDescent="0.2">
      <c r="I13307" s="137" t="s">
        <v>74</v>
      </c>
    </row>
    <row r="13308" spans="9:9" x14ac:dyDescent="0.2">
      <c r="I13308" s="137" t="s">
        <v>74</v>
      </c>
    </row>
    <row r="13309" spans="9:9" x14ac:dyDescent="0.2">
      <c r="I13309" s="137" t="s">
        <v>74</v>
      </c>
    </row>
    <row r="13310" spans="9:9" x14ac:dyDescent="0.2">
      <c r="I13310" s="137" t="s">
        <v>74</v>
      </c>
    </row>
    <row r="13311" spans="9:9" x14ac:dyDescent="0.2">
      <c r="I13311" s="137" t="s">
        <v>74</v>
      </c>
    </row>
    <row r="13312" spans="9:9" x14ac:dyDescent="0.2">
      <c r="I13312" s="137" t="s">
        <v>74</v>
      </c>
    </row>
    <row r="13313" spans="9:9" x14ac:dyDescent="0.2">
      <c r="I13313" s="137" t="s">
        <v>74</v>
      </c>
    </row>
    <row r="13314" spans="9:9" x14ac:dyDescent="0.2">
      <c r="I13314" s="137" t="s">
        <v>74</v>
      </c>
    </row>
    <row r="13315" spans="9:9" x14ac:dyDescent="0.2">
      <c r="I13315" s="137" t="s">
        <v>74</v>
      </c>
    </row>
    <row r="13316" spans="9:9" x14ac:dyDescent="0.2">
      <c r="I13316" s="137" t="s">
        <v>74</v>
      </c>
    </row>
    <row r="13317" spans="9:9" x14ac:dyDescent="0.2">
      <c r="I13317" s="137" t="s">
        <v>74</v>
      </c>
    </row>
    <row r="13318" spans="9:9" x14ac:dyDescent="0.2">
      <c r="I13318" s="137" t="s">
        <v>74</v>
      </c>
    </row>
    <row r="13319" spans="9:9" x14ac:dyDescent="0.2">
      <c r="I13319" s="137" t="s">
        <v>74</v>
      </c>
    </row>
    <row r="13320" spans="9:9" x14ac:dyDescent="0.2">
      <c r="I13320" s="137" t="s">
        <v>74</v>
      </c>
    </row>
    <row r="13321" spans="9:9" x14ac:dyDescent="0.2">
      <c r="I13321" s="137" t="s">
        <v>74</v>
      </c>
    </row>
    <row r="13322" spans="9:9" x14ac:dyDescent="0.2">
      <c r="I13322" s="137" t="s">
        <v>74</v>
      </c>
    </row>
    <row r="13323" spans="9:9" x14ac:dyDescent="0.2">
      <c r="I13323" s="137" t="s">
        <v>74</v>
      </c>
    </row>
    <row r="13324" spans="9:9" x14ac:dyDescent="0.2">
      <c r="I13324" s="137" t="s">
        <v>74</v>
      </c>
    </row>
    <row r="13325" spans="9:9" x14ac:dyDescent="0.2">
      <c r="I13325" s="137" t="s">
        <v>74</v>
      </c>
    </row>
    <row r="13326" spans="9:9" x14ac:dyDescent="0.2">
      <c r="I13326" s="137" t="s">
        <v>74</v>
      </c>
    </row>
    <row r="13327" spans="9:9" x14ac:dyDescent="0.2">
      <c r="I13327" s="137" t="s">
        <v>74</v>
      </c>
    </row>
    <row r="13328" spans="9:9" x14ac:dyDescent="0.2">
      <c r="I13328" s="137" t="s">
        <v>74</v>
      </c>
    </row>
    <row r="13329" spans="9:9" x14ac:dyDescent="0.2">
      <c r="I13329" s="137" t="s">
        <v>74</v>
      </c>
    </row>
    <row r="13330" spans="9:9" x14ac:dyDescent="0.2">
      <c r="I13330" s="137" t="s">
        <v>74</v>
      </c>
    </row>
    <row r="13331" spans="9:9" x14ac:dyDescent="0.2">
      <c r="I13331" s="137" t="s">
        <v>74</v>
      </c>
    </row>
    <row r="13332" spans="9:9" x14ac:dyDescent="0.2">
      <c r="I13332" s="137" t="s">
        <v>74</v>
      </c>
    </row>
    <row r="13333" spans="9:9" x14ac:dyDescent="0.2">
      <c r="I13333" s="137" t="s">
        <v>74</v>
      </c>
    </row>
    <row r="13334" spans="9:9" x14ac:dyDescent="0.2">
      <c r="I13334" s="137" t="s">
        <v>74</v>
      </c>
    </row>
    <row r="13335" spans="9:9" x14ac:dyDescent="0.2">
      <c r="I13335" s="137" t="s">
        <v>74</v>
      </c>
    </row>
    <row r="13336" spans="9:9" x14ac:dyDescent="0.2">
      <c r="I13336" s="137" t="s">
        <v>74</v>
      </c>
    </row>
    <row r="13337" spans="9:9" x14ac:dyDescent="0.2">
      <c r="I13337" s="137" t="s">
        <v>74</v>
      </c>
    </row>
    <row r="13338" spans="9:9" x14ac:dyDescent="0.2">
      <c r="I13338" s="137" t="s">
        <v>74</v>
      </c>
    </row>
    <row r="13339" spans="9:9" x14ac:dyDescent="0.2">
      <c r="I13339" s="137" t="s">
        <v>74</v>
      </c>
    </row>
    <row r="13340" spans="9:9" x14ac:dyDescent="0.2">
      <c r="I13340" s="137" t="s">
        <v>74</v>
      </c>
    </row>
    <row r="13341" spans="9:9" x14ac:dyDescent="0.2">
      <c r="I13341" s="137" t="s">
        <v>74</v>
      </c>
    </row>
    <row r="13342" spans="9:9" x14ac:dyDescent="0.2">
      <c r="I13342" s="137" t="s">
        <v>74</v>
      </c>
    </row>
    <row r="13343" spans="9:9" x14ac:dyDescent="0.2">
      <c r="I13343" s="137" t="s">
        <v>74</v>
      </c>
    </row>
    <row r="13344" spans="9:9" x14ac:dyDescent="0.2">
      <c r="I13344" s="137" t="s">
        <v>74</v>
      </c>
    </row>
    <row r="13345" spans="9:9" x14ac:dyDescent="0.2">
      <c r="I13345" s="137" t="s">
        <v>74</v>
      </c>
    </row>
    <row r="13346" spans="9:9" x14ac:dyDescent="0.2">
      <c r="I13346" s="137" t="s">
        <v>74</v>
      </c>
    </row>
    <row r="13347" spans="9:9" x14ac:dyDescent="0.2">
      <c r="I13347" s="137" t="s">
        <v>74</v>
      </c>
    </row>
    <row r="13348" spans="9:9" x14ac:dyDescent="0.2">
      <c r="I13348" s="137" t="s">
        <v>74</v>
      </c>
    </row>
    <row r="13349" spans="9:9" x14ac:dyDescent="0.2">
      <c r="I13349" s="137" t="s">
        <v>74</v>
      </c>
    </row>
    <row r="13350" spans="9:9" x14ac:dyDescent="0.2">
      <c r="I13350" s="137" t="s">
        <v>74</v>
      </c>
    </row>
    <row r="13351" spans="9:9" x14ac:dyDescent="0.2">
      <c r="I13351" s="137" t="s">
        <v>74</v>
      </c>
    </row>
    <row r="13352" spans="9:9" x14ac:dyDescent="0.2">
      <c r="I13352" s="137" t="s">
        <v>74</v>
      </c>
    </row>
    <row r="13353" spans="9:9" x14ac:dyDescent="0.2">
      <c r="I13353" s="137" t="s">
        <v>74</v>
      </c>
    </row>
    <row r="13354" spans="9:9" x14ac:dyDescent="0.2">
      <c r="I13354" s="137" t="s">
        <v>74</v>
      </c>
    </row>
    <row r="13355" spans="9:9" x14ac:dyDescent="0.2">
      <c r="I13355" s="137" t="s">
        <v>74</v>
      </c>
    </row>
    <row r="13356" spans="9:9" x14ac:dyDescent="0.2">
      <c r="I13356" s="137" t="s">
        <v>74</v>
      </c>
    </row>
    <row r="13357" spans="9:9" x14ac:dyDescent="0.2">
      <c r="I13357" s="137" t="s">
        <v>74</v>
      </c>
    </row>
    <row r="13358" spans="9:9" x14ac:dyDescent="0.2">
      <c r="I13358" s="137" t="s">
        <v>74</v>
      </c>
    </row>
    <row r="13359" spans="9:9" x14ac:dyDescent="0.2">
      <c r="I13359" s="137" t="s">
        <v>74</v>
      </c>
    </row>
    <row r="13360" spans="9:9" x14ac:dyDescent="0.2">
      <c r="I13360" s="137" t="s">
        <v>74</v>
      </c>
    </row>
    <row r="13361" spans="9:9" x14ac:dyDescent="0.2">
      <c r="I13361" s="137" t="s">
        <v>74</v>
      </c>
    </row>
    <row r="13362" spans="9:9" x14ac:dyDescent="0.2">
      <c r="I13362" s="137" t="s">
        <v>74</v>
      </c>
    </row>
    <row r="13363" spans="9:9" x14ac:dyDescent="0.2">
      <c r="I13363" s="137" t="s">
        <v>74</v>
      </c>
    </row>
    <row r="13364" spans="9:9" x14ac:dyDescent="0.2">
      <c r="I13364" s="137" t="s">
        <v>74</v>
      </c>
    </row>
    <row r="13365" spans="9:9" x14ac:dyDescent="0.2">
      <c r="I13365" s="137" t="s">
        <v>74</v>
      </c>
    </row>
    <row r="13366" spans="9:9" x14ac:dyDescent="0.2">
      <c r="I13366" s="137" t="s">
        <v>74</v>
      </c>
    </row>
    <row r="13367" spans="9:9" x14ac:dyDescent="0.2">
      <c r="I13367" s="137" t="s">
        <v>74</v>
      </c>
    </row>
    <row r="13368" spans="9:9" x14ac:dyDescent="0.2">
      <c r="I13368" s="137" t="s">
        <v>74</v>
      </c>
    </row>
    <row r="13369" spans="9:9" x14ac:dyDescent="0.2">
      <c r="I13369" s="137" t="s">
        <v>74</v>
      </c>
    </row>
    <row r="13370" spans="9:9" x14ac:dyDescent="0.2">
      <c r="I13370" s="137" t="s">
        <v>74</v>
      </c>
    </row>
    <row r="13371" spans="9:9" x14ac:dyDescent="0.2">
      <c r="I13371" s="137" t="s">
        <v>74</v>
      </c>
    </row>
    <row r="13372" spans="9:9" x14ac:dyDescent="0.2">
      <c r="I13372" s="137" t="s">
        <v>74</v>
      </c>
    </row>
    <row r="13373" spans="9:9" x14ac:dyDescent="0.2">
      <c r="I13373" s="137" t="s">
        <v>74</v>
      </c>
    </row>
    <row r="13374" spans="9:9" x14ac:dyDescent="0.2">
      <c r="I13374" s="137" t="s">
        <v>74</v>
      </c>
    </row>
    <row r="13375" spans="9:9" x14ac:dyDescent="0.2">
      <c r="I13375" s="137" t="s">
        <v>74</v>
      </c>
    </row>
    <row r="13376" spans="9:9" x14ac:dyDescent="0.2">
      <c r="I13376" s="137" t="s">
        <v>74</v>
      </c>
    </row>
    <row r="13377" spans="9:9" x14ac:dyDescent="0.2">
      <c r="I13377" s="137" t="s">
        <v>74</v>
      </c>
    </row>
    <row r="13378" spans="9:9" x14ac:dyDescent="0.2">
      <c r="I13378" s="137" t="s">
        <v>74</v>
      </c>
    </row>
    <row r="13379" spans="9:9" x14ac:dyDescent="0.2">
      <c r="I13379" s="137" t="s">
        <v>74</v>
      </c>
    </row>
    <row r="13380" spans="9:9" x14ac:dyDescent="0.2">
      <c r="I13380" s="137" t="s">
        <v>74</v>
      </c>
    </row>
    <row r="13381" spans="9:9" x14ac:dyDescent="0.2">
      <c r="I13381" s="137" t="s">
        <v>74</v>
      </c>
    </row>
    <row r="13382" spans="9:9" x14ac:dyDescent="0.2">
      <c r="I13382" s="137" t="s">
        <v>74</v>
      </c>
    </row>
    <row r="13383" spans="9:9" x14ac:dyDescent="0.2">
      <c r="I13383" s="137" t="s">
        <v>74</v>
      </c>
    </row>
    <row r="13384" spans="9:9" x14ac:dyDescent="0.2">
      <c r="I13384" s="137" t="s">
        <v>74</v>
      </c>
    </row>
    <row r="13385" spans="9:9" x14ac:dyDescent="0.2">
      <c r="I13385" s="137" t="s">
        <v>74</v>
      </c>
    </row>
    <row r="13386" spans="9:9" x14ac:dyDescent="0.2">
      <c r="I13386" s="137" t="s">
        <v>74</v>
      </c>
    </row>
    <row r="13387" spans="9:9" x14ac:dyDescent="0.2">
      <c r="I13387" s="137" t="s">
        <v>74</v>
      </c>
    </row>
    <row r="13388" spans="9:9" x14ac:dyDescent="0.2">
      <c r="I13388" s="137" t="s">
        <v>74</v>
      </c>
    </row>
    <row r="13389" spans="9:9" x14ac:dyDescent="0.2">
      <c r="I13389" s="137" t="s">
        <v>74</v>
      </c>
    </row>
    <row r="13390" spans="9:9" x14ac:dyDescent="0.2">
      <c r="I13390" s="137" t="s">
        <v>74</v>
      </c>
    </row>
    <row r="13391" spans="9:9" x14ac:dyDescent="0.2">
      <c r="I13391" s="137" t="s">
        <v>74</v>
      </c>
    </row>
    <row r="13392" spans="9:9" x14ac:dyDescent="0.2">
      <c r="I13392" s="137" t="s">
        <v>74</v>
      </c>
    </row>
    <row r="13393" spans="9:9" x14ac:dyDescent="0.2">
      <c r="I13393" s="137" t="s">
        <v>74</v>
      </c>
    </row>
    <row r="13394" spans="9:9" x14ac:dyDescent="0.2">
      <c r="I13394" s="137" t="s">
        <v>74</v>
      </c>
    </row>
    <row r="13395" spans="9:9" x14ac:dyDescent="0.2">
      <c r="I13395" s="137" t="s">
        <v>74</v>
      </c>
    </row>
    <row r="13396" spans="9:9" x14ac:dyDescent="0.2">
      <c r="I13396" s="137" t="s">
        <v>74</v>
      </c>
    </row>
    <row r="13397" spans="9:9" x14ac:dyDescent="0.2">
      <c r="I13397" s="137" t="s">
        <v>74</v>
      </c>
    </row>
    <row r="13398" spans="9:9" x14ac:dyDescent="0.2">
      <c r="I13398" s="137" t="s">
        <v>74</v>
      </c>
    </row>
    <row r="13399" spans="9:9" x14ac:dyDescent="0.2">
      <c r="I13399" s="137" t="s">
        <v>74</v>
      </c>
    </row>
    <row r="13400" spans="9:9" x14ac:dyDescent="0.2">
      <c r="I13400" s="137" t="s">
        <v>74</v>
      </c>
    </row>
    <row r="13401" spans="9:9" x14ac:dyDescent="0.2">
      <c r="I13401" s="137" t="s">
        <v>74</v>
      </c>
    </row>
    <row r="13402" spans="9:9" x14ac:dyDescent="0.2">
      <c r="I13402" s="137" t="s">
        <v>74</v>
      </c>
    </row>
    <row r="13403" spans="9:9" x14ac:dyDescent="0.2">
      <c r="I13403" s="137" t="s">
        <v>74</v>
      </c>
    </row>
    <row r="13404" spans="9:9" x14ac:dyDescent="0.2">
      <c r="I13404" s="137" t="s">
        <v>74</v>
      </c>
    </row>
    <row r="13405" spans="9:9" x14ac:dyDescent="0.2">
      <c r="I13405" s="137" t="s">
        <v>74</v>
      </c>
    </row>
    <row r="13406" spans="9:9" x14ac:dyDescent="0.2">
      <c r="I13406" s="137" t="s">
        <v>74</v>
      </c>
    </row>
    <row r="13407" spans="9:9" x14ac:dyDescent="0.2">
      <c r="I13407" s="137" t="s">
        <v>74</v>
      </c>
    </row>
    <row r="13408" spans="9:9" x14ac:dyDescent="0.2">
      <c r="I13408" s="137" t="s">
        <v>74</v>
      </c>
    </row>
    <row r="13409" spans="9:9" x14ac:dyDescent="0.2">
      <c r="I13409" s="137" t="s">
        <v>74</v>
      </c>
    </row>
    <row r="13410" spans="9:9" x14ac:dyDescent="0.2">
      <c r="I13410" s="137" t="s">
        <v>74</v>
      </c>
    </row>
    <row r="13411" spans="9:9" x14ac:dyDescent="0.2">
      <c r="I13411" s="137" t="s">
        <v>74</v>
      </c>
    </row>
    <row r="13412" spans="9:9" x14ac:dyDescent="0.2">
      <c r="I13412" s="137" t="s">
        <v>74</v>
      </c>
    </row>
    <row r="13413" spans="9:9" x14ac:dyDescent="0.2">
      <c r="I13413" s="137" t="s">
        <v>74</v>
      </c>
    </row>
    <row r="13414" spans="9:9" x14ac:dyDescent="0.2">
      <c r="I13414" s="137" t="s">
        <v>74</v>
      </c>
    </row>
    <row r="13415" spans="9:9" x14ac:dyDescent="0.2">
      <c r="I13415" s="137" t="s">
        <v>74</v>
      </c>
    </row>
    <row r="13416" spans="9:9" x14ac:dyDescent="0.2">
      <c r="I13416" s="137" t="s">
        <v>74</v>
      </c>
    </row>
    <row r="13417" spans="9:9" x14ac:dyDescent="0.2">
      <c r="I13417" s="137" t="s">
        <v>74</v>
      </c>
    </row>
    <row r="13418" spans="9:9" x14ac:dyDescent="0.2">
      <c r="I13418" s="137" t="s">
        <v>74</v>
      </c>
    </row>
    <row r="13419" spans="9:9" x14ac:dyDescent="0.2">
      <c r="I13419" s="137" t="s">
        <v>74</v>
      </c>
    </row>
    <row r="13420" spans="9:9" x14ac:dyDescent="0.2">
      <c r="I13420" s="137" t="s">
        <v>74</v>
      </c>
    </row>
    <row r="13421" spans="9:9" x14ac:dyDescent="0.2">
      <c r="I13421" s="137" t="s">
        <v>74</v>
      </c>
    </row>
    <row r="13422" spans="9:9" x14ac:dyDescent="0.2">
      <c r="I13422" s="137" t="s">
        <v>74</v>
      </c>
    </row>
    <row r="13423" spans="9:9" x14ac:dyDescent="0.2">
      <c r="I13423" s="137" t="s">
        <v>74</v>
      </c>
    </row>
    <row r="13424" spans="9:9" x14ac:dyDescent="0.2">
      <c r="I13424" s="137" t="s">
        <v>74</v>
      </c>
    </row>
    <row r="13425" spans="9:9" x14ac:dyDescent="0.2">
      <c r="I13425" s="137" t="s">
        <v>74</v>
      </c>
    </row>
    <row r="13426" spans="9:9" x14ac:dyDescent="0.2">
      <c r="I13426" s="137" t="s">
        <v>74</v>
      </c>
    </row>
    <row r="13427" spans="9:9" x14ac:dyDescent="0.2">
      <c r="I13427" s="137" t="s">
        <v>74</v>
      </c>
    </row>
    <row r="13428" spans="9:9" x14ac:dyDescent="0.2">
      <c r="I13428" s="137" t="s">
        <v>74</v>
      </c>
    </row>
    <row r="13429" spans="9:9" x14ac:dyDescent="0.2">
      <c r="I13429" s="137" t="s">
        <v>74</v>
      </c>
    </row>
    <row r="13430" spans="9:9" x14ac:dyDescent="0.2">
      <c r="I13430" s="137" t="s">
        <v>74</v>
      </c>
    </row>
    <row r="13431" spans="9:9" x14ac:dyDescent="0.2">
      <c r="I13431" s="137" t="s">
        <v>74</v>
      </c>
    </row>
    <row r="13432" spans="9:9" x14ac:dyDescent="0.2">
      <c r="I13432" s="137" t="s">
        <v>74</v>
      </c>
    </row>
    <row r="13433" spans="9:9" x14ac:dyDescent="0.2">
      <c r="I13433" s="137" t="s">
        <v>74</v>
      </c>
    </row>
    <row r="13434" spans="9:9" x14ac:dyDescent="0.2">
      <c r="I13434" s="137" t="s">
        <v>74</v>
      </c>
    </row>
    <row r="13435" spans="9:9" x14ac:dyDescent="0.2">
      <c r="I13435" s="137" t="s">
        <v>74</v>
      </c>
    </row>
    <row r="13436" spans="9:9" x14ac:dyDescent="0.2">
      <c r="I13436" s="137" t="s">
        <v>74</v>
      </c>
    </row>
    <row r="13437" spans="9:9" x14ac:dyDescent="0.2">
      <c r="I13437" s="137" t="s">
        <v>74</v>
      </c>
    </row>
    <row r="13438" spans="9:9" x14ac:dyDescent="0.2">
      <c r="I13438" s="137" t="s">
        <v>74</v>
      </c>
    </row>
    <row r="13439" spans="9:9" x14ac:dyDescent="0.2">
      <c r="I13439" s="137" t="s">
        <v>74</v>
      </c>
    </row>
    <row r="13440" spans="9:9" x14ac:dyDescent="0.2">
      <c r="I13440" s="137" t="s">
        <v>74</v>
      </c>
    </row>
    <row r="13441" spans="9:9" x14ac:dyDescent="0.2">
      <c r="I13441" s="137" t="s">
        <v>74</v>
      </c>
    </row>
    <row r="13442" spans="9:9" x14ac:dyDescent="0.2">
      <c r="I13442" s="137" t="s">
        <v>74</v>
      </c>
    </row>
    <row r="13443" spans="9:9" x14ac:dyDescent="0.2">
      <c r="I13443" s="137" t="s">
        <v>74</v>
      </c>
    </row>
    <row r="13444" spans="9:9" x14ac:dyDescent="0.2">
      <c r="I13444" s="137" t="s">
        <v>74</v>
      </c>
    </row>
    <row r="13445" spans="9:9" x14ac:dyDescent="0.2">
      <c r="I13445" s="137" t="s">
        <v>74</v>
      </c>
    </row>
    <row r="13446" spans="9:9" x14ac:dyDescent="0.2">
      <c r="I13446" s="137" t="s">
        <v>74</v>
      </c>
    </row>
    <row r="13447" spans="9:9" x14ac:dyDescent="0.2">
      <c r="I13447" s="137" t="s">
        <v>74</v>
      </c>
    </row>
    <row r="13448" spans="9:9" x14ac:dyDescent="0.2">
      <c r="I13448" s="137" t="s">
        <v>74</v>
      </c>
    </row>
    <row r="13449" spans="9:9" x14ac:dyDescent="0.2">
      <c r="I13449" s="137" t="s">
        <v>74</v>
      </c>
    </row>
    <row r="13450" spans="9:9" x14ac:dyDescent="0.2">
      <c r="I13450" s="137" t="s">
        <v>74</v>
      </c>
    </row>
    <row r="13451" spans="9:9" x14ac:dyDescent="0.2">
      <c r="I13451" s="137" t="s">
        <v>74</v>
      </c>
    </row>
    <row r="13452" spans="9:9" x14ac:dyDescent="0.2">
      <c r="I13452" s="137" t="s">
        <v>74</v>
      </c>
    </row>
    <row r="13453" spans="9:9" x14ac:dyDescent="0.2">
      <c r="I13453" s="137" t="s">
        <v>74</v>
      </c>
    </row>
    <row r="13454" spans="9:9" x14ac:dyDescent="0.2">
      <c r="I13454" s="137" t="s">
        <v>74</v>
      </c>
    </row>
    <row r="13455" spans="9:9" x14ac:dyDescent="0.2">
      <c r="I13455" s="137" t="s">
        <v>74</v>
      </c>
    </row>
    <row r="13456" spans="9:9" x14ac:dyDescent="0.2">
      <c r="I13456" s="137" t="s">
        <v>74</v>
      </c>
    </row>
    <row r="13457" spans="9:9" x14ac:dyDescent="0.2">
      <c r="I13457" s="137" t="s">
        <v>74</v>
      </c>
    </row>
    <row r="13458" spans="9:9" x14ac:dyDescent="0.2">
      <c r="I13458" s="137" t="s">
        <v>74</v>
      </c>
    </row>
    <row r="13459" spans="9:9" x14ac:dyDescent="0.2">
      <c r="I13459" s="137" t="s">
        <v>74</v>
      </c>
    </row>
    <row r="13460" spans="9:9" x14ac:dyDescent="0.2">
      <c r="I13460" s="137" t="s">
        <v>74</v>
      </c>
    </row>
    <row r="13461" spans="9:9" x14ac:dyDescent="0.2">
      <c r="I13461" s="137" t="s">
        <v>74</v>
      </c>
    </row>
    <row r="13462" spans="9:9" x14ac:dyDescent="0.2">
      <c r="I13462" s="137" t="s">
        <v>74</v>
      </c>
    </row>
    <row r="13463" spans="9:9" x14ac:dyDescent="0.2">
      <c r="I13463" s="137" t="s">
        <v>74</v>
      </c>
    </row>
    <row r="13464" spans="9:9" x14ac:dyDescent="0.2">
      <c r="I13464" s="137" t="s">
        <v>74</v>
      </c>
    </row>
    <row r="13465" spans="9:9" x14ac:dyDescent="0.2">
      <c r="I13465" s="137" t="s">
        <v>74</v>
      </c>
    </row>
    <row r="13466" spans="9:9" x14ac:dyDescent="0.2">
      <c r="I13466" s="137" t="s">
        <v>74</v>
      </c>
    </row>
    <row r="13467" spans="9:9" x14ac:dyDescent="0.2">
      <c r="I13467" s="137" t="s">
        <v>74</v>
      </c>
    </row>
    <row r="13468" spans="9:9" x14ac:dyDescent="0.2">
      <c r="I13468" s="137" t="s">
        <v>74</v>
      </c>
    </row>
    <row r="13469" spans="9:9" x14ac:dyDescent="0.2">
      <c r="I13469" s="137" t="s">
        <v>74</v>
      </c>
    </row>
    <row r="13470" spans="9:9" x14ac:dyDescent="0.2">
      <c r="I13470" s="137" t="s">
        <v>74</v>
      </c>
    </row>
    <row r="13471" spans="9:9" x14ac:dyDescent="0.2">
      <c r="I13471" s="137" t="s">
        <v>74</v>
      </c>
    </row>
    <row r="13472" spans="9:9" x14ac:dyDescent="0.2">
      <c r="I13472" s="137" t="s">
        <v>74</v>
      </c>
    </row>
    <row r="13473" spans="9:9" x14ac:dyDescent="0.2">
      <c r="I13473" s="137" t="s">
        <v>74</v>
      </c>
    </row>
    <row r="13474" spans="9:9" x14ac:dyDescent="0.2">
      <c r="I13474" s="137" t="s">
        <v>74</v>
      </c>
    </row>
    <row r="13475" spans="9:9" x14ac:dyDescent="0.2">
      <c r="I13475" s="137" t="s">
        <v>74</v>
      </c>
    </row>
    <row r="13476" spans="9:9" x14ac:dyDescent="0.2">
      <c r="I13476" s="137" t="s">
        <v>74</v>
      </c>
    </row>
    <row r="13477" spans="9:9" x14ac:dyDescent="0.2">
      <c r="I13477" s="137" t="s">
        <v>74</v>
      </c>
    </row>
    <row r="13478" spans="9:9" x14ac:dyDescent="0.2">
      <c r="I13478" s="137" t="s">
        <v>74</v>
      </c>
    </row>
    <row r="13479" spans="9:9" x14ac:dyDescent="0.2">
      <c r="I13479" s="137" t="s">
        <v>74</v>
      </c>
    </row>
    <row r="13480" spans="9:9" x14ac:dyDescent="0.2">
      <c r="I13480" s="137" t="s">
        <v>74</v>
      </c>
    </row>
    <row r="13481" spans="9:9" x14ac:dyDescent="0.2">
      <c r="I13481" s="137" t="s">
        <v>74</v>
      </c>
    </row>
    <row r="13482" spans="9:9" x14ac:dyDescent="0.2">
      <c r="I13482" s="137" t="s">
        <v>74</v>
      </c>
    </row>
    <row r="13483" spans="9:9" x14ac:dyDescent="0.2">
      <c r="I13483" s="137" t="s">
        <v>74</v>
      </c>
    </row>
    <row r="13484" spans="9:9" x14ac:dyDescent="0.2">
      <c r="I13484" s="137" t="s">
        <v>74</v>
      </c>
    </row>
    <row r="13485" spans="9:9" x14ac:dyDescent="0.2">
      <c r="I13485" s="137" t="s">
        <v>74</v>
      </c>
    </row>
    <row r="13486" spans="9:9" x14ac:dyDescent="0.2">
      <c r="I13486" s="137" t="s">
        <v>74</v>
      </c>
    </row>
    <row r="13487" spans="9:9" x14ac:dyDescent="0.2">
      <c r="I13487" s="137" t="s">
        <v>74</v>
      </c>
    </row>
    <row r="13488" spans="9:9" x14ac:dyDescent="0.2">
      <c r="I13488" s="137" t="s">
        <v>74</v>
      </c>
    </row>
    <row r="13489" spans="9:9" x14ac:dyDescent="0.2">
      <c r="I13489" s="137" t="s">
        <v>74</v>
      </c>
    </row>
    <row r="13490" spans="9:9" x14ac:dyDescent="0.2">
      <c r="I13490" s="137" t="s">
        <v>74</v>
      </c>
    </row>
    <row r="13491" spans="9:9" x14ac:dyDescent="0.2">
      <c r="I13491" s="137" t="s">
        <v>74</v>
      </c>
    </row>
    <row r="13492" spans="9:9" x14ac:dyDescent="0.2">
      <c r="I13492" s="137" t="s">
        <v>74</v>
      </c>
    </row>
    <row r="13493" spans="9:9" x14ac:dyDescent="0.2">
      <c r="I13493" s="137" t="s">
        <v>74</v>
      </c>
    </row>
    <row r="13494" spans="9:9" x14ac:dyDescent="0.2">
      <c r="I13494" s="137" t="s">
        <v>74</v>
      </c>
    </row>
    <row r="13495" spans="9:9" x14ac:dyDescent="0.2">
      <c r="I13495" s="137" t="s">
        <v>74</v>
      </c>
    </row>
    <row r="13496" spans="9:9" x14ac:dyDescent="0.2">
      <c r="I13496" s="137" t="s">
        <v>74</v>
      </c>
    </row>
    <row r="13497" spans="9:9" x14ac:dyDescent="0.2">
      <c r="I13497" s="137" t="s">
        <v>74</v>
      </c>
    </row>
    <row r="13498" spans="9:9" x14ac:dyDescent="0.2">
      <c r="I13498" s="137" t="s">
        <v>74</v>
      </c>
    </row>
    <row r="13499" spans="9:9" x14ac:dyDescent="0.2">
      <c r="I13499" s="137" t="s">
        <v>74</v>
      </c>
    </row>
    <row r="13500" spans="9:9" x14ac:dyDescent="0.2">
      <c r="I13500" s="137" t="s">
        <v>74</v>
      </c>
    </row>
    <row r="13501" spans="9:9" x14ac:dyDescent="0.2">
      <c r="I13501" s="137" t="s">
        <v>74</v>
      </c>
    </row>
    <row r="13502" spans="9:9" x14ac:dyDescent="0.2">
      <c r="I13502" s="137" t="s">
        <v>74</v>
      </c>
    </row>
    <row r="13503" spans="9:9" x14ac:dyDescent="0.2">
      <c r="I13503" s="137" t="s">
        <v>74</v>
      </c>
    </row>
    <row r="13504" spans="9:9" x14ac:dyDescent="0.2">
      <c r="I13504" s="137" t="s">
        <v>74</v>
      </c>
    </row>
    <row r="13505" spans="9:9" x14ac:dyDescent="0.2">
      <c r="I13505" s="137" t="s">
        <v>74</v>
      </c>
    </row>
    <row r="13506" spans="9:9" x14ac:dyDescent="0.2">
      <c r="I13506" s="137" t="s">
        <v>74</v>
      </c>
    </row>
    <row r="13507" spans="9:9" x14ac:dyDescent="0.2">
      <c r="I13507" s="137" t="s">
        <v>74</v>
      </c>
    </row>
    <row r="13508" spans="9:9" x14ac:dyDescent="0.2">
      <c r="I13508" s="137" t="s">
        <v>74</v>
      </c>
    </row>
    <row r="13509" spans="9:9" x14ac:dyDescent="0.2">
      <c r="I13509" s="137" t="s">
        <v>74</v>
      </c>
    </row>
    <row r="13510" spans="9:9" x14ac:dyDescent="0.2">
      <c r="I13510" s="137" t="s">
        <v>74</v>
      </c>
    </row>
    <row r="13511" spans="9:9" x14ac:dyDescent="0.2">
      <c r="I13511" s="137" t="s">
        <v>74</v>
      </c>
    </row>
    <row r="13512" spans="9:9" x14ac:dyDescent="0.2">
      <c r="I13512" s="137" t="s">
        <v>74</v>
      </c>
    </row>
    <row r="13513" spans="9:9" x14ac:dyDescent="0.2">
      <c r="I13513" s="137" t="s">
        <v>74</v>
      </c>
    </row>
    <row r="13514" spans="9:9" x14ac:dyDescent="0.2">
      <c r="I13514" s="137" t="s">
        <v>74</v>
      </c>
    </row>
    <row r="13515" spans="9:9" x14ac:dyDescent="0.2">
      <c r="I13515" s="137" t="s">
        <v>74</v>
      </c>
    </row>
    <row r="13516" spans="9:9" x14ac:dyDescent="0.2">
      <c r="I13516" s="137" t="s">
        <v>74</v>
      </c>
    </row>
    <row r="13517" spans="9:9" x14ac:dyDescent="0.2">
      <c r="I13517" s="137" t="s">
        <v>74</v>
      </c>
    </row>
    <row r="13518" spans="9:9" x14ac:dyDescent="0.2">
      <c r="I13518" s="137" t="s">
        <v>74</v>
      </c>
    </row>
    <row r="13519" spans="9:9" x14ac:dyDescent="0.2">
      <c r="I13519" s="137" t="s">
        <v>74</v>
      </c>
    </row>
    <row r="13520" spans="9:9" x14ac:dyDescent="0.2">
      <c r="I13520" s="137" t="s">
        <v>74</v>
      </c>
    </row>
    <row r="13521" spans="9:9" x14ac:dyDescent="0.2">
      <c r="I13521" s="137" t="s">
        <v>74</v>
      </c>
    </row>
    <row r="13522" spans="9:9" x14ac:dyDescent="0.2">
      <c r="I13522" s="137" t="s">
        <v>74</v>
      </c>
    </row>
    <row r="13523" spans="9:9" x14ac:dyDescent="0.2">
      <c r="I13523" s="137" t="s">
        <v>74</v>
      </c>
    </row>
    <row r="13524" spans="9:9" x14ac:dyDescent="0.2">
      <c r="I13524" s="137" t="s">
        <v>74</v>
      </c>
    </row>
    <row r="13525" spans="9:9" x14ac:dyDescent="0.2">
      <c r="I13525" s="137" t="s">
        <v>74</v>
      </c>
    </row>
    <row r="13526" spans="9:9" x14ac:dyDescent="0.2">
      <c r="I13526" s="137" t="s">
        <v>74</v>
      </c>
    </row>
    <row r="13527" spans="9:9" x14ac:dyDescent="0.2">
      <c r="I13527" s="137" t="s">
        <v>74</v>
      </c>
    </row>
    <row r="13528" spans="9:9" x14ac:dyDescent="0.2">
      <c r="I13528" s="137" t="s">
        <v>74</v>
      </c>
    </row>
    <row r="13529" spans="9:9" x14ac:dyDescent="0.2">
      <c r="I13529" s="137" t="s">
        <v>74</v>
      </c>
    </row>
    <row r="13530" spans="9:9" x14ac:dyDescent="0.2">
      <c r="I13530" s="137" t="s">
        <v>74</v>
      </c>
    </row>
    <row r="13531" spans="9:9" x14ac:dyDescent="0.2">
      <c r="I13531" s="137" t="s">
        <v>74</v>
      </c>
    </row>
    <row r="13532" spans="9:9" x14ac:dyDescent="0.2">
      <c r="I13532" s="137" t="s">
        <v>74</v>
      </c>
    </row>
    <row r="13533" spans="9:9" x14ac:dyDescent="0.2">
      <c r="I13533" s="137" t="s">
        <v>74</v>
      </c>
    </row>
    <row r="13534" spans="9:9" x14ac:dyDescent="0.2">
      <c r="I13534" s="137" t="s">
        <v>74</v>
      </c>
    </row>
    <row r="13535" spans="9:9" x14ac:dyDescent="0.2">
      <c r="I13535" s="137" t="s">
        <v>74</v>
      </c>
    </row>
    <row r="13536" spans="9:9" x14ac:dyDescent="0.2">
      <c r="I13536" s="137" t="s">
        <v>74</v>
      </c>
    </row>
    <row r="13537" spans="9:9" x14ac:dyDescent="0.2">
      <c r="I13537" s="137" t="s">
        <v>74</v>
      </c>
    </row>
    <row r="13538" spans="9:9" x14ac:dyDescent="0.2">
      <c r="I13538" s="137" t="s">
        <v>74</v>
      </c>
    </row>
    <row r="13539" spans="9:9" x14ac:dyDescent="0.2">
      <c r="I13539" s="137" t="s">
        <v>74</v>
      </c>
    </row>
    <row r="13540" spans="9:9" x14ac:dyDescent="0.2">
      <c r="I13540" s="137" t="s">
        <v>74</v>
      </c>
    </row>
    <row r="13541" spans="9:9" x14ac:dyDescent="0.2">
      <c r="I13541" s="137" t="s">
        <v>74</v>
      </c>
    </row>
    <row r="13542" spans="9:9" x14ac:dyDescent="0.2">
      <c r="I13542" s="137" t="s">
        <v>74</v>
      </c>
    </row>
    <row r="13543" spans="9:9" x14ac:dyDescent="0.2">
      <c r="I13543" s="137" t="s">
        <v>74</v>
      </c>
    </row>
    <row r="13544" spans="9:9" x14ac:dyDescent="0.2">
      <c r="I13544" s="137" t="s">
        <v>74</v>
      </c>
    </row>
    <row r="13545" spans="9:9" x14ac:dyDescent="0.2">
      <c r="I13545" s="137" t="s">
        <v>74</v>
      </c>
    </row>
    <row r="13546" spans="9:9" x14ac:dyDescent="0.2">
      <c r="I13546" s="137" t="s">
        <v>74</v>
      </c>
    </row>
    <row r="13547" spans="9:9" x14ac:dyDescent="0.2">
      <c r="I13547" s="137" t="s">
        <v>74</v>
      </c>
    </row>
    <row r="13548" spans="9:9" x14ac:dyDescent="0.2">
      <c r="I13548" s="137" t="s">
        <v>74</v>
      </c>
    </row>
    <row r="13549" spans="9:9" x14ac:dyDescent="0.2">
      <c r="I13549" s="137" t="s">
        <v>74</v>
      </c>
    </row>
    <row r="13550" spans="9:9" x14ac:dyDescent="0.2">
      <c r="I13550" s="137" t="s">
        <v>74</v>
      </c>
    </row>
    <row r="13551" spans="9:9" x14ac:dyDescent="0.2">
      <c r="I13551" s="137" t="s">
        <v>74</v>
      </c>
    </row>
    <row r="13552" spans="9:9" x14ac:dyDescent="0.2">
      <c r="I13552" s="137" t="s">
        <v>74</v>
      </c>
    </row>
    <row r="13553" spans="9:9" x14ac:dyDescent="0.2">
      <c r="I13553" s="137" t="s">
        <v>74</v>
      </c>
    </row>
    <row r="13554" spans="9:9" x14ac:dyDescent="0.2">
      <c r="I13554" s="137" t="s">
        <v>74</v>
      </c>
    </row>
    <row r="13555" spans="9:9" x14ac:dyDescent="0.2">
      <c r="I13555" s="137" t="s">
        <v>74</v>
      </c>
    </row>
    <row r="13556" spans="9:9" x14ac:dyDescent="0.2">
      <c r="I13556" s="137" t="s">
        <v>74</v>
      </c>
    </row>
    <row r="13557" spans="9:9" x14ac:dyDescent="0.2">
      <c r="I13557" s="137" t="s">
        <v>74</v>
      </c>
    </row>
    <row r="13558" spans="9:9" x14ac:dyDescent="0.2">
      <c r="I13558" s="137" t="s">
        <v>74</v>
      </c>
    </row>
    <row r="13559" spans="9:9" x14ac:dyDescent="0.2">
      <c r="I13559" s="137" t="s">
        <v>74</v>
      </c>
    </row>
    <row r="13560" spans="9:9" x14ac:dyDescent="0.2">
      <c r="I13560" s="137" t="s">
        <v>74</v>
      </c>
    </row>
    <row r="13561" spans="9:9" x14ac:dyDescent="0.2">
      <c r="I13561" s="137" t="s">
        <v>74</v>
      </c>
    </row>
    <row r="13562" spans="9:9" x14ac:dyDescent="0.2">
      <c r="I13562" s="137" t="s">
        <v>74</v>
      </c>
    </row>
    <row r="13563" spans="9:9" x14ac:dyDescent="0.2">
      <c r="I13563" s="137" t="s">
        <v>74</v>
      </c>
    </row>
    <row r="13564" spans="9:9" x14ac:dyDescent="0.2">
      <c r="I13564" s="137" t="s">
        <v>74</v>
      </c>
    </row>
    <row r="13565" spans="9:9" x14ac:dyDescent="0.2">
      <c r="I13565" s="137" t="s">
        <v>74</v>
      </c>
    </row>
    <row r="13566" spans="9:9" x14ac:dyDescent="0.2">
      <c r="I13566" s="137" t="s">
        <v>74</v>
      </c>
    </row>
    <row r="13567" spans="9:9" x14ac:dyDescent="0.2">
      <c r="I13567" s="137" t="s">
        <v>74</v>
      </c>
    </row>
    <row r="13568" spans="9:9" x14ac:dyDescent="0.2">
      <c r="I13568" s="137" t="s">
        <v>74</v>
      </c>
    </row>
    <row r="13569" spans="9:9" x14ac:dyDescent="0.2">
      <c r="I13569" s="137" t="s">
        <v>74</v>
      </c>
    </row>
    <row r="13570" spans="9:9" x14ac:dyDescent="0.2">
      <c r="I13570" s="137" t="s">
        <v>74</v>
      </c>
    </row>
    <row r="13571" spans="9:9" x14ac:dyDescent="0.2">
      <c r="I13571" s="137" t="s">
        <v>74</v>
      </c>
    </row>
    <row r="13572" spans="9:9" x14ac:dyDescent="0.2">
      <c r="I13572" s="137" t="s">
        <v>74</v>
      </c>
    </row>
    <row r="13573" spans="9:9" x14ac:dyDescent="0.2">
      <c r="I13573" s="137" t="s">
        <v>74</v>
      </c>
    </row>
    <row r="13574" spans="9:9" x14ac:dyDescent="0.2">
      <c r="I13574" s="137" t="s">
        <v>74</v>
      </c>
    </row>
    <row r="13575" spans="9:9" x14ac:dyDescent="0.2">
      <c r="I13575" s="137" t="s">
        <v>74</v>
      </c>
    </row>
    <row r="13576" spans="9:9" x14ac:dyDescent="0.2">
      <c r="I13576" s="137" t="s">
        <v>74</v>
      </c>
    </row>
    <row r="13577" spans="9:9" x14ac:dyDescent="0.2">
      <c r="I13577" s="137" t="s">
        <v>74</v>
      </c>
    </row>
    <row r="13578" spans="9:9" x14ac:dyDescent="0.2">
      <c r="I13578" s="137" t="s">
        <v>74</v>
      </c>
    </row>
    <row r="13579" spans="9:9" x14ac:dyDescent="0.2">
      <c r="I13579" s="137" t="s">
        <v>74</v>
      </c>
    </row>
    <row r="13580" spans="9:9" x14ac:dyDescent="0.2">
      <c r="I13580" s="137" t="s">
        <v>74</v>
      </c>
    </row>
    <row r="13581" spans="9:9" x14ac:dyDescent="0.2">
      <c r="I13581" s="137" t="s">
        <v>74</v>
      </c>
    </row>
    <row r="13582" spans="9:9" x14ac:dyDescent="0.2">
      <c r="I13582" s="137" t="s">
        <v>74</v>
      </c>
    </row>
    <row r="13583" spans="9:9" x14ac:dyDescent="0.2">
      <c r="I13583" s="137" t="s">
        <v>74</v>
      </c>
    </row>
    <row r="13584" spans="9:9" x14ac:dyDescent="0.2">
      <c r="I13584" s="137" t="s">
        <v>74</v>
      </c>
    </row>
    <row r="13585" spans="9:9" x14ac:dyDescent="0.2">
      <c r="I13585" s="137" t="s">
        <v>74</v>
      </c>
    </row>
    <row r="13586" spans="9:9" x14ac:dyDescent="0.2">
      <c r="I13586" s="137" t="s">
        <v>74</v>
      </c>
    </row>
    <row r="13587" spans="9:9" x14ac:dyDescent="0.2">
      <c r="I13587" s="137" t="s">
        <v>74</v>
      </c>
    </row>
    <row r="13588" spans="9:9" x14ac:dyDescent="0.2">
      <c r="I13588" s="137" t="s">
        <v>74</v>
      </c>
    </row>
    <row r="13589" spans="9:9" x14ac:dyDescent="0.2">
      <c r="I13589" s="137" t="s">
        <v>74</v>
      </c>
    </row>
    <row r="13590" spans="9:9" x14ac:dyDescent="0.2">
      <c r="I13590" s="137" t="s">
        <v>74</v>
      </c>
    </row>
    <row r="13591" spans="9:9" x14ac:dyDescent="0.2">
      <c r="I13591" s="137" t="s">
        <v>74</v>
      </c>
    </row>
    <row r="13592" spans="9:9" x14ac:dyDescent="0.2">
      <c r="I13592" s="137" t="s">
        <v>74</v>
      </c>
    </row>
    <row r="13593" spans="9:9" x14ac:dyDescent="0.2">
      <c r="I13593" s="137" t="s">
        <v>74</v>
      </c>
    </row>
    <row r="13594" spans="9:9" x14ac:dyDescent="0.2">
      <c r="I13594" s="137" t="s">
        <v>74</v>
      </c>
    </row>
    <row r="13595" spans="9:9" x14ac:dyDescent="0.2">
      <c r="I13595" s="137" t="s">
        <v>74</v>
      </c>
    </row>
    <row r="13596" spans="9:9" x14ac:dyDescent="0.2">
      <c r="I13596" s="137" t="s">
        <v>74</v>
      </c>
    </row>
    <row r="13597" spans="9:9" x14ac:dyDescent="0.2">
      <c r="I13597" s="137" t="s">
        <v>74</v>
      </c>
    </row>
    <row r="13598" spans="9:9" x14ac:dyDescent="0.2">
      <c r="I13598" s="137" t="s">
        <v>74</v>
      </c>
    </row>
    <row r="13599" spans="9:9" x14ac:dyDescent="0.2">
      <c r="I13599" s="137" t="s">
        <v>74</v>
      </c>
    </row>
    <row r="13600" spans="9:9" x14ac:dyDescent="0.2">
      <c r="I13600" s="137" t="s">
        <v>74</v>
      </c>
    </row>
    <row r="13601" spans="9:9" x14ac:dyDescent="0.2">
      <c r="I13601" s="137" t="s">
        <v>74</v>
      </c>
    </row>
    <row r="13602" spans="9:9" x14ac:dyDescent="0.2">
      <c r="I13602" s="137" t="s">
        <v>74</v>
      </c>
    </row>
    <row r="13603" spans="9:9" x14ac:dyDescent="0.2">
      <c r="I13603" s="137" t="s">
        <v>74</v>
      </c>
    </row>
    <row r="13604" spans="9:9" x14ac:dyDescent="0.2">
      <c r="I13604" s="137" t="s">
        <v>74</v>
      </c>
    </row>
    <row r="13605" spans="9:9" x14ac:dyDescent="0.2">
      <c r="I13605" s="137" t="s">
        <v>74</v>
      </c>
    </row>
    <row r="13606" spans="9:9" x14ac:dyDescent="0.2">
      <c r="I13606" s="137" t="s">
        <v>74</v>
      </c>
    </row>
    <row r="13607" spans="9:9" x14ac:dyDescent="0.2">
      <c r="I13607" s="137" t="s">
        <v>74</v>
      </c>
    </row>
    <row r="13608" spans="9:9" x14ac:dyDescent="0.2">
      <c r="I13608" s="137" t="s">
        <v>74</v>
      </c>
    </row>
    <row r="13609" spans="9:9" x14ac:dyDescent="0.2">
      <c r="I13609" s="137" t="s">
        <v>74</v>
      </c>
    </row>
    <row r="13610" spans="9:9" x14ac:dyDescent="0.2">
      <c r="I13610" s="137" t="s">
        <v>74</v>
      </c>
    </row>
    <row r="13611" spans="9:9" x14ac:dyDescent="0.2">
      <c r="I13611" s="137" t="s">
        <v>74</v>
      </c>
    </row>
    <row r="13612" spans="9:9" x14ac:dyDescent="0.2">
      <c r="I13612" s="137" t="s">
        <v>74</v>
      </c>
    </row>
    <row r="13613" spans="9:9" x14ac:dyDescent="0.2">
      <c r="I13613" s="137" t="s">
        <v>74</v>
      </c>
    </row>
    <row r="13614" spans="9:9" x14ac:dyDescent="0.2">
      <c r="I13614" s="137" t="s">
        <v>74</v>
      </c>
    </row>
    <row r="13615" spans="9:9" x14ac:dyDescent="0.2">
      <c r="I13615" s="137" t="s">
        <v>74</v>
      </c>
    </row>
    <row r="13616" spans="9:9" x14ac:dyDescent="0.2">
      <c r="I13616" s="137" t="s">
        <v>74</v>
      </c>
    </row>
    <row r="13617" spans="9:9" x14ac:dyDescent="0.2">
      <c r="I13617" s="137" t="s">
        <v>74</v>
      </c>
    </row>
    <row r="13618" spans="9:9" x14ac:dyDescent="0.2">
      <c r="I13618" s="137" t="s">
        <v>74</v>
      </c>
    </row>
    <row r="13619" spans="9:9" x14ac:dyDescent="0.2">
      <c r="I13619" s="137" t="s">
        <v>74</v>
      </c>
    </row>
    <row r="13620" spans="9:9" x14ac:dyDescent="0.2">
      <c r="I13620" s="137" t="s">
        <v>74</v>
      </c>
    </row>
    <row r="13621" spans="9:9" x14ac:dyDescent="0.2">
      <c r="I13621" s="137" t="s">
        <v>74</v>
      </c>
    </row>
    <row r="13622" spans="9:9" x14ac:dyDescent="0.2">
      <c r="I13622" s="137" t="s">
        <v>74</v>
      </c>
    </row>
    <row r="13623" spans="9:9" x14ac:dyDescent="0.2">
      <c r="I13623" s="137" t="s">
        <v>74</v>
      </c>
    </row>
    <row r="13624" spans="9:9" x14ac:dyDescent="0.2">
      <c r="I13624" s="137" t="s">
        <v>74</v>
      </c>
    </row>
    <row r="13625" spans="9:9" x14ac:dyDescent="0.2">
      <c r="I13625" s="137" t="s">
        <v>74</v>
      </c>
    </row>
    <row r="13626" spans="9:9" x14ac:dyDescent="0.2">
      <c r="I13626" s="137" t="s">
        <v>74</v>
      </c>
    </row>
    <row r="13627" spans="9:9" x14ac:dyDescent="0.2">
      <c r="I13627" s="137" t="s">
        <v>74</v>
      </c>
    </row>
    <row r="13628" spans="9:9" x14ac:dyDescent="0.2">
      <c r="I13628" s="137" t="s">
        <v>74</v>
      </c>
    </row>
    <row r="13629" spans="9:9" x14ac:dyDescent="0.2">
      <c r="I13629" s="137" t="s">
        <v>74</v>
      </c>
    </row>
    <row r="13630" spans="9:9" x14ac:dyDescent="0.2">
      <c r="I13630" s="137" t="s">
        <v>74</v>
      </c>
    </row>
    <row r="13631" spans="9:9" x14ac:dyDescent="0.2">
      <c r="I13631" s="137" t="s">
        <v>74</v>
      </c>
    </row>
    <row r="13632" spans="9:9" x14ac:dyDescent="0.2">
      <c r="I13632" s="137" t="s">
        <v>74</v>
      </c>
    </row>
    <row r="13633" spans="9:9" x14ac:dyDescent="0.2">
      <c r="I13633" s="137" t="s">
        <v>74</v>
      </c>
    </row>
    <row r="13634" spans="9:9" x14ac:dyDescent="0.2">
      <c r="I13634" s="137" t="s">
        <v>74</v>
      </c>
    </row>
    <row r="13635" spans="9:9" x14ac:dyDescent="0.2">
      <c r="I13635" s="137" t="s">
        <v>74</v>
      </c>
    </row>
    <row r="13636" spans="9:9" x14ac:dyDescent="0.2">
      <c r="I13636" s="137" t="s">
        <v>74</v>
      </c>
    </row>
    <row r="13637" spans="9:9" x14ac:dyDescent="0.2">
      <c r="I13637" s="137" t="s">
        <v>74</v>
      </c>
    </row>
    <row r="13638" spans="9:9" x14ac:dyDescent="0.2">
      <c r="I13638" s="137" t="s">
        <v>74</v>
      </c>
    </row>
    <row r="13639" spans="9:9" x14ac:dyDescent="0.2">
      <c r="I13639" s="137" t="s">
        <v>74</v>
      </c>
    </row>
    <row r="13640" spans="9:9" x14ac:dyDescent="0.2">
      <c r="I13640" s="137" t="s">
        <v>74</v>
      </c>
    </row>
    <row r="13641" spans="9:9" x14ac:dyDescent="0.2">
      <c r="I13641" s="137" t="s">
        <v>74</v>
      </c>
    </row>
    <row r="13642" spans="9:9" x14ac:dyDescent="0.2">
      <c r="I13642" s="137" t="s">
        <v>74</v>
      </c>
    </row>
    <row r="13643" spans="9:9" x14ac:dyDescent="0.2">
      <c r="I13643" s="137" t="s">
        <v>74</v>
      </c>
    </row>
    <row r="13644" spans="9:9" x14ac:dyDescent="0.2">
      <c r="I13644" s="137" t="s">
        <v>74</v>
      </c>
    </row>
    <row r="13645" spans="9:9" x14ac:dyDescent="0.2">
      <c r="I13645" s="137" t="s">
        <v>74</v>
      </c>
    </row>
    <row r="13646" spans="9:9" x14ac:dyDescent="0.2">
      <c r="I13646" s="137" t="s">
        <v>74</v>
      </c>
    </row>
    <row r="13647" spans="9:9" x14ac:dyDescent="0.2">
      <c r="I13647" s="137" t="s">
        <v>74</v>
      </c>
    </row>
    <row r="13648" spans="9:9" x14ac:dyDescent="0.2">
      <c r="I13648" s="137" t="s">
        <v>74</v>
      </c>
    </row>
    <row r="13649" spans="9:9" x14ac:dyDescent="0.2">
      <c r="I13649" s="137" t="s">
        <v>74</v>
      </c>
    </row>
    <row r="13650" spans="9:9" x14ac:dyDescent="0.2">
      <c r="I13650" s="137" t="s">
        <v>74</v>
      </c>
    </row>
    <row r="13651" spans="9:9" x14ac:dyDescent="0.2">
      <c r="I13651" s="137" t="s">
        <v>74</v>
      </c>
    </row>
    <row r="13652" spans="9:9" x14ac:dyDescent="0.2">
      <c r="I13652" s="137" t="s">
        <v>74</v>
      </c>
    </row>
    <row r="13653" spans="9:9" x14ac:dyDescent="0.2">
      <c r="I13653" s="137" t="s">
        <v>74</v>
      </c>
    </row>
    <row r="13654" spans="9:9" x14ac:dyDescent="0.2">
      <c r="I13654" s="137" t="s">
        <v>74</v>
      </c>
    </row>
    <row r="13655" spans="9:9" x14ac:dyDescent="0.2">
      <c r="I13655" s="137" t="s">
        <v>74</v>
      </c>
    </row>
    <row r="13656" spans="9:9" x14ac:dyDescent="0.2">
      <c r="I13656" s="137" t="s">
        <v>74</v>
      </c>
    </row>
    <row r="13657" spans="9:9" x14ac:dyDescent="0.2">
      <c r="I13657" s="137" t="s">
        <v>74</v>
      </c>
    </row>
    <row r="13658" spans="9:9" x14ac:dyDescent="0.2">
      <c r="I13658" s="137" t="s">
        <v>74</v>
      </c>
    </row>
    <row r="13659" spans="9:9" x14ac:dyDescent="0.2">
      <c r="I13659" s="137" t="s">
        <v>74</v>
      </c>
    </row>
    <row r="13660" spans="9:9" x14ac:dyDescent="0.2">
      <c r="I13660" s="137" t="s">
        <v>74</v>
      </c>
    </row>
    <row r="13661" spans="9:9" x14ac:dyDescent="0.2">
      <c r="I13661" s="137" t="s">
        <v>74</v>
      </c>
    </row>
    <row r="13662" spans="9:9" x14ac:dyDescent="0.2">
      <c r="I13662" s="137" t="s">
        <v>74</v>
      </c>
    </row>
    <row r="13663" spans="9:9" x14ac:dyDescent="0.2">
      <c r="I13663" s="137" t="s">
        <v>74</v>
      </c>
    </row>
    <row r="13664" spans="9:9" x14ac:dyDescent="0.2">
      <c r="I13664" s="137" t="s">
        <v>74</v>
      </c>
    </row>
    <row r="13665" spans="9:9" x14ac:dyDescent="0.2">
      <c r="I13665" s="137" t="s">
        <v>74</v>
      </c>
    </row>
    <row r="13666" spans="9:9" x14ac:dyDescent="0.2">
      <c r="I13666" s="137" t="s">
        <v>74</v>
      </c>
    </row>
    <row r="13667" spans="9:9" x14ac:dyDescent="0.2">
      <c r="I13667" s="137" t="s">
        <v>74</v>
      </c>
    </row>
    <row r="13668" spans="9:9" x14ac:dyDescent="0.2">
      <c r="I13668" s="137" t="s">
        <v>74</v>
      </c>
    </row>
    <row r="13669" spans="9:9" x14ac:dyDescent="0.2">
      <c r="I13669" s="137" t="s">
        <v>74</v>
      </c>
    </row>
    <row r="13670" spans="9:9" x14ac:dyDescent="0.2">
      <c r="I13670" s="137" t="s">
        <v>74</v>
      </c>
    </row>
    <row r="13671" spans="9:9" x14ac:dyDescent="0.2">
      <c r="I13671" s="137" t="s">
        <v>74</v>
      </c>
    </row>
    <row r="13672" spans="9:9" x14ac:dyDescent="0.2">
      <c r="I13672" s="137" t="s">
        <v>74</v>
      </c>
    </row>
    <row r="13673" spans="9:9" x14ac:dyDescent="0.2">
      <c r="I13673" s="137" t="s">
        <v>74</v>
      </c>
    </row>
    <row r="13674" spans="9:9" x14ac:dyDescent="0.2">
      <c r="I13674" s="137" t="s">
        <v>74</v>
      </c>
    </row>
    <row r="13675" spans="9:9" x14ac:dyDescent="0.2">
      <c r="I13675" s="137" t="s">
        <v>74</v>
      </c>
    </row>
    <row r="13676" spans="9:9" x14ac:dyDescent="0.2">
      <c r="I13676" s="137" t="s">
        <v>74</v>
      </c>
    </row>
    <row r="13677" spans="9:9" x14ac:dyDescent="0.2">
      <c r="I13677" s="137" t="s">
        <v>74</v>
      </c>
    </row>
    <row r="13678" spans="9:9" x14ac:dyDescent="0.2">
      <c r="I13678" s="137" t="s">
        <v>74</v>
      </c>
    </row>
    <row r="13679" spans="9:9" x14ac:dyDescent="0.2">
      <c r="I13679" s="137" t="s">
        <v>74</v>
      </c>
    </row>
    <row r="13680" spans="9:9" x14ac:dyDescent="0.2">
      <c r="I13680" s="137" t="s">
        <v>74</v>
      </c>
    </row>
    <row r="13681" spans="9:9" x14ac:dyDescent="0.2">
      <c r="I13681" s="137" t="s">
        <v>74</v>
      </c>
    </row>
    <row r="13682" spans="9:9" x14ac:dyDescent="0.2">
      <c r="I13682" s="137" t="s">
        <v>74</v>
      </c>
    </row>
    <row r="13683" spans="9:9" x14ac:dyDescent="0.2">
      <c r="I13683" s="137" t="s">
        <v>74</v>
      </c>
    </row>
    <row r="13684" spans="9:9" x14ac:dyDescent="0.2">
      <c r="I13684" s="137" t="s">
        <v>74</v>
      </c>
    </row>
    <row r="13685" spans="9:9" x14ac:dyDescent="0.2">
      <c r="I13685" s="137" t="s">
        <v>74</v>
      </c>
    </row>
    <row r="13686" spans="9:9" x14ac:dyDescent="0.2">
      <c r="I13686" s="137" t="s">
        <v>74</v>
      </c>
    </row>
    <row r="13687" spans="9:9" x14ac:dyDescent="0.2">
      <c r="I13687" s="137" t="s">
        <v>74</v>
      </c>
    </row>
    <row r="13688" spans="9:9" x14ac:dyDescent="0.2">
      <c r="I13688" s="137" t="s">
        <v>74</v>
      </c>
    </row>
    <row r="13689" spans="9:9" x14ac:dyDescent="0.2">
      <c r="I13689" s="137" t="s">
        <v>74</v>
      </c>
    </row>
    <row r="13690" spans="9:9" x14ac:dyDescent="0.2">
      <c r="I13690" s="137" t="s">
        <v>74</v>
      </c>
    </row>
    <row r="13691" spans="9:9" x14ac:dyDescent="0.2">
      <c r="I13691" s="137" t="s">
        <v>74</v>
      </c>
    </row>
    <row r="13692" spans="9:9" x14ac:dyDescent="0.2">
      <c r="I13692" s="137" t="s">
        <v>74</v>
      </c>
    </row>
    <row r="13693" spans="9:9" x14ac:dyDescent="0.2">
      <c r="I13693" s="137" t="s">
        <v>74</v>
      </c>
    </row>
    <row r="13694" spans="9:9" x14ac:dyDescent="0.2">
      <c r="I13694" s="137" t="s">
        <v>74</v>
      </c>
    </row>
    <row r="13695" spans="9:9" x14ac:dyDescent="0.2">
      <c r="I13695" s="137" t="s">
        <v>74</v>
      </c>
    </row>
    <row r="13696" spans="9:9" x14ac:dyDescent="0.2">
      <c r="I13696" s="137" t="s">
        <v>74</v>
      </c>
    </row>
    <row r="13697" spans="9:9" x14ac:dyDescent="0.2">
      <c r="I13697" s="137" t="s">
        <v>74</v>
      </c>
    </row>
    <row r="13698" spans="9:9" x14ac:dyDescent="0.2">
      <c r="I13698" s="137" t="s">
        <v>74</v>
      </c>
    </row>
    <row r="13699" spans="9:9" x14ac:dyDescent="0.2">
      <c r="I13699" s="137" t="s">
        <v>74</v>
      </c>
    </row>
    <row r="13700" spans="9:9" x14ac:dyDescent="0.2">
      <c r="I13700" s="137" t="s">
        <v>74</v>
      </c>
    </row>
    <row r="13701" spans="9:9" x14ac:dyDescent="0.2">
      <c r="I13701" s="137" t="s">
        <v>74</v>
      </c>
    </row>
    <row r="13702" spans="9:9" x14ac:dyDescent="0.2">
      <c r="I13702" s="137" t="s">
        <v>74</v>
      </c>
    </row>
    <row r="13703" spans="9:9" x14ac:dyDescent="0.2">
      <c r="I13703" s="137" t="s">
        <v>74</v>
      </c>
    </row>
    <row r="13704" spans="9:9" x14ac:dyDescent="0.2">
      <c r="I13704" s="137" t="s">
        <v>74</v>
      </c>
    </row>
    <row r="13705" spans="9:9" x14ac:dyDescent="0.2">
      <c r="I13705" s="137" t="s">
        <v>74</v>
      </c>
    </row>
    <row r="13706" spans="9:9" x14ac:dyDescent="0.2">
      <c r="I13706" s="137" t="s">
        <v>74</v>
      </c>
    </row>
    <row r="13707" spans="9:9" x14ac:dyDescent="0.2">
      <c r="I13707" s="137" t="s">
        <v>74</v>
      </c>
    </row>
    <row r="13708" spans="9:9" x14ac:dyDescent="0.2">
      <c r="I13708" s="137" t="s">
        <v>74</v>
      </c>
    </row>
    <row r="13709" spans="9:9" x14ac:dyDescent="0.2">
      <c r="I13709" s="137" t="s">
        <v>74</v>
      </c>
    </row>
    <row r="13710" spans="9:9" x14ac:dyDescent="0.2">
      <c r="I13710" s="137" t="s">
        <v>74</v>
      </c>
    </row>
    <row r="13711" spans="9:9" x14ac:dyDescent="0.2">
      <c r="I13711" s="137" t="s">
        <v>74</v>
      </c>
    </row>
    <row r="13712" spans="9:9" x14ac:dyDescent="0.2">
      <c r="I13712" s="137" t="s">
        <v>74</v>
      </c>
    </row>
    <row r="13713" spans="9:9" x14ac:dyDescent="0.2">
      <c r="I13713" s="137" t="s">
        <v>74</v>
      </c>
    </row>
    <row r="13714" spans="9:9" x14ac:dyDescent="0.2">
      <c r="I13714" s="137" t="s">
        <v>74</v>
      </c>
    </row>
    <row r="13715" spans="9:9" x14ac:dyDescent="0.2">
      <c r="I13715" s="137" t="s">
        <v>74</v>
      </c>
    </row>
    <row r="13716" spans="9:9" x14ac:dyDescent="0.2">
      <c r="I13716" s="137" t="s">
        <v>74</v>
      </c>
    </row>
    <row r="13717" spans="9:9" x14ac:dyDescent="0.2">
      <c r="I13717" s="137" t="s">
        <v>74</v>
      </c>
    </row>
    <row r="13718" spans="9:9" x14ac:dyDescent="0.2">
      <c r="I13718" s="137" t="s">
        <v>74</v>
      </c>
    </row>
    <row r="13719" spans="9:9" x14ac:dyDescent="0.2">
      <c r="I13719" s="137" t="s">
        <v>74</v>
      </c>
    </row>
    <row r="13720" spans="9:9" x14ac:dyDescent="0.2">
      <c r="I13720" s="137" t="s">
        <v>74</v>
      </c>
    </row>
    <row r="13721" spans="9:9" x14ac:dyDescent="0.2">
      <c r="I13721" s="137" t="s">
        <v>74</v>
      </c>
    </row>
    <row r="13722" spans="9:9" x14ac:dyDescent="0.2">
      <c r="I13722" s="137" t="s">
        <v>74</v>
      </c>
    </row>
    <row r="13723" spans="9:9" x14ac:dyDescent="0.2">
      <c r="I13723" s="137" t="s">
        <v>74</v>
      </c>
    </row>
    <row r="13724" spans="9:9" x14ac:dyDescent="0.2">
      <c r="I13724" s="137" t="s">
        <v>74</v>
      </c>
    </row>
    <row r="13725" spans="9:9" x14ac:dyDescent="0.2">
      <c r="I13725" s="137" t="s">
        <v>74</v>
      </c>
    </row>
    <row r="13726" spans="9:9" x14ac:dyDescent="0.2">
      <c r="I13726" s="137" t="s">
        <v>74</v>
      </c>
    </row>
    <row r="13727" spans="9:9" x14ac:dyDescent="0.2">
      <c r="I13727" s="137" t="s">
        <v>74</v>
      </c>
    </row>
    <row r="13728" spans="9:9" x14ac:dyDescent="0.2">
      <c r="I13728" s="137" t="s">
        <v>74</v>
      </c>
    </row>
    <row r="13729" spans="9:9" x14ac:dyDescent="0.2">
      <c r="I13729" s="137" t="s">
        <v>74</v>
      </c>
    </row>
    <row r="13730" spans="9:9" x14ac:dyDescent="0.2">
      <c r="I13730" s="137" t="s">
        <v>74</v>
      </c>
    </row>
    <row r="13731" spans="9:9" x14ac:dyDescent="0.2">
      <c r="I13731" s="137" t="s">
        <v>74</v>
      </c>
    </row>
    <row r="13732" spans="9:9" x14ac:dyDescent="0.2">
      <c r="I13732" s="137" t="s">
        <v>74</v>
      </c>
    </row>
    <row r="13733" spans="9:9" x14ac:dyDescent="0.2">
      <c r="I13733" s="137" t="s">
        <v>74</v>
      </c>
    </row>
    <row r="13734" spans="9:9" x14ac:dyDescent="0.2">
      <c r="I13734" s="137" t="s">
        <v>74</v>
      </c>
    </row>
    <row r="13735" spans="9:9" x14ac:dyDescent="0.2">
      <c r="I13735" s="137" t="s">
        <v>74</v>
      </c>
    </row>
    <row r="13736" spans="9:9" x14ac:dyDescent="0.2">
      <c r="I13736" s="137" t="s">
        <v>74</v>
      </c>
    </row>
    <row r="13737" spans="9:9" x14ac:dyDescent="0.2">
      <c r="I13737" s="137" t="s">
        <v>74</v>
      </c>
    </row>
    <row r="13738" spans="9:9" x14ac:dyDescent="0.2">
      <c r="I13738" s="137" t="s">
        <v>74</v>
      </c>
    </row>
    <row r="13739" spans="9:9" x14ac:dyDescent="0.2">
      <c r="I13739" s="137" t="s">
        <v>74</v>
      </c>
    </row>
    <row r="13740" spans="9:9" x14ac:dyDescent="0.2">
      <c r="I13740" s="137" t="s">
        <v>74</v>
      </c>
    </row>
    <row r="13741" spans="9:9" x14ac:dyDescent="0.2">
      <c r="I13741" s="137" t="s">
        <v>74</v>
      </c>
    </row>
    <row r="13742" spans="9:9" x14ac:dyDescent="0.2">
      <c r="I13742" s="137" t="s">
        <v>74</v>
      </c>
    </row>
    <row r="13743" spans="9:9" x14ac:dyDescent="0.2">
      <c r="I13743" s="137" t="s">
        <v>74</v>
      </c>
    </row>
    <row r="13744" spans="9:9" x14ac:dyDescent="0.2">
      <c r="I13744" s="137" t="s">
        <v>74</v>
      </c>
    </row>
    <row r="13745" spans="9:9" x14ac:dyDescent="0.2">
      <c r="I13745" s="137" t="s">
        <v>74</v>
      </c>
    </row>
    <row r="13746" spans="9:9" x14ac:dyDescent="0.2">
      <c r="I13746" s="137" t="s">
        <v>74</v>
      </c>
    </row>
    <row r="13747" spans="9:9" x14ac:dyDescent="0.2">
      <c r="I13747" s="137" t="s">
        <v>74</v>
      </c>
    </row>
    <row r="13748" spans="9:9" x14ac:dyDescent="0.2">
      <c r="I13748" s="137" t="s">
        <v>74</v>
      </c>
    </row>
    <row r="13749" spans="9:9" x14ac:dyDescent="0.2">
      <c r="I13749" s="137" t="s">
        <v>74</v>
      </c>
    </row>
    <row r="13750" spans="9:9" x14ac:dyDescent="0.2">
      <c r="I13750" s="137" t="s">
        <v>74</v>
      </c>
    </row>
    <row r="13751" spans="9:9" x14ac:dyDescent="0.2">
      <c r="I13751" s="137" t="s">
        <v>74</v>
      </c>
    </row>
    <row r="13752" spans="9:9" x14ac:dyDescent="0.2">
      <c r="I13752" s="137" t="s">
        <v>74</v>
      </c>
    </row>
    <row r="13753" spans="9:9" x14ac:dyDescent="0.2">
      <c r="I13753" s="137" t="s">
        <v>74</v>
      </c>
    </row>
    <row r="13754" spans="9:9" x14ac:dyDescent="0.2">
      <c r="I13754" s="137" t="s">
        <v>74</v>
      </c>
    </row>
    <row r="13755" spans="9:9" x14ac:dyDescent="0.2">
      <c r="I13755" s="137" t="s">
        <v>74</v>
      </c>
    </row>
    <row r="13756" spans="9:9" x14ac:dyDescent="0.2">
      <c r="I13756" s="137" t="s">
        <v>74</v>
      </c>
    </row>
    <row r="13757" spans="9:9" x14ac:dyDescent="0.2">
      <c r="I13757" s="137" t="s">
        <v>74</v>
      </c>
    </row>
    <row r="13758" spans="9:9" x14ac:dyDescent="0.2">
      <c r="I13758" s="137" t="s">
        <v>74</v>
      </c>
    </row>
    <row r="13759" spans="9:9" x14ac:dyDescent="0.2">
      <c r="I13759" s="137" t="s">
        <v>74</v>
      </c>
    </row>
    <row r="13760" spans="9:9" x14ac:dyDescent="0.2">
      <c r="I13760" s="137" t="s">
        <v>74</v>
      </c>
    </row>
    <row r="13761" spans="9:9" x14ac:dyDescent="0.2">
      <c r="I13761" s="137" t="s">
        <v>74</v>
      </c>
    </row>
    <row r="13762" spans="9:9" x14ac:dyDescent="0.2">
      <c r="I13762" s="137" t="s">
        <v>74</v>
      </c>
    </row>
    <row r="13763" spans="9:9" x14ac:dyDescent="0.2">
      <c r="I13763" s="137" t="s">
        <v>74</v>
      </c>
    </row>
    <row r="13764" spans="9:9" x14ac:dyDescent="0.2">
      <c r="I13764" s="137" t="s">
        <v>74</v>
      </c>
    </row>
    <row r="13765" spans="9:9" x14ac:dyDescent="0.2">
      <c r="I13765" s="137" t="s">
        <v>74</v>
      </c>
    </row>
    <row r="13766" spans="9:9" x14ac:dyDescent="0.2">
      <c r="I13766" s="137" t="s">
        <v>74</v>
      </c>
    </row>
    <row r="13767" spans="9:9" x14ac:dyDescent="0.2">
      <c r="I13767" s="137" t="s">
        <v>74</v>
      </c>
    </row>
    <row r="13768" spans="9:9" x14ac:dyDescent="0.2">
      <c r="I13768" s="137" t="s">
        <v>74</v>
      </c>
    </row>
    <row r="13769" spans="9:9" x14ac:dyDescent="0.2">
      <c r="I13769" s="137" t="s">
        <v>74</v>
      </c>
    </row>
    <row r="13770" spans="9:9" x14ac:dyDescent="0.2">
      <c r="I13770" s="137" t="s">
        <v>74</v>
      </c>
    </row>
    <row r="13771" spans="9:9" x14ac:dyDescent="0.2">
      <c r="I13771" s="137" t="s">
        <v>74</v>
      </c>
    </row>
    <row r="13772" spans="9:9" x14ac:dyDescent="0.2">
      <c r="I13772" s="137" t="s">
        <v>74</v>
      </c>
    </row>
    <row r="13773" spans="9:9" x14ac:dyDescent="0.2">
      <c r="I13773" s="137" t="s">
        <v>74</v>
      </c>
    </row>
    <row r="13774" spans="9:9" x14ac:dyDescent="0.2">
      <c r="I13774" s="137" t="s">
        <v>74</v>
      </c>
    </row>
    <row r="13775" spans="9:9" x14ac:dyDescent="0.2">
      <c r="I13775" s="137" t="s">
        <v>74</v>
      </c>
    </row>
    <row r="13776" spans="9:9" x14ac:dyDescent="0.2">
      <c r="I13776" s="137" t="s">
        <v>74</v>
      </c>
    </row>
    <row r="13777" spans="9:9" x14ac:dyDescent="0.2">
      <c r="I13777" s="137" t="s">
        <v>74</v>
      </c>
    </row>
    <row r="13778" spans="9:9" x14ac:dyDescent="0.2">
      <c r="I13778" s="137" t="s">
        <v>74</v>
      </c>
    </row>
    <row r="13779" spans="9:9" x14ac:dyDescent="0.2">
      <c r="I13779" s="137" t="s">
        <v>74</v>
      </c>
    </row>
    <row r="13780" spans="9:9" x14ac:dyDescent="0.2">
      <c r="I13780" s="137" t="s">
        <v>74</v>
      </c>
    </row>
    <row r="13781" spans="9:9" x14ac:dyDescent="0.2">
      <c r="I13781" s="137" t="s">
        <v>74</v>
      </c>
    </row>
    <row r="13782" spans="9:9" x14ac:dyDescent="0.2">
      <c r="I13782" s="137" t="s">
        <v>74</v>
      </c>
    </row>
    <row r="13783" spans="9:9" x14ac:dyDescent="0.2">
      <c r="I13783" s="137" t="s">
        <v>74</v>
      </c>
    </row>
    <row r="13784" spans="9:9" x14ac:dyDescent="0.2">
      <c r="I13784" s="137" t="s">
        <v>74</v>
      </c>
    </row>
    <row r="13785" spans="9:9" x14ac:dyDescent="0.2">
      <c r="I13785" s="137" t="s">
        <v>74</v>
      </c>
    </row>
    <row r="13786" spans="9:9" x14ac:dyDescent="0.2">
      <c r="I13786" s="137" t="s">
        <v>74</v>
      </c>
    </row>
    <row r="13787" spans="9:9" x14ac:dyDescent="0.2">
      <c r="I13787" s="137" t="s">
        <v>74</v>
      </c>
    </row>
    <row r="13788" spans="9:9" x14ac:dyDescent="0.2">
      <c r="I13788" s="137" t="s">
        <v>74</v>
      </c>
    </row>
    <row r="13789" spans="9:9" x14ac:dyDescent="0.2">
      <c r="I13789" s="137" t="s">
        <v>74</v>
      </c>
    </row>
    <row r="13790" spans="9:9" x14ac:dyDescent="0.2">
      <c r="I13790" s="137" t="s">
        <v>74</v>
      </c>
    </row>
    <row r="13791" spans="9:9" x14ac:dyDescent="0.2">
      <c r="I13791" s="137" t="s">
        <v>74</v>
      </c>
    </row>
    <row r="13792" spans="9:9" x14ac:dyDescent="0.2">
      <c r="I13792" s="137" t="s">
        <v>74</v>
      </c>
    </row>
    <row r="13793" spans="9:9" x14ac:dyDescent="0.2">
      <c r="I13793" s="137" t="s">
        <v>74</v>
      </c>
    </row>
    <row r="13794" spans="9:9" x14ac:dyDescent="0.2">
      <c r="I13794" s="137" t="s">
        <v>74</v>
      </c>
    </row>
    <row r="13795" spans="9:9" x14ac:dyDescent="0.2">
      <c r="I13795" s="137" t="s">
        <v>74</v>
      </c>
    </row>
    <row r="13796" spans="9:9" x14ac:dyDescent="0.2">
      <c r="I13796" s="137" t="s">
        <v>74</v>
      </c>
    </row>
    <row r="13797" spans="9:9" x14ac:dyDescent="0.2">
      <c r="I13797" s="137" t="s">
        <v>74</v>
      </c>
    </row>
    <row r="13798" spans="9:9" x14ac:dyDescent="0.2">
      <c r="I13798" s="137" t="s">
        <v>74</v>
      </c>
    </row>
    <row r="13799" spans="9:9" x14ac:dyDescent="0.2">
      <c r="I13799" s="137" t="s">
        <v>74</v>
      </c>
    </row>
    <row r="13800" spans="9:9" x14ac:dyDescent="0.2">
      <c r="I13800" s="137" t="s">
        <v>74</v>
      </c>
    </row>
    <row r="13801" spans="9:9" x14ac:dyDescent="0.2">
      <c r="I13801" s="137" t="s">
        <v>74</v>
      </c>
    </row>
    <row r="13802" spans="9:9" x14ac:dyDescent="0.2">
      <c r="I13802" s="137" t="s">
        <v>74</v>
      </c>
    </row>
    <row r="13803" spans="9:9" x14ac:dyDescent="0.2">
      <c r="I13803" s="137" t="s">
        <v>74</v>
      </c>
    </row>
    <row r="13804" spans="9:9" x14ac:dyDescent="0.2">
      <c r="I13804" s="137" t="s">
        <v>74</v>
      </c>
    </row>
    <row r="13805" spans="9:9" x14ac:dyDescent="0.2">
      <c r="I13805" s="137" t="s">
        <v>74</v>
      </c>
    </row>
    <row r="13806" spans="9:9" x14ac:dyDescent="0.2">
      <c r="I13806" s="137" t="s">
        <v>74</v>
      </c>
    </row>
    <row r="13807" spans="9:9" x14ac:dyDescent="0.2">
      <c r="I13807" s="137" t="s">
        <v>74</v>
      </c>
    </row>
    <row r="13808" spans="9:9" x14ac:dyDescent="0.2">
      <c r="I13808" s="137" t="s">
        <v>74</v>
      </c>
    </row>
    <row r="13809" spans="9:9" x14ac:dyDescent="0.2">
      <c r="I13809" s="137" t="s">
        <v>74</v>
      </c>
    </row>
    <row r="13810" spans="9:9" x14ac:dyDescent="0.2">
      <c r="I13810" s="137" t="s">
        <v>74</v>
      </c>
    </row>
    <row r="13811" spans="9:9" x14ac:dyDescent="0.2">
      <c r="I13811" s="137" t="s">
        <v>74</v>
      </c>
    </row>
    <row r="13812" spans="9:9" x14ac:dyDescent="0.2">
      <c r="I13812" s="137" t="s">
        <v>74</v>
      </c>
    </row>
    <row r="13813" spans="9:9" x14ac:dyDescent="0.2">
      <c r="I13813" s="137" t="s">
        <v>74</v>
      </c>
    </row>
    <row r="13814" spans="9:9" x14ac:dyDescent="0.2">
      <c r="I13814" s="137" t="s">
        <v>74</v>
      </c>
    </row>
    <row r="13815" spans="9:9" x14ac:dyDescent="0.2">
      <c r="I13815" s="137" t="s">
        <v>74</v>
      </c>
    </row>
    <row r="13816" spans="9:9" x14ac:dyDescent="0.2">
      <c r="I13816" s="137" t="s">
        <v>74</v>
      </c>
    </row>
    <row r="13817" spans="9:9" x14ac:dyDescent="0.2">
      <c r="I13817" s="137" t="s">
        <v>74</v>
      </c>
    </row>
    <row r="13818" spans="9:9" x14ac:dyDescent="0.2">
      <c r="I13818" s="137" t="s">
        <v>74</v>
      </c>
    </row>
    <row r="13819" spans="9:9" x14ac:dyDescent="0.2">
      <c r="I13819" s="137" t="s">
        <v>74</v>
      </c>
    </row>
    <row r="13820" spans="9:9" x14ac:dyDescent="0.2">
      <c r="I13820" s="137" t="s">
        <v>74</v>
      </c>
    </row>
    <row r="13821" spans="9:9" x14ac:dyDescent="0.2">
      <c r="I13821" s="137" t="s">
        <v>74</v>
      </c>
    </row>
    <row r="13822" spans="9:9" x14ac:dyDescent="0.2">
      <c r="I13822" s="137" t="s">
        <v>74</v>
      </c>
    </row>
    <row r="13823" spans="9:9" x14ac:dyDescent="0.2">
      <c r="I13823" s="137" t="s">
        <v>74</v>
      </c>
    </row>
    <row r="13824" spans="9:9" x14ac:dyDescent="0.2">
      <c r="I13824" s="137" t="s">
        <v>74</v>
      </c>
    </row>
    <row r="13825" spans="9:9" x14ac:dyDescent="0.2">
      <c r="I13825" s="137" t="s">
        <v>74</v>
      </c>
    </row>
    <row r="13826" spans="9:9" x14ac:dyDescent="0.2">
      <c r="I13826" s="137" t="s">
        <v>74</v>
      </c>
    </row>
    <row r="13827" spans="9:9" x14ac:dyDescent="0.2">
      <c r="I13827" s="137" t="s">
        <v>74</v>
      </c>
    </row>
    <row r="13828" spans="9:9" x14ac:dyDescent="0.2">
      <c r="I13828" s="137" t="s">
        <v>74</v>
      </c>
    </row>
    <row r="13829" spans="9:9" x14ac:dyDescent="0.2">
      <c r="I13829" s="137" t="s">
        <v>74</v>
      </c>
    </row>
    <row r="13830" spans="9:9" x14ac:dyDescent="0.2">
      <c r="I13830" s="137" t="s">
        <v>74</v>
      </c>
    </row>
    <row r="13831" spans="9:9" x14ac:dyDescent="0.2">
      <c r="I13831" s="137" t="s">
        <v>74</v>
      </c>
    </row>
    <row r="13832" spans="9:9" x14ac:dyDescent="0.2">
      <c r="I13832" s="137" t="s">
        <v>74</v>
      </c>
    </row>
    <row r="13833" spans="9:9" x14ac:dyDescent="0.2">
      <c r="I13833" s="137" t="s">
        <v>74</v>
      </c>
    </row>
    <row r="13834" spans="9:9" x14ac:dyDescent="0.2">
      <c r="I13834" s="137" t="s">
        <v>74</v>
      </c>
    </row>
    <row r="13835" spans="9:9" x14ac:dyDescent="0.2">
      <c r="I13835" s="137" t="s">
        <v>74</v>
      </c>
    </row>
    <row r="13836" spans="9:9" x14ac:dyDescent="0.2">
      <c r="I13836" s="137" t="s">
        <v>74</v>
      </c>
    </row>
    <row r="13837" spans="9:9" x14ac:dyDescent="0.2">
      <c r="I13837" s="137" t="s">
        <v>74</v>
      </c>
    </row>
    <row r="13838" spans="9:9" x14ac:dyDescent="0.2">
      <c r="I13838" s="137" t="s">
        <v>74</v>
      </c>
    </row>
    <row r="13839" spans="9:9" x14ac:dyDescent="0.2">
      <c r="I13839" s="137" t="s">
        <v>74</v>
      </c>
    </row>
    <row r="13840" spans="9:9" x14ac:dyDescent="0.2">
      <c r="I13840" s="137" t="s">
        <v>74</v>
      </c>
    </row>
    <row r="13841" spans="9:9" x14ac:dyDescent="0.2">
      <c r="I13841" s="137" t="s">
        <v>74</v>
      </c>
    </row>
    <row r="13842" spans="9:9" x14ac:dyDescent="0.2">
      <c r="I13842" s="137" t="s">
        <v>74</v>
      </c>
    </row>
    <row r="13843" spans="9:9" x14ac:dyDescent="0.2">
      <c r="I13843" s="137" t="s">
        <v>74</v>
      </c>
    </row>
    <row r="13844" spans="9:9" x14ac:dyDescent="0.2">
      <c r="I13844" s="137" t="s">
        <v>74</v>
      </c>
    </row>
    <row r="13845" spans="9:9" x14ac:dyDescent="0.2">
      <c r="I13845" s="137" t="s">
        <v>74</v>
      </c>
    </row>
    <row r="13846" spans="9:9" x14ac:dyDescent="0.2">
      <c r="I13846" s="137" t="s">
        <v>74</v>
      </c>
    </row>
    <row r="13847" spans="9:9" x14ac:dyDescent="0.2">
      <c r="I13847" s="137" t="s">
        <v>74</v>
      </c>
    </row>
    <row r="13848" spans="9:9" x14ac:dyDescent="0.2">
      <c r="I13848" s="137" t="s">
        <v>74</v>
      </c>
    </row>
    <row r="13849" spans="9:9" x14ac:dyDescent="0.2">
      <c r="I13849" s="137" t="s">
        <v>74</v>
      </c>
    </row>
    <row r="13850" spans="9:9" x14ac:dyDescent="0.2">
      <c r="I13850" s="137" t="s">
        <v>74</v>
      </c>
    </row>
    <row r="13851" spans="9:9" x14ac:dyDescent="0.2">
      <c r="I13851" s="137" t="s">
        <v>74</v>
      </c>
    </row>
    <row r="13852" spans="9:9" x14ac:dyDescent="0.2">
      <c r="I13852" s="137" t="s">
        <v>74</v>
      </c>
    </row>
    <row r="13853" spans="9:9" x14ac:dyDescent="0.2">
      <c r="I13853" s="137" t="s">
        <v>74</v>
      </c>
    </row>
    <row r="13854" spans="9:9" x14ac:dyDescent="0.2">
      <c r="I13854" s="137" t="s">
        <v>74</v>
      </c>
    </row>
    <row r="13855" spans="9:9" x14ac:dyDescent="0.2">
      <c r="I13855" s="137" t="s">
        <v>74</v>
      </c>
    </row>
    <row r="13856" spans="9:9" x14ac:dyDescent="0.2">
      <c r="I13856" s="137" t="s">
        <v>74</v>
      </c>
    </row>
    <row r="13857" spans="9:9" x14ac:dyDescent="0.2">
      <c r="I13857" s="137" t="s">
        <v>74</v>
      </c>
    </row>
    <row r="13858" spans="9:9" x14ac:dyDescent="0.2">
      <c r="I13858" s="137" t="s">
        <v>74</v>
      </c>
    </row>
    <row r="13859" spans="9:9" x14ac:dyDescent="0.2">
      <c r="I13859" s="137" t="s">
        <v>74</v>
      </c>
    </row>
    <row r="13860" spans="9:9" x14ac:dyDescent="0.2">
      <c r="I13860" s="137" t="s">
        <v>74</v>
      </c>
    </row>
    <row r="13861" spans="9:9" x14ac:dyDescent="0.2">
      <c r="I13861" s="137" t="s">
        <v>74</v>
      </c>
    </row>
    <row r="13862" spans="9:9" x14ac:dyDescent="0.2">
      <c r="I13862" s="137" t="s">
        <v>74</v>
      </c>
    </row>
    <row r="13863" spans="9:9" x14ac:dyDescent="0.2">
      <c r="I13863" s="137" t="s">
        <v>74</v>
      </c>
    </row>
    <row r="13864" spans="9:9" x14ac:dyDescent="0.2">
      <c r="I13864" s="137" t="s">
        <v>74</v>
      </c>
    </row>
    <row r="13865" spans="9:9" x14ac:dyDescent="0.2">
      <c r="I13865" s="137" t="s">
        <v>74</v>
      </c>
    </row>
    <row r="13866" spans="9:9" x14ac:dyDescent="0.2">
      <c r="I13866" s="137" t="s">
        <v>74</v>
      </c>
    </row>
    <row r="13867" spans="9:9" x14ac:dyDescent="0.2">
      <c r="I13867" s="137" t="s">
        <v>74</v>
      </c>
    </row>
    <row r="13868" spans="9:9" x14ac:dyDescent="0.2">
      <c r="I13868" s="137" t="s">
        <v>74</v>
      </c>
    </row>
    <row r="13869" spans="9:9" x14ac:dyDescent="0.2">
      <c r="I13869" s="137" t="s">
        <v>74</v>
      </c>
    </row>
    <row r="13870" spans="9:9" x14ac:dyDescent="0.2">
      <c r="I13870" s="137" t="s">
        <v>74</v>
      </c>
    </row>
    <row r="13871" spans="9:9" x14ac:dyDescent="0.2">
      <c r="I13871" s="137" t="s">
        <v>74</v>
      </c>
    </row>
    <row r="13872" spans="9:9" x14ac:dyDescent="0.2">
      <c r="I13872" s="137" t="s">
        <v>74</v>
      </c>
    </row>
    <row r="13873" spans="9:9" x14ac:dyDescent="0.2">
      <c r="I13873" s="137" t="s">
        <v>74</v>
      </c>
    </row>
    <row r="13874" spans="9:9" x14ac:dyDescent="0.2">
      <c r="I13874" s="137" t="s">
        <v>74</v>
      </c>
    </row>
    <row r="13875" spans="9:9" x14ac:dyDescent="0.2">
      <c r="I13875" s="137" t="s">
        <v>74</v>
      </c>
    </row>
    <row r="13876" spans="9:9" x14ac:dyDescent="0.2">
      <c r="I13876" s="137" t="s">
        <v>74</v>
      </c>
    </row>
    <row r="13877" spans="9:9" x14ac:dyDescent="0.2">
      <c r="I13877" s="137" t="s">
        <v>74</v>
      </c>
    </row>
    <row r="13878" spans="9:9" x14ac:dyDescent="0.2">
      <c r="I13878" s="137" t="s">
        <v>74</v>
      </c>
    </row>
    <row r="13879" spans="9:9" x14ac:dyDescent="0.2">
      <c r="I13879" s="137" t="s">
        <v>74</v>
      </c>
    </row>
    <row r="13880" spans="9:9" x14ac:dyDescent="0.2">
      <c r="I13880" s="137" t="s">
        <v>74</v>
      </c>
    </row>
    <row r="13881" spans="9:9" x14ac:dyDescent="0.2">
      <c r="I13881" s="137" t="s">
        <v>74</v>
      </c>
    </row>
    <row r="13882" spans="9:9" x14ac:dyDescent="0.2">
      <c r="I13882" s="137" t="s">
        <v>74</v>
      </c>
    </row>
    <row r="13883" spans="9:9" x14ac:dyDescent="0.2">
      <c r="I13883" s="137" t="s">
        <v>74</v>
      </c>
    </row>
    <row r="13884" spans="9:9" x14ac:dyDescent="0.2">
      <c r="I13884" s="137" t="s">
        <v>74</v>
      </c>
    </row>
    <row r="13885" spans="9:9" x14ac:dyDescent="0.2">
      <c r="I13885" s="137" t="s">
        <v>74</v>
      </c>
    </row>
    <row r="13886" spans="9:9" x14ac:dyDescent="0.2">
      <c r="I13886" s="137" t="s">
        <v>74</v>
      </c>
    </row>
    <row r="13887" spans="9:9" x14ac:dyDescent="0.2">
      <c r="I13887" s="137" t="s">
        <v>74</v>
      </c>
    </row>
    <row r="13888" spans="9:9" x14ac:dyDescent="0.2">
      <c r="I13888" s="137" t="s">
        <v>74</v>
      </c>
    </row>
    <row r="13889" spans="9:9" x14ac:dyDescent="0.2">
      <c r="I13889" s="137" t="s">
        <v>74</v>
      </c>
    </row>
    <row r="13890" spans="9:9" x14ac:dyDescent="0.2">
      <c r="I13890" s="137" t="s">
        <v>74</v>
      </c>
    </row>
    <row r="13891" spans="9:9" x14ac:dyDescent="0.2">
      <c r="I13891" s="137" t="s">
        <v>74</v>
      </c>
    </row>
    <row r="13892" spans="9:9" x14ac:dyDescent="0.2">
      <c r="I13892" s="137" t="s">
        <v>74</v>
      </c>
    </row>
    <row r="13893" spans="9:9" x14ac:dyDescent="0.2">
      <c r="I13893" s="137" t="s">
        <v>74</v>
      </c>
    </row>
    <row r="13894" spans="9:9" x14ac:dyDescent="0.2">
      <c r="I13894" s="137" t="s">
        <v>74</v>
      </c>
    </row>
    <row r="13895" spans="9:9" x14ac:dyDescent="0.2">
      <c r="I13895" s="137" t="s">
        <v>74</v>
      </c>
    </row>
    <row r="13896" spans="9:9" x14ac:dyDescent="0.2">
      <c r="I13896" s="137" t="s">
        <v>74</v>
      </c>
    </row>
    <row r="13897" spans="9:9" x14ac:dyDescent="0.2">
      <c r="I13897" s="137" t="s">
        <v>74</v>
      </c>
    </row>
    <row r="13898" spans="9:9" x14ac:dyDescent="0.2">
      <c r="I13898" s="137" t="s">
        <v>74</v>
      </c>
    </row>
    <row r="13899" spans="9:9" x14ac:dyDescent="0.2">
      <c r="I13899" s="137" t="s">
        <v>74</v>
      </c>
    </row>
    <row r="13900" spans="9:9" x14ac:dyDescent="0.2">
      <c r="I13900" s="137" t="s">
        <v>74</v>
      </c>
    </row>
    <row r="13901" spans="9:9" x14ac:dyDescent="0.2">
      <c r="I13901" s="137" t="s">
        <v>74</v>
      </c>
    </row>
    <row r="13902" spans="9:9" x14ac:dyDescent="0.2">
      <c r="I13902" s="137" t="s">
        <v>74</v>
      </c>
    </row>
    <row r="13903" spans="9:9" x14ac:dyDescent="0.2">
      <c r="I13903" s="137" t="s">
        <v>74</v>
      </c>
    </row>
    <row r="13904" spans="9:9" x14ac:dyDescent="0.2">
      <c r="I13904" s="137" t="s">
        <v>74</v>
      </c>
    </row>
    <row r="13905" spans="9:9" x14ac:dyDescent="0.2">
      <c r="I13905" s="137" t="s">
        <v>74</v>
      </c>
    </row>
    <row r="13906" spans="9:9" x14ac:dyDescent="0.2">
      <c r="I13906" s="137" t="s">
        <v>74</v>
      </c>
    </row>
    <row r="13907" spans="9:9" x14ac:dyDescent="0.2">
      <c r="I13907" s="137" t="s">
        <v>74</v>
      </c>
    </row>
    <row r="13908" spans="9:9" x14ac:dyDescent="0.2">
      <c r="I13908" s="137" t="s">
        <v>74</v>
      </c>
    </row>
    <row r="13909" spans="9:9" x14ac:dyDescent="0.2">
      <c r="I13909" s="137" t="s">
        <v>74</v>
      </c>
    </row>
    <row r="13910" spans="9:9" x14ac:dyDescent="0.2">
      <c r="I13910" s="137" t="s">
        <v>74</v>
      </c>
    </row>
    <row r="13911" spans="9:9" x14ac:dyDescent="0.2">
      <c r="I13911" s="137" t="s">
        <v>74</v>
      </c>
    </row>
    <row r="13912" spans="9:9" x14ac:dyDescent="0.2">
      <c r="I13912" s="137" t="s">
        <v>74</v>
      </c>
    </row>
    <row r="13913" spans="9:9" x14ac:dyDescent="0.2">
      <c r="I13913" s="137" t="s">
        <v>74</v>
      </c>
    </row>
    <row r="13914" spans="9:9" x14ac:dyDescent="0.2">
      <c r="I13914" s="137" t="s">
        <v>74</v>
      </c>
    </row>
    <row r="13915" spans="9:9" x14ac:dyDescent="0.2">
      <c r="I13915" s="137" t="s">
        <v>74</v>
      </c>
    </row>
    <row r="13916" spans="9:9" x14ac:dyDescent="0.2">
      <c r="I13916" s="137" t="s">
        <v>74</v>
      </c>
    </row>
    <row r="13917" spans="9:9" x14ac:dyDescent="0.2">
      <c r="I13917" s="137" t="s">
        <v>74</v>
      </c>
    </row>
    <row r="13918" spans="9:9" x14ac:dyDescent="0.2">
      <c r="I13918" s="137" t="s">
        <v>74</v>
      </c>
    </row>
    <row r="13919" spans="9:9" x14ac:dyDescent="0.2">
      <c r="I13919" s="137" t="s">
        <v>74</v>
      </c>
    </row>
    <row r="13920" spans="9:9" x14ac:dyDescent="0.2">
      <c r="I13920" s="137" t="s">
        <v>74</v>
      </c>
    </row>
    <row r="13921" spans="9:9" x14ac:dyDescent="0.2">
      <c r="I13921" s="137" t="s">
        <v>74</v>
      </c>
    </row>
    <row r="13922" spans="9:9" x14ac:dyDescent="0.2">
      <c r="I13922" s="137" t="s">
        <v>74</v>
      </c>
    </row>
    <row r="13923" spans="9:9" x14ac:dyDescent="0.2">
      <c r="I13923" s="137" t="s">
        <v>74</v>
      </c>
    </row>
    <row r="13924" spans="9:9" x14ac:dyDescent="0.2">
      <c r="I13924" s="137" t="s">
        <v>74</v>
      </c>
    </row>
    <row r="13925" spans="9:9" x14ac:dyDescent="0.2">
      <c r="I13925" s="137" t="s">
        <v>74</v>
      </c>
    </row>
    <row r="13926" spans="9:9" x14ac:dyDescent="0.2">
      <c r="I13926" s="137" t="s">
        <v>74</v>
      </c>
    </row>
    <row r="13927" spans="9:9" x14ac:dyDescent="0.2">
      <c r="I13927" s="137" t="s">
        <v>74</v>
      </c>
    </row>
    <row r="13928" spans="9:9" x14ac:dyDescent="0.2">
      <c r="I13928" s="137" t="s">
        <v>74</v>
      </c>
    </row>
    <row r="13929" spans="9:9" x14ac:dyDescent="0.2">
      <c r="I13929" s="137" t="s">
        <v>74</v>
      </c>
    </row>
    <row r="13930" spans="9:9" x14ac:dyDescent="0.2">
      <c r="I13930" s="137" t="s">
        <v>74</v>
      </c>
    </row>
    <row r="13931" spans="9:9" x14ac:dyDescent="0.2">
      <c r="I13931" s="137" t="s">
        <v>74</v>
      </c>
    </row>
    <row r="13932" spans="9:9" x14ac:dyDescent="0.2">
      <c r="I13932" s="137" t="s">
        <v>74</v>
      </c>
    </row>
    <row r="13933" spans="9:9" x14ac:dyDescent="0.2">
      <c r="I13933" s="137" t="s">
        <v>74</v>
      </c>
    </row>
    <row r="13934" spans="9:9" x14ac:dyDescent="0.2">
      <c r="I13934" s="137" t="s">
        <v>74</v>
      </c>
    </row>
    <row r="13935" spans="9:9" x14ac:dyDescent="0.2">
      <c r="I13935" s="137" t="s">
        <v>74</v>
      </c>
    </row>
    <row r="13936" spans="9:9" x14ac:dyDescent="0.2">
      <c r="I13936" s="137" t="s">
        <v>74</v>
      </c>
    </row>
    <row r="13937" spans="9:9" x14ac:dyDescent="0.2">
      <c r="I13937" s="137" t="s">
        <v>74</v>
      </c>
    </row>
    <row r="13938" spans="9:9" x14ac:dyDescent="0.2">
      <c r="I13938" s="137" t="s">
        <v>74</v>
      </c>
    </row>
    <row r="13939" spans="9:9" x14ac:dyDescent="0.2">
      <c r="I13939" s="137" t="s">
        <v>74</v>
      </c>
    </row>
    <row r="13940" spans="9:9" x14ac:dyDescent="0.2">
      <c r="I13940" s="137" t="s">
        <v>74</v>
      </c>
    </row>
    <row r="13941" spans="9:9" x14ac:dyDescent="0.2">
      <c r="I13941" s="137" t="s">
        <v>74</v>
      </c>
    </row>
    <row r="13942" spans="9:9" x14ac:dyDescent="0.2">
      <c r="I13942" s="137" t="s">
        <v>74</v>
      </c>
    </row>
    <row r="13943" spans="9:9" x14ac:dyDescent="0.2">
      <c r="I13943" s="137" t="s">
        <v>74</v>
      </c>
    </row>
    <row r="13944" spans="9:9" x14ac:dyDescent="0.2">
      <c r="I13944" s="137" t="s">
        <v>74</v>
      </c>
    </row>
    <row r="13945" spans="9:9" x14ac:dyDescent="0.2">
      <c r="I13945" s="137" t="s">
        <v>74</v>
      </c>
    </row>
    <row r="13946" spans="9:9" x14ac:dyDescent="0.2">
      <c r="I13946" s="137" t="s">
        <v>74</v>
      </c>
    </row>
    <row r="13947" spans="9:9" x14ac:dyDescent="0.2">
      <c r="I13947" s="137" t="s">
        <v>74</v>
      </c>
    </row>
    <row r="13948" spans="9:9" x14ac:dyDescent="0.2">
      <c r="I13948" s="137" t="s">
        <v>74</v>
      </c>
    </row>
    <row r="13949" spans="9:9" x14ac:dyDescent="0.2">
      <c r="I13949" s="137" t="s">
        <v>74</v>
      </c>
    </row>
    <row r="13950" spans="9:9" x14ac:dyDescent="0.2">
      <c r="I13950" s="137" t="s">
        <v>74</v>
      </c>
    </row>
    <row r="13951" spans="9:9" x14ac:dyDescent="0.2">
      <c r="I13951" s="137" t="s">
        <v>74</v>
      </c>
    </row>
    <row r="13952" spans="9:9" x14ac:dyDescent="0.2">
      <c r="I13952" s="137" t="s">
        <v>74</v>
      </c>
    </row>
    <row r="13953" spans="9:9" x14ac:dyDescent="0.2">
      <c r="I13953" s="137" t="s">
        <v>74</v>
      </c>
    </row>
    <row r="13954" spans="9:9" x14ac:dyDescent="0.2">
      <c r="I13954" s="137" t="s">
        <v>74</v>
      </c>
    </row>
    <row r="13955" spans="9:9" x14ac:dyDescent="0.2">
      <c r="I13955" s="137" t="s">
        <v>74</v>
      </c>
    </row>
    <row r="13956" spans="9:9" x14ac:dyDescent="0.2">
      <c r="I13956" s="137" t="s">
        <v>74</v>
      </c>
    </row>
    <row r="13957" spans="9:9" x14ac:dyDescent="0.2">
      <c r="I13957" s="137" t="s">
        <v>74</v>
      </c>
    </row>
    <row r="13958" spans="9:9" x14ac:dyDescent="0.2">
      <c r="I13958" s="137" t="s">
        <v>74</v>
      </c>
    </row>
    <row r="13959" spans="9:9" x14ac:dyDescent="0.2">
      <c r="I13959" s="137" t="s">
        <v>74</v>
      </c>
    </row>
    <row r="13960" spans="9:9" x14ac:dyDescent="0.2">
      <c r="I13960" s="137" t="s">
        <v>74</v>
      </c>
    </row>
    <row r="13961" spans="9:9" x14ac:dyDescent="0.2">
      <c r="I13961" s="137" t="s">
        <v>74</v>
      </c>
    </row>
    <row r="13962" spans="9:9" x14ac:dyDescent="0.2">
      <c r="I13962" s="137" t="s">
        <v>74</v>
      </c>
    </row>
    <row r="13963" spans="9:9" x14ac:dyDescent="0.2">
      <c r="I13963" s="137" t="s">
        <v>74</v>
      </c>
    </row>
    <row r="13964" spans="9:9" x14ac:dyDescent="0.2">
      <c r="I13964" s="137" t="s">
        <v>74</v>
      </c>
    </row>
    <row r="13965" spans="9:9" x14ac:dyDescent="0.2">
      <c r="I13965" s="137" t="s">
        <v>74</v>
      </c>
    </row>
    <row r="13966" spans="9:9" x14ac:dyDescent="0.2">
      <c r="I13966" s="137" t="s">
        <v>74</v>
      </c>
    </row>
    <row r="13967" spans="9:9" x14ac:dyDescent="0.2">
      <c r="I13967" s="137" t="s">
        <v>74</v>
      </c>
    </row>
    <row r="13968" spans="9:9" x14ac:dyDescent="0.2">
      <c r="I13968" s="137" t="s">
        <v>74</v>
      </c>
    </row>
    <row r="13969" spans="9:9" x14ac:dyDescent="0.2">
      <c r="I13969" s="137" t="s">
        <v>74</v>
      </c>
    </row>
    <row r="13970" spans="9:9" x14ac:dyDescent="0.2">
      <c r="I13970" s="137" t="s">
        <v>74</v>
      </c>
    </row>
    <row r="13971" spans="9:9" x14ac:dyDescent="0.2">
      <c r="I13971" s="137" t="s">
        <v>74</v>
      </c>
    </row>
    <row r="13972" spans="9:9" x14ac:dyDescent="0.2">
      <c r="I13972" s="137" t="s">
        <v>74</v>
      </c>
    </row>
    <row r="13973" spans="9:9" x14ac:dyDescent="0.2">
      <c r="I13973" s="137" t="s">
        <v>74</v>
      </c>
    </row>
    <row r="13974" spans="9:9" x14ac:dyDescent="0.2">
      <c r="I13974" s="137" t="s">
        <v>74</v>
      </c>
    </row>
    <row r="13975" spans="9:9" x14ac:dyDescent="0.2">
      <c r="I13975" s="137" t="s">
        <v>74</v>
      </c>
    </row>
    <row r="13976" spans="9:9" x14ac:dyDescent="0.2">
      <c r="I13976" s="137" t="s">
        <v>74</v>
      </c>
    </row>
    <row r="13977" spans="9:9" x14ac:dyDescent="0.2">
      <c r="I13977" s="137" t="s">
        <v>74</v>
      </c>
    </row>
    <row r="13978" spans="9:9" x14ac:dyDescent="0.2">
      <c r="I13978" s="137" t="s">
        <v>74</v>
      </c>
    </row>
    <row r="13979" spans="9:9" x14ac:dyDescent="0.2">
      <c r="I13979" s="137" t="s">
        <v>74</v>
      </c>
    </row>
    <row r="13980" spans="9:9" x14ac:dyDescent="0.2">
      <c r="I13980" s="137" t="s">
        <v>74</v>
      </c>
    </row>
    <row r="13981" spans="9:9" x14ac:dyDescent="0.2">
      <c r="I13981" s="137" t="s">
        <v>74</v>
      </c>
    </row>
    <row r="13982" spans="9:9" x14ac:dyDescent="0.2">
      <c r="I13982" s="137" t="s">
        <v>74</v>
      </c>
    </row>
    <row r="13983" spans="9:9" x14ac:dyDescent="0.2">
      <c r="I13983" s="137" t="s">
        <v>74</v>
      </c>
    </row>
    <row r="13984" spans="9:9" x14ac:dyDescent="0.2">
      <c r="I13984" s="137" t="s">
        <v>74</v>
      </c>
    </row>
    <row r="13985" spans="9:9" x14ac:dyDescent="0.2">
      <c r="I13985" s="137" t="s">
        <v>74</v>
      </c>
    </row>
    <row r="13986" spans="9:9" x14ac:dyDescent="0.2">
      <c r="I13986" s="137" t="s">
        <v>74</v>
      </c>
    </row>
    <row r="13987" spans="9:9" x14ac:dyDescent="0.2">
      <c r="I13987" s="137" t="s">
        <v>74</v>
      </c>
    </row>
    <row r="13988" spans="9:9" x14ac:dyDescent="0.2">
      <c r="I13988" s="137" t="s">
        <v>74</v>
      </c>
    </row>
    <row r="13989" spans="9:9" x14ac:dyDescent="0.2">
      <c r="I13989" s="137" t="s">
        <v>74</v>
      </c>
    </row>
    <row r="13990" spans="9:9" x14ac:dyDescent="0.2">
      <c r="I13990" s="137" t="s">
        <v>74</v>
      </c>
    </row>
    <row r="13991" spans="9:9" x14ac:dyDescent="0.2">
      <c r="I13991" s="137" t="s">
        <v>74</v>
      </c>
    </row>
    <row r="13992" spans="9:9" x14ac:dyDescent="0.2">
      <c r="I13992" s="137" t="s">
        <v>74</v>
      </c>
    </row>
    <row r="13993" spans="9:9" x14ac:dyDescent="0.2">
      <c r="I13993" s="137" t="s">
        <v>74</v>
      </c>
    </row>
    <row r="13994" spans="9:9" x14ac:dyDescent="0.2">
      <c r="I13994" s="137" t="s">
        <v>74</v>
      </c>
    </row>
    <row r="13995" spans="9:9" x14ac:dyDescent="0.2">
      <c r="I13995" s="137" t="s">
        <v>74</v>
      </c>
    </row>
    <row r="13996" spans="9:9" x14ac:dyDescent="0.2">
      <c r="I13996" s="137" t="s">
        <v>74</v>
      </c>
    </row>
    <row r="13997" spans="9:9" x14ac:dyDescent="0.2">
      <c r="I13997" s="137" t="s">
        <v>74</v>
      </c>
    </row>
    <row r="13998" spans="9:9" x14ac:dyDescent="0.2">
      <c r="I13998" s="137" t="s">
        <v>74</v>
      </c>
    </row>
    <row r="13999" spans="9:9" x14ac:dyDescent="0.2">
      <c r="I13999" s="137" t="s">
        <v>74</v>
      </c>
    </row>
    <row r="14000" spans="9:9" x14ac:dyDescent="0.2">
      <c r="I14000" s="137" t="s">
        <v>74</v>
      </c>
    </row>
    <row r="14001" spans="9:9" x14ac:dyDescent="0.2">
      <c r="I14001" s="137" t="s">
        <v>74</v>
      </c>
    </row>
    <row r="14002" spans="9:9" x14ac:dyDescent="0.2">
      <c r="I14002" s="137" t="s">
        <v>74</v>
      </c>
    </row>
    <row r="14003" spans="9:9" x14ac:dyDescent="0.2">
      <c r="I14003" s="137" t="s">
        <v>74</v>
      </c>
    </row>
    <row r="14004" spans="9:9" x14ac:dyDescent="0.2">
      <c r="I14004" s="137" t="s">
        <v>74</v>
      </c>
    </row>
    <row r="14005" spans="9:9" x14ac:dyDescent="0.2">
      <c r="I14005" s="137" t="s">
        <v>74</v>
      </c>
    </row>
    <row r="14006" spans="9:9" x14ac:dyDescent="0.2">
      <c r="I14006" s="137" t="s">
        <v>74</v>
      </c>
    </row>
    <row r="14007" spans="9:9" x14ac:dyDescent="0.2">
      <c r="I14007" s="137" t="s">
        <v>74</v>
      </c>
    </row>
    <row r="14008" spans="9:9" x14ac:dyDescent="0.2">
      <c r="I14008" s="137" t="s">
        <v>74</v>
      </c>
    </row>
    <row r="14009" spans="9:9" x14ac:dyDescent="0.2">
      <c r="I14009" s="137" t="s">
        <v>74</v>
      </c>
    </row>
    <row r="14010" spans="9:9" x14ac:dyDescent="0.2">
      <c r="I14010" s="137" t="s">
        <v>74</v>
      </c>
    </row>
    <row r="14011" spans="9:9" x14ac:dyDescent="0.2">
      <c r="I14011" s="137" t="s">
        <v>74</v>
      </c>
    </row>
    <row r="14012" spans="9:9" x14ac:dyDescent="0.2">
      <c r="I14012" s="137" t="s">
        <v>74</v>
      </c>
    </row>
    <row r="14013" spans="9:9" x14ac:dyDescent="0.2">
      <c r="I14013" s="137" t="s">
        <v>74</v>
      </c>
    </row>
    <row r="14014" spans="9:9" x14ac:dyDescent="0.2">
      <c r="I14014" s="137" t="s">
        <v>74</v>
      </c>
    </row>
    <row r="14015" spans="9:9" x14ac:dyDescent="0.2">
      <c r="I14015" s="137" t="s">
        <v>74</v>
      </c>
    </row>
    <row r="14016" spans="9:9" x14ac:dyDescent="0.2">
      <c r="I14016" s="137" t="s">
        <v>74</v>
      </c>
    </row>
    <row r="14017" spans="9:9" x14ac:dyDescent="0.2">
      <c r="I14017" s="137" t="s">
        <v>74</v>
      </c>
    </row>
    <row r="14018" spans="9:9" x14ac:dyDescent="0.2">
      <c r="I14018" s="137" t="s">
        <v>74</v>
      </c>
    </row>
    <row r="14019" spans="9:9" x14ac:dyDescent="0.2">
      <c r="I14019" s="137" t="s">
        <v>74</v>
      </c>
    </row>
    <row r="14020" spans="9:9" x14ac:dyDescent="0.2">
      <c r="I14020" s="137" t="s">
        <v>74</v>
      </c>
    </row>
    <row r="14021" spans="9:9" x14ac:dyDescent="0.2">
      <c r="I14021" s="137" t="s">
        <v>74</v>
      </c>
    </row>
    <row r="14022" spans="9:9" x14ac:dyDescent="0.2">
      <c r="I14022" s="137" t="s">
        <v>74</v>
      </c>
    </row>
    <row r="14023" spans="9:9" x14ac:dyDescent="0.2">
      <c r="I14023" s="137" t="s">
        <v>74</v>
      </c>
    </row>
    <row r="14024" spans="9:9" x14ac:dyDescent="0.2">
      <c r="I14024" s="137" t="s">
        <v>74</v>
      </c>
    </row>
    <row r="14025" spans="9:9" x14ac:dyDescent="0.2">
      <c r="I14025" s="137" t="s">
        <v>74</v>
      </c>
    </row>
    <row r="14026" spans="9:9" x14ac:dyDescent="0.2">
      <c r="I14026" s="137" t="s">
        <v>74</v>
      </c>
    </row>
    <row r="14027" spans="9:9" x14ac:dyDescent="0.2">
      <c r="I14027" s="137" t="s">
        <v>74</v>
      </c>
    </row>
    <row r="14028" spans="9:9" x14ac:dyDescent="0.2">
      <c r="I14028" s="137" t="s">
        <v>74</v>
      </c>
    </row>
    <row r="14029" spans="9:9" x14ac:dyDescent="0.2">
      <c r="I14029" s="137" t="s">
        <v>74</v>
      </c>
    </row>
    <row r="14030" spans="9:9" x14ac:dyDescent="0.2">
      <c r="I14030" s="137" t="s">
        <v>74</v>
      </c>
    </row>
    <row r="14031" spans="9:9" x14ac:dyDescent="0.2">
      <c r="I14031" s="137" t="s">
        <v>74</v>
      </c>
    </row>
    <row r="14032" spans="9:9" x14ac:dyDescent="0.2">
      <c r="I14032" s="137" t="s">
        <v>74</v>
      </c>
    </row>
    <row r="14033" spans="9:9" x14ac:dyDescent="0.2">
      <c r="I14033" s="137" t="s">
        <v>74</v>
      </c>
    </row>
    <row r="14034" spans="9:9" x14ac:dyDescent="0.2">
      <c r="I14034" s="137" t="s">
        <v>74</v>
      </c>
    </row>
    <row r="14035" spans="9:9" x14ac:dyDescent="0.2">
      <c r="I14035" s="137" t="s">
        <v>74</v>
      </c>
    </row>
    <row r="14036" spans="9:9" x14ac:dyDescent="0.2">
      <c r="I14036" s="137" t="s">
        <v>74</v>
      </c>
    </row>
    <row r="14037" spans="9:9" x14ac:dyDescent="0.2">
      <c r="I14037" s="137" t="s">
        <v>74</v>
      </c>
    </row>
    <row r="14038" spans="9:9" x14ac:dyDescent="0.2">
      <c r="I14038" s="137" t="s">
        <v>74</v>
      </c>
    </row>
    <row r="14039" spans="9:9" x14ac:dyDescent="0.2">
      <c r="I14039" s="137" t="s">
        <v>74</v>
      </c>
    </row>
    <row r="14040" spans="9:9" x14ac:dyDescent="0.2">
      <c r="I14040" s="137" t="s">
        <v>74</v>
      </c>
    </row>
    <row r="14041" spans="9:9" x14ac:dyDescent="0.2">
      <c r="I14041" s="137" t="s">
        <v>74</v>
      </c>
    </row>
    <row r="14042" spans="9:9" x14ac:dyDescent="0.2">
      <c r="I14042" s="137" t="s">
        <v>74</v>
      </c>
    </row>
    <row r="14043" spans="9:9" x14ac:dyDescent="0.2">
      <c r="I14043" s="137" t="s">
        <v>74</v>
      </c>
    </row>
    <row r="14044" spans="9:9" x14ac:dyDescent="0.2">
      <c r="I14044" s="137" t="s">
        <v>74</v>
      </c>
    </row>
    <row r="14045" spans="9:9" x14ac:dyDescent="0.2">
      <c r="I14045" s="137" t="s">
        <v>74</v>
      </c>
    </row>
    <row r="14046" spans="9:9" x14ac:dyDescent="0.2">
      <c r="I14046" s="137" t="s">
        <v>74</v>
      </c>
    </row>
    <row r="14047" spans="9:9" x14ac:dyDescent="0.2">
      <c r="I14047" s="137" t="s">
        <v>74</v>
      </c>
    </row>
    <row r="14048" spans="9:9" x14ac:dyDescent="0.2">
      <c r="I14048" s="137" t="s">
        <v>74</v>
      </c>
    </row>
    <row r="14049" spans="9:9" x14ac:dyDescent="0.2">
      <c r="I14049" s="137" t="s">
        <v>74</v>
      </c>
    </row>
    <row r="14050" spans="9:9" x14ac:dyDescent="0.2">
      <c r="I14050" s="137" t="s">
        <v>74</v>
      </c>
    </row>
    <row r="14051" spans="9:9" x14ac:dyDescent="0.2">
      <c r="I14051" s="137" t="s">
        <v>74</v>
      </c>
    </row>
    <row r="14052" spans="9:9" x14ac:dyDescent="0.2">
      <c r="I14052" s="137" t="s">
        <v>74</v>
      </c>
    </row>
    <row r="14053" spans="9:9" x14ac:dyDescent="0.2">
      <c r="I14053" s="137" t="s">
        <v>74</v>
      </c>
    </row>
    <row r="14054" spans="9:9" x14ac:dyDescent="0.2">
      <c r="I14054" s="137" t="s">
        <v>74</v>
      </c>
    </row>
    <row r="14055" spans="9:9" x14ac:dyDescent="0.2">
      <c r="I14055" s="137" t="s">
        <v>74</v>
      </c>
    </row>
    <row r="14056" spans="9:9" x14ac:dyDescent="0.2">
      <c r="I14056" s="137" t="s">
        <v>74</v>
      </c>
    </row>
    <row r="14057" spans="9:9" x14ac:dyDescent="0.2">
      <c r="I14057" s="137" t="s">
        <v>74</v>
      </c>
    </row>
    <row r="14058" spans="9:9" x14ac:dyDescent="0.2">
      <c r="I14058" s="137" t="s">
        <v>74</v>
      </c>
    </row>
    <row r="14059" spans="9:9" x14ac:dyDescent="0.2">
      <c r="I14059" s="137" t="s">
        <v>74</v>
      </c>
    </row>
    <row r="14060" spans="9:9" x14ac:dyDescent="0.2">
      <c r="I14060" s="137" t="s">
        <v>74</v>
      </c>
    </row>
    <row r="14061" spans="9:9" x14ac:dyDescent="0.2">
      <c r="I14061" s="137" t="s">
        <v>74</v>
      </c>
    </row>
    <row r="14062" spans="9:9" x14ac:dyDescent="0.2">
      <c r="I14062" s="137" t="s">
        <v>74</v>
      </c>
    </row>
    <row r="14063" spans="9:9" x14ac:dyDescent="0.2">
      <c r="I14063" s="137" t="s">
        <v>74</v>
      </c>
    </row>
    <row r="14064" spans="9:9" x14ac:dyDescent="0.2">
      <c r="I14064" s="137" t="s">
        <v>74</v>
      </c>
    </row>
    <row r="14065" spans="9:9" x14ac:dyDescent="0.2">
      <c r="I14065" s="137" t="s">
        <v>74</v>
      </c>
    </row>
    <row r="14066" spans="9:9" x14ac:dyDescent="0.2">
      <c r="I14066" s="137" t="s">
        <v>74</v>
      </c>
    </row>
    <row r="14067" spans="9:9" x14ac:dyDescent="0.2">
      <c r="I14067" s="137" t="s">
        <v>74</v>
      </c>
    </row>
    <row r="14068" spans="9:9" x14ac:dyDescent="0.2">
      <c r="I14068" s="137" t="s">
        <v>74</v>
      </c>
    </row>
    <row r="14069" spans="9:9" x14ac:dyDescent="0.2">
      <c r="I14069" s="137" t="s">
        <v>74</v>
      </c>
    </row>
    <row r="14070" spans="9:9" x14ac:dyDescent="0.2">
      <c r="I14070" s="137" t="s">
        <v>74</v>
      </c>
    </row>
    <row r="14071" spans="9:9" x14ac:dyDescent="0.2">
      <c r="I14071" s="137" t="s">
        <v>74</v>
      </c>
    </row>
    <row r="14072" spans="9:9" x14ac:dyDescent="0.2">
      <c r="I14072" s="137" t="s">
        <v>74</v>
      </c>
    </row>
    <row r="14073" spans="9:9" x14ac:dyDescent="0.2">
      <c r="I14073" s="137" t="s">
        <v>74</v>
      </c>
    </row>
    <row r="14074" spans="9:9" x14ac:dyDescent="0.2">
      <c r="I14074" s="137" t="s">
        <v>74</v>
      </c>
    </row>
    <row r="14075" spans="9:9" x14ac:dyDescent="0.2">
      <c r="I14075" s="137" t="s">
        <v>74</v>
      </c>
    </row>
    <row r="14076" spans="9:9" x14ac:dyDescent="0.2">
      <c r="I14076" s="137" t="s">
        <v>74</v>
      </c>
    </row>
    <row r="14077" spans="9:9" x14ac:dyDescent="0.2">
      <c r="I14077" s="137" t="s">
        <v>74</v>
      </c>
    </row>
    <row r="14078" spans="9:9" x14ac:dyDescent="0.2">
      <c r="I14078" s="137" t="s">
        <v>74</v>
      </c>
    </row>
    <row r="14079" spans="9:9" x14ac:dyDescent="0.2">
      <c r="I14079" s="137" t="s">
        <v>74</v>
      </c>
    </row>
    <row r="14080" spans="9:9" x14ac:dyDescent="0.2">
      <c r="I14080" s="137" t="s">
        <v>74</v>
      </c>
    </row>
    <row r="14081" spans="9:9" x14ac:dyDescent="0.2">
      <c r="I14081" s="137" t="s">
        <v>74</v>
      </c>
    </row>
    <row r="14082" spans="9:9" x14ac:dyDescent="0.2">
      <c r="I14082" s="137" t="s">
        <v>74</v>
      </c>
    </row>
    <row r="14083" spans="9:9" x14ac:dyDescent="0.2">
      <c r="I14083" s="137" t="s">
        <v>74</v>
      </c>
    </row>
    <row r="14084" spans="9:9" x14ac:dyDescent="0.2">
      <c r="I14084" s="137" t="s">
        <v>74</v>
      </c>
    </row>
    <row r="14085" spans="9:9" x14ac:dyDescent="0.2">
      <c r="I14085" s="137" t="s">
        <v>74</v>
      </c>
    </row>
    <row r="14086" spans="9:9" x14ac:dyDescent="0.2">
      <c r="I14086" s="137" t="s">
        <v>74</v>
      </c>
    </row>
    <row r="14087" spans="9:9" x14ac:dyDescent="0.2">
      <c r="I14087" s="137" t="s">
        <v>74</v>
      </c>
    </row>
    <row r="14088" spans="9:9" x14ac:dyDescent="0.2">
      <c r="I14088" s="137" t="s">
        <v>74</v>
      </c>
    </row>
    <row r="14089" spans="9:9" x14ac:dyDescent="0.2">
      <c r="I14089" s="137" t="s">
        <v>74</v>
      </c>
    </row>
    <row r="14090" spans="9:9" x14ac:dyDescent="0.2">
      <c r="I14090" s="137" t="s">
        <v>74</v>
      </c>
    </row>
    <row r="14091" spans="9:9" x14ac:dyDescent="0.2">
      <c r="I14091" s="137" t="s">
        <v>74</v>
      </c>
    </row>
    <row r="14092" spans="9:9" x14ac:dyDescent="0.2">
      <c r="I14092" s="137" t="s">
        <v>74</v>
      </c>
    </row>
    <row r="14093" spans="9:9" x14ac:dyDescent="0.2">
      <c r="I14093" s="137" t="s">
        <v>74</v>
      </c>
    </row>
    <row r="14094" spans="9:9" x14ac:dyDescent="0.2">
      <c r="I14094" s="137" t="s">
        <v>74</v>
      </c>
    </row>
    <row r="14095" spans="9:9" x14ac:dyDescent="0.2">
      <c r="I14095" s="137" t="s">
        <v>74</v>
      </c>
    </row>
    <row r="14096" spans="9:9" x14ac:dyDescent="0.2">
      <c r="I14096" s="137" t="s">
        <v>74</v>
      </c>
    </row>
    <row r="14097" spans="9:9" x14ac:dyDescent="0.2">
      <c r="I14097" s="137" t="s">
        <v>74</v>
      </c>
    </row>
    <row r="14098" spans="9:9" x14ac:dyDescent="0.2">
      <c r="I14098" s="137" t="s">
        <v>74</v>
      </c>
    </row>
    <row r="14099" spans="9:9" x14ac:dyDescent="0.2">
      <c r="I14099" s="137" t="s">
        <v>74</v>
      </c>
    </row>
    <row r="14100" spans="9:9" x14ac:dyDescent="0.2">
      <c r="I14100" s="137" t="s">
        <v>74</v>
      </c>
    </row>
    <row r="14101" spans="9:9" x14ac:dyDescent="0.2">
      <c r="I14101" s="137" t="s">
        <v>74</v>
      </c>
    </row>
    <row r="14102" spans="9:9" x14ac:dyDescent="0.2">
      <c r="I14102" s="137" t="s">
        <v>74</v>
      </c>
    </row>
    <row r="14103" spans="9:9" x14ac:dyDescent="0.2">
      <c r="I14103" s="137" t="s">
        <v>74</v>
      </c>
    </row>
    <row r="14104" spans="9:9" x14ac:dyDescent="0.2">
      <c r="I14104" s="137" t="s">
        <v>74</v>
      </c>
    </row>
    <row r="14105" spans="9:9" x14ac:dyDescent="0.2">
      <c r="I14105" s="137" t="s">
        <v>74</v>
      </c>
    </row>
    <row r="14106" spans="9:9" x14ac:dyDescent="0.2">
      <c r="I14106" s="137" t="s">
        <v>74</v>
      </c>
    </row>
    <row r="14107" spans="9:9" x14ac:dyDescent="0.2">
      <c r="I14107" s="137" t="s">
        <v>74</v>
      </c>
    </row>
    <row r="14108" spans="9:9" x14ac:dyDescent="0.2">
      <c r="I14108" s="137" t="s">
        <v>74</v>
      </c>
    </row>
    <row r="14109" spans="9:9" x14ac:dyDescent="0.2">
      <c r="I14109" s="137" t="s">
        <v>74</v>
      </c>
    </row>
    <row r="14110" spans="9:9" x14ac:dyDescent="0.2">
      <c r="I14110" s="137" t="s">
        <v>74</v>
      </c>
    </row>
    <row r="14111" spans="9:9" x14ac:dyDescent="0.2">
      <c r="I14111" s="137" t="s">
        <v>74</v>
      </c>
    </row>
    <row r="14112" spans="9:9" x14ac:dyDescent="0.2">
      <c r="I14112" s="137" t="s">
        <v>74</v>
      </c>
    </row>
    <row r="14113" spans="9:9" x14ac:dyDescent="0.2">
      <c r="I14113" s="137" t="s">
        <v>74</v>
      </c>
    </row>
    <row r="14114" spans="9:9" x14ac:dyDescent="0.2">
      <c r="I14114" s="137" t="s">
        <v>74</v>
      </c>
    </row>
    <row r="14115" spans="9:9" x14ac:dyDescent="0.2">
      <c r="I14115" s="137" t="s">
        <v>74</v>
      </c>
    </row>
    <row r="14116" spans="9:9" x14ac:dyDescent="0.2">
      <c r="I14116" s="137" t="s">
        <v>74</v>
      </c>
    </row>
    <row r="14117" spans="9:9" x14ac:dyDescent="0.2">
      <c r="I14117" s="137" t="s">
        <v>74</v>
      </c>
    </row>
    <row r="14118" spans="9:9" x14ac:dyDescent="0.2">
      <c r="I14118" s="137" t="s">
        <v>74</v>
      </c>
    </row>
    <row r="14119" spans="9:9" x14ac:dyDescent="0.2">
      <c r="I14119" s="137" t="s">
        <v>74</v>
      </c>
    </row>
    <row r="14120" spans="9:9" x14ac:dyDescent="0.2">
      <c r="I14120" s="137" t="s">
        <v>74</v>
      </c>
    </row>
    <row r="14121" spans="9:9" x14ac:dyDescent="0.2">
      <c r="I14121" s="137" t="s">
        <v>74</v>
      </c>
    </row>
    <row r="14122" spans="9:9" x14ac:dyDescent="0.2">
      <c r="I14122" s="137" t="s">
        <v>74</v>
      </c>
    </row>
    <row r="14123" spans="9:9" x14ac:dyDescent="0.2">
      <c r="I14123" s="137" t="s">
        <v>74</v>
      </c>
    </row>
    <row r="14124" spans="9:9" x14ac:dyDescent="0.2">
      <c r="I14124" s="137" t="s">
        <v>74</v>
      </c>
    </row>
    <row r="14125" spans="9:9" x14ac:dyDescent="0.2">
      <c r="I14125" s="137" t="s">
        <v>74</v>
      </c>
    </row>
    <row r="14126" spans="9:9" x14ac:dyDescent="0.2">
      <c r="I14126" s="137" t="s">
        <v>74</v>
      </c>
    </row>
    <row r="14127" spans="9:9" x14ac:dyDescent="0.2">
      <c r="I14127" s="137" t="s">
        <v>74</v>
      </c>
    </row>
    <row r="14128" spans="9:9" x14ac:dyDescent="0.2">
      <c r="I14128" s="137" t="s">
        <v>74</v>
      </c>
    </row>
    <row r="14129" spans="9:9" x14ac:dyDescent="0.2">
      <c r="I14129" s="137" t="s">
        <v>74</v>
      </c>
    </row>
    <row r="14130" spans="9:9" x14ac:dyDescent="0.2">
      <c r="I14130" s="137" t="s">
        <v>74</v>
      </c>
    </row>
    <row r="14131" spans="9:9" x14ac:dyDescent="0.2">
      <c r="I14131" s="137" t="s">
        <v>74</v>
      </c>
    </row>
    <row r="14132" spans="9:9" x14ac:dyDescent="0.2">
      <c r="I14132" s="137" t="s">
        <v>74</v>
      </c>
    </row>
    <row r="14133" spans="9:9" x14ac:dyDescent="0.2">
      <c r="I14133" s="137" t="s">
        <v>74</v>
      </c>
    </row>
    <row r="14134" spans="9:9" x14ac:dyDescent="0.2">
      <c r="I14134" s="137" t="s">
        <v>74</v>
      </c>
    </row>
    <row r="14135" spans="9:9" x14ac:dyDescent="0.2">
      <c r="I14135" s="137" t="s">
        <v>74</v>
      </c>
    </row>
    <row r="14136" spans="9:9" x14ac:dyDescent="0.2">
      <c r="I14136" s="137" t="s">
        <v>74</v>
      </c>
    </row>
    <row r="14137" spans="9:9" x14ac:dyDescent="0.2">
      <c r="I14137" s="137" t="s">
        <v>74</v>
      </c>
    </row>
    <row r="14138" spans="9:9" x14ac:dyDescent="0.2">
      <c r="I14138" s="137" t="s">
        <v>74</v>
      </c>
    </row>
    <row r="14139" spans="9:9" x14ac:dyDescent="0.2">
      <c r="I14139" s="137" t="s">
        <v>74</v>
      </c>
    </row>
    <row r="14140" spans="9:9" x14ac:dyDescent="0.2">
      <c r="I14140" s="137" t="s">
        <v>74</v>
      </c>
    </row>
    <row r="14141" spans="9:9" x14ac:dyDescent="0.2">
      <c r="I14141" s="137" t="s">
        <v>74</v>
      </c>
    </row>
    <row r="14142" spans="9:9" x14ac:dyDescent="0.2">
      <c r="I14142" s="137" t="s">
        <v>74</v>
      </c>
    </row>
    <row r="14143" spans="9:9" x14ac:dyDescent="0.2">
      <c r="I14143" s="137" t="s">
        <v>74</v>
      </c>
    </row>
    <row r="14144" spans="9:9" x14ac:dyDescent="0.2">
      <c r="I14144" s="137" t="s">
        <v>74</v>
      </c>
    </row>
    <row r="14145" spans="9:9" x14ac:dyDescent="0.2">
      <c r="I14145" s="137" t="s">
        <v>74</v>
      </c>
    </row>
    <row r="14146" spans="9:9" x14ac:dyDescent="0.2">
      <c r="I14146" s="137" t="s">
        <v>74</v>
      </c>
    </row>
    <row r="14147" spans="9:9" x14ac:dyDescent="0.2">
      <c r="I14147" s="137" t="s">
        <v>74</v>
      </c>
    </row>
    <row r="14148" spans="9:9" x14ac:dyDescent="0.2">
      <c r="I14148" s="137" t="s">
        <v>74</v>
      </c>
    </row>
    <row r="14149" spans="9:9" x14ac:dyDescent="0.2">
      <c r="I14149" s="137" t="s">
        <v>74</v>
      </c>
    </row>
    <row r="14150" spans="9:9" x14ac:dyDescent="0.2">
      <c r="I14150" s="137" t="s">
        <v>74</v>
      </c>
    </row>
    <row r="14151" spans="9:9" x14ac:dyDescent="0.2">
      <c r="I14151" s="137" t="s">
        <v>74</v>
      </c>
    </row>
    <row r="14152" spans="9:9" x14ac:dyDescent="0.2">
      <c r="I14152" s="137" t="s">
        <v>74</v>
      </c>
    </row>
    <row r="14153" spans="9:9" x14ac:dyDescent="0.2">
      <c r="I14153" s="137" t="s">
        <v>74</v>
      </c>
    </row>
    <row r="14154" spans="9:9" x14ac:dyDescent="0.2">
      <c r="I14154" s="137" t="s">
        <v>74</v>
      </c>
    </row>
    <row r="14155" spans="9:9" x14ac:dyDescent="0.2">
      <c r="I14155" s="137" t="s">
        <v>74</v>
      </c>
    </row>
    <row r="14156" spans="9:9" x14ac:dyDescent="0.2">
      <c r="I14156" s="137" t="s">
        <v>74</v>
      </c>
    </row>
    <row r="14157" spans="9:9" x14ac:dyDescent="0.2">
      <c r="I14157" s="137" t="s">
        <v>74</v>
      </c>
    </row>
    <row r="14158" spans="9:9" x14ac:dyDescent="0.2">
      <c r="I14158" s="137" t="s">
        <v>74</v>
      </c>
    </row>
    <row r="14159" spans="9:9" x14ac:dyDescent="0.2">
      <c r="I14159" s="137" t="s">
        <v>74</v>
      </c>
    </row>
    <row r="14160" spans="9:9" x14ac:dyDescent="0.2">
      <c r="I14160" s="137" t="s">
        <v>74</v>
      </c>
    </row>
    <row r="14161" spans="9:9" x14ac:dyDescent="0.2">
      <c r="I14161" s="137" t="s">
        <v>74</v>
      </c>
    </row>
    <row r="14162" spans="9:9" x14ac:dyDescent="0.2">
      <c r="I14162" s="137" t="s">
        <v>74</v>
      </c>
    </row>
    <row r="14163" spans="9:9" x14ac:dyDescent="0.2">
      <c r="I14163" s="137" t="s">
        <v>74</v>
      </c>
    </row>
    <row r="14164" spans="9:9" x14ac:dyDescent="0.2">
      <c r="I14164" s="137" t="s">
        <v>74</v>
      </c>
    </row>
    <row r="14165" spans="9:9" x14ac:dyDescent="0.2">
      <c r="I14165" s="137" t="s">
        <v>74</v>
      </c>
    </row>
    <row r="14166" spans="9:9" x14ac:dyDescent="0.2">
      <c r="I14166" s="137" t="s">
        <v>74</v>
      </c>
    </row>
    <row r="14167" spans="9:9" x14ac:dyDescent="0.2">
      <c r="I14167" s="137" t="s">
        <v>74</v>
      </c>
    </row>
    <row r="14168" spans="9:9" x14ac:dyDescent="0.2">
      <c r="I14168" s="137" t="s">
        <v>74</v>
      </c>
    </row>
    <row r="14169" spans="9:9" x14ac:dyDescent="0.2">
      <c r="I14169" s="137" t="s">
        <v>74</v>
      </c>
    </row>
    <row r="14170" spans="9:9" x14ac:dyDescent="0.2">
      <c r="I14170" s="137" t="s">
        <v>74</v>
      </c>
    </row>
    <row r="14171" spans="9:9" x14ac:dyDescent="0.2">
      <c r="I14171" s="137" t="s">
        <v>74</v>
      </c>
    </row>
    <row r="14172" spans="9:9" x14ac:dyDescent="0.2">
      <c r="I14172" s="137" t="s">
        <v>74</v>
      </c>
    </row>
    <row r="14173" spans="9:9" x14ac:dyDescent="0.2">
      <c r="I14173" s="137" t="s">
        <v>74</v>
      </c>
    </row>
    <row r="14174" spans="9:9" x14ac:dyDescent="0.2">
      <c r="I14174" s="137" t="s">
        <v>74</v>
      </c>
    </row>
    <row r="14175" spans="9:9" x14ac:dyDescent="0.2">
      <c r="I14175" s="137" t="s">
        <v>74</v>
      </c>
    </row>
    <row r="14176" spans="9:9" x14ac:dyDescent="0.2">
      <c r="I14176" s="137" t="s">
        <v>74</v>
      </c>
    </row>
    <row r="14177" spans="9:9" x14ac:dyDescent="0.2">
      <c r="I14177" s="137" t="s">
        <v>74</v>
      </c>
    </row>
    <row r="14178" spans="9:9" x14ac:dyDescent="0.2">
      <c r="I14178" s="137" t="s">
        <v>74</v>
      </c>
    </row>
    <row r="14179" spans="9:9" x14ac:dyDescent="0.2">
      <c r="I14179" s="137" t="s">
        <v>74</v>
      </c>
    </row>
    <row r="14180" spans="9:9" x14ac:dyDescent="0.2">
      <c r="I14180" s="137" t="s">
        <v>74</v>
      </c>
    </row>
    <row r="14181" spans="9:9" x14ac:dyDescent="0.2">
      <c r="I14181" s="137" t="s">
        <v>74</v>
      </c>
    </row>
    <row r="14182" spans="9:9" x14ac:dyDescent="0.2">
      <c r="I14182" s="137" t="s">
        <v>74</v>
      </c>
    </row>
    <row r="14183" spans="9:9" x14ac:dyDescent="0.2">
      <c r="I14183" s="137" t="s">
        <v>74</v>
      </c>
    </row>
    <row r="14184" spans="9:9" x14ac:dyDescent="0.2">
      <c r="I14184" s="137" t="s">
        <v>74</v>
      </c>
    </row>
    <row r="14185" spans="9:9" x14ac:dyDescent="0.2">
      <c r="I14185" s="137" t="s">
        <v>74</v>
      </c>
    </row>
    <row r="14186" spans="9:9" x14ac:dyDescent="0.2">
      <c r="I14186" s="137" t="s">
        <v>74</v>
      </c>
    </row>
    <row r="14187" spans="9:9" x14ac:dyDescent="0.2">
      <c r="I14187" s="137" t="s">
        <v>74</v>
      </c>
    </row>
    <row r="14188" spans="9:9" x14ac:dyDescent="0.2">
      <c r="I14188" s="137" t="s">
        <v>74</v>
      </c>
    </row>
    <row r="14189" spans="9:9" x14ac:dyDescent="0.2">
      <c r="I14189" s="137" t="s">
        <v>74</v>
      </c>
    </row>
    <row r="14190" spans="9:9" x14ac:dyDescent="0.2">
      <c r="I14190" s="137" t="s">
        <v>74</v>
      </c>
    </row>
    <row r="14191" spans="9:9" x14ac:dyDescent="0.2">
      <c r="I14191" s="137" t="s">
        <v>74</v>
      </c>
    </row>
    <row r="14192" spans="9:9" x14ac:dyDescent="0.2">
      <c r="I14192" s="137" t="s">
        <v>74</v>
      </c>
    </row>
    <row r="14193" spans="9:9" x14ac:dyDescent="0.2">
      <c r="I14193" s="137" t="s">
        <v>74</v>
      </c>
    </row>
    <row r="14194" spans="9:9" x14ac:dyDescent="0.2">
      <c r="I14194" s="137" t="s">
        <v>74</v>
      </c>
    </row>
    <row r="14195" spans="9:9" x14ac:dyDescent="0.2">
      <c r="I14195" s="137" t="s">
        <v>74</v>
      </c>
    </row>
    <row r="14196" spans="9:9" x14ac:dyDescent="0.2">
      <c r="I14196" s="137" t="s">
        <v>74</v>
      </c>
    </row>
    <row r="14197" spans="9:9" x14ac:dyDescent="0.2">
      <c r="I14197" s="137" t="s">
        <v>74</v>
      </c>
    </row>
    <row r="14198" spans="9:9" x14ac:dyDescent="0.2">
      <c r="I14198" s="137" t="s">
        <v>74</v>
      </c>
    </row>
    <row r="14199" spans="9:9" x14ac:dyDescent="0.2">
      <c r="I14199" s="137" t="s">
        <v>74</v>
      </c>
    </row>
    <row r="14200" spans="9:9" x14ac:dyDescent="0.2">
      <c r="I14200" s="137" t="s">
        <v>74</v>
      </c>
    </row>
    <row r="14201" spans="9:9" x14ac:dyDescent="0.2">
      <c r="I14201" s="137" t="s">
        <v>74</v>
      </c>
    </row>
    <row r="14202" spans="9:9" x14ac:dyDescent="0.2">
      <c r="I14202" s="137" t="s">
        <v>74</v>
      </c>
    </row>
    <row r="14203" spans="9:9" x14ac:dyDescent="0.2">
      <c r="I14203" s="137" t="s">
        <v>74</v>
      </c>
    </row>
    <row r="14204" spans="9:9" x14ac:dyDescent="0.2">
      <c r="I14204" s="137" t="s">
        <v>74</v>
      </c>
    </row>
    <row r="14205" spans="9:9" x14ac:dyDescent="0.2">
      <c r="I14205" s="137" t="s">
        <v>74</v>
      </c>
    </row>
    <row r="14206" spans="9:9" x14ac:dyDescent="0.2">
      <c r="I14206" s="137" t="s">
        <v>74</v>
      </c>
    </row>
    <row r="14207" spans="9:9" x14ac:dyDescent="0.2">
      <c r="I14207" s="137" t="s">
        <v>74</v>
      </c>
    </row>
    <row r="14208" spans="9:9" x14ac:dyDescent="0.2">
      <c r="I14208" s="137" t="s">
        <v>74</v>
      </c>
    </row>
    <row r="14209" spans="9:9" x14ac:dyDescent="0.2">
      <c r="I14209" s="137" t="s">
        <v>74</v>
      </c>
    </row>
    <row r="14210" spans="9:9" x14ac:dyDescent="0.2">
      <c r="I14210" s="137" t="s">
        <v>74</v>
      </c>
    </row>
    <row r="14211" spans="9:9" x14ac:dyDescent="0.2">
      <c r="I14211" s="137" t="s">
        <v>74</v>
      </c>
    </row>
    <row r="14212" spans="9:9" x14ac:dyDescent="0.2">
      <c r="I14212" s="137" t="s">
        <v>74</v>
      </c>
    </row>
    <row r="14213" spans="9:9" x14ac:dyDescent="0.2">
      <c r="I14213" s="137" t="s">
        <v>74</v>
      </c>
    </row>
    <row r="14214" spans="9:9" x14ac:dyDescent="0.2">
      <c r="I14214" s="137" t="s">
        <v>74</v>
      </c>
    </row>
    <row r="14215" spans="9:9" x14ac:dyDescent="0.2">
      <c r="I14215" s="137" t="s">
        <v>74</v>
      </c>
    </row>
    <row r="14216" spans="9:9" x14ac:dyDescent="0.2">
      <c r="I14216" s="137" t="s">
        <v>74</v>
      </c>
    </row>
    <row r="14217" spans="9:9" x14ac:dyDescent="0.2">
      <c r="I14217" s="137" t="s">
        <v>74</v>
      </c>
    </row>
    <row r="14218" spans="9:9" x14ac:dyDescent="0.2">
      <c r="I14218" s="137" t="s">
        <v>74</v>
      </c>
    </row>
    <row r="14219" spans="9:9" x14ac:dyDescent="0.2">
      <c r="I14219" s="137" t="s">
        <v>74</v>
      </c>
    </row>
    <row r="14220" spans="9:9" x14ac:dyDescent="0.2">
      <c r="I14220" s="137" t="s">
        <v>74</v>
      </c>
    </row>
    <row r="14221" spans="9:9" x14ac:dyDescent="0.2">
      <c r="I14221" s="137" t="s">
        <v>74</v>
      </c>
    </row>
    <row r="14222" spans="9:9" x14ac:dyDescent="0.2">
      <c r="I14222" s="137" t="s">
        <v>74</v>
      </c>
    </row>
    <row r="14223" spans="9:9" x14ac:dyDescent="0.2">
      <c r="I14223" s="137" t="s">
        <v>74</v>
      </c>
    </row>
    <row r="14224" spans="9:9" x14ac:dyDescent="0.2">
      <c r="I14224" s="137" t="s">
        <v>74</v>
      </c>
    </row>
    <row r="14225" spans="9:9" x14ac:dyDescent="0.2">
      <c r="I14225" s="137" t="s">
        <v>74</v>
      </c>
    </row>
    <row r="14226" spans="9:9" x14ac:dyDescent="0.2">
      <c r="I14226" s="137" t="s">
        <v>74</v>
      </c>
    </row>
    <row r="14227" spans="9:9" x14ac:dyDescent="0.2">
      <c r="I14227" s="137" t="s">
        <v>74</v>
      </c>
    </row>
    <row r="14228" spans="9:9" x14ac:dyDescent="0.2">
      <c r="I14228" s="137" t="s">
        <v>74</v>
      </c>
    </row>
    <row r="14229" spans="9:9" x14ac:dyDescent="0.2">
      <c r="I14229" s="137" t="s">
        <v>74</v>
      </c>
    </row>
    <row r="14230" spans="9:9" x14ac:dyDescent="0.2">
      <c r="I14230" s="137" t="s">
        <v>74</v>
      </c>
    </row>
    <row r="14231" spans="9:9" x14ac:dyDescent="0.2">
      <c r="I14231" s="137" t="s">
        <v>74</v>
      </c>
    </row>
    <row r="14232" spans="9:9" x14ac:dyDescent="0.2">
      <c r="I14232" s="137" t="s">
        <v>74</v>
      </c>
    </row>
    <row r="14233" spans="9:9" x14ac:dyDescent="0.2">
      <c r="I14233" s="137" t="s">
        <v>74</v>
      </c>
    </row>
    <row r="14234" spans="9:9" x14ac:dyDescent="0.2">
      <c r="I14234" s="137" t="s">
        <v>74</v>
      </c>
    </row>
    <row r="14235" spans="9:9" x14ac:dyDescent="0.2">
      <c r="I14235" s="137" t="s">
        <v>74</v>
      </c>
    </row>
    <row r="14236" spans="9:9" x14ac:dyDescent="0.2">
      <c r="I14236" s="137" t="s">
        <v>74</v>
      </c>
    </row>
    <row r="14237" spans="9:9" x14ac:dyDescent="0.2">
      <c r="I14237" s="137" t="s">
        <v>74</v>
      </c>
    </row>
    <row r="14238" spans="9:9" x14ac:dyDescent="0.2">
      <c r="I14238" s="137" t="s">
        <v>74</v>
      </c>
    </row>
    <row r="14239" spans="9:9" x14ac:dyDescent="0.2">
      <c r="I14239" s="137" t="s">
        <v>74</v>
      </c>
    </row>
    <row r="14240" spans="9:9" x14ac:dyDescent="0.2">
      <c r="I14240" s="137" t="s">
        <v>74</v>
      </c>
    </row>
    <row r="14241" spans="9:9" x14ac:dyDescent="0.2">
      <c r="I14241" s="137" t="s">
        <v>74</v>
      </c>
    </row>
    <row r="14242" spans="9:9" x14ac:dyDescent="0.2">
      <c r="I14242" s="137" t="s">
        <v>74</v>
      </c>
    </row>
    <row r="14243" spans="9:9" x14ac:dyDescent="0.2">
      <c r="I14243" s="137" t="s">
        <v>74</v>
      </c>
    </row>
    <row r="14244" spans="9:9" x14ac:dyDescent="0.2">
      <c r="I14244" s="137" t="s">
        <v>74</v>
      </c>
    </row>
    <row r="14245" spans="9:9" x14ac:dyDescent="0.2">
      <c r="I14245" s="137" t="s">
        <v>74</v>
      </c>
    </row>
    <row r="14246" spans="9:9" x14ac:dyDescent="0.2">
      <c r="I14246" s="137" t="s">
        <v>74</v>
      </c>
    </row>
    <row r="14247" spans="9:9" x14ac:dyDescent="0.2">
      <c r="I14247" s="137" t="s">
        <v>74</v>
      </c>
    </row>
    <row r="14248" spans="9:9" x14ac:dyDescent="0.2">
      <c r="I14248" s="137" t="s">
        <v>74</v>
      </c>
    </row>
    <row r="14249" spans="9:9" x14ac:dyDescent="0.2">
      <c r="I14249" s="137" t="s">
        <v>74</v>
      </c>
    </row>
    <row r="14250" spans="9:9" x14ac:dyDescent="0.2">
      <c r="I14250" s="137" t="s">
        <v>74</v>
      </c>
    </row>
    <row r="14251" spans="9:9" x14ac:dyDescent="0.2">
      <c r="I14251" s="137" t="s">
        <v>74</v>
      </c>
    </row>
    <row r="14252" spans="9:9" x14ac:dyDescent="0.2">
      <c r="I14252" s="137" t="s">
        <v>74</v>
      </c>
    </row>
    <row r="14253" spans="9:9" x14ac:dyDescent="0.2">
      <c r="I14253" s="137" t="s">
        <v>74</v>
      </c>
    </row>
    <row r="14254" spans="9:9" x14ac:dyDescent="0.2">
      <c r="I14254" s="137" t="s">
        <v>74</v>
      </c>
    </row>
    <row r="14255" spans="9:9" x14ac:dyDescent="0.2">
      <c r="I14255" s="137" t="s">
        <v>74</v>
      </c>
    </row>
    <row r="14256" spans="9:9" x14ac:dyDescent="0.2">
      <c r="I14256" s="137" t="s">
        <v>74</v>
      </c>
    </row>
    <row r="14257" spans="9:9" x14ac:dyDescent="0.2">
      <c r="I14257" s="137" t="s">
        <v>74</v>
      </c>
    </row>
    <row r="14258" spans="9:9" x14ac:dyDescent="0.2">
      <c r="I14258" s="137" t="s">
        <v>74</v>
      </c>
    </row>
    <row r="14259" spans="9:9" x14ac:dyDescent="0.2">
      <c r="I14259" s="137" t="s">
        <v>74</v>
      </c>
    </row>
    <row r="14260" spans="9:9" x14ac:dyDescent="0.2">
      <c r="I14260" s="137" t="s">
        <v>74</v>
      </c>
    </row>
    <row r="14261" spans="9:9" x14ac:dyDescent="0.2">
      <c r="I14261" s="137" t="s">
        <v>74</v>
      </c>
    </row>
    <row r="14262" spans="9:9" x14ac:dyDescent="0.2">
      <c r="I14262" s="137" t="s">
        <v>74</v>
      </c>
    </row>
    <row r="14263" spans="9:9" x14ac:dyDescent="0.2">
      <c r="I14263" s="137" t="s">
        <v>74</v>
      </c>
    </row>
    <row r="14264" spans="9:9" x14ac:dyDescent="0.2">
      <c r="I14264" s="137" t="s">
        <v>74</v>
      </c>
    </row>
    <row r="14265" spans="9:9" x14ac:dyDescent="0.2">
      <c r="I14265" s="137" t="s">
        <v>74</v>
      </c>
    </row>
    <row r="14266" spans="9:9" x14ac:dyDescent="0.2">
      <c r="I14266" s="137" t="s">
        <v>74</v>
      </c>
    </row>
    <row r="14267" spans="9:9" x14ac:dyDescent="0.2">
      <c r="I14267" s="137" t="s">
        <v>74</v>
      </c>
    </row>
    <row r="14268" spans="9:9" x14ac:dyDescent="0.2">
      <c r="I14268" s="137" t="s">
        <v>74</v>
      </c>
    </row>
    <row r="14269" spans="9:9" x14ac:dyDescent="0.2">
      <c r="I14269" s="137" t="s">
        <v>74</v>
      </c>
    </row>
    <row r="14270" spans="9:9" x14ac:dyDescent="0.2">
      <c r="I14270" s="137" t="s">
        <v>74</v>
      </c>
    </row>
    <row r="14271" spans="9:9" x14ac:dyDescent="0.2">
      <c r="I14271" s="137" t="s">
        <v>74</v>
      </c>
    </row>
    <row r="14272" spans="9:9" x14ac:dyDescent="0.2">
      <c r="I14272" s="137" t="s">
        <v>74</v>
      </c>
    </row>
    <row r="14273" spans="9:9" x14ac:dyDescent="0.2">
      <c r="I14273" s="137" t="s">
        <v>74</v>
      </c>
    </row>
    <row r="14274" spans="9:9" x14ac:dyDescent="0.2">
      <c r="I14274" s="137" t="s">
        <v>74</v>
      </c>
    </row>
    <row r="14275" spans="9:9" x14ac:dyDescent="0.2">
      <c r="I14275" s="137" t="s">
        <v>74</v>
      </c>
    </row>
    <row r="14276" spans="9:9" x14ac:dyDescent="0.2">
      <c r="I14276" s="137" t="s">
        <v>74</v>
      </c>
    </row>
    <row r="14277" spans="9:9" x14ac:dyDescent="0.2">
      <c r="I14277" s="137" t="s">
        <v>74</v>
      </c>
    </row>
    <row r="14278" spans="9:9" x14ac:dyDescent="0.2">
      <c r="I14278" s="137" t="s">
        <v>74</v>
      </c>
    </row>
    <row r="14279" spans="9:9" x14ac:dyDescent="0.2">
      <c r="I14279" s="137" t="s">
        <v>74</v>
      </c>
    </row>
    <row r="14280" spans="9:9" x14ac:dyDescent="0.2">
      <c r="I14280" s="137" t="s">
        <v>74</v>
      </c>
    </row>
    <row r="14281" spans="9:9" x14ac:dyDescent="0.2">
      <c r="I14281" s="137" t="s">
        <v>74</v>
      </c>
    </row>
    <row r="14282" spans="9:9" x14ac:dyDescent="0.2">
      <c r="I14282" s="137" t="s">
        <v>74</v>
      </c>
    </row>
    <row r="14283" spans="9:9" x14ac:dyDescent="0.2">
      <c r="I14283" s="137" t="s">
        <v>74</v>
      </c>
    </row>
    <row r="14284" spans="9:9" x14ac:dyDescent="0.2">
      <c r="I14284" s="137" t="s">
        <v>74</v>
      </c>
    </row>
    <row r="14285" spans="9:9" x14ac:dyDescent="0.2">
      <c r="I14285" s="137" t="s">
        <v>74</v>
      </c>
    </row>
    <row r="14286" spans="9:9" x14ac:dyDescent="0.2">
      <c r="I14286" s="137" t="s">
        <v>74</v>
      </c>
    </row>
    <row r="14287" spans="9:9" x14ac:dyDescent="0.2">
      <c r="I14287" s="137" t="s">
        <v>74</v>
      </c>
    </row>
    <row r="14288" spans="9:9" x14ac:dyDescent="0.2">
      <c r="I14288" s="137" t="s">
        <v>74</v>
      </c>
    </row>
    <row r="14289" spans="9:9" x14ac:dyDescent="0.2">
      <c r="I14289" s="137" t="s">
        <v>74</v>
      </c>
    </row>
    <row r="14290" spans="9:9" x14ac:dyDescent="0.2">
      <c r="I14290" s="137" t="s">
        <v>74</v>
      </c>
    </row>
    <row r="14291" spans="9:9" x14ac:dyDescent="0.2">
      <c r="I14291" s="137" t="s">
        <v>74</v>
      </c>
    </row>
    <row r="14292" spans="9:9" x14ac:dyDescent="0.2">
      <c r="I14292" s="137" t="s">
        <v>74</v>
      </c>
    </row>
    <row r="14293" spans="9:9" x14ac:dyDescent="0.2">
      <c r="I14293" s="137" t="s">
        <v>74</v>
      </c>
    </row>
    <row r="14294" spans="9:9" x14ac:dyDescent="0.2">
      <c r="I14294" s="137" t="s">
        <v>74</v>
      </c>
    </row>
    <row r="14295" spans="9:9" x14ac:dyDescent="0.2">
      <c r="I14295" s="137" t="s">
        <v>74</v>
      </c>
    </row>
    <row r="14296" spans="9:9" x14ac:dyDescent="0.2">
      <c r="I14296" s="137" t="s">
        <v>74</v>
      </c>
    </row>
    <row r="14297" spans="9:9" x14ac:dyDescent="0.2">
      <c r="I14297" s="137" t="s">
        <v>74</v>
      </c>
    </row>
    <row r="14298" spans="9:9" x14ac:dyDescent="0.2">
      <c r="I14298" s="137" t="s">
        <v>74</v>
      </c>
    </row>
    <row r="14299" spans="9:9" x14ac:dyDescent="0.2">
      <c r="I14299" s="137" t="s">
        <v>74</v>
      </c>
    </row>
    <row r="14300" spans="9:9" x14ac:dyDescent="0.2">
      <c r="I14300" s="137" t="s">
        <v>74</v>
      </c>
    </row>
    <row r="14301" spans="9:9" x14ac:dyDescent="0.2">
      <c r="I14301" s="137" t="s">
        <v>74</v>
      </c>
    </row>
    <row r="14302" spans="9:9" x14ac:dyDescent="0.2">
      <c r="I14302" s="137" t="s">
        <v>74</v>
      </c>
    </row>
    <row r="14303" spans="9:9" x14ac:dyDescent="0.2">
      <c r="I14303" s="137" t="s">
        <v>74</v>
      </c>
    </row>
    <row r="14304" spans="9:9" x14ac:dyDescent="0.2">
      <c r="I14304" s="137" t="s">
        <v>74</v>
      </c>
    </row>
    <row r="14305" spans="9:9" x14ac:dyDescent="0.2">
      <c r="I14305" s="137" t="s">
        <v>74</v>
      </c>
    </row>
    <row r="14306" spans="9:9" x14ac:dyDescent="0.2">
      <c r="I14306" s="137" t="s">
        <v>74</v>
      </c>
    </row>
    <row r="14307" spans="9:9" x14ac:dyDescent="0.2">
      <c r="I14307" s="137" t="s">
        <v>74</v>
      </c>
    </row>
    <row r="14308" spans="9:9" x14ac:dyDescent="0.2">
      <c r="I14308" s="137" t="s">
        <v>74</v>
      </c>
    </row>
    <row r="14309" spans="9:9" x14ac:dyDescent="0.2">
      <c r="I14309" s="137" t="s">
        <v>74</v>
      </c>
    </row>
    <row r="14310" spans="9:9" x14ac:dyDescent="0.2">
      <c r="I14310" s="137" t="s">
        <v>74</v>
      </c>
    </row>
    <row r="14311" spans="9:9" x14ac:dyDescent="0.2">
      <c r="I14311" s="137" t="s">
        <v>74</v>
      </c>
    </row>
    <row r="14312" spans="9:9" x14ac:dyDescent="0.2">
      <c r="I14312" s="137" t="s">
        <v>74</v>
      </c>
    </row>
    <row r="14313" spans="9:9" x14ac:dyDescent="0.2">
      <c r="I14313" s="137" t="s">
        <v>74</v>
      </c>
    </row>
    <row r="14314" spans="9:9" x14ac:dyDescent="0.2">
      <c r="I14314" s="137" t="s">
        <v>74</v>
      </c>
    </row>
    <row r="14315" spans="9:9" x14ac:dyDescent="0.2">
      <c r="I14315" s="137" t="s">
        <v>74</v>
      </c>
    </row>
    <row r="14316" spans="9:9" x14ac:dyDescent="0.2">
      <c r="I14316" s="137" t="s">
        <v>74</v>
      </c>
    </row>
    <row r="14317" spans="9:9" x14ac:dyDescent="0.2">
      <c r="I14317" s="137" t="s">
        <v>74</v>
      </c>
    </row>
    <row r="14318" spans="9:9" x14ac:dyDescent="0.2">
      <c r="I14318" s="137" t="s">
        <v>74</v>
      </c>
    </row>
    <row r="14319" spans="9:9" x14ac:dyDescent="0.2">
      <c r="I14319" s="137" t="s">
        <v>74</v>
      </c>
    </row>
    <row r="14320" spans="9:9" x14ac:dyDescent="0.2">
      <c r="I14320" s="137" t="s">
        <v>74</v>
      </c>
    </row>
    <row r="14321" spans="9:9" x14ac:dyDescent="0.2">
      <c r="I14321" s="137" t="s">
        <v>74</v>
      </c>
    </row>
    <row r="14322" spans="9:9" x14ac:dyDescent="0.2">
      <c r="I14322" s="137" t="s">
        <v>74</v>
      </c>
    </row>
    <row r="14323" spans="9:9" x14ac:dyDescent="0.2">
      <c r="I14323" s="137" t="s">
        <v>74</v>
      </c>
    </row>
    <row r="14324" spans="9:9" x14ac:dyDescent="0.2">
      <c r="I14324" s="137" t="s">
        <v>74</v>
      </c>
    </row>
    <row r="14325" spans="9:9" x14ac:dyDescent="0.2">
      <c r="I14325" s="137" t="s">
        <v>74</v>
      </c>
    </row>
    <row r="14326" spans="9:9" x14ac:dyDescent="0.2">
      <c r="I14326" s="137" t="s">
        <v>74</v>
      </c>
    </row>
    <row r="14327" spans="9:9" x14ac:dyDescent="0.2">
      <c r="I14327" s="137" t="s">
        <v>74</v>
      </c>
    </row>
    <row r="14328" spans="9:9" x14ac:dyDescent="0.2">
      <c r="I14328" s="137" t="s">
        <v>74</v>
      </c>
    </row>
    <row r="14329" spans="9:9" x14ac:dyDescent="0.2">
      <c r="I14329" s="137" t="s">
        <v>74</v>
      </c>
    </row>
    <row r="14330" spans="9:9" x14ac:dyDescent="0.2">
      <c r="I14330" s="137" t="s">
        <v>74</v>
      </c>
    </row>
    <row r="14331" spans="9:9" x14ac:dyDescent="0.2">
      <c r="I14331" s="137" t="s">
        <v>74</v>
      </c>
    </row>
    <row r="14332" spans="9:9" x14ac:dyDescent="0.2">
      <c r="I14332" s="137" t="s">
        <v>74</v>
      </c>
    </row>
    <row r="14333" spans="9:9" x14ac:dyDescent="0.2">
      <c r="I14333" s="137" t="s">
        <v>74</v>
      </c>
    </row>
    <row r="14334" spans="9:9" x14ac:dyDescent="0.2">
      <c r="I14334" s="137" t="s">
        <v>74</v>
      </c>
    </row>
    <row r="14335" spans="9:9" x14ac:dyDescent="0.2">
      <c r="I14335" s="137" t="s">
        <v>74</v>
      </c>
    </row>
    <row r="14336" spans="9:9" x14ac:dyDescent="0.2">
      <c r="I14336" s="137" t="s">
        <v>74</v>
      </c>
    </row>
    <row r="14337" spans="9:9" x14ac:dyDescent="0.2">
      <c r="I14337" s="137" t="s">
        <v>74</v>
      </c>
    </row>
    <row r="14338" spans="9:9" x14ac:dyDescent="0.2">
      <c r="I14338" s="137" t="s">
        <v>74</v>
      </c>
    </row>
    <row r="14339" spans="9:9" x14ac:dyDescent="0.2">
      <c r="I14339" s="137" t="s">
        <v>74</v>
      </c>
    </row>
    <row r="14340" spans="9:9" x14ac:dyDescent="0.2">
      <c r="I14340" s="137" t="s">
        <v>74</v>
      </c>
    </row>
    <row r="14341" spans="9:9" x14ac:dyDescent="0.2">
      <c r="I14341" s="137" t="s">
        <v>74</v>
      </c>
    </row>
    <row r="14342" spans="9:9" x14ac:dyDescent="0.2">
      <c r="I14342" s="137" t="s">
        <v>74</v>
      </c>
    </row>
    <row r="14343" spans="9:9" x14ac:dyDescent="0.2">
      <c r="I14343" s="137" t="s">
        <v>74</v>
      </c>
    </row>
    <row r="14344" spans="9:9" x14ac:dyDescent="0.2">
      <c r="I14344" s="137" t="s">
        <v>74</v>
      </c>
    </row>
    <row r="14345" spans="9:9" x14ac:dyDescent="0.2">
      <c r="I14345" s="137" t="s">
        <v>74</v>
      </c>
    </row>
    <row r="14346" spans="9:9" x14ac:dyDescent="0.2">
      <c r="I14346" s="137" t="s">
        <v>74</v>
      </c>
    </row>
    <row r="14347" spans="9:9" x14ac:dyDescent="0.2">
      <c r="I14347" s="137" t="s">
        <v>74</v>
      </c>
    </row>
    <row r="14348" spans="9:9" x14ac:dyDescent="0.2">
      <c r="I14348" s="137" t="s">
        <v>74</v>
      </c>
    </row>
    <row r="14349" spans="9:9" x14ac:dyDescent="0.2">
      <c r="I14349" s="137" t="s">
        <v>74</v>
      </c>
    </row>
    <row r="14350" spans="9:9" x14ac:dyDescent="0.2">
      <c r="I14350" s="137" t="s">
        <v>74</v>
      </c>
    </row>
    <row r="14351" spans="9:9" x14ac:dyDescent="0.2">
      <c r="I14351" s="137" t="s">
        <v>74</v>
      </c>
    </row>
    <row r="14352" spans="9:9" x14ac:dyDescent="0.2">
      <c r="I14352" s="137" t="s">
        <v>74</v>
      </c>
    </row>
    <row r="14353" spans="9:9" x14ac:dyDescent="0.2">
      <c r="I14353" s="137" t="s">
        <v>74</v>
      </c>
    </row>
    <row r="14354" spans="9:9" x14ac:dyDescent="0.2">
      <c r="I14354" s="137" t="s">
        <v>74</v>
      </c>
    </row>
    <row r="14355" spans="9:9" x14ac:dyDescent="0.2">
      <c r="I14355" s="137" t="s">
        <v>74</v>
      </c>
    </row>
    <row r="14356" spans="9:9" x14ac:dyDescent="0.2">
      <c r="I14356" s="137" t="s">
        <v>74</v>
      </c>
    </row>
    <row r="14357" spans="9:9" x14ac:dyDescent="0.2">
      <c r="I14357" s="137" t="s">
        <v>74</v>
      </c>
    </row>
    <row r="14358" spans="9:9" x14ac:dyDescent="0.2">
      <c r="I14358" s="137" t="s">
        <v>74</v>
      </c>
    </row>
    <row r="14359" spans="9:9" x14ac:dyDescent="0.2">
      <c r="I14359" s="137" t="s">
        <v>74</v>
      </c>
    </row>
    <row r="14360" spans="9:9" x14ac:dyDescent="0.2">
      <c r="I14360" s="137" t="s">
        <v>74</v>
      </c>
    </row>
    <row r="14361" spans="9:9" x14ac:dyDescent="0.2">
      <c r="I14361" s="137" t="s">
        <v>74</v>
      </c>
    </row>
    <row r="14362" spans="9:9" x14ac:dyDescent="0.2">
      <c r="I14362" s="137" t="s">
        <v>74</v>
      </c>
    </row>
    <row r="14363" spans="9:9" x14ac:dyDescent="0.2">
      <c r="I14363" s="137" t="s">
        <v>74</v>
      </c>
    </row>
    <row r="14364" spans="9:9" x14ac:dyDescent="0.2">
      <c r="I14364" s="137" t="s">
        <v>74</v>
      </c>
    </row>
    <row r="14365" spans="9:9" x14ac:dyDescent="0.2">
      <c r="I14365" s="137" t="s">
        <v>74</v>
      </c>
    </row>
    <row r="14366" spans="9:9" x14ac:dyDescent="0.2">
      <c r="I14366" s="137" t="s">
        <v>74</v>
      </c>
    </row>
    <row r="14367" spans="9:9" x14ac:dyDescent="0.2">
      <c r="I14367" s="137" t="s">
        <v>74</v>
      </c>
    </row>
    <row r="14368" spans="9:9" x14ac:dyDescent="0.2">
      <c r="I14368" s="137" t="s">
        <v>74</v>
      </c>
    </row>
    <row r="14369" spans="9:9" x14ac:dyDescent="0.2">
      <c r="I14369" s="137" t="s">
        <v>74</v>
      </c>
    </row>
    <row r="14370" spans="9:9" x14ac:dyDescent="0.2">
      <c r="I14370" s="137" t="s">
        <v>74</v>
      </c>
    </row>
    <row r="14371" spans="9:9" x14ac:dyDescent="0.2">
      <c r="I14371" s="137" t="s">
        <v>74</v>
      </c>
    </row>
    <row r="14372" spans="9:9" x14ac:dyDescent="0.2">
      <c r="I14372" s="137" t="s">
        <v>74</v>
      </c>
    </row>
    <row r="14373" spans="9:9" x14ac:dyDescent="0.2">
      <c r="I14373" s="137" t="s">
        <v>74</v>
      </c>
    </row>
    <row r="14374" spans="9:9" x14ac:dyDescent="0.2">
      <c r="I14374" s="137" t="s">
        <v>74</v>
      </c>
    </row>
    <row r="14375" spans="9:9" x14ac:dyDescent="0.2">
      <c r="I14375" s="137" t="s">
        <v>74</v>
      </c>
    </row>
    <row r="14376" spans="9:9" x14ac:dyDescent="0.2">
      <c r="I14376" s="137" t="s">
        <v>74</v>
      </c>
    </row>
    <row r="14377" spans="9:9" x14ac:dyDescent="0.2">
      <c r="I14377" s="137" t="s">
        <v>74</v>
      </c>
    </row>
    <row r="14378" spans="9:9" x14ac:dyDescent="0.2">
      <c r="I14378" s="137" t="s">
        <v>74</v>
      </c>
    </row>
    <row r="14379" spans="9:9" x14ac:dyDescent="0.2">
      <c r="I14379" s="137" t="s">
        <v>74</v>
      </c>
    </row>
    <row r="14380" spans="9:9" x14ac:dyDescent="0.2">
      <c r="I14380" s="137" t="s">
        <v>74</v>
      </c>
    </row>
    <row r="14381" spans="9:9" x14ac:dyDescent="0.2">
      <c r="I14381" s="137" t="s">
        <v>74</v>
      </c>
    </row>
    <row r="14382" spans="9:9" x14ac:dyDescent="0.2">
      <c r="I14382" s="137" t="s">
        <v>74</v>
      </c>
    </row>
    <row r="14383" spans="9:9" x14ac:dyDescent="0.2">
      <c r="I14383" s="137" t="s">
        <v>74</v>
      </c>
    </row>
    <row r="14384" spans="9:9" x14ac:dyDescent="0.2">
      <c r="I14384" s="137" t="s">
        <v>74</v>
      </c>
    </row>
    <row r="14385" spans="9:9" x14ac:dyDescent="0.2">
      <c r="I14385" s="137" t="s">
        <v>74</v>
      </c>
    </row>
    <row r="14386" spans="9:9" x14ac:dyDescent="0.2">
      <c r="I14386" s="137" t="s">
        <v>74</v>
      </c>
    </row>
    <row r="14387" spans="9:9" x14ac:dyDescent="0.2">
      <c r="I14387" s="137" t="s">
        <v>74</v>
      </c>
    </row>
    <row r="14388" spans="9:9" x14ac:dyDescent="0.2">
      <c r="I14388" s="137" t="s">
        <v>74</v>
      </c>
    </row>
    <row r="14389" spans="9:9" x14ac:dyDescent="0.2">
      <c r="I14389" s="137" t="s">
        <v>74</v>
      </c>
    </row>
    <row r="14390" spans="9:9" x14ac:dyDescent="0.2">
      <c r="I14390" s="137" t="s">
        <v>74</v>
      </c>
    </row>
    <row r="14391" spans="9:9" x14ac:dyDescent="0.2">
      <c r="I14391" s="137" t="s">
        <v>74</v>
      </c>
    </row>
    <row r="14392" spans="9:9" x14ac:dyDescent="0.2">
      <c r="I14392" s="137" t="s">
        <v>74</v>
      </c>
    </row>
    <row r="14393" spans="9:9" x14ac:dyDescent="0.2">
      <c r="I14393" s="137" t="s">
        <v>74</v>
      </c>
    </row>
    <row r="14394" spans="9:9" x14ac:dyDescent="0.2">
      <c r="I14394" s="137" t="s">
        <v>74</v>
      </c>
    </row>
    <row r="14395" spans="9:9" x14ac:dyDescent="0.2">
      <c r="I14395" s="137" t="s">
        <v>74</v>
      </c>
    </row>
    <row r="14396" spans="9:9" x14ac:dyDescent="0.2">
      <c r="I14396" s="137" t="s">
        <v>74</v>
      </c>
    </row>
    <row r="14397" spans="9:9" x14ac:dyDescent="0.2">
      <c r="I14397" s="137" t="s">
        <v>74</v>
      </c>
    </row>
    <row r="14398" spans="9:9" x14ac:dyDescent="0.2">
      <c r="I14398" s="137" t="s">
        <v>74</v>
      </c>
    </row>
    <row r="14399" spans="9:9" x14ac:dyDescent="0.2">
      <c r="I14399" s="137" t="s">
        <v>74</v>
      </c>
    </row>
    <row r="14400" spans="9:9" x14ac:dyDescent="0.2">
      <c r="I14400" s="137" t="s">
        <v>74</v>
      </c>
    </row>
    <row r="14401" spans="9:9" x14ac:dyDescent="0.2">
      <c r="I14401" s="137" t="s">
        <v>74</v>
      </c>
    </row>
    <row r="14402" spans="9:9" x14ac:dyDescent="0.2">
      <c r="I14402" s="137" t="s">
        <v>74</v>
      </c>
    </row>
    <row r="14403" spans="9:9" x14ac:dyDescent="0.2">
      <c r="I14403" s="137" t="s">
        <v>74</v>
      </c>
    </row>
    <row r="14404" spans="9:9" x14ac:dyDescent="0.2">
      <c r="I14404" s="137" t="s">
        <v>74</v>
      </c>
    </row>
    <row r="14405" spans="9:9" x14ac:dyDescent="0.2">
      <c r="I14405" s="137" t="s">
        <v>74</v>
      </c>
    </row>
    <row r="14406" spans="9:9" x14ac:dyDescent="0.2">
      <c r="I14406" s="137" t="s">
        <v>74</v>
      </c>
    </row>
    <row r="14407" spans="9:9" x14ac:dyDescent="0.2">
      <c r="I14407" s="137" t="s">
        <v>74</v>
      </c>
    </row>
    <row r="14408" spans="9:9" x14ac:dyDescent="0.2">
      <c r="I14408" s="137" t="s">
        <v>74</v>
      </c>
    </row>
    <row r="14409" spans="9:9" x14ac:dyDescent="0.2">
      <c r="I14409" s="137" t="s">
        <v>74</v>
      </c>
    </row>
    <row r="14410" spans="9:9" x14ac:dyDescent="0.2">
      <c r="I14410" s="137" t="s">
        <v>74</v>
      </c>
    </row>
    <row r="14411" spans="9:9" x14ac:dyDescent="0.2">
      <c r="I14411" s="137" t="s">
        <v>74</v>
      </c>
    </row>
    <row r="14412" spans="9:9" x14ac:dyDescent="0.2">
      <c r="I14412" s="137" t="s">
        <v>74</v>
      </c>
    </row>
    <row r="14413" spans="9:9" x14ac:dyDescent="0.2">
      <c r="I14413" s="137" t="s">
        <v>74</v>
      </c>
    </row>
    <row r="14414" spans="9:9" x14ac:dyDescent="0.2">
      <c r="I14414" s="137" t="s">
        <v>74</v>
      </c>
    </row>
    <row r="14415" spans="9:9" x14ac:dyDescent="0.2">
      <c r="I14415" s="137" t="s">
        <v>74</v>
      </c>
    </row>
    <row r="14416" spans="9:9" x14ac:dyDescent="0.2">
      <c r="I14416" s="137" t="s">
        <v>74</v>
      </c>
    </row>
    <row r="14417" spans="9:9" x14ac:dyDescent="0.2">
      <c r="I14417" s="137" t="s">
        <v>74</v>
      </c>
    </row>
    <row r="14418" spans="9:9" x14ac:dyDescent="0.2">
      <c r="I14418" s="137" t="s">
        <v>74</v>
      </c>
    </row>
    <row r="14419" spans="9:9" x14ac:dyDescent="0.2">
      <c r="I14419" s="137" t="s">
        <v>74</v>
      </c>
    </row>
    <row r="14420" spans="9:9" x14ac:dyDescent="0.2">
      <c r="I14420" s="137" t="s">
        <v>74</v>
      </c>
    </row>
    <row r="14421" spans="9:9" x14ac:dyDescent="0.2">
      <c r="I14421" s="137" t="s">
        <v>74</v>
      </c>
    </row>
    <row r="14422" spans="9:9" x14ac:dyDescent="0.2">
      <c r="I14422" s="137" t="s">
        <v>74</v>
      </c>
    </row>
    <row r="14423" spans="9:9" x14ac:dyDescent="0.2">
      <c r="I14423" s="137" t="s">
        <v>74</v>
      </c>
    </row>
    <row r="14424" spans="9:9" x14ac:dyDescent="0.2">
      <c r="I14424" s="137" t="s">
        <v>74</v>
      </c>
    </row>
    <row r="14425" spans="9:9" x14ac:dyDescent="0.2">
      <c r="I14425" s="137" t="s">
        <v>74</v>
      </c>
    </row>
    <row r="14426" spans="9:9" x14ac:dyDescent="0.2">
      <c r="I14426" s="137" t="s">
        <v>74</v>
      </c>
    </row>
    <row r="14427" spans="9:9" x14ac:dyDescent="0.2">
      <c r="I14427" s="137" t="s">
        <v>74</v>
      </c>
    </row>
    <row r="14428" spans="9:9" x14ac:dyDescent="0.2">
      <c r="I14428" s="137" t="s">
        <v>74</v>
      </c>
    </row>
    <row r="14429" spans="9:9" x14ac:dyDescent="0.2">
      <c r="I14429" s="137" t="s">
        <v>74</v>
      </c>
    </row>
    <row r="14430" spans="9:9" x14ac:dyDescent="0.2">
      <c r="I14430" s="137" t="s">
        <v>74</v>
      </c>
    </row>
    <row r="14431" spans="9:9" x14ac:dyDescent="0.2">
      <c r="I14431" s="137" t="s">
        <v>74</v>
      </c>
    </row>
    <row r="14432" spans="9:9" x14ac:dyDescent="0.2">
      <c r="I14432" s="137" t="s">
        <v>74</v>
      </c>
    </row>
    <row r="14433" spans="9:9" x14ac:dyDescent="0.2">
      <c r="I14433" s="137" t="s">
        <v>74</v>
      </c>
    </row>
    <row r="14434" spans="9:9" x14ac:dyDescent="0.2">
      <c r="I14434" s="137" t="s">
        <v>74</v>
      </c>
    </row>
    <row r="14435" spans="9:9" x14ac:dyDescent="0.2">
      <c r="I14435" s="137" t="s">
        <v>74</v>
      </c>
    </row>
    <row r="14436" spans="9:9" x14ac:dyDescent="0.2">
      <c r="I14436" s="137" t="s">
        <v>74</v>
      </c>
    </row>
    <row r="14437" spans="9:9" x14ac:dyDescent="0.2">
      <c r="I14437" s="137" t="s">
        <v>74</v>
      </c>
    </row>
    <row r="14438" spans="9:9" x14ac:dyDescent="0.2">
      <c r="I14438" s="137" t="s">
        <v>74</v>
      </c>
    </row>
    <row r="14439" spans="9:9" x14ac:dyDescent="0.2">
      <c r="I14439" s="137" t="s">
        <v>74</v>
      </c>
    </row>
    <row r="14440" spans="9:9" x14ac:dyDescent="0.2">
      <c r="I14440" s="137" t="s">
        <v>74</v>
      </c>
    </row>
    <row r="14441" spans="9:9" x14ac:dyDescent="0.2">
      <c r="I14441" s="137" t="s">
        <v>74</v>
      </c>
    </row>
    <row r="14442" spans="9:9" x14ac:dyDescent="0.2">
      <c r="I14442" s="137" t="s">
        <v>74</v>
      </c>
    </row>
    <row r="14443" spans="9:9" x14ac:dyDescent="0.2">
      <c r="I14443" s="137" t="s">
        <v>74</v>
      </c>
    </row>
    <row r="14444" spans="9:9" x14ac:dyDescent="0.2">
      <c r="I14444" s="137" t="s">
        <v>74</v>
      </c>
    </row>
    <row r="14445" spans="9:9" x14ac:dyDescent="0.2">
      <c r="I14445" s="137" t="s">
        <v>74</v>
      </c>
    </row>
    <row r="14446" spans="9:9" x14ac:dyDescent="0.2">
      <c r="I14446" s="137" t="s">
        <v>74</v>
      </c>
    </row>
    <row r="14447" spans="9:9" x14ac:dyDescent="0.2">
      <c r="I14447" s="137" t="s">
        <v>74</v>
      </c>
    </row>
    <row r="14448" spans="9:9" x14ac:dyDescent="0.2">
      <c r="I14448" s="137" t="s">
        <v>74</v>
      </c>
    </row>
    <row r="14449" spans="9:9" x14ac:dyDescent="0.2">
      <c r="I14449" s="137" t="s">
        <v>74</v>
      </c>
    </row>
    <row r="14450" spans="9:9" x14ac:dyDescent="0.2">
      <c r="I14450" s="137" t="s">
        <v>74</v>
      </c>
    </row>
    <row r="14451" spans="9:9" x14ac:dyDescent="0.2">
      <c r="I14451" s="137" t="s">
        <v>74</v>
      </c>
    </row>
    <row r="14452" spans="9:9" x14ac:dyDescent="0.2">
      <c r="I14452" s="137" t="s">
        <v>74</v>
      </c>
    </row>
    <row r="14453" spans="9:9" x14ac:dyDescent="0.2">
      <c r="I14453" s="137" t="s">
        <v>74</v>
      </c>
    </row>
    <row r="14454" spans="9:9" x14ac:dyDescent="0.2">
      <c r="I14454" s="137" t="s">
        <v>74</v>
      </c>
    </row>
    <row r="14455" spans="9:9" x14ac:dyDescent="0.2">
      <c r="I14455" s="137" t="s">
        <v>74</v>
      </c>
    </row>
    <row r="14456" spans="9:9" x14ac:dyDescent="0.2">
      <c r="I14456" s="137" t="s">
        <v>74</v>
      </c>
    </row>
    <row r="14457" spans="9:9" x14ac:dyDescent="0.2">
      <c r="I14457" s="137" t="s">
        <v>74</v>
      </c>
    </row>
    <row r="14458" spans="9:9" x14ac:dyDescent="0.2">
      <c r="I14458" s="137" t="s">
        <v>74</v>
      </c>
    </row>
    <row r="14459" spans="9:9" x14ac:dyDescent="0.2">
      <c r="I14459" s="137" t="s">
        <v>74</v>
      </c>
    </row>
    <row r="14460" spans="9:9" x14ac:dyDescent="0.2">
      <c r="I14460" s="137" t="s">
        <v>74</v>
      </c>
    </row>
    <row r="14461" spans="9:9" x14ac:dyDescent="0.2">
      <c r="I14461" s="137" t="s">
        <v>74</v>
      </c>
    </row>
    <row r="14462" spans="9:9" x14ac:dyDescent="0.2">
      <c r="I14462" s="137" t="s">
        <v>74</v>
      </c>
    </row>
    <row r="14463" spans="9:9" x14ac:dyDescent="0.2">
      <c r="I14463" s="137" t="s">
        <v>74</v>
      </c>
    </row>
    <row r="14464" spans="9:9" x14ac:dyDescent="0.2">
      <c r="I14464" s="137" t="s">
        <v>74</v>
      </c>
    </row>
    <row r="14465" spans="9:9" x14ac:dyDescent="0.2">
      <c r="I14465" s="137" t="s">
        <v>74</v>
      </c>
    </row>
    <row r="14466" spans="9:9" x14ac:dyDescent="0.2">
      <c r="I14466" s="137" t="s">
        <v>74</v>
      </c>
    </row>
    <row r="14467" spans="9:9" x14ac:dyDescent="0.2">
      <c r="I14467" s="137" t="s">
        <v>74</v>
      </c>
    </row>
    <row r="14468" spans="9:9" x14ac:dyDescent="0.2">
      <c r="I14468" s="137" t="s">
        <v>74</v>
      </c>
    </row>
    <row r="14469" spans="9:9" x14ac:dyDescent="0.2">
      <c r="I14469" s="137" t="s">
        <v>74</v>
      </c>
    </row>
    <row r="14470" spans="9:9" x14ac:dyDescent="0.2">
      <c r="I14470" s="137" t="s">
        <v>74</v>
      </c>
    </row>
    <row r="14471" spans="9:9" x14ac:dyDescent="0.2">
      <c r="I14471" s="137" t="s">
        <v>74</v>
      </c>
    </row>
    <row r="14472" spans="9:9" x14ac:dyDescent="0.2">
      <c r="I14472" s="137" t="s">
        <v>74</v>
      </c>
    </row>
    <row r="14473" spans="9:9" x14ac:dyDescent="0.2">
      <c r="I14473" s="137" t="s">
        <v>74</v>
      </c>
    </row>
    <row r="14474" spans="9:9" x14ac:dyDescent="0.2">
      <c r="I14474" s="137" t="s">
        <v>74</v>
      </c>
    </row>
    <row r="14475" spans="9:9" x14ac:dyDescent="0.2">
      <c r="I14475" s="137" t="s">
        <v>74</v>
      </c>
    </row>
    <row r="14476" spans="9:9" x14ac:dyDescent="0.2">
      <c r="I14476" s="137" t="s">
        <v>74</v>
      </c>
    </row>
    <row r="14477" spans="9:9" x14ac:dyDescent="0.2">
      <c r="I14477" s="137" t="s">
        <v>74</v>
      </c>
    </row>
    <row r="14478" spans="9:9" x14ac:dyDescent="0.2">
      <c r="I14478" s="137" t="s">
        <v>74</v>
      </c>
    </row>
    <row r="14479" spans="9:9" x14ac:dyDescent="0.2">
      <c r="I14479" s="137" t="s">
        <v>74</v>
      </c>
    </row>
    <row r="14480" spans="9:9" x14ac:dyDescent="0.2">
      <c r="I14480" s="137" t="s">
        <v>74</v>
      </c>
    </row>
    <row r="14481" spans="9:9" x14ac:dyDescent="0.2">
      <c r="I14481" s="137" t="s">
        <v>74</v>
      </c>
    </row>
    <row r="14482" spans="9:9" x14ac:dyDescent="0.2">
      <c r="I14482" s="137" t="s">
        <v>74</v>
      </c>
    </row>
    <row r="14483" spans="9:9" x14ac:dyDescent="0.2">
      <c r="I14483" s="137" t="s">
        <v>74</v>
      </c>
    </row>
    <row r="14484" spans="9:9" x14ac:dyDescent="0.2">
      <c r="I14484" s="137" t="s">
        <v>74</v>
      </c>
    </row>
    <row r="14485" spans="9:9" x14ac:dyDescent="0.2">
      <c r="I14485" s="137" t="s">
        <v>74</v>
      </c>
    </row>
    <row r="14486" spans="9:9" x14ac:dyDescent="0.2">
      <c r="I14486" s="137" t="s">
        <v>74</v>
      </c>
    </row>
    <row r="14487" spans="9:9" x14ac:dyDescent="0.2">
      <c r="I14487" s="137" t="s">
        <v>74</v>
      </c>
    </row>
    <row r="14488" spans="9:9" x14ac:dyDescent="0.2">
      <c r="I14488" s="137" t="s">
        <v>74</v>
      </c>
    </row>
    <row r="14489" spans="9:9" x14ac:dyDescent="0.2">
      <c r="I14489" s="137" t="s">
        <v>74</v>
      </c>
    </row>
    <row r="14490" spans="9:9" x14ac:dyDescent="0.2">
      <c r="I14490" s="137" t="s">
        <v>74</v>
      </c>
    </row>
    <row r="14491" spans="9:9" x14ac:dyDescent="0.2">
      <c r="I14491" s="137" t="s">
        <v>74</v>
      </c>
    </row>
    <row r="14492" spans="9:9" x14ac:dyDescent="0.2">
      <c r="I14492" s="137" t="s">
        <v>74</v>
      </c>
    </row>
    <row r="14493" spans="9:9" x14ac:dyDescent="0.2">
      <c r="I14493" s="137" t="s">
        <v>74</v>
      </c>
    </row>
    <row r="14494" spans="9:9" x14ac:dyDescent="0.2">
      <c r="I14494" s="137" t="s">
        <v>74</v>
      </c>
    </row>
    <row r="14495" spans="9:9" x14ac:dyDescent="0.2">
      <c r="I14495" s="137" t="s">
        <v>74</v>
      </c>
    </row>
    <row r="14496" spans="9:9" x14ac:dyDescent="0.2">
      <c r="I14496" s="137" t="s">
        <v>74</v>
      </c>
    </row>
    <row r="14497" spans="9:9" x14ac:dyDescent="0.2">
      <c r="I14497" s="137" t="s">
        <v>74</v>
      </c>
    </row>
    <row r="14498" spans="9:9" x14ac:dyDescent="0.2">
      <c r="I14498" s="137" t="s">
        <v>74</v>
      </c>
    </row>
    <row r="14499" spans="9:9" x14ac:dyDescent="0.2">
      <c r="I14499" s="137" t="s">
        <v>74</v>
      </c>
    </row>
    <row r="14500" spans="9:9" x14ac:dyDescent="0.2">
      <c r="I14500" s="137" t="s">
        <v>74</v>
      </c>
    </row>
    <row r="14501" spans="9:9" x14ac:dyDescent="0.2">
      <c r="I14501" s="137" t="s">
        <v>74</v>
      </c>
    </row>
    <row r="14502" spans="9:9" x14ac:dyDescent="0.2">
      <c r="I14502" s="137" t="s">
        <v>74</v>
      </c>
    </row>
    <row r="14503" spans="9:9" x14ac:dyDescent="0.2">
      <c r="I14503" s="137" t="s">
        <v>74</v>
      </c>
    </row>
    <row r="14504" spans="9:9" x14ac:dyDescent="0.2">
      <c r="I14504" s="137" t="s">
        <v>74</v>
      </c>
    </row>
    <row r="14505" spans="9:9" x14ac:dyDescent="0.2">
      <c r="I14505" s="137" t="s">
        <v>74</v>
      </c>
    </row>
    <row r="14506" spans="9:9" x14ac:dyDescent="0.2">
      <c r="I14506" s="137" t="s">
        <v>74</v>
      </c>
    </row>
    <row r="14507" spans="9:9" x14ac:dyDescent="0.2">
      <c r="I14507" s="137" t="s">
        <v>74</v>
      </c>
    </row>
    <row r="14508" spans="9:9" x14ac:dyDescent="0.2">
      <c r="I14508" s="137" t="s">
        <v>74</v>
      </c>
    </row>
    <row r="14509" spans="9:9" x14ac:dyDescent="0.2">
      <c r="I14509" s="137" t="s">
        <v>74</v>
      </c>
    </row>
    <row r="14510" spans="9:9" x14ac:dyDescent="0.2">
      <c r="I14510" s="137" t="s">
        <v>74</v>
      </c>
    </row>
    <row r="14511" spans="9:9" x14ac:dyDescent="0.2">
      <c r="I14511" s="137" t="s">
        <v>74</v>
      </c>
    </row>
    <row r="14512" spans="9:9" x14ac:dyDescent="0.2">
      <c r="I14512" s="137" t="s">
        <v>74</v>
      </c>
    </row>
    <row r="14513" spans="9:9" x14ac:dyDescent="0.2">
      <c r="I14513" s="137" t="s">
        <v>74</v>
      </c>
    </row>
    <row r="14514" spans="9:9" x14ac:dyDescent="0.2">
      <c r="I14514" s="137" t="s">
        <v>74</v>
      </c>
    </row>
    <row r="14515" spans="9:9" x14ac:dyDescent="0.2">
      <c r="I14515" s="137" t="s">
        <v>74</v>
      </c>
    </row>
    <row r="14516" spans="9:9" x14ac:dyDescent="0.2">
      <c r="I14516" s="137" t="s">
        <v>74</v>
      </c>
    </row>
    <row r="14517" spans="9:9" x14ac:dyDescent="0.2">
      <c r="I14517" s="137" t="s">
        <v>74</v>
      </c>
    </row>
    <row r="14518" spans="9:9" x14ac:dyDescent="0.2">
      <c r="I14518" s="137" t="s">
        <v>74</v>
      </c>
    </row>
    <row r="14519" spans="9:9" x14ac:dyDescent="0.2">
      <c r="I14519" s="137" t="s">
        <v>74</v>
      </c>
    </row>
    <row r="14520" spans="9:9" x14ac:dyDescent="0.2">
      <c r="I14520" s="137" t="s">
        <v>74</v>
      </c>
    </row>
    <row r="14521" spans="9:9" x14ac:dyDescent="0.2">
      <c r="I14521" s="137" t="s">
        <v>74</v>
      </c>
    </row>
    <row r="14522" spans="9:9" x14ac:dyDescent="0.2">
      <c r="I14522" s="137" t="s">
        <v>74</v>
      </c>
    </row>
    <row r="14523" spans="9:9" x14ac:dyDescent="0.2">
      <c r="I14523" s="137" t="s">
        <v>74</v>
      </c>
    </row>
    <row r="14524" spans="9:9" x14ac:dyDescent="0.2">
      <c r="I14524" s="137" t="s">
        <v>74</v>
      </c>
    </row>
    <row r="14525" spans="9:9" x14ac:dyDescent="0.2">
      <c r="I14525" s="137" t="s">
        <v>74</v>
      </c>
    </row>
    <row r="14526" spans="9:9" x14ac:dyDescent="0.2">
      <c r="I14526" s="137" t="s">
        <v>74</v>
      </c>
    </row>
    <row r="14527" spans="9:9" x14ac:dyDescent="0.2">
      <c r="I14527" s="137" t="s">
        <v>74</v>
      </c>
    </row>
    <row r="14528" spans="9:9" x14ac:dyDescent="0.2">
      <c r="I14528" s="137" t="s">
        <v>74</v>
      </c>
    </row>
    <row r="14529" spans="9:9" x14ac:dyDescent="0.2">
      <c r="I14529" s="137" t="s">
        <v>74</v>
      </c>
    </row>
    <row r="14530" spans="9:9" x14ac:dyDescent="0.2">
      <c r="I14530" s="137" t="s">
        <v>74</v>
      </c>
    </row>
    <row r="14531" spans="9:9" x14ac:dyDescent="0.2">
      <c r="I14531" s="137" t="s">
        <v>74</v>
      </c>
    </row>
    <row r="14532" spans="9:9" x14ac:dyDescent="0.2">
      <c r="I14532" s="137" t="s">
        <v>74</v>
      </c>
    </row>
    <row r="14533" spans="9:9" x14ac:dyDescent="0.2">
      <c r="I14533" s="137" t="s">
        <v>74</v>
      </c>
    </row>
    <row r="14534" spans="9:9" x14ac:dyDescent="0.2">
      <c r="I14534" s="137" t="s">
        <v>74</v>
      </c>
    </row>
    <row r="14535" spans="9:9" x14ac:dyDescent="0.2">
      <c r="I14535" s="137" t="s">
        <v>74</v>
      </c>
    </row>
    <row r="14536" spans="9:9" x14ac:dyDescent="0.2">
      <c r="I14536" s="137" t="s">
        <v>74</v>
      </c>
    </row>
    <row r="14537" spans="9:9" x14ac:dyDescent="0.2">
      <c r="I14537" s="137" t="s">
        <v>74</v>
      </c>
    </row>
    <row r="14538" spans="9:9" x14ac:dyDescent="0.2">
      <c r="I14538" s="137" t="s">
        <v>74</v>
      </c>
    </row>
    <row r="14539" spans="9:9" x14ac:dyDescent="0.2">
      <c r="I14539" s="137" t="s">
        <v>74</v>
      </c>
    </row>
    <row r="14540" spans="9:9" x14ac:dyDescent="0.2">
      <c r="I14540" s="137" t="s">
        <v>74</v>
      </c>
    </row>
    <row r="14541" spans="9:9" x14ac:dyDescent="0.2">
      <c r="I14541" s="137" t="s">
        <v>74</v>
      </c>
    </row>
    <row r="14542" spans="9:9" x14ac:dyDescent="0.2">
      <c r="I14542" s="137" t="s">
        <v>74</v>
      </c>
    </row>
    <row r="14543" spans="9:9" x14ac:dyDescent="0.2">
      <c r="I14543" s="137" t="s">
        <v>74</v>
      </c>
    </row>
    <row r="14544" spans="9:9" x14ac:dyDescent="0.2">
      <c r="I14544" s="137" t="s">
        <v>74</v>
      </c>
    </row>
    <row r="14545" spans="9:9" x14ac:dyDescent="0.2">
      <c r="I14545" s="137" t="s">
        <v>74</v>
      </c>
    </row>
    <row r="14546" spans="9:9" x14ac:dyDescent="0.2">
      <c r="I14546" s="137" t="s">
        <v>74</v>
      </c>
    </row>
    <row r="14547" spans="9:9" x14ac:dyDescent="0.2">
      <c r="I14547" s="137" t="s">
        <v>74</v>
      </c>
    </row>
    <row r="14548" spans="9:9" x14ac:dyDescent="0.2">
      <c r="I14548" s="137" t="s">
        <v>74</v>
      </c>
    </row>
    <row r="14549" spans="9:9" x14ac:dyDescent="0.2">
      <c r="I14549" s="137" t="s">
        <v>74</v>
      </c>
    </row>
    <row r="14550" spans="9:9" x14ac:dyDescent="0.2">
      <c r="I14550" s="137" t="s">
        <v>74</v>
      </c>
    </row>
    <row r="14551" spans="9:9" x14ac:dyDescent="0.2">
      <c r="I14551" s="137" t="s">
        <v>74</v>
      </c>
    </row>
    <row r="14552" spans="9:9" x14ac:dyDescent="0.2">
      <c r="I14552" s="137" t="s">
        <v>74</v>
      </c>
    </row>
    <row r="14553" spans="9:9" x14ac:dyDescent="0.2">
      <c r="I14553" s="137" t="s">
        <v>74</v>
      </c>
    </row>
    <row r="14554" spans="9:9" x14ac:dyDescent="0.2">
      <c r="I14554" s="137" t="s">
        <v>74</v>
      </c>
    </row>
    <row r="14555" spans="9:9" x14ac:dyDescent="0.2">
      <c r="I14555" s="137" t="s">
        <v>74</v>
      </c>
    </row>
    <row r="14556" spans="9:9" x14ac:dyDescent="0.2">
      <c r="I14556" s="137" t="s">
        <v>74</v>
      </c>
    </row>
    <row r="14557" spans="9:9" x14ac:dyDescent="0.2">
      <c r="I14557" s="137" t="s">
        <v>74</v>
      </c>
    </row>
    <row r="14558" spans="9:9" x14ac:dyDescent="0.2">
      <c r="I14558" s="137" t="s">
        <v>74</v>
      </c>
    </row>
    <row r="14559" spans="9:9" x14ac:dyDescent="0.2">
      <c r="I14559" s="137" t="s">
        <v>74</v>
      </c>
    </row>
    <row r="14560" spans="9:9" x14ac:dyDescent="0.2">
      <c r="I14560" s="137" t="s">
        <v>74</v>
      </c>
    </row>
    <row r="14561" spans="9:9" x14ac:dyDescent="0.2">
      <c r="I14561" s="137" t="s">
        <v>74</v>
      </c>
    </row>
    <row r="14562" spans="9:9" x14ac:dyDescent="0.2">
      <c r="I14562" s="137" t="s">
        <v>74</v>
      </c>
    </row>
    <row r="14563" spans="9:9" x14ac:dyDescent="0.2">
      <c r="I14563" s="137" t="s">
        <v>74</v>
      </c>
    </row>
    <row r="14564" spans="9:9" x14ac:dyDescent="0.2">
      <c r="I14564" s="137" t="s">
        <v>74</v>
      </c>
    </row>
    <row r="14565" spans="9:9" x14ac:dyDescent="0.2">
      <c r="I14565" s="137" t="s">
        <v>74</v>
      </c>
    </row>
    <row r="14566" spans="9:9" x14ac:dyDescent="0.2">
      <c r="I14566" s="137" t="s">
        <v>74</v>
      </c>
    </row>
    <row r="14567" spans="9:9" x14ac:dyDescent="0.2">
      <c r="I14567" s="137" t="s">
        <v>74</v>
      </c>
    </row>
    <row r="14568" spans="9:9" x14ac:dyDescent="0.2">
      <c r="I14568" s="137" t="s">
        <v>74</v>
      </c>
    </row>
    <row r="14569" spans="9:9" x14ac:dyDescent="0.2">
      <c r="I14569" s="137" t="s">
        <v>74</v>
      </c>
    </row>
    <row r="14570" spans="9:9" x14ac:dyDescent="0.2">
      <c r="I14570" s="137" t="s">
        <v>74</v>
      </c>
    </row>
    <row r="14571" spans="9:9" x14ac:dyDescent="0.2">
      <c r="I14571" s="137" t="s">
        <v>74</v>
      </c>
    </row>
    <row r="14572" spans="9:9" x14ac:dyDescent="0.2">
      <c r="I14572" s="137" t="s">
        <v>74</v>
      </c>
    </row>
    <row r="14573" spans="9:9" x14ac:dyDescent="0.2">
      <c r="I14573" s="137" t="s">
        <v>74</v>
      </c>
    </row>
    <row r="14574" spans="9:9" x14ac:dyDescent="0.2">
      <c r="I14574" s="137" t="s">
        <v>74</v>
      </c>
    </row>
    <row r="14575" spans="9:9" x14ac:dyDescent="0.2">
      <c r="I14575" s="137" t="s">
        <v>74</v>
      </c>
    </row>
    <row r="14576" spans="9:9" x14ac:dyDescent="0.2">
      <c r="I14576" s="137" t="s">
        <v>74</v>
      </c>
    </row>
    <row r="14577" spans="9:9" x14ac:dyDescent="0.2">
      <c r="I14577" s="137" t="s">
        <v>74</v>
      </c>
    </row>
    <row r="14578" spans="9:9" x14ac:dyDescent="0.2">
      <c r="I14578" s="137" t="s">
        <v>74</v>
      </c>
    </row>
    <row r="14579" spans="9:9" x14ac:dyDescent="0.2">
      <c r="I14579" s="137" t="s">
        <v>74</v>
      </c>
    </row>
    <row r="14580" spans="9:9" x14ac:dyDescent="0.2">
      <c r="I14580" s="137" t="s">
        <v>74</v>
      </c>
    </row>
    <row r="14581" spans="9:9" x14ac:dyDescent="0.2">
      <c r="I14581" s="137" t="s">
        <v>74</v>
      </c>
    </row>
    <row r="14582" spans="9:9" x14ac:dyDescent="0.2">
      <c r="I14582" s="137" t="s">
        <v>74</v>
      </c>
    </row>
    <row r="14583" spans="9:9" x14ac:dyDescent="0.2">
      <c r="I14583" s="137" t="s">
        <v>74</v>
      </c>
    </row>
    <row r="14584" spans="9:9" x14ac:dyDescent="0.2">
      <c r="I14584" s="137" t="s">
        <v>74</v>
      </c>
    </row>
    <row r="14585" spans="9:9" x14ac:dyDescent="0.2">
      <c r="I14585" s="137" t="s">
        <v>74</v>
      </c>
    </row>
    <row r="14586" spans="9:9" x14ac:dyDescent="0.2">
      <c r="I14586" s="137" t="s">
        <v>74</v>
      </c>
    </row>
    <row r="14587" spans="9:9" x14ac:dyDescent="0.2">
      <c r="I14587" s="137" t="s">
        <v>74</v>
      </c>
    </row>
    <row r="14588" spans="9:9" x14ac:dyDescent="0.2">
      <c r="I14588" s="137" t="s">
        <v>74</v>
      </c>
    </row>
    <row r="14589" spans="9:9" x14ac:dyDescent="0.2">
      <c r="I14589" s="137" t="s">
        <v>74</v>
      </c>
    </row>
    <row r="14590" spans="9:9" x14ac:dyDescent="0.2">
      <c r="I14590" s="137" t="s">
        <v>74</v>
      </c>
    </row>
    <row r="14591" spans="9:9" x14ac:dyDescent="0.2">
      <c r="I14591" s="137" t="s">
        <v>74</v>
      </c>
    </row>
    <row r="14592" spans="9:9" x14ac:dyDescent="0.2">
      <c r="I14592" s="137" t="s">
        <v>74</v>
      </c>
    </row>
    <row r="14593" spans="9:9" x14ac:dyDescent="0.2">
      <c r="I14593" s="137" t="s">
        <v>74</v>
      </c>
    </row>
    <row r="14594" spans="9:9" x14ac:dyDescent="0.2">
      <c r="I14594" s="137" t="s">
        <v>74</v>
      </c>
    </row>
    <row r="14595" spans="9:9" x14ac:dyDescent="0.2">
      <c r="I14595" s="137" t="s">
        <v>74</v>
      </c>
    </row>
    <row r="14596" spans="9:9" x14ac:dyDescent="0.2">
      <c r="I14596" s="137" t="s">
        <v>74</v>
      </c>
    </row>
    <row r="14597" spans="9:9" x14ac:dyDescent="0.2">
      <c r="I14597" s="137" t="s">
        <v>74</v>
      </c>
    </row>
    <row r="14598" spans="9:9" x14ac:dyDescent="0.2">
      <c r="I14598" s="137" t="s">
        <v>74</v>
      </c>
    </row>
    <row r="14599" spans="9:9" x14ac:dyDescent="0.2">
      <c r="I14599" s="137" t="s">
        <v>74</v>
      </c>
    </row>
    <row r="14600" spans="9:9" x14ac:dyDescent="0.2">
      <c r="I14600" s="137" t="s">
        <v>74</v>
      </c>
    </row>
    <row r="14601" spans="9:9" x14ac:dyDescent="0.2">
      <c r="I14601" s="137" t="s">
        <v>74</v>
      </c>
    </row>
    <row r="14602" spans="9:9" x14ac:dyDescent="0.2">
      <c r="I14602" s="137" t="s">
        <v>74</v>
      </c>
    </row>
    <row r="14603" spans="9:9" x14ac:dyDescent="0.2">
      <c r="I14603" s="137" t="s">
        <v>74</v>
      </c>
    </row>
    <row r="14604" spans="9:9" x14ac:dyDescent="0.2">
      <c r="I14604" s="137" t="s">
        <v>74</v>
      </c>
    </row>
    <row r="14605" spans="9:9" x14ac:dyDescent="0.2">
      <c r="I14605" s="137" t="s">
        <v>74</v>
      </c>
    </row>
    <row r="14606" spans="9:9" x14ac:dyDescent="0.2">
      <c r="I14606" s="137" t="s">
        <v>74</v>
      </c>
    </row>
    <row r="14607" spans="9:9" x14ac:dyDescent="0.2">
      <c r="I14607" s="137" t="s">
        <v>74</v>
      </c>
    </row>
    <row r="14608" spans="9:9" x14ac:dyDescent="0.2">
      <c r="I14608" s="137" t="s">
        <v>74</v>
      </c>
    </row>
    <row r="14609" spans="9:9" x14ac:dyDescent="0.2">
      <c r="I14609" s="137" t="s">
        <v>74</v>
      </c>
    </row>
    <row r="14610" spans="9:9" x14ac:dyDescent="0.2">
      <c r="I14610" s="137" t="s">
        <v>74</v>
      </c>
    </row>
    <row r="14611" spans="9:9" x14ac:dyDescent="0.2">
      <c r="I14611" s="137" t="s">
        <v>74</v>
      </c>
    </row>
    <row r="14612" spans="9:9" x14ac:dyDescent="0.2">
      <c r="I14612" s="137" t="s">
        <v>74</v>
      </c>
    </row>
    <row r="14613" spans="9:9" x14ac:dyDescent="0.2">
      <c r="I14613" s="137" t="s">
        <v>74</v>
      </c>
    </row>
    <row r="14614" spans="9:9" x14ac:dyDescent="0.2">
      <c r="I14614" s="137" t="s">
        <v>74</v>
      </c>
    </row>
    <row r="14615" spans="9:9" x14ac:dyDescent="0.2">
      <c r="I14615" s="137" t="s">
        <v>74</v>
      </c>
    </row>
    <row r="14616" spans="9:9" x14ac:dyDescent="0.2">
      <c r="I14616" s="137" t="s">
        <v>74</v>
      </c>
    </row>
    <row r="14617" spans="9:9" x14ac:dyDescent="0.2">
      <c r="I14617" s="137" t="s">
        <v>74</v>
      </c>
    </row>
    <row r="14618" spans="9:9" x14ac:dyDescent="0.2">
      <c r="I14618" s="137" t="s">
        <v>74</v>
      </c>
    </row>
    <row r="14619" spans="9:9" x14ac:dyDescent="0.2">
      <c r="I14619" s="137" t="s">
        <v>74</v>
      </c>
    </row>
    <row r="14620" spans="9:9" x14ac:dyDescent="0.2">
      <c r="I14620" s="137" t="s">
        <v>74</v>
      </c>
    </row>
    <row r="14621" spans="9:9" x14ac:dyDescent="0.2">
      <c r="I14621" s="137" t="s">
        <v>74</v>
      </c>
    </row>
    <row r="14622" spans="9:9" x14ac:dyDescent="0.2">
      <c r="I14622" s="137" t="s">
        <v>74</v>
      </c>
    </row>
    <row r="14623" spans="9:9" x14ac:dyDescent="0.2">
      <c r="I14623" s="137" t="s">
        <v>74</v>
      </c>
    </row>
    <row r="14624" spans="9:9" x14ac:dyDescent="0.2">
      <c r="I14624" s="137" t="s">
        <v>74</v>
      </c>
    </row>
    <row r="14625" spans="9:9" x14ac:dyDescent="0.2">
      <c r="I14625" s="137" t="s">
        <v>74</v>
      </c>
    </row>
    <row r="14626" spans="9:9" x14ac:dyDescent="0.2">
      <c r="I14626" s="137" t="s">
        <v>74</v>
      </c>
    </row>
    <row r="14627" spans="9:9" x14ac:dyDescent="0.2">
      <c r="I14627" s="137" t="s">
        <v>74</v>
      </c>
    </row>
    <row r="14628" spans="9:9" x14ac:dyDescent="0.2">
      <c r="I14628" s="137" t="s">
        <v>74</v>
      </c>
    </row>
    <row r="14629" spans="9:9" x14ac:dyDescent="0.2">
      <c r="I14629" s="137" t="s">
        <v>74</v>
      </c>
    </row>
    <row r="14630" spans="9:9" x14ac:dyDescent="0.2">
      <c r="I14630" s="137" t="s">
        <v>74</v>
      </c>
    </row>
    <row r="14631" spans="9:9" x14ac:dyDescent="0.2">
      <c r="I14631" s="137" t="s">
        <v>74</v>
      </c>
    </row>
    <row r="14632" spans="9:9" x14ac:dyDescent="0.2">
      <c r="I14632" s="137" t="s">
        <v>74</v>
      </c>
    </row>
    <row r="14633" spans="9:9" x14ac:dyDescent="0.2">
      <c r="I14633" s="137" t="s">
        <v>74</v>
      </c>
    </row>
    <row r="14634" spans="9:9" x14ac:dyDescent="0.2">
      <c r="I14634" s="137" t="s">
        <v>74</v>
      </c>
    </row>
    <row r="14635" spans="9:9" x14ac:dyDescent="0.2">
      <c r="I14635" s="137" t="s">
        <v>74</v>
      </c>
    </row>
    <row r="14636" spans="9:9" x14ac:dyDescent="0.2">
      <c r="I14636" s="137" t="s">
        <v>74</v>
      </c>
    </row>
    <row r="14637" spans="9:9" x14ac:dyDescent="0.2">
      <c r="I14637" s="137" t="s">
        <v>74</v>
      </c>
    </row>
    <row r="14638" spans="9:9" x14ac:dyDescent="0.2">
      <c r="I14638" s="137" t="s">
        <v>74</v>
      </c>
    </row>
    <row r="14639" spans="9:9" x14ac:dyDescent="0.2">
      <c r="I14639" s="137" t="s">
        <v>74</v>
      </c>
    </row>
    <row r="14640" spans="9:9" x14ac:dyDescent="0.2">
      <c r="I14640" s="137" t="s">
        <v>74</v>
      </c>
    </row>
    <row r="14641" spans="9:9" x14ac:dyDescent="0.2">
      <c r="I14641" s="137" t="s">
        <v>74</v>
      </c>
    </row>
    <row r="14642" spans="9:9" x14ac:dyDescent="0.2">
      <c r="I14642" s="137" t="s">
        <v>74</v>
      </c>
    </row>
    <row r="14643" spans="9:9" x14ac:dyDescent="0.2">
      <c r="I14643" s="137" t="s">
        <v>74</v>
      </c>
    </row>
    <row r="14644" spans="9:9" x14ac:dyDescent="0.2">
      <c r="I14644" s="137" t="s">
        <v>74</v>
      </c>
    </row>
    <row r="14645" spans="9:9" x14ac:dyDescent="0.2">
      <c r="I14645" s="137" t="s">
        <v>74</v>
      </c>
    </row>
    <row r="14646" spans="9:9" x14ac:dyDescent="0.2">
      <c r="I14646" s="137" t="s">
        <v>74</v>
      </c>
    </row>
    <row r="14647" spans="9:9" x14ac:dyDescent="0.2">
      <c r="I14647" s="137" t="s">
        <v>74</v>
      </c>
    </row>
    <row r="14648" spans="9:9" x14ac:dyDescent="0.2">
      <c r="I14648" s="137" t="s">
        <v>74</v>
      </c>
    </row>
    <row r="14649" spans="9:9" x14ac:dyDescent="0.2">
      <c r="I14649" s="137" t="s">
        <v>74</v>
      </c>
    </row>
    <row r="14650" spans="9:9" x14ac:dyDescent="0.2">
      <c r="I14650" s="137" t="s">
        <v>74</v>
      </c>
    </row>
    <row r="14651" spans="9:9" x14ac:dyDescent="0.2">
      <c r="I14651" s="137" t="s">
        <v>74</v>
      </c>
    </row>
    <row r="14652" spans="9:9" x14ac:dyDescent="0.2">
      <c r="I14652" s="137" t="s">
        <v>74</v>
      </c>
    </row>
    <row r="14653" spans="9:9" x14ac:dyDescent="0.2">
      <c r="I14653" s="137" t="s">
        <v>74</v>
      </c>
    </row>
    <row r="14654" spans="9:9" x14ac:dyDescent="0.2">
      <c r="I14654" s="137" t="s">
        <v>74</v>
      </c>
    </row>
    <row r="14655" spans="9:9" x14ac:dyDescent="0.2">
      <c r="I14655" s="137" t="s">
        <v>74</v>
      </c>
    </row>
    <row r="14656" spans="9:9" x14ac:dyDescent="0.2">
      <c r="I14656" s="137" t="s">
        <v>74</v>
      </c>
    </row>
    <row r="14657" spans="9:9" x14ac:dyDescent="0.2">
      <c r="I14657" s="137" t="s">
        <v>74</v>
      </c>
    </row>
    <row r="14658" spans="9:9" x14ac:dyDescent="0.2">
      <c r="I14658" s="137" t="s">
        <v>74</v>
      </c>
    </row>
    <row r="14659" spans="9:9" x14ac:dyDescent="0.2">
      <c r="I14659" s="137" t="s">
        <v>74</v>
      </c>
    </row>
    <row r="14660" spans="9:9" x14ac:dyDescent="0.2">
      <c r="I14660" s="137" t="s">
        <v>74</v>
      </c>
    </row>
    <row r="14661" spans="9:9" x14ac:dyDescent="0.2">
      <c r="I14661" s="137" t="s">
        <v>74</v>
      </c>
    </row>
    <row r="14662" spans="9:9" x14ac:dyDescent="0.2">
      <c r="I14662" s="137" t="s">
        <v>74</v>
      </c>
    </row>
    <row r="14663" spans="9:9" x14ac:dyDescent="0.2">
      <c r="I14663" s="137" t="s">
        <v>74</v>
      </c>
    </row>
    <row r="14664" spans="9:9" x14ac:dyDescent="0.2">
      <c r="I14664" s="137" t="s">
        <v>74</v>
      </c>
    </row>
    <row r="14665" spans="9:9" x14ac:dyDescent="0.2">
      <c r="I14665" s="137" t="s">
        <v>74</v>
      </c>
    </row>
    <row r="14666" spans="9:9" x14ac:dyDescent="0.2">
      <c r="I14666" s="137" t="s">
        <v>74</v>
      </c>
    </row>
    <row r="14667" spans="9:9" x14ac:dyDescent="0.2">
      <c r="I14667" s="137" t="s">
        <v>74</v>
      </c>
    </row>
    <row r="14668" spans="9:9" x14ac:dyDescent="0.2">
      <c r="I14668" s="137" t="s">
        <v>74</v>
      </c>
    </row>
    <row r="14669" spans="9:9" x14ac:dyDescent="0.2">
      <c r="I14669" s="137" t="s">
        <v>74</v>
      </c>
    </row>
    <row r="14670" spans="9:9" x14ac:dyDescent="0.2">
      <c r="I14670" s="137" t="s">
        <v>74</v>
      </c>
    </row>
    <row r="14671" spans="9:9" x14ac:dyDescent="0.2">
      <c r="I14671" s="137" t="s">
        <v>74</v>
      </c>
    </row>
    <row r="14672" spans="9:9" x14ac:dyDescent="0.2">
      <c r="I14672" s="137" t="s">
        <v>74</v>
      </c>
    </row>
    <row r="14673" spans="9:9" x14ac:dyDescent="0.2">
      <c r="I14673" s="137" t="s">
        <v>74</v>
      </c>
    </row>
    <row r="14674" spans="9:9" x14ac:dyDescent="0.2">
      <c r="I14674" s="137" t="s">
        <v>74</v>
      </c>
    </row>
    <row r="14675" spans="9:9" x14ac:dyDescent="0.2">
      <c r="I14675" s="137" t="s">
        <v>74</v>
      </c>
    </row>
    <row r="14676" spans="9:9" x14ac:dyDescent="0.2">
      <c r="I14676" s="137" t="s">
        <v>74</v>
      </c>
    </row>
    <row r="14677" spans="9:9" x14ac:dyDescent="0.2">
      <c r="I14677" s="137" t="s">
        <v>74</v>
      </c>
    </row>
    <row r="14678" spans="9:9" x14ac:dyDescent="0.2">
      <c r="I14678" s="137" t="s">
        <v>74</v>
      </c>
    </row>
    <row r="14679" spans="9:9" x14ac:dyDescent="0.2">
      <c r="I14679" s="137" t="s">
        <v>74</v>
      </c>
    </row>
    <row r="14680" spans="9:9" x14ac:dyDescent="0.2">
      <c r="I14680" s="137" t="s">
        <v>74</v>
      </c>
    </row>
    <row r="14681" spans="9:9" x14ac:dyDescent="0.2">
      <c r="I14681" s="137" t="s">
        <v>74</v>
      </c>
    </row>
    <row r="14682" spans="9:9" x14ac:dyDescent="0.2">
      <c r="I14682" s="137" t="s">
        <v>74</v>
      </c>
    </row>
    <row r="14683" spans="9:9" x14ac:dyDescent="0.2">
      <c r="I14683" s="137" t="s">
        <v>74</v>
      </c>
    </row>
    <row r="14684" spans="9:9" x14ac:dyDescent="0.2">
      <c r="I14684" s="137" t="s">
        <v>74</v>
      </c>
    </row>
    <row r="14685" spans="9:9" x14ac:dyDescent="0.2">
      <c r="I14685" s="137" t="s">
        <v>74</v>
      </c>
    </row>
    <row r="14686" spans="9:9" x14ac:dyDescent="0.2">
      <c r="I14686" s="137" t="s">
        <v>74</v>
      </c>
    </row>
    <row r="14687" spans="9:9" x14ac:dyDescent="0.2">
      <c r="I14687" s="137" t="s">
        <v>74</v>
      </c>
    </row>
    <row r="14688" spans="9:9" x14ac:dyDescent="0.2">
      <c r="I14688" s="137" t="s">
        <v>74</v>
      </c>
    </row>
    <row r="14689" spans="9:9" x14ac:dyDescent="0.2">
      <c r="I14689" s="137" t="s">
        <v>74</v>
      </c>
    </row>
    <row r="14690" spans="9:9" x14ac:dyDescent="0.2">
      <c r="I14690" s="137" t="s">
        <v>74</v>
      </c>
    </row>
    <row r="14691" spans="9:9" x14ac:dyDescent="0.2">
      <c r="I14691" s="137" t="s">
        <v>74</v>
      </c>
    </row>
    <row r="14692" spans="9:9" x14ac:dyDescent="0.2">
      <c r="I14692" s="137" t="s">
        <v>74</v>
      </c>
    </row>
    <row r="14693" spans="9:9" x14ac:dyDescent="0.2">
      <c r="I14693" s="137" t="s">
        <v>74</v>
      </c>
    </row>
    <row r="14694" spans="9:9" x14ac:dyDescent="0.2">
      <c r="I14694" s="137" t="s">
        <v>74</v>
      </c>
    </row>
    <row r="14695" spans="9:9" x14ac:dyDescent="0.2">
      <c r="I14695" s="137" t="s">
        <v>74</v>
      </c>
    </row>
    <row r="14696" spans="9:9" x14ac:dyDescent="0.2">
      <c r="I14696" s="137" t="s">
        <v>74</v>
      </c>
    </row>
    <row r="14697" spans="9:9" x14ac:dyDescent="0.2">
      <c r="I14697" s="137" t="s">
        <v>74</v>
      </c>
    </row>
    <row r="14698" spans="9:9" x14ac:dyDescent="0.2">
      <c r="I14698" s="137" t="s">
        <v>74</v>
      </c>
    </row>
    <row r="14699" spans="9:9" x14ac:dyDescent="0.2">
      <c r="I14699" s="137" t="s">
        <v>74</v>
      </c>
    </row>
    <row r="14700" spans="9:9" x14ac:dyDescent="0.2">
      <c r="I14700" s="137" t="s">
        <v>74</v>
      </c>
    </row>
    <row r="14701" spans="9:9" x14ac:dyDescent="0.2">
      <c r="I14701" s="137" t="s">
        <v>74</v>
      </c>
    </row>
    <row r="14702" spans="9:9" x14ac:dyDescent="0.2">
      <c r="I14702" s="137" t="s">
        <v>74</v>
      </c>
    </row>
    <row r="14703" spans="9:9" x14ac:dyDescent="0.2">
      <c r="I14703" s="137" t="s">
        <v>74</v>
      </c>
    </row>
    <row r="14704" spans="9:9" x14ac:dyDescent="0.2">
      <c r="I14704" s="137" t="s">
        <v>74</v>
      </c>
    </row>
    <row r="14705" spans="9:9" x14ac:dyDescent="0.2">
      <c r="I14705" s="137" t="s">
        <v>74</v>
      </c>
    </row>
    <row r="14706" spans="9:9" x14ac:dyDescent="0.2">
      <c r="I14706" s="137" t="s">
        <v>74</v>
      </c>
    </row>
    <row r="14707" spans="9:9" x14ac:dyDescent="0.2">
      <c r="I14707" s="137" t="s">
        <v>74</v>
      </c>
    </row>
    <row r="14708" spans="9:9" x14ac:dyDescent="0.2">
      <c r="I14708" s="137" t="s">
        <v>74</v>
      </c>
    </row>
    <row r="14709" spans="9:9" x14ac:dyDescent="0.2">
      <c r="I14709" s="137" t="s">
        <v>74</v>
      </c>
    </row>
    <row r="14710" spans="9:9" x14ac:dyDescent="0.2">
      <c r="I14710" s="137" t="s">
        <v>74</v>
      </c>
    </row>
    <row r="14711" spans="9:9" x14ac:dyDescent="0.2">
      <c r="I14711" s="137" t="s">
        <v>74</v>
      </c>
    </row>
    <row r="14712" spans="9:9" x14ac:dyDescent="0.2">
      <c r="I14712" s="137" t="s">
        <v>74</v>
      </c>
    </row>
    <row r="14713" spans="9:9" x14ac:dyDescent="0.2">
      <c r="I14713" s="137" t="s">
        <v>74</v>
      </c>
    </row>
    <row r="14714" spans="9:9" x14ac:dyDescent="0.2">
      <c r="I14714" s="137" t="s">
        <v>74</v>
      </c>
    </row>
    <row r="14715" spans="9:9" x14ac:dyDescent="0.2">
      <c r="I14715" s="137" t="s">
        <v>74</v>
      </c>
    </row>
    <row r="14716" spans="9:9" x14ac:dyDescent="0.2">
      <c r="I14716" s="137" t="s">
        <v>74</v>
      </c>
    </row>
    <row r="14717" spans="9:9" x14ac:dyDescent="0.2">
      <c r="I14717" s="137" t="s">
        <v>74</v>
      </c>
    </row>
    <row r="14718" spans="9:9" x14ac:dyDescent="0.2">
      <c r="I14718" s="137" t="s">
        <v>74</v>
      </c>
    </row>
    <row r="14719" spans="9:9" x14ac:dyDescent="0.2">
      <c r="I14719" s="137" t="s">
        <v>74</v>
      </c>
    </row>
    <row r="14720" spans="9:9" x14ac:dyDescent="0.2">
      <c r="I14720" s="137" t="s">
        <v>74</v>
      </c>
    </row>
    <row r="14721" spans="9:9" x14ac:dyDescent="0.2">
      <c r="I14721" s="137" t="s">
        <v>74</v>
      </c>
    </row>
    <row r="14722" spans="9:9" x14ac:dyDescent="0.2">
      <c r="I14722" s="137" t="s">
        <v>74</v>
      </c>
    </row>
    <row r="14723" spans="9:9" x14ac:dyDescent="0.2">
      <c r="I14723" s="137" t="s">
        <v>74</v>
      </c>
    </row>
    <row r="14724" spans="9:9" x14ac:dyDescent="0.2">
      <c r="I14724" s="137" t="s">
        <v>74</v>
      </c>
    </row>
    <row r="14725" spans="9:9" x14ac:dyDescent="0.2">
      <c r="I14725" s="137" t="s">
        <v>74</v>
      </c>
    </row>
    <row r="14726" spans="9:9" x14ac:dyDescent="0.2">
      <c r="I14726" s="137" t="s">
        <v>74</v>
      </c>
    </row>
    <row r="14727" spans="9:9" x14ac:dyDescent="0.2">
      <c r="I14727" s="137" t="s">
        <v>74</v>
      </c>
    </row>
    <row r="14728" spans="9:9" x14ac:dyDescent="0.2">
      <c r="I14728" s="137" t="s">
        <v>74</v>
      </c>
    </row>
    <row r="14729" spans="9:9" x14ac:dyDescent="0.2">
      <c r="I14729" s="137" t="s">
        <v>74</v>
      </c>
    </row>
    <row r="14730" spans="9:9" x14ac:dyDescent="0.2">
      <c r="I14730" s="137" t="s">
        <v>74</v>
      </c>
    </row>
    <row r="14731" spans="9:9" x14ac:dyDescent="0.2">
      <c r="I14731" s="137" t="s">
        <v>74</v>
      </c>
    </row>
    <row r="14732" spans="9:9" x14ac:dyDescent="0.2">
      <c r="I14732" s="137" t="s">
        <v>74</v>
      </c>
    </row>
    <row r="14733" spans="9:9" x14ac:dyDescent="0.2">
      <c r="I14733" s="137" t="s">
        <v>74</v>
      </c>
    </row>
    <row r="14734" spans="9:9" x14ac:dyDescent="0.2">
      <c r="I14734" s="137" t="s">
        <v>74</v>
      </c>
    </row>
    <row r="14735" spans="9:9" x14ac:dyDescent="0.2">
      <c r="I14735" s="137" t="s">
        <v>74</v>
      </c>
    </row>
    <row r="14736" spans="9:9" x14ac:dyDescent="0.2">
      <c r="I14736" s="137" t="s">
        <v>74</v>
      </c>
    </row>
    <row r="14737" spans="9:9" x14ac:dyDescent="0.2">
      <c r="I14737" s="137" t="s">
        <v>74</v>
      </c>
    </row>
    <row r="14738" spans="9:9" x14ac:dyDescent="0.2">
      <c r="I14738" s="137" t="s">
        <v>74</v>
      </c>
    </row>
    <row r="14739" spans="9:9" x14ac:dyDescent="0.2">
      <c r="I14739" s="137" t="s">
        <v>74</v>
      </c>
    </row>
    <row r="14740" spans="9:9" x14ac:dyDescent="0.2">
      <c r="I14740" s="137" t="s">
        <v>74</v>
      </c>
    </row>
    <row r="14741" spans="9:9" x14ac:dyDescent="0.2">
      <c r="I14741" s="137" t="s">
        <v>74</v>
      </c>
    </row>
    <row r="14742" spans="9:9" x14ac:dyDescent="0.2">
      <c r="I14742" s="137" t="s">
        <v>74</v>
      </c>
    </row>
    <row r="14743" spans="9:9" x14ac:dyDescent="0.2">
      <c r="I14743" s="137" t="s">
        <v>74</v>
      </c>
    </row>
    <row r="14744" spans="9:9" x14ac:dyDescent="0.2">
      <c r="I14744" s="137" t="s">
        <v>74</v>
      </c>
    </row>
    <row r="14745" spans="9:9" x14ac:dyDescent="0.2">
      <c r="I14745" s="137" t="s">
        <v>74</v>
      </c>
    </row>
    <row r="14746" spans="9:9" x14ac:dyDescent="0.2">
      <c r="I14746" s="137" t="s">
        <v>74</v>
      </c>
    </row>
    <row r="14747" spans="9:9" x14ac:dyDescent="0.2">
      <c r="I14747" s="137" t="s">
        <v>74</v>
      </c>
    </row>
    <row r="14748" spans="9:9" x14ac:dyDescent="0.2">
      <c r="I14748" s="137" t="s">
        <v>74</v>
      </c>
    </row>
    <row r="14749" spans="9:9" x14ac:dyDescent="0.2">
      <c r="I14749" s="137" t="s">
        <v>74</v>
      </c>
    </row>
    <row r="14750" spans="9:9" x14ac:dyDescent="0.2">
      <c r="I14750" s="137" t="s">
        <v>74</v>
      </c>
    </row>
    <row r="14751" spans="9:9" x14ac:dyDescent="0.2">
      <c r="I14751" s="137" t="s">
        <v>74</v>
      </c>
    </row>
    <row r="14752" spans="9:9" x14ac:dyDescent="0.2">
      <c r="I14752" s="137" t="s">
        <v>74</v>
      </c>
    </row>
    <row r="14753" spans="9:9" x14ac:dyDescent="0.2">
      <c r="I14753" s="137" t="s">
        <v>74</v>
      </c>
    </row>
    <row r="14754" spans="9:9" x14ac:dyDescent="0.2">
      <c r="I14754" s="137" t="s">
        <v>74</v>
      </c>
    </row>
    <row r="14755" spans="9:9" x14ac:dyDescent="0.2">
      <c r="I14755" s="137" t="s">
        <v>74</v>
      </c>
    </row>
    <row r="14756" spans="9:9" x14ac:dyDescent="0.2">
      <c r="I14756" s="137" t="s">
        <v>74</v>
      </c>
    </row>
    <row r="14757" spans="9:9" x14ac:dyDescent="0.2">
      <c r="I14757" s="137" t="s">
        <v>74</v>
      </c>
    </row>
    <row r="14758" spans="9:9" x14ac:dyDescent="0.2">
      <c r="I14758" s="137" t="s">
        <v>74</v>
      </c>
    </row>
    <row r="14759" spans="9:9" x14ac:dyDescent="0.2">
      <c r="I14759" s="137" t="s">
        <v>74</v>
      </c>
    </row>
    <row r="14760" spans="9:9" x14ac:dyDescent="0.2">
      <c r="I14760" s="137" t="s">
        <v>74</v>
      </c>
    </row>
    <row r="14761" spans="9:9" x14ac:dyDescent="0.2">
      <c r="I14761" s="137" t="s">
        <v>74</v>
      </c>
    </row>
    <row r="14762" spans="9:9" x14ac:dyDescent="0.2">
      <c r="I14762" s="137" t="s">
        <v>74</v>
      </c>
    </row>
    <row r="14763" spans="9:9" x14ac:dyDescent="0.2">
      <c r="I14763" s="137" t="s">
        <v>74</v>
      </c>
    </row>
    <row r="14764" spans="9:9" x14ac:dyDescent="0.2">
      <c r="I14764" s="137" t="s">
        <v>74</v>
      </c>
    </row>
    <row r="14765" spans="9:9" x14ac:dyDescent="0.2">
      <c r="I14765" s="137" t="s">
        <v>74</v>
      </c>
    </row>
    <row r="14766" spans="9:9" x14ac:dyDescent="0.2">
      <c r="I14766" s="137" t="s">
        <v>74</v>
      </c>
    </row>
    <row r="14767" spans="9:9" x14ac:dyDescent="0.2">
      <c r="I14767" s="137" t="s">
        <v>74</v>
      </c>
    </row>
    <row r="14768" spans="9:9" x14ac:dyDescent="0.2">
      <c r="I14768" s="137" t="s">
        <v>74</v>
      </c>
    </row>
    <row r="14769" spans="9:9" x14ac:dyDescent="0.2">
      <c r="I14769" s="137" t="s">
        <v>74</v>
      </c>
    </row>
    <row r="14770" spans="9:9" x14ac:dyDescent="0.2">
      <c r="I14770" s="137" t="s">
        <v>74</v>
      </c>
    </row>
    <row r="14771" spans="9:9" x14ac:dyDescent="0.2">
      <c r="I14771" s="137" t="s">
        <v>74</v>
      </c>
    </row>
    <row r="14772" spans="9:9" x14ac:dyDescent="0.2">
      <c r="I14772" s="137" t="s">
        <v>74</v>
      </c>
    </row>
    <row r="14773" spans="9:9" x14ac:dyDescent="0.2">
      <c r="I14773" s="137" t="s">
        <v>74</v>
      </c>
    </row>
    <row r="14774" spans="9:9" x14ac:dyDescent="0.2">
      <c r="I14774" s="137" t="s">
        <v>74</v>
      </c>
    </row>
    <row r="14775" spans="9:9" x14ac:dyDescent="0.2">
      <c r="I14775" s="137" t="s">
        <v>74</v>
      </c>
    </row>
    <row r="14776" spans="9:9" x14ac:dyDescent="0.2">
      <c r="I14776" s="137" t="s">
        <v>74</v>
      </c>
    </row>
    <row r="14777" spans="9:9" x14ac:dyDescent="0.2">
      <c r="I14777" s="137" t="s">
        <v>74</v>
      </c>
    </row>
    <row r="14778" spans="9:9" x14ac:dyDescent="0.2">
      <c r="I14778" s="137" t="s">
        <v>74</v>
      </c>
    </row>
    <row r="14779" spans="9:9" x14ac:dyDescent="0.2">
      <c r="I14779" s="137" t="s">
        <v>74</v>
      </c>
    </row>
    <row r="14780" spans="9:9" x14ac:dyDescent="0.2">
      <c r="I14780" s="137" t="s">
        <v>74</v>
      </c>
    </row>
    <row r="14781" spans="9:9" x14ac:dyDescent="0.2">
      <c r="I14781" s="137" t="s">
        <v>74</v>
      </c>
    </row>
    <row r="14782" spans="9:9" x14ac:dyDescent="0.2">
      <c r="I14782" s="137" t="s">
        <v>74</v>
      </c>
    </row>
    <row r="14783" spans="9:9" x14ac:dyDescent="0.2">
      <c r="I14783" s="137" t="s">
        <v>74</v>
      </c>
    </row>
    <row r="14784" spans="9:9" x14ac:dyDescent="0.2">
      <c r="I14784" s="137" t="s">
        <v>74</v>
      </c>
    </row>
    <row r="14785" spans="9:9" x14ac:dyDescent="0.2">
      <c r="I14785" s="137" t="s">
        <v>74</v>
      </c>
    </row>
    <row r="14786" spans="9:9" x14ac:dyDescent="0.2">
      <c r="I14786" s="137" t="s">
        <v>74</v>
      </c>
    </row>
    <row r="14787" spans="9:9" x14ac:dyDescent="0.2">
      <c r="I14787" s="137" t="s">
        <v>74</v>
      </c>
    </row>
    <row r="14788" spans="9:9" x14ac:dyDescent="0.2">
      <c r="I14788" s="137" t="s">
        <v>74</v>
      </c>
    </row>
    <row r="14789" spans="9:9" x14ac:dyDescent="0.2">
      <c r="I14789" s="137" t="s">
        <v>74</v>
      </c>
    </row>
    <row r="14790" spans="9:9" x14ac:dyDescent="0.2">
      <c r="I14790" s="137" t="s">
        <v>74</v>
      </c>
    </row>
    <row r="14791" spans="9:9" x14ac:dyDescent="0.2">
      <c r="I14791" s="137" t="s">
        <v>74</v>
      </c>
    </row>
    <row r="14792" spans="9:9" x14ac:dyDescent="0.2">
      <c r="I14792" s="137" t="s">
        <v>74</v>
      </c>
    </row>
    <row r="14793" spans="9:9" x14ac:dyDescent="0.2">
      <c r="I14793" s="137" t="s">
        <v>74</v>
      </c>
    </row>
    <row r="14794" spans="9:9" x14ac:dyDescent="0.2">
      <c r="I14794" s="137" t="s">
        <v>74</v>
      </c>
    </row>
    <row r="14795" spans="9:9" x14ac:dyDescent="0.2">
      <c r="I14795" s="137" t="s">
        <v>74</v>
      </c>
    </row>
    <row r="14796" spans="9:9" x14ac:dyDescent="0.2">
      <c r="I14796" s="137" t="s">
        <v>74</v>
      </c>
    </row>
    <row r="14797" spans="9:9" x14ac:dyDescent="0.2">
      <c r="I14797" s="137" t="s">
        <v>74</v>
      </c>
    </row>
    <row r="14798" spans="9:9" x14ac:dyDescent="0.2">
      <c r="I14798" s="137" t="s">
        <v>74</v>
      </c>
    </row>
    <row r="14799" spans="9:9" x14ac:dyDescent="0.2">
      <c r="I14799" s="137" t="s">
        <v>74</v>
      </c>
    </row>
    <row r="14800" spans="9:9" x14ac:dyDescent="0.2">
      <c r="I14800" s="137" t="s">
        <v>74</v>
      </c>
    </row>
    <row r="14801" spans="9:9" x14ac:dyDescent="0.2">
      <c r="I14801" s="137" t="s">
        <v>74</v>
      </c>
    </row>
    <row r="14802" spans="9:9" x14ac:dyDescent="0.2">
      <c r="I14802" s="137" t="s">
        <v>74</v>
      </c>
    </row>
    <row r="14803" spans="9:9" x14ac:dyDescent="0.2">
      <c r="I14803" s="137" t="s">
        <v>74</v>
      </c>
    </row>
    <row r="14804" spans="9:9" x14ac:dyDescent="0.2">
      <c r="I14804" s="137" t="s">
        <v>74</v>
      </c>
    </row>
    <row r="14805" spans="9:9" x14ac:dyDescent="0.2">
      <c r="I14805" s="137" t="s">
        <v>74</v>
      </c>
    </row>
    <row r="14806" spans="9:9" x14ac:dyDescent="0.2">
      <c r="I14806" s="137" t="s">
        <v>74</v>
      </c>
    </row>
    <row r="14807" spans="9:9" x14ac:dyDescent="0.2">
      <c r="I14807" s="137" t="s">
        <v>74</v>
      </c>
    </row>
    <row r="14808" spans="9:9" x14ac:dyDescent="0.2">
      <c r="I14808" s="137" t="s">
        <v>74</v>
      </c>
    </row>
    <row r="14809" spans="9:9" x14ac:dyDescent="0.2">
      <c r="I14809" s="137" t="s">
        <v>74</v>
      </c>
    </row>
    <row r="14810" spans="9:9" x14ac:dyDescent="0.2">
      <c r="I14810" s="137" t="s">
        <v>74</v>
      </c>
    </row>
    <row r="14811" spans="9:9" x14ac:dyDescent="0.2">
      <c r="I14811" s="137" t="s">
        <v>74</v>
      </c>
    </row>
    <row r="14812" spans="9:9" x14ac:dyDescent="0.2">
      <c r="I14812" s="137" t="s">
        <v>74</v>
      </c>
    </row>
    <row r="14813" spans="9:9" x14ac:dyDescent="0.2">
      <c r="I14813" s="137" t="s">
        <v>74</v>
      </c>
    </row>
    <row r="14814" spans="9:9" x14ac:dyDescent="0.2">
      <c r="I14814" s="137" t="s">
        <v>74</v>
      </c>
    </row>
    <row r="14815" spans="9:9" x14ac:dyDescent="0.2">
      <c r="I14815" s="137" t="s">
        <v>74</v>
      </c>
    </row>
    <row r="14816" spans="9:9" x14ac:dyDescent="0.2">
      <c r="I14816" s="137" t="s">
        <v>74</v>
      </c>
    </row>
    <row r="14817" spans="9:9" x14ac:dyDescent="0.2">
      <c r="I14817" s="137" t="s">
        <v>74</v>
      </c>
    </row>
    <row r="14818" spans="9:9" x14ac:dyDescent="0.2">
      <c r="I14818" s="137" t="s">
        <v>74</v>
      </c>
    </row>
    <row r="14819" spans="9:9" x14ac:dyDescent="0.2">
      <c r="I14819" s="137" t="s">
        <v>74</v>
      </c>
    </row>
    <row r="14820" spans="9:9" x14ac:dyDescent="0.2">
      <c r="I14820" s="137" t="s">
        <v>74</v>
      </c>
    </row>
    <row r="14821" spans="9:9" x14ac:dyDescent="0.2">
      <c r="I14821" s="137" t="s">
        <v>74</v>
      </c>
    </row>
    <row r="14822" spans="9:9" x14ac:dyDescent="0.2">
      <c r="I14822" s="137" t="s">
        <v>74</v>
      </c>
    </row>
    <row r="14823" spans="9:9" x14ac:dyDescent="0.2">
      <c r="I14823" s="137" t="s">
        <v>74</v>
      </c>
    </row>
    <row r="14824" spans="9:9" x14ac:dyDescent="0.2">
      <c r="I14824" s="137" t="s">
        <v>74</v>
      </c>
    </row>
    <row r="14825" spans="9:9" x14ac:dyDescent="0.2">
      <c r="I14825" s="137" t="s">
        <v>74</v>
      </c>
    </row>
    <row r="14826" spans="9:9" x14ac:dyDescent="0.2">
      <c r="I14826" s="137" t="s">
        <v>74</v>
      </c>
    </row>
    <row r="14827" spans="9:9" x14ac:dyDescent="0.2">
      <c r="I14827" s="137" t="s">
        <v>74</v>
      </c>
    </row>
    <row r="14828" spans="9:9" x14ac:dyDescent="0.2">
      <c r="I14828" s="137" t="s">
        <v>74</v>
      </c>
    </row>
    <row r="14829" spans="9:9" x14ac:dyDescent="0.2">
      <c r="I14829" s="137" t="s">
        <v>74</v>
      </c>
    </row>
    <row r="14830" spans="9:9" x14ac:dyDescent="0.2">
      <c r="I14830" s="137" t="s">
        <v>74</v>
      </c>
    </row>
    <row r="14831" spans="9:9" x14ac:dyDescent="0.2">
      <c r="I14831" s="137" t="s">
        <v>74</v>
      </c>
    </row>
    <row r="14832" spans="9:9" x14ac:dyDescent="0.2">
      <c r="I14832" s="137" t="s">
        <v>74</v>
      </c>
    </row>
    <row r="14833" spans="9:9" x14ac:dyDescent="0.2">
      <c r="I14833" s="137" t="s">
        <v>74</v>
      </c>
    </row>
    <row r="14834" spans="9:9" x14ac:dyDescent="0.2">
      <c r="I14834" s="137" t="s">
        <v>74</v>
      </c>
    </row>
    <row r="14835" spans="9:9" x14ac:dyDescent="0.2">
      <c r="I14835" s="137" t="s">
        <v>74</v>
      </c>
    </row>
    <row r="14836" spans="9:9" x14ac:dyDescent="0.2">
      <c r="I14836" s="137" t="s">
        <v>74</v>
      </c>
    </row>
    <row r="14837" spans="9:9" x14ac:dyDescent="0.2">
      <c r="I14837" s="137" t="s">
        <v>74</v>
      </c>
    </row>
    <row r="14838" spans="9:9" x14ac:dyDescent="0.2">
      <c r="I14838" s="137" t="s">
        <v>74</v>
      </c>
    </row>
    <row r="14839" spans="9:9" x14ac:dyDescent="0.2">
      <c r="I14839" s="137" t="s">
        <v>74</v>
      </c>
    </row>
    <row r="14840" spans="9:9" x14ac:dyDescent="0.2">
      <c r="I14840" s="137" t="s">
        <v>74</v>
      </c>
    </row>
    <row r="14841" spans="9:9" x14ac:dyDescent="0.2">
      <c r="I14841" s="137" t="s">
        <v>74</v>
      </c>
    </row>
    <row r="14842" spans="9:9" x14ac:dyDescent="0.2">
      <c r="I14842" s="137" t="s">
        <v>74</v>
      </c>
    </row>
    <row r="14843" spans="9:9" x14ac:dyDescent="0.2">
      <c r="I14843" s="137" t="s">
        <v>74</v>
      </c>
    </row>
    <row r="14844" spans="9:9" x14ac:dyDescent="0.2">
      <c r="I14844" s="137" t="s">
        <v>74</v>
      </c>
    </row>
    <row r="14845" spans="9:9" x14ac:dyDescent="0.2">
      <c r="I14845" s="137" t="s">
        <v>74</v>
      </c>
    </row>
    <row r="14846" spans="9:9" x14ac:dyDescent="0.2">
      <c r="I14846" s="137" t="s">
        <v>74</v>
      </c>
    </row>
    <row r="14847" spans="9:9" x14ac:dyDescent="0.2">
      <c r="I14847" s="137" t="s">
        <v>74</v>
      </c>
    </row>
    <row r="14848" spans="9:9" x14ac:dyDescent="0.2">
      <c r="I14848" s="137" t="s">
        <v>74</v>
      </c>
    </row>
    <row r="14849" spans="9:9" x14ac:dyDescent="0.2">
      <c r="I14849" s="137" t="s">
        <v>74</v>
      </c>
    </row>
    <row r="14850" spans="9:9" x14ac:dyDescent="0.2">
      <c r="I14850" s="137" t="s">
        <v>74</v>
      </c>
    </row>
    <row r="14851" spans="9:9" x14ac:dyDescent="0.2">
      <c r="I14851" s="137" t="s">
        <v>74</v>
      </c>
    </row>
    <row r="14852" spans="9:9" x14ac:dyDescent="0.2">
      <c r="I14852" s="137" t="s">
        <v>74</v>
      </c>
    </row>
    <row r="14853" spans="9:9" x14ac:dyDescent="0.2">
      <c r="I14853" s="137" t="s">
        <v>74</v>
      </c>
    </row>
    <row r="14854" spans="9:9" x14ac:dyDescent="0.2">
      <c r="I14854" s="137" t="s">
        <v>74</v>
      </c>
    </row>
    <row r="14855" spans="9:9" x14ac:dyDescent="0.2">
      <c r="I14855" s="137" t="s">
        <v>74</v>
      </c>
    </row>
    <row r="14856" spans="9:9" x14ac:dyDescent="0.2">
      <c r="I14856" s="137" t="s">
        <v>74</v>
      </c>
    </row>
    <row r="14857" spans="9:9" x14ac:dyDescent="0.2">
      <c r="I14857" s="137" t="s">
        <v>74</v>
      </c>
    </row>
    <row r="14858" spans="9:9" x14ac:dyDescent="0.2">
      <c r="I14858" s="137" t="s">
        <v>74</v>
      </c>
    </row>
    <row r="14859" spans="9:9" x14ac:dyDescent="0.2">
      <c r="I14859" s="137" t="s">
        <v>74</v>
      </c>
    </row>
    <row r="14860" spans="9:9" x14ac:dyDescent="0.2">
      <c r="I14860" s="137" t="s">
        <v>74</v>
      </c>
    </row>
    <row r="14861" spans="9:9" x14ac:dyDescent="0.2">
      <c r="I14861" s="137" t="s">
        <v>74</v>
      </c>
    </row>
    <row r="14862" spans="9:9" x14ac:dyDescent="0.2">
      <c r="I14862" s="137" t="s">
        <v>74</v>
      </c>
    </row>
    <row r="14863" spans="9:9" x14ac:dyDescent="0.2">
      <c r="I14863" s="137" t="s">
        <v>74</v>
      </c>
    </row>
    <row r="14864" spans="9:9" x14ac:dyDescent="0.2">
      <c r="I14864" s="137" t="s">
        <v>74</v>
      </c>
    </row>
    <row r="14865" spans="9:9" x14ac:dyDescent="0.2">
      <c r="I14865" s="137" t="s">
        <v>74</v>
      </c>
    </row>
    <row r="14866" spans="9:9" x14ac:dyDescent="0.2">
      <c r="I14866" s="137" t="s">
        <v>74</v>
      </c>
    </row>
    <row r="14867" spans="9:9" x14ac:dyDescent="0.2">
      <c r="I14867" s="137" t="s">
        <v>74</v>
      </c>
    </row>
    <row r="14868" spans="9:9" x14ac:dyDescent="0.2">
      <c r="I14868" s="137" t="s">
        <v>74</v>
      </c>
    </row>
    <row r="14869" spans="9:9" x14ac:dyDescent="0.2">
      <c r="I14869" s="137" t="s">
        <v>74</v>
      </c>
    </row>
    <row r="14870" spans="9:9" x14ac:dyDescent="0.2">
      <c r="I14870" s="137" t="s">
        <v>74</v>
      </c>
    </row>
    <row r="14871" spans="9:9" x14ac:dyDescent="0.2">
      <c r="I14871" s="137" t="s">
        <v>74</v>
      </c>
    </row>
    <row r="14872" spans="9:9" x14ac:dyDescent="0.2">
      <c r="I14872" s="137" t="s">
        <v>74</v>
      </c>
    </row>
    <row r="14873" spans="9:9" x14ac:dyDescent="0.2">
      <c r="I14873" s="137" t="s">
        <v>74</v>
      </c>
    </row>
    <row r="14874" spans="9:9" x14ac:dyDescent="0.2">
      <c r="I14874" s="137" t="s">
        <v>74</v>
      </c>
    </row>
    <row r="14875" spans="9:9" x14ac:dyDescent="0.2">
      <c r="I14875" s="137" t="s">
        <v>74</v>
      </c>
    </row>
    <row r="14876" spans="9:9" x14ac:dyDescent="0.2">
      <c r="I14876" s="137" t="s">
        <v>74</v>
      </c>
    </row>
    <row r="14877" spans="9:9" x14ac:dyDescent="0.2">
      <c r="I14877" s="137" t="s">
        <v>74</v>
      </c>
    </row>
    <row r="14878" spans="9:9" x14ac:dyDescent="0.2">
      <c r="I14878" s="137" t="s">
        <v>74</v>
      </c>
    </row>
    <row r="14879" spans="9:9" x14ac:dyDescent="0.2">
      <c r="I14879" s="137" t="s">
        <v>74</v>
      </c>
    </row>
    <row r="14880" spans="9:9" x14ac:dyDescent="0.2">
      <c r="I14880" s="137" t="s">
        <v>74</v>
      </c>
    </row>
    <row r="14881" spans="9:9" x14ac:dyDescent="0.2">
      <c r="I14881" s="137" t="s">
        <v>74</v>
      </c>
    </row>
    <row r="14882" spans="9:9" x14ac:dyDescent="0.2">
      <c r="I14882" s="137" t="s">
        <v>74</v>
      </c>
    </row>
    <row r="14883" spans="9:9" x14ac:dyDescent="0.2">
      <c r="I14883" s="137" t="s">
        <v>74</v>
      </c>
    </row>
    <row r="14884" spans="9:9" x14ac:dyDescent="0.2">
      <c r="I14884" s="137" t="s">
        <v>74</v>
      </c>
    </row>
    <row r="14885" spans="9:9" x14ac:dyDescent="0.2">
      <c r="I14885" s="137" t="s">
        <v>74</v>
      </c>
    </row>
    <row r="14886" spans="9:9" x14ac:dyDescent="0.2">
      <c r="I14886" s="137" t="s">
        <v>74</v>
      </c>
    </row>
    <row r="14887" spans="9:9" x14ac:dyDescent="0.2">
      <c r="I14887" s="137" t="s">
        <v>74</v>
      </c>
    </row>
    <row r="14888" spans="9:9" x14ac:dyDescent="0.2">
      <c r="I14888" s="137" t="s">
        <v>74</v>
      </c>
    </row>
    <row r="14889" spans="9:9" x14ac:dyDescent="0.2">
      <c r="I14889" s="137" t="s">
        <v>74</v>
      </c>
    </row>
    <row r="14890" spans="9:9" x14ac:dyDescent="0.2">
      <c r="I14890" s="137" t="s">
        <v>74</v>
      </c>
    </row>
    <row r="14891" spans="9:9" x14ac:dyDescent="0.2">
      <c r="I14891" s="137" t="s">
        <v>74</v>
      </c>
    </row>
    <row r="14892" spans="9:9" x14ac:dyDescent="0.2">
      <c r="I14892" s="137" t="s">
        <v>74</v>
      </c>
    </row>
    <row r="14893" spans="9:9" x14ac:dyDescent="0.2">
      <c r="I14893" s="137" t="s">
        <v>74</v>
      </c>
    </row>
    <row r="14894" spans="9:9" x14ac:dyDescent="0.2">
      <c r="I14894" s="137" t="s">
        <v>74</v>
      </c>
    </row>
    <row r="14895" spans="9:9" x14ac:dyDescent="0.2">
      <c r="I14895" s="137" t="s">
        <v>74</v>
      </c>
    </row>
    <row r="14896" spans="9:9" x14ac:dyDescent="0.2">
      <c r="I14896" s="137" t="s">
        <v>74</v>
      </c>
    </row>
    <row r="14897" spans="9:9" x14ac:dyDescent="0.2">
      <c r="I14897" s="137" t="s">
        <v>74</v>
      </c>
    </row>
    <row r="14898" spans="9:9" x14ac:dyDescent="0.2">
      <c r="I14898" s="137" t="s">
        <v>74</v>
      </c>
    </row>
    <row r="14899" spans="9:9" x14ac:dyDescent="0.2">
      <c r="I14899" s="137" t="s">
        <v>74</v>
      </c>
    </row>
    <row r="14900" spans="9:9" x14ac:dyDescent="0.2">
      <c r="I14900" s="137" t="s">
        <v>74</v>
      </c>
    </row>
    <row r="14901" spans="9:9" x14ac:dyDescent="0.2">
      <c r="I14901" s="137" t="s">
        <v>74</v>
      </c>
    </row>
    <row r="14902" spans="9:9" x14ac:dyDescent="0.2">
      <c r="I14902" s="137" t="s">
        <v>74</v>
      </c>
    </row>
    <row r="14903" spans="9:9" x14ac:dyDescent="0.2">
      <c r="I14903" s="137" t="s">
        <v>74</v>
      </c>
    </row>
    <row r="14904" spans="9:9" x14ac:dyDescent="0.2">
      <c r="I14904" s="137" t="s">
        <v>74</v>
      </c>
    </row>
    <row r="14905" spans="9:9" x14ac:dyDescent="0.2">
      <c r="I14905" s="137" t="s">
        <v>74</v>
      </c>
    </row>
    <row r="14906" spans="9:9" x14ac:dyDescent="0.2">
      <c r="I14906" s="137" t="s">
        <v>74</v>
      </c>
    </row>
    <row r="14907" spans="9:9" x14ac:dyDescent="0.2">
      <c r="I14907" s="137" t="s">
        <v>74</v>
      </c>
    </row>
    <row r="14908" spans="9:9" x14ac:dyDescent="0.2">
      <c r="I14908" s="137" t="s">
        <v>74</v>
      </c>
    </row>
    <row r="14909" spans="9:9" x14ac:dyDescent="0.2">
      <c r="I14909" s="137" t="s">
        <v>74</v>
      </c>
    </row>
    <row r="14910" spans="9:9" x14ac:dyDescent="0.2">
      <c r="I14910" s="137" t="s">
        <v>74</v>
      </c>
    </row>
    <row r="14911" spans="9:9" x14ac:dyDescent="0.2">
      <c r="I14911" s="137" t="s">
        <v>74</v>
      </c>
    </row>
    <row r="14912" spans="9:9" x14ac:dyDescent="0.2">
      <c r="I14912" s="137" t="s">
        <v>74</v>
      </c>
    </row>
    <row r="14913" spans="9:9" x14ac:dyDescent="0.2">
      <c r="I14913" s="137" t="s">
        <v>74</v>
      </c>
    </row>
    <row r="14914" spans="9:9" x14ac:dyDescent="0.2">
      <c r="I14914" s="137" t="s">
        <v>74</v>
      </c>
    </row>
    <row r="14915" spans="9:9" x14ac:dyDescent="0.2">
      <c r="I14915" s="137" t="s">
        <v>74</v>
      </c>
    </row>
    <row r="14916" spans="9:9" x14ac:dyDescent="0.2">
      <c r="I14916" s="137" t="s">
        <v>74</v>
      </c>
    </row>
    <row r="14917" spans="9:9" x14ac:dyDescent="0.2">
      <c r="I14917" s="137" t="s">
        <v>74</v>
      </c>
    </row>
    <row r="14918" spans="9:9" x14ac:dyDescent="0.2">
      <c r="I14918" s="137" t="s">
        <v>74</v>
      </c>
    </row>
    <row r="14919" spans="9:9" x14ac:dyDescent="0.2">
      <c r="I14919" s="137" t="s">
        <v>74</v>
      </c>
    </row>
    <row r="14920" spans="9:9" x14ac:dyDescent="0.2">
      <c r="I14920" s="137" t="s">
        <v>74</v>
      </c>
    </row>
    <row r="14921" spans="9:9" x14ac:dyDescent="0.2">
      <c r="I14921" s="137" t="s">
        <v>74</v>
      </c>
    </row>
    <row r="14922" spans="9:9" x14ac:dyDescent="0.2">
      <c r="I14922" s="137" t="s">
        <v>74</v>
      </c>
    </row>
    <row r="14923" spans="9:9" x14ac:dyDescent="0.2">
      <c r="I14923" s="137" t="s">
        <v>74</v>
      </c>
    </row>
    <row r="14924" spans="9:9" x14ac:dyDescent="0.2">
      <c r="I14924" s="137" t="s">
        <v>74</v>
      </c>
    </row>
    <row r="14925" spans="9:9" x14ac:dyDescent="0.2">
      <c r="I14925" s="137" t="s">
        <v>74</v>
      </c>
    </row>
    <row r="14926" spans="9:9" x14ac:dyDescent="0.2">
      <c r="I14926" s="137" t="s">
        <v>74</v>
      </c>
    </row>
    <row r="14927" spans="9:9" x14ac:dyDescent="0.2">
      <c r="I14927" s="137" t="s">
        <v>74</v>
      </c>
    </row>
    <row r="14928" spans="9:9" x14ac:dyDescent="0.2">
      <c r="I14928" s="137" t="s">
        <v>74</v>
      </c>
    </row>
    <row r="14929" spans="9:9" x14ac:dyDescent="0.2">
      <c r="I14929" s="137" t="s">
        <v>74</v>
      </c>
    </row>
    <row r="14930" spans="9:9" x14ac:dyDescent="0.2">
      <c r="I14930" s="137" t="s">
        <v>74</v>
      </c>
    </row>
    <row r="14931" spans="9:9" x14ac:dyDescent="0.2">
      <c r="I14931" s="137" t="s">
        <v>74</v>
      </c>
    </row>
    <row r="14932" spans="9:9" x14ac:dyDescent="0.2">
      <c r="I14932" s="137" t="s">
        <v>74</v>
      </c>
    </row>
    <row r="14933" spans="9:9" x14ac:dyDescent="0.2">
      <c r="I14933" s="137" t="s">
        <v>74</v>
      </c>
    </row>
    <row r="14934" spans="9:9" x14ac:dyDescent="0.2">
      <c r="I14934" s="137" t="s">
        <v>74</v>
      </c>
    </row>
    <row r="14935" spans="9:9" x14ac:dyDescent="0.2">
      <c r="I14935" s="137" t="s">
        <v>74</v>
      </c>
    </row>
    <row r="14936" spans="9:9" x14ac:dyDescent="0.2">
      <c r="I14936" s="137" t="s">
        <v>74</v>
      </c>
    </row>
    <row r="14937" spans="9:9" x14ac:dyDescent="0.2">
      <c r="I14937" s="137" t="s">
        <v>74</v>
      </c>
    </row>
    <row r="14938" spans="9:9" x14ac:dyDescent="0.2">
      <c r="I14938" s="137" t="s">
        <v>74</v>
      </c>
    </row>
    <row r="14939" spans="9:9" x14ac:dyDescent="0.2">
      <c r="I14939" s="137" t="s">
        <v>74</v>
      </c>
    </row>
    <row r="14940" spans="9:9" x14ac:dyDescent="0.2">
      <c r="I14940" s="137" t="s">
        <v>74</v>
      </c>
    </row>
    <row r="14941" spans="9:9" x14ac:dyDescent="0.2">
      <c r="I14941" s="137" t="s">
        <v>74</v>
      </c>
    </row>
    <row r="14942" spans="9:9" x14ac:dyDescent="0.2">
      <c r="I14942" s="137" t="s">
        <v>74</v>
      </c>
    </row>
    <row r="14943" spans="9:9" x14ac:dyDescent="0.2">
      <c r="I14943" s="137" t="s">
        <v>74</v>
      </c>
    </row>
    <row r="14944" spans="9:9" x14ac:dyDescent="0.2">
      <c r="I14944" s="137" t="s">
        <v>74</v>
      </c>
    </row>
    <row r="14945" spans="9:9" x14ac:dyDescent="0.2">
      <c r="I14945" s="137" t="s">
        <v>74</v>
      </c>
    </row>
    <row r="14946" spans="9:9" x14ac:dyDescent="0.2">
      <c r="I14946" s="137" t="s">
        <v>74</v>
      </c>
    </row>
    <row r="14947" spans="9:9" x14ac:dyDescent="0.2">
      <c r="I14947" s="137" t="s">
        <v>74</v>
      </c>
    </row>
    <row r="14948" spans="9:9" x14ac:dyDescent="0.2">
      <c r="I14948" s="137" t="s">
        <v>74</v>
      </c>
    </row>
    <row r="14949" spans="9:9" x14ac:dyDescent="0.2">
      <c r="I14949" s="137" t="s">
        <v>74</v>
      </c>
    </row>
    <row r="14950" spans="9:9" x14ac:dyDescent="0.2">
      <c r="I14950" s="137" t="s">
        <v>74</v>
      </c>
    </row>
    <row r="14951" spans="9:9" x14ac:dyDescent="0.2">
      <c r="I14951" s="137" t="s">
        <v>74</v>
      </c>
    </row>
    <row r="14952" spans="9:9" x14ac:dyDescent="0.2">
      <c r="I14952" s="137" t="s">
        <v>74</v>
      </c>
    </row>
    <row r="14953" spans="9:9" x14ac:dyDescent="0.2">
      <c r="I14953" s="137" t="s">
        <v>74</v>
      </c>
    </row>
    <row r="14954" spans="9:9" x14ac:dyDescent="0.2">
      <c r="I14954" s="137" t="s">
        <v>74</v>
      </c>
    </row>
    <row r="14955" spans="9:9" x14ac:dyDescent="0.2">
      <c r="I14955" s="137" t="s">
        <v>74</v>
      </c>
    </row>
    <row r="14956" spans="9:9" x14ac:dyDescent="0.2">
      <c r="I14956" s="137" t="s">
        <v>74</v>
      </c>
    </row>
    <row r="14957" spans="9:9" x14ac:dyDescent="0.2">
      <c r="I14957" s="137" t="s">
        <v>74</v>
      </c>
    </row>
    <row r="14958" spans="9:9" x14ac:dyDescent="0.2">
      <c r="I14958" s="137" t="s">
        <v>74</v>
      </c>
    </row>
    <row r="14959" spans="9:9" x14ac:dyDescent="0.2">
      <c r="I14959" s="137" t="s">
        <v>74</v>
      </c>
    </row>
    <row r="14960" spans="9:9" x14ac:dyDescent="0.2">
      <c r="I14960" s="137" t="s">
        <v>74</v>
      </c>
    </row>
    <row r="14961" spans="9:9" x14ac:dyDescent="0.2">
      <c r="I14961" s="137" t="s">
        <v>74</v>
      </c>
    </row>
    <row r="14962" spans="9:9" x14ac:dyDescent="0.2">
      <c r="I14962" s="137" t="s">
        <v>74</v>
      </c>
    </row>
    <row r="14963" spans="9:9" x14ac:dyDescent="0.2">
      <c r="I14963" s="137" t="s">
        <v>74</v>
      </c>
    </row>
    <row r="14964" spans="9:9" x14ac:dyDescent="0.2">
      <c r="I14964" s="137" t="s">
        <v>74</v>
      </c>
    </row>
    <row r="14965" spans="9:9" x14ac:dyDescent="0.2">
      <c r="I14965" s="137" t="s">
        <v>74</v>
      </c>
    </row>
    <row r="14966" spans="9:9" x14ac:dyDescent="0.2">
      <c r="I14966" s="137" t="s">
        <v>74</v>
      </c>
    </row>
    <row r="14967" spans="9:9" x14ac:dyDescent="0.2">
      <c r="I14967" s="137" t="s">
        <v>74</v>
      </c>
    </row>
    <row r="14968" spans="9:9" x14ac:dyDescent="0.2">
      <c r="I14968" s="137" t="s">
        <v>74</v>
      </c>
    </row>
    <row r="14969" spans="9:9" x14ac:dyDescent="0.2">
      <c r="I14969" s="137" t="s">
        <v>74</v>
      </c>
    </row>
    <row r="14970" spans="9:9" x14ac:dyDescent="0.2">
      <c r="I14970" s="137" t="s">
        <v>74</v>
      </c>
    </row>
    <row r="14971" spans="9:9" x14ac:dyDescent="0.2">
      <c r="I14971" s="137" t="s">
        <v>74</v>
      </c>
    </row>
    <row r="14972" spans="9:9" x14ac:dyDescent="0.2">
      <c r="I14972" s="137" t="s">
        <v>74</v>
      </c>
    </row>
    <row r="14973" spans="9:9" x14ac:dyDescent="0.2">
      <c r="I14973" s="137" t="s">
        <v>74</v>
      </c>
    </row>
    <row r="14974" spans="9:9" x14ac:dyDescent="0.2">
      <c r="I14974" s="137" t="s">
        <v>74</v>
      </c>
    </row>
    <row r="14975" spans="9:9" x14ac:dyDescent="0.2">
      <c r="I14975" s="137" t="s">
        <v>74</v>
      </c>
    </row>
    <row r="14976" spans="9:9" x14ac:dyDescent="0.2">
      <c r="I14976" s="137" t="s">
        <v>74</v>
      </c>
    </row>
    <row r="14977" spans="9:9" x14ac:dyDescent="0.2">
      <c r="I14977" s="137" t="s">
        <v>74</v>
      </c>
    </row>
    <row r="14978" spans="9:9" x14ac:dyDescent="0.2">
      <c r="I14978" s="137" t="s">
        <v>74</v>
      </c>
    </row>
    <row r="14979" spans="9:9" x14ac:dyDescent="0.2">
      <c r="I14979" s="137" t="s">
        <v>74</v>
      </c>
    </row>
    <row r="14980" spans="9:9" x14ac:dyDescent="0.2">
      <c r="I14980" s="137" t="s">
        <v>74</v>
      </c>
    </row>
    <row r="14981" spans="9:9" x14ac:dyDescent="0.2">
      <c r="I14981" s="137" t="s">
        <v>74</v>
      </c>
    </row>
    <row r="14982" spans="9:9" x14ac:dyDescent="0.2">
      <c r="I14982" s="137" t="s">
        <v>74</v>
      </c>
    </row>
    <row r="14983" spans="9:9" x14ac:dyDescent="0.2">
      <c r="I14983" s="137" t="s">
        <v>74</v>
      </c>
    </row>
    <row r="14984" spans="9:9" x14ac:dyDescent="0.2">
      <c r="I14984" s="137" t="s">
        <v>74</v>
      </c>
    </row>
    <row r="14985" spans="9:9" x14ac:dyDescent="0.2">
      <c r="I14985" s="137" t="s">
        <v>74</v>
      </c>
    </row>
    <row r="14986" spans="9:9" x14ac:dyDescent="0.2">
      <c r="I14986" s="137" t="s">
        <v>74</v>
      </c>
    </row>
    <row r="14987" spans="9:9" x14ac:dyDescent="0.2">
      <c r="I14987" s="137" t="s">
        <v>74</v>
      </c>
    </row>
    <row r="14988" spans="9:9" x14ac:dyDescent="0.2">
      <c r="I14988" s="137" t="s">
        <v>74</v>
      </c>
    </row>
    <row r="14989" spans="9:9" x14ac:dyDescent="0.2">
      <c r="I14989" s="137" t="s">
        <v>74</v>
      </c>
    </row>
    <row r="14990" spans="9:9" x14ac:dyDescent="0.2">
      <c r="I14990" s="137" t="s">
        <v>74</v>
      </c>
    </row>
    <row r="14991" spans="9:9" x14ac:dyDescent="0.2">
      <c r="I14991" s="137" t="s">
        <v>74</v>
      </c>
    </row>
    <row r="14992" spans="9:9" x14ac:dyDescent="0.2">
      <c r="I14992" s="137" t="s">
        <v>74</v>
      </c>
    </row>
    <row r="14993" spans="9:9" x14ac:dyDescent="0.2">
      <c r="I14993" s="137" t="s">
        <v>74</v>
      </c>
    </row>
    <row r="14994" spans="9:9" x14ac:dyDescent="0.2">
      <c r="I14994" s="137" t="s">
        <v>74</v>
      </c>
    </row>
    <row r="14995" spans="9:9" x14ac:dyDescent="0.2">
      <c r="I14995" s="137" t="s">
        <v>74</v>
      </c>
    </row>
    <row r="14996" spans="9:9" x14ac:dyDescent="0.2">
      <c r="I14996" s="137" t="s">
        <v>74</v>
      </c>
    </row>
    <row r="14997" spans="9:9" x14ac:dyDescent="0.2">
      <c r="I14997" s="137" t="s">
        <v>74</v>
      </c>
    </row>
    <row r="14998" spans="9:9" x14ac:dyDescent="0.2">
      <c r="I14998" s="137" t="s">
        <v>74</v>
      </c>
    </row>
    <row r="14999" spans="9:9" x14ac:dyDescent="0.2">
      <c r="I14999" s="137" t="s">
        <v>74</v>
      </c>
    </row>
    <row r="15000" spans="9:9" x14ac:dyDescent="0.2">
      <c r="I15000" s="137" t="s">
        <v>74</v>
      </c>
    </row>
    <row r="15001" spans="9:9" x14ac:dyDescent="0.2">
      <c r="I15001" s="137" t="s">
        <v>74</v>
      </c>
    </row>
    <row r="15002" spans="9:9" x14ac:dyDescent="0.2">
      <c r="I15002" s="137" t="s">
        <v>74</v>
      </c>
    </row>
    <row r="15003" spans="9:9" x14ac:dyDescent="0.2">
      <c r="I15003" s="137" t="s">
        <v>74</v>
      </c>
    </row>
    <row r="15004" spans="9:9" x14ac:dyDescent="0.2">
      <c r="I15004" s="137" t="s">
        <v>74</v>
      </c>
    </row>
    <row r="15005" spans="9:9" x14ac:dyDescent="0.2">
      <c r="I15005" s="137" t="s">
        <v>74</v>
      </c>
    </row>
    <row r="15006" spans="9:9" x14ac:dyDescent="0.2">
      <c r="I15006" s="137" t="s">
        <v>74</v>
      </c>
    </row>
    <row r="15007" spans="9:9" x14ac:dyDescent="0.2">
      <c r="I15007" s="137" t="s">
        <v>74</v>
      </c>
    </row>
    <row r="15008" spans="9:9" x14ac:dyDescent="0.2">
      <c r="I15008" s="137" t="s">
        <v>74</v>
      </c>
    </row>
    <row r="15009" spans="9:9" x14ac:dyDescent="0.2">
      <c r="I15009" s="137" t="s">
        <v>74</v>
      </c>
    </row>
    <row r="15010" spans="9:9" x14ac:dyDescent="0.2">
      <c r="I15010" s="137" t="s">
        <v>74</v>
      </c>
    </row>
    <row r="15011" spans="9:9" x14ac:dyDescent="0.2">
      <c r="I15011" s="137" t="s">
        <v>74</v>
      </c>
    </row>
    <row r="15012" spans="9:9" x14ac:dyDescent="0.2">
      <c r="I15012" s="137" t="s">
        <v>74</v>
      </c>
    </row>
    <row r="15013" spans="9:9" x14ac:dyDescent="0.2">
      <c r="I15013" s="137" t="s">
        <v>74</v>
      </c>
    </row>
    <row r="15014" spans="9:9" x14ac:dyDescent="0.2">
      <c r="I15014" s="137" t="s">
        <v>74</v>
      </c>
    </row>
    <row r="15015" spans="9:9" x14ac:dyDescent="0.2">
      <c r="I15015" s="137" t="s">
        <v>74</v>
      </c>
    </row>
    <row r="15016" spans="9:9" x14ac:dyDescent="0.2">
      <c r="I15016" s="137" t="s">
        <v>74</v>
      </c>
    </row>
    <row r="15017" spans="9:9" x14ac:dyDescent="0.2">
      <c r="I15017" s="137" t="s">
        <v>74</v>
      </c>
    </row>
    <row r="15018" spans="9:9" x14ac:dyDescent="0.2">
      <c r="I15018" s="137" t="s">
        <v>74</v>
      </c>
    </row>
    <row r="15019" spans="9:9" x14ac:dyDescent="0.2">
      <c r="I15019" s="137" t="s">
        <v>74</v>
      </c>
    </row>
    <row r="15020" spans="9:9" x14ac:dyDescent="0.2">
      <c r="I15020" s="137" t="s">
        <v>74</v>
      </c>
    </row>
    <row r="15021" spans="9:9" x14ac:dyDescent="0.2">
      <c r="I15021" s="137" t="s">
        <v>74</v>
      </c>
    </row>
    <row r="15022" spans="9:9" x14ac:dyDescent="0.2">
      <c r="I15022" s="137" t="s">
        <v>74</v>
      </c>
    </row>
    <row r="15023" spans="9:9" x14ac:dyDescent="0.2">
      <c r="I15023" s="137" t="s">
        <v>74</v>
      </c>
    </row>
    <row r="15024" spans="9:9" x14ac:dyDescent="0.2">
      <c r="I15024" s="137" t="s">
        <v>74</v>
      </c>
    </row>
    <row r="15025" spans="9:9" x14ac:dyDescent="0.2">
      <c r="I15025" s="137" t="s">
        <v>74</v>
      </c>
    </row>
    <row r="15026" spans="9:9" x14ac:dyDescent="0.2">
      <c r="I15026" s="137" t="s">
        <v>74</v>
      </c>
    </row>
    <row r="15027" spans="9:9" x14ac:dyDescent="0.2">
      <c r="I15027" s="137" t="s">
        <v>74</v>
      </c>
    </row>
    <row r="15028" spans="9:9" x14ac:dyDescent="0.2">
      <c r="I15028" s="137" t="s">
        <v>74</v>
      </c>
    </row>
    <row r="15029" spans="9:9" x14ac:dyDescent="0.2">
      <c r="I15029" s="137" t="s">
        <v>74</v>
      </c>
    </row>
    <row r="15030" spans="9:9" x14ac:dyDescent="0.2">
      <c r="I15030" s="137" t="s">
        <v>74</v>
      </c>
    </row>
    <row r="15031" spans="9:9" x14ac:dyDescent="0.2">
      <c r="I15031" s="137" t="s">
        <v>74</v>
      </c>
    </row>
    <row r="15032" spans="9:9" x14ac:dyDescent="0.2">
      <c r="I15032" s="137" t="s">
        <v>74</v>
      </c>
    </row>
    <row r="15033" spans="9:9" x14ac:dyDescent="0.2">
      <c r="I15033" s="137" t="s">
        <v>74</v>
      </c>
    </row>
    <row r="15034" spans="9:9" x14ac:dyDescent="0.2">
      <c r="I15034" s="137" t="s">
        <v>74</v>
      </c>
    </row>
    <row r="15035" spans="9:9" x14ac:dyDescent="0.2">
      <c r="I15035" s="137" t="s">
        <v>74</v>
      </c>
    </row>
    <row r="15036" spans="9:9" x14ac:dyDescent="0.2">
      <c r="I15036" s="137" t="s">
        <v>74</v>
      </c>
    </row>
    <row r="15037" spans="9:9" x14ac:dyDescent="0.2">
      <c r="I15037" s="137" t="s">
        <v>74</v>
      </c>
    </row>
    <row r="15038" spans="9:9" x14ac:dyDescent="0.2">
      <c r="I15038" s="137" t="s">
        <v>74</v>
      </c>
    </row>
    <row r="15039" spans="9:9" x14ac:dyDescent="0.2">
      <c r="I15039" s="137" t="s">
        <v>74</v>
      </c>
    </row>
    <row r="15040" spans="9:9" x14ac:dyDescent="0.2">
      <c r="I15040" s="137" t="s">
        <v>74</v>
      </c>
    </row>
    <row r="15041" spans="9:9" x14ac:dyDescent="0.2">
      <c r="I15041" s="137" t="s">
        <v>74</v>
      </c>
    </row>
    <row r="15042" spans="9:9" x14ac:dyDescent="0.2">
      <c r="I15042" s="137" t="s">
        <v>74</v>
      </c>
    </row>
    <row r="15043" spans="9:9" x14ac:dyDescent="0.2">
      <c r="I15043" s="137" t="s">
        <v>74</v>
      </c>
    </row>
    <row r="15044" spans="9:9" x14ac:dyDescent="0.2">
      <c r="I15044" s="137" t="s">
        <v>74</v>
      </c>
    </row>
    <row r="15045" spans="9:9" x14ac:dyDescent="0.2">
      <c r="I15045" s="137" t="s">
        <v>74</v>
      </c>
    </row>
    <row r="15046" spans="9:9" x14ac:dyDescent="0.2">
      <c r="I15046" s="137" t="s">
        <v>74</v>
      </c>
    </row>
    <row r="15047" spans="9:9" x14ac:dyDescent="0.2">
      <c r="I15047" s="137" t="s">
        <v>74</v>
      </c>
    </row>
    <row r="15048" spans="9:9" x14ac:dyDescent="0.2">
      <c r="I15048" s="137" t="s">
        <v>74</v>
      </c>
    </row>
    <row r="15049" spans="9:9" x14ac:dyDescent="0.2">
      <c r="I15049" s="137" t="s">
        <v>74</v>
      </c>
    </row>
    <row r="15050" spans="9:9" x14ac:dyDescent="0.2">
      <c r="I15050" s="137" t="s">
        <v>74</v>
      </c>
    </row>
    <row r="15051" spans="9:9" x14ac:dyDescent="0.2">
      <c r="I15051" s="137" t="s">
        <v>74</v>
      </c>
    </row>
    <row r="15052" spans="9:9" x14ac:dyDescent="0.2">
      <c r="I15052" s="137" t="s">
        <v>74</v>
      </c>
    </row>
    <row r="15053" spans="9:9" x14ac:dyDescent="0.2">
      <c r="I15053" s="137" t="s">
        <v>74</v>
      </c>
    </row>
    <row r="15054" spans="9:9" x14ac:dyDescent="0.2">
      <c r="I15054" s="137" t="s">
        <v>74</v>
      </c>
    </row>
    <row r="15055" spans="9:9" x14ac:dyDescent="0.2">
      <c r="I15055" s="137" t="s">
        <v>74</v>
      </c>
    </row>
    <row r="15056" spans="9:9" x14ac:dyDescent="0.2">
      <c r="I15056" s="137" t="s">
        <v>74</v>
      </c>
    </row>
    <row r="15057" spans="9:9" x14ac:dyDescent="0.2">
      <c r="I15057" s="137" t="s">
        <v>74</v>
      </c>
    </row>
    <row r="15058" spans="9:9" x14ac:dyDescent="0.2">
      <c r="I15058" s="137" t="s">
        <v>74</v>
      </c>
    </row>
    <row r="15059" spans="9:9" x14ac:dyDescent="0.2">
      <c r="I15059" s="137" t="s">
        <v>74</v>
      </c>
    </row>
    <row r="15060" spans="9:9" x14ac:dyDescent="0.2">
      <c r="I15060" s="137" t="s">
        <v>74</v>
      </c>
    </row>
    <row r="15061" spans="9:9" x14ac:dyDescent="0.2">
      <c r="I15061" s="137" t="s">
        <v>74</v>
      </c>
    </row>
    <row r="15062" spans="9:9" x14ac:dyDescent="0.2">
      <c r="I15062" s="137" t="s">
        <v>74</v>
      </c>
    </row>
    <row r="15063" spans="9:9" x14ac:dyDescent="0.2">
      <c r="I15063" s="137" t="s">
        <v>74</v>
      </c>
    </row>
    <row r="15064" spans="9:9" x14ac:dyDescent="0.2">
      <c r="I15064" s="137" t="s">
        <v>74</v>
      </c>
    </row>
    <row r="15065" spans="9:9" x14ac:dyDescent="0.2">
      <c r="I15065" s="137" t="s">
        <v>74</v>
      </c>
    </row>
    <row r="15066" spans="9:9" x14ac:dyDescent="0.2">
      <c r="I15066" s="137" t="s">
        <v>74</v>
      </c>
    </row>
    <row r="15067" spans="9:9" x14ac:dyDescent="0.2">
      <c r="I15067" s="137" t="s">
        <v>74</v>
      </c>
    </row>
    <row r="15068" spans="9:9" x14ac:dyDescent="0.2">
      <c r="I15068" s="137" t="s">
        <v>74</v>
      </c>
    </row>
    <row r="15069" spans="9:9" x14ac:dyDescent="0.2">
      <c r="I15069" s="137" t="s">
        <v>74</v>
      </c>
    </row>
    <row r="15070" spans="9:9" x14ac:dyDescent="0.2">
      <c r="I15070" s="137" t="s">
        <v>74</v>
      </c>
    </row>
    <row r="15071" spans="9:9" x14ac:dyDescent="0.2">
      <c r="I15071" s="137" t="s">
        <v>74</v>
      </c>
    </row>
    <row r="15072" spans="9:9" x14ac:dyDescent="0.2">
      <c r="I15072" s="137" t="s">
        <v>74</v>
      </c>
    </row>
    <row r="15073" spans="9:9" x14ac:dyDescent="0.2">
      <c r="I15073" s="137" t="s">
        <v>74</v>
      </c>
    </row>
    <row r="15074" spans="9:9" x14ac:dyDescent="0.2">
      <c r="I15074" s="137" t="s">
        <v>74</v>
      </c>
    </row>
    <row r="15075" spans="9:9" x14ac:dyDescent="0.2">
      <c r="I15075" s="137" t="s">
        <v>74</v>
      </c>
    </row>
    <row r="15076" spans="9:9" x14ac:dyDescent="0.2">
      <c r="I15076" s="137" t="s">
        <v>74</v>
      </c>
    </row>
    <row r="15077" spans="9:9" x14ac:dyDescent="0.2">
      <c r="I15077" s="137" t="s">
        <v>74</v>
      </c>
    </row>
    <row r="15078" spans="9:9" x14ac:dyDescent="0.2">
      <c r="I15078" s="137" t="s">
        <v>74</v>
      </c>
    </row>
    <row r="15079" spans="9:9" x14ac:dyDescent="0.2">
      <c r="I15079" s="137" t="s">
        <v>74</v>
      </c>
    </row>
    <row r="15080" spans="9:9" x14ac:dyDescent="0.2">
      <c r="I15080" s="137" t="s">
        <v>74</v>
      </c>
    </row>
    <row r="15081" spans="9:9" x14ac:dyDescent="0.2">
      <c r="I15081" s="137" t="s">
        <v>74</v>
      </c>
    </row>
    <row r="15082" spans="9:9" x14ac:dyDescent="0.2">
      <c r="I15082" s="137" t="s">
        <v>74</v>
      </c>
    </row>
    <row r="15083" spans="9:9" x14ac:dyDescent="0.2">
      <c r="I15083" s="137" t="s">
        <v>74</v>
      </c>
    </row>
    <row r="15084" spans="9:9" x14ac:dyDescent="0.2">
      <c r="I15084" s="137" t="s">
        <v>74</v>
      </c>
    </row>
    <row r="15085" spans="9:9" x14ac:dyDescent="0.2">
      <c r="I15085" s="137" t="s">
        <v>74</v>
      </c>
    </row>
    <row r="15086" spans="9:9" x14ac:dyDescent="0.2">
      <c r="I15086" s="137" t="s">
        <v>74</v>
      </c>
    </row>
    <row r="15087" spans="9:9" x14ac:dyDescent="0.2">
      <c r="I15087" s="137" t="s">
        <v>74</v>
      </c>
    </row>
    <row r="15088" spans="9:9" x14ac:dyDescent="0.2">
      <c r="I15088" s="137" t="s">
        <v>74</v>
      </c>
    </row>
    <row r="15089" spans="9:9" x14ac:dyDescent="0.2">
      <c r="I15089" s="137" t="s">
        <v>74</v>
      </c>
    </row>
    <row r="15090" spans="9:9" x14ac:dyDescent="0.2">
      <c r="I15090" s="137" t="s">
        <v>74</v>
      </c>
    </row>
    <row r="15091" spans="9:9" x14ac:dyDescent="0.2">
      <c r="I15091" s="137" t="s">
        <v>74</v>
      </c>
    </row>
    <row r="15092" spans="9:9" x14ac:dyDescent="0.2">
      <c r="I15092" s="137" t="s">
        <v>74</v>
      </c>
    </row>
    <row r="15093" spans="9:9" x14ac:dyDescent="0.2">
      <c r="I15093" s="137" t="s">
        <v>74</v>
      </c>
    </row>
    <row r="15094" spans="9:9" x14ac:dyDescent="0.2">
      <c r="I15094" s="137" t="s">
        <v>74</v>
      </c>
    </row>
    <row r="15095" spans="9:9" x14ac:dyDescent="0.2">
      <c r="I15095" s="137" t="s">
        <v>74</v>
      </c>
    </row>
    <row r="15096" spans="9:9" x14ac:dyDescent="0.2">
      <c r="I15096" s="137" t="s">
        <v>74</v>
      </c>
    </row>
    <row r="15097" spans="9:9" x14ac:dyDescent="0.2">
      <c r="I15097" s="137" t="s">
        <v>74</v>
      </c>
    </row>
    <row r="15098" spans="9:9" x14ac:dyDescent="0.2">
      <c r="I15098" s="137" t="s">
        <v>74</v>
      </c>
    </row>
    <row r="15099" spans="9:9" x14ac:dyDescent="0.2">
      <c r="I15099" s="137" t="s">
        <v>74</v>
      </c>
    </row>
    <row r="15100" spans="9:9" x14ac:dyDescent="0.2">
      <c r="I15100" s="137" t="s">
        <v>74</v>
      </c>
    </row>
    <row r="15101" spans="9:9" x14ac:dyDescent="0.2">
      <c r="I15101" s="137" t="s">
        <v>74</v>
      </c>
    </row>
    <row r="15102" spans="9:9" x14ac:dyDescent="0.2">
      <c r="I15102" s="137" t="s">
        <v>74</v>
      </c>
    </row>
    <row r="15103" spans="9:9" x14ac:dyDescent="0.2">
      <c r="I15103" s="137" t="s">
        <v>74</v>
      </c>
    </row>
    <row r="15104" spans="9:9" x14ac:dyDescent="0.2">
      <c r="I15104" s="137" t="s">
        <v>74</v>
      </c>
    </row>
    <row r="15105" spans="9:9" x14ac:dyDescent="0.2">
      <c r="I15105" s="137" t="s">
        <v>74</v>
      </c>
    </row>
    <row r="15106" spans="9:9" x14ac:dyDescent="0.2">
      <c r="I15106" s="137" t="s">
        <v>74</v>
      </c>
    </row>
    <row r="15107" spans="9:9" x14ac:dyDescent="0.2">
      <c r="I15107" s="137" t="s">
        <v>74</v>
      </c>
    </row>
    <row r="15108" spans="9:9" x14ac:dyDescent="0.2">
      <c r="I15108" s="137" t="s">
        <v>74</v>
      </c>
    </row>
    <row r="15109" spans="9:9" x14ac:dyDescent="0.2">
      <c r="I15109" s="137" t="s">
        <v>74</v>
      </c>
    </row>
    <row r="15110" spans="9:9" x14ac:dyDescent="0.2">
      <c r="I15110" s="137" t="s">
        <v>74</v>
      </c>
    </row>
    <row r="15111" spans="9:9" x14ac:dyDescent="0.2">
      <c r="I15111" s="137" t="s">
        <v>74</v>
      </c>
    </row>
    <row r="15112" spans="9:9" x14ac:dyDescent="0.2">
      <c r="I15112" s="137" t="s">
        <v>74</v>
      </c>
    </row>
    <row r="15113" spans="9:9" x14ac:dyDescent="0.2">
      <c r="I15113" s="137" t="s">
        <v>74</v>
      </c>
    </row>
    <row r="15114" spans="9:9" x14ac:dyDescent="0.2">
      <c r="I15114" s="137" t="s">
        <v>74</v>
      </c>
    </row>
    <row r="15115" spans="9:9" x14ac:dyDescent="0.2">
      <c r="I15115" s="137" t="s">
        <v>74</v>
      </c>
    </row>
    <row r="15116" spans="9:9" x14ac:dyDescent="0.2">
      <c r="I15116" s="137" t="s">
        <v>74</v>
      </c>
    </row>
    <row r="15117" spans="9:9" x14ac:dyDescent="0.2">
      <c r="I15117" s="137" t="s">
        <v>74</v>
      </c>
    </row>
    <row r="15118" spans="9:9" x14ac:dyDescent="0.2">
      <c r="I15118" s="137" t="s">
        <v>74</v>
      </c>
    </row>
    <row r="15119" spans="9:9" x14ac:dyDescent="0.2">
      <c r="I15119" s="137" t="s">
        <v>74</v>
      </c>
    </row>
    <row r="15120" spans="9:9" x14ac:dyDescent="0.2">
      <c r="I15120" s="137" t="s">
        <v>74</v>
      </c>
    </row>
    <row r="15121" spans="9:9" x14ac:dyDescent="0.2">
      <c r="I15121" s="137" t="s">
        <v>74</v>
      </c>
    </row>
    <row r="15122" spans="9:9" x14ac:dyDescent="0.2">
      <c r="I15122" s="137" t="s">
        <v>74</v>
      </c>
    </row>
    <row r="15123" spans="9:9" x14ac:dyDescent="0.2">
      <c r="I15123" s="137" t="s">
        <v>74</v>
      </c>
    </row>
    <row r="15124" spans="9:9" x14ac:dyDescent="0.2">
      <c r="I15124" s="137" t="s">
        <v>74</v>
      </c>
    </row>
    <row r="15125" spans="9:9" x14ac:dyDescent="0.2">
      <c r="I15125" s="137" t="s">
        <v>74</v>
      </c>
    </row>
    <row r="15126" spans="9:9" x14ac:dyDescent="0.2">
      <c r="I15126" s="137" t="s">
        <v>74</v>
      </c>
    </row>
    <row r="15127" spans="9:9" x14ac:dyDescent="0.2">
      <c r="I15127" s="137" t="s">
        <v>74</v>
      </c>
    </row>
    <row r="15128" spans="9:9" x14ac:dyDescent="0.2">
      <c r="I15128" s="137" t="s">
        <v>74</v>
      </c>
    </row>
    <row r="15129" spans="9:9" x14ac:dyDescent="0.2">
      <c r="I15129" s="137" t="s">
        <v>74</v>
      </c>
    </row>
    <row r="15130" spans="9:9" x14ac:dyDescent="0.2">
      <c r="I15130" s="137" t="s">
        <v>74</v>
      </c>
    </row>
    <row r="15131" spans="9:9" x14ac:dyDescent="0.2">
      <c r="I15131" s="137" t="s">
        <v>74</v>
      </c>
    </row>
    <row r="15132" spans="9:9" x14ac:dyDescent="0.2">
      <c r="I15132" s="137" t="s">
        <v>74</v>
      </c>
    </row>
    <row r="15133" spans="9:9" x14ac:dyDescent="0.2">
      <c r="I15133" s="137" t="s">
        <v>74</v>
      </c>
    </row>
    <row r="15134" spans="9:9" x14ac:dyDescent="0.2">
      <c r="I15134" s="137" t="s">
        <v>74</v>
      </c>
    </row>
    <row r="15135" spans="9:9" x14ac:dyDescent="0.2">
      <c r="I15135" s="137" t="s">
        <v>74</v>
      </c>
    </row>
    <row r="15136" spans="9:9" x14ac:dyDescent="0.2">
      <c r="I15136" s="137" t="s">
        <v>74</v>
      </c>
    </row>
    <row r="15137" spans="9:9" x14ac:dyDescent="0.2">
      <c r="I15137" s="137" t="s">
        <v>74</v>
      </c>
    </row>
    <row r="15138" spans="9:9" x14ac:dyDescent="0.2">
      <c r="I15138" s="137" t="s">
        <v>74</v>
      </c>
    </row>
    <row r="15139" spans="9:9" x14ac:dyDescent="0.2">
      <c r="I15139" s="137" t="s">
        <v>74</v>
      </c>
    </row>
    <row r="15140" spans="9:9" x14ac:dyDescent="0.2">
      <c r="I15140" s="137" t="s">
        <v>74</v>
      </c>
    </row>
    <row r="15141" spans="9:9" x14ac:dyDescent="0.2">
      <c r="I15141" s="137" t="s">
        <v>74</v>
      </c>
    </row>
    <row r="15142" spans="9:9" x14ac:dyDescent="0.2">
      <c r="I15142" s="137" t="s">
        <v>74</v>
      </c>
    </row>
    <row r="15143" spans="9:9" x14ac:dyDescent="0.2">
      <c r="I15143" s="137" t="s">
        <v>74</v>
      </c>
    </row>
    <row r="15144" spans="9:9" x14ac:dyDescent="0.2">
      <c r="I15144" s="137" t="s">
        <v>74</v>
      </c>
    </row>
    <row r="15145" spans="9:9" x14ac:dyDescent="0.2">
      <c r="I15145" s="137" t="s">
        <v>74</v>
      </c>
    </row>
    <row r="15146" spans="9:9" x14ac:dyDescent="0.2">
      <c r="I15146" s="137" t="s">
        <v>74</v>
      </c>
    </row>
    <row r="15147" spans="9:9" x14ac:dyDescent="0.2">
      <c r="I15147" s="137" t="s">
        <v>74</v>
      </c>
    </row>
    <row r="15148" spans="9:9" x14ac:dyDescent="0.2">
      <c r="I15148" s="137" t="s">
        <v>74</v>
      </c>
    </row>
    <row r="15149" spans="9:9" x14ac:dyDescent="0.2">
      <c r="I15149" s="137" t="s">
        <v>74</v>
      </c>
    </row>
    <row r="15150" spans="9:9" x14ac:dyDescent="0.2">
      <c r="I15150" s="137" t="s">
        <v>74</v>
      </c>
    </row>
    <row r="15151" spans="9:9" x14ac:dyDescent="0.2">
      <c r="I15151" s="137" t="s">
        <v>74</v>
      </c>
    </row>
    <row r="15152" spans="9:9" x14ac:dyDescent="0.2">
      <c r="I15152" s="137" t="s">
        <v>74</v>
      </c>
    </row>
    <row r="15153" spans="9:9" x14ac:dyDescent="0.2">
      <c r="I15153" s="137" t="s">
        <v>74</v>
      </c>
    </row>
    <row r="15154" spans="9:9" x14ac:dyDescent="0.2">
      <c r="I15154" s="137" t="s">
        <v>74</v>
      </c>
    </row>
    <row r="15155" spans="9:9" x14ac:dyDescent="0.2">
      <c r="I15155" s="137" t="s">
        <v>74</v>
      </c>
    </row>
    <row r="15156" spans="9:9" x14ac:dyDescent="0.2">
      <c r="I15156" s="137" t="s">
        <v>74</v>
      </c>
    </row>
    <row r="15157" spans="9:9" x14ac:dyDescent="0.2">
      <c r="I15157" s="137" t="s">
        <v>74</v>
      </c>
    </row>
    <row r="15158" spans="9:9" x14ac:dyDescent="0.2">
      <c r="I15158" s="137" t="s">
        <v>74</v>
      </c>
    </row>
    <row r="15159" spans="9:9" x14ac:dyDescent="0.2">
      <c r="I15159" s="137" t="s">
        <v>74</v>
      </c>
    </row>
    <row r="15160" spans="9:9" x14ac:dyDescent="0.2">
      <c r="I15160" s="137" t="s">
        <v>74</v>
      </c>
    </row>
    <row r="15161" spans="9:9" x14ac:dyDescent="0.2">
      <c r="I15161" s="137" t="s">
        <v>74</v>
      </c>
    </row>
    <row r="15162" spans="9:9" x14ac:dyDescent="0.2">
      <c r="I15162" s="137" t="s">
        <v>74</v>
      </c>
    </row>
    <row r="15163" spans="9:9" x14ac:dyDescent="0.2">
      <c r="I15163" s="137" t="s">
        <v>74</v>
      </c>
    </row>
    <row r="15164" spans="9:9" x14ac:dyDescent="0.2">
      <c r="I15164" s="137" t="s">
        <v>74</v>
      </c>
    </row>
    <row r="15165" spans="9:9" x14ac:dyDescent="0.2">
      <c r="I15165" s="137" t="s">
        <v>74</v>
      </c>
    </row>
    <row r="15166" spans="9:9" x14ac:dyDescent="0.2">
      <c r="I15166" s="137" t="s">
        <v>74</v>
      </c>
    </row>
    <row r="15167" spans="9:9" x14ac:dyDescent="0.2">
      <c r="I15167" s="137" t="s">
        <v>74</v>
      </c>
    </row>
    <row r="15168" spans="9:9" x14ac:dyDescent="0.2">
      <c r="I15168" s="137" t="s">
        <v>74</v>
      </c>
    </row>
    <row r="15169" spans="9:9" x14ac:dyDescent="0.2">
      <c r="I15169" s="137" t="s">
        <v>74</v>
      </c>
    </row>
    <row r="15170" spans="9:9" x14ac:dyDescent="0.2">
      <c r="I15170" s="137" t="s">
        <v>74</v>
      </c>
    </row>
    <row r="15171" spans="9:9" x14ac:dyDescent="0.2">
      <c r="I15171" s="137" t="s">
        <v>74</v>
      </c>
    </row>
    <row r="15172" spans="9:9" x14ac:dyDescent="0.2">
      <c r="I15172" s="137" t="s">
        <v>74</v>
      </c>
    </row>
    <row r="15173" spans="9:9" x14ac:dyDescent="0.2">
      <c r="I15173" s="137" t="s">
        <v>74</v>
      </c>
    </row>
    <row r="15174" spans="9:9" x14ac:dyDescent="0.2">
      <c r="I15174" s="137" t="s">
        <v>74</v>
      </c>
    </row>
    <row r="15175" spans="9:9" x14ac:dyDescent="0.2">
      <c r="I15175" s="137" t="s">
        <v>74</v>
      </c>
    </row>
    <row r="15176" spans="9:9" x14ac:dyDescent="0.2">
      <c r="I15176" s="137" t="s">
        <v>74</v>
      </c>
    </row>
    <row r="15177" spans="9:9" x14ac:dyDescent="0.2">
      <c r="I15177" s="137" t="s">
        <v>74</v>
      </c>
    </row>
    <row r="15178" spans="9:9" x14ac:dyDescent="0.2">
      <c r="I15178" s="137" t="s">
        <v>74</v>
      </c>
    </row>
    <row r="15179" spans="9:9" x14ac:dyDescent="0.2">
      <c r="I15179" s="137" t="s">
        <v>74</v>
      </c>
    </row>
    <row r="15180" spans="9:9" x14ac:dyDescent="0.2">
      <c r="I15180" s="137" t="s">
        <v>74</v>
      </c>
    </row>
    <row r="15181" spans="9:9" x14ac:dyDescent="0.2">
      <c r="I15181" s="137" t="s">
        <v>74</v>
      </c>
    </row>
    <row r="15182" spans="9:9" x14ac:dyDescent="0.2">
      <c r="I15182" s="137" t="s">
        <v>74</v>
      </c>
    </row>
    <row r="15183" spans="9:9" x14ac:dyDescent="0.2">
      <c r="I15183" s="137" t="s">
        <v>74</v>
      </c>
    </row>
    <row r="15184" spans="9:9" x14ac:dyDescent="0.2">
      <c r="I15184" s="137" t="s">
        <v>74</v>
      </c>
    </row>
    <row r="15185" spans="9:9" x14ac:dyDescent="0.2">
      <c r="I15185" s="137" t="s">
        <v>74</v>
      </c>
    </row>
    <row r="15186" spans="9:9" x14ac:dyDescent="0.2">
      <c r="I15186" s="137" t="s">
        <v>74</v>
      </c>
    </row>
    <row r="15187" spans="9:9" x14ac:dyDescent="0.2">
      <c r="I15187" s="137" t="s">
        <v>74</v>
      </c>
    </row>
    <row r="15188" spans="9:9" x14ac:dyDescent="0.2">
      <c r="I15188" s="137" t="s">
        <v>74</v>
      </c>
    </row>
    <row r="15189" spans="9:9" x14ac:dyDescent="0.2">
      <c r="I15189" s="137" t="s">
        <v>74</v>
      </c>
    </row>
    <row r="15190" spans="9:9" x14ac:dyDescent="0.2">
      <c r="I15190" s="137" t="s">
        <v>74</v>
      </c>
    </row>
    <row r="15191" spans="9:9" x14ac:dyDescent="0.2">
      <c r="I15191" s="137" t="s">
        <v>74</v>
      </c>
    </row>
    <row r="15192" spans="9:9" x14ac:dyDescent="0.2">
      <c r="I15192" s="137" t="s">
        <v>74</v>
      </c>
    </row>
    <row r="15193" spans="9:9" x14ac:dyDescent="0.2">
      <c r="I15193" s="137" t="s">
        <v>74</v>
      </c>
    </row>
    <row r="15194" spans="9:9" x14ac:dyDescent="0.2">
      <c r="I15194" s="137" t="s">
        <v>74</v>
      </c>
    </row>
    <row r="15195" spans="9:9" x14ac:dyDescent="0.2">
      <c r="I15195" s="137" t="s">
        <v>74</v>
      </c>
    </row>
    <row r="15196" spans="9:9" x14ac:dyDescent="0.2">
      <c r="I15196" s="137" t="s">
        <v>74</v>
      </c>
    </row>
    <row r="15197" spans="9:9" x14ac:dyDescent="0.2">
      <c r="I15197" s="137" t="s">
        <v>74</v>
      </c>
    </row>
    <row r="15198" spans="9:9" x14ac:dyDescent="0.2">
      <c r="I15198" s="137" t="s">
        <v>74</v>
      </c>
    </row>
    <row r="15199" spans="9:9" x14ac:dyDescent="0.2">
      <c r="I15199" s="137" t="s">
        <v>74</v>
      </c>
    </row>
    <row r="15200" spans="9:9" x14ac:dyDescent="0.2">
      <c r="I15200" s="137" t="s">
        <v>74</v>
      </c>
    </row>
    <row r="15201" spans="9:9" x14ac:dyDescent="0.2">
      <c r="I15201" s="137" t="s">
        <v>74</v>
      </c>
    </row>
    <row r="15202" spans="9:9" x14ac:dyDescent="0.2">
      <c r="I15202" s="137" t="s">
        <v>74</v>
      </c>
    </row>
    <row r="15203" spans="9:9" x14ac:dyDescent="0.2">
      <c r="I15203" s="137" t="s">
        <v>74</v>
      </c>
    </row>
    <row r="15204" spans="9:9" x14ac:dyDescent="0.2">
      <c r="I15204" s="137" t="s">
        <v>74</v>
      </c>
    </row>
    <row r="15205" spans="9:9" x14ac:dyDescent="0.2">
      <c r="I15205" s="137" t="s">
        <v>74</v>
      </c>
    </row>
    <row r="15206" spans="9:9" x14ac:dyDescent="0.2">
      <c r="I15206" s="137" t="s">
        <v>74</v>
      </c>
    </row>
    <row r="15207" spans="9:9" x14ac:dyDescent="0.2">
      <c r="I15207" s="137" t="s">
        <v>74</v>
      </c>
    </row>
    <row r="15208" spans="9:9" x14ac:dyDescent="0.2">
      <c r="I15208" s="137" t="s">
        <v>74</v>
      </c>
    </row>
    <row r="15209" spans="9:9" x14ac:dyDescent="0.2">
      <c r="I15209" s="137" t="s">
        <v>74</v>
      </c>
    </row>
    <row r="15210" spans="9:9" x14ac:dyDescent="0.2">
      <c r="I15210" s="137" t="s">
        <v>74</v>
      </c>
    </row>
    <row r="15211" spans="9:9" x14ac:dyDescent="0.2">
      <c r="I15211" s="137" t="s">
        <v>74</v>
      </c>
    </row>
    <row r="15212" spans="9:9" x14ac:dyDescent="0.2">
      <c r="I15212" s="137" t="s">
        <v>74</v>
      </c>
    </row>
    <row r="15213" spans="9:9" x14ac:dyDescent="0.2">
      <c r="I15213" s="137" t="s">
        <v>74</v>
      </c>
    </row>
    <row r="15214" spans="9:9" x14ac:dyDescent="0.2">
      <c r="I15214" s="137" t="s">
        <v>74</v>
      </c>
    </row>
    <row r="15215" spans="9:9" x14ac:dyDescent="0.2">
      <c r="I15215" s="137" t="s">
        <v>74</v>
      </c>
    </row>
    <row r="15216" spans="9:9" x14ac:dyDescent="0.2">
      <c r="I15216" s="137" t="s">
        <v>74</v>
      </c>
    </row>
    <row r="15217" spans="9:9" x14ac:dyDescent="0.2">
      <c r="I15217" s="137" t="s">
        <v>74</v>
      </c>
    </row>
    <row r="15218" spans="9:9" x14ac:dyDescent="0.2">
      <c r="I15218" s="137" t="s">
        <v>74</v>
      </c>
    </row>
    <row r="15219" spans="9:9" x14ac:dyDescent="0.2">
      <c r="I15219" s="137" t="s">
        <v>74</v>
      </c>
    </row>
    <row r="15220" spans="9:9" x14ac:dyDescent="0.2">
      <c r="I15220" s="137" t="s">
        <v>74</v>
      </c>
    </row>
    <row r="15221" spans="9:9" x14ac:dyDescent="0.2">
      <c r="I15221" s="137" t="s">
        <v>74</v>
      </c>
    </row>
    <row r="15222" spans="9:9" x14ac:dyDescent="0.2">
      <c r="I15222" s="137" t="s">
        <v>74</v>
      </c>
    </row>
    <row r="15223" spans="9:9" x14ac:dyDescent="0.2">
      <c r="I15223" s="137" t="s">
        <v>74</v>
      </c>
    </row>
    <row r="15224" spans="9:9" x14ac:dyDescent="0.2">
      <c r="I15224" s="137" t="s">
        <v>74</v>
      </c>
    </row>
    <row r="15225" spans="9:9" x14ac:dyDescent="0.2">
      <c r="I15225" s="137" t="s">
        <v>74</v>
      </c>
    </row>
    <row r="15226" spans="9:9" x14ac:dyDescent="0.2">
      <c r="I15226" s="137" t="s">
        <v>74</v>
      </c>
    </row>
    <row r="15227" spans="9:9" x14ac:dyDescent="0.2">
      <c r="I15227" s="137" t="s">
        <v>74</v>
      </c>
    </row>
    <row r="15228" spans="9:9" x14ac:dyDescent="0.2">
      <c r="I15228" s="137" t="s">
        <v>74</v>
      </c>
    </row>
    <row r="15229" spans="9:9" x14ac:dyDescent="0.2">
      <c r="I15229" s="137" t="s">
        <v>74</v>
      </c>
    </row>
    <row r="15230" spans="9:9" x14ac:dyDescent="0.2">
      <c r="I15230" s="137" t="s">
        <v>74</v>
      </c>
    </row>
    <row r="15231" spans="9:9" x14ac:dyDescent="0.2">
      <c r="I15231" s="137" t="s">
        <v>74</v>
      </c>
    </row>
    <row r="15232" spans="9:9" x14ac:dyDescent="0.2">
      <c r="I15232" s="137" t="s">
        <v>74</v>
      </c>
    </row>
    <row r="15233" spans="9:9" x14ac:dyDescent="0.2">
      <c r="I15233" s="137" t="s">
        <v>74</v>
      </c>
    </row>
    <row r="15234" spans="9:9" x14ac:dyDescent="0.2">
      <c r="I15234" s="137" t="s">
        <v>74</v>
      </c>
    </row>
    <row r="15235" spans="9:9" x14ac:dyDescent="0.2">
      <c r="I15235" s="137" t="s">
        <v>74</v>
      </c>
    </row>
    <row r="15236" spans="9:9" x14ac:dyDescent="0.2">
      <c r="I15236" s="137" t="s">
        <v>74</v>
      </c>
    </row>
    <row r="15237" spans="9:9" x14ac:dyDescent="0.2">
      <c r="I15237" s="137" t="s">
        <v>74</v>
      </c>
    </row>
    <row r="15238" spans="9:9" x14ac:dyDescent="0.2">
      <c r="I15238" s="137" t="s">
        <v>74</v>
      </c>
    </row>
    <row r="15239" spans="9:9" x14ac:dyDescent="0.2">
      <c r="I15239" s="137" t="s">
        <v>74</v>
      </c>
    </row>
    <row r="15240" spans="9:9" x14ac:dyDescent="0.2">
      <c r="I15240" s="137" t="s">
        <v>74</v>
      </c>
    </row>
    <row r="15241" spans="9:9" x14ac:dyDescent="0.2">
      <c r="I15241" s="137" t="s">
        <v>74</v>
      </c>
    </row>
    <row r="15242" spans="9:9" x14ac:dyDescent="0.2">
      <c r="I15242" s="137" t="s">
        <v>74</v>
      </c>
    </row>
    <row r="15243" spans="9:9" x14ac:dyDescent="0.2">
      <c r="I15243" s="137" t="s">
        <v>74</v>
      </c>
    </row>
    <row r="15244" spans="9:9" x14ac:dyDescent="0.2">
      <c r="I15244" s="137" t="s">
        <v>74</v>
      </c>
    </row>
    <row r="15245" spans="9:9" x14ac:dyDescent="0.2">
      <c r="I15245" s="137" t="s">
        <v>74</v>
      </c>
    </row>
    <row r="15246" spans="9:9" x14ac:dyDescent="0.2">
      <c r="I15246" s="137" t="s">
        <v>74</v>
      </c>
    </row>
    <row r="15247" spans="9:9" x14ac:dyDescent="0.2">
      <c r="I15247" s="137" t="s">
        <v>74</v>
      </c>
    </row>
    <row r="15248" spans="9:9" x14ac:dyDescent="0.2">
      <c r="I15248" s="137" t="s">
        <v>74</v>
      </c>
    </row>
    <row r="15249" spans="9:9" x14ac:dyDescent="0.2">
      <c r="I15249" s="137" t="s">
        <v>74</v>
      </c>
    </row>
    <row r="15250" spans="9:9" x14ac:dyDescent="0.2">
      <c r="I15250" s="137" t="s">
        <v>74</v>
      </c>
    </row>
    <row r="15251" spans="9:9" x14ac:dyDescent="0.2">
      <c r="I15251" s="137" t="s">
        <v>74</v>
      </c>
    </row>
    <row r="15252" spans="9:9" x14ac:dyDescent="0.2">
      <c r="I15252" s="137" t="s">
        <v>74</v>
      </c>
    </row>
    <row r="15253" spans="9:9" x14ac:dyDescent="0.2">
      <c r="I15253" s="137" t="s">
        <v>74</v>
      </c>
    </row>
    <row r="15254" spans="9:9" x14ac:dyDescent="0.2">
      <c r="I15254" s="137" t="s">
        <v>74</v>
      </c>
    </row>
    <row r="15255" spans="9:9" x14ac:dyDescent="0.2">
      <c r="I15255" s="137" t="s">
        <v>74</v>
      </c>
    </row>
    <row r="15256" spans="9:9" x14ac:dyDescent="0.2">
      <c r="I15256" s="137" t="s">
        <v>74</v>
      </c>
    </row>
    <row r="15257" spans="9:9" x14ac:dyDescent="0.2">
      <c r="I15257" s="137" t="s">
        <v>74</v>
      </c>
    </row>
    <row r="15258" spans="9:9" x14ac:dyDescent="0.2">
      <c r="I15258" s="137" t="s">
        <v>74</v>
      </c>
    </row>
    <row r="15259" spans="9:9" x14ac:dyDescent="0.2">
      <c r="I15259" s="137" t="s">
        <v>74</v>
      </c>
    </row>
    <row r="15260" spans="9:9" x14ac:dyDescent="0.2">
      <c r="I15260" s="137" t="s">
        <v>74</v>
      </c>
    </row>
    <row r="15261" spans="9:9" x14ac:dyDescent="0.2">
      <c r="I15261" s="137" t="s">
        <v>74</v>
      </c>
    </row>
    <row r="15262" spans="9:9" x14ac:dyDescent="0.2">
      <c r="I15262" s="137" t="s">
        <v>74</v>
      </c>
    </row>
    <row r="15263" spans="9:9" x14ac:dyDescent="0.2">
      <c r="I15263" s="137" t="s">
        <v>74</v>
      </c>
    </row>
    <row r="15264" spans="9:9" x14ac:dyDescent="0.2">
      <c r="I15264" s="137" t="s">
        <v>74</v>
      </c>
    </row>
    <row r="15265" spans="9:9" x14ac:dyDescent="0.2">
      <c r="I15265" s="137" t="s">
        <v>74</v>
      </c>
    </row>
    <row r="15266" spans="9:9" x14ac:dyDescent="0.2">
      <c r="I15266" s="137" t="s">
        <v>74</v>
      </c>
    </row>
    <row r="15267" spans="9:9" x14ac:dyDescent="0.2">
      <c r="I15267" s="137" t="s">
        <v>74</v>
      </c>
    </row>
    <row r="15268" spans="9:9" x14ac:dyDescent="0.2">
      <c r="I15268" s="137" t="s">
        <v>74</v>
      </c>
    </row>
    <row r="15269" spans="9:9" x14ac:dyDescent="0.2">
      <c r="I15269" s="137" t="s">
        <v>74</v>
      </c>
    </row>
    <row r="15270" spans="9:9" x14ac:dyDescent="0.2">
      <c r="I15270" s="137" t="s">
        <v>74</v>
      </c>
    </row>
    <row r="15271" spans="9:9" x14ac:dyDescent="0.2">
      <c r="I15271" s="137" t="s">
        <v>74</v>
      </c>
    </row>
    <row r="15272" spans="9:9" x14ac:dyDescent="0.2">
      <c r="I15272" s="137" t="s">
        <v>74</v>
      </c>
    </row>
    <row r="15273" spans="9:9" x14ac:dyDescent="0.2">
      <c r="I15273" s="137" t="s">
        <v>74</v>
      </c>
    </row>
    <row r="15274" spans="9:9" x14ac:dyDescent="0.2">
      <c r="I15274" s="137" t="s">
        <v>74</v>
      </c>
    </row>
    <row r="15275" spans="9:9" x14ac:dyDescent="0.2">
      <c r="I15275" s="137" t="s">
        <v>74</v>
      </c>
    </row>
    <row r="15276" spans="9:9" x14ac:dyDescent="0.2">
      <c r="I15276" s="137" t="s">
        <v>74</v>
      </c>
    </row>
    <row r="15277" spans="9:9" x14ac:dyDescent="0.2">
      <c r="I15277" s="137" t="s">
        <v>74</v>
      </c>
    </row>
    <row r="15278" spans="9:9" x14ac:dyDescent="0.2">
      <c r="I15278" s="137" t="s">
        <v>74</v>
      </c>
    </row>
    <row r="15279" spans="9:9" x14ac:dyDescent="0.2">
      <c r="I15279" s="137" t="s">
        <v>74</v>
      </c>
    </row>
    <row r="15280" spans="9:9" x14ac:dyDescent="0.2">
      <c r="I15280" s="137" t="s">
        <v>74</v>
      </c>
    </row>
    <row r="15281" spans="9:9" x14ac:dyDescent="0.2">
      <c r="I15281" s="137" t="s">
        <v>74</v>
      </c>
    </row>
    <row r="15282" spans="9:9" x14ac:dyDescent="0.2">
      <c r="I15282" s="137" t="s">
        <v>74</v>
      </c>
    </row>
    <row r="15283" spans="9:9" x14ac:dyDescent="0.2">
      <c r="I15283" s="137" t="s">
        <v>74</v>
      </c>
    </row>
    <row r="15284" spans="9:9" x14ac:dyDescent="0.2">
      <c r="I15284" s="137" t="s">
        <v>74</v>
      </c>
    </row>
    <row r="15285" spans="9:9" x14ac:dyDescent="0.2">
      <c r="I15285" s="137" t="s">
        <v>74</v>
      </c>
    </row>
    <row r="15286" spans="9:9" x14ac:dyDescent="0.2">
      <c r="I15286" s="137" t="s">
        <v>74</v>
      </c>
    </row>
    <row r="15287" spans="9:9" x14ac:dyDescent="0.2">
      <c r="I15287" s="137" t="s">
        <v>74</v>
      </c>
    </row>
    <row r="15288" spans="9:9" x14ac:dyDescent="0.2">
      <c r="I15288" s="137" t="s">
        <v>74</v>
      </c>
    </row>
    <row r="15289" spans="9:9" x14ac:dyDescent="0.2">
      <c r="I15289" s="137" t="s">
        <v>74</v>
      </c>
    </row>
    <row r="15290" spans="9:9" x14ac:dyDescent="0.2">
      <c r="I15290" s="137" t="s">
        <v>74</v>
      </c>
    </row>
    <row r="15291" spans="9:9" x14ac:dyDescent="0.2">
      <c r="I15291" s="137" t="s">
        <v>74</v>
      </c>
    </row>
    <row r="15292" spans="9:9" x14ac:dyDescent="0.2">
      <c r="I15292" s="137" t="s">
        <v>74</v>
      </c>
    </row>
    <row r="15293" spans="9:9" x14ac:dyDescent="0.2">
      <c r="I15293" s="137" t="s">
        <v>74</v>
      </c>
    </row>
    <row r="15294" spans="9:9" x14ac:dyDescent="0.2">
      <c r="I15294" s="137" t="s">
        <v>74</v>
      </c>
    </row>
    <row r="15295" spans="9:9" x14ac:dyDescent="0.2">
      <c r="I15295" s="137" t="s">
        <v>74</v>
      </c>
    </row>
    <row r="15296" spans="9:9" x14ac:dyDescent="0.2">
      <c r="I15296" s="137" t="s">
        <v>74</v>
      </c>
    </row>
    <row r="15297" spans="9:9" x14ac:dyDescent="0.2">
      <c r="I15297" s="137" t="s">
        <v>74</v>
      </c>
    </row>
    <row r="15298" spans="9:9" x14ac:dyDescent="0.2">
      <c r="I15298" s="137" t="s">
        <v>74</v>
      </c>
    </row>
    <row r="15299" spans="9:9" x14ac:dyDescent="0.2">
      <c r="I15299" s="137" t="s">
        <v>74</v>
      </c>
    </row>
    <row r="15300" spans="9:9" x14ac:dyDescent="0.2">
      <c r="I15300" s="137" t="s">
        <v>74</v>
      </c>
    </row>
    <row r="15301" spans="9:9" x14ac:dyDescent="0.2">
      <c r="I15301" s="137" t="s">
        <v>74</v>
      </c>
    </row>
    <row r="15302" spans="9:9" x14ac:dyDescent="0.2">
      <c r="I15302" s="137" t="s">
        <v>74</v>
      </c>
    </row>
    <row r="15303" spans="9:9" x14ac:dyDescent="0.2">
      <c r="I15303" s="137" t="s">
        <v>74</v>
      </c>
    </row>
    <row r="15304" spans="9:9" x14ac:dyDescent="0.2">
      <c r="I15304" s="137" t="s">
        <v>74</v>
      </c>
    </row>
    <row r="15305" spans="9:9" x14ac:dyDescent="0.2">
      <c r="I15305" s="137" t="s">
        <v>74</v>
      </c>
    </row>
    <row r="15306" spans="9:9" x14ac:dyDescent="0.2">
      <c r="I15306" s="137" t="s">
        <v>74</v>
      </c>
    </row>
    <row r="15307" spans="9:9" x14ac:dyDescent="0.2">
      <c r="I15307" s="137" t="s">
        <v>74</v>
      </c>
    </row>
    <row r="15308" spans="9:9" x14ac:dyDescent="0.2">
      <c r="I15308" s="137" t="s">
        <v>74</v>
      </c>
    </row>
    <row r="15309" spans="9:9" x14ac:dyDescent="0.2">
      <c r="I15309" s="137" t="s">
        <v>74</v>
      </c>
    </row>
    <row r="15310" spans="9:9" x14ac:dyDescent="0.2">
      <c r="I15310" s="137" t="s">
        <v>74</v>
      </c>
    </row>
    <row r="15311" spans="9:9" x14ac:dyDescent="0.2">
      <c r="I15311" s="137" t="s">
        <v>74</v>
      </c>
    </row>
    <row r="15312" spans="9:9" x14ac:dyDescent="0.2">
      <c r="I15312" s="137" t="s">
        <v>74</v>
      </c>
    </row>
    <row r="15313" spans="9:9" x14ac:dyDescent="0.2">
      <c r="I15313" s="137" t="s">
        <v>74</v>
      </c>
    </row>
    <row r="15314" spans="9:9" x14ac:dyDescent="0.2">
      <c r="I15314" s="137" t="s">
        <v>74</v>
      </c>
    </row>
    <row r="15315" spans="9:9" x14ac:dyDescent="0.2">
      <c r="I15315" s="137" t="s">
        <v>74</v>
      </c>
    </row>
    <row r="15316" spans="9:9" x14ac:dyDescent="0.2">
      <c r="I15316" s="137" t="s">
        <v>74</v>
      </c>
    </row>
    <row r="15317" spans="9:9" x14ac:dyDescent="0.2">
      <c r="I15317" s="137" t="s">
        <v>74</v>
      </c>
    </row>
    <row r="15318" spans="9:9" x14ac:dyDescent="0.2">
      <c r="I15318" s="137" t="s">
        <v>74</v>
      </c>
    </row>
    <row r="15319" spans="9:9" x14ac:dyDescent="0.2">
      <c r="I15319" s="137" t="s">
        <v>74</v>
      </c>
    </row>
    <row r="15320" spans="9:9" x14ac:dyDescent="0.2">
      <c r="I15320" s="137" t="s">
        <v>74</v>
      </c>
    </row>
    <row r="15321" spans="9:9" x14ac:dyDescent="0.2">
      <c r="I15321" s="137" t="s">
        <v>74</v>
      </c>
    </row>
    <row r="15322" spans="9:9" x14ac:dyDescent="0.2">
      <c r="I15322" s="137" t="s">
        <v>74</v>
      </c>
    </row>
    <row r="15323" spans="9:9" x14ac:dyDescent="0.2">
      <c r="I15323" s="137" t="s">
        <v>74</v>
      </c>
    </row>
    <row r="15324" spans="9:9" x14ac:dyDescent="0.2">
      <c r="I15324" s="137" t="s">
        <v>74</v>
      </c>
    </row>
    <row r="15325" spans="9:9" x14ac:dyDescent="0.2">
      <c r="I15325" s="137" t="s">
        <v>74</v>
      </c>
    </row>
    <row r="15326" spans="9:9" x14ac:dyDescent="0.2">
      <c r="I15326" s="137" t="s">
        <v>74</v>
      </c>
    </row>
    <row r="15327" spans="9:9" x14ac:dyDescent="0.2">
      <c r="I15327" s="137" t="s">
        <v>74</v>
      </c>
    </row>
    <row r="15328" spans="9:9" x14ac:dyDescent="0.2">
      <c r="I15328" s="137" t="s">
        <v>74</v>
      </c>
    </row>
    <row r="15329" spans="9:9" x14ac:dyDescent="0.2">
      <c r="I15329" s="137" t="s">
        <v>74</v>
      </c>
    </row>
    <row r="15330" spans="9:9" x14ac:dyDescent="0.2">
      <c r="I15330" s="137" t="s">
        <v>74</v>
      </c>
    </row>
    <row r="15331" spans="9:9" x14ac:dyDescent="0.2">
      <c r="I15331" s="137" t="s">
        <v>74</v>
      </c>
    </row>
    <row r="15332" spans="9:9" x14ac:dyDescent="0.2">
      <c r="I15332" s="137" t="s">
        <v>74</v>
      </c>
    </row>
    <row r="15333" spans="9:9" x14ac:dyDescent="0.2">
      <c r="I15333" s="137" t="s">
        <v>74</v>
      </c>
    </row>
    <row r="15334" spans="9:9" x14ac:dyDescent="0.2">
      <c r="I15334" s="137" t="s">
        <v>74</v>
      </c>
    </row>
    <row r="15335" spans="9:9" x14ac:dyDescent="0.2">
      <c r="I15335" s="137" t="s">
        <v>74</v>
      </c>
    </row>
    <row r="15336" spans="9:9" x14ac:dyDescent="0.2">
      <c r="I15336" s="137" t="s">
        <v>74</v>
      </c>
    </row>
    <row r="15337" spans="9:9" x14ac:dyDescent="0.2">
      <c r="I15337" s="137" t="s">
        <v>74</v>
      </c>
    </row>
    <row r="15338" spans="9:9" x14ac:dyDescent="0.2">
      <c r="I15338" s="137" t="s">
        <v>74</v>
      </c>
    </row>
    <row r="15339" spans="9:9" x14ac:dyDescent="0.2">
      <c r="I15339" s="137" t="s">
        <v>74</v>
      </c>
    </row>
    <row r="15340" spans="9:9" x14ac:dyDescent="0.2">
      <c r="I15340" s="137" t="s">
        <v>74</v>
      </c>
    </row>
    <row r="15341" spans="9:9" x14ac:dyDescent="0.2">
      <c r="I15341" s="137" t="s">
        <v>74</v>
      </c>
    </row>
    <row r="15342" spans="9:9" x14ac:dyDescent="0.2">
      <c r="I15342" s="137" t="s">
        <v>74</v>
      </c>
    </row>
    <row r="15343" spans="9:9" x14ac:dyDescent="0.2">
      <c r="I15343" s="137" t="s">
        <v>74</v>
      </c>
    </row>
    <row r="15344" spans="9:9" x14ac:dyDescent="0.2">
      <c r="I15344" s="137" t="s">
        <v>74</v>
      </c>
    </row>
    <row r="15345" spans="9:9" x14ac:dyDescent="0.2">
      <c r="I15345" s="137" t="s">
        <v>74</v>
      </c>
    </row>
    <row r="15346" spans="9:9" x14ac:dyDescent="0.2">
      <c r="I15346" s="137" t="s">
        <v>74</v>
      </c>
    </row>
    <row r="15347" spans="9:9" x14ac:dyDescent="0.2">
      <c r="I15347" s="137" t="s">
        <v>74</v>
      </c>
    </row>
    <row r="15348" spans="9:9" x14ac:dyDescent="0.2">
      <c r="I15348" s="137" t="s">
        <v>74</v>
      </c>
    </row>
    <row r="15349" spans="9:9" x14ac:dyDescent="0.2">
      <c r="I15349" s="137" t="s">
        <v>74</v>
      </c>
    </row>
    <row r="15350" spans="9:9" x14ac:dyDescent="0.2">
      <c r="I15350" s="137" t="s">
        <v>74</v>
      </c>
    </row>
    <row r="15351" spans="9:9" x14ac:dyDescent="0.2">
      <c r="I15351" s="137" t="s">
        <v>74</v>
      </c>
    </row>
    <row r="15352" spans="9:9" x14ac:dyDescent="0.2">
      <c r="I15352" s="137" t="s">
        <v>74</v>
      </c>
    </row>
    <row r="15353" spans="9:9" x14ac:dyDescent="0.2">
      <c r="I15353" s="137" t="s">
        <v>74</v>
      </c>
    </row>
    <row r="15354" spans="9:9" x14ac:dyDescent="0.2">
      <c r="I15354" s="137" t="s">
        <v>74</v>
      </c>
    </row>
    <row r="15355" spans="9:9" x14ac:dyDescent="0.2">
      <c r="I15355" s="137" t="s">
        <v>74</v>
      </c>
    </row>
    <row r="15356" spans="9:9" x14ac:dyDescent="0.2">
      <c r="I15356" s="137" t="s">
        <v>74</v>
      </c>
    </row>
    <row r="15357" spans="9:9" x14ac:dyDescent="0.2">
      <c r="I15357" s="137" t="s">
        <v>74</v>
      </c>
    </row>
    <row r="15358" spans="9:9" x14ac:dyDescent="0.2">
      <c r="I15358" s="137" t="s">
        <v>74</v>
      </c>
    </row>
    <row r="15359" spans="9:9" x14ac:dyDescent="0.2">
      <c r="I15359" s="137" t="s">
        <v>74</v>
      </c>
    </row>
    <row r="15360" spans="9:9" x14ac:dyDescent="0.2">
      <c r="I15360" s="137" t="s">
        <v>74</v>
      </c>
    </row>
    <row r="15361" spans="9:9" x14ac:dyDescent="0.2">
      <c r="I15361" s="137" t="s">
        <v>74</v>
      </c>
    </row>
    <row r="15362" spans="9:9" x14ac:dyDescent="0.2">
      <c r="I15362" s="137" t="s">
        <v>74</v>
      </c>
    </row>
    <row r="15363" spans="9:9" x14ac:dyDescent="0.2">
      <c r="I15363" s="137" t="s">
        <v>74</v>
      </c>
    </row>
    <row r="15364" spans="9:9" x14ac:dyDescent="0.2">
      <c r="I15364" s="137" t="s">
        <v>74</v>
      </c>
    </row>
    <row r="15365" spans="9:9" x14ac:dyDescent="0.2">
      <c r="I15365" s="137" t="s">
        <v>74</v>
      </c>
    </row>
    <row r="15366" spans="9:9" x14ac:dyDescent="0.2">
      <c r="I15366" s="137" t="s">
        <v>74</v>
      </c>
    </row>
    <row r="15367" spans="9:9" x14ac:dyDescent="0.2">
      <c r="I15367" s="137" t="s">
        <v>74</v>
      </c>
    </row>
    <row r="15368" spans="9:9" x14ac:dyDescent="0.2">
      <c r="I15368" s="137" t="s">
        <v>74</v>
      </c>
    </row>
    <row r="15369" spans="9:9" x14ac:dyDescent="0.2">
      <c r="I15369" s="137" t="s">
        <v>74</v>
      </c>
    </row>
    <row r="15370" spans="9:9" x14ac:dyDescent="0.2">
      <c r="I15370" s="137" t="s">
        <v>74</v>
      </c>
    </row>
    <row r="15371" spans="9:9" x14ac:dyDescent="0.2">
      <c r="I15371" s="137" t="s">
        <v>74</v>
      </c>
    </row>
    <row r="15372" spans="9:9" x14ac:dyDescent="0.2">
      <c r="I15372" s="137" t="s">
        <v>74</v>
      </c>
    </row>
    <row r="15373" spans="9:9" x14ac:dyDescent="0.2">
      <c r="I15373" s="137" t="s">
        <v>74</v>
      </c>
    </row>
    <row r="15374" spans="9:9" x14ac:dyDescent="0.2">
      <c r="I15374" s="137" t="s">
        <v>74</v>
      </c>
    </row>
    <row r="15375" spans="9:9" x14ac:dyDescent="0.2">
      <c r="I15375" s="137" t="s">
        <v>74</v>
      </c>
    </row>
    <row r="15376" spans="9:9" x14ac:dyDescent="0.2">
      <c r="I15376" s="137" t="s">
        <v>74</v>
      </c>
    </row>
    <row r="15377" spans="9:9" x14ac:dyDescent="0.2">
      <c r="I15377" s="137" t="s">
        <v>74</v>
      </c>
    </row>
    <row r="15378" spans="9:9" x14ac:dyDescent="0.2">
      <c r="I15378" s="137" t="s">
        <v>74</v>
      </c>
    </row>
    <row r="15379" spans="9:9" x14ac:dyDescent="0.2">
      <c r="I15379" s="137" t="s">
        <v>74</v>
      </c>
    </row>
    <row r="15380" spans="9:9" x14ac:dyDescent="0.2">
      <c r="I15380" s="137" t="s">
        <v>74</v>
      </c>
    </row>
    <row r="15381" spans="9:9" x14ac:dyDescent="0.2">
      <c r="I15381" s="137" t="s">
        <v>74</v>
      </c>
    </row>
    <row r="15382" spans="9:9" x14ac:dyDescent="0.2">
      <c r="I15382" s="137" t="s">
        <v>74</v>
      </c>
    </row>
    <row r="15383" spans="9:9" x14ac:dyDescent="0.2">
      <c r="I15383" s="137" t="s">
        <v>74</v>
      </c>
    </row>
    <row r="15384" spans="9:9" x14ac:dyDescent="0.2">
      <c r="I15384" s="137" t="s">
        <v>74</v>
      </c>
    </row>
    <row r="15385" spans="9:9" x14ac:dyDescent="0.2">
      <c r="I15385" s="137" t="s">
        <v>74</v>
      </c>
    </row>
    <row r="15386" spans="9:9" x14ac:dyDescent="0.2">
      <c r="I15386" s="137" t="s">
        <v>74</v>
      </c>
    </row>
    <row r="15387" spans="9:9" x14ac:dyDescent="0.2">
      <c r="I15387" s="137" t="s">
        <v>74</v>
      </c>
    </row>
    <row r="15388" spans="9:9" x14ac:dyDescent="0.2">
      <c r="I15388" s="137" t="s">
        <v>74</v>
      </c>
    </row>
    <row r="15389" spans="9:9" x14ac:dyDescent="0.2">
      <c r="I15389" s="137" t="s">
        <v>74</v>
      </c>
    </row>
    <row r="15390" spans="9:9" x14ac:dyDescent="0.2">
      <c r="I15390" s="137" t="s">
        <v>74</v>
      </c>
    </row>
    <row r="15391" spans="9:9" x14ac:dyDescent="0.2">
      <c r="I15391" s="137" t="s">
        <v>74</v>
      </c>
    </row>
    <row r="15392" spans="9:9" x14ac:dyDescent="0.2">
      <c r="I15392" s="137" t="s">
        <v>74</v>
      </c>
    </row>
    <row r="15393" spans="9:9" x14ac:dyDescent="0.2">
      <c r="I15393" s="137" t="s">
        <v>74</v>
      </c>
    </row>
    <row r="15394" spans="9:9" x14ac:dyDescent="0.2">
      <c r="I15394" s="137" t="s">
        <v>74</v>
      </c>
    </row>
    <row r="15395" spans="9:9" x14ac:dyDescent="0.2">
      <c r="I15395" s="137" t="s">
        <v>74</v>
      </c>
    </row>
    <row r="15396" spans="9:9" x14ac:dyDescent="0.2">
      <c r="I15396" s="137" t="s">
        <v>74</v>
      </c>
    </row>
    <row r="15397" spans="9:9" x14ac:dyDescent="0.2">
      <c r="I15397" s="137" t="s">
        <v>74</v>
      </c>
    </row>
    <row r="15398" spans="9:9" x14ac:dyDescent="0.2">
      <c r="I15398" s="137" t="s">
        <v>74</v>
      </c>
    </row>
    <row r="15399" spans="9:9" x14ac:dyDescent="0.2">
      <c r="I15399" s="137" t="s">
        <v>74</v>
      </c>
    </row>
    <row r="15400" spans="9:9" x14ac:dyDescent="0.2">
      <c r="I15400" s="137" t="s">
        <v>74</v>
      </c>
    </row>
    <row r="15401" spans="9:9" x14ac:dyDescent="0.2">
      <c r="I15401" s="137" t="s">
        <v>74</v>
      </c>
    </row>
    <row r="15402" spans="9:9" x14ac:dyDescent="0.2">
      <c r="I15402" s="137" t="s">
        <v>74</v>
      </c>
    </row>
    <row r="15403" spans="9:9" x14ac:dyDescent="0.2">
      <c r="I15403" s="137" t="s">
        <v>74</v>
      </c>
    </row>
    <row r="15404" spans="9:9" x14ac:dyDescent="0.2">
      <c r="I15404" s="137" t="s">
        <v>74</v>
      </c>
    </row>
    <row r="15405" spans="9:9" x14ac:dyDescent="0.2">
      <c r="I15405" s="137" t="s">
        <v>74</v>
      </c>
    </row>
    <row r="15406" spans="9:9" x14ac:dyDescent="0.2">
      <c r="I15406" s="137" t="s">
        <v>74</v>
      </c>
    </row>
    <row r="15407" spans="9:9" x14ac:dyDescent="0.2">
      <c r="I15407" s="137" t="s">
        <v>74</v>
      </c>
    </row>
    <row r="15408" spans="9:9" x14ac:dyDescent="0.2">
      <c r="I15408" s="137" t="s">
        <v>74</v>
      </c>
    </row>
    <row r="15409" spans="9:9" x14ac:dyDescent="0.2">
      <c r="I15409" s="137" t="s">
        <v>74</v>
      </c>
    </row>
    <row r="15410" spans="9:9" x14ac:dyDescent="0.2">
      <c r="I15410" s="137" t="s">
        <v>74</v>
      </c>
    </row>
    <row r="15411" spans="9:9" x14ac:dyDescent="0.2">
      <c r="I15411" s="137" t="s">
        <v>74</v>
      </c>
    </row>
    <row r="15412" spans="9:9" x14ac:dyDescent="0.2">
      <c r="I15412" s="137" t="s">
        <v>74</v>
      </c>
    </row>
    <row r="15413" spans="9:9" x14ac:dyDescent="0.2">
      <c r="I15413" s="137" t="s">
        <v>74</v>
      </c>
    </row>
    <row r="15414" spans="9:9" x14ac:dyDescent="0.2">
      <c r="I15414" s="137" t="s">
        <v>74</v>
      </c>
    </row>
    <row r="15415" spans="9:9" x14ac:dyDescent="0.2">
      <c r="I15415" s="137" t="s">
        <v>74</v>
      </c>
    </row>
    <row r="15416" spans="9:9" x14ac:dyDescent="0.2">
      <c r="I15416" s="137" t="s">
        <v>74</v>
      </c>
    </row>
    <row r="15417" spans="9:9" x14ac:dyDescent="0.2">
      <c r="I15417" s="137" t="s">
        <v>74</v>
      </c>
    </row>
    <row r="15418" spans="9:9" x14ac:dyDescent="0.2">
      <c r="I15418" s="137" t="s">
        <v>74</v>
      </c>
    </row>
    <row r="15419" spans="9:9" x14ac:dyDescent="0.2">
      <c r="I15419" s="137" t="s">
        <v>74</v>
      </c>
    </row>
    <row r="15420" spans="9:9" x14ac:dyDescent="0.2">
      <c r="I15420" s="137" t="s">
        <v>74</v>
      </c>
    </row>
    <row r="15421" spans="9:9" x14ac:dyDescent="0.2">
      <c r="I15421" s="137" t="s">
        <v>74</v>
      </c>
    </row>
    <row r="15422" spans="9:9" x14ac:dyDescent="0.2">
      <c r="I15422" s="137" t="s">
        <v>74</v>
      </c>
    </row>
    <row r="15423" spans="9:9" x14ac:dyDescent="0.2">
      <c r="I15423" s="137" t="s">
        <v>74</v>
      </c>
    </row>
    <row r="15424" spans="9:9" x14ac:dyDescent="0.2">
      <c r="I15424" s="137" t="s">
        <v>74</v>
      </c>
    </row>
    <row r="15425" spans="9:9" x14ac:dyDescent="0.2">
      <c r="I15425" s="137" t="s">
        <v>74</v>
      </c>
    </row>
    <row r="15426" spans="9:9" x14ac:dyDescent="0.2">
      <c r="I15426" s="137" t="s">
        <v>74</v>
      </c>
    </row>
    <row r="15427" spans="9:9" x14ac:dyDescent="0.2">
      <c r="I15427" s="137" t="s">
        <v>74</v>
      </c>
    </row>
    <row r="15428" spans="9:9" x14ac:dyDescent="0.2">
      <c r="I15428" s="137" t="s">
        <v>74</v>
      </c>
    </row>
    <row r="15429" spans="9:9" x14ac:dyDescent="0.2">
      <c r="I15429" s="137" t="s">
        <v>74</v>
      </c>
    </row>
    <row r="15430" spans="9:9" x14ac:dyDescent="0.2">
      <c r="I15430" s="137" t="s">
        <v>74</v>
      </c>
    </row>
    <row r="15431" spans="9:9" x14ac:dyDescent="0.2">
      <c r="I15431" s="137" t="s">
        <v>74</v>
      </c>
    </row>
    <row r="15432" spans="9:9" x14ac:dyDescent="0.2">
      <c r="I15432" s="137" t="s">
        <v>74</v>
      </c>
    </row>
    <row r="15433" spans="9:9" x14ac:dyDescent="0.2">
      <c r="I15433" s="137" t="s">
        <v>74</v>
      </c>
    </row>
    <row r="15434" spans="9:9" x14ac:dyDescent="0.2">
      <c r="I15434" s="137" t="s">
        <v>74</v>
      </c>
    </row>
    <row r="15435" spans="9:9" x14ac:dyDescent="0.2">
      <c r="I15435" s="137" t="s">
        <v>74</v>
      </c>
    </row>
    <row r="15436" spans="9:9" x14ac:dyDescent="0.2">
      <c r="I15436" s="137" t="s">
        <v>74</v>
      </c>
    </row>
    <row r="15437" spans="9:9" x14ac:dyDescent="0.2">
      <c r="I15437" s="137" t="s">
        <v>74</v>
      </c>
    </row>
    <row r="15438" spans="9:9" x14ac:dyDescent="0.2">
      <c r="I15438" s="137" t="s">
        <v>74</v>
      </c>
    </row>
    <row r="15439" spans="9:9" x14ac:dyDescent="0.2">
      <c r="I15439" s="137" t="s">
        <v>74</v>
      </c>
    </row>
    <row r="15440" spans="9:9" x14ac:dyDescent="0.2">
      <c r="I15440" s="137" t="s">
        <v>74</v>
      </c>
    </row>
    <row r="15441" spans="9:9" x14ac:dyDescent="0.2">
      <c r="I15441" s="137" t="s">
        <v>74</v>
      </c>
    </row>
    <row r="15442" spans="9:9" x14ac:dyDescent="0.2">
      <c r="I15442" s="137" t="s">
        <v>74</v>
      </c>
    </row>
    <row r="15443" spans="9:9" x14ac:dyDescent="0.2">
      <c r="I15443" s="137" t="s">
        <v>74</v>
      </c>
    </row>
    <row r="15444" spans="9:9" x14ac:dyDescent="0.2">
      <c r="I15444" s="137" t="s">
        <v>74</v>
      </c>
    </row>
    <row r="15445" spans="9:9" x14ac:dyDescent="0.2">
      <c r="I15445" s="137" t="s">
        <v>74</v>
      </c>
    </row>
    <row r="15446" spans="9:9" x14ac:dyDescent="0.2">
      <c r="I15446" s="137" t="s">
        <v>74</v>
      </c>
    </row>
    <row r="15447" spans="9:9" x14ac:dyDescent="0.2">
      <c r="I15447" s="137" t="s">
        <v>74</v>
      </c>
    </row>
    <row r="15448" spans="9:9" x14ac:dyDescent="0.2">
      <c r="I15448" s="137" t="s">
        <v>74</v>
      </c>
    </row>
    <row r="15449" spans="9:9" x14ac:dyDescent="0.2">
      <c r="I15449" s="137" t="s">
        <v>74</v>
      </c>
    </row>
    <row r="15450" spans="9:9" x14ac:dyDescent="0.2">
      <c r="I15450" s="137" t="s">
        <v>74</v>
      </c>
    </row>
    <row r="15451" spans="9:9" x14ac:dyDescent="0.2">
      <c r="I15451" s="137" t="s">
        <v>74</v>
      </c>
    </row>
    <row r="15452" spans="9:9" x14ac:dyDescent="0.2">
      <c r="I15452" s="137" t="s">
        <v>74</v>
      </c>
    </row>
    <row r="15453" spans="9:9" x14ac:dyDescent="0.2">
      <c r="I15453" s="137" t="s">
        <v>74</v>
      </c>
    </row>
    <row r="15454" spans="9:9" x14ac:dyDescent="0.2">
      <c r="I15454" s="137" t="s">
        <v>74</v>
      </c>
    </row>
    <row r="15455" spans="9:9" x14ac:dyDescent="0.2">
      <c r="I15455" s="137" t="s">
        <v>74</v>
      </c>
    </row>
    <row r="15456" spans="9:9" x14ac:dyDescent="0.2">
      <c r="I15456" s="137" t="s">
        <v>74</v>
      </c>
    </row>
    <row r="15457" spans="9:9" x14ac:dyDescent="0.2">
      <c r="I15457" s="137" t="s">
        <v>74</v>
      </c>
    </row>
    <row r="15458" spans="9:9" x14ac:dyDescent="0.2">
      <c r="I15458" s="137" t="s">
        <v>74</v>
      </c>
    </row>
    <row r="15459" spans="9:9" x14ac:dyDescent="0.2">
      <c r="I15459" s="137" t="s">
        <v>74</v>
      </c>
    </row>
    <row r="15460" spans="9:9" x14ac:dyDescent="0.2">
      <c r="I15460" s="137" t="s">
        <v>74</v>
      </c>
    </row>
    <row r="15461" spans="9:9" x14ac:dyDescent="0.2">
      <c r="I15461" s="137" t="s">
        <v>74</v>
      </c>
    </row>
    <row r="15462" spans="9:9" x14ac:dyDescent="0.2">
      <c r="I15462" s="137" t="s">
        <v>74</v>
      </c>
    </row>
    <row r="15463" spans="9:9" x14ac:dyDescent="0.2">
      <c r="I15463" s="137" t="s">
        <v>74</v>
      </c>
    </row>
    <row r="15464" spans="9:9" x14ac:dyDescent="0.2">
      <c r="I15464" s="137" t="s">
        <v>74</v>
      </c>
    </row>
    <row r="15465" spans="9:9" x14ac:dyDescent="0.2">
      <c r="I15465" s="137" t="s">
        <v>74</v>
      </c>
    </row>
    <row r="15466" spans="9:9" x14ac:dyDescent="0.2">
      <c r="I15466" s="137" t="s">
        <v>74</v>
      </c>
    </row>
    <row r="15467" spans="9:9" x14ac:dyDescent="0.2">
      <c r="I15467" s="137" t="s">
        <v>74</v>
      </c>
    </row>
    <row r="15468" spans="9:9" x14ac:dyDescent="0.2">
      <c r="I15468" s="137" t="s">
        <v>74</v>
      </c>
    </row>
    <row r="15469" spans="9:9" x14ac:dyDescent="0.2">
      <c r="I15469" s="137" t="s">
        <v>74</v>
      </c>
    </row>
    <row r="15470" spans="9:9" x14ac:dyDescent="0.2">
      <c r="I15470" s="137" t="s">
        <v>74</v>
      </c>
    </row>
    <row r="15471" spans="9:9" x14ac:dyDescent="0.2">
      <c r="I15471" s="137" t="s">
        <v>74</v>
      </c>
    </row>
    <row r="15472" spans="9:9" x14ac:dyDescent="0.2">
      <c r="I15472" s="137" t="s">
        <v>74</v>
      </c>
    </row>
    <row r="15473" spans="9:9" x14ac:dyDescent="0.2">
      <c r="I15473" s="137" t="s">
        <v>74</v>
      </c>
    </row>
    <row r="15474" spans="9:9" x14ac:dyDescent="0.2">
      <c r="I15474" s="137" t="s">
        <v>74</v>
      </c>
    </row>
    <row r="15475" spans="9:9" x14ac:dyDescent="0.2">
      <c r="I15475" s="137" t="s">
        <v>74</v>
      </c>
    </row>
    <row r="15476" spans="9:9" x14ac:dyDescent="0.2">
      <c r="I15476" s="137" t="s">
        <v>74</v>
      </c>
    </row>
    <row r="15477" spans="9:9" x14ac:dyDescent="0.2">
      <c r="I15477" s="137" t="s">
        <v>74</v>
      </c>
    </row>
    <row r="15478" spans="9:9" x14ac:dyDescent="0.2">
      <c r="I15478" s="137" t="s">
        <v>74</v>
      </c>
    </row>
    <row r="15479" spans="9:9" x14ac:dyDescent="0.2">
      <c r="I15479" s="137" t="s">
        <v>74</v>
      </c>
    </row>
    <row r="15480" spans="9:9" x14ac:dyDescent="0.2">
      <c r="I15480" s="137" t="s">
        <v>74</v>
      </c>
    </row>
    <row r="15481" spans="9:9" x14ac:dyDescent="0.2">
      <c r="I15481" s="137" t="s">
        <v>74</v>
      </c>
    </row>
    <row r="15482" spans="9:9" x14ac:dyDescent="0.2">
      <c r="I15482" s="137" t="s">
        <v>74</v>
      </c>
    </row>
    <row r="15483" spans="9:9" x14ac:dyDescent="0.2">
      <c r="I15483" s="137" t="s">
        <v>74</v>
      </c>
    </row>
    <row r="15484" spans="9:9" x14ac:dyDescent="0.2">
      <c r="I15484" s="137" t="s">
        <v>74</v>
      </c>
    </row>
    <row r="15485" spans="9:9" x14ac:dyDescent="0.2">
      <c r="I15485" s="137" t="s">
        <v>74</v>
      </c>
    </row>
    <row r="15486" spans="9:9" x14ac:dyDescent="0.2">
      <c r="I15486" s="137" t="s">
        <v>74</v>
      </c>
    </row>
    <row r="15487" spans="9:9" x14ac:dyDescent="0.2">
      <c r="I15487" s="137" t="s">
        <v>74</v>
      </c>
    </row>
    <row r="15488" spans="9:9" x14ac:dyDescent="0.2">
      <c r="I15488" s="137" t="s">
        <v>74</v>
      </c>
    </row>
    <row r="15489" spans="9:9" x14ac:dyDescent="0.2">
      <c r="I15489" s="137" t="s">
        <v>74</v>
      </c>
    </row>
    <row r="15490" spans="9:9" x14ac:dyDescent="0.2">
      <c r="I15490" s="137" t="s">
        <v>74</v>
      </c>
    </row>
    <row r="15491" spans="9:9" x14ac:dyDescent="0.2">
      <c r="I15491" s="137" t="s">
        <v>74</v>
      </c>
    </row>
    <row r="15492" spans="9:9" x14ac:dyDescent="0.2">
      <c r="I15492" s="137" t="s">
        <v>74</v>
      </c>
    </row>
    <row r="15493" spans="9:9" x14ac:dyDescent="0.2">
      <c r="I15493" s="137" t="s">
        <v>74</v>
      </c>
    </row>
    <row r="15494" spans="9:9" x14ac:dyDescent="0.2">
      <c r="I15494" s="137" t="s">
        <v>74</v>
      </c>
    </row>
    <row r="15495" spans="9:9" x14ac:dyDescent="0.2">
      <c r="I15495" s="137" t="s">
        <v>74</v>
      </c>
    </row>
    <row r="15496" spans="9:9" x14ac:dyDescent="0.2">
      <c r="I15496" s="137" t="s">
        <v>74</v>
      </c>
    </row>
    <row r="15497" spans="9:9" x14ac:dyDescent="0.2">
      <c r="I15497" s="137" t="s">
        <v>74</v>
      </c>
    </row>
    <row r="15498" spans="9:9" x14ac:dyDescent="0.2">
      <c r="I15498" s="137" t="s">
        <v>74</v>
      </c>
    </row>
    <row r="15499" spans="9:9" x14ac:dyDescent="0.2">
      <c r="I15499" s="137" t="s">
        <v>74</v>
      </c>
    </row>
    <row r="15500" spans="9:9" x14ac:dyDescent="0.2">
      <c r="I15500" s="137" t="s">
        <v>74</v>
      </c>
    </row>
    <row r="15501" spans="9:9" x14ac:dyDescent="0.2">
      <c r="I15501" s="137" t="s">
        <v>74</v>
      </c>
    </row>
    <row r="15502" spans="9:9" x14ac:dyDescent="0.2">
      <c r="I15502" s="137" t="s">
        <v>74</v>
      </c>
    </row>
    <row r="15503" spans="9:9" x14ac:dyDescent="0.2">
      <c r="I15503" s="137" t="s">
        <v>74</v>
      </c>
    </row>
    <row r="15504" spans="9:9" x14ac:dyDescent="0.2">
      <c r="I15504" s="137" t="s">
        <v>74</v>
      </c>
    </row>
    <row r="15505" spans="9:9" x14ac:dyDescent="0.2">
      <c r="I15505" s="137" t="s">
        <v>74</v>
      </c>
    </row>
    <row r="15506" spans="9:9" x14ac:dyDescent="0.2">
      <c r="I15506" s="137" t="s">
        <v>74</v>
      </c>
    </row>
    <row r="15507" spans="9:9" x14ac:dyDescent="0.2">
      <c r="I15507" s="137" t="s">
        <v>74</v>
      </c>
    </row>
    <row r="15508" spans="9:9" x14ac:dyDescent="0.2">
      <c r="I15508" s="137" t="s">
        <v>74</v>
      </c>
    </row>
    <row r="15509" spans="9:9" x14ac:dyDescent="0.2">
      <c r="I15509" s="137" t="s">
        <v>74</v>
      </c>
    </row>
    <row r="15510" spans="9:9" x14ac:dyDescent="0.2">
      <c r="I15510" s="137" t="s">
        <v>74</v>
      </c>
    </row>
    <row r="15511" spans="9:9" x14ac:dyDescent="0.2">
      <c r="I15511" s="137" t="s">
        <v>74</v>
      </c>
    </row>
    <row r="15512" spans="9:9" x14ac:dyDescent="0.2">
      <c r="I15512" s="137" t="s">
        <v>74</v>
      </c>
    </row>
    <row r="15513" spans="9:9" x14ac:dyDescent="0.2">
      <c r="I15513" s="137" t="s">
        <v>74</v>
      </c>
    </row>
    <row r="15514" spans="9:9" x14ac:dyDescent="0.2">
      <c r="I15514" s="137" t="s">
        <v>74</v>
      </c>
    </row>
    <row r="15515" spans="9:9" x14ac:dyDescent="0.2">
      <c r="I15515" s="137" t="s">
        <v>74</v>
      </c>
    </row>
    <row r="15516" spans="9:9" x14ac:dyDescent="0.2">
      <c r="I15516" s="137" t="s">
        <v>74</v>
      </c>
    </row>
    <row r="15517" spans="9:9" x14ac:dyDescent="0.2">
      <c r="I15517" s="137" t="s">
        <v>74</v>
      </c>
    </row>
    <row r="15518" spans="9:9" x14ac:dyDescent="0.2">
      <c r="I15518" s="137" t="s">
        <v>74</v>
      </c>
    </row>
    <row r="15519" spans="9:9" x14ac:dyDescent="0.2">
      <c r="I15519" s="137" t="s">
        <v>74</v>
      </c>
    </row>
    <row r="15520" spans="9:9" x14ac:dyDescent="0.2">
      <c r="I15520" s="137" t="s">
        <v>74</v>
      </c>
    </row>
    <row r="15521" spans="9:9" x14ac:dyDescent="0.2">
      <c r="I15521" s="137" t="s">
        <v>74</v>
      </c>
    </row>
    <row r="15522" spans="9:9" x14ac:dyDescent="0.2">
      <c r="I15522" s="137" t="s">
        <v>74</v>
      </c>
    </row>
    <row r="15523" spans="9:9" x14ac:dyDescent="0.2">
      <c r="I15523" s="137" t="s">
        <v>74</v>
      </c>
    </row>
    <row r="15524" spans="9:9" x14ac:dyDescent="0.2">
      <c r="I15524" s="137" t="s">
        <v>74</v>
      </c>
    </row>
    <row r="15525" spans="9:9" x14ac:dyDescent="0.2">
      <c r="I15525" s="137" t="s">
        <v>74</v>
      </c>
    </row>
    <row r="15526" spans="9:9" x14ac:dyDescent="0.2">
      <c r="I15526" s="137" t="s">
        <v>74</v>
      </c>
    </row>
    <row r="15527" spans="9:9" x14ac:dyDescent="0.2">
      <c r="I15527" s="137" t="s">
        <v>74</v>
      </c>
    </row>
    <row r="15528" spans="9:9" x14ac:dyDescent="0.2">
      <c r="I15528" s="137" t="s">
        <v>74</v>
      </c>
    </row>
    <row r="15529" spans="9:9" x14ac:dyDescent="0.2">
      <c r="I15529" s="137" t="s">
        <v>74</v>
      </c>
    </row>
    <row r="15530" spans="9:9" x14ac:dyDescent="0.2">
      <c r="I15530" s="137" t="s">
        <v>74</v>
      </c>
    </row>
    <row r="15531" spans="9:9" x14ac:dyDescent="0.2">
      <c r="I15531" s="137" t="s">
        <v>74</v>
      </c>
    </row>
    <row r="15532" spans="9:9" x14ac:dyDescent="0.2">
      <c r="I15532" s="137" t="s">
        <v>74</v>
      </c>
    </row>
    <row r="15533" spans="9:9" x14ac:dyDescent="0.2">
      <c r="I15533" s="137" t="s">
        <v>74</v>
      </c>
    </row>
    <row r="15534" spans="9:9" x14ac:dyDescent="0.2">
      <c r="I15534" s="137" t="s">
        <v>74</v>
      </c>
    </row>
    <row r="15535" spans="9:9" x14ac:dyDescent="0.2">
      <c r="I15535" s="137" t="s">
        <v>74</v>
      </c>
    </row>
    <row r="15536" spans="9:9" x14ac:dyDescent="0.2">
      <c r="I15536" s="137" t="s">
        <v>74</v>
      </c>
    </row>
    <row r="15537" spans="9:9" x14ac:dyDescent="0.2">
      <c r="I15537" s="137" t="s">
        <v>74</v>
      </c>
    </row>
    <row r="15538" spans="9:9" x14ac:dyDescent="0.2">
      <c r="I15538" s="137" t="s">
        <v>74</v>
      </c>
    </row>
    <row r="15539" spans="9:9" x14ac:dyDescent="0.2">
      <c r="I15539" s="137" t="s">
        <v>74</v>
      </c>
    </row>
    <row r="15540" spans="9:9" x14ac:dyDescent="0.2">
      <c r="I15540" s="137" t="s">
        <v>74</v>
      </c>
    </row>
    <row r="15541" spans="9:9" x14ac:dyDescent="0.2">
      <c r="I15541" s="137" t="s">
        <v>74</v>
      </c>
    </row>
    <row r="15542" spans="9:9" x14ac:dyDescent="0.2">
      <c r="I15542" s="137" t="s">
        <v>74</v>
      </c>
    </row>
    <row r="15543" spans="9:9" x14ac:dyDescent="0.2">
      <c r="I15543" s="137" t="s">
        <v>74</v>
      </c>
    </row>
    <row r="15544" spans="9:9" x14ac:dyDescent="0.2">
      <c r="I15544" s="137" t="s">
        <v>74</v>
      </c>
    </row>
    <row r="15545" spans="9:9" x14ac:dyDescent="0.2">
      <c r="I15545" s="137" t="s">
        <v>74</v>
      </c>
    </row>
    <row r="15546" spans="9:9" x14ac:dyDescent="0.2">
      <c r="I15546" s="137" t="s">
        <v>74</v>
      </c>
    </row>
    <row r="15547" spans="9:9" x14ac:dyDescent="0.2">
      <c r="I15547" s="137" t="s">
        <v>74</v>
      </c>
    </row>
    <row r="15548" spans="9:9" x14ac:dyDescent="0.2">
      <c r="I15548" s="137" t="s">
        <v>74</v>
      </c>
    </row>
    <row r="15549" spans="9:9" x14ac:dyDescent="0.2">
      <c r="I15549" s="137" t="s">
        <v>74</v>
      </c>
    </row>
    <row r="15550" spans="9:9" x14ac:dyDescent="0.2">
      <c r="I15550" s="137" t="s">
        <v>74</v>
      </c>
    </row>
    <row r="15551" spans="9:9" x14ac:dyDescent="0.2">
      <c r="I15551" s="137" t="s">
        <v>74</v>
      </c>
    </row>
    <row r="15552" spans="9:9" x14ac:dyDescent="0.2">
      <c r="I15552" s="137" t="s">
        <v>74</v>
      </c>
    </row>
    <row r="15553" spans="9:9" x14ac:dyDescent="0.2">
      <c r="I15553" s="137" t="s">
        <v>74</v>
      </c>
    </row>
    <row r="15554" spans="9:9" x14ac:dyDescent="0.2">
      <c r="I15554" s="137" t="s">
        <v>74</v>
      </c>
    </row>
    <row r="15555" spans="9:9" x14ac:dyDescent="0.2">
      <c r="I15555" s="137" t="s">
        <v>74</v>
      </c>
    </row>
    <row r="15556" spans="9:9" x14ac:dyDescent="0.2">
      <c r="I15556" s="137" t="s">
        <v>74</v>
      </c>
    </row>
    <row r="15557" spans="9:9" x14ac:dyDescent="0.2">
      <c r="I15557" s="137" t="s">
        <v>74</v>
      </c>
    </row>
    <row r="15558" spans="9:9" x14ac:dyDescent="0.2">
      <c r="I15558" s="137" t="s">
        <v>74</v>
      </c>
    </row>
    <row r="15559" spans="9:9" x14ac:dyDescent="0.2">
      <c r="I15559" s="137" t="s">
        <v>74</v>
      </c>
    </row>
    <row r="15560" spans="9:9" x14ac:dyDescent="0.2">
      <c r="I15560" s="137" t="s">
        <v>74</v>
      </c>
    </row>
    <row r="15561" spans="9:9" x14ac:dyDescent="0.2">
      <c r="I15561" s="137" t="s">
        <v>74</v>
      </c>
    </row>
    <row r="15562" spans="9:9" x14ac:dyDescent="0.2">
      <c r="I15562" s="137" t="s">
        <v>74</v>
      </c>
    </row>
    <row r="15563" spans="9:9" x14ac:dyDescent="0.2">
      <c r="I15563" s="137" t="s">
        <v>74</v>
      </c>
    </row>
    <row r="15564" spans="9:9" x14ac:dyDescent="0.2">
      <c r="I15564" s="137" t="s">
        <v>74</v>
      </c>
    </row>
    <row r="15565" spans="9:9" x14ac:dyDescent="0.2">
      <c r="I15565" s="137" t="s">
        <v>74</v>
      </c>
    </row>
    <row r="15566" spans="9:9" x14ac:dyDescent="0.2">
      <c r="I15566" s="137" t="s">
        <v>74</v>
      </c>
    </row>
    <row r="15567" spans="9:9" x14ac:dyDescent="0.2">
      <c r="I15567" s="137" t="s">
        <v>74</v>
      </c>
    </row>
    <row r="15568" spans="9:9" x14ac:dyDescent="0.2">
      <c r="I15568" s="137" t="s">
        <v>74</v>
      </c>
    </row>
    <row r="15569" spans="9:9" x14ac:dyDescent="0.2">
      <c r="I15569" s="137" t="s">
        <v>74</v>
      </c>
    </row>
    <row r="15570" spans="9:9" x14ac:dyDescent="0.2">
      <c r="I15570" s="137" t="s">
        <v>74</v>
      </c>
    </row>
    <row r="15571" spans="9:9" x14ac:dyDescent="0.2">
      <c r="I15571" s="137" t="s">
        <v>74</v>
      </c>
    </row>
    <row r="15572" spans="9:9" x14ac:dyDescent="0.2">
      <c r="I15572" s="137" t="s">
        <v>74</v>
      </c>
    </row>
    <row r="15573" spans="9:9" x14ac:dyDescent="0.2">
      <c r="I15573" s="137" t="s">
        <v>74</v>
      </c>
    </row>
    <row r="15574" spans="9:9" x14ac:dyDescent="0.2">
      <c r="I15574" s="137" t="s">
        <v>74</v>
      </c>
    </row>
    <row r="15575" spans="9:9" x14ac:dyDescent="0.2">
      <c r="I15575" s="137" t="s">
        <v>74</v>
      </c>
    </row>
    <row r="15576" spans="9:9" x14ac:dyDescent="0.2">
      <c r="I15576" s="137" t="s">
        <v>74</v>
      </c>
    </row>
    <row r="15577" spans="9:9" x14ac:dyDescent="0.2">
      <c r="I15577" s="137" t="s">
        <v>74</v>
      </c>
    </row>
    <row r="15578" spans="9:9" x14ac:dyDescent="0.2">
      <c r="I15578" s="137" t="s">
        <v>74</v>
      </c>
    </row>
    <row r="15579" spans="9:9" x14ac:dyDescent="0.2">
      <c r="I15579" s="137" t="s">
        <v>74</v>
      </c>
    </row>
    <row r="15580" spans="9:9" x14ac:dyDescent="0.2">
      <c r="I15580" s="137" t="s">
        <v>74</v>
      </c>
    </row>
    <row r="15581" spans="9:9" x14ac:dyDescent="0.2">
      <c r="I15581" s="137" t="s">
        <v>74</v>
      </c>
    </row>
    <row r="15582" spans="9:9" x14ac:dyDescent="0.2">
      <c r="I15582" s="137" t="s">
        <v>74</v>
      </c>
    </row>
    <row r="15583" spans="9:9" x14ac:dyDescent="0.2">
      <c r="I15583" s="137" t="s">
        <v>74</v>
      </c>
    </row>
    <row r="15584" spans="9:9" x14ac:dyDescent="0.2">
      <c r="I15584" s="137" t="s">
        <v>74</v>
      </c>
    </row>
    <row r="15585" spans="9:9" x14ac:dyDescent="0.2">
      <c r="I15585" s="137" t="s">
        <v>74</v>
      </c>
    </row>
    <row r="15586" spans="9:9" x14ac:dyDescent="0.2">
      <c r="I15586" s="137" t="s">
        <v>74</v>
      </c>
    </row>
    <row r="15587" spans="9:9" x14ac:dyDescent="0.2">
      <c r="I15587" s="137" t="s">
        <v>74</v>
      </c>
    </row>
    <row r="15588" spans="9:9" x14ac:dyDescent="0.2">
      <c r="I15588" s="137" t="s">
        <v>74</v>
      </c>
    </row>
    <row r="15589" spans="9:9" x14ac:dyDescent="0.2">
      <c r="I15589" s="137" t="s">
        <v>74</v>
      </c>
    </row>
    <row r="15590" spans="9:9" x14ac:dyDescent="0.2">
      <c r="I15590" s="137" t="s">
        <v>74</v>
      </c>
    </row>
    <row r="15591" spans="9:9" x14ac:dyDescent="0.2">
      <c r="I15591" s="137" t="s">
        <v>74</v>
      </c>
    </row>
    <row r="15592" spans="9:9" x14ac:dyDescent="0.2">
      <c r="I15592" s="137" t="s">
        <v>74</v>
      </c>
    </row>
    <row r="15593" spans="9:9" x14ac:dyDescent="0.2">
      <c r="I15593" s="137" t="s">
        <v>74</v>
      </c>
    </row>
    <row r="15594" spans="9:9" x14ac:dyDescent="0.2">
      <c r="I15594" s="137" t="s">
        <v>74</v>
      </c>
    </row>
    <row r="15595" spans="9:9" x14ac:dyDescent="0.2">
      <c r="I15595" s="137" t="s">
        <v>74</v>
      </c>
    </row>
    <row r="15596" spans="9:9" x14ac:dyDescent="0.2">
      <c r="I15596" s="137" t="s">
        <v>74</v>
      </c>
    </row>
    <row r="15597" spans="9:9" x14ac:dyDescent="0.2">
      <c r="I15597" s="137" t="s">
        <v>74</v>
      </c>
    </row>
    <row r="15598" spans="9:9" x14ac:dyDescent="0.2">
      <c r="I15598" s="137" t="s">
        <v>74</v>
      </c>
    </row>
    <row r="15599" spans="9:9" x14ac:dyDescent="0.2">
      <c r="I15599" s="137" t="s">
        <v>74</v>
      </c>
    </row>
    <row r="15600" spans="9:9" x14ac:dyDescent="0.2">
      <c r="I15600" s="137" t="s">
        <v>74</v>
      </c>
    </row>
    <row r="15601" spans="9:9" x14ac:dyDescent="0.2">
      <c r="I15601" s="137" t="s">
        <v>74</v>
      </c>
    </row>
    <row r="15602" spans="9:9" x14ac:dyDescent="0.2">
      <c r="I15602" s="137" t="s">
        <v>74</v>
      </c>
    </row>
    <row r="15603" spans="9:9" x14ac:dyDescent="0.2">
      <c r="I15603" s="137" t="s">
        <v>74</v>
      </c>
    </row>
    <row r="15604" spans="9:9" x14ac:dyDescent="0.2">
      <c r="I15604" s="137" t="s">
        <v>74</v>
      </c>
    </row>
    <row r="15605" spans="9:9" x14ac:dyDescent="0.2">
      <c r="I15605" s="137" t="s">
        <v>74</v>
      </c>
    </row>
    <row r="15606" spans="9:9" x14ac:dyDescent="0.2">
      <c r="I15606" s="137" t="s">
        <v>74</v>
      </c>
    </row>
    <row r="15607" spans="9:9" x14ac:dyDescent="0.2">
      <c r="I15607" s="137" t="s">
        <v>74</v>
      </c>
    </row>
    <row r="15608" spans="9:9" x14ac:dyDescent="0.2">
      <c r="I15608" s="137" t="s">
        <v>74</v>
      </c>
    </row>
    <row r="15609" spans="9:9" x14ac:dyDescent="0.2">
      <c r="I15609" s="137" t="s">
        <v>74</v>
      </c>
    </row>
    <row r="15610" spans="9:9" x14ac:dyDescent="0.2">
      <c r="I15610" s="137" t="s">
        <v>74</v>
      </c>
    </row>
    <row r="15611" spans="9:9" x14ac:dyDescent="0.2">
      <c r="I15611" s="137" t="s">
        <v>74</v>
      </c>
    </row>
    <row r="15612" spans="9:9" x14ac:dyDescent="0.2">
      <c r="I15612" s="137" t="s">
        <v>74</v>
      </c>
    </row>
    <row r="15613" spans="9:9" x14ac:dyDescent="0.2">
      <c r="I15613" s="137" t="s">
        <v>74</v>
      </c>
    </row>
    <row r="15614" spans="9:9" x14ac:dyDescent="0.2">
      <c r="I15614" s="137" t="s">
        <v>74</v>
      </c>
    </row>
    <row r="15615" spans="9:9" x14ac:dyDescent="0.2">
      <c r="I15615" s="137" t="s">
        <v>74</v>
      </c>
    </row>
    <row r="15616" spans="9:9" x14ac:dyDescent="0.2">
      <c r="I15616" s="137" t="s">
        <v>74</v>
      </c>
    </row>
    <row r="15617" spans="9:9" x14ac:dyDescent="0.2">
      <c r="I15617" s="137" t="s">
        <v>74</v>
      </c>
    </row>
    <row r="15618" spans="9:9" x14ac:dyDescent="0.2">
      <c r="I15618" s="137" t="s">
        <v>74</v>
      </c>
    </row>
    <row r="15619" spans="9:9" x14ac:dyDescent="0.2">
      <c r="I15619" s="137" t="s">
        <v>74</v>
      </c>
    </row>
    <row r="15620" spans="9:9" x14ac:dyDescent="0.2">
      <c r="I15620" s="137" t="s">
        <v>74</v>
      </c>
    </row>
    <row r="15621" spans="9:9" x14ac:dyDescent="0.2">
      <c r="I15621" s="137" t="s">
        <v>74</v>
      </c>
    </row>
    <row r="15622" spans="9:9" x14ac:dyDescent="0.2">
      <c r="I15622" s="137" t="s">
        <v>74</v>
      </c>
    </row>
    <row r="15623" spans="9:9" x14ac:dyDescent="0.2">
      <c r="I15623" s="137" t="s">
        <v>74</v>
      </c>
    </row>
    <row r="15624" spans="9:9" x14ac:dyDescent="0.2">
      <c r="I15624" s="137" t="s">
        <v>74</v>
      </c>
    </row>
    <row r="15625" spans="9:9" x14ac:dyDescent="0.2">
      <c r="I15625" s="137" t="s">
        <v>74</v>
      </c>
    </row>
    <row r="15626" spans="9:9" x14ac:dyDescent="0.2">
      <c r="I15626" s="137" t="s">
        <v>74</v>
      </c>
    </row>
    <row r="15627" spans="9:9" x14ac:dyDescent="0.2">
      <c r="I15627" s="137" t="s">
        <v>74</v>
      </c>
    </row>
    <row r="15628" spans="9:9" x14ac:dyDescent="0.2">
      <c r="I15628" s="137" t="s">
        <v>74</v>
      </c>
    </row>
    <row r="15629" spans="9:9" x14ac:dyDescent="0.2">
      <c r="I15629" s="137" t="s">
        <v>74</v>
      </c>
    </row>
    <row r="15630" spans="9:9" x14ac:dyDescent="0.2">
      <c r="I15630" s="137" t="s">
        <v>74</v>
      </c>
    </row>
    <row r="15631" spans="9:9" x14ac:dyDescent="0.2">
      <c r="I15631" s="137" t="s">
        <v>74</v>
      </c>
    </row>
    <row r="15632" spans="9:9" x14ac:dyDescent="0.2">
      <c r="I15632" s="137" t="s">
        <v>74</v>
      </c>
    </row>
    <row r="15633" spans="9:9" x14ac:dyDescent="0.2">
      <c r="I15633" s="137" t="s">
        <v>74</v>
      </c>
    </row>
    <row r="15634" spans="9:9" x14ac:dyDescent="0.2">
      <c r="I15634" s="137" t="s">
        <v>74</v>
      </c>
    </row>
    <row r="15635" spans="9:9" x14ac:dyDescent="0.2">
      <c r="I15635" s="137" t="s">
        <v>74</v>
      </c>
    </row>
    <row r="15636" spans="9:9" x14ac:dyDescent="0.2">
      <c r="I15636" s="137" t="s">
        <v>74</v>
      </c>
    </row>
    <row r="15637" spans="9:9" x14ac:dyDescent="0.2">
      <c r="I15637" s="137" t="s">
        <v>74</v>
      </c>
    </row>
    <row r="15638" spans="9:9" x14ac:dyDescent="0.2">
      <c r="I15638" s="137" t="s">
        <v>74</v>
      </c>
    </row>
    <row r="15639" spans="9:9" x14ac:dyDescent="0.2">
      <c r="I15639" s="137" t="s">
        <v>74</v>
      </c>
    </row>
    <row r="15640" spans="9:9" x14ac:dyDescent="0.2">
      <c r="I15640" s="137" t="s">
        <v>74</v>
      </c>
    </row>
    <row r="15641" spans="9:9" x14ac:dyDescent="0.2">
      <c r="I15641" s="137" t="s">
        <v>74</v>
      </c>
    </row>
    <row r="15642" spans="9:9" x14ac:dyDescent="0.2">
      <c r="I15642" s="137" t="s">
        <v>74</v>
      </c>
    </row>
    <row r="15643" spans="9:9" x14ac:dyDescent="0.2">
      <c r="I15643" s="137" t="s">
        <v>74</v>
      </c>
    </row>
    <row r="15644" spans="9:9" x14ac:dyDescent="0.2">
      <c r="I15644" s="137" t="s">
        <v>74</v>
      </c>
    </row>
    <row r="15645" spans="9:9" x14ac:dyDescent="0.2">
      <c r="I15645" s="137" t="s">
        <v>74</v>
      </c>
    </row>
    <row r="15646" spans="9:9" x14ac:dyDescent="0.2">
      <c r="I15646" s="137" t="s">
        <v>74</v>
      </c>
    </row>
    <row r="15647" spans="9:9" x14ac:dyDescent="0.2">
      <c r="I15647" s="137" t="s">
        <v>74</v>
      </c>
    </row>
    <row r="15648" spans="9:9" x14ac:dyDescent="0.2">
      <c r="I15648" s="137" t="s">
        <v>74</v>
      </c>
    </row>
    <row r="15649" spans="9:9" x14ac:dyDescent="0.2">
      <c r="I15649" s="137" t="s">
        <v>74</v>
      </c>
    </row>
    <row r="15650" spans="9:9" x14ac:dyDescent="0.2">
      <c r="I15650" s="137" t="s">
        <v>74</v>
      </c>
    </row>
    <row r="15651" spans="9:9" x14ac:dyDescent="0.2">
      <c r="I15651" s="137" t="s">
        <v>74</v>
      </c>
    </row>
    <row r="15652" spans="9:9" x14ac:dyDescent="0.2">
      <c r="I15652" s="137" t="s">
        <v>74</v>
      </c>
    </row>
    <row r="15653" spans="9:9" x14ac:dyDescent="0.2">
      <c r="I15653" s="137" t="s">
        <v>74</v>
      </c>
    </row>
    <row r="15654" spans="9:9" x14ac:dyDescent="0.2">
      <c r="I15654" s="137" t="s">
        <v>74</v>
      </c>
    </row>
    <row r="15655" spans="9:9" x14ac:dyDescent="0.2">
      <c r="I15655" s="137" t="s">
        <v>74</v>
      </c>
    </row>
    <row r="15656" spans="9:9" x14ac:dyDescent="0.2">
      <c r="I15656" s="137" t="s">
        <v>74</v>
      </c>
    </row>
    <row r="15657" spans="9:9" x14ac:dyDescent="0.2">
      <c r="I15657" s="137" t="s">
        <v>74</v>
      </c>
    </row>
    <row r="15658" spans="9:9" x14ac:dyDescent="0.2">
      <c r="I15658" s="137" t="s">
        <v>74</v>
      </c>
    </row>
    <row r="15659" spans="9:9" x14ac:dyDescent="0.2">
      <c r="I15659" s="137" t="s">
        <v>74</v>
      </c>
    </row>
    <row r="15660" spans="9:9" x14ac:dyDescent="0.2">
      <c r="I15660" s="137" t="s">
        <v>74</v>
      </c>
    </row>
    <row r="15661" spans="9:9" x14ac:dyDescent="0.2">
      <c r="I15661" s="137" t="s">
        <v>74</v>
      </c>
    </row>
    <row r="15662" spans="9:9" x14ac:dyDescent="0.2">
      <c r="I15662" s="137" t="s">
        <v>74</v>
      </c>
    </row>
    <row r="15663" spans="9:9" x14ac:dyDescent="0.2">
      <c r="I15663" s="137" t="s">
        <v>74</v>
      </c>
    </row>
    <row r="15664" spans="9:9" x14ac:dyDescent="0.2">
      <c r="I15664" s="137" t="s">
        <v>74</v>
      </c>
    </row>
    <row r="15665" spans="9:9" x14ac:dyDescent="0.2">
      <c r="I15665" s="137" t="s">
        <v>74</v>
      </c>
    </row>
    <row r="15666" spans="9:9" x14ac:dyDescent="0.2">
      <c r="I15666" s="137" t="s">
        <v>74</v>
      </c>
    </row>
    <row r="15667" spans="9:9" x14ac:dyDescent="0.2">
      <c r="I15667" s="137" t="s">
        <v>74</v>
      </c>
    </row>
    <row r="15668" spans="9:9" x14ac:dyDescent="0.2">
      <c r="I15668" s="137" t="s">
        <v>74</v>
      </c>
    </row>
    <row r="15669" spans="9:9" x14ac:dyDescent="0.2">
      <c r="I15669" s="137" t="s">
        <v>74</v>
      </c>
    </row>
    <row r="15670" spans="9:9" x14ac:dyDescent="0.2">
      <c r="I15670" s="137" t="s">
        <v>74</v>
      </c>
    </row>
    <row r="15671" spans="9:9" x14ac:dyDescent="0.2">
      <c r="I15671" s="137" t="s">
        <v>74</v>
      </c>
    </row>
    <row r="15672" spans="9:9" x14ac:dyDescent="0.2">
      <c r="I15672" s="137" t="s">
        <v>74</v>
      </c>
    </row>
    <row r="15673" spans="9:9" x14ac:dyDescent="0.2">
      <c r="I15673" s="137" t="s">
        <v>74</v>
      </c>
    </row>
    <row r="15674" spans="9:9" x14ac:dyDescent="0.2">
      <c r="I15674" s="137" t="s">
        <v>74</v>
      </c>
    </row>
    <row r="15675" spans="9:9" x14ac:dyDescent="0.2">
      <c r="I15675" s="137" t="s">
        <v>74</v>
      </c>
    </row>
    <row r="15676" spans="9:9" x14ac:dyDescent="0.2">
      <c r="I15676" s="137" t="s">
        <v>74</v>
      </c>
    </row>
    <row r="15677" spans="9:9" x14ac:dyDescent="0.2">
      <c r="I15677" s="137" t="s">
        <v>74</v>
      </c>
    </row>
    <row r="15678" spans="9:9" x14ac:dyDescent="0.2">
      <c r="I15678" s="137" t="s">
        <v>74</v>
      </c>
    </row>
    <row r="15679" spans="9:9" x14ac:dyDescent="0.2">
      <c r="I15679" s="137" t="s">
        <v>74</v>
      </c>
    </row>
    <row r="15680" spans="9:9" x14ac:dyDescent="0.2">
      <c r="I15680" s="137" t="s">
        <v>74</v>
      </c>
    </row>
    <row r="15681" spans="9:9" x14ac:dyDescent="0.2">
      <c r="I15681" s="137" t="s">
        <v>74</v>
      </c>
    </row>
    <row r="15682" spans="9:9" x14ac:dyDescent="0.2">
      <c r="I15682" s="137" t="s">
        <v>74</v>
      </c>
    </row>
    <row r="15683" spans="9:9" x14ac:dyDescent="0.2">
      <c r="I15683" s="137" t="s">
        <v>74</v>
      </c>
    </row>
    <row r="15684" spans="9:9" x14ac:dyDescent="0.2">
      <c r="I15684" s="137" t="s">
        <v>74</v>
      </c>
    </row>
    <row r="15685" spans="9:9" x14ac:dyDescent="0.2">
      <c r="I15685" s="137" t="s">
        <v>74</v>
      </c>
    </row>
    <row r="15686" spans="9:9" x14ac:dyDescent="0.2">
      <c r="I15686" s="137" t="s">
        <v>74</v>
      </c>
    </row>
    <row r="15687" spans="9:9" x14ac:dyDescent="0.2">
      <c r="I15687" s="137" t="s">
        <v>74</v>
      </c>
    </row>
    <row r="15688" spans="9:9" x14ac:dyDescent="0.2">
      <c r="I15688" s="137" t="s">
        <v>74</v>
      </c>
    </row>
    <row r="15689" spans="9:9" x14ac:dyDescent="0.2">
      <c r="I15689" s="137" t="s">
        <v>74</v>
      </c>
    </row>
    <row r="15690" spans="9:9" x14ac:dyDescent="0.2">
      <c r="I15690" s="137" t="s">
        <v>74</v>
      </c>
    </row>
    <row r="15691" spans="9:9" x14ac:dyDescent="0.2">
      <c r="I15691" s="137" t="s">
        <v>74</v>
      </c>
    </row>
    <row r="15692" spans="9:9" x14ac:dyDescent="0.2">
      <c r="I15692" s="137" t="s">
        <v>74</v>
      </c>
    </row>
    <row r="15693" spans="9:9" x14ac:dyDescent="0.2">
      <c r="I15693" s="137" t="s">
        <v>74</v>
      </c>
    </row>
    <row r="15694" spans="9:9" x14ac:dyDescent="0.2">
      <c r="I15694" s="137" t="s">
        <v>74</v>
      </c>
    </row>
    <row r="15695" spans="9:9" x14ac:dyDescent="0.2">
      <c r="I15695" s="137" t="s">
        <v>74</v>
      </c>
    </row>
    <row r="15696" spans="9:9" x14ac:dyDescent="0.2">
      <c r="I15696" s="137" t="s">
        <v>74</v>
      </c>
    </row>
    <row r="15697" spans="9:9" x14ac:dyDescent="0.2">
      <c r="I15697" s="137" t="s">
        <v>74</v>
      </c>
    </row>
    <row r="15698" spans="9:9" x14ac:dyDescent="0.2">
      <c r="I15698" s="137" t="s">
        <v>74</v>
      </c>
    </row>
    <row r="15699" spans="9:9" x14ac:dyDescent="0.2">
      <c r="I15699" s="137" t="s">
        <v>74</v>
      </c>
    </row>
    <row r="15700" spans="9:9" x14ac:dyDescent="0.2">
      <c r="I15700" s="137" t="s">
        <v>74</v>
      </c>
    </row>
    <row r="15701" spans="9:9" x14ac:dyDescent="0.2">
      <c r="I15701" s="137" t="s">
        <v>74</v>
      </c>
    </row>
    <row r="15702" spans="9:9" x14ac:dyDescent="0.2">
      <c r="I15702" s="137" t="s">
        <v>74</v>
      </c>
    </row>
    <row r="15703" spans="9:9" x14ac:dyDescent="0.2">
      <c r="I15703" s="137" t="s">
        <v>74</v>
      </c>
    </row>
    <row r="15704" spans="9:9" x14ac:dyDescent="0.2">
      <c r="I15704" s="137" t="s">
        <v>74</v>
      </c>
    </row>
    <row r="15705" spans="9:9" x14ac:dyDescent="0.2">
      <c r="I15705" s="137" t="s">
        <v>74</v>
      </c>
    </row>
    <row r="15706" spans="9:9" x14ac:dyDescent="0.2">
      <c r="I15706" s="137" t="s">
        <v>74</v>
      </c>
    </row>
    <row r="15707" spans="9:9" x14ac:dyDescent="0.2">
      <c r="I15707" s="137" t="s">
        <v>74</v>
      </c>
    </row>
    <row r="15708" spans="9:9" x14ac:dyDescent="0.2">
      <c r="I15708" s="137" t="s">
        <v>74</v>
      </c>
    </row>
    <row r="15709" spans="9:9" x14ac:dyDescent="0.2">
      <c r="I15709" s="137" t="s">
        <v>74</v>
      </c>
    </row>
    <row r="15710" spans="9:9" x14ac:dyDescent="0.2">
      <c r="I15710" s="137" t="s">
        <v>74</v>
      </c>
    </row>
    <row r="15711" spans="9:9" x14ac:dyDescent="0.2">
      <c r="I15711" s="137" t="s">
        <v>74</v>
      </c>
    </row>
    <row r="15712" spans="9:9" x14ac:dyDescent="0.2">
      <c r="I15712" s="137" t="s">
        <v>74</v>
      </c>
    </row>
    <row r="15713" spans="9:9" x14ac:dyDescent="0.2">
      <c r="I15713" s="137" t="s">
        <v>74</v>
      </c>
    </row>
    <row r="15714" spans="9:9" x14ac:dyDescent="0.2">
      <c r="I15714" s="137" t="s">
        <v>74</v>
      </c>
    </row>
    <row r="15715" spans="9:9" x14ac:dyDescent="0.2">
      <c r="I15715" s="137" t="s">
        <v>74</v>
      </c>
    </row>
    <row r="15716" spans="9:9" x14ac:dyDescent="0.2">
      <c r="I15716" s="137" t="s">
        <v>74</v>
      </c>
    </row>
    <row r="15717" spans="9:9" x14ac:dyDescent="0.2">
      <c r="I15717" s="137" t="s">
        <v>74</v>
      </c>
    </row>
    <row r="15718" spans="9:9" x14ac:dyDescent="0.2">
      <c r="I15718" s="137" t="s">
        <v>74</v>
      </c>
    </row>
    <row r="15719" spans="9:9" x14ac:dyDescent="0.2">
      <c r="I15719" s="137" t="s">
        <v>74</v>
      </c>
    </row>
    <row r="15720" spans="9:9" x14ac:dyDescent="0.2">
      <c r="I15720" s="137" t="s">
        <v>74</v>
      </c>
    </row>
    <row r="15721" spans="9:9" x14ac:dyDescent="0.2">
      <c r="I15721" s="137" t="s">
        <v>74</v>
      </c>
    </row>
    <row r="15722" spans="9:9" x14ac:dyDescent="0.2">
      <c r="I15722" s="137" t="s">
        <v>74</v>
      </c>
    </row>
    <row r="15723" spans="9:9" x14ac:dyDescent="0.2">
      <c r="I15723" s="137" t="s">
        <v>74</v>
      </c>
    </row>
    <row r="15724" spans="9:9" x14ac:dyDescent="0.2">
      <c r="I15724" s="137" t="s">
        <v>74</v>
      </c>
    </row>
    <row r="15725" spans="9:9" x14ac:dyDescent="0.2">
      <c r="I15725" s="137" t="s">
        <v>74</v>
      </c>
    </row>
    <row r="15726" spans="9:9" x14ac:dyDescent="0.2">
      <c r="I15726" s="137" t="s">
        <v>74</v>
      </c>
    </row>
    <row r="15727" spans="9:9" x14ac:dyDescent="0.2">
      <c r="I15727" s="137" t="s">
        <v>74</v>
      </c>
    </row>
    <row r="15728" spans="9:9" x14ac:dyDescent="0.2">
      <c r="I15728" s="137" t="s">
        <v>74</v>
      </c>
    </row>
    <row r="15729" spans="9:9" x14ac:dyDescent="0.2">
      <c r="I15729" s="137" t="s">
        <v>74</v>
      </c>
    </row>
    <row r="15730" spans="9:9" x14ac:dyDescent="0.2">
      <c r="I15730" s="137" t="s">
        <v>74</v>
      </c>
    </row>
    <row r="15731" spans="9:9" x14ac:dyDescent="0.2">
      <c r="I15731" s="137" t="s">
        <v>74</v>
      </c>
    </row>
    <row r="15732" spans="9:9" x14ac:dyDescent="0.2">
      <c r="I15732" s="137" t="s">
        <v>74</v>
      </c>
    </row>
    <row r="15733" spans="9:9" x14ac:dyDescent="0.2">
      <c r="I15733" s="137" t="s">
        <v>74</v>
      </c>
    </row>
    <row r="15734" spans="9:9" x14ac:dyDescent="0.2">
      <c r="I15734" s="137" t="s">
        <v>74</v>
      </c>
    </row>
    <row r="15735" spans="9:9" x14ac:dyDescent="0.2">
      <c r="I15735" s="137" t="s">
        <v>74</v>
      </c>
    </row>
    <row r="15736" spans="9:9" x14ac:dyDescent="0.2">
      <c r="I15736" s="137" t="s">
        <v>74</v>
      </c>
    </row>
    <row r="15737" spans="9:9" x14ac:dyDescent="0.2">
      <c r="I15737" s="137" t="s">
        <v>74</v>
      </c>
    </row>
    <row r="15738" spans="9:9" x14ac:dyDescent="0.2">
      <c r="I15738" s="137" t="s">
        <v>74</v>
      </c>
    </row>
    <row r="15739" spans="9:9" x14ac:dyDescent="0.2">
      <c r="I15739" s="137" t="s">
        <v>74</v>
      </c>
    </row>
    <row r="15740" spans="9:9" x14ac:dyDescent="0.2">
      <c r="I15740" s="137" t="s">
        <v>74</v>
      </c>
    </row>
    <row r="15741" spans="9:9" x14ac:dyDescent="0.2">
      <c r="I15741" s="137" t="s">
        <v>74</v>
      </c>
    </row>
    <row r="15742" spans="9:9" x14ac:dyDescent="0.2">
      <c r="I15742" s="137" t="s">
        <v>74</v>
      </c>
    </row>
    <row r="15743" spans="9:9" x14ac:dyDescent="0.2">
      <c r="I15743" s="137" t="s">
        <v>74</v>
      </c>
    </row>
    <row r="15744" spans="9:9" x14ac:dyDescent="0.2">
      <c r="I15744" s="137" t="s">
        <v>74</v>
      </c>
    </row>
    <row r="15745" spans="9:9" x14ac:dyDescent="0.2">
      <c r="I15745" s="137" t="s">
        <v>74</v>
      </c>
    </row>
    <row r="15746" spans="9:9" x14ac:dyDescent="0.2">
      <c r="I15746" s="137" t="s">
        <v>74</v>
      </c>
    </row>
    <row r="15747" spans="9:9" x14ac:dyDescent="0.2">
      <c r="I15747" s="137" t="s">
        <v>74</v>
      </c>
    </row>
    <row r="15748" spans="9:9" x14ac:dyDescent="0.2">
      <c r="I15748" s="137" t="s">
        <v>74</v>
      </c>
    </row>
    <row r="15749" spans="9:9" x14ac:dyDescent="0.2">
      <c r="I15749" s="137" t="s">
        <v>74</v>
      </c>
    </row>
    <row r="15750" spans="9:9" x14ac:dyDescent="0.2">
      <c r="I15750" s="137" t="s">
        <v>74</v>
      </c>
    </row>
    <row r="15751" spans="9:9" x14ac:dyDescent="0.2">
      <c r="I15751" s="137" t="s">
        <v>74</v>
      </c>
    </row>
    <row r="15752" spans="9:9" x14ac:dyDescent="0.2">
      <c r="I15752" s="137" t="s">
        <v>74</v>
      </c>
    </row>
    <row r="15753" spans="9:9" x14ac:dyDescent="0.2">
      <c r="I15753" s="137" t="s">
        <v>74</v>
      </c>
    </row>
    <row r="15754" spans="9:9" x14ac:dyDescent="0.2">
      <c r="I15754" s="137" t="s">
        <v>74</v>
      </c>
    </row>
    <row r="15755" spans="9:9" x14ac:dyDescent="0.2">
      <c r="I15755" s="137" t="s">
        <v>74</v>
      </c>
    </row>
    <row r="15756" spans="9:9" x14ac:dyDescent="0.2">
      <c r="I15756" s="137" t="s">
        <v>74</v>
      </c>
    </row>
    <row r="15757" spans="9:9" x14ac:dyDescent="0.2">
      <c r="I15757" s="137" t="s">
        <v>74</v>
      </c>
    </row>
    <row r="15758" spans="9:9" x14ac:dyDescent="0.2">
      <c r="I15758" s="137" t="s">
        <v>74</v>
      </c>
    </row>
    <row r="15759" spans="9:9" x14ac:dyDescent="0.2">
      <c r="I15759" s="137" t="s">
        <v>74</v>
      </c>
    </row>
    <row r="15760" spans="9:9" x14ac:dyDescent="0.2">
      <c r="I15760" s="137" t="s">
        <v>74</v>
      </c>
    </row>
    <row r="15761" spans="9:9" x14ac:dyDescent="0.2">
      <c r="I15761" s="137" t="s">
        <v>74</v>
      </c>
    </row>
    <row r="15762" spans="9:9" x14ac:dyDescent="0.2">
      <c r="I15762" s="137" t="s">
        <v>74</v>
      </c>
    </row>
    <row r="15763" spans="9:9" x14ac:dyDescent="0.2">
      <c r="I15763" s="137" t="s">
        <v>74</v>
      </c>
    </row>
    <row r="15764" spans="9:9" x14ac:dyDescent="0.2">
      <c r="I15764" s="137" t="s">
        <v>74</v>
      </c>
    </row>
    <row r="15765" spans="9:9" x14ac:dyDescent="0.2">
      <c r="I15765" s="137" t="s">
        <v>74</v>
      </c>
    </row>
    <row r="15766" spans="9:9" x14ac:dyDescent="0.2">
      <c r="I15766" s="137" t="s">
        <v>74</v>
      </c>
    </row>
    <row r="15767" spans="9:9" x14ac:dyDescent="0.2">
      <c r="I15767" s="137" t="s">
        <v>74</v>
      </c>
    </row>
    <row r="15768" spans="9:9" x14ac:dyDescent="0.2">
      <c r="I15768" s="137" t="s">
        <v>74</v>
      </c>
    </row>
    <row r="15769" spans="9:9" x14ac:dyDescent="0.2">
      <c r="I15769" s="137" t="s">
        <v>74</v>
      </c>
    </row>
    <row r="15770" spans="9:9" x14ac:dyDescent="0.2">
      <c r="I15770" s="137" t="s">
        <v>74</v>
      </c>
    </row>
    <row r="15771" spans="9:9" x14ac:dyDescent="0.2">
      <c r="I15771" s="137" t="s">
        <v>74</v>
      </c>
    </row>
    <row r="15772" spans="9:9" x14ac:dyDescent="0.2">
      <c r="I15772" s="137" t="s">
        <v>74</v>
      </c>
    </row>
    <row r="15773" spans="9:9" x14ac:dyDescent="0.2">
      <c r="I15773" s="137" t="s">
        <v>74</v>
      </c>
    </row>
    <row r="15774" spans="9:9" x14ac:dyDescent="0.2">
      <c r="I15774" s="137" t="s">
        <v>74</v>
      </c>
    </row>
    <row r="15775" spans="9:9" x14ac:dyDescent="0.2">
      <c r="I15775" s="137" t="s">
        <v>74</v>
      </c>
    </row>
    <row r="15776" spans="9:9" x14ac:dyDescent="0.2">
      <c r="I15776" s="137" t="s">
        <v>74</v>
      </c>
    </row>
    <row r="15777" spans="9:9" x14ac:dyDescent="0.2">
      <c r="I15777" s="137" t="s">
        <v>74</v>
      </c>
    </row>
    <row r="15778" spans="9:9" x14ac:dyDescent="0.2">
      <c r="I15778" s="137" t="s">
        <v>74</v>
      </c>
    </row>
    <row r="15779" spans="9:9" x14ac:dyDescent="0.2">
      <c r="I15779" s="137" t="s">
        <v>74</v>
      </c>
    </row>
    <row r="15780" spans="9:9" x14ac:dyDescent="0.2">
      <c r="I15780" s="137" t="s">
        <v>74</v>
      </c>
    </row>
    <row r="15781" spans="9:9" x14ac:dyDescent="0.2">
      <c r="I15781" s="137" t="s">
        <v>74</v>
      </c>
    </row>
    <row r="15782" spans="9:9" x14ac:dyDescent="0.2">
      <c r="I15782" s="137" t="s">
        <v>74</v>
      </c>
    </row>
    <row r="15783" spans="9:9" x14ac:dyDescent="0.2">
      <c r="I15783" s="137" t="s">
        <v>74</v>
      </c>
    </row>
    <row r="15784" spans="9:9" x14ac:dyDescent="0.2">
      <c r="I15784" s="137" t="s">
        <v>74</v>
      </c>
    </row>
    <row r="15785" spans="9:9" x14ac:dyDescent="0.2">
      <c r="I15785" s="137" t="s">
        <v>74</v>
      </c>
    </row>
    <row r="15786" spans="9:9" x14ac:dyDescent="0.2">
      <c r="I15786" s="137" t="s">
        <v>74</v>
      </c>
    </row>
    <row r="15787" spans="9:9" x14ac:dyDescent="0.2">
      <c r="I15787" s="137" t="s">
        <v>74</v>
      </c>
    </row>
    <row r="15788" spans="9:9" x14ac:dyDescent="0.2">
      <c r="I15788" s="137" t="s">
        <v>74</v>
      </c>
    </row>
    <row r="15789" spans="9:9" x14ac:dyDescent="0.2">
      <c r="I15789" s="137" t="s">
        <v>74</v>
      </c>
    </row>
    <row r="15790" spans="9:9" x14ac:dyDescent="0.2">
      <c r="I15790" s="137" t="s">
        <v>74</v>
      </c>
    </row>
    <row r="15791" spans="9:9" x14ac:dyDescent="0.2">
      <c r="I15791" s="137" t="s">
        <v>74</v>
      </c>
    </row>
    <row r="15792" spans="9:9" x14ac:dyDescent="0.2">
      <c r="I15792" s="137" t="s">
        <v>74</v>
      </c>
    </row>
    <row r="15793" spans="9:9" x14ac:dyDescent="0.2">
      <c r="I15793" s="137" t="s">
        <v>74</v>
      </c>
    </row>
    <row r="15794" spans="9:9" x14ac:dyDescent="0.2">
      <c r="I15794" s="137" t="s">
        <v>74</v>
      </c>
    </row>
    <row r="15795" spans="9:9" x14ac:dyDescent="0.2">
      <c r="I15795" s="137" t="s">
        <v>74</v>
      </c>
    </row>
    <row r="15796" spans="9:9" x14ac:dyDescent="0.2">
      <c r="I15796" s="137" t="s">
        <v>74</v>
      </c>
    </row>
    <row r="15797" spans="9:9" x14ac:dyDescent="0.2">
      <c r="I15797" s="137" t="s">
        <v>74</v>
      </c>
    </row>
    <row r="15798" spans="9:9" x14ac:dyDescent="0.2">
      <c r="I15798" s="137" t="s">
        <v>74</v>
      </c>
    </row>
    <row r="15799" spans="9:9" x14ac:dyDescent="0.2">
      <c r="I15799" s="137" t="s">
        <v>74</v>
      </c>
    </row>
    <row r="15800" spans="9:9" x14ac:dyDescent="0.2">
      <c r="I15800" s="137" t="s">
        <v>74</v>
      </c>
    </row>
    <row r="15801" spans="9:9" x14ac:dyDescent="0.2">
      <c r="I15801" s="137" t="s">
        <v>74</v>
      </c>
    </row>
    <row r="15802" spans="9:9" x14ac:dyDescent="0.2">
      <c r="I15802" s="137" t="s">
        <v>74</v>
      </c>
    </row>
    <row r="15803" spans="9:9" x14ac:dyDescent="0.2">
      <c r="I15803" s="137" t="s">
        <v>74</v>
      </c>
    </row>
    <row r="15804" spans="9:9" x14ac:dyDescent="0.2">
      <c r="I15804" s="137" t="s">
        <v>74</v>
      </c>
    </row>
    <row r="15805" spans="9:9" x14ac:dyDescent="0.2">
      <c r="I15805" s="137" t="s">
        <v>74</v>
      </c>
    </row>
    <row r="15806" spans="9:9" x14ac:dyDescent="0.2">
      <c r="I15806" s="137" t="s">
        <v>74</v>
      </c>
    </row>
    <row r="15807" spans="9:9" x14ac:dyDescent="0.2">
      <c r="I15807" s="137" t="s">
        <v>74</v>
      </c>
    </row>
    <row r="15808" spans="9:9" x14ac:dyDescent="0.2">
      <c r="I15808" s="137" t="s">
        <v>74</v>
      </c>
    </row>
    <row r="15809" spans="9:9" x14ac:dyDescent="0.2">
      <c r="I15809" s="137" t="s">
        <v>74</v>
      </c>
    </row>
    <row r="15810" spans="9:9" x14ac:dyDescent="0.2">
      <c r="I15810" s="137" t="s">
        <v>74</v>
      </c>
    </row>
    <row r="15811" spans="9:9" x14ac:dyDescent="0.2">
      <c r="I15811" s="137" t="s">
        <v>74</v>
      </c>
    </row>
    <row r="15812" spans="9:9" x14ac:dyDescent="0.2">
      <c r="I15812" s="137" t="s">
        <v>74</v>
      </c>
    </row>
    <row r="15813" spans="9:9" x14ac:dyDescent="0.2">
      <c r="I15813" s="137" t="s">
        <v>74</v>
      </c>
    </row>
    <row r="15814" spans="9:9" x14ac:dyDescent="0.2">
      <c r="I15814" s="137" t="s">
        <v>74</v>
      </c>
    </row>
    <row r="15815" spans="9:9" x14ac:dyDescent="0.2">
      <c r="I15815" s="137" t="s">
        <v>74</v>
      </c>
    </row>
    <row r="15816" spans="9:9" x14ac:dyDescent="0.2">
      <c r="I15816" s="137" t="s">
        <v>74</v>
      </c>
    </row>
    <row r="15817" spans="9:9" x14ac:dyDescent="0.2">
      <c r="I15817" s="137" t="s">
        <v>74</v>
      </c>
    </row>
    <row r="15818" spans="9:9" x14ac:dyDescent="0.2">
      <c r="I15818" s="137" t="s">
        <v>74</v>
      </c>
    </row>
    <row r="15819" spans="9:9" x14ac:dyDescent="0.2">
      <c r="I15819" s="137" t="s">
        <v>74</v>
      </c>
    </row>
    <row r="15820" spans="9:9" x14ac:dyDescent="0.2">
      <c r="I15820" s="137" t="s">
        <v>74</v>
      </c>
    </row>
    <row r="15821" spans="9:9" x14ac:dyDescent="0.2">
      <c r="I15821" s="137" t="s">
        <v>74</v>
      </c>
    </row>
    <row r="15822" spans="9:9" x14ac:dyDescent="0.2">
      <c r="I15822" s="137" t="s">
        <v>74</v>
      </c>
    </row>
    <row r="15823" spans="9:9" x14ac:dyDescent="0.2">
      <c r="I15823" s="137" t="s">
        <v>74</v>
      </c>
    </row>
    <row r="15824" spans="9:9" x14ac:dyDescent="0.2">
      <c r="I15824" s="137" t="s">
        <v>74</v>
      </c>
    </row>
    <row r="15825" spans="9:9" x14ac:dyDescent="0.2">
      <c r="I15825" s="137" t="s">
        <v>74</v>
      </c>
    </row>
    <row r="15826" spans="9:9" x14ac:dyDescent="0.2">
      <c r="I15826" s="137" t="s">
        <v>74</v>
      </c>
    </row>
    <row r="15827" spans="9:9" x14ac:dyDescent="0.2">
      <c r="I15827" s="137" t="s">
        <v>74</v>
      </c>
    </row>
    <row r="15828" spans="9:9" x14ac:dyDescent="0.2">
      <c r="I15828" s="137" t="s">
        <v>74</v>
      </c>
    </row>
    <row r="15829" spans="9:9" x14ac:dyDescent="0.2">
      <c r="I15829" s="137" t="s">
        <v>74</v>
      </c>
    </row>
    <row r="15830" spans="9:9" x14ac:dyDescent="0.2">
      <c r="I15830" s="137" t="s">
        <v>74</v>
      </c>
    </row>
    <row r="15831" spans="9:9" x14ac:dyDescent="0.2">
      <c r="I15831" s="137" t="s">
        <v>74</v>
      </c>
    </row>
    <row r="15832" spans="9:9" x14ac:dyDescent="0.2">
      <c r="I15832" s="137" t="s">
        <v>74</v>
      </c>
    </row>
    <row r="15833" spans="9:9" x14ac:dyDescent="0.2">
      <c r="I15833" s="137" t="s">
        <v>74</v>
      </c>
    </row>
    <row r="15834" spans="9:9" x14ac:dyDescent="0.2">
      <c r="I15834" s="137" t="s">
        <v>74</v>
      </c>
    </row>
    <row r="15835" spans="9:9" x14ac:dyDescent="0.2">
      <c r="I15835" s="137" t="s">
        <v>74</v>
      </c>
    </row>
    <row r="15836" spans="9:9" x14ac:dyDescent="0.2">
      <c r="I15836" s="137" t="s">
        <v>74</v>
      </c>
    </row>
    <row r="15837" spans="9:9" x14ac:dyDescent="0.2">
      <c r="I15837" s="137" t="s">
        <v>74</v>
      </c>
    </row>
    <row r="15838" spans="9:9" x14ac:dyDescent="0.2">
      <c r="I15838" s="137" t="s">
        <v>74</v>
      </c>
    </row>
    <row r="15839" spans="9:9" x14ac:dyDescent="0.2">
      <c r="I15839" s="137" t="s">
        <v>74</v>
      </c>
    </row>
    <row r="15840" spans="9:9" x14ac:dyDescent="0.2">
      <c r="I15840" s="137" t="s">
        <v>74</v>
      </c>
    </row>
    <row r="15841" spans="9:9" x14ac:dyDescent="0.2">
      <c r="I15841" s="137" t="s">
        <v>74</v>
      </c>
    </row>
    <row r="15842" spans="9:9" x14ac:dyDescent="0.2">
      <c r="I15842" s="137" t="s">
        <v>74</v>
      </c>
    </row>
    <row r="15843" spans="9:9" x14ac:dyDescent="0.2">
      <c r="I15843" s="137" t="s">
        <v>74</v>
      </c>
    </row>
    <row r="15844" spans="9:9" x14ac:dyDescent="0.2">
      <c r="I15844" s="137" t="s">
        <v>74</v>
      </c>
    </row>
    <row r="15845" spans="9:9" x14ac:dyDescent="0.2">
      <c r="I15845" s="137" t="s">
        <v>74</v>
      </c>
    </row>
    <row r="15846" spans="9:9" x14ac:dyDescent="0.2">
      <c r="I15846" s="137" t="s">
        <v>74</v>
      </c>
    </row>
    <row r="15847" spans="9:9" x14ac:dyDescent="0.2">
      <c r="I15847" s="137" t="s">
        <v>74</v>
      </c>
    </row>
    <row r="15848" spans="9:9" x14ac:dyDescent="0.2">
      <c r="I15848" s="137" t="s">
        <v>74</v>
      </c>
    </row>
    <row r="15849" spans="9:9" x14ac:dyDescent="0.2">
      <c r="I15849" s="137" t="s">
        <v>74</v>
      </c>
    </row>
    <row r="15850" spans="9:9" x14ac:dyDescent="0.2">
      <c r="I15850" s="137" t="s">
        <v>74</v>
      </c>
    </row>
    <row r="15851" spans="9:9" x14ac:dyDescent="0.2">
      <c r="I15851" s="137" t="s">
        <v>74</v>
      </c>
    </row>
    <row r="15852" spans="9:9" x14ac:dyDescent="0.2">
      <c r="I15852" s="137" t="s">
        <v>74</v>
      </c>
    </row>
    <row r="15853" spans="9:9" x14ac:dyDescent="0.2">
      <c r="I15853" s="137" t="s">
        <v>74</v>
      </c>
    </row>
    <row r="15854" spans="9:9" x14ac:dyDescent="0.2">
      <c r="I15854" s="137" t="s">
        <v>74</v>
      </c>
    </row>
    <row r="15855" spans="9:9" x14ac:dyDescent="0.2">
      <c r="I15855" s="137" t="s">
        <v>74</v>
      </c>
    </row>
    <row r="15856" spans="9:9" x14ac:dyDescent="0.2">
      <c r="I15856" s="137" t="s">
        <v>74</v>
      </c>
    </row>
    <row r="15857" spans="9:9" x14ac:dyDescent="0.2">
      <c r="I15857" s="137" t="s">
        <v>74</v>
      </c>
    </row>
    <row r="15858" spans="9:9" x14ac:dyDescent="0.2">
      <c r="I15858" s="137" t="s">
        <v>74</v>
      </c>
    </row>
    <row r="15859" spans="9:9" x14ac:dyDescent="0.2">
      <c r="I15859" s="137" t="s">
        <v>74</v>
      </c>
    </row>
    <row r="15860" spans="9:9" x14ac:dyDescent="0.2">
      <c r="I15860" s="137" t="s">
        <v>74</v>
      </c>
    </row>
    <row r="15861" spans="9:9" x14ac:dyDescent="0.2">
      <c r="I15861" s="137" t="s">
        <v>74</v>
      </c>
    </row>
    <row r="15862" spans="9:9" x14ac:dyDescent="0.2">
      <c r="I15862" s="137" t="s">
        <v>74</v>
      </c>
    </row>
    <row r="15863" spans="9:9" x14ac:dyDescent="0.2">
      <c r="I15863" s="137" t="s">
        <v>74</v>
      </c>
    </row>
    <row r="15864" spans="9:9" x14ac:dyDescent="0.2">
      <c r="I15864" s="137" t="s">
        <v>74</v>
      </c>
    </row>
    <row r="15865" spans="9:9" x14ac:dyDescent="0.2">
      <c r="I15865" s="137" t="s">
        <v>74</v>
      </c>
    </row>
    <row r="15866" spans="9:9" x14ac:dyDescent="0.2">
      <c r="I15866" s="137" t="s">
        <v>74</v>
      </c>
    </row>
    <row r="15867" spans="9:9" x14ac:dyDescent="0.2">
      <c r="I15867" s="137" t="s">
        <v>74</v>
      </c>
    </row>
    <row r="15868" spans="9:9" x14ac:dyDescent="0.2">
      <c r="I15868" s="137" t="s">
        <v>74</v>
      </c>
    </row>
    <row r="15869" spans="9:9" x14ac:dyDescent="0.2">
      <c r="I15869" s="137" t="s">
        <v>74</v>
      </c>
    </row>
    <row r="15870" spans="9:9" x14ac:dyDescent="0.2">
      <c r="I15870" s="137" t="s">
        <v>74</v>
      </c>
    </row>
    <row r="15871" spans="9:9" x14ac:dyDescent="0.2">
      <c r="I15871" s="137" t="s">
        <v>74</v>
      </c>
    </row>
    <row r="15872" spans="9:9" x14ac:dyDescent="0.2">
      <c r="I15872" s="137" t="s">
        <v>74</v>
      </c>
    </row>
    <row r="15873" spans="9:9" x14ac:dyDescent="0.2">
      <c r="I15873" s="137" t="s">
        <v>74</v>
      </c>
    </row>
    <row r="15874" spans="9:9" x14ac:dyDescent="0.2">
      <c r="I15874" s="137" t="s">
        <v>74</v>
      </c>
    </row>
    <row r="15875" spans="9:9" x14ac:dyDescent="0.2">
      <c r="I15875" s="137" t="s">
        <v>74</v>
      </c>
    </row>
    <row r="15876" spans="9:9" x14ac:dyDescent="0.2">
      <c r="I15876" s="137" t="s">
        <v>74</v>
      </c>
    </row>
    <row r="15877" spans="9:9" x14ac:dyDescent="0.2">
      <c r="I15877" s="137" t="s">
        <v>74</v>
      </c>
    </row>
    <row r="15878" spans="9:9" x14ac:dyDescent="0.2">
      <c r="I15878" s="137" t="s">
        <v>74</v>
      </c>
    </row>
    <row r="15879" spans="9:9" x14ac:dyDescent="0.2">
      <c r="I15879" s="137" t="s">
        <v>74</v>
      </c>
    </row>
    <row r="15880" spans="9:9" x14ac:dyDescent="0.2">
      <c r="I15880" s="137" t="s">
        <v>74</v>
      </c>
    </row>
    <row r="15881" spans="9:9" x14ac:dyDescent="0.2">
      <c r="I15881" s="137" t="s">
        <v>74</v>
      </c>
    </row>
    <row r="15882" spans="9:9" x14ac:dyDescent="0.2">
      <c r="I15882" s="137" t="s">
        <v>74</v>
      </c>
    </row>
    <row r="15883" spans="9:9" x14ac:dyDescent="0.2">
      <c r="I15883" s="137" t="s">
        <v>74</v>
      </c>
    </row>
    <row r="15884" spans="9:9" x14ac:dyDescent="0.2">
      <c r="I15884" s="137" t="s">
        <v>74</v>
      </c>
    </row>
    <row r="15885" spans="9:9" x14ac:dyDescent="0.2">
      <c r="I15885" s="137" t="s">
        <v>74</v>
      </c>
    </row>
    <row r="15886" spans="9:9" x14ac:dyDescent="0.2">
      <c r="I15886" s="137" t="s">
        <v>74</v>
      </c>
    </row>
    <row r="15887" spans="9:9" x14ac:dyDescent="0.2">
      <c r="I15887" s="137" t="s">
        <v>74</v>
      </c>
    </row>
    <row r="15888" spans="9:9" x14ac:dyDescent="0.2">
      <c r="I15888" s="137" t="s">
        <v>74</v>
      </c>
    </row>
    <row r="15889" spans="9:9" x14ac:dyDescent="0.2">
      <c r="I15889" s="137" t="s">
        <v>74</v>
      </c>
    </row>
    <row r="15890" spans="9:9" x14ac:dyDescent="0.2">
      <c r="I15890" s="137" t="s">
        <v>74</v>
      </c>
    </row>
    <row r="15891" spans="9:9" x14ac:dyDescent="0.2">
      <c r="I15891" s="137" t="s">
        <v>74</v>
      </c>
    </row>
    <row r="15892" spans="9:9" x14ac:dyDescent="0.2">
      <c r="I15892" s="137" t="s">
        <v>74</v>
      </c>
    </row>
    <row r="15893" spans="9:9" x14ac:dyDescent="0.2">
      <c r="I15893" s="137" t="s">
        <v>74</v>
      </c>
    </row>
    <row r="15894" spans="9:9" x14ac:dyDescent="0.2">
      <c r="I15894" s="137" t="s">
        <v>74</v>
      </c>
    </row>
    <row r="15895" spans="9:9" x14ac:dyDescent="0.2">
      <c r="I15895" s="137" t="s">
        <v>74</v>
      </c>
    </row>
    <row r="15896" spans="9:9" x14ac:dyDescent="0.2">
      <c r="I15896" s="137" t="s">
        <v>74</v>
      </c>
    </row>
    <row r="15897" spans="9:9" x14ac:dyDescent="0.2">
      <c r="I15897" s="137" t="s">
        <v>74</v>
      </c>
    </row>
    <row r="15898" spans="9:9" x14ac:dyDescent="0.2">
      <c r="I15898" s="137" t="s">
        <v>74</v>
      </c>
    </row>
    <row r="15899" spans="9:9" x14ac:dyDescent="0.2">
      <c r="I15899" s="137" t="s">
        <v>74</v>
      </c>
    </row>
    <row r="15900" spans="9:9" x14ac:dyDescent="0.2">
      <c r="I15900" s="137" t="s">
        <v>74</v>
      </c>
    </row>
    <row r="15901" spans="9:9" x14ac:dyDescent="0.2">
      <c r="I15901" s="137" t="s">
        <v>74</v>
      </c>
    </row>
    <row r="15902" spans="9:9" x14ac:dyDescent="0.2">
      <c r="I15902" s="137" t="s">
        <v>74</v>
      </c>
    </row>
    <row r="15903" spans="9:9" x14ac:dyDescent="0.2">
      <c r="I15903" s="137" t="s">
        <v>74</v>
      </c>
    </row>
    <row r="15904" spans="9:9" x14ac:dyDescent="0.2">
      <c r="I15904" s="137" t="s">
        <v>74</v>
      </c>
    </row>
    <row r="15905" spans="9:9" x14ac:dyDescent="0.2">
      <c r="I15905" s="137" t="s">
        <v>74</v>
      </c>
    </row>
    <row r="15906" spans="9:9" x14ac:dyDescent="0.2">
      <c r="I15906" s="137" t="s">
        <v>74</v>
      </c>
    </row>
    <row r="15907" spans="9:9" x14ac:dyDescent="0.2">
      <c r="I15907" s="137" t="s">
        <v>74</v>
      </c>
    </row>
    <row r="15908" spans="9:9" x14ac:dyDescent="0.2">
      <c r="I15908" s="137" t="s">
        <v>74</v>
      </c>
    </row>
    <row r="15909" spans="9:9" x14ac:dyDescent="0.2">
      <c r="I15909" s="137" t="s">
        <v>74</v>
      </c>
    </row>
    <row r="15910" spans="9:9" x14ac:dyDescent="0.2">
      <c r="I15910" s="137" t="s">
        <v>74</v>
      </c>
    </row>
    <row r="15911" spans="9:9" x14ac:dyDescent="0.2">
      <c r="I15911" s="137" t="s">
        <v>74</v>
      </c>
    </row>
    <row r="15912" spans="9:9" x14ac:dyDescent="0.2">
      <c r="I15912" s="137" t="s">
        <v>74</v>
      </c>
    </row>
    <row r="15913" spans="9:9" x14ac:dyDescent="0.2">
      <c r="I15913" s="137" t="s">
        <v>74</v>
      </c>
    </row>
    <row r="15914" spans="9:9" x14ac:dyDescent="0.2">
      <c r="I15914" s="137" t="s">
        <v>74</v>
      </c>
    </row>
    <row r="15915" spans="9:9" x14ac:dyDescent="0.2">
      <c r="I15915" s="137" t="s">
        <v>74</v>
      </c>
    </row>
    <row r="15916" spans="9:9" x14ac:dyDescent="0.2">
      <c r="I15916" s="137" t="s">
        <v>74</v>
      </c>
    </row>
    <row r="15917" spans="9:9" x14ac:dyDescent="0.2">
      <c r="I15917" s="137" t="s">
        <v>74</v>
      </c>
    </row>
    <row r="15918" spans="9:9" x14ac:dyDescent="0.2">
      <c r="I15918" s="137" t="s">
        <v>74</v>
      </c>
    </row>
    <row r="15919" spans="9:9" x14ac:dyDescent="0.2">
      <c r="I15919" s="137" t="s">
        <v>74</v>
      </c>
    </row>
    <row r="15920" spans="9:9" x14ac:dyDescent="0.2">
      <c r="I15920" s="137" t="s">
        <v>74</v>
      </c>
    </row>
    <row r="15921" spans="9:9" x14ac:dyDescent="0.2">
      <c r="I15921" s="137" t="s">
        <v>74</v>
      </c>
    </row>
    <row r="15922" spans="9:9" x14ac:dyDescent="0.2">
      <c r="I15922" s="137" t="s">
        <v>74</v>
      </c>
    </row>
    <row r="15923" spans="9:9" x14ac:dyDescent="0.2">
      <c r="I15923" s="137" t="s">
        <v>74</v>
      </c>
    </row>
    <row r="15924" spans="9:9" x14ac:dyDescent="0.2">
      <c r="I15924" s="137" t="s">
        <v>74</v>
      </c>
    </row>
    <row r="15925" spans="9:9" x14ac:dyDescent="0.2">
      <c r="I15925" s="137" t="s">
        <v>74</v>
      </c>
    </row>
    <row r="15926" spans="9:9" x14ac:dyDescent="0.2">
      <c r="I15926" s="137" t="s">
        <v>74</v>
      </c>
    </row>
    <row r="15927" spans="9:9" x14ac:dyDescent="0.2">
      <c r="I15927" s="137" t="s">
        <v>74</v>
      </c>
    </row>
    <row r="15928" spans="9:9" x14ac:dyDescent="0.2">
      <c r="I15928" s="137" t="s">
        <v>74</v>
      </c>
    </row>
    <row r="15929" spans="9:9" x14ac:dyDescent="0.2">
      <c r="I15929" s="137" t="s">
        <v>74</v>
      </c>
    </row>
    <row r="15930" spans="9:9" x14ac:dyDescent="0.2">
      <c r="I15930" s="137" t="s">
        <v>74</v>
      </c>
    </row>
    <row r="15931" spans="9:9" x14ac:dyDescent="0.2">
      <c r="I15931" s="137" t="s">
        <v>74</v>
      </c>
    </row>
    <row r="15932" spans="9:9" x14ac:dyDescent="0.2">
      <c r="I15932" s="137" t="s">
        <v>74</v>
      </c>
    </row>
    <row r="15933" spans="9:9" x14ac:dyDescent="0.2">
      <c r="I15933" s="137" t="s">
        <v>74</v>
      </c>
    </row>
    <row r="15934" spans="9:9" x14ac:dyDescent="0.2">
      <c r="I15934" s="137" t="s">
        <v>74</v>
      </c>
    </row>
    <row r="15935" spans="9:9" x14ac:dyDescent="0.2">
      <c r="I15935" s="137" t="s">
        <v>74</v>
      </c>
    </row>
    <row r="15936" spans="9:9" x14ac:dyDescent="0.2">
      <c r="I15936" s="137" t="s">
        <v>74</v>
      </c>
    </row>
    <row r="15937" spans="9:9" x14ac:dyDescent="0.2">
      <c r="I15937" s="137" t="s">
        <v>74</v>
      </c>
    </row>
    <row r="15938" spans="9:9" x14ac:dyDescent="0.2">
      <c r="I15938" s="137" t="s">
        <v>74</v>
      </c>
    </row>
    <row r="15939" spans="9:9" x14ac:dyDescent="0.2">
      <c r="I15939" s="137" t="s">
        <v>74</v>
      </c>
    </row>
    <row r="15940" spans="9:9" x14ac:dyDescent="0.2">
      <c r="I15940" s="137" t="s">
        <v>74</v>
      </c>
    </row>
    <row r="15941" spans="9:9" x14ac:dyDescent="0.2">
      <c r="I15941" s="137" t="s">
        <v>74</v>
      </c>
    </row>
    <row r="15942" spans="9:9" x14ac:dyDescent="0.2">
      <c r="I15942" s="137" t="s">
        <v>74</v>
      </c>
    </row>
    <row r="15943" spans="9:9" x14ac:dyDescent="0.2">
      <c r="I15943" s="137" t="s">
        <v>74</v>
      </c>
    </row>
    <row r="15944" spans="9:9" x14ac:dyDescent="0.2">
      <c r="I15944" s="137" t="s">
        <v>74</v>
      </c>
    </row>
    <row r="15945" spans="9:9" x14ac:dyDescent="0.2">
      <c r="I15945" s="137" t="s">
        <v>74</v>
      </c>
    </row>
    <row r="15946" spans="9:9" x14ac:dyDescent="0.2">
      <c r="I15946" s="137" t="s">
        <v>74</v>
      </c>
    </row>
    <row r="15947" spans="9:9" x14ac:dyDescent="0.2">
      <c r="I15947" s="137" t="s">
        <v>74</v>
      </c>
    </row>
    <row r="15948" spans="9:9" x14ac:dyDescent="0.2">
      <c r="I15948" s="137" t="s">
        <v>74</v>
      </c>
    </row>
    <row r="15949" spans="9:9" x14ac:dyDescent="0.2">
      <c r="I15949" s="137" t="s">
        <v>74</v>
      </c>
    </row>
    <row r="15950" spans="9:9" x14ac:dyDescent="0.2">
      <c r="I15950" s="137" t="s">
        <v>74</v>
      </c>
    </row>
    <row r="15951" spans="9:9" x14ac:dyDescent="0.2">
      <c r="I15951" s="137" t="s">
        <v>74</v>
      </c>
    </row>
    <row r="15952" spans="9:9" x14ac:dyDescent="0.2">
      <c r="I15952" s="137" t="s">
        <v>74</v>
      </c>
    </row>
    <row r="15953" spans="9:9" x14ac:dyDescent="0.2">
      <c r="I15953" s="137" t="s">
        <v>74</v>
      </c>
    </row>
    <row r="15954" spans="9:9" x14ac:dyDescent="0.2">
      <c r="I15954" s="137" t="s">
        <v>74</v>
      </c>
    </row>
    <row r="15955" spans="9:9" x14ac:dyDescent="0.2">
      <c r="I15955" s="137" t="s">
        <v>74</v>
      </c>
    </row>
    <row r="15956" spans="9:9" x14ac:dyDescent="0.2">
      <c r="I15956" s="137" t="s">
        <v>74</v>
      </c>
    </row>
    <row r="15957" spans="9:9" x14ac:dyDescent="0.2">
      <c r="I15957" s="137" t="s">
        <v>74</v>
      </c>
    </row>
    <row r="15958" spans="9:9" x14ac:dyDescent="0.2">
      <c r="I15958" s="137" t="s">
        <v>74</v>
      </c>
    </row>
    <row r="15959" spans="9:9" x14ac:dyDescent="0.2">
      <c r="I15959" s="137" t="s">
        <v>74</v>
      </c>
    </row>
    <row r="15960" spans="9:9" x14ac:dyDescent="0.2">
      <c r="I15960" s="137" t="s">
        <v>74</v>
      </c>
    </row>
    <row r="15961" spans="9:9" x14ac:dyDescent="0.2">
      <c r="I15961" s="137" t="s">
        <v>74</v>
      </c>
    </row>
    <row r="15962" spans="9:9" x14ac:dyDescent="0.2">
      <c r="I15962" s="137" t="s">
        <v>74</v>
      </c>
    </row>
    <row r="15963" spans="9:9" x14ac:dyDescent="0.2">
      <c r="I15963" s="137" t="s">
        <v>74</v>
      </c>
    </row>
    <row r="15964" spans="9:9" x14ac:dyDescent="0.2">
      <c r="I15964" s="137" t="s">
        <v>74</v>
      </c>
    </row>
    <row r="15965" spans="9:9" x14ac:dyDescent="0.2">
      <c r="I15965" s="137" t="s">
        <v>74</v>
      </c>
    </row>
    <row r="15966" spans="9:9" x14ac:dyDescent="0.2">
      <c r="I15966" s="137" t="s">
        <v>74</v>
      </c>
    </row>
    <row r="15967" spans="9:9" x14ac:dyDescent="0.2">
      <c r="I15967" s="137" t="s">
        <v>74</v>
      </c>
    </row>
    <row r="15968" spans="9:9" x14ac:dyDescent="0.2">
      <c r="I15968" s="137" t="s">
        <v>74</v>
      </c>
    </row>
    <row r="15969" spans="9:9" x14ac:dyDescent="0.2">
      <c r="I15969" s="137" t="s">
        <v>74</v>
      </c>
    </row>
    <row r="15970" spans="9:9" x14ac:dyDescent="0.2">
      <c r="I15970" s="137" t="s">
        <v>74</v>
      </c>
    </row>
    <row r="15971" spans="9:9" x14ac:dyDescent="0.2">
      <c r="I15971" s="137" t="s">
        <v>74</v>
      </c>
    </row>
    <row r="15972" spans="9:9" x14ac:dyDescent="0.2">
      <c r="I15972" s="137" t="s">
        <v>74</v>
      </c>
    </row>
    <row r="15973" spans="9:9" x14ac:dyDescent="0.2">
      <c r="I15973" s="137" t="s">
        <v>74</v>
      </c>
    </row>
    <row r="15974" spans="9:9" x14ac:dyDescent="0.2">
      <c r="I15974" s="137" t="s">
        <v>74</v>
      </c>
    </row>
    <row r="15975" spans="9:9" x14ac:dyDescent="0.2">
      <c r="I15975" s="137" t="s">
        <v>74</v>
      </c>
    </row>
    <row r="15976" spans="9:9" x14ac:dyDescent="0.2">
      <c r="I15976" s="137" t="s">
        <v>74</v>
      </c>
    </row>
    <row r="15977" spans="9:9" x14ac:dyDescent="0.2">
      <c r="I15977" s="137" t="s">
        <v>74</v>
      </c>
    </row>
    <row r="15978" spans="9:9" x14ac:dyDescent="0.2">
      <c r="I15978" s="137" t="s">
        <v>74</v>
      </c>
    </row>
    <row r="15979" spans="9:9" x14ac:dyDescent="0.2">
      <c r="I15979" s="137" t="s">
        <v>74</v>
      </c>
    </row>
    <row r="15980" spans="9:9" x14ac:dyDescent="0.2">
      <c r="I15980" s="137" t="s">
        <v>74</v>
      </c>
    </row>
    <row r="15981" spans="9:9" x14ac:dyDescent="0.2">
      <c r="I15981" s="137" t="s">
        <v>74</v>
      </c>
    </row>
    <row r="15982" spans="9:9" x14ac:dyDescent="0.2">
      <c r="I15982" s="137" t="s">
        <v>74</v>
      </c>
    </row>
    <row r="15983" spans="9:9" x14ac:dyDescent="0.2">
      <c r="I15983" s="137" t="s">
        <v>74</v>
      </c>
    </row>
    <row r="15984" spans="9:9" x14ac:dyDescent="0.2">
      <c r="I15984" s="137" t="s">
        <v>74</v>
      </c>
    </row>
    <row r="15985" spans="9:9" x14ac:dyDescent="0.2">
      <c r="I15985" s="137" t="s">
        <v>74</v>
      </c>
    </row>
    <row r="15986" spans="9:9" x14ac:dyDescent="0.2">
      <c r="I15986" s="137" t="s">
        <v>74</v>
      </c>
    </row>
    <row r="15987" spans="9:9" x14ac:dyDescent="0.2">
      <c r="I15987" s="137" t="s">
        <v>74</v>
      </c>
    </row>
    <row r="15988" spans="9:9" x14ac:dyDescent="0.2">
      <c r="I15988" s="137" t="s">
        <v>74</v>
      </c>
    </row>
    <row r="15989" spans="9:9" x14ac:dyDescent="0.2">
      <c r="I15989" s="137" t="s">
        <v>74</v>
      </c>
    </row>
    <row r="15990" spans="9:9" x14ac:dyDescent="0.2">
      <c r="I15990" s="137" t="s">
        <v>74</v>
      </c>
    </row>
    <row r="15991" spans="9:9" x14ac:dyDescent="0.2">
      <c r="I15991" s="137" t="s">
        <v>74</v>
      </c>
    </row>
    <row r="15992" spans="9:9" x14ac:dyDescent="0.2">
      <c r="I15992" s="137" t="s">
        <v>74</v>
      </c>
    </row>
    <row r="15993" spans="9:9" x14ac:dyDescent="0.2">
      <c r="I15993" s="137" t="s">
        <v>74</v>
      </c>
    </row>
    <row r="15994" spans="9:9" x14ac:dyDescent="0.2">
      <c r="I15994" s="137" t="s">
        <v>74</v>
      </c>
    </row>
    <row r="15995" spans="9:9" x14ac:dyDescent="0.2">
      <c r="I15995" s="137" t="s">
        <v>74</v>
      </c>
    </row>
    <row r="15996" spans="9:9" x14ac:dyDescent="0.2">
      <c r="I15996" s="137" t="s">
        <v>74</v>
      </c>
    </row>
    <row r="15997" spans="9:9" x14ac:dyDescent="0.2">
      <c r="I15997" s="137" t="s">
        <v>74</v>
      </c>
    </row>
    <row r="15998" spans="9:9" x14ac:dyDescent="0.2">
      <c r="I15998" s="137" t="s">
        <v>74</v>
      </c>
    </row>
    <row r="15999" spans="9:9" x14ac:dyDescent="0.2">
      <c r="I15999" s="137" t="s">
        <v>74</v>
      </c>
    </row>
    <row r="16000" spans="9:9" x14ac:dyDescent="0.2">
      <c r="I16000" s="137" t="s">
        <v>74</v>
      </c>
    </row>
    <row r="16001" spans="9:9" x14ac:dyDescent="0.2">
      <c r="I16001" s="137" t="s">
        <v>74</v>
      </c>
    </row>
    <row r="16002" spans="9:9" x14ac:dyDescent="0.2">
      <c r="I16002" s="137" t="s">
        <v>74</v>
      </c>
    </row>
    <row r="16003" spans="9:9" x14ac:dyDescent="0.2">
      <c r="I16003" s="137" t="s">
        <v>74</v>
      </c>
    </row>
    <row r="16004" spans="9:9" x14ac:dyDescent="0.2">
      <c r="I16004" s="137" t="s">
        <v>74</v>
      </c>
    </row>
    <row r="16005" spans="9:9" x14ac:dyDescent="0.2">
      <c r="I16005" s="137" t="s">
        <v>74</v>
      </c>
    </row>
    <row r="16006" spans="9:9" x14ac:dyDescent="0.2">
      <c r="I16006" s="137" t="s">
        <v>74</v>
      </c>
    </row>
    <row r="16007" spans="9:9" x14ac:dyDescent="0.2">
      <c r="I16007" s="137" t="s">
        <v>74</v>
      </c>
    </row>
    <row r="16008" spans="9:9" x14ac:dyDescent="0.2">
      <c r="I16008" s="137" t="s">
        <v>74</v>
      </c>
    </row>
    <row r="16009" spans="9:9" x14ac:dyDescent="0.2">
      <c r="I16009" s="137" t="s">
        <v>74</v>
      </c>
    </row>
    <row r="16010" spans="9:9" x14ac:dyDescent="0.2">
      <c r="I16010" s="137" t="s">
        <v>74</v>
      </c>
    </row>
    <row r="16011" spans="9:9" x14ac:dyDescent="0.2">
      <c r="I16011" s="137" t="s">
        <v>74</v>
      </c>
    </row>
    <row r="16012" spans="9:9" x14ac:dyDescent="0.2">
      <c r="I16012" s="137" t="s">
        <v>74</v>
      </c>
    </row>
    <row r="16013" spans="9:9" x14ac:dyDescent="0.2">
      <c r="I16013" s="137" t="s">
        <v>74</v>
      </c>
    </row>
    <row r="16014" spans="9:9" x14ac:dyDescent="0.2">
      <c r="I16014" s="137" t="s">
        <v>74</v>
      </c>
    </row>
    <row r="16015" spans="9:9" x14ac:dyDescent="0.2">
      <c r="I16015" s="137" t="s">
        <v>74</v>
      </c>
    </row>
    <row r="16016" spans="9:9" x14ac:dyDescent="0.2">
      <c r="I16016" s="137" t="s">
        <v>74</v>
      </c>
    </row>
    <row r="16017" spans="9:9" x14ac:dyDescent="0.2">
      <c r="I16017" s="137" t="s">
        <v>74</v>
      </c>
    </row>
    <row r="16018" spans="9:9" x14ac:dyDescent="0.2">
      <c r="I16018" s="137" t="s">
        <v>74</v>
      </c>
    </row>
    <row r="16019" spans="9:9" x14ac:dyDescent="0.2">
      <c r="I16019" s="137" t="s">
        <v>74</v>
      </c>
    </row>
    <row r="16020" spans="9:9" x14ac:dyDescent="0.2">
      <c r="I16020" s="137" t="s">
        <v>74</v>
      </c>
    </row>
    <row r="16021" spans="9:9" x14ac:dyDescent="0.2">
      <c r="I16021" s="137" t="s">
        <v>74</v>
      </c>
    </row>
    <row r="16022" spans="9:9" x14ac:dyDescent="0.2">
      <c r="I16022" s="137" t="s">
        <v>74</v>
      </c>
    </row>
    <row r="16023" spans="9:9" x14ac:dyDescent="0.2">
      <c r="I16023" s="137" t="s">
        <v>74</v>
      </c>
    </row>
    <row r="16024" spans="9:9" x14ac:dyDescent="0.2">
      <c r="I16024" s="137" t="s">
        <v>74</v>
      </c>
    </row>
    <row r="16025" spans="9:9" x14ac:dyDescent="0.2">
      <c r="I16025" s="137" t="s">
        <v>74</v>
      </c>
    </row>
    <row r="16026" spans="9:9" x14ac:dyDescent="0.2">
      <c r="I16026" s="137" t="s">
        <v>74</v>
      </c>
    </row>
    <row r="16027" spans="9:9" x14ac:dyDescent="0.2">
      <c r="I16027" s="137" t="s">
        <v>74</v>
      </c>
    </row>
    <row r="16028" spans="9:9" x14ac:dyDescent="0.2">
      <c r="I16028" s="137" t="s">
        <v>74</v>
      </c>
    </row>
    <row r="16029" spans="9:9" x14ac:dyDescent="0.2">
      <c r="I16029" s="137" t="s">
        <v>74</v>
      </c>
    </row>
    <row r="16030" spans="9:9" x14ac:dyDescent="0.2">
      <c r="I16030" s="137" t="s">
        <v>74</v>
      </c>
    </row>
    <row r="16031" spans="9:9" x14ac:dyDescent="0.2">
      <c r="I16031" s="137" t="s">
        <v>74</v>
      </c>
    </row>
    <row r="16032" spans="9:9" x14ac:dyDescent="0.2">
      <c r="I16032" s="137" t="s">
        <v>74</v>
      </c>
    </row>
    <row r="16033" spans="9:9" x14ac:dyDescent="0.2">
      <c r="I16033" s="137" t="s">
        <v>74</v>
      </c>
    </row>
    <row r="16034" spans="9:9" x14ac:dyDescent="0.2">
      <c r="I16034" s="137" t="s">
        <v>74</v>
      </c>
    </row>
    <row r="16035" spans="9:9" x14ac:dyDescent="0.2">
      <c r="I16035" s="137" t="s">
        <v>74</v>
      </c>
    </row>
    <row r="16036" spans="9:9" x14ac:dyDescent="0.2">
      <c r="I16036" s="137" t="s">
        <v>74</v>
      </c>
    </row>
    <row r="16037" spans="9:9" x14ac:dyDescent="0.2">
      <c r="I16037" s="137" t="s">
        <v>74</v>
      </c>
    </row>
    <row r="16038" spans="9:9" x14ac:dyDescent="0.2">
      <c r="I16038" s="137" t="s">
        <v>74</v>
      </c>
    </row>
    <row r="16039" spans="9:9" x14ac:dyDescent="0.2">
      <c r="I16039" s="137" t="s">
        <v>74</v>
      </c>
    </row>
    <row r="16040" spans="9:9" x14ac:dyDescent="0.2">
      <c r="I16040" s="137" t="s">
        <v>74</v>
      </c>
    </row>
    <row r="16041" spans="9:9" x14ac:dyDescent="0.2">
      <c r="I16041" s="137" t="s">
        <v>74</v>
      </c>
    </row>
    <row r="16042" spans="9:9" x14ac:dyDescent="0.2">
      <c r="I16042" s="137" t="s">
        <v>74</v>
      </c>
    </row>
    <row r="16043" spans="9:9" x14ac:dyDescent="0.2">
      <c r="I16043" s="137" t="s">
        <v>74</v>
      </c>
    </row>
    <row r="16044" spans="9:9" x14ac:dyDescent="0.2">
      <c r="I16044" s="137" t="s">
        <v>74</v>
      </c>
    </row>
    <row r="16045" spans="9:9" x14ac:dyDescent="0.2">
      <c r="I16045" s="137" t="s">
        <v>74</v>
      </c>
    </row>
    <row r="16046" spans="9:9" x14ac:dyDescent="0.2">
      <c r="I16046" s="137" t="s">
        <v>74</v>
      </c>
    </row>
    <row r="16047" spans="9:9" x14ac:dyDescent="0.2">
      <c r="I16047" s="137" t="s">
        <v>74</v>
      </c>
    </row>
    <row r="16048" spans="9:9" x14ac:dyDescent="0.2">
      <c r="I16048" s="137" t="s">
        <v>74</v>
      </c>
    </row>
    <row r="16049" spans="9:9" x14ac:dyDescent="0.2">
      <c r="I16049" s="137" t="s">
        <v>74</v>
      </c>
    </row>
    <row r="16050" spans="9:9" x14ac:dyDescent="0.2">
      <c r="I16050" s="137" t="s">
        <v>74</v>
      </c>
    </row>
    <row r="16051" spans="9:9" x14ac:dyDescent="0.2">
      <c r="I16051" s="137" t="s">
        <v>74</v>
      </c>
    </row>
    <row r="16052" spans="9:9" x14ac:dyDescent="0.2">
      <c r="I16052" s="137" t="s">
        <v>74</v>
      </c>
    </row>
    <row r="16053" spans="9:9" x14ac:dyDescent="0.2">
      <c r="I16053" s="137" t="s">
        <v>74</v>
      </c>
    </row>
    <row r="16054" spans="9:9" x14ac:dyDescent="0.2">
      <c r="I16054" s="137" t="s">
        <v>74</v>
      </c>
    </row>
    <row r="16055" spans="9:9" x14ac:dyDescent="0.2">
      <c r="I16055" s="137" t="s">
        <v>74</v>
      </c>
    </row>
    <row r="16056" spans="9:9" x14ac:dyDescent="0.2">
      <c r="I16056" s="137" t="s">
        <v>74</v>
      </c>
    </row>
    <row r="16057" spans="9:9" x14ac:dyDescent="0.2">
      <c r="I16057" s="137" t="s">
        <v>74</v>
      </c>
    </row>
    <row r="16058" spans="9:9" x14ac:dyDescent="0.2">
      <c r="I16058" s="137" t="s">
        <v>74</v>
      </c>
    </row>
    <row r="16059" spans="9:9" x14ac:dyDescent="0.2">
      <c r="I16059" s="137" t="s">
        <v>74</v>
      </c>
    </row>
    <row r="16060" spans="9:9" x14ac:dyDescent="0.2">
      <c r="I16060" s="137" t="s">
        <v>74</v>
      </c>
    </row>
    <row r="16061" spans="9:9" x14ac:dyDescent="0.2">
      <c r="I16061" s="137" t="s">
        <v>74</v>
      </c>
    </row>
    <row r="16062" spans="9:9" x14ac:dyDescent="0.2">
      <c r="I16062" s="137" t="s">
        <v>74</v>
      </c>
    </row>
    <row r="16063" spans="9:9" x14ac:dyDescent="0.2">
      <c r="I16063" s="137" t="s">
        <v>74</v>
      </c>
    </row>
    <row r="16064" spans="9:9" x14ac:dyDescent="0.2">
      <c r="I16064" s="137" t="s">
        <v>74</v>
      </c>
    </row>
    <row r="16065" spans="9:9" x14ac:dyDescent="0.2">
      <c r="I16065" s="137" t="s">
        <v>74</v>
      </c>
    </row>
    <row r="16066" spans="9:9" x14ac:dyDescent="0.2">
      <c r="I16066" s="137" t="s">
        <v>74</v>
      </c>
    </row>
    <row r="16067" spans="9:9" x14ac:dyDescent="0.2">
      <c r="I16067" s="137" t="s">
        <v>74</v>
      </c>
    </row>
    <row r="16068" spans="9:9" x14ac:dyDescent="0.2">
      <c r="I16068" s="137" t="s">
        <v>74</v>
      </c>
    </row>
    <row r="16069" spans="9:9" x14ac:dyDescent="0.2">
      <c r="I16069" s="137" t="s">
        <v>74</v>
      </c>
    </row>
    <row r="16070" spans="9:9" x14ac:dyDescent="0.2">
      <c r="I16070" s="137" t="s">
        <v>74</v>
      </c>
    </row>
    <row r="16071" spans="9:9" x14ac:dyDescent="0.2">
      <c r="I16071" s="137" t="s">
        <v>74</v>
      </c>
    </row>
    <row r="16072" spans="9:9" x14ac:dyDescent="0.2">
      <c r="I16072" s="137" t="s">
        <v>74</v>
      </c>
    </row>
    <row r="16073" spans="9:9" x14ac:dyDescent="0.2">
      <c r="I16073" s="137" t="s">
        <v>74</v>
      </c>
    </row>
    <row r="16074" spans="9:9" x14ac:dyDescent="0.2">
      <c r="I16074" s="137" t="s">
        <v>74</v>
      </c>
    </row>
    <row r="16075" spans="9:9" x14ac:dyDescent="0.2">
      <c r="I16075" s="137" t="s">
        <v>74</v>
      </c>
    </row>
    <row r="16076" spans="9:9" x14ac:dyDescent="0.2">
      <c r="I16076" s="137" t="s">
        <v>74</v>
      </c>
    </row>
    <row r="16077" spans="9:9" x14ac:dyDescent="0.2">
      <c r="I16077" s="137" t="s">
        <v>74</v>
      </c>
    </row>
    <row r="16078" spans="9:9" x14ac:dyDescent="0.2">
      <c r="I16078" s="137" t="s">
        <v>74</v>
      </c>
    </row>
    <row r="16079" spans="9:9" x14ac:dyDescent="0.2">
      <c r="I16079" s="137" t="s">
        <v>74</v>
      </c>
    </row>
    <row r="16080" spans="9:9" x14ac:dyDescent="0.2">
      <c r="I16080" s="137" t="s">
        <v>74</v>
      </c>
    </row>
    <row r="16081" spans="9:9" x14ac:dyDescent="0.2">
      <c r="I16081" s="137" t="s">
        <v>74</v>
      </c>
    </row>
    <row r="16082" spans="9:9" x14ac:dyDescent="0.2">
      <c r="I16082" s="137" t="s">
        <v>74</v>
      </c>
    </row>
    <row r="16083" spans="9:9" x14ac:dyDescent="0.2">
      <c r="I16083" s="137" t="s">
        <v>74</v>
      </c>
    </row>
    <row r="16084" spans="9:9" x14ac:dyDescent="0.2">
      <c r="I16084" s="137" t="s">
        <v>74</v>
      </c>
    </row>
    <row r="16085" spans="9:9" x14ac:dyDescent="0.2">
      <c r="I16085" s="137" t="s">
        <v>74</v>
      </c>
    </row>
    <row r="16086" spans="9:9" x14ac:dyDescent="0.2">
      <c r="I16086" s="137" t="s">
        <v>74</v>
      </c>
    </row>
    <row r="16087" spans="9:9" x14ac:dyDescent="0.2">
      <c r="I16087" s="137" t="s">
        <v>74</v>
      </c>
    </row>
    <row r="16088" spans="9:9" x14ac:dyDescent="0.2">
      <c r="I16088" s="137" t="s">
        <v>74</v>
      </c>
    </row>
    <row r="16089" spans="9:9" x14ac:dyDescent="0.2">
      <c r="I16089" s="137" t="s">
        <v>74</v>
      </c>
    </row>
    <row r="16090" spans="9:9" x14ac:dyDescent="0.2">
      <c r="I16090" s="137" t="s">
        <v>74</v>
      </c>
    </row>
    <row r="16091" spans="9:9" x14ac:dyDescent="0.2">
      <c r="I16091" s="137" t="s">
        <v>74</v>
      </c>
    </row>
    <row r="16092" spans="9:9" x14ac:dyDescent="0.2">
      <c r="I16092" s="137" t="s">
        <v>74</v>
      </c>
    </row>
    <row r="16093" spans="9:9" x14ac:dyDescent="0.2">
      <c r="I16093" s="137" t="s">
        <v>74</v>
      </c>
    </row>
    <row r="16094" spans="9:9" x14ac:dyDescent="0.2">
      <c r="I16094" s="137" t="s">
        <v>74</v>
      </c>
    </row>
    <row r="16095" spans="9:9" x14ac:dyDescent="0.2">
      <c r="I16095" s="137" t="s">
        <v>74</v>
      </c>
    </row>
    <row r="16096" spans="9:9" x14ac:dyDescent="0.2">
      <c r="I16096" s="137" t="s">
        <v>74</v>
      </c>
    </row>
    <row r="16097" spans="9:9" x14ac:dyDescent="0.2">
      <c r="I16097" s="137" t="s">
        <v>74</v>
      </c>
    </row>
    <row r="16098" spans="9:9" x14ac:dyDescent="0.2">
      <c r="I16098" s="137" t="s">
        <v>74</v>
      </c>
    </row>
    <row r="16099" spans="9:9" x14ac:dyDescent="0.2">
      <c r="I16099" s="137" t="s">
        <v>74</v>
      </c>
    </row>
    <row r="16100" spans="9:9" x14ac:dyDescent="0.2">
      <c r="I16100" s="137" t="s">
        <v>74</v>
      </c>
    </row>
    <row r="16101" spans="9:9" x14ac:dyDescent="0.2">
      <c r="I16101" s="137" t="s">
        <v>74</v>
      </c>
    </row>
    <row r="16102" spans="9:9" x14ac:dyDescent="0.2">
      <c r="I16102" s="137" t="s">
        <v>74</v>
      </c>
    </row>
    <row r="16103" spans="9:9" x14ac:dyDescent="0.2">
      <c r="I16103" s="137" t="s">
        <v>74</v>
      </c>
    </row>
    <row r="16104" spans="9:9" x14ac:dyDescent="0.2">
      <c r="I16104" s="137" t="s">
        <v>74</v>
      </c>
    </row>
    <row r="16105" spans="9:9" x14ac:dyDescent="0.2">
      <c r="I16105" s="137" t="s">
        <v>74</v>
      </c>
    </row>
    <row r="16106" spans="9:9" x14ac:dyDescent="0.2">
      <c r="I16106" s="137" t="s">
        <v>74</v>
      </c>
    </row>
    <row r="16107" spans="9:9" x14ac:dyDescent="0.2">
      <c r="I16107" s="137" t="s">
        <v>74</v>
      </c>
    </row>
    <row r="16108" spans="9:9" x14ac:dyDescent="0.2">
      <c r="I16108" s="137" t="s">
        <v>74</v>
      </c>
    </row>
    <row r="16109" spans="9:9" x14ac:dyDescent="0.2">
      <c r="I16109" s="137" t="s">
        <v>74</v>
      </c>
    </row>
    <row r="16110" spans="9:9" x14ac:dyDescent="0.2">
      <c r="I16110" s="137" t="s">
        <v>74</v>
      </c>
    </row>
    <row r="16111" spans="9:9" x14ac:dyDescent="0.2">
      <c r="I16111" s="137" t="s">
        <v>74</v>
      </c>
    </row>
    <row r="16112" spans="9:9" x14ac:dyDescent="0.2">
      <c r="I16112" s="137" t="s">
        <v>74</v>
      </c>
    </row>
    <row r="16113" spans="9:9" x14ac:dyDescent="0.2">
      <c r="I16113" s="137" t="s">
        <v>74</v>
      </c>
    </row>
    <row r="16114" spans="9:9" x14ac:dyDescent="0.2">
      <c r="I16114" s="137" t="s">
        <v>74</v>
      </c>
    </row>
    <row r="16115" spans="9:9" x14ac:dyDescent="0.2">
      <c r="I16115" s="137" t="s">
        <v>74</v>
      </c>
    </row>
    <row r="16116" spans="9:9" x14ac:dyDescent="0.2">
      <c r="I16116" s="137" t="s">
        <v>74</v>
      </c>
    </row>
    <row r="16117" spans="9:9" x14ac:dyDescent="0.2">
      <c r="I16117" s="137" t="s">
        <v>74</v>
      </c>
    </row>
    <row r="16118" spans="9:9" x14ac:dyDescent="0.2">
      <c r="I16118" s="137" t="s">
        <v>74</v>
      </c>
    </row>
    <row r="16119" spans="9:9" x14ac:dyDescent="0.2">
      <c r="I16119" s="137" t="s">
        <v>74</v>
      </c>
    </row>
    <row r="16120" spans="9:9" x14ac:dyDescent="0.2">
      <c r="I16120" s="137" t="s">
        <v>74</v>
      </c>
    </row>
    <row r="16121" spans="9:9" x14ac:dyDescent="0.2">
      <c r="I16121" s="137" t="s">
        <v>74</v>
      </c>
    </row>
    <row r="16122" spans="9:9" x14ac:dyDescent="0.2">
      <c r="I16122" s="137" t="s">
        <v>74</v>
      </c>
    </row>
    <row r="16123" spans="9:9" x14ac:dyDescent="0.2">
      <c r="I16123" s="137" t="s">
        <v>74</v>
      </c>
    </row>
    <row r="16124" spans="9:9" x14ac:dyDescent="0.2">
      <c r="I16124" s="137" t="s">
        <v>74</v>
      </c>
    </row>
    <row r="16125" spans="9:9" x14ac:dyDescent="0.2">
      <c r="I16125" s="137" t="s">
        <v>74</v>
      </c>
    </row>
    <row r="16126" spans="9:9" x14ac:dyDescent="0.2">
      <c r="I16126" s="137" t="s">
        <v>74</v>
      </c>
    </row>
    <row r="16127" spans="9:9" x14ac:dyDescent="0.2">
      <c r="I16127" s="137" t="s">
        <v>74</v>
      </c>
    </row>
    <row r="16128" spans="9:9" x14ac:dyDescent="0.2">
      <c r="I16128" s="137" t="s">
        <v>74</v>
      </c>
    </row>
    <row r="16129" spans="9:9" x14ac:dyDescent="0.2">
      <c r="I16129" s="137" t="s">
        <v>74</v>
      </c>
    </row>
    <row r="16130" spans="9:9" x14ac:dyDescent="0.2">
      <c r="I16130" s="137" t="s">
        <v>74</v>
      </c>
    </row>
    <row r="16131" spans="9:9" x14ac:dyDescent="0.2">
      <c r="I16131" s="137" t="s">
        <v>74</v>
      </c>
    </row>
    <row r="16132" spans="9:9" x14ac:dyDescent="0.2">
      <c r="I16132" s="137" t="s">
        <v>74</v>
      </c>
    </row>
    <row r="16133" spans="9:9" x14ac:dyDescent="0.2">
      <c r="I16133" s="137" t="s">
        <v>74</v>
      </c>
    </row>
    <row r="16134" spans="9:9" x14ac:dyDescent="0.2">
      <c r="I16134" s="137" t="s">
        <v>74</v>
      </c>
    </row>
    <row r="16135" spans="9:9" x14ac:dyDescent="0.2">
      <c r="I16135" s="137" t="s">
        <v>74</v>
      </c>
    </row>
    <row r="16136" spans="9:9" x14ac:dyDescent="0.2">
      <c r="I16136" s="137" t="s">
        <v>74</v>
      </c>
    </row>
    <row r="16137" spans="9:9" x14ac:dyDescent="0.2">
      <c r="I16137" s="137" t="s">
        <v>74</v>
      </c>
    </row>
    <row r="16138" spans="9:9" x14ac:dyDescent="0.2">
      <c r="I16138" s="137" t="s">
        <v>74</v>
      </c>
    </row>
    <row r="16139" spans="9:9" x14ac:dyDescent="0.2">
      <c r="I16139" s="137" t="s">
        <v>74</v>
      </c>
    </row>
    <row r="16140" spans="9:9" x14ac:dyDescent="0.2">
      <c r="I16140" s="137" t="s">
        <v>74</v>
      </c>
    </row>
    <row r="16141" spans="9:9" x14ac:dyDescent="0.2">
      <c r="I16141" s="137" t="s">
        <v>74</v>
      </c>
    </row>
    <row r="16142" spans="9:9" x14ac:dyDescent="0.2">
      <c r="I16142" s="137" t="s">
        <v>74</v>
      </c>
    </row>
    <row r="16143" spans="9:9" x14ac:dyDescent="0.2">
      <c r="I16143" s="137" t="s">
        <v>74</v>
      </c>
    </row>
    <row r="16144" spans="9:9" x14ac:dyDescent="0.2">
      <c r="I16144" s="137" t="s">
        <v>74</v>
      </c>
    </row>
    <row r="16145" spans="9:9" x14ac:dyDescent="0.2">
      <c r="I16145" s="137" t="s">
        <v>74</v>
      </c>
    </row>
    <row r="16146" spans="9:9" x14ac:dyDescent="0.2">
      <c r="I16146" s="137" t="s">
        <v>74</v>
      </c>
    </row>
    <row r="16147" spans="9:9" x14ac:dyDescent="0.2">
      <c r="I16147" s="137" t="s">
        <v>74</v>
      </c>
    </row>
    <row r="16148" spans="9:9" x14ac:dyDescent="0.2">
      <c r="I16148" s="137" t="s">
        <v>74</v>
      </c>
    </row>
    <row r="16149" spans="9:9" x14ac:dyDescent="0.2">
      <c r="I16149" s="137" t="s">
        <v>74</v>
      </c>
    </row>
    <row r="16150" spans="9:9" x14ac:dyDescent="0.2">
      <c r="I16150" s="137" t="s">
        <v>74</v>
      </c>
    </row>
    <row r="16151" spans="9:9" x14ac:dyDescent="0.2">
      <c r="I16151" s="137" t="s">
        <v>74</v>
      </c>
    </row>
    <row r="16152" spans="9:9" x14ac:dyDescent="0.2">
      <c r="I16152" s="137" t="s">
        <v>74</v>
      </c>
    </row>
    <row r="16153" spans="9:9" x14ac:dyDescent="0.2">
      <c r="I16153" s="137" t="s">
        <v>74</v>
      </c>
    </row>
    <row r="16154" spans="9:9" x14ac:dyDescent="0.2">
      <c r="I16154" s="137" t="s">
        <v>74</v>
      </c>
    </row>
    <row r="16155" spans="9:9" x14ac:dyDescent="0.2">
      <c r="I16155" s="137" t="s">
        <v>74</v>
      </c>
    </row>
    <row r="16156" spans="9:9" x14ac:dyDescent="0.2">
      <c r="I16156" s="137" t="s">
        <v>74</v>
      </c>
    </row>
    <row r="16157" spans="9:9" x14ac:dyDescent="0.2">
      <c r="I16157" s="137" t="s">
        <v>74</v>
      </c>
    </row>
    <row r="16158" spans="9:9" x14ac:dyDescent="0.2">
      <c r="I16158" s="137" t="s">
        <v>74</v>
      </c>
    </row>
    <row r="16159" spans="9:9" x14ac:dyDescent="0.2">
      <c r="I16159" s="137" t="s">
        <v>74</v>
      </c>
    </row>
    <row r="16160" spans="9:9" x14ac:dyDescent="0.2">
      <c r="I16160" s="137" t="s">
        <v>74</v>
      </c>
    </row>
    <row r="16161" spans="9:9" x14ac:dyDescent="0.2">
      <c r="I16161" s="137" t="s">
        <v>74</v>
      </c>
    </row>
    <row r="16162" spans="9:9" x14ac:dyDescent="0.2">
      <c r="I16162" s="137" t="s">
        <v>74</v>
      </c>
    </row>
    <row r="16163" spans="9:9" x14ac:dyDescent="0.2">
      <c r="I16163" s="137" t="s">
        <v>74</v>
      </c>
    </row>
    <row r="16164" spans="9:9" x14ac:dyDescent="0.2">
      <c r="I16164" s="137" t="s">
        <v>74</v>
      </c>
    </row>
    <row r="16165" spans="9:9" x14ac:dyDescent="0.2">
      <c r="I16165" s="137" t="s">
        <v>74</v>
      </c>
    </row>
    <row r="16166" spans="9:9" x14ac:dyDescent="0.2">
      <c r="I16166" s="137" t="s">
        <v>74</v>
      </c>
    </row>
    <row r="16167" spans="9:9" x14ac:dyDescent="0.2">
      <c r="I16167" s="137" t="s">
        <v>74</v>
      </c>
    </row>
    <row r="16168" spans="9:9" x14ac:dyDescent="0.2">
      <c r="I16168" s="137" t="s">
        <v>74</v>
      </c>
    </row>
    <row r="16169" spans="9:9" x14ac:dyDescent="0.2">
      <c r="I16169" s="137" t="s">
        <v>74</v>
      </c>
    </row>
    <row r="16170" spans="9:9" x14ac:dyDescent="0.2">
      <c r="I16170" s="137" t="s">
        <v>74</v>
      </c>
    </row>
    <row r="16171" spans="9:9" x14ac:dyDescent="0.2">
      <c r="I16171" s="137" t="s">
        <v>74</v>
      </c>
    </row>
    <row r="16172" spans="9:9" x14ac:dyDescent="0.2">
      <c r="I16172" s="137" t="s">
        <v>74</v>
      </c>
    </row>
    <row r="16173" spans="9:9" x14ac:dyDescent="0.2">
      <c r="I16173" s="137" t="s">
        <v>74</v>
      </c>
    </row>
    <row r="16174" spans="9:9" x14ac:dyDescent="0.2">
      <c r="I16174" s="137" t="s">
        <v>74</v>
      </c>
    </row>
    <row r="16175" spans="9:9" x14ac:dyDescent="0.2">
      <c r="I16175" s="137" t="s">
        <v>74</v>
      </c>
    </row>
    <row r="16176" spans="9:9" x14ac:dyDescent="0.2">
      <c r="I16176" s="137" t="s">
        <v>74</v>
      </c>
    </row>
    <row r="16177" spans="9:9" x14ac:dyDescent="0.2">
      <c r="I16177" s="137" t="s">
        <v>74</v>
      </c>
    </row>
    <row r="16178" spans="9:9" x14ac:dyDescent="0.2">
      <c r="I16178" s="137" t="s">
        <v>74</v>
      </c>
    </row>
    <row r="16179" spans="9:9" x14ac:dyDescent="0.2">
      <c r="I16179" s="137" t="s">
        <v>74</v>
      </c>
    </row>
    <row r="16180" spans="9:9" x14ac:dyDescent="0.2">
      <c r="I16180" s="137" t="s">
        <v>74</v>
      </c>
    </row>
    <row r="16181" spans="9:9" x14ac:dyDescent="0.2">
      <c r="I16181" s="137" t="s">
        <v>74</v>
      </c>
    </row>
    <row r="16182" spans="9:9" x14ac:dyDescent="0.2">
      <c r="I16182" s="137" t="s">
        <v>74</v>
      </c>
    </row>
    <row r="16183" spans="9:9" x14ac:dyDescent="0.2">
      <c r="I16183" s="137" t="s">
        <v>74</v>
      </c>
    </row>
    <row r="16184" spans="9:9" x14ac:dyDescent="0.2">
      <c r="I16184" s="137" t="s">
        <v>74</v>
      </c>
    </row>
    <row r="16185" spans="9:9" x14ac:dyDescent="0.2">
      <c r="I16185" s="137" t="s">
        <v>74</v>
      </c>
    </row>
    <row r="16186" spans="9:9" x14ac:dyDescent="0.2">
      <c r="I16186" s="137" t="s">
        <v>74</v>
      </c>
    </row>
    <row r="16187" spans="9:9" x14ac:dyDescent="0.2">
      <c r="I16187" s="137" t="s">
        <v>74</v>
      </c>
    </row>
    <row r="16188" spans="9:9" x14ac:dyDescent="0.2">
      <c r="I16188" s="137" t="s">
        <v>74</v>
      </c>
    </row>
    <row r="16189" spans="9:9" x14ac:dyDescent="0.2">
      <c r="I16189" s="137" t="s">
        <v>74</v>
      </c>
    </row>
    <row r="16190" spans="9:9" x14ac:dyDescent="0.2">
      <c r="I16190" s="137" t="s">
        <v>74</v>
      </c>
    </row>
    <row r="16191" spans="9:9" x14ac:dyDescent="0.2">
      <c r="I16191" s="137" t="s">
        <v>74</v>
      </c>
    </row>
    <row r="16192" spans="9:9" x14ac:dyDescent="0.2">
      <c r="I16192" s="137" t="s">
        <v>74</v>
      </c>
    </row>
    <row r="16193" spans="9:9" x14ac:dyDescent="0.2">
      <c r="I16193" s="137" t="s">
        <v>74</v>
      </c>
    </row>
    <row r="16194" spans="9:9" x14ac:dyDescent="0.2">
      <c r="I16194" s="137" t="s">
        <v>74</v>
      </c>
    </row>
    <row r="16195" spans="9:9" x14ac:dyDescent="0.2">
      <c r="I16195" s="137" t="s">
        <v>74</v>
      </c>
    </row>
    <row r="16196" spans="9:9" x14ac:dyDescent="0.2">
      <c r="I16196" s="137" t="s">
        <v>74</v>
      </c>
    </row>
    <row r="16197" spans="9:9" x14ac:dyDescent="0.2">
      <c r="I16197" s="137" t="s">
        <v>74</v>
      </c>
    </row>
    <row r="16198" spans="9:9" x14ac:dyDescent="0.2">
      <c r="I16198" s="137" t="s">
        <v>74</v>
      </c>
    </row>
    <row r="16199" spans="9:9" x14ac:dyDescent="0.2">
      <c r="I16199" s="137" t="s">
        <v>74</v>
      </c>
    </row>
    <row r="16200" spans="9:9" x14ac:dyDescent="0.2">
      <c r="I16200" s="137" t="s">
        <v>74</v>
      </c>
    </row>
    <row r="16201" spans="9:9" x14ac:dyDescent="0.2">
      <c r="I16201" s="137" t="s">
        <v>74</v>
      </c>
    </row>
    <row r="16202" spans="9:9" x14ac:dyDescent="0.2">
      <c r="I16202" s="137" t="s">
        <v>74</v>
      </c>
    </row>
    <row r="16203" spans="9:9" x14ac:dyDescent="0.2">
      <c r="I16203" s="137" t="s">
        <v>74</v>
      </c>
    </row>
    <row r="16204" spans="9:9" x14ac:dyDescent="0.2">
      <c r="I16204" s="137" t="s">
        <v>74</v>
      </c>
    </row>
    <row r="16205" spans="9:9" x14ac:dyDescent="0.2">
      <c r="I16205" s="137" t="s">
        <v>74</v>
      </c>
    </row>
    <row r="16206" spans="9:9" x14ac:dyDescent="0.2">
      <c r="I16206" s="137" t="s">
        <v>74</v>
      </c>
    </row>
    <row r="16207" spans="9:9" x14ac:dyDescent="0.2">
      <c r="I16207" s="137" t="s">
        <v>74</v>
      </c>
    </row>
    <row r="16208" spans="9:9" x14ac:dyDescent="0.2">
      <c r="I16208" s="137" t="s">
        <v>74</v>
      </c>
    </row>
    <row r="16209" spans="9:9" x14ac:dyDescent="0.2">
      <c r="I16209" s="137" t="s">
        <v>74</v>
      </c>
    </row>
    <row r="16210" spans="9:9" x14ac:dyDescent="0.2">
      <c r="I16210" s="137" t="s">
        <v>74</v>
      </c>
    </row>
    <row r="16211" spans="9:9" x14ac:dyDescent="0.2">
      <c r="I16211" s="137" t="s">
        <v>74</v>
      </c>
    </row>
    <row r="16212" spans="9:9" x14ac:dyDescent="0.2">
      <c r="I16212" s="137" t="s">
        <v>74</v>
      </c>
    </row>
    <row r="16213" spans="9:9" x14ac:dyDescent="0.2">
      <c r="I16213" s="137" t="s">
        <v>74</v>
      </c>
    </row>
    <row r="16214" spans="9:9" x14ac:dyDescent="0.2">
      <c r="I16214" s="137" t="s">
        <v>74</v>
      </c>
    </row>
    <row r="16215" spans="9:9" x14ac:dyDescent="0.2">
      <c r="I16215" s="137" t="s">
        <v>74</v>
      </c>
    </row>
    <row r="16216" spans="9:9" x14ac:dyDescent="0.2">
      <c r="I16216" s="137" t="s">
        <v>74</v>
      </c>
    </row>
    <row r="16217" spans="9:9" x14ac:dyDescent="0.2">
      <c r="I16217" s="137" t="s">
        <v>74</v>
      </c>
    </row>
    <row r="16218" spans="9:9" x14ac:dyDescent="0.2">
      <c r="I16218" s="137" t="s">
        <v>74</v>
      </c>
    </row>
    <row r="16219" spans="9:9" x14ac:dyDescent="0.2">
      <c r="I16219" s="137" t="s">
        <v>74</v>
      </c>
    </row>
    <row r="16220" spans="9:9" x14ac:dyDescent="0.2">
      <c r="I16220" s="137" t="s">
        <v>74</v>
      </c>
    </row>
    <row r="16221" spans="9:9" x14ac:dyDescent="0.2">
      <c r="I16221" s="137" t="s">
        <v>74</v>
      </c>
    </row>
    <row r="16222" spans="9:9" x14ac:dyDescent="0.2">
      <c r="I16222" s="137" t="s">
        <v>74</v>
      </c>
    </row>
    <row r="16223" spans="9:9" x14ac:dyDescent="0.2">
      <c r="I16223" s="137" t="s">
        <v>74</v>
      </c>
    </row>
    <row r="16224" spans="9:9" x14ac:dyDescent="0.2">
      <c r="I16224" s="137" t="s">
        <v>74</v>
      </c>
    </row>
    <row r="16225" spans="9:9" x14ac:dyDescent="0.2">
      <c r="I16225" s="137" t="s">
        <v>74</v>
      </c>
    </row>
    <row r="16226" spans="9:9" x14ac:dyDescent="0.2">
      <c r="I16226" s="137" t="s">
        <v>74</v>
      </c>
    </row>
    <row r="16227" spans="9:9" x14ac:dyDescent="0.2">
      <c r="I16227" s="137" t="s">
        <v>74</v>
      </c>
    </row>
    <row r="16228" spans="9:9" x14ac:dyDescent="0.2">
      <c r="I16228" s="137" t="s">
        <v>74</v>
      </c>
    </row>
    <row r="16229" spans="9:9" x14ac:dyDescent="0.2">
      <c r="I16229" s="137" t="s">
        <v>74</v>
      </c>
    </row>
    <row r="16230" spans="9:9" x14ac:dyDescent="0.2">
      <c r="I16230" s="137" t="s">
        <v>74</v>
      </c>
    </row>
    <row r="16231" spans="9:9" x14ac:dyDescent="0.2">
      <c r="I16231" s="137" t="s">
        <v>74</v>
      </c>
    </row>
    <row r="16232" spans="9:9" x14ac:dyDescent="0.2">
      <c r="I16232" s="137" t="s">
        <v>74</v>
      </c>
    </row>
    <row r="16233" spans="9:9" x14ac:dyDescent="0.2">
      <c r="I16233" s="137" t="s">
        <v>74</v>
      </c>
    </row>
    <row r="16234" spans="9:9" x14ac:dyDescent="0.2">
      <c r="I16234" s="137" t="s">
        <v>74</v>
      </c>
    </row>
    <row r="16235" spans="9:9" x14ac:dyDescent="0.2">
      <c r="I16235" s="137" t="s">
        <v>74</v>
      </c>
    </row>
    <row r="16236" spans="9:9" x14ac:dyDescent="0.2">
      <c r="I16236" s="137" t="s">
        <v>74</v>
      </c>
    </row>
    <row r="16237" spans="9:9" x14ac:dyDescent="0.2">
      <c r="I16237" s="137" t="s">
        <v>74</v>
      </c>
    </row>
    <row r="16238" spans="9:9" x14ac:dyDescent="0.2">
      <c r="I16238" s="137" t="s">
        <v>74</v>
      </c>
    </row>
    <row r="16239" spans="9:9" x14ac:dyDescent="0.2">
      <c r="I16239" s="137" t="s">
        <v>74</v>
      </c>
    </row>
    <row r="16240" spans="9:9" x14ac:dyDescent="0.2">
      <c r="I16240" s="137" t="s">
        <v>74</v>
      </c>
    </row>
    <row r="16241" spans="9:9" x14ac:dyDescent="0.2">
      <c r="I16241" s="137" t="s">
        <v>74</v>
      </c>
    </row>
    <row r="16242" spans="9:9" x14ac:dyDescent="0.2">
      <c r="I16242" s="137" t="s">
        <v>74</v>
      </c>
    </row>
    <row r="16243" spans="9:9" x14ac:dyDescent="0.2">
      <c r="I16243" s="137" t="s">
        <v>74</v>
      </c>
    </row>
    <row r="16244" spans="9:9" x14ac:dyDescent="0.2">
      <c r="I16244" s="137" t="s">
        <v>74</v>
      </c>
    </row>
    <row r="16245" spans="9:9" x14ac:dyDescent="0.2">
      <c r="I16245" s="137" t="s">
        <v>74</v>
      </c>
    </row>
    <row r="16246" spans="9:9" x14ac:dyDescent="0.2">
      <c r="I16246" s="137" t="s">
        <v>74</v>
      </c>
    </row>
    <row r="16247" spans="9:9" x14ac:dyDescent="0.2">
      <c r="I16247" s="137" t="s">
        <v>74</v>
      </c>
    </row>
    <row r="16248" spans="9:9" x14ac:dyDescent="0.2">
      <c r="I16248" s="137" t="s">
        <v>74</v>
      </c>
    </row>
    <row r="16249" spans="9:9" x14ac:dyDescent="0.2">
      <c r="I16249" s="137" t="s">
        <v>74</v>
      </c>
    </row>
    <row r="16250" spans="9:9" x14ac:dyDescent="0.2">
      <c r="I16250" s="137" t="s">
        <v>74</v>
      </c>
    </row>
    <row r="16251" spans="9:9" x14ac:dyDescent="0.2">
      <c r="I16251" s="137" t="s">
        <v>74</v>
      </c>
    </row>
    <row r="16252" spans="9:9" x14ac:dyDescent="0.2">
      <c r="I16252" s="137" t="s">
        <v>74</v>
      </c>
    </row>
    <row r="16253" spans="9:9" x14ac:dyDescent="0.2">
      <c r="I16253" s="137" t="s">
        <v>74</v>
      </c>
    </row>
    <row r="16254" spans="9:9" x14ac:dyDescent="0.2">
      <c r="I16254" s="137" t="s">
        <v>74</v>
      </c>
    </row>
    <row r="16255" spans="9:9" x14ac:dyDescent="0.2">
      <c r="I16255" s="137" t="s">
        <v>74</v>
      </c>
    </row>
    <row r="16256" spans="9:9" x14ac:dyDescent="0.2">
      <c r="I16256" s="137" t="s">
        <v>74</v>
      </c>
    </row>
    <row r="16257" spans="9:9" x14ac:dyDescent="0.2">
      <c r="I16257" s="137" t="s">
        <v>74</v>
      </c>
    </row>
    <row r="16258" spans="9:9" x14ac:dyDescent="0.2">
      <c r="I16258" s="137" t="s">
        <v>74</v>
      </c>
    </row>
    <row r="16259" spans="9:9" x14ac:dyDescent="0.2">
      <c r="I16259" s="137" t="s">
        <v>74</v>
      </c>
    </row>
    <row r="16260" spans="9:9" x14ac:dyDescent="0.2">
      <c r="I16260" s="137" t="s">
        <v>74</v>
      </c>
    </row>
    <row r="16261" spans="9:9" x14ac:dyDescent="0.2">
      <c r="I16261" s="137" t="s">
        <v>74</v>
      </c>
    </row>
    <row r="16262" spans="9:9" x14ac:dyDescent="0.2">
      <c r="I16262" s="137" t="s">
        <v>74</v>
      </c>
    </row>
    <row r="16263" spans="9:9" x14ac:dyDescent="0.2">
      <c r="I16263" s="137" t="s">
        <v>74</v>
      </c>
    </row>
    <row r="16264" spans="9:9" x14ac:dyDescent="0.2">
      <c r="I16264" s="137" t="s">
        <v>74</v>
      </c>
    </row>
    <row r="16265" spans="9:9" x14ac:dyDescent="0.2">
      <c r="I16265" s="137" t="s">
        <v>74</v>
      </c>
    </row>
    <row r="16266" spans="9:9" x14ac:dyDescent="0.2">
      <c r="I16266" s="137" t="s">
        <v>74</v>
      </c>
    </row>
    <row r="16267" spans="9:9" x14ac:dyDescent="0.2">
      <c r="I16267" s="137" t="s">
        <v>74</v>
      </c>
    </row>
    <row r="16268" spans="9:9" x14ac:dyDescent="0.2">
      <c r="I16268" s="137" t="s">
        <v>74</v>
      </c>
    </row>
    <row r="16269" spans="9:9" x14ac:dyDescent="0.2">
      <c r="I16269" s="137" t="s">
        <v>74</v>
      </c>
    </row>
    <row r="16270" spans="9:9" x14ac:dyDescent="0.2">
      <c r="I16270" s="137" t="s">
        <v>74</v>
      </c>
    </row>
    <row r="16271" spans="9:9" x14ac:dyDescent="0.2">
      <c r="I16271" s="137" t="s">
        <v>74</v>
      </c>
    </row>
    <row r="16272" spans="9:9" x14ac:dyDescent="0.2">
      <c r="I16272" s="137" t="s">
        <v>74</v>
      </c>
    </row>
    <row r="16273" spans="9:9" x14ac:dyDescent="0.2">
      <c r="I16273" s="137" t="s">
        <v>74</v>
      </c>
    </row>
    <row r="16274" spans="9:9" x14ac:dyDescent="0.2">
      <c r="I16274" s="137" t="s">
        <v>74</v>
      </c>
    </row>
    <row r="16275" spans="9:9" x14ac:dyDescent="0.2">
      <c r="I16275" s="137" t="s">
        <v>74</v>
      </c>
    </row>
    <row r="16276" spans="9:9" x14ac:dyDescent="0.2">
      <c r="I16276" s="137" t="s">
        <v>74</v>
      </c>
    </row>
    <row r="16277" spans="9:9" x14ac:dyDescent="0.2">
      <c r="I16277" s="137" t="s">
        <v>74</v>
      </c>
    </row>
    <row r="16278" spans="9:9" x14ac:dyDescent="0.2">
      <c r="I16278" s="137" t="s">
        <v>74</v>
      </c>
    </row>
    <row r="16279" spans="9:9" x14ac:dyDescent="0.2">
      <c r="I16279" s="137" t="s">
        <v>74</v>
      </c>
    </row>
    <row r="16280" spans="9:9" x14ac:dyDescent="0.2">
      <c r="I16280" s="137" t="s">
        <v>74</v>
      </c>
    </row>
    <row r="16281" spans="9:9" x14ac:dyDescent="0.2">
      <c r="I16281" s="137" t="s">
        <v>74</v>
      </c>
    </row>
    <row r="16282" spans="9:9" x14ac:dyDescent="0.2">
      <c r="I16282" s="137" t="s">
        <v>74</v>
      </c>
    </row>
    <row r="16283" spans="9:9" x14ac:dyDescent="0.2">
      <c r="I16283" s="137" t="s">
        <v>74</v>
      </c>
    </row>
    <row r="16284" spans="9:9" x14ac:dyDescent="0.2">
      <c r="I16284" s="137" t="s">
        <v>74</v>
      </c>
    </row>
    <row r="16285" spans="9:9" x14ac:dyDescent="0.2">
      <c r="I16285" s="137" t="s">
        <v>74</v>
      </c>
    </row>
    <row r="16286" spans="9:9" x14ac:dyDescent="0.2">
      <c r="I16286" s="137" t="s">
        <v>74</v>
      </c>
    </row>
    <row r="16287" spans="9:9" x14ac:dyDescent="0.2">
      <c r="I16287" s="137" t="s">
        <v>74</v>
      </c>
    </row>
    <row r="16288" spans="9:9" x14ac:dyDescent="0.2">
      <c r="I16288" s="137" t="s">
        <v>74</v>
      </c>
    </row>
    <row r="16289" spans="9:9" x14ac:dyDescent="0.2">
      <c r="I16289" s="137" t="s">
        <v>74</v>
      </c>
    </row>
    <row r="16290" spans="9:9" x14ac:dyDescent="0.2">
      <c r="I16290" s="137" t="s">
        <v>74</v>
      </c>
    </row>
    <row r="16291" spans="9:9" x14ac:dyDescent="0.2">
      <c r="I16291" s="137" t="s">
        <v>74</v>
      </c>
    </row>
    <row r="16292" spans="9:9" x14ac:dyDescent="0.2">
      <c r="I16292" s="137" t="s">
        <v>74</v>
      </c>
    </row>
    <row r="16293" spans="9:9" x14ac:dyDescent="0.2">
      <c r="I16293" s="137" t="s">
        <v>74</v>
      </c>
    </row>
    <row r="16294" spans="9:9" x14ac:dyDescent="0.2">
      <c r="I16294" s="137" t="s">
        <v>74</v>
      </c>
    </row>
    <row r="16295" spans="9:9" x14ac:dyDescent="0.2">
      <c r="I16295" s="137" t="s">
        <v>74</v>
      </c>
    </row>
    <row r="16296" spans="9:9" x14ac:dyDescent="0.2">
      <c r="I16296" s="137" t="s">
        <v>74</v>
      </c>
    </row>
    <row r="16297" spans="9:9" x14ac:dyDescent="0.2">
      <c r="I16297" s="137" t="s">
        <v>74</v>
      </c>
    </row>
    <row r="16298" spans="9:9" x14ac:dyDescent="0.2">
      <c r="I16298" s="137" t="s">
        <v>74</v>
      </c>
    </row>
    <row r="16299" spans="9:9" x14ac:dyDescent="0.2">
      <c r="I16299" s="137" t="s">
        <v>74</v>
      </c>
    </row>
    <row r="16300" spans="9:9" x14ac:dyDescent="0.2">
      <c r="I16300" s="137" t="s">
        <v>74</v>
      </c>
    </row>
    <row r="16301" spans="9:9" x14ac:dyDescent="0.2">
      <c r="I16301" s="137" t="s">
        <v>74</v>
      </c>
    </row>
    <row r="16302" spans="9:9" x14ac:dyDescent="0.2">
      <c r="I16302" s="137" t="s">
        <v>74</v>
      </c>
    </row>
    <row r="16303" spans="9:9" x14ac:dyDescent="0.2">
      <c r="I16303" s="137" t="s">
        <v>74</v>
      </c>
    </row>
    <row r="16304" spans="9:9" x14ac:dyDescent="0.2">
      <c r="I16304" s="137" t="s">
        <v>74</v>
      </c>
    </row>
    <row r="16305" spans="9:9" x14ac:dyDescent="0.2">
      <c r="I16305" s="137" t="s">
        <v>74</v>
      </c>
    </row>
    <row r="16306" spans="9:9" x14ac:dyDescent="0.2">
      <c r="I16306" s="137" t="s">
        <v>74</v>
      </c>
    </row>
    <row r="16307" spans="9:9" x14ac:dyDescent="0.2">
      <c r="I16307" s="137" t="s">
        <v>74</v>
      </c>
    </row>
    <row r="16308" spans="9:9" x14ac:dyDescent="0.2">
      <c r="I16308" s="137" t="s">
        <v>74</v>
      </c>
    </row>
    <row r="16309" spans="9:9" x14ac:dyDescent="0.2">
      <c r="I16309" s="137" t="s">
        <v>74</v>
      </c>
    </row>
    <row r="16310" spans="9:9" x14ac:dyDescent="0.2">
      <c r="I16310" s="137" t="s">
        <v>74</v>
      </c>
    </row>
    <row r="16311" spans="9:9" x14ac:dyDescent="0.2">
      <c r="I16311" s="137" t="s">
        <v>74</v>
      </c>
    </row>
    <row r="16312" spans="9:9" x14ac:dyDescent="0.2">
      <c r="I16312" s="137" t="s">
        <v>74</v>
      </c>
    </row>
    <row r="16313" spans="9:9" x14ac:dyDescent="0.2">
      <c r="I16313" s="137" t="s">
        <v>74</v>
      </c>
    </row>
    <row r="16314" spans="9:9" x14ac:dyDescent="0.2">
      <c r="I16314" s="137" t="s">
        <v>74</v>
      </c>
    </row>
    <row r="16315" spans="9:9" x14ac:dyDescent="0.2">
      <c r="I16315" s="137" t="s">
        <v>74</v>
      </c>
    </row>
    <row r="16316" spans="9:9" x14ac:dyDescent="0.2">
      <c r="I16316" s="137" t="s">
        <v>74</v>
      </c>
    </row>
    <row r="16317" spans="9:9" x14ac:dyDescent="0.2">
      <c r="I16317" s="137" t="s">
        <v>74</v>
      </c>
    </row>
    <row r="16318" spans="9:9" x14ac:dyDescent="0.2">
      <c r="I16318" s="137" t="s">
        <v>74</v>
      </c>
    </row>
    <row r="16319" spans="9:9" x14ac:dyDescent="0.2">
      <c r="I16319" s="137" t="s">
        <v>74</v>
      </c>
    </row>
    <row r="16320" spans="9:9" x14ac:dyDescent="0.2">
      <c r="I16320" s="137" t="s">
        <v>74</v>
      </c>
    </row>
    <row r="16321" spans="9:9" x14ac:dyDescent="0.2">
      <c r="I16321" s="137" t="s">
        <v>74</v>
      </c>
    </row>
    <row r="16322" spans="9:9" x14ac:dyDescent="0.2">
      <c r="I16322" s="137" t="s">
        <v>74</v>
      </c>
    </row>
    <row r="16323" spans="9:9" x14ac:dyDescent="0.2">
      <c r="I16323" s="137" t="s">
        <v>74</v>
      </c>
    </row>
    <row r="16324" spans="9:9" x14ac:dyDescent="0.2">
      <c r="I16324" s="137" t="s">
        <v>74</v>
      </c>
    </row>
    <row r="16325" spans="9:9" x14ac:dyDescent="0.2">
      <c r="I16325" s="137" t="s">
        <v>74</v>
      </c>
    </row>
    <row r="16326" spans="9:9" x14ac:dyDescent="0.2">
      <c r="I16326" s="137" t="s">
        <v>74</v>
      </c>
    </row>
    <row r="16327" spans="9:9" x14ac:dyDescent="0.2">
      <c r="I16327" s="137" t="s">
        <v>74</v>
      </c>
    </row>
    <row r="16328" spans="9:9" x14ac:dyDescent="0.2">
      <c r="I16328" s="137" t="s">
        <v>74</v>
      </c>
    </row>
    <row r="16329" spans="9:9" x14ac:dyDescent="0.2">
      <c r="I16329" s="137" t="s">
        <v>74</v>
      </c>
    </row>
    <row r="16330" spans="9:9" x14ac:dyDescent="0.2">
      <c r="I16330" s="137" t="s">
        <v>74</v>
      </c>
    </row>
    <row r="16331" spans="9:9" x14ac:dyDescent="0.2">
      <c r="I16331" s="137" t="s">
        <v>74</v>
      </c>
    </row>
    <row r="16332" spans="9:9" x14ac:dyDescent="0.2">
      <c r="I16332" s="137" t="s">
        <v>74</v>
      </c>
    </row>
    <row r="16333" spans="9:9" x14ac:dyDescent="0.2">
      <c r="I16333" s="137" t="s">
        <v>74</v>
      </c>
    </row>
    <row r="16334" spans="9:9" x14ac:dyDescent="0.2">
      <c r="I16334" s="137" t="s">
        <v>74</v>
      </c>
    </row>
    <row r="16335" spans="9:9" x14ac:dyDescent="0.2">
      <c r="I16335" s="137" t="s">
        <v>74</v>
      </c>
    </row>
    <row r="16336" spans="9:9" x14ac:dyDescent="0.2">
      <c r="I16336" s="137" t="s">
        <v>74</v>
      </c>
    </row>
    <row r="16337" spans="9:9" x14ac:dyDescent="0.2">
      <c r="I16337" s="137" t="s">
        <v>74</v>
      </c>
    </row>
    <row r="16338" spans="9:9" x14ac:dyDescent="0.2">
      <c r="I16338" s="137" t="s">
        <v>74</v>
      </c>
    </row>
    <row r="16339" spans="9:9" x14ac:dyDescent="0.2">
      <c r="I16339" s="137" t="s">
        <v>74</v>
      </c>
    </row>
    <row r="16340" spans="9:9" x14ac:dyDescent="0.2">
      <c r="I16340" s="137" t="s">
        <v>74</v>
      </c>
    </row>
    <row r="16341" spans="9:9" x14ac:dyDescent="0.2">
      <c r="I16341" s="137" t="s">
        <v>74</v>
      </c>
    </row>
    <row r="16342" spans="9:9" x14ac:dyDescent="0.2">
      <c r="I16342" s="137" t="s">
        <v>74</v>
      </c>
    </row>
    <row r="16343" spans="9:9" x14ac:dyDescent="0.2">
      <c r="I16343" s="137" t="s">
        <v>74</v>
      </c>
    </row>
    <row r="16344" spans="9:9" x14ac:dyDescent="0.2">
      <c r="I16344" s="137" t="s">
        <v>74</v>
      </c>
    </row>
    <row r="16345" spans="9:9" x14ac:dyDescent="0.2">
      <c r="I16345" s="137" t="s">
        <v>74</v>
      </c>
    </row>
    <row r="16346" spans="9:9" x14ac:dyDescent="0.2">
      <c r="I16346" s="137" t="s">
        <v>74</v>
      </c>
    </row>
    <row r="16347" spans="9:9" x14ac:dyDescent="0.2">
      <c r="I16347" s="137" t="s">
        <v>74</v>
      </c>
    </row>
    <row r="16348" spans="9:9" x14ac:dyDescent="0.2">
      <c r="I16348" s="137" t="s">
        <v>74</v>
      </c>
    </row>
    <row r="16349" spans="9:9" x14ac:dyDescent="0.2">
      <c r="I16349" s="137" t="s">
        <v>74</v>
      </c>
    </row>
    <row r="16350" spans="9:9" x14ac:dyDescent="0.2">
      <c r="I16350" s="137" t="s">
        <v>74</v>
      </c>
    </row>
    <row r="16351" spans="9:9" x14ac:dyDescent="0.2">
      <c r="I16351" s="137" t="s">
        <v>74</v>
      </c>
    </row>
    <row r="16352" spans="9:9" x14ac:dyDescent="0.2">
      <c r="I16352" s="137" t="s">
        <v>74</v>
      </c>
    </row>
    <row r="16353" spans="9:9" x14ac:dyDescent="0.2">
      <c r="I16353" s="137" t="s">
        <v>74</v>
      </c>
    </row>
    <row r="16354" spans="9:9" x14ac:dyDescent="0.2">
      <c r="I16354" s="137" t="s">
        <v>74</v>
      </c>
    </row>
    <row r="16355" spans="9:9" x14ac:dyDescent="0.2">
      <c r="I16355" s="137" t="s">
        <v>74</v>
      </c>
    </row>
    <row r="16356" spans="9:9" x14ac:dyDescent="0.2">
      <c r="I16356" s="137" t="s">
        <v>74</v>
      </c>
    </row>
    <row r="16357" spans="9:9" x14ac:dyDescent="0.2">
      <c r="I16357" s="137" t="s">
        <v>74</v>
      </c>
    </row>
    <row r="16358" spans="9:9" x14ac:dyDescent="0.2">
      <c r="I16358" s="137" t="s">
        <v>74</v>
      </c>
    </row>
    <row r="16359" spans="9:9" x14ac:dyDescent="0.2">
      <c r="I16359" s="137" t="s">
        <v>74</v>
      </c>
    </row>
    <row r="16360" spans="9:9" x14ac:dyDescent="0.2">
      <c r="I16360" s="137" t="s">
        <v>74</v>
      </c>
    </row>
    <row r="16361" spans="9:9" x14ac:dyDescent="0.2">
      <c r="I16361" s="137" t="s">
        <v>74</v>
      </c>
    </row>
    <row r="16362" spans="9:9" x14ac:dyDescent="0.2">
      <c r="I16362" s="137" t="s">
        <v>74</v>
      </c>
    </row>
    <row r="16363" spans="9:9" x14ac:dyDescent="0.2">
      <c r="I16363" s="137" t="s">
        <v>74</v>
      </c>
    </row>
    <row r="16364" spans="9:9" x14ac:dyDescent="0.2">
      <c r="I16364" s="137" t="s">
        <v>74</v>
      </c>
    </row>
    <row r="16365" spans="9:9" x14ac:dyDescent="0.2">
      <c r="I16365" s="137" t="s">
        <v>74</v>
      </c>
    </row>
    <row r="16366" spans="9:9" x14ac:dyDescent="0.2">
      <c r="I16366" s="137" t="s">
        <v>74</v>
      </c>
    </row>
    <row r="16367" spans="9:9" x14ac:dyDescent="0.2">
      <c r="I16367" s="137" t="s">
        <v>74</v>
      </c>
    </row>
    <row r="16368" spans="9:9" x14ac:dyDescent="0.2">
      <c r="I16368" s="137" t="s">
        <v>74</v>
      </c>
    </row>
    <row r="16369" spans="9:9" x14ac:dyDescent="0.2">
      <c r="I16369" s="137" t="s">
        <v>74</v>
      </c>
    </row>
    <row r="16370" spans="9:9" x14ac:dyDescent="0.2">
      <c r="I16370" s="137" t="s">
        <v>74</v>
      </c>
    </row>
    <row r="16371" spans="9:9" x14ac:dyDescent="0.2">
      <c r="I16371" s="137" t="s">
        <v>74</v>
      </c>
    </row>
    <row r="16372" spans="9:9" x14ac:dyDescent="0.2">
      <c r="I16372" s="137" t="s">
        <v>74</v>
      </c>
    </row>
    <row r="16373" spans="9:9" x14ac:dyDescent="0.2">
      <c r="I16373" s="137" t="s">
        <v>74</v>
      </c>
    </row>
    <row r="16374" spans="9:9" x14ac:dyDescent="0.2">
      <c r="I16374" s="137" t="s">
        <v>74</v>
      </c>
    </row>
    <row r="16375" spans="9:9" x14ac:dyDescent="0.2">
      <c r="I16375" s="137" t="s">
        <v>74</v>
      </c>
    </row>
    <row r="16376" spans="9:9" x14ac:dyDescent="0.2">
      <c r="I16376" s="137" t="s">
        <v>74</v>
      </c>
    </row>
    <row r="16377" spans="9:9" x14ac:dyDescent="0.2">
      <c r="I16377" s="137" t="s">
        <v>74</v>
      </c>
    </row>
    <row r="16378" spans="9:9" x14ac:dyDescent="0.2">
      <c r="I16378" s="137" t="s">
        <v>74</v>
      </c>
    </row>
    <row r="16379" spans="9:9" x14ac:dyDescent="0.2">
      <c r="I16379" s="137" t="s">
        <v>74</v>
      </c>
    </row>
    <row r="16380" spans="9:9" x14ac:dyDescent="0.2">
      <c r="I16380" s="137" t="s">
        <v>74</v>
      </c>
    </row>
    <row r="16381" spans="9:9" x14ac:dyDescent="0.2">
      <c r="I16381" s="137" t="s">
        <v>74</v>
      </c>
    </row>
    <row r="16382" spans="9:9" x14ac:dyDescent="0.2">
      <c r="I16382" s="137" t="s">
        <v>74</v>
      </c>
    </row>
    <row r="16383" spans="9:9" x14ac:dyDescent="0.2">
      <c r="I16383" s="137" t="s">
        <v>74</v>
      </c>
    </row>
    <row r="16384" spans="9:9" x14ac:dyDescent="0.2">
      <c r="I16384" s="137" t="s">
        <v>74</v>
      </c>
    </row>
    <row r="16385" spans="9:9" x14ac:dyDescent="0.2">
      <c r="I16385" s="137" t="s">
        <v>74</v>
      </c>
    </row>
    <row r="16386" spans="9:9" x14ac:dyDescent="0.2">
      <c r="I16386" s="137" t="s">
        <v>74</v>
      </c>
    </row>
    <row r="16387" spans="9:9" x14ac:dyDescent="0.2">
      <c r="I16387" s="137" t="s">
        <v>74</v>
      </c>
    </row>
    <row r="16388" spans="9:9" x14ac:dyDescent="0.2">
      <c r="I16388" s="137" t="s">
        <v>74</v>
      </c>
    </row>
    <row r="16389" spans="9:9" x14ac:dyDescent="0.2">
      <c r="I16389" s="137" t="s">
        <v>74</v>
      </c>
    </row>
    <row r="16390" spans="9:9" x14ac:dyDescent="0.2">
      <c r="I16390" s="137" t="s">
        <v>74</v>
      </c>
    </row>
    <row r="16391" spans="9:9" x14ac:dyDescent="0.2">
      <c r="I16391" s="137" t="s">
        <v>74</v>
      </c>
    </row>
    <row r="16392" spans="9:9" x14ac:dyDescent="0.2">
      <c r="I16392" s="137" t="s">
        <v>74</v>
      </c>
    </row>
    <row r="16393" spans="9:9" x14ac:dyDescent="0.2">
      <c r="I16393" s="137" t="s">
        <v>74</v>
      </c>
    </row>
    <row r="16394" spans="9:9" x14ac:dyDescent="0.2">
      <c r="I16394" s="137" t="s">
        <v>74</v>
      </c>
    </row>
    <row r="16395" spans="9:9" x14ac:dyDescent="0.2">
      <c r="I16395" s="137" t="s">
        <v>74</v>
      </c>
    </row>
    <row r="16396" spans="9:9" x14ac:dyDescent="0.2">
      <c r="I16396" s="137" t="s">
        <v>74</v>
      </c>
    </row>
    <row r="16397" spans="9:9" x14ac:dyDescent="0.2">
      <c r="I16397" s="137" t="s">
        <v>74</v>
      </c>
    </row>
    <row r="16398" spans="9:9" x14ac:dyDescent="0.2">
      <c r="I16398" s="137" t="s">
        <v>74</v>
      </c>
    </row>
    <row r="16399" spans="9:9" x14ac:dyDescent="0.2">
      <c r="I16399" s="137" t="s">
        <v>74</v>
      </c>
    </row>
    <row r="16400" spans="9:9" x14ac:dyDescent="0.2">
      <c r="I16400" s="137" t="s">
        <v>74</v>
      </c>
    </row>
    <row r="16401" spans="9:9" x14ac:dyDescent="0.2">
      <c r="I16401" s="137" t="s">
        <v>74</v>
      </c>
    </row>
    <row r="16402" spans="9:9" x14ac:dyDescent="0.2">
      <c r="I16402" s="137" t="s">
        <v>74</v>
      </c>
    </row>
    <row r="16403" spans="9:9" x14ac:dyDescent="0.2">
      <c r="I16403" s="137" t="s">
        <v>74</v>
      </c>
    </row>
    <row r="16404" spans="9:9" x14ac:dyDescent="0.2">
      <c r="I16404" s="137" t="s">
        <v>74</v>
      </c>
    </row>
    <row r="16405" spans="9:9" x14ac:dyDescent="0.2">
      <c r="I16405" s="137" t="s">
        <v>74</v>
      </c>
    </row>
    <row r="16406" spans="9:9" x14ac:dyDescent="0.2">
      <c r="I16406" s="137" t="s">
        <v>74</v>
      </c>
    </row>
    <row r="16407" spans="9:9" x14ac:dyDescent="0.2">
      <c r="I16407" s="137" t="s">
        <v>74</v>
      </c>
    </row>
    <row r="16408" spans="9:9" x14ac:dyDescent="0.2">
      <c r="I16408" s="137" t="s">
        <v>74</v>
      </c>
    </row>
    <row r="16409" spans="9:9" x14ac:dyDescent="0.2">
      <c r="I16409" s="137" t="s">
        <v>74</v>
      </c>
    </row>
    <row r="16410" spans="9:9" x14ac:dyDescent="0.2">
      <c r="I16410" s="137" t="s">
        <v>74</v>
      </c>
    </row>
    <row r="16411" spans="9:9" x14ac:dyDescent="0.2">
      <c r="I16411" s="137" t="s">
        <v>74</v>
      </c>
    </row>
    <row r="16412" spans="9:9" x14ac:dyDescent="0.2">
      <c r="I16412" s="137" t="s">
        <v>74</v>
      </c>
    </row>
    <row r="16413" spans="9:9" x14ac:dyDescent="0.2">
      <c r="I16413" s="137" t="s">
        <v>74</v>
      </c>
    </row>
    <row r="16414" spans="9:9" x14ac:dyDescent="0.2">
      <c r="I16414" s="137" t="s">
        <v>74</v>
      </c>
    </row>
    <row r="16415" spans="9:9" x14ac:dyDescent="0.2">
      <c r="I16415" s="137" t="s">
        <v>74</v>
      </c>
    </row>
    <row r="16416" spans="9:9" x14ac:dyDescent="0.2">
      <c r="I16416" s="137" t="s">
        <v>74</v>
      </c>
    </row>
    <row r="16417" spans="9:9" x14ac:dyDescent="0.2">
      <c r="I16417" s="137" t="s">
        <v>74</v>
      </c>
    </row>
    <row r="16418" spans="9:9" x14ac:dyDescent="0.2">
      <c r="I16418" s="137" t="s">
        <v>74</v>
      </c>
    </row>
    <row r="16419" spans="9:9" x14ac:dyDescent="0.2">
      <c r="I16419" s="137" t="s">
        <v>74</v>
      </c>
    </row>
    <row r="16420" spans="9:9" x14ac:dyDescent="0.2">
      <c r="I16420" s="137" t="s">
        <v>74</v>
      </c>
    </row>
    <row r="16421" spans="9:9" x14ac:dyDescent="0.2">
      <c r="I16421" s="137" t="s">
        <v>74</v>
      </c>
    </row>
    <row r="16422" spans="9:9" x14ac:dyDescent="0.2">
      <c r="I16422" s="137" t="s">
        <v>74</v>
      </c>
    </row>
    <row r="16423" spans="9:9" x14ac:dyDescent="0.2">
      <c r="I16423" s="137" t="s">
        <v>74</v>
      </c>
    </row>
    <row r="16424" spans="9:9" x14ac:dyDescent="0.2">
      <c r="I16424" s="137" t="s">
        <v>74</v>
      </c>
    </row>
    <row r="16425" spans="9:9" x14ac:dyDescent="0.2">
      <c r="I16425" s="137" t="s">
        <v>74</v>
      </c>
    </row>
    <row r="16426" spans="9:9" x14ac:dyDescent="0.2">
      <c r="I16426" s="137" t="s">
        <v>74</v>
      </c>
    </row>
    <row r="16427" spans="9:9" x14ac:dyDescent="0.2">
      <c r="I16427" s="137" t="s">
        <v>74</v>
      </c>
    </row>
    <row r="16428" spans="9:9" x14ac:dyDescent="0.2">
      <c r="I16428" s="137" t="s">
        <v>74</v>
      </c>
    </row>
    <row r="16429" spans="9:9" x14ac:dyDescent="0.2">
      <c r="I16429" s="137" t="s">
        <v>74</v>
      </c>
    </row>
    <row r="16430" spans="9:9" x14ac:dyDescent="0.2">
      <c r="I16430" s="137" t="s">
        <v>74</v>
      </c>
    </row>
    <row r="16431" spans="9:9" x14ac:dyDescent="0.2">
      <c r="I16431" s="137" t="s">
        <v>74</v>
      </c>
    </row>
    <row r="16432" spans="9:9" x14ac:dyDescent="0.2">
      <c r="I16432" s="137" t="s">
        <v>74</v>
      </c>
    </row>
    <row r="16433" spans="9:9" x14ac:dyDescent="0.2">
      <c r="I16433" s="137" t="s">
        <v>74</v>
      </c>
    </row>
    <row r="16434" spans="9:9" x14ac:dyDescent="0.2">
      <c r="I16434" s="137" t="s">
        <v>74</v>
      </c>
    </row>
    <row r="16435" spans="9:9" x14ac:dyDescent="0.2">
      <c r="I16435" s="137" t="s">
        <v>74</v>
      </c>
    </row>
    <row r="16436" spans="9:9" x14ac:dyDescent="0.2">
      <c r="I16436" s="137" t="s">
        <v>74</v>
      </c>
    </row>
    <row r="16437" spans="9:9" x14ac:dyDescent="0.2">
      <c r="I16437" s="137" t="s">
        <v>74</v>
      </c>
    </row>
    <row r="16438" spans="9:9" x14ac:dyDescent="0.2">
      <c r="I16438" s="137" t="s">
        <v>74</v>
      </c>
    </row>
    <row r="16439" spans="9:9" x14ac:dyDescent="0.2">
      <c r="I16439" s="137" t="s">
        <v>74</v>
      </c>
    </row>
    <row r="16440" spans="9:9" x14ac:dyDescent="0.2">
      <c r="I16440" s="137" t="s">
        <v>74</v>
      </c>
    </row>
    <row r="16441" spans="9:9" x14ac:dyDescent="0.2">
      <c r="I16441" s="137" t="s">
        <v>74</v>
      </c>
    </row>
    <row r="16442" spans="9:9" x14ac:dyDescent="0.2">
      <c r="I16442" s="137" t="s">
        <v>74</v>
      </c>
    </row>
    <row r="16443" spans="9:9" x14ac:dyDescent="0.2">
      <c r="I16443" s="137" t="s">
        <v>74</v>
      </c>
    </row>
    <row r="16444" spans="9:9" x14ac:dyDescent="0.2">
      <c r="I16444" s="137" t="s">
        <v>74</v>
      </c>
    </row>
    <row r="16445" spans="9:9" x14ac:dyDescent="0.2">
      <c r="I16445" s="137" t="s">
        <v>74</v>
      </c>
    </row>
    <row r="16446" spans="9:9" x14ac:dyDescent="0.2">
      <c r="I16446" s="137" t="s">
        <v>74</v>
      </c>
    </row>
    <row r="16447" spans="9:9" x14ac:dyDescent="0.2">
      <c r="I16447" s="137" t="s">
        <v>74</v>
      </c>
    </row>
    <row r="16448" spans="9:9" x14ac:dyDescent="0.2">
      <c r="I16448" s="137" t="s">
        <v>74</v>
      </c>
    </row>
    <row r="16449" spans="9:9" x14ac:dyDescent="0.2">
      <c r="I16449" s="137" t="s">
        <v>74</v>
      </c>
    </row>
    <row r="16450" spans="9:9" x14ac:dyDescent="0.2">
      <c r="I16450" s="137" t="s">
        <v>74</v>
      </c>
    </row>
    <row r="16451" spans="9:9" x14ac:dyDescent="0.2">
      <c r="I16451" s="137" t="s">
        <v>74</v>
      </c>
    </row>
    <row r="16452" spans="9:9" x14ac:dyDescent="0.2">
      <c r="I16452" s="137" t="s">
        <v>74</v>
      </c>
    </row>
    <row r="16453" spans="9:9" x14ac:dyDescent="0.2">
      <c r="I16453" s="137" t="s">
        <v>74</v>
      </c>
    </row>
    <row r="16454" spans="9:9" x14ac:dyDescent="0.2">
      <c r="I16454" s="137" t="s">
        <v>74</v>
      </c>
    </row>
    <row r="16455" spans="9:9" x14ac:dyDescent="0.2">
      <c r="I16455" s="137" t="s">
        <v>74</v>
      </c>
    </row>
    <row r="16456" spans="9:9" x14ac:dyDescent="0.2">
      <c r="I16456" s="137" t="s">
        <v>74</v>
      </c>
    </row>
    <row r="16457" spans="9:9" x14ac:dyDescent="0.2">
      <c r="I16457" s="137" t="s">
        <v>74</v>
      </c>
    </row>
    <row r="16458" spans="9:9" x14ac:dyDescent="0.2">
      <c r="I16458" s="137" t="s">
        <v>74</v>
      </c>
    </row>
    <row r="16459" spans="9:9" x14ac:dyDescent="0.2">
      <c r="I16459" s="137" t="s">
        <v>74</v>
      </c>
    </row>
    <row r="16460" spans="9:9" x14ac:dyDescent="0.2">
      <c r="I16460" s="137" t="s">
        <v>74</v>
      </c>
    </row>
    <row r="16461" spans="9:9" x14ac:dyDescent="0.2">
      <c r="I16461" s="137" t="s">
        <v>74</v>
      </c>
    </row>
    <row r="16462" spans="9:9" x14ac:dyDescent="0.2">
      <c r="I16462" s="137" t="s">
        <v>74</v>
      </c>
    </row>
    <row r="16463" spans="9:9" x14ac:dyDescent="0.2">
      <c r="I16463" s="137" t="s">
        <v>74</v>
      </c>
    </row>
    <row r="16464" spans="9:9" x14ac:dyDescent="0.2">
      <c r="I16464" s="137" t="s">
        <v>74</v>
      </c>
    </row>
    <row r="16465" spans="9:9" x14ac:dyDescent="0.2">
      <c r="I16465" s="137" t="s">
        <v>74</v>
      </c>
    </row>
    <row r="16466" spans="9:9" x14ac:dyDescent="0.2">
      <c r="I16466" s="137" t="s">
        <v>74</v>
      </c>
    </row>
    <row r="16467" spans="9:9" x14ac:dyDescent="0.2">
      <c r="I16467" s="137" t="s">
        <v>74</v>
      </c>
    </row>
    <row r="16468" spans="9:9" x14ac:dyDescent="0.2">
      <c r="I16468" s="137" t="s">
        <v>74</v>
      </c>
    </row>
    <row r="16469" spans="9:9" x14ac:dyDescent="0.2">
      <c r="I16469" s="137" t="s">
        <v>74</v>
      </c>
    </row>
    <row r="16470" spans="9:9" x14ac:dyDescent="0.2">
      <c r="I16470" s="137" t="s">
        <v>74</v>
      </c>
    </row>
    <row r="16471" spans="9:9" x14ac:dyDescent="0.2">
      <c r="I16471" s="137" t="s">
        <v>74</v>
      </c>
    </row>
    <row r="16472" spans="9:9" x14ac:dyDescent="0.2">
      <c r="I16472" s="137" t="s">
        <v>74</v>
      </c>
    </row>
    <row r="16473" spans="9:9" x14ac:dyDescent="0.2">
      <c r="I16473" s="137" t="s">
        <v>74</v>
      </c>
    </row>
    <row r="16474" spans="9:9" x14ac:dyDescent="0.2">
      <c r="I16474" s="137" t="s">
        <v>74</v>
      </c>
    </row>
    <row r="16475" spans="9:9" x14ac:dyDescent="0.2">
      <c r="I16475" s="137" t="s">
        <v>74</v>
      </c>
    </row>
    <row r="16476" spans="9:9" x14ac:dyDescent="0.2">
      <c r="I16476" s="137" t="s">
        <v>74</v>
      </c>
    </row>
    <row r="16477" spans="9:9" x14ac:dyDescent="0.2">
      <c r="I16477" s="137" t="s">
        <v>74</v>
      </c>
    </row>
    <row r="16478" spans="9:9" x14ac:dyDescent="0.2">
      <c r="I16478" s="137" t="s">
        <v>74</v>
      </c>
    </row>
    <row r="16479" spans="9:9" x14ac:dyDescent="0.2">
      <c r="I16479" s="137" t="s">
        <v>74</v>
      </c>
    </row>
    <row r="16480" spans="9:9" x14ac:dyDescent="0.2">
      <c r="I16480" s="137" t="s">
        <v>74</v>
      </c>
    </row>
    <row r="16481" spans="9:9" x14ac:dyDescent="0.2">
      <c r="I16481" s="137" t="s">
        <v>74</v>
      </c>
    </row>
    <row r="16482" spans="9:9" x14ac:dyDescent="0.2">
      <c r="I16482" s="137" t="s">
        <v>74</v>
      </c>
    </row>
    <row r="16483" spans="9:9" x14ac:dyDescent="0.2">
      <c r="I16483" s="137" t="s">
        <v>74</v>
      </c>
    </row>
    <row r="16484" spans="9:9" x14ac:dyDescent="0.2">
      <c r="I16484" s="137" t="s">
        <v>74</v>
      </c>
    </row>
    <row r="16485" spans="9:9" x14ac:dyDescent="0.2">
      <c r="I16485" s="137" t="s">
        <v>74</v>
      </c>
    </row>
    <row r="16486" spans="9:9" x14ac:dyDescent="0.2">
      <c r="I16486" s="137" t="s">
        <v>74</v>
      </c>
    </row>
    <row r="16487" spans="9:9" x14ac:dyDescent="0.2">
      <c r="I16487" s="137" t="s">
        <v>74</v>
      </c>
    </row>
    <row r="16488" spans="9:9" x14ac:dyDescent="0.2">
      <c r="I16488" s="137" t="s">
        <v>74</v>
      </c>
    </row>
    <row r="16489" spans="9:9" x14ac:dyDescent="0.2">
      <c r="I16489" s="137" t="s">
        <v>74</v>
      </c>
    </row>
    <row r="16490" spans="9:9" x14ac:dyDescent="0.2">
      <c r="I16490" s="137" t="s">
        <v>74</v>
      </c>
    </row>
    <row r="16491" spans="9:9" x14ac:dyDescent="0.2">
      <c r="I16491" s="137" t="s">
        <v>74</v>
      </c>
    </row>
    <row r="16492" spans="9:9" x14ac:dyDescent="0.2">
      <c r="I16492" s="137" t="s">
        <v>74</v>
      </c>
    </row>
    <row r="16493" spans="9:9" x14ac:dyDescent="0.2">
      <c r="I16493" s="137" t="s">
        <v>74</v>
      </c>
    </row>
    <row r="16494" spans="9:9" x14ac:dyDescent="0.2">
      <c r="I16494" s="137" t="s">
        <v>74</v>
      </c>
    </row>
    <row r="16495" spans="9:9" x14ac:dyDescent="0.2">
      <c r="I16495" s="137" t="s">
        <v>74</v>
      </c>
    </row>
    <row r="16496" spans="9:9" x14ac:dyDescent="0.2">
      <c r="I16496" s="137" t="s">
        <v>74</v>
      </c>
    </row>
    <row r="16497" spans="9:9" x14ac:dyDescent="0.2">
      <c r="I16497" s="137" t="s">
        <v>74</v>
      </c>
    </row>
    <row r="16498" spans="9:9" x14ac:dyDescent="0.2">
      <c r="I16498" s="137" t="s">
        <v>74</v>
      </c>
    </row>
    <row r="16499" spans="9:9" x14ac:dyDescent="0.2">
      <c r="I16499" s="137" t="s">
        <v>74</v>
      </c>
    </row>
    <row r="16500" spans="9:9" x14ac:dyDescent="0.2">
      <c r="I16500" s="137" t="s">
        <v>74</v>
      </c>
    </row>
    <row r="16501" spans="9:9" x14ac:dyDescent="0.2">
      <c r="I16501" s="137" t="s">
        <v>74</v>
      </c>
    </row>
    <row r="16502" spans="9:9" x14ac:dyDescent="0.2">
      <c r="I16502" s="137" t="s">
        <v>74</v>
      </c>
    </row>
    <row r="16503" spans="9:9" x14ac:dyDescent="0.2">
      <c r="I16503" s="137" t="s">
        <v>74</v>
      </c>
    </row>
    <row r="16504" spans="9:9" x14ac:dyDescent="0.2">
      <c r="I16504" s="137" t="s">
        <v>74</v>
      </c>
    </row>
    <row r="16505" spans="9:9" x14ac:dyDescent="0.2">
      <c r="I16505" s="137" t="s">
        <v>74</v>
      </c>
    </row>
    <row r="16506" spans="9:9" x14ac:dyDescent="0.2">
      <c r="I16506" s="137" t="s">
        <v>74</v>
      </c>
    </row>
    <row r="16507" spans="9:9" x14ac:dyDescent="0.2">
      <c r="I16507" s="137" t="s">
        <v>74</v>
      </c>
    </row>
    <row r="16508" spans="9:9" x14ac:dyDescent="0.2">
      <c r="I16508" s="137" t="s">
        <v>74</v>
      </c>
    </row>
    <row r="16509" spans="9:9" x14ac:dyDescent="0.2">
      <c r="I16509" s="137" t="s">
        <v>74</v>
      </c>
    </row>
    <row r="16510" spans="9:9" x14ac:dyDescent="0.2">
      <c r="I16510" s="137" t="s">
        <v>74</v>
      </c>
    </row>
    <row r="16511" spans="9:9" x14ac:dyDescent="0.2">
      <c r="I16511" s="137" t="s">
        <v>74</v>
      </c>
    </row>
    <row r="16512" spans="9:9" x14ac:dyDescent="0.2">
      <c r="I16512" s="137" t="s">
        <v>74</v>
      </c>
    </row>
    <row r="16513" spans="9:9" x14ac:dyDescent="0.2">
      <c r="I16513" s="137" t="s">
        <v>74</v>
      </c>
    </row>
    <row r="16514" spans="9:9" x14ac:dyDescent="0.2">
      <c r="I16514" s="137" t="s">
        <v>74</v>
      </c>
    </row>
    <row r="16515" spans="9:9" x14ac:dyDescent="0.2">
      <c r="I16515" s="137" t="s">
        <v>74</v>
      </c>
    </row>
    <row r="16516" spans="9:9" x14ac:dyDescent="0.2">
      <c r="I16516" s="137" t="s">
        <v>74</v>
      </c>
    </row>
    <row r="16517" spans="9:9" x14ac:dyDescent="0.2">
      <c r="I16517" s="137" t="s">
        <v>74</v>
      </c>
    </row>
    <row r="16518" spans="9:9" x14ac:dyDescent="0.2">
      <c r="I16518" s="137" t="s">
        <v>74</v>
      </c>
    </row>
    <row r="16519" spans="9:9" x14ac:dyDescent="0.2">
      <c r="I16519" s="137" t="s">
        <v>74</v>
      </c>
    </row>
    <row r="16520" spans="9:9" x14ac:dyDescent="0.2">
      <c r="I16520" s="137" t="s">
        <v>74</v>
      </c>
    </row>
    <row r="16521" spans="9:9" x14ac:dyDescent="0.2">
      <c r="I16521" s="137" t="s">
        <v>74</v>
      </c>
    </row>
    <row r="16522" spans="9:9" x14ac:dyDescent="0.2">
      <c r="I16522" s="137" t="s">
        <v>74</v>
      </c>
    </row>
    <row r="16523" spans="9:9" x14ac:dyDescent="0.2">
      <c r="I16523" s="137" t="s">
        <v>74</v>
      </c>
    </row>
    <row r="16524" spans="9:9" x14ac:dyDescent="0.2">
      <c r="I16524" s="137" t="s">
        <v>74</v>
      </c>
    </row>
    <row r="16525" spans="9:9" x14ac:dyDescent="0.2">
      <c r="I16525" s="137" t="s">
        <v>74</v>
      </c>
    </row>
    <row r="16526" spans="9:9" x14ac:dyDescent="0.2">
      <c r="I16526" s="137" t="s">
        <v>74</v>
      </c>
    </row>
    <row r="16527" spans="9:9" x14ac:dyDescent="0.2">
      <c r="I16527" s="137" t="s">
        <v>74</v>
      </c>
    </row>
    <row r="16528" spans="9:9" x14ac:dyDescent="0.2">
      <c r="I16528" s="137" t="s">
        <v>74</v>
      </c>
    </row>
    <row r="16529" spans="9:9" x14ac:dyDescent="0.2">
      <c r="I16529" s="137" t="s">
        <v>74</v>
      </c>
    </row>
    <row r="16530" spans="9:9" x14ac:dyDescent="0.2">
      <c r="I16530" s="137" t="s">
        <v>74</v>
      </c>
    </row>
    <row r="16531" spans="9:9" x14ac:dyDescent="0.2">
      <c r="I16531" s="137" t="s">
        <v>74</v>
      </c>
    </row>
    <row r="16532" spans="9:9" x14ac:dyDescent="0.2">
      <c r="I16532" s="137" t="s">
        <v>74</v>
      </c>
    </row>
    <row r="16533" spans="9:9" x14ac:dyDescent="0.2">
      <c r="I16533" s="137" t="s">
        <v>74</v>
      </c>
    </row>
    <row r="16534" spans="9:9" x14ac:dyDescent="0.2">
      <c r="I16534" s="137" t="s">
        <v>74</v>
      </c>
    </row>
    <row r="16535" spans="9:9" x14ac:dyDescent="0.2">
      <c r="I16535" s="137" t="s">
        <v>74</v>
      </c>
    </row>
    <row r="16536" spans="9:9" x14ac:dyDescent="0.2">
      <c r="I16536" s="137" t="s">
        <v>74</v>
      </c>
    </row>
    <row r="16537" spans="9:9" x14ac:dyDescent="0.2">
      <c r="I16537" s="137" t="s">
        <v>74</v>
      </c>
    </row>
    <row r="16538" spans="9:9" x14ac:dyDescent="0.2">
      <c r="I16538" s="137" t="s">
        <v>74</v>
      </c>
    </row>
    <row r="16539" spans="9:9" x14ac:dyDescent="0.2">
      <c r="I16539" s="137" t="s">
        <v>74</v>
      </c>
    </row>
    <row r="16540" spans="9:9" x14ac:dyDescent="0.2">
      <c r="I16540" s="137" t="s">
        <v>74</v>
      </c>
    </row>
    <row r="16541" spans="9:9" x14ac:dyDescent="0.2">
      <c r="I16541" s="137" t="s">
        <v>74</v>
      </c>
    </row>
    <row r="16542" spans="9:9" x14ac:dyDescent="0.2">
      <c r="I16542" s="137" t="s">
        <v>74</v>
      </c>
    </row>
    <row r="16543" spans="9:9" x14ac:dyDescent="0.2">
      <c r="I16543" s="137" t="s">
        <v>74</v>
      </c>
    </row>
    <row r="16544" spans="9:9" x14ac:dyDescent="0.2">
      <c r="I16544" s="137" t="s">
        <v>74</v>
      </c>
    </row>
    <row r="16545" spans="9:9" x14ac:dyDescent="0.2">
      <c r="I16545" s="137" t="s">
        <v>74</v>
      </c>
    </row>
    <row r="16546" spans="9:9" x14ac:dyDescent="0.2">
      <c r="I16546" s="137" t="s">
        <v>74</v>
      </c>
    </row>
    <row r="16547" spans="9:9" x14ac:dyDescent="0.2">
      <c r="I16547" s="137" t="s">
        <v>74</v>
      </c>
    </row>
    <row r="16548" spans="9:9" x14ac:dyDescent="0.2">
      <c r="I16548" s="137" t="s">
        <v>74</v>
      </c>
    </row>
    <row r="16549" spans="9:9" x14ac:dyDescent="0.2">
      <c r="I16549" s="137" t="s">
        <v>74</v>
      </c>
    </row>
    <row r="16550" spans="9:9" x14ac:dyDescent="0.2">
      <c r="I16550" s="137" t="s">
        <v>74</v>
      </c>
    </row>
    <row r="16551" spans="9:9" x14ac:dyDescent="0.2">
      <c r="I16551" s="137" t="s">
        <v>74</v>
      </c>
    </row>
    <row r="16552" spans="9:9" x14ac:dyDescent="0.2">
      <c r="I16552" s="137" t="s">
        <v>74</v>
      </c>
    </row>
    <row r="16553" spans="9:9" x14ac:dyDescent="0.2">
      <c r="I16553" s="137" t="s">
        <v>74</v>
      </c>
    </row>
    <row r="16554" spans="9:9" x14ac:dyDescent="0.2">
      <c r="I16554" s="137" t="s">
        <v>74</v>
      </c>
    </row>
    <row r="16555" spans="9:9" x14ac:dyDescent="0.2">
      <c r="I16555" s="137" t="s">
        <v>74</v>
      </c>
    </row>
    <row r="16556" spans="9:9" x14ac:dyDescent="0.2">
      <c r="I16556" s="137" t="s">
        <v>74</v>
      </c>
    </row>
    <row r="16557" spans="9:9" x14ac:dyDescent="0.2">
      <c r="I16557" s="137" t="s">
        <v>74</v>
      </c>
    </row>
    <row r="16558" spans="9:9" x14ac:dyDescent="0.2">
      <c r="I16558" s="137" t="s">
        <v>74</v>
      </c>
    </row>
    <row r="16559" spans="9:9" x14ac:dyDescent="0.2">
      <c r="I16559" s="137" t="s">
        <v>74</v>
      </c>
    </row>
    <row r="16560" spans="9:9" x14ac:dyDescent="0.2">
      <c r="I16560" s="137" t="s">
        <v>74</v>
      </c>
    </row>
    <row r="16561" spans="9:9" x14ac:dyDescent="0.2">
      <c r="I16561" s="137" t="s">
        <v>74</v>
      </c>
    </row>
    <row r="16562" spans="9:9" x14ac:dyDescent="0.2">
      <c r="I16562" s="137" t="s">
        <v>74</v>
      </c>
    </row>
    <row r="16563" spans="9:9" x14ac:dyDescent="0.2">
      <c r="I16563" s="137" t="s">
        <v>74</v>
      </c>
    </row>
    <row r="16564" spans="9:9" x14ac:dyDescent="0.2">
      <c r="I16564" s="137" t="s">
        <v>74</v>
      </c>
    </row>
    <row r="16565" spans="9:9" x14ac:dyDescent="0.2">
      <c r="I16565" s="137" t="s">
        <v>74</v>
      </c>
    </row>
    <row r="16566" spans="9:9" x14ac:dyDescent="0.2">
      <c r="I16566" s="137" t="s">
        <v>74</v>
      </c>
    </row>
    <row r="16567" spans="9:9" x14ac:dyDescent="0.2">
      <c r="I16567" s="137" t="s">
        <v>74</v>
      </c>
    </row>
    <row r="16568" spans="9:9" x14ac:dyDescent="0.2">
      <c r="I16568" s="137" t="s">
        <v>74</v>
      </c>
    </row>
    <row r="16569" spans="9:9" x14ac:dyDescent="0.2">
      <c r="I16569" s="137" t="s">
        <v>74</v>
      </c>
    </row>
    <row r="16570" spans="9:9" x14ac:dyDescent="0.2">
      <c r="I16570" s="137" t="s">
        <v>74</v>
      </c>
    </row>
    <row r="16571" spans="9:9" x14ac:dyDescent="0.2">
      <c r="I16571" s="137" t="s">
        <v>74</v>
      </c>
    </row>
    <row r="16572" spans="9:9" x14ac:dyDescent="0.2">
      <c r="I16572" s="137" t="s">
        <v>74</v>
      </c>
    </row>
    <row r="16573" spans="9:9" x14ac:dyDescent="0.2">
      <c r="I16573" s="137" t="s">
        <v>74</v>
      </c>
    </row>
    <row r="16574" spans="9:9" x14ac:dyDescent="0.2">
      <c r="I16574" s="137" t="s">
        <v>74</v>
      </c>
    </row>
    <row r="16575" spans="9:9" x14ac:dyDescent="0.2">
      <c r="I16575" s="137" t="s">
        <v>74</v>
      </c>
    </row>
    <row r="16576" spans="9:9" x14ac:dyDescent="0.2">
      <c r="I16576" s="137" t="s">
        <v>74</v>
      </c>
    </row>
    <row r="16577" spans="9:9" x14ac:dyDescent="0.2">
      <c r="I16577" s="137" t="s">
        <v>74</v>
      </c>
    </row>
    <row r="16578" spans="9:9" x14ac:dyDescent="0.2">
      <c r="I16578" s="137" t="s">
        <v>74</v>
      </c>
    </row>
    <row r="16579" spans="9:9" x14ac:dyDescent="0.2">
      <c r="I16579" s="137" t="s">
        <v>74</v>
      </c>
    </row>
    <row r="16580" spans="9:9" x14ac:dyDescent="0.2">
      <c r="I16580" s="137" t="s">
        <v>74</v>
      </c>
    </row>
    <row r="16581" spans="9:9" x14ac:dyDescent="0.2">
      <c r="I16581" s="137" t="s">
        <v>74</v>
      </c>
    </row>
    <row r="16582" spans="9:9" x14ac:dyDescent="0.2">
      <c r="I16582" s="137" t="s">
        <v>74</v>
      </c>
    </row>
    <row r="16583" spans="9:9" x14ac:dyDescent="0.2">
      <c r="I16583" s="137" t="s">
        <v>74</v>
      </c>
    </row>
    <row r="16584" spans="9:9" x14ac:dyDescent="0.2">
      <c r="I16584" s="137" t="s">
        <v>74</v>
      </c>
    </row>
    <row r="16585" spans="9:9" x14ac:dyDescent="0.2">
      <c r="I16585" s="137" t="s">
        <v>74</v>
      </c>
    </row>
    <row r="16586" spans="9:9" x14ac:dyDescent="0.2">
      <c r="I16586" s="137" t="s">
        <v>74</v>
      </c>
    </row>
    <row r="16587" spans="9:9" x14ac:dyDescent="0.2">
      <c r="I16587" s="137" t="s">
        <v>74</v>
      </c>
    </row>
    <row r="16588" spans="9:9" x14ac:dyDescent="0.2">
      <c r="I16588" s="137" t="s">
        <v>74</v>
      </c>
    </row>
    <row r="16589" spans="9:9" x14ac:dyDescent="0.2">
      <c r="I16589" s="137" t="s">
        <v>74</v>
      </c>
    </row>
    <row r="16590" spans="9:9" x14ac:dyDescent="0.2">
      <c r="I16590" s="137" t="s">
        <v>74</v>
      </c>
    </row>
    <row r="16591" spans="9:9" x14ac:dyDescent="0.2">
      <c r="I16591" s="137" t="s">
        <v>74</v>
      </c>
    </row>
    <row r="16592" spans="9:9" x14ac:dyDescent="0.2">
      <c r="I16592" s="137" t="s">
        <v>74</v>
      </c>
    </row>
    <row r="16593" spans="9:9" x14ac:dyDescent="0.2">
      <c r="I16593" s="137" t="s">
        <v>74</v>
      </c>
    </row>
    <row r="16594" spans="9:9" x14ac:dyDescent="0.2">
      <c r="I16594" s="137" t="s">
        <v>74</v>
      </c>
    </row>
    <row r="16595" spans="9:9" x14ac:dyDescent="0.2">
      <c r="I16595" s="137" t="s">
        <v>74</v>
      </c>
    </row>
    <row r="16596" spans="9:9" x14ac:dyDescent="0.2">
      <c r="I16596" s="137" t="s">
        <v>74</v>
      </c>
    </row>
    <row r="16597" spans="9:9" x14ac:dyDescent="0.2">
      <c r="I16597" s="137" t="s">
        <v>74</v>
      </c>
    </row>
    <row r="16598" spans="9:9" x14ac:dyDescent="0.2">
      <c r="I16598" s="137" t="s">
        <v>74</v>
      </c>
    </row>
    <row r="16599" spans="9:9" x14ac:dyDescent="0.2">
      <c r="I16599" s="137" t="s">
        <v>74</v>
      </c>
    </row>
    <row r="16600" spans="9:9" x14ac:dyDescent="0.2">
      <c r="I16600" s="137" t="s">
        <v>74</v>
      </c>
    </row>
    <row r="16601" spans="9:9" x14ac:dyDescent="0.2">
      <c r="I16601" s="137" t="s">
        <v>74</v>
      </c>
    </row>
    <row r="16602" spans="9:9" x14ac:dyDescent="0.2">
      <c r="I16602" s="137" t="s">
        <v>74</v>
      </c>
    </row>
    <row r="16603" spans="9:9" x14ac:dyDescent="0.2">
      <c r="I16603" s="137" t="s">
        <v>74</v>
      </c>
    </row>
    <row r="16604" spans="9:9" x14ac:dyDescent="0.2">
      <c r="I16604" s="137" t="s">
        <v>74</v>
      </c>
    </row>
    <row r="16605" spans="9:9" x14ac:dyDescent="0.2">
      <c r="I16605" s="137" t="s">
        <v>74</v>
      </c>
    </row>
    <row r="16606" spans="9:9" x14ac:dyDescent="0.2">
      <c r="I16606" s="137" t="s">
        <v>74</v>
      </c>
    </row>
    <row r="16607" spans="9:9" x14ac:dyDescent="0.2">
      <c r="I16607" s="137" t="s">
        <v>74</v>
      </c>
    </row>
    <row r="16608" spans="9:9" x14ac:dyDescent="0.2">
      <c r="I16608" s="137" t="s">
        <v>74</v>
      </c>
    </row>
    <row r="16609" spans="9:9" x14ac:dyDescent="0.2">
      <c r="I16609" s="137" t="s">
        <v>74</v>
      </c>
    </row>
    <row r="16610" spans="9:9" x14ac:dyDescent="0.2">
      <c r="I16610" s="137" t="s">
        <v>74</v>
      </c>
    </row>
    <row r="16611" spans="9:9" x14ac:dyDescent="0.2">
      <c r="I16611" s="137" t="s">
        <v>74</v>
      </c>
    </row>
    <row r="16612" spans="9:9" x14ac:dyDescent="0.2">
      <c r="I16612" s="137" t="s">
        <v>74</v>
      </c>
    </row>
    <row r="16613" spans="9:9" x14ac:dyDescent="0.2">
      <c r="I16613" s="137" t="s">
        <v>74</v>
      </c>
    </row>
    <row r="16614" spans="9:9" x14ac:dyDescent="0.2">
      <c r="I16614" s="137" t="s">
        <v>74</v>
      </c>
    </row>
    <row r="16615" spans="9:9" x14ac:dyDescent="0.2">
      <c r="I16615" s="137" t="s">
        <v>74</v>
      </c>
    </row>
    <row r="16616" spans="9:9" x14ac:dyDescent="0.2">
      <c r="I16616" s="137" t="s">
        <v>74</v>
      </c>
    </row>
    <row r="16617" spans="9:9" x14ac:dyDescent="0.2">
      <c r="I16617" s="137" t="s">
        <v>74</v>
      </c>
    </row>
    <row r="16618" spans="9:9" x14ac:dyDescent="0.2">
      <c r="I16618" s="137" t="s">
        <v>74</v>
      </c>
    </row>
    <row r="16619" spans="9:9" x14ac:dyDescent="0.2">
      <c r="I16619" s="137" t="s">
        <v>74</v>
      </c>
    </row>
    <row r="16620" spans="9:9" x14ac:dyDescent="0.2">
      <c r="I16620" s="137" t="s">
        <v>74</v>
      </c>
    </row>
    <row r="16621" spans="9:9" x14ac:dyDescent="0.2">
      <c r="I16621" s="137" t="s">
        <v>74</v>
      </c>
    </row>
    <row r="16622" spans="9:9" x14ac:dyDescent="0.2">
      <c r="I16622" s="137" t="s">
        <v>74</v>
      </c>
    </row>
    <row r="16623" spans="9:9" x14ac:dyDescent="0.2">
      <c r="I16623" s="137" t="s">
        <v>74</v>
      </c>
    </row>
    <row r="16624" spans="9:9" x14ac:dyDescent="0.2">
      <c r="I16624" s="137" t="s">
        <v>74</v>
      </c>
    </row>
    <row r="16625" spans="9:9" x14ac:dyDescent="0.2">
      <c r="I16625" s="137" t="s">
        <v>74</v>
      </c>
    </row>
    <row r="16626" spans="9:9" x14ac:dyDescent="0.2">
      <c r="I16626" s="137" t="s">
        <v>74</v>
      </c>
    </row>
    <row r="16627" spans="9:9" x14ac:dyDescent="0.2">
      <c r="I16627" s="137" t="s">
        <v>74</v>
      </c>
    </row>
    <row r="16628" spans="9:9" x14ac:dyDescent="0.2">
      <c r="I16628" s="137" t="s">
        <v>74</v>
      </c>
    </row>
    <row r="16629" spans="9:9" x14ac:dyDescent="0.2">
      <c r="I16629" s="137" t="s">
        <v>74</v>
      </c>
    </row>
    <row r="16630" spans="9:9" x14ac:dyDescent="0.2">
      <c r="I16630" s="137" t="s">
        <v>74</v>
      </c>
    </row>
    <row r="16631" spans="9:9" x14ac:dyDescent="0.2">
      <c r="I16631" s="137" t="s">
        <v>74</v>
      </c>
    </row>
    <row r="16632" spans="9:9" x14ac:dyDescent="0.2">
      <c r="I16632" s="137" t="s">
        <v>74</v>
      </c>
    </row>
    <row r="16633" spans="9:9" x14ac:dyDescent="0.2">
      <c r="I16633" s="137" t="s">
        <v>74</v>
      </c>
    </row>
    <row r="16634" spans="9:9" x14ac:dyDescent="0.2">
      <c r="I16634" s="137" t="s">
        <v>74</v>
      </c>
    </row>
    <row r="16635" spans="9:9" x14ac:dyDescent="0.2">
      <c r="I16635" s="137" t="s">
        <v>74</v>
      </c>
    </row>
    <row r="16636" spans="9:9" x14ac:dyDescent="0.2">
      <c r="I16636" s="137" t="s">
        <v>74</v>
      </c>
    </row>
    <row r="16637" spans="9:9" x14ac:dyDescent="0.2">
      <c r="I16637" s="137" t="s">
        <v>74</v>
      </c>
    </row>
    <row r="16638" spans="9:9" x14ac:dyDescent="0.2">
      <c r="I16638" s="137" t="s">
        <v>74</v>
      </c>
    </row>
    <row r="16639" spans="9:9" x14ac:dyDescent="0.2">
      <c r="I16639" s="137" t="s">
        <v>74</v>
      </c>
    </row>
    <row r="16640" spans="9:9" x14ac:dyDescent="0.2">
      <c r="I16640" s="137" t="s">
        <v>74</v>
      </c>
    </row>
    <row r="16641" spans="9:9" x14ac:dyDescent="0.2">
      <c r="I16641" s="137" t="s">
        <v>74</v>
      </c>
    </row>
    <row r="16642" spans="9:9" x14ac:dyDescent="0.2">
      <c r="I16642" s="137" t="s">
        <v>74</v>
      </c>
    </row>
    <row r="16643" spans="9:9" x14ac:dyDescent="0.2">
      <c r="I16643" s="137" t="s">
        <v>74</v>
      </c>
    </row>
    <row r="16644" spans="9:9" x14ac:dyDescent="0.2">
      <c r="I16644" s="137" t="s">
        <v>74</v>
      </c>
    </row>
    <row r="16645" spans="9:9" x14ac:dyDescent="0.2">
      <c r="I16645" s="137" t="s">
        <v>74</v>
      </c>
    </row>
    <row r="16646" spans="9:9" x14ac:dyDescent="0.2">
      <c r="I16646" s="137" t="s">
        <v>74</v>
      </c>
    </row>
    <row r="16647" spans="9:9" x14ac:dyDescent="0.2">
      <c r="I16647" s="137" t="s">
        <v>74</v>
      </c>
    </row>
    <row r="16648" spans="9:9" x14ac:dyDescent="0.2">
      <c r="I16648" s="137" t="s">
        <v>74</v>
      </c>
    </row>
    <row r="16649" spans="9:9" x14ac:dyDescent="0.2">
      <c r="I16649" s="137" t="s">
        <v>74</v>
      </c>
    </row>
    <row r="16650" spans="9:9" x14ac:dyDescent="0.2">
      <c r="I16650" s="137" t="s">
        <v>74</v>
      </c>
    </row>
    <row r="16651" spans="9:9" x14ac:dyDescent="0.2">
      <c r="I16651" s="137" t="s">
        <v>74</v>
      </c>
    </row>
    <row r="16652" spans="9:9" x14ac:dyDescent="0.2">
      <c r="I16652" s="137" t="s">
        <v>74</v>
      </c>
    </row>
    <row r="16653" spans="9:9" x14ac:dyDescent="0.2">
      <c r="I16653" s="137" t="s">
        <v>74</v>
      </c>
    </row>
    <row r="16654" spans="9:9" x14ac:dyDescent="0.2">
      <c r="I16654" s="137" t="s">
        <v>74</v>
      </c>
    </row>
    <row r="16655" spans="9:9" x14ac:dyDescent="0.2">
      <c r="I16655" s="137" t="s">
        <v>74</v>
      </c>
    </row>
    <row r="16656" spans="9:9" x14ac:dyDescent="0.2">
      <c r="I16656" s="137" t="s">
        <v>74</v>
      </c>
    </row>
    <row r="16657" spans="9:9" x14ac:dyDescent="0.2">
      <c r="I16657" s="137" t="s">
        <v>74</v>
      </c>
    </row>
    <row r="16658" spans="9:9" x14ac:dyDescent="0.2">
      <c r="I16658" s="137" t="s">
        <v>74</v>
      </c>
    </row>
    <row r="16659" spans="9:9" x14ac:dyDescent="0.2">
      <c r="I16659" s="137" t="s">
        <v>74</v>
      </c>
    </row>
    <row r="16660" spans="9:9" x14ac:dyDescent="0.2">
      <c r="I16660" s="137" t="s">
        <v>74</v>
      </c>
    </row>
    <row r="16661" spans="9:9" x14ac:dyDescent="0.2">
      <c r="I16661" s="137" t="s">
        <v>74</v>
      </c>
    </row>
    <row r="16662" spans="9:9" x14ac:dyDescent="0.2">
      <c r="I16662" s="137" t="s">
        <v>74</v>
      </c>
    </row>
    <row r="16663" spans="9:9" x14ac:dyDescent="0.2">
      <c r="I16663" s="137" t="s">
        <v>74</v>
      </c>
    </row>
    <row r="16664" spans="9:9" x14ac:dyDescent="0.2">
      <c r="I16664" s="137" t="s">
        <v>74</v>
      </c>
    </row>
    <row r="16665" spans="9:9" x14ac:dyDescent="0.2">
      <c r="I16665" s="137" t="s">
        <v>74</v>
      </c>
    </row>
    <row r="16666" spans="9:9" x14ac:dyDescent="0.2">
      <c r="I16666" s="137" t="s">
        <v>74</v>
      </c>
    </row>
    <row r="16667" spans="9:9" x14ac:dyDescent="0.2">
      <c r="I16667" s="137" t="s">
        <v>74</v>
      </c>
    </row>
    <row r="16668" spans="9:9" x14ac:dyDescent="0.2">
      <c r="I16668" s="137" t="s">
        <v>74</v>
      </c>
    </row>
    <row r="16669" spans="9:9" x14ac:dyDescent="0.2">
      <c r="I16669" s="137" t="s">
        <v>74</v>
      </c>
    </row>
    <row r="16670" spans="9:9" x14ac:dyDescent="0.2">
      <c r="I16670" s="137" t="s">
        <v>74</v>
      </c>
    </row>
    <row r="16671" spans="9:9" x14ac:dyDescent="0.2">
      <c r="I16671" s="137" t="s">
        <v>74</v>
      </c>
    </row>
    <row r="16672" spans="9:9" x14ac:dyDescent="0.2">
      <c r="I16672" s="137" t="s">
        <v>74</v>
      </c>
    </row>
    <row r="16673" spans="9:9" x14ac:dyDescent="0.2">
      <c r="I16673" s="137" t="s">
        <v>74</v>
      </c>
    </row>
    <row r="16674" spans="9:9" x14ac:dyDescent="0.2">
      <c r="I16674" s="137" t="s">
        <v>74</v>
      </c>
    </row>
    <row r="16675" spans="9:9" x14ac:dyDescent="0.2">
      <c r="I16675" s="137" t="s">
        <v>74</v>
      </c>
    </row>
    <row r="16676" spans="9:9" x14ac:dyDescent="0.2">
      <c r="I16676" s="137" t="s">
        <v>74</v>
      </c>
    </row>
    <row r="16677" spans="9:9" x14ac:dyDescent="0.2">
      <c r="I16677" s="137" t="s">
        <v>74</v>
      </c>
    </row>
    <row r="16678" spans="9:9" x14ac:dyDescent="0.2">
      <c r="I16678" s="137" t="s">
        <v>74</v>
      </c>
    </row>
    <row r="16679" spans="9:9" x14ac:dyDescent="0.2">
      <c r="I16679" s="137" t="s">
        <v>74</v>
      </c>
    </row>
    <row r="16680" spans="9:9" x14ac:dyDescent="0.2">
      <c r="I16680" s="137" t="s">
        <v>74</v>
      </c>
    </row>
    <row r="16681" spans="9:9" x14ac:dyDescent="0.2">
      <c r="I16681" s="137" t="s">
        <v>74</v>
      </c>
    </row>
    <row r="16682" spans="9:9" x14ac:dyDescent="0.2">
      <c r="I16682" s="137" t="s">
        <v>74</v>
      </c>
    </row>
    <row r="16683" spans="9:9" x14ac:dyDescent="0.2">
      <c r="I16683" s="137" t="s">
        <v>74</v>
      </c>
    </row>
    <row r="16684" spans="9:9" x14ac:dyDescent="0.2">
      <c r="I16684" s="137" t="s">
        <v>74</v>
      </c>
    </row>
    <row r="16685" spans="9:9" x14ac:dyDescent="0.2">
      <c r="I16685" s="137" t="s">
        <v>74</v>
      </c>
    </row>
    <row r="16686" spans="9:9" x14ac:dyDescent="0.2">
      <c r="I16686" s="137" t="s">
        <v>74</v>
      </c>
    </row>
    <row r="16687" spans="9:9" x14ac:dyDescent="0.2">
      <c r="I16687" s="137" t="s">
        <v>74</v>
      </c>
    </row>
    <row r="16688" spans="9:9" x14ac:dyDescent="0.2">
      <c r="I16688" s="137" t="s">
        <v>74</v>
      </c>
    </row>
    <row r="16689" spans="9:9" x14ac:dyDescent="0.2">
      <c r="I16689" s="137" t="s">
        <v>74</v>
      </c>
    </row>
    <row r="16690" spans="9:9" x14ac:dyDescent="0.2">
      <c r="I16690" s="137" t="s">
        <v>74</v>
      </c>
    </row>
    <row r="16691" spans="9:9" x14ac:dyDescent="0.2">
      <c r="I16691" s="137" t="s">
        <v>74</v>
      </c>
    </row>
    <row r="16692" spans="9:9" x14ac:dyDescent="0.2">
      <c r="I16692" s="137" t="s">
        <v>74</v>
      </c>
    </row>
    <row r="16693" spans="9:9" x14ac:dyDescent="0.2">
      <c r="I16693" s="137" t="s">
        <v>74</v>
      </c>
    </row>
    <row r="16694" spans="9:9" x14ac:dyDescent="0.2">
      <c r="I16694" s="137" t="s">
        <v>74</v>
      </c>
    </row>
    <row r="16695" spans="9:9" x14ac:dyDescent="0.2">
      <c r="I16695" s="137" t="s">
        <v>74</v>
      </c>
    </row>
    <row r="16696" spans="9:9" x14ac:dyDescent="0.2">
      <c r="I16696" s="137" t="s">
        <v>74</v>
      </c>
    </row>
    <row r="16697" spans="9:9" x14ac:dyDescent="0.2">
      <c r="I16697" s="137" t="s">
        <v>74</v>
      </c>
    </row>
    <row r="16698" spans="9:9" x14ac:dyDescent="0.2">
      <c r="I16698" s="137" t="s">
        <v>74</v>
      </c>
    </row>
    <row r="16699" spans="9:9" x14ac:dyDescent="0.2">
      <c r="I16699" s="137" t="s">
        <v>74</v>
      </c>
    </row>
    <row r="16700" spans="9:9" x14ac:dyDescent="0.2">
      <c r="I16700" s="137" t="s">
        <v>74</v>
      </c>
    </row>
    <row r="16701" spans="9:9" x14ac:dyDescent="0.2">
      <c r="I16701" s="137" t="s">
        <v>74</v>
      </c>
    </row>
    <row r="16702" spans="9:9" x14ac:dyDescent="0.2">
      <c r="I16702" s="137" t="s">
        <v>74</v>
      </c>
    </row>
    <row r="16703" spans="9:9" x14ac:dyDescent="0.2">
      <c r="I16703" s="137" t="s">
        <v>74</v>
      </c>
    </row>
    <row r="16704" spans="9:9" x14ac:dyDescent="0.2">
      <c r="I16704" s="137" t="s">
        <v>74</v>
      </c>
    </row>
    <row r="16705" spans="9:9" x14ac:dyDescent="0.2">
      <c r="I16705" s="137" t="s">
        <v>74</v>
      </c>
    </row>
    <row r="16706" spans="9:9" x14ac:dyDescent="0.2">
      <c r="I16706" s="137" t="s">
        <v>74</v>
      </c>
    </row>
    <row r="16707" spans="9:9" x14ac:dyDescent="0.2">
      <c r="I16707" s="137" t="s">
        <v>74</v>
      </c>
    </row>
    <row r="16708" spans="9:9" x14ac:dyDescent="0.2">
      <c r="I16708" s="137" t="s">
        <v>74</v>
      </c>
    </row>
    <row r="16709" spans="9:9" x14ac:dyDescent="0.2">
      <c r="I16709" s="137" t="s">
        <v>74</v>
      </c>
    </row>
    <row r="16710" spans="9:9" x14ac:dyDescent="0.2">
      <c r="I16710" s="137" t="s">
        <v>74</v>
      </c>
    </row>
    <row r="16711" spans="9:9" x14ac:dyDescent="0.2">
      <c r="I16711" s="137" t="s">
        <v>74</v>
      </c>
    </row>
    <row r="16712" spans="9:9" x14ac:dyDescent="0.2">
      <c r="I16712" s="137" t="s">
        <v>74</v>
      </c>
    </row>
    <row r="16713" spans="9:9" x14ac:dyDescent="0.2">
      <c r="I16713" s="137" t="s">
        <v>74</v>
      </c>
    </row>
    <row r="16714" spans="9:9" x14ac:dyDescent="0.2">
      <c r="I16714" s="137" t="s">
        <v>74</v>
      </c>
    </row>
    <row r="16715" spans="9:9" x14ac:dyDescent="0.2">
      <c r="I16715" s="137" t="s">
        <v>74</v>
      </c>
    </row>
    <row r="16716" spans="9:9" x14ac:dyDescent="0.2">
      <c r="I16716" s="137" t="s">
        <v>74</v>
      </c>
    </row>
    <row r="16717" spans="9:9" x14ac:dyDescent="0.2">
      <c r="I16717" s="137" t="s">
        <v>74</v>
      </c>
    </row>
    <row r="16718" spans="9:9" x14ac:dyDescent="0.2">
      <c r="I16718" s="137" t="s">
        <v>74</v>
      </c>
    </row>
    <row r="16719" spans="9:9" x14ac:dyDescent="0.2">
      <c r="I16719" s="137" t="s">
        <v>74</v>
      </c>
    </row>
    <row r="16720" spans="9:9" x14ac:dyDescent="0.2">
      <c r="I16720" s="137" t="s">
        <v>74</v>
      </c>
    </row>
    <row r="16721" spans="9:9" x14ac:dyDescent="0.2">
      <c r="I16721" s="137" t="s">
        <v>74</v>
      </c>
    </row>
    <row r="16722" spans="9:9" x14ac:dyDescent="0.2">
      <c r="I16722" s="137" t="s">
        <v>74</v>
      </c>
    </row>
    <row r="16723" spans="9:9" x14ac:dyDescent="0.2">
      <c r="I16723" s="137" t="s">
        <v>74</v>
      </c>
    </row>
    <row r="16724" spans="9:9" x14ac:dyDescent="0.2">
      <c r="I16724" s="137" t="s">
        <v>74</v>
      </c>
    </row>
    <row r="16725" spans="9:9" x14ac:dyDescent="0.2">
      <c r="I16725" s="137" t="s">
        <v>74</v>
      </c>
    </row>
    <row r="16726" spans="9:9" x14ac:dyDescent="0.2">
      <c r="I16726" s="137" t="s">
        <v>74</v>
      </c>
    </row>
    <row r="16727" spans="9:9" x14ac:dyDescent="0.2">
      <c r="I16727" s="137" t="s">
        <v>74</v>
      </c>
    </row>
    <row r="16728" spans="9:9" x14ac:dyDescent="0.2">
      <c r="I16728" s="137" t="s">
        <v>74</v>
      </c>
    </row>
    <row r="16729" spans="9:9" x14ac:dyDescent="0.2">
      <c r="I16729" s="137" t="s">
        <v>74</v>
      </c>
    </row>
    <row r="16730" spans="9:9" x14ac:dyDescent="0.2">
      <c r="I16730" s="137" t="s">
        <v>74</v>
      </c>
    </row>
    <row r="16731" spans="9:9" x14ac:dyDescent="0.2">
      <c r="I16731" s="137" t="s">
        <v>74</v>
      </c>
    </row>
    <row r="16732" spans="9:9" x14ac:dyDescent="0.2">
      <c r="I16732" s="137" t="s">
        <v>74</v>
      </c>
    </row>
    <row r="16733" spans="9:9" x14ac:dyDescent="0.2">
      <c r="I16733" s="137" t="s">
        <v>74</v>
      </c>
    </row>
    <row r="16734" spans="9:9" x14ac:dyDescent="0.2">
      <c r="I16734" s="137" t="s">
        <v>74</v>
      </c>
    </row>
    <row r="16735" spans="9:9" x14ac:dyDescent="0.2">
      <c r="I16735" s="137" t="s">
        <v>74</v>
      </c>
    </row>
    <row r="16736" spans="9:9" x14ac:dyDescent="0.2">
      <c r="I16736" s="137" t="s">
        <v>74</v>
      </c>
    </row>
    <row r="16737" spans="9:9" x14ac:dyDescent="0.2">
      <c r="I16737" s="137" t="s">
        <v>74</v>
      </c>
    </row>
    <row r="16738" spans="9:9" x14ac:dyDescent="0.2">
      <c r="I16738" s="137" t="s">
        <v>74</v>
      </c>
    </row>
    <row r="16739" spans="9:9" x14ac:dyDescent="0.2">
      <c r="I16739" s="137" t="s">
        <v>74</v>
      </c>
    </row>
    <row r="16740" spans="9:9" x14ac:dyDescent="0.2">
      <c r="I16740" s="137" t="s">
        <v>74</v>
      </c>
    </row>
    <row r="16741" spans="9:9" x14ac:dyDescent="0.2">
      <c r="I16741" s="137" t="s">
        <v>74</v>
      </c>
    </row>
    <row r="16742" spans="9:9" x14ac:dyDescent="0.2">
      <c r="I16742" s="137" t="s">
        <v>74</v>
      </c>
    </row>
    <row r="16743" spans="9:9" x14ac:dyDescent="0.2">
      <c r="I16743" s="137" t="s">
        <v>74</v>
      </c>
    </row>
    <row r="16744" spans="9:9" x14ac:dyDescent="0.2">
      <c r="I16744" s="137" t="s">
        <v>74</v>
      </c>
    </row>
    <row r="16745" spans="9:9" x14ac:dyDescent="0.2">
      <c r="I16745" s="137" t="s">
        <v>74</v>
      </c>
    </row>
    <row r="16746" spans="9:9" x14ac:dyDescent="0.2">
      <c r="I16746" s="137" t="s">
        <v>74</v>
      </c>
    </row>
    <row r="16747" spans="9:9" x14ac:dyDescent="0.2">
      <c r="I16747" s="137" t="s">
        <v>74</v>
      </c>
    </row>
    <row r="16748" spans="9:9" x14ac:dyDescent="0.2">
      <c r="I16748" s="137" t="s">
        <v>74</v>
      </c>
    </row>
    <row r="16749" spans="9:9" x14ac:dyDescent="0.2">
      <c r="I16749" s="137" t="s">
        <v>74</v>
      </c>
    </row>
    <row r="16750" spans="9:9" x14ac:dyDescent="0.2">
      <c r="I16750" s="137" t="s">
        <v>74</v>
      </c>
    </row>
    <row r="16751" spans="9:9" x14ac:dyDescent="0.2">
      <c r="I16751" s="137" t="s">
        <v>74</v>
      </c>
    </row>
    <row r="16752" spans="9:9" x14ac:dyDescent="0.2">
      <c r="I16752" s="137" t="s">
        <v>74</v>
      </c>
    </row>
    <row r="16753" spans="9:9" x14ac:dyDescent="0.2">
      <c r="I16753" s="137" t="s">
        <v>74</v>
      </c>
    </row>
    <row r="16754" spans="9:9" x14ac:dyDescent="0.2">
      <c r="I16754" s="137" t="s">
        <v>74</v>
      </c>
    </row>
    <row r="16755" spans="9:9" x14ac:dyDescent="0.2">
      <c r="I16755" s="137" t="s">
        <v>74</v>
      </c>
    </row>
    <row r="16756" spans="9:9" x14ac:dyDescent="0.2">
      <c r="I16756" s="137" t="s">
        <v>74</v>
      </c>
    </row>
    <row r="16757" spans="9:9" x14ac:dyDescent="0.2">
      <c r="I16757" s="137" t="s">
        <v>74</v>
      </c>
    </row>
    <row r="16758" spans="9:9" x14ac:dyDescent="0.2">
      <c r="I16758" s="137" t="s">
        <v>74</v>
      </c>
    </row>
    <row r="16759" spans="9:9" x14ac:dyDescent="0.2">
      <c r="I16759" s="137" t="s">
        <v>74</v>
      </c>
    </row>
    <row r="16760" spans="9:9" x14ac:dyDescent="0.2">
      <c r="I16760" s="137" t="s">
        <v>74</v>
      </c>
    </row>
    <row r="16761" spans="9:9" x14ac:dyDescent="0.2">
      <c r="I16761" s="137" t="s">
        <v>74</v>
      </c>
    </row>
    <row r="16762" spans="9:9" x14ac:dyDescent="0.2">
      <c r="I16762" s="137" t="s">
        <v>74</v>
      </c>
    </row>
    <row r="16763" spans="9:9" x14ac:dyDescent="0.2">
      <c r="I16763" s="137" t="s">
        <v>74</v>
      </c>
    </row>
    <row r="16764" spans="9:9" x14ac:dyDescent="0.2">
      <c r="I16764" s="137" t="s">
        <v>74</v>
      </c>
    </row>
    <row r="16765" spans="9:9" x14ac:dyDescent="0.2">
      <c r="I16765" s="137" t="s">
        <v>74</v>
      </c>
    </row>
    <row r="16766" spans="9:9" x14ac:dyDescent="0.2">
      <c r="I16766" s="137" t="s">
        <v>74</v>
      </c>
    </row>
    <row r="16767" spans="9:9" x14ac:dyDescent="0.2">
      <c r="I16767" s="137" t="s">
        <v>74</v>
      </c>
    </row>
    <row r="16768" spans="9:9" x14ac:dyDescent="0.2">
      <c r="I16768" s="137" t="s">
        <v>74</v>
      </c>
    </row>
    <row r="16769" spans="9:9" x14ac:dyDescent="0.2">
      <c r="I16769" s="137" t="s">
        <v>74</v>
      </c>
    </row>
    <row r="16770" spans="9:9" x14ac:dyDescent="0.2">
      <c r="I16770" s="137" t="s">
        <v>74</v>
      </c>
    </row>
    <row r="16771" spans="9:9" x14ac:dyDescent="0.2">
      <c r="I16771" s="137" t="s">
        <v>74</v>
      </c>
    </row>
    <row r="16772" spans="9:9" x14ac:dyDescent="0.2">
      <c r="I16772" s="137" t="s">
        <v>74</v>
      </c>
    </row>
    <row r="16773" spans="9:9" x14ac:dyDescent="0.2">
      <c r="I16773" s="137" t="s">
        <v>74</v>
      </c>
    </row>
    <row r="16774" spans="9:9" x14ac:dyDescent="0.2">
      <c r="I16774" s="137" t="s">
        <v>74</v>
      </c>
    </row>
    <row r="16775" spans="9:9" x14ac:dyDescent="0.2">
      <c r="I16775" s="137" t="s">
        <v>74</v>
      </c>
    </row>
    <row r="16776" spans="9:9" x14ac:dyDescent="0.2">
      <c r="I16776" s="137" t="s">
        <v>74</v>
      </c>
    </row>
    <row r="16777" spans="9:9" x14ac:dyDescent="0.2">
      <c r="I16777" s="137" t="s">
        <v>74</v>
      </c>
    </row>
    <row r="16778" spans="9:9" x14ac:dyDescent="0.2">
      <c r="I16778" s="137" t="s">
        <v>74</v>
      </c>
    </row>
    <row r="16779" spans="9:9" x14ac:dyDescent="0.2">
      <c r="I16779" s="137" t="s">
        <v>74</v>
      </c>
    </row>
    <row r="16780" spans="9:9" x14ac:dyDescent="0.2">
      <c r="I16780" s="137" t="s">
        <v>74</v>
      </c>
    </row>
    <row r="16781" spans="9:9" x14ac:dyDescent="0.2">
      <c r="I16781" s="137" t="s">
        <v>74</v>
      </c>
    </row>
    <row r="16782" spans="9:9" x14ac:dyDescent="0.2">
      <c r="I16782" s="137" t="s">
        <v>74</v>
      </c>
    </row>
    <row r="16783" spans="9:9" x14ac:dyDescent="0.2">
      <c r="I16783" s="137" t="s">
        <v>74</v>
      </c>
    </row>
    <row r="16784" spans="9:9" x14ac:dyDescent="0.2">
      <c r="I16784" s="137" t="s">
        <v>74</v>
      </c>
    </row>
    <row r="16785" spans="9:9" x14ac:dyDescent="0.2">
      <c r="I16785" s="137" t="s">
        <v>74</v>
      </c>
    </row>
    <row r="16786" spans="9:9" x14ac:dyDescent="0.2">
      <c r="I16786" s="137" t="s">
        <v>74</v>
      </c>
    </row>
    <row r="16787" spans="9:9" x14ac:dyDescent="0.2">
      <c r="I16787" s="137" t="s">
        <v>74</v>
      </c>
    </row>
    <row r="16788" spans="9:9" x14ac:dyDescent="0.2">
      <c r="I16788" s="137" t="s">
        <v>74</v>
      </c>
    </row>
    <row r="16789" spans="9:9" x14ac:dyDescent="0.2">
      <c r="I16789" s="137" t="s">
        <v>74</v>
      </c>
    </row>
    <row r="16790" spans="9:9" x14ac:dyDescent="0.2">
      <c r="I16790" s="137" t="s">
        <v>74</v>
      </c>
    </row>
    <row r="16791" spans="9:9" x14ac:dyDescent="0.2">
      <c r="I16791" s="137" t="s">
        <v>74</v>
      </c>
    </row>
    <row r="16792" spans="9:9" x14ac:dyDescent="0.2">
      <c r="I16792" s="137" t="s">
        <v>74</v>
      </c>
    </row>
    <row r="16793" spans="9:9" x14ac:dyDescent="0.2">
      <c r="I16793" s="137" t="s">
        <v>74</v>
      </c>
    </row>
    <row r="16794" spans="9:9" x14ac:dyDescent="0.2">
      <c r="I16794" s="137" t="s">
        <v>74</v>
      </c>
    </row>
    <row r="16795" spans="9:9" x14ac:dyDescent="0.2">
      <c r="I16795" s="137" t="s">
        <v>74</v>
      </c>
    </row>
    <row r="16796" spans="9:9" x14ac:dyDescent="0.2">
      <c r="I16796" s="137" t="s">
        <v>74</v>
      </c>
    </row>
    <row r="16797" spans="9:9" x14ac:dyDescent="0.2">
      <c r="I16797" s="137" t="s">
        <v>74</v>
      </c>
    </row>
    <row r="16798" spans="9:9" x14ac:dyDescent="0.2">
      <c r="I16798" s="137" t="s">
        <v>74</v>
      </c>
    </row>
    <row r="16799" spans="9:9" x14ac:dyDescent="0.2">
      <c r="I16799" s="137" t="s">
        <v>74</v>
      </c>
    </row>
    <row r="16800" spans="9:9" x14ac:dyDescent="0.2">
      <c r="I16800" s="137" t="s">
        <v>74</v>
      </c>
    </row>
    <row r="16801" spans="9:9" x14ac:dyDescent="0.2">
      <c r="I16801" s="137" t="s">
        <v>74</v>
      </c>
    </row>
    <row r="16802" spans="9:9" x14ac:dyDescent="0.2">
      <c r="I16802" s="137" t="s">
        <v>74</v>
      </c>
    </row>
    <row r="16803" spans="9:9" x14ac:dyDescent="0.2">
      <c r="I16803" s="137" t="s">
        <v>74</v>
      </c>
    </row>
    <row r="16804" spans="9:9" x14ac:dyDescent="0.2">
      <c r="I16804" s="137" t="s">
        <v>74</v>
      </c>
    </row>
    <row r="16805" spans="9:9" x14ac:dyDescent="0.2">
      <c r="I16805" s="137" t="s">
        <v>74</v>
      </c>
    </row>
    <row r="16806" spans="9:9" x14ac:dyDescent="0.2">
      <c r="I16806" s="137" t="s">
        <v>74</v>
      </c>
    </row>
    <row r="16807" spans="9:9" x14ac:dyDescent="0.2">
      <c r="I16807" s="137" t="s">
        <v>74</v>
      </c>
    </row>
    <row r="16808" spans="9:9" x14ac:dyDescent="0.2">
      <c r="I16808" s="137" t="s">
        <v>74</v>
      </c>
    </row>
    <row r="16809" spans="9:9" x14ac:dyDescent="0.2">
      <c r="I16809" s="137" t="s">
        <v>74</v>
      </c>
    </row>
    <row r="16810" spans="9:9" x14ac:dyDescent="0.2">
      <c r="I16810" s="137" t="s">
        <v>74</v>
      </c>
    </row>
    <row r="16811" spans="9:9" x14ac:dyDescent="0.2">
      <c r="I16811" s="137" t="s">
        <v>74</v>
      </c>
    </row>
    <row r="16812" spans="9:9" x14ac:dyDescent="0.2">
      <c r="I16812" s="137" t="s">
        <v>74</v>
      </c>
    </row>
    <row r="16813" spans="9:9" x14ac:dyDescent="0.2">
      <c r="I16813" s="137" t="s">
        <v>74</v>
      </c>
    </row>
    <row r="16814" spans="9:9" x14ac:dyDescent="0.2">
      <c r="I16814" s="137" t="s">
        <v>74</v>
      </c>
    </row>
    <row r="16815" spans="9:9" x14ac:dyDescent="0.2">
      <c r="I16815" s="137" t="s">
        <v>74</v>
      </c>
    </row>
    <row r="16816" spans="9:9" x14ac:dyDescent="0.2">
      <c r="I16816" s="137" t="s">
        <v>74</v>
      </c>
    </row>
    <row r="16817" spans="9:9" x14ac:dyDescent="0.2">
      <c r="I16817" s="137" t="s">
        <v>74</v>
      </c>
    </row>
    <row r="16818" spans="9:9" x14ac:dyDescent="0.2">
      <c r="I16818" s="137" t="s">
        <v>74</v>
      </c>
    </row>
    <row r="16819" spans="9:9" x14ac:dyDescent="0.2">
      <c r="I16819" s="137" t="s">
        <v>74</v>
      </c>
    </row>
    <row r="16820" spans="9:9" x14ac:dyDescent="0.2">
      <c r="I16820" s="137" t="s">
        <v>74</v>
      </c>
    </row>
    <row r="16821" spans="9:9" x14ac:dyDescent="0.2">
      <c r="I16821" s="137" t="s">
        <v>74</v>
      </c>
    </row>
    <row r="16822" spans="9:9" x14ac:dyDescent="0.2">
      <c r="I16822" s="137" t="s">
        <v>74</v>
      </c>
    </row>
    <row r="16823" spans="9:9" x14ac:dyDescent="0.2">
      <c r="I16823" s="137" t="s">
        <v>74</v>
      </c>
    </row>
    <row r="16824" spans="9:9" x14ac:dyDescent="0.2">
      <c r="I16824" s="137" t="s">
        <v>74</v>
      </c>
    </row>
    <row r="16825" spans="9:9" x14ac:dyDescent="0.2">
      <c r="I16825" s="137" t="s">
        <v>74</v>
      </c>
    </row>
    <row r="16826" spans="9:9" x14ac:dyDescent="0.2">
      <c r="I16826" s="137" t="s">
        <v>74</v>
      </c>
    </row>
    <row r="16827" spans="9:9" x14ac:dyDescent="0.2">
      <c r="I16827" s="137" t="s">
        <v>74</v>
      </c>
    </row>
    <row r="16828" spans="9:9" x14ac:dyDescent="0.2">
      <c r="I16828" s="137" t="s">
        <v>74</v>
      </c>
    </row>
    <row r="16829" spans="9:9" x14ac:dyDescent="0.2">
      <c r="I16829" s="137" t="s">
        <v>74</v>
      </c>
    </row>
    <row r="16830" spans="9:9" x14ac:dyDescent="0.2">
      <c r="I16830" s="137" t="s">
        <v>74</v>
      </c>
    </row>
    <row r="16831" spans="9:9" x14ac:dyDescent="0.2">
      <c r="I16831" s="137" t="s">
        <v>74</v>
      </c>
    </row>
    <row r="16832" spans="9:9" x14ac:dyDescent="0.2">
      <c r="I16832" s="137" t="s">
        <v>74</v>
      </c>
    </row>
    <row r="16833" spans="9:9" x14ac:dyDescent="0.2">
      <c r="I16833" s="137" t="s">
        <v>74</v>
      </c>
    </row>
    <row r="16834" spans="9:9" x14ac:dyDescent="0.2">
      <c r="I16834" s="137" t="s">
        <v>74</v>
      </c>
    </row>
    <row r="16835" spans="9:9" x14ac:dyDescent="0.2">
      <c r="I16835" s="137" t="s">
        <v>74</v>
      </c>
    </row>
    <row r="16836" spans="9:9" x14ac:dyDescent="0.2">
      <c r="I16836" s="137" t="s">
        <v>74</v>
      </c>
    </row>
    <row r="16837" spans="9:9" x14ac:dyDescent="0.2">
      <c r="I16837" s="137" t="s">
        <v>74</v>
      </c>
    </row>
    <row r="16838" spans="9:9" x14ac:dyDescent="0.2">
      <c r="I16838" s="137" t="s">
        <v>74</v>
      </c>
    </row>
    <row r="16839" spans="9:9" x14ac:dyDescent="0.2">
      <c r="I16839" s="137" t="s">
        <v>74</v>
      </c>
    </row>
    <row r="16840" spans="9:9" x14ac:dyDescent="0.2">
      <c r="I16840" s="137" t="s">
        <v>74</v>
      </c>
    </row>
    <row r="16841" spans="9:9" x14ac:dyDescent="0.2">
      <c r="I16841" s="137" t="s">
        <v>74</v>
      </c>
    </row>
    <row r="16842" spans="9:9" x14ac:dyDescent="0.2">
      <c r="I16842" s="137" t="s">
        <v>74</v>
      </c>
    </row>
    <row r="16843" spans="9:9" x14ac:dyDescent="0.2">
      <c r="I16843" s="137" t="s">
        <v>74</v>
      </c>
    </row>
    <row r="16844" spans="9:9" x14ac:dyDescent="0.2">
      <c r="I16844" s="137" t="s">
        <v>74</v>
      </c>
    </row>
    <row r="16845" spans="9:9" x14ac:dyDescent="0.2">
      <c r="I16845" s="137" t="s">
        <v>74</v>
      </c>
    </row>
    <row r="16846" spans="9:9" x14ac:dyDescent="0.2">
      <c r="I16846" s="137" t="s">
        <v>74</v>
      </c>
    </row>
    <row r="16847" spans="9:9" x14ac:dyDescent="0.2">
      <c r="I16847" s="137" t="s">
        <v>74</v>
      </c>
    </row>
    <row r="16848" spans="9:9" x14ac:dyDescent="0.2">
      <c r="I16848" s="137" t="s">
        <v>74</v>
      </c>
    </row>
    <row r="16849" spans="9:9" x14ac:dyDescent="0.2">
      <c r="I16849" s="137" t="s">
        <v>74</v>
      </c>
    </row>
    <row r="16850" spans="9:9" x14ac:dyDescent="0.2">
      <c r="I16850" s="137" t="s">
        <v>74</v>
      </c>
    </row>
    <row r="16851" spans="9:9" x14ac:dyDescent="0.2">
      <c r="I16851" s="137" t="s">
        <v>74</v>
      </c>
    </row>
    <row r="16852" spans="9:9" x14ac:dyDescent="0.2">
      <c r="I16852" s="137" t="s">
        <v>74</v>
      </c>
    </row>
    <row r="16853" spans="9:9" x14ac:dyDescent="0.2">
      <c r="I16853" s="137" t="s">
        <v>74</v>
      </c>
    </row>
    <row r="16854" spans="9:9" x14ac:dyDescent="0.2">
      <c r="I16854" s="137" t="s">
        <v>74</v>
      </c>
    </row>
    <row r="16855" spans="9:9" x14ac:dyDescent="0.2">
      <c r="I16855" s="137" t="s">
        <v>74</v>
      </c>
    </row>
    <row r="16856" spans="9:9" x14ac:dyDescent="0.2">
      <c r="I16856" s="137" t="s">
        <v>74</v>
      </c>
    </row>
    <row r="16857" spans="9:9" x14ac:dyDescent="0.2">
      <c r="I16857" s="137" t="s">
        <v>74</v>
      </c>
    </row>
    <row r="16858" spans="9:9" x14ac:dyDescent="0.2">
      <c r="I16858" s="137" t="s">
        <v>74</v>
      </c>
    </row>
    <row r="16859" spans="9:9" x14ac:dyDescent="0.2">
      <c r="I16859" s="137" t="s">
        <v>74</v>
      </c>
    </row>
    <row r="16860" spans="9:9" x14ac:dyDescent="0.2">
      <c r="I16860" s="137" t="s">
        <v>74</v>
      </c>
    </row>
    <row r="16861" spans="9:9" x14ac:dyDescent="0.2">
      <c r="I16861" s="137" t="s">
        <v>74</v>
      </c>
    </row>
    <row r="16862" spans="9:9" x14ac:dyDescent="0.2">
      <c r="I16862" s="137" t="s">
        <v>74</v>
      </c>
    </row>
    <row r="16863" spans="9:9" x14ac:dyDescent="0.2">
      <c r="I16863" s="137" t="s">
        <v>74</v>
      </c>
    </row>
    <row r="16864" spans="9:9" x14ac:dyDescent="0.2">
      <c r="I16864" s="137" t="s">
        <v>74</v>
      </c>
    </row>
    <row r="16865" spans="9:9" x14ac:dyDescent="0.2">
      <c r="I16865" s="137" t="s">
        <v>74</v>
      </c>
    </row>
    <row r="16866" spans="9:9" x14ac:dyDescent="0.2">
      <c r="I16866" s="137" t="s">
        <v>74</v>
      </c>
    </row>
    <row r="16867" spans="9:9" x14ac:dyDescent="0.2">
      <c r="I16867" s="137" t="s">
        <v>74</v>
      </c>
    </row>
    <row r="16868" spans="9:9" x14ac:dyDescent="0.2">
      <c r="I16868" s="137" t="s">
        <v>74</v>
      </c>
    </row>
    <row r="16869" spans="9:9" x14ac:dyDescent="0.2">
      <c r="I16869" s="137" t="s">
        <v>74</v>
      </c>
    </row>
    <row r="16870" spans="9:9" x14ac:dyDescent="0.2">
      <c r="I16870" s="137" t="s">
        <v>74</v>
      </c>
    </row>
    <row r="16871" spans="9:9" x14ac:dyDescent="0.2">
      <c r="I16871" s="137" t="s">
        <v>74</v>
      </c>
    </row>
    <row r="16872" spans="9:9" x14ac:dyDescent="0.2">
      <c r="I16872" s="137" t="s">
        <v>74</v>
      </c>
    </row>
    <row r="16873" spans="9:9" x14ac:dyDescent="0.2">
      <c r="I16873" s="137" t="s">
        <v>74</v>
      </c>
    </row>
    <row r="16874" spans="9:9" x14ac:dyDescent="0.2">
      <c r="I16874" s="137" t="s">
        <v>74</v>
      </c>
    </row>
    <row r="16875" spans="9:9" x14ac:dyDescent="0.2">
      <c r="I16875" s="137" t="s">
        <v>74</v>
      </c>
    </row>
    <row r="16876" spans="9:9" x14ac:dyDescent="0.2">
      <c r="I16876" s="137" t="s">
        <v>74</v>
      </c>
    </row>
    <row r="16877" spans="9:9" x14ac:dyDescent="0.2">
      <c r="I16877" s="137" t="s">
        <v>74</v>
      </c>
    </row>
    <row r="16878" spans="9:9" x14ac:dyDescent="0.2">
      <c r="I16878" s="137" t="s">
        <v>74</v>
      </c>
    </row>
    <row r="16879" spans="9:9" x14ac:dyDescent="0.2">
      <c r="I16879" s="137" t="s">
        <v>74</v>
      </c>
    </row>
    <row r="16880" spans="9:9" x14ac:dyDescent="0.2">
      <c r="I16880" s="137" t="s">
        <v>74</v>
      </c>
    </row>
    <row r="16881" spans="9:9" x14ac:dyDescent="0.2">
      <c r="I16881" s="137" t="s">
        <v>74</v>
      </c>
    </row>
    <row r="16882" spans="9:9" x14ac:dyDescent="0.2">
      <c r="I16882" s="137" t="s">
        <v>74</v>
      </c>
    </row>
    <row r="16883" spans="9:9" x14ac:dyDescent="0.2">
      <c r="I16883" s="137" t="s">
        <v>74</v>
      </c>
    </row>
    <row r="16884" spans="9:9" x14ac:dyDescent="0.2">
      <c r="I16884" s="137" t="s">
        <v>74</v>
      </c>
    </row>
    <row r="16885" spans="9:9" x14ac:dyDescent="0.2">
      <c r="I16885" s="137" t="s">
        <v>74</v>
      </c>
    </row>
    <row r="16886" spans="9:9" x14ac:dyDescent="0.2">
      <c r="I16886" s="137" t="s">
        <v>74</v>
      </c>
    </row>
    <row r="16887" spans="9:9" x14ac:dyDescent="0.2">
      <c r="I16887" s="137" t="s">
        <v>74</v>
      </c>
    </row>
    <row r="16888" spans="9:9" x14ac:dyDescent="0.2">
      <c r="I16888" s="137" t="s">
        <v>74</v>
      </c>
    </row>
    <row r="16889" spans="9:9" x14ac:dyDescent="0.2">
      <c r="I16889" s="137" t="s">
        <v>74</v>
      </c>
    </row>
    <row r="16890" spans="9:9" x14ac:dyDescent="0.2">
      <c r="I16890" s="137" t="s">
        <v>74</v>
      </c>
    </row>
    <row r="16891" spans="9:9" x14ac:dyDescent="0.2">
      <c r="I16891" s="137" t="s">
        <v>74</v>
      </c>
    </row>
    <row r="16892" spans="9:9" x14ac:dyDescent="0.2">
      <c r="I16892" s="137" t="s">
        <v>74</v>
      </c>
    </row>
    <row r="16893" spans="9:9" x14ac:dyDescent="0.2">
      <c r="I16893" s="137" t="s">
        <v>74</v>
      </c>
    </row>
    <row r="16894" spans="9:9" x14ac:dyDescent="0.2">
      <c r="I16894" s="137" t="s">
        <v>74</v>
      </c>
    </row>
    <row r="16895" spans="9:9" x14ac:dyDescent="0.2">
      <c r="I16895" s="137" t="s">
        <v>74</v>
      </c>
    </row>
    <row r="16896" spans="9:9" x14ac:dyDescent="0.2">
      <c r="I16896" s="137" t="s">
        <v>74</v>
      </c>
    </row>
    <row r="16897" spans="9:9" x14ac:dyDescent="0.2">
      <c r="I16897" s="137" t="s">
        <v>74</v>
      </c>
    </row>
    <row r="16898" spans="9:9" x14ac:dyDescent="0.2">
      <c r="I16898" s="137" t="s">
        <v>74</v>
      </c>
    </row>
    <row r="16899" spans="9:9" x14ac:dyDescent="0.2">
      <c r="I16899" s="137" t="s">
        <v>74</v>
      </c>
    </row>
    <row r="16900" spans="9:9" x14ac:dyDescent="0.2">
      <c r="I16900" s="137" t="s">
        <v>74</v>
      </c>
    </row>
    <row r="16901" spans="9:9" x14ac:dyDescent="0.2">
      <c r="I16901" s="137" t="s">
        <v>74</v>
      </c>
    </row>
    <row r="16902" spans="9:9" x14ac:dyDescent="0.2">
      <c r="I16902" s="137" t="s">
        <v>74</v>
      </c>
    </row>
    <row r="16903" spans="9:9" x14ac:dyDescent="0.2">
      <c r="I16903" s="137" t="s">
        <v>74</v>
      </c>
    </row>
    <row r="16904" spans="9:9" x14ac:dyDescent="0.2">
      <c r="I16904" s="137" t="s">
        <v>74</v>
      </c>
    </row>
    <row r="16905" spans="9:9" x14ac:dyDescent="0.2">
      <c r="I16905" s="137" t="s">
        <v>74</v>
      </c>
    </row>
    <row r="16906" spans="9:9" x14ac:dyDescent="0.2">
      <c r="I16906" s="137" t="s">
        <v>74</v>
      </c>
    </row>
    <row r="16907" spans="9:9" x14ac:dyDescent="0.2">
      <c r="I16907" s="137" t="s">
        <v>74</v>
      </c>
    </row>
    <row r="16908" spans="9:9" x14ac:dyDescent="0.2">
      <c r="I16908" s="137" t="s">
        <v>74</v>
      </c>
    </row>
    <row r="16909" spans="9:9" x14ac:dyDescent="0.2">
      <c r="I16909" s="137" t="s">
        <v>74</v>
      </c>
    </row>
    <row r="16910" spans="9:9" x14ac:dyDescent="0.2">
      <c r="I16910" s="137" t="s">
        <v>74</v>
      </c>
    </row>
    <row r="16911" spans="9:9" x14ac:dyDescent="0.2">
      <c r="I16911" s="137" t="s">
        <v>74</v>
      </c>
    </row>
    <row r="16912" spans="9:9" x14ac:dyDescent="0.2">
      <c r="I16912" s="137" t="s">
        <v>74</v>
      </c>
    </row>
    <row r="16913" spans="9:9" x14ac:dyDescent="0.2">
      <c r="I16913" s="137" t="s">
        <v>74</v>
      </c>
    </row>
    <row r="16914" spans="9:9" x14ac:dyDescent="0.2">
      <c r="I16914" s="137" t="s">
        <v>74</v>
      </c>
    </row>
    <row r="16915" spans="9:9" x14ac:dyDescent="0.2">
      <c r="I16915" s="137" t="s">
        <v>74</v>
      </c>
    </row>
    <row r="16916" spans="9:9" x14ac:dyDescent="0.2">
      <c r="I16916" s="137" t="s">
        <v>74</v>
      </c>
    </row>
    <row r="16917" spans="9:9" x14ac:dyDescent="0.2">
      <c r="I16917" s="137" t="s">
        <v>74</v>
      </c>
    </row>
    <row r="16918" spans="9:9" x14ac:dyDescent="0.2">
      <c r="I16918" s="137" t="s">
        <v>74</v>
      </c>
    </row>
    <row r="16919" spans="9:9" x14ac:dyDescent="0.2">
      <c r="I16919" s="137" t="s">
        <v>74</v>
      </c>
    </row>
    <row r="16920" spans="9:9" x14ac:dyDescent="0.2">
      <c r="I16920" s="137" t="s">
        <v>74</v>
      </c>
    </row>
    <row r="16921" spans="9:9" x14ac:dyDescent="0.2">
      <c r="I16921" s="137" t="s">
        <v>74</v>
      </c>
    </row>
    <row r="16922" spans="9:9" x14ac:dyDescent="0.2">
      <c r="I16922" s="137" t="s">
        <v>74</v>
      </c>
    </row>
    <row r="16923" spans="9:9" x14ac:dyDescent="0.2">
      <c r="I16923" s="137" t="s">
        <v>74</v>
      </c>
    </row>
    <row r="16924" spans="9:9" x14ac:dyDescent="0.2">
      <c r="I16924" s="137" t="s">
        <v>74</v>
      </c>
    </row>
    <row r="16925" spans="9:9" x14ac:dyDescent="0.2">
      <c r="I16925" s="137" t="s">
        <v>74</v>
      </c>
    </row>
    <row r="16926" spans="9:9" x14ac:dyDescent="0.2">
      <c r="I16926" s="137" t="s">
        <v>74</v>
      </c>
    </row>
    <row r="16927" spans="9:9" x14ac:dyDescent="0.2">
      <c r="I16927" s="137" t="s">
        <v>74</v>
      </c>
    </row>
    <row r="16928" spans="9:9" x14ac:dyDescent="0.2">
      <c r="I16928" s="137" t="s">
        <v>74</v>
      </c>
    </row>
    <row r="16929" spans="9:9" x14ac:dyDescent="0.2">
      <c r="I16929" s="137" t="s">
        <v>74</v>
      </c>
    </row>
    <row r="16930" spans="9:9" x14ac:dyDescent="0.2">
      <c r="I16930" s="137" t="s">
        <v>74</v>
      </c>
    </row>
    <row r="16931" spans="9:9" x14ac:dyDescent="0.2">
      <c r="I16931" s="137" t="s">
        <v>74</v>
      </c>
    </row>
    <row r="16932" spans="9:9" x14ac:dyDescent="0.2">
      <c r="I16932" s="137" t="s">
        <v>74</v>
      </c>
    </row>
    <row r="16933" spans="9:9" x14ac:dyDescent="0.2">
      <c r="I16933" s="137" t="s">
        <v>74</v>
      </c>
    </row>
    <row r="16934" spans="9:9" x14ac:dyDescent="0.2">
      <c r="I16934" s="137" t="s">
        <v>74</v>
      </c>
    </row>
    <row r="16935" spans="9:9" x14ac:dyDescent="0.2">
      <c r="I16935" s="137" t="s">
        <v>74</v>
      </c>
    </row>
    <row r="16936" spans="9:9" x14ac:dyDescent="0.2">
      <c r="I16936" s="137" t="s">
        <v>74</v>
      </c>
    </row>
    <row r="16937" spans="9:9" x14ac:dyDescent="0.2">
      <c r="I16937" s="137" t="s">
        <v>74</v>
      </c>
    </row>
    <row r="16938" spans="9:9" x14ac:dyDescent="0.2">
      <c r="I16938" s="137" t="s">
        <v>74</v>
      </c>
    </row>
    <row r="16939" spans="9:9" x14ac:dyDescent="0.2">
      <c r="I16939" s="137" t="s">
        <v>74</v>
      </c>
    </row>
    <row r="16940" spans="9:9" x14ac:dyDescent="0.2">
      <c r="I16940" s="137" t="s">
        <v>74</v>
      </c>
    </row>
    <row r="16941" spans="9:9" x14ac:dyDescent="0.2">
      <c r="I16941" s="137" t="s">
        <v>74</v>
      </c>
    </row>
    <row r="16942" spans="9:9" x14ac:dyDescent="0.2">
      <c r="I16942" s="137" t="s">
        <v>74</v>
      </c>
    </row>
    <row r="16943" spans="9:9" x14ac:dyDescent="0.2">
      <c r="I16943" s="137" t="s">
        <v>74</v>
      </c>
    </row>
    <row r="16944" spans="9:9" x14ac:dyDescent="0.2">
      <c r="I16944" s="137" t="s">
        <v>74</v>
      </c>
    </row>
    <row r="16945" spans="9:9" x14ac:dyDescent="0.2">
      <c r="I16945" s="137" t="s">
        <v>74</v>
      </c>
    </row>
    <row r="16946" spans="9:9" x14ac:dyDescent="0.2">
      <c r="I16946" s="137" t="s">
        <v>74</v>
      </c>
    </row>
    <row r="16947" spans="9:9" x14ac:dyDescent="0.2">
      <c r="I16947" s="137" t="s">
        <v>74</v>
      </c>
    </row>
    <row r="16948" spans="9:9" x14ac:dyDescent="0.2">
      <c r="I16948" s="137" t="s">
        <v>74</v>
      </c>
    </row>
    <row r="16949" spans="9:9" x14ac:dyDescent="0.2">
      <c r="I16949" s="137" t="s">
        <v>74</v>
      </c>
    </row>
    <row r="16950" spans="9:9" x14ac:dyDescent="0.2">
      <c r="I16950" s="137" t="s">
        <v>74</v>
      </c>
    </row>
    <row r="16951" spans="9:9" x14ac:dyDescent="0.2">
      <c r="I16951" s="137" t="s">
        <v>74</v>
      </c>
    </row>
    <row r="16952" spans="9:9" x14ac:dyDescent="0.2">
      <c r="I16952" s="137" t="s">
        <v>74</v>
      </c>
    </row>
    <row r="16953" spans="9:9" x14ac:dyDescent="0.2">
      <c r="I16953" s="137" t="s">
        <v>74</v>
      </c>
    </row>
    <row r="16954" spans="9:9" x14ac:dyDescent="0.2">
      <c r="I16954" s="137" t="s">
        <v>74</v>
      </c>
    </row>
    <row r="16955" spans="9:9" x14ac:dyDescent="0.2">
      <c r="I16955" s="137" t="s">
        <v>74</v>
      </c>
    </row>
    <row r="16956" spans="9:9" x14ac:dyDescent="0.2">
      <c r="I16956" s="137" t="s">
        <v>74</v>
      </c>
    </row>
    <row r="16957" spans="9:9" x14ac:dyDescent="0.2">
      <c r="I16957" s="137" t="s">
        <v>74</v>
      </c>
    </row>
    <row r="16958" spans="9:9" x14ac:dyDescent="0.2">
      <c r="I16958" s="137" t="s">
        <v>74</v>
      </c>
    </row>
    <row r="16959" spans="9:9" x14ac:dyDescent="0.2">
      <c r="I16959" s="137" t="s">
        <v>74</v>
      </c>
    </row>
    <row r="16960" spans="9:9" x14ac:dyDescent="0.2">
      <c r="I16960" s="137" t="s">
        <v>74</v>
      </c>
    </row>
    <row r="16961" spans="9:9" x14ac:dyDescent="0.2">
      <c r="I16961" s="137" t="s">
        <v>74</v>
      </c>
    </row>
    <row r="16962" spans="9:9" x14ac:dyDescent="0.2">
      <c r="I16962" s="137" t="s">
        <v>74</v>
      </c>
    </row>
    <row r="16963" spans="9:9" x14ac:dyDescent="0.2">
      <c r="I16963" s="137" t="s">
        <v>74</v>
      </c>
    </row>
    <row r="16964" spans="9:9" x14ac:dyDescent="0.2">
      <c r="I16964" s="137" t="s">
        <v>74</v>
      </c>
    </row>
    <row r="16965" spans="9:9" x14ac:dyDescent="0.2">
      <c r="I16965" s="137" t="s">
        <v>74</v>
      </c>
    </row>
    <row r="16966" spans="9:9" x14ac:dyDescent="0.2">
      <c r="I16966" s="137" t="s">
        <v>74</v>
      </c>
    </row>
    <row r="16967" spans="9:9" x14ac:dyDescent="0.2">
      <c r="I16967" s="137" t="s">
        <v>74</v>
      </c>
    </row>
    <row r="16968" spans="9:9" x14ac:dyDescent="0.2">
      <c r="I16968" s="137" t="s">
        <v>74</v>
      </c>
    </row>
    <row r="16969" spans="9:9" x14ac:dyDescent="0.2">
      <c r="I16969" s="137" t="s">
        <v>74</v>
      </c>
    </row>
    <row r="16970" spans="9:9" x14ac:dyDescent="0.2">
      <c r="I16970" s="137" t="s">
        <v>74</v>
      </c>
    </row>
    <row r="16971" spans="9:9" x14ac:dyDescent="0.2">
      <c r="I16971" s="137" t="s">
        <v>74</v>
      </c>
    </row>
    <row r="16972" spans="9:9" x14ac:dyDescent="0.2">
      <c r="I16972" s="137" t="s">
        <v>74</v>
      </c>
    </row>
    <row r="16973" spans="9:9" x14ac:dyDescent="0.2">
      <c r="I16973" s="137" t="s">
        <v>74</v>
      </c>
    </row>
    <row r="16974" spans="9:9" x14ac:dyDescent="0.2">
      <c r="I16974" s="137" t="s">
        <v>74</v>
      </c>
    </row>
    <row r="16975" spans="9:9" x14ac:dyDescent="0.2">
      <c r="I16975" s="137" t="s">
        <v>74</v>
      </c>
    </row>
    <row r="16976" spans="9:9" x14ac:dyDescent="0.2">
      <c r="I16976" s="137" t="s">
        <v>74</v>
      </c>
    </row>
    <row r="16977" spans="9:9" x14ac:dyDescent="0.2">
      <c r="I16977" s="137" t="s">
        <v>74</v>
      </c>
    </row>
    <row r="16978" spans="9:9" x14ac:dyDescent="0.2">
      <c r="I16978" s="137" t="s">
        <v>74</v>
      </c>
    </row>
    <row r="16979" spans="9:9" x14ac:dyDescent="0.2">
      <c r="I16979" s="137" t="s">
        <v>74</v>
      </c>
    </row>
    <row r="16980" spans="9:9" x14ac:dyDescent="0.2">
      <c r="I16980" s="137" t="s">
        <v>74</v>
      </c>
    </row>
    <row r="16981" spans="9:9" x14ac:dyDescent="0.2">
      <c r="I16981" s="137" t="s">
        <v>74</v>
      </c>
    </row>
    <row r="16982" spans="9:9" x14ac:dyDescent="0.2">
      <c r="I16982" s="137" t="s">
        <v>74</v>
      </c>
    </row>
    <row r="16983" spans="9:9" x14ac:dyDescent="0.2">
      <c r="I16983" s="137" t="s">
        <v>74</v>
      </c>
    </row>
    <row r="16984" spans="9:9" x14ac:dyDescent="0.2">
      <c r="I16984" s="137" t="s">
        <v>74</v>
      </c>
    </row>
    <row r="16985" spans="9:9" x14ac:dyDescent="0.2">
      <c r="I16985" s="137" t="s">
        <v>74</v>
      </c>
    </row>
    <row r="16986" spans="9:9" x14ac:dyDescent="0.2">
      <c r="I16986" s="137" t="s">
        <v>74</v>
      </c>
    </row>
    <row r="16987" spans="9:9" x14ac:dyDescent="0.2">
      <c r="I16987" s="137" t="s">
        <v>74</v>
      </c>
    </row>
    <row r="16988" spans="9:9" x14ac:dyDescent="0.2">
      <c r="I16988" s="137" t="s">
        <v>74</v>
      </c>
    </row>
    <row r="16989" spans="9:9" x14ac:dyDescent="0.2">
      <c r="I16989" s="137" t="s">
        <v>74</v>
      </c>
    </row>
    <row r="16990" spans="9:9" x14ac:dyDescent="0.2">
      <c r="I16990" s="137" t="s">
        <v>74</v>
      </c>
    </row>
    <row r="16991" spans="9:9" x14ac:dyDescent="0.2">
      <c r="I16991" s="137" t="s">
        <v>74</v>
      </c>
    </row>
    <row r="16992" spans="9:9" x14ac:dyDescent="0.2">
      <c r="I16992" s="137" t="s">
        <v>74</v>
      </c>
    </row>
    <row r="16993" spans="9:9" x14ac:dyDescent="0.2">
      <c r="I16993" s="137" t="s">
        <v>74</v>
      </c>
    </row>
    <row r="16994" spans="9:9" x14ac:dyDescent="0.2">
      <c r="I16994" s="137" t="s">
        <v>74</v>
      </c>
    </row>
    <row r="16995" spans="9:9" x14ac:dyDescent="0.2">
      <c r="I16995" s="137" t="s">
        <v>74</v>
      </c>
    </row>
    <row r="16996" spans="9:9" x14ac:dyDescent="0.2">
      <c r="I16996" s="137" t="s">
        <v>74</v>
      </c>
    </row>
    <row r="16997" spans="9:9" x14ac:dyDescent="0.2">
      <c r="I16997" s="137" t="s">
        <v>74</v>
      </c>
    </row>
    <row r="16998" spans="9:9" x14ac:dyDescent="0.2">
      <c r="I16998" s="137" t="s">
        <v>74</v>
      </c>
    </row>
    <row r="16999" spans="9:9" x14ac:dyDescent="0.2">
      <c r="I16999" s="137" t="s">
        <v>74</v>
      </c>
    </row>
    <row r="17000" spans="9:9" x14ac:dyDescent="0.2">
      <c r="I17000" s="137" t="s">
        <v>74</v>
      </c>
    </row>
    <row r="17001" spans="9:9" x14ac:dyDescent="0.2">
      <c r="I17001" s="137" t="s">
        <v>74</v>
      </c>
    </row>
    <row r="17002" spans="9:9" x14ac:dyDescent="0.2">
      <c r="I17002" s="137" t="s">
        <v>74</v>
      </c>
    </row>
    <row r="17003" spans="9:9" x14ac:dyDescent="0.2">
      <c r="I17003" s="137" t="s">
        <v>74</v>
      </c>
    </row>
    <row r="17004" spans="9:9" x14ac:dyDescent="0.2">
      <c r="I17004" s="137" t="s">
        <v>74</v>
      </c>
    </row>
    <row r="17005" spans="9:9" x14ac:dyDescent="0.2">
      <c r="I17005" s="137" t="s">
        <v>74</v>
      </c>
    </row>
    <row r="17006" spans="9:9" x14ac:dyDescent="0.2">
      <c r="I17006" s="137" t="s">
        <v>74</v>
      </c>
    </row>
    <row r="17007" spans="9:9" x14ac:dyDescent="0.2">
      <c r="I17007" s="137" t="s">
        <v>74</v>
      </c>
    </row>
    <row r="17008" spans="9:9" x14ac:dyDescent="0.2">
      <c r="I17008" s="137" t="s">
        <v>74</v>
      </c>
    </row>
    <row r="17009" spans="9:9" x14ac:dyDescent="0.2">
      <c r="I17009" s="137" t="s">
        <v>74</v>
      </c>
    </row>
    <row r="17010" spans="9:9" x14ac:dyDescent="0.2">
      <c r="I17010" s="137" t="s">
        <v>74</v>
      </c>
    </row>
    <row r="17011" spans="9:9" x14ac:dyDescent="0.2">
      <c r="I17011" s="137" t="s">
        <v>74</v>
      </c>
    </row>
    <row r="17012" spans="9:9" x14ac:dyDescent="0.2">
      <c r="I17012" s="137" t="s">
        <v>74</v>
      </c>
    </row>
    <row r="17013" spans="9:9" x14ac:dyDescent="0.2">
      <c r="I17013" s="137" t="s">
        <v>74</v>
      </c>
    </row>
    <row r="17014" spans="9:9" x14ac:dyDescent="0.2">
      <c r="I17014" s="137" t="s">
        <v>74</v>
      </c>
    </row>
    <row r="17015" spans="9:9" x14ac:dyDescent="0.2">
      <c r="I17015" s="137" t="s">
        <v>74</v>
      </c>
    </row>
    <row r="17016" spans="9:9" x14ac:dyDescent="0.2">
      <c r="I17016" s="137" t="s">
        <v>74</v>
      </c>
    </row>
    <row r="17017" spans="9:9" x14ac:dyDescent="0.2">
      <c r="I17017" s="137" t="s">
        <v>74</v>
      </c>
    </row>
    <row r="17018" spans="9:9" x14ac:dyDescent="0.2">
      <c r="I17018" s="137" t="s">
        <v>74</v>
      </c>
    </row>
    <row r="17019" spans="9:9" x14ac:dyDescent="0.2">
      <c r="I17019" s="137" t="s">
        <v>74</v>
      </c>
    </row>
    <row r="17020" spans="9:9" x14ac:dyDescent="0.2">
      <c r="I17020" s="137" t="s">
        <v>74</v>
      </c>
    </row>
    <row r="17021" spans="9:9" x14ac:dyDescent="0.2">
      <c r="I17021" s="137" t="s">
        <v>74</v>
      </c>
    </row>
    <row r="17022" spans="9:9" x14ac:dyDescent="0.2">
      <c r="I17022" s="137" t="s">
        <v>74</v>
      </c>
    </row>
    <row r="17023" spans="9:9" x14ac:dyDescent="0.2">
      <c r="I17023" s="137" t="s">
        <v>74</v>
      </c>
    </row>
    <row r="17024" spans="9:9" x14ac:dyDescent="0.2">
      <c r="I17024" s="137" t="s">
        <v>74</v>
      </c>
    </row>
    <row r="17025" spans="9:9" x14ac:dyDescent="0.2">
      <c r="I17025" s="137" t="s">
        <v>74</v>
      </c>
    </row>
    <row r="17026" spans="9:9" x14ac:dyDescent="0.2">
      <c r="I17026" s="137" t="s">
        <v>74</v>
      </c>
    </row>
    <row r="17027" spans="9:9" x14ac:dyDescent="0.2">
      <c r="I17027" s="137" t="s">
        <v>74</v>
      </c>
    </row>
    <row r="17028" spans="9:9" x14ac:dyDescent="0.2">
      <c r="I17028" s="137" t="s">
        <v>74</v>
      </c>
    </row>
    <row r="17029" spans="9:9" x14ac:dyDescent="0.2">
      <c r="I17029" s="137" t="s">
        <v>74</v>
      </c>
    </row>
    <row r="17030" spans="9:9" x14ac:dyDescent="0.2">
      <c r="I17030" s="137" t="s">
        <v>74</v>
      </c>
    </row>
    <row r="17031" spans="9:9" x14ac:dyDescent="0.2">
      <c r="I17031" s="137" t="s">
        <v>74</v>
      </c>
    </row>
    <row r="17032" spans="9:9" x14ac:dyDescent="0.2">
      <c r="I17032" s="137" t="s">
        <v>74</v>
      </c>
    </row>
    <row r="17033" spans="9:9" x14ac:dyDescent="0.2">
      <c r="I17033" s="137" t="s">
        <v>74</v>
      </c>
    </row>
    <row r="17034" spans="9:9" x14ac:dyDescent="0.2">
      <c r="I17034" s="137" t="s">
        <v>74</v>
      </c>
    </row>
    <row r="17035" spans="9:9" x14ac:dyDescent="0.2">
      <c r="I17035" s="137" t="s">
        <v>74</v>
      </c>
    </row>
    <row r="17036" spans="9:9" x14ac:dyDescent="0.2">
      <c r="I17036" s="137" t="s">
        <v>74</v>
      </c>
    </row>
    <row r="17037" spans="9:9" x14ac:dyDescent="0.2">
      <c r="I17037" s="137" t="s">
        <v>74</v>
      </c>
    </row>
    <row r="17038" spans="9:9" x14ac:dyDescent="0.2">
      <c r="I17038" s="137" t="s">
        <v>74</v>
      </c>
    </row>
    <row r="17039" spans="9:9" x14ac:dyDescent="0.2">
      <c r="I17039" s="137" t="s">
        <v>74</v>
      </c>
    </row>
    <row r="17040" spans="9:9" x14ac:dyDescent="0.2">
      <c r="I17040" s="137" t="s">
        <v>74</v>
      </c>
    </row>
    <row r="17041" spans="9:9" x14ac:dyDescent="0.2">
      <c r="I17041" s="137" t="s">
        <v>74</v>
      </c>
    </row>
    <row r="17042" spans="9:9" x14ac:dyDescent="0.2">
      <c r="I17042" s="137" t="s">
        <v>74</v>
      </c>
    </row>
    <row r="17043" spans="9:9" x14ac:dyDescent="0.2">
      <c r="I17043" s="137" t="s">
        <v>74</v>
      </c>
    </row>
    <row r="17044" spans="9:9" x14ac:dyDescent="0.2">
      <c r="I17044" s="137" t="s">
        <v>74</v>
      </c>
    </row>
    <row r="17045" spans="9:9" x14ac:dyDescent="0.2">
      <c r="I17045" s="137" t="s">
        <v>74</v>
      </c>
    </row>
    <row r="17046" spans="9:9" x14ac:dyDescent="0.2">
      <c r="I17046" s="137" t="s">
        <v>74</v>
      </c>
    </row>
    <row r="17047" spans="9:9" x14ac:dyDescent="0.2">
      <c r="I17047" s="137" t="s">
        <v>74</v>
      </c>
    </row>
    <row r="17048" spans="9:9" x14ac:dyDescent="0.2">
      <c r="I17048" s="137" t="s">
        <v>74</v>
      </c>
    </row>
    <row r="17049" spans="9:9" x14ac:dyDescent="0.2">
      <c r="I17049" s="137" t="s">
        <v>74</v>
      </c>
    </row>
    <row r="17050" spans="9:9" x14ac:dyDescent="0.2">
      <c r="I17050" s="137" t="s">
        <v>74</v>
      </c>
    </row>
    <row r="17051" spans="9:9" x14ac:dyDescent="0.2">
      <c r="I17051" s="137" t="s">
        <v>74</v>
      </c>
    </row>
    <row r="17052" spans="9:9" x14ac:dyDescent="0.2">
      <c r="I17052" s="137" t="s">
        <v>74</v>
      </c>
    </row>
    <row r="17053" spans="9:9" x14ac:dyDescent="0.2">
      <c r="I17053" s="137" t="s">
        <v>74</v>
      </c>
    </row>
    <row r="17054" spans="9:9" x14ac:dyDescent="0.2">
      <c r="I17054" s="137" t="s">
        <v>74</v>
      </c>
    </row>
    <row r="17055" spans="9:9" x14ac:dyDescent="0.2">
      <c r="I17055" s="137" t="s">
        <v>74</v>
      </c>
    </row>
    <row r="17056" spans="9:9" x14ac:dyDescent="0.2">
      <c r="I17056" s="137" t="s">
        <v>74</v>
      </c>
    </row>
    <row r="17057" spans="9:9" x14ac:dyDescent="0.2">
      <c r="I17057" s="137" t="s">
        <v>74</v>
      </c>
    </row>
    <row r="17058" spans="9:9" x14ac:dyDescent="0.2">
      <c r="I17058" s="137" t="s">
        <v>74</v>
      </c>
    </row>
    <row r="17059" spans="9:9" x14ac:dyDescent="0.2">
      <c r="I17059" s="137" t="s">
        <v>74</v>
      </c>
    </row>
    <row r="17060" spans="9:9" x14ac:dyDescent="0.2">
      <c r="I17060" s="137" t="s">
        <v>74</v>
      </c>
    </row>
    <row r="17061" spans="9:9" x14ac:dyDescent="0.2">
      <c r="I17061" s="137" t="s">
        <v>74</v>
      </c>
    </row>
    <row r="17062" spans="9:9" x14ac:dyDescent="0.2">
      <c r="I17062" s="137" t="s">
        <v>74</v>
      </c>
    </row>
    <row r="17063" spans="9:9" x14ac:dyDescent="0.2">
      <c r="I17063" s="137" t="s">
        <v>74</v>
      </c>
    </row>
    <row r="17064" spans="9:9" x14ac:dyDescent="0.2">
      <c r="I17064" s="137" t="s">
        <v>74</v>
      </c>
    </row>
    <row r="17065" spans="9:9" x14ac:dyDescent="0.2">
      <c r="I17065" s="137" t="s">
        <v>74</v>
      </c>
    </row>
    <row r="17066" spans="9:9" x14ac:dyDescent="0.2">
      <c r="I17066" s="137" t="s">
        <v>74</v>
      </c>
    </row>
    <row r="17067" spans="9:9" x14ac:dyDescent="0.2">
      <c r="I17067" s="137" t="s">
        <v>74</v>
      </c>
    </row>
    <row r="17068" spans="9:9" x14ac:dyDescent="0.2">
      <c r="I17068" s="137" t="s">
        <v>74</v>
      </c>
    </row>
    <row r="17069" spans="9:9" x14ac:dyDescent="0.2">
      <c r="I17069" s="137" t="s">
        <v>74</v>
      </c>
    </row>
    <row r="17070" spans="9:9" x14ac:dyDescent="0.2">
      <c r="I17070" s="137" t="s">
        <v>74</v>
      </c>
    </row>
    <row r="17071" spans="9:9" x14ac:dyDescent="0.2">
      <c r="I17071" s="137" t="s">
        <v>74</v>
      </c>
    </row>
    <row r="17072" spans="9:9" x14ac:dyDescent="0.2">
      <c r="I17072" s="137" t="s">
        <v>74</v>
      </c>
    </row>
    <row r="17073" spans="9:9" x14ac:dyDescent="0.2">
      <c r="I17073" s="137" t="s">
        <v>74</v>
      </c>
    </row>
    <row r="17074" spans="9:9" x14ac:dyDescent="0.2">
      <c r="I17074" s="137" t="s">
        <v>74</v>
      </c>
    </row>
    <row r="17075" spans="9:9" x14ac:dyDescent="0.2">
      <c r="I17075" s="137" t="s">
        <v>74</v>
      </c>
    </row>
    <row r="17076" spans="9:9" x14ac:dyDescent="0.2">
      <c r="I17076" s="137" t="s">
        <v>74</v>
      </c>
    </row>
    <row r="17077" spans="9:9" x14ac:dyDescent="0.2">
      <c r="I17077" s="137" t="s">
        <v>74</v>
      </c>
    </row>
    <row r="17078" spans="9:9" x14ac:dyDescent="0.2">
      <c r="I17078" s="137" t="s">
        <v>74</v>
      </c>
    </row>
    <row r="17079" spans="9:9" x14ac:dyDescent="0.2">
      <c r="I17079" s="137" t="s">
        <v>74</v>
      </c>
    </row>
    <row r="17080" spans="9:9" x14ac:dyDescent="0.2">
      <c r="I17080" s="137" t="s">
        <v>74</v>
      </c>
    </row>
    <row r="17081" spans="9:9" x14ac:dyDescent="0.2">
      <c r="I17081" s="137" t="s">
        <v>74</v>
      </c>
    </row>
    <row r="17082" spans="9:9" x14ac:dyDescent="0.2">
      <c r="I17082" s="137" t="s">
        <v>74</v>
      </c>
    </row>
    <row r="17083" spans="9:9" x14ac:dyDescent="0.2">
      <c r="I17083" s="137" t="s">
        <v>74</v>
      </c>
    </row>
    <row r="17084" spans="9:9" x14ac:dyDescent="0.2">
      <c r="I17084" s="137" t="s">
        <v>74</v>
      </c>
    </row>
    <row r="17085" spans="9:9" x14ac:dyDescent="0.2">
      <c r="I17085" s="137" t="s">
        <v>74</v>
      </c>
    </row>
    <row r="17086" spans="9:9" x14ac:dyDescent="0.2">
      <c r="I17086" s="137" t="s">
        <v>74</v>
      </c>
    </row>
    <row r="17087" spans="9:9" x14ac:dyDescent="0.2">
      <c r="I17087" s="137" t="s">
        <v>74</v>
      </c>
    </row>
    <row r="17088" spans="9:9" x14ac:dyDescent="0.2">
      <c r="I17088" s="137" t="s">
        <v>74</v>
      </c>
    </row>
    <row r="17089" spans="9:9" x14ac:dyDescent="0.2">
      <c r="I17089" s="137" t="s">
        <v>74</v>
      </c>
    </row>
    <row r="17090" spans="9:9" x14ac:dyDescent="0.2">
      <c r="I17090" s="137" t="s">
        <v>74</v>
      </c>
    </row>
    <row r="17091" spans="9:9" x14ac:dyDescent="0.2">
      <c r="I17091" s="137" t="s">
        <v>74</v>
      </c>
    </row>
    <row r="17092" spans="9:9" x14ac:dyDescent="0.2">
      <c r="I17092" s="137" t="s">
        <v>74</v>
      </c>
    </row>
    <row r="17093" spans="9:9" x14ac:dyDescent="0.2">
      <c r="I17093" s="137" t="s">
        <v>74</v>
      </c>
    </row>
    <row r="17094" spans="9:9" x14ac:dyDescent="0.2">
      <c r="I17094" s="137" t="s">
        <v>74</v>
      </c>
    </row>
    <row r="17095" spans="9:9" x14ac:dyDescent="0.2">
      <c r="I17095" s="137" t="s">
        <v>74</v>
      </c>
    </row>
    <row r="17096" spans="9:9" x14ac:dyDescent="0.2">
      <c r="I17096" s="137" t="s">
        <v>74</v>
      </c>
    </row>
    <row r="17097" spans="9:9" x14ac:dyDescent="0.2">
      <c r="I17097" s="137" t="s">
        <v>74</v>
      </c>
    </row>
    <row r="17098" spans="9:9" x14ac:dyDescent="0.2">
      <c r="I17098" s="137" t="s">
        <v>74</v>
      </c>
    </row>
    <row r="17099" spans="9:9" x14ac:dyDescent="0.2">
      <c r="I17099" s="137" t="s">
        <v>74</v>
      </c>
    </row>
    <row r="17100" spans="9:9" x14ac:dyDescent="0.2">
      <c r="I17100" s="137" t="s">
        <v>74</v>
      </c>
    </row>
    <row r="17101" spans="9:9" x14ac:dyDescent="0.2">
      <c r="I17101" s="137" t="s">
        <v>74</v>
      </c>
    </row>
    <row r="17102" spans="9:9" x14ac:dyDescent="0.2">
      <c r="I17102" s="137" t="s">
        <v>74</v>
      </c>
    </row>
    <row r="17103" spans="9:9" x14ac:dyDescent="0.2">
      <c r="I17103" s="137" t="s">
        <v>74</v>
      </c>
    </row>
    <row r="17104" spans="9:9" x14ac:dyDescent="0.2">
      <c r="I17104" s="137" t="s">
        <v>74</v>
      </c>
    </row>
    <row r="17105" spans="9:9" x14ac:dyDescent="0.2">
      <c r="I17105" s="137" t="s">
        <v>74</v>
      </c>
    </row>
    <row r="17106" spans="9:9" x14ac:dyDescent="0.2">
      <c r="I17106" s="137" t="s">
        <v>74</v>
      </c>
    </row>
    <row r="17107" spans="9:9" x14ac:dyDescent="0.2">
      <c r="I17107" s="137" t="s">
        <v>74</v>
      </c>
    </row>
    <row r="17108" spans="9:9" x14ac:dyDescent="0.2">
      <c r="I17108" s="137" t="s">
        <v>74</v>
      </c>
    </row>
    <row r="17109" spans="9:9" x14ac:dyDescent="0.2">
      <c r="I17109" s="137" t="s">
        <v>74</v>
      </c>
    </row>
    <row r="17110" spans="9:9" x14ac:dyDescent="0.2">
      <c r="I17110" s="137" t="s">
        <v>74</v>
      </c>
    </row>
    <row r="17111" spans="9:9" x14ac:dyDescent="0.2">
      <c r="I17111" s="137" t="s">
        <v>74</v>
      </c>
    </row>
    <row r="17112" spans="9:9" x14ac:dyDescent="0.2">
      <c r="I17112" s="137" t="s">
        <v>74</v>
      </c>
    </row>
    <row r="17113" spans="9:9" x14ac:dyDescent="0.2">
      <c r="I17113" s="137" t="s">
        <v>74</v>
      </c>
    </row>
    <row r="17114" spans="9:9" x14ac:dyDescent="0.2">
      <c r="I17114" s="137" t="s">
        <v>74</v>
      </c>
    </row>
    <row r="17115" spans="9:9" x14ac:dyDescent="0.2">
      <c r="I17115" s="137" t="s">
        <v>74</v>
      </c>
    </row>
    <row r="17116" spans="9:9" x14ac:dyDescent="0.2">
      <c r="I17116" s="137" t="s">
        <v>74</v>
      </c>
    </row>
    <row r="17117" spans="9:9" x14ac:dyDescent="0.2">
      <c r="I17117" s="137" t="s">
        <v>74</v>
      </c>
    </row>
    <row r="17118" spans="9:9" x14ac:dyDescent="0.2">
      <c r="I17118" s="137" t="s">
        <v>74</v>
      </c>
    </row>
    <row r="17119" spans="9:9" x14ac:dyDescent="0.2">
      <c r="I17119" s="137" t="s">
        <v>74</v>
      </c>
    </row>
    <row r="17120" spans="9:9" x14ac:dyDescent="0.2">
      <c r="I17120" s="137" t="s">
        <v>74</v>
      </c>
    </row>
    <row r="17121" spans="9:9" x14ac:dyDescent="0.2">
      <c r="I17121" s="137" t="s">
        <v>74</v>
      </c>
    </row>
    <row r="17122" spans="9:9" x14ac:dyDescent="0.2">
      <c r="I17122" s="137" t="s">
        <v>74</v>
      </c>
    </row>
    <row r="17123" spans="9:9" x14ac:dyDescent="0.2">
      <c r="I17123" s="137" t="s">
        <v>74</v>
      </c>
    </row>
    <row r="17124" spans="9:9" x14ac:dyDescent="0.2">
      <c r="I17124" s="137" t="s">
        <v>74</v>
      </c>
    </row>
    <row r="17125" spans="9:9" x14ac:dyDescent="0.2">
      <c r="I17125" s="137" t="s">
        <v>74</v>
      </c>
    </row>
    <row r="17126" spans="9:9" x14ac:dyDescent="0.2">
      <c r="I17126" s="137" t="s">
        <v>74</v>
      </c>
    </row>
    <row r="17127" spans="9:9" x14ac:dyDescent="0.2">
      <c r="I17127" s="137" t="s">
        <v>74</v>
      </c>
    </row>
    <row r="17128" spans="9:9" x14ac:dyDescent="0.2">
      <c r="I17128" s="137" t="s">
        <v>74</v>
      </c>
    </row>
    <row r="17129" spans="9:9" x14ac:dyDescent="0.2">
      <c r="I17129" s="137" t="s">
        <v>74</v>
      </c>
    </row>
    <row r="17130" spans="9:9" x14ac:dyDescent="0.2">
      <c r="I17130" s="137" t="s">
        <v>74</v>
      </c>
    </row>
    <row r="17131" spans="9:9" x14ac:dyDescent="0.2">
      <c r="I17131" s="137" t="s">
        <v>74</v>
      </c>
    </row>
    <row r="17132" spans="9:9" x14ac:dyDescent="0.2">
      <c r="I17132" s="137" t="s">
        <v>74</v>
      </c>
    </row>
    <row r="17133" spans="9:9" x14ac:dyDescent="0.2">
      <c r="I17133" s="137" t="s">
        <v>74</v>
      </c>
    </row>
    <row r="17134" spans="9:9" x14ac:dyDescent="0.2">
      <c r="I17134" s="137" t="s">
        <v>74</v>
      </c>
    </row>
    <row r="17135" spans="9:9" x14ac:dyDescent="0.2">
      <c r="I17135" s="137" t="s">
        <v>74</v>
      </c>
    </row>
    <row r="17136" spans="9:9" x14ac:dyDescent="0.2">
      <c r="I17136" s="137" t="s">
        <v>74</v>
      </c>
    </row>
    <row r="17137" spans="9:9" x14ac:dyDescent="0.2">
      <c r="I17137" s="137" t="s">
        <v>74</v>
      </c>
    </row>
    <row r="17138" spans="9:9" x14ac:dyDescent="0.2">
      <c r="I17138" s="137" t="s">
        <v>74</v>
      </c>
    </row>
    <row r="17139" spans="9:9" x14ac:dyDescent="0.2">
      <c r="I17139" s="137" t="s">
        <v>74</v>
      </c>
    </row>
    <row r="17140" spans="9:9" x14ac:dyDescent="0.2">
      <c r="I17140" s="137" t="s">
        <v>74</v>
      </c>
    </row>
    <row r="17141" spans="9:9" x14ac:dyDescent="0.2">
      <c r="I17141" s="137" t="s">
        <v>74</v>
      </c>
    </row>
    <row r="17142" spans="9:9" x14ac:dyDescent="0.2">
      <c r="I17142" s="137" t="s">
        <v>74</v>
      </c>
    </row>
    <row r="17143" spans="9:9" x14ac:dyDescent="0.2">
      <c r="I17143" s="137" t="s">
        <v>74</v>
      </c>
    </row>
    <row r="17144" spans="9:9" x14ac:dyDescent="0.2">
      <c r="I17144" s="137" t="s">
        <v>74</v>
      </c>
    </row>
    <row r="17145" spans="9:9" x14ac:dyDescent="0.2">
      <c r="I17145" s="137" t="s">
        <v>74</v>
      </c>
    </row>
    <row r="17146" spans="9:9" x14ac:dyDescent="0.2">
      <c r="I17146" s="137" t="s">
        <v>74</v>
      </c>
    </row>
    <row r="17147" spans="9:9" x14ac:dyDescent="0.2">
      <c r="I17147" s="137" t="s">
        <v>74</v>
      </c>
    </row>
    <row r="17148" spans="9:9" x14ac:dyDescent="0.2">
      <c r="I17148" s="137" t="s">
        <v>74</v>
      </c>
    </row>
    <row r="17149" spans="9:9" x14ac:dyDescent="0.2">
      <c r="I17149" s="137" t="s">
        <v>74</v>
      </c>
    </row>
    <row r="17150" spans="9:9" x14ac:dyDescent="0.2">
      <c r="I17150" s="137" t="s">
        <v>74</v>
      </c>
    </row>
    <row r="17151" spans="9:9" x14ac:dyDescent="0.2">
      <c r="I17151" s="137" t="s">
        <v>74</v>
      </c>
    </row>
    <row r="17152" spans="9:9" x14ac:dyDescent="0.2">
      <c r="I17152" s="137" t="s">
        <v>74</v>
      </c>
    </row>
    <row r="17153" spans="9:9" x14ac:dyDescent="0.2">
      <c r="I17153" s="137" t="s">
        <v>74</v>
      </c>
    </row>
    <row r="17154" spans="9:9" x14ac:dyDescent="0.2">
      <c r="I17154" s="137" t="s">
        <v>74</v>
      </c>
    </row>
    <row r="17155" spans="9:9" x14ac:dyDescent="0.2">
      <c r="I17155" s="137" t="s">
        <v>74</v>
      </c>
    </row>
    <row r="17156" spans="9:9" x14ac:dyDescent="0.2">
      <c r="I17156" s="137" t="s">
        <v>74</v>
      </c>
    </row>
    <row r="17157" spans="9:9" x14ac:dyDescent="0.2">
      <c r="I17157" s="137" t="s">
        <v>74</v>
      </c>
    </row>
    <row r="17158" spans="9:9" x14ac:dyDescent="0.2">
      <c r="I17158" s="137" t="s">
        <v>74</v>
      </c>
    </row>
    <row r="17159" spans="9:9" x14ac:dyDescent="0.2">
      <c r="I17159" s="137" t="s">
        <v>74</v>
      </c>
    </row>
    <row r="17160" spans="9:9" x14ac:dyDescent="0.2">
      <c r="I17160" s="137" t="s">
        <v>74</v>
      </c>
    </row>
    <row r="17161" spans="9:9" x14ac:dyDescent="0.2">
      <c r="I17161" s="137" t="s">
        <v>74</v>
      </c>
    </row>
    <row r="17162" spans="9:9" x14ac:dyDescent="0.2">
      <c r="I17162" s="137" t="s">
        <v>74</v>
      </c>
    </row>
    <row r="17163" spans="9:9" x14ac:dyDescent="0.2">
      <c r="I17163" s="137" t="s">
        <v>74</v>
      </c>
    </row>
    <row r="17164" spans="9:9" x14ac:dyDescent="0.2">
      <c r="I17164" s="137" t="s">
        <v>74</v>
      </c>
    </row>
    <row r="17165" spans="9:9" x14ac:dyDescent="0.2">
      <c r="I17165" s="137" t="s">
        <v>74</v>
      </c>
    </row>
    <row r="17166" spans="9:9" x14ac:dyDescent="0.2">
      <c r="I17166" s="137" t="s">
        <v>74</v>
      </c>
    </row>
    <row r="17167" spans="9:9" x14ac:dyDescent="0.2">
      <c r="I17167" s="137" t="s">
        <v>74</v>
      </c>
    </row>
    <row r="17168" spans="9:9" x14ac:dyDescent="0.2">
      <c r="I17168" s="137" t="s">
        <v>74</v>
      </c>
    </row>
    <row r="17169" spans="9:9" x14ac:dyDescent="0.2">
      <c r="I17169" s="137" t="s">
        <v>74</v>
      </c>
    </row>
    <row r="17170" spans="9:9" x14ac:dyDescent="0.2">
      <c r="I17170" s="137" t="s">
        <v>74</v>
      </c>
    </row>
    <row r="17171" spans="9:9" x14ac:dyDescent="0.2">
      <c r="I17171" s="137" t="s">
        <v>74</v>
      </c>
    </row>
    <row r="17172" spans="9:9" x14ac:dyDescent="0.2">
      <c r="I17172" s="137" t="s">
        <v>74</v>
      </c>
    </row>
    <row r="17173" spans="9:9" x14ac:dyDescent="0.2">
      <c r="I17173" s="137" t="s">
        <v>74</v>
      </c>
    </row>
    <row r="17174" spans="9:9" x14ac:dyDescent="0.2">
      <c r="I17174" s="137" t="s">
        <v>74</v>
      </c>
    </row>
    <row r="17175" spans="9:9" x14ac:dyDescent="0.2">
      <c r="I17175" s="137" t="s">
        <v>74</v>
      </c>
    </row>
    <row r="17176" spans="9:9" x14ac:dyDescent="0.2">
      <c r="I17176" s="137" t="s">
        <v>74</v>
      </c>
    </row>
    <row r="17177" spans="9:9" x14ac:dyDescent="0.2">
      <c r="I17177" s="137" t="s">
        <v>74</v>
      </c>
    </row>
    <row r="17178" spans="9:9" x14ac:dyDescent="0.2">
      <c r="I17178" s="137" t="s">
        <v>74</v>
      </c>
    </row>
    <row r="17179" spans="9:9" x14ac:dyDescent="0.2">
      <c r="I17179" s="137" t="s">
        <v>74</v>
      </c>
    </row>
    <row r="17180" spans="9:9" x14ac:dyDescent="0.2">
      <c r="I17180" s="137" t="s">
        <v>74</v>
      </c>
    </row>
    <row r="17181" spans="9:9" x14ac:dyDescent="0.2">
      <c r="I17181" s="137" t="s">
        <v>74</v>
      </c>
    </row>
    <row r="17182" spans="9:9" x14ac:dyDescent="0.2">
      <c r="I17182" s="137" t="s">
        <v>74</v>
      </c>
    </row>
    <row r="17183" spans="9:9" x14ac:dyDescent="0.2">
      <c r="I17183" s="137" t="s">
        <v>74</v>
      </c>
    </row>
    <row r="17184" spans="9:9" x14ac:dyDescent="0.2">
      <c r="I17184" s="137" t="s">
        <v>74</v>
      </c>
    </row>
    <row r="17185" spans="9:9" x14ac:dyDescent="0.2">
      <c r="I17185" s="137" t="s">
        <v>74</v>
      </c>
    </row>
    <row r="17186" spans="9:9" x14ac:dyDescent="0.2">
      <c r="I17186" s="137" t="s">
        <v>74</v>
      </c>
    </row>
    <row r="17187" spans="9:9" x14ac:dyDescent="0.2">
      <c r="I17187" s="137" t="s">
        <v>74</v>
      </c>
    </row>
    <row r="17188" spans="9:9" x14ac:dyDescent="0.2">
      <c r="I17188" s="137" t="s">
        <v>74</v>
      </c>
    </row>
    <row r="17189" spans="9:9" x14ac:dyDescent="0.2">
      <c r="I17189" s="137" t="s">
        <v>74</v>
      </c>
    </row>
    <row r="17190" spans="9:9" x14ac:dyDescent="0.2">
      <c r="I17190" s="137" t="s">
        <v>74</v>
      </c>
    </row>
    <row r="17191" spans="9:9" x14ac:dyDescent="0.2">
      <c r="I17191" s="137" t="s">
        <v>74</v>
      </c>
    </row>
    <row r="17192" spans="9:9" x14ac:dyDescent="0.2">
      <c r="I17192" s="137" t="s">
        <v>74</v>
      </c>
    </row>
    <row r="17193" spans="9:9" x14ac:dyDescent="0.2">
      <c r="I17193" s="137" t="s">
        <v>74</v>
      </c>
    </row>
    <row r="17194" spans="9:9" x14ac:dyDescent="0.2">
      <c r="I17194" s="137" t="s">
        <v>74</v>
      </c>
    </row>
    <row r="17195" spans="9:9" x14ac:dyDescent="0.2">
      <c r="I17195" s="137" t="s">
        <v>74</v>
      </c>
    </row>
    <row r="17196" spans="9:9" x14ac:dyDescent="0.2">
      <c r="I17196" s="137" t="s">
        <v>74</v>
      </c>
    </row>
    <row r="17197" spans="9:9" x14ac:dyDescent="0.2">
      <c r="I17197" s="137" t="s">
        <v>74</v>
      </c>
    </row>
    <row r="17198" spans="9:9" x14ac:dyDescent="0.2">
      <c r="I17198" s="137" t="s">
        <v>74</v>
      </c>
    </row>
    <row r="17199" spans="9:9" x14ac:dyDescent="0.2">
      <c r="I17199" s="137" t="s">
        <v>74</v>
      </c>
    </row>
    <row r="17200" spans="9:9" x14ac:dyDescent="0.2">
      <c r="I17200" s="137" t="s">
        <v>74</v>
      </c>
    </row>
    <row r="17201" spans="9:9" x14ac:dyDescent="0.2">
      <c r="I17201" s="137" t="s">
        <v>74</v>
      </c>
    </row>
    <row r="17202" spans="9:9" x14ac:dyDescent="0.2">
      <c r="I17202" s="137" t="s">
        <v>74</v>
      </c>
    </row>
    <row r="17203" spans="9:9" x14ac:dyDescent="0.2">
      <c r="I17203" s="137" t="s">
        <v>74</v>
      </c>
    </row>
    <row r="17204" spans="9:9" x14ac:dyDescent="0.2">
      <c r="I17204" s="137" t="s">
        <v>74</v>
      </c>
    </row>
    <row r="17205" spans="9:9" x14ac:dyDescent="0.2">
      <c r="I17205" s="137" t="s">
        <v>74</v>
      </c>
    </row>
    <row r="17206" spans="9:9" x14ac:dyDescent="0.2">
      <c r="I17206" s="137" t="s">
        <v>74</v>
      </c>
    </row>
    <row r="17207" spans="9:9" x14ac:dyDescent="0.2">
      <c r="I17207" s="137" t="s">
        <v>74</v>
      </c>
    </row>
    <row r="17208" spans="9:9" x14ac:dyDescent="0.2">
      <c r="I17208" s="137" t="s">
        <v>74</v>
      </c>
    </row>
    <row r="17209" spans="9:9" x14ac:dyDescent="0.2">
      <c r="I17209" s="137" t="s">
        <v>74</v>
      </c>
    </row>
    <row r="17210" spans="9:9" x14ac:dyDescent="0.2">
      <c r="I17210" s="137" t="s">
        <v>74</v>
      </c>
    </row>
    <row r="17211" spans="9:9" x14ac:dyDescent="0.2">
      <c r="I17211" s="137" t="s">
        <v>74</v>
      </c>
    </row>
    <row r="17212" spans="9:9" x14ac:dyDescent="0.2">
      <c r="I17212" s="137" t="s">
        <v>74</v>
      </c>
    </row>
    <row r="17213" spans="9:9" x14ac:dyDescent="0.2">
      <c r="I17213" s="137" t="s">
        <v>74</v>
      </c>
    </row>
    <row r="17214" spans="9:9" x14ac:dyDescent="0.2">
      <c r="I17214" s="137" t="s">
        <v>74</v>
      </c>
    </row>
    <row r="17215" spans="9:9" x14ac:dyDescent="0.2">
      <c r="I17215" s="137" t="s">
        <v>74</v>
      </c>
    </row>
    <row r="17216" spans="9:9" x14ac:dyDescent="0.2">
      <c r="I17216" s="137" t="s">
        <v>74</v>
      </c>
    </row>
    <row r="17217" spans="9:9" x14ac:dyDescent="0.2">
      <c r="I17217" s="137" t="s">
        <v>74</v>
      </c>
    </row>
    <row r="17218" spans="9:9" x14ac:dyDescent="0.2">
      <c r="I17218" s="137" t="s">
        <v>74</v>
      </c>
    </row>
    <row r="17219" spans="9:9" x14ac:dyDescent="0.2">
      <c r="I17219" s="137" t="s">
        <v>74</v>
      </c>
    </row>
    <row r="17220" spans="9:9" x14ac:dyDescent="0.2">
      <c r="I17220" s="137" t="s">
        <v>74</v>
      </c>
    </row>
    <row r="17221" spans="9:9" x14ac:dyDescent="0.2">
      <c r="I17221" s="137" t="s">
        <v>74</v>
      </c>
    </row>
    <row r="17222" spans="9:9" x14ac:dyDescent="0.2">
      <c r="I17222" s="137" t="s">
        <v>74</v>
      </c>
    </row>
    <row r="17223" spans="9:9" x14ac:dyDescent="0.2">
      <c r="I17223" s="137" t="s">
        <v>74</v>
      </c>
    </row>
    <row r="17224" spans="9:9" x14ac:dyDescent="0.2">
      <c r="I17224" s="137" t="s">
        <v>74</v>
      </c>
    </row>
    <row r="17225" spans="9:9" x14ac:dyDescent="0.2">
      <c r="I17225" s="137" t="s">
        <v>74</v>
      </c>
    </row>
    <row r="17226" spans="9:9" x14ac:dyDescent="0.2">
      <c r="I17226" s="137" t="s">
        <v>74</v>
      </c>
    </row>
    <row r="17227" spans="9:9" x14ac:dyDescent="0.2">
      <c r="I17227" s="137" t="s">
        <v>74</v>
      </c>
    </row>
    <row r="17228" spans="9:9" x14ac:dyDescent="0.2">
      <c r="I17228" s="137" t="s">
        <v>74</v>
      </c>
    </row>
    <row r="17229" spans="9:9" x14ac:dyDescent="0.2">
      <c r="I17229" s="137" t="s">
        <v>74</v>
      </c>
    </row>
    <row r="17230" spans="9:9" x14ac:dyDescent="0.2">
      <c r="I17230" s="137" t="s">
        <v>74</v>
      </c>
    </row>
    <row r="17231" spans="9:9" x14ac:dyDescent="0.2">
      <c r="I17231" s="137" t="s">
        <v>74</v>
      </c>
    </row>
    <row r="17232" spans="9:9" x14ac:dyDescent="0.2">
      <c r="I17232" s="137" t="s">
        <v>74</v>
      </c>
    </row>
    <row r="17233" spans="9:9" x14ac:dyDescent="0.2">
      <c r="I17233" s="137" t="s">
        <v>74</v>
      </c>
    </row>
    <row r="17234" spans="9:9" x14ac:dyDescent="0.2">
      <c r="I17234" s="137" t="s">
        <v>74</v>
      </c>
    </row>
    <row r="17235" spans="9:9" x14ac:dyDescent="0.2">
      <c r="I17235" s="137" t="s">
        <v>74</v>
      </c>
    </row>
    <row r="17236" spans="9:9" x14ac:dyDescent="0.2">
      <c r="I17236" s="137" t="s">
        <v>74</v>
      </c>
    </row>
    <row r="17237" spans="9:9" x14ac:dyDescent="0.2">
      <c r="I17237" s="137" t="s">
        <v>74</v>
      </c>
    </row>
    <row r="17238" spans="9:9" x14ac:dyDescent="0.2">
      <c r="I17238" s="137" t="s">
        <v>74</v>
      </c>
    </row>
    <row r="17239" spans="9:9" x14ac:dyDescent="0.2">
      <c r="I17239" s="137" t="s">
        <v>74</v>
      </c>
    </row>
    <row r="17240" spans="9:9" x14ac:dyDescent="0.2">
      <c r="I17240" s="137" t="s">
        <v>74</v>
      </c>
    </row>
    <row r="17241" spans="9:9" x14ac:dyDescent="0.2">
      <c r="I17241" s="137" t="s">
        <v>74</v>
      </c>
    </row>
    <row r="17242" spans="9:9" x14ac:dyDescent="0.2">
      <c r="I17242" s="137" t="s">
        <v>74</v>
      </c>
    </row>
    <row r="17243" spans="9:9" x14ac:dyDescent="0.2">
      <c r="I17243" s="137" t="s">
        <v>74</v>
      </c>
    </row>
    <row r="17244" spans="9:9" x14ac:dyDescent="0.2">
      <c r="I17244" s="137" t="s">
        <v>74</v>
      </c>
    </row>
    <row r="17245" spans="9:9" x14ac:dyDescent="0.2">
      <c r="I17245" s="137" t="s">
        <v>74</v>
      </c>
    </row>
    <row r="17246" spans="9:9" x14ac:dyDescent="0.2">
      <c r="I17246" s="137" t="s">
        <v>74</v>
      </c>
    </row>
    <row r="17247" spans="9:9" x14ac:dyDescent="0.2">
      <c r="I17247" s="137" t="s">
        <v>74</v>
      </c>
    </row>
    <row r="17248" spans="9:9" x14ac:dyDescent="0.2">
      <c r="I17248" s="137" t="s">
        <v>74</v>
      </c>
    </row>
    <row r="17249" spans="9:9" x14ac:dyDescent="0.2">
      <c r="I17249" s="137" t="s">
        <v>74</v>
      </c>
    </row>
    <row r="17250" spans="9:9" x14ac:dyDescent="0.2">
      <c r="I17250" s="137" t="s">
        <v>74</v>
      </c>
    </row>
    <row r="17251" spans="9:9" x14ac:dyDescent="0.2">
      <c r="I17251" s="137" t="s">
        <v>74</v>
      </c>
    </row>
    <row r="17252" spans="9:9" x14ac:dyDescent="0.2">
      <c r="I17252" s="137" t="s">
        <v>74</v>
      </c>
    </row>
    <row r="17253" spans="9:9" x14ac:dyDescent="0.2">
      <c r="I17253" s="137" t="s">
        <v>74</v>
      </c>
    </row>
    <row r="17254" spans="9:9" x14ac:dyDescent="0.2">
      <c r="I17254" s="137" t="s">
        <v>74</v>
      </c>
    </row>
    <row r="17255" spans="9:9" x14ac:dyDescent="0.2">
      <c r="I17255" s="137" t="s">
        <v>74</v>
      </c>
    </row>
    <row r="17256" spans="9:9" x14ac:dyDescent="0.2">
      <c r="I17256" s="137" t="s">
        <v>74</v>
      </c>
    </row>
    <row r="17257" spans="9:9" x14ac:dyDescent="0.2">
      <c r="I17257" s="137" t="s">
        <v>74</v>
      </c>
    </row>
    <row r="17258" spans="9:9" x14ac:dyDescent="0.2">
      <c r="I17258" s="137" t="s">
        <v>74</v>
      </c>
    </row>
    <row r="17259" spans="9:9" x14ac:dyDescent="0.2">
      <c r="I17259" s="137" t="s">
        <v>74</v>
      </c>
    </row>
    <row r="17260" spans="9:9" x14ac:dyDescent="0.2">
      <c r="I17260" s="137" t="s">
        <v>74</v>
      </c>
    </row>
    <row r="17261" spans="9:9" x14ac:dyDescent="0.2">
      <c r="I17261" s="137" t="s">
        <v>74</v>
      </c>
    </row>
    <row r="17262" spans="9:9" x14ac:dyDescent="0.2">
      <c r="I17262" s="137" t="s">
        <v>74</v>
      </c>
    </row>
    <row r="17263" spans="9:9" x14ac:dyDescent="0.2">
      <c r="I17263" s="137" t="s">
        <v>74</v>
      </c>
    </row>
    <row r="17264" spans="9:9" x14ac:dyDescent="0.2">
      <c r="I17264" s="137" t="s">
        <v>74</v>
      </c>
    </row>
    <row r="17265" spans="9:9" x14ac:dyDescent="0.2">
      <c r="I17265" s="137" t="s">
        <v>74</v>
      </c>
    </row>
    <row r="17266" spans="9:9" x14ac:dyDescent="0.2">
      <c r="I17266" s="137" t="s">
        <v>74</v>
      </c>
    </row>
    <row r="17267" spans="9:9" x14ac:dyDescent="0.2">
      <c r="I17267" s="137" t="s">
        <v>74</v>
      </c>
    </row>
    <row r="17268" spans="9:9" x14ac:dyDescent="0.2">
      <c r="I17268" s="137" t="s">
        <v>74</v>
      </c>
    </row>
    <row r="17269" spans="9:9" x14ac:dyDescent="0.2">
      <c r="I17269" s="137" t="s">
        <v>74</v>
      </c>
    </row>
    <row r="17270" spans="9:9" x14ac:dyDescent="0.2">
      <c r="I17270" s="137" t="s">
        <v>74</v>
      </c>
    </row>
    <row r="17271" spans="9:9" x14ac:dyDescent="0.2">
      <c r="I17271" s="137" t="s">
        <v>74</v>
      </c>
    </row>
    <row r="17272" spans="9:9" x14ac:dyDescent="0.2">
      <c r="I17272" s="137" t="s">
        <v>74</v>
      </c>
    </row>
    <row r="17273" spans="9:9" x14ac:dyDescent="0.2">
      <c r="I17273" s="137" t="s">
        <v>74</v>
      </c>
    </row>
    <row r="17274" spans="9:9" x14ac:dyDescent="0.2">
      <c r="I17274" s="137" t="s">
        <v>74</v>
      </c>
    </row>
    <row r="17275" spans="9:9" x14ac:dyDescent="0.2">
      <c r="I17275" s="137" t="s">
        <v>74</v>
      </c>
    </row>
    <row r="17276" spans="9:9" x14ac:dyDescent="0.2">
      <c r="I17276" s="137" t="s">
        <v>74</v>
      </c>
    </row>
    <row r="17277" spans="9:9" x14ac:dyDescent="0.2">
      <c r="I17277" s="137" t="s">
        <v>74</v>
      </c>
    </row>
    <row r="17278" spans="9:9" x14ac:dyDescent="0.2">
      <c r="I17278" s="137" t="s">
        <v>74</v>
      </c>
    </row>
    <row r="17279" spans="9:9" x14ac:dyDescent="0.2">
      <c r="I17279" s="137" t="s">
        <v>74</v>
      </c>
    </row>
    <row r="17280" spans="9:9" x14ac:dyDescent="0.2">
      <c r="I17280" s="137" t="s">
        <v>74</v>
      </c>
    </row>
    <row r="17281" spans="9:9" x14ac:dyDescent="0.2">
      <c r="I17281" s="137" t="s">
        <v>74</v>
      </c>
    </row>
    <row r="17282" spans="9:9" x14ac:dyDescent="0.2">
      <c r="I17282" s="137" t="s">
        <v>74</v>
      </c>
    </row>
    <row r="17283" spans="9:9" x14ac:dyDescent="0.2">
      <c r="I17283" s="137" t="s">
        <v>74</v>
      </c>
    </row>
    <row r="17284" spans="9:9" x14ac:dyDescent="0.2">
      <c r="I17284" s="137" t="s">
        <v>74</v>
      </c>
    </row>
    <row r="17285" spans="9:9" x14ac:dyDescent="0.2">
      <c r="I17285" s="137" t="s">
        <v>74</v>
      </c>
    </row>
    <row r="17286" spans="9:9" x14ac:dyDescent="0.2">
      <c r="I17286" s="137" t="s">
        <v>74</v>
      </c>
    </row>
    <row r="17287" spans="9:9" x14ac:dyDescent="0.2">
      <c r="I17287" s="137" t="s">
        <v>74</v>
      </c>
    </row>
    <row r="17288" spans="9:9" x14ac:dyDescent="0.2">
      <c r="I17288" s="137" t="s">
        <v>74</v>
      </c>
    </row>
    <row r="17289" spans="9:9" x14ac:dyDescent="0.2">
      <c r="I17289" s="137" t="s">
        <v>74</v>
      </c>
    </row>
    <row r="17290" spans="9:9" x14ac:dyDescent="0.2">
      <c r="I17290" s="137" t="s">
        <v>74</v>
      </c>
    </row>
    <row r="17291" spans="9:9" x14ac:dyDescent="0.2">
      <c r="I17291" s="137" t="s">
        <v>74</v>
      </c>
    </row>
    <row r="17292" spans="9:9" x14ac:dyDescent="0.2">
      <c r="I17292" s="137" t="s">
        <v>74</v>
      </c>
    </row>
    <row r="17293" spans="9:9" x14ac:dyDescent="0.2">
      <c r="I17293" s="137" t="s">
        <v>74</v>
      </c>
    </row>
    <row r="17294" spans="9:9" x14ac:dyDescent="0.2">
      <c r="I17294" s="137" t="s">
        <v>74</v>
      </c>
    </row>
    <row r="17295" spans="9:9" x14ac:dyDescent="0.2">
      <c r="I17295" s="137" t="s">
        <v>74</v>
      </c>
    </row>
    <row r="17296" spans="9:9" x14ac:dyDescent="0.2">
      <c r="I17296" s="137" t="s">
        <v>74</v>
      </c>
    </row>
    <row r="17297" spans="9:9" x14ac:dyDescent="0.2">
      <c r="I17297" s="137" t="s">
        <v>74</v>
      </c>
    </row>
    <row r="17298" spans="9:9" x14ac:dyDescent="0.2">
      <c r="I17298" s="137" t="s">
        <v>74</v>
      </c>
    </row>
    <row r="17299" spans="9:9" x14ac:dyDescent="0.2">
      <c r="I17299" s="137" t="s">
        <v>74</v>
      </c>
    </row>
    <row r="17300" spans="9:9" x14ac:dyDescent="0.2">
      <c r="I17300" s="137" t="s">
        <v>74</v>
      </c>
    </row>
    <row r="17301" spans="9:9" x14ac:dyDescent="0.2">
      <c r="I17301" s="137" t="s">
        <v>74</v>
      </c>
    </row>
    <row r="17302" spans="9:9" x14ac:dyDescent="0.2">
      <c r="I17302" s="137" t="s">
        <v>74</v>
      </c>
    </row>
    <row r="17303" spans="9:9" x14ac:dyDescent="0.2">
      <c r="I17303" s="137" t="s">
        <v>74</v>
      </c>
    </row>
    <row r="17304" spans="9:9" x14ac:dyDescent="0.2">
      <c r="I17304" s="137" t="s">
        <v>74</v>
      </c>
    </row>
    <row r="17305" spans="9:9" x14ac:dyDescent="0.2">
      <c r="I17305" s="137" t="s">
        <v>74</v>
      </c>
    </row>
    <row r="17306" spans="9:9" x14ac:dyDescent="0.2">
      <c r="I17306" s="137" t="s">
        <v>74</v>
      </c>
    </row>
    <row r="17307" spans="9:9" x14ac:dyDescent="0.2">
      <c r="I17307" s="137" t="s">
        <v>74</v>
      </c>
    </row>
    <row r="17308" spans="9:9" x14ac:dyDescent="0.2">
      <c r="I17308" s="137" t="s">
        <v>74</v>
      </c>
    </row>
    <row r="17309" spans="9:9" x14ac:dyDescent="0.2">
      <c r="I17309" s="137" t="s">
        <v>74</v>
      </c>
    </row>
    <row r="17310" spans="9:9" x14ac:dyDescent="0.2">
      <c r="I17310" s="137" t="s">
        <v>74</v>
      </c>
    </row>
    <row r="17311" spans="9:9" x14ac:dyDescent="0.2">
      <c r="I17311" s="137" t="s">
        <v>74</v>
      </c>
    </row>
    <row r="17312" spans="9:9" x14ac:dyDescent="0.2">
      <c r="I17312" s="137" t="s">
        <v>74</v>
      </c>
    </row>
    <row r="17313" spans="9:9" x14ac:dyDescent="0.2">
      <c r="I17313" s="137" t="s">
        <v>74</v>
      </c>
    </row>
    <row r="17314" spans="9:9" x14ac:dyDescent="0.2">
      <c r="I17314" s="137" t="s">
        <v>74</v>
      </c>
    </row>
    <row r="17315" spans="9:9" x14ac:dyDescent="0.2">
      <c r="I17315" s="137" t="s">
        <v>74</v>
      </c>
    </row>
    <row r="17316" spans="9:9" x14ac:dyDescent="0.2">
      <c r="I17316" s="137" t="s">
        <v>74</v>
      </c>
    </row>
    <row r="17317" spans="9:9" x14ac:dyDescent="0.2">
      <c r="I17317" s="137" t="s">
        <v>74</v>
      </c>
    </row>
    <row r="17318" spans="9:9" x14ac:dyDescent="0.2">
      <c r="I17318" s="137" t="s">
        <v>74</v>
      </c>
    </row>
    <row r="17319" spans="9:9" x14ac:dyDescent="0.2">
      <c r="I17319" s="137" t="s">
        <v>74</v>
      </c>
    </row>
    <row r="17320" spans="9:9" x14ac:dyDescent="0.2">
      <c r="I17320" s="137" t="s">
        <v>74</v>
      </c>
    </row>
    <row r="17321" spans="9:9" x14ac:dyDescent="0.2">
      <c r="I17321" s="137" t="s">
        <v>74</v>
      </c>
    </row>
    <row r="17322" spans="9:9" x14ac:dyDescent="0.2">
      <c r="I17322" s="137" t="s">
        <v>74</v>
      </c>
    </row>
    <row r="17323" spans="9:9" x14ac:dyDescent="0.2">
      <c r="I17323" s="137" t="s">
        <v>74</v>
      </c>
    </row>
    <row r="17324" spans="9:9" x14ac:dyDescent="0.2">
      <c r="I17324" s="137" t="s">
        <v>74</v>
      </c>
    </row>
    <row r="17325" spans="9:9" x14ac:dyDescent="0.2">
      <c r="I17325" s="137" t="s">
        <v>74</v>
      </c>
    </row>
    <row r="17326" spans="9:9" x14ac:dyDescent="0.2">
      <c r="I17326" s="137" t="s">
        <v>74</v>
      </c>
    </row>
    <row r="17327" spans="9:9" x14ac:dyDescent="0.2">
      <c r="I17327" s="137" t="s">
        <v>74</v>
      </c>
    </row>
    <row r="17328" spans="9:9" x14ac:dyDescent="0.2">
      <c r="I17328" s="137" t="s">
        <v>74</v>
      </c>
    </row>
    <row r="17329" spans="9:9" x14ac:dyDescent="0.2">
      <c r="I17329" s="137" t="s">
        <v>74</v>
      </c>
    </row>
    <row r="17330" spans="9:9" x14ac:dyDescent="0.2">
      <c r="I17330" s="137" t="s">
        <v>74</v>
      </c>
    </row>
    <row r="17331" spans="9:9" x14ac:dyDescent="0.2">
      <c r="I17331" s="137" t="s">
        <v>74</v>
      </c>
    </row>
    <row r="17332" spans="9:9" x14ac:dyDescent="0.2">
      <c r="I17332" s="137" t="s">
        <v>74</v>
      </c>
    </row>
    <row r="17333" spans="9:9" x14ac:dyDescent="0.2">
      <c r="I17333" s="137" t="s">
        <v>74</v>
      </c>
    </row>
    <row r="17334" spans="9:9" x14ac:dyDescent="0.2">
      <c r="I17334" s="137" t="s">
        <v>74</v>
      </c>
    </row>
    <row r="17335" spans="9:9" x14ac:dyDescent="0.2">
      <c r="I17335" s="137" t="s">
        <v>74</v>
      </c>
    </row>
    <row r="17336" spans="9:9" x14ac:dyDescent="0.2">
      <c r="I17336" s="137" t="s">
        <v>74</v>
      </c>
    </row>
    <row r="17337" spans="9:9" x14ac:dyDescent="0.2">
      <c r="I17337" s="137" t="s">
        <v>74</v>
      </c>
    </row>
    <row r="17338" spans="9:9" x14ac:dyDescent="0.2">
      <c r="I17338" s="137" t="s">
        <v>74</v>
      </c>
    </row>
    <row r="17339" spans="9:9" x14ac:dyDescent="0.2">
      <c r="I17339" s="137" t="s">
        <v>74</v>
      </c>
    </row>
    <row r="17340" spans="9:9" x14ac:dyDescent="0.2">
      <c r="I17340" s="137" t="s">
        <v>74</v>
      </c>
    </row>
    <row r="17341" spans="9:9" x14ac:dyDescent="0.2">
      <c r="I17341" s="137" t="s">
        <v>74</v>
      </c>
    </row>
    <row r="17342" spans="9:9" x14ac:dyDescent="0.2">
      <c r="I17342" s="137" t="s">
        <v>74</v>
      </c>
    </row>
    <row r="17343" spans="9:9" x14ac:dyDescent="0.2">
      <c r="I17343" s="137" t="s">
        <v>74</v>
      </c>
    </row>
    <row r="17344" spans="9:9" x14ac:dyDescent="0.2">
      <c r="I17344" s="137" t="s">
        <v>74</v>
      </c>
    </row>
    <row r="17345" spans="9:9" x14ac:dyDescent="0.2">
      <c r="I17345" s="137" t="s">
        <v>74</v>
      </c>
    </row>
    <row r="17346" spans="9:9" x14ac:dyDescent="0.2">
      <c r="I17346" s="137" t="s">
        <v>74</v>
      </c>
    </row>
    <row r="17347" spans="9:9" x14ac:dyDescent="0.2">
      <c r="I17347" s="137" t="s">
        <v>74</v>
      </c>
    </row>
    <row r="17348" spans="9:9" x14ac:dyDescent="0.2">
      <c r="I17348" s="137" t="s">
        <v>74</v>
      </c>
    </row>
    <row r="17349" spans="9:9" x14ac:dyDescent="0.2">
      <c r="I17349" s="137" t="s">
        <v>74</v>
      </c>
    </row>
    <row r="17350" spans="9:9" x14ac:dyDescent="0.2">
      <c r="I17350" s="137" t="s">
        <v>74</v>
      </c>
    </row>
    <row r="17351" spans="9:9" x14ac:dyDescent="0.2">
      <c r="I17351" s="137" t="s">
        <v>74</v>
      </c>
    </row>
    <row r="17352" spans="9:9" x14ac:dyDescent="0.2">
      <c r="I17352" s="137" t="s">
        <v>74</v>
      </c>
    </row>
    <row r="17353" spans="9:9" x14ac:dyDescent="0.2">
      <c r="I17353" s="137" t="s">
        <v>74</v>
      </c>
    </row>
    <row r="17354" spans="9:9" x14ac:dyDescent="0.2">
      <c r="I17354" s="137" t="s">
        <v>74</v>
      </c>
    </row>
    <row r="17355" spans="9:9" x14ac:dyDescent="0.2">
      <c r="I17355" s="137" t="s">
        <v>74</v>
      </c>
    </row>
    <row r="17356" spans="9:9" x14ac:dyDescent="0.2">
      <c r="I17356" s="137" t="s">
        <v>74</v>
      </c>
    </row>
    <row r="17357" spans="9:9" x14ac:dyDescent="0.2">
      <c r="I17357" s="137" t="s">
        <v>74</v>
      </c>
    </row>
    <row r="17358" spans="9:9" x14ac:dyDescent="0.2">
      <c r="I17358" s="137" t="s">
        <v>74</v>
      </c>
    </row>
    <row r="17359" spans="9:9" x14ac:dyDescent="0.2">
      <c r="I17359" s="137" t="s">
        <v>74</v>
      </c>
    </row>
    <row r="17360" spans="9:9" x14ac:dyDescent="0.2">
      <c r="I17360" s="137" t="s">
        <v>74</v>
      </c>
    </row>
    <row r="17361" spans="9:9" x14ac:dyDescent="0.2">
      <c r="I17361" s="137" t="s">
        <v>74</v>
      </c>
    </row>
    <row r="17362" spans="9:9" x14ac:dyDescent="0.2">
      <c r="I17362" s="137" t="s">
        <v>74</v>
      </c>
    </row>
    <row r="17363" spans="9:9" x14ac:dyDescent="0.2">
      <c r="I17363" s="137" t="s">
        <v>74</v>
      </c>
    </row>
    <row r="17364" spans="9:9" x14ac:dyDescent="0.2">
      <c r="I17364" s="137" t="s">
        <v>74</v>
      </c>
    </row>
    <row r="17365" spans="9:9" x14ac:dyDescent="0.2">
      <c r="I17365" s="137" t="s">
        <v>74</v>
      </c>
    </row>
    <row r="17366" spans="9:9" x14ac:dyDescent="0.2">
      <c r="I17366" s="137" t="s">
        <v>74</v>
      </c>
    </row>
    <row r="17367" spans="9:9" x14ac:dyDescent="0.2">
      <c r="I17367" s="137" t="s">
        <v>74</v>
      </c>
    </row>
    <row r="17368" spans="9:9" x14ac:dyDescent="0.2">
      <c r="I17368" s="137" t="s">
        <v>74</v>
      </c>
    </row>
    <row r="17369" spans="9:9" x14ac:dyDescent="0.2">
      <c r="I17369" s="137" t="s">
        <v>74</v>
      </c>
    </row>
    <row r="17370" spans="9:9" x14ac:dyDescent="0.2">
      <c r="I17370" s="137" t="s">
        <v>74</v>
      </c>
    </row>
    <row r="17371" spans="9:9" x14ac:dyDescent="0.2">
      <c r="I17371" s="137" t="s">
        <v>74</v>
      </c>
    </row>
    <row r="17372" spans="9:9" x14ac:dyDescent="0.2">
      <c r="I17372" s="137" t="s">
        <v>74</v>
      </c>
    </row>
    <row r="17373" spans="9:9" x14ac:dyDescent="0.2">
      <c r="I17373" s="137" t="s">
        <v>74</v>
      </c>
    </row>
    <row r="17374" spans="9:9" x14ac:dyDescent="0.2">
      <c r="I17374" s="137" t="s">
        <v>74</v>
      </c>
    </row>
    <row r="17375" spans="9:9" x14ac:dyDescent="0.2">
      <c r="I17375" s="137" t="s">
        <v>74</v>
      </c>
    </row>
    <row r="17376" spans="9:9" x14ac:dyDescent="0.2">
      <c r="I17376" s="137" t="s">
        <v>74</v>
      </c>
    </row>
    <row r="17377" spans="9:9" x14ac:dyDescent="0.2">
      <c r="I17377" s="137" t="s">
        <v>74</v>
      </c>
    </row>
    <row r="17378" spans="9:9" x14ac:dyDescent="0.2">
      <c r="I17378" s="137" t="s">
        <v>74</v>
      </c>
    </row>
    <row r="17379" spans="9:9" x14ac:dyDescent="0.2">
      <c r="I17379" s="137" t="s">
        <v>74</v>
      </c>
    </row>
    <row r="17380" spans="9:9" x14ac:dyDescent="0.2">
      <c r="I17380" s="137" t="s">
        <v>74</v>
      </c>
    </row>
    <row r="17381" spans="9:9" x14ac:dyDescent="0.2">
      <c r="I17381" s="137" t="s">
        <v>74</v>
      </c>
    </row>
    <row r="17382" spans="9:9" x14ac:dyDescent="0.2">
      <c r="I17382" s="137" t="s">
        <v>74</v>
      </c>
    </row>
    <row r="17383" spans="9:9" x14ac:dyDescent="0.2">
      <c r="I17383" s="137" t="s">
        <v>74</v>
      </c>
    </row>
    <row r="17384" spans="9:9" x14ac:dyDescent="0.2">
      <c r="I17384" s="137" t="s">
        <v>74</v>
      </c>
    </row>
    <row r="17385" spans="9:9" x14ac:dyDescent="0.2">
      <c r="I17385" s="137" t="s">
        <v>74</v>
      </c>
    </row>
    <row r="17386" spans="9:9" x14ac:dyDescent="0.2">
      <c r="I17386" s="137" t="s">
        <v>74</v>
      </c>
    </row>
    <row r="17387" spans="9:9" x14ac:dyDescent="0.2">
      <c r="I17387" s="137" t="s">
        <v>74</v>
      </c>
    </row>
    <row r="17388" spans="9:9" x14ac:dyDescent="0.2">
      <c r="I17388" s="137" t="s">
        <v>74</v>
      </c>
    </row>
    <row r="17389" spans="9:9" x14ac:dyDescent="0.2">
      <c r="I17389" s="137" t="s">
        <v>74</v>
      </c>
    </row>
    <row r="17390" spans="9:9" x14ac:dyDescent="0.2">
      <c r="I17390" s="137" t="s">
        <v>74</v>
      </c>
    </row>
    <row r="17391" spans="9:9" x14ac:dyDescent="0.2">
      <c r="I17391" s="137" t="s">
        <v>74</v>
      </c>
    </row>
    <row r="17392" spans="9:9" x14ac:dyDescent="0.2">
      <c r="I17392" s="137" t="s">
        <v>74</v>
      </c>
    </row>
    <row r="17393" spans="9:9" x14ac:dyDescent="0.2">
      <c r="I17393" s="137" t="s">
        <v>74</v>
      </c>
    </row>
    <row r="17394" spans="9:9" x14ac:dyDescent="0.2">
      <c r="I17394" s="137" t="s">
        <v>74</v>
      </c>
    </row>
    <row r="17395" spans="9:9" x14ac:dyDescent="0.2">
      <c r="I17395" s="137" t="s">
        <v>74</v>
      </c>
    </row>
    <row r="17396" spans="9:9" x14ac:dyDescent="0.2">
      <c r="I17396" s="137" t="s">
        <v>74</v>
      </c>
    </row>
    <row r="17397" spans="9:9" x14ac:dyDescent="0.2">
      <c r="I17397" s="137" t="s">
        <v>74</v>
      </c>
    </row>
    <row r="17398" spans="9:9" x14ac:dyDescent="0.2">
      <c r="I17398" s="137" t="s">
        <v>74</v>
      </c>
    </row>
    <row r="17399" spans="9:9" x14ac:dyDescent="0.2">
      <c r="I17399" s="137" t="s">
        <v>74</v>
      </c>
    </row>
    <row r="17400" spans="9:9" x14ac:dyDescent="0.2">
      <c r="I17400" s="137" t="s">
        <v>74</v>
      </c>
    </row>
    <row r="17401" spans="9:9" x14ac:dyDescent="0.2">
      <c r="I17401" s="137" t="s">
        <v>74</v>
      </c>
    </row>
    <row r="17402" spans="9:9" x14ac:dyDescent="0.2">
      <c r="I17402" s="137" t="s">
        <v>74</v>
      </c>
    </row>
    <row r="17403" spans="9:9" x14ac:dyDescent="0.2">
      <c r="I17403" s="137" t="s">
        <v>74</v>
      </c>
    </row>
    <row r="17404" spans="9:9" x14ac:dyDescent="0.2">
      <c r="I17404" s="137" t="s">
        <v>74</v>
      </c>
    </row>
    <row r="17405" spans="9:9" x14ac:dyDescent="0.2">
      <c r="I17405" s="137" t="s">
        <v>74</v>
      </c>
    </row>
    <row r="17406" spans="9:9" x14ac:dyDescent="0.2">
      <c r="I17406" s="137" t="s">
        <v>74</v>
      </c>
    </row>
    <row r="17407" spans="9:9" x14ac:dyDescent="0.2">
      <c r="I17407" s="137" t="s">
        <v>74</v>
      </c>
    </row>
    <row r="17408" spans="9:9" x14ac:dyDescent="0.2">
      <c r="I17408" s="137" t="s">
        <v>74</v>
      </c>
    </row>
    <row r="17409" spans="9:9" x14ac:dyDescent="0.2">
      <c r="I17409" s="137" t="s">
        <v>74</v>
      </c>
    </row>
    <row r="17410" spans="9:9" x14ac:dyDescent="0.2">
      <c r="I17410" s="137" t="s">
        <v>74</v>
      </c>
    </row>
    <row r="17411" spans="9:9" x14ac:dyDescent="0.2">
      <c r="I17411" s="137" t="s">
        <v>74</v>
      </c>
    </row>
    <row r="17412" spans="9:9" x14ac:dyDescent="0.2">
      <c r="I17412" s="137" t="s">
        <v>74</v>
      </c>
    </row>
    <row r="17413" spans="9:9" x14ac:dyDescent="0.2">
      <c r="I17413" s="137" t="s">
        <v>74</v>
      </c>
    </row>
    <row r="17414" spans="9:9" x14ac:dyDescent="0.2">
      <c r="I17414" s="137" t="s">
        <v>74</v>
      </c>
    </row>
    <row r="17415" spans="9:9" x14ac:dyDescent="0.2">
      <c r="I17415" s="137" t="s">
        <v>74</v>
      </c>
    </row>
    <row r="17416" spans="9:9" x14ac:dyDescent="0.2">
      <c r="I17416" s="137" t="s">
        <v>74</v>
      </c>
    </row>
    <row r="17417" spans="9:9" x14ac:dyDescent="0.2">
      <c r="I17417" s="137" t="s">
        <v>74</v>
      </c>
    </row>
    <row r="17418" spans="9:9" x14ac:dyDescent="0.2">
      <c r="I17418" s="137" t="s">
        <v>74</v>
      </c>
    </row>
    <row r="17419" spans="9:9" x14ac:dyDescent="0.2">
      <c r="I17419" s="137" t="s">
        <v>74</v>
      </c>
    </row>
    <row r="17420" spans="9:9" x14ac:dyDescent="0.2">
      <c r="I17420" s="137" t="s">
        <v>74</v>
      </c>
    </row>
    <row r="17421" spans="9:9" x14ac:dyDescent="0.2">
      <c r="I17421" s="137" t="s">
        <v>74</v>
      </c>
    </row>
    <row r="17422" spans="9:9" x14ac:dyDescent="0.2">
      <c r="I17422" s="137" t="s">
        <v>74</v>
      </c>
    </row>
    <row r="17423" spans="9:9" x14ac:dyDescent="0.2">
      <c r="I17423" s="137" t="s">
        <v>74</v>
      </c>
    </row>
    <row r="17424" spans="9:9" x14ac:dyDescent="0.2">
      <c r="I17424" s="137" t="s">
        <v>74</v>
      </c>
    </row>
    <row r="17425" spans="9:9" x14ac:dyDescent="0.2">
      <c r="I17425" s="137" t="s">
        <v>74</v>
      </c>
    </row>
    <row r="17426" spans="9:9" x14ac:dyDescent="0.2">
      <c r="I17426" s="137" t="s">
        <v>74</v>
      </c>
    </row>
    <row r="17427" spans="9:9" x14ac:dyDescent="0.2">
      <c r="I17427" s="137" t="s">
        <v>74</v>
      </c>
    </row>
    <row r="17428" spans="9:9" x14ac:dyDescent="0.2">
      <c r="I17428" s="137" t="s">
        <v>74</v>
      </c>
    </row>
    <row r="17429" spans="9:9" x14ac:dyDescent="0.2">
      <c r="I17429" s="137" t="s">
        <v>74</v>
      </c>
    </row>
    <row r="17430" spans="9:9" x14ac:dyDescent="0.2">
      <c r="I17430" s="137" t="s">
        <v>74</v>
      </c>
    </row>
    <row r="17431" spans="9:9" x14ac:dyDescent="0.2">
      <c r="I17431" s="137" t="s">
        <v>74</v>
      </c>
    </row>
    <row r="17432" spans="9:9" x14ac:dyDescent="0.2">
      <c r="I17432" s="137" t="s">
        <v>74</v>
      </c>
    </row>
    <row r="17433" spans="9:9" x14ac:dyDescent="0.2">
      <c r="I17433" s="137" t="s">
        <v>74</v>
      </c>
    </row>
    <row r="17434" spans="9:9" x14ac:dyDescent="0.2">
      <c r="I17434" s="137" t="s">
        <v>74</v>
      </c>
    </row>
    <row r="17435" spans="9:9" x14ac:dyDescent="0.2">
      <c r="I17435" s="137" t="s">
        <v>74</v>
      </c>
    </row>
    <row r="17436" spans="9:9" x14ac:dyDescent="0.2">
      <c r="I17436" s="137" t="s">
        <v>74</v>
      </c>
    </row>
    <row r="17437" spans="9:9" x14ac:dyDescent="0.2">
      <c r="I17437" s="137" t="s">
        <v>74</v>
      </c>
    </row>
    <row r="17438" spans="9:9" x14ac:dyDescent="0.2">
      <c r="I17438" s="137" t="s">
        <v>74</v>
      </c>
    </row>
    <row r="17439" spans="9:9" x14ac:dyDescent="0.2">
      <c r="I17439" s="137" t="s">
        <v>74</v>
      </c>
    </row>
    <row r="17440" spans="9:9" x14ac:dyDescent="0.2">
      <c r="I17440" s="137" t="s">
        <v>74</v>
      </c>
    </row>
    <row r="17441" spans="9:9" x14ac:dyDescent="0.2">
      <c r="I17441" s="137" t="s">
        <v>74</v>
      </c>
    </row>
    <row r="17442" spans="9:9" x14ac:dyDescent="0.2">
      <c r="I17442" s="137" t="s">
        <v>74</v>
      </c>
    </row>
    <row r="17443" spans="9:9" x14ac:dyDescent="0.2">
      <c r="I17443" s="137" t="s">
        <v>74</v>
      </c>
    </row>
    <row r="17444" spans="9:9" x14ac:dyDescent="0.2">
      <c r="I17444" s="137" t="s">
        <v>74</v>
      </c>
    </row>
    <row r="17445" spans="9:9" x14ac:dyDescent="0.2">
      <c r="I17445" s="137" t="s">
        <v>74</v>
      </c>
    </row>
    <row r="17446" spans="9:9" x14ac:dyDescent="0.2">
      <c r="I17446" s="137" t="s">
        <v>74</v>
      </c>
    </row>
    <row r="17447" spans="9:9" x14ac:dyDescent="0.2">
      <c r="I17447" s="137" t="s">
        <v>74</v>
      </c>
    </row>
    <row r="17448" spans="9:9" x14ac:dyDescent="0.2">
      <c r="I17448" s="137" t="s">
        <v>74</v>
      </c>
    </row>
    <row r="17449" spans="9:9" x14ac:dyDescent="0.2">
      <c r="I17449" s="137" t="s">
        <v>74</v>
      </c>
    </row>
    <row r="17450" spans="9:9" x14ac:dyDescent="0.2">
      <c r="I17450" s="137" t="s">
        <v>74</v>
      </c>
    </row>
    <row r="17451" spans="9:9" x14ac:dyDescent="0.2">
      <c r="I17451" s="137" t="s">
        <v>74</v>
      </c>
    </row>
    <row r="17452" spans="9:9" x14ac:dyDescent="0.2">
      <c r="I17452" s="137" t="s">
        <v>74</v>
      </c>
    </row>
    <row r="17453" spans="9:9" x14ac:dyDescent="0.2">
      <c r="I17453" s="137" t="s">
        <v>74</v>
      </c>
    </row>
    <row r="17454" spans="9:9" x14ac:dyDescent="0.2">
      <c r="I17454" s="137" t="s">
        <v>74</v>
      </c>
    </row>
    <row r="17455" spans="9:9" x14ac:dyDescent="0.2">
      <c r="I17455" s="137" t="s">
        <v>74</v>
      </c>
    </row>
    <row r="17456" spans="9:9" x14ac:dyDescent="0.2">
      <c r="I17456" s="137" t="s">
        <v>74</v>
      </c>
    </row>
    <row r="17457" spans="9:9" x14ac:dyDescent="0.2">
      <c r="I17457" s="137" t="s">
        <v>74</v>
      </c>
    </row>
    <row r="17458" spans="9:9" x14ac:dyDescent="0.2">
      <c r="I17458" s="137" t="s">
        <v>74</v>
      </c>
    </row>
    <row r="17459" spans="9:9" x14ac:dyDescent="0.2">
      <c r="I17459" s="137" t="s">
        <v>74</v>
      </c>
    </row>
    <row r="17460" spans="9:9" x14ac:dyDescent="0.2">
      <c r="I17460" s="137" t="s">
        <v>74</v>
      </c>
    </row>
    <row r="17461" spans="9:9" x14ac:dyDescent="0.2">
      <c r="I17461" s="137" t="s">
        <v>74</v>
      </c>
    </row>
    <row r="17462" spans="9:9" x14ac:dyDescent="0.2">
      <c r="I17462" s="137" t="s">
        <v>74</v>
      </c>
    </row>
    <row r="17463" spans="9:9" x14ac:dyDescent="0.2">
      <c r="I17463" s="137" t="s">
        <v>74</v>
      </c>
    </row>
    <row r="17464" spans="9:9" x14ac:dyDescent="0.2">
      <c r="I17464" s="137" t="s">
        <v>74</v>
      </c>
    </row>
    <row r="17465" spans="9:9" x14ac:dyDescent="0.2">
      <c r="I17465" s="137" t="s">
        <v>74</v>
      </c>
    </row>
    <row r="17466" spans="9:9" x14ac:dyDescent="0.2">
      <c r="I17466" s="137" t="s">
        <v>74</v>
      </c>
    </row>
    <row r="17467" spans="9:9" x14ac:dyDescent="0.2">
      <c r="I17467" s="137" t="s">
        <v>74</v>
      </c>
    </row>
    <row r="17468" spans="9:9" x14ac:dyDescent="0.2">
      <c r="I17468" s="137" t="s">
        <v>74</v>
      </c>
    </row>
    <row r="17469" spans="9:9" x14ac:dyDescent="0.2">
      <c r="I17469" s="137" t="s">
        <v>74</v>
      </c>
    </row>
    <row r="17470" spans="9:9" x14ac:dyDescent="0.2">
      <c r="I17470" s="137" t="s">
        <v>74</v>
      </c>
    </row>
    <row r="17471" spans="9:9" x14ac:dyDescent="0.2">
      <c r="I17471" s="137" t="s">
        <v>74</v>
      </c>
    </row>
    <row r="17472" spans="9:9" x14ac:dyDescent="0.2">
      <c r="I17472" s="137" t="s">
        <v>74</v>
      </c>
    </row>
    <row r="17473" spans="9:9" x14ac:dyDescent="0.2">
      <c r="I17473" s="137" t="s">
        <v>74</v>
      </c>
    </row>
    <row r="17474" spans="9:9" x14ac:dyDescent="0.2">
      <c r="I17474" s="137" t="s">
        <v>74</v>
      </c>
    </row>
    <row r="17475" spans="9:9" x14ac:dyDescent="0.2">
      <c r="I17475" s="137" t="s">
        <v>74</v>
      </c>
    </row>
    <row r="17476" spans="9:9" x14ac:dyDescent="0.2">
      <c r="I17476" s="137" t="s">
        <v>74</v>
      </c>
    </row>
    <row r="17477" spans="9:9" x14ac:dyDescent="0.2">
      <c r="I17477" s="137" t="s">
        <v>74</v>
      </c>
    </row>
    <row r="17478" spans="9:9" x14ac:dyDescent="0.2">
      <c r="I17478" s="137" t="s">
        <v>74</v>
      </c>
    </row>
    <row r="17479" spans="9:9" x14ac:dyDescent="0.2">
      <c r="I17479" s="137" t="s">
        <v>74</v>
      </c>
    </row>
    <row r="17480" spans="9:9" x14ac:dyDescent="0.2">
      <c r="I17480" s="137" t="s">
        <v>74</v>
      </c>
    </row>
    <row r="17481" spans="9:9" x14ac:dyDescent="0.2">
      <c r="I17481" s="137" t="s">
        <v>74</v>
      </c>
    </row>
    <row r="17482" spans="9:9" x14ac:dyDescent="0.2">
      <c r="I17482" s="137" t="s">
        <v>74</v>
      </c>
    </row>
    <row r="17483" spans="9:9" x14ac:dyDescent="0.2">
      <c r="I17483" s="137" t="s">
        <v>74</v>
      </c>
    </row>
    <row r="17484" spans="9:9" x14ac:dyDescent="0.2">
      <c r="I17484" s="137" t="s">
        <v>74</v>
      </c>
    </row>
    <row r="17485" spans="9:9" x14ac:dyDescent="0.2">
      <c r="I17485" s="137" t="s">
        <v>74</v>
      </c>
    </row>
    <row r="17486" spans="9:9" x14ac:dyDescent="0.2">
      <c r="I17486" s="137" t="s">
        <v>74</v>
      </c>
    </row>
    <row r="17487" spans="9:9" x14ac:dyDescent="0.2">
      <c r="I17487" s="137" t="s">
        <v>74</v>
      </c>
    </row>
    <row r="17488" spans="9:9" x14ac:dyDescent="0.2">
      <c r="I17488" s="137" t="s">
        <v>74</v>
      </c>
    </row>
    <row r="17489" spans="9:9" x14ac:dyDescent="0.2">
      <c r="I17489" s="137" t="s">
        <v>74</v>
      </c>
    </row>
    <row r="17490" spans="9:9" x14ac:dyDescent="0.2">
      <c r="I17490" s="137" t="s">
        <v>74</v>
      </c>
    </row>
    <row r="17491" spans="9:9" x14ac:dyDescent="0.2">
      <c r="I17491" s="137" t="s">
        <v>74</v>
      </c>
    </row>
    <row r="17492" spans="9:9" x14ac:dyDescent="0.2">
      <c r="I17492" s="137" t="s">
        <v>74</v>
      </c>
    </row>
    <row r="17493" spans="9:9" x14ac:dyDescent="0.2">
      <c r="I17493" s="137" t="s">
        <v>74</v>
      </c>
    </row>
    <row r="17494" spans="9:9" x14ac:dyDescent="0.2">
      <c r="I17494" s="137" t="s">
        <v>74</v>
      </c>
    </row>
    <row r="17495" spans="9:9" x14ac:dyDescent="0.2">
      <c r="I17495" s="137" t="s">
        <v>74</v>
      </c>
    </row>
    <row r="17496" spans="9:9" x14ac:dyDescent="0.2">
      <c r="I17496" s="137" t="s">
        <v>74</v>
      </c>
    </row>
    <row r="17497" spans="9:9" x14ac:dyDescent="0.2">
      <c r="I17497" s="137" t="s">
        <v>74</v>
      </c>
    </row>
    <row r="17498" spans="9:9" x14ac:dyDescent="0.2">
      <c r="I17498" s="137" t="s">
        <v>74</v>
      </c>
    </row>
    <row r="17499" spans="9:9" x14ac:dyDescent="0.2">
      <c r="I17499" s="137" t="s">
        <v>74</v>
      </c>
    </row>
    <row r="17500" spans="9:9" x14ac:dyDescent="0.2">
      <c r="I17500" s="137" t="s">
        <v>74</v>
      </c>
    </row>
    <row r="17501" spans="9:9" x14ac:dyDescent="0.2">
      <c r="I17501" s="137" t="s">
        <v>74</v>
      </c>
    </row>
    <row r="17502" spans="9:9" x14ac:dyDescent="0.2">
      <c r="I17502" s="137" t="s">
        <v>74</v>
      </c>
    </row>
    <row r="17503" spans="9:9" x14ac:dyDescent="0.2">
      <c r="I17503" s="137" t="s">
        <v>74</v>
      </c>
    </row>
    <row r="17504" spans="9:9" x14ac:dyDescent="0.2">
      <c r="I17504" s="137" t="s">
        <v>74</v>
      </c>
    </row>
    <row r="17505" spans="9:9" x14ac:dyDescent="0.2">
      <c r="I17505" s="137" t="s">
        <v>74</v>
      </c>
    </row>
    <row r="17506" spans="9:9" x14ac:dyDescent="0.2">
      <c r="I17506" s="137" t="s">
        <v>74</v>
      </c>
    </row>
    <row r="17507" spans="9:9" x14ac:dyDescent="0.2">
      <c r="I17507" s="137" t="s">
        <v>74</v>
      </c>
    </row>
    <row r="17508" spans="9:9" x14ac:dyDescent="0.2">
      <c r="I17508" s="137" t="s">
        <v>74</v>
      </c>
    </row>
    <row r="17509" spans="9:9" x14ac:dyDescent="0.2">
      <c r="I17509" s="137" t="s">
        <v>74</v>
      </c>
    </row>
    <row r="17510" spans="9:9" x14ac:dyDescent="0.2">
      <c r="I17510" s="137" t="s">
        <v>74</v>
      </c>
    </row>
    <row r="17511" spans="9:9" x14ac:dyDescent="0.2">
      <c r="I17511" s="137" t="s">
        <v>74</v>
      </c>
    </row>
    <row r="17512" spans="9:9" x14ac:dyDescent="0.2">
      <c r="I17512" s="137" t="s">
        <v>74</v>
      </c>
    </row>
    <row r="17513" spans="9:9" x14ac:dyDescent="0.2">
      <c r="I17513" s="137" t="s">
        <v>74</v>
      </c>
    </row>
    <row r="17514" spans="9:9" x14ac:dyDescent="0.2">
      <c r="I17514" s="137" t="s">
        <v>74</v>
      </c>
    </row>
    <row r="17515" spans="9:9" x14ac:dyDescent="0.2">
      <c r="I17515" s="137" t="s">
        <v>74</v>
      </c>
    </row>
    <row r="17516" spans="9:9" x14ac:dyDescent="0.2">
      <c r="I17516" s="137" t="s">
        <v>74</v>
      </c>
    </row>
    <row r="17517" spans="9:9" x14ac:dyDescent="0.2">
      <c r="I17517" s="137" t="s">
        <v>74</v>
      </c>
    </row>
    <row r="17518" spans="9:9" x14ac:dyDescent="0.2">
      <c r="I17518" s="137" t="s">
        <v>74</v>
      </c>
    </row>
    <row r="17519" spans="9:9" x14ac:dyDescent="0.2">
      <c r="I17519" s="137" t="s">
        <v>74</v>
      </c>
    </row>
    <row r="17520" spans="9:9" x14ac:dyDescent="0.2">
      <c r="I17520" s="137" t="s">
        <v>74</v>
      </c>
    </row>
    <row r="17521" spans="9:9" x14ac:dyDescent="0.2">
      <c r="I17521" s="137" t="s">
        <v>74</v>
      </c>
    </row>
    <row r="17522" spans="9:9" x14ac:dyDescent="0.2">
      <c r="I17522" s="137" t="s">
        <v>74</v>
      </c>
    </row>
    <row r="17523" spans="9:9" x14ac:dyDescent="0.2">
      <c r="I17523" s="137" t="s">
        <v>74</v>
      </c>
    </row>
    <row r="17524" spans="9:9" x14ac:dyDescent="0.2">
      <c r="I17524" s="137" t="s">
        <v>74</v>
      </c>
    </row>
    <row r="17525" spans="9:9" x14ac:dyDescent="0.2">
      <c r="I17525" s="137" t="s">
        <v>74</v>
      </c>
    </row>
    <row r="17526" spans="9:9" x14ac:dyDescent="0.2">
      <c r="I17526" s="137" t="s">
        <v>74</v>
      </c>
    </row>
    <row r="17527" spans="9:9" x14ac:dyDescent="0.2">
      <c r="I17527" s="137" t="s">
        <v>74</v>
      </c>
    </row>
    <row r="17528" spans="9:9" x14ac:dyDescent="0.2">
      <c r="I17528" s="137" t="s">
        <v>74</v>
      </c>
    </row>
    <row r="17529" spans="9:9" x14ac:dyDescent="0.2">
      <c r="I17529" s="137" t="s">
        <v>74</v>
      </c>
    </row>
    <row r="17530" spans="9:9" x14ac:dyDescent="0.2">
      <c r="I17530" s="137" t="s">
        <v>74</v>
      </c>
    </row>
    <row r="17531" spans="9:9" x14ac:dyDescent="0.2">
      <c r="I17531" s="137" t="s">
        <v>74</v>
      </c>
    </row>
    <row r="17532" spans="9:9" x14ac:dyDescent="0.2">
      <c r="I17532" s="137" t="s">
        <v>74</v>
      </c>
    </row>
    <row r="17533" spans="9:9" x14ac:dyDescent="0.2">
      <c r="I17533" s="137" t="s">
        <v>74</v>
      </c>
    </row>
    <row r="17534" spans="9:9" x14ac:dyDescent="0.2">
      <c r="I17534" s="137" t="s">
        <v>74</v>
      </c>
    </row>
    <row r="17535" spans="9:9" x14ac:dyDescent="0.2">
      <c r="I17535" s="137" t="s">
        <v>74</v>
      </c>
    </row>
    <row r="17536" spans="9:9" x14ac:dyDescent="0.2">
      <c r="I17536" s="137" t="s">
        <v>74</v>
      </c>
    </row>
    <row r="17537" spans="9:9" x14ac:dyDescent="0.2">
      <c r="I17537" s="137" t="s">
        <v>74</v>
      </c>
    </row>
    <row r="17538" spans="9:9" x14ac:dyDescent="0.2">
      <c r="I17538" s="137" t="s">
        <v>74</v>
      </c>
    </row>
    <row r="17539" spans="9:9" x14ac:dyDescent="0.2">
      <c r="I17539" s="137" t="s">
        <v>74</v>
      </c>
    </row>
    <row r="17540" spans="9:9" x14ac:dyDescent="0.2">
      <c r="I17540" s="137" t="s">
        <v>74</v>
      </c>
    </row>
    <row r="17541" spans="9:9" x14ac:dyDescent="0.2">
      <c r="I17541" s="137" t="s">
        <v>74</v>
      </c>
    </row>
    <row r="17542" spans="9:9" x14ac:dyDescent="0.2">
      <c r="I17542" s="137" t="s">
        <v>74</v>
      </c>
    </row>
    <row r="17543" spans="9:9" x14ac:dyDescent="0.2">
      <c r="I17543" s="137" t="s">
        <v>74</v>
      </c>
    </row>
    <row r="17544" spans="9:9" x14ac:dyDescent="0.2">
      <c r="I17544" s="137" t="s">
        <v>74</v>
      </c>
    </row>
    <row r="17545" spans="9:9" x14ac:dyDescent="0.2">
      <c r="I17545" s="137" t="s">
        <v>74</v>
      </c>
    </row>
    <row r="17546" spans="9:9" x14ac:dyDescent="0.2">
      <c r="I17546" s="137" t="s">
        <v>74</v>
      </c>
    </row>
    <row r="17547" spans="9:9" x14ac:dyDescent="0.2">
      <c r="I17547" s="137" t="s">
        <v>74</v>
      </c>
    </row>
    <row r="17548" spans="9:9" x14ac:dyDescent="0.2">
      <c r="I17548" s="137" t="s">
        <v>74</v>
      </c>
    </row>
    <row r="17549" spans="9:9" x14ac:dyDescent="0.2">
      <c r="I17549" s="137" t="s">
        <v>74</v>
      </c>
    </row>
    <row r="17550" spans="9:9" x14ac:dyDescent="0.2">
      <c r="I17550" s="137" t="s">
        <v>74</v>
      </c>
    </row>
    <row r="17551" spans="9:9" x14ac:dyDescent="0.2">
      <c r="I17551" s="137" t="s">
        <v>74</v>
      </c>
    </row>
    <row r="17552" spans="9:9" x14ac:dyDescent="0.2">
      <c r="I17552" s="137" t="s">
        <v>74</v>
      </c>
    </row>
    <row r="17553" spans="9:9" x14ac:dyDescent="0.2">
      <c r="I17553" s="137" t="s">
        <v>74</v>
      </c>
    </row>
    <row r="17554" spans="9:9" x14ac:dyDescent="0.2">
      <c r="I17554" s="137" t="s">
        <v>74</v>
      </c>
    </row>
    <row r="17555" spans="9:9" x14ac:dyDescent="0.2">
      <c r="I17555" s="137" t="s">
        <v>74</v>
      </c>
    </row>
    <row r="17556" spans="9:9" x14ac:dyDescent="0.2">
      <c r="I17556" s="137" t="s">
        <v>74</v>
      </c>
    </row>
    <row r="17557" spans="9:9" x14ac:dyDescent="0.2">
      <c r="I17557" s="137" t="s">
        <v>74</v>
      </c>
    </row>
    <row r="17558" spans="9:9" x14ac:dyDescent="0.2">
      <c r="I17558" s="137" t="s">
        <v>74</v>
      </c>
    </row>
    <row r="17559" spans="9:9" x14ac:dyDescent="0.2">
      <c r="I17559" s="137" t="s">
        <v>74</v>
      </c>
    </row>
    <row r="17560" spans="9:9" x14ac:dyDescent="0.2">
      <c r="I17560" s="137" t="s">
        <v>74</v>
      </c>
    </row>
    <row r="17561" spans="9:9" x14ac:dyDescent="0.2">
      <c r="I17561" s="137" t="s">
        <v>74</v>
      </c>
    </row>
    <row r="17562" spans="9:9" x14ac:dyDescent="0.2">
      <c r="I17562" s="137" t="s">
        <v>74</v>
      </c>
    </row>
    <row r="17563" spans="9:9" x14ac:dyDescent="0.2">
      <c r="I17563" s="137" t="s">
        <v>74</v>
      </c>
    </row>
    <row r="17564" spans="9:9" x14ac:dyDescent="0.2">
      <c r="I17564" s="137" t="s">
        <v>74</v>
      </c>
    </row>
    <row r="17565" spans="9:9" x14ac:dyDescent="0.2">
      <c r="I17565" s="137" t="s">
        <v>74</v>
      </c>
    </row>
    <row r="17566" spans="9:9" x14ac:dyDescent="0.2">
      <c r="I17566" s="137" t="s">
        <v>74</v>
      </c>
    </row>
    <row r="17567" spans="9:9" x14ac:dyDescent="0.2">
      <c r="I17567" s="137" t="s">
        <v>74</v>
      </c>
    </row>
    <row r="17568" spans="9:9" x14ac:dyDescent="0.2">
      <c r="I17568" s="137" t="s">
        <v>74</v>
      </c>
    </row>
    <row r="17569" spans="9:9" x14ac:dyDescent="0.2">
      <c r="I17569" s="137" t="s">
        <v>74</v>
      </c>
    </row>
    <row r="17570" spans="9:9" x14ac:dyDescent="0.2">
      <c r="I17570" s="137" t="s">
        <v>74</v>
      </c>
    </row>
    <row r="17571" spans="9:9" x14ac:dyDescent="0.2">
      <c r="I17571" s="137" t="s">
        <v>74</v>
      </c>
    </row>
    <row r="17572" spans="9:9" x14ac:dyDescent="0.2">
      <c r="I17572" s="137" t="s">
        <v>74</v>
      </c>
    </row>
    <row r="17573" spans="9:9" x14ac:dyDescent="0.2">
      <c r="I17573" s="137" t="s">
        <v>74</v>
      </c>
    </row>
    <row r="17574" spans="9:9" x14ac:dyDescent="0.2">
      <c r="I17574" s="137" t="s">
        <v>74</v>
      </c>
    </row>
    <row r="17575" spans="9:9" x14ac:dyDescent="0.2">
      <c r="I17575" s="137" t="s">
        <v>74</v>
      </c>
    </row>
    <row r="17576" spans="9:9" x14ac:dyDescent="0.2">
      <c r="I17576" s="137" t="s">
        <v>74</v>
      </c>
    </row>
    <row r="17577" spans="9:9" x14ac:dyDescent="0.2">
      <c r="I17577" s="137" t="s">
        <v>74</v>
      </c>
    </row>
    <row r="17578" spans="9:9" x14ac:dyDescent="0.2">
      <c r="I17578" s="137" t="s">
        <v>74</v>
      </c>
    </row>
    <row r="17579" spans="9:9" x14ac:dyDescent="0.2">
      <c r="I17579" s="137" t="s">
        <v>74</v>
      </c>
    </row>
    <row r="17580" spans="9:9" x14ac:dyDescent="0.2">
      <c r="I17580" s="137" t="s">
        <v>74</v>
      </c>
    </row>
    <row r="17581" spans="9:9" x14ac:dyDescent="0.2">
      <c r="I17581" s="137" t="s">
        <v>74</v>
      </c>
    </row>
    <row r="17582" spans="9:9" x14ac:dyDescent="0.2">
      <c r="I17582" s="137" t="s">
        <v>74</v>
      </c>
    </row>
    <row r="17583" spans="9:9" x14ac:dyDescent="0.2">
      <c r="I17583" s="137" t="s">
        <v>74</v>
      </c>
    </row>
    <row r="17584" spans="9:9" x14ac:dyDescent="0.2">
      <c r="I17584" s="137" t="s">
        <v>74</v>
      </c>
    </row>
    <row r="17585" spans="9:9" x14ac:dyDescent="0.2">
      <c r="I17585" s="137" t="s">
        <v>74</v>
      </c>
    </row>
    <row r="17586" spans="9:9" x14ac:dyDescent="0.2">
      <c r="I17586" s="137" t="s">
        <v>74</v>
      </c>
    </row>
    <row r="17587" spans="9:9" x14ac:dyDescent="0.2">
      <c r="I17587" s="137" t="s">
        <v>74</v>
      </c>
    </row>
    <row r="17588" spans="9:9" x14ac:dyDescent="0.2">
      <c r="I17588" s="137" t="s">
        <v>74</v>
      </c>
    </row>
    <row r="17589" spans="9:9" x14ac:dyDescent="0.2">
      <c r="I17589" s="137" t="s">
        <v>74</v>
      </c>
    </row>
    <row r="17590" spans="9:9" x14ac:dyDescent="0.2">
      <c r="I17590" s="137" t="s">
        <v>74</v>
      </c>
    </row>
    <row r="17591" spans="9:9" x14ac:dyDescent="0.2">
      <c r="I17591" s="137" t="s">
        <v>74</v>
      </c>
    </row>
    <row r="17592" spans="9:9" x14ac:dyDescent="0.2">
      <c r="I17592" s="137" t="s">
        <v>74</v>
      </c>
    </row>
    <row r="17593" spans="9:9" x14ac:dyDescent="0.2">
      <c r="I17593" s="137" t="s">
        <v>74</v>
      </c>
    </row>
    <row r="17594" spans="9:9" x14ac:dyDescent="0.2">
      <c r="I17594" s="137" t="s">
        <v>74</v>
      </c>
    </row>
    <row r="17595" spans="9:9" x14ac:dyDescent="0.2">
      <c r="I17595" s="137" t="s">
        <v>74</v>
      </c>
    </row>
    <row r="17596" spans="9:9" x14ac:dyDescent="0.2">
      <c r="I17596" s="137" t="s">
        <v>74</v>
      </c>
    </row>
    <row r="17597" spans="9:9" x14ac:dyDescent="0.2">
      <c r="I17597" s="137" t="s">
        <v>74</v>
      </c>
    </row>
    <row r="17598" spans="9:9" x14ac:dyDescent="0.2">
      <c r="I17598" s="137" t="s">
        <v>74</v>
      </c>
    </row>
    <row r="17599" spans="9:9" x14ac:dyDescent="0.2">
      <c r="I17599" s="137" t="s">
        <v>74</v>
      </c>
    </row>
    <row r="17600" spans="9:9" x14ac:dyDescent="0.2">
      <c r="I17600" s="137" t="s">
        <v>74</v>
      </c>
    </row>
    <row r="17601" spans="9:9" x14ac:dyDescent="0.2">
      <c r="I17601" s="137" t="s">
        <v>74</v>
      </c>
    </row>
    <row r="17602" spans="9:9" x14ac:dyDescent="0.2">
      <c r="I17602" s="137" t="s">
        <v>74</v>
      </c>
    </row>
    <row r="17603" spans="9:9" x14ac:dyDescent="0.2">
      <c r="I17603" s="137" t="s">
        <v>74</v>
      </c>
    </row>
    <row r="17604" spans="9:9" x14ac:dyDescent="0.2">
      <c r="I17604" s="137" t="s">
        <v>74</v>
      </c>
    </row>
    <row r="17605" spans="9:9" x14ac:dyDescent="0.2">
      <c r="I17605" s="137" t="s">
        <v>74</v>
      </c>
    </row>
    <row r="17606" spans="9:9" x14ac:dyDescent="0.2">
      <c r="I17606" s="137" t="s">
        <v>74</v>
      </c>
    </row>
    <row r="17607" spans="9:9" x14ac:dyDescent="0.2">
      <c r="I17607" s="137" t="s">
        <v>74</v>
      </c>
    </row>
    <row r="17608" spans="9:9" x14ac:dyDescent="0.2">
      <c r="I17608" s="137" t="s">
        <v>74</v>
      </c>
    </row>
    <row r="17609" spans="9:9" x14ac:dyDescent="0.2">
      <c r="I17609" s="137" t="s">
        <v>74</v>
      </c>
    </row>
    <row r="17610" spans="9:9" x14ac:dyDescent="0.2">
      <c r="I17610" s="137" t="s">
        <v>74</v>
      </c>
    </row>
    <row r="17611" spans="9:9" x14ac:dyDescent="0.2">
      <c r="I17611" s="137" t="s">
        <v>74</v>
      </c>
    </row>
    <row r="17612" spans="9:9" x14ac:dyDescent="0.2">
      <c r="I17612" s="137" t="s">
        <v>74</v>
      </c>
    </row>
    <row r="17613" spans="9:9" x14ac:dyDescent="0.2">
      <c r="I17613" s="137" t="s">
        <v>74</v>
      </c>
    </row>
    <row r="17614" spans="9:9" x14ac:dyDescent="0.2">
      <c r="I17614" s="137" t="s">
        <v>74</v>
      </c>
    </row>
    <row r="17615" spans="9:9" x14ac:dyDescent="0.2">
      <c r="I17615" s="137" t="s">
        <v>74</v>
      </c>
    </row>
    <row r="17616" spans="9:9" x14ac:dyDescent="0.2">
      <c r="I17616" s="137" t="s">
        <v>74</v>
      </c>
    </row>
    <row r="17617" spans="9:9" x14ac:dyDescent="0.2">
      <c r="I17617" s="137" t="s">
        <v>74</v>
      </c>
    </row>
    <row r="17618" spans="9:9" x14ac:dyDescent="0.2">
      <c r="I17618" s="137" t="s">
        <v>74</v>
      </c>
    </row>
    <row r="17619" spans="9:9" x14ac:dyDescent="0.2">
      <c r="I17619" s="137" t="s">
        <v>74</v>
      </c>
    </row>
    <row r="17620" spans="9:9" x14ac:dyDescent="0.2">
      <c r="I17620" s="137" t="s">
        <v>74</v>
      </c>
    </row>
    <row r="17621" spans="9:9" x14ac:dyDescent="0.2">
      <c r="I17621" s="137" t="s">
        <v>74</v>
      </c>
    </row>
    <row r="17622" spans="9:9" x14ac:dyDescent="0.2">
      <c r="I17622" s="137" t="s">
        <v>74</v>
      </c>
    </row>
    <row r="17623" spans="9:9" x14ac:dyDescent="0.2">
      <c r="I17623" s="137" t="s">
        <v>74</v>
      </c>
    </row>
    <row r="17624" spans="9:9" x14ac:dyDescent="0.2">
      <c r="I17624" s="137" t="s">
        <v>74</v>
      </c>
    </row>
    <row r="17625" spans="9:9" x14ac:dyDescent="0.2">
      <c r="I17625" s="137" t="s">
        <v>74</v>
      </c>
    </row>
    <row r="17626" spans="9:9" x14ac:dyDescent="0.2">
      <c r="I17626" s="137" t="s">
        <v>74</v>
      </c>
    </row>
    <row r="17627" spans="9:9" x14ac:dyDescent="0.2">
      <c r="I17627" s="137" t="s">
        <v>74</v>
      </c>
    </row>
    <row r="17628" spans="9:9" x14ac:dyDescent="0.2">
      <c r="I17628" s="137" t="s">
        <v>74</v>
      </c>
    </row>
    <row r="17629" spans="9:9" x14ac:dyDescent="0.2">
      <c r="I17629" s="137" t="s">
        <v>74</v>
      </c>
    </row>
    <row r="17630" spans="9:9" x14ac:dyDescent="0.2">
      <c r="I17630" s="137" t="s">
        <v>74</v>
      </c>
    </row>
    <row r="17631" spans="9:9" x14ac:dyDescent="0.2">
      <c r="I17631" s="137" t="s">
        <v>74</v>
      </c>
    </row>
    <row r="17632" spans="9:9" x14ac:dyDescent="0.2">
      <c r="I17632" s="137" t="s">
        <v>74</v>
      </c>
    </row>
    <row r="17633" spans="9:9" x14ac:dyDescent="0.2">
      <c r="I17633" s="137" t="s">
        <v>74</v>
      </c>
    </row>
    <row r="17634" spans="9:9" x14ac:dyDescent="0.2">
      <c r="I17634" s="137" t="s">
        <v>74</v>
      </c>
    </row>
    <row r="17635" spans="9:9" x14ac:dyDescent="0.2">
      <c r="I17635" s="137" t="s">
        <v>74</v>
      </c>
    </row>
    <row r="17636" spans="9:9" x14ac:dyDescent="0.2">
      <c r="I17636" s="137" t="s">
        <v>74</v>
      </c>
    </row>
    <row r="17637" spans="9:9" x14ac:dyDescent="0.2">
      <c r="I17637" s="137" t="s">
        <v>74</v>
      </c>
    </row>
    <row r="17638" spans="9:9" x14ac:dyDescent="0.2">
      <c r="I17638" s="137" t="s">
        <v>74</v>
      </c>
    </row>
    <row r="17639" spans="9:9" x14ac:dyDescent="0.2">
      <c r="I17639" s="137" t="s">
        <v>74</v>
      </c>
    </row>
    <row r="17640" spans="9:9" x14ac:dyDescent="0.2">
      <c r="I17640" s="137" t="s">
        <v>74</v>
      </c>
    </row>
    <row r="17641" spans="9:9" x14ac:dyDescent="0.2">
      <c r="I17641" s="137" t="s">
        <v>74</v>
      </c>
    </row>
    <row r="17642" spans="9:9" x14ac:dyDescent="0.2">
      <c r="I17642" s="137" t="s">
        <v>74</v>
      </c>
    </row>
    <row r="17643" spans="9:9" x14ac:dyDescent="0.2">
      <c r="I17643" s="137" t="s">
        <v>74</v>
      </c>
    </row>
    <row r="17644" spans="9:9" x14ac:dyDescent="0.2">
      <c r="I17644" s="137" t="s">
        <v>74</v>
      </c>
    </row>
    <row r="17645" spans="9:9" x14ac:dyDescent="0.2">
      <c r="I17645" s="137" t="s">
        <v>74</v>
      </c>
    </row>
    <row r="17646" spans="9:9" x14ac:dyDescent="0.2">
      <c r="I17646" s="137" t="s">
        <v>74</v>
      </c>
    </row>
    <row r="17647" spans="9:9" x14ac:dyDescent="0.2">
      <c r="I17647" s="137" t="s">
        <v>74</v>
      </c>
    </row>
    <row r="17648" spans="9:9" x14ac:dyDescent="0.2">
      <c r="I17648" s="137" t="s">
        <v>74</v>
      </c>
    </row>
    <row r="17649" spans="9:9" x14ac:dyDescent="0.2">
      <c r="I17649" s="137" t="s">
        <v>74</v>
      </c>
    </row>
    <row r="17650" spans="9:9" x14ac:dyDescent="0.2">
      <c r="I17650" s="137" t="s">
        <v>74</v>
      </c>
    </row>
    <row r="17651" spans="9:9" x14ac:dyDescent="0.2">
      <c r="I17651" s="137" t="s">
        <v>74</v>
      </c>
    </row>
    <row r="17652" spans="9:9" x14ac:dyDescent="0.2">
      <c r="I17652" s="137" t="s">
        <v>74</v>
      </c>
    </row>
    <row r="17653" spans="9:9" x14ac:dyDescent="0.2">
      <c r="I17653" s="137" t="s">
        <v>74</v>
      </c>
    </row>
    <row r="17654" spans="9:9" x14ac:dyDescent="0.2">
      <c r="I17654" s="137" t="s">
        <v>74</v>
      </c>
    </row>
    <row r="17655" spans="9:9" x14ac:dyDescent="0.2">
      <c r="I17655" s="137" t="s">
        <v>74</v>
      </c>
    </row>
    <row r="17656" spans="9:9" x14ac:dyDescent="0.2">
      <c r="I17656" s="137" t="s">
        <v>74</v>
      </c>
    </row>
    <row r="17657" spans="9:9" x14ac:dyDescent="0.2">
      <c r="I17657" s="137" t="s">
        <v>74</v>
      </c>
    </row>
    <row r="17658" spans="9:9" x14ac:dyDescent="0.2">
      <c r="I17658" s="137" t="s">
        <v>74</v>
      </c>
    </row>
    <row r="17659" spans="9:9" x14ac:dyDescent="0.2">
      <c r="I17659" s="137" t="s">
        <v>74</v>
      </c>
    </row>
    <row r="17660" spans="9:9" x14ac:dyDescent="0.2">
      <c r="I17660" s="137" t="s">
        <v>74</v>
      </c>
    </row>
    <row r="17661" spans="9:9" x14ac:dyDescent="0.2">
      <c r="I17661" s="137" t="s">
        <v>74</v>
      </c>
    </row>
    <row r="17662" spans="9:9" x14ac:dyDescent="0.2">
      <c r="I17662" s="137" t="s">
        <v>74</v>
      </c>
    </row>
    <row r="17663" spans="9:9" x14ac:dyDescent="0.2">
      <c r="I17663" s="137" t="s">
        <v>74</v>
      </c>
    </row>
    <row r="17664" spans="9:9" x14ac:dyDescent="0.2">
      <c r="I17664" s="137" t="s">
        <v>74</v>
      </c>
    </row>
    <row r="17665" spans="9:9" x14ac:dyDescent="0.2">
      <c r="I17665" s="137" t="s">
        <v>74</v>
      </c>
    </row>
    <row r="17666" spans="9:9" x14ac:dyDescent="0.2">
      <c r="I17666" s="137" t="s">
        <v>74</v>
      </c>
    </row>
    <row r="17667" spans="9:9" x14ac:dyDescent="0.2">
      <c r="I17667" s="137" t="s">
        <v>74</v>
      </c>
    </row>
    <row r="17668" spans="9:9" x14ac:dyDescent="0.2">
      <c r="I17668" s="137" t="s">
        <v>74</v>
      </c>
    </row>
    <row r="17669" spans="9:9" x14ac:dyDescent="0.2">
      <c r="I17669" s="137" t="s">
        <v>74</v>
      </c>
    </row>
    <row r="17670" spans="9:9" x14ac:dyDescent="0.2">
      <c r="I17670" s="137" t="s">
        <v>74</v>
      </c>
    </row>
    <row r="17671" spans="9:9" x14ac:dyDescent="0.2">
      <c r="I17671" s="137" t="s">
        <v>74</v>
      </c>
    </row>
    <row r="17672" spans="9:9" x14ac:dyDescent="0.2">
      <c r="I17672" s="137" t="s">
        <v>74</v>
      </c>
    </row>
    <row r="17673" spans="9:9" x14ac:dyDescent="0.2">
      <c r="I17673" s="137" t="s">
        <v>74</v>
      </c>
    </row>
    <row r="17674" spans="9:9" x14ac:dyDescent="0.2">
      <c r="I17674" s="137" t="s">
        <v>74</v>
      </c>
    </row>
    <row r="17675" spans="9:9" x14ac:dyDescent="0.2">
      <c r="I17675" s="137" t="s">
        <v>74</v>
      </c>
    </row>
    <row r="17676" spans="9:9" x14ac:dyDescent="0.2">
      <c r="I17676" s="137" t="s">
        <v>74</v>
      </c>
    </row>
    <row r="17677" spans="9:9" x14ac:dyDescent="0.2">
      <c r="I17677" s="137" t="s">
        <v>74</v>
      </c>
    </row>
    <row r="17678" spans="9:9" x14ac:dyDescent="0.2">
      <c r="I17678" s="137" t="s">
        <v>74</v>
      </c>
    </row>
    <row r="17679" spans="9:9" x14ac:dyDescent="0.2">
      <c r="I17679" s="137" t="s">
        <v>74</v>
      </c>
    </row>
    <row r="17680" spans="9:9" x14ac:dyDescent="0.2">
      <c r="I17680" s="137" t="s">
        <v>74</v>
      </c>
    </row>
    <row r="17681" spans="9:9" x14ac:dyDescent="0.2">
      <c r="I17681" s="137" t="s">
        <v>74</v>
      </c>
    </row>
    <row r="17682" spans="9:9" x14ac:dyDescent="0.2">
      <c r="I17682" s="137" t="s">
        <v>74</v>
      </c>
    </row>
    <row r="17683" spans="9:9" x14ac:dyDescent="0.2">
      <c r="I17683" s="137" t="s">
        <v>74</v>
      </c>
    </row>
    <row r="17684" spans="9:9" x14ac:dyDescent="0.2">
      <c r="I17684" s="137" t="s">
        <v>74</v>
      </c>
    </row>
    <row r="17685" spans="9:9" x14ac:dyDescent="0.2">
      <c r="I17685" s="137" t="s">
        <v>74</v>
      </c>
    </row>
    <row r="17686" spans="9:9" x14ac:dyDescent="0.2">
      <c r="I17686" s="137" t="s">
        <v>74</v>
      </c>
    </row>
    <row r="17687" spans="9:9" x14ac:dyDescent="0.2">
      <c r="I17687" s="137" t="s">
        <v>74</v>
      </c>
    </row>
    <row r="17688" spans="9:9" x14ac:dyDescent="0.2">
      <c r="I17688" s="137" t="s">
        <v>74</v>
      </c>
    </row>
    <row r="17689" spans="9:9" x14ac:dyDescent="0.2">
      <c r="I17689" s="137" t="s">
        <v>74</v>
      </c>
    </row>
    <row r="17690" spans="9:9" x14ac:dyDescent="0.2">
      <c r="I17690" s="137" t="s">
        <v>74</v>
      </c>
    </row>
    <row r="17691" spans="9:9" x14ac:dyDescent="0.2">
      <c r="I17691" s="137" t="s">
        <v>74</v>
      </c>
    </row>
    <row r="17692" spans="9:9" x14ac:dyDescent="0.2">
      <c r="I17692" s="137" t="s">
        <v>74</v>
      </c>
    </row>
    <row r="17693" spans="9:9" x14ac:dyDescent="0.2">
      <c r="I17693" s="137" t="s">
        <v>74</v>
      </c>
    </row>
    <row r="17694" spans="9:9" x14ac:dyDescent="0.2">
      <c r="I17694" s="137" t="s">
        <v>74</v>
      </c>
    </row>
    <row r="17695" spans="9:9" x14ac:dyDescent="0.2">
      <c r="I17695" s="137" t="s">
        <v>74</v>
      </c>
    </row>
    <row r="17696" spans="9:9" x14ac:dyDescent="0.2">
      <c r="I17696" s="137" t="s">
        <v>74</v>
      </c>
    </row>
    <row r="17697" spans="9:9" x14ac:dyDescent="0.2">
      <c r="I17697" s="137" t="s">
        <v>74</v>
      </c>
    </row>
    <row r="17698" spans="9:9" x14ac:dyDescent="0.2">
      <c r="I17698" s="137" t="s">
        <v>74</v>
      </c>
    </row>
    <row r="17699" spans="9:9" x14ac:dyDescent="0.2">
      <c r="I17699" s="137" t="s">
        <v>74</v>
      </c>
    </row>
    <row r="17700" spans="9:9" x14ac:dyDescent="0.2">
      <c r="I17700" s="137" t="s">
        <v>74</v>
      </c>
    </row>
    <row r="17701" spans="9:9" x14ac:dyDescent="0.2">
      <c r="I17701" s="137" t="s">
        <v>74</v>
      </c>
    </row>
    <row r="17702" spans="9:9" x14ac:dyDescent="0.2">
      <c r="I17702" s="137" t="s">
        <v>74</v>
      </c>
    </row>
    <row r="17703" spans="9:9" x14ac:dyDescent="0.2">
      <c r="I17703" s="137" t="s">
        <v>74</v>
      </c>
    </row>
    <row r="17704" spans="9:9" x14ac:dyDescent="0.2">
      <c r="I17704" s="137" t="s">
        <v>74</v>
      </c>
    </row>
    <row r="17705" spans="9:9" x14ac:dyDescent="0.2">
      <c r="I17705" s="137" t="s">
        <v>74</v>
      </c>
    </row>
    <row r="17706" spans="9:9" x14ac:dyDescent="0.2">
      <c r="I17706" s="137" t="s">
        <v>74</v>
      </c>
    </row>
    <row r="17707" spans="9:9" x14ac:dyDescent="0.2">
      <c r="I17707" s="137" t="s">
        <v>74</v>
      </c>
    </row>
    <row r="17708" spans="9:9" x14ac:dyDescent="0.2">
      <c r="I17708" s="137" t="s">
        <v>74</v>
      </c>
    </row>
    <row r="17709" spans="9:9" x14ac:dyDescent="0.2">
      <c r="I17709" s="137" t="s">
        <v>74</v>
      </c>
    </row>
    <row r="17710" spans="9:9" x14ac:dyDescent="0.2">
      <c r="I17710" s="137" t="s">
        <v>74</v>
      </c>
    </row>
    <row r="17711" spans="9:9" x14ac:dyDescent="0.2">
      <c r="I17711" s="137" t="s">
        <v>74</v>
      </c>
    </row>
    <row r="17712" spans="9:9" x14ac:dyDescent="0.2">
      <c r="I17712" s="137" t="s">
        <v>74</v>
      </c>
    </row>
    <row r="17713" spans="9:9" x14ac:dyDescent="0.2">
      <c r="I17713" s="137" t="s">
        <v>74</v>
      </c>
    </row>
    <row r="17714" spans="9:9" x14ac:dyDescent="0.2">
      <c r="I17714" s="137" t="s">
        <v>74</v>
      </c>
    </row>
    <row r="17715" spans="9:9" x14ac:dyDescent="0.2">
      <c r="I17715" s="137" t="s">
        <v>74</v>
      </c>
    </row>
    <row r="17716" spans="9:9" x14ac:dyDescent="0.2">
      <c r="I17716" s="137" t="s">
        <v>74</v>
      </c>
    </row>
    <row r="17717" spans="9:9" x14ac:dyDescent="0.2">
      <c r="I17717" s="137" t="s">
        <v>74</v>
      </c>
    </row>
    <row r="17718" spans="9:9" x14ac:dyDescent="0.2">
      <c r="I17718" s="137" t="s">
        <v>74</v>
      </c>
    </row>
    <row r="17719" spans="9:9" x14ac:dyDescent="0.2">
      <c r="I17719" s="137" t="s">
        <v>74</v>
      </c>
    </row>
    <row r="17720" spans="9:9" x14ac:dyDescent="0.2">
      <c r="I17720" s="137" t="s">
        <v>74</v>
      </c>
    </row>
    <row r="17721" spans="9:9" x14ac:dyDescent="0.2">
      <c r="I17721" s="137" t="s">
        <v>74</v>
      </c>
    </row>
    <row r="17722" spans="9:9" x14ac:dyDescent="0.2">
      <c r="I17722" s="137" t="s">
        <v>74</v>
      </c>
    </row>
    <row r="17723" spans="9:9" x14ac:dyDescent="0.2">
      <c r="I17723" s="137" t="s">
        <v>74</v>
      </c>
    </row>
    <row r="17724" spans="9:9" x14ac:dyDescent="0.2">
      <c r="I17724" s="137" t="s">
        <v>74</v>
      </c>
    </row>
    <row r="17725" spans="9:9" x14ac:dyDescent="0.2">
      <c r="I17725" s="137" t="s">
        <v>74</v>
      </c>
    </row>
    <row r="17726" spans="9:9" x14ac:dyDescent="0.2">
      <c r="I17726" s="137" t="s">
        <v>74</v>
      </c>
    </row>
    <row r="17727" spans="9:9" x14ac:dyDescent="0.2">
      <c r="I17727" s="137" t="s">
        <v>74</v>
      </c>
    </row>
    <row r="17728" spans="9:9" x14ac:dyDescent="0.2">
      <c r="I17728" s="137" t="s">
        <v>74</v>
      </c>
    </row>
    <row r="17729" spans="9:9" x14ac:dyDescent="0.2">
      <c r="I17729" s="137" t="s">
        <v>74</v>
      </c>
    </row>
    <row r="17730" spans="9:9" x14ac:dyDescent="0.2">
      <c r="I17730" s="137" t="s">
        <v>74</v>
      </c>
    </row>
    <row r="17731" spans="9:9" x14ac:dyDescent="0.2">
      <c r="I17731" s="137" t="s">
        <v>74</v>
      </c>
    </row>
    <row r="17732" spans="9:9" x14ac:dyDescent="0.2">
      <c r="I17732" s="137" t="s">
        <v>74</v>
      </c>
    </row>
    <row r="17733" spans="9:9" x14ac:dyDescent="0.2">
      <c r="I17733" s="137" t="s">
        <v>74</v>
      </c>
    </row>
    <row r="17734" spans="9:9" x14ac:dyDescent="0.2">
      <c r="I17734" s="137" t="s">
        <v>74</v>
      </c>
    </row>
    <row r="17735" spans="9:9" x14ac:dyDescent="0.2">
      <c r="I17735" s="137" t="s">
        <v>74</v>
      </c>
    </row>
    <row r="17736" spans="9:9" x14ac:dyDescent="0.2">
      <c r="I17736" s="137" t="s">
        <v>74</v>
      </c>
    </row>
    <row r="17737" spans="9:9" x14ac:dyDescent="0.2">
      <c r="I17737" s="137" t="s">
        <v>74</v>
      </c>
    </row>
    <row r="17738" spans="9:9" x14ac:dyDescent="0.2">
      <c r="I17738" s="137" t="s">
        <v>74</v>
      </c>
    </row>
    <row r="17739" spans="9:9" x14ac:dyDescent="0.2">
      <c r="I17739" s="137" t="s">
        <v>74</v>
      </c>
    </row>
    <row r="17740" spans="9:9" x14ac:dyDescent="0.2">
      <c r="I17740" s="137" t="s">
        <v>74</v>
      </c>
    </row>
    <row r="17741" spans="9:9" x14ac:dyDescent="0.2">
      <c r="I17741" s="137" t="s">
        <v>74</v>
      </c>
    </row>
    <row r="17742" spans="9:9" x14ac:dyDescent="0.2">
      <c r="I17742" s="137" t="s">
        <v>74</v>
      </c>
    </row>
    <row r="17743" spans="9:9" x14ac:dyDescent="0.2">
      <c r="I17743" s="137" t="s">
        <v>74</v>
      </c>
    </row>
    <row r="17744" spans="9:9" x14ac:dyDescent="0.2">
      <c r="I17744" s="137" t="s">
        <v>74</v>
      </c>
    </row>
    <row r="17745" spans="9:9" x14ac:dyDescent="0.2">
      <c r="I17745" s="137" t="s">
        <v>74</v>
      </c>
    </row>
    <row r="17746" spans="9:9" x14ac:dyDescent="0.2">
      <c r="I17746" s="137" t="s">
        <v>74</v>
      </c>
    </row>
    <row r="17747" spans="9:9" x14ac:dyDescent="0.2">
      <c r="I17747" s="137" t="s">
        <v>74</v>
      </c>
    </row>
    <row r="17748" spans="9:9" x14ac:dyDescent="0.2">
      <c r="I17748" s="137" t="s">
        <v>74</v>
      </c>
    </row>
    <row r="17749" spans="9:9" x14ac:dyDescent="0.2">
      <c r="I17749" s="137" t="s">
        <v>74</v>
      </c>
    </row>
    <row r="17750" spans="9:9" x14ac:dyDescent="0.2">
      <c r="I17750" s="137" t="s">
        <v>74</v>
      </c>
    </row>
    <row r="17751" spans="9:9" x14ac:dyDescent="0.2">
      <c r="I17751" s="137" t="s">
        <v>74</v>
      </c>
    </row>
    <row r="17752" spans="9:9" x14ac:dyDescent="0.2">
      <c r="I17752" s="137" t="s">
        <v>74</v>
      </c>
    </row>
    <row r="17753" spans="9:9" x14ac:dyDescent="0.2">
      <c r="I17753" s="137" t="s">
        <v>74</v>
      </c>
    </row>
    <row r="17754" spans="9:9" x14ac:dyDescent="0.2">
      <c r="I17754" s="137" t="s">
        <v>74</v>
      </c>
    </row>
    <row r="17755" spans="9:9" x14ac:dyDescent="0.2">
      <c r="I17755" s="137" t="s">
        <v>74</v>
      </c>
    </row>
    <row r="17756" spans="9:9" x14ac:dyDescent="0.2">
      <c r="I17756" s="137" t="s">
        <v>74</v>
      </c>
    </row>
    <row r="17757" spans="9:9" x14ac:dyDescent="0.2">
      <c r="I17757" s="137" t="s">
        <v>74</v>
      </c>
    </row>
    <row r="17758" spans="9:9" x14ac:dyDescent="0.2">
      <c r="I17758" s="137" t="s">
        <v>74</v>
      </c>
    </row>
    <row r="17759" spans="9:9" x14ac:dyDescent="0.2">
      <c r="I17759" s="137" t="s">
        <v>74</v>
      </c>
    </row>
    <row r="17760" spans="9:9" x14ac:dyDescent="0.2">
      <c r="I17760" s="137" t="s">
        <v>74</v>
      </c>
    </row>
    <row r="17761" spans="9:9" x14ac:dyDescent="0.2">
      <c r="I17761" s="137" t="s">
        <v>74</v>
      </c>
    </row>
    <row r="17762" spans="9:9" x14ac:dyDescent="0.2">
      <c r="I17762" s="137" t="s">
        <v>74</v>
      </c>
    </row>
    <row r="17763" spans="9:9" x14ac:dyDescent="0.2">
      <c r="I17763" s="137" t="s">
        <v>74</v>
      </c>
    </row>
    <row r="17764" spans="9:9" x14ac:dyDescent="0.2">
      <c r="I17764" s="137" t="s">
        <v>74</v>
      </c>
    </row>
    <row r="17765" spans="9:9" x14ac:dyDescent="0.2">
      <c r="I17765" s="137" t="s">
        <v>74</v>
      </c>
    </row>
    <row r="17766" spans="9:9" x14ac:dyDescent="0.2">
      <c r="I17766" s="137" t="s">
        <v>74</v>
      </c>
    </row>
    <row r="17767" spans="9:9" x14ac:dyDescent="0.2">
      <c r="I17767" s="137" t="s">
        <v>74</v>
      </c>
    </row>
    <row r="17768" spans="9:9" x14ac:dyDescent="0.2">
      <c r="I17768" s="137" t="s">
        <v>74</v>
      </c>
    </row>
    <row r="17769" spans="9:9" x14ac:dyDescent="0.2">
      <c r="I17769" s="137" t="s">
        <v>74</v>
      </c>
    </row>
    <row r="17770" spans="9:9" x14ac:dyDescent="0.2">
      <c r="I17770" s="137" t="s">
        <v>74</v>
      </c>
    </row>
    <row r="17771" spans="9:9" x14ac:dyDescent="0.2">
      <c r="I17771" s="137" t="s">
        <v>74</v>
      </c>
    </row>
    <row r="17772" spans="9:9" x14ac:dyDescent="0.2">
      <c r="I17772" s="137" t="s">
        <v>74</v>
      </c>
    </row>
    <row r="17773" spans="9:9" x14ac:dyDescent="0.2">
      <c r="I17773" s="137" t="s">
        <v>74</v>
      </c>
    </row>
    <row r="17774" spans="9:9" x14ac:dyDescent="0.2">
      <c r="I17774" s="137" t="s">
        <v>74</v>
      </c>
    </row>
    <row r="17775" spans="9:9" x14ac:dyDescent="0.2">
      <c r="I17775" s="137" t="s">
        <v>74</v>
      </c>
    </row>
    <row r="17776" spans="9:9" x14ac:dyDescent="0.2">
      <c r="I17776" s="137" t="s">
        <v>74</v>
      </c>
    </row>
    <row r="17777" spans="9:9" x14ac:dyDescent="0.2">
      <c r="I17777" s="137" t="s">
        <v>74</v>
      </c>
    </row>
    <row r="17778" spans="9:9" x14ac:dyDescent="0.2">
      <c r="I17778" s="137" t="s">
        <v>74</v>
      </c>
    </row>
    <row r="17779" spans="9:9" x14ac:dyDescent="0.2">
      <c r="I17779" s="137" t="s">
        <v>74</v>
      </c>
    </row>
    <row r="17780" spans="9:9" x14ac:dyDescent="0.2">
      <c r="I17780" s="137" t="s">
        <v>74</v>
      </c>
    </row>
    <row r="17781" spans="9:9" x14ac:dyDescent="0.2">
      <c r="I17781" s="137" t="s">
        <v>74</v>
      </c>
    </row>
    <row r="17782" spans="9:9" x14ac:dyDescent="0.2">
      <c r="I17782" s="137" t="s">
        <v>74</v>
      </c>
    </row>
    <row r="17783" spans="9:9" x14ac:dyDescent="0.2">
      <c r="I17783" s="137" t="s">
        <v>74</v>
      </c>
    </row>
    <row r="17784" spans="9:9" x14ac:dyDescent="0.2">
      <c r="I17784" s="137" t="s">
        <v>74</v>
      </c>
    </row>
    <row r="17785" spans="9:9" x14ac:dyDescent="0.2">
      <c r="I17785" s="137" t="s">
        <v>74</v>
      </c>
    </row>
    <row r="17786" spans="9:9" x14ac:dyDescent="0.2">
      <c r="I17786" s="137" t="s">
        <v>74</v>
      </c>
    </row>
    <row r="17787" spans="9:9" x14ac:dyDescent="0.2">
      <c r="I17787" s="137" t="s">
        <v>74</v>
      </c>
    </row>
    <row r="17788" spans="9:9" x14ac:dyDescent="0.2">
      <c r="I17788" s="137" t="s">
        <v>74</v>
      </c>
    </row>
    <row r="17789" spans="9:9" x14ac:dyDescent="0.2">
      <c r="I17789" s="137" t="s">
        <v>74</v>
      </c>
    </row>
    <row r="17790" spans="9:9" x14ac:dyDescent="0.2">
      <c r="I17790" s="137" t="s">
        <v>74</v>
      </c>
    </row>
    <row r="17791" spans="9:9" x14ac:dyDescent="0.2">
      <c r="I17791" s="137" t="s">
        <v>74</v>
      </c>
    </row>
    <row r="17792" spans="9:9" x14ac:dyDescent="0.2">
      <c r="I17792" s="137" t="s">
        <v>74</v>
      </c>
    </row>
    <row r="17793" spans="9:9" x14ac:dyDescent="0.2">
      <c r="I17793" s="137" t="s">
        <v>74</v>
      </c>
    </row>
    <row r="17794" spans="9:9" x14ac:dyDescent="0.2">
      <c r="I17794" s="137" t="s">
        <v>74</v>
      </c>
    </row>
    <row r="17795" spans="9:9" x14ac:dyDescent="0.2">
      <c r="I17795" s="137" t="s">
        <v>74</v>
      </c>
    </row>
    <row r="17796" spans="9:9" x14ac:dyDescent="0.2">
      <c r="I17796" s="137" t="s">
        <v>74</v>
      </c>
    </row>
    <row r="17797" spans="9:9" x14ac:dyDescent="0.2">
      <c r="I17797" s="137" t="s">
        <v>74</v>
      </c>
    </row>
    <row r="17798" spans="9:9" x14ac:dyDescent="0.2">
      <c r="I17798" s="137" t="s">
        <v>74</v>
      </c>
    </row>
    <row r="17799" spans="9:9" x14ac:dyDescent="0.2">
      <c r="I17799" s="137" t="s">
        <v>74</v>
      </c>
    </row>
    <row r="17800" spans="9:9" x14ac:dyDescent="0.2">
      <c r="I17800" s="137" t="s">
        <v>74</v>
      </c>
    </row>
    <row r="17801" spans="9:9" x14ac:dyDescent="0.2">
      <c r="I17801" s="137" t="s">
        <v>74</v>
      </c>
    </row>
    <row r="17802" spans="9:9" x14ac:dyDescent="0.2">
      <c r="I17802" s="137" t="s">
        <v>74</v>
      </c>
    </row>
    <row r="17803" spans="9:9" x14ac:dyDescent="0.2">
      <c r="I17803" s="137" t="s">
        <v>74</v>
      </c>
    </row>
    <row r="17804" spans="9:9" x14ac:dyDescent="0.2">
      <c r="I17804" s="137" t="s">
        <v>74</v>
      </c>
    </row>
    <row r="17805" spans="9:9" x14ac:dyDescent="0.2">
      <c r="I17805" s="137" t="s">
        <v>74</v>
      </c>
    </row>
    <row r="17806" spans="9:9" x14ac:dyDescent="0.2">
      <c r="I17806" s="137" t="s">
        <v>74</v>
      </c>
    </row>
    <row r="17807" spans="9:9" x14ac:dyDescent="0.2">
      <c r="I17807" s="137" t="s">
        <v>74</v>
      </c>
    </row>
    <row r="17808" spans="9:9" x14ac:dyDescent="0.2">
      <c r="I17808" s="137" t="s">
        <v>74</v>
      </c>
    </row>
    <row r="17809" spans="9:9" x14ac:dyDescent="0.2">
      <c r="I17809" s="137" t="s">
        <v>74</v>
      </c>
    </row>
    <row r="17810" spans="9:9" x14ac:dyDescent="0.2">
      <c r="I17810" s="137" t="s">
        <v>74</v>
      </c>
    </row>
    <row r="17811" spans="9:9" x14ac:dyDescent="0.2">
      <c r="I17811" s="137" t="s">
        <v>74</v>
      </c>
    </row>
    <row r="17812" spans="9:9" x14ac:dyDescent="0.2">
      <c r="I17812" s="137" t="s">
        <v>74</v>
      </c>
    </row>
    <row r="17813" spans="9:9" x14ac:dyDescent="0.2">
      <c r="I17813" s="137" t="s">
        <v>74</v>
      </c>
    </row>
    <row r="17814" spans="9:9" x14ac:dyDescent="0.2">
      <c r="I17814" s="137" t="s">
        <v>74</v>
      </c>
    </row>
    <row r="17815" spans="9:9" x14ac:dyDescent="0.2">
      <c r="I17815" s="137" t="s">
        <v>74</v>
      </c>
    </row>
    <row r="17816" spans="9:9" x14ac:dyDescent="0.2">
      <c r="I17816" s="137" t="s">
        <v>74</v>
      </c>
    </row>
    <row r="17817" spans="9:9" x14ac:dyDescent="0.2">
      <c r="I17817" s="137" t="s">
        <v>74</v>
      </c>
    </row>
    <row r="17818" spans="9:9" x14ac:dyDescent="0.2">
      <c r="I17818" s="137" t="s">
        <v>74</v>
      </c>
    </row>
    <row r="17819" spans="9:9" x14ac:dyDescent="0.2">
      <c r="I17819" s="137" t="s">
        <v>74</v>
      </c>
    </row>
    <row r="17820" spans="9:9" x14ac:dyDescent="0.2">
      <c r="I17820" s="137" t="s">
        <v>74</v>
      </c>
    </row>
    <row r="17821" spans="9:9" x14ac:dyDescent="0.2">
      <c r="I17821" s="137" t="s">
        <v>74</v>
      </c>
    </row>
    <row r="17822" spans="9:9" x14ac:dyDescent="0.2">
      <c r="I17822" s="137" t="s">
        <v>74</v>
      </c>
    </row>
    <row r="17823" spans="9:9" x14ac:dyDescent="0.2">
      <c r="I17823" s="137" t="s">
        <v>74</v>
      </c>
    </row>
    <row r="17824" spans="9:9" x14ac:dyDescent="0.2">
      <c r="I17824" s="137" t="s">
        <v>74</v>
      </c>
    </row>
    <row r="17825" spans="9:9" x14ac:dyDescent="0.2">
      <c r="I17825" s="137" t="s">
        <v>74</v>
      </c>
    </row>
    <row r="17826" spans="9:9" x14ac:dyDescent="0.2">
      <c r="I17826" s="137" t="s">
        <v>74</v>
      </c>
    </row>
    <row r="17827" spans="9:9" x14ac:dyDescent="0.2">
      <c r="I17827" s="137" t="s">
        <v>74</v>
      </c>
    </row>
    <row r="17828" spans="9:9" x14ac:dyDescent="0.2">
      <c r="I17828" s="137" t="s">
        <v>74</v>
      </c>
    </row>
    <row r="17829" spans="9:9" x14ac:dyDescent="0.2">
      <c r="I17829" s="137" t="s">
        <v>74</v>
      </c>
    </row>
    <row r="17830" spans="9:9" x14ac:dyDescent="0.2">
      <c r="I17830" s="137" t="s">
        <v>74</v>
      </c>
    </row>
    <row r="17831" spans="9:9" x14ac:dyDescent="0.2">
      <c r="I17831" s="137" t="s">
        <v>74</v>
      </c>
    </row>
    <row r="17832" spans="9:9" x14ac:dyDescent="0.2">
      <c r="I17832" s="137" t="s">
        <v>74</v>
      </c>
    </row>
    <row r="17833" spans="9:9" x14ac:dyDescent="0.2">
      <c r="I17833" s="137" t="s">
        <v>74</v>
      </c>
    </row>
    <row r="17834" spans="9:9" x14ac:dyDescent="0.2">
      <c r="I17834" s="137" t="s">
        <v>74</v>
      </c>
    </row>
    <row r="17835" spans="9:9" x14ac:dyDescent="0.2">
      <c r="I17835" s="137" t="s">
        <v>74</v>
      </c>
    </row>
    <row r="17836" spans="9:9" x14ac:dyDescent="0.2">
      <c r="I17836" s="137" t="s">
        <v>74</v>
      </c>
    </row>
    <row r="17837" spans="9:9" x14ac:dyDescent="0.2">
      <c r="I17837" s="137" t="s">
        <v>74</v>
      </c>
    </row>
    <row r="17838" spans="9:9" x14ac:dyDescent="0.2">
      <c r="I17838" s="137" t="s">
        <v>74</v>
      </c>
    </row>
    <row r="17839" spans="9:9" x14ac:dyDescent="0.2">
      <c r="I17839" s="137" t="s">
        <v>74</v>
      </c>
    </row>
    <row r="17840" spans="9:9" x14ac:dyDescent="0.2">
      <c r="I17840" s="137" t="s">
        <v>74</v>
      </c>
    </row>
    <row r="17841" spans="9:9" x14ac:dyDescent="0.2">
      <c r="I17841" s="137" t="s">
        <v>74</v>
      </c>
    </row>
    <row r="17842" spans="9:9" x14ac:dyDescent="0.2">
      <c r="I17842" s="137" t="s">
        <v>74</v>
      </c>
    </row>
    <row r="17843" spans="9:9" x14ac:dyDescent="0.2">
      <c r="I17843" s="137" t="s">
        <v>74</v>
      </c>
    </row>
    <row r="17844" spans="9:9" x14ac:dyDescent="0.2">
      <c r="I17844" s="137" t="s">
        <v>74</v>
      </c>
    </row>
    <row r="17845" spans="9:9" x14ac:dyDescent="0.2">
      <c r="I17845" s="137" t="s">
        <v>74</v>
      </c>
    </row>
    <row r="17846" spans="9:9" x14ac:dyDescent="0.2">
      <c r="I17846" s="137" t="s">
        <v>74</v>
      </c>
    </row>
    <row r="17847" spans="9:9" x14ac:dyDescent="0.2">
      <c r="I17847" s="137" t="s">
        <v>74</v>
      </c>
    </row>
    <row r="17848" spans="9:9" x14ac:dyDescent="0.2">
      <c r="I17848" s="137" t="s">
        <v>74</v>
      </c>
    </row>
    <row r="17849" spans="9:9" x14ac:dyDescent="0.2">
      <c r="I17849" s="137" t="s">
        <v>74</v>
      </c>
    </row>
    <row r="17850" spans="9:9" x14ac:dyDescent="0.2">
      <c r="I17850" s="137" t="s">
        <v>74</v>
      </c>
    </row>
    <row r="17851" spans="9:9" x14ac:dyDescent="0.2">
      <c r="I17851" s="137" t="s">
        <v>74</v>
      </c>
    </row>
    <row r="17852" spans="9:9" x14ac:dyDescent="0.2">
      <c r="I17852" s="137" t="s">
        <v>74</v>
      </c>
    </row>
    <row r="17853" spans="9:9" x14ac:dyDescent="0.2">
      <c r="I17853" s="137" t="s">
        <v>74</v>
      </c>
    </row>
    <row r="17854" spans="9:9" x14ac:dyDescent="0.2">
      <c r="I17854" s="137" t="s">
        <v>74</v>
      </c>
    </row>
    <row r="17855" spans="9:9" x14ac:dyDescent="0.2">
      <c r="I17855" s="137" t="s">
        <v>74</v>
      </c>
    </row>
    <row r="17856" spans="9:9" x14ac:dyDescent="0.2">
      <c r="I17856" s="137" t="s">
        <v>74</v>
      </c>
    </row>
    <row r="17857" spans="9:9" x14ac:dyDescent="0.2">
      <c r="I17857" s="137" t="s">
        <v>74</v>
      </c>
    </row>
    <row r="17858" spans="9:9" x14ac:dyDescent="0.2">
      <c r="I17858" s="137" t="s">
        <v>74</v>
      </c>
    </row>
    <row r="17859" spans="9:9" x14ac:dyDescent="0.2">
      <c r="I17859" s="137" t="s">
        <v>74</v>
      </c>
    </row>
    <row r="17860" spans="9:9" x14ac:dyDescent="0.2">
      <c r="I17860" s="137" t="s">
        <v>74</v>
      </c>
    </row>
    <row r="17861" spans="9:9" x14ac:dyDescent="0.2">
      <c r="I17861" s="137" t="s">
        <v>74</v>
      </c>
    </row>
    <row r="17862" spans="9:9" x14ac:dyDescent="0.2">
      <c r="I17862" s="137" t="s">
        <v>74</v>
      </c>
    </row>
    <row r="17863" spans="9:9" x14ac:dyDescent="0.2">
      <c r="I17863" s="137" t="s">
        <v>74</v>
      </c>
    </row>
    <row r="17864" spans="9:9" x14ac:dyDescent="0.2">
      <c r="I17864" s="137" t="s">
        <v>74</v>
      </c>
    </row>
    <row r="17865" spans="9:9" x14ac:dyDescent="0.2">
      <c r="I17865" s="137" t="s">
        <v>74</v>
      </c>
    </row>
    <row r="17866" spans="9:9" x14ac:dyDescent="0.2">
      <c r="I17866" s="137" t="s">
        <v>74</v>
      </c>
    </row>
    <row r="17867" spans="9:9" x14ac:dyDescent="0.2">
      <c r="I17867" s="137" t="s">
        <v>74</v>
      </c>
    </row>
    <row r="17868" spans="9:9" x14ac:dyDescent="0.2">
      <c r="I17868" s="137" t="s">
        <v>74</v>
      </c>
    </row>
    <row r="17869" spans="9:9" x14ac:dyDescent="0.2">
      <c r="I17869" s="137" t="s">
        <v>74</v>
      </c>
    </row>
    <row r="17870" spans="9:9" x14ac:dyDescent="0.2">
      <c r="I17870" s="137" t="s">
        <v>74</v>
      </c>
    </row>
    <row r="17871" spans="9:9" x14ac:dyDescent="0.2">
      <c r="I17871" s="137" t="s">
        <v>74</v>
      </c>
    </row>
    <row r="17872" spans="9:9" x14ac:dyDescent="0.2">
      <c r="I17872" s="137" t="s">
        <v>74</v>
      </c>
    </row>
    <row r="17873" spans="9:9" x14ac:dyDescent="0.2">
      <c r="I17873" s="137" t="s">
        <v>74</v>
      </c>
    </row>
    <row r="17874" spans="9:9" x14ac:dyDescent="0.2">
      <c r="I17874" s="137" t="s">
        <v>74</v>
      </c>
    </row>
    <row r="17875" spans="9:9" x14ac:dyDescent="0.2">
      <c r="I17875" s="137" t="s">
        <v>74</v>
      </c>
    </row>
    <row r="17876" spans="9:9" x14ac:dyDescent="0.2">
      <c r="I17876" s="137" t="s">
        <v>74</v>
      </c>
    </row>
    <row r="17877" spans="9:9" x14ac:dyDescent="0.2">
      <c r="I17877" s="137" t="s">
        <v>74</v>
      </c>
    </row>
    <row r="17878" spans="9:9" x14ac:dyDescent="0.2">
      <c r="I17878" s="137" t="s">
        <v>74</v>
      </c>
    </row>
    <row r="17879" spans="9:9" x14ac:dyDescent="0.2">
      <c r="I17879" s="137" t="s">
        <v>74</v>
      </c>
    </row>
    <row r="17880" spans="9:9" x14ac:dyDescent="0.2">
      <c r="I17880" s="137" t="s">
        <v>74</v>
      </c>
    </row>
    <row r="17881" spans="9:9" x14ac:dyDescent="0.2">
      <c r="I17881" s="137" t="s">
        <v>74</v>
      </c>
    </row>
    <row r="17882" spans="9:9" x14ac:dyDescent="0.2">
      <c r="I17882" s="137" t="s">
        <v>74</v>
      </c>
    </row>
    <row r="17883" spans="9:9" x14ac:dyDescent="0.2">
      <c r="I17883" s="137" t="s">
        <v>74</v>
      </c>
    </row>
    <row r="17884" spans="9:9" x14ac:dyDescent="0.2">
      <c r="I17884" s="137" t="s">
        <v>74</v>
      </c>
    </row>
    <row r="17885" spans="9:9" x14ac:dyDescent="0.2">
      <c r="I17885" s="137" t="s">
        <v>74</v>
      </c>
    </row>
    <row r="17886" spans="9:9" x14ac:dyDescent="0.2">
      <c r="I17886" s="137" t="s">
        <v>74</v>
      </c>
    </row>
    <row r="17887" spans="9:9" x14ac:dyDescent="0.2">
      <c r="I17887" s="137" t="s">
        <v>74</v>
      </c>
    </row>
    <row r="17888" spans="9:9" x14ac:dyDescent="0.2">
      <c r="I17888" s="137" t="s">
        <v>74</v>
      </c>
    </row>
    <row r="17889" spans="9:9" x14ac:dyDescent="0.2">
      <c r="I17889" s="137" t="s">
        <v>74</v>
      </c>
    </row>
    <row r="17890" spans="9:9" x14ac:dyDescent="0.2">
      <c r="I17890" s="137" t="s">
        <v>74</v>
      </c>
    </row>
    <row r="17891" spans="9:9" x14ac:dyDescent="0.2">
      <c r="I17891" s="137" t="s">
        <v>74</v>
      </c>
    </row>
    <row r="17892" spans="9:9" x14ac:dyDescent="0.2">
      <c r="I17892" s="137" t="s">
        <v>74</v>
      </c>
    </row>
    <row r="17893" spans="9:9" x14ac:dyDescent="0.2">
      <c r="I17893" s="137" t="s">
        <v>74</v>
      </c>
    </row>
    <row r="17894" spans="9:9" x14ac:dyDescent="0.2">
      <c r="I17894" s="137" t="s">
        <v>74</v>
      </c>
    </row>
    <row r="17895" spans="9:9" x14ac:dyDescent="0.2">
      <c r="I17895" s="137" t="s">
        <v>74</v>
      </c>
    </row>
    <row r="17896" spans="9:9" x14ac:dyDescent="0.2">
      <c r="I17896" s="137" t="s">
        <v>74</v>
      </c>
    </row>
    <row r="17897" spans="9:9" x14ac:dyDescent="0.2">
      <c r="I17897" s="137" t="s">
        <v>74</v>
      </c>
    </row>
    <row r="17898" spans="9:9" x14ac:dyDescent="0.2">
      <c r="I17898" s="137" t="s">
        <v>74</v>
      </c>
    </row>
    <row r="17899" spans="9:9" x14ac:dyDescent="0.2">
      <c r="I17899" s="137" t="s">
        <v>74</v>
      </c>
    </row>
    <row r="17900" spans="9:9" x14ac:dyDescent="0.2">
      <c r="I17900" s="137" t="s">
        <v>74</v>
      </c>
    </row>
    <row r="17901" spans="9:9" x14ac:dyDescent="0.2">
      <c r="I17901" s="137" t="s">
        <v>74</v>
      </c>
    </row>
    <row r="17902" spans="9:9" x14ac:dyDescent="0.2">
      <c r="I17902" s="137" t="s">
        <v>74</v>
      </c>
    </row>
    <row r="17903" spans="9:9" x14ac:dyDescent="0.2">
      <c r="I17903" s="137" t="s">
        <v>74</v>
      </c>
    </row>
    <row r="17904" spans="9:9" x14ac:dyDescent="0.2">
      <c r="I17904" s="137" t="s">
        <v>74</v>
      </c>
    </row>
    <row r="17905" spans="9:9" x14ac:dyDescent="0.2">
      <c r="I17905" s="137" t="s">
        <v>74</v>
      </c>
    </row>
    <row r="17906" spans="9:9" x14ac:dyDescent="0.2">
      <c r="I17906" s="137" t="s">
        <v>74</v>
      </c>
    </row>
    <row r="17907" spans="9:9" x14ac:dyDescent="0.2">
      <c r="I17907" s="137" t="s">
        <v>74</v>
      </c>
    </row>
    <row r="17908" spans="9:9" x14ac:dyDescent="0.2">
      <c r="I17908" s="137" t="s">
        <v>74</v>
      </c>
    </row>
    <row r="17909" spans="9:9" x14ac:dyDescent="0.2">
      <c r="I17909" s="137" t="s">
        <v>74</v>
      </c>
    </row>
    <row r="17910" spans="9:9" x14ac:dyDescent="0.2">
      <c r="I17910" s="137" t="s">
        <v>74</v>
      </c>
    </row>
    <row r="17911" spans="9:9" x14ac:dyDescent="0.2">
      <c r="I17911" s="137" t="s">
        <v>74</v>
      </c>
    </row>
    <row r="17912" spans="9:9" x14ac:dyDescent="0.2">
      <c r="I17912" s="137" t="s">
        <v>74</v>
      </c>
    </row>
    <row r="17913" spans="9:9" x14ac:dyDescent="0.2">
      <c r="I17913" s="137" t="s">
        <v>74</v>
      </c>
    </row>
    <row r="17914" spans="9:9" x14ac:dyDescent="0.2">
      <c r="I17914" s="137" t="s">
        <v>74</v>
      </c>
    </row>
    <row r="17915" spans="9:9" x14ac:dyDescent="0.2">
      <c r="I17915" s="137" t="s">
        <v>74</v>
      </c>
    </row>
    <row r="17916" spans="9:9" x14ac:dyDescent="0.2">
      <c r="I17916" s="137" t="s">
        <v>74</v>
      </c>
    </row>
    <row r="17917" spans="9:9" x14ac:dyDescent="0.2">
      <c r="I17917" s="137" t="s">
        <v>74</v>
      </c>
    </row>
    <row r="17918" spans="9:9" x14ac:dyDescent="0.2">
      <c r="I17918" s="137" t="s">
        <v>74</v>
      </c>
    </row>
    <row r="17919" spans="9:9" x14ac:dyDescent="0.2">
      <c r="I17919" s="137" t="s">
        <v>74</v>
      </c>
    </row>
    <row r="17920" spans="9:9" x14ac:dyDescent="0.2">
      <c r="I17920" s="137" t="s">
        <v>74</v>
      </c>
    </row>
    <row r="17921" spans="9:9" x14ac:dyDescent="0.2">
      <c r="I17921" s="137" t="s">
        <v>74</v>
      </c>
    </row>
    <row r="17922" spans="9:9" x14ac:dyDescent="0.2">
      <c r="I17922" s="137" t="s">
        <v>74</v>
      </c>
    </row>
    <row r="17923" spans="9:9" x14ac:dyDescent="0.2">
      <c r="I17923" s="137" t="s">
        <v>74</v>
      </c>
    </row>
    <row r="17924" spans="9:9" x14ac:dyDescent="0.2">
      <c r="I17924" s="137" t="s">
        <v>74</v>
      </c>
    </row>
    <row r="17925" spans="9:9" x14ac:dyDescent="0.2">
      <c r="I17925" s="137" t="s">
        <v>74</v>
      </c>
    </row>
    <row r="17926" spans="9:9" x14ac:dyDescent="0.2">
      <c r="I17926" s="137" t="s">
        <v>74</v>
      </c>
    </row>
    <row r="17927" spans="9:9" x14ac:dyDescent="0.2">
      <c r="I17927" s="137" t="s">
        <v>74</v>
      </c>
    </row>
    <row r="17928" spans="9:9" x14ac:dyDescent="0.2">
      <c r="I17928" s="137" t="s">
        <v>74</v>
      </c>
    </row>
    <row r="17929" spans="9:9" x14ac:dyDescent="0.2">
      <c r="I17929" s="137" t="s">
        <v>74</v>
      </c>
    </row>
    <row r="17930" spans="9:9" x14ac:dyDescent="0.2">
      <c r="I17930" s="137" t="s">
        <v>74</v>
      </c>
    </row>
    <row r="17931" spans="9:9" x14ac:dyDescent="0.2">
      <c r="I17931" s="137" t="s">
        <v>74</v>
      </c>
    </row>
    <row r="17932" spans="9:9" x14ac:dyDescent="0.2">
      <c r="I17932" s="137" t="s">
        <v>74</v>
      </c>
    </row>
    <row r="17933" spans="9:9" x14ac:dyDescent="0.2">
      <c r="I17933" s="137" t="s">
        <v>74</v>
      </c>
    </row>
    <row r="17934" spans="9:9" x14ac:dyDescent="0.2">
      <c r="I17934" s="137" t="s">
        <v>74</v>
      </c>
    </row>
    <row r="17935" spans="9:9" x14ac:dyDescent="0.2">
      <c r="I17935" s="137" t="s">
        <v>74</v>
      </c>
    </row>
    <row r="17936" spans="9:9" x14ac:dyDescent="0.2">
      <c r="I17936" s="137" t="s">
        <v>74</v>
      </c>
    </row>
    <row r="17937" spans="9:9" x14ac:dyDescent="0.2">
      <c r="I17937" s="137" t="s">
        <v>74</v>
      </c>
    </row>
    <row r="17938" spans="9:9" x14ac:dyDescent="0.2">
      <c r="I17938" s="137" t="s">
        <v>74</v>
      </c>
    </row>
    <row r="17939" spans="9:9" x14ac:dyDescent="0.2">
      <c r="I17939" s="137" t="s">
        <v>74</v>
      </c>
    </row>
    <row r="17940" spans="9:9" x14ac:dyDescent="0.2">
      <c r="I17940" s="137" t="s">
        <v>74</v>
      </c>
    </row>
    <row r="17941" spans="9:9" x14ac:dyDescent="0.2">
      <c r="I17941" s="137" t="s">
        <v>74</v>
      </c>
    </row>
    <row r="17942" spans="9:9" x14ac:dyDescent="0.2">
      <c r="I17942" s="137" t="s">
        <v>74</v>
      </c>
    </row>
    <row r="17943" spans="9:9" x14ac:dyDescent="0.2">
      <c r="I17943" s="137" t="s">
        <v>74</v>
      </c>
    </row>
    <row r="17944" spans="9:9" x14ac:dyDescent="0.2">
      <c r="I17944" s="137" t="s">
        <v>74</v>
      </c>
    </row>
    <row r="17945" spans="9:9" x14ac:dyDescent="0.2">
      <c r="I17945" s="137" t="s">
        <v>74</v>
      </c>
    </row>
    <row r="17946" spans="9:9" x14ac:dyDescent="0.2">
      <c r="I17946" s="137" t="s">
        <v>74</v>
      </c>
    </row>
    <row r="17947" spans="9:9" x14ac:dyDescent="0.2">
      <c r="I17947" s="137" t="s">
        <v>74</v>
      </c>
    </row>
    <row r="17948" spans="9:9" x14ac:dyDescent="0.2">
      <c r="I17948" s="137" t="s">
        <v>74</v>
      </c>
    </row>
    <row r="17949" spans="9:9" x14ac:dyDescent="0.2">
      <c r="I17949" s="137" t="s">
        <v>74</v>
      </c>
    </row>
    <row r="17950" spans="9:9" x14ac:dyDescent="0.2">
      <c r="I17950" s="137" t="s">
        <v>74</v>
      </c>
    </row>
    <row r="17951" spans="9:9" x14ac:dyDescent="0.2">
      <c r="I17951" s="137" t="s">
        <v>74</v>
      </c>
    </row>
    <row r="17952" spans="9:9" x14ac:dyDescent="0.2">
      <c r="I17952" s="137" t="s">
        <v>74</v>
      </c>
    </row>
    <row r="17953" spans="9:9" x14ac:dyDescent="0.2">
      <c r="I17953" s="137" t="s">
        <v>74</v>
      </c>
    </row>
    <row r="17954" spans="9:9" x14ac:dyDescent="0.2">
      <c r="I17954" s="137" t="s">
        <v>74</v>
      </c>
    </row>
    <row r="17955" spans="9:9" x14ac:dyDescent="0.2">
      <c r="I17955" s="137" t="s">
        <v>74</v>
      </c>
    </row>
    <row r="17956" spans="9:9" x14ac:dyDescent="0.2">
      <c r="I17956" s="137" t="s">
        <v>74</v>
      </c>
    </row>
    <row r="17957" spans="9:9" x14ac:dyDescent="0.2">
      <c r="I17957" s="137" t="s">
        <v>74</v>
      </c>
    </row>
    <row r="17958" spans="9:9" x14ac:dyDescent="0.2">
      <c r="I17958" s="137" t="s">
        <v>74</v>
      </c>
    </row>
    <row r="17959" spans="9:9" x14ac:dyDescent="0.2">
      <c r="I17959" s="137" t="s">
        <v>74</v>
      </c>
    </row>
    <row r="17960" spans="9:9" x14ac:dyDescent="0.2">
      <c r="I17960" s="137" t="s">
        <v>74</v>
      </c>
    </row>
    <row r="17961" spans="9:9" x14ac:dyDescent="0.2">
      <c r="I17961" s="137" t="s">
        <v>74</v>
      </c>
    </row>
    <row r="17962" spans="9:9" x14ac:dyDescent="0.2">
      <c r="I17962" s="137" t="s">
        <v>74</v>
      </c>
    </row>
    <row r="17963" spans="9:9" x14ac:dyDescent="0.2">
      <c r="I17963" s="137" t="s">
        <v>74</v>
      </c>
    </row>
    <row r="17964" spans="9:9" x14ac:dyDescent="0.2">
      <c r="I17964" s="137" t="s">
        <v>74</v>
      </c>
    </row>
    <row r="17965" spans="9:9" x14ac:dyDescent="0.2">
      <c r="I17965" s="137" t="s">
        <v>74</v>
      </c>
    </row>
    <row r="17966" spans="9:9" x14ac:dyDescent="0.2">
      <c r="I17966" s="137" t="s">
        <v>74</v>
      </c>
    </row>
    <row r="17967" spans="9:9" x14ac:dyDescent="0.2">
      <c r="I17967" s="137" t="s">
        <v>74</v>
      </c>
    </row>
    <row r="17968" spans="9:9" x14ac:dyDescent="0.2">
      <c r="I17968" s="137" t="s">
        <v>74</v>
      </c>
    </row>
    <row r="17969" spans="9:9" x14ac:dyDescent="0.2">
      <c r="I17969" s="137" t="s">
        <v>74</v>
      </c>
    </row>
    <row r="17970" spans="9:9" x14ac:dyDescent="0.2">
      <c r="I17970" s="137" t="s">
        <v>74</v>
      </c>
    </row>
    <row r="17971" spans="9:9" x14ac:dyDescent="0.2">
      <c r="I17971" s="137" t="s">
        <v>74</v>
      </c>
    </row>
    <row r="17972" spans="9:9" x14ac:dyDescent="0.2">
      <c r="I17972" s="137" t="s">
        <v>74</v>
      </c>
    </row>
    <row r="17973" spans="9:9" x14ac:dyDescent="0.2">
      <c r="I17973" s="137" t="s">
        <v>74</v>
      </c>
    </row>
    <row r="17974" spans="9:9" x14ac:dyDescent="0.2">
      <c r="I17974" s="137" t="s">
        <v>74</v>
      </c>
    </row>
    <row r="17975" spans="9:9" x14ac:dyDescent="0.2">
      <c r="I17975" s="137" t="s">
        <v>74</v>
      </c>
    </row>
    <row r="17976" spans="9:9" x14ac:dyDescent="0.2">
      <c r="I17976" s="137" t="s">
        <v>74</v>
      </c>
    </row>
    <row r="17977" spans="9:9" x14ac:dyDescent="0.2">
      <c r="I17977" s="137" t="s">
        <v>74</v>
      </c>
    </row>
    <row r="17978" spans="9:9" x14ac:dyDescent="0.2">
      <c r="I17978" s="137" t="s">
        <v>74</v>
      </c>
    </row>
    <row r="17979" spans="9:9" x14ac:dyDescent="0.2">
      <c r="I17979" s="137" t="s">
        <v>74</v>
      </c>
    </row>
    <row r="17980" spans="9:9" x14ac:dyDescent="0.2">
      <c r="I17980" s="137" t="s">
        <v>74</v>
      </c>
    </row>
    <row r="17981" spans="9:9" x14ac:dyDescent="0.2">
      <c r="I17981" s="137" t="s">
        <v>74</v>
      </c>
    </row>
    <row r="17982" spans="9:9" x14ac:dyDescent="0.2">
      <c r="I17982" s="137" t="s">
        <v>74</v>
      </c>
    </row>
    <row r="17983" spans="9:9" x14ac:dyDescent="0.2">
      <c r="I17983" s="137" t="s">
        <v>74</v>
      </c>
    </row>
    <row r="17984" spans="9:9" x14ac:dyDescent="0.2">
      <c r="I17984" s="137" t="s">
        <v>74</v>
      </c>
    </row>
    <row r="17985" spans="9:9" x14ac:dyDescent="0.2">
      <c r="I17985" s="137" t="s">
        <v>74</v>
      </c>
    </row>
    <row r="17986" spans="9:9" x14ac:dyDescent="0.2">
      <c r="I17986" s="137" t="s">
        <v>74</v>
      </c>
    </row>
    <row r="17987" spans="9:9" x14ac:dyDescent="0.2">
      <c r="I17987" s="137" t="s">
        <v>74</v>
      </c>
    </row>
    <row r="17988" spans="9:9" x14ac:dyDescent="0.2">
      <c r="I17988" s="137" t="s">
        <v>74</v>
      </c>
    </row>
    <row r="17989" spans="9:9" x14ac:dyDescent="0.2">
      <c r="I17989" s="137" t="s">
        <v>74</v>
      </c>
    </row>
    <row r="17990" spans="9:9" x14ac:dyDescent="0.2">
      <c r="I17990" s="137" t="s">
        <v>74</v>
      </c>
    </row>
    <row r="17991" spans="9:9" x14ac:dyDescent="0.2">
      <c r="I17991" s="137" t="s">
        <v>74</v>
      </c>
    </row>
    <row r="17992" spans="9:9" x14ac:dyDescent="0.2">
      <c r="I17992" s="137" t="s">
        <v>74</v>
      </c>
    </row>
    <row r="17993" spans="9:9" x14ac:dyDescent="0.2">
      <c r="I17993" s="137" t="s">
        <v>74</v>
      </c>
    </row>
    <row r="17994" spans="9:9" x14ac:dyDescent="0.2">
      <c r="I17994" s="137" t="s">
        <v>74</v>
      </c>
    </row>
    <row r="17995" spans="9:9" x14ac:dyDescent="0.2">
      <c r="I17995" s="137" t="s">
        <v>74</v>
      </c>
    </row>
    <row r="17996" spans="9:9" x14ac:dyDescent="0.2">
      <c r="I17996" s="137" t="s">
        <v>74</v>
      </c>
    </row>
    <row r="17997" spans="9:9" x14ac:dyDescent="0.2">
      <c r="I17997" s="137" t="s">
        <v>74</v>
      </c>
    </row>
    <row r="17998" spans="9:9" x14ac:dyDescent="0.2">
      <c r="I17998" s="137" t="s">
        <v>74</v>
      </c>
    </row>
    <row r="17999" spans="9:9" x14ac:dyDescent="0.2">
      <c r="I17999" s="137" t="s">
        <v>74</v>
      </c>
    </row>
    <row r="18000" spans="9:9" x14ac:dyDescent="0.2">
      <c r="I18000" s="137" t="s">
        <v>74</v>
      </c>
    </row>
    <row r="18001" spans="9:9" x14ac:dyDescent="0.2">
      <c r="I18001" s="137" t="s">
        <v>74</v>
      </c>
    </row>
    <row r="18002" spans="9:9" x14ac:dyDescent="0.2">
      <c r="I18002" s="137" t="s">
        <v>74</v>
      </c>
    </row>
    <row r="18003" spans="9:9" x14ac:dyDescent="0.2">
      <c r="I18003" s="137" t="s">
        <v>74</v>
      </c>
    </row>
    <row r="18004" spans="9:9" x14ac:dyDescent="0.2">
      <c r="I18004" s="137" t="s">
        <v>74</v>
      </c>
    </row>
    <row r="18005" spans="9:9" x14ac:dyDescent="0.2">
      <c r="I18005" s="137" t="s">
        <v>74</v>
      </c>
    </row>
    <row r="18006" spans="9:9" x14ac:dyDescent="0.2">
      <c r="I18006" s="137" t="s">
        <v>74</v>
      </c>
    </row>
    <row r="18007" spans="9:9" x14ac:dyDescent="0.2">
      <c r="I18007" s="137" t="s">
        <v>74</v>
      </c>
    </row>
    <row r="18008" spans="9:9" x14ac:dyDescent="0.2">
      <c r="I18008" s="137" t="s">
        <v>74</v>
      </c>
    </row>
    <row r="18009" spans="9:9" x14ac:dyDescent="0.2">
      <c r="I18009" s="137" t="s">
        <v>74</v>
      </c>
    </row>
    <row r="18010" spans="9:9" x14ac:dyDescent="0.2">
      <c r="I18010" s="137" t="s">
        <v>74</v>
      </c>
    </row>
    <row r="18011" spans="9:9" x14ac:dyDescent="0.2">
      <c r="I18011" s="137" t="s">
        <v>74</v>
      </c>
    </row>
    <row r="18012" spans="9:9" x14ac:dyDescent="0.2">
      <c r="I18012" s="137" t="s">
        <v>74</v>
      </c>
    </row>
    <row r="18013" spans="9:9" x14ac:dyDescent="0.2">
      <c r="I18013" s="137" t="s">
        <v>74</v>
      </c>
    </row>
    <row r="18014" spans="9:9" x14ac:dyDescent="0.2">
      <c r="I18014" s="137" t="s">
        <v>74</v>
      </c>
    </row>
    <row r="18015" spans="9:9" x14ac:dyDescent="0.2">
      <c r="I18015" s="137" t="s">
        <v>74</v>
      </c>
    </row>
    <row r="18016" spans="9:9" x14ac:dyDescent="0.2">
      <c r="I18016" s="137" t="s">
        <v>74</v>
      </c>
    </row>
    <row r="18017" spans="9:9" x14ac:dyDescent="0.2">
      <c r="I18017" s="137" t="s">
        <v>74</v>
      </c>
    </row>
    <row r="18018" spans="9:9" x14ac:dyDescent="0.2">
      <c r="I18018" s="137" t="s">
        <v>74</v>
      </c>
    </row>
    <row r="18019" spans="9:9" x14ac:dyDescent="0.2">
      <c r="I18019" s="137" t="s">
        <v>74</v>
      </c>
    </row>
    <row r="18020" spans="9:9" x14ac:dyDescent="0.2">
      <c r="I18020" s="137" t="s">
        <v>74</v>
      </c>
    </row>
    <row r="18021" spans="9:9" x14ac:dyDescent="0.2">
      <c r="I18021" s="137" t="s">
        <v>74</v>
      </c>
    </row>
    <row r="18022" spans="9:9" x14ac:dyDescent="0.2">
      <c r="I18022" s="137" t="s">
        <v>74</v>
      </c>
    </row>
    <row r="18023" spans="9:9" x14ac:dyDescent="0.2">
      <c r="I18023" s="137" t="s">
        <v>74</v>
      </c>
    </row>
    <row r="18024" spans="9:9" x14ac:dyDescent="0.2">
      <c r="I18024" s="137" t="s">
        <v>74</v>
      </c>
    </row>
    <row r="18025" spans="9:9" x14ac:dyDescent="0.2">
      <c r="I18025" s="137" t="s">
        <v>74</v>
      </c>
    </row>
    <row r="18026" spans="9:9" x14ac:dyDescent="0.2">
      <c r="I18026" s="137" t="s">
        <v>74</v>
      </c>
    </row>
    <row r="18027" spans="9:9" x14ac:dyDescent="0.2">
      <c r="I18027" s="137" t="s">
        <v>74</v>
      </c>
    </row>
    <row r="18028" spans="9:9" x14ac:dyDescent="0.2">
      <c r="I18028" s="137" t="s">
        <v>74</v>
      </c>
    </row>
    <row r="18029" spans="9:9" x14ac:dyDescent="0.2">
      <c r="I18029" s="137" t="s">
        <v>74</v>
      </c>
    </row>
    <row r="18030" spans="9:9" x14ac:dyDescent="0.2">
      <c r="I18030" s="137" t="s">
        <v>74</v>
      </c>
    </row>
    <row r="18031" spans="9:9" x14ac:dyDescent="0.2">
      <c r="I18031" s="137" t="s">
        <v>74</v>
      </c>
    </row>
    <row r="18032" spans="9:9" x14ac:dyDescent="0.2">
      <c r="I18032" s="137" t="s">
        <v>74</v>
      </c>
    </row>
    <row r="18033" spans="9:9" x14ac:dyDescent="0.2">
      <c r="I18033" s="137" t="s">
        <v>74</v>
      </c>
    </row>
    <row r="18034" spans="9:9" x14ac:dyDescent="0.2">
      <c r="I18034" s="137" t="s">
        <v>74</v>
      </c>
    </row>
    <row r="18035" spans="9:9" x14ac:dyDescent="0.2">
      <c r="I18035" s="137" t="s">
        <v>74</v>
      </c>
    </row>
    <row r="18036" spans="9:9" x14ac:dyDescent="0.2">
      <c r="I18036" s="137" t="s">
        <v>74</v>
      </c>
    </row>
    <row r="18037" spans="9:9" x14ac:dyDescent="0.2">
      <c r="I18037" s="137" t="s">
        <v>74</v>
      </c>
    </row>
    <row r="18038" spans="9:9" x14ac:dyDescent="0.2">
      <c r="I18038" s="137" t="s">
        <v>74</v>
      </c>
    </row>
    <row r="18039" spans="9:9" x14ac:dyDescent="0.2">
      <c r="I18039" s="137" t="s">
        <v>74</v>
      </c>
    </row>
    <row r="18040" spans="9:9" x14ac:dyDescent="0.2">
      <c r="I18040" s="137" t="s">
        <v>74</v>
      </c>
    </row>
    <row r="18041" spans="9:9" x14ac:dyDescent="0.2">
      <c r="I18041" s="137" t="s">
        <v>74</v>
      </c>
    </row>
    <row r="18042" spans="9:9" x14ac:dyDescent="0.2">
      <c r="I18042" s="137" t="s">
        <v>74</v>
      </c>
    </row>
    <row r="18043" spans="9:9" x14ac:dyDescent="0.2">
      <c r="I18043" s="137" t="s">
        <v>74</v>
      </c>
    </row>
    <row r="18044" spans="9:9" x14ac:dyDescent="0.2">
      <c r="I18044" s="137" t="s">
        <v>74</v>
      </c>
    </row>
    <row r="18045" spans="9:9" x14ac:dyDescent="0.2">
      <c r="I18045" s="137" t="s">
        <v>74</v>
      </c>
    </row>
    <row r="18046" spans="9:9" x14ac:dyDescent="0.2">
      <c r="I18046" s="137" t="s">
        <v>74</v>
      </c>
    </row>
    <row r="18047" spans="9:9" x14ac:dyDescent="0.2">
      <c r="I18047" s="137" t="s">
        <v>74</v>
      </c>
    </row>
    <row r="18048" spans="9:9" x14ac:dyDescent="0.2">
      <c r="I18048" s="137" t="s">
        <v>74</v>
      </c>
    </row>
    <row r="18049" spans="9:9" x14ac:dyDescent="0.2">
      <c r="I18049" s="137" t="s">
        <v>74</v>
      </c>
    </row>
    <row r="18050" spans="9:9" x14ac:dyDescent="0.2">
      <c r="I18050" s="137" t="s">
        <v>74</v>
      </c>
    </row>
    <row r="18051" spans="9:9" x14ac:dyDescent="0.2">
      <c r="I18051" s="137" t="s">
        <v>74</v>
      </c>
    </row>
    <row r="18052" spans="9:9" x14ac:dyDescent="0.2">
      <c r="I18052" s="137" t="s">
        <v>74</v>
      </c>
    </row>
    <row r="18053" spans="9:9" x14ac:dyDescent="0.2">
      <c r="I18053" s="137" t="s">
        <v>74</v>
      </c>
    </row>
    <row r="18054" spans="9:9" x14ac:dyDescent="0.2">
      <c r="I18054" s="137" t="s">
        <v>74</v>
      </c>
    </row>
    <row r="18055" spans="9:9" x14ac:dyDescent="0.2">
      <c r="I18055" s="137" t="s">
        <v>74</v>
      </c>
    </row>
    <row r="18056" spans="9:9" x14ac:dyDescent="0.2">
      <c r="I18056" s="137" t="s">
        <v>74</v>
      </c>
    </row>
    <row r="18057" spans="9:9" x14ac:dyDescent="0.2">
      <c r="I18057" s="137" t="s">
        <v>74</v>
      </c>
    </row>
    <row r="18058" spans="9:9" x14ac:dyDescent="0.2">
      <c r="I18058" s="137" t="s">
        <v>74</v>
      </c>
    </row>
    <row r="18059" spans="9:9" x14ac:dyDescent="0.2">
      <c r="I18059" s="137" t="s">
        <v>74</v>
      </c>
    </row>
    <row r="18060" spans="9:9" x14ac:dyDescent="0.2">
      <c r="I18060" s="137" t="s">
        <v>74</v>
      </c>
    </row>
    <row r="18061" spans="9:9" x14ac:dyDescent="0.2">
      <c r="I18061" s="137" t="s">
        <v>74</v>
      </c>
    </row>
    <row r="18062" spans="9:9" x14ac:dyDescent="0.2">
      <c r="I18062" s="137" t="s">
        <v>74</v>
      </c>
    </row>
    <row r="18063" spans="9:9" x14ac:dyDescent="0.2">
      <c r="I18063" s="137" t="s">
        <v>74</v>
      </c>
    </row>
    <row r="18064" spans="9:9" x14ac:dyDescent="0.2">
      <c r="I18064" s="137" t="s">
        <v>74</v>
      </c>
    </row>
    <row r="18065" spans="9:9" x14ac:dyDescent="0.2">
      <c r="I18065" s="137" t="s">
        <v>74</v>
      </c>
    </row>
    <row r="18066" spans="9:9" x14ac:dyDescent="0.2">
      <c r="I18066" s="137" t="s">
        <v>74</v>
      </c>
    </row>
    <row r="18067" spans="9:9" x14ac:dyDescent="0.2">
      <c r="I18067" s="137" t="s">
        <v>74</v>
      </c>
    </row>
    <row r="18068" spans="9:9" x14ac:dyDescent="0.2">
      <c r="I18068" s="137" t="s">
        <v>74</v>
      </c>
    </row>
    <row r="18069" spans="9:9" x14ac:dyDescent="0.2">
      <c r="I18069" s="137" t="s">
        <v>74</v>
      </c>
    </row>
    <row r="18070" spans="9:9" x14ac:dyDescent="0.2">
      <c r="I18070" s="137" t="s">
        <v>74</v>
      </c>
    </row>
    <row r="18071" spans="9:9" x14ac:dyDescent="0.2">
      <c r="I18071" s="137" t="s">
        <v>74</v>
      </c>
    </row>
    <row r="18072" spans="9:9" x14ac:dyDescent="0.2">
      <c r="I18072" s="137" t="s">
        <v>74</v>
      </c>
    </row>
    <row r="18073" spans="9:9" x14ac:dyDescent="0.2">
      <c r="I18073" s="137" t="s">
        <v>74</v>
      </c>
    </row>
    <row r="18074" spans="9:9" x14ac:dyDescent="0.2">
      <c r="I18074" s="137" t="s">
        <v>74</v>
      </c>
    </row>
    <row r="18075" spans="9:9" x14ac:dyDescent="0.2">
      <c r="I18075" s="137" t="s">
        <v>74</v>
      </c>
    </row>
    <row r="18076" spans="9:9" x14ac:dyDescent="0.2">
      <c r="I18076" s="137" t="s">
        <v>74</v>
      </c>
    </row>
    <row r="18077" spans="9:9" x14ac:dyDescent="0.2">
      <c r="I18077" s="137" t="s">
        <v>74</v>
      </c>
    </row>
    <row r="18078" spans="9:9" x14ac:dyDescent="0.2">
      <c r="I18078" s="137" t="s">
        <v>74</v>
      </c>
    </row>
    <row r="18079" spans="9:9" x14ac:dyDescent="0.2">
      <c r="I18079" s="137" t="s">
        <v>74</v>
      </c>
    </row>
    <row r="18080" spans="9:9" x14ac:dyDescent="0.2">
      <c r="I18080" s="137" t="s">
        <v>74</v>
      </c>
    </row>
    <row r="18081" spans="9:9" x14ac:dyDescent="0.2">
      <c r="I18081" s="137" t="s">
        <v>74</v>
      </c>
    </row>
    <row r="18082" spans="9:9" x14ac:dyDescent="0.2">
      <c r="I18082" s="137" t="s">
        <v>74</v>
      </c>
    </row>
    <row r="18083" spans="9:9" x14ac:dyDescent="0.2">
      <c r="I18083" s="137" t="s">
        <v>74</v>
      </c>
    </row>
    <row r="18084" spans="9:9" x14ac:dyDescent="0.2">
      <c r="I18084" s="137" t="s">
        <v>74</v>
      </c>
    </row>
    <row r="18085" spans="9:9" x14ac:dyDescent="0.2">
      <c r="I18085" s="137" t="s">
        <v>74</v>
      </c>
    </row>
    <row r="18086" spans="9:9" x14ac:dyDescent="0.2">
      <c r="I18086" s="137" t="s">
        <v>74</v>
      </c>
    </row>
    <row r="18087" spans="9:9" x14ac:dyDescent="0.2">
      <c r="I18087" s="137" t="s">
        <v>74</v>
      </c>
    </row>
    <row r="18088" spans="9:9" x14ac:dyDescent="0.2">
      <c r="I18088" s="137" t="s">
        <v>74</v>
      </c>
    </row>
    <row r="18089" spans="9:9" x14ac:dyDescent="0.2">
      <c r="I18089" s="137" t="s">
        <v>74</v>
      </c>
    </row>
    <row r="18090" spans="9:9" x14ac:dyDescent="0.2">
      <c r="I18090" s="137" t="s">
        <v>74</v>
      </c>
    </row>
    <row r="18091" spans="9:9" x14ac:dyDescent="0.2">
      <c r="I18091" s="137" t="s">
        <v>74</v>
      </c>
    </row>
    <row r="18092" spans="9:9" x14ac:dyDescent="0.2">
      <c r="I18092" s="137" t="s">
        <v>74</v>
      </c>
    </row>
    <row r="18093" spans="9:9" x14ac:dyDescent="0.2">
      <c r="I18093" s="137" t="s">
        <v>74</v>
      </c>
    </row>
    <row r="18094" spans="9:9" x14ac:dyDescent="0.2">
      <c r="I18094" s="137" t="s">
        <v>74</v>
      </c>
    </row>
    <row r="18095" spans="9:9" x14ac:dyDescent="0.2">
      <c r="I18095" s="137" t="s">
        <v>74</v>
      </c>
    </row>
    <row r="18096" spans="9:9" x14ac:dyDescent="0.2">
      <c r="I18096" s="137" t="s">
        <v>74</v>
      </c>
    </row>
    <row r="18097" spans="9:9" x14ac:dyDescent="0.2">
      <c r="I18097" s="137" t="s">
        <v>74</v>
      </c>
    </row>
    <row r="18098" spans="9:9" x14ac:dyDescent="0.2">
      <c r="I18098" s="137" t="s">
        <v>74</v>
      </c>
    </row>
    <row r="18099" spans="9:9" x14ac:dyDescent="0.2">
      <c r="I18099" s="137" t="s">
        <v>74</v>
      </c>
    </row>
    <row r="18100" spans="9:9" x14ac:dyDescent="0.2">
      <c r="I18100" s="137" t="s">
        <v>74</v>
      </c>
    </row>
    <row r="18101" spans="9:9" x14ac:dyDescent="0.2">
      <c r="I18101" s="137" t="s">
        <v>74</v>
      </c>
    </row>
    <row r="18102" spans="9:9" x14ac:dyDescent="0.2">
      <c r="I18102" s="137" t="s">
        <v>74</v>
      </c>
    </row>
    <row r="18103" spans="9:9" x14ac:dyDescent="0.2">
      <c r="I18103" s="137" t="s">
        <v>74</v>
      </c>
    </row>
    <row r="18104" spans="9:9" x14ac:dyDescent="0.2">
      <c r="I18104" s="137" t="s">
        <v>74</v>
      </c>
    </row>
    <row r="18105" spans="9:9" x14ac:dyDescent="0.2">
      <c r="I18105" s="137" t="s">
        <v>74</v>
      </c>
    </row>
    <row r="18106" spans="9:9" x14ac:dyDescent="0.2">
      <c r="I18106" s="137" t="s">
        <v>74</v>
      </c>
    </row>
    <row r="18107" spans="9:9" x14ac:dyDescent="0.2">
      <c r="I18107" s="137" t="s">
        <v>74</v>
      </c>
    </row>
    <row r="18108" spans="9:9" x14ac:dyDescent="0.2">
      <c r="I18108" s="137" t="s">
        <v>74</v>
      </c>
    </row>
    <row r="18109" spans="9:9" x14ac:dyDescent="0.2">
      <c r="I18109" s="137" t="s">
        <v>74</v>
      </c>
    </row>
    <row r="18110" spans="9:9" x14ac:dyDescent="0.2">
      <c r="I18110" s="137" t="s">
        <v>74</v>
      </c>
    </row>
    <row r="18111" spans="9:9" x14ac:dyDescent="0.2">
      <c r="I18111" s="137" t="s">
        <v>74</v>
      </c>
    </row>
    <row r="18112" spans="9:9" x14ac:dyDescent="0.2">
      <c r="I18112" s="137" t="s">
        <v>74</v>
      </c>
    </row>
    <row r="18113" spans="9:9" x14ac:dyDescent="0.2">
      <c r="I18113" s="137" t="s">
        <v>74</v>
      </c>
    </row>
    <row r="18114" spans="9:9" x14ac:dyDescent="0.2">
      <c r="I18114" s="137" t="s">
        <v>74</v>
      </c>
    </row>
    <row r="18115" spans="9:9" x14ac:dyDescent="0.2">
      <c r="I18115" s="137" t="s">
        <v>74</v>
      </c>
    </row>
    <row r="18116" spans="9:9" x14ac:dyDescent="0.2">
      <c r="I18116" s="137" t="s">
        <v>74</v>
      </c>
    </row>
    <row r="18117" spans="9:9" x14ac:dyDescent="0.2">
      <c r="I18117" s="137" t="s">
        <v>74</v>
      </c>
    </row>
    <row r="18118" spans="9:9" x14ac:dyDescent="0.2">
      <c r="I18118" s="137" t="s">
        <v>74</v>
      </c>
    </row>
    <row r="18119" spans="9:9" x14ac:dyDescent="0.2">
      <c r="I18119" s="137" t="s">
        <v>74</v>
      </c>
    </row>
    <row r="18120" spans="9:9" x14ac:dyDescent="0.2">
      <c r="I18120" s="137" t="s">
        <v>74</v>
      </c>
    </row>
    <row r="18121" spans="9:9" x14ac:dyDescent="0.2">
      <c r="I18121" s="137" t="s">
        <v>74</v>
      </c>
    </row>
    <row r="18122" spans="9:9" x14ac:dyDescent="0.2">
      <c r="I18122" s="137" t="s">
        <v>74</v>
      </c>
    </row>
    <row r="18123" spans="9:9" x14ac:dyDescent="0.2">
      <c r="I18123" s="137" t="s">
        <v>74</v>
      </c>
    </row>
    <row r="18124" spans="9:9" x14ac:dyDescent="0.2">
      <c r="I18124" s="137" t="s">
        <v>74</v>
      </c>
    </row>
    <row r="18125" spans="9:9" x14ac:dyDescent="0.2">
      <c r="I18125" s="137" t="s">
        <v>74</v>
      </c>
    </row>
    <row r="18126" spans="9:9" x14ac:dyDescent="0.2">
      <c r="I18126" s="137" t="s">
        <v>74</v>
      </c>
    </row>
    <row r="18127" spans="9:9" x14ac:dyDescent="0.2">
      <c r="I18127" s="137" t="s">
        <v>74</v>
      </c>
    </row>
    <row r="18128" spans="9:9" x14ac:dyDescent="0.2">
      <c r="I18128" s="137" t="s">
        <v>74</v>
      </c>
    </row>
    <row r="18129" spans="9:9" x14ac:dyDescent="0.2">
      <c r="I18129" s="137" t="s">
        <v>74</v>
      </c>
    </row>
    <row r="18130" spans="9:9" x14ac:dyDescent="0.2">
      <c r="I18130" s="137" t="s">
        <v>74</v>
      </c>
    </row>
    <row r="18131" spans="9:9" x14ac:dyDescent="0.2">
      <c r="I18131" s="137" t="s">
        <v>74</v>
      </c>
    </row>
    <row r="18132" spans="9:9" x14ac:dyDescent="0.2">
      <c r="I18132" s="137" t="s">
        <v>74</v>
      </c>
    </row>
    <row r="18133" spans="9:9" x14ac:dyDescent="0.2">
      <c r="I18133" s="137" t="s">
        <v>74</v>
      </c>
    </row>
    <row r="18134" spans="9:9" x14ac:dyDescent="0.2">
      <c r="I18134" s="137" t="s">
        <v>74</v>
      </c>
    </row>
    <row r="18135" spans="9:9" x14ac:dyDescent="0.2">
      <c r="I18135" s="137" t="s">
        <v>74</v>
      </c>
    </row>
    <row r="18136" spans="9:9" x14ac:dyDescent="0.2">
      <c r="I18136" s="137" t="s">
        <v>74</v>
      </c>
    </row>
    <row r="18137" spans="9:9" x14ac:dyDescent="0.2">
      <c r="I18137" s="137" t="s">
        <v>74</v>
      </c>
    </row>
    <row r="18138" spans="9:9" x14ac:dyDescent="0.2">
      <c r="I18138" s="137" t="s">
        <v>74</v>
      </c>
    </row>
    <row r="18139" spans="9:9" x14ac:dyDescent="0.2">
      <c r="I18139" s="137" t="s">
        <v>74</v>
      </c>
    </row>
    <row r="18140" spans="9:9" x14ac:dyDescent="0.2">
      <c r="I18140" s="137" t="s">
        <v>74</v>
      </c>
    </row>
    <row r="18141" spans="9:9" x14ac:dyDescent="0.2">
      <c r="I18141" s="137" t="s">
        <v>74</v>
      </c>
    </row>
    <row r="18142" spans="9:9" x14ac:dyDescent="0.2">
      <c r="I18142" s="137" t="s">
        <v>74</v>
      </c>
    </row>
    <row r="18143" spans="9:9" x14ac:dyDescent="0.2">
      <c r="I18143" s="137" t="s">
        <v>74</v>
      </c>
    </row>
    <row r="18144" spans="9:9" x14ac:dyDescent="0.2">
      <c r="I18144" s="137" t="s">
        <v>74</v>
      </c>
    </row>
    <row r="18145" spans="9:9" x14ac:dyDescent="0.2">
      <c r="I18145" s="137" t="s">
        <v>74</v>
      </c>
    </row>
    <row r="18146" spans="9:9" x14ac:dyDescent="0.2">
      <c r="I18146" s="137" t="s">
        <v>74</v>
      </c>
    </row>
    <row r="18147" spans="9:9" x14ac:dyDescent="0.2">
      <c r="I18147" s="137" t="s">
        <v>74</v>
      </c>
    </row>
    <row r="18148" spans="9:9" x14ac:dyDescent="0.2">
      <c r="I18148" s="137" t="s">
        <v>74</v>
      </c>
    </row>
    <row r="18149" spans="9:9" x14ac:dyDescent="0.2">
      <c r="I18149" s="137" t="s">
        <v>74</v>
      </c>
    </row>
    <row r="18150" spans="9:9" x14ac:dyDescent="0.2">
      <c r="I18150" s="137" t="s">
        <v>74</v>
      </c>
    </row>
    <row r="18151" spans="9:9" x14ac:dyDescent="0.2">
      <c r="I18151" s="137" t="s">
        <v>74</v>
      </c>
    </row>
    <row r="18152" spans="9:9" x14ac:dyDescent="0.2">
      <c r="I18152" s="137" t="s">
        <v>74</v>
      </c>
    </row>
    <row r="18153" spans="9:9" x14ac:dyDescent="0.2">
      <c r="I18153" s="137" t="s">
        <v>74</v>
      </c>
    </row>
    <row r="18154" spans="9:9" x14ac:dyDescent="0.2">
      <c r="I18154" s="137" t="s">
        <v>74</v>
      </c>
    </row>
    <row r="18155" spans="9:9" x14ac:dyDescent="0.2">
      <c r="I18155" s="137" t="s">
        <v>74</v>
      </c>
    </row>
    <row r="18156" spans="9:9" x14ac:dyDescent="0.2">
      <c r="I18156" s="137" t="s">
        <v>74</v>
      </c>
    </row>
    <row r="18157" spans="9:9" x14ac:dyDescent="0.2">
      <c r="I18157" s="137" t="s">
        <v>74</v>
      </c>
    </row>
    <row r="18158" spans="9:9" x14ac:dyDescent="0.2">
      <c r="I18158" s="137" t="s">
        <v>74</v>
      </c>
    </row>
    <row r="18159" spans="9:9" x14ac:dyDescent="0.2">
      <c r="I18159" s="137" t="s">
        <v>74</v>
      </c>
    </row>
    <row r="18160" spans="9:9" x14ac:dyDescent="0.2">
      <c r="I18160" s="137" t="s">
        <v>74</v>
      </c>
    </row>
    <row r="18161" spans="9:9" x14ac:dyDescent="0.2">
      <c r="I18161" s="137" t="s">
        <v>74</v>
      </c>
    </row>
    <row r="18162" spans="9:9" x14ac:dyDescent="0.2">
      <c r="I18162" s="137" t="s">
        <v>74</v>
      </c>
    </row>
    <row r="18163" spans="9:9" x14ac:dyDescent="0.2">
      <c r="I18163" s="137" t="s">
        <v>74</v>
      </c>
    </row>
    <row r="18164" spans="9:9" x14ac:dyDescent="0.2">
      <c r="I18164" s="137" t="s">
        <v>74</v>
      </c>
    </row>
    <row r="18165" spans="9:9" x14ac:dyDescent="0.2">
      <c r="I18165" s="137" t="s">
        <v>74</v>
      </c>
    </row>
    <row r="18166" spans="9:9" x14ac:dyDescent="0.2">
      <c r="I18166" s="137" t="s">
        <v>74</v>
      </c>
    </row>
    <row r="18167" spans="9:9" x14ac:dyDescent="0.2">
      <c r="I18167" s="137" t="s">
        <v>74</v>
      </c>
    </row>
    <row r="18168" spans="9:9" x14ac:dyDescent="0.2">
      <c r="I18168" s="137" t="s">
        <v>74</v>
      </c>
    </row>
    <row r="18169" spans="9:9" x14ac:dyDescent="0.2">
      <c r="I18169" s="137" t="s">
        <v>74</v>
      </c>
    </row>
    <row r="18170" spans="9:9" x14ac:dyDescent="0.2">
      <c r="I18170" s="137" t="s">
        <v>74</v>
      </c>
    </row>
    <row r="18171" spans="9:9" x14ac:dyDescent="0.2">
      <c r="I18171" s="137" t="s">
        <v>74</v>
      </c>
    </row>
    <row r="18172" spans="9:9" x14ac:dyDescent="0.2">
      <c r="I18172" s="137" t="s">
        <v>74</v>
      </c>
    </row>
    <row r="18173" spans="9:9" x14ac:dyDescent="0.2">
      <c r="I18173" s="137" t="s">
        <v>74</v>
      </c>
    </row>
    <row r="18174" spans="9:9" x14ac:dyDescent="0.2">
      <c r="I18174" s="137" t="s">
        <v>74</v>
      </c>
    </row>
    <row r="18175" spans="9:9" x14ac:dyDescent="0.2">
      <c r="I18175" s="137" t="s">
        <v>74</v>
      </c>
    </row>
    <row r="18176" spans="9:9" x14ac:dyDescent="0.2">
      <c r="I18176" s="137" t="s">
        <v>74</v>
      </c>
    </row>
    <row r="18177" spans="9:9" x14ac:dyDescent="0.2">
      <c r="I18177" s="137" t="s">
        <v>74</v>
      </c>
    </row>
    <row r="18178" spans="9:9" x14ac:dyDescent="0.2">
      <c r="I18178" s="137" t="s">
        <v>74</v>
      </c>
    </row>
    <row r="18179" spans="9:9" x14ac:dyDescent="0.2">
      <c r="I18179" s="137" t="s">
        <v>74</v>
      </c>
    </row>
    <row r="18180" spans="9:9" x14ac:dyDescent="0.2">
      <c r="I18180" s="137" t="s">
        <v>74</v>
      </c>
    </row>
    <row r="18181" spans="9:9" x14ac:dyDescent="0.2">
      <c r="I18181" s="137" t="s">
        <v>74</v>
      </c>
    </row>
    <row r="18182" spans="9:9" x14ac:dyDescent="0.2">
      <c r="I18182" s="137" t="s">
        <v>74</v>
      </c>
    </row>
    <row r="18183" spans="9:9" x14ac:dyDescent="0.2">
      <c r="I18183" s="137" t="s">
        <v>74</v>
      </c>
    </row>
    <row r="18184" spans="9:9" x14ac:dyDescent="0.2">
      <c r="I18184" s="137" t="s">
        <v>74</v>
      </c>
    </row>
    <row r="18185" spans="9:9" x14ac:dyDescent="0.2">
      <c r="I18185" s="137" t="s">
        <v>74</v>
      </c>
    </row>
    <row r="18186" spans="9:9" x14ac:dyDescent="0.2">
      <c r="I18186" s="137" t="s">
        <v>74</v>
      </c>
    </row>
    <row r="18187" spans="9:9" x14ac:dyDescent="0.2">
      <c r="I18187" s="137" t="s">
        <v>74</v>
      </c>
    </row>
    <row r="18188" spans="9:9" x14ac:dyDescent="0.2">
      <c r="I18188" s="137" t="s">
        <v>74</v>
      </c>
    </row>
    <row r="18189" spans="9:9" x14ac:dyDescent="0.2">
      <c r="I18189" s="137" t="s">
        <v>74</v>
      </c>
    </row>
    <row r="18190" spans="9:9" x14ac:dyDescent="0.2">
      <c r="I18190" s="137" t="s">
        <v>74</v>
      </c>
    </row>
    <row r="18191" spans="9:9" x14ac:dyDescent="0.2">
      <c r="I18191" s="137" t="s">
        <v>74</v>
      </c>
    </row>
    <row r="18192" spans="9:9" x14ac:dyDescent="0.2">
      <c r="I18192" s="137" t="s">
        <v>74</v>
      </c>
    </row>
    <row r="18193" spans="9:9" x14ac:dyDescent="0.2">
      <c r="I18193" s="137" t="s">
        <v>74</v>
      </c>
    </row>
    <row r="18194" spans="9:9" x14ac:dyDescent="0.2">
      <c r="I18194" s="137" t="s">
        <v>74</v>
      </c>
    </row>
    <row r="18195" spans="9:9" x14ac:dyDescent="0.2">
      <c r="I18195" s="137" t="s">
        <v>74</v>
      </c>
    </row>
    <row r="18196" spans="9:9" x14ac:dyDescent="0.2">
      <c r="I18196" s="137" t="s">
        <v>74</v>
      </c>
    </row>
    <row r="18197" spans="9:9" x14ac:dyDescent="0.2">
      <c r="I18197" s="137" t="s">
        <v>74</v>
      </c>
    </row>
    <row r="18198" spans="9:9" x14ac:dyDescent="0.2">
      <c r="I18198" s="137" t="s">
        <v>74</v>
      </c>
    </row>
    <row r="18199" spans="9:9" x14ac:dyDescent="0.2">
      <c r="I18199" s="137" t="s">
        <v>74</v>
      </c>
    </row>
    <row r="18200" spans="9:9" x14ac:dyDescent="0.2">
      <c r="I18200" s="137" t="s">
        <v>74</v>
      </c>
    </row>
    <row r="18201" spans="9:9" x14ac:dyDescent="0.2">
      <c r="I18201" s="137" t="s">
        <v>74</v>
      </c>
    </row>
    <row r="18202" spans="9:9" x14ac:dyDescent="0.2">
      <c r="I18202" s="137" t="s">
        <v>74</v>
      </c>
    </row>
    <row r="18203" spans="9:9" x14ac:dyDescent="0.2">
      <c r="I18203" s="137" t="s">
        <v>74</v>
      </c>
    </row>
    <row r="18204" spans="9:9" x14ac:dyDescent="0.2">
      <c r="I18204" s="137" t="s">
        <v>74</v>
      </c>
    </row>
    <row r="18205" spans="9:9" x14ac:dyDescent="0.2">
      <c r="I18205" s="137" t="s">
        <v>74</v>
      </c>
    </row>
    <row r="18206" spans="9:9" x14ac:dyDescent="0.2">
      <c r="I18206" s="137" t="s">
        <v>74</v>
      </c>
    </row>
    <row r="18207" spans="9:9" x14ac:dyDescent="0.2">
      <c r="I18207" s="137" t="s">
        <v>74</v>
      </c>
    </row>
    <row r="18208" spans="9:9" x14ac:dyDescent="0.2">
      <c r="I18208" s="137" t="s">
        <v>74</v>
      </c>
    </row>
    <row r="18209" spans="9:9" x14ac:dyDescent="0.2">
      <c r="I18209" s="137" t="s">
        <v>74</v>
      </c>
    </row>
    <row r="18210" spans="9:9" x14ac:dyDescent="0.2">
      <c r="I18210" s="137" t="s">
        <v>74</v>
      </c>
    </row>
    <row r="18211" spans="9:9" x14ac:dyDescent="0.2">
      <c r="I18211" s="137" t="s">
        <v>74</v>
      </c>
    </row>
    <row r="18212" spans="9:9" x14ac:dyDescent="0.2">
      <c r="I18212" s="137" t="s">
        <v>74</v>
      </c>
    </row>
    <row r="18213" spans="9:9" x14ac:dyDescent="0.2">
      <c r="I18213" s="137" t="s">
        <v>74</v>
      </c>
    </row>
    <row r="18214" spans="9:9" x14ac:dyDescent="0.2">
      <c r="I18214" s="137" t="s">
        <v>74</v>
      </c>
    </row>
    <row r="18215" spans="9:9" x14ac:dyDescent="0.2">
      <c r="I18215" s="137" t="s">
        <v>74</v>
      </c>
    </row>
    <row r="18216" spans="9:9" x14ac:dyDescent="0.2">
      <c r="I18216" s="137" t="s">
        <v>74</v>
      </c>
    </row>
    <row r="18217" spans="9:9" x14ac:dyDescent="0.2">
      <c r="I18217" s="137" t="s">
        <v>74</v>
      </c>
    </row>
    <row r="18218" spans="9:9" x14ac:dyDescent="0.2">
      <c r="I18218" s="137" t="s">
        <v>74</v>
      </c>
    </row>
    <row r="18219" spans="9:9" x14ac:dyDescent="0.2">
      <c r="I18219" s="137" t="s">
        <v>74</v>
      </c>
    </row>
    <row r="18220" spans="9:9" x14ac:dyDescent="0.2">
      <c r="I18220" s="137" t="s">
        <v>74</v>
      </c>
    </row>
    <row r="18221" spans="9:9" x14ac:dyDescent="0.2">
      <c r="I18221" s="137" t="s">
        <v>74</v>
      </c>
    </row>
    <row r="18222" spans="9:9" x14ac:dyDescent="0.2">
      <c r="I18222" s="137" t="s">
        <v>74</v>
      </c>
    </row>
    <row r="18223" spans="9:9" x14ac:dyDescent="0.2">
      <c r="I18223" s="137" t="s">
        <v>74</v>
      </c>
    </row>
    <row r="18224" spans="9:9" x14ac:dyDescent="0.2">
      <c r="I18224" s="137" t="s">
        <v>74</v>
      </c>
    </row>
    <row r="18225" spans="9:9" x14ac:dyDescent="0.2">
      <c r="I18225" s="137" t="s">
        <v>74</v>
      </c>
    </row>
    <row r="18226" spans="9:9" x14ac:dyDescent="0.2">
      <c r="I18226" s="137" t="s">
        <v>74</v>
      </c>
    </row>
    <row r="18227" spans="9:9" x14ac:dyDescent="0.2">
      <c r="I18227" s="137" t="s">
        <v>74</v>
      </c>
    </row>
    <row r="18228" spans="9:9" x14ac:dyDescent="0.2">
      <c r="I18228" s="137" t="s">
        <v>74</v>
      </c>
    </row>
    <row r="18229" spans="9:9" x14ac:dyDescent="0.2">
      <c r="I18229" s="137" t="s">
        <v>74</v>
      </c>
    </row>
    <row r="18230" spans="9:9" x14ac:dyDescent="0.2">
      <c r="I18230" s="137" t="s">
        <v>74</v>
      </c>
    </row>
    <row r="18231" spans="9:9" x14ac:dyDescent="0.2">
      <c r="I18231" s="137" t="s">
        <v>74</v>
      </c>
    </row>
    <row r="18232" spans="9:9" x14ac:dyDescent="0.2">
      <c r="I18232" s="137" t="s">
        <v>74</v>
      </c>
    </row>
    <row r="18233" spans="9:9" x14ac:dyDescent="0.2">
      <c r="I18233" s="137" t="s">
        <v>74</v>
      </c>
    </row>
    <row r="18234" spans="9:9" x14ac:dyDescent="0.2">
      <c r="I18234" s="137" t="s">
        <v>74</v>
      </c>
    </row>
    <row r="18235" spans="9:9" x14ac:dyDescent="0.2">
      <c r="I18235" s="137" t="s">
        <v>74</v>
      </c>
    </row>
    <row r="18236" spans="9:9" x14ac:dyDescent="0.2">
      <c r="I18236" s="137" t="s">
        <v>74</v>
      </c>
    </row>
    <row r="18237" spans="9:9" x14ac:dyDescent="0.2">
      <c r="I18237" s="137" t="s">
        <v>74</v>
      </c>
    </row>
    <row r="18238" spans="9:9" x14ac:dyDescent="0.2">
      <c r="I18238" s="137" t="s">
        <v>74</v>
      </c>
    </row>
    <row r="18239" spans="9:9" x14ac:dyDescent="0.2">
      <c r="I18239" s="137" t="s">
        <v>74</v>
      </c>
    </row>
    <row r="18240" spans="9:9" x14ac:dyDescent="0.2">
      <c r="I18240" s="137" t="s">
        <v>74</v>
      </c>
    </row>
    <row r="18241" spans="9:9" x14ac:dyDescent="0.2">
      <c r="I18241" s="137" t="s">
        <v>74</v>
      </c>
    </row>
    <row r="18242" spans="9:9" x14ac:dyDescent="0.2">
      <c r="I18242" s="137" t="s">
        <v>74</v>
      </c>
    </row>
    <row r="18243" spans="9:9" x14ac:dyDescent="0.2">
      <c r="I18243" s="137" t="s">
        <v>74</v>
      </c>
    </row>
    <row r="18244" spans="9:9" x14ac:dyDescent="0.2">
      <c r="I18244" s="137" t="s">
        <v>74</v>
      </c>
    </row>
    <row r="18245" spans="9:9" x14ac:dyDescent="0.2">
      <c r="I18245" s="137" t="s">
        <v>74</v>
      </c>
    </row>
    <row r="18246" spans="9:9" x14ac:dyDescent="0.2">
      <c r="I18246" s="137" t="s">
        <v>74</v>
      </c>
    </row>
    <row r="18247" spans="9:9" x14ac:dyDescent="0.2">
      <c r="I18247" s="137" t="s">
        <v>74</v>
      </c>
    </row>
    <row r="18248" spans="9:9" x14ac:dyDescent="0.2">
      <c r="I18248" s="137" t="s">
        <v>74</v>
      </c>
    </row>
    <row r="18249" spans="9:9" x14ac:dyDescent="0.2">
      <c r="I18249" s="137" t="s">
        <v>74</v>
      </c>
    </row>
    <row r="18250" spans="9:9" x14ac:dyDescent="0.2">
      <c r="I18250" s="137" t="s">
        <v>74</v>
      </c>
    </row>
    <row r="18251" spans="9:9" x14ac:dyDescent="0.2">
      <c r="I18251" s="137" t="s">
        <v>74</v>
      </c>
    </row>
    <row r="18252" spans="9:9" x14ac:dyDescent="0.2">
      <c r="I18252" s="137" t="s">
        <v>74</v>
      </c>
    </row>
    <row r="18253" spans="9:9" x14ac:dyDescent="0.2">
      <c r="I18253" s="137" t="s">
        <v>74</v>
      </c>
    </row>
    <row r="18254" spans="9:9" x14ac:dyDescent="0.2">
      <c r="I18254" s="137" t="s">
        <v>74</v>
      </c>
    </row>
    <row r="18255" spans="9:9" x14ac:dyDescent="0.2">
      <c r="I18255" s="137" t="s">
        <v>74</v>
      </c>
    </row>
    <row r="18256" spans="9:9" x14ac:dyDescent="0.2">
      <c r="I18256" s="137" t="s">
        <v>74</v>
      </c>
    </row>
    <row r="18257" spans="9:9" x14ac:dyDescent="0.2">
      <c r="I18257" s="137" t="s">
        <v>74</v>
      </c>
    </row>
    <row r="18258" spans="9:9" x14ac:dyDescent="0.2">
      <c r="I18258" s="137" t="s">
        <v>74</v>
      </c>
    </row>
    <row r="18259" spans="9:9" x14ac:dyDescent="0.2">
      <c r="I18259" s="137" t="s">
        <v>74</v>
      </c>
    </row>
    <row r="18260" spans="9:9" x14ac:dyDescent="0.2">
      <c r="I18260" s="137" t="s">
        <v>74</v>
      </c>
    </row>
    <row r="18261" spans="9:9" x14ac:dyDescent="0.2">
      <c r="I18261" s="137" t="s">
        <v>74</v>
      </c>
    </row>
    <row r="18262" spans="9:9" x14ac:dyDescent="0.2">
      <c r="I18262" s="137" t="s">
        <v>74</v>
      </c>
    </row>
    <row r="18263" spans="9:9" x14ac:dyDescent="0.2">
      <c r="I18263" s="137" t="s">
        <v>74</v>
      </c>
    </row>
    <row r="18264" spans="9:9" x14ac:dyDescent="0.2">
      <c r="I18264" s="137" t="s">
        <v>74</v>
      </c>
    </row>
    <row r="18265" spans="9:9" x14ac:dyDescent="0.2">
      <c r="I18265" s="137" t="s">
        <v>74</v>
      </c>
    </row>
    <row r="18266" spans="9:9" x14ac:dyDescent="0.2">
      <c r="I18266" s="137" t="s">
        <v>74</v>
      </c>
    </row>
    <row r="18267" spans="9:9" x14ac:dyDescent="0.2">
      <c r="I18267" s="137" t="s">
        <v>74</v>
      </c>
    </row>
    <row r="18268" spans="9:9" x14ac:dyDescent="0.2">
      <c r="I18268" s="137" t="s">
        <v>74</v>
      </c>
    </row>
    <row r="18269" spans="9:9" x14ac:dyDescent="0.2">
      <c r="I18269" s="137" t="s">
        <v>74</v>
      </c>
    </row>
    <row r="18270" spans="9:9" x14ac:dyDescent="0.2">
      <c r="I18270" s="137" t="s">
        <v>74</v>
      </c>
    </row>
    <row r="18271" spans="9:9" x14ac:dyDescent="0.2">
      <c r="I18271" s="137" t="s">
        <v>74</v>
      </c>
    </row>
    <row r="18272" spans="9:9" x14ac:dyDescent="0.2">
      <c r="I18272" s="137" t="s">
        <v>74</v>
      </c>
    </row>
    <row r="18273" spans="9:9" x14ac:dyDescent="0.2">
      <c r="I18273" s="137" t="s">
        <v>74</v>
      </c>
    </row>
    <row r="18274" spans="9:9" x14ac:dyDescent="0.2">
      <c r="I18274" s="137" t="s">
        <v>74</v>
      </c>
    </row>
    <row r="18275" spans="9:9" x14ac:dyDescent="0.2">
      <c r="I18275" s="137" t="s">
        <v>74</v>
      </c>
    </row>
    <row r="18276" spans="9:9" x14ac:dyDescent="0.2">
      <c r="I18276" s="137" t="s">
        <v>74</v>
      </c>
    </row>
    <row r="18277" spans="9:9" x14ac:dyDescent="0.2">
      <c r="I18277" s="137" t="s">
        <v>74</v>
      </c>
    </row>
    <row r="18278" spans="9:9" x14ac:dyDescent="0.2">
      <c r="I18278" s="137" t="s">
        <v>74</v>
      </c>
    </row>
    <row r="18279" spans="9:9" x14ac:dyDescent="0.2">
      <c r="I18279" s="137" t="s">
        <v>74</v>
      </c>
    </row>
    <row r="18280" spans="9:9" x14ac:dyDescent="0.2">
      <c r="I18280" s="137" t="s">
        <v>74</v>
      </c>
    </row>
    <row r="18281" spans="9:9" x14ac:dyDescent="0.2">
      <c r="I18281" s="137" t="s">
        <v>74</v>
      </c>
    </row>
    <row r="18282" spans="9:9" x14ac:dyDescent="0.2">
      <c r="I18282" s="137" t="s">
        <v>74</v>
      </c>
    </row>
    <row r="18283" spans="9:9" x14ac:dyDescent="0.2">
      <c r="I18283" s="137" t="s">
        <v>74</v>
      </c>
    </row>
    <row r="18284" spans="9:9" x14ac:dyDescent="0.2">
      <c r="I18284" s="137" t="s">
        <v>74</v>
      </c>
    </row>
    <row r="18285" spans="9:9" x14ac:dyDescent="0.2">
      <c r="I18285" s="137" t="s">
        <v>74</v>
      </c>
    </row>
    <row r="18286" spans="9:9" x14ac:dyDescent="0.2">
      <c r="I18286" s="137" t="s">
        <v>74</v>
      </c>
    </row>
    <row r="18287" spans="9:9" x14ac:dyDescent="0.2">
      <c r="I18287" s="137" t="s">
        <v>74</v>
      </c>
    </row>
    <row r="18288" spans="9:9" x14ac:dyDescent="0.2">
      <c r="I18288" s="137" t="s">
        <v>74</v>
      </c>
    </row>
    <row r="18289" spans="9:9" x14ac:dyDescent="0.2">
      <c r="I18289" s="137" t="s">
        <v>74</v>
      </c>
    </row>
    <row r="18290" spans="9:9" x14ac:dyDescent="0.2">
      <c r="I18290" s="137" t="s">
        <v>74</v>
      </c>
    </row>
    <row r="18291" spans="9:9" x14ac:dyDescent="0.2">
      <c r="I18291" s="137" t="s">
        <v>74</v>
      </c>
    </row>
    <row r="18292" spans="9:9" x14ac:dyDescent="0.2">
      <c r="I18292" s="137" t="s">
        <v>74</v>
      </c>
    </row>
    <row r="18293" spans="9:9" x14ac:dyDescent="0.2">
      <c r="I18293" s="137" t="s">
        <v>74</v>
      </c>
    </row>
    <row r="18294" spans="9:9" x14ac:dyDescent="0.2">
      <c r="I18294" s="137" t="s">
        <v>74</v>
      </c>
    </row>
    <row r="18295" spans="9:9" x14ac:dyDescent="0.2">
      <c r="I18295" s="137" t="s">
        <v>74</v>
      </c>
    </row>
    <row r="18296" spans="9:9" x14ac:dyDescent="0.2">
      <c r="I18296" s="137" t="s">
        <v>74</v>
      </c>
    </row>
    <row r="18297" spans="9:9" x14ac:dyDescent="0.2">
      <c r="I18297" s="137" t="s">
        <v>74</v>
      </c>
    </row>
    <row r="18298" spans="9:9" x14ac:dyDescent="0.2">
      <c r="I18298" s="137" t="s">
        <v>74</v>
      </c>
    </row>
    <row r="18299" spans="9:9" x14ac:dyDescent="0.2">
      <c r="I18299" s="137" t="s">
        <v>74</v>
      </c>
    </row>
    <row r="18300" spans="9:9" x14ac:dyDescent="0.2">
      <c r="I18300" s="137" t="s">
        <v>74</v>
      </c>
    </row>
    <row r="18301" spans="9:9" x14ac:dyDescent="0.2">
      <c r="I18301" s="137" t="s">
        <v>74</v>
      </c>
    </row>
    <row r="18302" spans="9:9" x14ac:dyDescent="0.2">
      <c r="I18302" s="137" t="s">
        <v>74</v>
      </c>
    </row>
    <row r="18303" spans="9:9" x14ac:dyDescent="0.2">
      <c r="I18303" s="137" t="s">
        <v>74</v>
      </c>
    </row>
    <row r="18304" spans="9:9" x14ac:dyDescent="0.2">
      <c r="I18304" s="137" t="s">
        <v>74</v>
      </c>
    </row>
    <row r="18305" spans="9:9" x14ac:dyDescent="0.2">
      <c r="I18305" s="137" t="s">
        <v>74</v>
      </c>
    </row>
    <row r="18306" spans="9:9" x14ac:dyDescent="0.2">
      <c r="I18306" s="137" t="s">
        <v>74</v>
      </c>
    </row>
    <row r="18307" spans="9:9" x14ac:dyDescent="0.2">
      <c r="I18307" s="137" t="s">
        <v>74</v>
      </c>
    </row>
    <row r="18308" spans="9:9" x14ac:dyDescent="0.2">
      <c r="I18308" s="137" t="s">
        <v>74</v>
      </c>
    </row>
    <row r="18309" spans="9:9" x14ac:dyDescent="0.2">
      <c r="I18309" s="137" t="s">
        <v>74</v>
      </c>
    </row>
    <row r="18310" spans="9:9" x14ac:dyDescent="0.2">
      <c r="I18310" s="137" t="s">
        <v>74</v>
      </c>
    </row>
    <row r="18311" spans="9:9" x14ac:dyDescent="0.2">
      <c r="I18311" s="137" t="s">
        <v>74</v>
      </c>
    </row>
    <row r="18312" spans="9:9" x14ac:dyDescent="0.2">
      <c r="I18312" s="137" t="s">
        <v>74</v>
      </c>
    </row>
    <row r="18313" spans="9:9" x14ac:dyDescent="0.2">
      <c r="I18313" s="137" t="s">
        <v>74</v>
      </c>
    </row>
    <row r="18314" spans="9:9" x14ac:dyDescent="0.2">
      <c r="I18314" s="137" t="s">
        <v>74</v>
      </c>
    </row>
    <row r="18315" spans="9:9" x14ac:dyDescent="0.2">
      <c r="I18315" s="137" t="s">
        <v>74</v>
      </c>
    </row>
    <row r="18316" spans="9:9" x14ac:dyDescent="0.2">
      <c r="I18316" s="137" t="s">
        <v>74</v>
      </c>
    </row>
    <row r="18317" spans="9:9" x14ac:dyDescent="0.2">
      <c r="I18317" s="137" t="s">
        <v>74</v>
      </c>
    </row>
    <row r="18318" spans="9:9" x14ac:dyDescent="0.2">
      <c r="I18318" s="137" t="s">
        <v>74</v>
      </c>
    </row>
    <row r="18319" spans="9:9" x14ac:dyDescent="0.2">
      <c r="I18319" s="137" t="s">
        <v>74</v>
      </c>
    </row>
    <row r="18320" spans="9:9" x14ac:dyDescent="0.2">
      <c r="I18320" s="137" t="s">
        <v>74</v>
      </c>
    </row>
    <row r="18321" spans="9:9" x14ac:dyDescent="0.2">
      <c r="I18321" s="137" t="s">
        <v>74</v>
      </c>
    </row>
    <row r="18322" spans="9:9" x14ac:dyDescent="0.2">
      <c r="I18322" s="137" t="s">
        <v>74</v>
      </c>
    </row>
    <row r="18323" spans="9:9" x14ac:dyDescent="0.2">
      <c r="I18323" s="137" t="s">
        <v>74</v>
      </c>
    </row>
    <row r="18324" spans="9:9" x14ac:dyDescent="0.2">
      <c r="I18324" s="137" t="s">
        <v>74</v>
      </c>
    </row>
    <row r="18325" spans="9:9" x14ac:dyDescent="0.2">
      <c r="I18325" s="137" t="s">
        <v>74</v>
      </c>
    </row>
    <row r="18326" spans="9:9" x14ac:dyDescent="0.2">
      <c r="I18326" s="137" t="s">
        <v>74</v>
      </c>
    </row>
    <row r="18327" spans="9:9" x14ac:dyDescent="0.2">
      <c r="I18327" s="137" t="s">
        <v>74</v>
      </c>
    </row>
    <row r="18328" spans="9:9" x14ac:dyDescent="0.2">
      <c r="I18328" s="137" t="s">
        <v>74</v>
      </c>
    </row>
    <row r="18329" spans="9:9" x14ac:dyDescent="0.2">
      <c r="I18329" s="137" t="s">
        <v>74</v>
      </c>
    </row>
    <row r="18330" spans="9:9" x14ac:dyDescent="0.2">
      <c r="I18330" s="137" t="s">
        <v>74</v>
      </c>
    </row>
    <row r="18331" spans="9:9" x14ac:dyDescent="0.2">
      <c r="I18331" s="137" t="s">
        <v>74</v>
      </c>
    </row>
    <row r="18332" spans="9:9" x14ac:dyDescent="0.2">
      <c r="I18332" s="137" t="s">
        <v>74</v>
      </c>
    </row>
    <row r="18333" spans="9:9" x14ac:dyDescent="0.2">
      <c r="I18333" s="137" t="s">
        <v>74</v>
      </c>
    </row>
    <row r="18334" spans="9:9" x14ac:dyDescent="0.2">
      <c r="I18334" s="137" t="s">
        <v>74</v>
      </c>
    </row>
    <row r="18335" spans="9:9" x14ac:dyDescent="0.2">
      <c r="I18335" s="137" t="s">
        <v>74</v>
      </c>
    </row>
    <row r="18336" spans="9:9" x14ac:dyDescent="0.2">
      <c r="I18336" s="137" t="s">
        <v>74</v>
      </c>
    </row>
    <row r="18337" spans="9:9" x14ac:dyDescent="0.2">
      <c r="I18337" s="137" t="s">
        <v>74</v>
      </c>
    </row>
    <row r="18338" spans="9:9" x14ac:dyDescent="0.2">
      <c r="I18338" s="137" t="s">
        <v>74</v>
      </c>
    </row>
    <row r="18339" spans="9:9" x14ac:dyDescent="0.2">
      <c r="I18339" s="137" t="s">
        <v>74</v>
      </c>
    </row>
    <row r="18340" spans="9:9" x14ac:dyDescent="0.2">
      <c r="I18340" s="137" t="s">
        <v>74</v>
      </c>
    </row>
    <row r="18341" spans="9:9" x14ac:dyDescent="0.2">
      <c r="I18341" s="137" t="s">
        <v>74</v>
      </c>
    </row>
    <row r="18342" spans="9:9" x14ac:dyDescent="0.2">
      <c r="I18342" s="137" t="s">
        <v>74</v>
      </c>
    </row>
    <row r="18343" spans="9:9" x14ac:dyDescent="0.2">
      <c r="I18343" s="137" t="s">
        <v>74</v>
      </c>
    </row>
    <row r="18344" spans="9:9" x14ac:dyDescent="0.2">
      <c r="I18344" s="137" t="s">
        <v>74</v>
      </c>
    </row>
    <row r="18345" spans="9:9" x14ac:dyDescent="0.2">
      <c r="I18345" s="137" t="s">
        <v>74</v>
      </c>
    </row>
    <row r="18346" spans="9:9" x14ac:dyDescent="0.2">
      <c r="I18346" s="137" t="s">
        <v>74</v>
      </c>
    </row>
    <row r="18347" spans="9:9" x14ac:dyDescent="0.2">
      <c r="I18347" s="137" t="s">
        <v>74</v>
      </c>
    </row>
    <row r="18348" spans="9:9" x14ac:dyDescent="0.2">
      <c r="I18348" s="137" t="s">
        <v>74</v>
      </c>
    </row>
    <row r="18349" spans="9:9" x14ac:dyDescent="0.2">
      <c r="I18349" s="137" t="s">
        <v>74</v>
      </c>
    </row>
    <row r="18350" spans="9:9" x14ac:dyDescent="0.2">
      <c r="I18350" s="137" t="s">
        <v>74</v>
      </c>
    </row>
    <row r="18351" spans="9:9" x14ac:dyDescent="0.2">
      <c r="I18351" s="137" t="s">
        <v>74</v>
      </c>
    </row>
    <row r="18352" spans="9:9" x14ac:dyDescent="0.2">
      <c r="I18352" s="137" t="s">
        <v>74</v>
      </c>
    </row>
    <row r="18353" spans="9:9" x14ac:dyDescent="0.2">
      <c r="I18353" s="137" t="s">
        <v>74</v>
      </c>
    </row>
    <row r="18354" spans="9:9" x14ac:dyDescent="0.2">
      <c r="I18354" s="137" t="s">
        <v>74</v>
      </c>
    </row>
    <row r="18355" spans="9:9" x14ac:dyDescent="0.2">
      <c r="I18355" s="137" t="s">
        <v>74</v>
      </c>
    </row>
    <row r="18356" spans="9:9" x14ac:dyDescent="0.2">
      <c r="I18356" s="137" t="s">
        <v>74</v>
      </c>
    </row>
    <row r="18357" spans="9:9" x14ac:dyDescent="0.2">
      <c r="I18357" s="137" t="s">
        <v>74</v>
      </c>
    </row>
    <row r="18358" spans="9:9" x14ac:dyDescent="0.2">
      <c r="I18358" s="137" t="s">
        <v>74</v>
      </c>
    </row>
    <row r="18359" spans="9:9" x14ac:dyDescent="0.2">
      <c r="I18359" s="137" t="s">
        <v>74</v>
      </c>
    </row>
    <row r="18360" spans="9:9" x14ac:dyDescent="0.2">
      <c r="I18360" s="137" t="s">
        <v>74</v>
      </c>
    </row>
    <row r="18361" spans="9:9" x14ac:dyDescent="0.2">
      <c r="I18361" s="137" t="s">
        <v>74</v>
      </c>
    </row>
    <row r="18362" spans="9:9" x14ac:dyDescent="0.2">
      <c r="I18362" s="137" t="s">
        <v>74</v>
      </c>
    </row>
    <row r="18363" spans="9:9" x14ac:dyDescent="0.2">
      <c r="I18363" s="137" t="s">
        <v>74</v>
      </c>
    </row>
    <row r="18364" spans="9:9" x14ac:dyDescent="0.2">
      <c r="I18364" s="137" t="s">
        <v>74</v>
      </c>
    </row>
    <row r="18365" spans="9:9" x14ac:dyDescent="0.2">
      <c r="I18365" s="137" t="s">
        <v>74</v>
      </c>
    </row>
    <row r="18366" spans="9:9" x14ac:dyDescent="0.2">
      <c r="I18366" s="137" t="s">
        <v>74</v>
      </c>
    </row>
    <row r="18367" spans="9:9" x14ac:dyDescent="0.2">
      <c r="I18367" s="137" t="s">
        <v>74</v>
      </c>
    </row>
    <row r="18368" spans="9:9" x14ac:dyDescent="0.2">
      <c r="I18368" s="137" t="s">
        <v>74</v>
      </c>
    </row>
    <row r="18369" spans="9:9" x14ac:dyDescent="0.2">
      <c r="I18369" s="137" t="s">
        <v>74</v>
      </c>
    </row>
    <row r="18370" spans="9:9" x14ac:dyDescent="0.2">
      <c r="I18370" s="137" t="s">
        <v>74</v>
      </c>
    </row>
    <row r="18371" spans="9:9" x14ac:dyDescent="0.2">
      <c r="I18371" s="137" t="s">
        <v>74</v>
      </c>
    </row>
    <row r="18372" spans="9:9" x14ac:dyDescent="0.2">
      <c r="I18372" s="137" t="s">
        <v>74</v>
      </c>
    </row>
    <row r="18373" spans="9:9" x14ac:dyDescent="0.2">
      <c r="I18373" s="137" t="s">
        <v>74</v>
      </c>
    </row>
    <row r="18374" spans="9:9" x14ac:dyDescent="0.2">
      <c r="I18374" s="137" t="s">
        <v>74</v>
      </c>
    </row>
    <row r="18375" spans="9:9" x14ac:dyDescent="0.2">
      <c r="I18375" s="137" t="s">
        <v>74</v>
      </c>
    </row>
    <row r="18376" spans="9:9" x14ac:dyDescent="0.2">
      <c r="I18376" s="137" t="s">
        <v>74</v>
      </c>
    </row>
    <row r="18377" spans="9:9" x14ac:dyDescent="0.2">
      <c r="I18377" s="137" t="s">
        <v>74</v>
      </c>
    </row>
    <row r="18378" spans="9:9" x14ac:dyDescent="0.2">
      <c r="I18378" s="137" t="s">
        <v>74</v>
      </c>
    </row>
    <row r="18379" spans="9:9" x14ac:dyDescent="0.2">
      <c r="I18379" s="137" t="s">
        <v>74</v>
      </c>
    </row>
    <row r="18380" spans="9:9" x14ac:dyDescent="0.2">
      <c r="I18380" s="137" t="s">
        <v>74</v>
      </c>
    </row>
    <row r="18381" spans="9:9" x14ac:dyDescent="0.2">
      <c r="I18381" s="137" t="s">
        <v>74</v>
      </c>
    </row>
    <row r="18382" spans="9:9" x14ac:dyDescent="0.2">
      <c r="I18382" s="137" t="s">
        <v>74</v>
      </c>
    </row>
    <row r="18383" spans="9:9" x14ac:dyDescent="0.2">
      <c r="I18383" s="137" t="s">
        <v>74</v>
      </c>
    </row>
    <row r="18384" spans="9:9" x14ac:dyDescent="0.2">
      <c r="I18384" s="137" t="s">
        <v>74</v>
      </c>
    </row>
    <row r="18385" spans="9:9" x14ac:dyDescent="0.2">
      <c r="I18385" s="137" t="s">
        <v>74</v>
      </c>
    </row>
    <row r="18386" spans="9:9" x14ac:dyDescent="0.2">
      <c r="I18386" s="137" t="s">
        <v>74</v>
      </c>
    </row>
    <row r="18387" spans="9:9" x14ac:dyDescent="0.2">
      <c r="I18387" s="137" t="s">
        <v>74</v>
      </c>
    </row>
    <row r="18388" spans="9:9" x14ac:dyDescent="0.2">
      <c r="I18388" s="137" t="s">
        <v>74</v>
      </c>
    </row>
    <row r="18389" spans="9:9" x14ac:dyDescent="0.2">
      <c r="I18389" s="137" t="s">
        <v>74</v>
      </c>
    </row>
    <row r="18390" spans="9:9" x14ac:dyDescent="0.2">
      <c r="I18390" s="137" t="s">
        <v>74</v>
      </c>
    </row>
    <row r="18391" spans="9:9" x14ac:dyDescent="0.2">
      <c r="I18391" s="137" t="s">
        <v>74</v>
      </c>
    </row>
    <row r="18392" spans="9:9" x14ac:dyDescent="0.2">
      <c r="I18392" s="137" t="s">
        <v>74</v>
      </c>
    </row>
    <row r="18393" spans="9:9" x14ac:dyDescent="0.2">
      <c r="I18393" s="137" t="s">
        <v>74</v>
      </c>
    </row>
    <row r="18394" spans="9:9" x14ac:dyDescent="0.2">
      <c r="I18394" s="137" t="s">
        <v>74</v>
      </c>
    </row>
    <row r="18395" spans="9:9" x14ac:dyDescent="0.2">
      <c r="I18395" s="137" t="s">
        <v>74</v>
      </c>
    </row>
    <row r="18396" spans="9:9" x14ac:dyDescent="0.2">
      <c r="I18396" s="137" t="s">
        <v>74</v>
      </c>
    </row>
    <row r="18397" spans="9:9" x14ac:dyDescent="0.2">
      <c r="I18397" s="137" t="s">
        <v>74</v>
      </c>
    </row>
    <row r="18398" spans="9:9" x14ac:dyDescent="0.2">
      <c r="I18398" s="137" t="s">
        <v>74</v>
      </c>
    </row>
    <row r="18399" spans="9:9" x14ac:dyDescent="0.2">
      <c r="I18399" s="137" t="s">
        <v>74</v>
      </c>
    </row>
    <row r="18400" spans="9:9" x14ac:dyDescent="0.2">
      <c r="I18400" s="137" t="s">
        <v>74</v>
      </c>
    </row>
    <row r="18401" spans="9:9" x14ac:dyDescent="0.2">
      <c r="I18401" s="137" t="s">
        <v>74</v>
      </c>
    </row>
    <row r="18402" spans="9:9" x14ac:dyDescent="0.2">
      <c r="I18402" s="137" t="s">
        <v>74</v>
      </c>
    </row>
    <row r="18403" spans="9:9" x14ac:dyDescent="0.2">
      <c r="I18403" s="137" t="s">
        <v>74</v>
      </c>
    </row>
    <row r="18404" spans="9:9" x14ac:dyDescent="0.2">
      <c r="I18404" s="137" t="s">
        <v>74</v>
      </c>
    </row>
    <row r="18405" spans="9:9" x14ac:dyDescent="0.2">
      <c r="I18405" s="137" t="s">
        <v>74</v>
      </c>
    </row>
    <row r="18406" spans="9:9" x14ac:dyDescent="0.2">
      <c r="I18406" s="137" t="s">
        <v>74</v>
      </c>
    </row>
    <row r="18407" spans="9:9" x14ac:dyDescent="0.2">
      <c r="I18407" s="137" t="s">
        <v>74</v>
      </c>
    </row>
    <row r="18408" spans="9:9" x14ac:dyDescent="0.2">
      <c r="I18408" s="137" t="s">
        <v>74</v>
      </c>
    </row>
    <row r="18409" spans="9:9" x14ac:dyDescent="0.2">
      <c r="I18409" s="137" t="s">
        <v>74</v>
      </c>
    </row>
    <row r="18410" spans="9:9" x14ac:dyDescent="0.2">
      <c r="I18410" s="137" t="s">
        <v>74</v>
      </c>
    </row>
    <row r="18411" spans="9:9" x14ac:dyDescent="0.2">
      <c r="I18411" s="137" t="s">
        <v>74</v>
      </c>
    </row>
    <row r="18412" spans="9:9" x14ac:dyDescent="0.2">
      <c r="I18412" s="137" t="s">
        <v>74</v>
      </c>
    </row>
    <row r="18413" spans="9:9" x14ac:dyDescent="0.2">
      <c r="I18413" s="137" t="s">
        <v>74</v>
      </c>
    </row>
    <row r="18414" spans="9:9" x14ac:dyDescent="0.2">
      <c r="I18414" s="137" t="s">
        <v>74</v>
      </c>
    </row>
    <row r="18415" spans="9:9" x14ac:dyDescent="0.2">
      <c r="I18415" s="137" t="s">
        <v>74</v>
      </c>
    </row>
    <row r="18416" spans="9:9" x14ac:dyDescent="0.2">
      <c r="I18416" s="137" t="s">
        <v>74</v>
      </c>
    </row>
    <row r="18417" spans="9:9" x14ac:dyDescent="0.2">
      <c r="I18417" s="137" t="s">
        <v>74</v>
      </c>
    </row>
    <row r="18418" spans="9:9" x14ac:dyDescent="0.2">
      <c r="I18418" s="137" t="s">
        <v>74</v>
      </c>
    </row>
    <row r="18419" spans="9:9" x14ac:dyDescent="0.2">
      <c r="I18419" s="137" t="s">
        <v>74</v>
      </c>
    </row>
    <row r="18420" spans="9:9" x14ac:dyDescent="0.2">
      <c r="I18420" s="137" t="s">
        <v>74</v>
      </c>
    </row>
    <row r="18421" spans="9:9" x14ac:dyDescent="0.2">
      <c r="I18421" s="137" t="s">
        <v>74</v>
      </c>
    </row>
    <row r="18422" spans="9:9" x14ac:dyDescent="0.2">
      <c r="I18422" s="137" t="s">
        <v>74</v>
      </c>
    </row>
    <row r="18423" spans="9:9" x14ac:dyDescent="0.2">
      <c r="I18423" s="137" t="s">
        <v>74</v>
      </c>
    </row>
    <row r="18424" spans="9:9" x14ac:dyDescent="0.2">
      <c r="I18424" s="137" t="s">
        <v>74</v>
      </c>
    </row>
    <row r="18425" spans="9:9" x14ac:dyDescent="0.2">
      <c r="I18425" s="137" t="s">
        <v>74</v>
      </c>
    </row>
    <row r="18426" spans="9:9" x14ac:dyDescent="0.2">
      <c r="I18426" s="137" t="s">
        <v>74</v>
      </c>
    </row>
    <row r="18427" spans="9:9" x14ac:dyDescent="0.2">
      <c r="I18427" s="137" t="s">
        <v>74</v>
      </c>
    </row>
    <row r="18428" spans="9:9" x14ac:dyDescent="0.2">
      <c r="I18428" s="137" t="s">
        <v>74</v>
      </c>
    </row>
    <row r="18429" spans="9:9" x14ac:dyDescent="0.2">
      <c r="I18429" s="137" t="s">
        <v>74</v>
      </c>
    </row>
    <row r="18430" spans="9:9" x14ac:dyDescent="0.2">
      <c r="I18430" s="137" t="s">
        <v>74</v>
      </c>
    </row>
    <row r="18431" spans="9:9" x14ac:dyDescent="0.2">
      <c r="I18431" s="137" t="s">
        <v>74</v>
      </c>
    </row>
    <row r="18432" spans="9:9" x14ac:dyDescent="0.2">
      <c r="I18432" s="137" t="s">
        <v>74</v>
      </c>
    </row>
    <row r="18433" spans="9:9" x14ac:dyDescent="0.2">
      <c r="I18433" s="137" t="s">
        <v>74</v>
      </c>
    </row>
    <row r="18434" spans="9:9" x14ac:dyDescent="0.2">
      <c r="I18434" s="137" t="s">
        <v>74</v>
      </c>
    </row>
    <row r="18435" spans="9:9" x14ac:dyDescent="0.2">
      <c r="I18435" s="137" t="s">
        <v>74</v>
      </c>
    </row>
    <row r="18436" spans="9:9" x14ac:dyDescent="0.2">
      <c r="I18436" s="137" t="s">
        <v>74</v>
      </c>
    </row>
    <row r="18437" spans="9:9" x14ac:dyDescent="0.2">
      <c r="I18437" s="137" t="s">
        <v>74</v>
      </c>
    </row>
    <row r="18438" spans="9:9" x14ac:dyDescent="0.2">
      <c r="I18438" s="137" t="s">
        <v>74</v>
      </c>
    </row>
    <row r="18439" spans="9:9" x14ac:dyDescent="0.2">
      <c r="I18439" s="137" t="s">
        <v>74</v>
      </c>
    </row>
    <row r="18440" spans="9:9" x14ac:dyDescent="0.2">
      <c r="I18440" s="137" t="s">
        <v>74</v>
      </c>
    </row>
    <row r="18441" spans="9:9" x14ac:dyDescent="0.2">
      <c r="I18441" s="137" t="s">
        <v>74</v>
      </c>
    </row>
    <row r="18442" spans="9:9" x14ac:dyDescent="0.2">
      <c r="I18442" s="137" t="s">
        <v>74</v>
      </c>
    </row>
    <row r="18443" spans="9:9" x14ac:dyDescent="0.2">
      <c r="I18443" s="137" t="s">
        <v>74</v>
      </c>
    </row>
    <row r="18444" spans="9:9" x14ac:dyDescent="0.2">
      <c r="I18444" s="137" t="s">
        <v>74</v>
      </c>
    </row>
    <row r="18445" spans="9:9" x14ac:dyDescent="0.2">
      <c r="I18445" s="137" t="s">
        <v>74</v>
      </c>
    </row>
    <row r="18446" spans="9:9" x14ac:dyDescent="0.2">
      <c r="I18446" s="137" t="s">
        <v>74</v>
      </c>
    </row>
    <row r="18447" spans="9:9" x14ac:dyDescent="0.2">
      <c r="I18447" s="137" t="s">
        <v>74</v>
      </c>
    </row>
    <row r="18448" spans="9:9" x14ac:dyDescent="0.2">
      <c r="I18448" s="137" t="s">
        <v>74</v>
      </c>
    </row>
    <row r="18449" spans="9:9" x14ac:dyDescent="0.2">
      <c r="I18449" s="137" t="s">
        <v>74</v>
      </c>
    </row>
    <row r="18450" spans="9:9" x14ac:dyDescent="0.2">
      <c r="I18450" s="137" t="s">
        <v>74</v>
      </c>
    </row>
    <row r="18451" spans="9:9" x14ac:dyDescent="0.2">
      <c r="I18451" s="137" t="s">
        <v>74</v>
      </c>
    </row>
    <row r="18452" spans="9:9" x14ac:dyDescent="0.2">
      <c r="I18452" s="137" t="s">
        <v>74</v>
      </c>
    </row>
    <row r="18453" spans="9:9" x14ac:dyDescent="0.2">
      <c r="I18453" s="137" t="s">
        <v>74</v>
      </c>
    </row>
    <row r="18454" spans="9:9" x14ac:dyDescent="0.2">
      <c r="I18454" s="137" t="s">
        <v>74</v>
      </c>
    </row>
    <row r="18455" spans="9:9" x14ac:dyDescent="0.2">
      <c r="I18455" s="137" t="s">
        <v>74</v>
      </c>
    </row>
    <row r="18456" spans="9:9" x14ac:dyDescent="0.2">
      <c r="I18456" s="137" t="s">
        <v>74</v>
      </c>
    </row>
    <row r="18457" spans="9:9" x14ac:dyDescent="0.2">
      <c r="I18457" s="137" t="s">
        <v>74</v>
      </c>
    </row>
    <row r="18458" spans="9:9" x14ac:dyDescent="0.2">
      <c r="I18458" s="137" t="s">
        <v>74</v>
      </c>
    </row>
    <row r="18459" spans="9:9" x14ac:dyDescent="0.2">
      <c r="I18459" s="137" t="s">
        <v>74</v>
      </c>
    </row>
    <row r="18460" spans="9:9" x14ac:dyDescent="0.2">
      <c r="I18460" s="137" t="s">
        <v>74</v>
      </c>
    </row>
    <row r="18461" spans="9:9" x14ac:dyDescent="0.2">
      <c r="I18461" s="137" t="s">
        <v>74</v>
      </c>
    </row>
    <row r="18462" spans="9:9" x14ac:dyDescent="0.2">
      <c r="I18462" s="137" t="s">
        <v>74</v>
      </c>
    </row>
    <row r="18463" spans="9:9" x14ac:dyDescent="0.2">
      <c r="I18463" s="137" t="s">
        <v>74</v>
      </c>
    </row>
    <row r="18464" spans="9:9" x14ac:dyDescent="0.2">
      <c r="I18464" s="137" t="s">
        <v>74</v>
      </c>
    </row>
    <row r="18465" spans="9:9" x14ac:dyDescent="0.2">
      <c r="I18465" s="137" t="s">
        <v>74</v>
      </c>
    </row>
    <row r="18466" spans="9:9" x14ac:dyDescent="0.2">
      <c r="I18466" s="137" t="s">
        <v>74</v>
      </c>
    </row>
    <row r="18467" spans="9:9" x14ac:dyDescent="0.2">
      <c r="I18467" s="137" t="s">
        <v>74</v>
      </c>
    </row>
    <row r="18468" spans="9:9" x14ac:dyDescent="0.2">
      <c r="I18468" s="137" t="s">
        <v>74</v>
      </c>
    </row>
    <row r="18469" spans="9:9" x14ac:dyDescent="0.2">
      <c r="I18469" s="137" t="s">
        <v>74</v>
      </c>
    </row>
    <row r="18470" spans="9:9" x14ac:dyDescent="0.2">
      <c r="I18470" s="137" t="s">
        <v>74</v>
      </c>
    </row>
    <row r="18471" spans="9:9" x14ac:dyDescent="0.2">
      <c r="I18471" s="137" t="s">
        <v>74</v>
      </c>
    </row>
    <row r="18472" spans="9:9" x14ac:dyDescent="0.2">
      <c r="I18472" s="137" t="s">
        <v>74</v>
      </c>
    </row>
    <row r="18473" spans="9:9" x14ac:dyDescent="0.2">
      <c r="I18473" s="137" t="s">
        <v>74</v>
      </c>
    </row>
    <row r="18474" spans="9:9" x14ac:dyDescent="0.2">
      <c r="I18474" s="137" t="s">
        <v>74</v>
      </c>
    </row>
    <row r="18475" spans="9:9" x14ac:dyDescent="0.2">
      <c r="I18475" s="137" t="s">
        <v>74</v>
      </c>
    </row>
    <row r="18476" spans="9:9" x14ac:dyDescent="0.2">
      <c r="I18476" s="137" t="s">
        <v>74</v>
      </c>
    </row>
    <row r="18477" spans="9:9" x14ac:dyDescent="0.2">
      <c r="I18477" s="137" t="s">
        <v>74</v>
      </c>
    </row>
    <row r="18478" spans="9:9" x14ac:dyDescent="0.2">
      <c r="I18478" s="137" t="s">
        <v>74</v>
      </c>
    </row>
    <row r="18479" spans="9:9" x14ac:dyDescent="0.2">
      <c r="I18479" s="137" t="s">
        <v>74</v>
      </c>
    </row>
    <row r="18480" spans="9:9" x14ac:dyDescent="0.2">
      <c r="I18480" s="137" t="s">
        <v>74</v>
      </c>
    </row>
    <row r="18481" spans="9:9" x14ac:dyDescent="0.2">
      <c r="I18481" s="137" t="s">
        <v>74</v>
      </c>
    </row>
    <row r="18482" spans="9:9" x14ac:dyDescent="0.2">
      <c r="I18482" s="137" t="s">
        <v>74</v>
      </c>
    </row>
    <row r="18483" spans="9:9" x14ac:dyDescent="0.2">
      <c r="I18483" s="137" t="s">
        <v>74</v>
      </c>
    </row>
    <row r="18484" spans="9:9" x14ac:dyDescent="0.2">
      <c r="I18484" s="137" t="s">
        <v>74</v>
      </c>
    </row>
    <row r="18485" spans="9:9" x14ac:dyDescent="0.2">
      <c r="I18485" s="137" t="s">
        <v>74</v>
      </c>
    </row>
    <row r="18486" spans="9:9" x14ac:dyDescent="0.2">
      <c r="I18486" s="137" t="s">
        <v>74</v>
      </c>
    </row>
    <row r="18487" spans="9:9" x14ac:dyDescent="0.2">
      <c r="I18487" s="137" t="s">
        <v>74</v>
      </c>
    </row>
    <row r="18488" spans="9:9" x14ac:dyDescent="0.2">
      <c r="I18488" s="137" t="s">
        <v>74</v>
      </c>
    </row>
    <row r="18489" spans="9:9" x14ac:dyDescent="0.2">
      <c r="I18489" s="137" t="s">
        <v>74</v>
      </c>
    </row>
    <row r="18490" spans="9:9" x14ac:dyDescent="0.2">
      <c r="I18490" s="137" t="s">
        <v>74</v>
      </c>
    </row>
    <row r="18491" spans="9:9" x14ac:dyDescent="0.2">
      <c r="I18491" s="137" t="s">
        <v>74</v>
      </c>
    </row>
    <row r="18492" spans="9:9" x14ac:dyDescent="0.2">
      <c r="I18492" s="137" t="s">
        <v>74</v>
      </c>
    </row>
    <row r="18493" spans="9:9" x14ac:dyDescent="0.2">
      <c r="I18493" s="137" t="s">
        <v>74</v>
      </c>
    </row>
    <row r="18494" spans="9:9" x14ac:dyDescent="0.2">
      <c r="I18494" s="137" t="s">
        <v>74</v>
      </c>
    </row>
    <row r="18495" spans="9:9" x14ac:dyDescent="0.2">
      <c r="I18495" s="137" t="s">
        <v>74</v>
      </c>
    </row>
    <row r="18496" spans="9:9" x14ac:dyDescent="0.2">
      <c r="I18496" s="137" t="s">
        <v>74</v>
      </c>
    </row>
    <row r="18497" spans="9:9" x14ac:dyDescent="0.2">
      <c r="I18497" s="137" t="s">
        <v>74</v>
      </c>
    </row>
    <row r="18498" spans="9:9" x14ac:dyDescent="0.2">
      <c r="I18498" s="137" t="s">
        <v>74</v>
      </c>
    </row>
    <row r="18499" spans="9:9" x14ac:dyDescent="0.2">
      <c r="I18499" s="137" t="s">
        <v>74</v>
      </c>
    </row>
    <row r="18500" spans="9:9" x14ac:dyDescent="0.2">
      <c r="I18500" s="137" t="s">
        <v>74</v>
      </c>
    </row>
    <row r="18501" spans="9:9" x14ac:dyDescent="0.2">
      <c r="I18501" s="137" t="s">
        <v>74</v>
      </c>
    </row>
    <row r="18502" spans="9:9" x14ac:dyDescent="0.2">
      <c r="I18502" s="137" t="s">
        <v>74</v>
      </c>
    </row>
    <row r="18503" spans="9:9" x14ac:dyDescent="0.2">
      <c r="I18503" s="137" t="s">
        <v>74</v>
      </c>
    </row>
    <row r="18504" spans="9:9" x14ac:dyDescent="0.2">
      <c r="I18504" s="137" t="s">
        <v>74</v>
      </c>
    </row>
    <row r="18505" spans="9:9" x14ac:dyDescent="0.2">
      <c r="I18505" s="137" t="s">
        <v>74</v>
      </c>
    </row>
    <row r="18506" spans="9:9" x14ac:dyDescent="0.2">
      <c r="I18506" s="137" t="s">
        <v>74</v>
      </c>
    </row>
    <row r="18507" spans="9:9" x14ac:dyDescent="0.2">
      <c r="I18507" s="137" t="s">
        <v>74</v>
      </c>
    </row>
    <row r="18508" spans="9:9" x14ac:dyDescent="0.2">
      <c r="I18508" s="137" t="s">
        <v>74</v>
      </c>
    </row>
    <row r="18509" spans="9:9" x14ac:dyDescent="0.2">
      <c r="I18509" s="137" t="s">
        <v>74</v>
      </c>
    </row>
    <row r="18510" spans="9:9" x14ac:dyDescent="0.2">
      <c r="I18510" s="137" t="s">
        <v>74</v>
      </c>
    </row>
    <row r="18511" spans="9:9" x14ac:dyDescent="0.2">
      <c r="I18511" s="137" t="s">
        <v>74</v>
      </c>
    </row>
    <row r="18512" spans="9:9" x14ac:dyDescent="0.2">
      <c r="I18512" s="137" t="s">
        <v>74</v>
      </c>
    </row>
    <row r="18513" spans="9:9" x14ac:dyDescent="0.2">
      <c r="I18513" s="137" t="s">
        <v>74</v>
      </c>
    </row>
    <row r="18514" spans="9:9" x14ac:dyDescent="0.2">
      <c r="I18514" s="137" t="s">
        <v>74</v>
      </c>
    </row>
    <row r="18515" spans="9:9" x14ac:dyDescent="0.2">
      <c r="I18515" s="137" t="s">
        <v>74</v>
      </c>
    </row>
    <row r="18516" spans="9:9" x14ac:dyDescent="0.2">
      <c r="I18516" s="137" t="s">
        <v>74</v>
      </c>
    </row>
    <row r="18517" spans="9:9" x14ac:dyDescent="0.2">
      <c r="I18517" s="137" t="s">
        <v>74</v>
      </c>
    </row>
    <row r="18518" spans="9:9" x14ac:dyDescent="0.2">
      <c r="I18518" s="137" t="s">
        <v>74</v>
      </c>
    </row>
    <row r="18519" spans="9:9" x14ac:dyDescent="0.2">
      <c r="I18519" s="137" t="s">
        <v>74</v>
      </c>
    </row>
    <row r="18520" spans="9:9" x14ac:dyDescent="0.2">
      <c r="I18520" s="137" t="s">
        <v>74</v>
      </c>
    </row>
    <row r="18521" spans="9:9" x14ac:dyDescent="0.2">
      <c r="I18521" s="137" t="s">
        <v>74</v>
      </c>
    </row>
    <row r="18522" spans="9:9" x14ac:dyDescent="0.2">
      <c r="I18522" s="137" t="s">
        <v>74</v>
      </c>
    </row>
    <row r="18523" spans="9:9" x14ac:dyDescent="0.2">
      <c r="I18523" s="137" t="s">
        <v>74</v>
      </c>
    </row>
    <row r="18524" spans="9:9" x14ac:dyDescent="0.2">
      <c r="I18524" s="137" t="s">
        <v>74</v>
      </c>
    </row>
    <row r="18525" spans="9:9" x14ac:dyDescent="0.2">
      <c r="I18525" s="137" t="s">
        <v>74</v>
      </c>
    </row>
    <row r="18526" spans="9:9" x14ac:dyDescent="0.2">
      <c r="I18526" s="137" t="s">
        <v>74</v>
      </c>
    </row>
    <row r="18527" spans="9:9" x14ac:dyDescent="0.2">
      <c r="I18527" s="137" t="s">
        <v>74</v>
      </c>
    </row>
    <row r="18528" spans="9:9" x14ac:dyDescent="0.2">
      <c r="I18528" s="137" t="s">
        <v>74</v>
      </c>
    </row>
    <row r="18529" spans="9:9" x14ac:dyDescent="0.2">
      <c r="I18529" s="137" t="s">
        <v>74</v>
      </c>
    </row>
    <row r="18530" spans="9:9" x14ac:dyDescent="0.2">
      <c r="I18530" s="137" t="s">
        <v>74</v>
      </c>
    </row>
    <row r="18531" spans="9:9" x14ac:dyDescent="0.2">
      <c r="I18531" s="137" t="s">
        <v>74</v>
      </c>
    </row>
    <row r="18532" spans="9:9" x14ac:dyDescent="0.2">
      <c r="I18532" s="137" t="s">
        <v>74</v>
      </c>
    </row>
    <row r="18533" spans="9:9" x14ac:dyDescent="0.2">
      <c r="I18533" s="137" t="s">
        <v>74</v>
      </c>
    </row>
    <row r="18534" spans="9:9" x14ac:dyDescent="0.2">
      <c r="I18534" s="137" t="s">
        <v>74</v>
      </c>
    </row>
    <row r="18535" spans="9:9" x14ac:dyDescent="0.2">
      <c r="I18535" s="137" t="s">
        <v>74</v>
      </c>
    </row>
    <row r="18536" spans="9:9" x14ac:dyDescent="0.2">
      <c r="I18536" s="137" t="s">
        <v>74</v>
      </c>
    </row>
    <row r="18537" spans="9:9" x14ac:dyDescent="0.2">
      <c r="I18537" s="137" t="s">
        <v>74</v>
      </c>
    </row>
    <row r="18538" spans="9:9" x14ac:dyDescent="0.2">
      <c r="I18538" s="137" t="s">
        <v>74</v>
      </c>
    </row>
    <row r="18539" spans="9:9" x14ac:dyDescent="0.2">
      <c r="I18539" s="137" t="s">
        <v>74</v>
      </c>
    </row>
    <row r="18540" spans="9:9" x14ac:dyDescent="0.2">
      <c r="I18540" s="137" t="s">
        <v>74</v>
      </c>
    </row>
    <row r="18541" spans="9:9" x14ac:dyDescent="0.2">
      <c r="I18541" s="137" t="s">
        <v>74</v>
      </c>
    </row>
    <row r="18542" spans="9:9" x14ac:dyDescent="0.2">
      <c r="I18542" s="137" t="s">
        <v>74</v>
      </c>
    </row>
    <row r="18543" spans="9:9" x14ac:dyDescent="0.2">
      <c r="I18543" s="137" t="s">
        <v>74</v>
      </c>
    </row>
    <row r="18544" spans="9:9" x14ac:dyDescent="0.2">
      <c r="I18544" s="137" t="s">
        <v>74</v>
      </c>
    </row>
    <row r="18545" spans="9:9" x14ac:dyDescent="0.2">
      <c r="I18545" s="137" t="s">
        <v>74</v>
      </c>
    </row>
    <row r="18546" spans="9:9" x14ac:dyDescent="0.2">
      <c r="I18546" s="137" t="s">
        <v>74</v>
      </c>
    </row>
    <row r="18547" spans="9:9" x14ac:dyDescent="0.2">
      <c r="I18547" s="137" t="s">
        <v>74</v>
      </c>
    </row>
    <row r="18548" spans="9:9" x14ac:dyDescent="0.2">
      <c r="I18548" s="137" t="s">
        <v>74</v>
      </c>
    </row>
    <row r="18549" spans="9:9" x14ac:dyDescent="0.2">
      <c r="I18549" s="137" t="s">
        <v>74</v>
      </c>
    </row>
    <row r="18550" spans="9:9" x14ac:dyDescent="0.2">
      <c r="I18550" s="137" t="s">
        <v>74</v>
      </c>
    </row>
    <row r="18551" spans="9:9" x14ac:dyDescent="0.2">
      <c r="I18551" s="137" t="s">
        <v>74</v>
      </c>
    </row>
    <row r="18552" spans="9:9" x14ac:dyDescent="0.2">
      <c r="I18552" s="137" t="s">
        <v>74</v>
      </c>
    </row>
    <row r="18553" spans="9:9" x14ac:dyDescent="0.2">
      <c r="I18553" s="137" t="s">
        <v>74</v>
      </c>
    </row>
    <row r="18554" spans="9:9" x14ac:dyDescent="0.2">
      <c r="I18554" s="137" t="s">
        <v>74</v>
      </c>
    </row>
    <row r="18555" spans="9:9" x14ac:dyDescent="0.2">
      <c r="I18555" s="137" t="s">
        <v>74</v>
      </c>
    </row>
    <row r="18556" spans="9:9" x14ac:dyDescent="0.2">
      <c r="I18556" s="137" t="s">
        <v>74</v>
      </c>
    </row>
    <row r="18557" spans="9:9" x14ac:dyDescent="0.2">
      <c r="I18557" s="137" t="s">
        <v>74</v>
      </c>
    </row>
    <row r="18558" spans="9:9" x14ac:dyDescent="0.2">
      <c r="I18558" s="137" t="s">
        <v>74</v>
      </c>
    </row>
    <row r="18559" spans="9:9" x14ac:dyDescent="0.2">
      <c r="I18559" s="137" t="s">
        <v>74</v>
      </c>
    </row>
    <row r="18560" spans="9:9" x14ac:dyDescent="0.2">
      <c r="I18560" s="137" t="s">
        <v>74</v>
      </c>
    </row>
    <row r="18561" spans="9:9" x14ac:dyDescent="0.2">
      <c r="I18561" s="137" t="s">
        <v>74</v>
      </c>
    </row>
    <row r="18562" spans="9:9" x14ac:dyDescent="0.2">
      <c r="I18562" s="137" t="s">
        <v>74</v>
      </c>
    </row>
    <row r="18563" spans="9:9" x14ac:dyDescent="0.2">
      <c r="I18563" s="137" t="s">
        <v>74</v>
      </c>
    </row>
    <row r="18564" spans="9:9" x14ac:dyDescent="0.2">
      <c r="I18564" s="137" t="s">
        <v>74</v>
      </c>
    </row>
    <row r="18565" spans="9:9" x14ac:dyDescent="0.2">
      <c r="I18565" s="137" t="s">
        <v>74</v>
      </c>
    </row>
    <row r="18566" spans="9:9" x14ac:dyDescent="0.2">
      <c r="I18566" s="137" t="s">
        <v>74</v>
      </c>
    </row>
    <row r="18567" spans="9:9" x14ac:dyDescent="0.2">
      <c r="I18567" s="137" t="s">
        <v>74</v>
      </c>
    </row>
    <row r="18568" spans="9:9" x14ac:dyDescent="0.2">
      <c r="I18568" s="137" t="s">
        <v>74</v>
      </c>
    </row>
    <row r="18569" spans="9:9" x14ac:dyDescent="0.2">
      <c r="I18569" s="137" t="s">
        <v>74</v>
      </c>
    </row>
    <row r="18570" spans="9:9" x14ac:dyDescent="0.2">
      <c r="I18570" s="137" t="s">
        <v>74</v>
      </c>
    </row>
    <row r="18571" spans="9:9" x14ac:dyDescent="0.2">
      <c r="I18571" s="137" t="s">
        <v>74</v>
      </c>
    </row>
    <row r="18572" spans="9:9" x14ac:dyDescent="0.2">
      <c r="I18572" s="137" t="s">
        <v>74</v>
      </c>
    </row>
    <row r="18573" spans="9:9" x14ac:dyDescent="0.2">
      <c r="I18573" s="137" t="s">
        <v>74</v>
      </c>
    </row>
    <row r="18574" spans="9:9" x14ac:dyDescent="0.2">
      <c r="I18574" s="137" t="s">
        <v>74</v>
      </c>
    </row>
    <row r="18575" spans="9:9" x14ac:dyDescent="0.2">
      <c r="I18575" s="137" t="s">
        <v>74</v>
      </c>
    </row>
    <row r="18576" spans="9:9" x14ac:dyDescent="0.2">
      <c r="I18576" s="137" t="s">
        <v>74</v>
      </c>
    </row>
    <row r="18577" spans="9:9" x14ac:dyDescent="0.2">
      <c r="I18577" s="137" t="s">
        <v>74</v>
      </c>
    </row>
    <row r="18578" spans="9:9" x14ac:dyDescent="0.2">
      <c r="I18578" s="137" t="s">
        <v>74</v>
      </c>
    </row>
    <row r="18579" spans="9:9" x14ac:dyDescent="0.2">
      <c r="I18579" s="137" t="s">
        <v>74</v>
      </c>
    </row>
    <row r="18580" spans="9:9" x14ac:dyDescent="0.2">
      <c r="I18580" s="137" t="s">
        <v>74</v>
      </c>
    </row>
    <row r="18581" spans="9:9" x14ac:dyDescent="0.2">
      <c r="I18581" s="137" t="s">
        <v>74</v>
      </c>
    </row>
    <row r="18582" spans="9:9" x14ac:dyDescent="0.2">
      <c r="I18582" s="137" t="s">
        <v>74</v>
      </c>
    </row>
    <row r="18583" spans="9:9" x14ac:dyDescent="0.2">
      <c r="I18583" s="137" t="s">
        <v>74</v>
      </c>
    </row>
    <row r="18584" spans="9:9" x14ac:dyDescent="0.2">
      <c r="I18584" s="137" t="s">
        <v>74</v>
      </c>
    </row>
    <row r="18585" spans="9:9" x14ac:dyDescent="0.2">
      <c r="I18585" s="137" t="s">
        <v>74</v>
      </c>
    </row>
    <row r="18586" spans="9:9" x14ac:dyDescent="0.2">
      <c r="I18586" s="137" t="s">
        <v>74</v>
      </c>
    </row>
    <row r="18587" spans="9:9" x14ac:dyDescent="0.2">
      <c r="I18587" s="137" t="s">
        <v>74</v>
      </c>
    </row>
    <row r="18588" spans="9:9" x14ac:dyDescent="0.2">
      <c r="I18588" s="137" t="s">
        <v>74</v>
      </c>
    </row>
    <row r="18589" spans="9:9" x14ac:dyDescent="0.2">
      <c r="I18589" s="137" t="s">
        <v>74</v>
      </c>
    </row>
    <row r="18590" spans="9:9" x14ac:dyDescent="0.2">
      <c r="I18590" s="137" t="s">
        <v>74</v>
      </c>
    </row>
    <row r="18591" spans="9:9" x14ac:dyDescent="0.2">
      <c r="I18591" s="137" t="s">
        <v>74</v>
      </c>
    </row>
    <row r="18592" spans="9:9" x14ac:dyDescent="0.2">
      <c r="I18592" s="137" t="s">
        <v>74</v>
      </c>
    </row>
    <row r="18593" spans="9:9" x14ac:dyDescent="0.2">
      <c r="I18593" s="137" t="s">
        <v>74</v>
      </c>
    </row>
    <row r="18594" spans="9:9" x14ac:dyDescent="0.2">
      <c r="I18594" s="137" t="s">
        <v>74</v>
      </c>
    </row>
    <row r="18595" spans="9:9" x14ac:dyDescent="0.2">
      <c r="I18595" s="137" t="s">
        <v>74</v>
      </c>
    </row>
    <row r="18596" spans="9:9" x14ac:dyDescent="0.2">
      <c r="I18596" s="137" t="s">
        <v>74</v>
      </c>
    </row>
    <row r="18597" spans="9:9" x14ac:dyDescent="0.2">
      <c r="I18597" s="137" t="s">
        <v>74</v>
      </c>
    </row>
    <row r="18598" spans="9:9" x14ac:dyDescent="0.2">
      <c r="I18598" s="137" t="s">
        <v>74</v>
      </c>
    </row>
    <row r="18599" spans="9:9" x14ac:dyDescent="0.2">
      <c r="I18599" s="137" t="s">
        <v>74</v>
      </c>
    </row>
    <row r="18600" spans="9:9" x14ac:dyDescent="0.2">
      <c r="I18600" s="137" t="s">
        <v>74</v>
      </c>
    </row>
    <row r="18601" spans="9:9" x14ac:dyDescent="0.2">
      <c r="I18601" s="137" t="s">
        <v>74</v>
      </c>
    </row>
    <row r="18602" spans="9:9" x14ac:dyDescent="0.2">
      <c r="I18602" s="137" t="s">
        <v>74</v>
      </c>
    </row>
    <row r="18603" spans="9:9" x14ac:dyDescent="0.2">
      <c r="I18603" s="137" t="s">
        <v>74</v>
      </c>
    </row>
    <row r="18604" spans="9:9" x14ac:dyDescent="0.2">
      <c r="I18604" s="137" t="s">
        <v>74</v>
      </c>
    </row>
    <row r="18605" spans="9:9" x14ac:dyDescent="0.2">
      <c r="I18605" s="137" t="s">
        <v>74</v>
      </c>
    </row>
    <row r="18606" spans="9:9" x14ac:dyDescent="0.2">
      <c r="I18606" s="137" t="s">
        <v>74</v>
      </c>
    </row>
    <row r="18607" spans="9:9" x14ac:dyDescent="0.2">
      <c r="I18607" s="137" t="s">
        <v>74</v>
      </c>
    </row>
    <row r="18608" spans="9:9" x14ac:dyDescent="0.2">
      <c r="I18608" s="137" t="s">
        <v>74</v>
      </c>
    </row>
    <row r="18609" spans="9:9" x14ac:dyDescent="0.2">
      <c r="I18609" s="137" t="s">
        <v>74</v>
      </c>
    </row>
    <row r="18610" spans="9:9" x14ac:dyDescent="0.2">
      <c r="I18610" s="137" t="s">
        <v>74</v>
      </c>
    </row>
    <row r="18611" spans="9:9" x14ac:dyDescent="0.2">
      <c r="I18611" s="137" t="s">
        <v>74</v>
      </c>
    </row>
    <row r="18612" spans="9:9" x14ac:dyDescent="0.2">
      <c r="I18612" s="137" t="s">
        <v>74</v>
      </c>
    </row>
    <row r="18613" spans="9:9" x14ac:dyDescent="0.2">
      <c r="I18613" s="137" t="s">
        <v>74</v>
      </c>
    </row>
    <row r="18614" spans="9:9" x14ac:dyDescent="0.2">
      <c r="I18614" s="137" t="s">
        <v>74</v>
      </c>
    </row>
    <row r="18615" spans="9:9" x14ac:dyDescent="0.2">
      <c r="I18615" s="137" t="s">
        <v>74</v>
      </c>
    </row>
    <row r="18616" spans="9:9" x14ac:dyDescent="0.2">
      <c r="I18616" s="137" t="s">
        <v>74</v>
      </c>
    </row>
    <row r="18617" spans="9:9" x14ac:dyDescent="0.2">
      <c r="I18617" s="137" t="s">
        <v>74</v>
      </c>
    </row>
    <row r="18618" spans="9:9" x14ac:dyDescent="0.2">
      <c r="I18618" s="137" t="s">
        <v>74</v>
      </c>
    </row>
    <row r="18619" spans="9:9" x14ac:dyDescent="0.2">
      <c r="I18619" s="137" t="s">
        <v>74</v>
      </c>
    </row>
    <row r="18620" spans="9:9" x14ac:dyDescent="0.2">
      <c r="I18620" s="137" t="s">
        <v>74</v>
      </c>
    </row>
    <row r="18621" spans="9:9" x14ac:dyDescent="0.2">
      <c r="I18621" s="137" t="s">
        <v>74</v>
      </c>
    </row>
    <row r="18622" spans="9:9" x14ac:dyDescent="0.2">
      <c r="I18622" s="137" t="s">
        <v>74</v>
      </c>
    </row>
    <row r="18623" spans="9:9" x14ac:dyDescent="0.2">
      <c r="I18623" s="137" t="s">
        <v>74</v>
      </c>
    </row>
    <row r="18624" spans="9:9" x14ac:dyDescent="0.2">
      <c r="I18624" s="137" t="s">
        <v>74</v>
      </c>
    </row>
    <row r="18625" spans="9:9" x14ac:dyDescent="0.2">
      <c r="I18625" s="137" t="s">
        <v>74</v>
      </c>
    </row>
    <row r="18626" spans="9:9" x14ac:dyDescent="0.2">
      <c r="I18626" s="137" t="s">
        <v>74</v>
      </c>
    </row>
    <row r="18627" spans="9:9" x14ac:dyDescent="0.2">
      <c r="I18627" s="137" t="s">
        <v>74</v>
      </c>
    </row>
    <row r="18628" spans="9:9" x14ac:dyDescent="0.2">
      <c r="I18628" s="137" t="s">
        <v>74</v>
      </c>
    </row>
    <row r="18629" spans="9:9" x14ac:dyDescent="0.2">
      <c r="I18629" s="137" t="s">
        <v>74</v>
      </c>
    </row>
    <row r="18630" spans="9:9" x14ac:dyDescent="0.2">
      <c r="I18630" s="137" t="s">
        <v>74</v>
      </c>
    </row>
    <row r="18631" spans="9:9" x14ac:dyDescent="0.2">
      <c r="I18631" s="137" t="s">
        <v>74</v>
      </c>
    </row>
    <row r="18632" spans="9:9" x14ac:dyDescent="0.2">
      <c r="I18632" s="137" t="s">
        <v>74</v>
      </c>
    </row>
    <row r="18633" spans="9:9" x14ac:dyDescent="0.2">
      <c r="I18633" s="137" t="s">
        <v>74</v>
      </c>
    </row>
    <row r="18634" spans="9:9" x14ac:dyDescent="0.2">
      <c r="I18634" s="137" t="s">
        <v>74</v>
      </c>
    </row>
    <row r="18635" spans="9:9" x14ac:dyDescent="0.2">
      <c r="I18635" s="137" t="s">
        <v>74</v>
      </c>
    </row>
    <row r="18636" spans="9:9" x14ac:dyDescent="0.2">
      <c r="I18636" s="137" t="s">
        <v>74</v>
      </c>
    </row>
    <row r="18637" spans="9:9" x14ac:dyDescent="0.2">
      <c r="I18637" s="137" t="s">
        <v>74</v>
      </c>
    </row>
    <row r="18638" spans="9:9" x14ac:dyDescent="0.2">
      <c r="I18638" s="137" t="s">
        <v>74</v>
      </c>
    </row>
    <row r="18639" spans="9:9" x14ac:dyDescent="0.2">
      <c r="I18639" s="137" t="s">
        <v>74</v>
      </c>
    </row>
    <row r="18640" spans="9:9" x14ac:dyDescent="0.2">
      <c r="I18640" s="137" t="s">
        <v>74</v>
      </c>
    </row>
    <row r="18641" spans="9:9" x14ac:dyDescent="0.2">
      <c r="I18641" s="137" t="s">
        <v>74</v>
      </c>
    </row>
    <row r="18642" spans="9:9" x14ac:dyDescent="0.2">
      <c r="I18642" s="137" t="s">
        <v>74</v>
      </c>
    </row>
    <row r="18643" spans="9:9" x14ac:dyDescent="0.2">
      <c r="I18643" s="137" t="s">
        <v>74</v>
      </c>
    </row>
    <row r="18644" spans="9:9" x14ac:dyDescent="0.2">
      <c r="I18644" s="137" t="s">
        <v>74</v>
      </c>
    </row>
    <row r="18645" spans="9:9" x14ac:dyDescent="0.2">
      <c r="I18645" s="137" t="s">
        <v>74</v>
      </c>
    </row>
    <row r="18646" spans="9:9" x14ac:dyDescent="0.2">
      <c r="I18646" s="137" t="s">
        <v>74</v>
      </c>
    </row>
    <row r="18647" spans="9:9" x14ac:dyDescent="0.2">
      <c r="I18647" s="137" t="s">
        <v>74</v>
      </c>
    </row>
    <row r="18648" spans="9:9" x14ac:dyDescent="0.2">
      <c r="I18648" s="137" t="s">
        <v>74</v>
      </c>
    </row>
    <row r="18649" spans="9:9" x14ac:dyDescent="0.2">
      <c r="I18649" s="137" t="s">
        <v>74</v>
      </c>
    </row>
    <row r="18650" spans="9:9" x14ac:dyDescent="0.2">
      <c r="I18650" s="137" t="s">
        <v>74</v>
      </c>
    </row>
    <row r="18651" spans="9:9" x14ac:dyDescent="0.2">
      <c r="I18651" s="137" t="s">
        <v>74</v>
      </c>
    </row>
    <row r="18652" spans="9:9" x14ac:dyDescent="0.2">
      <c r="I18652" s="137" t="s">
        <v>74</v>
      </c>
    </row>
    <row r="18653" spans="9:9" x14ac:dyDescent="0.2">
      <c r="I18653" s="137" t="s">
        <v>74</v>
      </c>
    </row>
    <row r="18654" spans="9:9" x14ac:dyDescent="0.2">
      <c r="I18654" s="137" t="s">
        <v>74</v>
      </c>
    </row>
    <row r="18655" spans="9:9" x14ac:dyDescent="0.2">
      <c r="I18655" s="137" t="s">
        <v>74</v>
      </c>
    </row>
    <row r="18656" spans="9:9" x14ac:dyDescent="0.2">
      <c r="I18656" s="137" t="s">
        <v>74</v>
      </c>
    </row>
    <row r="18657" spans="9:9" x14ac:dyDescent="0.2">
      <c r="I18657" s="137" t="s">
        <v>74</v>
      </c>
    </row>
    <row r="18658" spans="9:9" x14ac:dyDescent="0.2">
      <c r="I18658" s="137" t="s">
        <v>74</v>
      </c>
    </row>
    <row r="18659" spans="9:9" x14ac:dyDescent="0.2">
      <c r="I18659" s="137" t="s">
        <v>74</v>
      </c>
    </row>
    <row r="18660" spans="9:9" x14ac:dyDescent="0.2">
      <c r="I18660" s="137" t="s">
        <v>74</v>
      </c>
    </row>
    <row r="18661" spans="9:9" x14ac:dyDescent="0.2">
      <c r="I18661" s="137" t="s">
        <v>74</v>
      </c>
    </row>
    <row r="18662" spans="9:9" x14ac:dyDescent="0.2">
      <c r="I18662" s="137" t="s">
        <v>74</v>
      </c>
    </row>
    <row r="18663" spans="9:9" x14ac:dyDescent="0.2">
      <c r="I18663" s="137" t="s">
        <v>74</v>
      </c>
    </row>
    <row r="18664" spans="9:9" x14ac:dyDescent="0.2">
      <c r="I18664" s="137" t="s">
        <v>74</v>
      </c>
    </row>
    <row r="18665" spans="9:9" x14ac:dyDescent="0.2">
      <c r="I18665" s="137" t="s">
        <v>74</v>
      </c>
    </row>
    <row r="18666" spans="9:9" x14ac:dyDescent="0.2">
      <c r="I18666" s="137" t="s">
        <v>74</v>
      </c>
    </row>
    <row r="18667" spans="9:9" x14ac:dyDescent="0.2">
      <c r="I18667" s="137" t="s">
        <v>74</v>
      </c>
    </row>
    <row r="18668" spans="9:9" x14ac:dyDescent="0.2">
      <c r="I18668" s="137" t="s">
        <v>74</v>
      </c>
    </row>
    <row r="18669" spans="9:9" x14ac:dyDescent="0.2">
      <c r="I18669" s="137" t="s">
        <v>74</v>
      </c>
    </row>
    <row r="18670" spans="9:9" x14ac:dyDescent="0.2">
      <c r="I18670" s="137" t="s">
        <v>74</v>
      </c>
    </row>
    <row r="18671" spans="9:9" x14ac:dyDescent="0.2">
      <c r="I18671" s="137" t="s">
        <v>74</v>
      </c>
    </row>
    <row r="18672" spans="9:9" x14ac:dyDescent="0.2">
      <c r="I18672" s="137" t="s">
        <v>74</v>
      </c>
    </row>
    <row r="18673" spans="9:9" x14ac:dyDescent="0.2">
      <c r="I18673" s="137" t="s">
        <v>74</v>
      </c>
    </row>
    <row r="18674" spans="9:9" x14ac:dyDescent="0.2">
      <c r="I18674" s="137" t="s">
        <v>74</v>
      </c>
    </row>
    <row r="18675" spans="9:9" x14ac:dyDescent="0.2">
      <c r="I18675" s="137" t="s">
        <v>74</v>
      </c>
    </row>
    <row r="18676" spans="9:9" x14ac:dyDescent="0.2">
      <c r="I18676" s="137" t="s">
        <v>74</v>
      </c>
    </row>
    <row r="18677" spans="9:9" x14ac:dyDescent="0.2">
      <c r="I18677" s="137" t="s">
        <v>74</v>
      </c>
    </row>
    <row r="18678" spans="9:9" x14ac:dyDescent="0.2">
      <c r="I18678" s="137" t="s">
        <v>74</v>
      </c>
    </row>
    <row r="18679" spans="9:9" x14ac:dyDescent="0.2">
      <c r="I18679" s="137" t="s">
        <v>74</v>
      </c>
    </row>
    <row r="18680" spans="9:9" x14ac:dyDescent="0.2">
      <c r="I18680" s="137" t="s">
        <v>74</v>
      </c>
    </row>
    <row r="18681" spans="9:9" x14ac:dyDescent="0.2">
      <c r="I18681" s="137" t="s">
        <v>74</v>
      </c>
    </row>
    <row r="18682" spans="9:9" x14ac:dyDescent="0.2">
      <c r="I18682" s="137" t="s">
        <v>74</v>
      </c>
    </row>
    <row r="18683" spans="9:9" x14ac:dyDescent="0.2">
      <c r="I18683" s="137" t="s">
        <v>74</v>
      </c>
    </row>
    <row r="18684" spans="9:9" x14ac:dyDescent="0.2">
      <c r="I18684" s="137" t="s">
        <v>74</v>
      </c>
    </row>
    <row r="18685" spans="9:9" x14ac:dyDescent="0.2">
      <c r="I18685" s="137" t="s">
        <v>74</v>
      </c>
    </row>
    <row r="18686" spans="9:9" x14ac:dyDescent="0.2">
      <c r="I18686" s="137" t="s">
        <v>74</v>
      </c>
    </row>
    <row r="18687" spans="9:9" x14ac:dyDescent="0.2">
      <c r="I18687" s="137" t="s">
        <v>74</v>
      </c>
    </row>
    <row r="18688" spans="9:9" x14ac:dyDescent="0.2">
      <c r="I18688" s="137" t="s">
        <v>74</v>
      </c>
    </row>
    <row r="18689" spans="9:9" x14ac:dyDescent="0.2">
      <c r="I18689" s="137" t="s">
        <v>74</v>
      </c>
    </row>
    <row r="18690" spans="9:9" x14ac:dyDescent="0.2">
      <c r="I18690" s="137" t="s">
        <v>74</v>
      </c>
    </row>
    <row r="18691" spans="9:9" x14ac:dyDescent="0.2">
      <c r="I18691" s="137" t="s">
        <v>74</v>
      </c>
    </row>
    <row r="18692" spans="9:9" x14ac:dyDescent="0.2">
      <c r="I18692" s="137" t="s">
        <v>74</v>
      </c>
    </row>
    <row r="18693" spans="9:9" x14ac:dyDescent="0.2">
      <c r="I18693" s="137" t="s">
        <v>74</v>
      </c>
    </row>
    <row r="18694" spans="9:9" x14ac:dyDescent="0.2">
      <c r="I18694" s="137" t="s">
        <v>74</v>
      </c>
    </row>
    <row r="18695" spans="9:9" x14ac:dyDescent="0.2">
      <c r="I18695" s="137" t="s">
        <v>74</v>
      </c>
    </row>
    <row r="18696" spans="9:9" x14ac:dyDescent="0.2">
      <c r="I18696" s="137" t="s">
        <v>74</v>
      </c>
    </row>
    <row r="18697" spans="9:9" x14ac:dyDescent="0.2">
      <c r="I18697" s="137" t="s">
        <v>74</v>
      </c>
    </row>
    <row r="18698" spans="9:9" x14ac:dyDescent="0.2">
      <c r="I18698" s="137" t="s">
        <v>74</v>
      </c>
    </row>
    <row r="18699" spans="9:9" x14ac:dyDescent="0.2">
      <c r="I18699" s="137" t="s">
        <v>74</v>
      </c>
    </row>
    <row r="18700" spans="9:9" x14ac:dyDescent="0.2">
      <c r="I18700" s="137" t="s">
        <v>74</v>
      </c>
    </row>
    <row r="18701" spans="9:9" x14ac:dyDescent="0.2">
      <c r="I18701" s="137" t="s">
        <v>74</v>
      </c>
    </row>
    <row r="18702" spans="9:9" x14ac:dyDescent="0.2">
      <c r="I18702" s="137" t="s">
        <v>74</v>
      </c>
    </row>
    <row r="18703" spans="9:9" x14ac:dyDescent="0.2">
      <c r="I18703" s="137" t="s">
        <v>74</v>
      </c>
    </row>
    <row r="18704" spans="9:9" x14ac:dyDescent="0.2">
      <c r="I18704" s="137" t="s">
        <v>74</v>
      </c>
    </row>
    <row r="18705" spans="9:9" x14ac:dyDescent="0.2">
      <c r="I18705" s="137" t="s">
        <v>74</v>
      </c>
    </row>
    <row r="18706" spans="9:9" x14ac:dyDescent="0.2">
      <c r="I18706" s="137" t="s">
        <v>74</v>
      </c>
    </row>
    <row r="18707" spans="9:9" x14ac:dyDescent="0.2">
      <c r="I18707" s="137" t="s">
        <v>74</v>
      </c>
    </row>
    <row r="18708" spans="9:9" x14ac:dyDescent="0.2">
      <c r="I18708" s="137" t="s">
        <v>74</v>
      </c>
    </row>
    <row r="18709" spans="9:9" x14ac:dyDescent="0.2">
      <c r="I18709" s="137" t="s">
        <v>74</v>
      </c>
    </row>
    <row r="18710" spans="9:9" x14ac:dyDescent="0.2">
      <c r="I18710" s="137" t="s">
        <v>74</v>
      </c>
    </row>
    <row r="18711" spans="9:9" x14ac:dyDescent="0.2">
      <c r="I18711" s="137" t="s">
        <v>74</v>
      </c>
    </row>
    <row r="18712" spans="9:9" x14ac:dyDescent="0.2">
      <c r="I18712" s="137" t="s">
        <v>74</v>
      </c>
    </row>
    <row r="18713" spans="9:9" x14ac:dyDescent="0.2">
      <c r="I18713" s="137" t="s">
        <v>74</v>
      </c>
    </row>
    <row r="18714" spans="9:9" x14ac:dyDescent="0.2">
      <c r="I18714" s="137" t="s">
        <v>74</v>
      </c>
    </row>
    <row r="18715" spans="9:9" x14ac:dyDescent="0.2">
      <c r="I18715" s="137" t="s">
        <v>74</v>
      </c>
    </row>
    <row r="18716" spans="9:9" x14ac:dyDescent="0.2">
      <c r="I18716" s="137" t="s">
        <v>74</v>
      </c>
    </row>
    <row r="18717" spans="9:9" x14ac:dyDescent="0.2">
      <c r="I18717" s="137" t="s">
        <v>74</v>
      </c>
    </row>
    <row r="18718" spans="9:9" x14ac:dyDescent="0.2">
      <c r="I18718" s="137" t="s">
        <v>74</v>
      </c>
    </row>
    <row r="18719" spans="9:9" x14ac:dyDescent="0.2">
      <c r="I18719" s="137" t="s">
        <v>74</v>
      </c>
    </row>
    <row r="18720" spans="9:9" x14ac:dyDescent="0.2">
      <c r="I18720" s="137" t="s">
        <v>74</v>
      </c>
    </row>
    <row r="18721" spans="9:9" x14ac:dyDescent="0.2">
      <c r="I18721" s="137" t="s">
        <v>74</v>
      </c>
    </row>
    <row r="18722" spans="9:9" x14ac:dyDescent="0.2">
      <c r="I18722" s="137" t="s">
        <v>74</v>
      </c>
    </row>
    <row r="18723" spans="9:9" x14ac:dyDescent="0.2">
      <c r="I18723" s="137" t="s">
        <v>74</v>
      </c>
    </row>
    <row r="18724" spans="9:9" x14ac:dyDescent="0.2">
      <c r="I18724" s="137" t="s">
        <v>74</v>
      </c>
    </row>
    <row r="18725" spans="9:9" x14ac:dyDescent="0.2">
      <c r="I18725" s="137" t="s">
        <v>74</v>
      </c>
    </row>
    <row r="18726" spans="9:9" x14ac:dyDescent="0.2">
      <c r="I18726" s="137" t="s">
        <v>74</v>
      </c>
    </row>
    <row r="18727" spans="9:9" x14ac:dyDescent="0.2">
      <c r="I18727" s="137" t="s">
        <v>74</v>
      </c>
    </row>
    <row r="18728" spans="9:9" x14ac:dyDescent="0.2">
      <c r="I18728" s="137" t="s">
        <v>74</v>
      </c>
    </row>
    <row r="18729" spans="9:9" x14ac:dyDescent="0.2">
      <c r="I18729" s="137" t="s">
        <v>74</v>
      </c>
    </row>
    <row r="18730" spans="9:9" x14ac:dyDescent="0.2">
      <c r="I18730" s="137" t="s">
        <v>74</v>
      </c>
    </row>
    <row r="18731" spans="9:9" x14ac:dyDescent="0.2">
      <c r="I18731" s="137" t="s">
        <v>74</v>
      </c>
    </row>
    <row r="18732" spans="9:9" x14ac:dyDescent="0.2">
      <c r="I18732" s="137" t="s">
        <v>74</v>
      </c>
    </row>
    <row r="18733" spans="9:9" x14ac:dyDescent="0.2">
      <c r="I18733" s="137" t="s">
        <v>74</v>
      </c>
    </row>
    <row r="18734" spans="9:9" x14ac:dyDescent="0.2">
      <c r="I18734" s="137" t="s">
        <v>74</v>
      </c>
    </row>
    <row r="18735" spans="9:9" x14ac:dyDescent="0.2">
      <c r="I18735" s="137" t="s">
        <v>74</v>
      </c>
    </row>
    <row r="18736" spans="9:9" x14ac:dyDescent="0.2">
      <c r="I18736" s="137" t="s">
        <v>74</v>
      </c>
    </row>
    <row r="18737" spans="9:9" x14ac:dyDescent="0.2">
      <c r="I18737" s="137" t="s">
        <v>74</v>
      </c>
    </row>
    <row r="18738" spans="9:9" x14ac:dyDescent="0.2">
      <c r="I18738" s="137" t="s">
        <v>74</v>
      </c>
    </row>
    <row r="18739" spans="9:9" x14ac:dyDescent="0.2">
      <c r="I18739" s="137" t="s">
        <v>74</v>
      </c>
    </row>
    <row r="18740" spans="9:9" x14ac:dyDescent="0.2">
      <c r="I18740" s="137" t="s">
        <v>74</v>
      </c>
    </row>
    <row r="18741" spans="9:9" x14ac:dyDescent="0.2">
      <c r="I18741" s="137" t="s">
        <v>74</v>
      </c>
    </row>
    <row r="18742" spans="9:9" x14ac:dyDescent="0.2">
      <c r="I18742" s="137" t="s">
        <v>74</v>
      </c>
    </row>
    <row r="18743" spans="9:9" x14ac:dyDescent="0.2">
      <c r="I18743" s="137" t="s">
        <v>74</v>
      </c>
    </row>
    <row r="18744" spans="9:9" x14ac:dyDescent="0.2">
      <c r="I18744" s="137" t="s">
        <v>74</v>
      </c>
    </row>
    <row r="18745" spans="9:9" x14ac:dyDescent="0.2">
      <c r="I18745" s="137" t="s">
        <v>74</v>
      </c>
    </row>
    <row r="18746" spans="9:9" x14ac:dyDescent="0.2">
      <c r="I18746" s="137" t="s">
        <v>74</v>
      </c>
    </row>
    <row r="18747" spans="9:9" x14ac:dyDescent="0.2">
      <c r="I18747" s="137" t="s">
        <v>74</v>
      </c>
    </row>
    <row r="18748" spans="9:9" x14ac:dyDescent="0.2">
      <c r="I18748" s="137" t="s">
        <v>74</v>
      </c>
    </row>
    <row r="18749" spans="9:9" x14ac:dyDescent="0.2">
      <c r="I18749" s="137" t="s">
        <v>74</v>
      </c>
    </row>
    <row r="18750" spans="9:9" x14ac:dyDescent="0.2">
      <c r="I18750" s="137" t="s">
        <v>74</v>
      </c>
    </row>
    <row r="18751" spans="9:9" x14ac:dyDescent="0.2">
      <c r="I18751" s="137" t="s">
        <v>74</v>
      </c>
    </row>
    <row r="18752" spans="9:9" x14ac:dyDescent="0.2">
      <c r="I18752" s="137" t="s">
        <v>74</v>
      </c>
    </row>
    <row r="18753" spans="9:9" x14ac:dyDescent="0.2">
      <c r="I18753" s="137" t="s">
        <v>74</v>
      </c>
    </row>
    <row r="18754" spans="9:9" x14ac:dyDescent="0.2">
      <c r="I18754" s="137" t="s">
        <v>74</v>
      </c>
    </row>
    <row r="18755" spans="9:9" x14ac:dyDescent="0.2">
      <c r="I18755" s="137" t="s">
        <v>74</v>
      </c>
    </row>
    <row r="18756" spans="9:9" x14ac:dyDescent="0.2">
      <c r="I18756" s="137" t="s">
        <v>74</v>
      </c>
    </row>
    <row r="18757" spans="9:9" x14ac:dyDescent="0.2">
      <c r="I18757" s="137" t="s">
        <v>74</v>
      </c>
    </row>
    <row r="18758" spans="9:9" x14ac:dyDescent="0.2">
      <c r="I18758" s="137" t="s">
        <v>74</v>
      </c>
    </row>
    <row r="18759" spans="9:9" x14ac:dyDescent="0.2">
      <c r="I18759" s="137" t="s">
        <v>74</v>
      </c>
    </row>
    <row r="18760" spans="9:9" x14ac:dyDescent="0.2">
      <c r="I18760" s="137" t="s">
        <v>74</v>
      </c>
    </row>
    <row r="18761" spans="9:9" x14ac:dyDescent="0.2">
      <c r="I18761" s="137" t="s">
        <v>74</v>
      </c>
    </row>
    <row r="18762" spans="9:9" x14ac:dyDescent="0.2">
      <c r="I18762" s="137" t="s">
        <v>74</v>
      </c>
    </row>
    <row r="18763" spans="9:9" x14ac:dyDescent="0.2">
      <c r="I18763" s="137" t="s">
        <v>74</v>
      </c>
    </row>
    <row r="18764" spans="9:9" x14ac:dyDescent="0.2">
      <c r="I18764" s="137" t="s">
        <v>74</v>
      </c>
    </row>
    <row r="18765" spans="9:9" x14ac:dyDescent="0.2">
      <c r="I18765" s="137" t="s">
        <v>74</v>
      </c>
    </row>
    <row r="18766" spans="9:9" x14ac:dyDescent="0.2">
      <c r="I18766" s="137" t="s">
        <v>74</v>
      </c>
    </row>
    <row r="18767" spans="9:9" x14ac:dyDescent="0.2">
      <c r="I18767" s="137" t="s">
        <v>74</v>
      </c>
    </row>
    <row r="18768" spans="9:9" x14ac:dyDescent="0.2">
      <c r="I18768" s="137" t="s">
        <v>74</v>
      </c>
    </row>
    <row r="18769" spans="9:9" x14ac:dyDescent="0.2">
      <c r="I18769" s="137" t="s">
        <v>74</v>
      </c>
    </row>
    <row r="18770" spans="9:9" x14ac:dyDescent="0.2">
      <c r="I18770" s="137" t="s">
        <v>74</v>
      </c>
    </row>
    <row r="18771" spans="9:9" x14ac:dyDescent="0.2">
      <c r="I18771" s="137" t="s">
        <v>74</v>
      </c>
    </row>
    <row r="18772" spans="9:9" x14ac:dyDescent="0.2">
      <c r="I18772" s="137" t="s">
        <v>74</v>
      </c>
    </row>
    <row r="18773" spans="9:9" x14ac:dyDescent="0.2">
      <c r="I18773" s="137" t="s">
        <v>74</v>
      </c>
    </row>
    <row r="18774" spans="9:9" x14ac:dyDescent="0.2">
      <c r="I18774" s="137" t="s">
        <v>74</v>
      </c>
    </row>
    <row r="18775" spans="9:9" x14ac:dyDescent="0.2">
      <c r="I18775" s="137" t="s">
        <v>74</v>
      </c>
    </row>
    <row r="18776" spans="9:9" x14ac:dyDescent="0.2">
      <c r="I18776" s="137" t="s">
        <v>74</v>
      </c>
    </row>
    <row r="18777" spans="9:9" x14ac:dyDescent="0.2">
      <c r="I18777" s="137" t="s">
        <v>74</v>
      </c>
    </row>
    <row r="18778" spans="9:9" x14ac:dyDescent="0.2">
      <c r="I18778" s="137" t="s">
        <v>74</v>
      </c>
    </row>
    <row r="18779" spans="9:9" x14ac:dyDescent="0.2">
      <c r="I18779" s="137" t="s">
        <v>74</v>
      </c>
    </row>
    <row r="18780" spans="9:9" x14ac:dyDescent="0.2">
      <c r="I18780" s="137" t="s">
        <v>74</v>
      </c>
    </row>
    <row r="18781" spans="9:9" x14ac:dyDescent="0.2">
      <c r="I18781" s="137" t="s">
        <v>74</v>
      </c>
    </row>
    <row r="18782" spans="9:9" x14ac:dyDescent="0.2">
      <c r="I18782" s="137" t="s">
        <v>74</v>
      </c>
    </row>
    <row r="18783" spans="9:9" x14ac:dyDescent="0.2">
      <c r="I18783" s="137" t="s">
        <v>74</v>
      </c>
    </row>
    <row r="18784" spans="9:9" x14ac:dyDescent="0.2">
      <c r="I18784" s="137" t="s">
        <v>74</v>
      </c>
    </row>
    <row r="18785" spans="9:9" x14ac:dyDescent="0.2">
      <c r="I18785" s="137" t="s">
        <v>74</v>
      </c>
    </row>
    <row r="18786" spans="9:9" x14ac:dyDescent="0.2">
      <c r="I18786" s="137" t="s">
        <v>74</v>
      </c>
    </row>
    <row r="18787" spans="9:9" x14ac:dyDescent="0.2">
      <c r="I18787" s="137" t="s">
        <v>74</v>
      </c>
    </row>
    <row r="18788" spans="9:9" x14ac:dyDescent="0.2">
      <c r="I18788" s="137" t="s">
        <v>74</v>
      </c>
    </row>
    <row r="18789" spans="9:9" x14ac:dyDescent="0.2">
      <c r="I18789" s="137" t="s">
        <v>74</v>
      </c>
    </row>
    <row r="18790" spans="9:9" x14ac:dyDescent="0.2">
      <c r="I18790" s="137" t="s">
        <v>74</v>
      </c>
    </row>
    <row r="18791" spans="9:9" x14ac:dyDescent="0.2">
      <c r="I18791" s="137" t="s">
        <v>74</v>
      </c>
    </row>
    <row r="18792" spans="9:9" x14ac:dyDescent="0.2">
      <c r="I18792" s="137" t="s">
        <v>74</v>
      </c>
    </row>
    <row r="18793" spans="9:9" x14ac:dyDescent="0.2">
      <c r="I18793" s="137" t="s">
        <v>74</v>
      </c>
    </row>
    <row r="18794" spans="9:9" x14ac:dyDescent="0.2">
      <c r="I18794" s="137" t="s">
        <v>74</v>
      </c>
    </row>
    <row r="18795" spans="9:9" x14ac:dyDescent="0.2">
      <c r="I18795" s="137" t="s">
        <v>74</v>
      </c>
    </row>
    <row r="18796" spans="9:9" x14ac:dyDescent="0.2">
      <c r="I18796" s="137" t="s">
        <v>74</v>
      </c>
    </row>
    <row r="18797" spans="9:9" x14ac:dyDescent="0.2">
      <c r="I18797" s="137" t="s">
        <v>74</v>
      </c>
    </row>
    <row r="18798" spans="9:9" x14ac:dyDescent="0.2">
      <c r="I18798" s="137" t="s">
        <v>74</v>
      </c>
    </row>
    <row r="18799" spans="9:9" x14ac:dyDescent="0.2">
      <c r="I18799" s="137" t="s">
        <v>74</v>
      </c>
    </row>
    <row r="18800" spans="9:9" x14ac:dyDescent="0.2">
      <c r="I18800" s="137" t="s">
        <v>74</v>
      </c>
    </row>
    <row r="18801" spans="9:9" x14ac:dyDescent="0.2">
      <c r="I18801" s="137" t="s">
        <v>74</v>
      </c>
    </row>
    <row r="18802" spans="9:9" x14ac:dyDescent="0.2">
      <c r="I18802" s="137" t="s">
        <v>74</v>
      </c>
    </row>
    <row r="18803" spans="9:9" x14ac:dyDescent="0.2">
      <c r="I18803" s="137" t="s">
        <v>74</v>
      </c>
    </row>
    <row r="18804" spans="9:9" x14ac:dyDescent="0.2">
      <c r="I18804" s="137" t="s">
        <v>74</v>
      </c>
    </row>
    <row r="18805" spans="9:9" x14ac:dyDescent="0.2">
      <c r="I18805" s="137" t="s">
        <v>74</v>
      </c>
    </row>
    <row r="18806" spans="9:9" x14ac:dyDescent="0.2">
      <c r="I18806" s="137" t="s">
        <v>74</v>
      </c>
    </row>
    <row r="18807" spans="9:9" x14ac:dyDescent="0.2">
      <c r="I18807" s="137" t="s">
        <v>74</v>
      </c>
    </row>
    <row r="18808" spans="9:9" x14ac:dyDescent="0.2">
      <c r="I18808" s="137" t="s">
        <v>74</v>
      </c>
    </row>
    <row r="18809" spans="9:9" x14ac:dyDescent="0.2">
      <c r="I18809" s="137" t="s">
        <v>74</v>
      </c>
    </row>
    <row r="18810" spans="9:9" x14ac:dyDescent="0.2">
      <c r="I18810" s="137" t="s">
        <v>74</v>
      </c>
    </row>
    <row r="18811" spans="9:9" x14ac:dyDescent="0.2">
      <c r="I18811" s="137" t="s">
        <v>74</v>
      </c>
    </row>
    <row r="18812" spans="9:9" x14ac:dyDescent="0.2">
      <c r="I18812" s="137" t="s">
        <v>74</v>
      </c>
    </row>
    <row r="18813" spans="9:9" x14ac:dyDescent="0.2">
      <c r="I18813" s="137" t="s">
        <v>74</v>
      </c>
    </row>
    <row r="18814" spans="9:9" x14ac:dyDescent="0.2">
      <c r="I18814" s="137" t="s">
        <v>74</v>
      </c>
    </row>
    <row r="18815" spans="9:9" x14ac:dyDescent="0.2">
      <c r="I18815" s="137" t="s">
        <v>74</v>
      </c>
    </row>
    <row r="18816" spans="9:9" x14ac:dyDescent="0.2">
      <c r="I18816" s="137" t="s">
        <v>74</v>
      </c>
    </row>
    <row r="18817" spans="9:9" x14ac:dyDescent="0.2">
      <c r="I18817" s="137" t="s">
        <v>74</v>
      </c>
    </row>
    <row r="18818" spans="9:9" x14ac:dyDescent="0.2">
      <c r="I18818" s="137" t="s">
        <v>74</v>
      </c>
    </row>
    <row r="18819" spans="9:9" x14ac:dyDescent="0.2">
      <c r="I18819" s="137" t="s">
        <v>74</v>
      </c>
    </row>
    <row r="18820" spans="9:9" x14ac:dyDescent="0.2">
      <c r="I18820" s="137" t="s">
        <v>74</v>
      </c>
    </row>
    <row r="18821" spans="9:9" x14ac:dyDescent="0.2">
      <c r="I18821" s="137" t="s">
        <v>74</v>
      </c>
    </row>
    <row r="18822" spans="9:9" x14ac:dyDescent="0.2">
      <c r="I18822" s="137" t="s">
        <v>74</v>
      </c>
    </row>
    <row r="18823" spans="9:9" x14ac:dyDescent="0.2">
      <c r="I18823" s="137" t="s">
        <v>74</v>
      </c>
    </row>
    <row r="18824" spans="9:9" x14ac:dyDescent="0.2">
      <c r="I18824" s="137" t="s">
        <v>74</v>
      </c>
    </row>
    <row r="18825" spans="9:9" x14ac:dyDescent="0.2">
      <c r="I18825" s="137" t="s">
        <v>74</v>
      </c>
    </row>
    <row r="18826" spans="9:9" x14ac:dyDescent="0.2">
      <c r="I18826" s="137" t="s">
        <v>74</v>
      </c>
    </row>
    <row r="18827" spans="9:9" x14ac:dyDescent="0.2">
      <c r="I18827" s="137" t="s">
        <v>74</v>
      </c>
    </row>
    <row r="18828" spans="9:9" x14ac:dyDescent="0.2">
      <c r="I18828" s="137" t="s">
        <v>74</v>
      </c>
    </row>
    <row r="18829" spans="9:9" x14ac:dyDescent="0.2">
      <c r="I18829" s="137" t="s">
        <v>74</v>
      </c>
    </row>
    <row r="18830" spans="9:9" x14ac:dyDescent="0.2">
      <c r="I18830" s="137" t="s">
        <v>74</v>
      </c>
    </row>
    <row r="18831" spans="9:9" x14ac:dyDescent="0.2">
      <c r="I18831" s="137" t="s">
        <v>74</v>
      </c>
    </row>
    <row r="18832" spans="9:9" x14ac:dyDescent="0.2">
      <c r="I18832" s="137" t="s">
        <v>74</v>
      </c>
    </row>
    <row r="18833" spans="9:9" x14ac:dyDescent="0.2">
      <c r="I18833" s="137" t="s">
        <v>74</v>
      </c>
    </row>
    <row r="18834" spans="9:9" x14ac:dyDescent="0.2">
      <c r="I18834" s="137" t="s">
        <v>74</v>
      </c>
    </row>
    <row r="18835" spans="9:9" x14ac:dyDescent="0.2">
      <c r="I18835" s="137" t="s">
        <v>74</v>
      </c>
    </row>
    <row r="18836" spans="9:9" x14ac:dyDescent="0.2">
      <c r="I18836" s="137" t="s">
        <v>74</v>
      </c>
    </row>
    <row r="18837" spans="9:9" x14ac:dyDescent="0.2">
      <c r="I18837" s="137" t="s">
        <v>74</v>
      </c>
    </row>
    <row r="18838" spans="9:9" x14ac:dyDescent="0.2">
      <c r="I18838" s="137" t="s">
        <v>74</v>
      </c>
    </row>
    <row r="18839" spans="9:9" x14ac:dyDescent="0.2">
      <c r="I18839" s="137" t="s">
        <v>74</v>
      </c>
    </row>
    <row r="18840" spans="9:9" x14ac:dyDescent="0.2">
      <c r="I18840" s="137" t="s">
        <v>74</v>
      </c>
    </row>
    <row r="18841" spans="9:9" x14ac:dyDescent="0.2">
      <c r="I18841" s="137" t="s">
        <v>74</v>
      </c>
    </row>
    <row r="18842" spans="9:9" x14ac:dyDescent="0.2">
      <c r="I18842" s="137" t="s">
        <v>74</v>
      </c>
    </row>
    <row r="18843" spans="9:9" x14ac:dyDescent="0.2">
      <c r="I18843" s="137" t="s">
        <v>74</v>
      </c>
    </row>
    <row r="18844" spans="9:9" x14ac:dyDescent="0.2">
      <c r="I18844" s="137" t="s">
        <v>74</v>
      </c>
    </row>
    <row r="18845" spans="9:9" x14ac:dyDescent="0.2">
      <c r="I18845" s="137" t="s">
        <v>74</v>
      </c>
    </row>
    <row r="18846" spans="9:9" x14ac:dyDescent="0.2">
      <c r="I18846" s="137" t="s">
        <v>74</v>
      </c>
    </row>
    <row r="18847" spans="9:9" x14ac:dyDescent="0.2">
      <c r="I18847" s="137" t="s">
        <v>74</v>
      </c>
    </row>
    <row r="18848" spans="9:9" x14ac:dyDescent="0.2">
      <c r="I18848" s="137" t="s">
        <v>74</v>
      </c>
    </row>
    <row r="18849" spans="9:9" x14ac:dyDescent="0.2">
      <c r="I18849" s="137" t="s">
        <v>74</v>
      </c>
    </row>
    <row r="18850" spans="9:9" x14ac:dyDescent="0.2">
      <c r="I18850" s="137" t="s">
        <v>74</v>
      </c>
    </row>
    <row r="18851" spans="9:9" x14ac:dyDescent="0.2">
      <c r="I18851" s="137" t="s">
        <v>74</v>
      </c>
    </row>
    <row r="18852" spans="9:9" x14ac:dyDescent="0.2">
      <c r="I18852" s="137" t="s">
        <v>74</v>
      </c>
    </row>
    <row r="18853" spans="9:9" x14ac:dyDescent="0.2">
      <c r="I18853" s="137" t="s">
        <v>74</v>
      </c>
    </row>
    <row r="18854" spans="9:9" x14ac:dyDescent="0.2">
      <c r="I18854" s="137" t="s">
        <v>74</v>
      </c>
    </row>
    <row r="18855" spans="9:9" x14ac:dyDescent="0.2">
      <c r="I18855" s="137" t="s">
        <v>74</v>
      </c>
    </row>
    <row r="18856" spans="9:9" x14ac:dyDescent="0.2">
      <c r="I18856" s="137" t="s">
        <v>74</v>
      </c>
    </row>
    <row r="18857" spans="9:9" x14ac:dyDescent="0.2">
      <c r="I18857" s="137" t="s">
        <v>74</v>
      </c>
    </row>
    <row r="18858" spans="9:9" x14ac:dyDescent="0.2">
      <c r="I18858" s="137" t="s">
        <v>74</v>
      </c>
    </row>
    <row r="18859" spans="9:9" x14ac:dyDescent="0.2">
      <c r="I18859" s="137" t="s">
        <v>74</v>
      </c>
    </row>
    <row r="18860" spans="9:9" x14ac:dyDescent="0.2">
      <c r="I18860" s="137" t="s">
        <v>74</v>
      </c>
    </row>
    <row r="18861" spans="9:9" x14ac:dyDescent="0.2">
      <c r="I18861" s="137" t="s">
        <v>74</v>
      </c>
    </row>
    <row r="18862" spans="9:9" x14ac:dyDescent="0.2">
      <c r="I18862" s="137" t="s">
        <v>74</v>
      </c>
    </row>
    <row r="18863" spans="9:9" x14ac:dyDescent="0.2">
      <c r="I18863" s="137" t="s">
        <v>74</v>
      </c>
    </row>
    <row r="18864" spans="9:9" x14ac:dyDescent="0.2">
      <c r="I18864" s="137" t="s">
        <v>74</v>
      </c>
    </row>
    <row r="18865" spans="9:9" x14ac:dyDescent="0.2">
      <c r="I18865" s="137" t="s">
        <v>74</v>
      </c>
    </row>
    <row r="18866" spans="9:9" x14ac:dyDescent="0.2">
      <c r="I18866" s="137" t="s">
        <v>74</v>
      </c>
    </row>
    <row r="18867" spans="9:9" x14ac:dyDescent="0.2">
      <c r="I18867" s="137" t="s">
        <v>74</v>
      </c>
    </row>
    <row r="18868" spans="9:9" x14ac:dyDescent="0.2">
      <c r="I18868" s="137" t="s">
        <v>74</v>
      </c>
    </row>
    <row r="18869" spans="9:9" x14ac:dyDescent="0.2">
      <c r="I18869" s="137" t="s">
        <v>74</v>
      </c>
    </row>
    <row r="18870" spans="9:9" x14ac:dyDescent="0.2">
      <c r="I18870" s="137" t="s">
        <v>74</v>
      </c>
    </row>
    <row r="18871" spans="9:9" x14ac:dyDescent="0.2">
      <c r="I18871" s="137" t="s">
        <v>74</v>
      </c>
    </row>
    <row r="18872" spans="9:9" x14ac:dyDescent="0.2">
      <c r="I18872" s="137" t="s">
        <v>74</v>
      </c>
    </row>
    <row r="18873" spans="9:9" x14ac:dyDescent="0.2">
      <c r="I18873" s="137" t="s">
        <v>74</v>
      </c>
    </row>
    <row r="18874" spans="9:9" x14ac:dyDescent="0.2">
      <c r="I18874" s="137" t="s">
        <v>74</v>
      </c>
    </row>
    <row r="18875" spans="9:9" x14ac:dyDescent="0.2">
      <c r="I18875" s="137" t="s">
        <v>74</v>
      </c>
    </row>
    <row r="18876" spans="9:9" x14ac:dyDescent="0.2">
      <c r="I18876" s="137" t="s">
        <v>74</v>
      </c>
    </row>
    <row r="18877" spans="9:9" x14ac:dyDescent="0.2">
      <c r="I18877" s="137" t="s">
        <v>74</v>
      </c>
    </row>
    <row r="18878" spans="9:9" x14ac:dyDescent="0.2">
      <c r="I18878" s="137" t="s">
        <v>74</v>
      </c>
    </row>
    <row r="18879" spans="9:9" x14ac:dyDescent="0.2">
      <c r="I18879" s="137" t="s">
        <v>74</v>
      </c>
    </row>
    <row r="18880" spans="9:9" x14ac:dyDescent="0.2">
      <c r="I18880" s="137" t="s">
        <v>74</v>
      </c>
    </row>
    <row r="18881" spans="9:9" x14ac:dyDescent="0.2">
      <c r="I18881" s="137" t="s">
        <v>74</v>
      </c>
    </row>
    <row r="18882" spans="9:9" x14ac:dyDescent="0.2">
      <c r="I18882" s="137" t="s">
        <v>74</v>
      </c>
    </row>
    <row r="18883" spans="9:9" x14ac:dyDescent="0.2">
      <c r="I18883" s="137" t="s">
        <v>74</v>
      </c>
    </row>
    <row r="18884" spans="9:9" x14ac:dyDescent="0.2">
      <c r="I18884" s="137" t="s">
        <v>74</v>
      </c>
    </row>
    <row r="18885" spans="9:9" x14ac:dyDescent="0.2">
      <c r="I18885" s="137" t="s">
        <v>74</v>
      </c>
    </row>
    <row r="18886" spans="9:9" x14ac:dyDescent="0.2">
      <c r="I18886" s="137" t="s">
        <v>74</v>
      </c>
    </row>
    <row r="18887" spans="9:9" x14ac:dyDescent="0.2">
      <c r="I18887" s="137" t="s">
        <v>74</v>
      </c>
    </row>
    <row r="18888" spans="9:9" x14ac:dyDescent="0.2">
      <c r="I18888" s="137" t="s">
        <v>74</v>
      </c>
    </row>
    <row r="18889" spans="9:9" x14ac:dyDescent="0.2">
      <c r="I18889" s="137" t="s">
        <v>74</v>
      </c>
    </row>
    <row r="18890" spans="9:9" x14ac:dyDescent="0.2">
      <c r="I18890" s="137" t="s">
        <v>74</v>
      </c>
    </row>
    <row r="18891" spans="9:9" x14ac:dyDescent="0.2">
      <c r="I18891" s="137" t="s">
        <v>74</v>
      </c>
    </row>
    <row r="18892" spans="9:9" x14ac:dyDescent="0.2">
      <c r="I18892" s="137" t="s">
        <v>74</v>
      </c>
    </row>
    <row r="18893" spans="9:9" x14ac:dyDescent="0.2">
      <c r="I18893" s="137" t="s">
        <v>74</v>
      </c>
    </row>
    <row r="18894" spans="9:9" x14ac:dyDescent="0.2">
      <c r="I18894" s="137" t="s">
        <v>74</v>
      </c>
    </row>
    <row r="18895" spans="9:9" x14ac:dyDescent="0.2">
      <c r="I18895" s="137" t="s">
        <v>74</v>
      </c>
    </row>
    <row r="18896" spans="9:9" x14ac:dyDescent="0.2">
      <c r="I18896" s="137" t="s">
        <v>74</v>
      </c>
    </row>
    <row r="18897" spans="9:9" x14ac:dyDescent="0.2">
      <c r="I18897" s="137" t="s">
        <v>74</v>
      </c>
    </row>
    <row r="18898" spans="9:9" x14ac:dyDescent="0.2">
      <c r="I18898" s="137" t="s">
        <v>74</v>
      </c>
    </row>
    <row r="18899" spans="9:9" x14ac:dyDescent="0.2">
      <c r="I18899" s="137" t="s">
        <v>74</v>
      </c>
    </row>
    <row r="18900" spans="9:9" x14ac:dyDescent="0.2">
      <c r="I18900" s="137" t="s">
        <v>74</v>
      </c>
    </row>
    <row r="18901" spans="9:9" x14ac:dyDescent="0.2">
      <c r="I18901" s="137" t="s">
        <v>74</v>
      </c>
    </row>
    <row r="18902" spans="9:9" x14ac:dyDescent="0.2">
      <c r="I18902" s="137" t="s">
        <v>74</v>
      </c>
    </row>
    <row r="18903" spans="9:9" x14ac:dyDescent="0.2">
      <c r="I18903" s="137" t="s">
        <v>74</v>
      </c>
    </row>
    <row r="18904" spans="9:9" x14ac:dyDescent="0.2">
      <c r="I18904" s="137" t="s">
        <v>74</v>
      </c>
    </row>
    <row r="18905" spans="9:9" x14ac:dyDescent="0.2">
      <c r="I18905" s="137" t="s">
        <v>74</v>
      </c>
    </row>
    <row r="18906" spans="9:9" x14ac:dyDescent="0.2">
      <c r="I18906" s="137" t="s">
        <v>74</v>
      </c>
    </row>
    <row r="18907" spans="9:9" x14ac:dyDescent="0.2">
      <c r="I18907" s="137" t="s">
        <v>74</v>
      </c>
    </row>
    <row r="18908" spans="9:9" x14ac:dyDescent="0.2">
      <c r="I18908" s="137" t="s">
        <v>74</v>
      </c>
    </row>
    <row r="18909" spans="9:9" x14ac:dyDescent="0.2">
      <c r="I18909" s="137" t="s">
        <v>74</v>
      </c>
    </row>
    <row r="18910" spans="9:9" x14ac:dyDescent="0.2">
      <c r="I18910" s="137" t="s">
        <v>74</v>
      </c>
    </row>
    <row r="18911" spans="9:9" x14ac:dyDescent="0.2">
      <c r="I18911" s="137" t="s">
        <v>74</v>
      </c>
    </row>
    <row r="18912" spans="9:9" x14ac:dyDescent="0.2">
      <c r="I18912" s="137" t="s">
        <v>74</v>
      </c>
    </row>
    <row r="18913" spans="9:9" x14ac:dyDescent="0.2">
      <c r="I18913" s="137" t="s">
        <v>74</v>
      </c>
    </row>
    <row r="18914" spans="9:9" x14ac:dyDescent="0.2">
      <c r="I18914" s="137" t="s">
        <v>74</v>
      </c>
    </row>
    <row r="18915" spans="9:9" x14ac:dyDescent="0.2">
      <c r="I18915" s="137" t="s">
        <v>74</v>
      </c>
    </row>
    <row r="18916" spans="9:9" x14ac:dyDescent="0.2">
      <c r="I18916" s="137" t="s">
        <v>74</v>
      </c>
    </row>
    <row r="18917" spans="9:9" x14ac:dyDescent="0.2">
      <c r="I18917" s="137" t="s">
        <v>74</v>
      </c>
    </row>
    <row r="18918" spans="9:9" x14ac:dyDescent="0.2">
      <c r="I18918" s="137" t="s">
        <v>74</v>
      </c>
    </row>
    <row r="18919" spans="9:9" x14ac:dyDescent="0.2">
      <c r="I18919" s="137" t="s">
        <v>74</v>
      </c>
    </row>
    <row r="18920" spans="9:9" x14ac:dyDescent="0.2">
      <c r="I18920" s="137" t="s">
        <v>74</v>
      </c>
    </row>
    <row r="18921" spans="9:9" x14ac:dyDescent="0.2">
      <c r="I18921" s="137" t="s">
        <v>74</v>
      </c>
    </row>
    <row r="18922" spans="9:9" x14ac:dyDescent="0.2">
      <c r="I18922" s="137" t="s">
        <v>74</v>
      </c>
    </row>
    <row r="18923" spans="9:9" x14ac:dyDescent="0.2">
      <c r="I18923" s="137" t="s">
        <v>74</v>
      </c>
    </row>
    <row r="18924" spans="9:9" x14ac:dyDescent="0.2">
      <c r="I18924" s="137" t="s">
        <v>74</v>
      </c>
    </row>
    <row r="18925" spans="9:9" x14ac:dyDescent="0.2">
      <c r="I18925" s="137" t="s">
        <v>74</v>
      </c>
    </row>
    <row r="18926" spans="9:9" x14ac:dyDescent="0.2">
      <c r="I18926" s="137" t="s">
        <v>74</v>
      </c>
    </row>
    <row r="18927" spans="9:9" x14ac:dyDescent="0.2">
      <c r="I18927" s="137" t="s">
        <v>74</v>
      </c>
    </row>
    <row r="18928" spans="9:9" x14ac:dyDescent="0.2">
      <c r="I18928" s="137" t="s">
        <v>74</v>
      </c>
    </row>
    <row r="18929" spans="9:9" x14ac:dyDescent="0.2">
      <c r="I18929" s="137" t="s">
        <v>74</v>
      </c>
    </row>
    <row r="18930" spans="9:9" x14ac:dyDescent="0.2">
      <c r="I18930" s="137" t="s">
        <v>74</v>
      </c>
    </row>
    <row r="18931" spans="9:9" x14ac:dyDescent="0.2">
      <c r="I18931" s="137" t="s">
        <v>74</v>
      </c>
    </row>
    <row r="18932" spans="9:9" x14ac:dyDescent="0.2">
      <c r="I18932" s="137" t="s">
        <v>74</v>
      </c>
    </row>
    <row r="18933" spans="9:9" x14ac:dyDescent="0.2">
      <c r="I18933" s="137" t="s">
        <v>74</v>
      </c>
    </row>
    <row r="18934" spans="9:9" x14ac:dyDescent="0.2">
      <c r="I18934" s="137" t="s">
        <v>74</v>
      </c>
    </row>
    <row r="18935" spans="9:9" x14ac:dyDescent="0.2">
      <c r="I18935" s="137" t="s">
        <v>74</v>
      </c>
    </row>
    <row r="18936" spans="9:9" x14ac:dyDescent="0.2">
      <c r="I18936" s="137" t="s">
        <v>74</v>
      </c>
    </row>
    <row r="18937" spans="9:9" x14ac:dyDescent="0.2">
      <c r="I18937" s="137" t="s">
        <v>74</v>
      </c>
    </row>
    <row r="18938" spans="9:9" x14ac:dyDescent="0.2">
      <c r="I18938" s="137" t="s">
        <v>74</v>
      </c>
    </row>
    <row r="18939" spans="9:9" x14ac:dyDescent="0.2">
      <c r="I18939" s="137" t="s">
        <v>74</v>
      </c>
    </row>
    <row r="18940" spans="9:9" x14ac:dyDescent="0.2">
      <c r="I18940" s="137" t="s">
        <v>74</v>
      </c>
    </row>
    <row r="18941" spans="9:9" x14ac:dyDescent="0.2">
      <c r="I18941" s="137" t="s">
        <v>74</v>
      </c>
    </row>
    <row r="18942" spans="9:9" x14ac:dyDescent="0.2">
      <c r="I18942" s="137" t="s">
        <v>74</v>
      </c>
    </row>
    <row r="18943" spans="9:9" x14ac:dyDescent="0.2">
      <c r="I18943" s="137" t="s">
        <v>74</v>
      </c>
    </row>
    <row r="18944" spans="9:9" x14ac:dyDescent="0.2">
      <c r="I18944" s="137" t="s">
        <v>74</v>
      </c>
    </row>
    <row r="18945" spans="9:9" x14ac:dyDescent="0.2">
      <c r="I18945" s="137" t="s">
        <v>74</v>
      </c>
    </row>
    <row r="18946" spans="9:9" x14ac:dyDescent="0.2">
      <c r="I18946" s="137" t="s">
        <v>74</v>
      </c>
    </row>
    <row r="18947" spans="9:9" x14ac:dyDescent="0.2">
      <c r="I18947" s="137" t="s">
        <v>74</v>
      </c>
    </row>
    <row r="18948" spans="9:9" x14ac:dyDescent="0.2">
      <c r="I18948" s="137" t="s">
        <v>74</v>
      </c>
    </row>
    <row r="18949" spans="9:9" x14ac:dyDescent="0.2">
      <c r="I18949" s="137" t="s">
        <v>74</v>
      </c>
    </row>
    <row r="18950" spans="9:9" x14ac:dyDescent="0.2">
      <c r="I18950" s="137" t="s">
        <v>74</v>
      </c>
    </row>
    <row r="18951" spans="9:9" x14ac:dyDescent="0.2">
      <c r="I18951" s="137" t="s">
        <v>74</v>
      </c>
    </row>
    <row r="18952" spans="9:9" x14ac:dyDescent="0.2">
      <c r="I18952" s="137" t="s">
        <v>74</v>
      </c>
    </row>
    <row r="18953" spans="9:9" x14ac:dyDescent="0.2">
      <c r="I18953" s="137" t="s">
        <v>74</v>
      </c>
    </row>
    <row r="18954" spans="9:9" x14ac:dyDescent="0.2">
      <c r="I18954" s="137" t="s">
        <v>74</v>
      </c>
    </row>
    <row r="18955" spans="9:9" x14ac:dyDescent="0.2">
      <c r="I18955" s="137" t="s">
        <v>74</v>
      </c>
    </row>
    <row r="18956" spans="9:9" x14ac:dyDescent="0.2">
      <c r="I18956" s="137" t="s">
        <v>74</v>
      </c>
    </row>
    <row r="18957" spans="9:9" x14ac:dyDescent="0.2">
      <c r="I18957" s="137" t="s">
        <v>74</v>
      </c>
    </row>
    <row r="18958" spans="9:9" x14ac:dyDescent="0.2">
      <c r="I18958" s="137" t="s">
        <v>74</v>
      </c>
    </row>
    <row r="18959" spans="9:9" x14ac:dyDescent="0.2">
      <c r="I18959" s="137" t="s">
        <v>74</v>
      </c>
    </row>
    <row r="18960" spans="9:9" x14ac:dyDescent="0.2">
      <c r="I18960" s="137" t="s">
        <v>74</v>
      </c>
    </row>
    <row r="18961" spans="9:9" x14ac:dyDescent="0.2">
      <c r="I18961" s="137" t="s">
        <v>74</v>
      </c>
    </row>
    <row r="18962" spans="9:9" x14ac:dyDescent="0.2">
      <c r="I18962" s="137" t="s">
        <v>74</v>
      </c>
    </row>
    <row r="18963" spans="9:9" x14ac:dyDescent="0.2">
      <c r="I18963" s="137" t="s">
        <v>74</v>
      </c>
    </row>
    <row r="18964" spans="9:9" x14ac:dyDescent="0.2">
      <c r="I18964" s="137" t="s">
        <v>74</v>
      </c>
    </row>
    <row r="18965" spans="9:9" x14ac:dyDescent="0.2">
      <c r="I18965" s="137" t="s">
        <v>74</v>
      </c>
    </row>
    <row r="18966" spans="9:9" x14ac:dyDescent="0.2">
      <c r="I18966" s="137" t="s">
        <v>74</v>
      </c>
    </row>
    <row r="18967" spans="9:9" x14ac:dyDescent="0.2">
      <c r="I18967" s="137" t="s">
        <v>74</v>
      </c>
    </row>
    <row r="18968" spans="9:9" x14ac:dyDescent="0.2">
      <c r="I18968" s="137" t="s">
        <v>74</v>
      </c>
    </row>
    <row r="18969" spans="9:9" x14ac:dyDescent="0.2">
      <c r="I18969" s="137" t="s">
        <v>74</v>
      </c>
    </row>
    <row r="18970" spans="9:9" x14ac:dyDescent="0.2">
      <c r="I18970" s="137" t="s">
        <v>74</v>
      </c>
    </row>
    <row r="18971" spans="9:9" x14ac:dyDescent="0.2">
      <c r="I18971" s="137" t="s">
        <v>74</v>
      </c>
    </row>
    <row r="18972" spans="9:9" x14ac:dyDescent="0.2">
      <c r="I18972" s="137" t="s">
        <v>74</v>
      </c>
    </row>
    <row r="18973" spans="9:9" x14ac:dyDescent="0.2">
      <c r="I18973" s="137" t="s">
        <v>74</v>
      </c>
    </row>
    <row r="18974" spans="9:9" x14ac:dyDescent="0.2">
      <c r="I18974" s="137" t="s">
        <v>74</v>
      </c>
    </row>
    <row r="18975" spans="9:9" x14ac:dyDescent="0.2">
      <c r="I18975" s="137" t="s">
        <v>74</v>
      </c>
    </row>
    <row r="18976" spans="9:9" x14ac:dyDescent="0.2">
      <c r="I18976" s="137" t="s">
        <v>74</v>
      </c>
    </row>
    <row r="18977" spans="9:9" x14ac:dyDescent="0.2">
      <c r="I18977" s="137" t="s">
        <v>74</v>
      </c>
    </row>
    <row r="18978" spans="9:9" x14ac:dyDescent="0.2">
      <c r="I18978" s="137" t="s">
        <v>74</v>
      </c>
    </row>
    <row r="18979" spans="9:9" x14ac:dyDescent="0.2">
      <c r="I18979" s="137" t="s">
        <v>74</v>
      </c>
    </row>
    <row r="18980" spans="9:9" x14ac:dyDescent="0.2">
      <c r="I18980" s="137" t="s">
        <v>74</v>
      </c>
    </row>
    <row r="18981" spans="9:9" x14ac:dyDescent="0.2">
      <c r="I18981" s="137" t="s">
        <v>74</v>
      </c>
    </row>
    <row r="18982" spans="9:9" x14ac:dyDescent="0.2">
      <c r="I18982" s="137" t="s">
        <v>74</v>
      </c>
    </row>
    <row r="18983" spans="9:9" x14ac:dyDescent="0.2">
      <c r="I18983" s="137" t="s">
        <v>74</v>
      </c>
    </row>
    <row r="18984" spans="9:9" x14ac:dyDescent="0.2">
      <c r="I18984" s="137" t="s">
        <v>74</v>
      </c>
    </row>
    <row r="18985" spans="9:9" x14ac:dyDescent="0.2">
      <c r="I18985" s="137" t="s">
        <v>74</v>
      </c>
    </row>
    <row r="18986" spans="9:9" x14ac:dyDescent="0.2">
      <c r="I18986" s="137" t="s">
        <v>74</v>
      </c>
    </row>
    <row r="18987" spans="9:9" x14ac:dyDescent="0.2">
      <c r="I18987" s="137" t="s">
        <v>74</v>
      </c>
    </row>
    <row r="18988" spans="9:9" x14ac:dyDescent="0.2">
      <c r="I18988" s="137" t="s">
        <v>74</v>
      </c>
    </row>
    <row r="18989" spans="9:9" x14ac:dyDescent="0.2">
      <c r="I18989" s="137" t="s">
        <v>74</v>
      </c>
    </row>
    <row r="18990" spans="9:9" x14ac:dyDescent="0.2">
      <c r="I18990" s="137" t="s">
        <v>74</v>
      </c>
    </row>
    <row r="18991" spans="9:9" x14ac:dyDescent="0.2">
      <c r="I18991" s="137" t="s">
        <v>74</v>
      </c>
    </row>
    <row r="18992" spans="9:9" x14ac:dyDescent="0.2">
      <c r="I18992" s="137" t="s">
        <v>74</v>
      </c>
    </row>
    <row r="18993" spans="9:9" x14ac:dyDescent="0.2">
      <c r="I18993" s="137" t="s">
        <v>74</v>
      </c>
    </row>
    <row r="18994" spans="9:9" x14ac:dyDescent="0.2">
      <c r="I18994" s="137" t="s">
        <v>74</v>
      </c>
    </row>
    <row r="18995" spans="9:9" x14ac:dyDescent="0.2">
      <c r="I18995" s="137" t="s">
        <v>74</v>
      </c>
    </row>
    <row r="18996" spans="9:9" x14ac:dyDescent="0.2">
      <c r="I18996" s="137" t="s">
        <v>74</v>
      </c>
    </row>
    <row r="18997" spans="9:9" x14ac:dyDescent="0.2">
      <c r="I18997" s="137" t="s">
        <v>74</v>
      </c>
    </row>
    <row r="18998" spans="9:9" x14ac:dyDescent="0.2">
      <c r="I18998" s="137" t="s">
        <v>74</v>
      </c>
    </row>
    <row r="18999" spans="9:9" x14ac:dyDescent="0.2">
      <c r="I18999" s="137" t="s">
        <v>74</v>
      </c>
    </row>
    <row r="19000" spans="9:9" x14ac:dyDescent="0.2">
      <c r="I19000" s="137" t="s">
        <v>74</v>
      </c>
    </row>
    <row r="19001" spans="9:9" x14ac:dyDescent="0.2">
      <c r="I19001" s="137" t="s">
        <v>74</v>
      </c>
    </row>
    <row r="19002" spans="9:9" x14ac:dyDescent="0.2">
      <c r="I19002" s="137" t="s">
        <v>74</v>
      </c>
    </row>
    <row r="19003" spans="9:9" x14ac:dyDescent="0.2">
      <c r="I19003" s="137" t="s">
        <v>74</v>
      </c>
    </row>
    <row r="19004" spans="9:9" x14ac:dyDescent="0.2">
      <c r="I19004" s="137" t="s">
        <v>74</v>
      </c>
    </row>
    <row r="19005" spans="9:9" x14ac:dyDescent="0.2">
      <c r="I19005" s="137" t="s">
        <v>74</v>
      </c>
    </row>
    <row r="19006" spans="9:9" x14ac:dyDescent="0.2">
      <c r="I19006" s="137" t="s">
        <v>74</v>
      </c>
    </row>
    <row r="19007" spans="9:9" x14ac:dyDescent="0.2">
      <c r="I19007" s="137" t="s">
        <v>74</v>
      </c>
    </row>
    <row r="19008" spans="9:9" x14ac:dyDescent="0.2">
      <c r="I19008" s="137" t="s">
        <v>74</v>
      </c>
    </row>
    <row r="19009" spans="9:9" x14ac:dyDescent="0.2">
      <c r="I19009" s="137" t="s">
        <v>74</v>
      </c>
    </row>
    <row r="19010" spans="9:9" x14ac:dyDescent="0.2">
      <c r="I19010" s="137" t="s">
        <v>74</v>
      </c>
    </row>
    <row r="19011" spans="9:9" x14ac:dyDescent="0.2">
      <c r="I19011" s="137" t="s">
        <v>74</v>
      </c>
    </row>
    <row r="19012" spans="9:9" x14ac:dyDescent="0.2">
      <c r="I19012" s="137" t="s">
        <v>74</v>
      </c>
    </row>
    <row r="19013" spans="9:9" x14ac:dyDescent="0.2">
      <c r="I19013" s="137" t="s">
        <v>74</v>
      </c>
    </row>
    <row r="19014" spans="9:9" x14ac:dyDescent="0.2">
      <c r="I19014" s="137" t="s">
        <v>74</v>
      </c>
    </row>
    <row r="19015" spans="9:9" x14ac:dyDescent="0.2">
      <c r="I19015" s="137" t="s">
        <v>74</v>
      </c>
    </row>
    <row r="19016" spans="9:9" x14ac:dyDescent="0.2">
      <c r="I19016" s="137" t="s">
        <v>74</v>
      </c>
    </row>
    <row r="19017" spans="9:9" x14ac:dyDescent="0.2">
      <c r="I19017" s="137" t="s">
        <v>74</v>
      </c>
    </row>
    <row r="19018" spans="9:9" x14ac:dyDescent="0.2">
      <c r="I19018" s="137" t="s">
        <v>74</v>
      </c>
    </row>
    <row r="19019" spans="9:9" x14ac:dyDescent="0.2">
      <c r="I19019" s="137" t="s">
        <v>74</v>
      </c>
    </row>
    <row r="19020" spans="9:9" x14ac:dyDescent="0.2">
      <c r="I19020" s="137" t="s">
        <v>74</v>
      </c>
    </row>
    <row r="19021" spans="9:9" x14ac:dyDescent="0.2">
      <c r="I19021" s="137" t="s">
        <v>74</v>
      </c>
    </row>
    <row r="19022" spans="9:9" x14ac:dyDescent="0.2">
      <c r="I19022" s="137" t="s">
        <v>74</v>
      </c>
    </row>
    <row r="19023" spans="9:9" x14ac:dyDescent="0.2">
      <c r="I19023" s="137" t="s">
        <v>74</v>
      </c>
    </row>
    <row r="19024" spans="9:9" x14ac:dyDescent="0.2">
      <c r="I19024" s="137" t="s">
        <v>74</v>
      </c>
    </row>
    <row r="19025" spans="9:9" x14ac:dyDescent="0.2">
      <c r="I19025" s="137" t="s">
        <v>74</v>
      </c>
    </row>
    <row r="19026" spans="9:9" x14ac:dyDescent="0.2">
      <c r="I19026" s="137" t="s">
        <v>74</v>
      </c>
    </row>
    <row r="19027" spans="9:9" x14ac:dyDescent="0.2">
      <c r="I19027" s="137" t="s">
        <v>74</v>
      </c>
    </row>
    <row r="19028" spans="9:9" x14ac:dyDescent="0.2">
      <c r="I19028" s="137" t="s">
        <v>74</v>
      </c>
    </row>
    <row r="19029" spans="9:9" x14ac:dyDescent="0.2">
      <c r="I19029" s="137" t="s">
        <v>74</v>
      </c>
    </row>
    <row r="19030" spans="9:9" x14ac:dyDescent="0.2">
      <c r="I19030" s="137" t="s">
        <v>74</v>
      </c>
    </row>
    <row r="19031" spans="9:9" x14ac:dyDescent="0.2">
      <c r="I19031" s="137" t="s">
        <v>74</v>
      </c>
    </row>
    <row r="19032" spans="9:9" x14ac:dyDescent="0.2">
      <c r="I19032" s="137" t="s">
        <v>74</v>
      </c>
    </row>
    <row r="19033" spans="9:9" x14ac:dyDescent="0.2">
      <c r="I19033" s="137" t="s">
        <v>74</v>
      </c>
    </row>
    <row r="19034" spans="9:9" x14ac:dyDescent="0.2">
      <c r="I19034" s="137" t="s">
        <v>74</v>
      </c>
    </row>
    <row r="19035" spans="9:9" x14ac:dyDescent="0.2">
      <c r="I19035" s="137" t="s">
        <v>74</v>
      </c>
    </row>
    <row r="19036" spans="9:9" x14ac:dyDescent="0.2">
      <c r="I19036" s="137" t="s">
        <v>74</v>
      </c>
    </row>
    <row r="19037" spans="9:9" x14ac:dyDescent="0.2">
      <c r="I19037" s="137" t="s">
        <v>74</v>
      </c>
    </row>
    <row r="19038" spans="9:9" x14ac:dyDescent="0.2">
      <c r="I19038" s="137" t="s">
        <v>74</v>
      </c>
    </row>
    <row r="19039" spans="9:9" x14ac:dyDescent="0.2">
      <c r="I19039" s="137" t="s">
        <v>74</v>
      </c>
    </row>
    <row r="19040" spans="9:9" x14ac:dyDescent="0.2">
      <c r="I19040" s="137" t="s">
        <v>74</v>
      </c>
    </row>
    <row r="19041" spans="9:9" x14ac:dyDescent="0.2">
      <c r="I19041" s="137" t="s">
        <v>74</v>
      </c>
    </row>
    <row r="19042" spans="9:9" x14ac:dyDescent="0.2">
      <c r="I19042" s="137" t="s">
        <v>74</v>
      </c>
    </row>
    <row r="19043" spans="9:9" x14ac:dyDescent="0.2">
      <c r="I19043" s="137" t="s">
        <v>74</v>
      </c>
    </row>
    <row r="19044" spans="9:9" x14ac:dyDescent="0.2">
      <c r="I19044" s="137" t="s">
        <v>74</v>
      </c>
    </row>
    <row r="19045" spans="9:9" x14ac:dyDescent="0.2">
      <c r="I19045" s="137" t="s">
        <v>74</v>
      </c>
    </row>
    <row r="19046" spans="9:9" x14ac:dyDescent="0.2">
      <c r="I19046" s="137" t="s">
        <v>74</v>
      </c>
    </row>
    <row r="19047" spans="9:9" x14ac:dyDescent="0.2">
      <c r="I19047" s="137" t="s">
        <v>74</v>
      </c>
    </row>
    <row r="19048" spans="9:9" x14ac:dyDescent="0.2">
      <c r="I19048" s="137" t="s">
        <v>74</v>
      </c>
    </row>
    <row r="19049" spans="9:9" x14ac:dyDescent="0.2">
      <c r="I19049" s="137" t="s">
        <v>74</v>
      </c>
    </row>
    <row r="19050" spans="9:9" x14ac:dyDescent="0.2">
      <c r="I19050" s="137" t="s">
        <v>74</v>
      </c>
    </row>
    <row r="19051" spans="9:9" x14ac:dyDescent="0.2">
      <c r="I19051" s="137" t="s">
        <v>74</v>
      </c>
    </row>
    <row r="19052" spans="9:9" x14ac:dyDescent="0.2">
      <c r="I19052" s="137" t="s">
        <v>74</v>
      </c>
    </row>
    <row r="19053" spans="9:9" x14ac:dyDescent="0.2">
      <c r="I19053" s="137" t="s">
        <v>74</v>
      </c>
    </row>
    <row r="19054" spans="9:9" x14ac:dyDescent="0.2">
      <c r="I19054" s="137" t="s">
        <v>74</v>
      </c>
    </row>
    <row r="19055" spans="9:9" x14ac:dyDescent="0.2">
      <c r="I19055" s="137" t="s">
        <v>74</v>
      </c>
    </row>
    <row r="19056" spans="9:9" x14ac:dyDescent="0.2">
      <c r="I19056" s="137" t="s">
        <v>74</v>
      </c>
    </row>
    <row r="19057" spans="9:9" x14ac:dyDescent="0.2">
      <c r="I19057" s="137" t="s">
        <v>74</v>
      </c>
    </row>
    <row r="19058" spans="9:9" x14ac:dyDescent="0.2">
      <c r="I19058" s="137" t="s">
        <v>74</v>
      </c>
    </row>
    <row r="19059" spans="9:9" x14ac:dyDescent="0.2">
      <c r="I19059" s="137" t="s">
        <v>74</v>
      </c>
    </row>
    <row r="19060" spans="9:9" x14ac:dyDescent="0.2">
      <c r="I19060" s="137" t="s">
        <v>74</v>
      </c>
    </row>
    <row r="19061" spans="9:9" x14ac:dyDescent="0.2">
      <c r="I19061" s="137" t="s">
        <v>74</v>
      </c>
    </row>
    <row r="19062" spans="9:9" x14ac:dyDescent="0.2">
      <c r="I19062" s="137" t="s">
        <v>74</v>
      </c>
    </row>
    <row r="19063" spans="9:9" x14ac:dyDescent="0.2">
      <c r="I19063" s="137" t="s">
        <v>74</v>
      </c>
    </row>
    <row r="19064" spans="9:9" x14ac:dyDescent="0.2">
      <c r="I19064" s="137" t="s">
        <v>74</v>
      </c>
    </row>
    <row r="19065" spans="9:9" x14ac:dyDescent="0.2">
      <c r="I19065" s="137" t="s">
        <v>74</v>
      </c>
    </row>
    <row r="19066" spans="9:9" x14ac:dyDescent="0.2">
      <c r="I19066" s="137" t="s">
        <v>74</v>
      </c>
    </row>
    <row r="19067" spans="9:9" x14ac:dyDescent="0.2">
      <c r="I19067" s="137" t="s">
        <v>74</v>
      </c>
    </row>
    <row r="19068" spans="9:9" x14ac:dyDescent="0.2">
      <c r="I19068" s="137" t="s">
        <v>74</v>
      </c>
    </row>
    <row r="19069" spans="9:9" x14ac:dyDescent="0.2">
      <c r="I19069" s="137" t="s">
        <v>74</v>
      </c>
    </row>
    <row r="19070" spans="9:9" x14ac:dyDescent="0.2">
      <c r="I19070" s="137" t="s">
        <v>74</v>
      </c>
    </row>
    <row r="19071" spans="9:9" x14ac:dyDescent="0.2">
      <c r="I19071" s="137" t="s">
        <v>74</v>
      </c>
    </row>
    <row r="19072" spans="9:9" x14ac:dyDescent="0.2">
      <c r="I19072" s="137" t="s">
        <v>74</v>
      </c>
    </row>
    <row r="19073" spans="9:9" x14ac:dyDescent="0.2">
      <c r="I19073" s="137" t="s">
        <v>74</v>
      </c>
    </row>
    <row r="19074" spans="9:9" x14ac:dyDescent="0.2">
      <c r="I19074" s="137" t="s">
        <v>74</v>
      </c>
    </row>
    <row r="19075" spans="9:9" x14ac:dyDescent="0.2">
      <c r="I19075" s="137" t="s">
        <v>74</v>
      </c>
    </row>
    <row r="19076" spans="9:9" x14ac:dyDescent="0.2">
      <c r="I19076" s="137" t="s">
        <v>74</v>
      </c>
    </row>
    <row r="19077" spans="9:9" x14ac:dyDescent="0.2">
      <c r="I19077" s="137" t="s">
        <v>74</v>
      </c>
    </row>
    <row r="19078" spans="9:9" x14ac:dyDescent="0.2">
      <c r="I19078" s="137" t="s">
        <v>74</v>
      </c>
    </row>
    <row r="19079" spans="9:9" x14ac:dyDescent="0.2">
      <c r="I19079" s="137" t="s">
        <v>74</v>
      </c>
    </row>
    <row r="19080" spans="9:9" x14ac:dyDescent="0.2">
      <c r="I19080" s="137" t="s">
        <v>74</v>
      </c>
    </row>
    <row r="19081" spans="9:9" x14ac:dyDescent="0.2">
      <c r="I19081" s="137" t="s">
        <v>74</v>
      </c>
    </row>
    <row r="19082" spans="9:9" x14ac:dyDescent="0.2">
      <c r="I19082" s="137" t="s">
        <v>74</v>
      </c>
    </row>
    <row r="19083" spans="9:9" x14ac:dyDescent="0.2">
      <c r="I19083" s="137" t="s">
        <v>74</v>
      </c>
    </row>
    <row r="19084" spans="9:9" x14ac:dyDescent="0.2">
      <c r="I19084" s="137" t="s">
        <v>74</v>
      </c>
    </row>
    <row r="19085" spans="9:9" x14ac:dyDescent="0.2">
      <c r="I19085" s="137" t="s">
        <v>74</v>
      </c>
    </row>
    <row r="19086" spans="9:9" x14ac:dyDescent="0.2">
      <c r="I19086" s="137" t="s">
        <v>74</v>
      </c>
    </row>
    <row r="19087" spans="9:9" x14ac:dyDescent="0.2">
      <c r="I19087" s="137" t="s">
        <v>74</v>
      </c>
    </row>
    <row r="19088" spans="9:9" x14ac:dyDescent="0.2">
      <c r="I19088" s="137" t="s">
        <v>74</v>
      </c>
    </row>
    <row r="19089" spans="9:9" x14ac:dyDescent="0.2">
      <c r="I19089" s="137" t="s">
        <v>74</v>
      </c>
    </row>
    <row r="19090" spans="9:9" x14ac:dyDescent="0.2">
      <c r="I19090" s="137" t="s">
        <v>74</v>
      </c>
    </row>
    <row r="19091" spans="9:9" x14ac:dyDescent="0.2">
      <c r="I19091" s="137" t="s">
        <v>74</v>
      </c>
    </row>
    <row r="19092" spans="9:9" x14ac:dyDescent="0.2">
      <c r="I19092" s="137" t="s">
        <v>74</v>
      </c>
    </row>
    <row r="19093" spans="9:9" x14ac:dyDescent="0.2">
      <c r="I19093" s="137" t="s">
        <v>74</v>
      </c>
    </row>
    <row r="19094" spans="9:9" x14ac:dyDescent="0.2">
      <c r="I19094" s="137" t="s">
        <v>74</v>
      </c>
    </row>
    <row r="19095" spans="9:9" x14ac:dyDescent="0.2">
      <c r="I19095" s="137" t="s">
        <v>74</v>
      </c>
    </row>
    <row r="19096" spans="9:9" x14ac:dyDescent="0.2">
      <c r="I19096" s="137" t="s">
        <v>74</v>
      </c>
    </row>
    <row r="19097" spans="9:9" x14ac:dyDescent="0.2">
      <c r="I19097" s="137" t="s">
        <v>74</v>
      </c>
    </row>
    <row r="19098" spans="9:9" x14ac:dyDescent="0.2">
      <c r="I19098" s="137" t="s">
        <v>74</v>
      </c>
    </row>
    <row r="19099" spans="9:9" x14ac:dyDescent="0.2">
      <c r="I19099" s="137" t="s">
        <v>74</v>
      </c>
    </row>
    <row r="19100" spans="9:9" x14ac:dyDescent="0.2">
      <c r="I19100" s="137" t="s">
        <v>74</v>
      </c>
    </row>
    <row r="19101" spans="9:9" x14ac:dyDescent="0.2">
      <c r="I19101" s="137" t="s">
        <v>74</v>
      </c>
    </row>
    <row r="19102" spans="9:9" x14ac:dyDescent="0.2">
      <c r="I19102" s="137" t="s">
        <v>74</v>
      </c>
    </row>
    <row r="19103" spans="9:9" x14ac:dyDescent="0.2">
      <c r="I19103" s="137" t="s">
        <v>74</v>
      </c>
    </row>
    <row r="19104" spans="9:9" x14ac:dyDescent="0.2">
      <c r="I19104" s="137" t="s">
        <v>74</v>
      </c>
    </row>
    <row r="19105" spans="9:9" x14ac:dyDescent="0.2">
      <c r="I19105" s="137" t="s">
        <v>74</v>
      </c>
    </row>
    <row r="19106" spans="9:9" x14ac:dyDescent="0.2">
      <c r="I19106" s="137" t="s">
        <v>74</v>
      </c>
    </row>
    <row r="19107" spans="9:9" x14ac:dyDescent="0.2">
      <c r="I19107" s="137" t="s">
        <v>74</v>
      </c>
    </row>
    <row r="19108" spans="9:9" x14ac:dyDescent="0.2">
      <c r="I19108" s="137" t="s">
        <v>74</v>
      </c>
    </row>
    <row r="19109" spans="9:9" x14ac:dyDescent="0.2">
      <c r="I19109" s="137" t="s">
        <v>74</v>
      </c>
    </row>
    <row r="19110" spans="9:9" x14ac:dyDescent="0.2">
      <c r="I19110" s="137" t="s">
        <v>74</v>
      </c>
    </row>
    <row r="19111" spans="9:9" x14ac:dyDescent="0.2">
      <c r="I19111" s="137" t="s">
        <v>74</v>
      </c>
    </row>
    <row r="19112" spans="9:9" x14ac:dyDescent="0.2">
      <c r="I19112" s="137" t="s">
        <v>74</v>
      </c>
    </row>
    <row r="19113" spans="9:9" x14ac:dyDescent="0.2">
      <c r="I19113" s="137" t="s">
        <v>74</v>
      </c>
    </row>
    <row r="19114" spans="9:9" x14ac:dyDescent="0.2">
      <c r="I19114" s="137" t="s">
        <v>74</v>
      </c>
    </row>
    <row r="19115" spans="9:9" x14ac:dyDescent="0.2">
      <c r="I19115" s="137" t="s">
        <v>74</v>
      </c>
    </row>
    <row r="19116" spans="9:9" x14ac:dyDescent="0.2">
      <c r="I19116" s="137" t="s">
        <v>74</v>
      </c>
    </row>
    <row r="19117" spans="9:9" x14ac:dyDescent="0.2">
      <c r="I19117" s="137" t="s">
        <v>74</v>
      </c>
    </row>
    <row r="19118" spans="9:9" x14ac:dyDescent="0.2">
      <c r="I19118" s="137" t="s">
        <v>74</v>
      </c>
    </row>
    <row r="19119" spans="9:9" x14ac:dyDescent="0.2">
      <c r="I19119" s="137" t="s">
        <v>74</v>
      </c>
    </row>
    <row r="19120" spans="9:9" x14ac:dyDescent="0.2">
      <c r="I19120" s="137" t="s">
        <v>74</v>
      </c>
    </row>
    <row r="19121" spans="9:9" x14ac:dyDescent="0.2">
      <c r="I19121" s="137" t="s">
        <v>74</v>
      </c>
    </row>
    <row r="19122" spans="9:9" x14ac:dyDescent="0.2">
      <c r="I19122" s="137" t="s">
        <v>74</v>
      </c>
    </row>
    <row r="19123" spans="9:9" x14ac:dyDescent="0.2">
      <c r="I19123" s="137" t="s">
        <v>74</v>
      </c>
    </row>
    <row r="19124" spans="9:9" x14ac:dyDescent="0.2">
      <c r="I19124" s="137" t="s">
        <v>74</v>
      </c>
    </row>
    <row r="19125" spans="9:9" x14ac:dyDescent="0.2">
      <c r="I19125" s="137" t="s">
        <v>74</v>
      </c>
    </row>
    <row r="19126" spans="9:9" x14ac:dyDescent="0.2">
      <c r="I19126" s="137" t="s">
        <v>74</v>
      </c>
    </row>
    <row r="19127" spans="9:9" x14ac:dyDescent="0.2">
      <c r="I19127" s="137" t="s">
        <v>74</v>
      </c>
    </row>
    <row r="19128" spans="9:9" x14ac:dyDescent="0.2">
      <c r="I19128" s="137" t="s">
        <v>74</v>
      </c>
    </row>
    <row r="19129" spans="9:9" x14ac:dyDescent="0.2">
      <c r="I19129" s="137" t="s">
        <v>74</v>
      </c>
    </row>
    <row r="19130" spans="9:9" x14ac:dyDescent="0.2">
      <c r="I19130" s="137" t="s">
        <v>74</v>
      </c>
    </row>
    <row r="19131" spans="9:9" x14ac:dyDescent="0.2">
      <c r="I19131" s="137" t="s">
        <v>74</v>
      </c>
    </row>
    <row r="19132" spans="9:9" x14ac:dyDescent="0.2">
      <c r="I19132" s="137" t="s">
        <v>74</v>
      </c>
    </row>
    <row r="19133" spans="9:9" x14ac:dyDescent="0.2">
      <c r="I19133" s="137" t="s">
        <v>74</v>
      </c>
    </row>
    <row r="19134" spans="9:9" x14ac:dyDescent="0.2">
      <c r="I19134" s="137" t="s">
        <v>74</v>
      </c>
    </row>
    <row r="19135" spans="9:9" x14ac:dyDescent="0.2">
      <c r="I19135" s="137" t="s">
        <v>74</v>
      </c>
    </row>
    <row r="19136" spans="9:9" x14ac:dyDescent="0.2">
      <c r="I19136" s="137" t="s">
        <v>74</v>
      </c>
    </row>
    <row r="19137" spans="9:9" x14ac:dyDescent="0.2">
      <c r="I19137" s="137" t="s">
        <v>74</v>
      </c>
    </row>
    <row r="19138" spans="9:9" x14ac:dyDescent="0.2">
      <c r="I19138" s="137" t="s">
        <v>74</v>
      </c>
    </row>
    <row r="19139" spans="9:9" x14ac:dyDescent="0.2">
      <c r="I19139" s="137" t="s">
        <v>74</v>
      </c>
    </row>
    <row r="19140" spans="9:9" x14ac:dyDescent="0.2">
      <c r="I19140" s="137" t="s">
        <v>74</v>
      </c>
    </row>
    <row r="19141" spans="9:9" x14ac:dyDescent="0.2">
      <c r="I19141" s="137" t="s">
        <v>74</v>
      </c>
    </row>
    <row r="19142" spans="9:9" x14ac:dyDescent="0.2">
      <c r="I19142" s="137" t="s">
        <v>74</v>
      </c>
    </row>
    <row r="19143" spans="9:9" x14ac:dyDescent="0.2">
      <c r="I19143" s="137" t="s">
        <v>74</v>
      </c>
    </row>
    <row r="19144" spans="9:9" x14ac:dyDescent="0.2">
      <c r="I19144" s="137" t="s">
        <v>74</v>
      </c>
    </row>
    <row r="19145" spans="9:9" x14ac:dyDescent="0.2">
      <c r="I19145" s="137" t="s">
        <v>74</v>
      </c>
    </row>
    <row r="19146" spans="9:9" x14ac:dyDescent="0.2">
      <c r="I19146" s="137" t="s">
        <v>74</v>
      </c>
    </row>
    <row r="19147" spans="9:9" x14ac:dyDescent="0.2">
      <c r="I19147" s="137" t="s">
        <v>74</v>
      </c>
    </row>
    <row r="19148" spans="9:9" x14ac:dyDescent="0.2">
      <c r="I19148" s="137" t="s">
        <v>74</v>
      </c>
    </row>
    <row r="19149" spans="9:9" x14ac:dyDescent="0.2">
      <c r="I19149" s="137" t="s">
        <v>74</v>
      </c>
    </row>
    <row r="19150" spans="9:9" x14ac:dyDescent="0.2">
      <c r="I19150" s="137" t="s">
        <v>74</v>
      </c>
    </row>
    <row r="19151" spans="9:9" x14ac:dyDescent="0.2">
      <c r="I19151" s="137" t="s">
        <v>74</v>
      </c>
    </row>
    <row r="19152" spans="9:9" x14ac:dyDescent="0.2">
      <c r="I19152" s="137" t="s">
        <v>74</v>
      </c>
    </row>
    <row r="19153" spans="9:9" x14ac:dyDescent="0.2">
      <c r="I19153" s="137" t="s">
        <v>74</v>
      </c>
    </row>
    <row r="19154" spans="9:9" x14ac:dyDescent="0.2">
      <c r="I19154" s="137" t="s">
        <v>74</v>
      </c>
    </row>
    <row r="19155" spans="9:9" x14ac:dyDescent="0.2">
      <c r="I19155" s="137" t="s">
        <v>74</v>
      </c>
    </row>
    <row r="19156" spans="9:9" x14ac:dyDescent="0.2">
      <c r="I19156" s="137" t="s">
        <v>74</v>
      </c>
    </row>
    <row r="19157" spans="9:9" x14ac:dyDescent="0.2">
      <c r="I19157" s="137" t="s">
        <v>74</v>
      </c>
    </row>
    <row r="19158" spans="9:9" x14ac:dyDescent="0.2">
      <c r="I19158" s="137" t="s">
        <v>74</v>
      </c>
    </row>
    <row r="19159" spans="9:9" x14ac:dyDescent="0.2">
      <c r="I19159" s="137" t="s">
        <v>74</v>
      </c>
    </row>
    <row r="19160" spans="9:9" x14ac:dyDescent="0.2">
      <c r="I19160" s="137" t="s">
        <v>74</v>
      </c>
    </row>
    <row r="19161" spans="9:9" x14ac:dyDescent="0.2">
      <c r="I19161" s="137" t="s">
        <v>74</v>
      </c>
    </row>
    <row r="19162" spans="9:9" x14ac:dyDescent="0.2">
      <c r="I19162" s="137" t="s">
        <v>74</v>
      </c>
    </row>
    <row r="19163" spans="9:9" x14ac:dyDescent="0.2">
      <c r="I19163" s="137" t="s">
        <v>74</v>
      </c>
    </row>
    <row r="19164" spans="9:9" x14ac:dyDescent="0.2">
      <c r="I19164" s="137" t="s">
        <v>74</v>
      </c>
    </row>
    <row r="19165" spans="9:9" x14ac:dyDescent="0.2">
      <c r="I19165" s="137" t="s">
        <v>74</v>
      </c>
    </row>
    <row r="19166" spans="9:9" x14ac:dyDescent="0.2">
      <c r="I19166" s="137" t="s">
        <v>74</v>
      </c>
    </row>
    <row r="19167" spans="9:9" x14ac:dyDescent="0.2">
      <c r="I19167" s="137" t="s">
        <v>74</v>
      </c>
    </row>
    <row r="19168" spans="9:9" x14ac:dyDescent="0.2">
      <c r="I19168" s="137" t="s">
        <v>74</v>
      </c>
    </row>
    <row r="19169" spans="9:9" x14ac:dyDescent="0.2">
      <c r="I19169" s="137" t="s">
        <v>74</v>
      </c>
    </row>
    <row r="19170" spans="9:9" x14ac:dyDescent="0.2">
      <c r="I19170" s="137" t="s">
        <v>74</v>
      </c>
    </row>
    <row r="19171" spans="9:9" x14ac:dyDescent="0.2">
      <c r="I19171" s="137" t="s">
        <v>74</v>
      </c>
    </row>
    <row r="19172" spans="9:9" x14ac:dyDescent="0.2">
      <c r="I19172" s="137" t="s">
        <v>74</v>
      </c>
    </row>
    <row r="19173" spans="9:9" x14ac:dyDescent="0.2">
      <c r="I19173" s="137" t="s">
        <v>74</v>
      </c>
    </row>
    <row r="19174" spans="9:9" x14ac:dyDescent="0.2">
      <c r="I19174" s="137" t="s">
        <v>74</v>
      </c>
    </row>
    <row r="19175" spans="9:9" x14ac:dyDescent="0.2">
      <c r="I19175" s="137" t="s">
        <v>74</v>
      </c>
    </row>
    <row r="19176" spans="9:9" x14ac:dyDescent="0.2">
      <c r="I19176" s="137" t="s">
        <v>74</v>
      </c>
    </row>
    <row r="19177" spans="9:9" x14ac:dyDescent="0.2">
      <c r="I19177" s="137" t="s">
        <v>74</v>
      </c>
    </row>
    <row r="19178" spans="9:9" x14ac:dyDescent="0.2">
      <c r="I19178" s="137" t="s">
        <v>74</v>
      </c>
    </row>
    <row r="19179" spans="9:9" x14ac:dyDescent="0.2">
      <c r="I19179" s="137" t="s">
        <v>74</v>
      </c>
    </row>
    <row r="19180" spans="9:9" x14ac:dyDescent="0.2">
      <c r="I19180" s="137" t="s">
        <v>74</v>
      </c>
    </row>
    <row r="19181" spans="9:9" x14ac:dyDescent="0.2">
      <c r="I19181" s="137" t="s">
        <v>74</v>
      </c>
    </row>
    <row r="19182" spans="9:9" x14ac:dyDescent="0.2">
      <c r="I19182" s="137" t="s">
        <v>74</v>
      </c>
    </row>
    <row r="19183" spans="9:9" x14ac:dyDescent="0.2">
      <c r="I19183" s="137" t="s">
        <v>74</v>
      </c>
    </row>
    <row r="19184" spans="9:9" x14ac:dyDescent="0.2">
      <c r="I19184" s="137" t="s">
        <v>74</v>
      </c>
    </row>
    <row r="19185" spans="9:9" x14ac:dyDescent="0.2">
      <c r="I19185" s="137" t="s">
        <v>74</v>
      </c>
    </row>
    <row r="19186" spans="9:9" x14ac:dyDescent="0.2">
      <c r="I19186" s="137" t="s">
        <v>74</v>
      </c>
    </row>
    <row r="19187" spans="9:9" x14ac:dyDescent="0.2">
      <c r="I19187" s="137" t="s">
        <v>74</v>
      </c>
    </row>
    <row r="19188" spans="9:9" x14ac:dyDescent="0.2">
      <c r="I19188" s="137" t="s">
        <v>74</v>
      </c>
    </row>
    <row r="19189" spans="9:9" x14ac:dyDescent="0.2">
      <c r="I19189" s="137" t="s">
        <v>74</v>
      </c>
    </row>
    <row r="19190" spans="9:9" x14ac:dyDescent="0.2">
      <c r="I19190" s="137" t="s">
        <v>74</v>
      </c>
    </row>
    <row r="19191" spans="9:9" x14ac:dyDescent="0.2">
      <c r="I19191" s="137" t="s">
        <v>74</v>
      </c>
    </row>
    <row r="19192" spans="9:9" x14ac:dyDescent="0.2">
      <c r="I19192" s="137" t="s">
        <v>74</v>
      </c>
    </row>
    <row r="19193" spans="9:9" x14ac:dyDescent="0.2">
      <c r="I19193" s="137" t="s">
        <v>74</v>
      </c>
    </row>
    <row r="19194" spans="9:9" x14ac:dyDescent="0.2">
      <c r="I19194" s="137" t="s">
        <v>74</v>
      </c>
    </row>
    <row r="19195" spans="9:9" x14ac:dyDescent="0.2">
      <c r="I19195" s="137" t="s">
        <v>74</v>
      </c>
    </row>
    <row r="19196" spans="9:9" x14ac:dyDescent="0.2">
      <c r="I19196" s="137" t="s">
        <v>74</v>
      </c>
    </row>
    <row r="19197" spans="9:9" x14ac:dyDescent="0.2">
      <c r="I19197" s="137" t="s">
        <v>74</v>
      </c>
    </row>
    <row r="19198" spans="9:9" x14ac:dyDescent="0.2">
      <c r="I19198" s="137" t="s">
        <v>74</v>
      </c>
    </row>
    <row r="19199" spans="9:9" x14ac:dyDescent="0.2">
      <c r="I19199" s="137" t="s">
        <v>74</v>
      </c>
    </row>
    <row r="19200" spans="9:9" x14ac:dyDescent="0.2">
      <c r="I19200" s="137" t="s">
        <v>74</v>
      </c>
    </row>
    <row r="19201" spans="9:9" x14ac:dyDescent="0.2">
      <c r="I19201" s="137" t="s">
        <v>74</v>
      </c>
    </row>
    <row r="19202" spans="9:9" x14ac:dyDescent="0.2">
      <c r="I19202" s="137" t="s">
        <v>74</v>
      </c>
    </row>
    <row r="19203" spans="9:9" x14ac:dyDescent="0.2">
      <c r="I19203" s="137" t="s">
        <v>74</v>
      </c>
    </row>
    <row r="19204" spans="9:9" x14ac:dyDescent="0.2">
      <c r="I19204" s="137" t="s">
        <v>74</v>
      </c>
    </row>
    <row r="19205" spans="9:9" x14ac:dyDescent="0.2">
      <c r="I19205" s="137" t="s">
        <v>74</v>
      </c>
    </row>
    <row r="19206" spans="9:9" x14ac:dyDescent="0.2">
      <c r="I19206" s="137" t="s">
        <v>74</v>
      </c>
    </row>
    <row r="19207" spans="9:9" x14ac:dyDescent="0.2">
      <c r="I19207" s="137" t="s">
        <v>74</v>
      </c>
    </row>
    <row r="19208" spans="9:9" x14ac:dyDescent="0.2">
      <c r="I19208" s="137" t="s">
        <v>74</v>
      </c>
    </row>
    <row r="19209" spans="9:9" x14ac:dyDescent="0.2">
      <c r="I19209" s="137" t="s">
        <v>74</v>
      </c>
    </row>
    <row r="19210" spans="9:9" x14ac:dyDescent="0.2">
      <c r="I19210" s="137" t="s">
        <v>74</v>
      </c>
    </row>
    <row r="19211" spans="9:9" x14ac:dyDescent="0.2">
      <c r="I19211" s="137" t="s">
        <v>74</v>
      </c>
    </row>
    <row r="19212" spans="9:9" x14ac:dyDescent="0.2">
      <c r="I19212" s="137" t="s">
        <v>74</v>
      </c>
    </row>
    <row r="19213" spans="9:9" x14ac:dyDescent="0.2">
      <c r="I19213" s="137" t="s">
        <v>74</v>
      </c>
    </row>
    <row r="19214" spans="9:9" x14ac:dyDescent="0.2">
      <c r="I19214" s="137" t="s">
        <v>74</v>
      </c>
    </row>
    <row r="19215" spans="9:9" x14ac:dyDescent="0.2">
      <c r="I19215" s="137" t="s">
        <v>74</v>
      </c>
    </row>
    <row r="19216" spans="9:9" x14ac:dyDescent="0.2">
      <c r="I19216" s="137" t="s">
        <v>74</v>
      </c>
    </row>
    <row r="19217" spans="9:9" x14ac:dyDescent="0.2">
      <c r="I19217" s="137" t="s">
        <v>74</v>
      </c>
    </row>
    <row r="19218" spans="9:9" x14ac:dyDescent="0.2">
      <c r="I19218" s="137" t="s">
        <v>74</v>
      </c>
    </row>
    <row r="19219" spans="9:9" x14ac:dyDescent="0.2">
      <c r="I19219" s="137" t="s">
        <v>74</v>
      </c>
    </row>
    <row r="19220" spans="9:9" x14ac:dyDescent="0.2">
      <c r="I19220" s="137" t="s">
        <v>74</v>
      </c>
    </row>
    <row r="19221" spans="9:9" x14ac:dyDescent="0.2">
      <c r="I19221" s="137" t="s">
        <v>74</v>
      </c>
    </row>
    <row r="19222" spans="9:9" x14ac:dyDescent="0.2">
      <c r="I19222" s="137" t="s">
        <v>74</v>
      </c>
    </row>
    <row r="19223" spans="9:9" x14ac:dyDescent="0.2">
      <c r="I19223" s="137" t="s">
        <v>74</v>
      </c>
    </row>
    <row r="19224" spans="9:9" x14ac:dyDescent="0.2">
      <c r="I19224" s="137" t="s">
        <v>74</v>
      </c>
    </row>
    <row r="19225" spans="9:9" x14ac:dyDescent="0.2">
      <c r="I19225" s="137" t="s">
        <v>74</v>
      </c>
    </row>
    <row r="19226" spans="9:9" x14ac:dyDescent="0.2">
      <c r="I19226" s="137" t="s">
        <v>74</v>
      </c>
    </row>
    <row r="19227" spans="9:9" x14ac:dyDescent="0.2">
      <c r="I19227" s="137" t="s">
        <v>74</v>
      </c>
    </row>
    <row r="19228" spans="9:9" x14ac:dyDescent="0.2">
      <c r="I19228" s="137" t="s">
        <v>74</v>
      </c>
    </row>
    <row r="19229" spans="9:9" x14ac:dyDescent="0.2">
      <c r="I19229" s="137" t="s">
        <v>74</v>
      </c>
    </row>
    <row r="19230" spans="9:9" x14ac:dyDescent="0.2">
      <c r="I19230" s="137" t="s">
        <v>74</v>
      </c>
    </row>
    <row r="19231" spans="9:9" x14ac:dyDescent="0.2">
      <c r="I19231" s="137" t="s">
        <v>74</v>
      </c>
    </row>
    <row r="19232" spans="9:9" x14ac:dyDescent="0.2">
      <c r="I19232" s="137" t="s">
        <v>74</v>
      </c>
    </row>
    <row r="19233" spans="9:9" x14ac:dyDescent="0.2">
      <c r="I19233" s="137" t="s">
        <v>74</v>
      </c>
    </row>
    <row r="19234" spans="9:9" x14ac:dyDescent="0.2">
      <c r="I19234" s="137" t="s">
        <v>74</v>
      </c>
    </row>
    <row r="19235" spans="9:9" x14ac:dyDescent="0.2">
      <c r="I19235" s="137" t="s">
        <v>74</v>
      </c>
    </row>
    <row r="19236" spans="9:9" x14ac:dyDescent="0.2">
      <c r="I19236" s="137" t="s">
        <v>74</v>
      </c>
    </row>
    <row r="19237" spans="9:9" x14ac:dyDescent="0.2">
      <c r="I19237" s="137" t="s">
        <v>74</v>
      </c>
    </row>
    <row r="19238" spans="9:9" x14ac:dyDescent="0.2">
      <c r="I19238" s="137" t="s">
        <v>74</v>
      </c>
    </row>
    <row r="19239" spans="9:9" x14ac:dyDescent="0.2">
      <c r="I19239" s="137" t="s">
        <v>74</v>
      </c>
    </row>
    <row r="19240" spans="9:9" x14ac:dyDescent="0.2">
      <c r="I19240" s="137" t="s">
        <v>74</v>
      </c>
    </row>
    <row r="19241" spans="9:9" x14ac:dyDescent="0.2">
      <c r="I19241" s="137" t="s">
        <v>74</v>
      </c>
    </row>
    <row r="19242" spans="9:9" x14ac:dyDescent="0.2">
      <c r="I19242" s="137" t="s">
        <v>74</v>
      </c>
    </row>
    <row r="19243" spans="9:9" x14ac:dyDescent="0.2">
      <c r="I19243" s="137" t="s">
        <v>74</v>
      </c>
    </row>
    <row r="19244" spans="9:9" x14ac:dyDescent="0.2">
      <c r="I19244" s="137" t="s">
        <v>74</v>
      </c>
    </row>
    <row r="19245" spans="9:9" x14ac:dyDescent="0.2">
      <c r="I19245" s="137" t="s">
        <v>74</v>
      </c>
    </row>
    <row r="19246" spans="9:9" x14ac:dyDescent="0.2">
      <c r="I19246" s="137" t="s">
        <v>74</v>
      </c>
    </row>
    <row r="19247" spans="9:9" x14ac:dyDescent="0.2">
      <c r="I19247" s="137" t="s">
        <v>74</v>
      </c>
    </row>
    <row r="19248" spans="9:9" x14ac:dyDescent="0.2">
      <c r="I19248" s="137" t="s">
        <v>74</v>
      </c>
    </row>
    <row r="19249" spans="9:9" x14ac:dyDescent="0.2">
      <c r="I19249" s="137" t="s">
        <v>74</v>
      </c>
    </row>
    <row r="19250" spans="9:9" x14ac:dyDescent="0.2">
      <c r="I19250" s="137" t="s">
        <v>74</v>
      </c>
    </row>
    <row r="19251" spans="9:9" x14ac:dyDescent="0.2">
      <c r="I19251" s="137" t="s">
        <v>74</v>
      </c>
    </row>
    <row r="19252" spans="9:9" x14ac:dyDescent="0.2">
      <c r="I19252" s="137" t="s">
        <v>74</v>
      </c>
    </row>
    <row r="19253" spans="9:9" x14ac:dyDescent="0.2">
      <c r="I19253" s="137" t="s">
        <v>74</v>
      </c>
    </row>
    <row r="19254" spans="9:9" x14ac:dyDescent="0.2">
      <c r="I19254" s="137" t="s">
        <v>74</v>
      </c>
    </row>
    <row r="19255" spans="9:9" x14ac:dyDescent="0.2">
      <c r="I19255" s="137" t="s">
        <v>74</v>
      </c>
    </row>
    <row r="19256" spans="9:9" x14ac:dyDescent="0.2">
      <c r="I19256" s="137" t="s">
        <v>74</v>
      </c>
    </row>
    <row r="19257" spans="9:9" x14ac:dyDescent="0.2">
      <c r="I19257" s="137" t="s">
        <v>74</v>
      </c>
    </row>
    <row r="19258" spans="9:9" x14ac:dyDescent="0.2">
      <c r="I19258" s="137" t="s">
        <v>74</v>
      </c>
    </row>
    <row r="19259" spans="9:9" x14ac:dyDescent="0.2">
      <c r="I19259" s="137" t="s">
        <v>74</v>
      </c>
    </row>
    <row r="19260" spans="9:9" x14ac:dyDescent="0.2">
      <c r="I19260" s="137" t="s">
        <v>74</v>
      </c>
    </row>
    <row r="19261" spans="9:9" x14ac:dyDescent="0.2">
      <c r="I19261" s="137" t="s">
        <v>74</v>
      </c>
    </row>
    <row r="19262" spans="9:9" x14ac:dyDescent="0.2">
      <c r="I19262" s="137" t="s">
        <v>74</v>
      </c>
    </row>
    <row r="19263" spans="9:9" x14ac:dyDescent="0.2">
      <c r="I19263" s="137" t="s">
        <v>74</v>
      </c>
    </row>
    <row r="19264" spans="9:9" x14ac:dyDescent="0.2">
      <c r="I19264" s="137" t="s">
        <v>74</v>
      </c>
    </row>
    <row r="19265" spans="9:9" x14ac:dyDescent="0.2">
      <c r="I19265" s="137" t="s">
        <v>74</v>
      </c>
    </row>
    <row r="19266" spans="9:9" x14ac:dyDescent="0.2">
      <c r="I19266" s="137" t="s">
        <v>74</v>
      </c>
    </row>
    <row r="19267" spans="9:9" x14ac:dyDescent="0.2">
      <c r="I19267" s="137" t="s">
        <v>74</v>
      </c>
    </row>
    <row r="19268" spans="9:9" x14ac:dyDescent="0.2">
      <c r="I19268" s="137" t="s">
        <v>74</v>
      </c>
    </row>
    <row r="19269" spans="9:9" x14ac:dyDescent="0.2">
      <c r="I19269" s="137" t="s">
        <v>74</v>
      </c>
    </row>
    <row r="19270" spans="9:9" x14ac:dyDescent="0.2">
      <c r="I19270" s="137" t="s">
        <v>74</v>
      </c>
    </row>
    <row r="19271" spans="9:9" x14ac:dyDescent="0.2">
      <c r="I19271" s="137" t="s">
        <v>74</v>
      </c>
    </row>
    <row r="19272" spans="9:9" x14ac:dyDescent="0.2">
      <c r="I19272" s="137" t="s">
        <v>74</v>
      </c>
    </row>
    <row r="19273" spans="9:9" x14ac:dyDescent="0.2">
      <c r="I19273" s="137" t="s">
        <v>74</v>
      </c>
    </row>
    <row r="19274" spans="9:9" x14ac:dyDescent="0.2">
      <c r="I19274" s="137" t="s">
        <v>74</v>
      </c>
    </row>
    <row r="19275" spans="9:9" x14ac:dyDescent="0.2">
      <c r="I19275" s="137" t="s">
        <v>74</v>
      </c>
    </row>
    <row r="19276" spans="9:9" x14ac:dyDescent="0.2">
      <c r="I19276" s="137" t="s">
        <v>74</v>
      </c>
    </row>
    <row r="19277" spans="9:9" x14ac:dyDescent="0.2">
      <c r="I19277" s="137" t="s">
        <v>74</v>
      </c>
    </row>
    <row r="19278" spans="9:9" x14ac:dyDescent="0.2">
      <c r="I19278" s="137" t="s">
        <v>74</v>
      </c>
    </row>
    <row r="19279" spans="9:9" x14ac:dyDescent="0.2">
      <c r="I19279" s="137" t="s">
        <v>74</v>
      </c>
    </row>
    <row r="19280" spans="9:9" x14ac:dyDescent="0.2">
      <c r="I19280" s="137" t="s">
        <v>74</v>
      </c>
    </row>
    <row r="19281" spans="9:9" x14ac:dyDescent="0.2">
      <c r="I19281" s="137" t="s">
        <v>74</v>
      </c>
    </row>
    <row r="19282" spans="9:9" x14ac:dyDescent="0.2">
      <c r="I19282" s="137" t="s">
        <v>74</v>
      </c>
    </row>
    <row r="19283" spans="9:9" x14ac:dyDescent="0.2">
      <c r="I19283" s="137" t="s">
        <v>74</v>
      </c>
    </row>
    <row r="19284" spans="9:9" x14ac:dyDescent="0.2">
      <c r="I19284" s="137" t="s">
        <v>74</v>
      </c>
    </row>
    <row r="19285" spans="9:9" x14ac:dyDescent="0.2">
      <c r="I19285" s="137" t="s">
        <v>74</v>
      </c>
    </row>
    <row r="19286" spans="9:9" x14ac:dyDescent="0.2">
      <c r="I19286" s="137" t="s">
        <v>74</v>
      </c>
    </row>
    <row r="19287" spans="9:9" x14ac:dyDescent="0.2">
      <c r="I19287" s="137" t="s">
        <v>74</v>
      </c>
    </row>
    <row r="19288" spans="9:9" x14ac:dyDescent="0.2">
      <c r="I19288" s="137" t="s">
        <v>74</v>
      </c>
    </row>
    <row r="19289" spans="9:9" x14ac:dyDescent="0.2">
      <c r="I19289" s="137" t="s">
        <v>74</v>
      </c>
    </row>
    <row r="19290" spans="9:9" x14ac:dyDescent="0.2">
      <c r="I19290" s="137" t="s">
        <v>74</v>
      </c>
    </row>
    <row r="19291" spans="9:9" x14ac:dyDescent="0.2">
      <c r="I19291" s="137" t="s">
        <v>74</v>
      </c>
    </row>
    <row r="19292" spans="9:9" x14ac:dyDescent="0.2">
      <c r="I19292" s="137" t="s">
        <v>74</v>
      </c>
    </row>
    <row r="19293" spans="9:9" x14ac:dyDescent="0.2">
      <c r="I19293" s="137" t="s">
        <v>74</v>
      </c>
    </row>
    <row r="19294" spans="9:9" x14ac:dyDescent="0.2">
      <c r="I19294" s="137" t="s">
        <v>74</v>
      </c>
    </row>
    <row r="19295" spans="9:9" x14ac:dyDescent="0.2">
      <c r="I19295" s="137" t="s">
        <v>74</v>
      </c>
    </row>
    <row r="19296" spans="9:9" x14ac:dyDescent="0.2">
      <c r="I19296" s="137" t="s">
        <v>74</v>
      </c>
    </row>
    <row r="19297" spans="9:9" x14ac:dyDescent="0.2">
      <c r="I19297" s="137" t="s">
        <v>74</v>
      </c>
    </row>
    <row r="19298" spans="9:9" x14ac:dyDescent="0.2">
      <c r="I19298" s="137" t="s">
        <v>74</v>
      </c>
    </row>
    <row r="19299" spans="9:9" x14ac:dyDescent="0.2">
      <c r="I19299" s="137" t="s">
        <v>74</v>
      </c>
    </row>
    <row r="19300" spans="9:9" x14ac:dyDescent="0.2">
      <c r="I19300" s="137" t="s">
        <v>74</v>
      </c>
    </row>
    <row r="19301" spans="9:9" x14ac:dyDescent="0.2">
      <c r="I19301" s="137" t="s">
        <v>74</v>
      </c>
    </row>
    <row r="19302" spans="9:9" x14ac:dyDescent="0.2">
      <c r="I19302" s="137" t="s">
        <v>74</v>
      </c>
    </row>
    <row r="19303" spans="9:9" x14ac:dyDescent="0.2">
      <c r="I19303" s="137" t="s">
        <v>74</v>
      </c>
    </row>
    <row r="19304" spans="9:9" x14ac:dyDescent="0.2">
      <c r="I19304" s="137" t="s">
        <v>74</v>
      </c>
    </row>
    <row r="19305" spans="9:9" x14ac:dyDescent="0.2">
      <c r="I19305" s="137" t="s">
        <v>74</v>
      </c>
    </row>
    <row r="19306" spans="9:9" x14ac:dyDescent="0.2">
      <c r="I19306" s="137" t="s">
        <v>74</v>
      </c>
    </row>
    <row r="19307" spans="9:9" x14ac:dyDescent="0.2">
      <c r="I19307" s="137" t="s">
        <v>74</v>
      </c>
    </row>
    <row r="19308" spans="9:9" x14ac:dyDescent="0.2">
      <c r="I19308" s="137" t="s">
        <v>74</v>
      </c>
    </row>
    <row r="19309" spans="9:9" x14ac:dyDescent="0.2">
      <c r="I19309" s="137" t="s">
        <v>74</v>
      </c>
    </row>
    <row r="19310" spans="9:9" x14ac:dyDescent="0.2">
      <c r="I19310" s="137" t="s">
        <v>74</v>
      </c>
    </row>
    <row r="19311" spans="9:9" x14ac:dyDescent="0.2">
      <c r="I19311" s="137" t="s">
        <v>74</v>
      </c>
    </row>
    <row r="19312" spans="9:9" x14ac:dyDescent="0.2">
      <c r="I19312" s="137" t="s">
        <v>74</v>
      </c>
    </row>
    <row r="19313" spans="9:9" x14ac:dyDescent="0.2">
      <c r="I19313" s="137" t="s">
        <v>74</v>
      </c>
    </row>
    <row r="19314" spans="9:9" x14ac:dyDescent="0.2">
      <c r="I19314" s="137" t="s">
        <v>74</v>
      </c>
    </row>
    <row r="19315" spans="9:9" x14ac:dyDescent="0.2">
      <c r="I19315" s="137" t="s">
        <v>74</v>
      </c>
    </row>
    <row r="19316" spans="9:9" x14ac:dyDescent="0.2">
      <c r="I19316" s="137" t="s">
        <v>74</v>
      </c>
    </row>
    <row r="19317" spans="9:9" x14ac:dyDescent="0.2">
      <c r="I19317" s="137" t="s">
        <v>74</v>
      </c>
    </row>
    <row r="19318" spans="9:9" x14ac:dyDescent="0.2">
      <c r="I19318" s="137" t="s">
        <v>74</v>
      </c>
    </row>
    <row r="19319" spans="9:9" x14ac:dyDescent="0.2">
      <c r="I19319" s="137" t="s">
        <v>74</v>
      </c>
    </row>
    <row r="19320" spans="9:9" x14ac:dyDescent="0.2">
      <c r="I19320" s="137" t="s">
        <v>74</v>
      </c>
    </row>
    <row r="19321" spans="9:9" x14ac:dyDescent="0.2">
      <c r="I19321" s="137" t="s">
        <v>74</v>
      </c>
    </row>
    <row r="19322" spans="9:9" x14ac:dyDescent="0.2">
      <c r="I19322" s="137" t="s">
        <v>74</v>
      </c>
    </row>
    <row r="19323" spans="9:9" x14ac:dyDescent="0.2">
      <c r="I19323" s="137" t="s">
        <v>74</v>
      </c>
    </row>
    <row r="19324" spans="9:9" x14ac:dyDescent="0.2">
      <c r="I19324" s="137" t="s">
        <v>74</v>
      </c>
    </row>
    <row r="19325" spans="9:9" x14ac:dyDescent="0.2">
      <c r="I19325" s="137" t="s">
        <v>74</v>
      </c>
    </row>
    <row r="19326" spans="9:9" x14ac:dyDescent="0.2">
      <c r="I19326" s="137" t="s">
        <v>74</v>
      </c>
    </row>
    <row r="19327" spans="9:9" x14ac:dyDescent="0.2">
      <c r="I19327" s="137" t="s">
        <v>74</v>
      </c>
    </row>
    <row r="19328" spans="9:9" x14ac:dyDescent="0.2">
      <c r="I19328" s="137" t="s">
        <v>74</v>
      </c>
    </row>
    <row r="19329" spans="9:9" x14ac:dyDescent="0.2">
      <c r="I19329" s="137" t="s">
        <v>74</v>
      </c>
    </row>
    <row r="19330" spans="9:9" x14ac:dyDescent="0.2">
      <c r="I19330" s="137" t="s">
        <v>74</v>
      </c>
    </row>
    <row r="19331" spans="9:9" x14ac:dyDescent="0.2">
      <c r="I19331" s="137" t="s">
        <v>74</v>
      </c>
    </row>
    <row r="19332" spans="9:9" x14ac:dyDescent="0.2">
      <c r="I19332" s="137" t="s">
        <v>74</v>
      </c>
    </row>
    <row r="19333" spans="9:9" x14ac:dyDescent="0.2">
      <c r="I19333" s="137" t="s">
        <v>74</v>
      </c>
    </row>
    <row r="19334" spans="9:9" x14ac:dyDescent="0.2">
      <c r="I19334" s="137" t="s">
        <v>74</v>
      </c>
    </row>
    <row r="19335" spans="9:9" x14ac:dyDescent="0.2">
      <c r="I19335" s="137" t="s">
        <v>74</v>
      </c>
    </row>
    <row r="19336" spans="9:9" x14ac:dyDescent="0.2">
      <c r="I19336" s="137" t="s">
        <v>74</v>
      </c>
    </row>
    <row r="19337" spans="9:9" x14ac:dyDescent="0.2">
      <c r="I19337" s="137" t="s">
        <v>74</v>
      </c>
    </row>
    <row r="19338" spans="9:9" x14ac:dyDescent="0.2">
      <c r="I19338" s="137" t="s">
        <v>74</v>
      </c>
    </row>
    <row r="19339" spans="9:9" x14ac:dyDescent="0.2">
      <c r="I19339" s="137" t="s">
        <v>74</v>
      </c>
    </row>
    <row r="19340" spans="9:9" x14ac:dyDescent="0.2">
      <c r="I19340" s="137" t="s">
        <v>74</v>
      </c>
    </row>
    <row r="19341" spans="9:9" x14ac:dyDescent="0.2">
      <c r="I19341" s="137" t="s">
        <v>74</v>
      </c>
    </row>
    <row r="19342" spans="9:9" x14ac:dyDescent="0.2">
      <c r="I19342" s="137" t="s">
        <v>74</v>
      </c>
    </row>
    <row r="19343" spans="9:9" x14ac:dyDescent="0.2">
      <c r="I19343" s="137" t="s">
        <v>74</v>
      </c>
    </row>
    <row r="19344" spans="9:9" x14ac:dyDescent="0.2">
      <c r="I19344" s="137" t="s">
        <v>74</v>
      </c>
    </row>
    <row r="19345" spans="9:9" x14ac:dyDescent="0.2">
      <c r="I19345" s="137" t="s">
        <v>74</v>
      </c>
    </row>
    <row r="19346" spans="9:9" x14ac:dyDescent="0.2">
      <c r="I19346" s="137" t="s">
        <v>74</v>
      </c>
    </row>
    <row r="19347" spans="9:9" x14ac:dyDescent="0.2">
      <c r="I19347" s="137" t="s">
        <v>74</v>
      </c>
    </row>
    <row r="19348" spans="9:9" x14ac:dyDescent="0.2">
      <c r="I19348" s="137" t="s">
        <v>74</v>
      </c>
    </row>
    <row r="19349" spans="9:9" x14ac:dyDescent="0.2">
      <c r="I19349" s="137" t="s">
        <v>74</v>
      </c>
    </row>
    <row r="19350" spans="9:9" x14ac:dyDescent="0.2">
      <c r="I19350" s="137" t="s">
        <v>74</v>
      </c>
    </row>
    <row r="19351" spans="9:9" x14ac:dyDescent="0.2">
      <c r="I19351" s="137" t="s">
        <v>74</v>
      </c>
    </row>
    <row r="19352" spans="9:9" x14ac:dyDescent="0.2">
      <c r="I19352" s="137" t="s">
        <v>74</v>
      </c>
    </row>
    <row r="19353" spans="9:9" x14ac:dyDescent="0.2">
      <c r="I19353" s="137" t="s">
        <v>74</v>
      </c>
    </row>
    <row r="19354" spans="9:9" x14ac:dyDescent="0.2">
      <c r="I19354" s="137" t="s">
        <v>74</v>
      </c>
    </row>
    <row r="19355" spans="9:9" x14ac:dyDescent="0.2">
      <c r="I19355" s="137" t="s">
        <v>74</v>
      </c>
    </row>
    <row r="19356" spans="9:9" x14ac:dyDescent="0.2">
      <c r="I19356" s="137" t="s">
        <v>74</v>
      </c>
    </row>
    <row r="19357" spans="9:9" x14ac:dyDescent="0.2">
      <c r="I19357" s="137" t="s">
        <v>74</v>
      </c>
    </row>
    <row r="19358" spans="9:9" x14ac:dyDescent="0.2">
      <c r="I19358" s="137" t="s">
        <v>74</v>
      </c>
    </row>
    <row r="19359" spans="9:9" x14ac:dyDescent="0.2">
      <c r="I19359" s="137" t="s">
        <v>74</v>
      </c>
    </row>
    <row r="19360" spans="9:9" x14ac:dyDescent="0.2">
      <c r="I19360" s="137" t="s">
        <v>74</v>
      </c>
    </row>
    <row r="19361" spans="9:9" x14ac:dyDescent="0.2">
      <c r="I19361" s="137" t="s">
        <v>74</v>
      </c>
    </row>
    <row r="19362" spans="9:9" x14ac:dyDescent="0.2">
      <c r="I19362" s="137" t="s">
        <v>74</v>
      </c>
    </row>
    <row r="19363" spans="9:9" x14ac:dyDescent="0.2">
      <c r="I19363" s="137" t="s">
        <v>74</v>
      </c>
    </row>
    <row r="19364" spans="9:9" x14ac:dyDescent="0.2">
      <c r="I19364" s="137" t="s">
        <v>74</v>
      </c>
    </row>
    <row r="19365" spans="9:9" x14ac:dyDescent="0.2">
      <c r="I19365" s="137" t="s">
        <v>74</v>
      </c>
    </row>
    <row r="19366" spans="9:9" x14ac:dyDescent="0.2">
      <c r="I19366" s="137" t="s">
        <v>74</v>
      </c>
    </row>
    <row r="19367" spans="9:9" x14ac:dyDescent="0.2">
      <c r="I19367" s="137" t="s">
        <v>74</v>
      </c>
    </row>
    <row r="19368" spans="9:9" x14ac:dyDescent="0.2">
      <c r="I19368" s="137" t="s">
        <v>74</v>
      </c>
    </row>
    <row r="19369" spans="9:9" x14ac:dyDescent="0.2">
      <c r="I19369" s="137" t="s">
        <v>74</v>
      </c>
    </row>
    <row r="19370" spans="9:9" x14ac:dyDescent="0.2">
      <c r="I19370" s="137" t="s">
        <v>74</v>
      </c>
    </row>
    <row r="19371" spans="9:9" x14ac:dyDescent="0.2">
      <c r="I19371" s="137" t="s">
        <v>74</v>
      </c>
    </row>
    <row r="19372" spans="9:9" x14ac:dyDescent="0.2">
      <c r="I19372" s="137" t="s">
        <v>74</v>
      </c>
    </row>
    <row r="19373" spans="9:9" x14ac:dyDescent="0.2">
      <c r="I19373" s="137" t="s">
        <v>74</v>
      </c>
    </row>
    <row r="19374" spans="9:9" x14ac:dyDescent="0.2">
      <c r="I19374" s="137" t="s">
        <v>74</v>
      </c>
    </row>
    <row r="19375" spans="9:9" x14ac:dyDescent="0.2">
      <c r="I19375" s="137" t="s">
        <v>74</v>
      </c>
    </row>
    <row r="19376" spans="9:9" x14ac:dyDescent="0.2">
      <c r="I19376" s="137" t="s">
        <v>74</v>
      </c>
    </row>
    <row r="19377" spans="9:9" x14ac:dyDescent="0.2">
      <c r="I19377" s="137" t="s">
        <v>74</v>
      </c>
    </row>
    <row r="19378" spans="9:9" x14ac:dyDescent="0.2">
      <c r="I19378" s="137" t="s">
        <v>74</v>
      </c>
    </row>
    <row r="19379" spans="9:9" x14ac:dyDescent="0.2">
      <c r="I19379" s="137" t="s">
        <v>74</v>
      </c>
    </row>
    <row r="19380" spans="9:9" x14ac:dyDescent="0.2">
      <c r="I19380" s="137" t="s">
        <v>74</v>
      </c>
    </row>
    <row r="19381" spans="9:9" x14ac:dyDescent="0.2">
      <c r="I19381" s="137" t="s">
        <v>74</v>
      </c>
    </row>
    <row r="19382" spans="9:9" x14ac:dyDescent="0.2">
      <c r="I19382" s="137" t="s">
        <v>74</v>
      </c>
    </row>
    <row r="19383" spans="9:9" x14ac:dyDescent="0.2">
      <c r="I19383" s="137" t="s">
        <v>74</v>
      </c>
    </row>
    <row r="19384" spans="9:9" x14ac:dyDescent="0.2">
      <c r="I19384" s="137" t="s">
        <v>74</v>
      </c>
    </row>
    <row r="19385" spans="9:9" x14ac:dyDescent="0.2">
      <c r="I19385" s="137" t="s">
        <v>74</v>
      </c>
    </row>
    <row r="19386" spans="9:9" x14ac:dyDescent="0.2">
      <c r="I19386" s="137" t="s">
        <v>74</v>
      </c>
    </row>
    <row r="19387" spans="9:9" x14ac:dyDescent="0.2">
      <c r="I19387" s="137" t="s">
        <v>74</v>
      </c>
    </row>
    <row r="19388" spans="9:9" x14ac:dyDescent="0.2">
      <c r="I19388" s="137" t="s">
        <v>74</v>
      </c>
    </row>
    <row r="19389" spans="9:9" x14ac:dyDescent="0.2">
      <c r="I19389" s="137" t="s">
        <v>74</v>
      </c>
    </row>
    <row r="19390" spans="9:9" x14ac:dyDescent="0.2">
      <c r="I19390" s="137" t="s">
        <v>74</v>
      </c>
    </row>
    <row r="19391" spans="9:9" x14ac:dyDescent="0.2">
      <c r="I19391" s="137" t="s">
        <v>74</v>
      </c>
    </row>
    <row r="19392" spans="9:9" x14ac:dyDescent="0.2">
      <c r="I19392" s="137" t="s">
        <v>74</v>
      </c>
    </row>
    <row r="19393" spans="9:9" x14ac:dyDescent="0.2">
      <c r="I19393" s="137" t="s">
        <v>74</v>
      </c>
    </row>
    <row r="19394" spans="9:9" x14ac:dyDescent="0.2">
      <c r="I19394" s="137" t="s">
        <v>74</v>
      </c>
    </row>
    <row r="19395" spans="9:9" x14ac:dyDescent="0.2">
      <c r="I19395" s="137" t="s">
        <v>74</v>
      </c>
    </row>
    <row r="19396" spans="9:9" x14ac:dyDescent="0.2">
      <c r="I19396" s="137" t="s">
        <v>74</v>
      </c>
    </row>
    <row r="19397" spans="9:9" x14ac:dyDescent="0.2">
      <c r="I19397" s="137" t="s">
        <v>74</v>
      </c>
    </row>
    <row r="19398" spans="9:9" x14ac:dyDescent="0.2">
      <c r="I19398" s="137" t="s">
        <v>74</v>
      </c>
    </row>
    <row r="19399" spans="9:9" x14ac:dyDescent="0.2">
      <c r="I19399" s="137" t="s">
        <v>74</v>
      </c>
    </row>
    <row r="19400" spans="9:9" x14ac:dyDescent="0.2">
      <c r="I19400" s="137" t="s">
        <v>74</v>
      </c>
    </row>
    <row r="19401" spans="9:9" x14ac:dyDescent="0.2">
      <c r="I19401" s="137" t="s">
        <v>74</v>
      </c>
    </row>
    <row r="19402" spans="9:9" x14ac:dyDescent="0.2">
      <c r="I19402" s="137" t="s">
        <v>74</v>
      </c>
    </row>
    <row r="19403" spans="9:9" x14ac:dyDescent="0.2">
      <c r="I19403" s="137" t="s">
        <v>74</v>
      </c>
    </row>
    <row r="19404" spans="9:9" x14ac:dyDescent="0.2">
      <c r="I19404" s="137" t="s">
        <v>74</v>
      </c>
    </row>
    <row r="19405" spans="9:9" x14ac:dyDescent="0.2">
      <c r="I19405" s="137" t="s">
        <v>74</v>
      </c>
    </row>
    <row r="19406" spans="9:9" x14ac:dyDescent="0.2">
      <c r="I19406" s="137" t="s">
        <v>74</v>
      </c>
    </row>
    <row r="19407" spans="9:9" x14ac:dyDescent="0.2">
      <c r="I19407" s="137" t="s">
        <v>74</v>
      </c>
    </row>
    <row r="19408" spans="9:9" x14ac:dyDescent="0.2">
      <c r="I19408" s="137" t="s">
        <v>74</v>
      </c>
    </row>
    <row r="19409" spans="9:9" x14ac:dyDescent="0.2">
      <c r="I19409" s="137" t="s">
        <v>74</v>
      </c>
    </row>
    <row r="19410" spans="9:9" x14ac:dyDescent="0.2">
      <c r="I19410" s="137" t="s">
        <v>74</v>
      </c>
    </row>
    <row r="19411" spans="9:9" x14ac:dyDescent="0.2">
      <c r="I19411" s="137" t="s">
        <v>74</v>
      </c>
    </row>
    <row r="19412" spans="9:9" x14ac:dyDescent="0.2">
      <c r="I19412" s="137" t="s">
        <v>74</v>
      </c>
    </row>
    <row r="19413" spans="9:9" x14ac:dyDescent="0.2">
      <c r="I19413" s="137" t="s">
        <v>74</v>
      </c>
    </row>
    <row r="19414" spans="9:9" x14ac:dyDescent="0.2">
      <c r="I19414" s="137" t="s">
        <v>74</v>
      </c>
    </row>
    <row r="19415" spans="9:9" x14ac:dyDescent="0.2">
      <c r="I19415" s="137" t="s">
        <v>74</v>
      </c>
    </row>
    <row r="19416" spans="9:9" x14ac:dyDescent="0.2">
      <c r="I19416" s="137" t="s">
        <v>74</v>
      </c>
    </row>
    <row r="19417" spans="9:9" x14ac:dyDescent="0.2">
      <c r="I19417" s="137" t="s">
        <v>74</v>
      </c>
    </row>
    <row r="19418" spans="9:9" x14ac:dyDescent="0.2">
      <c r="I19418" s="137" t="s">
        <v>74</v>
      </c>
    </row>
    <row r="19419" spans="9:9" x14ac:dyDescent="0.2">
      <c r="I19419" s="137" t="s">
        <v>74</v>
      </c>
    </row>
    <row r="19420" spans="9:9" x14ac:dyDescent="0.2">
      <c r="I19420" s="137" t="s">
        <v>74</v>
      </c>
    </row>
    <row r="19421" spans="9:9" x14ac:dyDescent="0.2">
      <c r="I19421" s="137" t="s">
        <v>74</v>
      </c>
    </row>
    <row r="19422" spans="9:9" x14ac:dyDescent="0.2">
      <c r="I19422" s="137" t="s">
        <v>74</v>
      </c>
    </row>
    <row r="19423" spans="9:9" x14ac:dyDescent="0.2">
      <c r="I19423" s="137" t="s">
        <v>74</v>
      </c>
    </row>
    <row r="19424" spans="9:9" x14ac:dyDescent="0.2">
      <c r="I19424" s="137" t="s">
        <v>74</v>
      </c>
    </row>
    <row r="19425" spans="9:9" x14ac:dyDescent="0.2">
      <c r="I19425" s="137" t="s">
        <v>74</v>
      </c>
    </row>
    <row r="19426" spans="9:9" x14ac:dyDescent="0.2">
      <c r="I19426" s="137" t="s">
        <v>74</v>
      </c>
    </row>
    <row r="19427" spans="9:9" x14ac:dyDescent="0.2">
      <c r="I19427" s="137" t="s">
        <v>74</v>
      </c>
    </row>
    <row r="19428" spans="9:9" x14ac:dyDescent="0.2">
      <c r="I19428" s="137" t="s">
        <v>74</v>
      </c>
    </row>
    <row r="19429" spans="9:9" x14ac:dyDescent="0.2">
      <c r="I19429" s="137" t="s">
        <v>74</v>
      </c>
    </row>
    <row r="19430" spans="9:9" x14ac:dyDescent="0.2">
      <c r="I19430" s="137" t="s">
        <v>74</v>
      </c>
    </row>
    <row r="19431" spans="9:9" x14ac:dyDescent="0.2">
      <c r="I19431" s="137" t="s">
        <v>74</v>
      </c>
    </row>
    <row r="19432" spans="9:9" x14ac:dyDescent="0.2">
      <c r="I19432" s="137" t="s">
        <v>74</v>
      </c>
    </row>
    <row r="19433" spans="9:9" x14ac:dyDescent="0.2">
      <c r="I19433" s="137" t="s">
        <v>74</v>
      </c>
    </row>
    <row r="19434" spans="9:9" x14ac:dyDescent="0.2">
      <c r="I19434" s="137" t="s">
        <v>74</v>
      </c>
    </row>
    <row r="19435" spans="9:9" x14ac:dyDescent="0.2">
      <c r="I19435" s="137" t="s">
        <v>74</v>
      </c>
    </row>
    <row r="19436" spans="9:9" x14ac:dyDescent="0.2">
      <c r="I19436" s="137" t="s">
        <v>74</v>
      </c>
    </row>
    <row r="19437" spans="9:9" x14ac:dyDescent="0.2">
      <c r="I19437" s="137" t="s">
        <v>74</v>
      </c>
    </row>
    <row r="19438" spans="9:9" x14ac:dyDescent="0.2">
      <c r="I19438" s="137" t="s">
        <v>74</v>
      </c>
    </row>
    <row r="19439" spans="9:9" x14ac:dyDescent="0.2">
      <c r="I19439" s="137" t="s">
        <v>74</v>
      </c>
    </row>
    <row r="19440" spans="9:9" x14ac:dyDescent="0.2">
      <c r="I19440" s="137" t="s">
        <v>74</v>
      </c>
    </row>
    <row r="19441" spans="9:9" x14ac:dyDescent="0.2">
      <c r="I19441" s="137" t="s">
        <v>74</v>
      </c>
    </row>
    <row r="19442" spans="9:9" x14ac:dyDescent="0.2">
      <c r="I19442" s="137" t="s">
        <v>74</v>
      </c>
    </row>
    <row r="19443" spans="9:9" x14ac:dyDescent="0.2">
      <c r="I19443" s="137" t="s">
        <v>74</v>
      </c>
    </row>
    <row r="19444" spans="9:9" x14ac:dyDescent="0.2">
      <c r="I19444" s="137" t="s">
        <v>74</v>
      </c>
    </row>
    <row r="19445" spans="9:9" x14ac:dyDescent="0.2">
      <c r="I19445" s="137" t="s">
        <v>74</v>
      </c>
    </row>
    <row r="19446" spans="9:9" x14ac:dyDescent="0.2">
      <c r="I19446" s="137" t="s">
        <v>74</v>
      </c>
    </row>
    <row r="19447" spans="9:9" x14ac:dyDescent="0.2">
      <c r="I19447" s="137" t="s">
        <v>74</v>
      </c>
    </row>
    <row r="19448" spans="9:9" x14ac:dyDescent="0.2">
      <c r="I19448" s="137" t="s">
        <v>74</v>
      </c>
    </row>
    <row r="19449" spans="9:9" x14ac:dyDescent="0.2">
      <c r="I19449" s="137" t="s">
        <v>74</v>
      </c>
    </row>
    <row r="19450" spans="9:9" x14ac:dyDescent="0.2">
      <c r="I19450" s="137" t="s">
        <v>74</v>
      </c>
    </row>
    <row r="19451" spans="9:9" x14ac:dyDescent="0.2">
      <c r="I19451" s="137" t="s">
        <v>74</v>
      </c>
    </row>
    <row r="19452" spans="9:9" x14ac:dyDescent="0.2">
      <c r="I19452" s="137" t="s">
        <v>74</v>
      </c>
    </row>
    <row r="19453" spans="9:9" x14ac:dyDescent="0.2">
      <c r="I19453" s="137" t="s">
        <v>74</v>
      </c>
    </row>
    <row r="19454" spans="9:9" x14ac:dyDescent="0.2">
      <c r="I19454" s="137" t="s">
        <v>74</v>
      </c>
    </row>
    <row r="19455" spans="9:9" x14ac:dyDescent="0.2">
      <c r="I19455" s="137" t="s">
        <v>74</v>
      </c>
    </row>
    <row r="19456" spans="9:9" x14ac:dyDescent="0.2">
      <c r="I19456" s="137" t="s">
        <v>74</v>
      </c>
    </row>
    <row r="19457" spans="9:9" x14ac:dyDescent="0.2">
      <c r="I19457" s="137" t="s">
        <v>74</v>
      </c>
    </row>
    <row r="19458" spans="9:9" x14ac:dyDescent="0.2">
      <c r="I19458" s="137" t="s">
        <v>74</v>
      </c>
    </row>
    <row r="19459" spans="9:9" x14ac:dyDescent="0.2">
      <c r="I19459" s="137" t="s">
        <v>74</v>
      </c>
    </row>
    <row r="19460" spans="9:9" x14ac:dyDescent="0.2">
      <c r="I19460" s="137" t="s">
        <v>74</v>
      </c>
    </row>
    <row r="19461" spans="9:9" x14ac:dyDescent="0.2">
      <c r="I19461" s="137" t="s">
        <v>74</v>
      </c>
    </row>
    <row r="19462" spans="9:9" x14ac:dyDescent="0.2">
      <c r="I19462" s="137" t="s">
        <v>74</v>
      </c>
    </row>
    <row r="19463" spans="9:9" x14ac:dyDescent="0.2">
      <c r="I19463" s="137" t="s">
        <v>74</v>
      </c>
    </row>
    <row r="19464" spans="9:9" x14ac:dyDescent="0.2">
      <c r="I19464" s="137" t="s">
        <v>74</v>
      </c>
    </row>
    <row r="19465" spans="9:9" x14ac:dyDescent="0.2">
      <c r="I19465" s="137" t="s">
        <v>74</v>
      </c>
    </row>
    <row r="19466" spans="9:9" x14ac:dyDescent="0.2">
      <c r="I19466" s="137" t="s">
        <v>74</v>
      </c>
    </row>
    <row r="19467" spans="9:9" x14ac:dyDescent="0.2">
      <c r="I19467" s="137" t="s">
        <v>74</v>
      </c>
    </row>
    <row r="19468" spans="9:9" x14ac:dyDescent="0.2">
      <c r="I19468" s="137" t="s">
        <v>74</v>
      </c>
    </row>
    <row r="19469" spans="9:9" x14ac:dyDescent="0.2">
      <c r="I19469" s="137" t="s">
        <v>74</v>
      </c>
    </row>
    <row r="19470" spans="9:9" x14ac:dyDescent="0.2">
      <c r="I19470" s="137" t="s">
        <v>74</v>
      </c>
    </row>
    <row r="19471" spans="9:9" x14ac:dyDescent="0.2">
      <c r="I19471" s="137" t="s">
        <v>74</v>
      </c>
    </row>
    <row r="19472" spans="9:9" x14ac:dyDescent="0.2">
      <c r="I19472" s="137" t="s">
        <v>74</v>
      </c>
    </row>
    <row r="19473" spans="9:9" x14ac:dyDescent="0.2">
      <c r="I19473" s="137" t="s">
        <v>74</v>
      </c>
    </row>
    <row r="19474" spans="9:9" x14ac:dyDescent="0.2">
      <c r="I19474" s="137" t="s">
        <v>74</v>
      </c>
    </row>
    <row r="19475" spans="9:9" x14ac:dyDescent="0.2">
      <c r="I19475" s="137" t="s">
        <v>74</v>
      </c>
    </row>
    <row r="19476" spans="9:9" x14ac:dyDescent="0.2">
      <c r="I19476" s="137" t="s">
        <v>74</v>
      </c>
    </row>
    <row r="19477" spans="9:9" x14ac:dyDescent="0.2">
      <c r="I19477" s="137" t="s">
        <v>74</v>
      </c>
    </row>
    <row r="19478" spans="9:9" x14ac:dyDescent="0.2">
      <c r="I19478" s="137" t="s">
        <v>74</v>
      </c>
    </row>
    <row r="19479" spans="9:9" x14ac:dyDescent="0.2">
      <c r="I19479" s="137" t="s">
        <v>74</v>
      </c>
    </row>
    <row r="19480" spans="9:9" x14ac:dyDescent="0.2">
      <c r="I19480" s="137" t="s">
        <v>74</v>
      </c>
    </row>
    <row r="19481" spans="9:9" x14ac:dyDescent="0.2">
      <c r="I19481" s="137" t="s">
        <v>74</v>
      </c>
    </row>
    <row r="19482" spans="9:9" x14ac:dyDescent="0.2">
      <c r="I19482" s="137" t="s">
        <v>74</v>
      </c>
    </row>
    <row r="19483" spans="9:9" x14ac:dyDescent="0.2">
      <c r="I19483" s="137" t="s">
        <v>74</v>
      </c>
    </row>
    <row r="19484" spans="9:9" x14ac:dyDescent="0.2">
      <c r="I19484" s="137" t="s">
        <v>74</v>
      </c>
    </row>
    <row r="19485" spans="9:9" x14ac:dyDescent="0.2">
      <c r="I19485" s="137" t="s">
        <v>74</v>
      </c>
    </row>
    <row r="19486" spans="9:9" x14ac:dyDescent="0.2">
      <c r="I19486" s="137" t="s">
        <v>74</v>
      </c>
    </row>
    <row r="19487" spans="9:9" x14ac:dyDescent="0.2">
      <c r="I19487" s="137" t="s">
        <v>74</v>
      </c>
    </row>
    <row r="19488" spans="9:9" x14ac:dyDescent="0.2">
      <c r="I19488" s="137" t="s">
        <v>74</v>
      </c>
    </row>
    <row r="19489" spans="9:9" x14ac:dyDescent="0.2">
      <c r="I19489" s="137" t="s">
        <v>74</v>
      </c>
    </row>
    <row r="19490" spans="9:9" x14ac:dyDescent="0.2">
      <c r="I19490" s="137" t="s">
        <v>74</v>
      </c>
    </row>
    <row r="19491" spans="9:9" x14ac:dyDescent="0.2">
      <c r="I19491" s="137" t="s">
        <v>74</v>
      </c>
    </row>
    <row r="19492" spans="9:9" x14ac:dyDescent="0.2">
      <c r="I19492" s="137" t="s">
        <v>74</v>
      </c>
    </row>
    <row r="19493" spans="9:9" x14ac:dyDescent="0.2">
      <c r="I19493" s="137" t="s">
        <v>74</v>
      </c>
    </row>
    <row r="19494" spans="9:9" x14ac:dyDescent="0.2">
      <c r="I19494" s="137" t="s">
        <v>74</v>
      </c>
    </row>
    <row r="19495" spans="9:9" x14ac:dyDescent="0.2">
      <c r="I19495" s="137" t="s">
        <v>74</v>
      </c>
    </row>
    <row r="19496" spans="9:9" x14ac:dyDescent="0.2">
      <c r="I19496" s="137" t="s">
        <v>74</v>
      </c>
    </row>
    <row r="19497" spans="9:9" x14ac:dyDescent="0.2">
      <c r="I19497" s="137" t="s">
        <v>74</v>
      </c>
    </row>
    <row r="19498" spans="9:9" x14ac:dyDescent="0.2">
      <c r="I19498" s="137" t="s">
        <v>74</v>
      </c>
    </row>
    <row r="19499" spans="9:9" x14ac:dyDescent="0.2">
      <c r="I19499" s="137" t="s">
        <v>74</v>
      </c>
    </row>
    <row r="19500" spans="9:9" x14ac:dyDescent="0.2">
      <c r="I19500" s="137" t="s">
        <v>74</v>
      </c>
    </row>
    <row r="19501" spans="9:9" x14ac:dyDescent="0.2">
      <c r="I19501" s="137" t="s">
        <v>74</v>
      </c>
    </row>
    <row r="19502" spans="9:9" x14ac:dyDescent="0.2">
      <c r="I19502" s="137" t="s">
        <v>74</v>
      </c>
    </row>
    <row r="19503" spans="9:9" x14ac:dyDescent="0.2">
      <c r="I19503" s="137" t="s">
        <v>74</v>
      </c>
    </row>
    <row r="19504" spans="9:9" x14ac:dyDescent="0.2">
      <c r="I19504" s="137" t="s">
        <v>74</v>
      </c>
    </row>
    <row r="19505" spans="9:9" x14ac:dyDescent="0.2">
      <c r="I19505" s="137" t="s">
        <v>74</v>
      </c>
    </row>
    <row r="19506" spans="9:9" x14ac:dyDescent="0.2">
      <c r="I19506" s="137" t="s">
        <v>74</v>
      </c>
    </row>
    <row r="19507" spans="9:9" x14ac:dyDescent="0.2">
      <c r="I19507" s="137" t="s">
        <v>74</v>
      </c>
    </row>
    <row r="19508" spans="9:9" x14ac:dyDescent="0.2">
      <c r="I19508" s="137" t="s">
        <v>74</v>
      </c>
    </row>
    <row r="19509" spans="9:9" x14ac:dyDescent="0.2">
      <c r="I19509" s="137" t="s">
        <v>74</v>
      </c>
    </row>
    <row r="19510" spans="9:9" x14ac:dyDescent="0.2">
      <c r="I19510" s="137" t="s">
        <v>74</v>
      </c>
    </row>
    <row r="19511" spans="9:9" x14ac:dyDescent="0.2">
      <c r="I19511" s="137" t="s">
        <v>74</v>
      </c>
    </row>
    <row r="19512" spans="9:9" x14ac:dyDescent="0.2">
      <c r="I19512" s="137" t="s">
        <v>74</v>
      </c>
    </row>
    <row r="19513" spans="9:9" x14ac:dyDescent="0.2">
      <c r="I19513" s="137" t="s">
        <v>74</v>
      </c>
    </row>
    <row r="19514" spans="9:9" x14ac:dyDescent="0.2">
      <c r="I19514" s="137" t="s">
        <v>74</v>
      </c>
    </row>
    <row r="19515" spans="9:9" x14ac:dyDescent="0.2">
      <c r="I19515" s="137" t="s">
        <v>74</v>
      </c>
    </row>
    <row r="19516" spans="9:9" x14ac:dyDescent="0.2">
      <c r="I19516" s="137" t="s">
        <v>74</v>
      </c>
    </row>
    <row r="19517" spans="9:9" x14ac:dyDescent="0.2">
      <c r="I19517" s="137" t="s">
        <v>74</v>
      </c>
    </row>
    <row r="19518" spans="9:9" x14ac:dyDescent="0.2">
      <c r="I19518" s="137" t="s">
        <v>74</v>
      </c>
    </row>
    <row r="19519" spans="9:9" x14ac:dyDescent="0.2">
      <c r="I19519" s="137" t="s">
        <v>74</v>
      </c>
    </row>
    <row r="19520" spans="9:9" x14ac:dyDescent="0.2">
      <c r="I19520" s="137" t="s">
        <v>74</v>
      </c>
    </row>
    <row r="19521" spans="9:9" x14ac:dyDescent="0.2">
      <c r="I19521" s="137" t="s">
        <v>74</v>
      </c>
    </row>
    <row r="19522" spans="9:9" x14ac:dyDescent="0.2">
      <c r="I19522" s="137" t="s">
        <v>74</v>
      </c>
    </row>
    <row r="19523" spans="9:9" x14ac:dyDescent="0.2">
      <c r="I19523" s="137" t="s">
        <v>74</v>
      </c>
    </row>
    <row r="19524" spans="9:9" x14ac:dyDescent="0.2">
      <c r="I19524" s="137" t="s">
        <v>74</v>
      </c>
    </row>
    <row r="19525" spans="9:9" x14ac:dyDescent="0.2">
      <c r="I19525" s="137" t="s">
        <v>74</v>
      </c>
    </row>
    <row r="19526" spans="9:9" x14ac:dyDescent="0.2">
      <c r="I19526" s="137" t="s">
        <v>74</v>
      </c>
    </row>
    <row r="19527" spans="9:9" x14ac:dyDescent="0.2">
      <c r="I19527" s="137" t="s">
        <v>74</v>
      </c>
    </row>
    <row r="19528" spans="9:9" x14ac:dyDescent="0.2">
      <c r="I19528" s="137" t="s">
        <v>74</v>
      </c>
    </row>
    <row r="19529" spans="9:9" x14ac:dyDescent="0.2">
      <c r="I19529" s="137" t="s">
        <v>74</v>
      </c>
    </row>
    <row r="19530" spans="9:9" x14ac:dyDescent="0.2">
      <c r="I19530" s="137" t="s">
        <v>74</v>
      </c>
    </row>
    <row r="19531" spans="9:9" x14ac:dyDescent="0.2">
      <c r="I19531" s="137" t="s">
        <v>74</v>
      </c>
    </row>
    <row r="19532" spans="9:9" x14ac:dyDescent="0.2">
      <c r="I19532" s="137" t="s">
        <v>74</v>
      </c>
    </row>
    <row r="19533" spans="9:9" x14ac:dyDescent="0.2">
      <c r="I19533" s="137" t="s">
        <v>74</v>
      </c>
    </row>
    <row r="19534" spans="9:9" x14ac:dyDescent="0.2">
      <c r="I19534" s="137" t="s">
        <v>74</v>
      </c>
    </row>
    <row r="19535" spans="9:9" x14ac:dyDescent="0.2">
      <c r="I19535" s="137" t="s">
        <v>74</v>
      </c>
    </row>
    <row r="19536" spans="9:9" x14ac:dyDescent="0.2">
      <c r="I19536" s="137" t="s">
        <v>74</v>
      </c>
    </row>
    <row r="19537" spans="9:9" x14ac:dyDescent="0.2">
      <c r="I19537" s="137" t="s">
        <v>74</v>
      </c>
    </row>
    <row r="19538" spans="9:9" x14ac:dyDescent="0.2">
      <c r="I19538" s="137" t="s">
        <v>74</v>
      </c>
    </row>
    <row r="19539" spans="9:9" x14ac:dyDescent="0.2">
      <c r="I19539" s="137" t="s">
        <v>74</v>
      </c>
    </row>
    <row r="19540" spans="9:9" x14ac:dyDescent="0.2">
      <c r="I19540" s="137" t="s">
        <v>74</v>
      </c>
    </row>
    <row r="19541" spans="9:9" x14ac:dyDescent="0.2">
      <c r="I19541" s="137" t="s">
        <v>74</v>
      </c>
    </row>
    <row r="19542" spans="9:9" x14ac:dyDescent="0.2">
      <c r="I19542" s="137" t="s">
        <v>74</v>
      </c>
    </row>
    <row r="19543" spans="9:9" x14ac:dyDescent="0.2">
      <c r="I19543" s="137" t="s">
        <v>74</v>
      </c>
    </row>
    <row r="19544" spans="9:9" x14ac:dyDescent="0.2">
      <c r="I19544" s="137" t="s">
        <v>74</v>
      </c>
    </row>
    <row r="19545" spans="9:9" x14ac:dyDescent="0.2">
      <c r="I19545" s="137" t="s">
        <v>74</v>
      </c>
    </row>
    <row r="19546" spans="9:9" x14ac:dyDescent="0.2">
      <c r="I19546" s="137" t="s">
        <v>74</v>
      </c>
    </row>
    <row r="19547" spans="9:9" x14ac:dyDescent="0.2">
      <c r="I19547" s="137" t="s">
        <v>74</v>
      </c>
    </row>
    <row r="19548" spans="9:9" x14ac:dyDescent="0.2">
      <c r="I19548" s="137" t="s">
        <v>74</v>
      </c>
    </row>
    <row r="19549" spans="9:9" x14ac:dyDescent="0.2">
      <c r="I19549" s="137" t="s">
        <v>74</v>
      </c>
    </row>
    <row r="19550" spans="9:9" x14ac:dyDescent="0.2">
      <c r="I19550" s="137" t="s">
        <v>74</v>
      </c>
    </row>
    <row r="19551" spans="9:9" x14ac:dyDescent="0.2">
      <c r="I19551" s="137" t="s">
        <v>74</v>
      </c>
    </row>
    <row r="19552" spans="9:9" x14ac:dyDescent="0.2">
      <c r="I19552" s="137" t="s">
        <v>74</v>
      </c>
    </row>
    <row r="19553" spans="9:9" x14ac:dyDescent="0.2">
      <c r="I19553" s="137" t="s">
        <v>74</v>
      </c>
    </row>
    <row r="19554" spans="9:9" x14ac:dyDescent="0.2">
      <c r="I19554" s="137" t="s">
        <v>74</v>
      </c>
    </row>
    <row r="19555" spans="9:9" x14ac:dyDescent="0.2">
      <c r="I19555" s="137" t="s">
        <v>74</v>
      </c>
    </row>
    <row r="19556" spans="9:9" x14ac:dyDescent="0.2">
      <c r="I19556" s="137" t="s">
        <v>74</v>
      </c>
    </row>
    <row r="19557" spans="9:9" x14ac:dyDescent="0.2">
      <c r="I19557" s="137" t="s">
        <v>74</v>
      </c>
    </row>
    <row r="19558" spans="9:9" x14ac:dyDescent="0.2">
      <c r="I19558" s="137" t="s">
        <v>74</v>
      </c>
    </row>
    <row r="19559" spans="9:9" x14ac:dyDescent="0.2">
      <c r="I19559" s="137" t="s">
        <v>74</v>
      </c>
    </row>
    <row r="19560" spans="9:9" x14ac:dyDescent="0.2">
      <c r="I19560" s="137" t="s">
        <v>74</v>
      </c>
    </row>
    <row r="19561" spans="9:9" x14ac:dyDescent="0.2">
      <c r="I19561" s="137" t="s">
        <v>74</v>
      </c>
    </row>
    <row r="19562" spans="9:9" x14ac:dyDescent="0.2">
      <c r="I19562" s="137" t="s">
        <v>74</v>
      </c>
    </row>
    <row r="19563" spans="9:9" x14ac:dyDescent="0.2">
      <c r="I19563" s="137" t="s">
        <v>74</v>
      </c>
    </row>
    <row r="19564" spans="9:9" x14ac:dyDescent="0.2">
      <c r="I19564" s="137" t="s">
        <v>74</v>
      </c>
    </row>
    <row r="19565" spans="9:9" x14ac:dyDescent="0.2">
      <c r="I19565" s="137" t="s">
        <v>74</v>
      </c>
    </row>
    <row r="19566" spans="9:9" x14ac:dyDescent="0.2">
      <c r="I19566" s="137" t="s">
        <v>74</v>
      </c>
    </row>
    <row r="19567" spans="9:9" x14ac:dyDescent="0.2">
      <c r="I19567" s="137" t="s">
        <v>74</v>
      </c>
    </row>
    <row r="19568" spans="9:9" x14ac:dyDescent="0.2">
      <c r="I19568" s="137" t="s">
        <v>74</v>
      </c>
    </row>
    <row r="19569" spans="9:9" x14ac:dyDescent="0.2">
      <c r="I19569" s="137" t="s">
        <v>74</v>
      </c>
    </row>
    <row r="19570" spans="9:9" x14ac:dyDescent="0.2">
      <c r="I19570" s="137" t="s">
        <v>74</v>
      </c>
    </row>
    <row r="19571" spans="9:9" x14ac:dyDescent="0.2">
      <c r="I19571" s="137" t="s">
        <v>74</v>
      </c>
    </row>
    <row r="19572" spans="9:9" x14ac:dyDescent="0.2">
      <c r="I19572" s="137" t="s">
        <v>74</v>
      </c>
    </row>
    <row r="19573" spans="9:9" x14ac:dyDescent="0.2">
      <c r="I19573" s="137" t="s">
        <v>74</v>
      </c>
    </row>
    <row r="19574" spans="9:9" x14ac:dyDescent="0.2">
      <c r="I19574" s="137" t="s">
        <v>74</v>
      </c>
    </row>
    <row r="19575" spans="9:9" x14ac:dyDescent="0.2">
      <c r="I19575" s="137" t="s">
        <v>74</v>
      </c>
    </row>
    <row r="19576" spans="9:9" x14ac:dyDescent="0.2">
      <c r="I19576" s="137" t="s">
        <v>74</v>
      </c>
    </row>
    <row r="19577" spans="9:9" x14ac:dyDescent="0.2">
      <c r="I19577" s="137" t="s">
        <v>74</v>
      </c>
    </row>
    <row r="19578" spans="9:9" x14ac:dyDescent="0.2">
      <c r="I19578" s="137" t="s">
        <v>74</v>
      </c>
    </row>
    <row r="19579" spans="9:9" x14ac:dyDescent="0.2">
      <c r="I19579" s="137" t="s">
        <v>74</v>
      </c>
    </row>
    <row r="19580" spans="9:9" x14ac:dyDescent="0.2">
      <c r="I19580" s="137" t="s">
        <v>74</v>
      </c>
    </row>
    <row r="19581" spans="9:9" x14ac:dyDescent="0.2">
      <c r="I19581" s="137" t="s">
        <v>74</v>
      </c>
    </row>
    <row r="19582" spans="9:9" x14ac:dyDescent="0.2">
      <c r="I19582" s="137" t="s">
        <v>74</v>
      </c>
    </row>
    <row r="19583" spans="9:9" x14ac:dyDescent="0.2">
      <c r="I19583" s="137" t="s">
        <v>74</v>
      </c>
    </row>
    <row r="19584" spans="9:9" x14ac:dyDescent="0.2">
      <c r="I19584" s="137" t="s">
        <v>74</v>
      </c>
    </row>
    <row r="19585" spans="9:9" x14ac:dyDescent="0.2">
      <c r="I19585" s="137" t="s">
        <v>74</v>
      </c>
    </row>
    <row r="19586" spans="9:9" x14ac:dyDescent="0.2">
      <c r="I19586" s="137" t="s">
        <v>74</v>
      </c>
    </row>
    <row r="19587" spans="9:9" x14ac:dyDescent="0.2">
      <c r="I19587" s="137" t="s">
        <v>74</v>
      </c>
    </row>
    <row r="19588" spans="9:9" x14ac:dyDescent="0.2">
      <c r="I19588" s="137" t="s">
        <v>74</v>
      </c>
    </row>
    <row r="19589" spans="9:9" x14ac:dyDescent="0.2">
      <c r="I19589" s="137" t="s">
        <v>74</v>
      </c>
    </row>
    <row r="19590" spans="9:9" x14ac:dyDescent="0.2">
      <c r="I19590" s="137" t="s">
        <v>74</v>
      </c>
    </row>
    <row r="19591" spans="9:9" x14ac:dyDescent="0.2">
      <c r="I19591" s="137" t="s">
        <v>74</v>
      </c>
    </row>
    <row r="19592" spans="9:9" x14ac:dyDescent="0.2">
      <c r="I19592" s="137" t="s">
        <v>74</v>
      </c>
    </row>
    <row r="19593" spans="9:9" x14ac:dyDescent="0.2">
      <c r="I19593" s="137" t="s">
        <v>74</v>
      </c>
    </row>
    <row r="19594" spans="9:9" x14ac:dyDescent="0.2">
      <c r="I19594" s="137" t="s">
        <v>74</v>
      </c>
    </row>
    <row r="19595" spans="9:9" x14ac:dyDescent="0.2">
      <c r="I19595" s="137" t="s">
        <v>74</v>
      </c>
    </row>
    <row r="19596" spans="9:9" x14ac:dyDescent="0.2">
      <c r="I19596" s="137" t="s">
        <v>74</v>
      </c>
    </row>
    <row r="19597" spans="9:9" x14ac:dyDescent="0.2">
      <c r="I19597" s="137" t="s">
        <v>74</v>
      </c>
    </row>
    <row r="19598" spans="9:9" x14ac:dyDescent="0.2">
      <c r="I19598" s="137" t="s">
        <v>74</v>
      </c>
    </row>
    <row r="19599" spans="9:9" x14ac:dyDescent="0.2">
      <c r="I19599" s="137" t="s">
        <v>74</v>
      </c>
    </row>
    <row r="19600" spans="9:9" x14ac:dyDescent="0.2">
      <c r="I19600" s="137" t="s">
        <v>74</v>
      </c>
    </row>
    <row r="19601" spans="9:9" x14ac:dyDescent="0.2">
      <c r="I19601" s="137" t="s">
        <v>74</v>
      </c>
    </row>
    <row r="19602" spans="9:9" x14ac:dyDescent="0.2">
      <c r="I19602" s="137" t="s">
        <v>74</v>
      </c>
    </row>
    <row r="19603" spans="9:9" x14ac:dyDescent="0.2">
      <c r="I19603" s="137" t="s">
        <v>74</v>
      </c>
    </row>
    <row r="19604" spans="9:9" x14ac:dyDescent="0.2">
      <c r="I19604" s="137" t="s">
        <v>74</v>
      </c>
    </row>
    <row r="19605" spans="9:9" x14ac:dyDescent="0.2">
      <c r="I19605" s="137" t="s">
        <v>74</v>
      </c>
    </row>
    <row r="19606" spans="9:9" x14ac:dyDescent="0.2">
      <c r="I19606" s="137" t="s">
        <v>74</v>
      </c>
    </row>
    <row r="19607" spans="9:9" x14ac:dyDescent="0.2">
      <c r="I19607" s="137" t="s">
        <v>74</v>
      </c>
    </row>
    <row r="19608" spans="9:9" x14ac:dyDescent="0.2">
      <c r="I19608" s="137" t="s">
        <v>74</v>
      </c>
    </row>
    <row r="19609" spans="9:9" x14ac:dyDescent="0.2">
      <c r="I19609" s="137" t="s">
        <v>74</v>
      </c>
    </row>
    <row r="19610" spans="9:9" x14ac:dyDescent="0.2">
      <c r="I19610" s="137" t="s">
        <v>74</v>
      </c>
    </row>
    <row r="19611" spans="9:9" x14ac:dyDescent="0.2">
      <c r="I19611" s="137" t="s">
        <v>74</v>
      </c>
    </row>
    <row r="19612" spans="9:9" x14ac:dyDescent="0.2">
      <c r="I19612" s="137" t="s">
        <v>74</v>
      </c>
    </row>
    <row r="19613" spans="9:9" x14ac:dyDescent="0.2">
      <c r="I19613" s="137" t="s">
        <v>74</v>
      </c>
    </row>
    <row r="19614" spans="9:9" x14ac:dyDescent="0.2">
      <c r="I19614" s="137" t="s">
        <v>74</v>
      </c>
    </row>
    <row r="19615" spans="9:9" x14ac:dyDescent="0.2">
      <c r="I19615" s="137" t="s">
        <v>74</v>
      </c>
    </row>
    <row r="19616" spans="9:9" x14ac:dyDescent="0.2">
      <c r="I19616" s="137" t="s">
        <v>74</v>
      </c>
    </row>
    <row r="19617" spans="9:9" x14ac:dyDescent="0.2">
      <c r="I19617" s="137" t="s">
        <v>74</v>
      </c>
    </row>
    <row r="19618" spans="9:9" x14ac:dyDescent="0.2">
      <c r="I19618" s="137" t="s">
        <v>74</v>
      </c>
    </row>
    <row r="19619" spans="9:9" x14ac:dyDescent="0.2">
      <c r="I19619" s="137" t="s">
        <v>74</v>
      </c>
    </row>
    <row r="19620" spans="9:9" x14ac:dyDescent="0.2">
      <c r="I19620" s="137" t="s">
        <v>74</v>
      </c>
    </row>
    <row r="19621" spans="9:9" x14ac:dyDescent="0.2">
      <c r="I19621" s="137" t="s">
        <v>74</v>
      </c>
    </row>
    <row r="19622" spans="9:9" x14ac:dyDescent="0.2">
      <c r="I19622" s="137" t="s">
        <v>74</v>
      </c>
    </row>
    <row r="19623" spans="9:9" x14ac:dyDescent="0.2">
      <c r="I19623" s="137" t="s">
        <v>74</v>
      </c>
    </row>
    <row r="19624" spans="9:9" x14ac:dyDescent="0.2">
      <c r="I19624" s="137" t="s">
        <v>74</v>
      </c>
    </row>
    <row r="19625" spans="9:9" x14ac:dyDescent="0.2">
      <c r="I19625" s="137" t="s">
        <v>74</v>
      </c>
    </row>
    <row r="19626" spans="9:9" x14ac:dyDescent="0.2">
      <c r="I19626" s="137" t="s">
        <v>74</v>
      </c>
    </row>
    <row r="19627" spans="9:9" x14ac:dyDescent="0.2">
      <c r="I19627" s="137" t="s">
        <v>74</v>
      </c>
    </row>
    <row r="19628" spans="9:9" x14ac:dyDescent="0.2">
      <c r="I19628" s="137" t="s">
        <v>74</v>
      </c>
    </row>
    <row r="19629" spans="9:9" x14ac:dyDescent="0.2">
      <c r="I19629" s="137" t="s">
        <v>74</v>
      </c>
    </row>
    <row r="19630" spans="9:9" x14ac:dyDescent="0.2">
      <c r="I19630" s="137" t="s">
        <v>74</v>
      </c>
    </row>
    <row r="19631" spans="9:9" x14ac:dyDescent="0.2">
      <c r="I19631" s="137" t="s">
        <v>74</v>
      </c>
    </row>
    <row r="19632" spans="9:9" x14ac:dyDescent="0.2">
      <c r="I19632" s="137" t="s">
        <v>74</v>
      </c>
    </row>
    <row r="19633" spans="9:9" x14ac:dyDescent="0.2">
      <c r="I19633" s="137" t="s">
        <v>74</v>
      </c>
    </row>
    <row r="19634" spans="9:9" x14ac:dyDescent="0.2">
      <c r="I19634" s="137" t="s">
        <v>74</v>
      </c>
    </row>
    <row r="19635" spans="9:9" x14ac:dyDescent="0.2">
      <c r="I19635" s="137" t="s">
        <v>74</v>
      </c>
    </row>
    <row r="19636" spans="9:9" x14ac:dyDescent="0.2">
      <c r="I19636" s="137" t="s">
        <v>74</v>
      </c>
    </row>
    <row r="19637" spans="9:9" x14ac:dyDescent="0.2">
      <c r="I19637" s="137" t="s">
        <v>74</v>
      </c>
    </row>
    <row r="19638" spans="9:9" x14ac:dyDescent="0.2">
      <c r="I19638" s="137" t="s">
        <v>74</v>
      </c>
    </row>
    <row r="19639" spans="9:9" x14ac:dyDescent="0.2">
      <c r="I19639" s="137" t="s">
        <v>74</v>
      </c>
    </row>
    <row r="19640" spans="9:9" x14ac:dyDescent="0.2">
      <c r="I19640" s="137" t="s">
        <v>74</v>
      </c>
    </row>
    <row r="19641" spans="9:9" x14ac:dyDescent="0.2">
      <c r="I19641" s="137" t="s">
        <v>74</v>
      </c>
    </row>
    <row r="19642" spans="9:9" x14ac:dyDescent="0.2">
      <c r="I19642" s="137" t="s">
        <v>74</v>
      </c>
    </row>
    <row r="19643" spans="9:9" x14ac:dyDescent="0.2">
      <c r="I19643" s="137" t="s">
        <v>74</v>
      </c>
    </row>
    <row r="19644" spans="9:9" x14ac:dyDescent="0.2">
      <c r="I19644" s="137" t="s">
        <v>74</v>
      </c>
    </row>
    <row r="19645" spans="9:9" x14ac:dyDescent="0.2">
      <c r="I19645" s="137" t="s">
        <v>74</v>
      </c>
    </row>
    <row r="19646" spans="9:9" x14ac:dyDescent="0.2">
      <c r="I19646" s="137" t="s">
        <v>74</v>
      </c>
    </row>
    <row r="19647" spans="9:9" x14ac:dyDescent="0.2">
      <c r="I19647" s="137" t="s">
        <v>74</v>
      </c>
    </row>
    <row r="19648" spans="9:9" x14ac:dyDescent="0.2">
      <c r="I19648" s="137" t="s">
        <v>74</v>
      </c>
    </row>
    <row r="19649" spans="9:9" x14ac:dyDescent="0.2">
      <c r="I19649" s="137" t="s">
        <v>74</v>
      </c>
    </row>
    <row r="19650" spans="9:9" x14ac:dyDescent="0.2">
      <c r="I19650" s="137" t="s">
        <v>74</v>
      </c>
    </row>
    <row r="19651" spans="9:9" x14ac:dyDescent="0.2">
      <c r="I19651" s="137" t="s">
        <v>74</v>
      </c>
    </row>
    <row r="19652" spans="9:9" x14ac:dyDescent="0.2">
      <c r="I19652" s="137" t="s">
        <v>74</v>
      </c>
    </row>
    <row r="19653" spans="9:9" x14ac:dyDescent="0.2">
      <c r="I19653" s="137" t="s">
        <v>74</v>
      </c>
    </row>
    <row r="19654" spans="9:9" x14ac:dyDescent="0.2">
      <c r="I19654" s="137" t="s">
        <v>74</v>
      </c>
    </row>
    <row r="19655" spans="9:9" x14ac:dyDescent="0.2">
      <c r="I19655" s="137" t="s">
        <v>74</v>
      </c>
    </row>
    <row r="19656" spans="9:9" x14ac:dyDescent="0.2">
      <c r="I19656" s="137" t="s">
        <v>74</v>
      </c>
    </row>
    <row r="19657" spans="9:9" x14ac:dyDescent="0.2">
      <c r="I19657" s="137" t="s">
        <v>74</v>
      </c>
    </row>
    <row r="19658" spans="9:9" x14ac:dyDescent="0.2">
      <c r="I19658" s="137" t="s">
        <v>74</v>
      </c>
    </row>
    <row r="19659" spans="9:9" x14ac:dyDescent="0.2">
      <c r="I19659" s="137" t="s">
        <v>74</v>
      </c>
    </row>
    <row r="19660" spans="9:9" x14ac:dyDescent="0.2">
      <c r="I19660" s="137" t="s">
        <v>74</v>
      </c>
    </row>
    <row r="19661" spans="9:9" x14ac:dyDescent="0.2">
      <c r="I19661" s="137" t="s">
        <v>74</v>
      </c>
    </row>
    <row r="19662" spans="9:9" x14ac:dyDescent="0.2">
      <c r="I19662" s="137" t="s">
        <v>74</v>
      </c>
    </row>
    <row r="19663" spans="9:9" x14ac:dyDescent="0.2">
      <c r="I19663" s="137" t="s">
        <v>74</v>
      </c>
    </row>
    <row r="19664" spans="9:9" x14ac:dyDescent="0.2">
      <c r="I19664" s="137" t="s">
        <v>74</v>
      </c>
    </row>
    <row r="19665" spans="9:9" x14ac:dyDescent="0.2">
      <c r="I19665" s="137" t="s">
        <v>74</v>
      </c>
    </row>
    <row r="19666" spans="9:9" x14ac:dyDescent="0.2">
      <c r="I19666" s="137" t="s">
        <v>74</v>
      </c>
    </row>
    <row r="19667" spans="9:9" x14ac:dyDescent="0.2">
      <c r="I19667" s="137" t="s">
        <v>74</v>
      </c>
    </row>
    <row r="19668" spans="9:9" x14ac:dyDescent="0.2">
      <c r="I19668" s="137" t="s">
        <v>74</v>
      </c>
    </row>
    <row r="19669" spans="9:9" x14ac:dyDescent="0.2">
      <c r="I19669" s="137" t="s">
        <v>74</v>
      </c>
    </row>
    <row r="19670" spans="9:9" x14ac:dyDescent="0.2">
      <c r="I19670" s="137" t="s">
        <v>74</v>
      </c>
    </row>
    <row r="19671" spans="9:9" x14ac:dyDescent="0.2">
      <c r="I19671" s="137" t="s">
        <v>74</v>
      </c>
    </row>
    <row r="19672" spans="9:9" x14ac:dyDescent="0.2">
      <c r="I19672" s="137" t="s">
        <v>74</v>
      </c>
    </row>
    <row r="19673" spans="9:9" x14ac:dyDescent="0.2">
      <c r="I19673" s="137" t="s">
        <v>74</v>
      </c>
    </row>
    <row r="19674" spans="9:9" x14ac:dyDescent="0.2">
      <c r="I19674" s="137" t="s">
        <v>74</v>
      </c>
    </row>
    <row r="19675" spans="9:9" x14ac:dyDescent="0.2">
      <c r="I19675" s="137" t="s">
        <v>74</v>
      </c>
    </row>
    <row r="19676" spans="9:9" x14ac:dyDescent="0.2">
      <c r="I19676" s="137" t="s">
        <v>74</v>
      </c>
    </row>
    <row r="19677" spans="9:9" x14ac:dyDescent="0.2">
      <c r="I19677" s="137" t="s">
        <v>74</v>
      </c>
    </row>
    <row r="19678" spans="9:9" x14ac:dyDescent="0.2">
      <c r="I19678" s="137" t="s">
        <v>74</v>
      </c>
    </row>
    <row r="19679" spans="9:9" x14ac:dyDescent="0.2">
      <c r="I19679" s="137" t="s">
        <v>74</v>
      </c>
    </row>
    <row r="19680" spans="9:9" x14ac:dyDescent="0.2">
      <c r="I19680" s="137" t="s">
        <v>74</v>
      </c>
    </row>
    <row r="19681" spans="9:9" x14ac:dyDescent="0.2">
      <c r="I19681" s="137" t="s">
        <v>74</v>
      </c>
    </row>
    <row r="19682" spans="9:9" x14ac:dyDescent="0.2">
      <c r="I19682" s="137" t="s">
        <v>74</v>
      </c>
    </row>
    <row r="19683" spans="9:9" x14ac:dyDescent="0.2">
      <c r="I19683" s="137" t="s">
        <v>74</v>
      </c>
    </row>
    <row r="19684" spans="9:9" x14ac:dyDescent="0.2">
      <c r="I19684" s="137" t="s">
        <v>74</v>
      </c>
    </row>
    <row r="19685" spans="9:9" x14ac:dyDescent="0.2">
      <c r="I19685" s="137" t="s">
        <v>74</v>
      </c>
    </row>
    <row r="19686" spans="9:9" x14ac:dyDescent="0.2">
      <c r="I19686" s="137" t="s">
        <v>74</v>
      </c>
    </row>
    <row r="19687" spans="9:9" x14ac:dyDescent="0.2">
      <c r="I19687" s="137" t="s">
        <v>74</v>
      </c>
    </row>
    <row r="19688" spans="9:9" x14ac:dyDescent="0.2">
      <c r="I19688" s="137" t="s">
        <v>74</v>
      </c>
    </row>
    <row r="19689" spans="9:9" x14ac:dyDescent="0.2">
      <c r="I19689" s="137" t="s">
        <v>74</v>
      </c>
    </row>
    <row r="19690" spans="9:9" x14ac:dyDescent="0.2">
      <c r="I19690" s="137" t="s">
        <v>74</v>
      </c>
    </row>
    <row r="19691" spans="9:9" x14ac:dyDescent="0.2">
      <c r="I19691" s="137" t="s">
        <v>74</v>
      </c>
    </row>
    <row r="19692" spans="9:9" x14ac:dyDescent="0.2">
      <c r="I19692" s="137" t="s">
        <v>74</v>
      </c>
    </row>
    <row r="19693" spans="9:9" x14ac:dyDescent="0.2">
      <c r="I19693" s="137" t="s">
        <v>74</v>
      </c>
    </row>
    <row r="19694" spans="9:9" x14ac:dyDescent="0.2">
      <c r="I19694" s="137" t="s">
        <v>74</v>
      </c>
    </row>
    <row r="19695" spans="9:9" x14ac:dyDescent="0.2">
      <c r="I19695" s="137" t="s">
        <v>74</v>
      </c>
    </row>
    <row r="19696" spans="9:9" x14ac:dyDescent="0.2">
      <c r="I19696" s="137" t="s">
        <v>74</v>
      </c>
    </row>
    <row r="19697" spans="9:9" x14ac:dyDescent="0.2">
      <c r="I19697" s="137" t="s">
        <v>74</v>
      </c>
    </row>
    <row r="19698" spans="9:9" x14ac:dyDescent="0.2">
      <c r="I19698" s="137" t="s">
        <v>74</v>
      </c>
    </row>
    <row r="19699" spans="9:9" x14ac:dyDescent="0.2">
      <c r="I19699" s="137" t="s">
        <v>74</v>
      </c>
    </row>
    <row r="19700" spans="9:9" x14ac:dyDescent="0.2">
      <c r="I19700" s="137" t="s">
        <v>74</v>
      </c>
    </row>
    <row r="19701" spans="9:9" x14ac:dyDescent="0.2">
      <c r="I19701" s="137" t="s">
        <v>74</v>
      </c>
    </row>
    <row r="19702" spans="9:9" x14ac:dyDescent="0.2">
      <c r="I19702" s="137" t="s">
        <v>74</v>
      </c>
    </row>
    <row r="19703" spans="9:9" x14ac:dyDescent="0.2">
      <c r="I19703" s="137" t="s">
        <v>74</v>
      </c>
    </row>
    <row r="19704" spans="9:9" x14ac:dyDescent="0.2">
      <c r="I19704" s="137" t="s">
        <v>74</v>
      </c>
    </row>
    <row r="19705" spans="9:9" x14ac:dyDescent="0.2">
      <c r="I19705" s="137" t="s">
        <v>74</v>
      </c>
    </row>
    <row r="19706" spans="9:9" x14ac:dyDescent="0.2">
      <c r="I19706" s="137" t="s">
        <v>74</v>
      </c>
    </row>
    <row r="19707" spans="9:9" x14ac:dyDescent="0.2">
      <c r="I19707" s="137" t="s">
        <v>74</v>
      </c>
    </row>
    <row r="19708" spans="9:9" x14ac:dyDescent="0.2">
      <c r="I19708" s="137" t="s">
        <v>74</v>
      </c>
    </row>
    <row r="19709" spans="9:9" x14ac:dyDescent="0.2">
      <c r="I19709" s="137" t="s">
        <v>74</v>
      </c>
    </row>
    <row r="19710" spans="9:9" x14ac:dyDescent="0.2">
      <c r="I19710" s="137" t="s">
        <v>74</v>
      </c>
    </row>
    <row r="19711" spans="9:9" x14ac:dyDescent="0.2">
      <c r="I19711" s="137" t="s">
        <v>74</v>
      </c>
    </row>
    <row r="19712" spans="9:9" x14ac:dyDescent="0.2">
      <c r="I19712" s="137" t="s">
        <v>74</v>
      </c>
    </row>
    <row r="19713" spans="9:9" x14ac:dyDescent="0.2">
      <c r="I19713" s="137" t="s">
        <v>74</v>
      </c>
    </row>
    <row r="19714" spans="9:9" x14ac:dyDescent="0.2">
      <c r="I19714" s="137" t="s">
        <v>74</v>
      </c>
    </row>
    <row r="19715" spans="9:9" x14ac:dyDescent="0.2">
      <c r="I19715" s="137" t="s">
        <v>74</v>
      </c>
    </row>
    <row r="19716" spans="9:9" x14ac:dyDescent="0.2">
      <c r="I19716" s="137" t="s">
        <v>74</v>
      </c>
    </row>
    <row r="19717" spans="9:9" x14ac:dyDescent="0.2">
      <c r="I19717" s="137" t="s">
        <v>74</v>
      </c>
    </row>
    <row r="19718" spans="9:9" x14ac:dyDescent="0.2">
      <c r="I19718" s="137" t="s">
        <v>74</v>
      </c>
    </row>
    <row r="19719" spans="9:9" x14ac:dyDescent="0.2">
      <c r="I19719" s="137" t="s">
        <v>74</v>
      </c>
    </row>
    <row r="19720" spans="9:9" x14ac:dyDescent="0.2">
      <c r="I19720" s="137" t="s">
        <v>74</v>
      </c>
    </row>
    <row r="19721" spans="9:9" x14ac:dyDescent="0.2">
      <c r="I19721" s="137" t="s">
        <v>74</v>
      </c>
    </row>
    <row r="19722" spans="9:9" x14ac:dyDescent="0.2">
      <c r="I19722" s="137" t="s">
        <v>74</v>
      </c>
    </row>
    <row r="19723" spans="9:9" x14ac:dyDescent="0.2">
      <c r="I19723" s="137" t="s">
        <v>74</v>
      </c>
    </row>
    <row r="19724" spans="9:9" x14ac:dyDescent="0.2">
      <c r="I19724" s="137" t="s">
        <v>74</v>
      </c>
    </row>
    <row r="19725" spans="9:9" x14ac:dyDescent="0.2">
      <c r="I19725" s="137" t="s">
        <v>74</v>
      </c>
    </row>
    <row r="19726" spans="9:9" x14ac:dyDescent="0.2">
      <c r="I19726" s="137" t="s">
        <v>74</v>
      </c>
    </row>
    <row r="19727" spans="9:9" x14ac:dyDescent="0.2">
      <c r="I19727" s="137" t="s">
        <v>74</v>
      </c>
    </row>
    <row r="19728" spans="9:9" x14ac:dyDescent="0.2">
      <c r="I19728" s="137" t="s">
        <v>74</v>
      </c>
    </row>
    <row r="19729" spans="9:9" x14ac:dyDescent="0.2">
      <c r="I19729" s="137" t="s">
        <v>74</v>
      </c>
    </row>
    <row r="19730" spans="9:9" x14ac:dyDescent="0.2">
      <c r="I19730" s="137" t="s">
        <v>74</v>
      </c>
    </row>
    <row r="19731" spans="9:9" x14ac:dyDescent="0.2">
      <c r="I19731" s="137" t="s">
        <v>74</v>
      </c>
    </row>
    <row r="19732" spans="9:9" x14ac:dyDescent="0.2">
      <c r="I19732" s="137" t="s">
        <v>74</v>
      </c>
    </row>
    <row r="19733" spans="9:9" x14ac:dyDescent="0.2">
      <c r="I19733" s="137" t="s">
        <v>74</v>
      </c>
    </row>
    <row r="19734" spans="9:9" x14ac:dyDescent="0.2">
      <c r="I19734" s="137" t="s">
        <v>74</v>
      </c>
    </row>
    <row r="19735" spans="9:9" x14ac:dyDescent="0.2">
      <c r="I19735" s="137" t="s">
        <v>74</v>
      </c>
    </row>
    <row r="19736" spans="9:9" x14ac:dyDescent="0.2">
      <c r="I19736" s="137" t="s">
        <v>74</v>
      </c>
    </row>
    <row r="19737" spans="9:9" x14ac:dyDescent="0.2">
      <c r="I19737" s="137" t="s">
        <v>74</v>
      </c>
    </row>
    <row r="19738" spans="9:9" x14ac:dyDescent="0.2">
      <c r="I19738" s="137" t="s">
        <v>74</v>
      </c>
    </row>
    <row r="19739" spans="9:9" x14ac:dyDescent="0.2">
      <c r="I19739" s="137" t="s">
        <v>74</v>
      </c>
    </row>
    <row r="19740" spans="9:9" x14ac:dyDescent="0.2">
      <c r="I19740" s="137" t="s">
        <v>74</v>
      </c>
    </row>
    <row r="19741" spans="9:9" x14ac:dyDescent="0.2">
      <c r="I19741" s="137" t="s">
        <v>74</v>
      </c>
    </row>
    <row r="19742" spans="9:9" x14ac:dyDescent="0.2">
      <c r="I19742" s="137" t="s">
        <v>74</v>
      </c>
    </row>
    <row r="19743" spans="9:9" x14ac:dyDescent="0.2">
      <c r="I19743" s="137" t="s">
        <v>74</v>
      </c>
    </row>
    <row r="19744" spans="9:9" x14ac:dyDescent="0.2">
      <c r="I19744" s="137" t="s">
        <v>74</v>
      </c>
    </row>
    <row r="19745" spans="9:9" x14ac:dyDescent="0.2">
      <c r="I19745" s="137" t="s">
        <v>74</v>
      </c>
    </row>
    <row r="19746" spans="9:9" x14ac:dyDescent="0.2">
      <c r="I19746" s="137" t="s">
        <v>74</v>
      </c>
    </row>
    <row r="19747" spans="9:9" x14ac:dyDescent="0.2">
      <c r="I19747" s="137" t="s">
        <v>74</v>
      </c>
    </row>
    <row r="19748" spans="9:9" x14ac:dyDescent="0.2">
      <c r="I19748" s="137" t="s">
        <v>74</v>
      </c>
    </row>
    <row r="19749" spans="9:9" x14ac:dyDescent="0.2">
      <c r="I19749" s="137" t="s">
        <v>74</v>
      </c>
    </row>
    <row r="19750" spans="9:9" x14ac:dyDescent="0.2">
      <c r="I19750" s="137" t="s">
        <v>74</v>
      </c>
    </row>
    <row r="19751" spans="9:9" x14ac:dyDescent="0.2">
      <c r="I19751" s="137" t="s">
        <v>74</v>
      </c>
    </row>
    <row r="19752" spans="9:9" x14ac:dyDescent="0.2">
      <c r="I19752" s="137" t="s">
        <v>74</v>
      </c>
    </row>
    <row r="19753" spans="9:9" x14ac:dyDescent="0.2">
      <c r="I19753" s="137" t="s">
        <v>74</v>
      </c>
    </row>
    <row r="19754" spans="9:9" x14ac:dyDescent="0.2">
      <c r="I19754" s="137" t="s">
        <v>74</v>
      </c>
    </row>
    <row r="19755" spans="9:9" x14ac:dyDescent="0.2">
      <c r="I19755" s="137" t="s">
        <v>74</v>
      </c>
    </row>
    <row r="19756" spans="9:9" x14ac:dyDescent="0.2">
      <c r="I19756" s="137" t="s">
        <v>74</v>
      </c>
    </row>
    <row r="19757" spans="9:9" x14ac:dyDescent="0.2">
      <c r="I19757" s="137" t="s">
        <v>74</v>
      </c>
    </row>
    <row r="19758" spans="9:9" x14ac:dyDescent="0.2">
      <c r="I19758" s="137" t="s">
        <v>74</v>
      </c>
    </row>
    <row r="19759" spans="9:9" x14ac:dyDescent="0.2">
      <c r="I19759" s="137" t="s">
        <v>74</v>
      </c>
    </row>
    <row r="19760" spans="9:9" x14ac:dyDescent="0.2">
      <c r="I19760" s="137" t="s">
        <v>74</v>
      </c>
    </row>
    <row r="19761" spans="9:9" x14ac:dyDescent="0.2">
      <c r="I19761" s="137" t="s">
        <v>74</v>
      </c>
    </row>
    <row r="19762" spans="9:9" x14ac:dyDescent="0.2">
      <c r="I19762" s="137" t="s">
        <v>74</v>
      </c>
    </row>
    <row r="19763" spans="9:9" x14ac:dyDescent="0.2">
      <c r="I19763" s="137" t="s">
        <v>74</v>
      </c>
    </row>
    <row r="19764" spans="9:9" x14ac:dyDescent="0.2">
      <c r="I19764" s="137" t="s">
        <v>74</v>
      </c>
    </row>
    <row r="19765" spans="9:9" x14ac:dyDescent="0.2">
      <c r="I19765" s="137" t="s">
        <v>74</v>
      </c>
    </row>
    <row r="19766" spans="9:9" x14ac:dyDescent="0.2">
      <c r="I19766" s="137" t="s">
        <v>74</v>
      </c>
    </row>
    <row r="19767" spans="9:9" x14ac:dyDescent="0.2">
      <c r="I19767" s="137" t="s">
        <v>74</v>
      </c>
    </row>
    <row r="19768" spans="9:9" x14ac:dyDescent="0.2">
      <c r="I19768" s="137" t="s">
        <v>74</v>
      </c>
    </row>
    <row r="19769" spans="9:9" x14ac:dyDescent="0.2">
      <c r="I19769" s="137" t="s">
        <v>74</v>
      </c>
    </row>
    <row r="19770" spans="9:9" x14ac:dyDescent="0.2">
      <c r="I19770" s="137" t="s">
        <v>74</v>
      </c>
    </row>
    <row r="19771" spans="9:9" x14ac:dyDescent="0.2">
      <c r="I19771" s="137" t="s">
        <v>74</v>
      </c>
    </row>
    <row r="19772" spans="9:9" x14ac:dyDescent="0.2">
      <c r="I19772" s="137" t="s">
        <v>74</v>
      </c>
    </row>
    <row r="19773" spans="9:9" x14ac:dyDescent="0.2">
      <c r="I19773" s="137" t="s">
        <v>74</v>
      </c>
    </row>
    <row r="19774" spans="9:9" x14ac:dyDescent="0.2">
      <c r="I19774" s="137" t="s">
        <v>74</v>
      </c>
    </row>
    <row r="19775" spans="9:9" x14ac:dyDescent="0.2">
      <c r="I19775" s="137" t="s">
        <v>74</v>
      </c>
    </row>
    <row r="19776" spans="9:9" x14ac:dyDescent="0.2">
      <c r="I19776" s="137" t="s">
        <v>74</v>
      </c>
    </row>
    <row r="19777" spans="9:9" x14ac:dyDescent="0.2">
      <c r="I19777" s="137" t="s">
        <v>74</v>
      </c>
    </row>
    <row r="19778" spans="9:9" x14ac:dyDescent="0.2">
      <c r="I19778" s="137" t="s">
        <v>74</v>
      </c>
    </row>
    <row r="19779" spans="9:9" x14ac:dyDescent="0.2">
      <c r="I19779" s="137" t="s">
        <v>74</v>
      </c>
    </row>
    <row r="19780" spans="9:9" x14ac:dyDescent="0.2">
      <c r="I19780" s="137" t="s">
        <v>74</v>
      </c>
    </row>
    <row r="19781" spans="9:9" x14ac:dyDescent="0.2">
      <c r="I19781" s="137" t="s">
        <v>74</v>
      </c>
    </row>
    <row r="19782" spans="9:9" x14ac:dyDescent="0.2">
      <c r="I19782" s="137" t="s">
        <v>74</v>
      </c>
    </row>
    <row r="19783" spans="9:9" x14ac:dyDescent="0.2">
      <c r="I19783" s="137" t="s">
        <v>74</v>
      </c>
    </row>
    <row r="19784" spans="9:9" x14ac:dyDescent="0.2">
      <c r="I19784" s="137" t="s">
        <v>74</v>
      </c>
    </row>
    <row r="19785" spans="9:9" x14ac:dyDescent="0.2">
      <c r="I19785" s="137" t="s">
        <v>74</v>
      </c>
    </row>
    <row r="19786" spans="9:9" x14ac:dyDescent="0.2">
      <c r="I19786" s="137" t="s">
        <v>74</v>
      </c>
    </row>
    <row r="19787" spans="9:9" x14ac:dyDescent="0.2">
      <c r="I19787" s="137" t="s">
        <v>74</v>
      </c>
    </row>
    <row r="19788" spans="9:9" x14ac:dyDescent="0.2">
      <c r="I19788" s="137" t="s">
        <v>74</v>
      </c>
    </row>
    <row r="19789" spans="9:9" x14ac:dyDescent="0.2">
      <c r="I19789" s="137" t="s">
        <v>74</v>
      </c>
    </row>
    <row r="19790" spans="9:9" x14ac:dyDescent="0.2">
      <c r="I19790" s="137" t="s">
        <v>74</v>
      </c>
    </row>
    <row r="19791" spans="9:9" x14ac:dyDescent="0.2">
      <c r="I19791" s="137" t="s">
        <v>74</v>
      </c>
    </row>
    <row r="19792" spans="9:9" x14ac:dyDescent="0.2">
      <c r="I19792" s="137" t="s">
        <v>74</v>
      </c>
    </row>
    <row r="19793" spans="9:9" x14ac:dyDescent="0.2">
      <c r="I19793" s="137" t="s">
        <v>74</v>
      </c>
    </row>
    <row r="19794" spans="9:9" x14ac:dyDescent="0.2">
      <c r="I19794" s="137" t="s">
        <v>74</v>
      </c>
    </row>
    <row r="19795" spans="9:9" x14ac:dyDescent="0.2">
      <c r="I19795" s="137" t="s">
        <v>74</v>
      </c>
    </row>
    <row r="19796" spans="9:9" x14ac:dyDescent="0.2">
      <c r="I19796" s="137" t="s">
        <v>74</v>
      </c>
    </row>
    <row r="19797" spans="9:9" x14ac:dyDescent="0.2">
      <c r="I19797" s="137" t="s">
        <v>74</v>
      </c>
    </row>
    <row r="19798" spans="9:9" x14ac:dyDescent="0.2">
      <c r="I19798" s="137" t="s">
        <v>74</v>
      </c>
    </row>
    <row r="19799" spans="9:9" x14ac:dyDescent="0.2">
      <c r="I19799" s="137" t="s">
        <v>74</v>
      </c>
    </row>
    <row r="19800" spans="9:9" x14ac:dyDescent="0.2">
      <c r="I19800" s="137" t="s">
        <v>74</v>
      </c>
    </row>
    <row r="19801" spans="9:9" x14ac:dyDescent="0.2">
      <c r="I19801" s="137" t="s">
        <v>74</v>
      </c>
    </row>
    <row r="19802" spans="9:9" x14ac:dyDescent="0.2">
      <c r="I19802" s="137" t="s">
        <v>74</v>
      </c>
    </row>
    <row r="19803" spans="9:9" x14ac:dyDescent="0.2">
      <c r="I19803" s="137" t="s">
        <v>74</v>
      </c>
    </row>
    <row r="19804" spans="9:9" x14ac:dyDescent="0.2">
      <c r="I19804" s="137" t="s">
        <v>74</v>
      </c>
    </row>
    <row r="19805" spans="9:9" x14ac:dyDescent="0.2">
      <c r="I19805" s="137" t="s">
        <v>74</v>
      </c>
    </row>
    <row r="19806" spans="9:9" x14ac:dyDescent="0.2">
      <c r="I19806" s="137" t="s">
        <v>74</v>
      </c>
    </row>
    <row r="19807" spans="9:9" x14ac:dyDescent="0.2">
      <c r="I19807" s="137" t="s">
        <v>74</v>
      </c>
    </row>
    <row r="19808" spans="9:9" x14ac:dyDescent="0.2">
      <c r="I19808" s="137" t="s">
        <v>74</v>
      </c>
    </row>
    <row r="19809" spans="9:9" x14ac:dyDescent="0.2">
      <c r="I19809" s="137" t="s">
        <v>74</v>
      </c>
    </row>
    <row r="19810" spans="9:9" x14ac:dyDescent="0.2">
      <c r="I19810" s="137" t="s">
        <v>74</v>
      </c>
    </row>
    <row r="19811" spans="9:9" x14ac:dyDescent="0.2">
      <c r="I19811" s="137" t="s">
        <v>74</v>
      </c>
    </row>
    <row r="19812" spans="9:9" x14ac:dyDescent="0.2">
      <c r="I19812" s="137" t="s">
        <v>74</v>
      </c>
    </row>
    <row r="19813" spans="9:9" x14ac:dyDescent="0.2">
      <c r="I19813" s="137" t="s">
        <v>74</v>
      </c>
    </row>
    <row r="19814" spans="9:9" x14ac:dyDescent="0.2">
      <c r="I19814" s="137" t="s">
        <v>74</v>
      </c>
    </row>
    <row r="19815" spans="9:9" x14ac:dyDescent="0.2">
      <c r="I19815" s="137" t="s">
        <v>74</v>
      </c>
    </row>
    <row r="19816" spans="9:9" x14ac:dyDescent="0.2">
      <c r="I19816" s="137" t="s">
        <v>74</v>
      </c>
    </row>
    <row r="19817" spans="9:9" x14ac:dyDescent="0.2">
      <c r="I19817" s="137" t="s">
        <v>74</v>
      </c>
    </row>
    <row r="19818" spans="9:9" x14ac:dyDescent="0.2">
      <c r="I19818" s="137" t="s">
        <v>74</v>
      </c>
    </row>
    <row r="19819" spans="9:9" x14ac:dyDescent="0.2">
      <c r="I19819" s="137" t="s">
        <v>74</v>
      </c>
    </row>
    <row r="19820" spans="9:9" x14ac:dyDescent="0.2">
      <c r="I19820" s="137" t="s">
        <v>74</v>
      </c>
    </row>
    <row r="19821" spans="9:9" x14ac:dyDescent="0.2">
      <c r="I19821" s="137" t="s">
        <v>74</v>
      </c>
    </row>
    <row r="19822" spans="9:9" x14ac:dyDescent="0.2">
      <c r="I19822" s="137" t="s">
        <v>74</v>
      </c>
    </row>
    <row r="19823" spans="9:9" x14ac:dyDescent="0.2">
      <c r="I19823" s="137" t="s">
        <v>74</v>
      </c>
    </row>
    <row r="19824" spans="9:9" x14ac:dyDescent="0.2">
      <c r="I19824" s="137" t="s">
        <v>74</v>
      </c>
    </row>
    <row r="19825" spans="9:9" x14ac:dyDescent="0.2">
      <c r="I19825" s="137" t="s">
        <v>74</v>
      </c>
    </row>
    <row r="19826" spans="9:9" x14ac:dyDescent="0.2">
      <c r="I19826" s="137" t="s">
        <v>74</v>
      </c>
    </row>
    <row r="19827" spans="9:9" x14ac:dyDescent="0.2">
      <c r="I19827" s="137" t="s">
        <v>74</v>
      </c>
    </row>
    <row r="19828" spans="9:9" x14ac:dyDescent="0.2">
      <c r="I19828" s="137" t="s">
        <v>74</v>
      </c>
    </row>
    <row r="19829" spans="9:9" x14ac:dyDescent="0.2">
      <c r="I19829" s="137" t="s">
        <v>74</v>
      </c>
    </row>
    <row r="19830" spans="9:9" x14ac:dyDescent="0.2">
      <c r="I19830" s="137" t="s">
        <v>74</v>
      </c>
    </row>
    <row r="19831" spans="9:9" x14ac:dyDescent="0.2">
      <c r="I19831" s="137" t="s">
        <v>74</v>
      </c>
    </row>
    <row r="19832" spans="9:9" x14ac:dyDescent="0.2">
      <c r="I19832" s="137" t="s">
        <v>74</v>
      </c>
    </row>
    <row r="19833" spans="9:9" x14ac:dyDescent="0.2">
      <c r="I19833" s="137" t="s">
        <v>74</v>
      </c>
    </row>
    <row r="19834" spans="9:9" x14ac:dyDescent="0.2">
      <c r="I19834" s="137" t="s">
        <v>74</v>
      </c>
    </row>
    <row r="19835" spans="9:9" x14ac:dyDescent="0.2">
      <c r="I19835" s="137" t="s">
        <v>74</v>
      </c>
    </row>
    <row r="19836" spans="9:9" x14ac:dyDescent="0.2">
      <c r="I19836" s="137" t="s">
        <v>74</v>
      </c>
    </row>
    <row r="19837" spans="9:9" x14ac:dyDescent="0.2">
      <c r="I19837" s="137" t="s">
        <v>74</v>
      </c>
    </row>
    <row r="19838" spans="9:9" x14ac:dyDescent="0.2">
      <c r="I19838" s="137" t="s">
        <v>74</v>
      </c>
    </row>
    <row r="19839" spans="9:9" x14ac:dyDescent="0.2">
      <c r="I19839" s="137" t="s">
        <v>74</v>
      </c>
    </row>
    <row r="19840" spans="9:9" x14ac:dyDescent="0.2">
      <c r="I19840" s="137" t="s">
        <v>74</v>
      </c>
    </row>
    <row r="19841" spans="9:9" x14ac:dyDescent="0.2">
      <c r="I19841" s="137" t="s">
        <v>74</v>
      </c>
    </row>
    <row r="19842" spans="9:9" x14ac:dyDescent="0.2">
      <c r="I19842" s="137" t="s">
        <v>74</v>
      </c>
    </row>
    <row r="19843" spans="9:9" x14ac:dyDescent="0.2">
      <c r="I19843" s="137" t="s">
        <v>74</v>
      </c>
    </row>
    <row r="19844" spans="9:9" x14ac:dyDescent="0.2">
      <c r="I19844" s="137" t="s">
        <v>74</v>
      </c>
    </row>
    <row r="19845" spans="9:9" x14ac:dyDescent="0.2">
      <c r="I19845" s="137" t="s">
        <v>74</v>
      </c>
    </row>
    <row r="19846" spans="9:9" x14ac:dyDescent="0.2">
      <c r="I19846" s="137" t="s">
        <v>74</v>
      </c>
    </row>
    <row r="19847" spans="9:9" x14ac:dyDescent="0.2">
      <c r="I19847" s="137" t="s">
        <v>74</v>
      </c>
    </row>
    <row r="19848" spans="9:9" x14ac:dyDescent="0.2">
      <c r="I19848" s="137" t="s">
        <v>74</v>
      </c>
    </row>
    <row r="19849" spans="9:9" x14ac:dyDescent="0.2">
      <c r="I19849" s="137" t="s">
        <v>74</v>
      </c>
    </row>
    <row r="19850" spans="9:9" x14ac:dyDescent="0.2">
      <c r="I19850" s="137" t="s">
        <v>74</v>
      </c>
    </row>
    <row r="19851" spans="9:9" x14ac:dyDescent="0.2">
      <c r="I19851" s="137" t="s">
        <v>74</v>
      </c>
    </row>
    <row r="19852" spans="9:9" x14ac:dyDescent="0.2">
      <c r="I19852" s="137" t="s">
        <v>74</v>
      </c>
    </row>
    <row r="19853" spans="9:9" x14ac:dyDescent="0.2">
      <c r="I19853" s="137" t="s">
        <v>74</v>
      </c>
    </row>
    <row r="19854" spans="9:9" x14ac:dyDescent="0.2">
      <c r="I19854" s="137" t="s">
        <v>74</v>
      </c>
    </row>
    <row r="19855" spans="9:9" x14ac:dyDescent="0.2">
      <c r="I19855" s="137" t="s">
        <v>74</v>
      </c>
    </row>
    <row r="19856" spans="9:9" x14ac:dyDescent="0.2">
      <c r="I19856" s="137" t="s">
        <v>74</v>
      </c>
    </row>
    <row r="19857" spans="9:9" x14ac:dyDescent="0.2">
      <c r="I19857" s="137" t="s">
        <v>74</v>
      </c>
    </row>
    <row r="19858" spans="9:9" x14ac:dyDescent="0.2">
      <c r="I19858" s="137" t="s">
        <v>74</v>
      </c>
    </row>
    <row r="19859" spans="9:9" x14ac:dyDescent="0.2">
      <c r="I19859" s="137" t="s">
        <v>74</v>
      </c>
    </row>
    <row r="19860" spans="9:9" x14ac:dyDescent="0.2">
      <c r="I19860" s="137" t="s">
        <v>74</v>
      </c>
    </row>
    <row r="19861" spans="9:9" x14ac:dyDescent="0.2">
      <c r="I19861" s="137" t="s">
        <v>74</v>
      </c>
    </row>
    <row r="19862" spans="9:9" x14ac:dyDescent="0.2">
      <c r="I19862" s="137" t="s">
        <v>74</v>
      </c>
    </row>
    <row r="19863" spans="9:9" x14ac:dyDescent="0.2">
      <c r="I19863" s="137" t="s">
        <v>74</v>
      </c>
    </row>
    <row r="19864" spans="9:9" x14ac:dyDescent="0.2">
      <c r="I19864" s="137" t="s">
        <v>74</v>
      </c>
    </row>
    <row r="19865" spans="9:9" x14ac:dyDescent="0.2">
      <c r="I19865" s="137" t="s">
        <v>74</v>
      </c>
    </row>
    <row r="19866" spans="9:9" x14ac:dyDescent="0.2">
      <c r="I19866" s="137" t="s">
        <v>74</v>
      </c>
    </row>
    <row r="19867" spans="9:9" x14ac:dyDescent="0.2">
      <c r="I19867" s="137" t="s">
        <v>74</v>
      </c>
    </row>
    <row r="19868" spans="9:9" x14ac:dyDescent="0.2">
      <c r="I19868" s="137" t="s">
        <v>74</v>
      </c>
    </row>
    <row r="19869" spans="9:9" x14ac:dyDescent="0.2">
      <c r="I19869" s="137" t="s">
        <v>74</v>
      </c>
    </row>
    <row r="19870" spans="9:9" x14ac:dyDescent="0.2">
      <c r="I19870" s="137" t="s">
        <v>74</v>
      </c>
    </row>
    <row r="19871" spans="9:9" x14ac:dyDescent="0.2">
      <c r="I19871" s="137" t="s">
        <v>74</v>
      </c>
    </row>
    <row r="19872" spans="9:9" x14ac:dyDescent="0.2">
      <c r="I19872" s="137" t="s">
        <v>74</v>
      </c>
    </row>
    <row r="19873" spans="9:9" x14ac:dyDescent="0.2">
      <c r="I19873" s="137" t="s">
        <v>74</v>
      </c>
    </row>
    <row r="19874" spans="9:9" x14ac:dyDescent="0.2">
      <c r="I19874" s="137" t="s">
        <v>74</v>
      </c>
    </row>
    <row r="19875" spans="9:9" x14ac:dyDescent="0.2">
      <c r="I19875" s="137" t="s">
        <v>74</v>
      </c>
    </row>
    <row r="19876" spans="9:9" x14ac:dyDescent="0.2">
      <c r="I19876" s="137" t="s">
        <v>74</v>
      </c>
    </row>
    <row r="19877" spans="9:9" x14ac:dyDescent="0.2">
      <c r="I19877" s="137" t="s">
        <v>74</v>
      </c>
    </row>
    <row r="19878" spans="9:9" x14ac:dyDescent="0.2">
      <c r="I19878" s="137" t="s">
        <v>74</v>
      </c>
    </row>
    <row r="19879" spans="9:9" x14ac:dyDescent="0.2">
      <c r="I19879" s="137" t="s">
        <v>74</v>
      </c>
    </row>
    <row r="19880" spans="9:9" x14ac:dyDescent="0.2">
      <c r="I19880" s="137" t="s">
        <v>74</v>
      </c>
    </row>
    <row r="19881" spans="9:9" x14ac:dyDescent="0.2">
      <c r="I19881" s="137" t="s">
        <v>74</v>
      </c>
    </row>
    <row r="19882" spans="9:9" x14ac:dyDescent="0.2">
      <c r="I19882" s="137" t="s">
        <v>74</v>
      </c>
    </row>
    <row r="19883" spans="9:9" x14ac:dyDescent="0.2">
      <c r="I19883" s="137" t="s">
        <v>74</v>
      </c>
    </row>
    <row r="19884" spans="9:9" x14ac:dyDescent="0.2">
      <c r="I19884" s="137" t="s">
        <v>74</v>
      </c>
    </row>
    <row r="19885" spans="9:9" x14ac:dyDescent="0.2">
      <c r="I19885" s="137" t="s">
        <v>74</v>
      </c>
    </row>
    <row r="19886" spans="9:9" x14ac:dyDescent="0.2">
      <c r="I19886" s="137" t="s">
        <v>74</v>
      </c>
    </row>
    <row r="19887" spans="9:9" x14ac:dyDescent="0.2">
      <c r="I19887" s="137" t="s">
        <v>74</v>
      </c>
    </row>
    <row r="19888" spans="9:9" x14ac:dyDescent="0.2">
      <c r="I19888" s="137" t="s">
        <v>74</v>
      </c>
    </row>
    <row r="19889" spans="9:9" x14ac:dyDescent="0.2">
      <c r="I19889" s="137" t="s">
        <v>74</v>
      </c>
    </row>
    <row r="19890" spans="9:9" x14ac:dyDescent="0.2">
      <c r="I19890" s="137" t="s">
        <v>74</v>
      </c>
    </row>
    <row r="19891" spans="9:9" x14ac:dyDescent="0.2">
      <c r="I19891" s="137" t="s">
        <v>74</v>
      </c>
    </row>
    <row r="19892" spans="9:9" x14ac:dyDescent="0.2">
      <c r="I19892" s="137" t="s">
        <v>74</v>
      </c>
    </row>
    <row r="19893" spans="9:9" x14ac:dyDescent="0.2">
      <c r="I19893" s="137" t="s">
        <v>74</v>
      </c>
    </row>
    <row r="19894" spans="9:9" x14ac:dyDescent="0.2">
      <c r="I19894" s="137" t="s">
        <v>74</v>
      </c>
    </row>
    <row r="19895" spans="9:9" x14ac:dyDescent="0.2">
      <c r="I19895" s="137" t="s">
        <v>74</v>
      </c>
    </row>
    <row r="19896" spans="9:9" x14ac:dyDescent="0.2">
      <c r="I19896" s="137" t="s">
        <v>74</v>
      </c>
    </row>
    <row r="19897" spans="9:9" x14ac:dyDescent="0.2">
      <c r="I19897" s="137" t="s">
        <v>74</v>
      </c>
    </row>
    <row r="19898" spans="9:9" x14ac:dyDescent="0.2">
      <c r="I19898" s="137" t="s">
        <v>74</v>
      </c>
    </row>
    <row r="19899" spans="9:9" x14ac:dyDescent="0.2">
      <c r="I19899" s="137" t="s">
        <v>74</v>
      </c>
    </row>
    <row r="19900" spans="9:9" x14ac:dyDescent="0.2">
      <c r="I19900" s="137" t="s">
        <v>74</v>
      </c>
    </row>
    <row r="19901" spans="9:9" x14ac:dyDescent="0.2">
      <c r="I19901" s="137" t="s">
        <v>74</v>
      </c>
    </row>
    <row r="19902" spans="9:9" x14ac:dyDescent="0.2">
      <c r="I19902" s="137" t="s">
        <v>74</v>
      </c>
    </row>
    <row r="19903" spans="9:9" x14ac:dyDescent="0.2">
      <c r="I19903" s="137" t="s">
        <v>74</v>
      </c>
    </row>
    <row r="19904" spans="9:9" x14ac:dyDescent="0.2">
      <c r="I19904" s="137" t="s">
        <v>74</v>
      </c>
    </row>
    <row r="19905" spans="9:9" x14ac:dyDescent="0.2">
      <c r="I19905" s="137" t="s">
        <v>74</v>
      </c>
    </row>
    <row r="19906" spans="9:9" x14ac:dyDescent="0.2">
      <c r="I19906" s="137" t="s">
        <v>74</v>
      </c>
    </row>
    <row r="19907" spans="9:9" x14ac:dyDescent="0.2">
      <c r="I19907" s="137" t="s">
        <v>74</v>
      </c>
    </row>
    <row r="19908" spans="9:9" x14ac:dyDescent="0.2">
      <c r="I19908" s="137" t="s">
        <v>74</v>
      </c>
    </row>
    <row r="19909" spans="9:9" x14ac:dyDescent="0.2">
      <c r="I19909" s="137" t="s">
        <v>74</v>
      </c>
    </row>
    <row r="19910" spans="9:9" x14ac:dyDescent="0.2">
      <c r="I19910" s="137" t="s">
        <v>74</v>
      </c>
    </row>
    <row r="19911" spans="9:9" x14ac:dyDescent="0.2">
      <c r="I19911" s="137" t="s">
        <v>74</v>
      </c>
    </row>
    <row r="19912" spans="9:9" x14ac:dyDescent="0.2">
      <c r="I19912" s="137" t="s">
        <v>74</v>
      </c>
    </row>
    <row r="19913" spans="9:9" x14ac:dyDescent="0.2">
      <c r="I19913" s="137" t="s">
        <v>74</v>
      </c>
    </row>
    <row r="19914" spans="9:9" x14ac:dyDescent="0.2">
      <c r="I19914" s="137" t="s">
        <v>74</v>
      </c>
    </row>
    <row r="19915" spans="9:9" x14ac:dyDescent="0.2">
      <c r="I19915" s="137" t="s">
        <v>74</v>
      </c>
    </row>
    <row r="19916" spans="9:9" x14ac:dyDescent="0.2">
      <c r="I19916" s="137" t="s">
        <v>74</v>
      </c>
    </row>
    <row r="19917" spans="9:9" x14ac:dyDescent="0.2">
      <c r="I19917" s="137" t="s">
        <v>74</v>
      </c>
    </row>
    <row r="19918" spans="9:9" x14ac:dyDescent="0.2">
      <c r="I19918" s="137" t="s">
        <v>74</v>
      </c>
    </row>
    <row r="19919" spans="9:9" x14ac:dyDescent="0.2">
      <c r="I19919" s="137" t="s">
        <v>74</v>
      </c>
    </row>
    <row r="19920" spans="9:9" x14ac:dyDescent="0.2">
      <c r="I19920" s="137" t="s">
        <v>74</v>
      </c>
    </row>
    <row r="19921" spans="9:9" x14ac:dyDescent="0.2">
      <c r="I19921" s="137" t="s">
        <v>74</v>
      </c>
    </row>
    <row r="19922" spans="9:9" x14ac:dyDescent="0.2">
      <c r="I19922" s="137" t="s">
        <v>74</v>
      </c>
    </row>
    <row r="19923" spans="9:9" x14ac:dyDescent="0.2">
      <c r="I19923" s="137" t="s">
        <v>74</v>
      </c>
    </row>
    <row r="19924" spans="9:9" x14ac:dyDescent="0.2">
      <c r="I19924" s="137" t="s">
        <v>74</v>
      </c>
    </row>
    <row r="19925" spans="9:9" x14ac:dyDescent="0.2">
      <c r="I19925" s="137" t="s">
        <v>74</v>
      </c>
    </row>
    <row r="19926" spans="9:9" x14ac:dyDescent="0.2">
      <c r="I19926" s="137" t="s">
        <v>74</v>
      </c>
    </row>
    <row r="19927" spans="9:9" x14ac:dyDescent="0.2">
      <c r="I19927" s="137" t="s">
        <v>74</v>
      </c>
    </row>
    <row r="19928" spans="9:9" x14ac:dyDescent="0.2">
      <c r="I19928" s="137" t="s">
        <v>74</v>
      </c>
    </row>
    <row r="19929" spans="9:9" x14ac:dyDescent="0.2">
      <c r="I19929" s="137" t="s">
        <v>74</v>
      </c>
    </row>
    <row r="19930" spans="9:9" x14ac:dyDescent="0.2">
      <c r="I19930" s="137" t="s">
        <v>74</v>
      </c>
    </row>
    <row r="19931" spans="9:9" x14ac:dyDescent="0.2">
      <c r="I19931" s="137" t="s">
        <v>74</v>
      </c>
    </row>
    <row r="19932" spans="9:9" x14ac:dyDescent="0.2">
      <c r="I19932" s="137" t="s">
        <v>74</v>
      </c>
    </row>
    <row r="19933" spans="9:9" x14ac:dyDescent="0.2">
      <c r="I19933" s="137" t="s">
        <v>74</v>
      </c>
    </row>
    <row r="19934" spans="9:9" x14ac:dyDescent="0.2">
      <c r="I19934" s="137" t="s">
        <v>74</v>
      </c>
    </row>
    <row r="19935" spans="9:9" x14ac:dyDescent="0.2">
      <c r="I19935" s="137" t="s">
        <v>74</v>
      </c>
    </row>
    <row r="19936" spans="9:9" x14ac:dyDescent="0.2">
      <c r="I19936" s="137" t="s">
        <v>74</v>
      </c>
    </row>
    <row r="19937" spans="9:9" x14ac:dyDescent="0.2">
      <c r="I19937" s="137" t="s">
        <v>74</v>
      </c>
    </row>
    <row r="19938" spans="9:9" x14ac:dyDescent="0.2">
      <c r="I19938" s="137" t="s">
        <v>74</v>
      </c>
    </row>
    <row r="19939" spans="9:9" x14ac:dyDescent="0.2">
      <c r="I19939" s="137" t="s">
        <v>74</v>
      </c>
    </row>
    <row r="19940" spans="9:9" x14ac:dyDescent="0.2">
      <c r="I19940" s="137" t="s">
        <v>74</v>
      </c>
    </row>
    <row r="19941" spans="9:9" x14ac:dyDescent="0.2">
      <c r="I19941" s="137" t="s">
        <v>74</v>
      </c>
    </row>
    <row r="19942" spans="9:9" x14ac:dyDescent="0.2">
      <c r="I19942" s="137" t="s">
        <v>74</v>
      </c>
    </row>
    <row r="19943" spans="9:9" x14ac:dyDescent="0.2">
      <c r="I19943" s="137" t="s">
        <v>74</v>
      </c>
    </row>
    <row r="19944" spans="9:9" x14ac:dyDescent="0.2">
      <c r="I19944" s="137" t="s">
        <v>74</v>
      </c>
    </row>
    <row r="19945" spans="9:9" x14ac:dyDescent="0.2">
      <c r="I19945" s="137" t="s">
        <v>74</v>
      </c>
    </row>
    <row r="19946" spans="9:9" x14ac:dyDescent="0.2">
      <c r="I19946" s="137" t="s">
        <v>74</v>
      </c>
    </row>
    <row r="19947" spans="9:9" x14ac:dyDescent="0.2">
      <c r="I19947" s="137" t="s">
        <v>74</v>
      </c>
    </row>
    <row r="19948" spans="9:9" x14ac:dyDescent="0.2">
      <c r="I19948" s="137" t="s">
        <v>74</v>
      </c>
    </row>
    <row r="19949" spans="9:9" x14ac:dyDescent="0.2">
      <c r="I19949" s="137" t="s">
        <v>74</v>
      </c>
    </row>
    <row r="19950" spans="9:9" x14ac:dyDescent="0.2">
      <c r="I19950" s="137" t="s">
        <v>74</v>
      </c>
    </row>
    <row r="19951" spans="9:9" x14ac:dyDescent="0.2">
      <c r="I19951" s="137" t="s">
        <v>74</v>
      </c>
    </row>
    <row r="19952" spans="9:9" x14ac:dyDescent="0.2">
      <c r="I19952" s="137" t="s">
        <v>74</v>
      </c>
    </row>
    <row r="19953" spans="9:9" x14ac:dyDescent="0.2">
      <c r="I19953" s="137" t="s">
        <v>74</v>
      </c>
    </row>
    <row r="19954" spans="9:9" x14ac:dyDescent="0.2">
      <c r="I19954" s="137" t="s">
        <v>74</v>
      </c>
    </row>
    <row r="19955" spans="9:9" x14ac:dyDescent="0.2">
      <c r="I19955" s="137" t="s">
        <v>74</v>
      </c>
    </row>
    <row r="19956" spans="9:9" x14ac:dyDescent="0.2">
      <c r="I19956" s="137" t="s">
        <v>74</v>
      </c>
    </row>
    <row r="19957" spans="9:9" x14ac:dyDescent="0.2">
      <c r="I19957" s="137" t="s">
        <v>74</v>
      </c>
    </row>
    <row r="19958" spans="9:9" x14ac:dyDescent="0.2">
      <c r="I19958" s="137" t="s">
        <v>74</v>
      </c>
    </row>
    <row r="19959" spans="9:9" x14ac:dyDescent="0.2">
      <c r="I19959" s="137" t="s">
        <v>74</v>
      </c>
    </row>
    <row r="19960" spans="9:9" x14ac:dyDescent="0.2">
      <c r="I19960" s="137" t="s">
        <v>74</v>
      </c>
    </row>
    <row r="19961" spans="9:9" x14ac:dyDescent="0.2">
      <c r="I19961" s="137" t="s">
        <v>74</v>
      </c>
    </row>
    <row r="19962" spans="9:9" x14ac:dyDescent="0.2">
      <c r="I19962" s="137" t="s">
        <v>74</v>
      </c>
    </row>
    <row r="19963" spans="9:9" x14ac:dyDescent="0.2">
      <c r="I19963" s="137" t="s">
        <v>74</v>
      </c>
    </row>
    <row r="19964" spans="9:9" x14ac:dyDescent="0.2">
      <c r="I19964" s="137" t="s">
        <v>74</v>
      </c>
    </row>
    <row r="19965" spans="9:9" x14ac:dyDescent="0.2">
      <c r="I19965" s="137" t="s">
        <v>74</v>
      </c>
    </row>
    <row r="19966" spans="9:9" x14ac:dyDescent="0.2">
      <c r="I19966" s="137" t="s">
        <v>74</v>
      </c>
    </row>
    <row r="19967" spans="9:9" x14ac:dyDescent="0.2">
      <c r="I19967" s="137" t="s">
        <v>74</v>
      </c>
    </row>
    <row r="19968" spans="9:9" x14ac:dyDescent="0.2">
      <c r="I19968" s="137" t="s">
        <v>74</v>
      </c>
    </row>
    <row r="19969" spans="9:9" x14ac:dyDescent="0.2">
      <c r="I19969" s="137" t="s">
        <v>74</v>
      </c>
    </row>
    <row r="19970" spans="9:9" x14ac:dyDescent="0.2">
      <c r="I19970" s="137" t="s">
        <v>74</v>
      </c>
    </row>
    <row r="19971" spans="9:9" x14ac:dyDescent="0.2">
      <c r="I19971" s="137" t="s">
        <v>74</v>
      </c>
    </row>
    <row r="19972" spans="9:9" x14ac:dyDescent="0.2">
      <c r="I19972" s="137" t="s">
        <v>74</v>
      </c>
    </row>
    <row r="19973" spans="9:9" x14ac:dyDescent="0.2">
      <c r="I19973" s="137" t="s">
        <v>74</v>
      </c>
    </row>
    <row r="19974" spans="9:9" x14ac:dyDescent="0.2">
      <c r="I19974" s="137" t="s">
        <v>74</v>
      </c>
    </row>
    <row r="19975" spans="9:9" x14ac:dyDescent="0.2">
      <c r="I19975" s="137" t="s">
        <v>74</v>
      </c>
    </row>
    <row r="19976" spans="9:9" x14ac:dyDescent="0.2">
      <c r="I19976" s="137" t="s">
        <v>74</v>
      </c>
    </row>
    <row r="19977" spans="9:9" x14ac:dyDescent="0.2">
      <c r="I19977" s="137" t="s">
        <v>74</v>
      </c>
    </row>
    <row r="19978" spans="9:9" x14ac:dyDescent="0.2">
      <c r="I19978" s="137" t="s">
        <v>74</v>
      </c>
    </row>
    <row r="19979" spans="9:9" x14ac:dyDescent="0.2">
      <c r="I19979" s="137" t="s">
        <v>74</v>
      </c>
    </row>
    <row r="19980" spans="9:9" x14ac:dyDescent="0.2">
      <c r="I19980" s="137" t="s">
        <v>74</v>
      </c>
    </row>
    <row r="19981" spans="9:9" x14ac:dyDescent="0.2">
      <c r="I19981" s="137" t="s">
        <v>74</v>
      </c>
    </row>
    <row r="19982" spans="9:9" x14ac:dyDescent="0.2">
      <c r="I19982" s="137" t="s">
        <v>74</v>
      </c>
    </row>
    <row r="19983" spans="9:9" x14ac:dyDescent="0.2">
      <c r="I19983" s="137" t="s">
        <v>74</v>
      </c>
    </row>
    <row r="19984" spans="9:9" x14ac:dyDescent="0.2">
      <c r="I19984" s="137" t="s">
        <v>74</v>
      </c>
    </row>
    <row r="19985" spans="9:9" x14ac:dyDescent="0.2">
      <c r="I19985" s="137" t="s">
        <v>74</v>
      </c>
    </row>
    <row r="19986" spans="9:9" x14ac:dyDescent="0.2">
      <c r="I19986" s="137" t="s">
        <v>74</v>
      </c>
    </row>
    <row r="19987" spans="9:9" x14ac:dyDescent="0.2">
      <c r="I19987" s="137" t="s">
        <v>74</v>
      </c>
    </row>
    <row r="19988" spans="9:9" x14ac:dyDescent="0.2">
      <c r="I19988" s="137" t="s">
        <v>74</v>
      </c>
    </row>
    <row r="19989" spans="9:9" x14ac:dyDescent="0.2">
      <c r="I19989" s="137" t="s">
        <v>74</v>
      </c>
    </row>
    <row r="19990" spans="9:9" x14ac:dyDescent="0.2">
      <c r="I19990" s="137" t="s">
        <v>74</v>
      </c>
    </row>
    <row r="19991" spans="9:9" x14ac:dyDescent="0.2">
      <c r="I19991" s="137" t="s">
        <v>74</v>
      </c>
    </row>
    <row r="19992" spans="9:9" x14ac:dyDescent="0.2">
      <c r="I19992" s="137" t="s">
        <v>74</v>
      </c>
    </row>
    <row r="19993" spans="9:9" x14ac:dyDescent="0.2">
      <c r="I19993" s="137" t="s">
        <v>74</v>
      </c>
    </row>
    <row r="19994" spans="9:9" x14ac:dyDescent="0.2">
      <c r="I19994" s="137" t="s">
        <v>74</v>
      </c>
    </row>
    <row r="19995" spans="9:9" x14ac:dyDescent="0.2">
      <c r="I19995" s="137" t="s">
        <v>74</v>
      </c>
    </row>
    <row r="19996" spans="9:9" x14ac:dyDescent="0.2">
      <c r="I19996" s="137" t="s">
        <v>74</v>
      </c>
    </row>
    <row r="19997" spans="9:9" x14ac:dyDescent="0.2">
      <c r="I19997" s="137" t="s">
        <v>74</v>
      </c>
    </row>
    <row r="19998" spans="9:9" x14ac:dyDescent="0.2">
      <c r="I19998" s="137" t="s">
        <v>74</v>
      </c>
    </row>
    <row r="19999" spans="9:9" x14ac:dyDescent="0.2">
      <c r="I19999" s="137" t="s">
        <v>74</v>
      </c>
    </row>
    <row r="20000" spans="9:9" x14ac:dyDescent="0.2">
      <c r="I20000" s="137" t="s">
        <v>74</v>
      </c>
    </row>
    <row r="20001" spans="9:9" x14ac:dyDescent="0.2">
      <c r="I20001" s="137" t="s">
        <v>74</v>
      </c>
    </row>
    <row r="20002" spans="9:9" x14ac:dyDescent="0.2">
      <c r="I20002" s="137" t="s">
        <v>74</v>
      </c>
    </row>
    <row r="20003" spans="9:9" x14ac:dyDescent="0.2">
      <c r="I20003" s="137" t="s">
        <v>74</v>
      </c>
    </row>
    <row r="20004" spans="9:9" x14ac:dyDescent="0.2">
      <c r="I20004" s="137" t="s">
        <v>74</v>
      </c>
    </row>
    <row r="20005" spans="9:9" x14ac:dyDescent="0.2">
      <c r="I20005" s="137" t="s">
        <v>74</v>
      </c>
    </row>
    <row r="20006" spans="9:9" x14ac:dyDescent="0.2">
      <c r="I20006" s="137" t="s">
        <v>74</v>
      </c>
    </row>
    <row r="20007" spans="9:9" x14ac:dyDescent="0.2">
      <c r="I20007" s="137" t="s">
        <v>74</v>
      </c>
    </row>
    <row r="20008" spans="9:9" x14ac:dyDescent="0.2">
      <c r="I20008" s="137" t="s">
        <v>74</v>
      </c>
    </row>
    <row r="20009" spans="9:9" x14ac:dyDescent="0.2">
      <c r="I20009" s="137" t="s">
        <v>74</v>
      </c>
    </row>
    <row r="20010" spans="9:9" x14ac:dyDescent="0.2">
      <c r="I20010" s="137" t="s">
        <v>74</v>
      </c>
    </row>
    <row r="20011" spans="9:9" x14ac:dyDescent="0.2">
      <c r="I20011" s="137" t="s">
        <v>74</v>
      </c>
    </row>
    <row r="20012" spans="9:9" x14ac:dyDescent="0.2">
      <c r="I20012" s="137" t="s">
        <v>74</v>
      </c>
    </row>
    <row r="20013" spans="9:9" x14ac:dyDescent="0.2">
      <c r="I20013" s="137" t="s">
        <v>74</v>
      </c>
    </row>
    <row r="20014" spans="9:9" x14ac:dyDescent="0.2">
      <c r="I20014" s="137" t="s">
        <v>74</v>
      </c>
    </row>
    <row r="20015" spans="9:9" x14ac:dyDescent="0.2">
      <c r="I20015" s="137" t="s">
        <v>74</v>
      </c>
    </row>
    <row r="20016" spans="9:9" x14ac:dyDescent="0.2">
      <c r="I20016" s="137" t="s">
        <v>74</v>
      </c>
    </row>
    <row r="20017" spans="9:9" x14ac:dyDescent="0.2">
      <c r="I20017" s="137" t="s">
        <v>74</v>
      </c>
    </row>
    <row r="20018" spans="9:9" x14ac:dyDescent="0.2">
      <c r="I20018" s="137" t="s">
        <v>74</v>
      </c>
    </row>
    <row r="20019" spans="9:9" x14ac:dyDescent="0.2">
      <c r="I20019" s="137" t="s">
        <v>74</v>
      </c>
    </row>
    <row r="20020" spans="9:9" x14ac:dyDescent="0.2">
      <c r="I20020" s="137" t="s">
        <v>74</v>
      </c>
    </row>
    <row r="20021" spans="9:9" x14ac:dyDescent="0.2">
      <c r="I20021" s="137" t="s">
        <v>74</v>
      </c>
    </row>
    <row r="20022" spans="9:9" x14ac:dyDescent="0.2">
      <c r="I20022" s="137" t="s">
        <v>74</v>
      </c>
    </row>
    <row r="20023" spans="9:9" x14ac:dyDescent="0.2">
      <c r="I20023" s="137" t="s">
        <v>74</v>
      </c>
    </row>
    <row r="20024" spans="9:9" x14ac:dyDescent="0.2">
      <c r="I20024" s="137" t="s">
        <v>74</v>
      </c>
    </row>
    <row r="20025" spans="9:9" x14ac:dyDescent="0.2">
      <c r="I20025" s="137" t="s">
        <v>74</v>
      </c>
    </row>
    <row r="20026" spans="9:9" x14ac:dyDescent="0.2">
      <c r="I20026" s="137" t="s">
        <v>74</v>
      </c>
    </row>
    <row r="20027" spans="9:9" x14ac:dyDescent="0.2">
      <c r="I20027" s="137" t="s">
        <v>74</v>
      </c>
    </row>
    <row r="20028" spans="9:9" x14ac:dyDescent="0.2">
      <c r="I20028" s="137" t="s">
        <v>74</v>
      </c>
    </row>
    <row r="20029" spans="9:9" x14ac:dyDescent="0.2">
      <c r="I20029" s="137" t="s">
        <v>74</v>
      </c>
    </row>
    <row r="20030" spans="9:9" x14ac:dyDescent="0.2">
      <c r="I20030" s="137" t="s">
        <v>74</v>
      </c>
    </row>
    <row r="20031" spans="9:9" x14ac:dyDescent="0.2">
      <c r="I20031" s="137" t="s">
        <v>74</v>
      </c>
    </row>
    <row r="20032" spans="9:9" x14ac:dyDescent="0.2">
      <c r="I20032" s="137" t="s">
        <v>74</v>
      </c>
    </row>
    <row r="20033" spans="9:9" x14ac:dyDescent="0.2">
      <c r="I20033" s="137" t="s">
        <v>74</v>
      </c>
    </row>
    <row r="20034" spans="9:9" x14ac:dyDescent="0.2">
      <c r="I20034" s="137" t="s">
        <v>74</v>
      </c>
    </row>
    <row r="20035" spans="9:9" x14ac:dyDescent="0.2">
      <c r="I20035" s="137" t="s">
        <v>74</v>
      </c>
    </row>
    <row r="20036" spans="9:9" x14ac:dyDescent="0.2">
      <c r="I20036" s="137" t="s">
        <v>74</v>
      </c>
    </row>
    <row r="20037" spans="9:9" x14ac:dyDescent="0.2">
      <c r="I20037" s="137" t="s">
        <v>74</v>
      </c>
    </row>
    <row r="20038" spans="9:9" x14ac:dyDescent="0.2">
      <c r="I20038" s="137" t="s">
        <v>74</v>
      </c>
    </row>
    <row r="20039" spans="9:9" x14ac:dyDescent="0.2">
      <c r="I20039" s="137" t="s">
        <v>74</v>
      </c>
    </row>
    <row r="20040" spans="9:9" x14ac:dyDescent="0.2">
      <c r="I20040" s="137" t="s">
        <v>74</v>
      </c>
    </row>
    <row r="20041" spans="9:9" x14ac:dyDescent="0.2">
      <c r="I20041" s="137" t="s">
        <v>74</v>
      </c>
    </row>
    <row r="20042" spans="9:9" x14ac:dyDescent="0.2">
      <c r="I20042" s="137" t="s">
        <v>74</v>
      </c>
    </row>
    <row r="20043" spans="9:9" x14ac:dyDescent="0.2">
      <c r="I20043" s="137" t="s">
        <v>74</v>
      </c>
    </row>
    <row r="20044" spans="9:9" x14ac:dyDescent="0.2">
      <c r="I20044" s="137" t="s">
        <v>74</v>
      </c>
    </row>
    <row r="20045" spans="9:9" x14ac:dyDescent="0.2">
      <c r="I20045" s="137" t="s">
        <v>74</v>
      </c>
    </row>
    <row r="20046" spans="9:9" x14ac:dyDescent="0.2">
      <c r="I20046" s="137" t="s">
        <v>74</v>
      </c>
    </row>
    <row r="20047" spans="9:9" x14ac:dyDescent="0.2">
      <c r="I20047" s="137" t="s">
        <v>74</v>
      </c>
    </row>
    <row r="20048" spans="9:9" x14ac:dyDescent="0.2">
      <c r="I20048" s="137" t="s">
        <v>74</v>
      </c>
    </row>
    <row r="20049" spans="9:9" x14ac:dyDescent="0.2">
      <c r="I20049" s="137" t="s">
        <v>74</v>
      </c>
    </row>
    <row r="20050" spans="9:9" x14ac:dyDescent="0.2">
      <c r="I20050" s="137" t="s">
        <v>74</v>
      </c>
    </row>
    <row r="20051" spans="9:9" x14ac:dyDescent="0.2">
      <c r="I20051" s="137" t="s">
        <v>74</v>
      </c>
    </row>
    <row r="20052" spans="9:9" x14ac:dyDescent="0.2">
      <c r="I20052" s="137" t="s">
        <v>74</v>
      </c>
    </row>
    <row r="20053" spans="9:9" x14ac:dyDescent="0.2">
      <c r="I20053" s="137" t="s">
        <v>74</v>
      </c>
    </row>
    <row r="20054" spans="9:9" x14ac:dyDescent="0.2">
      <c r="I20054" s="137" t="s">
        <v>74</v>
      </c>
    </row>
    <row r="20055" spans="9:9" x14ac:dyDescent="0.2">
      <c r="I20055" s="137" t="s">
        <v>74</v>
      </c>
    </row>
    <row r="20056" spans="9:9" x14ac:dyDescent="0.2">
      <c r="I20056" s="137" t="s">
        <v>74</v>
      </c>
    </row>
    <row r="20057" spans="9:9" x14ac:dyDescent="0.2">
      <c r="I20057" s="137" t="s">
        <v>74</v>
      </c>
    </row>
    <row r="20058" spans="9:9" x14ac:dyDescent="0.2">
      <c r="I20058" s="137" t="s">
        <v>74</v>
      </c>
    </row>
    <row r="20059" spans="9:9" x14ac:dyDescent="0.2">
      <c r="I20059" s="137" t="s">
        <v>74</v>
      </c>
    </row>
    <row r="20060" spans="9:9" x14ac:dyDescent="0.2">
      <c r="I20060" s="137" t="s">
        <v>74</v>
      </c>
    </row>
    <row r="20061" spans="9:9" x14ac:dyDescent="0.2">
      <c r="I20061" s="137" t="s">
        <v>74</v>
      </c>
    </row>
    <row r="20062" spans="9:9" x14ac:dyDescent="0.2">
      <c r="I20062" s="137" t="s">
        <v>74</v>
      </c>
    </row>
    <row r="20063" spans="9:9" x14ac:dyDescent="0.2">
      <c r="I20063" s="137" t="s">
        <v>74</v>
      </c>
    </row>
    <row r="20064" spans="9:9" x14ac:dyDescent="0.2">
      <c r="I20064" s="137" t="s">
        <v>74</v>
      </c>
    </row>
    <row r="20065" spans="9:9" x14ac:dyDescent="0.2">
      <c r="I20065" s="137" t="s">
        <v>74</v>
      </c>
    </row>
    <row r="20066" spans="9:9" x14ac:dyDescent="0.2">
      <c r="I20066" s="137" t="s">
        <v>74</v>
      </c>
    </row>
    <row r="20067" spans="9:9" x14ac:dyDescent="0.2">
      <c r="I20067" s="137" t="s">
        <v>74</v>
      </c>
    </row>
    <row r="20068" spans="9:9" x14ac:dyDescent="0.2">
      <c r="I20068" s="137" t="s">
        <v>74</v>
      </c>
    </row>
    <row r="20069" spans="9:9" x14ac:dyDescent="0.2">
      <c r="I20069" s="137" t="s">
        <v>74</v>
      </c>
    </row>
    <row r="20070" spans="9:9" x14ac:dyDescent="0.2">
      <c r="I20070" s="137" t="s">
        <v>74</v>
      </c>
    </row>
    <row r="20071" spans="9:9" x14ac:dyDescent="0.2">
      <c r="I20071" s="137" t="s">
        <v>74</v>
      </c>
    </row>
    <row r="20072" spans="9:9" x14ac:dyDescent="0.2">
      <c r="I20072" s="137" t="s">
        <v>74</v>
      </c>
    </row>
    <row r="20073" spans="9:9" x14ac:dyDescent="0.2">
      <c r="I20073" s="137" t="s">
        <v>74</v>
      </c>
    </row>
    <row r="20074" spans="9:9" x14ac:dyDescent="0.2">
      <c r="I20074" s="137" t="s">
        <v>74</v>
      </c>
    </row>
    <row r="20075" spans="9:9" x14ac:dyDescent="0.2">
      <c r="I20075" s="137" t="s">
        <v>74</v>
      </c>
    </row>
    <row r="20076" spans="9:9" x14ac:dyDescent="0.2">
      <c r="I20076" s="137" t="s">
        <v>74</v>
      </c>
    </row>
    <row r="20077" spans="9:9" x14ac:dyDescent="0.2">
      <c r="I20077" s="137" t="s">
        <v>74</v>
      </c>
    </row>
    <row r="20078" spans="9:9" x14ac:dyDescent="0.2">
      <c r="I20078" s="137" t="s">
        <v>74</v>
      </c>
    </row>
    <row r="20079" spans="9:9" x14ac:dyDescent="0.2">
      <c r="I20079" s="137" t="s">
        <v>74</v>
      </c>
    </row>
    <row r="20080" spans="9:9" x14ac:dyDescent="0.2">
      <c r="I20080" s="137" t="s">
        <v>74</v>
      </c>
    </row>
    <row r="20081" spans="9:9" x14ac:dyDescent="0.2">
      <c r="I20081" s="137" t="s">
        <v>74</v>
      </c>
    </row>
    <row r="20082" spans="9:9" x14ac:dyDescent="0.2">
      <c r="I20082" s="137" t="s">
        <v>74</v>
      </c>
    </row>
    <row r="20083" spans="9:9" x14ac:dyDescent="0.2">
      <c r="I20083" s="137" t="s">
        <v>74</v>
      </c>
    </row>
    <row r="20084" spans="9:9" x14ac:dyDescent="0.2">
      <c r="I20084" s="137" t="s">
        <v>74</v>
      </c>
    </row>
    <row r="20085" spans="9:9" x14ac:dyDescent="0.2">
      <c r="I20085" s="137" t="s">
        <v>74</v>
      </c>
    </row>
    <row r="20086" spans="9:9" x14ac:dyDescent="0.2">
      <c r="I20086" s="137" t="s">
        <v>74</v>
      </c>
    </row>
    <row r="20087" spans="9:9" x14ac:dyDescent="0.2">
      <c r="I20087" s="137" t="s">
        <v>74</v>
      </c>
    </row>
    <row r="20088" spans="9:9" x14ac:dyDescent="0.2">
      <c r="I20088" s="137" t="s">
        <v>74</v>
      </c>
    </row>
    <row r="20089" spans="9:9" x14ac:dyDescent="0.2">
      <c r="I20089" s="137" t="s">
        <v>74</v>
      </c>
    </row>
    <row r="20090" spans="9:9" x14ac:dyDescent="0.2">
      <c r="I20090" s="137" t="s">
        <v>74</v>
      </c>
    </row>
    <row r="20091" spans="9:9" x14ac:dyDescent="0.2">
      <c r="I20091" s="137" t="s">
        <v>74</v>
      </c>
    </row>
    <row r="20092" spans="9:9" x14ac:dyDescent="0.2">
      <c r="I20092" s="137" t="s">
        <v>74</v>
      </c>
    </row>
    <row r="20093" spans="9:9" x14ac:dyDescent="0.2">
      <c r="I20093" s="137" t="s">
        <v>74</v>
      </c>
    </row>
    <row r="20094" spans="9:9" x14ac:dyDescent="0.2">
      <c r="I20094" s="137" t="s">
        <v>74</v>
      </c>
    </row>
    <row r="20095" spans="9:9" x14ac:dyDescent="0.2">
      <c r="I20095" s="137" t="s">
        <v>74</v>
      </c>
    </row>
    <row r="20096" spans="9:9" x14ac:dyDescent="0.2">
      <c r="I20096" s="137" t="s">
        <v>74</v>
      </c>
    </row>
    <row r="20097" spans="9:9" x14ac:dyDescent="0.2">
      <c r="I20097" s="137" t="s">
        <v>74</v>
      </c>
    </row>
    <row r="20098" spans="9:9" x14ac:dyDescent="0.2">
      <c r="I20098" s="137" t="s">
        <v>74</v>
      </c>
    </row>
    <row r="20099" spans="9:9" x14ac:dyDescent="0.2">
      <c r="I20099" s="137" t="s">
        <v>74</v>
      </c>
    </row>
    <row r="20100" spans="9:9" x14ac:dyDescent="0.2">
      <c r="I20100" s="137" t="s">
        <v>74</v>
      </c>
    </row>
    <row r="20101" spans="9:9" x14ac:dyDescent="0.2">
      <c r="I20101" s="137" t="s">
        <v>74</v>
      </c>
    </row>
    <row r="20102" spans="9:9" x14ac:dyDescent="0.2">
      <c r="I20102" s="137" t="s">
        <v>74</v>
      </c>
    </row>
    <row r="20103" spans="9:9" x14ac:dyDescent="0.2">
      <c r="I20103" s="137" t="s">
        <v>74</v>
      </c>
    </row>
    <row r="20104" spans="9:9" x14ac:dyDescent="0.2">
      <c r="I20104" s="137" t="s">
        <v>74</v>
      </c>
    </row>
    <row r="20105" spans="9:9" x14ac:dyDescent="0.2">
      <c r="I20105" s="137" t="s">
        <v>74</v>
      </c>
    </row>
    <row r="20106" spans="9:9" x14ac:dyDescent="0.2">
      <c r="I20106" s="137" t="s">
        <v>74</v>
      </c>
    </row>
    <row r="20107" spans="9:9" x14ac:dyDescent="0.2">
      <c r="I20107" s="137" t="s">
        <v>74</v>
      </c>
    </row>
    <row r="20108" spans="9:9" x14ac:dyDescent="0.2">
      <c r="I20108" s="137" t="s">
        <v>74</v>
      </c>
    </row>
    <row r="20109" spans="9:9" x14ac:dyDescent="0.2">
      <c r="I20109" s="137" t="s">
        <v>74</v>
      </c>
    </row>
    <row r="20110" spans="9:9" x14ac:dyDescent="0.2">
      <c r="I20110" s="137" t="s">
        <v>74</v>
      </c>
    </row>
    <row r="20111" spans="9:9" x14ac:dyDescent="0.2">
      <c r="I20111" s="137" t="s">
        <v>74</v>
      </c>
    </row>
    <row r="20112" spans="9:9" x14ac:dyDescent="0.2">
      <c r="I20112" s="137" t="s">
        <v>74</v>
      </c>
    </row>
    <row r="20113" spans="9:9" x14ac:dyDescent="0.2">
      <c r="I20113" s="137" t="s">
        <v>74</v>
      </c>
    </row>
    <row r="20114" spans="9:9" x14ac:dyDescent="0.2">
      <c r="I20114" s="137" t="s">
        <v>74</v>
      </c>
    </row>
    <row r="20115" spans="9:9" x14ac:dyDescent="0.2">
      <c r="I20115" s="137" t="s">
        <v>74</v>
      </c>
    </row>
    <row r="20116" spans="9:9" x14ac:dyDescent="0.2">
      <c r="I20116" s="137" t="s">
        <v>74</v>
      </c>
    </row>
    <row r="20117" spans="9:9" x14ac:dyDescent="0.2">
      <c r="I20117" s="137" t="s">
        <v>74</v>
      </c>
    </row>
    <row r="20118" spans="9:9" x14ac:dyDescent="0.2">
      <c r="I20118" s="137" t="s">
        <v>74</v>
      </c>
    </row>
    <row r="20119" spans="9:9" x14ac:dyDescent="0.2">
      <c r="I20119" s="137" t="s">
        <v>74</v>
      </c>
    </row>
    <row r="20120" spans="9:9" x14ac:dyDescent="0.2">
      <c r="I20120" s="137" t="s">
        <v>74</v>
      </c>
    </row>
    <row r="20121" spans="9:9" x14ac:dyDescent="0.2">
      <c r="I20121" s="137" t="s">
        <v>74</v>
      </c>
    </row>
    <row r="20122" spans="9:9" x14ac:dyDescent="0.2">
      <c r="I20122" s="137" t="s">
        <v>74</v>
      </c>
    </row>
    <row r="20123" spans="9:9" x14ac:dyDescent="0.2">
      <c r="I20123" s="137" t="s">
        <v>74</v>
      </c>
    </row>
    <row r="20124" spans="9:9" x14ac:dyDescent="0.2">
      <c r="I20124" s="137" t="s">
        <v>74</v>
      </c>
    </row>
    <row r="20125" spans="9:9" x14ac:dyDescent="0.2">
      <c r="I20125" s="137" t="s">
        <v>74</v>
      </c>
    </row>
    <row r="20126" spans="9:9" x14ac:dyDescent="0.2">
      <c r="I20126" s="137" t="s">
        <v>74</v>
      </c>
    </row>
    <row r="20127" spans="9:9" x14ac:dyDescent="0.2">
      <c r="I20127" s="137" t="s">
        <v>74</v>
      </c>
    </row>
    <row r="20128" spans="9:9" x14ac:dyDescent="0.2">
      <c r="I20128" s="137" t="s">
        <v>74</v>
      </c>
    </row>
    <row r="20129" spans="9:9" x14ac:dyDescent="0.2">
      <c r="I20129" s="137" t="s">
        <v>74</v>
      </c>
    </row>
    <row r="20130" spans="9:9" x14ac:dyDescent="0.2">
      <c r="I20130" s="137" t="s">
        <v>74</v>
      </c>
    </row>
    <row r="20131" spans="9:9" x14ac:dyDescent="0.2">
      <c r="I20131" s="137" t="s">
        <v>74</v>
      </c>
    </row>
    <row r="20132" spans="9:9" x14ac:dyDescent="0.2">
      <c r="I20132" s="137" t="s">
        <v>74</v>
      </c>
    </row>
    <row r="20133" spans="9:9" x14ac:dyDescent="0.2">
      <c r="I20133" s="137" t="s">
        <v>74</v>
      </c>
    </row>
    <row r="20134" spans="9:9" x14ac:dyDescent="0.2">
      <c r="I20134" s="137" t="s">
        <v>74</v>
      </c>
    </row>
    <row r="20135" spans="9:9" x14ac:dyDescent="0.2">
      <c r="I20135" s="137" t="s">
        <v>74</v>
      </c>
    </row>
    <row r="20136" spans="9:9" x14ac:dyDescent="0.2">
      <c r="I20136" s="137" t="s">
        <v>74</v>
      </c>
    </row>
    <row r="20137" spans="9:9" x14ac:dyDescent="0.2">
      <c r="I20137" s="137" t="s">
        <v>74</v>
      </c>
    </row>
    <row r="20138" spans="9:9" x14ac:dyDescent="0.2">
      <c r="I20138" s="137" t="s">
        <v>74</v>
      </c>
    </row>
    <row r="20139" spans="9:9" x14ac:dyDescent="0.2">
      <c r="I20139" s="137" t="s">
        <v>74</v>
      </c>
    </row>
    <row r="20140" spans="9:9" x14ac:dyDescent="0.2">
      <c r="I20140" s="137" t="s">
        <v>74</v>
      </c>
    </row>
    <row r="20141" spans="9:9" x14ac:dyDescent="0.2">
      <c r="I20141" s="137" t="s">
        <v>74</v>
      </c>
    </row>
    <row r="20142" spans="9:9" x14ac:dyDescent="0.2">
      <c r="I20142" s="137" t="s">
        <v>74</v>
      </c>
    </row>
    <row r="20143" spans="9:9" x14ac:dyDescent="0.2">
      <c r="I20143" s="137" t="s">
        <v>74</v>
      </c>
    </row>
    <row r="20144" spans="9:9" x14ac:dyDescent="0.2">
      <c r="I20144" s="137" t="s">
        <v>74</v>
      </c>
    </row>
    <row r="20145" spans="9:9" x14ac:dyDescent="0.2">
      <c r="I20145" s="137" t="s">
        <v>74</v>
      </c>
    </row>
    <row r="20146" spans="9:9" x14ac:dyDescent="0.2">
      <c r="I20146" s="137" t="s">
        <v>74</v>
      </c>
    </row>
    <row r="20147" spans="9:9" x14ac:dyDescent="0.2">
      <c r="I20147" s="137" t="s">
        <v>74</v>
      </c>
    </row>
    <row r="20148" spans="9:9" x14ac:dyDescent="0.2">
      <c r="I20148" s="137" t="s">
        <v>74</v>
      </c>
    </row>
    <row r="20149" spans="9:9" x14ac:dyDescent="0.2">
      <c r="I20149" s="137" t="s">
        <v>74</v>
      </c>
    </row>
    <row r="20150" spans="9:9" x14ac:dyDescent="0.2">
      <c r="I20150" s="137" t="s">
        <v>74</v>
      </c>
    </row>
    <row r="20151" spans="9:9" x14ac:dyDescent="0.2">
      <c r="I20151" s="137" t="s">
        <v>74</v>
      </c>
    </row>
    <row r="20152" spans="9:9" x14ac:dyDescent="0.2">
      <c r="I20152" s="137" t="s">
        <v>74</v>
      </c>
    </row>
    <row r="20153" spans="9:9" x14ac:dyDescent="0.2">
      <c r="I20153" s="137" t="s">
        <v>74</v>
      </c>
    </row>
    <row r="20154" spans="9:9" x14ac:dyDescent="0.2">
      <c r="I20154" s="137" t="s">
        <v>74</v>
      </c>
    </row>
    <row r="20155" spans="9:9" x14ac:dyDescent="0.2">
      <c r="I20155" s="137" t="s">
        <v>74</v>
      </c>
    </row>
    <row r="20156" spans="9:9" x14ac:dyDescent="0.2">
      <c r="I20156" s="137" t="s">
        <v>74</v>
      </c>
    </row>
    <row r="20157" spans="9:9" x14ac:dyDescent="0.2">
      <c r="I20157" s="137" t="s">
        <v>74</v>
      </c>
    </row>
    <row r="20158" spans="9:9" x14ac:dyDescent="0.2">
      <c r="I20158" s="137" t="s">
        <v>74</v>
      </c>
    </row>
    <row r="20159" spans="9:9" x14ac:dyDescent="0.2">
      <c r="I20159" s="137" t="s">
        <v>74</v>
      </c>
    </row>
    <row r="20160" spans="9:9" x14ac:dyDescent="0.2">
      <c r="I20160" s="137" t="s">
        <v>74</v>
      </c>
    </row>
    <row r="20161" spans="9:9" x14ac:dyDescent="0.2">
      <c r="I20161" s="137" t="s">
        <v>74</v>
      </c>
    </row>
    <row r="20162" spans="9:9" x14ac:dyDescent="0.2">
      <c r="I20162" s="137" t="s">
        <v>74</v>
      </c>
    </row>
    <row r="20163" spans="9:9" x14ac:dyDescent="0.2">
      <c r="I20163" s="137" t="s">
        <v>74</v>
      </c>
    </row>
    <row r="20164" spans="9:9" x14ac:dyDescent="0.2">
      <c r="I20164" s="137" t="s">
        <v>74</v>
      </c>
    </row>
    <row r="20165" spans="9:9" x14ac:dyDescent="0.2">
      <c r="I20165" s="137" t="s">
        <v>74</v>
      </c>
    </row>
    <row r="20166" spans="9:9" x14ac:dyDescent="0.2">
      <c r="I20166" s="137" t="s">
        <v>74</v>
      </c>
    </row>
    <row r="20167" spans="9:9" x14ac:dyDescent="0.2">
      <c r="I20167" s="137" t="s">
        <v>74</v>
      </c>
    </row>
    <row r="20168" spans="9:9" x14ac:dyDescent="0.2">
      <c r="I20168" s="137" t="s">
        <v>74</v>
      </c>
    </row>
    <row r="20169" spans="9:9" x14ac:dyDescent="0.2">
      <c r="I20169" s="137" t="s">
        <v>74</v>
      </c>
    </row>
    <row r="20170" spans="9:9" x14ac:dyDescent="0.2">
      <c r="I20170" s="137" t="s">
        <v>74</v>
      </c>
    </row>
    <row r="20171" spans="9:9" x14ac:dyDescent="0.2">
      <c r="I20171" s="137" t="s">
        <v>74</v>
      </c>
    </row>
    <row r="20172" spans="9:9" x14ac:dyDescent="0.2">
      <c r="I20172" s="137" t="s">
        <v>74</v>
      </c>
    </row>
    <row r="20173" spans="9:9" x14ac:dyDescent="0.2">
      <c r="I20173" s="137" t="s">
        <v>74</v>
      </c>
    </row>
    <row r="20174" spans="9:9" x14ac:dyDescent="0.2">
      <c r="I20174" s="137" t="s">
        <v>74</v>
      </c>
    </row>
    <row r="20175" spans="9:9" x14ac:dyDescent="0.2">
      <c r="I20175" s="137" t="s">
        <v>74</v>
      </c>
    </row>
    <row r="20176" spans="9:9" x14ac:dyDescent="0.2">
      <c r="I20176" s="137" t="s">
        <v>74</v>
      </c>
    </row>
    <row r="20177" spans="9:9" x14ac:dyDescent="0.2">
      <c r="I20177" s="137" t="s">
        <v>74</v>
      </c>
    </row>
    <row r="20178" spans="9:9" x14ac:dyDescent="0.2">
      <c r="I20178" s="137" t="s">
        <v>74</v>
      </c>
    </row>
    <row r="20179" spans="9:9" x14ac:dyDescent="0.2">
      <c r="I20179" s="137" t="s">
        <v>74</v>
      </c>
    </row>
    <row r="20180" spans="9:9" x14ac:dyDescent="0.2">
      <c r="I20180" s="137" t="s">
        <v>74</v>
      </c>
    </row>
    <row r="20181" spans="9:9" x14ac:dyDescent="0.2">
      <c r="I20181" s="137" t="s">
        <v>74</v>
      </c>
    </row>
    <row r="20182" spans="9:9" x14ac:dyDescent="0.2">
      <c r="I20182" s="137" t="s">
        <v>74</v>
      </c>
    </row>
    <row r="20183" spans="9:9" x14ac:dyDescent="0.2">
      <c r="I20183" s="137" t="s">
        <v>74</v>
      </c>
    </row>
    <row r="20184" spans="9:9" x14ac:dyDescent="0.2">
      <c r="I20184" s="137" t="s">
        <v>74</v>
      </c>
    </row>
    <row r="20185" spans="9:9" x14ac:dyDescent="0.2">
      <c r="I20185" s="137" t="s">
        <v>74</v>
      </c>
    </row>
    <row r="20186" spans="9:9" x14ac:dyDescent="0.2">
      <c r="I20186" s="137" t="s">
        <v>74</v>
      </c>
    </row>
    <row r="20187" spans="9:9" x14ac:dyDescent="0.2">
      <c r="I20187" s="137" t="s">
        <v>74</v>
      </c>
    </row>
    <row r="20188" spans="9:9" x14ac:dyDescent="0.2">
      <c r="I20188" s="137" t="s">
        <v>74</v>
      </c>
    </row>
    <row r="20189" spans="9:9" x14ac:dyDescent="0.2">
      <c r="I20189" s="137" t="s">
        <v>74</v>
      </c>
    </row>
    <row r="20190" spans="9:9" x14ac:dyDescent="0.2">
      <c r="I20190" s="137" t="s">
        <v>74</v>
      </c>
    </row>
    <row r="20191" spans="9:9" x14ac:dyDescent="0.2">
      <c r="I20191" s="137" t="s">
        <v>74</v>
      </c>
    </row>
    <row r="20192" spans="9:9" x14ac:dyDescent="0.2">
      <c r="I20192" s="137" t="s">
        <v>74</v>
      </c>
    </row>
    <row r="20193" spans="9:9" x14ac:dyDescent="0.2">
      <c r="I20193" s="137" t="s">
        <v>74</v>
      </c>
    </row>
    <row r="20194" spans="9:9" x14ac:dyDescent="0.2">
      <c r="I20194" s="137" t="s">
        <v>74</v>
      </c>
    </row>
    <row r="20195" spans="9:9" x14ac:dyDescent="0.2">
      <c r="I20195" s="137" t="s">
        <v>74</v>
      </c>
    </row>
    <row r="20196" spans="9:9" x14ac:dyDescent="0.2">
      <c r="I20196" s="137" t="s">
        <v>74</v>
      </c>
    </row>
    <row r="20197" spans="9:9" x14ac:dyDescent="0.2">
      <c r="I20197" s="137" t="s">
        <v>74</v>
      </c>
    </row>
    <row r="20198" spans="9:9" x14ac:dyDescent="0.2">
      <c r="I20198" s="137" t="s">
        <v>74</v>
      </c>
    </row>
    <row r="20199" spans="9:9" x14ac:dyDescent="0.2">
      <c r="I20199" s="137" t="s">
        <v>74</v>
      </c>
    </row>
    <row r="20200" spans="9:9" x14ac:dyDescent="0.2">
      <c r="I20200" s="137" t="s">
        <v>74</v>
      </c>
    </row>
    <row r="20201" spans="9:9" x14ac:dyDescent="0.2">
      <c r="I20201" s="137" t="s">
        <v>74</v>
      </c>
    </row>
    <row r="20202" spans="9:9" x14ac:dyDescent="0.2">
      <c r="I20202" s="137" t="s">
        <v>74</v>
      </c>
    </row>
    <row r="20203" spans="9:9" x14ac:dyDescent="0.2">
      <c r="I20203" s="137" t="s">
        <v>74</v>
      </c>
    </row>
    <row r="20204" spans="9:9" x14ac:dyDescent="0.2">
      <c r="I20204" s="137" t="s">
        <v>74</v>
      </c>
    </row>
    <row r="20205" spans="9:9" x14ac:dyDescent="0.2">
      <c r="I20205" s="137" t="s">
        <v>74</v>
      </c>
    </row>
    <row r="20206" spans="9:9" x14ac:dyDescent="0.2">
      <c r="I20206" s="137" t="s">
        <v>74</v>
      </c>
    </row>
    <row r="20207" spans="9:9" x14ac:dyDescent="0.2">
      <c r="I20207" s="137" t="s">
        <v>74</v>
      </c>
    </row>
    <row r="20208" spans="9:9" x14ac:dyDescent="0.2">
      <c r="I20208" s="137" t="s">
        <v>74</v>
      </c>
    </row>
    <row r="20209" spans="9:9" x14ac:dyDescent="0.2">
      <c r="I20209" s="137" t="s">
        <v>74</v>
      </c>
    </row>
    <row r="20210" spans="9:9" x14ac:dyDescent="0.2">
      <c r="I20210" s="137" t="s">
        <v>74</v>
      </c>
    </row>
    <row r="20211" spans="9:9" x14ac:dyDescent="0.2">
      <c r="I20211" s="137" t="s">
        <v>74</v>
      </c>
    </row>
    <row r="20212" spans="9:9" x14ac:dyDescent="0.2">
      <c r="I20212" s="137" t="s">
        <v>74</v>
      </c>
    </row>
    <row r="20213" spans="9:9" x14ac:dyDescent="0.2">
      <c r="I20213" s="137" t="s">
        <v>74</v>
      </c>
    </row>
    <row r="20214" spans="9:9" x14ac:dyDescent="0.2">
      <c r="I20214" s="137" t="s">
        <v>74</v>
      </c>
    </row>
    <row r="20215" spans="9:9" x14ac:dyDescent="0.2">
      <c r="I20215" s="137" t="s">
        <v>74</v>
      </c>
    </row>
    <row r="20216" spans="9:9" x14ac:dyDescent="0.2">
      <c r="I20216" s="137" t="s">
        <v>74</v>
      </c>
    </row>
    <row r="20217" spans="9:9" x14ac:dyDescent="0.2">
      <c r="I20217" s="137" t="s">
        <v>74</v>
      </c>
    </row>
    <row r="20218" spans="9:9" x14ac:dyDescent="0.2">
      <c r="I20218" s="137" t="s">
        <v>74</v>
      </c>
    </row>
    <row r="20219" spans="9:9" x14ac:dyDescent="0.2">
      <c r="I20219" s="137" t="s">
        <v>74</v>
      </c>
    </row>
    <row r="20220" spans="9:9" x14ac:dyDescent="0.2">
      <c r="I20220" s="137" t="s">
        <v>74</v>
      </c>
    </row>
    <row r="20221" spans="9:9" x14ac:dyDescent="0.2">
      <c r="I20221" s="137" t="s">
        <v>74</v>
      </c>
    </row>
    <row r="20222" spans="9:9" x14ac:dyDescent="0.2">
      <c r="I20222" s="137" t="s">
        <v>74</v>
      </c>
    </row>
    <row r="20223" spans="9:9" x14ac:dyDescent="0.2">
      <c r="I20223" s="137" t="s">
        <v>74</v>
      </c>
    </row>
    <row r="20224" spans="9:9" x14ac:dyDescent="0.2">
      <c r="I20224" s="137" t="s">
        <v>74</v>
      </c>
    </row>
    <row r="20225" spans="9:9" x14ac:dyDescent="0.2">
      <c r="I20225" s="137" t="s">
        <v>74</v>
      </c>
    </row>
    <row r="20226" spans="9:9" x14ac:dyDescent="0.2">
      <c r="I20226" s="137" t="s">
        <v>74</v>
      </c>
    </row>
    <row r="20227" spans="9:9" x14ac:dyDescent="0.2">
      <c r="I20227" s="137" t="s">
        <v>74</v>
      </c>
    </row>
    <row r="20228" spans="9:9" x14ac:dyDescent="0.2">
      <c r="I20228" s="137" t="s">
        <v>74</v>
      </c>
    </row>
    <row r="20229" spans="9:9" x14ac:dyDescent="0.2">
      <c r="I20229" s="137" t="s">
        <v>74</v>
      </c>
    </row>
    <row r="20230" spans="9:9" x14ac:dyDescent="0.2">
      <c r="I20230" s="137" t="s">
        <v>74</v>
      </c>
    </row>
    <row r="20231" spans="9:9" x14ac:dyDescent="0.2">
      <c r="I20231" s="137" t="s">
        <v>74</v>
      </c>
    </row>
    <row r="20232" spans="9:9" x14ac:dyDescent="0.2">
      <c r="I20232" s="137" t="s">
        <v>74</v>
      </c>
    </row>
    <row r="20233" spans="9:9" x14ac:dyDescent="0.2">
      <c r="I20233" s="137" t="s">
        <v>74</v>
      </c>
    </row>
    <row r="20234" spans="9:9" x14ac:dyDescent="0.2">
      <c r="I20234" s="137" t="s">
        <v>74</v>
      </c>
    </row>
    <row r="20235" spans="9:9" x14ac:dyDescent="0.2">
      <c r="I20235" s="137" t="s">
        <v>74</v>
      </c>
    </row>
    <row r="20236" spans="9:9" x14ac:dyDescent="0.2">
      <c r="I20236" s="137" t="s">
        <v>74</v>
      </c>
    </row>
    <row r="20237" spans="9:9" x14ac:dyDescent="0.2">
      <c r="I20237" s="137" t="s">
        <v>74</v>
      </c>
    </row>
    <row r="20238" spans="9:9" x14ac:dyDescent="0.2">
      <c r="I20238" s="137" t="s">
        <v>74</v>
      </c>
    </row>
    <row r="20239" spans="9:9" x14ac:dyDescent="0.2">
      <c r="I20239" s="137" t="s">
        <v>74</v>
      </c>
    </row>
    <row r="20240" spans="9:9" x14ac:dyDescent="0.2">
      <c r="I20240" s="137" t="s">
        <v>74</v>
      </c>
    </row>
    <row r="20241" spans="9:9" x14ac:dyDescent="0.2">
      <c r="I20241" s="137" t="s">
        <v>74</v>
      </c>
    </row>
    <row r="20242" spans="9:9" x14ac:dyDescent="0.2">
      <c r="I20242" s="137" t="s">
        <v>74</v>
      </c>
    </row>
    <row r="20243" spans="9:9" x14ac:dyDescent="0.2">
      <c r="I20243" s="137" t="s">
        <v>74</v>
      </c>
    </row>
    <row r="20244" spans="9:9" x14ac:dyDescent="0.2">
      <c r="I20244" s="137" t="s">
        <v>74</v>
      </c>
    </row>
    <row r="20245" spans="9:9" x14ac:dyDescent="0.2">
      <c r="I20245" s="137" t="s">
        <v>74</v>
      </c>
    </row>
    <row r="20246" spans="9:9" x14ac:dyDescent="0.2">
      <c r="I20246" s="137" t="s">
        <v>74</v>
      </c>
    </row>
    <row r="20247" spans="9:9" x14ac:dyDescent="0.2">
      <c r="I20247" s="137" t="s">
        <v>74</v>
      </c>
    </row>
    <row r="20248" spans="9:9" x14ac:dyDescent="0.2">
      <c r="I20248" s="137" t="s">
        <v>74</v>
      </c>
    </row>
    <row r="20249" spans="9:9" x14ac:dyDescent="0.2">
      <c r="I20249" s="137" t="s">
        <v>74</v>
      </c>
    </row>
    <row r="20250" spans="9:9" x14ac:dyDescent="0.2">
      <c r="I20250" s="137" t="s">
        <v>74</v>
      </c>
    </row>
    <row r="20251" spans="9:9" x14ac:dyDescent="0.2">
      <c r="I20251" s="137" t="s">
        <v>74</v>
      </c>
    </row>
    <row r="20252" spans="9:9" x14ac:dyDescent="0.2">
      <c r="I20252" s="137" t="s">
        <v>74</v>
      </c>
    </row>
    <row r="20253" spans="9:9" x14ac:dyDescent="0.2">
      <c r="I20253" s="137" t="s">
        <v>74</v>
      </c>
    </row>
    <row r="20254" spans="9:9" x14ac:dyDescent="0.2">
      <c r="I20254" s="137" t="s">
        <v>74</v>
      </c>
    </row>
    <row r="20255" spans="9:9" x14ac:dyDescent="0.2">
      <c r="I20255" s="137" t="s">
        <v>74</v>
      </c>
    </row>
    <row r="20256" spans="9:9" x14ac:dyDescent="0.2">
      <c r="I20256" s="137" t="s">
        <v>74</v>
      </c>
    </row>
    <row r="20257" spans="9:9" x14ac:dyDescent="0.2">
      <c r="I20257" s="137" t="s">
        <v>74</v>
      </c>
    </row>
    <row r="20258" spans="9:9" x14ac:dyDescent="0.2">
      <c r="I20258" s="137" t="s">
        <v>74</v>
      </c>
    </row>
    <row r="20259" spans="9:9" x14ac:dyDescent="0.2">
      <c r="I20259" s="137" t="s">
        <v>74</v>
      </c>
    </row>
    <row r="20260" spans="9:9" x14ac:dyDescent="0.2">
      <c r="I20260" s="137" t="s">
        <v>74</v>
      </c>
    </row>
    <row r="20261" spans="9:9" x14ac:dyDescent="0.2">
      <c r="I20261" s="137" t="s">
        <v>74</v>
      </c>
    </row>
    <row r="20262" spans="9:9" x14ac:dyDescent="0.2">
      <c r="I20262" s="137" t="s">
        <v>74</v>
      </c>
    </row>
    <row r="20263" spans="9:9" x14ac:dyDescent="0.2">
      <c r="I20263" s="137" t="s">
        <v>74</v>
      </c>
    </row>
    <row r="20264" spans="9:9" x14ac:dyDescent="0.2">
      <c r="I20264" s="137" t="s">
        <v>74</v>
      </c>
    </row>
    <row r="20265" spans="9:9" x14ac:dyDescent="0.2">
      <c r="I20265" s="137" t="s">
        <v>74</v>
      </c>
    </row>
    <row r="20266" spans="9:9" x14ac:dyDescent="0.2">
      <c r="I20266" s="137" t="s">
        <v>74</v>
      </c>
    </row>
    <row r="20267" spans="9:9" x14ac:dyDescent="0.2">
      <c r="I20267" s="137" t="s">
        <v>74</v>
      </c>
    </row>
    <row r="20268" spans="9:9" x14ac:dyDescent="0.2">
      <c r="I20268" s="137" t="s">
        <v>74</v>
      </c>
    </row>
    <row r="20269" spans="9:9" x14ac:dyDescent="0.2">
      <c r="I20269" s="137" t="s">
        <v>74</v>
      </c>
    </row>
    <row r="20270" spans="9:9" x14ac:dyDescent="0.2">
      <c r="I20270" s="137" t="s">
        <v>74</v>
      </c>
    </row>
    <row r="20271" spans="9:9" x14ac:dyDescent="0.2">
      <c r="I20271" s="137" t="s">
        <v>74</v>
      </c>
    </row>
    <row r="20272" spans="9:9" x14ac:dyDescent="0.2">
      <c r="I20272" s="137" t="s">
        <v>74</v>
      </c>
    </row>
    <row r="20273" spans="9:9" x14ac:dyDescent="0.2">
      <c r="I20273" s="137" t="s">
        <v>74</v>
      </c>
    </row>
    <row r="20274" spans="9:9" x14ac:dyDescent="0.2">
      <c r="I20274" s="137" t="s">
        <v>74</v>
      </c>
    </row>
    <row r="20275" spans="9:9" x14ac:dyDescent="0.2">
      <c r="I20275" s="137" t="s">
        <v>74</v>
      </c>
    </row>
    <row r="20276" spans="9:9" x14ac:dyDescent="0.2">
      <c r="I20276" s="137" t="s">
        <v>74</v>
      </c>
    </row>
    <row r="20277" spans="9:9" x14ac:dyDescent="0.2">
      <c r="I20277" s="137" t="s">
        <v>74</v>
      </c>
    </row>
    <row r="20278" spans="9:9" x14ac:dyDescent="0.2">
      <c r="I20278" s="137" t="s">
        <v>74</v>
      </c>
    </row>
    <row r="20279" spans="9:9" x14ac:dyDescent="0.2">
      <c r="I20279" s="137" t="s">
        <v>74</v>
      </c>
    </row>
    <row r="20280" spans="9:9" x14ac:dyDescent="0.2">
      <c r="I20280" s="137" t="s">
        <v>74</v>
      </c>
    </row>
    <row r="20281" spans="9:9" x14ac:dyDescent="0.2">
      <c r="I20281" s="137" t="s">
        <v>74</v>
      </c>
    </row>
    <row r="20282" spans="9:9" x14ac:dyDescent="0.2">
      <c r="I20282" s="137" t="s">
        <v>74</v>
      </c>
    </row>
    <row r="20283" spans="9:9" x14ac:dyDescent="0.2">
      <c r="I20283" s="137" t="s">
        <v>74</v>
      </c>
    </row>
    <row r="20284" spans="9:9" x14ac:dyDescent="0.2">
      <c r="I20284" s="137" t="s">
        <v>74</v>
      </c>
    </row>
    <row r="20285" spans="9:9" x14ac:dyDescent="0.2">
      <c r="I20285" s="137" t="s">
        <v>74</v>
      </c>
    </row>
    <row r="20286" spans="9:9" x14ac:dyDescent="0.2">
      <c r="I20286" s="137" t="s">
        <v>74</v>
      </c>
    </row>
    <row r="20287" spans="9:9" x14ac:dyDescent="0.2">
      <c r="I20287" s="137" t="s">
        <v>74</v>
      </c>
    </row>
    <row r="20288" spans="9:9" x14ac:dyDescent="0.2">
      <c r="I20288" s="137" t="s">
        <v>74</v>
      </c>
    </row>
    <row r="20289" spans="9:9" x14ac:dyDescent="0.2">
      <c r="I20289" s="137" t="s">
        <v>74</v>
      </c>
    </row>
    <row r="20290" spans="9:9" x14ac:dyDescent="0.2">
      <c r="I20290" s="137" t="s">
        <v>74</v>
      </c>
    </row>
    <row r="20291" spans="9:9" x14ac:dyDescent="0.2">
      <c r="I20291" s="137" t="s">
        <v>74</v>
      </c>
    </row>
    <row r="20292" spans="9:9" x14ac:dyDescent="0.2">
      <c r="I20292" s="137" t="s">
        <v>74</v>
      </c>
    </row>
    <row r="20293" spans="9:9" x14ac:dyDescent="0.2">
      <c r="I20293" s="137" t="s">
        <v>74</v>
      </c>
    </row>
    <row r="20294" spans="9:9" x14ac:dyDescent="0.2">
      <c r="I20294" s="137" t="s">
        <v>74</v>
      </c>
    </row>
    <row r="20295" spans="9:9" x14ac:dyDescent="0.2">
      <c r="I20295" s="137" t="s">
        <v>74</v>
      </c>
    </row>
    <row r="20296" spans="9:9" x14ac:dyDescent="0.2">
      <c r="I20296" s="137" t="s">
        <v>74</v>
      </c>
    </row>
    <row r="20297" spans="9:9" x14ac:dyDescent="0.2">
      <c r="I20297" s="137" t="s">
        <v>74</v>
      </c>
    </row>
    <row r="20298" spans="9:9" x14ac:dyDescent="0.2">
      <c r="I20298" s="137" t="s">
        <v>74</v>
      </c>
    </row>
    <row r="20299" spans="9:9" x14ac:dyDescent="0.2">
      <c r="I20299" s="137" t="s">
        <v>74</v>
      </c>
    </row>
    <row r="20300" spans="9:9" x14ac:dyDescent="0.2">
      <c r="I20300" s="137" t="s">
        <v>74</v>
      </c>
    </row>
    <row r="20301" spans="9:9" x14ac:dyDescent="0.2">
      <c r="I20301" s="137" t="s">
        <v>74</v>
      </c>
    </row>
    <row r="20302" spans="9:9" x14ac:dyDescent="0.2">
      <c r="I20302" s="137" t="s">
        <v>74</v>
      </c>
    </row>
    <row r="20303" spans="9:9" x14ac:dyDescent="0.2">
      <c r="I20303" s="137" t="s">
        <v>74</v>
      </c>
    </row>
    <row r="20304" spans="9:9" x14ac:dyDescent="0.2">
      <c r="I20304" s="137" t="s">
        <v>74</v>
      </c>
    </row>
    <row r="20305" spans="9:9" x14ac:dyDescent="0.2">
      <c r="I20305" s="137" t="s">
        <v>74</v>
      </c>
    </row>
    <row r="20306" spans="9:9" x14ac:dyDescent="0.2">
      <c r="I20306" s="137" t="s">
        <v>74</v>
      </c>
    </row>
    <row r="20307" spans="9:9" x14ac:dyDescent="0.2">
      <c r="I20307" s="137" t="s">
        <v>74</v>
      </c>
    </row>
    <row r="20308" spans="9:9" x14ac:dyDescent="0.2">
      <c r="I20308" s="137" t="s">
        <v>74</v>
      </c>
    </row>
    <row r="20309" spans="9:9" x14ac:dyDescent="0.2">
      <c r="I20309" s="137" t="s">
        <v>74</v>
      </c>
    </row>
    <row r="20310" spans="9:9" x14ac:dyDescent="0.2">
      <c r="I20310" s="137" t="s">
        <v>74</v>
      </c>
    </row>
    <row r="20311" spans="9:9" x14ac:dyDescent="0.2">
      <c r="I20311" s="137" t="s">
        <v>74</v>
      </c>
    </row>
    <row r="20312" spans="9:9" x14ac:dyDescent="0.2">
      <c r="I20312" s="137" t="s">
        <v>74</v>
      </c>
    </row>
    <row r="20313" spans="9:9" x14ac:dyDescent="0.2">
      <c r="I20313" s="137" t="s">
        <v>74</v>
      </c>
    </row>
    <row r="20314" spans="9:9" x14ac:dyDescent="0.2">
      <c r="I20314" s="137" t="s">
        <v>74</v>
      </c>
    </row>
    <row r="20315" spans="9:9" x14ac:dyDescent="0.2">
      <c r="I20315" s="137" t="s">
        <v>74</v>
      </c>
    </row>
    <row r="20316" spans="9:9" x14ac:dyDescent="0.2">
      <c r="I20316" s="137" t="s">
        <v>74</v>
      </c>
    </row>
    <row r="20317" spans="9:9" x14ac:dyDescent="0.2">
      <c r="I20317" s="137" t="s">
        <v>74</v>
      </c>
    </row>
    <row r="20318" spans="9:9" x14ac:dyDescent="0.2">
      <c r="I20318" s="137" t="s">
        <v>74</v>
      </c>
    </row>
    <row r="20319" spans="9:9" x14ac:dyDescent="0.2">
      <c r="I20319" s="137" t="s">
        <v>74</v>
      </c>
    </row>
    <row r="20320" spans="9:9" x14ac:dyDescent="0.2">
      <c r="I20320" s="137" t="s">
        <v>74</v>
      </c>
    </row>
    <row r="20321" spans="9:9" x14ac:dyDescent="0.2">
      <c r="I20321" s="137" t="s">
        <v>74</v>
      </c>
    </row>
    <row r="20322" spans="9:9" x14ac:dyDescent="0.2">
      <c r="I20322" s="137" t="s">
        <v>74</v>
      </c>
    </row>
    <row r="20323" spans="9:9" x14ac:dyDescent="0.2">
      <c r="I20323" s="137" t="s">
        <v>74</v>
      </c>
    </row>
    <row r="20324" spans="9:9" x14ac:dyDescent="0.2">
      <c r="I20324" s="137" t="s">
        <v>74</v>
      </c>
    </row>
    <row r="20325" spans="9:9" x14ac:dyDescent="0.2">
      <c r="I20325" s="137" t="s">
        <v>74</v>
      </c>
    </row>
    <row r="20326" spans="9:9" x14ac:dyDescent="0.2">
      <c r="I20326" s="137" t="s">
        <v>74</v>
      </c>
    </row>
    <row r="20327" spans="9:9" x14ac:dyDescent="0.2">
      <c r="I20327" s="137" t="s">
        <v>74</v>
      </c>
    </row>
    <row r="20328" spans="9:9" x14ac:dyDescent="0.2">
      <c r="I20328" s="137" t="s">
        <v>74</v>
      </c>
    </row>
    <row r="20329" spans="9:9" x14ac:dyDescent="0.2">
      <c r="I20329" s="137" t="s">
        <v>74</v>
      </c>
    </row>
    <row r="20330" spans="9:9" x14ac:dyDescent="0.2">
      <c r="I20330" s="137" t="s">
        <v>74</v>
      </c>
    </row>
    <row r="20331" spans="9:9" x14ac:dyDescent="0.2">
      <c r="I20331" s="137" t="s">
        <v>74</v>
      </c>
    </row>
    <row r="20332" spans="9:9" x14ac:dyDescent="0.2">
      <c r="I20332" s="137" t="s">
        <v>74</v>
      </c>
    </row>
    <row r="20333" spans="9:9" x14ac:dyDescent="0.2">
      <c r="I20333" s="137" t="s">
        <v>74</v>
      </c>
    </row>
    <row r="20334" spans="9:9" x14ac:dyDescent="0.2">
      <c r="I20334" s="137" t="s">
        <v>74</v>
      </c>
    </row>
    <row r="20335" spans="9:9" x14ac:dyDescent="0.2">
      <c r="I20335" s="137" t="s">
        <v>74</v>
      </c>
    </row>
    <row r="20336" spans="9:9" x14ac:dyDescent="0.2">
      <c r="I20336" s="137" t="s">
        <v>74</v>
      </c>
    </row>
    <row r="20337" spans="9:9" x14ac:dyDescent="0.2">
      <c r="I20337" s="137" t="s">
        <v>74</v>
      </c>
    </row>
    <row r="20338" spans="9:9" x14ac:dyDescent="0.2">
      <c r="I20338" s="137" t="s">
        <v>74</v>
      </c>
    </row>
    <row r="20339" spans="9:9" x14ac:dyDescent="0.2">
      <c r="I20339" s="137" t="s">
        <v>74</v>
      </c>
    </row>
    <row r="20340" spans="9:9" x14ac:dyDescent="0.2">
      <c r="I20340" s="137" t="s">
        <v>74</v>
      </c>
    </row>
    <row r="20341" spans="9:9" x14ac:dyDescent="0.2">
      <c r="I20341" s="137" t="s">
        <v>74</v>
      </c>
    </row>
    <row r="20342" spans="9:9" x14ac:dyDescent="0.2">
      <c r="I20342" s="137" t="s">
        <v>74</v>
      </c>
    </row>
    <row r="20343" spans="9:9" x14ac:dyDescent="0.2">
      <c r="I20343" s="137" t="s">
        <v>74</v>
      </c>
    </row>
    <row r="20344" spans="9:9" x14ac:dyDescent="0.2">
      <c r="I20344" s="137" t="s">
        <v>74</v>
      </c>
    </row>
    <row r="20345" spans="9:9" x14ac:dyDescent="0.2">
      <c r="I20345" s="137" t="s">
        <v>74</v>
      </c>
    </row>
    <row r="20346" spans="9:9" x14ac:dyDescent="0.2">
      <c r="I20346" s="137" t="s">
        <v>74</v>
      </c>
    </row>
    <row r="20347" spans="9:9" x14ac:dyDescent="0.2">
      <c r="I20347" s="137" t="s">
        <v>74</v>
      </c>
    </row>
    <row r="20348" spans="9:9" x14ac:dyDescent="0.2">
      <c r="I20348" s="137" t="s">
        <v>74</v>
      </c>
    </row>
    <row r="20349" spans="9:9" x14ac:dyDescent="0.2">
      <c r="I20349" s="137" t="s">
        <v>74</v>
      </c>
    </row>
    <row r="20350" spans="9:9" x14ac:dyDescent="0.2">
      <c r="I20350" s="137" t="s">
        <v>74</v>
      </c>
    </row>
    <row r="20351" spans="9:9" x14ac:dyDescent="0.2">
      <c r="I20351" s="137" t="s">
        <v>74</v>
      </c>
    </row>
    <row r="20352" spans="9:9" x14ac:dyDescent="0.2">
      <c r="I20352" s="137" t="s">
        <v>74</v>
      </c>
    </row>
    <row r="20353" spans="9:9" x14ac:dyDescent="0.2">
      <c r="I20353" s="137" t="s">
        <v>74</v>
      </c>
    </row>
    <row r="20354" spans="9:9" x14ac:dyDescent="0.2">
      <c r="I20354" s="137" t="s">
        <v>74</v>
      </c>
    </row>
    <row r="20355" spans="9:9" x14ac:dyDescent="0.2">
      <c r="I20355" s="137" t="s">
        <v>74</v>
      </c>
    </row>
    <row r="20356" spans="9:9" x14ac:dyDescent="0.2">
      <c r="I20356" s="137" t="s">
        <v>74</v>
      </c>
    </row>
    <row r="20357" spans="9:9" x14ac:dyDescent="0.2">
      <c r="I20357" s="137" t="s">
        <v>74</v>
      </c>
    </row>
    <row r="20358" spans="9:9" x14ac:dyDescent="0.2">
      <c r="I20358" s="137" t="s">
        <v>74</v>
      </c>
    </row>
    <row r="20359" spans="9:9" x14ac:dyDescent="0.2">
      <c r="I20359" s="137" t="s">
        <v>74</v>
      </c>
    </row>
    <row r="20360" spans="9:9" x14ac:dyDescent="0.2">
      <c r="I20360" s="137" t="s">
        <v>74</v>
      </c>
    </row>
    <row r="20361" spans="9:9" x14ac:dyDescent="0.2">
      <c r="I20361" s="137" t="s">
        <v>74</v>
      </c>
    </row>
    <row r="20362" spans="9:9" x14ac:dyDescent="0.2">
      <c r="I20362" s="137" t="s">
        <v>74</v>
      </c>
    </row>
    <row r="20363" spans="9:9" x14ac:dyDescent="0.2">
      <c r="I20363" s="137" t="s">
        <v>74</v>
      </c>
    </row>
    <row r="20364" spans="9:9" x14ac:dyDescent="0.2">
      <c r="I20364" s="137" t="s">
        <v>74</v>
      </c>
    </row>
    <row r="20365" spans="9:9" x14ac:dyDescent="0.2">
      <c r="I20365" s="137" t="s">
        <v>74</v>
      </c>
    </row>
    <row r="20366" spans="9:9" x14ac:dyDescent="0.2">
      <c r="I20366" s="137" t="s">
        <v>74</v>
      </c>
    </row>
    <row r="20367" spans="9:9" x14ac:dyDescent="0.2">
      <c r="I20367" s="137" t="s">
        <v>74</v>
      </c>
    </row>
    <row r="20368" spans="9:9" x14ac:dyDescent="0.2">
      <c r="I20368" s="137" t="s">
        <v>74</v>
      </c>
    </row>
    <row r="20369" spans="9:9" x14ac:dyDescent="0.2">
      <c r="I20369" s="137" t="s">
        <v>74</v>
      </c>
    </row>
    <row r="20370" spans="9:9" x14ac:dyDescent="0.2">
      <c r="I20370" s="137" t="s">
        <v>74</v>
      </c>
    </row>
    <row r="20371" spans="9:9" x14ac:dyDescent="0.2">
      <c r="I20371" s="137" t="s">
        <v>74</v>
      </c>
    </row>
    <row r="20372" spans="9:9" x14ac:dyDescent="0.2">
      <c r="I20372" s="137" t="s">
        <v>74</v>
      </c>
    </row>
    <row r="20373" spans="9:9" x14ac:dyDescent="0.2">
      <c r="I20373" s="137" t="s">
        <v>74</v>
      </c>
    </row>
    <row r="20374" spans="9:9" x14ac:dyDescent="0.2">
      <c r="I20374" s="137" t="s">
        <v>74</v>
      </c>
    </row>
    <row r="20375" spans="9:9" x14ac:dyDescent="0.2">
      <c r="I20375" s="137" t="s">
        <v>74</v>
      </c>
    </row>
    <row r="20376" spans="9:9" x14ac:dyDescent="0.2">
      <c r="I20376" s="137" t="s">
        <v>74</v>
      </c>
    </row>
    <row r="20377" spans="9:9" x14ac:dyDescent="0.2">
      <c r="I20377" s="137" t="s">
        <v>74</v>
      </c>
    </row>
    <row r="20378" spans="9:9" x14ac:dyDescent="0.2">
      <c r="I20378" s="137" t="s">
        <v>74</v>
      </c>
    </row>
    <row r="20379" spans="9:9" x14ac:dyDescent="0.2">
      <c r="I20379" s="137" t="s">
        <v>74</v>
      </c>
    </row>
    <row r="20380" spans="9:9" x14ac:dyDescent="0.2">
      <c r="I20380" s="137" t="s">
        <v>74</v>
      </c>
    </row>
    <row r="20381" spans="9:9" x14ac:dyDescent="0.2">
      <c r="I20381" s="137" t="s">
        <v>74</v>
      </c>
    </row>
    <row r="20382" spans="9:9" x14ac:dyDescent="0.2">
      <c r="I20382" s="137" t="s">
        <v>74</v>
      </c>
    </row>
    <row r="20383" spans="9:9" x14ac:dyDescent="0.2">
      <c r="I20383" s="137" t="s">
        <v>74</v>
      </c>
    </row>
    <row r="20384" spans="9:9" x14ac:dyDescent="0.2">
      <c r="I20384" s="137" t="s">
        <v>74</v>
      </c>
    </row>
    <row r="20385" spans="9:9" x14ac:dyDescent="0.2">
      <c r="I20385" s="137" t="s">
        <v>74</v>
      </c>
    </row>
    <row r="20386" spans="9:9" x14ac:dyDescent="0.2">
      <c r="I20386" s="137" t="s">
        <v>74</v>
      </c>
    </row>
    <row r="20387" spans="9:9" x14ac:dyDescent="0.2">
      <c r="I20387" s="137" t="s">
        <v>74</v>
      </c>
    </row>
    <row r="20388" spans="9:9" x14ac:dyDescent="0.2">
      <c r="I20388" s="137" t="s">
        <v>74</v>
      </c>
    </row>
    <row r="20389" spans="9:9" x14ac:dyDescent="0.2">
      <c r="I20389" s="137" t="s">
        <v>74</v>
      </c>
    </row>
    <row r="20390" spans="9:9" x14ac:dyDescent="0.2">
      <c r="I20390" s="137" t="s">
        <v>74</v>
      </c>
    </row>
    <row r="20391" spans="9:9" x14ac:dyDescent="0.2">
      <c r="I20391" s="137" t="s">
        <v>74</v>
      </c>
    </row>
    <row r="20392" spans="9:9" x14ac:dyDescent="0.2">
      <c r="I20392" s="137" t="s">
        <v>74</v>
      </c>
    </row>
    <row r="20393" spans="9:9" x14ac:dyDescent="0.2">
      <c r="I20393" s="137" t="s">
        <v>74</v>
      </c>
    </row>
    <row r="20394" spans="9:9" x14ac:dyDescent="0.2">
      <c r="I20394" s="137" t="s">
        <v>74</v>
      </c>
    </row>
    <row r="20395" spans="9:9" x14ac:dyDescent="0.2">
      <c r="I20395" s="137" t="s">
        <v>74</v>
      </c>
    </row>
    <row r="20396" spans="9:9" x14ac:dyDescent="0.2">
      <c r="I20396" s="137" t="s">
        <v>74</v>
      </c>
    </row>
    <row r="20397" spans="9:9" x14ac:dyDescent="0.2">
      <c r="I20397" s="137" t="s">
        <v>74</v>
      </c>
    </row>
    <row r="20398" spans="9:9" x14ac:dyDescent="0.2">
      <c r="I20398" s="137" t="s">
        <v>74</v>
      </c>
    </row>
    <row r="20399" spans="9:9" x14ac:dyDescent="0.2">
      <c r="I20399" s="137" t="s">
        <v>74</v>
      </c>
    </row>
    <row r="20400" spans="9:9" x14ac:dyDescent="0.2">
      <c r="I20400" s="137" t="s">
        <v>74</v>
      </c>
    </row>
    <row r="20401" spans="9:9" x14ac:dyDescent="0.2">
      <c r="I20401" s="137" t="s">
        <v>74</v>
      </c>
    </row>
    <row r="20402" spans="9:9" x14ac:dyDescent="0.2">
      <c r="I20402" s="137" t="s">
        <v>74</v>
      </c>
    </row>
    <row r="20403" spans="9:9" x14ac:dyDescent="0.2">
      <c r="I20403" s="137" t="s">
        <v>74</v>
      </c>
    </row>
    <row r="20404" spans="9:9" x14ac:dyDescent="0.2">
      <c r="I20404" s="137" t="s">
        <v>74</v>
      </c>
    </row>
    <row r="20405" spans="9:9" x14ac:dyDescent="0.2">
      <c r="I20405" s="137" t="s">
        <v>74</v>
      </c>
    </row>
    <row r="20406" spans="9:9" x14ac:dyDescent="0.2">
      <c r="I20406" s="137" t="s">
        <v>74</v>
      </c>
    </row>
    <row r="20407" spans="9:9" x14ac:dyDescent="0.2">
      <c r="I20407" s="137" t="s">
        <v>74</v>
      </c>
    </row>
    <row r="20408" spans="9:9" x14ac:dyDescent="0.2">
      <c r="I20408" s="137" t="s">
        <v>74</v>
      </c>
    </row>
    <row r="20409" spans="9:9" x14ac:dyDescent="0.2">
      <c r="I20409" s="137" t="s">
        <v>74</v>
      </c>
    </row>
    <row r="20410" spans="9:9" x14ac:dyDescent="0.2">
      <c r="I20410" s="137" t="s">
        <v>74</v>
      </c>
    </row>
    <row r="20411" spans="9:9" x14ac:dyDescent="0.2">
      <c r="I20411" s="137" t="s">
        <v>74</v>
      </c>
    </row>
    <row r="20412" spans="9:9" x14ac:dyDescent="0.2">
      <c r="I20412" s="137" t="s">
        <v>74</v>
      </c>
    </row>
    <row r="20413" spans="9:9" x14ac:dyDescent="0.2">
      <c r="I20413" s="137" t="s">
        <v>74</v>
      </c>
    </row>
    <row r="20414" spans="9:9" x14ac:dyDescent="0.2">
      <c r="I20414" s="137" t="s">
        <v>74</v>
      </c>
    </row>
    <row r="20415" spans="9:9" x14ac:dyDescent="0.2">
      <c r="I20415" s="137" t="s">
        <v>74</v>
      </c>
    </row>
    <row r="20416" spans="9:9" x14ac:dyDescent="0.2">
      <c r="I20416" s="137" t="s">
        <v>74</v>
      </c>
    </row>
    <row r="20417" spans="9:9" x14ac:dyDescent="0.2">
      <c r="I20417" s="137" t="s">
        <v>74</v>
      </c>
    </row>
    <row r="20418" spans="9:9" x14ac:dyDescent="0.2">
      <c r="I20418" s="137" t="s">
        <v>74</v>
      </c>
    </row>
    <row r="20419" spans="9:9" x14ac:dyDescent="0.2">
      <c r="I20419" s="137" t="s">
        <v>74</v>
      </c>
    </row>
    <row r="20420" spans="9:9" x14ac:dyDescent="0.2">
      <c r="I20420" s="137" t="s">
        <v>74</v>
      </c>
    </row>
    <row r="20421" spans="9:9" x14ac:dyDescent="0.2">
      <c r="I20421" s="137" t="s">
        <v>74</v>
      </c>
    </row>
    <row r="20422" spans="9:9" x14ac:dyDescent="0.2">
      <c r="I20422" s="137" t="s">
        <v>74</v>
      </c>
    </row>
    <row r="20423" spans="9:9" x14ac:dyDescent="0.2">
      <c r="I20423" s="137" t="s">
        <v>74</v>
      </c>
    </row>
    <row r="20424" spans="9:9" x14ac:dyDescent="0.2">
      <c r="I20424" s="137" t="s">
        <v>74</v>
      </c>
    </row>
    <row r="20425" spans="9:9" x14ac:dyDescent="0.2">
      <c r="I20425" s="137" t="s">
        <v>74</v>
      </c>
    </row>
    <row r="20426" spans="9:9" x14ac:dyDescent="0.2">
      <c r="I20426" s="137" t="s">
        <v>74</v>
      </c>
    </row>
    <row r="20427" spans="9:9" x14ac:dyDescent="0.2">
      <c r="I20427" s="137" t="s">
        <v>74</v>
      </c>
    </row>
    <row r="20428" spans="9:9" x14ac:dyDescent="0.2">
      <c r="I20428" s="137" t="s">
        <v>74</v>
      </c>
    </row>
    <row r="20429" spans="9:9" x14ac:dyDescent="0.2">
      <c r="I20429" s="137" t="s">
        <v>74</v>
      </c>
    </row>
    <row r="20430" spans="9:9" x14ac:dyDescent="0.2">
      <c r="I20430" s="137" t="s">
        <v>74</v>
      </c>
    </row>
    <row r="20431" spans="9:9" x14ac:dyDescent="0.2">
      <c r="I20431" s="137" t="s">
        <v>74</v>
      </c>
    </row>
    <row r="20432" spans="9:9" x14ac:dyDescent="0.2">
      <c r="I20432" s="137" t="s">
        <v>74</v>
      </c>
    </row>
    <row r="20433" spans="9:9" x14ac:dyDescent="0.2">
      <c r="I20433" s="137" t="s">
        <v>74</v>
      </c>
    </row>
    <row r="20434" spans="9:9" x14ac:dyDescent="0.2">
      <c r="I20434" s="137" t="s">
        <v>74</v>
      </c>
    </row>
    <row r="20435" spans="9:9" x14ac:dyDescent="0.2">
      <c r="I20435" s="137" t="s">
        <v>74</v>
      </c>
    </row>
    <row r="20436" spans="9:9" x14ac:dyDescent="0.2">
      <c r="I20436" s="137" t="s">
        <v>74</v>
      </c>
    </row>
    <row r="20437" spans="9:9" x14ac:dyDescent="0.2">
      <c r="I20437" s="137" t="s">
        <v>74</v>
      </c>
    </row>
    <row r="20438" spans="9:9" x14ac:dyDescent="0.2">
      <c r="I20438" s="137" t="s">
        <v>74</v>
      </c>
    </row>
    <row r="20439" spans="9:9" x14ac:dyDescent="0.2">
      <c r="I20439" s="137" t="s">
        <v>74</v>
      </c>
    </row>
    <row r="20440" spans="9:9" x14ac:dyDescent="0.2">
      <c r="I20440" s="137" t="s">
        <v>74</v>
      </c>
    </row>
    <row r="20441" spans="9:9" x14ac:dyDescent="0.2">
      <c r="I20441" s="137" t="s">
        <v>74</v>
      </c>
    </row>
    <row r="20442" spans="9:9" x14ac:dyDescent="0.2">
      <c r="I20442" s="137" t="s">
        <v>74</v>
      </c>
    </row>
    <row r="20443" spans="9:9" x14ac:dyDescent="0.2">
      <c r="I20443" s="137" t="s">
        <v>74</v>
      </c>
    </row>
    <row r="20444" spans="9:9" x14ac:dyDescent="0.2">
      <c r="I20444" s="137" t="s">
        <v>74</v>
      </c>
    </row>
    <row r="20445" spans="9:9" x14ac:dyDescent="0.2">
      <c r="I20445" s="137" t="s">
        <v>74</v>
      </c>
    </row>
    <row r="20446" spans="9:9" x14ac:dyDescent="0.2">
      <c r="I20446" s="137" t="s">
        <v>74</v>
      </c>
    </row>
    <row r="20447" spans="9:9" x14ac:dyDescent="0.2">
      <c r="I20447" s="137" t="s">
        <v>74</v>
      </c>
    </row>
    <row r="20448" spans="9:9" x14ac:dyDescent="0.2">
      <c r="I20448" s="137" t="s">
        <v>74</v>
      </c>
    </row>
    <row r="20449" spans="9:9" x14ac:dyDescent="0.2">
      <c r="I20449" s="137" t="s">
        <v>74</v>
      </c>
    </row>
    <row r="20450" spans="9:9" x14ac:dyDescent="0.2">
      <c r="I20450" s="137" t="s">
        <v>74</v>
      </c>
    </row>
    <row r="20451" spans="9:9" x14ac:dyDescent="0.2">
      <c r="I20451" s="137" t="s">
        <v>74</v>
      </c>
    </row>
    <row r="20452" spans="9:9" x14ac:dyDescent="0.2">
      <c r="I20452" s="137" t="s">
        <v>74</v>
      </c>
    </row>
    <row r="20453" spans="9:9" x14ac:dyDescent="0.2">
      <c r="I20453" s="137" t="s">
        <v>74</v>
      </c>
    </row>
    <row r="20454" spans="9:9" x14ac:dyDescent="0.2">
      <c r="I20454" s="137" t="s">
        <v>74</v>
      </c>
    </row>
    <row r="20455" spans="9:9" x14ac:dyDescent="0.2">
      <c r="I20455" s="137" t="s">
        <v>74</v>
      </c>
    </row>
    <row r="20456" spans="9:9" x14ac:dyDescent="0.2">
      <c r="I20456" s="137" t="s">
        <v>74</v>
      </c>
    </row>
    <row r="20457" spans="9:9" x14ac:dyDescent="0.2">
      <c r="I20457" s="137" t="s">
        <v>74</v>
      </c>
    </row>
    <row r="20458" spans="9:9" x14ac:dyDescent="0.2">
      <c r="I20458" s="137" t="s">
        <v>74</v>
      </c>
    </row>
    <row r="20459" spans="9:9" x14ac:dyDescent="0.2">
      <c r="I20459" s="137" t="s">
        <v>74</v>
      </c>
    </row>
    <row r="20460" spans="9:9" x14ac:dyDescent="0.2">
      <c r="I20460" s="137" t="s">
        <v>74</v>
      </c>
    </row>
    <row r="20461" spans="9:9" x14ac:dyDescent="0.2">
      <c r="I20461" s="137" t="s">
        <v>74</v>
      </c>
    </row>
    <row r="20462" spans="9:9" x14ac:dyDescent="0.2">
      <c r="I20462" s="137" t="s">
        <v>74</v>
      </c>
    </row>
    <row r="20463" spans="9:9" x14ac:dyDescent="0.2">
      <c r="I20463" s="137" t="s">
        <v>74</v>
      </c>
    </row>
    <row r="20464" spans="9:9" x14ac:dyDescent="0.2">
      <c r="I20464" s="137" t="s">
        <v>74</v>
      </c>
    </row>
    <row r="20465" spans="9:9" x14ac:dyDescent="0.2">
      <c r="I20465" s="137" t="s">
        <v>74</v>
      </c>
    </row>
    <row r="20466" spans="9:9" x14ac:dyDescent="0.2">
      <c r="I20466" s="137" t="s">
        <v>74</v>
      </c>
    </row>
    <row r="20467" spans="9:9" x14ac:dyDescent="0.2">
      <c r="I20467" s="137" t="s">
        <v>74</v>
      </c>
    </row>
    <row r="20468" spans="9:9" x14ac:dyDescent="0.2">
      <c r="I20468" s="137" t="s">
        <v>74</v>
      </c>
    </row>
    <row r="20469" spans="9:9" x14ac:dyDescent="0.2">
      <c r="I20469" s="137" t="s">
        <v>74</v>
      </c>
    </row>
    <row r="20470" spans="9:9" x14ac:dyDescent="0.2">
      <c r="I20470" s="137" t="s">
        <v>74</v>
      </c>
    </row>
    <row r="20471" spans="9:9" x14ac:dyDescent="0.2">
      <c r="I20471" s="137" t="s">
        <v>74</v>
      </c>
    </row>
    <row r="20472" spans="9:9" x14ac:dyDescent="0.2">
      <c r="I20472" s="137" t="s">
        <v>74</v>
      </c>
    </row>
    <row r="20473" spans="9:9" x14ac:dyDescent="0.2">
      <c r="I20473" s="137" t="s">
        <v>74</v>
      </c>
    </row>
    <row r="20474" spans="9:9" x14ac:dyDescent="0.2">
      <c r="I20474" s="137" t="s">
        <v>74</v>
      </c>
    </row>
    <row r="20475" spans="9:9" x14ac:dyDescent="0.2">
      <c r="I20475" s="137" t="s">
        <v>74</v>
      </c>
    </row>
    <row r="20476" spans="9:9" x14ac:dyDescent="0.2">
      <c r="I20476" s="137" t="s">
        <v>74</v>
      </c>
    </row>
    <row r="20477" spans="9:9" x14ac:dyDescent="0.2">
      <c r="I20477" s="137" t="s">
        <v>74</v>
      </c>
    </row>
    <row r="20478" spans="9:9" x14ac:dyDescent="0.2">
      <c r="I20478" s="137" t="s">
        <v>74</v>
      </c>
    </row>
    <row r="20479" spans="9:9" x14ac:dyDescent="0.2">
      <c r="I20479" s="137" t="s">
        <v>74</v>
      </c>
    </row>
    <row r="20480" spans="9:9" x14ac:dyDescent="0.2">
      <c r="I20480" s="137" t="s">
        <v>74</v>
      </c>
    </row>
    <row r="20481" spans="9:9" x14ac:dyDescent="0.2">
      <c r="I20481" s="137" t="s">
        <v>74</v>
      </c>
    </row>
    <row r="20482" spans="9:9" x14ac:dyDescent="0.2">
      <c r="I20482" s="137" t="s">
        <v>74</v>
      </c>
    </row>
    <row r="20483" spans="9:9" x14ac:dyDescent="0.2">
      <c r="I20483" s="137" t="s">
        <v>74</v>
      </c>
    </row>
    <row r="20484" spans="9:9" x14ac:dyDescent="0.2">
      <c r="I20484" s="137" t="s">
        <v>74</v>
      </c>
    </row>
    <row r="20485" spans="9:9" x14ac:dyDescent="0.2">
      <c r="I20485" s="137" t="s">
        <v>74</v>
      </c>
    </row>
    <row r="20486" spans="9:9" x14ac:dyDescent="0.2">
      <c r="I20486" s="137" t="s">
        <v>74</v>
      </c>
    </row>
    <row r="20487" spans="9:9" x14ac:dyDescent="0.2">
      <c r="I20487" s="137" t="s">
        <v>74</v>
      </c>
    </row>
    <row r="20488" spans="9:9" x14ac:dyDescent="0.2">
      <c r="I20488" s="137" t="s">
        <v>74</v>
      </c>
    </row>
    <row r="20489" spans="9:9" x14ac:dyDescent="0.2">
      <c r="I20489" s="137" t="s">
        <v>74</v>
      </c>
    </row>
    <row r="20490" spans="9:9" x14ac:dyDescent="0.2">
      <c r="I20490" s="137" t="s">
        <v>74</v>
      </c>
    </row>
    <row r="20491" spans="9:9" x14ac:dyDescent="0.2">
      <c r="I20491" s="137" t="s">
        <v>74</v>
      </c>
    </row>
    <row r="20492" spans="9:9" x14ac:dyDescent="0.2">
      <c r="I20492" s="137" t="s">
        <v>74</v>
      </c>
    </row>
    <row r="20493" spans="9:9" x14ac:dyDescent="0.2">
      <c r="I20493" s="137" t="s">
        <v>74</v>
      </c>
    </row>
    <row r="20494" spans="9:9" x14ac:dyDescent="0.2">
      <c r="I20494" s="137" t="s">
        <v>74</v>
      </c>
    </row>
    <row r="20495" spans="9:9" x14ac:dyDescent="0.2">
      <c r="I20495" s="137" t="s">
        <v>74</v>
      </c>
    </row>
    <row r="20496" spans="9:9" x14ac:dyDescent="0.2">
      <c r="I20496" s="137" t="s">
        <v>74</v>
      </c>
    </row>
    <row r="20497" spans="9:9" x14ac:dyDescent="0.2">
      <c r="I20497" s="137" t="s">
        <v>74</v>
      </c>
    </row>
    <row r="20498" spans="9:9" x14ac:dyDescent="0.2">
      <c r="I20498" s="137" t="s">
        <v>74</v>
      </c>
    </row>
    <row r="20499" spans="9:9" x14ac:dyDescent="0.2">
      <c r="I20499" s="137" t="s">
        <v>74</v>
      </c>
    </row>
    <row r="20500" spans="9:9" x14ac:dyDescent="0.2">
      <c r="I20500" s="137" t="s">
        <v>74</v>
      </c>
    </row>
    <row r="20501" spans="9:9" x14ac:dyDescent="0.2">
      <c r="I20501" s="137" t="s">
        <v>74</v>
      </c>
    </row>
    <row r="20502" spans="9:9" x14ac:dyDescent="0.2">
      <c r="I20502" s="137" t="s">
        <v>74</v>
      </c>
    </row>
    <row r="20503" spans="9:9" x14ac:dyDescent="0.2">
      <c r="I20503" s="137" t="s">
        <v>74</v>
      </c>
    </row>
    <row r="20504" spans="9:9" x14ac:dyDescent="0.2">
      <c r="I20504" s="137" t="s">
        <v>74</v>
      </c>
    </row>
    <row r="20505" spans="9:9" x14ac:dyDescent="0.2">
      <c r="I20505" s="137" t="s">
        <v>74</v>
      </c>
    </row>
    <row r="20506" spans="9:9" x14ac:dyDescent="0.2">
      <c r="I20506" s="137" t="s">
        <v>74</v>
      </c>
    </row>
    <row r="20507" spans="9:9" x14ac:dyDescent="0.2">
      <c r="I20507" s="137" t="s">
        <v>74</v>
      </c>
    </row>
    <row r="20508" spans="9:9" x14ac:dyDescent="0.2">
      <c r="I20508" s="137" t="s">
        <v>74</v>
      </c>
    </row>
    <row r="20509" spans="9:9" x14ac:dyDescent="0.2">
      <c r="I20509" s="137" t="s">
        <v>74</v>
      </c>
    </row>
    <row r="20510" spans="9:9" x14ac:dyDescent="0.2">
      <c r="I20510" s="137" t="s">
        <v>74</v>
      </c>
    </row>
    <row r="20511" spans="9:9" x14ac:dyDescent="0.2">
      <c r="I20511" s="137" t="s">
        <v>74</v>
      </c>
    </row>
    <row r="20512" spans="9:9" x14ac:dyDescent="0.2">
      <c r="I20512" s="137" t="s">
        <v>74</v>
      </c>
    </row>
    <row r="20513" spans="9:9" x14ac:dyDescent="0.2">
      <c r="I20513" s="137" t="s">
        <v>74</v>
      </c>
    </row>
    <row r="20514" spans="9:9" x14ac:dyDescent="0.2">
      <c r="I20514" s="137" t="s">
        <v>74</v>
      </c>
    </row>
    <row r="20515" spans="9:9" x14ac:dyDescent="0.2">
      <c r="I20515" s="137" t="s">
        <v>74</v>
      </c>
    </row>
    <row r="20516" spans="9:9" x14ac:dyDescent="0.2">
      <c r="I20516" s="137" t="s">
        <v>74</v>
      </c>
    </row>
    <row r="20517" spans="9:9" x14ac:dyDescent="0.2">
      <c r="I20517" s="137" t="s">
        <v>74</v>
      </c>
    </row>
    <row r="20518" spans="9:9" x14ac:dyDescent="0.2">
      <c r="I20518" s="137" t="s">
        <v>74</v>
      </c>
    </row>
    <row r="20519" spans="9:9" x14ac:dyDescent="0.2">
      <c r="I20519" s="137" t="s">
        <v>74</v>
      </c>
    </row>
    <row r="20520" spans="9:9" x14ac:dyDescent="0.2">
      <c r="I20520" s="137" t="s">
        <v>74</v>
      </c>
    </row>
    <row r="20521" spans="9:9" x14ac:dyDescent="0.2">
      <c r="I20521" s="137" t="s">
        <v>74</v>
      </c>
    </row>
    <row r="20522" spans="9:9" x14ac:dyDescent="0.2">
      <c r="I20522" s="137" t="s">
        <v>74</v>
      </c>
    </row>
    <row r="20523" spans="9:9" x14ac:dyDescent="0.2">
      <c r="I20523" s="137" t="s">
        <v>74</v>
      </c>
    </row>
    <row r="20524" spans="9:9" x14ac:dyDescent="0.2">
      <c r="I20524" s="137" t="s">
        <v>74</v>
      </c>
    </row>
    <row r="20525" spans="9:9" x14ac:dyDescent="0.2">
      <c r="I20525" s="137" t="s">
        <v>74</v>
      </c>
    </row>
    <row r="20526" spans="9:9" x14ac:dyDescent="0.2">
      <c r="I20526" s="137" t="s">
        <v>74</v>
      </c>
    </row>
    <row r="20527" spans="9:9" x14ac:dyDescent="0.2">
      <c r="I20527" s="137" t="s">
        <v>74</v>
      </c>
    </row>
    <row r="20528" spans="9:9" x14ac:dyDescent="0.2">
      <c r="I20528" s="137" t="s">
        <v>74</v>
      </c>
    </row>
    <row r="20529" spans="9:9" x14ac:dyDescent="0.2">
      <c r="I20529" s="137" t="s">
        <v>74</v>
      </c>
    </row>
    <row r="20530" spans="9:9" x14ac:dyDescent="0.2">
      <c r="I20530" s="137" t="s">
        <v>74</v>
      </c>
    </row>
    <row r="20531" spans="9:9" x14ac:dyDescent="0.2">
      <c r="I20531" s="137" t="s">
        <v>74</v>
      </c>
    </row>
    <row r="20532" spans="9:9" x14ac:dyDescent="0.2">
      <c r="I20532" s="137" t="s">
        <v>74</v>
      </c>
    </row>
    <row r="20533" spans="9:9" x14ac:dyDescent="0.2">
      <c r="I20533" s="137" t="s">
        <v>74</v>
      </c>
    </row>
    <row r="20534" spans="9:9" x14ac:dyDescent="0.2">
      <c r="I20534" s="137" t="s">
        <v>74</v>
      </c>
    </row>
    <row r="20535" spans="9:9" x14ac:dyDescent="0.2">
      <c r="I20535" s="137" t="s">
        <v>74</v>
      </c>
    </row>
    <row r="20536" spans="9:9" x14ac:dyDescent="0.2">
      <c r="I20536" s="137" t="s">
        <v>74</v>
      </c>
    </row>
    <row r="20537" spans="9:9" x14ac:dyDescent="0.2">
      <c r="I20537" s="137" t="s">
        <v>74</v>
      </c>
    </row>
    <row r="20538" spans="9:9" x14ac:dyDescent="0.2">
      <c r="I20538" s="137" t="s">
        <v>74</v>
      </c>
    </row>
    <row r="20539" spans="9:9" x14ac:dyDescent="0.2">
      <c r="I20539" s="137" t="s">
        <v>74</v>
      </c>
    </row>
    <row r="20540" spans="9:9" x14ac:dyDescent="0.2">
      <c r="I20540" s="137" t="s">
        <v>74</v>
      </c>
    </row>
    <row r="20541" spans="9:9" x14ac:dyDescent="0.2">
      <c r="I20541" s="137" t="s">
        <v>74</v>
      </c>
    </row>
    <row r="20542" spans="9:9" x14ac:dyDescent="0.2">
      <c r="I20542" s="137" t="s">
        <v>74</v>
      </c>
    </row>
    <row r="20543" spans="9:9" x14ac:dyDescent="0.2">
      <c r="I20543" s="137" t="s">
        <v>74</v>
      </c>
    </row>
    <row r="20544" spans="9:9" x14ac:dyDescent="0.2">
      <c r="I20544" s="137" t="s">
        <v>74</v>
      </c>
    </row>
    <row r="20545" spans="9:9" x14ac:dyDescent="0.2">
      <c r="I20545" s="137" t="s">
        <v>74</v>
      </c>
    </row>
    <row r="20546" spans="9:9" x14ac:dyDescent="0.2">
      <c r="I20546" s="137" t="s">
        <v>74</v>
      </c>
    </row>
    <row r="20547" spans="9:9" x14ac:dyDescent="0.2">
      <c r="I20547" s="137" t="s">
        <v>74</v>
      </c>
    </row>
    <row r="20548" spans="9:9" x14ac:dyDescent="0.2">
      <c r="I20548" s="137" t="s">
        <v>74</v>
      </c>
    </row>
    <row r="20549" spans="9:9" x14ac:dyDescent="0.2">
      <c r="I20549" s="137" t="s">
        <v>74</v>
      </c>
    </row>
    <row r="20550" spans="9:9" x14ac:dyDescent="0.2">
      <c r="I20550" s="137" t="s">
        <v>74</v>
      </c>
    </row>
    <row r="20551" spans="9:9" x14ac:dyDescent="0.2">
      <c r="I20551" s="137" t="s">
        <v>74</v>
      </c>
    </row>
    <row r="20552" spans="9:9" x14ac:dyDescent="0.2">
      <c r="I20552" s="137" t="s">
        <v>74</v>
      </c>
    </row>
    <row r="20553" spans="9:9" x14ac:dyDescent="0.2">
      <c r="I20553" s="137" t="s">
        <v>74</v>
      </c>
    </row>
    <row r="20554" spans="9:9" x14ac:dyDescent="0.2">
      <c r="I20554" s="137" t="s">
        <v>74</v>
      </c>
    </row>
    <row r="20555" spans="9:9" x14ac:dyDescent="0.2">
      <c r="I20555" s="137" t="s">
        <v>74</v>
      </c>
    </row>
    <row r="20556" spans="9:9" x14ac:dyDescent="0.2">
      <c r="I20556" s="137" t="s">
        <v>74</v>
      </c>
    </row>
    <row r="20557" spans="9:9" x14ac:dyDescent="0.2">
      <c r="I20557" s="137" t="s">
        <v>74</v>
      </c>
    </row>
    <row r="20558" spans="9:9" x14ac:dyDescent="0.2">
      <c r="I20558" s="137" t="s">
        <v>74</v>
      </c>
    </row>
    <row r="20559" spans="9:9" x14ac:dyDescent="0.2">
      <c r="I20559" s="137" t="s">
        <v>74</v>
      </c>
    </row>
    <row r="20560" spans="9:9" x14ac:dyDescent="0.2">
      <c r="I20560" s="137" t="s">
        <v>74</v>
      </c>
    </row>
    <row r="20561" spans="9:9" x14ac:dyDescent="0.2">
      <c r="I20561" s="137" t="s">
        <v>74</v>
      </c>
    </row>
    <row r="20562" spans="9:9" x14ac:dyDescent="0.2">
      <c r="I20562" s="137" t="s">
        <v>74</v>
      </c>
    </row>
    <row r="20563" spans="9:9" x14ac:dyDescent="0.2">
      <c r="I20563" s="137" t="s">
        <v>74</v>
      </c>
    </row>
    <row r="20564" spans="9:9" x14ac:dyDescent="0.2">
      <c r="I20564" s="137" t="s">
        <v>74</v>
      </c>
    </row>
    <row r="20565" spans="9:9" x14ac:dyDescent="0.2">
      <c r="I20565" s="137" t="s">
        <v>74</v>
      </c>
    </row>
    <row r="20566" spans="9:9" x14ac:dyDescent="0.2">
      <c r="I20566" s="137" t="s">
        <v>74</v>
      </c>
    </row>
    <row r="20567" spans="9:9" x14ac:dyDescent="0.2">
      <c r="I20567" s="137" t="s">
        <v>74</v>
      </c>
    </row>
    <row r="20568" spans="9:9" x14ac:dyDescent="0.2">
      <c r="I20568" s="137" t="s">
        <v>74</v>
      </c>
    </row>
    <row r="20569" spans="9:9" x14ac:dyDescent="0.2">
      <c r="I20569" s="137" t="s">
        <v>74</v>
      </c>
    </row>
    <row r="20570" spans="9:9" x14ac:dyDescent="0.2">
      <c r="I20570" s="137" t="s">
        <v>74</v>
      </c>
    </row>
    <row r="20571" spans="9:9" x14ac:dyDescent="0.2">
      <c r="I20571" s="137" t="s">
        <v>74</v>
      </c>
    </row>
    <row r="20572" spans="9:9" x14ac:dyDescent="0.2">
      <c r="I20572" s="137" t="s">
        <v>74</v>
      </c>
    </row>
    <row r="20573" spans="9:9" x14ac:dyDescent="0.2">
      <c r="I20573" s="137" t="s">
        <v>74</v>
      </c>
    </row>
    <row r="20574" spans="9:9" x14ac:dyDescent="0.2">
      <c r="I20574" s="137" t="s">
        <v>74</v>
      </c>
    </row>
    <row r="20575" spans="9:9" x14ac:dyDescent="0.2">
      <c r="I20575" s="137" t="s">
        <v>74</v>
      </c>
    </row>
    <row r="20576" spans="9:9" x14ac:dyDescent="0.2">
      <c r="I20576" s="137" t="s">
        <v>74</v>
      </c>
    </row>
    <row r="20577" spans="9:9" x14ac:dyDescent="0.2">
      <c r="I20577" s="137" t="s">
        <v>74</v>
      </c>
    </row>
    <row r="20578" spans="9:9" x14ac:dyDescent="0.2">
      <c r="I20578" s="137" t="s">
        <v>74</v>
      </c>
    </row>
    <row r="20579" spans="9:9" x14ac:dyDescent="0.2">
      <c r="I20579" s="137" t="s">
        <v>74</v>
      </c>
    </row>
    <row r="20580" spans="9:9" x14ac:dyDescent="0.2">
      <c r="I20580" s="137" t="s">
        <v>74</v>
      </c>
    </row>
    <row r="20581" spans="9:9" x14ac:dyDescent="0.2">
      <c r="I20581" s="137" t="s">
        <v>74</v>
      </c>
    </row>
    <row r="20582" spans="9:9" x14ac:dyDescent="0.2">
      <c r="I20582" s="137" t="s">
        <v>74</v>
      </c>
    </row>
    <row r="20583" spans="9:9" x14ac:dyDescent="0.2">
      <c r="I20583" s="137" t="s">
        <v>74</v>
      </c>
    </row>
    <row r="20584" spans="9:9" x14ac:dyDescent="0.2">
      <c r="I20584" s="137" t="s">
        <v>74</v>
      </c>
    </row>
    <row r="20585" spans="9:9" x14ac:dyDescent="0.2">
      <c r="I20585" s="137" t="s">
        <v>74</v>
      </c>
    </row>
    <row r="20586" spans="9:9" x14ac:dyDescent="0.2">
      <c r="I20586" s="137" t="s">
        <v>74</v>
      </c>
    </row>
    <row r="20587" spans="9:9" x14ac:dyDescent="0.2">
      <c r="I20587" s="137" t="s">
        <v>74</v>
      </c>
    </row>
    <row r="20588" spans="9:9" x14ac:dyDescent="0.2">
      <c r="I20588" s="137" t="s">
        <v>74</v>
      </c>
    </row>
    <row r="20589" spans="9:9" x14ac:dyDescent="0.2">
      <c r="I20589" s="137" t="s">
        <v>74</v>
      </c>
    </row>
    <row r="20590" spans="9:9" x14ac:dyDescent="0.2">
      <c r="I20590" s="137" t="s">
        <v>74</v>
      </c>
    </row>
    <row r="20591" spans="9:9" x14ac:dyDescent="0.2">
      <c r="I20591" s="137" t="s">
        <v>74</v>
      </c>
    </row>
    <row r="20592" spans="9:9" x14ac:dyDescent="0.2">
      <c r="I20592" s="137" t="s">
        <v>74</v>
      </c>
    </row>
    <row r="20593" spans="9:9" x14ac:dyDescent="0.2">
      <c r="I20593" s="137" t="s">
        <v>74</v>
      </c>
    </row>
    <row r="20594" spans="9:9" x14ac:dyDescent="0.2">
      <c r="I20594" s="137" t="s">
        <v>74</v>
      </c>
    </row>
    <row r="20595" spans="9:9" x14ac:dyDescent="0.2">
      <c r="I20595" s="137" t="s">
        <v>74</v>
      </c>
    </row>
    <row r="20596" spans="9:9" x14ac:dyDescent="0.2">
      <c r="I20596" s="137" t="s">
        <v>74</v>
      </c>
    </row>
    <row r="20597" spans="9:9" x14ac:dyDescent="0.2">
      <c r="I20597" s="137" t="s">
        <v>74</v>
      </c>
    </row>
    <row r="20598" spans="9:9" x14ac:dyDescent="0.2">
      <c r="I20598" s="137" t="s">
        <v>74</v>
      </c>
    </row>
    <row r="20599" spans="9:9" x14ac:dyDescent="0.2">
      <c r="I20599" s="137" t="s">
        <v>74</v>
      </c>
    </row>
    <row r="20600" spans="9:9" x14ac:dyDescent="0.2">
      <c r="I20600" s="137" t="s">
        <v>74</v>
      </c>
    </row>
    <row r="20601" spans="9:9" x14ac:dyDescent="0.2">
      <c r="I20601" s="137" t="s">
        <v>74</v>
      </c>
    </row>
    <row r="20602" spans="9:9" x14ac:dyDescent="0.2">
      <c r="I20602" s="137" t="s">
        <v>74</v>
      </c>
    </row>
    <row r="20603" spans="9:9" x14ac:dyDescent="0.2">
      <c r="I20603" s="137" t="s">
        <v>74</v>
      </c>
    </row>
    <row r="20604" spans="9:9" x14ac:dyDescent="0.2">
      <c r="I20604" s="137" t="s">
        <v>74</v>
      </c>
    </row>
    <row r="20605" spans="9:9" x14ac:dyDescent="0.2">
      <c r="I20605" s="137" t="s">
        <v>74</v>
      </c>
    </row>
    <row r="20606" spans="9:9" x14ac:dyDescent="0.2">
      <c r="I20606" s="137" t="s">
        <v>74</v>
      </c>
    </row>
    <row r="20607" spans="9:9" x14ac:dyDescent="0.2">
      <c r="I20607" s="137" t="s">
        <v>74</v>
      </c>
    </row>
    <row r="20608" spans="9:9" x14ac:dyDescent="0.2">
      <c r="I20608" s="137" t="s">
        <v>74</v>
      </c>
    </row>
    <row r="20609" spans="9:9" x14ac:dyDescent="0.2">
      <c r="I20609" s="137" t="s">
        <v>74</v>
      </c>
    </row>
    <row r="20610" spans="9:9" x14ac:dyDescent="0.2">
      <c r="I20610" s="137" t="s">
        <v>74</v>
      </c>
    </row>
    <row r="20611" spans="9:9" x14ac:dyDescent="0.2">
      <c r="I20611" s="137" t="s">
        <v>74</v>
      </c>
    </row>
    <row r="20612" spans="9:9" x14ac:dyDescent="0.2">
      <c r="I20612" s="137" t="s">
        <v>74</v>
      </c>
    </row>
    <row r="20613" spans="9:9" x14ac:dyDescent="0.2">
      <c r="I20613" s="137" t="s">
        <v>74</v>
      </c>
    </row>
    <row r="20614" spans="9:9" x14ac:dyDescent="0.2">
      <c r="I20614" s="137" t="s">
        <v>74</v>
      </c>
    </row>
    <row r="20615" spans="9:9" x14ac:dyDescent="0.2">
      <c r="I20615" s="137" t="s">
        <v>74</v>
      </c>
    </row>
    <row r="20616" spans="9:9" x14ac:dyDescent="0.2">
      <c r="I20616" s="137" t="s">
        <v>74</v>
      </c>
    </row>
    <row r="20617" spans="9:9" x14ac:dyDescent="0.2">
      <c r="I20617" s="137" t="s">
        <v>74</v>
      </c>
    </row>
    <row r="20618" spans="9:9" x14ac:dyDescent="0.2">
      <c r="I20618" s="137" t="s">
        <v>74</v>
      </c>
    </row>
    <row r="20619" spans="9:9" x14ac:dyDescent="0.2">
      <c r="I20619" s="137" t="s">
        <v>74</v>
      </c>
    </row>
    <row r="20620" spans="9:9" x14ac:dyDescent="0.2">
      <c r="I20620" s="137" t="s">
        <v>74</v>
      </c>
    </row>
    <row r="20621" spans="9:9" x14ac:dyDescent="0.2">
      <c r="I20621" s="137" t="s">
        <v>74</v>
      </c>
    </row>
    <row r="20622" spans="9:9" x14ac:dyDescent="0.2">
      <c r="I20622" s="137" t="s">
        <v>74</v>
      </c>
    </row>
    <row r="20623" spans="9:9" x14ac:dyDescent="0.2">
      <c r="I20623" s="137" t="s">
        <v>74</v>
      </c>
    </row>
    <row r="20624" spans="9:9" x14ac:dyDescent="0.2">
      <c r="I20624" s="137" t="s">
        <v>74</v>
      </c>
    </row>
    <row r="20625" spans="9:9" x14ac:dyDescent="0.2">
      <c r="I20625" s="137" t="s">
        <v>74</v>
      </c>
    </row>
    <row r="20626" spans="9:9" x14ac:dyDescent="0.2">
      <c r="I20626" s="137" t="s">
        <v>74</v>
      </c>
    </row>
    <row r="20627" spans="9:9" x14ac:dyDescent="0.2">
      <c r="I20627" s="137" t="s">
        <v>74</v>
      </c>
    </row>
    <row r="20628" spans="9:9" x14ac:dyDescent="0.2">
      <c r="I20628" s="137" t="s">
        <v>74</v>
      </c>
    </row>
    <row r="20629" spans="9:9" x14ac:dyDescent="0.2">
      <c r="I20629" s="137" t="s">
        <v>74</v>
      </c>
    </row>
    <row r="20630" spans="9:9" x14ac:dyDescent="0.2">
      <c r="I20630" s="137" t="s">
        <v>74</v>
      </c>
    </row>
    <row r="20631" spans="9:9" x14ac:dyDescent="0.2">
      <c r="I20631" s="137" t="s">
        <v>74</v>
      </c>
    </row>
    <row r="20632" spans="9:9" x14ac:dyDescent="0.2">
      <c r="I20632" s="137" t="s">
        <v>74</v>
      </c>
    </row>
    <row r="20633" spans="9:9" x14ac:dyDescent="0.2">
      <c r="I20633" s="137" t="s">
        <v>74</v>
      </c>
    </row>
    <row r="20634" spans="9:9" x14ac:dyDescent="0.2">
      <c r="I20634" s="137" t="s">
        <v>74</v>
      </c>
    </row>
    <row r="20635" spans="9:9" x14ac:dyDescent="0.2">
      <c r="I20635" s="137" t="s">
        <v>74</v>
      </c>
    </row>
    <row r="20636" spans="9:9" x14ac:dyDescent="0.2">
      <c r="I20636" s="137" t="s">
        <v>74</v>
      </c>
    </row>
    <row r="20637" spans="9:9" x14ac:dyDescent="0.2">
      <c r="I20637" s="137" t="s">
        <v>74</v>
      </c>
    </row>
    <row r="20638" spans="9:9" x14ac:dyDescent="0.2">
      <c r="I20638" s="137" t="s">
        <v>74</v>
      </c>
    </row>
    <row r="20639" spans="9:9" x14ac:dyDescent="0.2">
      <c r="I20639" s="137" t="s">
        <v>74</v>
      </c>
    </row>
    <row r="20640" spans="9:9" x14ac:dyDescent="0.2">
      <c r="I20640" s="137" t="s">
        <v>74</v>
      </c>
    </row>
    <row r="20641" spans="9:9" x14ac:dyDescent="0.2">
      <c r="I20641" s="137" t="s">
        <v>74</v>
      </c>
    </row>
    <row r="20642" spans="9:9" x14ac:dyDescent="0.2">
      <c r="I20642" s="137" t="s">
        <v>74</v>
      </c>
    </row>
    <row r="20643" spans="9:9" x14ac:dyDescent="0.2">
      <c r="I20643" s="137" t="s">
        <v>74</v>
      </c>
    </row>
    <row r="20644" spans="9:9" x14ac:dyDescent="0.2">
      <c r="I20644" s="137" t="s">
        <v>74</v>
      </c>
    </row>
    <row r="20645" spans="9:9" x14ac:dyDescent="0.2">
      <c r="I20645" s="137" t="s">
        <v>74</v>
      </c>
    </row>
    <row r="20646" spans="9:9" x14ac:dyDescent="0.2">
      <c r="I20646" s="137" t="s">
        <v>74</v>
      </c>
    </row>
    <row r="20647" spans="9:9" x14ac:dyDescent="0.2">
      <c r="I20647" s="137" t="s">
        <v>74</v>
      </c>
    </row>
    <row r="20648" spans="9:9" x14ac:dyDescent="0.2">
      <c r="I20648" s="137" t="s">
        <v>74</v>
      </c>
    </row>
    <row r="20649" spans="9:9" x14ac:dyDescent="0.2">
      <c r="I20649" s="137" t="s">
        <v>74</v>
      </c>
    </row>
    <row r="20650" spans="9:9" x14ac:dyDescent="0.2">
      <c r="I20650" s="137" t="s">
        <v>74</v>
      </c>
    </row>
    <row r="20651" spans="9:9" x14ac:dyDescent="0.2">
      <c r="I20651" s="137" t="s">
        <v>74</v>
      </c>
    </row>
    <row r="20652" spans="9:9" x14ac:dyDescent="0.2">
      <c r="I20652" s="137" t="s">
        <v>74</v>
      </c>
    </row>
    <row r="20653" spans="9:9" x14ac:dyDescent="0.2">
      <c r="I20653" s="137" t="s">
        <v>74</v>
      </c>
    </row>
    <row r="20654" spans="9:9" x14ac:dyDescent="0.2">
      <c r="I20654" s="137" t="s">
        <v>74</v>
      </c>
    </row>
    <row r="20655" spans="9:9" x14ac:dyDescent="0.2">
      <c r="I20655" s="137" t="s">
        <v>74</v>
      </c>
    </row>
    <row r="20656" spans="9:9" x14ac:dyDescent="0.2">
      <c r="I20656" s="137" t="s">
        <v>74</v>
      </c>
    </row>
    <row r="20657" spans="9:9" x14ac:dyDescent="0.2">
      <c r="I20657" s="137" t="s">
        <v>74</v>
      </c>
    </row>
    <row r="20658" spans="9:9" x14ac:dyDescent="0.2">
      <c r="I20658" s="137" t="s">
        <v>74</v>
      </c>
    </row>
    <row r="20659" spans="9:9" x14ac:dyDescent="0.2">
      <c r="I20659" s="137" t="s">
        <v>74</v>
      </c>
    </row>
    <row r="20660" spans="9:9" x14ac:dyDescent="0.2">
      <c r="I20660" s="137" t="s">
        <v>74</v>
      </c>
    </row>
    <row r="20661" spans="9:9" x14ac:dyDescent="0.2">
      <c r="I20661" s="137" t="s">
        <v>74</v>
      </c>
    </row>
    <row r="20662" spans="9:9" x14ac:dyDescent="0.2">
      <c r="I20662" s="137" t="s">
        <v>74</v>
      </c>
    </row>
    <row r="20663" spans="9:9" x14ac:dyDescent="0.2">
      <c r="I20663" s="137" t="s">
        <v>74</v>
      </c>
    </row>
    <row r="20664" spans="9:9" x14ac:dyDescent="0.2">
      <c r="I20664" s="137" t="s">
        <v>74</v>
      </c>
    </row>
    <row r="20665" spans="9:9" x14ac:dyDescent="0.2">
      <c r="I20665" s="137" t="s">
        <v>74</v>
      </c>
    </row>
    <row r="20666" spans="9:9" x14ac:dyDescent="0.2">
      <c r="I20666" s="137" t="s">
        <v>74</v>
      </c>
    </row>
    <row r="20667" spans="9:9" x14ac:dyDescent="0.2">
      <c r="I20667" s="137" t="s">
        <v>74</v>
      </c>
    </row>
    <row r="20668" spans="9:9" x14ac:dyDescent="0.2">
      <c r="I20668" s="137" t="s">
        <v>74</v>
      </c>
    </row>
    <row r="20669" spans="9:9" x14ac:dyDescent="0.2">
      <c r="I20669" s="137" t="s">
        <v>74</v>
      </c>
    </row>
    <row r="20670" spans="9:9" x14ac:dyDescent="0.2">
      <c r="I20670" s="137" t="s">
        <v>74</v>
      </c>
    </row>
    <row r="20671" spans="9:9" x14ac:dyDescent="0.2">
      <c r="I20671" s="137" t="s">
        <v>74</v>
      </c>
    </row>
    <row r="20672" spans="9:9" x14ac:dyDescent="0.2">
      <c r="I20672" s="137" t="s">
        <v>74</v>
      </c>
    </row>
    <row r="20673" spans="9:9" x14ac:dyDescent="0.2">
      <c r="I20673" s="137" t="s">
        <v>74</v>
      </c>
    </row>
    <row r="20674" spans="9:9" x14ac:dyDescent="0.2">
      <c r="I20674" s="137" t="s">
        <v>74</v>
      </c>
    </row>
    <row r="20675" spans="9:9" x14ac:dyDescent="0.2">
      <c r="I20675" s="137" t="s">
        <v>74</v>
      </c>
    </row>
    <row r="20676" spans="9:9" x14ac:dyDescent="0.2">
      <c r="I20676" s="137" t="s">
        <v>74</v>
      </c>
    </row>
    <row r="20677" spans="9:9" x14ac:dyDescent="0.2">
      <c r="I20677" s="137" t="s">
        <v>74</v>
      </c>
    </row>
    <row r="20678" spans="9:9" x14ac:dyDescent="0.2">
      <c r="I20678" s="137" t="s">
        <v>74</v>
      </c>
    </row>
    <row r="20679" spans="9:9" x14ac:dyDescent="0.2">
      <c r="I20679" s="137" t="s">
        <v>74</v>
      </c>
    </row>
    <row r="20680" spans="9:9" x14ac:dyDescent="0.2">
      <c r="I20680" s="137" t="s">
        <v>74</v>
      </c>
    </row>
    <row r="20681" spans="9:9" x14ac:dyDescent="0.2">
      <c r="I20681" s="137" t="s">
        <v>74</v>
      </c>
    </row>
    <row r="20682" spans="9:9" x14ac:dyDescent="0.2">
      <c r="I20682" s="137" t="s">
        <v>74</v>
      </c>
    </row>
    <row r="20683" spans="9:9" x14ac:dyDescent="0.2">
      <c r="I20683" s="137" t="s">
        <v>74</v>
      </c>
    </row>
    <row r="20684" spans="9:9" x14ac:dyDescent="0.2">
      <c r="I20684" s="137" t="s">
        <v>74</v>
      </c>
    </row>
    <row r="20685" spans="9:9" x14ac:dyDescent="0.2">
      <c r="I20685" s="137" t="s">
        <v>74</v>
      </c>
    </row>
    <row r="20686" spans="9:9" x14ac:dyDescent="0.2">
      <c r="I20686" s="137" t="s">
        <v>74</v>
      </c>
    </row>
    <row r="20687" spans="9:9" x14ac:dyDescent="0.2">
      <c r="I20687" s="137" t="s">
        <v>74</v>
      </c>
    </row>
    <row r="20688" spans="9:9" x14ac:dyDescent="0.2">
      <c r="I20688" s="137" t="s">
        <v>74</v>
      </c>
    </row>
    <row r="20689" spans="9:9" x14ac:dyDescent="0.2">
      <c r="I20689" s="137" t="s">
        <v>74</v>
      </c>
    </row>
    <row r="20690" spans="9:9" x14ac:dyDescent="0.2">
      <c r="I20690" s="137" t="s">
        <v>74</v>
      </c>
    </row>
    <row r="20691" spans="9:9" x14ac:dyDescent="0.2">
      <c r="I20691" s="137" t="s">
        <v>74</v>
      </c>
    </row>
    <row r="20692" spans="9:9" x14ac:dyDescent="0.2">
      <c r="I20692" s="137" t="s">
        <v>74</v>
      </c>
    </row>
    <row r="20693" spans="9:9" x14ac:dyDescent="0.2">
      <c r="I20693" s="137" t="s">
        <v>74</v>
      </c>
    </row>
    <row r="20694" spans="9:9" x14ac:dyDescent="0.2">
      <c r="I20694" s="137" t="s">
        <v>74</v>
      </c>
    </row>
    <row r="20695" spans="9:9" x14ac:dyDescent="0.2">
      <c r="I20695" s="137" t="s">
        <v>74</v>
      </c>
    </row>
    <row r="20696" spans="9:9" x14ac:dyDescent="0.2">
      <c r="I20696" s="137" t="s">
        <v>74</v>
      </c>
    </row>
    <row r="20697" spans="9:9" x14ac:dyDescent="0.2">
      <c r="I20697" s="137" t="s">
        <v>74</v>
      </c>
    </row>
    <row r="20698" spans="9:9" x14ac:dyDescent="0.2">
      <c r="I20698" s="137" t="s">
        <v>74</v>
      </c>
    </row>
    <row r="20699" spans="9:9" x14ac:dyDescent="0.2">
      <c r="I20699" s="137" t="s">
        <v>74</v>
      </c>
    </row>
    <row r="20700" spans="9:9" x14ac:dyDescent="0.2">
      <c r="I20700" s="137" t="s">
        <v>74</v>
      </c>
    </row>
    <row r="20701" spans="9:9" x14ac:dyDescent="0.2">
      <c r="I20701" s="137" t="s">
        <v>74</v>
      </c>
    </row>
    <row r="20702" spans="9:9" x14ac:dyDescent="0.2">
      <c r="I20702" s="137" t="s">
        <v>74</v>
      </c>
    </row>
    <row r="20703" spans="9:9" x14ac:dyDescent="0.2">
      <c r="I20703" s="137" t="s">
        <v>74</v>
      </c>
    </row>
    <row r="20704" spans="9:9" x14ac:dyDescent="0.2">
      <c r="I20704" s="137" t="s">
        <v>74</v>
      </c>
    </row>
    <row r="20705" spans="9:9" x14ac:dyDescent="0.2">
      <c r="I20705" s="137" t="s">
        <v>74</v>
      </c>
    </row>
    <row r="20706" spans="9:9" x14ac:dyDescent="0.2">
      <c r="I20706" s="137" t="s">
        <v>74</v>
      </c>
    </row>
    <row r="20707" spans="9:9" x14ac:dyDescent="0.2">
      <c r="I20707" s="137" t="s">
        <v>74</v>
      </c>
    </row>
    <row r="20708" spans="9:9" x14ac:dyDescent="0.2">
      <c r="I20708" s="137" t="s">
        <v>74</v>
      </c>
    </row>
    <row r="20709" spans="9:9" x14ac:dyDescent="0.2">
      <c r="I20709" s="137" t="s">
        <v>74</v>
      </c>
    </row>
    <row r="20710" spans="9:9" x14ac:dyDescent="0.2">
      <c r="I20710" s="137" t="s">
        <v>74</v>
      </c>
    </row>
    <row r="20711" spans="9:9" x14ac:dyDescent="0.2">
      <c r="I20711" s="137" t="s">
        <v>74</v>
      </c>
    </row>
    <row r="20712" spans="9:9" x14ac:dyDescent="0.2">
      <c r="I20712" s="137" t="s">
        <v>74</v>
      </c>
    </row>
    <row r="20713" spans="9:9" x14ac:dyDescent="0.2">
      <c r="I20713" s="137" t="s">
        <v>74</v>
      </c>
    </row>
    <row r="20714" spans="9:9" x14ac:dyDescent="0.2">
      <c r="I20714" s="137" t="s">
        <v>74</v>
      </c>
    </row>
    <row r="20715" spans="9:9" x14ac:dyDescent="0.2">
      <c r="I20715" s="137" t="s">
        <v>74</v>
      </c>
    </row>
    <row r="20716" spans="9:9" x14ac:dyDescent="0.2">
      <c r="I20716" s="137" t="s">
        <v>74</v>
      </c>
    </row>
    <row r="20717" spans="9:9" x14ac:dyDescent="0.2">
      <c r="I20717" s="137" t="s">
        <v>74</v>
      </c>
    </row>
    <row r="20718" spans="9:9" x14ac:dyDescent="0.2">
      <c r="I20718" s="137" t="s">
        <v>74</v>
      </c>
    </row>
    <row r="20719" spans="9:9" x14ac:dyDescent="0.2">
      <c r="I20719" s="137" t="s">
        <v>74</v>
      </c>
    </row>
    <row r="20720" spans="9:9" x14ac:dyDescent="0.2">
      <c r="I20720" s="137" t="s">
        <v>74</v>
      </c>
    </row>
    <row r="20721" spans="9:9" x14ac:dyDescent="0.2">
      <c r="I20721" s="137" t="s">
        <v>74</v>
      </c>
    </row>
    <row r="20722" spans="9:9" x14ac:dyDescent="0.2">
      <c r="I20722" s="137" t="s">
        <v>74</v>
      </c>
    </row>
    <row r="20723" spans="9:9" x14ac:dyDescent="0.2">
      <c r="I20723" s="137" t="s">
        <v>74</v>
      </c>
    </row>
    <row r="20724" spans="9:9" x14ac:dyDescent="0.2">
      <c r="I20724" s="137" t="s">
        <v>74</v>
      </c>
    </row>
    <row r="20725" spans="9:9" x14ac:dyDescent="0.2">
      <c r="I20725" s="137" t="s">
        <v>74</v>
      </c>
    </row>
    <row r="20726" spans="9:9" x14ac:dyDescent="0.2">
      <c r="I20726" s="137" t="s">
        <v>74</v>
      </c>
    </row>
    <row r="20727" spans="9:9" x14ac:dyDescent="0.2">
      <c r="I20727" s="137" t="s">
        <v>74</v>
      </c>
    </row>
    <row r="20728" spans="9:9" x14ac:dyDescent="0.2">
      <c r="I20728" s="137" t="s">
        <v>74</v>
      </c>
    </row>
    <row r="20729" spans="9:9" x14ac:dyDescent="0.2">
      <c r="I20729" s="137" t="s">
        <v>74</v>
      </c>
    </row>
    <row r="20730" spans="9:9" x14ac:dyDescent="0.2">
      <c r="I20730" s="137" t="s">
        <v>74</v>
      </c>
    </row>
    <row r="20731" spans="9:9" x14ac:dyDescent="0.2">
      <c r="I20731" s="137" t="s">
        <v>74</v>
      </c>
    </row>
    <row r="20732" spans="9:9" x14ac:dyDescent="0.2">
      <c r="I20732" s="137" t="s">
        <v>74</v>
      </c>
    </row>
    <row r="20733" spans="9:9" x14ac:dyDescent="0.2">
      <c r="I20733" s="137" t="s">
        <v>74</v>
      </c>
    </row>
    <row r="20734" spans="9:9" x14ac:dyDescent="0.2">
      <c r="I20734" s="137" t="s">
        <v>74</v>
      </c>
    </row>
    <row r="20735" spans="9:9" x14ac:dyDescent="0.2">
      <c r="I20735" s="137" t="s">
        <v>74</v>
      </c>
    </row>
    <row r="20736" spans="9:9" x14ac:dyDescent="0.2">
      <c r="I20736" s="137" t="s">
        <v>74</v>
      </c>
    </row>
    <row r="20737" spans="9:9" x14ac:dyDescent="0.2">
      <c r="I20737" s="137" t="s">
        <v>74</v>
      </c>
    </row>
    <row r="20738" spans="9:9" x14ac:dyDescent="0.2">
      <c r="I20738" s="137" t="s">
        <v>74</v>
      </c>
    </row>
    <row r="20739" spans="9:9" x14ac:dyDescent="0.2">
      <c r="I20739" s="137" t="s">
        <v>74</v>
      </c>
    </row>
    <row r="20740" spans="9:9" x14ac:dyDescent="0.2">
      <c r="I20740" s="137" t="s">
        <v>74</v>
      </c>
    </row>
    <row r="20741" spans="9:9" x14ac:dyDescent="0.2">
      <c r="I20741" s="137" t="s">
        <v>74</v>
      </c>
    </row>
    <row r="20742" spans="9:9" x14ac:dyDescent="0.2">
      <c r="I20742" s="137" t="s">
        <v>74</v>
      </c>
    </row>
    <row r="20743" spans="9:9" x14ac:dyDescent="0.2">
      <c r="I20743" s="137" t="s">
        <v>74</v>
      </c>
    </row>
    <row r="20744" spans="9:9" x14ac:dyDescent="0.2">
      <c r="I20744" s="137" t="s">
        <v>74</v>
      </c>
    </row>
    <row r="20745" spans="9:9" x14ac:dyDescent="0.2">
      <c r="I20745" s="137" t="s">
        <v>74</v>
      </c>
    </row>
    <row r="20746" spans="9:9" x14ac:dyDescent="0.2">
      <c r="I20746" s="137" t="s">
        <v>74</v>
      </c>
    </row>
    <row r="20747" spans="9:9" x14ac:dyDescent="0.2">
      <c r="I20747" s="137" t="s">
        <v>74</v>
      </c>
    </row>
    <row r="20748" spans="9:9" x14ac:dyDescent="0.2">
      <c r="I20748" s="137" t="s">
        <v>74</v>
      </c>
    </row>
    <row r="20749" spans="9:9" x14ac:dyDescent="0.2">
      <c r="I20749" s="137" t="s">
        <v>74</v>
      </c>
    </row>
    <row r="20750" spans="9:9" x14ac:dyDescent="0.2">
      <c r="I20750" s="137" t="s">
        <v>74</v>
      </c>
    </row>
    <row r="20751" spans="9:9" x14ac:dyDescent="0.2">
      <c r="I20751" s="137" t="s">
        <v>74</v>
      </c>
    </row>
    <row r="20752" spans="9:9" x14ac:dyDescent="0.2">
      <c r="I20752" s="137" t="s">
        <v>74</v>
      </c>
    </row>
    <row r="20753" spans="9:9" x14ac:dyDescent="0.2">
      <c r="I20753" s="137" t="s">
        <v>74</v>
      </c>
    </row>
    <row r="20754" spans="9:9" x14ac:dyDescent="0.2">
      <c r="I20754" s="137" t="s">
        <v>74</v>
      </c>
    </row>
    <row r="20755" spans="9:9" x14ac:dyDescent="0.2">
      <c r="I20755" s="137" t="s">
        <v>74</v>
      </c>
    </row>
    <row r="20756" spans="9:9" x14ac:dyDescent="0.2">
      <c r="I20756" s="137" t="s">
        <v>74</v>
      </c>
    </row>
    <row r="20757" spans="9:9" x14ac:dyDescent="0.2">
      <c r="I20757" s="137" t="s">
        <v>74</v>
      </c>
    </row>
    <row r="20758" spans="9:9" x14ac:dyDescent="0.2">
      <c r="I20758" s="137" t="s">
        <v>74</v>
      </c>
    </row>
    <row r="20759" spans="9:9" x14ac:dyDescent="0.2">
      <c r="I20759" s="137" t="s">
        <v>74</v>
      </c>
    </row>
    <row r="20760" spans="9:9" x14ac:dyDescent="0.2">
      <c r="I20760" s="137" t="s">
        <v>74</v>
      </c>
    </row>
    <row r="20761" spans="9:9" x14ac:dyDescent="0.2">
      <c r="I20761" s="137" t="s">
        <v>74</v>
      </c>
    </row>
    <row r="20762" spans="9:9" x14ac:dyDescent="0.2">
      <c r="I20762" s="137" t="s">
        <v>74</v>
      </c>
    </row>
    <row r="20763" spans="9:9" x14ac:dyDescent="0.2">
      <c r="I20763" s="137" t="s">
        <v>74</v>
      </c>
    </row>
    <row r="20764" spans="9:9" x14ac:dyDescent="0.2">
      <c r="I20764" s="137" t="s">
        <v>74</v>
      </c>
    </row>
    <row r="20765" spans="9:9" x14ac:dyDescent="0.2">
      <c r="I20765" s="137" t="s">
        <v>74</v>
      </c>
    </row>
    <row r="20766" spans="9:9" x14ac:dyDescent="0.2">
      <c r="I20766" s="137" t="s">
        <v>74</v>
      </c>
    </row>
    <row r="20767" spans="9:9" x14ac:dyDescent="0.2">
      <c r="I20767" s="137" t="s">
        <v>74</v>
      </c>
    </row>
    <row r="20768" spans="9:9" x14ac:dyDescent="0.2">
      <c r="I20768" s="137" t="s">
        <v>74</v>
      </c>
    </row>
    <row r="20769" spans="9:9" x14ac:dyDescent="0.2">
      <c r="I20769" s="137" t="s">
        <v>74</v>
      </c>
    </row>
    <row r="20770" spans="9:9" x14ac:dyDescent="0.2">
      <c r="I20770" s="137" t="s">
        <v>74</v>
      </c>
    </row>
    <row r="20771" spans="9:9" x14ac:dyDescent="0.2">
      <c r="I20771" s="137" t="s">
        <v>74</v>
      </c>
    </row>
    <row r="20772" spans="9:9" x14ac:dyDescent="0.2">
      <c r="I20772" s="137" t="s">
        <v>74</v>
      </c>
    </row>
    <row r="20773" spans="9:9" x14ac:dyDescent="0.2">
      <c r="I20773" s="137" t="s">
        <v>74</v>
      </c>
    </row>
    <row r="20774" spans="9:9" x14ac:dyDescent="0.2">
      <c r="I20774" s="137" t="s">
        <v>74</v>
      </c>
    </row>
    <row r="20775" spans="9:9" x14ac:dyDescent="0.2">
      <c r="I20775" s="137" t="s">
        <v>74</v>
      </c>
    </row>
    <row r="20776" spans="9:9" x14ac:dyDescent="0.2">
      <c r="I20776" s="137" t="s">
        <v>74</v>
      </c>
    </row>
    <row r="20777" spans="9:9" x14ac:dyDescent="0.2">
      <c r="I20777" s="137" t="s">
        <v>74</v>
      </c>
    </row>
    <row r="20778" spans="9:9" x14ac:dyDescent="0.2">
      <c r="I20778" s="137" t="s">
        <v>74</v>
      </c>
    </row>
    <row r="20779" spans="9:9" x14ac:dyDescent="0.2">
      <c r="I20779" s="137" t="s">
        <v>74</v>
      </c>
    </row>
    <row r="20780" spans="9:9" x14ac:dyDescent="0.2">
      <c r="I20780" s="137" t="s">
        <v>74</v>
      </c>
    </row>
    <row r="20781" spans="9:9" x14ac:dyDescent="0.2">
      <c r="I20781" s="137" t="s">
        <v>74</v>
      </c>
    </row>
    <row r="20782" spans="9:9" x14ac:dyDescent="0.2">
      <c r="I20782" s="137" t="s">
        <v>74</v>
      </c>
    </row>
    <row r="20783" spans="9:9" x14ac:dyDescent="0.2">
      <c r="I20783" s="137" t="s">
        <v>74</v>
      </c>
    </row>
    <row r="20784" spans="9:9" x14ac:dyDescent="0.2">
      <c r="I20784" s="137" t="s">
        <v>74</v>
      </c>
    </row>
    <row r="20785" spans="9:9" x14ac:dyDescent="0.2">
      <c r="I20785" s="137" t="s">
        <v>74</v>
      </c>
    </row>
    <row r="20786" spans="9:9" x14ac:dyDescent="0.2">
      <c r="I20786" s="137" t="s">
        <v>74</v>
      </c>
    </row>
    <row r="20787" spans="9:9" x14ac:dyDescent="0.2">
      <c r="I20787" s="137" t="s">
        <v>74</v>
      </c>
    </row>
    <row r="20788" spans="9:9" x14ac:dyDescent="0.2">
      <c r="I20788" s="137" t="s">
        <v>74</v>
      </c>
    </row>
    <row r="20789" spans="9:9" x14ac:dyDescent="0.2">
      <c r="I20789" s="137" t="s">
        <v>74</v>
      </c>
    </row>
    <row r="20790" spans="9:9" x14ac:dyDescent="0.2">
      <c r="I20790" s="137" t="s">
        <v>74</v>
      </c>
    </row>
    <row r="20791" spans="9:9" x14ac:dyDescent="0.2">
      <c r="I20791" s="137" t="s">
        <v>74</v>
      </c>
    </row>
    <row r="20792" spans="9:9" x14ac:dyDescent="0.2">
      <c r="I20792" s="137" t="s">
        <v>74</v>
      </c>
    </row>
    <row r="20793" spans="9:9" x14ac:dyDescent="0.2">
      <c r="I20793" s="137" t="s">
        <v>74</v>
      </c>
    </row>
    <row r="20794" spans="9:9" x14ac:dyDescent="0.2">
      <c r="I20794" s="137" t="s">
        <v>74</v>
      </c>
    </row>
    <row r="20795" spans="9:9" x14ac:dyDescent="0.2">
      <c r="I20795" s="137" t="s">
        <v>74</v>
      </c>
    </row>
    <row r="20796" spans="9:9" x14ac:dyDescent="0.2">
      <c r="I20796" s="137" t="s">
        <v>74</v>
      </c>
    </row>
    <row r="20797" spans="9:9" x14ac:dyDescent="0.2">
      <c r="I20797" s="137" t="s">
        <v>74</v>
      </c>
    </row>
    <row r="20798" spans="9:9" x14ac:dyDescent="0.2">
      <c r="I20798" s="137" t="s">
        <v>74</v>
      </c>
    </row>
    <row r="20799" spans="9:9" x14ac:dyDescent="0.2">
      <c r="I20799" s="137" t="s">
        <v>74</v>
      </c>
    </row>
    <row r="20800" spans="9:9" x14ac:dyDescent="0.2">
      <c r="I20800" s="137" t="s">
        <v>74</v>
      </c>
    </row>
    <row r="20801" spans="9:9" x14ac:dyDescent="0.2">
      <c r="I20801" s="137" t="s">
        <v>74</v>
      </c>
    </row>
    <row r="20802" spans="9:9" x14ac:dyDescent="0.2">
      <c r="I20802" s="137" t="s">
        <v>74</v>
      </c>
    </row>
    <row r="20803" spans="9:9" x14ac:dyDescent="0.2">
      <c r="I20803" s="137" t="s">
        <v>74</v>
      </c>
    </row>
    <row r="20804" spans="9:9" x14ac:dyDescent="0.2">
      <c r="I20804" s="137" t="s">
        <v>74</v>
      </c>
    </row>
    <row r="20805" spans="9:9" x14ac:dyDescent="0.2">
      <c r="I20805" s="137" t="s">
        <v>74</v>
      </c>
    </row>
    <row r="20806" spans="9:9" x14ac:dyDescent="0.2">
      <c r="I20806" s="137" t="s">
        <v>74</v>
      </c>
    </row>
    <row r="20807" spans="9:9" x14ac:dyDescent="0.2">
      <c r="I20807" s="137" t="s">
        <v>74</v>
      </c>
    </row>
    <row r="20808" spans="9:9" x14ac:dyDescent="0.2">
      <c r="I20808" s="137" t="s">
        <v>74</v>
      </c>
    </row>
    <row r="20809" spans="9:9" x14ac:dyDescent="0.2">
      <c r="I20809" s="137" t="s">
        <v>74</v>
      </c>
    </row>
    <row r="20810" spans="9:9" x14ac:dyDescent="0.2">
      <c r="I20810" s="137" t="s">
        <v>74</v>
      </c>
    </row>
    <row r="20811" spans="9:9" x14ac:dyDescent="0.2">
      <c r="I20811" s="137" t="s">
        <v>74</v>
      </c>
    </row>
    <row r="20812" spans="9:9" x14ac:dyDescent="0.2">
      <c r="I20812" s="137" t="s">
        <v>74</v>
      </c>
    </row>
    <row r="20813" spans="9:9" x14ac:dyDescent="0.2">
      <c r="I20813" s="137" t="s">
        <v>74</v>
      </c>
    </row>
    <row r="20814" spans="9:9" x14ac:dyDescent="0.2">
      <c r="I20814" s="137" t="s">
        <v>74</v>
      </c>
    </row>
    <row r="20815" spans="9:9" x14ac:dyDescent="0.2">
      <c r="I20815" s="137" t="s">
        <v>74</v>
      </c>
    </row>
    <row r="20816" spans="9:9" x14ac:dyDescent="0.2">
      <c r="I20816" s="137" t="s">
        <v>74</v>
      </c>
    </row>
    <row r="20817" spans="9:9" x14ac:dyDescent="0.2">
      <c r="I20817" s="137" t="s">
        <v>74</v>
      </c>
    </row>
    <row r="20818" spans="9:9" x14ac:dyDescent="0.2">
      <c r="I20818" s="137" t="s">
        <v>74</v>
      </c>
    </row>
    <row r="20819" spans="9:9" x14ac:dyDescent="0.2">
      <c r="I20819" s="137" t="s">
        <v>74</v>
      </c>
    </row>
    <row r="20820" spans="9:9" x14ac:dyDescent="0.2">
      <c r="I20820" s="137" t="s">
        <v>74</v>
      </c>
    </row>
    <row r="20821" spans="9:9" x14ac:dyDescent="0.2">
      <c r="I20821" s="137" t="s">
        <v>74</v>
      </c>
    </row>
    <row r="20822" spans="9:9" x14ac:dyDescent="0.2">
      <c r="I20822" s="137" t="s">
        <v>74</v>
      </c>
    </row>
    <row r="20823" spans="9:9" x14ac:dyDescent="0.2">
      <c r="I20823" s="137" t="s">
        <v>74</v>
      </c>
    </row>
    <row r="20824" spans="9:9" x14ac:dyDescent="0.2">
      <c r="I20824" s="137" t="s">
        <v>74</v>
      </c>
    </row>
    <row r="20825" spans="9:9" x14ac:dyDescent="0.2">
      <c r="I20825" s="137" t="s">
        <v>74</v>
      </c>
    </row>
    <row r="20826" spans="9:9" x14ac:dyDescent="0.2">
      <c r="I20826" s="137" t="s">
        <v>74</v>
      </c>
    </row>
    <row r="20827" spans="9:9" x14ac:dyDescent="0.2">
      <c r="I20827" s="137" t="s">
        <v>74</v>
      </c>
    </row>
    <row r="20828" spans="9:9" x14ac:dyDescent="0.2">
      <c r="I20828" s="137" t="s">
        <v>74</v>
      </c>
    </row>
    <row r="20829" spans="9:9" x14ac:dyDescent="0.2">
      <c r="I20829" s="137" t="s">
        <v>74</v>
      </c>
    </row>
    <row r="20830" spans="9:9" x14ac:dyDescent="0.2">
      <c r="I20830" s="137" t="s">
        <v>74</v>
      </c>
    </row>
    <row r="20831" spans="9:9" x14ac:dyDescent="0.2">
      <c r="I20831" s="137" t="s">
        <v>74</v>
      </c>
    </row>
    <row r="20832" spans="9:9" x14ac:dyDescent="0.2">
      <c r="I20832" s="137" t="s">
        <v>74</v>
      </c>
    </row>
    <row r="20833" spans="9:9" x14ac:dyDescent="0.2">
      <c r="I20833" s="137" t="s">
        <v>74</v>
      </c>
    </row>
    <row r="20834" spans="9:9" x14ac:dyDescent="0.2">
      <c r="I20834" s="137" t="s">
        <v>74</v>
      </c>
    </row>
    <row r="20835" spans="9:9" x14ac:dyDescent="0.2">
      <c r="I20835" s="137" t="s">
        <v>74</v>
      </c>
    </row>
    <row r="20836" spans="9:9" x14ac:dyDescent="0.2">
      <c r="I20836" s="137" t="s">
        <v>74</v>
      </c>
    </row>
    <row r="20837" spans="9:9" x14ac:dyDescent="0.2">
      <c r="I20837" s="137" t="s">
        <v>74</v>
      </c>
    </row>
    <row r="20838" spans="9:9" x14ac:dyDescent="0.2">
      <c r="I20838" s="137" t="s">
        <v>74</v>
      </c>
    </row>
    <row r="20839" spans="9:9" x14ac:dyDescent="0.2">
      <c r="I20839" s="137" t="s">
        <v>74</v>
      </c>
    </row>
    <row r="20840" spans="9:9" x14ac:dyDescent="0.2">
      <c r="I20840" s="137" t="s">
        <v>74</v>
      </c>
    </row>
    <row r="20841" spans="9:9" x14ac:dyDescent="0.2">
      <c r="I20841" s="137" t="s">
        <v>74</v>
      </c>
    </row>
    <row r="20842" spans="9:9" x14ac:dyDescent="0.2">
      <c r="I20842" s="137" t="s">
        <v>74</v>
      </c>
    </row>
    <row r="20843" spans="9:9" x14ac:dyDescent="0.2">
      <c r="I20843" s="137" t="s">
        <v>74</v>
      </c>
    </row>
    <row r="20844" spans="9:9" x14ac:dyDescent="0.2">
      <c r="I20844" s="137" t="s">
        <v>74</v>
      </c>
    </row>
    <row r="20845" spans="9:9" x14ac:dyDescent="0.2">
      <c r="I20845" s="137" t="s">
        <v>74</v>
      </c>
    </row>
    <row r="20846" spans="9:9" x14ac:dyDescent="0.2">
      <c r="I20846" s="137" t="s">
        <v>74</v>
      </c>
    </row>
    <row r="20847" spans="9:9" x14ac:dyDescent="0.2">
      <c r="I20847" s="137" t="s">
        <v>74</v>
      </c>
    </row>
    <row r="20848" spans="9:9" x14ac:dyDescent="0.2">
      <c r="I20848" s="137" t="s">
        <v>74</v>
      </c>
    </row>
    <row r="20849" spans="9:9" x14ac:dyDescent="0.2">
      <c r="I20849" s="137" t="s">
        <v>74</v>
      </c>
    </row>
    <row r="20850" spans="9:9" x14ac:dyDescent="0.2">
      <c r="I20850" s="137" t="s">
        <v>74</v>
      </c>
    </row>
    <row r="20851" spans="9:9" x14ac:dyDescent="0.2">
      <c r="I20851" s="137" t="s">
        <v>74</v>
      </c>
    </row>
    <row r="20852" spans="9:9" x14ac:dyDescent="0.2">
      <c r="I20852" s="137" t="s">
        <v>74</v>
      </c>
    </row>
    <row r="20853" spans="9:9" x14ac:dyDescent="0.2">
      <c r="I20853" s="137" t="s">
        <v>74</v>
      </c>
    </row>
    <row r="20854" spans="9:9" x14ac:dyDescent="0.2">
      <c r="I20854" s="137" t="s">
        <v>74</v>
      </c>
    </row>
    <row r="20855" spans="9:9" x14ac:dyDescent="0.2">
      <c r="I20855" s="137" t="s">
        <v>74</v>
      </c>
    </row>
    <row r="20856" spans="9:9" x14ac:dyDescent="0.2">
      <c r="I20856" s="137" t="s">
        <v>74</v>
      </c>
    </row>
    <row r="20857" spans="9:9" x14ac:dyDescent="0.2">
      <c r="I20857" s="137" t="s">
        <v>74</v>
      </c>
    </row>
    <row r="20858" spans="9:9" x14ac:dyDescent="0.2">
      <c r="I20858" s="137" t="s">
        <v>74</v>
      </c>
    </row>
    <row r="20859" spans="9:9" x14ac:dyDescent="0.2">
      <c r="I20859" s="137" t="s">
        <v>74</v>
      </c>
    </row>
    <row r="20860" spans="9:9" x14ac:dyDescent="0.2">
      <c r="I20860" s="137" t="s">
        <v>74</v>
      </c>
    </row>
    <row r="20861" spans="9:9" x14ac:dyDescent="0.2">
      <c r="I20861" s="137" t="s">
        <v>74</v>
      </c>
    </row>
    <row r="20862" spans="9:9" x14ac:dyDescent="0.2">
      <c r="I20862" s="137" t="s">
        <v>74</v>
      </c>
    </row>
    <row r="20863" spans="9:9" x14ac:dyDescent="0.2">
      <c r="I20863" s="137" t="s">
        <v>74</v>
      </c>
    </row>
    <row r="20864" spans="9:9" x14ac:dyDescent="0.2">
      <c r="I20864" s="137" t="s">
        <v>74</v>
      </c>
    </row>
    <row r="20865" spans="9:9" x14ac:dyDescent="0.2">
      <c r="I20865" s="137" t="s">
        <v>74</v>
      </c>
    </row>
    <row r="20866" spans="9:9" x14ac:dyDescent="0.2">
      <c r="I20866" s="137" t="s">
        <v>74</v>
      </c>
    </row>
    <row r="20867" spans="9:9" x14ac:dyDescent="0.2">
      <c r="I20867" s="137" t="s">
        <v>74</v>
      </c>
    </row>
    <row r="20868" spans="9:9" x14ac:dyDescent="0.2">
      <c r="I20868" s="137" t="s">
        <v>74</v>
      </c>
    </row>
    <row r="20869" spans="9:9" x14ac:dyDescent="0.2">
      <c r="I20869" s="137" t="s">
        <v>74</v>
      </c>
    </row>
    <row r="20870" spans="9:9" x14ac:dyDescent="0.2">
      <c r="I20870" s="137" t="s">
        <v>74</v>
      </c>
    </row>
    <row r="20871" spans="9:9" x14ac:dyDescent="0.2">
      <c r="I20871" s="137" t="s">
        <v>74</v>
      </c>
    </row>
    <row r="20872" spans="9:9" x14ac:dyDescent="0.2">
      <c r="I20872" s="137" t="s">
        <v>74</v>
      </c>
    </row>
    <row r="20873" spans="9:9" x14ac:dyDescent="0.2">
      <c r="I20873" s="137" t="s">
        <v>74</v>
      </c>
    </row>
    <row r="20874" spans="9:9" x14ac:dyDescent="0.2">
      <c r="I20874" s="137" t="s">
        <v>74</v>
      </c>
    </row>
    <row r="20875" spans="9:9" x14ac:dyDescent="0.2">
      <c r="I20875" s="137" t="s">
        <v>74</v>
      </c>
    </row>
    <row r="20876" spans="9:9" x14ac:dyDescent="0.2">
      <c r="I20876" s="137" t="s">
        <v>74</v>
      </c>
    </row>
    <row r="20877" spans="9:9" x14ac:dyDescent="0.2">
      <c r="I20877" s="137" t="s">
        <v>74</v>
      </c>
    </row>
    <row r="20878" spans="9:9" x14ac:dyDescent="0.2">
      <c r="I20878" s="137" t="s">
        <v>74</v>
      </c>
    </row>
    <row r="20879" spans="9:9" x14ac:dyDescent="0.2">
      <c r="I20879" s="137" t="s">
        <v>74</v>
      </c>
    </row>
    <row r="20880" spans="9:9" x14ac:dyDescent="0.2">
      <c r="I20880" s="137" t="s">
        <v>74</v>
      </c>
    </row>
    <row r="20881" spans="9:9" x14ac:dyDescent="0.2">
      <c r="I20881" s="137" t="s">
        <v>74</v>
      </c>
    </row>
    <row r="20882" spans="9:9" x14ac:dyDescent="0.2">
      <c r="I20882" s="137" t="s">
        <v>74</v>
      </c>
    </row>
    <row r="20883" spans="9:9" x14ac:dyDescent="0.2">
      <c r="I20883" s="137" t="s">
        <v>74</v>
      </c>
    </row>
    <row r="20884" spans="9:9" x14ac:dyDescent="0.2">
      <c r="I20884" s="137" t="s">
        <v>74</v>
      </c>
    </row>
    <row r="20885" spans="9:9" x14ac:dyDescent="0.2">
      <c r="I20885" s="137" t="s">
        <v>74</v>
      </c>
    </row>
    <row r="20886" spans="9:9" x14ac:dyDescent="0.2">
      <c r="I20886" s="137" t="s">
        <v>74</v>
      </c>
    </row>
    <row r="20887" spans="9:9" x14ac:dyDescent="0.2">
      <c r="I20887" s="137" t="s">
        <v>74</v>
      </c>
    </row>
    <row r="20888" spans="9:9" x14ac:dyDescent="0.2">
      <c r="I20888" s="137" t="s">
        <v>74</v>
      </c>
    </row>
    <row r="20889" spans="9:9" x14ac:dyDescent="0.2">
      <c r="I20889" s="137" t="s">
        <v>74</v>
      </c>
    </row>
    <row r="20890" spans="9:9" x14ac:dyDescent="0.2">
      <c r="I20890" s="137" t="s">
        <v>74</v>
      </c>
    </row>
    <row r="20891" spans="9:9" x14ac:dyDescent="0.2">
      <c r="I20891" s="137" t="s">
        <v>74</v>
      </c>
    </row>
    <row r="20892" spans="9:9" x14ac:dyDescent="0.2">
      <c r="I20892" s="137" t="s">
        <v>74</v>
      </c>
    </row>
    <row r="20893" spans="9:9" x14ac:dyDescent="0.2">
      <c r="I20893" s="137" t="s">
        <v>74</v>
      </c>
    </row>
    <row r="20894" spans="9:9" x14ac:dyDescent="0.2">
      <c r="I20894" s="137" t="s">
        <v>74</v>
      </c>
    </row>
    <row r="20895" spans="9:9" x14ac:dyDescent="0.2">
      <c r="I20895" s="137" t="s">
        <v>74</v>
      </c>
    </row>
    <row r="20896" spans="9:9" x14ac:dyDescent="0.2">
      <c r="I20896" s="137" t="s">
        <v>74</v>
      </c>
    </row>
    <row r="20897" spans="9:9" x14ac:dyDescent="0.2">
      <c r="I20897" s="137" t="s">
        <v>74</v>
      </c>
    </row>
    <row r="20898" spans="9:9" x14ac:dyDescent="0.2">
      <c r="I20898" s="137" t="s">
        <v>74</v>
      </c>
    </row>
    <row r="20899" spans="9:9" x14ac:dyDescent="0.2">
      <c r="I20899" s="137" t="s">
        <v>74</v>
      </c>
    </row>
    <row r="20900" spans="9:9" x14ac:dyDescent="0.2">
      <c r="I20900" s="137" t="s">
        <v>74</v>
      </c>
    </row>
    <row r="20901" spans="9:9" x14ac:dyDescent="0.2">
      <c r="I20901" s="137" t="s">
        <v>74</v>
      </c>
    </row>
    <row r="20902" spans="9:9" x14ac:dyDescent="0.2">
      <c r="I20902" s="137" t="s">
        <v>74</v>
      </c>
    </row>
    <row r="20903" spans="9:9" x14ac:dyDescent="0.2">
      <c r="I20903" s="137" t="s">
        <v>74</v>
      </c>
    </row>
    <row r="20904" spans="9:9" x14ac:dyDescent="0.2">
      <c r="I20904" s="137" t="s">
        <v>74</v>
      </c>
    </row>
    <row r="20905" spans="9:9" x14ac:dyDescent="0.2">
      <c r="I20905" s="137" t="s">
        <v>74</v>
      </c>
    </row>
    <row r="20906" spans="9:9" x14ac:dyDescent="0.2">
      <c r="I20906" s="137" t="s">
        <v>74</v>
      </c>
    </row>
    <row r="20907" spans="9:9" x14ac:dyDescent="0.2">
      <c r="I20907" s="137" t="s">
        <v>74</v>
      </c>
    </row>
    <row r="20908" spans="9:9" x14ac:dyDescent="0.2">
      <c r="I20908" s="137" t="s">
        <v>74</v>
      </c>
    </row>
    <row r="20909" spans="9:9" x14ac:dyDescent="0.2">
      <c r="I20909" s="137" t="s">
        <v>74</v>
      </c>
    </row>
    <row r="20910" spans="9:9" x14ac:dyDescent="0.2">
      <c r="I20910" s="137" t="s">
        <v>74</v>
      </c>
    </row>
    <row r="20911" spans="9:9" x14ac:dyDescent="0.2">
      <c r="I20911" s="137" t="s">
        <v>74</v>
      </c>
    </row>
    <row r="20912" spans="9:9" x14ac:dyDescent="0.2">
      <c r="I20912" s="137" t="s">
        <v>74</v>
      </c>
    </row>
    <row r="20913" spans="9:9" x14ac:dyDescent="0.2">
      <c r="I20913" s="137" t="s">
        <v>74</v>
      </c>
    </row>
    <row r="20914" spans="9:9" x14ac:dyDescent="0.2">
      <c r="I20914" s="137" t="s">
        <v>74</v>
      </c>
    </row>
    <row r="20915" spans="9:9" x14ac:dyDescent="0.2">
      <c r="I20915" s="137" t="s">
        <v>74</v>
      </c>
    </row>
    <row r="20916" spans="9:9" x14ac:dyDescent="0.2">
      <c r="I20916" s="137" t="s">
        <v>74</v>
      </c>
    </row>
    <row r="20917" spans="9:9" x14ac:dyDescent="0.2">
      <c r="I20917" s="137" t="s">
        <v>74</v>
      </c>
    </row>
    <row r="20918" spans="9:9" x14ac:dyDescent="0.2">
      <c r="I20918" s="137" t="s">
        <v>74</v>
      </c>
    </row>
    <row r="20919" spans="9:9" x14ac:dyDescent="0.2">
      <c r="I20919" s="137" t="s">
        <v>74</v>
      </c>
    </row>
    <row r="20920" spans="9:9" x14ac:dyDescent="0.2">
      <c r="I20920" s="137" t="s">
        <v>74</v>
      </c>
    </row>
    <row r="20921" spans="9:9" x14ac:dyDescent="0.2">
      <c r="I20921" s="137" t="s">
        <v>74</v>
      </c>
    </row>
    <row r="20922" spans="9:9" x14ac:dyDescent="0.2">
      <c r="I20922" s="137" t="s">
        <v>74</v>
      </c>
    </row>
    <row r="20923" spans="9:9" x14ac:dyDescent="0.2">
      <c r="I20923" s="137" t="s">
        <v>74</v>
      </c>
    </row>
    <row r="20924" spans="9:9" x14ac:dyDescent="0.2">
      <c r="I20924" s="137" t="s">
        <v>74</v>
      </c>
    </row>
    <row r="20925" spans="9:9" x14ac:dyDescent="0.2">
      <c r="I20925" s="137" t="s">
        <v>74</v>
      </c>
    </row>
    <row r="20926" spans="9:9" x14ac:dyDescent="0.2">
      <c r="I20926" s="137" t="s">
        <v>74</v>
      </c>
    </row>
    <row r="20927" spans="9:9" x14ac:dyDescent="0.2">
      <c r="I20927" s="137" t="s">
        <v>74</v>
      </c>
    </row>
    <row r="20928" spans="9:9" x14ac:dyDescent="0.2">
      <c r="I20928" s="137" t="s">
        <v>74</v>
      </c>
    </row>
    <row r="20929" spans="9:9" x14ac:dyDescent="0.2">
      <c r="I20929" s="137" t="s">
        <v>74</v>
      </c>
    </row>
    <row r="20930" spans="9:9" x14ac:dyDescent="0.2">
      <c r="I20930" s="137" t="s">
        <v>74</v>
      </c>
    </row>
    <row r="20931" spans="9:9" x14ac:dyDescent="0.2">
      <c r="I20931" s="137" t="s">
        <v>74</v>
      </c>
    </row>
    <row r="20932" spans="9:9" x14ac:dyDescent="0.2">
      <c r="I20932" s="137" t="s">
        <v>74</v>
      </c>
    </row>
    <row r="20933" spans="9:9" x14ac:dyDescent="0.2">
      <c r="I20933" s="137" t="s">
        <v>74</v>
      </c>
    </row>
    <row r="20934" spans="9:9" x14ac:dyDescent="0.2">
      <c r="I20934" s="137" t="s">
        <v>74</v>
      </c>
    </row>
    <row r="20935" spans="9:9" x14ac:dyDescent="0.2">
      <c r="I20935" s="137" t="s">
        <v>74</v>
      </c>
    </row>
    <row r="20936" spans="9:9" x14ac:dyDescent="0.2">
      <c r="I20936" s="137" t="s">
        <v>74</v>
      </c>
    </row>
    <row r="20937" spans="9:9" x14ac:dyDescent="0.2">
      <c r="I20937" s="137" t="s">
        <v>74</v>
      </c>
    </row>
    <row r="20938" spans="9:9" x14ac:dyDescent="0.2">
      <c r="I20938" s="137" t="s">
        <v>74</v>
      </c>
    </row>
    <row r="20939" spans="9:9" x14ac:dyDescent="0.2">
      <c r="I20939" s="137" t="s">
        <v>74</v>
      </c>
    </row>
    <row r="20940" spans="9:9" x14ac:dyDescent="0.2">
      <c r="I20940" s="137" t="s">
        <v>74</v>
      </c>
    </row>
    <row r="20941" spans="9:9" x14ac:dyDescent="0.2">
      <c r="I20941" s="137" t="s">
        <v>74</v>
      </c>
    </row>
    <row r="20942" spans="9:9" x14ac:dyDescent="0.2">
      <c r="I20942" s="137" t="s">
        <v>74</v>
      </c>
    </row>
    <row r="20943" spans="9:9" x14ac:dyDescent="0.2">
      <c r="I20943" s="137" t="s">
        <v>74</v>
      </c>
    </row>
    <row r="20944" spans="9:9" x14ac:dyDescent="0.2">
      <c r="I20944" s="137" t="s">
        <v>74</v>
      </c>
    </row>
    <row r="20945" spans="9:9" x14ac:dyDescent="0.2">
      <c r="I20945" s="137" t="s">
        <v>74</v>
      </c>
    </row>
    <row r="20946" spans="9:9" x14ac:dyDescent="0.2">
      <c r="I20946" s="137" t="s">
        <v>74</v>
      </c>
    </row>
    <row r="20947" spans="9:9" x14ac:dyDescent="0.2">
      <c r="I20947" s="137" t="s">
        <v>74</v>
      </c>
    </row>
    <row r="20948" spans="9:9" x14ac:dyDescent="0.2">
      <c r="I20948" s="137" t="s">
        <v>74</v>
      </c>
    </row>
    <row r="20949" spans="9:9" x14ac:dyDescent="0.2">
      <c r="I20949" s="137" t="s">
        <v>74</v>
      </c>
    </row>
    <row r="20950" spans="9:9" x14ac:dyDescent="0.2">
      <c r="I20950" s="137" t="s">
        <v>74</v>
      </c>
    </row>
    <row r="20951" spans="9:9" x14ac:dyDescent="0.2">
      <c r="I20951" s="137" t="s">
        <v>74</v>
      </c>
    </row>
    <row r="20952" spans="9:9" x14ac:dyDescent="0.2">
      <c r="I20952" s="137" t="s">
        <v>74</v>
      </c>
    </row>
    <row r="20953" spans="9:9" x14ac:dyDescent="0.2">
      <c r="I20953" s="137" t="s">
        <v>74</v>
      </c>
    </row>
    <row r="20954" spans="9:9" x14ac:dyDescent="0.2">
      <c r="I20954" s="137" t="s">
        <v>74</v>
      </c>
    </row>
    <row r="20955" spans="9:9" x14ac:dyDescent="0.2">
      <c r="I20955" s="137" t="s">
        <v>74</v>
      </c>
    </row>
    <row r="20956" spans="9:9" x14ac:dyDescent="0.2">
      <c r="I20956" s="137" t="s">
        <v>74</v>
      </c>
    </row>
    <row r="20957" spans="9:9" x14ac:dyDescent="0.2">
      <c r="I20957" s="137" t="s">
        <v>74</v>
      </c>
    </row>
    <row r="20958" spans="9:9" x14ac:dyDescent="0.2">
      <c r="I20958" s="137" t="s">
        <v>74</v>
      </c>
    </row>
    <row r="20959" spans="9:9" x14ac:dyDescent="0.2">
      <c r="I20959" s="137" t="s">
        <v>74</v>
      </c>
    </row>
    <row r="20960" spans="9:9" x14ac:dyDescent="0.2">
      <c r="I20960" s="137" t="s">
        <v>74</v>
      </c>
    </row>
    <row r="20961" spans="9:9" x14ac:dyDescent="0.2">
      <c r="I20961" s="137" t="s">
        <v>74</v>
      </c>
    </row>
    <row r="20962" spans="9:9" x14ac:dyDescent="0.2">
      <c r="I20962" s="137" t="s">
        <v>74</v>
      </c>
    </row>
    <row r="20963" spans="9:9" x14ac:dyDescent="0.2">
      <c r="I20963" s="137" t="s">
        <v>74</v>
      </c>
    </row>
    <row r="20964" spans="9:9" x14ac:dyDescent="0.2">
      <c r="I20964" s="137" t="s">
        <v>74</v>
      </c>
    </row>
    <row r="20965" spans="9:9" x14ac:dyDescent="0.2">
      <c r="I20965" s="137" t="s">
        <v>74</v>
      </c>
    </row>
    <row r="20966" spans="9:9" x14ac:dyDescent="0.2">
      <c r="I20966" s="137" t="s">
        <v>74</v>
      </c>
    </row>
    <row r="20967" spans="9:9" x14ac:dyDescent="0.2">
      <c r="I20967" s="137" t="s">
        <v>74</v>
      </c>
    </row>
    <row r="20968" spans="9:9" x14ac:dyDescent="0.2">
      <c r="I20968" s="137" t="s">
        <v>74</v>
      </c>
    </row>
    <row r="20969" spans="9:9" x14ac:dyDescent="0.2">
      <c r="I20969" s="137" t="s">
        <v>74</v>
      </c>
    </row>
    <row r="20970" spans="9:9" x14ac:dyDescent="0.2">
      <c r="I20970" s="137" t="s">
        <v>74</v>
      </c>
    </row>
    <row r="20971" spans="9:9" x14ac:dyDescent="0.2">
      <c r="I20971" s="137" t="s">
        <v>74</v>
      </c>
    </row>
    <row r="20972" spans="9:9" x14ac:dyDescent="0.2">
      <c r="I20972" s="137" t="s">
        <v>74</v>
      </c>
    </row>
    <row r="20973" spans="9:9" x14ac:dyDescent="0.2">
      <c r="I20973" s="137" t="s">
        <v>74</v>
      </c>
    </row>
    <row r="20974" spans="9:9" x14ac:dyDescent="0.2">
      <c r="I20974" s="137" t="s">
        <v>74</v>
      </c>
    </row>
    <row r="20975" spans="9:9" x14ac:dyDescent="0.2">
      <c r="I20975" s="137" t="s">
        <v>74</v>
      </c>
    </row>
    <row r="20976" spans="9:9" x14ac:dyDescent="0.2">
      <c r="I20976" s="137" t="s">
        <v>74</v>
      </c>
    </row>
    <row r="20977" spans="9:9" x14ac:dyDescent="0.2">
      <c r="I20977" s="137" t="s">
        <v>74</v>
      </c>
    </row>
    <row r="20978" spans="9:9" x14ac:dyDescent="0.2">
      <c r="I20978" s="137" t="s">
        <v>74</v>
      </c>
    </row>
    <row r="20979" spans="9:9" x14ac:dyDescent="0.2">
      <c r="I20979" s="137" t="s">
        <v>74</v>
      </c>
    </row>
    <row r="20980" spans="9:9" x14ac:dyDescent="0.2">
      <c r="I20980" s="137" t="s">
        <v>74</v>
      </c>
    </row>
    <row r="20981" spans="9:9" x14ac:dyDescent="0.2">
      <c r="I20981" s="137" t="s">
        <v>74</v>
      </c>
    </row>
    <row r="20982" spans="9:9" x14ac:dyDescent="0.2">
      <c r="I20982" s="137" t="s">
        <v>74</v>
      </c>
    </row>
    <row r="20983" spans="9:9" x14ac:dyDescent="0.2">
      <c r="I20983" s="137" t="s">
        <v>74</v>
      </c>
    </row>
    <row r="20984" spans="9:9" x14ac:dyDescent="0.2">
      <c r="I20984" s="137" t="s">
        <v>74</v>
      </c>
    </row>
    <row r="20985" spans="9:9" x14ac:dyDescent="0.2">
      <c r="I20985" s="137" t="s">
        <v>74</v>
      </c>
    </row>
    <row r="20986" spans="9:9" x14ac:dyDescent="0.2">
      <c r="I20986" s="137" t="s">
        <v>74</v>
      </c>
    </row>
    <row r="20987" spans="9:9" x14ac:dyDescent="0.2">
      <c r="I20987" s="137" t="s">
        <v>74</v>
      </c>
    </row>
    <row r="20988" spans="9:9" x14ac:dyDescent="0.2">
      <c r="I20988" s="137" t="s">
        <v>74</v>
      </c>
    </row>
    <row r="20989" spans="9:9" x14ac:dyDescent="0.2">
      <c r="I20989" s="137" t="s">
        <v>74</v>
      </c>
    </row>
    <row r="20990" spans="9:9" x14ac:dyDescent="0.2">
      <c r="I20990" s="137" t="s">
        <v>74</v>
      </c>
    </row>
    <row r="20991" spans="9:9" x14ac:dyDescent="0.2">
      <c r="I20991" s="137" t="s">
        <v>74</v>
      </c>
    </row>
    <row r="20992" spans="9:9" x14ac:dyDescent="0.2">
      <c r="I20992" s="137" t="s">
        <v>74</v>
      </c>
    </row>
    <row r="20993" spans="9:9" x14ac:dyDescent="0.2">
      <c r="I20993" s="137" t="s">
        <v>74</v>
      </c>
    </row>
    <row r="20994" spans="9:9" x14ac:dyDescent="0.2">
      <c r="I20994" s="137" t="s">
        <v>74</v>
      </c>
    </row>
    <row r="20995" spans="9:9" x14ac:dyDescent="0.2">
      <c r="I20995" s="137" t="s">
        <v>74</v>
      </c>
    </row>
    <row r="20996" spans="9:9" x14ac:dyDescent="0.2">
      <c r="I20996" s="137" t="s">
        <v>74</v>
      </c>
    </row>
    <row r="20997" spans="9:9" x14ac:dyDescent="0.2">
      <c r="I20997" s="137" t="s">
        <v>74</v>
      </c>
    </row>
    <row r="20998" spans="9:9" x14ac:dyDescent="0.2">
      <c r="I20998" s="137" t="s">
        <v>74</v>
      </c>
    </row>
    <row r="20999" spans="9:9" x14ac:dyDescent="0.2">
      <c r="I20999" s="137" t="s">
        <v>74</v>
      </c>
    </row>
    <row r="21000" spans="9:9" x14ac:dyDescent="0.2">
      <c r="I21000" s="137" t="s">
        <v>74</v>
      </c>
    </row>
    <row r="21001" spans="9:9" x14ac:dyDescent="0.2">
      <c r="I21001" s="137" t="s">
        <v>74</v>
      </c>
    </row>
    <row r="21002" spans="9:9" x14ac:dyDescent="0.2">
      <c r="I21002" s="137" t="s">
        <v>74</v>
      </c>
    </row>
    <row r="21003" spans="9:9" x14ac:dyDescent="0.2">
      <c r="I21003" s="137" t="s">
        <v>74</v>
      </c>
    </row>
    <row r="21004" spans="9:9" x14ac:dyDescent="0.2">
      <c r="I21004" s="137" t="s">
        <v>74</v>
      </c>
    </row>
    <row r="21005" spans="9:9" x14ac:dyDescent="0.2">
      <c r="I21005" s="137" t="s">
        <v>74</v>
      </c>
    </row>
    <row r="21006" spans="9:9" x14ac:dyDescent="0.2">
      <c r="I21006" s="137" t="s">
        <v>74</v>
      </c>
    </row>
    <row r="21007" spans="9:9" x14ac:dyDescent="0.2">
      <c r="I21007" s="137" t="s">
        <v>74</v>
      </c>
    </row>
    <row r="21008" spans="9:9" x14ac:dyDescent="0.2">
      <c r="I21008" s="137" t="s">
        <v>74</v>
      </c>
    </row>
    <row r="21009" spans="9:9" x14ac:dyDescent="0.2">
      <c r="I21009" s="137" t="s">
        <v>74</v>
      </c>
    </row>
    <row r="21010" spans="9:9" x14ac:dyDescent="0.2">
      <c r="I21010" s="137" t="s">
        <v>74</v>
      </c>
    </row>
    <row r="21011" spans="9:9" x14ac:dyDescent="0.2">
      <c r="I21011" s="137" t="s">
        <v>74</v>
      </c>
    </row>
    <row r="21012" spans="9:9" x14ac:dyDescent="0.2">
      <c r="I21012" s="137" t="s">
        <v>74</v>
      </c>
    </row>
    <row r="21013" spans="9:9" x14ac:dyDescent="0.2">
      <c r="I21013" s="137" t="s">
        <v>74</v>
      </c>
    </row>
    <row r="21014" spans="9:9" x14ac:dyDescent="0.2">
      <c r="I21014" s="137" t="s">
        <v>74</v>
      </c>
    </row>
    <row r="21015" spans="9:9" x14ac:dyDescent="0.2">
      <c r="I21015" s="137" t="s">
        <v>74</v>
      </c>
    </row>
    <row r="21016" spans="9:9" x14ac:dyDescent="0.2">
      <c r="I21016" s="137" t="s">
        <v>74</v>
      </c>
    </row>
    <row r="21017" spans="9:9" x14ac:dyDescent="0.2">
      <c r="I21017" s="137" t="s">
        <v>74</v>
      </c>
    </row>
    <row r="21018" spans="9:9" x14ac:dyDescent="0.2">
      <c r="I21018" s="137" t="s">
        <v>74</v>
      </c>
    </row>
    <row r="21019" spans="9:9" x14ac:dyDescent="0.2">
      <c r="I21019" s="137" t="s">
        <v>74</v>
      </c>
    </row>
    <row r="21020" spans="9:9" x14ac:dyDescent="0.2">
      <c r="I21020" s="137" t="s">
        <v>74</v>
      </c>
    </row>
    <row r="21021" spans="9:9" x14ac:dyDescent="0.2">
      <c r="I21021" s="137" t="s">
        <v>74</v>
      </c>
    </row>
    <row r="21022" spans="9:9" x14ac:dyDescent="0.2">
      <c r="I21022" s="137" t="s">
        <v>74</v>
      </c>
    </row>
    <row r="21023" spans="9:9" x14ac:dyDescent="0.2">
      <c r="I21023" s="137" t="s">
        <v>74</v>
      </c>
    </row>
    <row r="21024" spans="9:9" x14ac:dyDescent="0.2">
      <c r="I21024" s="137" t="s">
        <v>74</v>
      </c>
    </row>
    <row r="21025" spans="9:9" x14ac:dyDescent="0.2">
      <c r="I21025" s="137" t="s">
        <v>74</v>
      </c>
    </row>
    <row r="21026" spans="9:9" x14ac:dyDescent="0.2">
      <c r="I21026" s="137" t="s">
        <v>74</v>
      </c>
    </row>
    <row r="21027" spans="9:9" x14ac:dyDescent="0.2">
      <c r="I21027" s="137" t="s">
        <v>74</v>
      </c>
    </row>
    <row r="21028" spans="9:9" x14ac:dyDescent="0.2">
      <c r="I21028" s="137" t="s">
        <v>74</v>
      </c>
    </row>
    <row r="21029" spans="9:9" x14ac:dyDescent="0.2">
      <c r="I21029" s="137" t="s">
        <v>74</v>
      </c>
    </row>
    <row r="21030" spans="9:9" x14ac:dyDescent="0.2">
      <c r="I21030" s="137" t="s">
        <v>74</v>
      </c>
    </row>
    <row r="21031" spans="9:9" x14ac:dyDescent="0.2">
      <c r="I21031" s="137" t="s">
        <v>74</v>
      </c>
    </row>
    <row r="21032" spans="9:9" x14ac:dyDescent="0.2">
      <c r="I21032" s="137" t="s">
        <v>74</v>
      </c>
    </row>
    <row r="21033" spans="9:9" x14ac:dyDescent="0.2">
      <c r="I21033" s="137" t="s">
        <v>74</v>
      </c>
    </row>
    <row r="21034" spans="9:9" x14ac:dyDescent="0.2">
      <c r="I21034" s="137" t="s">
        <v>74</v>
      </c>
    </row>
    <row r="21035" spans="9:9" x14ac:dyDescent="0.2">
      <c r="I21035" s="137" t="s">
        <v>74</v>
      </c>
    </row>
    <row r="21036" spans="9:9" x14ac:dyDescent="0.2">
      <c r="I21036" s="137" t="s">
        <v>74</v>
      </c>
    </row>
    <row r="21037" spans="9:9" x14ac:dyDescent="0.2">
      <c r="I21037" s="137" t="s">
        <v>74</v>
      </c>
    </row>
    <row r="21038" spans="9:9" x14ac:dyDescent="0.2">
      <c r="I21038" s="137" t="s">
        <v>74</v>
      </c>
    </row>
    <row r="21039" spans="9:9" x14ac:dyDescent="0.2">
      <c r="I21039" s="137" t="s">
        <v>74</v>
      </c>
    </row>
    <row r="21040" spans="9:9" x14ac:dyDescent="0.2">
      <c r="I21040" s="137" t="s">
        <v>74</v>
      </c>
    </row>
    <row r="21041" spans="9:9" x14ac:dyDescent="0.2">
      <c r="I21041" s="137" t="s">
        <v>74</v>
      </c>
    </row>
    <row r="21042" spans="9:9" x14ac:dyDescent="0.2">
      <c r="I21042" s="137" t="s">
        <v>74</v>
      </c>
    </row>
    <row r="21043" spans="9:9" x14ac:dyDescent="0.2">
      <c r="I21043" s="137" t="s">
        <v>74</v>
      </c>
    </row>
    <row r="21044" spans="9:9" x14ac:dyDescent="0.2">
      <c r="I21044" s="137" t="s">
        <v>74</v>
      </c>
    </row>
    <row r="21045" spans="9:9" x14ac:dyDescent="0.2">
      <c r="I21045" s="137" t="s">
        <v>74</v>
      </c>
    </row>
    <row r="21046" spans="9:9" x14ac:dyDescent="0.2">
      <c r="I21046" s="137" t="s">
        <v>74</v>
      </c>
    </row>
    <row r="21047" spans="9:9" x14ac:dyDescent="0.2">
      <c r="I21047" s="137" t="s">
        <v>74</v>
      </c>
    </row>
    <row r="21048" spans="9:9" x14ac:dyDescent="0.2">
      <c r="I21048" s="137" t="s">
        <v>74</v>
      </c>
    </row>
    <row r="21049" spans="9:9" x14ac:dyDescent="0.2">
      <c r="I21049" s="137" t="s">
        <v>74</v>
      </c>
    </row>
    <row r="21050" spans="9:9" x14ac:dyDescent="0.2">
      <c r="I21050" s="137" t="s">
        <v>74</v>
      </c>
    </row>
    <row r="21051" spans="9:9" x14ac:dyDescent="0.2">
      <c r="I21051" s="137" t="s">
        <v>74</v>
      </c>
    </row>
    <row r="21052" spans="9:9" x14ac:dyDescent="0.2">
      <c r="I21052" s="137" t="s">
        <v>74</v>
      </c>
    </row>
    <row r="21053" spans="9:9" x14ac:dyDescent="0.2">
      <c r="I21053" s="137" t="s">
        <v>74</v>
      </c>
    </row>
    <row r="21054" spans="9:9" x14ac:dyDescent="0.2">
      <c r="I21054" s="137" t="s">
        <v>74</v>
      </c>
    </row>
    <row r="21055" spans="9:9" x14ac:dyDescent="0.2">
      <c r="I21055" s="137" t="s">
        <v>74</v>
      </c>
    </row>
    <row r="21056" spans="9:9" x14ac:dyDescent="0.2">
      <c r="I21056" s="137" t="s">
        <v>74</v>
      </c>
    </row>
    <row r="21057" spans="9:9" x14ac:dyDescent="0.2">
      <c r="I21057" s="137" t="s">
        <v>74</v>
      </c>
    </row>
    <row r="21058" spans="9:9" x14ac:dyDescent="0.2">
      <c r="I21058" s="137" t="s">
        <v>74</v>
      </c>
    </row>
    <row r="21059" spans="9:9" x14ac:dyDescent="0.2">
      <c r="I21059" s="137" t="s">
        <v>74</v>
      </c>
    </row>
    <row r="21060" spans="9:9" x14ac:dyDescent="0.2">
      <c r="I21060" s="137" t="s">
        <v>74</v>
      </c>
    </row>
    <row r="21061" spans="9:9" x14ac:dyDescent="0.2">
      <c r="I21061" s="137" t="s">
        <v>74</v>
      </c>
    </row>
    <row r="21062" spans="9:9" x14ac:dyDescent="0.2">
      <c r="I21062" s="137" t="s">
        <v>74</v>
      </c>
    </row>
    <row r="21063" spans="9:9" x14ac:dyDescent="0.2">
      <c r="I21063" s="137" t="s">
        <v>74</v>
      </c>
    </row>
    <row r="21064" spans="9:9" x14ac:dyDescent="0.2">
      <c r="I21064" s="137" t="s">
        <v>74</v>
      </c>
    </row>
    <row r="21065" spans="9:9" x14ac:dyDescent="0.2">
      <c r="I21065" s="137" t="s">
        <v>74</v>
      </c>
    </row>
    <row r="21066" spans="9:9" x14ac:dyDescent="0.2">
      <c r="I21066" s="137" t="s">
        <v>74</v>
      </c>
    </row>
    <row r="21067" spans="9:9" x14ac:dyDescent="0.2">
      <c r="I21067" s="137" t="s">
        <v>74</v>
      </c>
    </row>
    <row r="21068" spans="9:9" x14ac:dyDescent="0.2">
      <c r="I21068" s="137" t="s">
        <v>74</v>
      </c>
    </row>
    <row r="21069" spans="9:9" x14ac:dyDescent="0.2">
      <c r="I21069" s="137" t="s">
        <v>74</v>
      </c>
    </row>
    <row r="21070" spans="9:9" x14ac:dyDescent="0.2">
      <c r="I21070" s="137" t="s">
        <v>74</v>
      </c>
    </row>
    <row r="21071" spans="9:9" x14ac:dyDescent="0.2">
      <c r="I21071" s="137" t="s">
        <v>74</v>
      </c>
    </row>
    <row r="21072" spans="9:9" x14ac:dyDescent="0.2">
      <c r="I21072" s="137" t="s">
        <v>74</v>
      </c>
    </row>
    <row r="21073" spans="9:9" x14ac:dyDescent="0.2">
      <c r="I21073" s="137" t="s">
        <v>74</v>
      </c>
    </row>
    <row r="21074" spans="9:9" x14ac:dyDescent="0.2">
      <c r="I21074" s="137" t="s">
        <v>74</v>
      </c>
    </row>
    <row r="21075" spans="9:9" x14ac:dyDescent="0.2">
      <c r="I21075" s="137" t="s">
        <v>74</v>
      </c>
    </row>
    <row r="21076" spans="9:9" x14ac:dyDescent="0.2">
      <c r="I21076" s="137" t="s">
        <v>74</v>
      </c>
    </row>
    <row r="21077" spans="9:9" x14ac:dyDescent="0.2">
      <c r="I21077" s="137" t="s">
        <v>74</v>
      </c>
    </row>
    <row r="21078" spans="9:9" x14ac:dyDescent="0.2">
      <c r="I21078" s="137" t="s">
        <v>74</v>
      </c>
    </row>
    <row r="21079" spans="9:9" x14ac:dyDescent="0.2">
      <c r="I21079" s="137" t="s">
        <v>74</v>
      </c>
    </row>
    <row r="21080" spans="9:9" x14ac:dyDescent="0.2">
      <c r="I21080" s="137" t="s">
        <v>74</v>
      </c>
    </row>
    <row r="21081" spans="9:9" x14ac:dyDescent="0.2">
      <c r="I21081" s="137" t="s">
        <v>74</v>
      </c>
    </row>
    <row r="21082" spans="9:9" x14ac:dyDescent="0.2">
      <c r="I21082" s="137" t="s">
        <v>74</v>
      </c>
    </row>
    <row r="21083" spans="9:9" x14ac:dyDescent="0.2">
      <c r="I21083" s="137" t="s">
        <v>74</v>
      </c>
    </row>
    <row r="21084" spans="9:9" x14ac:dyDescent="0.2">
      <c r="I21084" s="137" t="s">
        <v>74</v>
      </c>
    </row>
    <row r="21085" spans="9:9" x14ac:dyDescent="0.2">
      <c r="I21085" s="137" t="s">
        <v>74</v>
      </c>
    </row>
    <row r="21086" spans="9:9" x14ac:dyDescent="0.2">
      <c r="I21086" s="137" t="s">
        <v>74</v>
      </c>
    </row>
    <row r="21087" spans="9:9" x14ac:dyDescent="0.2">
      <c r="I21087" s="137" t="s">
        <v>74</v>
      </c>
    </row>
    <row r="21088" spans="9:9" x14ac:dyDescent="0.2">
      <c r="I21088" s="137" t="s">
        <v>74</v>
      </c>
    </row>
    <row r="21089" spans="9:9" x14ac:dyDescent="0.2">
      <c r="I21089" s="137" t="s">
        <v>74</v>
      </c>
    </row>
    <row r="21090" spans="9:9" x14ac:dyDescent="0.2">
      <c r="I21090" s="137" t="s">
        <v>74</v>
      </c>
    </row>
    <row r="21091" spans="9:9" x14ac:dyDescent="0.2">
      <c r="I21091" s="137" t="s">
        <v>74</v>
      </c>
    </row>
    <row r="21092" spans="9:9" x14ac:dyDescent="0.2">
      <c r="I21092" s="137" t="s">
        <v>74</v>
      </c>
    </row>
    <row r="21093" spans="9:9" x14ac:dyDescent="0.2">
      <c r="I21093" s="137" t="s">
        <v>74</v>
      </c>
    </row>
    <row r="21094" spans="9:9" x14ac:dyDescent="0.2">
      <c r="I21094" s="137" t="s">
        <v>74</v>
      </c>
    </row>
    <row r="21095" spans="9:9" x14ac:dyDescent="0.2">
      <c r="I21095" s="137" t="s">
        <v>74</v>
      </c>
    </row>
    <row r="21096" spans="9:9" x14ac:dyDescent="0.2">
      <c r="I21096" s="137" t="s">
        <v>74</v>
      </c>
    </row>
    <row r="21097" spans="9:9" x14ac:dyDescent="0.2">
      <c r="I21097" s="137" t="s">
        <v>74</v>
      </c>
    </row>
    <row r="21098" spans="9:9" x14ac:dyDescent="0.2">
      <c r="I21098" s="137" t="s">
        <v>74</v>
      </c>
    </row>
    <row r="21099" spans="9:9" x14ac:dyDescent="0.2">
      <c r="I21099" s="137" t="s">
        <v>74</v>
      </c>
    </row>
    <row r="21100" spans="9:9" x14ac:dyDescent="0.2">
      <c r="I21100" s="137" t="s">
        <v>74</v>
      </c>
    </row>
    <row r="21101" spans="9:9" x14ac:dyDescent="0.2">
      <c r="I21101" s="137" t="s">
        <v>74</v>
      </c>
    </row>
    <row r="21102" spans="9:9" x14ac:dyDescent="0.2">
      <c r="I21102" s="137" t="s">
        <v>74</v>
      </c>
    </row>
    <row r="21103" spans="9:9" x14ac:dyDescent="0.2">
      <c r="I21103" s="137" t="s">
        <v>74</v>
      </c>
    </row>
    <row r="21104" spans="9:9" x14ac:dyDescent="0.2">
      <c r="I21104" s="137" t="s">
        <v>74</v>
      </c>
    </row>
    <row r="21105" spans="9:9" x14ac:dyDescent="0.2">
      <c r="I21105" s="137" t="s">
        <v>74</v>
      </c>
    </row>
    <row r="21106" spans="9:9" x14ac:dyDescent="0.2">
      <c r="I21106" s="137" t="s">
        <v>74</v>
      </c>
    </row>
    <row r="21107" spans="9:9" x14ac:dyDescent="0.2">
      <c r="I21107" s="137" t="s">
        <v>74</v>
      </c>
    </row>
    <row r="21108" spans="9:9" x14ac:dyDescent="0.2">
      <c r="I21108" s="137" t="s">
        <v>74</v>
      </c>
    </row>
    <row r="21109" spans="9:9" x14ac:dyDescent="0.2">
      <c r="I21109" s="137" t="s">
        <v>74</v>
      </c>
    </row>
    <row r="21110" spans="9:9" x14ac:dyDescent="0.2">
      <c r="I21110" s="137" t="s">
        <v>74</v>
      </c>
    </row>
    <row r="21111" spans="9:9" x14ac:dyDescent="0.2">
      <c r="I21111" s="137" t="s">
        <v>74</v>
      </c>
    </row>
    <row r="21112" spans="9:9" x14ac:dyDescent="0.2">
      <c r="I21112" s="137" t="s">
        <v>74</v>
      </c>
    </row>
    <row r="21113" spans="9:9" x14ac:dyDescent="0.2">
      <c r="I21113" s="137" t="s">
        <v>74</v>
      </c>
    </row>
    <row r="21114" spans="9:9" x14ac:dyDescent="0.2">
      <c r="I21114" s="137" t="s">
        <v>74</v>
      </c>
    </row>
    <row r="21115" spans="9:9" x14ac:dyDescent="0.2">
      <c r="I21115" s="137" t="s">
        <v>74</v>
      </c>
    </row>
    <row r="21116" spans="9:9" x14ac:dyDescent="0.2">
      <c r="I21116" s="137" t="s">
        <v>74</v>
      </c>
    </row>
    <row r="21117" spans="9:9" x14ac:dyDescent="0.2">
      <c r="I21117" s="137" t="s">
        <v>74</v>
      </c>
    </row>
    <row r="21118" spans="9:9" x14ac:dyDescent="0.2">
      <c r="I21118" s="137" t="s">
        <v>74</v>
      </c>
    </row>
    <row r="21119" spans="9:9" x14ac:dyDescent="0.2">
      <c r="I21119" s="137" t="s">
        <v>74</v>
      </c>
    </row>
    <row r="21120" spans="9:9" x14ac:dyDescent="0.2">
      <c r="I21120" s="137" t="s">
        <v>74</v>
      </c>
    </row>
    <row r="21121" spans="9:9" x14ac:dyDescent="0.2">
      <c r="I21121" s="137" t="s">
        <v>74</v>
      </c>
    </row>
    <row r="21122" spans="9:9" x14ac:dyDescent="0.2">
      <c r="I21122" s="137" t="s">
        <v>74</v>
      </c>
    </row>
    <row r="21123" spans="9:9" x14ac:dyDescent="0.2">
      <c r="I21123" s="137" t="s">
        <v>74</v>
      </c>
    </row>
    <row r="21124" spans="9:9" x14ac:dyDescent="0.2">
      <c r="I21124" s="137" t="s">
        <v>74</v>
      </c>
    </row>
    <row r="21125" spans="9:9" x14ac:dyDescent="0.2">
      <c r="I21125" s="137" t="s">
        <v>74</v>
      </c>
    </row>
    <row r="21126" spans="9:9" x14ac:dyDescent="0.2">
      <c r="I21126" s="137" t="s">
        <v>74</v>
      </c>
    </row>
    <row r="21127" spans="9:9" x14ac:dyDescent="0.2">
      <c r="I21127" s="137" t="s">
        <v>74</v>
      </c>
    </row>
    <row r="21128" spans="9:9" x14ac:dyDescent="0.2">
      <c r="I21128" s="137" t="s">
        <v>74</v>
      </c>
    </row>
    <row r="21129" spans="9:9" x14ac:dyDescent="0.2">
      <c r="I21129" s="137" t="s">
        <v>74</v>
      </c>
    </row>
    <row r="21130" spans="9:9" x14ac:dyDescent="0.2">
      <c r="I21130" s="137" t="s">
        <v>74</v>
      </c>
    </row>
    <row r="21131" spans="9:9" x14ac:dyDescent="0.2">
      <c r="I21131" s="137" t="s">
        <v>74</v>
      </c>
    </row>
    <row r="21132" spans="9:9" x14ac:dyDescent="0.2">
      <c r="I21132" s="137" t="s">
        <v>74</v>
      </c>
    </row>
    <row r="21133" spans="9:9" x14ac:dyDescent="0.2">
      <c r="I21133" s="137" t="s">
        <v>74</v>
      </c>
    </row>
    <row r="21134" spans="9:9" x14ac:dyDescent="0.2">
      <c r="I21134" s="137" t="s">
        <v>74</v>
      </c>
    </row>
    <row r="21135" spans="9:9" x14ac:dyDescent="0.2">
      <c r="I21135" s="137" t="s">
        <v>74</v>
      </c>
    </row>
    <row r="21136" spans="9:9" x14ac:dyDescent="0.2">
      <c r="I21136" s="137" t="s">
        <v>74</v>
      </c>
    </row>
    <row r="21137" spans="9:9" x14ac:dyDescent="0.2">
      <c r="I21137" s="137" t="s">
        <v>74</v>
      </c>
    </row>
    <row r="21138" spans="9:9" x14ac:dyDescent="0.2">
      <c r="I21138" s="137" t="s">
        <v>74</v>
      </c>
    </row>
    <row r="21139" spans="9:9" x14ac:dyDescent="0.2">
      <c r="I21139" s="137" t="s">
        <v>74</v>
      </c>
    </row>
    <row r="21140" spans="9:9" x14ac:dyDescent="0.2">
      <c r="I21140" s="137" t="s">
        <v>74</v>
      </c>
    </row>
    <row r="21141" spans="9:9" x14ac:dyDescent="0.2">
      <c r="I21141" s="137" t="s">
        <v>74</v>
      </c>
    </row>
    <row r="21142" spans="9:9" x14ac:dyDescent="0.2">
      <c r="I21142" s="137" t="s">
        <v>74</v>
      </c>
    </row>
    <row r="21143" spans="9:9" x14ac:dyDescent="0.2">
      <c r="I21143" s="137" t="s">
        <v>74</v>
      </c>
    </row>
    <row r="21144" spans="9:9" x14ac:dyDescent="0.2">
      <c r="I21144" s="137" t="s">
        <v>74</v>
      </c>
    </row>
    <row r="21145" spans="9:9" x14ac:dyDescent="0.2">
      <c r="I21145" s="137" t="s">
        <v>74</v>
      </c>
    </row>
    <row r="21146" spans="9:9" x14ac:dyDescent="0.2">
      <c r="I21146" s="137" t="s">
        <v>74</v>
      </c>
    </row>
    <row r="21147" spans="9:9" x14ac:dyDescent="0.2">
      <c r="I21147" s="137" t="s">
        <v>74</v>
      </c>
    </row>
    <row r="21148" spans="9:9" x14ac:dyDescent="0.2">
      <c r="I21148" s="137" t="s">
        <v>74</v>
      </c>
    </row>
    <row r="21149" spans="9:9" x14ac:dyDescent="0.2">
      <c r="I21149" s="137" t="s">
        <v>74</v>
      </c>
    </row>
    <row r="21150" spans="9:9" x14ac:dyDescent="0.2">
      <c r="I21150" s="137" t="s">
        <v>74</v>
      </c>
    </row>
    <row r="21151" spans="9:9" x14ac:dyDescent="0.2">
      <c r="I21151" s="137" t="s">
        <v>74</v>
      </c>
    </row>
    <row r="21152" spans="9:9" x14ac:dyDescent="0.2">
      <c r="I21152" s="137" t="s">
        <v>74</v>
      </c>
    </row>
    <row r="21153" spans="9:9" x14ac:dyDescent="0.2">
      <c r="I21153" s="137" t="s">
        <v>74</v>
      </c>
    </row>
    <row r="21154" spans="9:9" x14ac:dyDescent="0.2">
      <c r="I21154" s="137" t="s">
        <v>74</v>
      </c>
    </row>
    <row r="21155" spans="9:9" x14ac:dyDescent="0.2">
      <c r="I21155" s="137" t="s">
        <v>74</v>
      </c>
    </row>
    <row r="21156" spans="9:9" x14ac:dyDescent="0.2">
      <c r="I21156" s="137" t="s">
        <v>74</v>
      </c>
    </row>
    <row r="21157" spans="9:9" x14ac:dyDescent="0.2">
      <c r="I21157" s="137" t="s">
        <v>74</v>
      </c>
    </row>
    <row r="21158" spans="9:9" x14ac:dyDescent="0.2">
      <c r="I21158" s="137" t="s">
        <v>74</v>
      </c>
    </row>
    <row r="21159" spans="9:9" x14ac:dyDescent="0.2">
      <c r="I21159" s="137" t="s">
        <v>74</v>
      </c>
    </row>
    <row r="21160" spans="9:9" x14ac:dyDescent="0.2">
      <c r="I21160" s="137" t="s">
        <v>74</v>
      </c>
    </row>
    <row r="21161" spans="9:9" x14ac:dyDescent="0.2">
      <c r="I21161" s="137" t="s">
        <v>74</v>
      </c>
    </row>
    <row r="21162" spans="9:9" x14ac:dyDescent="0.2">
      <c r="I21162" s="137" t="s">
        <v>74</v>
      </c>
    </row>
    <row r="21163" spans="9:9" x14ac:dyDescent="0.2">
      <c r="I21163" s="137" t="s">
        <v>74</v>
      </c>
    </row>
    <row r="21164" spans="9:9" x14ac:dyDescent="0.2">
      <c r="I21164" s="137" t="s">
        <v>74</v>
      </c>
    </row>
    <row r="21165" spans="9:9" x14ac:dyDescent="0.2">
      <c r="I21165" s="137" t="s">
        <v>74</v>
      </c>
    </row>
    <row r="21166" spans="9:9" x14ac:dyDescent="0.2">
      <c r="I21166" s="137" t="s">
        <v>74</v>
      </c>
    </row>
    <row r="21167" spans="9:9" x14ac:dyDescent="0.2">
      <c r="I21167" s="137" t="s">
        <v>74</v>
      </c>
    </row>
    <row r="21168" spans="9:9" x14ac:dyDescent="0.2">
      <c r="I21168" s="137" t="s">
        <v>74</v>
      </c>
    </row>
    <row r="21169" spans="9:9" x14ac:dyDescent="0.2">
      <c r="I21169" s="137" t="s">
        <v>74</v>
      </c>
    </row>
    <row r="21170" spans="9:9" x14ac:dyDescent="0.2">
      <c r="I21170" s="137" t="s">
        <v>74</v>
      </c>
    </row>
    <row r="21171" spans="9:9" x14ac:dyDescent="0.2">
      <c r="I21171" s="137" t="s">
        <v>74</v>
      </c>
    </row>
    <row r="21172" spans="9:9" x14ac:dyDescent="0.2">
      <c r="I21172" s="137" t="s">
        <v>74</v>
      </c>
    </row>
    <row r="21173" spans="9:9" x14ac:dyDescent="0.2">
      <c r="I21173" s="137" t="s">
        <v>74</v>
      </c>
    </row>
    <row r="21174" spans="9:9" x14ac:dyDescent="0.2">
      <c r="I21174" s="137" t="s">
        <v>74</v>
      </c>
    </row>
    <row r="21175" spans="9:9" x14ac:dyDescent="0.2">
      <c r="I21175" s="137" t="s">
        <v>74</v>
      </c>
    </row>
    <row r="21176" spans="9:9" x14ac:dyDescent="0.2">
      <c r="I21176" s="137" t="s">
        <v>74</v>
      </c>
    </row>
    <row r="21177" spans="9:9" x14ac:dyDescent="0.2">
      <c r="I21177" s="137" t="s">
        <v>74</v>
      </c>
    </row>
    <row r="21178" spans="9:9" x14ac:dyDescent="0.2">
      <c r="I21178" s="137" t="s">
        <v>74</v>
      </c>
    </row>
    <row r="21179" spans="9:9" x14ac:dyDescent="0.2">
      <c r="I21179" s="137" t="s">
        <v>74</v>
      </c>
    </row>
    <row r="21180" spans="9:9" x14ac:dyDescent="0.2">
      <c r="I21180" s="137" t="s">
        <v>74</v>
      </c>
    </row>
    <row r="21181" spans="9:9" x14ac:dyDescent="0.2">
      <c r="I21181" s="137" t="s">
        <v>74</v>
      </c>
    </row>
    <row r="21182" spans="9:9" x14ac:dyDescent="0.2">
      <c r="I21182" s="137" t="s">
        <v>74</v>
      </c>
    </row>
    <row r="21183" spans="9:9" x14ac:dyDescent="0.2">
      <c r="I21183" s="137" t="s">
        <v>74</v>
      </c>
    </row>
    <row r="21184" spans="9:9" x14ac:dyDescent="0.2">
      <c r="I21184" s="137" t="s">
        <v>74</v>
      </c>
    </row>
    <row r="21185" spans="9:9" x14ac:dyDescent="0.2">
      <c r="I21185" s="137" t="s">
        <v>74</v>
      </c>
    </row>
    <row r="21186" spans="9:9" x14ac:dyDescent="0.2">
      <c r="I21186" s="137" t="s">
        <v>74</v>
      </c>
    </row>
    <row r="21187" spans="9:9" x14ac:dyDescent="0.2">
      <c r="I21187" s="137" t="s">
        <v>74</v>
      </c>
    </row>
    <row r="21188" spans="9:9" x14ac:dyDescent="0.2">
      <c r="I21188" s="137" t="s">
        <v>74</v>
      </c>
    </row>
    <row r="21189" spans="9:9" x14ac:dyDescent="0.2">
      <c r="I21189" s="137" t="s">
        <v>74</v>
      </c>
    </row>
    <row r="21190" spans="9:9" x14ac:dyDescent="0.2">
      <c r="I21190" s="137" t="s">
        <v>74</v>
      </c>
    </row>
    <row r="21191" spans="9:9" x14ac:dyDescent="0.2">
      <c r="I21191" s="137" t="s">
        <v>74</v>
      </c>
    </row>
    <row r="21192" spans="9:9" x14ac:dyDescent="0.2">
      <c r="I21192" s="137" t="s">
        <v>74</v>
      </c>
    </row>
    <row r="21193" spans="9:9" x14ac:dyDescent="0.2">
      <c r="I21193" s="137" t="s">
        <v>74</v>
      </c>
    </row>
    <row r="21194" spans="9:9" x14ac:dyDescent="0.2">
      <c r="I21194" s="137" t="s">
        <v>74</v>
      </c>
    </row>
    <row r="21195" spans="9:9" x14ac:dyDescent="0.2">
      <c r="I21195" s="137" t="s">
        <v>74</v>
      </c>
    </row>
    <row r="21196" spans="9:9" x14ac:dyDescent="0.2">
      <c r="I21196" s="137" t="s">
        <v>74</v>
      </c>
    </row>
    <row r="21197" spans="9:9" x14ac:dyDescent="0.2">
      <c r="I21197" s="137" t="s">
        <v>74</v>
      </c>
    </row>
    <row r="21198" spans="9:9" x14ac:dyDescent="0.2">
      <c r="I21198" s="137" t="s">
        <v>74</v>
      </c>
    </row>
    <row r="21199" spans="9:9" x14ac:dyDescent="0.2">
      <c r="I21199" s="137" t="s">
        <v>74</v>
      </c>
    </row>
    <row r="21200" spans="9:9" x14ac:dyDescent="0.2">
      <c r="I21200" s="137" t="s">
        <v>74</v>
      </c>
    </row>
    <row r="21201" spans="9:9" x14ac:dyDescent="0.2">
      <c r="I21201" s="137" t="s">
        <v>74</v>
      </c>
    </row>
    <row r="21202" spans="9:9" x14ac:dyDescent="0.2">
      <c r="I21202" s="137" t="s">
        <v>74</v>
      </c>
    </row>
    <row r="21203" spans="9:9" x14ac:dyDescent="0.2">
      <c r="I21203" s="137" t="s">
        <v>74</v>
      </c>
    </row>
    <row r="21204" spans="9:9" x14ac:dyDescent="0.2">
      <c r="I21204" s="137" t="s">
        <v>74</v>
      </c>
    </row>
    <row r="21205" spans="9:9" x14ac:dyDescent="0.2">
      <c r="I21205" s="137" t="s">
        <v>74</v>
      </c>
    </row>
    <row r="21206" spans="9:9" x14ac:dyDescent="0.2">
      <c r="I21206" s="137" t="s">
        <v>74</v>
      </c>
    </row>
    <row r="21207" spans="9:9" x14ac:dyDescent="0.2">
      <c r="I21207" s="137" t="s">
        <v>74</v>
      </c>
    </row>
    <row r="21208" spans="9:9" x14ac:dyDescent="0.2">
      <c r="I21208" s="137" t="s">
        <v>74</v>
      </c>
    </row>
    <row r="21209" spans="9:9" x14ac:dyDescent="0.2">
      <c r="I21209" s="137" t="s">
        <v>74</v>
      </c>
    </row>
    <row r="21210" spans="9:9" x14ac:dyDescent="0.2">
      <c r="I21210" s="137" t="s">
        <v>74</v>
      </c>
    </row>
    <row r="21211" spans="9:9" x14ac:dyDescent="0.2">
      <c r="I21211" s="137" t="s">
        <v>74</v>
      </c>
    </row>
    <row r="21212" spans="9:9" x14ac:dyDescent="0.2">
      <c r="I21212" s="137" t="s">
        <v>74</v>
      </c>
    </row>
    <row r="21213" spans="9:9" x14ac:dyDescent="0.2">
      <c r="I21213" s="137" t="s">
        <v>74</v>
      </c>
    </row>
    <row r="21214" spans="9:9" x14ac:dyDescent="0.2">
      <c r="I21214" s="137" t="s">
        <v>74</v>
      </c>
    </row>
    <row r="21215" spans="9:9" x14ac:dyDescent="0.2">
      <c r="I21215" s="137" t="s">
        <v>74</v>
      </c>
    </row>
    <row r="21216" spans="9:9" x14ac:dyDescent="0.2">
      <c r="I21216" s="137" t="s">
        <v>74</v>
      </c>
    </row>
    <row r="21217" spans="9:9" x14ac:dyDescent="0.2">
      <c r="I21217" s="137" t="s">
        <v>74</v>
      </c>
    </row>
    <row r="21218" spans="9:9" x14ac:dyDescent="0.2">
      <c r="I21218" s="137" t="s">
        <v>74</v>
      </c>
    </row>
    <row r="21219" spans="9:9" x14ac:dyDescent="0.2">
      <c r="I21219" s="137" t="s">
        <v>74</v>
      </c>
    </row>
    <row r="21220" spans="9:9" x14ac:dyDescent="0.2">
      <c r="I21220" s="137" t="s">
        <v>74</v>
      </c>
    </row>
    <row r="21221" spans="9:9" x14ac:dyDescent="0.2">
      <c r="I21221" s="137" t="s">
        <v>74</v>
      </c>
    </row>
    <row r="21222" spans="9:9" x14ac:dyDescent="0.2">
      <c r="I21222" s="137" t="s">
        <v>74</v>
      </c>
    </row>
    <row r="21223" spans="9:9" x14ac:dyDescent="0.2">
      <c r="I21223" s="137" t="s">
        <v>74</v>
      </c>
    </row>
    <row r="21224" spans="9:9" x14ac:dyDescent="0.2">
      <c r="I21224" s="137" t="s">
        <v>74</v>
      </c>
    </row>
    <row r="21225" spans="9:9" x14ac:dyDescent="0.2">
      <c r="I21225" s="137" t="s">
        <v>74</v>
      </c>
    </row>
    <row r="21226" spans="9:9" x14ac:dyDescent="0.2">
      <c r="I21226" s="137" t="s">
        <v>74</v>
      </c>
    </row>
    <row r="21227" spans="9:9" x14ac:dyDescent="0.2">
      <c r="I21227" s="137" t="s">
        <v>74</v>
      </c>
    </row>
    <row r="21228" spans="9:9" x14ac:dyDescent="0.2">
      <c r="I21228" s="137" t="s">
        <v>74</v>
      </c>
    </row>
    <row r="21229" spans="9:9" x14ac:dyDescent="0.2">
      <c r="I21229" s="137" t="s">
        <v>74</v>
      </c>
    </row>
    <row r="21230" spans="9:9" x14ac:dyDescent="0.2">
      <c r="I21230" s="137" t="s">
        <v>74</v>
      </c>
    </row>
    <row r="21231" spans="9:9" x14ac:dyDescent="0.2">
      <c r="I21231" s="137" t="s">
        <v>74</v>
      </c>
    </row>
    <row r="21232" spans="9:9" x14ac:dyDescent="0.2">
      <c r="I21232" s="137" t="s">
        <v>74</v>
      </c>
    </row>
    <row r="21233" spans="9:9" x14ac:dyDescent="0.2">
      <c r="I21233" s="137" t="s">
        <v>74</v>
      </c>
    </row>
    <row r="21234" spans="9:9" x14ac:dyDescent="0.2">
      <c r="I21234" s="137" t="s">
        <v>74</v>
      </c>
    </row>
    <row r="21235" spans="9:9" x14ac:dyDescent="0.2">
      <c r="I21235" s="137" t="s">
        <v>74</v>
      </c>
    </row>
    <row r="21236" spans="9:9" x14ac:dyDescent="0.2">
      <c r="I21236" s="137" t="s">
        <v>74</v>
      </c>
    </row>
    <row r="21237" spans="9:9" x14ac:dyDescent="0.2">
      <c r="I21237" s="137" t="s">
        <v>74</v>
      </c>
    </row>
    <row r="21238" spans="9:9" x14ac:dyDescent="0.2">
      <c r="I21238" s="137" t="s">
        <v>74</v>
      </c>
    </row>
    <row r="21239" spans="9:9" x14ac:dyDescent="0.2">
      <c r="I21239" s="137" t="s">
        <v>74</v>
      </c>
    </row>
    <row r="21240" spans="9:9" x14ac:dyDescent="0.2">
      <c r="I21240" s="137" t="s">
        <v>74</v>
      </c>
    </row>
    <row r="21241" spans="9:9" x14ac:dyDescent="0.2">
      <c r="I21241" s="137" t="s">
        <v>74</v>
      </c>
    </row>
    <row r="21242" spans="9:9" x14ac:dyDescent="0.2">
      <c r="I21242" s="137" t="s">
        <v>74</v>
      </c>
    </row>
    <row r="21243" spans="9:9" x14ac:dyDescent="0.2">
      <c r="I21243" s="137" t="s">
        <v>74</v>
      </c>
    </row>
    <row r="21244" spans="9:9" x14ac:dyDescent="0.2">
      <c r="I21244" s="137" t="s">
        <v>74</v>
      </c>
    </row>
    <row r="21245" spans="9:9" x14ac:dyDescent="0.2">
      <c r="I21245" s="137" t="s">
        <v>74</v>
      </c>
    </row>
    <row r="21246" spans="9:9" x14ac:dyDescent="0.2">
      <c r="I21246" s="137" t="s">
        <v>74</v>
      </c>
    </row>
    <row r="21247" spans="9:9" x14ac:dyDescent="0.2">
      <c r="I21247" s="137" t="s">
        <v>74</v>
      </c>
    </row>
    <row r="21248" spans="9:9" x14ac:dyDescent="0.2">
      <c r="I21248" s="137" t="s">
        <v>74</v>
      </c>
    </row>
    <row r="21249" spans="9:9" x14ac:dyDescent="0.2">
      <c r="I21249" s="137" t="s">
        <v>74</v>
      </c>
    </row>
    <row r="21250" spans="9:9" x14ac:dyDescent="0.2">
      <c r="I21250" s="137" t="s">
        <v>74</v>
      </c>
    </row>
    <row r="21251" spans="9:9" x14ac:dyDescent="0.2">
      <c r="I21251" s="137" t="s">
        <v>74</v>
      </c>
    </row>
    <row r="21252" spans="9:9" x14ac:dyDescent="0.2">
      <c r="I21252" s="137" t="s">
        <v>74</v>
      </c>
    </row>
    <row r="21253" spans="9:9" x14ac:dyDescent="0.2">
      <c r="I21253" s="137" t="s">
        <v>74</v>
      </c>
    </row>
    <row r="21254" spans="9:9" x14ac:dyDescent="0.2">
      <c r="I21254" s="137" t="s">
        <v>74</v>
      </c>
    </row>
    <row r="21255" spans="9:9" x14ac:dyDescent="0.2">
      <c r="I21255" s="137" t="s">
        <v>74</v>
      </c>
    </row>
    <row r="21256" spans="9:9" x14ac:dyDescent="0.2">
      <c r="I21256" s="137" t="s">
        <v>74</v>
      </c>
    </row>
    <row r="21257" spans="9:9" x14ac:dyDescent="0.2">
      <c r="I21257" s="137" t="s">
        <v>74</v>
      </c>
    </row>
    <row r="21258" spans="9:9" x14ac:dyDescent="0.2">
      <c r="I21258" s="137" t="s">
        <v>74</v>
      </c>
    </row>
    <row r="21259" spans="9:9" x14ac:dyDescent="0.2">
      <c r="I21259" s="137" t="s">
        <v>74</v>
      </c>
    </row>
    <row r="21260" spans="9:9" x14ac:dyDescent="0.2">
      <c r="I21260" s="137" t="s">
        <v>74</v>
      </c>
    </row>
    <row r="21261" spans="9:9" x14ac:dyDescent="0.2">
      <c r="I21261" s="137" t="s">
        <v>74</v>
      </c>
    </row>
    <row r="21262" spans="9:9" x14ac:dyDescent="0.2">
      <c r="I21262" s="137" t="s">
        <v>74</v>
      </c>
    </row>
    <row r="21263" spans="9:9" x14ac:dyDescent="0.2">
      <c r="I21263" s="137" t="s">
        <v>74</v>
      </c>
    </row>
    <row r="21264" spans="9:9" x14ac:dyDescent="0.2">
      <c r="I21264" s="137" t="s">
        <v>74</v>
      </c>
    </row>
    <row r="21265" spans="9:9" x14ac:dyDescent="0.2">
      <c r="I21265" s="137" t="s">
        <v>74</v>
      </c>
    </row>
    <row r="21266" spans="9:9" x14ac:dyDescent="0.2">
      <c r="I21266" s="137" t="s">
        <v>74</v>
      </c>
    </row>
    <row r="21267" spans="9:9" x14ac:dyDescent="0.2">
      <c r="I21267" s="137" t="s">
        <v>74</v>
      </c>
    </row>
    <row r="21268" spans="9:9" x14ac:dyDescent="0.2">
      <c r="I21268" s="137" t="s">
        <v>74</v>
      </c>
    </row>
    <row r="21269" spans="9:9" x14ac:dyDescent="0.2">
      <c r="I21269" s="137" t="s">
        <v>74</v>
      </c>
    </row>
    <row r="21270" spans="9:9" x14ac:dyDescent="0.2">
      <c r="I21270" s="137" t="s">
        <v>74</v>
      </c>
    </row>
    <row r="21271" spans="9:9" x14ac:dyDescent="0.2">
      <c r="I21271" s="137" t="s">
        <v>74</v>
      </c>
    </row>
    <row r="21272" spans="9:9" x14ac:dyDescent="0.2">
      <c r="I21272" s="137" t="s">
        <v>74</v>
      </c>
    </row>
    <row r="21273" spans="9:9" x14ac:dyDescent="0.2">
      <c r="I21273" s="137" t="s">
        <v>74</v>
      </c>
    </row>
    <row r="21274" spans="9:9" x14ac:dyDescent="0.2">
      <c r="I21274" s="137" t="s">
        <v>74</v>
      </c>
    </row>
    <row r="21275" spans="9:9" x14ac:dyDescent="0.2">
      <c r="I21275" s="137" t="s">
        <v>74</v>
      </c>
    </row>
    <row r="21276" spans="9:9" x14ac:dyDescent="0.2">
      <c r="I21276" s="137" t="s">
        <v>74</v>
      </c>
    </row>
    <row r="21277" spans="9:9" x14ac:dyDescent="0.2">
      <c r="I21277" s="137" t="s">
        <v>74</v>
      </c>
    </row>
    <row r="21278" spans="9:9" x14ac:dyDescent="0.2">
      <c r="I21278" s="137" t="s">
        <v>74</v>
      </c>
    </row>
    <row r="21279" spans="9:9" x14ac:dyDescent="0.2">
      <c r="I21279" s="137" t="s">
        <v>74</v>
      </c>
    </row>
    <row r="21280" spans="9:9" x14ac:dyDescent="0.2">
      <c r="I21280" s="137" t="s">
        <v>74</v>
      </c>
    </row>
    <row r="21281" spans="9:9" x14ac:dyDescent="0.2">
      <c r="I21281" s="137" t="s">
        <v>74</v>
      </c>
    </row>
    <row r="21282" spans="9:9" x14ac:dyDescent="0.2">
      <c r="I21282" s="137" t="s">
        <v>74</v>
      </c>
    </row>
    <row r="21283" spans="9:9" x14ac:dyDescent="0.2">
      <c r="I21283" s="137" t="s">
        <v>74</v>
      </c>
    </row>
    <row r="21284" spans="9:9" x14ac:dyDescent="0.2">
      <c r="I21284" s="137" t="s">
        <v>74</v>
      </c>
    </row>
    <row r="21285" spans="9:9" x14ac:dyDescent="0.2">
      <c r="I21285" s="137" t="s">
        <v>74</v>
      </c>
    </row>
    <row r="21286" spans="9:9" x14ac:dyDescent="0.2">
      <c r="I21286" s="137" t="s">
        <v>74</v>
      </c>
    </row>
    <row r="21287" spans="9:9" x14ac:dyDescent="0.2">
      <c r="I21287" s="137" t="s">
        <v>74</v>
      </c>
    </row>
    <row r="21288" spans="9:9" x14ac:dyDescent="0.2">
      <c r="I21288" s="137" t="s">
        <v>74</v>
      </c>
    </row>
    <row r="21289" spans="9:9" x14ac:dyDescent="0.2">
      <c r="I21289" s="137" t="s">
        <v>74</v>
      </c>
    </row>
    <row r="21290" spans="9:9" x14ac:dyDescent="0.2">
      <c r="I21290" s="137" t="s">
        <v>74</v>
      </c>
    </row>
    <row r="21291" spans="9:9" x14ac:dyDescent="0.2">
      <c r="I21291" s="137" t="s">
        <v>74</v>
      </c>
    </row>
    <row r="21292" spans="9:9" x14ac:dyDescent="0.2">
      <c r="I21292" s="137" t="s">
        <v>74</v>
      </c>
    </row>
    <row r="21293" spans="9:9" x14ac:dyDescent="0.2">
      <c r="I21293" s="137" t="s">
        <v>74</v>
      </c>
    </row>
    <row r="21294" spans="9:9" x14ac:dyDescent="0.2">
      <c r="I21294" s="137" t="s">
        <v>74</v>
      </c>
    </row>
    <row r="21295" spans="9:9" x14ac:dyDescent="0.2">
      <c r="I21295" s="137" t="s">
        <v>74</v>
      </c>
    </row>
    <row r="21296" spans="9:9" x14ac:dyDescent="0.2">
      <c r="I21296" s="137" t="s">
        <v>74</v>
      </c>
    </row>
    <row r="21297" spans="9:9" x14ac:dyDescent="0.2">
      <c r="I21297" s="137" t="s">
        <v>74</v>
      </c>
    </row>
    <row r="21298" spans="9:9" x14ac:dyDescent="0.2">
      <c r="I21298" s="137" t="s">
        <v>74</v>
      </c>
    </row>
    <row r="21299" spans="9:9" x14ac:dyDescent="0.2">
      <c r="I21299" s="137" t="s">
        <v>74</v>
      </c>
    </row>
    <row r="21300" spans="9:9" x14ac:dyDescent="0.2">
      <c r="I21300" s="137" t="s">
        <v>74</v>
      </c>
    </row>
    <row r="21301" spans="9:9" x14ac:dyDescent="0.2">
      <c r="I21301" s="137" t="s">
        <v>74</v>
      </c>
    </row>
    <row r="21302" spans="9:9" x14ac:dyDescent="0.2">
      <c r="I21302" s="137" t="s">
        <v>74</v>
      </c>
    </row>
    <row r="21303" spans="9:9" x14ac:dyDescent="0.2">
      <c r="I21303" s="137" t="s">
        <v>74</v>
      </c>
    </row>
    <row r="21304" spans="9:9" x14ac:dyDescent="0.2">
      <c r="I21304" s="137" t="s">
        <v>74</v>
      </c>
    </row>
    <row r="21305" spans="9:9" x14ac:dyDescent="0.2">
      <c r="I21305" s="137" t="s">
        <v>74</v>
      </c>
    </row>
    <row r="21306" spans="9:9" x14ac:dyDescent="0.2">
      <c r="I21306" s="137" t="s">
        <v>74</v>
      </c>
    </row>
    <row r="21307" spans="9:9" x14ac:dyDescent="0.2">
      <c r="I21307" s="137" t="s">
        <v>74</v>
      </c>
    </row>
    <row r="21308" spans="9:9" x14ac:dyDescent="0.2">
      <c r="I21308" s="137" t="s">
        <v>74</v>
      </c>
    </row>
    <row r="21309" spans="9:9" x14ac:dyDescent="0.2">
      <c r="I21309" s="137" t="s">
        <v>74</v>
      </c>
    </row>
    <row r="21310" spans="9:9" x14ac:dyDescent="0.2">
      <c r="I21310" s="137" t="s">
        <v>74</v>
      </c>
    </row>
    <row r="21311" spans="9:9" x14ac:dyDescent="0.2">
      <c r="I21311" s="137" t="s">
        <v>74</v>
      </c>
    </row>
    <row r="21312" spans="9:9" x14ac:dyDescent="0.2">
      <c r="I21312" s="137" t="s">
        <v>74</v>
      </c>
    </row>
    <row r="21313" spans="9:9" x14ac:dyDescent="0.2">
      <c r="I21313" s="137" t="s">
        <v>74</v>
      </c>
    </row>
    <row r="21314" spans="9:9" x14ac:dyDescent="0.2">
      <c r="I21314" s="137" t="s">
        <v>74</v>
      </c>
    </row>
    <row r="21315" spans="9:9" x14ac:dyDescent="0.2">
      <c r="I21315" s="137" t="s">
        <v>74</v>
      </c>
    </row>
    <row r="21316" spans="9:9" x14ac:dyDescent="0.2">
      <c r="I21316" s="137" t="s">
        <v>74</v>
      </c>
    </row>
    <row r="21317" spans="9:9" x14ac:dyDescent="0.2">
      <c r="I21317" s="137" t="s">
        <v>74</v>
      </c>
    </row>
    <row r="21318" spans="9:9" x14ac:dyDescent="0.2">
      <c r="I21318" s="137" t="s">
        <v>74</v>
      </c>
    </row>
    <row r="21319" spans="9:9" x14ac:dyDescent="0.2">
      <c r="I21319" s="137" t="s">
        <v>74</v>
      </c>
    </row>
    <row r="21320" spans="9:9" x14ac:dyDescent="0.2">
      <c r="I21320" s="137" t="s">
        <v>74</v>
      </c>
    </row>
    <row r="21321" spans="9:9" x14ac:dyDescent="0.2">
      <c r="I21321" s="137" t="s">
        <v>74</v>
      </c>
    </row>
    <row r="21322" spans="9:9" x14ac:dyDescent="0.2">
      <c r="I21322" s="137" t="s">
        <v>74</v>
      </c>
    </row>
    <row r="21323" spans="9:9" x14ac:dyDescent="0.2">
      <c r="I21323" s="137" t="s">
        <v>74</v>
      </c>
    </row>
    <row r="21324" spans="9:9" x14ac:dyDescent="0.2">
      <c r="I21324" s="137" t="s">
        <v>74</v>
      </c>
    </row>
    <row r="21325" spans="9:9" x14ac:dyDescent="0.2">
      <c r="I21325" s="137" t="s">
        <v>74</v>
      </c>
    </row>
    <row r="21326" spans="9:9" x14ac:dyDescent="0.2">
      <c r="I21326" s="137" t="s">
        <v>74</v>
      </c>
    </row>
    <row r="21327" spans="9:9" x14ac:dyDescent="0.2">
      <c r="I21327" s="137" t="s">
        <v>74</v>
      </c>
    </row>
    <row r="21328" spans="9:9" x14ac:dyDescent="0.2">
      <c r="I21328" s="137" t="s">
        <v>74</v>
      </c>
    </row>
    <row r="21329" spans="9:9" x14ac:dyDescent="0.2">
      <c r="I21329" s="137" t="s">
        <v>74</v>
      </c>
    </row>
    <row r="21330" spans="9:9" x14ac:dyDescent="0.2">
      <c r="I21330" s="137" t="s">
        <v>74</v>
      </c>
    </row>
    <row r="21331" spans="9:9" x14ac:dyDescent="0.2">
      <c r="I21331" s="137" t="s">
        <v>74</v>
      </c>
    </row>
    <row r="21332" spans="9:9" x14ac:dyDescent="0.2">
      <c r="I21332" s="137" t="s">
        <v>74</v>
      </c>
    </row>
    <row r="21333" spans="9:9" x14ac:dyDescent="0.2">
      <c r="I21333" s="137" t="s">
        <v>74</v>
      </c>
    </row>
    <row r="21334" spans="9:9" x14ac:dyDescent="0.2">
      <c r="I21334" s="137" t="s">
        <v>74</v>
      </c>
    </row>
    <row r="21335" spans="9:9" x14ac:dyDescent="0.2">
      <c r="I21335" s="137" t="s">
        <v>74</v>
      </c>
    </row>
    <row r="21336" spans="9:9" x14ac:dyDescent="0.2">
      <c r="I21336" s="137" t="s">
        <v>74</v>
      </c>
    </row>
    <row r="21337" spans="9:9" x14ac:dyDescent="0.2">
      <c r="I21337" s="137" t="s">
        <v>74</v>
      </c>
    </row>
    <row r="21338" spans="9:9" x14ac:dyDescent="0.2">
      <c r="I21338" s="137" t="s">
        <v>74</v>
      </c>
    </row>
    <row r="21339" spans="9:9" x14ac:dyDescent="0.2">
      <c r="I21339" s="137" t="s">
        <v>74</v>
      </c>
    </row>
    <row r="21340" spans="9:9" x14ac:dyDescent="0.2">
      <c r="I21340" s="137" t="s">
        <v>74</v>
      </c>
    </row>
    <row r="21341" spans="9:9" x14ac:dyDescent="0.2">
      <c r="I21341" s="137" t="s">
        <v>74</v>
      </c>
    </row>
    <row r="21342" spans="9:9" x14ac:dyDescent="0.2">
      <c r="I21342" s="137" t="s">
        <v>74</v>
      </c>
    </row>
    <row r="21343" spans="9:9" x14ac:dyDescent="0.2">
      <c r="I21343" s="137" t="s">
        <v>74</v>
      </c>
    </row>
    <row r="21344" spans="9:9" x14ac:dyDescent="0.2">
      <c r="I21344" s="137" t="s">
        <v>74</v>
      </c>
    </row>
    <row r="21345" spans="9:9" x14ac:dyDescent="0.2">
      <c r="I21345" s="137" t="s">
        <v>74</v>
      </c>
    </row>
    <row r="21346" spans="9:9" x14ac:dyDescent="0.2">
      <c r="I21346" s="137" t="s">
        <v>74</v>
      </c>
    </row>
    <row r="21347" spans="9:9" x14ac:dyDescent="0.2">
      <c r="I21347" s="137" t="s">
        <v>74</v>
      </c>
    </row>
    <row r="21348" spans="9:9" x14ac:dyDescent="0.2">
      <c r="I21348" s="137" t="s">
        <v>74</v>
      </c>
    </row>
    <row r="21349" spans="9:9" x14ac:dyDescent="0.2">
      <c r="I21349" s="137" t="s">
        <v>74</v>
      </c>
    </row>
    <row r="21350" spans="9:9" x14ac:dyDescent="0.2">
      <c r="I21350" s="137" t="s">
        <v>74</v>
      </c>
    </row>
    <row r="21351" spans="9:9" x14ac:dyDescent="0.2">
      <c r="I21351" s="137" t="s">
        <v>74</v>
      </c>
    </row>
    <row r="21352" spans="9:9" x14ac:dyDescent="0.2">
      <c r="I21352" s="137" t="s">
        <v>74</v>
      </c>
    </row>
    <row r="21353" spans="9:9" x14ac:dyDescent="0.2">
      <c r="I21353" s="137" t="s">
        <v>74</v>
      </c>
    </row>
    <row r="21354" spans="9:9" x14ac:dyDescent="0.2">
      <c r="I21354" s="137" t="s">
        <v>74</v>
      </c>
    </row>
    <row r="21355" spans="9:9" x14ac:dyDescent="0.2">
      <c r="I21355" s="137" t="s">
        <v>74</v>
      </c>
    </row>
    <row r="21356" spans="9:9" x14ac:dyDescent="0.2">
      <c r="I21356" s="137" t="s">
        <v>74</v>
      </c>
    </row>
    <row r="21357" spans="9:9" x14ac:dyDescent="0.2">
      <c r="I21357" s="137" t="s">
        <v>74</v>
      </c>
    </row>
    <row r="21358" spans="9:9" x14ac:dyDescent="0.2">
      <c r="I21358" s="137" t="s">
        <v>74</v>
      </c>
    </row>
    <row r="21359" spans="9:9" x14ac:dyDescent="0.2">
      <c r="I21359" s="137" t="s">
        <v>74</v>
      </c>
    </row>
    <row r="21360" spans="9:9" x14ac:dyDescent="0.2">
      <c r="I21360" s="137" t="s">
        <v>74</v>
      </c>
    </row>
    <row r="21361" spans="9:9" x14ac:dyDescent="0.2">
      <c r="I21361" s="137" t="s">
        <v>74</v>
      </c>
    </row>
    <row r="21362" spans="9:9" x14ac:dyDescent="0.2">
      <c r="I21362" s="137" t="s">
        <v>74</v>
      </c>
    </row>
    <row r="21363" spans="9:9" x14ac:dyDescent="0.2">
      <c r="I21363" s="137" t="s">
        <v>74</v>
      </c>
    </row>
    <row r="21364" spans="9:9" x14ac:dyDescent="0.2">
      <c r="I21364" s="137" t="s">
        <v>74</v>
      </c>
    </row>
    <row r="21365" spans="9:9" x14ac:dyDescent="0.2">
      <c r="I21365" s="137" t="s">
        <v>74</v>
      </c>
    </row>
    <row r="21366" spans="9:9" x14ac:dyDescent="0.2">
      <c r="I21366" s="137" t="s">
        <v>74</v>
      </c>
    </row>
    <row r="21367" spans="9:9" x14ac:dyDescent="0.2">
      <c r="I21367" s="137" t="s">
        <v>74</v>
      </c>
    </row>
    <row r="21368" spans="9:9" x14ac:dyDescent="0.2">
      <c r="I21368" s="137" t="s">
        <v>74</v>
      </c>
    </row>
    <row r="21369" spans="9:9" x14ac:dyDescent="0.2">
      <c r="I21369" s="137" t="s">
        <v>74</v>
      </c>
    </row>
    <row r="21370" spans="9:9" x14ac:dyDescent="0.2">
      <c r="I21370" s="137" t="s">
        <v>74</v>
      </c>
    </row>
    <row r="21371" spans="9:9" x14ac:dyDescent="0.2">
      <c r="I21371" s="137" t="s">
        <v>74</v>
      </c>
    </row>
    <row r="21372" spans="9:9" x14ac:dyDescent="0.2">
      <c r="I21372" s="137" t="s">
        <v>74</v>
      </c>
    </row>
    <row r="21373" spans="9:9" x14ac:dyDescent="0.2">
      <c r="I21373" s="137" t="s">
        <v>74</v>
      </c>
    </row>
    <row r="21374" spans="9:9" x14ac:dyDescent="0.2">
      <c r="I21374" s="137" t="s">
        <v>74</v>
      </c>
    </row>
    <row r="21375" spans="9:9" x14ac:dyDescent="0.2">
      <c r="I21375" s="137" t="s">
        <v>74</v>
      </c>
    </row>
    <row r="21376" spans="9:9" x14ac:dyDescent="0.2">
      <c r="I21376" s="137" t="s">
        <v>74</v>
      </c>
    </row>
    <row r="21377" spans="9:9" x14ac:dyDescent="0.2">
      <c r="I21377" s="137" t="s">
        <v>74</v>
      </c>
    </row>
    <row r="21378" spans="9:9" x14ac:dyDescent="0.2">
      <c r="I21378" s="137" t="s">
        <v>74</v>
      </c>
    </row>
    <row r="21379" spans="9:9" x14ac:dyDescent="0.2">
      <c r="I21379" s="137" t="s">
        <v>74</v>
      </c>
    </row>
    <row r="21380" spans="9:9" x14ac:dyDescent="0.2">
      <c r="I21380" s="137" t="s">
        <v>74</v>
      </c>
    </row>
    <row r="21381" spans="9:9" x14ac:dyDescent="0.2">
      <c r="I21381" s="137" t="s">
        <v>74</v>
      </c>
    </row>
    <row r="21382" spans="9:9" x14ac:dyDescent="0.2">
      <c r="I21382" s="137" t="s">
        <v>74</v>
      </c>
    </row>
    <row r="21383" spans="9:9" x14ac:dyDescent="0.2">
      <c r="I21383" s="137" t="s">
        <v>74</v>
      </c>
    </row>
    <row r="21384" spans="9:9" x14ac:dyDescent="0.2">
      <c r="I21384" s="137" t="s">
        <v>74</v>
      </c>
    </row>
    <row r="21385" spans="9:9" x14ac:dyDescent="0.2">
      <c r="I21385" s="137" t="s">
        <v>74</v>
      </c>
    </row>
    <row r="21386" spans="9:9" x14ac:dyDescent="0.2">
      <c r="I21386" s="137" t="s">
        <v>74</v>
      </c>
    </row>
    <row r="21387" spans="9:9" x14ac:dyDescent="0.2">
      <c r="I21387" s="137" t="s">
        <v>74</v>
      </c>
    </row>
    <row r="21388" spans="9:9" x14ac:dyDescent="0.2">
      <c r="I21388" s="137" t="s">
        <v>74</v>
      </c>
    </row>
    <row r="21389" spans="9:9" x14ac:dyDescent="0.2">
      <c r="I21389" s="137" t="s">
        <v>74</v>
      </c>
    </row>
    <row r="21390" spans="9:9" x14ac:dyDescent="0.2">
      <c r="I21390" s="137" t="s">
        <v>74</v>
      </c>
    </row>
    <row r="21391" spans="9:9" x14ac:dyDescent="0.2">
      <c r="I21391" s="137" t="s">
        <v>74</v>
      </c>
    </row>
    <row r="21392" spans="9:9" x14ac:dyDescent="0.2">
      <c r="I21392" s="137" t="s">
        <v>74</v>
      </c>
    </row>
    <row r="21393" spans="9:9" x14ac:dyDescent="0.2">
      <c r="I21393" s="137" t="s">
        <v>74</v>
      </c>
    </row>
    <row r="21394" spans="9:9" x14ac:dyDescent="0.2">
      <c r="I21394" s="137" t="s">
        <v>74</v>
      </c>
    </row>
    <row r="21395" spans="9:9" x14ac:dyDescent="0.2">
      <c r="I21395" s="137" t="s">
        <v>74</v>
      </c>
    </row>
    <row r="21396" spans="9:9" x14ac:dyDescent="0.2">
      <c r="I21396" s="137" t="s">
        <v>74</v>
      </c>
    </row>
    <row r="21397" spans="9:9" x14ac:dyDescent="0.2">
      <c r="I21397" s="137" t="s">
        <v>74</v>
      </c>
    </row>
    <row r="21398" spans="9:9" x14ac:dyDescent="0.2">
      <c r="I21398" s="137" t="s">
        <v>74</v>
      </c>
    </row>
    <row r="21399" spans="9:9" x14ac:dyDescent="0.2">
      <c r="I21399" s="137" t="s">
        <v>74</v>
      </c>
    </row>
    <row r="21400" spans="9:9" x14ac:dyDescent="0.2">
      <c r="I21400" s="137" t="s">
        <v>74</v>
      </c>
    </row>
    <row r="21401" spans="9:9" x14ac:dyDescent="0.2">
      <c r="I21401" s="137" t="s">
        <v>74</v>
      </c>
    </row>
    <row r="21402" spans="9:9" x14ac:dyDescent="0.2">
      <c r="I21402" s="137" t="s">
        <v>74</v>
      </c>
    </row>
    <row r="21403" spans="9:9" x14ac:dyDescent="0.2">
      <c r="I21403" s="137" t="s">
        <v>74</v>
      </c>
    </row>
    <row r="21404" spans="9:9" x14ac:dyDescent="0.2">
      <c r="I21404" s="137" t="s">
        <v>74</v>
      </c>
    </row>
    <row r="21405" spans="9:9" x14ac:dyDescent="0.2">
      <c r="I21405" s="137" t="s">
        <v>74</v>
      </c>
    </row>
    <row r="21406" spans="9:9" x14ac:dyDescent="0.2">
      <c r="I21406" s="137" t="s">
        <v>74</v>
      </c>
    </row>
    <row r="21407" spans="9:9" x14ac:dyDescent="0.2">
      <c r="I21407" s="137" t="s">
        <v>74</v>
      </c>
    </row>
    <row r="21408" spans="9:9" x14ac:dyDescent="0.2">
      <c r="I21408" s="137" t="s">
        <v>74</v>
      </c>
    </row>
    <row r="21409" spans="9:9" x14ac:dyDescent="0.2">
      <c r="I21409" s="137" t="s">
        <v>74</v>
      </c>
    </row>
    <row r="21410" spans="9:9" x14ac:dyDescent="0.2">
      <c r="I21410" s="137" t="s">
        <v>74</v>
      </c>
    </row>
    <row r="21411" spans="9:9" x14ac:dyDescent="0.2">
      <c r="I21411" s="137" t="s">
        <v>74</v>
      </c>
    </row>
    <row r="21412" spans="9:9" x14ac:dyDescent="0.2">
      <c r="I21412" s="137" t="s">
        <v>74</v>
      </c>
    </row>
    <row r="21413" spans="9:9" x14ac:dyDescent="0.2">
      <c r="I21413" s="137" t="s">
        <v>74</v>
      </c>
    </row>
    <row r="21414" spans="9:9" x14ac:dyDescent="0.2">
      <c r="I21414" s="137" t="s">
        <v>74</v>
      </c>
    </row>
    <row r="21415" spans="9:9" x14ac:dyDescent="0.2">
      <c r="I21415" s="137" t="s">
        <v>74</v>
      </c>
    </row>
    <row r="21416" spans="9:9" x14ac:dyDescent="0.2">
      <c r="I21416" s="137" t="s">
        <v>74</v>
      </c>
    </row>
    <row r="21417" spans="9:9" x14ac:dyDescent="0.2">
      <c r="I21417" s="137" t="s">
        <v>74</v>
      </c>
    </row>
    <row r="21418" spans="9:9" x14ac:dyDescent="0.2">
      <c r="I21418" s="137" t="s">
        <v>74</v>
      </c>
    </row>
    <row r="21419" spans="9:9" x14ac:dyDescent="0.2">
      <c r="I21419" s="137" t="s">
        <v>74</v>
      </c>
    </row>
    <row r="21420" spans="9:9" x14ac:dyDescent="0.2">
      <c r="I21420" s="137" t="s">
        <v>74</v>
      </c>
    </row>
    <row r="21421" spans="9:9" x14ac:dyDescent="0.2">
      <c r="I21421" s="137" t="s">
        <v>74</v>
      </c>
    </row>
    <row r="21422" spans="9:9" x14ac:dyDescent="0.2">
      <c r="I21422" s="137" t="s">
        <v>74</v>
      </c>
    </row>
    <row r="21423" spans="9:9" x14ac:dyDescent="0.2">
      <c r="I21423" s="137" t="s">
        <v>74</v>
      </c>
    </row>
    <row r="21424" spans="9:9" x14ac:dyDescent="0.2">
      <c r="I21424" s="137" t="s">
        <v>74</v>
      </c>
    </row>
    <row r="21425" spans="9:9" x14ac:dyDescent="0.2">
      <c r="I21425" s="137" t="s">
        <v>74</v>
      </c>
    </row>
    <row r="21426" spans="9:9" x14ac:dyDescent="0.2">
      <c r="I21426" s="137" t="s">
        <v>74</v>
      </c>
    </row>
    <row r="21427" spans="9:9" x14ac:dyDescent="0.2">
      <c r="I21427" s="137" t="s">
        <v>74</v>
      </c>
    </row>
    <row r="21428" spans="9:9" x14ac:dyDescent="0.2">
      <c r="I21428" s="137" t="s">
        <v>74</v>
      </c>
    </row>
    <row r="21429" spans="9:9" x14ac:dyDescent="0.2">
      <c r="I21429" s="137" t="s">
        <v>74</v>
      </c>
    </row>
    <row r="21430" spans="9:9" x14ac:dyDescent="0.2">
      <c r="I21430" s="137" t="s">
        <v>74</v>
      </c>
    </row>
    <row r="21431" spans="9:9" x14ac:dyDescent="0.2">
      <c r="I21431" s="137" t="s">
        <v>74</v>
      </c>
    </row>
    <row r="21432" spans="9:9" x14ac:dyDescent="0.2">
      <c r="I21432" s="137" t="s">
        <v>74</v>
      </c>
    </row>
    <row r="21433" spans="9:9" x14ac:dyDescent="0.2">
      <c r="I21433" s="137" t="s">
        <v>74</v>
      </c>
    </row>
    <row r="21434" spans="9:9" x14ac:dyDescent="0.2">
      <c r="I21434" s="137" t="s">
        <v>74</v>
      </c>
    </row>
    <row r="21435" spans="9:9" x14ac:dyDescent="0.2">
      <c r="I21435" s="137" t="s">
        <v>74</v>
      </c>
    </row>
    <row r="21436" spans="9:9" x14ac:dyDescent="0.2">
      <c r="I21436" s="137" t="s">
        <v>74</v>
      </c>
    </row>
    <row r="21437" spans="9:9" x14ac:dyDescent="0.2">
      <c r="I21437" s="137" t="s">
        <v>74</v>
      </c>
    </row>
    <row r="21438" spans="9:9" x14ac:dyDescent="0.2">
      <c r="I21438" s="137" t="s">
        <v>74</v>
      </c>
    </row>
    <row r="21439" spans="9:9" x14ac:dyDescent="0.2">
      <c r="I21439" s="137" t="s">
        <v>74</v>
      </c>
    </row>
    <row r="21440" spans="9:9" x14ac:dyDescent="0.2">
      <c r="I21440" s="137" t="s">
        <v>74</v>
      </c>
    </row>
    <row r="21441" spans="9:9" x14ac:dyDescent="0.2">
      <c r="I21441" s="137" t="s">
        <v>74</v>
      </c>
    </row>
    <row r="21442" spans="9:9" x14ac:dyDescent="0.2">
      <c r="I21442" s="137" t="s">
        <v>74</v>
      </c>
    </row>
    <row r="21443" spans="9:9" x14ac:dyDescent="0.2">
      <c r="I21443" s="137" t="s">
        <v>74</v>
      </c>
    </row>
    <row r="21444" spans="9:9" x14ac:dyDescent="0.2">
      <c r="I21444" s="137" t="s">
        <v>74</v>
      </c>
    </row>
    <row r="21445" spans="9:9" x14ac:dyDescent="0.2">
      <c r="I21445" s="137" t="s">
        <v>74</v>
      </c>
    </row>
    <row r="21446" spans="9:9" x14ac:dyDescent="0.2">
      <c r="I21446" s="137" t="s">
        <v>74</v>
      </c>
    </row>
    <row r="21447" spans="9:9" x14ac:dyDescent="0.2">
      <c r="I21447" s="137" t="s">
        <v>74</v>
      </c>
    </row>
    <row r="21448" spans="9:9" x14ac:dyDescent="0.2">
      <c r="I21448" s="137" t="s">
        <v>74</v>
      </c>
    </row>
    <row r="21449" spans="9:9" x14ac:dyDescent="0.2">
      <c r="I21449" s="137" t="s">
        <v>74</v>
      </c>
    </row>
    <row r="21450" spans="9:9" x14ac:dyDescent="0.2">
      <c r="I21450" s="137" t="s">
        <v>74</v>
      </c>
    </row>
    <row r="21451" spans="9:9" x14ac:dyDescent="0.2">
      <c r="I21451" s="137" t="s">
        <v>74</v>
      </c>
    </row>
    <row r="21452" spans="9:9" x14ac:dyDescent="0.2">
      <c r="I21452" s="137" t="s">
        <v>74</v>
      </c>
    </row>
    <row r="21453" spans="9:9" x14ac:dyDescent="0.2">
      <c r="I21453" s="137" t="s">
        <v>74</v>
      </c>
    </row>
    <row r="21454" spans="9:9" x14ac:dyDescent="0.2">
      <c r="I21454" s="137" t="s">
        <v>74</v>
      </c>
    </row>
    <row r="21455" spans="9:9" x14ac:dyDescent="0.2">
      <c r="I21455" s="137" t="s">
        <v>74</v>
      </c>
    </row>
    <row r="21456" spans="9:9" x14ac:dyDescent="0.2">
      <c r="I21456" s="137" t="s">
        <v>74</v>
      </c>
    </row>
    <row r="21457" spans="9:9" x14ac:dyDescent="0.2">
      <c r="I21457" s="137" t="s">
        <v>74</v>
      </c>
    </row>
    <row r="21458" spans="9:9" x14ac:dyDescent="0.2">
      <c r="I21458" s="137" t="s">
        <v>74</v>
      </c>
    </row>
    <row r="21459" spans="9:9" x14ac:dyDescent="0.2">
      <c r="I21459" s="137" t="s">
        <v>74</v>
      </c>
    </row>
    <row r="21460" spans="9:9" x14ac:dyDescent="0.2">
      <c r="I21460" s="137" t="s">
        <v>74</v>
      </c>
    </row>
    <row r="21461" spans="9:9" x14ac:dyDescent="0.2">
      <c r="I21461" s="137" t="s">
        <v>74</v>
      </c>
    </row>
    <row r="21462" spans="9:9" x14ac:dyDescent="0.2">
      <c r="I21462" s="137" t="s">
        <v>74</v>
      </c>
    </row>
    <row r="21463" spans="9:9" x14ac:dyDescent="0.2">
      <c r="I21463" s="137" t="s">
        <v>74</v>
      </c>
    </row>
    <row r="21464" spans="9:9" x14ac:dyDescent="0.2">
      <c r="I21464" s="137" t="s">
        <v>74</v>
      </c>
    </row>
    <row r="21465" spans="9:9" x14ac:dyDescent="0.2">
      <c r="I21465" s="137" t="s">
        <v>74</v>
      </c>
    </row>
    <row r="21466" spans="9:9" x14ac:dyDescent="0.2">
      <c r="I21466" s="137" t="s">
        <v>74</v>
      </c>
    </row>
    <row r="21467" spans="9:9" x14ac:dyDescent="0.2">
      <c r="I21467" s="137" t="s">
        <v>74</v>
      </c>
    </row>
    <row r="21468" spans="9:9" x14ac:dyDescent="0.2">
      <c r="I21468" s="137" t="s">
        <v>74</v>
      </c>
    </row>
    <row r="21469" spans="9:9" x14ac:dyDescent="0.2">
      <c r="I21469" s="137" t="s">
        <v>74</v>
      </c>
    </row>
    <row r="21470" spans="9:9" x14ac:dyDescent="0.2">
      <c r="I21470" s="137" t="s">
        <v>74</v>
      </c>
    </row>
    <row r="21471" spans="9:9" x14ac:dyDescent="0.2">
      <c r="I21471" s="137" t="s">
        <v>74</v>
      </c>
    </row>
    <row r="21472" spans="9:9" x14ac:dyDescent="0.2">
      <c r="I21472" s="137" t="s">
        <v>74</v>
      </c>
    </row>
    <row r="21473" spans="9:9" x14ac:dyDescent="0.2">
      <c r="I21473" s="137" t="s">
        <v>74</v>
      </c>
    </row>
    <row r="21474" spans="9:9" x14ac:dyDescent="0.2">
      <c r="I21474" s="137" t="s">
        <v>74</v>
      </c>
    </row>
    <row r="21475" spans="9:9" x14ac:dyDescent="0.2">
      <c r="I21475" s="137" t="s">
        <v>74</v>
      </c>
    </row>
    <row r="21476" spans="9:9" x14ac:dyDescent="0.2">
      <c r="I21476" s="137" t="s">
        <v>74</v>
      </c>
    </row>
    <row r="21477" spans="9:9" x14ac:dyDescent="0.2">
      <c r="I21477" s="137" t="s">
        <v>74</v>
      </c>
    </row>
    <row r="21478" spans="9:9" x14ac:dyDescent="0.2">
      <c r="I21478" s="137" t="s">
        <v>74</v>
      </c>
    </row>
    <row r="21479" spans="9:9" x14ac:dyDescent="0.2">
      <c r="I21479" s="137" t="s">
        <v>74</v>
      </c>
    </row>
    <row r="21480" spans="9:9" x14ac:dyDescent="0.2">
      <c r="I21480" s="137" t="s">
        <v>74</v>
      </c>
    </row>
    <row r="21481" spans="9:9" x14ac:dyDescent="0.2">
      <c r="I21481" s="137" t="s">
        <v>74</v>
      </c>
    </row>
    <row r="21482" spans="9:9" x14ac:dyDescent="0.2">
      <c r="I21482" s="137" t="s">
        <v>74</v>
      </c>
    </row>
    <row r="21483" spans="9:9" x14ac:dyDescent="0.2">
      <c r="I21483" s="137" t="s">
        <v>74</v>
      </c>
    </row>
    <row r="21484" spans="9:9" x14ac:dyDescent="0.2">
      <c r="I21484" s="137" t="s">
        <v>74</v>
      </c>
    </row>
    <row r="21485" spans="9:9" x14ac:dyDescent="0.2">
      <c r="I21485" s="137" t="s">
        <v>74</v>
      </c>
    </row>
    <row r="21486" spans="9:9" x14ac:dyDescent="0.2">
      <c r="I21486" s="137" t="s">
        <v>74</v>
      </c>
    </row>
    <row r="21487" spans="9:9" x14ac:dyDescent="0.2">
      <c r="I21487" s="137" t="s">
        <v>74</v>
      </c>
    </row>
    <row r="21488" spans="9:9" x14ac:dyDescent="0.2">
      <c r="I21488" s="137" t="s">
        <v>74</v>
      </c>
    </row>
    <row r="21489" spans="9:9" x14ac:dyDescent="0.2">
      <c r="I21489" s="137" t="s">
        <v>74</v>
      </c>
    </row>
    <row r="21490" spans="9:9" x14ac:dyDescent="0.2">
      <c r="I21490" s="137" t="s">
        <v>74</v>
      </c>
    </row>
    <row r="21491" spans="9:9" x14ac:dyDescent="0.2">
      <c r="I21491" s="137" t="s">
        <v>74</v>
      </c>
    </row>
    <row r="21492" spans="9:9" x14ac:dyDescent="0.2">
      <c r="I21492" s="137" t="s">
        <v>74</v>
      </c>
    </row>
    <row r="21493" spans="9:9" x14ac:dyDescent="0.2">
      <c r="I21493" s="137" t="s">
        <v>74</v>
      </c>
    </row>
    <row r="21494" spans="9:9" x14ac:dyDescent="0.2">
      <c r="I21494" s="137" t="s">
        <v>74</v>
      </c>
    </row>
    <row r="21495" spans="9:9" x14ac:dyDescent="0.2">
      <c r="I21495" s="137" t="s">
        <v>74</v>
      </c>
    </row>
    <row r="21496" spans="9:9" x14ac:dyDescent="0.2">
      <c r="I21496" s="137" t="s">
        <v>74</v>
      </c>
    </row>
    <row r="21497" spans="9:9" x14ac:dyDescent="0.2">
      <c r="I21497" s="137" t="s">
        <v>74</v>
      </c>
    </row>
    <row r="21498" spans="9:9" x14ac:dyDescent="0.2">
      <c r="I21498" s="137" t="s">
        <v>74</v>
      </c>
    </row>
    <row r="21499" spans="9:9" x14ac:dyDescent="0.2">
      <c r="I21499" s="137" t="s">
        <v>74</v>
      </c>
    </row>
    <row r="21500" spans="9:9" x14ac:dyDescent="0.2">
      <c r="I21500" s="137" t="s">
        <v>74</v>
      </c>
    </row>
    <row r="21501" spans="9:9" x14ac:dyDescent="0.2">
      <c r="I21501" s="137" t="s">
        <v>74</v>
      </c>
    </row>
    <row r="21502" spans="9:9" x14ac:dyDescent="0.2">
      <c r="I21502" s="137" t="s">
        <v>74</v>
      </c>
    </row>
    <row r="21503" spans="9:9" x14ac:dyDescent="0.2">
      <c r="I21503" s="137" t="s">
        <v>74</v>
      </c>
    </row>
    <row r="21504" spans="9:9" x14ac:dyDescent="0.2">
      <c r="I21504" s="137" t="s">
        <v>74</v>
      </c>
    </row>
    <row r="21505" spans="9:9" x14ac:dyDescent="0.2">
      <c r="I21505" s="137" t="s">
        <v>74</v>
      </c>
    </row>
    <row r="21506" spans="9:9" x14ac:dyDescent="0.2">
      <c r="I21506" s="137" t="s">
        <v>74</v>
      </c>
    </row>
    <row r="21507" spans="9:9" x14ac:dyDescent="0.2">
      <c r="I21507" s="137" t="s">
        <v>74</v>
      </c>
    </row>
    <row r="21508" spans="9:9" x14ac:dyDescent="0.2">
      <c r="I21508" s="137" t="s">
        <v>74</v>
      </c>
    </row>
    <row r="21509" spans="9:9" x14ac:dyDescent="0.2">
      <c r="I21509" s="137" t="s">
        <v>74</v>
      </c>
    </row>
    <row r="21510" spans="9:9" x14ac:dyDescent="0.2">
      <c r="I21510" s="137" t="s">
        <v>74</v>
      </c>
    </row>
    <row r="21511" spans="9:9" x14ac:dyDescent="0.2">
      <c r="I21511" s="137" t="s">
        <v>74</v>
      </c>
    </row>
    <row r="21512" spans="9:9" x14ac:dyDescent="0.2">
      <c r="I21512" s="137" t="s">
        <v>74</v>
      </c>
    </row>
    <row r="21513" spans="9:9" x14ac:dyDescent="0.2">
      <c r="I21513" s="137" t="s">
        <v>74</v>
      </c>
    </row>
    <row r="21514" spans="9:9" x14ac:dyDescent="0.2">
      <c r="I21514" s="137" t="s">
        <v>74</v>
      </c>
    </row>
    <row r="21515" spans="9:9" x14ac:dyDescent="0.2">
      <c r="I21515" s="137" t="s">
        <v>74</v>
      </c>
    </row>
    <row r="21516" spans="9:9" x14ac:dyDescent="0.2">
      <c r="I21516" s="137" t="s">
        <v>74</v>
      </c>
    </row>
    <row r="21517" spans="9:9" x14ac:dyDescent="0.2">
      <c r="I21517" s="137" t="s">
        <v>74</v>
      </c>
    </row>
    <row r="21518" spans="9:9" x14ac:dyDescent="0.2">
      <c r="I21518" s="137" t="s">
        <v>74</v>
      </c>
    </row>
    <row r="21519" spans="9:9" x14ac:dyDescent="0.2">
      <c r="I21519" s="137" t="s">
        <v>74</v>
      </c>
    </row>
    <row r="21520" spans="9:9" x14ac:dyDescent="0.2">
      <c r="I21520" s="137" t="s">
        <v>74</v>
      </c>
    </row>
    <row r="21521" spans="9:9" x14ac:dyDescent="0.2">
      <c r="I21521" s="137" t="s">
        <v>74</v>
      </c>
    </row>
    <row r="21522" spans="9:9" x14ac:dyDescent="0.2">
      <c r="I21522" s="137" t="s">
        <v>74</v>
      </c>
    </row>
    <row r="21523" spans="9:9" x14ac:dyDescent="0.2">
      <c r="I21523" s="137" t="s">
        <v>74</v>
      </c>
    </row>
    <row r="21524" spans="9:9" x14ac:dyDescent="0.2">
      <c r="I21524" s="137" t="s">
        <v>74</v>
      </c>
    </row>
    <row r="21525" spans="9:9" x14ac:dyDescent="0.2">
      <c r="I21525" s="137" t="s">
        <v>74</v>
      </c>
    </row>
    <row r="21526" spans="9:9" x14ac:dyDescent="0.2">
      <c r="I21526" s="137" t="s">
        <v>74</v>
      </c>
    </row>
    <row r="21527" spans="9:9" x14ac:dyDescent="0.2">
      <c r="I21527" s="137" t="s">
        <v>74</v>
      </c>
    </row>
    <row r="21528" spans="9:9" x14ac:dyDescent="0.2">
      <c r="I21528" s="137" t="s">
        <v>74</v>
      </c>
    </row>
    <row r="21529" spans="9:9" x14ac:dyDescent="0.2">
      <c r="I21529" s="137" t="s">
        <v>74</v>
      </c>
    </row>
    <row r="21530" spans="9:9" x14ac:dyDescent="0.2">
      <c r="I21530" s="137" t="s">
        <v>74</v>
      </c>
    </row>
    <row r="21531" spans="9:9" x14ac:dyDescent="0.2">
      <c r="I21531" s="137" t="s">
        <v>74</v>
      </c>
    </row>
    <row r="21532" spans="9:9" x14ac:dyDescent="0.2">
      <c r="I21532" s="137" t="s">
        <v>74</v>
      </c>
    </row>
    <row r="21533" spans="9:9" x14ac:dyDescent="0.2">
      <c r="I21533" s="137" t="s">
        <v>74</v>
      </c>
    </row>
    <row r="21534" spans="9:9" x14ac:dyDescent="0.2">
      <c r="I21534" s="137" t="s">
        <v>74</v>
      </c>
    </row>
    <row r="21535" spans="9:9" x14ac:dyDescent="0.2">
      <c r="I21535" s="137" t="s">
        <v>74</v>
      </c>
    </row>
    <row r="21536" spans="9:9" x14ac:dyDescent="0.2">
      <c r="I21536" s="137" t="s">
        <v>74</v>
      </c>
    </row>
    <row r="21537" spans="9:9" x14ac:dyDescent="0.2">
      <c r="I21537" s="137" t="s">
        <v>74</v>
      </c>
    </row>
    <row r="21538" spans="9:9" x14ac:dyDescent="0.2">
      <c r="I21538" s="137" t="s">
        <v>74</v>
      </c>
    </row>
    <row r="21539" spans="9:9" x14ac:dyDescent="0.2">
      <c r="I21539" s="137" t="s">
        <v>74</v>
      </c>
    </row>
    <row r="21540" spans="9:9" x14ac:dyDescent="0.2">
      <c r="I21540" s="137" t="s">
        <v>74</v>
      </c>
    </row>
    <row r="21541" spans="9:9" x14ac:dyDescent="0.2">
      <c r="I21541" s="137" t="s">
        <v>74</v>
      </c>
    </row>
    <row r="21542" spans="9:9" x14ac:dyDescent="0.2">
      <c r="I21542" s="137" t="s">
        <v>74</v>
      </c>
    </row>
    <row r="21543" spans="9:9" x14ac:dyDescent="0.2">
      <c r="I21543" s="137" t="s">
        <v>74</v>
      </c>
    </row>
    <row r="21544" spans="9:9" x14ac:dyDescent="0.2">
      <c r="I21544" s="137" t="s">
        <v>74</v>
      </c>
    </row>
    <row r="21545" spans="9:9" x14ac:dyDescent="0.2">
      <c r="I21545" s="137" t="s">
        <v>74</v>
      </c>
    </row>
    <row r="21546" spans="9:9" x14ac:dyDescent="0.2">
      <c r="I21546" s="137" t="s">
        <v>74</v>
      </c>
    </row>
    <row r="21547" spans="9:9" x14ac:dyDescent="0.2">
      <c r="I21547" s="137" t="s">
        <v>74</v>
      </c>
    </row>
    <row r="21548" spans="9:9" x14ac:dyDescent="0.2">
      <c r="I21548" s="137" t="s">
        <v>74</v>
      </c>
    </row>
    <row r="21549" spans="9:9" x14ac:dyDescent="0.2">
      <c r="I21549" s="137" t="s">
        <v>74</v>
      </c>
    </row>
    <row r="21550" spans="9:9" x14ac:dyDescent="0.2">
      <c r="I21550" s="137" t="s">
        <v>74</v>
      </c>
    </row>
    <row r="21551" spans="9:9" x14ac:dyDescent="0.2">
      <c r="I21551" s="137" t="s">
        <v>74</v>
      </c>
    </row>
    <row r="21552" spans="9:9" x14ac:dyDescent="0.2">
      <c r="I21552" s="137" t="s">
        <v>74</v>
      </c>
    </row>
    <row r="21553" spans="9:9" x14ac:dyDescent="0.2">
      <c r="I21553" s="137" t="s">
        <v>74</v>
      </c>
    </row>
    <row r="21554" spans="9:9" x14ac:dyDescent="0.2">
      <c r="I21554" s="137" t="s">
        <v>74</v>
      </c>
    </row>
    <row r="21555" spans="9:9" x14ac:dyDescent="0.2">
      <c r="I21555" s="137" t="s">
        <v>74</v>
      </c>
    </row>
    <row r="21556" spans="9:9" x14ac:dyDescent="0.2">
      <c r="I21556" s="137" t="s">
        <v>74</v>
      </c>
    </row>
    <row r="21557" spans="9:9" x14ac:dyDescent="0.2">
      <c r="I21557" s="137" t="s">
        <v>74</v>
      </c>
    </row>
    <row r="21558" spans="9:9" x14ac:dyDescent="0.2">
      <c r="I21558" s="137" t="s">
        <v>74</v>
      </c>
    </row>
    <row r="21559" spans="9:9" x14ac:dyDescent="0.2">
      <c r="I21559" s="137" t="s">
        <v>74</v>
      </c>
    </row>
    <row r="21560" spans="9:9" x14ac:dyDescent="0.2">
      <c r="I21560" s="137" t="s">
        <v>74</v>
      </c>
    </row>
    <row r="21561" spans="9:9" x14ac:dyDescent="0.2">
      <c r="I21561" s="137" t="s">
        <v>74</v>
      </c>
    </row>
    <row r="21562" spans="9:9" x14ac:dyDescent="0.2">
      <c r="I21562" s="137" t="s">
        <v>74</v>
      </c>
    </row>
    <row r="21563" spans="9:9" x14ac:dyDescent="0.2">
      <c r="I21563" s="137" t="s">
        <v>74</v>
      </c>
    </row>
    <row r="21564" spans="9:9" x14ac:dyDescent="0.2">
      <c r="I21564" s="137" t="s">
        <v>74</v>
      </c>
    </row>
    <row r="21565" spans="9:9" x14ac:dyDescent="0.2">
      <c r="I21565" s="137" t="s">
        <v>74</v>
      </c>
    </row>
    <row r="21566" spans="9:9" x14ac:dyDescent="0.2">
      <c r="I21566" s="137" t="s">
        <v>74</v>
      </c>
    </row>
    <row r="21567" spans="9:9" x14ac:dyDescent="0.2">
      <c r="I21567" s="137" t="s">
        <v>74</v>
      </c>
    </row>
    <row r="21568" spans="9:9" x14ac:dyDescent="0.2">
      <c r="I21568" s="137" t="s">
        <v>74</v>
      </c>
    </row>
    <row r="21569" spans="9:9" x14ac:dyDescent="0.2">
      <c r="I21569" s="137" t="s">
        <v>74</v>
      </c>
    </row>
    <row r="21570" spans="9:9" x14ac:dyDescent="0.2">
      <c r="I21570" s="137" t="s">
        <v>74</v>
      </c>
    </row>
    <row r="21571" spans="9:9" x14ac:dyDescent="0.2">
      <c r="I21571" s="137" t="s">
        <v>74</v>
      </c>
    </row>
    <row r="21572" spans="9:9" x14ac:dyDescent="0.2">
      <c r="I21572" s="137" t="s">
        <v>74</v>
      </c>
    </row>
    <row r="21573" spans="9:9" x14ac:dyDescent="0.2">
      <c r="I21573" s="137" t="s">
        <v>74</v>
      </c>
    </row>
    <row r="21574" spans="9:9" x14ac:dyDescent="0.2">
      <c r="I21574" s="137" t="s">
        <v>74</v>
      </c>
    </row>
    <row r="21575" spans="9:9" x14ac:dyDescent="0.2">
      <c r="I21575" s="137" t="s">
        <v>74</v>
      </c>
    </row>
    <row r="21576" spans="9:9" x14ac:dyDescent="0.2">
      <c r="I21576" s="137" t="s">
        <v>74</v>
      </c>
    </row>
    <row r="21577" spans="9:9" x14ac:dyDescent="0.2">
      <c r="I21577" s="137" t="s">
        <v>74</v>
      </c>
    </row>
    <row r="21578" spans="9:9" x14ac:dyDescent="0.2">
      <c r="I21578" s="137" t="s">
        <v>74</v>
      </c>
    </row>
    <row r="21579" spans="9:9" x14ac:dyDescent="0.2">
      <c r="I21579" s="137" t="s">
        <v>74</v>
      </c>
    </row>
    <row r="21580" spans="9:9" x14ac:dyDescent="0.2">
      <c r="I21580" s="137" t="s">
        <v>74</v>
      </c>
    </row>
    <row r="21581" spans="9:9" x14ac:dyDescent="0.2">
      <c r="I21581" s="137" t="s">
        <v>74</v>
      </c>
    </row>
    <row r="21582" spans="9:9" x14ac:dyDescent="0.2">
      <c r="I21582" s="137" t="s">
        <v>74</v>
      </c>
    </row>
    <row r="21583" spans="9:9" x14ac:dyDescent="0.2">
      <c r="I21583" s="137" t="s">
        <v>74</v>
      </c>
    </row>
    <row r="21584" spans="9:9" x14ac:dyDescent="0.2">
      <c r="I21584" s="137" t="s">
        <v>74</v>
      </c>
    </row>
    <row r="21585" spans="9:9" x14ac:dyDescent="0.2">
      <c r="I21585" s="137" t="s">
        <v>74</v>
      </c>
    </row>
    <row r="21586" spans="9:9" x14ac:dyDescent="0.2">
      <c r="I21586" s="137" t="s">
        <v>74</v>
      </c>
    </row>
    <row r="21587" spans="9:9" x14ac:dyDescent="0.2">
      <c r="I21587" s="137" t="s">
        <v>74</v>
      </c>
    </row>
    <row r="21588" spans="9:9" x14ac:dyDescent="0.2">
      <c r="I21588" s="137" t="s">
        <v>74</v>
      </c>
    </row>
    <row r="21589" spans="9:9" x14ac:dyDescent="0.2">
      <c r="I21589" s="137" t="s">
        <v>74</v>
      </c>
    </row>
    <row r="21590" spans="9:9" x14ac:dyDescent="0.2">
      <c r="I21590" s="137" t="s">
        <v>74</v>
      </c>
    </row>
    <row r="21591" spans="9:9" x14ac:dyDescent="0.2">
      <c r="I21591" s="137" t="s">
        <v>74</v>
      </c>
    </row>
    <row r="21592" spans="9:9" x14ac:dyDescent="0.2">
      <c r="I21592" s="137" t="s">
        <v>74</v>
      </c>
    </row>
    <row r="21593" spans="9:9" x14ac:dyDescent="0.2">
      <c r="I21593" s="137" t="s">
        <v>74</v>
      </c>
    </row>
    <row r="21594" spans="9:9" x14ac:dyDescent="0.2">
      <c r="I21594" s="137" t="s">
        <v>74</v>
      </c>
    </row>
    <row r="21595" spans="9:9" x14ac:dyDescent="0.2">
      <c r="I21595" s="137" t="s">
        <v>74</v>
      </c>
    </row>
    <row r="21596" spans="9:9" x14ac:dyDescent="0.2">
      <c r="I21596" s="137" t="s">
        <v>74</v>
      </c>
    </row>
    <row r="21597" spans="9:9" x14ac:dyDescent="0.2">
      <c r="I21597" s="137" t="s">
        <v>74</v>
      </c>
    </row>
    <row r="21598" spans="9:9" x14ac:dyDescent="0.2">
      <c r="I21598" s="137" t="s">
        <v>74</v>
      </c>
    </row>
    <row r="21599" spans="9:9" x14ac:dyDescent="0.2">
      <c r="I21599" s="137" t="s">
        <v>74</v>
      </c>
    </row>
    <row r="21600" spans="9:9" x14ac:dyDescent="0.2">
      <c r="I21600" s="137" t="s">
        <v>74</v>
      </c>
    </row>
    <row r="21601" spans="9:9" x14ac:dyDescent="0.2">
      <c r="I21601" s="137" t="s">
        <v>74</v>
      </c>
    </row>
    <row r="21602" spans="9:9" x14ac:dyDescent="0.2">
      <c r="I21602" s="137" t="s">
        <v>74</v>
      </c>
    </row>
    <row r="21603" spans="9:9" x14ac:dyDescent="0.2">
      <c r="I21603" s="137" t="s">
        <v>74</v>
      </c>
    </row>
    <row r="21604" spans="9:9" x14ac:dyDescent="0.2">
      <c r="I21604" s="137" t="s">
        <v>74</v>
      </c>
    </row>
    <row r="21605" spans="9:9" x14ac:dyDescent="0.2">
      <c r="I21605" s="137" t="s">
        <v>74</v>
      </c>
    </row>
    <row r="21606" spans="9:9" x14ac:dyDescent="0.2">
      <c r="I21606" s="137" t="s">
        <v>74</v>
      </c>
    </row>
    <row r="21607" spans="9:9" x14ac:dyDescent="0.2">
      <c r="I21607" s="137" t="s">
        <v>74</v>
      </c>
    </row>
    <row r="21608" spans="9:9" x14ac:dyDescent="0.2">
      <c r="I21608" s="137" t="s">
        <v>74</v>
      </c>
    </row>
    <row r="21609" spans="9:9" x14ac:dyDescent="0.2">
      <c r="I21609" s="137" t="s">
        <v>74</v>
      </c>
    </row>
    <row r="21610" spans="9:9" x14ac:dyDescent="0.2">
      <c r="I21610" s="137" t="s">
        <v>74</v>
      </c>
    </row>
    <row r="21611" spans="9:9" x14ac:dyDescent="0.2">
      <c r="I21611" s="137" t="s">
        <v>74</v>
      </c>
    </row>
    <row r="21612" spans="9:9" x14ac:dyDescent="0.2">
      <c r="I21612" s="137" t="s">
        <v>74</v>
      </c>
    </row>
    <row r="21613" spans="9:9" x14ac:dyDescent="0.2">
      <c r="I21613" s="137" t="s">
        <v>74</v>
      </c>
    </row>
    <row r="21614" spans="9:9" x14ac:dyDescent="0.2">
      <c r="I21614" s="137" t="s">
        <v>74</v>
      </c>
    </row>
    <row r="21615" spans="9:9" x14ac:dyDescent="0.2">
      <c r="I21615" s="137" t="s">
        <v>74</v>
      </c>
    </row>
    <row r="21616" spans="9:9" x14ac:dyDescent="0.2">
      <c r="I21616" s="137" t="s">
        <v>74</v>
      </c>
    </row>
    <row r="21617" spans="9:9" x14ac:dyDescent="0.2">
      <c r="I21617" s="137" t="s">
        <v>74</v>
      </c>
    </row>
    <row r="21618" spans="9:9" x14ac:dyDescent="0.2">
      <c r="I21618" s="137" t="s">
        <v>74</v>
      </c>
    </row>
    <row r="21619" spans="9:9" x14ac:dyDescent="0.2">
      <c r="I21619" s="137" t="s">
        <v>74</v>
      </c>
    </row>
    <row r="21620" spans="9:9" x14ac:dyDescent="0.2">
      <c r="I21620" s="137" t="s">
        <v>74</v>
      </c>
    </row>
    <row r="21621" spans="9:9" x14ac:dyDescent="0.2">
      <c r="I21621" s="137" t="s">
        <v>74</v>
      </c>
    </row>
    <row r="21622" spans="9:9" x14ac:dyDescent="0.2">
      <c r="I21622" s="137" t="s">
        <v>74</v>
      </c>
    </row>
    <row r="21623" spans="9:9" x14ac:dyDescent="0.2">
      <c r="I21623" s="137" t="s">
        <v>74</v>
      </c>
    </row>
    <row r="21624" spans="9:9" x14ac:dyDescent="0.2">
      <c r="I21624" s="137" t="s">
        <v>74</v>
      </c>
    </row>
    <row r="21625" spans="9:9" x14ac:dyDescent="0.2">
      <c r="I21625" s="137" t="s">
        <v>74</v>
      </c>
    </row>
    <row r="21626" spans="9:9" x14ac:dyDescent="0.2">
      <c r="I21626" s="137" t="s">
        <v>74</v>
      </c>
    </row>
    <row r="21627" spans="9:9" x14ac:dyDescent="0.2">
      <c r="I21627" s="137" t="s">
        <v>74</v>
      </c>
    </row>
    <row r="21628" spans="9:9" x14ac:dyDescent="0.2">
      <c r="I21628" s="137" t="s">
        <v>74</v>
      </c>
    </row>
    <row r="21629" spans="9:9" x14ac:dyDescent="0.2">
      <c r="I21629" s="137" t="s">
        <v>74</v>
      </c>
    </row>
    <row r="21630" spans="9:9" x14ac:dyDescent="0.2">
      <c r="I21630" s="137" t="s">
        <v>74</v>
      </c>
    </row>
    <row r="21631" spans="9:9" x14ac:dyDescent="0.2">
      <c r="I21631" s="137" t="s">
        <v>74</v>
      </c>
    </row>
    <row r="21632" spans="9:9" x14ac:dyDescent="0.2">
      <c r="I21632" s="137" t="s">
        <v>74</v>
      </c>
    </row>
    <row r="21633" spans="9:9" x14ac:dyDescent="0.2">
      <c r="I21633" s="137" t="s">
        <v>74</v>
      </c>
    </row>
    <row r="21634" spans="9:9" x14ac:dyDescent="0.2">
      <c r="I21634" s="137" t="s">
        <v>74</v>
      </c>
    </row>
    <row r="21635" spans="9:9" x14ac:dyDescent="0.2">
      <c r="I21635" s="137" t="s">
        <v>74</v>
      </c>
    </row>
    <row r="21636" spans="9:9" x14ac:dyDescent="0.2">
      <c r="I21636" s="137" t="s">
        <v>74</v>
      </c>
    </row>
    <row r="21637" spans="9:9" x14ac:dyDescent="0.2">
      <c r="I21637" s="137" t="s">
        <v>74</v>
      </c>
    </row>
    <row r="21638" spans="9:9" x14ac:dyDescent="0.2">
      <c r="I21638" s="137" t="s">
        <v>74</v>
      </c>
    </row>
    <row r="21639" spans="9:9" x14ac:dyDescent="0.2">
      <c r="I21639" s="137" t="s">
        <v>74</v>
      </c>
    </row>
    <row r="21640" spans="9:9" x14ac:dyDescent="0.2">
      <c r="I21640" s="137" t="s">
        <v>74</v>
      </c>
    </row>
    <row r="21641" spans="9:9" x14ac:dyDescent="0.2">
      <c r="I21641" s="137" t="s">
        <v>74</v>
      </c>
    </row>
    <row r="21642" spans="9:9" x14ac:dyDescent="0.2">
      <c r="I21642" s="137" t="s">
        <v>74</v>
      </c>
    </row>
    <row r="21643" spans="9:9" x14ac:dyDescent="0.2">
      <c r="I21643" s="137" t="s">
        <v>74</v>
      </c>
    </row>
    <row r="21644" spans="9:9" x14ac:dyDescent="0.2">
      <c r="I21644" s="137" t="s">
        <v>74</v>
      </c>
    </row>
    <row r="21645" spans="9:9" x14ac:dyDescent="0.2">
      <c r="I21645" s="137" t="s">
        <v>74</v>
      </c>
    </row>
    <row r="21646" spans="9:9" x14ac:dyDescent="0.2">
      <c r="I21646" s="137" t="s">
        <v>74</v>
      </c>
    </row>
    <row r="21647" spans="9:9" x14ac:dyDescent="0.2">
      <c r="I21647" s="137" t="s">
        <v>74</v>
      </c>
    </row>
    <row r="21648" spans="9:9" x14ac:dyDescent="0.2">
      <c r="I21648" s="137" t="s">
        <v>74</v>
      </c>
    </row>
    <row r="21649" spans="9:9" x14ac:dyDescent="0.2">
      <c r="I21649" s="137" t="s">
        <v>74</v>
      </c>
    </row>
    <row r="21650" spans="9:9" x14ac:dyDescent="0.2">
      <c r="I21650" s="137" t="s">
        <v>74</v>
      </c>
    </row>
    <row r="21651" spans="9:9" x14ac:dyDescent="0.2">
      <c r="I21651" s="137" t="s">
        <v>74</v>
      </c>
    </row>
    <row r="21652" spans="9:9" x14ac:dyDescent="0.2">
      <c r="I21652" s="137" t="s">
        <v>74</v>
      </c>
    </row>
    <row r="21653" spans="9:9" x14ac:dyDescent="0.2">
      <c r="I21653" s="137" t="s">
        <v>74</v>
      </c>
    </row>
    <row r="21654" spans="9:9" x14ac:dyDescent="0.2">
      <c r="I21654" s="137" t="s">
        <v>74</v>
      </c>
    </row>
    <row r="21655" spans="9:9" x14ac:dyDescent="0.2">
      <c r="I21655" s="137" t="s">
        <v>74</v>
      </c>
    </row>
    <row r="21656" spans="9:9" x14ac:dyDescent="0.2">
      <c r="I21656" s="137" t="s">
        <v>74</v>
      </c>
    </row>
    <row r="21657" spans="9:9" x14ac:dyDescent="0.2">
      <c r="I21657" s="137" t="s">
        <v>74</v>
      </c>
    </row>
    <row r="21658" spans="9:9" x14ac:dyDescent="0.2">
      <c r="I21658" s="137" t="s">
        <v>74</v>
      </c>
    </row>
    <row r="21659" spans="9:9" x14ac:dyDescent="0.2">
      <c r="I21659" s="137" t="s">
        <v>74</v>
      </c>
    </row>
    <row r="21660" spans="9:9" x14ac:dyDescent="0.2">
      <c r="I21660" s="137" t="s">
        <v>74</v>
      </c>
    </row>
    <row r="21661" spans="9:9" x14ac:dyDescent="0.2">
      <c r="I21661" s="137" t="s">
        <v>74</v>
      </c>
    </row>
    <row r="21662" spans="9:9" x14ac:dyDescent="0.2">
      <c r="I21662" s="137" t="s">
        <v>74</v>
      </c>
    </row>
    <row r="21663" spans="9:9" x14ac:dyDescent="0.2">
      <c r="I21663" s="137" t="s">
        <v>74</v>
      </c>
    </row>
    <row r="21664" spans="9:9" x14ac:dyDescent="0.2">
      <c r="I21664" s="137" t="s">
        <v>74</v>
      </c>
    </row>
    <row r="21665" spans="9:9" x14ac:dyDescent="0.2">
      <c r="I21665" s="137" t="s">
        <v>74</v>
      </c>
    </row>
    <row r="21666" spans="9:9" x14ac:dyDescent="0.2">
      <c r="I21666" s="137" t="s">
        <v>74</v>
      </c>
    </row>
    <row r="21667" spans="9:9" x14ac:dyDescent="0.2">
      <c r="I21667" s="137" t="s">
        <v>74</v>
      </c>
    </row>
    <row r="21668" spans="9:9" x14ac:dyDescent="0.2">
      <c r="I21668" s="137" t="s">
        <v>74</v>
      </c>
    </row>
    <row r="21669" spans="9:9" x14ac:dyDescent="0.2">
      <c r="I21669" s="137" t="s">
        <v>74</v>
      </c>
    </row>
    <row r="21670" spans="9:9" x14ac:dyDescent="0.2">
      <c r="I21670" s="137" t="s">
        <v>74</v>
      </c>
    </row>
    <row r="21671" spans="9:9" x14ac:dyDescent="0.2">
      <c r="I21671" s="137" t="s">
        <v>74</v>
      </c>
    </row>
    <row r="21672" spans="9:9" x14ac:dyDescent="0.2">
      <c r="I21672" s="137" t="s">
        <v>74</v>
      </c>
    </row>
    <row r="21673" spans="9:9" x14ac:dyDescent="0.2">
      <c r="I21673" s="137" t="s">
        <v>74</v>
      </c>
    </row>
    <row r="21674" spans="9:9" x14ac:dyDescent="0.2">
      <c r="I21674" s="137" t="s">
        <v>74</v>
      </c>
    </row>
    <row r="21675" spans="9:9" x14ac:dyDescent="0.2">
      <c r="I21675" s="137" t="s">
        <v>74</v>
      </c>
    </row>
    <row r="21676" spans="9:9" x14ac:dyDescent="0.2">
      <c r="I21676" s="137" t="s">
        <v>74</v>
      </c>
    </row>
    <row r="21677" spans="9:9" x14ac:dyDescent="0.2">
      <c r="I21677" s="137" t="s">
        <v>74</v>
      </c>
    </row>
    <row r="21678" spans="9:9" x14ac:dyDescent="0.2">
      <c r="I21678" s="137" t="s">
        <v>74</v>
      </c>
    </row>
    <row r="21679" spans="9:9" x14ac:dyDescent="0.2">
      <c r="I21679" s="137" t="s">
        <v>74</v>
      </c>
    </row>
    <row r="21680" spans="9:9" x14ac:dyDescent="0.2">
      <c r="I21680" s="137" t="s">
        <v>74</v>
      </c>
    </row>
    <row r="21681" spans="9:9" x14ac:dyDescent="0.2">
      <c r="I21681" s="137" t="s">
        <v>74</v>
      </c>
    </row>
    <row r="21682" spans="9:9" x14ac:dyDescent="0.2">
      <c r="I21682" s="137" t="s">
        <v>74</v>
      </c>
    </row>
    <row r="21683" spans="9:9" x14ac:dyDescent="0.2">
      <c r="I21683" s="137" t="s">
        <v>74</v>
      </c>
    </row>
    <row r="21684" spans="9:9" x14ac:dyDescent="0.2">
      <c r="I21684" s="137" t="s">
        <v>74</v>
      </c>
    </row>
    <row r="21685" spans="9:9" x14ac:dyDescent="0.2">
      <c r="I21685" s="137" t="s">
        <v>74</v>
      </c>
    </row>
    <row r="21686" spans="9:9" x14ac:dyDescent="0.2">
      <c r="I21686" s="137" t="s">
        <v>74</v>
      </c>
    </row>
    <row r="21687" spans="9:9" x14ac:dyDescent="0.2">
      <c r="I21687" s="137" t="s">
        <v>74</v>
      </c>
    </row>
    <row r="21688" spans="9:9" x14ac:dyDescent="0.2">
      <c r="I21688" s="137" t="s">
        <v>74</v>
      </c>
    </row>
    <row r="21689" spans="9:9" x14ac:dyDescent="0.2">
      <c r="I21689" s="137" t="s">
        <v>74</v>
      </c>
    </row>
    <row r="21690" spans="9:9" x14ac:dyDescent="0.2">
      <c r="I21690" s="137" t="s">
        <v>74</v>
      </c>
    </row>
    <row r="21691" spans="9:9" x14ac:dyDescent="0.2">
      <c r="I21691" s="137" t="s">
        <v>74</v>
      </c>
    </row>
    <row r="21692" spans="9:9" x14ac:dyDescent="0.2">
      <c r="I21692" s="137" t="s">
        <v>74</v>
      </c>
    </row>
    <row r="21693" spans="9:9" x14ac:dyDescent="0.2">
      <c r="I21693" s="137" t="s">
        <v>74</v>
      </c>
    </row>
    <row r="21694" spans="9:9" x14ac:dyDescent="0.2">
      <c r="I21694" s="137" t="s">
        <v>74</v>
      </c>
    </row>
    <row r="21695" spans="9:9" x14ac:dyDescent="0.2">
      <c r="I21695" s="137" t="s">
        <v>74</v>
      </c>
    </row>
    <row r="21696" spans="9:9" x14ac:dyDescent="0.2">
      <c r="I21696" s="137" t="s">
        <v>74</v>
      </c>
    </row>
    <row r="21697" spans="9:9" x14ac:dyDescent="0.2">
      <c r="I21697" s="137" t="s">
        <v>74</v>
      </c>
    </row>
    <row r="21698" spans="9:9" x14ac:dyDescent="0.2">
      <c r="I21698" s="137" t="s">
        <v>74</v>
      </c>
    </row>
    <row r="21699" spans="9:9" x14ac:dyDescent="0.2">
      <c r="I21699" s="137" t="s">
        <v>74</v>
      </c>
    </row>
    <row r="21700" spans="9:9" x14ac:dyDescent="0.2">
      <c r="I21700" s="137" t="s">
        <v>74</v>
      </c>
    </row>
    <row r="21701" spans="9:9" x14ac:dyDescent="0.2">
      <c r="I21701" s="137" t="s">
        <v>74</v>
      </c>
    </row>
    <row r="21702" spans="9:9" x14ac:dyDescent="0.2">
      <c r="I21702" s="137" t="s">
        <v>74</v>
      </c>
    </row>
    <row r="21703" spans="9:9" x14ac:dyDescent="0.2">
      <c r="I21703" s="137" t="s">
        <v>74</v>
      </c>
    </row>
    <row r="21704" spans="9:9" x14ac:dyDescent="0.2">
      <c r="I21704" s="137" t="s">
        <v>74</v>
      </c>
    </row>
    <row r="21705" spans="9:9" x14ac:dyDescent="0.2">
      <c r="I21705" s="137" t="s">
        <v>74</v>
      </c>
    </row>
    <row r="21706" spans="9:9" x14ac:dyDescent="0.2">
      <c r="I21706" s="137" t="s">
        <v>74</v>
      </c>
    </row>
    <row r="21707" spans="9:9" x14ac:dyDescent="0.2">
      <c r="I21707" s="137" t="s">
        <v>74</v>
      </c>
    </row>
    <row r="21708" spans="9:9" x14ac:dyDescent="0.2">
      <c r="I21708" s="137" t="s">
        <v>74</v>
      </c>
    </row>
    <row r="21709" spans="9:9" x14ac:dyDescent="0.2">
      <c r="I21709" s="137" t="s">
        <v>74</v>
      </c>
    </row>
    <row r="21710" spans="9:9" x14ac:dyDescent="0.2">
      <c r="I21710" s="137" t="s">
        <v>74</v>
      </c>
    </row>
    <row r="21711" spans="9:9" x14ac:dyDescent="0.2">
      <c r="I21711" s="137" t="s">
        <v>74</v>
      </c>
    </row>
    <row r="21712" spans="9:9" x14ac:dyDescent="0.2">
      <c r="I21712" s="137" t="s">
        <v>74</v>
      </c>
    </row>
    <row r="21713" spans="9:9" x14ac:dyDescent="0.2">
      <c r="I21713" s="137" t="s">
        <v>74</v>
      </c>
    </row>
    <row r="21714" spans="9:9" x14ac:dyDescent="0.2">
      <c r="I21714" s="137" t="s">
        <v>74</v>
      </c>
    </row>
    <row r="21715" spans="9:9" x14ac:dyDescent="0.2">
      <c r="I21715" s="137" t="s">
        <v>74</v>
      </c>
    </row>
    <row r="21716" spans="9:9" x14ac:dyDescent="0.2">
      <c r="I21716" s="137" t="s">
        <v>74</v>
      </c>
    </row>
    <row r="21717" spans="9:9" x14ac:dyDescent="0.2">
      <c r="I21717" s="137" t="s">
        <v>74</v>
      </c>
    </row>
    <row r="21718" spans="9:9" x14ac:dyDescent="0.2">
      <c r="I21718" s="137" t="s">
        <v>74</v>
      </c>
    </row>
    <row r="21719" spans="9:9" x14ac:dyDescent="0.2">
      <c r="I21719" s="137" t="s">
        <v>74</v>
      </c>
    </row>
    <row r="21720" spans="9:9" x14ac:dyDescent="0.2">
      <c r="I21720" s="137" t="s">
        <v>74</v>
      </c>
    </row>
    <row r="21721" spans="9:9" x14ac:dyDescent="0.2">
      <c r="I21721" s="137" t="s">
        <v>74</v>
      </c>
    </row>
    <row r="21722" spans="9:9" x14ac:dyDescent="0.2">
      <c r="I21722" s="137" t="s">
        <v>74</v>
      </c>
    </row>
    <row r="21723" spans="9:9" x14ac:dyDescent="0.2">
      <c r="I21723" s="137" t="s">
        <v>74</v>
      </c>
    </row>
    <row r="21724" spans="9:9" x14ac:dyDescent="0.2">
      <c r="I21724" s="137" t="s">
        <v>74</v>
      </c>
    </row>
    <row r="21725" spans="9:9" x14ac:dyDescent="0.2">
      <c r="I21725" s="137" t="s">
        <v>74</v>
      </c>
    </row>
    <row r="21726" spans="9:9" x14ac:dyDescent="0.2">
      <c r="I21726" s="137" t="s">
        <v>74</v>
      </c>
    </row>
    <row r="21727" spans="9:9" x14ac:dyDescent="0.2">
      <c r="I21727" s="137" t="s">
        <v>74</v>
      </c>
    </row>
    <row r="21728" spans="9:9" x14ac:dyDescent="0.2">
      <c r="I21728" s="137" t="s">
        <v>74</v>
      </c>
    </row>
    <row r="21729" spans="9:9" x14ac:dyDescent="0.2">
      <c r="I21729" s="137" t="s">
        <v>74</v>
      </c>
    </row>
    <row r="21730" spans="9:9" x14ac:dyDescent="0.2">
      <c r="I21730" s="137" t="s">
        <v>74</v>
      </c>
    </row>
    <row r="21731" spans="9:9" x14ac:dyDescent="0.2">
      <c r="I21731" s="137" t="s">
        <v>74</v>
      </c>
    </row>
    <row r="21732" spans="9:9" x14ac:dyDescent="0.2">
      <c r="I21732" s="137" t="s">
        <v>74</v>
      </c>
    </row>
    <row r="21733" spans="9:9" x14ac:dyDescent="0.2">
      <c r="I21733" s="137" t="s">
        <v>74</v>
      </c>
    </row>
    <row r="21734" spans="9:9" x14ac:dyDescent="0.2">
      <c r="I21734" s="137" t="s">
        <v>74</v>
      </c>
    </row>
    <row r="21735" spans="9:9" x14ac:dyDescent="0.2">
      <c r="I21735" s="137" t="s">
        <v>74</v>
      </c>
    </row>
    <row r="21736" spans="9:9" x14ac:dyDescent="0.2">
      <c r="I21736" s="137" t="s">
        <v>74</v>
      </c>
    </row>
    <row r="21737" spans="9:9" x14ac:dyDescent="0.2">
      <c r="I21737" s="137" t="s">
        <v>74</v>
      </c>
    </row>
    <row r="21738" spans="9:9" x14ac:dyDescent="0.2">
      <c r="I21738" s="137" t="s">
        <v>74</v>
      </c>
    </row>
    <row r="21739" spans="9:9" x14ac:dyDescent="0.2">
      <c r="I21739" s="137" t="s">
        <v>74</v>
      </c>
    </row>
    <row r="21740" spans="9:9" x14ac:dyDescent="0.2">
      <c r="I21740" s="137" t="s">
        <v>74</v>
      </c>
    </row>
    <row r="21741" spans="9:9" x14ac:dyDescent="0.2">
      <c r="I21741" s="137" t="s">
        <v>74</v>
      </c>
    </row>
    <row r="21742" spans="9:9" x14ac:dyDescent="0.2">
      <c r="I21742" s="137" t="s">
        <v>74</v>
      </c>
    </row>
    <row r="21743" spans="9:9" x14ac:dyDescent="0.2">
      <c r="I21743" s="137" t="s">
        <v>74</v>
      </c>
    </row>
    <row r="21744" spans="9:9" x14ac:dyDescent="0.2">
      <c r="I21744" s="137" t="s">
        <v>74</v>
      </c>
    </row>
    <row r="21745" spans="9:9" x14ac:dyDescent="0.2">
      <c r="I21745" s="137" t="s">
        <v>74</v>
      </c>
    </row>
    <row r="21746" spans="9:9" x14ac:dyDescent="0.2">
      <c r="I21746" s="137" t="s">
        <v>74</v>
      </c>
    </row>
    <row r="21747" spans="9:9" x14ac:dyDescent="0.2">
      <c r="I21747" s="137" t="s">
        <v>74</v>
      </c>
    </row>
    <row r="21748" spans="9:9" x14ac:dyDescent="0.2">
      <c r="I21748" s="137" t="s">
        <v>74</v>
      </c>
    </row>
    <row r="21749" spans="9:9" x14ac:dyDescent="0.2">
      <c r="I21749" s="137" t="s">
        <v>74</v>
      </c>
    </row>
    <row r="21750" spans="9:9" x14ac:dyDescent="0.2">
      <c r="I21750" s="137" t="s">
        <v>74</v>
      </c>
    </row>
    <row r="21751" spans="9:9" x14ac:dyDescent="0.2">
      <c r="I21751" s="137" t="s">
        <v>74</v>
      </c>
    </row>
    <row r="21752" spans="9:9" x14ac:dyDescent="0.2">
      <c r="I21752" s="137" t="s">
        <v>74</v>
      </c>
    </row>
    <row r="21753" spans="9:9" x14ac:dyDescent="0.2">
      <c r="I21753" s="137" t="s">
        <v>74</v>
      </c>
    </row>
    <row r="21754" spans="9:9" x14ac:dyDescent="0.2">
      <c r="I21754" s="137" t="s">
        <v>74</v>
      </c>
    </row>
    <row r="21755" spans="9:9" x14ac:dyDescent="0.2">
      <c r="I21755" s="137" t="s">
        <v>74</v>
      </c>
    </row>
    <row r="21756" spans="9:9" x14ac:dyDescent="0.2">
      <c r="I21756" s="137" t="s">
        <v>74</v>
      </c>
    </row>
    <row r="21757" spans="9:9" x14ac:dyDescent="0.2">
      <c r="I21757" s="137" t="s">
        <v>74</v>
      </c>
    </row>
    <row r="21758" spans="9:9" x14ac:dyDescent="0.2">
      <c r="I21758" s="137" t="s">
        <v>74</v>
      </c>
    </row>
    <row r="21759" spans="9:9" x14ac:dyDescent="0.2">
      <c r="I21759" s="137" t="s">
        <v>74</v>
      </c>
    </row>
    <row r="21760" spans="9:9" x14ac:dyDescent="0.2">
      <c r="I21760" s="137" t="s">
        <v>74</v>
      </c>
    </row>
    <row r="21761" spans="9:9" x14ac:dyDescent="0.2">
      <c r="I21761" s="137" t="s">
        <v>74</v>
      </c>
    </row>
    <row r="21762" spans="9:9" x14ac:dyDescent="0.2">
      <c r="I21762" s="137" t="s">
        <v>74</v>
      </c>
    </row>
    <row r="21763" spans="9:9" x14ac:dyDescent="0.2">
      <c r="I21763" s="137" t="s">
        <v>74</v>
      </c>
    </row>
    <row r="21764" spans="9:9" x14ac:dyDescent="0.2">
      <c r="I21764" s="137" t="s">
        <v>74</v>
      </c>
    </row>
    <row r="21765" spans="9:9" x14ac:dyDescent="0.2">
      <c r="I21765" s="137" t="s">
        <v>74</v>
      </c>
    </row>
    <row r="21766" spans="9:9" x14ac:dyDescent="0.2">
      <c r="I21766" s="137" t="s">
        <v>74</v>
      </c>
    </row>
    <row r="21767" spans="9:9" x14ac:dyDescent="0.2">
      <c r="I21767" s="137" t="s">
        <v>74</v>
      </c>
    </row>
    <row r="21768" spans="9:9" x14ac:dyDescent="0.2">
      <c r="I21768" s="137" t="s">
        <v>74</v>
      </c>
    </row>
    <row r="21769" spans="9:9" x14ac:dyDescent="0.2">
      <c r="I21769" s="137" t="s">
        <v>74</v>
      </c>
    </row>
    <row r="21770" spans="9:9" x14ac:dyDescent="0.2">
      <c r="I21770" s="137" t="s">
        <v>74</v>
      </c>
    </row>
    <row r="21771" spans="9:9" x14ac:dyDescent="0.2">
      <c r="I21771" s="137" t="s">
        <v>74</v>
      </c>
    </row>
    <row r="21772" spans="9:9" x14ac:dyDescent="0.2">
      <c r="I21772" s="137" t="s">
        <v>74</v>
      </c>
    </row>
    <row r="21773" spans="9:9" x14ac:dyDescent="0.2">
      <c r="I21773" s="137" t="s">
        <v>74</v>
      </c>
    </row>
    <row r="21774" spans="9:9" x14ac:dyDescent="0.2">
      <c r="I21774" s="137" t="s">
        <v>74</v>
      </c>
    </row>
    <row r="21775" spans="9:9" x14ac:dyDescent="0.2">
      <c r="I21775" s="137" t="s">
        <v>74</v>
      </c>
    </row>
    <row r="21776" spans="9:9" x14ac:dyDescent="0.2">
      <c r="I21776" s="137" t="s">
        <v>74</v>
      </c>
    </row>
    <row r="21777" spans="9:9" x14ac:dyDescent="0.2">
      <c r="I21777" s="137" t="s">
        <v>74</v>
      </c>
    </row>
    <row r="21778" spans="9:9" x14ac:dyDescent="0.2">
      <c r="I21778" s="137" t="s">
        <v>74</v>
      </c>
    </row>
    <row r="21779" spans="9:9" x14ac:dyDescent="0.2">
      <c r="I21779" s="137" t="s">
        <v>74</v>
      </c>
    </row>
    <row r="21780" spans="9:9" x14ac:dyDescent="0.2">
      <c r="I21780" s="137" t="s">
        <v>74</v>
      </c>
    </row>
    <row r="21781" spans="9:9" x14ac:dyDescent="0.2">
      <c r="I21781" s="137" t="s">
        <v>74</v>
      </c>
    </row>
    <row r="21782" spans="9:9" x14ac:dyDescent="0.2">
      <c r="I21782" s="137" t="s">
        <v>74</v>
      </c>
    </row>
    <row r="21783" spans="9:9" x14ac:dyDescent="0.2">
      <c r="I21783" s="137" t="s">
        <v>74</v>
      </c>
    </row>
    <row r="21784" spans="9:9" x14ac:dyDescent="0.2">
      <c r="I21784" s="137" t="s">
        <v>74</v>
      </c>
    </row>
    <row r="21785" spans="9:9" x14ac:dyDescent="0.2">
      <c r="I21785" s="137" t="s">
        <v>74</v>
      </c>
    </row>
    <row r="21786" spans="9:9" x14ac:dyDescent="0.2">
      <c r="I21786" s="137" t="s">
        <v>74</v>
      </c>
    </row>
    <row r="21787" spans="9:9" x14ac:dyDescent="0.2">
      <c r="I21787" s="137" t="s">
        <v>74</v>
      </c>
    </row>
    <row r="21788" spans="9:9" x14ac:dyDescent="0.2">
      <c r="I21788" s="137" t="s">
        <v>74</v>
      </c>
    </row>
    <row r="21789" spans="9:9" x14ac:dyDescent="0.2">
      <c r="I21789" s="137" t="s">
        <v>74</v>
      </c>
    </row>
    <row r="21790" spans="9:9" x14ac:dyDescent="0.2">
      <c r="I21790" s="137" t="s">
        <v>74</v>
      </c>
    </row>
    <row r="21791" spans="9:9" x14ac:dyDescent="0.2">
      <c r="I21791" s="137" t="s">
        <v>74</v>
      </c>
    </row>
    <row r="21792" spans="9:9" x14ac:dyDescent="0.2">
      <c r="I21792" s="137" t="s">
        <v>74</v>
      </c>
    </row>
    <row r="21793" spans="9:9" x14ac:dyDescent="0.2">
      <c r="I21793" s="137" t="s">
        <v>74</v>
      </c>
    </row>
    <row r="21794" spans="9:9" x14ac:dyDescent="0.2">
      <c r="I21794" s="137" t="s">
        <v>74</v>
      </c>
    </row>
    <row r="21795" spans="9:9" x14ac:dyDescent="0.2">
      <c r="I21795" s="137" t="s">
        <v>74</v>
      </c>
    </row>
    <row r="21796" spans="9:9" x14ac:dyDescent="0.2">
      <c r="I21796" s="137" t="s">
        <v>74</v>
      </c>
    </row>
    <row r="21797" spans="9:9" x14ac:dyDescent="0.2">
      <c r="I21797" s="137" t="s">
        <v>74</v>
      </c>
    </row>
    <row r="21798" spans="9:9" x14ac:dyDescent="0.2">
      <c r="I21798" s="137" t="s">
        <v>74</v>
      </c>
    </row>
    <row r="21799" spans="9:9" x14ac:dyDescent="0.2">
      <c r="I21799" s="137" t="s">
        <v>74</v>
      </c>
    </row>
    <row r="21800" spans="9:9" x14ac:dyDescent="0.2">
      <c r="I21800" s="137" t="s">
        <v>74</v>
      </c>
    </row>
    <row r="21801" spans="9:9" x14ac:dyDescent="0.2">
      <c r="I21801" s="137" t="s">
        <v>74</v>
      </c>
    </row>
    <row r="21802" spans="9:9" x14ac:dyDescent="0.2">
      <c r="I21802" s="137" t="s">
        <v>74</v>
      </c>
    </row>
    <row r="21803" spans="9:9" x14ac:dyDescent="0.2">
      <c r="I21803" s="137" t="s">
        <v>74</v>
      </c>
    </row>
    <row r="21804" spans="9:9" x14ac:dyDescent="0.2">
      <c r="I21804" s="137" t="s">
        <v>74</v>
      </c>
    </row>
    <row r="21805" spans="9:9" x14ac:dyDescent="0.2">
      <c r="I21805" s="137" t="s">
        <v>74</v>
      </c>
    </row>
    <row r="21806" spans="9:9" x14ac:dyDescent="0.2">
      <c r="I21806" s="137" t="s">
        <v>74</v>
      </c>
    </row>
    <row r="21807" spans="9:9" x14ac:dyDescent="0.2">
      <c r="I21807" s="137" t="s">
        <v>74</v>
      </c>
    </row>
    <row r="21808" spans="9:9" x14ac:dyDescent="0.2">
      <c r="I21808" s="137" t="s">
        <v>74</v>
      </c>
    </row>
    <row r="21809" spans="9:9" x14ac:dyDescent="0.2">
      <c r="I21809" s="137" t="s">
        <v>74</v>
      </c>
    </row>
    <row r="21810" spans="9:9" x14ac:dyDescent="0.2">
      <c r="I21810" s="137" t="s">
        <v>74</v>
      </c>
    </row>
    <row r="21811" spans="9:9" x14ac:dyDescent="0.2">
      <c r="I21811" s="137" t="s">
        <v>74</v>
      </c>
    </row>
    <row r="21812" spans="9:9" x14ac:dyDescent="0.2">
      <c r="I21812" s="137" t="s">
        <v>74</v>
      </c>
    </row>
    <row r="21813" spans="9:9" x14ac:dyDescent="0.2">
      <c r="I21813" s="137" t="s">
        <v>74</v>
      </c>
    </row>
    <row r="21814" spans="9:9" x14ac:dyDescent="0.2">
      <c r="I21814" s="137" t="s">
        <v>74</v>
      </c>
    </row>
    <row r="21815" spans="9:9" x14ac:dyDescent="0.2">
      <c r="I21815" s="137" t="s">
        <v>74</v>
      </c>
    </row>
    <row r="21816" spans="9:9" x14ac:dyDescent="0.2">
      <c r="I21816" s="137" t="s">
        <v>74</v>
      </c>
    </row>
    <row r="21817" spans="9:9" x14ac:dyDescent="0.2">
      <c r="I21817" s="137" t="s">
        <v>74</v>
      </c>
    </row>
    <row r="21818" spans="9:9" x14ac:dyDescent="0.2">
      <c r="I21818" s="137" t="s">
        <v>74</v>
      </c>
    </row>
    <row r="21819" spans="9:9" x14ac:dyDescent="0.2">
      <c r="I21819" s="137" t="s">
        <v>74</v>
      </c>
    </row>
    <row r="21820" spans="9:9" x14ac:dyDescent="0.2">
      <c r="I21820" s="137" t="s">
        <v>74</v>
      </c>
    </row>
    <row r="21821" spans="9:9" x14ac:dyDescent="0.2">
      <c r="I21821" s="137" t="s">
        <v>74</v>
      </c>
    </row>
    <row r="21822" spans="9:9" x14ac:dyDescent="0.2">
      <c r="I21822" s="137" t="s">
        <v>74</v>
      </c>
    </row>
    <row r="21823" spans="9:9" x14ac:dyDescent="0.2">
      <c r="I21823" s="137" t="s">
        <v>74</v>
      </c>
    </row>
    <row r="21824" spans="9:9" x14ac:dyDescent="0.2">
      <c r="I21824" s="137" t="s">
        <v>74</v>
      </c>
    </row>
    <row r="21825" spans="9:9" x14ac:dyDescent="0.2">
      <c r="I21825" s="137" t="s">
        <v>74</v>
      </c>
    </row>
    <row r="21826" spans="9:9" x14ac:dyDescent="0.2">
      <c r="I21826" s="137" t="s">
        <v>74</v>
      </c>
    </row>
    <row r="21827" spans="9:9" x14ac:dyDescent="0.2">
      <c r="I21827" s="137" t="s">
        <v>74</v>
      </c>
    </row>
    <row r="21828" spans="9:9" x14ac:dyDescent="0.2">
      <c r="I21828" s="137" t="s">
        <v>74</v>
      </c>
    </row>
    <row r="21829" spans="9:9" x14ac:dyDescent="0.2">
      <c r="I21829" s="137" t="s">
        <v>74</v>
      </c>
    </row>
    <row r="21830" spans="9:9" x14ac:dyDescent="0.2">
      <c r="I21830" s="137" t="s">
        <v>74</v>
      </c>
    </row>
    <row r="21831" spans="9:9" x14ac:dyDescent="0.2">
      <c r="I21831" s="137" t="s">
        <v>74</v>
      </c>
    </row>
    <row r="21832" spans="9:9" x14ac:dyDescent="0.2">
      <c r="I21832" s="137" t="s">
        <v>74</v>
      </c>
    </row>
    <row r="21833" spans="9:9" x14ac:dyDescent="0.2">
      <c r="I21833" s="137" t="s">
        <v>74</v>
      </c>
    </row>
    <row r="21834" spans="9:9" x14ac:dyDescent="0.2">
      <c r="I21834" s="137" t="s">
        <v>74</v>
      </c>
    </row>
    <row r="21835" spans="9:9" x14ac:dyDescent="0.2">
      <c r="I21835" s="137" t="s">
        <v>74</v>
      </c>
    </row>
    <row r="21836" spans="9:9" x14ac:dyDescent="0.2">
      <c r="I21836" s="137" t="s">
        <v>74</v>
      </c>
    </row>
    <row r="21837" spans="9:9" x14ac:dyDescent="0.2">
      <c r="I21837" s="137" t="s">
        <v>74</v>
      </c>
    </row>
    <row r="21838" spans="9:9" x14ac:dyDescent="0.2">
      <c r="I21838" s="137" t="s">
        <v>74</v>
      </c>
    </row>
    <row r="21839" spans="9:9" x14ac:dyDescent="0.2">
      <c r="I21839" s="137" t="s">
        <v>74</v>
      </c>
    </row>
    <row r="21840" spans="9:9" x14ac:dyDescent="0.2">
      <c r="I21840" s="137" t="s">
        <v>74</v>
      </c>
    </row>
    <row r="21841" spans="9:9" x14ac:dyDescent="0.2">
      <c r="I21841" s="137" t="s">
        <v>74</v>
      </c>
    </row>
    <row r="21842" spans="9:9" x14ac:dyDescent="0.2">
      <c r="I21842" s="137" t="s">
        <v>74</v>
      </c>
    </row>
    <row r="21843" spans="9:9" x14ac:dyDescent="0.2">
      <c r="I21843" s="137" t="s">
        <v>74</v>
      </c>
    </row>
    <row r="21844" spans="9:9" x14ac:dyDescent="0.2">
      <c r="I21844" s="137" t="s">
        <v>74</v>
      </c>
    </row>
    <row r="21845" spans="9:9" x14ac:dyDescent="0.2">
      <c r="I21845" s="137" t="s">
        <v>74</v>
      </c>
    </row>
    <row r="21846" spans="9:9" x14ac:dyDescent="0.2">
      <c r="I21846" s="137" t="s">
        <v>74</v>
      </c>
    </row>
    <row r="21847" spans="9:9" x14ac:dyDescent="0.2">
      <c r="I21847" s="137" t="s">
        <v>74</v>
      </c>
    </row>
    <row r="21848" spans="9:9" x14ac:dyDescent="0.2">
      <c r="I21848" s="137" t="s">
        <v>74</v>
      </c>
    </row>
    <row r="21849" spans="9:9" x14ac:dyDescent="0.2">
      <c r="I21849" s="137" t="s">
        <v>74</v>
      </c>
    </row>
    <row r="21850" spans="9:9" x14ac:dyDescent="0.2">
      <c r="I21850" s="137" t="s">
        <v>74</v>
      </c>
    </row>
    <row r="21851" spans="9:9" x14ac:dyDescent="0.2">
      <c r="I21851" s="137" t="s">
        <v>74</v>
      </c>
    </row>
    <row r="21852" spans="9:9" x14ac:dyDescent="0.2">
      <c r="I21852" s="137" t="s">
        <v>74</v>
      </c>
    </row>
    <row r="21853" spans="9:9" x14ac:dyDescent="0.2">
      <c r="I21853" s="137" t="s">
        <v>74</v>
      </c>
    </row>
    <row r="21854" spans="9:9" x14ac:dyDescent="0.2">
      <c r="I21854" s="137" t="s">
        <v>74</v>
      </c>
    </row>
    <row r="21855" spans="9:9" x14ac:dyDescent="0.2">
      <c r="I21855" s="137" t="s">
        <v>74</v>
      </c>
    </row>
    <row r="21856" spans="9:9" x14ac:dyDescent="0.2">
      <c r="I21856" s="137" t="s">
        <v>74</v>
      </c>
    </row>
    <row r="21857" spans="9:9" x14ac:dyDescent="0.2">
      <c r="I21857" s="137" t="s">
        <v>74</v>
      </c>
    </row>
    <row r="21858" spans="9:9" x14ac:dyDescent="0.2">
      <c r="I21858" s="137" t="s">
        <v>74</v>
      </c>
    </row>
    <row r="21859" spans="9:9" x14ac:dyDescent="0.2">
      <c r="I21859" s="137" t="s">
        <v>74</v>
      </c>
    </row>
    <row r="21860" spans="9:9" x14ac:dyDescent="0.2">
      <c r="I21860" s="137" t="s">
        <v>74</v>
      </c>
    </row>
    <row r="21861" spans="9:9" x14ac:dyDescent="0.2">
      <c r="I21861" s="137" t="s">
        <v>74</v>
      </c>
    </row>
    <row r="21862" spans="9:9" x14ac:dyDescent="0.2">
      <c r="I21862" s="137" t="s">
        <v>74</v>
      </c>
    </row>
    <row r="21863" spans="9:9" x14ac:dyDescent="0.2">
      <c r="I21863" s="137" t="s">
        <v>74</v>
      </c>
    </row>
    <row r="21864" spans="9:9" x14ac:dyDescent="0.2">
      <c r="I21864" s="137" t="s">
        <v>74</v>
      </c>
    </row>
    <row r="21865" spans="9:9" x14ac:dyDescent="0.2">
      <c r="I21865" s="137" t="s">
        <v>74</v>
      </c>
    </row>
    <row r="21866" spans="9:9" x14ac:dyDescent="0.2">
      <c r="I21866" s="137" t="s">
        <v>74</v>
      </c>
    </row>
    <row r="21867" spans="9:9" x14ac:dyDescent="0.2">
      <c r="I21867" s="137" t="s">
        <v>74</v>
      </c>
    </row>
    <row r="21868" spans="9:9" x14ac:dyDescent="0.2">
      <c r="I21868" s="137" t="s">
        <v>74</v>
      </c>
    </row>
    <row r="21869" spans="9:9" x14ac:dyDescent="0.2">
      <c r="I21869" s="137" t="s">
        <v>74</v>
      </c>
    </row>
    <row r="21870" spans="9:9" x14ac:dyDescent="0.2">
      <c r="I21870" s="137" t="s">
        <v>74</v>
      </c>
    </row>
    <row r="21871" spans="9:9" x14ac:dyDescent="0.2">
      <c r="I21871" s="137" t="s">
        <v>74</v>
      </c>
    </row>
    <row r="21872" spans="9:9" x14ac:dyDescent="0.2">
      <c r="I21872" s="137" t="s">
        <v>74</v>
      </c>
    </row>
    <row r="21873" spans="9:9" x14ac:dyDescent="0.2">
      <c r="I21873" s="137" t="s">
        <v>74</v>
      </c>
    </row>
    <row r="21874" spans="9:9" x14ac:dyDescent="0.2">
      <c r="I21874" s="137" t="s">
        <v>74</v>
      </c>
    </row>
    <row r="21875" spans="9:9" x14ac:dyDescent="0.2">
      <c r="I21875" s="137" t="s">
        <v>74</v>
      </c>
    </row>
    <row r="21876" spans="9:9" x14ac:dyDescent="0.2">
      <c r="I21876" s="137" t="s">
        <v>74</v>
      </c>
    </row>
    <row r="21877" spans="9:9" x14ac:dyDescent="0.2">
      <c r="I21877" s="137" t="s">
        <v>74</v>
      </c>
    </row>
    <row r="21878" spans="9:9" x14ac:dyDescent="0.2">
      <c r="I21878" s="137" t="s">
        <v>74</v>
      </c>
    </row>
    <row r="21879" spans="9:9" x14ac:dyDescent="0.2">
      <c r="I21879" s="137" t="s">
        <v>74</v>
      </c>
    </row>
    <row r="21880" spans="9:9" x14ac:dyDescent="0.2">
      <c r="I21880" s="137" t="s">
        <v>74</v>
      </c>
    </row>
    <row r="21881" spans="9:9" x14ac:dyDescent="0.2">
      <c r="I21881" s="137" t="s">
        <v>74</v>
      </c>
    </row>
    <row r="21882" spans="9:9" x14ac:dyDescent="0.2">
      <c r="I21882" s="137" t="s">
        <v>74</v>
      </c>
    </row>
    <row r="21883" spans="9:9" x14ac:dyDescent="0.2">
      <c r="I21883" s="137" t="s">
        <v>74</v>
      </c>
    </row>
    <row r="21884" spans="9:9" x14ac:dyDescent="0.2">
      <c r="I21884" s="137" t="s">
        <v>74</v>
      </c>
    </row>
    <row r="21885" spans="9:9" x14ac:dyDescent="0.2">
      <c r="I21885" s="137" t="s">
        <v>74</v>
      </c>
    </row>
    <row r="21886" spans="9:9" x14ac:dyDescent="0.2">
      <c r="I21886" s="137" t="s">
        <v>74</v>
      </c>
    </row>
    <row r="21887" spans="9:9" x14ac:dyDescent="0.2">
      <c r="I21887" s="137" t="s">
        <v>74</v>
      </c>
    </row>
    <row r="21888" spans="9:9" x14ac:dyDescent="0.2">
      <c r="I21888" s="137" t="s">
        <v>74</v>
      </c>
    </row>
    <row r="21889" spans="9:9" x14ac:dyDescent="0.2">
      <c r="I21889" s="137" t="s">
        <v>74</v>
      </c>
    </row>
    <row r="21890" spans="9:9" x14ac:dyDescent="0.2">
      <c r="I21890" s="137" t="s">
        <v>74</v>
      </c>
    </row>
    <row r="21891" spans="9:9" x14ac:dyDescent="0.2">
      <c r="I21891" s="137" t="s">
        <v>74</v>
      </c>
    </row>
    <row r="21892" spans="9:9" x14ac:dyDescent="0.2">
      <c r="I21892" s="137" t="s">
        <v>74</v>
      </c>
    </row>
    <row r="21893" spans="9:9" x14ac:dyDescent="0.2">
      <c r="I21893" s="137" t="s">
        <v>74</v>
      </c>
    </row>
    <row r="21894" spans="9:9" x14ac:dyDescent="0.2">
      <c r="I21894" s="137" t="s">
        <v>74</v>
      </c>
    </row>
    <row r="21895" spans="9:9" x14ac:dyDescent="0.2">
      <c r="I21895" s="137" t="s">
        <v>74</v>
      </c>
    </row>
    <row r="21896" spans="9:9" x14ac:dyDescent="0.2">
      <c r="I21896" s="137" t="s">
        <v>74</v>
      </c>
    </row>
    <row r="21897" spans="9:9" x14ac:dyDescent="0.2">
      <c r="I21897" s="137" t="s">
        <v>74</v>
      </c>
    </row>
    <row r="21898" spans="9:9" x14ac:dyDescent="0.2">
      <c r="I21898" s="137" t="s">
        <v>74</v>
      </c>
    </row>
    <row r="21899" spans="9:9" x14ac:dyDescent="0.2">
      <c r="I21899" s="137" t="s">
        <v>74</v>
      </c>
    </row>
    <row r="21900" spans="9:9" x14ac:dyDescent="0.2">
      <c r="I21900" s="137" t="s">
        <v>74</v>
      </c>
    </row>
    <row r="21901" spans="9:9" x14ac:dyDescent="0.2">
      <c r="I21901" s="137" t="s">
        <v>74</v>
      </c>
    </row>
    <row r="21902" spans="9:9" x14ac:dyDescent="0.2">
      <c r="I21902" s="137" t="s">
        <v>74</v>
      </c>
    </row>
    <row r="21903" spans="9:9" x14ac:dyDescent="0.2">
      <c r="I21903" s="137" t="s">
        <v>74</v>
      </c>
    </row>
    <row r="21904" spans="9:9" x14ac:dyDescent="0.2">
      <c r="I21904" s="137" t="s">
        <v>74</v>
      </c>
    </row>
    <row r="21905" spans="9:9" x14ac:dyDescent="0.2">
      <c r="I21905" s="137" t="s">
        <v>74</v>
      </c>
    </row>
    <row r="21906" spans="9:9" x14ac:dyDescent="0.2">
      <c r="I21906" s="137" t="s">
        <v>74</v>
      </c>
    </row>
    <row r="21907" spans="9:9" x14ac:dyDescent="0.2">
      <c r="I21907" s="137" t="s">
        <v>74</v>
      </c>
    </row>
    <row r="21908" spans="9:9" x14ac:dyDescent="0.2">
      <c r="I21908" s="137" t="s">
        <v>74</v>
      </c>
    </row>
    <row r="21909" spans="9:9" x14ac:dyDescent="0.2">
      <c r="I21909" s="137" t="s">
        <v>74</v>
      </c>
    </row>
    <row r="21910" spans="9:9" x14ac:dyDescent="0.2">
      <c r="I21910" s="137" t="s">
        <v>74</v>
      </c>
    </row>
    <row r="21911" spans="9:9" x14ac:dyDescent="0.2">
      <c r="I21911" s="137" t="s">
        <v>74</v>
      </c>
    </row>
    <row r="21912" spans="9:9" x14ac:dyDescent="0.2">
      <c r="I21912" s="137" t="s">
        <v>74</v>
      </c>
    </row>
    <row r="21913" spans="9:9" x14ac:dyDescent="0.2">
      <c r="I21913" s="137" t="s">
        <v>74</v>
      </c>
    </row>
    <row r="21914" spans="9:9" x14ac:dyDescent="0.2">
      <c r="I21914" s="137" t="s">
        <v>74</v>
      </c>
    </row>
    <row r="21915" spans="9:9" x14ac:dyDescent="0.2">
      <c r="I21915" s="137" t="s">
        <v>74</v>
      </c>
    </row>
    <row r="21916" spans="9:9" x14ac:dyDescent="0.2">
      <c r="I21916" s="137" t="s">
        <v>74</v>
      </c>
    </row>
    <row r="21917" spans="9:9" x14ac:dyDescent="0.2">
      <c r="I21917" s="137" t="s">
        <v>74</v>
      </c>
    </row>
    <row r="21918" spans="9:9" x14ac:dyDescent="0.2">
      <c r="I21918" s="137" t="s">
        <v>74</v>
      </c>
    </row>
    <row r="21919" spans="9:9" x14ac:dyDescent="0.2">
      <c r="I21919" s="137" t="s">
        <v>74</v>
      </c>
    </row>
    <row r="21920" spans="9:9" x14ac:dyDescent="0.2">
      <c r="I21920" s="137" t="s">
        <v>74</v>
      </c>
    </row>
    <row r="21921" spans="9:9" x14ac:dyDescent="0.2">
      <c r="I21921" s="137" t="s">
        <v>74</v>
      </c>
    </row>
    <row r="21922" spans="9:9" x14ac:dyDescent="0.2">
      <c r="I21922" s="137" t="s">
        <v>74</v>
      </c>
    </row>
    <row r="21923" spans="9:9" x14ac:dyDescent="0.2">
      <c r="I21923" s="137" t="s">
        <v>74</v>
      </c>
    </row>
    <row r="21924" spans="9:9" x14ac:dyDescent="0.2">
      <c r="I21924" s="137" t="s">
        <v>74</v>
      </c>
    </row>
    <row r="21925" spans="9:9" x14ac:dyDescent="0.2">
      <c r="I21925" s="137" t="s">
        <v>74</v>
      </c>
    </row>
    <row r="21926" spans="9:9" x14ac:dyDescent="0.2">
      <c r="I21926" s="137" t="s">
        <v>74</v>
      </c>
    </row>
    <row r="21927" spans="9:9" x14ac:dyDescent="0.2">
      <c r="I21927" s="137" t="s">
        <v>74</v>
      </c>
    </row>
    <row r="21928" spans="9:9" x14ac:dyDescent="0.2">
      <c r="I21928" s="137" t="s">
        <v>74</v>
      </c>
    </row>
    <row r="21929" spans="9:9" x14ac:dyDescent="0.2">
      <c r="I21929" s="137" t="s">
        <v>74</v>
      </c>
    </row>
    <row r="21930" spans="9:9" x14ac:dyDescent="0.2">
      <c r="I21930" s="137" t="s">
        <v>74</v>
      </c>
    </row>
    <row r="21931" spans="9:9" x14ac:dyDescent="0.2">
      <c r="I21931" s="137" t="s">
        <v>74</v>
      </c>
    </row>
    <row r="21932" spans="9:9" x14ac:dyDescent="0.2">
      <c r="I21932" s="137" t="s">
        <v>74</v>
      </c>
    </row>
    <row r="21933" spans="9:9" x14ac:dyDescent="0.2">
      <c r="I21933" s="137" t="s">
        <v>74</v>
      </c>
    </row>
    <row r="21934" spans="9:9" x14ac:dyDescent="0.2">
      <c r="I21934" s="137" t="s">
        <v>74</v>
      </c>
    </row>
    <row r="21935" spans="9:9" x14ac:dyDescent="0.2">
      <c r="I21935" s="137" t="s">
        <v>74</v>
      </c>
    </row>
    <row r="21936" spans="9:9" x14ac:dyDescent="0.2">
      <c r="I21936" s="137" t="s">
        <v>74</v>
      </c>
    </row>
    <row r="21937" spans="9:9" x14ac:dyDescent="0.2">
      <c r="I21937" s="137" t="s">
        <v>74</v>
      </c>
    </row>
    <row r="21938" spans="9:9" x14ac:dyDescent="0.2">
      <c r="I21938" s="137" t="s">
        <v>74</v>
      </c>
    </row>
    <row r="21939" spans="9:9" x14ac:dyDescent="0.2">
      <c r="I21939" s="137" t="s">
        <v>74</v>
      </c>
    </row>
    <row r="21940" spans="9:9" x14ac:dyDescent="0.2">
      <c r="I21940" s="137" t="s">
        <v>74</v>
      </c>
    </row>
    <row r="21941" spans="9:9" x14ac:dyDescent="0.2">
      <c r="I21941" s="137" t="s">
        <v>74</v>
      </c>
    </row>
    <row r="21942" spans="9:9" x14ac:dyDescent="0.2">
      <c r="I21942" s="137" t="s">
        <v>74</v>
      </c>
    </row>
    <row r="21943" spans="9:9" x14ac:dyDescent="0.2">
      <c r="I21943" s="137" t="s">
        <v>74</v>
      </c>
    </row>
    <row r="21944" spans="9:9" x14ac:dyDescent="0.2">
      <c r="I21944" s="137" t="s">
        <v>74</v>
      </c>
    </row>
    <row r="21945" spans="9:9" x14ac:dyDescent="0.2">
      <c r="I21945" s="137" t="s">
        <v>74</v>
      </c>
    </row>
    <row r="21946" spans="9:9" x14ac:dyDescent="0.2">
      <c r="I21946" s="137" t="s">
        <v>74</v>
      </c>
    </row>
    <row r="21947" spans="9:9" x14ac:dyDescent="0.2">
      <c r="I21947" s="137" t="s">
        <v>74</v>
      </c>
    </row>
    <row r="21948" spans="9:9" x14ac:dyDescent="0.2">
      <c r="I21948" s="137" t="s">
        <v>74</v>
      </c>
    </row>
    <row r="21949" spans="9:9" x14ac:dyDescent="0.2">
      <c r="I21949" s="137" t="s">
        <v>74</v>
      </c>
    </row>
    <row r="21950" spans="9:9" x14ac:dyDescent="0.2">
      <c r="I21950" s="137" t="s">
        <v>74</v>
      </c>
    </row>
    <row r="21951" spans="9:9" x14ac:dyDescent="0.2">
      <c r="I21951" s="137" t="s">
        <v>74</v>
      </c>
    </row>
    <row r="21952" spans="9:9" x14ac:dyDescent="0.2">
      <c r="I21952" s="137" t="s">
        <v>74</v>
      </c>
    </row>
    <row r="21953" spans="9:9" x14ac:dyDescent="0.2">
      <c r="I21953" s="137" t="s">
        <v>74</v>
      </c>
    </row>
    <row r="21954" spans="9:9" x14ac:dyDescent="0.2">
      <c r="I21954" s="137" t="s">
        <v>74</v>
      </c>
    </row>
    <row r="21955" spans="9:9" x14ac:dyDescent="0.2">
      <c r="I21955" s="137" t="s">
        <v>74</v>
      </c>
    </row>
    <row r="21956" spans="9:9" x14ac:dyDescent="0.2">
      <c r="I21956" s="137" t="s">
        <v>74</v>
      </c>
    </row>
    <row r="21957" spans="9:9" x14ac:dyDescent="0.2">
      <c r="I21957" s="137" t="s">
        <v>74</v>
      </c>
    </row>
    <row r="21958" spans="9:9" x14ac:dyDescent="0.2">
      <c r="I21958" s="137" t="s">
        <v>74</v>
      </c>
    </row>
    <row r="21959" spans="9:9" x14ac:dyDescent="0.2">
      <c r="I21959" s="137" t="s">
        <v>74</v>
      </c>
    </row>
    <row r="21960" spans="9:9" x14ac:dyDescent="0.2">
      <c r="I21960" s="137" t="s">
        <v>74</v>
      </c>
    </row>
    <row r="21961" spans="9:9" x14ac:dyDescent="0.2">
      <c r="I21961" s="137" t="s">
        <v>74</v>
      </c>
    </row>
    <row r="21962" spans="9:9" x14ac:dyDescent="0.2">
      <c r="I21962" s="137" t="s">
        <v>74</v>
      </c>
    </row>
    <row r="21963" spans="9:9" x14ac:dyDescent="0.2">
      <c r="I21963" s="137" t="s">
        <v>74</v>
      </c>
    </row>
    <row r="21964" spans="9:9" x14ac:dyDescent="0.2">
      <c r="I21964" s="137" t="s">
        <v>74</v>
      </c>
    </row>
    <row r="21965" spans="9:9" x14ac:dyDescent="0.2">
      <c r="I21965" s="137" t="s">
        <v>74</v>
      </c>
    </row>
    <row r="21966" spans="9:9" x14ac:dyDescent="0.2">
      <c r="I21966" s="137" t="s">
        <v>74</v>
      </c>
    </row>
    <row r="21967" spans="9:9" x14ac:dyDescent="0.2">
      <c r="I21967" s="137" t="s">
        <v>74</v>
      </c>
    </row>
    <row r="21968" spans="9:9" x14ac:dyDescent="0.2">
      <c r="I21968" s="137" t="s">
        <v>74</v>
      </c>
    </row>
    <row r="21969" spans="9:9" x14ac:dyDescent="0.2">
      <c r="I21969" s="137" t="s">
        <v>74</v>
      </c>
    </row>
    <row r="21970" spans="9:9" x14ac:dyDescent="0.2">
      <c r="I21970" s="137" t="s">
        <v>74</v>
      </c>
    </row>
    <row r="21971" spans="9:9" x14ac:dyDescent="0.2">
      <c r="I21971" s="137" t="s">
        <v>74</v>
      </c>
    </row>
    <row r="21972" spans="9:9" x14ac:dyDescent="0.2">
      <c r="I21972" s="137" t="s">
        <v>74</v>
      </c>
    </row>
    <row r="21973" spans="9:9" x14ac:dyDescent="0.2">
      <c r="I21973" s="137" t="s">
        <v>74</v>
      </c>
    </row>
    <row r="21974" spans="9:9" x14ac:dyDescent="0.2">
      <c r="I21974" s="137" t="s">
        <v>74</v>
      </c>
    </row>
    <row r="21975" spans="9:9" x14ac:dyDescent="0.2">
      <c r="I21975" s="137" t="s">
        <v>74</v>
      </c>
    </row>
    <row r="21976" spans="9:9" x14ac:dyDescent="0.2">
      <c r="I21976" s="137" t="s">
        <v>74</v>
      </c>
    </row>
    <row r="21977" spans="9:9" x14ac:dyDescent="0.2">
      <c r="I21977" s="137" t="s">
        <v>74</v>
      </c>
    </row>
    <row r="21978" spans="9:9" x14ac:dyDescent="0.2">
      <c r="I21978" s="137" t="s">
        <v>74</v>
      </c>
    </row>
    <row r="21979" spans="9:9" x14ac:dyDescent="0.2">
      <c r="I21979" s="137" t="s">
        <v>74</v>
      </c>
    </row>
    <row r="21980" spans="9:9" x14ac:dyDescent="0.2">
      <c r="I21980" s="137" t="s">
        <v>74</v>
      </c>
    </row>
    <row r="21981" spans="9:9" x14ac:dyDescent="0.2">
      <c r="I21981" s="137" t="s">
        <v>74</v>
      </c>
    </row>
    <row r="21982" spans="9:9" x14ac:dyDescent="0.2">
      <c r="I21982" s="137" t="s">
        <v>74</v>
      </c>
    </row>
    <row r="21983" spans="9:9" x14ac:dyDescent="0.2">
      <c r="I21983" s="137" t="s">
        <v>74</v>
      </c>
    </row>
    <row r="21984" spans="9:9" x14ac:dyDescent="0.2">
      <c r="I21984" s="137" t="s">
        <v>74</v>
      </c>
    </row>
    <row r="21985" spans="9:9" x14ac:dyDescent="0.2">
      <c r="I21985" s="137" t="s">
        <v>74</v>
      </c>
    </row>
    <row r="21986" spans="9:9" x14ac:dyDescent="0.2">
      <c r="I21986" s="137" t="s">
        <v>74</v>
      </c>
    </row>
    <row r="21987" spans="9:9" x14ac:dyDescent="0.2">
      <c r="I21987" s="137" t="s">
        <v>74</v>
      </c>
    </row>
    <row r="21988" spans="9:9" x14ac:dyDescent="0.2">
      <c r="I21988" s="137" t="s">
        <v>74</v>
      </c>
    </row>
    <row r="21989" spans="9:9" x14ac:dyDescent="0.2">
      <c r="I21989" s="137" t="s">
        <v>74</v>
      </c>
    </row>
    <row r="21990" spans="9:9" x14ac:dyDescent="0.2">
      <c r="I21990" s="137" t="s">
        <v>74</v>
      </c>
    </row>
    <row r="21991" spans="9:9" x14ac:dyDescent="0.2">
      <c r="I21991" s="137" t="s">
        <v>74</v>
      </c>
    </row>
    <row r="21992" spans="9:9" x14ac:dyDescent="0.2">
      <c r="I21992" s="137" t="s">
        <v>74</v>
      </c>
    </row>
    <row r="21993" spans="9:9" x14ac:dyDescent="0.2">
      <c r="I21993" s="137" t="s">
        <v>74</v>
      </c>
    </row>
    <row r="21994" spans="9:9" x14ac:dyDescent="0.2">
      <c r="I21994" s="137" t="s">
        <v>74</v>
      </c>
    </row>
    <row r="21995" spans="9:9" x14ac:dyDescent="0.2">
      <c r="I21995" s="137" t="s">
        <v>74</v>
      </c>
    </row>
    <row r="21996" spans="9:9" x14ac:dyDescent="0.2">
      <c r="I21996" s="137" t="s">
        <v>74</v>
      </c>
    </row>
    <row r="21997" spans="9:9" x14ac:dyDescent="0.2">
      <c r="I21997" s="137" t="s">
        <v>74</v>
      </c>
    </row>
    <row r="21998" spans="9:9" x14ac:dyDescent="0.2">
      <c r="I21998" s="137" t="s">
        <v>74</v>
      </c>
    </row>
    <row r="21999" spans="9:9" x14ac:dyDescent="0.2">
      <c r="I21999" s="137" t="s">
        <v>74</v>
      </c>
    </row>
    <row r="22000" spans="9:9" x14ac:dyDescent="0.2">
      <c r="I22000" s="137" t="s">
        <v>74</v>
      </c>
    </row>
    <row r="22001" spans="9:9" x14ac:dyDescent="0.2">
      <c r="I22001" s="137" t="s">
        <v>74</v>
      </c>
    </row>
    <row r="22002" spans="9:9" x14ac:dyDescent="0.2">
      <c r="I22002" s="137" t="s">
        <v>74</v>
      </c>
    </row>
    <row r="22003" spans="9:9" x14ac:dyDescent="0.2">
      <c r="I22003" s="137" t="s">
        <v>74</v>
      </c>
    </row>
    <row r="22004" spans="9:9" x14ac:dyDescent="0.2">
      <c r="I22004" s="137" t="s">
        <v>74</v>
      </c>
    </row>
    <row r="22005" spans="9:9" x14ac:dyDescent="0.2">
      <c r="I22005" s="137" t="s">
        <v>74</v>
      </c>
    </row>
    <row r="22006" spans="9:9" x14ac:dyDescent="0.2">
      <c r="I22006" s="137" t="s">
        <v>74</v>
      </c>
    </row>
    <row r="22007" spans="9:9" x14ac:dyDescent="0.2">
      <c r="I22007" s="137" t="s">
        <v>74</v>
      </c>
    </row>
    <row r="22008" spans="9:9" x14ac:dyDescent="0.2">
      <c r="I22008" s="137" t="s">
        <v>74</v>
      </c>
    </row>
    <row r="22009" spans="9:9" x14ac:dyDescent="0.2">
      <c r="I22009" s="137" t="s">
        <v>74</v>
      </c>
    </row>
    <row r="22010" spans="9:9" x14ac:dyDescent="0.2">
      <c r="I22010" s="137" t="s">
        <v>74</v>
      </c>
    </row>
    <row r="22011" spans="9:9" x14ac:dyDescent="0.2">
      <c r="I22011" s="137" t="s">
        <v>74</v>
      </c>
    </row>
    <row r="22012" spans="9:9" x14ac:dyDescent="0.2">
      <c r="I22012" s="137" t="s">
        <v>74</v>
      </c>
    </row>
    <row r="22013" spans="9:9" x14ac:dyDescent="0.2">
      <c r="I22013" s="137" t="s">
        <v>74</v>
      </c>
    </row>
    <row r="22014" spans="9:9" x14ac:dyDescent="0.2">
      <c r="I22014" s="137" t="s">
        <v>74</v>
      </c>
    </row>
    <row r="22015" spans="9:9" x14ac:dyDescent="0.2">
      <c r="I22015" s="137" t="s">
        <v>74</v>
      </c>
    </row>
    <row r="22016" spans="9:9" x14ac:dyDescent="0.2">
      <c r="I22016" s="137" t="s">
        <v>74</v>
      </c>
    </row>
    <row r="22017" spans="9:9" x14ac:dyDescent="0.2">
      <c r="I22017" s="137" t="s">
        <v>74</v>
      </c>
    </row>
    <row r="22018" spans="9:9" x14ac:dyDescent="0.2">
      <c r="I22018" s="137" t="s">
        <v>74</v>
      </c>
    </row>
    <row r="22019" spans="9:9" x14ac:dyDescent="0.2">
      <c r="I22019" s="137" t="s">
        <v>74</v>
      </c>
    </row>
    <row r="22020" spans="9:9" x14ac:dyDescent="0.2">
      <c r="I22020" s="137" t="s">
        <v>74</v>
      </c>
    </row>
    <row r="22021" spans="9:9" x14ac:dyDescent="0.2">
      <c r="I22021" s="137" t="s">
        <v>74</v>
      </c>
    </row>
    <row r="22022" spans="9:9" x14ac:dyDescent="0.2">
      <c r="I22022" s="137" t="s">
        <v>74</v>
      </c>
    </row>
    <row r="22023" spans="9:9" x14ac:dyDescent="0.2">
      <c r="I22023" s="137" t="s">
        <v>74</v>
      </c>
    </row>
    <row r="22024" spans="9:9" x14ac:dyDescent="0.2">
      <c r="I22024" s="137" t="s">
        <v>74</v>
      </c>
    </row>
    <row r="22025" spans="9:9" x14ac:dyDescent="0.2">
      <c r="I22025" s="137" t="s">
        <v>74</v>
      </c>
    </row>
    <row r="22026" spans="9:9" x14ac:dyDescent="0.2">
      <c r="I22026" s="137" t="s">
        <v>74</v>
      </c>
    </row>
    <row r="22027" spans="9:9" x14ac:dyDescent="0.2">
      <c r="I22027" s="137" t="s">
        <v>74</v>
      </c>
    </row>
    <row r="22028" spans="9:9" x14ac:dyDescent="0.2">
      <c r="I22028" s="137" t="s">
        <v>74</v>
      </c>
    </row>
    <row r="22029" spans="9:9" x14ac:dyDescent="0.2">
      <c r="I22029" s="137" t="s">
        <v>74</v>
      </c>
    </row>
    <row r="22030" spans="9:9" x14ac:dyDescent="0.2">
      <c r="I22030" s="137" t="s">
        <v>74</v>
      </c>
    </row>
    <row r="22031" spans="9:9" x14ac:dyDescent="0.2">
      <c r="I22031" s="137" t="s">
        <v>74</v>
      </c>
    </row>
    <row r="22032" spans="9:9" x14ac:dyDescent="0.2">
      <c r="I22032" s="137" t="s">
        <v>74</v>
      </c>
    </row>
    <row r="22033" spans="9:9" x14ac:dyDescent="0.2">
      <c r="I22033" s="137" t="s">
        <v>74</v>
      </c>
    </row>
    <row r="22034" spans="9:9" x14ac:dyDescent="0.2">
      <c r="I22034" s="137" t="s">
        <v>74</v>
      </c>
    </row>
    <row r="22035" spans="9:9" x14ac:dyDescent="0.2">
      <c r="I22035" s="137" t="s">
        <v>74</v>
      </c>
    </row>
    <row r="22036" spans="9:9" x14ac:dyDescent="0.2">
      <c r="I22036" s="137" t="s">
        <v>74</v>
      </c>
    </row>
    <row r="22037" spans="9:9" x14ac:dyDescent="0.2">
      <c r="I22037" s="137" t="s">
        <v>74</v>
      </c>
    </row>
    <row r="22038" spans="9:9" x14ac:dyDescent="0.2">
      <c r="I22038" s="137" t="s">
        <v>74</v>
      </c>
    </row>
    <row r="22039" spans="9:9" x14ac:dyDescent="0.2">
      <c r="I22039" s="137" t="s">
        <v>74</v>
      </c>
    </row>
    <row r="22040" spans="9:9" x14ac:dyDescent="0.2">
      <c r="I22040" s="137" t="s">
        <v>74</v>
      </c>
    </row>
    <row r="22041" spans="9:9" x14ac:dyDescent="0.2">
      <c r="I22041" s="137" t="s">
        <v>74</v>
      </c>
    </row>
    <row r="22042" spans="9:9" x14ac:dyDescent="0.2">
      <c r="I22042" s="137" t="s">
        <v>74</v>
      </c>
    </row>
    <row r="22043" spans="9:9" x14ac:dyDescent="0.2">
      <c r="I22043" s="137" t="s">
        <v>74</v>
      </c>
    </row>
    <row r="22044" spans="9:9" x14ac:dyDescent="0.2">
      <c r="I22044" s="137" t="s">
        <v>74</v>
      </c>
    </row>
    <row r="22045" spans="9:9" x14ac:dyDescent="0.2">
      <c r="I22045" s="137" t="s">
        <v>74</v>
      </c>
    </row>
    <row r="22046" spans="9:9" x14ac:dyDescent="0.2">
      <c r="I22046" s="137" t="s">
        <v>74</v>
      </c>
    </row>
    <row r="22047" spans="9:9" x14ac:dyDescent="0.2">
      <c r="I22047" s="137" t="s">
        <v>74</v>
      </c>
    </row>
    <row r="22048" spans="9:9" x14ac:dyDescent="0.2">
      <c r="I22048" s="137" t="s">
        <v>74</v>
      </c>
    </row>
    <row r="22049" spans="9:9" x14ac:dyDescent="0.2">
      <c r="I22049" s="137" t="s">
        <v>74</v>
      </c>
    </row>
    <row r="22050" spans="9:9" x14ac:dyDescent="0.2">
      <c r="I22050" s="137" t="s">
        <v>74</v>
      </c>
    </row>
    <row r="22051" spans="9:9" x14ac:dyDescent="0.2">
      <c r="I22051" s="137" t="s">
        <v>74</v>
      </c>
    </row>
    <row r="22052" spans="9:9" x14ac:dyDescent="0.2">
      <c r="I22052" s="137" t="s">
        <v>74</v>
      </c>
    </row>
    <row r="22053" spans="9:9" x14ac:dyDescent="0.2">
      <c r="I22053" s="137" t="s">
        <v>74</v>
      </c>
    </row>
    <row r="22054" spans="9:9" x14ac:dyDescent="0.2">
      <c r="I22054" s="137" t="s">
        <v>74</v>
      </c>
    </row>
    <row r="22055" spans="9:9" x14ac:dyDescent="0.2">
      <c r="I22055" s="137" t="s">
        <v>74</v>
      </c>
    </row>
    <row r="22056" spans="9:9" x14ac:dyDescent="0.2">
      <c r="I22056" s="137" t="s">
        <v>74</v>
      </c>
    </row>
    <row r="22057" spans="9:9" x14ac:dyDescent="0.2">
      <c r="I22057" s="137" t="s">
        <v>74</v>
      </c>
    </row>
    <row r="22058" spans="9:9" x14ac:dyDescent="0.2">
      <c r="I22058" s="137" t="s">
        <v>74</v>
      </c>
    </row>
    <row r="22059" spans="9:9" x14ac:dyDescent="0.2">
      <c r="I22059" s="137" t="s">
        <v>74</v>
      </c>
    </row>
    <row r="22060" spans="9:9" x14ac:dyDescent="0.2">
      <c r="I22060" s="137" t="s">
        <v>74</v>
      </c>
    </row>
    <row r="22061" spans="9:9" x14ac:dyDescent="0.2">
      <c r="I22061" s="137" t="s">
        <v>74</v>
      </c>
    </row>
    <row r="22062" spans="9:9" x14ac:dyDescent="0.2">
      <c r="I22062" s="137" t="s">
        <v>74</v>
      </c>
    </row>
    <row r="22063" spans="9:9" x14ac:dyDescent="0.2">
      <c r="I22063" s="137" t="s">
        <v>74</v>
      </c>
    </row>
    <row r="22064" spans="9:9" x14ac:dyDescent="0.2">
      <c r="I22064" s="137" t="s">
        <v>74</v>
      </c>
    </row>
    <row r="22065" spans="9:9" x14ac:dyDescent="0.2">
      <c r="I22065" s="137" t="s">
        <v>74</v>
      </c>
    </row>
    <row r="22066" spans="9:9" x14ac:dyDescent="0.2">
      <c r="I22066" s="137" t="s">
        <v>74</v>
      </c>
    </row>
    <row r="22067" spans="9:9" x14ac:dyDescent="0.2">
      <c r="I22067" s="137" t="s">
        <v>74</v>
      </c>
    </row>
    <row r="22068" spans="9:9" x14ac:dyDescent="0.2">
      <c r="I22068" s="137" t="s">
        <v>74</v>
      </c>
    </row>
    <row r="22069" spans="9:9" x14ac:dyDescent="0.2">
      <c r="I22069" s="137" t="s">
        <v>74</v>
      </c>
    </row>
    <row r="22070" spans="9:9" x14ac:dyDescent="0.2">
      <c r="I22070" s="137" t="s">
        <v>74</v>
      </c>
    </row>
    <row r="22071" spans="9:9" x14ac:dyDescent="0.2">
      <c r="I22071" s="137" t="s">
        <v>74</v>
      </c>
    </row>
    <row r="22072" spans="9:9" x14ac:dyDescent="0.2">
      <c r="I22072" s="137" t="s">
        <v>74</v>
      </c>
    </row>
    <row r="22073" spans="9:9" x14ac:dyDescent="0.2">
      <c r="I22073" s="137" t="s">
        <v>74</v>
      </c>
    </row>
    <row r="22074" spans="9:9" x14ac:dyDescent="0.2">
      <c r="I22074" s="137" t="s">
        <v>74</v>
      </c>
    </row>
    <row r="22075" spans="9:9" x14ac:dyDescent="0.2">
      <c r="I22075" s="137" t="s">
        <v>74</v>
      </c>
    </row>
    <row r="22076" spans="9:9" x14ac:dyDescent="0.2">
      <c r="I22076" s="137" t="s">
        <v>74</v>
      </c>
    </row>
    <row r="22077" spans="9:9" x14ac:dyDescent="0.2">
      <c r="I22077" s="137" t="s">
        <v>74</v>
      </c>
    </row>
    <row r="22078" spans="9:9" x14ac:dyDescent="0.2">
      <c r="I22078" s="137" t="s">
        <v>74</v>
      </c>
    </row>
    <row r="22079" spans="9:9" x14ac:dyDescent="0.2">
      <c r="I22079" s="137" t="s">
        <v>74</v>
      </c>
    </row>
    <row r="22080" spans="9:9" x14ac:dyDescent="0.2">
      <c r="I22080" s="137" t="s">
        <v>74</v>
      </c>
    </row>
    <row r="22081" spans="9:9" x14ac:dyDescent="0.2">
      <c r="I22081" s="137" t="s">
        <v>74</v>
      </c>
    </row>
    <row r="22082" spans="9:9" x14ac:dyDescent="0.2">
      <c r="I22082" s="137" t="s">
        <v>74</v>
      </c>
    </row>
    <row r="22083" spans="9:9" x14ac:dyDescent="0.2">
      <c r="I22083" s="137" t="s">
        <v>74</v>
      </c>
    </row>
    <row r="22084" spans="9:9" x14ac:dyDescent="0.2">
      <c r="I22084" s="137" t="s">
        <v>74</v>
      </c>
    </row>
    <row r="22085" spans="9:9" x14ac:dyDescent="0.2">
      <c r="I22085" s="137" t="s">
        <v>74</v>
      </c>
    </row>
    <row r="22086" spans="9:9" x14ac:dyDescent="0.2">
      <c r="I22086" s="137" t="s">
        <v>74</v>
      </c>
    </row>
    <row r="22087" spans="9:9" x14ac:dyDescent="0.2">
      <c r="I22087" s="137" t="s">
        <v>74</v>
      </c>
    </row>
    <row r="22088" spans="9:9" x14ac:dyDescent="0.2">
      <c r="I22088" s="137" t="s">
        <v>74</v>
      </c>
    </row>
    <row r="22089" spans="9:9" x14ac:dyDescent="0.2">
      <c r="I22089" s="137" t="s">
        <v>74</v>
      </c>
    </row>
    <row r="22090" spans="9:9" x14ac:dyDescent="0.2">
      <c r="I22090" s="137" t="s">
        <v>74</v>
      </c>
    </row>
    <row r="22091" spans="9:9" x14ac:dyDescent="0.2">
      <c r="I22091" s="137" t="s">
        <v>74</v>
      </c>
    </row>
    <row r="22092" spans="9:9" x14ac:dyDescent="0.2">
      <c r="I22092" s="137" t="s">
        <v>74</v>
      </c>
    </row>
    <row r="22093" spans="9:9" x14ac:dyDescent="0.2">
      <c r="I22093" s="137" t="s">
        <v>74</v>
      </c>
    </row>
    <row r="22094" spans="9:9" x14ac:dyDescent="0.2">
      <c r="I22094" s="137" t="s">
        <v>74</v>
      </c>
    </row>
    <row r="22095" spans="9:9" x14ac:dyDescent="0.2">
      <c r="I22095" s="137" t="s">
        <v>74</v>
      </c>
    </row>
    <row r="22096" spans="9:9" x14ac:dyDescent="0.2">
      <c r="I22096" s="137" t="s">
        <v>74</v>
      </c>
    </row>
    <row r="22097" spans="9:9" x14ac:dyDescent="0.2">
      <c r="I22097" s="137" t="s">
        <v>74</v>
      </c>
    </row>
    <row r="22098" spans="9:9" x14ac:dyDescent="0.2">
      <c r="I22098" s="137" t="s">
        <v>74</v>
      </c>
    </row>
    <row r="22099" spans="9:9" x14ac:dyDescent="0.2">
      <c r="I22099" s="137" t="s">
        <v>74</v>
      </c>
    </row>
    <row r="22100" spans="9:9" x14ac:dyDescent="0.2">
      <c r="I22100" s="137" t="s">
        <v>74</v>
      </c>
    </row>
    <row r="22101" spans="9:9" x14ac:dyDescent="0.2">
      <c r="I22101" s="137" t="s">
        <v>74</v>
      </c>
    </row>
    <row r="22102" spans="9:9" x14ac:dyDescent="0.2">
      <c r="I22102" s="137" t="s">
        <v>74</v>
      </c>
    </row>
    <row r="22103" spans="9:9" x14ac:dyDescent="0.2">
      <c r="I22103" s="137" t="s">
        <v>74</v>
      </c>
    </row>
    <row r="22104" spans="9:9" x14ac:dyDescent="0.2">
      <c r="I22104" s="137" t="s">
        <v>74</v>
      </c>
    </row>
    <row r="22105" spans="9:9" x14ac:dyDescent="0.2">
      <c r="I22105" s="137" t="s">
        <v>74</v>
      </c>
    </row>
    <row r="22106" spans="9:9" x14ac:dyDescent="0.2">
      <c r="I22106" s="137" t="s">
        <v>74</v>
      </c>
    </row>
    <row r="22107" spans="9:9" x14ac:dyDescent="0.2">
      <c r="I22107" s="137" t="s">
        <v>74</v>
      </c>
    </row>
    <row r="22108" spans="9:9" x14ac:dyDescent="0.2">
      <c r="I22108" s="137" t="s">
        <v>74</v>
      </c>
    </row>
    <row r="22109" spans="9:9" x14ac:dyDescent="0.2">
      <c r="I22109" s="137" t="s">
        <v>74</v>
      </c>
    </row>
    <row r="22110" spans="9:9" x14ac:dyDescent="0.2">
      <c r="I22110" s="137" t="s">
        <v>74</v>
      </c>
    </row>
    <row r="22111" spans="9:9" x14ac:dyDescent="0.2">
      <c r="I22111" s="137" t="s">
        <v>74</v>
      </c>
    </row>
    <row r="22112" spans="9:9" x14ac:dyDescent="0.2">
      <c r="I22112" s="137" t="s">
        <v>74</v>
      </c>
    </row>
    <row r="22113" spans="9:9" x14ac:dyDescent="0.2">
      <c r="I22113" s="137" t="s">
        <v>74</v>
      </c>
    </row>
    <row r="22114" spans="9:9" x14ac:dyDescent="0.2">
      <c r="I22114" s="137" t="s">
        <v>74</v>
      </c>
    </row>
    <row r="22115" spans="9:9" x14ac:dyDescent="0.2">
      <c r="I22115" s="137" t="s">
        <v>74</v>
      </c>
    </row>
    <row r="22116" spans="9:9" x14ac:dyDescent="0.2">
      <c r="I22116" s="137" t="s">
        <v>74</v>
      </c>
    </row>
    <row r="22117" spans="9:9" x14ac:dyDescent="0.2">
      <c r="I22117" s="137" t="s">
        <v>74</v>
      </c>
    </row>
    <row r="22118" spans="9:9" x14ac:dyDescent="0.2">
      <c r="I22118" s="137" t="s">
        <v>74</v>
      </c>
    </row>
    <row r="22119" spans="9:9" x14ac:dyDescent="0.2">
      <c r="I22119" s="137" t="s">
        <v>74</v>
      </c>
    </row>
    <row r="22120" spans="9:9" x14ac:dyDescent="0.2">
      <c r="I22120" s="137" t="s">
        <v>74</v>
      </c>
    </row>
    <row r="22121" spans="9:9" x14ac:dyDescent="0.2">
      <c r="I22121" s="137" t="s">
        <v>74</v>
      </c>
    </row>
    <row r="22122" spans="9:9" x14ac:dyDescent="0.2">
      <c r="I22122" s="137" t="s">
        <v>74</v>
      </c>
    </row>
    <row r="22123" spans="9:9" x14ac:dyDescent="0.2">
      <c r="I22123" s="137" t="s">
        <v>74</v>
      </c>
    </row>
    <row r="22124" spans="9:9" x14ac:dyDescent="0.2">
      <c r="I22124" s="137" t="s">
        <v>74</v>
      </c>
    </row>
    <row r="22125" spans="9:9" x14ac:dyDescent="0.2">
      <c r="I22125" s="137" t="s">
        <v>74</v>
      </c>
    </row>
    <row r="22126" spans="9:9" x14ac:dyDescent="0.2">
      <c r="I22126" s="137" t="s">
        <v>74</v>
      </c>
    </row>
    <row r="22127" spans="9:9" x14ac:dyDescent="0.2">
      <c r="I22127" s="137" t="s">
        <v>74</v>
      </c>
    </row>
    <row r="22128" spans="9:9" x14ac:dyDescent="0.2">
      <c r="I22128" s="137" t="s">
        <v>74</v>
      </c>
    </row>
    <row r="22129" spans="9:9" x14ac:dyDescent="0.2">
      <c r="I22129" s="137" t="s">
        <v>74</v>
      </c>
    </row>
    <row r="22130" spans="9:9" x14ac:dyDescent="0.2">
      <c r="I22130" s="137" t="s">
        <v>74</v>
      </c>
    </row>
    <row r="22131" spans="9:9" x14ac:dyDescent="0.2">
      <c r="I22131" s="137" t="s">
        <v>74</v>
      </c>
    </row>
    <row r="22132" spans="9:9" x14ac:dyDescent="0.2">
      <c r="I22132" s="137" t="s">
        <v>74</v>
      </c>
    </row>
    <row r="22133" spans="9:9" x14ac:dyDescent="0.2">
      <c r="I22133" s="137" t="s">
        <v>74</v>
      </c>
    </row>
    <row r="22134" spans="9:9" x14ac:dyDescent="0.2">
      <c r="I22134" s="137" t="s">
        <v>74</v>
      </c>
    </row>
    <row r="22135" spans="9:9" x14ac:dyDescent="0.2">
      <c r="I22135" s="137" t="s">
        <v>74</v>
      </c>
    </row>
    <row r="22136" spans="9:9" x14ac:dyDescent="0.2">
      <c r="I22136" s="137" t="s">
        <v>74</v>
      </c>
    </row>
    <row r="22137" spans="9:9" x14ac:dyDescent="0.2">
      <c r="I22137" s="137" t="s">
        <v>74</v>
      </c>
    </row>
    <row r="22138" spans="9:9" x14ac:dyDescent="0.2">
      <c r="I22138" s="137" t="s">
        <v>74</v>
      </c>
    </row>
    <row r="22139" spans="9:9" x14ac:dyDescent="0.2">
      <c r="I22139" s="137" t="s">
        <v>74</v>
      </c>
    </row>
    <row r="22140" spans="9:9" x14ac:dyDescent="0.2">
      <c r="I22140" s="137" t="s">
        <v>74</v>
      </c>
    </row>
    <row r="22141" spans="9:9" x14ac:dyDescent="0.2">
      <c r="I22141" s="137" t="s">
        <v>74</v>
      </c>
    </row>
    <row r="22142" spans="9:9" x14ac:dyDescent="0.2">
      <c r="I22142" s="137" t="s">
        <v>74</v>
      </c>
    </row>
    <row r="22143" spans="9:9" x14ac:dyDescent="0.2">
      <c r="I22143" s="137" t="s">
        <v>74</v>
      </c>
    </row>
    <row r="22144" spans="9:9" x14ac:dyDescent="0.2">
      <c r="I22144" s="137" t="s">
        <v>74</v>
      </c>
    </row>
    <row r="22145" spans="9:9" x14ac:dyDescent="0.2">
      <c r="I22145" s="137" t="s">
        <v>74</v>
      </c>
    </row>
    <row r="22146" spans="9:9" x14ac:dyDescent="0.2">
      <c r="I22146" s="137" t="s">
        <v>74</v>
      </c>
    </row>
    <row r="22147" spans="9:9" x14ac:dyDescent="0.2">
      <c r="I22147" s="137" t="s">
        <v>74</v>
      </c>
    </row>
    <row r="22148" spans="9:9" x14ac:dyDescent="0.2">
      <c r="I22148" s="137" t="s">
        <v>74</v>
      </c>
    </row>
    <row r="22149" spans="9:9" x14ac:dyDescent="0.2">
      <c r="I22149" s="137" t="s">
        <v>74</v>
      </c>
    </row>
    <row r="22150" spans="9:9" x14ac:dyDescent="0.2">
      <c r="I22150" s="137" t="s">
        <v>74</v>
      </c>
    </row>
    <row r="22151" spans="9:9" x14ac:dyDescent="0.2">
      <c r="I22151" s="137" t="s">
        <v>74</v>
      </c>
    </row>
    <row r="22152" spans="9:9" x14ac:dyDescent="0.2">
      <c r="I22152" s="137" t="s">
        <v>74</v>
      </c>
    </row>
    <row r="22153" spans="9:9" x14ac:dyDescent="0.2">
      <c r="I22153" s="137" t="s">
        <v>74</v>
      </c>
    </row>
    <row r="22154" spans="9:9" x14ac:dyDescent="0.2">
      <c r="I22154" s="137" t="s">
        <v>74</v>
      </c>
    </row>
    <row r="22155" spans="9:9" x14ac:dyDescent="0.2">
      <c r="I22155" s="137" t="s">
        <v>74</v>
      </c>
    </row>
    <row r="22156" spans="9:9" x14ac:dyDescent="0.2">
      <c r="I22156" s="137" t="s">
        <v>74</v>
      </c>
    </row>
    <row r="22157" spans="9:9" x14ac:dyDescent="0.2">
      <c r="I22157" s="137" t="s">
        <v>74</v>
      </c>
    </row>
    <row r="22158" spans="9:9" x14ac:dyDescent="0.2">
      <c r="I22158" s="137" t="s">
        <v>74</v>
      </c>
    </row>
    <row r="22159" spans="9:9" x14ac:dyDescent="0.2">
      <c r="I22159" s="137" t="s">
        <v>74</v>
      </c>
    </row>
    <row r="22160" spans="9:9" x14ac:dyDescent="0.2">
      <c r="I22160" s="137" t="s">
        <v>74</v>
      </c>
    </row>
    <row r="22161" spans="9:9" x14ac:dyDescent="0.2">
      <c r="I22161" s="137" t="s">
        <v>74</v>
      </c>
    </row>
    <row r="22162" spans="9:9" x14ac:dyDescent="0.2">
      <c r="I22162" s="137" t="s">
        <v>74</v>
      </c>
    </row>
    <row r="22163" spans="9:9" x14ac:dyDescent="0.2">
      <c r="I22163" s="137" t="s">
        <v>74</v>
      </c>
    </row>
    <row r="22164" spans="9:9" x14ac:dyDescent="0.2">
      <c r="I22164" s="137" t="s">
        <v>74</v>
      </c>
    </row>
    <row r="22165" spans="9:9" x14ac:dyDescent="0.2">
      <c r="I22165" s="137" t="s">
        <v>74</v>
      </c>
    </row>
    <row r="22166" spans="9:9" x14ac:dyDescent="0.2">
      <c r="I22166" s="137" t="s">
        <v>74</v>
      </c>
    </row>
    <row r="22167" spans="9:9" x14ac:dyDescent="0.2">
      <c r="I22167" s="137" t="s">
        <v>74</v>
      </c>
    </row>
    <row r="22168" spans="9:9" x14ac:dyDescent="0.2">
      <c r="I22168" s="137" t="s">
        <v>74</v>
      </c>
    </row>
    <row r="22169" spans="9:9" x14ac:dyDescent="0.2">
      <c r="I22169" s="137" t="s">
        <v>74</v>
      </c>
    </row>
    <row r="22170" spans="9:9" x14ac:dyDescent="0.2">
      <c r="I22170" s="137" t="s">
        <v>74</v>
      </c>
    </row>
    <row r="22171" spans="9:9" x14ac:dyDescent="0.2">
      <c r="I22171" s="137" t="s">
        <v>74</v>
      </c>
    </row>
    <row r="22172" spans="9:9" x14ac:dyDescent="0.2">
      <c r="I22172" s="137" t="s">
        <v>74</v>
      </c>
    </row>
    <row r="22173" spans="9:9" x14ac:dyDescent="0.2">
      <c r="I22173" s="137" t="s">
        <v>74</v>
      </c>
    </row>
    <row r="22174" spans="9:9" x14ac:dyDescent="0.2">
      <c r="I22174" s="137" t="s">
        <v>74</v>
      </c>
    </row>
    <row r="22175" spans="9:9" x14ac:dyDescent="0.2">
      <c r="I22175" s="137" t="s">
        <v>74</v>
      </c>
    </row>
    <row r="22176" spans="9:9" x14ac:dyDescent="0.2">
      <c r="I22176" s="137" t="s">
        <v>74</v>
      </c>
    </row>
    <row r="22177" spans="9:9" x14ac:dyDescent="0.2">
      <c r="I22177" s="137" t="s">
        <v>74</v>
      </c>
    </row>
    <row r="22178" spans="9:9" x14ac:dyDescent="0.2">
      <c r="I22178" s="137" t="s">
        <v>74</v>
      </c>
    </row>
    <row r="22179" spans="9:9" x14ac:dyDescent="0.2">
      <c r="I22179" s="137" t="s">
        <v>74</v>
      </c>
    </row>
    <row r="22180" spans="9:9" x14ac:dyDescent="0.2">
      <c r="I22180" s="137" t="s">
        <v>74</v>
      </c>
    </row>
    <row r="22181" spans="9:9" x14ac:dyDescent="0.2">
      <c r="I22181" s="137" t="s">
        <v>74</v>
      </c>
    </row>
    <row r="22182" spans="9:9" x14ac:dyDescent="0.2">
      <c r="I22182" s="137" t="s">
        <v>74</v>
      </c>
    </row>
    <row r="22183" spans="9:9" x14ac:dyDescent="0.2">
      <c r="I22183" s="137" t="s">
        <v>74</v>
      </c>
    </row>
    <row r="22184" spans="9:9" x14ac:dyDescent="0.2">
      <c r="I22184" s="137" t="s">
        <v>74</v>
      </c>
    </row>
    <row r="22185" spans="9:9" x14ac:dyDescent="0.2">
      <c r="I22185" s="137" t="s">
        <v>74</v>
      </c>
    </row>
    <row r="22186" spans="9:9" x14ac:dyDescent="0.2">
      <c r="I22186" s="137" t="s">
        <v>74</v>
      </c>
    </row>
    <row r="22187" spans="9:9" x14ac:dyDescent="0.2">
      <c r="I22187" s="137" t="s">
        <v>74</v>
      </c>
    </row>
    <row r="22188" spans="9:9" x14ac:dyDescent="0.2">
      <c r="I22188" s="137" t="s">
        <v>74</v>
      </c>
    </row>
    <row r="22189" spans="9:9" x14ac:dyDescent="0.2">
      <c r="I22189" s="137" t="s">
        <v>74</v>
      </c>
    </row>
    <row r="22190" spans="9:9" x14ac:dyDescent="0.2">
      <c r="I22190" s="137" t="s">
        <v>74</v>
      </c>
    </row>
    <row r="22191" spans="9:9" x14ac:dyDescent="0.2">
      <c r="I22191" s="137" t="s">
        <v>74</v>
      </c>
    </row>
    <row r="22192" spans="9:9" x14ac:dyDescent="0.2">
      <c r="I22192" s="137" t="s">
        <v>74</v>
      </c>
    </row>
    <row r="22193" spans="9:9" x14ac:dyDescent="0.2">
      <c r="I22193" s="137" t="s">
        <v>74</v>
      </c>
    </row>
    <row r="22194" spans="9:9" x14ac:dyDescent="0.2">
      <c r="I22194" s="137" t="s">
        <v>74</v>
      </c>
    </row>
    <row r="22195" spans="9:9" x14ac:dyDescent="0.2">
      <c r="I22195" s="137" t="s">
        <v>74</v>
      </c>
    </row>
    <row r="22196" spans="9:9" x14ac:dyDescent="0.2">
      <c r="I22196" s="137" t="s">
        <v>74</v>
      </c>
    </row>
    <row r="22197" spans="9:9" x14ac:dyDescent="0.2">
      <c r="I22197" s="137" t="s">
        <v>74</v>
      </c>
    </row>
    <row r="22198" spans="9:9" x14ac:dyDescent="0.2">
      <c r="I22198" s="137" t="s">
        <v>74</v>
      </c>
    </row>
    <row r="22199" spans="9:9" x14ac:dyDescent="0.2">
      <c r="I22199" s="137" t="s">
        <v>74</v>
      </c>
    </row>
    <row r="22200" spans="9:9" x14ac:dyDescent="0.2">
      <c r="I22200" s="137" t="s">
        <v>74</v>
      </c>
    </row>
    <row r="22201" spans="9:9" x14ac:dyDescent="0.2">
      <c r="I22201" s="137" t="s">
        <v>74</v>
      </c>
    </row>
    <row r="22202" spans="9:9" x14ac:dyDescent="0.2">
      <c r="I22202" s="137" t="s">
        <v>74</v>
      </c>
    </row>
    <row r="22203" spans="9:9" x14ac:dyDescent="0.2">
      <c r="I22203" s="137" t="s">
        <v>74</v>
      </c>
    </row>
    <row r="22204" spans="9:9" x14ac:dyDescent="0.2">
      <c r="I22204" s="137" t="s">
        <v>74</v>
      </c>
    </row>
    <row r="22205" spans="9:9" x14ac:dyDescent="0.2">
      <c r="I22205" s="137" t="s">
        <v>74</v>
      </c>
    </row>
    <row r="22206" spans="9:9" x14ac:dyDescent="0.2">
      <c r="I22206" s="137" t="s">
        <v>74</v>
      </c>
    </row>
    <row r="22207" spans="9:9" x14ac:dyDescent="0.2">
      <c r="I22207" s="137" t="s">
        <v>74</v>
      </c>
    </row>
    <row r="22208" spans="9:9" x14ac:dyDescent="0.2">
      <c r="I22208" s="137" t="s">
        <v>74</v>
      </c>
    </row>
    <row r="22209" spans="9:9" x14ac:dyDescent="0.2">
      <c r="I22209" s="137" t="s">
        <v>74</v>
      </c>
    </row>
    <row r="22210" spans="9:9" x14ac:dyDescent="0.2">
      <c r="I22210" s="137" t="s">
        <v>74</v>
      </c>
    </row>
    <row r="22211" spans="9:9" x14ac:dyDescent="0.2">
      <c r="I22211" s="137" t="s">
        <v>74</v>
      </c>
    </row>
    <row r="22212" spans="9:9" x14ac:dyDescent="0.2">
      <c r="I22212" s="137" t="s">
        <v>74</v>
      </c>
    </row>
    <row r="22213" spans="9:9" x14ac:dyDescent="0.2">
      <c r="I22213" s="137" t="s">
        <v>74</v>
      </c>
    </row>
    <row r="22214" spans="9:9" x14ac:dyDescent="0.2">
      <c r="I22214" s="137" t="s">
        <v>74</v>
      </c>
    </row>
    <row r="22215" spans="9:9" x14ac:dyDescent="0.2">
      <c r="I22215" s="137" t="s">
        <v>74</v>
      </c>
    </row>
    <row r="22216" spans="9:9" x14ac:dyDescent="0.2">
      <c r="I22216" s="137" t="s">
        <v>74</v>
      </c>
    </row>
    <row r="22217" spans="9:9" x14ac:dyDescent="0.2">
      <c r="I22217" s="137" t="s">
        <v>74</v>
      </c>
    </row>
    <row r="22218" spans="9:9" x14ac:dyDescent="0.2">
      <c r="I22218" s="137" t="s">
        <v>74</v>
      </c>
    </row>
    <row r="22219" spans="9:9" x14ac:dyDescent="0.2">
      <c r="I22219" s="137" t="s">
        <v>74</v>
      </c>
    </row>
    <row r="22220" spans="9:9" x14ac:dyDescent="0.2">
      <c r="I22220" s="137" t="s">
        <v>74</v>
      </c>
    </row>
    <row r="22221" spans="9:9" x14ac:dyDescent="0.2">
      <c r="I22221" s="137" t="s">
        <v>74</v>
      </c>
    </row>
    <row r="22222" spans="9:9" x14ac:dyDescent="0.2">
      <c r="I22222" s="137" t="s">
        <v>74</v>
      </c>
    </row>
    <row r="22223" spans="9:9" x14ac:dyDescent="0.2">
      <c r="I22223" s="137" t="s">
        <v>74</v>
      </c>
    </row>
    <row r="22224" spans="9:9" x14ac:dyDescent="0.2">
      <c r="I22224" s="137" t="s">
        <v>74</v>
      </c>
    </row>
    <row r="22225" spans="9:9" x14ac:dyDescent="0.2">
      <c r="I22225" s="137" t="s">
        <v>74</v>
      </c>
    </row>
    <row r="22226" spans="9:9" x14ac:dyDescent="0.2">
      <c r="I22226" s="137" t="s">
        <v>74</v>
      </c>
    </row>
    <row r="22227" spans="9:9" x14ac:dyDescent="0.2">
      <c r="I22227" s="137" t="s">
        <v>74</v>
      </c>
    </row>
    <row r="22228" spans="9:9" x14ac:dyDescent="0.2">
      <c r="I22228" s="137" t="s">
        <v>74</v>
      </c>
    </row>
    <row r="22229" spans="9:9" x14ac:dyDescent="0.2">
      <c r="I22229" s="137" t="s">
        <v>74</v>
      </c>
    </row>
    <row r="22230" spans="9:9" x14ac:dyDescent="0.2">
      <c r="I22230" s="137" t="s">
        <v>74</v>
      </c>
    </row>
    <row r="22231" spans="9:9" x14ac:dyDescent="0.2">
      <c r="I22231" s="137" t="s">
        <v>74</v>
      </c>
    </row>
    <row r="22232" spans="9:9" x14ac:dyDescent="0.2">
      <c r="I22232" s="137" t="s">
        <v>74</v>
      </c>
    </row>
    <row r="22233" spans="9:9" x14ac:dyDescent="0.2">
      <c r="I22233" s="137" t="s">
        <v>74</v>
      </c>
    </row>
    <row r="22234" spans="9:9" x14ac:dyDescent="0.2">
      <c r="I22234" s="137" t="s">
        <v>74</v>
      </c>
    </row>
    <row r="22235" spans="9:9" x14ac:dyDescent="0.2">
      <c r="I22235" s="137" t="s">
        <v>74</v>
      </c>
    </row>
    <row r="22236" spans="9:9" x14ac:dyDescent="0.2">
      <c r="I22236" s="137" t="s">
        <v>74</v>
      </c>
    </row>
    <row r="22237" spans="9:9" x14ac:dyDescent="0.2">
      <c r="I22237" s="137" t="s">
        <v>74</v>
      </c>
    </row>
    <row r="22238" spans="9:9" x14ac:dyDescent="0.2">
      <c r="I22238" s="137" t="s">
        <v>74</v>
      </c>
    </row>
    <row r="22239" spans="9:9" x14ac:dyDescent="0.2">
      <c r="I22239" s="137" t="s">
        <v>74</v>
      </c>
    </row>
    <row r="22240" spans="9:9" x14ac:dyDescent="0.2">
      <c r="I22240" s="137" t="s">
        <v>74</v>
      </c>
    </row>
    <row r="22241" spans="9:9" x14ac:dyDescent="0.2">
      <c r="I22241" s="137" t="s">
        <v>74</v>
      </c>
    </row>
    <row r="22242" spans="9:9" x14ac:dyDescent="0.2">
      <c r="I22242" s="137" t="s">
        <v>74</v>
      </c>
    </row>
    <row r="22243" spans="9:9" x14ac:dyDescent="0.2">
      <c r="I22243" s="137" t="s">
        <v>74</v>
      </c>
    </row>
    <row r="22244" spans="9:9" x14ac:dyDescent="0.2">
      <c r="I22244" s="137" t="s">
        <v>74</v>
      </c>
    </row>
    <row r="22245" spans="9:9" x14ac:dyDescent="0.2">
      <c r="I22245" s="137" t="s">
        <v>74</v>
      </c>
    </row>
    <row r="22246" spans="9:9" x14ac:dyDescent="0.2">
      <c r="I22246" s="137" t="s">
        <v>74</v>
      </c>
    </row>
    <row r="22247" spans="9:9" x14ac:dyDescent="0.2">
      <c r="I22247" s="137" t="s">
        <v>74</v>
      </c>
    </row>
    <row r="22248" spans="9:9" x14ac:dyDescent="0.2">
      <c r="I22248" s="137" t="s">
        <v>74</v>
      </c>
    </row>
    <row r="22249" spans="9:9" x14ac:dyDescent="0.2">
      <c r="I22249" s="137" t="s">
        <v>74</v>
      </c>
    </row>
    <row r="22250" spans="9:9" x14ac:dyDescent="0.2">
      <c r="I22250" s="137" t="s">
        <v>74</v>
      </c>
    </row>
    <row r="22251" spans="9:9" x14ac:dyDescent="0.2">
      <c r="I22251" s="137" t="s">
        <v>74</v>
      </c>
    </row>
    <row r="22252" spans="9:9" x14ac:dyDescent="0.2">
      <c r="I22252" s="137" t="s">
        <v>74</v>
      </c>
    </row>
    <row r="22253" spans="9:9" x14ac:dyDescent="0.2">
      <c r="I22253" s="137" t="s">
        <v>74</v>
      </c>
    </row>
    <row r="22254" spans="9:9" x14ac:dyDescent="0.2">
      <c r="I22254" s="137" t="s">
        <v>74</v>
      </c>
    </row>
    <row r="22255" spans="9:9" x14ac:dyDescent="0.2">
      <c r="I22255" s="137" t="s">
        <v>74</v>
      </c>
    </row>
    <row r="22256" spans="9:9" x14ac:dyDescent="0.2">
      <c r="I22256" s="137" t="s">
        <v>74</v>
      </c>
    </row>
    <row r="22257" spans="9:9" x14ac:dyDescent="0.2">
      <c r="I22257" s="137" t="s">
        <v>74</v>
      </c>
    </row>
    <row r="22258" spans="9:9" x14ac:dyDescent="0.2">
      <c r="I22258" s="137" t="s">
        <v>74</v>
      </c>
    </row>
    <row r="22259" spans="9:9" x14ac:dyDescent="0.2">
      <c r="I22259" s="137" t="s">
        <v>74</v>
      </c>
    </row>
    <row r="22260" spans="9:9" x14ac:dyDescent="0.2">
      <c r="I22260" s="137" t="s">
        <v>74</v>
      </c>
    </row>
    <row r="22261" spans="9:9" x14ac:dyDescent="0.2">
      <c r="I22261" s="137" t="s">
        <v>74</v>
      </c>
    </row>
    <row r="22262" spans="9:9" x14ac:dyDescent="0.2">
      <c r="I22262" s="137" t="s">
        <v>74</v>
      </c>
    </row>
    <row r="22263" spans="9:9" x14ac:dyDescent="0.2">
      <c r="I22263" s="137" t="s">
        <v>74</v>
      </c>
    </row>
    <row r="22264" spans="9:9" x14ac:dyDescent="0.2">
      <c r="I22264" s="137" t="s">
        <v>74</v>
      </c>
    </row>
    <row r="22265" spans="9:9" x14ac:dyDescent="0.2">
      <c r="I22265" s="137" t="s">
        <v>74</v>
      </c>
    </row>
    <row r="22266" spans="9:9" x14ac:dyDescent="0.2">
      <c r="I22266" s="137" t="s">
        <v>74</v>
      </c>
    </row>
    <row r="22267" spans="9:9" x14ac:dyDescent="0.2">
      <c r="I22267" s="137" t="s">
        <v>74</v>
      </c>
    </row>
    <row r="22268" spans="9:9" x14ac:dyDescent="0.2">
      <c r="I22268" s="137" t="s">
        <v>74</v>
      </c>
    </row>
    <row r="22269" spans="9:9" x14ac:dyDescent="0.2">
      <c r="I22269" s="137" t="s">
        <v>74</v>
      </c>
    </row>
    <row r="22270" spans="9:9" x14ac:dyDescent="0.2">
      <c r="I22270" s="137" t="s">
        <v>74</v>
      </c>
    </row>
    <row r="22271" spans="9:9" x14ac:dyDescent="0.2">
      <c r="I22271" s="137" t="s">
        <v>74</v>
      </c>
    </row>
    <row r="22272" spans="9:9" x14ac:dyDescent="0.2">
      <c r="I22272" s="137" t="s">
        <v>74</v>
      </c>
    </row>
    <row r="22273" spans="9:9" x14ac:dyDescent="0.2">
      <c r="I22273" s="137" t="s">
        <v>74</v>
      </c>
    </row>
    <row r="22274" spans="9:9" x14ac:dyDescent="0.2">
      <c r="I22274" s="137" t="s">
        <v>74</v>
      </c>
    </row>
    <row r="22275" spans="9:9" x14ac:dyDescent="0.2">
      <c r="I22275" s="137" t="s">
        <v>74</v>
      </c>
    </row>
    <row r="22276" spans="9:9" x14ac:dyDescent="0.2">
      <c r="I22276" s="137" t="s">
        <v>74</v>
      </c>
    </row>
    <row r="22277" spans="9:9" x14ac:dyDescent="0.2">
      <c r="I22277" s="137" t="s">
        <v>74</v>
      </c>
    </row>
    <row r="22278" spans="9:9" x14ac:dyDescent="0.2">
      <c r="I22278" s="137" t="s">
        <v>74</v>
      </c>
    </row>
    <row r="22279" spans="9:9" x14ac:dyDescent="0.2">
      <c r="I22279" s="137" t="s">
        <v>74</v>
      </c>
    </row>
    <row r="22280" spans="9:9" x14ac:dyDescent="0.2">
      <c r="I22280" s="137" t="s">
        <v>74</v>
      </c>
    </row>
    <row r="22281" spans="9:9" x14ac:dyDescent="0.2">
      <c r="I22281" s="137" t="s">
        <v>74</v>
      </c>
    </row>
    <row r="22282" spans="9:9" x14ac:dyDescent="0.2">
      <c r="I22282" s="137" t="s">
        <v>74</v>
      </c>
    </row>
    <row r="22283" spans="9:9" x14ac:dyDescent="0.2">
      <c r="I22283" s="137" t="s">
        <v>74</v>
      </c>
    </row>
    <row r="22284" spans="9:9" x14ac:dyDescent="0.2">
      <c r="I22284" s="137" t="s">
        <v>74</v>
      </c>
    </row>
    <row r="22285" spans="9:9" x14ac:dyDescent="0.2">
      <c r="I22285" s="137" t="s">
        <v>74</v>
      </c>
    </row>
    <row r="22286" spans="9:9" x14ac:dyDescent="0.2">
      <c r="I22286" s="137" t="s">
        <v>74</v>
      </c>
    </row>
    <row r="22287" spans="9:9" x14ac:dyDescent="0.2">
      <c r="I22287" s="137" t="s">
        <v>74</v>
      </c>
    </row>
    <row r="22288" spans="9:9" x14ac:dyDescent="0.2">
      <c r="I22288" s="137" t="s">
        <v>74</v>
      </c>
    </row>
    <row r="22289" spans="9:9" x14ac:dyDescent="0.2">
      <c r="I22289" s="137" t="s">
        <v>74</v>
      </c>
    </row>
    <row r="22290" spans="9:9" x14ac:dyDescent="0.2">
      <c r="I22290" s="137" t="s">
        <v>74</v>
      </c>
    </row>
    <row r="22291" spans="9:9" x14ac:dyDescent="0.2">
      <c r="I22291" s="137" t="s">
        <v>74</v>
      </c>
    </row>
    <row r="22292" spans="9:9" x14ac:dyDescent="0.2">
      <c r="I22292" s="137" t="s">
        <v>74</v>
      </c>
    </row>
    <row r="22293" spans="9:9" x14ac:dyDescent="0.2">
      <c r="I22293" s="137" t="s">
        <v>74</v>
      </c>
    </row>
    <row r="22294" spans="9:9" x14ac:dyDescent="0.2">
      <c r="I22294" s="137" t="s">
        <v>74</v>
      </c>
    </row>
    <row r="22295" spans="9:9" x14ac:dyDescent="0.2">
      <c r="I22295" s="137" t="s">
        <v>74</v>
      </c>
    </row>
    <row r="22296" spans="9:9" x14ac:dyDescent="0.2">
      <c r="I22296" s="137" t="s">
        <v>74</v>
      </c>
    </row>
    <row r="22297" spans="9:9" x14ac:dyDescent="0.2">
      <c r="I22297" s="137" t="s">
        <v>74</v>
      </c>
    </row>
    <row r="22298" spans="9:9" x14ac:dyDescent="0.2">
      <c r="I22298" s="137" t="s">
        <v>74</v>
      </c>
    </row>
    <row r="22299" spans="9:9" x14ac:dyDescent="0.2">
      <c r="I22299" s="137" t="s">
        <v>74</v>
      </c>
    </row>
    <row r="22300" spans="9:9" x14ac:dyDescent="0.2">
      <c r="I22300" s="137" t="s">
        <v>74</v>
      </c>
    </row>
    <row r="22301" spans="9:9" x14ac:dyDescent="0.2">
      <c r="I22301" s="137" t="s">
        <v>74</v>
      </c>
    </row>
    <row r="22302" spans="9:9" x14ac:dyDescent="0.2">
      <c r="I22302" s="137" t="s">
        <v>74</v>
      </c>
    </row>
    <row r="22303" spans="9:9" x14ac:dyDescent="0.2">
      <c r="I22303" s="137" t="s">
        <v>74</v>
      </c>
    </row>
    <row r="22304" spans="9:9" x14ac:dyDescent="0.2">
      <c r="I22304" s="137" t="s">
        <v>74</v>
      </c>
    </row>
    <row r="22305" spans="9:9" x14ac:dyDescent="0.2">
      <c r="I22305" s="137" t="s">
        <v>74</v>
      </c>
    </row>
    <row r="22306" spans="9:9" x14ac:dyDescent="0.2">
      <c r="I22306" s="137" t="s">
        <v>74</v>
      </c>
    </row>
    <row r="22307" spans="9:9" x14ac:dyDescent="0.2">
      <c r="I22307" s="137" t="s">
        <v>74</v>
      </c>
    </row>
    <row r="22308" spans="9:9" x14ac:dyDescent="0.2">
      <c r="I22308" s="137" t="s">
        <v>74</v>
      </c>
    </row>
    <row r="22309" spans="9:9" x14ac:dyDescent="0.2">
      <c r="I22309" s="137" t="s">
        <v>74</v>
      </c>
    </row>
    <row r="22310" spans="9:9" x14ac:dyDescent="0.2">
      <c r="I22310" s="137" t="s">
        <v>74</v>
      </c>
    </row>
    <row r="22311" spans="9:9" x14ac:dyDescent="0.2">
      <c r="I22311" s="137" t="s">
        <v>74</v>
      </c>
    </row>
    <row r="22312" spans="9:9" x14ac:dyDescent="0.2">
      <c r="I22312" s="137" t="s">
        <v>74</v>
      </c>
    </row>
    <row r="22313" spans="9:9" x14ac:dyDescent="0.2">
      <c r="I22313" s="137" t="s">
        <v>74</v>
      </c>
    </row>
    <row r="22314" spans="9:9" x14ac:dyDescent="0.2">
      <c r="I22314" s="137" t="s">
        <v>74</v>
      </c>
    </row>
    <row r="22315" spans="9:9" x14ac:dyDescent="0.2">
      <c r="I22315" s="137" t="s">
        <v>74</v>
      </c>
    </row>
    <row r="22316" spans="9:9" x14ac:dyDescent="0.2">
      <c r="I22316" s="137" t="s">
        <v>74</v>
      </c>
    </row>
    <row r="22317" spans="9:9" x14ac:dyDescent="0.2">
      <c r="I22317" s="137" t="s">
        <v>74</v>
      </c>
    </row>
    <row r="22318" spans="9:9" x14ac:dyDescent="0.2">
      <c r="I22318" s="137" t="s">
        <v>74</v>
      </c>
    </row>
    <row r="22319" spans="9:9" x14ac:dyDescent="0.2">
      <c r="I22319" s="137" t="s">
        <v>74</v>
      </c>
    </row>
    <row r="22320" spans="9:9" x14ac:dyDescent="0.2">
      <c r="I22320" s="137" t="s">
        <v>74</v>
      </c>
    </row>
    <row r="22321" spans="9:9" x14ac:dyDescent="0.2">
      <c r="I22321" s="137" t="s">
        <v>74</v>
      </c>
    </row>
    <row r="22322" spans="9:9" x14ac:dyDescent="0.2">
      <c r="I22322" s="137" t="s">
        <v>74</v>
      </c>
    </row>
    <row r="22323" spans="9:9" x14ac:dyDescent="0.2">
      <c r="I22323" s="137" t="s">
        <v>74</v>
      </c>
    </row>
    <row r="22324" spans="9:9" x14ac:dyDescent="0.2">
      <c r="I22324" s="137" t="s">
        <v>74</v>
      </c>
    </row>
    <row r="22325" spans="9:9" x14ac:dyDescent="0.2">
      <c r="I22325" s="137" t="s">
        <v>74</v>
      </c>
    </row>
    <row r="22326" spans="9:9" x14ac:dyDescent="0.2">
      <c r="I22326" s="137" t="s">
        <v>74</v>
      </c>
    </row>
    <row r="22327" spans="9:9" x14ac:dyDescent="0.2">
      <c r="I22327" s="137" t="s">
        <v>74</v>
      </c>
    </row>
    <row r="22328" spans="9:9" x14ac:dyDescent="0.2">
      <c r="I22328" s="137" t="s">
        <v>74</v>
      </c>
    </row>
    <row r="22329" spans="9:9" x14ac:dyDescent="0.2">
      <c r="I22329" s="137" t="s">
        <v>74</v>
      </c>
    </row>
    <row r="22330" spans="9:9" x14ac:dyDescent="0.2">
      <c r="I22330" s="137" t="s">
        <v>74</v>
      </c>
    </row>
    <row r="22331" spans="9:9" x14ac:dyDescent="0.2">
      <c r="I22331" s="137" t="s">
        <v>74</v>
      </c>
    </row>
    <row r="22332" spans="9:9" x14ac:dyDescent="0.2">
      <c r="I22332" s="137" t="s">
        <v>74</v>
      </c>
    </row>
    <row r="22333" spans="9:9" x14ac:dyDescent="0.2">
      <c r="I22333" s="137" t="s">
        <v>74</v>
      </c>
    </row>
    <row r="22334" spans="9:9" x14ac:dyDescent="0.2">
      <c r="I22334" s="137" t="s">
        <v>74</v>
      </c>
    </row>
    <row r="22335" spans="9:9" x14ac:dyDescent="0.2">
      <c r="I22335" s="137" t="s">
        <v>74</v>
      </c>
    </row>
    <row r="22336" spans="9:9" x14ac:dyDescent="0.2">
      <c r="I22336" s="137" t="s">
        <v>74</v>
      </c>
    </row>
    <row r="22337" spans="9:9" x14ac:dyDescent="0.2">
      <c r="I22337" s="137" t="s">
        <v>74</v>
      </c>
    </row>
    <row r="22338" spans="9:9" x14ac:dyDescent="0.2">
      <c r="I22338" s="137" t="s">
        <v>74</v>
      </c>
    </row>
    <row r="22339" spans="9:9" x14ac:dyDescent="0.2">
      <c r="I22339" s="137" t="s">
        <v>74</v>
      </c>
    </row>
    <row r="22340" spans="9:9" x14ac:dyDescent="0.2">
      <c r="I22340" s="137" t="s">
        <v>74</v>
      </c>
    </row>
    <row r="22341" spans="9:9" x14ac:dyDescent="0.2">
      <c r="I22341" s="137" t="s">
        <v>74</v>
      </c>
    </row>
    <row r="22342" spans="9:9" x14ac:dyDescent="0.2">
      <c r="I22342" s="137" t="s">
        <v>74</v>
      </c>
    </row>
    <row r="22343" spans="9:9" x14ac:dyDescent="0.2">
      <c r="I22343" s="137" t="s">
        <v>74</v>
      </c>
    </row>
    <row r="22344" spans="9:9" x14ac:dyDescent="0.2">
      <c r="I22344" s="137" t="s">
        <v>74</v>
      </c>
    </row>
    <row r="22345" spans="9:9" x14ac:dyDescent="0.2">
      <c r="I22345" s="137" t="s">
        <v>74</v>
      </c>
    </row>
    <row r="22346" spans="9:9" x14ac:dyDescent="0.2">
      <c r="I22346" s="137" t="s">
        <v>74</v>
      </c>
    </row>
    <row r="22347" spans="9:9" x14ac:dyDescent="0.2">
      <c r="I22347" s="137" t="s">
        <v>74</v>
      </c>
    </row>
    <row r="22348" spans="9:9" x14ac:dyDescent="0.2">
      <c r="I22348" s="137" t="s">
        <v>74</v>
      </c>
    </row>
    <row r="22349" spans="9:9" x14ac:dyDescent="0.2">
      <c r="I22349" s="137" t="s">
        <v>74</v>
      </c>
    </row>
    <row r="22350" spans="9:9" x14ac:dyDescent="0.2">
      <c r="I22350" s="137" t="s">
        <v>74</v>
      </c>
    </row>
    <row r="22351" spans="9:9" x14ac:dyDescent="0.2">
      <c r="I22351" s="137" t="s">
        <v>74</v>
      </c>
    </row>
    <row r="22352" spans="9:9" x14ac:dyDescent="0.2">
      <c r="I22352" s="137" t="s">
        <v>74</v>
      </c>
    </row>
    <row r="22353" spans="9:9" x14ac:dyDescent="0.2">
      <c r="I22353" s="137" t="s">
        <v>74</v>
      </c>
    </row>
    <row r="22354" spans="9:9" x14ac:dyDescent="0.2">
      <c r="I22354" s="137" t="s">
        <v>74</v>
      </c>
    </row>
    <row r="22355" spans="9:9" x14ac:dyDescent="0.2">
      <c r="I22355" s="137" t="s">
        <v>74</v>
      </c>
    </row>
    <row r="22356" spans="9:9" x14ac:dyDescent="0.2">
      <c r="I22356" s="137" t="s">
        <v>74</v>
      </c>
    </row>
    <row r="22357" spans="9:9" x14ac:dyDescent="0.2">
      <c r="I22357" s="137" t="s">
        <v>74</v>
      </c>
    </row>
    <row r="22358" spans="9:9" x14ac:dyDescent="0.2">
      <c r="I22358" s="137" t="s">
        <v>74</v>
      </c>
    </row>
    <row r="22359" spans="9:9" x14ac:dyDescent="0.2">
      <c r="I22359" s="137" t="s">
        <v>74</v>
      </c>
    </row>
    <row r="22360" spans="9:9" x14ac:dyDescent="0.2">
      <c r="I22360" s="137" t="s">
        <v>74</v>
      </c>
    </row>
    <row r="22361" spans="9:9" x14ac:dyDescent="0.2">
      <c r="I22361" s="137" t="s">
        <v>74</v>
      </c>
    </row>
    <row r="22362" spans="9:9" x14ac:dyDescent="0.2">
      <c r="I22362" s="137" t="s">
        <v>74</v>
      </c>
    </row>
    <row r="22363" spans="9:9" x14ac:dyDescent="0.2">
      <c r="I22363" s="137" t="s">
        <v>74</v>
      </c>
    </row>
    <row r="22364" spans="9:9" x14ac:dyDescent="0.2">
      <c r="I22364" s="137" t="s">
        <v>74</v>
      </c>
    </row>
    <row r="22365" spans="9:9" x14ac:dyDescent="0.2">
      <c r="I22365" s="137" t="s">
        <v>74</v>
      </c>
    </row>
    <row r="22366" spans="9:9" x14ac:dyDescent="0.2">
      <c r="I22366" s="137" t="s">
        <v>74</v>
      </c>
    </row>
    <row r="22367" spans="9:9" x14ac:dyDescent="0.2">
      <c r="I22367" s="137" t="s">
        <v>74</v>
      </c>
    </row>
    <row r="22368" spans="9:9" x14ac:dyDescent="0.2">
      <c r="I22368" s="137" t="s">
        <v>74</v>
      </c>
    </row>
    <row r="22369" spans="9:9" x14ac:dyDescent="0.2">
      <c r="I22369" s="137" t="s">
        <v>74</v>
      </c>
    </row>
    <row r="22370" spans="9:9" x14ac:dyDescent="0.2">
      <c r="I22370" s="137" t="s">
        <v>74</v>
      </c>
    </row>
    <row r="22371" spans="9:9" x14ac:dyDescent="0.2">
      <c r="I22371" s="137" t="s">
        <v>74</v>
      </c>
    </row>
    <row r="22372" spans="9:9" x14ac:dyDescent="0.2">
      <c r="I22372" s="137" t="s">
        <v>74</v>
      </c>
    </row>
    <row r="22373" spans="9:9" x14ac:dyDescent="0.2">
      <c r="I22373" s="137" t="s">
        <v>74</v>
      </c>
    </row>
    <row r="22374" spans="9:9" x14ac:dyDescent="0.2">
      <c r="I22374" s="137" t="s">
        <v>74</v>
      </c>
    </row>
    <row r="22375" spans="9:9" x14ac:dyDescent="0.2">
      <c r="I22375" s="137" t="s">
        <v>74</v>
      </c>
    </row>
    <row r="22376" spans="9:9" x14ac:dyDescent="0.2">
      <c r="I22376" s="137" t="s">
        <v>74</v>
      </c>
    </row>
    <row r="22377" spans="9:9" x14ac:dyDescent="0.2">
      <c r="I22377" s="137" t="s">
        <v>74</v>
      </c>
    </row>
    <row r="22378" spans="9:9" x14ac:dyDescent="0.2">
      <c r="I22378" s="137" t="s">
        <v>74</v>
      </c>
    </row>
    <row r="22379" spans="9:9" x14ac:dyDescent="0.2">
      <c r="I22379" s="137" t="s">
        <v>74</v>
      </c>
    </row>
    <row r="22380" spans="9:9" x14ac:dyDescent="0.2">
      <c r="I22380" s="137" t="s">
        <v>74</v>
      </c>
    </row>
    <row r="22381" spans="9:9" x14ac:dyDescent="0.2">
      <c r="I22381" s="137" t="s">
        <v>74</v>
      </c>
    </row>
    <row r="22382" spans="9:9" x14ac:dyDescent="0.2">
      <c r="I22382" s="137" t="s">
        <v>74</v>
      </c>
    </row>
    <row r="22383" spans="9:9" x14ac:dyDescent="0.2">
      <c r="I22383" s="137" t="s">
        <v>74</v>
      </c>
    </row>
    <row r="22384" spans="9:9" x14ac:dyDescent="0.2">
      <c r="I22384" s="137" t="s">
        <v>74</v>
      </c>
    </row>
    <row r="22385" spans="9:9" x14ac:dyDescent="0.2">
      <c r="I22385" s="137" t="s">
        <v>74</v>
      </c>
    </row>
    <row r="22386" spans="9:9" x14ac:dyDescent="0.2">
      <c r="I22386" s="137" t="s">
        <v>74</v>
      </c>
    </row>
    <row r="22387" spans="9:9" x14ac:dyDescent="0.2">
      <c r="I22387" s="137" t="s">
        <v>74</v>
      </c>
    </row>
    <row r="22388" spans="9:9" x14ac:dyDescent="0.2">
      <c r="I22388" s="137" t="s">
        <v>74</v>
      </c>
    </row>
    <row r="22389" spans="9:9" x14ac:dyDescent="0.2">
      <c r="I22389" s="137" t="s">
        <v>74</v>
      </c>
    </row>
    <row r="22390" spans="9:9" x14ac:dyDescent="0.2">
      <c r="I22390" s="137" t="s">
        <v>74</v>
      </c>
    </row>
    <row r="22391" spans="9:9" x14ac:dyDescent="0.2">
      <c r="I22391" s="137" t="s">
        <v>74</v>
      </c>
    </row>
    <row r="22392" spans="9:9" x14ac:dyDescent="0.2">
      <c r="I22392" s="137" t="s">
        <v>74</v>
      </c>
    </row>
    <row r="22393" spans="9:9" x14ac:dyDescent="0.2">
      <c r="I22393" s="137" t="s">
        <v>74</v>
      </c>
    </row>
    <row r="22394" spans="9:9" x14ac:dyDescent="0.2">
      <c r="I22394" s="137" t="s">
        <v>74</v>
      </c>
    </row>
    <row r="22395" spans="9:9" x14ac:dyDescent="0.2">
      <c r="I22395" s="137" t="s">
        <v>74</v>
      </c>
    </row>
    <row r="22396" spans="9:9" x14ac:dyDescent="0.2">
      <c r="I22396" s="137" t="s">
        <v>74</v>
      </c>
    </row>
    <row r="22397" spans="9:9" x14ac:dyDescent="0.2">
      <c r="I22397" s="137" t="s">
        <v>74</v>
      </c>
    </row>
    <row r="22398" spans="9:9" x14ac:dyDescent="0.2">
      <c r="I22398" s="137" t="s">
        <v>74</v>
      </c>
    </row>
    <row r="22399" spans="9:9" x14ac:dyDescent="0.2">
      <c r="I22399" s="137" t="s">
        <v>74</v>
      </c>
    </row>
    <row r="22400" spans="9:9" x14ac:dyDescent="0.2">
      <c r="I22400" s="137" t="s">
        <v>74</v>
      </c>
    </row>
    <row r="22401" spans="9:9" x14ac:dyDescent="0.2">
      <c r="I22401" s="137" t="s">
        <v>74</v>
      </c>
    </row>
    <row r="22402" spans="9:9" x14ac:dyDescent="0.2">
      <c r="I22402" s="137" t="s">
        <v>74</v>
      </c>
    </row>
    <row r="22403" spans="9:9" x14ac:dyDescent="0.2">
      <c r="I22403" s="137" t="s">
        <v>74</v>
      </c>
    </row>
    <row r="22404" spans="9:9" x14ac:dyDescent="0.2">
      <c r="I22404" s="137" t="s">
        <v>74</v>
      </c>
    </row>
    <row r="22405" spans="9:9" x14ac:dyDescent="0.2">
      <c r="I22405" s="137" t="s">
        <v>74</v>
      </c>
    </row>
    <row r="22406" spans="9:9" x14ac:dyDescent="0.2">
      <c r="I22406" s="137" t="s">
        <v>74</v>
      </c>
    </row>
    <row r="22407" spans="9:9" x14ac:dyDescent="0.2">
      <c r="I22407" s="137" t="s">
        <v>74</v>
      </c>
    </row>
    <row r="22408" spans="9:9" x14ac:dyDescent="0.2">
      <c r="I22408" s="137" t="s">
        <v>74</v>
      </c>
    </row>
    <row r="22409" spans="9:9" x14ac:dyDescent="0.2">
      <c r="I22409" s="137" t="s">
        <v>74</v>
      </c>
    </row>
    <row r="22410" spans="9:9" x14ac:dyDescent="0.2">
      <c r="I22410" s="137" t="s">
        <v>74</v>
      </c>
    </row>
    <row r="22411" spans="9:9" x14ac:dyDescent="0.2">
      <c r="I22411" s="137" t="s">
        <v>74</v>
      </c>
    </row>
    <row r="22412" spans="9:9" x14ac:dyDescent="0.2">
      <c r="I22412" s="137" t="s">
        <v>74</v>
      </c>
    </row>
    <row r="22413" spans="9:9" x14ac:dyDescent="0.2">
      <c r="I22413" s="137" t="s">
        <v>74</v>
      </c>
    </row>
    <row r="22414" spans="9:9" x14ac:dyDescent="0.2">
      <c r="I22414" s="137" t="s">
        <v>74</v>
      </c>
    </row>
    <row r="22415" spans="9:9" x14ac:dyDescent="0.2">
      <c r="I22415" s="137" t="s">
        <v>74</v>
      </c>
    </row>
    <row r="22416" spans="9:9" x14ac:dyDescent="0.2">
      <c r="I22416" s="137" t="s">
        <v>74</v>
      </c>
    </row>
    <row r="22417" spans="9:9" x14ac:dyDescent="0.2">
      <c r="I22417" s="137" t="s">
        <v>74</v>
      </c>
    </row>
    <row r="22418" spans="9:9" x14ac:dyDescent="0.2">
      <c r="I22418" s="137" t="s">
        <v>74</v>
      </c>
    </row>
    <row r="22419" spans="9:9" x14ac:dyDescent="0.2">
      <c r="I22419" s="137" t="s">
        <v>74</v>
      </c>
    </row>
    <row r="22420" spans="9:9" x14ac:dyDescent="0.2">
      <c r="I22420" s="137" t="s">
        <v>74</v>
      </c>
    </row>
    <row r="22421" spans="9:9" x14ac:dyDescent="0.2">
      <c r="I22421" s="137" t="s">
        <v>74</v>
      </c>
    </row>
    <row r="22422" spans="9:9" x14ac:dyDescent="0.2">
      <c r="I22422" s="137" t="s">
        <v>74</v>
      </c>
    </row>
    <row r="22423" spans="9:9" x14ac:dyDescent="0.2">
      <c r="I22423" s="137" t="s">
        <v>74</v>
      </c>
    </row>
    <row r="22424" spans="9:9" x14ac:dyDescent="0.2">
      <c r="I22424" s="137" t="s">
        <v>74</v>
      </c>
    </row>
    <row r="22425" spans="9:9" x14ac:dyDescent="0.2">
      <c r="I22425" s="137" t="s">
        <v>74</v>
      </c>
    </row>
    <row r="22426" spans="9:9" x14ac:dyDescent="0.2">
      <c r="I22426" s="137" t="s">
        <v>74</v>
      </c>
    </row>
    <row r="22427" spans="9:9" x14ac:dyDescent="0.2">
      <c r="I22427" s="137" t="s">
        <v>74</v>
      </c>
    </row>
    <row r="22428" spans="9:9" x14ac:dyDescent="0.2">
      <c r="I22428" s="137" t="s">
        <v>74</v>
      </c>
    </row>
    <row r="22429" spans="9:9" x14ac:dyDescent="0.2">
      <c r="I22429" s="137" t="s">
        <v>74</v>
      </c>
    </row>
    <row r="22430" spans="9:9" x14ac:dyDescent="0.2">
      <c r="I22430" s="137" t="s">
        <v>74</v>
      </c>
    </row>
    <row r="22431" spans="9:9" x14ac:dyDescent="0.2">
      <c r="I22431" s="137" t="s">
        <v>74</v>
      </c>
    </row>
    <row r="22432" spans="9:9" x14ac:dyDescent="0.2">
      <c r="I22432" s="137" t="s">
        <v>74</v>
      </c>
    </row>
    <row r="22433" spans="9:9" x14ac:dyDescent="0.2">
      <c r="I22433" s="137" t="s">
        <v>74</v>
      </c>
    </row>
    <row r="22434" spans="9:9" x14ac:dyDescent="0.2">
      <c r="I22434" s="137" t="s">
        <v>74</v>
      </c>
    </row>
    <row r="22435" spans="9:9" x14ac:dyDescent="0.2">
      <c r="I22435" s="137" t="s">
        <v>74</v>
      </c>
    </row>
    <row r="22436" spans="9:9" x14ac:dyDescent="0.2">
      <c r="I22436" s="137" t="s">
        <v>74</v>
      </c>
    </row>
    <row r="22437" spans="9:9" x14ac:dyDescent="0.2">
      <c r="I22437" s="137" t="s">
        <v>74</v>
      </c>
    </row>
    <row r="22438" spans="9:9" x14ac:dyDescent="0.2">
      <c r="I22438" s="137" t="s">
        <v>74</v>
      </c>
    </row>
    <row r="22439" spans="9:9" x14ac:dyDescent="0.2">
      <c r="I22439" s="137" t="s">
        <v>74</v>
      </c>
    </row>
    <row r="22440" spans="9:9" x14ac:dyDescent="0.2">
      <c r="I22440" s="137" t="s">
        <v>74</v>
      </c>
    </row>
    <row r="22441" spans="9:9" x14ac:dyDescent="0.2">
      <c r="I22441" s="137" t="s">
        <v>74</v>
      </c>
    </row>
    <row r="22442" spans="9:9" x14ac:dyDescent="0.2">
      <c r="I22442" s="137" t="s">
        <v>74</v>
      </c>
    </row>
    <row r="22443" spans="9:9" x14ac:dyDescent="0.2">
      <c r="I22443" s="137" t="s">
        <v>74</v>
      </c>
    </row>
    <row r="22444" spans="9:9" x14ac:dyDescent="0.2">
      <c r="I22444" s="137" t="s">
        <v>74</v>
      </c>
    </row>
    <row r="22445" spans="9:9" x14ac:dyDescent="0.2">
      <c r="I22445" s="137" t="s">
        <v>74</v>
      </c>
    </row>
    <row r="22446" spans="9:9" x14ac:dyDescent="0.2">
      <c r="I22446" s="137" t="s">
        <v>74</v>
      </c>
    </row>
    <row r="22447" spans="9:9" x14ac:dyDescent="0.2">
      <c r="I22447" s="137" t="s">
        <v>74</v>
      </c>
    </row>
    <row r="22448" spans="9:9" x14ac:dyDescent="0.2">
      <c r="I22448" s="137" t="s">
        <v>74</v>
      </c>
    </row>
    <row r="22449" spans="9:9" x14ac:dyDescent="0.2">
      <c r="I22449" s="137" t="s">
        <v>74</v>
      </c>
    </row>
    <row r="22450" spans="9:9" x14ac:dyDescent="0.2">
      <c r="I22450" s="137" t="s">
        <v>74</v>
      </c>
    </row>
    <row r="22451" spans="9:9" x14ac:dyDescent="0.2">
      <c r="I22451" s="137" t="s">
        <v>74</v>
      </c>
    </row>
    <row r="22452" spans="9:9" x14ac:dyDescent="0.2">
      <c r="I22452" s="137" t="s">
        <v>74</v>
      </c>
    </row>
    <row r="22453" spans="9:9" x14ac:dyDescent="0.2">
      <c r="I22453" s="137" t="s">
        <v>74</v>
      </c>
    </row>
    <row r="22454" spans="9:9" x14ac:dyDescent="0.2">
      <c r="I22454" s="137" t="s">
        <v>74</v>
      </c>
    </row>
    <row r="22455" spans="9:9" x14ac:dyDescent="0.2">
      <c r="I22455" s="137" t="s">
        <v>74</v>
      </c>
    </row>
    <row r="22456" spans="9:9" x14ac:dyDescent="0.2">
      <c r="I22456" s="137" t="s">
        <v>74</v>
      </c>
    </row>
    <row r="22457" spans="9:9" x14ac:dyDescent="0.2">
      <c r="I22457" s="137" t="s">
        <v>74</v>
      </c>
    </row>
    <row r="22458" spans="9:9" x14ac:dyDescent="0.2">
      <c r="I22458" s="137" t="s">
        <v>74</v>
      </c>
    </row>
    <row r="22459" spans="9:9" x14ac:dyDescent="0.2">
      <c r="I22459" s="137" t="s">
        <v>74</v>
      </c>
    </row>
    <row r="22460" spans="9:9" x14ac:dyDescent="0.2">
      <c r="I22460" s="137" t="s">
        <v>74</v>
      </c>
    </row>
    <row r="22461" spans="9:9" x14ac:dyDescent="0.2">
      <c r="I22461" s="137" t="s">
        <v>74</v>
      </c>
    </row>
    <row r="22462" spans="9:9" x14ac:dyDescent="0.2">
      <c r="I22462" s="137" t="s">
        <v>74</v>
      </c>
    </row>
    <row r="22463" spans="9:9" x14ac:dyDescent="0.2">
      <c r="I22463" s="137" t="s">
        <v>74</v>
      </c>
    </row>
    <row r="22464" spans="9:9" x14ac:dyDescent="0.2">
      <c r="I22464" s="137" t="s">
        <v>74</v>
      </c>
    </row>
    <row r="22465" spans="9:9" x14ac:dyDescent="0.2">
      <c r="I22465" s="137" t="s">
        <v>74</v>
      </c>
    </row>
    <row r="22466" spans="9:9" x14ac:dyDescent="0.2">
      <c r="I22466" s="137" t="s">
        <v>74</v>
      </c>
    </row>
    <row r="22467" spans="9:9" x14ac:dyDescent="0.2">
      <c r="I22467" s="137" t="s">
        <v>74</v>
      </c>
    </row>
    <row r="22468" spans="9:9" x14ac:dyDescent="0.2">
      <c r="I22468" s="137" t="s">
        <v>74</v>
      </c>
    </row>
    <row r="22469" spans="9:9" x14ac:dyDescent="0.2">
      <c r="I22469" s="137" t="s">
        <v>74</v>
      </c>
    </row>
    <row r="22470" spans="9:9" x14ac:dyDescent="0.2">
      <c r="I22470" s="137" t="s">
        <v>74</v>
      </c>
    </row>
    <row r="22471" spans="9:9" x14ac:dyDescent="0.2">
      <c r="I22471" s="137" t="s">
        <v>74</v>
      </c>
    </row>
    <row r="22472" spans="9:9" x14ac:dyDescent="0.2">
      <c r="I22472" s="137" t="s">
        <v>74</v>
      </c>
    </row>
    <row r="22473" spans="9:9" x14ac:dyDescent="0.2">
      <c r="I22473" s="137" t="s">
        <v>74</v>
      </c>
    </row>
    <row r="22474" spans="9:9" x14ac:dyDescent="0.2">
      <c r="I22474" s="137" t="s">
        <v>74</v>
      </c>
    </row>
    <row r="22475" spans="9:9" x14ac:dyDescent="0.2">
      <c r="I22475" s="137" t="s">
        <v>74</v>
      </c>
    </row>
    <row r="22476" spans="9:9" x14ac:dyDescent="0.2">
      <c r="I22476" s="137" t="s">
        <v>74</v>
      </c>
    </row>
    <row r="22477" spans="9:9" x14ac:dyDescent="0.2">
      <c r="I22477" s="137" t="s">
        <v>74</v>
      </c>
    </row>
    <row r="22478" spans="9:9" x14ac:dyDescent="0.2">
      <c r="I22478" s="137" t="s">
        <v>74</v>
      </c>
    </row>
    <row r="22479" spans="9:9" x14ac:dyDescent="0.2">
      <c r="I22479" s="137" t="s">
        <v>74</v>
      </c>
    </row>
    <row r="22480" spans="9:9" x14ac:dyDescent="0.2">
      <c r="I22480" s="137" t="s">
        <v>74</v>
      </c>
    </row>
    <row r="22481" spans="9:9" x14ac:dyDescent="0.2">
      <c r="I22481" s="137" t="s">
        <v>74</v>
      </c>
    </row>
    <row r="22482" spans="9:9" x14ac:dyDescent="0.2">
      <c r="I22482" s="137" t="s">
        <v>74</v>
      </c>
    </row>
    <row r="22483" spans="9:9" x14ac:dyDescent="0.2">
      <c r="I22483" s="137" t="s">
        <v>74</v>
      </c>
    </row>
    <row r="22484" spans="9:9" x14ac:dyDescent="0.2">
      <c r="I22484" s="137" t="s">
        <v>74</v>
      </c>
    </row>
    <row r="22485" spans="9:9" x14ac:dyDescent="0.2">
      <c r="I22485" s="137" t="s">
        <v>74</v>
      </c>
    </row>
    <row r="22486" spans="9:9" x14ac:dyDescent="0.2">
      <c r="I22486" s="137" t="s">
        <v>74</v>
      </c>
    </row>
    <row r="22487" spans="9:9" x14ac:dyDescent="0.2">
      <c r="I22487" s="137" t="s">
        <v>74</v>
      </c>
    </row>
    <row r="22488" spans="9:9" x14ac:dyDescent="0.2">
      <c r="I22488" s="137" t="s">
        <v>74</v>
      </c>
    </row>
    <row r="22489" spans="9:9" x14ac:dyDescent="0.2">
      <c r="I22489" s="137" t="s">
        <v>74</v>
      </c>
    </row>
    <row r="22490" spans="9:9" x14ac:dyDescent="0.2">
      <c r="I22490" s="137" t="s">
        <v>74</v>
      </c>
    </row>
    <row r="22491" spans="9:9" x14ac:dyDescent="0.2">
      <c r="I22491" s="137" t="s">
        <v>74</v>
      </c>
    </row>
    <row r="22492" spans="9:9" x14ac:dyDescent="0.2">
      <c r="I22492" s="137" t="s">
        <v>74</v>
      </c>
    </row>
    <row r="22493" spans="9:9" x14ac:dyDescent="0.2">
      <c r="I22493" s="137" t="s">
        <v>74</v>
      </c>
    </row>
    <row r="22494" spans="9:9" x14ac:dyDescent="0.2">
      <c r="I22494" s="137" t="s">
        <v>74</v>
      </c>
    </row>
    <row r="22495" spans="9:9" x14ac:dyDescent="0.2">
      <c r="I22495" s="137" t="s">
        <v>74</v>
      </c>
    </row>
    <row r="22496" spans="9:9" x14ac:dyDescent="0.2">
      <c r="I22496" s="137" t="s">
        <v>74</v>
      </c>
    </row>
    <row r="22497" spans="9:9" x14ac:dyDescent="0.2">
      <c r="I22497" s="137" t="s">
        <v>74</v>
      </c>
    </row>
    <row r="22498" spans="9:9" x14ac:dyDescent="0.2">
      <c r="I22498" s="137" t="s">
        <v>74</v>
      </c>
    </row>
    <row r="22499" spans="9:9" x14ac:dyDescent="0.2">
      <c r="I22499" s="137" t="s">
        <v>74</v>
      </c>
    </row>
    <row r="22500" spans="9:9" x14ac:dyDescent="0.2">
      <c r="I22500" s="137" t="s">
        <v>74</v>
      </c>
    </row>
    <row r="22501" spans="9:9" x14ac:dyDescent="0.2">
      <c r="I22501" s="137" t="s">
        <v>74</v>
      </c>
    </row>
    <row r="22502" spans="9:9" x14ac:dyDescent="0.2">
      <c r="I22502" s="137" t="s">
        <v>74</v>
      </c>
    </row>
    <row r="22503" spans="9:9" x14ac:dyDescent="0.2">
      <c r="I22503" s="137" t="s">
        <v>74</v>
      </c>
    </row>
    <row r="22504" spans="9:9" x14ac:dyDescent="0.2">
      <c r="I22504" s="137" t="s">
        <v>74</v>
      </c>
    </row>
    <row r="22505" spans="9:9" x14ac:dyDescent="0.2">
      <c r="I22505" s="137" t="s">
        <v>74</v>
      </c>
    </row>
    <row r="22506" spans="9:9" x14ac:dyDescent="0.2">
      <c r="I22506" s="137" t="s">
        <v>74</v>
      </c>
    </row>
    <row r="22507" spans="9:9" x14ac:dyDescent="0.2">
      <c r="I22507" s="137" t="s">
        <v>74</v>
      </c>
    </row>
    <row r="22508" spans="9:9" x14ac:dyDescent="0.2">
      <c r="I22508" s="137" t="s">
        <v>74</v>
      </c>
    </row>
    <row r="22509" spans="9:9" x14ac:dyDescent="0.2">
      <c r="I22509" s="137" t="s">
        <v>74</v>
      </c>
    </row>
    <row r="22510" spans="9:9" x14ac:dyDescent="0.2">
      <c r="I22510" s="137" t="s">
        <v>74</v>
      </c>
    </row>
    <row r="22511" spans="9:9" x14ac:dyDescent="0.2">
      <c r="I22511" s="137" t="s">
        <v>74</v>
      </c>
    </row>
    <row r="22512" spans="9:9" x14ac:dyDescent="0.2">
      <c r="I22512" s="137" t="s">
        <v>74</v>
      </c>
    </row>
    <row r="22513" spans="9:9" x14ac:dyDescent="0.2">
      <c r="I22513" s="137" t="s">
        <v>74</v>
      </c>
    </row>
    <row r="22514" spans="9:9" x14ac:dyDescent="0.2">
      <c r="I22514" s="137" t="s">
        <v>74</v>
      </c>
    </row>
    <row r="22515" spans="9:9" x14ac:dyDescent="0.2">
      <c r="I22515" s="137" t="s">
        <v>74</v>
      </c>
    </row>
    <row r="22516" spans="9:9" x14ac:dyDescent="0.2">
      <c r="I22516" s="137" t="s">
        <v>74</v>
      </c>
    </row>
    <row r="22517" spans="9:9" x14ac:dyDescent="0.2">
      <c r="I22517" s="137" t="s">
        <v>74</v>
      </c>
    </row>
    <row r="22518" spans="9:9" x14ac:dyDescent="0.2">
      <c r="I22518" s="137" t="s">
        <v>74</v>
      </c>
    </row>
    <row r="22519" spans="9:9" x14ac:dyDescent="0.2">
      <c r="I22519" s="137" t="s">
        <v>74</v>
      </c>
    </row>
    <row r="22520" spans="9:9" x14ac:dyDescent="0.2">
      <c r="I22520" s="137" t="s">
        <v>74</v>
      </c>
    </row>
    <row r="22521" spans="9:9" x14ac:dyDescent="0.2">
      <c r="I22521" s="137" t="s">
        <v>74</v>
      </c>
    </row>
    <row r="22522" spans="9:9" x14ac:dyDescent="0.2">
      <c r="I22522" s="137" t="s">
        <v>74</v>
      </c>
    </row>
    <row r="22523" spans="9:9" x14ac:dyDescent="0.2">
      <c r="I22523" s="137" t="s">
        <v>74</v>
      </c>
    </row>
    <row r="22524" spans="9:9" x14ac:dyDescent="0.2">
      <c r="I22524" s="137" t="s">
        <v>74</v>
      </c>
    </row>
    <row r="22525" spans="9:9" x14ac:dyDescent="0.2">
      <c r="I22525" s="137" t="s">
        <v>74</v>
      </c>
    </row>
    <row r="22526" spans="9:9" x14ac:dyDescent="0.2">
      <c r="I22526" s="137" t="s">
        <v>74</v>
      </c>
    </row>
    <row r="22527" spans="9:9" x14ac:dyDescent="0.2">
      <c r="I22527" s="137" t="s">
        <v>74</v>
      </c>
    </row>
    <row r="22528" spans="9:9" x14ac:dyDescent="0.2">
      <c r="I22528" s="137" t="s">
        <v>74</v>
      </c>
    </row>
    <row r="22529" spans="9:9" x14ac:dyDescent="0.2">
      <c r="I22529" s="137" t="s">
        <v>74</v>
      </c>
    </row>
    <row r="22530" spans="9:9" x14ac:dyDescent="0.2">
      <c r="I22530" s="137" t="s">
        <v>74</v>
      </c>
    </row>
    <row r="22531" spans="9:9" x14ac:dyDescent="0.2">
      <c r="I22531" s="137" t="s">
        <v>74</v>
      </c>
    </row>
    <row r="22532" spans="9:9" x14ac:dyDescent="0.2">
      <c r="I22532" s="137" t="s">
        <v>74</v>
      </c>
    </row>
    <row r="22533" spans="9:9" x14ac:dyDescent="0.2">
      <c r="I22533" s="137" t="s">
        <v>74</v>
      </c>
    </row>
    <row r="22534" spans="9:9" x14ac:dyDescent="0.2">
      <c r="I22534" s="137" t="s">
        <v>74</v>
      </c>
    </row>
    <row r="22535" spans="9:9" x14ac:dyDescent="0.2">
      <c r="I22535" s="137" t="s">
        <v>74</v>
      </c>
    </row>
    <row r="22536" spans="9:9" x14ac:dyDescent="0.2">
      <c r="I22536" s="137" t="s">
        <v>74</v>
      </c>
    </row>
    <row r="22537" spans="9:9" x14ac:dyDescent="0.2">
      <c r="I22537" s="137" t="s">
        <v>74</v>
      </c>
    </row>
    <row r="22538" spans="9:9" x14ac:dyDescent="0.2">
      <c r="I22538" s="137" t="s">
        <v>74</v>
      </c>
    </row>
    <row r="22539" spans="9:9" x14ac:dyDescent="0.2">
      <c r="I22539" s="137" t="s">
        <v>74</v>
      </c>
    </row>
    <row r="22540" spans="9:9" x14ac:dyDescent="0.2">
      <c r="I22540" s="137" t="s">
        <v>74</v>
      </c>
    </row>
    <row r="22541" spans="9:9" x14ac:dyDescent="0.2">
      <c r="I22541" s="137" t="s">
        <v>74</v>
      </c>
    </row>
    <row r="22542" spans="9:9" x14ac:dyDescent="0.2">
      <c r="I22542" s="137" t="s">
        <v>74</v>
      </c>
    </row>
    <row r="22543" spans="9:9" x14ac:dyDescent="0.2">
      <c r="I22543" s="137" t="s">
        <v>74</v>
      </c>
    </row>
    <row r="22544" spans="9:9" x14ac:dyDescent="0.2">
      <c r="I22544" s="137" t="s">
        <v>74</v>
      </c>
    </row>
    <row r="22545" spans="9:9" x14ac:dyDescent="0.2">
      <c r="I22545" s="137" t="s">
        <v>74</v>
      </c>
    </row>
    <row r="22546" spans="9:9" x14ac:dyDescent="0.2">
      <c r="I22546" s="137" t="s">
        <v>74</v>
      </c>
    </row>
    <row r="22547" spans="9:9" x14ac:dyDescent="0.2">
      <c r="I22547" s="137" t="s">
        <v>74</v>
      </c>
    </row>
    <row r="22548" spans="9:9" x14ac:dyDescent="0.2">
      <c r="I22548" s="137" t="s">
        <v>74</v>
      </c>
    </row>
    <row r="22549" spans="9:9" x14ac:dyDescent="0.2">
      <c r="I22549" s="137" t="s">
        <v>74</v>
      </c>
    </row>
    <row r="22550" spans="9:9" x14ac:dyDescent="0.2">
      <c r="I22550" s="137" t="s">
        <v>74</v>
      </c>
    </row>
    <row r="22551" spans="9:9" x14ac:dyDescent="0.2">
      <c r="I22551" s="137" t="s">
        <v>74</v>
      </c>
    </row>
    <row r="22552" spans="9:9" x14ac:dyDescent="0.2">
      <c r="I22552" s="137" t="s">
        <v>74</v>
      </c>
    </row>
    <row r="22553" spans="9:9" x14ac:dyDescent="0.2">
      <c r="I22553" s="137" t="s">
        <v>74</v>
      </c>
    </row>
    <row r="22554" spans="9:9" x14ac:dyDescent="0.2">
      <c r="I22554" s="137" t="s">
        <v>74</v>
      </c>
    </row>
    <row r="22555" spans="9:9" x14ac:dyDescent="0.2">
      <c r="I22555" s="137" t="s">
        <v>74</v>
      </c>
    </row>
    <row r="22556" spans="9:9" x14ac:dyDescent="0.2">
      <c r="I22556" s="137" t="s">
        <v>74</v>
      </c>
    </row>
    <row r="22557" spans="9:9" x14ac:dyDescent="0.2">
      <c r="I22557" s="137" t="s">
        <v>74</v>
      </c>
    </row>
    <row r="22558" spans="9:9" x14ac:dyDescent="0.2">
      <c r="I22558" s="137" t="s">
        <v>74</v>
      </c>
    </row>
    <row r="22559" spans="9:9" x14ac:dyDescent="0.2">
      <c r="I22559" s="137" t="s">
        <v>74</v>
      </c>
    </row>
    <row r="22560" spans="9:9" x14ac:dyDescent="0.2">
      <c r="I22560" s="137" t="s">
        <v>74</v>
      </c>
    </row>
    <row r="22561" spans="9:9" x14ac:dyDescent="0.2">
      <c r="I22561" s="137" t="s">
        <v>74</v>
      </c>
    </row>
    <row r="22562" spans="9:9" x14ac:dyDescent="0.2">
      <c r="I22562" s="137" t="s">
        <v>74</v>
      </c>
    </row>
    <row r="22563" spans="9:9" x14ac:dyDescent="0.2">
      <c r="I22563" s="137" t="s">
        <v>74</v>
      </c>
    </row>
    <row r="22564" spans="9:9" x14ac:dyDescent="0.2">
      <c r="I22564" s="137" t="s">
        <v>74</v>
      </c>
    </row>
    <row r="22565" spans="9:9" x14ac:dyDescent="0.2">
      <c r="I22565" s="137" t="s">
        <v>74</v>
      </c>
    </row>
    <row r="22566" spans="9:9" x14ac:dyDescent="0.2">
      <c r="I22566" s="137" t="s">
        <v>74</v>
      </c>
    </row>
    <row r="22567" spans="9:9" x14ac:dyDescent="0.2">
      <c r="I22567" s="137" t="s">
        <v>74</v>
      </c>
    </row>
    <row r="22568" spans="9:9" x14ac:dyDescent="0.2">
      <c r="I22568" s="137" t="s">
        <v>74</v>
      </c>
    </row>
    <row r="22569" spans="9:9" x14ac:dyDescent="0.2">
      <c r="I22569" s="137" t="s">
        <v>74</v>
      </c>
    </row>
    <row r="22570" spans="9:9" x14ac:dyDescent="0.2">
      <c r="I22570" s="137" t="s">
        <v>74</v>
      </c>
    </row>
    <row r="22571" spans="9:9" x14ac:dyDescent="0.2">
      <c r="I22571" s="137" t="s">
        <v>74</v>
      </c>
    </row>
    <row r="22572" spans="9:9" x14ac:dyDescent="0.2">
      <c r="I22572" s="137" t="s">
        <v>74</v>
      </c>
    </row>
    <row r="22573" spans="9:9" x14ac:dyDescent="0.2">
      <c r="I22573" s="137" t="s">
        <v>74</v>
      </c>
    </row>
    <row r="22574" spans="9:9" x14ac:dyDescent="0.2">
      <c r="I22574" s="137" t="s">
        <v>74</v>
      </c>
    </row>
    <row r="22575" spans="9:9" x14ac:dyDescent="0.2">
      <c r="I22575" s="137" t="s">
        <v>74</v>
      </c>
    </row>
    <row r="22576" spans="9:9" x14ac:dyDescent="0.2">
      <c r="I22576" s="137" t="s">
        <v>74</v>
      </c>
    </row>
    <row r="22577" spans="9:9" x14ac:dyDescent="0.2">
      <c r="I22577" s="137" t="s">
        <v>74</v>
      </c>
    </row>
    <row r="22578" spans="9:9" x14ac:dyDescent="0.2">
      <c r="I22578" s="137" t="s">
        <v>74</v>
      </c>
    </row>
    <row r="22579" spans="9:9" x14ac:dyDescent="0.2">
      <c r="I22579" s="137" t="s">
        <v>74</v>
      </c>
    </row>
    <row r="22580" spans="9:9" x14ac:dyDescent="0.2">
      <c r="I22580" s="137" t="s">
        <v>74</v>
      </c>
    </row>
    <row r="22581" spans="9:9" x14ac:dyDescent="0.2">
      <c r="I22581" s="137" t="s">
        <v>74</v>
      </c>
    </row>
    <row r="22582" spans="9:9" x14ac:dyDescent="0.2">
      <c r="I22582" s="137" t="s">
        <v>74</v>
      </c>
    </row>
    <row r="22583" spans="9:9" x14ac:dyDescent="0.2">
      <c r="I22583" s="137" t="s">
        <v>74</v>
      </c>
    </row>
    <row r="22584" spans="9:9" x14ac:dyDescent="0.2">
      <c r="I22584" s="137" t="s">
        <v>74</v>
      </c>
    </row>
    <row r="22585" spans="9:9" x14ac:dyDescent="0.2">
      <c r="I22585" s="137" t="s">
        <v>74</v>
      </c>
    </row>
    <row r="22586" spans="9:9" x14ac:dyDescent="0.2">
      <c r="I22586" s="137" t="s">
        <v>74</v>
      </c>
    </row>
    <row r="22587" spans="9:9" x14ac:dyDescent="0.2">
      <c r="I22587" s="137" t="s">
        <v>74</v>
      </c>
    </row>
    <row r="22588" spans="9:9" x14ac:dyDescent="0.2">
      <c r="I22588" s="137" t="s">
        <v>74</v>
      </c>
    </row>
    <row r="22589" spans="9:9" x14ac:dyDescent="0.2">
      <c r="I22589" s="137" t="s">
        <v>74</v>
      </c>
    </row>
    <row r="22590" spans="9:9" x14ac:dyDescent="0.2">
      <c r="I22590" s="137" t="s">
        <v>74</v>
      </c>
    </row>
    <row r="22591" spans="9:9" x14ac:dyDescent="0.2">
      <c r="I22591" s="137" t="s">
        <v>74</v>
      </c>
    </row>
    <row r="22592" spans="9:9" x14ac:dyDescent="0.2">
      <c r="I22592" s="137" t="s">
        <v>74</v>
      </c>
    </row>
    <row r="22593" spans="9:9" x14ac:dyDescent="0.2">
      <c r="I22593" s="137" t="s">
        <v>74</v>
      </c>
    </row>
    <row r="22594" spans="9:9" x14ac:dyDescent="0.2">
      <c r="I22594" s="137" t="s">
        <v>74</v>
      </c>
    </row>
    <row r="22595" spans="9:9" x14ac:dyDescent="0.2">
      <c r="I22595" s="137" t="s">
        <v>74</v>
      </c>
    </row>
    <row r="22596" spans="9:9" x14ac:dyDescent="0.2">
      <c r="I22596" s="137" t="s">
        <v>74</v>
      </c>
    </row>
    <row r="22597" spans="9:9" x14ac:dyDescent="0.2">
      <c r="I22597" s="137" t="s">
        <v>74</v>
      </c>
    </row>
    <row r="22598" spans="9:9" x14ac:dyDescent="0.2">
      <c r="I22598" s="137" t="s">
        <v>74</v>
      </c>
    </row>
    <row r="22599" spans="9:9" x14ac:dyDescent="0.2">
      <c r="I22599" s="137" t="s">
        <v>74</v>
      </c>
    </row>
    <row r="22600" spans="9:9" x14ac:dyDescent="0.2">
      <c r="I22600" s="137" t="s">
        <v>74</v>
      </c>
    </row>
    <row r="22601" spans="9:9" x14ac:dyDescent="0.2">
      <c r="I22601" s="137" t="s">
        <v>74</v>
      </c>
    </row>
    <row r="22602" spans="9:9" x14ac:dyDescent="0.2">
      <c r="I22602" s="137" t="s">
        <v>74</v>
      </c>
    </row>
    <row r="22603" spans="9:9" x14ac:dyDescent="0.2">
      <c r="I22603" s="137" t="s">
        <v>74</v>
      </c>
    </row>
    <row r="22604" spans="9:9" x14ac:dyDescent="0.2">
      <c r="I22604" s="137" t="s">
        <v>74</v>
      </c>
    </row>
    <row r="22605" spans="9:9" x14ac:dyDescent="0.2">
      <c r="I22605" s="137" t="s">
        <v>74</v>
      </c>
    </row>
    <row r="22606" spans="9:9" x14ac:dyDescent="0.2">
      <c r="I22606" s="137" t="s">
        <v>74</v>
      </c>
    </row>
    <row r="22607" spans="9:9" x14ac:dyDescent="0.2">
      <c r="I22607" s="137" t="s">
        <v>74</v>
      </c>
    </row>
    <row r="22608" spans="9:9" x14ac:dyDescent="0.2">
      <c r="I22608" s="137" t="s">
        <v>74</v>
      </c>
    </row>
    <row r="22609" spans="9:9" x14ac:dyDescent="0.2">
      <c r="I22609" s="137" t="s">
        <v>74</v>
      </c>
    </row>
    <row r="22610" spans="9:9" x14ac:dyDescent="0.2">
      <c r="I22610" s="137" t="s">
        <v>74</v>
      </c>
    </row>
    <row r="22611" spans="9:9" x14ac:dyDescent="0.2">
      <c r="I22611" s="137" t="s">
        <v>74</v>
      </c>
    </row>
    <row r="22612" spans="9:9" x14ac:dyDescent="0.2">
      <c r="I22612" s="137" t="s">
        <v>74</v>
      </c>
    </row>
    <row r="22613" spans="9:9" x14ac:dyDescent="0.2">
      <c r="I22613" s="137" t="s">
        <v>74</v>
      </c>
    </row>
    <row r="22614" spans="9:9" x14ac:dyDescent="0.2">
      <c r="I22614" s="137" t="s">
        <v>74</v>
      </c>
    </row>
    <row r="22615" spans="9:9" x14ac:dyDescent="0.2">
      <c r="I22615" s="137" t="s">
        <v>74</v>
      </c>
    </row>
    <row r="22616" spans="9:9" x14ac:dyDescent="0.2">
      <c r="I22616" s="137" t="s">
        <v>74</v>
      </c>
    </row>
    <row r="22617" spans="9:9" x14ac:dyDescent="0.2">
      <c r="I22617" s="137" t="s">
        <v>74</v>
      </c>
    </row>
    <row r="22618" spans="9:9" x14ac:dyDescent="0.2">
      <c r="I22618" s="137" t="s">
        <v>74</v>
      </c>
    </row>
    <row r="22619" spans="9:9" x14ac:dyDescent="0.2">
      <c r="I22619" s="137" t="s">
        <v>74</v>
      </c>
    </row>
    <row r="22620" spans="9:9" x14ac:dyDescent="0.2">
      <c r="I22620" s="137" t="s">
        <v>74</v>
      </c>
    </row>
    <row r="22621" spans="9:9" x14ac:dyDescent="0.2">
      <c r="I22621" s="137" t="s">
        <v>74</v>
      </c>
    </row>
    <row r="22622" spans="9:9" x14ac:dyDescent="0.2">
      <c r="I22622" s="137" t="s">
        <v>74</v>
      </c>
    </row>
    <row r="22623" spans="9:9" x14ac:dyDescent="0.2">
      <c r="I22623" s="137" t="s">
        <v>74</v>
      </c>
    </row>
    <row r="22624" spans="9:9" x14ac:dyDescent="0.2">
      <c r="I22624" s="137" t="s">
        <v>74</v>
      </c>
    </row>
    <row r="22625" spans="9:9" x14ac:dyDescent="0.2">
      <c r="I22625" s="137" t="s">
        <v>74</v>
      </c>
    </row>
    <row r="22626" spans="9:9" x14ac:dyDescent="0.2">
      <c r="I22626" s="137" t="s">
        <v>74</v>
      </c>
    </row>
    <row r="22627" spans="9:9" x14ac:dyDescent="0.2">
      <c r="I22627" s="137" t="s">
        <v>74</v>
      </c>
    </row>
    <row r="22628" spans="9:9" x14ac:dyDescent="0.2">
      <c r="I22628" s="137" t="s">
        <v>74</v>
      </c>
    </row>
    <row r="22629" spans="9:9" x14ac:dyDescent="0.2">
      <c r="I22629" s="137" t="s">
        <v>74</v>
      </c>
    </row>
    <row r="22630" spans="9:9" x14ac:dyDescent="0.2">
      <c r="I22630" s="137" t="s">
        <v>74</v>
      </c>
    </row>
    <row r="22631" spans="9:9" x14ac:dyDescent="0.2">
      <c r="I22631" s="137" t="s">
        <v>74</v>
      </c>
    </row>
    <row r="22632" spans="9:9" x14ac:dyDescent="0.2">
      <c r="I22632" s="137" t="s">
        <v>74</v>
      </c>
    </row>
    <row r="22633" spans="9:9" x14ac:dyDescent="0.2">
      <c r="I22633" s="137" t="s">
        <v>74</v>
      </c>
    </row>
    <row r="22634" spans="9:9" x14ac:dyDescent="0.2">
      <c r="I22634" s="137" t="s">
        <v>74</v>
      </c>
    </row>
    <row r="22635" spans="9:9" x14ac:dyDescent="0.2">
      <c r="I22635" s="137" t="s">
        <v>74</v>
      </c>
    </row>
    <row r="22636" spans="9:9" x14ac:dyDescent="0.2">
      <c r="I22636" s="137" t="s">
        <v>74</v>
      </c>
    </row>
    <row r="22637" spans="9:9" x14ac:dyDescent="0.2">
      <c r="I22637" s="137" t="s">
        <v>74</v>
      </c>
    </row>
    <row r="22638" spans="9:9" x14ac:dyDescent="0.2">
      <c r="I22638" s="137" t="s">
        <v>74</v>
      </c>
    </row>
    <row r="22639" spans="9:9" x14ac:dyDescent="0.2">
      <c r="I22639" s="137" t="s">
        <v>74</v>
      </c>
    </row>
    <row r="22640" spans="9:9" x14ac:dyDescent="0.2">
      <c r="I22640" s="137" t="s">
        <v>74</v>
      </c>
    </row>
    <row r="22641" spans="9:9" x14ac:dyDescent="0.2">
      <c r="I22641" s="137" t="s">
        <v>74</v>
      </c>
    </row>
    <row r="22642" spans="9:9" x14ac:dyDescent="0.2">
      <c r="I22642" s="137" t="s">
        <v>74</v>
      </c>
    </row>
    <row r="22643" spans="9:9" x14ac:dyDescent="0.2">
      <c r="I22643" s="137" t="s">
        <v>74</v>
      </c>
    </row>
    <row r="22644" spans="9:9" x14ac:dyDescent="0.2">
      <c r="I22644" s="137" t="s">
        <v>74</v>
      </c>
    </row>
    <row r="22645" spans="9:9" x14ac:dyDescent="0.2">
      <c r="I22645" s="137" t="s">
        <v>74</v>
      </c>
    </row>
    <row r="22646" spans="9:9" x14ac:dyDescent="0.2">
      <c r="I22646" s="137" t="s">
        <v>74</v>
      </c>
    </row>
    <row r="22647" spans="9:9" x14ac:dyDescent="0.2">
      <c r="I22647" s="137" t="s">
        <v>74</v>
      </c>
    </row>
    <row r="22648" spans="9:9" x14ac:dyDescent="0.2">
      <c r="I22648" s="137" t="s">
        <v>74</v>
      </c>
    </row>
    <row r="22649" spans="9:9" x14ac:dyDescent="0.2">
      <c r="I22649" s="137" t="s">
        <v>74</v>
      </c>
    </row>
    <row r="22650" spans="9:9" x14ac:dyDescent="0.2">
      <c r="I22650" s="137" t="s">
        <v>74</v>
      </c>
    </row>
    <row r="22651" spans="9:9" x14ac:dyDescent="0.2">
      <c r="I22651" s="137" t="s">
        <v>74</v>
      </c>
    </row>
    <row r="22652" spans="9:9" x14ac:dyDescent="0.2">
      <c r="I22652" s="137" t="s">
        <v>74</v>
      </c>
    </row>
    <row r="22653" spans="9:9" x14ac:dyDescent="0.2">
      <c r="I22653" s="137" t="s">
        <v>74</v>
      </c>
    </row>
    <row r="22654" spans="9:9" x14ac:dyDescent="0.2">
      <c r="I22654" s="137" t="s">
        <v>74</v>
      </c>
    </row>
    <row r="22655" spans="9:9" x14ac:dyDescent="0.2">
      <c r="I22655" s="137" t="s">
        <v>74</v>
      </c>
    </row>
    <row r="22656" spans="9:9" x14ac:dyDescent="0.2">
      <c r="I22656" s="137" t="s">
        <v>74</v>
      </c>
    </row>
    <row r="22657" spans="9:9" x14ac:dyDescent="0.2">
      <c r="I22657" s="137" t="s">
        <v>74</v>
      </c>
    </row>
    <row r="22658" spans="9:9" x14ac:dyDescent="0.2">
      <c r="I22658" s="137" t="s">
        <v>74</v>
      </c>
    </row>
    <row r="22659" spans="9:9" x14ac:dyDescent="0.2">
      <c r="I22659" s="137" t="s">
        <v>74</v>
      </c>
    </row>
    <row r="22660" spans="9:9" x14ac:dyDescent="0.2">
      <c r="I22660" s="137" t="s">
        <v>74</v>
      </c>
    </row>
    <row r="22661" spans="9:9" x14ac:dyDescent="0.2">
      <c r="I22661" s="137" t="s">
        <v>74</v>
      </c>
    </row>
    <row r="22662" spans="9:9" x14ac:dyDescent="0.2">
      <c r="I22662" s="137" t="s">
        <v>74</v>
      </c>
    </row>
    <row r="22663" spans="9:9" x14ac:dyDescent="0.2">
      <c r="I22663" s="137" t="s">
        <v>74</v>
      </c>
    </row>
    <row r="22664" spans="9:9" x14ac:dyDescent="0.2">
      <c r="I22664" s="137" t="s">
        <v>74</v>
      </c>
    </row>
    <row r="22665" spans="9:9" x14ac:dyDescent="0.2">
      <c r="I22665" s="137" t="s">
        <v>74</v>
      </c>
    </row>
    <row r="22666" spans="9:9" x14ac:dyDescent="0.2">
      <c r="I22666" s="137" t="s">
        <v>74</v>
      </c>
    </row>
    <row r="22667" spans="9:9" x14ac:dyDescent="0.2">
      <c r="I22667" s="137" t="s">
        <v>74</v>
      </c>
    </row>
    <row r="22668" spans="9:9" x14ac:dyDescent="0.2">
      <c r="I22668" s="137" t="s">
        <v>74</v>
      </c>
    </row>
    <row r="22669" spans="9:9" x14ac:dyDescent="0.2">
      <c r="I22669" s="137" t="s">
        <v>74</v>
      </c>
    </row>
    <row r="22670" spans="9:9" x14ac:dyDescent="0.2">
      <c r="I22670" s="137" t="s">
        <v>74</v>
      </c>
    </row>
    <row r="22671" spans="9:9" x14ac:dyDescent="0.2">
      <c r="I22671" s="137" t="s">
        <v>74</v>
      </c>
    </row>
    <row r="22672" spans="9:9" x14ac:dyDescent="0.2">
      <c r="I22672" s="137" t="s">
        <v>74</v>
      </c>
    </row>
    <row r="22673" spans="9:9" x14ac:dyDescent="0.2">
      <c r="I22673" s="137" t="s">
        <v>74</v>
      </c>
    </row>
    <row r="22674" spans="9:9" x14ac:dyDescent="0.2">
      <c r="I22674" s="137" t="s">
        <v>74</v>
      </c>
    </row>
    <row r="22675" spans="9:9" x14ac:dyDescent="0.2">
      <c r="I22675" s="137" t="s">
        <v>74</v>
      </c>
    </row>
    <row r="22676" spans="9:9" x14ac:dyDescent="0.2">
      <c r="I22676" s="137" t="s">
        <v>74</v>
      </c>
    </row>
    <row r="22677" spans="9:9" x14ac:dyDescent="0.2">
      <c r="I22677" s="137" t="s">
        <v>74</v>
      </c>
    </row>
    <row r="22678" spans="9:9" x14ac:dyDescent="0.2">
      <c r="I22678" s="137" t="s">
        <v>74</v>
      </c>
    </row>
    <row r="22679" spans="9:9" x14ac:dyDescent="0.2">
      <c r="I22679" s="137" t="s">
        <v>74</v>
      </c>
    </row>
    <row r="22680" spans="9:9" x14ac:dyDescent="0.2">
      <c r="I22680" s="137" t="s">
        <v>74</v>
      </c>
    </row>
    <row r="22681" spans="9:9" x14ac:dyDescent="0.2">
      <c r="I22681" s="137" t="s">
        <v>74</v>
      </c>
    </row>
    <row r="22682" spans="9:9" x14ac:dyDescent="0.2">
      <c r="I22682" s="137" t="s">
        <v>74</v>
      </c>
    </row>
    <row r="22683" spans="9:9" x14ac:dyDescent="0.2">
      <c r="I22683" s="137" t="s">
        <v>74</v>
      </c>
    </row>
    <row r="22684" spans="9:9" x14ac:dyDescent="0.2">
      <c r="I22684" s="137" t="s">
        <v>74</v>
      </c>
    </row>
    <row r="22685" spans="9:9" x14ac:dyDescent="0.2">
      <c r="I22685" s="137" t="s">
        <v>74</v>
      </c>
    </row>
    <row r="22686" spans="9:9" x14ac:dyDescent="0.2">
      <c r="I22686" s="137" t="s">
        <v>74</v>
      </c>
    </row>
    <row r="22687" spans="9:9" x14ac:dyDescent="0.2">
      <c r="I22687" s="137" t="s">
        <v>74</v>
      </c>
    </row>
    <row r="22688" spans="9:9" x14ac:dyDescent="0.2">
      <c r="I22688" s="137" t="s">
        <v>74</v>
      </c>
    </row>
    <row r="22689" spans="9:9" x14ac:dyDescent="0.2">
      <c r="I22689" s="137" t="s">
        <v>74</v>
      </c>
    </row>
    <row r="22690" spans="9:9" x14ac:dyDescent="0.2">
      <c r="I22690" s="137" t="s">
        <v>74</v>
      </c>
    </row>
    <row r="22691" spans="9:9" x14ac:dyDescent="0.2">
      <c r="I22691" s="137" t="s">
        <v>74</v>
      </c>
    </row>
    <row r="22692" spans="9:9" x14ac:dyDescent="0.2">
      <c r="I22692" s="137" t="s">
        <v>74</v>
      </c>
    </row>
    <row r="22693" spans="9:9" x14ac:dyDescent="0.2">
      <c r="I22693" s="137" t="s">
        <v>74</v>
      </c>
    </row>
    <row r="22694" spans="9:9" x14ac:dyDescent="0.2">
      <c r="I22694" s="137" t="s">
        <v>74</v>
      </c>
    </row>
    <row r="22695" spans="9:9" x14ac:dyDescent="0.2">
      <c r="I22695" s="137" t="s">
        <v>74</v>
      </c>
    </row>
    <row r="22696" spans="9:9" x14ac:dyDescent="0.2">
      <c r="I22696" s="137" t="s">
        <v>74</v>
      </c>
    </row>
    <row r="22697" spans="9:9" x14ac:dyDescent="0.2">
      <c r="I22697" s="137" t="s">
        <v>74</v>
      </c>
    </row>
    <row r="22698" spans="9:9" x14ac:dyDescent="0.2">
      <c r="I22698" s="137" t="s">
        <v>74</v>
      </c>
    </row>
    <row r="22699" spans="9:9" x14ac:dyDescent="0.2">
      <c r="I22699" s="137" t="s">
        <v>74</v>
      </c>
    </row>
    <row r="22700" spans="9:9" x14ac:dyDescent="0.2">
      <c r="I22700" s="137" t="s">
        <v>74</v>
      </c>
    </row>
    <row r="22701" spans="9:9" x14ac:dyDescent="0.2">
      <c r="I22701" s="137" t="s">
        <v>74</v>
      </c>
    </row>
    <row r="22702" spans="9:9" x14ac:dyDescent="0.2">
      <c r="I22702" s="137" t="s">
        <v>74</v>
      </c>
    </row>
    <row r="22703" spans="9:9" x14ac:dyDescent="0.2">
      <c r="I22703" s="137" t="s">
        <v>74</v>
      </c>
    </row>
    <row r="22704" spans="9:9" x14ac:dyDescent="0.2">
      <c r="I22704" s="137" t="s">
        <v>74</v>
      </c>
    </row>
    <row r="22705" spans="9:9" x14ac:dyDescent="0.2">
      <c r="I22705" s="137" t="s">
        <v>74</v>
      </c>
    </row>
    <row r="22706" spans="9:9" x14ac:dyDescent="0.2">
      <c r="I22706" s="137" t="s">
        <v>74</v>
      </c>
    </row>
    <row r="22707" spans="9:9" x14ac:dyDescent="0.2">
      <c r="I22707" s="137" t="s">
        <v>74</v>
      </c>
    </row>
    <row r="22708" spans="9:9" x14ac:dyDescent="0.2">
      <c r="I22708" s="137" t="s">
        <v>74</v>
      </c>
    </row>
    <row r="22709" spans="9:9" x14ac:dyDescent="0.2">
      <c r="I22709" s="137" t="s">
        <v>74</v>
      </c>
    </row>
    <row r="22710" spans="9:9" x14ac:dyDescent="0.2">
      <c r="I22710" s="137" t="s">
        <v>74</v>
      </c>
    </row>
    <row r="22711" spans="9:9" x14ac:dyDescent="0.2">
      <c r="I22711" s="137" t="s">
        <v>74</v>
      </c>
    </row>
    <row r="22712" spans="9:9" x14ac:dyDescent="0.2">
      <c r="I22712" s="137" t="s">
        <v>74</v>
      </c>
    </row>
    <row r="22713" spans="9:9" x14ac:dyDescent="0.2">
      <c r="I22713" s="137" t="s">
        <v>74</v>
      </c>
    </row>
    <row r="22714" spans="9:9" x14ac:dyDescent="0.2">
      <c r="I22714" s="137" t="s">
        <v>74</v>
      </c>
    </row>
    <row r="22715" spans="9:9" x14ac:dyDescent="0.2">
      <c r="I22715" s="137" t="s">
        <v>74</v>
      </c>
    </row>
    <row r="22716" spans="9:9" x14ac:dyDescent="0.2">
      <c r="I22716" s="137" t="s">
        <v>74</v>
      </c>
    </row>
    <row r="22717" spans="9:9" x14ac:dyDescent="0.2">
      <c r="I22717" s="137" t="s">
        <v>74</v>
      </c>
    </row>
    <row r="22718" spans="9:9" x14ac:dyDescent="0.2">
      <c r="I22718" s="137" t="s">
        <v>74</v>
      </c>
    </row>
    <row r="22719" spans="9:9" x14ac:dyDescent="0.2">
      <c r="I22719" s="137" t="s">
        <v>74</v>
      </c>
    </row>
    <row r="22720" spans="9:9" x14ac:dyDescent="0.2">
      <c r="I22720" s="137" t="s">
        <v>74</v>
      </c>
    </row>
    <row r="22721" spans="9:9" x14ac:dyDescent="0.2">
      <c r="I22721" s="137" t="s">
        <v>74</v>
      </c>
    </row>
    <row r="22722" spans="9:9" x14ac:dyDescent="0.2">
      <c r="I22722" s="137" t="s">
        <v>74</v>
      </c>
    </row>
    <row r="22723" spans="9:9" x14ac:dyDescent="0.2">
      <c r="I22723" s="137" t="s">
        <v>74</v>
      </c>
    </row>
    <row r="22724" spans="9:9" x14ac:dyDescent="0.2">
      <c r="I22724" s="137" t="s">
        <v>74</v>
      </c>
    </row>
    <row r="22725" spans="9:9" x14ac:dyDescent="0.2">
      <c r="I22725" s="137" t="s">
        <v>74</v>
      </c>
    </row>
    <row r="22726" spans="9:9" x14ac:dyDescent="0.2">
      <c r="I22726" s="137" t="s">
        <v>74</v>
      </c>
    </row>
    <row r="22727" spans="9:9" x14ac:dyDescent="0.2">
      <c r="I22727" s="137" t="s">
        <v>74</v>
      </c>
    </row>
    <row r="22728" spans="9:9" x14ac:dyDescent="0.2">
      <c r="I22728" s="137" t="s">
        <v>74</v>
      </c>
    </row>
    <row r="22729" spans="9:9" x14ac:dyDescent="0.2">
      <c r="I22729" s="137" t="s">
        <v>74</v>
      </c>
    </row>
    <row r="22730" spans="9:9" x14ac:dyDescent="0.2">
      <c r="I22730" s="137" t="s">
        <v>74</v>
      </c>
    </row>
    <row r="22731" spans="9:9" x14ac:dyDescent="0.2">
      <c r="I22731" s="137" t="s">
        <v>74</v>
      </c>
    </row>
    <row r="22732" spans="9:9" x14ac:dyDescent="0.2">
      <c r="I22732" s="137" t="s">
        <v>74</v>
      </c>
    </row>
    <row r="22733" spans="9:9" x14ac:dyDescent="0.2">
      <c r="I22733" s="137" t="s">
        <v>74</v>
      </c>
    </row>
    <row r="22734" spans="9:9" x14ac:dyDescent="0.2">
      <c r="I22734" s="137" t="s">
        <v>74</v>
      </c>
    </row>
    <row r="22735" spans="9:9" x14ac:dyDescent="0.2">
      <c r="I22735" s="137" t="s">
        <v>74</v>
      </c>
    </row>
    <row r="22736" spans="9:9" x14ac:dyDescent="0.2">
      <c r="I22736" s="137" t="s">
        <v>74</v>
      </c>
    </row>
    <row r="22737" spans="9:9" x14ac:dyDescent="0.2">
      <c r="I22737" s="137" t="s">
        <v>74</v>
      </c>
    </row>
    <row r="22738" spans="9:9" x14ac:dyDescent="0.2">
      <c r="I22738" s="137" t="s">
        <v>74</v>
      </c>
    </row>
    <row r="22739" spans="9:9" x14ac:dyDescent="0.2">
      <c r="I22739" s="137" t="s">
        <v>74</v>
      </c>
    </row>
    <row r="22740" spans="9:9" x14ac:dyDescent="0.2">
      <c r="I22740" s="137" t="s">
        <v>74</v>
      </c>
    </row>
    <row r="22741" spans="9:9" x14ac:dyDescent="0.2">
      <c r="I22741" s="137" t="s">
        <v>74</v>
      </c>
    </row>
    <row r="22742" spans="9:9" x14ac:dyDescent="0.2">
      <c r="I22742" s="137" t="s">
        <v>74</v>
      </c>
    </row>
    <row r="22743" spans="9:9" x14ac:dyDescent="0.2">
      <c r="I22743" s="137" t="s">
        <v>74</v>
      </c>
    </row>
    <row r="22744" spans="9:9" x14ac:dyDescent="0.2">
      <c r="I22744" s="137" t="s">
        <v>74</v>
      </c>
    </row>
    <row r="22745" spans="9:9" x14ac:dyDescent="0.2">
      <c r="I22745" s="137" t="s">
        <v>74</v>
      </c>
    </row>
    <row r="22746" spans="9:9" x14ac:dyDescent="0.2">
      <c r="I22746" s="137" t="s">
        <v>74</v>
      </c>
    </row>
    <row r="22747" spans="9:9" x14ac:dyDescent="0.2">
      <c r="I22747" s="137" t="s">
        <v>74</v>
      </c>
    </row>
    <row r="22748" spans="9:9" x14ac:dyDescent="0.2">
      <c r="I22748" s="137" t="s">
        <v>74</v>
      </c>
    </row>
    <row r="22749" spans="9:9" x14ac:dyDescent="0.2">
      <c r="I22749" s="137" t="s">
        <v>74</v>
      </c>
    </row>
    <row r="22750" spans="9:9" x14ac:dyDescent="0.2">
      <c r="I22750" s="137" t="s">
        <v>74</v>
      </c>
    </row>
    <row r="22751" spans="9:9" x14ac:dyDescent="0.2">
      <c r="I22751" s="137" t="s">
        <v>74</v>
      </c>
    </row>
    <row r="22752" spans="9:9" x14ac:dyDescent="0.2">
      <c r="I22752" s="137" t="s">
        <v>74</v>
      </c>
    </row>
    <row r="22753" spans="9:9" x14ac:dyDescent="0.2">
      <c r="I22753" s="137" t="s">
        <v>74</v>
      </c>
    </row>
    <row r="22754" spans="9:9" x14ac:dyDescent="0.2">
      <c r="I22754" s="137" t="s">
        <v>74</v>
      </c>
    </row>
    <row r="22755" spans="9:9" x14ac:dyDescent="0.2">
      <c r="I22755" s="137" t="s">
        <v>74</v>
      </c>
    </row>
    <row r="22756" spans="9:9" x14ac:dyDescent="0.2">
      <c r="I22756" s="137" t="s">
        <v>74</v>
      </c>
    </row>
    <row r="22757" spans="9:9" x14ac:dyDescent="0.2">
      <c r="I22757" s="137" t="s">
        <v>74</v>
      </c>
    </row>
    <row r="22758" spans="9:9" x14ac:dyDescent="0.2">
      <c r="I22758" s="137" t="s">
        <v>74</v>
      </c>
    </row>
    <row r="22759" spans="9:9" x14ac:dyDescent="0.2">
      <c r="I22759" s="137" t="s">
        <v>74</v>
      </c>
    </row>
    <row r="22760" spans="9:9" x14ac:dyDescent="0.2">
      <c r="I22760" s="137" t="s">
        <v>74</v>
      </c>
    </row>
    <row r="22761" spans="9:9" x14ac:dyDescent="0.2">
      <c r="I22761" s="137" t="s">
        <v>74</v>
      </c>
    </row>
    <row r="22762" spans="9:9" x14ac:dyDescent="0.2">
      <c r="I22762" s="137" t="s">
        <v>74</v>
      </c>
    </row>
    <row r="22763" spans="9:9" x14ac:dyDescent="0.2">
      <c r="I22763" s="137" t="s">
        <v>74</v>
      </c>
    </row>
    <row r="22764" spans="9:9" x14ac:dyDescent="0.2">
      <c r="I22764" s="137" t="s">
        <v>74</v>
      </c>
    </row>
    <row r="22765" spans="9:9" x14ac:dyDescent="0.2">
      <c r="I22765" s="137" t="s">
        <v>74</v>
      </c>
    </row>
    <row r="22766" spans="9:9" x14ac:dyDescent="0.2">
      <c r="I22766" s="137" t="s">
        <v>74</v>
      </c>
    </row>
    <row r="22767" spans="9:9" x14ac:dyDescent="0.2">
      <c r="I22767" s="137" t="s">
        <v>74</v>
      </c>
    </row>
    <row r="22768" spans="9:9" x14ac:dyDescent="0.2">
      <c r="I22768" s="137" t="s">
        <v>74</v>
      </c>
    </row>
    <row r="22769" spans="9:9" x14ac:dyDescent="0.2">
      <c r="I22769" s="137" t="s">
        <v>74</v>
      </c>
    </row>
    <row r="22770" spans="9:9" x14ac:dyDescent="0.2">
      <c r="I22770" s="137" t="s">
        <v>74</v>
      </c>
    </row>
    <row r="22771" spans="9:9" x14ac:dyDescent="0.2">
      <c r="I22771" s="137" t="s">
        <v>74</v>
      </c>
    </row>
    <row r="22772" spans="9:9" x14ac:dyDescent="0.2">
      <c r="I22772" s="137" t="s">
        <v>74</v>
      </c>
    </row>
    <row r="22773" spans="9:9" x14ac:dyDescent="0.2">
      <c r="I22773" s="137" t="s">
        <v>74</v>
      </c>
    </row>
    <row r="22774" spans="9:9" x14ac:dyDescent="0.2">
      <c r="I22774" s="137" t="s">
        <v>74</v>
      </c>
    </row>
    <row r="22775" spans="9:9" x14ac:dyDescent="0.2">
      <c r="I22775" s="137" t="s">
        <v>74</v>
      </c>
    </row>
    <row r="22776" spans="9:9" x14ac:dyDescent="0.2">
      <c r="I22776" s="137" t="s">
        <v>74</v>
      </c>
    </row>
    <row r="22777" spans="9:9" x14ac:dyDescent="0.2">
      <c r="I22777" s="137" t="s">
        <v>74</v>
      </c>
    </row>
    <row r="22778" spans="9:9" x14ac:dyDescent="0.2">
      <c r="I22778" s="137" t="s">
        <v>74</v>
      </c>
    </row>
    <row r="22779" spans="9:9" x14ac:dyDescent="0.2">
      <c r="I22779" s="137" t="s">
        <v>74</v>
      </c>
    </row>
    <row r="22780" spans="9:9" x14ac:dyDescent="0.2">
      <c r="I22780" s="137" t="s">
        <v>74</v>
      </c>
    </row>
    <row r="22781" spans="9:9" x14ac:dyDescent="0.2">
      <c r="I22781" s="137" t="s">
        <v>74</v>
      </c>
    </row>
    <row r="22782" spans="9:9" x14ac:dyDescent="0.2">
      <c r="I22782" s="137" t="s">
        <v>74</v>
      </c>
    </row>
    <row r="22783" spans="9:9" x14ac:dyDescent="0.2">
      <c r="I22783" s="137" t="s">
        <v>74</v>
      </c>
    </row>
    <row r="22784" spans="9:9" x14ac:dyDescent="0.2">
      <c r="I22784" s="137" t="s">
        <v>74</v>
      </c>
    </row>
    <row r="22785" spans="9:9" x14ac:dyDescent="0.2">
      <c r="I22785" s="137" t="s">
        <v>74</v>
      </c>
    </row>
    <row r="22786" spans="9:9" x14ac:dyDescent="0.2">
      <c r="I22786" s="137" t="s">
        <v>74</v>
      </c>
    </row>
    <row r="22787" spans="9:9" x14ac:dyDescent="0.2">
      <c r="I22787" s="137" t="s">
        <v>74</v>
      </c>
    </row>
    <row r="22788" spans="9:9" x14ac:dyDescent="0.2">
      <c r="I22788" s="137" t="s">
        <v>74</v>
      </c>
    </row>
    <row r="22789" spans="9:9" x14ac:dyDescent="0.2">
      <c r="I22789" s="137" t="s">
        <v>74</v>
      </c>
    </row>
    <row r="22790" spans="9:9" x14ac:dyDescent="0.2">
      <c r="I22790" s="137" t="s">
        <v>74</v>
      </c>
    </row>
    <row r="22791" spans="9:9" x14ac:dyDescent="0.2">
      <c r="I22791" s="137" t="s">
        <v>74</v>
      </c>
    </row>
    <row r="22792" spans="9:9" x14ac:dyDescent="0.2">
      <c r="I22792" s="137" t="s">
        <v>74</v>
      </c>
    </row>
    <row r="22793" spans="9:9" x14ac:dyDescent="0.2">
      <c r="I22793" s="137" t="s">
        <v>74</v>
      </c>
    </row>
    <row r="22794" spans="9:9" x14ac:dyDescent="0.2">
      <c r="I22794" s="137" t="s">
        <v>74</v>
      </c>
    </row>
    <row r="22795" spans="9:9" x14ac:dyDescent="0.2">
      <c r="I22795" s="137" t="s">
        <v>74</v>
      </c>
    </row>
    <row r="22796" spans="9:9" x14ac:dyDescent="0.2">
      <c r="I22796" s="137" t="s">
        <v>74</v>
      </c>
    </row>
    <row r="22797" spans="9:9" x14ac:dyDescent="0.2">
      <c r="I22797" s="137" t="s">
        <v>74</v>
      </c>
    </row>
    <row r="22798" spans="9:9" x14ac:dyDescent="0.2">
      <c r="I22798" s="137" t="s">
        <v>74</v>
      </c>
    </row>
    <row r="22799" spans="9:9" x14ac:dyDescent="0.2">
      <c r="I22799" s="137" t="s">
        <v>74</v>
      </c>
    </row>
    <row r="22800" spans="9:9" x14ac:dyDescent="0.2">
      <c r="I22800" s="137" t="s">
        <v>74</v>
      </c>
    </row>
    <row r="22801" spans="9:9" x14ac:dyDescent="0.2">
      <c r="I22801" s="137" t="s">
        <v>74</v>
      </c>
    </row>
    <row r="22802" spans="9:9" x14ac:dyDescent="0.2">
      <c r="I22802" s="137" t="s">
        <v>74</v>
      </c>
    </row>
    <row r="22803" spans="9:9" x14ac:dyDescent="0.2">
      <c r="I22803" s="137" t="s">
        <v>74</v>
      </c>
    </row>
    <row r="22804" spans="9:9" x14ac:dyDescent="0.2">
      <c r="I22804" s="137" t="s">
        <v>74</v>
      </c>
    </row>
    <row r="22805" spans="9:9" x14ac:dyDescent="0.2">
      <c r="I22805" s="137" t="s">
        <v>74</v>
      </c>
    </row>
    <row r="22806" spans="9:9" x14ac:dyDescent="0.2">
      <c r="I22806" s="137" t="s">
        <v>74</v>
      </c>
    </row>
    <row r="22807" spans="9:9" x14ac:dyDescent="0.2">
      <c r="I22807" s="137" t="s">
        <v>74</v>
      </c>
    </row>
    <row r="22808" spans="9:9" x14ac:dyDescent="0.2">
      <c r="I22808" s="137" t="s">
        <v>74</v>
      </c>
    </row>
    <row r="22809" spans="9:9" x14ac:dyDescent="0.2">
      <c r="I22809" s="137" t="s">
        <v>74</v>
      </c>
    </row>
    <row r="22810" spans="9:9" x14ac:dyDescent="0.2">
      <c r="I22810" s="137" t="s">
        <v>74</v>
      </c>
    </row>
    <row r="22811" spans="9:9" x14ac:dyDescent="0.2">
      <c r="I22811" s="137" t="s">
        <v>74</v>
      </c>
    </row>
    <row r="22812" spans="9:9" x14ac:dyDescent="0.2">
      <c r="I22812" s="137" t="s">
        <v>74</v>
      </c>
    </row>
    <row r="22813" spans="9:9" x14ac:dyDescent="0.2">
      <c r="I22813" s="137" t="s">
        <v>74</v>
      </c>
    </row>
    <row r="22814" spans="9:9" x14ac:dyDescent="0.2">
      <c r="I22814" s="137" t="s">
        <v>74</v>
      </c>
    </row>
    <row r="22815" spans="9:9" x14ac:dyDescent="0.2">
      <c r="I22815" s="137" t="s">
        <v>74</v>
      </c>
    </row>
    <row r="22816" spans="9:9" x14ac:dyDescent="0.2">
      <c r="I22816" s="137" t="s">
        <v>74</v>
      </c>
    </row>
    <row r="22817" spans="9:9" x14ac:dyDescent="0.2">
      <c r="I22817" s="137" t="s">
        <v>74</v>
      </c>
    </row>
    <row r="22818" spans="9:9" x14ac:dyDescent="0.2">
      <c r="I22818" s="137" t="s">
        <v>74</v>
      </c>
    </row>
    <row r="22819" spans="9:9" x14ac:dyDescent="0.2">
      <c r="I22819" s="137" t="s">
        <v>74</v>
      </c>
    </row>
    <row r="22820" spans="9:9" x14ac:dyDescent="0.2">
      <c r="I22820" s="137" t="s">
        <v>74</v>
      </c>
    </row>
    <row r="22821" spans="9:9" x14ac:dyDescent="0.2">
      <c r="I22821" s="137" t="s">
        <v>74</v>
      </c>
    </row>
    <row r="22822" spans="9:9" x14ac:dyDescent="0.2">
      <c r="I22822" s="137" t="s">
        <v>74</v>
      </c>
    </row>
    <row r="22823" spans="9:9" x14ac:dyDescent="0.2">
      <c r="I22823" s="137" t="s">
        <v>74</v>
      </c>
    </row>
    <row r="22824" spans="9:9" x14ac:dyDescent="0.2">
      <c r="I22824" s="137" t="s">
        <v>74</v>
      </c>
    </row>
    <row r="22825" spans="9:9" x14ac:dyDescent="0.2">
      <c r="I22825" s="137" t="s">
        <v>74</v>
      </c>
    </row>
    <row r="22826" spans="9:9" x14ac:dyDescent="0.2">
      <c r="I22826" s="137" t="s">
        <v>74</v>
      </c>
    </row>
    <row r="22827" spans="9:9" x14ac:dyDescent="0.2">
      <c r="I22827" s="137" t="s">
        <v>74</v>
      </c>
    </row>
    <row r="22828" spans="9:9" x14ac:dyDescent="0.2">
      <c r="I22828" s="137" t="s">
        <v>74</v>
      </c>
    </row>
    <row r="22829" spans="9:9" x14ac:dyDescent="0.2">
      <c r="I22829" s="137" t="s">
        <v>74</v>
      </c>
    </row>
    <row r="22830" spans="9:9" x14ac:dyDescent="0.2">
      <c r="I22830" s="137" t="s">
        <v>74</v>
      </c>
    </row>
    <row r="22831" spans="9:9" x14ac:dyDescent="0.2">
      <c r="I22831" s="137" t="s">
        <v>74</v>
      </c>
    </row>
    <row r="22832" spans="9:9" x14ac:dyDescent="0.2">
      <c r="I22832" s="137" t="s">
        <v>74</v>
      </c>
    </row>
    <row r="22833" spans="9:9" x14ac:dyDescent="0.2">
      <c r="I22833" s="137" t="s">
        <v>74</v>
      </c>
    </row>
    <row r="22834" spans="9:9" x14ac:dyDescent="0.2">
      <c r="I22834" s="137" t="s">
        <v>74</v>
      </c>
    </row>
    <row r="22835" spans="9:9" x14ac:dyDescent="0.2">
      <c r="I22835" s="137" t="s">
        <v>74</v>
      </c>
    </row>
    <row r="22836" spans="9:9" x14ac:dyDescent="0.2">
      <c r="I22836" s="137" t="s">
        <v>74</v>
      </c>
    </row>
    <row r="22837" spans="9:9" x14ac:dyDescent="0.2">
      <c r="I22837" s="137" t="s">
        <v>74</v>
      </c>
    </row>
    <row r="22838" spans="9:9" x14ac:dyDescent="0.2">
      <c r="I22838" s="137" t="s">
        <v>74</v>
      </c>
    </row>
    <row r="22839" spans="9:9" x14ac:dyDescent="0.2">
      <c r="I22839" s="137" t="s">
        <v>74</v>
      </c>
    </row>
    <row r="22840" spans="9:9" x14ac:dyDescent="0.2">
      <c r="I22840" s="137" t="s">
        <v>74</v>
      </c>
    </row>
    <row r="22841" spans="9:9" x14ac:dyDescent="0.2">
      <c r="I22841" s="137" t="s">
        <v>74</v>
      </c>
    </row>
    <row r="22842" spans="9:9" x14ac:dyDescent="0.2">
      <c r="I22842" s="137" t="s">
        <v>74</v>
      </c>
    </row>
    <row r="22843" spans="9:9" x14ac:dyDescent="0.2">
      <c r="I22843" s="137" t="s">
        <v>74</v>
      </c>
    </row>
    <row r="22844" spans="9:9" x14ac:dyDescent="0.2">
      <c r="I22844" s="137" t="s">
        <v>74</v>
      </c>
    </row>
    <row r="22845" spans="9:9" x14ac:dyDescent="0.2">
      <c r="I22845" s="137" t="s">
        <v>74</v>
      </c>
    </row>
    <row r="22846" spans="9:9" x14ac:dyDescent="0.2">
      <c r="I22846" s="137" t="s">
        <v>74</v>
      </c>
    </row>
    <row r="22847" spans="9:9" x14ac:dyDescent="0.2">
      <c r="I22847" s="137" t="s">
        <v>74</v>
      </c>
    </row>
    <row r="22848" spans="9:9" x14ac:dyDescent="0.2">
      <c r="I22848" s="137" t="s">
        <v>74</v>
      </c>
    </row>
    <row r="22849" spans="9:9" x14ac:dyDescent="0.2">
      <c r="I22849" s="137" t="s">
        <v>74</v>
      </c>
    </row>
    <row r="22850" spans="9:9" x14ac:dyDescent="0.2">
      <c r="I22850" s="137" t="s">
        <v>74</v>
      </c>
    </row>
    <row r="22851" spans="9:9" x14ac:dyDescent="0.2">
      <c r="I22851" s="137" t="s">
        <v>74</v>
      </c>
    </row>
    <row r="22852" spans="9:9" x14ac:dyDescent="0.2">
      <c r="I22852" s="137" t="s">
        <v>74</v>
      </c>
    </row>
    <row r="22853" spans="9:9" x14ac:dyDescent="0.2">
      <c r="I22853" s="137" t="s">
        <v>74</v>
      </c>
    </row>
    <row r="22854" spans="9:9" x14ac:dyDescent="0.2">
      <c r="I22854" s="137" t="s">
        <v>74</v>
      </c>
    </row>
    <row r="22855" spans="9:9" x14ac:dyDescent="0.2">
      <c r="I22855" s="137" t="s">
        <v>74</v>
      </c>
    </row>
    <row r="22856" spans="9:9" x14ac:dyDescent="0.2">
      <c r="I22856" s="137" t="s">
        <v>74</v>
      </c>
    </row>
    <row r="22857" spans="9:9" x14ac:dyDescent="0.2">
      <c r="I22857" s="137" t="s">
        <v>74</v>
      </c>
    </row>
    <row r="22858" spans="9:9" x14ac:dyDescent="0.2">
      <c r="I22858" s="137" t="s">
        <v>74</v>
      </c>
    </row>
    <row r="22859" spans="9:9" x14ac:dyDescent="0.2">
      <c r="I22859" s="137" t="s">
        <v>74</v>
      </c>
    </row>
    <row r="22860" spans="9:9" x14ac:dyDescent="0.2">
      <c r="I22860" s="137" t="s">
        <v>74</v>
      </c>
    </row>
    <row r="22861" spans="9:9" x14ac:dyDescent="0.2">
      <c r="I22861" s="137" t="s">
        <v>74</v>
      </c>
    </row>
    <row r="22862" spans="9:9" x14ac:dyDescent="0.2">
      <c r="I22862" s="137" t="s">
        <v>74</v>
      </c>
    </row>
    <row r="22863" spans="9:9" x14ac:dyDescent="0.2">
      <c r="I22863" s="137" t="s">
        <v>74</v>
      </c>
    </row>
    <row r="22864" spans="9:9" x14ac:dyDescent="0.2">
      <c r="I22864" s="137" t="s">
        <v>74</v>
      </c>
    </row>
    <row r="22865" spans="9:9" x14ac:dyDescent="0.2">
      <c r="I22865" s="137" t="s">
        <v>74</v>
      </c>
    </row>
    <row r="22866" spans="9:9" x14ac:dyDescent="0.2">
      <c r="I22866" s="137" t="s">
        <v>74</v>
      </c>
    </row>
    <row r="22867" spans="9:9" x14ac:dyDescent="0.2">
      <c r="I22867" s="137" t="s">
        <v>74</v>
      </c>
    </row>
    <row r="22868" spans="9:9" x14ac:dyDescent="0.2">
      <c r="I22868" s="137" t="s">
        <v>74</v>
      </c>
    </row>
    <row r="22869" spans="9:9" x14ac:dyDescent="0.2">
      <c r="I22869" s="137" t="s">
        <v>74</v>
      </c>
    </row>
    <row r="22870" spans="9:9" x14ac:dyDescent="0.2">
      <c r="I22870" s="137" t="s">
        <v>74</v>
      </c>
    </row>
    <row r="22871" spans="9:9" x14ac:dyDescent="0.2">
      <c r="I22871" s="137" t="s">
        <v>74</v>
      </c>
    </row>
    <row r="22872" spans="9:9" x14ac:dyDescent="0.2">
      <c r="I22872" s="137" t="s">
        <v>74</v>
      </c>
    </row>
    <row r="22873" spans="9:9" x14ac:dyDescent="0.2">
      <c r="I22873" s="137" t="s">
        <v>74</v>
      </c>
    </row>
    <row r="22874" spans="9:9" x14ac:dyDescent="0.2">
      <c r="I22874" s="137" t="s">
        <v>74</v>
      </c>
    </row>
    <row r="22875" spans="9:9" x14ac:dyDescent="0.2">
      <c r="I22875" s="137" t="s">
        <v>74</v>
      </c>
    </row>
    <row r="22876" spans="9:9" x14ac:dyDescent="0.2">
      <c r="I22876" s="137" t="s">
        <v>74</v>
      </c>
    </row>
    <row r="22877" spans="9:9" x14ac:dyDescent="0.2">
      <c r="I22877" s="137" t="s">
        <v>74</v>
      </c>
    </row>
    <row r="22878" spans="9:9" x14ac:dyDescent="0.2">
      <c r="I22878" s="137" t="s">
        <v>74</v>
      </c>
    </row>
    <row r="22879" spans="9:9" x14ac:dyDescent="0.2">
      <c r="I22879" s="137" t="s">
        <v>74</v>
      </c>
    </row>
    <row r="22880" spans="9:9" x14ac:dyDescent="0.2">
      <c r="I22880" s="137" t="s">
        <v>74</v>
      </c>
    </row>
    <row r="22881" spans="9:9" x14ac:dyDescent="0.2">
      <c r="I22881" s="137" t="s">
        <v>74</v>
      </c>
    </row>
    <row r="22882" spans="9:9" x14ac:dyDescent="0.2">
      <c r="I22882" s="137" t="s">
        <v>74</v>
      </c>
    </row>
    <row r="22883" spans="9:9" x14ac:dyDescent="0.2">
      <c r="I22883" s="137" t="s">
        <v>74</v>
      </c>
    </row>
    <row r="22884" spans="9:9" x14ac:dyDescent="0.2">
      <c r="I22884" s="137" t="s">
        <v>74</v>
      </c>
    </row>
    <row r="22885" spans="9:9" x14ac:dyDescent="0.2">
      <c r="I22885" s="137" t="s">
        <v>74</v>
      </c>
    </row>
    <row r="22886" spans="9:9" x14ac:dyDescent="0.2">
      <c r="I22886" s="137" t="s">
        <v>74</v>
      </c>
    </row>
    <row r="22887" spans="9:9" x14ac:dyDescent="0.2">
      <c r="I22887" s="137" t="s">
        <v>74</v>
      </c>
    </row>
    <row r="22888" spans="9:9" x14ac:dyDescent="0.2">
      <c r="I22888" s="137" t="s">
        <v>74</v>
      </c>
    </row>
    <row r="22889" spans="9:9" x14ac:dyDescent="0.2">
      <c r="I22889" s="137" t="s">
        <v>74</v>
      </c>
    </row>
    <row r="22890" spans="9:9" x14ac:dyDescent="0.2">
      <c r="I22890" s="137" t="s">
        <v>74</v>
      </c>
    </row>
    <row r="22891" spans="9:9" x14ac:dyDescent="0.2">
      <c r="I22891" s="137" t="s">
        <v>74</v>
      </c>
    </row>
    <row r="22892" spans="9:9" x14ac:dyDescent="0.2">
      <c r="I22892" s="137" t="s">
        <v>74</v>
      </c>
    </row>
    <row r="22893" spans="9:9" x14ac:dyDescent="0.2">
      <c r="I22893" s="137" t="s">
        <v>74</v>
      </c>
    </row>
    <row r="22894" spans="9:9" x14ac:dyDescent="0.2">
      <c r="I22894" s="137" t="s">
        <v>74</v>
      </c>
    </row>
    <row r="22895" spans="9:9" x14ac:dyDescent="0.2">
      <c r="I22895" s="137" t="s">
        <v>74</v>
      </c>
    </row>
    <row r="22896" spans="9:9" x14ac:dyDescent="0.2">
      <c r="I22896" s="137" t="s">
        <v>74</v>
      </c>
    </row>
    <row r="22897" spans="9:9" x14ac:dyDescent="0.2">
      <c r="I22897" s="137" t="s">
        <v>74</v>
      </c>
    </row>
    <row r="22898" spans="9:9" x14ac:dyDescent="0.2">
      <c r="I22898" s="137" t="s">
        <v>74</v>
      </c>
    </row>
    <row r="22899" spans="9:9" x14ac:dyDescent="0.2">
      <c r="I22899" s="137" t="s">
        <v>74</v>
      </c>
    </row>
    <row r="22900" spans="9:9" x14ac:dyDescent="0.2">
      <c r="I22900" s="137" t="s">
        <v>74</v>
      </c>
    </row>
    <row r="22901" spans="9:9" x14ac:dyDescent="0.2">
      <c r="I22901" s="137" t="s">
        <v>74</v>
      </c>
    </row>
    <row r="22902" spans="9:9" x14ac:dyDescent="0.2">
      <c r="I22902" s="137" t="s">
        <v>74</v>
      </c>
    </row>
    <row r="22903" spans="9:9" x14ac:dyDescent="0.2">
      <c r="I22903" s="137" t="s">
        <v>74</v>
      </c>
    </row>
    <row r="22904" spans="9:9" x14ac:dyDescent="0.2">
      <c r="I22904" s="137" t="s">
        <v>74</v>
      </c>
    </row>
    <row r="22905" spans="9:9" x14ac:dyDescent="0.2">
      <c r="I22905" s="137" t="s">
        <v>74</v>
      </c>
    </row>
    <row r="22906" spans="9:9" x14ac:dyDescent="0.2">
      <c r="I22906" s="137" t="s">
        <v>74</v>
      </c>
    </row>
    <row r="22907" spans="9:9" x14ac:dyDescent="0.2">
      <c r="I22907" s="137" t="s">
        <v>74</v>
      </c>
    </row>
    <row r="22908" spans="9:9" x14ac:dyDescent="0.2">
      <c r="I22908" s="137" t="s">
        <v>74</v>
      </c>
    </row>
    <row r="22909" spans="9:9" x14ac:dyDescent="0.2">
      <c r="I22909" s="137" t="s">
        <v>74</v>
      </c>
    </row>
    <row r="22910" spans="9:9" x14ac:dyDescent="0.2">
      <c r="I22910" s="137" t="s">
        <v>74</v>
      </c>
    </row>
    <row r="22911" spans="9:9" x14ac:dyDescent="0.2">
      <c r="I22911" s="137" t="s">
        <v>74</v>
      </c>
    </row>
    <row r="22912" spans="9:9" x14ac:dyDescent="0.2">
      <c r="I22912" s="137" t="s">
        <v>74</v>
      </c>
    </row>
    <row r="22913" spans="9:9" x14ac:dyDescent="0.2">
      <c r="I22913" s="137" t="s">
        <v>74</v>
      </c>
    </row>
    <row r="22914" spans="9:9" x14ac:dyDescent="0.2">
      <c r="I22914" s="137" t="s">
        <v>74</v>
      </c>
    </row>
    <row r="22915" spans="9:9" x14ac:dyDescent="0.2">
      <c r="I22915" s="137" t="s">
        <v>74</v>
      </c>
    </row>
    <row r="22916" spans="9:9" x14ac:dyDescent="0.2">
      <c r="I22916" s="137" t="s">
        <v>74</v>
      </c>
    </row>
    <row r="22917" spans="9:9" x14ac:dyDescent="0.2">
      <c r="I22917" s="137" t="s">
        <v>74</v>
      </c>
    </row>
    <row r="22918" spans="9:9" x14ac:dyDescent="0.2">
      <c r="I22918" s="137" t="s">
        <v>74</v>
      </c>
    </row>
    <row r="22919" spans="9:9" x14ac:dyDescent="0.2">
      <c r="I22919" s="137" t="s">
        <v>74</v>
      </c>
    </row>
    <row r="22920" spans="9:9" x14ac:dyDescent="0.2">
      <c r="I22920" s="137" t="s">
        <v>74</v>
      </c>
    </row>
    <row r="22921" spans="9:9" x14ac:dyDescent="0.2">
      <c r="I22921" s="137" t="s">
        <v>74</v>
      </c>
    </row>
    <row r="22922" spans="9:9" x14ac:dyDescent="0.2">
      <c r="I22922" s="137" t="s">
        <v>74</v>
      </c>
    </row>
    <row r="22923" spans="9:9" x14ac:dyDescent="0.2">
      <c r="I22923" s="137" t="s">
        <v>74</v>
      </c>
    </row>
    <row r="22924" spans="9:9" x14ac:dyDescent="0.2">
      <c r="I22924" s="137" t="s">
        <v>74</v>
      </c>
    </row>
    <row r="22925" spans="9:9" x14ac:dyDescent="0.2">
      <c r="I22925" s="137" t="s">
        <v>74</v>
      </c>
    </row>
    <row r="22926" spans="9:9" x14ac:dyDescent="0.2">
      <c r="I22926" s="137" t="s">
        <v>74</v>
      </c>
    </row>
    <row r="22927" spans="9:9" x14ac:dyDescent="0.2">
      <c r="I22927" s="137" t="s">
        <v>74</v>
      </c>
    </row>
    <row r="22928" spans="9:9" x14ac:dyDescent="0.2">
      <c r="I22928" s="137" t="s">
        <v>74</v>
      </c>
    </row>
    <row r="22929" spans="9:9" x14ac:dyDescent="0.2">
      <c r="I22929" s="137" t="s">
        <v>74</v>
      </c>
    </row>
    <row r="22930" spans="9:9" x14ac:dyDescent="0.2">
      <c r="I22930" s="137" t="s">
        <v>74</v>
      </c>
    </row>
    <row r="22931" spans="9:9" x14ac:dyDescent="0.2">
      <c r="I22931" s="137" t="s">
        <v>74</v>
      </c>
    </row>
    <row r="22932" spans="9:9" x14ac:dyDescent="0.2">
      <c r="I22932" s="137" t="s">
        <v>74</v>
      </c>
    </row>
    <row r="22933" spans="9:9" x14ac:dyDescent="0.2">
      <c r="I22933" s="137" t="s">
        <v>74</v>
      </c>
    </row>
    <row r="22934" spans="9:9" x14ac:dyDescent="0.2">
      <c r="I22934" s="137" t="s">
        <v>74</v>
      </c>
    </row>
    <row r="22935" spans="9:9" x14ac:dyDescent="0.2">
      <c r="I22935" s="137" t="s">
        <v>74</v>
      </c>
    </row>
    <row r="22936" spans="9:9" x14ac:dyDescent="0.2">
      <c r="I22936" s="137" t="s">
        <v>74</v>
      </c>
    </row>
    <row r="22937" spans="9:9" x14ac:dyDescent="0.2">
      <c r="I22937" s="137" t="s">
        <v>74</v>
      </c>
    </row>
    <row r="22938" spans="9:9" x14ac:dyDescent="0.2">
      <c r="I22938" s="137" t="s">
        <v>74</v>
      </c>
    </row>
    <row r="22939" spans="9:9" x14ac:dyDescent="0.2">
      <c r="I22939" s="137" t="s">
        <v>74</v>
      </c>
    </row>
    <row r="22940" spans="9:9" x14ac:dyDescent="0.2">
      <c r="I22940" s="137" t="s">
        <v>74</v>
      </c>
    </row>
    <row r="22941" spans="9:9" x14ac:dyDescent="0.2">
      <c r="I22941" s="137" t="s">
        <v>74</v>
      </c>
    </row>
    <row r="22942" spans="9:9" x14ac:dyDescent="0.2">
      <c r="I22942" s="137" t="s">
        <v>74</v>
      </c>
    </row>
    <row r="22943" spans="9:9" x14ac:dyDescent="0.2">
      <c r="I22943" s="137" t="s">
        <v>74</v>
      </c>
    </row>
    <row r="22944" spans="9:9" x14ac:dyDescent="0.2">
      <c r="I22944" s="137" t="s">
        <v>74</v>
      </c>
    </row>
    <row r="22945" spans="9:9" x14ac:dyDescent="0.2">
      <c r="I22945" s="137" t="s">
        <v>74</v>
      </c>
    </row>
    <row r="22946" spans="9:9" x14ac:dyDescent="0.2">
      <c r="I22946" s="137" t="s">
        <v>74</v>
      </c>
    </row>
    <row r="22947" spans="9:9" x14ac:dyDescent="0.2">
      <c r="I22947" s="137" t="s">
        <v>74</v>
      </c>
    </row>
    <row r="22948" spans="9:9" x14ac:dyDescent="0.2">
      <c r="I22948" s="137" t="s">
        <v>74</v>
      </c>
    </row>
    <row r="22949" spans="9:9" x14ac:dyDescent="0.2">
      <c r="I22949" s="137" t="s">
        <v>74</v>
      </c>
    </row>
    <row r="22950" spans="9:9" x14ac:dyDescent="0.2">
      <c r="I22950" s="137" t="s">
        <v>74</v>
      </c>
    </row>
    <row r="22951" spans="9:9" x14ac:dyDescent="0.2">
      <c r="I22951" s="137" t="s">
        <v>74</v>
      </c>
    </row>
    <row r="22952" spans="9:9" x14ac:dyDescent="0.2">
      <c r="I22952" s="137" t="s">
        <v>74</v>
      </c>
    </row>
    <row r="22953" spans="9:9" x14ac:dyDescent="0.2">
      <c r="I22953" s="137" t="s">
        <v>74</v>
      </c>
    </row>
    <row r="22954" spans="9:9" x14ac:dyDescent="0.2">
      <c r="I22954" s="137" t="s">
        <v>74</v>
      </c>
    </row>
    <row r="22955" spans="9:9" x14ac:dyDescent="0.2">
      <c r="I22955" s="137" t="s">
        <v>74</v>
      </c>
    </row>
    <row r="22956" spans="9:9" x14ac:dyDescent="0.2">
      <c r="I22956" s="137" t="s">
        <v>74</v>
      </c>
    </row>
    <row r="22957" spans="9:9" x14ac:dyDescent="0.2">
      <c r="I22957" s="137" t="s">
        <v>74</v>
      </c>
    </row>
    <row r="22958" spans="9:9" x14ac:dyDescent="0.2">
      <c r="I22958" s="137" t="s">
        <v>74</v>
      </c>
    </row>
    <row r="22959" spans="9:9" x14ac:dyDescent="0.2">
      <c r="I22959" s="137" t="s">
        <v>74</v>
      </c>
    </row>
    <row r="22960" spans="9:9" x14ac:dyDescent="0.2">
      <c r="I22960" s="137" t="s">
        <v>74</v>
      </c>
    </row>
    <row r="22961" spans="9:9" x14ac:dyDescent="0.2">
      <c r="I22961" s="137" t="s">
        <v>74</v>
      </c>
    </row>
    <row r="22962" spans="9:9" x14ac:dyDescent="0.2">
      <c r="I22962" s="137" t="s">
        <v>74</v>
      </c>
    </row>
    <row r="22963" spans="9:9" x14ac:dyDescent="0.2">
      <c r="I22963" s="137" t="s">
        <v>74</v>
      </c>
    </row>
    <row r="22964" spans="9:9" x14ac:dyDescent="0.2">
      <c r="I22964" s="137" t="s">
        <v>74</v>
      </c>
    </row>
    <row r="22965" spans="9:9" x14ac:dyDescent="0.2">
      <c r="I22965" s="137" t="s">
        <v>74</v>
      </c>
    </row>
    <row r="22966" spans="9:9" x14ac:dyDescent="0.2">
      <c r="I22966" s="137" t="s">
        <v>74</v>
      </c>
    </row>
    <row r="22967" spans="9:9" x14ac:dyDescent="0.2">
      <c r="I22967" s="137" t="s">
        <v>74</v>
      </c>
    </row>
    <row r="22968" spans="9:9" x14ac:dyDescent="0.2">
      <c r="I22968" s="137" t="s">
        <v>74</v>
      </c>
    </row>
    <row r="22969" spans="9:9" x14ac:dyDescent="0.2">
      <c r="I22969" s="137" t="s">
        <v>74</v>
      </c>
    </row>
    <row r="22970" spans="9:9" x14ac:dyDescent="0.2">
      <c r="I22970" s="137" t="s">
        <v>74</v>
      </c>
    </row>
    <row r="22971" spans="9:9" x14ac:dyDescent="0.2">
      <c r="I22971" s="137" t="s">
        <v>74</v>
      </c>
    </row>
    <row r="22972" spans="9:9" x14ac:dyDescent="0.2">
      <c r="I22972" s="137" t="s">
        <v>74</v>
      </c>
    </row>
    <row r="22973" spans="9:9" x14ac:dyDescent="0.2">
      <c r="I22973" s="137" t="s">
        <v>74</v>
      </c>
    </row>
    <row r="22974" spans="9:9" x14ac:dyDescent="0.2">
      <c r="I22974" s="137" t="s">
        <v>74</v>
      </c>
    </row>
    <row r="22975" spans="9:9" x14ac:dyDescent="0.2">
      <c r="I22975" s="137" t="s">
        <v>74</v>
      </c>
    </row>
    <row r="22976" spans="9:9" x14ac:dyDescent="0.2">
      <c r="I22976" s="137" t="s">
        <v>74</v>
      </c>
    </row>
    <row r="22977" spans="9:9" x14ac:dyDescent="0.2">
      <c r="I22977" s="137" t="s">
        <v>74</v>
      </c>
    </row>
    <row r="22978" spans="9:9" x14ac:dyDescent="0.2">
      <c r="I22978" s="137" t="s">
        <v>74</v>
      </c>
    </row>
    <row r="22979" spans="9:9" x14ac:dyDescent="0.2">
      <c r="I22979" s="137" t="s">
        <v>74</v>
      </c>
    </row>
    <row r="22980" spans="9:9" x14ac:dyDescent="0.2">
      <c r="I22980" s="137" t="s">
        <v>74</v>
      </c>
    </row>
    <row r="22981" spans="9:9" x14ac:dyDescent="0.2">
      <c r="I22981" s="137" t="s">
        <v>74</v>
      </c>
    </row>
    <row r="22982" spans="9:9" x14ac:dyDescent="0.2">
      <c r="I22982" s="137" t="s">
        <v>74</v>
      </c>
    </row>
    <row r="22983" spans="9:9" x14ac:dyDescent="0.2">
      <c r="I22983" s="137" t="s">
        <v>74</v>
      </c>
    </row>
    <row r="22984" spans="9:9" x14ac:dyDescent="0.2">
      <c r="I22984" s="137" t="s">
        <v>74</v>
      </c>
    </row>
    <row r="22985" spans="9:9" x14ac:dyDescent="0.2">
      <c r="I22985" s="137" t="s">
        <v>74</v>
      </c>
    </row>
    <row r="22986" spans="9:9" x14ac:dyDescent="0.2">
      <c r="I22986" s="137" t="s">
        <v>74</v>
      </c>
    </row>
    <row r="22987" spans="9:9" x14ac:dyDescent="0.2">
      <c r="I22987" s="137" t="s">
        <v>74</v>
      </c>
    </row>
    <row r="22988" spans="9:9" x14ac:dyDescent="0.2">
      <c r="I22988" s="137" t="s">
        <v>74</v>
      </c>
    </row>
    <row r="22989" spans="9:9" x14ac:dyDescent="0.2">
      <c r="I22989" s="137" t="s">
        <v>74</v>
      </c>
    </row>
    <row r="22990" spans="9:9" x14ac:dyDescent="0.2">
      <c r="I22990" s="137" t="s">
        <v>74</v>
      </c>
    </row>
    <row r="22991" spans="9:9" x14ac:dyDescent="0.2">
      <c r="I22991" s="137" t="s">
        <v>74</v>
      </c>
    </row>
    <row r="22992" spans="9:9" x14ac:dyDescent="0.2">
      <c r="I22992" s="137" t="s">
        <v>74</v>
      </c>
    </row>
    <row r="22993" spans="9:9" x14ac:dyDescent="0.2">
      <c r="I22993" s="137" t="s">
        <v>74</v>
      </c>
    </row>
    <row r="22994" spans="9:9" x14ac:dyDescent="0.2">
      <c r="I22994" s="137" t="s">
        <v>74</v>
      </c>
    </row>
    <row r="22995" spans="9:9" x14ac:dyDescent="0.2">
      <c r="I22995" s="137" t="s">
        <v>74</v>
      </c>
    </row>
    <row r="22996" spans="9:9" x14ac:dyDescent="0.2">
      <c r="I22996" s="137" t="s">
        <v>74</v>
      </c>
    </row>
    <row r="22997" spans="9:9" x14ac:dyDescent="0.2">
      <c r="I22997" s="137" t="s">
        <v>74</v>
      </c>
    </row>
    <row r="22998" spans="9:9" x14ac:dyDescent="0.2">
      <c r="I22998" s="137" t="s">
        <v>74</v>
      </c>
    </row>
    <row r="22999" spans="9:9" x14ac:dyDescent="0.2">
      <c r="I22999" s="137" t="s">
        <v>74</v>
      </c>
    </row>
    <row r="23000" spans="9:9" x14ac:dyDescent="0.2">
      <c r="I23000" s="137" t="s">
        <v>74</v>
      </c>
    </row>
    <row r="23001" spans="9:9" x14ac:dyDescent="0.2">
      <c r="I23001" s="137" t="s">
        <v>74</v>
      </c>
    </row>
    <row r="23002" spans="9:9" x14ac:dyDescent="0.2">
      <c r="I23002" s="137" t="s">
        <v>74</v>
      </c>
    </row>
    <row r="23003" spans="9:9" x14ac:dyDescent="0.2">
      <c r="I23003" s="137" t="s">
        <v>74</v>
      </c>
    </row>
    <row r="23004" spans="9:9" x14ac:dyDescent="0.2">
      <c r="I23004" s="137" t="s">
        <v>74</v>
      </c>
    </row>
    <row r="23005" spans="9:9" x14ac:dyDescent="0.2">
      <c r="I23005" s="137" t="s">
        <v>74</v>
      </c>
    </row>
    <row r="23006" spans="9:9" x14ac:dyDescent="0.2">
      <c r="I23006" s="137" t="s">
        <v>74</v>
      </c>
    </row>
    <row r="23007" spans="9:9" x14ac:dyDescent="0.2">
      <c r="I23007" s="137" t="s">
        <v>74</v>
      </c>
    </row>
    <row r="23008" spans="9:9" x14ac:dyDescent="0.2">
      <c r="I23008" s="137" t="s">
        <v>74</v>
      </c>
    </row>
    <row r="23009" spans="9:9" x14ac:dyDescent="0.2">
      <c r="I23009" s="137" t="s">
        <v>74</v>
      </c>
    </row>
    <row r="23010" spans="9:9" x14ac:dyDescent="0.2">
      <c r="I23010" s="137" t="s">
        <v>74</v>
      </c>
    </row>
    <row r="23011" spans="9:9" x14ac:dyDescent="0.2">
      <c r="I23011" s="137" t="s">
        <v>74</v>
      </c>
    </row>
    <row r="23012" spans="9:9" x14ac:dyDescent="0.2">
      <c r="I23012" s="137" t="s">
        <v>74</v>
      </c>
    </row>
    <row r="23013" spans="9:9" x14ac:dyDescent="0.2">
      <c r="I23013" s="137" t="s">
        <v>74</v>
      </c>
    </row>
    <row r="23014" spans="9:9" x14ac:dyDescent="0.2">
      <c r="I23014" s="137" t="s">
        <v>74</v>
      </c>
    </row>
    <row r="23015" spans="9:9" x14ac:dyDescent="0.2">
      <c r="I23015" s="137" t="s">
        <v>74</v>
      </c>
    </row>
    <row r="23016" spans="9:9" x14ac:dyDescent="0.2">
      <c r="I23016" s="137" t="s">
        <v>74</v>
      </c>
    </row>
    <row r="23017" spans="9:9" x14ac:dyDescent="0.2">
      <c r="I23017" s="137" t="s">
        <v>74</v>
      </c>
    </row>
    <row r="23018" spans="9:9" x14ac:dyDescent="0.2">
      <c r="I23018" s="137" t="s">
        <v>74</v>
      </c>
    </row>
    <row r="23019" spans="9:9" x14ac:dyDescent="0.2">
      <c r="I23019" s="137" t="s">
        <v>74</v>
      </c>
    </row>
    <row r="23020" spans="9:9" x14ac:dyDescent="0.2">
      <c r="I23020" s="137" t="s">
        <v>74</v>
      </c>
    </row>
    <row r="23021" spans="9:9" x14ac:dyDescent="0.2">
      <c r="I23021" s="137" t="s">
        <v>74</v>
      </c>
    </row>
    <row r="23022" spans="9:9" x14ac:dyDescent="0.2">
      <c r="I23022" s="137" t="s">
        <v>74</v>
      </c>
    </row>
    <row r="23023" spans="9:9" x14ac:dyDescent="0.2">
      <c r="I23023" s="137" t="s">
        <v>74</v>
      </c>
    </row>
    <row r="23024" spans="9:9" x14ac:dyDescent="0.2">
      <c r="I23024" s="137" t="s">
        <v>74</v>
      </c>
    </row>
    <row r="23025" spans="9:9" x14ac:dyDescent="0.2">
      <c r="I23025" s="137" t="s">
        <v>74</v>
      </c>
    </row>
    <row r="23026" spans="9:9" x14ac:dyDescent="0.2">
      <c r="I23026" s="137" t="s">
        <v>74</v>
      </c>
    </row>
    <row r="23027" spans="9:9" x14ac:dyDescent="0.2">
      <c r="I23027" s="137" t="s">
        <v>74</v>
      </c>
    </row>
    <row r="23028" spans="9:9" x14ac:dyDescent="0.2">
      <c r="I23028" s="137" t="s">
        <v>74</v>
      </c>
    </row>
    <row r="23029" spans="9:9" x14ac:dyDescent="0.2">
      <c r="I23029" s="137" t="s">
        <v>74</v>
      </c>
    </row>
    <row r="23030" spans="9:9" x14ac:dyDescent="0.2">
      <c r="I23030" s="137" t="s">
        <v>74</v>
      </c>
    </row>
    <row r="23031" spans="9:9" x14ac:dyDescent="0.2">
      <c r="I23031" s="137" t="s">
        <v>74</v>
      </c>
    </row>
    <row r="23032" spans="9:9" x14ac:dyDescent="0.2">
      <c r="I23032" s="137" t="s">
        <v>74</v>
      </c>
    </row>
    <row r="23033" spans="9:9" x14ac:dyDescent="0.2">
      <c r="I23033" s="137" t="s">
        <v>74</v>
      </c>
    </row>
    <row r="23034" spans="9:9" x14ac:dyDescent="0.2">
      <c r="I23034" s="137" t="s">
        <v>74</v>
      </c>
    </row>
    <row r="23035" spans="9:9" x14ac:dyDescent="0.2">
      <c r="I23035" s="137" t="s">
        <v>74</v>
      </c>
    </row>
    <row r="23036" spans="9:9" x14ac:dyDescent="0.2">
      <c r="I23036" s="137" t="s">
        <v>74</v>
      </c>
    </row>
    <row r="23037" spans="9:9" x14ac:dyDescent="0.2">
      <c r="I23037" s="137" t="s">
        <v>74</v>
      </c>
    </row>
    <row r="23038" spans="9:9" x14ac:dyDescent="0.2">
      <c r="I23038" s="137" t="s">
        <v>74</v>
      </c>
    </row>
    <row r="23039" spans="9:9" x14ac:dyDescent="0.2">
      <c r="I23039" s="137" t="s">
        <v>74</v>
      </c>
    </row>
    <row r="23040" spans="9:9" x14ac:dyDescent="0.2">
      <c r="I23040" s="137" t="s">
        <v>74</v>
      </c>
    </row>
    <row r="23041" spans="9:9" x14ac:dyDescent="0.2">
      <c r="I23041" s="137" t="s">
        <v>74</v>
      </c>
    </row>
    <row r="23042" spans="9:9" x14ac:dyDescent="0.2">
      <c r="I23042" s="137" t="s">
        <v>74</v>
      </c>
    </row>
    <row r="23043" spans="9:9" x14ac:dyDescent="0.2">
      <c r="I23043" s="137" t="s">
        <v>74</v>
      </c>
    </row>
    <row r="23044" spans="9:9" x14ac:dyDescent="0.2">
      <c r="I23044" s="137" t="s">
        <v>74</v>
      </c>
    </row>
    <row r="23045" spans="9:9" x14ac:dyDescent="0.2">
      <c r="I23045" s="137" t="s">
        <v>74</v>
      </c>
    </row>
    <row r="23046" spans="9:9" x14ac:dyDescent="0.2">
      <c r="I23046" s="137" t="s">
        <v>74</v>
      </c>
    </row>
    <row r="23047" spans="9:9" x14ac:dyDescent="0.2">
      <c r="I23047" s="137" t="s">
        <v>74</v>
      </c>
    </row>
    <row r="23048" spans="9:9" x14ac:dyDescent="0.2">
      <c r="I23048" s="137" t="s">
        <v>74</v>
      </c>
    </row>
    <row r="23049" spans="9:9" x14ac:dyDescent="0.2">
      <c r="I23049" s="137" t="s">
        <v>74</v>
      </c>
    </row>
    <row r="23050" spans="9:9" x14ac:dyDescent="0.2">
      <c r="I23050" s="137" t="s">
        <v>74</v>
      </c>
    </row>
    <row r="23051" spans="9:9" x14ac:dyDescent="0.2">
      <c r="I23051" s="137" t="s">
        <v>74</v>
      </c>
    </row>
    <row r="23052" spans="9:9" x14ac:dyDescent="0.2">
      <c r="I23052" s="137" t="s">
        <v>74</v>
      </c>
    </row>
    <row r="23053" spans="9:9" x14ac:dyDescent="0.2">
      <c r="I23053" s="137" t="s">
        <v>74</v>
      </c>
    </row>
    <row r="23054" spans="9:9" x14ac:dyDescent="0.2">
      <c r="I23054" s="137" t="s">
        <v>74</v>
      </c>
    </row>
    <row r="23055" spans="9:9" x14ac:dyDescent="0.2">
      <c r="I23055" s="137" t="s">
        <v>74</v>
      </c>
    </row>
    <row r="23056" spans="9:9" x14ac:dyDescent="0.2">
      <c r="I23056" s="137" t="s">
        <v>74</v>
      </c>
    </row>
    <row r="23057" spans="9:9" x14ac:dyDescent="0.2">
      <c r="I23057" s="137" t="s">
        <v>74</v>
      </c>
    </row>
    <row r="23058" spans="9:9" x14ac:dyDescent="0.2">
      <c r="I23058" s="137" t="s">
        <v>74</v>
      </c>
    </row>
    <row r="23059" spans="9:9" x14ac:dyDescent="0.2">
      <c r="I23059" s="137" t="s">
        <v>74</v>
      </c>
    </row>
    <row r="23060" spans="9:9" x14ac:dyDescent="0.2">
      <c r="I23060" s="137" t="s">
        <v>74</v>
      </c>
    </row>
    <row r="23061" spans="9:9" x14ac:dyDescent="0.2">
      <c r="I23061" s="137" t="s">
        <v>74</v>
      </c>
    </row>
    <row r="23062" spans="9:9" x14ac:dyDescent="0.2">
      <c r="I23062" s="137" t="s">
        <v>74</v>
      </c>
    </row>
    <row r="23063" spans="9:9" x14ac:dyDescent="0.2">
      <c r="I23063" s="137" t="s">
        <v>74</v>
      </c>
    </row>
    <row r="23064" spans="9:9" x14ac:dyDescent="0.2">
      <c r="I23064" s="137" t="s">
        <v>74</v>
      </c>
    </row>
    <row r="23065" spans="9:9" x14ac:dyDescent="0.2">
      <c r="I23065" s="137" t="s">
        <v>74</v>
      </c>
    </row>
    <row r="23066" spans="9:9" x14ac:dyDescent="0.2">
      <c r="I23066" s="137" t="s">
        <v>74</v>
      </c>
    </row>
    <row r="23067" spans="9:9" x14ac:dyDescent="0.2">
      <c r="I23067" s="137" t="s">
        <v>74</v>
      </c>
    </row>
    <row r="23068" spans="9:9" x14ac:dyDescent="0.2">
      <c r="I23068" s="137" t="s">
        <v>74</v>
      </c>
    </row>
    <row r="23069" spans="9:9" x14ac:dyDescent="0.2">
      <c r="I23069" s="137" t="s">
        <v>74</v>
      </c>
    </row>
    <row r="23070" spans="9:9" x14ac:dyDescent="0.2">
      <c r="I23070" s="137" t="s">
        <v>74</v>
      </c>
    </row>
    <row r="23071" spans="9:9" x14ac:dyDescent="0.2">
      <c r="I23071" s="137" t="s">
        <v>74</v>
      </c>
    </row>
    <row r="23072" spans="9:9" x14ac:dyDescent="0.2">
      <c r="I23072" s="137" t="s">
        <v>74</v>
      </c>
    </row>
    <row r="23073" spans="9:9" x14ac:dyDescent="0.2">
      <c r="I23073" s="137" t="s">
        <v>74</v>
      </c>
    </row>
    <row r="23074" spans="9:9" x14ac:dyDescent="0.2">
      <c r="I23074" s="137" t="s">
        <v>74</v>
      </c>
    </row>
    <row r="23075" spans="9:9" x14ac:dyDescent="0.2">
      <c r="I23075" s="137" t="s">
        <v>74</v>
      </c>
    </row>
    <row r="23076" spans="9:9" x14ac:dyDescent="0.2">
      <c r="I23076" s="137" t="s">
        <v>74</v>
      </c>
    </row>
    <row r="23077" spans="9:9" x14ac:dyDescent="0.2">
      <c r="I23077" s="137" t="s">
        <v>74</v>
      </c>
    </row>
    <row r="23078" spans="9:9" x14ac:dyDescent="0.2">
      <c r="I23078" s="137" t="s">
        <v>74</v>
      </c>
    </row>
    <row r="23079" spans="9:9" x14ac:dyDescent="0.2">
      <c r="I23079" s="137" t="s">
        <v>74</v>
      </c>
    </row>
    <row r="23080" spans="9:9" x14ac:dyDescent="0.2">
      <c r="I23080" s="137" t="s">
        <v>74</v>
      </c>
    </row>
    <row r="23081" spans="9:9" x14ac:dyDescent="0.2">
      <c r="I23081" s="137" t="s">
        <v>74</v>
      </c>
    </row>
    <row r="23082" spans="9:9" x14ac:dyDescent="0.2">
      <c r="I23082" s="137" t="s">
        <v>74</v>
      </c>
    </row>
    <row r="23083" spans="9:9" x14ac:dyDescent="0.2">
      <c r="I23083" s="137" t="s">
        <v>74</v>
      </c>
    </row>
    <row r="23084" spans="9:9" x14ac:dyDescent="0.2">
      <c r="I23084" s="137" t="s">
        <v>74</v>
      </c>
    </row>
    <row r="23085" spans="9:9" x14ac:dyDescent="0.2">
      <c r="I23085" s="137" t="s">
        <v>74</v>
      </c>
    </row>
    <row r="23086" spans="9:9" x14ac:dyDescent="0.2">
      <c r="I23086" s="137" t="s">
        <v>74</v>
      </c>
    </row>
    <row r="23087" spans="9:9" x14ac:dyDescent="0.2">
      <c r="I23087" s="137" t="s">
        <v>74</v>
      </c>
    </row>
    <row r="23088" spans="9:9" x14ac:dyDescent="0.2">
      <c r="I23088" s="137" t="s">
        <v>74</v>
      </c>
    </row>
    <row r="23089" spans="9:9" x14ac:dyDescent="0.2">
      <c r="I23089" s="137" t="s">
        <v>74</v>
      </c>
    </row>
    <row r="23090" spans="9:9" x14ac:dyDescent="0.2">
      <c r="I23090" s="137" t="s">
        <v>74</v>
      </c>
    </row>
    <row r="23091" spans="9:9" x14ac:dyDescent="0.2">
      <c r="I23091" s="137" t="s">
        <v>74</v>
      </c>
    </row>
    <row r="23092" spans="9:9" x14ac:dyDescent="0.2">
      <c r="I23092" s="137" t="s">
        <v>74</v>
      </c>
    </row>
    <row r="23093" spans="9:9" x14ac:dyDescent="0.2">
      <c r="I23093" s="137" t="s">
        <v>74</v>
      </c>
    </row>
    <row r="23094" spans="9:9" x14ac:dyDescent="0.2">
      <c r="I23094" s="137" t="s">
        <v>74</v>
      </c>
    </row>
    <row r="23095" spans="9:9" x14ac:dyDescent="0.2">
      <c r="I23095" s="137" t="s">
        <v>74</v>
      </c>
    </row>
    <row r="23096" spans="9:9" x14ac:dyDescent="0.2">
      <c r="I23096" s="137" t="s">
        <v>74</v>
      </c>
    </row>
    <row r="23097" spans="9:9" x14ac:dyDescent="0.2">
      <c r="I23097" s="137" t="s">
        <v>74</v>
      </c>
    </row>
    <row r="23098" spans="9:9" x14ac:dyDescent="0.2">
      <c r="I23098" s="137" t="s">
        <v>74</v>
      </c>
    </row>
    <row r="23099" spans="9:9" x14ac:dyDescent="0.2">
      <c r="I23099" s="137" t="s">
        <v>74</v>
      </c>
    </row>
    <row r="23100" spans="9:9" x14ac:dyDescent="0.2">
      <c r="I23100" s="137" t="s">
        <v>74</v>
      </c>
    </row>
    <row r="23101" spans="9:9" x14ac:dyDescent="0.2">
      <c r="I23101" s="137" t="s">
        <v>74</v>
      </c>
    </row>
    <row r="23102" spans="9:9" x14ac:dyDescent="0.2">
      <c r="I23102" s="137" t="s">
        <v>74</v>
      </c>
    </row>
    <row r="23103" spans="9:9" x14ac:dyDescent="0.2">
      <c r="I23103" s="137" t="s">
        <v>74</v>
      </c>
    </row>
    <row r="23104" spans="9:9" x14ac:dyDescent="0.2">
      <c r="I23104" s="137" t="s">
        <v>74</v>
      </c>
    </row>
    <row r="23105" spans="9:9" x14ac:dyDescent="0.2">
      <c r="I23105" s="137" t="s">
        <v>74</v>
      </c>
    </row>
    <row r="23106" spans="9:9" x14ac:dyDescent="0.2">
      <c r="I23106" s="137" t="s">
        <v>74</v>
      </c>
    </row>
    <row r="23107" spans="9:9" x14ac:dyDescent="0.2">
      <c r="I23107" s="137" t="s">
        <v>74</v>
      </c>
    </row>
    <row r="23108" spans="9:9" x14ac:dyDescent="0.2">
      <c r="I23108" s="137" t="s">
        <v>74</v>
      </c>
    </row>
    <row r="23109" spans="9:9" x14ac:dyDescent="0.2">
      <c r="I23109" s="137" t="s">
        <v>74</v>
      </c>
    </row>
    <row r="23110" spans="9:9" x14ac:dyDescent="0.2">
      <c r="I23110" s="137" t="s">
        <v>74</v>
      </c>
    </row>
    <row r="23111" spans="9:9" x14ac:dyDescent="0.2">
      <c r="I23111" s="137" t="s">
        <v>74</v>
      </c>
    </row>
    <row r="23112" spans="9:9" x14ac:dyDescent="0.2">
      <c r="I23112" s="137" t="s">
        <v>74</v>
      </c>
    </row>
    <row r="23113" spans="9:9" x14ac:dyDescent="0.2">
      <c r="I23113" s="137" t="s">
        <v>74</v>
      </c>
    </row>
    <row r="23114" spans="9:9" x14ac:dyDescent="0.2">
      <c r="I23114" s="137" t="s">
        <v>74</v>
      </c>
    </row>
    <row r="23115" spans="9:9" x14ac:dyDescent="0.2">
      <c r="I23115" s="137" t="s">
        <v>74</v>
      </c>
    </row>
    <row r="23116" spans="9:9" x14ac:dyDescent="0.2">
      <c r="I23116" s="137" t="s">
        <v>74</v>
      </c>
    </row>
    <row r="23117" spans="9:9" x14ac:dyDescent="0.2">
      <c r="I23117" s="137" t="s">
        <v>74</v>
      </c>
    </row>
    <row r="23118" spans="9:9" x14ac:dyDescent="0.2">
      <c r="I23118" s="137" t="s">
        <v>74</v>
      </c>
    </row>
    <row r="23119" spans="9:9" x14ac:dyDescent="0.2">
      <c r="I23119" s="137" t="s">
        <v>74</v>
      </c>
    </row>
    <row r="23120" spans="9:9" x14ac:dyDescent="0.2">
      <c r="I23120" s="137" t="s">
        <v>74</v>
      </c>
    </row>
    <row r="23121" spans="9:9" x14ac:dyDescent="0.2">
      <c r="I23121" s="137" t="s">
        <v>74</v>
      </c>
    </row>
    <row r="23122" spans="9:9" x14ac:dyDescent="0.2">
      <c r="I23122" s="137" t="s">
        <v>74</v>
      </c>
    </row>
    <row r="23123" spans="9:9" x14ac:dyDescent="0.2">
      <c r="I23123" s="137" t="s">
        <v>74</v>
      </c>
    </row>
    <row r="23124" spans="9:9" x14ac:dyDescent="0.2">
      <c r="I23124" s="137" t="s">
        <v>74</v>
      </c>
    </row>
    <row r="23125" spans="9:9" x14ac:dyDescent="0.2">
      <c r="I23125" s="137" t="s">
        <v>74</v>
      </c>
    </row>
    <row r="23126" spans="9:9" x14ac:dyDescent="0.2">
      <c r="I23126" s="137" t="s">
        <v>74</v>
      </c>
    </row>
    <row r="23127" spans="9:9" x14ac:dyDescent="0.2">
      <c r="I23127" s="137" t="s">
        <v>74</v>
      </c>
    </row>
    <row r="23128" spans="9:9" x14ac:dyDescent="0.2">
      <c r="I23128" s="137" t="s">
        <v>74</v>
      </c>
    </row>
    <row r="23129" spans="9:9" x14ac:dyDescent="0.2">
      <c r="I23129" s="137" t="s">
        <v>74</v>
      </c>
    </row>
    <row r="23130" spans="9:9" x14ac:dyDescent="0.2">
      <c r="I23130" s="137" t="s">
        <v>74</v>
      </c>
    </row>
    <row r="23131" spans="9:9" x14ac:dyDescent="0.2">
      <c r="I23131" s="137" t="s">
        <v>74</v>
      </c>
    </row>
    <row r="23132" spans="9:9" x14ac:dyDescent="0.2">
      <c r="I23132" s="137" t="s">
        <v>74</v>
      </c>
    </row>
    <row r="23133" spans="9:9" x14ac:dyDescent="0.2">
      <c r="I23133" s="137" t="s">
        <v>74</v>
      </c>
    </row>
    <row r="23134" spans="9:9" x14ac:dyDescent="0.2">
      <c r="I23134" s="137" t="s">
        <v>74</v>
      </c>
    </row>
    <row r="23135" spans="9:9" x14ac:dyDescent="0.2">
      <c r="I23135" s="137" t="s">
        <v>74</v>
      </c>
    </row>
    <row r="23136" spans="9:9" x14ac:dyDescent="0.2">
      <c r="I23136" s="137" t="s">
        <v>74</v>
      </c>
    </row>
    <row r="23137" spans="9:9" x14ac:dyDescent="0.2">
      <c r="I23137" s="137" t="s">
        <v>74</v>
      </c>
    </row>
    <row r="23138" spans="9:9" x14ac:dyDescent="0.2">
      <c r="I23138" s="137" t="s">
        <v>74</v>
      </c>
    </row>
    <row r="23139" spans="9:9" x14ac:dyDescent="0.2">
      <c r="I23139" s="137" t="s">
        <v>74</v>
      </c>
    </row>
    <row r="23140" spans="9:9" x14ac:dyDescent="0.2">
      <c r="I23140" s="137" t="s">
        <v>74</v>
      </c>
    </row>
    <row r="23141" spans="9:9" x14ac:dyDescent="0.2">
      <c r="I23141" s="137" t="s">
        <v>74</v>
      </c>
    </row>
    <row r="23142" spans="9:9" x14ac:dyDescent="0.2">
      <c r="I23142" s="137" t="s">
        <v>74</v>
      </c>
    </row>
    <row r="23143" spans="9:9" x14ac:dyDescent="0.2">
      <c r="I23143" s="137" t="s">
        <v>74</v>
      </c>
    </row>
    <row r="23144" spans="9:9" x14ac:dyDescent="0.2">
      <c r="I23144" s="137" t="s">
        <v>74</v>
      </c>
    </row>
    <row r="23145" spans="9:9" x14ac:dyDescent="0.2">
      <c r="I23145" s="137" t="s">
        <v>74</v>
      </c>
    </row>
    <row r="23146" spans="9:9" x14ac:dyDescent="0.2">
      <c r="I23146" s="137" t="s">
        <v>74</v>
      </c>
    </row>
    <row r="23147" spans="9:9" x14ac:dyDescent="0.2">
      <c r="I23147" s="137" t="s">
        <v>74</v>
      </c>
    </row>
    <row r="23148" spans="9:9" x14ac:dyDescent="0.2">
      <c r="I23148" s="137" t="s">
        <v>74</v>
      </c>
    </row>
    <row r="23149" spans="9:9" x14ac:dyDescent="0.2">
      <c r="I23149" s="137" t="s">
        <v>74</v>
      </c>
    </row>
    <row r="23150" spans="9:9" x14ac:dyDescent="0.2">
      <c r="I23150" s="137" t="s">
        <v>74</v>
      </c>
    </row>
    <row r="23151" spans="9:9" x14ac:dyDescent="0.2">
      <c r="I23151" s="137" t="s">
        <v>74</v>
      </c>
    </row>
    <row r="23152" spans="9:9" x14ac:dyDescent="0.2">
      <c r="I23152" s="137" t="s">
        <v>74</v>
      </c>
    </row>
    <row r="23153" spans="9:9" x14ac:dyDescent="0.2">
      <c r="I23153" s="137" t="s">
        <v>74</v>
      </c>
    </row>
    <row r="23154" spans="9:9" x14ac:dyDescent="0.2">
      <c r="I23154" s="137" t="s">
        <v>74</v>
      </c>
    </row>
    <row r="23155" spans="9:9" x14ac:dyDescent="0.2">
      <c r="I23155" s="137" t="s">
        <v>74</v>
      </c>
    </row>
    <row r="23156" spans="9:9" x14ac:dyDescent="0.2">
      <c r="I23156" s="137" t="s">
        <v>74</v>
      </c>
    </row>
    <row r="23157" spans="9:9" x14ac:dyDescent="0.2">
      <c r="I23157" s="137" t="s">
        <v>74</v>
      </c>
    </row>
    <row r="23158" spans="9:9" x14ac:dyDescent="0.2">
      <c r="I23158" s="137" t="s">
        <v>74</v>
      </c>
    </row>
    <row r="23159" spans="9:9" x14ac:dyDescent="0.2">
      <c r="I23159" s="137" t="s">
        <v>74</v>
      </c>
    </row>
    <row r="23160" spans="9:9" x14ac:dyDescent="0.2">
      <c r="I23160" s="137" t="s">
        <v>74</v>
      </c>
    </row>
    <row r="23161" spans="9:9" x14ac:dyDescent="0.2">
      <c r="I23161" s="137" t="s">
        <v>74</v>
      </c>
    </row>
    <row r="23162" spans="9:9" x14ac:dyDescent="0.2">
      <c r="I23162" s="137" t="s">
        <v>74</v>
      </c>
    </row>
    <row r="23163" spans="9:9" x14ac:dyDescent="0.2">
      <c r="I23163" s="137" t="s">
        <v>74</v>
      </c>
    </row>
    <row r="23164" spans="9:9" x14ac:dyDescent="0.2">
      <c r="I23164" s="137" t="s">
        <v>74</v>
      </c>
    </row>
    <row r="23165" spans="9:9" x14ac:dyDescent="0.2">
      <c r="I23165" s="137" t="s">
        <v>74</v>
      </c>
    </row>
    <row r="23166" spans="9:9" x14ac:dyDescent="0.2">
      <c r="I23166" s="137" t="s">
        <v>74</v>
      </c>
    </row>
    <row r="23167" spans="9:9" x14ac:dyDescent="0.2">
      <c r="I23167" s="137" t="s">
        <v>74</v>
      </c>
    </row>
    <row r="23168" spans="9:9" x14ac:dyDescent="0.2">
      <c r="I23168" s="137" t="s">
        <v>74</v>
      </c>
    </row>
    <row r="23169" spans="9:9" x14ac:dyDescent="0.2">
      <c r="I23169" s="137" t="s">
        <v>74</v>
      </c>
    </row>
    <row r="23170" spans="9:9" x14ac:dyDescent="0.2">
      <c r="I23170" s="137" t="s">
        <v>74</v>
      </c>
    </row>
    <row r="23171" spans="9:9" x14ac:dyDescent="0.2">
      <c r="I23171" s="137" t="s">
        <v>74</v>
      </c>
    </row>
    <row r="23172" spans="9:9" x14ac:dyDescent="0.2">
      <c r="I23172" s="137" t="s">
        <v>74</v>
      </c>
    </row>
    <row r="23173" spans="9:9" x14ac:dyDescent="0.2">
      <c r="I23173" s="137" t="s">
        <v>74</v>
      </c>
    </row>
    <row r="23174" spans="9:9" x14ac:dyDescent="0.2">
      <c r="I23174" s="137" t="s">
        <v>74</v>
      </c>
    </row>
    <row r="23175" spans="9:9" x14ac:dyDescent="0.2">
      <c r="I23175" s="137" t="s">
        <v>74</v>
      </c>
    </row>
    <row r="23176" spans="9:9" x14ac:dyDescent="0.2">
      <c r="I23176" s="137" t="s">
        <v>74</v>
      </c>
    </row>
    <row r="23177" spans="9:9" x14ac:dyDescent="0.2">
      <c r="I23177" s="137" t="s">
        <v>74</v>
      </c>
    </row>
    <row r="23178" spans="9:9" x14ac:dyDescent="0.2">
      <c r="I23178" s="137" t="s">
        <v>74</v>
      </c>
    </row>
    <row r="23179" spans="9:9" x14ac:dyDescent="0.2">
      <c r="I23179" s="137" t="s">
        <v>74</v>
      </c>
    </row>
    <row r="23180" spans="9:9" x14ac:dyDescent="0.2">
      <c r="I23180" s="137" t="s">
        <v>74</v>
      </c>
    </row>
    <row r="23181" spans="9:9" x14ac:dyDescent="0.2">
      <c r="I23181" s="137" t="s">
        <v>74</v>
      </c>
    </row>
    <row r="23182" spans="9:9" x14ac:dyDescent="0.2">
      <c r="I23182" s="137" t="s">
        <v>74</v>
      </c>
    </row>
    <row r="23183" spans="9:9" x14ac:dyDescent="0.2">
      <c r="I23183" s="137" t="s">
        <v>74</v>
      </c>
    </row>
    <row r="23184" spans="9:9" x14ac:dyDescent="0.2">
      <c r="I23184" s="137" t="s">
        <v>74</v>
      </c>
    </row>
    <row r="23185" spans="9:9" x14ac:dyDescent="0.2">
      <c r="I23185" s="137" t="s">
        <v>74</v>
      </c>
    </row>
    <row r="23186" spans="9:9" x14ac:dyDescent="0.2">
      <c r="I23186" s="137" t="s">
        <v>74</v>
      </c>
    </row>
    <row r="23187" spans="9:9" x14ac:dyDescent="0.2">
      <c r="I23187" s="137" t="s">
        <v>74</v>
      </c>
    </row>
    <row r="23188" spans="9:9" x14ac:dyDescent="0.2">
      <c r="I23188" s="137" t="s">
        <v>74</v>
      </c>
    </row>
    <row r="23189" spans="9:9" x14ac:dyDescent="0.2">
      <c r="I23189" s="137" t="s">
        <v>74</v>
      </c>
    </row>
    <row r="23190" spans="9:9" x14ac:dyDescent="0.2">
      <c r="I23190" s="137" t="s">
        <v>74</v>
      </c>
    </row>
    <row r="23191" spans="9:9" x14ac:dyDescent="0.2">
      <c r="I23191" s="137" t="s">
        <v>74</v>
      </c>
    </row>
    <row r="23192" spans="9:9" x14ac:dyDescent="0.2">
      <c r="I23192" s="137" t="s">
        <v>74</v>
      </c>
    </row>
    <row r="23193" spans="9:9" x14ac:dyDescent="0.2">
      <c r="I23193" s="137" t="s">
        <v>74</v>
      </c>
    </row>
    <row r="23194" spans="9:9" x14ac:dyDescent="0.2">
      <c r="I23194" s="137" t="s">
        <v>74</v>
      </c>
    </row>
    <row r="23195" spans="9:9" x14ac:dyDescent="0.2">
      <c r="I23195" s="137" t="s">
        <v>74</v>
      </c>
    </row>
    <row r="23196" spans="9:9" x14ac:dyDescent="0.2">
      <c r="I23196" s="137" t="s">
        <v>74</v>
      </c>
    </row>
    <row r="23197" spans="9:9" x14ac:dyDescent="0.2">
      <c r="I23197" s="137" t="s">
        <v>74</v>
      </c>
    </row>
    <row r="23198" spans="9:9" x14ac:dyDescent="0.2">
      <c r="I23198" s="137" t="s">
        <v>74</v>
      </c>
    </row>
    <row r="23199" spans="9:9" x14ac:dyDescent="0.2">
      <c r="I23199" s="137" t="s">
        <v>74</v>
      </c>
    </row>
    <row r="23200" spans="9:9" x14ac:dyDescent="0.2">
      <c r="I23200" s="137" t="s">
        <v>74</v>
      </c>
    </row>
    <row r="23201" spans="9:9" x14ac:dyDescent="0.2">
      <c r="I23201" s="137" t="s">
        <v>74</v>
      </c>
    </row>
    <row r="23202" spans="9:9" x14ac:dyDescent="0.2">
      <c r="I23202" s="137" t="s">
        <v>74</v>
      </c>
    </row>
    <row r="23203" spans="9:9" x14ac:dyDescent="0.2">
      <c r="I23203" s="137" t="s">
        <v>74</v>
      </c>
    </row>
    <row r="23204" spans="9:9" x14ac:dyDescent="0.2">
      <c r="I23204" s="137" t="s">
        <v>74</v>
      </c>
    </row>
    <row r="23205" spans="9:9" x14ac:dyDescent="0.2">
      <c r="I23205" s="137" t="s">
        <v>74</v>
      </c>
    </row>
    <row r="23206" spans="9:9" x14ac:dyDescent="0.2">
      <c r="I23206" s="137" t="s">
        <v>74</v>
      </c>
    </row>
    <row r="23207" spans="9:9" x14ac:dyDescent="0.2">
      <c r="I23207" s="137" t="s">
        <v>74</v>
      </c>
    </row>
    <row r="23208" spans="9:9" x14ac:dyDescent="0.2">
      <c r="I23208" s="137" t="s">
        <v>74</v>
      </c>
    </row>
    <row r="23209" spans="9:9" x14ac:dyDescent="0.2">
      <c r="I23209" s="137" t="s">
        <v>74</v>
      </c>
    </row>
    <row r="23210" spans="9:9" x14ac:dyDescent="0.2">
      <c r="I23210" s="137" t="s">
        <v>74</v>
      </c>
    </row>
    <row r="23211" spans="9:9" x14ac:dyDescent="0.2">
      <c r="I23211" s="137" t="s">
        <v>74</v>
      </c>
    </row>
    <row r="23212" spans="9:9" x14ac:dyDescent="0.2">
      <c r="I23212" s="137" t="s">
        <v>74</v>
      </c>
    </row>
    <row r="23213" spans="9:9" x14ac:dyDescent="0.2">
      <c r="I23213" s="137" t="s">
        <v>74</v>
      </c>
    </row>
    <row r="23214" spans="9:9" x14ac:dyDescent="0.2">
      <c r="I23214" s="137" t="s">
        <v>74</v>
      </c>
    </row>
    <row r="23215" spans="9:9" x14ac:dyDescent="0.2">
      <c r="I23215" s="137" t="s">
        <v>74</v>
      </c>
    </row>
    <row r="23216" spans="9:9" x14ac:dyDescent="0.2">
      <c r="I23216" s="137" t="s">
        <v>74</v>
      </c>
    </row>
    <row r="23217" spans="9:9" x14ac:dyDescent="0.2">
      <c r="I23217" s="137" t="s">
        <v>74</v>
      </c>
    </row>
    <row r="23218" spans="9:9" x14ac:dyDescent="0.2">
      <c r="I23218" s="137" t="s">
        <v>74</v>
      </c>
    </row>
    <row r="23219" spans="9:9" x14ac:dyDescent="0.2">
      <c r="I23219" s="137" t="s">
        <v>74</v>
      </c>
    </row>
    <row r="23220" spans="9:9" x14ac:dyDescent="0.2">
      <c r="I23220" s="137" t="s">
        <v>74</v>
      </c>
    </row>
    <row r="23221" spans="9:9" x14ac:dyDescent="0.2">
      <c r="I23221" s="137" t="s">
        <v>74</v>
      </c>
    </row>
    <row r="23222" spans="9:9" x14ac:dyDescent="0.2">
      <c r="I23222" s="137" t="s">
        <v>74</v>
      </c>
    </row>
    <row r="23223" spans="9:9" x14ac:dyDescent="0.2">
      <c r="I23223" s="137" t="s">
        <v>74</v>
      </c>
    </row>
    <row r="23224" spans="9:9" x14ac:dyDescent="0.2">
      <c r="I23224" s="137" t="s">
        <v>74</v>
      </c>
    </row>
    <row r="23225" spans="9:9" x14ac:dyDescent="0.2">
      <c r="I23225" s="137" t="s">
        <v>74</v>
      </c>
    </row>
    <row r="23226" spans="9:9" x14ac:dyDescent="0.2">
      <c r="I23226" s="137" t="s">
        <v>74</v>
      </c>
    </row>
    <row r="23227" spans="9:9" x14ac:dyDescent="0.2">
      <c r="I23227" s="137" t="s">
        <v>74</v>
      </c>
    </row>
    <row r="23228" spans="9:9" x14ac:dyDescent="0.2">
      <c r="I23228" s="137" t="s">
        <v>74</v>
      </c>
    </row>
    <row r="23229" spans="9:9" x14ac:dyDescent="0.2">
      <c r="I23229" s="137" t="s">
        <v>74</v>
      </c>
    </row>
    <row r="23230" spans="9:9" x14ac:dyDescent="0.2">
      <c r="I23230" s="137" t="s">
        <v>74</v>
      </c>
    </row>
    <row r="23231" spans="9:9" x14ac:dyDescent="0.2">
      <c r="I23231" s="137" t="s">
        <v>74</v>
      </c>
    </row>
    <row r="23232" spans="9:9" x14ac:dyDescent="0.2">
      <c r="I23232" s="137" t="s">
        <v>74</v>
      </c>
    </row>
    <row r="23233" spans="9:9" x14ac:dyDescent="0.2">
      <c r="I23233" s="137" t="s">
        <v>74</v>
      </c>
    </row>
    <row r="23234" spans="9:9" x14ac:dyDescent="0.2">
      <c r="I23234" s="137" t="s">
        <v>74</v>
      </c>
    </row>
    <row r="23235" spans="9:9" x14ac:dyDescent="0.2">
      <c r="I23235" s="137" t="s">
        <v>74</v>
      </c>
    </row>
    <row r="23236" spans="9:9" x14ac:dyDescent="0.2">
      <c r="I23236" s="137" t="s">
        <v>74</v>
      </c>
    </row>
    <row r="23237" spans="9:9" x14ac:dyDescent="0.2">
      <c r="I23237" s="137" t="s">
        <v>74</v>
      </c>
    </row>
    <row r="23238" spans="9:9" x14ac:dyDescent="0.2">
      <c r="I23238" s="137" t="s">
        <v>74</v>
      </c>
    </row>
    <row r="23239" spans="9:9" x14ac:dyDescent="0.2">
      <c r="I23239" s="137" t="s">
        <v>74</v>
      </c>
    </row>
    <row r="23240" spans="9:9" x14ac:dyDescent="0.2">
      <c r="I23240" s="137" t="s">
        <v>74</v>
      </c>
    </row>
    <row r="23241" spans="9:9" x14ac:dyDescent="0.2">
      <c r="I23241" s="137" t="s">
        <v>74</v>
      </c>
    </row>
    <row r="23242" spans="9:9" x14ac:dyDescent="0.2">
      <c r="I23242" s="137" t="s">
        <v>74</v>
      </c>
    </row>
    <row r="23243" spans="9:9" x14ac:dyDescent="0.2">
      <c r="I23243" s="137" t="s">
        <v>74</v>
      </c>
    </row>
    <row r="23244" spans="9:9" x14ac:dyDescent="0.2">
      <c r="I23244" s="137" t="s">
        <v>74</v>
      </c>
    </row>
    <row r="23245" spans="9:9" x14ac:dyDescent="0.2">
      <c r="I23245" s="137" t="s">
        <v>74</v>
      </c>
    </row>
    <row r="23246" spans="9:9" x14ac:dyDescent="0.2">
      <c r="I23246" s="137" t="s">
        <v>74</v>
      </c>
    </row>
    <row r="23247" spans="9:9" x14ac:dyDescent="0.2">
      <c r="I23247" s="137" t="s">
        <v>74</v>
      </c>
    </row>
    <row r="23248" spans="9:9" x14ac:dyDescent="0.2">
      <c r="I23248" s="137" t="s">
        <v>74</v>
      </c>
    </row>
    <row r="23249" spans="9:9" x14ac:dyDescent="0.2">
      <c r="I23249" s="137" t="s">
        <v>74</v>
      </c>
    </row>
    <row r="23250" spans="9:9" x14ac:dyDescent="0.2">
      <c r="I23250" s="137" t="s">
        <v>74</v>
      </c>
    </row>
    <row r="23251" spans="9:9" x14ac:dyDescent="0.2">
      <c r="I23251" s="137" t="s">
        <v>74</v>
      </c>
    </row>
    <row r="23252" spans="9:9" x14ac:dyDescent="0.2">
      <c r="I23252" s="137" t="s">
        <v>74</v>
      </c>
    </row>
    <row r="23253" spans="9:9" x14ac:dyDescent="0.2">
      <c r="I23253" s="137" t="s">
        <v>74</v>
      </c>
    </row>
    <row r="23254" spans="9:9" x14ac:dyDescent="0.2">
      <c r="I23254" s="137" t="s">
        <v>74</v>
      </c>
    </row>
    <row r="23255" spans="9:9" x14ac:dyDescent="0.2">
      <c r="I23255" s="137" t="s">
        <v>74</v>
      </c>
    </row>
    <row r="23256" spans="9:9" x14ac:dyDescent="0.2">
      <c r="I23256" s="137" t="s">
        <v>74</v>
      </c>
    </row>
    <row r="23257" spans="9:9" x14ac:dyDescent="0.2">
      <c r="I23257" s="137" t="s">
        <v>74</v>
      </c>
    </row>
    <row r="23258" spans="9:9" x14ac:dyDescent="0.2">
      <c r="I23258" s="137" t="s">
        <v>74</v>
      </c>
    </row>
    <row r="23259" spans="9:9" x14ac:dyDescent="0.2">
      <c r="I23259" s="137" t="s">
        <v>74</v>
      </c>
    </row>
    <row r="23260" spans="9:9" x14ac:dyDescent="0.2">
      <c r="I23260" s="137" t="s">
        <v>74</v>
      </c>
    </row>
    <row r="23261" spans="9:9" x14ac:dyDescent="0.2">
      <c r="I23261" s="137" t="s">
        <v>74</v>
      </c>
    </row>
    <row r="23262" spans="9:9" x14ac:dyDescent="0.2">
      <c r="I23262" s="137" t="s">
        <v>74</v>
      </c>
    </row>
    <row r="23263" spans="9:9" x14ac:dyDescent="0.2">
      <c r="I23263" s="137" t="s">
        <v>74</v>
      </c>
    </row>
    <row r="23264" spans="9:9" x14ac:dyDescent="0.2">
      <c r="I23264" s="137" t="s">
        <v>74</v>
      </c>
    </row>
    <row r="23265" spans="9:9" x14ac:dyDescent="0.2">
      <c r="I23265" s="137" t="s">
        <v>74</v>
      </c>
    </row>
    <row r="23266" spans="9:9" x14ac:dyDescent="0.2">
      <c r="I23266" s="137" t="s">
        <v>74</v>
      </c>
    </row>
    <row r="23267" spans="9:9" x14ac:dyDescent="0.2">
      <c r="I23267" s="137" t="s">
        <v>74</v>
      </c>
    </row>
    <row r="23268" spans="9:9" x14ac:dyDescent="0.2">
      <c r="I23268" s="137" t="s">
        <v>74</v>
      </c>
    </row>
    <row r="23269" spans="9:9" x14ac:dyDescent="0.2">
      <c r="I23269" s="137" t="s">
        <v>74</v>
      </c>
    </row>
    <row r="23270" spans="9:9" x14ac:dyDescent="0.2">
      <c r="I23270" s="137" t="s">
        <v>74</v>
      </c>
    </row>
    <row r="23271" spans="9:9" x14ac:dyDescent="0.2">
      <c r="I23271" s="137" t="s">
        <v>74</v>
      </c>
    </row>
    <row r="23272" spans="9:9" x14ac:dyDescent="0.2">
      <c r="I23272" s="137" t="s">
        <v>74</v>
      </c>
    </row>
    <row r="23273" spans="9:9" x14ac:dyDescent="0.2">
      <c r="I23273" s="137" t="s">
        <v>74</v>
      </c>
    </row>
    <row r="23274" spans="9:9" x14ac:dyDescent="0.2">
      <c r="I23274" s="137" t="s">
        <v>74</v>
      </c>
    </row>
    <row r="23275" spans="9:9" x14ac:dyDescent="0.2">
      <c r="I23275" s="137" t="s">
        <v>74</v>
      </c>
    </row>
    <row r="23276" spans="9:9" x14ac:dyDescent="0.2">
      <c r="I23276" s="137" t="s">
        <v>74</v>
      </c>
    </row>
    <row r="23277" spans="9:9" x14ac:dyDescent="0.2">
      <c r="I23277" s="137" t="s">
        <v>74</v>
      </c>
    </row>
    <row r="23278" spans="9:9" x14ac:dyDescent="0.2">
      <c r="I23278" s="137" t="s">
        <v>74</v>
      </c>
    </row>
    <row r="23279" spans="9:9" x14ac:dyDescent="0.2">
      <c r="I23279" s="137" t="s">
        <v>74</v>
      </c>
    </row>
    <row r="23280" spans="9:9" x14ac:dyDescent="0.2">
      <c r="I23280" s="137" t="s">
        <v>74</v>
      </c>
    </row>
    <row r="23281" spans="9:9" x14ac:dyDescent="0.2">
      <c r="I23281" s="137" t="s">
        <v>74</v>
      </c>
    </row>
    <row r="23282" spans="9:9" x14ac:dyDescent="0.2">
      <c r="I23282" s="137" t="s">
        <v>74</v>
      </c>
    </row>
    <row r="23283" spans="9:9" x14ac:dyDescent="0.2">
      <c r="I23283" s="137" t="s">
        <v>74</v>
      </c>
    </row>
    <row r="23284" spans="9:9" x14ac:dyDescent="0.2">
      <c r="I23284" s="137" t="s">
        <v>74</v>
      </c>
    </row>
    <row r="23285" spans="9:9" x14ac:dyDescent="0.2">
      <c r="I23285" s="137" t="s">
        <v>74</v>
      </c>
    </row>
    <row r="23286" spans="9:9" x14ac:dyDescent="0.2">
      <c r="I23286" s="137" t="s">
        <v>74</v>
      </c>
    </row>
    <row r="23287" spans="9:9" x14ac:dyDescent="0.2">
      <c r="I23287" s="137" t="s">
        <v>74</v>
      </c>
    </row>
    <row r="23288" spans="9:9" x14ac:dyDescent="0.2">
      <c r="I23288" s="137" t="s">
        <v>74</v>
      </c>
    </row>
    <row r="23289" spans="9:9" x14ac:dyDescent="0.2">
      <c r="I23289" s="137" t="s">
        <v>74</v>
      </c>
    </row>
    <row r="23290" spans="9:9" x14ac:dyDescent="0.2">
      <c r="I23290" s="137" t="s">
        <v>74</v>
      </c>
    </row>
    <row r="23291" spans="9:9" x14ac:dyDescent="0.2">
      <c r="I23291" s="137" t="s">
        <v>74</v>
      </c>
    </row>
    <row r="23292" spans="9:9" x14ac:dyDescent="0.2">
      <c r="I23292" s="137" t="s">
        <v>74</v>
      </c>
    </row>
    <row r="23293" spans="9:9" x14ac:dyDescent="0.2">
      <c r="I23293" s="137" t="s">
        <v>74</v>
      </c>
    </row>
    <row r="23294" spans="9:9" x14ac:dyDescent="0.2">
      <c r="I23294" s="137" t="s">
        <v>74</v>
      </c>
    </row>
    <row r="23295" spans="9:9" x14ac:dyDescent="0.2">
      <c r="I23295" s="137" t="s">
        <v>74</v>
      </c>
    </row>
    <row r="23296" spans="9:9" x14ac:dyDescent="0.2">
      <c r="I23296" s="137" t="s">
        <v>74</v>
      </c>
    </row>
    <row r="23297" spans="9:9" x14ac:dyDescent="0.2">
      <c r="I23297" s="137" t="s">
        <v>74</v>
      </c>
    </row>
    <row r="23298" spans="9:9" x14ac:dyDescent="0.2">
      <c r="I23298" s="137" t="s">
        <v>74</v>
      </c>
    </row>
    <row r="23299" spans="9:9" x14ac:dyDescent="0.2">
      <c r="I23299" s="137" t="s">
        <v>74</v>
      </c>
    </row>
    <row r="23300" spans="9:9" x14ac:dyDescent="0.2">
      <c r="I23300" s="137" t="s">
        <v>74</v>
      </c>
    </row>
    <row r="23301" spans="9:9" x14ac:dyDescent="0.2">
      <c r="I23301" s="137" t="s">
        <v>74</v>
      </c>
    </row>
    <row r="23302" spans="9:9" x14ac:dyDescent="0.2">
      <c r="I23302" s="137" t="s">
        <v>74</v>
      </c>
    </row>
    <row r="23303" spans="9:9" x14ac:dyDescent="0.2">
      <c r="I23303" s="137" t="s">
        <v>74</v>
      </c>
    </row>
    <row r="23304" spans="9:9" x14ac:dyDescent="0.2">
      <c r="I23304" s="137" t="s">
        <v>74</v>
      </c>
    </row>
    <row r="23305" spans="9:9" x14ac:dyDescent="0.2">
      <c r="I23305" s="137" t="s">
        <v>74</v>
      </c>
    </row>
    <row r="23306" spans="9:9" x14ac:dyDescent="0.2">
      <c r="I23306" s="137" t="s">
        <v>74</v>
      </c>
    </row>
    <row r="23307" spans="9:9" x14ac:dyDescent="0.2">
      <c r="I23307" s="137" t="s">
        <v>74</v>
      </c>
    </row>
    <row r="23308" spans="9:9" x14ac:dyDescent="0.2">
      <c r="I23308" s="137" t="s">
        <v>74</v>
      </c>
    </row>
    <row r="23309" spans="9:9" x14ac:dyDescent="0.2">
      <c r="I23309" s="137" t="s">
        <v>74</v>
      </c>
    </row>
    <row r="23310" spans="9:9" x14ac:dyDescent="0.2">
      <c r="I23310" s="137" t="s">
        <v>74</v>
      </c>
    </row>
    <row r="23311" spans="9:9" x14ac:dyDescent="0.2">
      <c r="I23311" s="137" t="s">
        <v>74</v>
      </c>
    </row>
    <row r="23312" spans="9:9" x14ac:dyDescent="0.2">
      <c r="I23312" s="137" t="s">
        <v>74</v>
      </c>
    </row>
    <row r="23313" spans="9:9" x14ac:dyDescent="0.2">
      <c r="I23313" s="137" t="s">
        <v>74</v>
      </c>
    </row>
    <row r="23314" spans="9:9" x14ac:dyDescent="0.2">
      <c r="I23314" s="137" t="s">
        <v>74</v>
      </c>
    </row>
    <row r="23315" spans="9:9" x14ac:dyDescent="0.2">
      <c r="I23315" s="137" t="s">
        <v>74</v>
      </c>
    </row>
    <row r="23316" spans="9:9" x14ac:dyDescent="0.2">
      <c r="I23316" s="137" t="s">
        <v>74</v>
      </c>
    </row>
    <row r="23317" spans="9:9" x14ac:dyDescent="0.2">
      <c r="I23317" s="137" t="s">
        <v>74</v>
      </c>
    </row>
    <row r="23318" spans="9:9" x14ac:dyDescent="0.2">
      <c r="I23318" s="137" t="s">
        <v>74</v>
      </c>
    </row>
    <row r="23319" spans="9:9" x14ac:dyDescent="0.2">
      <c r="I23319" s="137" t="s">
        <v>74</v>
      </c>
    </row>
    <row r="23320" spans="9:9" x14ac:dyDescent="0.2">
      <c r="I23320" s="137" t="s">
        <v>74</v>
      </c>
    </row>
    <row r="23321" spans="9:9" x14ac:dyDescent="0.2">
      <c r="I23321" s="137" t="s">
        <v>74</v>
      </c>
    </row>
    <row r="23322" spans="9:9" x14ac:dyDescent="0.2">
      <c r="I23322" s="137" t="s">
        <v>74</v>
      </c>
    </row>
    <row r="23323" spans="9:9" x14ac:dyDescent="0.2">
      <c r="I23323" s="137" t="s">
        <v>74</v>
      </c>
    </row>
    <row r="23324" spans="9:9" x14ac:dyDescent="0.2">
      <c r="I23324" s="137" t="s">
        <v>74</v>
      </c>
    </row>
    <row r="23325" spans="9:9" x14ac:dyDescent="0.2">
      <c r="I23325" s="137" t="s">
        <v>74</v>
      </c>
    </row>
    <row r="23326" spans="9:9" x14ac:dyDescent="0.2">
      <c r="I23326" s="137" t="s">
        <v>74</v>
      </c>
    </row>
    <row r="23327" spans="9:9" x14ac:dyDescent="0.2">
      <c r="I23327" s="137" t="s">
        <v>74</v>
      </c>
    </row>
    <row r="23328" spans="9:9" x14ac:dyDescent="0.2">
      <c r="I23328" s="137" t="s">
        <v>74</v>
      </c>
    </row>
    <row r="23329" spans="9:9" x14ac:dyDescent="0.2">
      <c r="I23329" s="137" t="s">
        <v>74</v>
      </c>
    </row>
    <row r="23330" spans="9:9" x14ac:dyDescent="0.2">
      <c r="I23330" s="137" t="s">
        <v>74</v>
      </c>
    </row>
    <row r="23331" spans="9:9" x14ac:dyDescent="0.2">
      <c r="I23331" s="137" t="s">
        <v>74</v>
      </c>
    </row>
    <row r="23332" spans="9:9" x14ac:dyDescent="0.2">
      <c r="I23332" s="137" t="s">
        <v>74</v>
      </c>
    </row>
    <row r="23333" spans="9:9" x14ac:dyDescent="0.2">
      <c r="I23333" s="137" t="s">
        <v>74</v>
      </c>
    </row>
    <row r="23334" spans="9:9" x14ac:dyDescent="0.2">
      <c r="I23334" s="137" t="s">
        <v>74</v>
      </c>
    </row>
    <row r="23335" spans="9:9" x14ac:dyDescent="0.2">
      <c r="I23335" s="137" t="s">
        <v>74</v>
      </c>
    </row>
    <row r="23336" spans="9:9" x14ac:dyDescent="0.2">
      <c r="I23336" s="137" t="s">
        <v>74</v>
      </c>
    </row>
    <row r="23337" spans="9:9" x14ac:dyDescent="0.2">
      <c r="I23337" s="137" t="s">
        <v>74</v>
      </c>
    </row>
    <row r="23338" spans="9:9" x14ac:dyDescent="0.2">
      <c r="I23338" s="137" t="s">
        <v>74</v>
      </c>
    </row>
    <row r="23339" spans="9:9" x14ac:dyDescent="0.2">
      <c r="I23339" s="137" t="s">
        <v>74</v>
      </c>
    </row>
    <row r="23340" spans="9:9" x14ac:dyDescent="0.2">
      <c r="I23340" s="137" t="s">
        <v>74</v>
      </c>
    </row>
    <row r="23341" spans="9:9" x14ac:dyDescent="0.2">
      <c r="I23341" s="137" t="s">
        <v>74</v>
      </c>
    </row>
    <row r="23342" spans="9:9" x14ac:dyDescent="0.2">
      <c r="I23342" s="137" t="s">
        <v>74</v>
      </c>
    </row>
    <row r="23343" spans="9:9" x14ac:dyDescent="0.2">
      <c r="I23343" s="137" t="s">
        <v>74</v>
      </c>
    </row>
    <row r="23344" spans="9:9" x14ac:dyDescent="0.2">
      <c r="I23344" s="137" t="s">
        <v>74</v>
      </c>
    </row>
    <row r="23345" spans="9:9" x14ac:dyDescent="0.2">
      <c r="I23345" s="137" t="s">
        <v>74</v>
      </c>
    </row>
    <row r="23346" spans="9:9" x14ac:dyDescent="0.2">
      <c r="I23346" s="137" t="s">
        <v>74</v>
      </c>
    </row>
    <row r="23347" spans="9:9" x14ac:dyDescent="0.2">
      <c r="I23347" s="137" t="s">
        <v>74</v>
      </c>
    </row>
    <row r="23348" spans="9:9" x14ac:dyDescent="0.2">
      <c r="I23348" s="137" t="s">
        <v>74</v>
      </c>
    </row>
    <row r="23349" spans="9:9" x14ac:dyDescent="0.2">
      <c r="I23349" s="137" t="s">
        <v>74</v>
      </c>
    </row>
    <row r="23350" spans="9:9" x14ac:dyDescent="0.2">
      <c r="I23350" s="137" t="s">
        <v>74</v>
      </c>
    </row>
    <row r="23351" spans="9:9" x14ac:dyDescent="0.2">
      <c r="I23351" s="137" t="s">
        <v>74</v>
      </c>
    </row>
    <row r="23352" spans="9:9" x14ac:dyDescent="0.2">
      <c r="I23352" s="137" t="s">
        <v>74</v>
      </c>
    </row>
    <row r="23353" spans="9:9" x14ac:dyDescent="0.2">
      <c r="I23353" s="137" t="s">
        <v>74</v>
      </c>
    </row>
    <row r="23354" spans="9:9" x14ac:dyDescent="0.2">
      <c r="I23354" s="137" t="s">
        <v>74</v>
      </c>
    </row>
    <row r="23355" spans="9:9" x14ac:dyDescent="0.2">
      <c r="I23355" s="137" t="s">
        <v>74</v>
      </c>
    </row>
    <row r="23356" spans="9:9" x14ac:dyDescent="0.2">
      <c r="I23356" s="137" t="s">
        <v>74</v>
      </c>
    </row>
    <row r="23357" spans="9:9" x14ac:dyDescent="0.2">
      <c r="I23357" s="137" t="s">
        <v>74</v>
      </c>
    </row>
    <row r="23358" spans="9:9" x14ac:dyDescent="0.2">
      <c r="I23358" s="137" t="s">
        <v>74</v>
      </c>
    </row>
    <row r="23359" spans="9:9" x14ac:dyDescent="0.2">
      <c r="I23359" s="137" t="s">
        <v>74</v>
      </c>
    </row>
    <row r="23360" spans="9:9" x14ac:dyDescent="0.2">
      <c r="I23360" s="137" t="s">
        <v>74</v>
      </c>
    </row>
    <row r="23361" spans="9:9" x14ac:dyDescent="0.2">
      <c r="I23361" s="137" t="s">
        <v>74</v>
      </c>
    </row>
    <row r="23362" spans="9:9" x14ac:dyDescent="0.2">
      <c r="I23362" s="137" t="s">
        <v>74</v>
      </c>
    </row>
    <row r="23363" spans="9:9" x14ac:dyDescent="0.2">
      <c r="I23363" s="137" t="s">
        <v>74</v>
      </c>
    </row>
    <row r="23364" spans="9:9" x14ac:dyDescent="0.2">
      <c r="I23364" s="137" t="s">
        <v>74</v>
      </c>
    </row>
    <row r="23365" spans="9:9" x14ac:dyDescent="0.2">
      <c r="I23365" s="137" t="s">
        <v>74</v>
      </c>
    </row>
    <row r="23366" spans="9:9" x14ac:dyDescent="0.2">
      <c r="I23366" s="137" t="s">
        <v>74</v>
      </c>
    </row>
    <row r="23367" spans="9:9" x14ac:dyDescent="0.2">
      <c r="I23367" s="137" t="s">
        <v>74</v>
      </c>
    </row>
    <row r="23368" spans="9:9" x14ac:dyDescent="0.2">
      <c r="I23368" s="137" t="s">
        <v>74</v>
      </c>
    </row>
    <row r="23369" spans="9:9" x14ac:dyDescent="0.2">
      <c r="I23369" s="137" t="s">
        <v>74</v>
      </c>
    </row>
    <row r="23370" spans="9:9" x14ac:dyDescent="0.2">
      <c r="I23370" s="137" t="s">
        <v>74</v>
      </c>
    </row>
    <row r="23371" spans="9:9" x14ac:dyDescent="0.2">
      <c r="I23371" s="137" t="s">
        <v>74</v>
      </c>
    </row>
    <row r="23372" spans="9:9" x14ac:dyDescent="0.2">
      <c r="I23372" s="137" t="s">
        <v>74</v>
      </c>
    </row>
    <row r="23373" spans="9:9" x14ac:dyDescent="0.2">
      <c r="I23373" s="137" t="s">
        <v>74</v>
      </c>
    </row>
    <row r="23374" spans="9:9" x14ac:dyDescent="0.2">
      <c r="I23374" s="137" t="s">
        <v>74</v>
      </c>
    </row>
    <row r="23375" spans="9:9" x14ac:dyDescent="0.2">
      <c r="I23375" s="137" t="s">
        <v>74</v>
      </c>
    </row>
    <row r="23376" spans="9:9" x14ac:dyDescent="0.2">
      <c r="I23376" s="137" t="s">
        <v>74</v>
      </c>
    </row>
    <row r="23377" spans="9:9" x14ac:dyDescent="0.2">
      <c r="I23377" s="137" t="s">
        <v>74</v>
      </c>
    </row>
    <row r="23378" spans="9:9" x14ac:dyDescent="0.2">
      <c r="I23378" s="137" t="s">
        <v>74</v>
      </c>
    </row>
    <row r="23379" spans="9:9" x14ac:dyDescent="0.2">
      <c r="I23379" s="137" t="s">
        <v>74</v>
      </c>
    </row>
    <row r="23380" spans="9:9" x14ac:dyDescent="0.2">
      <c r="I23380" s="137" t="s">
        <v>74</v>
      </c>
    </row>
    <row r="23381" spans="9:9" x14ac:dyDescent="0.2">
      <c r="I23381" s="137" t="s">
        <v>74</v>
      </c>
    </row>
    <row r="23382" spans="9:9" x14ac:dyDescent="0.2">
      <c r="I23382" s="137" t="s">
        <v>74</v>
      </c>
    </row>
    <row r="23383" spans="9:9" x14ac:dyDescent="0.2">
      <c r="I23383" s="137" t="s">
        <v>74</v>
      </c>
    </row>
    <row r="23384" spans="9:9" x14ac:dyDescent="0.2">
      <c r="I23384" s="137" t="s">
        <v>74</v>
      </c>
    </row>
    <row r="23385" spans="9:9" x14ac:dyDescent="0.2">
      <c r="I23385" s="137" t="s">
        <v>74</v>
      </c>
    </row>
    <row r="23386" spans="9:9" x14ac:dyDescent="0.2">
      <c r="I23386" s="137" t="s">
        <v>74</v>
      </c>
    </row>
    <row r="23387" spans="9:9" x14ac:dyDescent="0.2">
      <c r="I23387" s="137" t="s">
        <v>74</v>
      </c>
    </row>
    <row r="23388" spans="9:9" x14ac:dyDescent="0.2">
      <c r="I23388" s="137" t="s">
        <v>74</v>
      </c>
    </row>
    <row r="23389" spans="9:9" x14ac:dyDescent="0.2">
      <c r="I23389" s="137" t="s">
        <v>74</v>
      </c>
    </row>
    <row r="23390" spans="9:9" x14ac:dyDescent="0.2">
      <c r="I23390" s="137" t="s">
        <v>74</v>
      </c>
    </row>
    <row r="23391" spans="9:9" x14ac:dyDescent="0.2">
      <c r="I23391" s="137" t="s">
        <v>74</v>
      </c>
    </row>
    <row r="23392" spans="9:9" x14ac:dyDescent="0.2">
      <c r="I23392" s="137" t="s">
        <v>74</v>
      </c>
    </row>
    <row r="23393" spans="9:9" x14ac:dyDescent="0.2">
      <c r="I23393" s="137" t="s">
        <v>74</v>
      </c>
    </row>
    <row r="23394" spans="9:9" x14ac:dyDescent="0.2">
      <c r="I23394" s="137" t="s">
        <v>74</v>
      </c>
    </row>
    <row r="23395" spans="9:9" x14ac:dyDescent="0.2">
      <c r="I23395" s="137" t="s">
        <v>74</v>
      </c>
    </row>
    <row r="23396" spans="9:9" x14ac:dyDescent="0.2">
      <c r="I23396" s="137" t="s">
        <v>74</v>
      </c>
    </row>
    <row r="23397" spans="9:9" x14ac:dyDescent="0.2">
      <c r="I23397" s="137" t="s">
        <v>74</v>
      </c>
    </row>
    <row r="23398" spans="9:9" x14ac:dyDescent="0.2">
      <c r="I23398" s="137" t="s">
        <v>74</v>
      </c>
    </row>
    <row r="23399" spans="9:9" x14ac:dyDescent="0.2">
      <c r="I23399" s="137" t="s">
        <v>74</v>
      </c>
    </row>
    <row r="23400" spans="9:9" x14ac:dyDescent="0.2">
      <c r="I23400" s="137" t="s">
        <v>74</v>
      </c>
    </row>
    <row r="23401" spans="9:9" x14ac:dyDescent="0.2">
      <c r="I23401" s="137" t="s">
        <v>74</v>
      </c>
    </row>
    <row r="23402" spans="9:9" x14ac:dyDescent="0.2">
      <c r="I23402" s="137" t="s">
        <v>74</v>
      </c>
    </row>
    <row r="23403" spans="9:9" x14ac:dyDescent="0.2">
      <c r="I23403" s="137" t="s">
        <v>74</v>
      </c>
    </row>
    <row r="23404" spans="9:9" x14ac:dyDescent="0.2">
      <c r="I23404" s="137" t="s">
        <v>74</v>
      </c>
    </row>
    <row r="23405" spans="9:9" x14ac:dyDescent="0.2">
      <c r="I23405" s="137" t="s">
        <v>74</v>
      </c>
    </row>
    <row r="23406" spans="9:9" x14ac:dyDescent="0.2">
      <c r="I23406" s="137" t="s">
        <v>74</v>
      </c>
    </row>
    <row r="23407" spans="9:9" x14ac:dyDescent="0.2">
      <c r="I23407" s="137" t="s">
        <v>74</v>
      </c>
    </row>
    <row r="23408" spans="9:9" x14ac:dyDescent="0.2">
      <c r="I23408" s="137" t="s">
        <v>74</v>
      </c>
    </row>
    <row r="23409" spans="9:9" x14ac:dyDescent="0.2">
      <c r="I23409" s="137" t="s">
        <v>74</v>
      </c>
    </row>
    <row r="23410" spans="9:9" x14ac:dyDescent="0.2">
      <c r="I23410" s="137" t="s">
        <v>74</v>
      </c>
    </row>
    <row r="23411" spans="9:9" x14ac:dyDescent="0.2">
      <c r="I23411" s="137" t="s">
        <v>74</v>
      </c>
    </row>
    <row r="23412" spans="9:9" x14ac:dyDescent="0.2">
      <c r="I23412" s="137" t="s">
        <v>74</v>
      </c>
    </row>
    <row r="23413" spans="9:9" x14ac:dyDescent="0.2">
      <c r="I23413" s="137" t="s">
        <v>74</v>
      </c>
    </row>
    <row r="23414" spans="9:9" x14ac:dyDescent="0.2">
      <c r="I23414" s="137" t="s">
        <v>74</v>
      </c>
    </row>
    <row r="23415" spans="9:9" x14ac:dyDescent="0.2">
      <c r="I23415" s="137" t="s">
        <v>74</v>
      </c>
    </row>
    <row r="23416" spans="9:9" x14ac:dyDescent="0.2">
      <c r="I23416" s="137" t="s">
        <v>74</v>
      </c>
    </row>
    <row r="23417" spans="9:9" x14ac:dyDescent="0.2">
      <c r="I23417" s="137" t="s">
        <v>74</v>
      </c>
    </row>
    <row r="23418" spans="9:9" x14ac:dyDescent="0.2">
      <c r="I23418" s="137" t="s">
        <v>74</v>
      </c>
    </row>
    <row r="23419" spans="9:9" x14ac:dyDescent="0.2">
      <c r="I23419" s="137" t="s">
        <v>74</v>
      </c>
    </row>
    <row r="23420" spans="9:9" x14ac:dyDescent="0.2">
      <c r="I23420" s="137" t="s">
        <v>74</v>
      </c>
    </row>
    <row r="23421" spans="9:9" x14ac:dyDescent="0.2">
      <c r="I23421" s="137" t="s">
        <v>74</v>
      </c>
    </row>
    <row r="23422" spans="9:9" x14ac:dyDescent="0.2">
      <c r="I23422" s="137" t="s">
        <v>74</v>
      </c>
    </row>
    <row r="23423" spans="9:9" x14ac:dyDescent="0.2">
      <c r="I23423" s="137" t="s">
        <v>74</v>
      </c>
    </row>
    <row r="23424" spans="9:9" x14ac:dyDescent="0.2">
      <c r="I23424" s="137" t="s">
        <v>74</v>
      </c>
    </row>
    <row r="23425" spans="9:9" x14ac:dyDescent="0.2">
      <c r="I23425" s="137" t="s">
        <v>74</v>
      </c>
    </row>
    <row r="23426" spans="9:9" x14ac:dyDescent="0.2">
      <c r="I23426" s="137" t="s">
        <v>74</v>
      </c>
    </row>
    <row r="23427" spans="9:9" x14ac:dyDescent="0.2">
      <c r="I23427" s="137" t="s">
        <v>74</v>
      </c>
    </row>
    <row r="23428" spans="9:9" x14ac:dyDescent="0.2">
      <c r="I23428" s="137" t="s">
        <v>74</v>
      </c>
    </row>
    <row r="23429" spans="9:9" x14ac:dyDescent="0.2">
      <c r="I23429" s="137" t="s">
        <v>74</v>
      </c>
    </row>
    <row r="23430" spans="9:9" x14ac:dyDescent="0.2">
      <c r="I23430" s="137" t="s">
        <v>74</v>
      </c>
    </row>
    <row r="23431" spans="9:9" x14ac:dyDescent="0.2">
      <c r="I23431" s="137" t="s">
        <v>74</v>
      </c>
    </row>
    <row r="23432" spans="9:9" x14ac:dyDescent="0.2">
      <c r="I23432" s="137" t="s">
        <v>74</v>
      </c>
    </row>
    <row r="23433" spans="9:9" x14ac:dyDescent="0.2">
      <c r="I23433" s="137" t="s">
        <v>74</v>
      </c>
    </row>
    <row r="23434" spans="9:9" x14ac:dyDescent="0.2">
      <c r="I23434" s="137" t="s">
        <v>74</v>
      </c>
    </row>
    <row r="23435" spans="9:9" x14ac:dyDescent="0.2">
      <c r="I23435" s="137" t="s">
        <v>74</v>
      </c>
    </row>
    <row r="23436" spans="9:9" x14ac:dyDescent="0.2">
      <c r="I23436" s="137" t="s">
        <v>74</v>
      </c>
    </row>
    <row r="23437" spans="9:9" x14ac:dyDescent="0.2">
      <c r="I23437" s="137" t="s">
        <v>74</v>
      </c>
    </row>
    <row r="23438" spans="9:9" x14ac:dyDescent="0.2">
      <c r="I23438" s="137" t="s">
        <v>74</v>
      </c>
    </row>
    <row r="23439" spans="9:9" x14ac:dyDescent="0.2">
      <c r="I23439" s="137" t="s">
        <v>74</v>
      </c>
    </row>
    <row r="23440" spans="9:9" x14ac:dyDescent="0.2">
      <c r="I23440" s="137" t="s">
        <v>74</v>
      </c>
    </row>
    <row r="23441" spans="9:9" x14ac:dyDescent="0.2">
      <c r="I23441" s="137" t="s">
        <v>74</v>
      </c>
    </row>
    <row r="23442" spans="9:9" x14ac:dyDescent="0.2">
      <c r="I23442" s="137" t="s">
        <v>74</v>
      </c>
    </row>
    <row r="23443" spans="9:9" x14ac:dyDescent="0.2">
      <c r="I23443" s="137" t="s">
        <v>74</v>
      </c>
    </row>
    <row r="23444" spans="9:9" x14ac:dyDescent="0.2">
      <c r="I23444" s="137" t="s">
        <v>74</v>
      </c>
    </row>
    <row r="23445" spans="9:9" x14ac:dyDescent="0.2">
      <c r="I23445" s="137" t="s">
        <v>74</v>
      </c>
    </row>
    <row r="23446" spans="9:9" x14ac:dyDescent="0.2">
      <c r="I23446" s="137" t="s">
        <v>74</v>
      </c>
    </row>
    <row r="23447" spans="9:9" x14ac:dyDescent="0.2">
      <c r="I23447" s="137" t="s">
        <v>74</v>
      </c>
    </row>
    <row r="23448" spans="9:9" x14ac:dyDescent="0.2">
      <c r="I23448" s="137" t="s">
        <v>74</v>
      </c>
    </row>
    <row r="23449" spans="9:9" x14ac:dyDescent="0.2">
      <c r="I23449" s="137" t="s">
        <v>74</v>
      </c>
    </row>
    <row r="23450" spans="9:9" x14ac:dyDescent="0.2">
      <c r="I23450" s="137" t="s">
        <v>74</v>
      </c>
    </row>
    <row r="23451" spans="9:9" x14ac:dyDescent="0.2">
      <c r="I23451" s="137" t="s">
        <v>74</v>
      </c>
    </row>
    <row r="23452" spans="9:9" x14ac:dyDescent="0.2">
      <c r="I23452" s="137" t="s">
        <v>74</v>
      </c>
    </row>
    <row r="23453" spans="9:9" x14ac:dyDescent="0.2">
      <c r="I23453" s="137" t="s">
        <v>74</v>
      </c>
    </row>
    <row r="23454" spans="9:9" x14ac:dyDescent="0.2">
      <c r="I23454" s="137" t="s">
        <v>74</v>
      </c>
    </row>
    <row r="23455" spans="9:9" x14ac:dyDescent="0.2">
      <c r="I23455" s="137" t="s">
        <v>74</v>
      </c>
    </row>
    <row r="23456" spans="9:9" x14ac:dyDescent="0.2">
      <c r="I23456" s="137" t="s">
        <v>74</v>
      </c>
    </row>
    <row r="23457" spans="9:9" x14ac:dyDescent="0.2">
      <c r="I23457" s="137" t="s">
        <v>74</v>
      </c>
    </row>
    <row r="23458" spans="9:9" x14ac:dyDescent="0.2">
      <c r="I23458" s="137" t="s">
        <v>74</v>
      </c>
    </row>
    <row r="23459" spans="9:9" x14ac:dyDescent="0.2">
      <c r="I23459" s="137" t="s">
        <v>74</v>
      </c>
    </row>
    <row r="23460" spans="9:9" x14ac:dyDescent="0.2">
      <c r="I23460" s="137" t="s">
        <v>74</v>
      </c>
    </row>
    <row r="23461" spans="9:9" x14ac:dyDescent="0.2">
      <c r="I23461" s="137" t="s">
        <v>74</v>
      </c>
    </row>
    <row r="23462" spans="9:9" x14ac:dyDescent="0.2">
      <c r="I23462" s="137" t="s">
        <v>74</v>
      </c>
    </row>
    <row r="23463" spans="9:9" x14ac:dyDescent="0.2">
      <c r="I23463" s="137" t="s">
        <v>74</v>
      </c>
    </row>
    <row r="23464" spans="9:9" x14ac:dyDescent="0.2">
      <c r="I23464" s="137" t="s">
        <v>74</v>
      </c>
    </row>
    <row r="23465" spans="9:9" x14ac:dyDescent="0.2">
      <c r="I23465" s="137" t="s">
        <v>74</v>
      </c>
    </row>
    <row r="23466" spans="9:9" x14ac:dyDescent="0.2">
      <c r="I23466" s="137" t="s">
        <v>74</v>
      </c>
    </row>
    <row r="23467" spans="9:9" x14ac:dyDescent="0.2">
      <c r="I23467" s="137" t="s">
        <v>74</v>
      </c>
    </row>
    <row r="23468" spans="9:9" x14ac:dyDescent="0.2">
      <c r="I23468" s="137" t="s">
        <v>74</v>
      </c>
    </row>
    <row r="23469" spans="9:9" x14ac:dyDescent="0.2">
      <c r="I23469" s="137" t="s">
        <v>74</v>
      </c>
    </row>
    <row r="23470" spans="9:9" x14ac:dyDescent="0.2">
      <c r="I23470" s="137" t="s">
        <v>74</v>
      </c>
    </row>
    <row r="23471" spans="9:9" x14ac:dyDescent="0.2">
      <c r="I23471" s="137" t="s">
        <v>74</v>
      </c>
    </row>
    <row r="23472" spans="9:9" x14ac:dyDescent="0.2">
      <c r="I23472" s="137" t="s">
        <v>74</v>
      </c>
    </row>
    <row r="23473" spans="9:9" x14ac:dyDescent="0.2">
      <c r="I23473" s="137" t="s">
        <v>74</v>
      </c>
    </row>
    <row r="23474" spans="9:9" x14ac:dyDescent="0.2">
      <c r="I23474" s="137" t="s">
        <v>74</v>
      </c>
    </row>
    <row r="23475" spans="9:9" x14ac:dyDescent="0.2">
      <c r="I23475" s="137" t="s">
        <v>74</v>
      </c>
    </row>
    <row r="23476" spans="9:9" x14ac:dyDescent="0.2">
      <c r="I23476" s="137" t="s">
        <v>74</v>
      </c>
    </row>
    <row r="23477" spans="9:9" x14ac:dyDescent="0.2">
      <c r="I23477" s="137" t="s">
        <v>74</v>
      </c>
    </row>
    <row r="23478" spans="9:9" x14ac:dyDescent="0.2">
      <c r="I23478" s="137" t="s">
        <v>74</v>
      </c>
    </row>
    <row r="23479" spans="9:9" x14ac:dyDescent="0.2">
      <c r="I23479" s="137" t="s">
        <v>74</v>
      </c>
    </row>
    <row r="23480" spans="9:9" x14ac:dyDescent="0.2">
      <c r="I23480" s="137" t="s">
        <v>74</v>
      </c>
    </row>
    <row r="23481" spans="9:9" x14ac:dyDescent="0.2">
      <c r="I23481" s="137" t="s">
        <v>74</v>
      </c>
    </row>
    <row r="23482" spans="9:9" x14ac:dyDescent="0.2">
      <c r="I23482" s="137" t="s">
        <v>74</v>
      </c>
    </row>
    <row r="23483" spans="9:9" x14ac:dyDescent="0.2">
      <c r="I23483" s="137" t="s">
        <v>74</v>
      </c>
    </row>
    <row r="23484" spans="9:9" x14ac:dyDescent="0.2">
      <c r="I23484" s="137" t="s">
        <v>74</v>
      </c>
    </row>
    <row r="23485" spans="9:9" x14ac:dyDescent="0.2">
      <c r="I23485" s="137" t="s">
        <v>74</v>
      </c>
    </row>
    <row r="23486" spans="9:9" x14ac:dyDescent="0.2">
      <c r="I23486" s="137" t="s">
        <v>74</v>
      </c>
    </row>
    <row r="23487" spans="9:9" x14ac:dyDescent="0.2">
      <c r="I23487" s="137" t="s">
        <v>74</v>
      </c>
    </row>
    <row r="23488" spans="9:9" x14ac:dyDescent="0.2">
      <c r="I23488" s="137" t="s">
        <v>74</v>
      </c>
    </row>
    <row r="23489" spans="9:9" x14ac:dyDescent="0.2">
      <c r="I23489" s="137" t="s">
        <v>74</v>
      </c>
    </row>
    <row r="23490" spans="9:9" x14ac:dyDescent="0.2">
      <c r="I23490" s="137" t="s">
        <v>74</v>
      </c>
    </row>
    <row r="23491" spans="9:9" x14ac:dyDescent="0.2">
      <c r="I23491" s="137" t="s">
        <v>74</v>
      </c>
    </row>
    <row r="23492" spans="9:9" x14ac:dyDescent="0.2">
      <c r="I23492" s="137" t="s">
        <v>74</v>
      </c>
    </row>
    <row r="23493" spans="9:9" x14ac:dyDescent="0.2">
      <c r="I23493" s="137" t="s">
        <v>74</v>
      </c>
    </row>
    <row r="23494" spans="9:9" x14ac:dyDescent="0.2">
      <c r="I23494" s="137" t="s">
        <v>74</v>
      </c>
    </row>
    <row r="23495" spans="9:9" x14ac:dyDescent="0.2">
      <c r="I23495" s="137" t="s">
        <v>74</v>
      </c>
    </row>
    <row r="23496" spans="9:9" x14ac:dyDescent="0.2">
      <c r="I23496" s="137" t="s">
        <v>74</v>
      </c>
    </row>
    <row r="23497" spans="9:9" x14ac:dyDescent="0.2">
      <c r="I23497" s="137" t="s">
        <v>74</v>
      </c>
    </row>
    <row r="23498" spans="9:9" x14ac:dyDescent="0.2">
      <c r="I23498" s="137" t="s">
        <v>74</v>
      </c>
    </row>
    <row r="23499" spans="9:9" x14ac:dyDescent="0.2">
      <c r="I23499" s="137" t="s">
        <v>74</v>
      </c>
    </row>
    <row r="23500" spans="9:9" x14ac:dyDescent="0.2">
      <c r="I23500" s="137" t="s">
        <v>74</v>
      </c>
    </row>
    <row r="23501" spans="9:9" x14ac:dyDescent="0.2">
      <c r="I23501" s="137" t="s">
        <v>74</v>
      </c>
    </row>
    <row r="23502" spans="9:9" x14ac:dyDescent="0.2">
      <c r="I23502" s="137" t="s">
        <v>74</v>
      </c>
    </row>
    <row r="23503" spans="9:9" x14ac:dyDescent="0.2">
      <c r="I23503" s="137" t="s">
        <v>74</v>
      </c>
    </row>
    <row r="23504" spans="9:9" x14ac:dyDescent="0.2">
      <c r="I23504" s="137" t="s">
        <v>74</v>
      </c>
    </row>
    <row r="23505" spans="9:9" x14ac:dyDescent="0.2">
      <c r="I23505" s="137" t="s">
        <v>74</v>
      </c>
    </row>
    <row r="23506" spans="9:9" x14ac:dyDescent="0.2">
      <c r="I23506" s="137" t="s">
        <v>74</v>
      </c>
    </row>
    <row r="23507" spans="9:9" x14ac:dyDescent="0.2">
      <c r="I23507" s="137" t="s">
        <v>74</v>
      </c>
    </row>
    <row r="23508" spans="9:9" x14ac:dyDescent="0.2">
      <c r="I23508" s="137" t="s">
        <v>74</v>
      </c>
    </row>
    <row r="23509" spans="9:9" x14ac:dyDescent="0.2">
      <c r="I23509" s="137" t="s">
        <v>74</v>
      </c>
    </row>
    <row r="23510" spans="9:9" x14ac:dyDescent="0.2">
      <c r="I23510" s="137" t="s">
        <v>74</v>
      </c>
    </row>
    <row r="23511" spans="9:9" x14ac:dyDescent="0.2">
      <c r="I23511" s="137" t="s">
        <v>74</v>
      </c>
    </row>
    <row r="23512" spans="9:9" x14ac:dyDescent="0.2">
      <c r="I23512" s="137" t="s">
        <v>74</v>
      </c>
    </row>
    <row r="23513" spans="9:9" x14ac:dyDescent="0.2">
      <c r="I23513" s="137" t="s">
        <v>74</v>
      </c>
    </row>
    <row r="23514" spans="9:9" x14ac:dyDescent="0.2">
      <c r="I23514" s="137" t="s">
        <v>74</v>
      </c>
    </row>
    <row r="23515" spans="9:9" x14ac:dyDescent="0.2">
      <c r="I23515" s="137" t="s">
        <v>74</v>
      </c>
    </row>
    <row r="23516" spans="9:9" x14ac:dyDescent="0.2">
      <c r="I23516" s="137" t="s">
        <v>74</v>
      </c>
    </row>
    <row r="23517" spans="9:9" x14ac:dyDescent="0.2">
      <c r="I23517" s="137" t="s">
        <v>74</v>
      </c>
    </row>
    <row r="23518" spans="9:9" x14ac:dyDescent="0.2">
      <c r="I23518" s="137" t="s">
        <v>74</v>
      </c>
    </row>
    <row r="23519" spans="9:9" x14ac:dyDescent="0.2">
      <c r="I23519" s="137" t="s">
        <v>74</v>
      </c>
    </row>
    <row r="23520" spans="9:9" x14ac:dyDescent="0.2">
      <c r="I23520" s="137" t="s">
        <v>74</v>
      </c>
    </row>
    <row r="23521" spans="9:9" x14ac:dyDescent="0.2">
      <c r="I23521" s="137" t="s">
        <v>74</v>
      </c>
    </row>
    <row r="23522" spans="9:9" x14ac:dyDescent="0.2">
      <c r="I23522" s="137" t="s">
        <v>74</v>
      </c>
    </row>
    <row r="23523" spans="9:9" x14ac:dyDescent="0.2">
      <c r="I23523" s="137" t="s">
        <v>74</v>
      </c>
    </row>
    <row r="23524" spans="9:9" x14ac:dyDescent="0.2">
      <c r="I23524" s="137" t="s">
        <v>74</v>
      </c>
    </row>
    <row r="23525" spans="9:9" x14ac:dyDescent="0.2">
      <c r="I23525" s="137" t="s">
        <v>74</v>
      </c>
    </row>
    <row r="23526" spans="9:9" x14ac:dyDescent="0.2">
      <c r="I23526" s="137" t="s">
        <v>74</v>
      </c>
    </row>
    <row r="23527" spans="9:9" x14ac:dyDescent="0.2">
      <c r="I23527" s="137" t="s">
        <v>74</v>
      </c>
    </row>
    <row r="23528" spans="9:9" x14ac:dyDescent="0.2">
      <c r="I23528" s="137" t="s">
        <v>74</v>
      </c>
    </row>
    <row r="23529" spans="9:9" x14ac:dyDescent="0.2">
      <c r="I23529" s="137" t="s">
        <v>74</v>
      </c>
    </row>
    <row r="23530" spans="9:9" x14ac:dyDescent="0.2">
      <c r="I23530" s="137" t="s">
        <v>74</v>
      </c>
    </row>
    <row r="23531" spans="9:9" x14ac:dyDescent="0.2">
      <c r="I23531" s="137" t="s">
        <v>74</v>
      </c>
    </row>
    <row r="23532" spans="9:9" x14ac:dyDescent="0.2">
      <c r="I23532" s="137" t="s">
        <v>74</v>
      </c>
    </row>
    <row r="23533" spans="9:9" x14ac:dyDescent="0.2">
      <c r="I23533" s="137" t="s">
        <v>74</v>
      </c>
    </row>
    <row r="23534" spans="9:9" x14ac:dyDescent="0.2">
      <c r="I23534" s="137" t="s">
        <v>74</v>
      </c>
    </row>
    <row r="23535" spans="9:9" x14ac:dyDescent="0.2">
      <c r="I23535" s="137" t="s">
        <v>74</v>
      </c>
    </row>
    <row r="23536" spans="9:9" x14ac:dyDescent="0.2">
      <c r="I23536" s="137" t="s">
        <v>74</v>
      </c>
    </row>
    <row r="23537" spans="9:9" x14ac:dyDescent="0.2">
      <c r="I23537" s="137" t="s">
        <v>74</v>
      </c>
    </row>
    <row r="23538" spans="9:9" x14ac:dyDescent="0.2">
      <c r="I23538" s="137" t="s">
        <v>74</v>
      </c>
    </row>
    <row r="23539" spans="9:9" x14ac:dyDescent="0.2">
      <c r="I23539" s="137" t="s">
        <v>74</v>
      </c>
    </row>
    <row r="23540" spans="9:9" x14ac:dyDescent="0.2">
      <c r="I23540" s="137" t="s">
        <v>74</v>
      </c>
    </row>
    <row r="23541" spans="9:9" x14ac:dyDescent="0.2">
      <c r="I23541" s="137" t="s">
        <v>74</v>
      </c>
    </row>
    <row r="23542" spans="9:9" x14ac:dyDescent="0.2">
      <c r="I23542" s="137" t="s">
        <v>74</v>
      </c>
    </row>
    <row r="23543" spans="9:9" x14ac:dyDescent="0.2">
      <c r="I23543" s="137" t="s">
        <v>74</v>
      </c>
    </row>
    <row r="23544" spans="9:9" x14ac:dyDescent="0.2">
      <c r="I23544" s="137" t="s">
        <v>74</v>
      </c>
    </row>
    <row r="23545" spans="9:9" x14ac:dyDescent="0.2">
      <c r="I23545" s="137" t="s">
        <v>74</v>
      </c>
    </row>
    <row r="23546" spans="9:9" x14ac:dyDescent="0.2">
      <c r="I23546" s="137" t="s">
        <v>74</v>
      </c>
    </row>
    <row r="23547" spans="9:9" x14ac:dyDescent="0.2">
      <c r="I23547" s="137" t="s">
        <v>74</v>
      </c>
    </row>
    <row r="23548" spans="9:9" x14ac:dyDescent="0.2">
      <c r="I23548" s="137" t="s">
        <v>74</v>
      </c>
    </row>
    <row r="23549" spans="9:9" x14ac:dyDescent="0.2">
      <c r="I23549" s="137" t="s">
        <v>74</v>
      </c>
    </row>
    <row r="23550" spans="9:9" x14ac:dyDescent="0.2">
      <c r="I23550" s="137" t="s">
        <v>74</v>
      </c>
    </row>
    <row r="23551" spans="9:9" x14ac:dyDescent="0.2">
      <c r="I23551" s="137" t="s">
        <v>74</v>
      </c>
    </row>
    <row r="23552" spans="9:9" x14ac:dyDescent="0.2">
      <c r="I23552" s="137" t="s">
        <v>74</v>
      </c>
    </row>
    <row r="23553" spans="9:9" x14ac:dyDescent="0.2">
      <c r="I23553" s="137" t="s">
        <v>74</v>
      </c>
    </row>
    <row r="23554" spans="9:9" x14ac:dyDescent="0.2">
      <c r="I23554" s="137" t="s">
        <v>74</v>
      </c>
    </row>
    <row r="23555" spans="9:9" x14ac:dyDescent="0.2">
      <c r="I23555" s="137" t="s">
        <v>74</v>
      </c>
    </row>
    <row r="23556" spans="9:9" x14ac:dyDescent="0.2">
      <c r="I23556" s="137" t="s">
        <v>74</v>
      </c>
    </row>
    <row r="23557" spans="9:9" x14ac:dyDescent="0.2">
      <c r="I23557" s="137" t="s">
        <v>74</v>
      </c>
    </row>
    <row r="23558" spans="9:9" x14ac:dyDescent="0.2">
      <c r="I23558" s="137" t="s">
        <v>74</v>
      </c>
    </row>
    <row r="23559" spans="9:9" x14ac:dyDescent="0.2">
      <c r="I23559" s="137" t="s">
        <v>74</v>
      </c>
    </row>
    <row r="23560" spans="9:9" x14ac:dyDescent="0.2">
      <c r="I23560" s="137" t="s">
        <v>74</v>
      </c>
    </row>
    <row r="23561" spans="9:9" x14ac:dyDescent="0.2">
      <c r="I23561" s="137" t="s">
        <v>74</v>
      </c>
    </row>
    <row r="23562" spans="9:9" x14ac:dyDescent="0.2">
      <c r="I23562" s="137" t="s">
        <v>74</v>
      </c>
    </row>
    <row r="23563" spans="9:9" x14ac:dyDescent="0.2">
      <c r="I23563" s="137" t="s">
        <v>74</v>
      </c>
    </row>
    <row r="23564" spans="9:9" x14ac:dyDescent="0.2">
      <c r="I23564" s="137" t="s">
        <v>74</v>
      </c>
    </row>
    <row r="23565" spans="9:9" x14ac:dyDescent="0.2">
      <c r="I23565" s="137" t="s">
        <v>74</v>
      </c>
    </row>
    <row r="23566" spans="9:9" x14ac:dyDescent="0.2">
      <c r="I23566" s="137" t="s">
        <v>74</v>
      </c>
    </row>
    <row r="23567" spans="9:9" x14ac:dyDescent="0.2">
      <c r="I23567" s="137" t="s">
        <v>74</v>
      </c>
    </row>
    <row r="23568" spans="9:9" x14ac:dyDescent="0.2">
      <c r="I23568" s="137" t="s">
        <v>74</v>
      </c>
    </row>
    <row r="23569" spans="9:9" x14ac:dyDescent="0.2">
      <c r="I23569" s="137" t="s">
        <v>74</v>
      </c>
    </row>
    <row r="23570" spans="9:9" x14ac:dyDescent="0.2">
      <c r="I23570" s="137" t="s">
        <v>74</v>
      </c>
    </row>
    <row r="23571" spans="9:9" x14ac:dyDescent="0.2">
      <c r="I23571" s="137" t="s">
        <v>74</v>
      </c>
    </row>
    <row r="23572" spans="9:9" x14ac:dyDescent="0.2">
      <c r="I23572" s="137" t="s">
        <v>74</v>
      </c>
    </row>
    <row r="23573" spans="9:9" x14ac:dyDescent="0.2">
      <c r="I23573" s="137" t="s">
        <v>74</v>
      </c>
    </row>
    <row r="23574" spans="9:9" x14ac:dyDescent="0.2">
      <c r="I23574" s="137" t="s">
        <v>74</v>
      </c>
    </row>
    <row r="23575" spans="9:9" x14ac:dyDescent="0.2">
      <c r="I23575" s="137" t="s">
        <v>74</v>
      </c>
    </row>
    <row r="23576" spans="9:9" x14ac:dyDescent="0.2">
      <c r="I23576" s="137" t="s">
        <v>74</v>
      </c>
    </row>
    <row r="23577" spans="9:9" x14ac:dyDescent="0.2">
      <c r="I23577" s="137" t="s">
        <v>74</v>
      </c>
    </row>
    <row r="23578" spans="9:9" x14ac:dyDescent="0.2">
      <c r="I23578" s="137" t="s">
        <v>74</v>
      </c>
    </row>
    <row r="23579" spans="9:9" x14ac:dyDescent="0.2">
      <c r="I23579" s="137" t="s">
        <v>74</v>
      </c>
    </row>
    <row r="23580" spans="9:9" x14ac:dyDescent="0.2">
      <c r="I23580" s="137" t="s">
        <v>74</v>
      </c>
    </row>
    <row r="23581" spans="9:9" x14ac:dyDescent="0.2">
      <c r="I23581" s="137" t="s">
        <v>74</v>
      </c>
    </row>
    <row r="23582" spans="9:9" x14ac:dyDescent="0.2">
      <c r="I23582" s="137" t="s">
        <v>74</v>
      </c>
    </row>
    <row r="23583" spans="9:9" x14ac:dyDescent="0.2">
      <c r="I23583" s="137" t="s">
        <v>74</v>
      </c>
    </row>
    <row r="23584" spans="9:9" x14ac:dyDescent="0.2">
      <c r="I23584" s="137" t="s">
        <v>74</v>
      </c>
    </row>
    <row r="23585" spans="9:9" x14ac:dyDescent="0.2">
      <c r="I23585" s="137" t="s">
        <v>74</v>
      </c>
    </row>
    <row r="23586" spans="9:9" x14ac:dyDescent="0.2">
      <c r="I23586" s="137" t="s">
        <v>74</v>
      </c>
    </row>
    <row r="23587" spans="9:9" x14ac:dyDescent="0.2">
      <c r="I23587" s="137" t="s">
        <v>74</v>
      </c>
    </row>
    <row r="23588" spans="9:9" x14ac:dyDescent="0.2">
      <c r="I23588" s="137" t="s">
        <v>74</v>
      </c>
    </row>
    <row r="23589" spans="9:9" x14ac:dyDescent="0.2">
      <c r="I23589" s="137" t="s">
        <v>74</v>
      </c>
    </row>
    <row r="23590" spans="9:9" x14ac:dyDescent="0.2">
      <c r="I23590" s="137" t="s">
        <v>74</v>
      </c>
    </row>
    <row r="23591" spans="9:9" x14ac:dyDescent="0.2">
      <c r="I23591" s="137" t="s">
        <v>74</v>
      </c>
    </row>
    <row r="23592" spans="9:9" x14ac:dyDescent="0.2">
      <c r="I23592" s="137" t="s">
        <v>74</v>
      </c>
    </row>
    <row r="23593" spans="9:9" x14ac:dyDescent="0.2">
      <c r="I23593" s="137" t="s">
        <v>74</v>
      </c>
    </row>
    <row r="23594" spans="9:9" x14ac:dyDescent="0.2">
      <c r="I23594" s="137" t="s">
        <v>74</v>
      </c>
    </row>
    <row r="23595" spans="9:9" x14ac:dyDescent="0.2">
      <c r="I23595" s="137" t="s">
        <v>74</v>
      </c>
    </row>
    <row r="23596" spans="9:9" x14ac:dyDescent="0.2">
      <c r="I23596" s="137" t="s">
        <v>74</v>
      </c>
    </row>
    <row r="23597" spans="9:9" x14ac:dyDescent="0.2">
      <c r="I23597" s="137" t="s">
        <v>74</v>
      </c>
    </row>
    <row r="23598" spans="9:9" x14ac:dyDescent="0.2">
      <c r="I23598" s="137" t="s">
        <v>74</v>
      </c>
    </row>
    <row r="23599" spans="9:9" x14ac:dyDescent="0.2">
      <c r="I23599" s="137" t="s">
        <v>74</v>
      </c>
    </row>
    <row r="23600" spans="9:9" x14ac:dyDescent="0.2">
      <c r="I23600" s="137" t="s">
        <v>74</v>
      </c>
    </row>
    <row r="23601" spans="9:9" x14ac:dyDescent="0.2">
      <c r="I23601" s="137" t="s">
        <v>74</v>
      </c>
    </row>
    <row r="23602" spans="9:9" x14ac:dyDescent="0.2">
      <c r="I23602" s="137" t="s">
        <v>74</v>
      </c>
    </row>
    <row r="23603" spans="9:9" x14ac:dyDescent="0.2">
      <c r="I23603" s="137" t="s">
        <v>74</v>
      </c>
    </row>
    <row r="23604" spans="9:9" x14ac:dyDescent="0.2">
      <c r="I23604" s="137" t="s">
        <v>74</v>
      </c>
    </row>
    <row r="23605" spans="9:9" x14ac:dyDescent="0.2">
      <c r="I23605" s="137" t="s">
        <v>74</v>
      </c>
    </row>
    <row r="23606" spans="9:9" x14ac:dyDescent="0.2">
      <c r="I23606" s="137" t="s">
        <v>74</v>
      </c>
    </row>
    <row r="23607" spans="9:9" x14ac:dyDescent="0.2">
      <c r="I23607" s="137" t="s">
        <v>74</v>
      </c>
    </row>
    <row r="23608" spans="9:9" x14ac:dyDescent="0.2">
      <c r="I23608" s="137" t="s">
        <v>74</v>
      </c>
    </row>
    <row r="23609" spans="9:9" x14ac:dyDescent="0.2">
      <c r="I23609" s="137" t="s">
        <v>74</v>
      </c>
    </row>
    <row r="23610" spans="9:9" x14ac:dyDescent="0.2">
      <c r="I23610" s="137" t="s">
        <v>74</v>
      </c>
    </row>
    <row r="23611" spans="9:9" x14ac:dyDescent="0.2">
      <c r="I23611" s="137" t="s">
        <v>74</v>
      </c>
    </row>
    <row r="23612" spans="9:9" x14ac:dyDescent="0.2">
      <c r="I23612" s="137" t="s">
        <v>74</v>
      </c>
    </row>
    <row r="23613" spans="9:9" x14ac:dyDescent="0.2">
      <c r="I23613" s="137" t="s">
        <v>74</v>
      </c>
    </row>
    <row r="23614" spans="9:9" x14ac:dyDescent="0.2">
      <c r="I23614" s="137" t="s">
        <v>74</v>
      </c>
    </row>
    <row r="23615" spans="9:9" x14ac:dyDescent="0.2">
      <c r="I23615" s="137" t="s">
        <v>74</v>
      </c>
    </row>
    <row r="23616" spans="9:9" x14ac:dyDescent="0.2">
      <c r="I23616" s="137" t="s">
        <v>74</v>
      </c>
    </row>
    <row r="23617" spans="9:9" x14ac:dyDescent="0.2">
      <c r="I23617" s="137" t="s">
        <v>74</v>
      </c>
    </row>
    <row r="23618" spans="9:9" x14ac:dyDescent="0.2">
      <c r="I23618" s="137" t="s">
        <v>74</v>
      </c>
    </row>
    <row r="23619" spans="9:9" x14ac:dyDescent="0.2">
      <c r="I23619" s="137" t="s">
        <v>74</v>
      </c>
    </row>
    <row r="23620" spans="9:9" x14ac:dyDescent="0.2">
      <c r="I23620" s="137" t="s">
        <v>74</v>
      </c>
    </row>
    <row r="23621" spans="9:9" x14ac:dyDescent="0.2">
      <c r="I23621" s="137" t="s">
        <v>74</v>
      </c>
    </row>
    <row r="23622" spans="9:9" x14ac:dyDescent="0.2">
      <c r="I23622" s="137" t="s">
        <v>74</v>
      </c>
    </row>
    <row r="23623" spans="9:9" x14ac:dyDescent="0.2">
      <c r="I23623" s="137" t="s">
        <v>74</v>
      </c>
    </row>
    <row r="23624" spans="9:9" x14ac:dyDescent="0.2">
      <c r="I23624" s="137" t="s">
        <v>74</v>
      </c>
    </row>
    <row r="23625" spans="9:9" x14ac:dyDescent="0.2">
      <c r="I23625" s="137" t="s">
        <v>74</v>
      </c>
    </row>
    <row r="23626" spans="9:9" x14ac:dyDescent="0.2">
      <c r="I23626" s="137" t="s">
        <v>74</v>
      </c>
    </row>
    <row r="23627" spans="9:9" x14ac:dyDescent="0.2">
      <c r="I23627" s="137" t="s">
        <v>74</v>
      </c>
    </row>
    <row r="23628" spans="9:9" x14ac:dyDescent="0.2">
      <c r="I23628" s="137" t="s">
        <v>74</v>
      </c>
    </row>
    <row r="23629" spans="9:9" x14ac:dyDescent="0.2">
      <c r="I23629" s="137" t="s">
        <v>74</v>
      </c>
    </row>
    <row r="23630" spans="9:9" x14ac:dyDescent="0.2">
      <c r="I23630" s="137" t="s">
        <v>74</v>
      </c>
    </row>
    <row r="23631" spans="9:9" x14ac:dyDescent="0.2">
      <c r="I23631" s="137" t="s">
        <v>74</v>
      </c>
    </row>
    <row r="23632" spans="9:9" x14ac:dyDescent="0.2">
      <c r="I23632" s="137" t="s">
        <v>74</v>
      </c>
    </row>
    <row r="23633" spans="9:9" x14ac:dyDescent="0.2">
      <c r="I23633" s="137" t="s">
        <v>74</v>
      </c>
    </row>
    <row r="23634" spans="9:9" x14ac:dyDescent="0.2">
      <c r="I23634" s="137" t="s">
        <v>74</v>
      </c>
    </row>
    <row r="23635" spans="9:9" x14ac:dyDescent="0.2">
      <c r="I23635" s="137" t="s">
        <v>74</v>
      </c>
    </row>
    <row r="23636" spans="9:9" x14ac:dyDescent="0.2">
      <c r="I23636" s="137" t="s">
        <v>74</v>
      </c>
    </row>
    <row r="23637" spans="9:9" x14ac:dyDescent="0.2">
      <c r="I23637" s="137" t="s">
        <v>74</v>
      </c>
    </row>
    <row r="23638" spans="9:9" x14ac:dyDescent="0.2">
      <c r="I23638" s="137" t="s">
        <v>74</v>
      </c>
    </row>
    <row r="23639" spans="9:9" x14ac:dyDescent="0.2">
      <c r="I23639" s="137" t="s">
        <v>74</v>
      </c>
    </row>
    <row r="23640" spans="9:9" x14ac:dyDescent="0.2">
      <c r="I23640" s="137" t="s">
        <v>74</v>
      </c>
    </row>
    <row r="23641" spans="9:9" x14ac:dyDescent="0.2">
      <c r="I23641" s="137" t="s">
        <v>74</v>
      </c>
    </row>
    <row r="23642" spans="9:9" x14ac:dyDescent="0.2">
      <c r="I23642" s="137" t="s">
        <v>74</v>
      </c>
    </row>
    <row r="23643" spans="9:9" x14ac:dyDescent="0.2">
      <c r="I23643" s="137" t="s">
        <v>74</v>
      </c>
    </row>
    <row r="23644" spans="9:9" x14ac:dyDescent="0.2">
      <c r="I23644" s="137" t="s">
        <v>74</v>
      </c>
    </row>
    <row r="23645" spans="9:9" x14ac:dyDescent="0.2">
      <c r="I23645" s="137" t="s">
        <v>74</v>
      </c>
    </row>
    <row r="23646" spans="9:9" x14ac:dyDescent="0.2">
      <c r="I23646" s="137" t="s">
        <v>74</v>
      </c>
    </row>
    <row r="23647" spans="9:9" x14ac:dyDescent="0.2">
      <c r="I23647" s="137" t="s">
        <v>74</v>
      </c>
    </row>
    <row r="23648" spans="9:9" x14ac:dyDescent="0.2">
      <c r="I23648" s="137" t="s">
        <v>74</v>
      </c>
    </row>
    <row r="23649" spans="9:9" x14ac:dyDescent="0.2">
      <c r="I23649" s="137" t="s">
        <v>74</v>
      </c>
    </row>
    <row r="23650" spans="9:9" x14ac:dyDescent="0.2">
      <c r="I23650" s="137" t="s">
        <v>74</v>
      </c>
    </row>
    <row r="23651" spans="9:9" x14ac:dyDescent="0.2">
      <c r="I23651" s="137" t="s">
        <v>74</v>
      </c>
    </row>
    <row r="23652" spans="9:9" x14ac:dyDescent="0.2">
      <c r="I23652" s="137" t="s">
        <v>74</v>
      </c>
    </row>
    <row r="23653" spans="9:9" x14ac:dyDescent="0.2">
      <c r="I23653" s="137" t="s">
        <v>74</v>
      </c>
    </row>
    <row r="23654" spans="9:9" x14ac:dyDescent="0.2">
      <c r="I23654" s="137" t="s">
        <v>74</v>
      </c>
    </row>
    <row r="23655" spans="9:9" x14ac:dyDescent="0.2">
      <c r="I23655" s="137" t="s">
        <v>74</v>
      </c>
    </row>
    <row r="23656" spans="9:9" x14ac:dyDescent="0.2">
      <c r="I23656" s="137" t="s">
        <v>74</v>
      </c>
    </row>
    <row r="23657" spans="9:9" x14ac:dyDescent="0.2">
      <c r="I23657" s="137" t="s">
        <v>74</v>
      </c>
    </row>
    <row r="23658" spans="9:9" x14ac:dyDescent="0.2">
      <c r="I23658" s="137" t="s">
        <v>74</v>
      </c>
    </row>
    <row r="23659" spans="9:9" x14ac:dyDescent="0.2">
      <c r="I23659" s="137" t="s">
        <v>74</v>
      </c>
    </row>
    <row r="23660" spans="9:9" x14ac:dyDescent="0.2">
      <c r="I23660" s="137" t="s">
        <v>74</v>
      </c>
    </row>
    <row r="23661" spans="9:9" x14ac:dyDescent="0.2">
      <c r="I23661" s="137" t="s">
        <v>74</v>
      </c>
    </row>
    <row r="23662" spans="9:9" x14ac:dyDescent="0.2">
      <c r="I23662" s="137" t="s">
        <v>74</v>
      </c>
    </row>
    <row r="23663" spans="9:9" x14ac:dyDescent="0.2">
      <c r="I23663" s="137" t="s">
        <v>74</v>
      </c>
    </row>
    <row r="23664" spans="9:9" x14ac:dyDescent="0.2">
      <c r="I23664" s="137" t="s">
        <v>74</v>
      </c>
    </row>
    <row r="23665" spans="9:9" x14ac:dyDescent="0.2">
      <c r="I23665" s="137" t="s">
        <v>74</v>
      </c>
    </row>
    <row r="23666" spans="9:9" x14ac:dyDescent="0.2">
      <c r="I23666" s="137" t="s">
        <v>74</v>
      </c>
    </row>
    <row r="23667" spans="9:9" x14ac:dyDescent="0.2">
      <c r="I23667" s="137" t="s">
        <v>74</v>
      </c>
    </row>
    <row r="23668" spans="9:9" x14ac:dyDescent="0.2">
      <c r="I23668" s="137" t="s">
        <v>74</v>
      </c>
    </row>
    <row r="23669" spans="9:9" x14ac:dyDescent="0.2">
      <c r="I23669" s="137" t="s">
        <v>74</v>
      </c>
    </row>
    <row r="23670" spans="9:9" x14ac:dyDescent="0.2">
      <c r="I23670" s="137" t="s">
        <v>74</v>
      </c>
    </row>
    <row r="23671" spans="9:9" x14ac:dyDescent="0.2">
      <c r="I23671" s="137" t="s">
        <v>74</v>
      </c>
    </row>
    <row r="23672" spans="9:9" x14ac:dyDescent="0.2">
      <c r="I23672" s="137" t="s">
        <v>74</v>
      </c>
    </row>
    <row r="23673" spans="9:9" x14ac:dyDescent="0.2">
      <c r="I23673" s="137" t="s">
        <v>74</v>
      </c>
    </row>
    <row r="23674" spans="9:9" x14ac:dyDescent="0.2">
      <c r="I23674" s="137" t="s">
        <v>74</v>
      </c>
    </row>
    <row r="23675" spans="9:9" x14ac:dyDescent="0.2">
      <c r="I23675" s="137" t="s">
        <v>74</v>
      </c>
    </row>
    <row r="23676" spans="9:9" x14ac:dyDescent="0.2">
      <c r="I23676" s="137" t="s">
        <v>74</v>
      </c>
    </row>
    <row r="23677" spans="9:9" x14ac:dyDescent="0.2">
      <c r="I23677" s="137" t="s">
        <v>74</v>
      </c>
    </row>
    <row r="23678" spans="9:9" x14ac:dyDescent="0.2">
      <c r="I23678" s="137" t="s">
        <v>74</v>
      </c>
    </row>
    <row r="23679" spans="9:9" x14ac:dyDescent="0.2">
      <c r="I23679" s="137" t="s">
        <v>74</v>
      </c>
    </row>
    <row r="23680" spans="9:9" x14ac:dyDescent="0.2">
      <c r="I23680" s="137" t="s">
        <v>74</v>
      </c>
    </row>
    <row r="23681" spans="9:9" x14ac:dyDescent="0.2">
      <c r="I23681" s="137" t="s">
        <v>74</v>
      </c>
    </row>
    <row r="23682" spans="9:9" x14ac:dyDescent="0.2">
      <c r="I23682" s="137" t="s">
        <v>74</v>
      </c>
    </row>
    <row r="23683" spans="9:9" x14ac:dyDescent="0.2">
      <c r="I23683" s="137" t="s">
        <v>74</v>
      </c>
    </row>
    <row r="23684" spans="9:9" x14ac:dyDescent="0.2">
      <c r="I23684" s="137" t="s">
        <v>74</v>
      </c>
    </row>
    <row r="23685" spans="9:9" x14ac:dyDescent="0.2">
      <c r="I23685" s="137" t="s">
        <v>74</v>
      </c>
    </row>
    <row r="23686" spans="9:9" x14ac:dyDescent="0.2">
      <c r="I23686" s="137" t="s">
        <v>74</v>
      </c>
    </row>
    <row r="23687" spans="9:9" x14ac:dyDescent="0.2">
      <c r="I23687" s="137" t="s">
        <v>74</v>
      </c>
    </row>
    <row r="23688" spans="9:9" x14ac:dyDescent="0.2">
      <c r="I23688" s="137" t="s">
        <v>74</v>
      </c>
    </row>
    <row r="23689" spans="9:9" x14ac:dyDescent="0.2">
      <c r="I23689" s="137" t="s">
        <v>74</v>
      </c>
    </row>
    <row r="23690" spans="9:9" x14ac:dyDescent="0.2">
      <c r="I23690" s="137" t="s">
        <v>74</v>
      </c>
    </row>
    <row r="23691" spans="9:9" x14ac:dyDescent="0.2">
      <c r="I23691" s="137" t="s">
        <v>74</v>
      </c>
    </row>
    <row r="23692" spans="9:9" x14ac:dyDescent="0.2">
      <c r="I23692" s="137" t="s">
        <v>74</v>
      </c>
    </row>
    <row r="23693" spans="9:9" x14ac:dyDescent="0.2">
      <c r="I23693" s="137" t="s">
        <v>74</v>
      </c>
    </row>
    <row r="23694" spans="9:9" x14ac:dyDescent="0.2">
      <c r="I23694" s="137" t="s">
        <v>74</v>
      </c>
    </row>
    <row r="23695" spans="9:9" x14ac:dyDescent="0.2">
      <c r="I23695" s="137" t="s">
        <v>74</v>
      </c>
    </row>
    <row r="23696" spans="9:9" x14ac:dyDescent="0.2">
      <c r="I23696" s="137" t="s">
        <v>74</v>
      </c>
    </row>
    <row r="23697" spans="9:9" x14ac:dyDescent="0.2">
      <c r="I23697" s="137" t="s">
        <v>74</v>
      </c>
    </row>
    <row r="23698" spans="9:9" x14ac:dyDescent="0.2">
      <c r="I23698" s="137" t="s">
        <v>74</v>
      </c>
    </row>
    <row r="23699" spans="9:9" x14ac:dyDescent="0.2">
      <c r="I23699" s="137" t="s">
        <v>74</v>
      </c>
    </row>
    <row r="23700" spans="9:9" x14ac:dyDescent="0.2">
      <c r="I23700" s="137" t="s">
        <v>74</v>
      </c>
    </row>
    <row r="23701" spans="9:9" x14ac:dyDescent="0.2">
      <c r="I23701" s="137" t="s">
        <v>74</v>
      </c>
    </row>
    <row r="23702" spans="9:9" x14ac:dyDescent="0.2">
      <c r="I23702" s="137" t="s">
        <v>74</v>
      </c>
    </row>
    <row r="23703" spans="9:9" x14ac:dyDescent="0.2">
      <c r="I23703" s="137" t="s">
        <v>74</v>
      </c>
    </row>
    <row r="23704" spans="9:9" x14ac:dyDescent="0.2">
      <c r="I23704" s="137" t="s">
        <v>74</v>
      </c>
    </row>
    <row r="23705" spans="9:9" x14ac:dyDescent="0.2">
      <c r="I23705" s="137" t="s">
        <v>74</v>
      </c>
    </row>
    <row r="23706" spans="9:9" x14ac:dyDescent="0.2">
      <c r="I23706" s="137" t="s">
        <v>74</v>
      </c>
    </row>
    <row r="23707" spans="9:9" x14ac:dyDescent="0.2">
      <c r="I23707" s="137" t="s">
        <v>74</v>
      </c>
    </row>
    <row r="23708" spans="9:9" x14ac:dyDescent="0.2">
      <c r="I23708" s="137" t="s">
        <v>74</v>
      </c>
    </row>
    <row r="23709" spans="9:9" x14ac:dyDescent="0.2">
      <c r="I23709" s="137" t="s">
        <v>74</v>
      </c>
    </row>
    <row r="23710" spans="9:9" x14ac:dyDescent="0.2">
      <c r="I23710" s="137" t="s">
        <v>74</v>
      </c>
    </row>
    <row r="23711" spans="9:9" x14ac:dyDescent="0.2">
      <c r="I23711" s="137" t="s">
        <v>74</v>
      </c>
    </row>
    <row r="23712" spans="9:9" x14ac:dyDescent="0.2">
      <c r="I23712" s="137" t="s">
        <v>74</v>
      </c>
    </row>
    <row r="23713" spans="9:9" x14ac:dyDescent="0.2">
      <c r="I23713" s="137" t="s">
        <v>74</v>
      </c>
    </row>
    <row r="23714" spans="9:9" x14ac:dyDescent="0.2">
      <c r="I23714" s="137" t="s">
        <v>74</v>
      </c>
    </row>
    <row r="23715" spans="9:9" x14ac:dyDescent="0.2">
      <c r="I23715" s="137" t="s">
        <v>74</v>
      </c>
    </row>
    <row r="23716" spans="9:9" x14ac:dyDescent="0.2">
      <c r="I23716" s="137" t="s">
        <v>74</v>
      </c>
    </row>
    <row r="23717" spans="9:9" x14ac:dyDescent="0.2">
      <c r="I23717" s="137" t="s">
        <v>74</v>
      </c>
    </row>
    <row r="23718" spans="9:9" x14ac:dyDescent="0.2">
      <c r="I23718" s="137" t="s">
        <v>74</v>
      </c>
    </row>
    <row r="23719" spans="9:9" x14ac:dyDescent="0.2">
      <c r="I23719" s="137" t="s">
        <v>74</v>
      </c>
    </row>
    <row r="23720" spans="9:9" x14ac:dyDescent="0.2">
      <c r="I23720" s="137" t="s">
        <v>74</v>
      </c>
    </row>
    <row r="23721" spans="9:9" x14ac:dyDescent="0.2">
      <c r="I23721" s="137" t="s">
        <v>74</v>
      </c>
    </row>
    <row r="23722" spans="9:9" x14ac:dyDescent="0.2">
      <c r="I23722" s="137" t="s">
        <v>74</v>
      </c>
    </row>
    <row r="23723" spans="9:9" x14ac:dyDescent="0.2">
      <c r="I23723" s="137" t="s">
        <v>74</v>
      </c>
    </row>
    <row r="23724" spans="9:9" x14ac:dyDescent="0.2">
      <c r="I23724" s="137" t="s">
        <v>74</v>
      </c>
    </row>
    <row r="23725" spans="9:9" x14ac:dyDescent="0.2">
      <c r="I23725" s="137" t="s">
        <v>74</v>
      </c>
    </row>
    <row r="23726" spans="9:9" x14ac:dyDescent="0.2">
      <c r="I23726" s="137" t="s">
        <v>74</v>
      </c>
    </row>
    <row r="23727" spans="9:9" x14ac:dyDescent="0.2">
      <c r="I23727" s="137" t="s">
        <v>74</v>
      </c>
    </row>
    <row r="23728" spans="9:9" x14ac:dyDescent="0.2">
      <c r="I23728" s="137" t="s">
        <v>74</v>
      </c>
    </row>
    <row r="23729" spans="9:9" x14ac:dyDescent="0.2">
      <c r="I23729" s="137" t="s">
        <v>74</v>
      </c>
    </row>
    <row r="23730" spans="9:9" x14ac:dyDescent="0.2">
      <c r="I23730" s="137" t="s">
        <v>74</v>
      </c>
    </row>
    <row r="23731" spans="9:9" x14ac:dyDescent="0.2">
      <c r="I23731" s="137" t="s">
        <v>74</v>
      </c>
    </row>
    <row r="23732" spans="9:9" x14ac:dyDescent="0.2">
      <c r="I23732" s="137" t="s">
        <v>74</v>
      </c>
    </row>
    <row r="23733" spans="9:9" x14ac:dyDescent="0.2">
      <c r="I23733" s="137" t="s">
        <v>74</v>
      </c>
    </row>
    <row r="23734" spans="9:9" x14ac:dyDescent="0.2">
      <c r="I23734" s="137" t="s">
        <v>74</v>
      </c>
    </row>
    <row r="23735" spans="9:9" x14ac:dyDescent="0.2">
      <c r="I23735" s="137" t="s">
        <v>74</v>
      </c>
    </row>
    <row r="23736" spans="9:9" x14ac:dyDescent="0.2">
      <c r="I23736" s="137" t="s">
        <v>74</v>
      </c>
    </row>
    <row r="23737" spans="9:9" x14ac:dyDescent="0.2">
      <c r="I23737" s="137" t="s">
        <v>74</v>
      </c>
    </row>
    <row r="23738" spans="9:9" x14ac:dyDescent="0.2">
      <c r="I23738" s="137" t="s">
        <v>74</v>
      </c>
    </row>
    <row r="23739" spans="9:9" x14ac:dyDescent="0.2">
      <c r="I23739" s="137" t="s">
        <v>74</v>
      </c>
    </row>
    <row r="23740" spans="9:9" x14ac:dyDescent="0.2">
      <c r="I23740" s="137" t="s">
        <v>74</v>
      </c>
    </row>
    <row r="23741" spans="9:9" x14ac:dyDescent="0.2">
      <c r="I23741" s="137" t="s">
        <v>74</v>
      </c>
    </row>
    <row r="23742" spans="9:9" x14ac:dyDescent="0.2">
      <c r="I23742" s="137" t="s">
        <v>74</v>
      </c>
    </row>
    <row r="23743" spans="9:9" x14ac:dyDescent="0.2">
      <c r="I23743" s="137" t="s">
        <v>74</v>
      </c>
    </row>
    <row r="23744" spans="9:9" x14ac:dyDescent="0.2">
      <c r="I23744" s="137" t="s">
        <v>74</v>
      </c>
    </row>
    <row r="23745" spans="9:9" x14ac:dyDescent="0.2">
      <c r="I23745" s="137" t="s">
        <v>74</v>
      </c>
    </row>
    <row r="23746" spans="9:9" x14ac:dyDescent="0.2">
      <c r="I23746" s="137" t="s">
        <v>74</v>
      </c>
    </row>
    <row r="23747" spans="9:9" x14ac:dyDescent="0.2">
      <c r="I23747" s="137" t="s">
        <v>74</v>
      </c>
    </row>
    <row r="23748" spans="9:9" x14ac:dyDescent="0.2">
      <c r="I23748" s="137" t="s">
        <v>74</v>
      </c>
    </row>
    <row r="23749" spans="9:9" x14ac:dyDescent="0.2">
      <c r="I23749" s="137" t="s">
        <v>74</v>
      </c>
    </row>
    <row r="23750" spans="9:9" x14ac:dyDescent="0.2">
      <c r="I23750" s="137" t="s">
        <v>74</v>
      </c>
    </row>
    <row r="23751" spans="9:9" x14ac:dyDescent="0.2">
      <c r="I23751" s="137" t="s">
        <v>74</v>
      </c>
    </row>
    <row r="23752" spans="9:9" x14ac:dyDescent="0.2">
      <c r="I23752" s="137" t="s">
        <v>74</v>
      </c>
    </row>
    <row r="23753" spans="9:9" x14ac:dyDescent="0.2">
      <c r="I23753" s="137" t="s">
        <v>74</v>
      </c>
    </row>
    <row r="23754" spans="9:9" x14ac:dyDescent="0.2">
      <c r="I23754" s="137" t="s">
        <v>74</v>
      </c>
    </row>
    <row r="23755" spans="9:9" x14ac:dyDescent="0.2">
      <c r="I23755" s="137" t="s">
        <v>74</v>
      </c>
    </row>
    <row r="23756" spans="9:9" x14ac:dyDescent="0.2">
      <c r="I23756" s="137" t="s">
        <v>74</v>
      </c>
    </row>
    <row r="23757" spans="9:9" x14ac:dyDescent="0.2">
      <c r="I23757" s="137" t="s">
        <v>74</v>
      </c>
    </row>
    <row r="23758" spans="9:9" x14ac:dyDescent="0.2">
      <c r="I23758" s="137" t="s">
        <v>74</v>
      </c>
    </row>
    <row r="23759" spans="9:9" x14ac:dyDescent="0.2">
      <c r="I23759" s="137" t="s">
        <v>74</v>
      </c>
    </row>
    <row r="23760" spans="9:9" x14ac:dyDescent="0.2">
      <c r="I23760" s="137" t="s">
        <v>74</v>
      </c>
    </row>
    <row r="23761" spans="9:9" x14ac:dyDescent="0.2">
      <c r="I23761" s="137" t="s">
        <v>74</v>
      </c>
    </row>
    <row r="23762" spans="9:9" x14ac:dyDescent="0.2">
      <c r="I23762" s="137" t="s">
        <v>74</v>
      </c>
    </row>
    <row r="23763" spans="9:9" x14ac:dyDescent="0.2">
      <c r="I23763" s="137" t="s">
        <v>74</v>
      </c>
    </row>
    <row r="23764" spans="9:9" x14ac:dyDescent="0.2">
      <c r="I23764" s="137" t="s">
        <v>74</v>
      </c>
    </row>
    <row r="23765" spans="9:9" x14ac:dyDescent="0.2">
      <c r="I23765" s="137" t="s">
        <v>74</v>
      </c>
    </row>
    <row r="23766" spans="9:9" x14ac:dyDescent="0.2">
      <c r="I23766" s="137" t="s">
        <v>74</v>
      </c>
    </row>
    <row r="23767" spans="9:9" x14ac:dyDescent="0.2">
      <c r="I23767" s="137" t="s">
        <v>74</v>
      </c>
    </row>
    <row r="23768" spans="9:9" x14ac:dyDescent="0.2">
      <c r="I23768" s="137" t="s">
        <v>74</v>
      </c>
    </row>
    <row r="23769" spans="9:9" x14ac:dyDescent="0.2">
      <c r="I23769" s="137" t="s">
        <v>74</v>
      </c>
    </row>
    <row r="23770" spans="9:9" x14ac:dyDescent="0.2">
      <c r="I23770" s="137" t="s">
        <v>74</v>
      </c>
    </row>
    <row r="23771" spans="9:9" x14ac:dyDescent="0.2">
      <c r="I23771" s="137" t="s">
        <v>74</v>
      </c>
    </row>
    <row r="23772" spans="9:9" x14ac:dyDescent="0.2">
      <c r="I23772" s="137" t="s">
        <v>74</v>
      </c>
    </row>
    <row r="23773" spans="9:9" x14ac:dyDescent="0.2">
      <c r="I23773" s="137" t="s">
        <v>74</v>
      </c>
    </row>
    <row r="23774" spans="9:9" x14ac:dyDescent="0.2">
      <c r="I23774" s="137" t="s">
        <v>74</v>
      </c>
    </row>
    <row r="23775" spans="9:9" x14ac:dyDescent="0.2">
      <c r="I23775" s="137" t="s">
        <v>74</v>
      </c>
    </row>
    <row r="23776" spans="9:9" x14ac:dyDescent="0.2">
      <c r="I23776" s="137" t="s">
        <v>74</v>
      </c>
    </row>
    <row r="23777" spans="9:9" x14ac:dyDescent="0.2">
      <c r="I23777" s="137" t="s">
        <v>74</v>
      </c>
    </row>
    <row r="23778" spans="9:9" x14ac:dyDescent="0.2">
      <c r="I23778" s="137" t="s">
        <v>74</v>
      </c>
    </row>
    <row r="23779" spans="9:9" x14ac:dyDescent="0.2">
      <c r="I23779" s="137" t="s">
        <v>74</v>
      </c>
    </row>
    <row r="23780" spans="9:9" x14ac:dyDescent="0.2">
      <c r="I23780" s="137" t="s">
        <v>74</v>
      </c>
    </row>
    <row r="23781" spans="9:9" x14ac:dyDescent="0.2">
      <c r="I23781" s="137" t="s">
        <v>74</v>
      </c>
    </row>
    <row r="23782" spans="9:9" x14ac:dyDescent="0.2">
      <c r="I23782" s="137" t="s">
        <v>74</v>
      </c>
    </row>
    <row r="23783" spans="9:9" x14ac:dyDescent="0.2">
      <c r="I23783" s="137" t="s">
        <v>74</v>
      </c>
    </row>
    <row r="23784" spans="9:9" x14ac:dyDescent="0.2">
      <c r="I23784" s="137" t="s">
        <v>74</v>
      </c>
    </row>
    <row r="23785" spans="9:9" x14ac:dyDescent="0.2">
      <c r="I23785" s="137" t="s">
        <v>74</v>
      </c>
    </row>
    <row r="23786" spans="9:9" x14ac:dyDescent="0.2">
      <c r="I23786" s="137" t="s">
        <v>74</v>
      </c>
    </row>
    <row r="23787" spans="9:9" x14ac:dyDescent="0.2">
      <c r="I23787" s="137" t="s">
        <v>74</v>
      </c>
    </row>
    <row r="23788" spans="9:9" x14ac:dyDescent="0.2">
      <c r="I23788" s="137" t="s">
        <v>74</v>
      </c>
    </row>
    <row r="23789" spans="9:9" x14ac:dyDescent="0.2">
      <c r="I23789" s="137" t="s">
        <v>74</v>
      </c>
    </row>
    <row r="23790" spans="9:9" x14ac:dyDescent="0.2">
      <c r="I23790" s="137" t="s">
        <v>74</v>
      </c>
    </row>
    <row r="23791" spans="9:9" x14ac:dyDescent="0.2">
      <c r="I23791" s="137" t="s">
        <v>74</v>
      </c>
    </row>
    <row r="23792" spans="9:9" x14ac:dyDescent="0.2">
      <c r="I23792" s="137" t="s">
        <v>74</v>
      </c>
    </row>
    <row r="23793" spans="9:9" x14ac:dyDescent="0.2">
      <c r="I23793" s="137" t="s">
        <v>74</v>
      </c>
    </row>
    <row r="23794" spans="9:9" x14ac:dyDescent="0.2">
      <c r="I23794" s="137" t="s">
        <v>74</v>
      </c>
    </row>
    <row r="23795" spans="9:9" x14ac:dyDescent="0.2">
      <c r="I23795" s="137" t="s">
        <v>74</v>
      </c>
    </row>
    <row r="23796" spans="9:9" x14ac:dyDescent="0.2">
      <c r="I23796" s="137" t="s">
        <v>74</v>
      </c>
    </row>
    <row r="23797" spans="9:9" x14ac:dyDescent="0.2">
      <c r="I23797" s="137" t="s">
        <v>74</v>
      </c>
    </row>
    <row r="23798" spans="9:9" x14ac:dyDescent="0.2">
      <c r="I23798" s="137" t="s">
        <v>74</v>
      </c>
    </row>
    <row r="23799" spans="9:9" x14ac:dyDescent="0.2">
      <c r="I23799" s="137" t="s">
        <v>74</v>
      </c>
    </row>
    <row r="23800" spans="9:9" x14ac:dyDescent="0.2">
      <c r="I23800" s="137" t="s">
        <v>74</v>
      </c>
    </row>
    <row r="23801" spans="9:9" x14ac:dyDescent="0.2">
      <c r="I23801" s="137" t="s">
        <v>74</v>
      </c>
    </row>
    <row r="23802" spans="9:9" x14ac:dyDescent="0.2">
      <c r="I23802" s="137" t="s">
        <v>74</v>
      </c>
    </row>
    <row r="23803" spans="9:9" x14ac:dyDescent="0.2">
      <c r="I23803" s="137" t="s">
        <v>74</v>
      </c>
    </row>
    <row r="23804" spans="9:9" x14ac:dyDescent="0.2">
      <c r="I23804" s="137" t="s">
        <v>74</v>
      </c>
    </row>
    <row r="23805" spans="9:9" x14ac:dyDescent="0.2">
      <c r="I23805" s="137" t="s">
        <v>74</v>
      </c>
    </row>
    <row r="23806" spans="9:9" x14ac:dyDescent="0.2">
      <c r="I23806" s="137" t="s">
        <v>74</v>
      </c>
    </row>
    <row r="23807" spans="9:9" x14ac:dyDescent="0.2">
      <c r="I23807" s="137" t="s">
        <v>74</v>
      </c>
    </row>
    <row r="23808" spans="9:9" x14ac:dyDescent="0.2">
      <c r="I23808" s="137" t="s">
        <v>74</v>
      </c>
    </row>
    <row r="23809" spans="9:9" x14ac:dyDescent="0.2">
      <c r="I23809" s="137" t="s">
        <v>74</v>
      </c>
    </row>
    <row r="23810" spans="9:9" x14ac:dyDescent="0.2">
      <c r="I23810" s="137" t="s">
        <v>74</v>
      </c>
    </row>
    <row r="23811" spans="9:9" x14ac:dyDescent="0.2">
      <c r="I23811" s="137" t="s">
        <v>74</v>
      </c>
    </row>
    <row r="23812" spans="9:9" x14ac:dyDescent="0.2">
      <c r="I23812" s="137" t="s">
        <v>74</v>
      </c>
    </row>
    <row r="23813" spans="9:9" x14ac:dyDescent="0.2">
      <c r="I23813" s="137" t="s">
        <v>74</v>
      </c>
    </row>
    <row r="23814" spans="9:9" x14ac:dyDescent="0.2">
      <c r="I23814" s="137" t="s">
        <v>74</v>
      </c>
    </row>
    <row r="23815" spans="9:9" x14ac:dyDescent="0.2">
      <c r="I23815" s="137" t="s">
        <v>74</v>
      </c>
    </row>
    <row r="23816" spans="9:9" x14ac:dyDescent="0.2">
      <c r="I23816" s="137" t="s">
        <v>74</v>
      </c>
    </row>
    <row r="23817" spans="9:9" x14ac:dyDescent="0.2">
      <c r="I23817" s="137" t="s">
        <v>74</v>
      </c>
    </row>
    <row r="23818" spans="9:9" x14ac:dyDescent="0.2">
      <c r="I23818" s="137" t="s">
        <v>74</v>
      </c>
    </row>
    <row r="23819" spans="9:9" x14ac:dyDescent="0.2">
      <c r="I23819" s="137" t="s">
        <v>74</v>
      </c>
    </row>
    <row r="23820" spans="9:9" x14ac:dyDescent="0.2">
      <c r="I23820" s="137" t="s">
        <v>74</v>
      </c>
    </row>
    <row r="23821" spans="9:9" x14ac:dyDescent="0.2">
      <c r="I23821" s="137" t="s">
        <v>74</v>
      </c>
    </row>
    <row r="23822" spans="9:9" x14ac:dyDescent="0.2">
      <c r="I23822" s="137" t="s">
        <v>74</v>
      </c>
    </row>
    <row r="23823" spans="9:9" x14ac:dyDescent="0.2">
      <c r="I23823" s="137" t="s">
        <v>74</v>
      </c>
    </row>
    <row r="23824" spans="9:9" x14ac:dyDescent="0.2">
      <c r="I23824" s="137" t="s">
        <v>74</v>
      </c>
    </row>
    <row r="23825" spans="9:9" x14ac:dyDescent="0.2">
      <c r="I23825" s="137" t="s">
        <v>74</v>
      </c>
    </row>
    <row r="23826" spans="9:9" x14ac:dyDescent="0.2">
      <c r="I23826" s="137" t="s">
        <v>74</v>
      </c>
    </row>
    <row r="23827" spans="9:9" x14ac:dyDescent="0.2">
      <c r="I23827" s="137" t="s">
        <v>74</v>
      </c>
    </row>
    <row r="23828" spans="9:9" x14ac:dyDescent="0.2">
      <c r="I23828" s="137" t="s">
        <v>74</v>
      </c>
    </row>
    <row r="23829" spans="9:9" x14ac:dyDescent="0.2">
      <c r="I23829" s="137" t="s">
        <v>74</v>
      </c>
    </row>
    <row r="23830" spans="9:9" x14ac:dyDescent="0.2">
      <c r="I23830" s="137" t="s">
        <v>74</v>
      </c>
    </row>
    <row r="23831" spans="9:9" x14ac:dyDescent="0.2">
      <c r="I23831" s="137" t="s">
        <v>74</v>
      </c>
    </row>
    <row r="23832" spans="9:9" x14ac:dyDescent="0.2">
      <c r="I23832" s="137" t="s">
        <v>74</v>
      </c>
    </row>
    <row r="23833" spans="9:9" x14ac:dyDescent="0.2">
      <c r="I23833" s="137" t="s">
        <v>74</v>
      </c>
    </row>
    <row r="23834" spans="9:9" x14ac:dyDescent="0.2">
      <c r="I23834" s="137" t="s">
        <v>74</v>
      </c>
    </row>
    <row r="23835" spans="9:9" x14ac:dyDescent="0.2">
      <c r="I23835" s="137" t="s">
        <v>74</v>
      </c>
    </row>
    <row r="23836" spans="9:9" x14ac:dyDescent="0.2">
      <c r="I23836" s="137" t="s">
        <v>74</v>
      </c>
    </row>
    <row r="23837" spans="9:9" x14ac:dyDescent="0.2">
      <c r="I23837" s="137" t="s">
        <v>74</v>
      </c>
    </row>
    <row r="23838" spans="9:9" x14ac:dyDescent="0.2">
      <c r="I23838" s="137" t="s">
        <v>74</v>
      </c>
    </row>
    <row r="23839" spans="9:9" x14ac:dyDescent="0.2">
      <c r="I23839" s="137" t="s">
        <v>74</v>
      </c>
    </row>
    <row r="23840" spans="9:9" x14ac:dyDescent="0.2">
      <c r="I23840" s="137" t="s">
        <v>74</v>
      </c>
    </row>
    <row r="23841" spans="9:9" x14ac:dyDescent="0.2">
      <c r="I23841" s="137" t="s">
        <v>74</v>
      </c>
    </row>
    <row r="23842" spans="9:9" x14ac:dyDescent="0.2">
      <c r="I23842" s="137" t="s">
        <v>74</v>
      </c>
    </row>
    <row r="23843" spans="9:9" x14ac:dyDescent="0.2">
      <c r="I23843" s="137" t="s">
        <v>74</v>
      </c>
    </row>
    <row r="23844" spans="9:9" x14ac:dyDescent="0.2">
      <c r="I23844" s="137" t="s">
        <v>74</v>
      </c>
    </row>
    <row r="23845" spans="9:9" x14ac:dyDescent="0.2">
      <c r="I23845" s="137" t="s">
        <v>74</v>
      </c>
    </row>
    <row r="23846" spans="9:9" x14ac:dyDescent="0.2">
      <c r="I23846" s="137" t="s">
        <v>74</v>
      </c>
    </row>
    <row r="23847" spans="9:9" x14ac:dyDescent="0.2">
      <c r="I23847" s="137" t="s">
        <v>74</v>
      </c>
    </row>
    <row r="23848" spans="9:9" x14ac:dyDescent="0.2">
      <c r="I23848" s="137" t="s">
        <v>74</v>
      </c>
    </row>
    <row r="23849" spans="9:9" x14ac:dyDescent="0.2">
      <c r="I23849" s="137" t="s">
        <v>74</v>
      </c>
    </row>
    <row r="23850" spans="9:9" x14ac:dyDescent="0.2">
      <c r="I23850" s="137" t="s">
        <v>74</v>
      </c>
    </row>
    <row r="23851" spans="9:9" x14ac:dyDescent="0.2">
      <c r="I23851" s="137" t="s">
        <v>74</v>
      </c>
    </row>
    <row r="23852" spans="9:9" x14ac:dyDescent="0.2">
      <c r="I23852" s="137" t="s">
        <v>74</v>
      </c>
    </row>
    <row r="23853" spans="9:9" x14ac:dyDescent="0.2">
      <c r="I23853" s="137" t="s">
        <v>74</v>
      </c>
    </row>
    <row r="23854" spans="9:9" x14ac:dyDescent="0.2">
      <c r="I23854" s="137" t="s">
        <v>74</v>
      </c>
    </row>
    <row r="23855" spans="9:9" x14ac:dyDescent="0.2">
      <c r="I23855" s="137" t="s">
        <v>74</v>
      </c>
    </row>
    <row r="23856" spans="9:9" x14ac:dyDescent="0.2">
      <c r="I23856" s="137" t="s">
        <v>74</v>
      </c>
    </row>
    <row r="23857" spans="9:9" x14ac:dyDescent="0.2">
      <c r="I23857" s="137" t="s">
        <v>74</v>
      </c>
    </row>
    <row r="23858" spans="9:9" x14ac:dyDescent="0.2">
      <c r="I23858" s="137" t="s">
        <v>74</v>
      </c>
    </row>
    <row r="23859" spans="9:9" x14ac:dyDescent="0.2">
      <c r="I23859" s="137" t="s">
        <v>74</v>
      </c>
    </row>
    <row r="23860" spans="9:9" x14ac:dyDescent="0.2">
      <c r="I23860" s="137" t="s">
        <v>74</v>
      </c>
    </row>
    <row r="23861" spans="9:9" x14ac:dyDescent="0.2">
      <c r="I23861" s="137" t="s">
        <v>74</v>
      </c>
    </row>
    <row r="23862" spans="9:9" x14ac:dyDescent="0.2">
      <c r="I23862" s="137" t="s">
        <v>74</v>
      </c>
    </row>
    <row r="23863" spans="9:9" x14ac:dyDescent="0.2">
      <c r="I23863" s="137" t="s">
        <v>74</v>
      </c>
    </row>
    <row r="23864" spans="9:9" x14ac:dyDescent="0.2">
      <c r="I23864" s="137" t="s">
        <v>74</v>
      </c>
    </row>
    <row r="23865" spans="9:9" x14ac:dyDescent="0.2">
      <c r="I23865" s="137" t="s">
        <v>74</v>
      </c>
    </row>
    <row r="23866" spans="9:9" x14ac:dyDescent="0.2">
      <c r="I23866" s="137" t="s">
        <v>74</v>
      </c>
    </row>
    <row r="23867" spans="9:9" x14ac:dyDescent="0.2">
      <c r="I23867" s="137" t="s">
        <v>74</v>
      </c>
    </row>
    <row r="23868" spans="9:9" x14ac:dyDescent="0.2">
      <c r="I23868" s="137" t="s">
        <v>74</v>
      </c>
    </row>
    <row r="23869" spans="9:9" x14ac:dyDescent="0.2">
      <c r="I23869" s="137" t="s">
        <v>74</v>
      </c>
    </row>
    <row r="23870" spans="9:9" x14ac:dyDescent="0.2">
      <c r="I23870" s="137" t="s">
        <v>74</v>
      </c>
    </row>
    <row r="23871" spans="9:9" x14ac:dyDescent="0.2">
      <c r="I23871" s="137" t="s">
        <v>74</v>
      </c>
    </row>
    <row r="23872" spans="9:9" x14ac:dyDescent="0.2">
      <c r="I23872" s="137" t="s">
        <v>74</v>
      </c>
    </row>
    <row r="23873" spans="9:9" x14ac:dyDescent="0.2">
      <c r="I23873" s="137" t="s">
        <v>74</v>
      </c>
    </row>
    <row r="23874" spans="9:9" x14ac:dyDescent="0.2">
      <c r="I23874" s="137" t="s">
        <v>74</v>
      </c>
    </row>
    <row r="23875" spans="9:9" x14ac:dyDescent="0.2">
      <c r="I23875" s="137" t="s">
        <v>74</v>
      </c>
    </row>
    <row r="23876" spans="9:9" x14ac:dyDescent="0.2">
      <c r="I23876" s="137" t="s">
        <v>74</v>
      </c>
    </row>
    <row r="23877" spans="9:9" x14ac:dyDescent="0.2">
      <c r="I23877" s="137" t="s">
        <v>74</v>
      </c>
    </row>
    <row r="23878" spans="9:9" x14ac:dyDescent="0.2">
      <c r="I23878" s="137" t="s">
        <v>74</v>
      </c>
    </row>
    <row r="23879" spans="9:9" x14ac:dyDescent="0.2">
      <c r="I23879" s="137" t="s">
        <v>74</v>
      </c>
    </row>
    <row r="23880" spans="9:9" x14ac:dyDescent="0.2">
      <c r="I23880" s="137" t="s">
        <v>74</v>
      </c>
    </row>
    <row r="23881" spans="9:9" x14ac:dyDescent="0.2">
      <c r="I23881" s="137" t="s">
        <v>74</v>
      </c>
    </row>
    <row r="23882" spans="9:9" x14ac:dyDescent="0.2">
      <c r="I23882" s="137" t="s">
        <v>74</v>
      </c>
    </row>
    <row r="23883" spans="9:9" x14ac:dyDescent="0.2">
      <c r="I23883" s="137" t="s">
        <v>74</v>
      </c>
    </row>
    <row r="23884" spans="9:9" x14ac:dyDescent="0.2">
      <c r="I23884" s="137" t="s">
        <v>74</v>
      </c>
    </row>
    <row r="23885" spans="9:9" x14ac:dyDescent="0.2">
      <c r="I23885" s="137" t="s">
        <v>74</v>
      </c>
    </row>
    <row r="23886" spans="9:9" x14ac:dyDescent="0.2">
      <c r="I23886" s="137" t="s">
        <v>74</v>
      </c>
    </row>
    <row r="23887" spans="9:9" x14ac:dyDescent="0.2">
      <c r="I23887" s="137" t="s">
        <v>74</v>
      </c>
    </row>
    <row r="23888" spans="9:9" x14ac:dyDescent="0.2">
      <c r="I23888" s="137" t="s">
        <v>74</v>
      </c>
    </row>
    <row r="23889" spans="9:9" x14ac:dyDescent="0.2">
      <c r="I23889" s="137" t="s">
        <v>74</v>
      </c>
    </row>
    <row r="23890" spans="9:9" x14ac:dyDescent="0.2">
      <c r="I23890" s="137" t="s">
        <v>74</v>
      </c>
    </row>
    <row r="23891" spans="9:9" x14ac:dyDescent="0.2">
      <c r="I23891" s="137" t="s">
        <v>74</v>
      </c>
    </row>
    <row r="23892" spans="9:9" x14ac:dyDescent="0.2">
      <c r="I23892" s="137" t="s">
        <v>74</v>
      </c>
    </row>
    <row r="23893" spans="9:9" x14ac:dyDescent="0.2">
      <c r="I23893" s="137" t="s">
        <v>74</v>
      </c>
    </row>
    <row r="23894" spans="9:9" x14ac:dyDescent="0.2">
      <c r="I23894" s="137" t="s">
        <v>74</v>
      </c>
    </row>
    <row r="23895" spans="9:9" x14ac:dyDescent="0.2">
      <c r="I23895" s="137" t="s">
        <v>74</v>
      </c>
    </row>
    <row r="23896" spans="9:9" x14ac:dyDescent="0.2">
      <c r="I23896" s="137" t="s">
        <v>74</v>
      </c>
    </row>
    <row r="23897" spans="9:9" x14ac:dyDescent="0.2">
      <c r="I23897" s="137" t="s">
        <v>74</v>
      </c>
    </row>
    <row r="23898" spans="9:9" x14ac:dyDescent="0.2">
      <c r="I23898" s="137" t="s">
        <v>74</v>
      </c>
    </row>
    <row r="23899" spans="9:9" x14ac:dyDescent="0.2">
      <c r="I23899" s="137" t="s">
        <v>74</v>
      </c>
    </row>
    <row r="23900" spans="9:9" x14ac:dyDescent="0.2">
      <c r="I23900" s="137" t="s">
        <v>74</v>
      </c>
    </row>
    <row r="23901" spans="9:9" x14ac:dyDescent="0.2">
      <c r="I23901" s="137" t="s">
        <v>74</v>
      </c>
    </row>
    <row r="23902" spans="9:9" x14ac:dyDescent="0.2">
      <c r="I23902" s="137" t="s">
        <v>74</v>
      </c>
    </row>
    <row r="23903" spans="9:9" x14ac:dyDescent="0.2">
      <c r="I23903" s="137" t="s">
        <v>74</v>
      </c>
    </row>
    <row r="23904" spans="9:9" x14ac:dyDescent="0.2">
      <c r="I23904" s="137" t="s">
        <v>74</v>
      </c>
    </row>
    <row r="23905" spans="9:9" x14ac:dyDescent="0.2">
      <c r="I23905" s="137" t="s">
        <v>74</v>
      </c>
    </row>
    <row r="23906" spans="9:9" x14ac:dyDescent="0.2">
      <c r="I23906" s="137" t="s">
        <v>74</v>
      </c>
    </row>
    <row r="23907" spans="9:9" x14ac:dyDescent="0.2">
      <c r="I23907" s="137" t="s">
        <v>74</v>
      </c>
    </row>
    <row r="23908" spans="9:9" x14ac:dyDescent="0.2">
      <c r="I23908" s="137" t="s">
        <v>74</v>
      </c>
    </row>
    <row r="23909" spans="9:9" x14ac:dyDescent="0.2">
      <c r="I23909" s="137" t="s">
        <v>74</v>
      </c>
    </row>
    <row r="23910" spans="9:9" x14ac:dyDescent="0.2">
      <c r="I23910" s="137" t="s">
        <v>74</v>
      </c>
    </row>
    <row r="23911" spans="9:9" x14ac:dyDescent="0.2">
      <c r="I23911" s="137" t="s">
        <v>74</v>
      </c>
    </row>
    <row r="23912" spans="9:9" x14ac:dyDescent="0.2">
      <c r="I23912" s="137" t="s">
        <v>74</v>
      </c>
    </row>
    <row r="23913" spans="9:9" x14ac:dyDescent="0.2">
      <c r="I23913" s="137" t="s">
        <v>74</v>
      </c>
    </row>
    <row r="23914" spans="9:9" x14ac:dyDescent="0.2">
      <c r="I23914" s="137" t="s">
        <v>74</v>
      </c>
    </row>
    <row r="23915" spans="9:9" x14ac:dyDescent="0.2">
      <c r="I23915" s="137" t="s">
        <v>74</v>
      </c>
    </row>
    <row r="23916" spans="9:9" x14ac:dyDescent="0.2">
      <c r="I23916" s="137" t="s">
        <v>74</v>
      </c>
    </row>
    <row r="23917" spans="9:9" x14ac:dyDescent="0.2">
      <c r="I23917" s="137" t="s">
        <v>74</v>
      </c>
    </row>
    <row r="23918" spans="9:9" x14ac:dyDescent="0.2">
      <c r="I23918" s="137" t="s">
        <v>74</v>
      </c>
    </row>
    <row r="23919" spans="9:9" x14ac:dyDescent="0.2">
      <c r="I23919" s="137" t="s">
        <v>74</v>
      </c>
    </row>
    <row r="23920" spans="9:9" x14ac:dyDescent="0.2">
      <c r="I23920" s="137" t="s">
        <v>74</v>
      </c>
    </row>
    <row r="23921" spans="9:9" x14ac:dyDescent="0.2">
      <c r="I23921" s="137" t="s">
        <v>74</v>
      </c>
    </row>
    <row r="23922" spans="9:9" x14ac:dyDescent="0.2">
      <c r="I23922" s="137" t="s">
        <v>74</v>
      </c>
    </row>
    <row r="23923" spans="9:9" x14ac:dyDescent="0.2">
      <c r="I23923" s="137" t="s">
        <v>74</v>
      </c>
    </row>
    <row r="23924" spans="9:9" x14ac:dyDescent="0.2">
      <c r="I23924" s="137" t="s">
        <v>74</v>
      </c>
    </row>
    <row r="23925" spans="9:9" x14ac:dyDescent="0.2">
      <c r="I23925" s="137" t="s">
        <v>74</v>
      </c>
    </row>
    <row r="23926" spans="9:9" x14ac:dyDescent="0.2">
      <c r="I23926" s="137" t="s">
        <v>74</v>
      </c>
    </row>
    <row r="23927" spans="9:9" x14ac:dyDescent="0.2">
      <c r="I23927" s="137" t="s">
        <v>74</v>
      </c>
    </row>
    <row r="23928" spans="9:9" x14ac:dyDescent="0.2">
      <c r="I23928" s="137" t="s">
        <v>74</v>
      </c>
    </row>
    <row r="23929" spans="9:9" x14ac:dyDescent="0.2">
      <c r="I23929" s="137" t="s">
        <v>74</v>
      </c>
    </row>
    <row r="23930" spans="9:9" x14ac:dyDescent="0.2">
      <c r="I23930" s="137" t="s">
        <v>74</v>
      </c>
    </row>
    <row r="23931" spans="9:9" x14ac:dyDescent="0.2">
      <c r="I23931" s="137" t="s">
        <v>74</v>
      </c>
    </row>
    <row r="23932" spans="9:9" x14ac:dyDescent="0.2">
      <c r="I23932" s="137" t="s">
        <v>74</v>
      </c>
    </row>
    <row r="23933" spans="9:9" x14ac:dyDescent="0.2">
      <c r="I23933" s="137" t="s">
        <v>74</v>
      </c>
    </row>
    <row r="23934" spans="9:9" x14ac:dyDescent="0.2">
      <c r="I23934" s="137" t="s">
        <v>74</v>
      </c>
    </row>
    <row r="23935" spans="9:9" x14ac:dyDescent="0.2">
      <c r="I23935" s="137" t="s">
        <v>74</v>
      </c>
    </row>
    <row r="23936" spans="9:9" x14ac:dyDescent="0.2">
      <c r="I23936" s="137" t="s">
        <v>74</v>
      </c>
    </row>
    <row r="23937" spans="9:9" x14ac:dyDescent="0.2">
      <c r="I23937" s="137" t="s">
        <v>74</v>
      </c>
    </row>
    <row r="23938" spans="9:9" x14ac:dyDescent="0.2">
      <c r="I23938" s="137" t="s">
        <v>74</v>
      </c>
    </row>
    <row r="23939" spans="9:9" x14ac:dyDescent="0.2">
      <c r="I23939" s="137" t="s">
        <v>74</v>
      </c>
    </row>
    <row r="23940" spans="9:9" x14ac:dyDescent="0.2">
      <c r="I23940" s="137" t="s">
        <v>74</v>
      </c>
    </row>
    <row r="23941" spans="9:9" x14ac:dyDescent="0.2">
      <c r="I23941" s="137" t="s">
        <v>74</v>
      </c>
    </row>
    <row r="23942" spans="9:9" x14ac:dyDescent="0.2">
      <c r="I23942" s="137" t="s">
        <v>74</v>
      </c>
    </row>
    <row r="23943" spans="9:9" x14ac:dyDescent="0.2">
      <c r="I23943" s="137" t="s">
        <v>74</v>
      </c>
    </row>
    <row r="23944" spans="9:9" x14ac:dyDescent="0.2">
      <c r="I23944" s="137" t="s">
        <v>74</v>
      </c>
    </row>
    <row r="23945" spans="9:9" x14ac:dyDescent="0.2">
      <c r="I23945" s="137" t="s">
        <v>74</v>
      </c>
    </row>
    <row r="23946" spans="9:9" x14ac:dyDescent="0.2">
      <c r="I23946" s="137" t="s">
        <v>74</v>
      </c>
    </row>
    <row r="23947" spans="9:9" x14ac:dyDescent="0.2">
      <c r="I23947" s="137" t="s">
        <v>74</v>
      </c>
    </row>
    <row r="23948" spans="9:9" x14ac:dyDescent="0.2">
      <c r="I23948" s="137" t="s">
        <v>74</v>
      </c>
    </row>
    <row r="23949" spans="9:9" x14ac:dyDescent="0.2">
      <c r="I23949" s="137" t="s">
        <v>74</v>
      </c>
    </row>
    <row r="23950" spans="9:9" x14ac:dyDescent="0.2">
      <c r="I23950" s="137" t="s">
        <v>74</v>
      </c>
    </row>
    <row r="23951" spans="9:9" x14ac:dyDescent="0.2">
      <c r="I23951" s="137" t="s">
        <v>74</v>
      </c>
    </row>
    <row r="23952" spans="9:9" x14ac:dyDescent="0.2">
      <c r="I23952" s="137" t="s">
        <v>74</v>
      </c>
    </row>
    <row r="23953" spans="9:9" x14ac:dyDescent="0.2">
      <c r="I23953" s="137" t="s">
        <v>74</v>
      </c>
    </row>
    <row r="23954" spans="9:9" x14ac:dyDescent="0.2">
      <c r="I23954" s="137" t="s">
        <v>74</v>
      </c>
    </row>
    <row r="23955" spans="9:9" x14ac:dyDescent="0.2">
      <c r="I23955" s="137" t="s">
        <v>74</v>
      </c>
    </row>
    <row r="23956" spans="9:9" x14ac:dyDescent="0.2">
      <c r="I23956" s="137" t="s">
        <v>74</v>
      </c>
    </row>
    <row r="23957" spans="9:9" x14ac:dyDescent="0.2">
      <c r="I23957" s="137" t="s">
        <v>74</v>
      </c>
    </row>
    <row r="23958" spans="9:9" x14ac:dyDescent="0.2">
      <c r="I23958" s="137" t="s">
        <v>74</v>
      </c>
    </row>
    <row r="23959" spans="9:9" x14ac:dyDescent="0.2">
      <c r="I23959" s="137" t="s">
        <v>74</v>
      </c>
    </row>
    <row r="23960" spans="9:9" x14ac:dyDescent="0.2">
      <c r="I23960" s="137" t="s">
        <v>74</v>
      </c>
    </row>
    <row r="23961" spans="9:9" x14ac:dyDescent="0.2">
      <c r="I23961" s="137" t="s">
        <v>74</v>
      </c>
    </row>
    <row r="23962" spans="9:9" x14ac:dyDescent="0.2">
      <c r="I23962" s="137" t="s">
        <v>74</v>
      </c>
    </row>
    <row r="23963" spans="9:9" x14ac:dyDescent="0.2">
      <c r="I23963" s="137" t="s">
        <v>74</v>
      </c>
    </row>
    <row r="23964" spans="9:9" x14ac:dyDescent="0.2">
      <c r="I23964" s="137" t="s">
        <v>74</v>
      </c>
    </row>
    <row r="23965" spans="9:9" x14ac:dyDescent="0.2">
      <c r="I23965" s="137" t="s">
        <v>74</v>
      </c>
    </row>
    <row r="23966" spans="9:9" x14ac:dyDescent="0.2">
      <c r="I23966" s="137" t="s">
        <v>74</v>
      </c>
    </row>
    <row r="23967" spans="9:9" x14ac:dyDescent="0.2">
      <c r="I23967" s="137" t="s">
        <v>74</v>
      </c>
    </row>
    <row r="23968" spans="9:9" x14ac:dyDescent="0.2">
      <c r="I23968" s="137" t="s">
        <v>74</v>
      </c>
    </row>
    <row r="23969" spans="9:9" x14ac:dyDescent="0.2">
      <c r="I23969" s="137" t="s">
        <v>74</v>
      </c>
    </row>
    <row r="23970" spans="9:9" x14ac:dyDescent="0.2">
      <c r="I23970" s="137" t="s">
        <v>74</v>
      </c>
    </row>
    <row r="23971" spans="9:9" x14ac:dyDescent="0.2">
      <c r="I23971" s="137" t="s">
        <v>74</v>
      </c>
    </row>
    <row r="23972" spans="9:9" x14ac:dyDescent="0.2">
      <c r="I23972" s="137" t="s">
        <v>74</v>
      </c>
    </row>
    <row r="23973" spans="9:9" x14ac:dyDescent="0.2">
      <c r="I23973" s="137" t="s">
        <v>74</v>
      </c>
    </row>
    <row r="23974" spans="9:9" x14ac:dyDescent="0.2">
      <c r="I23974" s="137" t="s">
        <v>74</v>
      </c>
    </row>
    <row r="23975" spans="9:9" x14ac:dyDescent="0.2">
      <c r="I23975" s="137" t="s">
        <v>74</v>
      </c>
    </row>
    <row r="23976" spans="9:9" x14ac:dyDescent="0.2">
      <c r="I23976" s="137" t="s">
        <v>74</v>
      </c>
    </row>
    <row r="23977" spans="9:9" x14ac:dyDescent="0.2">
      <c r="I23977" s="137" t="s">
        <v>74</v>
      </c>
    </row>
    <row r="23978" spans="9:9" x14ac:dyDescent="0.2">
      <c r="I23978" s="137" t="s">
        <v>74</v>
      </c>
    </row>
    <row r="23979" spans="9:9" x14ac:dyDescent="0.2">
      <c r="I23979" s="137" t="s">
        <v>74</v>
      </c>
    </row>
    <row r="23980" spans="9:9" x14ac:dyDescent="0.2">
      <c r="I23980" s="137" t="s">
        <v>74</v>
      </c>
    </row>
    <row r="23981" spans="9:9" x14ac:dyDescent="0.2">
      <c r="I23981" s="137" t="s">
        <v>74</v>
      </c>
    </row>
    <row r="23982" spans="9:9" x14ac:dyDescent="0.2">
      <c r="I23982" s="137" t="s">
        <v>74</v>
      </c>
    </row>
    <row r="23983" spans="9:9" x14ac:dyDescent="0.2">
      <c r="I23983" s="137" t="s">
        <v>74</v>
      </c>
    </row>
    <row r="23984" spans="9:9" x14ac:dyDescent="0.2">
      <c r="I23984" s="137" t="s">
        <v>74</v>
      </c>
    </row>
    <row r="23985" spans="9:9" x14ac:dyDescent="0.2">
      <c r="I23985" s="137" t="s">
        <v>74</v>
      </c>
    </row>
    <row r="23986" spans="9:9" x14ac:dyDescent="0.2">
      <c r="I23986" s="137" t="s">
        <v>74</v>
      </c>
    </row>
    <row r="23987" spans="9:9" x14ac:dyDescent="0.2">
      <c r="I23987" s="137" t="s">
        <v>74</v>
      </c>
    </row>
    <row r="23988" spans="9:9" x14ac:dyDescent="0.2">
      <c r="I23988" s="137" t="s">
        <v>74</v>
      </c>
    </row>
    <row r="23989" spans="9:9" x14ac:dyDescent="0.2">
      <c r="I23989" s="137" t="s">
        <v>74</v>
      </c>
    </row>
    <row r="23990" spans="9:9" x14ac:dyDescent="0.2">
      <c r="I23990" s="137" t="s">
        <v>74</v>
      </c>
    </row>
    <row r="23991" spans="9:9" x14ac:dyDescent="0.2">
      <c r="I23991" s="137" t="s">
        <v>74</v>
      </c>
    </row>
    <row r="23992" spans="9:9" x14ac:dyDescent="0.2">
      <c r="I23992" s="137" t="s">
        <v>74</v>
      </c>
    </row>
    <row r="23993" spans="9:9" x14ac:dyDescent="0.2">
      <c r="I23993" s="137" t="s">
        <v>74</v>
      </c>
    </row>
    <row r="23994" spans="9:9" x14ac:dyDescent="0.2">
      <c r="I23994" s="137" t="s">
        <v>74</v>
      </c>
    </row>
    <row r="23995" spans="9:9" x14ac:dyDescent="0.2">
      <c r="I23995" s="137" t="s">
        <v>74</v>
      </c>
    </row>
    <row r="23996" spans="9:9" x14ac:dyDescent="0.2">
      <c r="I23996" s="137" t="s">
        <v>74</v>
      </c>
    </row>
    <row r="23997" spans="9:9" x14ac:dyDescent="0.2">
      <c r="I23997" s="137" t="s">
        <v>74</v>
      </c>
    </row>
    <row r="23998" spans="9:9" x14ac:dyDescent="0.2">
      <c r="I23998" s="137" t="s">
        <v>74</v>
      </c>
    </row>
    <row r="23999" spans="9:9" x14ac:dyDescent="0.2">
      <c r="I23999" s="137" t="s">
        <v>74</v>
      </c>
    </row>
    <row r="24000" spans="9:9" x14ac:dyDescent="0.2">
      <c r="I24000" s="137" t="s">
        <v>74</v>
      </c>
    </row>
    <row r="24001" spans="9:9" x14ac:dyDescent="0.2">
      <c r="I24001" s="137" t="s">
        <v>74</v>
      </c>
    </row>
    <row r="24002" spans="9:9" x14ac:dyDescent="0.2">
      <c r="I24002" s="137" t="s">
        <v>74</v>
      </c>
    </row>
    <row r="24003" spans="9:9" x14ac:dyDescent="0.2">
      <c r="I24003" s="137" t="s">
        <v>74</v>
      </c>
    </row>
    <row r="24004" spans="9:9" x14ac:dyDescent="0.2">
      <c r="I24004" s="137" t="s">
        <v>74</v>
      </c>
    </row>
    <row r="24005" spans="9:9" x14ac:dyDescent="0.2">
      <c r="I24005" s="137" t="s">
        <v>74</v>
      </c>
    </row>
    <row r="24006" spans="9:9" x14ac:dyDescent="0.2">
      <c r="I24006" s="137" t="s">
        <v>74</v>
      </c>
    </row>
    <row r="24007" spans="9:9" x14ac:dyDescent="0.2">
      <c r="I24007" s="137" t="s">
        <v>74</v>
      </c>
    </row>
    <row r="24008" spans="9:9" x14ac:dyDescent="0.2">
      <c r="I24008" s="137" t="s">
        <v>74</v>
      </c>
    </row>
    <row r="24009" spans="9:9" x14ac:dyDescent="0.2">
      <c r="I24009" s="137" t="s">
        <v>74</v>
      </c>
    </row>
    <row r="24010" spans="9:9" x14ac:dyDescent="0.2">
      <c r="I24010" s="137" t="s">
        <v>74</v>
      </c>
    </row>
    <row r="24011" spans="9:9" x14ac:dyDescent="0.2">
      <c r="I24011" s="137" t="s">
        <v>74</v>
      </c>
    </row>
    <row r="24012" spans="9:9" x14ac:dyDescent="0.2">
      <c r="I24012" s="137" t="s">
        <v>74</v>
      </c>
    </row>
    <row r="24013" spans="9:9" x14ac:dyDescent="0.2">
      <c r="I24013" s="137" t="s">
        <v>74</v>
      </c>
    </row>
    <row r="24014" spans="9:9" x14ac:dyDescent="0.2">
      <c r="I24014" s="137" t="s">
        <v>74</v>
      </c>
    </row>
    <row r="24015" spans="9:9" x14ac:dyDescent="0.2">
      <c r="I24015" s="137" t="s">
        <v>74</v>
      </c>
    </row>
    <row r="24016" spans="9:9" x14ac:dyDescent="0.2">
      <c r="I24016" s="137" t="s">
        <v>74</v>
      </c>
    </row>
    <row r="24017" spans="9:9" x14ac:dyDescent="0.2">
      <c r="I24017" s="137" t="s">
        <v>74</v>
      </c>
    </row>
    <row r="24018" spans="9:9" x14ac:dyDescent="0.2">
      <c r="I24018" s="137" t="s">
        <v>74</v>
      </c>
    </row>
    <row r="24019" spans="9:9" x14ac:dyDescent="0.2">
      <c r="I24019" s="137" t="s">
        <v>74</v>
      </c>
    </row>
    <row r="24020" spans="9:9" x14ac:dyDescent="0.2">
      <c r="I24020" s="137" t="s">
        <v>74</v>
      </c>
    </row>
    <row r="24021" spans="9:9" x14ac:dyDescent="0.2">
      <c r="I24021" s="137" t="s">
        <v>74</v>
      </c>
    </row>
    <row r="24022" spans="9:9" x14ac:dyDescent="0.2">
      <c r="I24022" s="137" t="s">
        <v>74</v>
      </c>
    </row>
    <row r="24023" spans="9:9" x14ac:dyDescent="0.2">
      <c r="I24023" s="137" t="s">
        <v>74</v>
      </c>
    </row>
    <row r="24024" spans="9:9" x14ac:dyDescent="0.2">
      <c r="I24024" s="137" t="s">
        <v>74</v>
      </c>
    </row>
    <row r="24025" spans="9:9" x14ac:dyDescent="0.2">
      <c r="I24025" s="137" t="s">
        <v>74</v>
      </c>
    </row>
    <row r="24026" spans="9:9" x14ac:dyDescent="0.2">
      <c r="I24026" s="137" t="s">
        <v>74</v>
      </c>
    </row>
    <row r="24027" spans="9:9" x14ac:dyDescent="0.2">
      <c r="I24027" s="137" t="s">
        <v>74</v>
      </c>
    </row>
    <row r="24028" spans="9:9" x14ac:dyDescent="0.2">
      <c r="I24028" s="137" t="s">
        <v>74</v>
      </c>
    </row>
    <row r="24029" spans="9:9" x14ac:dyDescent="0.2">
      <c r="I24029" s="137" t="s">
        <v>74</v>
      </c>
    </row>
    <row r="24030" spans="9:9" x14ac:dyDescent="0.2">
      <c r="I24030" s="137" t="s">
        <v>74</v>
      </c>
    </row>
    <row r="24031" spans="9:9" x14ac:dyDescent="0.2">
      <c r="I24031" s="137" t="s">
        <v>74</v>
      </c>
    </row>
    <row r="24032" spans="9:9" x14ac:dyDescent="0.2">
      <c r="I24032" s="137" t="s">
        <v>74</v>
      </c>
    </row>
    <row r="24033" spans="9:9" x14ac:dyDescent="0.2">
      <c r="I24033" s="137" t="s">
        <v>74</v>
      </c>
    </row>
    <row r="24034" spans="9:9" x14ac:dyDescent="0.2">
      <c r="I24034" s="137" t="s">
        <v>74</v>
      </c>
    </row>
    <row r="24035" spans="9:9" x14ac:dyDescent="0.2">
      <c r="I24035" s="137" t="s">
        <v>74</v>
      </c>
    </row>
    <row r="24036" spans="9:9" x14ac:dyDescent="0.2">
      <c r="I24036" s="137" t="s">
        <v>74</v>
      </c>
    </row>
    <row r="24037" spans="9:9" x14ac:dyDescent="0.2">
      <c r="I24037" s="137" t="s">
        <v>74</v>
      </c>
    </row>
    <row r="24038" spans="9:9" x14ac:dyDescent="0.2">
      <c r="I24038" s="137" t="s">
        <v>74</v>
      </c>
    </row>
    <row r="24039" spans="9:9" x14ac:dyDescent="0.2">
      <c r="I24039" s="137" t="s">
        <v>74</v>
      </c>
    </row>
    <row r="24040" spans="9:9" x14ac:dyDescent="0.2">
      <c r="I24040" s="137" t="s">
        <v>74</v>
      </c>
    </row>
    <row r="24041" spans="9:9" x14ac:dyDescent="0.2">
      <c r="I24041" s="137" t="s">
        <v>74</v>
      </c>
    </row>
    <row r="24042" spans="9:9" x14ac:dyDescent="0.2">
      <c r="I24042" s="137" t="s">
        <v>74</v>
      </c>
    </row>
    <row r="24043" spans="9:9" x14ac:dyDescent="0.2">
      <c r="I24043" s="137" t="s">
        <v>74</v>
      </c>
    </row>
    <row r="24044" spans="9:9" x14ac:dyDescent="0.2">
      <c r="I24044" s="137" t="s">
        <v>74</v>
      </c>
    </row>
    <row r="24045" spans="9:9" x14ac:dyDescent="0.2">
      <c r="I24045" s="137" t="s">
        <v>74</v>
      </c>
    </row>
    <row r="24046" spans="9:9" x14ac:dyDescent="0.2">
      <c r="I24046" s="137" t="s">
        <v>74</v>
      </c>
    </row>
    <row r="24047" spans="9:9" x14ac:dyDescent="0.2">
      <c r="I24047" s="137" t="s">
        <v>74</v>
      </c>
    </row>
    <row r="24048" spans="9:9" x14ac:dyDescent="0.2">
      <c r="I24048" s="137" t="s">
        <v>74</v>
      </c>
    </row>
    <row r="24049" spans="9:9" x14ac:dyDescent="0.2">
      <c r="I24049" s="137" t="s">
        <v>74</v>
      </c>
    </row>
    <row r="24050" spans="9:9" x14ac:dyDescent="0.2">
      <c r="I24050" s="137" t="s">
        <v>74</v>
      </c>
    </row>
    <row r="24051" spans="9:9" x14ac:dyDescent="0.2">
      <c r="I24051" s="137" t="s">
        <v>74</v>
      </c>
    </row>
    <row r="24052" spans="9:9" x14ac:dyDescent="0.2">
      <c r="I24052" s="137" t="s">
        <v>74</v>
      </c>
    </row>
    <row r="24053" spans="9:9" x14ac:dyDescent="0.2">
      <c r="I24053" s="137" t="s">
        <v>74</v>
      </c>
    </row>
    <row r="24054" spans="9:9" x14ac:dyDescent="0.2">
      <c r="I24054" s="137" t="s">
        <v>74</v>
      </c>
    </row>
    <row r="24055" spans="9:9" x14ac:dyDescent="0.2">
      <c r="I24055" s="137" t="s">
        <v>74</v>
      </c>
    </row>
    <row r="24056" spans="9:9" x14ac:dyDescent="0.2">
      <c r="I24056" s="137" t="s">
        <v>74</v>
      </c>
    </row>
    <row r="24057" spans="9:9" x14ac:dyDescent="0.2">
      <c r="I24057" s="137" t="s">
        <v>74</v>
      </c>
    </row>
    <row r="24058" spans="9:9" x14ac:dyDescent="0.2">
      <c r="I24058" s="137" t="s">
        <v>74</v>
      </c>
    </row>
    <row r="24059" spans="9:9" x14ac:dyDescent="0.2">
      <c r="I24059" s="137" t="s">
        <v>74</v>
      </c>
    </row>
    <row r="24060" spans="9:9" x14ac:dyDescent="0.2">
      <c r="I24060" s="137" t="s">
        <v>74</v>
      </c>
    </row>
    <row r="24061" spans="9:9" x14ac:dyDescent="0.2">
      <c r="I24061" s="137" t="s">
        <v>74</v>
      </c>
    </row>
    <row r="24062" spans="9:9" x14ac:dyDescent="0.2">
      <c r="I24062" s="137" t="s">
        <v>74</v>
      </c>
    </row>
    <row r="24063" spans="9:9" x14ac:dyDescent="0.2">
      <c r="I24063" s="137" t="s">
        <v>74</v>
      </c>
    </row>
    <row r="24064" spans="9:9" x14ac:dyDescent="0.2">
      <c r="I24064" s="137" t="s">
        <v>74</v>
      </c>
    </row>
    <row r="24065" spans="9:9" x14ac:dyDescent="0.2">
      <c r="I24065" s="137" t="s">
        <v>74</v>
      </c>
    </row>
    <row r="24066" spans="9:9" x14ac:dyDescent="0.2">
      <c r="I24066" s="137" t="s">
        <v>74</v>
      </c>
    </row>
    <row r="24067" spans="9:9" x14ac:dyDescent="0.2">
      <c r="I24067" s="137" t="s">
        <v>74</v>
      </c>
    </row>
    <row r="24068" spans="9:9" x14ac:dyDescent="0.2">
      <c r="I24068" s="137" t="s">
        <v>74</v>
      </c>
    </row>
    <row r="24069" spans="9:9" x14ac:dyDescent="0.2">
      <c r="I24069" s="137" t="s">
        <v>74</v>
      </c>
    </row>
    <row r="24070" spans="9:9" x14ac:dyDescent="0.2">
      <c r="I24070" s="137" t="s">
        <v>74</v>
      </c>
    </row>
    <row r="24071" spans="9:9" x14ac:dyDescent="0.2">
      <c r="I24071" s="137" t="s">
        <v>74</v>
      </c>
    </row>
    <row r="24072" spans="9:9" x14ac:dyDescent="0.2">
      <c r="I24072" s="137" t="s">
        <v>74</v>
      </c>
    </row>
    <row r="24073" spans="9:9" x14ac:dyDescent="0.2">
      <c r="I24073" s="137" t="s">
        <v>74</v>
      </c>
    </row>
    <row r="24074" spans="9:9" x14ac:dyDescent="0.2">
      <c r="I24074" s="137" t="s">
        <v>74</v>
      </c>
    </row>
    <row r="24075" spans="9:9" x14ac:dyDescent="0.2">
      <c r="I24075" s="137" t="s">
        <v>74</v>
      </c>
    </row>
    <row r="24076" spans="9:9" x14ac:dyDescent="0.2">
      <c r="I24076" s="137" t="s">
        <v>74</v>
      </c>
    </row>
    <row r="24077" spans="9:9" x14ac:dyDescent="0.2">
      <c r="I24077" s="137" t="s">
        <v>74</v>
      </c>
    </row>
    <row r="24078" spans="9:9" x14ac:dyDescent="0.2">
      <c r="I24078" s="137" t="s">
        <v>74</v>
      </c>
    </row>
    <row r="24079" spans="9:9" x14ac:dyDescent="0.2">
      <c r="I24079" s="137" t="s">
        <v>74</v>
      </c>
    </row>
    <row r="24080" spans="9:9" x14ac:dyDescent="0.2">
      <c r="I24080" s="137" t="s">
        <v>74</v>
      </c>
    </row>
    <row r="24081" spans="9:9" x14ac:dyDescent="0.2">
      <c r="I24081" s="137" t="s">
        <v>74</v>
      </c>
    </row>
    <row r="24082" spans="9:9" x14ac:dyDescent="0.2">
      <c r="I24082" s="137" t="s">
        <v>74</v>
      </c>
    </row>
    <row r="24083" spans="9:9" x14ac:dyDescent="0.2">
      <c r="I24083" s="137" t="s">
        <v>74</v>
      </c>
    </row>
    <row r="24084" spans="9:9" x14ac:dyDescent="0.2">
      <c r="I24084" s="137" t="s">
        <v>74</v>
      </c>
    </row>
    <row r="24085" spans="9:9" x14ac:dyDescent="0.2">
      <c r="I24085" s="137" t="s">
        <v>74</v>
      </c>
    </row>
    <row r="24086" spans="9:9" x14ac:dyDescent="0.2">
      <c r="I24086" s="137" t="s">
        <v>74</v>
      </c>
    </row>
    <row r="24087" spans="9:9" x14ac:dyDescent="0.2">
      <c r="I24087" s="137" t="s">
        <v>74</v>
      </c>
    </row>
    <row r="24088" spans="9:9" x14ac:dyDescent="0.2">
      <c r="I24088" s="137" t="s">
        <v>74</v>
      </c>
    </row>
    <row r="24089" spans="9:9" x14ac:dyDescent="0.2">
      <c r="I24089" s="137" t="s">
        <v>74</v>
      </c>
    </row>
    <row r="24090" spans="9:9" x14ac:dyDescent="0.2">
      <c r="I24090" s="137" t="s">
        <v>74</v>
      </c>
    </row>
    <row r="24091" spans="9:9" x14ac:dyDescent="0.2">
      <c r="I24091" s="137" t="s">
        <v>74</v>
      </c>
    </row>
    <row r="24092" spans="9:9" x14ac:dyDescent="0.2">
      <c r="I24092" s="137" t="s">
        <v>74</v>
      </c>
    </row>
    <row r="24093" spans="9:9" x14ac:dyDescent="0.2">
      <c r="I24093" s="137" t="s">
        <v>74</v>
      </c>
    </row>
    <row r="24094" spans="9:9" x14ac:dyDescent="0.2">
      <c r="I24094" s="137" t="s">
        <v>74</v>
      </c>
    </row>
    <row r="24095" spans="9:9" x14ac:dyDescent="0.2">
      <c r="I24095" s="137" t="s">
        <v>74</v>
      </c>
    </row>
    <row r="24096" spans="9:9" x14ac:dyDescent="0.2">
      <c r="I24096" s="137" t="s">
        <v>74</v>
      </c>
    </row>
    <row r="24097" spans="9:9" x14ac:dyDescent="0.2">
      <c r="I24097" s="137" t="s">
        <v>74</v>
      </c>
    </row>
    <row r="24098" spans="9:9" x14ac:dyDescent="0.2">
      <c r="I24098" s="137" t="s">
        <v>74</v>
      </c>
    </row>
    <row r="24099" spans="9:9" x14ac:dyDescent="0.2">
      <c r="I24099" s="137" t="s">
        <v>74</v>
      </c>
    </row>
    <row r="24100" spans="9:9" x14ac:dyDescent="0.2">
      <c r="I24100" s="137" t="s">
        <v>74</v>
      </c>
    </row>
    <row r="24101" spans="9:9" x14ac:dyDescent="0.2">
      <c r="I24101" s="137" t="s">
        <v>74</v>
      </c>
    </row>
    <row r="24102" spans="9:9" x14ac:dyDescent="0.2">
      <c r="I24102" s="137" t="s">
        <v>74</v>
      </c>
    </row>
    <row r="24103" spans="9:9" x14ac:dyDescent="0.2">
      <c r="I24103" s="137" t="s">
        <v>74</v>
      </c>
    </row>
    <row r="24104" spans="9:9" x14ac:dyDescent="0.2">
      <c r="I24104" s="137" t="s">
        <v>74</v>
      </c>
    </row>
    <row r="24105" spans="9:9" x14ac:dyDescent="0.2">
      <c r="I24105" s="137" t="s">
        <v>74</v>
      </c>
    </row>
    <row r="24106" spans="9:9" x14ac:dyDescent="0.2">
      <c r="I24106" s="137" t="s">
        <v>74</v>
      </c>
    </row>
    <row r="24107" spans="9:9" x14ac:dyDescent="0.2">
      <c r="I24107" s="137" t="s">
        <v>74</v>
      </c>
    </row>
    <row r="24108" spans="9:9" x14ac:dyDescent="0.2">
      <c r="I24108" s="137" t="s">
        <v>74</v>
      </c>
    </row>
    <row r="24109" spans="9:9" x14ac:dyDescent="0.2">
      <c r="I24109" s="137" t="s">
        <v>74</v>
      </c>
    </row>
    <row r="24110" spans="9:9" x14ac:dyDescent="0.2">
      <c r="I24110" s="137" t="s">
        <v>74</v>
      </c>
    </row>
    <row r="24111" spans="9:9" x14ac:dyDescent="0.2">
      <c r="I24111" s="137" t="s">
        <v>74</v>
      </c>
    </row>
    <row r="24112" spans="9:9" x14ac:dyDescent="0.2">
      <c r="I24112" s="137" t="s">
        <v>74</v>
      </c>
    </row>
    <row r="24113" spans="9:9" x14ac:dyDescent="0.2">
      <c r="I24113" s="137" t="s">
        <v>74</v>
      </c>
    </row>
    <row r="24114" spans="9:9" x14ac:dyDescent="0.2">
      <c r="I24114" s="137" t="s">
        <v>74</v>
      </c>
    </row>
    <row r="24115" spans="9:9" x14ac:dyDescent="0.2">
      <c r="I24115" s="137" t="s">
        <v>74</v>
      </c>
    </row>
    <row r="24116" spans="9:9" x14ac:dyDescent="0.2">
      <c r="I24116" s="137" t="s">
        <v>74</v>
      </c>
    </row>
    <row r="24117" spans="9:9" x14ac:dyDescent="0.2">
      <c r="I24117" s="137" t="s">
        <v>74</v>
      </c>
    </row>
    <row r="24118" spans="9:9" x14ac:dyDescent="0.2">
      <c r="I24118" s="137" t="s">
        <v>74</v>
      </c>
    </row>
    <row r="24119" spans="9:9" x14ac:dyDescent="0.2">
      <c r="I24119" s="137" t="s">
        <v>74</v>
      </c>
    </row>
    <row r="24120" spans="9:9" x14ac:dyDescent="0.2">
      <c r="I24120" s="137" t="s">
        <v>74</v>
      </c>
    </row>
    <row r="24121" spans="9:9" x14ac:dyDescent="0.2">
      <c r="I24121" s="137" t="s">
        <v>74</v>
      </c>
    </row>
    <row r="24122" spans="9:9" x14ac:dyDescent="0.2">
      <c r="I24122" s="137" t="s">
        <v>74</v>
      </c>
    </row>
    <row r="24123" spans="9:9" x14ac:dyDescent="0.2">
      <c r="I24123" s="137" t="s">
        <v>74</v>
      </c>
    </row>
    <row r="24124" spans="9:9" x14ac:dyDescent="0.2">
      <c r="I24124" s="137" t="s">
        <v>74</v>
      </c>
    </row>
    <row r="24125" spans="9:9" x14ac:dyDescent="0.2">
      <c r="I24125" s="137" t="s">
        <v>74</v>
      </c>
    </row>
    <row r="24126" spans="9:9" x14ac:dyDescent="0.2">
      <c r="I24126" s="137" t="s">
        <v>74</v>
      </c>
    </row>
    <row r="24127" spans="9:9" x14ac:dyDescent="0.2">
      <c r="I24127" s="137" t="s">
        <v>74</v>
      </c>
    </row>
    <row r="24128" spans="9:9" x14ac:dyDescent="0.2">
      <c r="I24128" s="137" t="s">
        <v>74</v>
      </c>
    </row>
    <row r="24129" spans="9:9" x14ac:dyDescent="0.2">
      <c r="I24129" s="137" t="s">
        <v>74</v>
      </c>
    </row>
    <row r="24130" spans="9:9" x14ac:dyDescent="0.2">
      <c r="I24130" s="137" t="s">
        <v>74</v>
      </c>
    </row>
    <row r="24131" spans="9:9" x14ac:dyDescent="0.2">
      <c r="I24131" s="137" t="s">
        <v>74</v>
      </c>
    </row>
    <row r="24132" spans="9:9" x14ac:dyDescent="0.2">
      <c r="I24132" s="137" t="s">
        <v>74</v>
      </c>
    </row>
    <row r="24133" spans="9:9" x14ac:dyDescent="0.2">
      <c r="I24133" s="137" t="s">
        <v>74</v>
      </c>
    </row>
    <row r="24134" spans="9:9" x14ac:dyDescent="0.2">
      <c r="I24134" s="137" t="s">
        <v>74</v>
      </c>
    </row>
    <row r="24135" spans="9:9" x14ac:dyDescent="0.2">
      <c r="I24135" s="137" t="s">
        <v>74</v>
      </c>
    </row>
    <row r="24136" spans="9:9" x14ac:dyDescent="0.2">
      <c r="I24136" s="137" t="s">
        <v>74</v>
      </c>
    </row>
    <row r="24137" spans="9:9" x14ac:dyDescent="0.2">
      <c r="I24137" s="137" t="s">
        <v>74</v>
      </c>
    </row>
    <row r="24138" spans="9:9" x14ac:dyDescent="0.2">
      <c r="I24138" s="137" t="s">
        <v>74</v>
      </c>
    </row>
    <row r="24139" spans="9:9" x14ac:dyDescent="0.2">
      <c r="I24139" s="137" t="s">
        <v>74</v>
      </c>
    </row>
    <row r="24140" spans="9:9" x14ac:dyDescent="0.2">
      <c r="I24140" s="137" t="s">
        <v>74</v>
      </c>
    </row>
    <row r="24141" spans="9:9" x14ac:dyDescent="0.2">
      <c r="I24141" s="137" t="s">
        <v>74</v>
      </c>
    </row>
    <row r="24142" spans="9:9" x14ac:dyDescent="0.2">
      <c r="I24142" s="137" t="s">
        <v>74</v>
      </c>
    </row>
    <row r="24143" spans="9:9" x14ac:dyDescent="0.2">
      <c r="I24143" s="137" t="s">
        <v>74</v>
      </c>
    </row>
    <row r="24144" spans="9:9" x14ac:dyDescent="0.2">
      <c r="I24144" s="137" t="s">
        <v>74</v>
      </c>
    </row>
    <row r="24145" spans="9:9" x14ac:dyDescent="0.2">
      <c r="I24145" s="137" t="s">
        <v>74</v>
      </c>
    </row>
    <row r="24146" spans="9:9" x14ac:dyDescent="0.2">
      <c r="I24146" s="137" t="s">
        <v>74</v>
      </c>
    </row>
    <row r="24147" spans="9:9" x14ac:dyDescent="0.2">
      <c r="I24147" s="137" t="s">
        <v>74</v>
      </c>
    </row>
    <row r="24148" spans="9:9" x14ac:dyDescent="0.2">
      <c r="I24148" s="137" t="s">
        <v>74</v>
      </c>
    </row>
    <row r="24149" spans="9:9" x14ac:dyDescent="0.2">
      <c r="I24149" s="137" t="s">
        <v>74</v>
      </c>
    </row>
    <row r="24150" spans="9:9" x14ac:dyDescent="0.2">
      <c r="I24150" s="137" t="s">
        <v>74</v>
      </c>
    </row>
    <row r="24151" spans="9:9" x14ac:dyDescent="0.2">
      <c r="I24151" s="137" t="s">
        <v>74</v>
      </c>
    </row>
    <row r="24152" spans="9:9" x14ac:dyDescent="0.2">
      <c r="I24152" s="137" t="s">
        <v>74</v>
      </c>
    </row>
    <row r="24153" spans="9:9" x14ac:dyDescent="0.2">
      <c r="I24153" s="137" t="s">
        <v>74</v>
      </c>
    </row>
    <row r="24154" spans="9:9" x14ac:dyDescent="0.2">
      <c r="I24154" s="137" t="s">
        <v>74</v>
      </c>
    </row>
    <row r="24155" spans="9:9" x14ac:dyDescent="0.2">
      <c r="I24155" s="137" t="s">
        <v>74</v>
      </c>
    </row>
    <row r="24156" spans="9:9" x14ac:dyDescent="0.2">
      <c r="I24156" s="137" t="s">
        <v>74</v>
      </c>
    </row>
    <row r="24157" spans="9:9" x14ac:dyDescent="0.2">
      <c r="I24157" s="137" t="s">
        <v>74</v>
      </c>
    </row>
    <row r="24158" spans="9:9" x14ac:dyDescent="0.2">
      <c r="I24158" s="137" t="s">
        <v>74</v>
      </c>
    </row>
    <row r="24159" spans="9:9" x14ac:dyDescent="0.2">
      <c r="I24159" s="137" t="s">
        <v>74</v>
      </c>
    </row>
    <row r="24160" spans="9:9" x14ac:dyDescent="0.2">
      <c r="I24160" s="137" t="s">
        <v>74</v>
      </c>
    </row>
    <row r="24161" spans="9:9" x14ac:dyDescent="0.2">
      <c r="I24161" s="137" t="s">
        <v>74</v>
      </c>
    </row>
    <row r="24162" spans="9:9" x14ac:dyDescent="0.2">
      <c r="I24162" s="137" t="s">
        <v>74</v>
      </c>
    </row>
    <row r="24163" spans="9:9" x14ac:dyDescent="0.2">
      <c r="I24163" s="137" t="s">
        <v>74</v>
      </c>
    </row>
    <row r="24164" spans="9:9" x14ac:dyDescent="0.2">
      <c r="I24164" s="137" t="s">
        <v>74</v>
      </c>
    </row>
    <row r="24165" spans="9:9" x14ac:dyDescent="0.2">
      <c r="I24165" s="137" t="s">
        <v>74</v>
      </c>
    </row>
    <row r="24166" spans="9:9" x14ac:dyDescent="0.2">
      <c r="I24166" s="137" t="s">
        <v>74</v>
      </c>
    </row>
    <row r="24167" spans="9:9" x14ac:dyDescent="0.2">
      <c r="I24167" s="137" t="s">
        <v>74</v>
      </c>
    </row>
    <row r="24168" spans="9:9" x14ac:dyDescent="0.2">
      <c r="I24168" s="137" t="s">
        <v>74</v>
      </c>
    </row>
    <row r="24169" spans="9:9" x14ac:dyDescent="0.2">
      <c r="I24169" s="137" t="s">
        <v>74</v>
      </c>
    </row>
    <row r="24170" spans="9:9" x14ac:dyDescent="0.2">
      <c r="I24170" s="137" t="s">
        <v>74</v>
      </c>
    </row>
    <row r="24171" spans="9:9" x14ac:dyDescent="0.2">
      <c r="I24171" s="137" t="s">
        <v>74</v>
      </c>
    </row>
    <row r="24172" spans="9:9" x14ac:dyDescent="0.2">
      <c r="I24172" s="137" t="s">
        <v>74</v>
      </c>
    </row>
    <row r="24173" spans="9:9" x14ac:dyDescent="0.2">
      <c r="I24173" s="137" t="s">
        <v>74</v>
      </c>
    </row>
    <row r="24174" spans="9:9" x14ac:dyDescent="0.2">
      <c r="I24174" s="137" t="s">
        <v>74</v>
      </c>
    </row>
    <row r="24175" spans="9:9" x14ac:dyDescent="0.2">
      <c r="I24175" s="137" t="s">
        <v>74</v>
      </c>
    </row>
    <row r="24176" spans="9:9" x14ac:dyDescent="0.2">
      <c r="I24176" s="137" t="s">
        <v>74</v>
      </c>
    </row>
    <row r="24177" spans="9:9" x14ac:dyDescent="0.2">
      <c r="I24177" s="137" t="s">
        <v>74</v>
      </c>
    </row>
    <row r="24178" spans="9:9" x14ac:dyDescent="0.2">
      <c r="I24178" s="137" t="s">
        <v>74</v>
      </c>
    </row>
    <row r="24179" spans="9:9" x14ac:dyDescent="0.2">
      <c r="I24179" s="137" t="s">
        <v>74</v>
      </c>
    </row>
    <row r="24180" spans="9:9" x14ac:dyDescent="0.2">
      <c r="I24180" s="137" t="s">
        <v>74</v>
      </c>
    </row>
    <row r="24181" spans="9:9" x14ac:dyDescent="0.2">
      <c r="I24181" s="137" t="s">
        <v>74</v>
      </c>
    </row>
    <row r="24182" spans="9:9" x14ac:dyDescent="0.2">
      <c r="I24182" s="137" t="s">
        <v>74</v>
      </c>
    </row>
    <row r="24183" spans="9:9" x14ac:dyDescent="0.2">
      <c r="I24183" s="137" t="s">
        <v>74</v>
      </c>
    </row>
    <row r="24184" spans="9:9" x14ac:dyDescent="0.2">
      <c r="I24184" s="137" t="s">
        <v>74</v>
      </c>
    </row>
    <row r="24185" spans="9:9" x14ac:dyDescent="0.2">
      <c r="I24185" s="137" t="s">
        <v>74</v>
      </c>
    </row>
    <row r="24186" spans="9:9" x14ac:dyDescent="0.2">
      <c r="I24186" s="137" t="s">
        <v>74</v>
      </c>
    </row>
    <row r="24187" spans="9:9" x14ac:dyDescent="0.2">
      <c r="I24187" s="137" t="s">
        <v>74</v>
      </c>
    </row>
    <row r="24188" spans="9:9" x14ac:dyDescent="0.2">
      <c r="I24188" s="137" t="s">
        <v>74</v>
      </c>
    </row>
    <row r="24189" spans="9:9" x14ac:dyDescent="0.2">
      <c r="I24189" s="137" t="s">
        <v>74</v>
      </c>
    </row>
    <row r="24190" spans="9:9" x14ac:dyDescent="0.2">
      <c r="I24190" s="137" t="s">
        <v>74</v>
      </c>
    </row>
    <row r="24191" spans="9:9" x14ac:dyDescent="0.2">
      <c r="I24191" s="137" t="s">
        <v>74</v>
      </c>
    </row>
    <row r="24192" spans="9:9" x14ac:dyDescent="0.2">
      <c r="I24192" s="137" t="s">
        <v>74</v>
      </c>
    </row>
    <row r="24193" spans="9:9" x14ac:dyDescent="0.2">
      <c r="I24193" s="137" t="s">
        <v>74</v>
      </c>
    </row>
    <row r="24194" spans="9:9" x14ac:dyDescent="0.2">
      <c r="I24194" s="137" t="s">
        <v>74</v>
      </c>
    </row>
    <row r="24195" spans="9:9" x14ac:dyDescent="0.2">
      <c r="I24195" s="137" t="s">
        <v>74</v>
      </c>
    </row>
    <row r="24196" spans="9:9" x14ac:dyDescent="0.2">
      <c r="I24196" s="137" t="s">
        <v>74</v>
      </c>
    </row>
    <row r="24197" spans="9:9" x14ac:dyDescent="0.2">
      <c r="I24197" s="137" t="s">
        <v>74</v>
      </c>
    </row>
    <row r="24198" spans="9:9" x14ac:dyDescent="0.2">
      <c r="I24198" s="137" t="s">
        <v>74</v>
      </c>
    </row>
    <row r="24199" spans="9:9" x14ac:dyDescent="0.2">
      <c r="I24199" s="137" t="s">
        <v>74</v>
      </c>
    </row>
    <row r="24200" spans="9:9" x14ac:dyDescent="0.2">
      <c r="I24200" s="137" t="s">
        <v>74</v>
      </c>
    </row>
    <row r="24201" spans="9:9" x14ac:dyDescent="0.2">
      <c r="I24201" s="137" t="s">
        <v>74</v>
      </c>
    </row>
    <row r="24202" spans="9:9" x14ac:dyDescent="0.2">
      <c r="I24202" s="137" t="s">
        <v>74</v>
      </c>
    </row>
    <row r="24203" spans="9:9" x14ac:dyDescent="0.2">
      <c r="I24203" s="137" t="s">
        <v>74</v>
      </c>
    </row>
    <row r="24204" spans="9:9" x14ac:dyDescent="0.2">
      <c r="I24204" s="137" t="s">
        <v>74</v>
      </c>
    </row>
    <row r="24205" spans="9:9" x14ac:dyDescent="0.2">
      <c r="I24205" s="137" t="s">
        <v>74</v>
      </c>
    </row>
    <row r="24206" spans="9:9" x14ac:dyDescent="0.2">
      <c r="I24206" s="137" t="s">
        <v>74</v>
      </c>
    </row>
    <row r="24207" spans="9:9" x14ac:dyDescent="0.2">
      <c r="I24207" s="137" t="s">
        <v>74</v>
      </c>
    </row>
    <row r="24208" spans="9:9" x14ac:dyDescent="0.2">
      <c r="I24208" s="137" t="s">
        <v>74</v>
      </c>
    </row>
    <row r="24209" spans="9:9" x14ac:dyDescent="0.2">
      <c r="I24209" s="137" t="s">
        <v>74</v>
      </c>
    </row>
    <row r="24210" spans="9:9" x14ac:dyDescent="0.2">
      <c r="I24210" s="137" t="s">
        <v>74</v>
      </c>
    </row>
    <row r="24211" spans="9:9" x14ac:dyDescent="0.2">
      <c r="I24211" s="137" t="s">
        <v>74</v>
      </c>
    </row>
    <row r="24212" spans="9:9" x14ac:dyDescent="0.2">
      <c r="I24212" s="137" t="s">
        <v>74</v>
      </c>
    </row>
    <row r="24213" spans="9:9" x14ac:dyDescent="0.2">
      <c r="I24213" s="137" t="s">
        <v>74</v>
      </c>
    </row>
    <row r="24214" spans="9:9" x14ac:dyDescent="0.2">
      <c r="I24214" s="137" t="s">
        <v>74</v>
      </c>
    </row>
    <row r="24215" spans="9:9" x14ac:dyDescent="0.2">
      <c r="I24215" s="137" t="s">
        <v>74</v>
      </c>
    </row>
    <row r="24216" spans="9:9" x14ac:dyDescent="0.2">
      <c r="I24216" s="137" t="s">
        <v>74</v>
      </c>
    </row>
    <row r="24217" spans="9:9" x14ac:dyDescent="0.2">
      <c r="I24217" s="137" t="s">
        <v>74</v>
      </c>
    </row>
    <row r="24218" spans="9:9" x14ac:dyDescent="0.2">
      <c r="I24218" s="137" t="s">
        <v>74</v>
      </c>
    </row>
    <row r="24219" spans="9:9" x14ac:dyDescent="0.2">
      <c r="I24219" s="137" t="s">
        <v>74</v>
      </c>
    </row>
    <row r="24220" spans="9:9" x14ac:dyDescent="0.2">
      <c r="I24220" s="137" t="s">
        <v>74</v>
      </c>
    </row>
    <row r="24221" spans="9:9" x14ac:dyDescent="0.2">
      <c r="I24221" s="137" t="s">
        <v>74</v>
      </c>
    </row>
    <row r="24222" spans="9:9" x14ac:dyDescent="0.2">
      <c r="I24222" s="137" t="s">
        <v>74</v>
      </c>
    </row>
    <row r="24223" spans="9:9" x14ac:dyDescent="0.2">
      <c r="I24223" s="137" t="s">
        <v>74</v>
      </c>
    </row>
    <row r="24224" spans="9:9" x14ac:dyDescent="0.2">
      <c r="I24224" s="137" t="s">
        <v>74</v>
      </c>
    </row>
    <row r="24225" spans="9:9" x14ac:dyDescent="0.2">
      <c r="I24225" s="137" t="s">
        <v>74</v>
      </c>
    </row>
    <row r="24226" spans="9:9" x14ac:dyDescent="0.2">
      <c r="I24226" s="137" t="s">
        <v>74</v>
      </c>
    </row>
    <row r="24227" spans="9:9" x14ac:dyDescent="0.2">
      <c r="I24227" s="137" t="s">
        <v>74</v>
      </c>
    </row>
    <row r="24228" spans="9:9" x14ac:dyDescent="0.2">
      <c r="I24228" s="137" t="s">
        <v>74</v>
      </c>
    </row>
    <row r="24229" spans="9:9" x14ac:dyDescent="0.2">
      <c r="I24229" s="137" t="s">
        <v>74</v>
      </c>
    </row>
    <row r="24230" spans="9:9" x14ac:dyDescent="0.2">
      <c r="I24230" s="137" t="s">
        <v>74</v>
      </c>
    </row>
    <row r="24231" spans="9:9" x14ac:dyDescent="0.2">
      <c r="I24231" s="137" t="s">
        <v>74</v>
      </c>
    </row>
    <row r="24232" spans="9:9" x14ac:dyDescent="0.2">
      <c r="I24232" s="137" t="s">
        <v>74</v>
      </c>
    </row>
    <row r="24233" spans="9:9" x14ac:dyDescent="0.2">
      <c r="I24233" s="137" t="s">
        <v>74</v>
      </c>
    </row>
    <row r="24234" spans="9:9" x14ac:dyDescent="0.2">
      <c r="I24234" s="137" t="s">
        <v>74</v>
      </c>
    </row>
    <row r="24235" spans="9:9" x14ac:dyDescent="0.2">
      <c r="I24235" s="137" t="s">
        <v>74</v>
      </c>
    </row>
    <row r="24236" spans="9:9" x14ac:dyDescent="0.2">
      <c r="I24236" s="137" t="s">
        <v>74</v>
      </c>
    </row>
    <row r="24237" spans="9:9" x14ac:dyDescent="0.2">
      <c r="I24237" s="137" t="s">
        <v>74</v>
      </c>
    </row>
    <row r="24238" spans="9:9" x14ac:dyDescent="0.2">
      <c r="I24238" s="137" t="s">
        <v>74</v>
      </c>
    </row>
    <row r="24239" spans="9:9" x14ac:dyDescent="0.2">
      <c r="I24239" s="137" t="s">
        <v>74</v>
      </c>
    </row>
    <row r="24240" spans="9:9" x14ac:dyDescent="0.2">
      <c r="I24240" s="137" t="s">
        <v>74</v>
      </c>
    </row>
    <row r="24241" spans="9:9" x14ac:dyDescent="0.2">
      <c r="I24241" s="137" t="s">
        <v>74</v>
      </c>
    </row>
    <row r="24242" spans="9:9" x14ac:dyDescent="0.2">
      <c r="I24242" s="137" t="s">
        <v>74</v>
      </c>
    </row>
    <row r="24243" spans="9:9" x14ac:dyDescent="0.2">
      <c r="I24243" s="137" t="s">
        <v>74</v>
      </c>
    </row>
    <row r="24244" spans="9:9" x14ac:dyDescent="0.2">
      <c r="I24244" s="137" t="s">
        <v>74</v>
      </c>
    </row>
    <row r="24245" spans="9:9" x14ac:dyDescent="0.2">
      <c r="I24245" s="137" t="s">
        <v>74</v>
      </c>
    </row>
    <row r="24246" spans="9:9" x14ac:dyDescent="0.2">
      <c r="I24246" s="137" t="s">
        <v>74</v>
      </c>
    </row>
    <row r="24247" spans="9:9" x14ac:dyDescent="0.2">
      <c r="I24247" s="137" t="s">
        <v>74</v>
      </c>
    </row>
    <row r="24248" spans="9:9" x14ac:dyDescent="0.2">
      <c r="I24248" s="137" t="s">
        <v>74</v>
      </c>
    </row>
    <row r="24249" spans="9:9" x14ac:dyDescent="0.2">
      <c r="I24249" s="137" t="s">
        <v>74</v>
      </c>
    </row>
    <row r="24250" spans="9:9" x14ac:dyDescent="0.2">
      <c r="I24250" s="137" t="s">
        <v>74</v>
      </c>
    </row>
    <row r="24251" spans="9:9" x14ac:dyDescent="0.2">
      <c r="I24251" s="137" t="s">
        <v>74</v>
      </c>
    </row>
    <row r="24252" spans="9:9" x14ac:dyDescent="0.2">
      <c r="I24252" s="137" t="s">
        <v>74</v>
      </c>
    </row>
    <row r="24253" spans="9:9" x14ac:dyDescent="0.2">
      <c r="I24253" s="137" t="s">
        <v>74</v>
      </c>
    </row>
    <row r="24254" spans="9:9" x14ac:dyDescent="0.2">
      <c r="I24254" s="137" t="s">
        <v>74</v>
      </c>
    </row>
    <row r="24255" spans="9:9" x14ac:dyDescent="0.2">
      <c r="I24255" s="137" t="s">
        <v>74</v>
      </c>
    </row>
    <row r="24256" spans="9:9" x14ac:dyDescent="0.2">
      <c r="I24256" s="137" t="s">
        <v>74</v>
      </c>
    </row>
    <row r="24257" spans="9:9" x14ac:dyDescent="0.2">
      <c r="I24257" s="137" t="s">
        <v>74</v>
      </c>
    </row>
    <row r="24258" spans="9:9" x14ac:dyDescent="0.2">
      <c r="I24258" s="137" t="s">
        <v>74</v>
      </c>
    </row>
    <row r="24259" spans="9:9" x14ac:dyDescent="0.2">
      <c r="I24259" s="137" t="s">
        <v>74</v>
      </c>
    </row>
    <row r="24260" spans="9:9" x14ac:dyDescent="0.2">
      <c r="I24260" s="137" t="s">
        <v>74</v>
      </c>
    </row>
    <row r="24261" spans="9:9" x14ac:dyDescent="0.2">
      <c r="I24261" s="137" t="s">
        <v>74</v>
      </c>
    </row>
    <row r="24262" spans="9:9" x14ac:dyDescent="0.2">
      <c r="I24262" s="137" t="s">
        <v>74</v>
      </c>
    </row>
    <row r="24263" spans="9:9" x14ac:dyDescent="0.2">
      <c r="I24263" s="137" t="s">
        <v>74</v>
      </c>
    </row>
    <row r="24264" spans="9:9" x14ac:dyDescent="0.2">
      <c r="I24264" s="137" t="s">
        <v>74</v>
      </c>
    </row>
    <row r="24265" spans="9:9" x14ac:dyDescent="0.2">
      <c r="I24265" s="137" t="s">
        <v>74</v>
      </c>
    </row>
    <row r="24266" spans="9:9" x14ac:dyDescent="0.2">
      <c r="I24266" s="137" t="s">
        <v>74</v>
      </c>
    </row>
    <row r="24267" spans="9:9" x14ac:dyDescent="0.2">
      <c r="I24267" s="137" t="s">
        <v>74</v>
      </c>
    </row>
    <row r="24268" spans="9:9" x14ac:dyDescent="0.2">
      <c r="I24268" s="137" t="s">
        <v>74</v>
      </c>
    </row>
    <row r="24269" spans="9:9" x14ac:dyDescent="0.2">
      <c r="I24269" s="137" t="s">
        <v>74</v>
      </c>
    </row>
    <row r="24270" spans="9:9" x14ac:dyDescent="0.2">
      <c r="I24270" s="137" t="s">
        <v>74</v>
      </c>
    </row>
    <row r="24271" spans="9:9" x14ac:dyDescent="0.2">
      <c r="I24271" s="137" t="s">
        <v>74</v>
      </c>
    </row>
    <row r="24272" spans="9:9" x14ac:dyDescent="0.2">
      <c r="I24272" s="137" t="s">
        <v>74</v>
      </c>
    </row>
    <row r="24273" spans="9:9" x14ac:dyDescent="0.2">
      <c r="I24273" s="137" t="s">
        <v>74</v>
      </c>
    </row>
    <row r="24274" spans="9:9" x14ac:dyDescent="0.2">
      <c r="I24274" s="137" t="s">
        <v>74</v>
      </c>
    </row>
    <row r="24275" spans="9:9" x14ac:dyDescent="0.2">
      <c r="I24275" s="137" t="s">
        <v>74</v>
      </c>
    </row>
    <row r="24276" spans="9:9" x14ac:dyDescent="0.2">
      <c r="I24276" s="137" t="s">
        <v>74</v>
      </c>
    </row>
    <row r="24277" spans="9:9" x14ac:dyDescent="0.2">
      <c r="I24277" s="137" t="s">
        <v>74</v>
      </c>
    </row>
    <row r="24278" spans="9:9" x14ac:dyDescent="0.2">
      <c r="I24278" s="137" t="s">
        <v>74</v>
      </c>
    </row>
    <row r="24279" spans="9:9" x14ac:dyDescent="0.2">
      <c r="I24279" s="137" t="s">
        <v>74</v>
      </c>
    </row>
    <row r="24280" spans="9:9" x14ac:dyDescent="0.2">
      <c r="I24280" s="137" t="s">
        <v>74</v>
      </c>
    </row>
    <row r="24281" spans="9:9" x14ac:dyDescent="0.2">
      <c r="I24281" s="137" t="s">
        <v>74</v>
      </c>
    </row>
    <row r="24282" spans="9:9" x14ac:dyDescent="0.2">
      <c r="I24282" s="137" t="s">
        <v>74</v>
      </c>
    </row>
    <row r="24283" spans="9:9" x14ac:dyDescent="0.2">
      <c r="I24283" s="137" t="s">
        <v>74</v>
      </c>
    </row>
    <row r="24284" spans="9:9" x14ac:dyDescent="0.2">
      <c r="I24284" s="137" t="s">
        <v>74</v>
      </c>
    </row>
    <row r="24285" spans="9:9" x14ac:dyDescent="0.2">
      <c r="I24285" s="137" t="s">
        <v>74</v>
      </c>
    </row>
    <row r="24286" spans="9:9" x14ac:dyDescent="0.2">
      <c r="I24286" s="137" t="s">
        <v>74</v>
      </c>
    </row>
    <row r="24287" spans="9:9" x14ac:dyDescent="0.2">
      <c r="I24287" s="137" t="s">
        <v>74</v>
      </c>
    </row>
    <row r="24288" spans="9:9" x14ac:dyDescent="0.2">
      <c r="I24288" s="137" t="s">
        <v>74</v>
      </c>
    </row>
    <row r="24289" spans="9:9" x14ac:dyDescent="0.2">
      <c r="I24289" s="137" t="s">
        <v>74</v>
      </c>
    </row>
    <row r="24290" spans="9:9" x14ac:dyDescent="0.2">
      <c r="I24290" s="137" t="s">
        <v>74</v>
      </c>
    </row>
    <row r="24291" spans="9:9" x14ac:dyDescent="0.2">
      <c r="I24291" s="137" t="s">
        <v>74</v>
      </c>
    </row>
    <row r="24292" spans="9:9" x14ac:dyDescent="0.2">
      <c r="I24292" s="137" t="s">
        <v>74</v>
      </c>
    </row>
    <row r="24293" spans="9:9" x14ac:dyDescent="0.2">
      <c r="I24293" s="137" t="s">
        <v>74</v>
      </c>
    </row>
    <row r="24294" spans="9:9" x14ac:dyDescent="0.2">
      <c r="I24294" s="137" t="s">
        <v>74</v>
      </c>
    </row>
    <row r="24295" spans="9:9" x14ac:dyDescent="0.2">
      <c r="I24295" s="137" t="s">
        <v>74</v>
      </c>
    </row>
    <row r="24296" spans="9:9" x14ac:dyDescent="0.2">
      <c r="I24296" s="137" t="s">
        <v>74</v>
      </c>
    </row>
    <row r="24297" spans="9:9" x14ac:dyDescent="0.2">
      <c r="I24297" s="137" t="s">
        <v>74</v>
      </c>
    </row>
    <row r="24298" spans="9:9" x14ac:dyDescent="0.2">
      <c r="I24298" s="137" t="s">
        <v>74</v>
      </c>
    </row>
    <row r="24299" spans="9:9" x14ac:dyDescent="0.2">
      <c r="I24299" s="137" t="s">
        <v>74</v>
      </c>
    </row>
    <row r="24300" spans="9:9" x14ac:dyDescent="0.2">
      <c r="I24300" s="137" t="s">
        <v>74</v>
      </c>
    </row>
    <row r="24301" spans="9:9" x14ac:dyDescent="0.2">
      <c r="I24301" s="137" t="s">
        <v>74</v>
      </c>
    </row>
    <row r="24302" spans="9:9" x14ac:dyDescent="0.2">
      <c r="I24302" s="137" t="s">
        <v>74</v>
      </c>
    </row>
    <row r="24303" spans="9:9" x14ac:dyDescent="0.2">
      <c r="I24303" s="137" t="s">
        <v>74</v>
      </c>
    </row>
    <row r="24304" spans="9:9" x14ac:dyDescent="0.2">
      <c r="I24304" s="137" t="s">
        <v>74</v>
      </c>
    </row>
    <row r="24305" spans="9:9" x14ac:dyDescent="0.2">
      <c r="I24305" s="137" t="s">
        <v>74</v>
      </c>
    </row>
    <row r="24306" spans="9:9" x14ac:dyDescent="0.2">
      <c r="I24306" s="137" t="s">
        <v>74</v>
      </c>
    </row>
    <row r="24307" spans="9:9" x14ac:dyDescent="0.2">
      <c r="I24307" s="137" t="s">
        <v>74</v>
      </c>
    </row>
    <row r="24308" spans="9:9" x14ac:dyDescent="0.2">
      <c r="I24308" s="137" t="s">
        <v>74</v>
      </c>
    </row>
    <row r="24309" spans="9:9" x14ac:dyDescent="0.2">
      <c r="I24309" s="137" t="s">
        <v>74</v>
      </c>
    </row>
    <row r="24310" spans="9:9" x14ac:dyDescent="0.2">
      <c r="I24310" s="137" t="s">
        <v>74</v>
      </c>
    </row>
    <row r="24311" spans="9:9" x14ac:dyDescent="0.2">
      <c r="I24311" s="137" t="s">
        <v>74</v>
      </c>
    </row>
    <row r="24312" spans="9:9" x14ac:dyDescent="0.2">
      <c r="I24312" s="137" t="s">
        <v>74</v>
      </c>
    </row>
    <row r="24313" spans="9:9" x14ac:dyDescent="0.2">
      <c r="I24313" s="137" t="s">
        <v>74</v>
      </c>
    </row>
    <row r="24314" spans="9:9" x14ac:dyDescent="0.2">
      <c r="I24314" s="137" t="s">
        <v>74</v>
      </c>
    </row>
    <row r="24315" spans="9:9" x14ac:dyDescent="0.2">
      <c r="I24315" s="137" t="s">
        <v>74</v>
      </c>
    </row>
    <row r="24316" spans="9:9" x14ac:dyDescent="0.2">
      <c r="I24316" s="137" t="s">
        <v>74</v>
      </c>
    </row>
    <row r="24317" spans="9:9" x14ac:dyDescent="0.2">
      <c r="I24317" s="137" t="s">
        <v>74</v>
      </c>
    </row>
    <row r="24318" spans="9:9" x14ac:dyDescent="0.2">
      <c r="I24318" s="137" t="s">
        <v>74</v>
      </c>
    </row>
    <row r="24319" spans="9:9" x14ac:dyDescent="0.2">
      <c r="I24319" s="137" t="s">
        <v>74</v>
      </c>
    </row>
    <row r="24320" spans="9:9" x14ac:dyDescent="0.2">
      <c r="I24320" s="137" t="s">
        <v>74</v>
      </c>
    </row>
    <row r="24321" spans="9:9" x14ac:dyDescent="0.2">
      <c r="I24321" s="137" t="s">
        <v>74</v>
      </c>
    </row>
    <row r="24322" spans="9:9" x14ac:dyDescent="0.2">
      <c r="I24322" s="137" t="s">
        <v>74</v>
      </c>
    </row>
    <row r="24323" spans="9:9" x14ac:dyDescent="0.2">
      <c r="I24323" s="137" t="s">
        <v>74</v>
      </c>
    </row>
    <row r="24324" spans="9:9" x14ac:dyDescent="0.2">
      <c r="I24324" s="137" t="s">
        <v>74</v>
      </c>
    </row>
    <row r="24325" spans="9:9" x14ac:dyDescent="0.2">
      <c r="I24325" s="137" t="s">
        <v>74</v>
      </c>
    </row>
    <row r="24326" spans="9:9" x14ac:dyDescent="0.2">
      <c r="I24326" s="137" t="s">
        <v>74</v>
      </c>
    </row>
    <row r="24327" spans="9:9" x14ac:dyDescent="0.2">
      <c r="I24327" s="137" t="s">
        <v>74</v>
      </c>
    </row>
    <row r="24328" spans="9:9" x14ac:dyDescent="0.2">
      <c r="I24328" s="137" t="s">
        <v>74</v>
      </c>
    </row>
    <row r="24329" spans="9:9" x14ac:dyDescent="0.2">
      <c r="I24329" s="137" t="s">
        <v>74</v>
      </c>
    </row>
    <row r="24330" spans="9:9" x14ac:dyDescent="0.2">
      <c r="I24330" s="137" t="s">
        <v>74</v>
      </c>
    </row>
    <row r="24331" spans="9:9" x14ac:dyDescent="0.2">
      <c r="I24331" s="137" t="s">
        <v>74</v>
      </c>
    </row>
    <row r="24332" spans="9:9" x14ac:dyDescent="0.2">
      <c r="I24332" s="137" t="s">
        <v>74</v>
      </c>
    </row>
    <row r="24333" spans="9:9" x14ac:dyDescent="0.2">
      <c r="I24333" s="137" t="s">
        <v>74</v>
      </c>
    </row>
    <row r="24334" spans="9:9" x14ac:dyDescent="0.2">
      <c r="I24334" s="137" t="s">
        <v>74</v>
      </c>
    </row>
    <row r="24335" spans="9:9" x14ac:dyDescent="0.2">
      <c r="I24335" s="137" t="s">
        <v>74</v>
      </c>
    </row>
    <row r="24336" spans="9:9" x14ac:dyDescent="0.2">
      <c r="I24336" s="137" t="s">
        <v>74</v>
      </c>
    </row>
    <row r="24337" spans="9:9" x14ac:dyDescent="0.2">
      <c r="I24337" s="137" t="s">
        <v>74</v>
      </c>
    </row>
    <row r="24338" spans="9:9" x14ac:dyDescent="0.2">
      <c r="I24338" s="137" t="s">
        <v>74</v>
      </c>
    </row>
    <row r="24339" spans="9:9" x14ac:dyDescent="0.2">
      <c r="I24339" s="137" t="s">
        <v>74</v>
      </c>
    </row>
    <row r="24340" spans="9:9" x14ac:dyDescent="0.2">
      <c r="I24340" s="137" t="s">
        <v>74</v>
      </c>
    </row>
    <row r="24341" spans="9:9" x14ac:dyDescent="0.2">
      <c r="I24341" s="137" t="s">
        <v>74</v>
      </c>
    </row>
    <row r="24342" spans="9:9" x14ac:dyDescent="0.2">
      <c r="I24342" s="137" t="s">
        <v>74</v>
      </c>
    </row>
    <row r="24343" spans="9:9" x14ac:dyDescent="0.2">
      <c r="I24343" s="137" t="s">
        <v>74</v>
      </c>
    </row>
    <row r="24344" spans="9:9" x14ac:dyDescent="0.2">
      <c r="I24344" s="137" t="s">
        <v>74</v>
      </c>
    </row>
    <row r="24345" spans="9:9" x14ac:dyDescent="0.2">
      <c r="I24345" s="137" t="s">
        <v>74</v>
      </c>
    </row>
    <row r="24346" spans="9:9" x14ac:dyDescent="0.2">
      <c r="I24346" s="137" t="s">
        <v>74</v>
      </c>
    </row>
    <row r="24347" spans="9:9" x14ac:dyDescent="0.2">
      <c r="I24347" s="137" t="s">
        <v>74</v>
      </c>
    </row>
    <row r="24348" spans="9:9" x14ac:dyDescent="0.2">
      <c r="I24348" s="137" t="s">
        <v>74</v>
      </c>
    </row>
    <row r="24349" spans="9:9" x14ac:dyDescent="0.2">
      <c r="I24349" s="137" t="s">
        <v>74</v>
      </c>
    </row>
    <row r="24350" spans="9:9" x14ac:dyDescent="0.2">
      <c r="I24350" s="137" t="s">
        <v>74</v>
      </c>
    </row>
    <row r="24351" spans="9:9" x14ac:dyDescent="0.2">
      <c r="I24351" s="137" t="s">
        <v>74</v>
      </c>
    </row>
    <row r="24352" spans="9:9" x14ac:dyDescent="0.2">
      <c r="I24352" s="137" t="s">
        <v>74</v>
      </c>
    </row>
    <row r="24353" spans="9:9" x14ac:dyDescent="0.2">
      <c r="I24353" s="137" t="s">
        <v>74</v>
      </c>
    </row>
    <row r="24354" spans="9:9" x14ac:dyDescent="0.2">
      <c r="I24354" s="137" t="s">
        <v>74</v>
      </c>
    </row>
    <row r="24355" spans="9:9" x14ac:dyDescent="0.2">
      <c r="I24355" s="137" t="s">
        <v>74</v>
      </c>
    </row>
    <row r="24356" spans="9:9" x14ac:dyDescent="0.2">
      <c r="I24356" s="137" t="s">
        <v>74</v>
      </c>
    </row>
    <row r="24357" spans="9:9" x14ac:dyDescent="0.2">
      <c r="I24357" s="137" t="s">
        <v>74</v>
      </c>
    </row>
    <row r="24358" spans="9:9" x14ac:dyDescent="0.2">
      <c r="I24358" s="137" t="s">
        <v>74</v>
      </c>
    </row>
    <row r="24359" spans="9:9" x14ac:dyDescent="0.2">
      <c r="I24359" s="137" t="s">
        <v>74</v>
      </c>
    </row>
    <row r="24360" spans="9:9" x14ac:dyDescent="0.2">
      <c r="I24360" s="137" t="s">
        <v>74</v>
      </c>
    </row>
    <row r="24361" spans="9:9" x14ac:dyDescent="0.2">
      <c r="I24361" s="137" t="s">
        <v>74</v>
      </c>
    </row>
    <row r="24362" spans="9:9" x14ac:dyDescent="0.2">
      <c r="I24362" s="137" t="s">
        <v>74</v>
      </c>
    </row>
    <row r="24363" spans="9:9" x14ac:dyDescent="0.2">
      <c r="I24363" s="137" t="s">
        <v>74</v>
      </c>
    </row>
    <row r="24364" spans="9:9" x14ac:dyDescent="0.2">
      <c r="I24364" s="137" t="s">
        <v>74</v>
      </c>
    </row>
    <row r="24365" spans="9:9" x14ac:dyDescent="0.2">
      <c r="I24365" s="137" t="s">
        <v>74</v>
      </c>
    </row>
    <row r="24366" spans="9:9" x14ac:dyDescent="0.2">
      <c r="I24366" s="137" t="s">
        <v>74</v>
      </c>
    </row>
    <row r="24367" spans="9:9" x14ac:dyDescent="0.2">
      <c r="I24367" s="137" t="s">
        <v>74</v>
      </c>
    </row>
    <row r="24368" spans="9:9" x14ac:dyDescent="0.2">
      <c r="I24368" s="137" t="s">
        <v>74</v>
      </c>
    </row>
    <row r="24369" spans="9:9" x14ac:dyDescent="0.2">
      <c r="I24369" s="137" t="s">
        <v>74</v>
      </c>
    </row>
    <row r="24370" spans="9:9" x14ac:dyDescent="0.2">
      <c r="I24370" s="137" t="s">
        <v>74</v>
      </c>
    </row>
    <row r="24371" spans="9:9" x14ac:dyDescent="0.2">
      <c r="I24371" s="137" t="s">
        <v>74</v>
      </c>
    </row>
    <row r="24372" spans="9:9" x14ac:dyDescent="0.2">
      <c r="I24372" s="137" t="s">
        <v>74</v>
      </c>
    </row>
    <row r="24373" spans="9:9" x14ac:dyDescent="0.2">
      <c r="I24373" s="137" t="s">
        <v>74</v>
      </c>
    </row>
    <row r="24374" spans="9:9" x14ac:dyDescent="0.2">
      <c r="I24374" s="137" t="s">
        <v>74</v>
      </c>
    </row>
    <row r="24375" spans="9:9" x14ac:dyDescent="0.2">
      <c r="I24375" s="137" t="s">
        <v>74</v>
      </c>
    </row>
    <row r="24376" spans="9:9" x14ac:dyDescent="0.2">
      <c r="I24376" s="137" t="s">
        <v>74</v>
      </c>
    </row>
    <row r="24377" spans="9:9" x14ac:dyDescent="0.2">
      <c r="I24377" s="137" t="s">
        <v>74</v>
      </c>
    </row>
    <row r="24378" spans="9:9" x14ac:dyDescent="0.2">
      <c r="I24378" s="137" t="s">
        <v>74</v>
      </c>
    </row>
    <row r="24379" spans="9:9" x14ac:dyDescent="0.2">
      <c r="I24379" s="137" t="s">
        <v>74</v>
      </c>
    </row>
    <row r="24380" spans="9:9" x14ac:dyDescent="0.2">
      <c r="I24380" s="137" t="s">
        <v>74</v>
      </c>
    </row>
    <row r="24381" spans="9:9" x14ac:dyDescent="0.2">
      <c r="I24381" s="137" t="s">
        <v>74</v>
      </c>
    </row>
    <row r="24382" spans="9:9" x14ac:dyDescent="0.2">
      <c r="I24382" s="137" t="s">
        <v>74</v>
      </c>
    </row>
    <row r="24383" spans="9:9" x14ac:dyDescent="0.2">
      <c r="I24383" s="137" t="s">
        <v>74</v>
      </c>
    </row>
    <row r="24384" spans="9:9" x14ac:dyDescent="0.2">
      <c r="I24384" s="137" t="s">
        <v>74</v>
      </c>
    </row>
    <row r="24385" spans="9:9" x14ac:dyDescent="0.2">
      <c r="I24385" s="137" t="s">
        <v>74</v>
      </c>
    </row>
    <row r="24386" spans="9:9" x14ac:dyDescent="0.2">
      <c r="I24386" s="137" t="s">
        <v>74</v>
      </c>
    </row>
    <row r="24387" spans="9:9" x14ac:dyDescent="0.2">
      <c r="I24387" s="137" t="s">
        <v>74</v>
      </c>
    </row>
    <row r="24388" spans="9:9" x14ac:dyDescent="0.2">
      <c r="I24388" s="137" t="s">
        <v>74</v>
      </c>
    </row>
    <row r="24389" spans="9:9" x14ac:dyDescent="0.2">
      <c r="I24389" s="137" t="s">
        <v>74</v>
      </c>
    </row>
    <row r="24390" spans="9:9" x14ac:dyDescent="0.2">
      <c r="I24390" s="137" t="s">
        <v>74</v>
      </c>
    </row>
    <row r="24391" spans="9:9" x14ac:dyDescent="0.2">
      <c r="I24391" s="137" t="s">
        <v>74</v>
      </c>
    </row>
    <row r="24392" spans="9:9" x14ac:dyDescent="0.2">
      <c r="I24392" s="137" t="s">
        <v>74</v>
      </c>
    </row>
    <row r="24393" spans="9:9" x14ac:dyDescent="0.2">
      <c r="I24393" s="137" t="s">
        <v>74</v>
      </c>
    </row>
    <row r="24394" spans="9:9" x14ac:dyDescent="0.2">
      <c r="I24394" s="137" t="s">
        <v>74</v>
      </c>
    </row>
    <row r="24395" spans="9:9" x14ac:dyDescent="0.2">
      <c r="I24395" s="137" t="s">
        <v>74</v>
      </c>
    </row>
    <row r="24396" spans="9:9" x14ac:dyDescent="0.2">
      <c r="I24396" s="137" t="s">
        <v>74</v>
      </c>
    </row>
    <row r="24397" spans="9:9" x14ac:dyDescent="0.2">
      <c r="I24397" s="137" t="s">
        <v>74</v>
      </c>
    </row>
    <row r="24398" spans="9:9" x14ac:dyDescent="0.2">
      <c r="I24398" s="137" t="s">
        <v>74</v>
      </c>
    </row>
    <row r="24399" spans="9:9" x14ac:dyDescent="0.2">
      <c r="I24399" s="137" t="s">
        <v>74</v>
      </c>
    </row>
    <row r="24400" spans="9:9" x14ac:dyDescent="0.2">
      <c r="I24400" s="137" t="s">
        <v>74</v>
      </c>
    </row>
    <row r="24401" spans="9:9" x14ac:dyDescent="0.2">
      <c r="I24401" s="137" t="s">
        <v>74</v>
      </c>
    </row>
    <row r="24402" spans="9:9" x14ac:dyDescent="0.2">
      <c r="I24402" s="137" t="s">
        <v>74</v>
      </c>
    </row>
    <row r="24403" spans="9:9" x14ac:dyDescent="0.2">
      <c r="I24403" s="137" t="s">
        <v>74</v>
      </c>
    </row>
    <row r="24404" spans="9:9" x14ac:dyDescent="0.2">
      <c r="I24404" s="137" t="s">
        <v>74</v>
      </c>
    </row>
    <row r="24405" spans="9:9" x14ac:dyDescent="0.2">
      <c r="I24405" s="137" t="s">
        <v>74</v>
      </c>
    </row>
    <row r="24406" spans="9:9" x14ac:dyDescent="0.2">
      <c r="I24406" s="137" t="s">
        <v>74</v>
      </c>
    </row>
    <row r="24407" spans="9:9" x14ac:dyDescent="0.2">
      <c r="I24407" s="137" t="s">
        <v>74</v>
      </c>
    </row>
    <row r="24408" spans="9:9" x14ac:dyDescent="0.2">
      <c r="I24408" s="137" t="s">
        <v>74</v>
      </c>
    </row>
    <row r="24409" spans="9:9" x14ac:dyDescent="0.2">
      <c r="I24409" s="137" t="s">
        <v>74</v>
      </c>
    </row>
    <row r="24410" spans="9:9" x14ac:dyDescent="0.2">
      <c r="I24410" s="137" t="s">
        <v>74</v>
      </c>
    </row>
    <row r="24411" spans="9:9" x14ac:dyDescent="0.2">
      <c r="I24411" s="137" t="s">
        <v>74</v>
      </c>
    </row>
    <row r="24412" spans="9:9" x14ac:dyDescent="0.2">
      <c r="I24412" s="137" t="s">
        <v>74</v>
      </c>
    </row>
    <row r="24413" spans="9:9" x14ac:dyDescent="0.2">
      <c r="I24413" s="137" t="s">
        <v>74</v>
      </c>
    </row>
    <row r="24414" spans="9:9" x14ac:dyDescent="0.2">
      <c r="I24414" s="137" t="s">
        <v>74</v>
      </c>
    </row>
    <row r="24415" spans="9:9" x14ac:dyDescent="0.2">
      <c r="I24415" s="137" t="s">
        <v>74</v>
      </c>
    </row>
    <row r="24416" spans="9:9" x14ac:dyDescent="0.2">
      <c r="I24416" s="137" t="s">
        <v>74</v>
      </c>
    </row>
    <row r="24417" spans="9:9" x14ac:dyDescent="0.2">
      <c r="I24417" s="137" t="s">
        <v>74</v>
      </c>
    </row>
    <row r="24418" spans="9:9" x14ac:dyDescent="0.2">
      <c r="I24418" s="137" t="s">
        <v>74</v>
      </c>
    </row>
    <row r="24419" spans="9:9" x14ac:dyDescent="0.2">
      <c r="I24419" s="137" t="s">
        <v>74</v>
      </c>
    </row>
    <row r="24420" spans="9:9" x14ac:dyDescent="0.2">
      <c r="I24420" s="137" t="s">
        <v>74</v>
      </c>
    </row>
    <row r="24421" spans="9:9" x14ac:dyDescent="0.2">
      <c r="I24421" s="137" t="s">
        <v>74</v>
      </c>
    </row>
    <row r="24422" spans="9:9" x14ac:dyDescent="0.2">
      <c r="I24422" s="137" t="s">
        <v>74</v>
      </c>
    </row>
    <row r="24423" spans="9:9" x14ac:dyDescent="0.2">
      <c r="I24423" s="137" t="s">
        <v>74</v>
      </c>
    </row>
    <row r="24424" spans="9:9" x14ac:dyDescent="0.2">
      <c r="I24424" s="137" t="s">
        <v>74</v>
      </c>
    </row>
    <row r="24425" spans="9:9" x14ac:dyDescent="0.2">
      <c r="I24425" s="137" t="s">
        <v>74</v>
      </c>
    </row>
    <row r="24426" spans="9:9" x14ac:dyDescent="0.2">
      <c r="I24426" s="137" t="s">
        <v>74</v>
      </c>
    </row>
    <row r="24427" spans="9:9" x14ac:dyDescent="0.2">
      <c r="I24427" s="137" t="s">
        <v>74</v>
      </c>
    </row>
    <row r="24428" spans="9:9" x14ac:dyDescent="0.2">
      <c r="I24428" s="137" t="s">
        <v>74</v>
      </c>
    </row>
    <row r="24429" spans="9:9" x14ac:dyDescent="0.2">
      <c r="I24429" s="137" t="s">
        <v>74</v>
      </c>
    </row>
    <row r="24430" spans="9:9" x14ac:dyDescent="0.2">
      <c r="I24430" s="137" t="s">
        <v>74</v>
      </c>
    </row>
    <row r="24431" spans="9:9" x14ac:dyDescent="0.2">
      <c r="I24431" s="137" t="s">
        <v>74</v>
      </c>
    </row>
    <row r="24432" spans="9:9" x14ac:dyDescent="0.2">
      <c r="I24432" s="137" t="s">
        <v>74</v>
      </c>
    </row>
    <row r="24433" spans="9:9" x14ac:dyDescent="0.2">
      <c r="I24433" s="137" t="s">
        <v>74</v>
      </c>
    </row>
    <row r="24434" spans="9:9" x14ac:dyDescent="0.2">
      <c r="I24434" s="137" t="s">
        <v>74</v>
      </c>
    </row>
    <row r="24435" spans="9:9" x14ac:dyDescent="0.2">
      <c r="I24435" s="137" t="s">
        <v>74</v>
      </c>
    </row>
    <row r="24436" spans="9:9" x14ac:dyDescent="0.2">
      <c r="I24436" s="137" t="s">
        <v>74</v>
      </c>
    </row>
    <row r="24437" spans="9:9" x14ac:dyDescent="0.2">
      <c r="I24437" s="137" t="s">
        <v>74</v>
      </c>
    </row>
    <row r="24438" spans="9:9" x14ac:dyDescent="0.2">
      <c r="I24438" s="137" t="s">
        <v>74</v>
      </c>
    </row>
    <row r="24439" spans="9:9" x14ac:dyDescent="0.2">
      <c r="I24439" s="137" t="s">
        <v>74</v>
      </c>
    </row>
    <row r="24440" spans="9:9" x14ac:dyDescent="0.2">
      <c r="I24440" s="137" t="s">
        <v>74</v>
      </c>
    </row>
    <row r="24441" spans="9:9" x14ac:dyDescent="0.2">
      <c r="I24441" s="137" t="s">
        <v>74</v>
      </c>
    </row>
    <row r="24442" spans="9:9" x14ac:dyDescent="0.2">
      <c r="I24442" s="137" t="s">
        <v>74</v>
      </c>
    </row>
    <row r="24443" spans="9:9" x14ac:dyDescent="0.2">
      <c r="I24443" s="137" t="s">
        <v>74</v>
      </c>
    </row>
    <row r="24444" spans="9:9" x14ac:dyDescent="0.2">
      <c r="I24444" s="137" t="s">
        <v>74</v>
      </c>
    </row>
    <row r="24445" spans="9:9" x14ac:dyDescent="0.2">
      <c r="I24445" s="137" t="s">
        <v>74</v>
      </c>
    </row>
    <row r="24446" spans="9:9" x14ac:dyDescent="0.2">
      <c r="I24446" s="137" t="s">
        <v>74</v>
      </c>
    </row>
    <row r="24447" spans="9:9" x14ac:dyDescent="0.2">
      <c r="I24447" s="137" t="s">
        <v>74</v>
      </c>
    </row>
    <row r="24448" spans="9:9" x14ac:dyDescent="0.2">
      <c r="I24448" s="137" t="s">
        <v>74</v>
      </c>
    </row>
    <row r="24449" spans="9:9" x14ac:dyDescent="0.2">
      <c r="I24449" s="137" t="s">
        <v>74</v>
      </c>
    </row>
    <row r="24450" spans="9:9" x14ac:dyDescent="0.2">
      <c r="I24450" s="137" t="s">
        <v>74</v>
      </c>
    </row>
    <row r="24451" spans="9:9" x14ac:dyDescent="0.2">
      <c r="I24451" s="137" t="s">
        <v>74</v>
      </c>
    </row>
    <row r="24452" spans="9:9" x14ac:dyDescent="0.2">
      <c r="I24452" s="137" t="s">
        <v>74</v>
      </c>
    </row>
    <row r="24453" spans="9:9" x14ac:dyDescent="0.2">
      <c r="I24453" s="137" t="s">
        <v>74</v>
      </c>
    </row>
    <row r="24454" spans="9:9" x14ac:dyDescent="0.2">
      <c r="I24454" s="137" t="s">
        <v>74</v>
      </c>
    </row>
    <row r="24455" spans="9:9" x14ac:dyDescent="0.2">
      <c r="I24455" s="137" t="s">
        <v>74</v>
      </c>
    </row>
    <row r="24456" spans="9:9" x14ac:dyDescent="0.2">
      <c r="I24456" s="137" t="s">
        <v>74</v>
      </c>
    </row>
    <row r="24457" spans="9:9" x14ac:dyDescent="0.2">
      <c r="I24457" s="137" t="s">
        <v>74</v>
      </c>
    </row>
    <row r="24458" spans="9:9" x14ac:dyDescent="0.2">
      <c r="I24458" s="137" t="s">
        <v>74</v>
      </c>
    </row>
    <row r="24459" spans="9:9" x14ac:dyDescent="0.2">
      <c r="I24459" s="137" t="s">
        <v>74</v>
      </c>
    </row>
    <row r="24460" spans="9:9" x14ac:dyDescent="0.2">
      <c r="I24460" s="137" t="s">
        <v>74</v>
      </c>
    </row>
    <row r="24461" spans="9:9" x14ac:dyDescent="0.2">
      <c r="I24461" s="137" t="s">
        <v>74</v>
      </c>
    </row>
    <row r="24462" spans="9:9" x14ac:dyDescent="0.2">
      <c r="I24462" s="137" t="s">
        <v>74</v>
      </c>
    </row>
    <row r="24463" spans="9:9" x14ac:dyDescent="0.2">
      <c r="I24463" s="137" t="s">
        <v>74</v>
      </c>
    </row>
    <row r="24464" spans="9:9" x14ac:dyDescent="0.2">
      <c r="I24464" s="137" t="s">
        <v>74</v>
      </c>
    </row>
    <row r="24465" spans="9:9" x14ac:dyDescent="0.2">
      <c r="I24465" s="137" t="s">
        <v>74</v>
      </c>
    </row>
    <row r="24466" spans="9:9" x14ac:dyDescent="0.2">
      <c r="I24466" s="137" t="s">
        <v>74</v>
      </c>
    </row>
    <row r="24467" spans="9:9" x14ac:dyDescent="0.2">
      <c r="I24467" s="137" t="s">
        <v>74</v>
      </c>
    </row>
    <row r="24468" spans="9:9" x14ac:dyDescent="0.2">
      <c r="I24468" s="137" t="s">
        <v>74</v>
      </c>
    </row>
    <row r="24469" spans="9:9" x14ac:dyDescent="0.2">
      <c r="I24469" s="137" t="s">
        <v>74</v>
      </c>
    </row>
    <row r="24470" spans="9:9" x14ac:dyDescent="0.2">
      <c r="I24470" s="137" t="s">
        <v>74</v>
      </c>
    </row>
    <row r="24471" spans="9:9" x14ac:dyDescent="0.2">
      <c r="I24471" s="137" t="s">
        <v>74</v>
      </c>
    </row>
    <row r="24472" spans="9:9" x14ac:dyDescent="0.2">
      <c r="I24472" s="137" t="s">
        <v>74</v>
      </c>
    </row>
    <row r="24473" spans="9:9" x14ac:dyDescent="0.2">
      <c r="I24473" s="137" t="s">
        <v>74</v>
      </c>
    </row>
    <row r="24474" spans="9:9" x14ac:dyDescent="0.2">
      <c r="I24474" s="137" t="s">
        <v>74</v>
      </c>
    </row>
    <row r="24475" spans="9:9" x14ac:dyDescent="0.2">
      <c r="I24475" s="137" t="s">
        <v>74</v>
      </c>
    </row>
    <row r="24476" spans="9:9" x14ac:dyDescent="0.2">
      <c r="I24476" s="137" t="s">
        <v>74</v>
      </c>
    </row>
    <row r="24477" spans="9:9" x14ac:dyDescent="0.2">
      <c r="I24477" s="137" t="s">
        <v>74</v>
      </c>
    </row>
    <row r="24478" spans="9:9" x14ac:dyDescent="0.2">
      <c r="I24478" s="137" t="s">
        <v>74</v>
      </c>
    </row>
    <row r="24479" spans="9:9" x14ac:dyDescent="0.2">
      <c r="I24479" s="137" t="s">
        <v>74</v>
      </c>
    </row>
    <row r="24480" spans="9:9" x14ac:dyDescent="0.2">
      <c r="I24480" s="137" t="s">
        <v>74</v>
      </c>
    </row>
    <row r="24481" spans="9:9" x14ac:dyDescent="0.2">
      <c r="I24481" s="137" t="s">
        <v>74</v>
      </c>
    </row>
    <row r="24482" spans="9:9" x14ac:dyDescent="0.2">
      <c r="I24482" s="137" t="s">
        <v>74</v>
      </c>
    </row>
    <row r="24483" spans="9:9" x14ac:dyDescent="0.2">
      <c r="I24483" s="137" t="s">
        <v>74</v>
      </c>
    </row>
    <row r="24484" spans="9:9" x14ac:dyDescent="0.2">
      <c r="I24484" s="137" t="s">
        <v>74</v>
      </c>
    </row>
    <row r="24485" spans="9:9" x14ac:dyDescent="0.2">
      <c r="I24485" s="137" t="s">
        <v>74</v>
      </c>
    </row>
    <row r="24486" spans="9:9" x14ac:dyDescent="0.2">
      <c r="I24486" s="137" t="s">
        <v>74</v>
      </c>
    </row>
    <row r="24487" spans="9:9" x14ac:dyDescent="0.2">
      <c r="I24487" s="137" t="s">
        <v>74</v>
      </c>
    </row>
    <row r="24488" spans="9:9" x14ac:dyDescent="0.2">
      <c r="I24488" s="137" t="s">
        <v>74</v>
      </c>
    </row>
    <row r="24489" spans="9:9" x14ac:dyDescent="0.2">
      <c r="I24489" s="137" t="s">
        <v>74</v>
      </c>
    </row>
    <row r="24490" spans="9:9" x14ac:dyDescent="0.2">
      <c r="I24490" s="137" t="s">
        <v>74</v>
      </c>
    </row>
    <row r="24491" spans="9:9" x14ac:dyDescent="0.2">
      <c r="I24491" s="137" t="s">
        <v>74</v>
      </c>
    </row>
    <row r="24492" spans="9:9" x14ac:dyDescent="0.2">
      <c r="I24492" s="137" t="s">
        <v>74</v>
      </c>
    </row>
    <row r="24493" spans="9:9" x14ac:dyDescent="0.2">
      <c r="I24493" s="137" t="s">
        <v>74</v>
      </c>
    </row>
    <row r="24494" spans="9:9" x14ac:dyDescent="0.2">
      <c r="I24494" s="137" t="s">
        <v>74</v>
      </c>
    </row>
    <row r="24495" spans="9:9" x14ac:dyDescent="0.2">
      <c r="I24495" s="137" t="s">
        <v>74</v>
      </c>
    </row>
    <row r="24496" spans="9:9" x14ac:dyDescent="0.2">
      <c r="I24496" s="137" t="s">
        <v>74</v>
      </c>
    </row>
    <row r="24497" spans="9:9" x14ac:dyDescent="0.2">
      <c r="I24497" s="137" t="s">
        <v>74</v>
      </c>
    </row>
    <row r="24498" spans="9:9" x14ac:dyDescent="0.2">
      <c r="I24498" s="137" t="s">
        <v>74</v>
      </c>
    </row>
    <row r="24499" spans="9:9" x14ac:dyDescent="0.2">
      <c r="I24499" s="137" t="s">
        <v>74</v>
      </c>
    </row>
    <row r="24500" spans="9:9" x14ac:dyDescent="0.2">
      <c r="I24500" s="137" t="s">
        <v>74</v>
      </c>
    </row>
    <row r="24501" spans="9:9" x14ac:dyDescent="0.2">
      <c r="I24501" s="137" t="s">
        <v>74</v>
      </c>
    </row>
    <row r="24502" spans="9:9" x14ac:dyDescent="0.2">
      <c r="I24502" s="137" t="s">
        <v>74</v>
      </c>
    </row>
    <row r="24503" spans="9:9" x14ac:dyDescent="0.2">
      <c r="I24503" s="137" t="s">
        <v>74</v>
      </c>
    </row>
    <row r="24504" spans="9:9" x14ac:dyDescent="0.2">
      <c r="I24504" s="137" t="s">
        <v>74</v>
      </c>
    </row>
    <row r="24505" spans="9:9" x14ac:dyDescent="0.2">
      <c r="I24505" s="137" t="s">
        <v>74</v>
      </c>
    </row>
    <row r="24506" spans="9:9" x14ac:dyDescent="0.2">
      <c r="I24506" s="137" t="s">
        <v>74</v>
      </c>
    </row>
    <row r="24507" spans="9:9" x14ac:dyDescent="0.2">
      <c r="I24507" s="137" t="s">
        <v>74</v>
      </c>
    </row>
    <row r="24508" spans="9:9" x14ac:dyDescent="0.2">
      <c r="I24508" s="137" t="s">
        <v>74</v>
      </c>
    </row>
    <row r="24509" spans="9:9" x14ac:dyDescent="0.2">
      <c r="I24509" s="137" t="s">
        <v>74</v>
      </c>
    </row>
    <row r="24510" spans="9:9" x14ac:dyDescent="0.2">
      <c r="I24510" s="137" t="s">
        <v>74</v>
      </c>
    </row>
    <row r="24511" spans="9:9" x14ac:dyDescent="0.2">
      <c r="I24511" s="137" t="s">
        <v>74</v>
      </c>
    </row>
    <row r="24512" spans="9:9" x14ac:dyDescent="0.2">
      <c r="I24512" s="137" t="s">
        <v>74</v>
      </c>
    </row>
    <row r="24513" spans="9:9" x14ac:dyDescent="0.2">
      <c r="I24513" s="137" t="s">
        <v>74</v>
      </c>
    </row>
    <row r="24514" spans="9:9" x14ac:dyDescent="0.2">
      <c r="I24514" s="137" t="s">
        <v>74</v>
      </c>
    </row>
    <row r="24515" spans="9:9" x14ac:dyDescent="0.2">
      <c r="I24515" s="137" t="s">
        <v>74</v>
      </c>
    </row>
    <row r="24516" spans="9:9" x14ac:dyDescent="0.2">
      <c r="I24516" s="137" t="s">
        <v>74</v>
      </c>
    </row>
    <row r="24517" spans="9:9" x14ac:dyDescent="0.2">
      <c r="I24517" s="137" t="s">
        <v>74</v>
      </c>
    </row>
    <row r="24518" spans="9:9" x14ac:dyDescent="0.2">
      <c r="I24518" s="137" t="s">
        <v>74</v>
      </c>
    </row>
    <row r="24519" spans="9:9" x14ac:dyDescent="0.2">
      <c r="I24519" s="137" t="s">
        <v>74</v>
      </c>
    </row>
    <row r="24520" spans="9:9" x14ac:dyDescent="0.2">
      <c r="I24520" s="137" t="s">
        <v>74</v>
      </c>
    </row>
    <row r="24521" spans="9:9" x14ac:dyDescent="0.2">
      <c r="I24521" s="137" t="s">
        <v>74</v>
      </c>
    </row>
    <row r="24522" spans="9:9" x14ac:dyDescent="0.2">
      <c r="I24522" s="137" t="s">
        <v>74</v>
      </c>
    </row>
    <row r="24523" spans="9:9" x14ac:dyDescent="0.2">
      <c r="I24523" s="137" t="s">
        <v>74</v>
      </c>
    </row>
    <row r="24524" spans="9:9" x14ac:dyDescent="0.2">
      <c r="I24524" s="137" t="s">
        <v>74</v>
      </c>
    </row>
    <row r="24525" spans="9:9" x14ac:dyDescent="0.2">
      <c r="I24525" s="137" t="s">
        <v>74</v>
      </c>
    </row>
    <row r="24526" spans="9:9" x14ac:dyDescent="0.2">
      <c r="I24526" s="137" t="s">
        <v>74</v>
      </c>
    </row>
    <row r="24527" spans="9:9" x14ac:dyDescent="0.2">
      <c r="I24527" s="137" t="s">
        <v>74</v>
      </c>
    </row>
    <row r="24528" spans="9:9" x14ac:dyDescent="0.2">
      <c r="I24528" s="137" t="s">
        <v>74</v>
      </c>
    </row>
    <row r="24529" spans="9:9" x14ac:dyDescent="0.2">
      <c r="I24529" s="137" t="s">
        <v>74</v>
      </c>
    </row>
    <row r="24530" spans="9:9" x14ac:dyDescent="0.2">
      <c r="I24530" s="137" t="s">
        <v>74</v>
      </c>
    </row>
    <row r="24531" spans="9:9" x14ac:dyDescent="0.2">
      <c r="I24531" s="137" t="s">
        <v>74</v>
      </c>
    </row>
    <row r="24532" spans="9:9" x14ac:dyDescent="0.2">
      <c r="I24532" s="137" t="s">
        <v>74</v>
      </c>
    </row>
    <row r="24533" spans="9:9" x14ac:dyDescent="0.2">
      <c r="I24533" s="137" t="s">
        <v>74</v>
      </c>
    </row>
    <row r="24534" spans="9:9" x14ac:dyDescent="0.2">
      <c r="I24534" s="137" t="s">
        <v>74</v>
      </c>
    </row>
    <row r="24535" spans="9:9" x14ac:dyDescent="0.2">
      <c r="I24535" s="137" t="s">
        <v>74</v>
      </c>
    </row>
    <row r="24536" spans="9:9" x14ac:dyDescent="0.2">
      <c r="I24536" s="137" t="s">
        <v>74</v>
      </c>
    </row>
    <row r="24537" spans="9:9" x14ac:dyDescent="0.2">
      <c r="I24537" s="137" t="s">
        <v>74</v>
      </c>
    </row>
    <row r="24538" spans="9:9" x14ac:dyDescent="0.2">
      <c r="I24538" s="137" t="s">
        <v>74</v>
      </c>
    </row>
    <row r="24539" spans="9:9" x14ac:dyDescent="0.2">
      <c r="I24539" s="137" t="s">
        <v>74</v>
      </c>
    </row>
    <row r="24540" spans="9:9" x14ac:dyDescent="0.2">
      <c r="I24540" s="137" t="s">
        <v>74</v>
      </c>
    </row>
    <row r="24541" spans="9:9" x14ac:dyDescent="0.2">
      <c r="I24541" s="137" t="s">
        <v>74</v>
      </c>
    </row>
    <row r="24542" spans="9:9" x14ac:dyDescent="0.2">
      <c r="I24542" s="137" t="s">
        <v>74</v>
      </c>
    </row>
    <row r="24543" spans="9:9" x14ac:dyDescent="0.2">
      <c r="I24543" s="137" t="s">
        <v>74</v>
      </c>
    </row>
    <row r="24544" spans="9:9" x14ac:dyDescent="0.2">
      <c r="I24544" s="137" t="s">
        <v>74</v>
      </c>
    </row>
    <row r="24545" spans="9:9" x14ac:dyDescent="0.2">
      <c r="I24545" s="137" t="s">
        <v>74</v>
      </c>
    </row>
    <row r="24546" spans="9:9" x14ac:dyDescent="0.2">
      <c r="I24546" s="137" t="s">
        <v>74</v>
      </c>
    </row>
    <row r="24547" spans="9:9" x14ac:dyDescent="0.2">
      <c r="I24547" s="137" t="s">
        <v>74</v>
      </c>
    </row>
    <row r="24548" spans="9:9" x14ac:dyDescent="0.2">
      <c r="I24548" s="137" t="s">
        <v>74</v>
      </c>
    </row>
    <row r="24549" spans="9:9" x14ac:dyDescent="0.2">
      <c r="I24549" s="137" t="s">
        <v>74</v>
      </c>
    </row>
    <row r="24550" spans="9:9" x14ac:dyDescent="0.2">
      <c r="I24550" s="137" t="s">
        <v>74</v>
      </c>
    </row>
    <row r="24551" spans="9:9" x14ac:dyDescent="0.2">
      <c r="I24551" s="137" t="s">
        <v>74</v>
      </c>
    </row>
    <row r="24552" spans="9:9" x14ac:dyDescent="0.2">
      <c r="I24552" s="137" t="s">
        <v>74</v>
      </c>
    </row>
    <row r="24553" spans="9:9" x14ac:dyDescent="0.2">
      <c r="I24553" s="137" t="s">
        <v>74</v>
      </c>
    </row>
    <row r="24554" spans="9:9" x14ac:dyDescent="0.2">
      <c r="I24554" s="137" t="s">
        <v>74</v>
      </c>
    </row>
    <row r="24555" spans="9:9" x14ac:dyDescent="0.2">
      <c r="I24555" s="137" t="s">
        <v>74</v>
      </c>
    </row>
    <row r="24556" spans="9:9" x14ac:dyDescent="0.2">
      <c r="I24556" s="137" t="s">
        <v>74</v>
      </c>
    </row>
    <row r="24557" spans="9:9" x14ac:dyDescent="0.2">
      <c r="I24557" s="137" t="s">
        <v>74</v>
      </c>
    </row>
    <row r="24558" spans="9:9" x14ac:dyDescent="0.2">
      <c r="I24558" s="137" t="s">
        <v>74</v>
      </c>
    </row>
    <row r="24559" spans="9:9" x14ac:dyDescent="0.2">
      <c r="I24559" s="137" t="s">
        <v>74</v>
      </c>
    </row>
    <row r="24560" spans="9:9" x14ac:dyDescent="0.2">
      <c r="I24560" s="137" t="s">
        <v>74</v>
      </c>
    </row>
    <row r="24561" spans="9:9" x14ac:dyDescent="0.2">
      <c r="I24561" s="137" t="s">
        <v>74</v>
      </c>
    </row>
    <row r="24562" spans="9:9" x14ac:dyDescent="0.2">
      <c r="I24562" s="137" t="s">
        <v>74</v>
      </c>
    </row>
    <row r="24563" spans="9:9" x14ac:dyDescent="0.2">
      <c r="I24563" s="137" t="s">
        <v>74</v>
      </c>
    </row>
    <row r="24564" spans="9:9" x14ac:dyDescent="0.2">
      <c r="I24564" s="137" t="s">
        <v>74</v>
      </c>
    </row>
    <row r="24565" spans="9:9" x14ac:dyDescent="0.2">
      <c r="I24565" s="137" t="s">
        <v>74</v>
      </c>
    </row>
    <row r="24566" spans="9:9" x14ac:dyDescent="0.2">
      <c r="I24566" s="137" t="s">
        <v>74</v>
      </c>
    </row>
    <row r="24567" spans="9:9" x14ac:dyDescent="0.2">
      <c r="I24567" s="137" t="s">
        <v>74</v>
      </c>
    </row>
    <row r="24568" spans="9:9" x14ac:dyDescent="0.2">
      <c r="I24568" s="137" t="s">
        <v>74</v>
      </c>
    </row>
    <row r="24569" spans="9:9" x14ac:dyDescent="0.2">
      <c r="I24569" s="137" t="s">
        <v>74</v>
      </c>
    </row>
    <row r="24570" spans="9:9" x14ac:dyDescent="0.2">
      <c r="I24570" s="137" t="s">
        <v>74</v>
      </c>
    </row>
    <row r="24571" spans="9:9" x14ac:dyDescent="0.2">
      <c r="I24571" s="137" t="s">
        <v>74</v>
      </c>
    </row>
    <row r="24572" spans="9:9" x14ac:dyDescent="0.2">
      <c r="I24572" s="137" t="s">
        <v>74</v>
      </c>
    </row>
    <row r="24573" spans="9:9" x14ac:dyDescent="0.2">
      <c r="I24573" s="137" t="s">
        <v>74</v>
      </c>
    </row>
    <row r="24574" spans="9:9" x14ac:dyDescent="0.2">
      <c r="I24574" s="137" t="s">
        <v>74</v>
      </c>
    </row>
    <row r="24575" spans="9:9" x14ac:dyDescent="0.2">
      <c r="I24575" s="137" t="s">
        <v>74</v>
      </c>
    </row>
    <row r="24576" spans="9:9" x14ac:dyDescent="0.2">
      <c r="I24576" s="137" t="s">
        <v>74</v>
      </c>
    </row>
    <row r="24577" spans="9:9" x14ac:dyDescent="0.2">
      <c r="I24577" s="137" t="s">
        <v>74</v>
      </c>
    </row>
    <row r="24578" spans="9:9" x14ac:dyDescent="0.2">
      <c r="I24578" s="137" t="s">
        <v>74</v>
      </c>
    </row>
    <row r="24579" spans="9:9" x14ac:dyDescent="0.2">
      <c r="I24579" s="137" t="s">
        <v>74</v>
      </c>
    </row>
    <row r="24580" spans="9:9" x14ac:dyDescent="0.2">
      <c r="I24580" s="137" t="s">
        <v>74</v>
      </c>
    </row>
    <row r="24581" spans="9:9" x14ac:dyDescent="0.2">
      <c r="I24581" s="137" t="s">
        <v>74</v>
      </c>
    </row>
    <row r="24582" spans="9:9" x14ac:dyDescent="0.2">
      <c r="I24582" s="137" t="s">
        <v>74</v>
      </c>
    </row>
    <row r="24583" spans="9:9" x14ac:dyDescent="0.2">
      <c r="I24583" s="137" t="s">
        <v>74</v>
      </c>
    </row>
    <row r="24584" spans="9:9" x14ac:dyDescent="0.2">
      <c r="I24584" s="137" t="s">
        <v>74</v>
      </c>
    </row>
    <row r="24585" spans="9:9" x14ac:dyDescent="0.2">
      <c r="I24585" s="137" t="s">
        <v>74</v>
      </c>
    </row>
    <row r="24586" spans="9:9" x14ac:dyDescent="0.2">
      <c r="I24586" s="137" t="s">
        <v>74</v>
      </c>
    </row>
    <row r="24587" spans="9:9" x14ac:dyDescent="0.2">
      <c r="I24587" s="137" t="s">
        <v>74</v>
      </c>
    </row>
    <row r="24588" spans="9:9" x14ac:dyDescent="0.2">
      <c r="I24588" s="137" t="s">
        <v>74</v>
      </c>
    </row>
    <row r="24589" spans="9:9" x14ac:dyDescent="0.2">
      <c r="I24589" s="137" t="s">
        <v>74</v>
      </c>
    </row>
    <row r="24590" spans="9:9" x14ac:dyDescent="0.2">
      <c r="I24590" s="137" t="s">
        <v>74</v>
      </c>
    </row>
    <row r="24591" spans="9:9" x14ac:dyDescent="0.2">
      <c r="I24591" s="137" t="s">
        <v>74</v>
      </c>
    </row>
    <row r="24592" spans="9:9" x14ac:dyDescent="0.2">
      <c r="I24592" s="137" t="s">
        <v>74</v>
      </c>
    </row>
    <row r="24593" spans="9:9" x14ac:dyDescent="0.2">
      <c r="I24593" s="137" t="s">
        <v>74</v>
      </c>
    </row>
    <row r="24594" spans="9:9" x14ac:dyDescent="0.2">
      <c r="I24594" s="137" t="s">
        <v>74</v>
      </c>
    </row>
    <row r="24595" spans="9:9" x14ac:dyDescent="0.2">
      <c r="I24595" s="137" t="s">
        <v>74</v>
      </c>
    </row>
    <row r="24596" spans="9:9" x14ac:dyDescent="0.2">
      <c r="I24596" s="137" t="s">
        <v>74</v>
      </c>
    </row>
    <row r="24597" spans="9:9" x14ac:dyDescent="0.2">
      <c r="I24597" s="137" t="s">
        <v>74</v>
      </c>
    </row>
    <row r="24598" spans="9:9" x14ac:dyDescent="0.2">
      <c r="I24598" s="137" t="s">
        <v>74</v>
      </c>
    </row>
    <row r="24599" spans="9:9" x14ac:dyDescent="0.2">
      <c r="I24599" s="137" t="s">
        <v>74</v>
      </c>
    </row>
    <row r="24600" spans="9:9" x14ac:dyDescent="0.2">
      <c r="I24600" s="137" t="s">
        <v>74</v>
      </c>
    </row>
    <row r="24601" spans="9:9" x14ac:dyDescent="0.2">
      <c r="I24601" s="137" t="s">
        <v>74</v>
      </c>
    </row>
    <row r="24602" spans="9:9" x14ac:dyDescent="0.2">
      <c r="I24602" s="137" t="s">
        <v>74</v>
      </c>
    </row>
    <row r="24603" spans="9:9" x14ac:dyDescent="0.2">
      <c r="I24603" s="137" t="s">
        <v>74</v>
      </c>
    </row>
    <row r="24604" spans="9:9" x14ac:dyDescent="0.2">
      <c r="I24604" s="137" t="s">
        <v>74</v>
      </c>
    </row>
    <row r="24605" spans="9:9" x14ac:dyDescent="0.2">
      <c r="I24605" s="137" t="s">
        <v>74</v>
      </c>
    </row>
    <row r="24606" spans="9:9" x14ac:dyDescent="0.2">
      <c r="I24606" s="137" t="s">
        <v>74</v>
      </c>
    </row>
    <row r="24607" spans="9:9" x14ac:dyDescent="0.2">
      <c r="I24607" s="137" t="s">
        <v>74</v>
      </c>
    </row>
    <row r="24608" spans="9:9" x14ac:dyDescent="0.2">
      <c r="I24608" s="137" t="s">
        <v>74</v>
      </c>
    </row>
    <row r="24609" spans="9:9" x14ac:dyDescent="0.2">
      <c r="I24609" s="137" t="s">
        <v>74</v>
      </c>
    </row>
    <row r="24610" spans="9:9" x14ac:dyDescent="0.2">
      <c r="I24610" s="137" t="s">
        <v>74</v>
      </c>
    </row>
    <row r="24611" spans="9:9" x14ac:dyDescent="0.2">
      <c r="I24611" s="137" t="s">
        <v>74</v>
      </c>
    </row>
    <row r="24612" spans="9:9" x14ac:dyDescent="0.2">
      <c r="I24612" s="137" t="s">
        <v>74</v>
      </c>
    </row>
    <row r="24613" spans="9:9" x14ac:dyDescent="0.2">
      <c r="I24613" s="137" t="s">
        <v>74</v>
      </c>
    </row>
    <row r="24614" spans="9:9" x14ac:dyDescent="0.2">
      <c r="I24614" s="137" t="s">
        <v>74</v>
      </c>
    </row>
    <row r="24615" spans="9:9" x14ac:dyDescent="0.2">
      <c r="I24615" s="137" t="s">
        <v>74</v>
      </c>
    </row>
    <row r="24616" spans="9:9" x14ac:dyDescent="0.2">
      <c r="I24616" s="137" t="s">
        <v>74</v>
      </c>
    </row>
    <row r="24617" spans="9:9" x14ac:dyDescent="0.2">
      <c r="I24617" s="137" t="s">
        <v>74</v>
      </c>
    </row>
    <row r="24618" spans="9:9" x14ac:dyDescent="0.2">
      <c r="I24618" s="137" t="s">
        <v>74</v>
      </c>
    </row>
    <row r="24619" spans="9:9" x14ac:dyDescent="0.2">
      <c r="I24619" s="137" t="s">
        <v>74</v>
      </c>
    </row>
    <row r="24620" spans="9:9" x14ac:dyDescent="0.2">
      <c r="I24620" s="137" t="s">
        <v>74</v>
      </c>
    </row>
    <row r="24621" spans="9:9" x14ac:dyDescent="0.2">
      <c r="I24621" s="137" t="s">
        <v>74</v>
      </c>
    </row>
    <row r="24622" spans="9:9" x14ac:dyDescent="0.2">
      <c r="I24622" s="137" t="s">
        <v>74</v>
      </c>
    </row>
    <row r="24623" spans="9:9" x14ac:dyDescent="0.2">
      <c r="I24623" s="137" t="s">
        <v>74</v>
      </c>
    </row>
    <row r="24624" spans="9:9" x14ac:dyDescent="0.2">
      <c r="I24624" s="137" t="s">
        <v>74</v>
      </c>
    </row>
    <row r="24625" spans="9:9" x14ac:dyDescent="0.2">
      <c r="I24625" s="137" t="s">
        <v>74</v>
      </c>
    </row>
    <row r="24626" spans="9:9" x14ac:dyDescent="0.2">
      <c r="I24626" s="137" t="s">
        <v>74</v>
      </c>
    </row>
    <row r="24627" spans="9:9" x14ac:dyDescent="0.2">
      <c r="I24627" s="137" t="s">
        <v>74</v>
      </c>
    </row>
    <row r="24628" spans="9:9" x14ac:dyDescent="0.2">
      <c r="I24628" s="137" t="s">
        <v>74</v>
      </c>
    </row>
    <row r="24629" spans="9:9" x14ac:dyDescent="0.2">
      <c r="I24629" s="137" t="s">
        <v>74</v>
      </c>
    </row>
    <row r="24630" spans="9:9" x14ac:dyDescent="0.2">
      <c r="I24630" s="137" t="s">
        <v>74</v>
      </c>
    </row>
    <row r="24631" spans="9:9" x14ac:dyDescent="0.2">
      <c r="I24631" s="137" t="s">
        <v>74</v>
      </c>
    </row>
    <row r="24632" spans="9:9" x14ac:dyDescent="0.2">
      <c r="I24632" s="137" t="s">
        <v>74</v>
      </c>
    </row>
    <row r="24633" spans="9:9" x14ac:dyDescent="0.2">
      <c r="I24633" s="137" t="s">
        <v>74</v>
      </c>
    </row>
    <row r="24634" spans="9:9" x14ac:dyDescent="0.2">
      <c r="I24634" s="137" t="s">
        <v>74</v>
      </c>
    </row>
    <row r="24635" spans="9:9" x14ac:dyDescent="0.2">
      <c r="I24635" s="137" t="s">
        <v>74</v>
      </c>
    </row>
    <row r="24636" spans="9:9" x14ac:dyDescent="0.2">
      <c r="I24636" s="137" t="s">
        <v>74</v>
      </c>
    </row>
    <row r="24637" spans="9:9" x14ac:dyDescent="0.2">
      <c r="I24637" s="137" t="s">
        <v>74</v>
      </c>
    </row>
    <row r="24638" spans="9:9" x14ac:dyDescent="0.2">
      <c r="I24638" s="137" t="s">
        <v>74</v>
      </c>
    </row>
    <row r="24639" spans="9:9" x14ac:dyDescent="0.2">
      <c r="I24639" s="137" t="s">
        <v>74</v>
      </c>
    </row>
    <row r="24640" spans="9:9" x14ac:dyDescent="0.2">
      <c r="I24640" s="137" t="s">
        <v>74</v>
      </c>
    </row>
    <row r="24641" spans="9:9" x14ac:dyDescent="0.2">
      <c r="I24641" s="137" t="s">
        <v>74</v>
      </c>
    </row>
    <row r="24642" spans="9:9" x14ac:dyDescent="0.2">
      <c r="I24642" s="137" t="s">
        <v>74</v>
      </c>
    </row>
    <row r="24643" spans="9:9" x14ac:dyDescent="0.2">
      <c r="I24643" s="137" t="s">
        <v>74</v>
      </c>
    </row>
    <row r="24644" spans="9:9" x14ac:dyDescent="0.2">
      <c r="I24644" s="137" t="s">
        <v>74</v>
      </c>
    </row>
    <row r="24645" spans="9:9" x14ac:dyDescent="0.2">
      <c r="I24645" s="137" t="s">
        <v>74</v>
      </c>
    </row>
    <row r="24646" spans="9:9" x14ac:dyDescent="0.2">
      <c r="I24646" s="137" t="s">
        <v>74</v>
      </c>
    </row>
    <row r="24647" spans="9:9" x14ac:dyDescent="0.2">
      <c r="I24647" s="137" t="s">
        <v>74</v>
      </c>
    </row>
    <row r="24648" spans="9:9" x14ac:dyDescent="0.2">
      <c r="I24648" s="137" t="s">
        <v>74</v>
      </c>
    </row>
    <row r="24649" spans="9:9" x14ac:dyDescent="0.2">
      <c r="I24649" s="137" t="s">
        <v>74</v>
      </c>
    </row>
    <row r="24650" spans="9:9" x14ac:dyDescent="0.2">
      <c r="I24650" s="137" t="s">
        <v>74</v>
      </c>
    </row>
    <row r="24651" spans="9:9" x14ac:dyDescent="0.2">
      <c r="I24651" s="137" t="s">
        <v>74</v>
      </c>
    </row>
    <row r="24652" spans="9:9" x14ac:dyDescent="0.2">
      <c r="I24652" s="137" t="s">
        <v>74</v>
      </c>
    </row>
    <row r="24653" spans="9:9" x14ac:dyDescent="0.2">
      <c r="I24653" s="137" t="s">
        <v>74</v>
      </c>
    </row>
    <row r="24654" spans="9:9" x14ac:dyDescent="0.2">
      <c r="I24654" s="137" t="s">
        <v>74</v>
      </c>
    </row>
    <row r="24655" spans="9:9" x14ac:dyDescent="0.2">
      <c r="I24655" s="137" t="s">
        <v>74</v>
      </c>
    </row>
    <row r="24656" spans="9:9" x14ac:dyDescent="0.2">
      <c r="I24656" s="137" t="s">
        <v>74</v>
      </c>
    </row>
    <row r="24657" spans="9:9" x14ac:dyDescent="0.2">
      <c r="I24657" s="137" t="s">
        <v>74</v>
      </c>
    </row>
    <row r="24658" spans="9:9" x14ac:dyDescent="0.2">
      <c r="I24658" s="137" t="s">
        <v>74</v>
      </c>
    </row>
    <row r="24659" spans="9:9" x14ac:dyDescent="0.2">
      <c r="I24659" s="137" t="s">
        <v>74</v>
      </c>
    </row>
    <row r="24660" spans="9:9" x14ac:dyDescent="0.2">
      <c r="I24660" s="137" t="s">
        <v>74</v>
      </c>
    </row>
    <row r="24661" spans="9:9" x14ac:dyDescent="0.2">
      <c r="I24661" s="137" t="s">
        <v>74</v>
      </c>
    </row>
    <row r="24662" spans="9:9" x14ac:dyDescent="0.2">
      <c r="I24662" s="137" t="s">
        <v>74</v>
      </c>
    </row>
    <row r="24663" spans="9:9" x14ac:dyDescent="0.2">
      <c r="I24663" s="137" t="s">
        <v>74</v>
      </c>
    </row>
    <row r="24664" spans="9:9" x14ac:dyDescent="0.2">
      <c r="I24664" s="137" t="s">
        <v>74</v>
      </c>
    </row>
    <row r="24665" spans="9:9" x14ac:dyDescent="0.2">
      <c r="I24665" s="137" t="s">
        <v>74</v>
      </c>
    </row>
    <row r="24666" spans="9:9" x14ac:dyDescent="0.2">
      <c r="I24666" s="137" t="s">
        <v>74</v>
      </c>
    </row>
    <row r="24667" spans="9:9" x14ac:dyDescent="0.2">
      <c r="I24667" s="137" t="s">
        <v>74</v>
      </c>
    </row>
    <row r="24668" spans="9:9" x14ac:dyDescent="0.2">
      <c r="I24668" s="137" t="s">
        <v>74</v>
      </c>
    </row>
    <row r="24669" spans="9:9" x14ac:dyDescent="0.2">
      <c r="I24669" s="137" t="s">
        <v>74</v>
      </c>
    </row>
    <row r="24670" spans="9:9" x14ac:dyDescent="0.2">
      <c r="I24670" s="137" t="s">
        <v>74</v>
      </c>
    </row>
    <row r="24671" spans="9:9" x14ac:dyDescent="0.2">
      <c r="I24671" s="137" t="s">
        <v>74</v>
      </c>
    </row>
    <row r="24672" spans="9:9" x14ac:dyDescent="0.2">
      <c r="I24672" s="137" t="s">
        <v>74</v>
      </c>
    </row>
    <row r="24673" spans="9:9" x14ac:dyDescent="0.2">
      <c r="I24673" s="137" t="s">
        <v>74</v>
      </c>
    </row>
    <row r="24674" spans="9:9" x14ac:dyDescent="0.2">
      <c r="I24674" s="137" t="s">
        <v>74</v>
      </c>
    </row>
    <row r="24675" spans="9:9" x14ac:dyDescent="0.2">
      <c r="I24675" s="137" t="s">
        <v>74</v>
      </c>
    </row>
    <row r="24676" spans="9:9" x14ac:dyDescent="0.2">
      <c r="I24676" s="137" t="s">
        <v>74</v>
      </c>
    </row>
    <row r="24677" spans="9:9" x14ac:dyDescent="0.2">
      <c r="I24677" s="137" t="s">
        <v>74</v>
      </c>
    </row>
    <row r="24678" spans="9:9" x14ac:dyDescent="0.2">
      <c r="I24678" s="137" t="s">
        <v>74</v>
      </c>
    </row>
    <row r="24679" spans="9:9" x14ac:dyDescent="0.2">
      <c r="I24679" s="137" t="s">
        <v>74</v>
      </c>
    </row>
    <row r="24680" spans="9:9" x14ac:dyDescent="0.2">
      <c r="I24680" s="137" t="s">
        <v>74</v>
      </c>
    </row>
    <row r="24681" spans="9:9" x14ac:dyDescent="0.2">
      <c r="I24681" s="137" t="s">
        <v>74</v>
      </c>
    </row>
    <row r="24682" spans="9:9" x14ac:dyDescent="0.2">
      <c r="I24682" s="137" t="s">
        <v>74</v>
      </c>
    </row>
    <row r="24683" spans="9:9" x14ac:dyDescent="0.2">
      <c r="I24683" s="137" t="s">
        <v>74</v>
      </c>
    </row>
    <row r="24684" spans="9:9" x14ac:dyDescent="0.2">
      <c r="I24684" s="137" t="s">
        <v>74</v>
      </c>
    </row>
    <row r="24685" spans="9:9" x14ac:dyDescent="0.2">
      <c r="I24685" s="137" t="s">
        <v>74</v>
      </c>
    </row>
    <row r="24686" spans="9:9" x14ac:dyDescent="0.2">
      <c r="I24686" s="137" t="s">
        <v>74</v>
      </c>
    </row>
    <row r="24687" spans="9:9" x14ac:dyDescent="0.2">
      <c r="I24687" s="137" t="s">
        <v>74</v>
      </c>
    </row>
    <row r="24688" spans="9:9" x14ac:dyDescent="0.2">
      <c r="I24688" s="137" t="s">
        <v>74</v>
      </c>
    </row>
    <row r="24689" spans="9:9" x14ac:dyDescent="0.2">
      <c r="I24689" s="137" t="s">
        <v>74</v>
      </c>
    </row>
    <row r="24690" spans="9:9" x14ac:dyDescent="0.2">
      <c r="I24690" s="137" t="s">
        <v>74</v>
      </c>
    </row>
    <row r="24691" spans="9:9" x14ac:dyDescent="0.2">
      <c r="I24691" s="137" t="s">
        <v>74</v>
      </c>
    </row>
    <row r="24692" spans="9:9" x14ac:dyDescent="0.2">
      <c r="I24692" s="137" t="s">
        <v>74</v>
      </c>
    </row>
    <row r="24693" spans="9:9" x14ac:dyDescent="0.2">
      <c r="I24693" s="137" t="s">
        <v>74</v>
      </c>
    </row>
    <row r="24694" spans="9:9" x14ac:dyDescent="0.2">
      <c r="I24694" s="137" t="s">
        <v>74</v>
      </c>
    </row>
    <row r="24695" spans="9:9" x14ac:dyDescent="0.2">
      <c r="I24695" s="137" t="s">
        <v>74</v>
      </c>
    </row>
    <row r="24696" spans="9:9" x14ac:dyDescent="0.2">
      <c r="I24696" s="137" t="s">
        <v>74</v>
      </c>
    </row>
    <row r="24697" spans="9:9" x14ac:dyDescent="0.2">
      <c r="I24697" s="137" t="s">
        <v>74</v>
      </c>
    </row>
    <row r="24698" spans="9:9" x14ac:dyDescent="0.2">
      <c r="I24698" s="137" t="s">
        <v>74</v>
      </c>
    </row>
    <row r="24699" spans="9:9" x14ac:dyDescent="0.2">
      <c r="I24699" s="137" t="s">
        <v>74</v>
      </c>
    </row>
    <row r="24700" spans="9:9" x14ac:dyDescent="0.2">
      <c r="I24700" s="137" t="s">
        <v>74</v>
      </c>
    </row>
    <row r="24701" spans="9:9" x14ac:dyDescent="0.2">
      <c r="I24701" s="137" t="s">
        <v>74</v>
      </c>
    </row>
    <row r="24702" spans="9:9" x14ac:dyDescent="0.2">
      <c r="I24702" s="137" t="s">
        <v>74</v>
      </c>
    </row>
    <row r="24703" spans="9:9" x14ac:dyDescent="0.2">
      <c r="I24703" s="137" t="s">
        <v>74</v>
      </c>
    </row>
    <row r="24704" spans="9:9" x14ac:dyDescent="0.2">
      <c r="I24704" s="137" t="s">
        <v>74</v>
      </c>
    </row>
    <row r="24705" spans="9:9" x14ac:dyDescent="0.2">
      <c r="I24705" s="137" t="s">
        <v>74</v>
      </c>
    </row>
    <row r="24706" spans="9:9" x14ac:dyDescent="0.2">
      <c r="I24706" s="137" t="s">
        <v>74</v>
      </c>
    </row>
    <row r="24707" spans="9:9" x14ac:dyDescent="0.2">
      <c r="I24707" s="137" t="s">
        <v>74</v>
      </c>
    </row>
    <row r="24708" spans="9:9" x14ac:dyDescent="0.2">
      <c r="I24708" s="137" t="s">
        <v>74</v>
      </c>
    </row>
    <row r="24709" spans="9:9" x14ac:dyDescent="0.2">
      <c r="I24709" s="137" t="s">
        <v>74</v>
      </c>
    </row>
    <row r="24710" spans="9:9" x14ac:dyDescent="0.2">
      <c r="I24710" s="137" t="s">
        <v>74</v>
      </c>
    </row>
    <row r="24711" spans="9:9" x14ac:dyDescent="0.2">
      <c r="I24711" s="137" t="s">
        <v>74</v>
      </c>
    </row>
    <row r="24712" spans="9:9" x14ac:dyDescent="0.2">
      <c r="I24712" s="137" t="s">
        <v>74</v>
      </c>
    </row>
    <row r="24713" spans="9:9" x14ac:dyDescent="0.2">
      <c r="I24713" s="137" t="s">
        <v>74</v>
      </c>
    </row>
    <row r="24714" spans="9:9" x14ac:dyDescent="0.2">
      <c r="I24714" s="137" t="s">
        <v>74</v>
      </c>
    </row>
    <row r="24715" spans="9:9" x14ac:dyDescent="0.2">
      <c r="I24715" s="137" t="s">
        <v>74</v>
      </c>
    </row>
    <row r="24716" spans="9:9" x14ac:dyDescent="0.2">
      <c r="I24716" s="137" t="s">
        <v>74</v>
      </c>
    </row>
    <row r="24717" spans="9:9" x14ac:dyDescent="0.2">
      <c r="I24717" s="137" t="s">
        <v>74</v>
      </c>
    </row>
    <row r="24718" spans="9:9" x14ac:dyDescent="0.2">
      <c r="I24718" s="137" t="s">
        <v>74</v>
      </c>
    </row>
    <row r="24719" spans="9:9" x14ac:dyDescent="0.2">
      <c r="I24719" s="137" t="s">
        <v>74</v>
      </c>
    </row>
    <row r="24720" spans="9:9" x14ac:dyDescent="0.2">
      <c r="I24720" s="137" t="s">
        <v>74</v>
      </c>
    </row>
    <row r="24721" spans="9:9" x14ac:dyDescent="0.2">
      <c r="I24721" s="137" t="s">
        <v>74</v>
      </c>
    </row>
    <row r="24722" spans="9:9" x14ac:dyDescent="0.2">
      <c r="I24722" s="137" t="s">
        <v>74</v>
      </c>
    </row>
    <row r="24723" spans="9:9" x14ac:dyDescent="0.2">
      <c r="I24723" s="137" t="s">
        <v>74</v>
      </c>
    </row>
    <row r="24724" spans="9:9" x14ac:dyDescent="0.2">
      <c r="I24724" s="137" t="s">
        <v>74</v>
      </c>
    </row>
    <row r="24725" spans="9:9" x14ac:dyDescent="0.2">
      <c r="I24725" s="137" t="s">
        <v>74</v>
      </c>
    </row>
    <row r="24726" spans="9:9" x14ac:dyDescent="0.2">
      <c r="I24726" s="137" t="s">
        <v>74</v>
      </c>
    </row>
    <row r="24727" spans="9:9" x14ac:dyDescent="0.2">
      <c r="I24727" s="137" t="s">
        <v>74</v>
      </c>
    </row>
    <row r="24728" spans="9:9" x14ac:dyDescent="0.2">
      <c r="I24728" s="137" t="s">
        <v>74</v>
      </c>
    </row>
    <row r="24729" spans="9:9" x14ac:dyDescent="0.2">
      <c r="I24729" s="137" t="s">
        <v>74</v>
      </c>
    </row>
    <row r="24730" spans="9:9" x14ac:dyDescent="0.2">
      <c r="I24730" s="137" t="s">
        <v>74</v>
      </c>
    </row>
    <row r="24731" spans="9:9" x14ac:dyDescent="0.2">
      <c r="I24731" s="137" t="s">
        <v>74</v>
      </c>
    </row>
    <row r="24732" spans="9:9" x14ac:dyDescent="0.2">
      <c r="I24732" s="137" t="s">
        <v>74</v>
      </c>
    </row>
    <row r="24733" spans="9:9" x14ac:dyDescent="0.2">
      <c r="I24733" s="137" t="s">
        <v>74</v>
      </c>
    </row>
    <row r="24734" spans="9:9" x14ac:dyDescent="0.2">
      <c r="I24734" s="137" t="s">
        <v>74</v>
      </c>
    </row>
    <row r="24735" spans="9:9" x14ac:dyDescent="0.2">
      <c r="I24735" s="137" t="s">
        <v>74</v>
      </c>
    </row>
    <row r="24736" spans="9:9" x14ac:dyDescent="0.2">
      <c r="I24736" s="137" t="s">
        <v>74</v>
      </c>
    </row>
    <row r="24737" spans="9:9" x14ac:dyDescent="0.2">
      <c r="I24737" s="137" t="s">
        <v>74</v>
      </c>
    </row>
    <row r="24738" spans="9:9" x14ac:dyDescent="0.2">
      <c r="I24738" s="137" t="s">
        <v>74</v>
      </c>
    </row>
    <row r="24739" spans="9:9" x14ac:dyDescent="0.2">
      <c r="I24739" s="137" t="s">
        <v>74</v>
      </c>
    </row>
    <row r="24740" spans="9:9" x14ac:dyDescent="0.2">
      <c r="I24740" s="137" t="s">
        <v>74</v>
      </c>
    </row>
    <row r="24741" spans="9:9" x14ac:dyDescent="0.2">
      <c r="I24741" s="137" t="s">
        <v>74</v>
      </c>
    </row>
    <row r="24742" spans="9:9" x14ac:dyDescent="0.2">
      <c r="I24742" s="137" t="s">
        <v>74</v>
      </c>
    </row>
    <row r="24743" spans="9:9" x14ac:dyDescent="0.2">
      <c r="I24743" s="137" t="s">
        <v>74</v>
      </c>
    </row>
    <row r="24744" spans="9:9" x14ac:dyDescent="0.2">
      <c r="I24744" s="137" t="s">
        <v>74</v>
      </c>
    </row>
    <row r="24745" spans="9:9" x14ac:dyDescent="0.2">
      <c r="I24745" s="137" t="s">
        <v>74</v>
      </c>
    </row>
    <row r="24746" spans="9:9" x14ac:dyDescent="0.2">
      <c r="I24746" s="137" t="s">
        <v>74</v>
      </c>
    </row>
    <row r="24747" spans="9:9" x14ac:dyDescent="0.2">
      <c r="I24747" s="137" t="s">
        <v>74</v>
      </c>
    </row>
    <row r="24748" spans="9:9" x14ac:dyDescent="0.2">
      <c r="I24748" s="137" t="s">
        <v>74</v>
      </c>
    </row>
    <row r="24749" spans="9:9" x14ac:dyDescent="0.2">
      <c r="I24749" s="137" t="s">
        <v>74</v>
      </c>
    </row>
    <row r="24750" spans="9:9" x14ac:dyDescent="0.2">
      <c r="I24750" s="137" t="s">
        <v>74</v>
      </c>
    </row>
    <row r="24751" spans="9:9" x14ac:dyDescent="0.2">
      <c r="I24751" s="137" t="s">
        <v>74</v>
      </c>
    </row>
    <row r="24752" spans="9:9" x14ac:dyDescent="0.2">
      <c r="I24752" s="137" t="s">
        <v>74</v>
      </c>
    </row>
    <row r="24753" spans="9:9" x14ac:dyDescent="0.2">
      <c r="I24753" s="137" t="s">
        <v>74</v>
      </c>
    </row>
    <row r="24754" spans="9:9" x14ac:dyDescent="0.2">
      <c r="I24754" s="137" t="s">
        <v>74</v>
      </c>
    </row>
    <row r="24755" spans="9:9" x14ac:dyDescent="0.2">
      <c r="I24755" s="137" t="s">
        <v>74</v>
      </c>
    </row>
    <row r="24756" spans="9:9" x14ac:dyDescent="0.2">
      <c r="I24756" s="137" t="s">
        <v>74</v>
      </c>
    </row>
    <row r="24757" spans="9:9" x14ac:dyDescent="0.2">
      <c r="I24757" s="137" t="s">
        <v>74</v>
      </c>
    </row>
    <row r="24758" spans="9:9" x14ac:dyDescent="0.2">
      <c r="I24758" s="137" t="s">
        <v>74</v>
      </c>
    </row>
    <row r="24759" spans="9:9" x14ac:dyDescent="0.2">
      <c r="I24759" s="137" t="s">
        <v>74</v>
      </c>
    </row>
    <row r="24760" spans="9:9" x14ac:dyDescent="0.2">
      <c r="I24760" s="137" t="s">
        <v>74</v>
      </c>
    </row>
    <row r="24761" spans="9:9" x14ac:dyDescent="0.2">
      <c r="I24761" s="137" t="s">
        <v>74</v>
      </c>
    </row>
    <row r="24762" spans="9:9" x14ac:dyDescent="0.2">
      <c r="I24762" s="137" t="s">
        <v>74</v>
      </c>
    </row>
    <row r="24763" spans="9:9" x14ac:dyDescent="0.2">
      <c r="I24763" s="137" t="s">
        <v>74</v>
      </c>
    </row>
    <row r="24764" spans="9:9" x14ac:dyDescent="0.2">
      <c r="I24764" s="137" t="s">
        <v>74</v>
      </c>
    </row>
    <row r="24765" spans="9:9" x14ac:dyDescent="0.2">
      <c r="I24765" s="137" t="s">
        <v>74</v>
      </c>
    </row>
    <row r="24766" spans="9:9" x14ac:dyDescent="0.2">
      <c r="I24766" s="137" t="s">
        <v>74</v>
      </c>
    </row>
    <row r="24767" spans="9:9" x14ac:dyDescent="0.2">
      <c r="I24767" s="137" t="s">
        <v>74</v>
      </c>
    </row>
    <row r="24768" spans="9:9" x14ac:dyDescent="0.2">
      <c r="I24768" s="137" t="s">
        <v>74</v>
      </c>
    </row>
    <row r="24769" spans="9:9" x14ac:dyDescent="0.2">
      <c r="I24769" s="137" t="s">
        <v>74</v>
      </c>
    </row>
    <row r="24770" spans="9:9" x14ac:dyDescent="0.2">
      <c r="I24770" s="137" t="s">
        <v>74</v>
      </c>
    </row>
    <row r="24771" spans="9:9" x14ac:dyDescent="0.2">
      <c r="I24771" s="137" t="s">
        <v>74</v>
      </c>
    </row>
    <row r="24772" spans="9:9" x14ac:dyDescent="0.2">
      <c r="I24772" s="137" t="s">
        <v>74</v>
      </c>
    </row>
    <row r="24773" spans="9:9" x14ac:dyDescent="0.2">
      <c r="I24773" s="137" t="s">
        <v>74</v>
      </c>
    </row>
    <row r="24774" spans="9:9" x14ac:dyDescent="0.2">
      <c r="I24774" s="137" t="s">
        <v>74</v>
      </c>
    </row>
    <row r="24775" spans="9:9" x14ac:dyDescent="0.2">
      <c r="I24775" s="137" t="s">
        <v>74</v>
      </c>
    </row>
    <row r="24776" spans="9:9" x14ac:dyDescent="0.2">
      <c r="I24776" s="137" t="s">
        <v>74</v>
      </c>
    </row>
    <row r="24777" spans="9:9" x14ac:dyDescent="0.2">
      <c r="I24777" s="137" t="s">
        <v>74</v>
      </c>
    </row>
    <row r="24778" spans="9:9" x14ac:dyDescent="0.2">
      <c r="I24778" s="137" t="s">
        <v>74</v>
      </c>
    </row>
    <row r="24779" spans="9:9" x14ac:dyDescent="0.2">
      <c r="I24779" s="137" t="s">
        <v>74</v>
      </c>
    </row>
    <row r="24780" spans="9:9" x14ac:dyDescent="0.2">
      <c r="I24780" s="137" t="s">
        <v>74</v>
      </c>
    </row>
    <row r="24781" spans="9:9" x14ac:dyDescent="0.2">
      <c r="I24781" s="137" t="s">
        <v>74</v>
      </c>
    </row>
    <row r="24782" spans="9:9" x14ac:dyDescent="0.2">
      <c r="I24782" s="137" t="s">
        <v>74</v>
      </c>
    </row>
    <row r="24783" spans="9:9" x14ac:dyDescent="0.2">
      <c r="I24783" s="137" t="s">
        <v>74</v>
      </c>
    </row>
    <row r="24784" spans="9:9" x14ac:dyDescent="0.2">
      <c r="I24784" s="137" t="s">
        <v>74</v>
      </c>
    </row>
    <row r="24785" spans="9:9" x14ac:dyDescent="0.2">
      <c r="I24785" s="137" t="s">
        <v>74</v>
      </c>
    </row>
    <row r="24786" spans="9:9" x14ac:dyDescent="0.2">
      <c r="I24786" s="137" t="s">
        <v>74</v>
      </c>
    </row>
    <row r="24787" spans="9:9" x14ac:dyDescent="0.2">
      <c r="I24787" s="137" t="s">
        <v>74</v>
      </c>
    </row>
    <row r="24788" spans="9:9" x14ac:dyDescent="0.2">
      <c r="I24788" s="137" t="s">
        <v>74</v>
      </c>
    </row>
    <row r="24789" spans="9:9" x14ac:dyDescent="0.2">
      <c r="I24789" s="137" t="s">
        <v>74</v>
      </c>
    </row>
    <row r="24790" spans="9:9" x14ac:dyDescent="0.2">
      <c r="I24790" s="137" t="s">
        <v>74</v>
      </c>
    </row>
    <row r="24791" spans="9:9" x14ac:dyDescent="0.2">
      <c r="I24791" s="137" t="s">
        <v>74</v>
      </c>
    </row>
    <row r="24792" spans="9:9" x14ac:dyDescent="0.2">
      <c r="I24792" s="137" t="s">
        <v>74</v>
      </c>
    </row>
    <row r="24793" spans="9:9" x14ac:dyDescent="0.2">
      <c r="I24793" s="137" t="s">
        <v>74</v>
      </c>
    </row>
    <row r="24794" spans="9:9" x14ac:dyDescent="0.2">
      <c r="I24794" s="137" t="s">
        <v>74</v>
      </c>
    </row>
    <row r="24795" spans="9:9" x14ac:dyDescent="0.2">
      <c r="I24795" s="137" t="s">
        <v>74</v>
      </c>
    </row>
    <row r="24796" spans="9:9" x14ac:dyDescent="0.2">
      <c r="I24796" s="137" t="s">
        <v>74</v>
      </c>
    </row>
    <row r="24797" spans="9:9" x14ac:dyDescent="0.2">
      <c r="I24797" s="137" t="s">
        <v>74</v>
      </c>
    </row>
    <row r="24798" spans="9:9" x14ac:dyDescent="0.2">
      <c r="I24798" s="137" t="s">
        <v>74</v>
      </c>
    </row>
    <row r="24799" spans="9:9" x14ac:dyDescent="0.2">
      <c r="I24799" s="137" t="s">
        <v>74</v>
      </c>
    </row>
    <row r="24800" spans="9:9" x14ac:dyDescent="0.2">
      <c r="I24800" s="137" t="s">
        <v>74</v>
      </c>
    </row>
    <row r="24801" spans="9:9" x14ac:dyDescent="0.2">
      <c r="I24801" s="137" t="s">
        <v>74</v>
      </c>
    </row>
    <row r="24802" spans="9:9" x14ac:dyDescent="0.2">
      <c r="I24802" s="137" t="s">
        <v>74</v>
      </c>
    </row>
    <row r="24803" spans="9:9" x14ac:dyDescent="0.2">
      <c r="I24803" s="137" t="s">
        <v>74</v>
      </c>
    </row>
    <row r="24804" spans="9:9" x14ac:dyDescent="0.2">
      <c r="I24804" s="137" t="s">
        <v>74</v>
      </c>
    </row>
    <row r="24805" spans="9:9" x14ac:dyDescent="0.2">
      <c r="I24805" s="137" t="s">
        <v>74</v>
      </c>
    </row>
    <row r="24806" spans="9:9" x14ac:dyDescent="0.2">
      <c r="I24806" s="137" t="s">
        <v>74</v>
      </c>
    </row>
    <row r="24807" spans="9:9" x14ac:dyDescent="0.2">
      <c r="I24807" s="137" t="s">
        <v>74</v>
      </c>
    </row>
    <row r="24808" spans="9:9" x14ac:dyDescent="0.2">
      <c r="I24808" s="137" t="s">
        <v>74</v>
      </c>
    </row>
    <row r="24809" spans="9:9" x14ac:dyDescent="0.2">
      <c r="I24809" s="137" t="s">
        <v>74</v>
      </c>
    </row>
    <row r="24810" spans="9:9" x14ac:dyDescent="0.2">
      <c r="I24810" s="137" t="s">
        <v>74</v>
      </c>
    </row>
    <row r="24811" spans="9:9" x14ac:dyDescent="0.2">
      <c r="I24811" s="137" t="s">
        <v>74</v>
      </c>
    </row>
    <row r="24812" spans="9:9" x14ac:dyDescent="0.2">
      <c r="I24812" s="137" t="s">
        <v>74</v>
      </c>
    </row>
    <row r="24813" spans="9:9" x14ac:dyDescent="0.2">
      <c r="I24813" s="137" t="s">
        <v>74</v>
      </c>
    </row>
    <row r="24814" spans="9:9" x14ac:dyDescent="0.2">
      <c r="I24814" s="137" t="s">
        <v>74</v>
      </c>
    </row>
    <row r="24815" spans="9:9" x14ac:dyDescent="0.2">
      <c r="I24815" s="137" t="s">
        <v>74</v>
      </c>
    </row>
    <row r="24816" spans="9:9" x14ac:dyDescent="0.2">
      <c r="I24816" s="137" t="s">
        <v>74</v>
      </c>
    </row>
    <row r="24817" spans="9:9" x14ac:dyDescent="0.2">
      <c r="I24817" s="137" t="s">
        <v>74</v>
      </c>
    </row>
    <row r="24818" spans="9:9" x14ac:dyDescent="0.2">
      <c r="I24818" s="137" t="s">
        <v>74</v>
      </c>
    </row>
    <row r="24819" spans="9:9" x14ac:dyDescent="0.2">
      <c r="I24819" s="137" t="s">
        <v>74</v>
      </c>
    </row>
    <row r="24820" spans="9:9" x14ac:dyDescent="0.2">
      <c r="I24820" s="137" t="s">
        <v>74</v>
      </c>
    </row>
    <row r="24821" spans="9:9" x14ac:dyDescent="0.2">
      <c r="I24821" s="137" t="s">
        <v>74</v>
      </c>
    </row>
    <row r="24822" spans="9:9" x14ac:dyDescent="0.2">
      <c r="I24822" s="137" t="s">
        <v>74</v>
      </c>
    </row>
    <row r="24823" spans="9:9" x14ac:dyDescent="0.2">
      <c r="I24823" s="137" t="s">
        <v>74</v>
      </c>
    </row>
    <row r="24824" spans="9:9" x14ac:dyDescent="0.2">
      <c r="I24824" s="137" t="s">
        <v>74</v>
      </c>
    </row>
    <row r="24825" spans="9:9" x14ac:dyDescent="0.2">
      <c r="I24825" s="137" t="s">
        <v>74</v>
      </c>
    </row>
    <row r="24826" spans="9:9" x14ac:dyDescent="0.2">
      <c r="I24826" s="137" t="s">
        <v>74</v>
      </c>
    </row>
    <row r="24827" spans="9:9" x14ac:dyDescent="0.2">
      <c r="I24827" s="137" t="s">
        <v>74</v>
      </c>
    </row>
    <row r="24828" spans="9:9" x14ac:dyDescent="0.2">
      <c r="I24828" s="137" t="s">
        <v>74</v>
      </c>
    </row>
    <row r="24829" spans="9:9" x14ac:dyDescent="0.2">
      <c r="I24829" s="137" t="s">
        <v>74</v>
      </c>
    </row>
    <row r="24830" spans="9:9" x14ac:dyDescent="0.2">
      <c r="I24830" s="137" t="s">
        <v>74</v>
      </c>
    </row>
    <row r="24831" spans="9:9" x14ac:dyDescent="0.2">
      <c r="I24831" s="137" t="s">
        <v>74</v>
      </c>
    </row>
    <row r="24832" spans="9:9" x14ac:dyDescent="0.2">
      <c r="I24832" s="137" t="s">
        <v>74</v>
      </c>
    </row>
    <row r="24833" spans="9:9" x14ac:dyDescent="0.2">
      <c r="I24833" s="137" t="s">
        <v>74</v>
      </c>
    </row>
    <row r="24834" spans="9:9" x14ac:dyDescent="0.2">
      <c r="I24834" s="137" t="s">
        <v>74</v>
      </c>
    </row>
    <row r="24835" spans="9:9" x14ac:dyDescent="0.2">
      <c r="I24835" s="137" t="s">
        <v>74</v>
      </c>
    </row>
    <row r="24836" spans="9:9" x14ac:dyDescent="0.2">
      <c r="I24836" s="137" t="s">
        <v>74</v>
      </c>
    </row>
    <row r="24837" spans="9:9" x14ac:dyDescent="0.2">
      <c r="I24837" s="137" t="s">
        <v>74</v>
      </c>
    </row>
    <row r="24838" spans="9:9" x14ac:dyDescent="0.2">
      <c r="I24838" s="137" t="s">
        <v>74</v>
      </c>
    </row>
    <row r="24839" spans="9:9" x14ac:dyDescent="0.2">
      <c r="I24839" s="137" t="s">
        <v>74</v>
      </c>
    </row>
    <row r="24840" spans="9:9" x14ac:dyDescent="0.2">
      <c r="I24840" s="137" t="s">
        <v>74</v>
      </c>
    </row>
    <row r="24841" spans="9:9" x14ac:dyDescent="0.2">
      <c r="I24841" s="137" t="s">
        <v>74</v>
      </c>
    </row>
    <row r="24842" spans="9:9" x14ac:dyDescent="0.2">
      <c r="I24842" s="137" t="s">
        <v>74</v>
      </c>
    </row>
    <row r="24843" spans="9:9" x14ac:dyDescent="0.2">
      <c r="I24843" s="137" t="s">
        <v>74</v>
      </c>
    </row>
    <row r="24844" spans="9:9" x14ac:dyDescent="0.2">
      <c r="I24844" s="137" t="s">
        <v>74</v>
      </c>
    </row>
    <row r="24845" spans="9:9" x14ac:dyDescent="0.2">
      <c r="I24845" s="137" t="s">
        <v>74</v>
      </c>
    </row>
    <row r="24846" spans="9:9" x14ac:dyDescent="0.2">
      <c r="I24846" s="137" t="s">
        <v>74</v>
      </c>
    </row>
    <row r="24847" spans="9:9" x14ac:dyDescent="0.2">
      <c r="I24847" s="137" t="s">
        <v>74</v>
      </c>
    </row>
    <row r="24848" spans="9:9" x14ac:dyDescent="0.2">
      <c r="I24848" s="137" t="s">
        <v>74</v>
      </c>
    </row>
    <row r="24849" spans="9:9" x14ac:dyDescent="0.2">
      <c r="I24849" s="137" t="s">
        <v>74</v>
      </c>
    </row>
    <row r="24850" spans="9:9" x14ac:dyDescent="0.2">
      <c r="I24850" s="137" t="s">
        <v>74</v>
      </c>
    </row>
    <row r="24851" spans="9:9" x14ac:dyDescent="0.2">
      <c r="I24851" s="137" t="s">
        <v>74</v>
      </c>
    </row>
    <row r="24852" spans="9:9" x14ac:dyDescent="0.2">
      <c r="I24852" s="137" t="s">
        <v>74</v>
      </c>
    </row>
    <row r="24853" spans="9:9" x14ac:dyDescent="0.2">
      <c r="I24853" s="137" t="s">
        <v>74</v>
      </c>
    </row>
    <row r="24854" spans="9:9" x14ac:dyDescent="0.2">
      <c r="I24854" s="137" t="s">
        <v>74</v>
      </c>
    </row>
    <row r="24855" spans="9:9" x14ac:dyDescent="0.2">
      <c r="I24855" s="137" t="s">
        <v>74</v>
      </c>
    </row>
    <row r="24856" spans="9:9" x14ac:dyDescent="0.2">
      <c r="I24856" s="137" t="s">
        <v>74</v>
      </c>
    </row>
    <row r="24857" spans="9:9" x14ac:dyDescent="0.2">
      <c r="I24857" s="137" t="s">
        <v>74</v>
      </c>
    </row>
    <row r="24858" spans="9:9" x14ac:dyDescent="0.2">
      <c r="I24858" s="137" t="s">
        <v>74</v>
      </c>
    </row>
    <row r="24859" spans="9:9" x14ac:dyDescent="0.2">
      <c r="I24859" s="137" t="s">
        <v>74</v>
      </c>
    </row>
    <row r="24860" spans="9:9" x14ac:dyDescent="0.2">
      <c r="I24860" s="137" t="s">
        <v>74</v>
      </c>
    </row>
    <row r="24861" spans="9:9" x14ac:dyDescent="0.2">
      <c r="I24861" s="137" t="s">
        <v>74</v>
      </c>
    </row>
    <row r="24862" spans="9:9" x14ac:dyDescent="0.2">
      <c r="I24862" s="137" t="s">
        <v>74</v>
      </c>
    </row>
    <row r="24863" spans="9:9" x14ac:dyDescent="0.2">
      <c r="I24863" s="137" t="s">
        <v>74</v>
      </c>
    </row>
    <row r="24864" spans="9:9" x14ac:dyDescent="0.2">
      <c r="I24864" s="137" t="s">
        <v>74</v>
      </c>
    </row>
    <row r="24865" spans="9:9" x14ac:dyDescent="0.2">
      <c r="I24865" s="137" t="s">
        <v>74</v>
      </c>
    </row>
    <row r="24866" spans="9:9" x14ac:dyDescent="0.2">
      <c r="I24866" s="137" t="s">
        <v>74</v>
      </c>
    </row>
    <row r="24867" spans="9:9" x14ac:dyDescent="0.2">
      <c r="I24867" s="137" t="s">
        <v>74</v>
      </c>
    </row>
    <row r="24868" spans="9:9" x14ac:dyDescent="0.2">
      <c r="I24868" s="137" t="s">
        <v>74</v>
      </c>
    </row>
    <row r="24869" spans="9:9" x14ac:dyDescent="0.2">
      <c r="I24869" s="137" t="s">
        <v>74</v>
      </c>
    </row>
    <row r="24870" spans="9:9" x14ac:dyDescent="0.2">
      <c r="I24870" s="137" t="s">
        <v>74</v>
      </c>
    </row>
    <row r="24871" spans="9:9" x14ac:dyDescent="0.2">
      <c r="I24871" s="137" t="s">
        <v>74</v>
      </c>
    </row>
    <row r="24872" spans="9:9" x14ac:dyDescent="0.2">
      <c r="I24872" s="137" t="s">
        <v>74</v>
      </c>
    </row>
    <row r="24873" spans="9:9" x14ac:dyDescent="0.2">
      <c r="I24873" s="137" t="s">
        <v>74</v>
      </c>
    </row>
    <row r="24874" spans="9:9" x14ac:dyDescent="0.2">
      <c r="I24874" s="137" t="s">
        <v>74</v>
      </c>
    </row>
    <row r="24875" spans="9:9" x14ac:dyDescent="0.2">
      <c r="I24875" s="137" t="s">
        <v>74</v>
      </c>
    </row>
    <row r="24876" spans="9:9" x14ac:dyDescent="0.2">
      <c r="I24876" s="137" t="s">
        <v>74</v>
      </c>
    </row>
    <row r="24877" spans="9:9" x14ac:dyDescent="0.2">
      <c r="I24877" s="137" t="s">
        <v>74</v>
      </c>
    </row>
    <row r="24878" spans="9:9" x14ac:dyDescent="0.2">
      <c r="I24878" s="137" t="s">
        <v>74</v>
      </c>
    </row>
    <row r="24879" spans="9:9" x14ac:dyDescent="0.2">
      <c r="I24879" s="137" t="s">
        <v>74</v>
      </c>
    </row>
    <row r="24880" spans="9:9" x14ac:dyDescent="0.2">
      <c r="I24880" s="137" t="s">
        <v>74</v>
      </c>
    </row>
    <row r="24881" spans="9:9" x14ac:dyDescent="0.2">
      <c r="I24881" s="137" t="s">
        <v>74</v>
      </c>
    </row>
    <row r="24882" spans="9:9" x14ac:dyDescent="0.2">
      <c r="I24882" s="137" t="s">
        <v>74</v>
      </c>
    </row>
    <row r="24883" spans="9:9" x14ac:dyDescent="0.2">
      <c r="I24883" s="137" t="s">
        <v>74</v>
      </c>
    </row>
    <row r="24884" spans="9:9" x14ac:dyDescent="0.2">
      <c r="I24884" s="137" t="s">
        <v>74</v>
      </c>
    </row>
    <row r="24885" spans="9:9" x14ac:dyDescent="0.2">
      <c r="I24885" s="137" t="s">
        <v>74</v>
      </c>
    </row>
    <row r="24886" spans="9:9" x14ac:dyDescent="0.2">
      <c r="I24886" s="137" t="s">
        <v>74</v>
      </c>
    </row>
    <row r="24887" spans="9:9" x14ac:dyDescent="0.2">
      <c r="I24887" s="137" t="s">
        <v>74</v>
      </c>
    </row>
    <row r="24888" spans="9:9" x14ac:dyDescent="0.2">
      <c r="I24888" s="137" t="s">
        <v>74</v>
      </c>
    </row>
    <row r="24889" spans="9:9" x14ac:dyDescent="0.2">
      <c r="I24889" s="137" t="s">
        <v>74</v>
      </c>
    </row>
    <row r="24890" spans="9:9" x14ac:dyDescent="0.2">
      <c r="I24890" s="137" t="s">
        <v>74</v>
      </c>
    </row>
    <row r="24891" spans="9:9" x14ac:dyDescent="0.2">
      <c r="I24891" s="137" t="s">
        <v>74</v>
      </c>
    </row>
    <row r="24892" spans="9:9" x14ac:dyDescent="0.2">
      <c r="I24892" s="137" t="s">
        <v>74</v>
      </c>
    </row>
    <row r="24893" spans="9:9" x14ac:dyDescent="0.2">
      <c r="I24893" s="137" t="s">
        <v>74</v>
      </c>
    </row>
    <row r="24894" spans="9:9" x14ac:dyDescent="0.2">
      <c r="I24894" s="137" t="s">
        <v>74</v>
      </c>
    </row>
    <row r="24895" spans="9:9" x14ac:dyDescent="0.2">
      <c r="I24895" s="137" t="s">
        <v>74</v>
      </c>
    </row>
    <row r="24896" spans="9:9" x14ac:dyDescent="0.2">
      <c r="I24896" s="137" t="s">
        <v>74</v>
      </c>
    </row>
    <row r="24897" spans="9:9" x14ac:dyDescent="0.2">
      <c r="I24897" s="137" t="s">
        <v>74</v>
      </c>
    </row>
    <row r="24898" spans="9:9" x14ac:dyDescent="0.2">
      <c r="I24898" s="137" t="s">
        <v>74</v>
      </c>
    </row>
    <row r="24899" spans="9:9" x14ac:dyDescent="0.2">
      <c r="I24899" s="137" t="s">
        <v>74</v>
      </c>
    </row>
    <row r="24900" spans="9:9" x14ac:dyDescent="0.2">
      <c r="I24900" s="137" t="s">
        <v>74</v>
      </c>
    </row>
    <row r="24901" spans="9:9" x14ac:dyDescent="0.2">
      <c r="I24901" s="137" t="s">
        <v>74</v>
      </c>
    </row>
    <row r="24902" spans="9:9" x14ac:dyDescent="0.2">
      <c r="I24902" s="137" t="s">
        <v>74</v>
      </c>
    </row>
    <row r="24903" spans="9:9" x14ac:dyDescent="0.2">
      <c r="I24903" s="137" t="s">
        <v>74</v>
      </c>
    </row>
    <row r="24904" spans="9:9" x14ac:dyDescent="0.2">
      <c r="I24904" s="137" t="s">
        <v>74</v>
      </c>
    </row>
    <row r="24905" spans="9:9" x14ac:dyDescent="0.2">
      <c r="I24905" s="137" t="s">
        <v>74</v>
      </c>
    </row>
    <row r="24906" spans="9:9" x14ac:dyDescent="0.2">
      <c r="I24906" s="137" t="s">
        <v>74</v>
      </c>
    </row>
    <row r="24907" spans="9:9" x14ac:dyDescent="0.2">
      <c r="I24907" s="137" t="s">
        <v>74</v>
      </c>
    </row>
    <row r="24908" spans="9:9" x14ac:dyDescent="0.2">
      <c r="I24908" s="137" t="s">
        <v>74</v>
      </c>
    </row>
    <row r="24909" spans="9:9" x14ac:dyDescent="0.2">
      <c r="I24909" s="137" t="s">
        <v>74</v>
      </c>
    </row>
    <row r="24910" spans="9:9" x14ac:dyDescent="0.2">
      <c r="I24910" s="137" t="s">
        <v>74</v>
      </c>
    </row>
    <row r="24911" spans="9:9" x14ac:dyDescent="0.2">
      <c r="I24911" s="137" t="s">
        <v>74</v>
      </c>
    </row>
    <row r="24912" spans="9:9" x14ac:dyDescent="0.2">
      <c r="I24912" s="137" t="s">
        <v>74</v>
      </c>
    </row>
    <row r="24913" spans="9:9" x14ac:dyDescent="0.2">
      <c r="I24913" s="137" t="s">
        <v>74</v>
      </c>
    </row>
    <row r="24914" spans="9:9" x14ac:dyDescent="0.2">
      <c r="I24914" s="137" t="s">
        <v>74</v>
      </c>
    </row>
    <row r="24915" spans="9:9" x14ac:dyDescent="0.2">
      <c r="I24915" s="137" t="s">
        <v>74</v>
      </c>
    </row>
    <row r="24916" spans="9:9" x14ac:dyDescent="0.2">
      <c r="I24916" s="137" t="s">
        <v>74</v>
      </c>
    </row>
    <row r="24917" spans="9:9" x14ac:dyDescent="0.2">
      <c r="I24917" s="137" t="s">
        <v>74</v>
      </c>
    </row>
    <row r="24918" spans="9:9" x14ac:dyDescent="0.2">
      <c r="I24918" s="137" t="s">
        <v>74</v>
      </c>
    </row>
    <row r="24919" spans="9:9" x14ac:dyDescent="0.2">
      <c r="I24919" s="137" t="s">
        <v>74</v>
      </c>
    </row>
    <row r="24920" spans="9:9" x14ac:dyDescent="0.2">
      <c r="I24920" s="137" t="s">
        <v>74</v>
      </c>
    </row>
    <row r="24921" spans="9:9" x14ac:dyDescent="0.2">
      <c r="I24921" s="137" t="s">
        <v>74</v>
      </c>
    </row>
    <row r="24922" spans="9:9" x14ac:dyDescent="0.2">
      <c r="I24922" s="137" t="s">
        <v>74</v>
      </c>
    </row>
    <row r="24923" spans="9:9" x14ac:dyDescent="0.2">
      <c r="I24923" s="137" t="s">
        <v>74</v>
      </c>
    </row>
    <row r="24924" spans="9:9" x14ac:dyDescent="0.2">
      <c r="I24924" s="137" t="s">
        <v>74</v>
      </c>
    </row>
    <row r="24925" spans="9:9" x14ac:dyDescent="0.2">
      <c r="I24925" s="137" t="s">
        <v>74</v>
      </c>
    </row>
    <row r="24926" spans="9:9" x14ac:dyDescent="0.2">
      <c r="I24926" s="137" t="s">
        <v>74</v>
      </c>
    </row>
    <row r="24927" spans="9:9" x14ac:dyDescent="0.2">
      <c r="I24927" s="137" t="s">
        <v>74</v>
      </c>
    </row>
    <row r="24928" spans="9:9" x14ac:dyDescent="0.2">
      <c r="I24928" s="137" t="s">
        <v>74</v>
      </c>
    </row>
    <row r="24929" spans="9:9" x14ac:dyDescent="0.2">
      <c r="I24929" s="137" t="s">
        <v>74</v>
      </c>
    </row>
    <row r="24930" spans="9:9" x14ac:dyDescent="0.2">
      <c r="I24930" s="137" t="s">
        <v>74</v>
      </c>
    </row>
    <row r="24931" spans="9:9" x14ac:dyDescent="0.2">
      <c r="I24931" s="137" t="s">
        <v>74</v>
      </c>
    </row>
    <row r="24932" spans="9:9" x14ac:dyDescent="0.2">
      <c r="I24932" s="137" t="s">
        <v>74</v>
      </c>
    </row>
    <row r="24933" spans="9:9" x14ac:dyDescent="0.2">
      <c r="I24933" s="137" t="s">
        <v>74</v>
      </c>
    </row>
    <row r="24934" spans="9:9" x14ac:dyDescent="0.2">
      <c r="I24934" s="137" t="s">
        <v>74</v>
      </c>
    </row>
    <row r="24935" spans="9:9" x14ac:dyDescent="0.2">
      <c r="I24935" s="137" t="s">
        <v>74</v>
      </c>
    </row>
    <row r="24936" spans="9:9" x14ac:dyDescent="0.2">
      <c r="I24936" s="137" t="s">
        <v>74</v>
      </c>
    </row>
    <row r="24937" spans="9:9" x14ac:dyDescent="0.2">
      <c r="I24937" s="137" t="s">
        <v>74</v>
      </c>
    </row>
    <row r="24938" spans="9:9" x14ac:dyDescent="0.2">
      <c r="I24938" s="137" t="s">
        <v>74</v>
      </c>
    </row>
    <row r="24939" spans="9:9" x14ac:dyDescent="0.2">
      <c r="I24939" s="137" t="s">
        <v>74</v>
      </c>
    </row>
    <row r="24940" spans="9:9" x14ac:dyDescent="0.2">
      <c r="I24940" s="137" t="s">
        <v>74</v>
      </c>
    </row>
    <row r="24941" spans="9:9" x14ac:dyDescent="0.2">
      <c r="I24941" s="137" t="s">
        <v>74</v>
      </c>
    </row>
    <row r="24942" spans="9:9" x14ac:dyDescent="0.2">
      <c r="I24942" s="137" t="s">
        <v>74</v>
      </c>
    </row>
    <row r="24943" spans="9:9" x14ac:dyDescent="0.2">
      <c r="I24943" s="137" t="s">
        <v>74</v>
      </c>
    </row>
    <row r="24944" spans="9:9" x14ac:dyDescent="0.2">
      <c r="I24944" s="137" t="s">
        <v>74</v>
      </c>
    </row>
    <row r="24945" spans="9:9" x14ac:dyDescent="0.2">
      <c r="I24945" s="137" t="s">
        <v>74</v>
      </c>
    </row>
    <row r="24946" spans="9:9" x14ac:dyDescent="0.2">
      <c r="I24946" s="137" t="s">
        <v>74</v>
      </c>
    </row>
    <row r="24947" spans="9:9" x14ac:dyDescent="0.2">
      <c r="I24947" s="137" t="s">
        <v>74</v>
      </c>
    </row>
    <row r="24948" spans="9:9" x14ac:dyDescent="0.2">
      <c r="I24948" s="137" t="s">
        <v>74</v>
      </c>
    </row>
    <row r="24949" spans="9:9" x14ac:dyDescent="0.2">
      <c r="I24949" s="137" t="s">
        <v>74</v>
      </c>
    </row>
    <row r="24950" spans="9:9" x14ac:dyDescent="0.2">
      <c r="I24950" s="137" t="s">
        <v>74</v>
      </c>
    </row>
    <row r="24951" spans="9:9" x14ac:dyDescent="0.2">
      <c r="I24951" s="137" t="s">
        <v>74</v>
      </c>
    </row>
    <row r="24952" spans="9:9" x14ac:dyDescent="0.2">
      <c r="I24952" s="137" t="s">
        <v>74</v>
      </c>
    </row>
    <row r="24953" spans="9:9" x14ac:dyDescent="0.2">
      <c r="I24953" s="137" t="s">
        <v>74</v>
      </c>
    </row>
    <row r="24954" spans="9:9" x14ac:dyDescent="0.2">
      <c r="I24954" s="137" t="s">
        <v>74</v>
      </c>
    </row>
    <row r="24955" spans="9:9" x14ac:dyDescent="0.2">
      <c r="I24955" s="137" t="s">
        <v>74</v>
      </c>
    </row>
    <row r="24956" spans="9:9" x14ac:dyDescent="0.2">
      <c r="I24956" s="137" t="s">
        <v>74</v>
      </c>
    </row>
    <row r="24957" spans="9:9" x14ac:dyDescent="0.2">
      <c r="I24957" s="137" t="s">
        <v>74</v>
      </c>
    </row>
    <row r="24958" spans="9:9" x14ac:dyDescent="0.2">
      <c r="I24958" s="137" t="s">
        <v>74</v>
      </c>
    </row>
    <row r="24959" spans="9:9" x14ac:dyDescent="0.2">
      <c r="I24959" s="137" t="s">
        <v>74</v>
      </c>
    </row>
    <row r="24960" spans="9:9" x14ac:dyDescent="0.2">
      <c r="I24960" s="137" t="s">
        <v>74</v>
      </c>
    </row>
    <row r="24961" spans="9:9" x14ac:dyDescent="0.2">
      <c r="I24961" s="137" t="s">
        <v>74</v>
      </c>
    </row>
    <row r="24962" spans="9:9" x14ac:dyDescent="0.2">
      <c r="I24962" s="137" t="s">
        <v>74</v>
      </c>
    </row>
    <row r="24963" spans="9:9" x14ac:dyDescent="0.2">
      <c r="I24963" s="137" t="s">
        <v>74</v>
      </c>
    </row>
    <row r="24964" spans="9:9" x14ac:dyDescent="0.2">
      <c r="I24964" s="137" t="s">
        <v>74</v>
      </c>
    </row>
    <row r="24965" spans="9:9" x14ac:dyDescent="0.2">
      <c r="I24965" s="137" t="s">
        <v>74</v>
      </c>
    </row>
    <row r="24966" spans="9:9" x14ac:dyDescent="0.2">
      <c r="I24966" s="137" t="s">
        <v>74</v>
      </c>
    </row>
    <row r="24967" spans="9:9" x14ac:dyDescent="0.2">
      <c r="I24967" s="137" t="s">
        <v>74</v>
      </c>
    </row>
    <row r="24968" spans="9:9" x14ac:dyDescent="0.2">
      <c r="I24968" s="137" t="s">
        <v>74</v>
      </c>
    </row>
    <row r="24969" spans="9:9" x14ac:dyDescent="0.2">
      <c r="I24969" s="137" t="s">
        <v>74</v>
      </c>
    </row>
    <row r="24970" spans="9:9" x14ac:dyDescent="0.2">
      <c r="I24970" s="137" t="s">
        <v>74</v>
      </c>
    </row>
    <row r="24971" spans="9:9" x14ac:dyDescent="0.2">
      <c r="I24971" s="137" t="s">
        <v>74</v>
      </c>
    </row>
    <row r="24972" spans="9:9" x14ac:dyDescent="0.2">
      <c r="I24972" s="137" t="s">
        <v>74</v>
      </c>
    </row>
    <row r="24973" spans="9:9" x14ac:dyDescent="0.2">
      <c r="I24973" s="137" t="s">
        <v>74</v>
      </c>
    </row>
    <row r="24974" spans="9:9" x14ac:dyDescent="0.2">
      <c r="I24974" s="137" t="s">
        <v>74</v>
      </c>
    </row>
    <row r="24975" spans="9:9" x14ac:dyDescent="0.2">
      <c r="I24975" s="137" t="s">
        <v>74</v>
      </c>
    </row>
    <row r="24976" spans="9:9" x14ac:dyDescent="0.2">
      <c r="I24976" s="137" t="s">
        <v>74</v>
      </c>
    </row>
    <row r="24977" spans="9:9" x14ac:dyDescent="0.2">
      <c r="I24977" s="137" t="s">
        <v>74</v>
      </c>
    </row>
    <row r="24978" spans="9:9" x14ac:dyDescent="0.2">
      <c r="I24978" s="137" t="s">
        <v>74</v>
      </c>
    </row>
    <row r="24979" spans="9:9" x14ac:dyDescent="0.2">
      <c r="I24979" s="137" t="s">
        <v>74</v>
      </c>
    </row>
    <row r="24980" spans="9:9" x14ac:dyDescent="0.2">
      <c r="I24980" s="137" t="s">
        <v>74</v>
      </c>
    </row>
    <row r="24981" spans="9:9" x14ac:dyDescent="0.2">
      <c r="I24981" s="137" t="s">
        <v>74</v>
      </c>
    </row>
    <row r="24982" spans="9:9" x14ac:dyDescent="0.2">
      <c r="I24982" s="137" t="s">
        <v>74</v>
      </c>
    </row>
    <row r="24983" spans="9:9" x14ac:dyDescent="0.2">
      <c r="I24983" s="137" t="s">
        <v>74</v>
      </c>
    </row>
    <row r="24984" spans="9:9" x14ac:dyDescent="0.2">
      <c r="I24984" s="137" t="s">
        <v>74</v>
      </c>
    </row>
    <row r="24985" spans="9:9" x14ac:dyDescent="0.2">
      <c r="I24985" s="137" t="s">
        <v>74</v>
      </c>
    </row>
    <row r="24986" spans="9:9" x14ac:dyDescent="0.2">
      <c r="I24986" s="137" t="s">
        <v>74</v>
      </c>
    </row>
    <row r="24987" spans="9:9" x14ac:dyDescent="0.2">
      <c r="I24987" s="137" t="s">
        <v>74</v>
      </c>
    </row>
    <row r="24988" spans="9:9" x14ac:dyDescent="0.2">
      <c r="I24988" s="137" t="s">
        <v>74</v>
      </c>
    </row>
    <row r="24989" spans="9:9" x14ac:dyDescent="0.2">
      <c r="I24989" s="137" t="s">
        <v>74</v>
      </c>
    </row>
    <row r="24990" spans="9:9" x14ac:dyDescent="0.2">
      <c r="I24990" s="137" t="s">
        <v>74</v>
      </c>
    </row>
    <row r="24991" spans="9:9" x14ac:dyDescent="0.2">
      <c r="I24991" s="137" t="s">
        <v>74</v>
      </c>
    </row>
    <row r="24992" spans="9:9" x14ac:dyDescent="0.2">
      <c r="I24992" s="137" t="s">
        <v>74</v>
      </c>
    </row>
    <row r="24993" spans="9:9" x14ac:dyDescent="0.2">
      <c r="I24993" s="137" t="s">
        <v>74</v>
      </c>
    </row>
    <row r="24994" spans="9:9" x14ac:dyDescent="0.2">
      <c r="I24994" s="137" t="s">
        <v>74</v>
      </c>
    </row>
    <row r="24995" spans="9:9" x14ac:dyDescent="0.2">
      <c r="I24995" s="137" t="s">
        <v>74</v>
      </c>
    </row>
    <row r="24996" spans="9:9" x14ac:dyDescent="0.2">
      <c r="I24996" s="137" t="s">
        <v>74</v>
      </c>
    </row>
    <row r="24997" spans="9:9" x14ac:dyDescent="0.2">
      <c r="I24997" s="137" t="s">
        <v>74</v>
      </c>
    </row>
    <row r="24998" spans="9:9" x14ac:dyDescent="0.2">
      <c r="I24998" s="137" t="s">
        <v>74</v>
      </c>
    </row>
    <row r="24999" spans="9:9" x14ac:dyDescent="0.2">
      <c r="I24999" s="137" t="s">
        <v>74</v>
      </c>
    </row>
    <row r="25000" spans="9:9" x14ac:dyDescent="0.2">
      <c r="I25000" s="137" t="s">
        <v>74</v>
      </c>
    </row>
    <row r="25001" spans="9:9" x14ac:dyDescent="0.2">
      <c r="I25001" s="137" t="s">
        <v>74</v>
      </c>
    </row>
    <row r="25002" spans="9:9" x14ac:dyDescent="0.2">
      <c r="I25002" s="137" t="s">
        <v>74</v>
      </c>
    </row>
    <row r="25003" spans="9:9" x14ac:dyDescent="0.2">
      <c r="I25003" s="137" t="s">
        <v>74</v>
      </c>
    </row>
    <row r="25004" spans="9:9" x14ac:dyDescent="0.2">
      <c r="I25004" s="137" t="s">
        <v>74</v>
      </c>
    </row>
    <row r="25005" spans="9:9" x14ac:dyDescent="0.2">
      <c r="I25005" s="137" t="s">
        <v>74</v>
      </c>
    </row>
    <row r="25006" spans="9:9" x14ac:dyDescent="0.2">
      <c r="I25006" s="137" t="s">
        <v>74</v>
      </c>
    </row>
    <row r="25007" spans="9:9" x14ac:dyDescent="0.2">
      <c r="I25007" s="137" t="s">
        <v>74</v>
      </c>
    </row>
    <row r="25008" spans="9:9" x14ac:dyDescent="0.2">
      <c r="I25008" s="137" t="s">
        <v>74</v>
      </c>
    </row>
    <row r="25009" spans="9:9" x14ac:dyDescent="0.2">
      <c r="I25009" s="137" t="s">
        <v>74</v>
      </c>
    </row>
    <row r="25010" spans="9:9" x14ac:dyDescent="0.2">
      <c r="I25010" s="137" t="s">
        <v>74</v>
      </c>
    </row>
    <row r="25011" spans="9:9" x14ac:dyDescent="0.2">
      <c r="I25011" s="137" t="s">
        <v>74</v>
      </c>
    </row>
    <row r="25012" spans="9:9" x14ac:dyDescent="0.2">
      <c r="I25012" s="137" t="s">
        <v>74</v>
      </c>
    </row>
    <row r="25013" spans="9:9" x14ac:dyDescent="0.2">
      <c r="I25013" s="137" t="s">
        <v>74</v>
      </c>
    </row>
    <row r="25014" spans="9:9" x14ac:dyDescent="0.2">
      <c r="I25014" s="137" t="s">
        <v>74</v>
      </c>
    </row>
    <row r="25015" spans="9:9" x14ac:dyDescent="0.2">
      <c r="I25015" s="137" t="s">
        <v>74</v>
      </c>
    </row>
    <row r="25016" spans="9:9" x14ac:dyDescent="0.2">
      <c r="I25016" s="137" t="s">
        <v>74</v>
      </c>
    </row>
    <row r="25017" spans="9:9" x14ac:dyDescent="0.2">
      <c r="I25017" s="137" t="s">
        <v>74</v>
      </c>
    </row>
    <row r="25018" spans="9:9" x14ac:dyDescent="0.2">
      <c r="I25018" s="137" t="s">
        <v>74</v>
      </c>
    </row>
    <row r="25019" spans="9:9" x14ac:dyDescent="0.2">
      <c r="I25019" s="137" t="s">
        <v>74</v>
      </c>
    </row>
    <row r="25020" spans="9:9" x14ac:dyDescent="0.2">
      <c r="I25020" s="137" t="s">
        <v>74</v>
      </c>
    </row>
    <row r="25021" spans="9:9" x14ac:dyDescent="0.2">
      <c r="I25021" s="137" t="s">
        <v>74</v>
      </c>
    </row>
    <row r="25022" spans="9:9" x14ac:dyDescent="0.2">
      <c r="I25022" s="137" t="s">
        <v>74</v>
      </c>
    </row>
    <row r="25023" spans="9:9" x14ac:dyDescent="0.2">
      <c r="I25023" s="137" t="s">
        <v>74</v>
      </c>
    </row>
    <row r="25024" spans="9:9" x14ac:dyDescent="0.2">
      <c r="I25024" s="137" t="s">
        <v>74</v>
      </c>
    </row>
    <row r="25025" spans="9:9" x14ac:dyDescent="0.2">
      <c r="I25025" s="137" t="s">
        <v>74</v>
      </c>
    </row>
    <row r="25026" spans="9:9" x14ac:dyDescent="0.2">
      <c r="I25026" s="137" t="s">
        <v>74</v>
      </c>
    </row>
    <row r="25027" spans="9:9" x14ac:dyDescent="0.2">
      <c r="I25027" s="137" t="s">
        <v>74</v>
      </c>
    </row>
    <row r="25028" spans="9:9" x14ac:dyDescent="0.2">
      <c r="I25028" s="137" t="s">
        <v>74</v>
      </c>
    </row>
    <row r="25029" spans="9:9" x14ac:dyDescent="0.2">
      <c r="I25029" s="137" t="s">
        <v>74</v>
      </c>
    </row>
    <row r="25030" spans="9:9" x14ac:dyDescent="0.2">
      <c r="I25030" s="137" t="s">
        <v>74</v>
      </c>
    </row>
    <row r="25031" spans="9:9" x14ac:dyDescent="0.2">
      <c r="I25031" s="137" t="s">
        <v>74</v>
      </c>
    </row>
    <row r="25032" spans="9:9" x14ac:dyDescent="0.2">
      <c r="I25032" s="137" t="s">
        <v>74</v>
      </c>
    </row>
    <row r="25033" spans="9:9" x14ac:dyDescent="0.2">
      <c r="I25033" s="137" t="s">
        <v>74</v>
      </c>
    </row>
    <row r="25034" spans="9:9" x14ac:dyDescent="0.2">
      <c r="I25034" s="137" t="s">
        <v>74</v>
      </c>
    </row>
    <row r="25035" spans="9:9" x14ac:dyDescent="0.2">
      <c r="I25035" s="137" t="s">
        <v>74</v>
      </c>
    </row>
    <row r="25036" spans="9:9" x14ac:dyDescent="0.2">
      <c r="I25036" s="137" t="s">
        <v>74</v>
      </c>
    </row>
    <row r="25037" spans="9:9" x14ac:dyDescent="0.2">
      <c r="I25037" s="137" t="s">
        <v>74</v>
      </c>
    </row>
    <row r="25038" spans="9:9" x14ac:dyDescent="0.2">
      <c r="I25038" s="137" t="s">
        <v>74</v>
      </c>
    </row>
    <row r="25039" spans="9:9" x14ac:dyDescent="0.2">
      <c r="I25039" s="137" t="s">
        <v>74</v>
      </c>
    </row>
    <row r="25040" spans="9:9" x14ac:dyDescent="0.2">
      <c r="I25040" s="137" t="s">
        <v>74</v>
      </c>
    </row>
    <row r="25041" spans="9:9" x14ac:dyDescent="0.2">
      <c r="I25041" s="137" t="s">
        <v>74</v>
      </c>
    </row>
    <row r="25042" spans="9:9" x14ac:dyDescent="0.2">
      <c r="I25042" s="137" t="s">
        <v>74</v>
      </c>
    </row>
    <row r="25043" spans="9:9" x14ac:dyDescent="0.2">
      <c r="I25043" s="137" t="s">
        <v>74</v>
      </c>
    </row>
    <row r="25044" spans="9:9" x14ac:dyDescent="0.2">
      <c r="I25044" s="137" t="s">
        <v>74</v>
      </c>
    </row>
    <row r="25045" spans="9:9" x14ac:dyDescent="0.2">
      <c r="I25045" s="137" t="s">
        <v>74</v>
      </c>
    </row>
    <row r="25046" spans="9:9" x14ac:dyDescent="0.2">
      <c r="I25046" s="137" t="s">
        <v>74</v>
      </c>
    </row>
    <row r="25047" spans="9:9" x14ac:dyDescent="0.2">
      <c r="I25047" s="137" t="s">
        <v>74</v>
      </c>
    </row>
    <row r="25048" spans="9:9" x14ac:dyDescent="0.2">
      <c r="I25048" s="137" t="s">
        <v>74</v>
      </c>
    </row>
    <row r="25049" spans="9:9" x14ac:dyDescent="0.2">
      <c r="I25049" s="137" t="s">
        <v>74</v>
      </c>
    </row>
    <row r="25050" spans="9:9" x14ac:dyDescent="0.2">
      <c r="I25050" s="137" t="s">
        <v>74</v>
      </c>
    </row>
    <row r="25051" spans="9:9" x14ac:dyDescent="0.2">
      <c r="I25051" s="137" t="s">
        <v>74</v>
      </c>
    </row>
    <row r="25052" spans="9:9" x14ac:dyDescent="0.2">
      <c r="I25052" s="137" t="s">
        <v>74</v>
      </c>
    </row>
    <row r="25053" spans="9:9" x14ac:dyDescent="0.2">
      <c r="I25053" s="137" t="s">
        <v>74</v>
      </c>
    </row>
    <row r="25054" spans="9:9" x14ac:dyDescent="0.2">
      <c r="I25054" s="137" t="s">
        <v>74</v>
      </c>
    </row>
    <row r="25055" spans="9:9" x14ac:dyDescent="0.2">
      <c r="I25055" s="137" t="s">
        <v>74</v>
      </c>
    </row>
    <row r="25056" spans="9:9" x14ac:dyDescent="0.2">
      <c r="I25056" s="137" t="s">
        <v>74</v>
      </c>
    </row>
    <row r="25057" spans="9:9" x14ac:dyDescent="0.2">
      <c r="I25057" s="137" t="s">
        <v>74</v>
      </c>
    </row>
    <row r="25058" spans="9:9" x14ac:dyDescent="0.2">
      <c r="I25058" s="137" t="s">
        <v>74</v>
      </c>
    </row>
    <row r="25059" spans="9:9" x14ac:dyDescent="0.2">
      <c r="I25059" s="137" t="s">
        <v>74</v>
      </c>
    </row>
    <row r="25060" spans="9:9" x14ac:dyDescent="0.2">
      <c r="I25060" s="137" t="s">
        <v>74</v>
      </c>
    </row>
    <row r="25061" spans="9:9" x14ac:dyDescent="0.2">
      <c r="I25061" s="137" t="s">
        <v>74</v>
      </c>
    </row>
    <row r="25062" spans="9:9" x14ac:dyDescent="0.2">
      <c r="I25062" s="137" t="s">
        <v>74</v>
      </c>
    </row>
    <row r="25063" spans="9:9" x14ac:dyDescent="0.2">
      <c r="I25063" s="137" t="s">
        <v>74</v>
      </c>
    </row>
    <row r="25064" spans="9:9" x14ac:dyDescent="0.2">
      <c r="I25064" s="137" t="s">
        <v>74</v>
      </c>
    </row>
    <row r="25065" spans="9:9" x14ac:dyDescent="0.2">
      <c r="I25065" s="137" t="s">
        <v>74</v>
      </c>
    </row>
    <row r="25066" spans="9:9" x14ac:dyDescent="0.2">
      <c r="I25066" s="137" t="s">
        <v>74</v>
      </c>
    </row>
    <row r="25067" spans="9:9" x14ac:dyDescent="0.2">
      <c r="I25067" s="137" t="s">
        <v>74</v>
      </c>
    </row>
    <row r="25068" spans="9:9" x14ac:dyDescent="0.2">
      <c r="I25068" s="137" t="s">
        <v>74</v>
      </c>
    </row>
    <row r="25069" spans="9:9" x14ac:dyDescent="0.2">
      <c r="I25069" s="137" t="s">
        <v>74</v>
      </c>
    </row>
    <row r="25070" spans="9:9" x14ac:dyDescent="0.2">
      <c r="I25070" s="137" t="s">
        <v>74</v>
      </c>
    </row>
    <row r="25071" spans="9:9" x14ac:dyDescent="0.2">
      <c r="I25071" s="137" t="s">
        <v>74</v>
      </c>
    </row>
    <row r="25072" spans="9:9" x14ac:dyDescent="0.2">
      <c r="I25072" s="137" t="s">
        <v>74</v>
      </c>
    </row>
    <row r="25073" spans="9:9" x14ac:dyDescent="0.2">
      <c r="I25073" s="137" t="s">
        <v>74</v>
      </c>
    </row>
    <row r="25074" spans="9:9" x14ac:dyDescent="0.2">
      <c r="I25074" s="137" t="s">
        <v>74</v>
      </c>
    </row>
    <row r="25075" spans="9:9" x14ac:dyDescent="0.2">
      <c r="I25075" s="137" t="s">
        <v>74</v>
      </c>
    </row>
    <row r="25076" spans="9:9" x14ac:dyDescent="0.2">
      <c r="I25076" s="137" t="s">
        <v>74</v>
      </c>
    </row>
    <row r="25077" spans="9:9" x14ac:dyDescent="0.2">
      <c r="I25077" s="137" t="s">
        <v>74</v>
      </c>
    </row>
    <row r="25078" spans="9:9" x14ac:dyDescent="0.2">
      <c r="I25078" s="137" t="s">
        <v>74</v>
      </c>
    </row>
    <row r="25079" spans="9:9" x14ac:dyDescent="0.2">
      <c r="I25079" s="137" t="s">
        <v>74</v>
      </c>
    </row>
    <row r="25080" spans="9:9" x14ac:dyDescent="0.2">
      <c r="I25080" s="137" t="s">
        <v>74</v>
      </c>
    </row>
    <row r="25081" spans="9:9" x14ac:dyDescent="0.2">
      <c r="I25081" s="137" t="s">
        <v>74</v>
      </c>
    </row>
    <row r="25082" spans="9:9" x14ac:dyDescent="0.2">
      <c r="I25082" s="137" t="s">
        <v>74</v>
      </c>
    </row>
    <row r="25083" spans="9:9" x14ac:dyDescent="0.2">
      <c r="I25083" s="137" t="s">
        <v>74</v>
      </c>
    </row>
    <row r="25084" spans="9:9" x14ac:dyDescent="0.2">
      <c r="I25084" s="137" t="s">
        <v>74</v>
      </c>
    </row>
    <row r="25085" spans="9:9" x14ac:dyDescent="0.2">
      <c r="I25085" s="137" t="s">
        <v>74</v>
      </c>
    </row>
    <row r="25086" spans="9:9" x14ac:dyDescent="0.2">
      <c r="I25086" s="137" t="s">
        <v>74</v>
      </c>
    </row>
    <row r="25087" spans="9:9" x14ac:dyDescent="0.2">
      <c r="I25087" s="137" t="s">
        <v>74</v>
      </c>
    </row>
    <row r="25088" spans="9:9" x14ac:dyDescent="0.2">
      <c r="I25088" s="137" t="s">
        <v>74</v>
      </c>
    </row>
    <row r="25089" spans="9:9" x14ac:dyDescent="0.2">
      <c r="I25089" s="137" t="s">
        <v>74</v>
      </c>
    </row>
    <row r="25090" spans="9:9" x14ac:dyDescent="0.2">
      <c r="I25090" s="137" t="s">
        <v>74</v>
      </c>
    </row>
    <row r="25091" spans="9:9" x14ac:dyDescent="0.2">
      <c r="I25091" s="137" t="s">
        <v>74</v>
      </c>
    </row>
    <row r="25092" spans="9:9" x14ac:dyDescent="0.2">
      <c r="I25092" s="137" t="s">
        <v>74</v>
      </c>
    </row>
    <row r="25093" spans="9:9" x14ac:dyDescent="0.2">
      <c r="I25093" s="137" t="s">
        <v>74</v>
      </c>
    </row>
    <row r="25094" spans="9:9" x14ac:dyDescent="0.2">
      <c r="I25094" s="137" t="s">
        <v>74</v>
      </c>
    </row>
    <row r="25095" spans="9:9" x14ac:dyDescent="0.2">
      <c r="I25095" s="137" t="s">
        <v>74</v>
      </c>
    </row>
    <row r="25096" spans="9:9" x14ac:dyDescent="0.2">
      <c r="I25096" s="137" t="s">
        <v>74</v>
      </c>
    </row>
    <row r="25097" spans="9:9" x14ac:dyDescent="0.2">
      <c r="I25097" s="137" t="s">
        <v>74</v>
      </c>
    </row>
    <row r="25098" spans="9:9" x14ac:dyDescent="0.2">
      <c r="I25098" s="137" t="s">
        <v>74</v>
      </c>
    </row>
    <row r="25099" spans="9:9" x14ac:dyDescent="0.2">
      <c r="I25099" s="137" t="s">
        <v>74</v>
      </c>
    </row>
    <row r="25100" spans="9:9" x14ac:dyDescent="0.2">
      <c r="I25100" s="137" t="s">
        <v>74</v>
      </c>
    </row>
    <row r="25101" spans="9:9" x14ac:dyDescent="0.2">
      <c r="I25101" s="137" t="s">
        <v>74</v>
      </c>
    </row>
    <row r="25102" spans="9:9" x14ac:dyDescent="0.2">
      <c r="I25102" s="137" t="s">
        <v>74</v>
      </c>
    </row>
    <row r="25103" spans="9:9" x14ac:dyDescent="0.2">
      <c r="I25103" s="137" t="s">
        <v>74</v>
      </c>
    </row>
    <row r="25104" spans="9:9" x14ac:dyDescent="0.2">
      <c r="I25104" s="137" t="s">
        <v>74</v>
      </c>
    </row>
    <row r="25105" spans="9:9" x14ac:dyDescent="0.2">
      <c r="I25105" s="137" t="s">
        <v>74</v>
      </c>
    </row>
    <row r="25106" spans="9:9" x14ac:dyDescent="0.2">
      <c r="I25106" s="137" t="s">
        <v>74</v>
      </c>
    </row>
    <row r="25107" spans="9:9" x14ac:dyDescent="0.2">
      <c r="I25107" s="137" t="s">
        <v>74</v>
      </c>
    </row>
    <row r="25108" spans="9:9" x14ac:dyDescent="0.2">
      <c r="I25108" s="137" t="s">
        <v>74</v>
      </c>
    </row>
    <row r="25109" spans="9:9" x14ac:dyDescent="0.2">
      <c r="I25109" s="137" t="s">
        <v>74</v>
      </c>
    </row>
    <row r="25110" spans="9:9" x14ac:dyDescent="0.2">
      <c r="I25110" s="137" t="s">
        <v>74</v>
      </c>
    </row>
    <row r="25111" spans="9:9" x14ac:dyDescent="0.2">
      <c r="I25111" s="137" t="s">
        <v>74</v>
      </c>
    </row>
    <row r="25112" spans="9:9" x14ac:dyDescent="0.2">
      <c r="I25112" s="137" t="s">
        <v>74</v>
      </c>
    </row>
    <row r="25113" spans="9:9" x14ac:dyDescent="0.2">
      <c r="I25113" s="137" t="s">
        <v>74</v>
      </c>
    </row>
    <row r="25114" spans="9:9" x14ac:dyDescent="0.2">
      <c r="I25114" s="137" t="s">
        <v>74</v>
      </c>
    </row>
    <row r="25115" spans="9:9" x14ac:dyDescent="0.2">
      <c r="I25115" s="137" t="s">
        <v>74</v>
      </c>
    </row>
    <row r="25116" spans="9:9" x14ac:dyDescent="0.2">
      <c r="I25116" s="137" t="s">
        <v>74</v>
      </c>
    </row>
    <row r="25117" spans="9:9" x14ac:dyDescent="0.2">
      <c r="I25117" s="137" t="s">
        <v>74</v>
      </c>
    </row>
    <row r="25118" spans="9:9" x14ac:dyDescent="0.2">
      <c r="I25118" s="137" t="s">
        <v>74</v>
      </c>
    </row>
    <row r="25119" spans="9:9" x14ac:dyDescent="0.2">
      <c r="I25119" s="137" t="s">
        <v>74</v>
      </c>
    </row>
    <row r="25120" spans="9:9" x14ac:dyDescent="0.2">
      <c r="I25120" s="137" t="s">
        <v>74</v>
      </c>
    </row>
    <row r="25121" spans="9:9" x14ac:dyDescent="0.2">
      <c r="I25121" s="137" t="s">
        <v>74</v>
      </c>
    </row>
    <row r="25122" spans="9:9" x14ac:dyDescent="0.2">
      <c r="I25122" s="137" t="s">
        <v>74</v>
      </c>
    </row>
    <row r="25123" spans="9:9" x14ac:dyDescent="0.2">
      <c r="I25123" s="137" t="s">
        <v>74</v>
      </c>
    </row>
    <row r="25124" spans="9:9" x14ac:dyDescent="0.2">
      <c r="I25124" s="137" t="s">
        <v>74</v>
      </c>
    </row>
    <row r="25125" spans="9:9" x14ac:dyDescent="0.2">
      <c r="I25125" s="137" t="s">
        <v>74</v>
      </c>
    </row>
    <row r="25126" spans="9:9" x14ac:dyDescent="0.2">
      <c r="I25126" s="137" t="s">
        <v>74</v>
      </c>
    </row>
    <row r="25127" spans="9:9" x14ac:dyDescent="0.2">
      <c r="I25127" s="137" t="s">
        <v>74</v>
      </c>
    </row>
    <row r="25128" spans="9:9" x14ac:dyDescent="0.2">
      <c r="I25128" s="137" t="s">
        <v>74</v>
      </c>
    </row>
    <row r="25129" spans="9:9" x14ac:dyDescent="0.2">
      <c r="I25129" s="137" t="s">
        <v>74</v>
      </c>
    </row>
    <row r="25130" spans="9:9" x14ac:dyDescent="0.2">
      <c r="I25130" s="137" t="s">
        <v>74</v>
      </c>
    </row>
    <row r="25131" spans="9:9" x14ac:dyDescent="0.2">
      <c r="I25131" s="137" t="s">
        <v>74</v>
      </c>
    </row>
    <row r="25132" spans="9:9" x14ac:dyDescent="0.2">
      <c r="I25132" s="137" t="s">
        <v>74</v>
      </c>
    </row>
    <row r="25133" spans="9:9" x14ac:dyDescent="0.2">
      <c r="I25133" s="137" t="s">
        <v>74</v>
      </c>
    </row>
    <row r="25134" spans="9:9" x14ac:dyDescent="0.2">
      <c r="I25134" s="137" t="s">
        <v>74</v>
      </c>
    </row>
    <row r="25135" spans="9:9" x14ac:dyDescent="0.2">
      <c r="I25135" s="137" t="s">
        <v>74</v>
      </c>
    </row>
    <row r="25136" spans="9:9" x14ac:dyDescent="0.2">
      <c r="I25136" s="137" t="s">
        <v>74</v>
      </c>
    </row>
    <row r="25137" spans="9:9" x14ac:dyDescent="0.2">
      <c r="I25137" s="137" t="s">
        <v>74</v>
      </c>
    </row>
    <row r="25138" spans="9:9" x14ac:dyDescent="0.2">
      <c r="I25138" s="137" t="s">
        <v>74</v>
      </c>
    </row>
    <row r="25139" spans="9:9" x14ac:dyDescent="0.2">
      <c r="I25139" s="137" t="s">
        <v>74</v>
      </c>
    </row>
    <row r="25140" spans="9:9" x14ac:dyDescent="0.2">
      <c r="I25140" s="137" t="s">
        <v>74</v>
      </c>
    </row>
    <row r="25141" spans="9:9" x14ac:dyDescent="0.2">
      <c r="I25141" s="137" t="s">
        <v>74</v>
      </c>
    </row>
    <row r="25142" spans="9:9" x14ac:dyDescent="0.2">
      <c r="I25142" s="137" t="s">
        <v>74</v>
      </c>
    </row>
    <row r="25143" spans="9:9" x14ac:dyDescent="0.2">
      <c r="I25143" s="137" t="s">
        <v>74</v>
      </c>
    </row>
    <row r="25144" spans="9:9" x14ac:dyDescent="0.2">
      <c r="I25144" s="137" t="s">
        <v>74</v>
      </c>
    </row>
    <row r="25145" spans="9:9" x14ac:dyDescent="0.2">
      <c r="I25145" s="137" t="s">
        <v>74</v>
      </c>
    </row>
    <row r="25146" spans="9:9" x14ac:dyDescent="0.2">
      <c r="I25146" s="137" t="s">
        <v>74</v>
      </c>
    </row>
    <row r="25147" spans="9:9" x14ac:dyDescent="0.2">
      <c r="I25147" s="137" t="s">
        <v>74</v>
      </c>
    </row>
    <row r="25148" spans="9:9" x14ac:dyDescent="0.2">
      <c r="I25148" s="137" t="s">
        <v>74</v>
      </c>
    </row>
    <row r="25149" spans="9:9" x14ac:dyDescent="0.2">
      <c r="I25149" s="137" t="s">
        <v>74</v>
      </c>
    </row>
    <row r="25150" spans="9:9" x14ac:dyDescent="0.2">
      <c r="I25150" s="137" t="s">
        <v>74</v>
      </c>
    </row>
    <row r="25151" spans="9:9" x14ac:dyDescent="0.2">
      <c r="I25151" s="137" t="s">
        <v>74</v>
      </c>
    </row>
    <row r="25152" spans="9:9" x14ac:dyDescent="0.2">
      <c r="I25152" s="137" t="s">
        <v>74</v>
      </c>
    </row>
    <row r="25153" spans="9:9" x14ac:dyDescent="0.2">
      <c r="I25153" s="137" t="s">
        <v>74</v>
      </c>
    </row>
    <row r="25154" spans="9:9" x14ac:dyDescent="0.2">
      <c r="I25154" s="137" t="s">
        <v>74</v>
      </c>
    </row>
    <row r="25155" spans="9:9" x14ac:dyDescent="0.2">
      <c r="I25155" s="137" t="s">
        <v>74</v>
      </c>
    </row>
    <row r="25156" spans="9:9" x14ac:dyDescent="0.2">
      <c r="I25156" s="137" t="s">
        <v>74</v>
      </c>
    </row>
    <row r="25157" spans="9:9" x14ac:dyDescent="0.2">
      <c r="I25157" s="137" t="s">
        <v>74</v>
      </c>
    </row>
    <row r="25158" spans="9:9" x14ac:dyDescent="0.2">
      <c r="I25158" s="137" t="s">
        <v>74</v>
      </c>
    </row>
    <row r="25159" spans="9:9" x14ac:dyDescent="0.2">
      <c r="I25159" s="137" t="s">
        <v>74</v>
      </c>
    </row>
    <row r="25160" spans="9:9" x14ac:dyDescent="0.2">
      <c r="I25160" s="137" t="s">
        <v>74</v>
      </c>
    </row>
    <row r="25161" spans="9:9" x14ac:dyDescent="0.2">
      <c r="I25161" s="137" t="s">
        <v>74</v>
      </c>
    </row>
    <row r="25162" spans="9:9" x14ac:dyDescent="0.2">
      <c r="I25162" s="137" t="s">
        <v>74</v>
      </c>
    </row>
    <row r="25163" spans="9:9" x14ac:dyDescent="0.2">
      <c r="I25163" s="137" t="s">
        <v>74</v>
      </c>
    </row>
    <row r="25164" spans="9:9" x14ac:dyDescent="0.2">
      <c r="I25164" s="137" t="s">
        <v>74</v>
      </c>
    </row>
    <row r="25165" spans="9:9" x14ac:dyDescent="0.2">
      <c r="I25165" s="137" t="s">
        <v>74</v>
      </c>
    </row>
    <row r="25166" spans="9:9" x14ac:dyDescent="0.2">
      <c r="I25166" s="137" t="s">
        <v>74</v>
      </c>
    </row>
    <row r="25167" spans="9:9" x14ac:dyDescent="0.2">
      <c r="I25167" s="137" t="s">
        <v>74</v>
      </c>
    </row>
    <row r="25168" spans="9:9" x14ac:dyDescent="0.2">
      <c r="I25168" s="137" t="s">
        <v>74</v>
      </c>
    </row>
    <row r="25169" spans="9:9" x14ac:dyDescent="0.2">
      <c r="I25169" s="137" t="s">
        <v>74</v>
      </c>
    </row>
    <row r="25170" spans="9:9" x14ac:dyDescent="0.2">
      <c r="I25170" s="137" t="s">
        <v>74</v>
      </c>
    </row>
    <row r="25171" spans="9:9" x14ac:dyDescent="0.2">
      <c r="I25171" s="137" t="s">
        <v>74</v>
      </c>
    </row>
    <row r="25172" spans="9:9" x14ac:dyDescent="0.2">
      <c r="I25172" s="137" t="s">
        <v>74</v>
      </c>
    </row>
    <row r="25173" spans="9:9" x14ac:dyDescent="0.2">
      <c r="I25173" s="137" t="s">
        <v>74</v>
      </c>
    </row>
    <row r="25174" spans="9:9" x14ac:dyDescent="0.2">
      <c r="I25174" s="137" t="s">
        <v>74</v>
      </c>
    </row>
    <row r="25175" spans="9:9" x14ac:dyDescent="0.2">
      <c r="I25175" s="137" t="s">
        <v>74</v>
      </c>
    </row>
    <row r="25176" spans="9:9" x14ac:dyDescent="0.2">
      <c r="I25176" s="137" t="s">
        <v>74</v>
      </c>
    </row>
    <row r="25177" spans="9:9" x14ac:dyDescent="0.2">
      <c r="I25177" s="137" t="s">
        <v>74</v>
      </c>
    </row>
    <row r="25178" spans="9:9" x14ac:dyDescent="0.2">
      <c r="I25178" s="137" t="s">
        <v>74</v>
      </c>
    </row>
    <row r="25179" spans="9:9" x14ac:dyDescent="0.2">
      <c r="I25179" s="137" t="s">
        <v>74</v>
      </c>
    </row>
    <row r="25180" spans="9:9" x14ac:dyDescent="0.2">
      <c r="I25180" s="137" t="s">
        <v>74</v>
      </c>
    </row>
    <row r="25181" spans="9:9" x14ac:dyDescent="0.2">
      <c r="I25181" s="137" t="s">
        <v>74</v>
      </c>
    </row>
    <row r="25182" spans="9:9" x14ac:dyDescent="0.2">
      <c r="I25182" s="137" t="s">
        <v>74</v>
      </c>
    </row>
    <row r="25183" spans="9:9" x14ac:dyDescent="0.2">
      <c r="I25183" s="137" t="s">
        <v>74</v>
      </c>
    </row>
    <row r="25184" spans="9:9" x14ac:dyDescent="0.2">
      <c r="I25184" s="137" t="s">
        <v>74</v>
      </c>
    </row>
    <row r="25185" spans="9:9" x14ac:dyDescent="0.2">
      <c r="I25185" s="137" t="s">
        <v>74</v>
      </c>
    </row>
    <row r="25186" spans="9:9" x14ac:dyDescent="0.2">
      <c r="I25186" s="137" t="s">
        <v>74</v>
      </c>
    </row>
    <row r="25187" spans="9:9" x14ac:dyDescent="0.2">
      <c r="I25187" s="137" t="s">
        <v>74</v>
      </c>
    </row>
    <row r="25188" spans="9:9" x14ac:dyDescent="0.2">
      <c r="I25188" s="137" t="s">
        <v>74</v>
      </c>
    </row>
    <row r="25189" spans="9:9" x14ac:dyDescent="0.2">
      <c r="I25189" s="137" t="s">
        <v>74</v>
      </c>
    </row>
    <row r="25190" spans="9:9" x14ac:dyDescent="0.2">
      <c r="I25190" s="137" t="s">
        <v>74</v>
      </c>
    </row>
    <row r="25191" spans="9:9" x14ac:dyDescent="0.2">
      <c r="I25191" s="137" t="s">
        <v>74</v>
      </c>
    </row>
    <row r="25192" spans="9:9" x14ac:dyDescent="0.2">
      <c r="I25192" s="137" t="s">
        <v>74</v>
      </c>
    </row>
    <row r="25193" spans="9:9" x14ac:dyDescent="0.2">
      <c r="I25193" s="137" t="s">
        <v>74</v>
      </c>
    </row>
    <row r="25194" spans="9:9" x14ac:dyDescent="0.2">
      <c r="I25194" s="137" t="s">
        <v>74</v>
      </c>
    </row>
    <row r="25195" spans="9:9" x14ac:dyDescent="0.2">
      <c r="I25195" s="137" t="s">
        <v>74</v>
      </c>
    </row>
    <row r="25196" spans="9:9" x14ac:dyDescent="0.2">
      <c r="I25196" s="137" t="s">
        <v>74</v>
      </c>
    </row>
    <row r="25197" spans="9:9" x14ac:dyDescent="0.2">
      <c r="I25197" s="137" t="s">
        <v>74</v>
      </c>
    </row>
    <row r="25198" spans="9:9" x14ac:dyDescent="0.2">
      <c r="I25198" s="137" t="s">
        <v>74</v>
      </c>
    </row>
    <row r="25199" spans="9:9" x14ac:dyDescent="0.2">
      <c r="I25199" s="137" t="s">
        <v>74</v>
      </c>
    </row>
    <row r="25200" spans="9:9" x14ac:dyDescent="0.2">
      <c r="I25200" s="137" t="s">
        <v>74</v>
      </c>
    </row>
    <row r="25201" spans="9:9" x14ac:dyDescent="0.2">
      <c r="I25201" s="137" t="s">
        <v>74</v>
      </c>
    </row>
    <row r="25202" spans="9:9" x14ac:dyDescent="0.2">
      <c r="I25202" s="137" t="s">
        <v>74</v>
      </c>
    </row>
    <row r="25203" spans="9:9" x14ac:dyDescent="0.2">
      <c r="I25203" s="137" t="s">
        <v>74</v>
      </c>
    </row>
    <row r="25204" spans="9:9" x14ac:dyDescent="0.2">
      <c r="I25204" s="137" t="s">
        <v>74</v>
      </c>
    </row>
    <row r="25205" spans="9:9" x14ac:dyDescent="0.2">
      <c r="I25205" s="137" t="s">
        <v>74</v>
      </c>
    </row>
    <row r="25206" spans="9:9" x14ac:dyDescent="0.2">
      <c r="I25206" s="137" t="s">
        <v>74</v>
      </c>
    </row>
    <row r="25207" spans="9:9" x14ac:dyDescent="0.2">
      <c r="I25207" s="137" t="s">
        <v>74</v>
      </c>
    </row>
    <row r="25208" spans="9:9" x14ac:dyDescent="0.2">
      <c r="I25208" s="137" t="s">
        <v>74</v>
      </c>
    </row>
    <row r="25209" spans="9:9" x14ac:dyDescent="0.2">
      <c r="I25209" s="137" t="s">
        <v>74</v>
      </c>
    </row>
    <row r="25210" spans="9:9" x14ac:dyDescent="0.2">
      <c r="I25210" s="137" t="s">
        <v>74</v>
      </c>
    </row>
    <row r="25211" spans="9:9" x14ac:dyDescent="0.2">
      <c r="I25211" s="137" t="s">
        <v>74</v>
      </c>
    </row>
    <row r="25212" spans="9:9" x14ac:dyDescent="0.2">
      <c r="I25212" s="137" t="s">
        <v>74</v>
      </c>
    </row>
    <row r="25213" spans="9:9" x14ac:dyDescent="0.2">
      <c r="I25213" s="137" t="s">
        <v>74</v>
      </c>
    </row>
    <row r="25214" spans="9:9" x14ac:dyDescent="0.2">
      <c r="I25214" s="137" t="s">
        <v>74</v>
      </c>
    </row>
    <row r="25215" spans="9:9" x14ac:dyDescent="0.2">
      <c r="I25215" s="137" t="s">
        <v>74</v>
      </c>
    </row>
    <row r="25216" spans="9:9" x14ac:dyDescent="0.2">
      <c r="I25216" s="137" t="s">
        <v>74</v>
      </c>
    </row>
    <row r="25217" spans="9:9" x14ac:dyDescent="0.2">
      <c r="I25217" s="137" t="s">
        <v>74</v>
      </c>
    </row>
    <row r="25218" spans="9:9" x14ac:dyDescent="0.2">
      <c r="I25218" s="137" t="s">
        <v>74</v>
      </c>
    </row>
    <row r="25219" spans="9:9" x14ac:dyDescent="0.2">
      <c r="I25219" s="137" t="s">
        <v>74</v>
      </c>
    </row>
    <row r="25220" spans="9:9" x14ac:dyDescent="0.2">
      <c r="I25220" s="137" t="s">
        <v>74</v>
      </c>
    </row>
    <row r="25221" spans="9:9" x14ac:dyDescent="0.2">
      <c r="I25221" s="137" t="s">
        <v>74</v>
      </c>
    </row>
    <row r="25222" spans="9:9" x14ac:dyDescent="0.2">
      <c r="I25222" s="137" t="s">
        <v>74</v>
      </c>
    </row>
    <row r="25223" spans="9:9" x14ac:dyDescent="0.2">
      <c r="I25223" s="137" t="s">
        <v>74</v>
      </c>
    </row>
    <row r="25224" spans="9:9" x14ac:dyDescent="0.2">
      <c r="I25224" s="137" t="s">
        <v>74</v>
      </c>
    </row>
    <row r="25225" spans="9:9" x14ac:dyDescent="0.2">
      <c r="I25225" s="137" t="s">
        <v>74</v>
      </c>
    </row>
    <row r="25226" spans="9:9" x14ac:dyDescent="0.2">
      <c r="I25226" s="137" t="s">
        <v>74</v>
      </c>
    </row>
    <row r="25227" spans="9:9" x14ac:dyDescent="0.2">
      <c r="I25227" s="137" t="s">
        <v>74</v>
      </c>
    </row>
    <row r="25228" spans="9:9" x14ac:dyDescent="0.2">
      <c r="I25228" s="137" t="s">
        <v>74</v>
      </c>
    </row>
    <row r="25229" spans="9:9" x14ac:dyDescent="0.2">
      <c r="I25229" s="137" t="s">
        <v>74</v>
      </c>
    </row>
    <row r="25230" spans="9:9" x14ac:dyDescent="0.2">
      <c r="I25230" s="137" t="s">
        <v>74</v>
      </c>
    </row>
    <row r="25231" spans="9:9" x14ac:dyDescent="0.2">
      <c r="I25231" s="137" t="s">
        <v>74</v>
      </c>
    </row>
    <row r="25232" spans="9:9" x14ac:dyDescent="0.2">
      <c r="I25232" s="137" t="s">
        <v>74</v>
      </c>
    </row>
    <row r="25233" spans="9:9" x14ac:dyDescent="0.2">
      <c r="I25233" s="137" t="s">
        <v>74</v>
      </c>
    </row>
    <row r="25234" spans="9:9" x14ac:dyDescent="0.2">
      <c r="I25234" s="137" t="s">
        <v>74</v>
      </c>
    </row>
    <row r="25235" spans="9:9" x14ac:dyDescent="0.2">
      <c r="I25235" s="137" t="s">
        <v>74</v>
      </c>
    </row>
    <row r="25236" spans="9:9" x14ac:dyDescent="0.2">
      <c r="I25236" s="137" t="s">
        <v>74</v>
      </c>
    </row>
    <row r="25237" spans="9:9" x14ac:dyDescent="0.2">
      <c r="I25237" s="137" t="s">
        <v>74</v>
      </c>
    </row>
    <row r="25238" spans="9:9" x14ac:dyDescent="0.2">
      <c r="I25238" s="137" t="s">
        <v>74</v>
      </c>
    </row>
    <row r="25239" spans="9:9" x14ac:dyDescent="0.2">
      <c r="I25239" s="137" t="s">
        <v>74</v>
      </c>
    </row>
    <row r="25240" spans="9:9" x14ac:dyDescent="0.2">
      <c r="I25240" s="137" t="s">
        <v>74</v>
      </c>
    </row>
    <row r="25241" spans="9:9" x14ac:dyDescent="0.2">
      <c r="I25241" s="137" t="s">
        <v>74</v>
      </c>
    </row>
    <row r="25242" spans="9:9" x14ac:dyDescent="0.2">
      <c r="I25242" s="137" t="s">
        <v>74</v>
      </c>
    </row>
    <row r="25243" spans="9:9" x14ac:dyDescent="0.2">
      <c r="I25243" s="137" t="s">
        <v>74</v>
      </c>
    </row>
    <row r="25244" spans="9:9" x14ac:dyDescent="0.2">
      <c r="I25244" s="137" t="s">
        <v>74</v>
      </c>
    </row>
    <row r="25245" spans="9:9" x14ac:dyDescent="0.2">
      <c r="I25245" s="137" t="s">
        <v>74</v>
      </c>
    </row>
    <row r="25246" spans="9:9" x14ac:dyDescent="0.2">
      <c r="I25246" s="137" t="s">
        <v>74</v>
      </c>
    </row>
    <row r="25247" spans="9:9" x14ac:dyDescent="0.2">
      <c r="I25247" s="137" t="s">
        <v>74</v>
      </c>
    </row>
    <row r="25248" spans="9:9" x14ac:dyDescent="0.2">
      <c r="I25248" s="137" t="s">
        <v>74</v>
      </c>
    </row>
    <row r="25249" spans="9:9" x14ac:dyDescent="0.2">
      <c r="I25249" s="137" t="s">
        <v>74</v>
      </c>
    </row>
    <row r="25250" spans="9:9" x14ac:dyDescent="0.2">
      <c r="I25250" s="137" t="s">
        <v>74</v>
      </c>
    </row>
    <row r="25251" spans="9:9" x14ac:dyDescent="0.2">
      <c r="I25251" s="137" t="s">
        <v>74</v>
      </c>
    </row>
    <row r="25252" spans="9:9" x14ac:dyDescent="0.2">
      <c r="I25252" s="137" t="s">
        <v>74</v>
      </c>
    </row>
    <row r="25253" spans="9:9" x14ac:dyDescent="0.2">
      <c r="I25253" s="137" t="s">
        <v>74</v>
      </c>
    </row>
    <row r="25254" spans="9:9" x14ac:dyDescent="0.2">
      <c r="I25254" s="137" t="s">
        <v>74</v>
      </c>
    </row>
    <row r="25255" spans="9:9" x14ac:dyDescent="0.2">
      <c r="I25255" s="137" t="s">
        <v>74</v>
      </c>
    </row>
    <row r="25256" spans="9:9" x14ac:dyDescent="0.2">
      <c r="I25256" s="137" t="s">
        <v>74</v>
      </c>
    </row>
    <row r="25257" spans="9:9" x14ac:dyDescent="0.2">
      <c r="I25257" s="137" t="s">
        <v>74</v>
      </c>
    </row>
    <row r="25258" spans="9:9" x14ac:dyDescent="0.2">
      <c r="I25258" s="137" t="s">
        <v>74</v>
      </c>
    </row>
    <row r="25259" spans="9:9" x14ac:dyDescent="0.2">
      <c r="I25259" s="137" t="s">
        <v>74</v>
      </c>
    </row>
    <row r="25260" spans="9:9" x14ac:dyDescent="0.2">
      <c r="I25260" s="137" t="s">
        <v>74</v>
      </c>
    </row>
    <row r="25261" spans="9:9" x14ac:dyDescent="0.2">
      <c r="I25261" s="137" t="s">
        <v>74</v>
      </c>
    </row>
    <row r="25262" spans="9:9" x14ac:dyDescent="0.2">
      <c r="I25262" s="137" t="s">
        <v>74</v>
      </c>
    </row>
    <row r="25263" spans="9:9" x14ac:dyDescent="0.2">
      <c r="I25263" s="137" t="s">
        <v>74</v>
      </c>
    </row>
    <row r="25264" spans="9:9" x14ac:dyDescent="0.2">
      <c r="I25264" s="137" t="s">
        <v>74</v>
      </c>
    </row>
    <row r="25265" spans="9:9" x14ac:dyDescent="0.2">
      <c r="I25265" s="137" t="s">
        <v>74</v>
      </c>
    </row>
    <row r="25266" spans="9:9" x14ac:dyDescent="0.2">
      <c r="I25266" s="137" t="s">
        <v>74</v>
      </c>
    </row>
    <row r="25267" spans="9:9" x14ac:dyDescent="0.2">
      <c r="I25267" s="137" t="s">
        <v>74</v>
      </c>
    </row>
    <row r="25268" spans="9:9" x14ac:dyDescent="0.2">
      <c r="I25268" s="137" t="s">
        <v>74</v>
      </c>
    </row>
    <row r="25269" spans="9:9" x14ac:dyDescent="0.2">
      <c r="I25269" s="137" t="s">
        <v>74</v>
      </c>
    </row>
    <row r="25270" spans="9:9" x14ac:dyDescent="0.2">
      <c r="I25270" s="137" t="s">
        <v>74</v>
      </c>
    </row>
    <row r="25271" spans="9:9" x14ac:dyDescent="0.2">
      <c r="I25271" s="137" t="s">
        <v>74</v>
      </c>
    </row>
    <row r="25272" spans="9:9" x14ac:dyDescent="0.2">
      <c r="I25272" s="137" t="s">
        <v>74</v>
      </c>
    </row>
    <row r="25273" spans="9:9" x14ac:dyDescent="0.2">
      <c r="I25273" s="137" t="s">
        <v>74</v>
      </c>
    </row>
    <row r="25274" spans="9:9" x14ac:dyDescent="0.2">
      <c r="I25274" s="137" t="s">
        <v>74</v>
      </c>
    </row>
    <row r="25275" spans="9:9" x14ac:dyDescent="0.2">
      <c r="I25275" s="137" t="s">
        <v>74</v>
      </c>
    </row>
    <row r="25276" spans="9:9" x14ac:dyDescent="0.2">
      <c r="I25276" s="137" t="s">
        <v>74</v>
      </c>
    </row>
    <row r="25277" spans="9:9" x14ac:dyDescent="0.2">
      <c r="I25277" s="137" t="s">
        <v>74</v>
      </c>
    </row>
    <row r="25278" spans="9:9" x14ac:dyDescent="0.2">
      <c r="I25278" s="137" t="s">
        <v>74</v>
      </c>
    </row>
    <row r="25279" spans="9:9" x14ac:dyDescent="0.2">
      <c r="I25279" s="137" t="s">
        <v>74</v>
      </c>
    </row>
    <row r="25280" spans="9:9" x14ac:dyDescent="0.2">
      <c r="I25280" s="137" t="s">
        <v>74</v>
      </c>
    </row>
    <row r="25281" spans="9:9" x14ac:dyDescent="0.2">
      <c r="I25281" s="137" t="s">
        <v>74</v>
      </c>
    </row>
    <row r="25282" spans="9:9" x14ac:dyDescent="0.2">
      <c r="I25282" s="137" t="s">
        <v>74</v>
      </c>
    </row>
    <row r="25283" spans="9:9" x14ac:dyDescent="0.2">
      <c r="I25283" s="137" t="s">
        <v>74</v>
      </c>
    </row>
    <row r="25284" spans="9:9" x14ac:dyDescent="0.2">
      <c r="I25284" s="137" t="s">
        <v>74</v>
      </c>
    </row>
    <row r="25285" spans="9:9" x14ac:dyDescent="0.2">
      <c r="I25285" s="137" t="s">
        <v>74</v>
      </c>
    </row>
    <row r="25286" spans="9:9" x14ac:dyDescent="0.2">
      <c r="I25286" s="137" t="s">
        <v>74</v>
      </c>
    </row>
    <row r="25287" spans="9:9" x14ac:dyDescent="0.2">
      <c r="I25287" s="137" t="s">
        <v>74</v>
      </c>
    </row>
    <row r="25288" spans="9:9" x14ac:dyDescent="0.2">
      <c r="I25288" s="137" t="s">
        <v>74</v>
      </c>
    </row>
    <row r="25289" spans="9:9" x14ac:dyDescent="0.2">
      <c r="I25289" s="137" t="s">
        <v>74</v>
      </c>
    </row>
    <row r="25290" spans="9:9" x14ac:dyDescent="0.2">
      <c r="I25290" s="137" t="s">
        <v>74</v>
      </c>
    </row>
    <row r="25291" spans="9:9" x14ac:dyDescent="0.2">
      <c r="I25291" s="137" t="s">
        <v>74</v>
      </c>
    </row>
    <row r="25292" spans="9:9" x14ac:dyDescent="0.2">
      <c r="I25292" s="137" t="s">
        <v>74</v>
      </c>
    </row>
    <row r="25293" spans="9:9" x14ac:dyDescent="0.2">
      <c r="I25293" s="137" t="s">
        <v>74</v>
      </c>
    </row>
    <row r="25294" spans="9:9" x14ac:dyDescent="0.2">
      <c r="I25294" s="137" t="s">
        <v>74</v>
      </c>
    </row>
    <row r="25295" spans="9:9" x14ac:dyDescent="0.2">
      <c r="I25295" s="137" t="s">
        <v>74</v>
      </c>
    </row>
    <row r="25296" spans="9:9" x14ac:dyDescent="0.2">
      <c r="I25296" s="137" t="s">
        <v>74</v>
      </c>
    </row>
    <row r="25297" spans="9:9" x14ac:dyDescent="0.2">
      <c r="I25297" s="137" t="s">
        <v>74</v>
      </c>
    </row>
    <row r="25298" spans="9:9" x14ac:dyDescent="0.2">
      <c r="I25298" s="137" t="s">
        <v>74</v>
      </c>
    </row>
    <row r="25299" spans="9:9" x14ac:dyDescent="0.2">
      <c r="I25299" s="137" t="s">
        <v>74</v>
      </c>
    </row>
    <row r="25300" spans="9:9" x14ac:dyDescent="0.2">
      <c r="I25300" s="137" t="s">
        <v>74</v>
      </c>
    </row>
    <row r="25301" spans="9:9" x14ac:dyDescent="0.2">
      <c r="I25301" s="137" t="s">
        <v>74</v>
      </c>
    </row>
    <row r="25302" spans="9:9" x14ac:dyDescent="0.2">
      <c r="I25302" s="137" t="s">
        <v>74</v>
      </c>
    </row>
    <row r="25303" spans="9:9" x14ac:dyDescent="0.2">
      <c r="I25303" s="137" t="s">
        <v>74</v>
      </c>
    </row>
    <row r="25304" spans="9:9" x14ac:dyDescent="0.2">
      <c r="I25304" s="137" t="s">
        <v>74</v>
      </c>
    </row>
    <row r="25305" spans="9:9" x14ac:dyDescent="0.2">
      <c r="I25305" s="137" t="s">
        <v>74</v>
      </c>
    </row>
    <row r="25306" spans="9:9" x14ac:dyDescent="0.2">
      <c r="I25306" s="137" t="s">
        <v>74</v>
      </c>
    </row>
    <row r="25307" spans="9:9" x14ac:dyDescent="0.2">
      <c r="I25307" s="137" t="s">
        <v>74</v>
      </c>
    </row>
    <row r="25308" spans="9:9" x14ac:dyDescent="0.2">
      <c r="I25308" s="137" t="s">
        <v>74</v>
      </c>
    </row>
    <row r="25309" spans="9:9" x14ac:dyDescent="0.2">
      <c r="I25309" s="137" t="s">
        <v>74</v>
      </c>
    </row>
    <row r="25310" spans="9:9" x14ac:dyDescent="0.2">
      <c r="I25310" s="137" t="s">
        <v>74</v>
      </c>
    </row>
    <row r="25311" spans="9:9" x14ac:dyDescent="0.2">
      <c r="I25311" s="137" t="s">
        <v>74</v>
      </c>
    </row>
    <row r="25312" spans="9:9" x14ac:dyDescent="0.2">
      <c r="I25312" s="137" t="s">
        <v>74</v>
      </c>
    </row>
    <row r="25313" spans="9:9" x14ac:dyDescent="0.2">
      <c r="I25313" s="137" t="s">
        <v>74</v>
      </c>
    </row>
    <row r="25314" spans="9:9" x14ac:dyDescent="0.2">
      <c r="I25314" s="137" t="s">
        <v>74</v>
      </c>
    </row>
    <row r="25315" spans="9:9" x14ac:dyDescent="0.2">
      <c r="I25315" s="137" t="s">
        <v>74</v>
      </c>
    </row>
    <row r="25316" spans="9:9" x14ac:dyDescent="0.2">
      <c r="I25316" s="137" t="s">
        <v>74</v>
      </c>
    </row>
    <row r="25317" spans="9:9" x14ac:dyDescent="0.2">
      <c r="I25317" s="137" t="s">
        <v>74</v>
      </c>
    </row>
    <row r="25318" spans="9:9" x14ac:dyDescent="0.2">
      <c r="I25318" s="137" t="s">
        <v>74</v>
      </c>
    </row>
    <row r="25319" spans="9:9" x14ac:dyDescent="0.2">
      <c r="I25319" s="137" t="s">
        <v>74</v>
      </c>
    </row>
    <row r="25320" spans="9:9" x14ac:dyDescent="0.2">
      <c r="I25320" s="137" t="s">
        <v>74</v>
      </c>
    </row>
    <row r="25321" spans="9:9" x14ac:dyDescent="0.2">
      <c r="I25321" s="137" t="s">
        <v>74</v>
      </c>
    </row>
    <row r="25322" spans="9:9" x14ac:dyDescent="0.2">
      <c r="I25322" s="137" t="s">
        <v>74</v>
      </c>
    </row>
    <row r="25323" spans="9:9" x14ac:dyDescent="0.2">
      <c r="I25323" s="137" t="s">
        <v>74</v>
      </c>
    </row>
    <row r="25324" spans="9:9" x14ac:dyDescent="0.2">
      <c r="I25324" s="137" t="s">
        <v>74</v>
      </c>
    </row>
    <row r="25325" spans="9:9" x14ac:dyDescent="0.2">
      <c r="I25325" s="137" t="s">
        <v>74</v>
      </c>
    </row>
    <row r="25326" spans="9:9" x14ac:dyDescent="0.2">
      <c r="I25326" s="137" t="s">
        <v>74</v>
      </c>
    </row>
    <row r="25327" spans="9:9" x14ac:dyDescent="0.2">
      <c r="I25327" s="137" t="s">
        <v>74</v>
      </c>
    </row>
    <row r="25328" spans="9:9" x14ac:dyDescent="0.2">
      <c r="I25328" s="137" t="s">
        <v>74</v>
      </c>
    </row>
    <row r="25329" spans="9:9" x14ac:dyDescent="0.2">
      <c r="I25329" s="137" t="s">
        <v>74</v>
      </c>
    </row>
    <row r="25330" spans="9:9" x14ac:dyDescent="0.2">
      <c r="I25330" s="137" t="s">
        <v>74</v>
      </c>
    </row>
    <row r="25331" spans="9:9" x14ac:dyDescent="0.2">
      <c r="I25331" s="137" t="s">
        <v>74</v>
      </c>
    </row>
    <row r="25332" spans="9:9" x14ac:dyDescent="0.2">
      <c r="I25332" s="137" t="s">
        <v>74</v>
      </c>
    </row>
    <row r="25333" spans="9:9" x14ac:dyDescent="0.2">
      <c r="I25333" s="137" t="s">
        <v>74</v>
      </c>
    </row>
    <row r="25334" spans="9:9" x14ac:dyDescent="0.2">
      <c r="I25334" s="137" t="s">
        <v>74</v>
      </c>
    </row>
    <row r="25335" spans="9:9" x14ac:dyDescent="0.2">
      <c r="I25335" s="137" t="s">
        <v>74</v>
      </c>
    </row>
    <row r="25336" spans="9:9" x14ac:dyDescent="0.2">
      <c r="I25336" s="137" t="s">
        <v>74</v>
      </c>
    </row>
    <row r="25337" spans="9:9" x14ac:dyDescent="0.2">
      <c r="I25337" s="137" t="s">
        <v>74</v>
      </c>
    </row>
    <row r="25338" spans="9:9" x14ac:dyDescent="0.2">
      <c r="I25338" s="137" t="s">
        <v>74</v>
      </c>
    </row>
    <row r="25339" spans="9:9" x14ac:dyDescent="0.2">
      <c r="I25339" s="137" t="s">
        <v>74</v>
      </c>
    </row>
    <row r="25340" spans="9:9" x14ac:dyDescent="0.2">
      <c r="I25340" s="137" t="s">
        <v>74</v>
      </c>
    </row>
    <row r="25341" spans="9:9" x14ac:dyDescent="0.2">
      <c r="I25341" s="137" t="s">
        <v>74</v>
      </c>
    </row>
    <row r="25342" spans="9:9" x14ac:dyDescent="0.2">
      <c r="I25342" s="137" t="s">
        <v>74</v>
      </c>
    </row>
    <row r="25343" spans="9:9" x14ac:dyDescent="0.2">
      <c r="I25343" s="137" t="s">
        <v>74</v>
      </c>
    </row>
    <row r="25344" spans="9:9" x14ac:dyDescent="0.2">
      <c r="I25344" s="137" t="s">
        <v>74</v>
      </c>
    </row>
    <row r="25345" spans="9:9" x14ac:dyDescent="0.2">
      <c r="I25345" s="137" t="s">
        <v>74</v>
      </c>
    </row>
    <row r="25346" spans="9:9" x14ac:dyDescent="0.2">
      <c r="I25346" s="137" t="s">
        <v>74</v>
      </c>
    </row>
    <row r="25347" spans="9:9" x14ac:dyDescent="0.2">
      <c r="I25347" s="137" t="s">
        <v>74</v>
      </c>
    </row>
    <row r="25348" spans="9:9" x14ac:dyDescent="0.2">
      <c r="I25348" s="137" t="s">
        <v>74</v>
      </c>
    </row>
    <row r="25349" spans="9:9" x14ac:dyDescent="0.2">
      <c r="I25349" s="137" t="s">
        <v>74</v>
      </c>
    </row>
    <row r="25350" spans="9:9" x14ac:dyDescent="0.2">
      <c r="I25350" s="137" t="s">
        <v>74</v>
      </c>
    </row>
    <row r="25351" spans="9:9" x14ac:dyDescent="0.2">
      <c r="I25351" s="137" t="s">
        <v>74</v>
      </c>
    </row>
    <row r="25352" spans="9:9" x14ac:dyDescent="0.2">
      <c r="I25352" s="137" t="s">
        <v>74</v>
      </c>
    </row>
    <row r="25353" spans="9:9" x14ac:dyDescent="0.2">
      <c r="I25353" s="137" t="s">
        <v>74</v>
      </c>
    </row>
    <row r="25354" spans="9:9" x14ac:dyDescent="0.2">
      <c r="I25354" s="137" t="s">
        <v>74</v>
      </c>
    </row>
    <row r="25355" spans="9:9" x14ac:dyDescent="0.2">
      <c r="I25355" s="137" t="s">
        <v>74</v>
      </c>
    </row>
    <row r="25356" spans="9:9" x14ac:dyDescent="0.2">
      <c r="I25356" s="137" t="s">
        <v>74</v>
      </c>
    </row>
    <row r="25357" spans="9:9" x14ac:dyDescent="0.2">
      <c r="I25357" s="137" t="s">
        <v>74</v>
      </c>
    </row>
    <row r="25358" spans="9:9" x14ac:dyDescent="0.2">
      <c r="I25358" s="137" t="s">
        <v>74</v>
      </c>
    </row>
    <row r="25359" spans="9:9" x14ac:dyDescent="0.2">
      <c r="I25359" s="137" t="s">
        <v>74</v>
      </c>
    </row>
    <row r="25360" spans="9:9" x14ac:dyDescent="0.2">
      <c r="I25360" s="137" t="s">
        <v>74</v>
      </c>
    </row>
    <row r="25361" spans="9:9" x14ac:dyDescent="0.2">
      <c r="I25361" s="137" t="s">
        <v>74</v>
      </c>
    </row>
    <row r="25362" spans="9:9" x14ac:dyDescent="0.2">
      <c r="I25362" s="137" t="s">
        <v>74</v>
      </c>
    </row>
    <row r="25363" spans="9:9" x14ac:dyDescent="0.2">
      <c r="I25363" s="137" t="s">
        <v>74</v>
      </c>
    </row>
    <row r="25364" spans="9:9" x14ac:dyDescent="0.2">
      <c r="I25364" s="137" t="s">
        <v>74</v>
      </c>
    </row>
    <row r="25365" spans="9:9" x14ac:dyDescent="0.2">
      <c r="I25365" s="137" t="s">
        <v>74</v>
      </c>
    </row>
    <row r="25366" spans="9:9" x14ac:dyDescent="0.2">
      <c r="I25366" s="137" t="s">
        <v>74</v>
      </c>
    </row>
    <row r="25367" spans="9:9" x14ac:dyDescent="0.2">
      <c r="I25367" s="137" t="s">
        <v>74</v>
      </c>
    </row>
    <row r="25368" spans="9:9" x14ac:dyDescent="0.2">
      <c r="I25368" s="137" t="s">
        <v>74</v>
      </c>
    </row>
    <row r="25369" spans="9:9" x14ac:dyDescent="0.2">
      <c r="I25369" s="137" t="s">
        <v>74</v>
      </c>
    </row>
    <row r="25370" spans="9:9" x14ac:dyDescent="0.2">
      <c r="I25370" s="137" t="s">
        <v>74</v>
      </c>
    </row>
    <row r="25371" spans="9:9" x14ac:dyDescent="0.2">
      <c r="I25371" s="137" t="s">
        <v>74</v>
      </c>
    </row>
    <row r="25372" spans="9:9" x14ac:dyDescent="0.2">
      <c r="I25372" s="137" t="s">
        <v>74</v>
      </c>
    </row>
    <row r="25373" spans="9:9" x14ac:dyDescent="0.2">
      <c r="I25373" s="137" t="s">
        <v>74</v>
      </c>
    </row>
    <row r="25374" spans="9:9" x14ac:dyDescent="0.2">
      <c r="I25374" s="137" t="s">
        <v>74</v>
      </c>
    </row>
    <row r="25375" spans="9:9" x14ac:dyDescent="0.2">
      <c r="I25375" s="137" t="s">
        <v>74</v>
      </c>
    </row>
    <row r="25376" spans="9:9" x14ac:dyDescent="0.2">
      <c r="I25376" s="137" t="s">
        <v>74</v>
      </c>
    </row>
    <row r="25377" spans="9:9" x14ac:dyDescent="0.2">
      <c r="I25377" s="137" t="s">
        <v>74</v>
      </c>
    </row>
    <row r="25378" spans="9:9" x14ac:dyDescent="0.2">
      <c r="I25378" s="137" t="s">
        <v>74</v>
      </c>
    </row>
    <row r="25379" spans="9:9" x14ac:dyDescent="0.2">
      <c r="I25379" s="137" t="s">
        <v>74</v>
      </c>
    </row>
    <row r="25380" spans="9:9" x14ac:dyDescent="0.2">
      <c r="I25380" s="137" t="s">
        <v>74</v>
      </c>
    </row>
    <row r="25381" spans="9:9" x14ac:dyDescent="0.2">
      <c r="I25381" s="137" t="s">
        <v>74</v>
      </c>
    </row>
    <row r="25382" spans="9:9" x14ac:dyDescent="0.2">
      <c r="I25382" s="137" t="s">
        <v>74</v>
      </c>
    </row>
    <row r="25383" spans="9:9" x14ac:dyDescent="0.2">
      <c r="I25383" s="137" t="s">
        <v>74</v>
      </c>
    </row>
    <row r="25384" spans="9:9" x14ac:dyDescent="0.2">
      <c r="I25384" s="137" t="s">
        <v>74</v>
      </c>
    </row>
    <row r="25385" spans="9:9" x14ac:dyDescent="0.2">
      <c r="I25385" s="137" t="s">
        <v>74</v>
      </c>
    </row>
    <row r="25386" spans="9:9" x14ac:dyDescent="0.2">
      <c r="I25386" s="137" t="s">
        <v>74</v>
      </c>
    </row>
    <row r="25387" spans="9:9" x14ac:dyDescent="0.2">
      <c r="I25387" s="137" t="s">
        <v>74</v>
      </c>
    </row>
    <row r="25388" spans="9:9" x14ac:dyDescent="0.2">
      <c r="I25388" s="137" t="s">
        <v>74</v>
      </c>
    </row>
    <row r="25389" spans="9:9" x14ac:dyDescent="0.2">
      <c r="I25389" s="137" t="s">
        <v>74</v>
      </c>
    </row>
    <row r="25390" spans="9:9" x14ac:dyDescent="0.2">
      <c r="I25390" s="137" t="s">
        <v>74</v>
      </c>
    </row>
    <row r="25391" spans="9:9" x14ac:dyDescent="0.2">
      <c r="I25391" s="137" t="s">
        <v>74</v>
      </c>
    </row>
    <row r="25392" spans="9:9" x14ac:dyDescent="0.2">
      <c r="I25392" s="137" t="s">
        <v>74</v>
      </c>
    </row>
    <row r="25393" spans="9:9" x14ac:dyDescent="0.2">
      <c r="I25393" s="137" t="s">
        <v>74</v>
      </c>
    </row>
    <row r="25394" spans="9:9" x14ac:dyDescent="0.2">
      <c r="I25394" s="137" t="s">
        <v>74</v>
      </c>
    </row>
    <row r="25395" spans="9:9" x14ac:dyDescent="0.2">
      <c r="I25395" s="137" t="s">
        <v>74</v>
      </c>
    </row>
    <row r="25396" spans="9:9" x14ac:dyDescent="0.2">
      <c r="I25396" s="137" t="s">
        <v>74</v>
      </c>
    </row>
    <row r="25397" spans="9:9" x14ac:dyDescent="0.2">
      <c r="I25397" s="137" t="s">
        <v>74</v>
      </c>
    </row>
    <row r="25398" spans="9:9" x14ac:dyDescent="0.2">
      <c r="I25398" s="137" t="s">
        <v>74</v>
      </c>
    </row>
    <row r="25399" spans="9:9" x14ac:dyDescent="0.2">
      <c r="I25399" s="137" t="s">
        <v>74</v>
      </c>
    </row>
    <row r="25400" spans="9:9" x14ac:dyDescent="0.2">
      <c r="I25400" s="137" t="s">
        <v>74</v>
      </c>
    </row>
    <row r="25401" spans="9:9" x14ac:dyDescent="0.2">
      <c r="I25401" s="137" t="s">
        <v>74</v>
      </c>
    </row>
    <row r="25402" spans="9:9" x14ac:dyDescent="0.2">
      <c r="I25402" s="137" t="s">
        <v>74</v>
      </c>
    </row>
    <row r="25403" spans="9:9" x14ac:dyDescent="0.2">
      <c r="I25403" s="137" t="s">
        <v>74</v>
      </c>
    </row>
    <row r="25404" spans="9:9" x14ac:dyDescent="0.2">
      <c r="I25404" s="137" t="s">
        <v>74</v>
      </c>
    </row>
    <row r="25405" spans="9:9" x14ac:dyDescent="0.2">
      <c r="I25405" s="137" t="s">
        <v>74</v>
      </c>
    </row>
    <row r="25406" spans="9:9" x14ac:dyDescent="0.2">
      <c r="I25406" s="137" t="s">
        <v>74</v>
      </c>
    </row>
    <row r="25407" spans="9:9" x14ac:dyDescent="0.2">
      <c r="I25407" s="137" t="s">
        <v>74</v>
      </c>
    </row>
    <row r="25408" spans="9:9" x14ac:dyDescent="0.2">
      <c r="I25408" s="137" t="s">
        <v>74</v>
      </c>
    </row>
    <row r="25409" spans="9:9" x14ac:dyDescent="0.2">
      <c r="I25409" s="137" t="s">
        <v>74</v>
      </c>
    </row>
    <row r="25410" spans="9:9" x14ac:dyDescent="0.2">
      <c r="I25410" s="137" t="s">
        <v>74</v>
      </c>
    </row>
    <row r="25411" spans="9:9" x14ac:dyDescent="0.2">
      <c r="I25411" s="137" t="s">
        <v>74</v>
      </c>
    </row>
    <row r="25412" spans="9:9" x14ac:dyDescent="0.2">
      <c r="I25412" s="137" t="s">
        <v>74</v>
      </c>
    </row>
    <row r="25413" spans="9:9" x14ac:dyDescent="0.2">
      <c r="I25413" s="137" t="s">
        <v>74</v>
      </c>
    </row>
    <row r="25414" spans="9:9" x14ac:dyDescent="0.2">
      <c r="I25414" s="137" t="s">
        <v>74</v>
      </c>
    </row>
    <row r="25415" spans="9:9" x14ac:dyDescent="0.2">
      <c r="I25415" s="137" t="s">
        <v>74</v>
      </c>
    </row>
    <row r="25416" spans="9:9" x14ac:dyDescent="0.2">
      <c r="I25416" s="137" t="s">
        <v>74</v>
      </c>
    </row>
    <row r="25417" spans="9:9" x14ac:dyDescent="0.2">
      <c r="I25417" s="137" t="s">
        <v>74</v>
      </c>
    </row>
    <row r="25418" spans="9:9" x14ac:dyDescent="0.2">
      <c r="I25418" s="137" t="s">
        <v>74</v>
      </c>
    </row>
    <row r="25419" spans="9:9" x14ac:dyDescent="0.2">
      <c r="I25419" s="137" t="s">
        <v>74</v>
      </c>
    </row>
    <row r="25420" spans="9:9" x14ac:dyDescent="0.2">
      <c r="I25420" s="137" t="s">
        <v>74</v>
      </c>
    </row>
    <row r="25421" spans="9:9" x14ac:dyDescent="0.2">
      <c r="I25421" s="137" t="s">
        <v>74</v>
      </c>
    </row>
    <row r="25422" spans="9:9" x14ac:dyDescent="0.2">
      <c r="I25422" s="137" t="s">
        <v>74</v>
      </c>
    </row>
    <row r="25423" spans="9:9" x14ac:dyDescent="0.2">
      <c r="I25423" s="137" t="s">
        <v>74</v>
      </c>
    </row>
    <row r="25424" spans="9:9" x14ac:dyDescent="0.2">
      <c r="I25424" s="137" t="s">
        <v>74</v>
      </c>
    </row>
    <row r="25425" spans="9:9" x14ac:dyDescent="0.2">
      <c r="I25425" s="137" t="s">
        <v>74</v>
      </c>
    </row>
    <row r="25426" spans="9:9" x14ac:dyDescent="0.2">
      <c r="I25426" s="137" t="s">
        <v>74</v>
      </c>
    </row>
    <row r="25427" spans="9:9" x14ac:dyDescent="0.2">
      <c r="I25427" s="137" t="s">
        <v>74</v>
      </c>
    </row>
    <row r="25428" spans="9:9" x14ac:dyDescent="0.2">
      <c r="I25428" s="137" t="s">
        <v>74</v>
      </c>
    </row>
    <row r="25429" spans="9:9" x14ac:dyDescent="0.2">
      <c r="I25429" s="137" t="s">
        <v>74</v>
      </c>
    </row>
    <row r="25430" spans="9:9" x14ac:dyDescent="0.2">
      <c r="I25430" s="137" t="s">
        <v>74</v>
      </c>
    </row>
    <row r="25431" spans="9:9" x14ac:dyDescent="0.2">
      <c r="I25431" s="137" t="s">
        <v>74</v>
      </c>
    </row>
    <row r="25432" spans="9:9" x14ac:dyDescent="0.2">
      <c r="I25432" s="137" t="s">
        <v>74</v>
      </c>
    </row>
    <row r="25433" spans="9:9" x14ac:dyDescent="0.2">
      <c r="I25433" s="137" t="s">
        <v>74</v>
      </c>
    </row>
    <row r="25434" spans="9:9" x14ac:dyDescent="0.2">
      <c r="I25434" s="137" t="s">
        <v>74</v>
      </c>
    </row>
    <row r="25435" spans="9:9" x14ac:dyDescent="0.2">
      <c r="I25435" s="137" t="s">
        <v>74</v>
      </c>
    </row>
    <row r="25436" spans="9:9" x14ac:dyDescent="0.2">
      <c r="I25436" s="137" t="s">
        <v>74</v>
      </c>
    </row>
    <row r="25437" spans="9:9" x14ac:dyDescent="0.2">
      <c r="I25437" s="137" t="s">
        <v>74</v>
      </c>
    </row>
    <row r="25438" spans="9:9" x14ac:dyDescent="0.2">
      <c r="I25438" s="137" t="s">
        <v>74</v>
      </c>
    </row>
    <row r="25439" spans="9:9" x14ac:dyDescent="0.2">
      <c r="I25439" s="137" t="s">
        <v>74</v>
      </c>
    </row>
    <row r="25440" spans="9:9" x14ac:dyDescent="0.2">
      <c r="I25440" s="137" t="s">
        <v>74</v>
      </c>
    </row>
    <row r="25441" spans="9:9" x14ac:dyDescent="0.2">
      <c r="I25441" s="137" t="s">
        <v>74</v>
      </c>
    </row>
    <row r="25442" spans="9:9" x14ac:dyDescent="0.2">
      <c r="I25442" s="137" t="s">
        <v>74</v>
      </c>
    </row>
    <row r="25443" spans="9:9" x14ac:dyDescent="0.2">
      <c r="I25443" s="137" t="s">
        <v>74</v>
      </c>
    </row>
    <row r="25444" spans="9:9" x14ac:dyDescent="0.2">
      <c r="I25444" s="137" t="s">
        <v>74</v>
      </c>
    </row>
    <row r="25445" spans="9:9" x14ac:dyDescent="0.2">
      <c r="I25445" s="137" t="s">
        <v>74</v>
      </c>
    </row>
    <row r="25446" spans="9:9" x14ac:dyDescent="0.2">
      <c r="I25446" s="137" t="s">
        <v>74</v>
      </c>
    </row>
    <row r="25447" spans="9:9" x14ac:dyDescent="0.2">
      <c r="I25447" s="137" t="s">
        <v>74</v>
      </c>
    </row>
    <row r="25448" spans="9:9" x14ac:dyDescent="0.2">
      <c r="I25448" s="137" t="s">
        <v>74</v>
      </c>
    </row>
    <row r="25449" spans="9:9" x14ac:dyDescent="0.2">
      <c r="I25449" s="137" t="s">
        <v>74</v>
      </c>
    </row>
    <row r="25450" spans="9:9" x14ac:dyDescent="0.2">
      <c r="I25450" s="137" t="s">
        <v>74</v>
      </c>
    </row>
    <row r="25451" spans="9:9" x14ac:dyDescent="0.2">
      <c r="I25451" s="137" t="s">
        <v>74</v>
      </c>
    </row>
    <row r="25452" spans="9:9" x14ac:dyDescent="0.2">
      <c r="I25452" s="137" t="s">
        <v>74</v>
      </c>
    </row>
    <row r="25453" spans="9:9" x14ac:dyDescent="0.2">
      <c r="I25453" s="137" t="s">
        <v>74</v>
      </c>
    </row>
    <row r="25454" spans="9:9" x14ac:dyDescent="0.2">
      <c r="I25454" s="137" t="s">
        <v>74</v>
      </c>
    </row>
    <row r="25455" spans="9:9" x14ac:dyDescent="0.2">
      <c r="I25455" s="137" t="s">
        <v>74</v>
      </c>
    </row>
    <row r="25456" spans="9:9" x14ac:dyDescent="0.2">
      <c r="I25456" s="137" t="s">
        <v>74</v>
      </c>
    </row>
    <row r="25457" spans="9:9" x14ac:dyDescent="0.2">
      <c r="I25457" s="137" t="s">
        <v>74</v>
      </c>
    </row>
    <row r="25458" spans="9:9" x14ac:dyDescent="0.2">
      <c r="I25458" s="137" t="s">
        <v>74</v>
      </c>
    </row>
    <row r="25459" spans="9:9" x14ac:dyDescent="0.2">
      <c r="I25459" s="137" t="s">
        <v>74</v>
      </c>
    </row>
    <row r="25460" spans="9:9" x14ac:dyDescent="0.2">
      <c r="I25460" s="137" t="s">
        <v>74</v>
      </c>
    </row>
    <row r="25461" spans="9:9" x14ac:dyDescent="0.2">
      <c r="I25461" s="137" t="s">
        <v>74</v>
      </c>
    </row>
    <row r="25462" spans="9:9" x14ac:dyDescent="0.2">
      <c r="I25462" s="137" t="s">
        <v>74</v>
      </c>
    </row>
    <row r="25463" spans="9:9" x14ac:dyDescent="0.2">
      <c r="I25463" s="137" t="s">
        <v>74</v>
      </c>
    </row>
    <row r="25464" spans="9:9" x14ac:dyDescent="0.2">
      <c r="I25464" s="137" t="s">
        <v>74</v>
      </c>
    </row>
    <row r="25465" spans="9:9" x14ac:dyDescent="0.2">
      <c r="I25465" s="137" t="s">
        <v>74</v>
      </c>
    </row>
    <row r="25466" spans="9:9" x14ac:dyDescent="0.2">
      <c r="I25466" s="137" t="s">
        <v>74</v>
      </c>
    </row>
    <row r="25467" spans="9:9" x14ac:dyDescent="0.2">
      <c r="I25467" s="137" t="s">
        <v>74</v>
      </c>
    </row>
    <row r="25468" spans="9:9" x14ac:dyDescent="0.2">
      <c r="I25468" s="137" t="s">
        <v>74</v>
      </c>
    </row>
    <row r="25469" spans="9:9" x14ac:dyDescent="0.2">
      <c r="I25469" s="137" t="s">
        <v>74</v>
      </c>
    </row>
    <row r="25470" spans="9:9" x14ac:dyDescent="0.2">
      <c r="I25470" s="137" t="s">
        <v>74</v>
      </c>
    </row>
    <row r="25471" spans="9:9" x14ac:dyDescent="0.2">
      <c r="I25471" s="137" t="s">
        <v>74</v>
      </c>
    </row>
    <row r="25472" spans="9:9" x14ac:dyDescent="0.2">
      <c r="I25472" s="137" t="s">
        <v>74</v>
      </c>
    </row>
    <row r="25473" spans="9:9" x14ac:dyDescent="0.2">
      <c r="I25473" s="137" t="s">
        <v>74</v>
      </c>
    </row>
    <row r="25474" spans="9:9" x14ac:dyDescent="0.2">
      <c r="I25474" s="137" t="s">
        <v>74</v>
      </c>
    </row>
    <row r="25475" spans="9:9" x14ac:dyDescent="0.2">
      <c r="I25475" s="137" t="s">
        <v>74</v>
      </c>
    </row>
    <row r="25476" spans="9:9" x14ac:dyDescent="0.2">
      <c r="I25476" s="137" t="s">
        <v>74</v>
      </c>
    </row>
    <row r="25477" spans="9:9" x14ac:dyDescent="0.2">
      <c r="I25477" s="137" t="s">
        <v>74</v>
      </c>
    </row>
    <row r="25478" spans="9:9" x14ac:dyDescent="0.2">
      <c r="I25478" s="137" t="s">
        <v>74</v>
      </c>
    </row>
    <row r="25479" spans="9:9" x14ac:dyDescent="0.2">
      <c r="I25479" s="137" t="s">
        <v>74</v>
      </c>
    </row>
    <row r="25480" spans="9:9" x14ac:dyDescent="0.2">
      <c r="I25480" s="137" t="s">
        <v>74</v>
      </c>
    </row>
    <row r="25481" spans="9:9" x14ac:dyDescent="0.2">
      <c r="I25481" s="137" t="s">
        <v>74</v>
      </c>
    </row>
    <row r="25482" spans="9:9" x14ac:dyDescent="0.2">
      <c r="I25482" s="137" t="s">
        <v>74</v>
      </c>
    </row>
    <row r="25483" spans="9:9" x14ac:dyDescent="0.2">
      <c r="I25483" s="137" t="s">
        <v>74</v>
      </c>
    </row>
    <row r="25484" spans="9:9" x14ac:dyDescent="0.2">
      <c r="I25484" s="137" t="s">
        <v>74</v>
      </c>
    </row>
    <row r="25485" spans="9:9" x14ac:dyDescent="0.2">
      <c r="I25485" s="137" t="s">
        <v>74</v>
      </c>
    </row>
    <row r="25486" spans="9:9" x14ac:dyDescent="0.2">
      <c r="I25486" s="137" t="s">
        <v>74</v>
      </c>
    </row>
    <row r="25487" spans="9:9" x14ac:dyDescent="0.2">
      <c r="I25487" s="137" t="s">
        <v>74</v>
      </c>
    </row>
    <row r="25488" spans="9:9" x14ac:dyDescent="0.2">
      <c r="I25488" s="137" t="s">
        <v>74</v>
      </c>
    </row>
    <row r="25489" spans="9:9" x14ac:dyDescent="0.2">
      <c r="I25489" s="137" t="s">
        <v>74</v>
      </c>
    </row>
    <row r="25490" spans="9:9" x14ac:dyDescent="0.2">
      <c r="I25490" s="137" t="s">
        <v>74</v>
      </c>
    </row>
    <row r="25491" spans="9:9" x14ac:dyDescent="0.2">
      <c r="I25491" s="137" t="s">
        <v>74</v>
      </c>
    </row>
    <row r="25492" spans="9:9" x14ac:dyDescent="0.2">
      <c r="I25492" s="137" t="s">
        <v>74</v>
      </c>
    </row>
    <row r="25493" spans="9:9" x14ac:dyDescent="0.2">
      <c r="I25493" s="137" t="s">
        <v>74</v>
      </c>
    </row>
    <row r="25494" spans="9:9" x14ac:dyDescent="0.2">
      <c r="I25494" s="137" t="s">
        <v>74</v>
      </c>
    </row>
    <row r="25495" spans="9:9" x14ac:dyDescent="0.2">
      <c r="I25495" s="137" t="s">
        <v>74</v>
      </c>
    </row>
    <row r="25496" spans="9:9" x14ac:dyDescent="0.2">
      <c r="I25496" s="137" t="s">
        <v>74</v>
      </c>
    </row>
    <row r="25497" spans="9:9" x14ac:dyDescent="0.2">
      <c r="I25497" s="137" t="s">
        <v>74</v>
      </c>
    </row>
    <row r="25498" spans="9:9" x14ac:dyDescent="0.2">
      <c r="I25498" s="137" t="s">
        <v>74</v>
      </c>
    </row>
    <row r="25499" spans="9:9" x14ac:dyDescent="0.2">
      <c r="I25499" s="137" t="s">
        <v>74</v>
      </c>
    </row>
    <row r="25500" spans="9:9" x14ac:dyDescent="0.2">
      <c r="I25500" s="137" t="s">
        <v>74</v>
      </c>
    </row>
    <row r="25501" spans="9:9" x14ac:dyDescent="0.2">
      <c r="I25501" s="137" t="s">
        <v>74</v>
      </c>
    </row>
    <row r="25502" spans="9:9" x14ac:dyDescent="0.2">
      <c r="I25502" s="137" t="s">
        <v>74</v>
      </c>
    </row>
    <row r="25503" spans="9:9" x14ac:dyDescent="0.2">
      <c r="I25503" s="137" t="s">
        <v>74</v>
      </c>
    </row>
    <row r="25504" spans="9:9" x14ac:dyDescent="0.2">
      <c r="I25504" s="137" t="s">
        <v>74</v>
      </c>
    </row>
    <row r="25505" spans="9:9" x14ac:dyDescent="0.2">
      <c r="I25505" s="137" t="s">
        <v>74</v>
      </c>
    </row>
    <row r="25506" spans="9:9" x14ac:dyDescent="0.2">
      <c r="I25506" s="137" t="s">
        <v>74</v>
      </c>
    </row>
    <row r="25507" spans="9:9" x14ac:dyDescent="0.2">
      <c r="I25507" s="137" t="s">
        <v>74</v>
      </c>
    </row>
    <row r="25508" spans="9:9" x14ac:dyDescent="0.2">
      <c r="I25508" s="137" t="s">
        <v>74</v>
      </c>
    </row>
    <row r="25509" spans="9:9" x14ac:dyDescent="0.2">
      <c r="I25509" s="137" t="s">
        <v>74</v>
      </c>
    </row>
    <row r="25510" spans="9:9" x14ac:dyDescent="0.2">
      <c r="I25510" s="137" t="s">
        <v>74</v>
      </c>
    </row>
    <row r="25511" spans="9:9" x14ac:dyDescent="0.2">
      <c r="I25511" s="137" t="s">
        <v>74</v>
      </c>
    </row>
    <row r="25512" spans="9:9" x14ac:dyDescent="0.2">
      <c r="I25512" s="137" t="s">
        <v>74</v>
      </c>
    </row>
    <row r="25513" spans="9:9" x14ac:dyDescent="0.2">
      <c r="I25513" s="137" t="s">
        <v>74</v>
      </c>
    </row>
    <row r="25514" spans="9:9" x14ac:dyDescent="0.2">
      <c r="I25514" s="137" t="s">
        <v>74</v>
      </c>
    </row>
    <row r="25515" spans="9:9" x14ac:dyDescent="0.2">
      <c r="I25515" s="137" t="s">
        <v>74</v>
      </c>
    </row>
    <row r="25516" spans="9:9" x14ac:dyDescent="0.2">
      <c r="I25516" s="137" t="s">
        <v>74</v>
      </c>
    </row>
    <row r="25517" spans="9:9" x14ac:dyDescent="0.2">
      <c r="I25517" s="137" t="s">
        <v>74</v>
      </c>
    </row>
    <row r="25518" spans="9:9" x14ac:dyDescent="0.2">
      <c r="I25518" s="137" t="s">
        <v>74</v>
      </c>
    </row>
    <row r="25519" spans="9:9" x14ac:dyDescent="0.2">
      <c r="I25519" s="137" t="s">
        <v>74</v>
      </c>
    </row>
    <row r="25520" spans="9:9" x14ac:dyDescent="0.2">
      <c r="I25520" s="137" t="s">
        <v>74</v>
      </c>
    </row>
    <row r="25521" spans="9:9" x14ac:dyDescent="0.2">
      <c r="I25521" s="137" t="s">
        <v>74</v>
      </c>
    </row>
    <row r="25522" spans="9:9" x14ac:dyDescent="0.2">
      <c r="I25522" s="137" t="s">
        <v>74</v>
      </c>
    </row>
    <row r="25523" spans="9:9" x14ac:dyDescent="0.2">
      <c r="I25523" s="137" t="s">
        <v>74</v>
      </c>
    </row>
    <row r="25524" spans="9:9" x14ac:dyDescent="0.2">
      <c r="I25524" s="137" t="s">
        <v>74</v>
      </c>
    </row>
    <row r="25525" spans="9:9" x14ac:dyDescent="0.2">
      <c r="I25525" s="137" t="s">
        <v>74</v>
      </c>
    </row>
    <row r="25526" spans="9:9" x14ac:dyDescent="0.2">
      <c r="I25526" s="137" t="s">
        <v>74</v>
      </c>
    </row>
    <row r="25527" spans="9:9" x14ac:dyDescent="0.2">
      <c r="I25527" s="137" t="s">
        <v>74</v>
      </c>
    </row>
    <row r="25528" spans="9:9" x14ac:dyDescent="0.2">
      <c r="I25528" s="137" t="s">
        <v>74</v>
      </c>
    </row>
    <row r="25529" spans="9:9" x14ac:dyDescent="0.2">
      <c r="I25529" s="137" t="s">
        <v>74</v>
      </c>
    </row>
    <row r="25530" spans="9:9" x14ac:dyDescent="0.2">
      <c r="I25530" s="137" t="s">
        <v>74</v>
      </c>
    </row>
    <row r="25531" spans="9:9" x14ac:dyDescent="0.2">
      <c r="I25531" s="137" t="s">
        <v>74</v>
      </c>
    </row>
    <row r="25532" spans="9:9" x14ac:dyDescent="0.2">
      <c r="I25532" s="137" t="s">
        <v>74</v>
      </c>
    </row>
    <row r="25533" spans="9:9" x14ac:dyDescent="0.2">
      <c r="I25533" s="137" t="s">
        <v>74</v>
      </c>
    </row>
    <row r="25534" spans="9:9" x14ac:dyDescent="0.2">
      <c r="I25534" s="137" t="s">
        <v>74</v>
      </c>
    </row>
    <row r="25535" spans="9:9" x14ac:dyDescent="0.2">
      <c r="I25535" s="137" t="s">
        <v>74</v>
      </c>
    </row>
    <row r="25536" spans="9:9" x14ac:dyDescent="0.2">
      <c r="I25536" s="137" t="s">
        <v>74</v>
      </c>
    </row>
    <row r="25537" spans="9:9" x14ac:dyDescent="0.2">
      <c r="I25537" s="137" t="s">
        <v>74</v>
      </c>
    </row>
    <row r="25538" spans="9:9" x14ac:dyDescent="0.2">
      <c r="I25538" s="137" t="s">
        <v>74</v>
      </c>
    </row>
    <row r="25539" spans="9:9" x14ac:dyDescent="0.2">
      <c r="I25539" s="137" t="s">
        <v>74</v>
      </c>
    </row>
    <row r="25540" spans="9:9" x14ac:dyDescent="0.2">
      <c r="I25540" s="137" t="s">
        <v>74</v>
      </c>
    </row>
    <row r="25541" spans="9:9" x14ac:dyDescent="0.2">
      <c r="I25541" s="137" t="s">
        <v>74</v>
      </c>
    </row>
    <row r="25542" spans="9:9" x14ac:dyDescent="0.2">
      <c r="I25542" s="137" t="s">
        <v>74</v>
      </c>
    </row>
    <row r="25543" spans="9:9" x14ac:dyDescent="0.2">
      <c r="I25543" s="137" t="s">
        <v>74</v>
      </c>
    </row>
    <row r="25544" spans="9:9" x14ac:dyDescent="0.2">
      <c r="I25544" s="137" t="s">
        <v>74</v>
      </c>
    </row>
    <row r="25545" spans="9:9" x14ac:dyDescent="0.2">
      <c r="I25545" s="137" t="s">
        <v>74</v>
      </c>
    </row>
    <row r="25546" spans="9:9" x14ac:dyDescent="0.2">
      <c r="I25546" s="137" t="s">
        <v>74</v>
      </c>
    </row>
    <row r="25547" spans="9:9" x14ac:dyDescent="0.2">
      <c r="I25547" s="137" t="s">
        <v>74</v>
      </c>
    </row>
    <row r="25548" spans="9:9" x14ac:dyDescent="0.2">
      <c r="I25548" s="137" t="s">
        <v>74</v>
      </c>
    </row>
    <row r="25549" spans="9:9" x14ac:dyDescent="0.2">
      <c r="I25549" s="137" t="s">
        <v>74</v>
      </c>
    </row>
    <row r="25550" spans="9:9" x14ac:dyDescent="0.2">
      <c r="I25550" s="137" t="s">
        <v>74</v>
      </c>
    </row>
    <row r="25551" spans="9:9" x14ac:dyDescent="0.2">
      <c r="I25551" s="137" t="s">
        <v>74</v>
      </c>
    </row>
    <row r="25552" spans="9:9" x14ac:dyDescent="0.2">
      <c r="I25552" s="137" t="s">
        <v>74</v>
      </c>
    </row>
    <row r="25553" spans="9:9" x14ac:dyDescent="0.2">
      <c r="I25553" s="137" t="s">
        <v>74</v>
      </c>
    </row>
    <row r="25554" spans="9:9" x14ac:dyDescent="0.2">
      <c r="I25554" s="137" t="s">
        <v>74</v>
      </c>
    </row>
    <row r="25555" spans="9:9" x14ac:dyDescent="0.2">
      <c r="I25555" s="137" t="s">
        <v>74</v>
      </c>
    </row>
    <row r="25556" spans="9:9" x14ac:dyDescent="0.2">
      <c r="I25556" s="137" t="s">
        <v>74</v>
      </c>
    </row>
    <row r="25557" spans="9:9" x14ac:dyDescent="0.2">
      <c r="I25557" s="137" t="s">
        <v>74</v>
      </c>
    </row>
    <row r="25558" spans="9:9" x14ac:dyDescent="0.2">
      <c r="I25558" s="137" t="s">
        <v>74</v>
      </c>
    </row>
    <row r="25559" spans="9:9" x14ac:dyDescent="0.2">
      <c r="I25559" s="137" t="s">
        <v>74</v>
      </c>
    </row>
    <row r="25560" spans="9:9" x14ac:dyDescent="0.2">
      <c r="I25560" s="137" t="s">
        <v>74</v>
      </c>
    </row>
    <row r="25561" spans="9:9" x14ac:dyDescent="0.2">
      <c r="I25561" s="137" t="s">
        <v>74</v>
      </c>
    </row>
    <row r="25562" spans="9:9" x14ac:dyDescent="0.2">
      <c r="I25562" s="137" t="s">
        <v>74</v>
      </c>
    </row>
    <row r="25563" spans="9:9" x14ac:dyDescent="0.2">
      <c r="I25563" s="137" t="s">
        <v>74</v>
      </c>
    </row>
    <row r="25564" spans="9:9" x14ac:dyDescent="0.2">
      <c r="I25564" s="137" t="s">
        <v>74</v>
      </c>
    </row>
    <row r="25565" spans="9:9" x14ac:dyDescent="0.2">
      <c r="I25565" s="137" t="s">
        <v>74</v>
      </c>
    </row>
    <row r="25566" spans="9:9" x14ac:dyDescent="0.2">
      <c r="I25566" s="137" t="s">
        <v>74</v>
      </c>
    </row>
    <row r="25567" spans="9:9" x14ac:dyDescent="0.2">
      <c r="I25567" s="137" t="s">
        <v>74</v>
      </c>
    </row>
    <row r="25568" spans="9:9" x14ac:dyDescent="0.2">
      <c r="I25568" s="137" t="s">
        <v>74</v>
      </c>
    </row>
    <row r="25569" spans="9:9" x14ac:dyDescent="0.2">
      <c r="I25569" s="137" t="s">
        <v>74</v>
      </c>
    </row>
    <row r="25570" spans="9:9" x14ac:dyDescent="0.2">
      <c r="I25570" s="137" t="s">
        <v>74</v>
      </c>
    </row>
    <row r="25571" spans="9:9" x14ac:dyDescent="0.2">
      <c r="I25571" s="137" t="s">
        <v>74</v>
      </c>
    </row>
    <row r="25572" spans="9:9" x14ac:dyDescent="0.2">
      <c r="I25572" s="137" t="s">
        <v>74</v>
      </c>
    </row>
    <row r="25573" spans="9:9" x14ac:dyDescent="0.2">
      <c r="I25573" s="137" t="s">
        <v>74</v>
      </c>
    </row>
    <row r="25574" spans="9:9" x14ac:dyDescent="0.2">
      <c r="I25574" s="137" t="s">
        <v>74</v>
      </c>
    </row>
    <row r="25575" spans="9:9" x14ac:dyDescent="0.2">
      <c r="I25575" s="137" t="s">
        <v>74</v>
      </c>
    </row>
    <row r="25576" spans="9:9" x14ac:dyDescent="0.2">
      <c r="I25576" s="137" t="s">
        <v>74</v>
      </c>
    </row>
    <row r="25577" spans="9:9" x14ac:dyDescent="0.2">
      <c r="I25577" s="137" t="s">
        <v>74</v>
      </c>
    </row>
    <row r="25578" spans="9:9" x14ac:dyDescent="0.2">
      <c r="I25578" s="137" t="s">
        <v>74</v>
      </c>
    </row>
    <row r="25579" spans="9:9" x14ac:dyDescent="0.2">
      <c r="I25579" s="137" t="s">
        <v>74</v>
      </c>
    </row>
    <row r="25580" spans="9:9" x14ac:dyDescent="0.2">
      <c r="I25580" s="137" t="s">
        <v>74</v>
      </c>
    </row>
    <row r="25581" spans="9:9" x14ac:dyDescent="0.2">
      <c r="I25581" s="137" t="s">
        <v>74</v>
      </c>
    </row>
    <row r="25582" spans="9:9" x14ac:dyDescent="0.2">
      <c r="I25582" s="137" t="s">
        <v>74</v>
      </c>
    </row>
    <row r="25583" spans="9:9" x14ac:dyDescent="0.2">
      <c r="I25583" s="137" t="s">
        <v>74</v>
      </c>
    </row>
    <row r="25584" spans="9:9" x14ac:dyDescent="0.2">
      <c r="I25584" s="137" t="s">
        <v>74</v>
      </c>
    </row>
    <row r="25585" spans="9:9" x14ac:dyDescent="0.2">
      <c r="I25585" s="137" t="s">
        <v>74</v>
      </c>
    </row>
    <row r="25586" spans="9:9" x14ac:dyDescent="0.2">
      <c r="I25586" s="137" t="s">
        <v>74</v>
      </c>
    </row>
    <row r="25587" spans="9:9" x14ac:dyDescent="0.2">
      <c r="I25587" s="137" t="s">
        <v>74</v>
      </c>
    </row>
    <row r="25588" spans="9:9" x14ac:dyDescent="0.2">
      <c r="I25588" s="137" t="s">
        <v>74</v>
      </c>
    </row>
    <row r="25589" spans="9:9" x14ac:dyDescent="0.2">
      <c r="I25589" s="137" t="s">
        <v>74</v>
      </c>
    </row>
    <row r="25590" spans="9:9" x14ac:dyDescent="0.2">
      <c r="I25590" s="137" t="s">
        <v>74</v>
      </c>
    </row>
    <row r="25591" spans="9:9" x14ac:dyDescent="0.2">
      <c r="I25591" s="137" t="s">
        <v>74</v>
      </c>
    </row>
    <row r="25592" spans="9:9" x14ac:dyDescent="0.2">
      <c r="I25592" s="137" t="s">
        <v>74</v>
      </c>
    </row>
    <row r="25593" spans="9:9" x14ac:dyDescent="0.2">
      <c r="I25593" s="137" t="s">
        <v>74</v>
      </c>
    </row>
    <row r="25594" spans="9:9" x14ac:dyDescent="0.2">
      <c r="I25594" s="137" t="s">
        <v>74</v>
      </c>
    </row>
    <row r="25595" spans="9:9" x14ac:dyDescent="0.2">
      <c r="I25595" s="137" t="s">
        <v>74</v>
      </c>
    </row>
    <row r="25596" spans="9:9" x14ac:dyDescent="0.2">
      <c r="I25596" s="137" t="s">
        <v>74</v>
      </c>
    </row>
    <row r="25597" spans="9:9" x14ac:dyDescent="0.2">
      <c r="I25597" s="137" t="s">
        <v>74</v>
      </c>
    </row>
    <row r="25598" spans="9:9" x14ac:dyDescent="0.2">
      <c r="I25598" s="137" t="s">
        <v>74</v>
      </c>
    </row>
    <row r="25599" spans="9:9" x14ac:dyDescent="0.2">
      <c r="I25599" s="137" t="s">
        <v>74</v>
      </c>
    </row>
    <row r="25600" spans="9:9" x14ac:dyDescent="0.2">
      <c r="I25600" s="137" t="s">
        <v>74</v>
      </c>
    </row>
    <row r="25601" spans="9:9" x14ac:dyDescent="0.2">
      <c r="I25601" s="137" t="s">
        <v>74</v>
      </c>
    </row>
    <row r="25602" spans="9:9" x14ac:dyDescent="0.2">
      <c r="I25602" s="137" t="s">
        <v>74</v>
      </c>
    </row>
    <row r="25603" spans="9:9" x14ac:dyDescent="0.2">
      <c r="I25603" s="137" t="s">
        <v>74</v>
      </c>
    </row>
    <row r="25604" spans="9:9" x14ac:dyDescent="0.2">
      <c r="I25604" s="137" t="s">
        <v>74</v>
      </c>
    </row>
    <row r="25605" spans="9:9" x14ac:dyDescent="0.2">
      <c r="I25605" s="137" t="s">
        <v>74</v>
      </c>
    </row>
    <row r="25606" spans="9:9" x14ac:dyDescent="0.2">
      <c r="I25606" s="137" t="s">
        <v>74</v>
      </c>
    </row>
    <row r="25607" spans="9:9" x14ac:dyDescent="0.2">
      <c r="I25607" s="137" t="s">
        <v>74</v>
      </c>
    </row>
    <row r="25608" spans="9:9" x14ac:dyDescent="0.2">
      <c r="I25608" s="137" t="s">
        <v>74</v>
      </c>
    </row>
    <row r="25609" spans="9:9" x14ac:dyDescent="0.2">
      <c r="I25609" s="137" t="s">
        <v>74</v>
      </c>
    </row>
    <row r="25610" spans="9:9" x14ac:dyDescent="0.2">
      <c r="I25610" s="137" t="s">
        <v>74</v>
      </c>
    </row>
    <row r="25611" spans="9:9" x14ac:dyDescent="0.2">
      <c r="I25611" s="137" t="s">
        <v>74</v>
      </c>
    </row>
    <row r="25612" spans="9:9" x14ac:dyDescent="0.2">
      <c r="I25612" s="137" t="s">
        <v>74</v>
      </c>
    </row>
    <row r="25613" spans="9:9" x14ac:dyDescent="0.2">
      <c r="I25613" s="137" t="s">
        <v>74</v>
      </c>
    </row>
    <row r="25614" spans="9:9" x14ac:dyDescent="0.2">
      <c r="I25614" s="137" t="s">
        <v>74</v>
      </c>
    </row>
    <row r="25615" spans="9:9" x14ac:dyDescent="0.2">
      <c r="I25615" s="137" t="s">
        <v>74</v>
      </c>
    </row>
    <row r="25616" spans="9:9" x14ac:dyDescent="0.2">
      <c r="I25616" s="137" t="s">
        <v>74</v>
      </c>
    </row>
    <row r="25617" spans="9:9" x14ac:dyDescent="0.2">
      <c r="I25617" s="137" t="s">
        <v>74</v>
      </c>
    </row>
    <row r="25618" spans="9:9" x14ac:dyDescent="0.2">
      <c r="I25618" s="137" t="s">
        <v>74</v>
      </c>
    </row>
    <row r="25619" spans="9:9" x14ac:dyDescent="0.2">
      <c r="I25619" s="137" t="s">
        <v>74</v>
      </c>
    </row>
    <row r="25620" spans="9:9" x14ac:dyDescent="0.2">
      <c r="I25620" s="137" t="s">
        <v>74</v>
      </c>
    </row>
    <row r="25621" spans="9:9" x14ac:dyDescent="0.2">
      <c r="I25621" s="137" t="s">
        <v>74</v>
      </c>
    </row>
    <row r="25622" spans="9:9" x14ac:dyDescent="0.2">
      <c r="I25622" s="137" t="s">
        <v>74</v>
      </c>
    </row>
    <row r="25623" spans="9:9" x14ac:dyDescent="0.2">
      <c r="I25623" s="137" t="s">
        <v>74</v>
      </c>
    </row>
    <row r="25624" spans="9:9" x14ac:dyDescent="0.2">
      <c r="I25624" s="137" t="s">
        <v>74</v>
      </c>
    </row>
    <row r="25625" spans="9:9" x14ac:dyDescent="0.2">
      <c r="I25625" s="137" t="s">
        <v>74</v>
      </c>
    </row>
    <row r="25626" spans="9:9" x14ac:dyDescent="0.2">
      <c r="I25626" s="137" t="s">
        <v>74</v>
      </c>
    </row>
    <row r="25627" spans="9:9" x14ac:dyDescent="0.2">
      <c r="I25627" s="137" t="s">
        <v>74</v>
      </c>
    </row>
    <row r="25628" spans="9:9" x14ac:dyDescent="0.2">
      <c r="I25628" s="137" t="s">
        <v>74</v>
      </c>
    </row>
    <row r="25629" spans="9:9" x14ac:dyDescent="0.2">
      <c r="I25629" s="137" t="s">
        <v>74</v>
      </c>
    </row>
    <row r="25630" spans="9:9" x14ac:dyDescent="0.2">
      <c r="I25630" s="137" t="s">
        <v>74</v>
      </c>
    </row>
    <row r="25631" spans="9:9" x14ac:dyDescent="0.2">
      <c r="I25631" s="137" t="s">
        <v>74</v>
      </c>
    </row>
    <row r="25632" spans="9:9" x14ac:dyDescent="0.2">
      <c r="I25632" s="137" t="s">
        <v>74</v>
      </c>
    </row>
    <row r="25633" spans="9:9" x14ac:dyDescent="0.2">
      <c r="I25633" s="137" t="s">
        <v>74</v>
      </c>
    </row>
    <row r="25634" spans="9:9" x14ac:dyDescent="0.2">
      <c r="I25634" s="137" t="s">
        <v>74</v>
      </c>
    </row>
    <row r="25635" spans="9:9" x14ac:dyDescent="0.2">
      <c r="I25635" s="137" t="s">
        <v>74</v>
      </c>
    </row>
    <row r="25636" spans="9:9" x14ac:dyDescent="0.2">
      <c r="I25636" s="137" t="s">
        <v>74</v>
      </c>
    </row>
    <row r="25637" spans="9:9" x14ac:dyDescent="0.2">
      <c r="I25637" s="137" t="s">
        <v>74</v>
      </c>
    </row>
    <row r="25638" spans="9:9" x14ac:dyDescent="0.2">
      <c r="I25638" s="137" t="s">
        <v>74</v>
      </c>
    </row>
    <row r="25639" spans="9:9" x14ac:dyDescent="0.2">
      <c r="I25639" s="137" t="s">
        <v>74</v>
      </c>
    </row>
    <row r="25640" spans="9:9" x14ac:dyDescent="0.2">
      <c r="I25640" s="137" t="s">
        <v>74</v>
      </c>
    </row>
    <row r="25641" spans="9:9" x14ac:dyDescent="0.2">
      <c r="I25641" s="137" t="s">
        <v>74</v>
      </c>
    </row>
    <row r="25642" spans="9:9" x14ac:dyDescent="0.2">
      <c r="I25642" s="137" t="s">
        <v>74</v>
      </c>
    </row>
    <row r="25643" spans="9:9" x14ac:dyDescent="0.2">
      <c r="I25643" s="137" t="s">
        <v>74</v>
      </c>
    </row>
    <row r="25644" spans="9:9" x14ac:dyDescent="0.2">
      <c r="I25644" s="137" t="s">
        <v>74</v>
      </c>
    </row>
    <row r="25645" spans="9:9" x14ac:dyDescent="0.2">
      <c r="I25645" s="137" t="s">
        <v>74</v>
      </c>
    </row>
    <row r="25646" spans="9:9" x14ac:dyDescent="0.2">
      <c r="I25646" s="137" t="s">
        <v>74</v>
      </c>
    </row>
    <row r="25647" spans="9:9" x14ac:dyDescent="0.2">
      <c r="I25647" s="137" t="s">
        <v>74</v>
      </c>
    </row>
    <row r="25648" spans="9:9" x14ac:dyDescent="0.2">
      <c r="I25648" s="137" t="s">
        <v>74</v>
      </c>
    </row>
    <row r="25649" spans="9:9" x14ac:dyDescent="0.2">
      <c r="I25649" s="137" t="s">
        <v>74</v>
      </c>
    </row>
    <row r="25650" spans="9:9" x14ac:dyDescent="0.2">
      <c r="I25650" s="137" t="s">
        <v>74</v>
      </c>
    </row>
    <row r="25651" spans="9:9" x14ac:dyDescent="0.2">
      <c r="I25651" s="137" t="s">
        <v>74</v>
      </c>
    </row>
    <row r="25652" spans="9:9" x14ac:dyDescent="0.2">
      <c r="I25652" s="137" t="s">
        <v>74</v>
      </c>
    </row>
    <row r="25653" spans="9:9" x14ac:dyDescent="0.2">
      <c r="I25653" s="137" t="s">
        <v>74</v>
      </c>
    </row>
    <row r="25654" spans="9:9" x14ac:dyDescent="0.2">
      <c r="I25654" s="137" t="s">
        <v>74</v>
      </c>
    </row>
    <row r="25655" spans="9:9" x14ac:dyDescent="0.2">
      <c r="I25655" s="137" t="s">
        <v>74</v>
      </c>
    </row>
    <row r="25656" spans="9:9" x14ac:dyDescent="0.2">
      <c r="I25656" s="137" t="s">
        <v>74</v>
      </c>
    </row>
    <row r="25657" spans="9:9" x14ac:dyDescent="0.2">
      <c r="I25657" s="137" t="s">
        <v>74</v>
      </c>
    </row>
    <row r="25658" spans="9:9" x14ac:dyDescent="0.2">
      <c r="I25658" s="137" t="s">
        <v>74</v>
      </c>
    </row>
    <row r="25659" spans="9:9" x14ac:dyDescent="0.2">
      <c r="I25659" s="137" t="s">
        <v>74</v>
      </c>
    </row>
    <row r="25660" spans="9:9" x14ac:dyDescent="0.2">
      <c r="I25660" s="137" t="s">
        <v>74</v>
      </c>
    </row>
    <row r="25661" spans="9:9" x14ac:dyDescent="0.2">
      <c r="I25661" s="137" t="s">
        <v>74</v>
      </c>
    </row>
    <row r="25662" spans="9:9" x14ac:dyDescent="0.2">
      <c r="I25662" s="137" t="s">
        <v>74</v>
      </c>
    </row>
    <row r="25663" spans="9:9" x14ac:dyDescent="0.2">
      <c r="I25663" s="137" t="s">
        <v>74</v>
      </c>
    </row>
    <row r="25664" spans="9:9" x14ac:dyDescent="0.2">
      <c r="I25664" s="137" t="s">
        <v>74</v>
      </c>
    </row>
    <row r="25665" spans="9:9" x14ac:dyDescent="0.2">
      <c r="I25665" s="137" t="s">
        <v>74</v>
      </c>
    </row>
    <row r="25666" spans="9:9" x14ac:dyDescent="0.2">
      <c r="I25666" s="137" t="s">
        <v>74</v>
      </c>
    </row>
    <row r="25667" spans="9:9" x14ac:dyDescent="0.2">
      <c r="I25667" s="137" t="s">
        <v>74</v>
      </c>
    </row>
    <row r="25668" spans="9:9" x14ac:dyDescent="0.2">
      <c r="I25668" s="137" t="s">
        <v>74</v>
      </c>
    </row>
    <row r="25669" spans="9:9" x14ac:dyDescent="0.2">
      <c r="I25669" s="137" t="s">
        <v>74</v>
      </c>
    </row>
    <row r="25670" spans="9:9" x14ac:dyDescent="0.2">
      <c r="I25670" s="137" t="s">
        <v>74</v>
      </c>
    </row>
    <row r="25671" spans="9:9" x14ac:dyDescent="0.2">
      <c r="I25671" s="137" t="s">
        <v>74</v>
      </c>
    </row>
    <row r="25672" spans="9:9" x14ac:dyDescent="0.2">
      <c r="I25672" s="137" t="s">
        <v>74</v>
      </c>
    </row>
    <row r="25673" spans="9:9" x14ac:dyDescent="0.2">
      <c r="I25673" s="137" t="s">
        <v>74</v>
      </c>
    </row>
    <row r="25674" spans="9:9" x14ac:dyDescent="0.2">
      <c r="I25674" s="137" t="s">
        <v>74</v>
      </c>
    </row>
    <row r="25675" spans="9:9" x14ac:dyDescent="0.2">
      <c r="I25675" s="137" t="s">
        <v>74</v>
      </c>
    </row>
    <row r="25676" spans="9:9" x14ac:dyDescent="0.2">
      <c r="I25676" s="137" t="s">
        <v>74</v>
      </c>
    </row>
    <row r="25677" spans="9:9" x14ac:dyDescent="0.2">
      <c r="I25677" s="137" t="s">
        <v>74</v>
      </c>
    </row>
    <row r="25678" spans="9:9" x14ac:dyDescent="0.2">
      <c r="I25678" s="137" t="s">
        <v>74</v>
      </c>
    </row>
    <row r="25679" spans="9:9" x14ac:dyDescent="0.2">
      <c r="I25679" s="137" t="s">
        <v>74</v>
      </c>
    </row>
    <row r="25680" spans="9:9" x14ac:dyDescent="0.2">
      <c r="I25680" s="137" t="s">
        <v>74</v>
      </c>
    </row>
    <row r="25681" spans="9:9" x14ac:dyDescent="0.2">
      <c r="I25681" s="137" t="s">
        <v>74</v>
      </c>
    </row>
    <row r="25682" spans="9:9" x14ac:dyDescent="0.2">
      <c r="I25682" s="137" t="s">
        <v>74</v>
      </c>
    </row>
    <row r="25683" spans="9:9" x14ac:dyDescent="0.2">
      <c r="I25683" s="137" t="s">
        <v>74</v>
      </c>
    </row>
    <row r="25684" spans="9:9" x14ac:dyDescent="0.2">
      <c r="I25684" s="137" t="s">
        <v>74</v>
      </c>
    </row>
    <row r="25685" spans="9:9" x14ac:dyDescent="0.2">
      <c r="I25685" s="137" t="s">
        <v>74</v>
      </c>
    </row>
    <row r="25686" spans="9:9" x14ac:dyDescent="0.2">
      <c r="I25686" s="137" t="s">
        <v>74</v>
      </c>
    </row>
    <row r="25687" spans="9:9" x14ac:dyDescent="0.2">
      <c r="I25687" s="137" t="s">
        <v>74</v>
      </c>
    </row>
    <row r="25688" spans="9:9" x14ac:dyDescent="0.2">
      <c r="I25688" s="137" t="s">
        <v>74</v>
      </c>
    </row>
    <row r="25689" spans="9:9" x14ac:dyDescent="0.2">
      <c r="I25689" s="137" t="s">
        <v>74</v>
      </c>
    </row>
    <row r="25690" spans="9:9" x14ac:dyDescent="0.2">
      <c r="I25690" s="137" t="s">
        <v>74</v>
      </c>
    </row>
    <row r="25691" spans="9:9" x14ac:dyDescent="0.2">
      <c r="I25691" s="137" t="s">
        <v>74</v>
      </c>
    </row>
    <row r="25692" spans="9:9" x14ac:dyDescent="0.2">
      <c r="I25692" s="137" t="s">
        <v>74</v>
      </c>
    </row>
    <row r="25693" spans="9:9" x14ac:dyDescent="0.2">
      <c r="I25693" s="137" t="s">
        <v>74</v>
      </c>
    </row>
    <row r="25694" spans="9:9" x14ac:dyDescent="0.2">
      <c r="I25694" s="137" t="s">
        <v>74</v>
      </c>
    </row>
    <row r="25695" spans="9:9" x14ac:dyDescent="0.2">
      <c r="I25695" s="137" t="s">
        <v>74</v>
      </c>
    </row>
    <row r="25696" spans="9:9" x14ac:dyDescent="0.2">
      <c r="I25696" s="137" t="s">
        <v>74</v>
      </c>
    </row>
    <row r="25697" spans="9:9" x14ac:dyDescent="0.2">
      <c r="I25697" s="137" t="s">
        <v>74</v>
      </c>
    </row>
    <row r="25698" spans="9:9" x14ac:dyDescent="0.2">
      <c r="I25698" s="137" t="s">
        <v>74</v>
      </c>
    </row>
    <row r="25699" spans="9:9" x14ac:dyDescent="0.2">
      <c r="I25699" s="137" t="s">
        <v>74</v>
      </c>
    </row>
    <row r="25700" spans="9:9" x14ac:dyDescent="0.2">
      <c r="I25700" s="137" t="s">
        <v>74</v>
      </c>
    </row>
    <row r="25701" spans="9:9" x14ac:dyDescent="0.2">
      <c r="I25701" s="137" t="s">
        <v>74</v>
      </c>
    </row>
    <row r="25702" spans="9:9" x14ac:dyDescent="0.2">
      <c r="I25702" s="137" t="s">
        <v>74</v>
      </c>
    </row>
    <row r="25703" spans="9:9" x14ac:dyDescent="0.2">
      <c r="I25703" s="137" t="s">
        <v>74</v>
      </c>
    </row>
    <row r="25704" spans="9:9" x14ac:dyDescent="0.2">
      <c r="I25704" s="137" t="s">
        <v>74</v>
      </c>
    </row>
    <row r="25705" spans="9:9" x14ac:dyDescent="0.2">
      <c r="I25705" s="137" t="s">
        <v>74</v>
      </c>
    </row>
    <row r="25706" spans="9:9" x14ac:dyDescent="0.2">
      <c r="I25706" s="137" t="s">
        <v>74</v>
      </c>
    </row>
    <row r="25707" spans="9:9" x14ac:dyDescent="0.2">
      <c r="I25707" s="137" t="s">
        <v>74</v>
      </c>
    </row>
    <row r="25708" spans="9:9" x14ac:dyDescent="0.2">
      <c r="I25708" s="137" t="s">
        <v>74</v>
      </c>
    </row>
    <row r="25709" spans="9:9" x14ac:dyDescent="0.2">
      <c r="I25709" s="137" t="s">
        <v>74</v>
      </c>
    </row>
    <row r="25710" spans="9:9" x14ac:dyDescent="0.2">
      <c r="I25710" s="137" t="s">
        <v>74</v>
      </c>
    </row>
    <row r="25711" spans="9:9" x14ac:dyDescent="0.2">
      <c r="I25711" s="137" t="s">
        <v>74</v>
      </c>
    </row>
    <row r="25712" spans="9:9" x14ac:dyDescent="0.2">
      <c r="I25712" s="137" t="s">
        <v>74</v>
      </c>
    </row>
    <row r="25713" spans="9:9" x14ac:dyDescent="0.2">
      <c r="I25713" s="137" t="s">
        <v>74</v>
      </c>
    </row>
    <row r="25714" spans="9:9" x14ac:dyDescent="0.2">
      <c r="I25714" s="137" t="s">
        <v>74</v>
      </c>
    </row>
    <row r="25715" spans="9:9" x14ac:dyDescent="0.2">
      <c r="I25715" s="137" t="s">
        <v>74</v>
      </c>
    </row>
    <row r="25716" spans="9:9" x14ac:dyDescent="0.2">
      <c r="I25716" s="137" t="s">
        <v>74</v>
      </c>
    </row>
    <row r="25717" spans="9:9" x14ac:dyDescent="0.2">
      <c r="I25717" s="137" t="s">
        <v>74</v>
      </c>
    </row>
    <row r="25718" spans="9:9" x14ac:dyDescent="0.2">
      <c r="I25718" s="137" t="s">
        <v>74</v>
      </c>
    </row>
    <row r="25719" spans="9:9" x14ac:dyDescent="0.2">
      <c r="I25719" s="137" t="s">
        <v>74</v>
      </c>
    </row>
    <row r="25720" spans="9:9" x14ac:dyDescent="0.2">
      <c r="I25720" s="137" t="s">
        <v>74</v>
      </c>
    </row>
    <row r="25721" spans="9:9" x14ac:dyDescent="0.2">
      <c r="I25721" s="137" t="s">
        <v>74</v>
      </c>
    </row>
    <row r="25722" spans="9:9" x14ac:dyDescent="0.2">
      <c r="I25722" s="137" t="s">
        <v>74</v>
      </c>
    </row>
    <row r="25723" spans="9:9" x14ac:dyDescent="0.2">
      <c r="I25723" s="137" t="s">
        <v>74</v>
      </c>
    </row>
    <row r="25724" spans="9:9" x14ac:dyDescent="0.2">
      <c r="I25724" s="137" t="s">
        <v>74</v>
      </c>
    </row>
    <row r="25725" spans="9:9" x14ac:dyDescent="0.2">
      <c r="I25725" s="137" t="s">
        <v>74</v>
      </c>
    </row>
    <row r="25726" spans="9:9" x14ac:dyDescent="0.2">
      <c r="I25726" s="137" t="s">
        <v>74</v>
      </c>
    </row>
    <row r="25727" spans="9:9" x14ac:dyDescent="0.2">
      <c r="I25727" s="137" t="s">
        <v>74</v>
      </c>
    </row>
    <row r="25728" spans="9:9" x14ac:dyDescent="0.2">
      <c r="I25728" s="137" t="s">
        <v>74</v>
      </c>
    </row>
    <row r="25729" spans="9:9" x14ac:dyDescent="0.2">
      <c r="I25729" s="137" t="s">
        <v>74</v>
      </c>
    </row>
    <row r="25730" spans="9:9" x14ac:dyDescent="0.2">
      <c r="I25730" s="137" t="s">
        <v>74</v>
      </c>
    </row>
    <row r="25731" spans="9:9" x14ac:dyDescent="0.2">
      <c r="I25731" s="137" t="s">
        <v>74</v>
      </c>
    </row>
    <row r="25732" spans="9:9" x14ac:dyDescent="0.2">
      <c r="I25732" s="137" t="s">
        <v>74</v>
      </c>
    </row>
    <row r="25733" spans="9:9" x14ac:dyDescent="0.2">
      <c r="I25733" s="137" t="s">
        <v>74</v>
      </c>
    </row>
    <row r="25734" spans="9:9" x14ac:dyDescent="0.2">
      <c r="I25734" s="137" t="s">
        <v>74</v>
      </c>
    </row>
    <row r="25735" spans="9:9" x14ac:dyDescent="0.2">
      <c r="I25735" s="137" t="s">
        <v>74</v>
      </c>
    </row>
    <row r="25736" spans="9:9" x14ac:dyDescent="0.2">
      <c r="I25736" s="137" t="s">
        <v>74</v>
      </c>
    </row>
    <row r="25737" spans="9:9" x14ac:dyDescent="0.2">
      <c r="I25737" s="137" t="s">
        <v>74</v>
      </c>
    </row>
    <row r="25738" spans="9:9" x14ac:dyDescent="0.2">
      <c r="I25738" s="137" t="s">
        <v>74</v>
      </c>
    </row>
    <row r="25739" spans="9:9" x14ac:dyDescent="0.2">
      <c r="I25739" s="137" t="s">
        <v>74</v>
      </c>
    </row>
    <row r="25740" spans="9:9" x14ac:dyDescent="0.2">
      <c r="I25740" s="137" t="s">
        <v>74</v>
      </c>
    </row>
    <row r="25741" spans="9:9" x14ac:dyDescent="0.2">
      <c r="I25741" s="137" t="s">
        <v>74</v>
      </c>
    </row>
    <row r="25742" spans="9:9" x14ac:dyDescent="0.2">
      <c r="I25742" s="137" t="s">
        <v>74</v>
      </c>
    </row>
    <row r="25743" spans="9:9" x14ac:dyDescent="0.2">
      <c r="I25743" s="137" t="s">
        <v>74</v>
      </c>
    </row>
    <row r="25744" spans="9:9" x14ac:dyDescent="0.2">
      <c r="I25744" s="137" t="s">
        <v>74</v>
      </c>
    </row>
    <row r="25745" spans="9:9" x14ac:dyDescent="0.2">
      <c r="I25745" s="137" t="s">
        <v>74</v>
      </c>
    </row>
    <row r="25746" spans="9:9" x14ac:dyDescent="0.2">
      <c r="I25746" s="137" t="s">
        <v>74</v>
      </c>
    </row>
    <row r="25747" spans="9:9" x14ac:dyDescent="0.2">
      <c r="I25747" s="137" t="s">
        <v>74</v>
      </c>
    </row>
    <row r="25748" spans="9:9" x14ac:dyDescent="0.2">
      <c r="I25748" s="137" t="s">
        <v>74</v>
      </c>
    </row>
    <row r="25749" spans="9:9" x14ac:dyDescent="0.2">
      <c r="I25749" s="137" t="s">
        <v>74</v>
      </c>
    </row>
    <row r="25750" spans="9:9" x14ac:dyDescent="0.2">
      <c r="I25750" s="137" t="s">
        <v>74</v>
      </c>
    </row>
    <row r="25751" spans="9:9" x14ac:dyDescent="0.2">
      <c r="I25751" s="137" t="s">
        <v>74</v>
      </c>
    </row>
    <row r="25752" spans="9:9" x14ac:dyDescent="0.2">
      <c r="I25752" s="137" t="s">
        <v>74</v>
      </c>
    </row>
    <row r="25753" spans="9:9" x14ac:dyDescent="0.2">
      <c r="I25753" s="137" t="s">
        <v>74</v>
      </c>
    </row>
    <row r="25754" spans="9:9" x14ac:dyDescent="0.2">
      <c r="I25754" s="137" t="s">
        <v>74</v>
      </c>
    </row>
    <row r="25755" spans="9:9" x14ac:dyDescent="0.2">
      <c r="I25755" s="137" t="s">
        <v>74</v>
      </c>
    </row>
    <row r="25756" spans="9:9" x14ac:dyDescent="0.2">
      <c r="I25756" s="137" t="s">
        <v>74</v>
      </c>
    </row>
    <row r="25757" spans="9:9" x14ac:dyDescent="0.2">
      <c r="I25757" s="137" t="s">
        <v>74</v>
      </c>
    </row>
    <row r="25758" spans="9:9" x14ac:dyDescent="0.2">
      <c r="I25758" s="137" t="s">
        <v>74</v>
      </c>
    </row>
    <row r="25759" spans="9:9" x14ac:dyDescent="0.2">
      <c r="I25759" s="137" t="s">
        <v>74</v>
      </c>
    </row>
    <row r="25760" spans="9:9" x14ac:dyDescent="0.2">
      <c r="I25760" s="137" t="s">
        <v>74</v>
      </c>
    </row>
    <row r="25761" spans="9:9" x14ac:dyDescent="0.2">
      <c r="I25761" s="137" t="s">
        <v>74</v>
      </c>
    </row>
    <row r="25762" spans="9:9" x14ac:dyDescent="0.2">
      <c r="I25762" s="137" t="s">
        <v>74</v>
      </c>
    </row>
    <row r="25763" spans="9:9" x14ac:dyDescent="0.2">
      <c r="I25763" s="137" t="s">
        <v>74</v>
      </c>
    </row>
    <row r="25764" spans="9:9" x14ac:dyDescent="0.2">
      <c r="I25764" s="137" t="s">
        <v>74</v>
      </c>
    </row>
    <row r="25765" spans="9:9" x14ac:dyDescent="0.2">
      <c r="I25765" s="137" t="s">
        <v>74</v>
      </c>
    </row>
    <row r="25766" spans="9:9" x14ac:dyDescent="0.2">
      <c r="I25766" s="137" t="s">
        <v>74</v>
      </c>
    </row>
    <row r="25767" spans="9:9" x14ac:dyDescent="0.2">
      <c r="I25767" s="137" t="s">
        <v>74</v>
      </c>
    </row>
    <row r="25768" spans="9:9" x14ac:dyDescent="0.2">
      <c r="I25768" s="137" t="s">
        <v>74</v>
      </c>
    </row>
    <row r="25769" spans="9:9" x14ac:dyDescent="0.2">
      <c r="I25769" s="137" t="s">
        <v>74</v>
      </c>
    </row>
    <row r="25770" spans="9:9" x14ac:dyDescent="0.2">
      <c r="I25770" s="137" t="s">
        <v>74</v>
      </c>
    </row>
    <row r="25771" spans="9:9" x14ac:dyDescent="0.2">
      <c r="I25771" s="137" t="s">
        <v>74</v>
      </c>
    </row>
    <row r="25772" spans="9:9" x14ac:dyDescent="0.2">
      <c r="I25772" s="137" t="s">
        <v>74</v>
      </c>
    </row>
    <row r="25773" spans="9:9" x14ac:dyDescent="0.2">
      <c r="I25773" s="137" t="s">
        <v>74</v>
      </c>
    </row>
    <row r="25774" spans="9:9" x14ac:dyDescent="0.2">
      <c r="I25774" s="137" t="s">
        <v>74</v>
      </c>
    </row>
    <row r="25775" spans="9:9" x14ac:dyDescent="0.2">
      <c r="I25775" s="137" t="s">
        <v>74</v>
      </c>
    </row>
    <row r="25776" spans="9:9" x14ac:dyDescent="0.2">
      <c r="I25776" s="137" t="s">
        <v>74</v>
      </c>
    </row>
    <row r="25777" spans="9:9" x14ac:dyDescent="0.2">
      <c r="I25777" s="137" t="s">
        <v>74</v>
      </c>
    </row>
    <row r="25778" spans="9:9" x14ac:dyDescent="0.2">
      <c r="I25778" s="137" t="s">
        <v>74</v>
      </c>
    </row>
    <row r="25779" spans="9:9" x14ac:dyDescent="0.2">
      <c r="I25779" s="137" t="s">
        <v>74</v>
      </c>
    </row>
    <row r="25780" spans="9:9" x14ac:dyDescent="0.2">
      <c r="I25780" s="137" t="s">
        <v>74</v>
      </c>
    </row>
    <row r="25781" spans="9:9" x14ac:dyDescent="0.2">
      <c r="I25781" s="137" t="s">
        <v>74</v>
      </c>
    </row>
    <row r="25782" spans="9:9" x14ac:dyDescent="0.2">
      <c r="I25782" s="137" t="s">
        <v>74</v>
      </c>
    </row>
    <row r="25783" spans="9:9" x14ac:dyDescent="0.2">
      <c r="I25783" s="137" t="s">
        <v>74</v>
      </c>
    </row>
    <row r="25784" spans="9:9" x14ac:dyDescent="0.2">
      <c r="I25784" s="137" t="s">
        <v>74</v>
      </c>
    </row>
    <row r="25785" spans="9:9" x14ac:dyDescent="0.2">
      <c r="I25785" s="137" t="s">
        <v>74</v>
      </c>
    </row>
    <row r="25786" spans="9:9" x14ac:dyDescent="0.2">
      <c r="I25786" s="137" t="s">
        <v>74</v>
      </c>
    </row>
    <row r="25787" spans="9:9" x14ac:dyDescent="0.2">
      <c r="I25787" s="137" t="s">
        <v>74</v>
      </c>
    </row>
    <row r="25788" spans="9:9" x14ac:dyDescent="0.2">
      <c r="I25788" s="137" t="s">
        <v>74</v>
      </c>
    </row>
    <row r="25789" spans="9:9" x14ac:dyDescent="0.2">
      <c r="I25789" s="137" t="s">
        <v>74</v>
      </c>
    </row>
    <row r="25790" spans="9:9" x14ac:dyDescent="0.2">
      <c r="I25790" s="137" t="s">
        <v>74</v>
      </c>
    </row>
    <row r="25791" spans="9:9" x14ac:dyDescent="0.2">
      <c r="I25791" s="137" t="s">
        <v>74</v>
      </c>
    </row>
    <row r="25792" spans="9:9" x14ac:dyDescent="0.2">
      <c r="I25792" s="137" t="s">
        <v>74</v>
      </c>
    </row>
    <row r="25793" spans="9:9" x14ac:dyDescent="0.2">
      <c r="I25793" s="137" t="s">
        <v>74</v>
      </c>
    </row>
    <row r="25794" spans="9:9" x14ac:dyDescent="0.2">
      <c r="I25794" s="137" t="s">
        <v>74</v>
      </c>
    </row>
    <row r="25795" spans="9:9" x14ac:dyDescent="0.2">
      <c r="I25795" s="137" t="s">
        <v>74</v>
      </c>
    </row>
    <row r="25796" spans="9:9" x14ac:dyDescent="0.2">
      <c r="I25796" s="137" t="s">
        <v>74</v>
      </c>
    </row>
    <row r="25797" spans="9:9" x14ac:dyDescent="0.2">
      <c r="I25797" s="137" t="s">
        <v>74</v>
      </c>
    </row>
    <row r="25798" spans="9:9" x14ac:dyDescent="0.2">
      <c r="I25798" s="137" t="s">
        <v>74</v>
      </c>
    </row>
    <row r="25799" spans="9:9" x14ac:dyDescent="0.2">
      <c r="I25799" s="137" t="s">
        <v>74</v>
      </c>
    </row>
    <row r="25800" spans="9:9" x14ac:dyDescent="0.2">
      <c r="I25800" s="137" t="s">
        <v>74</v>
      </c>
    </row>
    <row r="25801" spans="9:9" x14ac:dyDescent="0.2">
      <c r="I25801" s="137" t="s">
        <v>74</v>
      </c>
    </row>
    <row r="25802" spans="9:9" x14ac:dyDescent="0.2">
      <c r="I25802" s="137" t="s">
        <v>74</v>
      </c>
    </row>
    <row r="25803" spans="9:9" x14ac:dyDescent="0.2">
      <c r="I25803" s="137" t="s">
        <v>74</v>
      </c>
    </row>
    <row r="25804" spans="9:9" x14ac:dyDescent="0.2">
      <c r="I25804" s="137" t="s">
        <v>74</v>
      </c>
    </row>
    <row r="25805" spans="9:9" x14ac:dyDescent="0.2">
      <c r="I25805" s="137" t="s">
        <v>74</v>
      </c>
    </row>
    <row r="25806" spans="9:9" x14ac:dyDescent="0.2">
      <c r="I25806" s="137" t="s">
        <v>74</v>
      </c>
    </row>
    <row r="25807" spans="9:9" x14ac:dyDescent="0.2">
      <c r="I25807" s="137" t="s">
        <v>74</v>
      </c>
    </row>
    <row r="25808" spans="9:9" x14ac:dyDescent="0.2">
      <c r="I25808" s="137" t="s">
        <v>74</v>
      </c>
    </row>
    <row r="25809" spans="9:9" x14ac:dyDescent="0.2">
      <c r="I25809" s="137" t="s">
        <v>74</v>
      </c>
    </row>
    <row r="25810" spans="9:9" x14ac:dyDescent="0.2">
      <c r="I25810" s="137" t="s">
        <v>74</v>
      </c>
    </row>
    <row r="25811" spans="9:9" x14ac:dyDescent="0.2">
      <c r="I25811" s="137" t="s">
        <v>74</v>
      </c>
    </row>
    <row r="25812" spans="9:9" x14ac:dyDescent="0.2">
      <c r="I25812" s="137" t="s">
        <v>74</v>
      </c>
    </row>
    <row r="25813" spans="9:9" x14ac:dyDescent="0.2">
      <c r="I25813" s="137" t="s">
        <v>74</v>
      </c>
    </row>
    <row r="25814" spans="9:9" x14ac:dyDescent="0.2">
      <c r="I25814" s="137" t="s">
        <v>74</v>
      </c>
    </row>
    <row r="25815" spans="9:9" x14ac:dyDescent="0.2">
      <c r="I25815" s="137" t="s">
        <v>74</v>
      </c>
    </row>
    <row r="25816" spans="9:9" x14ac:dyDescent="0.2">
      <c r="I25816" s="137" t="s">
        <v>74</v>
      </c>
    </row>
    <row r="25817" spans="9:9" x14ac:dyDescent="0.2">
      <c r="I25817" s="137" t="s">
        <v>74</v>
      </c>
    </row>
    <row r="25818" spans="9:9" x14ac:dyDescent="0.2">
      <c r="I25818" s="137" t="s">
        <v>74</v>
      </c>
    </row>
    <row r="25819" spans="9:9" x14ac:dyDescent="0.2">
      <c r="I25819" s="137" t="s">
        <v>74</v>
      </c>
    </row>
    <row r="25820" spans="9:9" x14ac:dyDescent="0.2">
      <c r="I25820" s="137" t="s">
        <v>74</v>
      </c>
    </row>
    <row r="25821" spans="9:9" x14ac:dyDescent="0.2">
      <c r="I25821" s="137" t="s">
        <v>74</v>
      </c>
    </row>
    <row r="25822" spans="9:9" x14ac:dyDescent="0.2">
      <c r="I25822" s="137" t="s">
        <v>74</v>
      </c>
    </row>
    <row r="25823" spans="9:9" x14ac:dyDescent="0.2">
      <c r="I25823" s="137" t="s">
        <v>74</v>
      </c>
    </row>
    <row r="25824" spans="9:9" x14ac:dyDescent="0.2">
      <c r="I25824" s="137" t="s">
        <v>74</v>
      </c>
    </row>
    <row r="25825" spans="9:9" x14ac:dyDescent="0.2">
      <c r="I25825" s="137" t="s">
        <v>74</v>
      </c>
    </row>
    <row r="25826" spans="9:9" x14ac:dyDescent="0.2">
      <c r="I25826" s="137" t="s">
        <v>74</v>
      </c>
    </row>
    <row r="25827" spans="9:9" x14ac:dyDescent="0.2">
      <c r="I25827" s="137" t="s">
        <v>74</v>
      </c>
    </row>
    <row r="25828" spans="9:9" x14ac:dyDescent="0.2">
      <c r="I25828" s="137" t="s">
        <v>74</v>
      </c>
    </row>
    <row r="25829" spans="9:9" x14ac:dyDescent="0.2">
      <c r="I25829" s="137" t="s">
        <v>74</v>
      </c>
    </row>
    <row r="25830" spans="9:9" x14ac:dyDescent="0.2">
      <c r="I25830" s="137" t="s">
        <v>74</v>
      </c>
    </row>
    <row r="25831" spans="9:9" x14ac:dyDescent="0.2">
      <c r="I25831" s="137" t="s">
        <v>74</v>
      </c>
    </row>
    <row r="25832" spans="9:9" x14ac:dyDescent="0.2">
      <c r="I25832" s="137" t="s">
        <v>74</v>
      </c>
    </row>
    <row r="25833" spans="9:9" x14ac:dyDescent="0.2">
      <c r="I25833" s="137" t="s">
        <v>74</v>
      </c>
    </row>
    <row r="25834" spans="9:9" x14ac:dyDescent="0.2">
      <c r="I25834" s="137" t="s">
        <v>74</v>
      </c>
    </row>
    <row r="25835" spans="9:9" x14ac:dyDescent="0.2">
      <c r="I25835" s="137" t="s">
        <v>74</v>
      </c>
    </row>
    <row r="25836" spans="9:9" x14ac:dyDescent="0.2">
      <c r="I25836" s="137" t="s">
        <v>74</v>
      </c>
    </row>
    <row r="25837" spans="9:9" x14ac:dyDescent="0.2">
      <c r="I25837" s="137" t="s">
        <v>74</v>
      </c>
    </row>
    <row r="25838" spans="9:9" x14ac:dyDescent="0.2">
      <c r="I25838" s="137" t="s">
        <v>74</v>
      </c>
    </row>
    <row r="25839" spans="9:9" x14ac:dyDescent="0.2">
      <c r="I25839" s="137" t="s">
        <v>74</v>
      </c>
    </row>
    <row r="25840" spans="9:9" x14ac:dyDescent="0.2">
      <c r="I25840" s="137" t="s">
        <v>74</v>
      </c>
    </row>
    <row r="25841" spans="9:9" x14ac:dyDescent="0.2">
      <c r="I25841" s="137" t="s">
        <v>74</v>
      </c>
    </row>
    <row r="25842" spans="9:9" x14ac:dyDescent="0.2">
      <c r="I25842" s="137" t="s">
        <v>74</v>
      </c>
    </row>
    <row r="25843" spans="9:9" x14ac:dyDescent="0.2">
      <c r="I25843" s="137" t="s">
        <v>74</v>
      </c>
    </row>
    <row r="25844" spans="9:9" x14ac:dyDescent="0.2">
      <c r="I25844" s="137" t="s">
        <v>74</v>
      </c>
    </row>
    <row r="25845" spans="9:9" x14ac:dyDescent="0.2">
      <c r="I25845" s="137" t="s">
        <v>74</v>
      </c>
    </row>
    <row r="25846" spans="9:9" x14ac:dyDescent="0.2">
      <c r="I25846" s="137" t="s">
        <v>74</v>
      </c>
    </row>
    <row r="25847" spans="9:9" x14ac:dyDescent="0.2">
      <c r="I25847" s="137" t="s">
        <v>74</v>
      </c>
    </row>
    <row r="25848" spans="9:9" x14ac:dyDescent="0.2">
      <c r="I25848" s="137" t="s">
        <v>74</v>
      </c>
    </row>
    <row r="25849" spans="9:9" x14ac:dyDescent="0.2">
      <c r="I25849" s="137" t="s">
        <v>74</v>
      </c>
    </row>
    <row r="25850" spans="9:9" x14ac:dyDescent="0.2">
      <c r="I25850" s="137" t="s">
        <v>74</v>
      </c>
    </row>
    <row r="25851" spans="9:9" x14ac:dyDescent="0.2">
      <c r="I25851" s="137" t="s">
        <v>74</v>
      </c>
    </row>
    <row r="25852" spans="9:9" x14ac:dyDescent="0.2">
      <c r="I25852" s="137" t="s">
        <v>74</v>
      </c>
    </row>
    <row r="25853" spans="9:9" x14ac:dyDescent="0.2">
      <c r="I25853" s="137" t="s">
        <v>74</v>
      </c>
    </row>
    <row r="25854" spans="9:9" x14ac:dyDescent="0.2">
      <c r="I25854" s="137" t="s">
        <v>74</v>
      </c>
    </row>
    <row r="25855" spans="9:9" x14ac:dyDescent="0.2">
      <c r="I25855" s="137" t="s">
        <v>74</v>
      </c>
    </row>
    <row r="25856" spans="9:9" x14ac:dyDescent="0.2">
      <c r="I25856" s="137" t="s">
        <v>74</v>
      </c>
    </row>
    <row r="25857" spans="9:9" x14ac:dyDescent="0.2">
      <c r="I25857" s="137" t="s">
        <v>74</v>
      </c>
    </row>
    <row r="25858" spans="9:9" x14ac:dyDescent="0.2">
      <c r="I25858" s="137" t="s">
        <v>74</v>
      </c>
    </row>
    <row r="25859" spans="9:9" x14ac:dyDescent="0.2">
      <c r="I25859" s="137" t="s">
        <v>74</v>
      </c>
    </row>
    <row r="25860" spans="9:9" x14ac:dyDescent="0.2">
      <c r="I25860" s="137" t="s">
        <v>74</v>
      </c>
    </row>
    <row r="25861" spans="9:9" x14ac:dyDescent="0.2">
      <c r="I25861" s="137" t="s">
        <v>74</v>
      </c>
    </row>
    <row r="25862" spans="9:9" x14ac:dyDescent="0.2">
      <c r="I25862" s="137" t="s">
        <v>74</v>
      </c>
    </row>
    <row r="25863" spans="9:9" x14ac:dyDescent="0.2">
      <c r="I25863" s="137" t="s">
        <v>74</v>
      </c>
    </row>
    <row r="25864" spans="9:9" x14ac:dyDescent="0.2">
      <c r="I25864" s="137" t="s">
        <v>74</v>
      </c>
    </row>
    <row r="25865" spans="9:9" x14ac:dyDescent="0.2">
      <c r="I25865" s="137" t="s">
        <v>74</v>
      </c>
    </row>
    <row r="25866" spans="9:9" x14ac:dyDescent="0.2">
      <c r="I25866" s="137" t="s">
        <v>74</v>
      </c>
    </row>
    <row r="25867" spans="9:9" x14ac:dyDescent="0.2">
      <c r="I25867" s="137" t="s">
        <v>74</v>
      </c>
    </row>
    <row r="25868" spans="9:9" x14ac:dyDescent="0.2">
      <c r="I25868" s="137" t="s">
        <v>74</v>
      </c>
    </row>
    <row r="25869" spans="9:9" x14ac:dyDescent="0.2">
      <c r="I25869" s="137" t="s">
        <v>74</v>
      </c>
    </row>
    <row r="25870" spans="9:9" x14ac:dyDescent="0.2">
      <c r="I25870" s="137" t="s">
        <v>74</v>
      </c>
    </row>
    <row r="25871" spans="9:9" x14ac:dyDescent="0.2">
      <c r="I25871" s="137" t="s">
        <v>74</v>
      </c>
    </row>
    <row r="25872" spans="9:9" x14ac:dyDescent="0.2">
      <c r="I25872" s="137" t="s">
        <v>74</v>
      </c>
    </row>
    <row r="25873" spans="9:9" x14ac:dyDescent="0.2">
      <c r="I25873" s="137" t="s">
        <v>74</v>
      </c>
    </row>
    <row r="25874" spans="9:9" x14ac:dyDescent="0.2">
      <c r="I25874" s="137" t="s">
        <v>74</v>
      </c>
    </row>
    <row r="25875" spans="9:9" x14ac:dyDescent="0.2">
      <c r="I25875" s="137" t="s">
        <v>74</v>
      </c>
    </row>
    <row r="25876" spans="9:9" x14ac:dyDescent="0.2">
      <c r="I25876" s="137" t="s">
        <v>74</v>
      </c>
    </row>
    <row r="25877" spans="9:9" x14ac:dyDescent="0.2">
      <c r="I25877" s="137" t="s">
        <v>74</v>
      </c>
    </row>
    <row r="25878" spans="9:9" x14ac:dyDescent="0.2">
      <c r="I25878" s="137" t="s">
        <v>74</v>
      </c>
    </row>
    <row r="25879" spans="9:9" x14ac:dyDescent="0.2">
      <c r="I25879" s="137" t="s">
        <v>74</v>
      </c>
    </row>
    <row r="25880" spans="9:9" x14ac:dyDescent="0.2">
      <c r="I25880" s="137" t="s">
        <v>74</v>
      </c>
    </row>
    <row r="25881" spans="9:9" x14ac:dyDescent="0.2">
      <c r="I25881" s="137" t="s">
        <v>74</v>
      </c>
    </row>
    <row r="25882" spans="9:9" x14ac:dyDescent="0.2">
      <c r="I25882" s="137" t="s">
        <v>74</v>
      </c>
    </row>
    <row r="25883" spans="9:9" x14ac:dyDescent="0.2">
      <c r="I25883" s="137" t="s">
        <v>74</v>
      </c>
    </row>
    <row r="25884" spans="9:9" x14ac:dyDescent="0.2">
      <c r="I25884" s="137" t="s">
        <v>74</v>
      </c>
    </row>
    <row r="25885" spans="9:9" x14ac:dyDescent="0.2">
      <c r="I25885" s="137" t="s">
        <v>74</v>
      </c>
    </row>
    <row r="25886" spans="9:9" x14ac:dyDescent="0.2">
      <c r="I25886" s="137" t="s">
        <v>74</v>
      </c>
    </row>
    <row r="25887" spans="9:9" x14ac:dyDescent="0.2">
      <c r="I25887" s="137" t="s">
        <v>74</v>
      </c>
    </row>
    <row r="25888" spans="9:9" x14ac:dyDescent="0.2">
      <c r="I25888" s="137" t="s">
        <v>74</v>
      </c>
    </row>
    <row r="25889" spans="9:9" x14ac:dyDescent="0.2">
      <c r="I25889" s="137" t="s">
        <v>74</v>
      </c>
    </row>
    <row r="25890" spans="9:9" x14ac:dyDescent="0.2">
      <c r="I25890" s="137" t="s">
        <v>74</v>
      </c>
    </row>
    <row r="25891" spans="9:9" x14ac:dyDescent="0.2">
      <c r="I25891" s="137" t="s">
        <v>74</v>
      </c>
    </row>
    <row r="25892" spans="9:9" x14ac:dyDescent="0.2">
      <c r="I25892" s="137" t="s">
        <v>74</v>
      </c>
    </row>
    <row r="25893" spans="9:9" x14ac:dyDescent="0.2">
      <c r="I25893" s="137" t="s">
        <v>74</v>
      </c>
    </row>
    <row r="25894" spans="9:9" x14ac:dyDescent="0.2">
      <c r="I25894" s="137" t="s">
        <v>74</v>
      </c>
    </row>
    <row r="25895" spans="9:9" x14ac:dyDescent="0.2">
      <c r="I25895" s="137" t="s">
        <v>74</v>
      </c>
    </row>
    <row r="25896" spans="9:9" x14ac:dyDescent="0.2">
      <c r="I25896" s="137" t="s">
        <v>74</v>
      </c>
    </row>
    <row r="25897" spans="9:9" x14ac:dyDescent="0.2">
      <c r="I25897" s="137" t="s">
        <v>74</v>
      </c>
    </row>
    <row r="25898" spans="9:9" x14ac:dyDescent="0.2">
      <c r="I25898" s="137" t="s">
        <v>74</v>
      </c>
    </row>
    <row r="25899" spans="9:9" x14ac:dyDescent="0.2">
      <c r="I25899" s="137" t="s">
        <v>74</v>
      </c>
    </row>
    <row r="25900" spans="9:9" x14ac:dyDescent="0.2">
      <c r="I25900" s="137" t="s">
        <v>74</v>
      </c>
    </row>
    <row r="25901" spans="9:9" x14ac:dyDescent="0.2">
      <c r="I25901" s="137" t="s">
        <v>74</v>
      </c>
    </row>
    <row r="25902" spans="9:9" x14ac:dyDescent="0.2">
      <c r="I25902" s="137" t="s">
        <v>74</v>
      </c>
    </row>
    <row r="25903" spans="9:9" x14ac:dyDescent="0.2">
      <c r="I25903" s="137" t="s">
        <v>74</v>
      </c>
    </row>
    <row r="25904" spans="9:9" x14ac:dyDescent="0.2">
      <c r="I25904" s="137" t="s">
        <v>74</v>
      </c>
    </row>
    <row r="25905" spans="9:9" x14ac:dyDescent="0.2">
      <c r="I25905" s="137" t="s">
        <v>74</v>
      </c>
    </row>
    <row r="25906" spans="9:9" x14ac:dyDescent="0.2">
      <c r="I25906" s="137" t="s">
        <v>74</v>
      </c>
    </row>
    <row r="25907" spans="9:9" x14ac:dyDescent="0.2">
      <c r="I25907" s="137" t="s">
        <v>74</v>
      </c>
    </row>
    <row r="25908" spans="9:9" x14ac:dyDescent="0.2">
      <c r="I25908" s="137" t="s">
        <v>74</v>
      </c>
    </row>
    <row r="25909" spans="9:9" x14ac:dyDescent="0.2">
      <c r="I25909" s="137" t="s">
        <v>74</v>
      </c>
    </row>
    <row r="25910" spans="9:9" x14ac:dyDescent="0.2">
      <c r="I25910" s="137" t="s">
        <v>74</v>
      </c>
    </row>
    <row r="25911" spans="9:9" x14ac:dyDescent="0.2">
      <c r="I25911" s="137" t="s">
        <v>74</v>
      </c>
    </row>
    <row r="25912" spans="9:9" x14ac:dyDescent="0.2">
      <c r="I25912" s="137" t="s">
        <v>74</v>
      </c>
    </row>
    <row r="25913" spans="9:9" x14ac:dyDescent="0.2">
      <c r="I25913" s="137" t="s">
        <v>74</v>
      </c>
    </row>
    <row r="25914" spans="9:9" x14ac:dyDescent="0.2">
      <c r="I25914" s="137" t="s">
        <v>74</v>
      </c>
    </row>
    <row r="25915" spans="9:9" x14ac:dyDescent="0.2">
      <c r="I25915" s="137" t="s">
        <v>74</v>
      </c>
    </row>
    <row r="25916" spans="9:9" x14ac:dyDescent="0.2">
      <c r="I25916" s="137" t="s">
        <v>74</v>
      </c>
    </row>
    <row r="25917" spans="9:9" x14ac:dyDescent="0.2">
      <c r="I25917" s="137" t="s">
        <v>74</v>
      </c>
    </row>
    <row r="25918" spans="9:9" x14ac:dyDescent="0.2">
      <c r="I25918" s="137" t="s">
        <v>74</v>
      </c>
    </row>
    <row r="25919" spans="9:9" x14ac:dyDescent="0.2">
      <c r="I25919" s="137" t="s">
        <v>74</v>
      </c>
    </row>
    <row r="25920" spans="9:9" x14ac:dyDescent="0.2">
      <c r="I25920" s="137" t="s">
        <v>74</v>
      </c>
    </row>
    <row r="25921" spans="9:9" x14ac:dyDescent="0.2">
      <c r="I25921" s="137" t="s">
        <v>74</v>
      </c>
    </row>
    <row r="25922" spans="9:9" x14ac:dyDescent="0.2">
      <c r="I25922" s="137" t="s">
        <v>74</v>
      </c>
    </row>
    <row r="25923" spans="9:9" x14ac:dyDescent="0.2">
      <c r="I25923" s="137" t="s">
        <v>74</v>
      </c>
    </row>
    <row r="25924" spans="9:9" x14ac:dyDescent="0.2">
      <c r="I25924" s="137" t="s">
        <v>74</v>
      </c>
    </row>
    <row r="25925" spans="9:9" x14ac:dyDescent="0.2">
      <c r="I25925" s="137" t="s">
        <v>74</v>
      </c>
    </row>
    <row r="25926" spans="9:9" x14ac:dyDescent="0.2">
      <c r="I25926" s="137" t="s">
        <v>74</v>
      </c>
    </row>
    <row r="25927" spans="9:9" x14ac:dyDescent="0.2">
      <c r="I25927" s="137" t="s">
        <v>74</v>
      </c>
    </row>
    <row r="25928" spans="9:9" x14ac:dyDescent="0.2">
      <c r="I25928" s="137" t="s">
        <v>74</v>
      </c>
    </row>
    <row r="25929" spans="9:9" x14ac:dyDescent="0.2">
      <c r="I25929" s="137" t="s">
        <v>74</v>
      </c>
    </row>
    <row r="25930" spans="9:9" x14ac:dyDescent="0.2">
      <c r="I25930" s="137" t="s">
        <v>74</v>
      </c>
    </row>
    <row r="25931" spans="9:9" x14ac:dyDescent="0.2">
      <c r="I25931" s="137" t="s">
        <v>74</v>
      </c>
    </row>
    <row r="25932" spans="9:9" x14ac:dyDescent="0.2">
      <c r="I25932" s="137" t="s">
        <v>74</v>
      </c>
    </row>
    <row r="25933" spans="9:9" x14ac:dyDescent="0.2">
      <c r="I25933" s="137" t="s">
        <v>74</v>
      </c>
    </row>
    <row r="25934" spans="9:9" x14ac:dyDescent="0.2">
      <c r="I25934" s="137" t="s">
        <v>74</v>
      </c>
    </row>
    <row r="25935" spans="9:9" x14ac:dyDescent="0.2">
      <c r="I25935" s="137" t="s">
        <v>74</v>
      </c>
    </row>
    <row r="25936" spans="9:9" x14ac:dyDescent="0.2">
      <c r="I25936" s="137" t="s">
        <v>74</v>
      </c>
    </row>
    <row r="25937" spans="9:9" x14ac:dyDescent="0.2">
      <c r="I25937" s="137" t="s">
        <v>74</v>
      </c>
    </row>
    <row r="25938" spans="9:9" x14ac:dyDescent="0.2">
      <c r="I25938" s="137" t="s">
        <v>74</v>
      </c>
    </row>
    <row r="25939" spans="9:9" x14ac:dyDescent="0.2">
      <c r="I25939" s="137" t="s">
        <v>74</v>
      </c>
    </row>
    <row r="25940" spans="9:9" x14ac:dyDescent="0.2">
      <c r="I25940" s="137" t="s">
        <v>74</v>
      </c>
    </row>
    <row r="25941" spans="9:9" x14ac:dyDescent="0.2">
      <c r="I25941" s="137" t="s">
        <v>74</v>
      </c>
    </row>
    <row r="25942" spans="9:9" x14ac:dyDescent="0.2">
      <c r="I25942" s="137" t="s">
        <v>74</v>
      </c>
    </row>
    <row r="25943" spans="9:9" x14ac:dyDescent="0.2">
      <c r="I25943" s="137" t="s">
        <v>74</v>
      </c>
    </row>
    <row r="25944" spans="9:9" x14ac:dyDescent="0.2">
      <c r="I25944" s="137" t="s">
        <v>74</v>
      </c>
    </row>
    <row r="25945" spans="9:9" x14ac:dyDescent="0.2">
      <c r="I25945" s="137" t="s">
        <v>74</v>
      </c>
    </row>
    <row r="25946" spans="9:9" x14ac:dyDescent="0.2">
      <c r="I25946" s="137" t="s">
        <v>74</v>
      </c>
    </row>
    <row r="25947" spans="9:9" x14ac:dyDescent="0.2">
      <c r="I25947" s="137" t="s">
        <v>74</v>
      </c>
    </row>
    <row r="25948" spans="9:9" x14ac:dyDescent="0.2">
      <c r="I25948" s="137" t="s">
        <v>74</v>
      </c>
    </row>
    <row r="25949" spans="9:9" x14ac:dyDescent="0.2">
      <c r="I25949" s="137" t="s">
        <v>74</v>
      </c>
    </row>
    <row r="25950" spans="9:9" x14ac:dyDescent="0.2">
      <c r="I25950" s="137" t="s">
        <v>74</v>
      </c>
    </row>
    <row r="25951" spans="9:9" x14ac:dyDescent="0.2">
      <c r="I25951" s="137" t="s">
        <v>74</v>
      </c>
    </row>
    <row r="25952" spans="9:9" x14ac:dyDescent="0.2">
      <c r="I25952" s="137" t="s">
        <v>74</v>
      </c>
    </row>
    <row r="25953" spans="9:9" x14ac:dyDescent="0.2">
      <c r="I25953" s="137" t="s">
        <v>74</v>
      </c>
    </row>
    <row r="25954" spans="9:9" x14ac:dyDescent="0.2">
      <c r="I25954" s="137" t="s">
        <v>74</v>
      </c>
    </row>
    <row r="25955" spans="9:9" x14ac:dyDescent="0.2">
      <c r="I25955" s="137" t="s">
        <v>74</v>
      </c>
    </row>
    <row r="25956" spans="9:9" x14ac:dyDescent="0.2">
      <c r="I25956" s="137" t="s">
        <v>74</v>
      </c>
    </row>
    <row r="25957" spans="9:9" x14ac:dyDescent="0.2">
      <c r="I25957" s="137" t="s">
        <v>74</v>
      </c>
    </row>
    <row r="25958" spans="9:9" x14ac:dyDescent="0.2">
      <c r="I25958" s="137" t="s">
        <v>74</v>
      </c>
    </row>
    <row r="25959" spans="9:9" x14ac:dyDescent="0.2">
      <c r="I25959" s="137" t="s">
        <v>74</v>
      </c>
    </row>
    <row r="25960" spans="9:9" x14ac:dyDescent="0.2">
      <c r="I25960" s="137" t="s">
        <v>74</v>
      </c>
    </row>
    <row r="25961" spans="9:9" x14ac:dyDescent="0.2">
      <c r="I25961" s="137" t="s">
        <v>74</v>
      </c>
    </row>
    <row r="25962" spans="9:9" x14ac:dyDescent="0.2">
      <c r="I25962" s="137" t="s">
        <v>74</v>
      </c>
    </row>
    <row r="25963" spans="9:9" x14ac:dyDescent="0.2">
      <c r="I25963" s="137" t="s">
        <v>74</v>
      </c>
    </row>
    <row r="25964" spans="9:9" x14ac:dyDescent="0.2">
      <c r="I25964" s="137" t="s">
        <v>74</v>
      </c>
    </row>
    <row r="25965" spans="9:9" x14ac:dyDescent="0.2">
      <c r="I25965" s="137" t="s">
        <v>74</v>
      </c>
    </row>
    <row r="25966" spans="9:9" x14ac:dyDescent="0.2">
      <c r="I25966" s="137" t="s">
        <v>74</v>
      </c>
    </row>
    <row r="25967" spans="9:9" x14ac:dyDescent="0.2">
      <c r="I25967" s="137" t="s">
        <v>74</v>
      </c>
    </row>
    <row r="25968" spans="9:9" x14ac:dyDescent="0.2">
      <c r="I25968" s="137" t="s">
        <v>74</v>
      </c>
    </row>
    <row r="25969" spans="9:9" x14ac:dyDescent="0.2">
      <c r="I25969" s="137" t="s">
        <v>74</v>
      </c>
    </row>
    <row r="25970" spans="9:9" x14ac:dyDescent="0.2">
      <c r="I25970" s="137" t="s">
        <v>74</v>
      </c>
    </row>
    <row r="25971" spans="9:9" x14ac:dyDescent="0.2">
      <c r="I25971" s="137" t="s">
        <v>74</v>
      </c>
    </row>
    <row r="25972" spans="9:9" x14ac:dyDescent="0.2">
      <c r="I25972" s="137" t="s">
        <v>74</v>
      </c>
    </row>
    <row r="25973" spans="9:9" x14ac:dyDescent="0.2">
      <c r="I25973" s="137" t="s">
        <v>74</v>
      </c>
    </row>
    <row r="25974" spans="9:9" x14ac:dyDescent="0.2">
      <c r="I25974" s="137" t="s">
        <v>74</v>
      </c>
    </row>
    <row r="25975" spans="9:9" x14ac:dyDescent="0.2">
      <c r="I25975" s="137" t="s">
        <v>74</v>
      </c>
    </row>
    <row r="25976" spans="9:9" x14ac:dyDescent="0.2">
      <c r="I25976" s="137" t="s">
        <v>74</v>
      </c>
    </row>
    <row r="25977" spans="9:9" x14ac:dyDescent="0.2">
      <c r="I25977" s="137" t="s">
        <v>74</v>
      </c>
    </row>
    <row r="25978" spans="9:9" x14ac:dyDescent="0.2">
      <c r="I25978" s="137" t="s">
        <v>74</v>
      </c>
    </row>
    <row r="25979" spans="9:9" x14ac:dyDescent="0.2">
      <c r="I25979" s="137" t="s">
        <v>74</v>
      </c>
    </row>
    <row r="25980" spans="9:9" x14ac:dyDescent="0.2">
      <c r="I25980" s="137" t="s">
        <v>74</v>
      </c>
    </row>
    <row r="25981" spans="9:9" x14ac:dyDescent="0.2">
      <c r="I25981" s="137" t="s">
        <v>74</v>
      </c>
    </row>
    <row r="25982" spans="9:9" x14ac:dyDescent="0.2">
      <c r="I25982" s="137" t="s">
        <v>74</v>
      </c>
    </row>
    <row r="25983" spans="9:9" x14ac:dyDescent="0.2">
      <c r="I25983" s="137" t="s">
        <v>74</v>
      </c>
    </row>
    <row r="25984" spans="9:9" x14ac:dyDescent="0.2">
      <c r="I25984" s="137" t="s">
        <v>74</v>
      </c>
    </row>
    <row r="25985" spans="9:9" x14ac:dyDescent="0.2">
      <c r="I25985" s="137" t="s">
        <v>74</v>
      </c>
    </row>
    <row r="25986" spans="9:9" x14ac:dyDescent="0.2">
      <c r="I25986" s="137" t="s">
        <v>74</v>
      </c>
    </row>
    <row r="25987" spans="9:9" x14ac:dyDescent="0.2">
      <c r="I25987" s="137" t="s">
        <v>74</v>
      </c>
    </row>
    <row r="25988" spans="9:9" x14ac:dyDescent="0.2">
      <c r="I25988" s="137" t="s">
        <v>74</v>
      </c>
    </row>
    <row r="25989" spans="9:9" x14ac:dyDescent="0.2">
      <c r="I25989" s="137" t="s">
        <v>74</v>
      </c>
    </row>
    <row r="25990" spans="9:9" x14ac:dyDescent="0.2">
      <c r="I25990" s="137" t="s">
        <v>74</v>
      </c>
    </row>
    <row r="25991" spans="9:9" x14ac:dyDescent="0.2">
      <c r="I25991" s="137" t="s">
        <v>74</v>
      </c>
    </row>
    <row r="25992" spans="9:9" x14ac:dyDescent="0.2">
      <c r="I25992" s="137" t="s">
        <v>74</v>
      </c>
    </row>
    <row r="25993" spans="9:9" x14ac:dyDescent="0.2">
      <c r="I25993" s="137" t="s">
        <v>74</v>
      </c>
    </row>
    <row r="25994" spans="9:9" x14ac:dyDescent="0.2">
      <c r="I25994" s="137" t="s">
        <v>74</v>
      </c>
    </row>
    <row r="25995" spans="9:9" x14ac:dyDescent="0.2">
      <c r="I25995" s="137" t="s">
        <v>74</v>
      </c>
    </row>
    <row r="25996" spans="9:9" x14ac:dyDescent="0.2">
      <c r="I25996" s="137" t="s">
        <v>74</v>
      </c>
    </row>
    <row r="25997" spans="9:9" x14ac:dyDescent="0.2">
      <c r="I25997" s="137" t="s">
        <v>74</v>
      </c>
    </row>
    <row r="25998" spans="9:9" x14ac:dyDescent="0.2">
      <c r="I25998" s="137" t="s">
        <v>74</v>
      </c>
    </row>
    <row r="25999" spans="9:9" x14ac:dyDescent="0.2">
      <c r="I25999" s="137" t="s">
        <v>74</v>
      </c>
    </row>
    <row r="26000" spans="9:9" x14ac:dyDescent="0.2">
      <c r="I26000" s="137" t="s">
        <v>74</v>
      </c>
    </row>
    <row r="26001" spans="9:9" x14ac:dyDescent="0.2">
      <c r="I26001" s="137" t="s">
        <v>74</v>
      </c>
    </row>
    <row r="26002" spans="9:9" x14ac:dyDescent="0.2">
      <c r="I26002" s="137" t="s">
        <v>74</v>
      </c>
    </row>
    <row r="26003" spans="9:9" x14ac:dyDescent="0.2">
      <c r="I26003" s="137" t="s">
        <v>74</v>
      </c>
    </row>
    <row r="26004" spans="9:9" x14ac:dyDescent="0.2">
      <c r="I26004" s="137" t="s">
        <v>74</v>
      </c>
    </row>
    <row r="26005" spans="9:9" x14ac:dyDescent="0.2">
      <c r="I26005" s="137" t="s">
        <v>74</v>
      </c>
    </row>
    <row r="26006" spans="9:9" x14ac:dyDescent="0.2">
      <c r="I26006" s="137" t="s">
        <v>74</v>
      </c>
    </row>
    <row r="26007" spans="9:9" x14ac:dyDescent="0.2">
      <c r="I26007" s="137" t="s">
        <v>74</v>
      </c>
    </row>
    <row r="26008" spans="9:9" x14ac:dyDescent="0.2">
      <c r="I26008" s="137" t="s">
        <v>74</v>
      </c>
    </row>
    <row r="26009" spans="9:9" x14ac:dyDescent="0.2">
      <c r="I26009" s="137" t="s">
        <v>74</v>
      </c>
    </row>
    <row r="26010" spans="9:9" x14ac:dyDescent="0.2">
      <c r="I26010" s="137" t="s">
        <v>74</v>
      </c>
    </row>
    <row r="26011" spans="9:9" x14ac:dyDescent="0.2">
      <c r="I26011" s="137" t="s">
        <v>74</v>
      </c>
    </row>
    <row r="26012" spans="9:9" x14ac:dyDescent="0.2">
      <c r="I26012" s="137" t="s">
        <v>74</v>
      </c>
    </row>
    <row r="26013" spans="9:9" x14ac:dyDescent="0.2">
      <c r="I26013" s="137" t="s">
        <v>74</v>
      </c>
    </row>
    <row r="26014" spans="9:9" x14ac:dyDescent="0.2">
      <c r="I26014" s="137" t="s">
        <v>74</v>
      </c>
    </row>
    <row r="26015" spans="9:9" x14ac:dyDescent="0.2">
      <c r="I26015" s="137" t="s">
        <v>74</v>
      </c>
    </row>
    <row r="26016" spans="9:9" x14ac:dyDescent="0.2">
      <c r="I26016" s="137" t="s">
        <v>74</v>
      </c>
    </row>
    <row r="26017" spans="9:9" x14ac:dyDescent="0.2">
      <c r="I26017" s="137" t="s">
        <v>74</v>
      </c>
    </row>
    <row r="26018" spans="9:9" x14ac:dyDescent="0.2">
      <c r="I26018" s="137" t="s">
        <v>74</v>
      </c>
    </row>
    <row r="26019" spans="9:9" x14ac:dyDescent="0.2">
      <c r="I26019" s="137" t="s">
        <v>74</v>
      </c>
    </row>
    <row r="26020" spans="9:9" x14ac:dyDescent="0.2">
      <c r="I26020" s="137" t="s">
        <v>74</v>
      </c>
    </row>
    <row r="26021" spans="9:9" x14ac:dyDescent="0.2">
      <c r="I26021" s="137" t="s">
        <v>74</v>
      </c>
    </row>
    <row r="26022" spans="9:9" x14ac:dyDescent="0.2">
      <c r="I26022" s="137" t="s">
        <v>74</v>
      </c>
    </row>
    <row r="26023" spans="9:9" x14ac:dyDescent="0.2">
      <c r="I26023" s="137" t="s">
        <v>74</v>
      </c>
    </row>
    <row r="26024" spans="9:9" x14ac:dyDescent="0.2">
      <c r="I26024" s="137" t="s">
        <v>74</v>
      </c>
    </row>
    <row r="26025" spans="9:9" x14ac:dyDescent="0.2">
      <c r="I26025" s="137" t="s">
        <v>74</v>
      </c>
    </row>
    <row r="26026" spans="9:9" x14ac:dyDescent="0.2">
      <c r="I26026" s="137" t="s">
        <v>74</v>
      </c>
    </row>
    <row r="26027" spans="9:9" x14ac:dyDescent="0.2">
      <c r="I26027" s="137" t="s">
        <v>74</v>
      </c>
    </row>
    <row r="26028" spans="9:9" x14ac:dyDescent="0.2">
      <c r="I26028" s="137" t="s">
        <v>74</v>
      </c>
    </row>
    <row r="26029" spans="9:9" x14ac:dyDescent="0.2">
      <c r="I26029" s="137" t="s">
        <v>74</v>
      </c>
    </row>
    <row r="26030" spans="9:9" x14ac:dyDescent="0.2">
      <c r="I26030" s="137" t="s">
        <v>74</v>
      </c>
    </row>
    <row r="26031" spans="9:9" x14ac:dyDescent="0.2">
      <c r="I26031" s="137" t="s">
        <v>74</v>
      </c>
    </row>
    <row r="26032" spans="9:9" x14ac:dyDescent="0.2">
      <c r="I26032" s="137" t="s">
        <v>74</v>
      </c>
    </row>
    <row r="26033" spans="9:9" x14ac:dyDescent="0.2">
      <c r="I26033" s="137" t="s">
        <v>74</v>
      </c>
    </row>
    <row r="26034" spans="9:9" x14ac:dyDescent="0.2">
      <c r="I26034" s="137" t="s">
        <v>74</v>
      </c>
    </row>
    <row r="26035" spans="9:9" x14ac:dyDescent="0.2">
      <c r="I26035" s="137" t="s">
        <v>74</v>
      </c>
    </row>
    <row r="26036" spans="9:9" x14ac:dyDescent="0.2">
      <c r="I26036" s="137" t="s">
        <v>74</v>
      </c>
    </row>
    <row r="26037" spans="9:9" x14ac:dyDescent="0.2">
      <c r="I26037" s="137" t="s">
        <v>74</v>
      </c>
    </row>
    <row r="26038" spans="9:9" x14ac:dyDescent="0.2">
      <c r="I26038" s="137" t="s">
        <v>74</v>
      </c>
    </row>
    <row r="26039" spans="9:9" x14ac:dyDescent="0.2">
      <c r="I26039" s="137" t="s">
        <v>74</v>
      </c>
    </row>
    <row r="26040" spans="9:9" x14ac:dyDescent="0.2">
      <c r="I26040" s="137" t="s">
        <v>74</v>
      </c>
    </row>
    <row r="26041" spans="9:9" x14ac:dyDescent="0.2">
      <c r="I26041" s="137" t="s">
        <v>74</v>
      </c>
    </row>
    <row r="26042" spans="9:9" x14ac:dyDescent="0.2">
      <c r="I26042" s="137" t="s">
        <v>74</v>
      </c>
    </row>
    <row r="26043" spans="9:9" x14ac:dyDescent="0.2">
      <c r="I26043" s="137" t="s">
        <v>74</v>
      </c>
    </row>
    <row r="26044" spans="9:9" x14ac:dyDescent="0.2">
      <c r="I26044" s="137" t="s">
        <v>74</v>
      </c>
    </row>
    <row r="26045" spans="9:9" x14ac:dyDescent="0.2">
      <c r="I26045" s="137" t="s">
        <v>74</v>
      </c>
    </row>
    <row r="26046" spans="9:9" x14ac:dyDescent="0.2">
      <c r="I26046" s="137" t="s">
        <v>74</v>
      </c>
    </row>
    <row r="26047" spans="9:9" x14ac:dyDescent="0.2">
      <c r="I26047" s="137" t="s">
        <v>74</v>
      </c>
    </row>
    <row r="26048" spans="9:9" x14ac:dyDescent="0.2">
      <c r="I26048" s="137" t="s">
        <v>74</v>
      </c>
    </row>
    <row r="26049" spans="9:9" x14ac:dyDescent="0.2">
      <c r="I26049" s="137" t="s">
        <v>74</v>
      </c>
    </row>
    <row r="26050" spans="9:9" x14ac:dyDescent="0.2">
      <c r="I26050" s="137" t="s">
        <v>74</v>
      </c>
    </row>
    <row r="26051" spans="9:9" x14ac:dyDescent="0.2">
      <c r="I26051" s="137" t="s">
        <v>74</v>
      </c>
    </row>
    <row r="26052" spans="9:9" x14ac:dyDescent="0.2">
      <c r="I26052" s="137" t="s">
        <v>74</v>
      </c>
    </row>
    <row r="26053" spans="9:9" x14ac:dyDescent="0.2">
      <c r="I26053" s="137" t="s">
        <v>74</v>
      </c>
    </row>
    <row r="26054" spans="9:9" x14ac:dyDescent="0.2">
      <c r="I26054" s="137" t="s">
        <v>74</v>
      </c>
    </row>
    <row r="26055" spans="9:9" x14ac:dyDescent="0.2">
      <c r="I26055" s="137" t="s">
        <v>74</v>
      </c>
    </row>
    <row r="26056" spans="9:9" x14ac:dyDescent="0.2">
      <c r="I26056" s="137" t="s">
        <v>74</v>
      </c>
    </row>
    <row r="26057" spans="9:9" x14ac:dyDescent="0.2">
      <c r="I26057" s="137" t="s">
        <v>74</v>
      </c>
    </row>
    <row r="26058" spans="9:9" x14ac:dyDescent="0.2">
      <c r="I26058" s="137" t="s">
        <v>74</v>
      </c>
    </row>
    <row r="26059" spans="9:9" x14ac:dyDescent="0.2">
      <c r="I26059" s="137" t="s">
        <v>74</v>
      </c>
    </row>
    <row r="26060" spans="9:9" x14ac:dyDescent="0.2">
      <c r="I26060" s="137" t="s">
        <v>74</v>
      </c>
    </row>
    <row r="26061" spans="9:9" x14ac:dyDescent="0.2">
      <c r="I26061" s="137" t="s">
        <v>74</v>
      </c>
    </row>
    <row r="26062" spans="9:9" x14ac:dyDescent="0.2">
      <c r="I26062" s="137" t="s">
        <v>74</v>
      </c>
    </row>
    <row r="26063" spans="9:9" x14ac:dyDescent="0.2">
      <c r="I26063" s="137" t="s">
        <v>74</v>
      </c>
    </row>
    <row r="26064" spans="9:9" x14ac:dyDescent="0.2">
      <c r="I26064" s="137" t="s">
        <v>74</v>
      </c>
    </row>
    <row r="26065" spans="9:9" x14ac:dyDescent="0.2">
      <c r="I26065" s="137" t="s">
        <v>74</v>
      </c>
    </row>
    <row r="26066" spans="9:9" x14ac:dyDescent="0.2">
      <c r="I26066" s="137" t="s">
        <v>74</v>
      </c>
    </row>
    <row r="26067" spans="9:9" x14ac:dyDescent="0.2">
      <c r="I26067" s="137" t="s">
        <v>74</v>
      </c>
    </row>
    <row r="26068" spans="9:9" x14ac:dyDescent="0.2">
      <c r="I26068" s="137" t="s">
        <v>74</v>
      </c>
    </row>
    <row r="26069" spans="9:9" x14ac:dyDescent="0.2">
      <c r="I26069" s="137" t="s">
        <v>74</v>
      </c>
    </row>
    <row r="26070" spans="9:9" x14ac:dyDescent="0.2">
      <c r="I26070" s="137" t="s">
        <v>74</v>
      </c>
    </row>
    <row r="26071" spans="9:9" x14ac:dyDescent="0.2">
      <c r="I26071" s="137" t="s">
        <v>74</v>
      </c>
    </row>
    <row r="26072" spans="9:9" x14ac:dyDescent="0.2">
      <c r="I26072" s="137" t="s">
        <v>74</v>
      </c>
    </row>
    <row r="26073" spans="9:9" x14ac:dyDescent="0.2">
      <c r="I26073" s="137" t="s">
        <v>74</v>
      </c>
    </row>
    <row r="26074" spans="9:9" x14ac:dyDescent="0.2">
      <c r="I26074" s="137" t="s">
        <v>74</v>
      </c>
    </row>
    <row r="26075" spans="9:9" x14ac:dyDescent="0.2">
      <c r="I26075" s="137" t="s">
        <v>74</v>
      </c>
    </row>
    <row r="26076" spans="9:9" x14ac:dyDescent="0.2">
      <c r="I26076" s="137" t="s">
        <v>74</v>
      </c>
    </row>
    <row r="26077" spans="9:9" x14ac:dyDescent="0.2">
      <c r="I26077" s="137" t="s">
        <v>74</v>
      </c>
    </row>
    <row r="26078" spans="9:9" x14ac:dyDescent="0.2">
      <c r="I26078" s="137" t="s">
        <v>74</v>
      </c>
    </row>
    <row r="26079" spans="9:9" x14ac:dyDescent="0.2">
      <c r="I26079" s="137" t="s">
        <v>74</v>
      </c>
    </row>
    <row r="26080" spans="9:9" x14ac:dyDescent="0.2">
      <c r="I26080" s="137" t="s">
        <v>74</v>
      </c>
    </row>
    <row r="26081" spans="9:9" x14ac:dyDescent="0.2">
      <c r="I26081" s="137" t="s">
        <v>74</v>
      </c>
    </row>
    <row r="26082" spans="9:9" x14ac:dyDescent="0.2">
      <c r="I26082" s="137" t="s">
        <v>74</v>
      </c>
    </row>
    <row r="26083" spans="9:9" x14ac:dyDescent="0.2">
      <c r="I26083" s="137" t="s">
        <v>74</v>
      </c>
    </row>
    <row r="26084" spans="9:9" x14ac:dyDescent="0.2">
      <c r="I26084" s="137" t="s">
        <v>74</v>
      </c>
    </row>
    <row r="26085" spans="9:9" x14ac:dyDescent="0.2">
      <c r="I26085" s="137" t="s">
        <v>74</v>
      </c>
    </row>
    <row r="26086" spans="9:9" x14ac:dyDescent="0.2">
      <c r="I26086" s="137" t="s">
        <v>74</v>
      </c>
    </row>
    <row r="26087" spans="9:9" x14ac:dyDescent="0.2">
      <c r="I26087" s="137" t="s">
        <v>74</v>
      </c>
    </row>
    <row r="26088" spans="9:9" x14ac:dyDescent="0.2">
      <c r="I26088" s="137" t="s">
        <v>74</v>
      </c>
    </row>
    <row r="26089" spans="9:9" x14ac:dyDescent="0.2">
      <c r="I26089" s="137" t="s">
        <v>74</v>
      </c>
    </row>
    <row r="26090" spans="9:9" x14ac:dyDescent="0.2">
      <c r="I26090" s="137" t="s">
        <v>74</v>
      </c>
    </row>
    <row r="26091" spans="9:9" x14ac:dyDescent="0.2">
      <c r="I26091" s="137" t="s">
        <v>74</v>
      </c>
    </row>
    <row r="26092" spans="9:9" x14ac:dyDescent="0.2">
      <c r="I26092" s="137" t="s">
        <v>74</v>
      </c>
    </row>
    <row r="26093" spans="9:9" x14ac:dyDescent="0.2">
      <c r="I26093" s="137" t="s">
        <v>74</v>
      </c>
    </row>
    <row r="26094" spans="9:9" x14ac:dyDescent="0.2">
      <c r="I26094" s="137" t="s">
        <v>74</v>
      </c>
    </row>
    <row r="26095" spans="9:9" x14ac:dyDescent="0.2">
      <c r="I26095" s="137" t="s">
        <v>74</v>
      </c>
    </row>
    <row r="26096" spans="9:9" x14ac:dyDescent="0.2">
      <c r="I26096" s="137" t="s">
        <v>74</v>
      </c>
    </row>
    <row r="26097" spans="9:9" x14ac:dyDescent="0.2">
      <c r="I26097" s="137" t="s">
        <v>74</v>
      </c>
    </row>
    <row r="26098" spans="9:9" x14ac:dyDescent="0.2">
      <c r="I26098" s="137" t="s">
        <v>74</v>
      </c>
    </row>
    <row r="26099" spans="9:9" x14ac:dyDescent="0.2">
      <c r="I26099" s="137" t="s">
        <v>74</v>
      </c>
    </row>
    <row r="26100" spans="9:9" x14ac:dyDescent="0.2">
      <c r="I26100" s="137" t="s">
        <v>74</v>
      </c>
    </row>
    <row r="26101" spans="9:9" x14ac:dyDescent="0.2">
      <c r="I26101" s="137" t="s">
        <v>74</v>
      </c>
    </row>
    <row r="26102" spans="9:9" x14ac:dyDescent="0.2">
      <c r="I26102" s="137" t="s">
        <v>74</v>
      </c>
    </row>
    <row r="26103" spans="9:9" x14ac:dyDescent="0.2">
      <c r="I26103" s="137" t="s">
        <v>74</v>
      </c>
    </row>
    <row r="26104" spans="9:9" x14ac:dyDescent="0.2">
      <c r="I26104" s="137" t="s">
        <v>74</v>
      </c>
    </row>
    <row r="26105" spans="9:9" x14ac:dyDescent="0.2">
      <c r="I26105" s="137" t="s">
        <v>74</v>
      </c>
    </row>
    <row r="26106" spans="9:9" x14ac:dyDescent="0.2">
      <c r="I26106" s="137" t="s">
        <v>74</v>
      </c>
    </row>
    <row r="26107" spans="9:9" x14ac:dyDescent="0.2">
      <c r="I26107" s="137" t="s">
        <v>74</v>
      </c>
    </row>
    <row r="26108" spans="9:9" x14ac:dyDescent="0.2">
      <c r="I26108" s="137" t="s">
        <v>74</v>
      </c>
    </row>
    <row r="26109" spans="9:9" x14ac:dyDescent="0.2">
      <c r="I26109" s="137" t="s">
        <v>74</v>
      </c>
    </row>
    <row r="26110" spans="9:9" x14ac:dyDescent="0.2">
      <c r="I26110" s="137" t="s">
        <v>74</v>
      </c>
    </row>
    <row r="26111" spans="9:9" x14ac:dyDescent="0.2">
      <c r="I26111" s="137" t="s">
        <v>74</v>
      </c>
    </row>
    <row r="26112" spans="9:9" x14ac:dyDescent="0.2">
      <c r="I26112" s="137" t="s">
        <v>74</v>
      </c>
    </row>
    <row r="26113" spans="9:9" x14ac:dyDescent="0.2">
      <c r="I26113" s="137" t="s">
        <v>74</v>
      </c>
    </row>
    <row r="26114" spans="9:9" x14ac:dyDescent="0.2">
      <c r="I26114" s="137" t="s">
        <v>74</v>
      </c>
    </row>
    <row r="26115" spans="9:9" x14ac:dyDescent="0.2">
      <c r="I26115" s="137" t="s">
        <v>74</v>
      </c>
    </row>
    <row r="26116" spans="9:9" x14ac:dyDescent="0.2">
      <c r="I26116" s="137" t="s">
        <v>74</v>
      </c>
    </row>
    <row r="26117" spans="9:9" x14ac:dyDescent="0.2">
      <c r="I26117" s="137" t="s">
        <v>74</v>
      </c>
    </row>
    <row r="26118" spans="9:9" x14ac:dyDescent="0.2">
      <c r="I26118" s="137" t="s">
        <v>74</v>
      </c>
    </row>
    <row r="26119" spans="9:9" x14ac:dyDescent="0.2">
      <c r="I26119" s="137" t="s">
        <v>74</v>
      </c>
    </row>
    <row r="26120" spans="9:9" x14ac:dyDescent="0.2">
      <c r="I26120" s="137" t="s">
        <v>74</v>
      </c>
    </row>
    <row r="26121" spans="9:9" x14ac:dyDescent="0.2">
      <c r="I26121" s="137" t="s">
        <v>74</v>
      </c>
    </row>
    <row r="26122" spans="9:9" x14ac:dyDescent="0.2">
      <c r="I26122" s="137" t="s">
        <v>74</v>
      </c>
    </row>
    <row r="26123" spans="9:9" x14ac:dyDescent="0.2">
      <c r="I26123" s="137" t="s">
        <v>74</v>
      </c>
    </row>
    <row r="26124" spans="9:9" x14ac:dyDescent="0.2">
      <c r="I26124" s="137" t="s">
        <v>74</v>
      </c>
    </row>
    <row r="26125" spans="9:9" x14ac:dyDescent="0.2">
      <c r="I26125" s="137" t="s">
        <v>74</v>
      </c>
    </row>
    <row r="26126" spans="9:9" x14ac:dyDescent="0.2">
      <c r="I26126" s="137" t="s">
        <v>74</v>
      </c>
    </row>
    <row r="26127" spans="9:9" x14ac:dyDescent="0.2">
      <c r="I26127" s="137" t="s">
        <v>74</v>
      </c>
    </row>
    <row r="26128" spans="9:9" x14ac:dyDescent="0.2">
      <c r="I26128" s="137" t="s">
        <v>74</v>
      </c>
    </row>
    <row r="26129" spans="9:9" x14ac:dyDescent="0.2">
      <c r="I26129" s="137" t="s">
        <v>74</v>
      </c>
    </row>
    <row r="26130" spans="9:9" x14ac:dyDescent="0.2">
      <c r="I26130" s="137" t="s">
        <v>74</v>
      </c>
    </row>
    <row r="26131" spans="9:9" x14ac:dyDescent="0.2">
      <c r="I26131" s="137" t="s">
        <v>74</v>
      </c>
    </row>
    <row r="26132" spans="9:9" x14ac:dyDescent="0.2">
      <c r="I26132" s="137" t="s">
        <v>74</v>
      </c>
    </row>
    <row r="26133" spans="9:9" x14ac:dyDescent="0.2">
      <c r="I26133" s="137" t="s">
        <v>74</v>
      </c>
    </row>
    <row r="26134" spans="9:9" x14ac:dyDescent="0.2">
      <c r="I26134" s="137" t="s">
        <v>74</v>
      </c>
    </row>
    <row r="26135" spans="9:9" x14ac:dyDescent="0.2">
      <c r="I26135" s="137" t="s">
        <v>74</v>
      </c>
    </row>
    <row r="26136" spans="9:9" x14ac:dyDescent="0.2">
      <c r="I26136" s="137" t="s">
        <v>74</v>
      </c>
    </row>
    <row r="26137" spans="9:9" x14ac:dyDescent="0.2">
      <c r="I26137" s="137" t="s">
        <v>74</v>
      </c>
    </row>
    <row r="26138" spans="9:9" x14ac:dyDescent="0.2">
      <c r="I26138" s="137" t="s">
        <v>74</v>
      </c>
    </row>
    <row r="26139" spans="9:9" x14ac:dyDescent="0.2">
      <c r="I26139" s="137" t="s">
        <v>74</v>
      </c>
    </row>
    <row r="26140" spans="9:9" x14ac:dyDescent="0.2">
      <c r="I26140" s="137" t="s">
        <v>74</v>
      </c>
    </row>
    <row r="26141" spans="9:9" x14ac:dyDescent="0.2">
      <c r="I26141" s="137" t="s">
        <v>74</v>
      </c>
    </row>
    <row r="26142" spans="9:9" x14ac:dyDescent="0.2">
      <c r="I26142" s="137" t="s">
        <v>74</v>
      </c>
    </row>
    <row r="26143" spans="9:9" x14ac:dyDescent="0.2">
      <c r="I26143" s="137" t="s">
        <v>74</v>
      </c>
    </row>
    <row r="26144" spans="9:9" x14ac:dyDescent="0.2">
      <c r="I26144" s="137" t="s">
        <v>74</v>
      </c>
    </row>
    <row r="26145" spans="9:9" x14ac:dyDescent="0.2">
      <c r="I26145" s="137" t="s">
        <v>74</v>
      </c>
    </row>
    <row r="26146" spans="9:9" x14ac:dyDescent="0.2">
      <c r="I26146" s="137" t="s">
        <v>74</v>
      </c>
    </row>
    <row r="26147" spans="9:9" x14ac:dyDescent="0.2">
      <c r="I26147" s="137" t="s">
        <v>74</v>
      </c>
    </row>
    <row r="26148" spans="9:9" x14ac:dyDescent="0.2">
      <c r="I26148" s="137" t="s">
        <v>74</v>
      </c>
    </row>
    <row r="26149" spans="9:9" x14ac:dyDescent="0.2">
      <c r="I26149" s="137" t="s">
        <v>74</v>
      </c>
    </row>
    <row r="26150" spans="9:9" x14ac:dyDescent="0.2">
      <c r="I26150" s="137" t="s">
        <v>74</v>
      </c>
    </row>
    <row r="26151" spans="9:9" x14ac:dyDescent="0.2">
      <c r="I26151" s="137" t="s">
        <v>74</v>
      </c>
    </row>
    <row r="26152" spans="9:9" x14ac:dyDescent="0.2">
      <c r="I26152" s="137" t="s">
        <v>74</v>
      </c>
    </row>
    <row r="26153" spans="9:9" x14ac:dyDescent="0.2">
      <c r="I26153" s="137" t="s">
        <v>74</v>
      </c>
    </row>
    <row r="26154" spans="9:9" x14ac:dyDescent="0.2">
      <c r="I26154" s="137" t="s">
        <v>74</v>
      </c>
    </row>
    <row r="26155" spans="9:9" x14ac:dyDescent="0.2">
      <c r="I26155" s="137" t="s">
        <v>74</v>
      </c>
    </row>
    <row r="26156" spans="9:9" x14ac:dyDescent="0.2">
      <c r="I26156" s="137" t="s">
        <v>74</v>
      </c>
    </row>
    <row r="26157" spans="9:9" x14ac:dyDescent="0.2">
      <c r="I26157" s="137" t="s">
        <v>74</v>
      </c>
    </row>
    <row r="26158" spans="9:9" x14ac:dyDescent="0.2">
      <c r="I26158" s="137" t="s">
        <v>74</v>
      </c>
    </row>
    <row r="26159" spans="9:9" x14ac:dyDescent="0.2">
      <c r="I26159" s="137" t="s">
        <v>74</v>
      </c>
    </row>
    <row r="26160" spans="9:9" x14ac:dyDescent="0.2">
      <c r="I26160" s="137" t="s">
        <v>74</v>
      </c>
    </row>
    <row r="26161" spans="9:9" x14ac:dyDescent="0.2">
      <c r="I26161" s="137" t="s">
        <v>74</v>
      </c>
    </row>
    <row r="26162" spans="9:9" x14ac:dyDescent="0.2">
      <c r="I26162" s="137" t="s">
        <v>74</v>
      </c>
    </row>
    <row r="26163" spans="9:9" x14ac:dyDescent="0.2">
      <c r="I26163" s="137" t="s">
        <v>74</v>
      </c>
    </row>
    <row r="26164" spans="9:9" x14ac:dyDescent="0.2">
      <c r="I26164" s="137" t="s">
        <v>74</v>
      </c>
    </row>
    <row r="26165" spans="9:9" x14ac:dyDescent="0.2">
      <c r="I26165" s="137" t="s">
        <v>74</v>
      </c>
    </row>
    <row r="26166" spans="9:9" x14ac:dyDescent="0.2">
      <c r="I26166" s="137" t="s">
        <v>74</v>
      </c>
    </row>
    <row r="26167" spans="9:9" x14ac:dyDescent="0.2">
      <c r="I26167" s="137" t="s">
        <v>74</v>
      </c>
    </row>
    <row r="26168" spans="9:9" x14ac:dyDescent="0.2">
      <c r="I26168" s="137" t="s">
        <v>74</v>
      </c>
    </row>
    <row r="26169" spans="9:9" x14ac:dyDescent="0.2">
      <c r="I26169" s="137" t="s">
        <v>74</v>
      </c>
    </row>
    <row r="26170" spans="9:9" x14ac:dyDescent="0.2">
      <c r="I26170" s="137" t="s">
        <v>74</v>
      </c>
    </row>
    <row r="26171" spans="9:9" x14ac:dyDescent="0.2">
      <c r="I26171" s="137" t="s">
        <v>74</v>
      </c>
    </row>
    <row r="26172" spans="9:9" x14ac:dyDescent="0.2">
      <c r="I26172" s="137" t="s">
        <v>74</v>
      </c>
    </row>
    <row r="26173" spans="9:9" x14ac:dyDescent="0.2">
      <c r="I26173" s="137" t="s">
        <v>74</v>
      </c>
    </row>
    <row r="26174" spans="9:9" x14ac:dyDescent="0.2">
      <c r="I26174" s="137" t="s">
        <v>74</v>
      </c>
    </row>
    <row r="26175" spans="9:9" x14ac:dyDescent="0.2">
      <c r="I26175" s="137" t="s">
        <v>74</v>
      </c>
    </row>
    <row r="26176" spans="9:9" x14ac:dyDescent="0.2">
      <c r="I26176" s="137" t="s">
        <v>74</v>
      </c>
    </row>
    <row r="26177" spans="9:9" x14ac:dyDescent="0.2">
      <c r="I26177" s="137" t="s">
        <v>74</v>
      </c>
    </row>
    <row r="26178" spans="9:9" x14ac:dyDescent="0.2">
      <c r="I26178" s="137" t="s">
        <v>74</v>
      </c>
    </row>
    <row r="26179" spans="9:9" x14ac:dyDescent="0.2">
      <c r="I26179" s="137" t="s">
        <v>74</v>
      </c>
    </row>
    <row r="26180" spans="9:9" x14ac:dyDescent="0.2">
      <c r="I26180" s="137" t="s">
        <v>74</v>
      </c>
    </row>
    <row r="26181" spans="9:9" x14ac:dyDescent="0.2">
      <c r="I26181" s="137" t="s">
        <v>74</v>
      </c>
    </row>
    <row r="26182" spans="9:9" x14ac:dyDescent="0.2">
      <c r="I26182" s="137" t="s">
        <v>74</v>
      </c>
    </row>
    <row r="26183" spans="9:9" x14ac:dyDescent="0.2">
      <c r="I26183" s="137" t="s">
        <v>74</v>
      </c>
    </row>
    <row r="26184" spans="9:9" x14ac:dyDescent="0.2">
      <c r="I26184" s="137" t="s">
        <v>74</v>
      </c>
    </row>
    <row r="26185" spans="9:9" x14ac:dyDescent="0.2">
      <c r="I26185" s="137" t="s">
        <v>74</v>
      </c>
    </row>
    <row r="26186" spans="9:9" x14ac:dyDescent="0.2">
      <c r="I26186" s="137" t="s">
        <v>74</v>
      </c>
    </row>
    <row r="26187" spans="9:9" x14ac:dyDescent="0.2">
      <c r="I26187" s="137" t="s">
        <v>74</v>
      </c>
    </row>
    <row r="26188" spans="9:9" x14ac:dyDescent="0.2">
      <c r="I26188" s="137" t="s">
        <v>74</v>
      </c>
    </row>
    <row r="26189" spans="9:9" x14ac:dyDescent="0.2">
      <c r="I26189" s="137" t="s">
        <v>74</v>
      </c>
    </row>
    <row r="26190" spans="9:9" x14ac:dyDescent="0.2">
      <c r="I26190" s="137" t="s">
        <v>74</v>
      </c>
    </row>
    <row r="26191" spans="9:9" x14ac:dyDescent="0.2">
      <c r="I26191" s="137" t="s">
        <v>74</v>
      </c>
    </row>
    <row r="26192" spans="9:9" x14ac:dyDescent="0.2">
      <c r="I26192" s="137" t="s">
        <v>74</v>
      </c>
    </row>
    <row r="26193" spans="9:9" x14ac:dyDescent="0.2">
      <c r="I26193" s="137" t="s">
        <v>74</v>
      </c>
    </row>
    <row r="26194" spans="9:9" x14ac:dyDescent="0.2">
      <c r="I26194" s="137" t="s">
        <v>74</v>
      </c>
    </row>
    <row r="26195" spans="9:9" x14ac:dyDescent="0.2">
      <c r="I26195" s="137" t="s">
        <v>74</v>
      </c>
    </row>
    <row r="26196" spans="9:9" x14ac:dyDescent="0.2">
      <c r="I26196" s="137" t="s">
        <v>74</v>
      </c>
    </row>
    <row r="26197" spans="9:9" x14ac:dyDescent="0.2">
      <c r="I26197" s="137" t="s">
        <v>74</v>
      </c>
    </row>
    <row r="26198" spans="9:9" x14ac:dyDescent="0.2">
      <c r="I26198" s="137" t="s">
        <v>74</v>
      </c>
    </row>
    <row r="26199" spans="9:9" x14ac:dyDescent="0.2">
      <c r="I26199" s="137" t="s">
        <v>74</v>
      </c>
    </row>
    <row r="26200" spans="9:9" x14ac:dyDescent="0.2">
      <c r="I26200" s="137" t="s">
        <v>74</v>
      </c>
    </row>
    <row r="26201" spans="9:9" x14ac:dyDescent="0.2">
      <c r="I26201" s="137" t="s">
        <v>74</v>
      </c>
    </row>
    <row r="26202" spans="9:9" x14ac:dyDescent="0.2">
      <c r="I26202" s="137" t="s">
        <v>74</v>
      </c>
    </row>
    <row r="26203" spans="9:9" x14ac:dyDescent="0.2">
      <c r="I26203" s="137" t="s">
        <v>74</v>
      </c>
    </row>
    <row r="26204" spans="9:9" x14ac:dyDescent="0.2">
      <c r="I26204" s="137" t="s">
        <v>74</v>
      </c>
    </row>
    <row r="26205" spans="9:9" x14ac:dyDescent="0.2">
      <c r="I26205" s="137" t="s">
        <v>74</v>
      </c>
    </row>
    <row r="26206" spans="9:9" x14ac:dyDescent="0.2">
      <c r="I26206" s="137" t="s">
        <v>74</v>
      </c>
    </row>
    <row r="26207" spans="9:9" x14ac:dyDescent="0.2">
      <c r="I26207" s="137" t="s">
        <v>74</v>
      </c>
    </row>
    <row r="26208" spans="9:9" x14ac:dyDescent="0.2">
      <c r="I26208" s="137" t="s">
        <v>74</v>
      </c>
    </row>
    <row r="26209" spans="9:9" x14ac:dyDescent="0.2">
      <c r="I26209" s="137" t="s">
        <v>74</v>
      </c>
    </row>
    <row r="26210" spans="9:9" x14ac:dyDescent="0.2">
      <c r="I26210" s="137" t="s">
        <v>74</v>
      </c>
    </row>
    <row r="26211" spans="9:9" x14ac:dyDescent="0.2">
      <c r="I26211" s="137" t="s">
        <v>74</v>
      </c>
    </row>
    <row r="26212" spans="9:9" x14ac:dyDescent="0.2">
      <c r="I26212" s="137" t="s">
        <v>74</v>
      </c>
    </row>
    <row r="26213" spans="9:9" x14ac:dyDescent="0.2">
      <c r="I26213" s="137" t="s">
        <v>74</v>
      </c>
    </row>
    <row r="26214" spans="9:9" x14ac:dyDescent="0.2">
      <c r="I26214" s="137" t="s">
        <v>74</v>
      </c>
    </row>
    <row r="26215" spans="9:9" x14ac:dyDescent="0.2">
      <c r="I26215" s="137" t="s">
        <v>74</v>
      </c>
    </row>
    <row r="26216" spans="9:9" x14ac:dyDescent="0.2">
      <c r="I26216" s="137" t="s">
        <v>74</v>
      </c>
    </row>
    <row r="26217" spans="9:9" x14ac:dyDescent="0.2">
      <c r="I26217" s="137" t="s">
        <v>74</v>
      </c>
    </row>
    <row r="26218" spans="9:9" x14ac:dyDescent="0.2">
      <c r="I26218" s="137" t="s">
        <v>74</v>
      </c>
    </row>
    <row r="26219" spans="9:9" x14ac:dyDescent="0.2">
      <c r="I26219" s="137" t="s">
        <v>74</v>
      </c>
    </row>
    <row r="26220" spans="9:9" x14ac:dyDescent="0.2">
      <c r="I26220" s="137" t="s">
        <v>74</v>
      </c>
    </row>
    <row r="26221" spans="9:9" x14ac:dyDescent="0.2">
      <c r="I26221" s="137" t="s">
        <v>74</v>
      </c>
    </row>
    <row r="26222" spans="9:9" x14ac:dyDescent="0.2">
      <c r="I26222" s="137" t="s">
        <v>74</v>
      </c>
    </row>
    <row r="26223" spans="9:9" x14ac:dyDescent="0.2">
      <c r="I26223" s="137" t="s">
        <v>74</v>
      </c>
    </row>
    <row r="26224" spans="9:9" x14ac:dyDescent="0.2">
      <c r="I26224" s="137" t="s">
        <v>74</v>
      </c>
    </row>
    <row r="26225" spans="9:9" x14ac:dyDescent="0.2">
      <c r="I26225" s="137" t="s">
        <v>74</v>
      </c>
    </row>
    <row r="26226" spans="9:9" x14ac:dyDescent="0.2">
      <c r="I26226" s="137" t="s">
        <v>74</v>
      </c>
    </row>
    <row r="26227" spans="9:9" x14ac:dyDescent="0.2">
      <c r="I26227" s="137" t="s">
        <v>74</v>
      </c>
    </row>
    <row r="26228" spans="9:9" x14ac:dyDescent="0.2">
      <c r="I26228" s="137" t="s">
        <v>74</v>
      </c>
    </row>
    <row r="26229" spans="9:9" x14ac:dyDescent="0.2">
      <c r="I26229" s="137" t="s">
        <v>74</v>
      </c>
    </row>
    <row r="26230" spans="9:9" x14ac:dyDescent="0.2">
      <c r="I26230" s="137" t="s">
        <v>74</v>
      </c>
    </row>
    <row r="26231" spans="9:9" x14ac:dyDescent="0.2">
      <c r="I26231" s="137" t="s">
        <v>74</v>
      </c>
    </row>
    <row r="26232" spans="9:9" x14ac:dyDescent="0.2">
      <c r="I26232" s="137" t="s">
        <v>74</v>
      </c>
    </row>
    <row r="26233" spans="9:9" x14ac:dyDescent="0.2">
      <c r="I26233" s="137" t="s">
        <v>74</v>
      </c>
    </row>
    <row r="26234" spans="9:9" x14ac:dyDescent="0.2">
      <c r="I26234" s="137" t="s">
        <v>74</v>
      </c>
    </row>
    <row r="26235" spans="9:9" x14ac:dyDescent="0.2">
      <c r="I26235" s="137" t="s">
        <v>74</v>
      </c>
    </row>
    <row r="26236" spans="9:9" x14ac:dyDescent="0.2">
      <c r="I26236" s="137" t="s">
        <v>74</v>
      </c>
    </row>
    <row r="26237" spans="9:9" x14ac:dyDescent="0.2">
      <c r="I26237" s="137" t="s">
        <v>74</v>
      </c>
    </row>
    <row r="26238" spans="9:9" x14ac:dyDescent="0.2">
      <c r="I26238" s="137" t="s">
        <v>74</v>
      </c>
    </row>
    <row r="26239" spans="9:9" x14ac:dyDescent="0.2">
      <c r="I26239" s="137" t="s">
        <v>74</v>
      </c>
    </row>
    <row r="26240" spans="9:9" x14ac:dyDescent="0.2">
      <c r="I26240" s="137" t="s">
        <v>74</v>
      </c>
    </row>
    <row r="26241" spans="9:9" x14ac:dyDescent="0.2">
      <c r="I26241" s="137" t="s">
        <v>74</v>
      </c>
    </row>
    <row r="26242" spans="9:9" x14ac:dyDescent="0.2">
      <c r="I26242" s="137" t="s">
        <v>74</v>
      </c>
    </row>
    <row r="26243" spans="9:9" x14ac:dyDescent="0.2">
      <c r="I26243" s="137" t="s">
        <v>74</v>
      </c>
    </row>
    <row r="26244" spans="9:9" x14ac:dyDescent="0.2">
      <c r="I26244" s="137" t="s">
        <v>74</v>
      </c>
    </row>
    <row r="26245" spans="9:9" x14ac:dyDescent="0.2">
      <c r="I26245" s="137" t="s">
        <v>74</v>
      </c>
    </row>
    <row r="26246" spans="9:9" x14ac:dyDescent="0.2">
      <c r="I26246" s="137" t="s">
        <v>74</v>
      </c>
    </row>
    <row r="26247" spans="9:9" x14ac:dyDescent="0.2">
      <c r="I26247" s="137" t="s">
        <v>74</v>
      </c>
    </row>
    <row r="26248" spans="9:9" x14ac:dyDescent="0.2">
      <c r="I26248" s="137" t="s">
        <v>74</v>
      </c>
    </row>
    <row r="26249" spans="9:9" x14ac:dyDescent="0.2">
      <c r="I26249" s="137" t="s">
        <v>74</v>
      </c>
    </row>
    <row r="26250" spans="9:9" x14ac:dyDescent="0.2">
      <c r="I26250" s="137" t="s">
        <v>74</v>
      </c>
    </row>
    <row r="26251" spans="9:9" x14ac:dyDescent="0.2">
      <c r="I26251" s="137" t="s">
        <v>74</v>
      </c>
    </row>
    <row r="26252" spans="9:9" x14ac:dyDescent="0.2">
      <c r="I26252" s="137" t="s">
        <v>74</v>
      </c>
    </row>
    <row r="26253" spans="9:9" x14ac:dyDescent="0.2">
      <c r="I26253" s="137" t="s">
        <v>74</v>
      </c>
    </row>
    <row r="26254" spans="9:9" x14ac:dyDescent="0.2">
      <c r="I26254" s="137" t="s">
        <v>74</v>
      </c>
    </row>
    <row r="26255" spans="9:9" x14ac:dyDescent="0.2">
      <c r="I26255" s="137" t="s">
        <v>74</v>
      </c>
    </row>
    <row r="26256" spans="9:9" x14ac:dyDescent="0.2">
      <c r="I26256" s="137" t="s">
        <v>74</v>
      </c>
    </row>
    <row r="26257" spans="9:9" x14ac:dyDescent="0.2">
      <c r="I26257" s="137" t="s">
        <v>74</v>
      </c>
    </row>
    <row r="26258" spans="9:9" x14ac:dyDescent="0.2">
      <c r="I26258" s="137" t="s">
        <v>74</v>
      </c>
    </row>
    <row r="26259" spans="9:9" x14ac:dyDescent="0.2">
      <c r="I26259" s="137" t="s">
        <v>74</v>
      </c>
    </row>
    <row r="26260" spans="9:9" x14ac:dyDescent="0.2">
      <c r="I26260" s="137" t="s">
        <v>74</v>
      </c>
    </row>
    <row r="26261" spans="9:9" x14ac:dyDescent="0.2">
      <c r="I26261" s="137" t="s">
        <v>74</v>
      </c>
    </row>
    <row r="26262" spans="9:9" x14ac:dyDescent="0.2">
      <c r="I26262" s="137" t="s">
        <v>74</v>
      </c>
    </row>
    <row r="26263" spans="9:9" x14ac:dyDescent="0.2">
      <c r="I26263" s="137" t="s">
        <v>74</v>
      </c>
    </row>
    <row r="26264" spans="9:9" x14ac:dyDescent="0.2">
      <c r="I26264" s="137" t="s">
        <v>74</v>
      </c>
    </row>
    <row r="26265" spans="9:9" x14ac:dyDescent="0.2">
      <c r="I26265" s="137" t="s">
        <v>74</v>
      </c>
    </row>
    <row r="26266" spans="9:9" x14ac:dyDescent="0.2">
      <c r="I26266" s="137" t="s">
        <v>74</v>
      </c>
    </row>
    <row r="26267" spans="9:9" x14ac:dyDescent="0.2">
      <c r="I26267" s="137" t="s">
        <v>74</v>
      </c>
    </row>
    <row r="26268" spans="9:9" x14ac:dyDescent="0.2">
      <c r="I26268" s="137" t="s">
        <v>74</v>
      </c>
    </row>
    <row r="26269" spans="9:9" x14ac:dyDescent="0.2">
      <c r="I26269" s="137" t="s">
        <v>74</v>
      </c>
    </row>
    <row r="26270" spans="9:9" x14ac:dyDescent="0.2">
      <c r="I26270" s="137" t="s">
        <v>74</v>
      </c>
    </row>
    <row r="26271" spans="9:9" x14ac:dyDescent="0.2">
      <c r="I26271" s="137" t="s">
        <v>74</v>
      </c>
    </row>
    <row r="26272" spans="9:9" x14ac:dyDescent="0.2">
      <c r="I26272" s="137" t="s">
        <v>74</v>
      </c>
    </row>
    <row r="26273" spans="9:9" x14ac:dyDescent="0.2">
      <c r="I26273" s="137" t="s">
        <v>74</v>
      </c>
    </row>
    <row r="26274" spans="9:9" x14ac:dyDescent="0.2">
      <c r="I26274" s="137" t="s">
        <v>74</v>
      </c>
    </row>
    <row r="26275" spans="9:9" x14ac:dyDescent="0.2">
      <c r="I26275" s="137" t="s">
        <v>74</v>
      </c>
    </row>
    <row r="26276" spans="9:9" x14ac:dyDescent="0.2">
      <c r="I26276" s="137" t="s">
        <v>74</v>
      </c>
    </row>
    <row r="26277" spans="9:9" x14ac:dyDescent="0.2">
      <c r="I26277" s="137" t="s">
        <v>74</v>
      </c>
    </row>
    <row r="26278" spans="9:9" x14ac:dyDescent="0.2">
      <c r="I26278" s="137" t="s">
        <v>74</v>
      </c>
    </row>
    <row r="26279" spans="9:9" x14ac:dyDescent="0.2">
      <c r="I26279" s="137" t="s">
        <v>74</v>
      </c>
    </row>
    <row r="26280" spans="9:9" x14ac:dyDescent="0.2">
      <c r="I26280" s="137" t="s">
        <v>74</v>
      </c>
    </row>
    <row r="26281" spans="9:9" x14ac:dyDescent="0.2">
      <c r="I26281" s="137" t="s">
        <v>74</v>
      </c>
    </row>
    <row r="26282" spans="9:9" x14ac:dyDescent="0.2">
      <c r="I26282" s="137" t="s">
        <v>74</v>
      </c>
    </row>
    <row r="26283" spans="9:9" x14ac:dyDescent="0.2">
      <c r="I26283" s="137" t="s">
        <v>74</v>
      </c>
    </row>
    <row r="26284" spans="9:9" x14ac:dyDescent="0.2">
      <c r="I26284" s="137" t="s">
        <v>74</v>
      </c>
    </row>
    <row r="26285" spans="9:9" x14ac:dyDescent="0.2">
      <c r="I26285" s="137" t="s">
        <v>74</v>
      </c>
    </row>
    <row r="26286" spans="9:9" x14ac:dyDescent="0.2">
      <c r="I26286" s="137" t="s">
        <v>74</v>
      </c>
    </row>
    <row r="26287" spans="9:9" x14ac:dyDescent="0.2">
      <c r="I26287" s="137" t="s">
        <v>74</v>
      </c>
    </row>
    <row r="26288" spans="9:9" x14ac:dyDescent="0.2">
      <c r="I26288" s="137" t="s">
        <v>74</v>
      </c>
    </row>
    <row r="26289" spans="9:9" x14ac:dyDescent="0.2">
      <c r="I26289" s="137" t="s">
        <v>74</v>
      </c>
    </row>
    <row r="26290" spans="9:9" x14ac:dyDescent="0.2">
      <c r="I26290" s="137" t="s">
        <v>74</v>
      </c>
    </row>
    <row r="26291" spans="9:9" x14ac:dyDescent="0.2">
      <c r="I26291" s="137" t="s">
        <v>74</v>
      </c>
    </row>
    <row r="26292" spans="9:9" x14ac:dyDescent="0.2">
      <c r="I26292" s="137" t="s">
        <v>74</v>
      </c>
    </row>
    <row r="26293" spans="9:9" x14ac:dyDescent="0.2">
      <c r="I26293" s="137" t="s">
        <v>74</v>
      </c>
    </row>
    <row r="26294" spans="9:9" x14ac:dyDescent="0.2">
      <c r="I26294" s="137" t="s">
        <v>74</v>
      </c>
    </row>
    <row r="26295" spans="9:9" x14ac:dyDescent="0.2">
      <c r="I26295" s="137" t="s">
        <v>74</v>
      </c>
    </row>
    <row r="26296" spans="9:9" x14ac:dyDescent="0.2">
      <c r="I26296" s="137" t="s">
        <v>74</v>
      </c>
    </row>
    <row r="26297" spans="9:9" x14ac:dyDescent="0.2">
      <c r="I26297" s="137" t="s">
        <v>74</v>
      </c>
    </row>
    <row r="26298" spans="9:9" x14ac:dyDescent="0.2">
      <c r="I26298" s="137" t="s">
        <v>74</v>
      </c>
    </row>
    <row r="26299" spans="9:9" x14ac:dyDescent="0.2">
      <c r="I26299" s="137" t="s">
        <v>74</v>
      </c>
    </row>
    <row r="26300" spans="9:9" x14ac:dyDescent="0.2">
      <c r="I26300" s="137" t="s">
        <v>74</v>
      </c>
    </row>
    <row r="26301" spans="9:9" x14ac:dyDescent="0.2">
      <c r="I26301" s="137" t="s">
        <v>74</v>
      </c>
    </row>
    <row r="26302" spans="9:9" x14ac:dyDescent="0.2">
      <c r="I26302" s="137" t="s">
        <v>74</v>
      </c>
    </row>
    <row r="26303" spans="9:9" x14ac:dyDescent="0.2">
      <c r="I26303" s="137" t="s">
        <v>74</v>
      </c>
    </row>
    <row r="26304" spans="9:9" x14ac:dyDescent="0.2">
      <c r="I26304" s="137" t="s">
        <v>74</v>
      </c>
    </row>
    <row r="26305" spans="9:9" x14ac:dyDescent="0.2">
      <c r="I26305" s="137" t="s">
        <v>74</v>
      </c>
    </row>
    <row r="26306" spans="9:9" x14ac:dyDescent="0.2">
      <c r="I26306" s="137" t="s">
        <v>74</v>
      </c>
    </row>
    <row r="26307" spans="9:9" x14ac:dyDescent="0.2">
      <c r="I26307" s="137" t="s">
        <v>74</v>
      </c>
    </row>
    <row r="26308" spans="9:9" x14ac:dyDescent="0.2">
      <c r="I26308" s="137" t="s">
        <v>74</v>
      </c>
    </row>
    <row r="26309" spans="9:9" x14ac:dyDescent="0.2">
      <c r="I26309" s="137" t="s">
        <v>74</v>
      </c>
    </row>
    <row r="26310" spans="9:9" x14ac:dyDescent="0.2">
      <c r="I26310" s="137" t="s">
        <v>74</v>
      </c>
    </row>
    <row r="26311" spans="9:9" x14ac:dyDescent="0.2">
      <c r="I26311" s="137" t="s">
        <v>74</v>
      </c>
    </row>
    <row r="26312" spans="9:9" x14ac:dyDescent="0.2">
      <c r="I26312" s="137" t="s">
        <v>74</v>
      </c>
    </row>
    <row r="26313" spans="9:9" x14ac:dyDescent="0.2">
      <c r="I26313" s="137" t="s">
        <v>74</v>
      </c>
    </row>
    <row r="26314" spans="9:9" x14ac:dyDescent="0.2">
      <c r="I26314" s="137" t="s">
        <v>74</v>
      </c>
    </row>
    <row r="26315" spans="9:9" x14ac:dyDescent="0.2">
      <c r="I26315" s="137" t="s">
        <v>74</v>
      </c>
    </row>
    <row r="26316" spans="9:9" x14ac:dyDescent="0.2">
      <c r="I26316" s="137" t="s">
        <v>74</v>
      </c>
    </row>
    <row r="26317" spans="9:9" x14ac:dyDescent="0.2">
      <c r="I26317" s="137" t="s">
        <v>74</v>
      </c>
    </row>
    <row r="26318" spans="9:9" x14ac:dyDescent="0.2">
      <c r="I26318" s="137" t="s">
        <v>74</v>
      </c>
    </row>
    <row r="26319" spans="9:9" x14ac:dyDescent="0.2">
      <c r="I26319" s="137" t="s">
        <v>74</v>
      </c>
    </row>
    <row r="26320" spans="9:9" x14ac:dyDescent="0.2">
      <c r="I26320" s="137" t="s">
        <v>74</v>
      </c>
    </row>
    <row r="26321" spans="9:9" x14ac:dyDescent="0.2">
      <c r="I26321" s="137" t="s">
        <v>74</v>
      </c>
    </row>
    <row r="26322" spans="9:9" x14ac:dyDescent="0.2">
      <c r="I26322" s="137" t="s">
        <v>74</v>
      </c>
    </row>
    <row r="26323" spans="9:9" x14ac:dyDescent="0.2">
      <c r="I26323" s="137" t="s">
        <v>74</v>
      </c>
    </row>
    <row r="26324" spans="9:9" x14ac:dyDescent="0.2">
      <c r="I26324" s="137" t="s">
        <v>74</v>
      </c>
    </row>
    <row r="26325" spans="9:9" x14ac:dyDescent="0.2">
      <c r="I26325" s="137" t="s">
        <v>74</v>
      </c>
    </row>
    <row r="26326" spans="9:9" x14ac:dyDescent="0.2">
      <c r="I26326" s="137" t="s">
        <v>74</v>
      </c>
    </row>
    <row r="26327" spans="9:9" x14ac:dyDescent="0.2">
      <c r="I26327" s="137" t="s">
        <v>74</v>
      </c>
    </row>
    <row r="26328" spans="9:9" x14ac:dyDescent="0.2">
      <c r="I26328" s="137" t="s">
        <v>74</v>
      </c>
    </row>
    <row r="26329" spans="9:9" x14ac:dyDescent="0.2">
      <c r="I26329" s="137" t="s">
        <v>74</v>
      </c>
    </row>
    <row r="26330" spans="9:9" x14ac:dyDescent="0.2">
      <c r="I26330" s="137" t="s">
        <v>74</v>
      </c>
    </row>
    <row r="26331" spans="9:9" x14ac:dyDescent="0.2">
      <c r="I26331" s="137" t="s">
        <v>74</v>
      </c>
    </row>
    <row r="26332" spans="9:9" x14ac:dyDescent="0.2">
      <c r="I26332" s="137" t="s">
        <v>74</v>
      </c>
    </row>
    <row r="26333" spans="9:9" x14ac:dyDescent="0.2">
      <c r="I26333" s="137" t="s">
        <v>74</v>
      </c>
    </row>
    <row r="26334" spans="9:9" x14ac:dyDescent="0.2">
      <c r="I26334" s="137" t="s">
        <v>74</v>
      </c>
    </row>
    <row r="26335" spans="9:9" x14ac:dyDescent="0.2">
      <c r="I26335" s="137" t="s">
        <v>74</v>
      </c>
    </row>
    <row r="26336" spans="9:9" x14ac:dyDescent="0.2">
      <c r="I26336" s="137" t="s">
        <v>74</v>
      </c>
    </row>
    <row r="26337" spans="9:9" x14ac:dyDescent="0.2">
      <c r="I26337" s="137" t="s">
        <v>74</v>
      </c>
    </row>
    <row r="26338" spans="9:9" x14ac:dyDescent="0.2">
      <c r="I26338" s="137" t="s">
        <v>74</v>
      </c>
    </row>
    <row r="26339" spans="9:9" x14ac:dyDescent="0.2">
      <c r="I26339" s="137" t="s">
        <v>74</v>
      </c>
    </row>
    <row r="26340" spans="9:9" x14ac:dyDescent="0.2">
      <c r="I26340" s="137" t="s">
        <v>74</v>
      </c>
    </row>
    <row r="26341" spans="9:9" x14ac:dyDescent="0.2">
      <c r="I26341" s="137" t="s">
        <v>74</v>
      </c>
    </row>
    <row r="26342" spans="9:9" x14ac:dyDescent="0.2">
      <c r="I26342" s="137" t="s">
        <v>74</v>
      </c>
    </row>
    <row r="26343" spans="9:9" x14ac:dyDescent="0.2">
      <c r="I26343" s="137" t="s">
        <v>74</v>
      </c>
    </row>
    <row r="26344" spans="9:9" x14ac:dyDescent="0.2">
      <c r="I26344" s="137" t="s">
        <v>74</v>
      </c>
    </row>
    <row r="26345" spans="9:9" x14ac:dyDescent="0.2">
      <c r="I26345" s="137" t="s">
        <v>74</v>
      </c>
    </row>
    <row r="26346" spans="9:9" x14ac:dyDescent="0.2">
      <c r="I26346" s="137" t="s">
        <v>74</v>
      </c>
    </row>
    <row r="26347" spans="9:9" x14ac:dyDescent="0.2">
      <c r="I26347" s="137" t="s">
        <v>74</v>
      </c>
    </row>
    <row r="26348" spans="9:9" x14ac:dyDescent="0.2">
      <c r="I26348" s="137" t="s">
        <v>74</v>
      </c>
    </row>
    <row r="26349" spans="9:9" x14ac:dyDescent="0.2">
      <c r="I26349" s="137" t="s">
        <v>74</v>
      </c>
    </row>
    <row r="26350" spans="9:9" x14ac:dyDescent="0.2">
      <c r="I26350" s="137" t="s">
        <v>74</v>
      </c>
    </row>
    <row r="26351" spans="9:9" x14ac:dyDescent="0.2">
      <c r="I26351" s="137" t="s">
        <v>74</v>
      </c>
    </row>
    <row r="26352" spans="9:9" x14ac:dyDescent="0.2">
      <c r="I26352" s="137" t="s">
        <v>74</v>
      </c>
    </row>
    <row r="26353" spans="9:9" x14ac:dyDescent="0.2">
      <c r="I26353" s="137" t="s">
        <v>74</v>
      </c>
    </row>
    <row r="26354" spans="9:9" x14ac:dyDescent="0.2">
      <c r="I26354" s="137" t="s">
        <v>74</v>
      </c>
    </row>
    <row r="26355" spans="9:9" x14ac:dyDescent="0.2">
      <c r="I26355" s="137" t="s">
        <v>74</v>
      </c>
    </row>
    <row r="26356" spans="9:9" x14ac:dyDescent="0.2">
      <c r="I26356" s="137" t="s">
        <v>74</v>
      </c>
    </row>
    <row r="26357" spans="9:9" x14ac:dyDescent="0.2">
      <c r="I26357" s="137" t="s">
        <v>74</v>
      </c>
    </row>
    <row r="26358" spans="9:9" x14ac:dyDescent="0.2">
      <c r="I26358" s="137" t="s">
        <v>74</v>
      </c>
    </row>
    <row r="26359" spans="9:9" x14ac:dyDescent="0.2">
      <c r="I26359" s="137" t="s">
        <v>74</v>
      </c>
    </row>
    <row r="26360" spans="9:9" x14ac:dyDescent="0.2">
      <c r="I26360" s="137" t="s">
        <v>74</v>
      </c>
    </row>
    <row r="26361" spans="9:9" x14ac:dyDescent="0.2">
      <c r="I26361" s="137" t="s">
        <v>74</v>
      </c>
    </row>
    <row r="26362" spans="9:9" x14ac:dyDescent="0.2">
      <c r="I26362" s="137" t="s">
        <v>74</v>
      </c>
    </row>
    <row r="26363" spans="9:9" x14ac:dyDescent="0.2">
      <c r="I26363" s="137" t="s">
        <v>74</v>
      </c>
    </row>
    <row r="26364" spans="9:9" x14ac:dyDescent="0.2">
      <c r="I26364" s="137" t="s">
        <v>74</v>
      </c>
    </row>
    <row r="26365" spans="9:9" x14ac:dyDescent="0.2">
      <c r="I26365" s="137" t="s">
        <v>74</v>
      </c>
    </row>
    <row r="26366" spans="9:9" x14ac:dyDescent="0.2">
      <c r="I26366" s="137" t="s">
        <v>74</v>
      </c>
    </row>
    <row r="26367" spans="9:9" x14ac:dyDescent="0.2">
      <c r="I26367" s="137" t="s">
        <v>74</v>
      </c>
    </row>
    <row r="26368" spans="9:9" x14ac:dyDescent="0.2">
      <c r="I26368" s="137" t="s">
        <v>74</v>
      </c>
    </row>
    <row r="26369" spans="9:9" x14ac:dyDescent="0.2">
      <c r="I26369" s="137" t="s">
        <v>74</v>
      </c>
    </row>
    <row r="26370" spans="9:9" x14ac:dyDescent="0.2">
      <c r="I26370" s="137" t="s">
        <v>74</v>
      </c>
    </row>
    <row r="26371" spans="9:9" x14ac:dyDescent="0.2">
      <c r="I26371" s="137" t="s">
        <v>74</v>
      </c>
    </row>
    <row r="26372" spans="9:9" x14ac:dyDescent="0.2">
      <c r="I26372" s="137" t="s">
        <v>74</v>
      </c>
    </row>
    <row r="26373" spans="9:9" x14ac:dyDescent="0.2">
      <c r="I26373" s="137" t="s">
        <v>74</v>
      </c>
    </row>
    <row r="26374" spans="9:9" x14ac:dyDescent="0.2">
      <c r="I26374" s="137" t="s">
        <v>74</v>
      </c>
    </row>
    <row r="26375" spans="9:9" x14ac:dyDescent="0.2">
      <c r="I26375" s="137" t="s">
        <v>74</v>
      </c>
    </row>
    <row r="26376" spans="9:9" x14ac:dyDescent="0.2">
      <c r="I26376" s="137" t="s">
        <v>74</v>
      </c>
    </row>
    <row r="26377" spans="9:9" x14ac:dyDescent="0.2">
      <c r="I26377" s="137" t="s">
        <v>74</v>
      </c>
    </row>
    <row r="26378" spans="9:9" x14ac:dyDescent="0.2">
      <c r="I26378" s="137" t="s">
        <v>74</v>
      </c>
    </row>
    <row r="26379" spans="9:9" x14ac:dyDescent="0.2">
      <c r="I26379" s="137" t="s">
        <v>74</v>
      </c>
    </row>
    <row r="26380" spans="9:9" x14ac:dyDescent="0.2">
      <c r="I26380" s="137" t="s">
        <v>74</v>
      </c>
    </row>
    <row r="26381" spans="9:9" x14ac:dyDescent="0.2">
      <c r="I26381" s="137" t="s">
        <v>74</v>
      </c>
    </row>
    <row r="26382" spans="9:9" x14ac:dyDescent="0.2">
      <c r="I26382" s="137" t="s">
        <v>74</v>
      </c>
    </row>
    <row r="26383" spans="9:9" x14ac:dyDescent="0.2">
      <c r="I26383" s="137" t="s">
        <v>74</v>
      </c>
    </row>
    <row r="26384" spans="9:9" x14ac:dyDescent="0.2">
      <c r="I26384" s="137" t="s">
        <v>74</v>
      </c>
    </row>
    <row r="26385" spans="9:9" x14ac:dyDescent="0.2">
      <c r="I26385" s="137" t="s">
        <v>74</v>
      </c>
    </row>
    <row r="26386" spans="9:9" x14ac:dyDescent="0.2">
      <c r="I26386" s="137" t="s">
        <v>74</v>
      </c>
    </row>
    <row r="26387" spans="9:9" x14ac:dyDescent="0.2">
      <c r="I26387" s="137" t="s">
        <v>74</v>
      </c>
    </row>
    <row r="26388" spans="9:9" x14ac:dyDescent="0.2">
      <c r="I26388" s="137" t="s">
        <v>74</v>
      </c>
    </row>
    <row r="26389" spans="9:9" x14ac:dyDescent="0.2">
      <c r="I26389" s="137" t="s">
        <v>74</v>
      </c>
    </row>
    <row r="26390" spans="9:9" x14ac:dyDescent="0.2">
      <c r="I26390" s="137" t="s">
        <v>74</v>
      </c>
    </row>
    <row r="26391" spans="9:9" x14ac:dyDescent="0.2">
      <c r="I26391" s="137" t="s">
        <v>74</v>
      </c>
    </row>
    <row r="26392" spans="9:9" x14ac:dyDescent="0.2">
      <c r="I26392" s="137" t="s">
        <v>74</v>
      </c>
    </row>
    <row r="26393" spans="9:9" x14ac:dyDescent="0.2">
      <c r="I26393" s="137" t="s">
        <v>74</v>
      </c>
    </row>
    <row r="26394" spans="9:9" x14ac:dyDescent="0.2">
      <c r="I26394" s="137" t="s">
        <v>74</v>
      </c>
    </row>
    <row r="26395" spans="9:9" x14ac:dyDescent="0.2">
      <c r="I26395" s="137" t="s">
        <v>74</v>
      </c>
    </row>
    <row r="26396" spans="9:9" x14ac:dyDescent="0.2">
      <c r="I26396" s="137" t="s">
        <v>74</v>
      </c>
    </row>
    <row r="26397" spans="9:9" x14ac:dyDescent="0.2">
      <c r="I26397" s="137" t="s">
        <v>74</v>
      </c>
    </row>
    <row r="26398" spans="9:9" x14ac:dyDescent="0.2">
      <c r="I26398" s="137" t="s">
        <v>74</v>
      </c>
    </row>
    <row r="26399" spans="9:9" x14ac:dyDescent="0.2">
      <c r="I26399" s="137" t="s">
        <v>74</v>
      </c>
    </row>
    <row r="26400" spans="9:9" x14ac:dyDescent="0.2">
      <c r="I26400" s="137" t="s">
        <v>74</v>
      </c>
    </row>
    <row r="26401" spans="9:9" x14ac:dyDescent="0.2">
      <c r="I26401" s="137" t="s">
        <v>74</v>
      </c>
    </row>
    <row r="26402" spans="9:9" x14ac:dyDescent="0.2">
      <c r="I26402" s="137" t="s">
        <v>74</v>
      </c>
    </row>
    <row r="26403" spans="9:9" x14ac:dyDescent="0.2">
      <c r="I26403" s="137" t="s">
        <v>74</v>
      </c>
    </row>
    <row r="26404" spans="9:9" x14ac:dyDescent="0.2">
      <c r="I26404" s="137" t="s">
        <v>74</v>
      </c>
    </row>
    <row r="26405" spans="9:9" x14ac:dyDescent="0.2">
      <c r="I26405" s="137" t="s">
        <v>74</v>
      </c>
    </row>
    <row r="26406" spans="9:9" x14ac:dyDescent="0.2">
      <c r="I26406" s="137" t="s">
        <v>74</v>
      </c>
    </row>
    <row r="26407" spans="9:9" x14ac:dyDescent="0.2">
      <c r="I26407" s="137" t="s">
        <v>74</v>
      </c>
    </row>
    <row r="26408" spans="9:9" x14ac:dyDescent="0.2">
      <c r="I26408" s="137" t="s">
        <v>74</v>
      </c>
    </row>
    <row r="26409" spans="9:9" x14ac:dyDescent="0.2">
      <c r="I26409" s="137" t="s">
        <v>74</v>
      </c>
    </row>
    <row r="26410" spans="9:9" x14ac:dyDescent="0.2">
      <c r="I26410" s="137" t="s">
        <v>74</v>
      </c>
    </row>
    <row r="26411" spans="9:9" x14ac:dyDescent="0.2">
      <c r="I26411" s="137" t="s">
        <v>74</v>
      </c>
    </row>
    <row r="26412" spans="9:9" x14ac:dyDescent="0.2">
      <c r="I26412" s="137" t="s">
        <v>74</v>
      </c>
    </row>
    <row r="26413" spans="9:9" x14ac:dyDescent="0.2">
      <c r="I26413" s="137" t="s">
        <v>74</v>
      </c>
    </row>
    <row r="26414" spans="9:9" x14ac:dyDescent="0.2">
      <c r="I26414" s="137" t="s">
        <v>74</v>
      </c>
    </row>
    <row r="26415" spans="9:9" x14ac:dyDescent="0.2">
      <c r="I26415" s="137" t="s">
        <v>74</v>
      </c>
    </row>
    <row r="26416" spans="9:9" x14ac:dyDescent="0.2">
      <c r="I26416" s="137" t="s">
        <v>74</v>
      </c>
    </row>
    <row r="26417" spans="9:9" x14ac:dyDescent="0.2">
      <c r="I26417" s="137" t="s">
        <v>74</v>
      </c>
    </row>
    <row r="26418" spans="9:9" x14ac:dyDescent="0.2">
      <c r="I26418" s="137" t="s">
        <v>74</v>
      </c>
    </row>
    <row r="26419" spans="9:9" x14ac:dyDescent="0.2">
      <c r="I26419" s="137" t="s">
        <v>74</v>
      </c>
    </row>
    <row r="26420" spans="9:9" x14ac:dyDescent="0.2">
      <c r="I26420" s="137" t="s">
        <v>74</v>
      </c>
    </row>
    <row r="26421" spans="9:9" x14ac:dyDescent="0.2">
      <c r="I26421" s="137" t="s">
        <v>74</v>
      </c>
    </row>
    <row r="26422" spans="9:9" x14ac:dyDescent="0.2">
      <c r="I26422" s="137" t="s">
        <v>74</v>
      </c>
    </row>
    <row r="26423" spans="9:9" x14ac:dyDescent="0.2">
      <c r="I26423" s="137" t="s">
        <v>74</v>
      </c>
    </row>
    <row r="26424" spans="9:9" x14ac:dyDescent="0.2">
      <c r="I26424" s="137" t="s">
        <v>74</v>
      </c>
    </row>
    <row r="26425" spans="9:9" x14ac:dyDescent="0.2">
      <c r="I26425" s="137" t="s">
        <v>74</v>
      </c>
    </row>
    <row r="26426" spans="9:9" x14ac:dyDescent="0.2">
      <c r="I26426" s="137" t="s">
        <v>74</v>
      </c>
    </row>
    <row r="26427" spans="9:9" x14ac:dyDescent="0.2">
      <c r="I26427" s="137" t="s">
        <v>74</v>
      </c>
    </row>
    <row r="26428" spans="9:9" x14ac:dyDescent="0.2">
      <c r="I26428" s="137" t="s">
        <v>74</v>
      </c>
    </row>
    <row r="26429" spans="9:9" x14ac:dyDescent="0.2">
      <c r="I26429" s="137" t="s">
        <v>74</v>
      </c>
    </row>
    <row r="26430" spans="9:9" x14ac:dyDescent="0.2">
      <c r="I26430" s="137" t="s">
        <v>74</v>
      </c>
    </row>
    <row r="26431" spans="9:9" x14ac:dyDescent="0.2">
      <c r="I26431" s="137" t="s">
        <v>74</v>
      </c>
    </row>
    <row r="26432" spans="9:9" x14ac:dyDescent="0.2">
      <c r="I26432" s="137" t="s">
        <v>74</v>
      </c>
    </row>
    <row r="26433" spans="9:9" x14ac:dyDescent="0.2">
      <c r="I26433" s="137" t="s">
        <v>74</v>
      </c>
    </row>
    <row r="26434" spans="9:9" x14ac:dyDescent="0.2">
      <c r="I26434" s="137" t="s">
        <v>74</v>
      </c>
    </row>
    <row r="26435" spans="9:9" x14ac:dyDescent="0.2">
      <c r="I26435" s="137" t="s">
        <v>74</v>
      </c>
    </row>
    <row r="26436" spans="9:9" x14ac:dyDescent="0.2">
      <c r="I26436" s="137" t="s">
        <v>74</v>
      </c>
    </row>
    <row r="26437" spans="9:9" x14ac:dyDescent="0.2">
      <c r="I26437" s="137" t="s">
        <v>74</v>
      </c>
    </row>
    <row r="26438" spans="9:9" x14ac:dyDescent="0.2">
      <c r="I26438" s="137" t="s">
        <v>74</v>
      </c>
    </row>
    <row r="26439" spans="9:9" x14ac:dyDescent="0.2">
      <c r="I26439" s="137" t="s">
        <v>74</v>
      </c>
    </row>
    <row r="26440" spans="9:9" x14ac:dyDescent="0.2">
      <c r="I26440" s="137" t="s">
        <v>74</v>
      </c>
    </row>
    <row r="26441" spans="9:9" x14ac:dyDescent="0.2">
      <c r="I26441" s="137" t="s">
        <v>74</v>
      </c>
    </row>
    <row r="26442" spans="9:9" x14ac:dyDescent="0.2">
      <c r="I26442" s="137" t="s">
        <v>74</v>
      </c>
    </row>
    <row r="26443" spans="9:9" x14ac:dyDescent="0.2">
      <c r="I26443" s="137" t="s">
        <v>74</v>
      </c>
    </row>
    <row r="26444" spans="9:9" x14ac:dyDescent="0.2">
      <c r="I26444" s="137" t="s">
        <v>74</v>
      </c>
    </row>
    <row r="26445" spans="9:9" x14ac:dyDescent="0.2">
      <c r="I26445" s="137" t="s">
        <v>74</v>
      </c>
    </row>
    <row r="26446" spans="9:9" x14ac:dyDescent="0.2">
      <c r="I26446" s="137" t="s">
        <v>74</v>
      </c>
    </row>
    <row r="26447" spans="9:9" x14ac:dyDescent="0.2">
      <c r="I26447" s="137" t="s">
        <v>74</v>
      </c>
    </row>
    <row r="26448" spans="9:9" x14ac:dyDescent="0.2">
      <c r="I26448" s="137" t="s">
        <v>74</v>
      </c>
    </row>
    <row r="26449" spans="9:9" x14ac:dyDescent="0.2">
      <c r="I26449" s="137" t="s">
        <v>74</v>
      </c>
    </row>
    <row r="26450" spans="9:9" x14ac:dyDescent="0.2">
      <c r="I26450" s="137" t="s">
        <v>74</v>
      </c>
    </row>
    <row r="26451" spans="9:9" x14ac:dyDescent="0.2">
      <c r="I26451" s="137" t="s">
        <v>74</v>
      </c>
    </row>
    <row r="26452" spans="9:9" x14ac:dyDescent="0.2">
      <c r="I26452" s="137" t="s">
        <v>74</v>
      </c>
    </row>
    <row r="26453" spans="9:9" x14ac:dyDescent="0.2">
      <c r="I26453" s="137" t="s">
        <v>74</v>
      </c>
    </row>
    <row r="26454" spans="9:9" x14ac:dyDescent="0.2">
      <c r="I26454" s="137" t="s">
        <v>74</v>
      </c>
    </row>
    <row r="26455" spans="9:9" x14ac:dyDescent="0.2">
      <c r="I26455" s="137" t="s">
        <v>74</v>
      </c>
    </row>
    <row r="26456" spans="9:9" x14ac:dyDescent="0.2">
      <c r="I26456" s="137" t="s">
        <v>74</v>
      </c>
    </row>
    <row r="26457" spans="9:9" x14ac:dyDescent="0.2">
      <c r="I26457" s="137" t="s">
        <v>74</v>
      </c>
    </row>
    <row r="26458" spans="9:9" x14ac:dyDescent="0.2">
      <c r="I26458" s="137" t="s">
        <v>74</v>
      </c>
    </row>
    <row r="26459" spans="9:9" x14ac:dyDescent="0.2">
      <c r="I26459" s="137" t="s">
        <v>74</v>
      </c>
    </row>
    <row r="26460" spans="9:9" x14ac:dyDescent="0.2">
      <c r="I26460" s="137" t="s">
        <v>74</v>
      </c>
    </row>
    <row r="26461" spans="9:9" x14ac:dyDescent="0.2">
      <c r="I26461" s="137" t="s">
        <v>74</v>
      </c>
    </row>
    <row r="26462" spans="9:9" x14ac:dyDescent="0.2">
      <c r="I26462" s="137" t="s">
        <v>74</v>
      </c>
    </row>
    <row r="26463" spans="9:9" x14ac:dyDescent="0.2">
      <c r="I26463" s="137" t="s">
        <v>74</v>
      </c>
    </row>
    <row r="26464" spans="9:9" x14ac:dyDescent="0.2">
      <c r="I26464" s="137" t="s">
        <v>74</v>
      </c>
    </row>
    <row r="26465" spans="9:9" x14ac:dyDescent="0.2">
      <c r="I26465" s="137" t="s">
        <v>74</v>
      </c>
    </row>
    <row r="26466" spans="9:9" x14ac:dyDescent="0.2">
      <c r="I26466" s="137" t="s">
        <v>74</v>
      </c>
    </row>
    <row r="26467" spans="9:9" x14ac:dyDescent="0.2">
      <c r="I26467" s="137" t="s">
        <v>74</v>
      </c>
    </row>
    <row r="26468" spans="9:9" x14ac:dyDescent="0.2">
      <c r="I26468" s="137" t="s">
        <v>74</v>
      </c>
    </row>
    <row r="26469" spans="9:9" x14ac:dyDescent="0.2">
      <c r="I26469" s="137" t="s">
        <v>74</v>
      </c>
    </row>
    <row r="26470" spans="9:9" x14ac:dyDescent="0.2">
      <c r="I26470" s="137" t="s">
        <v>74</v>
      </c>
    </row>
    <row r="26471" spans="9:9" x14ac:dyDescent="0.2">
      <c r="I26471" s="137" t="s">
        <v>74</v>
      </c>
    </row>
    <row r="26472" spans="9:9" x14ac:dyDescent="0.2">
      <c r="I26472" s="137" t="s">
        <v>74</v>
      </c>
    </row>
    <row r="26473" spans="9:9" x14ac:dyDescent="0.2">
      <c r="I26473" s="137" t="s">
        <v>74</v>
      </c>
    </row>
    <row r="26474" spans="9:9" x14ac:dyDescent="0.2">
      <c r="I26474" s="137" t="s">
        <v>74</v>
      </c>
    </row>
    <row r="26475" spans="9:9" x14ac:dyDescent="0.2">
      <c r="I26475" s="137" t="s">
        <v>74</v>
      </c>
    </row>
    <row r="26476" spans="9:9" x14ac:dyDescent="0.2">
      <c r="I26476" s="137" t="s">
        <v>74</v>
      </c>
    </row>
    <row r="26477" spans="9:9" x14ac:dyDescent="0.2">
      <c r="I26477" s="137" t="s">
        <v>74</v>
      </c>
    </row>
    <row r="26478" spans="9:9" x14ac:dyDescent="0.2">
      <c r="I26478" s="137" t="s">
        <v>74</v>
      </c>
    </row>
    <row r="26479" spans="9:9" x14ac:dyDescent="0.2">
      <c r="I26479" s="137" t="s">
        <v>74</v>
      </c>
    </row>
    <row r="26480" spans="9:9" x14ac:dyDescent="0.2">
      <c r="I26480" s="137" t="s">
        <v>74</v>
      </c>
    </row>
    <row r="26481" spans="9:9" x14ac:dyDescent="0.2">
      <c r="I26481" s="137" t="s">
        <v>74</v>
      </c>
    </row>
    <row r="26482" spans="9:9" x14ac:dyDescent="0.2">
      <c r="I26482" s="137" t="s">
        <v>74</v>
      </c>
    </row>
    <row r="26483" spans="9:9" x14ac:dyDescent="0.2">
      <c r="I26483" s="137" t="s">
        <v>74</v>
      </c>
    </row>
    <row r="26484" spans="9:9" x14ac:dyDescent="0.2">
      <c r="I26484" s="137" t="s">
        <v>74</v>
      </c>
    </row>
    <row r="26485" spans="9:9" x14ac:dyDescent="0.2">
      <c r="I26485" s="137" t="s">
        <v>74</v>
      </c>
    </row>
    <row r="26486" spans="9:9" x14ac:dyDescent="0.2">
      <c r="I26486" s="137" t="s">
        <v>74</v>
      </c>
    </row>
    <row r="26487" spans="9:9" x14ac:dyDescent="0.2">
      <c r="I26487" s="137" t="s">
        <v>74</v>
      </c>
    </row>
    <row r="26488" spans="9:9" x14ac:dyDescent="0.2">
      <c r="I26488" s="137" t="s">
        <v>74</v>
      </c>
    </row>
    <row r="26489" spans="9:9" x14ac:dyDescent="0.2">
      <c r="I26489" s="137" t="s">
        <v>74</v>
      </c>
    </row>
    <row r="26490" spans="9:9" x14ac:dyDescent="0.2">
      <c r="I26490" s="137" t="s">
        <v>74</v>
      </c>
    </row>
    <row r="26491" spans="9:9" x14ac:dyDescent="0.2">
      <c r="I26491" s="137" t="s">
        <v>74</v>
      </c>
    </row>
    <row r="26492" spans="9:9" x14ac:dyDescent="0.2">
      <c r="I26492" s="137" t="s">
        <v>74</v>
      </c>
    </row>
    <row r="26493" spans="9:9" x14ac:dyDescent="0.2">
      <c r="I26493" s="137" t="s">
        <v>74</v>
      </c>
    </row>
    <row r="26494" spans="9:9" x14ac:dyDescent="0.2">
      <c r="I26494" s="137" t="s">
        <v>74</v>
      </c>
    </row>
    <row r="26495" spans="9:9" x14ac:dyDescent="0.2">
      <c r="I26495" s="137" t="s">
        <v>74</v>
      </c>
    </row>
    <row r="26496" spans="9:9" x14ac:dyDescent="0.2">
      <c r="I26496" s="137" t="s">
        <v>74</v>
      </c>
    </row>
    <row r="26497" spans="9:9" x14ac:dyDescent="0.2">
      <c r="I26497" s="137" t="s">
        <v>74</v>
      </c>
    </row>
    <row r="26498" spans="9:9" x14ac:dyDescent="0.2">
      <c r="I26498" s="137" t="s">
        <v>74</v>
      </c>
    </row>
    <row r="26499" spans="9:9" x14ac:dyDescent="0.2">
      <c r="I26499" s="137" t="s">
        <v>74</v>
      </c>
    </row>
    <row r="26500" spans="9:9" x14ac:dyDescent="0.2">
      <c r="I26500" s="137" t="s">
        <v>74</v>
      </c>
    </row>
    <row r="26501" spans="9:9" x14ac:dyDescent="0.2">
      <c r="I26501" s="137" t="s">
        <v>74</v>
      </c>
    </row>
    <row r="26502" spans="9:9" x14ac:dyDescent="0.2">
      <c r="I26502" s="137" t="s">
        <v>74</v>
      </c>
    </row>
    <row r="26503" spans="9:9" x14ac:dyDescent="0.2">
      <c r="I26503" s="137" t="s">
        <v>74</v>
      </c>
    </row>
    <row r="26504" spans="9:9" x14ac:dyDescent="0.2">
      <c r="I26504" s="137" t="s">
        <v>74</v>
      </c>
    </row>
    <row r="26505" spans="9:9" x14ac:dyDescent="0.2">
      <c r="I26505" s="137" t="s">
        <v>74</v>
      </c>
    </row>
    <row r="26506" spans="9:9" x14ac:dyDescent="0.2">
      <c r="I26506" s="137" t="s">
        <v>74</v>
      </c>
    </row>
    <row r="26507" spans="9:9" x14ac:dyDescent="0.2">
      <c r="I26507" s="137" t="s">
        <v>74</v>
      </c>
    </row>
    <row r="26508" spans="9:9" x14ac:dyDescent="0.2">
      <c r="I26508" s="137" t="s">
        <v>74</v>
      </c>
    </row>
    <row r="26509" spans="9:9" x14ac:dyDescent="0.2">
      <c r="I26509" s="137" t="s">
        <v>74</v>
      </c>
    </row>
    <row r="26510" spans="9:9" x14ac:dyDescent="0.2">
      <c r="I26510" s="137" t="s">
        <v>74</v>
      </c>
    </row>
    <row r="26511" spans="9:9" x14ac:dyDescent="0.2">
      <c r="I26511" s="137" t="s">
        <v>74</v>
      </c>
    </row>
    <row r="26512" spans="9:9" x14ac:dyDescent="0.2">
      <c r="I26512" s="137" t="s">
        <v>74</v>
      </c>
    </row>
    <row r="26513" spans="9:9" x14ac:dyDescent="0.2">
      <c r="I26513" s="137" t="s">
        <v>74</v>
      </c>
    </row>
    <row r="26514" spans="9:9" x14ac:dyDescent="0.2">
      <c r="I26514" s="137" t="s">
        <v>74</v>
      </c>
    </row>
    <row r="26515" spans="9:9" x14ac:dyDescent="0.2">
      <c r="I26515" s="137" t="s">
        <v>74</v>
      </c>
    </row>
    <row r="26516" spans="9:9" x14ac:dyDescent="0.2">
      <c r="I26516" s="137" t="s">
        <v>74</v>
      </c>
    </row>
    <row r="26517" spans="9:9" x14ac:dyDescent="0.2">
      <c r="I26517" s="137" t="s">
        <v>74</v>
      </c>
    </row>
    <row r="26518" spans="9:9" x14ac:dyDescent="0.2">
      <c r="I26518" s="137" t="s">
        <v>74</v>
      </c>
    </row>
    <row r="26519" spans="9:9" x14ac:dyDescent="0.2">
      <c r="I26519" s="137" t="s">
        <v>74</v>
      </c>
    </row>
    <row r="26520" spans="9:9" x14ac:dyDescent="0.2">
      <c r="I26520" s="137" t="s">
        <v>74</v>
      </c>
    </row>
    <row r="26521" spans="9:9" x14ac:dyDescent="0.2">
      <c r="I26521" s="137" t="s">
        <v>74</v>
      </c>
    </row>
    <row r="26522" spans="9:9" x14ac:dyDescent="0.2">
      <c r="I26522" s="137" t="s">
        <v>74</v>
      </c>
    </row>
    <row r="26523" spans="9:9" x14ac:dyDescent="0.2">
      <c r="I26523" s="137" t="s">
        <v>74</v>
      </c>
    </row>
    <row r="26524" spans="9:9" x14ac:dyDescent="0.2">
      <c r="I26524" s="137" t="s">
        <v>74</v>
      </c>
    </row>
    <row r="26525" spans="9:9" x14ac:dyDescent="0.2">
      <c r="I26525" s="137" t="s">
        <v>74</v>
      </c>
    </row>
    <row r="26526" spans="9:9" x14ac:dyDescent="0.2">
      <c r="I26526" s="137" t="s">
        <v>74</v>
      </c>
    </row>
    <row r="26527" spans="9:9" x14ac:dyDescent="0.2">
      <c r="I26527" s="137" t="s">
        <v>74</v>
      </c>
    </row>
    <row r="26528" spans="9:9" x14ac:dyDescent="0.2">
      <c r="I26528" s="137" t="s">
        <v>74</v>
      </c>
    </row>
    <row r="26529" spans="9:9" x14ac:dyDescent="0.2">
      <c r="I26529" s="137" t="s">
        <v>74</v>
      </c>
    </row>
    <row r="26530" spans="9:9" x14ac:dyDescent="0.2">
      <c r="I26530" s="137" t="s">
        <v>74</v>
      </c>
    </row>
    <row r="26531" spans="9:9" x14ac:dyDescent="0.2">
      <c r="I26531" s="137" t="s">
        <v>74</v>
      </c>
    </row>
    <row r="26532" spans="9:9" x14ac:dyDescent="0.2">
      <c r="I26532" s="137" t="s">
        <v>74</v>
      </c>
    </row>
    <row r="26533" spans="9:9" x14ac:dyDescent="0.2">
      <c r="I26533" s="137" t="s">
        <v>74</v>
      </c>
    </row>
    <row r="26534" spans="9:9" x14ac:dyDescent="0.2">
      <c r="I26534" s="137" t="s">
        <v>74</v>
      </c>
    </row>
    <row r="26535" spans="9:9" x14ac:dyDescent="0.2">
      <c r="I26535" s="137" t="s">
        <v>74</v>
      </c>
    </row>
    <row r="26536" spans="9:9" x14ac:dyDescent="0.2">
      <c r="I26536" s="137" t="s">
        <v>74</v>
      </c>
    </row>
    <row r="26537" spans="9:9" x14ac:dyDescent="0.2">
      <c r="I26537" s="137" t="s">
        <v>74</v>
      </c>
    </row>
    <row r="26538" spans="9:9" x14ac:dyDescent="0.2">
      <c r="I26538" s="137" t="s">
        <v>74</v>
      </c>
    </row>
    <row r="26539" spans="9:9" x14ac:dyDescent="0.2">
      <c r="I26539" s="137" t="s">
        <v>74</v>
      </c>
    </row>
    <row r="26540" spans="9:9" x14ac:dyDescent="0.2">
      <c r="I26540" s="137" t="s">
        <v>74</v>
      </c>
    </row>
    <row r="26541" spans="9:9" x14ac:dyDescent="0.2">
      <c r="I26541" s="137" t="s">
        <v>74</v>
      </c>
    </row>
    <row r="26542" spans="9:9" x14ac:dyDescent="0.2">
      <c r="I26542" s="137" t="s">
        <v>74</v>
      </c>
    </row>
    <row r="26543" spans="9:9" x14ac:dyDescent="0.2">
      <c r="I26543" s="137" t="s">
        <v>74</v>
      </c>
    </row>
    <row r="26544" spans="9:9" x14ac:dyDescent="0.2">
      <c r="I26544" s="137" t="s">
        <v>74</v>
      </c>
    </row>
    <row r="26545" spans="9:9" x14ac:dyDescent="0.2">
      <c r="I26545" s="137" t="s">
        <v>74</v>
      </c>
    </row>
    <row r="26546" spans="9:9" x14ac:dyDescent="0.2">
      <c r="I26546" s="137" t="s">
        <v>74</v>
      </c>
    </row>
    <row r="26547" spans="9:9" x14ac:dyDescent="0.2">
      <c r="I26547" s="137" t="s">
        <v>74</v>
      </c>
    </row>
    <row r="26548" spans="9:9" x14ac:dyDescent="0.2">
      <c r="I26548" s="137" t="s">
        <v>74</v>
      </c>
    </row>
    <row r="26549" spans="9:9" x14ac:dyDescent="0.2">
      <c r="I26549" s="137" t="s">
        <v>74</v>
      </c>
    </row>
    <row r="26550" spans="9:9" x14ac:dyDescent="0.2">
      <c r="I26550" s="137" t="s">
        <v>74</v>
      </c>
    </row>
    <row r="26551" spans="9:9" x14ac:dyDescent="0.2">
      <c r="I26551" s="137" t="s">
        <v>74</v>
      </c>
    </row>
    <row r="26552" spans="9:9" x14ac:dyDescent="0.2">
      <c r="I26552" s="137" t="s">
        <v>74</v>
      </c>
    </row>
    <row r="26553" spans="9:9" x14ac:dyDescent="0.2">
      <c r="I26553" s="137" t="s">
        <v>74</v>
      </c>
    </row>
    <row r="26554" spans="9:9" x14ac:dyDescent="0.2">
      <c r="I26554" s="137" t="s">
        <v>74</v>
      </c>
    </row>
    <row r="26555" spans="9:9" x14ac:dyDescent="0.2">
      <c r="I26555" s="137" t="s">
        <v>74</v>
      </c>
    </row>
    <row r="26556" spans="9:9" x14ac:dyDescent="0.2">
      <c r="I26556" s="137" t="s">
        <v>74</v>
      </c>
    </row>
    <row r="26557" spans="9:9" x14ac:dyDescent="0.2">
      <c r="I26557" s="137" t="s">
        <v>74</v>
      </c>
    </row>
    <row r="26558" spans="9:9" x14ac:dyDescent="0.2">
      <c r="I26558" s="137" t="s">
        <v>74</v>
      </c>
    </row>
    <row r="26559" spans="9:9" x14ac:dyDescent="0.2">
      <c r="I26559" s="137" t="s">
        <v>74</v>
      </c>
    </row>
    <row r="26560" spans="9:9" x14ac:dyDescent="0.2">
      <c r="I26560" s="137" t="s">
        <v>74</v>
      </c>
    </row>
    <row r="26561" spans="9:9" x14ac:dyDescent="0.2">
      <c r="I26561" s="137" t="s">
        <v>74</v>
      </c>
    </row>
    <row r="26562" spans="9:9" x14ac:dyDescent="0.2">
      <c r="I26562" s="137" t="s">
        <v>74</v>
      </c>
    </row>
    <row r="26563" spans="9:9" x14ac:dyDescent="0.2">
      <c r="I26563" s="137" t="s">
        <v>74</v>
      </c>
    </row>
    <row r="26564" spans="9:9" x14ac:dyDescent="0.2">
      <c r="I26564" s="137" t="s">
        <v>74</v>
      </c>
    </row>
    <row r="26565" spans="9:9" x14ac:dyDescent="0.2">
      <c r="I26565" s="137" t="s">
        <v>74</v>
      </c>
    </row>
    <row r="26566" spans="9:9" x14ac:dyDescent="0.2">
      <c r="I26566" s="137" t="s">
        <v>74</v>
      </c>
    </row>
    <row r="26567" spans="9:9" x14ac:dyDescent="0.2">
      <c r="I26567" s="137" t="s">
        <v>74</v>
      </c>
    </row>
    <row r="26568" spans="9:9" x14ac:dyDescent="0.2">
      <c r="I26568" s="137" t="s">
        <v>74</v>
      </c>
    </row>
    <row r="26569" spans="9:9" x14ac:dyDescent="0.2">
      <c r="I26569" s="137" t="s">
        <v>74</v>
      </c>
    </row>
    <row r="26570" spans="9:9" x14ac:dyDescent="0.2">
      <c r="I26570" s="137" t="s">
        <v>74</v>
      </c>
    </row>
    <row r="26571" spans="9:9" x14ac:dyDescent="0.2">
      <c r="I26571" s="137" t="s">
        <v>74</v>
      </c>
    </row>
    <row r="26572" spans="9:9" x14ac:dyDescent="0.2">
      <c r="I26572" s="137" t="s">
        <v>74</v>
      </c>
    </row>
    <row r="26573" spans="9:9" x14ac:dyDescent="0.2">
      <c r="I26573" s="137" t="s">
        <v>74</v>
      </c>
    </row>
    <row r="26574" spans="9:9" x14ac:dyDescent="0.2">
      <c r="I26574" s="137" t="s">
        <v>74</v>
      </c>
    </row>
    <row r="26575" spans="9:9" x14ac:dyDescent="0.2">
      <c r="I26575" s="137" t="s">
        <v>74</v>
      </c>
    </row>
    <row r="26576" spans="9:9" x14ac:dyDescent="0.2">
      <c r="I26576" s="137" t="s">
        <v>74</v>
      </c>
    </row>
    <row r="26577" spans="9:9" x14ac:dyDescent="0.2">
      <c r="I26577" s="137" t="s">
        <v>74</v>
      </c>
    </row>
    <row r="26578" spans="9:9" x14ac:dyDescent="0.2">
      <c r="I26578" s="137" t="s">
        <v>74</v>
      </c>
    </row>
    <row r="26579" spans="9:9" x14ac:dyDescent="0.2">
      <c r="I26579" s="137" t="s">
        <v>74</v>
      </c>
    </row>
    <row r="26580" spans="9:9" x14ac:dyDescent="0.2">
      <c r="I26580" s="137" t="s">
        <v>74</v>
      </c>
    </row>
    <row r="26581" spans="9:9" x14ac:dyDescent="0.2">
      <c r="I26581" s="137" t="s">
        <v>74</v>
      </c>
    </row>
    <row r="26582" spans="9:9" x14ac:dyDescent="0.2">
      <c r="I26582" s="137" t="s">
        <v>74</v>
      </c>
    </row>
    <row r="26583" spans="9:9" x14ac:dyDescent="0.2">
      <c r="I26583" s="137" t="s">
        <v>74</v>
      </c>
    </row>
    <row r="26584" spans="9:9" x14ac:dyDescent="0.2">
      <c r="I26584" s="137" t="s">
        <v>74</v>
      </c>
    </row>
    <row r="26585" spans="9:9" x14ac:dyDescent="0.2">
      <c r="I26585" s="137" t="s">
        <v>74</v>
      </c>
    </row>
    <row r="26586" spans="9:9" x14ac:dyDescent="0.2">
      <c r="I26586" s="137" t="s">
        <v>74</v>
      </c>
    </row>
    <row r="26587" spans="9:9" x14ac:dyDescent="0.2">
      <c r="I26587" s="137" t="s">
        <v>74</v>
      </c>
    </row>
    <row r="26588" spans="9:9" x14ac:dyDescent="0.2">
      <c r="I26588" s="137" t="s">
        <v>74</v>
      </c>
    </row>
    <row r="26589" spans="9:9" x14ac:dyDescent="0.2">
      <c r="I26589" s="137" t="s">
        <v>74</v>
      </c>
    </row>
    <row r="26590" spans="9:9" x14ac:dyDescent="0.2">
      <c r="I26590" s="137" t="s">
        <v>74</v>
      </c>
    </row>
    <row r="26591" spans="9:9" x14ac:dyDescent="0.2">
      <c r="I26591" s="137" t="s">
        <v>74</v>
      </c>
    </row>
    <row r="26592" spans="9:9" x14ac:dyDescent="0.2">
      <c r="I26592" s="137" t="s">
        <v>74</v>
      </c>
    </row>
    <row r="26593" spans="9:9" x14ac:dyDescent="0.2">
      <c r="I26593" s="137" t="s">
        <v>74</v>
      </c>
    </row>
    <row r="26594" spans="9:9" x14ac:dyDescent="0.2">
      <c r="I26594" s="137" t="s">
        <v>74</v>
      </c>
    </row>
    <row r="26595" spans="9:9" x14ac:dyDescent="0.2">
      <c r="I26595" s="137" t="s">
        <v>74</v>
      </c>
    </row>
    <row r="26596" spans="9:9" x14ac:dyDescent="0.2">
      <c r="I26596" s="137" t="s">
        <v>74</v>
      </c>
    </row>
    <row r="26597" spans="9:9" x14ac:dyDescent="0.2">
      <c r="I26597" s="137" t="s">
        <v>74</v>
      </c>
    </row>
    <row r="26598" spans="9:9" x14ac:dyDescent="0.2">
      <c r="I26598" s="137" t="s">
        <v>74</v>
      </c>
    </row>
    <row r="26599" spans="9:9" x14ac:dyDescent="0.2">
      <c r="I26599" s="137" t="s">
        <v>74</v>
      </c>
    </row>
    <row r="26600" spans="9:9" x14ac:dyDescent="0.2">
      <c r="I26600" s="137" t="s">
        <v>74</v>
      </c>
    </row>
    <row r="26601" spans="9:9" x14ac:dyDescent="0.2">
      <c r="I26601" s="137" t="s">
        <v>74</v>
      </c>
    </row>
    <row r="26602" spans="9:9" x14ac:dyDescent="0.2">
      <c r="I26602" s="137" t="s">
        <v>74</v>
      </c>
    </row>
    <row r="26603" spans="9:9" x14ac:dyDescent="0.2">
      <c r="I26603" s="137" t="s">
        <v>74</v>
      </c>
    </row>
    <row r="26604" spans="9:9" x14ac:dyDescent="0.2">
      <c r="I26604" s="137" t="s">
        <v>74</v>
      </c>
    </row>
    <row r="26605" spans="9:9" x14ac:dyDescent="0.2">
      <c r="I26605" s="137" t="s">
        <v>74</v>
      </c>
    </row>
    <row r="26606" spans="9:9" x14ac:dyDescent="0.2">
      <c r="I26606" s="137" t="s">
        <v>74</v>
      </c>
    </row>
    <row r="26607" spans="9:9" x14ac:dyDescent="0.2">
      <c r="I26607" s="137" t="s">
        <v>74</v>
      </c>
    </row>
    <row r="26608" spans="9:9" x14ac:dyDescent="0.2">
      <c r="I26608" s="137" t="s">
        <v>74</v>
      </c>
    </row>
    <row r="26609" spans="9:9" x14ac:dyDescent="0.2">
      <c r="I26609" s="137" t="s">
        <v>74</v>
      </c>
    </row>
    <row r="26610" spans="9:9" x14ac:dyDescent="0.2">
      <c r="I26610" s="137" t="s">
        <v>74</v>
      </c>
    </row>
    <row r="26611" spans="9:9" x14ac:dyDescent="0.2">
      <c r="I26611" s="137" t="s">
        <v>74</v>
      </c>
    </row>
    <row r="26612" spans="9:9" x14ac:dyDescent="0.2">
      <c r="I26612" s="137" t="s">
        <v>74</v>
      </c>
    </row>
    <row r="26613" spans="9:9" x14ac:dyDescent="0.2">
      <c r="I26613" s="137" t="s">
        <v>74</v>
      </c>
    </row>
    <row r="26614" spans="9:9" x14ac:dyDescent="0.2">
      <c r="I26614" s="137" t="s">
        <v>74</v>
      </c>
    </row>
    <row r="26615" spans="9:9" x14ac:dyDescent="0.2">
      <c r="I26615" s="137" t="s">
        <v>74</v>
      </c>
    </row>
    <row r="26616" spans="9:9" x14ac:dyDescent="0.2">
      <c r="I26616" s="137" t="s">
        <v>74</v>
      </c>
    </row>
    <row r="26617" spans="9:9" x14ac:dyDescent="0.2">
      <c r="I26617" s="137" t="s">
        <v>74</v>
      </c>
    </row>
    <row r="26618" spans="9:9" x14ac:dyDescent="0.2">
      <c r="I26618" s="137" t="s">
        <v>74</v>
      </c>
    </row>
    <row r="26619" spans="9:9" x14ac:dyDescent="0.2">
      <c r="I26619" s="137" t="s">
        <v>74</v>
      </c>
    </row>
    <row r="26620" spans="9:9" x14ac:dyDescent="0.2">
      <c r="I26620" s="137" t="s">
        <v>74</v>
      </c>
    </row>
    <row r="26621" spans="9:9" x14ac:dyDescent="0.2">
      <c r="I26621" s="137" t="s">
        <v>74</v>
      </c>
    </row>
    <row r="26622" spans="9:9" x14ac:dyDescent="0.2">
      <c r="I26622" s="137" t="s">
        <v>74</v>
      </c>
    </row>
    <row r="26623" spans="9:9" x14ac:dyDescent="0.2">
      <c r="I26623" s="137" t="s">
        <v>74</v>
      </c>
    </row>
    <row r="26624" spans="9:9" x14ac:dyDescent="0.2">
      <c r="I26624" s="137" t="s">
        <v>74</v>
      </c>
    </row>
    <row r="26625" spans="9:9" x14ac:dyDescent="0.2">
      <c r="I26625" s="137" t="s">
        <v>74</v>
      </c>
    </row>
    <row r="26626" spans="9:9" x14ac:dyDescent="0.2">
      <c r="I26626" s="137" t="s">
        <v>74</v>
      </c>
    </row>
    <row r="26627" spans="9:9" x14ac:dyDescent="0.2">
      <c r="I26627" s="137" t="s">
        <v>74</v>
      </c>
    </row>
    <row r="26628" spans="9:9" x14ac:dyDescent="0.2">
      <c r="I26628" s="137" t="s">
        <v>74</v>
      </c>
    </row>
    <row r="26629" spans="9:9" x14ac:dyDescent="0.2">
      <c r="I26629" s="137" t="s">
        <v>74</v>
      </c>
    </row>
    <row r="26630" spans="9:9" x14ac:dyDescent="0.2">
      <c r="I26630" s="137" t="s">
        <v>74</v>
      </c>
    </row>
    <row r="26631" spans="9:9" x14ac:dyDescent="0.2">
      <c r="I26631" s="137" t="s">
        <v>74</v>
      </c>
    </row>
    <row r="26632" spans="9:9" x14ac:dyDescent="0.2">
      <c r="I26632" s="137" t="s">
        <v>74</v>
      </c>
    </row>
    <row r="26633" spans="9:9" x14ac:dyDescent="0.2">
      <c r="I26633" s="137" t="s">
        <v>74</v>
      </c>
    </row>
    <row r="26634" spans="9:9" x14ac:dyDescent="0.2">
      <c r="I26634" s="137" t="s">
        <v>74</v>
      </c>
    </row>
    <row r="26635" spans="9:9" x14ac:dyDescent="0.2">
      <c r="I26635" s="137" t="s">
        <v>74</v>
      </c>
    </row>
    <row r="26636" spans="9:9" x14ac:dyDescent="0.2">
      <c r="I26636" s="137" t="s">
        <v>74</v>
      </c>
    </row>
    <row r="26637" spans="9:9" x14ac:dyDescent="0.2">
      <c r="I26637" s="137" t="s">
        <v>74</v>
      </c>
    </row>
    <row r="26638" spans="9:9" x14ac:dyDescent="0.2">
      <c r="I26638" s="137" t="s">
        <v>74</v>
      </c>
    </row>
    <row r="26639" spans="9:9" x14ac:dyDescent="0.2">
      <c r="I26639" s="137" t="s">
        <v>74</v>
      </c>
    </row>
    <row r="26640" spans="9:9" x14ac:dyDescent="0.2">
      <c r="I26640" s="137" t="s">
        <v>74</v>
      </c>
    </row>
    <row r="26641" spans="9:9" x14ac:dyDescent="0.2">
      <c r="I26641" s="137" t="s">
        <v>74</v>
      </c>
    </row>
    <row r="26642" spans="9:9" x14ac:dyDescent="0.2">
      <c r="I26642" s="137" t="s">
        <v>74</v>
      </c>
    </row>
    <row r="26643" spans="9:9" x14ac:dyDescent="0.2">
      <c r="I26643" s="137" t="s">
        <v>74</v>
      </c>
    </row>
    <row r="26644" spans="9:9" x14ac:dyDescent="0.2">
      <c r="I26644" s="137" t="s">
        <v>74</v>
      </c>
    </row>
    <row r="26645" spans="9:9" x14ac:dyDescent="0.2">
      <c r="I26645" s="137" t="s">
        <v>74</v>
      </c>
    </row>
    <row r="26646" spans="9:9" x14ac:dyDescent="0.2">
      <c r="I26646" s="137" t="s">
        <v>74</v>
      </c>
    </row>
    <row r="26647" spans="9:9" x14ac:dyDescent="0.2">
      <c r="I26647" s="137" t="s">
        <v>74</v>
      </c>
    </row>
    <row r="26648" spans="9:9" x14ac:dyDescent="0.2">
      <c r="I26648" s="137" t="s">
        <v>74</v>
      </c>
    </row>
    <row r="26649" spans="9:9" x14ac:dyDescent="0.2">
      <c r="I26649" s="137" t="s">
        <v>74</v>
      </c>
    </row>
    <row r="26650" spans="9:9" x14ac:dyDescent="0.2">
      <c r="I26650" s="137" t="s">
        <v>74</v>
      </c>
    </row>
    <row r="26651" spans="9:9" x14ac:dyDescent="0.2">
      <c r="I26651" s="137" t="s">
        <v>74</v>
      </c>
    </row>
    <row r="26652" spans="9:9" x14ac:dyDescent="0.2">
      <c r="I26652" s="137" t="s">
        <v>74</v>
      </c>
    </row>
    <row r="26653" spans="9:9" x14ac:dyDescent="0.2">
      <c r="I26653" s="137" t="s">
        <v>74</v>
      </c>
    </row>
    <row r="26654" spans="9:9" x14ac:dyDescent="0.2">
      <c r="I26654" s="137" t="s">
        <v>74</v>
      </c>
    </row>
    <row r="26655" spans="9:9" x14ac:dyDescent="0.2">
      <c r="I26655" s="137" t="s">
        <v>74</v>
      </c>
    </row>
    <row r="26656" spans="9:9" x14ac:dyDescent="0.2">
      <c r="I26656" s="137" t="s">
        <v>74</v>
      </c>
    </row>
    <row r="26657" spans="9:9" x14ac:dyDescent="0.2">
      <c r="I26657" s="137" t="s">
        <v>74</v>
      </c>
    </row>
    <row r="26658" spans="9:9" x14ac:dyDescent="0.2">
      <c r="I26658" s="137" t="s">
        <v>74</v>
      </c>
    </row>
    <row r="26659" spans="9:9" x14ac:dyDescent="0.2">
      <c r="I26659" s="137" t="s">
        <v>74</v>
      </c>
    </row>
    <row r="26660" spans="9:9" x14ac:dyDescent="0.2">
      <c r="I26660" s="137" t="s">
        <v>74</v>
      </c>
    </row>
    <row r="26661" spans="9:9" x14ac:dyDescent="0.2">
      <c r="I26661" s="137" t="s">
        <v>74</v>
      </c>
    </row>
    <row r="26662" spans="9:9" x14ac:dyDescent="0.2">
      <c r="I26662" s="137" t="s">
        <v>74</v>
      </c>
    </row>
    <row r="26663" spans="9:9" x14ac:dyDescent="0.2">
      <c r="I26663" s="137" t="s">
        <v>74</v>
      </c>
    </row>
    <row r="26664" spans="9:9" x14ac:dyDescent="0.2">
      <c r="I26664" s="137" t="s">
        <v>74</v>
      </c>
    </row>
    <row r="26665" spans="9:9" x14ac:dyDescent="0.2">
      <c r="I26665" s="137" t="s">
        <v>74</v>
      </c>
    </row>
    <row r="26666" spans="9:9" x14ac:dyDescent="0.2">
      <c r="I26666" s="137" t="s">
        <v>74</v>
      </c>
    </row>
    <row r="26667" spans="9:9" x14ac:dyDescent="0.2">
      <c r="I26667" s="137" t="s">
        <v>74</v>
      </c>
    </row>
    <row r="26668" spans="9:9" x14ac:dyDescent="0.2">
      <c r="I26668" s="137" t="s">
        <v>74</v>
      </c>
    </row>
    <row r="26669" spans="9:9" x14ac:dyDescent="0.2">
      <c r="I26669" s="137" t="s">
        <v>74</v>
      </c>
    </row>
    <row r="26670" spans="9:9" x14ac:dyDescent="0.2">
      <c r="I26670" s="137" t="s">
        <v>74</v>
      </c>
    </row>
    <row r="26671" spans="9:9" x14ac:dyDescent="0.2">
      <c r="I26671" s="137" t="s">
        <v>74</v>
      </c>
    </row>
    <row r="26672" spans="9:9" x14ac:dyDescent="0.2">
      <c r="I26672" s="137" t="s">
        <v>74</v>
      </c>
    </row>
    <row r="26673" spans="9:9" x14ac:dyDescent="0.2">
      <c r="I26673" s="137" t="s">
        <v>74</v>
      </c>
    </row>
    <row r="26674" spans="9:9" x14ac:dyDescent="0.2">
      <c r="I26674" s="137" t="s">
        <v>74</v>
      </c>
    </row>
    <row r="26675" spans="9:9" x14ac:dyDescent="0.2">
      <c r="I26675" s="137" t="s">
        <v>74</v>
      </c>
    </row>
    <row r="26676" spans="9:9" x14ac:dyDescent="0.2">
      <c r="I26676" s="137" t="s">
        <v>74</v>
      </c>
    </row>
    <row r="26677" spans="9:9" x14ac:dyDescent="0.2">
      <c r="I26677" s="137" t="s">
        <v>74</v>
      </c>
    </row>
    <row r="26678" spans="9:9" x14ac:dyDescent="0.2">
      <c r="I26678" s="137" t="s">
        <v>74</v>
      </c>
    </row>
    <row r="26679" spans="9:9" x14ac:dyDescent="0.2">
      <c r="I26679" s="137" t="s">
        <v>74</v>
      </c>
    </row>
    <row r="26680" spans="9:9" x14ac:dyDescent="0.2">
      <c r="I26680" s="137" t="s">
        <v>74</v>
      </c>
    </row>
    <row r="26681" spans="9:9" x14ac:dyDescent="0.2">
      <c r="I26681" s="137" t="s">
        <v>74</v>
      </c>
    </row>
    <row r="26682" spans="9:9" x14ac:dyDescent="0.2">
      <c r="I26682" s="137" t="s">
        <v>74</v>
      </c>
    </row>
    <row r="26683" spans="9:9" x14ac:dyDescent="0.2">
      <c r="I26683" s="137" t="s">
        <v>74</v>
      </c>
    </row>
    <row r="26684" spans="9:9" x14ac:dyDescent="0.2">
      <c r="I26684" s="137" t="s">
        <v>74</v>
      </c>
    </row>
    <row r="26685" spans="9:9" x14ac:dyDescent="0.2">
      <c r="I26685" s="137" t="s">
        <v>74</v>
      </c>
    </row>
    <row r="26686" spans="9:9" x14ac:dyDescent="0.2">
      <c r="I26686" s="137" t="s">
        <v>74</v>
      </c>
    </row>
    <row r="26687" spans="9:9" x14ac:dyDescent="0.2">
      <c r="I26687" s="137" t="s">
        <v>74</v>
      </c>
    </row>
    <row r="26688" spans="9:9" x14ac:dyDescent="0.2">
      <c r="I26688" s="137" t="s">
        <v>74</v>
      </c>
    </row>
    <row r="26689" spans="9:9" x14ac:dyDescent="0.2">
      <c r="I26689" s="137" t="s">
        <v>74</v>
      </c>
    </row>
    <row r="26690" spans="9:9" x14ac:dyDescent="0.2">
      <c r="I26690" s="137" t="s">
        <v>74</v>
      </c>
    </row>
    <row r="26691" spans="9:9" x14ac:dyDescent="0.2">
      <c r="I26691" s="137" t="s">
        <v>74</v>
      </c>
    </row>
    <row r="26692" spans="9:9" x14ac:dyDescent="0.2">
      <c r="I26692" s="137" t="s">
        <v>74</v>
      </c>
    </row>
    <row r="26693" spans="9:9" x14ac:dyDescent="0.2">
      <c r="I26693" s="137" t="s">
        <v>74</v>
      </c>
    </row>
    <row r="26694" spans="9:9" x14ac:dyDescent="0.2">
      <c r="I26694" s="137" t="s">
        <v>74</v>
      </c>
    </row>
    <row r="26695" spans="9:9" x14ac:dyDescent="0.2">
      <c r="I26695" s="137" t="s">
        <v>74</v>
      </c>
    </row>
    <row r="26696" spans="9:9" x14ac:dyDescent="0.2">
      <c r="I26696" s="137" t="s">
        <v>74</v>
      </c>
    </row>
    <row r="26697" spans="9:9" x14ac:dyDescent="0.2">
      <c r="I26697" s="137" t="s">
        <v>74</v>
      </c>
    </row>
    <row r="26698" spans="9:9" x14ac:dyDescent="0.2">
      <c r="I26698" s="137" t="s">
        <v>74</v>
      </c>
    </row>
    <row r="26699" spans="9:9" x14ac:dyDescent="0.2">
      <c r="I26699" s="137" t="s">
        <v>74</v>
      </c>
    </row>
    <row r="26700" spans="9:9" x14ac:dyDescent="0.2">
      <c r="I26700" s="137" t="s">
        <v>74</v>
      </c>
    </row>
    <row r="26701" spans="9:9" x14ac:dyDescent="0.2">
      <c r="I26701" s="137" t="s">
        <v>74</v>
      </c>
    </row>
    <row r="26702" spans="9:9" x14ac:dyDescent="0.2">
      <c r="I26702" s="137" t="s">
        <v>74</v>
      </c>
    </row>
    <row r="26703" spans="9:9" x14ac:dyDescent="0.2">
      <c r="I26703" s="137" t="s">
        <v>74</v>
      </c>
    </row>
    <row r="26704" spans="9:9" x14ac:dyDescent="0.2">
      <c r="I26704" s="137" t="s">
        <v>74</v>
      </c>
    </row>
    <row r="26705" spans="9:9" x14ac:dyDescent="0.2">
      <c r="I26705" s="137" t="s">
        <v>74</v>
      </c>
    </row>
    <row r="26706" spans="9:9" x14ac:dyDescent="0.2">
      <c r="I26706" s="137" t="s">
        <v>74</v>
      </c>
    </row>
    <row r="26707" spans="9:9" x14ac:dyDescent="0.2">
      <c r="I26707" s="137" t="s">
        <v>74</v>
      </c>
    </row>
    <row r="26708" spans="9:9" x14ac:dyDescent="0.2">
      <c r="I26708" s="137" t="s">
        <v>74</v>
      </c>
    </row>
    <row r="26709" spans="9:9" x14ac:dyDescent="0.2">
      <c r="I26709" s="137" t="s">
        <v>74</v>
      </c>
    </row>
    <row r="26710" spans="9:9" x14ac:dyDescent="0.2">
      <c r="I26710" s="137" t="s">
        <v>74</v>
      </c>
    </row>
    <row r="26711" spans="9:9" x14ac:dyDescent="0.2">
      <c r="I26711" s="137" t="s">
        <v>74</v>
      </c>
    </row>
    <row r="26712" spans="9:9" x14ac:dyDescent="0.2">
      <c r="I26712" s="137" t="s">
        <v>74</v>
      </c>
    </row>
    <row r="26713" spans="9:9" x14ac:dyDescent="0.2">
      <c r="I26713" s="137" t="s">
        <v>74</v>
      </c>
    </row>
    <row r="26714" spans="9:9" x14ac:dyDescent="0.2">
      <c r="I26714" s="137" t="s">
        <v>74</v>
      </c>
    </row>
    <row r="26715" spans="9:9" x14ac:dyDescent="0.2">
      <c r="I26715" s="137" t="s">
        <v>74</v>
      </c>
    </row>
    <row r="26716" spans="9:9" x14ac:dyDescent="0.2">
      <c r="I26716" s="137" t="s">
        <v>74</v>
      </c>
    </row>
    <row r="26717" spans="9:9" x14ac:dyDescent="0.2">
      <c r="I26717" s="137" t="s">
        <v>74</v>
      </c>
    </row>
    <row r="26718" spans="9:9" x14ac:dyDescent="0.2">
      <c r="I26718" s="137" t="s">
        <v>74</v>
      </c>
    </row>
    <row r="26719" spans="9:9" x14ac:dyDescent="0.2">
      <c r="I26719" s="137" t="s">
        <v>74</v>
      </c>
    </row>
    <row r="26720" spans="9:9" x14ac:dyDescent="0.2">
      <c r="I26720" s="137" t="s">
        <v>74</v>
      </c>
    </row>
    <row r="26721" spans="9:9" x14ac:dyDescent="0.2">
      <c r="I26721" s="137" t="s">
        <v>74</v>
      </c>
    </row>
    <row r="26722" spans="9:9" x14ac:dyDescent="0.2">
      <c r="I26722" s="137" t="s">
        <v>74</v>
      </c>
    </row>
    <row r="26723" spans="9:9" x14ac:dyDescent="0.2">
      <c r="I26723" s="137" t="s">
        <v>74</v>
      </c>
    </row>
    <row r="26724" spans="9:9" x14ac:dyDescent="0.2">
      <c r="I26724" s="137" t="s">
        <v>74</v>
      </c>
    </row>
    <row r="26725" spans="9:9" x14ac:dyDescent="0.2">
      <c r="I26725" s="137" t="s">
        <v>74</v>
      </c>
    </row>
    <row r="26726" spans="9:9" x14ac:dyDescent="0.2">
      <c r="I26726" s="137" t="s">
        <v>74</v>
      </c>
    </row>
    <row r="26727" spans="9:9" x14ac:dyDescent="0.2">
      <c r="I26727" s="137" t="s">
        <v>74</v>
      </c>
    </row>
    <row r="26728" spans="9:9" x14ac:dyDescent="0.2">
      <c r="I26728" s="137" t="s">
        <v>74</v>
      </c>
    </row>
    <row r="26729" spans="9:9" x14ac:dyDescent="0.2">
      <c r="I26729" s="137" t="s">
        <v>74</v>
      </c>
    </row>
    <row r="26730" spans="9:9" x14ac:dyDescent="0.2">
      <c r="I26730" s="137" t="s">
        <v>74</v>
      </c>
    </row>
    <row r="26731" spans="9:9" x14ac:dyDescent="0.2">
      <c r="I26731" s="137" t="s">
        <v>74</v>
      </c>
    </row>
    <row r="26732" spans="9:9" x14ac:dyDescent="0.2">
      <c r="I26732" s="137" t="s">
        <v>74</v>
      </c>
    </row>
    <row r="26733" spans="9:9" x14ac:dyDescent="0.2">
      <c r="I26733" s="137" t="s">
        <v>74</v>
      </c>
    </row>
    <row r="26734" spans="9:9" x14ac:dyDescent="0.2">
      <c r="I26734" s="137" t="s">
        <v>74</v>
      </c>
    </row>
    <row r="26735" spans="9:9" x14ac:dyDescent="0.2">
      <c r="I26735" s="137" t="s">
        <v>74</v>
      </c>
    </row>
    <row r="26736" spans="9:9" x14ac:dyDescent="0.2">
      <c r="I26736" s="137" t="s">
        <v>74</v>
      </c>
    </row>
    <row r="26737" spans="9:9" x14ac:dyDescent="0.2">
      <c r="I26737" s="137" t="s">
        <v>74</v>
      </c>
    </row>
    <row r="26738" spans="9:9" x14ac:dyDescent="0.2">
      <c r="I26738" s="137" t="s">
        <v>74</v>
      </c>
    </row>
    <row r="26739" spans="9:9" x14ac:dyDescent="0.2">
      <c r="I26739" s="137" t="s">
        <v>74</v>
      </c>
    </row>
    <row r="26740" spans="9:9" x14ac:dyDescent="0.2">
      <c r="I26740" s="137" t="s">
        <v>74</v>
      </c>
    </row>
    <row r="26741" spans="9:9" x14ac:dyDescent="0.2">
      <c r="I26741" s="137" t="s">
        <v>74</v>
      </c>
    </row>
    <row r="26742" spans="9:9" x14ac:dyDescent="0.2">
      <c r="I26742" s="137" t="s">
        <v>74</v>
      </c>
    </row>
    <row r="26743" spans="9:9" x14ac:dyDescent="0.2">
      <c r="I26743" s="137" t="s">
        <v>74</v>
      </c>
    </row>
    <row r="26744" spans="9:9" x14ac:dyDescent="0.2">
      <c r="I26744" s="137" t="s">
        <v>74</v>
      </c>
    </row>
    <row r="26745" spans="9:9" x14ac:dyDescent="0.2">
      <c r="I26745" s="137" t="s">
        <v>74</v>
      </c>
    </row>
    <row r="26746" spans="9:9" x14ac:dyDescent="0.2">
      <c r="I26746" s="137" t="s">
        <v>74</v>
      </c>
    </row>
    <row r="26747" spans="9:9" x14ac:dyDescent="0.2">
      <c r="I26747" s="137" t="s">
        <v>74</v>
      </c>
    </row>
    <row r="26748" spans="9:9" x14ac:dyDescent="0.2">
      <c r="I26748" s="137" t="s">
        <v>74</v>
      </c>
    </row>
    <row r="26749" spans="9:9" x14ac:dyDescent="0.2">
      <c r="I26749" s="137" t="s">
        <v>74</v>
      </c>
    </row>
    <row r="26750" spans="9:9" x14ac:dyDescent="0.2">
      <c r="I26750" s="137" t="s">
        <v>74</v>
      </c>
    </row>
    <row r="26751" spans="9:9" x14ac:dyDescent="0.2">
      <c r="I26751" s="137" t="s">
        <v>74</v>
      </c>
    </row>
    <row r="26752" spans="9:9" x14ac:dyDescent="0.2">
      <c r="I26752" s="137" t="s">
        <v>74</v>
      </c>
    </row>
    <row r="26753" spans="9:9" x14ac:dyDescent="0.2">
      <c r="I26753" s="137" t="s">
        <v>74</v>
      </c>
    </row>
    <row r="26754" spans="9:9" x14ac:dyDescent="0.2">
      <c r="I26754" s="137" t="s">
        <v>74</v>
      </c>
    </row>
    <row r="26755" spans="9:9" x14ac:dyDescent="0.2">
      <c r="I26755" s="137" t="s">
        <v>74</v>
      </c>
    </row>
    <row r="26756" spans="9:9" x14ac:dyDescent="0.2">
      <c r="I26756" s="137" t="s">
        <v>74</v>
      </c>
    </row>
    <row r="26757" spans="9:9" x14ac:dyDescent="0.2">
      <c r="I26757" s="137" t="s">
        <v>74</v>
      </c>
    </row>
    <row r="26758" spans="9:9" x14ac:dyDescent="0.2">
      <c r="I26758" s="137" t="s">
        <v>74</v>
      </c>
    </row>
    <row r="26759" spans="9:9" x14ac:dyDescent="0.2">
      <c r="I26759" s="137" t="s">
        <v>74</v>
      </c>
    </row>
    <row r="26760" spans="9:9" x14ac:dyDescent="0.2">
      <c r="I26760" s="137" t="s">
        <v>74</v>
      </c>
    </row>
    <row r="26761" spans="9:9" x14ac:dyDescent="0.2">
      <c r="I26761" s="137" t="s">
        <v>74</v>
      </c>
    </row>
    <row r="26762" spans="9:9" x14ac:dyDescent="0.2">
      <c r="I26762" s="137" t="s">
        <v>74</v>
      </c>
    </row>
    <row r="26763" spans="9:9" x14ac:dyDescent="0.2">
      <c r="I26763" s="137" t="s">
        <v>74</v>
      </c>
    </row>
    <row r="26764" spans="9:9" x14ac:dyDescent="0.2">
      <c r="I26764" s="137" t="s">
        <v>74</v>
      </c>
    </row>
    <row r="26765" spans="9:9" x14ac:dyDescent="0.2">
      <c r="I26765" s="137" t="s">
        <v>74</v>
      </c>
    </row>
    <row r="26766" spans="9:9" x14ac:dyDescent="0.2">
      <c r="I26766" s="137" t="s">
        <v>74</v>
      </c>
    </row>
    <row r="26767" spans="9:9" x14ac:dyDescent="0.2">
      <c r="I26767" s="137" t="s">
        <v>74</v>
      </c>
    </row>
    <row r="26768" spans="9:9" x14ac:dyDescent="0.2">
      <c r="I26768" s="137" t="s">
        <v>74</v>
      </c>
    </row>
    <row r="26769" spans="9:9" x14ac:dyDescent="0.2">
      <c r="I26769" s="137" t="s">
        <v>74</v>
      </c>
    </row>
    <row r="26770" spans="9:9" x14ac:dyDescent="0.2">
      <c r="I26770" s="137" t="s">
        <v>74</v>
      </c>
    </row>
    <row r="26771" spans="9:9" x14ac:dyDescent="0.2">
      <c r="I26771" s="137" t="s">
        <v>74</v>
      </c>
    </row>
    <row r="26772" spans="9:9" x14ac:dyDescent="0.2">
      <c r="I26772" s="137" t="s">
        <v>74</v>
      </c>
    </row>
    <row r="26773" spans="9:9" x14ac:dyDescent="0.2">
      <c r="I26773" s="137" t="s">
        <v>74</v>
      </c>
    </row>
    <row r="26774" spans="9:9" x14ac:dyDescent="0.2">
      <c r="I26774" s="137" t="s">
        <v>74</v>
      </c>
    </row>
    <row r="26775" spans="9:9" x14ac:dyDescent="0.2">
      <c r="I26775" s="137" t="s">
        <v>74</v>
      </c>
    </row>
    <row r="26776" spans="9:9" x14ac:dyDescent="0.2">
      <c r="I26776" s="137" t="s">
        <v>74</v>
      </c>
    </row>
    <row r="26777" spans="9:9" x14ac:dyDescent="0.2">
      <c r="I26777" s="137" t="s">
        <v>74</v>
      </c>
    </row>
    <row r="26778" spans="9:9" x14ac:dyDescent="0.2">
      <c r="I26778" s="137" t="s">
        <v>74</v>
      </c>
    </row>
    <row r="26779" spans="9:9" x14ac:dyDescent="0.2">
      <c r="I26779" s="137" t="s">
        <v>74</v>
      </c>
    </row>
    <row r="26780" spans="9:9" x14ac:dyDescent="0.2">
      <c r="I26780" s="137" t="s">
        <v>74</v>
      </c>
    </row>
    <row r="26781" spans="9:9" x14ac:dyDescent="0.2">
      <c r="I26781" s="137" t="s">
        <v>74</v>
      </c>
    </row>
    <row r="26782" spans="9:9" x14ac:dyDescent="0.2">
      <c r="I26782" s="137" t="s">
        <v>74</v>
      </c>
    </row>
    <row r="26783" spans="9:9" x14ac:dyDescent="0.2">
      <c r="I26783" s="137" t="s">
        <v>74</v>
      </c>
    </row>
    <row r="26784" spans="9:9" x14ac:dyDescent="0.2">
      <c r="I26784" s="137" t="s">
        <v>74</v>
      </c>
    </row>
    <row r="26785" spans="9:9" x14ac:dyDescent="0.2">
      <c r="I26785" s="137" t="s">
        <v>74</v>
      </c>
    </row>
    <row r="26786" spans="9:9" x14ac:dyDescent="0.2">
      <c r="I26786" s="137" t="s">
        <v>74</v>
      </c>
    </row>
    <row r="26787" spans="9:9" x14ac:dyDescent="0.2">
      <c r="I26787" s="137" t="s">
        <v>74</v>
      </c>
    </row>
    <row r="26788" spans="9:9" x14ac:dyDescent="0.2">
      <c r="I26788" s="137" t="s">
        <v>74</v>
      </c>
    </row>
    <row r="26789" spans="9:9" x14ac:dyDescent="0.2">
      <c r="I26789" s="137" t="s">
        <v>74</v>
      </c>
    </row>
    <row r="26790" spans="9:9" x14ac:dyDescent="0.2">
      <c r="I26790" s="137" t="s">
        <v>74</v>
      </c>
    </row>
    <row r="26791" spans="9:9" x14ac:dyDescent="0.2">
      <c r="I26791" s="137" t="s">
        <v>74</v>
      </c>
    </row>
    <row r="26792" spans="9:9" x14ac:dyDescent="0.2">
      <c r="I26792" s="137" t="s">
        <v>74</v>
      </c>
    </row>
    <row r="26793" spans="9:9" x14ac:dyDescent="0.2">
      <c r="I26793" s="137" t="s">
        <v>74</v>
      </c>
    </row>
    <row r="26794" spans="9:9" x14ac:dyDescent="0.2">
      <c r="I26794" s="137" t="s">
        <v>74</v>
      </c>
    </row>
    <row r="26795" spans="9:9" x14ac:dyDescent="0.2">
      <c r="I26795" s="137" t="s">
        <v>74</v>
      </c>
    </row>
    <row r="26796" spans="9:9" x14ac:dyDescent="0.2">
      <c r="I26796" s="137" t="s">
        <v>74</v>
      </c>
    </row>
    <row r="26797" spans="9:9" x14ac:dyDescent="0.2">
      <c r="I26797" s="137" t="s">
        <v>74</v>
      </c>
    </row>
    <row r="26798" spans="9:9" x14ac:dyDescent="0.2">
      <c r="I26798" s="137" t="s">
        <v>74</v>
      </c>
    </row>
    <row r="26799" spans="9:9" x14ac:dyDescent="0.2">
      <c r="I26799" s="137" t="s">
        <v>74</v>
      </c>
    </row>
    <row r="26800" spans="9:9" x14ac:dyDescent="0.2">
      <c r="I26800" s="137" t="s">
        <v>74</v>
      </c>
    </row>
    <row r="26801" spans="9:9" x14ac:dyDescent="0.2">
      <c r="I26801" s="137" t="s">
        <v>74</v>
      </c>
    </row>
    <row r="26802" spans="9:9" x14ac:dyDescent="0.2">
      <c r="I26802" s="137" t="s">
        <v>74</v>
      </c>
    </row>
    <row r="26803" spans="9:9" x14ac:dyDescent="0.2">
      <c r="I26803" s="137" t="s">
        <v>74</v>
      </c>
    </row>
    <row r="26804" spans="9:9" x14ac:dyDescent="0.2">
      <c r="I26804" s="137" t="s">
        <v>74</v>
      </c>
    </row>
    <row r="26805" spans="9:9" x14ac:dyDescent="0.2">
      <c r="I26805" s="137" t="s">
        <v>74</v>
      </c>
    </row>
    <row r="26806" spans="9:9" x14ac:dyDescent="0.2">
      <c r="I26806" s="137" t="s">
        <v>74</v>
      </c>
    </row>
    <row r="26807" spans="9:9" x14ac:dyDescent="0.2">
      <c r="I26807" s="137" t="s">
        <v>74</v>
      </c>
    </row>
    <row r="26808" spans="9:9" x14ac:dyDescent="0.2">
      <c r="I26808" s="137" t="s">
        <v>74</v>
      </c>
    </row>
    <row r="26809" spans="9:9" x14ac:dyDescent="0.2">
      <c r="I26809" s="137" t="s">
        <v>74</v>
      </c>
    </row>
    <row r="26810" spans="9:9" x14ac:dyDescent="0.2">
      <c r="I26810" s="137" t="s">
        <v>74</v>
      </c>
    </row>
    <row r="26811" spans="9:9" x14ac:dyDescent="0.2">
      <c r="I26811" s="137" t="s">
        <v>74</v>
      </c>
    </row>
    <row r="26812" spans="9:9" x14ac:dyDescent="0.2">
      <c r="I26812" s="137" t="s">
        <v>74</v>
      </c>
    </row>
    <row r="26813" spans="9:9" x14ac:dyDescent="0.2">
      <c r="I26813" s="137" t="s">
        <v>74</v>
      </c>
    </row>
    <row r="26814" spans="9:9" x14ac:dyDescent="0.2">
      <c r="I26814" s="137" t="s">
        <v>74</v>
      </c>
    </row>
    <row r="26815" spans="9:9" x14ac:dyDescent="0.2">
      <c r="I26815" s="137" t="s">
        <v>74</v>
      </c>
    </row>
    <row r="26816" spans="9:9" x14ac:dyDescent="0.2">
      <c r="I26816" s="137" t="s">
        <v>74</v>
      </c>
    </row>
    <row r="26817" spans="9:9" x14ac:dyDescent="0.2">
      <c r="I26817" s="137" t="s">
        <v>74</v>
      </c>
    </row>
    <row r="26818" spans="9:9" x14ac:dyDescent="0.2">
      <c r="I26818" s="137" t="s">
        <v>74</v>
      </c>
    </row>
    <row r="26819" spans="9:9" x14ac:dyDescent="0.2">
      <c r="I26819" s="137" t="s">
        <v>74</v>
      </c>
    </row>
    <row r="26820" spans="9:9" x14ac:dyDescent="0.2">
      <c r="I26820" s="137" t="s">
        <v>74</v>
      </c>
    </row>
    <row r="26821" spans="9:9" x14ac:dyDescent="0.2">
      <c r="I26821" s="137" t="s">
        <v>74</v>
      </c>
    </row>
    <row r="26822" spans="9:9" x14ac:dyDescent="0.2">
      <c r="I26822" s="137" t="s">
        <v>74</v>
      </c>
    </row>
    <row r="26823" spans="9:9" x14ac:dyDescent="0.2">
      <c r="I26823" s="137" t="s">
        <v>74</v>
      </c>
    </row>
    <row r="26824" spans="9:9" x14ac:dyDescent="0.2">
      <c r="I26824" s="137" t="s">
        <v>74</v>
      </c>
    </row>
    <row r="26825" spans="9:9" x14ac:dyDescent="0.2">
      <c r="I26825" s="137" t="s">
        <v>74</v>
      </c>
    </row>
    <row r="26826" spans="9:9" x14ac:dyDescent="0.2">
      <c r="I26826" s="137" t="s">
        <v>74</v>
      </c>
    </row>
    <row r="26827" spans="9:9" x14ac:dyDescent="0.2">
      <c r="I26827" s="137" t="s">
        <v>74</v>
      </c>
    </row>
    <row r="26828" spans="9:9" x14ac:dyDescent="0.2">
      <c r="I26828" s="137" t="s">
        <v>74</v>
      </c>
    </row>
    <row r="26829" spans="9:9" x14ac:dyDescent="0.2">
      <c r="I26829" s="137" t="s">
        <v>74</v>
      </c>
    </row>
    <row r="26830" spans="9:9" x14ac:dyDescent="0.2">
      <c r="I26830" s="137" t="s">
        <v>74</v>
      </c>
    </row>
    <row r="26831" spans="9:9" x14ac:dyDescent="0.2">
      <c r="I26831" s="137" t="s">
        <v>74</v>
      </c>
    </row>
    <row r="26832" spans="9:9" x14ac:dyDescent="0.2">
      <c r="I26832" s="137" t="s">
        <v>74</v>
      </c>
    </row>
    <row r="26833" spans="9:9" x14ac:dyDescent="0.2">
      <c r="I26833" s="137" t="s">
        <v>74</v>
      </c>
    </row>
    <row r="26834" spans="9:9" x14ac:dyDescent="0.2">
      <c r="I26834" s="137" t="s">
        <v>74</v>
      </c>
    </row>
    <row r="26835" spans="9:9" x14ac:dyDescent="0.2">
      <c r="I26835" s="137" t="s">
        <v>74</v>
      </c>
    </row>
    <row r="26836" spans="9:9" x14ac:dyDescent="0.2">
      <c r="I26836" s="137" t="s">
        <v>74</v>
      </c>
    </row>
    <row r="26837" spans="9:9" x14ac:dyDescent="0.2">
      <c r="I26837" s="137" t="s">
        <v>74</v>
      </c>
    </row>
    <row r="26838" spans="9:9" x14ac:dyDescent="0.2">
      <c r="I26838" s="137" t="s">
        <v>74</v>
      </c>
    </row>
    <row r="26839" spans="9:9" x14ac:dyDescent="0.2">
      <c r="I26839" s="137" t="s">
        <v>74</v>
      </c>
    </row>
    <row r="26840" spans="9:9" x14ac:dyDescent="0.2">
      <c r="I26840" s="137" t="s">
        <v>74</v>
      </c>
    </row>
    <row r="26841" spans="9:9" x14ac:dyDescent="0.2">
      <c r="I26841" s="137" t="s">
        <v>74</v>
      </c>
    </row>
    <row r="26842" spans="9:9" x14ac:dyDescent="0.2">
      <c r="I26842" s="137" t="s">
        <v>74</v>
      </c>
    </row>
    <row r="26843" spans="9:9" x14ac:dyDescent="0.2">
      <c r="I26843" s="137" t="s">
        <v>74</v>
      </c>
    </row>
    <row r="26844" spans="9:9" x14ac:dyDescent="0.2">
      <c r="I26844" s="137" t="s">
        <v>74</v>
      </c>
    </row>
    <row r="26845" spans="9:9" x14ac:dyDescent="0.2">
      <c r="I26845" s="137" t="s">
        <v>74</v>
      </c>
    </row>
    <row r="26846" spans="9:9" x14ac:dyDescent="0.2">
      <c r="I26846" s="137" t="s">
        <v>74</v>
      </c>
    </row>
    <row r="26847" spans="9:9" x14ac:dyDescent="0.2">
      <c r="I26847" s="137" t="s">
        <v>74</v>
      </c>
    </row>
    <row r="26848" spans="9:9" x14ac:dyDescent="0.2">
      <c r="I26848" s="137" t="s">
        <v>74</v>
      </c>
    </row>
    <row r="26849" spans="9:9" x14ac:dyDescent="0.2">
      <c r="I26849" s="137" t="s">
        <v>74</v>
      </c>
    </row>
    <row r="26850" spans="9:9" x14ac:dyDescent="0.2">
      <c r="I26850" s="137" t="s">
        <v>74</v>
      </c>
    </row>
    <row r="26851" spans="9:9" x14ac:dyDescent="0.2">
      <c r="I26851" s="137" t="s">
        <v>74</v>
      </c>
    </row>
    <row r="26852" spans="9:9" x14ac:dyDescent="0.2">
      <c r="I26852" s="137" t="s">
        <v>74</v>
      </c>
    </row>
    <row r="26853" spans="9:9" x14ac:dyDescent="0.2">
      <c r="I26853" s="137" t="s">
        <v>74</v>
      </c>
    </row>
    <row r="26854" spans="9:9" x14ac:dyDescent="0.2">
      <c r="I26854" s="137" t="s">
        <v>74</v>
      </c>
    </row>
    <row r="26855" spans="9:9" x14ac:dyDescent="0.2">
      <c r="I26855" s="137" t="s">
        <v>74</v>
      </c>
    </row>
    <row r="26856" spans="9:9" x14ac:dyDescent="0.2">
      <c r="I26856" s="137" t="s">
        <v>74</v>
      </c>
    </row>
    <row r="26857" spans="9:9" x14ac:dyDescent="0.2">
      <c r="I26857" s="137" t="s">
        <v>74</v>
      </c>
    </row>
    <row r="26858" spans="9:9" x14ac:dyDescent="0.2">
      <c r="I26858" s="137" t="s">
        <v>74</v>
      </c>
    </row>
    <row r="26859" spans="9:9" x14ac:dyDescent="0.2">
      <c r="I26859" s="137" t="s">
        <v>74</v>
      </c>
    </row>
    <row r="26860" spans="9:9" x14ac:dyDescent="0.2">
      <c r="I26860" s="137" t="s">
        <v>74</v>
      </c>
    </row>
    <row r="26861" spans="9:9" x14ac:dyDescent="0.2">
      <c r="I26861" s="137" t="s">
        <v>74</v>
      </c>
    </row>
    <row r="26862" spans="9:9" x14ac:dyDescent="0.2">
      <c r="I26862" s="137" t="s">
        <v>74</v>
      </c>
    </row>
    <row r="26863" spans="9:9" x14ac:dyDescent="0.2">
      <c r="I26863" s="137" t="s">
        <v>74</v>
      </c>
    </row>
    <row r="26864" spans="9:9" x14ac:dyDescent="0.2">
      <c r="I26864" s="137" t="s">
        <v>74</v>
      </c>
    </row>
    <row r="26865" spans="9:9" x14ac:dyDescent="0.2">
      <c r="I26865" s="137" t="s">
        <v>74</v>
      </c>
    </row>
    <row r="26866" spans="9:9" x14ac:dyDescent="0.2">
      <c r="I26866" s="137" t="s">
        <v>74</v>
      </c>
    </row>
    <row r="26867" spans="9:9" x14ac:dyDescent="0.2">
      <c r="I26867" s="137" t="s">
        <v>74</v>
      </c>
    </row>
    <row r="26868" spans="9:9" x14ac:dyDescent="0.2">
      <c r="I26868" s="137" t="s">
        <v>74</v>
      </c>
    </row>
    <row r="26869" spans="9:9" x14ac:dyDescent="0.2">
      <c r="I26869" s="137" t="s">
        <v>74</v>
      </c>
    </row>
    <row r="26870" spans="9:9" x14ac:dyDescent="0.2">
      <c r="I26870" s="137" t="s">
        <v>74</v>
      </c>
    </row>
    <row r="26871" spans="9:9" x14ac:dyDescent="0.2">
      <c r="I26871" s="137" t="s">
        <v>74</v>
      </c>
    </row>
    <row r="26872" spans="9:9" x14ac:dyDescent="0.2">
      <c r="I26872" s="137" t="s">
        <v>74</v>
      </c>
    </row>
    <row r="26873" spans="9:9" x14ac:dyDescent="0.2">
      <c r="I26873" s="137" t="s">
        <v>74</v>
      </c>
    </row>
    <row r="26874" spans="9:9" x14ac:dyDescent="0.2">
      <c r="I26874" s="137" t="s">
        <v>74</v>
      </c>
    </row>
    <row r="26875" spans="9:9" x14ac:dyDescent="0.2">
      <c r="I26875" s="137" t="s">
        <v>74</v>
      </c>
    </row>
    <row r="26876" spans="9:9" x14ac:dyDescent="0.2">
      <c r="I26876" s="137" t="s">
        <v>74</v>
      </c>
    </row>
    <row r="26877" spans="9:9" x14ac:dyDescent="0.2">
      <c r="I26877" s="137" t="s">
        <v>74</v>
      </c>
    </row>
    <row r="26878" spans="9:9" x14ac:dyDescent="0.2">
      <c r="I26878" s="137" t="s">
        <v>74</v>
      </c>
    </row>
    <row r="26879" spans="9:9" x14ac:dyDescent="0.2">
      <c r="I26879" s="137" t="s">
        <v>74</v>
      </c>
    </row>
    <row r="26880" spans="9:9" x14ac:dyDescent="0.2">
      <c r="I26880" s="137" t="s">
        <v>74</v>
      </c>
    </row>
    <row r="26881" spans="9:9" x14ac:dyDescent="0.2">
      <c r="I26881" s="137" t="s">
        <v>74</v>
      </c>
    </row>
    <row r="26882" spans="9:9" x14ac:dyDescent="0.2">
      <c r="I26882" s="137" t="s">
        <v>74</v>
      </c>
    </row>
    <row r="26883" spans="9:9" x14ac:dyDescent="0.2">
      <c r="I26883" s="137" t="s">
        <v>74</v>
      </c>
    </row>
    <row r="26884" spans="9:9" x14ac:dyDescent="0.2">
      <c r="I26884" s="137" t="s">
        <v>74</v>
      </c>
    </row>
    <row r="26885" spans="9:9" x14ac:dyDescent="0.2">
      <c r="I26885" s="137" t="s">
        <v>74</v>
      </c>
    </row>
    <row r="26886" spans="9:9" x14ac:dyDescent="0.2">
      <c r="I26886" s="137" t="s">
        <v>74</v>
      </c>
    </row>
    <row r="26887" spans="9:9" x14ac:dyDescent="0.2">
      <c r="I26887" s="137" t="s">
        <v>74</v>
      </c>
    </row>
    <row r="26888" spans="9:9" x14ac:dyDescent="0.2">
      <c r="I26888" s="137" t="s">
        <v>74</v>
      </c>
    </row>
    <row r="26889" spans="9:9" x14ac:dyDescent="0.2">
      <c r="I26889" s="137" t="s">
        <v>74</v>
      </c>
    </row>
    <row r="26890" spans="9:9" x14ac:dyDescent="0.2">
      <c r="I26890" s="137" t="s">
        <v>74</v>
      </c>
    </row>
    <row r="26891" spans="9:9" x14ac:dyDescent="0.2">
      <c r="I26891" s="137" t="s">
        <v>74</v>
      </c>
    </row>
    <row r="26892" spans="9:9" x14ac:dyDescent="0.2">
      <c r="I26892" s="137" t="s">
        <v>74</v>
      </c>
    </row>
    <row r="26893" spans="9:9" x14ac:dyDescent="0.2">
      <c r="I26893" s="137" t="s">
        <v>74</v>
      </c>
    </row>
    <row r="26894" spans="9:9" x14ac:dyDescent="0.2">
      <c r="I26894" s="137" t="s">
        <v>74</v>
      </c>
    </row>
    <row r="26895" spans="9:9" x14ac:dyDescent="0.2">
      <c r="I26895" s="137" t="s">
        <v>74</v>
      </c>
    </row>
    <row r="26896" spans="9:9" x14ac:dyDescent="0.2">
      <c r="I26896" s="137" t="s">
        <v>74</v>
      </c>
    </row>
    <row r="26897" spans="9:9" x14ac:dyDescent="0.2">
      <c r="I26897" s="137" t="s">
        <v>74</v>
      </c>
    </row>
    <row r="26898" spans="9:9" x14ac:dyDescent="0.2">
      <c r="I26898" s="137" t="s">
        <v>74</v>
      </c>
    </row>
    <row r="26899" spans="9:9" x14ac:dyDescent="0.2">
      <c r="I26899" s="137" t="s">
        <v>74</v>
      </c>
    </row>
    <row r="26900" spans="9:9" x14ac:dyDescent="0.2">
      <c r="I26900" s="137" t="s">
        <v>74</v>
      </c>
    </row>
    <row r="26901" spans="9:9" x14ac:dyDescent="0.2">
      <c r="I26901" s="137" t="s">
        <v>74</v>
      </c>
    </row>
    <row r="26902" spans="9:9" x14ac:dyDescent="0.2">
      <c r="I26902" s="137" t="s">
        <v>74</v>
      </c>
    </row>
    <row r="26903" spans="9:9" x14ac:dyDescent="0.2">
      <c r="I26903" s="137" t="s">
        <v>74</v>
      </c>
    </row>
    <row r="26904" spans="9:9" x14ac:dyDescent="0.2">
      <c r="I26904" s="137" t="s">
        <v>74</v>
      </c>
    </row>
    <row r="26905" spans="9:9" x14ac:dyDescent="0.2">
      <c r="I26905" s="137" t="s">
        <v>74</v>
      </c>
    </row>
    <row r="26906" spans="9:9" x14ac:dyDescent="0.2">
      <c r="I26906" s="137" t="s">
        <v>74</v>
      </c>
    </row>
    <row r="26907" spans="9:9" x14ac:dyDescent="0.2">
      <c r="I26907" s="137" t="s">
        <v>74</v>
      </c>
    </row>
    <row r="26908" spans="9:9" x14ac:dyDescent="0.2">
      <c r="I26908" s="137" t="s">
        <v>74</v>
      </c>
    </row>
    <row r="26909" spans="9:9" x14ac:dyDescent="0.2">
      <c r="I26909" s="137" t="s">
        <v>74</v>
      </c>
    </row>
    <row r="26910" spans="9:9" x14ac:dyDescent="0.2">
      <c r="I26910" s="137" t="s">
        <v>74</v>
      </c>
    </row>
    <row r="26911" spans="9:9" x14ac:dyDescent="0.2">
      <c r="I26911" s="137" t="s">
        <v>74</v>
      </c>
    </row>
    <row r="26912" spans="9:9" x14ac:dyDescent="0.2">
      <c r="I26912" s="137" t="s">
        <v>74</v>
      </c>
    </row>
    <row r="26913" spans="9:9" x14ac:dyDescent="0.2">
      <c r="I26913" s="137" t="s">
        <v>74</v>
      </c>
    </row>
    <row r="26914" spans="9:9" x14ac:dyDescent="0.2">
      <c r="I26914" s="137" t="s">
        <v>74</v>
      </c>
    </row>
    <row r="26915" spans="9:9" x14ac:dyDescent="0.2">
      <c r="I26915" s="137" t="s">
        <v>74</v>
      </c>
    </row>
    <row r="26916" spans="9:9" x14ac:dyDescent="0.2">
      <c r="I26916" s="137" t="s">
        <v>74</v>
      </c>
    </row>
    <row r="26917" spans="9:9" x14ac:dyDescent="0.2">
      <c r="I26917" s="137" t="s">
        <v>74</v>
      </c>
    </row>
    <row r="26918" spans="9:9" x14ac:dyDescent="0.2">
      <c r="I26918" s="137" t="s">
        <v>74</v>
      </c>
    </row>
    <row r="26919" spans="9:9" x14ac:dyDescent="0.2">
      <c r="I26919" s="137" t="s">
        <v>74</v>
      </c>
    </row>
    <row r="26920" spans="9:9" x14ac:dyDescent="0.2">
      <c r="I26920" s="137" t="s">
        <v>74</v>
      </c>
    </row>
    <row r="26921" spans="9:9" x14ac:dyDescent="0.2">
      <c r="I26921" s="137" t="s">
        <v>74</v>
      </c>
    </row>
    <row r="26922" spans="9:9" x14ac:dyDescent="0.2">
      <c r="I26922" s="137" t="s">
        <v>74</v>
      </c>
    </row>
    <row r="26923" spans="9:9" x14ac:dyDescent="0.2">
      <c r="I26923" s="137" t="s">
        <v>74</v>
      </c>
    </row>
    <row r="26924" spans="9:9" x14ac:dyDescent="0.2">
      <c r="I26924" s="137" t="s">
        <v>74</v>
      </c>
    </row>
    <row r="26925" spans="9:9" x14ac:dyDescent="0.2">
      <c r="I26925" s="137" t="s">
        <v>74</v>
      </c>
    </row>
    <row r="26926" spans="9:9" x14ac:dyDescent="0.2">
      <c r="I26926" s="137" t="s">
        <v>74</v>
      </c>
    </row>
    <row r="26927" spans="9:9" x14ac:dyDescent="0.2">
      <c r="I26927" s="137" t="s">
        <v>74</v>
      </c>
    </row>
    <row r="26928" spans="9:9" x14ac:dyDescent="0.2">
      <c r="I26928" s="137" t="s">
        <v>74</v>
      </c>
    </row>
    <row r="26929" spans="9:9" x14ac:dyDescent="0.2">
      <c r="I26929" s="137" t="s">
        <v>74</v>
      </c>
    </row>
    <row r="26930" spans="9:9" x14ac:dyDescent="0.2">
      <c r="I26930" s="137" t="s">
        <v>74</v>
      </c>
    </row>
    <row r="26931" spans="9:9" x14ac:dyDescent="0.2">
      <c r="I26931" s="137" t="s">
        <v>74</v>
      </c>
    </row>
    <row r="26932" spans="9:9" x14ac:dyDescent="0.2">
      <c r="I26932" s="137" t="s">
        <v>74</v>
      </c>
    </row>
    <row r="26933" spans="9:9" x14ac:dyDescent="0.2">
      <c r="I26933" s="137" t="s">
        <v>74</v>
      </c>
    </row>
    <row r="26934" spans="9:9" x14ac:dyDescent="0.2">
      <c r="I26934" s="137" t="s">
        <v>74</v>
      </c>
    </row>
    <row r="26935" spans="9:9" x14ac:dyDescent="0.2">
      <c r="I26935" s="137" t="s">
        <v>74</v>
      </c>
    </row>
    <row r="26936" spans="9:9" x14ac:dyDescent="0.2">
      <c r="I26936" s="137" t="s">
        <v>74</v>
      </c>
    </row>
    <row r="26937" spans="9:9" x14ac:dyDescent="0.2">
      <c r="I26937" s="137" t="s">
        <v>74</v>
      </c>
    </row>
    <row r="26938" spans="9:9" x14ac:dyDescent="0.2">
      <c r="I26938" s="137" t="s">
        <v>74</v>
      </c>
    </row>
    <row r="26939" spans="9:9" x14ac:dyDescent="0.2">
      <c r="I26939" s="137" t="s">
        <v>74</v>
      </c>
    </row>
    <row r="26940" spans="9:9" x14ac:dyDescent="0.2">
      <c r="I26940" s="137" t="s">
        <v>74</v>
      </c>
    </row>
    <row r="26941" spans="9:9" x14ac:dyDescent="0.2">
      <c r="I26941" s="137" t="s">
        <v>74</v>
      </c>
    </row>
    <row r="26942" spans="9:9" x14ac:dyDescent="0.2">
      <c r="I26942" s="137" t="s">
        <v>74</v>
      </c>
    </row>
    <row r="26943" spans="9:9" x14ac:dyDescent="0.2">
      <c r="I26943" s="137" t="s">
        <v>74</v>
      </c>
    </row>
    <row r="26944" spans="9:9" x14ac:dyDescent="0.2">
      <c r="I26944" s="137" t="s">
        <v>74</v>
      </c>
    </row>
    <row r="26945" spans="9:9" x14ac:dyDescent="0.2">
      <c r="I26945" s="137" t="s">
        <v>74</v>
      </c>
    </row>
    <row r="26946" spans="9:9" x14ac:dyDescent="0.2">
      <c r="I26946" s="137" t="s">
        <v>74</v>
      </c>
    </row>
    <row r="26947" spans="9:9" x14ac:dyDescent="0.2">
      <c r="I26947" s="137" t="s">
        <v>74</v>
      </c>
    </row>
    <row r="26948" spans="9:9" x14ac:dyDescent="0.2">
      <c r="I26948" s="137" t="s">
        <v>74</v>
      </c>
    </row>
    <row r="26949" spans="9:9" x14ac:dyDescent="0.2">
      <c r="I26949" s="137" t="s">
        <v>74</v>
      </c>
    </row>
    <row r="26950" spans="9:9" x14ac:dyDescent="0.2">
      <c r="I26950" s="137" t="s">
        <v>74</v>
      </c>
    </row>
    <row r="26951" spans="9:9" x14ac:dyDescent="0.2">
      <c r="I26951" s="137" t="s">
        <v>74</v>
      </c>
    </row>
    <row r="26952" spans="9:9" x14ac:dyDescent="0.2">
      <c r="I26952" s="137" t="s">
        <v>74</v>
      </c>
    </row>
    <row r="26953" spans="9:9" x14ac:dyDescent="0.2">
      <c r="I26953" s="137" t="s">
        <v>74</v>
      </c>
    </row>
    <row r="26954" spans="9:9" x14ac:dyDescent="0.2">
      <c r="I26954" s="137" t="s">
        <v>74</v>
      </c>
    </row>
    <row r="26955" spans="9:9" x14ac:dyDescent="0.2">
      <c r="I26955" s="137" t="s">
        <v>74</v>
      </c>
    </row>
    <row r="26956" spans="9:9" x14ac:dyDescent="0.2">
      <c r="I26956" s="137" t="s">
        <v>74</v>
      </c>
    </row>
    <row r="26957" spans="9:9" x14ac:dyDescent="0.2">
      <c r="I26957" s="137" t="s">
        <v>74</v>
      </c>
    </row>
    <row r="26958" spans="9:9" x14ac:dyDescent="0.2">
      <c r="I26958" s="137" t="s">
        <v>74</v>
      </c>
    </row>
    <row r="26959" spans="9:9" x14ac:dyDescent="0.2">
      <c r="I26959" s="137" t="s">
        <v>74</v>
      </c>
    </row>
    <row r="26960" spans="9:9" x14ac:dyDescent="0.2">
      <c r="I26960" s="137" t="s">
        <v>74</v>
      </c>
    </row>
    <row r="26961" spans="9:9" x14ac:dyDescent="0.2">
      <c r="I26961" s="137" t="s">
        <v>74</v>
      </c>
    </row>
    <row r="26962" spans="9:9" x14ac:dyDescent="0.2">
      <c r="I26962" s="137" t="s">
        <v>74</v>
      </c>
    </row>
    <row r="26963" spans="9:9" x14ac:dyDescent="0.2">
      <c r="I26963" s="137" t="s">
        <v>74</v>
      </c>
    </row>
    <row r="26964" spans="9:9" x14ac:dyDescent="0.2">
      <c r="I26964" s="137" t="s">
        <v>74</v>
      </c>
    </row>
    <row r="26965" spans="9:9" x14ac:dyDescent="0.2">
      <c r="I26965" s="137" t="s">
        <v>74</v>
      </c>
    </row>
    <row r="26966" spans="9:9" x14ac:dyDescent="0.2">
      <c r="I26966" s="137" t="s">
        <v>74</v>
      </c>
    </row>
    <row r="26967" spans="9:9" x14ac:dyDescent="0.2">
      <c r="I26967" s="137" t="s">
        <v>74</v>
      </c>
    </row>
    <row r="26968" spans="9:9" x14ac:dyDescent="0.2">
      <c r="I26968" s="137" t="s">
        <v>74</v>
      </c>
    </row>
    <row r="26969" spans="9:9" x14ac:dyDescent="0.2">
      <c r="I26969" s="137" t="s">
        <v>74</v>
      </c>
    </row>
    <row r="26970" spans="9:9" x14ac:dyDescent="0.2">
      <c r="I26970" s="137" t="s">
        <v>74</v>
      </c>
    </row>
    <row r="26971" spans="9:9" x14ac:dyDescent="0.2">
      <c r="I26971" s="137" t="s">
        <v>74</v>
      </c>
    </row>
    <row r="26972" spans="9:9" x14ac:dyDescent="0.2">
      <c r="I26972" s="137" t="s">
        <v>74</v>
      </c>
    </row>
    <row r="26973" spans="9:9" x14ac:dyDescent="0.2">
      <c r="I26973" s="137" t="s">
        <v>74</v>
      </c>
    </row>
    <row r="26974" spans="9:9" x14ac:dyDescent="0.2">
      <c r="I26974" s="137" t="s">
        <v>74</v>
      </c>
    </row>
    <row r="26975" spans="9:9" x14ac:dyDescent="0.2">
      <c r="I26975" s="137" t="s">
        <v>74</v>
      </c>
    </row>
    <row r="26976" spans="9:9" x14ac:dyDescent="0.2">
      <c r="I26976" s="137" t="s">
        <v>74</v>
      </c>
    </row>
    <row r="26977" spans="9:9" x14ac:dyDescent="0.2">
      <c r="I26977" s="137" t="s">
        <v>74</v>
      </c>
    </row>
    <row r="26978" spans="9:9" x14ac:dyDescent="0.2">
      <c r="I26978" s="137" t="s">
        <v>74</v>
      </c>
    </row>
    <row r="26979" spans="9:9" x14ac:dyDescent="0.2">
      <c r="I26979" s="137" t="s">
        <v>74</v>
      </c>
    </row>
    <row r="26980" spans="9:9" x14ac:dyDescent="0.2">
      <c r="I26980" s="137" t="s">
        <v>74</v>
      </c>
    </row>
    <row r="26981" spans="9:9" x14ac:dyDescent="0.2">
      <c r="I26981" s="137" t="s">
        <v>74</v>
      </c>
    </row>
    <row r="26982" spans="9:9" x14ac:dyDescent="0.2">
      <c r="I26982" s="137" t="s">
        <v>74</v>
      </c>
    </row>
    <row r="26983" spans="9:9" x14ac:dyDescent="0.2">
      <c r="I26983" s="137" t="s">
        <v>74</v>
      </c>
    </row>
    <row r="26984" spans="9:9" x14ac:dyDescent="0.2">
      <c r="I26984" s="137" t="s">
        <v>74</v>
      </c>
    </row>
    <row r="26985" spans="9:9" x14ac:dyDescent="0.2">
      <c r="I26985" s="137" t="s">
        <v>74</v>
      </c>
    </row>
    <row r="26986" spans="9:9" x14ac:dyDescent="0.2">
      <c r="I26986" s="137" t="s">
        <v>74</v>
      </c>
    </row>
    <row r="26987" spans="9:9" x14ac:dyDescent="0.2">
      <c r="I26987" s="137" t="s">
        <v>74</v>
      </c>
    </row>
    <row r="26988" spans="9:9" x14ac:dyDescent="0.2">
      <c r="I26988" s="137" t="s">
        <v>74</v>
      </c>
    </row>
    <row r="26989" spans="9:9" x14ac:dyDescent="0.2">
      <c r="I26989" s="137" t="s">
        <v>74</v>
      </c>
    </row>
    <row r="26990" spans="9:9" x14ac:dyDescent="0.2">
      <c r="I26990" s="137" t="s">
        <v>74</v>
      </c>
    </row>
    <row r="26991" spans="9:9" x14ac:dyDescent="0.2">
      <c r="I26991" s="137" t="s">
        <v>74</v>
      </c>
    </row>
    <row r="26992" spans="9:9" x14ac:dyDescent="0.2">
      <c r="I26992" s="137" t="s">
        <v>74</v>
      </c>
    </row>
    <row r="26993" spans="9:9" x14ac:dyDescent="0.2">
      <c r="I26993" s="137" t="s">
        <v>74</v>
      </c>
    </row>
    <row r="26994" spans="9:9" x14ac:dyDescent="0.2">
      <c r="I26994" s="137" t="s">
        <v>74</v>
      </c>
    </row>
    <row r="26995" spans="9:9" x14ac:dyDescent="0.2">
      <c r="I26995" s="137" t="s">
        <v>74</v>
      </c>
    </row>
    <row r="26996" spans="9:9" x14ac:dyDescent="0.2">
      <c r="I26996" s="137" t="s">
        <v>74</v>
      </c>
    </row>
    <row r="26997" spans="9:9" x14ac:dyDescent="0.2">
      <c r="I26997" s="137" t="s">
        <v>74</v>
      </c>
    </row>
    <row r="26998" spans="9:9" x14ac:dyDescent="0.2">
      <c r="I26998" s="137" t="s">
        <v>74</v>
      </c>
    </row>
    <row r="26999" spans="9:9" x14ac:dyDescent="0.2">
      <c r="I26999" s="137" t="s">
        <v>74</v>
      </c>
    </row>
    <row r="27000" spans="9:9" x14ac:dyDescent="0.2">
      <c r="I27000" s="137" t="s">
        <v>74</v>
      </c>
    </row>
    <row r="27001" spans="9:9" x14ac:dyDescent="0.2">
      <c r="I27001" s="137" t="s">
        <v>74</v>
      </c>
    </row>
    <row r="27002" spans="9:9" x14ac:dyDescent="0.2">
      <c r="I27002" s="137" t="s">
        <v>74</v>
      </c>
    </row>
    <row r="27003" spans="9:9" x14ac:dyDescent="0.2">
      <c r="I27003" s="137" t="s">
        <v>74</v>
      </c>
    </row>
    <row r="27004" spans="9:9" x14ac:dyDescent="0.2">
      <c r="I27004" s="137" t="s">
        <v>74</v>
      </c>
    </row>
    <row r="27005" spans="9:9" x14ac:dyDescent="0.2">
      <c r="I27005" s="137" t="s">
        <v>74</v>
      </c>
    </row>
    <row r="27006" spans="9:9" x14ac:dyDescent="0.2">
      <c r="I27006" s="137" t="s">
        <v>74</v>
      </c>
    </row>
    <row r="27007" spans="9:9" x14ac:dyDescent="0.2">
      <c r="I27007" s="137" t="s">
        <v>74</v>
      </c>
    </row>
    <row r="27008" spans="9:9" x14ac:dyDescent="0.2">
      <c r="I27008" s="137" t="s">
        <v>74</v>
      </c>
    </row>
    <row r="27009" spans="9:9" x14ac:dyDescent="0.2">
      <c r="I27009" s="137" t="s">
        <v>74</v>
      </c>
    </row>
    <row r="27010" spans="9:9" x14ac:dyDescent="0.2">
      <c r="I27010" s="137" t="s">
        <v>74</v>
      </c>
    </row>
    <row r="27011" spans="9:9" x14ac:dyDescent="0.2">
      <c r="I27011" s="137" t="s">
        <v>74</v>
      </c>
    </row>
    <row r="27012" spans="9:9" x14ac:dyDescent="0.2">
      <c r="I27012" s="137" t="s">
        <v>74</v>
      </c>
    </row>
    <row r="27013" spans="9:9" x14ac:dyDescent="0.2">
      <c r="I27013" s="137" t="s">
        <v>74</v>
      </c>
    </row>
    <row r="27014" spans="9:9" x14ac:dyDescent="0.2">
      <c r="I27014" s="137" t="s">
        <v>74</v>
      </c>
    </row>
    <row r="27015" spans="9:9" x14ac:dyDescent="0.2">
      <c r="I27015" s="137" t="s">
        <v>74</v>
      </c>
    </row>
    <row r="27016" spans="9:9" x14ac:dyDescent="0.2">
      <c r="I27016" s="137" t="s">
        <v>74</v>
      </c>
    </row>
    <row r="27017" spans="9:9" x14ac:dyDescent="0.2">
      <c r="I27017" s="137" t="s">
        <v>74</v>
      </c>
    </row>
    <row r="27018" spans="9:9" x14ac:dyDescent="0.2">
      <c r="I27018" s="137" t="s">
        <v>74</v>
      </c>
    </row>
    <row r="27019" spans="9:9" x14ac:dyDescent="0.2">
      <c r="I27019" s="137" t="s">
        <v>74</v>
      </c>
    </row>
    <row r="27020" spans="9:9" x14ac:dyDescent="0.2">
      <c r="I27020" s="137" t="s">
        <v>74</v>
      </c>
    </row>
    <row r="27021" spans="9:9" x14ac:dyDescent="0.2">
      <c r="I27021" s="137" t="s">
        <v>74</v>
      </c>
    </row>
    <row r="27022" spans="9:9" x14ac:dyDescent="0.2">
      <c r="I27022" s="137" t="s">
        <v>74</v>
      </c>
    </row>
    <row r="27023" spans="9:9" x14ac:dyDescent="0.2">
      <c r="I27023" s="137" t="s">
        <v>74</v>
      </c>
    </row>
    <row r="27024" spans="9:9" x14ac:dyDescent="0.2">
      <c r="I27024" s="137" t="s">
        <v>74</v>
      </c>
    </row>
    <row r="27025" spans="9:9" x14ac:dyDescent="0.2">
      <c r="I27025" s="137" t="s">
        <v>74</v>
      </c>
    </row>
    <row r="27026" spans="9:9" x14ac:dyDescent="0.2">
      <c r="I27026" s="137" t="s">
        <v>74</v>
      </c>
    </row>
    <row r="27027" spans="9:9" x14ac:dyDescent="0.2">
      <c r="I27027" s="137" t="s">
        <v>74</v>
      </c>
    </row>
    <row r="27028" spans="9:9" x14ac:dyDescent="0.2">
      <c r="I27028" s="137" t="s">
        <v>74</v>
      </c>
    </row>
    <row r="27029" spans="9:9" x14ac:dyDescent="0.2">
      <c r="I27029" s="137" t="s">
        <v>74</v>
      </c>
    </row>
    <row r="27030" spans="9:9" x14ac:dyDescent="0.2">
      <c r="I27030" s="137" t="s">
        <v>74</v>
      </c>
    </row>
    <row r="27031" spans="9:9" x14ac:dyDescent="0.2">
      <c r="I27031" s="137" t="s">
        <v>74</v>
      </c>
    </row>
    <row r="27032" spans="9:9" x14ac:dyDescent="0.2">
      <c r="I27032" s="137" t="s">
        <v>74</v>
      </c>
    </row>
    <row r="27033" spans="9:9" x14ac:dyDescent="0.2">
      <c r="I27033" s="137" t="s">
        <v>74</v>
      </c>
    </row>
    <row r="27034" spans="9:9" x14ac:dyDescent="0.2">
      <c r="I27034" s="137" t="s">
        <v>74</v>
      </c>
    </row>
    <row r="27035" spans="9:9" x14ac:dyDescent="0.2">
      <c r="I27035" s="137" t="s">
        <v>74</v>
      </c>
    </row>
    <row r="27036" spans="9:9" x14ac:dyDescent="0.2">
      <c r="I27036" s="137" t="s">
        <v>74</v>
      </c>
    </row>
    <row r="27037" spans="9:9" x14ac:dyDescent="0.2">
      <c r="I27037" s="137" t="s">
        <v>74</v>
      </c>
    </row>
    <row r="27038" spans="9:9" x14ac:dyDescent="0.2">
      <c r="I27038" s="137" t="s">
        <v>74</v>
      </c>
    </row>
    <row r="27039" spans="9:9" x14ac:dyDescent="0.2">
      <c r="I27039" s="137" t="s">
        <v>74</v>
      </c>
    </row>
    <row r="27040" spans="9:9" x14ac:dyDescent="0.2">
      <c r="I27040" s="137" t="s">
        <v>74</v>
      </c>
    </row>
    <row r="27041" spans="9:9" x14ac:dyDescent="0.2">
      <c r="I27041" s="137" t="s">
        <v>74</v>
      </c>
    </row>
    <row r="27042" spans="9:9" x14ac:dyDescent="0.2">
      <c r="I27042" s="137" t="s">
        <v>74</v>
      </c>
    </row>
    <row r="27043" spans="9:9" x14ac:dyDescent="0.2">
      <c r="I27043" s="137" t="s">
        <v>74</v>
      </c>
    </row>
    <row r="27044" spans="9:9" x14ac:dyDescent="0.2">
      <c r="I27044" s="137" t="s">
        <v>74</v>
      </c>
    </row>
    <row r="27045" spans="9:9" x14ac:dyDescent="0.2">
      <c r="I27045" s="137" t="s">
        <v>74</v>
      </c>
    </row>
    <row r="27046" spans="9:9" x14ac:dyDescent="0.2">
      <c r="I27046" s="137" t="s">
        <v>74</v>
      </c>
    </row>
    <row r="27047" spans="9:9" x14ac:dyDescent="0.2">
      <c r="I27047" s="137" t="s">
        <v>74</v>
      </c>
    </row>
    <row r="27048" spans="9:9" x14ac:dyDescent="0.2">
      <c r="I27048" s="137" t="s">
        <v>74</v>
      </c>
    </row>
    <row r="27049" spans="9:9" x14ac:dyDescent="0.2">
      <c r="I27049" s="137" t="s">
        <v>74</v>
      </c>
    </row>
    <row r="27050" spans="9:9" x14ac:dyDescent="0.2">
      <c r="I27050" s="137" t="s">
        <v>74</v>
      </c>
    </row>
    <row r="27051" spans="9:9" x14ac:dyDescent="0.2">
      <c r="I27051" s="137" t="s">
        <v>74</v>
      </c>
    </row>
    <row r="27052" spans="9:9" x14ac:dyDescent="0.2">
      <c r="I27052" s="137" t="s">
        <v>74</v>
      </c>
    </row>
    <row r="27053" spans="9:9" x14ac:dyDescent="0.2">
      <c r="I27053" s="137" t="s">
        <v>74</v>
      </c>
    </row>
    <row r="27054" spans="9:9" x14ac:dyDescent="0.2">
      <c r="I27054" s="137" t="s">
        <v>74</v>
      </c>
    </row>
    <row r="27055" spans="9:9" x14ac:dyDescent="0.2">
      <c r="I27055" s="137" t="s">
        <v>74</v>
      </c>
    </row>
    <row r="27056" spans="9:9" x14ac:dyDescent="0.2">
      <c r="I27056" s="137" t="s">
        <v>74</v>
      </c>
    </row>
    <row r="27057" spans="9:9" x14ac:dyDescent="0.2">
      <c r="I27057" s="137" t="s">
        <v>74</v>
      </c>
    </row>
    <row r="27058" spans="9:9" x14ac:dyDescent="0.2">
      <c r="I27058" s="137" t="s">
        <v>74</v>
      </c>
    </row>
    <row r="27059" spans="9:9" x14ac:dyDescent="0.2">
      <c r="I27059" s="137" t="s">
        <v>74</v>
      </c>
    </row>
    <row r="27060" spans="9:9" x14ac:dyDescent="0.2">
      <c r="I27060" s="137" t="s">
        <v>74</v>
      </c>
    </row>
    <row r="27061" spans="9:9" x14ac:dyDescent="0.2">
      <c r="I27061" s="137" t="s">
        <v>74</v>
      </c>
    </row>
    <row r="27062" spans="9:9" x14ac:dyDescent="0.2">
      <c r="I27062" s="137" t="s">
        <v>74</v>
      </c>
    </row>
    <row r="27063" spans="9:9" x14ac:dyDescent="0.2">
      <c r="I27063" s="137" t="s">
        <v>74</v>
      </c>
    </row>
    <row r="27064" spans="9:9" x14ac:dyDescent="0.2">
      <c r="I27064" s="137" t="s">
        <v>74</v>
      </c>
    </row>
    <row r="27065" spans="9:9" x14ac:dyDescent="0.2">
      <c r="I27065" s="137" t="s">
        <v>74</v>
      </c>
    </row>
    <row r="27066" spans="9:9" x14ac:dyDescent="0.2">
      <c r="I27066" s="137" t="s">
        <v>74</v>
      </c>
    </row>
    <row r="27067" spans="9:9" x14ac:dyDescent="0.2">
      <c r="I27067" s="137" t="s">
        <v>74</v>
      </c>
    </row>
    <row r="27068" spans="9:9" x14ac:dyDescent="0.2">
      <c r="I27068" s="137" t="s">
        <v>74</v>
      </c>
    </row>
    <row r="27069" spans="9:9" x14ac:dyDescent="0.2">
      <c r="I27069" s="137" t="s">
        <v>74</v>
      </c>
    </row>
    <row r="27070" spans="9:9" x14ac:dyDescent="0.2">
      <c r="I27070" s="137" t="s">
        <v>74</v>
      </c>
    </row>
    <row r="27071" spans="9:9" x14ac:dyDescent="0.2">
      <c r="I27071" s="137" t="s">
        <v>74</v>
      </c>
    </row>
    <row r="27072" spans="9:9" x14ac:dyDescent="0.2">
      <c r="I27072" s="137" t="s">
        <v>74</v>
      </c>
    </row>
    <row r="27073" spans="9:9" x14ac:dyDescent="0.2">
      <c r="I27073" s="137" t="s">
        <v>74</v>
      </c>
    </row>
    <row r="27074" spans="9:9" x14ac:dyDescent="0.2">
      <c r="I27074" s="137" t="s">
        <v>74</v>
      </c>
    </row>
    <row r="27075" spans="9:9" x14ac:dyDescent="0.2">
      <c r="I27075" s="137" t="s">
        <v>74</v>
      </c>
    </row>
    <row r="27076" spans="9:9" x14ac:dyDescent="0.2">
      <c r="I27076" s="137" t="s">
        <v>74</v>
      </c>
    </row>
    <row r="27077" spans="9:9" x14ac:dyDescent="0.2">
      <c r="I27077" s="137" t="s">
        <v>74</v>
      </c>
    </row>
    <row r="27078" spans="9:9" x14ac:dyDescent="0.2">
      <c r="I27078" s="137" t="s">
        <v>74</v>
      </c>
    </row>
    <row r="27079" spans="9:9" x14ac:dyDescent="0.2">
      <c r="I27079" s="137" t="s">
        <v>74</v>
      </c>
    </row>
    <row r="27080" spans="9:9" x14ac:dyDescent="0.2">
      <c r="I27080" s="137" t="s">
        <v>74</v>
      </c>
    </row>
    <row r="27081" spans="9:9" x14ac:dyDescent="0.2">
      <c r="I27081" s="137" t="s">
        <v>74</v>
      </c>
    </row>
    <row r="27082" spans="9:9" x14ac:dyDescent="0.2">
      <c r="I27082" s="137" t="s">
        <v>74</v>
      </c>
    </row>
    <row r="27083" spans="9:9" x14ac:dyDescent="0.2">
      <c r="I27083" s="137" t="s">
        <v>74</v>
      </c>
    </row>
    <row r="27084" spans="9:9" x14ac:dyDescent="0.2">
      <c r="I27084" s="137" t="s">
        <v>74</v>
      </c>
    </row>
    <row r="27085" spans="9:9" x14ac:dyDescent="0.2">
      <c r="I27085" s="137" t="s">
        <v>74</v>
      </c>
    </row>
    <row r="27086" spans="9:9" x14ac:dyDescent="0.2">
      <c r="I27086" s="137" t="s">
        <v>74</v>
      </c>
    </row>
    <row r="27087" spans="9:9" x14ac:dyDescent="0.2">
      <c r="I27087" s="137" t="s">
        <v>74</v>
      </c>
    </row>
    <row r="27088" spans="9:9" x14ac:dyDescent="0.2">
      <c r="I27088" s="137" t="s">
        <v>74</v>
      </c>
    </row>
    <row r="27089" spans="9:9" x14ac:dyDescent="0.2">
      <c r="I27089" s="137" t="s">
        <v>74</v>
      </c>
    </row>
    <row r="27090" spans="9:9" x14ac:dyDescent="0.2">
      <c r="I27090" s="137" t="s">
        <v>74</v>
      </c>
    </row>
    <row r="27091" spans="9:9" x14ac:dyDescent="0.2">
      <c r="I27091" s="137" t="s">
        <v>74</v>
      </c>
    </row>
    <row r="27092" spans="9:9" x14ac:dyDescent="0.2">
      <c r="I27092" s="137" t="s">
        <v>74</v>
      </c>
    </row>
    <row r="27093" spans="9:9" x14ac:dyDescent="0.2">
      <c r="I27093" s="137" t="s">
        <v>74</v>
      </c>
    </row>
    <row r="27094" spans="9:9" x14ac:dyDescent="0.2">
      <c r="I27094" s="137" t="s">
        <v>74</v>
      </c>
    </row>
    <row r="27095" spans="9:9" x14ac:dyDescent="0.2">
      <c r="I27095" s="137" t="s">
        <v>74</v>
      </c>
    </row>
    <row r="27096" spans="9:9" x14ac:dyDescent="0.2">
      <c r="I27096" s="137" t="s">
        <v>74</v>
      </c>
    </row>
    <row r="27097" spans="9:9" x14ac:dyDescent="0.2">
      <c r="I27097" s="137" t="s">
        <v>74</v>
      </c>
    </row>
    <row r="27098" spans="9:9" x14ac:dyDescent="0.2">
      <c r="I27098" s="137" t="s">
        <v>74</v>
      </c>
    </row>
    <row r="27099" spans="9:9" x14ac:dyDescent="0.2">
      <c r="I27099" s="137" t="s">
        <v>74</v>
      </c>
    </row>
    <row r="27100" spans="9:9" x14ac:dyDescent="0.2">
      <c r="I27100" s="137" t="s">
        <v>74</v>
      </c>
    </row>
    <row r="27101" spans="9:9" x14ac:dyDescent="0.2">
      <c r="I27101" s="137" t="s">
        <v>74</v>
      </c>
    </row>
    <row r="27102" spans="9:9" x14ac:dyDescent="0.2">
      <c r="I27102" s="137" t="s">
        <v>74</v>
      </c>
    </row>
    <row r="27103" spans="9:9" x14ac:dyDescent="0.2">
      <c r="I27103" s="137" t="s">
        <v>74</v>
      </c>
    </row>
    <row r="27104" spans="9:9" x14ac:dyDescent="0.2">
      <c r="I27104" s="137" t="s">
        <v>74</v>
      </c>
    </row>
    <row r="27105" spans="9:9" x14ac:dyDescent="0.2">
      <c r="I27105" s="137" t="s">
        <v>74</v>
      </c>
    </row>
    <row r="27106" spans="9:9" x14ac:dyDescent="0.2">
      <c r="I27106" s="137" t="s">
        <v>74</v>
      </c>
    </row>
    <row r="27107" spans="9:9" x14ac:dyDescent="0.2">
      <c r="I27107" s="137" t="s">
        <v>74</v>
      </c>
    </row>
    <row r="27108" spans="9:9" x14ac:dyDescent="0.2">
      <c r="I27108" s="137" t="s">
        <v>74</v>
      </c>
    </row>
    <row r="27109" spans="9:9" x14ac:dyDescent="0.2">
      <c r="I27109" s="137" t="s">
        <v>74</v>
      </c>
    </row>
    <row r="27110" spans="9:9" x14ac:dyDescent="0.2">
      <c r="I27110" s="137" t="s">
        <v>74</v>
      </c>
    </row>
    <row r="27111" spans="9:9" x14ac:dyDescent="0.2">
      <c r="I27111" s="137" t="s">
        <v>74</v>
      </c>
    </row>
    <row r="27112" spans="9:9" x14ac:dyDescent="0.2">
      <c r="I27112" s="137" t="s">
        <v>74</v>
      </c>
    </row>
    <row r="27113" spans="9:9" x14ac:dyDescent="0.2">
      <c r="I27113" s="137" t="s">
        <v>74</v>
      </c>
    </row>
    <row r="27114" spans="9:9" x14ac:dyDescent="0.2">
      <c r="I27114" s="137" t="s">
        <v>74</v>
      </c>
    </row>
    <row r="27115" spans="9:9" x14ac:dyDescent="0.2">
      <c r="I27115" s="137" t="s">
        <v>74</v>
      </c>
    </row>
    <row r="27116" spans="9:9" x14ac:dyDescent="0.2">
      <c r="I27116" s="137" t="s">
        <v>74</v>
      </c>
    </row>
    <row r="27117" spans="9:9" x14ac:dyDescent="0.2">
      <c r="I27117" s="137" t="s">
        <v>74</v>
      </c>
    </row>
    <row r="27118" spans="9:9" x14ac:dyDescent="0.2">
      <c r="I27118" s="137" t="s">
        <v>74</v>
      </c>
    </row>
    <row r="27119" spans="9:9" x14ac:dyDescent="0.2">
      <c r="I27119" s="137" t="s">
        <v>74</v>
      </c>
    </row>
    <row r="27120" spans="9:9" x14ac:dyDescent="0.2">
      <c r="I27120" s="137" t="s">
        <v>74</v>
      </c>
    </row>
    <row r="27121" spans="9:9" x14ac:dyDescent="0.2">
      <c r="I27121" s="137" t="s">
        <v>74</v>
      </c>
    </row>
    <row r="27122" spans="9:9" x14ac:dyDescent="0.2">
      <c r="I27122" s="137" t="s">
        <v>74</v>
      </c>
    </row>
    <row r="27123" spans="9:9" x14ac:dyDescent="0.2">
      <c r="I27123" s="137" t="s">
        <v>74</v>
      </c>
    </row>
    <row r="27124" spans="9:9" x14ac:dyDescent="0.2">
      <c r="I27124" s="137" t="s">
        <v>74</v>
      </c>
    </row>
    <row r="27125" spans="9:9" x14ac:dyDescent="0.2">
      <c r="I27125" s="137" t="s">
        <v>74</v>
      </c>
    </row>
    <row r="27126" spans="9:9" x14ac:dyDescent="0.2">
      <c r="I27126" s="137" t="s">
        <v>74</v>
      </c>
    </row>
    <row r="27127" spans="9:9" x14ac:dyDescent="0.2">
      <c r="I27127" s="137" t="s">
        <v>74</v>
      </c>
    </row>
    <row r="27128" spans="9:9" x14ac:dyDescent="0.2">
      <c r="I27128" s="137" t="s">
        <v>74</v>
      </c>
    </row>
    <row r="27129" spans="9:9" x14ac:dyDescent="0.2">
      <c r="I27129" s="137" t="s">
        <v>74</v>
      </c>
    </row>
    <row r="27130" spans="9:9" x14ac:dyDescent="0.2">
      <c r="I27130" s="137" t="s">
        <v>74</v>
      </c>
    </row>
    <row r="27131" spans="9:9" x14ac:dyDescent="0.2">
      <c r="I27131" s="137" t="s">
        <v>74</v>
      </c>
    </row>
    <row r="27132" spans="9:9" x14ac:dyDescent="0.2">
      <c r="I27132" s="137" t="s">
        <v>74</v>
      </c>
    </row>
    <row r="27133" spans="9:9" x14ac:dyDescent="0.2">
      <c r="I27133" s="137" t="s">
        <v>74</v>
      </c>
    </row>
    <row r="27134" spans="9:9" x14ac:dyDescent="0.2">
      <c r="I27134" s="137" t="s">
        <v>74</v>
      </c>
    </row>
    <row r="27135" spans="9:9" x14ac:dyDescent="0.2">
      <c r="I27135" s="137" t="s">
        <v>74</v>
      </c>
    </row>
    <row r="27136" spans="9:9" x14ac:dyDescent="0.2">
      <c r="I27136" s="137" t="s">
        <v>74</v>
      </c>
    </row>
    <row r="27137" spans="9:9" x14ac:dyDescent="0.2">
      <c r="I27137" s="137" t="s">
        <v>74</v>
      </c>
    </row>
    <row r="27138" spans="9:9" x14ac:dyDescent="0.2">
      <c r="I27138" s="137" t="s">
        <v>74</v>
      </c>
    </row>
    <row r="27139" spans="9:9" x14ac:dyDescent="0.2">
      <c r="I27139" s="137" t="s">
        <v>74</v>
      </c>
    </row>
    <row r="27140" spans="9:9" x14ac:dyDescent="0.2">
      <c r="I27140" s="137" t="s">
        <v>74</v>
      </c>
    </row>
    <row r="27141" spans="9:9" x14ac:dyDescent="0.2">
      <c r="I27141" s="137" t="s">
        <v>74</v>
      </c>
    </row>
    <row r="27142" spans="9:9" x14ac:dyDescent="0.2">
      <c r="I27142" s="137" t="s">
        <v>74</v>
      </c>
    </row>
    <row r="27143" spans="9:9" x14ac:dyDescent="0.2">
      <c r="I27143" s="137" t="s">
        <v>74</v>
      </c>
    </row>
    <row r="27144" spans="9:9" x14ac:dyDescent="0.2">
      <c r="I27144" s="137" t="s">
        <v>74</v>
      </c>
    </row>
    <row r="27145" spans="9:9" x14ac:dyDescent="0.2">
      <c r="I27145" s="137" t="s">
        <v>74</v>
      </c>
    </row>
    <row r="27146" spans="9:9" x14ac:dyDescent="0.2">
      <c r="I27146" s="137" t="s">
        <v>74</v>
      </c>
    </row>
    <row r="27147" spans="9:9" x14ac:dyDescent="0.2">
      <c r="I27147" s="137" t="s">
        <v>74</v>
      </c>
    </row>
    <row r="27148" spans="9:9" x14ac:dyDescent="0.2">
      <c r="I27148" s="137" t="s">
        <v>74</v>
      </c>
    </row>
    <row r="27149" spans="9:9" x14ac:dyDescent="0.2">
      <c r="I27149" s="137" t="s">
        <v>74</v>
      </c>
    </row>
    <row r="27150" spans="9:9" x14ac:dyDescent="0.2">
      <c r="I27150" s="137" t="s">
        <v>74</v>
      </c>
    </row>
    <row r="27151" spans="9:9" x14ac:dyDescent="0.2">
      <c r="I27151" s="137" t="s">
        <v>74</v>
      </c>
    </row>
    <row r="27152" spans="9:9" x14ac:dyDescent="0.2">
      <c r="I27152" s="137" t="s">
        <v>74</v>
      </c>
    </row>
    <row r="27153" spans="9:9" x14ac:dyDescent="0.2">
      <c r="I27153" s="137" t="s">
        <v>74</v>
      </c>
    </row>
    <row r="27154" spans="9:9" x14ac:dyDescent="0.2">
      <c r="I27154" s="137" t="s">
        <v>74</v>
      </c>
    </row>
    <row r="27155" spans="9:9" x14ac:dyDescent="0.2">
      <c r="I27155" s="137" t="s">
        <v>74</v>
      </c>
    </row>
    <row r="27156" spans="9:9" x14ac:dyDescent="0.2">
      <c r="I27156" s="137" t="s">
        <v>74</v>
      </c>
    </row>
    <row r="27157" spans="9:9" x14ac:dyDescent="0.2">
      <c r="I27157" s="137" t="s">
        <v>74</v>
      </c>
    </row>
    <row r="27158" spans="9:9" x14ac:dyDescent="0.2">
      <c r="I27158" s="137" t="s">
        <v>74</v>
      </c>
    </row>
    <row r="27159" spans="9:9" x14ac:dyDescent="0.2">
      <c r="I27159" s="137" t="s">
        <v>74</v>
      </c>
    </row>
    <row r="27160" spans="9:9" x14ac:dyDescent="0.2">
      <c r="I27160" s="137" t="s">
        <v>74</v>
      </c>
    </row>
    <row r="27161" spans="9:9" x14ac:dyDescent="0.2">
      <c r="I27161" s="137" t="s">
        <v>74</v>
      </c>
    </row>
    <row r="27162" spans="9:9" x14ac:dyDescent="0.2">
      <c r="I27162" s="137" t="s">
        <v>74</v>
      </c>
    </row>
    <row r="27163" spans="9:9" x14ac:dyDescent="0.2">
      <c r="I27163" s="137" t="s">
        <v>74</v>
      </c>
    </row>
    <row r="27164" spans="9:9" x14ac:dyDescent="0.2">
      <c r="I27164" s="137" t="s">
        <v>74</v>
      </c>
    </row>
    <row r="27165" spans="9:9" x14ac:dyDescent="0.2">
      <c r="I27165" s="137" t="s">
        <v>74</v>
      </c>
    </row>
    <row r="27166" spans="9:9" x14ac:dyDescent="0.2">
      <c r="I27166" s="137" t="s">
        <v>74</v>
      </c>
    </row>
    <row r="27167" spans="9:9" x14ac:dyDescent="0.2">
      <c r="I27167" s="137" t="s">
        <v>74</v>
      </c>
    </row>
    <row r="27168" spans="9:9" x14ac:dyDescent="0.2">
      <c r="I27168" s="137" t="s">
        <v>74</v>
      </c>
    </row>
    <row r="27169" spans="9:9" x14ac:dyDescent="0.2">
      <c r="I27169" s="137" t="s">
        <v>74</v>
      </c>
    </row>
    <row r="27170" spans="9:9" x14ac:dyDescent="0.2">
      <c r="I27170" s="137" t="s">
        <v>74</v>
      </c>
    </row>
    <row r="27171" spans="9:9" x14ac:dyDescent="0.2">
      <c r="I27171" s="137" t="s">
        <v>74</v>
      </c>
    </row>
    <row r="27172" spans="9:9" x14ac:dyDescent="0.2">
      <c r="I27172" s="137" t="s">
        <v>74</v>
      </c>
    </row>
    <row r="27173" spans="9:9" x14ac:dyDescent="0.2">
      <c r="I27173" s="137" t="s">
        <v>74</v>
      </c>
    </row>
    <row r="27174" spans="9:9" x14ac:dyDescent="0.2">
      <c r="I27174" s="137" t="s">
        <v>74</v>
      </c>
    </row>
    <row r="27175" spans="9:9" x14ac:dyDescent="0.2">
      <c r="I27175" s="137" t="s">
        <v>74</v>
      </c>
    </row>
    <row r="27176" spans="9:9" x14ac:dyDescent="0.2">
      <c r="I27176" s="137" t="s">
        <v>74</v>
      </c>
    </row>
    <row r="27177" spans="9:9" x14ac:dyDescent="0.2">
      <c r="I27177" s="137" t="s">
        <v>74</v>
      </c>
    </row>
    <row r="27178" spans="9:9" x14ac:dyDescent="0.2">
      <c r="I27178" s="137" t="s">
        <v>74</v>
      </c>
    </row>
    <row r="27179" spans="9:9" x14ac:dyDescent="0.2">
      <c r="I27179" s="137" t="s">
        <v>74</v>
      </c>
    </row>
    <row r="27180" spans="9:9" x14ac:dyDescent="0.2">
      <c r="I27180" s="137" t="s">
        <v>74</v>
      </c>
    </row>
    <row r="27181" spans="9:9" x14ac:dyDescent="0.2">
      <c r="I27181" s="137" t="s">
        <v>74</v>
      </c>
    </row>
    <row r="27182" spans="9:9" x14ac:dyDescent="0.2">
      <c r="I27182" s="137" t="s">
        <v>74</v>
      </c>
    </row>
    <row r="27183" spans="9:9" x14ac:dyDescent="0.2">
      <c r="I27183" s="137" t="s">
        <v>74</v>
      </c>
    </row>
    <row r="27184" spans="9:9" x14ac:dyDescent="0.2">
      <c r="I27184" s="137" t="s">
        <v>74</v>
      </c>
    </row>
    <row r="27185" spans="9:9" x14ac:dyDescent="0.2">
      <c r="I27185" s="137" t="s">
        <v>74</v>
      </c>
    </row>
    <row r="27186" spans="9:9" x14ac:dyDescent="0.2">
      <c r="I27186" s="137" t="s">
        <v>74</v>
      </c>
    </row>
    <row r="27187" spans="9:9" x14ac:dyDescent="0.2">
      <c r="I27187" s="137" t="s">
        <v>74</v>
      </c>
    </row>
    <row r="27188" spans="9:9" x14ac:dyDescent="0.2">
      <c r="I27188" s="137" t="s">
        <v>74</v>
      </c>
    </row>
    <row r="27189" spans="9:9" x14ac:dyDescent="0.2">
      <c r="I27189" s="137" t="s">
        <v>74</v>
      </c>
    </row>
    <row r="27190" spans="9:9" x14ac:dyDescent="0.2">
      <c r="I27190" s="137" t="s">
        <v>74</v>
      </c>
    </row>
    <row r="27191" spans="9:9" x14ac:dyDescent="0.2">
      <c r="I27191" s="137" t="s">
        <v>74</v>
      </c>
    </row>
    <row r="27192" spans="9:9" x14ac:dyDescent="0.2">
      <c r="I27192" s="137" t="s">
        <v>74</v>
      </c>
    </row>
    <row r="27193" spans="9:9" x14ac:dyDescent="0.2">
      <c r="I27193" s="137" t="s">
        <v>74</v>
      </c>
    </row>
    <row r="27194" spans="9:9" x14ac:dyDescent="0.2">
      <c r="I27194" s="137" t="s">
        <v>74</v>
      </c>
    </row>
    <row r="27195" spans="9:9" x14ac:dyDescent="0.2">
      <c r="I27195" s="137" t="s">
        <v>74</v>
      </c>
    </row>
    <row r="27196" spans="9:9" x14ac:dyDescent="0.2">
      <c r="I27196" s="137" t="s">
        <v>74</v>
      </c>
    </row>
    <row r="27197" spans="9:9" x14ac:dyDescent="0.2">
      <c r="I27197" s="137" t="s">
        <v>74</v>
      </c>
    </row>
    <row r="27198" spans="9:9" x14ac:dyDescent="0.2">
      <c r="I27198" s="137" t="s">
        <v>74</v>
      </c>
    </row>
    <row r="27199" spans="9:9" x14ac:dyDescent="0.2">
      <c r="I27199" s="137" t="s">
        <v>74</v>
      </c>
    </row>
    <row r="27200" spans="9:9" x14ac:dyDescent="0.2">
      <c r="I27200" s="137" t="s">
        <v>74</v>
      </c>
    </row>
    <row r="27201" spans="9:9" x14ac:dyDescent="0.2">
      <c r="I27201" s="137" t="s">
        <v>74</v>
      </c>
    </row>
    <row r="27202" spans="9:9" x14ac:dyDescent="0.2">
      <c r="I27202" s="137" t="s">
        <v>74</v>
      </c>
    </row>
    <row r="27203" spans="9:9" x14ac:dyDescent="0.2">
      <c r="I27203" s="137" t="s">
        <v>74</v>
      </c>
    </row>
    <row r="27204" spans="9:9" x14ac:dyDescent="0.2">
      <c r="I27204" s="137" t="s">
        <v>74</v>
      </c>
    </row>
    <row r="27205" spans="9:9" x14ac:dyDescent="0.2">
      <c r="I27205" s="137" t="s">
        <v>74</v>
      </c>
    </row>
    <row r="27206" spans="9:9" x14ac:dyDescent="0.2">
      <c r="I27206" s="137" t="s">
        <v>74</v>
      </c>
    </row>
    <row r="27207" spans="9:9" x14ac:dyDescent="0.2">
      <c r="I27207" s="137" t="s">
        <v>74</v>
      </c>
    </row>
    <row r="27208" spans="9:9" x14ac:dyDescent="0.2">
      <c r="I27208" s="137" t="s">
        <v>74</v>
      </c>
    </row>
    <row r="27209" spans="9:9" x14ac:dyDescent="0.2">
      <c r="I27209" s="137" t="s">
        <v>74</v>
      </c>
    </row>
    <row r="27210" spans="9:9" x14ac:dyDescent="0.2">
      <c r="I27210" s="137" t="s">
        <v>74</v>
      </c>
    </row>
    <row r="27211" spans="9:9" x14ac:dyDescent="0.2">
      <c r="I27211" s="137" t="s">
        <v>74</v>
      </c>
    </row>
    <row r="27212" spans="9:9" x14ac:dyDescent="0.2">
      <c r="I27212" s="137" t="s">
        <v>74</v>
      </c>
    </row>
    <row r="27213" spans="9:9" x14ac:dyDescent="0.2">
      <c r="I27213" s="137" t="s">
        <v>74</v>
      </c>
    </row>
    <row r="27214" spans="9:9" x14ac:dyDescent="0.2">
      <c r="I27214" s="137" t="s">
        <v>74</v>
      </c>
    </row>
    <row r="27215" spans="9:9" x14ac:dyDescent="0.2">
      <c r="I27215" s="137" t="s">
        <v>74</v>
      </c>
    </row>
    <row r="27216" spans="9:9" x14ac:dyDescent="0.2">
      <c r="I27216" s="137" t="s">
        <v>74</v>
      </c>
    </row>
    <row r="27217" spans="9:9" x14ac:dyDescent="0.2">
      <c r="I27217" s="137" t="s">
        <v>74</v>
      </c>
    </row>
    <row r="27218" spans="9:9" x14ac:dyDescent="0.2">
      <c r="I27218" s="137" t="s">
        <v>74</v>
      </c>
    </row>
    <row r="27219" spans="9:9" x14ac:dyDescent="0.2">
      <c r="I27219" s="137" t="s">
        <v>74</v>
      </c>
    </row>
    <row r="27220" spans="9:9" x14ac:dyDescent="0.2">
      <c r="I27220" s="137" t="s">
        <v>74</v>
      </c>
    </row>
    <row r="27221" spans="9:9" x14ac:dyDescent="0.2">
      <c r="I27221" s="137" t="s">
        <v>74</v>
      </c>
    </row>
    <row r="27222" spans="9:9" x14ac:dyDescent="0.2">
      <c r="I27222" s="137" t="s">
        <v>74</v>
      </c>
    </row>
    <row r="27223" spans="9:9" x14ac:dyDescent="0.2">
      <c r="I27223" s="137" t="s">
        <v>74</v>
      </c>
    </row>
    <row r="27224" spans="9:9" x14ac:dyDescent="0.2">
      <c r="I27224" s="137" t="s">
        <v>74</v>
      </c>
    </row>
    <row r="27225" spans="9:9" x14ac:dyDescent="0.2">
      <c r="I27225" s="137" t="s">
        <v>74</v>
      </c>
    </row>
    <row r="27226" spans="9:9" x14ac:dyDescent="0.2">
      <c r="I27226" s="137" t="s">
        <v>74</v>
      </c>
    </row>
    <row r="27227" spans="9:9" x14ac:dyDescent="0.2">
      <c r="I27227" s="137" t="s">
        <v>74</v>
      </c>
    </row>
    <row r="27228" spans="9:9" x14ac:dyDescent="0.2">
      <c r="I27228" s="137" t="s">
        <v>74</v>
      </c>
    </row>
    <row r="27229" spans="9:9" x14ac:dyDescent="0.2">
      <c r="I27229" s="137" t="s">
        <v>74</v>
      </c>
    </row>
    <row r="27230" spans="9:9" x14ac:dyDescent="0.2">
      <c r="I27230" s="137" t="s">
        <v>74</v>
      </c>
    </row>
    <row r="27231" spans="9:9" x14ac:dyDescent="0.2">
      <c r="I27231" s="137" t="s">
        <v>74</v>
      </c>
    </row>
    <row r="27232" spans="9:9" x14ac:dyDescent="0.2">
      <c r="I27232" s="137" t="s">
        <v>74</v>
      </c>
    </row>
    <row r="27233" spans="9:9" x14ac:dyDescent="0.2">
      <c r="I27233" s="137" t="s">
        <v>74</v>
      </c>
    </row>
    <row r="27234" spans="9:9" x14ac:dyDescent="0.2">
      <c r="I27234" s="137" t="s">
        <v>74</v>
      </c>
    </row>
    <row r="27235" spans="9:9" x14ac:dyDescent="0.2">
      <c r="I27235" s="137" t="s">
        <v>74</v>
      </c>
    </row>
    <row r="27236" spans="9:9" x14ac:dyDescent="0.2">
      <c r="I27236" s="137" t="s">
        <v>74</v>
      </c>
    </row>
    <row r="27237" spans="9:9" x14ac:dyDescent="0.2">
      <c r="I27237" s="137" t="s">
        <v>74</v>
      </c>
    </row>
    <row r="27238" spans="9:9" x14ac:dyDescent="0.2">
      <c r="I27238" s="137" t="s">
        <v>74</v>
      </c>
    </row>
    <row r="27239" spans="9:9" x14ac:dyDescent="0.2">
      <c r="I27239" s="137" t="s">
        <v>74</v>
      </c>
    </row>
    <row r="27240" spans="9:9" x14ac:dyDescent="0.2">
      <c r="I27240" s="137" t="s">
        <v>74</v>
      </c>
    </row>
    <row r="27241" spans="9:9" x14ac:dyDescent="0.2">
      <c r="I27241" s="137" t="s">
        <v>74</v>
      </c>
    </row>
    <row r="27242" spans="9:9" x14ac:dyDescent="0.2">
      <c r="I27242" s="137" t="s">
        <v>74</v>
      </c>
    </row>
    <row r="27243" spans="9:9" x14ac:dyDescent="0.2">
      <c r="I27243" s="137" t="s">
        <v>74</v>
      </c>
    </row>
    <row r="27244" spans="9:9" x14ac:dyDescent="0.2">
      <c r="I27244" s="137" t="s">
        <v>74</v>
      </c>
    </row>
    <row r="27245" spans="9:9" x14ac:dyDescent="0.2">
      <c r="I27245" s="137" t="s">
        <v>74</v>
      </c>
    </row>
    <row r="27246" spans="9:9" x14ac:dyDescent="0.2">
      <c r="I27246" s="137" t="s">
        <v>74</v>
      </c>
    </row>
    <row r="27247" spans="9:9" x14ac:dyDescent="0.2">
      <c r="I27247" s="137" t="s">
        <v>74</v>
      </c>
    </row>
    <row r="27248" spans="9:9" x14ac:dyDescent="0.2">
      <c r="I27248" s="137" t="s">
        <v>74</v>
      </c>
    </row>
    <row r="27249" spans="9:9" x14ac:dyDescent="0.2">
      <c r="I27249" s="137" t="s">
        <v>74</v>
      </c>
    </row>
    <row r="27250" spans="9:9" x14ac:dyDescent="0.2">
      <c r="I27250" s="137" t="s">
        <v>74</v>
      </c>
    </row>
    <row r="27251" spans="9:9" x14ac:dyDescent="0.2">
      <c r="I27251" s="137" t="s">
        <v>74</v>
      </c>
    </row>
    <row r="27252" spans="9:9" x14ac:dyDescent="0.2">
      <c r="I27252" s="137" t="s">
        <v>74</v>
      </c>
    </row>
    <row r="27253" spans="9:9" x14ac:dyDescent="0.2">
      <c r="I27253" s="137" t="s">
        <v>74</v>
      </c>
    </row>
    <row r="27254" spans="9:9" x14ac:dyDescent="0.2">
      <c r="I27254" s="137" t="s">
        <v>74</v>
      </c>
    </row>
    <row r="27255" spans="9:9" x14ac:dyDescent="0.2">
      <c r="I27255" s="137" t="s">
        <v>74</v>
      </c>
    </row>
    <row r="27256" spans="9:9" x14ac:dyDescent="0.2">
      <c r="I27256" s="137" t="s">
        <v>74</v>
      </c>
    </row>
    <row r="27257" spans="9:9" x14ac:dyDescent="0.2">
      <c r="I27257" s="137" t="s">
        <v>74</v>
      </c>
    </row>
    <row r="27258" spans="9:9" x14ac:dyDescent="0.2">
      <c r="I27258" s="137" t="s">
        <v>74</v>
      </c>
    </row>
    <row r="27259" spans="9:9" x14ac:dyDescent="0.2">
      <c r="I27259" s="137" t="s">
        <v>74</v>
      </c>
    </row>
    <row r="27260" spans="9:9" x14ac:dyDescent="0.2">
      <c r="I27260" s="137" t="s">
        <v>74</v>
      </c>
    </row>
    <row r="27261" spans="9:9" x14ac:dyDescent="0.2">
      <c r="I27261" s="137" t="s">
        <v>74</v>
      </c>
    </row>
    <row r="27262" spans="9:9" x14ac:dyDescent="0.2">
      <c r="I27262" s="137" t="s">
        <v>74</v>
      </c>
    </row>
    <row r="27263" spans="9:9" x14ac:dyDescent="0.2">
      <c r="I27263" s="137" t="s">
        <v>74</v>
      </c>
    </row>
    <row r="27264" spans="9:9" x14ac:dyDescent="0.2">
      <c r="I27264" s="137" t="s">
        <v>74</v>
      </c>
    </row>
    <row r="27265" spans="9:9" x14ac:dyDescent="0.2">
      <c r="I27265" s="137" t="s">
        <v>74</v>
      </c>
    </row>
    <row r="27266" spans="9:9" x14ac:dyDescent="0.2">
      <c r="I27266" s="137" t="s">
        <v>74</v>
      </c>
    </row>
    <row r="27267" spans="9:9" x14ac:dyDescent="0.2">
      <c r="I27267" s="137" t="s">
        <v>74</v>
      </c>
    </row>
    <row r="27268" spans="9:9" x14ac:dyDescent="0.2">
      <c r="I27268" s="137" t="s">
        <v>74</v>
      </c>
    </row>
    <row r="27269" spans="9:9" x14ac:dyDescent="0.2">
      <c r="I27269" s="137" t="s">
        <v>74</v>
      </c>
    </row>
    <row r="27270" spans="9:9" x14ac:dyDescent="0.2">
      <c r="I27270" s="137" t="s">
        <v>74</v>
      </c>
    </row>
    <row r="27271" spans="9:9" x14ac:dyDescent="0.2">
      <c r="I27271" s="137" t="s">
        <v>74</v>
      </c>
    </row>
    <row r="27272" spans="9:9" x14ac:dyDescent="0.2">
      <c r="I27272" s="137" t="s">
        <v>74</v>
      </c>
    </row>
    <row r="27273" spans="9:9" x14ac:dyDescent="0.2">
      <c r="I27273" s="137" t="s">
        <v>74</v>
      </c>
    </row>
    <row r="27274" spans="9:9" x14ac:dyDescent="0.2">
      <c r="I27274" s="137" t="s">
        <v>74</v>
      </c>
    </row>
    <row r="27275" spans="9:9" x14ac:dyDescent="0.2">
      <c r="I27275" s="137" t="s">
        <v>74</v>
      </c>
    </row>
    <row r="27276" spans="9:9" x14ac:dyDescent="0.2">
      <c r="I27276" s="137" t="s">
        <v>74</v>
      </c>
    </row>
    <row r="27277" spans="9:9" x14ac:dyDescent="0.2">
      <c r="I27277" s="137" t="s">
        <v>74</v>
      </c>
    </row>
    <row r="27278" spans="9:9" x14ac:dyDescent="0.2">
      <c r="I27278" s="137" t="s">
        <v>74</v>
      </c>
    </row>
    <row r="27279" spans="9:9" x14ac:dyDescent="0.2">
      <c r="I27279" s="137" t="s">
        <v>74</v>
      </c>
    </row>
    <row r="27280" spans="9:9" x14ac:dyDescent="0.2">
      <c r="I27280" s="137" t="s">
        <v>74</v>
      </c>
    </row>
    <row r="27281" spans="9:9" x14ac:dyDescent="0.2">
      <c r="I27281" s="137" t="s">
        <v>74</v>
      </c>
    </row>
    <row r="27282" spans="9:9" x14ac:dyDescent="0.2">
      <c r="I27282" s="137" t="s">
        <v>74</v>
      </c>
    </row>
    <row r="27283" spans="9:9" x14ac:dyDescent="0.2">
      <c r="I27283" s="137" t="s">
        <v>74</v>
      </c>
    </row>
    <row r="27284" spans="9:9" x14ac:dyDescent="0.2">
      <c r="I27284" s="137" t="s">
        <v>74</v>
      </c>
    </row>
    <row r="27285" spans="9:9" x14ac:dyDescent="0.2">
      <c r="I27285" s="137" t="s">
        <v>74</v>
      </c>
    </row>
    <row r="27286" spans="9:9" x14ac:dyDescent="0.2">
      <c r="I27286" s="137" t="s">
        <v>74</v>
      </c>
    </row>
    <row r="27287" spans="9:9" x14ac:dyDescent="0.2">
      <c r="I27287" s="137" t="s">
        <v>74</v>
      </c>
    </row>
    <row r="27288" spans="9:9" x14ac:dyDescent="0.2">
      <c r="I27288" s="137" t="s">
        <v>74</v>
      </c>
    </row>
    <row r="27289" spans="9:9" x14ac:dyDescent="0.2">
      <c r="I27289" s="137" t="s">
        <v>74</v>
      </c>
    </row>
    <row r="27290" spans="9:9" x14ac:dyDescent="0.2">
      <c r="I27290" s="137" t="s">
        <v>74</v>
      </c>
    </row>
    <row r="27291" spans="9:9" x14ac:dyDescent="0.2">
      <c r="I27291" s="137" t="s">
        <v>74</v>
      </c>
    </row>
    <row r="27292" spans="9:9" x14ac:dyDescent="0.2">
      <c r="I27292" s="137" t="s">
        <v>74</v>
      </c>
    </row>
    <row r="27293" spans="9:9" x14ac:dyDescent="0.2">
      <c r="I27293" s="137" t="s">
        <v>74</v>
      </c>
    </row>
    <row r="27294" spans="9:9" x14ac:dyDescent="0.2">
      <c r="I27294" s="137" t="s">
        <v>74</v>
      </c>
    </row>
    <row r="27295" spans="9:9" x14ac:dyDescent="0.2">
      <c r="I27295" s="137" t="s">
        <v>74</v>
      </c>
    </row>
    <row r="27296" spans="9:9" x14ac:dyDescent="0.2">
      <c r="I27296" s="137" t="s">
        <v>74</v>
      </c>
    </row>
    <row r="27297" spans="9:9" x14ac:dyDescent="0.2">
      <c r="I27297" s="137" t="s">
        <v>74</v>
      </c>
    </row>
    <row r="27298" spans="9:9" x14ac:dyDescent="0.2">
      <c r="I27298" s="137" t="s">
        <v>74</v>
      </c>
    </row>
    <row r="27299" spans="9:9" x14ac:dyDescent="0.2">
      <c r="I27299" s="137" t="s">
        <v>74</v>
      </c>
    </row>
    <row r="27300" spans="9:9" x14ac:dyDescent="0.2">
      <c r="I27300" s="137" t="s">
        <v>74</v>
      </c>
    </row>
    <row r="27301" spans="9:9" x14ac:dyDescent="0.2">
      <c r="I27301" s="137" t="s">
        <v>74</v>
      </c>
    </row>
    <row r="27302" spans="9:9" x14ac:dyDescent="0.2">
      <c r="I27302" s="137" t="s">
        <v>74</v>
      </c>
    </row>
    <row r="27303" spans="9:9" x14ac:dyDescent="0.2">
      <c r="I27303" s="137" t="s">
        <v>74</v>
      </c>
    </row>
    <row r="27304" spans="9:9" x14ac:dyDescent="0.2">
      <c r="I27304" s="137" t="s">
        <v>74</v>
      </c>
    </row>
    <row r="27305" spans="9:9" x14ac:dyDescent="0.2">
      <c r="I27305" s="137" t="s">
        <v>74</v>
      </c>
    </row>
    <row r="27306" spans="9:9" x14ac:dyDescent="0.2">
      <c r="I27306" s="137" t="s">
        <v>74</v>
      </c>
    </row>
    <row r="27307" spans="9:9" x14ac:dyDescent="0.2">
      <c r="I27307" s="137" t="s">
        <v>74</v>
      </c>
    </row>
    <row r="27308" spans="9:9" x14ac:dyDescent="0.2">
      <c r="I27308" s="137" t="s">
        <v>74</v>
      </c>
    </row>
    <row r="27309" spans="9:9" x14ac:dyDescent="0.2">
      <c r="I27309" s="137" t="s">
        <v>74</v>
      </c>
    </row>
    <row r="27310" spans="9:9" x14ac:dyDescent="0.2">
      <c r="I27310" s="137" t="s">
        <v>74</v>
      </c>
    </row>
    <row r="27311" spans="9:9" x14ac:dyDescent="0.2">
      <c r="I27311" s="137" t="s">
        <v>74</v>
      </c>
    </row>
    <row r="27312" spans="9:9" x14ac:dyDescent="0.2">
      <c r="I27312" s="137" t="s">
        <v>74</v>
      </c>
    </row>
    <row r="27313" spans="9:9" x14ac:dyDescent="0.2">
      <c r="I27313" s="137" t="s">
        <v>74</v>
      </c>
    </row>
    <row r="27314" spans="9:9" x14ac:dyDescent="0.2">
      <c r="I27314" s="137" t="s">
        <v>74</v>
      </c>
    </row>
    <row r="27315" spans="9:9" x14ac:dyDescent="0.2">
      <c r="I27315" s="137" t="s">
        <v>74</v>
      </c>
    </row>
    <row r="27316" spans="9:9" x14ac:dyDescent="0.2">
      <c r="I27316" s="137" t="s">
        <v>74</v>
      </c>
    </row>
    <row r="27317" spans="9:9" x14ac:dyDescent="0.2">
      <c r="I27317" s="137" t="s">
        <v>74</v>
      </c>
    </row>
    <row r="27318" spans="9:9" x14ac:dyDescent="0.2">
      <c r="I27318" s="137" t="s">
        <v>74</v>
      </c>
    </row>
    <row r="27319" spans="9:9" x14ac:dyDescent="0.2">
      <c r="I27319" s="137" t="s">
        <v>74</v>
      </c>
    </row>
    <row r="27320" spans="9:9" x14ac:dyDescent="0.2">
      <c r="I27320" s="137" t="s">
        <v>74</v>
      </c>
    </row>
    <row r="27321" spans="9:9" x14ac:dyDescent="0.2">
      <c r="I27321" s="137" t="s">
        <v>74</v>
      </c>
    </row>
    <row r="27322" spans="9:9" x14ac:dyDescent="0.2">
      <c r="I27322" s="137" t="s">
        <v>74</v>
      </c>
    </row>
    <row r="27323" spans="9:9" x14ac:dyDescent="0.2">
      <c r="I27323" s="137" t="s">
        <v>74</v>
      </c>
    </row>
    <row r="27324" spans="9:9" x14ac:dyDescent="0.2">
      <c r="I27324" s="137" t="s">
        <v>74</v>
      </c>
    </row>
    <row r="27325" spans="9:9" x14ac:dyDescent="0.2">
      <c r="I27325" s="137" t="s">
        <v>74</v>
      </c>
    </row>
    <row r="27326" spans="9:9" x14ac:dyDescent="0.2">
      <c r="I27326" s="137" t="s">
        <v>74</v>
      </c>
    </row>
    <row r="27327" spans="9:9" x14ac:dyDescent="0.2">
      <c r="I27327" s="137" t="s">
        <v>74</v>
      </c>
    </row>
    <row r="27328" spans="9:9" x14ac:dyDescent="0.2">
      <c r="I27328" s="137" t="s">
        <v>74</v>
      </c>
    </row>
    <row r="27329" spans="9:9" x14ac:dyDescent="0.2">
      <c r="I27329" s="137" t="s">
        <v>74</v>
      </c>
    </row>
    <row r="27330" spans="9:9" x14ac:dyDescent="0.2">
      <c r="I27330" s="137" t="s">
        <v>74</v>
      </c>
    </row>
    <row r="27331" spans="9:9" x14ac:dyDescent="0.2">
      <c r="I27331" s="137" t="s">
        <v>74</v>
      </c>
    </row>
    <row r="27332" spans="9:9" x14ac:dyDescent="0.2">
      <c r="I27332" s="137" t="s">
        <v>74</v>
      </c>
    </row>
    <row r="27333" spans="9:9" x14ac:dyDescent="0.2">
      <c r="I27333" s="137" t="s">
        <v>74</v>
      </c>
    </row>
    <row r="27334" spans="9:9" x14ac:dyDescent="0.2">
      <c r="I27334" s="137" t="s">
        <v>74</v>
      </c>
    </row>
    <row r="27335" spans="9:9" x14ac:dyDescent="0.2">
      <c r="I27335" s="137" t="s">
        <v>74</v>
      </c>
    </row>
    <row r="27336" spans="9:9" x14ac:dyDescent="0.2">
      <c r="I27336" s="137" t="s">
        <v>74</v>
      </c>
    </row>
    <row r="27337" spans="9:9" x14ac:dyDescent="0.2">
      <c r="I27337" s="137" t="s">
        <v>74</v>
      </c>
    </row>
    <row r="27338" spans="9:9" x14ac:dyDescent="0.2">
      <c r="I27338" s="137" t="s">
        <v>74</v>
      </c>
    </row>
    <row r="27339" spans="9:9" x14ac:dyDescent="0.2">
      <c r="I27339" s="137" t="s">
        <v>74</v>
      </c>
    </row>
    <row r="27340" spans="9:9" x14ac:dyDescent="0.2">
      <c r="I27340" s="137" t="s">
        <v>74</v>
      </c>
    </row>
    <row r="27341" spans="9:9" x14ac:dyDescent="0.2">
      <c r="I27341" s="137" t="s">
        <v>74</v>
      </c>
    </row>
    <row r="27342" spans="9:9" x14ac:dyDescent="0.2">
      <c r="I27342" s="137" t="s">
        <v>74</v>
      </c>
    </row>
    <row r="27343" spans="9:9" x14ac:dyDescent="0.2">
      <c r="I27343" s="137" t="s">
        <v>74</v>
      </c>
    </row>
    <row r="27344" spans="9:9" x14ac:dyDescent="0.2">
      <c r="I27344" s="137" t="s">
        <v>74</v>
      </c>
    </row>
    <row r="27345" spans="9:9" x14ac:dyDescent="0.2">
      <c r="I27345" s="137" t="s">
        <v>74</v>
      </c>
    </row>
    <row r="27346" spans="9:9" x14ac:dyDescent="0.2">
      <c r="I27346" s="137" t="s">
        <v>74</v>
      </c>
    </row>
    <row r="27347" spans="9:9" x14ac:dyDescent="0.2">
      <c r="I27347" s="137" t="s">
        <v>74</v>
      </c>
    </row>
    <row r="27348" spans="9:9" x14ac:dyDescent="0.2">
      <c r="I27348" s="137" t="s">
        <v>74</v>
      </c>
    </row>
    <row r="27349" spans="9:9" x14ac:dyDescent="0.2">
      <c r="I27349" s="137" t="s">
        <v>74</v>
      </c>
    </row>
    <row r="27350" spans="9:9" x14ac:dyDescent="0.2">
      <c r="I27350" s="137" t="s">
        <v>74</v>
      </c>
    </row>
    <row r="27351" spans="9:9" x14ac:dyDescent="0.2">
      <c r="I27351" s="137" t="s">
        <v>74</v>
      </c>
    </row>
    <row r="27352" spans="9:9" x14ac:dyDescent="0.2">
      <c r="I27352" s="137" t="s">
        <v>74</v>
      </c>
    </row>
    <row r="27353" spans="9:9" x14ac:dyDescent="0.2">
      <c r="I27353" s="137" t="s">
        <v>74</v>
      </c>
    </row>
    <row r="27354" spans="9:9" x14ac:dyDescent="0.2">
      <c r="I27354" s="137" t="s">
        <v>74</v>
      </c>
    </row>
    <row r="27355" spans="9:9" x14ac:dyDescent="0.2">
      <c r="I27355" s="137" t="s">
        <v>74</v>
      </c>
    </row>
    <row r="27356" spans="9:9" x14ac:dyDescent="0.2">
      <c r="I27356" s="137" t="s">
        <v>74</v>
      </c>
    </row>
    <row r="27357" spans="9:9" x14ac:dyDescent="0.2">
      <c r="I27357" s="137" t="s">
        <v>74</v>
      </c>
    </row>
    <row r="27358" spans="9:9" x14ac:dyDescent="0.2">
      <c r="I27358" s="137" t="s">
        <v>74</v>
      </c>
    </row>
    <row r="27359" spans="9:9" x14ac:dyDescent="0.2">
      <c r="I27359" s="137" t="s">
        <v>74</v>
      </c>
    </row>
    <row r="27360" spans="9:9" x14ac:dyDescent="0.2">
      <c r="I27360" s="137" t="s">
        <v>74</v>
      </c>
    </row>
    <row r="27361" spans="9:9" x14ac:dyDescent="0.2">
      <c r="I27361" s="137" t="s">
        <v>74</v>
      </c>
    </row>
    <row r="27362" spans="9:9" x14ac:dyDescent="0.2">
      <c r="I27362" s="137" t="s">
        <v>74</v>
      </c>
    </row>
    <row r="27363" spans="9:9" x14ac:dyDescent="0.2">
      <c r="I27363" s="137" t="s">
        <v>74</v>
      </c>
    </row>
    <row r="27364" spans="9:9" x14ac:dyDescent="0.2">
      <c r="I27364" s="137" t="s">
        <v>74</v>
      </c>
    </row>
    <row r="27365" spans="9:9" x14ac:dyDescent="0.2">
      <c r="I27365" s="137" t="s">
        <v>74</v>
      </c>
    </row>
    <row r="27366" spans="9:9" x14ac:dyDescent="0.2">
      <c r="I27366" s="137" t="s">
        <v>74</v>
      </c>
    </row>
    <row r="27367" spans="9:9" x14ac:dyDescent="0.2">
      <c r="I27367" s="137" t="s">
        <v>74</v>
      </c>
    </row>
    <row r="27368" spans="9:9" x14ac:dyDescent="0.2">
      <c r="I27368" s="137" t="s">
        <v>74</v>
      </c>
    </row>
    <row r="27369" spans="9:9" x14ac:dyDescent="0.2">
      <c r="I27369" s="137" t="s">
        <v>74</v>
      </c>
    </row>
    <row r="27370" spans="9:9" x14ac:dyDescent="0.2">
      <c r="I27370" s="137" t="s">
        <v>74</v>
      </c>
    </row>
    <row r="27371" spans="9:9" x14ac:dyDescent="0.2">
      <c r="I27371" s="137" t="s">
        <v>74</v>
      </c>
    </row>
    <row r="27372" spans="9:9" x14ac:dyDescent="0.2">
      <c r="I27372" s="137" t="s">
        <v>74</v>
      </c>
    </row>
    <row r="27373" spans="9:9" x14ac:dyDescent="0.2">
      <c r="I27373" s="137" t="s">
        <v>74</v>
      </c>
    </row>
    <row r="27374" spans="9:9" x14ac:dyDescent="0.2">
      <c r="I27374" s="137" t="s">
        <v>74</v>
      </c>
    </row>
    <row r="27375" spans="9:9" x14ac:dyDescent="0.2">
      <c r="I27375" s="137" t="s">
        <v>74</v>
      </c>
    </row>
    <row r="27376" spans="9:9" x14ac:dyDescent="0.2">
      <c r="I27376" s="137" t="s">
        <v>74</v>
      </c>
    </row>
    <row r="27377" spans="9:9" x14ac:dyDescent="0.2">
      <c r="I27377" s="137" t="s">
        <v>74</v>
      </c>
    </row>
    <row r="27378" spans="9:9" x14ac:dyDescent="0.2">
      <c r="I27378" s="137" t="s">
        <v>74</v>
      </c>
    </row>
    <row r="27379" spans="9:9" x14ac:dyDescent="0.2">
      <c r="I27379" s="137" t="s">
        <v>74</v>
      </c>
    </row>
    <row r="27380" spans="9:9" x14ac:dyDescent="0.2">
      <c r="I27380" s="137" t="s">
        <v>74</v>
      </c>
    </row>
    <row r="27381" spans="9:9" x14ac:dyDescent="0.2">
      <c r="I27381" s="137" t="s">
        <v>74</v>
      </c>
    </row>
    <row r="27382" spans="9:9" x14ac:dyDescent="0.2">
      <c r="I27382" s="137" t="s">
        <v>74</v>
      </c>
    </row>
    <row r="27383" spans="9:9" x14ac:dyDescent="0.2">
      <c r="I27383" s="137" t="s">
        <v>74</v>
      </c>
    </row>
    <row r="27384" spans="9:9" x14ac:dyDescent="0.2">
      <c r="I27384" s="137" t="s">
        <v>74</v>
      </c>
    </row>
    <row r="27385" spans="9:9" x14ac:dyDescent="0.2">
      <c r="I27385" s="137" t="s">
        <v>74</v>
      </c>
    </row>
    <row r="27386" spans="9:9" x14ac:dyDescent="0.2">
      <c r="I27386" s="137" t="s">
        <v>74</v>
      </c>
    </row>
    <row r="27387" spans="9:9" x14ac:dyDescent="0.2">
      <c r="I27387" s="137" t="s">
        <v>74</v>
      </c>
    </row>
    <row r="27388" spans="9:9" x14ac:dyDescent="0.2">
      <c r="I27388" s="137" t="s">
        <v>74</v>
      </c>
    </row>
    <row r="27389" spans="9:9" x14ac:dyDescent="0.2">
      <c r="I27389" s="137" t="s">
        <v>74</v>
      </c>
    </row>
    <row r="27390" spans="9:9" x14ac:dyDescent="0.2">
      <c r="I27390" s="137" t="s">
        <v>74</v>
      </c>
    </row>
    <row r="27391" spans="9:9" x14ac:dyDescent="0.2">
      <c r="I27391" s="137" t="s">
        <v>74</v>
      </c>
    </row>
    <row r="27392" spans="9:9" x14ac:dyDescent="0.2">
      <c r="I27392" s="137" t="s">
        <v>74</v>
      </c>
    </row>
    <row r="27393" spans="9:9" x14ac:dyDescent="0.2">
      <c r="I27393" s="137" t="s">
        <v>74</v>
      </c>
    </row>
    <row r="27394" spans="9:9" x14ac:dyDescent="0.2">
      <c r="I27394" s="137" t="s">
        <v>74</v>
      </c>
    </row>
    <row r="27395" spans="9:9" x14ac:dyDescent="0.2">
      <c r="I27395" s="137" t="s">
        <v>74</v>
      </c>
    </row>
    <row r="27396" spans="9:9" x14ac:dyDescent="0.2">
      <c r="I27396" s="137" t="s">
        <v>74</v>
      </c>
    </row>
    <row r="27397" spans="9:9" x14ac:dyDescent="0.2">
      <c r="I27397" s="137" t="s">
        <v>74</v>
      </c>
    </row>
    <row r="27398" spans="9:9" x14ac:dyDescent="0.2">
      <c r="I27398" s="137" t="s">
        <v>74</v>
      </c>
    </row>
    <row r="27399" spans="9:9" x14ac:dyDescent="0.2">
      <c r="I27399" s="137" t="s">
        <v>74</v>
      </c>
    </row>
    <row r="27400" spans="9:9" x14ac:dyDescent="0.2">
      <c r="I27400" s="137" t="s">
        <v>74</v>
      </c>
    </row>
    <row r="27401" spans="9:9" x14ac:dyDescent="0.2">
      <c r="I27401" s="137" t="s">
        <v>74</v>
      </c>
    </row>
    <row r="27402" spans="9:9" x14ac:dyDescent="0.2">
      <c r="I27402" s="137" t="s">
        <v>74</v>
      </c>
    </row>
    <row r="27403" spans="9:9" x14ac:dyDescent="0.2">
      <c r="I27403" s="137" t="s">
        <v>74</v>
      </c>
    </row>
    <row r="27404" spans="9:9" x14ac:dyDescent="0.2">
      <c r="I27404" s="137" t="s">
        <v>74</v>
      </c>
    </row>
    <row r="27405" spans="9:9" x14ac:dyDescent="0.2">
      <c r="I27405" s="137" t="s">
        <v>74</v>
      </c>
    </row>
    <row r="27406" spans="9:9" x14ac:dyDescent="0.2">
      <c r="I27406" s="137" t="s">
        <v>74</v>
      </c>
    </row>
    <row r="27407" spans="9:9" x14ac:dyDescent="0.2">
      <c r="I27407" s="137" t="s">
        <v>74</v>
      </c>
    </row>
    <row r="27408" spans="9:9" x14ac:dyDescent="0.2">
      <c r="I27408" s="137" t="s">
        <v>74</v>
      </c>
    </row>
    <row r="27409" spans="9:9" x14ac:dyDescent="0.2">
      <c r="I27409" s="137" t="s">
        <v>74</v>
      </c>
    </row>
    <row r="27410" spans="9:9" x14ac:dyDescent="0.2">
      <c r="I27410" s="137" t="s">
        <v>74</v>
      </c>
    </row>
    <row r="27411" spans="9:9" x14ac:dyDescent="0.2">
      <c r="I27411" s="137" t="s">
        <v>74</v>
      </c>
    </row>
    <row r="27412" spans="9:9" x14ac:dyDescent="0.2">
      <c r="I27412" s="137" t="s">
        <v>74</v>
      </c>
    </row>
    <row r="27413" spans="9:9" x14ac:dyDescent="0.2">
      <c r="I27413" s="137" t="s">
        <v>74</v>
      </c>
    </row>
    <row r="27414" spans="9:9" x14ac:dyDescent="0.2">
      <c r="I27414" s="137" t="s">
        <v>74</v>
      </c>
    </row>
    <row r="27415" spans="9:9" x14ac:dyDescent="0.2">
      <c r="I27415" s="137" t="s">
        <v>74</v>
      </c>
    </row>
    <row r="27416" spans="9:9" x14ac:dyDescent="0.2">
      <c r="I27416" s="137" t="s">
        <v>74</v>
      </c>
    </row>
    <row r="27417" spans="9:9" x14ac:dyDescent="0.2">
      <c r="I27417" s="137" t="s">
        <v>74</v>
      </c>
    </row>
    <row r="27418" spans="9:9" x14ac:dyDescent="0.2">
      <c r="I27418" s="137" t="s">
        <v>74</v>
      </c>
    </row>
    <row r="27419" spans="9:9" x14ac:dyDescent="0.2">
      <c r="I27419" s="137" t="s">
        <v>74</v>
      </c>
    </row>
    <row r="27420" spans="9:9" x14ac:dyDescent="0.2">
      <c r="I27420" s="137" t="s">
        <v>74</v>
      </c>
    </row>
    <row r="27421" spans="9:9" x14ac:dyDescent="0.2">
      <c r="I27421" s="137" t="s">
        <v>74</v>
      </c>
    </row>
    <row r="27422" spans="9:9" x14ac:dyDescent="0.2">
      <c r="I27422" s="137" t="s">
        <v>74</v>
      </c>
    </row>
    <row r="27423" spans="9:9" x14ac:dyDescent="0.2">
      <c r="I27423" s="137" t="s">
        <v>74</v>
      </c>
    </row>
    <row r="27424" spans="9:9" x14ac:dyDescent="0.2">
      <c r="I27424" s="137" t="s">
        <v>74</v>
      </c>
    </row>
    <row r="27425" spans="9:9" x14ac:dyDescent="0.2">
      <c r="I27425" s="137" t="s">
        <v>74</v>
      </c>
    </row>
    <row r="27426" spans="9:9" x14ac:dyDescent="0.2">
      <c r="I27426" s="137" t="s">
        <v>74</v>
      </c>
    </row>
    <row r="27427" spans="9:9" x14ac:dyDescent="0.2">
      <c r="I27427" s="137" t="s">
        <v>74</v>
      </c>
    </row>
    <row r="27428" spans="9:9" x14ac:dyDescent="0.2">
      <c r="I27428" s="137" t="s">
        <v>74</v>
      </c>
    </row>
    <row r="27429" spans="9:9" x14ac:dyDescent="0.2">
      <c r="I27429" s="137" t="s">
        <v>74</v>
      </c>
    </row>
    <row r="27430" spans="9:9" x14ac:dyDescent="0.2">
      <c r="I27430" s="137" t="s">
        <v>74</v>
      </c>
    </row>
    <row r="27431" spans="9:9" x14ac:dyDescent="0.2">
      <c r="I27431" s="137" t="s">
        <v>74</v>
      </c>
    </row>
    <row r="27432" spans="9:9" x14ac:dyDescent="0.2">
      <c r="I27432" s="137" t="s">
        <v>74</v>
      </c>
    </row>
    <row r="27433" spans="9:9" x14ac:dyDescent="0.2">
      <c r="I27433" s="137" t="s">
        <v>74</v>
      </c>
    </row>
    <row r="27434" spans="9:9" x14ac:dyDescent="0.2">
      <c r="I27434" s="137" t="s">
        <v>74</v>
      </c>
    </row>
    <row r="27435" spans="9:9" x14ac:dyDescent="0.2">
      <c r="I27435" s="137" t="s">
        <v>74</v>
      </c>
    </row>
    <row r="27436" spans="9:9" x14ac:dyDescent="0.2">
      <c r="I27436" s="137" t="s">
        <v>74</v>
      </c>
    </row>
    <row r="27437" spans="9:9" x14ac:dyDescent="0.2">
      <c r="I27437" s="137" t="s">
        <v>74</v>
      </c>
    </row>
    <row r="27438" spans="9:9" x14ac:dyDescent="0.2">
      <c r="I27438" s="137" t="s">
        <v>74</v>
      </c>
    </row>
    <row r="27439" spans="9:9" x14ac:dyDescent="0.2">
      <c r="I27439" s="137" t="s">
        <v>74</v>
      </c>
    </row>
    <row r="27440" spans="9:9" x14ac:dyDescent="0.2">
      <c r="I27440" s="137" t="s">
        <v>74</v>
      </c>
    </row>
    <row r="27441" spans="9:9" x14ac:dyDescent="0.2">
      <c r="I27441" s="137" t="s">
        <v>74</v>
      </c>
    </row>
    <row r="27442" spans="9:9" x14ac:dyDescent="0.2">
      <c r="I27442" s="137" t="s">
        <v>74</v>
      </c>
    </row>
    <row r="27443" spans="9:9" x14ac:dyDescent="0.2">
      <c r="I27443" s="137" t="s">
        <v>74</v>
      </c>
    </row>
    <row r="27444" spans="9:9" x14ac:dyDescent="0.2">
      <c r="I27444" s="137" t="s">
        <v>74</v>
      </c>
    </row>
    <row r="27445" spans="9:9" x14ac:dyDescent="0.2">
      <c r="I27445" s="137" t="s">
        <v>74</v>
      </c>
    </row>
    <row r="27446" spans="9:9" x14ac:dyDescent="0.2">
      <c r="I27446" s="137" t="s">
        <v>74</v>
      </c>
    </row>
    <row r="27447" spans="9:9" x14ac:dyDescent="0.2">
      <c r="I27447" s="137" t="s">
        <v>74</v>
      </c>
    </row>
    <row r="27448" spans="9:9" x14ac:dyDescent="0.2">
      <c r="I27448" s="137" t="s">
        <v>74</v>
      </c>
    </row>
    <row r="27449" spans="9:9" x14ac:dyDescent="0.2">
      <c r="I27449" s="137" t="s">
        <v>74</v>
      </c>
    </row>
    <row r="27450" spans="9:9" x14ac:dyDescent="0.2">
      <c r="I27450" s="137" t="s">
        <v>74</v>
      </c>
    </row>
    <row r="27451" spans="9:9" x14ac:dyDescent="0.2">
      <c r="I27451" s="137" t="s">
        <v>74</v>
      </c>
    </row>
    <row r="27452" spans="9:9" x14ac:dyDescent="0.2">
      <c r="I27452" s="137" t="s">
        <v>74</v>
      </c>
    </row>
    <row r="27453" spans="9:9" x14ac:dyDescent="0.2">
      <c r="I27453" s="137" t="s">
        <v>74</v>
      </c>
    </row>
    <row r="27454" spans="9:9" x14ac:dyDescent="0.2">
      <c r="I27454" s="137" t="s">
        <v>74</v>
      </c>
    </row>
    <row r="27455" spans="9:9" x14ac:dyDescent="0.2">
      <c r="I27455" s="137" t="s">
        <v>74</v>
      </c>
    </row>
    <row r="27456" spans="9:9" x14ac:dyDescent="0.2">
      <c r="I27456" s="137" t="s">
        <v>74</v>
      </c>
    </row>
    <row r="27457" spans="9:9" x14ac:dyDescent="0.2">
      <c r="I27457" s="137" t="s">
        <v>74</v>
      </c>
    </row>
    <row r="27458" spans="9:9" x14ac:dyDescent="0.2">
      <c r="I27458" s="137" t="s">
        <v>74</v>
      </c>
    </row>
    <row r="27459" spans="9:9" x14ac:dyDescent="0.2">
      <c r="I27459" s="137" t="s">
        <v>74</v>
      </c>
    </row>
    <row r="27460" spans="9:9" x14ac:dyDescent="0.2">
      <c r="I27460" s="137" t="s">
        <v>74</v>
      </c>
    </row>
    <row r="27461" spans="9:9" x14ac:dyDescent="0.2">
      <c r="I27461" s="137" t="s">
        <v>74</v>
      </c>
    </row>
    <row r="27462" spans="9:9" x14ac:dyDescent="0.2">
      <c r="I27462" s="137" t="s">
        <v>74</v>
      </c>
    </row>
    <row r="27463" spans="9:9" x14ac:dyDescent="0.2">
      <c r="I27463" s="137" t="s">
        <v>74</v>
      </c>
    </row>
    <row r="27464" spans="9:9" x14ac:dyDescent="0.2">
      <c r="I27464" s="137" t="s">
        <v>74</v>
      </c>
    </row>
    <row r="27465" spans="9:9" x14ac:dyDescent="0.2">
      <c r="I27465" s="137" t="s">
        <v>74</v>
      </c>
    </row>
    <row r="27466" spans="9:9" x14ac:dyDescent="0.2">
      <c r="I27466" s="137" t="s">
        <v>74</v>
      </c>
    </row>
    <row r="27467" spans="9:9" x14ac:dyDescent="0.2">
      <c r="I27467" s="137" t="s">
        <v>74</v>
      </c>
    </row>
    <row r="27468" spans="9:9" x14ac:dyDescent="0.2">
      <c r="I27468" s="137" t="s">
        <v>74</v>
      </c>
    </row>
    <row r="27469" spans="9:9" x14ac:dyDescent="0.2">
      <c r="I27469" s="137" t="s">
        <v>74</v>
      </c>
    </row>
    <row r="27470" spans="9:9" x14ac:dyDescent="0.2">
      <c r="I27470" s="137" t="s">
        <v>74</v>
      </c>
    </row>
    <row r="27471" spans="9:9" x14ac:dyDescent="0.2">
      <c r="I27471" s="137" t="s">
        <v>74</v>
      </c>
    </row>
    <row r="27472" spans="9:9" x14ac:dyDescent="0.2">
      <c r="I27472" s="137" t="s">
        <v>74</v>
      </c>
    </row>
    <row r="27473" spans="9:9" x14ac:dyDescent="0.2">
      <c r="I27473" s="137" t="s">
        <v>74</v>
      </c>
    </row>
    <row r="27474" spans="9:9" x14ac:dyDescent="0.2">
      <c r="I27474" s="137" t="s">
        <v>74</v>
      </c>
    </row>
    <row r="27475" spans="9:9" x14ac:dyDescent="0.2">
      <c r="I27475" s="137" t="s">
        <v>74</v>
      </c>
    </row>
    <row r="27476" spans="9:9" x14ac:dyDescent="0.2">
      <c r="I27476" s="137" t="s">
        <v>74</v>
      </c>
    </row>
    <row r="27477" spans="9:9" x14ac:dyDescent="0.2">
      <c r="I27477" s="137" t="s">
        <v>74</v>
      </c>
    </row>
    <row r="27478" spans="9:9" x14ac:dyDescent="0.2">
      <c r="I27478" s="137" t="s">
        <v>74</v>
      </c>
    </row>
    <row r="27479" spans="9:9" x14ac:dyDescent="0.2">
      <c r="I27479" s="137" t="s">
        <v>74</v>
      </c>
    </row>
    <row r="27480" spans="9:9" x14ac:dyDescent="0.2">
      <c r="I27480" s="137" t="s">
        <v>74</v>
      </c>
    </row>
    <row r="27481" spans="9:9" x14ac:dyDescent="0.2">
      <c r="I27481" s="137" t="s">
        <v>74</v>
      </c>
    </row>
    <row r="27482" spans="9:9" x14ac:dyDescent="0.2">
      <c r="I27482" s="137" t="s">
        <v>74</v>
      </c>
    </row>
    <row r="27483" spans="9:9" x14ac:dyDescent="0.2">
      <c r="I27483" s="137" t="s">
        <v>74</v>
      </c>
    </row>
    <row r="27484" spans="9:9" x14ac:dyDescent="0.2">
      <c r="I27484" s="137" t="s">
        <v>74</v>
      </c>
    </row>
    <row r="27485" spans="9:9" x14ac:dyDescent="0.2">
      <c r="I27485" s="137" t="s">
        <v>74</v>
      </c>
    </row>
    <row r="27486" spans="9:9" x14ac:dyDescent="0.2">
      <c r="I27486" s="137" t="s">
        <v>74</v>
      </c>
    </row>
    <row r="27487" spans="9:9" x14ac:dyDescent="0.2">
      <c r="I27487" s="137" t="s">
        <v>74</v>
      </c>
    </row>
    <row r="27488" spans="9:9" x14ac:dyDescent="0.2">
      <c r="I27488" s="137" t="s">
        <v>74</v>
      </c>
    </row>
    <row r="27489" spans="9:9" x14ac:dyDescent="0.2">
      <c r="I27489" s="137" t="s">
        <v>74</v>
      </c>
    </row>
    <row r="27490" spans="9:9" x14ac:dyDescent="0.2">
      <c r="I27490" s="137" t="s">
        <v>74</v>
      </c>
    </row>
    <row r="27491" spans="9:9" x14ac:dyDescent="0.2">
      <c r="I27491" s="137" t="s">
        <v>74</v>
      </c>
    </row>
    <row r="27492" spans="9:9" x14ac:dyDescent="0.2">
      <c r="I27492" s="137" t="s">
        <v>74</v>
      </c>
    </row>
    <row r="27493" spans="9:9" x14ac:dyDescent="0.2">
      <c r="I27493" s="137" t="s">
        <v>74</v>
      </c>
    </row>
    <row r="27494" spans="9:9" x14ac:dyDescent="0.2">
      <c r="I27494" s="137" t="s">
        <v>74</v>
      </c>
    </row>
    <row r="27495" spans="9:9" x14ac:dyDescent="0.2">
      <c r="I27495" s="137" t="s">
        <v>74</v>
      </c>
    </row>
    <row r="27496" spans="9:9" x14ac:dyDescent="0.2">
      <c r="I27496" s="137" t="s">
        <v>74</v>
      </c>
    </row>
    <row r="27497" spans="9:9" x14ac:dyDescent="0.2">
      <c r="I27497" s="137" t="s">
        <v>74</v>
      </c>
    </row>
    <row r="27498" spans="9:9" x14ac:dyDescent="0.2">
      <c r="I27498" s="137" t="s">
        <v>74</v>
      </c>
    </row>
    <row r="27499" spans="9:9" x14ac:dyDescent="0.2">
      <c r="I27499" s="137" t="s">
        <v>74</v>
      </c>
    </row>
    <row r="27500" spans="9:9" x14ac:dyDescent="0.2">
      <c r="I27500" s="137" t="s">
        <v>74</v>
      </c>
    </row>
    <row r="27501" spans="9:9" x14ac:dyDescent="0.2">
      <c r="I27501" s="137" t="s">
        <v>74</v>
      </c>
    </row>
    <row r="27502" spans="9:9" x14ac:dyDescent="0.2">
      <c r="I27502" s="137" t="s">
        <v>74</v>
      </c>
    </row>
    <row r="27503" spans="9:9" x14ac:dyDescent="0.2">
      <c r="I27503" s="137" t="s">
        <v>74</v>
      </c>
    </row>
    <row r="27504" spans="9:9" x14ac:dyDescent="0.2">
      <c r="I27504" s="137" t="s">
        <v>74</v>
      </c>
    </row>
    <row r="27505" spans="9:9" x14ac:dyDescent="0.2">
      <c r="I27505" s="137" t="s">
        <v>74</v>
      </c>
    </row>
    <row r="27506" spans="9:9" x14ac:dyDescent="0.2">
      <c r="I27506" s="137" t="s">
        <v>74</v>
      </c>
    </row>
    <row r="27507" spans="9:9" x14ac:dyDescent="0.2">
      <c r="I27507" s="137" t="s">
        <v>74</v>
      </c>
    </row>
    <row r="27508" spans="9:9" x14ac:dyDescent="0.2">
      <c r="I27508" s="137" t="s">
        <v>74</v>
      </c>
    </row>
    <row r="27509" spans="9:9" x14ac:dyDescent="0.2">
      <c r="I27509" s="137" t="s">
        <v>74</v>
      </c>
    </row>
    <row r="27510" spans="9:9" x14ac:dyDescent="0.2">
      <c r="I27510" s="137" t="s">
        <v>74</v>
      </c>
    </row>
    <row r="27511" spans="9:9" x14ac:dyDescent="0.2">
      <c r="I27511" s="137" t="s">
        <v>74</v>
      </c>
    </row>
    <row r="27512" spans="9:9" x14ac:dyDescent="0.2">
      <c r="I27512" s="137" t="s">
        <v>74</v>
      </c>
    </row>
    <row r="27513" spans="9:9" x14ac:dyDescent="0.2">
      <c r="I27513" s="137" t="s">
        <v>74</v>
      </c>
    </row>
    <row r="27514" spans="9:9" x14ac:dyDescent="0.2">
      <c r="I27514" s="137" t="s">
        <v>74</v>
      </c>
    </row>
    <row r="27515" spans="9:9" x14ac:dyDescent="0.2">
      <c r="I27515" s="137" t="s">
        <v>74</v>
      </c>
    </row>
    <row r="27516" spans="9:9" x14ac:dyDescent="0.2">
      <c r="I27516" s="137" t="s">
        <v>74</v>
      </c>
    </row>
    <row r="27517" spans="9:9" x14ac:dyDescent="0.2">
      <c r="I27517" s="137" t="s">
        <v>74</v>
      </c>
    </row>
    <row r="27518" spans="9:9" x14ac:dyDescent="0.2">
      <c r="I27518" s="137" t="s">
        <v>74</v>
      </c>
    </row>
    <row r="27519" spans="9:9" x14ac:dyDescent="0.2">
      <c r="I27519" s="137" t="s">
        <v>74</v>
      </c>
    </row>
    <row r="27520" spans="9:9" x14ac:dyDescent="0.2">
      <c r="I27520" s="137" t="s">
        <v>74</v>
      </c>
    </row>
    <row r="27521" spans="9:9" x14ac:dyDescent="0.2">
      <c r="I27521" s="137" t="s">
        <v>74</v>
      </c>
    </row>
    <row r="27522" spans="9:9" x14ac:dyDescent="0.2">
      <c r="I27522" s="137" t="s">
        <v>74</v>
      </c>
    </row>
    <row r="27523" spans="9:9" x14ac:dyDescent="0.2">
      <c r="I27523" s="137" t="s">
        <v>74</v>
      </c>
    </row>
    <row r="27524" spans="9:9" x14ac:dyDescent="0.2">
      <c r="I27524" s="137" t="s">
        <v>74</v>
      </c>
    </row>
    <row r="27525" spans="9:9" x14ac:dyDescent="0.2">
      <c r="I27525" s="137" t="s">
        <v>74</v>
      </c>
    </row>
    <row r="27526" spans="9:9" x14ac:dyDescent="0.2">
      <c r="I27526" s="137" t="s">
        <v>74</v>
      </c>
    </row>
    <row r="27527" spans="9:9" x14ac:dyDescent="0.2">
      <c r="I27527" s="137" t="s">
        <v>74</v>
      </c>
    </row>
    <row r="27528" spans="9:9" x14ac:dyDescent="0.2">
      <c r="I27528" s="137" t="s">
        <v>74</v>
      </c>
    </row>
    <row r="27529" spans="9:9" x14ac:dyDescent="0.2">
      <c r="I27529" s="137" t="s">
        <v>74</v>
      </c>
    </row>
    <row r="27530" spans="9:9" x14ac:dyDescent="0.2">
      <c r="I27530" s="137" t="s">
        <v>74</v>
      </c>
    </row>
    <row r="27531" spans="9:9" x14ac:dyDescent="0.2">
      <c r="I27531" s="137" t="s">
        <v>74</v>
      </c>
    </row>
    <row r="27532" spans="9:9" x14ac:dyDescent="0.2">
      <c r="I27532" s="137" t="s">
        <v>74</v>
      </c>
    </row>
    <row r="27533" spans="9:9" x14ac:dyDescent="0.2">
      <c r="I27533" s="137" t="s">
        <v>74</v>
      </c>
    </row>
    <row r="27534" spans="9:9" x14ac:dyDescent="0.2">
      <c r="I27534" s="137" t="s">
        <v>74</v>
      </c>
    </row>
    <row r="27535" spans="9:9" x14ac:dyDescent="0.2">
      <c r="I27535" s="137" t="s">
        <v>74</v>
      </c>
    </row>
    <row r="27536" spans="9:9" x14ac:dyDescent="0.2">
      <c r="I27536" s="137" t="s">
        <v>74</v>
      </c>
    </row>
    <row r="27537" spans="9:9" x14ac:dyDescent="0.2">
      <c r="I27537" s="137" t="s">
        <v>74</v>
      </c>
    </row>
    <row r="27538" spans="9:9" x14ac:dyDescent="0.2">
      <c r="I27538" s="137" t="s">
        <v>74</v>
      </c>
    </row>
    <row r="27539" spans="9:9" x14ac:dyDescent="0.2">
      <c r="I27539" s="137" t="s">
        <v>74</v>
      </c>
    </row>
    <row r="27540" spans="9:9" x14ac:dyDescent="0.2">
      <c r="I27540" s="137" t="s">
        <v>74</v>
      </c>
    </row>
    <row r="27541" spans="9:9" x14ac:dyDescent="0.2">
      <c r="I27541" s="137" t="s">
        <v>74</v>
      </c>
    </row>
    <row r="27542" spans="9:9" x14ac:dyDescent="0.2">
      <c r="I27542" s="137" t="s">
        <v>74</v>
      </c>
    </row>
    <row r="27543" spans="9:9" x14ac:dyDescent="0.2">
      <c r="I27543" s="137" t="s">
        <v>74</v>
      </c>
    </row>
    <row r="27544" spans="9:9" x14ac:dyDescent="0.2">
      <c r="I27544" s="137" t="s">
        <v>74</v>
      </c>
    </row>
    <row r="27545" spans="9:9" x14ac:dyDescent="0.2">
      <c r="I27545" s="137" t="s">
        <v>74</v>
      </c>
    </row>
    <row r="27546" spans="9:9" x14ac:dyDescent="0.2">
      <c r="I27546" s="137" t="s">
        <v>74</v>
      </c>
    </row>
    <row r="27547" spans="9:9" x14ac:dyDescent="0.2">
      <c r="I27547" s="137" t="s">
        <v>74</v>
      </c>
    </row>
    <row r="27548" spans="9:9" x14ac:dyDescent="0.2">
      <c r="I27548" s="137" t="s">
        <v>74</v>
      </c>
    </row>
    <row r="27549" spans="9:9" x14ac:dyDescent="0.2">
      <c r="I27549" s="137" t="s">
        <v>74</v>
      </c>
    </row>
    <row r="27550" spans="9:9" x14ac:dyDescent="0.2">
      <c r="I27550" s="137" t="s">
        <v>74</v>
      </c>
    </row>
    <row r="27551" spans="9:9" x14ac:dyDescent="0.2">
      <c r="I27551" s="137" t="s">
        <v>74</v>
      </c>
    </row>
    <row r="27552" spans="9:9" x14ac:dyDescent="0.2">
      <c r="I27552" s="137" t="s">
        <v>74</v>
      </c>
    </row>
    <row r="27553" spans="9:9" x14ac:dyDescent="0.2">
      <c r="I27553" s="137" t="s">
        <v>74</v>
      </c>
    </row>
    <row r="27554" spans="9:9" x14ac:dyDescent="0.2">
      <c r="I27554" s="137" t="s">
        <v>74</v>
      </c>
    </row>
    <row r="27555" spans="9:9" x14ac:dyDescent="0.2">
      <c r="I27555" s="137" t="s">
        <v>74</v>
      </c>
    </row>
    <row r="27556" spans="9:9" x14ac:dyDescent="0.2">
      <c r="I27556" s="137" t="s">
        <v>74</v>
      </c>
    </row>
    <row r="27557" spans="9:9" x14ac:dyDescent="0.2">
      <c r="I27557" s="137" t="s">
        <v>74</v>
      </c>
    </row>
    <row r="27558" spans="9:9" x14ac:dyDescent="0.2">
      <c r="I27558" s="137" t="s">
        <v>74</v>
      </c>
    </row>
    <row r="27559" spans="9:9" x14ac:dyDescent="0.2">
      <c r="I27559" s="137" t="s">
        <v>74</v>
      </c>
    </row>
    <row r="27560" spans="9:9" x14ac:dyDescent="0.2">
      <c r="I27560" s="137" t="s">
        <v>74</v>
      </c>
    </row>
    <row r="27561" spans="9:9" x14ac:dyDescent="0.2">
      <c r="I27561" s="137" t="s">
        <v>74</v>
      </c>
    </row>
    <row r="27562" spans="9:9" x14ac:dyDescent="0.2">
      <c r="I27562" s="137" t="s">
        <v>74</v>
      </c>
    </row>
    <row r="27563" spans="9:9" x14ac:dyDescent="0.2">
      <c r="I27563" s="137" t="s">
        <v>74</v>
      </c>
    </row>
    <row r="27564" spans="9:9" x14ac:dyDescent="0.2">
      <c r="I27564" s="137" t="s">
        <v>74</v>
      </c>
    </row>
    <row r="27565" spans="9:9" x14ac:dyDescent="0.2">
      <c r="I27565" s="137" t="s">
        <v>74</v>
      </c>
    </row>
    <row r="27566" spans="9:9" x14ac:dyDescent="0.2">
      <c r="I27566" s="137" t="s">
        <v>74</v>
      </c>
    </row>
    <row r="27567" spans="9:9" x14ac:dyDescent="0.2">
      <c r="I27567" s="137" t="s">
        <v>74</v>
      </c>
    </row>
    <row r="27568" spans="9:9" x14ac:dyDescent="0.2">
      <c r="I27568" s="137" t="s">
        <v>74</v>
      </c>
    </row>
    <row r="27569" spans="9:9" x14ac:dyDescent="0.2">
      <c r="I27569" s="137" t="s">
        <v>74</v>
      </c>
    </row>
    <row r="27570" spans="9:9" x14ac:dyDescent="0.2">
      <c r="I27570" s="137" t="s">
        <v>74</v>
      </c>
    </row>
    <row r="27571" spans="9:9" x14ac:dyDescent="0.2">
      <c r="I27571" s="137" t="s">
        <v>74</v>
      </c>
    </row>
    <row r="27572" spans="9:9" x14ac:dyDescent="0.2">
      <c r="I27572" s="137" t="s">
        <v>74</v>
      </c>
    </row>
    <row r="27573" spans="9:9" x14ac:dyDescent="0.2">
      <c r="I27573" s="137" t="s">
        <v>74</v>
      </c>
    </row>
    <row r="27574" spans="9:9" x14ac:dyDescent="0.2">
      <c r="I27574" s="137" t="s">
        <v>74</v>
      </c>
    </row>
    <row r="27575" spans="9:9" x14ac:dyDescent="0.2">
      <c r="I27575" s="137" t="s">
        <v>74</v>
      </c>
    </row>
    <row r="27576" spans="9:9" x14ac:dyDescent="0.2">
      <c r="I27576" s="137" t="s">
        <v>74</v>
      </c>
    </row>
    <row r="27577" spans="9:9" x14ac:dyDescent="0.2">
      <c r="I27577" s="137" t="s">
        <v>74</v>
      </c>
    </row>
    <row r="27578" spans="9:9" x14ac:dyDescent="0.2">
      <c r="I27578" s="137" t="s">
        <v>74</v>
      </c>
    </row>
    <row r="27579" spans="9:9" x14ac:dyDescent="0.2">
      <c r="I27579" s="137" t="s">
        <v>74</v>
      </c>
    </row>
    <row r="27580" spans="9:9" x14ac:dyDescent="0.2">
      <c r="I27580" s="137" t="s">
        <v>74</v>
      </c>
    </row>
    <row r="27581" spans="9:9" x14ac:dyDescent="0.2">
      <c r="I27581" s="137" t="s">
        <v>74</v>
      </c>
    </row>
    <row r="27582" spans="9:9" x14ac:dyDescent="0.2">
      <c r="I27582" s="137" t="s">
        <v>74</v>
      </c>
    </row>
    <row r="27583" spans="9:9" x14ac:dyDescent="0.2">
      <c r="I27583" s="137" t="s">
        <v>74</v>
      </c>
    </row>
    <row r="27584" spans="9:9" x14ac:dyDescent="0.2">
      <c r="I27584" s="137" t="s">
        <v>74</v>
      </c>
    </row>
    <row r="27585" spans="9:9" x14ac:dyDescent="0.2">
      <c r="I27585" s="137" t="s">
        <v>74</v>
      </c>
    </row>
    <row r="27586" spans="9:9" x14ac:dyDescent="0.2">
      <c r="I27586" s="137" t="s">
        <v>74</v>
      </c>
    </row>
    <row r="27587" spans="9:9" x14ac:dyDescent="0.2">
      <c r="I27587" s="137" t="s">
        <v>74</v>
      </c>
    </row>
    <row r="27588" spans="9:9" x14ac:dyDescent="0.2">
      <c r="I27588" s="137" t="s">
        <v>74</v>
      </c>
    </row>
    <row r="27589" spans="9:9" x14ac:dyDescent="0.2">
      <c r="I27589" s="137" t="s">
        <v>74</v>
      </c>
    </row>
    <row r="27590" spans="9:9" x14ac:dyDescent="0.2">
      <c r="I27590" s="137" t="s">
        <v>74</v>
      </c>
    </row>
    <row r="27591" spans="9:9" x14ac:dyDescent="0.2">
      <c r="I27591" s="137" t="s">
        <v>74</v>
      </c>
    </row>
    <row r="27592" spans="9:9" x14ac:dyDescent="0.2">
      <c r="I27592" s="137" t="s">
        <v>74</v>
      </c>
    </row>
    <row r="27593" spans="9:9" x14ac:dyDescent="0.2">
      <c r="I27593" s="137" t="s">
        <v>74</v>
      </c>
    </row>
    <row r="27594" spans="9:9" x14ac:dyDescent="0.2">
      <c r="I27594" s="137" t="s">
        <v>74</v>
      </c>
    </row>
    <row r="27595" spans="9:9" x14ac:dyDescent="0.2">
      <c r="I27595" s="137" t="s">
        <v>74</v>
      </c>
    </row>
    <row r="27596" spans="9:9" x14ac:dyDescent="0.2">
      <c r="I27596" s="137" t="s">
        <v>74</v>
      </c>
    </row>
    <row r="27597" spans="9:9" x14ac:dyDescent="0.2">
      <c r="I27597" s="137" t="s">
        <v>74</v>
      </c>
    </row>
    <row r="27598" spans="9:9" x14ac:dyDescent="0.2">
      <c r="I27598" s="137" t="s">
        <v>74</v>
      </c>
    </row>
    <row r="27599" spans="9:9" x14ac:dyDescent="0.2">
      <c r="I27599" s="137" t="s">
        <v>74</v>
      </c>
    </row>
    <row r="27600" spans="9:9" x14ac:dyDescent="0.2">
      <c r="I27600" s="137" t="s">
        <v>74</v>
      </c>
    </row>
    <row r="27601" spans="9:9" x14ac:dyDescent="0.2">
      <c r="I27601" s="137" t="s">
        <v>74</v>
      </c>
    </row>
    <row r="27602" spans="9:9" x14ac:dyDescent="0.2">
      <c r="I27602" s="137" t="s">
        <v>74</v>
      </c>
    </row>
    <row r="27603" spans="9:9" x14ac:dyDescent="0.2">
      <c r="I27603" s="137" t="s">
        <v>74</v>
      </c>
    </row>
    <row r="27604" spans="9:9" x14ac:dyDescent="0.2">
      <c r="I27604" s="137" t="s">
        <v>74</v>
      </c>
    </row>
    <row r="27605" spans="9:9" x14ac:dyDescent="0.2">
      <c r="I27605" s="137" t="s">
        <v>74</v>
      </c>
    </row>
    <row r="27606" spans="9:9" x14ac:dyDescent="0.2">
      <c r="I27606" s="137" t="s">
        <v>74</v>
      </c>
    </row>
    <row r="27607" spans="9:9" x14ac:dyDescent="0.2">
      <c r="I27607" s="137" t="s">
        <v>74</v>
      </c>
    </row>
    <row r="27608" spans="9:9" x14ac:dyDescent="0.2">
      <c r="I27608" s="137" t="s">
        <v>74</v>
      </c>
    </row>
    <row r="27609" spans="9:9" x14ac:dyDescent="0.2">
      <c r="I27609" s="137" t="s">
        <v>74</v>
      </c>
    </row>
    <row r="27610" spans="9:9" x14ac:dyDescent="0.2">
      <c r="I27610" s="137" t="s">
        <v>74</v>
      </c>
    </row>
    <row r="27611" spans="9:9" x14ac:dyDescent="0.2">
      <c r="I27611" s="137" t="s">
        <v>74</v>
      </c>
    </row>
    <row r="27612" spans="9:9" x14ac:dyDescent="0.2">
      <c r="I27612" s="137" t="s">
        <v>74</v>
      </c>
    </row>
    <row r="27613" spans="9:9" x14ac:dyDescent="0.2">
      <c r="I27613" s="137" t="s">
        <v>74</v>
      </c>
    </row>
    <row r="27614" spans="9:9" x14ac:dyDescent="0.2">
      <c r="I27614" s="137" t="s">
        <v>74</v>
      </c>
    </row>
    <row r="27615" spans="9:9" x14ac:dyDescent="0.2">
      <c r="I27615" s="137" t="s">
        <v>74</v>
      </c>
    </row>
    <row r="27616" spans="9:9" x14ac:dyDescent="0.2">
      <c r="I27616" s="137" t="s">
        <v>74</v>
      </c>
    </row>
    <row r="27617" spans="9:9" x14ac:dyDescent="0.2">
      <c r="I27617" s="137" t="s">
        <v>74</v>
      </c>
    </row>
    <row r="27618" spans="9:9" x14ac:dyDescent="0.2">
      <c r="I27618" s="137" t="s">
        <v>74</v>
      </c>
    </row>
    <row r="27619" spans="9:9" x14ac:dyDescent="0.2">
      <c r="I27619" s="137" t="s">
        <v>74</v>
      </c>
    </row>
    <row r="27620" spans="9:9" x14ac:dyDescent="0.2">
      <c r="I27620" s="137" t="s">
        <v>74</v>
      </c>
    </row>
    <row r="27621" spans="9:9" x14ac:dyDescent="0.2">
      <c r="I27621" s="137" t="s">
        <v>74</v>
      </c>
    </row>
    <row r="27622" spans="9:9" x14ac:dyDescent="0.2">
      <c r="I27622" s="137" t="s">
        <v>74</v>
      </c>
    </row>
    <row r="27623" spans="9:9" x14ac:dyDescent="0.2">
      <c r="I27623" s="137" t="s">
        <v>74</v>
      </c>
    </row>
    <row r="27624" spans="9:9" x14ac:dyDescent="0.2">
      <c r="I27624" s="137" t="s">
        <v>74</v>
      </c>
    </row>
    <row r="27625" spans="9:9" x14ac:dyDescent="0.2">
      <c r="I27625" s="137" t="s">
        <v>74</v>
      </c>
    </row>
    <row r="27626" spans="9:9" x14ac:dyDescent="0.2">
      <c r="I27626" s="137" t="s">
        <v>74</v>
      </c>
    </row>
    <row r="27627" spans="9:9" x14ac:dyDescent="0.2">
      <c r="I27627" s="137" t="s">
        <v>74</v>
      </c>
    </row>
    <row r="27628" spans="9:9" x14ac:dyDescent="0.2">
      <c r="I27628" s="137" t="s">
        <v>74</v>
      </c>
    </row>
    <row r="27629" spans="9:9" x14ac:dyDescent="0.2">
      <c r="I27629" s="137" t="s">
        <v>74</v>
      </c>
    </row>
    <row r="27630" spans="9:9" x14ac:dyDescent="0.2">
      <c r="I27630" s="137" t="s">
        <v>74</v>
      </c>
    </row>
    <row r="27631" spans="9:9" x14ac:dyDescent="0.2">
      <c r="I27631" s="137" t="s">
        <v>74</v>
      </c>
    </row>
    <row r="27632" spans="9:9" x14ac:dyDescent="0.2">
      <c r="I27632" s="137" t="s">
        <v>74</v>
      </c>
    </row>
    <row r="27633" spans="9:9" x14ac:dyDescent="0.2">
      <c r="I27633" s="137" t="s">
        <v>74</v>
      </c>
    </row>
    <row r="27634" spans="9:9" x14ac:dyDescent="0.2">
      <c r="I27634" s="137" t="s">
        <v>74</v>
      </c>
    </row>
    <row r="27635" spans="9:9" x14ac:dyDescent="0.2">
      <c r="I27635" s="137" t="s">
        <v>74</v>
      </c>
    </row>
    <row r="27636" spans="9:9" x14ac:dyDescent="0.2">
      <c r="I27636" s="137" t="s">
        <v>74</v>
      </c>
    </row>
    <row r="27637" spans="9:9" x14ac:dyDescent="0.2">
      <c r="I27637" s="137" t="s">
        <v>74</v>
      </c>
    </row>
    <row r="27638" spans="9:9" x14ac:dyDescent="0.2">
      <c r="I27638" s="137" t="s">
        <v>74</v>
      </c>
    </row>
    <row r="27639" spans="9:9" x14ac:dyDescent="0.2">
      <c r="I27639" s="137" t="s">
        <v>74</v>
      </c>
    </row>
    <row r="27640" spans="9:9" x14ac:dyDescent="0.2">
      <c r="I27640" s="137" t="s">
        <v>74</v>
      </c>
    </row>
    <row r="27641" spans="9:9" x14ac:dyDescent="0.2">
      <c r="I27641" s="137" t="s">
        <v>74</v>
      </c>
    </row>
    <row r="27642" spans="9:9" x14ac:dyDescent="0.2">
      <c r="I27642" s="137" t="s">
        <v>74</v>
      </c>
    </row>
    <row r="27643" spans="9:9" x14ac:dyDescent="0.2">
      <c r="I27643" s="137" t="s">
        <v>74</v>
      </c>
    </row>
    <row r="27644" spans="9:9" x14ac:dyDescent="0.2">
      <c r="I27644" s="137" t="s">
        <v>74</v>
      </c>
    </row>
    <row r="27645" spans="9:9" x14ac:dyDescent="0.2">
      <c r="I27645" s="137" t="s">
        <v>74</v>
      </c>
    </row>
    <row r="27646" spans="9:9" x14ac:dyDescent="0.2">
      <c r="I27646" s="137" t="s">
        <v>74</v>
      </c>
    </row>
    <row r="27647" spans="9:9" x14ac:dyDescent="0.2">
      <c r="I27647" s="137" t="s">
        <v>74</v>
      </c>
    </row>
    <row r="27648" spans="9:9" x14ac:dyDescent="0.2">
      <c r="I27648" s="137" t="s">
        <v>74</v>
      </c>
    </row>
    <row r="27649" spans="9:9" x14ac:dyDescent="0.2">
      <c r="I27649" s="137" t="s">
        <v>74</v>
      </c>
    </row>
    <row r="27650" spans="9:9" x14ac:dyDescent="0.2">
      <c r="I27650" s="137" t="s">
        <v>74</v>
      </c>
    </row>
    <row r="27651" spans="9:9" x14ac:dyDescent="0.2">
      <c r="I27651" s="137" t="s">
        <v>74</v>
      </c>
    </row>
    <row r="27652" spans="9:9" x14ac:dyDescent="0.2">
      <c r="I27652" s="137" t="s">
        <v>74</v>
      </c>
    </row>
    <row r="27653" spans="9:9" x14ac:dyDescent="0.2">
      <c r="I27653" s="137" t="s">
        <v>74</v>
      </c>
    </row>
    <row r="27654" spans="9:9" x14ac:dyDescent="0.2">
      <c r="I27654" s="137" t="s">
        <v>74</v>
      </c>
    </row>
    <row r="27655" spans="9:9" x14ac:dyDescent="0.2">
      <c r="I27655" s="137" t="s">
        <v>74</v>
      </c>
    </row>
    <row r="27656" spans="9:9" x14ac:dyDescent="0.2">
      <c r="I27656" s="137" t="s">
        <v>74</v>
      </c>
    </row>
    <row r="27657" spans="9:9" x14ac:dyDescent="0.2">
      <c r="I27657" s="137" t="s">
        <v>74</v>
      </c>
    </row>
    <row r="27658" spans="9:9" x14ac:dyDescent="0.2">
      <c r="I27658" s="137" t="s">
        <v>74</v>
      </c>
    </row>
    <row r="27659" spans="9:9" x14ac:dyDescent="0.2">
      <c r="I27659" s="137" t="s">
        <v>74</v>
      </c>
    </row>
    <row r="27660" spans="9:9" x14ac:dyDescent="0.2">
      <c r="I27660" s="137" t="s">
        <v>74</v>
      </c>
    </row>
    <row r="27661" spans="9:9" x14ac:dyDescent="0.2">
      <c r="I27661" s="137" t="s">
        <v>74</v>
      </c>
    </row>
    <row r="27662" spans="9:9" x14ac:dyDescent="0.2">
      <c r="I27662" s="137" t="s">
        <v>74</v>
      </c>
    </row>
    <row r="27663" spans="9:9" x14ac:dyDescent="0.2">
      <c r="I27663" s="137" t="s">
        <v>74</v>
      </c>
    </row>
    <row r="27664" spans="9:9" x14ac:dyDescent="0.2">
      <c r="I27664" s="137" t="s">
        <v>74</v>
      </c>
    </row>
    <row r="27665" spans="9:9" x14ac:dyDescent="0.2">
      <c r="I27665" s="137" t="s">
        <v>74</v>
      </c>
    </row>
    <row r="27666" spans="9:9" x14ac:dyDescent="0.2">
      <c r="I27666" s="137" t="s">
        <v>74</v>
      </c>
    </row>
    <row r="27667" spans="9:9" x14ac:dyDescent="0.2">
      <c r="I27667" s="137" t="s">
        <v>74</v>
      </c>
    </row>
    <row r="27668" spans="9:9" x14ac:dyDescent="0.2">
      <c r="I27668" s="137" t="s">
        <v>74</v>
      </c>
    </row>
    <row r="27669" spans="9:9" x14ac:dyDescent="0.2">
      <c r="I27669" s="137" t="s">
        <v>74</v>
      </c>
    </row>
    <row r="27670" spans="9:9" x14ac:dyDescent="0.2">
      <c r="I27670" s="137" t="s">
        <v>74</v>
      </c>
    </row>
    <row r="27671" spans="9:9" x14ac:dyDescent="0.2">
      <c r="I27671" s="137" t="s">
        <v>74</v>
      </c>
    </row>
    <row r="27672" spans="9:9" x14ac:dyDescent="0.2">
      <c r="I27672" s="137" t="s">
        <v>74</v>
      </c>
    </row>
    <row r="27673" spans="9:9" x14ac:dyDescent="0.2">
      <c r="I27673" s="137" t="s">
        <v>74</v>
      </c>
    </row>
    <row r="27674" spans="9:9" x14ac:dyDescent="0.2">
      <c r="I27674" s="137" t="s">
        <v>74</v>
      </c>
    </row>
    <row r="27675" spans="9:9" x14ac:dyDescent="0.2">
      <c r="I27675" s="137" t="s">
        <v>74</v>
      </c>
    </row>
    <row r="27676" spans="9:9" x14ac:dyDescent="0.2">
      <c r="I27676" s="137" t="s">
        <v>74</v>
      </c>
    </row>
    <row r="27677" spans="9:9" x14ac:dyDescent="0.2">
      <c r="I27677" s="137" t="s">
        <v>74</v>
      </c>
    </row>
    <row r="27678" spans="9:9" x14ac:dyDescent="0.2">
      <c r="I27678" s="137" t="s">
        <v>74</v>
      </c>
    </row>
    <row r="27679" spans="9:9" x14ac:dyDescent="0.2">
      <c r="I27679" s="137" t="s">
        <v>74</v>
      </c>
    </row>
    <row r="27680" spans="9:9" x14ac:dyDescent="0.2">
      <c r="I27680" s="137" t="s">
        <v>74</v>
      </c>
    </row>
    <row r="27681" spans="9:9" x14ac:dyDescent="0.2">
      <c r="I27681" s="137" t="s">
        <v>74</v>
      </c>
    </row>
    <row r="27682" spans="9:9" x14ac:dyDescent="0.2">
      <c r="I27682" s="137" t="s">
        <v>74</v>
      </c>
    </row>
    <row r="27683" spans="9:9" x14ac:dyDescent="0.2">
      <c r="I27683" s="137" t="s">
        <v>74</v>
      </c>
    </row>
    <row r="27684" spans="9:9" x14ac:dyDescent="0.2">
      <c r="I27684" s="137" t="s">
        <v>74</v>
      </c>
    </row>
    <row r="27685" spans="9:9" x14ac:dyDescent="0.2">
      <c r="I27685" s="137" t="s">
        <v>74</v>
      </c>
    </row>
    <row r="27686" spans="9:9" x14ac:dyDescent="0.2">
      <c r="I27686" s="137" t="s">
        <v>74</v>
      </c>
    </row>
    <row r="27687" spans="9:9" x14ac:dyDescent="0.2">
      <c r="I27687" s="137" t="s">
        <v>74</v>
      </c>
    </row>
    <row r="27688" spans="9:9" x14ac:dyDescent="0.2">
      <c r="I27688" s="137" t="s">
        <v>74</v>
      </c>
    </row>
    <row r="27689" spans="9:9" x14ac:dyDescent="0.2">
      <c r="I27689" s="137" t="s">
        <v>74</v>
      </c>
    </row>
    <row r="27690" spans="9:9" x14ac:dyDescent="0.2">
      <c r="I27690" s="137" t="s">
        <v>74</v>
      </c>
    </row>
    <row r="27691" spans="9:9" x14ac:dyDescent="0.2">
      <c r="I27691" s="137" t="s">
        <v>74</v>
      </c>
    </row>
    <row r="27692" spans="9:9" x14ac:dyDescent="0.2">
      <c r="I27692" s="137" t="s">
        <v>74</v>
      </c>
    </row>
    <row r="27693" spans="9:9" x14ac:dyDescent="0.2">
      <c r="I27693" s="137" t="s">
        <v>74</v>
      </c>
    </row>
    <row r="27694" spans="9:9" x14ac:dyDescent="0.2">
      <c r="I27694" s="137" t="s">
        <v>74</v>
      </c>
    </row>
    <row r="27695" spans="9:9" x14ac:dyDescent="0.2">
      <c r="I27695" s="137" t="s">
        <v>74</v>
      </c>
    </row>
    <row r="27696" spans="9:9" x14ac:dyDescent="0.2">
      <c r="I27696" s="137" t="s">
        <v>74</v>
      </c>
    </row>
    <row r="27697" spans="9:9" x14ac:dyDescent="0.2">
      <c r="I27697" s="137" t="s">
        <v>74</v>
      </c>
    </row>
    <row r="27698" spans="9:9" x14ac:dyDescent="0.2">
      <c r="I27698" s="137" t="s">
        <v>74</v>
      </c>
    </row>
    <row r="27699" spans="9:9" x14ac:dyDescent="0.2">
      <c r="I27699" s="137" t="s">
        <v>74</v>
      </c>
    </row>
    <row r="27700" spans="9:9" x14ac:dyDescent="0.2">
      <c r="I27700" s="137" t="s">
        <v>74</v>
      </c>
    </row>
    <row r="27701" spans="9:9" x14ac:dyDescent="0.2">
      <c r="I27701" s="137" t="s">
        <v>74</v>
      </c>
    </row>
    <row r="27702" spans="9:9" x14ac:dyDescent="0.2">
      <c r="I27702" s="137" t="s">
        <v>74</v>
      </c>
    </row>
    <row r="27703" spans="9:9" x14ac:dyDescent="0.2">
      <c r="I27703" s="137" t="s">
        <v>74</v>
      </c>
    </row>
    <row r="27704" spans="9:9" x14ac:dyDescent="0.2">
      <c r="I27704" s="137" t="s">
        <v>74</v>
      </c>
    </row>
    <row r="27705" spans="9:9" x14ac:dyDescent="0.2">
      <c r="I27705" s="137" t="s">
        <v>74</v>
      </c>
    </row>
    <row r="27706" spans="9:9" x14ac:dyDescent="0.2">
      <c r="I27706" s="137" t="s">
        <v>74</v>
      </c>
    </row>
    <row r="27707" spans="9:9" x14ac:dyDescent="0.2">
      <c r="I27707" s="137" t="s">
        <v>74</v>
      </c>
    </row>
    <row r="27708" spans="9:9" x14ac:dyDescent="0.2">
      <c r="I27708" s="137" t="s">
        <v>74</v>
      </c>
    </row>
    <row r="27709" spans="9:9" x14ac:dyDescent="0.2">
      <c r="I27709" s="137" t="s">
        <v>74</v>
      </c>
    </row>
    <row r="27710" spans="9:9" x14ac:dyDescent="0.2">
      <c r="I27710" s="137" t="s">
        <v>74</v>
      </c>
    </row>
    <row r="27711" spans="9:9" x14ac:dyDescent="0.2">
      <c r="I27711" s="137" t="s">
        <v>74</v>
      </c>
    </row>
    <row r="27712" spans="9:9" x14ac:dyDescent="0.2">
      <c r="I27712" s="137" t="s">
        <v>74</v>
      </c>
    </row>
    <row r="27713" spans="9:9" x14ac:dyDescent="0.2">
      <c r="I27713" s="137" t="s">
        <v>74</v>
      </c>
    </row>
    <row r="27714" spans="9:9" x14ac:dyDescent="0.2">
      <c r="I27714" s="137" t="s">
        <v>74</v>
      </c>
    </row>
    <row r="27715" spans="9:9" x14ac:dyDescent="0.2">
      <c r="I27715" s="137" t="s">
        <v>74</v>
      </c>
    </row>
    <row r="27716" spans="9:9" x14ac:dyDescent="0.2">
      <c r="I27716" s="137" t="s">
        <v>74</v>
      </c>
    </row>
    <row r="27717" spans="9:9" x14ac:dyDescent="0.2">
      <c r="I27717" s="137" t="s">
        <v>74</v>
      </c>
    </row>
    <row r="27718" spans="9:9" x14ac:dyDescent="0.2">
      <c r="I27718" s="137" t="s">
        <v>74</v>
      </c>
    </row>
    <row r="27719" spans="9:9" x14ac:dyDescent="0.2">
      <c r="I27719" s="137" t="s">
        <v>74</v>
      </c>
    </row>
    <row r="27720" spans="9:9" x14ac:dyDescent="0.2">
      <c r="I27720" s="137" t="s">
        <v>74</v>
      </c>
    </row>
    <row r="27721" spans="9:9" x14ac:dyDescent="0.2">
      <c r="I27721" s="137" t="s">
        <v>74</v>
      </c>
    </row>
    <row r="27722" spans="9:9" x14ac:dyDescent="0.2">
      <c r="I27722" s="137" t="s">
        <v>74</v>
      </c>
    </row>
    <row r="27723" spans="9:9" x14ac:dyDescent="0.2">
      <c r="I27723" s="137" t="s">
        <v>74</v>
      </c>
    </row>
    <row r="27724" spans="9:9" x14ac:dyDescent="0.2">
      <c r="I27724" s="137" t="s">
        <v>74</v>
      </c>
    </row>
    <row r="27725" spans="9:9" x14ac:dyDescent="0.2">
      <c r="I27725" s="137" t="s">
        <v>74</v>
      </c>
    </row>
    <row r="27726" spans="9:9" x14ac:dyDescent="0.2">
      <c r="I27726" s="137" t="s">
        <v>74</v>
      </c>
    </row>
    <row r="27727" spans="9:9" x14ac:dyDescent="0.2">
      <c r="I27727" s="137" t="s">
        <v>74</v>
      </c>
    </row>
    <row r="27728" spans="9:9" x14ac:dyDescent="0.2">
      <c r="I27728" s="137" t="s">
        <v>74</v>
      </c>
    </row>
    <row r="27729" spans="9:9" x14ac:dyDescent="0.2">
      <c r="I27729" s="137" t="s">
        <v>74</v>
      </c>
    </row>
    <row r="27730" spans="9:9" x14ac:dyDescent="0.2">
      <c r="I27730" s="137" t="s">
        <v>74</v>
      </c>
    </row>
    <row r="27731" spans="9:9" x14ac:dyDescent="0.2">
      <c r="I27731" s="137" t="s">
        <v>74</v>
      </c>
    </row>
    <row r="27732" spans="9:9" x14ac:dyDescent="0.2">
      <c r="I27732" s="137" t="s">
        <v>74</v>
      </c>
    </row>
    <row r="27733" spans="9:9" x14ac:dyDescent="0.2">
      <c r="I27733" s="137" t="s">
        <v>74</v>
      </c>
    </row>
    <row r="27734" spans="9:9" x14ac:dyDescent="0.2">
      <c r="I27734" s="137" t="s">
        <v>74</v>
      </c>
    </row>
    <row r="27735" spans="9:9" x14ac:dyDescent="0.2">
      <c r="I27735" s="137" t="s">
        <v>74</v>
      </c>
    </row>
    <row r="27736" spans="9:9" x14ac:dyDescent="0.2">
      <c r="I27736" s="137" t="s">
        <v>74</v>
      </c>
    </row>
    <row r="27737" spans="9:9" x14ac:dyDescent="0.2">
      <c r="I27737" s="137" t="s">
        <v>74</v>
      </c>
    </row>
    <row r="27738" spans="9:9" x14ac:dyDescent="0.2">
      <c r="I27738" s="137" t="s">
        <v>74</v>
      </c>
    </row>
    <row r="27739" spans="9:9" x14ac:dyDescent="0.2">
      <c r="I27739" s="137" t="s">
        <v>74</v>
      </c>
    </row>
    <row r="27740" spans="9:9" x14ac:dyDescent="0.2">
      <c r="I27740" s="137" t="s">
        <v>74</v>
      </c>
    </row>
    <row r="27741" spans="9:9" x14ac:dyDescent="0.2">
      <c r="I27741" s="137" t="s">
        <v>74</v>
      </c>
    </row>
    <row r="27742" spans="9:9" x14ac:dyDescent="0.2">
      <c r="I27742" s="137" t="s">
        <v>74</v>
      </c>
    </row>
    <row r="27743" spans="9:9" x14ac:dyDescent="0.2">
      <c r="I27743" s="137" t="s">
        <v>74</v>
      </c>
    </row>
    <row r="27744" spans="9:9" x14ac:dyDescent="0.2">
      <c r="I27744" s="137" t="s">
        <v>74</v>
      </c>
    </row>
    <row r="27745" spans="9:9" x14ac:dyDescent="0.2">
      <c r="I27745" s="137" t="s">
        <v>74</v>
      </c>
    </row>
    <row r="27746" spans="9:9" x14ac:dyDescent="0.2">
      <c r="I27746" s="137" t="s">
        <v>74</v>
      </c>
    </row>
    <row r="27747" spans="9:9" x14ac:dyDescent="0.2">
      <c r="I27747" s="137" t="s">
        <v>74</v>
      </c>
    </row>
    <row r="27748" spans="9:9" x14ac:dyDescent="0.2">
      <c r="I27748" s="137" t="s">
        <v>74</v>
      </c>
    </row>
    <row r="27749" spans="9:9" x14ac:dyDescent="0.2">
      <c r="I27749" s="137" t="s">
        <v>74</v>
      </c>
    </row>
    <row r="27750" spans="9:9" x14ac:dyDescent="0.2">
      <c r="I27750" s="137" t="s">
        <v>74</v>
      </c>
    </row>
    <row r="27751" spans="9:9" x14ac:dyDescent="0.2">
      <c r="I27751" s="137" t="s">
        <v>74</v>
      </c>
    </row>
    <row r="27752" spans="9:9" x14ac:dyDescent="0.2">
      <c r="I27752" s="137" t="s">
        <v>74</v>
      </c>
    </row>
    <row r="27753" spans="9:9" x14ac:dyDescent="0.2">
      <c r="I27753" s="137" t="s">
        <v>74</v>
      </c>
    </row>
    <row r="27754" spans="9:9" x14ac:dyDescent="0.2">
      <c r="I27754" s="137" t="s">
        <v>74</v>
      </c>
    </row>
    <row r="27755" spans="9:9" x14ac:dyDescent="0.2">
      <c r="I27755" s="137" t="s">
        <v>74</v>
      </c>
    </row>
    <row r="27756" spans="9:9" x14ac:dyDescent="0.2">
      <c r="I27756" s="137" t="s">
        <v>74</v>
      </c>
    </row>
    <row r="27757" spans="9:9" x14ac:dyDescent="0.2">
      <c r="I27757" s="137" t="s">
        <v>74</v>
      </c>
    </row>
    <row r="27758" spans="9:9" x14ac:dyDescent="0.2">
      <c r="I27758" s="137" t="s">
        <v>74</v>
      </c>
    </row>
    <row r="27759" spans="9:9" x14ac:dyDescent="0.2">
      <c r="I27759" s="137" t="s">
        <v>74</v>
      </c>
    </row>
    <row r="27760" spans="9:9" x14ac:dyDescent="0.2">
      <c r="I27760" s="137" t="s">
        <v>74</v>
      </c>
    </row>
    <row r="27761" spans="9:9" x14ac:dyDescent="0.2">
      <c r="I27761" s="137" t="s">
        <v>74</v>
      </c>
    </row>
    <row r="27762" spans="9:9" x14ac:dyDescent="0.2">
      <c r="I27762" s="137" t="s">
        <v>74</v>
      </c>
    </row>
    <row r="27763" spans="9:9" x14ac:dyDescent="0.2">
      <c r="I27763" s="137" t="s">
        <v>74</v>
      </c>
    </row>
    <row r="27764" spans="9:9" x14ac:dyDescent="0.2">
      <c r="I27764" s="137" t="s">
        <v>74</v>
      </c>
    </row>
    <row r="27765" spans="9:9" x14ac:dyDescent="0.2">
      <c r="I27765" s="137" t="s">
        <v>74</v>
      </c>
    </row>
    <row r="27766" spans="9:9" x14ac:dyDescent="0.2">
      <c r="I27766" s="137" t="s">
        <v>74</v>
      </c>
    </row>
    <row r="27767" spans="9:9" x14ac:dyDescent="0.2">
      <c r="I27767" s="137" t="s">
        <v>74</v>
      </c>
    </row>
    <row r="27768" spans="9:9" x14ac:dyDescent="0.2">
      <c r="I27768" s="137" t="s">
        <v>74</v>
      </c>
    </row>
    <row r="27769" spans="9:9" x14ac:dyDescent="0.2">
      <c r="I27769" s="137" t="s">
        <v>74</v>
      </c>
    </row>
    <row r="27770" spans="9:9" x14ac:dyDescent="0.2">
      <c r="I27770" s="137" t="s">
        <v>74</v>
      </c>
    </row>
    <row r="27771" spans="9:9" x14ac:dyDescent="0.2">
      <c r="I27771" s="137" t="s">
        <v>74</v>
      </c>
    </row>
    <row r="27772" spans="9:9" x14ac:dyDescent="0.2">
      <c r="I27772" s="137" t="s">
        <v>74</v>
      </c>
    </row>
    <row r="27773" spans="9:9" x14ac:dyDescent="0.2">
      <c r="I27773" s="137" t="s">
        <v>74</v>
      </c>
    </row>
    <row r="27774" spans="9:9" x14ac:dyDescent="0.2">
      <c r="I27774" s="137" t="s">
        <v>74</v>
      </c>
    </row>
    <row r="27775" spans="9:9" x14ac:dyDescent="0.2">
      <c r="I27775" s="137" t="s">
        <v>74</v>
      </c>
    </row>
    <row r="27776" spans="9:9" x14ac:dyDescent="0.2">
      <c r="I27776" s="137" t="s">
        <v>74</v>
      </c>
    </row>
    <row r="27777" spans="9:9" x14ac:dyDescent="0.2">
      <c r="I27777" s="137" t="s">
        <v>74</v>
      </c>
    </row>
    <row r="27778" spans="9:9" x14ac:dyDescent="0.2">
      <c r="I27778" s="137" t="s">
        <v>74</v>
      </c>
    </row>
    <row r="27779" spans="9:9" x14ac:dyDescent="0.2">
      <c r="I27779" s="137" t="s">
        <v>74</v>
      </c>
    </row>
    <row r="27780" spans="9:9" x14ac:dyDescent="0.2">
      <c r="I27780" s="137" t="s">
        <v>74</v>
      </c>
    </row>
    <row r="27781" spans="9:9" x14ac:dyDescent="0.2">
      <c r="I27781" s="137" t="s">
        <v>74</v>
      </c>
    </row>
    <row r="27782" spans="9:9" x14ac:dyDescent="0.2">
      <c r="I27782" s="137" t="s">
        <v>74</v>
      </c>
    </row>
    <row r="27783" spans="9:9" x14ac:dyDescent="0.2">
      <c r="I27783" s="137" t="s">
        <v>74</v>
      </c>
    </row>
    <row r="27784" spans="9:9" x14ac:dyDescent="0.2">
      <c r="I27784" s="137" t="s">
        <v>74</v>
      </c>
    </row>
    <row r="27785" spans="9:9" x14ac:dyDescent="0.2">
      <c r="I27785" s="137" t="s">
        <v>74</v>
      </c>
    </row>
    <row r="27786" spans="9:9" x14ac:dyDescent="0.2">
      <c r="I27786" s="137" t="s">
        <v>74</v>
      </c>
    </row>
    <row r="27787" spans="9:9" x14ac:dyDescent="0.2">
      <c r="I27787" s="137" t="s">
        <v>74</v>
      </c>
    </row>
    <row r="27788" spans="9:9" x14ac:dyDescent="0.2">
      <c r="I27788" s="137" t="s">
        <v>74</v>
      </c>
    </row>
    <row r="27789" spans="9:9" x14ac:dyDescent="0.2">
      <c r="I27789" s="137" t="s">
        <v>74</v>
      </c>
    </row>
    <row r="27790" spans="9:9" x14ac:dyDescent="0.2">
      <c r="I27790" s="137" t="s">
        <v>74</v>
      </c>
    </row>
    <row r="27791" spans="9:9" x14ac:dyDescent="0.2">
      <c r="I27791" s="137" t="s">
        <v>74</v>
      </c>
    </row>
    <row r="27792" spans="9:9" x14ac:dyDescent="0.2">
      <c r="I27792" s="137" t="s">
        <v>74</v>
      </c>
    </row>
    <row r="27793" spans="9:9" x14ac:dyDescent="0.2">
      <c r="I27793" s="137" t="s">
        <v>74</v>
      </c>
    </row>
    <row r="27794" spans="9:9" x14ac:dyDescent="0.2">
      <c r="I27794" s="137" t="s">
        <v>74</v>
      </c>
    </row>
    <row r="27795" spans="9:9" x14ac:dyDescent="0.2">
      <c r="I27795" s="137" t="s">
        <v>74</v>
      </c>
    </row>
    <row r="27796" spans="9:9" x14ac:dyDescent="0.2">
      <c r="I27796" s="137" t="s">
        <v>74</v>
      </c>
    </row>
    <row r="27797" spans="9:9" x14ac:dyDescent="0.2">
      <c r="I27797" s="137" t="s">
        <v>74</v>
      </c>
    </row>
    <row r="27798" spans="9:9" x14ac:dyDescent="0.2">
      <c r="I27798" s="137" t="s">
        <v>74</v>
      </c>
    </row>
    <row r="27799" spans="9:9" x14ac:dyDescent="0.2">
      <c r="I27799" s="137" t="s">
        <v>74</v>
      </c>
    </row>
    <row r="27800" spans="9:9" x14ac:dyDescent="0.2">
      <c r="I27800" s="137" t="s">
        <v>74</v>
      </c>
    </row>
    <row r="27801" spans="9:9" x14ac:dyDescent="0.2">
      <c r="I27801" s="137" t="s">
        <v>74</v>
      </c>
    </row>
    <row r="27802" spans="9:9" x14ac:dyDescent="0.2">
      <c r="I27802" s="137" t="s">
        <v>74</v>
      </c>
    </row>
    <row r="27803" spans="9:9" x14ac:dyDescent="0.2">
      <c r="I27803" s="137" t="s">
        <v>74</v>
      </c>
    </row>
    <row r="27804" spans="9:9" x14ac:dyDescent="0.2">
      <c r="I27804" s="137" t="s">
        <v>74</v>
      </c>
    </row>
    <row r="27805" spans="9:9" x14ac:dyDescent="0.2">
      <c r="I27805" s="137" t="s">
        <v>74</v>
      </c>
    </row>
    <row r="27806" spans="9:9" x14ac:dyDescent="0.2">
      <c r="I27806" s="137" t="s">
        <v>74</v>
      </c>
    </row>
    <row r="27807" spans="9:9" x14ac:dyDescent="0.2">
      <c r="I27807" s="137" t="s">
        <v>74</v>
      </c>
    </row>
    <row r="27808" spans="9:9" x14ac:dyDescent="0.2">
      <c r="I27808" s="137" t="s">
        <v>74</v>
      </c>
    </row>
    <row r="27809" spans="9:9" x14ac:dyDescent="0.2">
      <c r="I27809" s="137" t="s">
        <v>74</v>
      </c>
    </row>
    <row r="27810" spans="9:9" x14ac:dyDescent="0.2">
      <c r="I27810" s="137" t="s">
        <v>74</v>
      </c>
    </row>
    <row r="27811" spans="9:9" x14ac:dyDescent="0.2">
      <c r="I27811" s="137" t="s">
        <v>74</v>
      </c>
    </row>
    <row r="27812" spans="9:9" x14ac:dyDescent="0.2">
      <c r="I27812" s="137" t="s">
        <v>74</v>
      </c>
    </row>
    <row r="27813" spans="9:9" x14ac:dyDescent="0.2">
      <c r="I27813" s="137" t="s">
        <v>74</v>
      </c>
    </row>
    <row r="27814" spans="9:9" x14ac:dyDescent="0.2">
      <c r="I27814" s="137" t="s">
        <v>74</v>
      </c>
    </row>
    <row r="27815" spans="9:9" x14ac:dyDescent="0.2">
      <c r="I27815" s="137" t="s">
        <v>74</v>
      </c>
    </row>
    <row r="27816" spans="9:9" x14ac:dyDescent="0.2">
      <c r="I27816" s="137" t="s">
        <v>74</v>
      </c>
    </row>
    <row r="27817" spans="9:9" x14ac:dyDescent="0.2">
      <c r="I27817" s="137" t="s">
        <v>74</v>
      </c>
    </row>
    <row r="27818" spans="9:9" x14ac:dyDescent="0.2">
      <c r="I27818" s="137" t="s">
        <v>74</v>
      </c>
    </row>
    <row r="27819" spans="9:9" x14ac:dyDescent="0.2">
      <c r="I27819" s="137" t="s">
        <v>74</v>
      </c>
    </row>
    <row r="27820" spans="9:9" x14ac:dyDescent="0.2">
      <c r="I27820" s="137" t="s">
        <v>74</v>
      </c>
    </row>
    <row r="27821" spans="9:9" x14ac:dyDescent="0.2">
      <c r="I27821" s="137" t="s">
        <v>74</v>
      </c>
    </row>
    <row r="27822" spans="9:9" x14ac:dyDescent="0.2">
      <c r="I27822" s="137" t="s">
        <v>74</v>
      </c>
    </row>
    <row r="27823" spans="9:9" x14ac:dyDescent="0.2">
      <c r="I27823" s="137" t="s">
        <v>74</v>
      </c>
    </row>
    <row r="27824" spans="9:9" x14ac:dyDescent="0.2">
      <c r="I27824" s="137" t="s">
        <v>74</v>
      </c>
    </row>
    <row r="27825" spans="9:9" x14ac:dyDescent="0.2">
      <c r="I27825" s="137" t="s">
        <v>74</v>
      </c>
    </row>
    <row r="27826" spans="9:9" x14ac:dyDescent="0.2">
      <c r="I27826" s="137" t="s">
        <v>74</v>
      </c>
    </row>
    <row r="27827" spans="9:9" x14ac:dyDescent="0.2">
      <c r="I27827" s="137" t="s">
        <v>74</v>
      </c>
    </row>
    <row r="27828" spans="9:9" x14ac:dyDescent="0.2">
      <c r="I27828" s="137" t="s">
        <v>74</v>
      </c>
    </row>
    <row r="27829" spans="9:9" x14ac:dyDescent="0.2">
      <c r="I27829" s="137" t="s">
        <v>74</v>
      </c>
    </row>
    <row r="27830" spans="9:9" x14ac:dyDescent="0.2">
      <c r="I27830" s="137" t="s">
        <v>74</v>
      </c>
    </row>
    <row r="27831" spans="9:9" x14ac:dyDescent="0.2">
      <c r="I27831" s="137" t="s">
        <v>74</v>
      </c>
    </row>
    <row r="27832" spans="9:9" x14ac:dyDescent="0.2">
      <c r="I27832" s="137" t="s">
        <v>74</v>
      </c>
    </row>
    <row r="27833" spans="9:9" x14ac:dyDescent="0.2">
      <c r="I27833" s="137" t="s">
        <v>74</v>
      </c>
    </row>
    <row r="27834" spans="9:9" x14ac:dyDescent="0.2">
      <c r="I27834" s="137" t="s">
        <v>74</v>
      </c>
    </row>
    <row r="27835" spans="9:9" x14ac:dyDescent="0.2">
      <c r="I27835" s="137" t="s">
        <v>74</v>
      </c>
    </row>
    <row r="27836" spans="9:9" x14ac:dyDescent="0.2">
      <c r="I27836" s="137" t="s">
        <v>74</v>
      </c>
    </row>
    <row r="27837" spans="9:9" x14ac:dyDescent="0.2">
      <c r="I27837" s="137" t="s">
        <v>74</v>
      </c>
    </row>
    <row r="27838" spans="9:9" x14ac:dyDescent="0.2">
      <c r="I27838" s="137" t="s">
        <v>74</v>
      </c>
    </row>
    <row r="27839" spans="9:9" x14ac:dyDescent="0.2">
      <c r="I27839" s="137" t="s">
        <v>74</v>
      </c>
    </row>
    <row r="27840" spans="9:9" x14ac:dyDescent="0.2">
      <c r="I27840" s="137" t="s">
        <v>74</v>
      </c>
    </row>
    <row r="27841" spans="9:9" x14ac:dyDescent="0.2">
      <c r="I27841" s="137" t="s">
        <v>74</v>
      </c>
    </row>
    <row r="27842" spans="9:9" x14ac:dyDescent="0.2">
      <c r="I27842" s="137" t="s">
        <v>74</v>
      </c>
    </row>
    <row r="27843" spans="9:9" x14ac:dyDescent="0.2">
      <c r="I27843" s="137" t="s">
        <v>74</v>
      </c>
    </row>
    <row r="27844" spans="9:9" x14ac:dyDescent="0.2">
      <c r="I27844" s="137" t="s">
        <v>74</v>
      </c>
    </row>
    <row r="27845" spans="9:9" x14ac:dyDescent="0.2">
      <c r="I27845" s="137" t="s">
        <v>74</v>
      </c>
    </row>
    <row r="27846" spans="9:9" x14ac:dyDescent="0.2">
      <c r="I27846" s="137" t="s">
        <v>74</v>
      </c>
    </row>
    <row r="27847" spans="9:9" x14ac:dyDescent="0.2">
      <c r="I27847" s="137" t="s">
        <v>74</v>
      </c>
    </row>
    <row r="27848" spans="9:9" x14ac:dyDescent="0.2">
      <c r="I27848" s="137" t="s">
        <v>74</v>
      </c>
    </row>
    <row r="27849" spans="9:9" x14ac:dyDescent="0.2">
      <c r="I27849" s="137" t="s">
        <v>74</v>
      </c>
    </row>
    <row r="27850" spans="9:9" x14ac:dyDescent="0.2">
      <c r="I27850" s="137" t="s">
        <v>74</v>
      </c>
    </row>
    <row r="27851" spans="9:9" x14ac:dyDescent="0.2">
      <c r="I27851" s="137" t="s">
        <v>74</v>
      </c>
    </row>
    <row r="27852" spans="9:9" x14ac:dyDescent="0.2">
      <c r="I27852" s="137" t="s">
        <v>74</v>
      </c>
    </row>
    <row r="27853" spans="9:9" x14ac:dyDescent="0.2">
      <c r="I27853" s="137" t="s">
        <v>74</v>
      </c>
    </row>
    <row r="27854" spans="9:9" x14ac:dyDescent="0.2">
      <c r="I27854" s="137" t="s">
        <v>74</v>
      </c>
    </row>
    <row r="27855" spans="9:9" x14ac:dyDescent="0.2">
      <c r="I27855" s="137" t="s">
        <v>74</v>
      </c>
    </row>
    <row r="27856" spans="9:9" x14ac:dyDescent="0.2">
      <c r="I27856" s="137" t="s">
        <v>74</v>
      </c>
    </row>
    <row r="27857" spans="9:9" x14ac:dyDescent="0.2">
      <c r="I27857" s="137" t="s">
        <v>74</v>
      </c>
    </row>
    <row r="27858" spans="9:9" x14ac:dyDescent="0.2">
      <c r="I27858" s="137" t="s">
        <v>74</v>
      </c>
    </row>
    <row r="27859" spans="9:9" x14ac:dyDescent="0.2">
      <c r="I27859" s="137" t="s">
        <v>74</v>
      </c>
    </row>
    <row r="27860" spans="9:9" x14ac:dyDescent="0.2">
      <c r="I27860" s="137" t="s">
        <v>74</v>
      </c>
    </row>
    <row r="27861" spans="9:9" x14ac:dyDescent="0.2">
      <c r="I27861" s="137" t="s">
        <v>74</v>
      </c>
    </row>
    <row r="27862" spans="9:9" x14ac:dyDescent="0.2">
      <c r="I27862" s="137" t="s">
        <v>74</v>
      </c>
    </row>
    <row r="27863" spans="9:9" x14ac:dyDescent="0.2">
      <c r="I27863" s="137" t="s">
        <v>74</v>
      </c>
    </row>
    <row r="27864" spans="9:9" x14ac:dyDescent="0.2">
      <c r="I27864" s="137" t="s">
        <v>74</v>
      </c>
    </row>
    <row r="27865" spans="9:9" x14ac:dyDescent="0.2">
      <c r="I27865" s="137" t="s">
        <v>74</v>
      </c>
    </row>
    <row r="27866" spans="9:9" x14ac:dyDescent="0.2">
      <c r="I27866" s="137" t="s">
        <v>74</v>
      </c>
    </row>
    <row r="27867" spans="9:9" x14ac:dyDescent="0.2">
      <c r="I27867" s="137" t="s">
        <v>74</v>
      </c>
    </row>
    <row r="27868" spans="9:9" x14ac:dyDescent="0.2">
      <c r="I27868" s="137" t="s">
        <v>74</v>
      </c>
    </row>
    <row r="27869" spans="9:9" x14ac:dyDescent="0.2">
      <c r="I27869" s="137" t="s">
        <v>74</v>
      </c>
    </row>
    <row r="27870" spans="9:9" x14ac:dyDescent="0.2">
      <c r="I27870" s="137" t="s">
        <v>74</v>
      </c>
    </row>
    <row r="27871" spans="9:9" x14ac:dyDescent="0.2">
      <c r="I27871" s="137" t="s">
        <v>74</v>
      </c>
    </row>
    <row r="27872" spans="9:9" x14ac:dyDescent="0.2">
      <c r="I27872" s="137" t="s">
        <v>74</v>
      </c>
    </row>
    <row r="27873" spans="9:9" x14ac:dyDescent="0.2">
      <c r="I27873" s="137" t="s">
        <v>74</v>
      </c>
    </row>
    <row r="27874" spans="9:9" x14ac:dyDescent="0.2">
      <c r="I27874" s="137" t="s">
        <v>74</v>
      </c>
    </row>
    <row r="27875" spans="9:9" x14ac:dyDescent="0.2">
      <c r="I27875" s="137" t="s">
        <v>74</v>
      </c>
    </row>
    <row r="27876" spans="9:9" x14ac:dyDescent="0.2">
      <c r="I27876" s="137" t="s">
        <v>74</v>
      </c>
    </row>
    <row r="27877" spans="9:9" x14ac:dyDescent="0.2">
      <c r="I27877" s="137" t="s">
        <v>74</v>
      </c>
    </row>
    <row r="27878" spans="9:9" x14ac:dyDescent="0.2">
      <c r="I27878" s="137" t="s">
        <v>74</v>
      </c>
    </row>
    <row r="27879" spans="9:9" x14ac:dyDescent="0.2">
      <c r="I27879" s="137" t="s">
        <v>74</v>
      </c>
    </row>
    <row r="27880" spans="9:9" x14ac:dyDescent="0.2">
      <c r="I27880" s="137" t="s">
        <v>74</v>
      </c>
    </row>
    <row r="27881" spans="9:9" x14ac:dyDescent="0.2">
      <c r="I27881" s="137" t="s">
        <v>74</v>
      </c>
    </row>
    <row r="27882" spans="9:9" x14ac:dyDescent="0.2">
      <c r="I27882" s="137" t="s">
        <v>74</v>
      </c>
    </row>
    <row r="27883" spans="9:9" x14ac:dyDescent="0.2">
      <c r="I27883" s="137" t="s">
        <v>74</v>
      </c>
    </row>
    <row r="27884" spans="9:9" x14ac:dyDescent="0.2">
      <c r="I27884" s="137" t="s">
        <v>74</v>
      </c>
    </row>
    <row r="27885" spans="9:9" x14ac:dyDescent="0.2">
      <c r="I27885" s="137" t="s">
        <v>74</v>
      </c>
    </row>
    <row r="27886" spans="9:9" x14ac:dyDescent="0.2">
      <c r="I27886" s="137" t="s">
        <v>74</v>
      </c>
    </row>
    <row r="27887" spans="9:9" x14ac:dyDescent="0.2">
      <c r="I27887" s="137" t="s">
        <v>74</v>
      </c>
    </row>
    <row r="27888" spans="9:9" x14ac:dyDescent="0.2">
      <c r="I27888" s="137" t="s">
        <v>74</v>
      </c>
    </row>
    <row r="27889" spans="9:9" x14ac:dyDescent="0.2">
      <c r="I27889" s="137" t="s">
        <v>74</v>
      </c>
    </row>
    <row r="27890" spans="9:9" x14ac:dyDescent="0.2">
      <c r="I27890" s="137" t="s">
        <v>74</v>
      </c>
    </row>
    <row r="27891" spans="9:9" x14ac:dyDescent="0.2">
      <c r="I27891" s="137" t="s">
        <v>74</v>
      </c>
    </row>
    <row r="27892" spans="9:9" x14ac:dyDescent="0.2">
      <c r="I27892" s="137" t="s">
        <v>74</v>
      </c>
    </row>
    <row r="27893" spans="9:9" x14ac:dyDescent="0.2">
      <c r="I27893" s="137" t="s">
        <v>74</v>
      </c>
    </row>
    <row r="27894" spans="9:9" x14ac:dyDescent="0.2">
      <c r="I27894" s="137" t="s">
        <v>74</v>
      </c>
    </row>
    <row r="27895" spans="9:9" x14ac:dyDescent="0.2">
      <c r="I27895" s="137" t="s">
        <v>74</v>
      </c>
    </row>
    <row r="27896" spans="9:9" x14ac:dyDescent="0.2">
      <c r="I27896" s="137" t="s">
        <v>74</v>
      </c>
    </row>
    <row r="27897" spans="9:9" x14ac:dyDescent="0.2">
      <c r="I27897" s="137" t="s">
        <v>74</v>
      </c>
    </row>
    <row r="27898" spans="9:9" x14ac:dyDescent="0.2">
      <c r="I27898" s="137" t="s">
        <v>74</v>
      </c>
    </row>
    <row r="27899" spans="9:9" x14ac:dyDescent="0.2">
      <c r="I27899" s="137" t="s">
        <v>74</v>
      </c>
    </row>
    <row r="27900" spans="9:9" x14ac:dyDescent="0.2">
      <c r="I27900" s="137" t="s">
        <v>74</v>
      </c>
    </row>
    <row r="27901" spans="9:9" x14ac:dyDescent="0.2">
      <c r="I27901" s="137" t="s">
        <v>74</v>
      </c>
    </row>
    <row r="27902" spans="9:9" x14ac:dyDescent="0.2">
      <c r="I27902" s="137" t="s">
        <v>74</v>
      </c>
    </row>
    <row r="27903" spans="9:9" x14ac:dyDescent="0.2">
      <c r="I27903" s="137" t="s">
        <v>74</v>
      </c>
    </row>
    <row r="27904" spans="9:9" x14ac:dyDescent="0.2">
      <c r="I27904" s="137" t="s">
        <v>74</v>
      </c>
    </row>
    <row r="27905" spans="9:9" x14ac:dyDescent="0.2">
      <c r="I27905" s="137" t="s">
        <v>74</v>
      </c>
    </row>
    <row r="27906" spans="9:9" x14ac:dyDescent="0.2">
      <c r="I27906" s="137" t="s">
        <v>74</v>
      </c>
    </row>
    <row r="27907" spans="9:9" x14ac:dyDescent="0.2">
      <c r="I27907" s="137" t="s">
        <v>74</v>
      </c>
    </row>
    <row r="27908" spans="9:9" x14ac:dyDescent="0.2">
      <c r="I27908" s="137" t="s">
        <v>74</v>
      </c>
    </row>
    <row r="27909" spans="9:9" x14ac:dyDescent="0.2">
      <c r="I27909" s="137" t="s">
        <v>74</v>
      </c>
    </row>
    <row r="27910" spans="9:9" x14ac:dyDescent="0.2">
      <c r="I27910" s="137" t="s">
        <v>74</v>
      </c>
    </row>
    <row r="27911" spans="9:9" x14ac:dyDescent="0.2">
      <c r="I27911" s="137" t="s">
        <v>74</v>
      </c>
    </row>
    <row r="27912" spans="9:9" x14ac:dyDescent="0.2">
      <c r="I27912" s="137" t="s">
        <v>74</v>
      </c>
    </row>
    <row r="27913" spans="9:9" x14ac:dyDescent="0.2">
      <c r="I27913" s="137" t="s">
        <v>74</v>
      </c>
    </row>
    <row r="27914" spans="9:9" x14ac:dyDescent="0.2">
      <c r="I27914" s="137" t="s">
        <v>74</v>
      </c>
    </row>
    <row r="27915" spans="9:9" x14ac:dyDescent="0.2">
      <c r="I27915" s="137" t="s">
        <v>74</v>
      </c>
    </row>
    <row r="27916" spans="9:9" x14ac:dyDescent="0.2">
      <c r="I27916" s="137" t="s">
        <v>74</v>
      </c>
    </row>
    <row r="27917" spans="9:9" x14ac:dyDescent="0.2">
      <c r="I27917" s="137" t="s">
        <v>74</v>
      </c>
    </row>
    <row r="27918" spans="9:9" x14ac:dyDescent="0.2">
      <c r="I27918" s="137" t="s">
        <v>74</v>
      </c>
    </row>
    <row r="27919" spans="9:9" x14ac:dyDescent="0.2">
      <c r="I27919" s="137" t="s">
        <v>74</v>
      </c>
    </row>
    <row r="27920" spans="9:9" x14ac:dyDescent="0.2">
      <c r="I27920" s="137" t="s">
        <v>74</v>
      </c>
    </row>
    <row r="27921" spans="9:9" x14ac:dyDescent="0.2">
      <c r="I27921" s="137" t="s">
        <v>74</v>
      </c>
    </row>
    <row r="27922" spans="9:9" x14ac:dyDescent="0.2">
      <c r="I27922" s="137" t="s">
        <v>74</v>
      </c>
    </row>
    <row r="27923" spans="9:9" x14ac:dyDescent="0.2">
      <c r="I27923" s="137" t="s">
        <v>74</v>
      </c>
    </row>
    <row r="27924" spans="9:9" x14ac:dyDescent="0.2">
      <c r="I27924" s="137" t="s">
        <v>74</v>
      </c>
    </row>
    <row r="27925" spans="9:9" x14ac:dyDescent="0.2">
      <c r="I27925" s="137" t="s">
        <v>74</v>
      </c>
    </row>
    <row r="27926" spans="9:9" x14ac:dyDescent="0.2">
      <c r="I27926" s="137" t="s">
        <v>74</v>
      </c>
    </row>
    <row r="27927" spans="9:9" x14ac:dyDescent="0.2">
      <c r="I27927" s="137" t="s">
        <v>74</v>
      </c>
    </row>
    <row r="27928" spans="9:9" x14ac:dyDescent="0.2">
      <c r="I27928" s="137" t="s">
        <v>74</v>
      </c>
    </row>
    <row r="27929" spans="9:9" x14ac:dyDescent="0.2">
      <c r="I27929" s="137" t="s">
        <v>74</v>
      </c>
    </row>
    <row r="27930" spans="9:9" x14ac:dyDescent="0.2">
      <c r="I27930" s="137" t="s">
        <v>74</v>
      </c>
    </row>
    <row r="27931" spans="9:9" x14ac:dyDescent="0.2">
      <c r="I27931" s="137" t="s">
        <v>74</v>
      </c>
    </row>
    <row r="27932" spans="9:9" x14ac:dyDescent="0.2">
      <c r="I27932" s="137" t="s">
        <v>74</v>
      </c>
    </row>
    <row r="27933" spans="9:9" x14ac:dyDescent="0.2">
      <c r="I27933" s="137" t="s">
        <v>74</v>
      </c>
    </row>
    <row r="27934" spans="9:9" x14ac:dyDescent="0.2">
      <c r="I27934" s="137" t="s">
        <v>74</v>
      </c>
    </row>
    <row r="27935" spans="9:9" x14ac:dyDescent="0.2">
      <c r="I27935" s="137" t="s">
        <v>74</v>
      </c>
    </row>
    <row r="27936" spans="9:9" x14ac:dyDescent="0.2">
      <c r="I27936" s="137" t="s">
        <v>74</v>
      </c>
    </row>
    <row r="27937" spans="9:9" x14ac:dyDescent="0.2">
      <c r="I27937" s="137" t="s">
        <v>74</v>
      </c>
    </row>
    <row r="27938" spans="9:9" x14ac:dyDescent="0.2">
      <c r="I27938" s="137" t="s">
        <v>74</v>
      </c>
    </row>
    <row r="27939" spans="9:9" x14ac:dyDescent="0.2">
      <c r="I27939" s="137" t="s">
        <v>74</v>
      </c>
    </row>
    <row r="27940" spans="9:9" x14ac:dyDescent="0.2">
      <c r="I27940" s="137" t="s">
        <v>74</v>
      </c>
    </row>
    <row r="27941" spans="9:9" x14ac:dyDescent="0.2">
      <c r="I27941" s="137" t="s">
        <v>74</v>
      </c>
    </row>
    <row r="27942" spans="9:9" x14ac:dyDescent="0.2">
      <c r="I27942" s="137" t="s">
        <v>74</v>
      </c>
    </row>
    <row r="27943" spans="9:9" x14ac:dyDescent="0.2">
      <c r="I27943" s="137" t="s">
        <v>74</v>
      </c>
    </row>
    <row r="27944" spans="9:9" x14ac:dyDescent="0.2">
      <c r="I27944" s="137" t="s">
        <v>74</v>
      </c>
    </row>
    <row r="27945" spans="9:9" x14ac:dyDescent="0.2">
      <c r="I27945" s="137" t="s">
        <v>74</v>
      </c>
    </row>
    <row r="27946" spans="9:9" x14ac:dyDescent="0.2">
      <c r="I27946" s="137" t="s">
        <v>74</v>
      </c>
    </row>
    <row r="27947" spans="9:9" x14ac:dyDescent="0.2">
      <c r="I27947" s="137" t="s">
        <v>74</v>
      </c>
    </row>
    <row r="27948" spans="9:9" x14ac:dyDescent="0.2">
      <c r="I27948" s="137" t="s">
        <v>74</v>
      </c>
    </row>
    <row r="27949" spans="9:9" x14ac:dyDescent="0.2">
      <c r="I27949" s="137" t="s">
        <v>74</v>
      </c>
    </row>
    <row r="27950" spans="9:9" x14ac:dyDescent="0.2">
      <c r="I27950" s="137" t="s">
        <v>74</v>
      </c>
    </row>
    <row r="27951" spans="9:9" x14ac:dyDescent="0.2">
      <c r="I27951" s="137" t="s">
        <v>74</v>
      </c>
    </row>
    <row r="27952" spans="9:9" x14ac:dyDescent="0.2">
      <c r="I27952" s="137" t="s">
        <v>74</v>
      </c>
    </row>
    <row r="27953" spans="9:9" x14ac:dyDescent="0.2">
      <c r="I27953" s="137" t="s">
        <v>74</v>
      </c>
    </row>
    <row r="27954" spans="9:9" x14ac:dyDescent="0.2">
      <c r="I27954" s="137" t="s">
        <v>74</v>
      </c>
    </row>
    <row r="27955" spans="9:9" x14ac:dyDescent="0.2">
      <c r="I27955" s="137" t="s">
        <v>74</v>
      </c>
    </row>
    <row r="27956" spans="9:9" x14ac:dyDescent="0.2">
      <c r="I27956" s="137" t="s">
        <v>74</v>
      </c>
    </row>
    <row r="27957" spans="9:9" x14ac:dyDescent="0.2">
      <c r="I27957" s="137" t="s">
        <v>74</v>
      </c>
    </row>
    <row r="27958" spans="9:9" x14ac:dyDescent="0.2">
      <c r="I27958" s="137" t="s">
        <v>74</v>
      </c>
    </row>
    <row r="27959" spans="9:9" x14ac:dyDescent="0.2">
      <c r="I27959" s="137" t="s">
        <v>74</v>
      </c>
    </row>
    <row r="27960" spans="9:9" x14ac:dyDescent="0.2">
      <c r="I27960" s="137" t="s">
        <v>74</v>
      </c>
    </row>
    <row r="27961" spans="9:9" x14ac:dyDescent="0.2">
      <c r="I27961" s="137" t="s">
        <v>74</v>
      </c>
    </row>
    <row r="27962" spans="9:9" x14ac:dyDescent="0.2">
      <c r="I27962" s="137" t="s">
        <v>74</v>
      </c>
    </row>
    <row r="27963" spans="9:9" x14ac:dyDescent="0.2">
      <c r="I27963" s="137" t="s">
        <v>74</v>
      </c>
    </row>
    <row r="27964" spans="9:9" x14ac:dyDescent="0.2">
      <c r="I27964" s="137" t="s">
        <v>74</v>
      </c>
    </row>
    <row r="27965" spans="9:9" x14ac:dyDescent="0.2">
      <c r="I27965" s="137" t="s">
        <v>74</v>
      </c>
    </row>
    <row r="27966" spans="9:9" x14ac:dyDescent="0.2">
      <c r="I27966" s="137" t="s">
        <v>74</v>
      </c>
    </row>
    <row r="27967" spans="9:9" x14ac:dyDescent="0.2">
      <c r="I27967" s="137" t="s">
        <v>74</v>
      </c>
    </row>
    <row r="27968" spans="9:9" x14ac:dyDescent="0.2">
      <c r="I27968" s="137" t="s">
        <v>74</v>
      </c>
    </row>
    <row r="27969" spans="9:9" x14ac:dyDescent="0.2">
      <c r="I27969" s="137" t="s">
        <v>74</v>
      </c>
    </row>
    <row r="27970" spans="9:9" x14ac:dyDescent="0.2">
      <c r="I27970" s="137" t="s">
        <v>74</v>
      </c>
    </row>
    <row r="27971" spans="9:9" x14ac:dyDescent="0.2">
      <c r="I27971" s="137" t="s">
        <v>74</v>
      </c>
    </row>
    <row r="27972" spans="9:9" x14ac:dyDescent="0.2">
      <c r="I27972" s="137" t="s">
        <v>74</v>
      </c>
    </row>
    <row r="27973" spans="9:9" x14ac:dyDescent="0.2">
      <c r="I27973" s="137" t="s">
        <v>74</v>
      </c>
    </row>
    <row r="27974" spans="9:9" x14ac:dyDescent="0.2">
      <c r="I27974" s="137" t="s">
        <v>74</v>
      </c>
    </row>
    <row r="27975" spans="9:9" x14ac:dyDescent="0.2">
      <c r="I27975" s="137" t="s">
        <v>74</v>
      </c>
    </row>
    <row r="27976" spans="9:9" x14ac:dyDescent="0.2">
      <c r="I27976" s="137" t="s">
        <v>74</v>
      </c>
    </row>
    <row r="27977" spans="9:9" x14ac:dyDescent="0.2">
      <c r="I27977" s="137" t="s">
        <v>74</v>
      </c>
    </row>
    <row r="27978" spans="9:9" x14ac:dyDescent="0.2">
      <c r="I27978" s="137" t="s">
        <v>74</v>
      </c>
    </row>
    <row r="27979" spans="9:9" x14ac:dyDescent="0.2">
      <c r="I27979" s="137" t="s">
        <v>74</v>
      </c>
    </row>
    <row r="27980" spans="9:9" x14ac:dyDescent="0.2">
      <c r="I27980" s="137" t="s">
        <v>74</v>
      </c>
    </row>
    <row r="27981" spans="9:9" x14ac:dyDescent="0.2">
      <c r="I27981" s="137" t="s">
        <v>74</v>
      </c>
    </row>
    <row r="27982" spans="9:9" x14ac:dyDescent="0.2">
      <c r="I27982" s="137" t="s">
        <v>74</v>
      </c>
    </row>
    <row r="27983" spans="9:9" x14ac:dyDescent="0.2">
      <c r="I27983" s="137" t="s">
        <v>74</v>
      </c>
    </row>
    <row r="27984" spans="9:9" x14ac:dyDescent="0.2">
      <c r="I27984" s="137" t="s">
        <v>74</v>
      </c>
    </row>
    <row r="27985" spans="9:9" x14ac:dyDescent="0.2">
      <c r="I27985" s="137" t="s">
        <v>74</v>
      </c>
    </row>
    <row r="27986" spans="9:9" x14ac:dyDescent="0.2">
      <c r="I27986" s="137" t="s">
        <v>74</v>
      </c>
    </row>
    <row r="27987" spans="9:9" x14ac:dyDescent="0.2">
      <c r="I27987" s="137" t="s">
        <v>74</v>
      </c>
    </row>
    <row r="27988" spans="9:9" x14ac:dyDescent="0.2">
      <c r="I27988" s="137" t="s">
        <v>74</v>
      </c>
    </row>
    <row r="27989" spans="9:9" x14ac:dyDescent="0.2">
      <c r="I27989" s="137" t="s">
        <v>74</v>
      </c>
    </row>
    <row r="27990" spans="9:9" x14ac:dyDescent="0.2">
      <c r="I27990" s="137" t="s">
        <v>74</v>
      </c>
    </row>
    <row r="27991" spans="9:9" x14ac:dyDescent="0.2">
      <c r="I27991" s="137" t="s">
        <v>74</v>
      </c>
    </row>
    <row r="27992" spans="9:9" x14ac:dyDescent="0.2">
      <c r="I27992" s="137" t="s">
        <v>74</v>
      </c>
    </row>
    <row r="27993" spans="9:9" x14ac:dyDescent="0.2">
      <c r="I27993" s="137" t="s">
        <v>74</v>
      </c>
    </row>
    <row r="27994" spans="9:9" x14ac:dyDescent="0.2">
      <c r="I27994" s="137" t="s">
        <v>74</v>
      </c>
    </row>
    <row r="27995" spans="9:9" x14ac:dyDescent="0.2">
      <c r="I27995" s="137" t="s">
        <v>74</v>
      </c>
    </row>
    <row r="27996" spans="9:9" x14ac:dyDescent="0.2">
      <c r="I27996" s="137" t="s">
        <v>74</v>
      </c>
    </row>
    <row r="27997" spans="9:9" x14ac:dyDescent="0.2">
      <c r="I27997" s="137" t="s">
        <v>74</v>
      </c>
    </row>
    <row r="27998" spans="9:9" x14ac:dyDescent="0.2">
      <c r="I27998" s="137" t="s">
        <v>74</v>
      </c>
    </row>
    <row r="27999" spans="9:9" x14ac:dyDescent="0.2">
      <c r="I27999" s="137" t="s">
        <v>74</v>
      </c>
    </row>
    <row r="28000" spans="9:9" x14ac:dyDescent="0.2">
      <c r="I28000" s="137" t="s">
        <v>74</v>
      </c>
    </row>
    <row r="28001" spans="9:9" x14ac:dyDescent="0.2">
      <c r="I28001" s="137" t="s">
        <v>74</v>
      </c>
    </row>
    <row r="28002" spans="9:9" x14ac:dyDescent="0.2">
      <c r="I28002" s="137" t="s">
        <v>74</v>
      </c>
    </row>
    <row r="28003" spans="9:9" x14ac:dyDescent="0.2">
      <c r="I28003" s="137" t="s">
        <v>74</v>
      </c>
    </row>
    <row r="28004" spans="9:9" x14ac:dyDescent="0.2">
      <c r="I28004" s="137" t="s">
        <v>74</v>
      </c>
    </row>
    <row r="28005" spans="9:9" x14ac:dyDescent="0.2">
      <c r="I28005" s="137" t="s">
        <v>74</v>
      </c>
    </row>
    <row r="28006" spans="9:9" x14ac:dyDescent="0.2">
      <c r="I28006" s="137" t="s">
        <v>74</v>
      </c>
    </row>
    <row r="28007" spans="9:9" x14ac:dyDescent="0.2">
      <c r="I28007" s="137" t="s">
        <v>74</v>
      </c>
    </row>
    <row r="28008" spans="9:9" x14ac:dyDescent="0.2">
      <c r="I28008" s="137" t="s">
        <v>74</v>
      </c>
    </row>
    <row r="28009" spans="9:9" x14ac:dyDescent="0.2">
      <c r="I28009" s="137" t="s">
        <v>74</v>
      </c>
    </row>
    <row r="28010" spans="9:9" x14ac:dyDescent="0.2">
      <c r="I28010" s="137" t="s">
        <v>74</v>
      </c>
    </row>
    <row r="28011" spans="9:9" x14ac:dyDescent="0.2">
      <c r="I28011" s="137" t="s">
        <v>74</v>
      </c>
    </row>
    <row r="28012" spans="9:9" x14ac:dyDescent="0.2">
      <c r="I28012" s="137" t="s">
        <v>74</v>
      </c>
    </row>
    <row r="28013" spans="9:9" x14ac:dyDescent="0.2">
      <c r="I28013" s="137" t="s">
        <v>74</v>
      </c>
    </row>
    <row r="28014" spans="9:9" x14ac:dyDescent="0.2">
      <c r="I28014" s="137" t="s">
        <v>74</v>
      </c>
    </row>
    <row r="28015" spans="9:9" x14ac:dyDescent="0.2">
      <c r="I28015" s="137" t="s">
        <v>74</v>
      </c>
    </row>
    <row r="28016" spans="9:9" x14ac:dyDescent="0.2">
      <c r="I28016" s="137" t="s">
        <v>74</v>
      </c>
    </row>
    <row r="28017" spans="9:9" x14ac:dyDescent="0.2">
      <c r="I28017" s="137" t="s">
        <v>74</v>
      </c>
    </row>
    <row r="28018" spans="9:9" x14ac:dyDescent="0.2">
      <c r="I28018" s="137" t="s">
        <v>74</v>
      </c>
    </row>
    <row r="28019" spans="9:9" x14ac:dyDescent="0.2">
      <c r="I28019" s="137" t="s">
        <v>74</v>
      </c>
    </row>
    <row r="28020" spans="9:9" x14ac:dyDescent="0.2">
      <c r="I28020" s="137" t="s">
        <v>74</v>
      </c>
    </row>
    <row r="28021" spans="9:9" x14ac:dyDescent="0.2">
      <c r="I28021" s="137" t="s">
        <v>74</v>
      </c>
    </row>
    <row r="28022" spans="9:9" x14ac:dyDescent="0.2">
      <c r="I28022" s="137" t="s">
        <v>74</v>
      </c>
    </row>
    <row r="28023" spans="9:9" x14ac:dyDescent="0.2">
      <c r="I28023" s="137" t="s">
        <v>74</v>
      </c>
    </row>
    <row r="28024" spans="9:9" x14ac:dyDescent="0.2">
      <c r="I28024" s="137" t="s">
        <v>74</v>
      </c>
    </row>
    <row r="28025" spans="9:9" x14ac:dyDescent="0.2">
      <c r="I28025" s="137" t="s">
        <v>74</v>
      </c>
    </row>
    <row r="28026" spans="9:9" x14ac:dyDescent="0.2">
      <c r="I28026" s="137" t="s">
        <v>74</v>
      </c>
    </row>
    <row r="28027" spans="9:9" x14ac:dyDescent="0.2">
      <c r="I28027" s="137" t="s">
        <v>74</v>
      </c>
    </row>
    <row r="28028" spans="9:9" x14ac:dyDescent="0.2">
      <c r="I28028" s="137" t="s">
        <v>74</v>
      </c>
    </row>
    <row r="28029" spans="9:9" x14ac:dyDescent="0.2">
      <c r="I28029" s="137" t="s">
        <v>74</v>
      </c>
    </row>
    <row r="28030" spans="9:9" x14ac:dyDescent="0.2">
      <c r="I28030" s="137" t="s">
        <v>74</v>
      </c>
    </row>
    <row r="28031" spans="9:9" x14ac:dyDescent="0.2">
      <c r="I28031" s="137" t="s">
        <v>74</v>
      </c>
    </row>
    <row r="28032" spans="9:9" x14ac:dyDescent="0.2">
      <c r="I28032" s="137" t="s">
        <v>74</v>
      </c>
    </row>
    <row r="28033" spans="9:9" x14ac:dyDescent="0.2">
      <c r="I28033" s="137" t="s">
        <v>74</v>
      </c>
    </row>
    <row r="28034" spans="9:9" x14ac:dyDescent="0.2">
      <c r="I28034" s="137" t="s">
        <v>74</v>
      </c>
    </row>
    <row r="28035" spans="9:9" x14ac:dyDescent="0.2">
      <c r="I28035" s="137" t="s">
        <v>74</v>
      </c>
    </row>
    <row r="28036" spans="9:9" x14ac:dyDescent="0.2">
      <c r="I28036" s="137" t="s">
        <v>74</v>
      </c>
    </row>
    <row r="28037" spans="9:9" x14ac:dyDescent="0.2">
      <c r="I28037" s="137" t="s">
        <v>74</v>
      </c>
    </row>
    <row r="28038" spans="9:9" x14ac:dyDescent="0.2">
      <c r="I28038" s="137" t="s">
        <v>74</v>
      </c>
    </row>
    <row r="28039" spans="9:9" x14ac:dyDescent="0.2">
      <c r="I28039" s="137" t="s">
        <v>74</v>
      </c>
    </row>
    <row r="28040" spans="9:9" x14ac:dyDescent="0.2">
      <c r="I28040" s="137" t="s">
        <v>74</v>
      </c>
    </row>
    <row r="28041" spans="9:9" x14ac:dyDescent="0.2">
      <c r="I28041" s="137" t="s">
        <v>74</v>
      </c>
    </row>
    <row r="28042" spans="9:9" x14ac:dyDescent="0.2">
      <c r="I28042" s="137" t="s">
        <v>74</v>
      </c>
    </row>
    <row r="28043" spans="9:9" x14ac:dyDescent="0.2">
      <c r="I28043" s="137" t="s">
        <v>74</v>
      </c>
    </row>
    <row r="28044" spans="9:9" x14ac:dyDescent="0.2">
      <c r="I28044" s="137" t="s">
        <v>74</v>
      </c>
    </row>
    <row r="28045" spans="9:9" x14ac:dyDescent="0.2">
      <c r="I28045" s="137" t="s">
        <v>74</v>
      </c>
    </row>
    <row r="28046" spans="9:9" x14ac:dyDescent="0.2">
      <c r="I28046" s="137" t="s">
        <v>74</v>
      </c>
    </row>
    <row r="28047" spans="9:9" x14ac:dyDescent="0.2">
      <c r="I28047" s="137" t="s">
        <v>74</v>
      </c>
    </row>
    <row r="28048" spans="9:9" x14ac:dyDescent="0.2">
      <c r="I28048" s="137" t="s">
        <v>74</v>
      </c>
    </row>
    <row r="28049" spans="9:9" x14ac:dyDescent="0.2">
      <c r="I28049" s="137" t="s">
        <v>74</v>
      </c>
    </row>
    <row r="28050" spans="9:9" x14ac:dyDescent="0.2">
      <c r="I28050" s="137" t="s">
        <v>74</v>
      </c>
    </row>
    <row r="28051" spans="9:9" x14ac:dyDescent="0.2">
      <c r="I28051" s="137" t="s">
        <v>74</v>
      </c>
    </row>
    <row r="28052" spans="9:9" x14ac:dyDescent="0.2">
      <c r="I28052" s="137" t="s">
        <v>74</v>
      </c>
    </row>
    <row r="28053" spans="9:9" x14ac:dyDescent="0.2">
      <c r="I28053" s="137" t="s">
        <v>74</v>
      </c>
    </row>
    <row r="28054" spans="9:9" x14ac:dyDescent="0.2">
      <c r="I28054" s="137" t="s">
        <v>74</v>
      </c>
    </row>
    <row r="28055" spans="9:9" x14ac:dyDescent="0.2">
      <c r="I28055" s="137" t="s">
        <v>74</v>
      </c>
    </row>
    <row r="28056" spans="9:9" x14ac:dyDescent="0.2">
      <c r="I28056" s="137" t="s">
        <v>74</v>
      </c>
    </row>
    <row r="28057" spans="9:9" x14ac:dyDescent="0.2">
      <c r="I28057" s="137" t="s">
        <v>74</v>
      </c>
    </row>
    <row r="28058" spans="9:9" x14ac:dyDescent="0.2">
      <c r="I28058" s="137" t="s">
        <v>74</v>
      </c>
    </row>
    <row r="28059" spans="9:9" x14ac:dyDescent="0.2">
      <c r="I28059" s="137" t="s">
        <v>74</v>
      </c>
    </row>
    <row r="28060" spans="9:9" x14ac:dyDescent="0.2">
      <c r="I28060" s="137" t="s">
        <v>74</v>
      </c>
    </row>
    <row r="28061" spans="9:9" x14ac:dyDescent="0.2">
      <c r="I28061" s="137" t="s">
        <v>74</v>
      </c>
    </row>
    <row r="28062" spans="9:9" x14ac:dyDescent="0.2">
      <c r="I28062" s="137" t="s">
        <v>74</v>
      </c>
    </row>
    <row r="28063" spans="9:9" x14ac:dyDescent="0.2">
      <c r="I28063" s="137" t="s">
        <v>74</v>
      </c>
    </row>
    <row r="28064" spans="9:9" x14ac:dyDescent="0.2">
      <c r="I28064" s="137" t="s">
        <v>74</v>
      </c>
    </row>
    <row r="28065" spans="9:9" x14ac:dyDescent="0.2">
      <c r="I28065" s="137" t="s">
        <v>74</v>
      </c>
    </row>
    <row r="28066" spans="9:9" x14ac:dyDescent="0.2">
      <c r="I28066" s="137" t="s">
        <v>74</v>
      </c>
    </row>
    <row r="28067" spans="9:9" x14ac:dyDescent="0.2">
      <c r="I28067" s="137" t="s">
        <v>74</v>
      </c>
    </row>
    <row r="28068" spans="9:9" x14ac:dyDescent="0.2">
      <c r="I28068" s="137" t="s">
        <v>74</v>
      </c>
    </row>
    <row r="28069" spans="9:9" x14ac:dyDescent="0.2">
      <c r="I28069" s="137" t="s">
        <v>74</v>
      </c>
    </row>
    <row r="28070" spans="9:9" x14ac:dyDescent="0.2">
      <c r="I28070" s="137" t="s">
        <v>74</v>
      </c>
    </row>
    <row r="28071" spans="9:9" x14ac:dyDescent="0.2">
      <c r="I28071" s="137" t="s">
        <v>74</v>
      </c>
    </row>
    <row r="28072" spans="9:9" x14ac:dyDescent="0.2">
      <c r="I28072" s="137" t="s">
        <v>74</v>
      </c>
    </row>
    <row r="28073" spans="9:9" x14ac:dyDescent="0.2">
      <c r="I28073" s="137" t="s">
        <v>74</v>
      </c>
    </row>
    <row r="28074" spans="9:9" x14ac:dyDescent="0.2">
      <c r="I28074" s="137" t="s">
        <v>74</v>
      </c>
    </row>
    <row r="28075" spans="9:9" x14ac:dyDescent="0.2">
      <c r="I28075" s="137" t="s">
        <v>74</v>
      </c>
    </row>
    <row r="28076" spans="9:9" x14ac:dyDescent="0.2">
      <c r="I28076" s="137" t="s">
        <v>74</v>
      </c>
    </row>
    <row r="28077" spans="9:9" x14ac:dyDescent="0.2">
      <c r="I28077" s="137" t="s">
        <v>74</v>
      </c>
    </row>
    <row r="28078" spans="9:9" x14ac:dyDescent="0.2">
      <c r="I28078" s="137" t="s">
        <v>74</v>
      </c>
    </row>
    <row r="28079" spans="9:9" x14ac:dyDescent="0.2">
      <c r="I28079" s="137" t="s">
        <v>74</v>
      </c>
    </row>
    <row r="28080" spans="9:9" x14ac:dyDescent="0.2">
      <c r="I28080" s="137" t="s">
        <v>74</v>
      </c>
    </row>
    <row r="28081" spans="9:9" x14ac:dyDescent="0.2">
      <c r="I28081" s="137" t="s">
        <v>74</v>
      </c>
    </row>
    <row r="28082" spans="9:9" x14ac:dyDescent="0.2">
      <c r="I28082" s="137" t="s">
        <v>74</v>
      </c>
    </row>
    <row r="28083" spans="9:9" x14ac:dyDescent="0.2">
      <c r="I28083" s="137" t="s">
        <v>74</v>
      </c>
    </row>
    <row r="28084" spans="9:9" x14ac:dyDescent="0.2">
      <c r="I28084" s="137" t="s">
        <v>74</v>
      </c>
    </row>
    <row r="28085" spans="9:9" x14ac:dyDescent="0.2">
      <c r="I28085" s="137" t="s">
        <v>74</v>
      </c>
    </row>
    <row r="28086" spans="9:9" x14ac:dyDescent="0.2">
      <c r="I28086" s="137" t="s">
        <v>74</v>
      </c>
    </row>
    <row r="28087" spans="9:9" x14ac:dyDescent="0.2">
      <c r="I28087" s="137" t="s">
        <v>74</v>
      </c>
    </row>
    <row r="28088" spans="9:9" x14ac:dyDescent="0.2">
      <c r="I28088" s="137" t="s">
        <v>74</v>
      </c>
    </row>
    <row r="28089" spans="9:9" x14ac:dyDescent="0.2">
      <c r="I28089" s="137" t="s">
        <v>74</v>
      </c>
    </row>
    <row r="28090" spans="9:9" x14ac:dyDescent="0.2">
      <c r="I28090" s="137" t="s">
        <v>74</v>
      </c>
    </row>
    <row r="28091" spans="9:9" x14ac:dyDescent="0.2">
      <c r="I28091" s="137" t="s">
        <v>74</v>
      </c>
    </row>
    <row r="28092" spans="9:9" x14ac:dyDescent="0.2">
      <c r="I28092" s="137" t="s">
        <v>74</v>
      </c>
    </row>
    <row r="28093" spans="9:9" x14ac:dyDescent="0.2">
      <c r="I28093" s="137" t="s">
        <v>74</v>
      </c>
    </row>
    <row r="28094" spans="9:9" x14ac:dyDescent="0.2">
      <c r="I28094" s="137" t="s">
        <v>74</v>
      </c>
    </row>
    <row r="28095" spans="9:9" x14ac:dyDescent="0.2">
      <c r="I28095" s="137" t="s">
        <v>74</v>
      </c>
    </row>
    <row r="28096" spans="9:9" x14ac:dyDescent="0.2">
      <c r="I28096" s="137" t="s">
        <v>74</v>
      </c>
    </row>
    <row r="28097" spans="9:9" x14ac:dyDescent="0.2">
      <c r="I28097" s="137" t="s">
        <v>74</v>
      </c>
    </row>
    <row r="28098" spans="9:9" x14ac:dyDescent="0.2">
      <c r="I28098" s="137" t="s">
        <v>74</v>
      </c>
    </row>
    <row r="28099" spans="9:9" x14ac:dyDescent="0.2">
      <c r="I28099" s="137" t="s">
        <v>74</v>
      </c>
    </row>
    <row r="28100" spans="9:9" x14ac:dyDescent="0.2">
      <c r="I28100" s="137" t="s">
        <v>74</v>
      </c>
    </row>
    <row r="28101" spans="9:9" x14ac:dyDescent="0.2">
      <c r="I28101" s="137" t="s">
        <v>74</v>
      </c>
    </row>
    <row r="28102" spans="9:9" x14ac:dyDescent="0.2">
      <c r="I28102" s="137" t="s">
        <v>74</v>
      </c>
    </row>
    <row r="28103" spans="9:9" x14ac:dyDescent="0.2">
      <c r="I28103" s="137" t="s">
        <v>74</v>
      </c>
    </row>
    <row r="28104" spans="9:9" x14ac:dyDescent="0.2">
      <c r="I28104" s="137" t="s">
        <v>74</v>
      </c>
    </row>
    <row r="28105" spans="9:9" x14ac:dyDescent="0.2">
      <c r="I28105" s="137" t="s">
        <v>74</v>
      </c>
    </row>
    <row r="28106" spans="9:9" x14ac:dyDescent="0.2">
      <c r="I28106" s="137" t="s">
        <v>74</v>
      </c>
    </row>
    <row r="28107" spans="9:9" x14ac:dyDescent="0.2">
      <c r="I28107" s="137" t="s">
        <v>74</v>
      </c>
    </row>
    <row r="28108" spans="9:9" x14ac:dyDescent="0.2">
      <c r="I28108" s="137" t="s">
        <v>74</v>
      </c>
    </row>
    <row r="28109" spans="9:9" x14ac:dyDescent="0.2">
      <c r="I28109" s="137" t="s">
        <v>74</v>
      </c>
    </row>
    <row r="28110" spans="9:9" x14ac:dyDescent="0.2">
      <c r="I28110" s="137" t="s">
        <v>74</v>
      </c>
    </row>
    <row r="28111" spans="9:9" x14ac:dyDescent="0.2">
      <c r="I28111" s="137" t="s">
        <v>74</v>
      </c>
    </row>
    <row r="28112" spans="9:9" x14ac:dyDescent="0.2">
      <c r="I28112" s="137" t="s">
        <v>74</v>
      </c>
    </row>
    <row r="28113" spans="9:9" x14ac:dyDescent="0.2">
      <c r="I28113" s="137" t="s">
        <v>74</v>
      </c>
    </row>
    <row r="28114" spans="9:9" x14ac:dyDescent="0.2">
      <c r="I28114" s="137" t="s">
        <v>74</v>
      </c>
    </row>
    <row r="28115" spans="9:9" x14ac:dyDescent="0.2">
      <c r="I28115" s="137" t="s">
        <v>74</v>
      </c>
    </row>
    <row r="28116" spans="9:9" x14ac:dyDescent="0.2">
      <c r="I28116" s="137" t="s">
        <v>74</v>
      </c>
    </row>
    <row r="28117" spans="9:9" x14ac:dyDescent="0.2">
      <c r="I28117" s="137" t="s">
        <v>74</v>
      </c>
    </row>
    <row r="28118" spans="9:9" x14ac:dyDescent="0.2">
      <c r="I28118" s="137" t="s">
        <v>74</v>
      </c>
    </row>
    <row r="28119" spans="9:9" x14ac:dyDescent="0.2">
      <c r="I28119" s="137" t="s">
        <v>74</v>
      </c>
    </row>
    <row r="28120" spans="9:9" x14ac:dyDescent="0.2">
      <c r="I28120" s="137" t="s">
        <v>74</v>
      </c>
    </row>
    <row r="28121" spans="9:9" x14ac:dyDescent="0.2">
      <c r="I28121" s="137" t="s">
        <v>74</v>
      </c>
    </row>
    <row r="28122" spans="9:9" x14ac:dyDescent="0.2">
      <c r="I28122" s="137" t="s">
        <v>74</v>
      </c>
    </row>
    <row r="28123" spans="9:9" x14ac:dyDescent="0.2">
      <c r="I28123" s="137" t="s">
        <v>74</v>
      </c>
    </row>
    <row r="28124" spans="9:9" x14ac:dyDescent="0.2">
      <c r="I28124" s="137" t="s">
        <v>74</v>
      </c>
    </row>
    <row r="28125" spans="9:9" x14ac:dyDescent="0.2">
      <c r="I28125" s="137" t="s">
        <v>74</v>
      </c>
    </row>
    <row r="28126" spans="9:9" x14ac:dyDescent="0.2">
      <c r="I28126" s="137" t="s">
        <v>74</v>
      </c>
    </row>
    <row r="28127" spans="9:9" x14ac:dyDescent="0.2">
      <c r="I28127" s="137" t="s">
        <v>74</v>
      </c>
    </row>
    <row r="28128" spans="9:9" x14ac:dyDescent="0.2">
      <c r="I28128" s="137" t="s">
        <v>74</v>
      </c>
    </row>
    <row r="28129" spans="9:9" x14ac:dyDescent="0.2">
      <c r="I28129" s="137" t="s">
        <v>74</v>
      </c>
    </row>
    <row r="28130" spans="9:9" x14ac:dyDescent="0.2">
      <c r="I28130" s="137" t="s">
        <v>74</v>
      </c>
    </row>
    <row r="28131" spans="9:9" x14ac:dyDescent="0.2">
      <c r="I28131" s="137" t="s">
        <v>74</v>
      </c>
    </row>
    <row r="28132" spans="9:9" x14ac:dyDescent="0.2">
      <c r="I28132" s="137" t="s">
        <v>74</v>
      </c>
    </row>
    <row r="28133" spans="9:9" x14ac:dyDescent="0.2">
      <c r="I28133" s="137" t="s">
        <v>74</v>
      </c>
    </row>
    <row r="28134" spans="9:9" x14ac:dyDescent="0.2">
      <c r="I28134" s="137" t="s">
        <v>74</v>
      </c>
    </row>
    <row r="28135" spans="9:9" x14ac:dyDescent="0.2">
      <c r="I28135" s="137" t="s">
        <v>74</v>
      </c>
    </row>
    <row r="28136" spans="9:9" x14ac:dyDescent="0.2">
      <c r="I28136" s="137" t="s">
        <v>74</v>
      </c>
    </row>
    <row r="28137" spans="9:9" x14ac:dyDescent="0.2">
      <c r="I28137" s="137" t="s">
        <v>74</v>
      </c>
    </row>
    <row r="28138" spans="9:9" x14ac:dyDescent="0.2">
      <c r="I28138" s="137" t="s">
        <v>74</v>
      </c>
    </row>
    <row r="28139" spans="9:9" x14ac:dyDescent="0.2">
      <c r="I28139" s="137" t="s">
        <v>74</v>
      </c>
    </row>
    <row r="28140" spans="9:9" x14ac:dyDescent="0.2">
      <c r="I28140" s="137" t="s">
        <v>74</v>
      </c>
    </row>
    <row r="28141" spans="9:9" x14ac:dyDescent="0.2">
      <c r="I28141" s="137" t="s">
        <v>74</v>
      </c>
    </row>
    <row r="28142" spans="9:9" x14ac:dyDescent="0.2">
      <c r="I28142" s="137" t="s">
        <v>74</v>
      </c>
    </row>
    <row r="28143" spans="9:9" x14ac:dyDescent="0.2">
      <c r="I28143" s="137" t="s">
        <v>74</v>
      </c>
    </row>
    <row r="28144" spans="9:9" x14ac:dyDescent="0.2">
      <c r="I28144" s="137" t="s">
        <v>74</v>
      </c>
    </row>
    <row r="28145" spans="9:9" x14ac:dyDescent="0.2">
      <c r="I28145" s="137" t="s">
        <v>74</v>
      </c>
    </row>
    <row r="28146" spans="9:9" x14ac:dyDescent="0.2">
      <c r="I28146" s="137" t="s">
        <v>74</v>
      </c>
    </row>
    <row r="28147" spans="9:9" x14ac:dyDescent="0.2">
      <c r="I28147" s="137" t="s">
        <v>74</v>
      </c>
    </row>
    <row r="28148" spans="9:9" x14ac:dyDescent="0.2">
      <c r="I28148" s="137" t="s">
        <v>74</v>
      </c>
    </row>
    <row r="28149" spans="9:9" x14ac:dyDescent="0.2">
      <c r="I28149" s="137" t="s">
        <v>74</v>
      </c>
    </row>
    <row r="28150" spans="9:9" x14ac:dyDescent="0.2">
      <c r="I28150" s="137" t="s">
        <v>74</v>
      </c>
    </row>
    <row r="28151" spans="9:9" x14ac:dyDescent="0.2">
      <c r="I28151" s="137" t="s">
        <v>74</v>
      </c>
    </row>
    <row r="28152" spans="9:9" x14ac:dyDescent="0.2">
      <c r="I28152" s="137" t="s">
        <v>74</v>
      </c>
    </row>
    <row r="28153" spans="9:9" x14ac:dyDescent="0.2">
      <c r="I28153" s="137" t="s">
        <v>74</v>
      </c>
    </row>
    <row r="28154" spans="9:9" x14ac:dyDescent="0.2">
      <c r="I28154" s="137" t="s">
        <v>74</v>
      </c>
    </row>
    <row r="28155" spans="9:9" x14ac:dyDescent="0.2">
      <c r="I28155" s="137" t="s">
        <v>74</v>
      </c>
    </row>
    <row r="28156" spans="9:9" x14ac:dyDescent="0.2">
      <c r="I28156" s="137" t="s">
        <v>74</v>
      </c>
    </row>
    <row r="28157" spans="9:9" x14ac:dyDescent="0.2">
      <c r="I28157" s="137" t="s">
        <v>74</v>
      </c>
    </row>
    <row r="28158" spans="9:9" x14ac:dyDescent="0.2">
      <c r="I28158" s="137" t="s">
        <v>74</v>
      </c>
    </row>
    <row r="28159" spans="9:9" x14ac:dyDescent="0.2">
      <c r="I28159" s="137" t="s">
        <v>74</v>
      </c>
    </row>
    <row r="28160" spans="9:9" x14ac:dyDescent="0.2">
      <c r="I28160" s="137" t="s">
        <v>74</v>
      </c>
    </row>
    <row r="28161" spans="9:9" x14ac:dyDescent="0.2">
      <c r="I28161" s="137" t="s">
        <v>74</v>
      </c>
    </row>
    <row r="28162" spans="9:9" x14ac:dyDescent="0.2">
      <c r="I28162" s="137" t="s">
        <v>74</v>
      </c>
    </row>
    <row r="28163" spans="9:9" x14ac:dyDescent="0.2">
      <c r="I28163" s="137" t="s">
        <v>74</v>
      </c>
    </row>
    <row r="28164" spans="9:9" x14ac:dyDescent="0.2">
      <c r="I28164" s="137" t="s">
        <v>74</v>
      </c>
    </row>
    <row r="28165" spans="9:9" x14ac:dyDescent="0.2">
      <c r="I28165" s="137" t="s">
        <v>74</v>
      </c>
    </row>
    <row r="28166" spans="9:9" x14ac:dyDescent="0.2">
      <c r="I28166" s="137" t="s">
        <v>74</v>
      </c>
    </row>
    <row r="28167" spans="9:9" x14ac:dyDescent="0.2">
      <c r="I28167" s="137" t="s">
        <v>74</v>
      </c>
    </row>
    <row r="28168" spans="9:9" x14ac:dyDescent="0.2">
      <c r="I28168" s="137" t="s">
        <v>74</v>
      </c>
    </row>
    <row r="28169" spans="9:9" x14ac:dyDescent="0.2">
      <c r="I28169" s="137" t="s">
        <v>74</v>
      </c>
    </row>
    <row r="28170" spans="9:9" x14ac:dyDescent="0.2">
      <c r="I28170" s="137" t="s">
        <v>74</v>
      </c>
    </row>
    <row r="28171" spans="9:9" x14ac:dyDescent="0.2">
      <c r="I28171" s="137" t="s">
        <v>74</v>
      </c>
    </row>
    <row r="28172" spans="9:9" x14ac:dyDescent="0.2">
      <c r="I28172" s="137" t="s">
        <v>74</v>
      </c>
    </row>
    <row r="28173" spans="9:9" x14ac:dyDescent="0.2">
      <c r="I28173" s="137" t="s">
        <v>74</v>
      </c>
    </row>
    <row r="28174" spans="9:9" x14ac:dyDescent="0.2">
      <c r="I28174" s="137" t="s">
        <v>74</v>
      </c>
    </row>
    <row r="28175" spans="9:9" x14ac:dyDescent="0.2">
      <c r="I28175" s="137" t="s">
        <v>74</v>
      </c>
    </row>
    <row r="28176" spans="9:9" x14ac:dyDescent="0.2">
      <c r="I28176" s="137" t="s">
        <v>74</v>
      </c>
    </row>
    <row r="28177" spans="9:9" x14ac:dyDescent="0.2">
      <c r="I28177" s="137" t="s">
        <v>74</v>
      </c>
    </row>
    <row r="28178" spans="9:9" x14ac:dyDescent="0.2">
      <c r="I28178" s="137" t="s">
        <v>74</v>
      </c>
    </row>
    <row r="28179" spans="9:9" x14ac:dyDescent="0.2">
      <c r="I28179" s="137" t="s">
        <v>74</v>
      </c>
    </row>
    <row r="28180" spans="9:9" x14ac:dyDescent="0.2">
      <c r="I28180" s="137" t="s">
        <v>74</v>
      </c>
    </row>
    <row r="28181" spans="9:9" x14ac:dyDescent="0.2">
      <c r="I28181" s="137" t="s">
        <v>74</v>
      </c>
    </row>
    <row r="28182" spans="9:9" x14ac:dyDescent="0.2">
      <c r="I28182" s="137" t="s">
        <v>74</v>
      </c>
    </row>
    <row r="28183" spans="9:9" x14ac:dyDescent="0.2">
      <c r="I28183" s="137" t="s">
        <v>74</v>
      </c>
    </row>
    <row r="28184" spans="9:9" x14ac:dyDescent="0.2">
      <c r="I28184" s="137" t="s">
        <v>74</v>
      </c>
    </row>
    <row r="28185" spans="9:9" x14ac:dyDescent="0.2">
      <c r="I28185" s="137" t="s">
        <v>74</v>
      </c>
    </row>
    <row r="28186" spans="9:9" x14ac:dyDescent="0.2">
      <c r="I28186" s="137" t="s">
        <v>74</v>
      </c>
    </row>
    <row r="28187" spans="9:9" x14ac:dyDescent="0.2">
      <c r="I28187" s="137" t="s">
        <v>74</v>
      </c>
    </row>
    <row r="28188" spans="9:9" x14ac:dyDescent="0.2">
      <c r="I28188" s="137" t="s">
        <v>74</v>
      </c>
    </row>
    <row r="28189" spans="9:9" x14ac:dyDescent="0.2">
      <c r="I28189" s="137" t="s">
        <v>74</v>
      </c>
    </row>
    <row r="28190" spans="9:9" x14ac:dyDescent="0.2">
      <c r="I28190" s="137" t="s">
        <v>74</v>
      </c>
    </row>
    <row r="28191" spans="9:9" x14ac:dyDescent="0.2">
      <c r="I28191" s="137" t="s">
        <v>74</v>
      </c>
    </row>
    <row r="28192" spans="9:9" x14ac:dyDescent="0.2">
      <c r="I28192" s="137" t="s">
        <v>74</v>
      </c>
    </row>
    <row r="28193" spans="9:9" x14ac:dyDescent="0.2">
      <c r="I28193" s="137" t="s">
        <v>74</v>
      </c>
    </row>
    <row r="28194" spans="9:9" x14ac:dyDescent="0.2">
      <c r="I28194" s="137" t="s">
        <v>74</v>
      </c>
    </row>
    <row r="28195" spans="9:9" x14ac:dyDescent="0.2">
      <c r="I28195" s="137" t="s">
        <v>74</v>
      </c>
    </row>
    <row r="28196" spans="9:9" x14ac:dyDescent="0.2">
      <c r="I28196" s="137" t="s">
        <v>74</v>
      </c>
    </row>
    <row r="28197" spans="9:9" x14ac:dyDescent="0.2">
      <c r="I28197" s="137" t="s">
        <v>74</v>
      </c>
    </row>
    <row r="28198" spans="9:9" x14ac:dyDescent="0.2">
      <c r="I28198" s="137" t="s">
        <v>74</v>
      </c>
    </row>
    <row r="28199" spans="9:9" x14ac:dyDescent="0.2">
      <c r="I28199" s="137" t="s">
        <v>74</v>
      </c>
    </row>
    <row r="28200" spans="9:9" x14ac:dyDescent="0.2">
      <c r="I28200" s="137" t="s">
        <v>74</v>
      </c>
    </row>
    <row r="28201" spans="9:9" x14ac:dyDescent="0.2">
      <c r="I28201" s="137" t="s">
        <v>74</v>
      </c>
    </row>
    <row r="28202" spans="9:9" x14ac:dyDescent="0.2">
      <c r="I28202" s="137" t="s">
        <v>74</v>
      </c>
    </row>
    <row r="28203" spans="9:9" x14ac:dyDescent="0.2">
      <c r="I28203" s="137" t="s">
        <v>74</v>
      </c>
    </row>
    <row r="28204" spans="9:9" x14ac:dyDescent="0.2">
      <c r="I28204" s="137" t="s">
        <v>74</v>
      </c>
    </row>
    <row r="28205" spans="9:9" x14ac:dyDescent="0.2">
      <c r="I28205" s="137" t="s">
        <v>74</v>
      </c>
    </row>
    <row r="28206" spans="9:9" x14ac:dyDescent="0.2">
      <c r="I28206" s="137" t="s">
        <v>74</v>
      </c>
    </row>
    <row r="28207" spans="9:9" x14ac:dyDescent="0.2">
      <c r="I28207" s="137" t="s">
        <v>74</v>
      </c>
    </row>
    <row r="28208" spans="9:9" x14ac:dyDescent="0.2">
      <c r="I28208" s="137" t="s">
        <v>74</v>
      </c>
    </row>
    <row r="28209" spans="9:9" x14ac:dyDescent="0.2">
      <c r="I28209" s="137" t="s">
        <v>74</v>
      </c>
    </row>
    <row r="28210" spans="9:9" x14ac:dyDescent="0.2">
      <c r="I28210" s="137" t="s">
        <v>74</v>
      </c>
    </row>
    <row r="28211" spans="9:9" x14ac:dyDescent="0.2">
      <c r="I28211" s="137" t="s">
        <v>74</v>
      </c>
    </row>
    <row r="28212" spans="9:9" x14ac:dyDescent="0.2">
      <c r="I28212" s="137" t="s">
        <v>74</v>
      </c>
    </row>
    <row r="28213" spans="9:9" x14ac:dyDescent="0.2">
      <c r="I28213" s="137" t="s">
        <v>74</v>
      </c>
    </row>
    <row r="28214" spans="9:9" x14ac:dyDescent="0.2">
      <c r="I28214" s="137" t="s">
        <v>74</v>
      </c>
    </row>
    <row r="28215" spans="9:9" x14ac:dyDescent="0.2">
      <c r="I28215" s="137" t="s">
        <v>74</v>
      </c>
    </row>
    <row r="28216" spans="9:9" x14ac:dyDescent="0.2">
      <c r="I28216" s="137" t="s">
        <v>74</v>
      </c>
    </row>
    <row r="28217" spans="9:9" x14ac:dyDescent="0.2">
      <c r="I28217" s="137" t="s">
        <v>74</v>
      </c>
    </row>
    <row r="28218" spans="9:9" x14ac:dyDescent="0.2">
      <c r="I28218" s="137" t="s">
        <v>74</v>
      </c>
    </row>
    <row r="28219" spans="9:9" x14ac:dyDescent="0.2">
      <c r="I28219" s="137" t="s">
        <v>74</v>
      </c>
    </row>
    <row r="28220" spans="9:9" x14ac:dyDescent="0.2">
      <c r="I28220" s="137" t="s">
        <v>74</v>
      </c>
    </row>
    <row r="28221" spans="9:9" x14ac:dyDescent="0.2">
      <c r="I28221" s="137" t="s">
        <v>74</v>
      </c>
    </row>
    <row r="28222" spans="9:9" x14ac:dyDescent="0.2">
      <c r="I28222" s="137" t="s">
        <v>74</v>
      </c>
    </row>
    <row r="28223" spans="9:9" x14ac:dyDescent="0.2">
      <c r="I28223" s="137" t="s">
        <v>74</v>
      </c>
    </row>
    <row r="28224" spans="9:9" x14ac:dyDescent="0.2">
      <c r="I28224" s="137" t="s">
        <v>74</v>
      </c>
    </row>
    <row r="28225" spans="9:9" x14ac:dyDescent="0.2">
      <c r="I28225" s="137" t="s">
        <v>74</v>
      </c>
    </row>
    <row r="28226" spans="9:9" x14ac:dyDescent="0.2">
      <c r="I28226" s="137" t="s">
        <v>74</v>
      </c>
    </row>
    <row r="28227" spans="9:9" x14ac:dyDescent="0.2">
      <c r="I28227" s="137" t="s">
        <v>74</v>
      </c>
    </row>
    <row r="28228" spans="9:9" x14ac:dyDescent="0.2">
      <c r="I28228" s="137" t="s">
        <v>74</v>
      </c>
    </row>
    <row r="28229" spans="9:9" x14ac:dyDescent="0.2">
      <c r="I28229" s="137" t="s">
        <v>74</v>
      </c>
    </row>
    <row r="28230" spans="9:9" x14ac:dyDescent="0.2">
      <c r="I28230" s="137" t="s">
        <v>74</v>
      </c>
    </row>
    <row r="28231" spans="9:9" x14ac:dyDescent="0.2">
      <c r="I28231" s="137" t="s">
        <v>74</v>
      </c>
    </row>
    <row r="28232" spans="9:9" x14ac:dyDescent="0.2">
      <c r="I28232" s="137" t="s">
        <v>74</v>
      </c>
    </row>
    <row r="28233" spans="9:9" x14ac:dyDescent="0.2">
      <c r="I28233" s="137" t="s">
        <v>74</v>
      </c>
    </row>
    <row r="28234" spans="9:9" x14ac:dyDescent="0.2">
      <c r="I28234" s="137" t="s">
        <v>74</v>
      </c>
    </row>
    <row r="28235" spans="9:9" x14ac:dyDescent="0.2">
      <c r="I28235" s="137" t="s">
        <v>74</v>
      </c>
    </row>
    <row r="28236" spans="9:9" x14ac:dyDescent="0.2">
      <c r="I28236" s="137" t="s">
        <v>74</v>
      </c>
    </row>
    <row r="28237" spans="9:9" x14ac:dyDescent="0.2">
      <c r="I28237" s="137" t="s">
        <v>74</v>
      </c>
    </row>
    <row r="28238" spans="9:9" x14ac:dyDescent="0.2">
      <c r="I28238" s="137" t="s">
        <v>74</v>
      </c>
    </row>
    <row r="28239" spans="9:9" x14ac:dyDescent="0.2">
      <c r="I28239" s="137" t="s">
        <v>74</v>
      </c>
    </row>
    <row r="28240" spans="9:9" x14ac:dyDescent="0.2">
      <c r="I28240" s="137" t="s">
        <v>74</v>
      </c>
    </row>
    <row r="28241" spans="9:9" x14ac:dyDescent="0.2">
      <c r="I28241" s="137" t="s">
        <v>74</v>
      </c>
    </row>
    <row r="28242" spans="9:9" x14ac:dyDescent="0.2">
      <c r="I28242" s="137" t="s">
        <v>74</v>
      </c>
    </row>
    <row r="28243" spans="9:9" x14ac:dyDescent="0.2">
      <c r="I28243" s="137" t="s">
        <v>74</v>
      </c>
    </row>
    <row r="28244" spans="9:9" x14ac:dyDescent="0.2">
      <c r="I28244" s="137" t="s">
        <v>74</v>
      </c>
    </row>
    <row r="28245" spans="9:9" x14ac:dyDescent="0.2">
      <c r="I28245" s="137" t="s">
        <v>74</v>
      </c>
    </row>
    <row r="28246" spans="9:9" x14ac:dyDescent="0.2">
      <c r="I28246" s="137" t="s">
        <v>74</v>
      </c>
    </row>
    <row r="28247" spans="9:9" x14ac:dyDescent="0.2">
      <c r="I28247" s="137" t="s">
        <v>74</v>
      </c>
    </row>
    <row r="28248" spans="9:9" x14ac:dyDescent="0.2">
      <c r="I28248" s="137" t="s">
        <v>74</v>
      </c>
    </row>
    <row r="28249" spans="9:9" x14ac:dyDescent="0.2">
      <c r="I28249" s="137" t="s">
        <v>74</v>
      </c>
    </row>
    <row r="28250" spans="9:9" x14ac:dyDescent="0.2">
      <c r="I28250" s="137" t="s">
        <v>74</v>
      </c>
    </row>
    <row r="28251" spans="9:9" x14ac:dyDescent="0.2">
      <c r="I28251" s="137" t="s">
        <v>74</v>
      </c>
    </row>
    <row r="28252" spans="9:9" x14ac:dyDescent="0.2">
      <c r="I28252" s="137" t="s">
        <v>74</v>
      </c>
    </row>
    <row r="28253" spans="9:9" x14ac:dyDescent="0.2">
      <c r="I28253" s="137" t="s">
        <v>74</v>
      </c>
    </row>
    <row r="28254" spans="9:9" x14ac:dyDescent="0.2">
      <c r="I28254" s="137" t="s">
        <v>74</v>
      </c>
    </row>
    <row r="28255" spans="9:9" x14ac:dyDescent="0.2">
      <c r="I28255" s="137" t="s">
        <v>74</v>
      </c>
    </row>
    <row r="28256" spans="9:9" x14ac:dyDescent="0.2">
      <c r="I28256" s="137" t="s">
        <v>74</v>
      </c>
    </row>
    <row r="28257" spans="9:9" x14ac:dyDescent="0.2">
      <c r="I28257" s="137" t="s">
        <v>74</v>
      </c>
    </row>
    <row r="28258" spans="9:9" x14ac:dyDescent="0.2">
      <c r="I28258" s="137" t="s">
        <v>74</v>
      </c>
    </row>
    <row r="28259" spans="9:9" x14ac:dyDescent="0.2">
      <c r="I28259" s="137" t="s">
        <v>74</v>
      </c>
    </row>
    <row r="28260" spans="9:9" x14ac:dyDescent="0.2">
      <c r="I28260" s="137" t="s">
        <v>74</v>
      </c>
    </row>
    <row r="28261" spans="9:9" x14ac:dyDescent="0.2">
      <c r="I28261" s="137" t="s">
        <v>74</v>
      </c>
    </row>
    <row r="28262" spans="9:9" x14ac:dyDescent="0.2">
      <c r="I28262" s="137" t="s">
        <v>74</v>
      </c>
    </row>
    <row r="28263" spans="9:9" x14ac:dyDescent="0.2">
      <c r="I28263" s="137" t="s">
        <v>74</v>
      </c>
    </row>
    <row r="28264" spans="9:9" x14ac:dyDescent="0.2">
      <c r="I28264" s="137" t="s">
        <v>74</v>
      </c>
    </row>
    <row r="28265" spans="9:9" x14ac:dyDescent="0.2">
      <c r="I28265" s="137" t="s">
        <v>74</v>
      </c>
    </row>
    <row r="28266" spans="9:9" x14ac:dyDescent="0.2">
      <c r="I28266" s="137" t="s">
        <v>74</v>
      </c>
    </row>
    <row r="28267" spans="9:9" x14ac:dyDescent="0.2">
      <c r="I28267" s="137" t="s">
        <v>74</v>
      </c>
    </row>
    <row r="28268" spans="9:9" x14ac:dyDescent="0.2">
      <c r="I28268" s="137" t="s">
        <v>74</v>
      </c>
    </row>
    <row r="28269" spans="9:9" x14ac:dyDescent="0.2">
      <c r="I28269" s="137" t="s">
        <v>74</v>
      </c>
    </row>
    <row r="28270" spans="9:9" x14ac:dyDescent="0.2">
      <c r="I28270" s="137" t="s">
        <v>74</v>
      </c>
    </row>
    <row r="28271" spans="9:9" x14ac:dyDescent="0.2">
      <c r="I28271" s="137" t="s">
        <v>74</v>
      </c>
    </row>
    <row r="28272" spans="9:9" x14ac:dyDescent="0.2">
      <c r="I28272" s="137" t="s">
        <v>74</v>
      </c>
    </row>
    <row r="28273" spans="9:9" x14ac:dyDescent="0.2">
      <c r="I28273" s="137" t="s">
        <v>74</v>
      </c>
    </row>
    <row r="28274" spans="9:9" x14ac:dyDescent="0.2">
      <c r="I28274" s="137" t="s">
        <v>74</v>
      </c>
    </row>
    <row r="28275" spans="9:9" x14ac:dyDescent="0.2">
      <c r="I28275" s="137" t="s">
        <v>74</v>
      </c>
    </row>
    <row r="28276" spans="9:9" x14ac:dyDescent="0.2">
      <c r="I28276" s="137" t="s">
        <v>74</v>
      </c>
    </row>
    <row r="28277" spans="9:9" x14ac:dyDescent="0.2">
      <c r="I28277" s="137" t="s">
        <v>74</v>
      </c>
    </row>
    <row r="28278" spans="9:9" x14ac:dyDescent="0.2">
      <c r="I28278" s="137" t="s">
        <v>74</v>
      </c>
    </row>
    <row r="28279" spans="9:9" x14ac:dyDescent="0.2">
      <c r="I28279" s="137" t="s">
        <v>74</v>
      </c>
    </row>
    <row r="28280" spans="9:9" x14ac:dyDescent="0.2">
      <c r="I28280" s="137" t="s">
        <v>74</v>
      </c>
    </row>
    <row r="28281" spans="9:9" x14ac:dyDescent="0.2">
      <c r="I28281" s="137" t="s">
        <v>74</v>
      </c>
    </row>
    <row r="28282" spans="9:9" x14ac:dyDescent="0.2">
      <c r="I28282" s="137" t="s">
        <v>74</v>
      </c>
    </row>
    <row r="28283" spans="9:9" x14ac:dyDescent="0.2">
      <c r="I28283" s="137" t="s">
        <v>74</v>
      </c>
    </row>
    <row r="28284" spans="9:9" x14ac:dyDescent="0.2">
      <c r="I28284" s="137" t="s">
        <v>74</v>
      </c>
    </row>
    <row r="28285" spans="9:9" x14ac:dyDescent="0.2">
      <c r="I28285" s="137" t="s">
        <v>74</v>
      </c>
    </row>
    <row r="28286" spans="9:9" x14ac:dyDescent="0.2">
      <c r="I28286" s="137" t="s">
        <v>74</v>
      </c>
    </row>
    <row r="28287" spans="9:9" x14ac:dyDescent="0.2">
      <c r="I28287" s="137" t="s">
        <v>74</v>
      </c>
    </row>
    <row r="28288" spans="9:9" x14ac:dyDescent="0.2">
      <c r="I28288" s="137" t="s">
        <v>74</v>
      </c>
    </row>
    <row r="28289" spans="9:9" x14ac:dyDescent="0.2">
      <c r="I28289" s="137" t="s">
        <v>74</v>
      </c>
    </row>
    <row r="28290" spans="9:9" x14ac:dyDescent="0.2">
      <c r="I28290" s="137" t="s">
        <v>74</v>
      </c>
    </row>
    <row r="28291" spans="9:9" x14ac:dyDescent="0.2">
      <c r="I28291" s="137" t="s">
        <v>74</v>
      </c>
    </row>
    <row r="28292" spans="9:9" x14ac:dyDescent="0.2">
      <c r="I28292" s="137" t="s">
        <v>74</v>
      </c>
    </row>
    <row r="28293" spans="9:9" x14ac:dyDescent="0.2">
      <c r="I28293" s="137" t="s">
        <v>74</v>
      </c>
    </row>
    <row r="28294" spans="9:9" x14ac:dyDescent="0.2">
      <c r="I28294" s="137" t="s">
        <v>74</v>
      </c>
    </row>
    <row r="28295" spans="9:9" x14ac:dyDescent="0.2">
      <c r="I28295" s="137" t="s">
        <v>74</v>
      </c>
    </row>
    <row r="28296" spans="9:9" x14ac:dyDescent="0.2">
      <c r="I28296" s="137" t="s">
        <v>74</v>
      </c>
    </row>
    <row r="28297" spans="9:9" x14ac:dyDescent="0.2">
      <c r="I28297" s="137" t="s">
        <v>74</v>
      </c>
    </row>
    <row r="28298" spans="9:9" x14ac:dyDescent="0.2">
      <c r="I28298" s="137" t="s">
        <v>74</v>
      </c>
    </row>
    <row r="28299" spans="9:9" x14ac:dyDescent="0.2">
      <c r="I28299" s="137" t="s">
        <v>74</v>
      </c>
    </row>
    <row r="28300" spans="9:9" x14ac:dyDescent="0.2">
      <c r="I28300" s="137" t="s">
        <v>74</v>
      </c>
    </row>
    <row r="28301" spans="9:9" x14ac:dyDescent="0.2">
      <c r="I28301" s="137" t="s">
        <v>74</v>
      </c>
    </row>
    <row r="28302" spans="9:9" x14ac:dyDescent="0.2">
      <c r="I28302" s="137" t="s">
        <v>74</v>
      </c>
    </row>
    <row r="28303" spans="9:9" x14ac:dyDescent="0.2">
      <c r="I28303" s="137" t="s">
        <v>74</v>
      </c>
    </row>
    <row r="28304" spans="9:9" x14ac:dyDescent="0.2">
      <c r="I28304" s="137" t="s">
        <v>74</v>
      </c>
    </row>
    <row r="28305" spans="9:9" x14ac:dyDescent="0.2">
      <c r="I28305" s="137" t="s">
        <v>74</v>
      </c>
    </row>
    <row r="28306" spans="9:9" x14ac:dyDescent="0.2">
      <c r="I28306" s="137" t="s">
        <v>74</v>
      </c>
    </row>
    <row r="28307" spans="9:9" x14ac:dyDescent="0.2">
      <c r="I28307" s="137" t="s">
        <v>74</v>
      </c>
    </row>
    <row r="28308" spans="9:9" x14ac:dyDescent="0.2">
      <c r="I28308" s="137" t="s">
        <v>74</v>
      </c>
    </row>
    <row r="28309" spans="9:9" x14ac:dyDescent="0.2">
      <c r="I28309" s="137" t="s">
        <v>74</v>
      </c>
    </row>
    <row r="28310" spans="9:9" x14ac:dyDescent="0.2">
      <c r="I28310" s="137" t="s">
        <v>74</v>
      </c>
    </row>
    <row r="28311" spans="9:9" x14ac:dyDescent="0.2">
      <c r="I28311" s="137" t="s">
        <v>74</v>
      </c>
    </row>
    <row r="28312" spans="9:9" x14ac:dyDescent="0.2">
      <c r="I28312" s="137" t="s">
        <v>74</v>
      </c>
    </row>
    <row r="28313" spans="9:9" x14ac:dyDescent="0.2">
      <c r="I28313" s="137" t="s">
        <v>74</v>
      </c>
    </row>
    <row r="28314" spans="9:9" x14ac:dyDescent="0.2">
      <c r="I28314" s="137" t="s">
        <v>74</v>
      </c>
    </row>
    <row r="28315" spans="9:9" x14ac:dyDescent="0.2">
      <c r="I28315" s="137" t="s">
        <v>74</v>
      </c>
    </row>
    <row r="28316" spans="9:9" x14ac:dyDescent="0.2">
      <c r="I28316" s="137" t="s">
        <v>74</v>
      </c>
    </row>
    <row r="28317" spans="9:9" x14ac:dyDescent="0.2">
      <c r="I28317" s="137" t="s">
        <v>74</v>
      </c>
    </row>
    <row r="28318" spans="9:9" x14ac:dyDescent="0.2">
      <c r="I28318" s="137" t="s">
        <v>74</v>
      </c>
    </row>
    <row r="28319" spans="9:9" x14ac:dyDescent="0.2">
      <c r="I28319" s="137" t="s">
        <v>74</v>
      </c>
    </row>
    <row r="28320" spans="9:9" x14ac:dyDescent="0.2">
      <c r="I28320" s="137" t="s">
        <v>74</v>
      </c>
    </row>
    <row r="28321" spans="9:9" x14ac:dyDescent="0.2">
      <c r="I28321" s="137" t="s">
        <v>74</v>
      </c>
    </row>
    <row r="28322" spans="9:9" x14ac:dyDescent="0.2">
      <c r="I28322" s="137" t="s">
        <v>74</v>
      </c>
    </row>
    <row r="28323" spans="9:9" x14ac:dyDescent="0.2">
      <c r="I28323" s="137" t="s">
        <v>74</v>
      </c>
    </row>
    <row r="28324" spans="9:9" x14ac:dyDescent="0.2">
      <c r="I28324" s="137" t="s">
        <v>74</v>
      </c>
    </row>
    <row r="28325" spans="9:9" x14ac:dyDescent="0.2">
      <c r="I28325" s="137" t="s">
        <v>74</v>
      </c>
    </row>
    <row r="28326" spans="9:9" x14ac:dyDescent="0.2">
      <c r="I28326" s="137" t="s">
        <v>74</v>
      </c>
    </row>
    <row r="28327" spans="9:9" x14ac:dyDescent="0.2">
      <c r="I28327" s="137" t="s">
        <v>74</v>
      </c>
    </row>
    <row r="28328" spans="9:9" x14ac:dyDescent="0.2">
      <c r="I28328" s="137" t="s">
        <v>74</v>
      </c>
    </row>
    <row r="28329" spans="9:9" x14ac:dyDescent="0.2">
      <c r="I28329" s="137" t="s">
        <v>74</v>
      </c>
    </row>
    <row r="28330" spans="9:9" x14ac:dyDescent="0.2">
      <c r="I28330" s="137" t="s">
        <v>74</v>
      </c>
    </row>
    <row r="28331" spans="9:9" x14ac:dyDescent="0.2">
      <c r="I28331" s="137" t="s">
        <v>74</v>
      </c>
    </row>
    <row r="28332" spans="9:9" x14ac:dyDescent="0.2">
      <c r="I28332" s="137" t="s">
        <v>74</v>
      </c>
    </row>
    <row r="28333" spans="9:9" x14ac:dyDescent="0.2">
      <c r="I28333" s="137" t="s">
        <v>74</v>
      </c>
    </row>
    <row r="28334" spans="9:9" x14ac:dyDescent="0.2">
      <c r="I28334" s="137" t="s">
        <v>74</v>
      </c>
    </row>
    <row r="28335" spans="9:9" x14ac:dyDescent="0.2">
      <c r="I28335" s="137" t="s">
        <v>74</v>
      </c>
    </row>
    <row r="28336" spans="9:9" x14ac:dyDescent="0.2">
      <c r="I28336" s="137" t="s">
        <v>74</v>
      </c>
    </row>
    <row r="28337" spans="9:9" x14ac:dyDescent="0.2">
      <c r="I28337" s="137" t="s">
        <v>74</v>
      </c>
    </row>
    <row r="28338" spans="9:9" x14ac:dyDescent="0.2">
      <c r="I28338" s="137" t="s">
        <v>74</v>
      </c>
    </row>
    <row r="28339" spans="9:9" x14ac:dyDescent="0.2">
      <c r="I28339" s="137" t="s">
        <v>74</v>
      </c>
    </row>
    <row r="28340" spans="9:9" x14ac:dyDescent="0.2">
      <c r="I28340" s="137" t="s">
        <v>74</v>
      </c>
    </row>
    <row r="28341" spans="9:9" x14ac:dyDescent="0.2">
      <c r="I28341" s="137" t="s">
        <v>74</v>
      </c>
    </row>
    <row r="28342" spans="9:9" x14ac:dyDescent="0.2">
      <c r="I28342" s="137" t="s">
        <v>74</v>
      </c>
    </row>
    <row r="28343" spans="9:9" x14ac:dyDescent="0.2">
      <c r="I28343" s="137" t="s">
        <v>74</v>
      </c>
    </row>
    <row r="28344" spans="9:9" x14ac:dyDescent="0.2">
      <c r="I28344" s="137" t="s">
        <v>74</v>
      </c>
    </row>
    <row r="28345" spans="9:9" x14ac:dyDescent="0.2">
      <c r="I28345" s="137" t="s">
        <v>74</v>
      </c>
    </row>
    <row r="28346" spans="9:9" x14ac:dyDescent="0.2">
      <c r="I28346" s="137" t="s">
        <v>74</v>
      </c>
    </row>
    <row r="28347" spans="9:9" x14ac:dyDescent="0.2">
      <c r="I28347" s="137" t="s">
        <v>74</v>
      </c>
    </row>
    <row r="28348" spans="9:9" x14ac:dyDescent="0.2">
      <c r="I28348" s="137" t="s">
        <v>74</v>
      </c>
    </row>
    <row r="28349" spans="9:9" x14ac:dyDescent="0.2">
      <c r="I28349" s="137" t="s">
        <v>74</v>
      </c>
    </row>
    <row r="28350" spans="9:9" x14ac:dyDescent="0.2">
      <c r="I28350" s="137" t="s">
        <v>74</v>
      </c>
    </row>
    <row r="28351" spans="9:9" x14ac:dyDescent="0.2">
      <c r="I28351" s="137" t="s">
        <v>74</v>
      </c>
    </row>
    <row r="28352" spans="9:9" x14ac:dyDescent="0.2">
      <c r="I28352" s="137" t="s">
        <v>74</v>
      </c>
    </row>
    <row r="28353" spans="9:9" x14ac:dyDescent="0.2">
      <c r="I28353" s="137" t="s">
        <v>74</v>
      </c>
    </row>
    <row r="28354" spans="9:9" x14ac:dyDescent="0.2">
      <c r="I28354" s="137" t="s">
        <v>74</v>
      </c>
    </row>
    <row r="28355" spans="9:9" x14ac:dyDescent="0.2">
      <c r="I28355" s="137" t="s">
        <v>74</v>
      </c>
    </row>
    <row r="28356" spans="9:9" x14ac:dyDescent="0.2">
      <c r="I28356" s="137" t="s">
        <v>74</v>
      </c>
    </row>
    <row r="28357" spans="9:9" x14ac:dyDescent="0.2">
      <c r="I28357" s="137" t="s">
        <v>74</v>
      </c>
    </row>
    <row r="28358" spans="9:9" x14ac:dyDescent="0.2">
      <c r="I28358" s="137" t="s">
        <v>74</v>
      </c>
    </row>
    <row r="28359" spans="9:9" x14ac:dyDescent="0.2">
      <c r="I28359" s="137" t="s">
        <v>74</v>
      </c>
    </row>
    <row r="28360" spans="9:9" x14ac:dyDescent="0.2">
      <c r="I28360" s="137" t="s">
        <v>74</v>
      </c>
    </row>
    <row r="28361" spans="9:9" x14ac:dyDescent="0.2">
      <c r="I28361" s="137" t="s">
        <v>74</v>
      </c>
    </row>
    <row r="28362" spans="9:9" x14ac:dyDescent="0.2">
      <c r="I28362" s="137" t="s">
        <v>74</v>
      </c>
    </row>
    <row r="28363" spans="9:9" x14ac:dyDescent="0.2">
      <c r="I28363" s="137" t="s">
        <v>74</v>
      </c>
    </row>
    <row r="28364" spans="9:9" x14ac:dyDescent="0.2">
      <c r="I28364" s="137" t="s">
        <v>74</v>
      </c>
    </row>
    <row r="28365" spans="9:9" x14ac:dyDescent="0.2">
      <c r="I28365" s="137" t="s">
        <v>74</v>
      </c>
    </row>
    <row r="28366" spans="9:9" x14ac:dyDescent="0.2">
      <c r="I28366" s="137" t="s">
        <v>74</v>
      </c>
    </row>
    <row r="28367" spans="9:9" x14ac:dyDescent="0.2">
      <c r="I28367" s="137" t="s">
        <v>74</v>
      </c>
    </row>
    <row r="28368" spans="9:9" x14ac:dyDescent="0.2">
      <c r="I28368" s="137" t="s">
        <v>74</v>
      </c>
    </row>
    <row r="28369" spans="9:9" x14ac:dyDescent="0.2">
      <c r="I28369" s="137" t="s">
        <v>74</v>
      </c>
    </row>
    <row r="28370" spans="9:9" x14ac:dyDescent="0.2">
      <c r="I28370" s="137" t="s">
        <v>74</v>
      </c>
    </row>
    <row r="28371" spans="9:9" x14ac:dyDescent="0.2">
      <c r="I28371" s="137" t="s">
        <v>74</v>
      </c>
    </row>
    <row r="28372" spans="9:9" x14ac:dyDescent="0.2">
      <c r="I28372" s="137" t="s">
        <v>74</v>
      </c>
    </row>
    <row r="28373" spans="9:9" x14ac:dyDescent="0.2">
      <c r="I28373" s="137" t="s">
        <v>74</v>
      </c>
    </row>
    <row r="28374" spans="9:9" x14ac:dyDescent="0.2">
      <c r="I28374" s="137" t="s">
        <v>74</v>
      </c>
    </row>
    <row r="28375" spans="9:9" x14ac:dyDescent="0.2">
      <c r="I28375" s="137" t="s">
        <v>74</v>
      </c>
    </row>
    <row r="28376" spans="9:9" x14ac:dyDescent="0.2">
      <c r="I28376" s="137" t="s">
        <v>74</v>
      </c>
    </row>
    <row r="28377" spans="9:9" x14ac:dyDescent="0.2">
      <c r="I28377" s="137" t="s">
        <v>74</v>
      </c>
    </row>
    <row r="28378" spans="9:9" x14ac:dyDescent="0.2">
      <c r="I28378" s="137" t="s">
        <v>74</v>
      </c>
    </row>
    <row r="28379" spans="9:9" x14ac:dyDescent="0.2">
      <c r="I28379" s="137" t="s">
        <v>74</v>
      </c>
    </row>
    <row r="28380" spans="9:9" x14ac:dyDescent="0.2">
      <c r="I28380" s="137" t="s">
        <v>74</v>
      </c>
    </row>
    <row r="28381" spans="9:9" x14ac:dyDescent="0.2">
      <c r="I28381" s="137" t="s">
        <v>74</v>
      </c>
    </row>
    <row r="28382" spans="9:9" x14ac:dyDescent="0.2">
      <c r="I28382" s="137" t="s">
        <v>74</v>
      </c>
    </row>
    <row r="28383" spans="9:9" x14ac:dyDescent="0.2">
      <c r="I28383" s="137" t="s">
        <v>74</v>
      </c>
    </row>
    <row r="28384" spans="9:9" x14ac:dyDescent="0.2">
      <c r="I28384" s="137" t="s">
        <v>74</v>
      </c>
    </row>
    <row r="28385" spans="9:9" x14ac:dyDescent="0.2">
      <c r="I28385" s="137" t="s">
        <v>74</v>
      </c>
    </row>
    <row r="28386" spans="9:9" x14ac:dyDescent="0.2">
      <c r="I28386" s="137" t="s">
        <v>74</v>
      </c>
    </row>
    <row r="28387" spans="9:9" x14ac:dyDescent="0.2">
      <c r="I28387" s="137" t="s">
        <v>74</v>
      </c>
    </row>
    <row r="28388" spans="9:9" x14ac:dyDescent="0.2">
      <c r="I28388" s="137" t="s">
        <v>74</v>
      </c>
    </row>
    <row r="28389" spans="9:9" x14ac:dyDescent="0.2">
      <c r="I28389" s="137" t="s">
        <v>74</v>
      </c>
    </row>
    <row r="28390" spans="9:9" x14ac:dyDescent="0.2">
      <c r="I28390" s="137" t="s">
        <v>74</v>
      </c>
    </row>
    <row r="28391" spans="9:9" x14ac:dyDescent="0.2">
      <c r="I28391" s="137" t="s">
        <v>74</v>
      </c>
    </row>
    <row r="28392" spans="9:9" x14ac:dyDescent="0.2">
      <c r="I28392" s="137" t="s">
        <v>74</v>
      </c>
    </row>
    <row r="28393" spans="9:9" x14ac:dyDescent="0.2">
      <c r="I28393" s="137" t="s">
        <v>74</v>
      </c>
    </row>
    <row r="28394" spans="9:9" x14ac:dyDescent="0.2">
      <c r="I28394" s="137" t="s">
        <v>74</v>
      </c>
    </row>
    <row r="28395" spans="9:9" x14ac:dyDescent="0.2">
      <c r="I28395" s="137" t="s">
        <v>74</v>
      </c>
    </row>
    <row r="28396" spans="9:9" x14ac:dyDescent="0.2">
      <c r="I28396" s="137" t="s">
        <v>74</v>
      </c>
    </row>
    <row r="28397" spans="9:9" x14ac:dyDescent="0.2">
      <c r="I28397" s="137" t="s">
        <v>74</v>
      </c>
    </row>
    <row r="28398" spans="9:9" x14ac:dyDescent="0.2">
      <c r="I28398" s="137" t="s">
        <v>74</v>
      </c>
    </row>
    <row r="28399" spans="9:9" x14ac:dyDescent="0.2">
      <c r="I28399" s="137" t="s">
        <v>74</v>
      </c>
    </row>
    <row r="28400" spans="9:9" x14ac:dyDescent="0.2">
      <c r="I28400" s="137" t="s">
        <v>74</v>
      </c>
    </row>
    <row r="28401" spans="9:9" x14ac:dyDescent="0.2">
      <c r="I28401" s="137" t="s">
        <v>74</v>
      </c>
    </row>
    <row r="28402" spans="9:9" x14ac:dyDescent="0.2">
      <c r="I28402" s="137" t="s">
        <v>74</v>
      </c>
    </row>
    <row r="28403" spans="9:9" x14ac:dyDescent="0.2">
      <c r="I28403" s="137" t="s">
        <v>74</v>
      </c>
    </row>
    <row r="28404" spans="9:9" x14ac:dyDescent="0.2">
      <c r="I28404" s="137" t="s">
        <v>74</v>
      </c>
    </row>
    <row r="28405" spans="9:9" x14ac:dyDescent="0.2">
      <c r="I28405" s="137" t="s">
        <v>74</v>
      </c>
    </row>
    <row r="28406" spans="9:9" x14ac:dyDescent="0.2">
      <c r="I28406" s="137" t="s">
        <v>74</v>
      </c>
    </row>
    <row r="28407" spans="9:9" x14ac:dyDescent="0.2">
      <c r="I28407" s="137" t="s">
        <v>74</v>
      </c>
    </row>
    <row r="28408" spans="9:9" x14ac:dyDescent="0.2">
      <c r="I28408" s="137" t="s">
        <v>74</v>
      </c>
    </row>
    <row r="28409" spans="9:9" x14ac:dyDescent="0.2">
      <c r="I28409" s="137" t="s">
        <v>74</v>
      </c>
    </row>
    <row r="28410" spans="9:9" x14ac:dyDescent="0.2">
      <c r="I28410" s="137" t="s">
        <v>74</v>
      </c>
    </row>
    <row r="28411" spans="9:9" x14ac:dyDescent="0.2">
      <c r="I28411" s="137" t="s">
        <v>74</v>
      </c>
    </row>
    <row r="28412" spans="9:9" x14ac:dyDescent="0.2">
      <c r="I28412" s="137" t="s">
        <v>74</v>
      </c>
    </row>
    <row r="28413" spans="9:9" x14ac:dyDescent="0.2">
      <c r="I28413" s="137" t="s">
        <v>74</v>
      </c>
    </row>
    <row r="28414" spans="9:9" x14ac:dyDescent="0.2">
      <c r="I28414" s="137" t="s">
        <v>74</v>
      </c>
    </row>
    <row r="28415" spans="9:9" x14ac:dyDescent="0.2">
      <c r="I28415" s="137" t="s">
        <v>74</v>
      </c>
    </row>
    <row r="28416" spans="9:9" x14ac:dyDescent="0.2">
      <c r="I28416" s="137" t="s">
        <v>74</v>
      </c>
    </row>
    <row r="28417" spans="9:9" x14ac:dyDescent="0.2">
      <c r="I28417" s="137" t="s">
        <v>74</v>
      </c>
    </row>
    <row r="28418" spans="9:9" x14ac:dyDescent="0.2">
      <c r="I28418" s="137" t="s">
        <v>74</v>
      </c>
    </row>
    <row r="28419" spans="9:9" x14ac:dyDescent="0.2">
      <c r="I28419" s="137" t="s">
        <v>74</v>
      </c>
    </row>
    <row r="28420" spans="9:9" x14ac:dyDescent="0.2">
      <c r="I28420" s="137" t="s">
        <v>74</v>
      </c>
    </row>
    <row r="28421" spans="9:9" x14ac:dyDescent="0.2">
      <c r="I28421" s="137" t="s">
        <v>74</v>
      </c>
    </row>
    <row r="28422" spans="9:9" x14ac:dyDescent="0.2">
      <c r="I28422" s="137" t="s">
        <v>74</v>
      </c>
    </row>
    <row r="28423" spans="9:9" x14ac:dyDescent="0.2">
      <c r="I28423" s="137" t="s">
        <v>74</v>
      </c>
    </row>
    <row r="28424" spans="9:9" x14ac:dyDescent="0.2">
      <c r="I28424" s="137" t="s">
        <v>74</v>
      </c>
    </row>
    <row r="28425" spans="9:9" x14ac:dyDescent="0.2">
      <c r="I28425" s="137" t="s">
        <v>74</v>
      </c>
    </row>
    <row r="28426" spans="9:9" x14ac:dyDescent="0.2">
      <c r="I28426" s="137" t="s">
        <v>74</v>
      </c>
    </row>
    <row r="28427" spans="9:9" x14ac:dyDescent="0.2">
      <c r="I28427" s="137" t="s">
        <v>74</v>
      </c>
    </row>
    <row r="28428" spans="9:9" x14ac:dyDescent="0.2">
      <c r="I28428" s="137" t="s">
        <v>74</v>
      </c>
    </row>
    <row r="28429" spans="9:9" x14ac:dyDescent="0.2">
      <c r="I28429" s="137" t="s">
        <v>74</v>
      </c>
    </row>
    <row r="28430" spans="9:9" x14ac:dyDescent="0.2">
      <c r="I28430" s="137" t="s">
        <v>74</v>
      </c>
    </row>
    <row r="28431" spans="9:9" x14ac:dyDescent="0.2">
      <c r="I28431" s="137" t="s">
        <v>74</v>
      </c>
    </row>
    <row r="28432" spans="9:9" x14ac:dyDescent="0.2">
      <c r="I28432" s="137" t="s">
        <v>74</v>
      </c>
    </row>
    <row r="28433" spans="9:9" x14ac:dyDescent="0.2">
      <c r="I28433" s="137" t="s">
        <v>74</v>
      </c>
    </row>
    <row r="28434" spans="9:9" x14ac:dyDescent="0.2">
      <c r="I28434" s="137" t="s">
        <v>74</v>
      </c>
    </row>
    <row r="28435" spans="9:9" x14ac:dyDescent="0.2">
      <c r="I28435" s="137" t="s">
        <v>74</v>
      </c>
    </row>
    <row r="28436" spans="9:9" x14ac:dyDescent="0.2">
      <c r="I28436" s="137" t="s">
        <v>74</v>
      </c>
    </row>
    <row r="28437" spans="9:9" x14ac:dyDescent="0.2">
      <c r="I28437" s="137" t="s">
        <v>74</v>
      </c>
    </row>
    <row r="28438" spans="9:9" x14ac:dyDescent="0.2">
      <c r="I28438" s="137" t="s">
        <v>74</v>
      </c>
    </row>
    <row r="28439" spans="9:9" x14ac:dyDescent="0.2">
      <c r="I28439" s="137" t="s">
        <v>74</v>
      </c>
    </row>
    <row r="28440" spans="9:9" x14ac:dyDescent="0.2">
      <c r="I28440" s="137" t="s">
        <v>74</v>
      </c>
    </row>
    <row r="28441" spans="9:9" x14ac:dyDescent="0.2">
      <c r="I28441" s="137" t="s">
        <v>74</v>
      </c>
    </row>
    <row r="28442" spans="9:9" x14ac:dyDescent="0.2">
      <c r="I28442" s="137" t="s">
        <v>74</v>
      </c>
    </row>
    <row r="28443" spans="9:9" x14ac:dyDescent="0.2">
      <c r="I28443" s="137" t="s">
        <v>74</v>
      </c>
    </row>
    <row r="28444" spans="9:9" x14ac:dyDescent="0.2">
      <c r="I28444" s="137" t="s">
        <v>74</v>
      </c>
    </row>
    <row r="28445" spans="9:9" x14ac:dyDescent="0.2">
      <c r="I28445" s="137" t="s">
        <v>74</v>
      </c>
    </row>
    <row r="28446" spans="9:9" x14ac:dyDescent="0.2">
      <c r="I28446" s="137" t="s">
        <v>74</v>
      </c>
    </row>
    <row r="28447" spans="9:9" x14ac:dyDescent="0.2">
      <c r="I28447" s="137" t="s">
        <v>74</v>
      </c>
    </row>
    <row r="28448" spans="9:9" x14ac:dyDescent="0.2">
      <c r="I28448" s="137" t="s">
        <v>74</v>
      </c>
    </row>
    <row r="28449" spans="9:9" x14ac:dyDescent="0.2">
      <c r="I28449" s="137" t="s">
        <v>74</v>
      </c>
    </row>
    <row r="28450" spans="9:9" x14ac:dyDescent="0.2">
      <c r="I28450" s="137" t="s">
        <v>74</v>
      </c>
    </row>
    <row r="28451" spans="9:9" x14ac:dyDescent="0.2">
      <c r="I28451" s="137" t="s">
        <v>74</v>
      </c>
    </row>
    <row r="28452" spans="9:9" x14ac:dyDescent="0.2">
      <c r="I28452" s="137" t="s">
        <v>74</v>
      </c>
    </row>
    <row r="28453" spans="9:9" x14ac:dyDescent="0.2">
      <c r="I28453" s="137" t="s">
        <v>74</v>
      </c>
    </row>
    <row r="28454" spans="9:9" x14ac:dyDescent="0.2">
      <c r="I28454" s="137" t="s">
        <v>74</v>
      </c>
    </row>
    <row r="28455" spans="9:9" x14ac:dyDescent="0.2">
      <c r="I28455" s="137" t="s">
        <v>74</v>
      </c>
    </row>
    <row r="28456" spans="9:9" x14ac:dyDescent="0.2">
      <c r="I28456" s="137" t="s">
        <v>74</v>
      </c>
    </row>
    <row r="28457" spans="9:9" x14ac:dyDescent="0.2">
      <c r="I28457" s="137" t="s">
        <v>74</v>
      </c>
    </row>
    <row r="28458" spans="9:9" x14ac:dyDescent="0.2">
      <c r="I28458" s="137" t="s">
        <v>74</v>
      </c>
    </row>
    <row r="28459" spans="9:9" x14ac:dyDescent="0.2">
      <c r="I28459" s="137" t="s">
        <v>74</v>
      </c>
    </row>
    <row r="28460" spans="9:9" x14ac:dyDescent="0.2">
      <c r="I28460" s="137" t="s">
        <v>74</v>
      </c>
    </row>
    <row r="28461" spans="9:9" x14ac:dyDescent="0.2">
      <c r="I28461" s="137" t="s">
        <v>74</v>
      </c>
    </row>
    <row r="28462" spans="9:9" x14ac:dyDescent="0.2">
      <c r="I28462" s="137" t="s">
        <v>74</v>
      </c>
    </row>
    <row r="28463" spans="9:9" x14ac:dyDescent="0.2">
      <c r="I28463" s="137" t="s">
        <v>74</v>
      </c>
    </row>
    <row r="28464" spans="9:9" x14ac:dyDescent="0.2">
      <c r="I28464" s="137" t="s">
        <v>74</v>
      </c>
    </row>
    <row r="28465" spans="9:9" x14ac:dyDescent="0.2">
      <c r="I28465" s="137" t="s">
        <v>74</v>
      </c>
    </row>
    <row r="28466" spans="9:9" x14ac:dyDescent="0.2">
      <c r="I28466" s="137" t="s">
        <v>74</v>
      </c>
    </row>
    <row r="28467" spans="9:9" x14ac:dyDescent="0.2">
      <c r="I28467" s="137" t="s">
        <v>74</v>
      </c>
    </row>
    <row r="28468" spans="9:9" x14ac:dyDescent="0.2">
      <c r="I28468" s="137" t="s">
        <v>74</v>
      </c>
    </row>
    <row r="28469" spans="9:9" x14ac:dyDescent="0.2">
      <c r="I28469" s="137" t="s">
        <v>74</v>
      </c>
    </row>
    <row r="28470" spans="9:9" x14ac:dyDescent="0.2">
      <c r="I28470" s="137" t="s">
        <v>74</v>
      </c>
    </row>
    <row r="28471" spans="9:9" x14ac:dyDescent="0.2">
      <c r="I28471" s="137" t="s">
        <v>74</v>
      </c>
    </row>
    <row r="28472" spans="9:9" x14ac:dyDescent="0.2">
      <c r="I28472" s="137" t="s">
        <v>74</v>
      </c>
    </row>
    <row r="28473" spans="9:9" x14ac:dyDescent="0.2">
      <c r="I28473" s="137" t="s">
        <v>74</v>
      </c>
    </row>
    <row r="28474" spans="9:9" x14ac:dyDescent="0.2">
      <c r="I28474" s="137" t="s">
        <v>74</v>
      </c>
    </row>
    <row r="28475" spans="9:9" x14ac:dyDescent="0.2">
      <c r="I28475" s="137" t="s">
        <v>74</v>
      </c>
    </row>
    <row r="28476" spans="9:9" x14ac:dyDescent="0.2">
      <c r="I28476" s="137" t="s">
        <v>74</v>
      </c>
    </row>
    <row r="28477" spans="9:9" x14ac:dyDescent="0.2">
      <c r="I28477" s="137" t="s">
        <v>74</v>
      </c>
    </row>
    <row r="28478" spans="9:9" x14ac:dyDescent="0.2">
      <c r="I28478" s="137" t="s">
        <v>74</v>
      </c>
    </row>
    <row r="28479" spans="9:9" x14ac:dyDescent="0.2">
      <c r="I28479" s="137" t="s">
        <v>74</v>
      </c>
    </row>
    <row r="28480" spans="9:9" x14ac:dyDescent="0.2">
      <c r="I28480" s="137" t="s">
        <v>74</v>
      </c>
    </row>
    <row r="28481" spans="9:9" x14ac:dyDescent="0.2">
      <c r="I28481" s="137" t="s">
        <v>74</v>
      </c>
    </row>
    <row r="28482" spans="9:9" x14ac:dyDescent="0.2">
      <c r="I28482" s="137" t="s">
        <v>74</v>
      </c>
    </row>
    <row r="28483" spans="9:9" x14ac:dyDescent="0.2">
      <c r="I28483" s="137" t="s">
        <v>74</v>
      </c>
    </row>
    <row r="28484" spans="9:9" x14ac:dyDescent="0.2">
      <c r="I28484" s="137" t="s">
        <v>74</v>
      </c>
    </row>
    <row r="28485" spans="9:9" x14ac:dyDescent="0.2">
      <c r="I28485" s="137" t="s">
        <v>74</v>
      </c>
    </row>
    <row r="28486" spans="9:9" x14ac:dyDescent="0.2">
      <c r="I28486" s="137" t="s">
        <v>74</v>
      </c>
    </row>
    <row r="28487" spans="9:9" x14ac:dyDescent="0.2">
      <c r="I28487" s="137" t="s">
        <v>74</v>
      </c>
    </row>
    <row r="28488" spans="9:9" x14ac:dyDescent="0.2">
      <c r="I28488" s="137" t="s">
        <v>74</v>
      </c>
    </row>
    <row r="28489" spans="9:9" x14ac:dyDescent="0.2">
      <c r="I28489" s="137" t="s">
        <v>74</v>
      </c>
    </row>
    <row r="28490" spans="9:9" x14ac:dyDescent="0.2">
      <c r="I28490" s="137" t="s">
        <v>74</v>
      </c>
    </row>
    <row r="28491" spans="9:9" x14ac:dyDescent="0.2">
      <c r="I28491" s="137" t="s">
        <v>74</v>
      </c>
    </row>
    <row r="28492" spans="9:9" x14ac:dyDescent="0.2">
      <c r="I28492" s="137" t="s">
        <v>74</v>
      </c>
    </row>
    <row r="28493" spans="9:9" x14ac:dyDescent="0.2">
      <c r="I28493" s="137" t="s">
        <v>74</v>
      </c>
    </row>
    <row r="28494" spans="9:9" x14ac:dyDescent="0.2">
      <c r="I28494" s="137" t="s">
        <v>74</v>
      </c>
    </row>
    <row r="28495" spans="9:9" x14ac:dyDescent="0.2">
      <c r="I28495" s="137" t="s">
        <v>74</v>
      </c>
    </row>
    <row r="28496" spans="9:9" x14ac:dyDescent="0.2">
      <c r="I28496" s="137" t="s">
        <v>74</v>
      </c>
    </row>
    <row r="28497" spans="9:9" x14ac:dyDescent="0.2">
      <c r="I28497" s="137" t="s">
        <v>74</v>
      </c>
    </row>
    <row r="28498" spans="9:9" x14ac:dyDescent="0.2">
      <c r="I28498" s="137" t="s">
        <v>74</v>
      </c>
    </row>
    <row r="28499" spans="9:9" x14ac:dyDescent="0.2">
      <c r="I28499" s="137" t="s">
        <v>74</v>
      </c>
    </row>
    <row r="28500" spans="9:9" x14ac:dyDescent="0.2">
      <c r="I28500" s="137" t="s">
        <v>74</v>
      </c>
    </row>
    <row r="28501" spans="9:9" x14ac:dyDescent="0.2">
      <c r="I28501" s="137" t="s">
        <v>74</v>
      </c>
    </row>
    <row r="28502" spans="9:9" x14ac:dyDescent="0.2">
      <c r="I28502" s="137" t="s">
        <v>74</v>
      </c>
    </row>
    <row r="28503" spans="9:9" x14ac:dyDescent="0.2">
      <c r="I28503" s="137" t="s">
        <v>74</v>
      </c>
    </row>
    <row r="28504" spans="9:9" x14ac:dyDescent="0.2">
      <c r="I28504" s="137" t="s">
        <v>74</v>
      </c>
    </row>
    <row r="28505" spans="9:9" x14ac:dyDescent="0.2">
      <c r="I28505" s="137" t="s">
        <v>74</v>
      </c>
    </row>
    <row r="28506" spans="9:9" x14ac:dyDescent="0.2">
      <c r="I28506" s="137" t="s">
        <v>74</v>
      </c>
    </row>
    <row r="28507" spans="9:9" x14ac:dyDescent="0.2">
      <c r="I28507" s="137" t="s">
        <v>74</v>
      </c>
    </row>
    <row r="28508" spans="9:9" x14ac:dyDescent="0.2">
      <c r="I28508" s="137" t="s">
        <v>74</v>
      </c>
    </row>
    <row r="28509" spans="9:9" x14ac:dyDescent="0.2">
      <c r="I28509" s="137" t="s">
        <v>74</v>
      </c>
    </row>
    <row r="28510" spans="9:9" x14ac:dyDescent="0.2">
      <c r="I28510" s="137" t="s">
        <v>74</v>
      </c>
    </row>
    <row r="28511" spans="9:9" x14ac:dyDescent="0.2">
      <c r="I28511" s="137" t="s">
        <v>74</v>
      </c>
    </row>
    <row r="28512" spans="9:9" x14ac:dyDescent="0.2">
      <c r="I28512" s="137" t="s">
        <v>74</v>
      </c>
    </row>
    <row r="28513" spans="9:9" x14ac:dyDescent="0.2">
      <c r="I28513" s="137" t="s">
        <v>74</v>
      </c>
    </row>
    <row r="28514" spans="9:9" x14ac:dyDescent="0.2">
      <c r="I28514" s="137" t="s">
        <v>74</v>
      </c>
    </row>
    <row r="28515" spans="9:9" x14ac:dyDescent="0.2">
      <c r="I28515" s="137" t="s">
        <v>74</v>
      </c>
    </row>
    <row r="28516" spans="9:9" x14ac:dyDescent="0.2">
      <c r="I28516" s="137" t="s">
        <v>74</v>
      </c>
    </row>
    <row r="28517" spans="9:9" x14ac:dyDescent="0.2">
      <c r="I28517" s="137" t="s">
        <v>74</v>
      </c>
    </row>
    <row r="28518" spans="9:9" x14ac:dyDescent="0.2">
      <c r="I28518" s="137" t="s">
        <v>74</v>
      </c>
    </row>
    <row r="28519" spans="9:9" x14ac:dyDescent="0.2">
      <c r="I28519" s="137" t="s">
        <v>74</v>
      </c>
    </row>
    <row r="28520" spans="9:9" x14ac:dyDescent="0.2">
      <c r="I28520" s="137" t="s">
        <v>74</v>
      </c>
    </row>
    <row r="28521" spans="9:9" x14ac:dyDescent="0.2">
      <c r="I28521" s="137" t="s">
        <v>74</v>
      </c>
    </row>
    <row r="28522" spans="9:9" x14ac:dyDescent="0.2">
      <c r="I28522" s="137" t="s">
        <v>74</v>
      </c>
    </row>
    <row r="28523" spans="9:9" x14ac:dyDescent="0.2">
      <c r="I28523" s="137" t="s">
        <v>74</v>
      </c>
    </row>
    <row r="28524" spans="9:9" x14ac:dyDescent="0.2">
      <c r="I28524" s="137" t="s">
        <v>74</v>
      </c>
    </row>
    <row r="28525" spans="9:9" x14ac:dyDescent="0.2">
      <c r="I28525" s="137" t="s">
        <v>74</v>
      </c>
    </row>
    <row r="28526" spans="9:9" x14ac:dyDescent="0.2">
      <c r="I28526" s="137" t="s">
        <v>74</v>
      </c>
    </row>
    <row r="28527" spans="9:9" x14ac:dyDescent="0.2">
      <c r="I28527" s="137" t="s">
        <v>74</v>
      </c>
    </row>
    <row r="28528" spans="9:9" x14ac:dyDescent="0.2">
      <c r="I28528" s="137" t="s">
        <v>74</v>
      </c>
    </row>
    <row r="28529" spans="9:9" x14ac:dyDescent="0.2">
      <c r="I28529" s="137" t="s">
        <v>74</v>
      </c>
    </row>
    <row r="28530" spans="9:9" x14ac:dyDescent="0.2">
      <c r="I28530" s="137" t="s">
        <v>74</v>
      </c>
    </row>
    <row r="28531" spans="9:9" x14ac:dyDescent="0.2">
      <c r="I28531" s="137" t="s">
        <v>74</v>
      </c>
    </row>
    <row r="28532" spans="9:9" x14ac:dyDescent="0.2">
      <c r="I28532" s="137" t="s">
        <v>74</v>
      </c>
    </row>
    <row r="28533" spans="9:9" x14ac:dyDescent="0.2">
      <c r="I28533" s="137" t="s">
        <v>74</v>
      </c>
    </row>
    <row r="28534" spans="9:9" x14ac:dyDescent="0.2">
      <c r="I28534" s="137" t="s">
        <v>74</v>
      </c>
    </row>
    <row r="28535" spans="9:9" x14ac:dyDescent="0.2">
      <c r="I28535" s="137" t="s">
        <v>74</v>
      </c>
    </row>
    <row r="28536" spans="9:9" x14ac:dyDescent="0.2">
      <c r="I28536" s="137" t="s">
        <v>74</v>
      </c>
    </row>
    <row r="28537" spans="9:9" x14ac:dyDescent="0.2">
      <c r="I28537" s="137" t="s">
        <v>74</v>
      </c>
    </row>
    <row r="28538" spans="9:9" x14ac:dyDescent="0.2">
      <c r="I28538" s="137" t="s">
        <v>74</v>
      </c>
    </row>
    <row r="28539" spans="9:9" x14ac:dyDescent="0.2">
      <c r="I28539" s="137" t="s">
        <v>74</v>
      </c>
    </row>
    <row r="28540" spans="9:9" x14ac:dyDescent="0.2">
      <c r="I28540" s="137" t="s">
        <v>74</v>
      </c>
    </row>
    <row r="28541" spans="9:9" x14ac:dyDescent="0.2">
      <c r="I28541" s="137" t="s">
        <v>74</v>
      </c>
    </row>
    <row r="28542" spans="9:9" x14ac:dyDescent="0.2">
      <c r="I28542" s="137" t="s">
        <v>74</v>
      </c>
    </row>
    <row r="28543" spans="9:9" x14ac:dyDescent="0.2">
      <c r="I28543" s="137" t="s">
        <v>74</v>
      </c>
    </row>
    <row r="28544" spans="9:9" x14ac:dyDescent="0.2">
      <c r="I28544" s="137" t="s">
        <v>74</v>
      </c>
    </row>
    <row r="28545" spans="9:9" x14ac:dyDescent="0.2">
      <c r="I28545" s="137" t="s">
        <v>74</v>
      </c>
    </row>
    <row r="28546" spans="9:9" x14ac:dyDescent="0.2">
      <c r="I28546" s="137" t="s">
        <v>74</v>
      </c>
    </row>
    <row r="28547" spans="9:9" x14ac:dyDescent="0.2">
      <c r="I28547" s="137" t="s">
        <v>74</v>
      </c>
    </row>
    <row r="28548" spans="9:9" x14ac:dyDescent="0.2">
      <c r="I28548" s="137" t="s">
        <v>74</v>
      </c>
    </row>
    <row r="28549" spans="9:9" x14ac:dyDescent="0.2">
      <c r="I28549" s="137" t="s">
        <v>74</v>
      </c>
    </row>
    <row r="28550" spans="9:9" x14ac:dyDescent="0.2">
      <c r="I28550" s="137" t="s">
        <v>74</v>
      </c>
    </row>
    <row r="28551" spans="9:9" x14ac:dyDescent="0.2">
      <c r="I28551" s="137" t="s">
        <v>74</v>
      </c>
    </row>
    <row r="28552" spans="9:9" x14ac:dyDescent="0.2">
      <c r="I28552" s="137" t="s">
        <v>74</v>
      </c>
    </row>
    <row r="28553" spans="9:9" x14ac:dyDescent="0.2">
      <c r="I28553" s="137" t="s">
        <v>74</v>
      </c>
    </row>
    <row r="28554" spans="9:9" x14ac:dyDescent="0.2">
      <c r="I28554" s="137" t="s">
        <v>74</v>
      </c>
    </row>
    <row r="28555" spans="9:9" x14ac:dyDescent="0.2">
      <c r="I28555" s="137" t="s">
        <v>74</v>
      </c>
    </row>
    <row r="28556" spans="9:9" x14ac:dyDescent="0.2">
      <c r="I28556" s="137" t="s">
        <v>74</v>
      </c>
    </row>
    <row r="28557" spans="9:9" x14ac:dyDescent="0.2">
      <c r="I28557" s="137" t="s">
        <v>74</v>
      </c>
    </row>
    <row r="28558" spans="9:9" x14ac:dyDescent="0.2">
      <c r="I28558" s="137" t="s">
        <v>74</v>
      </c>
    </row>
    <row r="28559" spans="9:9" x14ac:dyDescent="0.2">
      <c r="I28559" s="137" t="s">
        <v>74</v>
      </c>
    </row>
    <row r="28560" spans="9:9" x14ac:dyDescent="0.2">
      <c r="I28560" s="137" t="s">
        <v>74</v>
      </c>
    </row>
    <row r="28561" spans="9:9" x14ac:dyDescent="0.2">
      <c r="I28561" s="137" t="s">
        <v>74</v>
      </c>
    </row>
    <row r="28562" spans="9:9" x14ac:dyDescent="0.2">
      <c r="I28562" s="137" t="s">
        <v>74</v>
      </c>
    </row>
    <row r="28563" spans="9:9" x14ac:dyDescent="0.2">
      <c r="I28563" s="137" t="s">
        <v>74</v>
      </c>
    </row>
    <row r="28564" spans="9:9" x14ac:dyDescent="0.2">
      <c r="I28564" s="137" t="s">
        <v>74</v>
      </c>
    </row>
    <row r="28565" spans="9:9" x14ac:dyDescent="0.2">
      <c r="I28565" s="137" t="s">
        <v>74</v>
      </c>
    </row>
    <row r="28566" spans="9:9" x14ac:dyDescent="0.2">
      <c r="I28566" s="137" t="s">
        <v>74</v>
      </c>
    </row>
    <row r="28567" spans="9:9" x14ac:dyDescent="0.2">
      <c r="I28567" s="137" t="s">
        <v>74</v>
      </c>
    </row>
    <row r="28568" spans="9:9" x14ac:dyDescent="0.2">
      <c r="I28568" s="137" t="s">
        <v>74</v>
      </c>
    </row>
    <row r="28569" spans="9:9" x14ac:dyDescent="0.2">
      <c r="I28569" s="137" t="s">
        <v>74</v>
      </c>
    </row>
    <row r="28570" spans="9:9" x14ac:dyDescent="0.2">
      <c r="I28570" s="137" t="s">
        <v>74</v>
      </c>
    </row>
    <row r="28571" spans="9:9" x14ac:dyDescent="0.2">
      <c r="I28571" s="137" t="s">
        <v>74</v>
      </c>
    </row>
    <row r="28572" spans="9:9" x14ac:dyDescent="0.2">
      <c r="I28572" s="137" t="s">
        <v>74</v>
      </c>
    </row>
    <row r="28573" spans="9:9" x14ac:dyDescent="0.2">
      <c r="I28573" s="137" t="s">
        <v>74</v>
      </c>
    </row>
    <row r="28574" spans="9:9" x14ac:dyDescent="0.2">
      <c r="I28574" s="137" t="s">
        <v>74</v>
      </c>
    </row>
    <row r="28575" spans="9:9" x14ac:dyDescent="0.2">
      <c r="I28575" s="137" t="s">
        <v>74</v>
      </c>
    </row>
    <row r="28576" spans="9:9" x14ac:dyDescent="0.2">
      <c r="I28576" s="137" t="s">
        <v>74</v>
      </c>
    </row>
    <row r="28577" spans="9:9" x14ac:dyDescent="0.2">
      <c r="I28577" s="137" t="s">
        <v>74</v>
      </c>
    </row>
    <row r="28578" spans="9:9" x14ac:dyDescent="0.2">
      <c r="I28578" s="137" t="s">
        <v>74</v>
      </c>
    </row>
    <row r="28579" spans="9:9" x14ac:dyDescent="0.2">
      <c r="I28579" s="137" t="s">
        <v>74</v>
      </c>
    </row>
    <row r="28580" spans="9:9" x14ac:dyDescent="0.2">
      <c r="I28580" s="137" t="s">
        <v>74</v>
      </c>
    </row>
    <row r="28581" spans="9:9" x14ac:dyDescent="0.2">
      <c r="I28581" s="137" t="s">
        <v>74</v>
      </c>
    </row>
    <row r="28582" spans="9:9" x14ac:dyDescent="0.2">
      <c r="I28582" s="137" t="s">
        <v>74</v>
      </c>
    </row>
    <row r="28583" spans="9:9" x14ac:dyDescent="0.2">
      <c r="I28583" s="137" t="s">
        <v>74</v>
      </c>
    </row>
    <row r="28584" spans="9:9" x14ac:dyDescent="0.2">
      <c r="I28584" s="137" t="s">
        <v>74</v>
      </c>
    </row>
    <row r="28585" spans="9:9" x14ac:dyDescent="0.2">
      <c r="I28585" s="137" t="s">
        <v>74</v>
      </c>
    </row>
    <row r="28586" spans="9:9" x14ac:dyDescent="0.2">
      <c r="I28586" s="137" t="s">
        <v>74</v>
      </c>
    </row>
    <row r="28587" spans="9:9" x14ac:dyDescent="0.2">
      <c r="I28587" s="137" t="s">
        <v>74</v>
      </c>
    </row>
    <row r="28588" spans="9:9" x14ac:dyDescent="0.2">
      <c r="I28588" s="137" t="s">
        <v>74</v>
      </c>
    </row>
    <row r="28589" spans="9:9" x14ac:dyDescent="0.2">
      <c r="I28589" s="137" t="s">
        <v>74</v>
      </c>
    </row>
    <row r="28590" spans="9:9" x14ac:dyDescent="0.2">
      <c r="I28590" s="137" t="s">
        <v>74</v>
      </c>
    </row>
    <row r="28591" spans="9:9" x14ac:dyDescent="0.2">
      <c r="I28591" s="137" t="s">
        <v>74</v>
      </c>
    </row>
    <row r="28592" spans="9:9" x14ac:dyDescent="0.2">
      <c r="I28592" s="137" t="s">
        <v>74</v>
      </c>
    </row>
    <row r="28593" spans="9:9" x14ac:dyDescent="0.2">
      <c r="I28593" s="137" t="s">
        <v>74</v>
      </c>
    </row>
    <row r="28594" spans="9:9" x14ac:dyDescent="0.2">
      <c r="I28594" s="137" t="s">
        <v>74</v>
      </c>
    </row>
    <row r="28595" spans="9:9" x14ac:dyDescent="0.2">
      <c r="I28595" s="137" t="s">
        <v>74</v>
      </c>
    </row>
    <row r="28596" spans="9:9" x14ac:dyDescent="0.2">
      <c r="I28596" s="137" t="s">
        <v>74</v>
      </c>
    </row>
    <row r="28597" spans="9:9" x14ac:dyDescent="0.2">
      <c r="I28597" s="137" t="s">
        <v>74</v>
      </c>
    </row>
    <row r="28598" spans="9:9" x14ac:dyDescent="0.2">
      <c r="I28598" s="137" t="s">
        <v>74</v>
      </c>
    </row>
    <row r="28599" spans="9:9" x14ac:dyDescent="0.2">
      <c r="I28599" s="137" t="s">
        <v>74</v>
      </c>
    </row>
    <row r="28600" spans="9:9" x14ac:dyDescent="0.2">
      <c r="I28600" s="137" t="s">
        <v>74</v>
      </c>
    </row>
    <row r="28601" spans="9:9" x14ac:dyDescent="0.2">
      <c r="I28601" s="137" t="s">
        <v>74</v>
      </c>
    </row>
    <row r="28602" spans="9:9" x14ac:dyDescent="0.2">
      <c r="I28602" s="137" t="s">
        <v>74</v>
      </c>
    </row>
    <row r="28603" spans="9:9" x14ac:dyDescent="0.2">
      <c r="I28603" s="137" t="s">
        <v>74</v>
      </c>
    </row>
    <row r="28604" spans="9:9" x14ac:dyDescent="0.2">
      <c r="I28604" s="137" t="s">
        <v>74</v>
      </c>
    </row>
    <row r="28605" spans="9:9" x14ac:dyDescent="0.2">
      <c r="I28605" s="137" t="s">
        <v>74</v>
      </c>
    </row>
    <row r="28606" spans="9:9" x14ac:dyDescent="0.2">
      <c r="I28606" s="137" t="s">
        <v>74</v>
      </c>
    </row>
    <row r="28607" spans="9:9" x14ac:dyDescent="0.2">
      <c r="I28607" s="137" t="s">
        <v>74</v>
      </c>
    </row>
    <row r="28608" spans="9:9" x14ac:dyDescent="0.2">
      <c r="I28608" s="137" t="s">
        <v>74</v>
      </c>
    </row>
    <row r="28609" spans="9:9" x14ac:dyDescent="0.2">
      <c r="I28609" s="137" t="s">
        <v>74</v>
      </c>
    </row>
    <row r="28610" spans="9:9" x14ac:dyDescent="0.2">
      <c r="I28610" s="137" t="s">
        <v>74</v>
      </c>
    </row>
    <row r="28611" spans="9:9" x14ac:dyDescent="0.2">
      <c r="I28611" s="137" t="s">
        <v>74</v>
      </c>
    </row>
    <row r="28612" spans="9:9" x14ac:dyDescent="0.2">
      <c r="I28612" s="137" t="s">
        <v>74</v>
      </c>
    </row>
    <row r="28613" spans="9:9" x14ac:dyDescent="0.2">
      <c r="I28613" s="137" t="s">
        <v>74</v>
      </c>
    </row>
    <row r="28614" spans="9:9" x14ac:dyDescent="0.2">
      <c r="I28614" s="137" t="s">
        <v>74</v>
      </c>
    </row>
    <row r="28615" spans="9:9" x14ac:dyDescent="0.2">
      <c r="I28615" s="137" t="s">
        <v>74</v>
      </c>
    </row>
    <row r="28616" spans="9:9" x14ac:dyDescent="0.2">
      <c r="I28616" s="137" t="s">
        <v>74</v>
      </c>
    </row>
    <row r="28617" spans="9:9" x14ac:dyDescent="0.2">
      <c r="I28617" s="137" t="s">
        <v>74</v>
      </c>
    </row>
    <row r="28618" spans="9:9" x14ac:dyDescent="0.2">
      <c r="I28618" s="137" t="s">
        <v>74</v>
      </c>
    </row>
    <row r="28619" spans="9:9" x14ac:dyDescent="0.2">
      <c r="I28619" s="137" t="s">
        <v>74</v>
      </c>
    </row>
    <row r="28620" spans="9:9" x14ac:dyDescent="0.2">
      <c r="I28620" s="137" t="s">
        <v>74</v>
      </c>
    </row>
    <row r="28621" spans="9:9" x14ac:dyDescent="0.2">
      <c r="I28621" s="137" t="s">
        <v>74</v>
      </c>
    </row>
    <row r="28622" spans="9:9" x14ac:dyDescent="0.2">
      <c r="I28622" s="137" t="s">
        <v>74</v>
      </c>
    </row>
    <row r="28623" spans="9:9" x14ac:dyDescent="0.2">
      <c r="I28623" s="137" t="s">
        <v>74</v>
      </c>
    </row>
    <row r="28624" spans="9:9" x14ac:dyDescent="0.2">
      <c r="I28624" s="137" t="s">
        <v>74</v>
      </c>
    </row>
    <row r="28625" spans="9:9" x14ac:dyDescent="0.2">
      <c r="I28625" s="137" t="s">
        <v>74</v>
      </c>
    </row>
    <row r="28626" spans="9:9" x14ac:dyDescent="0.2">
      <c r="I28626" s="137" t="s">
        <v>74</v>
      </c>
    </row>
    <row r="28627" spans="9:9" x14ac:dyDescent="0.2">
      <c r="I28627" s="137" t="s">
        <v>74</v>
      </c>
    </row>
    <row r="28628" spans="9:9" x14ac:dyDescent="0.2">
      <c r="I28628" s="137" t="s">
        <v>74</v>
      </c>
    </row>
    <row r="28629" spans="9:9" x14ac:dyDescent="0.2">
      <c r="I28629" s="137" t="s">
        <v>74</v>
      </c>
    </row>
    <row r="28630" spans="9:9" x14ac:dyDescent="0.2">
      <c r="I28630" s="137" t="s">
        <v>74</v>
      </c>
    </row>
    <row r="28631" spans="9:9" x14ac:dyDescent="0.2">
      <c r="I28631" s="137" t="s">
        <v>74</v>
      </c>
    </row>
    <row r="28632" spans="9:9" x14ac:dyDescent="0.2">
      <c r="I28632" s="137" t="s">
        <v>74</v>
      </c>
    </row>
    <row r="28633" spans="9:9" x14ac:dyDescent="0.2">
      <c r="I28633" s="137" t="s">
        <v>74</v>
      </c>
    </row>
    <row r="28634" spans="9:9" x14ac:dyDescent="0.2">
      <c r="I28634" s="137" t="s">
        <v>74</v>
      </c>
    </row>
    <row r="28635" spans="9:9" x14ac:dyDescent="0.2">
      <c r="I28635" s="137" t="s">
        <v>74</v>
      </c>
    </row>
    <row r="28636" spans="9:9" x14ac:dyDescent="0.2">
      <c r="I28636" s="137" t="s">
        <v>74</v>
      </c>
    </row>
    <row r="28637" spans="9:9" x14ac:dyDescent="0.2">
      <c r="I28637" s="137" t="s">
        <v>74</v>
      </c>
    </row>
    <row r="28638" spans="9:9" x14ac:dyDescent="0.2">
      <c r="I28638" s="137" t="s">
        <v>74</v>
      </c>
    </row>
    <row r="28639" spans="9:9" x14ac:dyDescent="0.2">
      <c r="I28639" s="137" t="s">
        <v>74</v>
      </c>
    </row>
    <row r="28640" spans="9:9" x14ac:dyDescent="0.2">
      <c r="I28640" s="137" t="s">
        <v>74</v>
      </c>
    </row>
    <row r="28641" spans="9:9" x14ac:dyDescent="0.2">
      <c r="I28641" s="137" t="s">
        <v>74</v>
      </c>
    </row>
    <row r="28642" spans="9:9" x14ac:dyDescent="0.2">
      <c r="I28642" s="137" t="s">
        <v>74</v>
      </c>
    </row>
    <row r="28643" spans="9:9" x14ac:dyDescent="0.2">
      <c r="I28643" s="137" t="s">
        <v>74</v>
      </c>
    </row>
    <row r="28644" spans="9:9" x14ac:dyDescent="0.2">
      <c r="I28644" s="137" t="s">
        <v>74</v>
      </c>
    </row>
    <row r="28645" spans="9:9" x14ac:dyDescent="0.2">
      <c r="I28645" s="137" t="s">
        <v>74</v>
      </c>
    </row>
    <row r="28646" spans="9:9" x14ac:dyDescent="0.2">
      <c r="I28646" s="137" t="s">
        <v>74</v>
      </c>
    </row>
    <row r="28647" spans="9:9" x14ac:dyDescent="0.2">
      <c r="I28647" s="137" t="s">
        <v>74</v>
      </c>
    </row>
    <row r="28648" spans="9:9" x14ac:dyDescent="0.2">
      <c r="I28648" s="137" t="s">
        <v>74</v>
      </c>
    </row>
    <row r="28649" spans="9:9" x14ac:dyDescent="0.2">
      <c r="I28649" s="137" t="s">
        <v>74</v>
      </c>
    </row>
    <row r="28650" spans="9:9" x14ac:dyDescent="0.2">
      <c r="I28650" s="137" t="s">
        <v>74</v>
      </c>
    </row>
    <row r="28651" spans="9:9" x14ac:dyDescent="0.2">
      <c r="I28651" s="137" t="s">
        <v>74</v>
      </c>
    </row>
    <row r="28652" spans="9:9" x14ac:dyDescent="0.2">
      <c r="I28652" s="137" t="s">
        <v>74</v>
      </c>
    </row>
    <row r="28653" spans="9:9" x14ac:dyDescent="0.2">
      <c r="I28653" s="137" t="s">
        <v>74</v>
      </c>
    </row>
    <row r="28654" spans="9:9" x14ac:dyDescent="0.2">
      <c r="I28654" s="137" t="s">
        <v>74</v>
      </c>
    </row>
    <row r="28655" spans="9:9" x14ac:dyDescent="0.2">
      <c r="I28655" s="137" t="s">
        <v>74</v>
      </c>
    </row>
    <row r="28656" spans="9:9" x14ac:dyDescent="0.2">
      <c r="I28656" s="137" t="s">
        <v>74</v>
      </c>
    </row>
    <row r="28657" spans="9:9" x14ac:dyDescent="0.2">
      <c r="I28657" s="137" t="s">
        <v>74</v>
      </c>
    </row>
    <row r="28658" spans="9:9" x14ac:dyDescent="0.2">
      <c r="I28658" s="137" t="s">
        <v>74</v>
      </c>
    </row>
    <row r="28659" spans="9:9" x14ac:dyDescent="0.2">
      <c r="I28659" s="137" t="s">
        <v>74</v>
      </c>
    </row>
    <row r="28660" spans="9:9" x14ac:dyDescent="0.2">
      <c r="I28660" s="137" t="s">
        <v>74</v>
      </c>
    </row>
    <row r="28661" spans="9:9" x14ac:dyDescent="0.2">
      <c r="I28661" s="137" t="s">
        <v>74</v>
      </c>
    </row>
    <row r="28662" spans="9:9" x14ac:dyDescent="0.2">
      <c r="I28662" s="137" t="s">
        <v>74</v>
      </c>
    </row>
    <row r="28663" spans="9:9" x14ac:dyDescent="0.2">
      <c r="I28663" s="137" t="s">
        <v>74</v>
      </c>
    </row>
    <row r="28664" spans="9:9" x14ac:dyDescent="0.2">
      <c r="I28664" s="137" t="s">
        <v>74</v>
      </c>
    </row>
    <row r="28665" spans="9:9" x14ac:dyDescent="0.2">
      <c r="I28665" s="137" t="s">
        <v>74</v>
      </c>
    </row>
    <row r="28666" spans="9:9" x14ac:dyDescent="0.2">
      <c r="I28666" s="137" t="s">
        <v>74</v>
      </c>
    </row>
    <row r="28667" spans="9:9" x14ac:dyDescent="0.2">
      <c r="I28667" s="137" t="s">
        <v>74</v>
      </c>
    </row>
    <row r="28668" spans="9:9" x14ac:dyDescent="0.2">
      <c r="I28668" s="137" t="s">
        <v>74</v>
      </c>
    </row>
    <row r="28669" spans="9:9" x14ac:dyDescent="0.2">
      <c r="I28669" s="137" t="s">
        <v>74</v>
      </c>
    </row>
    <row r="28670" spans="9:9" x14ac:dyDescent="0.2">
      <c r="I28670" s="137" t="s">
        <v>74</v>
      </c>
    </row>
    <row r="28671" spans="9:9" x14ac:dyDescent="0.2">
      <c r="I28671" s="137" t="s">
        <v>74</v>
      </c>
    </row>
    <row r="28672" spans="9:9" x14ac:dyDescent="0.2">
      <c r="I28672" s="137" t="s">
        <v>74</v>
      </c>
    </row>
    <row r="28673" spans="9:9" x14ac:dyDescent="0.2">
      <c r="I28673" s="137" t="s">
        <v>74</v>
      </c>
    </row>
    <row r="28674" spans="9:9" x14ac:dyDescent="0.2">
      <c r="I28674" s="137" t="s">
        <v>74</v>
      </c>
    </row>
    <row r="28675" spans="9:9" x14ac:dyDescent="0.2">
      <c r="I28675" s="137" t="s">
        <v>74</v>
      </c>
    </row>
    <row r="28676" spans="9:9" x14ac:dyDescent="0.2">
      <c r="I28676" s="137" t="s">
        <v>74</v>
      </c>
    </row>
    <row r="28677" spans="9:9" x14ac:dyDescent="0.2">
      <c r="I28677" s="137" t="s">
        <v>74</v>
      </c>
    </row>
    <row r="28678" spans="9:9" x14ac:dyDescent="0.2">
      <c r="I28678" s="137" t="s">
        <v>74</v>
      </c>
    </row>
    <row r="28679" spans="9:9" x14ac:dyDescent="0.2">
      <c r="I28679" s="137" t="s">
        <v>74</v>
      </c>
    </row>
    <row r="28680" spans="9:9" x14ac:dyDescent="0.2">
      <c r="I28680" s="137" t="s">
        <v>74</v>
      </c>
    </row>
    <row r="28681" spans="9:9" x14ac:dyDescent="0.2">
      <c r="I28681" s="137" t="s">
        <v>74</v>
      </c>
    </row>
    <row r="28682" spans="9:9" x14ac:dyDescent="0.2">
      <c r="I28682" s="137" t="s">
        <v>74</v>
      </c>
    </row>
    <row r="28683" spans="9:9" x14ac:dyDescent="0.2">
      <c r="I28683" s="137" t="s">
        <v>74</v>
      </c>
    </row>
    <row r="28684" spans="9:9" x14ac:dyDescent="0.2">
      <c r="I28684" s="137" t="s">
        <v>74</v>
      </c>
    </row>
    <row r="28685" spans="9:9" x14ac:dyDescent="0.2">
      <c r="I28685" s="137" t="s">
        <v>74</v>
      </c>
    </row>
    <row r="28686" spans="9:9" x14ac:dyDescent="0.2">
      <c r="I28686" s="137" t="s">
        <v>74</v>
      </c>
    </row>
    <row r="28687" spans="9:9" x14ac:dyDescent="0.2">
      <c r="I28687" s="137" t="s">
        <v>74</v>
      </c>
    </row>
    <row r="28688" spans="9:9" x14ac:dyDescent="0.2">
      <c r="I28688" s="137" t="s">
        <v>74</v>
      </c>
    </row>
    <row r="28689" spans="9:9" x14ac:dyDescent="0.2">
      <c r="I28689" s="137" t="s">
        <v>74</v>
      </c>
    </row>
    <row r="28690" spans="9:9" x14ac:dyDescent="0.2">
      <c r="I28690" s="137" t="s">
        <v>74</v>
      </c>
    </row>
    <row r="28691" spans="9:9" x14ac:dyDescent="0.2">
      <c r="I28691" s="137" t="s">
        <v>74</v>
      </c>
    </row>
    <row r="28692" spans="9:9" x14ac:dyDescent="0.2">
      <c r="I28692" s="137" t="s">
        <v>74</v>
      </c>
    </row>
    <row r="28693" spans="9:9" x14ac:dyDescent="0.2">
      <c r="I28693" s="137" t="s">
        <v>74</v>
      </c>
    </row>
    <row r="28694" spans="9:9" x14ac:dyDescent="0.2">
      <c r="I28694" s="137" t="s">
        <v>74</v>
      </c>
    </row>
    <row r="28695" spans="9:9" x14ac:dyDescent="0.2">
      <c r="I28695" s="137" t="s">
        <v>74</v>
      </c>
    </row>
    <row r="28696" spans="9:9" x14ac:dyDescent="0.2">
      <c r="I28696" s="137" t="s">
        <v>74</v>
      </c>
    </row>
    <row r="28697" spans="9:9" x14ac:dyDescent="0.2">
      <c r="I28697" s="137" t="s">
        <v>74</v>
      </c>
    </row>
    <row r="28698" spans="9:9" x14ac:dyDescent="0.2">
      <c r="I28698" s="137" t="s">
        <v>74</v>
      </c>
    </row>
    <row r="28699" spans="9:9" x14ac:dyDescent="0.2">
      <c r="I28699" s="137" t="s">
        <v>74</v>
      </c>
    </row>
    <row r="28700" spans="9:9" x14ac:dyDescent="0.2">
      <c r="I28700" s="137" t="s">
        <v>74</v>
      </c>
    </row>
    <row r="28701" spans="9:9" x14ac:dyDescent="0.2">
      <c r="I28701" s="137" t="s">
        <v>74</v>
      </c>
    </row>
    <row r="28702" spans="9:9" x14ac:dyDescent="0.2">
      <c r="I28702" s="137" t="s">
        <v>74</v>
      </c>
    </row>
    <row r="28703" spans="9:9" x14ac:dyDescent="0.2">
      <c r="I28703" s="137" t="s">
        <v>74</v>
      </c>
    </row>
    <row r="28704" spans="9:9" x14ac:dyDescent="0.2">
      <c r="I28704" s="137" t="s">
        <v>74</v>
      </c>
    </row>
    <row r="28705" spans="9:9" x14ac:dyDescent="0.2">
      <c r="I28705" s="137" t="s">
        <v>74</v>
      </c>
    </row>
    <row r="28706" spans="9:9" x14ac:dyDescent="0.2">
      <c r="I28706" s="137" t="s">
        <v>74</v>
      </c>
    </row>
    <row r="28707" spans="9:9" x14ac:dyDescent="0.2">
      <c r="I28707" s="137" t="s">
        <v>74</v>
      </c>
    </row>
    <row r="28708" spans="9:9" x14ac:dyDescent="0.2">
      <c r="I28708" s="137" t="s">
        <v>74</v>
      </c>
    </row>
    <row r="28709" spans="9:9" x14ac:dyDescent="0.2">
      <c r="I28709" s="137" t="s">
        <v>74</v>
      </c>
    </row>
    <row r="28710" spans="9:9" x14ac:dyDescent="0.2">
      <c r="I28710" s="137" t="s">
        <v>74</v>
      </c>
    </row>
    <row r="28711" spans="9:9" x14ac:dyDescent="0.2">
      <c r="I28711" s="137" t="s">
        <v>74</v>
      </c>
    </row>
    <row r="28712" spans="9:9" x14ac:dyDescent="0.2">
      <c r="I28712" s="137" t="s">
        <v>74</v>
      </c>
    </row>
    <row r="28713" spans="9:9" x14ac:dyDescent="0.2">
      <c r="I28713" s="137" t="s">
        <v>74</v>
      </c>
    </row>
    <row r="28714" spans="9:9" x14ac:dyDescent="0.2">
      <c r="I28714" s="137" t="s">
        <v>74</v>
      </c>
    </row>
    <row r="28715" spans="9:9" x14ac:dyDescent="0.2">
      <c r="I28715" s="137" t="s">
        <v>74</v>
      </c>
    </row>
    <row r="28716" spans="9:9" x14ac:dyDescent="0.2">
      <c r="I28716" s="137" t="s">
        <v>74</v>
      </c>
    </row>
    <row r="28717" spans="9:9" x14ac:dyDescent="0.2">
      <c r="I28717" s="137" t="s">
        <v>74</v>
      </c>
    </row>
    <row r="28718" spans="9:9" x14ac:dyDescent="0.2">
      <c r="I28718" s="137" t="s">
        <v>74</v>
      </c>
    </row>
    <row r="28719" spans="9:9" x14ac:dyDescent="0.2">
      <c r="I28719" s="137" t="s">
        <v>74</v>
      </c>
    </row>
    <row r="28720" spans="9:9" x14ac:dyDescent="0.2">
      <c r="I28720" s="137" t="s">
        <v>74</v>
      </c>
    </row>
    <row r="28721" spans="9:9" x14ac:dyDescent="0.2">
      <c r="I28721" s="137" t="s">
        <v>74</v>
      </c>
    </row>
    <row r="28722" spans="9:9" x14ac:dyDescent="0.2">
      <c r="I28722" s="137" t="s">
        <v>74</v>
      </c>
    </row>
    <row r="28723" spans="9:9" x14ac:dyDescent="0.2">
      <c r="I28723" s="137" t="s">
        <v>74</v>
      </c>
    </row>
    <row r="28724" spans="9:9" x14ac:dyDescent="0.2">
      <c r="I28724" s="137" t="s">
        <v>74</v>
      </c>
    </row>
    <row r="28725" spans="9:9" x14ac:dyDescent="0.2">
      <c r="I28725" s="137" t="s">
        <v>74</v>
      </c>
    </row>
    <row r="28726" spans="9:9" x14ac:dyDescent="0.2">
      <c r="I28726" s="137" t="s">
        <v>74</v>
      </c>
    </row>
    <row r="28727" spans="9:9" x14ac:dyDescent="0.2">
      <c r="I28727" s="137" t="s">
        <v>74</v>
      </c>
    </row>
    <row r="28728" spans="9:9" x14ac:dyDescent="0.2">
      <c r="I28728" s="137" t="s">
        <v>74</v>
      </c>
    </row>
    <row r="28729" spans="9:9" x14ac:dyDescent="0.2">
      <c r="I28729" s="137" t="s">
        <v>74</v>
      </c>
    </row>
    <row r="28730" spans="9:9" x14ac:dyDescent="0.2">
      <c r="I28730" s="137" t="s">
        <v>74</v>
      </c>
    </row>
    <row r="28731" spans="9:9" x14ac:dyDescent="0.2">
      <c r="I28731" s="137" t="s">
        <v>74</v>
      </c>
    </row>
    <row r="28732" spans="9:9" x14ac:dyDescent="0.2">
      <c r="I28732" s="137" t="s">
        <v>74</v>
      </c>
    </row>
    <row r="28733" spans="9:9" x14ac:dyDescent="0.2">
      <c r="I28733" s="137" t="s">
        <v>74</v>
      </c>
    </row>
    <row r="28734" spans="9:9" x14ac:dyDescent="0.2">
      <c r="I28734" s="137" t="s">
        <v>74</v>
      </c>
    </row>
    <row r="28735" spans="9:9" x14ac:dyDescent="0.2">
      <c r="I28735" s="137" t="s">
        <v>74</v>
      </c>
    </row>
    <row r="28736" spans="9:9" x14ac:dyDescent="0.2">
      <c r="I28736" s="137" t="s">
        <v>74</v>
      </c>
    </row>
    <row r="28737" spans="9:9" x14ac:dyDescent="0.2">
      <c r="I28737" s="137" t="s">
        <v>74</v>
      </c>
    </row>
    <row r="28738" spans="9:9" x14ac:dyDescent="0.2">
      <c r="I28738" s="137" t="s">
        <v>74</v>
      </c>
    </row>
    <row r="28739" spans="9:9" x14ac:dyDescent="0.2">
      <c r="I28739" s="137" t="s">
        <v>74</v>
      </c>
    </row>
    <row r="28740" spans="9:9" x14ac:dyDescent="0.2">
      <c r="I28740" s="137" t="s">
        <v>74</v>
      </c>
    </row>
    <row r="28741" spans="9:9" x14ac:dyDescent="0.2">
      <c r="I28741" s="137" t="s">
        <v>74</v>
      </c>
    </row>
    <row r="28742" spans="9:9" x14ac:dyDescent="0.2">
      <c r="I28742" s="137" t="s">
        <v>74</v>
      </c>
    </row>
    <row r="28743" spans="9:9" x14ac:dyDescent="0.2">
      <c r="I28743" s="137" t="s">
        <v>74</v>
      </c>
    </row>
    <row r="28744" spans="9:9" x14ac:dyDescent="0.2">
      <c r="I28744" s="137" t="s">
        <v>74</v>
      </c>
    </row>
    <row r="28745" spans="9:9" x14ac:dyDescent="0.2">
      <c r="I28745" s="137" t="s">
        <v>74</v>
      </c>
    </row>
    <row r="28746" spans="9:9" x14ac:dyDescent="0.2">
      <c r="I28746" s="137" t="s">
        <v>74</v>
      </c>
    </row>
    <row r="28747" spans="9:9" x14ac:dyDescent="0.2">
      <c r="I28747" s="137" t="s">
        <v>74</v>
      </c>
    </row>
    <row r="28748" spans="9:9" x14ac:dyDescent="0.2">
      <c r="I28748" s="137" t="s">
        <v>74</v>
      </c>
    </row>
    <row r="28749" spans="9:9" x14ac:dyDescent="0.2">
      <c r="I28749" s="137" t="s">
        <v>74</v>
      </c>
    </row>
    <row r="28750" spans="9:9" x14ac:dyDescent="0.2">
      <c r="I28750" s="137" t="s">
        <v>74</v>
      </c>
    </row>
    <row r="28751" spans="9:9" x14ac:dyDescent="0.2">
      <c r="I28751" s="137" t="s">
        <v>74</v>
      </c>
    </row>
    <row r="28752" spans="9:9" x14ac:dyDescent="0.2">
      <c r="I28752" s="137" t="s">
        <v>74</v>
      </c>
    </row>
    <row r="28753" spans="9:9" x14ac:dyDescent="0.2">
      <c r="I28753" s="137" t="s">
        <v>74</v>
      </c>
    </row>
    <row r="28754" spans="9:9" x14ac:dyDescent="0.2">
      <c r="I28754" s="137" t="s">
        <v>74</v>
      </c>
    </row>
    <row r="28755" spans="9:9" x14ac:dyDescent="0.2">
      <c r="I28755" s="137" t="s">
        <v>74</v>
      </c>
    </row>
    <row r="28756" spans="9:9" x14ac:dyDescent="0.2">
      <c r="I28756" s="137" t="s">
        <v>74</v>
      </c>
    </row>
    <row r="28757" spans="9:9" x14ac:dyDescent="0.2">
      <c r="I28757" s="137" t="s">
        <v>74</v>
      </c>
    </row>
    <row r="28758" spans="9:9" x14ac:dyDescent="0.2">
      <c r="I28758" s="137" t="s">
        <v>74</v>
      </c>
    </row>
    <row r="28759" spans="9:9" x14ac:dyDescent="0.2">
      <c r="I28759" s="137" t="s">
        <v>74</v>
      </c>
    </row>
    <row r="28760" spans="9:9" x14ac:dyDescent="0.2">
      <c r="I28760" s="137" t="s">
        <v>74</v>
      </c>
    </row>
    <row r="28761" spans="9:9" x14ac:dyDescent="0.2">
      <c r="I28761" s="137" t="s">
        <v>74</v>
      </c>
    </row>
    <row r="28762" spans="9:9" x14ac:dyDescent="0.2">
      <c r="I28762" s="137" t="s">
        <v>74</v>
      </c>
    </row>
    <row r="28763" spans="9:9" x14ac:dyDescent="0.2">
      <c r="I28763" s="137" t="s">
        <v>74</v>
      </c>
    </row>
    <row r="28764" spans="9:9" x14ac:dyDescent="0.2">
      <c r="I28764" s="137" t="s">
        <v>74</v>
      </c>
    </row>
    <row r="28765" spans="9:9" x14ac:dyDescent="0.2">
      <c r="I28765" s="137" t="s">
        <v>74</v>
      </c>
    </row>
    <row r="28766" spans="9:9" x14ac:dyDescent="0.2">
      <c r="I28766" s="137" t="s">
        <v>74</v>
      </c>
    </row>
    <row r="28767" spans="9:9" x14ac:dyDescent="0.2">
      <c r="I28767" s="137" t="s">
        <v>74</v>
      </c>
    </row>
    <row r="28768" spans="9:9" x14ac:dyDescent="0.2">
      <c r="I28768" s="137" t="s">
        <v>74</v>
      </c>
    </row>
    <row r="28769" spans="9:9" x14ac:dyDescent="0.2">
      <c r="I28769" s="137" t="s">
        <v>74</v>
      </c>
    </row>
    <row r="28770" spans="9:9" x14ac:dyDescent="0.2">
      <c r="I28770" s="137" t="s">
        <v>74</v>
      </c>
    </row>
    <row r="28771" spans="9:9" x14ac:dyDescent="0.2">
      <c r="I28771" s="137" t="s">
        <v>74</v>
      </c>
    </row>
    <row r="28772" spans="9:9" x14ac:dyDescent="0.2">
      <c r="I28772" s="137" t="s">
        <v>74</v>
      </c>
    </row>
    <row r="28773" spans="9:9" x14ac:dyDescent="0.2">
      <c r="I28773" s="137" t="s">
        <v>74</v>
      </c>
    </row>
    <row r="28774" spans="9:9" x14ac:dyDescent="0.2">
      <c r="I28774" s="137" t="s">
        <v>74</v>
      </c>
    </row>
    <row r="28775" spans="9:9" x14ac:dyDescent="0.2">
      <c r="I28775" s="137" t="s">
        <v>74</v>
      </c>
    </row>
    <row r="28776" spans="9:9" x14ac:dyDescent="0.2">
      <c r="I28776" s="137" t="s">
        <v>74</v>
      </c>
    </row>
    <row r="28777" spans="9:9" x14ac:dyDescent="0.2">
      <c r="I28777" s="137" t="s">
        <v>74</v>
      </c>
    </row>
    <row r="28778" spans="9:9" x14ac:dyDescent="0.2">
      <c r="I28778" s="137" t="s">
        <v>74</v>
      </c>
    </row>
    <row r="28779" spans="9:9" x14ac:dyDescent="0.2">
      <c r="I28779" s="137" t="s">
        <v>74</v>
      </c>
    </row>
    <row r="28780" spans="9:9" x14ac:dyDescent="0.2">
      <c r="I28780" s="137" t="s">
        <v>74</v>
      </c>
    </row>
    <row r="28781" spans="9:9" x14ac:dyDescent="0.2">
      <c r="I28781" s="137" t="s">
        <v>74</v>
      </c>
    </row>
    <row r="28782" spans="9:9" x14ac:dyDescent="0.2">
      <c r="I28782" s="137" t="s">
        <v>74</v>
      </c>
    </row>
    <row r="28783" spans="9:9" x14ac:dyDescent="0.2">
      <c r="I28783" s="137" t="s">
        <v>74</v>
      </c>
    </row>
    <row r="28784" spans="9:9" x14ac:dyDescent="0.2">
      <c r="I28784" s="137" t="s">
        <v>74</v>
      </c>
    </row>
    <row r="28785" spans="9:9" x14ac:dyDescent="0.2">
      <c r="I28785" s="137" t="s">
        <v>74</v>
      </c>
    </row>
    <row r="28786" spans="9:9" x14ac:dyDescent="0.2">
      <c r="I28786" s="137" t="s">
        <v>74</v>
      </c>
    </row>
    <row r="28787" spans="9:9" x14ac:dyDescent="0.2">
      <c r="I28787" s="137" t="s">
        <v>74</v>
      </c>
    </row>
    <row r="28788" spans="9:9" x14ac:dyDescent="0.2">
      <c r="I28788" s="137" t="s">
        <v>74</v>
      </c>
    </row>
    <row r="28789" spans="9:9" x14ac:dyDescent="0.2">
      <c r="I28789" s="137" t="s">
        <v>74</v>
      </c>
    </row>
    <row r="28790" spans="9:9" x14ac:dyDescent="0.2">
      <c r="I28790" s="137" t="s">
        <v>74</v>
      </c>
    </row>
    <row r="28791" spans="9:9" x14ac:dyDescent="0.2">
      <c r="I28791" s="137" t="s">
        <v>74</v>
      </c>
    </row>
    <row r="28792" spans="9:9" x14ac:dyDescent="0.2">
      <c r="I28792" s="137" t="s">
        <v>74</v>
      </c>
    </row>
    <row r="28793" spans="9:9" x14ac:dyDescent="0.2">
      <c r="I28793" s="137" t="s">
        <v>74</v>
      </c>
    </row>
    <row r="28794" spans="9:9" x14ac:dyDescent="0.2">
      <c r="I28794" s="137" t="s">
        <v>74</v>
      </c>
    </row>
    <row r="28795" spans="9:9" x14ac:dyDescent="0.2">
      <c r="I28795" s="137" t="s">
        <v>74</v>
      </c>
    </row>
    <row r="28796" spans="9:9" x14ac:dyDescent="0.2">
      <c r="I28796" s="137" t="s">
        <v>74</v>
      </c>
    </row>
    <row r="28797" spans="9:9" x14ac:dyDescent="0.2">
      <c r="I28797" s="137" t="s">
        <v>74</v>
      </c>
    </row>
    <row r="28798" spans="9:9" x14ac:dyDescent="0.2">
      <c r="I28798" s="137" t="s">
        <v>74</v>
      </c>
    </row>
    <row r="28799" spans="9:9" x14ac:dyDescent="0.2">
      <c r="I28799" s="137" t="s">
        <v>74</v>
      </c>
    </row>
    <row r="28800" spans="9:9" x14ac:dyDescent="0.2">
      <c r="I28800" s="137" t="s">
        <v>74</v>
      </c>
    </row>
    <row r="28801" spans="9:9" x14ac:dyDescent="0.2">
      <c r="I28801" s="137" t="s">
        <v>74</v>
      </c>
    </row>
    <row r="28802" spans="9:9" x14ac:dyDescent="0.2">
      <c r="I28802" s="137" t="s">
        <v>74</v>
      </c>
    </row>
    <row r="28803" spans="9:9" x14ac:dyDescent="0.2">
      <c r="I28803" s="137" t="s">
        <v>74</v>
      </c>
    </row>
    <row r="28804" spans="9:9" x14ac:dyDescent="0.2">
      <c r="I28804" s="137" t="s">
        <v>74</v>
      </c>
    </row>
    <row r="28805" spans="9:9" x14ac:dyDescent="0.2">
      <c r="I28805" s="137" t="s">
        <v>74</v>
      </c>
    </row>
    <row r="28806" spans="9:9" x14ac:dyDescent="0.2">
      <c r="I28806" s="137" t="s">
        <v>74</v>
      </c>
    </row>
    <row r="28807" spans="9:9" x14ac:dyDescent="0.2">
      <c r="I28807" s="137" t="s">
        <v>74</v>
      </c>
    </row>
    <row r="28808" spans="9:9" x14ac:dyDescent="0.2">
      <c r="I28808" s="137" t="s">
        <v>74</v>
      </c>
    </row>
    <row r="28809" spans="9:9" x14ac:dyDescent="0.2">
      <c r="I28809" s="137" t="s">
        <v>74</v>
      </c>
    </row>
    <row r="28810" spans="9:9" x14ac:dyDescent="0.2">
      <c r="I28810" s="137" t="s">
        <v>74</v>
      </c>
    </row>
    <row r="28811" spans="9:9" x14ac:dyDescent="0.2">
      <c r="I28811" s="137" t="s">
        <v>74</v>
      </c>
    </row>
    <row r="28812" spans="9:9" x14ac:dyDescent="0.2">
      <c r="I28812" s="137" t="s">
        <v>74</v>
      </c>
    </row>
    <row r="28813" spans="9:9" x14ac:dyDescent="0.2">
      <c r="I28813" s="137" t="s">
        <v>74</v>
      </c>
    </row>
    <row r="28814" spans="9:9" x14ac:dyDescent="0.2">
      <c r="I28814" s="137" t="s">
        <v>74</v>
      </c>
    </row>
    <row r="28815" spans="9:9" x14ac:dyDescent="0.2">
      <c r="I28815" s="137" t="s">
        <v>74</v>
      </c>
    </row>
    <row r="28816" spans="9:9" x14ac:dyDescent="0.2">
      <c r="I28816" s="137" t="s">
        <v>74</v>
      </c>
    </row>
    <row r="28817" spans="9:9" x14ac:dyDescent="0.2">
      <c r="I28817" s="137" t="s">
        <v>74</v>
      </c>
    </row>
    <row r="28818" spans="9:9" x14ac:dyDescent="0.2">
      <c r="I28818" s="137" t="s">
        <v>74</v>
      </c>
    </row>
    <row r="28819" spans="9:9" x14ac:dyDescent="0.2">
      <c r="I28819" s="137" t="s">
        <v>74</v>
      </c>
    </row>
    <row r="28820" spans="9:9" x14ac:dyDescent="0.2">
      <c r="I28820" s="137" t="s">
        <v>74</v>
      </c>
    </row>
    <row r="28821" spans="9:9" x14ac:dyDescent="0.2">
      <c r="I28821" s="137" t="s">
        <v>74</v>
      </c>
    </row>
    <row r="28822" spans="9:9" x14ac:dyDescent="0.2">
      <c r="I28822" s="137" t="s">
        <v>74</v>
      </c>
    </row>
    <row r="28823" spans="9:9" x14ac:dyDescent="0.2">
      <c r="I28823" s="137" t="s">
        <v>74</v>
      </c>
    </row>
    <row r="28824" spans="9:9" x14ac:dyDescent="0.2">
      <c r="I28824" s="137" t="s">
        <v>74</v>
      </c>
    </row>
    <row r="28825" spans="9:9" x14ac:dyDescent="0.2">
      <c r="I28825" s="137" t="s">
        <v>74</v>
      </c>
    </row>
    <row r="28826" spans="9:9" x14ac:dyDescent="0.2">
      <c r="I28826" s="137" t="s">
        <v>74</v>
      </c>
    </row>
    <row r="28827" spans="9:9" x14ac:dyDescent="0.2">
      <c r="I28827" s="137" t="s">
        <v>74</v>
      </c>
    </row>
    <row r="28828" spans="9:9" x14ac:dyDescent="0.2">
      <c r="I28828" s="137" t="s">
        <v>74</v>
      </c>
    </row>
    <row r="28829" spans="9:9" x14ac:dyDescent="0.2">
      <c r="I28829" s="137" t="s">
        <v>74</v>
      </c>
    </row>
    <row r="28830" spans="9:9" x14ac:dyDescent="0.2">
      <c r="I28830" s="137" t="s">
        <v>74</v>
      </c>
    </row>
    <row r="28831" spans="9:9" x14ac:dyDescent="0.2">
      <c r="I28831" s="137" t="s">
        <v>74</v>
      </c>
    </row>
    <row r="28832" spans="9:9" x14ac:dyDescent="0.2">
      <c r="I28832" s="137" t="s">
        <v>74</v>
      </c>
    </row>
    <row r="28833" spans="9:9" x14ac:dyDescent="0.2">
      <c r="I28833" s="137" t="s">
        <v>74</v>
      </c>
    </row>
    <row r="28834" spans="9:9" x14ac:dyDescent="0.2">
      <c r="I28834" s="137" t="s">
        <v>74</v>
      </c>
    </row>
    <row r="28835" spans="9:9" x14ac:dyDescent="0.2">
      <c r="I28835" s="137" t="s">
        <v>74</v>
      </c>
    </row>
    <row r="28836" spans="9:9" x14ac:dyDescent="0.2">
      <c r="I28836" s="137" t="s">
        <v>74</v>
      </c>
    </row>
    <row r="28837" spans="9:9" x14ac:dyDescent="0.2">
      <c r="I28837" s="137" t="s">
        <v>74</v>
      </c>
    </row>
    <row r="28838" spans="9:9" x14ac:dyDescent="0.2">
      <c r="I28838" s="137" t="s">
        <v>74</v>
      </c>
    </row>
    <row r="28839" spans="9:9" x14ac:dyDescent="0.2">
      <c r="I28839" s="137" t="s">
        <v>74</v>
      </c>
    </row>
    <row r="28840" spans="9:9" x14ac:dyDescent="0.2">
      <c r="I28840" s="137" t="s">
        <v>74</v>
      </c>
    </row>
    <row r="28841" spans="9:9" x14ac:dyDescent="0.2">
      <c r="I28841" s="137" t="s">
        <v>74</v>
      </c>
    </row>
    <row r="28842" spans="9:9" x14ac:dyDescent="0.2">
      <c r="I28842" s="137" t="s">
        <v>74</v>
      </c>
    </row>
    <row r="28843" spans="9:9" x14ac:dyDescent="0.2">
      <c r="I28843" s="137" t="s">
        <v>74</v>
      </c>
    </row>
    <row r="28844" spans="9:9" x14ac:dyDescent="0.2">
      <c r="I28844" s="137" t="s">
        <v>74</v>
      </c>
    </row>
    <row r="28845" spans="9:9" x14ac:dyDescent="0.2">
      <c r="I28845" s="137" t="s">
        <v>74</v>
      </c>
    </row>
    <row r="28846" spans="9:9" x14ac:dyDescent="0.2">
      <c r="I28846" s="137" t="s">
        <v>74</v>
      </c>
    </row>
    <row r="28847" spans="9:9" x14ac:dyDescent="0.2">
      <c r="I28847" s="137" t="s">
        <v>74</v>
      </c>
    </row>
    <row r="28848" spans="9:9" x14ac:dyDescent="0.2">
      <c r="I28848" s="137" t="s">
        <v>74</v>
      </c>
    </row>
    <row r="28849" spans="9:9" x14ac:dyDescent="0.2">
      <c r="I28849" s="137" t="s">
        <v>74</v>
      </c>
    </row>
    <row r="28850" spans="9:9" x14ac:dyDescent="0.2">
      <c r="I28850" s="137" t="s">
        <v>74</v>
      </c>
    </row>
    <row r="28851" spans="9:9" x14ac:dyDescent="0.2">
      <c r="I28851" s="137" t="s">
        <v>74</v>
      </c>
    </row>
    <row r="28852" spans="9:9" x14ac:dyDescent="0.2">
      <c r="I28852" s="137" t="s">
        <v>74</v>
      </c>
    </row>
    <row r="28853" spans="9:9" x14ac:dyDescent="0.2">
      <c r="I28853" s="137" t="s">
        <v>74</v>
      </c>
    </row>
    <row r="28854" spans="9:9" x14ac:dyDescent="0.2">
      <c r="I28854" s="137" t="s">
        <v>74</v>
      </c>
    </row>
    <row r="28855" spans="9:9" x14ac:dyDescent="0.2">
      <c r="I28855" s="137" t="s">
        <v>74</v>
      </c>
    </row>
    <row r="28856" spans="9:9" x14ac:dyDescent="0.2">
      <c r="I28856" s="137" t="s">
        <v>74</v>
      </c>
    </row>
    <row r="28857" spans="9:9" x14ac:dyDescent="0.2">
      <c r="I28857" s="137" t="s">
        <v>74</v>
      </c>
    </row>
    <row r="28858" spans="9:9" x14ac:dyDescent="0.2">
      <c r="I28858" s="137" t="s">
        <v>74</v>
      </c>
    </row>
    <row r="28859" spans="9:9" x14ac:dyDescent="0.2">
      <c r="I28859" s="137" t="s">
        <v>74</v>
      </c>
    </row>
    <row r="28860" spans="9:9" x14ac:dyDescent="0.2">
      <c r="I28860" s="137" t="s">
        <v>74</v>
      </c>
    </row>
    <row r="28861" spans="9:9" x14ac:dyDescent="0.2">
      <c r="I28861" s="137" t="s">
        <v>74</v>
      </c>
    </row>
    <row r="28862" spans="9:9" x14ac:dyDescent="0.2">
      <c r="I28862" s="137" t="s">
        <v>74</v>
      </c>
    </row>
    <row r="28863" spans="9:9" x14ac:dyDescent="0.2">
      <c r="I28863" s="137" t="s">
        <v>74</v>
      </c>
    </row>
    <row r="28864" spans="9:9" x14ac:dyDescent="0.2">
      <c r="I28864" s="137" t="s">
        <v>74</v>
      </c>
    </row>
    <row r="28865" spans="9:9" x14ac:dyDescent="0.2">
      <c r="I28865" s="137" t="s">
        <v>74</v>
      </c>
    </row>
    <row r="28866" spans="9:9" x14ac:dyDescent="0.2">
      <c r="I28866" s="137" t="s">
        <v>74</v>
      </c>
    </row>
    <row r="28867" spans="9:9" x14ac:dyDescent="0.2">
      <c r="I28867" s="137" t="s">
        <v>74</v>
      </c>
    </row>
    <row r="28868" spans="9:9" x14ac:dyDescent="0.2">
      <c r="I28868" s="137" t="s">
        <v>74</v>
      </c>
    </row>
    <row r="28869" spans="9:9" x14ac:dyDescent="0.2">
      <c r="I28869" s="137" t="s">
        <v>74</v>
      </c>
    </row>
    <row r="28870" spans="9:9" x14ac:dyDescent="0.2">
      <c r="I28870" s="137" t="s">
        <v>74</v>
      </c>
    </row>
    <row r="28871" spans="9:9" x14ac:dyDescent="0.2">
      <c r="I28871" s="137" t="s">
        <v>74</v>
      </c>
    </row>
    <row r="28872" spans="9:9" x14ac:dyDescent="0.2">
      <c r="I28872" s="137" t="s">
        <v>74</v>
      </c>
    </row>
    <row r="28873" spans="9:9" x14ac:dyDescent="0.2">
      <c r="I28873" s="137" t="s">
        <v>74</v>
      </c>
    </row>
    <row r="28874" spans="9:9" x14ac:dyDescent="0.2">
      <c r="I28874" s="137" t="s">
        <v>74</v>
      </c>
    </row>
    <row r="28875" spans="9:9" x14ac:dyDescent="0.2">
      <c r="I28875" s="137" t="s">
        <v>74</v>
      </c>
    </row>
    <row r="28876" spans="9:9" x14ac:dyDescent="0.2">
      <c r="I28876" s="137" t="s">
        <v>74</v>
      </c>
    </row>
    <row r="28877" spans="9:9" x14ac:dyDescent="0.2">
      <c r="I28877" s="137" t="s">
        <v>74</v>
      </c>
    </row>
    <row r="28878" spans="9:9" x14ac:dyDescent="0.2">
      <c r="I28878" s="137" t="s">
        <v>74</v>
      </c>
    </row>
    <row r="28879" spans="9:9" x14ac:dyDescent="0.2">
      <c r="I28879" s="137" t="s">
        <v>74</v>
      </c>
    </row>
    <row r="28880" spans="9:9" x14ac:dyDescent="0.2">
      <c r="I28880" s="137" t="s">
        <v>74</v>
      </c>
    </row>
    <row r="28881" spans="9:9" x14ac:dyDescent="0.2">
      <c r="I28881" s="137" t="s">
        <v>74</v>
      </c>
    </row>
    <row r="28882" spans="9:9" x14ac:dyDescent="0.2">
      <c r="I28882" s="137" t="s">
        <v>74</v>
      </c>
    </row>
    <row r="28883" spans="9:9" x14ac:dyDescent="0.2">
      <c r="I28883" s="137" t="s">
        <v>74</v>
      </c>
    </row>
    <row r="28884" spans="9:9" x14ac:dyDescent="0.2">
      <c r="I28884" s="137" t="s">
        <v>74</v>
      </c>
    </row>
    <row r="28885" spans="9:9" x14ac:dyDescent="0.2">
      <c r="I28885" s="137" t="s">
        <v>74</v>
      </c>
    </row>
    <row r="28886" spans="9:9" x14ac:dyDescent="0.2">
      <c r="I28886" s="137" t="s">
        <v>74</v>
      </c>
    </row>
    <row r="28887" spans="9:9" x14ac:dyDescent="0.2">
      <c r="I28887" s="137" t="s">
        <v>74</v>
      </c>
    </row>
    <row r="28888" spans="9:9" x14ac:dyDescent="0.2">
      <c r="I28888" s="137" t="s">
        <v>74</v>
      </c>
    </row>
    <row r="28889" spans="9:9" x14ac:dyDescent="0.2">
      <c r="I28889" s="137" t="s">
        <v>74</v>
      </c>
    </row>
    <row r="28890" spans="9:9" x14ac:dyDescent="0.2">
      <c r="I28890" s="137" t="s">
        <v>74</v>
      </c>
    </row>
    <row r="28891" spans="9:9" x14ac:dyDescent="0.2">
      <c r="I28891" s="137" t="s">
        <v>74</v>
      </c>
    </row>
    <row r="28892" spans="9:9" x14ac:dyDescent="0.2">
      <c r="I28892" s="137" t="s">
        <v>74</v>
      </c>
    </row>
    <row r="28893" spans="9:9" x14ac:dyDescent="0.2">
      <c r="I28893" s="137" t="s">
        <v>74</v>
      </c>
    </row>
    <row r="28894" spans="9:9" x14ac:dyDescent="0.2">
      <c r="I28894" s="137" t="s">
        <v>74</v>
      </c>
    </row>
    <row r="28895" spans="9:9" x14ac:dyDescent="0.2">
      <c r="I28895" s="137" t="s">
        <v>74</v>
      </c>
    </row>
    <row r="28896" spans="9:9" x14ac:dyDescent="0.2">
      <c r="I28896" s="137" t="s">
        <v>74</v>
      </c>
    </row>
    <row r="28897" spans="9:9" x14ac:dyDescent="0.2">
      <c r="I28897" s="137" t="s">
        <v>74</v>
      </c>
    </row>
    <row r="28898" spans="9:9" x14ac:dyDescent="0.2">
      <c r="I28898" s="137" t="s">
        <v>74</v>
      </c>
    </row>
    <row r="28899" spans="9:9" x14ac:dyDescent="0.2">
      <c r="I28899" s="137" t="s">
        <v>74</v>
      </c>
    </row>
    <row r="28900" spans="9:9" x14ac:dyDescent="0.2">
      <c r="I28900" s="137" t="s">
        <v>74</v>
      </c>
    </row>
    <row r="28901" spans="9:9" x14ac:dyDescent="0.2">
      <c r="I28901" s="137" t="s">
        <v>74</v>
      </c>
    </row>
    <row r="28902" spans="9:9" x14ac:dyDescent="0.2">
      <c r="I28902" s="137" t="s">
        <v>74</v>
      </c>
    </row>
    <row r="28903" spans="9:9" x14ac:dyDescent="0.2">
      <c r="I28903" s="137" t="s">
        <v>74</v>
      </c>
    </row>
    <row r="28904" spans="9:9" x14ac:dyDescent="0.2">
      <c r="I28904" s="137" t="s">
        <v>74</v>
      </c>
    </row>
    <row r="28905" spans="9:9" x14ac:dyDescent="0.2">
      <c r="I28905" s="137" t="s">
        <v>74</v>
      </c>
    </row>
    <row r="28906" spans="9:9" x14ac:dyDescent="0.2">
      <c r="I28906" s="137" t="s">
        <v>74</v>
      </c>
    </row>
    <row r="28907" spans="9:9" x14ac:dyDescent="0.2">
      <c r="I28907" s="137" t="s">
        <v>74</v>
      </c>
    </row>
    <row r="28908" spans="9:9" x14ac:dyDescent="0.2">
      <c r="I28908" s="137" t="s">
        <v>74</v>
      </c>
    </row>
    <row r="28909" spans="9:9" x14ac:dyDescent="0.2">
      <c r="I28909" s="137" t="s">
        <v>74</v>
      </c>
    </row>
    <row r="28910" spans="9:9" x14ac:dyDescent="0.2">
      <c r="I28910" s="137" t="s">
        <v>74</v>
      </c>
    </row>
    <row r="28911" spans="9:9" x14ac:dyDescent="0.2">
      <c r="I28911" s="137" t="s">
        <v>74</v>
      </c>
    </row>
    <row r="28912" spans="9:9" x14ac:dyDescent="0.2">
      <c r="I28912" s="137" t="s">
        <v>74</v>
      </c>
    </row>
    <row r="28913" spans="9:9" x14ac:dyDescent="0.2">
      <c r="I28913" s="137" t="s">
        <v>74</v>
      </c>
    </row>
    <row r="28914" spans="9:9" x14ac:dyDescent="0.2">
      <c r="I28914" s="137" t="s">
        <v>74</v>
      </c>
    </row>
    <row r="28915" spans="9:9" x14ac:dyDescent="0.2">
      <c r="I28915" s="137" t="s">
        <v>74</v>
      </c>
    </row>
    <row r="28916" spans="9:9" x14ac:dyDescent="0.2">
      <c r="I28916" s="137" t="s">
        <v>74</v>
      </c>
    </row>
    <row r="28917" spans="9:9" x14ac:dyDescent="0.2">
      <c r="I28917" s="137" t="s">
        <v>74</v>
      </c>
    </row>
    <row r="28918" spans="9:9" x14ac:dyDescent="0.2">
      <c r="I28918" s="137" t="s">
        <v>74</v>
      </c>
    </row>
    <row r="28919" spans="9:9" x14ac:dyDescent="0.2">
      <c r="I28919" s="137" t="s">
        <v>74</v>
      </c>
    </row>
    <row r="28920" spans="9:9" x14ac:dyDescent="0.2">
      <c r="I28920" s="137" t="s">
        <v>74</v>
      </c>
    </row>
    <row r="28921" spans="9:9" x14ac:dyDescent="0.2">
      <c r="I28921" s="137" t="s">
        <v>74</v>
      </c>
    </row>
    <row r="28922" spans="9:9" x14ac:dyDescent="0.2">
      <c r="I28922" s="137" t="s">
        <v>74</v>
      </c>
    </row>
    <row r="28923" spans="9:9" x14ac:dyDescent="0.2">
      <c r="I28923" s="137" t="s">
        <v>74</v>
      </c>
    </row>
    <row r="28924" spans="9:9" x14ac:dyDescent="0.2">
      <c r="I28924" s="137" t="s">
        <v>74</v>
      </c>
    </row>
    <row r="28925" spans="9:9" x14ac:dyDescent="0.2">
      <c r="I28925" s="137" t="s">
        <v>74</v>
      </c>
    </row>
    <row r="28926" spans="9:9" x14ac:dyDescent="0.2">
      <c r="I28926" s="137" t="s">
        <v>74</v>
      </c>
    </row>
    <row r="28927" spans="9:9" x14ac:dyDescent="0.2">
      <c r="I28927" s="137" t="s">
        <v>74</v>
      </c>
    </row>
    <row r="28928" spans="9:9" x14ac:dyDescent="0.2">
      <c r="I28928" s="137" t="s">
        <v>74</v>
      </c>
    </row>
    <row r="28929" spans="9:9" x14ac:dyDescent="0.2">
      <c r="I28929" s="137" t="s">
        <v>74</v>
      </c>
    </row>
    <row r="28930" spans="9:9" x14ac:dyDescent="0.2">
      <c r="I28930" s="137" t="s">
        <v>74</v>
      </c>
    </row>
    <row r="28931" spans="9:9" x14ac:dyDescent="0.2">
      <c r="I28931" s="137" t="s">
        <v>74</v>
      </c>
    </row>
    <row r="28932" spans="9:9" x14ac:dyDescent="0.2">
      <c r="I28932" s="137" t="s">
        <v>74</v>
      </c>
    </row>
    <row r="28933" spans="9:9" x14ac:dyDescent="0.2">
      <c r="I28933" s="137" t="s">
        <v>74</v>
      </c>
    </row>
    <row r="28934" spans="9:9" x14ac:dyDescent="0.2">
      <c r="I28934" s="137" t="s">
        <v>74</v>
      </c>
    </row>
    <row r="28935" spans="9:9" x14ac:dyDescent="0.2">
      <c r="I28935" s="137" t="s">
        <v>74</v>
      </c>
    </row>
    <row r="28936" spans="9:9" x14ac:dyDescent="0.2">
      <c r="I28936" s="137" t="s">
        <v>74</v>
      </c>
    </row>
    <row r="28937" spans="9:9" x14ac:dyDescent="0.2">
      <c r="I28937" s="137" t="s">
        <v>74</v>
      </c>
    </row>
    <row r="28938" spans="9:9" x14ac:dyDescent="0.2">
      <c r="I28938" s="137" t="s">
        <v>74</v>
      </c>
    </row>
    <row r="28939" spans="9:9" x14ac:dyDescent="0.2">
      <c r="I28939" s="137" t="s">
        <v>74</v>
      </c>
    </row>
    <row r="28940" spans="9:9" x14ac:dyDescent="0.2">
      <c r="I28940" s="137" t="s">
        <v>74</v>
      </c>
    </row>
    <row r="28941" spans="9:9" x14ac:dyDescent="0.2">
      <c r="I28941" s="137" t="s">
        <v>74</v>
      </c>
    </row>
    <row r="28942" spans="9:9" x14ac:dyDescent="0.2">
      <c r="I28942" s="137" t="s">
        <v>74</v>
      </c>
    </row>
    <row r="28943" spans="9:9" x14ac:dyDescent="0.2">
      <c r="I28943" s="137" t="s">
        <v>74</v>
      </c>
    </row>
    <row r="28944" spans="9:9" x14ac:dyDescent="0.2">
      <c r="I28944" s="137" t="s">
        <v>74</v>
      </c>
    </row>
    <row r="28945" spans="9:9" x14ac:dyDescent="0.2">
      <c r="I28945" s="137" t="s">
        <v>74</v>
      </c>
    </row>
    <row r="28946" spans="9:9" x14ac:dyDescent="0.2">
      <c r="I28946" s="137" t="s">
        <v>74</v>
      </c>
    </row>
    <row r="28947" spans="9:9" x14ac:dyDescent="0.2">
      <c r="I28947" s="137" t="s">
        <v>74</v>
      </c>
    </row>
    <row r="28948" spans="9:9" x14ac:dyDescent="0.2">
      <c r="I28948" s="137" t="s">
        <v>74</v>
      </c>
    </row>
    <row r="28949" spans="9:9" x14ac:dyDescent="0.2">
      <c r="I28949" s="137" t="s">
        <v>74</v>
      </c>
    </row>
    <row r="28950" spans="9:9" x14ac:dyDescent="0.2">
      <c r="I28950" s="137" t="s">
        <v>74</v>
      </c>
    </row>
    <row r="28951" spans="9:9" x14ac:dyDescent="0.2">
      <c r="I28951" s="137" t="s">
        <v>74</v>
      </c>
    </row>
    <row r="28952" spans="9:9" x14ac:dyDescent="0.2">
      <c r="I28952" s="137" t="s">
        <v>74</v>
      </c>
    </row>
    <row r="28953" spans="9:9" x14ac:dyDescent="0.2">
      <c r="I28953" s="137" t="s">
        <v>74</v>
      </c>
    </row>
    <row r="28954" spans="9:9" x14ac:dyDescent="0.2">
      <c r="I28954" s="137" t="s">
        <v>74</v>
      </c>
    </row>
    <row r="28955" spans="9:9" x14ac:dyDescent="0.2">
      <c r="I28955" s="137" t="s">
        <v>74</v>
      </c>
    </row>
    <row r="28956" spans="9:9" x14ac:dyDescent="0.2">
      <c r="I28956" s="137" t="s">
        <v>74</v>
      </c>
    </row>
    <row r="28957" spans="9:9" x14ac:dyDescent="0.2">
      <c r="I28957" s="137" t="s">
        <v>74</v>
      </c>
    </row>
    <row r="28958" spans="9:9" x14ac:dyDescent="0.2">
      <c r="I28958" s="137" t="s">
        <v>74</v>
      </c>
    </row>
    <row r="28959" spans="9:9" x14ac:dyDescent="0.2">
      <c r="I28959" s="137" t="s">
        <v>74</v>
      </c>
    </row>
    <row r="28960" spans="9:9" x14ac:dyDescent="0.2">
      <c r="I28960" s="137" t="s">
        <v>74</v>
      </c>
    </row>
    <row r="28961" spans="9:9" x14ac:dyDescent="0.2">
      <c r="I28961" s="137" t="s">
        <v>74</v>
      </c>
    </row>
    <row r="28962" spans="9:9" x14ac:dyDescent="0.2">
      <c r="I28962" s="137" t="s">
        <v>74</v>
      </c>
    </row>
    <row r="28963" spans="9:9" x14ac:dyDescent="0.2">
      <c r="I28963" s="137" t="s">
        <v>74</v>
      </c>
    </row>
    <row r="28964" spans="9:9" x14ac:dyDescent="0.2">
      <c r="I28964" s="137" t="s">
        <v>74</v>
      </c>
    </row>
    <row r="28965" spans="9:9" x14ac:dyDescent="0.2">
      <c r="I28965" s="137" t="s">
        <v>74</v>
      </c>
    </row>
    <row r="28966" spans="9:9" x14ac:dyDescent="0.2">
      <c r="I28966" s="137" t="s">
        <v>74</v>
      </c>
    </row>
    <row r="28967" spans="9:9" x14ac:dyDescent="0.2">
      <c r="I28967" s="137" t="s">
        <v>74</v>
      </c>
    </row>
    <row r="28968" spans="9:9" x14ac:dyDescent="0.2">
      <c r="I28968" s="137" t="s">
        <v>74</v>
      </c>
    </row>
    <row r="28969" spans="9:9" x14ac:dyDescent="0.2">
      <c r="I28969" s="137" t="s">
        <v>74</v>
      </c>
    </row>
    <row r="28970" spans="9:9" x14ac:dyDescent="0.2">
      <c r="I28970" s="137" t="s">
        <v>74</v>
      </c>
    </row>
    <row r="28971" spans="9:9" x14ac:dyDescent="0.2">
      <c r="I28971" s="137" t="s">
        <v>74</v>
      </c>
    </row>
    <row r="28972" spans="9:9" x14ac:dyDescent="0.2">
      <c r="I28972" s="137" t="s">
        <v>74</v>
      </c>
    </row>
    <row r="28973" spans="9:9" x14ac:dyDescent="0.2">
      <c r="I28973" s="137" t="s">
        <v>74</v>
      </c>
    </row>
    <row r="28974" spans="9:9" x14ac:dyDescent="0.2">
      <c r="I28974" s="137" t="s">
        <v>74</v>
      </c>
    </row>
    <row r="28975" spans="9:9" x14ac:dyDescent="0.2">
      <c r="I28975" s="137" t="s">
        <v>74</v>
      </c>
    </row>
    <row r="28976" spans="9:9" x14ac:dyDescent="0.2">
      <c r="I28976" s="137" t="s">
        <v>74</v>
      </c>
    </row>
    <row r="28977" spans="9:9" x14ac:dyDescent="0.2">
      <c r="I28977" s="137" t="s">
        <v>74</v>
      </c>
    </row>
    <row r="28978" spans="9:9" x14ac:dyDescent="0.2">
      <c r="I28978" s="137" t="s">
        <v>74</v>
      </c>
    </row>
    <row r="28979" spans="9:9" x14ac:dyDescent="0.2">
      <c r="I28979" s="137" t="s">
        <v>74</v>
      </c>
    </row>
    <row r="28980" spans="9:9" x14ac:dyDescent="0.2">
      <c r="I28980" s="137" t="s">
        <v>74</v>
      </c>
    </row>
    <row r="28981" spans="9:9" x14ac:dyDescent="0.2">
      <c r="I28981" s="137" t="s">
        <v>74</v>
      </c>
    </row>
    <row r="28982" spans="9:9" x14ac:dyDescent="0.2">
      <c r="I28982" s="137" t="s">
        <v>74</v>
      </c>
    </row>
    <row r="28983" spans="9:9" x14ac:dyDescent="0.2">
      <c r="I28983" s="137" t="s">
        <v>74</v>
      </c>
    </row>
    <row r="28984" spans="9:9" x14ac:dyDescent="0.2">
      <c r="I28984" s="137" t="s">
        <v>74</v>
      </c>
    </row>
    <row r="28985" spans="9:9" x14ac:dyDescent="0.2">
      <c r="I28985" s="137" t="s">
        <v>74</v>
      </c>
    </row>
    <row r="28986" spans="9:9" x14ac:dyDescent="0.2">
      <c r="I28986" s="137" t="s">
        <v>74</v>
      </c>
    </row>
    <row r="28987" spans="9:9" x14ac:dyDescent="0.2">
      <c r="I28987" s="137" t="s">
        <v>74</v>
      </c>
    </row>
    <row r="28988" spans="9:9" x14ac:dyDescent="0.2">
      <c r="I28988" s="137" t="s">
        <v>74</v>
      </c>
    </row>
    <row r="28989" spans="9:9" x14ac:dyDescent="0.2">
      <c r="I28989" s="137" t="s">
        <v>74</v>
      </c>
    </row>
    <row r="28990" spans="9:9" x14ac:dyDescent="0.2">
      <c r="I28990" s="137" t="s">
        <v>74</v>
      </c>
    </row>
    <row r="28991" spans="9:9" x14ac:dyDescent="0.2">
      <c r="I28991" s="137" t="s">
        <v>74</v>
      </c>
    </row>
    <row r="28992" spans="9:9" x14ac:dyDescent="0.2">
      <c r="I28992" s="137" t="s">
        <v>74</v>
      </c>
    </row>
    <row r="28993" spans="9:9" x14ac:dyDescent="0.2">
      <c r="I28993" s="137" t="s">
        <v>74</v>
      </c>
    </row>
    <row r="28994" spans="9:9" x14ac:dyDescent="0.2">
      <c r="I28994" s="137" t="s">
        <v>74</v>
      </c>
    </row>
    <row r="28995" spans="9:9" x14ac:dyDescent="0.2">
      <c r="I28995" s="137" t="s">
        <v>74</v>
      </c>
    </row>
    <row r="28996" spans="9:9" x14ac:dyDescent="0.2">
      <c r="I28996" s="137" t="s">
        <v>74</v>
      </c>
    </row>
    <row r="28997" spans="9:9" x14ac:dyDescent="0.2">
      <c r="I28997" s="137" t="s">
        <v>74</v>
      </c>
    </row>
    <row r="28998" spans="9:9" x14ac:dyDescent="0.2">
      <c r="I28998" s="137" t="s">
        <v>74</v>
      </c>
    </row>
    <row r="28999" spans="9:9" x14ac:dyDescent="0.2">
      <c r="I28999" s="137" t="s">
        <v>74</v>
      </c>
    </row>
    <row r="29000" spans="9:9" x14ac:dyDescent="0.2">
      <c r="I29000" s="137" t="s">
        <v>74</v>
      </c>
    </row>
    <row r="29001" spans="9:9" x14ac:dyDescent="0.2">
      <c r="I29001" s="137" t="s">
        <v>74</v>
      </c>
    </row>
    <row r="29002" spans="9:9" x14ac:dyDescent="0.2">
      <c r="I29002" s="137" t="s">
        <v>74</v>
      </c>
    </row>
    <row r="29003" spans="9:9" x14ac:dyDescent="0.2">
      <c r="I29003" s="137" t="s">
        <v>74</v>
      </c>
    </row>
    <row r="29004" spans="9:9" x14ac:dyDescent="0.2">
      <c r="I29004" s="137" t="s">
        <v>74</v>
      </c>
    </row>
    <row r="29005" spans="9:9" x14ac:dyDescent="0.2">
      <c r="I29005" s="137" t="s">
        <v>74</v>
      </c>
    </row>
    <row r="29006" spans="9:9" x14ac:dyDescent="0.2">
      <c r="I29006" s="137" t="s">
        <v>74</v>
      </c>
    </row>
    <row r="29007" spans="9:9" x14ac:dyDescent="0.2">
      <c r="I29007" s="137" t="s">
        <v>74</v>
      </c>
    </row>
    <row r="29008" spans="9:9" x14ac:dyDescent="0.2">
      <c r="I29008" s="137" t="s">
        <v>74</v>
      </c>
    </row>
    <row r="29009" spans="9:9" x14ac:dyDescent="0.2">
      <c r="I29009" s="137" t="s">
        <v>74</v>
      </c>
    </row>
    <row r="29010" spans="9:9" x14ac:dyDescent="0.2">
      <c r="I29010" s="137" t="s">
        <v>74</v>
      </c>
    </row>
    <row r="29011" spans="9:9" x14ac:dyDescent="0.2">
      <c r="I29011" s="137" t="s">
        <v>74</v>
      </c>
    </row>
    <row r="29012" spans="9:9" x14ac:dyDescent="0.2">
      <c r="I29012" s="137" t="s">
        <v>74</v>
      </c>
    </row>
    <row r="29013" spans="9:9" x14ac:dyDescent="0.2">
      <c r="I29013" s="137" t="s">
        <v>74</v>
      </c>
    </row>
    <row r="29014" spans="9:9" x14ac:dyDescent="0.2">
      <c r="I29014" s="137" t="s">
        <v>74</v>
      </c>
    </row>
    <row r="29015" spans="9:9" x14ac:dyDescent="0.2">
      <c r="I29015" s="137" t="s">
        <v>74</v>
      </c>
    </row>
    <row r="29016" spans="9:9" x14ac:dyDescent="0.2">
      <c r="I29016" s="137" t="s">
        <v>74</v>
      </c>
    </row>
    <row r="29017" spans="9:9" x14ac:dyDescent="0.2">
      <c r="I29017" s="137" t="s">
        <v>74</v>
      </c>
    </row>
    <row r="29018" spans="9:9" x14ac:dyDescent="0.2">
      <c r="I29018" s="137" t="s">
        <v>74</v>
      </c>
    </row>
    <row r="29019" spans="9:9" x14ac:dyDescent="0.2">
      <c r="I29019" s="137" t="s">
        <v>74</v>
      </c>
    </row>
    <row r="29020" spans="9:9" x14ac:dyDescent="0.2">
      <c r="I29020" s="137" t="s">
        <v>74</v>
      </c>
    </row>
    <row r="29021" spans="9:9" x14ac:dyDescent="0.2">
      <c r="I29021" s="137" t="s">
        <v>74</v>
      </c>
    </row>
    <row r="29022" spans="9:9" x14ac:dyDescent="0.2">
      <c r="I29022" s="137" t="s">
        <v>74</v>
      </c>
    </row>
    <row r="29023" spans="9:9" x14ac:dyDescent="0.2">
      <c r="I29023" s="137" t="s">
        <v>74</v>
      </c>
    </row>
    <row r="29024" spans="9:9" x14ac:dyDescent="0.2">
      <c r="I29024" s="137" t="s">
        <v>74</v>
      </c>
    </row>
    <row r="29025" spans="9:9" x14ac:dyDescent="0.2">
      <c r="I29025" s="137" t="s">
        <v>74</v>
      </c>
    </row>
    <row r="29026" spans="9:9" x14ac:dyDescent="0.2">
      <c r="I29026" s="137" t="s">
        <v>74</v>
      </c>
    </row>
    <row r="29027" spans="9:9" x14ac:dyDescent="0.2">
      <c r="I29027" s="137" t="s">
        <v>74</v>
      </c>
    </row>
    <row r="29028" spans="9:9" x14ac:dyDescent="0.2">
      <c r="I29028" s="137" t="s">
        <v>74</v>
      </c>
    </row>
    <row r="29029" spans="9:9" x14ac:dyDescent="0.2">
      <c r="I29029" s="137" t="s">
        <v>74</v>
      </c>
    </row>
    <row r="29030" spans="9:9" x14ac:dyDescent="0.2">
      <c r="I29030" s="137" t="s">
        <v>74</v>
      </c>
    </row>
    <row r="29031" spans="9:9" x14ac:dyDescent="0.2">
      <c r="I29031" s="137" t="s">
        <v>74</v>
      </c>
    </row>
    <row r="29032" spans="9:9" x14ac:dyDescent="0.2">
      <c r="I29032" s="137" t="s">
        <v>74</v>
      </c>
    </row>
    <row r="29033" spans="9:9" x14ac:dyDescent="0.2">
      <c r="I29033" s="137" t="s">
        <v>74</v>
      </c>
    </row>
    <row r="29034" spans="9:9" x14ac:dyDescent="0.2">
      <c r="I29034" s="137" t="s">
        <v>74</v>
      </c>
    </row>
    <row r="29035" spans="9:9" x14ac:dyDescent="0.2">
      <c r="I29035" s="137" t="s">
        <v>74</v>
      </c>
    </row>
    <row r="29036" spans="9:9" x14ac:dyDescent="0.2">
      <c r="I29036" s="137" t="s">
        <v>74</v>
      </c>
    </row>
    <row r="29037" spans="9:9" x14ac:dyDescent="0.2">
      <c r="I29037" s="137" t="s">
        <v>74</v>
      </c>
    </row>
    <row r="29038" spans="9:9" x14ac:dyDescent="0.2">
      <c r="I29038" s="137" t="s">
        <v>74</v>
      </c>
    </row>
    <row r="29039" spans="9:9" x14ac:dyDescent="0.2">
      <c r="I29039" s="137" t="s">
        <v>74</v>
      </c>
    </row>
    <row r="29040" spans="9:9" x14ac:dyDescent="0.2">
      <c r="I29040" s="137" t="s">
        <v>74</v>
      </c>
    </row>
    <row r="29041" spans="9:9" x14ac:dyDescent="0.2">
      <c r="I29041" s="137" t="s">
        <v>74</v>
      </c>
    </row>
    <row r="29042" spans="9:9" x14ac:dyDescent="0.2">
      <c r="I29042" s="137" t="s">
        <v>74</v>
      </c>
    </row>
    <row r="29043" spans="9:9" x14ac:dyDescent="0.2">
      <c r="I29043" s="137" t="s">
        <v>74</v>
      </c>
    </row>
    <row r="29044" spans="9:9" x14ac:dyDescent="0.2">
      <c r="I29044" s="137" t="s">
        <v>74</v>
      </c>
    </row>
    <row r="29045" spans="9:9" x14ac:dyDescent="0.2">
      <c r="I29045" s="137" t="s">
        <v>74</v>
      </c>
    </row>
    <row r="29046" spans="9:9" x14ac:dyDescent="0.2">
      <c r="I29046" s="137" t="s">
        <v>74</v>
      </c>
    </row>
    <row r="29047" spans="9:9" x14ac:dyDescent="0.2">
      <c r="I29047" s="137" t="s">
        <v>74</v>
      </c>
    </row>
    <row r="29048" spans="9:9" x14ac:dyDescent="0.2">
      <c r="I29048" s="137" t="s">
        <v>74</v>
      </c>
    </row>
    <row r="29049" spans="9:9" x14ac:dyDescent="0.2">
      <c r="I29049" s="137" t="s">
        <v>74</v>
      </c>
    </row>
    <row r="29050" spans="9:9" x14ac:dyDescent="0.2">
      <c r="I29050" s="137" t="s">
        <v>74</v>
      </c>
    </row>
    <row r="29051" spans="9:9" x14ac:dyDescent="0.2">
      <c r="I29051" s="137" t="s">
        <v>74</v>
      </c>
    </row>
    <row r="29052" spans="9:9" x14ac:dyDescent="0.2">
      <c r="I29052" s="137" t="s">
        <v>74</v>
      </c>
    </row>
    <row r="29053" spans="9:9" x14ac:dyDescent="0.2">
      <c r="I29053" s="137" t="s">
        <v>74</v>
      </c>
    </row>
    <row r="29054" spans="9:9" x14ac:dyDescent="0.2">
      <c r="I29054" s="137" t="s">
        <v>74</v>
      </c>
    </row>
    <row r="29055" spans="9:9" x14ac:dyDescent="0.2">
      <c r="I29055" s="137" t="s">
        <v>74</v>
      </c>
    </row>
    <row r="29056" spans="9:9" x14ac:dyDescent="0.2">
      <c r="I29056" s="137" t="s">
        <v>74</v>
      </c>
    </row>
    <row r="29057" spans="9:9" x14ac:dyDescent="0.2">
      <c r="I29057" s="137" t="s">
        <v>74</v>
      </c>
    </row>
    <row r="29058" spans="9:9" x14ac:dyDescent="0.2">
      <c r="I29058" s="137" t="s">
        <v>74</v>
      </c>
    </row>
    <row r="29059" spans="9:9" x14ac:dyDescent="0.2">
      <c r="I29059" s="137" t="s">
        <v>74</v>
      </c>
    </row>
    <row r="29060" spans="9:9" x14ac:dyDescent="0.2">
      <c r="I29060" s="137" t="s">
        <v>74</v>
      </c>
    </row>
    <row r="29061" spans="9:9" x14ac:dyDescent="0.2">
      <c r="I29061" s="137" t="s">
        <v>74</v>
      </c>
    </row>
    <row r="29062" spans="9:9" x14ac:dyDescent="0.2">
      <c r="I29062" s="137" t="s">
        <v>74</v>
      </c>
    </row>
    <row r="29063" spans="9:9" x14ac:dyDescent="0.2">
      <c r="I29063" s="137" t="s">
        <v>74</v>
      </c>
    </row>
    <row r="29064" spans="9:9" x14ac:dyDescent="0.2">
      <c r="I29064" s="137" t="s">
        <v>74</v>
      </c>
    </row>
    <row r="29065" spans="9:9" x14ac:dyDescent="0.2">
      <c r="I29065" s="137" t="s">
        <v>74</v>
      </c>
    </row>
    <row r="29066" spans="9:9" x14ac:dyDescent="0.2">
      <c r="I29066" s="137" t="s">
        <v>74</v>
      </c>
    </row>
    <row r="29067" spans="9:9" x14ac:dyDescent="0.2">
      <c r="I29067" s="137" t="s">
        <v>74</v>
      </c>
    </row>
    <row r="29068" spans="9:9" x14ac:dyDescent="0.2">
      <c r="I29068" s="137" t="s">
        <v>74</v>
      </c>
    </row>
    <row r="29069" spans="9:9" x14ac:dyDescent="0.2">
      <c r="I29069" s="137" t="s">
        <v>74</v>
      </c>
    </row>
    <row r="29070" spans="9:9" x14ac:dyDescent="0.2">
      <c r="I29070" s="137" t="s">
        <v>74</v>
      </c>
    </row>
    <row r="29071" spans="9:9" x14ac:dyDescent="0.2">
      <c r="I29071" s="137" t="s">
        <v>74</v>
      </c>
    </row>
    <row r="29072" spans="9:9" x14ac:dyDescent="0.2">
      <c r="I29072" s="137" t="s">
        <v>74</v>
      </c>
    </row>
    <row r="29073" spans="9:9" x14ac:dyDescent="0.2">
      <c r="I29073" s="137" t="s">
        <v>74</v>
      </c>
    </row>
    <row r="29074" spans="9:9" x14ac:dyDescent="0.2">
      <c r="I29074" s="137" t="s">
        <v>74</v>
      </c>
    </row>
    <row r="29075" spans="9:9" x14ac:dyDescent="0.2">
      <c r="I29075" s="137" t="s">
        <v>74</v>
      </c>
    </row>
    <row r="29076" spans="9:9" x14ac:dyDescent="0.2">
      <c r="I29076" s="137" t="s">
        <v>74</v>
      </c>
    </row>
    <row r="29077" spans="9:9" x14ac:dyDescent="0.2">
      <c r="I29077" s="137" t="s">
        <v>74</v>
      </c>
    </row>
    <row r="29078" spans="9:9" x14ac:dyDescent="0.2">
      <c r="I29078" s="137" t="s">
        <v>74</v>
      </c>
    </row>
    <row r="29079" spans="9:9" x14ac:dyDescent="0.2">
      <c r="I29079" s="137" t="s">
        <v>74</v>
      </c>
    </row>
    <row r="29080" spans="9:9" x14ac:dyDescent="0.2">
      <c r="I29080" s="137" t="s">
        <v>74</v>
      </c>
    </row>
    <row r="29081" spans="9:9" x14ac:dyDescent="0.2">
      <c r="I29081" s="137" t="s">
        <v>74</v>
      </c>
    </row>
    <row r="29082" spans="9:9" x14ac:dyDescent="0.2">
      <c r="I29082" s="137" t="s">
        <v>74</v>
      </c>
    </row>
    <row r="29083" spans="9:9" x14ac:dyDescent="0.2">
      <c r="I29083" s="137" t="s">
        <v>74</v>
      </c>
    </row>
    <row r="29084" spans="9:9" x14ac:dyDescent="0.2">
      <c r="I29084" s="137" t="s">
        <v>74</v>
      </c>
    </row>
    <row r="29085" spans="9:9" x14ac:dyDescent="0.2">
      <c r="I29085" s="137" t="s">
        <v>74</v>
      </c>
    </row>
    <row r="29086" spans="9:9" x14ac:dyDescent="0.2">
      <c r="I29086" s="137" t="s">
        <v>74</v>
      </c>
    </row>
    <row r="29087" spans="9:9" x14ac:dyDescent="0.2">
      <c r="I29087" s="137" t="s">
        <v>74</v>
      </c>
    </row>
    <row r="29088" spans="9:9" x14ac:dyDescent="0.2">
      <c r="I29088" s="137" t="s">
        <v>74</v>
      </c>
    </row>
    <row r="29089" spans="9:9" x14ac:dyDescent="0.2">
      <c r="I29089" s="137" t="s">
        <v>74</v>
      </c>
    </row>
    <row r="29090" spans="9:9" x14ac:dyDescent="0.2">
      <c r="I29090" s="137" t="s">
        <v>74</v>
      </c>
    </row>
    <row r="29091" spans="9:9" x14ac:dyDescent="0.2">
      <c r="I29091" s="137" t="s">
        <v>74</v>
      </c>
    </row>
    <row r="29092" spans="9:9" x14ac:dyDescent="0.2">
      <c r="I29092" s="137" t="s">
        <v>74</v>
      </c>
    </row>
    <row r="29093" spans="9:9" x14ac:dyDescent="0.2">
      <c r="I29093" s="137" t="s">
        <v>74</v>
      </c>
    </row>
    <row r="29094" spans="9:9" x14ac:dyDescent="0.2">
      <c r="I29094" s="137" t="s">
        <v>74</v>
      </c>
    </row>
    <row r="29095" spans="9:9" x14ac:dyDescent="0.2">
      <c r="I29095" s="137" t="s">
        <v>74</v>
      </c>
    </row>
    <row r="29096" spans="9:9" x14ac:dyDescent="0.2">
      <c r="I29096" s="137" t="s">
        <v>74</v>
      </c>
    </row>
    <row r="29097" spans="9:9" x14ac:dyDescent="0.2">
      <c r="I29097" s="137" t="s">
        <v>74</v>
      </c>
    </row>
    <row r="29098" spans="9:9" x14ac:dyDescent="0.2">
      <c r="I29098" s="137" t="s">
        <v>74</v>
      </c>
    </row>
    <row r="29099" spans="9:9" x14ac:dyDescent="0.2">
      <c r="I29099" s="137" t="s">
        <v>74</v>
      </c>
    </row>
    <row r="29100" spans="9:9" x14ac:dyDescent="0.2">
      <c r="I29100" s="137" t="s">
        <v>74</v>
      </c>
    </row>
    <row r="29101" spans="9:9" x14ac:dyDescent="0.2">
      <c r="I29101" s="137" t="s">
        <v>74</v>
      </c>
    </row>
    <row r="29102" spans="9:9" x14ac:dyDescent="0.2">
      <c r="I29102" s="137" t="s">
        <v>74</v>
      </c>
    </row>
    <row r="29103" spans="9:9" x14ac:dyDescent="0.2">
      <c r="I29103" s="137" t="s">
        <v>74</v>
      </c>
    </row>
    <row r="29104" spans="9:9" x14ac:dyDescent="0.2">
      <c r="I29104" s="137" t="s">
        <v>74</v>
      </c>
    </row>
    <row r="29105" spans="9:9" x14ac:dyDescent="0.2">
      <c r="I29105" s="137" t="s">
        <v>74</v>
      </c>
    </row>
    <row r="29106" spans="9:9" x14ac:dyDescent="0.2">
      <c r="I29106" s="137" t="s">
        <v>74</v>
      </c>
    </row>
    <row r="29107" spans="9:9" x14ac:dyDescent="0.2">
      <c r="I29107" s="137" t="s">
        <v>74</v>
      </c>
    </row>
    <row r="29108" spans="9:9" x14ac:dyDescent="0.2">
      <c r="I29108" s="137" t="s">
        <v>74</v>
      </c>
    </row>
    <row r="29109" spans="9:9" x14ac:dyDescent="0.2">
      <c r="I29109" s="137" t="s">
        <v>74</v>
      </c>
    </row>
    <row r="29110" spans="9:9" x14ac:dyDescent="0.2">
      <c r="I29110" s="137" t="s">
        <v>74</v>
      </c>
    </row>
    <row r="29111" spans="9:9" x14ac:dyDescent="0.2">
      <c r="I29111" s="137" t="s">
        <v>74</v>
      </c>
    </row>
    <row r="29112" spans="9:9" x14ac:dyDescent="0.2">
      <c r="I29112" s="137" t="s">
        <v>74</v>
      </c>
    </row>
    <row r="29113" spans="9:9" x14ac:dyDescent="0.2">
      <c r="I29113" s="137" t="s">
        <v>74</v>
      </c>
    </row>
    <row r="29114" spans="9:9" x14ac:dyDescent="0.2">
      <c r="I29114" s="137" t="s">
        <v>74</v>
      </c>
    </row>
    <row r="29115" spans="9:9" x14ac:dyDescent="0.2">
      <c r="I29115" s="137" t="s">
        <v>74</v>
      </c>
    </row>
    <row r="29116" spans="9:9" x14ac:dyDescent="0.2">
      <c r="I29116" s="137" t="s">
        <v>74</v>
      </c>
    </row>
    <row r="29117" spans="9:9" x14ac:dyDescent="0.2">
      <c r="I29117" s="137" t="s">
        <v>74</v>
      </c>
    </row>
    <row r="29118" spans="9:9" x14ac:dyDescent="0.2">
      <c r="I29118" s="137" t="s">
        <v>74</v>
      </c>
    </row>
    <row r="29119" spans="9:9" x14ac:dyDescent="0.2">
      <c r="I29119" s="137" t="s">
        <v>74</v>
      </c>
    </row>
    <row r="29120" spans="9:9" x14ac:dyDescent="0.2">
      <c r="I29120" s="137" t="s">
        <v>74</v>
      </c>
    </row>
    <row r="29121" spans="9:9" x14ac:dyDescent="0.2">
      <c r="I29121" s="137" t="s">
        <v>74</v>
      </c>
    </row>
    <row r="29122" spans="9:9" x14ac:dyDescent="0.2">
      <c r="I29122" s="137" t="s">
        <v>74</v>
      </c>
    </row>
    <row r="29123" spans="9:9" x14ac:dyDescent="0.2">
      <c r="I29123" s="137" t="s">
        <v>74</v>
      </c>
    </row>
    <row r="29124" spans="9:9" x14ac:dyDescent="0.2">
      <c r="I29124" s="137" t="s">
        <v>74</v>
      </c>
    </row>
    <row r="29125" spans="9:9" x14ac:dyDescent="0.2">
      <c r="I29125" s="137" t="s">
        <v>74</v>
      </c>
    </row>
    <row r="29126" spans="9:9" x14ac:dyDescent="0.2">
      <c r="I29126" s="137" t="s">
        <v>74</v>
      </c>
    </row>
    <row r="29127" spans="9:9" x14ac:dyDescent="0.2">
      <c r="I29127" s="137" t="s">
        <v>74</v>
      </c>
    </row>
    <row r="29128" spans="9:9" x14ac:dyDescent="0.2">
      <c r="I29128" s="137" t="s">
        <v>74</v>
      </c>
    </row>
    <row r="29129" spans="9:9" x14ac:dyDescent="0.2">
      <c r="I29129" s="137" t="s">
        <v>74</v>
      </c>
    </row>
    <row r="29130" spans="9:9" x14ac:dyDescent="0.2">
      <c r="I29130" s="137" t="s">
        <v>74</v>
      </c>
    </row>
    <row r="29131" spans="9:9" x14ac:dyDescent="0.2">
      <c r="I29131" s="137" t="s">
        <v>74</v>
      </c>
    </row>
    <row r="29132" spans="9:9" x14ac:dyDescent="0.2">
      <c r="I29132" s="137" t="s">
        <v>74</v>
      </c>
    </row>
    <row r="29133" spans="9:9" x14ac:dyDescent="0.2">
      <c r="I29133" s="137" t="s">
        <v>74</v>
      </c>
    </row>
    <row r="29134" spans="9:9" x14ac:dyDescent="0.2">
      <c r="I29134" s="137" t="s">
        <v>74</v>
      </c>
    </row>
    <row r="29135" spans="9:9" x14ac:dyDescent="0.2">
      <c r="I29135" s="137" t="s">
        <v>74</v>
      </c>
    </row>
    <row r="29136" spans="9:9" x14ac:dyDescent="0.2">
      <c r="I29136" s="137" t="s">
        <v>74</v>
      </c>
    </row>
    <row r="29137" spans="9:9" x14ac:dyDescent="0.2">
      <c r="I29137" s="137" t="s">
        <v>74</v>
      </c>
    </row>
    <row r="29138" spans="9:9" x14ac:dyDescent="0.2">
      <c r="I29138" s="137" t="s">
        <v>74</v>
      </c>
    </row>
    <row r="29139" spans="9:9" x14ac:dyDescent="0.2">
      <c r="I29139" s="137" t="s">
        <v>74</v>
      </c>
    </row>
    <row r="29140" spans="9:9" x14ac:dyDescent="0.2">
      <c r="I29140" s="137" t="s">
        <v>74</v>
      </c>
    </row>
    <row r="29141" spans="9:9" x14ac:dyDescent="0.2">
      <c r="I29141" s="137" t="s">
        <v>74</v>
      </c>
    </row>
    <row r="29142" spans="9:9" x14ac:dyDescent="0.2">
      <c r="I29142" s="137" t="s">
        <v>74</v>
      </c>
    </row>
    <row r="29143" spans="9:9" x14ac:dyDescent="0.2">
      <c r="I29143" s="137" t="s">
        <v>74</v>
      </c>
    </row>
    <row r="29144" spans="9:9" x14ac:dyDescent="0.2">
      <c r="I29144" s="137" t="s">
        <v>74</v>
      </c>
    </row>
    <row r="29145" spans="9:9" x14ac:dyDescent="0.2">
      <c r="I29145" s="137" t="s">
        <v>74</v>
      </c>
    </row>
    <row r="29146" spans="9:9" x14ac:dyDescent="0.2">
      <c r="I29146" s="137" t="s">
        <v>74</v>
      </c>
    </row>
    <row r="29147" spans="9:9" x14ac:dyDescent="0.2">
      <c r="I29147" s="137" t="s">
        <v>74</v>
      </c>
    </row>
    <row r="29148" spans="9:9" x14ac:dyDescent="0.2">
      <c r="I29148" s="137" t="s">
        <v>74</v>
      </c>
    </row>
    <row r="29149" spans="9:9" x14ac:dyDescent="0.2">
      <c r="I29149" s="137" t="s">
        <v>74</v>
      </c>
    </row>
    <row r="29150" spans="9:9" x14ac:dyDescent="0.2">
      <c r="I29150" s="137" t="s">
        <v>74</v>
      </c>
    </row>
    <row r="29151" spans="9:9" x14ac:dyDescent="0.2">
      <c r="I29151" s="137" t="s">
        <v>74</v>
      </c>
    </row>
    <row r="29152" spans="9:9" x14ac:dyDescent="0.2">
      <c r="I29152" s="137" t="s">
        <v>74</v>
      </c>
    </row>
    <row r="29153" spans="9:9" x14ac:dyDescent="0.2">
      <c r="I29153" s="137" t="s">
        <v>74</v>
      </c>
    </row>
    <row r="29154" spans="9:9" x14ac:dyDescent="0.2">
      <c r="I29154" s="137" t="s">
        <v>74</v>
      </c>
    </row>
    <row r="29155" spans="9:9" x14ac:dyDescent="0.2">
      <c r="I29155" s="137" t="s">
        <v>74</v>
      </c>
    </row>
    <row r="29156" spans="9:9" x14ac:dyDescent="0.2">
      <c r="I29156" s="137" t="s">
        <v>74</v>
      </c>
    </row>
    <row r="29157" spans="9:9" x14ac:dyDescent="0.2">
      <c r="I29157" s="137" t="s">
        <v>74</v>
      </c>
    </row>
    <row r="29158" spans="9:9" x14ac:dyDescent="0.2">
      <c r="I29158" s="137" t="s">
        <v>74</v>
      </c>
    </row>
    <row r="29159" spans="9:9" x14ac:dyDescent="0.2">
      <c r="I29159" s="137" t="s">
        <v>74</v>
      </c>
    </row>
    <row r="29160" spans="9:9" x14ac:dyDescent="0.2">
      <c r="I29160" s="137" t="s">
        <v>74</v>
      </c>
    </row>
    <row r="29161" spans="9:9" x14ac:dyDescent="0.2">
      <c r="I29161" s="137" t="s">
        <v>74</v>
      </c>
    </row>
    <row r="29162" spans="9:9" x14ac:dyDescent="0.2">
      <c r="I29162" s="137" t="s">
        <v>74</v>
      </c>
    </row>
    <row r="29163" spans="9:9" x14ac:dyDescent="0.2">
      <c r="I29163" s="137" t="s">
        <v>74</v>
      </c>
    </row>
    <row r="29164" spans="9:9" x14ac:dyDescent="0.2">
      <c r="I29164" s="137" t="s">
        <v>74</v>
      </c>
    </row>
    <row r="29165" spans="9:9" x14ac:dyDescent="0.2">
      <c r="I29165" s="137" t="s">
        <v>74</v>
      </c>
    </row>
    <row r="29166" spans="9:9" x14ac:dyDescent="0.2">
      <c r="I29166" s="137" t="s">
        <v>74</v>
      </c>
    </row>
    <row r="29167" spans="9:9" x14ac:dyDescent="0.2">
      <c r="I29167" s="137" t="s">
        <v>74</v>
      </c>
    </row>
    <row r="29168" spans="9:9" x14ac:dyDescent="0.2">
      <c r="I29168" s="137" t="s">
        <v>74</v>
      </c>
    </row>
    <row r="29169" spans="9:9" x14ac:dyDescent="0.2">
      <c r="I29169" s="137" t="s">
        <v>74</v>
      </c>
    </row>
    <row r="29170" spans="9:9" x14ac:dyDescent="0.2">
      <c r="I29170" s="137" t="s">
        <v>74</v>
      </c>
    </row>
    <row r="29171" spans="9:9" x14ac:dyDescent="0.2">
      <c r="I29171" s="137" t="s">
        <v>74</v>
      </c>
    </row>
    <row r="29172" spans="9:9" x14ac:dyDescent="0.2">
      <c r="I29172" s="137" t="s">
        <v>74</v>
      </c>
    </row>
    <row r="29173" spans="9:9" x14ac:dyDescent="0.2">
      <c r="I29173" s="137" t="s">
        <v>74</v>
      </c>
    </row>
    <row r="29174" spans="9:9" x14ac:dyDescent="0.2">
      <c r="I29174" s="137" t="s">
        <v>74</v>
      </c>
    </row>
    <row r="29175" spans="9:9" x14ac:dyDescent="0.2">
      <c r="I29175" s="137" t="s">
        <v>74</v>
      </c>
    </row>
    <row r="29176" spans="9:9" x14ac:dyDescent="0.2">
      <c r="I29176" s="137" t="s">
        <v>74</v>
      </c>
    </row>
    <row r="29177" spans="9:9" x14ac:dyDescent="0.2">
      <c r="I29177" s="137" t="s">
        <v>74</v>
      </c>
    </row>
    <row r="29178" spans="9:9" x14ac:dyDescent="0.2">
      <c r="I29178" s="137" t="s">
        <v>74</v>
      </c>
    </row>
    <row r="29179" spans="9:9" x14ac:dyDescent="0.2">
      <c r="I29179" s="137" t="s">
        <v>74</v>
      </c>
    </row>
    <row r="29180" spans="9:9" x14ac:dyDescent="0.2">
      <c r="I29180" s="137" t="s">
        <v>74</v>
      </c>
    </row>
    <row r="29181" spans="9:9" x14ac:dyDescent="0.2">
      <c r="I29181" s="137" t="s">
        <v>74</v>
      </c>
    </row>
    <row r="29182" spans="9:9" x14ac:dyDescent="0.2">
      <c r="I29182" s="137" t="s">
        <v>74</v>
      </c>
    </row>
    <row r="29183" spans="9:9" x14ac:dyDescent="0.2">
      <c r="I29183" s="137" t="s">
        <v>74</v>
      </c>
    </row>
    <row r="29184" spans="9:9" x14ac:dyDescent="0.2">
      <c r="I29184" s="137" t="s">
        <v>74</v>
      </c>
    </row>
    <row r="29185" spans="9:9" x14ac:dyDescent="0.2">
      <c r="I29185" s="137" t="s">
        <v>74</v>
      </c>
    </row>
    <row r="29186" spans="9:9" x14ac:dyDescent="0.2">
      <c r="I29186" s="137" t="s">
        <v>74</v>
      </c>
    </row>
    <row r="29187" spans="9:9" x14ac:dyDescent="0.2">
      <c r="I29187" s="137" t="s">
        <v>74</v>
      </c>
    </row>
    <row r="29188" spans="9:9" x14ac:dyDescent="0.2">
      <c r="I29188" s="137" t="s">
        <v>74</v>
      </c>
    </row>
    <row r="29189" spans="9:9" x14ac:dyDescent="0.2">
      <c r="I29189" s="137" t="s">
        <v>74</v>
      </c>
    </row>
    <row r="29190" spans="9:9" x14ac:dyDescent="0.2">
      <c r="I29190" s="137" t="s">
        <v>74</v>
      </c>
    </row>
    <row r="29191" spans="9:9" x14ac:dyDescent="0.2">
      <c r="I29191" s="137" t="s">
        <v>74</v>
      </c>
    </row>
    <row r="29192" spans="9:9" x14ac:dyDescent="0.2">
      <c r="I29192" s="137" t="s">
        <v>74</v>
      </c>
    </row>
    <row r="29193" spans="9:9" x14ac:dyDescent="0.2">
      <c r="I29193" s="137" t="s">
        <v>74</v>
      </c>
    </row>
    <row r="29194" spans="9:9" x14ac:dyDescent="0.2">
      <c r="I29194" s="137" t="s">
        <v>74</v>
      </c>
    </row>
    <row r="29195" spans="9:9" x14ac:dyDescent="0.2">
      <c r="I29195" s="137" t="s">
        <v>74</v>
      </c>
    </row>
    <row r="29196" spans="9:9" x14ac:dyDescent="0.2">
      <c r="I29196" s="137" t="s">
        <v>74</v>
      </c>
    </row>
    <row r="29197" spans="9:9" x14ac:dyDescent="0.2">
      <c r="I29197" s="137" t="s">
        <v>74</v>
      </c>
    </row>
    <row r="29198" spans="9:9" x14ac:dyDescent="0.2">
      <c r="I29198" s="137" t="s">
        <v>74</v>
      </c>
    </row>
    <row r="29199" spans="9:9" x14ac:dyDescent="0.2">
      <c r="I29199" s="137" t="s">
        <v>74</v>
      </c>
    </row>
    <row r="29200" spans="9:9" x14ac:dyDescent="0.2">
      <c r="I29200" s="137" t="s">
        <v>74</v>
      </c>
    </row>
    <row r="29201" spans="9:9" x14ac:dyDescent="0.2">
      <c r="I29201" s="137" t="s">
        <v>74</v>
      </c>
    </row>
    <row r="29202" spans="9:9" x14ac:dyDescent="0.2">
      <c r="I29202" s="137" t="s">
        <v>74</v>
      </c>
    </row>
    <row r="29203" spans="9:9" x14ac:dyDescent="0.2">
      <c r="I29203" s="137" t="s">
        <v>74</v>
      </c>
    </row>
    <row r="29204" spans="9:9" x14ac:dyDescent="0.2">
      <c r="I29204" s="137" t="s">
        <v>74</v>
      </c>
    </row>
    <row r="29205" spans="9:9" x14ac:dyDescent="0.2">
      <c r="I29205" s="137" t="s">
        <v>74</v>
      </c>
    </row>
    <row r="29206" spans="9:9" x14ac:dyDescent="0.2">
      <c r="I29206" s="137" t="s">
        <v>74</v>
      </c>
    </row>
    <row r="29207" spans="9:9" x14ac:dyDescent="0.2">
      <c r="I29207" s="137" t="s">
        <v>74</v>
      </c>
    </row>
    <row r="29208" spans="9:9" x14ac:dyDescent="0.2">
      <c r="I29208" s="137" t="s">
        <v>74</v>
      </c>
    </row>
    <row r="29209" spans="9:9" x14ac:dyDescent="0.2">
      <c r="I29209" s="137" t="s">
        <v>74</v>
      </c>
    </row>
    <row r="29210" spans="9:9" x14ac:dyDescent="0.2">
      <c r="I29210" s="137" t="s">
        <v>74</v>
      </c>
    </row>
    <row r="29211" spans="9:9" x14ac:dyDescent="0.2">
      <c r="I29211" s="137" t="s">
        <v>74</v>
      </c>
    </row>
    <row r="29212" spans="9:9" x14ac:dyDescent="0.2">
      <c r="I29212" s="137" t="s">
        <v>74</v>
      </c>
    </row>
    <row r="29213" spans="9:9" x14ac:dyDescent="0.2">
      <c r="I29213" s="137" t="s">
        <v>74</v>
      </c>
    </row>
    <row r="29214" spans="9:9" x14ac:dyDescent="0.2">
      <c r="I29214" s="137" t="s">
        <v>74</v>
      </c>
    </row>
    <row r="29215" spans="9:9" x14ac:dyDescent="0.2">
      <c r="I29215" s="137" t="s">
        <v>74</v>
      </c>
    </row>
    <row r="29216" spans="9:9" x14ac:dyDescent="0.2">
      <c r="I29216" s="137" t="s">
        <v>74</v>
      </c>
    </row>
    <row r="29217" spans="9:9" x14ac:dyDescent="0.2">
      <c r="I29217" s="137" t="s">
        <v>74</v>
      </c>
    </row>
    <row r="29218" spans="9:9" x14ac:dyDescent="0.2">
      <c r="I29218" s="137" t="s">
        <v>74</v>
      </c>
    </row>
    <row r="29219" spans="9:9" x14ac:dyDescent="0.2">
      <c r="I29219" s="137" t="s">
        <v>74</v>
      </c>
    </row>
    <row r="29220" spans="9:9" x14ac:dyDescent="0.2">
      <c r="I29220" s="137" t="s">
        <v>74</v>
      </c>
    </row>
    <row r="29221" spans="9:9" x14ac:dyDescent="0.2">
      <c r="I29221" s="137" t="s">
        <v>74</v>
      </c>
    </row>
    <row r="29222" spans="9:9" x14ac:dyDescent="0.2">
      <c r="I29222" s="137" t="s">
        <v>74</v>
      </c>
    </row>
    <row r="29223" spans="9:9" x14ac:dyDescent="0.2">
      <c r="I29223" s="137" t="s">
        <v>74</v>
      </c>
    </row>
    <row r="29224" spans="9:9" x14ac:dyDescent="0.2">
      <c r="I29224" s="137" t="s">
        <v>74</v>
      </c>
    </row>
    <row r="29225" spans="9:9" x14ac:dyDescent="0.2">
      <c r="I29225" s="137" t="s">
        <v>74</v>
      </c>
    </row>
    <row r="29226" spans="9:9" x14ac:dyDescent="0.2">
      <c r="I29226" s="137" t="s">
        <v>74</v>
      </c>
    </row>
    <row r="29227" spans="9:9" x14ac:dyDescent="0.2">
      <c r="I29227" s="137" t="s">
        <v>74</v>
      </c>
    </row>
    <row r="29228" spans="9:9" x14ac:dyDescent="0.2">
      <c r="I29228" s="137" t="s">
        <v>74</v>
      </c>
    </row>
    <row r="29229" spans="9:9" x14ac:dyDescent="0.2">
      <c r="I29229" s="137" t="s">
        <v>74</v>
      </c>
    </row>
    <row r="29230" spans="9:9" x14ac:dyDescent="0.2">
      <c r="I29230" s="137" t="s">
        <v>74</v>
      </c>
    </row>
    <row r="29231" spans="9:9" x14ac:dyDescent="0.2">
      <c r="I29231" s="137" t="s">
        <v>74</v>
      </c>
    </row>
    <row r="29232" spans="9:9" x14ac:dyDescent="0.2">
      <c r="I29232" s="137" t="s">
        <v>74</v>
      </c>
    </row>
    <row r="29233" spans="9:9" x14ac:dyDescent="0.2">
      <c r="I29233" s="137" t="s">
        <v>74</v>
      </c>
    </row>
    <row r="29234" spans="9:9" x14ac:dyDescent="0.2">
      <c r="I29234" s="137" t="s">
        <v>74</v>
      </c>
    </row>
    <row r="29235" spans="9:9" x14ac:dyDescent="0.2">
      <c r="I29235" s="137" t="s">
        <v>74</v>
      </c>
    </row>
    <row r="29236" spans="9:9" x14ac:dyDescent="0.2">
      <c r="I29236" s="137" t="s">
        <v>74</v>
      </c>
    </row>
    <row r="29237" spans="9:9" x14ac:dyDescent="0.2">
      <c r="I29237" s="137" t="s">
        <v>74</v>
      </c>
    </row>
    <row r="29238" spans="9:9" x14ac:dyDescent="0.2">
      <c r="I29238" s="137" t="s">
        <v>74</v>
      </c>
    </row>
    <row r="29239" spans="9:9" x14ac:dyDescent="0.2">
      <c r="I29239" s="137" t="s">
        <v>74</v>
      </c>
    </row>
    <row r="29240" spans="9:9" x14ac:dyDescent="0.2">
      <c r="I29240" s="137" t="s">
        <v>74</v>
      </c>
    </row>
    <row r="29241" spans="9:9" x14ac:dyDescent="0.2">
      <c r="I29241" s="137" t="s">
        <v>74</v>
      </c>
    </row>
    <row r="29242" spans="9:9" x14ac:dyDescent="0.2">
      <c r="I29242" s="137" t="s">
        <v>74</v>
      </c>
    </row>
    <row r="29243" spans="9:9" x14ac:dyDescent="0.2">
      <c r="I29243" s="137" t="s">
        <v>74</v>
      </c>
    </row>
    <row r="29244" spans="9:9" x14ac:dyDescent="0.2">
      <c r="I29244" s="137" t="s">
        <v>74</v>
      </c>
    </row>
    <row r="29245" spans="9:9" x14ac:dyDescent="0.2">
      <c r="I29245" s="137" t="s">
        <v>74</v>
      </c>
    </row>
    <row r="29246" spans="9:9" x14ac:dyDescent="0.2">
      <c r="I29246" s="137" t="s">
        <v>74</v>
      </c>
    </row>
    <row r="29247" spans="9:9" x14ac:dyDescent="0.2">
      <c r="I29247" s="137" t="s">
        <v>74</v>
      </c>
    </row>
    <row r="29248" spans="9:9" x14ac:dyDescent="0.2">
      <c r="I29248" s="137" t="s">
        <v>74</v>
      </c>
    </row>
    <row r="29249" spans="9:9" x14ac:dyDescent="0.2">
      <c r="I29249" s="137" t="s">
        <v>74</v>
      </c>
    </row>
    <row r="29250" spans="9:9" x14ac:dyDescent="0.2">
      <c r="I29250" s="137" t="s">
        <v>74</v>
      </c>
    </row>
    <row r="29251" spans="9:9" x14ac:dyDescent="0.2">
      <c r="I29251" s="137" t="s">
        <v>74</v>
      </c>
    </row>
    <row r="29252" spans="9:9" x14ac:dyDescent="0.2">
      <c r="I29252" s="137" t="s">
        <v>74</v>
      </c>
    </row>
    <row r="29253" spans="9:9" x14ac:dyDescent="0.2">
      <c r="I29253" s="137" t="s">
        <v>74</v>
      </c>
    </row>
    <row r="29254" spans="9:9" x14ac:dyDescent="0.2">
      <c r="I29254" s="137" t="s">
        <v>74</v>
      </c>
    </row>
    <row r="29255" spans="9:9" x14ac:dyDescent="0.2">
      <c r="I29255" s="137" t="s">
        <v>74</v>
      </c>
    </row>
    <row r="29256" spans="9:9" x14ac:dyDescent="0.2">
      <c r="I29256" s="137" t="s">
        <v>74</v>
      </c>
    </row>
    <row r="29257" spans="9:9" x14ac:dyDescent="0.2">
      <c r="I29257" s="137" t="s">
        <v>74</v>
      </c>
    </row>
    <row r="29258" spans="9:9" x14ac:dyDescent="0.2">
      <c r="I29258" s="137" t="s">
        <v>74</v>
      </c>
    </row>
    <row r="29259" spans="9:9" x14ac:dyDescent="0.2">
      <c r="I29259" s="137" t="s">
        <v>74</v>
      </c>
    </row>
    <row r="29260" spans="9:9" x14ac:dyDescent="0.2">
      <c r="I29260" s="137" t="s">
        <v>74</v>
      </c>
    </row>
    <row r="29261" spans="9:9" x14ac:dyDescent="0.2">
      <c r="I29261" s="137" t="s">
        <v>74</v>
      </c>
    </row>
    <row r="29262" spans="9:9" x14ac:dyDescent="0.2">
      <c r="I29262" s="137" t="s">
        <v>74</v>
      </c>
    </row>
    <row r="29263" spans="9:9" x14ac:dyDescent="0.2">
      <c r="I29263" s="137" t="s">
        <v>74</v>
      </c>
    </row>
    <row r="29264" spans="9:9" x14ac:dyDescent="0.2">
      <c r="I29264" s="137" t="s">
        <v>74</v>
      </c>
    </row>
    <row r="29265" spans="9:9" x14ac:dyDescent="0.2">
      <c r="I29265" s="137" t="s">
        <v>74</v>
      </c>
    </row>
    <row r="29266" spans="9:9" x14ac:dyDescent="0.2">
      <c r="I29266" s="137" t="s">
        <v>74</v>
      </c>
    </row>
    <row r="29267" spans="9:9" x14ac:dyDescent="0.2">
      <c r="I29267" s="137" t="s">
        <v>74</v>
      </c>
    </row>
    <row r="29268" spans="9:9" x14ac:dyDescent="0.2">
      <c r="I29268" s="137" t="s">
        <v>74</v>
      </c>
    </row>
    <row r="29269" spans="9:9" x14ac:dyDescent="0.2">
      <c r="I29269" s="137" t="s">
        <v>74</v>
      </c>
    </row>
    <row r="29270" spans="9:9" x14ac:dyDescent="0.2">
      <c r="I29270" s="137" t="s">
        <v>74</v>
      </c>
    </row>
    <row r="29271" spans="9:9" x14ac:dyDescent="0.2">
      <c r="I29271" s="137" t="s">
        <v>74</v>
      </c>
    </row>
    <row r="29272" spans="9:9" x14ac:dyDescent="0.2">
      <c r="I29272" s="137" t="s">
        <v>74</v>
      </c>
    </row>
    <row r="29273" spans="9:9" x14ac:dyDescent="0.2">
      <c r="I29273" s="137" t="s">
        <v>74</v>
      </c>
    </row>
    <row r="29274" spans="9:9" x14ac:dyDescent="0.2">
      <c r="I29274" s="137" t="s">
        <v>74</v>
      </c>
    </row>
    <row r="29275" spans="9:9" x14ac:dyDescent="0.2">
      <c r="I29275" s="137" t="s">
        <v>74</v>
      </c>
    </row>
    <row r="29276" spans="9:9" x14ac:dyDescent="0.2">
      <c r="I29276" s="137" t="s">
        <v>74</v>
      </c>
    </row>
    <row r="29277" spans="9:9" x14ac:dyDescent="0.2">
      <c r="I29277" s="137" t="s">
        <v>74</v>
      </c>
    </row>
    <row r="29278" spans="9:9" x14ac:dyDescent="0.2">
      <c r="I29278" s="137" t="s">
        <v>74</v>
      </c>
    </row>
    <row r="29279" spans="9:9" x14ac:dyDescent="0.2">
      <c r="I29279" s="137" t="s">
        <v>74</v>
      </c>
    </row>
    <row r="29280" spans="9:9" x14ac:dyDescent="0.2">
      <c r="I29280" s="137" t="s">
        <v>74</v>
      </c>
    </row>
    <row r="29281" spans="9:9" x14ac:dyDescent="0.2">
      <c r="I29281" s="137" t="s">
        <v>74</v>
      </c>
    </row>
    <row r="29282" spans="9:9" x14ac:dyDescent="0.2">
      <c r="I29282" s="137" t="s">
        <v>74</v>
      </c>
    </row>
    <row r="29283" spans="9:9" x14ac:dyDescent="0.2">
      <c r="I29283" s="137" t="s">
        <v>74</v>
      </c>
    </row>
    <row r="29284" spans="9:9" x14ac:dyDescent="0.2">
      <c r="I29284" s="137" t="s">
        <v>74</v>
      </c>
    </row>
    <row r="29285" spans="9:9" x14ac:dyDescent="0.2">
      <c r="I29285" s="137" t="s">
        <v>74</v>
      </c>
    </row>
    <row r="29286" spans="9:9" x14ac:dyDescent="0.2">
      <c r="I29286" s="137" t="s">
        <v>74</v>
      </c>
    </row>
    <row r="29287" spans="9:9" x14ac:dyDescent="0.2">
      <c r="I29287" s="137" t="s">
        <v>74</v>
      </c>
    </row>
    <row r="29288" spans="9:9" x14ac:dyDescent="0.2">
      <c r="I29288" s="137" t="s">
        <v>74</v>
      </c>
    </row>
    <row r="29289" spans="9:9" x14ac:dyDescent="0.2">
      <c r="I29289" s="137" t="s">
        <v>74</v>
      </c>
    </row>
    <row r="29290" spans="9:9" x14ac:dyDescent="0.2">
      <c r="I29290" s="137" t="s">
        <v>74</v>
      </c>
    </row>
    <row r="29291" spans="9:9" x14ac:dyDescent="0.2">
      <c r="I29291" s="137" t="s">
        <v>74</v>
      </c>
    </row>
    <row r="29292" spans="9:9" x14ac:dyDescent="0.2">
      <c r="I29292" s="137" t="s">
        <v>74</v>
      </c>
    </row>
    <row r="29293" spans="9:9" x14ac:dyDescent="0.2">
      <c r="I29293" s="137" t="s">
        <v>74</v>
      </c>
    </row>
    <row r="29294" spans="9:9" x14ac:dyDescent="0.2">
      <c r="I29294" s="137" t="s">
        <v>74</v>
      </c>
    </row>
    <row r="29295" spans="9:9" x14ac:dyDescent="0.2">
      <c r="I29295" s="137" t="s">
        <v>74</v>
      </c>
    </row>
    <row r="29296" spans="9:9" x14ac:dyDescent="0.2">
      <c r="I29296" s="137" t="s">
        <v>74</v>
      </c>
    </row>
    <row r="29297" spans="9:9" x14ac:dyDescent="0.2">
      <c r="I29297" s="137" t="s">
        <v>74</v>
      </c>
    </row>
    <row r="29298" spans="9:9" x14ac:dyDescent="0.2">
      <c r="I29298" s="137" t="s">
        <v>74</v>
      </c>
    </row>
    <row r="29299" spans="9:9" x14ac:dyDescent="0.2">
      <c r="I29299" s="137" t="s">
        <v>74</v>
      </c>
    </row>
    <row r="29300" spans="9:9" x14ac:dyDescent="0.2">
      <c r="I29300" s="137" t="s">
        <v>74</v>
      </c>
    </row>
    <row r="29301" spans="9:9" x14ac:dyDescent="0.2">
      <c r="I29301" s="137" t="s">
        <v>74</v>
      </c>
    </row>
    <row r="29302" spans="9:9" x14ac:dyDescent="0.2">
      <c r="I29302" s="137" t="s">
        <v>74</v>
      </c>
    </row>
    <row r="29303" spans="9:9" x14ac:dyDescent="0.2">
      <c r="I29303" s="137" t="s">
        <v>74</v>
      </c>
    </row>
    <row r="29304" spans="9:9" x14ac:dyDescent="0.2">
      <c r="I29304" s="137" t="s">
        <v>74</v>
      </c>
    </row>
    <row r="29305" spans="9:9" x14ac:dyDescent="0.2">
      <c r="I29305" s="137" t="s">
        <v>74</v>
      </c>
    </row>
    <row r="29306" spans="9:9" x14ac:dyDescent="0.2">
      <c r="I29306" s="137" t="s">
        <v>74</v>
      </c>
    </row>
    <row r="29307" spans="9:9" x14ac:dyDescent="0.2">
      <c r="I29307" s="137" t="s">
        <v>74</v>
      </c>
    </row>
    <row r="29308" spans="9:9" x14ac:dyDescent="0.2">
      <c r="I29308" s="137" t="s">
        <v>74</v>
      </c>
    </row>
    <row r="29309" spans="9:9" x14ac:dyDescent="0.2">
      <c r="I29309" s="137" t="s">
        <v>74</v>
      </c>
    </row>
    <row r="29310" spans="9:9" x14ac:dyDescent="0.2">
      <c r="I29310" s="137" t="s">
        <v>74</v>
      </c>
    </row>
    <row r="29311" spans="9:9" x14ac:dyDescent="0.2">
      <c r="I29311" s="137" t="s">
        <v>74</v>
      </c>
    </row>
    <row r="29312" spans="9:9" x14ac:dyDescent="0.2">
      <c r="I29312" s="137" t="s">
        <v>74</v>
      </c>
    </row>
    <row r="29313" spans="9:9" x14ac:dyDescent="0.2">
      <c r="I29313" s="137" t="s">
        <v>74</v>
      </c>
    </row>
    <row r="29314" spans="9:9" x14ac:dyDescent="0.2">
      <c r="I29314" s="137" t="s">
        <v>74</v>
      </c>
    </row>
    <row r="29315" spans="9:9" x14ac:dyDescent="0.2">
      <c r="I29315" s="137" t="s">
        <v>74</v>
      </c>
    </row>
    <row r="29316" spans="9:9" x14ac:dyDescent="0.2">
      <c r="I29316" s="137" t="s">
        <v>74</v>
      </c>
    </row>
    <row r="29317" spans="9:9" x14ac:dyDescent="0.2">
      <c r="I29317" s="137" t="s">
        <v>74</v>
      </c>
    </row>
    <row r="29318" spans="9:9" x14ac:dyDescent="0.2">
      <c r="I29318" s="137" t="s">
        <v>74</v>
      </c>
    </row>
    <row r="29319" spans="9:9" x14ac:dyDescent="0.2">
      <c r="I29319" s="137" t="s">
        <v>74</v>
      </c>
    </row>
    <row r="29320" spans="9:9" x14ac:dyDescent="0.2">
      <c r="I29320" s="137" t="s">
        <v>74</v>
      </c>
    </row>
    <row r="29321" spans="9:9" x14ac:dyDescent="0.2">
      <c r="I29321" s="137" t="s">
        <v>74</v>
      </c>
    </row>
    <row r="29322" spans="9:9" x14ac:dyDescent="0.2">
      <c r="I29322" s="137" t="s">
        <v>74</v>
      </c>
    </row>
    <row r="29323" spans="9:9" x14ac:dyDescent="0.2">
      <c r="I29323" s="137" t="s">
        <v>74</v>
      </c>
    </row>
    <row r="29324" spans="9:9" x14ac:dyDescent="0.2">
      <c r="I29324" s="137" t="s">
        <v>74</v>
      </c>
    </row>
    <row r="29325" spans="9:9" x14ac:dyDescent="0.2">
      <c r="I29325" s="137" t="s">
        <v>74</v>
      </c>
    </row>
    <row r="29326" spans="9:9" x14ac:dyDescent="0.2">
      <c r="I29326" s="137" t="s">
        <v>74</v>
      </c>
    </row>
    <row r="29327" spans="9:9" x14ac:dyDescent="0.2">
      <c r="I29327" s="137" t="s">
        <v>74</v>
      </c>
    </row>
    <row r="29328" spans="9:9" x14ac:dyDescent="0.2">
      <c r="I29328" s="137" t="s">
        <v>74</v>
      </c>
    </row>
    <row r="29329" spans="9:9" x14ac:dyDescent="0.2">
      <c r="I29329" s="137" t="s">
        <v>74</v>
      </c>
    </row>
    <row r="29330" spans="9:9" x14ac:dyDescent="0.2">
      <c r="I29330" s="137" t="s">
        <v>74</v>
      </c>
    </row>
    <row r="29331" spans="9:9" x14ac:dyDescent="0.2">
      <c r="I29331" s="137" t="s">
        <v>74</v>
      </c>
    </row>
    <row r="29332" spans="9:9" x14ac:dyDescent="0.2">
      <c r="I29332" s="137" t="s">
        <v>74</v>
      </c>
    </row>
    <row r="29333" spans="9:9" x14ac:dyDescent="0.2">
      <c r="I29333" s="137" t="s">
        <v>74</v>
      </c>
    </row>
    <row r="29334" spans="9:9" x14ac:dyDescent="0.2">
      <c r="I29334" s="137" t="s">
        <v>74</v>
      </c>
    </row>
    <row r="29335" spans="9:9" x14ac:dyDescent="0.2">
      <c r="I29335" s="137" t="s">
        <v>74</v>
      </c>
    </row>
    <row r="29336" spans="9:9" x14ac:dyDescent="0.2">
      <c r="I29336" s="137" t="s">
        <v>74</v>
      </c>
    </row>
    <row r="29337" spans="9:9" x14ac:dyDescent="0.2">
      <c r="I29337" s="137" t="s">
        <v>74</v>
      </c>
    </row>
    <row r="29338" spans="9:9" x14ac:dyDescent="0.2">
      <c r="I29338" s="137" t="s">
        <v>74</v>
      </c>
    </row>
    <row r="29339" spans="9:9" x14ac:dyDescent="0.2">
      <c r="I29339" s="137" t="s">
        <v>74</v>
      </c>
    </row>
    <row r="29340" spans="9:9" x14ac:dyDescent="0.2">
      <c r="I29340" s="137" t="s">
        <v>74</v>
      </c>
    </row>
    <row r="29341" spans="9:9" x14ac:dyDescent="0.2">
      <c r="I29341" s="137" t="s">
        <v>74</v>
      </c>
    </row>
    <row r="29342" spans="9:9" x14ac:dyDescent="0.2">
      <c r="I29342" s="137" t="s">
        <v>74</v>
      </c>
    </row>
    <row r="29343" spans="9:9" x14ac:dyDescent="0.2">
      <c r="I29343" s="137" t="s">
        <v>74</v>
      </c>
    </row>
    <row r="29344" spans="9:9" x14ac:dyDescent="0.2">
      <c r="I29344" s="137" t="s">
        <v>74</v>
      </c>
    </row>
    <row r="29345" spans="9:9" x14ac:dyDescent="0.2">
      <c r="I29345" s="137" t="s">
        <v>74</v>
      </c>
    </row>
    <row r="29346" spans="9:9" x14ac:dyDescent="0.2">
      <c r="I29346" s="137" t="s">
        <v>74</v>
      </c>
    </row>
    <row r="29347" spans="9:9" x14ac:dyDescent="0.2">
      <c r="I29347" s="137" t="s">
        <v>74</v>
      </c>
    </row>
    <row r="29348" spans="9:9" x14ac:dyDescent="0.2">
      <c r="I29348" s="137" t="s">
        <v>74</v>
      </c>
    </row>
    <row r="29349" spans="9:9" x14ac:dyDescent="0.2">
      <c r="I29349" s="137" t="s">
        <v>74</v>
      </c>
    </row>
    <row r="29350" spans="9:9" x14ac:dyDescent="0.2">
      <c r="I29350" s="137" t="s">
        <v>74</v>
      </c>
    </row>
    <row r="29351" spans="9:9" x14ac:dyDescent="0.2">
      <c r="I29351" s="137" t="s">
        <v>74</v>
      </c>
    </row>
    <row r="29352" spans="9:9" x14ac:dyDescent="0.2">
      <c r="I29352" s="137" t="s">
        <v>74</v>
      </c>
    </row>
    <row r="29353" spans="9:9" x14ac:dyDescent="0.2">
      <c r="I29353" s="137" t="s">
        <v>74</v>
      </c>
    </row>
    <row r="29354" spans="9:9" x14ac:dyDescent="0.2">
      <c r="I29354" s="137" t="s">
        <v>74</v>
      </c>
    </row>
    <row r="29355" spans="9:9" x14ac:dyDescent="0.2">
      <c r="I29355" s="137" t="s">
        <v>74</v>
      </c>
    </row>
    <row r="29356" spans="9:9" x14ac:dyDescent="0.2">
      <c r="I29356" s="137" t="s">
        <v>74</v>
      </c>
    </row>
    <row r="29357" spans="9:9" x14ac:dyDescent="0.2">
      <c r="I29357" s="137" t="s">
        <v>74</v>
      </c>
    </row>
    <row r="29358" spans="9:9" x14ac:dyDescent="0.2">
      <c r="I29358" s="137" t="s">
        <v>74</v>
      </c>
    </row>
    <row r="29359" spans="9:9" x14ac:dyDescent="0.2">
      <c r="I29359" s="137" t="s">
        <v>74</v>
      </c>
    </row>
    <row r="29360" spans="9:9" x14ac:dyDescent="0.2">
      <c r="I29360" s="137" t="s">
        <v>74</v>
      </c>
    </row>
    <row r="29361" spans="9:9" x14ac:dyDescent="0.2">
      <c r="I29361" s="137" t="s">
        <v>74</v>
      </c>
    </row>
    <row r="29362" spans="9:9" x14ac:dyDescent="0.2">
      <c r="I29362" s="137" t="s">
        <v>74</v>
      </c>
    </row>
    <row r="29363" spans="9:9" x14ac:dyDescent="0.2">
      <c r="I29363" s="137" t="s">
        <v>74</v>
      </c>
    </row>
    <row r="29364" spans="9:9" x14ac:dyDescent="0.2">
      <c r="I29364" s="137" t="s">
        <v>74</v>
      </c>
    </row>
    <row r="29365" spans="9:9" x14ac:dyDescent="0.2">
      <c r="I29365" s="137" t="s">
        <v>74</v>
      </c>
    </row>
    <row r="29366" spans="9:9" x14ac:dyDescent="0.2">
      <c r="I29366" s="137" t="s">
        <v>74</v>
      </c>
    </row>
    <row r="29367" spans="9:9" x14ac:dyDescent="0.2">
      <c r="I29367" s="137" t="s">
        <v>74</v>
      </c>
    </row>
    <row r="29368" spans="9:9" x14ac:dyDescent="0.2">
      <c r="I29368" s="137" t="s">
        <v>74</v>
      </c>
    </row>
    <row r="29369" spans="9:9" x14ac:dyDescent="0.2">
      <c r="I29369" s="137" t="s">
        <v>74</v>
      </c>
    </row>
    <row r="29370" spans="9:9" x14ac:dyDescent="0.2">
      <c r="I29370" s="137" t="s">
        <v>74</v>
      </c>
    </row>
    <row r="29371" spans="9:9" x14ac:dyDescent="0.2">
      <c r="I29371" s="137" t="s">
        <v>74</v>
      </c>
    </row>
    <row r="29372" spans="9:9" x14ac:dyDescent="0.2">
      <c r="I29372" s="137" t="s">
        <v>74</v>
      </c>
    </row>
    <row r="29373" spans="9:9" x14ac:dyDescent="0.2">
      <c r="I29373" s="137" t="s">
        <v>74</v>
      </c>
    </row>
    <row r="29374" spans="9:9" x14ac:dyDescent="0.2">
      <c r="I29374" s="137" t="s">
        <v>74</v>
      </c>
    </row>
    <row r="29375" spans="9:9" x14ac:dyDescent="0.2">
      <c r="I29375" s="137" t="s">
        <v>74</v>
      </c>
    </row>
    <row r="29376" spans="9:9" x14ac:dyDescent="0.2">
      <c r="I29376" s="137" t="s">
        <v>74</v>
      </c>
    </row>
    <row r="29377" spans="9:9" x14ac:dyDescent="0.2">
      <c r="I29377" s="137" t="s">
        <v>74</v>
      </c>
    </row>
    <row r="29378" spans="9:9" x14ac:dyDescent="0.2">
      <c r="I29378" s="137" t="s">
        <v>74</v>
      </c>
    </row>
    <row r="29379" spans="9:9" x14ac:dyDescent="0.2">
      <c r="I29379" s="137" t="s">
        <v>74</v>
      </c>
    </row>
    <row r="29380" spans="9:9" x14ac:dyDescent="0.2">
      <c r="I29380" s="137" t="s">
        <v>74</v>
      </c>
    </row>
    <row r="29381" spans="9:9" x14ac:dyDescent="0.2">
      <c r="I29381" s="137" t="s">
        <v>74</v>
      </c>
    </row>
    <row r="29382" spans="9:9" x14ac:dyDescent="0.2">
      <c r="I29382" s="137" t="s">
        <v>74</v>
      </c>
    </row>
    <row r="29383" spans="9:9" x14ac:dyDescent="0.2">
      <c r="I29383" s="137" t="s">
        <v>74</v>
      </c>
    </row>
    <row r="29384" spans="9:9" x14ac:dyDescent="0.2">
      <c r="I29384" s="137" t="s">
        <v>74</v>
      </c>
    </row>
    <row r="29385" spans="9:9" x14ac:dyDescent="0.2">
      <c r="I29385" s="137" t="s">
        <v>74</v>
      </c>
    </row>
    <row r="29386" spans="9:9" x14ac:dyDescent="0.2">
      <c r="I29386" s="137" t="s">
        <v>74</v>
      </c>
    </row>
    <row r="29387" spans="9:9" x14ac:dyDescent="0.2">
      <c r="I29387" s="137" t="s">
        <v>74</v>
      </c>
    </row>
    <row r="29388" spans="9:9" x14ac:dyDescent="0.2">
      <c r="I29388" s="137" t="s">
        <v>74</v>
      </c>
    </row>
    <row r="29389" spans="9:9" x14ac:dyDescent="0.2">
      <c r="I29389" s="137" t="s">
        <v>74</v>
      </c>
    </row>
    <row r="29390" spans="9:9" x14ac:dyDescent="0.2">
      <c r="I29390" s="137" t="s">
        <v>74</v>
      </c>
    </row>
    <row r="29391" spans="9:9" x14ac:dyDescent="0.2">
      <c r="I29391" s="137" t="s">
        <v>74</v>
      </c>
    </row>
    <row r="29392" spans="9:9" x14ac:dyDescent="0.2">
      <c r="I29392" s="137" t="s">
        <v>74</v>
      </c>
    </row>
    <row r="29393" spans="9:9" x14ac:dyDescent="0.2">
      <c r="I29393" s="137" t="s">
        <v>74</v>
      </c>
    </row>
    <row r="29394" spans="9:9" x14ac:dyDescent="0.2">
      <c r="I29394" s="137" t="s">
        <v>74</v>
      </c>
    </row>
    <row r="29395" spans="9:9" x14ac:dyDescent="0.2">
      <c r="I29395" s="137" t="s">
        <v>74</v>
      </c>
    </row>
    <row r="29396" spans="9:9" x14ac:dyDescent="0.2">
      <c r="I29396" s="137" t="s">
        <v>74</v>
      </c>
    </row>
    <row r="29397" spans="9:9" x14ac:dyDescent="0.2">
      <c r="I29397" s="137" t="s">
        <v>74</v>
      </c>
    </row>
    <row r="29398" spans="9:9" x14ac:dyDescent="0.2">
      <c r="I29398" s="137" t="s">
        <v>74</v>
      </c>
    </row>
    <row r="29399" spans="9:9" x14ac:dyDescent="0.2">
      <c r="I29399" s="137" t="s">
        <v>74</v>
      </c>
    </row>
    <row r="29400" spans="9:9" x14ac:dyDescent="0.2">
      <c r="I29400" s="137" t="s">
        <v>74</v>
      </c>
    </row>
    <row r="29401" spans="9:9" x14ac:dyDescent="0.2">
      <c r="I29401" s="137" t="s">
        <v>74</v>
      </c>
    </row>
    <row r="29402" spans="9:9" x14ac:dyDescent="0.2">
      <c r="I29402" s="137" t="s">
        <v>74</v>
      </c>
    </row>
    <row r="29403" spans="9:9" x14ac:dyDescent="0.2">
      <c r="I29403" s="137" t="s">
        <v>74</v>
      </c>
    </row>
    <row r="29404" spans="9:9" x14ac:dyDescent="0.2">
      <c r="I29404" s="137" t="s">
        <v>74</v>
      </c>
    </row>
    <row r="29405" spans="9:9" x14ac:dyDescent="0.2">
      <c r="I29405" s="137" t="s">
        <v>74</v>
      </c>
    </row>
    <row r="29406" spans="9:9" x14ac:dyDescent="0.2">
      <c r="I29406" s="137" t="s">
        <v>74</v>
      </c>
    </row>
    <row r="29407" spans="9:9" x14ac:dyDescent="0.2">
      <c r="I29407" s="137" t="s">
        <v>74</v>
      </c>
    </row>
    <row r="29408" spans="9:9" x14ac:dyDescent="0.2">
      <c r="I29408" s="137" t="s">
        <v>74</v>
      </c>
    </row>
    <row r="29409" spans="9:9" x14ac:dyDescent="0.2">
      <c r="I29409" s="137" t="s">
        <v>74</v>
      </c>
    </row>
    <row r="29410" spans="9:9" x14ac:dyDescent="0.2">
      <c r="I29410" s="137" t="s">
        <v>74</v>
      </c>
    </row>
    <row r="29411" spans="9:9" x14ac:dyDescent="0.2">
      <c r="I29411" s="137" t="s">
        <v>74</v>
      </c>
    </row>
    <row r="29412" spans="9:9" x14ac:dyDescent="0.2">
      <c r="I29412" s="137" t="s">
        <v>74</v>
      </c>
    </row>
    <row r="29413" spans="9:9" x14ac:dyDescent="0.2">
      <c r="I29413" s="137" t="s">
        <v>74</v>
      </c>
    </row>
    <row r="29414" spans="9:9" x14ac:dyDescent="0.2">
      <c r="I29414" s="137" t="s">
        <v>74</v>
      </c>
    </row>
    <row r="29415" spans="9:9" x14ac:dyDescent="0.2">
      <c r="I29415" s="137" t="s">
        <v>74</v>
      </c>
    </row>
    <row r="29416" spans="9:9" x14ac:dyDescent="0.2">
      <c r="I29416" s="137" t="s">
        <v>74</v>
      </c>
    </row>
    <row r="29417" spans="9:9" x14ac:dyDescent="0.2">
      <c r="I29417" s="137" t="s">
        <v>74</v>
      </c>
    </row>
    <row r="29418" spans="9:9" x14ac:dyDescent="0.2">
      <c r="I29418" s="137" t="s">
        <v>74</v>
      </c>
    </row>
    <row r="29419" spans="9:9" x14ac:dyDescent="0.2">
      <c r="I29419" s="137" t="s">
        <v>74</v>
      </c>
    </row>
    <row r="29420" spans="9:9" x14ac:dyDescent="0.2">
      <c r="I29420" s="137" t="s">
        <v>74</v>
      </c>
    </row>
    <row r="29421" spans="9:9" x14ac:dyDescent="0.2">
      <c r="I29421" s="137" t="s">
        <v>74</v>
      </c>
    </row>
    <row r="29422" spans="9:9" x14ac:dyDescent="0.2">
      <c r="I29422" s="137" t="s">
        <v>74</v>
      </c>
    </row>
    <row r="29423" spans="9:9" x14ac:dyDescent="0.2">
      <c r="I29423" s="137" t="s">
        <v>74</v>
      </c>
    </row>
    <row r="29424" spans="9:9" x14ac:dyDescent="0.2">
      <c r="I29424" s="137" t="s">
        <v>74</v>
      </c>
    </row>
    <row r="29425" spans="9:9" x14ac:dyDescent="0.2">
      <c r="I29425" s="137" t="s">
        <v>74</v>
      </c>
    </row>
    <row r="29426" spans="9:9" x14ac:dyDescent="0.2">
      <c r="I29426" s="137" t="s">
        <v>74</v>
      </c>
    </row>
    <row r="29427" spans="9:9" x14ac:dyDescent="0.2">
      <c r="I29427" s="137" t="s">
        <v>74</v>
      </c>
    </row>
    <row r="29428" spans="9:9" x14ac:dyDescent="0.2">
      <c r="I29428" s="137" t="s">
        <v>74</v>
      </c>
    </row>
    <row r="29429" spans="9:9" x14ac:dyDescent="0.2">
      <c r="I29429" s="137" t="s">
        <v>74</v>
      </c>
    </row>
    <row r="29430" spans="9:9" x14ac:dyDescent="0.2">
      <c r="I29430" s="137" t="s">
        <v>74</v>
      </c>
    </row>
    <row r="29431" spans="9:9" x14ac:dyDescent="0.2">
      <c r="I29431" s="137" t="s">
        <v>74</v>
      </c>
    </row>
    <row r="29432" spans="9:9" x14ac:dyDescent="0.2">
      <c r="I29432" s="137" t="s">
        <v>74</v>
      </c>
    </row>
    <row r="29433" spans="9:9" x14ac:dyDescent="0.2">
      <c r="I29433" s="137" t="s">
        <v>74</v>
      </c>
    </row>
    <row r="29434" spans="9:9" x14ac:dyDescent="0.2">
      <c r="I29434" s="137" t="s">
        <v>74</v>
      </c>
    </row>
    <row r="29435" spans="9:9" x14ac:dyDescent="0.2">
      <c r="I29435" s="137" t="s">
        <v>74</v>
      </c>
    </row>
    <row r="29436" spans="9:9" x14ac:dyDescent="0.2">
      <c r="I29436" s="137" t="s">
        <v>74</v>
      </c>
    </row>
    <row r="29437" spans="9:9" x14ac:dyDescent="0.2">
      <c r="I29437" s="137" t="s">
        <v>74</v>
      </c>
    </row>
    <row r="29438" spans="9:9" x14ac:dyDescent="0.2">
      <c r="I29438" s="137" t="s">
        <v>74</v>
      </c>
    </row>
    <row r="29439" spans="9:9" x14ac:dyDescent="0.2">
      <c r="I29439" s="137" t="s">
        <v>74</v>
      </c>
    </row>
    <row r="29440" spans="9:9" x14ac:dyDescent="0.2">
      <c r="I29440" s="137" t="s">
        <v>74</v>
      </c>
    </row>
    <row r="29441" spans="9:9" x14ac:dyDescent="0.2">
      <c r="I29441" s="137" t="s">
        <v>74</v>
      </c>
    </row>
    <row r="29442" spans="9:9" x14ac:dyDescent="0.2">
      <c r="I29442" s="137" t="s">
        <v>74</v>
      </c>
    </row>
    <row r="29443" spans="9:9" x14ac:dyDescent="0.2">
      <c r="I29443" s="137" t="s">
        <v>74</v>
      </c>
    </row>
    <row r="29444" spans="9:9" x14ac:dyDescent="0.2">
      <c r="I29444" s="137" t="s">
        <v>74</v>
      </c>
    </row>
    <row r="29445" spans="9:9" x14ac:dyDescent="0.2">
      <c r="I29445" s="137" t="s">
        <v>74</v>
      </c>
    </row>
    <row r="29446" spans="9:9" x14ac:dyDescent="0.2">
      <c r="I29446" s="137" t="s">
        <v>74</v>
      </c>
    </row>
    <row r="29447" spans="9:9" x14ac:dyDescent="0.2">
      <c r="I29447" s="137" t="s">
        <v>74</v>
      </c>
    </row>
    <row r="29448" spans="9:9" x14ac:dyDescent="0.2">
      <c r="I29448" s="137" t="s">
        <v>74</v>
      </c>
    </row>
    <row r="29449" spans="9:9" x14ac:dyDescent="0.2">
      <c r="I29449" s="137" t="s">
        <v>74</v>
      </c>
    </row>
    <row r="29450" spans="9:9" x14ac:dyDescent="0.2">
      <c r="I29450" s="137" t="s">
        <v>74</v>
      </c>
    </row>
    <row r="29451" spans="9:9" x14ac:dyDescent="0.2">
      <c r="I29451" s="137" t="s">
        <v>74</v>
      </c>
    </row>
    <row r="29452" spans="9:9" x14ac:dyDescent="0.2">
      <c r="I29452" s="137" t="s">
        <v>74</v>
      </c>
    </row>
    <row r="29453" spans="9:9" x14ac:dyDescent="0.2">
      <c r="I29453" s="137" t="s">
        <v>74</v>
      </c>
    </row>
    <row r="29454" spans="9:9" x14ac:dyDescent="0.2">
      <c r="I29454" s="137" t="s">
        <v>74</v>
      </c>
    </row>
    <row r="29455" spans="9:9" x14ac:dyDescent="0.2">
      <c r="I29455" s="137" t="s">
        <v>74</v>
      </c>
    </row>
    <row r="29456" spans="9:9" x14ac:dyDescent="0.2">
      <c r="I29456" s="137" t="s">
        <v>74</v>
      </c>
    </row>
    <row r="29457" spans="9:9" x14ac:dyDescent="0.2">
      <c r="I29457" s="137" t="s">
        <v>74</v>
      </c>
    </row>
    <row r="29458" spans="9:9" x14ac:dyDescent="0.2">
      <c r="I29458" s="137" t="s">
        <v>74</v>
      </c>
    </row>
    <row r="29459" spans="9:9" x14ac:dyDescent="0.2">
      <c r="I29459" s="137" t="s">
        <v>74</v>
      </c>
    </row>
    <row r="29460" spans="9:9" x14ac:dyDescent="0.2">
      <c r="I29460" s="137" t="s">
        <v>74</v>
      </c>
    </row>
    <row r="29461" spans="9:9" x14ac:dyDescent="0.2">
      <c r="I29461" s="137" t="s">
        <v>74</v>
      </c>
    </row>
    <row r="29462" spans="9:9" x14ac:dyDescent="0.2">
      <c r="I29462" s="137" t="s">
        <v>74</v>
      </c>
    </row>
    <row r="29463" spans="9:9" x14ac:dyDescent="0.2">
      <c r="I29463" s="137" t="s">
        <v>74</v>
      </c>
    </row>
    <row r="29464" spans="9:9" x14ac:dyDescent="0.2">
      <c r="I29464" s="137" t="s">
        <v>74</v>
      </c>
    </row>
    <row r="29465" spans="9:9" x14ac:dyDescent="0.2">
      <c r="I29465" s="137" t="s">
        <v>74</v>
      </c>
    </row>
    <row r="29466" spans="9:9" x14ac:dyDescent="0.2">
      <c r="I29466" s="137" t="s">
        <v>74</v>
      </c>
    </row>
    <row r="29467" spans="9:9" x14ac:dyDescent="0.2">
      <c r="I29467" s="137" t="s">
        <v>74</v>
      </c>
    </row>
    <row r="29468" spans="9:9" x14ac:dyDescent="0.2">
      <c r="I29468" s="137" t="s">
        <v>74</v>
      </c>
    </row>
    <row r="29469" spans="9:9" x14ac:dyDescent="0.2">
      <c r="I29469" s="137" t="s">
        <v>74</v>
      </c>
    </row>
    <row r="29470" spans="9:9" x14ac:dyDescent="0.2">
      <c r="I29470" s="137" t="s">
        <v>74</v>
      </c>
    </row>
    <row r="29471" spans="9:9" x14ac:dyDescent="0.2">
      <c r="I29471" s="137" t="s">
        <v>74</v>
      </c>
    </row>
    <row r="29472" spans="9:9" x14ac:dyDescent="0.2">
      <c r="I29472" s="137" t="s">
        <v>74</v>
      </c>
    </row>
    <row r="29473" spans="9:9" x14ac:dyDescent="0.2">
      <c r="I29473" s="137" t="s">
        <v>74</v>
      </c>
    </row>
    <row r="29474" spans="9:9" x14ac:dyDescent="0.2">
      <c r="I29474" s="137" t="s">
        <v>74</v>
      </c>
    </row>
    <row r="29475" spans="9:9" x14ac:dyDescent="0.2">
      <c r="I29475" s="137" t="s">
        <v>74</v>
      </c>
    </row>
    <row r="29476" spans="9:9" x14ac:dyDescent="0.2">
      <c r="I29476" s="137" t="s">
        <v>74</v>
      </c>
    </row>
    <row r="29477" spans="9:9" x14ac:dyDescent="0.2">
      <c r="I29477" s="137" t="s">
        <v>74</v>
      </c>
    </row>
    <row r="29478" spans="9:9" x14ac:dyDescent="0.2">
      <c r="I29478" s="137" t="s">
        <v>74</v>
      </c>
    </row>
    <row r="29479" spans="9:9" x14ac:dyDescent="0.2">
      <c r="I29479" s="137" t="s">
        <v>74</v>
      </c>
    </row>
    <row r="29480" spans="9:9" x14ac:dyDescent="0.2">
      <c r="I29480" s="137" t="s">
        <v>74</v>
      </c>
    </row>
    <row r="29481" spans="9:9" x14ac:dyDescent="0.2">
      <c r="I29481" s="137" t="s">
        <v>74</v>
      </c>
    </row>
    <row r="29482" spans="9:9" x14ac:dyDescent="0.2">
      <c r="I29482" s="137" t="s">
        <v>74</v>
      </c>
    </row>
    <row r="29483" spans="9:9" x14ac:dyDescent="0.2">
      <c r="I29483" s="137" t="s">
        <v>74</v>
      </c>
    </row>
    <row r="29484" spans="9:9" x14ac:dyDescent="0.2">
      <c r="I29484" s="137" t="s">
        <v>74</v>
      </c>
    </row>
    <row r="29485" spans="9:9" x14ac:dyDescent="0.2">
      <c r="I29485" s="137" t="s">
        <v>74</v>
      </c>
    </row>
    <row r="29486" spans="9:9" x14ac:dyDescent="0.2">
      <c r="I29486" s="137" t="s">
        <v>74</v>
      </c>
    </row>
    <row r="29487" spans="9:9" x14ac:dyDescent="0.2">
      <c r="I29487" s="137" t="s">
        <v>74</v>
      </c>
    </row>
    <row r="29488" spans="9:9" x14ac:dyDescent="0.2">
      <c r="I29488" s="137" t="s">
        <v>74</v>
      </c>
    </row>
    <row r="29489" spans="9:9" x14ac:dyDescent="0.2">
      <c r="I29489" s="137" t="s">
        <v>74</v>
      </c>
    </row>
    <row r="29490" spans="9:9" x14ac:dyDescent="0.2">
      <c r="I29490" s="137" t="s">
        <v>74</v>
      </c>
    </row>
    <row r="29491" spans="9:9" x14ac:dyDescent="0.2">
      <c r="I29491" s="137" t="s">
        <v>74</v>
      </c>
    </row>
    <row r="29492" spans="9:9" x14ac:dyDescent="0.2">
      <c r="I29492" s="137" t="s">
        <v>74</v>
      </c>
    </row>
    <row r="29493" spans="9:9" x14ac:dyDescent="0.2">
      <c r="I29493" s="137" t="s">
        <v>74</v>
      </c>
    </row>
    <row r="29494" spans="9:9" x14ac:dyDescent="0.2">
      <c r="I29494" s="137" t="s">
        <v>74</v>
      </c>
    </row>
    <row r="29495" spans="9:9" x14ac:dyDescent="0.2">
      <c r="I29495" s="137" t="s">
        <v>74</v>
      </c>
    </row>
    <row r="29496" spans="9:9" x14ac:dyDescent="0.2">
      <c r="I29496" s="137" t="s">
        <v>74</v>
      </c>
    </row>
    <row r="29497" spans="9:9" x14ac:dyDescent="0.2">
      <c r="I29497" s="137" t="s">
        <v>74</v>
      </c>
    </row>
    <row r="29498" spans="9:9" x14ac:dyDescent="0.2">
      <c r="I29498" s="137" t="s">
        <v>74</v>
      </c>
    </row>
    <row r="29499" spans="9:9" x14ac:dyDescent="0.2">
      <c r="I29499" s="137" t="s">
        <v>74</v>
      </c>
    </row>
    <row r="29500" spans="9:9" x14ac:dyDescent="0.2">
      <c r="I29500" s="137" t="s">
        <v>74</v>
      </c>
    </row>
    <row r="29501" spans="9:9" x14ac:dyDescent="0.2">
      <c r="I29501" s="137" t="s">
        <v>74</v>
      </c>
    </row>
    <row r="29502" spans="9:9" x14ac:dyDescent="0.2">
      <c r="I29502" s="137" t="s">
        <v>74</v>
      </c>
    </row>
    <row r="29503" spans="9:9" x14ac:dyDescent="0.2">
      <c r="I29503" s="137" t="s">
        <v>74</v>
      </c>
    </row>
    <row r="29504" spans="9:9" x14ac:dyDescent="0.2">
      <c r="I29504" s="137" t="s">
        <v>74</v>
      </c>
    </row>
    <row r="29505" spans="9:9" x14ac:dyDescent="0.2">
      <c r="I29505" s="137" t="s">
        <v>74</v>
      </c>
    </row>
    <row r="29506" spans="9:9" x14ac:dyDescent="0.2">
      <c r="I29506" s="137" t="s">
        <v>74</v>
      </c>
    </row>
    <row r="29507" spans="9:9" x14ac:dyDescent="0.2">
      <c r="I29507" s="137" t="s">
        <v>74</v>
      </c>
    </row>
    <row r="29508" spans="9:9" x14ac:dyDescent="0.2">
      <c r="I29508" s="137" t="s">
        <v>74</v>
      </c>
    </row>
    <row r="29509" spans="9:9" x14ac:dyDescent="0.2">
      <c r="I29509" s="137" t="s">
        <v>74</v>
      </c>
    </row>
    <row r="29510" spans="9:9" x14ac:dyDescent="0.2">
      <c r="I29510" s="137" t="s">
        <v>74</v>
      </c>
    </row>
    <row r="29511" spans="9:9" x14ac:dyDescent="0.2">
      <c r="I29511" s="137" t="s">
        <v>74</v>
      </c>
    </row>
    <row r="29512" spans="9:9" x14ac:dyDescent="0.2">
      <c r="I29512" s="137" t="s">
        <v>74</v>
      </c>
    </row>
    <row r="29513" spans="9:9" x14ac:dyDescent="0.2">
      <c r="I29513" s="137" t="s">
        <v>74</v>
      </c>
    </row>
    <row r="29514" spans="9:9" x14ac:dyDescent="0.2">
      <c r="I29514" s="137" t="s">
        <v>74</v>
      </c>
    </row>
    <row r="29515" spans="9:9" x14ac:dyDescent="0.2">
      <c r="I29515" s="137" t="s">
        <v>74</v>
      </c>
    </row>
    <row r="29516" spans="9:9" x14ac:dyDescent="0.2">
      <c r="I29516" s="137" t="s">
        <v>74</v>
      </c>
    </row>
    <row r="29517" spans="9:9" x14ac:dyDescent="0.2">
      <c r="I29517" s="137" t="s">
        <v>74</v>
      </c>
    </row>
    <row r="29518" spans="9:9" x14ac:dyDescent="0.2">
      <c r="I29518" s="137" t="s">
        <v>74</v>
      </c>
    </row>
    <row r="29519" spans="9:9" x14ac:dyDescent="0.2">
      <c r="I29519" s="137" t="s">
        <v>74</v>
      </c>
    </row>
    <row r="29520" spans="9:9" x14ac:dyDescent="0.2">
      <c r="I29520" s="137" t="s">
        <v>74</v>
      </c>
    </row>
    <row r="29521" spans="9:9" x14ac:dyDescent="0.2">
      <c r="I29521" s="137" t="s">
        <v>74</v>
      </c>
    </row>
    <row r="29522" spans="9:9" x14ac:dyDescent="0.2">
      <c r="I29522" s="137" t="s">
        <v>74</v>
      </c>
    </row>
    <row r="29523" spans="9:9" x14ac:dyDescent="0.2">
      <c r="I29523" s="137" t="s">
        <v>74</v>
      </c>
    </row>
    <row r="29524" spans="9:9" x14ac:dyDescent="0.2">
      <c r="I29524" s="137" t="s">
        <v>74</v>
      </c>
    </row>
    <row r="29525" spans="9:9" x14ac:dyDescent="0.2">
      <c r="I29525" s="137" t="s">
        <v>74</v>
      </c>
    </row>
    <row r="29526" spans="9:9" x14ac:dyDescent="0.2">
      <c r="I29526" s="137" t="s">
        <v>74</v>
      </c>
    </row>
    <row r="29527" spans="9:9" x14ac:dyDescent="0.2">
      <c r="I29527" s="137" t="s">
        <v>74</v>
      </c>
    </row>
    <row r="29528" spans="9:9" x14ac:dyDescent="0.2">
      <c r="I29528" s="137" t="s">
        <v>74</v>
      </c>
    </row>
    <row r="29529" spans="9:9" x14ac:dyDescent="0.2">
      <c r="I29529" s="137" t="s">
        <v>74</v>
      </c>
    </row>
    <row r="29530" spans="9:9" x14ac:dyDescent="0.2">
      <c r="I29530" s="137" t="s">
        <v>74</v>
      </c>
    </row>
    <row r="29531" spans="9:9" x14ac:dyDescent="0.2">
      <c r="I29531" s="137" t="s">
        <v>74</v>
      </c>
    </row>
    <row r="29532" spans="9:9" x14ac:dyDescent="0.2">
      <c r="I29532" s="137" t="s">
        <v>74</v>
      </c>
    </row>
    <row r="29533" spans="9:9" x14ac:dyDescent="0.2">
      <c r="I29533" s="137" t="s">
        <v>74</v>
      </c>
    </row>
    <row r="29534" spans="9:9" x14ac:dyDescent="0.2">
      <c r="I29534" s="137" t="s">
        <v>74</v>
      </c>
    </row>
    <row r="29535" spans="9:9" x14ac:dyDescent="0.2">
      <c r="I29535" s="137" t="s">
        <v>74</v>
      </c>
    </row>
    <row r="29536" spans="9:9" x14ac:dyDescent="0.2">
      <c r="I29536" s="137" t="s">
        <v>74</v>
      </c>
    </row>
    <row r="29537" spans="9:9" x14ac:dyDescent="0.2">
      <c r="I29537" s="137" t="s">
        <v>74</v>
      </c>
    </row>
    <row r="29538" spans="9:9" x14ac:dyDescent="0.2">
      <c r="I29538" s="137" t="s">
        <v>74</v>
      </c>
    </row>
    <row r="29539" spans="9:9" x14ac:dyDescent="0.2">
      <c r="I29539" s="137" t="s">
        <v>74</v>
      </c>
    </row>
    <row r="29540" spans="9:9" x14ac:dyDescent="0.2">
      <c r="I29540" s="137" t="s">
        <v>74</v>
      </c>
    </row>
    <row r="29541" spans="9:9" x14ac:dyDescent="0.2">
      <c r="I29541" s="137" t="s">
        <v>74</v>
      </c>
    </row>
    <row r="29542" spans="9:9" x14ac:dyDescent="0.2">
      <c r="I29542" s="137" t="s">
        <v>74</v>
      </c>
    </row>
    <row r="29543" spans="9:9" x14ac:dyDescent="0.2">
      <c r="I29543" s="137" t="s">
        <v>74</v>
      </c>
    </row>
    <row r="29544" spans="9:9" x14ac:dyDescent="0.2">
      <c r="I29544" s="137" t="s">
        <v>74</v>
      </c>
    </row>
    <row r="29545" spans="9:9" x14ac:dyDescent="0.2">
      <c r="I29545" s="137" t="s">
        <v>74</v>
      </c>
    </row>
    <row r="29546" spans="9:9" x14ac:dyDescent="0.2">
      <c r="I29546" s="137" t="s">
        <v>74</v>
      </c>
    </row>
    <row r="29547" spans="9:9" x14ac:dyDescent="0.2">
      <c r="I29547" s="137" t="s">
        <v>74</v>
      </c>
    </row>
    <row r="29548" spans="9:9" x14ac:dyDescent="0.2">
      <c r="I29548" s="137" t="s">
        <v>74</v>
      </c>
    </row>
    <row r="29549" spans="9:9" x14ac:dyDescent="0.2">
      <c r="I29549" s="137" t="s">
        <v>74</v>
      </c>
    </row>
    <row r="29550" spans="9:9" x14ac:dyDescent="0.2">
      <c r="I29550" s="137" t="s">
        <v>74</v>
      </c>
    </row>
    <row r="29551" spans="9:9" x14ac:dyDescent="0.2">
      <c r="I29551" s="137" t="s">
        <v>74</v>
      </c>
    </row>
    <row r="29552" spans="9:9" x14ac:dyDescent="0.2">
      <c r="I29552" s="137" t="s">
        <v>74</v>
      </c>
    </row>
    <row r="29553" spans="9:9" x14ac:dyDescent="0.2">
      <c r="I29553" s="137" t="s">
        <v>74</v>
      </c>
    </row>
    <row r="29554" spans="9:9" x14ac:dyDescent="0.2">
      <c r="I29554" s="137" t="s">
        <v>74</v>
      </c>
    </row>
    <row r="29555" spans="9:9" x14ac:dyDescent="0.2">
      <c r="I29555" s="137" t="s">
        <v>74</v>
      </c>
    </row>
    <row r="29556" spans="9:9" x14ac:dyDescent="0.2">
      <c r="I29556" s="137" t="s">
        <v>74</v>
      </c>
    </row>
    <row r="29557" spans="9:9" x14ac:dyDescent="0.2">
      <c r="I29557" s="137" t="s">
        <v>74</v>
      </c>
    </row>
    <row r="29558" spans="9:9" x14ac:dyDescent="0.2">
      <c r="I29558" s="137" t="s">
        <v>74</v>
      </c>
    </row>
    <row r="29559" spans="9:9" x14ac:dyDescent="0.2">
      <c r="I29559" s="137" t="s">
        <v>74</v>
      </c>
    </row>
    <row r="29560" spans="9:9" x14ac:dyDescent="0.2">
      <c r="I29560" s="137" t="s">
        <v>74</v>
      </c>
    </row>
    <row r="29561" spans="9:9" x14ac:dyDescent="0.2">
      <c r="I29561" s="137" t="s">
        <v>74</v>
      </c>
    </row>
    <row r="29562" spans="9:9" x14ac:dyDescent="0.2">
      <c r="I29562" s="137" t="s">
        <v>74</v>
      </c>
    </row>
    <row r="29563" spans="9:9" x14ac:dyDescent="0.2">
      <c r="I29563" s="137" t="s">
        <v>74</v>
      </c>
    </row>
    <row r="29564" spans="9:9" x14ac:dyDescent="0.2">
      <c r="I29564" s="137" t="s">
        <v>74</v>
      </c>
    </row>
    <row r="29565" spans="9:9" x14ac:dyDescent="0.2">
      <c r="I29565" s="137" t="s">
        <v>74</v>
      </c>
    </row>
    <row r="29566" spans="9:9" x14ac:dyDescent="0.2">
      <c r="I29566" s="137" t="s">
        <v>74</v>
      </c>
    </row>
    <row r="29567" spans="9:9" x14ac:dyDescent="0.2">
      <c r="I29567" s="137" t="s">
        <v>74</v>
      </c>
    </row>
    <row r="29568" spans="9:9" x14ac:dyDescent="0.2">
      <c r="I29568" s="137" t="s">
        <v>74</v>
      </c>
    </row>
    <row r="29569" spans="9:9" x14ac:dyDescent="0.2">
      <c r="I29569" s="137" t="s">
        <v>74</v>
      </c>
    </row>
    <row r="29570" spans="9:9" x14ac:dyDescent="0.2">
      <c r="I29570" s="137" t="s">
        <v>74</v>
      </c>
    </row>
    <row r="29571" spans="9:9" x14ac:dyDescent="0.2">
      <c r="I29571" s="137" t="s">
        <v>74</v>
      </c>
    </row>
    <row r="29572" spans="9:9" x14ac:dyDescent="0.2">
      <c r="I29572" s="137" t="s">
        <v>74</v>
      </c>
    </row>
    <row r="29573" spans="9:9" x14ac:dyDescent="0.2">
      <c r="I29573" s="137" t="s">
        <v>74</v>
      </c>
    </row>
    <row r="29574" spans="9:9" x14ac:dyDescent="0.2">
      <c r="I29574" s="137" t="s">
        <v>74</v>
      </c>
    </row>
    <row r="29575" spans="9:9" x14ac:dyDescent="0.2">
      <c r="I29575" s="137" t="s">
        <v>74</v>
      </c>
    </row>
    <row r="29576" spans="9:9" x14ac:dyDescent="0.2">
      <c r="I29576" s="137" t="s">
        <v>74</v>
      </c>
    </row>
    <row r="29577" spans="9:9" x14ac:dyDescent="0.2">
      <c r="I29577" s="137" t="s">
        <v>74</v>
      </c>
    </row>
    <row r="29578" spans="9:9" x14ac:dyDescent="0.2">
      <c r="I29578" s="137" t="s">
        <v>74</v>
      </c>
    </row>
    <row r="29579" spans="9:9" x14ac:dyDescent="0.2">
      <c r="I29579" s="137" t="s">
        <v>74</v>
      </c>
    </row>
    <row r="29580" spans="9:9" x14ac:dyDescent="0.2">
      <c r="I29580" s="137" t="s">
        <v>74</v>
      </c>
    </row>
    <row r="29581" spans="9:9" x14ac:dyDescent="0.2">
      <c r="I29581" s="137" t="s">
        <v>74</v>
      </c>
    </row>
    <row r="29582" spans="9:9" x14ac:dyDescent="0.2">
      <c r="I29582" s="137" t="s">
        <v>74</v>
      </c>
    </row>
    <row r="29583" spans="9:9" x14ac:dyDescent="0.2">
      <c r="I29583" s="137" t="s">
        <v>74</v>
      </c>
    </row>
    <row r="29584" spans="9:9" x14ac:dyDescent="0.2">
      <c r="I29584" s="137" t="s">
        <v>74</v>
      </c>
    </row>
    <row r="29585" spans="9:9" x14ac:dyDescent="0.2">
      <c r="I29585" s="137" t="s">
        <v>74</v>
      </c>
    </row>
    <row r="29586" spans="9:9" x14ac:dyDescent="0.2">
      <c r="I29586" s="137" t="s">
        <v>74</v>
      </c>
    </row>
    <row r="29587" spans="9:9" x14ac:dyDescent="0.2">
      <c r="I29587" s="137" t="s">
        <v>74</v>
      </c>
    </row>
    <row r="29588" spans="9:9" x14ac:dyDescent="0.2">
      <c r="I29588" s="137" t="s">
        <v>74</v>
      </c>
    </row>
    <row r="29589" spans="9:9" x14ac:dyDescent="0.2">
      <c r="I29589" s="137" t="s">
        <v>74</v>
      </c>
    </row>
    <row r="29590" spans="9:9" x14ac:dyDescent="0.2">
      <c r="I29590" s="137" t="s">
        <v>74</v>
      </c>
    </row>
    <row r="29591" spans="9:9" x14ac:dyDescent="0.2">
      <c r="I29591" s="137" t="s">
        <v>74</v>
      </c>
    </row>
    <row r="29592" spans="9:9" x14ac:dyDescent="0.2">
      <c r="I29592" s="137" t="s">
        <v>74</v>
      </c>
    </row>
    <row r="29593" spans="9:9" x14ac:dyDescent="0.2">
      <c r="I29593" s="137" t="s">
        <v>74</v>
      </c>
    </row>
    <row r="29594" spans="9:9" x14ac:dyDescent="0.2">
      <c r="I29594" s="137" t="s">
        <v>74</v>
      </c>
    </row>
    <row r="29595" spans="9:9" x14ac:dyDescent="0.2">
      <c r="I29595" s="137" t="s">
        <v>74</v>
      </c>
    </row>
    <row r="29596" spans="9:9" x14ac:dyDescent="0.2">
      <c r="I29596" s="137" t="s">
        <v>74</v>
      </c>
    </row>
    <row r="29597" spans="9:9" x14ac:dyDescent="0.2">
      <c r="I29597" s="137" t="s">
        <v>74</v>
      </c>
    </row>
    <row r="29598" spans="9:9" x14ac:dyDescent="0.2">
      <c r="I29598" s="137" t="s">
        <v>74</v>
      </c>
    </row>
    <row r="29599" spans="9:9" x14ac:dyDescent="0.2">
      <c r="I29599" s="137" t="s">
        <v>74</v>
      </c>
    </row>
    <row r="29600" spans="9:9" x14ac:dyDescent="0.2">
      <c r="I29600" s="137" t="s">
        <v>74</v>
      </c>
    </row>
    <row r="29601" spans="9:9" x14ac:dyDescent="0.2">
      <c r="I29601" s="137" t="s">
        <v>74</v>
      </c>
    </row>
    <row r="29602" spans="9:9" x14ac:dyDescent="0.2">
      <c r="I29602" s="137" t="s">
        <v>74</v>
      </c>
    </row>
    <row r="29603" spans="9:9" x14ac:dyDescent="0.2">
      <c r="I29603" s="137" t="s">
        <v>74</v>
      </c>
    </row>
    <row r="29604" spans="9:9" x14ac:dyDescent="0.2">
      <c r="I29604" s="137" t="s">
        <v>74</v>
      </c>
    </row>
    <row r="29605" spans="9:9" x14ac:dyDescent="0.2">
      <c r="I29605" s="137" t="s">
        <v>74</v>
      </c>
    </row>
    <row r="29606" spans="9:9" x14ac:dyDescent="0.2">
      <c r="I29606" s="137" t="s">
        <v>74</v>
      </c>
    </row>
    <row r="29607" spans="9:9" x14ac:dyDescent="0.2">
      <c r="I29607" s="137" t="s">
        <v>74</v>
      </c>
    </row>
    <row r="29608" spans="9:9" x14ac:dyDescent="0.2">
      <c r="I29608" s="137" t="s">
        <v>74</v>
      </c>
    </row>
    <row r="29609" spans="9:9" x14ac:dyDescent="0.2">
      <c r="I29609" s="137" t="s">
        <v>74</v>
      </c>
    </row>
    <row r="29610" spans="9:9" x14ac:dyDescent="0.2">
      <c r="I29610" s="137" t="s">
        <v>74</v>
      </c>
    </row>
    <row r="29611" spans="9:9" x14ac:dyDescent="0.2">
      <c r="I29611" s="137" t="s">
        <v>74</v>
      </c>
    </row>
    <row r="29612" spans="9:9" x14ac:dyDescent="0.2">
      <c r="I29612" s="137" t="s">
        <v>74</v>
      </c>
    </row>
    <row r="29613" spans="9:9" x14ac:dyDescent="0.2">
      <c r="I29613" s="137" t="s">
        <v>74</v>
      </c>
    </row>
    <row r="29614" spans="9:9" x14ac:dyDescent="0.2">
      <c r="I29614" s="137" t="s">
        <v>74</v>
      </c>
    </row>
    <row r="29615" spans="9:9" x14ac:dyDescent="0.2">
      <c r="I29615" s="137" t="s">
        <v>74</v>
      </c>
    </row>
    <row r="29616" spans="9:9" x14ac:dyDescent="0.2">
      <c r="I29616" s="137" t="s">
        <v>74</v>
      </c>
    </row>
    <row r="29617" spans="9:9" x14ac:dyDescent="0.2">
      <c r="I29617" s="137" t="s">
        <v>74</v>
      </c>
    </row>
    <row r="29618" spans="9:9" x14ac:dyDescent="0.2">
      <c r="I29618" s="137" t="s">
        <v>74</v>
      </c>
    </row>
    <row r="29619" spans="9:9" x14ac:dyDescent="0.2">
      <c r="I29619" s="137" t="s">
        <v>74</v>
      </c>
    </row>
    <row r="29620" spans="9:9" x14ac:dyDescent="0.2">
      <c r="I29620" s="137" t="s">
        <v>74</v>
      </c>
    </row>
    <row r="29621" spans="9:9" x14ac:dyDescent="0.2">
      <c r="I29621" s="137" t="s">
        <v>74</v>
      </c>
    </row>
    <row r="29622" spans="9:9" x14ac:dyDescent="0.2">
      <c r="I29622" s="137" t="s">
        <v>74</v>
      </c>
    </row>
    <row r="29623" spans="9:9" x14ac:dyDescent="0.2">
      <c r="I29623" s="137" t="s">
        <v>74</v>
      </c>
    </row>
    <row r="29624" spans="9:9" x14ac:dyDescent="0.2">
      <c r="I29624" s="137" t="s">
        <v>74</v>
      </c>
    </row>
    <row r="29625" spans="9:9" x14ac:dyDescent="0.2">
      <c r="I29625" s="137" t="s">
        <v>74</v>
      </c>
    </row>
    <row r="29626" spans="9:9" x14ac:dyDescent="0.2">
      <c r="I29626" s="137" t="s">
        <v>74</v>
      </c>
    </row>
    <row r="29627" spans="9:9" x14ac:dyDescent="0.2">
      <c r="I29627" s="137" t="s">
        <v>74</v>
      </c>
    </row>
    <row r="29628" spans="9:9" x14ac:dyDescent="0.2">
      <c r="I29628" s="137" t="s">
        <v>74</v>
      </c>
    </row>
    <row r="29629" spans="9:9" x14ac:dyDescent="0.2">
      <c r="I29629" s="137" t="s">
        <v>74</v>
      </c>
    </row>
    <row r="29630" spans="9:9" x14ac:dyDescent="0.2">
      <c r="I29630" s="137" t="s">
        <v>74</v>
      </c>
    </row>
    <row r="29631" spans="9:9" x14ac:dyDescent="0.2">
      <c r="I29631" s="137" t="s">
        <v>74</v>
      </c>
    </row>
    <row r="29632" spans="9:9" x14ac:dyDescent="0.2">
      <c r="I29632" s="137" t="s">
        <v>74</v>
      </c>
    </row>
    <row r="29633" spans="9:9" x14ac:dyDescent="0.2">
      <c r="I29633" s="137" t="s">
        <v>74</v>
      </c>
    </row>
    <row r="29634" spans="9:9" x14ac:dyDescent="0.2">
      <c r="I29634" s="137" t="s">
        <v>74</v>
      </c>
    </row>
    <row r="29635" spans="9:9" x14ac:dyDescent="0.2">
      <c r="I29635" s="137" t="s">
        <v>74</v>
      </c>
    </row>
    <row r="29636" spans="9:9" x14ac:dyDescent="0.2">
      <c r="I29636" s="137" t="s">
        <v>74</v>
      </c>
    </row>
    <row r="29637" spans="9:9" x14ac:dyDescent="0.2">
      <c r="I29637" s="137" t="s">
        <v>74</v>
      </c>
    </row>
    <row r="29638" spans="9:9" x14ac:dyDescent="0.2">
      <c r="I29638" s="137" t="s">
        <v>74</v>
      </c>
    </row>
    <row r="29639" spans="9:9" x14ac:dyDescent="0.2">
      <c r="I29639" s="137" t="s">
        <v>74</v>
      </c>
    </row>
    <row r="29640" spans="9:9" x14ac:dyDescent="0.2">
      <c r="I29640" s="137" t="s">
        <v>74</v>
      </c>
    </row>
    <row r="29641" spans="9:9" x14ac:dyDescent="0.2">
      <c r="I29641" s="137" t="s">
        <v>74</v>
      </c>
    </row>
    <row r="29642" spans="9:9" x14ac:dyDescent="0.2">
      <c r="I29642" s="137" t="s">
        <v>74</v>
      </c>
    </row>
    <row r="29643" spans="9:9" x14ac:dyDescent="0.2">
      <c r="I29643" s="137" t="s">
        <v>74</v>
      </c>
    </row>
    <row r="29644" spans="9:9" x14ac:dyDescent="0.2">
      <c r="I29644" s="137" t="s">
        <v>74</v>
      </c>
    </row>
    <row r="29645" spans="9:9" x14ac:dyDescent="0.2">
      <c r="I29645" s="137" t="s">
        <v>74</v>
      </c>
    </row>
    <row r="29646" spans="9:9" x14ac:dyDescent="0.2">
      <c r="I29646" s="137" t="s">
        <v>74</v>
      </c>
    </row>
    <row r="29647" spans="9:9" x14ac:dyDescent="0.2">
      <c r="I29647" s="137" t="s">
        <v>74</v>
      </c>
    </row>
    <row r="29648" spans="9:9" x14ac:dyDescent="0.2">
      <c r="I29648" s="137" t="s">
        <v>74</v>
      </c>
    </row>
    <row r="29649" spans="9:9" x14ac:dyDescent="0.2">
      <c r="I29649" s="137" t="s">
        <v>74</v>
      </c>
    </row>
    <row r="29650" spans="9:9" x14ac:dyDescent="0.2">
      <c r="I29650" s="137" t="s">
        <v>74</v>
      </c>
    </row>
    <row r="29651" spans="9:9" x14ac:dyDescent="0.2">
      <c r="I29651" s="137" t="s">
        <v>74</v>
      </c>
    </row>
    <row r="29652" spans="9:9" x14ac:dyDescent="0.2">
      <c r="I29652" s="137" t="s">
        <v>74</v>
      </c>
    </row>
    <row r="29653" spans="9:9" x14ac:dyDescent="0.2">
      <c r="I29653" s="137" t="s">
        <v>74</v>
      </c>
    </row>
    <row r="29654" spans="9:9" x14ac:dyDescent="0.2">
      <c r="I29654" s="137" t="s">
        <v>74</v>
      </c>
    </row>
    <row r="29655" spans="9:9" x14ac:dyDescent="0.2">
      <c r="I29655" s="137" t="s">
        <v>74</v>
      </c>
    </row>
    <row r="29656" spans="9:9" x14ac:dyDescent="0.2">
      <c r="I29656" s="137" t="s">
        <v>74</v>
      </c>
    </row>
    <row r="29657" spans="9:9" x14ac:dyDescent="0.2">
      <c r="I29657" s="137" t="s">
        <v>74</v>
      </c>
    </row>
    <row r="29658" spans="9:9" x14ac:dyDescent="0.2">
      <c r="I29658" s="137" t="s">
        <v>74</v>
      </c>
    </row>
    <row r="29659" spans="9:9" x14ac:dyDescent="0.2">
      <c r="I29659" s="137" t="s">
        <v>74</v>
      </c>
    </row>
    <row r="29660" spans="9:9" x14ac:dyDescent="0.2">
      <c r="I29660" s="137" t="s">
        <v>74</v>
      </c>
    </row>
    <row r="29661" spans="9:9" x14ac:dyDescent="0.2">
      <c r="I29661" s="137" t="s">
        <v>74</v>
      </c>
    </row>
    <row r="29662" spans="9:9" x14ac:dyDescent="0.2">
      <c r="I29662" s="137" t="s">
        <v>74</v>
      </c>
    </row>
    <row r="29663" spans="9:9" x14ac:dyDescent="0.2">
      <c r="I29663" s="137" t="s">
        <v>74</v>
      </c>
    </row>
    <row r="29664" spans="9:9" x14ac:dyDescent="0.2">
      <c r="I29664" s="137" t="s">
        <v>74</v>
      </c>
    </row>
    <row r="29665" spans="9:9" x14ac:dyDescent="0.2">
      <c r="I29665" s="137" t="s">
        <v>74</v>
      </c>
    </row>
    <row r="29666" spans="9:9" x14ac:dyDescent="0.2">
      <c r="I29666" s="137" t="s">
        <v>74</v>
      </c>
    </row>
    <row r="29667" spans="9:9" x14ac:dyDescent="0.2">
      <c r="I29667" s="137" t="s">
        <v>74</v>
      </c>
    </row>
    <row r="29668" spans="9:9" x14ac:dyDescent="0.2">
      <c r="I29668" s="137" t="s">
        <v>74</v>
      </c>
    </row>
    <row r="29669" spans="9:9" x14ac:dyDescent="0.2">
      <c r="I29669" s="137" t="s">
        <v>74</v>
      </c>
    </row>
    <row r="29670" spans="9:9" x14ac:dyDescent="0.2">
      <c r="I29670" s="137" t="s">
        <v>74</v>
      </c>
    </row>
    <row r="29671" spans="9:9" x14ac:dyDescent="0.2">
      <c r="I29671" s="137" t="s">
        <v>74</v>
      </c>
    </row>
    <row r="29672" spans="9:9" x14ac:dyDescent="0.2">
      <c r="I29672" s="137" t="s">
        <v>74</v>
      </c>
    </row>
    <row r="29673" spans="9:9" x14ac:dyDescent="0.2">
      <c r="I29673" s="137" t="s">
        <v>74</v>
      </c>
    </row>
    <row r="29674" spans="9:9" x14ac:dyDescent="0.2">
      <c r="I29674" s="137" t="s">
        <v>74</v>
      </c>
    </row>
    <row r="29675" spans="9:9" x14ac:dyDescent="0.2">
      <c r="I29675" s="137" t="s">
        <v>74</v>
      </c>
    </row>
    <row r="29676" spans="9:9" x14ac:dyDescent="0.2">
      <c r="I29676" s="137" t="s">
        <v>74</v>
      </c>
    </row>
    <row r="29677" spans="9:9" x14ac:dyDescent="0.2">
      <c r="I29677" s="137" t="s">
        <v>74</v>
      </c>
    </row>
    <row r="29678" spans="9:9" x14ac:dyDescent="0.2">
      <c r="I29678" s="137" t="s">
        <v>74</v>
      </c>
    </row>
    <row r="29679" spans="9:9" x14ac:dyDescent="0.2">
      <c r="I29679" s="137" t="s">
        <v>74</v>
      </c>
    </row>
    <row r="29680" spans="9:9" x14ac:dyDescent="0.2">
      <c r="I29680" s="137" t="s">
        <v>74</v>
      </c>
    </row>
    <row r="29681" spans="9:9" x14ac:dyDescent="0.2">
      <c r="I29681" s="137" t="s">
        <v>74</v>
      </c>
    </row>
    <row r="29682" spans="9:9" x14ac:dyDescent="0.2">
      <c r="I29682" s="137" t="s">
        <v>74</v>
      </c>
    </row>
    <row r="29683" spans="9:9" x14ac:dyDescent="0.2">
      <c r="I29683" s="137" t="s">
        <v>74</v>
      </c>
    </row>
    <row r="29684" spans="9:9" x14ac:dyDescent="0.2">
      <c r="I29684" s="137" t="s">
        <v>74</v>
      </c>
    </row>
    <row r="29685" spans="9:9" x14ac:dyDescent="0.2">
      <c r="I29685" s="137" t="s">
        <v>74</v>
      </c>
    </row>
    <row r="29686" spans="9:9" x14ac:dyDescent="0.2">
      <c r="I29686" s="137" t="s">
        <v>74</v>
      </c>
    </row>
    <row r="29687" spans="9:9" x14ac:dyDescent="0.2">
      <c r="I29687" s="137" t="s">
        <v>74</v>
      </c>
    </row>
    <row r="29688" spans="9:9" x14ac:dyDescent="0.2">
      <c r="I29688" s="137" t="s">
        <v>74</v>
      </c>
    </row>
    <row r="29689" spans="9:9" x14ac:dyDescent="0.2">
      <c r="I29689" s="137" t="s">
        <v>74</v>
      </c>
    </row>
    <row r="29690" spans="9:9" x14ac:dyDescent="0.2">
      <c r="I29690" s="137" t="s">
        <v>74</v>
      </c>
    </row>
    <row r="29691" spans="9:9" x14ac:dyDescent="0.2">
      <c r="I29691" s="137" t="s">
        <v>74</v>
      </c>
    </row>
    <row r="29692" spans="9:9" x14ac:dyDescent="0.2">
      <c r="I29692" s="137" t="s">
        <v>74</v>
      </c>
    </row>
    <row r="29693" spans="9:9" x14ac:dyDescent="0.2">
      <c r="I29693" s="137" t="s">
        <v>74</v>
      </c>
    </row>
    <row r="29694" spans="9:9" x14ac:dyDescent="0.2">
      <c r="I29694" s="137" t="s">
        <v>74</v>
      </c>
    </row>
    <row r="29695" spans="9:9" x14ac:dyDescent="0.2">
      <c r="I29695" s="137" t="s">
        <v>74</v>
      </c>
    </row>
    <row r="29696" spans="9:9" x14ac:dyDescent="0.2">
      <c r="I29696" s="137" t="s">
        <v>74</v>
      </c>
    </row>
    <row r="29697" spans="9:9" x14ac:dyDescent="0.2">
      <c r="I29697" s="137" t="s">
        <v>74</v>
      </c>
    </row>
    <row r="29698" spans="9:9" x14ac:dyDescent="0.2">
      <c r="I29698" s="137" t="s">
        <v>74</v>
      </c>
    </row>
    <row r="29699" spans="9:9" x14ac:dyDescent="0.2">
      <c r="I29699" s="137" t="s">
        <v>74</v>
      </c>
    </row>
    <row r="29700" spans="9:9" x14ac:dyDescent="0.2">
      <c r="I29700" s="137" t="s">
        <v>74</v>
      </c>
    </row>
    <row r="29701" spans="9:9" x14ac:dyDescent="0.2">
      <c r="I29701" s="137" t="s">
        <v>74</v>
      </c>
    </row>
    <row r="29702" spans="9:9" x14ac:dyDescent="0.2">
      <c r="I29702" s="137" t="s">
        <v>74</v>
      </c>
    </row>
    <row r="29703" spans="9:9" x14ac:dyDescent="0.2">
      <c r="I29703" s="137" t="s">
        <v>74</v>
      </c>
    </row>
    <row r="29704" spans="9:9" x14ac:dyDescent="0.2">
      <c r="I29704" s="137" t="s">
        <v>74</v>
      </c>
    </row>
    <row r="29705" spans="9:9" x14ac:dyDescent="0.2">
      <c r="I29705" s="137" t="s">
        <v>74</v>
      </c>
    </row>
    <row r="29706" spans="9:9" x14ac:dyDescent="0.2">
      <c r="I29706" s="137" t="s">
        <v>74</v>
      </c>
    </row>
    <row r="29707" spans="9:9" x14ac:dyDescent="0.2">
      <c r="I29707" s="137" t="s">
        <v>74</v>
      </c>
    </row>
    <row r="29708" spans="9:9" x14ac:dyDescent="0.2">
      <c r="I29708" s="137" t="s">
        <v>74</v>
      </c>
    </row>
    <row r="29709" spans="9:9" x14ac:dyDescent="0.2">
      <c r="I29709" s="137" t="s">
        <v>74</v>
      </c>
    </row>
    <row r="29710" spans="9:9" x14ac:dyDescent="0.2">
      <c r="I29710" s="137" t="s">
        <v>74</v>
      </c>
    </row>
    <row r="29711" spans="9:9" x14ac:dyDescent="0.2">
      <c r="I29711" s="137" t="s">
        <v>74</v>
      </c>
    </row>
    <row r="29712" spans="9:9" x14ac:dyDescent="0.2">
      <c r="I29712" s="137" t="s">
        <v>74</v>
      </c>
    </row>
    <row r="29713" spans="9:9" x14ac:dyDescent="0.2">
      <c r="I29713" s="137" t="s">
        <v>74</v>
      </c>
    </row>
    <row r="29714" spans="9:9" x14ac:dyDescent="0.2">
      <c r="I29714" s="137" t="s">
        <v>74</v>
      </c>
    </row>
    <row r="29715" spans="9:9" x14ac:dyDescent="0.2">
      <c r="I29715" s="137" t="s">
        <v>74</v>
      </c>
    </row>
    <row r="29716" spans="9:9" x14ac:dyDescent="0.2">
      <c r="I29716" s="137" t="s">
        <v>74</v>
      </c>
    </row>
    <row r="29717" spans="9:9" x14ac:dyDescent="0.2">
      <c r="I29717" s="137" t="s">
        <v>74</v>
      </c>
    </row>
    <row r="29718" spans="9:9" x14ac:dyDescent="0.2">
      <c r="I29718" s="137" t="s">
        <v>74</v>
      </c>
    </row>
    <row r="29719" spans="9:9" x14ac:dyDescent="0.2">
      <c r="I29719" s="137" t="s">
        <v>74</v>
      </c>
    </row>
    <row r="29720" spans="9:9" x14ac:dyDescent="0.2">
      <c r="I29720" s="137" t="s">
        <v>74</v>
      </c>
    </row>
    <row r="29721" spans="9:9" x14ac:dyDescent="0.2">
      <c r="I29721" s="137" t="s">
        <v>74</v>
      </c>
    </row>
    <row r="29722" spans="9:9" x14ac:dyDescent="0.2">
      <c r="I29722" s="137" t="s">
        <v>74</v>
      </c>
    </row>
    <row r="29723" spans="9:9" x14ac:dyDescent="0.2">
      <c r="I29723" s="137" t="s">
        <v>74</v>
      </c>
    </row>
    <row r="29724" spans="9:9" x14ac:dyDescent="0.2">
      <c r="I29724" s="137" t="s">
        <v>74</v>
      </c>
    </row>
    <row r="29725" spans="9:9" x14ac:dyDescent="0.2">
      <c r="I29725" s="137" t="s">
        <v>74</v>
      </c>
    </row>
    <row r="29726" spans="9:9" x14ac:dyDescent="0.2">
      <c r="I29726" s="137" t="s">
        <v>74</v>
      </c>
    </row>
    <row r="29727" spans="9:9" x14ac:dyDescent="0.2">
      <c r="I29727" s="137" t="s">
        <v>74</v>
      </c>
    </row>
    <row r="29728" spans="9:9" x14ac:dyDescent="0.2">
      <c r="I29728" s="137" t="s">
        <v>74</v>
      </c>
    </row>
    <row r="29729" spans="9:9" x14ac:dyDescent="0.2">
      <c r="I29729" s="137" t="s">
        <v>74</v>
      </c>
    </row>
    <row r="29730" spans="9:9" x14ac:dyDescent="0.2">
      <c r="I29730" s="137" t="s">
        <v>74</v>
      </c>
    </row>
    <row r="29731" spans="9:9" x14ac:dyDescent="0.2">
      <c r="I29731" s="137" t="s">
        <v>74</v>
      </c>
    </row>
    <row r="29732" spans="9:9" x14ac:dyDescent="0.2">
      <c r="I29732" s="137" t="s">
        <v>74</v>
      </c>
    </row>
    <row r="29733" spans="9:9" x14ac:dyDescent="0.2">
      <c r="I29733" s="137" t="s">
        <v>74</v>
      </c>
    </row>
    <row r="29734" spans="9:9" x14ac:dyDescent="0.2">
      <c r="I29734" s="137" t="s">
        <v>74</v>
      </c>
    </row>
    <row r="29735" spans="9:9" x14ac:dyDescent="0.2">
      <c r="I29735" s="137" t="s">
        <v>74</v>
      </c>
    </row>
    <row r="29736" spans="9:9" x14ac:dyDescent="0.2">
      <c r="I29736" s="137" t="s">
        <v>74</v>
      </c>
    </row>
    <row r="29737" spans="9:9" x14ac:dyDescent="0.2">
      <c r="I29737" s="137" t="s">
        <v>74</v>
      </c>
    </row>
    <row r="29738" spans="9:9" x14ac:dyDescent="0.2">
      <c r="I29738" s="137" t="s">
        <v>74</v>
      </c>
    </row>
    <row r="29739" spans="9:9" x14ac:dyDescent="0.2">
      <c r="I29739" s="137" t="s">
        <v>74</v>
      </c>
    </row>
    <row r="29740" spans="9:9" x14ac:dyDescent="0.2">
      <c r="I29740" s="137" t="s">
        <v>74</v>
      </c>
    </row>
    <row r="29741" spans="9:9" x14ac:dyDescent="0.2">
      <c r="I29741" s="137" t="s">
        <v>74</v>
      </c>
    </row>
    <row r="29742" spans="9:9" x14ac:dyDescent="0.2">
      <c r="I29742" s="137" t="s">
        <v>74</v>
      </c>
    </row>
    <row r="29743" spans="9:9" x14ac:dyDescent="0.2">
      <c r="I29743" s="137" t="s">
        <v>74</v>
      </c>
    </row>
    <row r="29744" spans="9:9" x14ac:dyDescent="0.2">
      <c r="I29744" s="137" t="s">
        <v>74</v>
      </c>
    </row>
    <row r="29745" spans="9:9" x14ac:dyDescent="0.2">
      <c r="I29745" s="137" t="s">
        <v>74</v>
      </c>
    </row>
    <row r="29746" spans="9:9" x14ac:dyDescent="0.2">
      <c r="I29746" s="137" t="s">
        <v>74</v>
      </c>
    </row>
    <row r="29747" spans="9:9" x14ac:dyDescent="0.2">
      <c r="I29747" s="137" t="s">
        <v>74</v>
      </c>
    </row>
    <row r="29748" spans="9:9" x14ac:dyDescent="0.2">
      <c r="I29748" s="137" t="s">
        <v>74</v>
      </c>
    </row>
    <row r="29749" spans="9:9" x14ac:dyDescent="0.2">
      <c r="I29749" s="137" t="s">
        <v>74</v>
      </c>
    </row>
    <row r="29750" spans="9:9" x14ac:dyDescent="0.2">
      <c r="I29750" s="137" t="s">
        <v>74</v>
      </c>
    </row>
    <row r="29751" spans="9:9" x14ac:dyDescent="0.2">
      <c r="I29751" s="137" t="s">
        <v>74</v>
      </c>
    </row>
    <row r="29752" spans="9:9" x14ac:dyDescent="0.2">
      <c r="I29752" s="137" t="s">
        <v>74</v>
      </c>
    </row>
    <row r="29753" spans="9:9" x14ac:dyDescent="0.2">
      <c r="I29753" s="137" t="s">
        <v>74</v>
      </c>
    </row>
    <row r="29754" spans="9:9" x14ac:dyDescent="0.2">
      <c r="I29754" s="137" t="s">
        <v>74</v>
      </c>
    </row>
    <row r="29755" spans="9:9" x14ac:dyDescent="0.2">
      <c r="I29755" s="137" t="s">
        <v>74</v>
      </c>
    </row>
    <row r="29756" spans="9:9" x14ac:dyDescent="0.2">
      <c r="I29756" s="137" t="s">
        <v>74</v>
      </c>
    </row>
    <row r="29757" spans="9:9" x14ac:dyDescent="0.2">
      <c r="I29757" s="137" t="s">
        <v>74</v>
      </c>
    </row>
    <row r="29758" spans="9:9" x14ac:dyDescent="0.2">
      <c r="I29758" s="137" t="s">
        <v>74</v>
      </c>
    </row>
    <row r="29759" spans="9:9" x14ac:dyDescent="0.2">
      <c r="I29759" s="137" t="s">
        <v>74</v>
      </c>
    </row>
    <row r="29760" spans="9:9" x14ac:dyDescent="0.2">
      <c r="I29760" s="137" t="s">
        <v>74</v>
      </c>
    </row>
    <row r="29761" spans="9:9" x14ac:dyDescent="0.2">
      <c r="I29761" s="137" t="s">
        <v>74</v>
      </c>
    </row>
    <row r="29762" spans="9:9" x14ac:dyDescent="0.2">
      <c r="I29762" s="137" t="s">
        <v>74</v>
      </c>
    </row>
    <row r="29763" spans="9:9" x14ac:dyDescent="0.2">
      <c r="I29763" s="137" t="s">
        <v>74</v>
      </c>
    </row>
    <row r="29764" spans="9:9" x14ac:dyDescent="0.2">
      <c r="I29764" s="137" t="s">
        <v>74</v>
      </c>
    </row>
    <row r="29765" spans="9:9" x14ac:dyDescent="0.2">
      <c r="I29765" s="137" t="s">
        <v>74</v>
      </c>
    </row>
    <row r="29766" spans="9:9" x14ac:dyDescent="0.2">
      <c r="I29766" s="137" t="s">
        <v>74</v>
      </c>
    </row>
    <row r="29767" spans="9:9" x14ac:dyDescent="0.2">
      <c r="I29767" s="137" t="s">
        <v>74</v>
      </c>
    </row>
    <row r="29768" spans="9:9" x14ac:dyDescent="0.2">
      <c r="I29768" s="137" t="s">
        <v>74</v>
      </c>
    </row>
    <row r="29769" spans="9:9" x14ac:dyDescent="0.2">
      <c r="I29769" s="137" t="s">
        <v>74</v>
      </c>
    </row>
    <row r="29770" spans="9:9" x14ac:dyDescent="0.2">
      <c r="I29770" s="137" t="s">
        <v>74</v>
      </c>
    </row>
    <row r="29771" spans="9:9" x14ac:dyDescent="0.2">
      <c r="I29771" s="137" t="s">
        <v>74</v>
      </c>
    </row>
    <row r="29772" spans="9:9" x14ac:dyDescent="0.2">
      <c r="I29772" s="137" t="s">
        <v>74</v>
      </c>
    </row>
    <row r="29773" spans="9:9" x14ac:dyDescent="0.2">
      <c r="I29773" s="137" t="s">
        <v>74</v>
      </c>
    </row>
    <row r="29774" spans="9:9" x14ac:dyDescent="0.2">
      <c r="I29774" s="137" t="s">
        <v>74</v>
      </c>
    </row>
    <row r="29775" spans="9:9" x14ac:dyDescent="0.2">
      <c r="I29775" s="137" t="s">
        <v>74</v>
      </c>
    </row>
    <row r="29776" spans="9:9" x14ac:dyDescent="0.2">
      <c r="I29776" s="137" t="s">
        <v>74</v>
      </c>
    </row>
    <row r="29777" spans="9:9" x14ac:dyDescent="0.2">
      <c r="I29777" s="137" t="s">
        <v>74</v>
      </c>
    </row>
    <row r="29778" spans="9:9" x14ac:dyDescent="0.2">
      <c r="I29778" s="137" t="s">
        <v>74</v>
      </c>
    </row>
    <row r="29779" spans="9:9" x14ac:dyDescent="0.2">
      <c r="I29779" s="137" t="s">
        <v>74</v>
      </c>
    </row>
    <row r="29780" spans="9:9" x14ac:dyDescent="0.2">
      <c r="I29780" s="137" t="s">
        <v>74</v>
      </c>
    </row>
    <row r="29781" spans="9:9" x14ac:dyDescent="0.2">
      <c r="I29781" s="137" t="s">
        <v>74</v>
      </c>
    </row>
    <row r="29782" spans="9:9" x14ac:dyDescent="0.2">
      <c r="I29782" s="137" t="s">
        <v>74</v>
      </c>
    </row>
    <row r="29783" spans="9:9" x14ac:dyDescent="0.2">
      <c r="I29783" s="137" t="s">
        <v>74</v>
      </c>
    </row>
    <row r="29784" spans="9:9" x14ac:dyDescent="0.2">
      <c r="I29784" s="137" t="s">
        <v>74</v>
      </c>
    </row>
    <row r="29785" spans="9:9" x14ac:dyDescent="0.2">
      <c r="I29785" s="137" t="s">
        <v>74</v>
      </c>
    </row>
    <row r="29786" spans="9:9" x14ac:dyDescent="0.2">
      <c r="I29786" s="137" t="s">
        <v>74</v>
      </c>
    </row>
    <row r="29787" spans="9:9" x14ac:dyDescent="0.2">
      <c r="I29787" s="137" t="s">
        <v>74</v>
      </c>
    </row>
    <row r="29788" spans="9:9" x14ac:dyDescent="0.2">
      <c r="I29788" s="137" t="s">
        <v>74</v>
      </c>
    </row>
    <row r="29789" spans="9:9" x14ac:dyDescent="0.2">
      <c r="I29789" s="137" t="s">
        <v>74</v>
      </c>
    </row>
    <row r="29790" spans="9:9" x14ac:dyDescent="0.2">
      <c r="I29790" s="137" t="s">
        <v>74</v>
      </c>
    </row>
    <row r="29791" spans="9:9" x14ac:dyDescent="0.2">
      <c r="I29791" s="137" t="s">
        <v>74</v>
      </c>
    </row>
    <row r="29792" spans="9:9" x14ac:dyDescent="0.2">
      <c r="I29792" s="137" t="s">
        <v>74</v>
      </c>
    </row>
    <row r="29793" spans="9:9" x14ac:dyDescent="0.2">
      <c r="I29793" s="137" t="s">
        <v>74</v>
      </c>
    </row>
    <row r="29794" spans="9:9" x14ac:dyDescent="0.2">
      <c r="I29794" s="137" t="s">
        <v>74</v>
      </c>
    </row>
    <row r="29795" spans="9:9" x14ac:dyDescent="0.2">
      <c r="I29795" s="137" t="s">
        <v>74</v>
      </c>
    </row>
    <row r="29796" spans="9:9" x14ac:dyDescent="0.2">
      <c r="I29796" s="137" t="s">
        <v>74</v>
      </c>
    </row>
    <row r="29797" spans="9:9" x14ac:dyDescent="0.2">
      <c r="I29797" s="137" t="s">
        <v>74</v>
      </c>
    </row>
    <row r="29798" spans="9:9" x14ac:dyDescent="0.2">
      <c r="I29798" s="137" t="s">
        <v>74</v>
      </c>
    </row>
    <row r="29799" spans="9:9" x14ac:dyDescent="0.2">
      <c r="I29799" s="137" t="s">
        <v>74</v>
      </c>
    </row>
    <row r="29800" spans="9:9" x14ac:dyDescent="0.2">
      <c r="I29800" s="137" t="s">
        <v>74</v>
      </c>
    </row>
    <row r="29801" spans="9:9" x14ac:dyDescent="0.2">
      <c r="I29801" s="137" t="s">
        <v>74</v>
      </c>
    </row>
    <row r="29802" spans="9:9" x14ac:dyDescent="0.2">
      <c r="I29802" s="137" t="s">
        <v>74</v>
      </c>
    </row>
    <row r="29803" spans="9:9" x14ac:dyDescent="0.2">
      <c r="I29803" s="137" t="s">
        <v>74</v>
      </c>
    </row>
    <row r="29804" spans="9:9" x14ac:dyDescent="0.2">
      <c r="I29804" s="137" t="s">
        <v>74</v>
      </c>
    </row>
    <row r="29805" spans="9:9" x14ac:dyDescent="0.2">
      <c r="I29805" s="137" t="s">
        <v>74</v>
      </c>
    </row>
    <row r="29806" spans="9:9" x14ac:dyDescent="0.2">
      <c r="I29806" s="137" t="s">
        <v>74</v>
      </c>
    </row>
    <row r="29807" spans="9:9" x14ac:dyDescent="0.2">
      <c r="I29807" s="137" t="s">
        <v>74</v>
      </c>
    </row>
    <row r="29808" spans="9:9" x14ac:dyDescent="0.2">
      <c r="I29808" s="137" t="s">
        <v>74</v>
      </c>
    </row>
    <row r="29809" spans="9:9" x14ac:dyDescent="0.2">
      <c r="I29809" s="137" t="s">
        <v>74</v>
      </c>
    </row>
    <row r="29810" spans="9:9" x14ac:dyDescent="0.2">
      <c r="I29810" s="137" t="s">
        <v>74</v>
      </c>
    </row>
    <row r="29811" spans="9:9" x14ac:dyDescent="0.2">
      <c r="I29811" s="137" t="s">
        <v>74</v>
      </c>
    </row>
    <row r="29812" spans="9:9" x14ac:dyDescent="0.2">
      <c r="I29812" s="137" t="s">
        <v>74</v>
      </c>
    </row>
    <row r="29813" spans="9:9" x14ac:dyDescent="0.2">
      <c r="I29813" s="137" t="s">
        <v>74</v>
      </c>
    </row>
    <row r="29814" spans="9:9" x14ac:dyDescent="0.2">
      <c r="I29814" s="137" t="s">
        <v>74</v>
      </c>
    </row>
    <row r="29815" spans="9:9" x14ac:dyDescent="0.2">
      <c r="I29815" s="137" t="s">
        <v>74</v>
      </c>
    </row>
    <row r="29816" spans="9:9" x14ac:dyDescent="0.2">
      <c r="I29816" s="137" t="s">
        <v>74</v>
      </c>
    </row>
    <row r="29817" spans="9:9" x14ac:dyDescent="0.2">
      <c r="I29817" s="137" t="s">
        <v>74</v>
      </c>
    </row>
    <row r="29818" spans="9:9" x14ac:dyDescent="0.2">
      <c r="I29818" s="137" t="s">
        <v>74</v>
      </c>
    </row>
    <row r="29819" spans="9:9" x14ac:dyDescent="0.2">
      <c r="I29819" s="137" t="s">
        <v>74</v>
      </c>
    </row>
    <row r="29820" spans="9:9" x14ac:dyDescent="0.2">
      <c r="I29820" s="137" t="s">
        <v>74</v>
      </c>
    </row>
    <row r="29821" spans="9:9" x14ac:dyDescent="0.2">
      <c r="I29821" s="137" t="s">
        <v>74</v>
      </c>
    </row>
    <row r="29822" spans="9:9" x14ac:dyDescent="0.2">
      <c r="I29822" s="137" t="s">
        <v>74</v>
      </c>
    </row>
    <row r="29823" spans="9:9" x14ac:dyDescent="0.2">
      <c r="I29823" s="137" t="s">
        <v>74</v>
      </c>
    </row>
    <row r="29824" spans="9:9" x14ac:dyDescent="0.2">
      <c r="I29824" s="137" t="s">
        <v>74</v>
      </c>
    </row>
    <row r="29825" spans="9:9" x14ac:dyDescent="0.2">
      <c r="I29825" s="137" t="s">
        <v>74</v>
      </c>
    </row>
    <row r="29826" spans="9:9" x14ac:dyDescent="0.2">
      <c r="I29826" s="137" t="s">
        <v>74</v>
      </c>
    </row>
    <row r="29827" spans="9:9" x14ac:dyDescent="0.2">
      <c r="I29827" s="137" t="s">
        <v>74</v>
      </c>
    </row>
    <row r="29828" spans="9:9" x14ac:dyDescent="0.2">
      <c r="I29828" s="137" t="s">
        <v>74</v>
      </c>
    </row>
    <row r="29829" spans="9:9" x14ac:dyDescent="0.2">
      <c r="I29829" s="137" t="s">
        <v>74</v>
      </c>
    </row>
    <row r="29830" spans="9:9" x14ac:dyDescent="0.2">
      <c r="I29830" s="137" t="s">
        <v>74</v>
      </c>
    </row>
    <row r="29831" spans="9:9" x14ac:dyDescent="0.2">
      <c r="I29831" s="137" t="s">
        <v>74</v>
      </c>
    </row>
    <row r="29832" spans="9:9" x14ac:dyDescent="0.2">
      <c r="I29832" s="137" t="s">
        <v>74</v>
      </c>
    </row>
    <row r="29833" spans="9:9" x14ac:dyDescent="0.2">
      <c r="I29833" s="137" t="s">
        <v>74</v>
      </c>
    </row>
    <row r="29834" spans="9:9" x14ac:dyDescent="0.2">
      <c r="I29834" s="137" t="s">
        <v>74</v>
      </c>
    </row>
    <row r="29835" spans="9:9" x14ac:dyDescent="0.2">
      <c r="I29835" s="137" t="s">
        <v>74</v>
      </c>
    </row>
    <row r="29836" spans="9:9" x14ac:dyDescent="0.2">
      <c r="I29836" s="137" t="s">
        <v>74</v>
      </c>
    </row>
    <row r="29837" spans="9:9" x14ac:dyDescent="0.2">
      <c r="I29837" s="137" t="s">
        <v>74</v>
      </c>
    </row>
    <row r="29838" spans="9:9" x14ac:dyDescent="0.2">
      <c r="I29838" s="137" t="s">
        <v>74</v>
      </c>
    </row>
    <row r="29839" spans="9:9" x14ac:dyDescent="0.2">
      <c r="I29839" s="137" t="s">
        <v>74</v>
      </c>
    </row>
    <row r="29840" spans="9:9" x14ac:dyDescent="0.2">
      <c r="I29840" s="137" t="s">
        <v>74</v>
      </c>
    </row>
    <row r="29841" spans="9:9" x14ac:dyDescent="0.2">
      <c r="I29841" s="137" t="s">
        <v>74</v>
      </c>
    </row>
    <row r="29842" spans="9:9" x14ac:dyDescent="0.2">
      <c r="I29842" s="137" t="s">
        <v>74</v>
      </c>
    </row>
    <row r="29843" spans="9:9" x14ac:dyDescent="0.2">
      <c r="I29843" s="137" t="s">
        <v>74</v>
      </c>
    </row>
    <row r="29844" spans="9:9" x14ac:dyDescent="0.2">
      <c r="I29844" s="137" t="s">
        <v>74</v>
      </c>
    </row>
    <row r="29845" spans="9:9" x14ac:dyDescent="0.2">
      <c r="I29845" s="137" t="s">
        <v>74</v>
      </c>
    </row>
    <row r="29846" spans="9:9" x14ac:dyDescent="0.2">
      <c r="I29846" s="137" t="s">
        <v>74</v>
      </c>
    </row>
    <row r="29847" spans="9:9" x14ac:dyDescent="0.2">
      <c r="I29847" s="137" t="s">
        <v>74</v>
      </c>
    </row>
    <row r="29848" spans="9:9" x14ac:dyDescent="0.2">
      <c r="I29848" s="137" t="s">
        <v>74</v>
      </c>
    </row>
    <row r="29849" spans="9:9" x14ac:dyDescent="0.2">
      <c r="I29849" s="137" t="s">
        <v>74</v>
      </c>
    </row>
    <row r="29850" spans="9:9" x14ac:dyDescent="0.2">
      <c r="I29850" s="137" t="s">
        <v>74</v>
      </c>
    </row>
    <row r="29851" spans="9:9" x14ac:dyDescent="0.2">
      <c r="I29851" s="137" t="s">
        <v>74</v>
      </c>
    </row>
    <row r="29852" spans="9:9" x14ac:dyDescent="0.2">
      <c r="I29852" s="137" t="s">
        <v>74</v>
      </c>
    </row>
    <row r="29853" spans="9:9" x14ac:dyDescent="0.2">
      <c r="I29853" s="137" t="s">
        <v>74</v>
      </c>
    </row>
    <row r="29854" spans="9:9" x14ac:dyDescent="0.2">
      <c r="I29854" s="137" t="s">
        <v>74</v>
      </c>
    </row>
    <row r="29855" spans="9:9" x14ac:dyDescent="0.2">
      <c r="I29855" s="137" t="s">
        <v>74</v>
      </c>
    </row>
    <row r="29856" spans="9:9" x14ac:dyDescent="0.2">
      <c r="I29856" s="137" t="s">
        <v>74</v>
      </c>
    </row>
    <row r="29857" spans="9:9" x14ac:dyDescent="0.2">
      <c r="I29857" s="137" t="s">
        <v>74</v>
      </c>
    </row>
    <row r="29858" spans="9:9" x14ac:dyDescent="0.2">
      <c r="I29858" s="137" t="s">
        <v>74</v>
      </c>
    </row>
    <row r="29859" spans="9:9" x14ac:dyDescent="0.2">
      <c r="I29859" s="137" t="s">
        <v>74</v>
      </c>
    </row>
    <row r="29860" spans="9:9" x14ac:dyDescent="0.2">
      <c r="I29860" s="137" t="s">
        <v>74</v>
      </c>
    </row>
    <row r="29861" spans="9:9" x14ac:dyDescent="0.2">
      <c r="I29861" s="137" t="s">
        <v>74</v>
      </c>
    </row>
    <row r="29862" spans="9:9" x14ac:dyDescent="0.2">
      <c r="I29862" s="137" t="s">
        <v>74</v>
      </c>
    </row>
    <row r="29863" spans="9:9" x14ac:dyDescent="0.2">
      <c r="I29863" s="137" t="s">
        <v>74</v>
      </c>
    </row>
    <row r="29864" spans="9:9" x14ac:dyDescent="0.2">
      <c r="I29864" s="137" t="s">
        <v>74</v>
      </c>
    </row>
    <row r="29865" spans="9:9" x14ac:dyDescent="0.2">
      <c r="I29865" s="137" t="s">
        <v>74</v>
      </c>
    </row>
    <row r="29866" spans="9:9" x14ac:dyDescent="0.2">
      <c r="I29866" s="137" t="s">
        <v>74</v>
      </c>
    </row>
    <row r="29867" spans="9:9" x14ac:dyDescent="0.2">
      <c r="I29867" s="137" t="s">
        <v>74</v>
      </c>
    </row>
    <row r="29868" spans="9:9" x14ac:dyDescent="0.2">
      <c r="I29868" s="137" t="s">
        <v>74</v>
      </c>
    </row>
    <row r="29869" spans="9:9" x14ac:dyDescent="0.2">
      <c r="I29869" s="137" t="s">
        <v>74</v>
      </c>
    </row>
    <row r="29870" spans="9:9" x14ac:dyDescent="0.2">
      <c r="I29870" s="137" t="s">
        <v>74</v>
      </c>
    </row>
    <row r="29871" spans="9:9" x14ac:dyDescent="0.2">
      <c r="I29871" s="137" t="s">
        <v>74</v>
      </c>
    </row>
    <row r="29872" spans="9:9" x14ac:dyDescent="0.2">
      <c r="I29872" s="137" t="s">
        <v>74</v>
      </c>
    </row>
    <row r="29873" spans="9:9" x14ac:dyDescent="0.2">
      <c r="I29873" s="137" t="s">
        <v>74</v>
      </c>
    </row>
    <row r="29874" spans="9:9" x14ac:dyDescent="0.2">
      <c r="I29874" s="137" t="s">
        <v>74</v>
      </c>
    </row>
    <row r="29875" spans="9:9" x14ac:dyDescent="0.2">
      <c r="I29875" s="137" t="s">
        <v>74</v>
      </c>
    </row>
    <row r="29876" spans="9:9" x14ac:dyDescent="0.2">
      <c r="I29876" s="137" t="s">
        <v>74</v>
      </c>
    </row>
    <row r="29877" spans="9:9" x14ac:dyDescent="0.2">
      <c r="I29877" s="137" t="s">
        <v>74</v>
      </c>
    </row>
    <row r="29878" spans="9:9" x14ac:dyDescent="0.2">
      <c r="I29878" s="137" t="s">
        <v>74</v>
      </c>
    </row>
    <row r="29879" spans="9:9" x14ac:dyDescent="0.2">
      <c r="I29879" s="137" t="s">
        <v>74</v>
      </c>
    </row>
    <row r="29880" spans="9:9" x14ac:dyDescent="0.2">
      <c r="I29880" s="137" t="s">
        <v>74</v>
      </c>
    </row>
    <row r="29881" spans="9:9" x14ac:dyDescent="0.2">
      <c r="I29881" s="137" t="s">
        <v>74</v>
      </c>
    </row>
    <row r="29882" spans="9:9" x14ac:dyDescent="0.2">
      <c r="I29882" s="137" t="s">
        <v>74</v>
      </c>
    </row>
    <row r="29883" spans="9:9" x14ac:dyDescent="0.2">
      <c r="I29883" s="137" t="s">
        <v>74</v>
      </c>
    </row>
    <row r="29884" spans="9:9" x14ac:dyDescent="0.2">
      <c r="I29884" s="137" t="s">
        <v>74</v>
      </c>
    </row>
    <row r="29885" spans="9:9" x14ac:dyDescent="0.2">
      <c r="I29885" s="137" t="s">
        <v>74</v>
      </c>
    </row>
    <row r="29886" spans="9:9" x14ac:dyDescent="0.2">
      <c r="I29886" s="137" t="s">
        <v>74</v>
      </c>
    </row>
    <row r="29887" spans="9:9" x14ac:dyDescent="0.2">
      <c r="I29887" s="137" t="s">
        <v>74</v>
      </c>
    </row>
    <row r="29888" spans="9:9" x14ac:dyDescent="0.2">
      <c r="I29888" s="137" t="s">
        <v>74</v>
      </c>
    </row>
    <row r="29889" spans="9:9" x14ac:dyDescent="0.2">
      <c r="I29889" s="137" t="s">
        <v>74</v>
      </c>
    </row>
    <row r="29890" spans="9:9" x14ac:dyDescent="0.2">
      <c r="I29890" s="137" t="s">
        <v>74</v>
      </c>
    </row>
    <row r="29891" spans="9:9" x14ac:dyDescent="0.2">
      <c r="I29891" s="137" t="s">
        <v>74</v>
      </c>
    </row>
    <row r="29892" spans="9:9" x14ac:dyDescent="0.2">
      <c r="I29892" s="137" t="s">
        <v>74</v>
      </c>
    </row>
    <row r="29893" spans="9:9" x14ac:dyDescent="0.2">
      <c r="I29893" s="137" t="s">
        <v>74</v>
      </c>
    </row>
    <row r="29894" spans="9:9" x14ac:dyDescent="0.2">
      <c r="I29894" s="137" t="s">
        <v>74</v>
      </c>
    </row>
    <row r="29895" spans="9:9" x14ac:dyDescent="0.2">
      <c r="I29895" s="137" t="s">
        <v>74</v>
      </c>
    </row>
    <row r="29896" spans="9:9" x14ac:dyDescent="0.2">
      <c r="I29896" s="137" t="s">
        <v>74</v>
      </c>
    </row>
    <row r="29897" spans="9:9" x14ac:dyDescent="0.2">
      <c r="I29897" s="137" t="s">
        <v>74</v>
      </c>
    </row>
    <row r="29898" spans="9:9" x14ac:dyDescent="0.2">
      <c r="I29898" s="137" t="s">
        <v>74</v>
      </c>
    </row>
    <row r="29899" spans="9:9" x14ac:dyDescent="0.2">
      <c r="I29899" s="137" t="s">
        <v>74</v>
      </c>
    </row>
    <row r="29900" spans="9:9" x14ac:dyDescent="0.2">
      <c r="I29900" s="137" t="s">
        <v>74</v>
      </c>
    </row>
    <row r="29901" spans="9:9" x14ac:dyDescent="0.2">
      <c r="I29901" s="137" t="s">
        <v>74</v>
      </c>
    </row>
    <row r="29902" spans="9:9" x14ac:dyDescent="0.2">
      <c r="I29902" s="137" t="s">
        <v>74</v>
      </c>
    </row>
    <row r="29903" spans="9:9" x14ac:dyDescent="0.2">
      <c r="I29903" s="137" t="s">
        <v>74</v>
      </c>
    </row>
    <row r="29904" spans="9:9" x14ac:dyDescent="0.2">
      <c r="I29904" s="137" t="s">
        <v>74</v>
      </c>
    </row>
    <row r="29905" spans="9:9" x14ac:dyDescent="0.2">
      <c r="I29905" s="137" t="s">
        <v>74</v>
      </c>
    </row>
    <row r="29906" spans="9:9" x14ac:dyDescent="0.2">
      <c r="I29906" s="137" t="s">
        <v>74</v>
      </c>
    </row>
    <row r="29907" spans="9:9" x14ac:dyDescent="0.2">
      <c r="I29907" s="137" t="s">
        <v>74</v>
      </c>
    </row>
    <row r="29908" spans="9:9" x14ac:dyDescent="0.2">
      <c r="I29908" s="137" t="s">
        <v>74</v>
      </c>
    </row>
    <row r="29909" spans="9:9" x14ac:dyDescent="0.2">
      <c r="I29909" s="137" t="s">
        <v>74</v>
      </c>
    </row>
    <row r="29910" spans="9:9" x14ac:dyDescent="0.2">
      <c r="I29910" s="137" t="s">
        <v>74</v>
      </c>
    </row>
    <row r="29911" spans="9:9" x14ac:dyDescent="0.2">
      <c r="I29911" s="137" t="s">
        <v>74</v>
      </c>
    </row>
    <row r="29912" spans="9:9" x14ac:dyDescent="0.2">
      <c r="I29912" s="137" t="s">
        <v>74</v>
      </c>
    </row>
    <row r="29913" spans="9:9" x14ac:dyDescent="0.2">
      <c r="I29913" s="137" t="s">
        <v>74</v>
      </c>
    </row>
    <row r="29914" spans="9:9" x14ac:dyDescent="0.2">
      <c r="I29914" s="137" t="s">
        <v>74</v>
      </c>
    </row>
    <row r="29915" spans="9:9" x14ac:dyDescent="0.2">
      <c r="I29915" s="137" t="s">
        <v>74</v>
      </c>
    </row>
    <row r="29916" spans="9:9" x14ac:dyDescent="0.2">
      <c r="I29916" s="137" t="s">
        <v>74</v>
      </c>
    </row>
    <row r="29917" spans="9:9" x14ac:dyDescent="0.2">
      <c r="I29917" s="137" t="s">
        <v>74</v>
      </c>
    </row>
    <row r="29918" spans="9:9" x14ac:dyDescent="0.2">
      <c r="I29918" s="137" t="s">
        <v>74</v>
      </c>
    </row>
    <row r="29919" spans="9:9" x14ac:dyDescent="0.2">
      <c r="I29919" s="137" t="s">
        <v>74</v>
      </c>
    </row>
    <row r="29920" spans="9:9" x14ac:dyDescent="0.2">
      <c r="I29920" s="137" t="s">
        <v>74</v>
      </c>
    </row>
    <row r="29921" spans="9:9" x14ac:dyDescent="0.2">
      <c r="I29921" s="137" t="s">
        <v>74</v>
      </c>
    </row>
    <row r="29922" spans="9:9" x14ac:dyDescent="0.2">
      <c r="I29922" s="137" t="s">
        <v>74</v>
      </c>
    </row>
    <row r="29923" spans="9:9" x14ac:dyDescent="0.2">
      <c r="I29923" s="137" t="s">
        <v>74</v>
      </c>
    </row>
    <row r="29924" spans="9:9" x14ac:dyDescent="0.2">
      <c r="I29924" s="137" t="s">
        <v>74</v>
      </c>
    </row>
    <row r="29925" spans="9:9" x14ac:dyDescent="0.2">
      <c r="I29925" s="137" t="s">
        <v>74</v>
      </c>
    </row>
    <row r="29926" spans="9:9" x14ac:dyDescent="0.2">
      <c r="I29926" s="137" t="s">
        <v>74</v>
      </c>
    </row>
    <row r="29927" spans="9:9" x14ac:dyDescent="0.2">
      <c r="I29927" s="137" t="s">
        <v>74</v>
      </c>
    </row>
    <row r="29928" spans="9:9" x14ac:dyDescent="0.2">
      <c r="I29928" s="137" t="s">
        <v>74</v>
      </c>
    </row>
    <row r="29929" spans="9:9" x14ac:dyDescent="0.2">
      <c r="I29929" s="137" t="s">
        <v>74</v>
      </c>
    </row>
    <row r="29930" spans="9:9" x14ac:dyDescent="0.2">
      <c r="I29930" s="137" t="s">
        <v>74</v>
      </c>
    </row>
    <row r="29931" spans="9:9" x14ac:dyDescent="0.2">
      <c r="I29931" s="137" t="s">
        <v>74</v>
      </c>
    </row>
    <row r="29932" spans="9:9" x14ac:dyDescent="0.2">
      <c r="I29932" s="137" t="s">
        <v>74</v>
      </c>
    </row>
    <row r="29933" spans="9:9" x14ac:dyDescent="0.2">
      <c r="I29933" s="137" t="s">
        <v>74</v>
      </c>
    </row>
    <row r="29934" spans="9:9" x14ac:dyDescent="0.2">
      <c r="I29934" s="137" t="s">
        <v>74</v>
      </c>
    </row>
    <row r="29935" spans="9:9" x14ac:dyDescent="0.2">
      <c r="I29935" s="137" t="s">
        <v>74</v>
      </c>
    </row>
    <row r="29936" spans="9:9" x14ac:dyDescent="0.2">
      <c r="I29936" s="137" t="s">
        <v>74</v>
      </c>
    </row>
    <row r="29937" spans="9:9" x14ac:dyDescent="0.2">
      <c r="I29937" s="137" t="s">
        <v>74</v>
      </c>
    </row>
    <row r="29938" spans="9:9" x14ac:dyDescent="0.2">
      <c r="I29938" s="137" t="s">
        <v>74</v>
      </c>
    </row>
    <row r="29939" spans="9:9" x14ac:dyDescent="0.2">
      <c r="I29939" s="137" t="s">
        <v>74</v>
      </c>
    </row>
    <row r="29940" spans="9:9" x14ac:dyDescent="0.2">
      <c r="I29940" s="137" t="s">
        <v>74</v>
      </c>
    </row>
    <row r="29941" spans="9:9" x14ac:dyDescent="0.2">
      <c r="I29941" s="137" t="s">
        <v>74</v>
      </c>
    </row>
    <row r="29942" spans="9:9" x14ac:dyDescent="0.2">
      <c r="I29942" s="137" t="s">
        <v>74</v>
      </c>
    </row>
    <row r="29943" spans="9:9" x14ac:dyDescent="0.2">
      <c r="I29943" s="137" t="s">
        <v>74</v>
      </c>
    </row>
    <row r="29944" spans="9:9" x14ac:dyDescent="0.2">
      <c r="I29944" s="137" t="s">
        <v>74</v>
      </c>
    </row>
    <row r="29945" spans="9:9" x14ac:dyDescent="0.2">
      <c r="I29945" s="137" t="s">
        <v>74</v>
      </c>
    </row>
    <row r="29946" spans="9:9" x14ac:dyDescent="0.2">
      <c r="I29946" s="137" t="s">
        <v>74</v>
      </c>
    </row>
    <row r="29947" spans="9:9" x14ac:dyDescent="0.2">
      <c r="I29947" s="137" t="s">
        <v>74</v>
      </c>
    </row>
    <row r="29948" spans="9:9" x14ac:dyDescent="0.2">
      <c r="I29948" s="137" t="s">
        <v>74</v>
      </c>
    </row>
    <row r="29949" spans="9:9" x14ac:dyDescent="0.2">
      <c r="I29949" s="137" t="s">
        <v>74</v>
      </c>
    </row>
    <row r="29950" spans="9:9" x14ac:dyDescent="0.2">
      <c r="I29950" s="137" t="s">
        <v>74</v>
      </c>
    </row>
    <row r="29951" spans="9:9" x14ac:dyDescent="0.2">
      <c r="I29951" s="137" t="s">
        <v>74</v>
      </c>
    </row>
    <row r="29952" spans="9:9" x14ac:dyDescent="0.2">
      <c r="I29952" s="137" t="s">
        <v>74</v>
      </c>
    </row>
    <row r="29953" spans="9:9" x14ac:dyDescent="0.2">
      <c r="I29953" s="137" t="s">
        <v>74</v>
      </c>
    </row>
    <row r="29954" spans="9:9" x14ac:dyDescent="0.2">
      <c r="I29954" s="137" t="s">
        <v>74</v>
      </c>
    </row>
    <row r="29955" spans="9:9" x14ac:dyDescent="0.2">
      <c r="I29955" s="137" t="s">
        <v>74</v>
      </c>
    </row>
    <row r="29956" spans="9:9" x14ac:dyDescent="0.2">
      <c r="I29956" s="137" t="s">
        <v>74</v>
      </c>
    </row>
    <row r="29957" spans="9:9" x14ac:dyDescent="0.2">
      <c r="I29957" s="137" t="s">
        <v>74</v>
      </c>
    </row>
    <row r="29958" spans="9:9" x14ac:dyDescent="0.2">
      <c r="I29958" s="137" t="s">
        <v>74</v>
      </c>
    </row>
    <row r="29959" spans="9:9" x14ac:dyDescent="0.2">
      <c r="I29959" s="137" t="s">
        <v>74</v>
      </c>
    </row>
    <row r="29960" spans="9:9" x14ac:dyDescent="0.2">
      <c r="I29960" s="137" t="s">
        <v>74</v>
      </c>
    </row>
    <row r="29961" spans="9:9" x14ac:dyDescent="0.2">
      <c r="I29961" s="137" t="s">
        <v>74</v>
      </c>
    </row>
    <row r="29962" spans="9:9" x14ac:dyDescent="0.2">
      <c r="I29962" s="137" t="s">
        <v>74</v>
      </c>
    </row>
    <row r="29963" spans="9:9" x14ac:dyDescent="0.2">
      <c r="I29963" s="137" t="s">
        <v>74</v>
      </c>
    </row>
    <row r="29964" spans="9:9" x14ac:dyDescent="0.2">
      <c r="I29964" s="137" t="s">
        <v>74</v>
      </c>
    </row>
    <row r="29965" spans="9:9" x14ac:dyDescent="0.2">
      <c r="I29965" s="137" t="s">
        <v>74</v>
      </c>
    </row>
    <row r="29966" spans="9:9" x14ac:dyDescent="0.2">
      <c r="I29966" s="137" t="s">
        <v>74</v>
      </c>
    </row>
    <row r="29967" spans="9:9" x14ac:dyDescent="0.2">
      <c r="I29967" s="137" t="s">
        <v>74</v>
      </c>
    </row>
    <row r="29968" spans="9:9" x14ac:dyDescent="0.2">
      <c r="I29968" s="137" t="s">
        <v>74</v>
      </c>
    </row>
    <row r="29969" spans="9:9" x14ac:dyDescent="0.2">
      <c r="I29969" s="137" t="s">
        <v>74</v>
      </c>
    </row>
    <row r="29970" spans="9:9" x14ac:dyDescent="0.2">
      <c r="I29970" s="137" t="s">
        <v>74</v>
      </c>
    </row>
    <row r="29971" spans="9:9" x14ac:dyDescent="0.2">
      <c r="I29971" s="137" t="s">
        <v>74</v>
      </c>
    </row>
    <row r="29972" spans="9:9" x14ac:dyDescent="0.2">
      <c r="I29972" s="137" t="s">
        <v>74</v>
      </c>
    </row>
    <row r="29973" spans="9:9" x14ac:dyDescent="0.2">
      <c r="I29973" s="137" t="s">
        <v>74</v>
      </c>
    </row>
    <row r="29974" spans="9:9" x14ac:dyDescent="0.2">
      <c r="I29974" s="137" t="s">
        <v>74</v>
      </c>
    </row>
    <row r="29975" spans="9:9" x14ac:dyDescent="0.2">
      <c r="I29975" s="137" t="s">
        <v>74</v>
      </c>
    </row>
    <row r="29976" spans="9:9" x14ac:dyDescent="0.2">
      <c r="I29976" s="137" t="s">
        <v>74</v>
      </c>
    </row>
    <row r="29977" spans="9:9" x14ac:dyDescent="0.2">
      <c r="I29977" s="137" t="s">
        <v>74</v>
      </c>
    </row>
    <row r="29978" spans="9:9" x14ac:dyDescent="0.2">
      <c r="I29978" s="137" t="s">
        <v>74</v>
      </c>
    </row>
    <row r="29979" spans="9:9" x14ac:dyDescent="0.2">
      <c r="I29979" s="137" t="s">
        <v>74</v>
      </c>
    </row>
    <row r="29980" spans="9:9" x14ac:dyDescent="0.2">
      <c r="I29980" s="137" t="s">
        <v>74</v>
      </c>
    </row>
    <row r="29981" spans="9:9" x14ac:dyDescent="0.2">
      <c r="I29981" s="137" t="s">
        <v>74</v>
      </c>
    </row>
    <row r="29982" spans="9:9" x14ac:dyDescent="0.2">
      <c r="I29982" s="137" t="s">
        <v>74</v>
      </c>
    </row>
    <row r="29983" spans="9:9" x14ac:dyDescent="0.2">
      <c r="I29983" s="137" t="s">
        <v>74</v>
      </c>
    </row>
    <row r="29984" spans="9:9" x14ac:dyDescent="0.2">
      <c r="I29984" s="137" t="s">
        <v>74</v>
      </c>
    </row>
    <row r="29985" spans="9:9" x14ac:dyDescent="0.2">
      <c r="I29985" s="137" t="s">
        <v>74</v>
      </c>
    </row>
    <row r="29986" spans="9:9" x14ac:dyDescent="0.2">
      <c r="I29986" s="137" t="s">
        <v>74</v>
      </c>
    </row>
    <row r="29987" spans="9:9" x14ac:dyDescent="0.2">
      <c r="I29987" s="137" t="s">
        <v>74</v>
      </c>
    </row>
    <row r="29988" spans="9:9" x14ac:dyDescent="0.2">
      <c r="I29988" s="137" t="s">
        <v>74</v>
      </c>
    </row>
    <row r="29989" spans="9:9" x14ac:dyDescent="0.2">
      <c r="I29989" s="137" t="s">
        <v>74</v>
      </c>
    </row>
    <row r="29990" spans="9:9" x14ac:dyDescent="0.2">
      <c r="I29990" s="137" t="s">
        <v>74</v>
      </c>
    </row>
    <row r="29991" spans="9:9" x14ac:dyDescent="0.2">
      <c r="I29991" s="137" t="s">
        <v>74</v>
      </c>
    </row>
    <row r="29992" spans="9:9" x14ac:dyDescent="0.2">
      <c r="I29992" s="137" t="s">
        <v>74</v>
      </c>
    </row>
    <row r="29993" spans="9:9" x14ac:dyDescent="0.2">
      <c r="I29993" s="137" t="s">
        <v>74</v>
      </c>
    </row>
    <row r="29994" spans="9:9" x14ac:dyDescent="0.2">
      <c r="I29994" s="137" t="s">
        <v>74</v>
      </c>
    </row>
    <row r="29995" spans="9:9" x14ac:dyDescent="0.2">
      <c r="I29995" s="137" t="s">
        <v>74</v>
      </c>
    </row>
    <row r="29996" spans="9:9" x14ac:dyDescent="0.2">
      <c r="I29996" s="137" t="s">
        <v>74</v>
      </c>
    </row>
    <row r="29997" spans="9:9" x14ac:dyDescent="0.2">
      <c r="I29997" s="137" t="s">
        <v>74</v>
      </c>
    </row>
    <row r="29998" spans="9:9" x14ac:dyDescent="0.2">
      <c r="I29998" s="137" t="s">
        <v>74</v>
      </c>
    </row>
    <row r="29999" spans="9:9" x14ac:dyDescent="0.2">
      <c r="I29999" s="137" t="s">
        <v>74</v>
      </c>
    </row>
    <row r="30000" spans="9:9" x14ac:dyDescent="0.2">
      <c r="I30000" s="137" t="s">
        <v>74</v>
      </c>
    </row>
    <row r="30001" spans="9:9" x14ac:dyDescent="0.2">
      <c r="I30001" s="137" t="s">
        <v>74</v>
      </c>
    </row>
    <row r="30002" spans="9:9" x14ac:dyDescent="0.2">
      <c r="I30002" s="137" t="s">
        <v>74</v>
      </c>
    </row>
    <row r="30003" spans="9:9" x14ac:dyDescent="0.2">
      <c r="I30003" s="137" t="s">
        <v>74</v>
      </c>
    </row>
    <row r="30004" spans="9:9" x14ac:dyDescent="0.2">
      <c r="I30004" s="137" t="s">
        <v>74</v>
      </c>
    </row>
    <row r="30005" spans="9:9" x14ac:dyDescent="0.2">
      <c r="I30005" s="137" t="s">
        <v>74</v>
      </c>
    </row>
    <row r="30006" spans="9:9" x14ac:dyDescent="0.2">
      <c r="I30006" s="137" t="s">
        <v>74</v>
      </c>
    </row>
    <row r="30007" spans="9:9" x14ac:dyDescent="0.2">
      <c r="I30007" s="137" t="s">
        <v>74</v>
      </c>
    </row>
    <row r="30008" spans="9:9" x14ac:dyDescent="0.2">
      <c r="I30008" s="137" t="s">
        <v>74</v>
      </c>
    </row>
    <row r="30009" spans="9:9" x14ac:dyDescent="0.2">
      <c r="I30009" s="137" t="s">
        <v>74</v>
      </c>
    </row>
    <row r="30010" spans="9:9" x14ac:dyDescent="0.2">
      <c r="I30010" s="137" t="s">
        <v>74</v>
      </c>
    </row>
    <row r="30011" spans="9:9" x14ac:dyDescent="0.2">
      <c r="I30011" s="137" t="s">
        <v>74</v>
      </c>
    </row>
    <row r="30012" spans="9:9" x14ac:dyDescent="0.2">
      <c r="I30012" s="137" t="s">
        <v>74</v>
      </c>
    </row>
    <row r="30013" spans="9:9" x14ac:dyDescent="0.2">
      <c r="I30013" s="137" t="s">
        <v>74</v>
      </c>
    </row>
    <row r="30014" spans="9:9" x14ac:dyDescent="0.2">
      <c r="I30014" s="137" t="s">
        <v>74</v>
      </c>
    </row>
    <row r="30015" spans="9:9" x14ac:dyDescent="0.2">
      <c r="I30015" s="137" t="s">
        <v>74</v>
      </c>
    </row>
    <row r="30016" spans="9:9" x14ac:dyDescent="0.2">
      <c r="I30016" s="137" t="s">
        <v>74</v>
      </c>
    </row>
    <row r="30017" spans="9:9" x14ac:dyDescent="0.2">
      <c r="I30017" s="137" t="s">
        <v>74</v>
      </c>
    </row>
    <row r="30018" spans="9:9" x14ac:dyDescent="0.2">
      <c r="I30018" s="137" t="s">
        <v>74</v>
      </c>
    </row>
    <row r="30019" spans="9:9" x14ac:dyDescent="0.2">
      <c r="I30019" s="137" t="s">
        <v>74</v>
      </c>
    </row>
    <row r="30020" spans="9:9" x14ac:dyDescent="0.2">
      <c r="I30020" s="137" t="s">
        <v>74</v>
      </c>
    </row>
    <row r="30021" spans="9:9" x14ac:dyDescent="0.2">
      <c r="I30021" s="137" t="s">
        <v>74</v>
      </c>
    </row>
    <row r="30022" spans="9:9" x14ac:dyDescent="0.2">
      <c r="I30022" s="137" t="s">
        <v>74</v>
      </c>
    </row>
    <row r="30023" spans="9:9" x14ac:dyDescent="0.2">
      <c r="I30023" s="137" t="s">
        <v>74</v>
      </c>
    </row>
    <row r="30024" spans="9:9" x14ac:dyDescent="0.2">
      <c r="I30024" s="137" t="s">
        <v>74</v>
      </c>
    </row>
    <row r="30025" spans="9:9" x14ac:dyDescent="0.2">
      <c r="I30025" s="137" t="s">
        <v>74</v>
      </c>
    </row>
    <row r="30026" spans="9:9" x14ac:dyDescent="0.2">
      <c r="I30026" s="137" t="s">
        <v>74</v>
      </c>
    </row>
    <row r="30027" spans="9:9" x14ac:dyDescent="0.2">
      <c r="I30027" s="137" t="s">
        <v>74</v>
      </c>
    </row>
    <row r="30028" spans="9:9" x14ac:dyDescent="0.2">
      <c r="I30028" s="137" t="s">
        <v>74</v>
      </c>
    </row>
    <row r="30029" spans="9:9" x14ac:dyDescent="0.2">
      <c r="I30029" s="137" t="s">
        <v>74</v>
      </c>
    </row>
    <row r="30030" spans="9:9" x14ac:dyDescent="0.2">
      <c r="I30030" s="137" t="s">
        <v>74</v>
      </c>
    </row>
    <row r="30031" spans="9:9" x14ac:dyDescent="0.2">
      <c r="I30031" s="137" t="s">
        <v>74</v>
      </c>
    </row>
    <row r="30032" spans="9:9" x14ac:dyDescent="0.2">
      <c r="I30032" s="137" t="s">
        <v>74</v>
      </c>
    </row>
    <row r="30033" spans="9:9" x14ac:dyDescent="0.2">
      <c r="I30033" s="137" t="s">
        <v>74</v>
      </c>
    </row>
    <row r="30034" spans="9:9" x14ac:dyDescent="0.2">
      <c r="I30034" s="137" t="s">
        <v>74</v>
      </c>
    </row>
    <row r="30035" spans="9:9" x14ac:dyDescent="0.2">
      <c r="I30035" s="137" t="s">
        <v>74</v>
      </c>
    </row>
    <row r="30036" spans="9:9" x14ac:dyDescent="0.2">
      <c r="I30036" s="137" t="s">
        <v>74</v>
      </c>
    </row>
    <row r="30037" spans="9:9" x14ac:dyDescent="0.2">
      <c r="I30037" s="137" t="s">
        <v>74</v>
      </c>
    </row>
    <row r="30038" spans="9:9" x14ac:dyDescent="0.2">
      <c r="I30038" s="137" t="s">
        <v>74</v>
      </c>
    </row>
    <row r="30039" spans="9:9" x14ac:dyDescent="0.2">
      <c r="I30039" s="137" t="s">
        <v>74</v>
      </c>
    </row>
    <row r="30040" spans="9:9" x14ac:dyDescent="0.2">
      <c r="I30040" s="137" t="s">
        <v>74</v>
      </c>
    </row>
    <row r="30041" spans="9:9" x14ac:dyDescent="0.2">
      <c r="I30041" s="137" t="s">
        <v>74</v>
      </c>
    </row>
    <row r="30042" spans="9:9" x14ac:dyDescent="0.2">
      <c r="I30042" s="137" t="s">
        <v>74</v>
      </c>
    </row>
    <row r="30043" spans="9:9" x14ac:dyDescent="0.2">
      <c r="I30043" s="137" t="s">
        <v>74</v>
      </c>
    </row>
    <row r="30044" spans="9:9" x14ac:dyDescent="0.2">
      <c r="I30044" s="137" t="s">
        <v>74</v>
      </c>
    </row>
    <row r="30045" spans="9:9" x14ac:dyDescent="0.2">
      <c r="I30045" s="137" t="s">
        <v>74</v>
      </c>
    </row>
    <row r="30046" spans="9:9" x14ac:dyDescent="0.2">
      <c r="I30046" s="137" t="s">
        <v>74</v>
      </c>
    </row>
    <row r="30047" spans="9:9" x14ac:dyDescent="0.2">
      <c r="I30047" s="137" t="s">
        <v>74</v>
      </c>
    </row>
    <row r="30048" spans="9:9" x14ac:dyDescent="0.2">
      <c r="I30048" s="137" t="s">
        <v>74</v>
      </c>
    </row>
    <row r="30049" spans="9:9" x14ac:dyDescent="0.2">
      <c r="I30049" s="137" t="s">
        <v>74</v>
      </c>
    </row>
    <row r="30050" spans="9:9" x14ac:dyDescent="0.2">
      <c r="I30050" s="137" t="s">
        <v>74</v>
      </c>
    </row>
    <row r="30051" spans="9:9" x14ac:dyDescent="0.2">
      <c r="I30051" s="137" t="s">
        <v>74</v>
      </c>
    </row>
    <row r="30052" spans="9:9" x14ac:dyDescent="0.2">
      <c r="I30052" s="137" t="s">
        <v>74</v>
      </c>
    </row>
    <row r="30053" spans="9:9" x14ac:dyDescent="0.2">
      <c r="I30053" s="137" t="s">
        <v>74</v>
      </c>
    </row>
    <row r="30054" spans="9:9" x14ac:dyDescent="0.2">
      <c r="I30054" s="137" t="s">
        <v>74</v>
      </c>
    </row>
    <row r="30055" spans="9:9" x14ac:dyDescent="0.2">
      <c r="I30055" s="137" t="s">
        <v>74</v>
      </c>
    </row>
    <row r="30056" spans="9:9" x14ac:dyDescent="0.2">
      <c r="I30056" s="137" t="s">
        <v>74</v>
      </c>
    </row>
    <row r="30057" spans="9:9" x14ac:dyDescent="0.2">
      <c r="I30057" s="137" t="s">
        <v>74</v>
      </c>
    </row>
    <row r="30058" spans="9:9" x14ac:dyDescent="0.2">
      <c r="I30058" s="137" t="s">
        <v>74</v>
      </c>
    </row>
    <row r="30059" spans="9:9" x14ac:dyDescent="0.2">
      <c r="I30059" s="137" t="s">
        <v>74</v>
      </c>
    </row>
    <row r="30060" spans="9:9" x14ac:dyDescent="0.2">
      <c r="I30060" s="137" t="s">
        <v>74</v>
      </c>
    </row>
    <row r="30061" spans="9:9" x14ac:dyDescent="0.2">
      <c r="I30061" s="137" t="s">
        <v>74</v>
      </c>
    </row>
    <row r="30062" spans="9:9" x14ac:dyDescent="0.2">
      <c r="I30062" s="137" t="s">
        <v>74</v>
      </c>
    </row>
    <row r="30063" spans="9:9" x14ac:dyDescent="0.2">
      <c r="I30063" s="137" t="s">
        <v>74</v>
      </c>
    </row>
    <row r="30064" spans="9:9" x14ac:dyDescent="0.2">
      <c r="I30064" s="137" t="s">
        <v>74</v>
      </c>
    </row>
    <row r="30065" spans="9:9" x14ac:dyDescent="0.2">
      <c r="I30065" s="137" t="s">
        <v>74</v>
      </c>
    </row>
    <row r="30066" spans="9:9" x14ac:dyDescent="0.2">
      <c r="I30066" s="137" t="s">
        <v>74</v>
      </c>
    </row>
    <row r="30067" spans="9:9" x14ac:dyDescent="0.2">
      <c r="I30067" s="137" t="s">
        <v>74</v>
      </c>
    </row>
    <row r="30068" spans="9:9" x14ac:dyDescent="0.2">
      <c r="I30068" s="137" t="s">
        <v>74</v>
      </c>
    </row>
    <row r="30069" spans="9:9" x14ac:dyDescent="0.2">
      <c r="I30069" s="137" t="s">
        <v>74</v>
      </c>
    </row>
    <row r="30070" spans="9:9" x14ac:dyDescent="0.2">
      <c r="I30070" s="137" t="s">
        <v>74</v>
      </c>
    </row>
    <row r="30071" spans="9:9" x14ac:dyDescent="0.2">
      <c r="I30071" s="137" t="s">
        <v>74</v>
      </c>
    </row>
    <row r="30072" spans="9:9" x14ac:dyDescent="0.2">
      <c r="I30072" s="137" t="s">
        <v>74</v>
      </c>
    </row>
    <row r="30073" spans="9:9" x14ac:dyDescent="0.2">
      <c r="I30073" s="137" t="s">
        <v>74</v>
      </c>
    </row>
    <row r="30074" spans="9:9" x14ac:dyDescent="0.2">
      <c r="I30074" s="137" t="s">
        <v>74</v>
      </c>
    </row>
    <row r="30075" spans="9:9" x14ac:dyDescent="0.2">
      <c r="I30075" s="137" t="s">
        <v>74</v>
      </c>
    </row>
    <row r="30076" spans="9:9" x14ac:dyDescent="0.2">
      <c r="I30076" s="137" t="s">
        <v>74</v>
      </c>
    </row>
    <row r="30077" spans="9:9" x14ac:dyDescent="0.2">
      <c r="I30077" s="137" t="s">
        <v>74</v>
      </c>
    </row>
    <row r="30078" spans="9:9" x14ac:dyDescent="0.2">
      <c r="I30078" s="137" t="s">
        <v>74</v>
      </c>
    </row>
    <row r="30079" spans="9:9" x14ac:dyDescent="0.2">
      <c r="I30079" s="137" t="s">
        <v>74</v>
      </c>
    </row>
    <row r="30080" spans="9:9" x14ac:dyDescent="0.2">
      <c r="I30080" s="137" t="s">
        <v>74</v>
      </c>
    </row>
    <row r="30081" spans="9:9" x14ac:dyDescent="0.2">
      <c r="I30081" s="137" t="s">
        <v>74</v>
      </c>
    </row>
    <row r="30082" spans="9:9" x14ac:dyDescent="0.2">
      <c r="I30082" s="137" t="s">
        <v>74</v>
      </c>
    </row>
    <row r="30083" spans="9:9" x14ac:dyDescent="0.2">
      <c r="I30083" s="137" t="s">
        <v>74</v>
      </c>
    </row>
    <row r="30084" spans="9:9" x14ac:dyDescent="0.2">
      <c r="I30084" s="137" t="s">
        <v>74</v>
      </c>
    </row>
    <row r="30085" spans="9:9" x14ac:dyDescent="0.2">
      <c r="I30085" s="137" t="s">
        <v>74</v>
      </c>
    </row>
    <row r="30086" spans="9:9" x14ac:dyDescent="0.2">
      <c r="I30086" s="137" t="s">
        <v>74</v>
      </c>
    </row>
    <row r="30087" spans="9:9" x14ac:dyDescent="0.2">
      <c r="I30087" s="137" t="s">
        <v>74</v>
      </c>
    </row>
    <row r="30088" spans="9:9" x14ac:dyDescent="0.2">
      <c r="I30088" s="137" t="s">
        <v>74</v>
      </c>
    </row>
    <row r="30089" spans="9:9" x14ac:dyDescent="0.2">
      <c r="I30089" s="137" t="s">
        <v>74</v>
      </c>
    </row>
    <row r="30090" spans="9:9" x14ac:dyDescent="0.2">
      <c r="I30090" s="137" t="s">
        <v>74</v>
      </c>
    </row>
    <row r="30091" spans="9:9" x14ac:dyDescent="0.2">
      <c r="I30091" s="137" t="s">
        <v>74</v>
      </c>
    </row>
    <row r="30092" spans="9:9" x14ac:dyDescent="0.2">
      <c r="I30092" s="137" t="s">
        <v>74</v>
      </c>
    </row>
    <row r="30093" spans="9:9" x14ac:dyDescent="0.2">
      <c r="I30093" s="137" t="s">
        <v>74</v>
      </c>
    </row>
    <row r="30094" spans="9:9" x14ac:dyDescent="0.2">
      <c r="I30094" s="137" t="s">
        <v>74</v>
      </c>
    </row>
    <row r="30095" spans="9:9" x14ac:dyDescent="0.2">
      <c r="I30095" s="137" t="s">
        <v>74</v>
      </c>
    </row>
    <row r="30096" spans="9:9" x14ac:dyDescent="0.2">
      <c r="I30096" s="137" t="s">
        <v>74</v>
      </c>
    </row>
    <row r="30097" spans="9:9" x14ac:dyDescent="0.2">
      <c r="I30097" s="137" t="s">
        <v>74</v>
      </c>
    </row>
    <row r="30098" spans="9:9" x14ac:dyDescent="0.2">
      <c r="I30098" s="137" t="s">
        <v>74</v>
      </c>
    </row>
    <row r="30099" spans="9:9" x14ac:dyDescent="0.2">
      <c r="I30099" s="137" t="s">
        <v>74</v>
      </c>
    </row>
    <row r="30100" spans="9:9" x14ac:dyDescent="0.2">
      <c r="I30100" s="137" t="s">
        <v>74</v>
      </c>
    </row>
    <row r="30101" spans="9:9" x14ac:dyDescent="0.2">
      <c r="I30101" s="137" t="s">
        <v>74</v>
      </c>
    </row>
    <row r="30102" spans="9:9" x14ac:dyDescent="0.2">
      <c r="I30102" s="137" t="s">
        <v>74</v>
      </c>
    </row>
    <row r="30103" spans="9:9" x14ac:dyDescent="0.2">
      <c r="I30103" s="137" t="s">
        <v>74</v>
      </c>
    </row>
    <row r="30104" spans="9:9" x14ac:dyDescent="0.2">
      <c r="I30104" s="137" t="s">
        <v>74</v>
      </c>
    </row>
    <row r="30105" spans="9:9" x14ac:dyDescent="0.2">
      <c r="I30105" s="137" t="s">
        <v>74</v>
      </c>
    </row>
    <row r="30106" spans="9:9" x14ac:dyDescent="0.2">
      <c r="I30106" s="137" t="s">
        <v>74</v>
      </c>
    </row>
    <row r="30107" spans="9:9" x14ac:dyDescent="0.2">
      <c r="I30107" s="137" t="s">
        <v>74</v>
      </c>
    </row>
    <row r="30108" spans="9:9" x14ac:dyDescent="0.2">
      <c r="I30108" s="137" t="s">
        <v>74</v>
      </c>
    </row>
    <row r="30109" spans="9:9" x14ac:dyDescent="0.2">
      <c r="I30109" s="137" t="s">
        <v>74</v>
      </c>
    </row>
    <row r="30110" spans="9:9" x14ac:dyDescent="0.2">
      <c r="I30110" s="137" t="s">
        <v>74</v>
      </c>
    </row>
    <row r="30111" spans="9:9" x14ac:dyDescent="0.2">
      <c r="I30111" s="137" t="s">
        <v>74</v>
      </c>
    </row>
    <row r="30112" spans="9:9" x14ac:dyDescent="0.2">
      <c r="I30112" s="137" t="s">
        <v>74</v>
      </c>
    </row>
    <row r="30113" spans="9:9" x14ac:dyDescent="0.2">
      <c r="I30113" s="137" t="s">
        <v>74</v>
      </c>
    </row>
    <row r="30114" spans="9:9" x14ac:dyDescent="0.2">
      <c r="I30114" s="137" t="s">
        <v>74</v>
      </c>
    </row>
    <row r="30115" spans="9:9" x14ac:dyDescent="0.2">
      <c r="I30115" s="137" t="s">
        <v>74</v>
      </c>
    </row>
    <row r="30116" spans="9:9" x14ac:dyDescent="0.2">
      <c r="I30116" s="137" t="s">
        <v>74</v>
      </c>
    </row>
    <row r="30117" spans="9:9" x14ac:dyDescent="0.2">
      <c r="I30117" s="137" t="s">
        <v>74</v>
      </c>
    </row>
    <row r="30118" spans="9:9" x14ac:dyDescent="0.2">
      <c r="I30118" s="137" t="s">
        <v>74</v>
      </c>
    </row>
    <row r="30119" spans="9:9" x14ac:dyDescent="0.2">
      <c r="I30119" s="137" t="s">
        <v>74</v>
      </c>
    </row>
    <row r="30120" spans="9:9" x14ac:dyDescent="0.2">
      <c r="I30120" s="137" t="s">
        <v>74</v>
      </c>
    </row>
    <row r="30121" spans="9:9" x14ac:dyDescent="0.2">
      <c r="I30121" s="137" t="s">
        <v>74</v>
      </c>
    </row>
    <row r="30122" spans="9:9" x14ac:dyDescent="0.2">
      <c r="I30122" s="137" t="s">
        <v>74</v>
      </c>
    </row>
    <row r="30123" spans="9:9" x14ac:dyDescent="0.2">
      <c r="I30123" s="137" t="s">
        <v>74</v>
      </c>
    </row>
    <row r="30124" spans="9:9" x14ac:dyDescent="0.2">
      <c r="I30124" s="137" t="s">
        <v>74</v>
      </c>
    </row>
    <row r="30125" spans="9:9" x14ac:dyDescent="0.2">
      <c r="I30125" s="137" t="s">
        <v>74</v>
      </c>
    </row>
    <row r="30126" spans="9:9" x14ac:dyDescent="0.2">
      <c r="I30126" s="137" t="s">
        <v>74</v>
      </c>
    </row>
    <row r="30127" spans="9:9" x14ac:dyDescent="0.2">
      <c r="I30127" s="137" t="s">
        <v>74</v>
      </c>
    </row>
    <row r="30128" spans="9:9" x14ac:dyDescent="0.2">
      <c r="I30128" s="137" t="s">
        <v>74</v>
      </c>
    </row>
    <row r="30129" spans="9:9" x14ac:dyDescent="0.2">
      <c r="I30129" s="137" t="s">
        <v>74</v>
      </c>
    </row>
    <row r="30130" spans="9:9" x14ac:dyDescent="0.2">
      <c r="I30130" s="137" t="s">
        <v>74</v>
      </c>
    </row>
    <row r="30131" spans="9:9" x14ac:dyDescent="0.2">
      <c r="I30131" s="137" t="s">
        <v>74</v>
      </c>
    </row>
    <row r="30132" spans="9:9" x14ac:dyDescent="0.2">
      <c r="I30132" s="137" t="s">
        <v>74</v>
      </c>
    </row>
    <row r="30133" spans="9:9" x14ac:dyDescent="0.2">
      <c r="I30133" s="137" t="s">
        <v>74</v>
      </c>
    </row>
    <row r="30134" spans="9:9" x14ac:dyDescent="0.2">
      <c r="I30134" s="137" t="s">
        <v>74</v>
      </c>
    </row>
    <row r="30135" spans="9:9" x14ac:dyDescent="0.2">
      <c r="I30135" s="137" t="s">
        <v>74</v>
      </c>
    </row>
    <row r="30136" spans="9:9" x14ac:dyDescent="0.2">
      <c r="I30136" s="137" t="s">
        <v>74</v>
      </c>
    </row>
    <row r="30137" spans="9:9" x14ac:dyDescent="0.2">
      <c r="I30137" s="137" t="s">
        <v>74</v>
      </c>
    </row>
    <row r="30138" spans="9:9" x14ac:dyDescent="0.2">
      <c r="I30138" s="137" t="s">
        <v>74</v>
      </c>
    </row>
    <row r="30139" spans="9:9" x14ac:dyDescent="0.2">
      <c r="I30139" s="137" t="s">
        <v>74</v>
      </c>
    </row>
    <row r="30140" spans="9:9" x14ac:dyDescent="0.2">
      <c r="I30140" s="137" t="s">
        <v>74</v>
      </c>
    </row>
    <row r="30141" spans="9:9" x14ac:dyDescent="0.2">
      <c r="I30141" s="137" t="s">
        <v>74</v>
      </c>
    </row>
    <row r="30142" spans="9:9" x14ac:dyDescent="0.2">
      <c r="I30142" s="137" t="s">
        <v>74</v>
      </c>
    </row>
    <row r="30143" spans="9:9" x14ac:dyDescent="0.2">
      <c r="I30143" s="137" t="s">
        <v>74</v>
      </c>
    </row>
    <row r="30144" spans="9:9" x14ac:dyDescent="0.2">
      <c r="I30144" s="137" t="s">
        <v>74</v>
      </c>
    </row>
    <row r="30145" spans="9:9" x14ac:dyDescent="0.2">
      <c r="I30145" s="137" t="s">
        <v>74</v>
      </c>
    </row>
    <row r="30146" spans="9:9" x14ac:dyDescent="0.2">
      <c r="I30146" s="137" t="s">
        <v>74</v>
      </c>
    </row>
    <row r="30147" spans="9:9" x14ac:dyDescent="0.2">
      <c r="I30147" s="137" t="s">
        <v>74</v>
      </c>
    </row>
    <row r="30148" spans="9:9" x14ac:dyDescent="0.2">
      <c r="I30148" s="137" t="s">
        <v>74</v>
      </c>
    </row>
    <row r="30149" spans="9:9" x14ac:dyDescent="0.2">
      <c r="I30149" s="137" t="s">
        <v>74</v>
      </c>
    </row>
    <row r="30150" spans="9:9" x14ac:dyDescent="0.2">
      <c r="I30150" s="137" t="s">
        <v>74</v>
      </c>
    </row>
    <row r="30151" spans="9:9" x14ac:dyDescent="0.2">
      <c r="I30151" s="137" t="s">
        <v>74</v>
      </c>
    </row>
    <row r="30152" spans="9:9" x14ac:dyDescent="0.2">
      <c r="I30152" s="137" t="s">
        <v>74</v>
      </c>
    </row>
    <row r="30153" spans="9:9" x14ac:dyDescent="0.2">
      <c r="I30153" s="137" t="s">
        <v>74</v>
      </c>
    </row>
    <row r="30154" spans="9:9" x14ac:dyDescent="0.2">
      <c r="I30154" s="137" t="s">
        <v>74</v>
      </c>
    </row>
    <row r="30155" spans="9:9" x14ac:dyDescent="0.2">
      <c r="I30155" s="137" t="s">
        <v>74</v>
      </c>
    </row>
    <row r="30156" spans="9:9" x14ac:dyDescent="0.2">
      <c r="I30156" s="137" t="s">
        <v>74</v>
      </c>
    </row>
    <row r="30157" spans="9:9" x14ac:dyDescent="0.2">
      <c r="I30157" s="137" t="s">
        <v>74</v>
      </c>
    </row>
    <row r="30158" spans="9:9" x14ac:dyDescent="0.2">
      <c r="I30158" s="137" t="s">
        <v>74</v>
      </c>
    </row>
    <row r="30159" spans="9:9" x14ac:dyDescent="0.2">
      <c r="I30159" s="137" t="s">
        <v>74</v>
      </c>
    </row>
    <row r="30160" spans="9:9" x14ac:dyDescent="0.2">
      <c r="I30160" s="137" t="s">
        <v>74</v>
      </c>
    </row>
    <row r="30161" spans="9:9" x14ac:dyDescent="0.2">
      <c r="I30161" s="137" t="s">
        <v>74</v>
      </c>
    </row>
    <row r="30162" spans="9:9" x14ac:dyDescent="0.2">
      <c r="I30162" s="137" t="s">
        <v>74</v>
      </c>
    </row>
    <row r="30163" spans="9:9" x14ac:dyDescent="0.2">
      <c r="I30163" s="137" t="s">
        <v>74</v>
      </c>
    </row>
    <row r="30164" spans="9:9" x14ac:dyDescent="0.2">
      <c r="I30164" s="137" t="s">
        <v>74</v>
      </c>
    </row>
    <row r="30165" spans="9:9" x14ac:dyDescent="0.2">
      <c r="I30165" s="137" t="s">
        <v>74</v>
      </c>
    </row>
    <row r="30166" spans="9:9" x14ac:dyDescent="0.2">
      <c r="I30166" s="137" t="s">
        <v>74</v>
      </c>
    </row>
    <row r="30167" spans="9:9" x14ac:dyDescent="0.2">
      <c r="I30167" s="137" t="s">
        <v>74</v>
      </c>
    </row>
    <row r="30168" spans="9:9" x14ac:dyDescent="0.2">
      <c r="I30168" s="137" t="s">
        <v>74</v>
      </c>
    </row>
    <row r="30169" spans="9:9" x14ac:dyDescent="0.2">
      <c r="I30169" s="137" t="s">
        <v>74</v>
      </c>
    </row>
    <row r="30170" spans="9:9" x14ac:dyDescent="0.2">
      <c r="I30170" s="137" t="s">
        <v>74</v>
      </c>
    </row>
    <row r="30171" spans="9:9" x14ac:dyDescent="0.2">
      <c r="I30171" s="137" t="s">
        <v>74</v>
      </c>
    </row>
    <row r="30172" spans="9:9" x14ac:dyDescent="0.2">
      <c r="I30172" s="137" t="s">
        <v>74</v>
      </c>
    </row>
    <row r="30173" spans="9:9" x14ac:dyDescent="0.2">
      <c r="I30173" s="137" t="s">
        <v>74</v>
      </c>
    </row>
    <row r="30174" spans="9:9" x14ac:dyDescent="0.2">
      <c r="I30174" s="137" t="s">
        <v>74</v>
      </c>
    </row>
    <row r="30175" spans="9:9" x14ac:dyDescent="0.2">
      <c r="I30175" s="137" t="s">
        <v>74</v>
      </c>
    </row>
    <row r="30176" spans="9:9" x14ac:dyDescent="0.2">
      <c r="I30176" s="137" t="s">
        <v>74</v>
      </c>
    </row>
    <row r="30177" spans="9:9" x14ac:dyDescent="0.2">
      <c r="I30177" s="137" t="s">
        <v>74</v>
      </c>
    </row>
    <row r="30178" spans="9:9" x14ac:dyDescent="0.2">
      <c r="I30178" s="137" t="s">
        <v>74</v>
      </c>
    </row>
    <row r="30179" spans="9:9" x14ac:dyDescent="0.2">
      <c r="I30179" s="137" t="s">
        <v>74</v>
      </c>
    </row>
    <row r="30180" spans="9:9" x14ac:dyDescent="0.2">
      <c r="I30180" s="137" t="s">
        <v>74</v>
      </c>
    </row>
    <row r="30181" spans="9:9" x14ac:dyDescent="0.2">
      <c r="I30181" s="137" t="s">
        <v>74</v>
      </c>
    </row>
    <row r="30182" spans="9:9" x14ac:dyDescent="0.2">
      <c r="I30182" s="137" t="s">
        <v>74</v>
      </c>
    </row>
    <row r="30183" spans="9:9" x14ac:dyDescent="0.2">
      <c r="I30183" s="137" t="s">
        <v>74</v>
      </c>
    </row>
    <row r="30184" spans="9:9" x14ac:dyDescent="0.2">
      <c r="I30184" s="137" t="s">
        <v>74</v>
      </c>
    </row>
    <row r="30185" spans="9:9" x14ac:dyDescent="0.2">
      <c r="I30185" s="137" t="s">
        <v>74</v>
      </c>
    </row>
    <row r="30186" spans="9:9" x14ac:dyDescent="0.2">
      <c r="I30186" s="137" t="s">
        <v>74</v>
      </c>
    </row>
    <row r="30187" spans="9:9" x14ac:dyDescent="0.2">
      <c r="I30187" s="137" t="s">
        <v>74</v>
      </c>
    </row>
    <row r="30188" spans="9:9" x14ac:dyDescent="0.2">
      <c r="I30188" s="137" t="s">
        <v>74</v>
      </c>
    </row>
    <row r="30189" spans="9:9" x14ac:dyDescent="0.2">
      <c r="I30189" s="137" t="s">
        <v>74</v>
      </c>
    </row>
    <row r="30190" spans="9:9" x14ac:dyDescent="0.2">
      <c r="I30190" s="137" t="s">
        <v>74</v>
      </c>
    </row>
    <row r="30191" spans="9:9" x14ac:dyDescent="0.2">
      <c r="I30191" s="137" t="s">
        <v>74</v>
      </c>
    </row>
    <row r="30192" spans="9:9" x14ac:dyDescent="0.2">
      <c r="I30192" s="137" t="s">
        <v>74</v>
      </c>
    </row>
    <row r="30193" spans="9:9" x14ac:dyDescent="0.2">
      <c r="I30193" s="137" t="s">
        <v>74</v>
      </c>
    </row>
    <row r="30194" spans="9:9" x14ac:dyDescent="0.2">
      <c r="I30194" s="137" t="s">
        <v>74</v>
      </c>
    </row>
    <row r="30195" spans="9:9" x14ac:dyDescent="0.2">
      <c r="I30195" s="137" t="s">
        <v>74</v>
      </c>
    </row>
    <row r="30196" spans="9:9" x14ac:dyDescent="0.2">
      <c r="I30196" s="137" t="s">
        <v>74</v>
      </c>
    </row>
    <row r="30197" spans="9:9" x14ac:dyDescent="0.2">
      <c r="I30197" s="137" t="s">
        <v>74</v>
      </c>
    </row>
    <row r="30198" spans="9:9" x14ac:dyDescent="0.2">
      <c r="I30198" s="137" t="s">
        <v>74</v>
      </c>
    </row>
    <row r="30199" spans="9:9" x14ac:dyDescent="0.2">
      <c r="I30199" s="137" t="s">
        <v>74</v>
      </c>
    </row>
    <row r="30200" spans="9:9" x14ac:dyDescent="0.2">
      <c r="I30200" s="137" t="s">
        <v>74</v>
      </c>
    </row>
    <row r="30201" spans="9:9" x14ac:dyDescent="0.2">
      <c r="I30201" s="137" t="s">
        <v>74</v>
      </c>
    </row>
    <row r="30202" spans="9:9" x14ac:dyDescent="0.2">
      <c r="I30202" s="137" t="s">
        <v>74</v>
      </c>
    </row>
    <row r="30203" spans="9:9" x14ac:dyDescent="0.2">
      <c r="I30203" s="137" t="s">
        <v>74</v>
      </c>
    </row>
    <row r="30204" spans="9:9" x14ac:dyDescent="0.2">
      <c r="I30204" s="137" t="s">
        <v>74</v>
      </c>
    </row>
    <row r="30205" spans="9:9" x14ac:dyDescent="0.2">
      <c r="I30205" s="137" t="s">
        <v>74</v>
      </c>
    </row>
    <row r="30206" spans="9:9" x14ac:dyDescent="0.2">
      <c r="I30206" s="137" t="s">
        <v>74</v>
      </c>
    </row>
    <row r="30207" spans="9:9" x14ac:dyDescent="0.2">
      <c r="I30207" s="137" t="s">
        <v>74</v>
      </c>
    </row>
    <row r="30208" spans="9:9" x14ac:dyDescent="0.2">
      <c r="I30208" s="137" t="s">
        <v>74</v>
      </c>
    </row>
    <row r="30209" spans="9:9" x14ac:dyDescent="0.2">
      <c r="I30209" s="137" t="s">
        <v>74</v>
      </c>
    </row>
    <row r="30210" spans="9:9" x14ac:dyDescent="0.2">
      <c r="I30210" s="137" t="s">
        <v>74</v>
      </c>
    </row>
    <row r="30211" spans="9:9" x14ac:dyDescent="0.2">
      <c r="I30211" s="137" t="s">
        <v>74</v>
      </c>
    </row>
    <row r="30212" spans="9:9" x14ac:dyDescent="0.2">
      <c r="I30212" s="137" t="s">
        <v>74</v>
      </c>
    </row>
    <row r="30213" spans="9:9" x14ac:dyDescent="0.2">
      <c r="I30213" s="137" t="s">
        <v>74</v>
      </c>
    </row>
    <row r="30214" spans="9:9" x14ac:dyDescent="0.2">
      <c r="I30214" s="137" t="s">
        <v>74</v>
      </c>
    </row>
    <row r="30215" spans="9:9" x14ac:dyDescent="0.2">
      <c r="I30215" s="137" t="s">
        <v>74</v>
      </c>
    </row>
    <row r="30216" spans="9:9" x14ac:dyDescent="0.2">
      <c r="I30216" s="137" t="s">
        <v>74</v>
      </c>
    </row>
    <row r="30217" spans="9:9" x14ac:dyDescent="0.2">
      <c r="I30217" s="137" t="s">
        <v>74</v>
      </c>
    </row>
    <row r="30218" spans="9:9" x14ac:dyDescent="0.2">
      <c r="I30218" s="137" t="s">
        <v>74</v>
      </c>
    </row>
    <row r="30219" spans="9:9" x14ac:dyDescent="0.2">
      <c r="I30219" s="137" t="s">
        <v>74</v>
      </c>
    </row>
    <row r="30220" spans="9:9" x14ac:dyDescent="0.2">
      <c r="I30220" s="137" t="s">
        <v>74</v>
      </c>
    </row>
    <row r="30221" spans="9:9" x14ac:dyDescent="0.2">
      <c r="I30221" s="137" t="s">
        <v>74</v>
      </c>
    </row>
    <row r="30222" spans="9:9" x14ac:dyDescent="0.2">
      <c r="I30222" s="137" t="s">
        <v>74</v>
      </c>
    </row>
    <row r="30223" spans="9:9" x14ac:dyDescent="0.2">
      <c r="I30223" s="137" t="s">
        <v>74</v>
      </c>
    </row>
    <row r="30224" spans="9:9" x14ac:dyDescent="0.2">
      <c r="I30224" s="137" t="s">
        <v>74</v>
      </c>
    </row>
    <row r="30225" spans="9:9" x14ac:dyDescent="0.2">
      <c r="I30225" s="137" t="s">
        <v>74</v>
      </c>
    </row>
    <row r="30226" spans="9:9" x14ac:dyDescent="0.2">
      <c r="I30226" s="137" t="s">
        <v>74</v>
      </c>
    </row>
    <row r="30227" spans="9:9" x14ac:dyDescent="0.2">
      <c r="I30227" s="137" t="s">
        <v>74</v>
      </c>
    </row>
    <row r="30228" spans="9:9" x14ac:dyDescent="0.2">
      <c r="I30228" s="137" t="s">
        <v>74</v>
      </c>
    </row>
    <row r="30229" spans="9:9" x14ac:dyDescent="0.2">
      <c r="I30229" s="137" t="s">
        <v>74</v>
      </c>
    </row>
    <row r="30230" spans="9:9" x14ac:dyDescent="0.2">
      <c r="I30230" s="137" t="s">
        <v>74</v>
      </c>
    </row>
    <row r="30231" spans="9:9" x14ac:dyDescent="0.2">
      <c r="I30231" s="137" t="s">
        <v>74</v>
      </c>
    </row>
    <row r="30232" spans="9:9" x14ac:dyDescent="0.2">
      <c r="I30232" s="137" t="s">
        <v>74</v>
      </c>
    </row>
    <row r="30233" spans="9:9" x14ac:dyDescent="0.2">
      <c r="I30233" s="137" t="s">
        <v>74</v>
      </c>
    </row>
    <row r="30234" spans="9:9" x14ac:dyDescent="0.2">
      <c r="I30234" s="137" t="s">
        <v>74</v>
      </c>
    </row>
    <row r="30235" spans="9:9" x14ac:dyDescent="0.2">
      <c r="I30235" s="137" t="s">
        <v>74</v>
      </c>
    </row>
    <row r="30236" spans="9:9" x14ac:dyDescent="0.2">
      <c r="I30236" s="137" t="s">
        <v>74</v>
      </c>
    </row>
    <row r="30237" spans="9:9" x14ac:dyDescent="0.2">
      <c r="I30237" s="137" t="s">
        <v>74</v>
      </c>
    </row>
    <row r="30238" spans="9:9" x14ac:dyDescent="0.2">
      <c r="I30238" s="137" t="s">
        <v>74</v>
      </c>
    </row>
    <row r="30239" spans="9:9" x14ac:dyDescent="0.2">
      <c r="I30239" s="137" t="s">
        <v>74</v>
      </c>
    </row>
    <row r="30240" spans="9:9" x14ac:dyDescent="0.2">
      <c r="I30240" s="137" t="s">
        <v>74</v>
      </c>
    </row>
    <row r="30241" spans="9:9" x14ac:dyDescent="0.2">
      <c r="I30241" s="137" t="s">
        <v>74</v>
      </c>
    </row>
    <row r="30242" spans="9:9" x14ac:dyDescent="0.2">
      <c r="I30242" s="137" t="s">
        <v>74</v>
      </c>
    </row>
    <row r="30243" spans="9:9" x14ac:dyDescent="0.2">
      <c r="I30243" s="137" t="s">
        <v>74</v>
      </c>
    </row>
    <row r="30244" spans="9:9" x14ac:dyDescent="0.2">
      <c r="I30244" s="137" t="s">
        <v>74</v>
      </c>
    </row>
    <row r="30245" spans="9:9" x14ac:dyDescent="0.2">
      <c r="I30245" s="137" t="s">
        <v>74</v>
      </c>
    </row>
    <row r="30246" spans="9:9" x14ac:dyDescent="0.2">
      <c r="I30246" s="137" t="s">
        <v>74</v>
      </c>
    </row>
    <row r="30247" spans="9:9" x14ac:dyDescent="0.2">
      <c r="I30247" s="137" t="s">
        <v>74</v>
      </c>
    </row>
    <row r="30248" spans="9:9" x14ac:dyDescent="0.2">
      <c r="I30248" s="137" t="s">
        <v>74</v>
      </c>
    </row>
    <row r="30249" spans="9:9" x14ac:dyDescent="0.2">
      <c r="I30249" s="137" t="s">
        <v>74</v>
      </c>
    </row>
    <row r="30250" spans="9:9" x14ac:dyDescent="0.2">
      <c r="I30250" s="137" t="s">
        <v>74</v>
      </c>
    </row>
    <row r="30251" spans="9:9" x14ac:dyDescent="0.2">
      <c r="I30251" s="137" t="s">
        <v>74</v>
      </c>
    </row>
    <row r="30252" spans="9:9" x14ac:dyDescent="0.2">
      <c r="I30252" s="137" t="s">
        <v>74</v>
      </c>
    </row>
    <row r="30253" spans="9:9" x14ac:dyDescent="0.2">
      <c r="I30253" s="137" t="s">
        <v>74</v>
      </c>
    </row>
    <row r="30254" spans="9:9" x14ac:dyDescent="0.2">
      <c r="I30254" s="137" t="s">
        <v>74</v>
      </c>
    </row>
    <row r="30255" spans="9:9" x14ac:dyDescent="0.2">
      <c r="I30255" s="137" t="s">
        <v>74</v>
      </c>
    </row>
    <row r="30256" spans="9:9" x14ac:dyDescent="0.2">
      <c r="I30256" s="137" t="s">
        <v>74</v>
      </c>
    </row>
    <row r="30257" spans="9:9" x14ac:dyDescent="0.2">
      <c r="I30257" s="137" t="s">
        <v>74</v>
      </c>
    </row>
    <row r="30258" spans="9:9" x14ac:dyDescent="0.2">
      <c r="I30258" s="137" t="s">
        <v>74</v>
      </c>
    </row>
    <row r="30259" spans="9:9" x14ac:dyDescent="0.2">
      <c r="I30259" s="137" t="s">
        <v>74</v>
      </c>
    </row>
    <row r="30260" spans="9:9" x14ac:dyDescent="0.2">
      <c r="I30260" s="137" t="s">
        <v>74</v>
      </c>
    </row>
    <row r="30261" spans="9:9" x14ac:dyDescent="0.2">
      <c r="I30261" s="137" t="s">
        <v>74</v>
      </c>
    </row>
    <row r="30262" spans="9:9" x14ac:dyDescent="0.2">
      <c r="I30262" s="137" t="s">
        <v>74</v>
      </c>
    </row>
    <row r="30263" spans="9:9" x14ac:dyDescent="0.2">
      <c r="I30263" s="137" t="s">
        <v>74</v>
      </c>
    </row>
    <row r="30264" spans="9:9" x14ac:dyDescent="0.2">
      <c r="I30264" s="137" t="s">
        <v>74</v>
      </c>
    </row>
    <row r="30265" spans="9:9" x14ac:dyDescent="0.2">
      <c r="I30265" s="137" t="s">
        <v>74</v>
      </c>
    </row>
    <row r="30266" spans="9:9" x14ac:dyDescent="0.2">
      <c r="I30266" s="137" t="s">
        <v>74</v>
      </c>
    </row>
    <row r="30267" spans="9:9" x14ac:dyDescent="0.2">
      <c r="I30267" s="137" t="s">
        <v>74</v>
      </c>
    </row>
    <row r="30268" spans="9:9" x14ac:dyDescent="0.2">
      <c r="I30268" s="137" t="s">
        <v>74</v>
      </c>
    </row>
    <row r="30269" spans="9:9" x14ac:dyDescent="0.2">
      <c r="I30269" s="137" t="s">
        <v>74</v>
      </c>
    </row>
    <row r="30270" spans="9:9" x14ac:dyDescent="0.2">
      <c r="I30270" s="137" t="s">
        <v>74</v>
      </c>
    </row>
    <row r="30271" spans="9:9" x14ac:dyDescent="0.2">
      <c r="I30271" s="137" t="s">
        <v>74</v>
      </c>
    </row>
    <row r="30272" spans="9:9" x14ac:dyDescent="0.2">
      <c r="I30272" s="137" t="s">
        <v>74</v>
      </c>
    </row>
    <row r="30273" spans="9:9" x14ac:dyDescent="0.2">
      <c r="I30273" s="137" t="s">
        <v>74</v>
      </c>
    </row>
    <row r="30274" spans="9:9" x14ac:dyDescent="0.2">
      <c r="I30274" s="137" t="s">
        <v>74</v>
      </c>
    </row>
    <row r="30275" spans="9:9" x14ac:dyDescent="0.2">
      <c r="I30275" s="137" t="s">
        <v>74</v>
      </c>
    </row>
    <row r="30276" spans="9:9" x14ac:dyDescent="0.2">
      <c r="I30276" s="137" t="s">
        <v>74</v>
      </c>
    </row>
    <row r="30277" spans="9:9" x14ac:dyDescent="0.2">
      <c r="I30277" s="137" t="s">
        <v>74</v>
      </c>
    </row>
    <row r="30278" spans="9:9" x14ac:dyDescent="0.2">
      <c r="I30278" s="137" t="s">
        <v>74</v>
      </c>
    </row>
    <row r="30279" spans="9:9" x14ac:dyDescent="0.2">
      <c r="I30279" s="137" t="s">
        <v>74</v>
      </c>
    </row>
    <row r="30280" spans="9:9" x14ac:dyDescent="0.2">
      <c r="I30280" s="137" t="s">
        <v>74</v>
      </c>
    </row>
    <row r="30281" spans="9:9" x14ac:dyDescent="0.2">
      <c r="I30281" s="137" t="s">
        <v>74</v>
      </c>
    </row>
    <row r="30282" spans="9:9" x14ac:dyDescent="0.2">
      <c r="I30282" s="137" t="s">
        <v>74</v>
      </c>
    </row>
    <row r="30283" spans="9:9" x14ac:dyDescent="0.2">
      <c r="I30283" s="137" t="s">
        <v>74</v>
      </c>
    </row>
    <row r="30284" spans="9:9" x14ac:dyDescent="0.2">
      <c r="I30284" s="137" t="s">
        <v>74</v>
      </c>
    </row>
    <row r="30285" spans="9:9" x14ac:dyDescent="0.2">
      <c r="I30285" s="137" t="s">
        <v>74</v>
      </c>
    </row>
    <row r="30286" spans="9:9" x14ac:dyDescent="0.2">
      <c r="I30286" s="137" t="s">
        <v>74</v>
      </c>
    </row>
    <row r="30287" spans="9:9" x14ac:dyDescent="0.2">
      <c r="I30287" s="137" t="s">
        <v>74</v>
      </c>
    </row>
    <row r="30288" spans="9:9" x14ac:dyDescent="0.2">
      <c r="I30288" s="137" t="s">
        <v>74</v>
      </c>
    </row>
    <row r="30289" spans="9:9" x14ac:dyDescent="0.2">
      <c r="I30289" s="137" t="s">
        <v>74</v>
      </c>
    </row>
    <row r="30290" spans="9:9" x14ac:dyDescent="0.2">
      <c r="I30290" s="137" t="s">
        <v>74</v>
      </c>
    </row>
    <row r="30291" spans="9:9" x14ac:dyDescent="0.2">
      <c r="I30291" s="137" t="s">
        <v>74</v>
      </c>
    </row>
    <row r="30292" spans="9:9" x14ac:dyDescent="0.2">
      <c r="I30292" s="137" t="s">
        <v>74</v>
      </c>
    </row>
    <row r="30293" spans="9:9" x14ac:dyDescent="0.2">
      <c r="I30293" s="137" t="s">
        <v>74</v>
      </c>
    </row>
    <row r="30294" spans="9:9" x14ac:dyDescent="0.2">
      <c r="I30294" s="137" t="s">
        <v>74</v>
      </c>
    </row>
    <row r="30295" spans="9:9" x14ac:dyDescent="0.2">
      <c r="I30295" s="137" t="s">
        <v>74</v>
      </c>
    </row>
    <row r="30296" spans="9:9" x14ac:dyDescent="0.2">
      <c r="I30296" s="137" t="s">
        <v>74</v>
      </c>
    </row>
    <row r="30297" spans="9:9" x14ac:dyDescent="0.2">
      <c r="I30297" s="137" t="s">
        <v>74</v>
      </c>
    </row>
    <row r="30298" spans="9:9" x14ac:dyDescent="0.2">
      <c r="I30298" s="137" t="s">
        <v>74</v>
      </c>
    </row>
    <row r="30299" spans="9:9" x14ac:dyDescent="0.2">
      <c r="I30299" s="137" t="s">
        <v>74</v>
      </c>
    </row>
    <row r="30300" spans="9:9" x14ac:dyDescent="0.2">
      <c r="I30300" s="137" t="s">
        <v>74</v>
      </c>
    </row>
    <row r="30301" spans="9:9" x14ac:dyDescent="0.2">
      <c r="I30301" s="137" t="s">
        <v>74</v>
      </c>
    </row>
    <row r="30302" spans="9:9" x14ac:dyDescent="0.2">
      <c r="I30302" s="137" t="s">
        <v>74</v>
      </c>
    </row>
    <row r="30303" spans="9:9" x14ac:dyDescent="0.2">
      <c r="I30303" s="137" t="s">
        <v>74</v>
      </c>
    </row>
    <row r="30304" spans="9:9" x14ac:dyDescent="0.2">
      <c r="I30304" s="137" t="s">
        <v>74</v>
      </c>
    </row>
    <row r="30305" spans="9:9" x14ac:dyDescent="0.2">
      <c r="I30305" s="137" t="s">
        <v>74</v>
      </c>
    </row>
    <row r="30306" spans="9:9" x14ac:dyDescent="0.2">
      <c r="I30306" s="137" t="s">
        <v>74</v>
      </c>
    </row>
    <row r="30307" spans="9:9" x14ac:dyDescent="0.2">
      <c r="I30307" s="137" t="s">
        <v>74</v>
      </c>
    </row>
    <row r="30308" spans="9:9" x14ac:dyDescent="0.2">
      <c r="I30308" s="137" t="s">
        <v>74</v>
      </c>
    </row>
    <row r="30309" spans="9:9" x14ac:dyDescent="0.2">
      <c r="I30309" s="137" t="s">
        <v>74</v>
      </c>
    </row>
    <row r="30310" spans="9:9" x14ac:dyDescent="0.2">
      <c r="I30310" s="137" t="s">
        <v>74</v>
      </c>
    </row>
    <row r="30311" spans="9:9" x14ac:dyDescent="0.2">
      <c r="I30311" s="137" t="s">
        <v>74</v>
      </c>
    </row>
    <row r="30312" spans="9:9" x14ac:dyDescent="0.2">
      <c r="I30312" s="137" t="s">
        <v>74</v>
      </c>
    </row>
    <row r="30313" spans="9:9" x14ac:dyDescent="0.2">
      <c r="I30313" s="137" t="s">
        <v>74</v>
      </c>
    </row>
    <row r="30314" spans="9:9" x14ac:dyDescent="0.2">
      <c r="I30314" s="137" t="s">
        <v>74</v>
      </c>
    </row>
    <row r="30315" spans="9:9" x14ac:dyDescent="0.2">
      <c r="I30315" s="137" t="s">
        <v>74</v>
      </c>
    </row>
    <row r="30316" spans="9:9" x14ac:dyDescent="0.2">
      <c r="I30316" s="137" t="s">
        <v>74</v>
      </c>
    </row>
    <row r="30317" spans="9:9" x14ac:dyDescent="0.2">
      <c r="I30317" s="137" t="s">
        <v>74</v>
      </c>
    </row>
    <row r="30318" spans="9:9" x14ac:dyDescent="0.2">
      <c r="I30318" s="137" t="s">
        <v>74</v>
      </c>
    </row>
    <row r="30319" spans="9:9" x14ac:dyDescent="0.2">
      <c r="I30319" s="137" t="s">
        <v>74</v>
      </c>
    </row>
    <row r="30320" spans="9:9" x14ac:dyDescent="0.2">
      <c r="I30320" s="137" t="s">
        <v>74</v>
      </c>
    </row>
    <row r="30321" spans="9:9" x14ac:dyDescent="0.2">
      <c r="I30321" s="137" t="s">
        <v>74</v>
      </c>
    </row>
    <row r="30322" spans="9:9" x14ac:dyDescent="0.2">
      <c r="I30322" s="137" t="s">
        <v>74</v>
      </c>
    </row>
    <row r="30323" spans="9:9" x14ac:dyDescent="0.2">
      <c r="I30323" s="137" t="s">
        <v>74</v>
      </c>
    </row>
    <row r="30324" spans="9:9" x14ac:dyDescent="0.2">
      <c r="I30324" s="137" t="s">
        <v>74</v>
      </c>
    </row>
    <row r="30325" spans="9:9" x14ac:dyDescent="0.2">
      <c r="I30325" s="137" t="s">
        <v>74</v>
      </c>
    </row>
    <row r="30326" spans="9:9" x14ac:dyDescent="0.2">
      <c r="I30326" s="137" t="s">
        <v>74</v>
      </c>
    </row>
    <row r="30327" spans="9:9" x14ac:dyDescent="0.2">
      <c r="I30327" s="137" t="s">
        <v>74</v>
      </c>
    </row>
    <row r="30328" spans="9:9" x14ac:dyDescent="0.2">
      <c r="I30328" s="137" t="s">
        <v>74</v>
      </c>
    </row>
    <row r="30329" spans="9:9" x14ac:dyDescent="0.2">
      <c r="I30329" s="137" t="s">
        <v>74</v>
      </c>
    </row>
    <row r="30330" spans="9:9" x14ac:dyDescent="0.2">
      <c r="I30330" s="137" t="s">
        <v>74</v>
      </c>
    </row>
    <row r="30331" spans="9:9" x14ac:dyDescent="0.2">
      <c r="I30331" s="137" t="s">
        <v>74</v>
      </c>
    </row>
    <row r="30332" spans="9:9" x14ac:dyDescent="0.2">
      <c r="I30332" s="137" t="s">
        <v>74</v>
      </c>
    </row>
    <row r="30333" spans="9:9" x14ac:dyDescent="0.2">
      <c r="I30333" s="137" t="s">
        <v>74</v>
      </c>
    </row>
    <row r="30334" spans="9:9" x14ac:dyDescent="0.2">
      <c r="I30334" s="137" t="s">
        <v>74</v>
      </c>
    </row>
    <row r="30335" spans="9:9" x14ac:dyDescent="0.2">
      <c r="I30335" s="137" t="s">
        <v>74</v>
      </c>
    </row>
    <row r="30336" spans="9:9" x14ac:dyDescent="0.2">
      <c r="I30336" s="137" t="s">
        <v>74</v>
      </c>
    </row>
    <row r="30337" spans="9:9" x14ac:dyDescent="0.2">
      <c r="I30337" s="137" t="s">
        <v>74</v>
      </c>
    </row>
    <row r="30338" spans="9:9" x14ac:dyDescent="0.2">
      <c r="I30338" s="137" t="s">
        <v>74</v>
      </c>
    </row>
    <row r="30339" spans="9:9" x14ac:dyDescent="0.2">
      <c r="I30339" s="137" t="s">
        <v>74</v>
      </c>
    </row>
    <row r="30340" spans="9:9" x14ac:dyDescent="0.2">
      <c r="I30340" s="137" t="s">
        <v>74</v>
      </c>
    </row>
    <row r="30341" spans="9:9" x14ac:dyDescent="0.2">
      <c r="I30341" s="137" t="s">
        <v>74</v>
      </c>
    </row>
    <row r="30342" spans="9:9" x14ac:dyDescent="0.2">
      <c r="I30342" s="137" t="s">
        <v>74</v>
      </c>
    </row>
    <row r="30343" spans="9:9" x14ac:dyDescent="0.2">
      <c r="I30343" s="137" t="s">
        <v>74</v>
      </c>
    </row>
    <row r="30344" spans="9:9" x14ac:dyDescent="0.2">
      <c r="I30344" s="137" t="s">
        <v>74</v>
      </c>
    </row>
    <row r="30345" spans="9:9" x14ac:dyDescent="0.2">
      <c r="I30345" s="137" t="s">
        <v>74</v>
      </c>
    </row>
    <row r="30346" spans="9:9" x14ac:dyDescent="0.2">
      <c r="I30346" s="137" t="s">
        <v>74</v>
      </c>
    </row>
    <row r="30347" spans="9:9" x14ac:dyDescent="0.2">
      <c r="I30347" s="137" t="s">
        <v>74</v>
      </c>
    </row>
    <row r="30348" spans="9:9" x14ac:dyDescent="0.2">
      <c r="I30348" s="137" t="s">
        <v>74</v>
      </c>
    </row>
    <row r="30349" spans="9:9" x14ac:dyDescent="0.2">
      <c r="I30349" s="137" t="s">
        <v>74</v>
      </c>
    </row>
    <row r="30350" spans="9:9" x14ac:dyDescent="0.2">
      <c r="I30350" s="137" t="s">
        <v>74</v>
      </c>
    </row>
    <row r="30351" spans="9:9" x14ac:dyDescent="0.2">
      <c r="I30351" s="137" t="s">
        <v>74</v>
      </c>
    </row>
    <row r="30352" spans="9:9" x14ac:dyDescent="0.2">
      <c r="I30352" s="137" t="s">
        <v>74</v>
      </c>
    </row>
    <row r="30353" spans="9:9" x14ac:dyDescent="0.2">
      <c r="I30353" s="137" t="s">
        <v>74</v>
      </c>
    </row>
    <row r="30354" spans="9:9" x14ac:dyDescent="0.2">
      <c r="I30354" s="137" t="s">
        <v>74</v>
      </c>
    </row>
    <row r="30355" spans="9:9" x14ac:dyDescent="0.2">
      <c r="I30355" s="137" t="s">
        <v>74</v>
      </c>
    </row>
    <row r="30356" spans="9:9" x14ac:dyDescent="0.2">
      <c r="I30356" s="137" t="s">
        <v>74</v>
      </c>
    </row>
    <row r="30357" spans="9:9" x14ac:dyDescent="0.2">
      <c r="I30357" s="137" t="s">
        <v>74</v>
      </c>
    </row>
    <row r="30358" spans="9:9" x14ac:dyDescent="0.2">
      <c r="I30358" s="137" t="s">
        <v>74</v>
      </c>
    </row>
    <row r="30359" spans="9:9" x14ac:dyDescent="0.2">
      <c r="I30359" s="137" t="s">
        <v>74</v>
      </c>
    </row>
    <row r="30360" spans="9:9" x14ac:dyDescent="0.2">
      <c r="I30360" s="137" t="s">
        <v>74</v>
      </c>
    </row>
    <row r="30361" spans="9:9" x14ac:dyDescent="0.2">
      <c r="I30361" s="137" t="s">
        <v>74</v>
      </c>
    </row>
    <row r="30362" spans="9:9" x14ac:dyDescent="0.2">
      <c r="I30362" s="137" t="s">
        <v>74</v>
      </c>
    </row>
    <row r="30363" spans="9:9" x14ac:dyDescent="0.2">
      <c r="I30363" s="137" t="s">
        <v>74</v>
      </c>
    </row>
    <row r="30364" spans="9:9" x14ac:dyDescent="0.2">
      <c r="I30364" s="137" t="s">
        <v>74</v>
      </c>
    </row>
    <row r="30365" spans="9:9" x14ac:dyDescent="0.2">
      <c r="I30365" s="137" t="s">
        <v>74</v>
      </c>
    </row>
    <row r="30366" spans="9:9" x14ac:dyDescent="0.2">
      <c r="I30366" s="137" t="s">
        <v>74</v>
      </c>
    </row>
    <row r="30367" spans="9:9" x14ac:dyDescent="0.2">
      <c r="I30367" s="137" t="s">
        <v>74</v>
      </c>
    </row>
    <row r="30368" spans="9:9" x14ac:dyDescent="0.2">
      <c r="I30368" s="137" t="s">
        <v>74</v>
      </c>
    </row>
    <row r="30369" spans="9:9" x14ac:dyDescent="0.2">
      <c r="I30369" s="137" t="s">
        <v>74</v>
      </c>
    </row>
    <row r="30370" spans="9:9" x14ac:dyDescent="0.2">
      <c r="I30370" s="137" t="s">
        <v>74</v>
      </c>
    </row>
    <row r="30371" spans="9:9" x14ac:dyDescent="0.2">
      <c r="I30371" s="137" t="s">
        <v>74</v>
      </c>
    </row>
    <row r="30372" spans="9:9" x14ac:dyDescent="0.2">
      <c r="I30372" s="137" t="s">
        <v>74</v>
      </c>
    </row>
    <row r="30373" spans="9:9" x14ac:dyDescent="0.2">
      <c r="I30373" s="137" t="s">
        <v>74</v>
      </c>
    </row>
    <row r="30374" spans="9:9" x14ac:dyDescent="0.2">
      <c r="I30374" s="137" t="s">
        <v>74</v>
      </c>
    </row>
    <row r="30375" spans="9:9" x14ac:dyDescent="0.2">
      <c r="I30375" s="137" t="s">
        <v>74</v>
      </c>
    </row>
    <row r="30376" spans="9:9" x14ac:dyDescent="0.2">
      <c r="I30376" s="137" t="s">
        <v>74</v>
      </c>
    </row>
    <row r="30377" spans="9:9" x14ac:dyDescent="0.2">
      <c r="I30377" s="137" t="s">
        <v>74</v>
      </c>
    </row>
    <row r="30378" spans="9:9" x14ac:dyDescent="0.2">
      <c r="I30378" s="137" t="s">
        <v>74</v>
      </c>
    </row>
    <row r="30379" spans="9:9" x14ac:dyDescent="0.2">
      <c r="I30379" s="137" t="s">
        <v>74</v>
      </c>
    </row>
    <row r="30380" spans="9:9" x14ac:dyDescent="0.2">
      <c r="I30380" s="137" t="s">
        <v>74</v>
      </c>
    </row>
    <row r="30381" spans="9:9" x14ac:dyDescent="0.2">
      <c r="I30381" s="137" t="s">
        <v>74</v>
      </c>
    </row>
    <row r="30382" spans="9:9" x14ac:dyDescent="0.2">
      <c r="I30382" s="137" t="s">
        <v>74</v>
      </c>
    </row>
    <row r="30383" spans="9:9" x14ac:dyDescent="0.2">
      <c r="I30383" s="137" t="s">
        <v>74</v>
      </c>
    </row>
    <row r="30384" spans="9:9" x14ac:dyDescent="0.2">
      <c r="I30384" s="137" t="s">
        <v>74</v>
      </c>
    </row>
    <row r="30385" spans="9:9" x14ac:dyDescent="0.2">
      <c r="I30385" s="137" t="s">
        <v>74</v>
      </c>
    </row>
    <row r="30386" spans="9:9" x14ac:dyDescent="0.2">
      <c r="I30386" s="137" t="s">
        <v>74</v>
      </c>
    </row>
    <row r="30387" spans="9:9" x14ac:dyDescent="0.2">
      <c r="I30387" s="137" t="s">
        <v>74</v>
      </c>
    </row>
    <row r="30388" spans="9:9" x14ac:dyDescent="0.2">
      <c r="I30388" s="137" t="s">
        <v>74</v>
      </c>
    </row>
    <row r="30389" spans="9:9" x14ac:dyDescent="0.2">
      <c r="I30389" s="137" t="s">
        <v>74</v>
      </c>
    </row>
    <row r="30390" spans="9:9" x14ac:dyDescent="0.2">
      <c r="I30390" s="137" t="s">
        <v>74</v>
      </c>
    </row>
    <row r="30391" spans="9:9" x14ac:dyDescent="0.2">
      <c r="I30391" s="137" t="s">
        <v>74</v>
      </c>
    </row>
    <row r="30392" spans="9:9" x14ac:dyDescent="0.2">
      <c r="I30392" s="137" t="s">
        <v>74</v>
      </c>
    </row>
    <row r="30393" spans="9:9" x14ac:dyDescent="0.2">
      <c r="I30393" s="137" t="s">
        <v>74</v>
      </c>
    </row>
    <row r="30394" spans="9:9" x14ac:dyDescent="0.2">
      <c r="I30394" s="137" t="s">
        <v>74</v>
      </c>
    </row>
    <row r="30395" spans="9:9" x14ac:dyDescent="0.2">
      <c r="I30395" s="137" t="s">
        <v>74</v>
      </c>
    </row>
    <row r="30396" spans="9:9" x14ac:dyDescent="0.2">
      <c r="I30396" s="137" t="s">
        <v>74</v>
      </c>
    </row>
    <row r="30397" spans="9:9" x14ac:dyDescent="0.2">
      <c r="I30397" s="137" t="s">
        <v>74</v>
      </c>
    </row>
    <row r="30398" spans="9:9" x14ac:dyDescent="0.2">
      <c r="I30398" s="137" t="s">
        <v>74</v>
      </c>
    </row>
    <row r="30399" spans="9:9" x14ac:dyDescent="0.2">
      <c r="I30399" s="137" t="s">
        <v>74</v>
      </c>
    </row>
    <row r="30400" spans="9:9" x14ac:dyDescent="0.2">
      <c r="I30400" s="137" t="s">
        <v>74</v>
      </c>
    </row>
    <row r="30401" spans="9:9" x14ac:dyDescent="0.2">
      <c r="I30401" s="137" t="s">
        <v>74</v>
      </c>
    </row>
    <row r="30402" spans="9:9" x14ac:dyDescent="0.2">
      <c r="I30402" s="137" t="s">
        <v>74</v>
      </c>
    </row>
    <row r="30403" spans="9:9" x14ac:dyDescent="0.2">
      <c r="I30403" s="137" t="s">
        <v>74</v>
      </c>
    </row>
    <row r="30404" spans="9:9" x14ac:dyDescent="0.2">
      <c r="I30404" s="137" t="s">
        <v>74</v>
      </c>
    </row>
    <row r="30405" spans="9:9" x14ac:dyDescent="0.2">
      <c r="I30405" s="137" t="s">
        <v>74</v>
      </c>
    </row>
    <row r="30406" spans="9:9" x14ac:dyDescent="0.2">
      <c r="I30406" s="137" t="s">
        <v>74</v>
      </c>
    </row>
    <row r="30407" spans="9:9" x14ac:dyDescent="0.2">
      <c r="I30407" s="137" t="s">
        <v>74</v>
      </c>
    </row>
    <row r="30408" spans="9:9" x14ac:dyDescent="0.2">
      <c r="I30408" s="137" t="s">
        <v>74</v>
      </c>
    </row>
    <row r="30409" spans="9:9" x14ac:dyDescent="0.2">
      <c r="I30409" s="137" t="s">
        <v>74</v>
      </c>
    </row>
    <row r="30410" spans="9:9" x14ac:dyDescent="0.2">
      <c r="I30410" s="137" t="s">
        <v>74</v>
      </c>
    </row>
    <row r="30411" spans="9:9" x14ac:dyDescent="0.2">
      <c r="I30411" s="137" t="s">
        <v>74</v>
      </c>
    </row>
    <row r="30412" spans="9:9" x14ac:dyDescent="0.2">
      <c r="I30412" s="137" t="s">
        <v>74</v>
      </c>
    </row>
    <row r="30413" spans="9:9" x14ac:dyDescent="0.2">
      <c r="I30413" s="137" t="s">
        <v>74</v>
      </c>
    </row>
    <row r="30414" spans="9:9" x14ac:dyDescent="0.2">
      <c r="I30414" s="137" t="s">
        <v>74</v>
      </c>
    </row>
    <row r="30415" spans="9:9" x14ac:dyDescent="0.2">
      <c r="I30415" s="137" t="s">
        <v>74</v>
      </c>
    </row>
    <row r="30416" spans="9:9" x14ac:dyDescent="0.2">
      <c r="I30416" s="137" t="s">
        <v>74</v>
      </c>
    </row>
    <row r="30417" spans="9:9" x14ac:dyDescent="0.2">
      <c r="I30417" s="137" t="s">
        <v>74</v>
      </c>
    </row>
    <row r="30418" spans="9:9" x14ac:dyDescent="0.2">
      <c r="I30418" s="137" t="s">
        <v>74</v>
      </c>
    </row>
    <row r="30419" spans="9:9" x14ac:dyDescent="0.2">
      <c r="I30419" s="137" t="s">
        <v>74</v>
      </c>
    </row>
    <row r="30420" spans="9:9" x14ac:dyDescent="0.2">
      <c r="I30420" s="137" t="s">
        <v>74</v>
      </c>
    </row>
    <row r="30421" spans="9:9" x14ac:dyDescent="0.2">
      <c r="I30421" s="137" t="s">
        <v>74</v>
      </c>
    </row>
    <row r="30422" spans="9:9" x14ac:dyDescent="0.2">
      <c r="I30422" s="137" t="s">
        <v>74</v>
      </c>
    </row>
    <row r="30423" spans="9:9" x14ac:dyDescent="0.2">
      <c r="I30423" s="137" t="s">
        <v>74</v>
      </c>
    </row>
    <row r="30424" spans="9:9" x14ac:dyDescent="0.2">
      <c r="I30424" s="137" t="s">
        <v>74</v>
      </c>
    </row>
    <row r="30425" spans="9:9" x14ac:dyDescent="0.2">
      <c r="I30425" s="137" t="s">
        <v>74</v>
      </c>
    </row>
    <row r="30426" spans="9:9" x14ac:dyDescent="0.2">
      <c r="I30426" s="137" t="s">
        <v>74</v>
      </c>
    </row>
    <row r="30427" spans="9:9" x14ac:dyDescent="0.2">
      <c r="I30427" s="137" t="s">
        <v>74</v>
      </c>
    </row>
    <row r="30428" spans="9:9" x14ac:dyDescent="0.2">
      <c r="I30428" s="137" t="s">
        <v>74</v>
      </c>
    </row>
    <row r="30429" spans="9:9" x14ac:dyDescent="0.2">
      <c r="I30429" s="137" t="s">
        <v>74</v>
      </c>
    </row>
    <row r="30430" spans="9:9" x14ac:dyDescent="0.2">
      <c r="I30430" s="137" t="s">
        <v>74</v>
      </c>
    </row>
    <row r="30431" spans="9:9" x14ac:dyDescent="0.2">
      <c r="I30431" s="137" t="s">
        <v>74</v>
      </c>
    </row>
    <row r="30432" spans="9:9" x14ac:dyDescent="0.2">
      <c r="I30432" s="137" t="s">
        <v>74</v>
      </c>
    </row>
    <row r="30433" spans="9:9" x14ac:dyDescent="0.2">
      <c r="I30433" s="137" t="s">
        <v>74</v>
      </c>
    </row>
    <row r="30434" spans="9:9" x14ac:dyDescent="0.2">
      <c r="I30434" s="137" t="s">
        <v>74</v>
      </c>
    </row>
    <row r="30435" spans="9:9" x14ac:dyDescent="0.2">
      <c r="I30435" s="137" t="s">
        <v>74</v>
      </c>
    </row>
    <row r="30436" spans="9:9" x14ac:dyDescent="0.2">
      <c r="I30436" s="137" t="s">
        <v>74</v>
      </c>
    </row>
    <row r="30437" spans="9:9" x14ac:dyDescent="0.2">
      <c r="I30437" s="137" t="s">
        <v>74</v>
      </c>
    </row>
    <row r="30438" spans="9:9" x14ac:dyDescent="0.2">
      <c r="I30438" s="137" t="s">
        <v>74</v>
      </c>
    </row>
    <row r="30439" spans="9:9" x14ac:dyDescent="0.2">
      <c r="I30439" s="137" t="s">
        <v>74</v>
      </c>
    </row>
    <row r="30440" spans="9:9" x14ac:dyDescent="0.2">
      <c r="I30440" s="137" t="s">
        <v>74</v>
      </c>
    </row>
    <row r="30441" spans="9:9" x14ac:dyDescent="0.2">
      <c r="I30441" s="137" t="s">
        <v>74</v>
      </c>
    </row>
    <row r="30442" spans="9:9" x14ac:dyDescent="0.2">
      <c r="I30442" s="137" t="s">
        <v>74</v>
      </c>
    </row>
    <row r="30443" spans="9:9" x14ac:dyDescent="0.2">
      <c r="I30443" s="137" t="s">
        <v>74</v>
      </c>
    </row>
    <row r="30444" spans="9:9" x14ac:dyDescent="0.2">
      <c r="I30444" s="137" t="s">
        <v>74</v>
      </c>
    </row>
    <row r="30445" spans="9:9" x14ac:dyDescent="0.2">
      <c r="I30445" s="137" t="s">
        <v>74</v>
      </c>
    </row>
    <row r="30446" spans="9:9" x14ac:dyDescent="0.2">
      <c r="I30446" s="137" t="s">
        <v>74</v>
      </c>
    </row>
    <row r="30447" spans="9:9" x14ac:dyDescent="0.2">
      <c r="I30447" s="137" t="s">
        <v>74</v>
      </c>
    </row>
    <row r="30448" spans="9:9" x14ac:dyDescent="0.2">
      <c r="I30448" s="137" t="s">
        <v>74</v>
      </c>
    </row>
    <row r="30449" spans="9:9" x14ac:dyDescent="0.2">
      <c r="I30449" s="137" t="s">
        <v>74</v>
      </c>
    </row>
    <row r="30450" spans="9:9" x14ac:dyDescent="0.2">
      <c r="I30450" s="137" t="s">
        <v>74</v>
      </c>
    </row>
    <row r="30451" spans="9:9" x14ac:dyDescent="0.2">
      <c r="I30451" s="137" t="s">
        <v>74</v>
      </c>
    </row>
    <row r="30452" spans="9:9" x14ac:dyDescent="0.2">
      <c r="I30452" s="137" t="s">
        <v>74</v>
      </c>
    </row>
    <row r="30453" spans="9:9" x14ac:dyDescent="0.2">
      <c r="I30453" s="137" t="s">
        <v>74</v>
      </c>
    </row>
    <row r="30454" spans="9:9" x14ac:dyDescent="0.2">
      <c r="I30454" s="137" t="s">
        <v>74</v>
      </c>
    </row>
    <row r="30455" spans="9:9" x14ac:dyDescent="0.2">
      <c r="I30455" s="137" t="s">
        <v>74</v>
      </c>
    </row>
    <row r="30456" spans="9:9" x14ac:dyDescent="0.2">
      <c r="I30456" s="137" t="s">
        <v>74</v>
      </c>
    </row>
    <row r="30457" spans="9:9" x14ac:dyDescent="0.2">
      <c r="I30457" s="137" t="s">
        <v>74</v>
      </c>
    </row>
    <row r="30458" spans="9:9" x14ac:dyDescent="0.2">
      <c r="I30458" s="137" t="s">
        <v>74</v>
      </c>
    </row>
    <row r="30459" spans="9:9" x14ac:dyDescent="0.2">
      <c r="I30459" s="137" t="s">
        <v>74</v>
      </c>
    </row>
    <row r="30460" spans="9:9" x14ac:dyDescent="0.2">
      <c r="I30460" s="137" t="s">
        <v>74</v>
      </c>
    </row>
    <row r="30461" spans="9:9" x14ac:dyDescent="0.2">
      <c r="I30461" s="137" t="s">
        <v>74</v>
      </c>
    </row>
    <row r="30462" spans="9:9" x14ac:dyDescent="0.2">
      <c r="I30462" s="137" t="s">
        <v>74</v>
      </c>
    </row>
    <row r="30463" spans="9:9" x14ac:dyDescent="0.2">
      <c r="I30463" s="137" t="s">
        <v>74</v>
      </c>
    </row>
    <row r="30464" spans="9:9" x14ac:dyDescent="0.2">
      <c r="I30464" s="137" t="s">
        <v>74</v>
      </c>
    </row>
    <row r="30465" spans="9:9" x14ac:dyDescent="0.2">
      <c r="I30465" s="137" t="s">
        <v>74</v>
      </c>
    </row>
    <row r="30466" spans="9:9" x14ac:dyDescent="0.2">
      <c r="I30466" s="137" t="s">
        <v>74</v>
      </c>
    </row>
    <row r="30467" spans="9:9" x14ac:dyDescent="0.2">
      <c r="I30467" s="137" t="s">
        <v>74</v>
      </c>
    </row>
    <row r="30468" spans="9:9" x14ac:dyDescent="0.2">
      <c r="I30468" s="137" t="s">
        <v>74</v>
      </c>
    </row>
    <row r="30469" spans="9:9" x14ac:dyDescent="0.2">
      <c r="I30469" s="137" t="s">
        <v>74</v>
      </c>
    </row>
    <row r="30470" spans="9:9" x14ac:dyDescent="0.2">
      <c r="I30470" s="137" t="s">
        <v>74</v>
      </c>
    </row>
    <row r="30471" spans="9:9" x14ac:dyDescent="0.2">
      <c r="I30471" s="137" t="s">
        <v>74</v>
      </c>
    </row>
    <row r="30472" spans="9:9" x14ac:dyDescent="0.2">
      <c r="I30472" s="137" t="s">
        <v>74</v>
      </c>
    </row>
    <row r="30473" spans="9:9" x14ac:dyDescent="0.2">
      <c r="I30473" s="137" t="s">
        <v>74</v>
      </c>
    </row>
    <row r="30474" spans="9:9" x14ac:dyDescent="0.2">
      <c r="I30474" s="137" t="s">
        <v>74</v>
      </c>
    </row>
    <row r="30475" spans="9:9" x14ac:dyDescent="0.2">
      <c r="I30475" s="137" t="s">
        <v>74</v>
      </c>
    </row>
    <row r="30476" spans="9:9" x14ac:dyDescent="0.2">
      <c r="I30476" s="137" t="s">
        <v>74</v>
      </c>
    </row>
    <row r="30477" spans="9:9" x14ac:dyDescent="0.2">
      <c r="I30477" s="137" t="s">
        <v>74</v>
      </c>
    </row>
    <row r="30478" spans="9:9" x14ac:dyDescent="0.2">
      <c r="I30478" s="137" t="s">
        <v>74</v>
      </c>
    </row>
    <row r="30479" spans="9:9" x14ac:dyDescent="0.2">
      <c r="I30479" s="137" t="s">
        <v>74</v>
      </c>
    </row>
    <row r="30480" spans="9:9" x14ac:dyDescent="0.2">
      <c r="I30480" s="137" t="s">
        <v>74</v>
      </c>
    </row>
    <row r="30481" spans="9:9" x14ac:dyDescent="0.2">
      <c r="I30481" s="137" t="s">
        <v>74</v>
      </c>
    </row>
    <row r="30482" spans="9:9" x14ac:dyDescent="0.2">
      <c r="I30482" s="137" t="s">
        <v>74</v>
      </c>
    </row>
    <row r="30483" spans="9:9" x14ac:dyDescent="0.2">
      <c r="I30483" s="137" t="s">
        <v>74</v>
      </c>
    </row>
    <row r="30484" spans="9:9" x14ac:dyDescent="0.2">
      <c r="I30484" s="137" t="s">
        <v>74</v>
      </c>
    </row>
    <row r="30485" spans="9:9" x14ac:dyDescent="0.2">
      <c r="I30485" s="137" t="s">
        <v>74</v>
      </c>
    </row>
    <row r="30486" spans="9:9" x14ac:dyDescent="0.2">
      <c r="I30486" s="137" t="s">
        <v>74</v>
      </c>
    </row>
    <row r="30487" spans="9:9" x14ac:dyDescent="0.2">
      <c r="I30487" s="137" t="s">
        <v>74</v>
      </c>
    </row>
    <row r="30488" spans="9:9" x14ac:dyDescent="0.2">
      <c r="I30488" s="137" t="s">
        <v>74</v>
      </c>
    </row>
    <row r="30489" spans="9:9" x14ac:dyDescent="0.2">
      <c r="I30489" s="137" t="s">
        <v>74</v>
      </c>
    </row>
    <row r="30490" spans="9:9" x14ac:dyDescent="0.2">
      <c r="I30490" s="137" t="s">
        <v>74</v>
      </c>
    </row>
    <row r="30491" spans="9:9" x14ac:dyDescent="0.2">
      <c r="I30491" s="137" t="s">
        <v>74</v>
      </c>
    </row>
    <row r="30492" spans="9:9" x14ac:dyDescent="0.2">
      <c r="I30492" s="137" t="s">
        <v>74</v>
      </c>
    </row>
    <row r="30493" spans="9:9" x14ac:dyDescent="0.2">
      <c r="I30493" s="137" t="s">
        <v>74</v>
      </c>
    </row>
    <row r="30494" spans="9:9" x14ac:dyDescent="0.2">
      <c r="I30494" s="137" t="s">
        <v>74</v>
      </c>
    </row>
    <row r="30495" spans="9:9" x14ac:dyDescent="0.2">
      <c r="I30495" s="137" t="s">
        <v>74</v>
      </c>
    </row>
    <row r="30496" spans="9:9" x14ac:dyDescent="0.2">
      <c r="I30496" s="137" t="s">
        <v>74</v>
      </c>
    </row>
    <row r="30497" spans="9:9" x14ac:dyDescent="0.2">
      <c r="I30497" s="137" t="s">
        <v>74</v>
      </c>
    </row>
    <row r="30498" spans="9:9" x14ac:dyDescent="0.2">
      <c r="I30498" s="137" t="s">
        <v>74</v>
      </c>
    </row>
    <row r="30499" spans="9:9" x14ac:dyDescent="0.2">
      <c r="I30499" s="137" t="s">
        <v>74</v>
      </c>
    </row>
    <row r="30500" spans="9:9" x14ac:dyDescent="0.2">
      <c r="I30500" s="137" t="s">
        <v>74</v>
      </c>
    </row>
    <row r="30501" spans="9:9" x14ac:dyDescent="0.2">
      <c r="I30501" s="137" t="s">
        <v>74</v>
      </c>
    </row>
    <row r="30502" spans="9:9" x14ac:dyDescent="0.2">
      <c r="I30502" s="137" t="s">
        <v>74</v>
      </c>
    </row>
    <row r="30503" spans="9:9" x14ac:dyDescent="0.2">
      <c r="I30503" s="137" t="s">
        <v>74</v>
      </c>
    </row>
    <row r="30504" spans="9:9" x14ac:dyDescent="0.2">
      <c r="I30504" s="137" t="s">
        <v>74</v>
      </c>
    </row>
    <row r="30505" spans="9:9" x14ac:dyDescent="0.2">
      <c r="I30505" s="137" t="s">
        <v>74</v>
      </c>
    </row>
    <row r="30506" spans="9:9" x14ac:dyDescent="0.2">
      <c r="I30506" s="137" t="s">
        <v>74</v>
      </c>
    </row>
    <row r="30507" spans="9:9" x14ac:dyDescent="0.2">
      <c r="I30507" s="137" t="s">
        <v>74</v>
      </c>
    </row>
    <row r="30508" spans="9:9" x14ac:dyDescent="0.2">
      <c r="I30508" s="137" t="s">
        <v>74</v>
      </c>
    </row>
    <row r="30509" spans="9:9" x14ac:dyDescent="0.2">
      <c r="I30509" s="137" t="s">
        <v>74</v>
      </c>
    </row>
    <row r="30510" spans="9:9" x14ac:dyDescent="0.2">
      <c r="I30510" s="137" t="s">
        <v>74</v>
      </c>
    </row>
    <row r="30511" spans="9:9" x14ac:dyDescent="0.2">
      <c r="I30511" s="137" t="s">
        <v>74</v>
      </c>
    </row>
    <row r="30512" spans="9:9" x14ac:dyDescent="0.2">
      <c r="I30512" s="137" t="s">
        <v>74</v>
      </c>
    </row>
    <row r="30513" spans="9:9" x14ac:dyDescent="0.2">
      <c r="I30513" s="137" t="s">
        <v>74</v>
      </c>
    </row>
    <row r="30514" spans="9:9" x14ac:dyDescent="0.2">
      <c r="I30514" s="137" t="s">
        <v>74</v>
      </c>
    </row>
    <row r="30515" spans="9:9" x14ac:dyDescent="0.2">
      <c r="I30515" s="137" t="s">
        <v>74</v>
      </c>
    </row>
    <row r="30516" spans="9:9" x14ac:dyDescent="0.2">
      <c r="I30516" s="137" t="s">
        <v>74</v>
      </c>
    </row>
    <row r="30517" spans="9:9" x14ac:dyDescent="0.2">
      <c r="I30517" s="137" t="s">
        <v>74</v>
      </c>
    </row>
    <row r="30518" spans="9:9" x14ac:dyDescent="0.2">
      <c r="I30518" s="137" t="s">
        <v>74</v>
      </c>
    </row>
    <row r="30519" spans="9:9" x14ac:dyDescent="0.2">
      <c r="I30519" s="137" t="s">
        <v>74</v>
      </c>
    </row>
    <row r="30520" spans="9:9" x14ac:dyDescent="0.2">
      <c r="I30520" s="137" t="s">
        <v>74</v>
      </c>
    </row>
    <row r="30521" spans="9:9" x14ac:dyDescent="0.2">
      <c r="I30521" s="137" t="s">
        <v>74</v>
      </c>
    </row>
    <row r="30522" spans="9:9" x14ac:dyDescent="0.2">
      <c r="I30522" s="137" t="s">
        <v>74</v>
      </c>
    </row>
    <row r="30523" spans="9:9" x14ac:dyDescent="0.2">
      <c r="I30523" s="137" t="s">
        <v>74</v>
      </c>
    </row>
    <row r="30524" spans="9:9" x14ac:dyDescent="0.2">
      <c r="I30524" s="137" t="s">
        <v>74</v>
      </c>
    </row>
    <row r="30525" spans="9:9" x14ac:dyDescent="0.2">
      <c r="I30525" s="137" t="s">
        <v>74</v>
      </c>
    </row>
    <row r="30526" spans="9:9" x14ac:dyDescent="0.2">
      <c r="I30526" s="137" t="s">
        <v>74</v>
      </c>
    </row>
    <row r="30527" spans="9:9" x14ac:dyDescent="0.2">
      <c r="I30527" s="137" t="s">
        <v>74</v>
      </c>
    </row>
    <row r="30528" spans="9:9" x14ac:dyDescent="0.2">
      <c r="I30528" s="137" t="s">
        <v>74</v>
      </c>
    </row>
    <row r="30529" spans="9:9" x14ac:dyDescent="0.2">
      <c r="I30529" s="137" t="s">
        <v>74</v>
      </c>
    </row>
    <row r="30530" spans="9:9" x14ac:dyDescent="0.2">
      <c r="I30530" s="137" t="s">
        <v>74</v>
      </c>
    </row>
    <row r="30531" spans="9:9" x14ac:dyDescent="0.2">
      <c r="I30531" s="137" t="s">
        <v>74</v>
      </c>
    </row>
    <row r="30532" spans="9:9" x14ac:dyDescent="0.2">
      <c r="I30532" s="137" t="s">
        <v>74</v>
      </c>
    </row>
    <row r="30533" spans="9:9" x14ac:dyDescent="0.2">
      <c r="I30533" s="137" t="s">
        <v>74</v>
      </c>
    </row>
    <row r="30534" spans="9:9" x14ac:dyDescent="0.2">
      <c r="I30534" s="137" t="s">
        <v>74</v>
      </c>
    </row>
    <row r="30535" spans="9:9" x14ac:dyDescent="0.2">
      <c r="I30535" s="137" t="s">
        <v>74</v>
      </c>
    </row>
    <row r="30536" spans="9:9" x14ac:dyDescent="0.2">
      <c r="I30536" s="137" t="s">
        <v>74</v>
      </c>
    </row>
    <row r="30537" spans="9:9" x14ac:dyDescent="0.2">
      <c r="I30537" s="137" t="s">
        <v>74</v>
      </c>
    </row>
    <row r="30538" spans="9:9" x14ac:dyDescent="0.2">
      <c r="I30538" s="137" t="s">
        <v>74</v>
      </c>
    </row>
    <row r="30539" spans="9:9" x14ac:dyDescent="0.2">
      <c r="I30539" s="137" t="s">
        <v>74</v>
      </c>
    </row>
    <row r="30540" spans="9:9" x14ac:dyDescent="0.2">
      <c r="I30540" s="137" t="s">
        <v>74</v>
      </c>
    </row>
    <row r="30541" spans="9:9" x14ac:dyDescent="0.2">
      <c r="I30541" s="137" t="s">
        <v>74</v>
      </c>
    </row>
    <row r="30542" spans="9:9" x14ac:dyDescent="0.2">
      <c r="I30542" s="137" t="s">
        <v>74</v>
      </c>
    </row>
    <row r="30543" spans="9:9" x14ac:dyDescent="0.2">
      <c r="I30543" s="137" t="s">
        <v>74</v>
      </c>
    </row>
    <row r="30544" spans="9:9" x14ac:dyDescent="0.2">
      <c r="I30544" s="137" t="s">
        <v>74</v>
      </c>
    </row>
    <row r="30545" spans="9:9" x14ac:dyDescent="0.2">
      <c r="I30545" s="137" t="s">
        <v>74</v>
      </c>
    </row>
    <row r="30546" spans="9:9" x14ac:dyDescent="0.2">
      <c r="I30546" s="137" t="s">
        <v>74</v>
      </c>
    </row>
    <row r="30547" spans="9:9" x14ac:dyDescent="0.2">
      <c r="I30547" s="137" t="s">
        <v>74</v>
      </c>
    </row>
    <row r="30548" spans="9:9" x14ac:dyDescent="0.2">
      <c r="I30548" s="137" t="s">
        <v>74</v>
      </c>
    </row>
    <row r="30549" spans="9:9" x14ac:dyDescent="0.2">
      <c r="I30549" s="137" t="s">
        <v>74</v>
      </c>
    </row>
    <row r="30550" spans="9:9" x14ac:dyDescent="0.2">
      <c r="I30550" s="137" t="s">
        <v>74</v>
      </c>
    </row>
    <row r="30551" spans="9:9" x14ac:dyDescent="0.2">
      <c r="I30551" s="137" t="s">
        <v>74</v>
      </c>
    </row>
    <row r="30552" spans="9:9" x14ac:dyDescent="0.2">
      <c r="I30552" s="137" t="s">
        <v>74</v>
      </c>
    </row>
    <row r="30553" spans="9:9" x14ac:dyDescent="0.2">
      <c r="I30553" s="137" t="s">
        <v>74</v>
      </c>
    </row>
    <row r="30554" spans="9:9" x14ac:dyDescent="0.2">
      <c r="I30554" s="137" t="s">
        <v>74</v>
      </c>
    </row>
    <row r="30555" spans="9:9" x14ac:dyDescent="0.2">
      <c r="I30555" s="137" t="s">
        <v>74</v>
      </c>
    </row>
    <row r="30556" spans="9:9" x14ac:dyDescent="0.2">
      <c r="I30556" s="137" t="s">
        <v>74</v>
      </c>
    </row>
    <row r="30557" spans="9:9" x14ac:dyDescent="0.2">
      <c r="I30557" s="137" t="s">
        <v>74</v>
      </c>
    </row>
    <row r="30558" spans="9:9" x14ac:dyDescent="0.2">
      <c r="I30558" s="137" t="s">
        <v>74</v>
      </c>
    </row>
    <row r="30559" spans="9:9" x14ac:dyDescent="0.2">
      <c r="I30559" s="137" t="s">
        <v>74</v>
      </c>
    </row>
    <row r="30560" spans="9:9" x14ac:dyDescent="0.2">
      <c r="I30560" s="137" t="s">
        <v>74</v>
      </c>
    </row>
    <row r="30561" spans="9:9" x14ac:dyDescent="0.2">
      <c r="I30561" s="137" t="s">
        <v>74</v>
      </c>
    </row>
    <row r="30562" spans="9:9" x14ac:dyDescent="0.2">
      <c r="I30562" s="137" t="s">
        <v>74</v>
      </c>
    </row>
    <row r="30563" spans="9:9" x14ac:dyDescent="0.2">
      <c r="I30563" s="137" t="s">
        <v>74</v>
      </c>
    </row>
    <row r="30564" spans="9:9" x14ac:dyDescent="0.2">
      <c r="I30564" s="137" t="s">
        <v>74</v>
      </c>
    </row>
    <row r="30565" spans="9:9" x14ac:dyDescent="0.2">
      <c r="I30565" s="137" t="s">
        <v>74</v>
      </c>
    </row>
    <row r="30566" spans="9:9" x14ac:dyDescent="0.2">
      <c r="I30566" s="137" t="s">
        <v>74</v>
      </c>
    </row>
    <row r="30567" spans="9:9" x14ac:dyDescent="0.2">
      <c r="I30567" s="137" t="s">
        <v>74</v>
      </c>
    </row>
    <row r="30568" spans="9:9" x14ac:dyDescent="0.2">
      <c r="I30568" s="137" t="s">
        <v>74</v>
      </c>
    </row>
    <row r="30569" spans="9:9" x14ac:dyDescent="0.2">
      <c r="I30569" s="137" t="s">
        <v>74</v>
      </c>
    </row>
    <row r="30570" spans="9:9" x14ac:dyDescent="0.2">
      <c r="I30570" s="137" t="s">
        <v>74</v>
      </c>
    </row>
    <row r="30571" spans="9:9" x14ac:dyDescent="0.2">
      <c r="I30571" s="137" t="s">
        <v>74</v>
      </c>
    </row>
    <row r="30572" spans="9:9" x14ac:dyDescent="0.2">
      <c r="I30572" s="137" t="s">
        <v>74</v>
      </c>
    </row>
    <row r="30573" spans="9:9" x14ac:dyDescent="0.2">
      <c r="I30573" s="137" t="s">
        <v>74</v>
      </c>
    </row>
    <row r="30574" spans="9:9" x14ac:dyDescent="0.2">
      <c r="I30574" s="137" t="s">
        <v>74</v>
      </c>
    </row>
    <row r="30575" spans="9:9" x14ac:dyDescent="0.2">
      <c r="I30575" s="137" t="s">
        <v>74</v>
      </c>
    </row>
    <row r="30576" spans="9:9" x14ac:dyDescent="0.2">
      <c r="I30576" s="137" t="s">
        <v>74</v>
      </c>
    </row>
    <row r="30577" spans="9:9" x14ac:dyDescent="0.2">
      <c r="I30577" s="137" t="s">
        <v>74</v>
      </c>
    </row>
    <row r="30578" spans="9:9" x14ac:dyDescent="0.2">
      <c r="I30578" s="137" t="s">
        <v>74</v>
      </c>
    </row>
    <row r="30579" spans="9:9" x14ac:dyDescent="0.2">
      <c r="I30579" s="137" t="s">
        <v>74</v>
      </c>
    </row>
    <row r="30580" spans="9:9" x14ac:dyDescent="0.2">
      <c r="I30580" s="137" t="s">
        <v>74</v>
      </c>
    </row>
    <row r="30581" spans="9:9" x14ac:dyDescent="0.2">
      <c r="I30581" s="137" t="s">
        <v>74</v>
      </c>
    </row>
    <row r="30582" spans="9:9" x14ac:dyDescent="0.2">
      <c r="I30582" s="137" t="s">
        <v>74</v>
      </c>
    </row>
    <row r="30583" spans="9:9" x14ac:dyDescent="0.2">
      <c r="I30583" s="137" t="s">
        <v>74</v>
      </c>
    </row>
    <row r="30584" spans="9:9" x14ac:dyDescent="0.2">
      <c r="I30584" s="137" t="s">
        <v>74</v>
      </c>
    </row>
    <row r="30585" spans="9:9" x14ac:dyDescent="0.2">
      <c r="I30585" s="137" t="s">
        <v>74</v>
      </c>
    </row>
    <row r="30586" spans="9:9" x14ac:dyDescent="0.2">
      <c r="I30586" s="137" t="s">
        <v>74</v>
      </c>
    </row>
    <row r="30587" spans="9:9" x14ac:dyDescent="0.2">
      <c r="I30587" s="137" t="s">
        <v>74</v>
      </c>
    </row>
    <row r="30588" spans="9:9" x14ac:dyDescent="0.2">
      <c r="I30588" s="137" t="s">
        <v>74</v>
      </c>
    </row>
    <row r="30589" spans="9:9" x14ac:dyDescent="0.2">
      <c r="I30589" s="137" t="s">
        <v>74</v>
      </c>
    </row>
    <row r="30590" spans="9:9" x14ac:dyDescent="0.2">
      <c r="I30590" s="137" t="s">
        <v>74</v>
      </c>
    </row>
    <row r="30591" spans="9:9" x14ac:dyDescent="0.2">
      <c r="I30591" s="137" t="s">
        <v>74</v>
      </c>
    </row>
    <row r="30592" spans="9:9" x14ac:dyDescent="0.2">
      <c r="I30592" s="137" t="s">
        <v>74</v>
      </c>
    </row>
    <row r="30593" spans="9:9" x14ac:dyDescent="0.2">
      <c r="I30593" s="137" t="s">
        <v>74</v>
      </c>
    </row>
    <row r="30594" spans="9:9" x14ac:dyDescent="0.2">
      <c r="I30594" s="137" t="s">
        <v>74</v>
      </c>
    </row>
    <row r="30595" spans="9:9" x14ac:dyDescent="0.2">
      <c r="I30595" s="137" t="s">
        <v>74</v>
      </c>
    </row>
    <row r="30596" spans="9:9" x14ac:dyDescent="0.2">
      <c r="I30596" s="137" t="s">
        <v>74</v>
      </c>
    </row>
    <row r="30597" spans="9:9" x14ac:dyDescent="0.2">
      <c r="I30597" s="137" t="s">
        <v>74</v>
      </c>
    </row>
    <row r="30598" spans="9:9" x14ac:dyDescent="0.2">
      <c r="I30598" s="137" t="s">
        <v>74</v>
      </c>
    </row>
    <row r="30599" spans="9:9" x14ac:dyDescent="0.2">
      <c r="I30599" s="137" t="s">
        <v>74</v>
      </c>
    </row>
    <row r="30600" spans="9:9" x14ac:dyDescent="0.2">
      <c r="I30600" s="137" t="s">
        <v>74</v>
      </c>
    </row>
    <row r="30601" spans="9:9" x14ac:dyDescent="0.2">
      <c r="I30601" s="137" t="s">
        <v>74</v>
      </c>
    </row>
    <row r="30602" spans="9:9" x14ac:dyDescent="0.2">
      <c r="I30602" s="137" t="s">
        <v>74</v>
      </c>
    </row>
    <row r="30603" spans="9:9" x14ac:dyDescent="0.2">
      <c r="I30603" s="137" t="s">
        <v>74</v>
      </c>
    </row>
    <row r="30604" spans="9:9" x14ac:dyDescent="0.2">
      <c r="I30604" s="137" t="s">
        <v>74</v>
      </c>
    </row>
    <row r="30605" spans="9:9" x14ac:dyDescent="0.2">
      <c r="I30605" s="137" t="s">
        <v>74</v>
      </c>
    </row>
    <row r="30606" spans="9:9" x14ac:dyDescent="0.2">
      <c r="I30606" s="137" t="s">
        <v>74</v>
      </c>
    </row>
    <row r="30607" spans="9:9" x14ac:dyDescent="0.2">
      <c r="I30607" s="137" t="s">
        <v>74</v>
      </c>
    </row>
    <row r="30608" spans="9:9" x14ac:dyDescent="0.2">
      <c r="I30608" s="137" t="s">
        <v>74</v>
      </c>
    </row>
    <row r="30609" spans="9:9" x14ac:dyDescent="0.2">
      <c r="I30609" s="137" t="s">
        <v>74</v>
      </c>
    </row>
    <row r="30610" spans="9:9" x14ac:dyDescent="0.2">
      <c r="I30610" s="137" t="s">
        <v>74</v>
      </c>
    </row>
    <row r="30611" spans="9:9" x14ac:dyDescent="0.2">
      <c r="I30611" s="137" t="s">
        <v>74</v>
      </c>
    </row>
    <row r="30612" spans="9:9" x14ac:dyDescent="0.2">
      <c r="I30612" s="137" t="s">
        <v>74</v>
      </c>
    </row>
    <row r="30613" spans="9:9" x14ac:dyDescent="0.2">
      <c r="I30613" s="137" t="s">
        <v>74</v>
      </c>
    </row>
    <row r="30614" spans="9:9" x14ac:dyDescent="0.2">
      <c r="I30614" s="137" t="s">
        <v>74</v>
      </c>
    </row>
    <row r="30615" spans="9:9" x14ac:dyDescent="0.2">
      <c r="I30615" s="137" t="s">
        <v>74</v>
      </c>
    </row>
    <row r="30616" spans="9:9" x14ac:dyDescent="0.2">
      <c r="I30616" s="137" t="s">
        <v>74</v>
      </c>
    </row>
    <row r="30617" spans="9:9" x14ac:dyDescent="0.2">
      <c r="I30617" s="137" t="s">
        <v>74</v>
      </c>
    </row>
    <row r="30618" spans="9:9" x14ac:dyDescent="0.2">
      <c r="I30618" s="137" t="s">
        <v>74</v>
      </c>
    </row>
    <row r="30619" spans="9:9" x14ac:dyDescent="0.2">
      <c r="I30619" s="137" t="s">
        <v>74</v>
      </c>
    </row>
    <row r="30620" spans="9:9" x14ac:dyDescent="0.2">
      <c r="I30620" s="137" t="s">
        <v>74</v>
      </c>
    </row>
    <row r="30621" spans="9:9" x14ac:dyDescent="0.2">
      <c r="I30621" s="137" t="s">
        <v>74</v>
      </c>
    </row>
    <row r="30622" spans="9:9" x14ac:dyDescent="0.2">
      <c r="I30622" s="137" t="s">
        <v>74</v>
      </c>
    </row>
    <row r="30623" spans="9:9" x14ac:dyDescent="0.2">
      <c r="I30623" s="137" t="s">
        <v>74</v>
      </c>
    </row>
    <row r="30624" spans="9:9" x14ac:dyDescent="0.2">
      <c r="I30624" s="137" t="s">
        <v>74</v>
      </c>
    </row>
    <row r="30625" spans="9:9" x14ac:dyDescent="0.2">
      <c r="I30625" s="137" t="s">
        <v>74</v>
      </c>
    </row>
    <row r="30626" spans="9:9" x14ac:dyDescent="0.2">
      <c r="I30626" s="137" t="s">
        <v>74</v>
      </c>
    </row>
    <row r="30627" spans="9:9" x14ac:dyDescent="0.2">
      <c r="I30627" s="137" t="s">
        <v>74</v>
      </c>
    </row>
    <row r="30628" spans="9:9" x14ac:dyDescent="0.2">
      <c r="I30628" s="137" t="s">
        <v>74</v>
      </c>
    </row>
    <row r="30629" spans="9:9" x14ac:dyDescent="0.2">
      <c r="I30629" s="137" t="s">
        <v>74</v>
      </c>
    </row>
    <row r="30630" spans="9:9" x14ac:dyDescent="0.2">
      <c r="I30630" s="137" t="s">
        <v>74</v>
      </c>
    </row>
    <row r="30631" spans="9:9" x14ac:dyDescent="0.2">
      <c r="I30631" s="137" t="s">
        <v>74</v>
      </c>
    </row>
    <row r="30632" spans="9:9" x14ac:dyDescent="0.2">
      <c r="I30632" s="137" t="s">
        <v>74</v>
      </c>
    </row>
    <row r="30633" spans="9:9" x14ac:dyDescent="0.2">
      <c r="I30633" s="137" t="s">
        <v>74</v>
      </c>
    </row>
    <row r="30634" spans="9:9" x14ac:dyDescent="0.2">
      <c r="I30634" s="137" t="s">
        <v>74</v>
      </c>
    </row>
    <row r="30635" spans="9:9" x14ac:dyDescent="0.2">
      <c r="I30635" s="137" t="s">
        <v>74</v>
      </c>
    </row>
    <row r="30636" spans="9:9" x14ac:dyDescent="0.2">
      <c r="I30636" s="137" t="s">
        <v>74</v>
      </c>
    </row>
    <row r="30637" spans="9:9" x14ac:dyDescent="0.2">
      <c r="I30637" s="137" t="s">
        <v>74</v>
      </c>
    </row>
    <row r="30638" spans="9:9" x14ac:dyDescent="0.2">
      <c r="I30638" s="137" t="s">
        <v>74</v>
      </c>
    </row>
    <row r="30639" spans="9:9" x14ac:dyDescent="0.2">
      <c r="I30639" s="137" t="s">
        <v>74</v>
      </c>
    </row>
    <row r="30640" spans="9:9" x14ac:dyDescent="0.2">
      <c r="I30640" s="137" t="s">
        <v>74</v>
      </c>
    </row>
    <row r="30641" spans="9:9" x14ac:dyDescent="0.2">
      <c r="I30641" s="137" t="s">
        <v>74</v>
      </c>
    </row>
    <row r="30642" spans="9:9" x14ac:dyDescent="0.2">
      <c r="I30642" s="137" t="s">
        <v>74</v>
      </c>
    </row>
    <row r="30643" spans="9:9" x14ac:dyDescent="0.2">
      <c r="I30643" s="137" t="s">
        <v>74</v>
      </c>
    </row>
    <row r="30644" spans="9:9" x14ac:dyDescent="0.2">
      <c r="I30644" s="137" t="s">
        <v>74</v>
      </c>
    </row>
    <row r="30645" spans="9:9" x14ac:dyDescent="0.2">
      <c r="I30645" s="137" t="s">
        <v>74</v>
      </c>
    </row>
    <row r="30646" spans="9:9" x14ac:dyDescent="0.2">
      <c r="I30646" s="137" t="s">
        <v>74</v>
      </c>
    </row>
    <row r="30647" spans="9:9" x14ac:dyDescent="0.2">
      <c r="I30647" s="137" t="s">
        <v>74</v>
      </c>
    </row>
    <row r="30648" spans="9:9" x14ac:dyDescent="0.2">
      <c r="I30648" s="137" t="s">
        <v>74</v>
      </c>
    </row>
    <row r="30649" spans="9:9" x14ac:dyDescent="0.2">
      <c r="I30649" s="137" t="s">
        <v>74</v>
      </c>
    </row>
    <row r="30650" spans="9:9" x14ac:dyDescent="0.2">
      <c r="I30650" s="137" t="s">
        <v>74</v>
      </c>
    </row>
    <row r="30651" spans="9:9" x14ac:dyDescent="0.2">
      <c r="I30651" s="137" t="s">
        <v>74</v>
      </c>
    </row>
    <row r="30652" spans="9:9" x14ac:dyDescent="0.2">
      <c r="I30652" s="137" t="s">
        <v>74</v>
      </c>
    </row>
    <row r="30653" spans="9:9" x14ac:dyDescent="0.2">
      <c r="I30653" s="137" t="s">
        <v>74</v>
      </c>
    </row>
    <row r="30654" spans="9:9" x14ac:dyDescent="0.2">
      <c r="I30654" s="137" t="s">
        <v>74</v>
      </c>
    </row>
    <row r="30655" spans="9:9" x14ac:dyDescent="0.2">
      <c r="I30655" s="137" t="s">
        <v>74</v>
      </c>
    </row>
    <row r="30656" spans="9:9" x14ac:dyDescent="0.2">
      <c r="I30656" s="137" t="s">
        <v>74</v>
      </c>
    </row>
    <row r="30657" spans="9:9" x14ac:dyDescent="0.2">
      <c r="I30657" s="137" t="s">
        <v>74</v>
      </c>
    </row>
    <row r="30658" spans="9:9" x14ac:dyDescent="0.2">
      <c r="I30658" s="137" t="s">
        <v>74</v>
      </c>
    </row>
    <row r="30659" spans="9:9" x14ac:dyDescent="0.2">
      <c r="I30659" s="137" t="s">
        <v>74</v>
      </c>
    </row>
    <row r="30660" spans="9:9" x14ac:dyDescent="0.2">
      <c r="I30660" s="137" t="s">
        <v>74</v>
      </c>
    </row>
    <row r="30661" spans="9:9" x14ac:dyDescent="0.2">
      <c r="I30661" s="137" t="s">
        <v>74</v>
      </c>
    </row>
    <row r="30662" spans="9:9" x14ac:dyDescent="0.2">
      <c r="I30662" s="137" t="s">
        <v>74</v>
      </c>
    </row>
    <row r="30663" spans="9:9" x14ac:dyDescent="0.2">
      <c r="I30663" s="137" t="s">
        <v>74</v>
      </c>
    </row>
    <row r="30664" spans="9:9" x14ac:dyDescent="0.2">
      <c r="I30664" s="137" t="s">
        <v>74</v>
      </c>
    </row>
    <row r="30665" spans="9:9" x14ac:dyDescent="0.2">
      <c r="I30665" s="137" t="s">
        <v>74</v>
      </c>
    </row>
    <row r="30666" spans="9:9" x14ac:dyDescent="0.2">
      <c r="I30666" s="137" t="s">
        <v>74</v>
      </c>
    </row>
    <row r="30667" spans="9:9" x14ac:dyDescent="0.2">
      <c r="I30667" s="137" t="s">
        <v>74</v>
      </c>
    </row>
    <row r="30668" spans="9:9" x14ac:dyDescent="0.2">
      <c r="I30668" s="137" t="s">
        <v>74</v>
      </c>
    </row>
    <row r="30669" spans="9:9" x14ac:dyDescent="0.2">
      <c r="I30669" s="137" t="s">
        <v>74</v>
      </c>
    </row>
    <row r="30670" spans="9:9" x14ac:dyDescent="0.2">
      <c r="I30670" s="137" t="s">
        <v>74</v>
      </c>
    </row>
    <row r="30671" spans="9:9" x14ac:dyDescent="0.2">
      <c r="I30671" s="137" t="s">
        <v>74</v>
      </c>
    </row>
    <row r="30672" spans="9:9" x14ac:dyDescent="0.2">
      <c r="I30672" s="137" t="s">
        <v>74</v>
      </c>
    </row>
    <row r="30673" spans="9:9" x14ac:dyDescent="0.2">
      <c r="I30673" s="137" t="s">
        <v>74</v>
      </c>
    </row>
    <row r="30674" spans="9:9" x14ac:dyDescent="0.2">
      <c r="I30674" s="137" t="s">
        <v>74</v>
      </c>
    </row>
    <row r="30675" spans="9:9" x14ac:dyDescent="0.2">
      <c r="I30675" s="137" t="s">
        <v>74</v>
      </c>
    </row>
    <row r="30676" spans="9:9" x14ac:dyDescent="0.2">
      <c r="I30676" s="137" t="s">
        <v>74</v>
      </c>
    </row>
    <row r="30677" spans="9:9" x14ac:dyDescent="0.2">
      <c r="I30677" s="137" t="s">
        <v>74</v>
      </c>
    </row>
    <row r="30678" spans="9:9" x14ac:dyDescent="0.2">
      <c r="I30678" s="137" t="s">
        <v>74</v>
      </c>
    </row>
    <row r="30679" spans="9:9" x14ac:dyDescent="0.2">
      <c r="I30679" s="137" t="s">
        <v>74</v>
      </c>
    </row>
    <row r="30680" spans="9:9" x14ac:dyDescent="0.2">
      <c r="I30680" s="137" t="s">
        <v>74</v>
      </c>
    </row>
    <row r="30681" spans="9:9" x14ac:dyDescent="0.2">
      <c r="I30681" s="137" t="s">
        <v>74</v>
      </c>
    </row>
    <row r="30682" spans="9:9" x14ac:dyDescent="0.2">
      <c r="I30682" s="137" t="s">
        <v>74</v>
      </c>
    </row>
    <row r="30683" spans="9:9" x14ac:dyDescent="0.2">
      <c r="I30683" s="137" t="s">
        <v>74</v>
      </c>
    </row>
    <row r="30684" spans="9:9" x14ac:dyDescent="0.2">
      <c r="I30684" s="137" t="s">
        <v>74</v>
      </c>
    </row>
    <row r="30685" spans="9:9" x14ac:dyDescent="0.2">
      <c r="I30685" s="137" t="s">
        <v>74</v>
      </c>
    </row>
    <row r="30686" spans="9:9" x14ac:dyDescent="0.2">
      <c r="I30686" s="137" t="s">
        <v>74</v>
      </c>
    </row>
    <row r="30687" spans="9:9" x14ac:dyDescent="0.2">
      <c r="I30687" s="137" t="s">
        <v>74</v>
      </c>
    </row>
    <row r="30688" spans="9:9" x14ac:dyDescent="0.2">
      <c r="I30688" s="137" t="s">
        <v>74</v>
      </c>
    </row>
    <row r="30689" spans="9:9" x14ac:dyDescent="0.2">
      <c r="I30689" s="137" t="s">
        <v>74</v>
      </c>
    </row>
    <row r="30690" spans="9:9" x14ac:dyDescent="0.2">
      <c r="I30690" s="137" t="s">
        <v>74</v>
      </c>
    </row>
    <row r="30691" spans="9:9" x14ac:dyDescent="0.2">
      <c r="I30691" s="137" t="s">
        <v>74</v>
      </c>
    </row>
    <row r="30692" spans="9:9" x14ac:dyDescent="0.2">
      <c r="I30692" s="137" t="s">
        <v>74</v>
      </c>
    </row>
    <row r="30693" spans="9:9" x14ac:dyDescent="0.2">
      <c r="I30693" s="137" t="s">
        <v>74</v>
      </c>
    </row>
    <row r="30694" spans="9:9" x14ac:dyDescent="0.2">
      <c r="I30694" s="137" t="s">
        <v>74</v>
      </c>
    </row>
    <row r="30695" spans="9:9" x14ac:dyDescent="0.2">
      <c r="I30695" s="137" t="s">
        <v>74</v>
      </c>
    </row>
    <row r="30696" spans="9:9" x14ac:dyDescent="0.2">
      <c r="I30696" s="137" t="s">
        <v>74</v>
      </c>
    </row>
    <row r="30697" spans="9:9" x14ac:dyDescent="0.2">
      <c r="I30697" s="137" t="s">
        <v>74</v>
      </c>
    </row>
    <row r="30698" spans="9:9" x14ac:dyDescent="0.2">
      <c r="I30698" s="137" t="s">
        <v>74</v>
      </c>
    </row>
    <row r="30699" spans="9:9" x14ac:dyDescent="0.2">
      <c r="I30699" s="137" t="s">
        <v>74</v>
      </c>
    </row>
    <row r="30700" spans="9:9" x14ac:dyDescent="0.2">
      <c r="I30700" s="137" t="s">
        <v>74</v>
      </c>
    </row>
    <row r="30701" spans="9:9" x14ac:dyDescent="0.2">
      <c r="I30701" s="137" t="s">
        <v>74</v>
      </c>
    </row>
    <row r="30702" spans="9:9" x14ac:dyDescent="0.2">
      <c r="I30702" s="137" t="s">
        <v>74</v>
      </c>
    </row>
    <row r="30703" spans="9:9" x14ac:dyDescent="0.2">
      <c r="I30703" s="137" t="s">
        <v>74</v>
      </c>
    </row>
    <row r="30704" spans="9:9" x14ac:dyDescent="0.2">
      <c r="I30704" s="137" t="s">
        <v>74</v>
      </c>
    </row>
    <row r="30705" spans="9:9" x14ac:dyDescent="0.2">
      <c r="I30705" s="137" t="s">
        <v>74</v>
      </c>
    </row>
    <row r="30706" spans="9:9" x14ac:dyDescent="0.2">
      <c r="I30706" s="137" t="s">
        <v>74</v>
      </c>
    </row>
    <row r="30707" spans="9:9" x14ac:dyDescent="0.2">
      <c r="I30707" s="137" t="s">
        <v>74</v>
      </c>
    </row>
    <row r="30708" spans="9:9" x14ac:dyDescent="0.2">
      <c r="I30708" s="137" t="s">
        <v>74</v>
      </c>
    </row>
    <row r="30709" spans="9:9" x14ac:dyDescent="0.2">
      <c r="I30709" s="137" t="s">
        <v>74</v>
      </c>
    </row>
    <row r="30710" spans="9:9" x14ac:dyDescent="0.2">
      <c r="I30710" s="137" t="s">
        <v>74</v>
      </c>
    </row>
    <row r="30711" spans="9:9" x14ac:dyDescent="0.2">
      <c r="I30711" s="137" t="s">
        <v>74</v>
      </c>
    </row>
    <row r="30712" spans="9:9" x14ac:dyDescent="0.2">
      <c r="I30712" s="137" t="s">
        <v>74</v>
      </c>
    </row>
    <row r="30713" spans="9:9" x14ac:dyDescent="0.2">
      <c r="I30713" s="137" t="s">
        <v>74</v>
      </c>
    </row>
    <row r="30714" spans="9:9" x14ac:dyDescent="0.2">
      <c r="I30714" s="137" t="s">
        <v>74</v>
      </c>
    </row>
    <row r="30715" spans="9:9" x14ac:dyDescent="0.2">
      <c r="I30715" s="137" t="s">
        <v>74</v>
      </c>
    </row>
    <row r="30716" spans="9:9" x14ac:dyDescent="0.2">
      <c r="I30716" s="137" t="s">
        <v>74</v>
      </c>
    </row>
    <row r="30717" spans="9:9" x14ac:dyDescent="0.2">
      <c r="I30717" s="137" t="s">
        <v>74</v>
      </c>
    </row>
    <row r="30718" spans="9:9" x14ac:dyDescent="0.2">
      <c r="I30718" s="137" t="s">
        <v>74</v>
      </c>
    </row>
    <row r="30719" spans="9:9" x14ac:dyDescent="0.2">
      <c r="I30719" s="137" t="s">
        <v>74</v>
      </c>
    </row>
    <row r="30720" spans="9:9" x14ac:dyDescent="0.2">
      <c r="I30720" s="137" t="s">
        <v>74</v>
      </c>
    </row>
    <row r="30721" spans="9:9" x14ac:dyDescent="0.2">
      <c r="I30721" s="137" t="s">
        <v>74</v>
      </c>
    </row>
    <row r="30722" spans="9:9" x14ac:dyDescent="0.2">
      <c r="I30722" s="137" t="s">
        <v>74</v>
      </c>
    </row>
    <row r="30723" spans="9:9" x14ac:dyDescent="0.2">
      <c r="I30723" s="137" t="s">
        <v>74</v>
      </c>
    </row>
    <row r="30724" spans="9:9" x14ac:dyDescent="0.2">
      <c r="I30724" s="137" t="s">
        <v>74</v>
      </c>
    </row>
    <row r="30725" spans="9:9" x14ac:dyDescent="0.2">
      <c r="I30725" s="137" t="s">
        <v>74</v>
      </c>
    </row>
    <row r="30726" spans="9:9" x14ac:dyDescent="0.2">
      <c r="I30726" s="137" t="s">
        <v>74</v>
      </c>
    </row>
    <row r="30727" spans="9:9" x14ac:dyDescent="0.2">
      <c r="I30727" s="137" t="s">
        <v>74</v>
      </c>
    </row>
    <row r="30728" spans="9:9" x14ac:dyDescent="0.2">
      <c r="I30728" s="137" t="s">
        <v>74</v>
      </c>
    </row>
    <row r="30729" spans="9:9" x14ac:dyDescent="0.2">
      <c r="I30729" s="137" t="s">
        <v>74</v>
      </c>
    </row>
    <row r="30730" spans="9:9" x14ac:dyDescent="0.2">
      <c r="I30730" s="137" t="s">
        <v>74</v>
      </c>
    </row>
    <row r="30731" spans="9:9" x14ac:dyDescent="0.2">
      <c r="I30731" s="137" t="s">
        <v>74</v>
      </c>
    </row>
    <row r="30732" spans="9:9" x14ac:dyDescent="0.2">
      <c r="I30732" s="137" t="s">
        <v>74</v>
      </c>
    </row>
    <row r="30733" spans="9:9" x14ac:dyDescent="0.2">
      <c r="I30733" s="137" t="s">
        <v>74</v>
      </c>
    </row>
    <row r="30734" spans="9:9" x14ac:dyDescent="0.2">
      <c r="I30734" s="137" t="s">
        <v>74</v>
      </c>
    </row>
    <row r="30735" spans="9:9" x14ac:dyDescent="0.2">
      <c r="I30735" s="137" t="s">
        <v>74</v>
      </c>
    </row>
    <row r="30736" spans="9:9" x14ac:dyDescent="0.2">
      <c r="I30736" s="137" t="s">
        <v>74</v>
      </c>
    </row>
    <row r="30737" spans="9:9" x14ac:dyDescent="0.2">
      <c r="I30737" s="137" t="s">
        <v>74</v>
      </c>
    </row>
    <row r="30738" spans="9:9" x14ac:dyDescent="0.2">
      <c r="I30738" s="137" t="s">
        <v>74</v>
      </c>
    </row>
    <row r="30739" spans="9:9" x14ac:dyDescent="0.2">
      <c r="I30739" s="137" t="s">
        <v>74</v>
      </c>
    </row>
    <row r="30740" spans="9:9" x14ac:dyDescent="0.2">
      <c r="I30740" s="137" t="s">
        <v>74</v>
      </c>
    </row>
    <row r="30741" spans="9:9" x14ac:dyDescent="0.2">
      <c r="I30741" s="137" t="s">
        <v>74</v>
      </c>
    </row>
    <row r="30742" spans="9:9" x14ac:dyDescent="0.2">
      <c r="I30742" s="137" t="s">
        <v>74</v>
      </c>
    </row>
    <row r="30743" spans="9:9" x14ac:dyDescent="0.2">
      <c r="I30743" s="137" t="s">
        <v>74</v>
      </c>
    </row>
    <row r="30744" spans="9:9" x14ac:dyDescent="0.2">
      <c r="I30744" s="137" t="s">
        <v>74</v>
      </c>
    </row>
    <row r="30745" spans="9:9" x14ac:dyDescent="0.2">
      <c r="I30745" s="137" t="s">
        <v>74</v>
      </c>
    </row>
    <row r="30746" spans="9:9" x14ac:dyDescent="0.2">
      <c r="I30746" s="137" t="s">
        <v>74</v>
      </c>
    </row>
    <row r="30747" spans="9:9" x14ac:dyDescent="0.2">
      <c r="I30747" s="137" t="s">
        <v>74</v>
      </c>
    </row>
    <row r="30748" spans="9:9" x14ac:dyDescent="0.2">
      <c r="I30748" s="137" t="s">
        <v>74</v>
      </c>
    </row>
    <row r="30749" spans="9:9" x14ac:dyDescent="0.2">
      <c r="I30749" s="137" t="s">
        <v>74</v>
      </c>
    </row>
    <row r="30750" spans="9:9" x14ac:dyDescent="0.2">
      <c r="I30750" s="137" t="s">
        <v>74</v>
      </c>
    </row>
    <row r="30751" spans="9:9" x14ac:dyDescent="0.2">
      <c r="I30751" s="137" t="s">
        <v>74</v>
      </c>
    </row>
    <row r="30752" spans="9:9" x14ac:dyDescent="0.2">
      <c r="I30752" s="137" t="s">
        <v>74</v>
      </c>
    </row>
    <row r="30753" spans="9:9" x14ac:dyDescent="0.2">
      <c r="I30753" s="137" t="s">
        <v>74</v>
      </c>
    </row>
    <row r="30754" spans="9:9" x14ac:dyDescent="0.2">
      <c r="I30754" s="137" t="s">
        <v>74</v>
      </c>
    </row>
    <row r="30755" spans="9:9" x14ac:dyDescent="0.2">
      <c r="I30755" s="137" t="s">
        <v>74</v>
      </c>
    </row>
    <row r="30756" spans="9:9" x14ac:dyDescent="0.2">
      <c r="I30756" s="137" t="s">
        <v>74</v>
      </c>
    </row>
    <row r="30757" spans="9:9" x14ac:dyDescent="0.2">
      <c r="I30757" s="137" t="s">
        <v>74</v>
      </c>
    </row>
    <row r="30758" spans="9:9" x14ac:dyDescent="0.2">
      <c r="I30758" s="137" t="s">
        <v>74</v>
      </c>
    </row>
    <row r="30759" spans="9:9" x14ac:dyDescent="0.2">
      <c r="I30759" s="137" t="s">
        <v>74</v>
      </c>
    </row>
    <row r="30760" spans="9:9" x14ac:dyDescent="0.2">
      <c r="I30760" s="137" t="s">
        <v>74</v>
      </c>
    </row>
    <row r="30761" spans="9:9" x14ac:dyDescent="0.2">
      <c r="I30761" s="137" t="s">
        <v>74</v>
      </c>
    </row>
    <row r="30762" spans="9:9" x14ac:dyDescent="0.2">
      <c r="I30762" s="137" t="s">
        <v>74</v>
      </c>
    </row>
    <row r="30763" spans="9:9" x14ac:dyDescent="0.2">
      <c r="I30763" s="137" t="s">
        <v>74</v>
      </c>
    </row>
    <row r="30764" spans="9:9" x14ac:dyDescent="0.2">
      <c r="I30764" s="137" t="s">
        <v>74</v>
      </c>
    </row>
    <row r="30765" spans="9:9" x14ac:dyDescent="0.2">
      <c r="I30765" s="137" t="s">
        <v>74</v>
      </c>
    </row>
    <row r="30766" spans="9:9" x14ac:dyDescent="0.2">
      <c r="I30766" s="137" t="s">
        <v>74</v>
      </c>
    </row>
    <row r="30767" spans="9:9" x14ac:dyDescent="0.2">
      <c r="I30767" s="137" t="s">
        <v>74</v>
      </c>
    </row>
    <row r="30768" spans="9:9" x14ac:dyDescent="0.2">
      <c r="I30768" s="137" t="s">
        <v>74</v>
      </c>
    </row>
    <row r="30769" spans="9:9" x14ac:dyDescent="0.2">
      <c r="I30769" s="137" t="s">
        <v>74</v>
      </c>
    </row>
    <row r="30770" spans="9:9" x14ac:dyDescent="0.2">
      <c r="I30770" s="137" t="s">
        <v>74</v>
      </c>
    </row>
    <row r="30771" spans="9:9" x14ac:dyDescent="0.2">
      <c r="I30771" s="137" t="s">
        <v>74</v>
      </c>
    </row>
    <row r="30772" spans="9:9" x14ac:dyDescent="0.2">
      <c r="I30772" s="137" t="s">
        <v>74</v>
      </c>
    </row>
    <row r="30773" spans="9:9" x14ac:dyDescent="0.2">
      <c r="I30773" s="137" t="s">
        <v>74</v>
      </c>
    </row>
    <row r="30774" spans="9:9" x14ac:dyDescent="0.2">
      <c r="I30774" s="137" t="s">
        <v>74</v>
      </c>
    </row>
    <row r="30775" spans="9:9" x14ac:dyDescent="0.2">
      <c r="I30775" s="137" t="s">
        <v>74</v>
      </c>
    </row>
    <row r="30776" spans="9:9" x14ac:dyDescent="0.2">
      <c r="I30776" s="137" t="s">
        <v>74</v>
      </c>
    </row>
    <row r="30777" spans="9:9" x14ac:dyDescent="0.2">
      <c r="I30777" s="137" t="s">
        <v>74</v>
      </c>
    </row>
    <row r="30778" spans="9:9" x14ac:dyDescent="0.2">
      <c r="I30778" s="137" t="s">
        <v>74</v>
      </c>
    </row>
    <row r="30779" spans="9:9" x14ac:dyDescent="0.2">
      <c r="I30779" s="137" t="s">
        <v>74</v>
      </c>
    </row>
    <row r="30780" spans="9:9" x14ac:dyDescent="0.2">
      <c r="I30780" s="137" t="s">
        <v>74</v>
      </c>
    </row>
    <row r="30781" spans="9:9" x14ac:dyDescent="0.2">
      <c r="I30781" s="137" t="s">
        <v>74</v>
      </c>
    </row>
    <row r="30782" spans="9:9" x14ac:dyDescent="0.2">
      <c r="I30782" s="137" t="s">
        <v>74</v>
      </c>
    </row>
    <row r="30783" spans="9:9" x14ac:dyDescent="0.2">
      <c r="I30783" s="137" t="s">
        <v>74</v>
      </c>
    </row>
    <row r="30784" spans="9:9" x14ac:dyDescent="0.2">
      <c r="I30784" s="137" t="s">
        <v>74</v>
      </c>
    </row>
    <row r="30785" spans="9:9" x14ac:dyDescent="0.2">
      <c r="I30785" s="137" t="s">
        <v>74</v>
      </c>
    </row>
    <row r="30786" spans="9:9" x14ac:dyDescent="0.2">
      <c r="I30786" s="137" t="s">
        <v>74</v>
      </c>
    </row>
    <row r="30787" spans="9:9" x14ac:dyDescent="0.2">
      <c r="I30787" s="137" t="s">
        <v>74</v>
      </c>
    </row>
    <row r="30788" spans="9:9" x14ac:dyDescent="0.2">
      <c r="I30788" s="137" t="s">
        <v>74</v>
      </c>
    </row>
    <row r="30789" spans="9:9" x14ac:dyDescent="0.2">
      <c r="I30789" s="137" t="s">
        <v>74</v>
      </c>
    </row>
    <row r="30790" spans="9:9" x14ac:dyDescent="0.2">
      <c r="I30790" s="137" t="s">
        <v>74</v>
      </c>
    </row>
    <row r="30791" spans="9:9" x14ac:dyDescent="0.2">
      <c r="I30791" s="137" t="s">
        <v>74</v>
      </c>
    </row>
    <row r="30792" spans="9:9" x14ac:dyDescent="0.2">
      <c r="I30792" s="137" t="s">
        <v>74</v>
      </c>
    </row>
    <row r="30793" spans="9:9" x14ac:dyDescent="0.2">
      <c r="I30793" s="137" t="s">
        <v>74</v>
      </c>
    </row>
    <row r="30794" spans="9:9" x14ac:dyDescent="0.2">
      <c r="I30794" s="137" t="s">
        <v>74</v>
      </c>
    </row>
    <row r="30795" spans="9:9" x14ac:dyDescent="0.2">
      <c r="I30795" s="137" t="s">
        <v>74</v>
      </c>
    </row>
    <row r="30796" spans="9:9" x14ac:dyDescent="0.2">
      <c r="I30796" s="137" t="s">
        <v>74</v>
      </c>
    </row>
    <row r="30797" spans="9:9" x14ac:dyDescent="0.2">
      <c r="I30797" s="137" t="s">
        <v>74</v>
      </c>
    </row>
    <row r="30798" spans="9:9" x14ac:dyDescent="0.2">
      <c r="I30798" s="137" t="s">
        <v>74</v>
      </c>
    </row>
    <row r="30799" spans="9:9" x14ac:dyDescent="0.2">
      <c r="I30799" s="137" t="s">
        <v>74</v>
      </c>
    </row>
    <row r="30800" spans="9:9" x14ac:dyDescent="0.2">
      <c r="I30800" s="137" t="s">
        <v>74</v>
      </c>
    </row>
    <row r="30801" spans="9:9" x14ac:dyDescent="0.2">
      <c r="I30801" s="137" t="s">
        <v>74</v>
      </c>
    </row>
    <row r="30802" spans="9:9" x14ac:dyDescent="0.2">
      <c r="I30802" s="137" t="s">
        <v>74</v>
      </c>
    </row>
    <row r="30803" spans="9:9" x14ac:dyDescent="0.2">
      <c r="I30803" s="137" t="s">
        <v>74</v>
      </c>
    </row>
    <row r="30804" spans="9:9" x14ac:dyDescent="0.2">
      <c r="I30804" s="137" t="s">
        <v>74</v>
      </c>
    </row>
    <row r="30805" spans="9:9" x14ac:dyDescent="0.2">
      <c r="I30805" s="137" t="s">
        <v>74</v>
      </c>
    </row>
    <row r="30806" spans="9:9" x14ac:dyDescent="0.2">
      <c r="I30806" s="137" t="s">
        <v>74</v>
      </c>
    </row>
    <row r="30807" spans="9:9" x14ac:dyDescent="0.2">
      <c r="I30807" s="137" t="s">
        <v>74</v>
      </c>
    </row>
    <row r="30808" spans="9:9" x14ac:dyDescent="0.2">
      <c r="I30808" s="137" t="s">
        <v>74</v>
      </c>
    </row>
    <row r="30809" spans="9:9" x14ac:dyDescent="0.2">
      <c r="I30809" s="137" t="s">
        <v>74</v>
      </c>
    </row>
    <row r="30810" spans="9:9" x14ac:dyDescent="0.2">
      <c r="I30810" s="137" t="s">
        <v>74</v>
      </c>
    </row>
    <row r="30811" spans="9:9" x14ac:dyDescent="0.2">
      <c r="I30811" s="137" t="s">
        <v>74</v>
      </c>
    </row>
    <row r="30812" spans="9:9" x14ac:dyDescent="0.2">
      <c r="I30812" s="137" t="s">
        <v>74</v>
      </c>
    </row>
    <row r="30813" spans="9:9" x14ac:dyDescent="0.2">
      <c r="I30813" s="137" t="s">
        <v>74</v>
      </c>
    </row>
    <row r="30814" spans="9:9" x14ac:dyDescent="0.2">
      <c r="I30814" s="137" t="s">
        <v>74</v>
      </c>
    </row>
    <row r="30815" spans="9:9" x14ac:dyDescent="0.2">
      <c r="I30815" s="137" t="s">
        <v>74</v>
      </c>
    </row>
    <row r="30816" spans="9:9" x14ac:dyDescent="0.2">
      <c r="I30816" s="137" t="s">
        <v>74</v>
      </c>
    </row>
    <row r="30817" spans="9:9" x14ac:dyDescent="0.2">
      <c r="I30817" s="137" t="s">
        <v>74</v>
      </c>
    </row>
    <row r="30818" spans="9:9" x14ac:dyDescent="0.2">
      <c r="I30818" s="137" t="s">
        <v>74</v>
      </c>
    </row>
    <row r="30819" spans="9:9" x14ac:dyDescent="0.2">
      <c r="I30819" s="137" t="s">
        <v>74</v>
      </c>
    </row>
    <row r="30820" spans="9:9" x14ac:dyDescent="0.2">
      <c r="I30820" s="137" t="s">
        <v>74</v>
      </c>
    </row>
    <row r="30821" spans="9:9" x14ac:dyDescent="0.2">
      <c r="I30821" s="137" t="s">
        <v>74</v>
      </c>
    </row>
    <row r="30822" spans="9:9" x14ac:dyDescent="0.2">
      <c r="I30822" s="137" t="s">
        <v>74</v>
      </c>
    </row>
    <row r="30823" spans="9:9" x14ac:dyDescent="0.2">
      <c r="I30823" s="137" t="s">
        <v>74</v>
      </c>
    </row>
    <row r="30824" spans="9:9" x14ac:dyDescent="0.2">
      <c r="I30824" s="137" t="s">
        <v>74</v>
      </c>
    </row>
    <row r="30825" spans="9:9" x14ac:dyDescent="0.2">
      <c r="I30825" s="137" t="s">
        <v>74</v>
      </c>
    </row>
    <row r="30826" spans="9:9" x14ac:dyDescent="0.2">
      <c r="I30826" s="137" t="s">
        <v>74</v>
      </c>
    </row>
    <row r="30827" spans="9:9" x14ac:dyDescent="0.2">
      <c r="I30827" s="137" t="s">
        <v>74</v>
      </c>
    </row>
    <row r="30828" spans="9:9" x14ac:dyDescent="0.2">
      <c r="I30828" s="137" t="s">
        <v>74</v>
      </c>
    </row>
    <row r="30829" spans="9:9" x14ac:dyDescent="0.2">
      <c r="I30829" s="137" t="s">
        <v>74</v>
      </c>
    </row>
    <row r="30830" spans="9:9" x14ac:dyDescent="0.2">
      <c r="I30830" s="137" t="s">
        <v>74</v>
      </c>
    </row>
    <row r="30831" spans="9:9" x14ac:dyDescent="0.2">
      <c r="I30831" s="137" t="s">
        <v>74</v>
      </c>
    </row>
    <row r="30832" spans="9:9" x14ac:dyDescent="0.2">
      <c r="I30832" s="137" t="s">
        <v>74</v>
      </c>
    </row>
    <row r="30833" spans="9:9" x14ac:dyDescent="0.2">
      <c r="I30833" s="137" t="s">
        <v>74</v>
      </c>
    </row>
    <row r="30834" spans="9:9" x14ac:dyDescent="0.2">
      <c r="I30834" s="137" t="s">
        <v>74</v>
      </c>
    </row>
    <row r="30835" spans="9:9" x14ac:dyDescent="0.2">
      <c r="I30835" s="137" t="s">
        <v>74</v>
      </c>
    </row>
    <row r="30836" spans="9:9" x14ac:dyDescent="0.2">
      <c r="I30836" s="137" t="s">
        <v>74</v>
      </c>
    </row>
    <row r="30837" spans="9:9" x14ac:dyDescent="0.2">
      <c r="I30837" s="137" t="s">
        <v>74</v>
      </c>
    </row>
    <row r="30838" spans="9:9" x14ac:dyDescent="0.2">
      <c r="I30838" s="137" t="s">
        <v>74</v>
      </c>
    </row>
    <row r="30839" spans="9:9" x14ac:dyDescent="0.2">
      <c r="I30839" s="137" t="s">
        <v>74</v>
      </c>
    </row>
    <row r="30840" spans="9:9" x14ac:dyDescent="0.2">
      <c r="I30840" s="137" t="s">
        <v>74</v>
      </c>
    </row>
    <row r="30841" spans="9:9" x14ac:dyDescent="0.2">
      <c r="I30841" s="137" t="s">
        <v>74</v>
      </c>
    </row>
    <row r="30842" spans="9:9" x14ac:dyDescent="0.2">
      <c r="I30842" s="137" t="s">
        <v>74</v>
      </c>
    </row>
    <row r="30843" spans="9:9" x14ac:dyDescent="0.2">
      <c r="I30843" s="137" t="s">
        <v>74</v>
      </c>
    </row>
    <row r="30844" spans="9:9" x14ac:dyDescent="0.2">
      <c r="I30844" s="137" t="s">
        <v>74</v>
      </c>
    </row>
    <row r="30845" spans="9:9" x14ac:dyDescent="0.2">
      <c r="I30845" s="137" t="s">
        <v>74</v>
      </c>
    </row>
    <row r="30846" spans="9:9" x14ac:dyDescent="0.2">
      <c r="I30846" s="137" t="s">
        <v>74</v>
      </c>
    </row>
    <row r="30847" spans="9:9" x14ac:dyDescent="0.2">
      <c r="I30847" s="137" t="s">
        <v>74</v>
      </c>
    </row>
    <row r="30848" spans="9:9" x14ac:dyDescent="0.2">
      <c r="I30848" s="137" t="s">
        <v>74</v>
      </c>
    </row>
    <row r="30849" spans="9:9" x14ac:dyDescent="0.2">
      <c r="I30849" s="137" t="s">
        <v>74</v>
      </c>
    </row>
    <row r="30850" spans="9:9" x14ac:dyDescent="0.2">
      <c r="I30850" s="137" t="s">
        <v>74</v>
      </c>
    </row>
    <row r="30851" spans="9:9" x14ac:dyDescent="0.2">
      <c r="I30851" s="137" t="s">
        <v>74</v>
      </c>
    </row>
    <row r="30852" spans="9:9" x14ac:dyDescent="0.2">
      <c r="I30852" s="137" t="s">
        <v>74</v>
      </c>
    </row>
    <row r="30853" spans="9:9" x14ac:dyDescent="0.2">
      <c r="I30853" s="137" t="s">
        <v>74</v>
      </c>
    </row>
    <row r="30854" spans="9:9" x14ac:dyDescent="0.2">
      <c r="I30854" s="137" t="s">
        <v>74</v>
      </c>
    </row>
    <row r="30855" spans="9:9" x14ac:dyDescent="0.2">
      <c r="I30855" s="137" t="s">
        <v>74</v>
      </c>
    </row>
    <row r="30856" spans="9:9" x14ac:dyDescent="0.2">
      <c r="I30856" s="137" t="s">
        <v>74</v>
      </c>
    </row>
    <row r="30857" spans="9:9" x14ac:dyDescent="0.2">
      <c r="I30857" s="137" t="s">
        <v>74</v>
      </c>
    </row>
    <row r="30858" spans="9:9" x14ac:dyDescent="0.2">
      <c r="I30858" s="137" t="s">
        <v>74</v>
      </c>
    </row>
    <row r="30859" spans="9:9" x14ac:dyDescent="0.2">
      <c r="I30859" s="137" t="s">
        <v>74</v>
      </c>
    </row>
    <row r="30860" spans="9:9" x14ac:dyDescent="0.2">
      <c r="I30860" s="137" t="s">
        <v>74</v>
      </c>
    </row>
    <row r="30861" spans="9:9" x14ac:dyDescent="0.2">
      <c r="I30861" s="137" t="s">
        <v>74</v>
      </c>
    </row>
    <row r="30862" spans="9:9" x14ac:dyDescent="0.2">
      <c r="I30862" s="137" t="s">
        <v>74</v>
      </c>
    </row>
    <row r="30863" spans="9:9" x14ac:dyDescent="0.2">
      <c r="I30863" s="137" t="s">
        <v>74</v>
      </c>
    </row>
    <row r="30864" spans="9:9" x14ac:dyDescent="0.2">
      <c r="I30864" s="137" t="s">
        <v>74</v>
      </c>
    </row>
    <row r="30865" spans="9:9" x14ac:dyDescent="0.2">
      <c r="I30865" s="137" t="s">
        <v>74</v>
      </c>
    </row>
    <row r="30866" spans="9:9" x14ac:dyDescent="0.2">
      <c r="I30866" s="137" t="s">
        <v>74</v>
      </c>
    </row>
    <row r="30867" spans="9:9" x14ac:dyDescent="0.2">
      <c r="I30867" s="137" t="s">
        <v>74</v>
      </c>
    </row>
    <row r="30868" spans="9:9" x14ac:dyDescent="0.2">
      <c r="I30868" s="137" t="s">
        <v>74</v>
      </c>
    </row>
    <row r="30869" spans="9:9" x14ac:dyDescent="0.2">
      <c r="I30869" s="137" t="s">
        <v>74</v>
      </c>
    </row>
    <row r="30870" spans="9:9" x14ac:dyDescent="0.2">
      <c r="I30870" s="137" t="s">
        <v>74</v>
      </c>
    </row>
    <row r="30871" spans="9:9" x14ac:dyDescent="0.2">
      <c r="I30871" s="137" t="s">
        <v>74</v>
      </c>
    </row>
    <row r="30872" spans="9:9" x14ac:dyDescent="0.2">
      <c r="I30872" s="137" t="s">
        <v>74</v>
      </c>
    </row>
    <row r="30873" spans="9:9" x14ac:dyDescent="0.2">
      <c r="I30873" s="137" t="s">
        <v>74</v>
      </c>
    </row>
    <row r="30874" spans="9:9" x14ac:dyDescent="0.2">
      <c r="I30874" s="137" t="s">
        <v>74</v>
      </c>
    </row>
    <row r="30875" spans="9:9" x14ac:dyDescent="0.2">
      <c r="I30875" s="137" t="s">
        <v>74</v>
      </c>
    </row>
    <row r="30876" spans="9:9" x14ac:dyDescent="0.2">
      <c r="I30876" s="137" t="s">
        <v>74</v>
      </c>
    </row>
    <row r="30877" spans="9:9" x14ac:dyDescent="0.2">
      <c r="I30877" s="137" t="s">
        <v>74</v>
      </c>
    </row>
    <row r="30878" spans="9:9" x14ac:dyDescent="0.2">
      <c r="I30878" s="137" t="s">
        <v>74</v>
      </c>
    </row>
    <row r="30879" spans="9:9" x14ac:dyDescent="0.2">
      <c r="I30879" s="137" t="s">
        <v>74</v>
      </c>
    </row>
    <row r="30880" spans="9:9" x14ac:dyDescent="0.2">
      <c r="I30880" s="137" t="s">
        <v>74</v>
      </c>
    </row>
    <row r="30881" spans="9:9" x14ac:dyDescent="0.2">
      <c r="I30881" s="137" t="s">
        <v>74</v>
      </c>
    </row>
    <row r="30882" spans="9:9" x14ac:dyDescent="0.2">
      <c r="I30882" s="137" t="s">
        <v>74</v>
      </c>
    </row>
    <row r="30883" spans="9:9" x14ac:dyDescent="0.2">
      <c r="I30883" s="137" t="s">
        <v>74</v>
      </c>
    </row>
    <row r="30884" spans="9:9" x14ac:dyDescent="0.2">
      <c r="I30884" s="137" t="s">
        <v>74</v>
      </c>
    </row>
    <row r="30885" spans="9:9" x14ac:dyDescent="0.2">
      <c r="I30885" s="137" t="s">
        <v>74</v>
      </c>
    </row>
    <row r="30886" spans="9:9" x14ac:dyDescent="0.2">
      <c r="I30886" s="137" t="s">
        <v>74</v>
      </c>
    </row>
    <row r="30887" spans="9:9" x14ac:dyDescent="0.2">
      <c r="I30887" s="137" t="s">
        <v>74</v>
      </c>
    </row>
    <row r="30888" spans="9:9" x14ac:dyDescent="0.2">
      <c r="I30888" s="137" t="s">
        <v>74</v>
      </c>
    </row>
    <row r="30889" spans="9:9" x14ac:dyDescent="0.2">
      <c r="I30889" s="137" t="s">
        <v>74</v>
      </c>
    </row>
    <row r="30890" spans="9:9" x14ac:dyDescent="0.2">
      <c r="I30890" s="137" t="s">
        <v>74</v>
      </c>
    </row>
    <row r="30891" spans="9:9" x14ac:dyDescent="0.2">
      <c r="I30891" s="137" t="s">
        <v>74</v>
      </c>
    </row>
    <row r="30892" spans="9:9" x14ac:dyDescent="0.2">
      <c r="I30892" s="137" t="s">
        <v>74</v>
      </c>
    </row>
    <row r="30893" spans="9:9" x14ac:dyDescent="0.2">
      <c r="I30893" s="137" t="s">
        <v>74</v>
      </c>
    </row>
    <row r="30894" spans="9:9" x14ac:dyDescent="0.2">
      <c r="I30894" s="137" t="s">
        <v>74</v>
      </c>
    </row>
    <row r="30895" spans="9:9" x14ac:dyDescent="0.2">
      <c r="I30895" s="137" t="s">
        <v>74</v>
      </c>
    </row>
    <row r="30896" spans="9:9" x14ac:dyDescent="0.2">
      <c r="I30896" s="137" t="s">
        <v>74</v>
      </c>
    </row>
    <row r="30897" spans="9:9" x14ac:dyDescent="0.2">
      <c r="I30897" s="137" t="s">
        <v>74</v>
      </c>
    </row>
    <row r="30898" spans="9:9" x14ac:dyDescent="0.2">
      <c r="I30898" s="137" t="s">
        <v>74</v>
      </c>
    </row>
    <row r="30899" spans="9:9" x14ac:dyDescent="0.2">
      <c r="I30899" s="137" t="s">
        <v>74</v>
      </c>
    </row>
    <row r="30900" spans="9:9" x14ac:dyDescent="0.2">
      <c r="I30900" s="137" t="s">
        <v>74</v>
      </c>
    </row>
    <row r="30901" spans="9:9" x14ac:dyDescent="0.2">
      <c r="I30901" s="137" t="s">
        <v>74</v>
      </c>
    </row>
    <row r="30902" spans="9:9" x14ac:dyDescent="0.2">
      <c r="I30902" s="137" t="s">
        <v>74</v>
      </c>
    </row>
    <row r="30903" spans="9:9" x14ac:dyDescent="0.2">
      <c r="I30903" s="137" t="s">
        <v>74</v>
      </c>
    </row>
    <row r="30904" spans="9:9" x14ac:dyDescent="0.2">
      <c r="I30904" s="137" t="s">
        <v>74</v>
      </c>
    </row>
    <row r="30905" spans="9:9" x14ac:dyDescent="0.2">
      <c r="I30905" s="137" t="s">
        <v>74</v>
      </c>
    </row>
    <row r="30906" spans="9:9" x14ac:dyDescent="0.2">
      <c r="I30906" s="137" t="s">
        <v>74</v>
      </c>
    </row>
    <row r="30907" spans="9:9" x14ac:dyDescent="0.2">
      <c r="I30907" s="137" t="s">
        <v>74</v>
      </c>
    </row>
    <row r="30908" spans="9:9" x14ac:dyDescent="0.2">
      <c r="I30908" s="137" t="s">
        <v>74</v>
      </c>
    </row>
    <row r="30909" spans="9:9" x14ac:dyDescent="0.2">
      <c r="I30909" s="137" t="s">
        <v>74</v>
      </c>
    </row>
    <row r="30910" spans="9:9" x14ac:dyDescent="0.2">
      <c r="I30910" s="137" t="s">
        <v>74</v>
      </c>
    </row>
    <row r="30911" spans="9:9" x14ac:dyDescent="0.2">
      <c r="I30911" s="137" t="s">
        <v>74</v>
      </c>
    </row>
    <row r="30912" spans="9:9" x14ac:dyDescent="0.2">
      <c r="I30912" s="137" t="s">
        <v>74</v>
      </c>
    </row>
    <row r="30913" spans="9:9" x14ac:dyDescent="0.2">
      <c r="I30913" s="137" t="s">
        <v>74</v>
      </c>
    </row>
    <row r="30914" spans="9:9" x14ac:dyDescent="0.2">
      <c r="I30914" s="137" t="s">
        <v>74</v>
      </c>
    </row>
    <row r="30915" spans="9:9" x14ac:dyDescent="0.2">
      <c r="I30915" s="137" t="s">
        <v>74</v>
      </c>
    </row>
    <row r="30916" spans="9:9" x14ac:dyDescent="0.2">
      <c r="I30916" s="137" t="s">
        <v>74</v>
      </c>
    </row>
    <row r="30917" spans="9:9" x14ac:dyDescent="0.2">
      <c r="I30917" s="137" t="s">
        <v>74</v>
      </c>
    </row>
    <row r="30918" spans="9:9" x14ac:dyDescent="0.2">
      <c r="I30918" s="137" t="s">
        <v>74</v>
      </c>
    </row>
    <row r="30919" spans="9:9" x14ac:dyDescent="0.2">
      <c r="I30919" s="137" t="s">
        <v>74</v>
      </c>
    </row>
    <row r="30920" spans="9:9" x14ac:dyDescent="0.2">
      <c r="I30920" s="137" t="s">
        <v>74</v>
      </c>
    </row>
    <row r="30921" spans="9:9" x14ac:dyDescent="0.2">
      <c r="I30921" s="137" t="s">
        <v>74</v>
      </c>
    </row>
    <row r="30922" spans="9:9" x14ac:dyDescent="0.2">
      <c r="I30922" s="137" t="s">
        <v>74</v>
      </c>
    </row>
    <row r="30923" spans="9:9" x14ac:dyDescent="0.2">
      <c r="I30923" s="137" t="s">
        <v>74</v>
      </c>
    </row>
    <row r="30924" spans="9:9" x14ac:dyDescent="0.2">
      <c r="I30924" s="137" t="s">
        <v>74</v>
      </c>
    </row>
    <row r="30925" spans="9:9" x14ac:dyDescent="0.2">
      <c r="I30925" s="137" t="s">
        <v>74</v>
      </c>
    </row>
    <row r="30926" spans="9:9" x14ac:dyDescent="0.2">
      <c r="I30926" s="137" t="s">
        <v>74</v>
      </c>
    </row>
    <row r="30927" spans="9:9" x14ac:dyDescent="0.2">
      <c r="I30927" s="137" t="s">
        <v>74</v>
      </c>
    </row>
    <row r="30928" spans="9:9" x14ac:dyDescent="0.2">
      <c r="I30928" s="137" t="s">
        <v>74</v>
      </c>
    </row>
    <row r="30929" spans="9:9" x14ac:dyDescent="0.2">
      <c r="I30929" s="137" t="s">
        <v>74</v>
      </c>
    </row>
    <row r="30930" spans="9:9" x14ac:dyDescent="0.2">
      <c r="I30930" s="137" t="s">
        <v>74</v>
      </c>
    </row>
    <row r="30931" spans="9:9" x14ac:dyDescent="0.2">
      <c r="I30931" s="137" t="s">
        <v>74</v>
      </c>
    </row>
    <row r="30932" spans="9:9" x14ac:dyDescent="0.2">
      <c r="I30932" s="137" t="s">
        <v>74</v>
      </c>
    </row>
    <row r="30933" spans="9:9" x14ac:dyDescent="0.2">
      <c r="I30933" s="137" t="s">
        <v>74</v>
      </c>
    </row>
    <row r="30934" spans="9:9" x14ac:dyDescent="0.2">
      <c r="I30934" s="137" t="s">
        <v>74</v>
      </c>
    </row>
    <row r="30935" spans="9:9" x14ac:dyDescent="0.2">
      <c r="I30935" s="137" t="s">
        <v>74</v>
      </c>
    </row>
    <row r="30936" spans="9:9" x14ac:dyDescent="0.2">
      <c r="I30936" s="137" t="s">
        <v>74</v>
      </c>
    </row>
    <row r="30937" spans="9:9" x14ac:dyDescent="0.2">
      <c r="I30937" s="137" t="s">
        <v>74</v>
      </c>
    </row>
    <row r="30938" spans="9:9" x14ac:dyDescent="0.2">
      <c r="I30938" s="137" t="s">
        <v>74</v>
      </c>
    </row>
    <row r="30939" spans="9:9" x14ac:dyDescent="0.2">
      <c r="I30939" s="137" t="s">
        <v>74</v>
      </c>
    </row>
    <row r="30940" spans="9:9" x14ac:dyDescent="0.2">
      <c r="I30940" s="137" t="s">
        <v>74</v>
      </c>
    </row>
    <row r="30941" spans="9:9" x14ac:dyDescent="0.2">
      <c r="I30941" s="137" t="s">
        <v>74</v>
      </c>
    </row>
    <row r="30942" spans="9:9" x14ac:dyDescent="0.2">
      <c r="I30942" s="137" t="s">
        <v>74</v>
      </c>
    </row>
    <row r="30943" spans="9:9" x14ac:dyDescent="0.2">
      <c r="I30943" s="137" t="s">
        <v>74</v>
      </c>
    </row>
    <row r="30944" spans="9:9" x14ac:dyDescent="0.2">
      <c r="I30944" s="137" t="s">
        <v>74</v>
      </c>
    </row>
    <row r="30945" spans="9:9" x14ac:dyDescent="0.2">
      <c r="I30945" s="137" t="s">
        <v>74</v>
      </c>
    </row>
    <row r="30946" spans="9:9" x14ac:dyDescent="0.2">
      <c r="I30946" s="137" t="s">
        <v>74</v>
      </c>
    </row>
    <row r="30947" spans="9:9" x14ac:dyDescent="0.2">
      <c r="I30947" s="137" t="s">
        <v>74</v>
      </c>
    </row>
    <row r="30948" spans="9:9" x14ac:dyDescent="0.2">
      <c r="I30948" s="137" t="s">
        <v>74</v>
      </c>
    </row>
    <row r="30949" spans="9:9" x14ac:dyDescent="0.2">
      <c r="I30949" s="137" t="s">
        <v>74</v>
      </c>
    </row>
    <row r="30950" spans="9:9" x14ac:dyDescent="0.2">
      <c r="I30950" s="137" t="s">
        <v>74</v>
      </c>
    </row>
    <row r="30951" spans="9:9" x14ac:dyDescent="0.2">
      <c r="I30951" s="137" t="s">
        <v>74</v>
      </c>
    </row>
    <row r="30952" spans="9:9" x14ac:dyDescent="0.2">
      <c r="I30952" s="137" t="s">
        <v>74</v>
      </c>
    </row>
    <row r="30953" spans="9:9" x14ac:dyDescent="0.2">
      <c r="I30953" s="137" t="s">
        <v>74</v>
      </c>
    </row>
    <row r="30954" spans="9:9" x14ac:dyDescent="0.2">
      <c r="I30954" s="137" t="s">
        <v>74</v>
      </c>
    </row>
    <row r="30955" spans="9:9" x14ac:dyDescent="0.2">
      <c r="I30955" s="137" t="s">
        <v>74</v>
      </c>
    </row>
    <row r="30956" spans="9:9" x14ac:dyDescent="0.2">
      <c r="I30956" s="137" t="s">
        <v>74</v>
      </c>
    </row>
    <row r="30957" spans="9:9" x14ac:dyDescent="0.2">
      <c r="I30957" s="137" t="s">
        <v>74</v>
      </c>
    </row>
    <row r="30958" spans="9:9" x14ac:dyDescent="0.2">
      <c r="I30958" s="137" t="s">
        <v>74</v>
      </c>
    </row>
    <row r="30959" spans="9:9" x14ac:dyDescent="0.2">
      <c r="I30959" s="137" t="s">
        <v>74</v>
      </c>
    </row>
    <row r="30960" spans="9:9" x14ac:dyDescent="0.2">
      <c r="I30960" s="137" t="s">
        <v>74</v>
      </c>
    </row>
    <row r="30961" spans="9:9" x14ac:dyDescent="0.2">
      <c r="I30961" s="137" t="s">
        <v>74</v>
      </c>
    </row>
    <row r="30962" spans="9:9" x14ac:dyDescent="0.2">
      <c r="I30962" s="137" t="s">
        <v>74</v>
      </c>
    </row>
    <row r="30963" spans="9:9" x14ac:dyDescent="0.2">
      <c r="I30963" s="137" t="s">
        <v>74</v>
      </c>
    </row>
    <row r="30964" spans="9:9" x14ac:dyDescent="0.2">
      <c r="I30964" s="137" t="s">
        <v>74</v>
      </c>
    </row>
    <row r="30965" spans="9:9" x14ac:dyDescent="0.2">
      <c r="I30965" s="137" t="s">
        <v>74</v>
      </c>
    </row>
    <row r="30966" spans="9:9" x14ac:dyDescent="0.2">
      <c r="I30966" s="137" t="s">
        <v>74</v>
      </c>
    </row>
    <row r="30967" spans="9:9" x14ac:dyDescent="0.2">
      <c r="I30967" s="137" t="s">
        <v>74</v>
      </c>
    </row>
    <row r="30968" spans="9:9" x14ac:dyDescent="0.2">
      <c r="I30968" s="137" t="s">
        <v>74</v>
      </c>
    </row>
    <row r="30969" spans="9:9" x14ac:dyDescent="0.2">
      <c r="I30969" s="137" t="s">
        <v>74</v>
      </c>
    </row>
    <row r="30970" spans="9:9" x14ac:dyDescent="0.2">
      <c r="I30970" s="137" t="s">
        <v>74</v>
      </c>
    </row>
    <row r="30971" spans="9:9" x14ac:dyDescent="0.2">
      <c r="I30971" s="137" t="s">
        <v>74</v>
      </c>
    </row>
    <row r="30972" spans="9:9" x14ac:dyDescent="0.2">
      <c r="I30972" s="137" t="s">
        <v>74</v>
      </c>
    </row>
    <row r="30973" spans="9:9" x14ac:dyDescent="0.2">
      <c r="I30973" s="137" t="s">
        <v>74</v>
      </c>
    </row>
    <row r="30974" spans="9:9" x14ac:dyDescent="0.2">
      <c r="I30974" s="137" t="s">
        <v>74</v>
      </c>
    </row>
    <row r="30975" spans="9:9" x14ac:dyDescent="0.2">
      <c r="I30975" s="137" t="s">
        <v>74</v>
      </c>
    </row>
    <row r="30976" spans="9:9" x14ac:dyDescent="0.2">
      <c r="I30976" s="137" t="s">
        <v>74</v>
      </c>
    </row>
    <row r="30977" spans="9:9" x14ac:dyDescent="0.2">
      <c r="I30977" s="137" t="s">
        <v>74</v>
      </c>
    </row>
    <row r="30978" spans="9:9" x14ac:dyDescent="0.2">
      <c r="I30978" s="137" t="s">
        <v>74</v>
      </c>
    </row>
    <row r="30979" spans="9:9" x14ac:dyDescent="0.2">
      <c r="I30979" s="137" t="s">
        <v>74</v>
      </c>
    </row>
    <row r="30980" spans="9:9" x14ac:dyDescent="0.2">
      <c r="I30980" s="137" t="s">
        <v>74</v>
      </c>
    </row>
    <row r="30981" spans="9:9" x14ac:dyDescent="0.2">
      <c r="I30981" s="137" t="s">
        <v>74</v>
      </c>
    </row>
    <row r="30982" spans="9:9" x14ac:dyDescent="0.2">
      <c r="I30982" s="137" t="s">
        <v>74</v>
      </c>
    </row>
    <row r="30983" spans="9:9" x14ac:dyDescent="0.2">
      <c r="I30983" s="137" t="s">
        <v>74</v>
      </c>
    </row>
    <row r="30984" spans="9:9" x14ac:dyDescent="0.2">
      <c r="I30984" s="137" t="s">
        <v>74</v>
      </c>
    </row>
    <row r="30985" spans="9:9" x14ac:dyDescent="0.2">
      <c r="I30985" s="137" t="s">
        <v>74</v>
      </c>
    </row>
    <row r="30986" spans="9:9" x14ac:dyDescent="0.2">
      <c r="I30986" s="137" t="s">
        <v>74</v>
      </c>
    </row>
    <row r="30987" spans="9:9" x14ac:dyDescent="0.2">
      <c r="I30987" s="137" t="s">
        <v>74</v>
      </c>
    </row>
    <row r="30988" spans="9:9" x14ac:dyDescent="0.2">
      <c r="I30988" s="137" t="s">
        <v>74</v>
      </c>
    </row>
    <row r="30989" spans="9:9" x14ac:dyDescent="0.2">
      <c r="I30989" s="137" t="s">
        <v>74</v>
      </c>
    </row>
    <row r="30990" spans="9:9" x14ac:dyDescent="0.2">
      <c r="I30990" s="137" t="s">
        <v>74</v>
      </c>
    </row>
    <row r="30991" spans="9:9" x14ac:dyDescent="0.2">
      <c r="I30991" s="137" t="s">
        <v>74</v>
      </c>
    </row>
    <row r="30992" spans="9:9" x14ac:dyDescent="0.2">
      <c r="I30992" s="137" t="s">
        <v>74</v>
      </c>
    </row>
    <row r="30993" spans="9:9" x14ac:dyDescent="0.2">
      <c r="I30993" s="137" t="s">
        <v>74</v>
      </c>
    </row>
    <row r="30994" spans="9:9" x14ac:dyDescent="0.2">
      <c r="I30994" s="137" t="s">
        <v>74</v>
      </c>
    </row>
    <row r="30995" spans="9:9" x14ac:dyDescent="0.2">
      <c r="I30995" s="137" t="s">
        <v>74</v>
      </c>
    </row>
    <row r="30996" spans="9:9" x14ac:dyDescent="0.2">
      <c r="I30996" s="137" t="s">
        <v>74</v>
      </c>
    </row>
    <row r="30997" spans="9:9" x14ac:dyDescent="0.2">
      <c r="I30997" s="137" t="s">
        <v>74</v>
      </c>
    </row>
    <row r="30998" spans="9:9" x14ac:dyDescent="0.2">
      <c r="I30998" s="137" t="s">
        <v>74</v>
      </c>
    </row>
    <row r="30999" spans="9:9" x14ac:dyDescent="0.2">
      <c r="I30999" s="137" t="s">
        <v>74</v>
      </c>
    </row>
    <row r="31000" spans="9:9" x14ac:dyDescent="0.2">
      <c r="I31000" s="137" t="s">
        <v>74</v>
      </c>
    </row>
    <row r="31001" spans="9:9" x14ac:dyDescent="0.2">
      <c r="I31001" s="137" t="s">
        <v>74</v>
      </c>
    </row>
    <row r="31002" spans="9:9" x14ac:dyDescent="0.2">
      <c r="I31002" s="137" t="s">
        <v>74</v>
      </c>
    </row>
    <row r="31003" spans="9:9" x14ac:dyDescent="0.2">
      <c r="I31003" s="137" t="s">
        <v>74</v>
      </c>
    </row>
    <row r="31004" spans="9:9" x14ac:dyDescent="0.2">
      <c r="I31004" s="137" t="s">
        <v>74</v>
      </c>
    </row>
    <row r="31005" spans="9:9" x14ac:dyDescent="0.2">
      <c r="I31005" s="137" t="s">
        <v>74</v>
      </c>
    </row>
    <row r="31006" spans="9:9" x14ac:dyDescent="0.2">
      <c r="I31006" s="137" t="s">
        <v>74</v>
      </c>
    </row>
    <row r="31007" spans="9:9" x14ac:dyDescent="0.2">
      <c r="I31007" s="137" t="s">
        <v>74</v>
      </c>
    </row>
    <row r="31008" spans="9:9" x14ac:dyDescent="0.2">
      <c r="I31008" s="137" t="s">
        <v>74</v>
      </c>
    </row>
    <row r="31009" spans="9:9" x14ac:dyDescent="0.2">
      <c r="I31009" s="137" t="s">
        <v>74</v>
      </c>
    </row>
    <row r="31010" spans="9:9" x14ac:dyDescent="0.2">
      <c r="I31010" s="137" t="s">
        <v>74</v>
      </c>
    </row>
    <row r="31011" spans="9:9" x14ac:dyDescent="0.2">
      <c r="I31011" s="137" t="s">
        <v>74</v>
      </c>
    </row>
    <row r="31012" spans="9:9" x14ac:dyDescent="0.2">
      <c r="I31012" s="137" t="s">
        <v>74</v>
      </c>
    </row>
    <row r="31013" spans="9:9" x14ac:dyDescent="0.2">
      <c r="I31013" s="137" t="s">
        <v>74</v>
      </c>
    </row>
    <row r="31014" spans="9:9" x14ac:dyDescent="0.2">
      <c r="I31014" s="137" t="s">
        <v>74</v>
      </c>
    </row>
    <row r="31015" spans="9:9" x14ac:dyDescent="0.2">
      <c r="I31015" s="137" t="s">
        <v>74</v>
      </c>
    </row>
    <row r="31016" spans="9:9" x14ac:dyDescent="0.2">
      <c r="I31016" s="137" t="s">
        <v>74</v>
      </c>
    </row>
    <row r="31017" spans="9:9" x14ac:dyDescent="0.2">
      <c r="I31017" s="137" t="s">
        <v>74</v>
      </c>
    </row>
    <row r="31018" spans="9:9" x14ac:dyDescent="0.2">
      <c r="I31018" s="137" t="s">
        <v>74</v>
      </c>
    </row>
    <row r="31019" spans="9:9" x14ac:dyDescent="0.2">
      <c r="I31019" s="137" t="s">
        <v>74</v>
      </c>
    </row>
    <row r="31020" spans="9:9" x14ac:dyDescent="0.2">
      <c r="I31020" s="137" t="s">
        <v>74</v>
      </c>
    </row>
    <row r="31021" spans="9:9" x14ac:dyDescent="0.2">
      <c r="I31021" s="137" t="s">
        <v>74</v>
      </c>
    </row>
    <row r="31022" spans="9:9" x14ac:dyDescent="0.2">
      <c r="I31022" s="137" t="s">
        <v>74</v>
      </c>
    </row>
    <row r="31023" spans="9:9" x14ac:dyDescent="0.2">
      <c r="I31023" s="137" t="s">
        <v>74</v>
      </c>
    </row>
    <row r="31024" spans="9:9" x14ac:dyDescent="0.2">
      <c r="I31024" s="137" t="s">
        <v>74</v>
      </c>
    </row>
    <row r="31025" spans="9:9" x14ac:dyDescent="0.2">
      <c r="I31025" s="137" t="s">
        <v>74</v>
      </c>
    </row>
    <row r="31026" spans="9:9" x14ac:dyDescent="0.2">
      <c r="I31026" s="137" t="s">
        <v>74</v>
      </c>
    </row>
    <row r="31027" spans="9:9" x14ac:dyDescent="0.2">
      <c r="I31027" s="137" t="s">
        <v>74</v>
      </c>
    </row>
    <row r="31028" spans="9:9" x14ac:dyDescent="0.2">
      <c r="I31028" s="137" t="s">
        <v>74</v>
      </c>
    </row>
    <row r="31029" spans="9:9" x14ac:dyDescent="0.2">
      <c r="I31029" s="137" t="s">
        <v>74</v>
      </c>
    </row>
    <row r="31030" spans="9:9" x14ac:dyDescent="0.2">
      <c r="I31030" s="137" t="s">
        <v>74</v>
      </c>
    </row>
    <row r="31031" spans="9:9" x14ac:dyDescent="0.2">
      <c r="I31031" s="137" t="s">
        <v>74</v>
      </c>
    </row>
    <row r="31032" spans="9:9" x14ac:dyDescent="0.2">
      <c r="I31032" s="137" t="s">
        <v>74</v>
      </c>
    </row>
    <row r="31033" spans="9:9" x14ac:dyDescent="0.2">
      <c r="I31033" s="137" t="s">
        <v>74</v>
      </c>
    </row>
    <row r="31034" spans="9:9" x14ac:dyDescent="0.2">
      <c r="I31034" s="137" t="s">
        <v>74</v>
      </c>
    </row>
    <row r="31035" spans="9:9" x14ac:dyDescent="0.2">
      <c r="I31035" s="137" t="s">
        <v>74</v>
      </c>
    </row>
    <row r="31036" spans="9:9" x14ac:dyDescent="0.2">
      <c r="I31036" s="137" t="s">
        <v>74</v>
      </c>
    </row>
    <row r="31037" spans="9:9" x14ac:dyDescent="0.2">
      <c r="I31037" s="137" t="s">
        <v>74</v>
      </c>
    </row>
    <row r="31038" spans="9:9" x14ac:dyDescent="0.2">
      <c r="I31038" s="137" t="s">
        <v>74</v>
      </c>
    </row>
    <row r="31039" spans="9:9" x14ac:dyDescent="0.2">
      <c r="I31039" s="137" t="s">
        <v>74</v>
      </c>
    </row>
    <row r="31040" spans="9:9" x14ac:dyDescent="0.2">
      <c r="I31040" s="137" t="s">
        <v>74</v>
      </c>
    </row>
    <row r="31041" spans="9:9" x14ac:dyDescent="0.2">
      <c r="I31041" s="137" t="s">
        <v>74</v>
      </c>
    </row>
    <row r="31042" spans="9:9" x14ac:dyDescent="0.2">
      <c r="I31042" s="137" t="s">
        <v>74</v>
      </c>
    </row>
    <row r="31043" spans="9:9" x14ac:dyDescent="0.2">
      <c r="I31043" s="137" t="s">
        <v>74</v>
      </c>
    </row>
    <row r="31044" spans="9:9" x14ac:dyDescent="0.2">
      <c r="I31044" s="137" t="s">
        <v>74</v>
      </c>
    </row>
    <row r="31045" spans="9:9" x14ac:dyDescent="0.2">
      <c r="I31045" s="137" t="s">
        <v>74</v>
      </c>
    </row>
    <row r="31046" spans="9:9" x14ac:dyDescent="0.2">
      <c r="I31046" s="137" t="s">
        <v>74</v>
      </c>
    </row>
    <row r="31047" spans="9:9" x14ac:dyDescent="0.2">
      <c r="I31047" s="137" t="s">
        <v>74</v>
      </c>
    </row>
    <row r="31048" spans="9:9" x14ac:dyDescent="0.2">
      <c r="I31048" s="137" t="s">
        <v>74</v>
      </c>
    </row>
    <row r="31049" spans="9:9" x14ac:dyDescent="0.2">
      <c r="I31049" s="137" t="s">
        <v>74</v>
      </c>
    </row>
    <row r="31050" spans="9:9" x14ac:dyDescent="0.2">
      <c r="I31050" s="137" t="s">
        <v>74</v>
      </c>
    </row>
    <row r="31051" spans="9:9" x14ac:dyDescent="0.2">
      <c r="I31051" s="137" t="s">
        <v>74</v>
      </c>
    </row>
    <row r="31052" spans="9:9" x14ac:dyDescent="0.2">
      <c r="I31052" s="137" t="s">
        <v>74</v>
      </c>
    </row>
    <row r="31053" spans="9:9" x14ac:dyDescent="0.2">
      <c r="I31053" s="137" t="s">
        <v>74</v>
      </c>
    </row>
    <row r="31054" spans="9:9" x14ac:dyDescent="0.2">
      <c r="I31054" s="137" t="s">
        <v>74</v>
      </c>
    </row>
    <row r="31055" spans="9:9" x14ac:dyDescent="0.2">
      <c r="I31055" s="137" t="s">
        <v>74</v>
      </c>
    </row>
    <row r="31056" spans="9:9" x14ac:dyDescent="0.2">
      <c r="I31056" s="137" t="s">
        <v>74</v>
      </c>
    </row>
    <row r="31057" spans="9:9" x14ac:dyDescent="0.2">
      <c r="I31057" s="137" t="s">
        <v>74</v>
      </c>
    </row>
    <row r="31058" spans="9:9" x14ac:dyDescent="0.2">
      <c r="I31058" s="137" t="s">
        <v>74</v>
      </c>
    </row>
    <row r="31059" spans="9:9" x14ac:dyDescent="0.2">
      <c r="I31059" s="137" t="s">
        <v>74</v>
      </c>
    </row>
    <row r="31060" spans="9:9" x14ac:dyDescent="0.2">
      <c r="I31060" s="137" t="s">
        <v>74</v>
      </c>
    </row>
    <row r="31061" spans="9:9" x14ac:dyDescent="0.2">
      <c r="I31061" s="137" t="s">
        <v>74</v>
      </c>
    </row>
    <row r="31062" spans="9:9" x14ac:dyDescent="0.2">
      <c r="I31062" s="137" t="s">
        <v>74</v>
      </c>
    </row>
    <row r="31063" spans="9:9" x14ac:dyDescent="0.2">
      <c r="I31063" s="137" t="s">
        <v>74</v>
      </c>
    </row>
    <row r="31064" spans="9:9" x14ac:dyDescent="0.2">
      <c r="I31064" s="137" t="s">
        <v>74</v>
      </c>
    </row>
    <row r="31065" spans="9:9" x14ac:dyDescent="0.2">
      <c r="I31065" s="137" t="s">
        <v>74</v>
      </c>
    </row>
    <row r="31066" spans="9:9" x14ac:dyDescent="0.2">
      <c r="I31066" s="137" t="s">
        <v>74</v>
      </c>
    </row>
    <row r="31067" spans="9:9" x14ac:dyDescent="0.2">
      <c r="I31067" s="137" t="s">
        <v>74</v>
      </c>
    </row>
    <row r="31068" spans="9:9" x14ac:dyDescent="0.2">
      <c r="I31068" s="137" t="s">
        <v>74</v>
      </c>
    </row>
    <row r="31069" spans="9:9" x14ac:dyDescent="0.2">
      <c r="I31069" s="137" t="s">
        <v>74</v>
      </c>
    </row>
    <row r="31070" spans="9:9" x14ac:dyDescent="0.2">
      <c r="I31070" s="137" t="s">
        <v>74</v>
      </c>
    </row>
    <row r="31071" spans="9:9" x14ac:dyDescent="0.2">
      <c r="I31071" s="137" t="s">
        <v>74</v>
      </c>
    </row>
    <row r="31072" spans="9:9" x14ac:dyDescent="0.2">
      <c r="I31072" s="137" t="s">
        <v>74</v>
      </c>
    </row>
    <row r="31073" spans="9:9" x14ac:dyDescent="0.2">
      <c r="I31073" s="137" t="s">
        <v>74</v>
      </c>
    </row>
    <row r="31074" spans="9:9" x14ac:dyDescent="0.2">
      <c r="I31074" s="137" t="s">
        <v>74</v>
      </c>
    </row>
    <row r="31075" spans="9:9" x14ac:dyDescent="0.2">
      <c r="I31075" s="137" t="s">
        <v>74</v>
      </c>
    </row>
    <row r="31076" spans="9:9" x14ac:dyDescent="0.2">
      <c r="I31076" s="137" t="s">
        <v>74</v>
      </c>
    </row>
    <row r="31077" spans="9:9" x14ac:dyDescent="0.2">
      <c r="I31077" s="137" t="s">
        <v>74</v>
      </c>
    </row>
    <row r="31078" spans="9:9" x14ac:dyDescent="0.2">
      <c r="I31078" s="137" t="s">
        <v>74</v>
      </c>
    </row>
    <row r="31079" spans="9:9" x14ac:dyDescent="0.2">
      <c r="I31079" s="137" t="s">
        <v>74</v>
      </c>
    </row>
    <row r="31080" spans="9:9" x14ac:dyDescent="0.2">
      <c r="I31080" s="137" t="s">
        <v>74</v>
      </c>
    </row>
    <row r="31081" spans="9:9" x14ac:dyDescent="0.2">
      <c r="I31081" s="137" t="s">
        <v>74</v>
      </c>
    </row>
    <row r="31082" spans="9:9" x14ac:dyDescent="0.2">
      <c r="I31082" s="137" t="s">
        <v>74</v>
      </c>
    </row>
    <row r="31083" spans="9:9" x14ac:dyDescent="0.2">
      <c r="I31083" s="137" t="s">
        <v>74</v>
      </c>
    </row>
    <row r="31084" spans="9:9" x14ac:dyDescent="0.2">
      <c r="I31084" s="137" t="s">
        <v>74</v>
      </c>
    </row>
    <row r="31085" spans="9:9" x14ac:dyDescent="0.2">
      <c r="I31085" s="137" t="s">
        <v>74</v>
      </c>
    </row>
    <row r="31086" spans="9:9" x14ac:dyDescent="0.2">
      <c r="I31086" s="137" t="s">
        <v>74</v>
      </c>
    </row>
    <row r="31087" spans="9:9" x14ac:dyDescent="0.2">
      <c r="I31087" s="137" t="s">
        <v>74</v>
      </c>
    </row>
    <row r="31088" spans="9:9" x14ac:dyDescent="0.2">
      <c r="I31088" s="137" t="s">
        <v>74</v>
      </c>
    </row>
    <row r="31089" spans="9:9" x14ac:dyDescent="0.2">
      <c r="I31089" s="137" t="s">
        <v>74</v>
      </c>
    </row>
    <row r="31090" spans="9:9" x14ac:dyDescent="0.2">
      <c r="I31090" s="137" t="s">
        <v>74</v>
      </c>
    </row>
    <row r="31091" spans="9:9" x14ac:dyDescent="0.2">
      <c r="I31091" s="137" t="s">
        <v>74</v>
      </c>
    </row>
    <row r="31092" spans="9:9" x14ac:dyDescent="0.2">
      <c r="I31092" s="137" t="s">
        <v>74</v>
      </c>
    </row>
    <row r="31093" spans="9:9" x14ac:dyDescent="0.2">
      <c r="I31093" s="137" t="s">
        <v>74</v>
      </c>
    </row>
    <row r="31094" spans="9:9" x14ac:dyDescent="0.2">
      <c r="I31094" s="137" t="s">
        <v>74</v>
      </c>
    </row>
    <row r="31095" spans="9:9" x14ac:dyDescent="0.2">
      <c r="I31095" s="137" t="s">
        <v>74</v>
      </c>
    </row>
    <row r="31096" spans="9:9" x14ac:dyDescent="0.2">
      <c r="I31096" s="137" t="s">
        <v>74</v>
      </c>
    </row>
    <row r="31097" spans="9:9" x14ac:dyDescent="0.2">
      <c r="I31097" s="137" t="s">
        <v>74</v>
      </c>
    </row>
    <row r="31098" spans="9:9" x14ac:dyDescent="0.2">
      <c r="I31098" s="137" t="s">
        <v>74</v>
      </c>
    </row>
    <row r="31099" spans="9:9" x14ac:dyDescent="0.2">
      <c r="I31099" s="137" t="s">
        <v>74</v>
      </c>
    </row>
    <row r="31100" spans="9:9" x14ac:dyDescent="0.2">
      <c r="I31100" s="137" t="s">
        <v>74</v>
      </c>
    </row>
    <row r="31101" spans="9:9" x14ac:dyDescent="0.2">
      <c r="I31101" s="137" t="s">
        <v>74</v>
      </c>
    </row>
    <row r="31102" spans="9:9" x14ac:dyDescent="0.2">
      <c r="I31102" s="137" t="s">
        <v>74</v>
      </c>
    </row>
    <row r="31103" spans="9:9" x14ac:dyDescent="0.2">
      <c r="I31103" s="137" t="s">
        <v>74</v>
      </c>
    </row>
    <row r="31104" spans="9:9" x14ac:dyDescent="0.2">
      <c r="I31104" s="137" t="s">
        <v>74</v>
      </c>
    </row>
    <row r="31105" spans="9:9" x14ac:dyDescent="0.2">
      <c r="I31105" s="137" t="s">
        <v>74</v>
      </c>
    </row>
    <row r="31106" spans="9:9" x14ac:dyDescent="0.2">
      <c r="I31106" s="137" t="s">
        <v>74</v>
      </c>
    </row>
    <row r="31107" spans="9:9" x14ac:dyDescent="0.2">
      <c r="I31107" s="137" t="s">
        <v>74</v>
      </c>
    </row>
    <row r="31108" spans="9:9" x14ac:dyDescent="0.2">
      <c r="I31108" s="137" t="s">
        <v>74</v>
      </c>
    </row>
    <row r="31109" spans="9:9" x14ac:dyDescent="0.2">
      <c r="I31109" s="137" t="s">
        <v>74</v>
      </c>
    </row>
    <row r="31110" spans="9:9" x14ac:dyDescent="0.2">
      <c r="I31110" s="137" t="s">
        <v>74</v>
      </c>
    </row>
    <row r="31111" spans="9:9" x14ac:dyDescent="0.2">
      <c r="I31111" s="137" t="s">
        <v>74</v>
      </c>
    </row>
    <row r="31112" spans="9:9" x14ac:dyDescent="0.2">
      <c r="I31112" s="137" t="s">
        <v>74</v>
      </c>
    </row>
    <row r="31113" spans="9:9" x14ac:dyDescent="0.2">
      <c r="I31113" s="137" t="s">
        <v>74</v>
      </c>
    </row>
    <row r="31114" spans="9:9" x14ac:dyDescent="0.2">
      <c r="I31114" s="137" t="s">
        <v>74</v>
      </c>
    </row>
    <row r="31115" spans="9:9" x14ac:dyDescent="0.2">
      <c r="I31115" s="137" t="s">
        <v>74</v>
      </c>
    </row>
    <row r="31116" spans="9:9" x14ac:dyDescent="0.2">
      <c r="I31116" s="137" t="s">
        <v>74</v>
      </c>
    </row>
    <row r="31117" spans="9:9" x14ac:dyDescent="0.2">
      <c r="I31117" s="137" t="s">
        <v>74</v>
      </c>
    </row>
    <row r="31118" spans="9:9" x14ac:dyDescent="0.2">
      <c r="I31118" s="137" t="s">
        <v>74</v>
      </c>
    </row>
    <row r="31119" spans="9:9" x14ac:dyDescent="0.2">
      <c r="I31119" s="137" t="s">
        <v>74</v>
      </c>
    </row>
    <row r="31120" spans="9:9" x14ac:dyDescent="0.2">
      <c r="I31120" s="137" t="s">
        <v>74</v>
      </c>
    </row>
    <row r="31121" spans="9:9" x14ac:dyDescent="0.2">
      <c r="I31121" s="137" t="s">
        <v>74</v>
      </c>
    </row>
    <row r="31122" spans="9:9" x14ac:dyDescent="0.2">
      <c r="I31122" s="137" t="s">
        <v>74</v>
      </c>
    </row>
    <row r="31123" spans="9:9" x14ac:dyDescent="0.2">
      <c r="I31123" s="137" t="s">
        <v>74</v>
      </c>
    </row>
    <row r="31124" spans="9:9" x14ac:dyDescent="0.2">
      <c r="I31124" s="137" t="s">
        <v>74</v>
      </c>
    </row>
    <row r="31125" spans="9:9" x14ac:dyDescent="0.2">
      <c r="I31125" s="137" t="s">
        <v>74</v>
      </c>
    </row>
    <row r="31126" spans="9:9" x14ac:dyDescent="0.2">
      <c r="I31126" s="137" t="s">
        <v>74</v>
      </c>
    </row>
    <row r="31127" spans="9:9" x14ac:dyDescent="0.2">
      <c r="I31127" s="137" t="s">
        <v>74</v>
      </c>
    </row>
    <row r="31128" spans="9:9" x14ac:dyDescent="0.2">
      <c r="I31128" s="137" t="s">
        <v>74</v>
      </c>
    </row>
    <row r="31129" spans="9:9" x14ac:dyDescent="0.2">
      <c r="I31129" s="137" t="s">
        <v>74</v>
      </c>
    </row>
    <row r="31130" spans="9:9" x14ac:dyDescent="0.2">
      <c r="I31130" s="137" t="s">
        <v>74</v>
      </c>
    </row>
    <row r="31131" spans="9:9" x14ac:dyDescent="0.2">
      <c r="I31131" s="137" t="s">
        <v>74</v>
      </c>
    </row>
    <row r="31132" spans="9:9" x14ac:dyDescent="0.2">
      <c r="I31132" s="137" t="s">
        <v>74</v>
      </c>
    </row>
    <row r="31133" spans="9:9" x14ac:dyDescent="0.2">
      <c r="I31133" s="137" t="s">
        <v>74</v>
      </c>
    </row>
    <row r="31134" spans="9:9" x14ac:dyDescent="0.2">
      <c r="I31134" s="137" t="s">
        <v>74</v>
      </c>
    </row>
    <row r="31135" spans="9:9" x14ac:dyDescent="0.2">
      <c r="I31135" s="137" t="s">
        <v>74</v>
      </c>
    </row>
    <row r="31136" spans="9:9" x14ac:dyDescent="0.2">
      <c r="I31136" s="137" t="s">
        <v>74</v>
      </c>
    </row>
    <row r="31137" spans="9:9" x14ac:dyDescent="0.2">
      <c r="I31137" s="137" t="s">
        <v>74</v>
      </c>
    </row>
    <row r="31138" spans="9:9" x14ac:dyDescent="0.2">
      <c r="I31138" s="137" t="s">
        <v>74</v>
      </c>
    </row>
    <row r="31139" spans="9:9" x14ac:dyDescent="0.2">
      <c r="I31139" s="137" t="s">
        <v>74</v>
      </c>
    </row>
    <row r="31140" spans="9:9" x14ac:dyDescent="0.2">
      <c r="I31140" s="137" t="s">
        <v>74</v>
      </c>
    </row>
    <row r="31141" spans="9:9" x14ac:dyDescent="0.2">
      <c r="I31141" s="137" t="s">
        <v>74</v>
      </c>
    </row>
    <row r="31142" spans="9:9" x14ac:dyDescent="0.2">
      <c r="I31142" s="137" t="s">
        <v>74</v>
      </c>
    </row>
    <row r="31143" spans="9:9" x14ac:dyDescent="0.2">
      <c r="I31143" s="137" t="s">
        <v>74</v>
      </c>
    </row>
    <row r="31144" spans="9:9" x14ac:dyDescent="0.2">
      <c r="I31144" s="137" t="s">
        <v>74</v>
      </c>
    </row>
    <row r="31145" spans="9:9" x14ac:dyDescent="0.2">
      <c r="I31145" s="137" t="s">
        <v>74</v>
      </c>
    </row>
    <row r="31146" spans="9:9" x14ac:dyDescent="0.2">
      <c r="I31146" s="137" t="s">
        <v>74</v>
      </c>
    </row>
    <row r="31147" spans="9:9" x14ac:dyDescent="0.2">
      <c r="I31147" s="137" t="s">
        <v>74</v>
      </c>
    </row>
    <row r="31148" spans="9:9" x14ac:dyDescent="0.2">
      <c r="I31148" s="137" t="s">
        <v>74</v>
      </c>
    </row>
    <row r="31149" spans="9:9" x14ac:dyDescent="0.2">
      <c r="I31149" s="137" t="s">
        <v>74</v>
      </c>
    </row>
    <row r="31150" spans="9:9" x14ac:dyDescent="0.2">
      <c r="I31150" s="137" t="s">
        <v>74</v>
      </c>
    </row>
    <row r="31151" spans="9:9" x14ac:dyDescent="0.2">
      <c r="I31151" s="137" t="s">
        <v>74</v>
      </c>
    </row>
    <row r="31152" spans="9:9" x14ac:dyDescent="0.2">
      <c r="I31152" s="137" t="s">
        <v>74</v>
      </c>
    </row>
    <row r="31153" spans="9:9" x14ac:dyDescent="0.2">
      <c r="I31153" s="137" t="s">
        <v>74</v>
      </c>
    </row>
    <row r="31154" spans="9:9" x14ac:dyDescent="0.2">
      <c r="I31154" s="137" t="s">
        <v>74</v>
      </c>
    </row>
    <row r="31155" spans="9:9" x14ac:dyDescent="0.2">
      <c r="I31155" s="137" t="s">
        <v>74</v>
      </c>
    </row>
    <row r="31156" spans="9:9" x14ac:dyDescent="0.2">
      <c r="I31156" s="137" t="s">
        <v>74</v>
      </c>
    </row>
    <row r="31157" spans="9:9" x14ac:dyDescent="0.2">
      <c r="I31157" s="137" t="s">
        <v>74</v>
      </c>
    </row>
    <row r="31158" spans="9:9" x14ac:dyDescent="0.2">
      <c r="I31158" s="137" t="s">
        <v>74</v>
      </c>
    </row>
    <row r="31159" spans="9:9" x14ac:dyDescent="0.2">
      <c r="I31159" s="137" t="s">
        <v>74</v>
      </c>
    </row>
    <row r="31160" spans="9:9" x14ac:dyDescent="0.2">
      <c r="I31160" s="137" t="s">
        <v>74</v>
      </c>
    </row>
    <row r="31161" spans="9:9" x14ac:dyDescent="0.2">
      <c r="I31161" s="137" t="s">
        <v>74</v>
      </c>
    </row>
    <row r="31162" spans="9:9" x14ac:dyDescent="0.2">
      <c r="I31162" s="137" t="s">
        <v>74</v>
      </c>
    </row>
    <row r="31163" spans="9:9" x14ac:dyDescent="0.2">
      <c r="I31163" s="137" t="s">
        <v>74</v>
      </c>
    </row>
    <row r="31164" spans="9:9" x14ac:dyDescent="0.2">
      <c r="I31164" s="137" t="s">
        <v>74</v>
      </c>
    </row>
    <row r="31165" spans="9:9" x14ac:dyDescent="0.2">
      <c r="I31165" s="137" t="s">
        <v>74</v>
      </c>
    </row>
    <row r="31166" spans="9:9" x14ac:dyDescent="0.2">
      <c r="I31166" s="137" t="s">
        <v>74</v>
      </c>
    </row>
    <row r="31167" spans="9:9" x14ac:dyDescent="0.2">
      <c r="I31167" s="137" t="s">
        <v>74</v>
      </c>
    </row>
    <row r="31168" spans="9:9" x14ac:dyDescent="0.2">
      <c r="I31168" s="137" t="s">
        <v>74</v>
      </c>
    </row>
    <row r="31169" spans="9:9" x14ac:dyDescent="0.2">
      <c r="I31169" s="137" t="s">
        <v>74</v>
      </c>
    </row>
    <row r="31170" spans="9:9" x14ac:dyDescent="0.2">
      <c r="I31170" s="137" t="s">
        <v>74</v>
      </c>
    </row>
    <row r="31171" spans="9:9" x14ac:dyDescent="0.2">
      <c r="I31171" s="137" t="s">
        <v>74</v>
      </c>
    </row>
    <row r="31172" spans="9:9" x14ac:dyDescent="0.2">
      <c r="I31172" s="137" t="s">
        <v>74</v>
      </c>
    </row>
    <row r="31173" spans="9:9" x14ac:dyDescent="0.2">
      <c r="I31173" s="137" t="s">
        <v>74</v>
      </c>
    </row>
    <row r="31174" spans="9:9" x14ac:dyDescent="0.2">
      <c r="I31174" s="137" t="s">
        <v>74</v>
      </c>
    </row>
    <row r="31175" spans="9:9" x14ac:dyDescent="0.2">
      <c r="I31175" s="137" t="s">
        <v>74</v>
      </c>
    </row>
    <row r="31176" spans="9:9" x14ac:dyDescent="0.2">
      <c r="I31176" s="137" t="s">
        <v>74</v>
      </c>
    </row>
    <row r="31177" spans="9:9" x14ac:dyDescent="0.2">
      <c r="I31177" s="137" t="s">
        <v>74</v>
      </c>
    </row>
    <row r="31178" spans="9:9" x14ac:dyDescent="0.2">
      <c r="I31178" s="137" t="s">
        <v>74</v>
      </c>
    </row>
    <row r="31179" spans="9:9" x14ac:dyDescent="0.2">
      <c r="I31179" s="137" t="s">
        <v>74</v>
      </c>
    </row>
    <row r="31180" spans="9:9" x14ac:dyDescent="0.2">
      <c r="I31180" s="137" t="s">
        <v>74</v>
      </c>
    </row>
    <row r="31181" spans="9:9" x14ac:dyDescent="0.2">
      <c r="I31181" s="137" t="s">
        <v>74</v>
      </c>
    </row>
    <row r="31182" spans="9:9" x14ac:dyDescent="0.2">
      <c r="I31182" s="137" t="s">
        <v>74</v>
      </c>
    </row>
    <row r="31183" spans="9:9" x14ac:dyDescent="0.2">
      <c r="I31183" s="137" t="s">
        <v>74</v>
      </c>
    </row>
    <row r="31184" spans="9:9" x14ac:dyDescent="0.2">
      <c r="I31184" s="137" t="s">
        <v>74</v>
      </c>
    </row>
    <row r="31185" spans="9:9" x14ac:dyDescent="0.2">
      <c r="I31185" s="137" t="s">
        <v>74</v>
      </c>
    </row>
    <row r="31186" spans="9:9" x14ac:dyDescent="0.2">
      <c r="I31186" s="137" t="s">
        <v>74</v>
      </c>
    </row>
    <row r="31187" spans="9:9" x14ac:dyDescent="0.2">
      <c r="I31187" s="137" t="s">
        <v>74</v>
      </c>
    </row>
    <row r="31188" spans="9:9" x14ac:dyDescent="0.2">
      <c r="I31188" s="137" t="s">
        <v>74</v>
      </c>
    </row>
    <row r="31189" spans="9:9" x14ac:dyDescent="0.2">
      <c r="I31189" s="137" t="s">
        <v>74</v>
      </c>
    </row>
    <row r="31190" spans="9:9" x14ac:dyDescent="0.2">
      <c r="I31190" s="137" t="s">
        <v>74</v>
      </c>
    </row>
    <row r="31191" spans="9:9" x14ac:dyDescent="0.2">
      <c r="I31191" s="137" t="s">
        <v>74</v>
      </c>
    </row>
    <row r="31192" spans="9:9" x14ac:dyDescent="0.2">
      <c r="I31192" s="137" t="s">
        <v>74</v>
      </c>
    </row>
    <row r="31193" spans="9:9" x14ac:dyDescent="0.2">
      <c r="I31193" s="137" t="s">
        <v>74</v>
      </c>
    </row>
    <row r="31194" spans="9:9" x14ac:dyDescent="0.2">
      <c r="I31194" s="137" t="s">
        <v>74</v>
      </c>
    </row>
    <row r="31195" spans="9:9" x14ac:dyDescent="0.2">
      <c r="I31195" s="137" t="s">
        <v>74</v>
      </c>
    </row>
    <row r="31196" spans="9:9" x14ac:dyDescent="0.2">
      <c r="I31196" s="137" t="s">
        <v>74</v>
      </c>
    </row>
    <row r="31197" spans="9:9" x14ac:dyDescent="0.2">
      <c r="I31197" s="137" t="s">
        <v>74</v>
      </c>
    </row>
    <row r="31198" spans="9:9" x14ac:dyDescent="0.2">
      <c r="I31198" s="137" t="s">
        <v>74</v>
      </c>
    </row>
    <row r="31199" spans="9:9" x14ac:dyDescent="0.2">
      <c r="I31199" s="137" t="s">
        <v>74</v>
      </c>
    </row>
    <row r="31200" spans="9:9" x14ac:dyDescent="0.2">
      <c r="I31200" s="137" t="s">
        <v>74</v>
      </c>
    </row>
    <row r="31201" spans="9:9" x14ac:dyDescent="0.2">
      <c r="I31201" s="137" t="s">
        <v>74</v>
      </c>
    </row>
    <row r="31202" spans="9:9" x14ac:dyDescent="0.2">
      <c r="I31202" s="137" t="s">
        <v>74</v>
      </c>
    </row>
    <row r="31203" spans="9:9" x14ac:dyDescent="0.2">
      <c r="I31203" s="137" t="s">
        <v>74</v>
      </c>
    </row>
    <row r="31204" spans="9:9" x14ac:dyDescent="0.2">
      <c r="I31204" s="137" t="s">
        <v>74</v>
      </c>
    </row>
    <row r="31205" spans="9:9" x14ac:dyDescent="0.2">
      <c r="I31205" s="137" t="s">
        <v>74</v>
      </c>
    </row>
    <row r="31206" spans="9:9" x14ac:dyDescent="0.2">
      <c r="I31206" s="137" t="s">
        <v>74</v>
      </c>
    </row>
    <row r="31207" spans="9:9" x14ac:dyDescent="0.2">
      <c r="I31207" s="137" t="s">
        <v>74</v>
      </c>
    </row>
    <row r="31208" spans="9:9" x14ac:dyDescent="0.2">
      <c r="I31208" s="137" t="s">
        <v>74</v>
      </c>
    </row>
    <row r="31209" spans="9:9" x14ac:dyDescent="0.2">
      <c r="I31209" s="137" t="s">
        <v>74</v>
      </c>
    </row>
    <row r="31210" spans="9:9" x14ac:dyDescent="0.2">
      <c r="I31210" s="137" t="s">
        <v>74</v>
      </c>
    </row>
    <row r="31211" spans="9:9" x14ac:dyDescent="0.2">
      <c r="I31211" s="137" t="s">
        <v>74</v>
      </c>
    </row>
    <row r="31212" spans="9:9" x14ac:dyDescent="0.2">
      <c r="I31212" s="137" t="s">
        <v>74</v>
      </c>
    </row>
    <row r="31213" spans="9:9" x14ac:dyDescent="0.2">
      <c r="I31213" s="137" t="s">
        <v>74</v>
      </c>
    </row>
    <row r="31214" spans="9:9" x14ac:dyDescent="0.2">
      <c r="I31214" s="137" t="s">
        <v>74</v>
      </c>
    </row>
    <row r="31215" spans="9:9" x14ac:dyDescent="0.2">
      <c r="I31215" s="137" t="s">
        <v>74</v>
      </c>
    </row>
    <row r="31216" spans="9:9" x14ac:dyDescent="0.2">
      <c r="I31216" s="137" t="s">
        <v>74</v>
      </c>
    </row>
    <row r="31217" spans="9:9" x14ac:dyDescent="0.2">
      <c r="I31217" s="137" t="s">
        <v>74</v>
      </c>
    </row>
    <row r="31218" spans="9:9" x14ac:dyDescent="0.2">
      <c r="I31218" s="137" t="s">
        <v>74</v>
      </c>
    </row>
    <row r="31219" spans="9:9" x14ac:dyDescent="0.2">
      <c r="I31219" s="137" t="s">
        <v>74</v>
      </c>
    </row>
    <row r="31220" spans="9:9" x14ac:dyDescent="0.2">
      <c r="I31220" s="137" t="s">
        <v>74</v>
      </c>
    </row>
    <row r="31221" spans="9:9" x14ac:dyDescent="0.2">
      <c r="I31221" s="137" t="s">
        <v>74</v>
      </c>
    </row>
    <row r="31222" spans="9:9" x14ac:dyDescent="0.2">
      <c r="I31222" s="137" t="s">
        <v>74</v>
      </c>
    </row>
    <row r="31223" spans="9:9" x14ac:dyDescent="0.2">
      <c r="I31223" s="137" t="s">
        <v>74</v>
      </c>
    </row>
    <row r="31224" spans="9:9" x14ac:dyDescent="0.2">
      <c r="I31224" s="137" t="s">
        <v>74</v>
      </c>
    </row>
    <row r="31225" spans="9:9" x14ac:dyDescent="0.2">
      <c r="I31225" s="137" t="s">
        <v>74</v>
      </c>
    </row>
    <row r="31226" spans="9:9" x14ac:dyDescent="0.2">
      <c r="I31226" s="137" t="s">
        <v>74</v>
      </c>
    </row>
    <row r="31227" spans="9:9" x14ac:dyDescent="0.2">
      <c r="I31227" s="137" t="s">
        <v>74</v>
      </c>
    </row>
    <row r="31228" spans="9:9" x14ac:dyDescent="0.2">
      <c r="I31228" s="137" t="s">
        <v>74</v>
      </c>
    </row>
    <row r="31229" spans="9:9" x14ac:dyDescent="0.2">
      <c r="I31229" s="137" t="s">
        <v>74</v>
      </c>
    </row>
    <row r="31230" spans="9:9" x14ac:dyDescent="0.2">
      <c r="I31230" s="137" t="s">
        <v>74</v>
      </c>
    </row>
    <row r="31231" spans="9:9" x14ac:dyDescent="0.2">
      <c r="I31231" s="137" t="s">
        <v>74</v>
      </c>
    </row>
    <row r="31232" spans="9:9" x14ac:dyDescent="0.2">
      <c r="I31232" s="137" t="s">
        <v>74</v>
      </c>
    </row>
    <row r="31233" spans="9:9" x14ac:dyDescent="0.2">
      <c r="I31233" s="137" t="s">
        <v>74</v>
      </c>
    </row>
    <row r="31234" spans="9:9" x14ac:dyDescent="0.2">
      <c r="I31234" s="137" t="s">
        <v>74</v>
      </c>
    </row>
    <row r="31235" spans="9:9" x14ac:dyDescent="0.2">
      <c r="I31235" s="137" t="s">
        <v>74</v>
      </c>
    </row>
    <row r="31236" spans="9:9" x14ac:dyDescent="0.2">
      <c r="I31236" s="137" t="s">
        <v>74</v>
      </c>
    </row>
    <row r="31237" spans="9:9" x14ac:dyDescent="0.2">
      <c r="I31237" s="137" t="s">
        <v>74</v>
      </c>
    </row>
    <row r="31238" spans="9:9" x14ac:dyDescent="0.2">
      <c r="I31238" s="137" t="s">
        <v>74</v>
      </c>
    </row>
    <row r="31239" spans="9:9" x14ac:dyDescent="0.2">
      <c r="I31239" s="137" t="s">
        <v>74</v>
      </c>
    </row>
    <row r="31240" spans="9:9" x14ac:dyDescent="0.2">
      <c r="I31240" s="137" t="s">
        <v>74</v>
      </c>
    </row>
    <row r="31241" spans="9:9" x14ac:dyDescent="0.2">
      <c r="I31241" s="137" t="s">
        <v>74</v>
      </c>
    </row>
    <row r="31242" spans="9:9" x14ac:dyDescent="0.2">
      <c r="I31242" s="137" t="s">
        <v>74</v>
      </c>
    </row>
    <row r="31243" spans="9:9" x14ac:dyDescent="0.2">
      <c r="I31243" s="137" t="s">
        <v>74</v>
      </c>
    </row>
    <row r="31244" spans="9:9" x14ac:dyDescent="0.2">
      <c r="I31244" s="137" t="s">
        <v>74</v>
      </c>
    </row>
    <row r="31245" spans="9:9" x14ac:dyDescent="0.2">
      <c r="I31245" s="137" t="s">
        <v>74</v>
      </c>
    </row>
    <row r="31246" spans="9:9" x14ac:dyDescent="0.2">
      <c r="I31246" s="137" t="s">
        <v>74</v>
      </c>
    </row>
    <row r="31247" spans="9:9" x14ac:dyDescent="0.2">
      <c r="I31247" s="137" t="s">
        <v>74</v>
      </c>
    </row>
    <row r="31248" spans="9:9" x14ac:dyDescent="0.2">
      <c r="I31248" s="137" t="s">
        <v>74</v>
      </c>
    </row>
    <row r="31249" spans="9:9" x14ac:dyDescent="0.2">
      <c r="I31249" s="137" t="s">
        <v>74</v>
      </c>
    </row>
    <row r="31250" spans="9:9" x14ac:dyDescent="0.2">
      <c r="I31250" s="137" t="s">
        <v>74</v>
      </c>
    </row>
    <row r="31251" spans="9:9" x14ac:dyDescent="0.2">
      <c r="I31251" s="137" t="s">
        <v>74</v>
      </c>
    </row>
    <row r="31252" spans="9:9" x14ac:dyDescent="0.2">
      <c r="I31252" s="137" t="s">
        <v>74</v>
      </c>
    </row>
    <row r="31253" spans="9:9" x14ac:dyDescent="0.2">
      <c r="I31253" s="137" t="s">
        <v>74</v>
      </c>
    </row>
    <row r="31254" spans="9:9" x14ac:dyDescent="0.2">
      <c r="I31254" s="137" t="s">
        <v>74</v>
      </c>
    </row>
    <row r="31255" spans="9:9" x14ac:dyDescent="0.2">
      <c r="I31255" s="137" t="s">
        <v>74</v>
      </c>
    </row>
    <row r="31256" spans="9:9" x14ac:dyDescent="0.2">
      <c r="I31256" s="137" t="s">
        <v>74</v>
      </c>
    </row>
    <row r="31257" spans="9:9" x14ac:dyDescent="0.2">
      <c r="I31257" s="137" t="s">
        <v>74</v>
      </c>
    </row>
    <row r="31258" spans="9:9" x14ac:dyDescent="0.2">
      <c r="I31258" s="137" t="s">
        <v>74</v>
      </c>
    </row>
    <row r="31259" spans="9:9" x14ac:dyDescent="0.2">
      <c r="I31259" s="137" t="s">
        <v>74</v>
      </c>
    </row>
    <row r="31260" spans="9:9" x14ac:dyDescent="0.2">
      <c r="I31260" s="137" t="s">
        <v>74</v>
      </c>
    </row>
    <row r="31261" spans="9:9" x14ac:dyDescent="0.2">
      <c r="I31261" s="137" t="s">
        <v>74</v>
      </c>
    </row>
    <row r="31262" spans="9:9" x14ac:dyDescent="0.2">
      <c r="I31262" s="137" t="s">
        <v>74</v>
      </c>
    </row>
    <row r="31263" spans="9:9" x14ac:dyDescent="0.2">
      <c r="I31263" s="137" t="s">
        <v>74</v>
      </c>
    </row>
    <row r="31264" spans="9:9" x14ac:dyDescent="0.2">
      <c r="I31264" s="137" t="s">
        <v>74</v>
      </c>
    </row>
    <row r="31265" spans="9:9" x14ac:dyDescent="0.2">
      <c r="I31265" s="137" t="s">
        <v>74</v>
      </c>
    </row>
    <row r="31266" spans="9:9" x14ac:dyDescent="0.2">
      <c r="I31266" s="137" t="s">
        <v>74</v>
      </c>
    </row>
    <row r="31267" spans="9:9" x14ac:dyDescent="0.2">
      <c r="I31267" s="137" t="s">
        <v>74</v>
      </c>
    </row>
    <row r="31268" spans="9:9" x14ac:dyDescent="0.2">
      <c r="I31268" s="137" t="s">
        <v>74</v>
      </c>
    </row>
    <row r="31269" spans="9:9" x14ac:dyDescent="0.2">
      <c r="I31269" s="137" t="s">
        <v>74</v>
      </c>
    </row>
    <row r="31270" spans="9:9" x14ac:dyDescent="0.2">
      <c r="I31270" s="137" t="s">
        <v>74</v>
      </c>
    </row>
    <row r="31271" spans="9:9" x14ac:dyDescent="0.2">
      <c r="I31271" s="137" t="s">
        <v>74</v>
      </c>
    </row>
    <row r="31272" spans="9:9" x14ac:dyDescent="0.2">
      <c r="I31272" s="137" t="s">
        <v>74</v>
      </c>
    </row>
    <row r="31273" spans="9:9" x14ac:dyDescent="0.2">
      <c r="I31273" s="137" t="s">
        <v>74</v>
      </c>
    </row>
    <row r="31274" spans="9:9" x14ac:dyDescent="0.2">
      <c r="I31274" s="137" t="s">
        <v>74</v>
      </c>
    </row>
    <row r="31275" spans="9:9" x14ac:dyDescent="0.2">
      <c r="I31275" s="137" t="s">
        <v>74</v>
      </c>
    </row>
    <row r="31276" spans="9:9" x14ac:dyDescent="0.2">
      <c r="I31276" s="137" t="s">
        <v>74</v>
      </c>
    </row>
    <row r="31277" spans="9:9" x14ac:dyDescent="0.2">
      <c r="I31277" s="137" t="s">
        <v>74</v>
      </c>
    </row>
    <row r="31278" spans="9:9" x14ac:dyDescent="0.2">
      <c r="I31278" s="137" t="s">
        <v>74</v>
      </c>
    </row>
    <row r="31279" spans="9:9" x14ac:dyDescent="0.2">
      <c r="I31279" s="137" t="s">
        <v>74</v>
      </c>
    </row>
    <row r="31280" spans="9:9" x14ac:dyDescent="0.2">
      <c r="I31280" s="137" t="s">
        <v>74</v>
      </c>
    </row>
    <row r="31281" spans="9:9" x14ac:dyDescent="0.2">
      <c r="I31281" s="137" t="s">
        <v>74</v>
      </c>
    </row>
    <row r="31282" spans="9:9" x14ac:dyDescent="0.2">
      <c r="I31282" s="137" t="s">
        <v>74</v>
      </c>
    </row>
    <row r="31283" spans="9:9" x14ac:dyDescent="0.2">
      <c r="I31283" s="137" t="s">
        <v>74</v>
      </c>
    </row>
    <row r="31284" spans="9:9" x14ac:dyDescent="0.2">
      <c r="I31284" s="137" t="s">
        <v>74</v>
      </c>
    </row>
    <row r="31285" spans="9:9" x14ac:dyDescent="0.2">
      <c r="I31285" s="137" t="s">
        <v>74</v>
      </c>
    </row>
    <row r="31286" spans="9:9" x14ac:dyDescent="0.2">
      <c r="I31286" s="137" t="s">
        <v>74</v>
      </c>
    </row>
    <row r="31287" spans="9:9" x14ac:dyDescent="0.2">
      <c r="I31287" s="137" t="s">
        <v>74</v>
      </c>
    </row>
    <row r="31288" spans="9:9" x14ac:dyDescent="0.2">
      <c r="I31288" s="137" t="s">
        <v>74</v>
      </c>
    </row>
    <row r="31289" spans="9:9" x14ac:dyDescent="0.2">
      <c r="I31289" s="137" t="s">
        <v>74</v>
      </c>
    </row>
    <row r="31290" spans="9:9" x14ac:dyDescent="0.2">
      <c r="I31290" s="137" t="s">
        <v>74</v>
      </c>
    </row>
    <row r="31291" spans="9:9" x14ac:dyDescent="0.2">
      <c r="I31291" s="137" t="s">
        <v>74</v>
      </c>
    </row>
    <row r="31292" spans="9:9" x14ac:dyDescent="0.2">
      <c r="I31292" s="137" t="s">
        <v>74</v>
      </c>
    </row>
    <row r="31293" spans="9:9" x14ac:dyDescent="0.2">
      <c r="I31293" s="137" t="s">
        <v>74</v>
      </c>
    </row>
    <row r="31294" spans="9:9" x14ac:dyDescent="0.2">
      <c r="I31294" s="137" t="s">
        <v>74</v>
      </c>
    </row>
    <row r="31295" spans="9:9" x14ac:dyDescent="0.2">
      <c r="I31295" s="137" t="s">
        <v>74</v>
      </c>
    </row>
    <row r="31296" spans="9:9" x14ac:dyDescent="0.2">
      <c r="I31296" s="137" t="s">
        <v>74</v>
      </c>
    </row>
    <row r="31297" spans="9:9" x14ac:dyDescent="0.2">
      <c r="I31297" s="137" t="s">
        <v>74</v>
      </c>
    </row>
    <row r="31298" spans="9:9" x14ac:dyDescent="0.2">
      <c r="I31298" s="137" t="s">
        <v>74</v>
      </c>
    </row>
    <row r="31299" spans="9:9" x14ac:dyDescent="0.2">
      <c r="I31299" s="137" t="s">
        <v>74</v>
      </c>
    </row>
    <row r="31300" spans="9:9" x14ac:dyDescent="0.2">
      <c r="I31300" s="137" t="s">
        <v>74</v>
      </c>
    </row>
    <row r="31301" spans="9:9" x14ac:dyDescent="0.2">
      <c r="I31301" s="137" t="s">
        <v>74</v>
      </c>
    </row>
    <row r="31302" spans="9:9" x14ac:dyDescent="0.2">
      <c r="I31302" s="137" t="s">
        <v>74</v>
      </c>
    </row>
    <row r="31303" spans="9:9" x14ac:dyDescent="0.2">
      <c r="I31303" s="137" t="s">
        <v>74</v>
      </c>
    </row>
    <row r="31304" spans="9:9" x14ac:dyDescent="0.2">
      <c r="I31304" s="137" t="s">
        <v>74</v>
      </c>
    </row>
    <row r="31305" spans="9:9" x14ac:dyDescent="0.2">
      <c r="I31305" s="137" t="s">
        <v>74</v>
      </c>
    </row>
    <row r="31306" spans="9:9" x14ac:dyDescent="0.2">
      <c r="I31306" s="137" t="s">
        <v>74</v>
      </c>
    </row>
    <row r="31307" spans="9:9" x14ac:dyDescent="0.2">
      <c r="I31307" s="137" t="s">
        <v>74</v>
      </c>
    </row>
    <row r="31308" spans="9:9" x14ac:dyDescent="0.2">
      <c r="I31308" s="137" t="s">
        <v>74</v>
      </c>
    </row>
    <row r="31309" spans="9:9" x14ac:dyDescent="0.2">
      <c r="I31309" s="137" t="s">
        <v>74</v>
      </c>
    </row>
    <row r="31310" spans="9:9" x14ac:dyDescent="0.2">
      <c r="I31310" s="137" t="s">
        <v>74</v>
      </c>
    </row>
    <row r="31311" spans="9:9" x14ac:dyDescent="0.2">
      <c r="I31311" s="137" t="s">
        <v>74</v>
      </c>
    </row>
    <row r="31312" spans="9:9" x14ac:dyDescent="0.2">
      <c r="I31312" s="137" t="s">
        <v>74</v>
      </c>
    </row>
    <row r="31313" spans="9:9" x14ac:dyDescent="0.2">
      <c r="I31313" s="137" t="s">
        <v>74</v>
      </c>
    </row>
    <row r="31314" spans="9:9" x14ac:dyDescent="0.2">
      <c r="I31314" s="137" t="s">
        <v>74</v>
      </c>
    </row>
    <row r="31315" spans="9:9" x14ac:dyDescent="0.2">
      <c r="I31315" s="137" t="s">
        <v>74</v>
      </c>
    </row>
    <row r="31316" spans="9:9" x14ac:dyDescent="0.2">
      <c r="I31316" s="137" t="s">
        <v>74</v>
      </c>
    </row>
    <row r="31317" spans="9:9" x14ac:dyDescent="0.2">
      <c r="I31317" s="137" t="s">
        <v>74</v>
      </c>
    </row>
    <row r="31318" spans="9:9" x14ac:dyDescent="0.2">
      <c r="I31318" s="137" t="s">
        <v>74</v>
      </c>
    </row>
    <row r="31319" spans="9:9" x14ac:dyDescent="0.2">
      <c r="I31319" s="137" t="s">
        <v>74</v>
      </c>
    </row>
    <row r="31320" spans="9:9" x14ac:dyDescent="0.2">
      <c r="I31320" s="137" t="s">
        <v>74</v>
      </c>
    </row>
    <row r="31321" spans="9:9" x14ac:dyDescent="0.2">
      <c r="I31321" s="137" t="s">
        <v>74</v>
      </c>
    </row>
    <row r="31322" spans="9:9" x14ac:dyDescent="0.2">
      <c r="I31322" s="137" t="s">
        <v>74</v>
      </c>
    </row>
    <row r="31323" spans="9:9" x14ac:dyDescent="0.2">
      <c r="I31323" s="137" t="s">
        <v>74</v>
      </c>
    </row>
    <row r="31324" spans="9:9" x14ac:dyDescent="0.2">
      <c r="I31324" s="137" t="s">
        <v>74</v>
      </c>
    </row>
    <row r="31325" spans="9:9" x14ac:dyDescent="0.2">
      <c r="I31325" s="137" t="s">
        <v>74</v>
      </c>
    </row>
    <row r="31326" spans="9:9" x14ac:dyDescent="0.2">
      <c r="I31326" s="137" t="s">
        <v>74</v>
      </c>
    </row>
    <row r="31327" spans="9:9" x14ac:dyDescent="0.2">
      <c r="I31327" s="137" t="s">
        <v>74</v>
      </c>
    </row>
    <row r="31328" spans="9:9" x14ac:dyDescent="0.2">
      <c r="I31328" s="137" t="s">
        <v>74</v>
      </c>
    </row>
    <row r="31329" spans="9:9" x14ac:dyDescent="0.2">
      <c r="I31329" s="137" t="s">
        <v>74</v>
      </c>
    </row>
    <row r="31330" spans="9:9" x14ac:dyDescent="0.2">
      <c r="I31330" s="137" t="s">
        <v>74</v>
      </c>
    </row>
    <row r="31331" spans="9:9" x14ac:dyDescent="0.2">
      <c r="I31331" s="137" t="s">
        <v>74</v>
      </c>
    </row>
    <row r="31332" spans="9:9" x14ac:dyDescent="0.2">
      <c r="I31332" s="137" t="s">
        <v>74</v>
      </c>
    </row>
    <row r="31333" spans="9:9" x14ac:dyDescent="0.2">
      <c r="I31333" s="137" t="s">
        <v>74</v>
      </c>
    </row>
    <row r="31334" spans="9:9" x14ac:dyDescent="0.2">
      <c r="I31334" s="137" t="s">
        <v>74</v>
      </c>
    </row>
    <row r="31335" spans="9:9" x14ac:dyDescent="0.2">
      <c r="I31335" s="137" t="s">
        <v>74</v>
      </c>
    </row>
    <row r="31336" spans="9:9" x14ac:dyDescent="0.2">
      <c r="I31336" s="137" t="s">
        <v>74</v>
      </c>
    </row>
    <row r="31337" spans="9:9" x14ac:dyDescent="0.2">
      <c r="I31337" s="137" t="s">
        <v>74</v>
      </c>
    </row>
    <row r="31338" spans="9:9" x14ac:dyDescent="0.2">
      <c r="I31338" s="137" t="s">
        <v>74</v>
      </c>
    </row>
    <row r="31339" spans="9:9" x14ac:dyDescent="0.2">
      <c r="I31339" s="137" t="s">
        <v>74</v>
      </c>
    </row>
    <row r="31340" spans="9:9" x14ac:dyDescent="0.2">
      <c r="I31340" s="137" t="s">
        <v>74</v>
      </c>
    </row>
    <row r="31341" spans="9:9" x14ac:dyDescent="0.2">
      <c r="I31341" s="137" t="s">
        <v>74</v>
      </c>
    </row>
    <row r="31342" spans="9:9" x14ac:dyDescent="0.2">
      <c r="I31342" s="137" t="s">
        <v>74</v>
      </c>
    </row>
    <row r="31343" spans="9:9" x14ac:dyDescent="0.2">
      <c r="I31343" s="137" t="s">
        <v>74</v>
      </c>
    </row>
    <row r="31344" spans="9:9" x14ac:dyDescent="0.2">
      <c r="I31344" s="137" t="s">
        <v>74</v>
      </c>
    </row>
    <row r="31345" spans="9:9" x14ac:dyDescent="0.2">
      <c r="I31345" s="137" t="s">
        <v>74</v>
      </c>
    </row>
    <row r="31346" spans="9:9" x14ac:dyDescent="0.2">
      <c r="I31346" s="137" t="s">
        <v>74</v>
      </c>
    </row>
    <row r="31347" spans="9:9" x14ac:dyDescent="0.2">
      <c r="I31347" s="137" t="s">
        <v>74</v>
      </c>
    </row>
    <row r="31348" spans="9:9" x14ac:dyDescent="0.2">
      <c r="I31348" s="137" t="s">
        <v>74</v>
      </c>
    </row>
    <row r="31349" spans="9:9" x14ac:dyDescent="0.2">
      <c r="I31349" s="137" t="s">
        <v>74</v>
      </c>
    </row>
    <row r="31350" spans="9:9" x14ac:dyDescent="0.2">
      <c r="I31350" s="137" t="s">
        <v>74</v>
      </c>
    </row>
    <row r="31351" spans="9:9" x14ac:dyDescent="0.2">
      <c r="I31351" s="137" t="s">
        <v>74</v>
      </c>
    </row>
    <row r="31352" spans="9:9" x14ac:dyDescent="0.2">
      <c r="I31352" s="137" t="s">
        <v>74</v>
      </c>
    </row>
    <row r="31353" spans="9:9" x14ac:dyDescent="0.2">
      <c r="I31353" s="137" t="s">
        <v>74</v>
      </c>
    </row>
    <row r="31354" spans="9:9" x14ac:dyDescent="0.2">
      <c r="I31354" s="137" t="s">
        <v>74</v>
      </c>
    </row>
    <row r="31355" spans="9:9" x14ac:dyDescent="0.2">
      <c r="I31355" s="137" t="s">
        <v>74</v>
      </c>
    </row>
    <row r="31356" spans="9:9" x14ac:dyDescent="0.2">
      <c r="I31356" s="137" t="s">
        <v>74</v>
      </c>
    </row>
    <row r="31357" spans="9:9" x14ac:dyDescent="0.2">
      <c r="I31357" s="137" t="s">
        <v>74</v>
      </c>
    </row>
    <row r="31358" spans="9:9" x14ac:dyDescent="0.2">
      <c r="I31358" s="137" t="s">
        <v>74</v>
      </c>
    </row>
    <row r="31359" spans="9:9" x14ac:dyDescent="0.2">
      <c r="I31359" s="137" t="s">
        <v>74</v>
      </c>
    </row>
    <row r="31360" spans="9:9" x14ac:dyDescent="0.2">
      <c r="I31360" s="137" t="s">
        <v>74</v>
      </c>
    </row>
    <row r="31361" spans="9:9" x14ac:dyDescent="0.2">
      <c r="I31361" s="137" t="s">
        <v>74</v>
      </c>
    </row>
    <row r="31362" spans="9:9" x14ac:dyDescent="0.2">
      <c r="I31362" s="137" t="s">
        <v>74</v>
      </c>
    </row>
    <row r="31363" spans="9:9" x14ac:dyDescent="0.2">
      <c r="I31363" s="137" t="s">
        <v>74</v>
      </c>
    </row>
    <row r="31364" spans="9:9" x14ac:dyDescent="0.2">
      <c r="I31364" s="137" t="s">
        <v>74</v>
      </c>
    </row>
    <row r="31365" spans="9:9" x14ac:dyDescent="0.2">
      <c r="I31365" s="137" t="s">
        <v>74</v>
      </c>
    </row>
    <row r="31366" spans="9:9" x14ac:dyDescent="0.2">
      <c r="I31366" s="137" t="s">
        <v>74</v>
      </c>
    </row>
    <row r="31367" spans="9:9" x14ac:dyDescent="0.2">
      <c r="I31367" s="137" t="s">
        <v>74</v>
      </c>
    </row>
    <row r="31368" spans="9:9" x14ac:dyDescent="0.2">
      <c r="I31368" s="137" t="s">
        <v>74</v>
      </c>
    </row>
    <row r="31369" spans="9:9" x14ac:dyDescent="0.2">
      <c r="I31369" s="137" t="s">
        <v>74</v>
      </c>
    </row>
    <row r="31370" spans="9:9" x14ac:dyDescent="0.2">
      <c r="I31370" s="137" t="s">
        <v>74</v>
      </c>
    </row>
    <row r="31371" spans="9:9" x14ac:dyDescent="0.2">
      <c r="I31371" s="137" t="s">
        <v>74</v>
      </c>
    </row>
    <row r="31372" spans="9:9" x14ac:dyDescent="0.2">
      <c r="I31372" s="137" t="s">
        <v>74</v>
      </c>
    </row>
    <row r="31373" spans="9:9" x14ac:dyDescent="0.2">
      <c r="I31373" s="137" t="s">
        <v>74</v>
      </c>
    </row>
    <row r="31374" spans="9:9" x14ac:dyDescent="0.2">
      <c r="I31374" s="137" t="s">
        <v>74</v>
      </c>
    </row>
    <row r="31375" spans="9:9" x14ac:dyDescent="0.2">
      <c r="I31375" s="137" t="s">
        <v>74</v>
      </c>
    </row>
    <row r="31376" spans="9:9" x14ac:dyDescent="0.2">
      <c r="I31376" s="137" t="s">
        <v>74</v>
      </c>
    </row>
    <row r="31377" spans="9:9" x14ac:dyDescent="0.2">
      <c r="I31377" s="137" t="s">
        <v>74</v>
      </c>
    </row>
    <row r="31378" spans="9:9" x14ac:dyDescent="0.2">
      <c r="I31378" s="137" t="s">
        <v>74</v>
      </c>
    </row>
    <row r="31379" spans="9:9" x14ac:dyDescent="0.2">
      <c r="I31379" s="137" t="s">
        <v>74</v>
      </c>
    </row>
    <row r="31380" spans="9:9" x14ac:dyDescent="0.2">
      <c r="I31380" s="137" t="s">
        <v>74</v>
      </c>
    </row>
    <row r="31381" spans="9:9" x14ac:dyDescent="0.2">
      <c r="I31381" s="137" t="s">
        <v>74</v>
      </c>
    </row>
    <row r="31382" spans="9:9" x14ac:dyDescent="0.2">
      <c r="I31382" s="137" t="s">
        <v>74</v>
      </c>
    </row>
    <row r="31383" spans="9:9" x14ac:dyDescent="0.2">
      <c r="I31383" s="137" t="s">
        <v>74</v>
      </c>
    </row>
    <row r="31384" spans="9:9" x14ac:dyDescent="0.2">
      <c r="I31384" s="137" t="s">
        <v>74</v>
      </c>
    </row>
    <row r="31385" spans="9:9" x14ac:dyDescent="0.2">
      <c r="I31385" s="137" t="s">
        <v>74</v>
      </c>
    </row>
    <row r="31386" spans="9:9" x14ac:dyDescent="0.2">
      <c r="I31386" s="137" t="s">
        <v>74</v>
      </c>
    </row>
    <row r="31387" spans="9:9" x14ac:dyDescent="0.2">
      <c r="I31387" s="137" t="s">
        <v>74</v>
      </c>
    </row>
    <row r="31388" spans="9:9" x14ac:dyDescent="0.2">
      <c r="I31388" s="137" t="s">
        <v>74</v>
      </c>
    </row>
    <row r="31389" spans="9:9" x14ac:dyDescent="0.2">
      <c r="I31389" s="137" t="s">
        <v>74</v>
      </c>
    </row>
    <row r="31390" spans="9:9" x14ac:dyDescent="0.2">
      <c r="I31390" s="137" t="s">
        <v>74</v>
      </c>
    </row>
    <row r="31391" spans="9:9" x14ac:dyDescent="0.2">
      <c r="I31391" s="137" t="s">
        <v>74</v>
      </c>
    </row>
    <row r="31392" spans="9:9" x14ac:dyDescent="0.2">
      <c r="I31392" s="137" t="s">
        <v>74</v>
      </c>
    </row>
    <row r="31393" spans="9:9" x14ac:dyDescent="0.2">
      <c r="I31393" s="137" t="s">
        <v>74</v>
      </c>
    </row>
    <row r="31394" spans="9:9" x14ac:dyDescent="0.2">
      <c r="I31394" s="137" t="s">
        <v>74</v>
      </c>
    </row>
    <row r="31395" spans="9:9" x14ac:dyDescent="0.2">
      <c r="I31395" s="137" t="s">
        <v>74</v>
      </c>
    </row>
    <row r="31396" spans="9:9" x14ac:dyDescent="0.2">
      <c r="I31396" s="137" t="s">
        <v>74</v>
      </c>
    </row>
    <row r="31397" spans="9:9" x14ac:dyDescent="0.2">
      <c r="I31397" s="137" t="s">
        <v>74</v>
      </c>
    </row>
    <row r="31398" spans="9:9" x14ac:dyDescent="0.2">
      <c r="I31398" s="137" t="s">
        <v>74</v>
      </c>
    </row>
    <row r="31399" spans="9:9" x14ac:dyDescent="0.2">
      <c r="I31399" s="137" t="s">
        <v>74</v>
      </c>
    </row>
    <row r="31400" spans="9:9" x14ac:dyDescent="0.2">
      <c r="I31400" s="137" t="s">
        <v>74</v>
      </c>
    </row>
    <row r="31401" spans="9:9" x14ac:dyDescent="0.2">
      <c r="I31401" s="137" t="s">
        <v>74</v>
      </c>
    </row>
    <row r="31402" spans="9:9" x14ac:dyDescent="0.2">
      <c r="I31402" s="137" t="s">
        <v>74</v>
      </c>
    </row>
    <row r="31403" spans="9:9" x14ac:dyDescent="0.2">
      <c r="I31403" s="137" t="s">
        <v>74</v>
      </c>
    </row>
    <row r="31404" spans="9:9" x14ac:dyDescent="0.2">
      <c r="I31404" s="137" t="s">
        <v>74</v>
      </c>
    </row>
    <row r="31405" spans="9:9" x14ac:dyDescent="0.2">
      <c r="I31405" s="137" t="s">
        <v>74</v>
      </c>
    </row>
    <row r="31406" spans="9:9" x14ac:dyDescent="0.2">
      <c r="I31406" s="137" t="s">
        <v>74</v>
      </c>
    </row>
    <row r="31407" spans="9:9" x14ac:dyDescent="0.2">
      <c r="I31407" s="137" t="s">
        <v>74</v>
      </c>
    </row>
    <row r="31408" spans="9:9" x14ac:dyDescent="0.2">
      <c r="I31408" s="137" t="s">
        <v>74</v>
      </c>
    </row>
    <row r="31409" spans="9:9" x14ac:dyDescent="0.2">
      <c r="I31409" s="137" t="s">
        <v>74</v>
      </c>
    </row>
    <row r="31410" spans="9:9" x14ac:dyDescent="0.2">
      <c r="I31410" s="137" t="s">
        <v>74</v>
      </c>
    </row>
    <row r="31411" spans="9:9" x14ac:dyDescent="0.2">
      <c r="I31411" s="137" t="s">
        <v>74</v>
      </c>
    </row>
    <row r="31412" spans="9:9" x14ac:dyDescent="0.2">
      <c r="I31412" s="137" t="s">
        <v>74</v>
      </c>
    </row>
    <row r="31413" spans="9:9" x14ac:dyDescent="0.2">
      <c r="I31413" s="137" t="s">
        <v>74</v>
      </c>
    </row>
    <row r="31414" spans="9:9" x14ac:dyDescent="0.2">
      <c r="I31414" s="137" t="s">
        <v>74</v>
      </c>
    </row>
    <row r="31415" spans="9:9" x14ac:dyDescent="0.2">
      <c r="I31415" s="137" t="s">
        <v>74</v>
      </c>
    </row>
    <row r="31416" spans="9:9" x14ac:dyDescent="0.2">
      <c r="I31416" s="137" t="s">
        <v>74</v>
      </c>
    </row>
    <row r="31417" spans="9:9" x14ac:dyDescent="0.2">
      <c r="I31417" s="137" t="s">
        <v>74</v>
      </c>
    </row>
    <row r="31418" spans="9:9" x14ac:dyDescent="0.2">
      <c r="I31418" s="137" t="s">
        <v>74</v>
      </c>
    </row>
    <row r="31419" spans="9:9" x14ac:dyDescent="0.2">
      <c r="I31419" s="137" t="s">
        <v>74</v>
      </c>
    </row>
    <row r="31420" spans="9:9" x14ac:dyDescent="0.2">
      <c r="I31420" s="137" t="s">
        <v>74</v>
      </c>
    </row>
    <row r="31421" spans="9:9" x14ac:dyDescent="0.2">
      <c r="I31421" s="137" t="s">
        <v>74</v>
      </c>
    </row>
    <row r="31422" spans="9:9" x14ac:dyDescent="0.2">
      <c r="I31422" s="137" t="s">
        <v>74</v>
      </c>
    </row>
    <row r="31423" spans="9:9" x14ac:dyDescent="0.2">
      <c r="I31423" s="137" t="s">
        <v>74</v>
      </c>
    </row>
    <row r="31424" spans="9:9" x14ac:dyDescent="0.2">
      <c r="I31424" s="137" t="s">
        <v>74</v>
      </c>
    </row>
    <row r="31425" spans="9:9" x14ac:dyDescent="0.2">
      <c r="I31425" s="137" t="s">
        <v>74</v>
      </c>
    </row>
    <row r="31426" spans="9:9" x14ac:dyDescent="0.2">
      <c r="I31426" s="137" t="s">
        <v>74</v>
      </c>
    </row>
    <row r="31427" spans="9:9" x14ac:dyDescent="0.2">
      <c r="I31427" s="137" t="s">
        <v>74</v>
      </c>
    </row>
    <row r="31428" spans="9:9" x14ac:dyDescent="0.2">
      <c r="I31428" s="137" t="s">
        <v>74</v>
      </c>
    </row>
    <row r="31429" spans="9:9" x14ac:dyDescent="0.2">
      <c r="I31429" s="137" t="s">
        <v>74</v>
      </c>
    </row>
    <row r="31430" spans="9:9" x14ac:dyDescent="0.2">
      <c r="I31430" s="137" t="s">
        <v>74</v>
      </c>
    </row>
    <row r="31431" spans="9:9" x14ac:dyDescent="0.2">
      <c r="I31431" s="137" t="s">
        <v>74</v>
      </c>
    </row>
    <row r="31432" spans="9:9" x14ac:dyDescent="0.2">
      <c r="I31432" s="137" t="s">
        <v>74</v>
      </c>
    </row>
    <row r="31433" spans="9:9" x14ac:dyDescent="0.2">
      <c r="I31433" s="137" t="s">
        <v>74</v>
      </c>
    </row>
    <row r="31434" spans="9:9" x14ac:dyDescent="0.2">
      <c r="I31434" s="137" t="s">
        <v>74</v>
      </c>
    </row>
    <row r="31435" spans="9:9" x14ac:dyDescent="0.2">
      <c r="I31435" s="137" t="s">
        <v>74</v>
      </c>
    </row>
    <row r="31436" spans="9:9" x14ac:dyDescent="0.2">
      <c r="I31436" s="137" t="s">
        <v>74</v>
      </c>
    </row>
    <row r="31437" spans="9:9" x14ac:dyDescent="0.2">
      <c r="I31437" s="137" t="s">
        <v>74</v>
      </c>
    </row>
    <row r="31438" spans="9:9" x14ac:dyDescent="0.2">
      <c r="I31438" s="137" t="s">
        <v>74</v>
      </c>
    </row>
    <row r="31439" spans="9:9" x14ac:dyDescent="0.2">
      <c r="I31439" s="137" t="s">
        <v>74</v>
      </c>
    </row>
    <row r="31440" spans="9:9" x14ac:dyDescent="0.2">
      <c r="I31440" s="137" t="s">
        <v>74</v>
      </c>
    </row>
    <row r="31441" spans="9:9" x14ac:dyDescent="0.2">
      <c r="I31441" s="137" t="s">
        <v>74</v>
      </c>
    </row>
    <row r="31442" spans="9:9" x14ac:dyDescent="0.2">
      <c r="I31442" s="137" t="s">
        <v>74</v>
      </c>
    </row>
    <row r="31443" spans="9:9" x14ac:dyDescent="0.2">
      <c r="I31443" s="137" t="s">
        <v>74</v>
      </c>
    </row>
    <row r="31444" spans="9:9" x14ac:dyDescent="0.2">
      <c r="I31444" s="137" t="s">
        <v>74</v>
      </c>
    </row>
    <row r="31445" spans="9:9" x14ac:dyDescent="0.2">
      <c r="I31445" s="137" t="s">
        <v>74</v>
      </c>
    </row>
    <row r="31446" spans="9:9" x14ac:dyDescent="0.2">
      <c r="I31446" s="137" t="s">
        <v>74</v>
      </c>
    </row>
    <row r="31447" spans="9:9" x14ac:dyDescent="0.2">
      <c r="I31447" s="137" t="s">
        <v>74</v>
      </c>
    </row>
    <row r="31448" spans="9:9" x14ac:dyDescent="0.2">
      <c r="I31448" s="137" t="s">
        <v>74</v>
      </c>
    </row>
    <row r="31449" spans="9:9" x14ac:dyDescent="0.2">
      <c r="I31449" s="137" t="s">
        <v>74</v>
      </c>
    </row>
    <row r="31450" spans="9:9" x14ac:dyDescent="0.2">
      <c r="I31450" s="137" t="s">
        <v>74</v>
      </c>
    </row>
    <row r="31451" spans="9:9" x14ac:dyDescent="0.2">
      <c r="I31451" s="137" t="s">
        <v>74</v>
      </c>
    </row>
    <row r="31452" spans="9:9" x14ac:dyDescent="0.2">
      <c r="I31452" s="137" t="s">
        <v>74</v>
      </c>
    </row>
    <row r="31453" spans="9:9" x14ac:dyDescent="0.2">
      <c r="I31453" s="137" t="s">
        <v>74</v>
      </c>
    </row>
    <row r="31454" spans="9:9" x14ac:dyDescent="0.2">
      <c r="I31454" s="137" t="s">
        <v>74</v>
      </c>
    </row>
    <row r="31455" spans="9:9" x14ac:dyDescent="0.2">
      <c r="I31455" s="137" t="s">
        <v>74</v>
      </c>
    </row>
    <row r="31456" spans="9:9" x14ac:dyDescent="0.2">
      <c r="I31456" s="137" t="s">
        <v>74</v>
      </c>
    </row>
    <row r="31457" spans="9:9" x14ac:dyDescent="0.2">
      <c r="I31457" s="137" t="s">
        <v>74</v>
      </c>
    </row>
    <row r="31458" spans="9:9" x14ac:dyDescent="0.2">
      <c r="I31458" s="137" t="s">
        <v>74</v>
      </c>
    </row>
    <row r="31459" spans="9:9" x14ac:dyDescent="0.2">
      <c r="I31459" s="137" t="s">
        <v>74</v>
      </c>
    </row>
    <row r="31460" spans="9:9" x14ac:dyDescent="0.2">
      <c r="I31460" s="137" t="s">
        <v>74</v>
      </c>
    </row>
    <row r="31461" spans="9:9" x14ac:dyDescent="0.2">
      <c r="I31461" s="137" t="s">
        <v>74</v>
      </c>
    </row>
    <row r="31462" spans="9:9" x14ac:dyDescent="0.2">
      <c r="I31462" s="137" t="s">
        <v>74</v>
      </c>
    </row>
    <row r="31463" spans="9:9" x14ac:dyDescent="0.2">
      <c r="I31463" s="137" t="s">
        <v>74</v>
      </c>
    </row>
    <row r="31464" spans="9:9" x14ac:dyDescent="0.2">
      <c r="I31464" s="137" t="s">
        <v>74</v>
      </c>
    </row>
    <row r="31465" spans="9:9" x14ac:dyDescent="0.2">
      <c r="I31465" s="137" t="s">
        <v>74</v>
      </c>
    </row>
    <row r="31466" spans="9:9" x14ac:dyDescent="0.2">
      <c r="I31466" s="137" t="s">
        <v>74</v>
      </c>
    </row>
    <row r="31467" spans="9:9" x14ac:dyDescent="0.2">
      <c r="I31467" s="137" t="s">
        <v>74</v>
      </c>
    </row>
    <row r="31468" spans="9:9" x14ac:dyDescent="0.2">
      <c r="I31468" s="137" t="s">
        <v>74</v>
      </c>
    </row>
    <row r="31469" spans="9:9" x14ac:dyDescent="0.2">
      <c r="I31469" s="137" t="s">
        <v>74</v>
      </c>
    </row>
    <row r="31470" spans="9:9" x14ac:dyDescent="0.2">
      <c r="I31470" s="137" t="s">
        <v>74</v>
      </c>
    </row>
    <row r="31471" spans="9:9" x14ac:dyDescent="0.2">
      <c r="I31471" s="137" t="s">
        <v>74</v>
      </c>
    </row>
    <row r="31472" spans="9:9" x14ac:dyDescent="0.2">
      <c r="I31472" s="137" t="s">
        <v>74</v>
      </c>
    </row>
    <row r="31473" spans="9:9" x14ac:dyDescent="0.2">
      <c r="I31473" s="137" t="s">
        <v>74</v>
      </c>
    </row>
    <row r="31474" spans="9:9" x14ac:dyDescent="0.2">
      <c r="I31474" s="137" t="s">
        <v>74</v>
      </c>
    </row>
    <row r="31475" spans="9:9" x14ac:dyDescent="0.2">
      <c r="I31475" s="137" t="s">
        <v>74</v>
      </c>
    </row>
    <row r="31476" spans="9:9" x14ac:dyDescent="0.2">
      <c r="I31476" s="137" t="s">
        <v>74</v>
      </c>
    </row>
    <row r="31477" spans="9:9" x14ac:dyDescent="0.2">
      <c r="I31477" s="137" t="s">
        <v>74</v>
      </c>
    </row>
    <row r="31478" spans="9:9" x14ac:dyDescent="0.2">
      <c r="I31478" s="137" t="s">
        <v>74</v>
      </c>
    </row>
    <row r="31479" spans="9:9" x14ac:dyDescent="0.2">
      <c r="I31479" s="137" t="s">
        <v>74</v>
      </c>
    </row>
    <row r="31480" spans="9:9" x14ac:dyDescent="0.2">
      <c r="I31480" s="137" t="s">
        <v>74</v>
      </c>
    </row>
    <row r="31481" spans="9:9" x14ac:dyDescent="0.2">
      <c r="I31481" s="137" t="s">
        <v>74</v>
      </c>
    </row>
    <row r="31482" spans="9:9" x14ac:dyDescent="0.2">
      <c r="I31482" s="137" t="s">
        <v>74</v>
      </c>
    </row>
    <row r="31483" spans="9:9" x14ac:dyDescent="0.2">
      <c r="I31483" s="137" t="s">
        <v>74</v>
      </c>
    </row>
    <row r="31484" spans="9:9" x14ac:dyDescent="0.2">
      <c r="I31484" s="137" t="s">
        <v>74</v>
      </c>
    </row>
    <row r="31485" spans="9:9" x14ac:dyDescent="0.2">
      <c r="I31485" s="137" t="s">
        <v>74</v>
      </c>
    </row>
    <row r="31486" spans="9:9" x14ac:dyDescent="0.2">
      <c r="I31486" s="137" t="s">
        <v>74</v>
      </c>
    </row>
    <row r="31487" spans="9:9" x14ac:dyDescent="0.2">
      <c r="I31487" s="137" t="s">
        <v>74</v>
      </c>
    </row>
    <row r="31488" spans="9:9" x14ac:dyDescent="0.2">
      <c r="I31488" s="137" t="s">
        <v>74</v>
      </c>
    </row>
    <row r="31489" spans="9:9" x14ac:dyDescent="0.2">
      <c r="I31489" s="137" t="s">
        <v>74</v>
      </c>
    </row>
    <row r="31490" spans="9:9" x14ac:dyDescent="0.2">
      <c r="I31490" s="137" t="s">
        <v>74</v>
      </c>
    </row>
    <row r="31491" spans="9:9" x14ac:dyDescent="0.2">
      <c r="I31491" s="137" t="s">
        <v>74</v>
      </c>
    </row>
    <row r="31492" spans="9:9" x14ac:dyDescent="0.2">
      <c r="I31492" s="137" t="s">
        <v>74</v>
      </c>
    </row>
    <row r="31493" spans="9:9" x14ac:dyDescent="0.2">
      <c r="I31493" s="137" t="s">
        <v>74</v>
      </c>
    </row>
    <row r="31494" spans="9:9" x14ac:dyDescent="0.2">
      <c r="I31494" s="137" t="s">
        <v>74</v>
      </c>
    </row>
    <row r="31495" spans="9:9" x14ac:dyDescent="0.2">
      <c r="I31495" s="137" t="s">
        <v>74</v>
      </c>
    </row>
    <row r="31496" spans="9:9" x14ac:dyDescent="0.2">
      <c r="I31496" s="137" t="s">
        <v>74</v>
      </c>
    </row>
    <row r="31497" spans="9:9" x14ac:dyDescent="0.2">
      <c r="I31497" s="137" t="s">
        <v>74</v>
      </c>
    </row>
    <row r="31498" spans="9:9" x14ac:dyDescent="0.2">
      <c r="I31498" s="137" t="s">
        <v>74</v>
      </c>
    </row>
    <row r="31499" spans="9:9" x14ac:dyDescent="0.2">
      <c r="I31499" s="137" t="s">
        <v>74</v>
      </c>
    </row>
    <row r="31500" spans="9:9" x14ac:dyDescent="0.2">
      <c r="I31500" s="137" t="s">
        <v>74</v>
      </c>
    </row>
    <row r="31501" spans="9:9" x14ac:dyDescent="0.2">
      <c r="I31501" s="137" t="s">
        <v>74</v>
      </c>
    </row>
    <row r="31502" spans="9:9" x14ac:dyDescent="0.2">
      <c r="I31502" s="137" t="s">
        <v>74</v>
      </c>
    </row>
    <row r="31503" spans="9:9" x14ac:dyDescent="0.2">
      <c r="I31503" s="137" t="s">
        <v>74</v>
      </c>
    </row>
    <row r="31504" spans="9:9" x14ac:dyDescent="0.2">
      <c r="I31504" s="137" t="s">
        <v>74</v>
      </c>
    </row>
    <row r="31505" spans="9:9" x14ac:dyDescent="0.2">
      <c r="I31505" s="137" t="s">
        <v>74</v>
      </c>
    </row>
    <row r="31506" spans="9:9" x14ac:dyDescent="0.2">
      <c r="I31506" s="137" t="s">
        <v>74</v>
      </c>
    </row>
    <row r="31507" spans="9:9" x14ac:dyDescent="0.2">
      <c r="I31507" s="137" t="s">
        <v>74</v>
      </c>
    </row>
    <row r="31508" spans="9:9" x14ac:dyDescent="0.2">
      <c r="I31508" s="137" t="s">
        <v>74</v>
      </c>
    </row>
    <row r="31509" spans="9:9" x14ac:dyDescent="0.2">
      <c r="I31509" s="137" t="s">
        <v>74</v>
      </c>
    </row>
    <row r="31510" spans="9:9" x14ac:dyDescent="0.2">
      <c r="I31510" s="137" t="s">
        <v>74</v>
      </c>
    </row>
    <row r="31511" spans="9:9" x14ac:dyDescent="0.2">
      <c r="I31511" s="137" t="s">
        <v>74</v>
      </c>
    </row>
    <row r="31512" spans="9:9" x14ac:dyDescent="0.2">
      <c r="I31512" s="137" t="s">
        <v>74</v>
      </c>
    </row>
    <row r="31513" spans="9:9" x14ac:dyDescent="0.2">
      <c r="I31513" s="137" t="s">
        <v>74</v>
      </c>
    </row>
    <row r="31514" spans="9:9" x14ac:dyDescent="0.2">
      <c r="I31514" s="137" t="s">
        <v>74</v>
      </c>
    </row>
    <row r="31515" spans="9:9" x14ac:dyDescent="0.2">
      <c r="I31515" s="137" t="s">
        <v>74</v>
      </c>
    </row>
    <row r="31516" spans="9:9" x14ac:dyDescent="0.2">
      <c r="I31516" s="137" t="s">
        <v>74</v>
      </c>
    </row>
    <row r="31517" spans="9:9" x14ac:dyDescent="0.2">
      <c r="I31517" s="137" t="s">
        <v>74</v>
      </c>
    </row>
    <row r="31518" spans="9:9" x14ac:dyDescent="0.2">
      <c r="I31518" s="137" t="s">
        <v>74</v>
      </c>
    </row>
    <row r="31519" spans="9:9" x14ac:dyDescent="0.2">
      <c r="I31519" s="137" t="s">
        <v>74</v>
      </c>
    </row>
    <row r="31520" spans="9:9" x14ac:dyDescent="0.2">
      <c r="I31520" s="137" t="s">
        <v>74</v>
      </c>
    </row>
    <row r="31521" spans="9:9" x14ac:dyDescent="0.2">
      <c r="I31521" s="137" t="s">
        <v>74</v>
      </c>
    </row>
    <row r="31522" spans="9:9" x14ac:dyDescent="0.2">
      <c r="I31522" s="137" t="s">
        <v>74</v>
      </c>
    </row>
    <row r="31523" spans="9:9" x14ac:dyDescent="0.2">
      <c r="I31523" s="137" t="s">
        <v>74</v>
      </c>
    </row>
    <row r="31524" spans="9:9" x14ac:dyDescent="0.2">
      <c r="I31524" s="137" t="s">
        <v>74</v>
      </c>
    </row>
    <row r="31525" spans="9:9" x14ac:dyDescent="0.2">
      <c r="I31525" s="137" t="s">
        <v>74</v>
      </c>
    </row>
    <row r="31526" spans="9:9" x14ac:dyDescent="0.2">
      <c r="I31526" s="137" t="s">
        <v>74</v>
      </c>
    </row>
    <row r="31527" spans="9:9" x14ac:dyDescent="0.2">
      <c r="I31527" s="137" t="s">
        <v>74</v>
      </c>
    </row>
    <row r="31528" spans="9:9" x14ac:dyDescent="0.2">
      <c r="I31528" s="137" t="s">
        <v>74</v>
      </c>
    </row>
    <row r="31529" spans="9:9" x14ac:dyDescent="0.2">
      <c r="I31529" s="137" t="s">
        <v>74</v>
      </c>
    </row>
    <row r="31530" spans="9:9" x14ac:dyDescent="0.2">
      <c r="I31530" s="137" t="s">
        <v>74</v>
      </c>
    </row>
    <row r="31531" spans="9:9" x14ac:dyDescent="0.2">
      <c r="I31531" s="137" t="s">
        <v>74</v>
      </c>
    </row>
    <row r="31532" spans="9:9" x14ac:dyDescent="0.2">
      <c r="I31532" s="137" t="s">
        <v>74</v>
      </c>
    </row>
    <row r="31533" spans="9:9" x14ac:dyDescent="0.2">
      <c r="I31533" s="137" t="s">
        <v>74</v>
      </c>
    </row>
    <row r="31534" spans="9:9" x14ac:dyDescent="0.2">
      <c r="I31534" s="137" t="s">
        <v>74</v>
      </c>
    </row>
    <row r="31535" spans="9:9" x14ac:dyDescent="0.2">
      <c r="I31535" s="137" t="s">
        <v>74</v>
      </c>
    </row>
    <row r="31536" spans="9:9" x14ac:dyDescent="0.2">
      <c r="I31536" s="137" t="s">
        <v>74</v>
      </c>
    </row>
    <row r="31537" spans="9:9" x14ac:dyDescent="0.2">
      <c r="I31537" s="137" t="s">
        <v>74</v>
      </c>
    </row>
    <row r="31538" spans="9:9" x14ac:dyDescent="0.2">
      <c r="I31538" s="137" t="s">
        <v>74</v>
      </c>
    </row>
    <row r="31539" spans="9:9" x14ac:dyDescent="0.2">
      <c r="I31539" s="137" t="s">
        <v>74</v>
      </c>
    </row>
    <row r="31540" spans="9:9" x14ac:dyDescent="0.2">
      <c r="I31540" s="137" t="s">
        <v>74</v>
      </c>
    </row>
    <row r="31541" spans="9:9" x14ac:dyDescent="0.2">
      <c r="I31541" s="137" t="s">
        <v>74</v>
      </c>
    </row>
    <row r="31542" spans="9:9" x14ac:dyDescent="0.2">
      <c r="I31542" s="137" t="s">
        <v>74</v>
      </c>
    </row>
    <row r="31543" spans="9:9" x14ac:dyDescent="0.2">
      <c r="I31543" s="137" t="s">
        <v>74</v>
      </c>
    </row>
    <row r="31544" spans="9:9" x14ac:dyDescent="0.2">
      <c r="I31544" s="137" t="s">
        <v>74</v>
      </c>
    </row>
    <row r="31545" spans="9:9" x14ac:dyDescent="0.2">
      <c r="I31545" s="137" t="s">
        <v>74</v>
      </c>
    </row>
    <row r="31546" spans="9:9" x14ac:dyDescent="0.2">
      <c r="I31546" s="137" t="s">
        <v>74</v>
      </c>
    </row>
    <row r="31547" spans="9:9" x14ac:dyDescent="0.2">
      <c r="I31547" s="137" t="s">
        <v>74</v>
      </c>
    </row>
    <row r="31548" spans="9:9" x14ac:dyDescent="0.2">
      <c r="I31548" s="137" t="s">
        <v>74</v>
      </c>
    </row>
    <row r="31549" spans="9:9" x14ac:dyDescent="0.2">
      <c r="I31549" s="137" t="s">
        <v>74</v>
      </c>
    </row>
    <row r="31550" spans="9:9" x14ac:dyDescent="0.2">
      <c r="I31550" s="137" t="s">
        <v>74</v>
      </c>
    </row>
    <row r="31551" spans="9:9" x14ac:dyDescent="0.2">
      <c r="I31551" s="137" t="s">
        <v>74</v>
      </c>
    </row>
    <row r="31552" spans="9:9" x14ac:dyDescent="0.2">
      <c r="I31552" s="137" t="s">
        <v>74</v>
      </c>
    </row>
    <row r="31553" spans="9:9" x14ac:dyDescent="0.2">
      <c r="I31553" s="137" t="s">
        <v>74</v>
      </c>
    </row>
    <row r="31554" spans="9:9" x14ac:dyDescent="0.2">
      <c r="I31554" s="137" t="s">
        <v>74</v>
      </c>
    </row>
    <row r="31555" spans="9:9" x14ac:dyDescent="0.2">
      <c r="I31555" s="137" t="s">
        <v>74</v>
      </c>
    </row>
    <row r="31556" spans="9:9" x14ac:dyDescent="0.2">
      <c r="I31556" s="137" t="s">
        <v>74</v>
      </c>
    </row>
    <row r="31557" spans="9:9" x14ac:dyDescent="0.2">
      <c r="I31557" s="137" t="s">
        <v>74</v>
      </c>
    </row>
    <row r="31558" spans="9:9" x14ac:dyDescent="0.2">
      <c r="I31558" s="137" t="s">
        <v>74</v>
      </c>
    </row>
    <row r="31559" spans="9:9" x14ac:dyDescent="0.2">
      <c r="I31559" s="137" t="s">
        <v>74</v>
      </c>
    </row>
    <row r="31560" spans="9:9" x14ac:dyDescent="0.2">
      <c r="I31560" s="137" t="s">
        <v>74</v>
      </c>
    </row>
    <row r="31561" spans="9:9" x14ac:dyDescent="0.2">
      <c r="I31561" s="137" t="s">
        <v>74</v>
      </c>
    </row>
    <row r="31562" spans="9:9" x14ac:dyDescent="0.2">
      <c r="I31562" s="137" t="s">
        <v>74</v>
      </c>
    </row>
    <row r="31563" spans="9:9" x14ac:dyDescent="0.2">
      <c r="I31563" s="137" t="s">
        <v>74</v>
      </c>
    </row>
    <row r="31564" spans="9:9" x14ac:dyDescent="0.2">
      <c r="I31564" s="137" t="s">
        <v>74</v>
      </c>
    </row>
    <row r="31565" spans="9:9" x14ac:dyDescent="0.2">
      <c r="I31565" s="137" t="s">
        <v>74</v>
      </c>
    </row>
    <row r="31566" spans="9:9" x14ac:dyDescent="0.2">
      <c r="I31566" s="137" t="s">
        <v>74</v>
      </c>
    </row>
    <row r="31567" spans="9:9" x14ac:dyDescent="0.2">
      <c r="I31567" s="137" t="s">
        <v>74</v>
      </c>
    </row>
    <row r="31568" spans="9:9" x14ac:dyDescent="0.2">
      <c r="I31568" s="137" t="s">
        <v>74</v>
      </c>
    </row>
    <row r="31569" spans="9:9" x14ac:dyDescent="0.2">
      <c r="I31569" s="137" t="s">
        <v>74</v>
      </c>
    </row>
    <row r="31570" spans="9:9" x14ac:dyDescent="0.2">
      <c r="I31570" s="137" t="s">
        <v>74</v>
      </c>
    </row>
    <row r="31571" spans="9:9" x14ac:dyDescent="0.2">
      <c r="I31571" s="137" t="s">
        <v>74</v>
      </c>
    </row>
    <row r="31572" spans="9:9" x14ac:dyDescent="0.2">
      <c r="I31572" s="137" t="s">
        <v>74</v>
      </c>
    </row>
    <row r="31573" spans="9:9" x14ac:dyDescent="0.2">
      <c r="I31573" s="137" t="s">
        <v>74</v>
      </c>
    </row>
    <row r="31574" spans="9:9" x14ac:dyDescent="0.2">
      <c r="I31574" s="137" t="s">
        <v>74</v>
      </c>
    </row>
    <row r="31575" spans="9:9" x14ac:dyDescent="0.2">
      <c r="I31575" s="137" t="s">
        <v>74</v>
      </c>
    </row>
    <row r="31576" spans="9:9" x14ac:dyDescent="0.2">
      <c r="I31576" s="137" t="s">
        <v>74</v>
      </c>
    </row>
    <row r="31577" spans="9:9" x14ac:dyDescent="0.2">
      <c r="I31577" s="137" t="s">
        <v>74</v>
      </c>
    </row>
    <row r="31578" spans="9:9" x14ac:dyDescent="0.2">
      <c r="I31578" s="137" t="s">
        <v>74</v>
      </c>
    </row>
    <row r="31579" spans="9:9" x14ac:dyDescent="0.2">
      <c r="I31579" s="137" t="s">
        <v>74</v>
      </c>
    </row>
    <row r="31580" spans="9:9" x14ac:dyDescent="0.2">
      <c r="I31580" s="137" t="s">
        <v>74</v>
      </c>
    </row>
    <row r="31581" spans="9:9" x14ac:dyDescent="0.2">
      <c r="I31581" s="137" t="s">
        <v>74</v>
      </c>
    </row>
    <row r="31582" spans="9:9" x14ac:dyDescent="0.2">
      <c r="I31582" s="137" t="s">
        <v>74</v>
      </c>
    </row>
    <row r="31583" spans="9:9" x14ac:dyDescent="0.2">
      <c r="I31583" s="137" t="s">
        <v>74</v>
      </c>
    </row>
    <row r="31584" spans="9:9" x14ac:dyDescent="0.2">
      <c r="I31584" s="137" t="s">
        <v>74</v>
      </c>
    </row>
    <row r="31585" spans="9:9" x14ac:dyDescent="0.2">
      <c r="I31585" s="137" t="s">
        <v>74</v>
      </c>
    </row>
    <row r="31586" spans="9:9" x14ac:dyDescent="0.2">
      <c r="I31586" s="137" t="s">
        <v>74</v>
      </c>
    </row>
    <row r="31587" spans="9:9" x14ac:dyDescent="0.2">
      <c r="I31587" s="137" t="s">
        <v>74</v>
      </c>
    </row>
    <row r="31588" spans="9:9" x14ac:dyDescent="0.2">
      <c r="I31588" s="137" t="s">
        <v>74</v>
      </c>
    </row>
    <row r="31589" spans="9:9" x14ac:dyDescent="0.2">
      <c r="I31589" s="137" t="s">
        <v>74</v>
      </c>
    </row>
    <row r="31590" spans="9:9" x14ac:dyDescent="0.2">
      <c r="I31590" s="137" t="s">
        <v>74</v>
      </c>
    </row>
    <row r="31591" spans="9:9" x14ac:dyDescent="0.2">
      <c r="I31591" s="137" t="s">
        <v>74</v>
      </c>
    </row>
    <row r="31592" spans="9:9" x14ac:dyDescent="0.2">
      <c r="I31592" s="137" t="s">
        <v>74</v>
      </c>
    </row>
    <row r="31593" spans="9:9" x14ac:dyDescent="0.2">
      <c r="I31593" s="137" t="s">
        <v>74</v>
      </c>
    </row>
    <row r="31594" spans="9:9" x14ac:dyDescent="0.2">
      <c r="I31594" s="137" t="s">
        <v>74</v>
      </c>
    </row>
    <row r="31595" spans="9:9" x14ac:dyDescent="0.2">
      <c r="I31595" s="137" t="s">
        <v>74</v>
      </c>
    </row>
    <row r="31596" spans="9:9" x14ac:dyDescent="0.2">
      <c r="I31596" s="137" t="s">
        <v>74</v>
      </c>
    </row>
    <row r="31597" spans="9:9" x14ac:dyDescent="0.2">
      <c r="I31597" s="137" t="s">
        <v>74</v>
      </c>
    </row>
    <row r="31598" spans="9:9" x14ac:dyDescent="0.2">
      <c r="I31598" s="137" t="s">
        <v>74</v>
      </c>
    </row>
    <row r="31599" spans="9:9" x14ac:dyDescent="0.2">
      <c r="I31599" s="137" t="s">
        <v>74</v>
      </c>
    </row>
    <row r="31600" spans="9:9" x14ac:dyDescent="0.2">
      <c r="I31600" s="137" t="s">
        <v>74</v>
      </c>
    </row>
    <row r="31601" spans="9:9" x14ac:dyDescent="0.2">
      <c r="I31601" s="137" t="s">
        <v>74</v>
      </c>
    </row>
    <row r="31602" spans="9:9" x14ac:dyDescent="0.2">
      <c r="I31602" s="137" t="s">
        <v>74</v>
      </c>
    </row>
    <row r="31603" spans="9:9" x14ac:dyDescent="0.2">
      <c r="I31603" s="137" t="s">
        <v>74</v>
      </c>
    </row>
    <row r="31604" spans="9:9" x14ac:dyDescent="0.2">
      <c r="I31604" s="137" t="s">
        <v>74</v>
      </c>
    </row>
    <row r="31605" spans="9:9" x14ac:dyDescent="0.2">
      <c r="I31605" s="137" t="s">
        <v>74</v>
      </c>
    </row>
    <row r="31606" spans="9:9" x14ac:dyDescent="0.2">
      <c r="I31606" s="137" t="s">
        <v>74</v>
      </c>
    </row>
    <row r="31607" spans="9:9" x14ac:dyDescent="0.2">
      <c r="I31607" s="137" t="s">
        <v>74</v>
      </c>
    </row>
    <row r="31608" spans="9:9" x14ac:dyDescent="0.2">
      <c r="I31608" s="137" t="s">
        <v>74</v>
      </c>
    </row>
    <row r="31609" spans="9:9" x14ac:dyDescent="0.2">
      <c r="I31609" s="137" t="s">
        <v>74</v>
      </c>
    </row>
    <row r="31610" spans="9:9" x14ac:dyDescent="0.2">
      <c r="I31610" s="137" t="s">
        <v>74</v>
      </c>
    </row>
    <row r="31611" spans="9:9" x14ac:dyDescent="0.2">
      <c r="I31611" s="137" t="s">
        <v>74</v>
      </c>
    </row>
    <row r="31612" spans="9:9" x14ac:dyDescent="0.2">
      <c r="I31612" s="137" t="s">
        <v>74</v>
      </c>
    </row>
    <row r="31613" spans="9:9" x14ac:dyDescent="0.2">
      <c r="I31613" s="137" t="s">
        <v>74</v>
      </c>
    </row>
    <row r="31614" spans="9:9" x14ac:dyDescent="0.2">
      <c r="I31614" s="137" t="s">
        <v>74</v>
      </c>
    </row>
    <row r="31615" spans="9:9" x14ac:dyDescent="0.2">
      <c r="I31615" s="137" t="s">
        <v>74</v>
      </c>
    </row>
    <row r="31616" spans="9:9" x14ac:dyDescent="0.2">
      <c r="I31616" s="137" t="s">
        <v>74</v>
      </c>
    </row>
    <row r="31617" spans="9:9" x14ac:dyDescent="0.2">
      <c r="I31617" s="137" t="s">
        <v>74</v>
      </c>
    </row>
    <row r="31618" spans="9:9" x14ac:dyDescent="0.2">
      <c r="I31618" s="137" t="s">
        <v>74</v>
      </c>
    </row>
    <row r="31619" spans="9:9" x14ac:dyDescent="0.2">
      <c r="I31619" s="137" t="s">
        <v>74</v>
      </c>
    </row>
    <row r="31620" spans="9:9" x14ac:dyDescent="0.2">
      <c r="I31620" s="137" t="s">
        <v>74</v>
      </c>
    </row>
    <row r="31621" spans="9:9" x14ac:dyDescent="0.2">
      <c r="I31621" s="137" t="s">
        <v>74</v>
      </c>
    </row>
    <row r="31622" spans="9:9" x14ac:dyDescent="0.2">
      <c r="I31622" s="137" t="s">
        <v>74</v>
      </c>
    </row>
    <row r="31623" spans="9:9" x14ac:dyDescent="0.2">
      <c r="I31623" s="137" t="s">
        <v>74</v>
      </c>
    </row>
    <row r="31624" spans="9:9" x14ac:dyDescent="0.2">
      <c r="I31624" s="137" t="s">
        <v>74</v>
      </c>
    </row>
    <row r="31625" spans="9:9" x14ac:dyDescent="0.2">
      <c r="I31625" s="137" t="s">
        <v>74</v>
      </c>
    </row>
    <row r="31626" spans="9:9" x14ac:dyDescent="0.2">
      <c r="I31626" s="137" t="s">
        <v>74</v>
      </c>
    </row>
    <row r="31627" spans="9:9" x14ac:dyDescent="0.2">
      <c r="I31627" s="137" t="s">
        <v>74</v>
      </c>
    </row>
    <row r="31628" spans="9:9" x14ac:dyDescent="0.2">
      <c r="I31628" s="137" t="s">
        <v>74</v>
      </c>
    </row>
    <row r="31629" spans="9:9" x14ac:dyDescent="0.2">
      <c r="I31629" s="137" t="s">
        <v>74</v>
      </c>
    </row>
    <row r="31630" spans="9:9" x14ac:dyDescent="0.2">
      <c r="I31630" s="137" t="s">
        <v>74</v>
      </c>
    </row>
    <row r="31631" spans="9:9" x14ac:dyDescent="0.2">
      <c r="I31631" s="137" t="s">
        <v>74</v>
      </c>
    </row>
    <row r="31632" spans="9:9" x14ac:dyDescent="0.2">
      <c r="I31632" s="137" t="s">
        <v>74</v>
      </c>
    </row>
    <row r="31633" spans="9:9" x14ac:dyDescent="0.2">
      <c r="I31633" s="137" t="s">
        <v>74</v>
      </c>
    </row>
    <row r="31634" spans="9:9" x14ac:dyDescent="0.2">
      <c r="I31634" s="137" t="s">
        <v>74</v>
      </c>
    </row>
    <row r="31635" spans="9:9" x14ac:dyDescent="0.2">
      <c r="I31635" s="137" t="s">
        <v>74</v>
      </c>
    </row>
    <row r="31636" spans="9:9" x14ac:dyDescent="0.2">
      <c r="I31636" s="137" t="s">
        <v>74</v>
      </c>
    </row>
    <row r="31637" spans="9:9" x14ac:dyDescent="0.2">
      <c r="I31637" s="137" t="s">
        <v>74</v>
      </c>
    </row>
    <row r="31638" spans="9:9" x14ac:dyDescent="0.2">
      <c r="I31638" s="137" t="s">
        <v>74</v>
      </c>
    </row>
    <row r="31639" spans="9:9" x14ac:dyDescent="0.2">
      <c r="I31639" s="137" t="s">
        <v>74</v>
      </c>
    </row>
    <row r="31640" spans="9:9" x14ac:dyDescent="0.2">
      <c r="I31640" s="137" t="s">
        <v>74</v>
      </c>
    </row>
    <row r="31641" spans="9:9" x14ac:dyDescent="0.2">
      <c r="I31641" s="137" t="s">
        <v>74</v>
      </c>
    </row>
    <row r="31642" spans="9:9" x14ac:dyDescent="0.2">
      <c r="I31642" s="137" t="s">
        <v>74</v>
      </c>
    </row>
    <row r="31643" spans="9:9" x14ac:dyDescent="0.2">
      <c r="I31643" s="137" t="s">
        <v>74</v>
      </c>
    </row>
    <row r="31644" spans="9:9" x14ac:dyDescent="0.2">
      <c r="I31644" s="137" t="s">
        <v>74</v>
      </c>
    </row>
    <row r="31645" spans="9:9" x14ac:dyDescent="0.2">
      <c r="I31645" s="137" t="s">
        <v>74</v>
      </c>
    </row>
    <row r="31646" spans="9:9" x14ac:dyDescent="0.2">
      <c r="I31646" s="137" t="s">
        <v>74</v>
      </c>
    </row>
    <row r="31647" spans="9:9" x14ac:dyDescent="0.2">
      <c r="I31647" s="137" t="s">
        <v>74</v>
      </c>
    </row>
    <row r="31648" spans="9:9" x14ac:dyDescent="0.2">
      <c r="I31648" s="137" t="s">
        <v>74</v>
      </c>
    </row>
    <row r="31649" spans="9:9" x14ac:dyDescent="0.2">
      <c r="I31649" s="137" t="s">
        <v>74</v>
      </c>
    </row>
    <row r="31650" spans="9:9" x14ac:dyDescent="0.2">
      <c r="I31650" s="137" t="s">
        <v>74</v>
      </c>
    </row>
    <row r="31651" spans="9:9" x14ac:dyDescent="0.2">
      <c r="I31651" s="137" t="s">
        <v>74</v>
      </c>
    </row>
    <row r="31652" spans="9:9" x14ac:dyDescent="0.2">
      <c r="I31652" s="137" t="s">
        <v>74</v>
      </c>
    </row>
    <row r="31653" spans="9:9" x14ac:dyDescent="0.2">
      <c r="I31653" s="137" t="s">
        <v>74</v>
      </c>
    </row>
    <row r="31654" spans="9:9" x14ac:dyDescent="0.2">
      <c r="I31654" s="137" t="s">
        <v>74</v>
      </c>
    </row>
    <row r="31655" spans="9:9" x14ac:dyDescent="0.2">
      <c r="I31655" s="137" t="s">
        <v>74</v>
      </c>
    </row>
    <row r="31656" spans="9:9" x14ac:dyDescent="0.2">
      <c r="I31656" s="137" t="s">
        <v>74</v>
      </c>
    </row>
    <row r="31657" spans="9:9" x14ac:dyDescent="0.2">
      <c r="I31657" s="137" t="s">
        <v>74</v>
      </c>
    </row>
    <row r="31658" spans="9:9" x14ac:dyDescent="0.2">
      <c r="I31658" s="137" t="s">
        <v>74</v>
      </c>
    </row>
    <row r="31659" spans="9:9" x14ac:dyDescent="0.2">
      <c r="I31659" s="137" t="s">
        <v>74</v>
      </c>
    </row>
    <row r="31660" spans="9:9" x14ac:dyDescent="0.2">
      <c r="I31660" s="137" t="s">
        <v>74</v>
      </c>
    </row>
    <row r="31661" spans="9:9" x14ac:dyDescent="0.2">
      <c r="I31661" s="137" t="s">
        <v>74</v>
      </c>
    </row>
    <row r="31662" spans="9:9" x14ac:dyDescent="0.2">
      <c r="I31662" s="137" t="s">
        <v>74</v>
      </c>
    </row>
    <row r="31663" spans="9:9" x14ac:dyDescent="0.2">
      <c r="I31663" s="137" t="s">
        <v>74</v>
      </c>
    </row>
    <row r="31664" spans="9:9" x14ac:dyDescent="0.2">
      <c r="I31664" s="137" t="s">
        <v>74</v>
      </c>
    </row>
    <row r="31665" spans="9:9" x14ac:dyDescent="0.2">
      <c r="I31665" s="137" t="s">
        <v>74</v>
      </c>
    </row>
    <row r="31666" spans="9:9" x14ac:dyDescent="0.2">
      <c r="I31666" s="137" t="s">
        <v>74</v>
      </c>
    </row>
    <row r="31667" spans="9:9" x14ac:dyDescent="0.2">
      <c r="I31667" s="137" t="s">
        <v>74</v>
      </c>
    </row>
    <row r="31668" spans="9:9" x14ac:dyDescent="0.2">
      <c r="I31668" s="137" t="s">
        <v>74</v>
      </c>
    </row>
    <row r="31669" spans="9:9" x14ac:dyDescent="0.2">
      <c r="I31669" s="137" t="s">
        <v>74</v>
      </c>
    </row>
    <row r="31670" spans="9:9" x14ac:dyDescent="0.2">
      <c r="I31670" s="137" t="s">
        <v>74</v>
      </c>
    </row>
    <row r="31671" spans="9:9" x14ac:dyDescent="0.2">
      <c r="I31671" s="137" t="s">
        <v>74</v>
      </c>
    </row>
    <row r="31672" spans="9:9" x14ac:dyDescent="0.2">
      <c r="I31672" s="137" t="s">
        <v>74</v>
      </c>
    </row>
    <row r="31673" spans="9:9" x14ac:dyDescent="0.2">
      <c r="I31673" s="137" t="s">
        <v>74</v>
      </c>
    </row>
    <row r="31674" spans="9:9" x14ac:dyDescent="0.2">
      <c r="I31674" s="137" t="s">
        <v>74</v>
      </c>
    </row>
    <row r="31675" spans="9:9" x14ac:dyDescent="0.2">
      <c r="I31675" s="137" t="s">
        <v>74</v>
      </c>
    </row>
    <row r="31676" spans="9:9" x14ac:dyDescent="0.2">
      <c r="I31676" s="137" t="s">
        <v>74</v>
      </c>
    </row>
    <row r="31677" spans="9:9" x14ac:dyDescent="0.2">
      <c r="I31677" s="137" t="s">
        <v>74</v>
      </c>
    </row>
    <row r="31678" spans="9:9" x14ac:dyDescent="0.2">
      <c r="I31678" s="137" t="s">
        <v>74</v>
      </c>
    </row>
    <row r="31679" spans="9:9" x14ac:dyDescent="0.2">
      <c r="I31679" s="137" t="s">
        <v>74</v>
      </c>
    </row>
    <row r="31680" spans="9:9" x14ac:dyDescent="0.2">
      <c r="I31680" s="137" t="s">
        <v>74</v>
      </c>
    </row>
    <row r="31681" spans="9:9" x14ac:dyDescent="0.2">
      <c r="I31681" s="137" t="s">
        <v>74</v>
      </c>
    </row>
    <row r="31682" spans="9:9" x14ac:dyDescent="0.2">
      <c r="I31682" s="137" t="s">
        <v>74</v>
      </c>
    </row>
    <row r="31683" spans="9:9" x14ac:dyDescent="0.2">
      <c r="I31683" s="137" t="s">
        <v>74</v>
      </c>
    </row>
    <row r="31684" spans="9:9" x14ac:dyDescent="0.2">
      <c r="I31684" s="137" t="s">
        <v>74</v>
      </c>
    </row>
    <row r="31685" spans="9:9" x14ac:dyDescent="0.2">
      <c r="I31685" s="137" t="s">
        <v>74</v>
      </c>
    </row>
    <row r="31686" spans="9:9" x14ac:dyDescent="0.2">
      <c r="I31686" s="137" t="s">
        <v>74</v>
      </c>
    </row>
    <row r="31687" spans="9:9" x14ac:dyDescent="0.2">
      <c r="I31687" s="137" t="s">
        <v>74</v>
      </c>
    </row>
    <row r="31688" spans="9:9" x14ac:dyDescent="0.2">
      <c r="I31688" s="137" t="s">
        <v>74</v>
      </c>
    </row>
    <row r="31689" spans="9:9" x14ac:dyDescent="0.2">
      <c r="I31689" s="137" t="s">
        <v>74</v>
      </c>
    </row>
    <row r="31690" spans="9:9" x14ac:dyDescent="0.2">
      <c r="I31690" s="137" t="s">
        <v>74</v>
      </c>
    </row>
    <row r="31691" spans="9:9" x14ac:dyDescent="0.2">
      <c r="I31691" s="137" t="s">
        <v>74</v>
      </c>
    </row>
    <row r="31692" spans="9:9" x14ac:dyDescent="0.2">
      <c r="I31692" s="137" t="s">
        <v>74</v>
      </c>
    </row>
    <row r="31693" spans="9:9" x14ac:dyDescent="0.2">
      <c r="I31693" s="137" t="s">
        <v>74</v>
      </c>
    </row>
    <row r="31694" spans="9:9" x14ac:dyDescent="0.2">
      <c r="I31694" s="137" t="s">
        <v>74</v>
      </c>
    </row>
    <row r="31695" spans="9:9" x14ac:dyDescent="0.2">
      <c r="I31695" s="137" t="s">
        <v>74</v>
      </c>
    </row>
    <row r="31696" spans="9:9" x14ac:dyDescent="0.2">
      <c r="I31696" s="137" t="s">
        <v>74</v>
      </c>
    </row>
    <row r="31697" spans="9:9" x14ac:dyDescent="0.2">
      <c r="I31697" s="137" t="s">
        <v>74</v>
      </c>
    </row>
    <row r="31698" spans="9:9" x14ac:dyDescent="0.2">
      <c r="I31698" s="137" t="s">
        <v>74</v>
      </c>
    </row>
    <row r="31699" spans="9:9" x14ac:dyDescent="0.2">
      <c r="I31699" s="137" t="s">
        <v>74</v>
      </c>
    </row>
    <row r="31700" spans="9:9" x14ac:dyDescent="0.2">
      <c r="I31700" s="137" t="s">
        <v>74</v>
      </c>
    </row>
    <row r="31701" spans="9:9" x14ac:dyDescent="0.2">
      <c r="I31701" s="137" t="s">
        <v>74</v>
      </c>
    </row>
    <row r="31702" spans="9:9" x14ac:dyDescent="0.2">
      <c r="I31702" s="137" t="s">
        <v>74</v>
      </c>
    </row>
    <row r="31703" spans="9:9" x14ac:dyDescent="0.2">
      <c r="I31703" s="137" t="s">
        <v>74</v>
      </c>
    </row>
    <row r="31704" spans="9:9" x14ac:dyDescent="0.2">
      <c r="I31704" s="137" t="s">
        <v>74</v>
      </c>
    </row>
    <row r="31705" spans="9:9" x14ac:dyDescent="0.2">
      <c r="I31705" s="137" t="s">
        <v>74</v>
      </c>
    </row>
    <row r="31706" spans="9:9" x14ac:dyDescent="0.2">
      <c r="I31706" s="137" t="s">
        <v>74</v>
      </c>
    </row>
    <row r="31707" spans="9:9" x14ac:dyDescent="0.2">
      <c r="I31707" s="137" t="s">
        <v>74</v>
      </c>
    </row>
    <row r="31708" spans="9:9" x14ac:dyDescent="0.2">
      <c r="I31708" s="137" t="s">
        <v>74</v>
      </c>
    </row>
    <row r="31709" spans="9:9" x14ac:dyDescent="0.2">
      <c r="I31709" s="137" t="s">
        <v>74</v>
      </c>
    </row>
    <row r="31710" spans="9:9" x14ac:dyDescent="0.2">
      <c r="I31710" s="137" t="s">
        <v>74</v>
      </c>
    </row>
    <row r="31711" spans="9:9" x14ac:dyDescent="0.2">
      <c r="I31711" s="137" t="s">
        <v>74</v>
      </c>
    </row>
    <row r="31712" spans="9:9" x14ac:dyDescent="0.2">
      <c r="I31712" s="137" t="s">
        <v>74</v>
      </c>
    </row>
    <row r="31713" spans="9:9" x14ac:dyDescent="0.2">
      <c r="I31713" s="137" t="s">
        <v>74</v>
      </c>
    </row>
    <row r="31714" spans="9:9" x14ac:dyDescent="0.2">
      <c r="I31714" s="137" t="s">
        <v>74</v>
      </c>
    </row>
    <row r="31715" spans="9:9" x14ac:dyDescent="0.2">
      <c r="I31715" s="137" t="s">
        <v>74</v>
      </c>
    </row>
    <row r="31716" spans="9:9" x14ac:dyDescent="0.2">
      <c r="I31716" s="137" t="s">
        <v>74</v>
      </c>
    </row>
    <row r="31717" spans="9:9" x14ac:dyDescent="0.2">
      <c r="I31717" s="137" t="s">
        <v>74</v>
      </c>
    </row>
    <row r="31718" spans="9:9" x14ac:dyDescent="0.2">
      <c r="I31718" s="137" t="s">
        <v>74</v>
      </c>
    </row>
    <row r="31719" spans="9:9" x14ac:dyDescent="0.2">
      <c r="I31719" s="137" t="s">
        <v>74</v>
      </c>
    </row>
    <row r="31720" spans="9:9" x14ac:dyDescent="0.2">
      <c r="I31720" s="137" t="s">
        <v>74</v>
      </c>
    </row>
    <row r="31721" spans="9:9" x14ac:dyDescent="0.2">
      <c r="I31721" s="137" t="s">
        <v>74</v>
      </c>
    </row>
    <row r="31722" spans="9:9" x14ac:dyDescent="0.2">
      <c r="I31722" s="137" t="s">
        <v>74</v>
      </c>
    </row>
    <row r="31723" spans="9:9" x14ac:dyDescent="0.2">
      <c r="I31723" s="137" t="s">
        <v>74</v>
      </c>
    </row>
    <row r="31724" spans="9:9" x14ac:dyDescent="0.2">
      <c r="I31724" s="137" t="s">
        <v>74</v>
      </c>
    </row>
    <row r="31725" spans="9:9" x14ac:dyDescent="0.2">
      <c r="I31725" s="137" t="s">
        <v>74</v>
      </c>
    </row>
    <row r="31726" spans="9:9" x14ac:dyDescent="0.2">
      <c r="I31726" s="137" t="s">
        <v>74</v>
      </c>
    </row>
    <row r="31727" spans="9:9" x14ac:dyDescent="0.2">
      <c r="I31727" s="137" t="s">
        <v>74</v>
      </c>
    </row>
    <row r="31728" spans="9:9" x14ac:dyDescent="0.2">
      <c r="I31728" s="137" t="s">
        <v>74</v>
      </c>
    </row>
    <row r="31729" spans="9:9" x14ac:dyDescent="0.2">
      <c r="I31729" s="137" t="s">
        <v>74</v>
      </c>
    </row>
    <row r="31730" spans="9:9" x14ac:dyDescent="0.2">
      <c r="I31730" s="137" t="s">
        <v>74</v>
      </c>
    </row>
    <row r="31731" spans="9:9" x14ac:dyDescent="0.2">
      <c r="I31731" s="137" t="s">
        <v>74</v>
      </c>
    </row>
    <row r="31732" spans="9:9" x14ac:dyDescent="0.2">
      <c r="I31732" s="137" t="s">
        <v>74</v>
      </c>
    </row>
    <row r="31733" spans="9:9" x14ac:dyDescent="0.2">
      <c r="I31733" s="137" t="s">
        <v>74</v>
      </c>
    </row>
    <row r="31734" spans="9:9" x14ac:dyDescent="0.2">
      <c r="I31734" s="137" t="s">
        <v>74</v>
      </c>
    </row>
    <row r="31735" spans="9:9" x14ac:dyDescent="0.2">
      <c r="I31735" s="137" t="s">
        <v>74</v>
      </c>
    </row>
    <row r="31736" spans="9:9" x14ac:dyDescent="0.2">
      <c r="I31736" s="137" t="s">
        <v>74</v>
      </c>
    </row>
    <row r="31737" spans="9:9" x14ac:dyDescent="0.2">
      <c r="I31737" s="137" t="s">
        <v>74</v>
      </c>
    </row>
    <row r="31738" spans="9:9" x14ac:dyDescent="0.2">
      <c r="I31738" s="137" t="s">
        <v>74</v>
      </c>
    </row>
    <row r="31739" spans="9:9" x14ac:dyDescent="0.2">
      <c r="I31739" s="137" t="s">
        <v>74</v>
      </c>
    </row>
    <row r="31740" spans="9:9" x14ac:dyDescent="0.2">
      <c r="I31740" s="137" t="s">
        <v>74</v>
      </c>
    </row>
    <row r="31741" spans="9:9" x14ac:dyDescent="0.2">
      <c r="I31741" s="137" t="s">
        <v>74</v>
      </c>
    </row>
    <row r="31742" spans="9:9" x14ac:dyDescent="0.2">
      <c r="I31742" s="137" t="s">
        <v>74</v>
      </c>
    </row>
    <row r="31743" spans="9:9" x14ac:dyDescent="0.2">
      <c r="I31743" s="137" t="s">
        <v>74</v>
      </c>
    </row>
    <row r="31744" spans="9:9" x14ac:dyDescent="0.2">
      <c r="I31744" s="137" t="s">
        <v>74</v>
      </c>
    </row>
    <row r="31745" spans="9:9" x14ac:dyDescent="0.2">
      <c r="I31745" s="137" t="s">
        <v>74</v>
      </c>
    </row>
    <row r="31746" spans="9:9" x14ac:dyDescent="0.2">
      <c r="I31746" s="137" t="s">
        <v>74</v>
      </c>
    </row>
    <row r="31747" spans="9:9" x14ac:dyDescent="0.2">
      <c r="I31747" s="137" t="s">
        <v>74</v>
      </c>
    </row>
    <row r="31748" spans="9:9" x14ac:dyDescent="0.2">
      <c r="I31748" s="137" t="s">
        <v>74</v>
      </c>
    </row>
    <row r="31749" spans="9:9" x14ac:dyDescent="0.2">
      <c r="I31749" s="137" t="s">
        <v>74</v>
      </c>
    </row>
    <row r="31750" spans="9:9" x14ac:dyDescent="0.2">
      <c r="I31750" s="137" t="s">
        <v>74</v>
      </c>
    </row>
    <row r="31751" spans="9:9" x14ac:dyDescent="0.2">
      <c r="I31751" s="137" t="s">
        <v>74</v>
      </c>
    </row>
    <row r="31752" spans="9:9" x14ac:dyDescent="0.2">
      <c r="I31752" s="137" t="s">
        <v>74</v>
      </c>
    </row>
    <row r="31753" spans="9:9" x14ac:dyDescent="0.2">
      <c r="I31753" s="137" t="s">
        <v>74</v>
      </c>
    </row>
    <row r="31754" spans="9:9" x14ac:dyDescent="0.2">
      <c r="I31754" s="137" t="s">
        <v>74</v>
      </c>
    </row>
    <row r="31755" spans="9:9" x14ac:dyDescent="0.2">
      <c r="I31755" s="137" t="s">
        <v>74</v>
      </c>
    </row>
    <row r="31756" spans="9:9" x14ac:dyDescent="0.2">
      <c r="I31756" s="137" t="s">
        <v>74</v>
      </c>
    </row>
    <row r="31757" spans="9:9" x14ac:dyDescent="0.2">
      <c r="I31757" s="137" t="s">
        <v>74</v>
      </c>
    </row>
    <row r="31758" spans="9:9" x14ac:dyDescent="0.2">
      <c r="I31758" s="137" t="s">
        <v>74</v>
      </c>
    </row>
    <row r="31759" spans="9:9" x14ac:dyDescent="0.2">
      <c r="I31759" s="137" t="s">
        <v>74</v>
      </c>
    </row>
    <row r="31760" spans="9:9" x14ac:dyDescent="0.2">
      <c r="I31760" s="137" t="s">
        <v>74</v>
      </c>
    </row>
    <row r="31761" spans="9:9" x14ac:dyDescent="0.2">
      <c r="I31761" s="137" t="s">
        <v>74</v>
      </c>
    </row>
    <row r="31762" spans="9:9" x14ac:dyDescent="0.2">
      <c r="I31762" s="137" t="s">
        <v>74</v>
      </c>
    </row>
    <row r="31763" spans="9:9" x14ac:dyDescent="0.2">
      <c r="I31763" s="137" t="s">
        <v>74</v>
      </c>
    </row>
    <row r="31764" spans="9:9" x14ac:dyDescent="0.2">
      <c r="I31764" s="137" t="s">
        <v>74</v>
      </c>
    </row>
    <row r="31765" spans="9:9" x14ac:dyDescent="0.2">
      <c r="I31765" s="137" t="s">
        <v>74</v>
      </c>
    </row>
    <row r="31766" spans="9:9" x14ac:dyDescent="0.2">
      <c r="I31766" s="137" t="s">
        <v>74</v>
      </c>
    </row>
    <row r="31767" spans="9:9" x14ac:dyDescent="0.2">
      <c r="I31767" s="137" t="s">
        <v>74</v>
      </c>
    </row>
    <row r="31768" spans="9:9" x14ac:dyDescent="0.2">
      <c r="I31768" s="137" t="s">
        <v>74</v>
      </c>
    </row>
    <row r="31769" spans="9:9" x14ac:dyDescent="0.2">
      <c r="I31769" s="137" t="s">
        <v>74</v>
      </c>
    </row>
    <row r="31770" spans="9:9" x14ac:dyDescent="0.2">
      <c r="I31770" s="137" t="s">
        <v>74</v>
      </c>
    </row>
    <row r="31771" spans="9:9" x14ac:dyDescent="0.2">
      <c r="I31771" s="137" t="s">
        <v>74</v>
      </c>
    </row>
    <row r="31772" spans="9:9" x14ac:dyDescent="0.2">
      <c r="I31772" s="137" t="s">
        <v>74</v>
      </c>
    </row>
    <row r="31773" spans="9:9" x14ac:dyDescent="0.2">
      <c r="I31773" s="137" t="s">
        <v>74</v>
      </c>
    </row>
    <row r="31774" spans="9:9" x14ac:dyDescent="0.2">
      <c r="I31774" s="137" t="s">
        <v>74</v>
      </c>
    </row>
    <row r="31775" spans="9:9" x14ac:dyDescent="0.2">
      <c r="I31775" s="137" t="s">
        <v>74</v>
      </c>
    </row>
    <row r="31776" spans="9:9" x14ac:dyDescent="0.2">
      <c r="I31776" s="137" t="s">
        <v>74</v>
      </c>
    </row>
    <row r="31777" spans="9:9" x14ac:dyDescent="0.2">
      <c r="I31777" s="137" t="s">
        <v>74</v>
      </c>
    </row>
    <row r="31778" spans="9:9" x14ac:dyDescent="0.2">
      <c r="I31778" s="137" t="s">
        <v>74</v>
      </c>
    </row>
    <row r="31779" spans="9:9" x14ac:dyDescent="0.2">
      <c r="I31779" s="137" t="s">
        <v>74</v>
      </c>
    </row>
    <row r="31780" spans="9:9" x14ac:dyDescent="0.2">
      <c r="I31780" s="137" t="s">
        <v>74</v>
      </c>
    </row>
    <row r="31781" spans="9:9" x14ac:dyDescent="0.2">
      <c r="I31781" s="137" t="s">
        <v>74</v>
      </c>
    </row>
    <row r="31782" spans="9:9" x14ac:dyDescent="0.2">
      <c r="I31782" s="137" t="s">
        <v>74</v>
      </c>
    </row>
    <row r="31783" spans="9:9" x14ac:dyDescent="0.2">
      <c r="I31783" s="137" t="s">
        <v>74</v>
      </c>
    </row>
    <row r="31784" spans="9:9" x14ac:dyDescent="0.2">
      <c r="I31784" s="137" t="s">
        <v>74</v>
      </c>
    </row>
    <row r="31785" spans="9:9" x14ac:dyDescent="0.2">
      <c r="I31785" s="137" t="s">
        <v>74</v>
      </c>
    </row>
    <row r="31786" spans="9:9" x14ac:dyDescent="0.2">
      <c r="I31786" s="137" t="s">
        <v>74</v>
      </c>
    </row>
    <row r="31787" spans="9:9" x14ac:dyDescent="0.2">
      <c r="I31787" s="137" t="s">
        <v>74</v>
      </c>
    </row>
    <row r="31788" spans="9:9" x14ac:dyDescent="0.2">
      <c r="I31788" s="137" t="s">
        <v>74</v>
      </c>
    </row>
    <row r="31789" spans="9:9" x14ac:dyDescent="0.2">
      <c r="I31789" s="137" t="s">
        <v>74</v>
      </c>
    </row>
    <row r="31790" spans="9:9" x14ac:dyDescent="0.2">
      <c r="I31790" s="137" t="s">
        <v>74</v>
      </c>
    </row>
    <row r="31791" spans="9:9" x14ac:dyDescent="0.2">
      <c r="I31791" s="137" t="s">
        <v>74</v>
      </c>
    </row>
    <row r="31792" spans="9:9" x14ac:dyDescent="0.2">
      <c r="I31792" s="137" t="s">
        <v>74</v>
      </c>
    </row>
    <row r="31793" spans="9:9" x14ac:dyDescent="0.2">
      <c r="I31793" s="137" t="s">
        <v>74</v>
      </c>
    </row>
    <row r="31794" spans="9:9" x14ac:dyDescent="0.2">
      <c r="I31794" s="137" t="s">
        <v>74</v>
      </c>
    </row>
    <row r="31795" spans="9:9" x14ac:dyDescent="0.2">
      <c r="I31795" s="137" t="s">
        <v>74</v>
      </c>
    </row>
    <row r="31796" spans="9:9" x14ac:dyDescent="0.2">
      <c r="I31796" s="137" t="s">
        <v>74</v>
      </c>
    </row>
    <row r="31797" spans="9:9" x14ac:dyDescent="0.2">
      <c r="I31797" s="137" t="s">
        <v>74</v>
      </c>
    </row>
    <row r="31798" spans="9:9" x14ac:dyDescent="0.2">
      <c r="I31798" s="137" t="s">
        <v>74</v>
      </c>
    </row>
    <row r="31799" spans="9:9" x14ac:dyDescent="0.2">
      <c r="I31799" s="137" t="s">
        <v>74</v>
      </c>
    </row>
    <row r="31800" spans="9:9" x14ac:dyDescent="0.2">
      <c r="I31800" s="137" t="s">
        <v>74</v>
      </c>
    </row>
    <row r="31801" spans="9:9" x14ac:dyDescent="0.2">
      <c r="I31801" s="137" t="s">
        <v>74</v>
      </c>
    </row>
    <row r="31802" spans="9:9" x14ac:dyDescent="0.2">
      <c r="I31802" s="137" t="s">
        <v>74</v>
      </c>
    </row>
    <row r="31803" spans="9:9" x14ac:dyDescent="0.2">
      <c r="I31803" s="137" t="s">
        <v>74</v>
      </c>
    </row>
    <row r="31804" spans="9:9" x14ac:dyDescent="0.2">
      <c r="I31804" s="137" t="s">
        <v>74</v>
      </c>
    </row>
    <row r="31805" spans="9:9" x14ac:dyDescent="0.2">
      <c r="I31805" s="137" t="s">
        <v>74</v>
      </c>
    </row>
    <row r="31806" spans="9:9" x14ac:dyDescent="0.2">
      <c r="I31806" s="137" t="s">
        <v>74</v>
      </c>
    </row>
    <row r="31807" spans="9:9" x14ac:dyDescent="0.2">
      <c r="I31807" s="137" t="s">
        <v>74</v>
      </c>
    </row>
    <row r="31808" spans="9:9" x14ac:dyDescent="0.2">
      <c r="I31808" s="137" t="s">
        <v>74</v>
      </c>
    </row>
    <row r="31809" spans="9:9" x14ac:dyDescent="0.2">
      <c r="I31809" s="137" t="s">
        <v>74</v>
      </c>
    </row>
    <row r="31810" spans="9:9" x14ac:dyDescent="0.2">
      <c r="I31810" s="137" t="s">
        <v>74</v>
      </c>
    </row>
    <row r="31811" spans="9:9" x14ac:dyDescent="0.2">
      <c r="I31811" s="137" t="s">
        <v>74</v>
      </c>
    </row>
    <row r="31812" spans="9:9" x14ac:dyDescent="0.2">
      <c r="I31812" s="137" t="s">
        <v>74</v>
      </c>
    </row>
    <row r="31813" spans="9:9" x14ac:dyDescent="0.2">
      <c r="I31813" s="137" t="s">
        <v>74</v>
      </c>
    </row>
    <row r="31814" spans="9:9" x14ac:dyDescent="0.2">
      <c r="I31814" s="137" t="s">
        <v>74</v>
      </c>
    </row>
    <row r="31815" spans="9:9" x14ac:dyDescent="0.2">
      <c r="I31815" s="137" t="s">
        <v>74</v>
      </c>
    </row>
    <row r="31816" spans="9:9" x14ac:dyDescent="0.2">
      <c r="I31816" s="137" t="s">
        <v>74</v>
      </c>
    </row>
    <row r="31817" spans="9:9" x14ac:dyDescent="0.2">
      <c r="I31817" s="137" t="s">
        <v>74</v>
      </c>
    </row>
    <row r="31818" spans="9:9" x14ac:dyDescent="0.2">
      <c r="I31818" s="137" t="s">
        <v>74</v>
      </c>
    </row>
    <row r="31819" spans="9:9" x14ac:dyDescent="0.2">
      <c r="I31819" s="137" t="s">
        <v>74</v>
      </c>
    </row>
    <row r="31820" spans="9:9" x14ac:dyDescent="0.2">
      <c r="I31820" s="137" t="s">
        <v>74</v>
      </c>
    </row>
    <row r="31821" spans="9:9" x14ac:dyDescent="0.2">
      <c r="I31821" s="137" t="s">
        <v>74</v>
      </c>
    </row>
    <row r="31822" spans="9:9" x14ac:dyDescent="0.2">
      <c r="I31822" s="137" t="s">
        <v>74</v>
      </c>
    </row>
    <row r="31823" spans="9:9" x14ac:dyDescent="0.2">
      <c r="I31823" s="137" t="s">
        <v>74</v>
      </c>
    </row>
    <row r="31824" spans="9:9" x14ac:dyDescent="0.2">
      <c r="I31824" s="137" t="s">
        <v>74</v>
      </c>
    </row>
    <row r="31825" spans="9:9" x14ac:dyDescent="0.2">
      <c r="I31825" s="137" t="s">
        <v>74</v>
      </c>
    </row>
    <row r="31826" spans="9:9" x14ac:dyDescent="0.2">
      <c r="I31826" s="137" t="s">
        <v>74</v>
      </c>
    </row>
    <row r="31827" spans="9:9" x14ac:dyDescent="0.2">
      <c r="I31827" s="137" t="s">
        <v>74</v>
      </c>
    </row>
    <row r="31828" spans="9:9" x14ac:dyDescent="0.2">
      <c r="I31828" s="137" t="s">
        <v>74</v>
      </c>
    </row>
    <row r="31829" spans="9:9" x14ac:dyDescent="0.2">
      <c r="I31829" s="137" t="s">
        <v>74</v>
      </c>
    </row>
    <row r="31830" spans="9:9" x14ac:dyDescent="0.2">
      <c r="I31830" s="137" t="s">
        <v>74</v>
      </c>
    </row>
    <row r="31831" spans="9:9" x14ac:dyDescent="0.2">
      <c r="I31831" s="137" t="s">
        <v>74</v>
      </c>
    </row>
    <row r="31832" spans="9:9" x14ac:dyDescent="0.2">
      <c r="I31832" s="137" t="s">
        <v>74</v>
      </c>
    </row>
    <row r="31833" spans="9:9" x14ac:dyDescent="0.2">
      <c r="I31833" s="137" t="s">
        <v>74</v>
      </c>
    </row>
    <row r="31834" spans="9:9" x14ac:dyDescent="0.2">
      <c r="I31834" s="137" t="s">
        <v>74</v>
      </c>
    </row>
    <row r="31835" spans="9:9" x14ac:dyDescent="0.2">
      <c r="I31835" s="137" t="s">
        <v>74</v>
      </c>
    </row>
    <row r="31836" spans="9:9" x14ac:dyDescent="0.2">
      <c r="I31836" s="137" t="s">
        <v>74</v>
      </c>
    </row>
    <row r="31837" spans="9:9" x14ac:dyDescent="0.2">
      <c r="I31837" s="137" t="s">
        <v>74</v>
      </c>
    </row>
    <row r="31838" spans="9:9" x14ac:dyDescent="0.2">
      <c r="I31838" s="137" t="s">
        <v>74</v>
      </c>
    </row>
    <row r="31839" spans="9:9" x14ac:dyDescent="0.2">
      <c r="I31839" s="137" t="s">
        <v>74</v>
      </c>
    </row>
    <row r="31840" spans="9:9" x14ac:dyDescent="0.2">
      <c r="I31840" s="137" t="s">
        <v>74</v>
      </c>
    </row>
    <row r="31841" spans="9:9" x14ac:dyDescent="0.2">
      <c r="I31841" s="137" t="s">
        <v>74</v>
      </c>
    </row>
    <row r="31842" spans="9:9" x14ac:dyDescent="0.2">
      <c r="I31842" s="137" t="s">
        <v>74</v>
      </c>
    </row>
    <row r="31843" spans="9:9" x14ac:dyDescent="0.2">
      <c r="I31843" s="137" t="s">
        <v>74</v>
      </c>
    </row>
    <row r="31844" spans="9:9" x14ac:dyDescent="0.2">
      <c r="I31844" s="137" t="s">
        <v>74</v>
      </c>
    </row>
    <row r="31845" spans="9:9" x14ac:dyDescent="0.2">
      <c r="I31845" s="137" t="s">
        <v>74</v>
      </c>
    </row>
    <row r="31846" spans="9:9" x14ac:dyDescent="0.2">
      <c r="I31846" s="137" t="s">
        <v>74</v>
      </c>
    </row>
    <row r="31847" spans="9:9" x14ac:dyDescent="0.2">
      <c r="I31847" s="137" t="s">
        <v>74</v>
      </c>
    </row>
    <row r="31848" spans="9:9" x14ac:dyDescent="0.2">
      <c r="I31848" s="137" t="s">
        <v>74</v>
      </c>
    </row>
    <row r="31849" spans="9:9" x14ac:dyDescent="0.2">
      <c r="I31849" s="137" t="s">
        <v>74</v>
      </c>
    </row>
    <row r="31850" spans="9:9" x14ac:dyDescent="0.2">
      <c r="I31850" s="137" t="s">
        <v>74</v>
      </c>
    </row>
    <row r="31851" spans="9:9" x14ac:dyDescent="0.2">
      <c r="I31851" s="137" t="s">
        <v>74</v>
      </c>
    </row>
    <row r="31852" spans="9:9" x14ac:dyDescent="0.2">
      <c r="I31852" s="137" t="s">
        <v>74</v>
      </c>
    </row>
    <row r="31853" spans="9:9" x14ac:dyDescent="0.2">
      <c r="I31853" s="137" t="s">
        <v>74</v>
      </c>
    </row>
    <row r="31854" spans="9:9" x14ac:dyDescent="0.2">
      <c r="I31854" s="137" t="s">
        <v>74</v>
      </c>
    </row>
    <row r="31855" spans="9:9" x14ac:dyDescent="0.2">
      <c r="I31855" s="137" t="s">
        <v>74</v>
      </c>
    </row>
    <row r="31856" spans="9:9" x14ac:dyDescent="0.2">
      <c r="I31856" s="137" t="s">
        <v>74</v>
      </c>
    </row>
    <row r="31857" spans="9:9" x14ac:dyDescent="0.2">
      <c r="I31857" s="137" t="s">
        <v>74</v>
      </c>
    </row>
    <row r="31858" spans="9:9" x14ac:dyDescent="0.2">
      <c r="I31858" s="137" t="s">
        <v>74</v>
      </c>
    </row>
    <row r="31859" spans="9:9" x14ac:dyDescent="0.2">
      <c r="I31859" s="137" t="s">
        <v>74</v>
      </c>
    </row>
    <row r="31860" spans="9:9" x14ac:dyDescent="0.2">
      <c r="I31860" s="137" t="s">
        <v>74</v>
      </c>
    </row>
    <row r="31861" spans="9:9" x14ac:dyDescent="0.2">
      <c r="I31861" s="137" t="s">
        <v>74</v>
      </c>
    </row>
    <row r="31862" spans="9:9" x14ac:dyDescent="0.2">
      <c r="I31862" s="137" t="s">
        <v>74</v>
      </c>
    </row>
    <row r="31863" spans="9:9" x14ac:dyDescent="0.2">
      <c r="I31863" s="137" t="s">
        <v>74</v>
      </c>
    </row>
    <row r="31864" spans="9:9" x14ac:dyDescent="0.2">
      <c r="I31864" s="137" t="s">
        <v>74</v>
      </c>
    </row>
    <row r="31865" spans="9:9" x14ac:dyDescent="0.2">
      <c r="I31865" s="137" t="s">
        <v>74</v>
      </c>
    </row>
    <row r="31866" spans="9:9" x14ac:dyDescent="0.2">
      <c r="I31866" s="137" t="s">
        <v>74</v>
      </c>
    </row>
    <row r="31867" spans="9:9" x14ac:dyDescent="0.2">
      <c r="I31867" s="137" t="s">
        <v>74</v>
      </c>
    </row>
    <row r="31868" spans="9:9" x14ac:dyDescent="0.2">
      <c r="I31868" s="137" t="s">
        <v>74</v>
      </c>
    </row>
    <row r="31869" spans="9:9" x14ac:dyDescent="0.2">
      <c r="I31869" s="137" t="s">
        <v>74</v>
      </c>
    </row>
    <row r="31870" spans="9:9" x14ac:dyDescent="0.2">
      <c r="I31870" s="137" t="s">
        <v>74</v>
      </c>
    </row>
    <row r="31871" spans="9:9" x14ac:dyDescent="0.2">
      <c r="I31871" s="137" t="s">
        <v>74</v>
      </c>
    </row>
    <row r="31872" spans="9:9" x14ac:dyDescent="0.2">
      <c r="I31872" s="137" t="s">
        <v>74</v>
      </c>
    </row>
    <row r="31873" spans="9:9" x14ac:dyDescent="0.2">
      <c r="I31873" s="137" t="s">
        <v>74</v>
      </c>
    </row>
    <row r="31874" spans="9:9" x14ac:dyDescent="0.2">
      <c r="I31874" s="137" t="s">
        <v>74</v>
      </c>
    </row>
    <row r="31875" spans="9:9" x14ac:dyDescent="0.2">
      <c r="I31875" s="137" t="s">
        <v>74</v>
      </c>
    </row>
    <row r="31876" spans="9:9" x14ac:dyDescent="0.2">
      <c r="I31876" s="137" t="s">
        <v>74</v>
      </c>
    </row>
    <row r="31877" spans="9:9" x14ac:dyDescent="0.2">
      <c r="I31877" s="137" t="s">
        <v>74</v>
      </c>
    </row>
    <row r="31878" spans="9:9" x14ac:dyDescent="0.2">
      <c r="I31878" s="137" t="s">
        <v>74</v>
      </c>
    </row>
    <row r="31879" spans="9:9" x14ac:dyDescent="0.2">
      <c r="I31879" s="137" t="s">
        <v>74</v>
      </c>
    </row>
    <row r="31880" spans="9:9" x14ac:dyDescent="0.2">
      <c r="I31880" s="137" t="s">
        <v>74</v>
      </c>
    </row>
    <row r="31881" spans="9:9" x14ac:dyDescent="0.2">
      <c r="I31881" s="137" t="s">
        <v>74</v>
      </c>
    </row>
    <row r="31882" spans="9:9" x14ac:dyDescent="0.2">
      <c r="I31882" s="137" t="s">
        <v>74</v>
      </c>
    </row>
    <row r="31883" spans="9:9" x14ac:dyDescent="0.2">
      <c r="I31883" s="137" t="s">
        <v>74</v>
      </c>
    </row>
    <row r="31884" spans="9:9" x14ac:dyDescent="0.2">
      <c r="I31884" s="137" t="s">
        <v>74</v>
      </c>
    </row>
    <row r="31885" spans="9:9" x14ac:dyDescent="0.2">
      <c r="I31885" s="137" t="s">
        <v>74</v>
      </c>
    </row>
    <row r="31886" spans="9:9" x14ac:dyDescent="0.2">
      <c r="I31886" s="137" t="s">
        <v>74</v>
      </c>
    </row>
    <row r="31887" spans="9:9" x14ac:dyDescent="0.2">
      <c r="I31887" s="137" t="s">
        <v>74</v>
      </c>
    </row>
    <row r="31888" spans="9:9" x14ac:dyDescent="0.2">
      <c r="I31888" s="137" t="s">
        <v>74</v>
      </c>
    </row>
    <row r="31889" spans="9:9" x14ac:dyDescent="0.2">
      <c r="I31889" s="137" t="s">
        <v>74</v>
      </c>
    </row>
    <row r="31890" spans="9:9" x14ac:dyDescent="0.2">
      <c r="I31890" s="137" t="s">
        <v>74</v>
      </c>
    </row>
    <row r="31891" spans="9:9" x14ac:dyDescent="0.2">
      <c r="I31891" s="137" t="s">
        <v>74</v>
      </c>
    </row>
    <row r="31892" spans="9:9" x14ac:dyDescent="0.2">
      <c r="I31892" s="137" t="s">
        <v>74</v>
      </c>
    </row>
    <row r="31893" spans="9:9" x14ac:dyDescent="0.2">
      <c r="I31893" s="137" t="s">
        <v>74</v>
      </c>
    </row>
    <row r="31894" spans="9:9" x14ac:dyDescent="0.2">
      <c r="I31894" s="137" t="s">
        <v>74</v>
      </c>
    </row>
    <row r="31895" spans="9:9" x14ac:dyDescent="0.2">
      <c r="I31895" s="137" t="s">
        <v>74</v>
      </c>
    </row>
    <row r="31896" spans="9:9" x14ac:dyDescent="0.2">
      <c r="I31896" s="137" t="s">
        <v>74</v>
      </c>
    </row>
    <row r="31897" spans="9:9" x14ac:dyDescent="0.2">
      <c r="I31897" s="137" t="s">
        <v>74</v>
      </c>
    </row>
    <row r="31898" spans="9:9" x14ac:dyDescent="0.2">
      <c r="I31898" s="137" t="s">
        <v>74</v>
      </c>
    </row>
    <row r="31899" spans="9:9" x14ac:dyDescent="0.2">
      <c r="I31899" s="137" t="s">
        <v>74</v>
      </c>
    </row>
    <row r="31900" spans="9:9" x14ac:dyDescent="0.2">
      <c r="I31900" s="137" t="s">
        <v>74</v>
      </c>
    </row>
    <row r="31901" spans="9:9" x14ac:dyDescent="0.2">
      <c r="I31901" s="137" t="s">
        <v>74</v>
      </c>
    </row>
    <row r="31902" spans="9:9" x14ac:dyDescent="0.2">
      <c r="I31902" s="137" t="s">
        <v>74</v>
      </c>
    </row>
    <row r="31903" spans="9:9" x14ac:dyDescent="0.2">
      <c r="I31903" s="137" t="s">
        <v>74</v>
      </c>
    </row>
    <row r="31904" spans="9:9" x14ac:dyDescent="0.2">
      <c r="I31904" s="137" t="s">
        <v>74</v>
      </c>
    </row>
    <row r="31905" spans="9:9" x14ac:dyDescent="0.2">
      <c r="I31905" s="137" t="s">
        <v>74</v>
      </c>
    </row>
    <row r="31906" spans="9:9" x14ac:dyDescent="0.2">
      <c r="I31906" s="137" t="s">
        <v>74</v>
      </c>
    </row>
    <row r="31907" spans="9:9" x14ac:dyDescent="0.2">
      <c r="I31907" s="137" t="s">
        <v>74</v>
      </c>
    </row>
    <row r="31908" spans="9:9" x14ac:dyDescent="0.2">
      <c r="I31908" s="137" t="s">
        <v>74</v>
      </c>
    </row>
    <row r="31909" spans="9:9" x14ac:dyDescent="0.2">
      <c r="I31909" s="137" t="s">
        <v>74</v>
      </c>
    </row>
    <row r="31910" spans="9:9" x14ac:dyDescent="0.2">
      <c r="I31910" s="137" t="s">
        <v>74</v>
      </c>
    </row>
    <row r="31911" spans="9:9" x14ac:dyDescent="0.2">
      <c r="I31911" s="137" t="s">
        <v>74</v>
      </c>
    </row>
    <row r="31912" spans="9:9" x14ac:dyDescent="0.2">
      <c r="I31912" s="137" t="s">
        <v>74</v>
      </c>
    </row>
    <row r="31913" spans="9:9" x14ac:dyDescent="0.2">
      <c r="I31913" s="137" t="s">
        <v>74</v>
      </c>
    </row>
    <row r="31914" spans="9:9" x14ac:dyDescent="0.2">
      <c r="I31914" s="137" t="s">
        <v>74</v>
      </c>
    </row>
    <row r="31915" spans="9:9" x14ac:dyDescent="0.2">
      <c r="I31915" s="137" t="s">
        <v>74</v>
      </c>
    </row>
    <row r="31916" spans="9:9" x14ac:dyDescent="0.2">
      <c r="I31916" s="137" t="s">
        <v>74</v>
      </c>
    </row>
    <row r="31917" spans="9:9" x14ac:dyDescent="0.2">
      <c r="I31917" s="137" t="s">
        <v>74</v>
      </c>
    </row>
    <row r="31918" spans="9:9" x14ac:dyDescent="0.2">
      <c r="I31918" s="137" t="s">
        <v>74</v>
      </c>
    </row>
    <row r="31919" spans="9:9" x14ac:dyDescent="0.2">
      <c r="I31919" s="137" t="s">
        <v>74</v>
      </c>
    </row>
    <row r="31920" spans="9:9" x14ac:dyDescent="0.2">
      <c r="I31920" s="137" t="s">
        <v>74</v>
      </c>
    </row>
    <row r="31921" spans="9:9" x14ac:dyDescent="0.2">
      <c r="I31921" s="137" t="s">
        <v>74</v>
      </c>
    </row>
    <row r="31922" spans="9:9" x14ac:dyDescent="0.2">
      <c r="I31922" s="137" t="s">
        <v>74</v>
      </c>
    </row>
    <row r="31923" spans="9:9" x14ac:dyDescent="0.2">
      <c r="I31923" s="137" t="s">
        <v>74</v>
      </c>
    </row>
    <row r="31924" spans="9:9" x14ac:dyDescent="0.2">
      <c r="I31924" s="137" t="s">
        <v>74</v>
      </c>
    </row>
    <row r="31925" spans="9:9" x14ac:dyDescent="0.2">
      <c r="I31925" s="137" t="s">
        <v>74</v>
      </c>
    </row>
    <row r="31926" spans="9:9" x14ac:dyDescent="0.2">
      <c r="I31926" s="137" t="s">
        <v>74</v>
      </c>
    </row>
    <row r="31927" spans="9:9" x14ac:dyDescent="0.2">
      <c r="I31927" s="137" t="s">
        <v>74</v>
      </c>
    </row>
    <row r="31928" spans="9:9" x14ac:dyDescent="0.2">
      <c r="I31928" s="137" t="s">
        <v>74</v>
      </c>
    </row>
    <row r="31929" spans="9:9" x14ac:dyDescent="0.2">
      <c r="I31929" s="137" t="s">
        <v>74</v>
      </c>
    </row>
    <row r="31930" spans="9:9" x14ac:dyDescent="0.2">
      <c r="I31930" s="137" t="s">
        <v>74</v>
      </c>
    </row>
    <row r="31931" spans="9:9" x14ac:dyDescent="0.2">
      <c r="I31931" s="137" t="s">
        <v>74</v>
      </c>
    </row>
    <row r="31932" spans="9:9" x14ac:dyDescent="0.2">
      <c r="I31932" s="137" t="s">
        <v>74</v>
      </c>
    </row>
    <row r="31933" spans="9:9" x14ac:dyDescent="0.2">
      <c r="I31933" s="137" t="s">
        <v>74</v>
      </c>
    </row>
    <row r="31934" spans="9:9" x14ac:dyDescent="0.2">
      <c r="I31934" s="137" t="s">
        <v>74</v>
      </c>
    </row>
    <row r="31935" spans="9:9" x14ac:dyDescent="0.2">
      <c r="I31935" s="137" t="s">
        <v>74</v>
      </c>
    </row>
    <row r="31936" spans="9:9" x14ac:dyDescent="0.2">
      <c r="I31936" s="137" t="s">
        <v>74</v>
      </c>
    </row>
    <row r="31937" spans="9:9" x14ac:dyDescent="0.2">
      <c r="I31937" s="137" t="s">
        <v>74</v>
      </c>
    </row>
    <row r="31938" spans="9:9" x14ac:dyDescent="0.2">
      <c r="I31938" s="137" t="s">
        <v>74</v>
      </c>
    </row>
    <row r="31939" spans="9:9" x14ac:dyDescent="0.2">
      <c r="I31939" s="137" t="s">
        <v>74</v>
      </c>
    </row>
    <row r="31940" spans="9:9" x14ac:dyDescent="0.2">
      <c r="I31940" s="137" t="s">
        <v>74</v>
      </c>
    </row>
    <row r="31941" spans="9:9" x14ac:dyDescent="0.2">
      <c r="I31941" s="137" t="s">
        <v>74</v>
      </c>
    </row>
    <row r="31942" spans="9:9" x14ac:dyDescent="0.2">
      <c r="I31942" s="137" t="s">
        <v>74</v>
      </c>
    </row>
    <row r="31943" spans="9:9" x14ac:dyDescent="0.2">
      <c r="I31943" s="137" t="s">
        <v>74</v>
      </c>
    </row>
    <row r="31944" spans="9:9" x14ac:dyDescent="0.2">
      <c r="I31944" s="137" t="s">
        <v>74</v>
      </c>
    </row>
    <row r="31945" spans="9:9" x14ac:dyDescent="0.2">
      <c r="I31945" s="137" t="s">
        <v>74</v>
      </c>
    </row>
    <row r="31946" spans="9:9" x14ac:dyDescent="0.2">
      <c r="I31946" s="137" t="s">
        <v>74</v>
      </c>
    </row>
    <row r="31947" spans="9:9" x14ac:dyDescent="0.2">
      <c r="I31947" s="137" t="s">
        <v>74</v>
      </c>
    </row>
    <row r="31948" spans="9:9" x14ac:dyDescent="0.2">
      <c r="I31948" s="137" t="s">
        <v>74</v>
      </c>
    </row>
    <row r="31949" spans="9:9" x14ac:dyDescent="0.2">
      <c r="I31949" s="137" t="s">
        <v>74</v>
      </c>
    </row>
    <row r="31950" spans="9:9" x14ac:dyDescent="0.2">
      <c r="I31950" s="137" t="s">
        <v>74</v>
      </c>
    </row>
    <row r="31951" spans="9:9" x14ac:dyDescent="0.2">
      <c r="I31951" s="137" t="s">
        <v>74</v>
      </c>
    </row>
    <row r="31952" spans="9:9" x14ac:dyDescent="0.2">
      <c r="I31952" s="137" t="s">
        <v>74</v>
      </c>
    </row>
    <row r="31953" spans="9:9" x14ac:dyDescent="0.2">
      <c r="I31953" s="137" t="s">
        <v>74</v>
      </c>
    </row>
    <row r="31954" spans="9:9" x14ac:dyDescent="0.2">
      <c r="I31954" s="137" t="s">
        <v>74</v>
      </c>
    </row>
    <row r="31955" spans="9:9" x14ac:dyDescent="0.2">
      <c r="I31955" s="137" t="s">
        <v>74</v>
      </c>
    </row>
    <row r="31956" spans="9:9" x14ac:dyDescent="0.2">
      <c r="I31956" s="137" t="s">
        <v>74</v>
      </c>
    </row>
    <row r="31957" spans="9:9" x14ac:dyDescent="0.2">
      <c r="I31957" s="137" t="s">
        <v>74</v>
      </c>
    </row>
    <row r="31958" spans="9:9" x14ac:dyDescent="0.2">
      <c r="I31958" s="137" t="s">
        <v>74</v>
      </c>
    </row>
    <row r="31959" spans="9:9" x14ac:dyDescent="0.2">
      <c r="I31959" s="137" t="s">
        <v>74</v>
      </c>
    </row>
    <row r="31960" spans="9:9" x14ac:dyDescent="0.2">
      <c r="I31960" s="137" t="s">
        <v>74</v>
      </c>
    </row>
    <row r="31961" spans="9:9" x14ac:dyDescent="0.2">
      <c r="I31961" s="137" t="s">
        <v>74</v>
      </c>
    </row>
    <row r="31962" spans="9:9" x14ac:dyDescent="0.2">
      <c r="I31962" s="137" t="s">
        <v>74</v>
      </c>
    </row>
    <row r="31963" spans="9:9" x14ac:dyDescent="0.2">
      <c r="I31963" s="137" t="s">
        <v>74</v>
      </c>
    </row>
    <row r="31964" spans="9:9" x14ac:dyDescent="0.2">
      <c r="I31964" s="137" t="s">
        <v>74</v>
      </c>
    </row>
    <row r="31965" spans="9:9" x14ac:dyDescent="0.2">
      <c r="I31965" s="137" t="s">
        <v>74</v>
      </c>
    </row>
    <row r="31966" spans="9:9" x14ac:dyDescent="0.2">
      <c r="I31966" s="137" t="s">
        <v>74</v>
      </c>
    </row>
    <row r="31967" spans="9:9" x14ac:dyDescent="0.2">
      <c r="I31967" s="137" t="s">
        <v>74</v>
      </c>
    </row>
    <row r="31968" spans="9:9" x14ac:dyDescent="0.2">
      <c r="I31968" s="137" t="s">
        <v>74</v>
      </c>
    </row>
    <row r="31969" spans="9:9" x14ac:dyDescent="0.2">
      <c r="I31969" s="137" t="s">
        <v>74</v>
      </c>
    </row>
    <row r="31970" spans="9:9" x14ac:dyDescent="0.2">
      <c r="I31970" s="137" t="s">
        <v>74</v>
      </c>
    </row>
    <row r="31971" spans="9:9" x14ac:dyDescent="0.2">
      <c r="I31971" s="137" t="s">
        <v>74</v>
      </c>
    </row>
    <row r="31972" spans="9:9" x14ac:dyDescent="0.2">
      <c r="I31972" s="137" t="s">
        <v>74</v>
      </c>
    </row>
    <row r="31973" spans="9:9" x14ac:dyDescent="0.2">
      <c r="I31973" s="137" t="s">
        <v>74</v>
      </c>
    </row>
    <row r="31974" spans="9:9" x14ac:dyDescent="0.2">
      <c r="I31974" s="137" t="s">
        <v>74</v>
      </c>
    </row>
    <row r="31975" spans="9:9" x14ac:dyDescent="0.2">
      <c r="I31975" s="137" t="s">
        <v>74</v>
      </c>
    </row>
    <row r="31976" spans="9:9" x14ac:dyDescent="0.2">
      <c r="I31976" s="137" t="s">
        <v>74</v>
      </c>
    </row>
    <row r="31977" spans="9:9" x14ac:dyDescent="0.2">
      <c r="I31977" s="137" t="s">
        <v>74</v>
      </c>
    </row>
    <row r="31978" spans="9:9" x14ac:dyDescent="0.2">
      <c r="I31978" s="137" t="s">
        <v>74</v>
      </c>
    </row>
    <row r="31979" spans="9:9" x14ac:dyDescent="0.2">
      <c r="I31979" s="137" t="s">
        <v>74</v>
      </c>
    </row>
    <row r="31980" spans="9:9" x14ac:dyDescent="0.2">
      <c r="I31980" s="137" t="s">
        <v>74</v>
      </c>
    </row>
    <row r="31981" spans="9:9" x14ac:dyDescent="0.2">
      <c r="I31981" s="137" t="s">
        <v>74</v>
      </c>
    </row>
    <row r="31982" spans="9:9" x14ac:dyDescent="0.2">
      <c r="I31982" s="137" t="s">
        <v>74</v>
      </c>
    </row>
    <row r="31983" spans="9:9" x14ac:dyDescent="0.2">
      <c r="I31983" s="137" t="s">
        <v>74</v>
      </c>
    </row>
    <row r="31984" spans="9:9" x14ac:dyDescent="0.2">
      <c r="I31984" s="137" t="s">
        <v>74</v>
      </c>
    </row>
    <row r="31985" spans="9:9" x14ac:dyDescent="0.2">
      <c r="I31985" s="137" t="s">
        <v>74</v>
      </c>
    </row>
    <row r="31986" spans="9:9" x14ac:dyDescent="0.2">
      <c r="I31986" s="137" t="s">
        <v>74</v>
      </c>
    </row>
    <row r="31987" spans="9:9" x14ac:dyDescent="0.2">
      <c r="I31987" s="137" t="s">
        <v>74</v>
      </c>
    </row>
    <row r="31988" spans="9:9" x14ac:dyDescent="0.2">
      <c r="I31988" s="137" t="s">
        <v>74</v>
      </c>
    </row>
    <row r="31989" spans="9:9" x14ac:dyDescent="0.2">
      <c r="I31989" s="137" t="s">
        <v>74</v>
      </c>
    </row>
    <row r="31990" spans="9:9" x14ac:dyDescent="0.2">
      <c r="I31990" s="137" t="s">
        <v>74</v>
      </c>
    </row>
    <row r="31991" spans="9:9" x14ac:dyDescent="0.2">
      <c r="I31991" s="137" t="s">
        <v>74</v>
      </c>
    </row>
    <row r="31992" spans="9:9" x14ac:dyDescent="0.2">
      <c r="I31992" s="137" t="s">
        <v>74</v>
      </c>
    </row>
    <row r="31993" spans="9:9" x14ac:dyDescent="0.2">
      <c r="I31993" s="137" t="s">
        <v>74</v>
      </c>
    </row>
    <row r="31994" spans="9:9" x14ac:dyDescent="0.2">
      <c r="I31994" s="137" t="s">
        <v>74</v>
      </c>
    </row>
    <row r="31995" spans="9:9" x14ac:dyDescent="0.2">
      <c r="I31995" s="137" t="s">
        <v>74</v>
      </c>
    </row>
    <row r="31996" spans="9:9" x14ac:dyDescent="0.2">
      <c r="I31996" s="137" t="s">
        <v>74</v>
      </c>
    </row>
    <row r="31997" spans="9:9" x14ac:dyDescent="0.2">
      <c r="I31997" s="137" t="s">
        <v>74</v>
      </c>
    </row>
    <row r="31998" spans="9:9" x14ac:dyDescent="0.2">
      <c r="I31998" s="137" t="s">
        <v>74</v>
      </c>
    </row>
    <row r="31999" spans="9:9" x14ac:dyDescent="0.2">
      <c r="I31999" s="137" t="s">
        <v>74</v>
      </c>
    </row>
    <row r="32000" spans="9:9" x14ac:dyDescent="0.2">
      <c r="I32000" s="137" t="s">
        <v>74</v>
      </c>
    </row>
    <row r="32001" spans="9:9" x14ac:dyDescent="0.2">
      <c r="I32001" s="137" t="s">
        <v>74</v>
      </c>
    </row>
    <row r="32002" spans="9:9" x14ac:dyDescent="0.2">
      <c r="I32002" s="137" t="s">
        <v>74</v>
      </c>
    </row>
    <row r="32003" spans="9:9" x14ac:dyDescent="0.2">
      <c r="I32003" s="137" t="s">
        <v>74</v>
      </c>
    </row>
    <row r="32004" spans="9:9" x14ac:dyDescent="0.2">
      <c r="I32004" s="137" t="s">
        <v>74</v>
      </c>
    </row>
    <row r="32005" spans="9:9" x14ac:dyDescent="0.2">
      <c r="I32005" s="137" t="s">
        <v>74</v>
      </c>
    </row>
    <row r="32006" spans="9:9" x14ac:dyDescent="0.2">
      <c r="I32006" s="137" t="s">
        <v>74</v>
      </c>
    </row>
    <row r="32007" spans="9:9" x14ac:dyDescent="0.2">
      <c r="I32007" s="137" t="s">
        <v>74</v>
      </c>
    </row>
    <row r="32008" spans="9:9" x14ac:dyDescent="0.2">
      <c r="I32008" s="137" t="s">
        <v>74</v>
      </c>
    </row>
    <row r="32009" spans="9:9" x14ac:dyDescent="0.2">
      <c r="I32009" s="137" t="s">
        <v>74</v>
      </c>
    </row>
    <row r="32010" spans="9:9" x14ac:dyDescent="0.2">
      <c r="I32010" s="137" t="s">
        <v>74</v>
      </c>
    </row>
    <row r="32011" spans="9:9" x14ac:dyDescent="0.2">
      <c r="I32011" s="137" t="s">
        <v>74</v>
      </c>
    </row>
    <row r="32012" spans="9:9" x14ac:dyDescent="0.2">
      <c r="I32012" s="137" t="s">
        <v>74</v>
      </c>
    </row>
    <row r="32013" spans="9:9" x14ac:dyDescent="0.2">
      <c r="I32013" s="137" t="s">
        <v>74</v>
      </c>
    </row>
    <row r="32014" spans="9:9" x14ac:dyDescent="0.2">
      <c r="I32014" s="137" t="s">
        <v>74</v>
      </c>
    </row>
    <row r="32015" spans="9:9" x14ac:dyDescent="0.2">
      <c r="I32015" s="137" t="s">
        <v>74</v>
      </c>
    </row>
    <row r="32016" spans="9:9" x14ac:dyDescent="0.2">
      <c r="I32016" s="137" t="s">
        <v>74</v>
      </c>
    </row>
    <row r="32017" spans="9:9" x14ac:dyDescent="0.2">
      <c r="I32017" s="137" t="s">
        <v>74</v>
      </c>
    </row>
    <row r="32018" spans="9:9" x14ac:dyDescent="0.2">
      <c r="I32018" s="137" t="s">
        <v>74</v>
      </c>
    </row>
    <row r="32019" spans="9:9" x14ac:dyDescent="0.2">
      <c r="I32019" s="137" t="s">
        <v>74</v>
      </c>
    </row>
    <row r="32020" spans="9:9" x14ac:dyDescent="0.2">
      <c r="I32020" s="137" t="s">
        <v>74</v>
      </c>
    </row>
    <row r="32021" spans="9:9" x14ac:dyDescent="0.2">
      <c r="I32021" s="137" t="s">
        <v>74</v>
      </c>
    </row>
    <row r="32022" spans="9:9" x14ac:dyDescent="0.2">
      <c r="I32022" s="137" t="s">
        <v>74</v>
      </c>
    </row>
    <row r="32023" spans="9:9" x14ac:dyDescent="0.2">
      <c r="I32023" s="137" t="s">
        <v>74</v>
      </c>
    </row>
    <row r="32024" spans="9:9" x14ac:dyDescent="0.2">
      <c r="I32024" s="137" t="s">
        <v>74</v>
      </c>
    </row>
    <row r="32025" spans="9:9" x14ac:dyDescent="0.2">
      <c r="I32025" s="137" t="s">
        <v>74</v>
      </c>
    </row>
    <row r="32026" spans="9:9" x14ac:dyDescent="0.2">
      <c r="I32026" s="137" t="s">
        <v>74</v>
      </c>
    </row>
    <row r="32027" spans="9:9" x14ac:dyDescent="0.2">
      <c r="I32027" s="137" t="s">
        <v>74</v>
      </c>
    </row>
    <row r="32028" spans="9:9" x14ac:dyDescent="0.2">
      <c r="I32028" s="137" t="s">
        <v>74</v>
      </c>
    </row>
    <row r="32029" spans="9:9" x14ac:dyDescent="0.2">
      <c r="I32029" s="137" t="s">
        <v>74</v>
      </c>
    </row>
    <row r="32030" spans="9:9" x14ac:dyDescent="0.2">
      <c r="I32030" s="137" t="s">
        <v>74</v>
      </c>
    </row>
    <row r="32031" spans="9:9" x14ac:dyDescent="0.2">
      <c r="I32031" s="137" t="s">
        <v>74</v>
      </c>
    </row>
    <row r="32032" spans="9:9" x14ac:dyDescent="0.2">
      <c r="I32032" s="137" t="s">
        <v>74</v>
      </c>
    </row>
    <row r="32033" spans="9:9" x14ac:dyDescent="0.2">
      <c r="I32033" s="137" t="s">
        <v>74</v>
      </c>
    </row>
    <row r="32034" spans="9:9" x14ac:dyDescent="0.2">
      <c r="I32034" s="137" t="s">
        <v>74</v>
      </c>
    </row>
    <row r="32035" spans="9:9" x14ac:dyDescent="0.2">
      <c r="I32035" s="137" t="s">
        <v>74</v>
      </c>
    </row>
    <row r="32036" spans="9:9" x14ac:dyDescent="0.2">
      <c r="I32036" s="137" t="s">
        <v>74</v>
      </c>
    </row>
    <row r="32037" spans="9:9" x14ac:dyDescent="0.2">
      <c r="I32037" s="137" t="s">
        <v>74</v>
      </c>
    </row>
    <row r="32038" spans="9:9" x14ac:dyDescent="0.2">
      <c r="I32038" s="137" t="s">
        <v>74</v>
      </c>
    </row>
    <row r="32039" spans="9:9" x14ac:dyDescent="0.2">
      <c r="I32039" s="137" t="s">
        <v>74</v>
      </c>
    </row>
    <row r="32040" spans="9:9" x14ac:dyDescent="0.2">
      <c r="I32040" s="137" t="s">
        <v>74</v>
      </c>
    </row>
    <row r="32041" spans="9:9" x14ac:dyDescent="0.2">
      <c r="I32041" s="137" t="s">
        <v>74</v>
      </c>
    </row>
    <row r="32042" spans="9:9" x14ac:dyDescent="0.2">
      <c r="I32042" s="137" t="s">
        <v>74</v>
      </c>
    </row>
    <row r="32043" spans="9:9" x14ac:dyDescent="0.2">
      <c r="I32043" s="137" t="s">
        <v>74</v>
      </c>
    </row>
    <row r="32044" spans="9:9" x14ac:dyDescent="0.2">
      <c r="I32044" s="137" t="s">
        <v>74</v>
      </c>
    </row>
    <row r="32045" spans="9:9" x14ac:dyDescent="0.2">
      <c r="I32045" s="137" t="s">
        <v>74</v>
      </c>
    </row>
    <row r="32046" spans="9:9" x14ac:dyDescent="0.2">
      <c r="I32046" s="137" t="s">
        <v>74</v>
      </c>
    </row>
    <row r="32047" spans="9:9" x14ac:dyDescent="0.2">
      <c r="I32047" s="137" t="s">
        <v>74</v>
      </c>
    </row>
    <row r="32048" spans="9:9" x14ac:dyDescent="0.2">
      <c r="I32048" s="137" t="s">
        <v>74</v>
      </c>
    </row>
    <row r="32049" spans="9:9" x14ac:dyDescent="0.2">
      <c r="I32049" s="137" t="s">
        <v>74</v>
      </c>
    </row>
    <row r="32050" spans="9:9" x14ac:dyDescent="0.2">
      <c r="I32050" s="137" t="s">
        <v>74</v>
      </c>
    </row>
    <row r="32051" spans="9:9" x14ac:dyDescent="0.2">
      <c r="I32051" s="137" t="s">
        <v>74</v>
      </c>
    </row>
    <row r="32052" spans="9:9" x14ac:dyDescent="0.2">
      <c r="I32052" s="137" t="s">
        <v>74</v>
      </c>
    </row>
    <row r="32053" spans="9:9" x14ac:dyDescent="0.2">
      <c r="I32053" s="137" t="s">
        <v>74</v>
      </c>
    </row>
    <row r="32054" spans="9:9" x14ac:dyDescent="0.2">
      <c r="I32054" s="137" t="s">
        <v>74</v>
      </c>
    </row>
    <row r="32055" spans="9:9" x14ac:dyDescent="0.2">
      <c r="I32055" s="137" t="s">
        <v>74</v>
      </c>
    </row>
    <row r="32056" spans="9:9" x14ac:dyDescent="0.2">
      <c r="I32056" s="137" t="s">
        <v>74</v>
      </c>
    </row>
    <row r="32057" spans="9:9" x14ac:dyDescent="0.2">
      <c r="I32057" s="137" t="s">
        <v>74</v>
      </c>
    </row>
    <row r="32058" spans="9:9" x14ac:dyDescent="0.2">
      <c r="I32058" s="137" t="s">
        <v>74</v>
      </c>
    </row>
    <row r="32059" spans="9:9" x14ac:dyDescent="0.2">
      <c r="I32059" s="137" t="s">
        <v>74</v>
      </c>
    </row>
    <row r="32060" spans="9:9" x14ac:dyDescent="0.2">
      <c r="I32060" s="137" t="s">
        <v>74</v>
      </c>
    </row>
    <row r="32061" spans="9:9" x14ac:dyDescent="0.2">
      <c r="I32061" s="137" t="s">
        <v>74</v>
      </c>
    </row>
    <row r="32062" spans="9:9" x14ac:dyDescent="0.2">
      <c r="I32062" s="137" t="s">
        <v>74</v>
      </c>
    </row>
    <row r="32063" spans="9:9" x14ac:dyDescent="0.2">
      <c r="I32063" s="137" t="s">
        <v>74</v>
      </c>
    </row>
    <row r="32064" spans="9:9" x14ac:dyDescent="0.2">
      <c r="I32064" s="137" t="s">
        <v>74</v>
      </c>
    </row>
    <row r="32065" spans="9:9" x14ac:dyDescent="0.2">
      <c r="I32065" s="137" t="s">
        <v>74</v>
      </c>
    </row>
    <row r="32066" spans="9:9" x14ac:dyDescent="0.2">
      <c r="I32066" s="137" t="s">
        <v>74</v>
      </c>
    </row>
    <row r="32067" spans="9:9" x14ac:dyDescent="0.2">
      <c r="I32067" s="137" t="s">
        <v>74</v>
      </c>
    </row>
    <row r="32068" spans="9:9" x14ac:dyDescent="0.2">
      <c r="I32068" s="137" t="s">
        <v>74</v>
      </c>
    </row>
    <row r="32069" spans="9:9" x14ac:dyDescent="0.2">
      <c r="I32069" s="137" t="s">
        <v>74</v>
      </c>
    </row>
    <row r="32070" spans="9:9" x14ac:dyDescent="0.2">
      <c r="I32070" s="137" t="s">
        <v>74</v>
      </c>
    </row>
    <row r="32071" spans="9:9" x14ac:dyDescent="0.2">
      <c r="I32071" s="137" t="s">
        <v>74</v>
      </c>
    </row>
    <row r="32072" spans="9:9" x14ac:dyDescent="0.2">
      <c r="I32072" s="137" t="s">
        <v>74</v>
      </c>
    </row>
    <row r="32073" spans="9:9" x14ac:dyDescent="0.2">
      <c r="I32073" s="137" t="s">
        <v>74</v>
      </c>
    </row>
    <row r="32074" spans="9:9" x14ac:dyDescent="0.2">
      <c r="I32074" s="137" t="s">
        <v>74</v>
      </c>
    </row>
    <row r="32075" spans="9:9" x14ac:dyDescent="0.2">
      <c r="I32075" s="137" t="s">
        <v>74</v>
      </c>
    </row>
    <row r="32076" spans="9:9" x14ac:dyDescent="0.2">
      <c r="I32076" s="137" t="s">
        <v>74</v>
      </c>
    </row>
    <row r="32077" spans="9:9" x14ac:dyDescent="0.2">
      <c r="I32077" s="137" t="s">
        <v>74</v>
      </c>
    </row>
    <row r="32078" spans="9:9" x14ac:dyDescent="0.2">
      <c r="I32078" s="137" t="s">
        <v>74</v>
      </c>
    </row>
    <row r="32079" spans="9:9" x14ac:dyDescent="0.2">
      <c r="I32079" s="137" t="s">
        <v>74</v>
      </c>
    </row>
    <row r="32080" spans="9:9" x14ac:dyDescent="0.2">
      <c r="I32080" s="137" t="s">
        <v>74</v>
      </c>
    </row>
    <row r="32081" spans="9:9" x14ac:dyDescent="0.2">
      <c r="I32081" s="137" t="s">
        <v>74</v>
      </c>
    </row>
    <row r="32082" spans="9:9" x14ac:dyDescent="0.2">
      <c r="I32082" s="137" t="s">
        <v>74</v>
      </c>
    </row>
    <row r="32083" spans="9:9" x14ac:dyDescent="0.2">
      <c r="I32083" s="137" t="s">
        <v>74</v>
      </c>
    </row>
    <row r="32084" spans="9:9" x14ac:dyDescent="0.2">
      <c r="I32084" s="137" t="s">
        <v>74</v>
      </c>
    </row>
    <row r="32085" spans="9:9" x14ac:dyDescent="0.2">
      <c r="I32085" s="137" t="s">
        <v>74</v>
      </c>
    </row>
    <row r="32086" spans="9:9" x14ac:dyDescent="0.2">
      <c r="I32086" s="137" t="s">
        <v>74</v>
      </c>
    </row>
    <row r="32087" spans="9:9" x14ac:dyDescent="0.2">
      <c r="I32087" s="137" t="s">
        <v>74</v>
      </c>
    </row>
    <row r="32088" spans="9:9" x14ac:dyDescent="0.2">
      <c r="I32088" s="137" t="s">
        <v>74</v>
      </c>
    </row>
    <row r="32089" spans="9:9" x14ac:dyDescent="0.2">
      <c r="I32089" s="137" t="s">
        <v>74</v>
      </c>
    </row>
    <row r="32090" spans="9:9" x14ac:dyDescent="0.2">
      <c r="I32090" s="137" t="s">
        <v>74</v>
      </c>
    </row>
    <row r="32091" spans="9:9" x14ac:dyDescent="0.2">
      <c r="I32091" s="137" t="s">
        <v>74</v>
      </c>
    </row>
    <row r="32092" spans="9:9" x14ac:dyDescent="0.2">
      <c r="I32092" s="137" t="s">
        <v>74</v>
      </c>
    </row>
    <row r="32093" spans="9:9" x14ac:dyDescent="0.2">
      <c r="I32093" s="137" t="s">
        <v>74</v>
      </c>
    </row>
    <row r="32094" spans="9:9" x14ac:dyDescent="0.2">
      <c r="I32094" s="137" t="s">
        <v>74</v>
      </c>
    </row>
    <row r="32095" spans="9:9" x14ac:dyDescent="0.2">
      <c r="I32095" s="137" t="s">
        <v>74</v>
      </c>
    </row>
    <row r="32096" spans="9:9" x14ac:dyDescent="0.2">
      <c r="I32096" s="137" t="s">
        <v>74</v>
      </c>
    </row>
    <row r="32097" spans="9:9" x14ac:dyDescent="0.2">
      <c r="I32097" s="137" t="s">
        <v>74</v>
      </c>
    </row>
    <row r="32098" spans="9:9" x14ac:dyDescent="0.2">
      <c r="I32098" s="137" t="s">
        <v>74</v>
      </c>
    </row>
    <row r="32099" spans="9:9" x14ac:dyDescent="0.2">
      <c r="I32099" s="137" t="s">
        <v>74</v>
      </c>
    </row>
    <row r="32100" spans="9:9" x14ac:dyDescent="0.2">
      <c r="I32100" s="137" t="s">
        <v>74</v>
      </c>
    </row>
    <row r="32101" spans="9:9" x14ac:dyDescent="0.2">
      <c r="I32101" s="137" t="s">
        <v>74</v>
      </c>
    </row>
    <row r="32102" spans="9:9" x14ac:dyDescent="0.2">
      <c r="I32102" s="137" t="s">
        <v>74</v>
      </c>
    </row>
    <row r="32103" spans="9:9" x14ac:dyDescent="0.2">
      <c r="I32103" s="137" t="s">
        <v>74</v>
      </c>
    </row>
    <row r="32104" spans="9:9" x14ac:dyDescent="0.2">
      <c r="I32104" s="137" t="s">
        <v>74</v>
      </c>
    </row>
    <row r="32105" spans="9:9" x14ac:dyDescent="0.2">
      <c r="I32105" s="137" t="s">
        <v>74</v>
      </c>
    </row>
    <row r="32106" spans="9:9" x14ac:dyDescent="0.2">
      <c r="I32106" s="137" t="s">
        <v>74</v>
      </c>
    </row>
    <row r="32107" spans="9:9" x14ac:dyDescent="0.2">
      <c r="I32107" s="137" t="s">
        <v>74</v>
      </c>
    </row>
    <row r="32108" spans="9:9" x14ac:dyDescent="0.2">
      <c r="I32108" s="137" t="s">
        <v>74</v>
      </c>
    </row>
    <row r="32109" spans="9:9" x14ac:dyDescent="0.2">
      <c r="I32109" s="137" t="s">
        <v>74</v>
      </c>
    </row>
    <row r="32110" spans="9:9" x14ac:dyDescent="0.2">
      <c r="I32110" s="137" t="s">
        <v>74</v>
      </c>
    </row>
    <row r="32111" spans="9:9" x14ac:dyDescent="0.2">
      <c r="I32111" s="137" t="s">
        <v>74</v>
      </c>
    </row>
    <row r="32112" spans="9:9" x14ac:dyDescent="0.2">
      <c r="I32112" s="137" t="s">
        <v>74</v>
      </c>
    </row>
    <row r="32113" spans="9:9" x14ac:dyDescent="0.2">
      <c r="I32113" s="137" t="s">
        <v>74</v>
      </c>
    </row>
    <row r="32114" spans="9:9" x14ac:dyDescent="0.2">
      <c r="I32114" s="137" t="s">
        <v>74</v>
      </c>
    </row>
    <row r="32115" spans="9:9" x14ac:dyDescent="0.2">
      <c r="I32115" s="137" t="s">
        <v>74</v>
      </c>
    </row>
    <row r="32116" spans="9:9" x14ac:dyDescent="0.2">
      <c r="I32116" s="137" t="s">
        <v>74</v>
      </c>
    </row>
    <row r="32117" spans="9:9" x14ac:dyDescent="0.2">
      <c r="I32117" s="137" t="s">
        <v>74</v>
      </c>
    </row>
    <row r="32118" spans="9:9" x14ac:dyDescent="0.2">
      <c r="I32118" s="137" t="s">
        <v>74</v>
      </c>
    </row>
    <row r="32119" spans="9:9" x14ac:dyDescent="0.2">
      <c r="I32119" s="137" t="s">
        <v>74</v>
      </c>
    </row>
    <row r="32120" spans="9:9" x14ac:dyDescent="0.2">
      <c r="I32120" s="137" t="s">
        <v>74</v>
      </c>
    </row>
    <row r="32121" spans="9:9" x14ac:dyDescent="0.2">
      <c r="I32121" s="137" t="s">
        <v>74</v>
      </c>
    </row>
    <row r="32122" spans="9:9" x14ac:dyDescent="0.2">
      <c r="I32122" s="137" t="s">
        <v>74</v>
      </c>
    </row>
    <row r="32123" spans="9:9" x14ac:dyDescent="0.2">
      <c r="I32123" s="137" t="s">
        <v>74</v>
      </c>
    </row>
    <row r="32124" spans="9:9" x14ac:dyDescent="0.2">
      <c r="I32124" s="137" t="s">
        <v>74</v>
      </c>
    </row>
    <row r="32125" spans="9:9" x14ac:dyDescent="0.2">
      <c r="I32125" s="137" t="s">
        <v>74</v>
      </c>
    </row>
    <row r="32126" spans="9:9" x14ac:dyDescent="0.2">
      <c r="I32126" s="137" t="s">
        <v>74</v>
      </c>
    </row>
    <row r="32127" spans="9:9" x14ac:dyDescent="0.2">
      <c r="I32127" s="137" t="s">
        <v>74</v>
      </c>
    </row>
    <row r="32128" spans="9:9" x14ac:dyDescent="0.2">
      <c r="I32128" s="137" t="s">
        <v>74</v>
      </c>
    </row>
    <row r="32129" spans="9:9" x14ac:dyDescent="0.2">
      <c r="I32129" s="137" t="s">
        <v>74</v>
      </c>
    </row>
    <row r="32130" spans="9:9" x14ac:dyDescent="0.2">
      <c r="I32130" s="137" t="s">
        <v>74</v>
      </c>
    </row>
    <row r="32131" spans="9:9" x14ac:dyDescent="0.2">
      <c r="I32131" s="137" t="s">
        <v>74</v>
      </c>
    </row>
    <row r="32132" spans="9:9" x14ac:dyDescent="0.2">
      <c r="I32132" s="137" t="s">
        <v>74</v>
      </c>
    </row>
    <row r="32133" spans="9:9" x14ac:dyDescent="0.2">
      <c r="I32133" s="137" t="s">
        <v>74</v>
      </c>
    </row>
    <row r="32134" spans="9:9" x14ac:dyDescent="0.2">
      <c r="I32134" s="137" t="s">
        <v>74</v>
      </c>
    </row>
    <row r="32135" spans="9:9" x14ac:dyDescent="0.2">
      <c r="I32135" s="137" t="s">
        <v>74</v>
      </c>
    </row>
    <row r="32136" spans="9:9" x14ac:dyDescent="0.2">
      <c r="I32136" s="137" t="s">
        <v>74</v>
      </c>
    </row>
    <row r="32137" spans="9:9" x14ac:dyDescent="0.2">
      <c r="I32137" s="137" t="s">
        <v>74</v>
      </c>
    </row>
    <row r="32138" spans="9:9" x14ac:dyDescent="0.2">
      <c r="I32138" s="137" t="s">
        <v>74</v>
      </c>
    </row>
    <row r="32139" spans="9:9" x14ac:dyDescent="0.2">
      <c r="I32139" s="137" t="s">
        <v>74</v>
      </c>
    </row>
    <row r="32140" spans="9:9" x14ac:dyDescent="0.2">
      <c r="I32140" s="137" t="s">
        <v>74</v>
      </c>
    </row>
    <row r="32141" spans="9:9" x14ac:dyDescent="0.2">
      <c r="I32141" s="137" t="s">
        <v>74</v>
      </c>
    </row>
    <row r="32142" spans="9:9" x14ac:dyDescent="0.2">
      <c r="I32142" s="137" t="s">
        <v>74</v>
      </c>
    </row>
    <row r="32143" spans="9:9" x14ac:dyDescent="0.2">
      <c r="I32143" s="137" t="s">
        <v>74</v>
      </c>
    </row>
    <row r="32144" spans="9:9" x14ac:dyDescent="0.2">
      <c r="I32144" s="137" t="s">
        <v>74</v>
      </c>
    </row>
    <row r="32145" spans="9:9" x14ac:dyDescent="0.2">
      <c r="I32145" s="137" t="s">
        <v>74</v>
      </c>
    </row>
    <row r="32146" spans="9:9" x14ac:dyDescent="0.2">
      <c r="I32146" s="137" t="s">
        <v>74</v>
      </c>
    </row>
    <row r="32147" spans="9:9" x14ac:dyDescent="0.2">
      <c r="I32147" s="137" t="s">
        <v>74</v>
      </c>
    </row>
    <row r="32148" spans="9:9" x14ac:dyDescent="0.2">
      <c r="I32148" s="137" t="s">
        <v>74</v>
      </c>
    </row>
    <row r="32149" spans="9:9" x14ac:dyDescent="0.2">
      <c r="I32149" s="137" t="s">
        <v>74</v>
      </c>
    </row>
    <row r="32150" spans="9:9" x14ac:dyDescent="0.2">
      <c r="I32150" s="137" t="s">
        <v>74</v>
      </c>
    </row>
    <row r="32151" spans="9:9" x14ac:dyDescent="0.2">
      <c r="I32151" s="137" t="s">
        <v>74</v>
      </c>
    </row>
    <row r="32152" spans="9:9" x14ac:dyDescent="0.2">
      <c r="I32152" s="137" t="s">
        <v>74</v>
      </c>
    </row>
    <row r="32153" spans="9:9" x14ac:dyDescent="0.2">
      <c r="I32153" s="137" t="s">
        <v>74</v>
      </c>
    </row>
    <row r="32154" spans="9:9" x14ac:dyDescent="0.2">
      <c r="I32154" s="137" t="s">
        <v>74</v>
      </c>
    </row>
    <row r="32155" spans="9:9" x14ac:dyDescent="0.2">
      <c r="I32155" s="137" t="s">
        <v>74</v>
      </c>
    </row>
    <row r="32156" spans="9:9" x14ac:dyDescent="0.2">
      <c r="I32156" s="137" t="s">
        <v>74</v>
      </c>
    </row>
    <row r="32157" spans="9:9" x14ac:dyDescent="0.2">
      <c r="I32157" s="137" t="s">
        <v>74</v>
      </c>
    </row>
    <row r="32158" spans="9:9" x14ac:dyDescent="0.2">
      <c r="I32158" s="137" t="s">
        <v>74</v>
      </c>
    </row>
    <row r="32159" spans="9:9" x14ac:dyDescent="0.2">
      <c r="I32159" s="137" t="s">
        <v>74</v>
      </c>
    </row>
    <row r="32160" spans="9:9" x14ac:dyDescent="0.2">
      <c r="I32160" s="137" t="s">
        <v>74</v>
      </c>
    </row>
    <row r="32161" spans="9:9" x14ac:dyDescent="0.2">
      <c r="I32161" s="137" t="s">
        <v>74</v>
      </c>
    </row>
    <row r="32162" spans="9:9" x14ac:dyDescent="0.2">
      <c r="I32162" s="137" t="s">
        <v>74</v>
      </c>
    </row>
    <row r="32163" spans="9:9" x14ac:dyDescent="0.2">
      <c r="I32163" s="137" t="s">
        <v>74</v>
      </c>
    </row>
    <row r="32164" spans="9:9" x14ac:dyDescent="0.2">
      <c r="I32164" s="137" t="s">
        <v>74</v>
      </c>
    </row>
    <row r="32165" spans="9:9" x14ac:dyDescent="0.2">
      <c r="I32165" s="137" t="s">
        <v>74</v>
      </c>
    </row>
    <row r="32166" spans="9:9" x14ac:dyDescent="0.2">
      <c r="I32166" s="137" t="s">
        <v>74</v>
      </c>
    </row>
    <row r="32167" spans="9:9" x14ac:dyDescent="0.2">
      <c r="I32167" s="137" t="s">
        <v>74</v>
      </c>
    </row>
    <row r="32168" spans="9:9" x14ac:dyDescent="0.2">
      <c r="I32168" s="137" t="s">
        <v>74</v>
      </c>
    </row>
    <row r="32169" spans="9:9" x14ac:dyDescent="0.2">
      <c r="I32169" s="137" t="s">
        <v>74</v>
      </c>
    </row>
    <row r="32170" spans="9:9" x14ac:dyDescent="0.2">
      <c r="I32170" s="137" t="s">
        <v>74</v>
      </c>
    </row>
    <row r="32171" spans="9:9" x14ac:dyDescent="0.2">
      <c r="I32171" s="137" t="s">
        <v>74</v>
      </c>
    </row>
    <row r="32172" spans="9:9" x14ac:dyDescent="0.2">
      <c r="I32172" s="137" t="s">
        <v>74</v>
      </c>
    </row>
    <row r="32173" spans="9:9" x14ac:dyDescent="0.2">
      <c r="I32173" s="137" t="s">
        <v>74</v>
      </c>
    </row>
    <row r="32174" spans="9:9" x14ac:dyDescent="0.2">
      <c r="I32174" s="137" t="s">
        <v>74</v>
      </c>
    </row>
    <row r="32175" spans="9:9" x14ac:dyDescent="0.2">
      <c r="I32175" s="137" t="s">
        <v>74</v>
      </c>
    </row>
    <row r="32176" spans="9:9" x14ac:dyDescent="0.2">
      <c r="I32176" s="137" t="s">
        <v>74</v>
      </c>
    </row>
    <row r="32177" spans="9:9" x14ac:dyDescent="0.2">
      <c r="I32177" s="137" t="s">
        <v>74</v>
      </c>
    </row>
    <row r="32178" spans="9:9" x14ac:dyDescent="0.2">
      <c r="I32178" s="137" t="s">
        <v>74</v>
      </c>
    </row>
    <row r="32179" spans="9:9" x14ac:dyDescent="0.2">
      <c r="I32179" s="137" t="s">
        <v>74</v>
      </c>
    </row>
    <row r="32180" spans="9:9" x14ac:dyDescent="0.2">
      <c r="I32180" s="137" t="s">
        <v>74</v>
      </c>
    </row>
    <row r="32181" spans="9:9" x14ac:dyDescent="0.2">
      <c r="I32181" s="137" t="s">
        <v>74</v>
      </c>
    </row>
    <row r="32182" spans="9:9" x14ac:dyDescent="0.2">
      <c r="I32182" s="137" t="s">
        <v>74</v>
      </c>
    </row>
    <row r="32183" spans="9:9" x14ac:dyDescent="0.2">
      <c r="I32183" s="137" t="s">
        <v>74</v>
      </c>
    </row>
    <row r="32184" spans="9:9" x14ac:dyDescent="0.2">
      <c r="I32184" s="137" t="s">
        <v>74</v>
      </c>
    </row>
    <row r="32185" spans="9:9" x14ac:dyDescent="0.2">
      <c r="I32185" s="137" t="s">
        <v>74</v>
      </c>
    </row>
    <row r="32186" spans="9:9" x14ac:dyDescent="0.2">
      <c r="I32186" s="137" t="s">
        <v>74</v>
      </c>
    </row>
    <row r="32187" spans="9:9" x14ac:dyDescent="0.2">
      <c r="I32187" s="137" t="s">
        <v>74</v>
      </c>
    </row>
    <row r="32188" spans="9:9" x14ac:dyDescent="0.2">
      <c r="I32188" s="137" t="s">
        <v>74</v>
      </c>
    </row>
    <row r="32189" spans="9:9" x14ac:dyDescent="0.2">
      <c r="I32189" s="137" t="s">
        <v>74</v>
      </c>
    </row>
    <row r="32190" spans="9:9" x14ac:dyDescent="0.2">
      <c r="I32190" s="137" t="s">
        <v>74</v>
      </c>
    </row>
    <row r="32191" spans="9:9" x14ac:dyDescent="0.2">
      <c r="I32191" s="137" t="s">
        <v>74</v>
      </c>
    </row>
    <row r="32192" spans="9:9" x14ac:dyDescent="0.2">
      <c r="I32192" s="137" t="s">
        <v>74</v>
      </c>
    </row>
    <row r="32193" spans="9:9" x14ac:dyDescent="0.2">
      <c r="I32193" s="137" t="s">
        <v>74</v>
      </c>
    </row>
    <row r="32194" spans="9:9" x14ac:dyDescent="0.2">
      <c r="I32194" s="137" t="s">
        <v>74</v>
      </c>
    </row>
    <row r="32195" spans="9:9" x14ac:dyDescent="0.2">
      <c r="I32195" s="137" t="s">
        <v>74</v>
      </c>
    </row>
    <row r="32196" spans="9:9" x14ac:dyDescent="0.2">
      <c r="I32196" s="137" t="s">
        <v>74</v>
      </c>
    </row>
    <row r="32197" spans="9:9" x14ac:dyDescent="0.2">
      <c r="I32197" s="137" t="s">
        <v>74</v>
      </c>
    </row>
    <row r="32198" spans="9:9" x14ac:dyDescent="0.2">
      <c r="I32198" s="137" t="s">
        <v>74</v>
      </c>
    </row>
    <row r="32199" spans="9:9" x14ac:dyDescent="0.2">
      <c r="I32199" s="137" t="s">
        <v>74</v>
      </c>
    </row>
    <row r="32200" spans="9:9" x14ac:dyDescent="0.2">
      <c r="I32200" s="137" t="s">
        <v>74</v>
      </c>
    </row>
    <row r="32201" spans="9:9" x14ac:dyDescent="0.2">
      <c r="I32201" s="137" t="s">
        <v>74</v>
      </c>
    </row>
    <row r="32202" spans="9:9" x14ac:dyDescent="0.2">
      <c r="I32202" s="137" t="s">
        <v>74</v>
      </c>
    </row>
    <row r="32203" spans="9:9" x14ac:dyDescent="0.2">
      <c r="I32203" s="137" t="s">
        <v>74</v>
      </c>
    </row>
    <row r="32204" spans="9:9" x14ac:dyDescent="0.2">
      <c r="I32204" s="137" t="s">
        <v>74</v>
      </c>
    </row>
    <row r="32205" spans="9:9" x14ac:dyDescent="0.2">
      <c r="I32205" s="137" t="s">
        <v>74</v>
      </c>
    </row>
    <row r="32206" spans="9:9" x14ac:dyDescent="0.2">
      <c r="I32206" s="137" t="s">
        <v>74</v>
      </c>
    </row>
    <row r="32207" spans="9:9" x14ac:dyDescent="0.2">
      <c r="I32207" s="137" t="s">
        <v>74</v>
      </c>
    </row>
    <row r="32208" spans="9:9" x14ac:dyDescent="0.2">
      <c r="I32208" s="137" t="s">
        <v>74</v>
      </c>
    </row>
    <row r="32209" spans="9:9" x14ac:dyDescent="0.2">
      <c r="I32209" s="137" t="s">
        <v>74</v>
      </c>
    </row>
    <row r="32210" spans="9:9" x14ac:dyDescent="0.2">
      <c r="I32210" s="137" t="s">
        <v>74</v>
      </c>
    </row>
    <row r="32211" spans="9:9" x14ac:dyDescent="0.2">
      <c r="I32211" s="137" t="s">
        <v>74</v>
      </c>
    </row>
    <row r="32212" spans="9:9" x14ac:dyDescent="0.2">
      <c r="I32212" s="137" t="s">
        <v>74</v>
      </c>
    </row>
    <row r="32213" spans="9:9" x14ac:dyDescent="0.2">
      <c r="I32213" s="137" t="s">
        <v>74</v>
      </c>
    </row>
    <row r="32214" spans="9:9" x14ac:dyDescent="0.2">
      <c r="I32214" s="137" t="s">
        <v>74</v>
      </c>
    </row>
    <row r="32215" spans="9:9" x14ac:dyDescent="0.2">
      <c r="I32215" s="137" t="s">
        <v>74</v>
      </c>
    </row>
    <row r="32216" spans="9:9" x14ac:dyDescent="0.2">
      <c r="I32216" s="137" t="s">
        <v>74</v>
      </c>
    </row>
    <row r="32217" spans="9:9" x14ac:dyDescent="0.2">
      <c r="I32217" s="137" t="s">
        <v>74</v>
      </c>
    </row>
    <row r="32218" spans="9:9" x14ac:dyDescent="0.2">
      <c r="I32218" s="137" t="s">
        <v>74</v>
      </c>
    </row>
    <row r="32219" spans="9:9" x14ac:dyDescent="0.2">
      <c r="I32219" s="137" t="s">
        <v>74</v>
      </c>
    </row>
    <row r="32220" spans="9:9" x14ac:dyDescent="0.2">
      <c r="I32220" s="137" t="s">
        <v>74</v>
      </c>
    </row>
    <row r="32221" spans="9:9" x14ac:dyDescent="0.2">
      <c r="I32221" s="137" t="s">
        <v>74</v>
      </c>
    </row>
    <row r="32222" spans="9:9" x14ac:dyDescent="0.2">
      <c r="I32222" s="137" t="s">
        <v>74</v>
      </c>
    </row>
    <row r="32223" spans="9:9" x14ac:dyDescent="0.2">
      <c r="I32223" s="137" t="s">
        <v>74</v>
      </c>
    </row>
    <row r="32224" spans="9:9" x14ac:dyDescent="0.2">
      <c r="I32224" s="137" t="s">
        <v>74</v>
      </c>
    </row>
    <row r="32225" spans="9:9" x14ac:dyDescent="0.2">
      <c r="I32225" s="137" t="s">
        <v>74</v>
      </c>
    </row>
    <row r="32226" spans="9:9" x14ac:dyDescent="0.2">
      <c r="I32226" s="137" t="s">
        <v>74</v>
      </c>
    </row>
    <row r="32227" spans="9:9" x14ac:dyDescent="0.2">
      <c r="I32227" s="137" t="s">
        <v>74</v>
      </c>
    </row>
    <row r="32228" spans="9:9" x14ac:dyDescent="0.2">
      <c r="I32228" s="137" t="s">
        <v>74</v>
      </c>
    </row>
    <row r="32229" spans="9:9" x14ac:dyDescent="0.2">
      <c r="I32229" s="137" t="s">
        <v>74</v>
      </c>
    </row>
    <row r="32230" spans="9:9" x14ac:dyDescent="0.2">
      <c r="I32230" s="137" t="s">
        <v>74</v>
      </c>
    </row>
    <row r="32231" spans="9:9" x14ac:dyDescent="0.2">
      <c r="I32231" s="137" t="s">
        <v>74</v>
      </c>
    </row>
    <row r="32232" spans="9:9" x14ac:dyDescent="0.2">
      <c r="I32232" s="137" t="s">
        <v>74</v>
      </c>
    </row>
    <row r="32233" spans="9:9" x14ac:dyDescent="0.2">
      <c r="I32233" s="137" t="s">
        <v>74</v>
      </c>
    </row>
    <row r="32234" spans="9:9" x14ac:dyDescent="0.2">
      <c r="I32234" s="137" t="s">
        <v>74</v>
      </c>
    </row>
    <row r="32235" spans="9:9" x14ac:dyDescent="0.2">
      <c r="I32235" s="137" t="s">
        <v>74</v>
      </c>
    </row>
    <row r="32236" spans="9:9" x14ac:dyDescent="0.2">
      <c r="I32236" s="137" t="s">
        <v>74</v>
      </c>
    </row>
    <row r="32237" spans="9:9" x14ac:dyDescent="0.2">
      <c r="I32237" s="137" t="s">
        <v>74</v>
      </c>
    </row>
    <row r="32238" spans="9:9" x14ac:dyDescent="0.2">
      <c r="I32238" s="137" t="s">
        <v>74</v>
      </c>
    </row>
    <row r="32239" spans="9:9" x14ac:dyDescent="0.2">
      <c r="I32239" s="137" t="s">
        <v>74</v>
      </c>
    </row>
    <row r="32240" spans="9:9" x14ac:dyDescent="0.2">
      <c r="I32240" s="137" t="s">
        <v>74</v>
      </c>
    </row>
    <row r="32241" spans="9:9" x14ac:dyDescent="0.2">
      <c r="I32241" s="137" t="s">
        <v>74</v>
      </c>
    </row>
    <row r="32242" spans="9:9" x14ac:dyDescent="0.2">
      <c r="I32242" s="137" t="s">
        <v>74</v>
      </c>
    </row>
    <row r="32243" spans="9:9" x14ac:dyDescent="0.2">
      <c r="I32243" s="137" t="s">
        <v>74</v>
      </c>
    </row>
    <row r="32244" spans="9:9" x14ac:dyDescent="0.2">
      <c r="I32244" s="137" t="s">
        <v>74</v>
      </c>
    </row>
    <row r="32245" spans="9:9" x14ac:dyDescent="0.2">
      <c r="I32245" s="137" t="s">
        <v>74</v>
      </c>
    </row>
    <row r="32246" spans="9:9" x14ac:dyDescent="0.2">
      <c r="I32246" s="137" t="s">
        <v>74</v>
      </c>
    </row>
    <row r="32247" spans="9:9" x14ac:dyDescent="0.2">
      <c r="I32247" s="137" t="s">
        <v>74</v>
      </c>
    </row>
    <row r="32248" spans="9:9" x14ac:dyDescent="0.2">
      <c r="I32248" s="137" t="s">
        <v>74</v>
      </c>
    </row>
    <row r="32249" spans="9:9" x14ac:dyDescent="0.2">
      <c r="I32249" s="137" t="s">
        <v>74</v>
      </c>
    </row>
    <row r="32250" spans="9:9" x14ac:dyDescent="0.2">
      <c r="I32250" s="137" t="s">
        <v>74</v>
      </c>
    </row>
    <row r="32251" spans="9:9" x14ac:dyDescent="0.2">
      <c r="I32251" s="137" t="s">
        <v>74</v>
      </c>
    </row>
    <row r="32252" spans="9:9" x14ac:dyDescent="0.2">
      <c r="I32252" s="137" t="s">
        <v>74</v>
      </c>
    </row>
    <row r="32253" spans="9:9" x14ac:dyDescent="0.2">
      <c r="I32253" s="137" t="s">
        <v>74</v>
      </c>
    </row>
    <row r="32254" spans="9:9" x14ac:dyDescent="0.2">
      <c r="I32254" s="137" t="s">
        <v>74</v>
      </c>
    </row>
    <row r="32255" spans="9:9" x14ac:dyDescent="0.2">
      <c r="I32255" s="137" t="s">
        <v>74</v>
      </c>
    </row>
    <row r="32256" spans="9:9" x14ac:dyDescent="0.2">
      <c r="I32256" s="137" t="s">
        <v>74</v>
      </c>
    </row>
    <row r="32257" spans="9:9" x14ac:dyDescent="0.2">
      <c r="I32257" s="137" t="s">
        <v>74</v>
      </c>
    </row>
    <row r="32258" spans="9:9" x14ac:dyDescent="0.2">
      <c r="I32258" s="137" t="s">
        <v>74</v>
      </c>
    </row>
    <row r="32259" spans="9:9" x14ac:dyDescent="0.2">
      <c r="I32259" s="137" t="s">
        <v>74</v>
      </c>
    </row>
    <row r="32260" spans="9:9" x14ac:dyDescent="0.2">
      <c r="I32260" s="137" t="s">
        <v>74</v>
      </c>
    </row>
    <row r="32261" spans="9:9" x14ac:dyDescent="0.2">
      <c r="I32261" s="137" t="s">
        <v>74</v>
      </c>
    </row>
    <row r="32262" spans="9:9" x14ac:dyDescent="0.2">
      <c r="I32262" s="137" t="s">
        <v>74</v>
      </c>
    </row>
    <row r="32263" spans="9:9" x14ac:dyDescent="0.2">
      <c r="I32263" s="137" t="s">
        <v>74</v>
      </c>
    </row>
    <row r="32264" spans="9:9" x14ac:dyDescent="0.2">
      <c r="I32264" s="137" t="s">
        <v>74</v>
      </c>
    </row>
    <row r="32265" spans="9:9" x14ac:dyDescent="0.2">
      <c r="I32265" s="137" t="s">
        <v>74</v>
      </c>
    </row>
    <row r="32266" spans="9:9" x14ac:dyDescent="0.2">
      <c r="I32266" s="137" t="s">
        <v>74</v>
      </c>
    </row>
    <row r="32267" spans="9:9" x14ac:dyDescent="0.2">
      <c r="I32267" s="137" t="s">
        <v>74</v>
      </c>
    </row>
    <row r="32268" spans="9:9" x14ac:dyDescent="0.2">
      <c r="I32268" s="137" t="s">
        <v>74</v>
      </c>
    </row>
    <row r="32269" spans="9:9" x14ac:dyDescent="0.2">
      <c r="I32269" s="137" t="s">
        <v>74</v>
      </c>
    </row>
    <row r="32270" spans="9:9" x14ac:dyDescent="0.2">
      <c r="I32270" s="137" t="s">
        <v>74</v>
      </c>
    </row>
    <row r="32271" spans="9:9" x14ac:dyDescent="0.2">
      <c r="I32271" s="137" t="s">
        <v>74</v>
      </c>
    </row>
    <row r="32272" spans="9:9" x14ac:dyDescent="0.2">
      <c r="I32272" s="137" t="s">
        <v>74</v>
      </c>
    </row>
    <row r="32273" spans="9:9" x14ac:dyDescent="0.2">
      <c r="I32273" s="137" t="s">
        <v>74</v>
      </c>
    </row>
    <row r="32274" spans="9:9" x14ac:dyDescent="0.2">
      <c r="I32274" s="137" t="s">
        <v>74</v>
      </c>
    </row>
    <row r="32275" spans="9:9" x14ac:dyDescent="0.2">
      <c r="I32275" s="137" t="s">
        <v>74</v>
      </c>
    </row>
    <row r="32276" spans="9:9" x14ac:dyDescent="0.2">
      <c r="I32276" s="137" t="s">
        <v>74</v>
      </c>
    </row>
    <row r="32277" spans="9:9" x14ac:dyDescent="0.2">
      <c r="I32277" s="137" t="s">
        <v>74</v>
      </c>
    </row>
    <row r="32278" spans="9:9" x14ac:dyDescent="0.2">
      <c r="I32278" s="137" t="s">
        <v>74</v>
      </c>
    </row>
    <row r="32279" spans="9:9" x14ac:dyDescent="0.2">
      <c r="I32279" s="137" t="s">
        <v>74</v>
      </c>
    </row>
    <row r="32280" spans="9:9" x14ac:dyDescent="0.2">
      <c r="I32280" s="137" t="s">
        <v>74</v>
      </c>
    </row>
    <row r="32281" spans="9:9" x14ac:dyDescent="0.2">
      <c r="I32281" s="137" t="s">
        <v>74</v>
      </c>
    </row>
    <row r="32282" spans="9:9" x14ac:dyDescent="0.2">
      <c r="I32282" s="137" t="s">
        <v>74</v>
      </c>
    </row>
    <row r="32283" spans="9:9" x14ac:dyDescent="0.2">
      <c r="I32283" s="137" t="s">
        <v>74</v>
      </c>
    </row>
    <row r="32284" spans="9:9" x14ac:dyDescent="0.2">
      <c r="I32284" s="137" t="s">
        <v>74</v>
      </c>
    </row>
    <row r="32285" spans="9:9" x14ac:dyDescent="0.2">
      <c r="I32285" s="137" t="s">
        <v>74</v>
      </c>
    </row>
    <row r="32286" spans="9:9" x14ac:dyDescent="0.2">
      <c r="I32286" s="137" t="s">
        <v>74</v>
      </c>
    </row>
    <row r="32287" spans="9:9" x14ac:dyDescent="0.2">
      <c r="I32287" s="137" t="s">
        <v>74</v>
      </c>
    </row>
    <row r="32288" spans="9:9" x14ac:dyDescent="0.2">
      <c r="I32288" s="137" t="s">
        <v>74</v>
      </c>
    </row>
    <row r="32289" spans="9:9" x14ac:dyDescent="0.2">
      <c r="I32289" s="137" t="s">
        <v>74</v>
      </c>
    </row>
    <row r="32290" spans="9:9" x14ac:dyDescent="0.2">
      <c r="I32290" s="137" t="s">
        <v>74</v>
      </c>
    </row>
    <row r="32291" spans="9:9" x14ac:dyDescent="0.2">
      <c r="I32291" s="137" t="s">
        <v>74</v>
      </c>
    </row>
    <row r="32292" spans="9:9" x14ac:dyDescent="0.2">
      <c r="I32292" s="137" t="s">
        <v>74</v>
      </c>
    </row>
    <row r="32293" spans="9:9" x14ac:dyDescent="0.2">
      <c r="I32293" s="137" t="s">
        <v>74</v>
      </c>
    </row>
    <row r="32294" spans="9:9" x14ac:dyDescent="0.2">
      <c r="I32294" s="137" t="s">
        <v>74</v>
      </c>
    </row>
    <row r="32295" spans="9:9" x14ac:dyDescent="0.2">
      <c r="I32295" s="137" t="s">
        <v>74</v>
      </c>
    </row>
    <row r="32296" spans="9:9" x14ac:dyDescent="0.2">
      <c r="I32296" s="137" t="s">
        <v>74</v>
      </c>
    </row>
    <row r="32297" spans="9:9" x14ac:dyDescent="0.2">
      <c r="I32297" s="137" t="s">
        <v>74</v>
      </c>
    </row>
    <row r="32298" spans="9:9" x14ac:dyDescent="0.2">
      <c r="I32298" s="137" t="s">
        <v>74</v>
      </c>
    </row>
    <row r="32299" spans="9:9" x14ac:dyDescent="0.2">
      <c r="I32299" s="137" t="s">
        <v>74</v>
      </c>
    </row>
    <row r="32300" spans="9:9" x14ac:dyDescent="0.2">
      <c r="I32300" s="137" t="s">
        <v>74</v>
      </c>
    </row>
    <row r="32301" spans="9:9" x14ac:dyDescent="0.2">
      <c r="I32301" s="137" t="s">
        <v>74</v>
      </c>
    </row>
    <row r="32302" spans="9:9" x14ac:dyDescent="0.2">
      <c r="I32302" s="137" t="s">
        <v>74</v>
      </c>
    </row>
    <row r="32303" spans="9:9" x14ac:dyDescent="0.2">
      <c r="I32303" s="137" t="s">
        <v>74</v>
      </c>
    </row>
    <row r="32304" spans="9:9" x14ac:dyDescent="0.2">
      <c r="I32304" s="137" t="s">
        <v>74</v>
      </c>
    </row>
    <row r="32305" spans="9:9" x14ac:dyDescent="0.2">
      <c r="I32305" s="137" t="s">
        <v>74</v>
      </c>
    </row>
    <row r="32306" spans="9:9" x14ac:dyDescent="0.2">
      <c r="I32306" s="137" t="s">
        <v>74</v>
      </c>
    </row>
    <row r="32307" spans="9:9" x14ac:dyDescent="0.2">
      <c r="I32307" s="137" t="s">
        <v>74</v>
      </c>
    </row>
    <row r="32308" spans="9:9" x14ac:dyDescent="0.2">
      <c r="I32308" s="137" t="s">
        <v>74</v>
      </c>
    </row>
    <row r="32309" spans="9:9" x14ac:dyDescent="0.2">
      <c r="I32309" s="137" t="s">
        <v>74</v>
      </c>
    </row>
    <row r="32310" spans="9:9" x14ac:dyDescent="0.2">
      <c r="I32310" s="137" t="s">
        <v>74</v>
      </c>
    </row>
    <row r="32311" spans="9:9" x14ac:dyDescent="0.2">
      <c r="I32311" s="137" t="s">
        <v>74</v>
      </c>
    </row>
    <row r="32312" spans="9:9" x14ac:dyDescent="0.2">
      <c r="I32312" s="137" t="s">
        <v>74</v>
      </c>
    </row>
    <row r="32313" spans="9:9" x14ac:dyDescent="0.2">
      <c r="I32313" s="137" t="s">
        <v>74</v>
      </c>
    </row>
    <row r="32314" spans="9:9" x14ac:dyDescent="0.2">
      <c r="I32314" s="137" t="s">
        <v>74</v>
      </c>
    </row>
    <row r="32315" spans="9:9" x14ac:dyDescent="0.2">
      <c r="I32315" s="137" t="s">
        <v>74</v>
      </c>
    </row>
    <row r="32316" spans="9:9" x14ac:dyDescent="0.2">
      <c r="I32316" s="137" t="s">
        <v>74</v>
      </c>
    </row>
    <row r="32317" spans="9:9" x14ac:dyDescent="0.2">
      <c r="I32317" s="137" t="s">
        <v>74</v>
      </c>
    </row>
    <row r="32318" spans="9:9" x14ac:dyDescent="0.2">
      <c r="I32318" s="137" t="s">
        <v>74</v>
      </c>
    </row>
    <row r="32319" spans="9:9" x14ac:dyDescent="0.2">
      <c r="I32319" s="137" t="s">
        <v>74</v>
      </c>
    </row>
    <row r="32320" spans="9:9" x14ac:dyDescent="0.2">
      <c r="I32320" s="137" t="s">
        <v>74</v>
      </c>
    </row>
    <row r="32321" spans="9:9" x14ac:dyDescent="0.2">
      <c r="I32321" s="137" t="s">
        <v>74</v>
      </c>
    </row>
    <row r="32322" spans="9:9" x14ac:dyDescent="0.2">
      <c r="I32322" s="137" t="s">
        <v>74</v>
      </c>
    </row>
    <row r="32323" spans="9:9" x14ac:dyDescent="0.2">
      <c r="I32323" s="137" t="s">
        <v>74</v>
      </c>
    </row>
    <row r="32324" spans="9:9" x14ac:dyDescent="0.2">
      <c r="I32324" s="137" t="s">
        <v>74</v>
      </c>
    </row>
    <row r="32325" spans="9:9" x14ac:dyDescent="0.2">
      <c r="I32325" s="137" t="s">
        <v>74</v>
      </c>
    </row>
    <row r="32326" spans="9:9" x14ac:dyDescent="0.2">
      <c r="I32326" s="137" t="s">
        <v>74</v>
      </c>
    </row>
    <row r="32327" spans="9:9" x14ac:dyDescent="0.2">
      <c r="I32327" s="137" t="s">
        <v>74</v>
      </c>
    </row>
    <row r="32328" spans="9:9" x14ac:dyDescent="0.2">
      <c r="I32328" s="137" t="s">
        <v>74</v>
      </c>
    </row>
    <row r="32329" spans="9:9" x14ac:dyDescent="0.2">
      <c r="I32329" s="137" t="s">
        <v>74</v>
      </c>
    </row>
    <row r="32330" spans="9:9" x14ac:dyDescent="0.2">
      <c r="I32330" s="137" t="s">
        <v>74</v>
      </c>
    </row>
    <row r="32331" spans="9:9" x14ac:dyDescent="0.2">
      <c r="I32331" s="137" t="s">
        <v>74</v>
      </c>
    </row>
    <row r="32332" spans="9:9" x14ac:dyDescent="0.2">
      <c r="I32332" s="137" t="s">
        <v>74</v>
      </c>
    </row>
    <row r="32333" spans="9:9" x14ac:dyDescent="0.2">
      <c r="I32333" s="137" t="s">
        <v>74</v>
      </c>
    </row>
    <row r="32334" spans="9:9" x14ac:dyDescent="0.2">
      <c r="I32334" s="137" t="s">
        <v>74</v>
      </c>
    </row>
    <row r="32335" spans="9:9" x14ac:dyDescent="0.2">
      <c r="I32335" s="137" t="s">
        <v>74</v>
      </c>
    </row>
    <row r="32336" spans="9:9" x14ac:dyDescent="0.2">
      <c r="I32336" s="137" t="s">
        <v>74</v>
      </c>
    </row>
    <row r="32337" spans="9:9" x14ac:dyDescent="0.2">
      <c r="I32337" s="137" t="s">
        <v>74</v>
      </c>
    </row>
    <row r="32338" spans="9:9" x14ac:dyDescent="0.2">
      <c r="I32338" s="137" t="s">
        <v>74</v>
      </c>
    </row>
    <row r="32339" spans="9:9" x14ac:dyDescent="0.2">
      <c r="I32339" s="137" t="s">
        <v>74</v>
      </c>
    </row>
    <row r="32340" spans="9:9" x14ac:dyDescent="0.2">
      <c r="I32340" s="137" t="s">
        <v>74</v>
      </c>
    </row>
    <row r="32341" spans="9:9" x14ac:dyDescent="0.2">
      <c r="I32341" s="137" t="s">
        <v>74</v>
      </c>
    </row>
    <row r="32342" spans="9:9" x14ac:dyDescent="0.2">
      <c r="I32342" s="137" t="s">
        <v>74</v>
      </c>
    </row>
    <row r="32343" spans="9:9" x14ac:dyDescent="0.2">
      <c r="I32343" s="137" t="s">
        <v>74</v>
      </c>
    </row>
    <row r="32344" spans="9:9" x14ac:dyDescent="0.2">
      <c r="I32344" s="137" t="s">
        <v>74</v>
      </c>
    </row>
    <row r="32345" spans="9:9" x14ac:dyDescent="0.2">
      <c r="I32345" s="137" t="s">
        <v>74</v>
      </c>
    </row>
    <row r="32346" spans="9:9" x14ac:dyDescent="0.2">
      <c r="I32346" s="137" t="s">
        <v>74</v>
      </c>
    </row>
    <row r="32347" spans="9:9" x14ac:dyDescent="0.2">
      <c r="I32347" s="137" t="s">
        <v>74</v>
      </c>
    </row>
    <row r="32348" spans="9:9" x14ac:dyDescent="0.2">
      <c r="I32348" s="137" t="s">
        <v>74</v>
      </c>
    </row>
    <row r="32349" spans="9:9" x14ac:dyDescent="0.2">
      <c r="I32349" s="137" t="s">
        <v>74</v>
      </c>
    </row>
    <row r="32350" spans="9:9" x14ac:dyDescent="0.2">
      <c r="I32350" s="137" t="s">
        <v>74</v>
      </c>
    </row>
    <row r="32351" spans="9:9" x14ac:dyDescent="0.2">
      <c r="I32351" s="137" t="s">
        <v>74</v>
      </c>
    </row>
    <row r="32352" spans="9:9" x14ac:dyDescent="0.2">
      <c r="I32352" s="137" t="s">
        <v>74</v>
      </c>
    </row>
    <row r="32353" spans="9:9" x14ac:dyDescent="0.2">
      <c r="I32353" s="137" t="s">
        <v>74</v>
      </c>
    </row>
    <row r="32354" spans="9:9" x14ac:dyDescent="0.2">
      <c r="I32354" s="137" t="s">
        <v>74</v>
      </c>
    </row>
    <row r="32355" spans="9:9" x14ac:dyDescent="0.2">
      <c r="I32355" s="137" t="s">
        <v>74</v>
      </c>
    </row>
    <row r="32356" spans="9:9" x14ac:dyDescent="0.2">
      <c r="I32356" s="137" t="s">
        <v>74</v>
      </c>
    </row>
    <row r="32357" spans="9:9" x14ac:dyDescent="0.2">
      <c r="I32357" s="137" t="s">
        <v>74</v>
      </c>
    </row>
    <row r="32358" spans="9:9" x14ac:dyDescent="0.2">
      <c r="I32358" s="137" t="s">
        <v>74</v>
      </c>
    </row>
    <row r="32359" spans="9:9" x14ac:dyDescent="0.2">
      <c r="I32359" s="137" t="s">
        <v>74</v>
      </c>
    </row>
    <row r="32360" spans="9:9" x14ac:dyDescent="0.2">
      <c r="I32360" s="137" t="s">
        <v>74</v>
      </c>
    </row>
    <row r="32361" spans="9:9" x14ac:dyDescent="0.2">
      <c r="I32361" s="137" t="s">
        <v>74</v>
      </c>
    </row>
    <row r="32362" spans="9:9" x14ac:dyDescent="0.2">
      <c r="I32362" s="137" t="s">
        <v>74</v>
      </c>
    </row>
    <row r="32363" spans="9:9" x14ac:dyDescent="0.2">
      <c r="I32363" s="137" t="s">
        <v>74</v>
      </c>
    </row>
    <row r="32364" spans="9:9" x14ac:dyDescent="0.2">
      <c r="I32364" s="137" t="s">
        <v>74</v>
      </c>
    </row>
    <row r="32365" spans="9:9" x14ac:dyDescent="0.2">
      <c r="I32365" s="137" t="s">
        <v>74</v>
      </c>
    </row>
    <row r="32366" spans="9:9" x14ac:dyDescent="0.2">
      <c r="I32366" s="137" t="s">
        <v>74</v>
      </c>
    </row>
    <row r="32367" spans="9:9" x14ac:dyDescent="0.2">
      <c r="I32367" s="137" t="s">
        <v>74</v>
      </c>
    </row>
    <row r="32368" spans="9:9" x14ac:dyDescent="0.2">
      <c r="I32368" s="137" t="s">
        <v>74</v>
      </c>
    </row>
    <row r="32369" spans="9:9" x14ac:dyDescent="0.2">
      <c r="I32369" s="137" t="s">
        <v>74</v>
      </c>
    </row>
    <row r="32370" spans="9:9" x14ac:dyDescent="0.2">
      <c r="I32370" s="137" t="s">
        <v>74</v>
      </c>
    </row>
    <row r="32371" spans="9:9" x14ac:dyDescent="0.2">
      <c r="I32371" s="137" t="s">
        <v>74</v>
      </c>
    </row>
    <row r="32372" spans="9:9" x14ac:dyDescent="0.2">
      <c r="I32372" s="137" t="s">
        <v>74</v>
      </c>
    </row>
    <row r="32373" spans="9:9" x14ac:dyDescent="0.2">
      <c r="I32373" s="137" t="s">
        <v>74</v>
      </c>
    </row>
    <row r="32374" spans="9:9" x14ac:dyDescent="0.2">
      <c r="I32374" s="137" t="s">
        <v>74</v>
      </c>
    </row>
    <row r="32375" spans="9:9" x14ac:dyDescent="0.2">
      <c r="I32375" s="137" t="s">
        <v>74</v>
      </c>
    </row>
    <row r="32376" spans="9:9" x14ac:dyDescent="0.2">
      <c r="I32376" s="137" t="s">
        <v>74</v>
      </c>
    </row>
    <row r="32377" spans="9:9" x14ac:dyDescent="0.2">
      <c r="I32377" s="137" t="s">
        <v>74</v>
      </c>
    </row>
    <row r="32378" spans="9:9" x14ac:dyDescent="0.2">
      <c r="I32378" s="137" t="s">
        <v>74</v>
      </c>
    </row>
    <row r="32379" spans="9:9" x14ac:dyDescent="0.2">
      <c r="I32379" s="137" t="s">
        <v>74</v>
      </c>
    </row>
    <row r="32380" spans="9:9" x14ac:dyDescent="0.2">
      <c r="I32380" s="137" t="s">
        <v>74</v>
      </c>
    </row>
    <row r="32381" spans="9:9" x14ac:dyDescent="0.2">
      <c r="I32381" s="137" t="s">
        <v>74</v>
      </c>
    </row>
    <row r="32382" spans="9:9" x14ac:dyDescent="0.2">
      <c r="I32382" s="137" t="s">
        <v>74</v>
      </c>
    </row>
    <row r="32383" spans="9:9" x14ac:dyDescent="0.2">
      <c r="I32383" s="137" t="s">
        <v>74</v>
      </c>
    </row>
    <row r="32384" spans="9:9" x14ac:dyDescent="0.2">
      <c r="I32384" s="137" t="s">
        <v>74</v>
      </c>
    </row>
    <row r="32385" spans="9:9" x14ac:dyDescent="0.2">
      <c r="I32385" s="137" t="s">
        <v>74</v>
      </c>
    </row>
    <row r="32386" spans="9:9" x14ac:dyDescent="0.2">
      <c r="I32386" s="137" t="s">
        <v>74</v>
      </c>
    </row>
    <row r="32387" spans="9:9" x14ac:dyDescent="0.2">
      <c r="I32387" s="137" t="s">
        <v>74</v>
      </c>
    </row>
    <row r="32388" spans="9:9" x14ac:dyDescent="0.2">
      <c r="I32388" s="137" t="s">
        <v>74</v>
      </c>
    </row>
    <row r="32389" spans="9:9" x14ac:dyDescent="0.2">
      <c r="I32389" s="137" t="s">
        <v>74</v>
      </c>
    </row>
    <row r="32390" spans="9:9" x14ac:dyDescent="0.2">
      <c r="I32390" s="137" t="s">
        <v>74</v>
      </c>
    </row>
    <row r="32391" spans="9:9" x14ac:dyDescent="0.2">
      <c r="I32391" s="137" t="s">
        <v>74</v>
      </c>
    </row>
    <row r="32392" spans="9:9" x14ac:dyDescent="0.2">
      <c r="I32392" s="137" t="s">
        <v>74</v>
      </c>
    </row>
    <row r="32393" spans="9:9" x14ac:dyDescent="0.2">
      <c r="I32393" s="137" t="s">
        <v>74</v>
      </c>
    </row>
    <row r="32394" spans="9:9" x14ac:dyDescent="0.2">
      <c r="I32394" s="137" t="s">
        <v>74</v>
      </c>
    </row>
    <row r="32395" spans="9:9" x14ac:dyDescent="0.2">
      <c r="I32395" s="137" t="s">
        <v>74</v>
      </c>
    </row>
    <row r="32396" spans="9:9" x14ac:dyDescent="0.2">
      <c r="I32396" s="137" t="s">
        <v>74</v>
      </c>
    </row>
    <row r="32397" spans="9:9" x14ac:dyDescent="0.2">
      <c r="I32397" s="137" t="s">
        <v>74</v>
      </c>
    </row>
    <row r="32398" spans="9:9" x14ac:dyDescent="0.2">
      <c r="I32398" s="137" t="s">
        <v>74</v>
      </c>
    </row>
    <row r="32399" spans="9:9" x14ac:dyDescent="0.2">
      <c r="I32399" s="137" t="s">
        <v>74</v>
      </c>
    </row>
    <row r="32400" spans="9:9" x14ac:dyDescent="0.2">
      <c r="I32400" s="137" t="s">
        <v>74</v>
      </c>
    </row>
    <row r="32401" spans="9:9" x14ac:dyDescent="0.2">
      <c r="I32401" s="137" t="s">
        <v>74</v>
      </c>
    </row>
    <row r="32402" spans="9:9" x14ac:dyDescent="0.2">
      <c r="I32402" s="137" t="s">
        <v>74</v>
      </c>
    </row>
    <row r="32403" spans="9:9" x14ac:dyDescent="0.2">
      <c r="I32403" s="137" t="s">
        <v>74</v>
      </c>
    </row>
    <row r="32404" spans="9:9" x14ac:dyDescent="0.2">
      <c r="I32404" s="137" t="s">
        <v>74</v>
      </c>
    </row>
    <row r="32405" spans="9:9" x14ac:dyDescent="0.2">
      <c r="I32405" s="137" t="s">
        <v>74</v>
      </c>
    </row>
    <row r="32406" spans="9:9" x14ac:dyDescent="0.2">
      <c r="I32406" s="137" t="s">
        <v>74</v>
      </c>
    </row>
    <row r="32407" spans="9:9" x14ac:dyDescent="0.2">
      <c r="I32407" s="137" t="s">
        <v>74</v>
      </c>
    </row>
    <row r="32408" spans="9:9" x14ac:dyDescent="0.2">
      <c r="I32408" s="137" t="s">
        <v>74</v>
      </c>
    </row>
    <row r="32409" spans="9:9" x14ac:dyDescent="0.2">
      <c r="I32409" s="137" t="s">
        <v>74</v>
      </c>
    </row>
    <row r="32410" spans="9:9" x14ac:dyDescent="0.2">
      <c r="I32410" s="137" t="s">
        <v>74</v>
      </c>
    </row>
    <row r="32411" spans="9:9" x14ac:dyDescent="0.2">
      <c r="I32411" s="137" t="s">
        <v>74</v>
      </c>
    </row>
    <row r="32412" spans="9:9" x14ac:dyDescent="0.2">
      <c r="I32412" s="137" t="s">
        <v>74</v>
      </c>
    </row>
    <row r="32413" spans="9:9" x14ac:dyDescent="0.2">
      <c r="I32413" s="137" t="s">
        <v>74</v>
      </c>
    </row>
    <row r="32414" spans="9:9" x14ac:dyDescent="0.2">
      <c r="I32414" s="137" t="s">
        <v>74</v>
      </c>
    </row>
    <row r="32415" spans="9:9" x14ac:dyDescent="0.2">
      <c r="I32415" s="137" t="s">
        <v>74</v>
      </c>
    </row>
    <row r="32416" spans="9:9" x14ac:dyDescent="0.2">
      <c r="I32416" s="137" t="s">
        <v>74</v>
      </c>
    </row>
    <row r="32417" spans="9:9" x14ac:dyDescent="0.2">
      <c r="I32417" s="137" t="s">
        <v>74</v>
      </c>
    </row>
    <row r="32418" spans="9:9" x14ac:dyDescent="0.2">
      <c r="I32418" s="137" t="s">
        <v>74</v>
      </c>
    </row>
    <row r="32419" spans="9:9" x14ac:dyDescent="0.2">
      <c r="I32419" s="137" t="s">
        <v>74</v>
      </c>
    </row>
    <row r="32420" spans="9:9" x14ac:dyDescent="0.2">
      <c r="I32420" s="137" t="s">
        <v>74</v>
      </c>
    </row>
    <row r="32421" spans="9:9" x14ac:dyDescent="0.2">
      <c r="I32421" s="137" t="s">
        <v>74</v>
      </c>
    </row>
    <row r="32422" spans="9:9" x14ac:dyDescent="0.2">
      <c r="I32422" s="137" t="s">
        <v>74</v>
      </c>
    </row>
    <row r="32423" spans="9:9" x14ac:dyDescent="0.2">
      <c r="I32423" s="137" t="s">
        <v>74</v>
      </c>
    </row>
    <row r="32424" spans="9:9" x14ac:dyDescent="0.2">
      <c r="I32424" s="137" t="s">
        <v>74</v>
      </c>
    </row>
    <row r="32425" spans="9:9" x14ac:dyDescent="0.2">
      <c r="I32425" s="137" t="s">
        <v>74</v>
      </c>
    </row>
    <row r="32426" spans="9:9" x14ac:dyDescent="0.2">
      <c r="I32426" s="137" t="s">
        <v>74</v>
      </c>
    </row>
    <row r="32427" spans="9:9" x14ac:dyDescent="0.2">
      <c r="I32427" s="137" t="s">
        <v>74</v>
      </c>
    </row>
    <row r="32428" spans="9:9" x14ac:dyDescent="0.2">
      <c r="I32428" s="137" t="s">
        <v>74</v>
      </c>
    </row>
    <row r="32429" spans="9:9" x14ac:dyDescent="0.2">
      <c r="I32429" s="137" t="s">
        <v>74</v>
      </c>
    </row>
    <row r="32430" spans="9:9" x14ac:dyDescent="0.2">
      <c r="I32430" s="137" t="s">
        <v>74</v>
      </c>
    </row>
    <row r="32431" spans="9:9" x14ac:dyDescent="0.2">
      <c r="I32431" s="137" t="s">
        <v>74</v>
      </c>
    </row>
    <row r="32432" spans="9:9" x14ac:dyDescent="0.2">
      <c r="I32432" s="137" t="s">
        <v>74</v>
      </c>
    </row>
    <row r="32433" spans="9:9" x14ac:dyDescent="0.2">
      <c r="I32433" s="137" t="s">
        <v>74</v>
      </c>
    </row>
    <row r="32434" spans="9:9" x14ac:dyDescent="0.2">
      <c r="I32434" s="137" t="s">
        <v>74</v>
      </c>
    </row>
    <row r="32435" spans="9:9" x14ac:dyDescent="0.2">
      <c r="I32435" s="137" t="s">
        <v>74</v>
      </c>
    </row>
    <row r="32436" spans="9:9" x14ac:dyDescent="0.2">
      <c r="I32436" s="137" t="s">
        <v>74</v>
      </c>
    </row>
    <row r="32437" spans="9:9" x14ac:dyDescent="0.2">
      <c r="I32437" s="137" t="s">
        <v>74</v>
      </c>
    </row>
    <row r="32438" spans="9:9" x14ac:dyDescent="0.2">
      <c r="I32438" s="137" t="s">
        <v>74</v>
      </c>
    </row>
    <row r="32439" spans="9:9" x14ac:dyDescent="0.2">
      <c r="I32439" s="137" t="s">
        <v>74</v>
      </c>
    </row>
    <row r="32440" spans="9:9" x14ac:dyDescent="0.2">
      <c r="I32440" s="137" t="s">
        <v>74</v>
      </c>
    </row>
    <row r="32441" spans="9:9" x14ac:dyDescent="0.2">
      <c r="I32441" s="137" t="s">
        <v>74</v>
      </c>
    </row>
    <row r="32442" spans="9:9" x14ac:dyDescent="0.2">
      <c r="I32442" s="137" t="s">
        <v>74</v>
      </c>
    </row>
    <row r="32443" spans="9:9" x14ac:dyDescent="0.2">
      <c r="I32443" s="137" t="s">
        <v>74</v>
      </c>
    </row>
    <row r="32444" spans="9:9" x14ac:dyDescent="0.2">
      <c r="I32444" s="137" t="s">
        <v>74</v>
      </c>
    </row>
    <row r="32445" spans="9:9" x14ac:dyDescent="0.2">
      <c r="I32445" s="137" t="s">
        <v>74</v>
      </c>
    </row>
    <row r="32446" spans="9:9" x14ac:dyDescent="0.2">
      <c r="I32446" s="137" t="s">
        <v>74</v>
      </c>
    </row>
    <row r="32447" spans="9:9" x14ac:dyDescent="0.2">
      <c r="I32447" s="137" t="s">
        <v>74</v>
      </c>
    </row>
    <row r="32448" spans="9:9" x14ac:dyDescent="0.2">
      <c r="I32448" s="137" t="s">
        <v>74</v>
      </c>
    </row>
    <row r="32449" spans="9:9" x14ac:dyDescent="0.2">
      <c r="I32449" s="137" t="s">
        <v>74</v>
      </c>
    </row>
    <row r="32450" spans="9:9" x14ac:dyDescent="0.2">
      <c r="I32450" s="137" t="s">
        <v>74</v>
      </c>
    </row>
    <row r="32451" spans="9:9" x14ac:dyDescent="0.2">
      <c r="I32451" s="137" t="s">
        <v>74</v>
      </c>
    </row>
    <row r="32452" spans="9:9" x14ac:dyDescent="0.2">
      <c r="I32452" s="137" t="s">
        <v>74</v>
      </c>
    </row>
    <row r="32453" spans="9:9" x14ac:dyDescent="0.2">
      <c r="I32453" s="137" t="s">
        <v>74</v>
      </c>
    </row>
    <row r="32454" spans="9:9" x14ac:dyDescent="0.2">
      <c r="I32454" s="137" t="s">
        <v>74</v>
      </c>
    </row>
    <row r="32455" spans="9:9" x14ac:dyDescent="0.2">
      <c r="I32455" s="137" t="s">
        <v>74</v>
      </c>
    </row>
    <row r="32456" spans="9:9" x14ac:dyDescent="0.2">
      <c r="I32456" s="137" t="s">
        <v>74</v>
      </c>
    </row>
    <row r="32457" spans="9:9" x14ac:dyDescent="0.2">
      <c r="I32457" s="137" t="s">
        <v>74</v>
      </c>
    </row>
    <row r="32458" spans="9:9" x14ac:dyDescent="0.2">
      <c r="I32458" s="137" t="s">
        <v>74</v>
      </c>
    </row>
    <row r="32459" spans="9:9" x14ac:dyDescent="0.2">
      <c r="I32459" s="137" t="s">
        <v>74</v>
      </c>
    </row>
    <row r="32460" spans="9:9" x14ac:dyDescent="0.2">
      <c r="I32460" s="137" t="s">
        <v>74</v>
      </c>
    </row>
    <row r="32461" spans="9:9" x14ac:dyDescent="0.2">
      <c r="I32461" s="137" t="s">
        <v>74</v>
      </c>
    </row>
    <row r="32462" spans="9:9" x14ac:dyDescent="0.2">
      <c r="I32462" s="137" t="s">
        <v>74</v>
      </c>
    </row>
    <row r="32463" spans="9:9" x14ac:dyDescent="0.2">
      <c r="I32463" s="137" t="s">
        <v>74</v>
      </c>
    </row>
    <row r="32464" spans="9:9" x14ac:dyDescent="0.2">
      <c r="I32464" s="137" t="s">
        <v>74</v>
      </c>
    </row>
    <row r="32465" spans="9:9" x14ac:dyDescent="0.2">
      <c r="I32465" s="137" t="s">
        <v>74</v>
      </c>
    </row>
    <row r="32466" spans="9:9" x14ac:dyDescent="0.2">
      <c r="I32466" s="137" t="s">
        <v>74</v>
      </c>
    </row>
    <row r="32467" spans="9:9" x14ac:dyDescent="0.2">
      <c r="I32467" s="137" t="s">
        <v>74</v>
      </c>
    </row>
    <row r="32468" spans="9:9" x14ac:dyDescent="0.2">
      <c r="I32468" s="137" t="s">
        <v>74</v>
      </c>
    </row>
    <row r="32469" spans="9:9" x14ac:dyDescent="0.2">
      <c r="I32469" s="137" t="s">
        <v>74</v>
      </c>
    </row>
    <row r="32470" spans="9:9" x14ac:dyDescent="0.2">
      <c r="I32470" s="137" t="s">
        <v>74</v>
      </c>
    </row>
    <row r="32471" spans="9:9" x14ac:dyDescent="0.2">
      <c r="I32471" s="137" t="s">
        <v>74</v>
      </c>
    </row>
    <row r="32472" spans="9:9" x14ac:dyDescent="0.2">
      <c r="I32472" s="137" t="s">
        <v>74</v>
      </c>
    </row>
    <row r="32473" spans="9:9" x14ac:dyDescent="0.2">
      <c r="I32473" s="137" t="s">
        <v>74</v>
      </c>
    </row>
    <row r="32474" spans="9:9" x14ac:dyDescent="0.2">
      <c r="I32474" s="137" t="s">
        <v>74</v>
      </c>
    </row>
    <row r="32475" spans="9:9" x14ac:dyDescent="0.2">
      <c r="I32475" s="137" t="s">
        <v>74</v>
      </c>
    </row>
    <row r="32476" spans="9:9" x14ac:dyDescent="0.2">
      <c r="I32476" s="137" t="s">
        <v>74</v>
      </c>
    </row>
    <row r="32477" spans="9:9" x14ac:dyDescent="0.2">
      <c r="I32477" s="137" t="s">
        <v>74</v>
      </c>
    </row>
    <row r="32478" spans="9:9" x14ac:dyDescent="0.2">
      <c r="I32478" s="137" t="s">
        <v>74</v>
      </c>
    </row>
    <row r="32479" spans="9:9" x14ac:dyDescent="0.2">
      <c r="I32479" s="137" t="s">
        <v>74</v>
      </c>
    </row>
    <row r="32480" spans="9:9" x14ac:dyDescent="0.2">
      <c r="I32480" s="137" t="s">
        <v>74</v>
      </c>
    </row>
    <row r="32481" spans="9:9" x14ac:dyDescent="0.2">
      <c r="I32481" s="137" t="s">
        <v>74</v>
      </c>
    </row>
    <row r="32482" spans="9:9" x14ac:dyDescent="0.2">
      <c r="I32482" s="137" t="s">
        <v>74</v>
      </c>
    </row>
    <row r="32483" spans="9:9" x14ac:dyDescent="0.2">
      <c r="I32483" s="137" t="s">
        <v>74</v>
      </c>
    </row>
    <row r="32484" spans="9:9" x14ac:dyDescent="0.2">
      <c r="I32484" s="137" t="s">
        <v>74</v>
      </c>
    </row>
    <row r="32485" spans="9:9" x14ac:dyDescent="0.2">
      <c r="I32485" s="137" t="s">
        <v>74</v>
      </c>
    </row>
    <row r="32486" spans="9:9" x14ac:dyDescent="0.2">
      <c r="I32486" s="137" t="s">
        <v>74</v>
      </c>
    </row>
    <row r="32487" spans="9:9" x14ac:dyDescent="0.2">
      <c r="I32487" s="137" t="s">
        <v>74</v>
      </c>
    </row>
    <row r="32488" spans="9:9" x14ac:dyDescent="0.2">
      <c r="I32488" s="137" t="s">
        <v>74</v>
      </c>
    </row>
    <row r="32489" spans="9:9" x14ac:dyDescent="0.2">
      <c r="I32489" s="137" t="s">
        <v>74</v>
      </c>
    </row>
    <row r="32490" spans="9:9" x14ac:dyDescent="0.2">
      <c r="I32490" s="137" t="s">
        <v>74</v>
      </c>
    </row>
    <row r="32491" spans="9:9" x14ac:dyDescent="0.2">
      <c r="I32491" s="137" t="s">
        <v>74</v>
      </c>
    </row>
    <row r="32492" spans="9:9" x14ac:dyDescent="0.2">
      <c r="I32492" s="137" t="s">
        <v>74</v>
      </c>
    </row>
    <row r="32493" spans="9:9" x14ac:dyDescent="0.2">
      <c r="I32493" s="137" t="s">
        <v>74</v>
      </c>
    </row>
    <row r="32494" spans="9:9" x14ac:dyDescent="0.2">
      <c r="I32494" s="137" t="s">
        <v>74</v>
      </c>
    </row>
    <row r="32495" spans="9:9" x14ac:dyDescent="0.2">
      <c r="I32495" s="137" t="s">
        <v>74</v>
      </c>
    </row>
    <row r="32496" spans="9:9" x14ac:dyDescent="0.2">
      <c r="I32496" s="137" t="s">
        <v>74</v>
      </c>
    </row>
    <row r="32497" spans="9:9" x14ac:dyDescent="0.2">
      <c r="I32497" s="137" t="s">
        <v>74</v>
      </c>
    </row>
    <row r="32498" spans="9:9" x14ac:dyDescent="0.2">
      <c r="I32498" s="137" t="s">
        <v>74</v>
      </c>
    </row>
    <row r="32499" spans="9:9" x14ac:dyDescent="0.2">
      <c r="I32499" s="137" t="s">
        <v>74</v>
      </c>
    </row>
    <row r="32500" spans="9:9" x14ac:dyDescent="0.2">
      <c r="I32500" s="137" t="s">
        <v>74</v>
      </c>
    </row>
    <row r="32501" spans="9:9" x14ac:dyDescent="0.2">
      <c r="I32501" s="137" t="s">
        <v>74</v>
      </c>
    </row>
    <row r="32502" spans="9:9" x14ac:dyDescent="0.2">
      <c r="I32502" s="137" t="s">
        <v>74</v>
      </c>
    </row>
    <row r="32503" spans="9:9" x14ac:dyDescent="0.2">
      <c r="I32503" s="137" t="s">
        <v>74</v>
      </c>
    </row>
    <row r="32504" spans="9:9" x14ac:dyDescent="0.2">
      <c r="I32504" s="137" t="s">
        <v>74</v>
      </c>
    </row>
    <row r="32505" spans="9:9" x14ac:dyDescent="0.2">
      <c r="I32505" s="137" t="s">
        <v>74</v>
      </c>
    </row>
    <row r="32506" spans="9:9" x14ac:dyDescent="0.2">
      <c r="I32506" s="137" t="s">
        <v>74</v>
      </c>
    </row>
    <row r="32507" spans="9:9" x14ac:dyDescent="0.2">
      <c r="I32507" s="137" t="s">
        <v>74</v>
      </c>
    </row>
    <row r="32508" spans="9:9" x14ac:dyDescent="0.2">
      <c r="I32508" s="137" t="s">
        <v>74</v>
      </c>
    </row>
    <row r="32509" spans="9:9" x14ac:dyDescent="0.2">
      <c r="I32509" s="137" t="s">
        <v>74</v>
      </c>
    </row>
    <row r="32510" spans="9:9" x14ac:dyDescent="0.2">
      <c r="I32510" s="137" t="s">
        <v>74</v>
      </c>
    </row>
    <row r="32511" spans="9:9" x14ac:dyDescent="0.2">
      <c r="I32511" s="137" t="s">
        <v>74</v>
      </c>
    </row>
    <row r="32512" spans="9:9" x14ac:dyDescent="0.2">
      <c r="I32512" s="137" t="s">
        <v>74</v>
      </c>
    </row>
    <row r="32513" spans="9:9" x14ac:dyDescent="0.2">
      <c r="I32513" s="137" t="s">
        <v>74</v>
      </c>
    </row>
    <row r="32514" spans="9:9" x14ac:dyDescent="0.2">
      <c r="I32514" s="137" t="s">
        <v>74</v>
      </c>
    </row>
    <row r="32515" spans="9:9" x14ac:dyDescent="0.2">
      <c r="I32515" s="137" t="s">
        <v>74</v>
      </c>
    </row>
    <row r="32516" spans="9:9" x14ac:dyDescent="0.2">
      <c r="I32516" s="137" t="s">
        <v>74</v>
      </c>
    </row>
    <row r="32517" spans="9:9" x14ac:dyDescent="0.2">
      <c r="I32517" s="137" t="s">
        <v>74</v>
      </c>
    </row>
    <row r="32518" spans="9:9" x14ac:dyDescent="0.2">
      <c r="I32518" s="137" t="s">
        <v>74</v>
      </c>
    </row>
    <row r="32519" spans="9:9" x14ac:dyDescent="0.2">
      <c r="I32519" s="137" t="s">
        <v>74</v>
      </c>
    </row>
    <row r="32520" spans="9:9" x14ac:dyDescent="0.2">
      <c r="I32520" s="137" t="s">
        <v>74</v>
      </c>
    </row>
    <row r="32521" spans="9:9" x14ac:dyDescent="0.2">
      <c r="I32521" s="137" t="s">
        <v>74</v>
      </c>
    </row>
    <row r="32522" spans="9:9" x14ac:dyDescent="0.2">
      <c r="I32522" s="137" t="s">
        <v>74</v>
      </c>
    </row>
    <row r="32523" spans="9:9" x14ac:dyDescent="0.2">
      <c r="I32523" s="137" t="s">
        <v>74</v>
      </c>
    </row>
    <row r="32524" spans="9:9" x14ac:dyDescent="0.2">
      <c r="I32524" s="137" t="s">
        <v>74</v>
      </c>
    </row>
    <row r="32525" spans="9:9" x14ac:dyDescent="0.2">
      <c r="I32525" s="137" t="s">
        <v>74</v>
      </c>
    </row>
    <row r="32526" spans="9:9" x14ac:dyDescent="0.2">
      <c r="I32526" s="137" t="s">
        <v>74</v>
      </c>
    </row>
    <row r="32527" spans="9:9" x14ac:dyDescent="0.2">
      <c r="I32527" s="137" t="s">
        <v>74</v>
      </c>
    </row>
    <row r="32528" spans="9:9" x14ac:dyDescent="0.2">
      <c r="I32528" s="137" t="s">
        <v>74</v>
      </c>
    </row>
    <row r="32529" spans="9:9" x14ac:dyDescent="0.2">
      <c r="I32529" s="137" t="s">
        <v>74</v>
      </c>
    </row>
    <row r="32530" spans="9:9" x14ac:dyDescent="0.2">
      <c r="I32530" s="137" t="s">
        <v>74</v>
      </c>
    </row>
    <row r="32531" spans="9:9" x14ac:dyDescent="0.2">
      <c r="I32531" s="137" t="s">
        <v>74</v>
      </c>
    </row>
    <row r="32532" spans="9:9" x14ac:dyDescent="0.2">
      <c r="I32532" s="137" t="s">
        <v>74</v>
      </c>
    </row>
    <row r="32533" spans="9:9" x14ac:dyDescent="0.2">
      <c r="I32533" s="137" t="s">
        <v>74</v>
      </c>
    </row>
    <row r="32534" spans="9:9" x14ac:dyDescent="0.2">
      <c r="I32534" s="137" t="s">
        <v>74</v>
      </c>
    </row>
    <row r="32535" spans="9:9" x14ac:dyDescent="0.2">
      <c r="I32535" s="137" t="s">
        <v>74</v>
      </c>
    </row>
    <row r="32536" spans="9:9" x14ac:dyDescent="0.2">
      <c r="I32536" s="137" t="s">
        <v>74</v>
      </c>
    </row>
    <row r="32537" spans="9:9" x14ac:dyDescent="0.2">
      <c r="I32537" s="137" t="s">
        <v>74</v>
      </c>
    </row>
    <row r="32538" spans="9:9" x14ac:dyDescent="0.2">
      <c r="I32538" s="137" t="s">
        <v>74</v>
      </c>
    </row>
    <row r="32539" spans="9:9" x14ac:dyDescent="0.2">
      <c r="I32539" s="137" t="s">
        <v>74</v>
      </c>
    </row>
    <row r="32540" spans="9:9" x14ac:dyDescent="0.2">
      <c r="I32540" s="137" t="s">
        <v>74</v>
      </c>
    </row>
    <row r="32541" spans="9:9" x14ac:dyDescent="0.2">
      <c r="I32541" s="137" t="s">
        <v>74</v>
      </c>
    </row>
    <row r="32542" spans="9:9" x14ac:dyDescent="0.2">
      <c r="I32542" s="137" t="s">
        <v>74</v>
      </c>
    </row>
    <row r="32543" spans="9:9" x14ac:dyDescent="0.2">
      <c r="I32543" s="137" t="s">
        <v>74</v>
      </c>
    </row>
    <row r="32544" spans="9:9" x14ac:dyDescent="0.2">
      <c r="I32544" s="137" t="s">
        <v>74</v>
      </c>
    </row>
    <row r="32545" spans="9:9" x14ac:dyDescent="0.2">
      <c r="I32545" s="137" t="s">
        <v>74</v>
      </c>
    </row>
    <row r="32546" spans="9:9" x14ac:dyDescent="0.2">
      <c r="I32546" s="137" t="s">
        <v>74</v>
      </c>
    </row>
    <row r="32547" spans="9:9" x14ac:dyDescent="0.2">
      <c r="I32547" s="137" t="s">
        <v>74</v>
      </c>
    </row>
    <row r="32548" spans="9:9" x14ac:dyDescent="0.2">
      <c r="I32548" s="137" t="s">
        <v>74</v>
      </c>
    </row>
    <row r="32549" spans="9:9" x14ac:dyDescent="0.2">
      <c r="I32549" s="137" t="s">
        <v>74</v>
      </c>
    </row>
    <row r="32550" spans="9:9" x14ac:dyDescent="0.2">
      <c r="I32550" s="137" t="s">
        <v>74</v>
      </c>
    </row>
    <row r="32551" spans="9:9" x14ac:dyDescent="0.2">
      <c r="I32551" s="137" t="s">
        <v>74</v>
      </c>
    </row>
    <row r="32552" spans="9:9" x14ac:dyDescent="0.2">
      <c r="I32552" s="137" t="s">
        <v>74</v>
      </c>
    </row>
    <row r="32553" spans="9:9" x14ac:dyDescent="0.2">
      <c r="I32553" s="137" t="s">
        <v>74</v>
      </c>
    </row>
    <row r="32554" spans="9:9" x14ac:dyDescent="0.2">
      <c r="I32554" s="137" t="s">
        <v>74</v>
      </c>
    </row>
    <row r="32555" spans="9:9" x14ac:dyDescent="0.2">
      <c r="I32555" s="137" t="s">
        <v>74</v>
      </c>
    </row>
    <row r="32556" spans="9:9" x14ac:dyDescent="0.2">
      <c r="I32556" s="137" t="s">
        <v>74</v>
      </c>
    </row>
    <row r="32557" spans="9:9" x14ac:dyDescent="0.2">
      <c r="I32557" s="137" t="s">
        <v>74</v>
      </c>
    </row>
    <row r="32558" spans="9:9" x14ac:dyDescent="0.2">
      <c r="I32558" s="137" t="s">
        <v>74</v>
      </c>
    </row>
    <row r="32559" spans="9:9" x14ac:dyDescent="0.2">
      <c r="I32559" s="137" t="s">
        <v>74</v>
      </c>
    </row>
    <row r="32560" spans="9:9" x14ac:dyDescent="0.2">
      <c r="I32560" s="137" t="s">
        <v>74</v>
      </c>
    </row>
    <row r="32561" spans="9:9" x14ac:dyDescent="0.2">
      <c r="I32561" s="137" t="s">
        <v>74</v>
      </c>
    </row>
    <row r="32562" spans="9:9" x14ac:dyDescent="0.2">
      <c r="I32562" s="137" t="s">
        <v>74</v>
      </c>
    </row>
    <row r="32563" spans="9:9" x14ac:dyDescent="0.2">
      <c r="I32563" s="137" t="s">
        <v>74</v>
      </c>
    </row>
    <row r="32564" spans="9:9" x14ac:dyDescent="0.2">
      <c r="I32564" s="137" t="s">
        <v>74</v>
      </c>
    </row>
    <row r="32565" spans="9:9" x14ac:dyDescent="0.2">
      <c r="I32565" s="137" t="s">
        <v>74</v>
      </c>
    </row>
    <row r="32566" spans="9:9" x14ac:dyDescent="0.2">
      <c r="I32566" s="137" t="s">
        <v>74</v>
      </c>
    </row>
    <row r="32567" spans="9:9" x14ac:dyDescent="0.2">
      <c r="I32567" s="137" t="s">
        <v>74</v>
      </c>
    </row>
    <row r="32568" spans="9:9" x14ac:dyDescent="0.2">
      <c r="I32568" s="137" t="s">
        <v>74</v>
      </c>
    </row>
    <row r="32569" spans="9:9" x14ac:dyDescent="0.2">
      <c r="I32569" s="137" t="s">
        <v>74</v>
      </c>
    </row>
    <row r="32570" spans="9:9" x14ac:dyDescent="0.2">
      <c r="I32570" s="137" t="s">
        <v>74</v>
      </c>
    </row>
    <row r="32571" spans="9:9" x14ac:dyDescent="0.2">
      <c r="I32571" s="137" t="s">
        <v>74</v>
      </c>
    </row>
    <row r="32572" spans="9:9" x14ac:dyDescent="0.2">
      <c r="I32572" s="137" t="s">
        <v>74</v>
      </c>
    </row>
    <row r="32573" spans="9:9" x14ac:dyDescent="0.2">
      <c r="I32573" s="137" t="s">
        <v>74</v>
      </c>
    </row>
    <row r="32574" spans="9:9" x14ac:dyDescent="0.2">
      <c r="I32574" s="137" t="s">
        <v>74</v>
      </c>
    </row>
    <row r="32575" spans="9:9" x14ac:dyDescent="0.2">
      <c r="I32575" s="137" t="s">
        <v>74</v>
      </c>
    </row>
    <row r="32576" spans="9:9" x14ac:dyDescent="0.2">
      <c r="I32576" s="137" t="s">
        <v>74</v>
      </c>
    </row>
    <row r="32577" spans="9:9" x14ac:dyDescent="0.2">
      <c r="I32577" s="137" t="s">
        <v>74</v>
      </c>
    </row>
    <row r="32578" spans="9:9" x14ac:dyDescent="0.2">
      <c r="I32578" s="137" t="s">
        <v>74</v>
      </c>
    </row>
    <row r="32579" spans="9:9" x14ac:dyDescent="0.2">
      <c r="I32579" s="137" t="s">
        <v>74</v>
      </c>
    </row>
    <row r="32580" spans="9:9" x14ac:dyDescent="0.2">
      <c r="I32580" s="137" t="s">
        <v>74</v>
      </c>
    </row>
    <row r="32581" spans="9:9" x14ac:dyDescent="0.2">
      <c r="I32581" s="137" t="s">
        <v>74</v>
      </c>
    </row>
    <row r="32582" spans="9:9" x14ac:dyDescent="0.2">
      <c r="I32582" s="137" t="s">
        <v>74</v>
      </c>
    </row>
    <row r="32583" spans="9:9" x14ac:dyDescent="0.2">
      <c r="I32583" s="137" t="s">
        <v>74</v>
      </c>
    </row>
    <row r="32584" spans="9:9" x14ac:dyDescent="0.2">
      <c r="I32584" s="137" t="s">
        <v>74</v>
      </c>
    </row>
    <row r="32585" spans="9:9" x14ac:dyDescent="0.2">
      <c r="I32585" s="137" t="s">
        <v>74</v>
      </c>
    </row>
    <row r="32586" spans="9:9" x14ac:dyDescent="0.2">
      <c r="I32586" s="137" t="s">
        <v>74</v>
      </c>
    </row>
    <row r="32587" spans="9:9" x14ac:dyDescent="0.2">
      <c r="I32587" s="137" t="s">
        <v>74</v>
      </c>
    </row>
    <row r="32588" spans="9:9" x14ac:dyDescent="0.2">
      <c r="I32588" s="137" t="s">
        <v>74</v>
      </c>
    </row>
    <row r="32589" spans="9:9" x14ac:dyDescent="0.2">
      <c r="I32589" s="137" t="s">
        <v>74</v>
      </c>
    </row>
    <row r="32590" spans="9:9" x14ac:dyDescent="0.2">
      <c r="I32590" s="137" t="s">
        <v>74</v>
      </c>
    </row>
    <row r="32591" spans="9:9" x14ac:dyDescent="0.2">
      <c r="I32591" s="137" t="s">
        <v>74</v>
      </c>
    </row>
    <row r="32592" spans="9:9" x14ac:dyDescent="0.2">
      <c r="I32592" s="137" t="s">
        <v>74</v>
      </c>
    </row>
    <row r="32593" spans="9:9" x14ac:dyDescent="0.2">
      <c r="I32593" s="137" t="s">
        <v>74</v>
      </c>
    </row>
    <row r="32594" spans="9:9" x14ac:dyDescent="0.2">
      <c r="I32594" s="137" t="s">
        <v>74</v>
      </c>
    </row>
    <row r="32595" spans="9:9" x14ac:dyDescent="0.2">
      <c r="I32595" s="137" t="s">
        <v>74</v>
      </c>
    </row>
    <row r="32596" spans="9:9" x14ac:dyDescent="0.2">
      <c r="I32596" s="137" t="s">
        <v>74</v>
      </c>
    </row>
    <row r="32597" spans="9:9" x14ac:dyDescent="0.2">
      <c r="I32597" s="137" t="s">
        <v>74</v>
      </c>
    </row>
    <row r="32598" spans="9:9" x14ac:dyDescent="0.2">
      <c r="I32598" s="137" t="s">
        <v>74</v>
      </c>
    </row>
    <row r="32599" spans="9:9" x14ac:dyDescent="0.2">
      <c r="I32599" s="137" t="s">
        <v>74</v>
      </c>
    </row>
    <row r="32600" spans="9:9" x14ac:dyDescent="0.2">
      <c r="I32600" s="137" t="s">
        <v>74</v>
      </c>
    </row>
    <row r="32601" spans="9:9" x14ac:dyDescent="0.2">
      <c r="I32601" s="137" t="s">
        <v>74</v>
      </c>
    </row>
    <row r="32602" spans="9:9" x14ac:dyDescent="0.2">
      <c r="I32602" s="137" t="s">
        <v>74</v>
      </c>
    </row>
    <row r="32603" spans="9:9" x14ac:dyDescent="0.2">
      <c r="I32603" s="137" t="s">
        <v>74</v>
      </c>
    </row>
    <row r="32604" spans="9:9" x14ac:dyDescent="0.2">
      <c r="I32604" s="137" t="s">
        <v>74</v>
      </c>
    </row>
    <row r="32605" spans="9:9" x14ac:dyDescent="0.2">
      <c r="I32605" s="137" t="s">
        <v>74</v>
      </c>
    </row>
    <row r="32606" spans="9:9" x14ac:dyDescent="0.2">
      <c r="I32606" s="137" t="s">
        <v>74</v>
      </c>
    </row>
    <row r="32607" spans="9:9" x14ac:dyDescent="0.2">
      <c r="I32607" s="137" t="s">
        <v>74</v>
      </c>
    </row>
    <row r="32608" spans="9:9" x14ac:dyDescent="0.2">
      <c r="I32608" s="137" t="s">
        <v>74</v>
      </c>
    </row>
    <row r="32609" spans="9:9" x14ac:dyDescent="0.2">
      <c r="I32609" s="137" t="s">
        <v>74</v>
      </c>
    </row>
    <row r="32610" spans="9:9" x14ac:dyDescent="0.2">
      <c r="I32610" s="137" t="s">
        <v>74</v>
      </c>
    </row>
    <row r="32611" spans="9:9" x14ac:dyDescent="0.2">
      <c r="I32611" s="137" t="s">
        <v>74</v>
      </c>
    </row>
    <row r="32612" spans="9:9" x14ac:dyDescent="0.2">
      <c r="I32612" s="137" t="s">
        <v>74</v>
      </c>
    </row>
    <row r="32613" spans="9:9" x14ac:dyDescent="0.2">
      <c r="I32613" s="137" t="s">
        <v>74</v>
      </c>
    </row>
    <row r="32614" spans="9:9" x14ac:dyDescent="0.2">
      <c r="I32614" s="137" t="s">
        <v>74</v>
      </c>
    </row>
    <row r="32615" spans="9:9" x14ac:dyDescent="0.2">
      <c r="I32615" s="137" t="s">
        <v>74</v>
      </c>
    </row>
    <row r="32616" spans="9:9" x14ac:dyDescent="0.2">
      <c r="I32616" s="137" t="s">
        <v>74</v>
      </c>
    </row>
    <row r="32617" spans="9:9" x14ac:dyDescent="0.2">
      <c r="I32617" s="137" t="s">
        <v>74</v>
      </c>
    </row>
    <row r="32618" spans="9:9" x14ac:dyDescent="0.2">
      <c r="I32618" s="137" t="s">
        <v>74</v>
      </c>
    </row>
    <row r="32619" spans="9:9" x14ac:dyDescent="0.2">
      <c r="I32619" s="137" t="s">
        <v>74</v>
      </c>
    </row>
    <row r="32620" spans="9:9" x14ac:dyDescent="0.2">
      <c r="I32620" s="137" t="s">
        <v>74</v>
      </c>
    </row>
    <row r="32621" spans="9:9" x14ac:dyDescent="0.2">
      <c r="I32621" s="137" t="s">
        <v>74</v>
      </c>
    </row>
    <row r="32622" spans="9:9" x14ac:dyDescent="0.2">
      <c r="I32622" s="137" t="s">
        <v>74</v>
      </c>
    </row>
    <row r="32623" spans="9:9" x14ac:dyDescent="0.2">
      <c r="I32623" s="137" t="s">
        <v>74</v>
      </c>
    </row>
    <row r="32624" spans="9:9" x14ac:dyDescent="0.2">
      <c r="I32624" s="137" t="s">
        <v>74</v>
      </c>
    </row>
    <row r="32625" spans="9:9" x14ac:dyDescent="0.2">
      <c r="I32625" s="137" t="s">
        <v>74</v>
      </c>
    </row>
    <row r="32626" spans="9:9" x14ac:dyDescent="0.2">
      <c r="I32626" s="137" t="s">
        <v>74</v>
      </c>
    </row>
    <row r="32627" spans="9:9" x14ac:dyDescent="0.2">
      <c r="I32627" s="137" t="s">
        <v>74</v>
      </c>
    </row>
    <row r="32628" spans="9:9" x14ac:dyDescent="0.2">
      <c r="I32628" s="137" t="s">
        <v>74</v>
      </c>
    </row>
    <row r="32629" spans="9:9" x14ac:dyDescent="0.2">
      <c r="I32629" s="137" t="s">
        <v>74</v>
      </c>
    </row>
    <row r="32630" spans="9:9" x14ac:dyDescent="0.2">
      <c r="I32630" s="137" t="s">
        <v>74</v>
      </c>
    </row>
    <row r="32631" spans="9:9" x14ac:dyDescent="0.2">
      <c r="I32631" s="137" t="s">
        <v>74</v>
      </c>
    </row>
    <row r="32632" spans="9:9" x14ac:dyDescent="0.2">
      <c r="I32632" s="137" t="s">
        <v>74</v>
      </c>
    </row>
    <row r="32633" spans="9:9" x14ac:dyDescent="0.2">
      <c r="I32633" s="137" t="s">
        <v>74</v>
      </c>
    </row>
    <row r="32634" spans="9:9" x14ac:dyDescent="0.2">
      <c r="I32634" s="137" t="s">
        <v>74</v>
      </c>
    </row>
    <row r="32635" spans="9:9" x14ac:dyDescent="0.2">
      <c r="I32635" s="137" t="s">
        <v>74</v>
      </c>
    </row>
    <row r="32636" spans="9:9" x14ac:dyDescent="0.2">
      <c r="I32636" s="137" t="s">
        <v>74</v>
      </c>
    </row>
    <row r="32637" spans="9:9" x14ac:dyDescent="0.2">
      <c r="I32637" s="137" t="s">
        <v>74</v>
      </c>
    </row>
    <row r="32638" spans="9:9" x14ac:dyDescent="0.2">
      <c r="I32638" s="137" t="s">
        <v>74</v>
      </c>
    </row>
    <row r="32639" spans="9:9" x14ac:dyDescent="0.2">
      <c r="I32639" s="137" t="s">
        <v>74</v>
      </c>
    </row>
    <row r="32640" spans="9:9" x14ac:dyDescent="0.2">
      <c r="I32640" s="137" t="s">
        <v>74</v>
      </c>
    </row>
    <row r="32641" spans="9:9" x14ac:dyDescent="0.2">
      <c r="I32641" s="137" t="s">
        <v>74</v>
      </c>
    </row>
    <row r="32642" spans="9:9" x14ac:dyDescent="0.2">
      <c r="I32642" s="137" t="s">
        <v>74</v>
      </c>
    </row>
    <row r="32643" spans="9:9" x14ac:dyDescent="0.2">
      <c r="I32643" s="137" t="s">
        <v>74</v>
      </c>
    </row>
    <row r="32644" spans="9:9" x14ac:dyDescent="0.2">
      <c r="I32644" s="137" t="s">
        <v>74</v>
      </c>
    </row>
    <row r="32645" spans="9:9" x14ac:dyDescent="0.2">
      <c r="I32645" s="137" t="s">
        <v>74</v>
      </c>
    </row>
    <row r="32646" spans="9:9" x14ac:dyDescent="0.2">
      <c r="I32646" s="137" t="s">
        <v>74</v>
      </c>
    </row>
    <row r="32647" spans="9:9" x14ac:dyDescent="0.2">
      <c r="I32647" s="137" t="s">
        <v>74</v>
      </c>
    </row>
    <row r="32648" spans="9:9" x14ac:dyDescent="0.2">
      <c r="I32648" s="137" t="s">
        <v>74</v>
      </c>
    </row>
    <row r="32649" spans="9:9" x14ac:dyDescent="0.2">
      <c r="I32649" s="137" t="s">
        <v>74</v>
      </c>
    </row>
    <row r="32650" spans="9:9" x14ac:dyDescent="0.2">
      <c r="I32650" s="137" t="s">
        <v>74</v>
      </c>
    </row>
    <row r="32651" spans="9:9" x14ac:dyDescent="0.2">
      <c r="I32651" s="137" t="s">
        <v>74</v>
      </c>
    </row>
    <row r="32652" spans="9:9" x14ac:dyDescent="0.2">
      <c r="I32652" s="137" t="s">
        <v>74</v>
      </c>
    </row>
    <row r="32653" spans="9:9" x14ac:dyDescent="0.2">
      <c r="I32653" s="137" t="s">
        <v>74</v>
      </c>
    </row>
    <row r="32654" spans="9:9" x14ac:dyDescent="0.2">
      <c r="I32654" s="137" t="s">
        <v>74</v>
      </c>
    </row>
    <row r="32655" spans="9:9" x14ac:dyDescent="0.2">
      <c r="I32655" s="137" t="s">
        <v>74</v>
      </c>
    </row>
    <row r="32656" spans="9:9" x14ac:dyDescent="0.2">
      <c r="I32656" s="137" t="s">
        <v>74</v>
      </c>
    </row>
    <row r="32657" spans="9:9" x14ac:dyDescent="0.2">
      <c r="I32657" s="137" t="s">
        <v>74</v>
      </c>
    </row>
    <row r="32658" spans="9:9" x14ac:dyDescent="0.2">
      <c r="I32658" s="137" t="s">
        <v>74</v>
      </c>
    </row>
    <row r="32659" spans="9:9" x14ac:dyDescent="0.2">
      <c r="I32659" s="137" t="s">
        <v>74</v>
      </c>
    </row>
    <row r="32660" spans="9:9" x14ac:dyDescent="0.2">
      <c r="I32660" s="137" t="s">
        <v>74</v>
      </c>
    </row>
    <row r="32661" spans="9:9" x14ac:dyDescent="0.2">
      <c r="I32661" s="137" t="s">
        <v>74</v>
      </c>
    </row>
    <row r="32662" spans="9:9" x14ac:dyDescent="0.2">
      <c r="I32662" s="137" t="s">
        <v>74</v>
      </c>
    </row>
    <row r="32663" spans="9:9" x14ac:dyDescent="0.2">
      <c r="I32663" s="137" t="s">
        <v>74</v>
      </c>
    </row>
    <row r="32664" spans="9:9" x14ac:dyDescent="0.2">
      <c r="I32664" s="137" t="s">
        <v>74</v>
      </c>
    </row>
    <row r="32665" spans="9:9" x14ac:dyDescent="0.2">
      <c r="I32665" s="137" t="s">
        <v>74</v>
      </c>
    </row>
    <row r="32666" spans="9:9" x14ac:dyDescent="0.2">
      <c r="I32666" s="137" t="s">
        <v>74</v>
      </c>
    </row>
    <row r="32667" spans="9:9" x14ac:dyDescent="0.2">
      <c r="I32667" s="137" t="s">
        <v>74</v>
      </c>
    </row>
    <row r="32668" spans="9:9" x14ac:dyDescent="0.2">
      <c r="I32668" s="137" t="s">
        <v>74</v>
      </c>
    </row>
    <row r="32669" spans="9:9" x14ac:dyDescent="0.2">
      <c r="I32669" s="137" t="s">
        <v>74</v>
      </c>
    </row>
    <row r="32670" spans="9:9" x14ac:dyDescent="0.2">
      <c r="I32670" s="137" t="s">
        <v>74</v>
      </c>
    </row>
    <row r="32671" spans="9:9" x14ac:dyDescent="0.2">
      <c r="I32671" s="137" t="s">
        <v>74</v>
      </c>
    </row>
    <row r="32672" spans="9:9" x14ac:dyDescent="0.2">
      <c r="I32672" s="137" t="s">
        <v>74</v>
      </c>
    </row>
    <row r="32673" spans="9:9" x14ac:dyDescent="0.2">
      <c r="I32673" s="137" t="s">
        <v>74</v>
      </c>
    </row>
    <row r="32674" spans="9:9" x14ac:dyDescent="0.2">
      <c r="I32674" s="137" t="s">
        <v>74</v>
      </c>
    </row>
    <row r="32675" spans="9:9" x14ac:dyDescent="0.2">
      <c r="I32675" s="137" t="s">
        <v>74</v>
      </c>
    </row>
    <row r="32676" spans="9:9" x14ac:dyDescent="0.2">
      <c r="I32676" s="137" t="s">
        <v>74</v>
      </c>
    </row>
    <row r="32677" spans="9:9" x14ac:dyDescent="0.2">
      <c r="I32677" s="137" t="s">
        <v>74</v>
      </c>
    </row>
    <row r="32678" spans="9:9" x14ac:dyDescent="0.2">
      <c r="I32678" s="137" t="s">
        <v>74</v>
      </c>
    </row>
    <row r="32679" spans="9:9" x14ac:dyDescent="0.2">
      <c r="I32679" s="137" t="s">
        <v>74</v>
      </c>
    </row>
    <row r="32680" spans="9:9" x14ac:dyDescent="0.2">
      <c r="I32680" s="137" t="s">
        <v>74</v>
      </c>
    </row>
    <row r="32681" spans="9:9" x14ac:dyDescent="0.2">
      <c r="I32681" s="137" t="s">
        <v>74</v>
      </c>
    </row>
    <row r="32682" spans="9:9" x14ac:dyDescent="0.2">
      <c r="I32682" s="137" t="s">
        <v>74</v>
      </c>
    </row>
    <row r="32683" spans="9:9" x14ac:dyDescent="0.2">
      <c r="I32683" s="137" t="s">
        <v>74</v>
      </c>
    </row>
    <row r="32684" spans="9:9" x14ac:dyDescent="0.2">
      <c r="I32684" s="137" t="s">
        <v>74</v>
      </c>
    </row>
    <row r="32685" spans="9:9" x14ac:dyDescent="0.2">
      <c r="I32685" s="137" t="s">
        <v>74</v>
      </c>
    </row>
    <row r="32686" spans="9:9" x14ac:dyDescent="0.2">
      <c r="I32686" s="137" t="s">
        <v>74</v>
      </c>
    </row>
    <row r="32687" spans="9:9" x14ac:dyDescent="0.2">
      <c r="I32687" s="137" t="s">
        <v>74</v>
      </c>
    </row>
    <row r="32688" spans="9:9" x14ac:dyDescent="0.2">
      <c r="I32688" s="137" t="s">
        <v>74</v>
      </c>
    </row>
    <row r="32689" spans="9:9" x14ac:dyDescent="0.2">
      <c r="I32689" s="137" t="s">
        <v>74</v>
      </c>
    </row>
    <row r="32690" spans="9:9" x14ac:dyDescent="0.2">
      <c r="I32690" s="137" t="s">
        <v>74</v>
      </c>
    </row>
    <row r="32691" spans="9:9" x14ac:dyDescent="0.2">
      <c r="I32691" s="137" t="s">
        <v>74</v>
      </c>
    </row>
    <row r="32692" spans="9:9" x14ac:dyDescent="0.2">
      <c r="I32692" s="137" t="s">
        <v>74</v>
      </c>
    </row>
    <row r="32693" spans="9:9" x14ac:dyDescent="0.2">
      <c r="I32693" s="137" t="s">
        <v>74</v>
      </c>
    </row>
    <row r="32694" spans="9:9" x14ac:dyDescent="0.2">
      <c r="I32694" s="137" t="s">
        <v>74</v>
      </c>
    </row>
    <row r="32695" spans="9:9" x14ac:dyDescent="0.2">
      <c r="I32695" s="137" t="s">
        <v>74</v>
      </c>
    </row>
    <row r="32696" spans="9:9" x14ac:dyDescent="0.2">
      <c r="I32696" s="137" t="s">
        <v>74</v>
      </c>
    </row>
    <row r="32697" spans="9:9" x14ac:dyDescent="0.2">
      <c r="I32697" s="137" t="s">
        <v>74</v>
      </c>
    </row>
    <row r="32698" spans="9:9" x14ac:dyDescent="0.2">
      <c r="I32698" s="137" t="s">
        <v>74</v>
      </c>
    </row>
    <row r="32699" spans="9:9" x14ac:dyDescent="0.2">
      <c r="I32699" s="137" t="s">
        <v>74</v>
      </c>
    </row>
    <row r="32700" spans="9:9" x14ac:dyDescent="0.2">
      <c r="I32700" s="137" t="s">
        <v>74</v>
      </c>
    </row>
    <row r="32701" spans="9:9" x14ac:dyDescent="0.2">
      <c r="I32701" s="137" t="s">
        <v>74</v>
      </c>
    </row>
    <row r="32702" spans="9:9" x14ac:dyDescent="0.2">
      <c r="I32702" s="137" t="s">
        <v>74</v>
      </c>
    </row>
    <row r="32703" spans="9:9" x14ac:dyDescent="0.2">
      <c r="I32703" s="137" t="s">
        <v>74</v>
      </c>
    </row>
    <row r="32704" spans="9:9" x14ac:dyDescent="0.2">
      <c r="I32704" s="137" t="s">
        <v>74</v>
      </c>
    </row>
    <row r="32705" spans="9:9" x14ac:dyDescent="0.2">
      <c r="I32705" s="137" t="s">
        <v>74</v>
      </c>
    </row>
    <row r="32706" spans="9:9" x14ac:dyDescent="0.2">
      <c r="I32706" s="137" t="s">
        <v>74</v>
      </c>
    </row>
    <row r="32707" spans="9:9" x14ac:dyDescent="0.2">
      <c r="I32707" s="137" t="s">
        <v>74</v>
      </c>
    </row>
    <row r="32708" spans="9:9" x14ac:dyDescent="0.2">
      <c r="I32708" s="137" t="s">
        <v>74</v>
      </c>
    </row>
    <row r="32709" spans="9:9" x14ac:dyDescent="0.2">
      <c r="I32709" s="137" t="s">
        <v>74</v>
      </c>
    </row>
    <row r="32710" spans="9:9" x14ac:dyDescent="0.2">
      <c r="I32710" s="137" t="s">
        <v>74</v>
      </c>
    </row>
    <row r="32711" spans="9:9" x14ac:dyDescent="0.2">
      <c r="I32711" s="137" t="s">
        <v>74</v>
      </c>
    </row>
    <row r="32712" spans="9:9" x14ac:dyDescent="0.2">
      <c r="I32712" s="137" t="s">
        <v>74</v>
      </c>
    </row>
    <row r="32713" spans="9:9" x14ac:dyDescent="0.2">
      <c r="I32713" s="137" t="s">
        <v>74</v>
      </c>
    </row>
    <row r="32714" spans="9:9" x14ac:dyDescent="0.2">
      <c r="I32714" s="137" t="s">
        <v>74</v>
      </c>
    </row>
    <row r="32715" spans="9:9" x14ac:dyDescent="0.2">
      <c r="I32715" s="137" t="s">
        <v>74</v>
      </c>
    </row>
    <row r="32716" spans="9:9" x14ac:dyDescent="0.2">
      <c r="I32716" s="137" t="s">
        <v>74</v>
      </c>
    </row>
    <row r="32717" spans="9:9" x14ac:dyDescent="0.2">
      <c r="I32717" s="137" t="s">
        <v>74</v>
      </c>
    </row>
    <row r="32718" spans="9:9" x14ac:dyDescent="0.2">
      <c r="I32718" s="137" t="s">
        <v>74</v>
      </c>
    </row>
    <row r="32719" spans="9:9" x14ac:dyDescent="0.2">
      <c r="I32719" s="137" t="s">
        <v>74</v>
      </c>
    </row>
    <row r="32720" spans="9:9" x14ac:dyDescent="0.2">
      <c r="I32720" s="137" t="s">
        <v>74</v>
      </c>
    </row>
    <row r="32721" spans="9:9" x14ac:dyDescent="0.2">
      <c r="I32721" s="137" t="s">
        <v>74</v>
      </c>
    </row>
    <row r="32722" spans="9:9" x14ac:dyDescent="0.2">
      <c r="I32722" s="137" t="s">
        <v>74</v>
      </c>
    </row>
    <row r="32723" spans="9:9" x14ac:dyDescent="0.2">
      <c r="I32723" s="137" t="s">
        <v>74</v>
      </c>
    </row>
    <row r="32724" spans="9:9" x14ac:dyDescent="0.2">
      <c r="I32724" s="137" t="s">
        <v>74</v>
      </c>
    </row>
    <row r="32725" spans="9:9" x14ac:dyDescent="0.2">
      <c r="I32725" s="137" t="s">
        <v>74</v>
      </c>
    </row>
    <row r="32726" spans="9:9" x14ac:dyDescent="0.2">
      <c r="I32726" s="137" t="s">
        <v>74</v>
      </c>
    </row>
    <row r="32727" spans="9:9" x14ac:dyDescent="0.2">
      <c r="I32727" s="137" t="s">
        <v>74</v>
      </c>
    </row>
    <row r="32728" spans="9:9" x14ac:dyDescent="0.2">
      <c r="I32728" s="137" t="s">
        <v>74</v>
      </c>
    </row>
    <row r="32729" spans="9:9" x14ac:dyDescent="0.2">
      <c r="I32729" s="137" t="s">
        <v>74</v>
      </c>
    </row>
    <row r="32730" spans="9:9" x14ac:dyDescent="0.2">
      <c r="I32730" s="137" t="s">
        <v>74</v>
      </c>
    </row>
    <row r="32731" spans="9:9" x14ac:dyDescent="0.2">
      <c r="I32731" s="137" t="s">
        <v>74</v>
      </c>
    </row>
    <row r="32732" spans="9:9" x14ac:dyDescent="0.2">
      <c r="I32732" s="137" t="s">
        <v>74</v>
      </c>
    </row>
    <row r="32733" spans="9:9" x14ac:dyDescent="0.2">
      <c r="I32733" s="137" t="s">
        <v>74</v>
      </c>
    </row>
    <row r="32734" spans="9:9" x14ac:dyDescent="0.2">
      <c r="I32734" s="137" t="s">
        <v>74</v>
      </c>
    </row>
    <row r="32735" spans="9:9" x14ac:dyDescent="0.2">
      <c r="I32735" s="137" t="s">
        <v>74</v>
      </c>
    </row>
    <row r="32736" spans="9:9" x14ac:dyDescent="0.2">
      <c r="I32736" s="137" t="s">
        <v>74</v>
      </c>
    </row>
    <row r="32737" spans="9:9" x14ac:dyDescent="0.2">
      <c r="I32737" s="137" t="s">
        <v>74</v>
      </c>
    </row>
    <row r="32738" spans="9:9" x14ac:dyDescent="0.2">
      <c r="I32738" s="137" t="s">
        <v>74</v>
      </c>
    </row>
    <row r="32739" spans="9:9" x14ac:dyDescent="0.2">
      <c r="I32739" s="137" t="s">
        <v>74</v>
      </c>
    </row>
    <row r="32740" spans="9:9" x14ac:dyDescent="0.2">
      <c r="I32740" s="137" t="s">
        <v>74</v>
      </c>
    </row>
    <row r="32741" spans="9:9" x14ac:dyDescent="0.2">
      <c r="I32741" s="137" t="s">
        <v>74</v>
      </c>
    </row>
    <row r="32742" spans="9:9" x14ac:dyDescent="0.2">
      <c r="I32742" s="137" t="s">
        <v>74</v>
      </c>
    </row>
    <row r="32743" spans="9:9" x14ac:dyDescent="0.2">
      <c r="I32743" s="137" t="s">
        <v>74</v>
      </c>
    </row>
    <row r="32744" spans="9:9" x14ac:dyDescent="0.2">
      <c r="I32744" s="137" t="s">
        <v>74</v>
      </c>
    </row>
    <row r="32745" spans="9:9" x14ac:dyDescent="0.2">
      <c r="I32745" s="137" t="s">
        <v>74</v>
      </c>
    </row>
    <row r="32746" spans="9:9" x14ac:dyDescent="0.2">
      <c r="I32746" s="137" t="s">
        <v>74</v>
      </c>
    </row>
    <row r="32747" spans="9:9" x14ac:dyDescent="0.2">
      <c r="I32747" s="137" t="s">
        <v>74</v>
      </c>
    </row>
    <row r="32748" spans="9:9" x14ac:dyDescent="0.2">
      <c r="I32748" s="137" t="s">
        <v>74</v>
      </c>
    </row>
    <row r="32749" spans="9:9" x14ac:dyDescent="0.2">
      <c r="I32749" s="137" t="s">
        <v>74</v>
      </c>
    </row>
    <row r="32750" spans="9:9" x14ac:dyDescent="0.2">
      <c r="I32750" s="137" t="s">
        <v>74</v>
      </c>
    </row>
    <row r="32751" spans="9:9" x14ac:dyDescent="0.2">
      <c r="I32751" s="137" t="s">
        <v>74</v>
      </c>
    </row>
    <row r="32752" spans="9:9" x14ac:dyDescent="0.2">
      <c r="I32752" s="137" t="s">
        <v>74</v>
      </c>
    </row>
    <row r="32753" spans="9:9" x14ac:dyDescent="0.2">
      <c r="I32753" s="137" t="s">
        <v>74</v>
      </c>
    </row>
    <row r="32754" spans="9:9" x14ac:dyDescent="0.2">
      <c r="I32754" s="137" t="s">
        <v>74</v>
      </c>
    </row>
    <row r="32755" spans="9:9" x14ac:dyDescent="0.2">
      <c r="I32755" s="137" t="s">
        <v>74</v>
      </c>
    </row>
    <row r="32756" spans="9:9" x14ac:dyDescent="0.2">
      <c r="I32756" s="137" t="s">
        <v>74</v>
      </c>
    </row>
    <row r="32757" spans="9:9" x14ac:dyDescent="0.2">
      <c r="I32757" s="137" t="s">
        <v>74</v>
      </c>
    </row>
    <row r="32758" spans="9:9" x14ac:dyDescent="0.2">
      <c r="I32758" s="137" t="s">
        <v>74</v>
      </c>
    </row>
    <row r="32759" spans="9:9" x14ac:dyDescent="0.2">
      <c r="I32759" s="137" t="s">
        <v>74</v>
      </c>
    </row>
    <row r="32760" spans="9:9" x14ac:dyDescent="0.2">
      <c r="I32760" s="137" t="s">
        <v>74</v>
      </c>
    </row>
    <row r="32761" spans="9:9" x14ac:dyDescent="0.2">
      <c r="I32761" s="137" t="s">
        <v>74</v>
      </c>
    </row>
    <row r="32762" spans="9:9" x14ac:dyDescent="0.2">
      <c r="I32762" s="137" t="s">
        <v>74</v>
      </c>
    </row>
    <row r="32763" spans="9:9" x14ac:dyDescent="0.2">
      <c r="I32763" s="137" t="s">
        <v>74</v>
      </c>
    </row>
    <row r="32764" spans="9:9" x14ac:dyDescent="0.2">
      <c r="I32764" s="137" t="s">
        <v>74</v>
      </c>
    </row>
    <row r="32765" spans="9:9" x14ac:dyDescent="0.2">
      <c r="I32765" s="137" t="s">
        <v>74</v>
      </c>
    </row>
    <row r="32766" spans="9:9" x14ac:dyDescent="0.2">
      <c r="I32766" s="137" t="s">
        <v>74</v>
      </c>
    </row>
    <row r="32767" spans="9:9" x14ac:dyDescent="0.2">
      <c r="I32767" s="137" t="s">
        <v>74</v>
      </c>
    </row>
    <row r="32768" spans="9:9" x14ac:dyDescent="0.2">
      <c r="I32768" s="137" t="s">
        <v>74</v>
      </c>
    </row>
    <row r="32769" spans="9:9" x14ac:dyDescent="0.2">
      <c r="I32769" s="137" t="s">
        <v>74</v>
      </c>
    </row>
    <row r="32770" spans="9:9" x14ac:dyDescent="0.2">
      <c r="I32770" s="137" t="s">
        <v>74</v>
      </c>
    </row>
    <row r="32771" spans="9:9" x14ac:dyDescent="0.2">
      <c r="I32771" s="137" t="s">
        <v>74</v>
      </c>
    </row>
    <row r="32772" spans="9:9" x14ac:dyDescent="0.2">
      <c r="I32772" s="137" t="s">
        <v>74</v>
      </c>
    </row>
    <row r="32773" spans="9:9" x14ac:dyDescent="0.2">
      <c r="I32773" s="137" t="s">
        <v>74</v>
      </c>
    </row>
    <row r="32774" spans="9:9" x14ac:dyDescent="0.2">
      <c r="I32774" s="137" t="s">
        <v>74</v>
      </c>
    </row>
    <row r="32775" spans="9:9" x14ac:dyDescent="0.2">
      <c r="I32775" s="137" t="s">
        <v>74</v>
      </c>
    </row>
    <row r="32776" spans="9:9" x14ac:dyDescent="0.2">
      <c r="I32776" s="137" t="s">
        <v>74</v>
      </c>
    </row>
    <row r="32777" spans="9:9" x14ac:dyDescent="0.2">
      <c r="I32777" s="137" t="s">
        <v>74</v>
      </c>
    </row>
    <row r="32778" spans="9:9" x14ac:dyDescent="0.2">
      <c r="I32778" s="137" t="s">
        <v>74</v>
      </c>
    </row>
    <row r="32779" spans="9:9" x14ac:dyDescent="0.2">
      <c r="I32779" s="137" t="s">
        <v>74</v>
      </c>
    </row>
    <row r="32780" spans="9:9" x14ac:dyDescent="0.2">
      <c r="I32780" s="137" t="s">
        <v>74</v>
      </c>
    </row>
    <row r="32781" spans="9:9" x14ac:dyDescent="0.2">
      <c r="I32781" s="137" t="s">
        <v>74</v>
      </c>
    </row>
    <row r="32782" spans="9:9" x14ac:dyDescent="0.2">
      <c r="I32782" s="137" t="s">
        <v>74</v>
      </c>
    </row>
    <row r="32783" spans="9:9" x14ac:dyDescent="0.2">
      <c r="I32783" s="137" t="s">
        <v>74</v>
      </c>
    </row>
    <row r="32784" spans="9:9" x14ac:dyDescent="0.2">
      <c r="I32784" s="137" t="s">
        <v>74</v>
      </c>
    </row>
    <row r="32785" spans="9:9" x14ac:dyDescent="0.2">
      <c r="I32785" s="137" t="s">
        <v>74</v>
      </c>
    </row>
    <row r="32786" spans="9:9" x14ac:dyDescent="0.2">
      <c r="I32786" s="137" t="s">
        <v>74</v>
      </c>
    </row>
    <row r="32787" spans="9:9" x14ac:dyDescent="0.2">
      <c r="I32787" s="137" t="s">
        <v>74</v>
      </c>
    </row>
    <row r="32788" spans="9:9" x14ac:dyDescent="0.2">
      <c r="I32788" s="137" t="s">
        <v>74</v>
      </c>
    </row>
    <row r="32789" spans="9:9" x14ac:dyDescent="0.2">
      <c r="I32789" s="137" t="s">
        <v>74</v>
      </c>
    </row>
    <row r="32790" spans="9:9" x14ac:dyDescent="0.2">
      <c r="I32790" s="137" t="s">
        <v>74</v>
      </c>
    </row>
    <row r="32791" spans="9:9" x14ac:dyDescent="0.2">
      <c r="I32791" s="137" t="s">
        <v>74</v>
      </c>
    </row>
    <row r="32792" spans="9:9" x14ac:dyDescent="0.2">
      <c r="I32792" s="137" t="s">
        <v>74</v>
      </c>
    </row>
    <row r="32793" spans="9:9" x14ac:dyDescent="0.2">
      <c r="I32793" s="137" t="s">
        <v>74</v>
      </c>
    </row>
    <row r="32794" spans="9:9" x14ac:dyDescent="0.2">
      <c r="I32794" s="137" t="s">
        <v>74</v>
      </c>
    </row>
    <row r="32795" spans="9:9" x14ac:dyDescent="0.2">
      <c r="I32795" s="137" t="s">
        <v>74</v>
      </c>
    </row>
    <row r="32796" spans="9:9" x14ac:dyDescent="0.2">
      <c r="I32796" s="137" t="s">
        <v>74</v>
      </c>
    </row>
    <row r="32797" spans="9:9" x14ac:dyDescent="0.2">
      <c r="I32797" s="137" t="s">
        <v>74</v>
      </c>
    </row>
    <row r="32798" spans="9:9" x14ac:dyDescent="0.2">
      <c r="I32798" s="137" t="s">
        <v>74</v>
      </c>
    </row>
    <row r="32799" spans="9:9" x14ac:dyDescent="0.2">
      <c r="I32799" s="137" t="s">
        <v>74</v>
      </c>
    </row>
    <row r="32800" spans="9:9" x14ac:dyDescent="0.2">
      <c r="I32800" s="137" t="s">
        <v>74</v>
      </c>
    </row>
    <row r="32801" spans="9:9" x14ac:dyDescent="0.2">
      <c r="I32801" s="137" t="s">
        <v>74</v>
      </c>
    </row>
    <row r="32802" spans="9:9" x14ac:dyDescent="0.2">
      <c r="I32802" s="137" t="s">
        <v>74</v>
      </c>
    </row>
    <row r="32803" spans="9:9" x14ac:dyDescent="0.2">
      <c r="I32803" s="137" t="s">
        <v>74</v>
      </c>
    </row>
    <row r="32804" spans="9:9" x14ac:dyDescent="0.2">
      <c r="I32804" s="137" t="s">
        <v>74</v>
      </c>
    </row>
    <row r="32805" spans="9:9" x14ac:dyDescent="0.2">
      <c r="I32805" s="137" t="s">
        <v>74</v>
      </c>
    </row>
    <row r="32806" spans="9:9" x14ac:dyDescent="0.2">
      <c r="I32806" s="137" t="s">
        <v>74</v>
      </c>
    </row>
    <row r="32807" spans="9:9" x14ac:dyDescent="0.2">
      <c r="I32807" s="137" t="s">
        <v>74</v>
      </c>
    </row>
    <row r="32808" spans="9:9" x14ac:dyDescent="0.2">
      <c r="I32808" s="137" t="s">
        <v>74</v>
      </c>
    </row>
    <row r="32809" spans="9:9" x14ac:dyDescent="0.2">
      <c r="I32809" s="137" t="s">
        <v>74</v>
      </c>
    </row>
    <row r="32810" spans="9:9" x14ac:dyDescent="0.2">
      <c r="I32810" s="137" t="s">
        <v>74</v>
      </c>
    </row>
    <row r="32811" spans="9:9" x14ac:dyDescent="0.2">
      <c r="I32811" s="137" t="s">
        <v>74</v>
      </c>
    </row>
    <row r="32812" spans="9:9" x14ac:dyDescent="0.2">
      <c r="I32812" s="137" t="s">
        <v>74</v>
      </c>
    </row>
    <row r="32813" spans="9:9" x14ac:dyDescent="0.2">
      <c r="I32813" s="137" t="s">
        <v>74</v>
      </c>
    </row>
    <row r="32814" spans="9:9" x14ac:dyDescent="0.2">
      <c r="I32814" s="137" t="s">
        <v>74</v>
      </c>
    </row>
    <row r="32815" spans="9:9" x14ac:dyDescent="0.2">
      <c r="I32815" s="137" t="s">
        <v>74</v>
      </c>
    </row>
    <row r="32816" spans="9:9" x14ac:dyDescent="0.2">
      <c r="I32816" s="137" t="s">
        <v>74</v>
      </c>
    </row>
    <row r="32817" spans="9:9" x14ac:dyDescent="0.2">
      <c r="I32817" s="137" t="s">
        <v>74</v>
      </c>
    </row>
    <row r="32818" spans="9:9" x14ac:dyDescent="0.2">
      <c r="I32818" s="137" t="s">
        <v>74</v>
      </c>
    </row>
    <row r="32819" spans="9:9" x14ac:dyDescent="0.2">
      <c r="I32819" s="137" t="s">
        <v>74</v>
      </c>
    </row>
    <row r="32820" spans="9:9" x14ac:dyDescent="0.2">
      <c r="I32820" s="137" t="s">
        <v>74</v>
      </c>
    </row>
    <row r="32821" spans="9:9" x14ac:dyDescent="0.2">
      <c r="I32821" s="137" t="s">
        <v>74</v>
      </c>
    </row>
    <row r="32822" spans="9:9" x14ac:dyDescent="0.2">
      <c r="I32822" s="137" t="s">
        <v>74</v>
      </c>
    </row>
    <row r="32823" spans="9:9" x14ac:dyDescent="0.2">
      <c r="I32823" s="137" t="s">
        <v>74</v>
      </c>
    </row>
    <row r="32824" spans="9:9" x14ac:dyDescent="0.2">
      <c r="I32824" s="137" t="s">
        <v>74</v>
      </c>
    </row>
    <row r="32825" spans="9:9" x14ac:dyDescent="0.2">
      <c r="I32825" s="137" t="s">
        <v>74</v>
      </c>
    </row>
    <row r="32826" spans="9:9" x14ac:dyDescent="0.2">
      <c r="I32826" s="137" t="s">
        <v>74</v>
      </c>
    </row>
    <row r="32827" spans="9:9" x14ac:dyDescent="0.2">
      <c r="I32827" s="137" t="s">
        <v>74</v>
      </c>
    </row>
    <row r="32828" spans="9:9" x14ac:dyDescent="0.2">
      <c r="I32828" s="137" t="s">
        <v>74</v>
      </c>
    </row>
    <row r="32829" spans="9:9" x14ac:dyDescent="0.2">
      <c r="I32829" s="137" t="s">
        <v>74</v>
      </c>
    </row>
    <row r="32830" spans="9:9" x14ac:dyDescent="0.2">
      <c r="I32830" s="137" t="s">
        <v>74</v>
      </c>
    </row>
    <row r="32831" spans="9:9" x14ac:dyDescent="0.2">
      <c r="I32831" s="137" t="s">
        <v>74</v>
      </c>
    </row>
    <row r="32832" spans="9:9" x14ac:dyDescent="0.2">
      <c r="I32832" s="137" t="s">
        <v>74</v>
      </c>
    </row>
    <row r="32833" spans="9:9" x14ac:dyDescent="0.2">
      <c r="I32833" s="137" t="s">
        <v>74</v>
      </c>
    </row>
    <row r="32834" spans="9:9" x14ac:dyDescent="0.2">
      <c r="I32834" s="137" t="s">
        <v>74</v>
      </c>
    </row>
    <row r="32835" spans="9:9" x14ac:dyDescent="0.2">
      <c r="I32835" s="137" t="s">
        <v>74</v>
      </c>
    </row>
    <row r="32836" spans="9:9" x14ac:dyDescent="0.2">
      <c r="I32836" s="137" t="s">
        <v>74</v>
      </c>
    </row>
    <row r="32837" spans="9:9" x14ac:dyDescent="0.2">
      <c r="I32837" s="137" t="s">
        <v>74</v>
      </c>
    </row>
    <row r="32838" spans="9:9" x14ac:dyDescent="0.2">
      <c r="I32838" s="137" t="s">
        <v>74</v>
      </c>
    </row>
    <row r="32839" spans="9:9" x14ac:dyDescent="0.2">
      <c r="I32839" s="137" t="s">
        <v>74</v>
      </c>
    </row>
    <row r="32840" spans="9:9" x14ac:dyDescent="0.2">
      <c r="I32840" s="137" t="s">
        <v>74</v>
      </c>
    </row>
    <row r="32841" spans="9:9" x14ac:dyDescent="0.2">
      <c r="I32841" s="137" t="s">
        <v>74</v>
      </c>
    </row>
    <row r="32842" spans="9:9" x14ac:dyDescent="0.2">
      <c r="I32842" s="137" t="s">
        <v>74</v>
      </c>
    </row>
    <row r="32843" spans="9:9" x14ac:dyDescent="0.2">
      <c r="I32843" s="137" t="s">
        <v>74</v>
      </c>
    </row>
    <row r="32844" spans="9:9" x14ac:dyDescent="0.2">
      <c r="I32844" s="137" t="s">
        <v>74</v>
      </c>
    </row>
    <row r="32845" spans="9:9" x14ac:dyDescent="0.2">
      <c r="I32845" s="137" t="s">
        <v>74</v>
      </c>
    </row>
    <row r="32846" spans="9:9" x14ac:dyDescent="0.2">
      <c r="I32846" s="137" t="s">
        <v>74</v>
      </c>
    </row>
    <row r="32847" spans="9:9" x14ac:dyDescent="0.2">
      <c r="I32847" s="137" t="s">
        <v>74</v>
      </c>
    </row>
    <row r="32848" spans="9:9" x14ac:dyDescent="0.2">
      <c r="I32848" s="137" t="s">
        <v>74</v>
      </c>
    </row>
    <row r="32849" spans="9:9" x14ac:dyDescent="0.2">
      <c r="I32849" s="137" t="s">
        <v>74</v>
      </c>
    </row>
    <row r="32850" spans="9:9" x14ac:dyDescent="0.2">
      <c r="I32850" s="137" t="s">
        <v>74</v>
      </c>
    </row>
    <row r="32851" spans="9:9" x14ac:dyDescent="0.2">
      <c r="I32851" s="137" t="s">
        <v>74</v>
      </c>
    </row>
    <row r="32852" spans="9:9" x14ac:dyDescent="0.2">
      <c r="I32852" s="137" t="s">
        <v>74</v>
      </c>
    </row>
    <row r="32853" spans="9:9" x14ac:dyDescent="0.2">
      <c r="I32853" s="137" t="s">
        <v>74</v>
      </c>
    </row>
    <row r="32854" spans="9:9" x14ac:dyDescent="0.2">
      <c r="I32854" s="137" t="s">
        <v>74</v>
      </c>
    </row>
    <row r="32855" spans="9:9" x14ac:dyDescent="0.2">
      <c r="I32855" s="137" t="s">
        <v>74</v>
      </c>
    </row>
    <row r="32856" spans="9:9" x14ac:dyDescent="0.2">
      <c r="I32856" s="137" t="s">
        <v>74</v>
      </c>
    </row>
    <row r="32857" spans="9:9" x14ac:dyDescent="0.2">
      <c r="I32857" s="137" t="s">
        <v>74</v>
      </c>
    </row>
    <row r="32858" spans="9:9" x14ac:dyDescent="0.2">
      <c r="I32858" s="137" t="s">
        <v>74</v>
      </c>
    </row>
    <row r="32859" spans="9:9" x14ac:dyDescent="0.2">
      <c r="I32859" s="137" t="s">
        <v>74</v>
      </c>
    </row>
    <row r="32860" spans="9:9" x14ac:dyDescent="0.2">
      <c r="I32860" s="137" t="s">
        <v>74</v>
      </c>
    </row>
    <row r="32861" spans="9:9" x14ac:dyDescent="0.2">
      <c r="I32861" s="137" t="s">
        <v>74</v>
      </c>
    </row>
    <row r="32862" spans="9:9" x14ac:dyDescent="0.2">
      <c r="I32862" s="137" t="s">
        <v>74</v>
      </c>
    </row>
    <row r="32863" spans="9:9" x14ac:dyDescent="0.2">
      <c r="I32863" s="137" t="s">
        <v>74</v>
      </c>
    </row>
    <row r="32864" spans="9:9" x14ac:dyDescent="0.2">
      <c r="I32864" s="137" t="s">
        <v>74</v>
      </c>
    </row>
    <row r="32865" spans="9:9" x14ac:dyDescent="0.2">
      <c r="I32865" s="137" t="s">
        <v>74</v>
      </c>
    </row>
    <row r="32866" spans="9:9" x14ac:dyDescent="0.2">
      <c r="I32866" s="137" t="s">
        <v>74</v>
      </c>
    </row>
    <row r="32867" spans="9:9" x14ac:dyDescent="0.2">
      <c r="I32867" s="137" t="s">
        <v>74</v>
      </c>
    </row>
    <row r="32868" spans="9:9" x14ac:dyDescent="0.2">
      <c r="I32868" s="137" t="s">
        <v>74</v>
      </c>
    </row>
    <row r="32869" spans="9:9" x14ac:dyDescent="0.2">
      <c r="I32869" s="137" t="s">
        <v>74</v>
      </c>
    </row>
    <row r="32870" spans="9:9" x14ac:dyDescent="0.2">
      <c r="I32870" s="137" t="s">
        <v>74</v>
      </c>
    </row>
    <row r="32871" spans="9:9" x14ac:dyDescent="0.2">
      <c r="I32871" s="137" t="s">
        <v>74</v>
      </c>
    </row>
    <row r="32872" spans="9:9" x14ac:dyDescent="0.2">
      <c r="I32872" s="137" t="s">
        <v>74</v>
      </c>
    </row>
    <row r="32873" spans="9:9" x14ac:dyDescent="0.2">
      <c r="I32873" s="137" t="s">
        <v>74</v>
      </c>
    </row>
    <row r="32874" spans="9:9" x14ac:dyDescent="0.2">
      <c r="I32874" s="137" t="s">
        <v>74</v>
      </c>
    </row>
    <row r="32875" spans="9:9" x14ac:dyDescent="0.2">
      <c r="I32875" s="137" t="s">
        <v>74</v>
      </c>
    </row>
    <row r="32876" spans="9:9" x14ac:dyDescent="0.2">
      <c r="I32876" s="137" t="s">
        <v>74</v>
      </c>
    </row>
    <row r="32877" spans="9:9" x14ac:dyDescent="0.2">
      <c r="I32877" s="137" t="s">
        <v>74</v>
      </c>
    </row>
    <row r="32878" spans="9:9" x14ac:dyDescent="0.2">
      <c r="I32878" s="137" t="s">
        <v>74</v>
      </c>
    </row>
    <row r="32879" spans="9:9" x14ac:dyDescent="0.2">
      <c r="I32879" s="137" t="s">
        <v>74</v>
      </c>
    </row>
    <row r="32880" spans="9:9" x14ac:dyDescent="0.2">
      <c r="I32880" s="137" t="s">
        <v>74</v>
      </c>
    </row>
    <row r="32881" spans="9:9" x14ac:dyDescent="0.2">
      <c r="I32881" s="137" t="s">
        <v>74</v>
      </c>
    </row>
    <row r="32882" spans="9:9" x14ac:dyDescent="0.2">
      <c r="I32882" s="137" t="s">
        <v>74</v>
      </c>
    </row>
    <row r="32883" spans="9:9" x14ac:dyDescent="0.2">
      <c r="I32883" s="137" t="s">
        <v>74</v>
      </c>
    </row>
    <row r="32884" spans="9:9" x14ac:dyDescent="0.2">
      <c r="I32884" s="137" t="s">
        <v>74</v>
      </c>
    </row>
    <row r="32885" spans="9:9" x14ac:dyDescent="0.2">
      <c r="I32885" s="137" t="s">
        <v>74</v>
      </c>
    </row>
    <row r="32886" spans="9:9" x14ac:dyDescent="0.2">
      <c r="I32886" s="137" t="s">
        <v>74</v>
      </c>
    </row>
    <row r="32887" spans="9:9" x14ac:dyDescent="0.2">
      <c r="I32887" s="137" t="s">
        <v>74</v>
      </c>
    </row>
    <row r="32888" spans="9:9" x14ac:dyDescent="0.2">
      <c r="I32888" s="137" t="s">
        <v>74</v>
      </c>
    </row>
    <row r="32889" spans="9:9" x14ac:dyDescent="0.2">
      <c r="I32889" s="137" t="s">
        <v>74</v>
      </c>
    </row>
    <row r="32890" spans="9:9" x14ac:dyDescent="0.2">
      <c r="I32890" s="137" t="s">
        <v>74</v>
      </c>
    </row>
    <row r="32891" spans="9:9" x14ac:dyDescent="0.2">
      <c r="I32891" s="137" t="s">
        <v>74</v>
      </c>
    </row>
    <row r="32892" spans="9:9" x14ac:dyDescent="0.2">
      <c r="I32892" s="137" t="s">
        <v>74</v>
      </c>
    </row>
    <row r="32893" spans="9:9" x14ac:dyDescent="0.2">
      <c r="I32893" s="137" t="s">
        <v>74</v>
      </c>
    </row>
    <row r="32894" spans="9:9" x14ac:dyDescent="0.2">
      <c r="I32894" s="137" t="s">
        <v>74</v>
      </c>
    </row>
    <row r="32895" spans="9:9" x14ac:dyDescent="0.2">
      <c r="I32895" s="137" t="s">
        <v>74</v>
      </c>
    </row>
    <row r="32896" spans="9:9" x14ac:dyDescent="0.2">
      <c r="I32896" s="137" t="s">
        <v>74</v>
      </c>
    </row>
    <row r="32897" spans="9:9" x14ac:dyDescent="0.2">
      <c r="I32897" s="137" t="s">
        <v>74</v>
      </c>
    </row>
    <row r="32898" spans="9:9" x14ac:dyDescent="0.2">
      <c r="I32898" s="137" t="s">
        <v>74</v>
      </c>
    </row>
    <row r="32899" spans="9:9" x14ac:dyDescent="0.2">
      <c r="I32899" s="137" t="s">
        <v>74</v>
      </c>
    </row>
    <row r="32900" spans="9:9" x14ac:dyDescent="0.2">
      <c r="I32900" s="137" t="s">
        <v>74</v>
      </c>
    </row>
    <row r="32901" spans="9:9" x14ac:dyDescent="0.2">
      <c r="I32901" s="137" t="s">
        <v>74</v>
      </c>
    </row>
    <row r="32902" spans="9:9" x14ac:dyDescent="0.2">
      <c r="I32902" s="137" t="s">
        <v>74</v>
      </c>
    </row>
    <row r="32903" spans="9:9" x14ac:dyDescent="0.2">
      <c r="I32903" s="137" t="s">
        <v>74</v>
      </c>
    </row>
    <row r="32904" spans="9:9" x14ac:dyDescent="0.2">
      <c r="I32904" s="137" t="s">
        <v>74</v>
      </c>
    </row>
    <row r="32905" spans="9:9" x14ac:dyDescent="0.2">
      <c r="I32905" s="137" t="s">
        <v>74</v>
      </c>
    </row>
    <row r="32906" spans="9:9" x14ac:dyDescent="0.2">
      <c r="I32906" s="137" t="s">
        <v>74</v>
      </c>
    </row>
    <row r="32907" spans="9:9" x14ac:dyDescent="0.2">
      <c r="I32907" s="137" t="s">
        <v>74</v>
      </c>
    </row>
    <row r="32908" spans="9:9" x14ac:dyDescent="0.2">
      <c r="I32908" s="137" t="s">
        <v>74</v>
      </c>
    </row>
    <row r="32909" spans="9:9" x14ac:dyDescent="0.2">
      <c r="I32909" s="137" t="s">
        <v>74</v>
      </c>
    </row>
    <row r="32910" spans="9:9" x14ac:dyDescent="0.2">
      <c r="I32910" s="137" t="s">
        <v>74</v>
      </c>
    </row>
    <row r="32911" spans="9:9" x14ac:dyDescent="0.2">
      <c r="I32911" s="137" t="s">
        <v>74</v>
      </c>
    </row>
    <row r="32912" spans="9:9" x14ac:dyDescent="0.2">
      <c r="I32912" s="137" t="s">
        <v>74</v>
      </c>
    </row>
    <row r="32913" spans="9:9" x14ac:dyDescent="0.2">
      <c r="I32913" s="137" t="s">
        <v>74</v>
      </c>
    </row>
    <row r="32914" spans="9:9" x14ac:dyDescent="0.2">
      <c r="I32914" s="137" t="s">
        <v>74</v>
      </c>
    </row>
    <row r="32915" spans="9:9" x14ac:dyDescent="0.2">
      <c r="I32915" s="137" t="s">
        <v>74</v>
      </c>
    </row>
    <row r="32916" spans="9:9" x14ac:dyDescent="0.2">
      <c r="I32916" s="137" t="s">
        <v>74</v>
      </c>
    </row>
    <row r="32917" spans="9:9" x14ac:dyDescent="0.2">
      <c r="I32917" s="137" t="s">
        <v>74</v>
      </c>
    </row>
    <row r="32918" spans="9:9" x14ac:dyDescent="0.2">
      <c r="I32918" s="137" t="s">
        <v>74</v>
      </c>
    </row>
    <row r="32919" spans="9:9" x14ac:dyDescent="0.2">
      <c r="I32919" s="137" t="s">
        <v>74</v>
      </c>
    </row>
    <row r="32920" spans="9:9" x14ac:dyDescent="0.2">
      <c r="I32920" s="137" t="s">
        <v>74</v>
      </c>
    </row>
    <row r="32921" spans="9:9" x14ac:dyDescent="0.2">
      <c r="I32921" s="137" t="s">
        <v>74</v>
      </c>
    </row>
    <row r="32922" spans="9:9" x14ac:dyDescent="0.2">
      <c r="I32922" s="137" t="s">
        <v>74</v>
      </c>
    </row>
    <row r="32923" spans="9:9" x14ac:dyDescent="0.2">
      <c r="I32923" s="137" t="s">
        <v>74</v>
      </c>
    </row>
    <row r="32924" spans="9:9" x14ac:dyDescent="0.2">
      <c r="I32924" s="137" t="s">
        <v>74</v>
      </c>
    </row>
    <row r="32925" spans="9:9" x14ac:dyDescent="0.2">
      <c r="I32925" s="137" t="s">
        <v>74</v>
      </c>
    </row>
    <row r="32926" spans="9:9" x14ac:dyDescent="0.2">
      <c r="I32926" s="137" t="s">
        <v>74</v>
      </c>
    </row>
    <row r="32927" spans="9:9" x14ac:dyDescent="0.2">
      <c r="I32927" s="137" t="s">
        <v>74</v>
      </c>
    </row>
    <row r="32928" spans="9:9" x14ac:dyDescent="0.2">
      <c r="I32928" s="137" t="s">
        <v>74</v>
      </c>
    </row>
    <row r="32929" spans="9:9" x14ac:dyDescent="0.2">
      <c r="I32929" s="137" t="s">
        <v>74</v>
      </c>
    </row>
    <row r="32930" spans="9:9" x14ac:dyDescent="0.2">
      <c r="I32930" s="137" t="s">
        <v>74</v>
      </c>
    </row>
    <row r="32931" spans="9:9" x14ac:dyDescent="0.2">
      <c r="I32931" s="137" t="s">
        <v>74</v>
      </c>
    </row>
    <row r="32932" spans="9:9" x14ac:dyDescent="0.2">
      <c r="I32932" s="137" t="s">
        <v>74</v>
      </c>
    </row>
    <row r="32933" spans="9:9" x14ac:dyDescent="0.2">
      <c r="I32933" s="137" t="s">
        <v>74</v>
      </c>
    </row>
    <row r="32934" spans="9:9" x14ac:dyDescent="0.2">
      <c r="I32934" s="137" t="s">
        <v>74</v>
      </c>
    </row>
    <row r="32935" spans="9:9" x14ac:dyDescent="0.2">
      <c r="I32935" s="137" t="s">
        <v>74</v>
      </c>
    </row>
    <row r="32936" spans="9:9" x14ac:dyDescent="0.2">
      <c r="I32936" s="137" t="s">
        <v>74</v>
      </c>
    </row>
    <row r="32937" spans="9:9" x14ac:dyDescent="0.2">
      <c r="I32937" s="137" t="s">
        <v>74</v>
      </c>
    </row>
    <row r="32938" spans="9:9" x14ac:dyDescent="0.2">
      <c r="I32938" s="137" t="s">
        <v>74</v>
      </c>
    </row>
    <row r="32939" spans="9:9" x14ac:dyDescent="0.2">
      <c r="I32939" s="137" t="s">
        <v>74</v>
      </c>
    </row>
    <row r="32940" spans="9:9" x14ac:dyDescent="0.2">
      <c r="I32940" s="137" t="s">
        <v>74</v>
      </c>
    </row>
    <row r="32941" spans="9:9" x14ac:dyDescent="0.2">
      <c r="I32941" s="137" t="s">
        <v>74</v>
      </c>
    </row>
    <row r="32942" spans="9:9" x14ac:dyDescent="0.2">
      <c r="I32942" s="137" t="s">
        <v>74</v>
      </c>
    </row>
    <row r="32943" spans="9:9" x14ac:dyDescent="0.2">
      <c r="I32943" s="137" t="s">
        <v>74</v>
      </c>
    </row>
    <row r="32944" spans="9:9" x14ac:dyDescent="0.2">
      <c r="I32944" s="137" t="s">
        <v>74</v>
      </c>
    </row>
    <row r="32945" spans="9:9" x14ac:dyDescent="0.2">
      <c r="I32945" s="137" t="s">
        <v>74</v>
      </c>
    </row>
    <row r="32946" spans="9:9" x14ac:dyDescent="0.2">
      <c r="I32946" s="137" t="s">
        <v>74</v>
      </c>
    </row>
    <row r="32947" spans="9:9" x14ac:dyDescent="0.2">
      <c r="I32947" s="137" t="s">
        <v>74</v>
      </c>
    </row>
    <row r="32948" spans="9:9" x14ac:dyDescent="0.2">
      <c r="I32948" s="137" t="s">
        <v>74</v>
      </c>
    </row>
    <row r="32949" spans="9:9" x14ac:dyDescent="0.2">
      <c r="I32949" s="137" t="s">
        <v>74</v>
      </c>
    </row>
    <row r="32950" spans="9:9" x14ac:dyDescent="0.2">
      <c r="I32950" s="137" t="s">
        <v>74</v>
      </c>
    </row>
    <row r="32951" spans="9:9" x14ac:dyDescent="0.2">
      <c r="I32951" s="137" t="s">
        <v>74</v>
      </c>
    </row>
    <row r="32952" spans="9:9" x14ac:dyDescent="0.2">
      <c r="I32952" s="137" t="s">
        <v>74</v>
      </c>
    </row>
    <row r="32953" spans="9:9" x14ac:dyDescent="0.2">
      <c r="I32953" s="137" t="s">
        <v>74</v>
      </c>
    </row>
    <row r="32954" spans="9:9" x14ac:dyDescent="0.2">
      <c r="I32954" s="137" t="s">
        <v>74</v>
      </c>
    </row>
    <row r="32955" spans="9:9" x14ac:dyDescent="0.2">
      <c r="I32955" s="137" t="s">
        <v>74</v>
      </c>
    </row>
    <row r="32956" spans="9:9" x14ac:dyDescent="0.2">
      <c r="I32956" s="137" t="s">
        <v>74</v>
      </c>
    </row>
    <row r="32957" spans="9:9" x14ac:dyDescent="0.2">
      <c r="I32957" s="137" t="s">
        <v>74</v>
      </c>
    </row>
    <row r="32958" spans="9:9" x14ac:dyDescent="0.2">
      <c r="I32958" s="137" t="s">
        <v>74</v>
      </c>
    </row>
    <row r="32959" spans="9:9" x14ac:dyDescent="0.2">
      <c r="I32959" s="137" t="s">
        <v>74</v>
      </c>
    </row>
    <row r="32960" spans="9:9" x14ac:dyDescent="0.2">
      <c r="I32960" s="137" t="s">
        <v>74</v>
      </c>
    </row>
    <row r="32961" spans="9:9" x14ac:dyDescent="0.2">
      <c r="I32961" s="137" t="s">
        <v>74</v>
      </c>
    </row>
    <row r="32962" spans="9:9" x14ac:dyDescent="0.2">
      <c r="I32962" s="137" t="s">
        <v>74</v>
      </c>
    </row>
    <row r="32963" spans="9:9" x14ac:dyDescent="0.2">
      <c r="I32963" s="137" t="s">
        <v>74</v>
      </c>
    </row>
    <row r="32964" spans="9:9" x14ac:dyDescent="0.2">
      <c r="I32964" s="137" t="s">
        <v>74</v>
      </c>
    </row>
    <row r="32965" spans="9:9" x14ac:dyDescent="0.2">
      <c r="I32965" s="137" t="s">
        <v>74</v>
      </c>
    </row>
    <row r="32966" spans="9:9" x14ac:dyDescent="0.2">
      <c r="I32966" s="137" t="s">
        <v>74</v>
      </c>
    </row>
    <row r="32967" spans="9:9" x14ac:dyDescent="0.2">
      <c r="I32967" s="137" t="s">
        <v>74</v>
      </c>
    </row>
    <row r="32968" spans="9:9" x14ac:dyDescent="0.2">
      <c r="I32968" s="137" t="s">
        <v>74</v>
      </c>
    </row>
    <row r="32969" spans="9:9" x14ac:dyDescent="0.2">
      <c r="I32969" s="137" t="s">
        <v>74</v>
      </c>
    </row>
    <row r="32970" spans="9:9" x14ac:dyDescent="0.2">
      <c r="I32970" s="137" t="s">
        <v>74</v>
      </c>
    </row>
    <row r="32971" spans="9:9" x14ac:dyDescent="0.2">
      <c r="I32971" s="137" t="s">
        <v>74</v>
      </c>
    </row>
    <row r="32972" spans="9:9" x14ac:dyDescent="0.2">
      <c r="I32972" s="137" t="s">
        <v>74</v>
      </c>
    </row>
    <row r="32973" spans="9:9" x14ac:dyDescent="0.2">
      <c r="I32973" s="137" t="s">
        <v>74</v>
      </c>
    </row>
    <row r="32974" spans="9:9" x14ac:dyDescent="0.2">
      <c r="I32974" s="137" t="s">
        <v>74</v>
      </c>
    </row>
    <row r="32975" spans="9:9" x14ac:dyDescent="0.2">
      <c r="I32975" s="137" t="s">
        <v>74</v>
      </c>
    </row>
    <row r="32976" spans="9:9" x14ac:dyDescent="0.2">
      <c r="I32976" s="137" t="s">
        <v>74</v>
      </c>
    </row>
    <row r="32977" spans="9:9" x14ac:dyDescent="0.2">
      <c r="I32977" s="137" t="s">
        <v>74</v>
      </c>
    </row>
    <row r="32978" spans="9:9" x14ac:dyDescent="0.2">
      <c r="I32978" s="137" t="s">
        <v>74</v>
      </c>
    </row>
    <row r="32979" spans="9:9" x14ac:dyDescent="0.2">
      <c r="I32979" s="137" t="s">
        <v>74</v>
      </c>
    </row>
    <row r="32980" spans="9:9" x14ac:dyDescent="0.2">
      <c r="I32980" s="137" t="s">
        <v>74</v>
      </c>
    </row>
    <row r="32981" spans="9:9" x14ac:dyDescent="0.2">
      <c r="I32981" s="137" t="s">
        <v>74</v>
      </c>
    </row>
    <row r="32982" spans="9:9" x14ac:dyDescent="0.2">
      <c r="I32982" s="137" t="s">
        <v>74</v>
      </c>
    </row>
    <row r="32983" spans="9:9" x14ac:dyDescent="0.2">
      <c r="I32983" s="137" t="s">
        <v>74</v>
      </c>
    </row>
    <row r="32984" spans="9:9" x14ac:dyDescent="0.2">
      <c r="I32984" s="137" t="s">
        <v>74</v>
      </c>
    </row>
    <row r="32985" spans="9:9" x14ac:dyDescent="0.2">
      <c r="I32985" s="137" t="s">
        <v>74</v>
      </c>
    </row>
    <row r="32986" spans="9:9" x14ac:dyDescent="0.2">
      <c r="I32986" s="137" t="s">
        <v>74</v>
      </c>
    </row>
    <row r="32987" spans="9:9" x14ac:dyDescent="0.2">
      <c r="I32987" s="137" t="s">
        <v>74</v>
      </c>
    </row>
    <row r="32988" spans="9:9" x14ac:dyDescent="0.2">
      <c r="I32988" s="137" t="s">
        <v>74</v>
      </c>
    </row>
    <row r="32989" spans="9:9" x14ac:dyDescent="0.2">
      <c r="I32989" s="137" t="s">
        <v>74</v>
      </c>
    </row>
    <row r="32990" spans="9:9" x14ac:dyDescent="0.2">
      <c r="I32990" s="137" t="s">
        <v>74</v>
      </c>
    </row>
    <row r="32991" spans="9:9" x14ac:dyDescent="0.2">
      <c r="I32991" s="137" t="s">
        <v>74</v>
      </c>
    </row>
    <row r="32992" spans="9:9" x14ac:dyDescent="0.2">
      <c r="I32992" s="137" t="s">
        <v>74</v>
      </c>
    </row>
    <row r="32993" spans="9:9" x14ac:dyDescent="0.2">
      <c r="I32993" s="137" t="s">
        <v>74</v>
      </c>
    </row>
    <row r="32994" spans="9:9" x14ac:dyDescent="0.2">
      <c r="I32994" s="137" t="s">
        <v>74</v>
      </c>
    </row>
    <row r="32995" spans="9:9" x14ac:dyDescent="0.2">
      <c r="I32995" s="137" t="s">
        <v>74</v>
      </c>
    </row>
    <row r="32996" spans="9:9" x14ac:dyDescent="0.2">
      <c r="I32996" s="137" t="s">
        <v>74</v>
      </c>
    </row>
    <row r="32997" spans="9:9" x14ac:dyDescent="0.2">
      <c r="I32997" s="137" t="s">
        <v>74</v>
      </c>
    </row>
    <row r="32998" spans="9:9" x14ac:dyDescent="0.2">
      <c r="I32998" s="137" t="s">
        <v>74</v>
      </c>
    </row>
    <row r="32999" spans="9:9" x14ac:dyDescent="0.2">
      <c r="I32999" s="137" t="s">
        <v>74</v>
      </c>
    </row>
    <row r="33000" spans="9:9" x14ac:dyDescent="0.2">
      <c r="I33000" s="137" t="s">
        <v>74</v>
      </c>
    </row>
    <row r="33001" spans="9:9" x14ac:dyDescent="0.2">
      <c r="I33001" s="137" t="s">
        <v>74</v>
      </c>
    </row>
    <row r="33002" spans="9:9" x14ac:dyDescent="0.2">
      <c r="I33002" s="137" t="s">
        <v>74</v>
      </c>
    </row>
    <row r="33003" spans="9:9" x14ac:dyDescent="0.2">
      <c r="I33003" s="137" t="s">
        <v>74</v>
      </c>
    </row>
    <row r="33004" spans="9:9" x14ac:dyDescent="0.2">
      <c r="I33004" s="137" t="s">
        <v>74</v>
      </c>
    </row>
    <row r="33005" spans="9:9" x14ac:dyDescent="0.2">
      <c r="I33005" s="137" t="s">
        <v>74</v>
      </c>
    </row>
    <row r="33006" spans="9:9" x14ac:dyDescent="0.2">
      <c r="I33006" s="137" t="s">
        <v>74</v>
      </c>
    </row>
    <row r="33007" spans="9:9" x14ac:dyDescent="0.2">
      <c r="I33007" s="137" t="s">
        <v>74</v>
      </c>
    </row>
    <row r="33008" spans="9:9" x14ac:dyDescent="0.2">
      <c r="I33008" s="137" t="s">
        <v>74</v>
      </c>
    </row>
    <row r="33009" spans="9:9" x14ac:dyDescent="0.2">
      <c r="I33009" s="137" t="s">
        <v>74</v>
      </c>
    </row>
    <row r="33010" spans="9:9" x14ac:dyDescent="0.2">
      <c r="I33010" s="137" t="s">
        <v>74</v>
      </c>
    </row>
    <row r="33011" spans="9:9" x14ac:dyDescent="0.2">
      <c r="I33011" s="137" t="s">
        <v>74</v>
      </c>
    </row>
    <row r="33012" spans="9:9" x14ac:dyDescent="0.2">
      <c r="I33012" s="137" t="s">
        <v>74</v>
      </c>
    </row>
    <row r="33013" spans="9:9" x14ac:dyDescent="0.2">
      <c r="I33013" s="137" t="s">
        <v>74</v>
      </c>
    </row>
    <row r="33014" spans="9:9" x14ac:dyDescent="0.2">
      <c r="I33014" s="137" t="s">
        <v>74</v>
      </c>
    </row>
    <row r="33015" spans="9:9" x14ac:dyDescent="0.2">
      <c r="I33015" s="137" t="s">
        <v>74</v>
      </c>
    </row>
    <row r="33016" spans="9:9" x14ac:dyDescent="0.2">
      <c r="I33016" s="137" t="s">
        <v>74</v>
      </c>
    </row>
    <row r="33017" spans="9:9" x14ac:dyDescent="0.2">
      <c r="I33017" s="137" t="s">
        <v>74</v>
      </c>
    </row>
    <row r="33018" spans="9:9" x14ac:dyDescent="0.2">
      <c r="I33018" s="137" t="s">
        <v>74</v>
      </c>
    </row>
    <row r="33019" spans="9:9" x14ac:dyDescent="0.2">
      <c r="I33019" s="137" t="s">
        <v>74</v>
      </c>
    </row>
    <row r="33020" spans="9:9" x14ac:dyDescent="0.2">
      <c r="I33020" s="137" t="s">
        <v>74</v>
      </c>
    </row>
    <row r="33021" spans="9:9" x14ac:dyDescent="0.2">
      <c r="I33021" s="137" t="s">
        <v>74</v>
      </c>
    </row>
    <row r="33022" spans="9:9" x14ac:dyDescent="0.2">
      <c r="I33022" s="137" t="s">
        <v>74</v>
      </c>
    </row>
    <row r="33023" spans="9:9" x14ac:dyDescent="0.2">
      <c r="I33023" s="137" t="s">
        <v>74</v>
      </c>
    </row>
    <row r="33024" spans="9:9" x14ac:dyDescent="0.2">
      <c r="I33024" s="137" t="s">
        <v>74</v>
      </c>
    </row>
    <row r="33025" spans="9:9" x14ac:dyDescent="0.2">
      <c r="I33025" s="137" t="s">
        <v>74</v>
      </c>
    </row>
    <row r="33026" spans="9:9" x14ac:dyDescent="0.2">
      <c r="I33026" s="137" t="s">
        <v>74</v>
      </c>
    </row>
    <row r="33027" spans="9:9" x14ac:dyDescent="0.2">
      <c r="I33027" s="137" t="s">
        <v>74</v>
      </c>
    </row>
    <row r="33028" spans="9:9" x14ac:dyDescent="0.2">
      <c r="I33028" s="137" t="s">
        <v>74</v>
      </c>
    </row>
    <row r="33029" spans="9:9" x14ac:dyDescent="0.2">
      <c r="I33029" s="137" t="s">
        <v>74</v>
      </c>
    </row>
    <row r="33030" spans="9:9" x14ac:dyDescent="0.2">
      <c r="I33030" s="137" t="s">
        <v>74</v>
      </c>
    </row>
    <row r="33031" spans="9:9" x14ac:dyDescent="0.2">
      <c r="I33031" s="137" t="s">
        <v>74</v>
      </c>
    </row>
    <row r="33032" spans="9:9" x14ac:dyDescent="0.2">
      <c r="I33032" s="137" t="s">
        <v>74</v>
      </c>
    </row>
    <row r="33033" spans="9:9" x14ac:dyDescent="0.2">
      <c r="I33033" s="137" t="s">
        <v>74</v>
      </c>
    </row>
    <row r="33034" spans="9:9" x14ac:dyDescent="0.2">
      <c r="I33034" s="137" t="s">
        <v>74</v>
      </c>
    </row>
    <row r="33035" spans="9:9" x14ac:dyDescent="0.2">
      <c r="I33035" s="137" t="s">
        <v>74</v>
      </c>
    </row>
    <row r="33036" spans="9:9" x14ac:dyDescent="0.2">
      <c r="I33036" s="137" t="s">
        <v>74</v>
      </c>
    </row>
    <row r="33037" spans="9:9" x14ac:dyDescent="0.2">
      <c r="I33037" s="137" t="s">
        <v>74</v>
      </c>
    </row>
    <row r="33038" spans="9:9" x14ac:dyDescent="0.2">
      <c r="I33038" s="137" t="s">
        <v>74</v>
      </c>
    </row>
    <row r="33039" spans="9:9" x14ac:dyDescent="0.2">
      <c r="I33039" s="137" t="s">
        <v>74</v>
      </c>
    </row>
    <row r="33040" spans="9:9" x14ac:dyDescent="0.2">
      <c r="I33040" s="137" t="s">
        <v>74</v>
      </c>
    </row>
    <row r="33041" spans="9:9" x14ac:dyDescent="0.2">
      <c r="I33041" s="137" t="s">
        <v>74</v>
      </c>
    </row>
    <row r="33042" spans="9:9" x14ac:dyDescent="0.2">
      <c r="I33042" s="137" t="s">
        <v>74</v>
      </c>
    </row>
    <row r="33043" spans="9:9" x14ac:dyDescent="0.2">
      <c r="I33043" s="137" t="s">
        <v>74</v>
      </c>
    </row>
    <row r="33044" spans="9:9" x14ac:dyDescent="0.2">
      <c r="I33044" s="137" t="s">
        <v>74</v>
      </c>
    </row>
    <row r="33045" spans="9:9" x14ac:dyDescent="0.2">
      <c r="I33045" s="137" t="s">
        <v>74</v>
      </c>
    </row>
    <row r="33046" spans="9:9" x14ac:dyDescent="0.2">
      <c r="I33046" s="137" t="s">
        <v>74</v>
      </c>
    </row>
    <row r="33047" spans="9:9" x14ac:dyDescent="0.2">
      <c r="I33047" s="137" t="s">
        <v>74</v>
      </c>
    </row>
    <row r="33048" spans="9:9" x14ac:dyDescent="0.2">
      <c r="I33048" s="137" t="s">
        <v>74</v>
      </c>
    </row>
    <row r="33049" spans="9:9" x14ac:dyDescent="0.2">
      <c r="I33049" s="137" t="s">
        <v>74</v>
      </c>
    </row>
    <row r="33050" spans="9:9" x14ac:dyDescent="0.2">
      <c r="I33050" s="137" t="s">
        <v>74</v>
      </c>
    </row>
    <row r="33051" spans="9:9" x14ac:dyDescent="0.2">
      <c r="I33051" s="137" t="s">
        <v>74</v>
      </c>
    </row>
    <row r="33052" spans="9:9" x14ac:dyDescent="0.2">
      <c r="I33052" s="137" t="s">
        <v>74</v>
      </c>
    </row>
    <row r="33053" spans="9:9" x14ac:dyDescent="0.2">
      <c r="I33053" s="137" t="s">
        <v>74</v>
      </c>
    </row>
    <row r="33054" spans="9:9" x14ac:dyDescent="0.2">
      <c r="I33054" s="137" t="s">
        <v>74</v>
      </c>
    </row>
    <row r="33055" spans="9:9" x14ac:dyDescent="0.2">
      <c r="I33055" s="137" t="s">
        <v>74</v>
      </c>
    </row>
    <row r="33056" spans="9:9" x14ac:dyDescent="0.2">
      <c r="I33056" s="137" t="s">
        <v>74</v>
      </c>
    </row>
    <row r="33057" spans="9:9" x14ac:dyDescent="0.2">
      <c r="I33057" s="137" t="s">
        <v>74</v>
      </c>
    </row>
    <row r="33058" spans="9:9" x14ac:dyDescent="0.2">
      <c r="I33058" s="137" t="s">
        <v>74</v>
      </c>
    </row>
    <row r="33059" spans="9:9" x14ac:dyDescent="0.2">
      <c r="I33059" s="137" t="s">
        <v>74</v>
      </c>
    </row>
    <row r="33060" spans="9:9" x14ac:dyDescent="0.2">
      <c r="I33060" s="137" t="s">
        <v>74</v>
      </c>
    </row>
    <row r="33061" spans="9:9" x14ac:dyDescent="0.2">
      <c r="I33061" s="137" t="s">
        <v>74</v>
      </c>
    </row>
    <row r="33062" spans="9:9" x14ac:dyDescent="0.2">
      <c r="I33062" s="137" t="s">
        <v>74</v>
      </c>
    </row>
    <row r="33063" spans="9:9" x14ac:dyDescent="0.2">
      <c r="I33063" s="137" t="s">
        <v>74</v>
      </c>
    </row>
    <row r="33064" spans="9:9" x14ac:dyDescent="0.2">
      <c r="I33064" s="137" t="s">
        <v>74</v>
      </c>
    </row>
    <row r="33065" spans="9:9" x14ac:dyDescent="0.2">
      <c r="I33065" s="137" t="s">
        <v>74</v>
      </c>
    </row>
    <row r="33066" spans="9:9" x14ac:dyDescent="0.2">
      <c r="I33066" s="137" t="s">
        <v>74</v>
      </c>
    </row>
    <row r="33067" spans="9:9" x14ac:dyDescent="0.2">
      <c r="I33067" s="137" t="s">
        <v>74</v>
      </c>
    </row>
    <row r="33068" spans="9:9" x14ac:dyDescent="0.2">
      <c r="I33068" s="137" t="s">
        <v>74</v>
      </c>
    </row>
    <row r="33069" spans="9:9" x14ac:dyDescent="0.2">
      <c r="I33069" s="137" t="s">
        <v>74</v>
      </c>
    </row>
    <row r="33070" spans="9:9" x14ac:dyDescent="0.2">
      <c r="I33070" s="137" t="s">
        <v>74</v>
      </c>
    </row>
    <row r="33071" spans="9:9" x14ac:dyDescent="0.2">
      <c r="I33071" s="137" t="s">
        <v>74</v>
      </c>
    </row>
    <row r="33072" spans="9:9" x14ac:dyDescent="0.2">
      <c r="I33072" s="137" t="s">
        <v>74</v>
      </c>
    </row>
    <row r="33073" spans="9:9" x14ac:dyDescent="0.2">
      <c r="I33073" s="137" t="s">
        <v>74</v>
      </c>
    </row>
    <row r="33074" spans="9:9" x14ac:dyDescent="0.2">
      <c r="I33074" s="137" t="s">
        <v>74</v>
      </c>
    </row>
    <row r="33075" spans="9:9" x14ac:dyDescent="0.2">
      <c r="I33075" s="137" t="s">
        <v>74</v>
      </c>
    </row>
    <row r="33076" spans="9:9" x14ac:dyDescent="0.2">
      <c r="I33076" s="137" t="s">
        <v>74</v>
      </c>
    </row>
    <row r="33077" spans="9:9" x14ac:dyDescent="0.2">
      <c r="I33077" s="137" t="s">
        <v>74</v>
      </c>
    </row>
    <row r="33078" spans="9:9" x14ac:dyDescent="0.2">
      <c r="I33078" s="137" t="s">
        <v>74</v>
      </c>
    </row>
    <row r="33079" spans="9:9" x14ac:dyDescent="0.2">
      <c r="I33079" s="137" t="s">
        <v>74</v>
      </c>
    </row>
    <row r="33080" spans="9:9" x14ac:dyDescent="0.2">
      <c r="I33080" s="137" t="s">
        <v>74</v>
      </c>
    </row>
    <row r="33081" spans="9:9" x14ac:dyDescent="0.2">
      <c r="I33081" s="137" t="s">
        <v>74</v>
      </c>
    </row>
    <row r="33082" spans="9:9" x14ac:dyDescent="0.2">
      <c r="I33082" s="137" t="s">
        <v>74</v>
      </c>
    </row>
    <row r="33083" spans="9:9" x14ac:dyDescent="0.2">
      <c r="I33083" s="137" t="s">
        <v>74</v>
      </c>
    </row>
    <row r="33084" spans="9:9" x14ac:dyDescent="0.2">
      <c r="I33084" s="137" t="s">
        <v>74</v>
      </c>
    </row>
    <row r="33085" spans="9:9" x14ac:dyDescent="0.2">
      <c r="I33085" s="137" t="s">
        <v>74</v>
      </c>
    </row>
    <row r="33086" spans="9:9" x14ac:dyDescent="0.2">
      <c r="I33086" s="137" t="s">
        <v>74</v>
      </c>
    </row>
    <row r="33087" spans="9:9" x14ac:dyDescent="0.2">
      <c r="I33087" s="137" t="s">
        <v>74</v>
      </c>
    </row>
    <row r="33088" spans="9:9" x14ac:dyDescent="0.2">
      <c r="I33088" s="137" t="s">
        <v>74</v>
      </c>
    </row>
    <row r="33089" spans="9:9" x14ac:dyDescent="0.2">
      <c r="I33089" s="137" t="s">
        <v>74</v>
      </c>
    </row>
    <row r="33090" spans="9:9" x14ac:dyDescent="0.2">
      <c r="I33090" s="137" t="s">
        <v>74</v>
      </c>
    </row>
    <row r="33091" spans="9:9" x14ac:dyDescent="0.2">
      <c r="I33091" s="137" t="s">
        <v>74</v>
      </c>
    </row>
    <row r="33092" spans="9:9" x14ac:dyDescent="0.2">
      <c r="I33092" s="137" t="s">
        <v>74</v>
      </c>
    </row>
    <row r="33093" spans="9:9" x14ac:dyDescent="0.2">
      <c r="I33093" s="137" t="s">
        <v>74</v>
      </c>
    </row>
    <row r="33094" spans="9:9" x14ac:dyDescent="0.2">
      <c r="I33094" s="137" t="s">
        <v>74</v>
      </c>
    </row>
    <row r="33095" spans="9:9" x14ac:dyDescent="0.2">
      <c r="I33095" s="137" t="s">
        <v>74</v>
      </c>
    </row>
    <row r="33096" spans="9:9" x14ac:dyDescent="0.2">
      <c r="I33096" s="137" t="s">
        <v>74</v>
      </c>
    </row>
    <row r="33097" spans="9:9" x14ac:dyDescent="0.2">
      <c r="I33097" s="137" t="s">
        <v>74</v>
      </c>
    </row>
    <row r="33098" spans="9:9" x14ac:dyDescent="0.2">
      <c r="I33098" s="137" t="s">
        <v>74</v>
      </c>
    </row>
    <row r="33099" spans="9:9" x14ac:dyDescent="0.2">
      <c r="I33099" s="137" t="s">
        <v>74</v>
      </c>
    </row>
    <row r="33100" spans="9:9" x14ac:dyDescent="0.2">
      <c r="I33100" s="137" t="s">
        <v>74</v>
      </c>
    </row>
    <row r="33101" spans="9:9" x14ac:dyDescent="0.2">
      <c r="I33101" s="137" t="s">
        <v>74</v>
      </c>
    </row>
    <row r="33102" spans="9:9" x14ac:dyDescent="0.2">
      <c r="I33102" s="137" t="s">
        <v>74</v>
      </c>
    </row>
    <row r="33103" spans="9:9" x14ac:dyDescent="0.2">
      <c r="I33103" s="137" t="s">
        <v>74</v>
      </c>
    </row>
    <row r="33104" spans="9:9" x14ac:dyDescent="0.2">
      <c r="I33104" s="137" t="s">
        <v>74</v>
      </c>
    </row>
    <row r="33105" spans="9:9" x14ac:dyDescent="0.2">
      <c r="I33105" s="137" t="s">
        <v>74</v>
      </c>
    </row>
    <row r="33106" spans="9:9" x14ac:dyDescent="0.2">
      <c r="I33106" s="137" t="s">
        <v>74</v>
      </c>
    </row>
    <row r="33107" spans="9:9" x14ac:dyDescent="0.2">
      <c r="I33107" s="137" t="s">
        <v>74</v>
      </c>
    </row>
    <row r="33108" spans="9:9" x14ac:dyDescent="0.2">
      <c r="I33108" s="137" t="s">
        <v>74</v>
      </c>
    </row>
    <row r="33109" spans="9:9" x14ac:dyDescent="0.2">
      <c r="I33109" s="137" t="s">
        <v>74</v>
      </c>
    </row>
    <row r="33110" spans="9:9" x14ac:dyDescent="0.2">
      <c r="I33110" s="137" t="s">
        <v>74</v>
      </c>
    </row>
    <row r="33111" spans="9:9" x14ac:dyDescent="0.2">
      <c r="I33111" s="137" t="s">
        <v>74</v>
      </c>
    </row>
    <row r="33112" spans="9:9" x14ac:dyDescent="0.2">
      <c r="I33112" s="137" t="s">
        <v>74</v>
      </c>
    </row>
    <row r="33113" spans="9:9" x14ac:dyDescent="0.2">
      <c r="I33113" s="137" t="s">
        <v>74</v>
      </c>
    </row>
    <row r="33114" spans="9:9" x14ac:dyDescent="0.2">
      <c r="I33114" s="137" t="s">
        <v>74</v>
      </c>
    </row>
    <row r="33115" spans="9:9" x14ac:dyDescent="0.2">
      <c r="I33115" s="137" t="s">
        <v>74</v>
      </c>
    </row>
    <row r="33116" spans="9:9" x14ac:dyDescent="0.2">
      <c r="I33116" s="137" t="s">
        <v>74</v>
      </c>
    </row>
    <row r="33117" spans="9:9" x14ac:dyDescent="0.2">
      <c r="I33117" s="137" t="s">
        <v>74</v>
      </c>
    </row>
    <row r="33118" spans="9:9" x14ac:dyDescent="0.2">
      <c r="I33118" s="137" t="s">
        <v>74</v>
      </c>
    </row>
    <row r="33119" spans="9:9" x14ac:dyDescent="0.2">
      <c r="I33119" s="137" t="s">
        <v>74</v>
      </c>
    </row>
    <row r="33120" spans="9:9" x14ac:dyDescent="0.2">
      <c r="I33120" s="137" t="s">
        <v>74</v>
      </c>
    </row>
    <row r="33121" spans="9:9" x14ac:dyDescent="0.2">
      <c r="I33121" s="137" t="s">
        <v>74</v>
      </c>
    </row>
    <row r="33122" spans="9:9" x14ac:dyDescent="0.2">
      <c r="I33122" s="137" t="s">
        <v>74</v>
      </c>
    </row>
    <row r="33123" spans="9:9" x14ac:dyDescent="0.2">
      <c r="I33123" s="137" t="s">
        <v>74</v>
      </c>
    </row>
    <row r="33124" spans="9:9" x14ac:dyDescent="0.2">
      <c r="I33124" s="137" t="s">
        <v>74</v>
      </c>
    </row>
    <row r="33125" spans="9:9" x14ac:dyDescent="0.2">
      <c r="I33125" s="137" t="s">
        <v>74</v>
      </c>
    </row>
    <row r="33126" spans="9:9" x14ac:dyDescent="0.2">
      <c r="I33126" s="137" t="s">
        <v>74</v>
      </c>
    </row>
    <row r="33127" spans="9:9" x14ac:dyDescent="0.2">
      <c r="I33127" s="137" t="s">
        <v>74</v>
      </c>
    </row>
    <row r="33128" spans="9:9" x14ac:dyDescent="0.2">
      <c r="I33128" s="137" t="s">
        <v>74</v>
      </c>
    </row>
    <row r="33129" spans="9:9" x14ac:dyDescent="0.2">
      <c r="I33129" s="137" t="s">
        <v>74</v>
      </c>
    </row>
    <row r="33130" spans="9:9" x14ac:dyDescent="0.2">
      <c r="I33130" s="137" t="s">
        <v>74</v>
      </c>
    </row>
    <row r="33131" spans="9:9" x14ac:dyDescent="0.2">
      <c r="I33131" s="137" t="s">
        <v>74</v>
      </c>
    </row>
    <row r="33132" spans="9:9" x14ac:dyDescent="0.2">
      <c r="I33132" s="137" t="s">
        <v>74</v>
      </c>
    </row>
    <row r="33133" spans="9:9" x14ac:dyDescent="0.2">
      <c r="I33133" s="137" t="s">
        <v>74</v>
      </c>
    </row>
    <row r="33134" spans="9:9" x14ac:dyDescent="0.2">
      <c r="I33134" s="137" t="s">
        <v>74</v>
      </c>
    </row>
    <row r="33135" spans="9:9" x14ac:dyDescent="0.2">
      <c r="I33135" s="137" t="s">
        <v>74</v>
      </c>
    </row>
    <row r="33136" spans="9:9" x14ac:dyDescent="0.2">
      <c r="I33136" s="137" t="s">
        <v>74</v>
      </c>
    </row>
    <row r="33137" spans="9:9" x14ac:dyDescent="0.2">
      <c r="I33137" s="137" t="s">
        <v>74</v>
      </c>
    </row>
    <row r="33138" spans="9:9" x14ac:dyDescent="0.2">
      <c r="I33138" s="137" t="s">
        <v>74</v>
      </c>
    </row>
    <row r="33139" spans="9:9" x14ac:dyDescent="0.2">
      <c r="I33139" s="137" t="s">
        <v>74</v>
      </c>
    </row>
    <row r="33140" spans="9:9" x14ac:dyDescent="0.2">
      <c r="I33140" s="137" t="s">
        <v>74</v>
      </c>
    </row>
    <row r="33141" spans="9:9" x14ac:dyDescent="0.2">
      <c r="I33141" s="137" t="s">
        <v>74</v>
      </c>
    </row>
    <row r="33142" spans="9:9" x14ac:dyDescent="0.2">
      <c r="I33142" s="137" t="s">
        <v>74</v>
      </c>
    </row>
    <row r="33143" spans="9:9" x14ac:dyDescent="0.2">
      <c r="I33143" s="137" t="s">
        <v>74</v>
      </c>
    </row>
    <row r="33144" spans="9:9" x14ac:dyDescent="0.2">
      <c r="I33144" s="137" t="s">
        <v>74</v>
      </c>
    </row>
    <row r="33145" spans="9:9" x14ac:dyDescent="0.2">
      <c r="I33145" s="137" t="s">
        <v>74</v>
      </c>
    </row>
    <row r="33146" spans="9:9" x14ac:dyDescent="0.2">
      <c r="I33146" s="137" t="s">
        <v>74</v>
      </c>
    </row>
    <row r="33147" spans="9:9" x14ac:dyDescent="0.2">
      <c r="I33147" s="137" t="s">
        <v>74</v>
      </c>
    </row>
    <row r="33148" spans="9:9" x14ac:dyDescent="0.2">
      <c r="I33148" s="137" t="s">
        <v>74</v>
      </c>
    </row>
    <row r="33149" spans="9:9" x14ac:dyDescent="0.2">
      <c r="I33149" s="137" t="s">
        <v>74</v>
      </c>
    </row>
    <row r="33150" spans="9:9" x14ac:dyDescent="0.2">
      <c r="I33150" s="137" t="s">
        <v>74</v>
      </c>
    </row>
    <row r="33151" spans="9:9" x14ac:dyDescent="0.2">
      <c r="I33151" s="137" t="s">
        <v>74</v>
      </c>
    </row>
    <row r="33152" spans="9:9" x14ac:dyDescent="0.2">
      <c r="I33152" s="137" t="s">
        <v>74</v>
      </c>
    </row>
    <row r="33153" spans="9:9" x14ac:dyDescent="0.2">
      <c r="I33153" s="137" t="s">
        <v>74</v>
      </c>
    </row>
    <row r="33154" spans="9:9" x14ac:dyDescent="0.2">
      <c r="I33154" s="137" t="s">
        <v>74</v>
      </c>
    </row>
    <row r="33155" spans="9:9" x14ac:dyDescent="0.2">
      <c r="I33155" s="137" t="s">
        <v>74</v>
      </c>
    </row>
    <row r="33156" spans="9:9" x14ac:dyDescent="0.2">
      <c r="I33156" s="137" t="s">
        <v>74</v>
      </c>
    </row>
    <row r="33157" spans="9:9" x14ac:dyDescent="0.2">
      <c r="I33157" s="137" t="s">
        <v>74</v>
      </c>
    </row>
    <row r="33158" spans="9:9" x14ac:dyDescent="0.2">
      <c r="I33158" s="137" t="s">
        <v>74</v>
      </c>
    </row>
    <row r="33159" spans="9:9" x14ac:dyDescent="0.2">
      <c r="I33159" s="137" t="s">
        <v>74</v>
      </c>
    </row>
    <row r="33160" spans="9:9" x14ac:dyDescent="0.2">
      <c r="I33160" s="137" t="s">
        <v>74</v>
      </c>
    </row>
    <row r="33161" spans="9:9" x14ac:dyDescent="0.2">
      <c r="I33161" s="137" t="s">
        <v>74</v>
      </c>
    </row>
    <row r="33162" spans="9:9" x14ac:dyDescent="0.2">
      <c r="I33162" s="137" t="s">
        <v>74</v>
      </c>
    </row>
    <row r="33163" spans="9:9" x14ac:dyDescent="0.2">
      <c r="I33163" s="137" t="s">
        <v>74</v>
      </c>
    </row>
    <row r="33164" spans="9:9" x14ac:dyDescent="0.2">
      <c r="I33164" s="137" t="s">
        <v>74</v>
      </c>
    </row>
    <row r="33165" spans="9:9" x14ac:dyDescent="0.2">
      <c r="I33165" s="137" t="s">
        <v>74</v>
      </c>
    </row>
    <row r="33166" spans="9:9" x14ac:dyDescent="0.2">
      <c r="I33166" s="137" t="s">
        <v>74</v>
      </c>
    </row>
    <row r="33167" spans="9:9" x14ac:dyDescent="0.2">
      <c r="I33167" s="137" t="s">
        <v>74</v>
      </c>
    </row>
    <row r="33168" spans="9:9" x14ac:dyDescent="0.2">
      <c r="I33168" s="137" t="s">
        <v>74</v>
      </c>
    </row>
    <row r="33169" spans="9:9" x14ac:dyDescent="0.2">
      <c r="I33169" s="137" t="s">
        <v>74</v>
      </c>
    </row>
    <row r="33170" spans="9:9" x14ac:dyDescent="0.2">
      <c r="I33170" s="137" t="s">
        <v>74</v>
      </c>
    </row>
    <row r="33171" spans="9:9" x14ac:dyDescent="0.2">
      <c r="I33171" s="137" t="s">
        <v>74</v>
      </c>
    </row>
    <row r="33172" spans="9:9" x14ac:dyDescent="0.2">
      <c r="I33172" s="137" t="s">
        <v>74</v>
      </c>
    </row>
    <row r="33173" spans="9:9" x14ac:dyDescent="0.2">
      <c r="I33173" s="137" t="s">
        <v>74</v>
      </c>
    </row>
    <row r="33174" spans="9:9" x14ac:dyDescent="0.2">
      <c r="I33174" s="137" t="s">
        <v>74</v>
      </c>
    </row>
    <row r="33175" spans="9:9" x14ac:dyDescent="0.2">
      <c r="I33175" s="137" t="s">
        <v>74</v>
      </c>
    </row>
    <row r="33176" spans="9:9" x14ac:dyDescent="0.2">
      <c r="I33176" s="137" t="s">
        <v>74</v>
      </c>
    </row>
    <row r="33177" spans="9:9" x14ac:dyDescent="0.2">
      <c r="I33177" s="137" t="s">
        <v>74</v>
      </c>
    </row>
    <row r="33178" spans="9:9" x14ac:dyDescent="0.2">
      <c r="I33178" s="137" t="s">
        <v>74</v>
      </c>
    </row>
    <row r="33179" spans="9:9" x14ac:dyDescent="0.2">
      <c r="I33179" s="137" t="s">
        <v>74</v>
      </c>
    </row>
    <row r="33180" spans="9:9" x14ac:dyDescent="0.2">
      <c r="I33180" s="137" t="s">
        <v>74</v>
      </c>
    </row>
    <row r="33181" spans="9:9" x14ac:dyDescent="0.2">
      <c r="I33181" s="137" t="s">
        <v>74</v>
      </c>
    </row>
    <row r="33182" spans="9:9" x14ac:dyDescent="0.2">
      <c r="I33182" s="137" t="s">
        <v>74</v>
      </c>
    </row>
    <row r="33183" spans="9:9" x14ac:dyDescent="0.2">
      <c r="I33183" s="137" t="s">
        <v>74</v>
      </c>
    </row>
    <row r="33184" spans="9:9" x14ac:dyDescent="0.2">
      <c r="I33184" s="137" t="s">
        <v>74</v>
      </c>
    </row>
    <row r="33185" spans="9:9" x14ac:dyDescent="0.2">
      <c r="I33185" s="137" t="s">
        <v>74</v>
      </c>
    </row>
    <row r="33186" spans="9:9" x14ac:dyDescent="0.2">
      <c r="I33186" s="137" t="s">
        <v>74</v>
      </c>
    </row>
    <row r="33187" spans="9:9" x14ac:dyDescent="0.2">
      <c r="I33187" s="137" t="s">
        <v>74</v>
      </c>
    </row>
    <row r="33188" spans="9:9" x14ac:dyDescent="0.2">
      <c r="I33188" s="137" t="s">
        <v>74</v>
      </c>
    </row>
    <row r="33189" spans="9:9" x14ac:dyDescent="0.2">
      <c r="I33189" s="137" t="s">
        <v>74</v>
      </c>
    </row>
    <row r="33190" spans="9:9" x14ac:dyDescent="0.2">
      <c r="I33190" s="137" t="s">
        <v>74</v>
      </c>
    </row>
    <row r="33191" spans="9:9" x14ac:dyDescent="0.2">
      <c r="I33191" s="137" t="s">
        <v>74</v>
      </c>
    </row>
    <row r="33192" spans="9:9" x14ac:dyDescent="0.2">
      <c r="I33192" s="137" t="s">
        <v>74</v>
      </c>
    </row>
    <row r="33193" spans="9:9" x14ac:dyDescent="0.2">
      <c r="I33193" s="137" t="s">
        <v>74</v>
      </c>
    </row>
    <row r="33194" spans="9:9" x14ac:dyDescent="0.2">
      <c r="I33194" s="137" t="s">
        <v>74</v>
      </c>
    </row>
    <row r="33195" spans="9:9" x14ac:dyDescent="0.2">
      <c r="I33195" s="137" t="s">
        <v>74</v>
      </c>
    </row>
    <row r="33196" spans="9:9" x14ac:dyDescent="0.2">
      <c r="I33196" s="137" t="s">
        <v>74</v>
      </c>
    </row>
    <row r="33197" spans="9:9" x14ac:dyDescent="0.2">
      <c r="I33197" s="137" t="s">
        <v>74</v>
      </c>
    </row>
    <row r="33198" spans="9:9" x14ac:dyDescent="0.2">
      <c r="I33198" s="137" t="s">
        <v>74</v>
      </c>
    </row>
    <row r="33199" spans="9:9" x14ac:dyDescent="0.2">
      <c r="I33199" s="137" t="s">
        <v>74</v>
      </c>
    </row>
    <row r="33200" spans="9:9" x14ac:dyDescent="0.2">
      <c r="I33200" s="137" t="s">
        <v>74</v>
      </c>
    </row>
    <row r="33201" spans="9:9" x14ac:dyDescent="0.2">
      <c r="I33201" s="137" t="s">
        <v>74</v>
      </c>
    </row>
    <row r="33202" spans="9:9" x14ac:dyDescent="0.2">
      <c r="I33202" s="137" t="s">
        <v>74</v>
      </c>
    </row>
    <row r="33203" spans="9:9" x14ac:dyDescent="0.2">
      <c r="I33203" s="137" t="s">
        <v>74</v>
      </c>
    </row>
    <row r="33204" spans="9:9" x14ac:dyDescent="0.2">
      <c r="I33204" s="137" t="s">
        <v>74</v>
      </c>
    </row>
    <row r="33205" spans="9:9" x14ac:dyDescent="0.2">
      <c r="I33205" s="137" t="s">
        <v>74</v>
      </c>
    </row>
    <row r="33206" spans="9:9" x14ac:dyDescent="0.2">
      <c r="I33206" s="137" t="s">
        <v>74</v>
      </c>
    </row>
    <row r="33207" spans="9:9" x14ac:dyDescent="0.2">
      <c r="I33207" s="137" t="s">
        <v>74</v>
      </c>
    </row>
    <row r="33208" spans="9:9" x14ac:dyDescent="0.2">
      <c r="I33208" s="137" t="s">
        <v>74</v>
      </c>
    </row>
    <row r="33209" spans="9:9" x14ac:dyDescent="0.2">
      <c r="I33209" s="137" t="s">
        <v>74</v>
      </c>
    </row>
    <row r="33210" spans="9:9" x14ac:dyDescent="0.2">
      <c r="I33210" s="137" t="s">
        <v>74</v>
      </c>
    </row>
    <row r="33211" spans="9:9" x14ac:dyDescent="0.2">
      <c r="I33211" s="137" t="s">
        <v>74</v>
      </c>
    </row>
    <row r="33212" spans="9:9" x14ac:dyDescent="0.2">
      <c r="I33212" s="137" t="s">
        <v>74</v>
      </c>
    </row>
    <row r="33213" spans="9:9" x14ac:dyDescent="0.2">
      <c r="I33213" s="137" t="s">
        <v>74</v>
      </c>
    </row>
    <row r="33214" spans="9:9" x14ac:dyDescent="0.2">
      <c r="I33214" s="137" t="s">
        <v>74</v>
      </c>
    </row>
    <row r="33215" spans="9:9" x14ac:dyDescent="0.2">
      <c r="I33215" s="137" t="s">
        <v>74</v>
      </c>
    </row>
    <row r="33216" spans="9:9" x14ac:dyDescent="0.2">
      <c r="I33216" s="137" t="s">
        <v>74</v>
      </c>
    </row>
    <row r="33217" spans="9:9" x14ac:dyDescent="0.2">
      <c r="I33217" s="137" t="s">
        <v>74</v>
      </c>
    </row>
    <row r="33218" spans="9:9" x14ac:dyDescent="0.2">
      <c r="I33218" s="137" t="s">
        <v>74</v>
      </c>
    </row>
    <row r="33219" spans="9:9" x14ac:dyDescent="0.2">
      <c r="I33219" s="137" t="s">
        <v>74</v>
      </c>
    </row>
    <row r="33220" spans="9:9" x14ac:dyDescent="0.2">
      <c r="I33220" s="137" t="s">
        <v>74</v>
      </c>
    </row>
    <row r="33221" spans="9:9" x14ac:dyDescent="0.2">
      <c r="I33221" s="137" t="s">
        <v>74</v>
      </c>
    </row>
    <row r="33222" spans="9:9" x14ac:dyDescent="0.2">
      <c r="I33222" s="137" t="s">
        <v>74</v>
      </c>
    </row>
    <row r="33223" spans="9:9" x14ac:dyDescent="0.2">
      <c r="I33223" s="137" t="s">
        <v>74</v>
      </c>
    </row>
    <row r="33224" spans="9:9" x14ac:dyDescent="0.2">
      <c r="I33224" s="137" t="s">
        <v>74</v>
      </c>
    </row>
    <row r="33225" spans="9:9" x14ac:dyDescent="0.2">
      <c r="I33225" s="137" t="s">
        <v>74</v>
      </c>
    </row>
    <row r="33226" spans="9:9" x14ac:dyDescent="0.2">
      <c r="I33226" s="137" t="s">
        <v>74</v>
      </c>
    </row>
    <row r="33227" spans="9:9" x14ac:dyDescent="0.2">
      <c r="I33227" s="137" t="s">
        <v>74</v>
      </c>
    </row>
    <row r="33228" spans="9:9" x14ac:dyDescent="0.2">
      <c r="I33228" s="137" t="s">
        <v>74</v>
      </c>
    </row>
    <row r="33229" spans="9:9" x14ac:dyDescent="0.2">
      <c r="I33229" s="137" t="s">
        <v>74</v>
      </c>
    </row>
    <row r="33230" spans="9:9" x14ac:dyDescent="0.2">
      <c r="I33230" s="137" t="s">
        <v>74</v>
      </c>
    </row>
    <row r="33231" spans="9:9" x14ac:dyDescent="0.2">
      <c r="I33231" s="137" t="s">
        <v>74</v>
      </c>
    </row>
    <row r="33232" spans="9:9" x14ac:dyDescent="0.2">
      <c r="I33232" s="137" t="s">
        <v>74</v>
      </c>
    </row>
    <row r="33233" spans="9:9" x14ac:dyDescent="0.2">
      <c r="I33233" s="137" t="s">
        <v>74</v>
      </c>
    </row>
    <row r="33234" spans="9:9" x14ac:dyDescent="0.2">
      <c r="I33234" s="137" t="s">
        <v>74</v>
      </c>
    </row>
    <row r="33235" spans="9:9" x14ac:dyDescent="0.2">
      <c r="I33235" s="137" t="s">
        <v>74</v>
      </c>
    </row>
    <row r="33236" spans="9:9" x14ac:dyDescent="0.2">
      <c r="I33236" s="137" t="s">
        <v>74</v>
      </c>
    </row>
    <row r="33237" spans="9:9" x14ac:dyDescent="0.2">
      <c r="I33237" s="137" t="s">
        <v>74</v>
      </c>
    </row>
    <row r="33238" spans="9:9" x14ac:dyDescent="0.2">
      <c r="I33238" s="137" t="s">
        <v>74</v>
      </c>
    </row>
    <row r="33239" spans="9:9" x14ac:dyDescent="0.2">
      <c r="I33239" s="137" t="s">
        <v>74</v>
      </c>
    </row>
    <row r="33240" spans="9:9" x14ac:dyDescent="0.2">
      <c r="I33240" s="137" t="s">
        <v>74</v>
      </c>
    </row>
    <row r="33241" spans="9:9" x14ac:dyDescent="0.2">
      <c r="I33241" s="137" t="s">
        <v>74</v>
      </c>
    </row>
    <row r="33242" spans="9:9" x14ac:dyDescent="0.2">
      <c r="I33242" s="137" t="s">
        <v>74</v>
      </c>
    </row>
    <row r="33243" spans="9:9" x14ac:dyDescent="0.2">
      <c r="I33243" s="137" t="s">
        <v>74</v>
      </c>
    </row>
    <row r="33244" spans="9:9" x14ac:dyDescent="0.2">
      <c r="I33244" s="137" t="s">
        <v>74</v>
      </c>
    </row>
    <row r="33245" spans="9:9" x14ac:dyDescent="0.2">
      <c r="I33245" s="137" t="s">
        <v>74</v>
      </c>
    </row>
    <row r="33246" spans="9:9" x14ac:dyDescent="0.2">
      <c r="I33246" s="137" t="s">
        <v>74</v>
      </c>
    </row>
    <row r="33247" spans="9:9" x14ac:dyDescent="0.2">
      <c r="I33247" s="137" t="s">
        <v>74</v>
      </c>
    </row>
    <row r="33248" spans="9:9" x14ac:dyDescent="0.2">
      <c r="I33248" s="137" t="s">
        <v>74</v>
      </c>
    </row>
    <row r="33249" spans="9:9" x14ac:dyDescent="0.2">
      <c r="I33249" s="137" t="s">
        <v>74</v>
      </c>
    </row>
    <row r="33250" spans="9:9" x14ac:dyDescent="0.2">
      <c r="I33250" s="137" t="s">
        <v>74</v>
      </c>
    </row>
    <row r="33251" spans="9:9" x14ac:dyDescent="0.2">
      <c r="I33251" s="137" t="s">
        <v>74</v>
      </c>
    </row>
    <row r="33252" spans="9:9" x14ac:dyDescent="0.2">
      <c r="I33252" s="137" t="s">
        <v>74</v>
      </c>
    </row>
    <row r="33253" spans="9:9" x14ac:dyDescent="0.2">
      <c r="I33253" s="137" t="s">
        <v>74</v>
      </c>
    </row>
    <row r="33254" spans="9:9" x14ac:dyDescent="0.2">
      <c r="I33254" s="137" t="s">
        <v>74</v>
      </c>
    </row>
    <row r="33255" spans="9:9" x14ac:dyDescent="0.2">
      <c r="I33255" s="137" t="s">
        <v>74</v>
      </c>
    </row>
    <row r="33256" spans="9:9" x14ac:dyDescent="0.2">
      <c r="I33256" s="137" t="s">
        <v>74</v>
      </c>
    </row>
    <row r="33257" spans="9:9" x14ac:dyDescent="0.2">
      <c r="I33257" s="137" t="s">
        <v>74</v>
      </c>
    </row>
    <row r="33258" spans="9:9" x14ac:dyDescent="0.2">
      <c r="I33258" s="137" t="s">
        <v>74</v>
      </c>
    </row>
    <row r="33259" spans="9:9" x14ac:dyDescent="0.2">
      <c r="I33259" s="137" t="s">
        <v>74</v>
      </c>
    </row>
    <row r="33260" spans="9:9" x14ac:dyDescent="0.2">
      <c r="I33260" s="137" t="s">
        <v>74</v>
      </c>
    </row>
    <row r="33261" spans="9:9" x14ac:dyDescent="0.2">
      <c r="I33261" s="137" t="s">
        <v>74</v>
      </c>
    </row>
    <row r="33262" spans="9:9" x14ac:dyDescent="0.2">
      <c r="I33262" s="137" t="s">
        <v>74</v>
      </c>
    </row>
    <row r="33263" spans="9:9" x14ac:dyDescent="0.2">
      <c r="I33263" s="137" t="s">
        <v>74</v>
      </c>
    </row>
    <row r="33264" spans="9:9" x14ac:dyDescent="0.2">
      <c r="I33264" s="137" t="s">
        <v>74</v>
      </c>
    </row>
    <row r="33265" spans="9:9" x14ac:dyDescent="0.2">
      <c r="I33265" s="137" t="s">
        <v>74</v>
      </c>
    </row>
    <row r="33266" spans="9:9" x14ac:dyDescent="0.2">
      <c r="I33266" s="137" t="s">
        <v>74</v>
      </c>
    </row>
    <row r="33267" spans="9:9" x14ac:dyDescent="0.2">
      <c r="I33267" s="137" t="s">
        <v>74</v>
      </c>
    </row>
    <row r="33268" spans="9:9" x14ac:dyDescent="0.2">
      <c r="I33268" s="137" t="s">
        <v>74</v>
      </c>
    </row>
    <row r="33269" spans="9:9" x14ac:dyDescent="0.2">
      <c r="I33269" s="137" t="s">
        <v>74</v>
      </c>
    </row>
    <row r="33270" spans="9:9" x14ac:dyDescent="0.2">
      <c r="I33270" s="137" t="s">
        <v>74</v>
      </c>
    </row>
    <row r="33271" spans="9:9" x14ac:dyDescent="0.2">
      <c r="I33271" s="137" t="s">
        <v>74</v>
      </c>
    </row>
    <row r="33272" spans="9:9" x14ac:dyDescent="0.2">
      <c r="I33272" s="137" t="s">
        <v>74</v>
      </c>
    </row>
    <row r="33273" spans="9:9" x14ac:dyDescent="0.2">
      <c r="I33273" s="137" t="s">
        <v>74</v>
      </c>
    </row>
    <row r="33274" spans="9:9" x14ac:dyDescent="0.2">
      <c r="I33274" s="137" t="s">
        <v>74</v>
      </c>
    </row>
    <row r="33275" spans="9:9" x14ac:dyDescent="0.2">
      <c r="I33275" s="137" t="s">
        <v>74</v>
      </c>
    </row>
    <row r="33276" spans="9:9" x14ac:dyDescent="0.2">
      <c r="I33276" s="137" t="s">
        <v>74</v>
      </c>
    </row>
    <row r="33277" spans="9:9" x14ac:dyDescent="0.2">
      <c r="I33277" s="137" t="s">
        <v>74</v>
      </c>
    </row>
    <row r="33278" spans="9:9" x14ac:dyDescent="0.2">
      <c r="I33278" s="137" t="s">
        <v>74</v>
      </c>
    </row>
    <row r="33279" spans="9:9" x14ac:dyDescent="0.2">
      <c r="I33279" s="137" t="s">
        <v>74</v>
      </c>
    </row>
    <row r="33280" spans="9:9" x14ac:dyDescent="0.2">
      <c r="I33280" s="137" t="s">
        <v>74</v>
      </c>
    </row>
    <row r="33281" spans="9:9" x14ac:dyDescent="0.2">
      <c r="I33281" s="137" t="s">
        <v>74</v>
      </c>
    </row>
    <row r="33282" spans="9:9" x14ac:dyDescent="0.2">
      <c r="I33282" s="137" t="s">
        <v>74</v>
      </c>
    </row>
    <row r="33283" spans="9:9" x14ac:dyDescent="0.2">
      <c r="I33283" s="137" t="s">
        <v>74</v>
      </c>
    </row>
    <row r="33284" spans="9:9" x14ac:dyDescent="0.2">
      <c r="I33284" s="137" t="s">
        <v>74</v>
      </c>
    </row>
    <row r="33285" spans="9:9" x14ac:dyDescent="0.2">
      <c r="I33285" s="137" t="s">
        <v>74</v>
      </c>
    </row>
    <row r="33286" spans="9:9" x14ac:dyDescent="0.2">
      <c r="I33286" s="137" t="s">
        <v>74</v>
      </c>
    </row>
    <row r="33287" spans="9:9" x14ac:dyDescent="0.2">
      <c r="I33287" s="137" t="s">
        <v>74</v>
      </c>
    </row>
    <row r="33288" spans="9:9" x14ac:dyDescent="0.2">
      <c r="I33288" s="137" t="s">
        <v>74</v>
      </c>
    </row>
    <row r="33289" spans="9:9" x14ac:dyDescent="0.2">
      <c r="I33289" s="137" t="s">
        <v>74</v>
      </c>
    </row>
    <row r="33290" spans="9:9" x14ac:dyDescent="0.2">
      <c r="I33290" s="137" t="s">
        <v>74</v>
      </c>
    </row>
    <row r="33291" spans="9:9" x14ac:dyDescent="0.2">
      <c r="I33291" s="137" t="s">
        <v>74</v>
      </c>
    </row>
    <row r="33292" spans="9:9" x14ac:dyDescent="0.2">
      <c r="I33292" s="137" t="s">
        <v>74</v>
      </c>
    </row>
    <row r="33293" spans="9:9" x14ac:dyDescent="0.2">
      <c r="I33293" s="137" t="s">
        <v>74</v>
      </c>
    </row>
    <row r="33294" spans="9:9" x14ac:dyDescent="0.2">
      <c r="I33294" s="137" t="s">
        <v>74</v>
      </c>
    </row>
    <row r="33295" spans="9:9" x14ac:dyDescent="0.2">
      <c r="I33295" s="137" t="s">
        <v>74</v>
      </c>
    </row>
    <row r="33296" spans="9:9" x14ac:dyDescent="0.2">
      <c r="I33296" s="137" t="s">
        <v>74</v>
      </c>
    </row>
    <row r="33297" spans="9:9" x14ac:dyDescent="0.2">
      <c r="I33297" s="137" t="s">
        <v>74</v>
      </c>
    </row>
    <row r="33298" spans="9:9" x14ac:dyDescent="0.2">
      <c r="I33298" s="137" t="s">
        <v>74</v>
      </c>
    </row>
    <row r="33299" spans="9:9" x14ac:dyDescent="0.2">
      <c r="I33299" s="137" t="s">
        <v>74</v>
      </c>
    </row>
    <row r="33300" spans="9:9" x14ac:dyDescent="0.2">
      <c r="I33300" s="137" t="s">
        <v>74</v>
      </c>
    </row>
    <row r="33301" spans="9:9" x14ac:dyDescent="0.2">
      <c r="I33301" s="137" t="s">
        <v>74</v>
      </c>
    </row>
    <row r="33302" spans="9:9" x14ac:dyDescent="0.2">
      <c r="I33302" s="137" t="s">
        <v>74</v>
      </c>
    </row>
    <row r="33303" spans="9:9" x14ac:dyDescent="0.2">
      <c r="I33303" s="137" t="s">
        <v>74</v>
      </c>
    </row>
    <row r="33304" spans="9:9" x14ac:dyDescent="0.2">
      <c r="I33304" s="137" t="s">
        <v>74</v>
      </c>
    </row>
    <row r="33305" spans="9:9" x14ac:dyDescent="0.2">
      <c r="I33305" s="137" t="s">
        <v>74</v>
      </c>
    </row>
    <row r="33306" spans="9:9" x14ac:dyDescent="0.2">
      <c r="I33306" s="137" t="s">
        <v>74</v>
      </c>
    </row>
    <row r="33307" spans="9:9" x14ac:dyDescent="0.2">
      <c r="I33307" s="137" t="s">
        <v>74</v>
      </c>
    </row>
    <row r="33308" spans="9:9" x14ac:dyDescent="0.2">
      <c r="I33308" s="137" t="s">
        <v>74</v>
      </c>
    </row>
    <row r="33309" spans="9:9" x14ac:dyDescent="0.2">
      <c r="I33309" s="137" t="s">
        <v>74</v>
      </c>
    </row>
    <row r="33310" spans="9:9" x14ac:dyDescent="0.2">
      <c r="I33310" s="137" t="s">
        <v>74</v>
      </c>
    </row>
    <row r="33311" spans="9:9" x14ac:dyDescent="0.2">
      <c r="I33311" s="137" t="s">
        <v>74</v>
      </c>
    </row>
    <row r="33312" spans="9:9" x14ac:dyDescent="0.2">
      <c r="I33312" s="137" t="s">
        <v>74</v>
      </c>
    </row>
    <row r="33313" spans="9:9" x14ac:dyDescent="0.2">
      <c r="I33313" s="137" t="s">
        <v>74</v>
      </c>
    </row>
    <row r="33314" spans="9:9" x14ac:dyDescent="0.2">
      <c r="I33314" s="137" t="s">
        <v>74</v>
      </c>
    </row>
    <row r="33315" spans="9:9" x14ac:dyDescent="0.2">
      <c r="I33315" s="137" t="s">
        <v>74</v>
      </c>
    </row>
    <row r="33316" spans="9:9" x14ac:dyDescent="0.2">
      <c r="I33316" s="137" t="s">
        <v>74</v>
      </c>
    </row>
    <row r="33317" spans="9:9" x14ac:dyDescent="0.2">
      <c r="I33317" s="137" t="s">
        <v>74</v>
      </c>
    </row>
    <row r="33318" spans="9:9" x14ac:dyDescent="0.2">
      <c r="I33318" s="137" t="s">
        <v>74</v>
      </c>
    </row>
    <row r="33319" spans="9:9" x14ac:dyDescent="0.2">
      <c r="I33319" s="137" t="s">
        <v>74</v>
      </c>
    </row>
    <row r="33320" spans="9:9" x14ac:dyDescent="0.2">
      <c r="I33320" s="137" t="s">
        <v>74</v>
      </c>
    </row>
    <row r="33321" spans="9:9" x14ac:dyDescent="0.2">
      <c r="I33321" s="137" t="s">
        <v>74</v>
      </c>
    </row>
    <row r="33322" spans="9:9" x14ac:dyDescent="0.2">
      <c r="I33322" s="137" t="s">
        <v>74</v>
      </c>
    </row>
    <row r="33323" spans="9:9" x14ac:dyDescent="0.2">
      <c r="I33323" s="137" t="s">
        <v>74</v>
      </c>
    </row>
    <row r="33324" spans="9:9" x14ac:dyDescent="0.2">
      <c r="I33324" s="137" t="s">
        <v>74</v>
      </c>
    </row>
    <row r="33325" spans="9:9" x14ac:dyDescent="0.2">
      <c r="I33325" s="137" t="s">
        <v>74</v>
      </c>
    </row>
    <row r="33326" spans="9:9" x14ac:dyDescent="0.2">
      <c r="I33326" s="137" t="s">
        <v>74</v>
      </c>
    </row>
    <row r="33327" spans="9:9" x14ac:dyDescent="0.2">
      <c r="I33327" s="137" t="s">
        <v>74</v>
      </c>
    </row>
    <row r="33328" spans="9:9" x14ac:dyDescent="0.2">
      <c r="I33328" s="137" t="s">
        <v>74</v>
      </c>
    </row>
    <row r="33329" spans="9:9" x14ac:dyDescent="0.2">
      <c r="I33329" s="137" t="s">
        <v>74</v>
      </c>
    </row>
    <row r="33330" spans="9:9" x14ac:dyDescent="0.2">
      <c r="I33330" s="137" t="s">
        <v>74</v>
      </c>
    </row>
    <row r="33331" spans="9:9" x14ac:dyDescent="0.2">
      <c r="I33331" s="137" t="s">
        <v>74</v>
      </c>
    </row>
    <row r="33332" spans="9:9" x14ac:dyDescent="0.2">
      <c r="I33332" s="137" t="s">
        <v>74</v>
      </c>
    </row>
    <row r="33333" spans="9:9" x14ac:dyDescent="0.2">
      <c r="I33333" s="137" t="s">
        <v>74</v>
      </c>
    </row>
    <row r="33334" spans="9:9" x14ac:dyDescent="0.2">
      <c r="I33334" s="137" t="s">
        <v>74</v>
      </c>
    </row>
    <row r="33335" spans="9:9" x14ac:dyDescent="0.2">
      <c r="I33335" s="137" t="s">
        <v>74</v>
      </c>
    </row>
    <row r="33336" spans="9:9" x14ac:dyDescent="0.2">
      <c r="I33336" s="137" t="s">
        <v>74</v>
      </c>
    </row>
    <row r="33337" spans="9:9" x14ac:dyDescent="0.2">
      <c r="I33337" s="137" t="s">
        <v>74</v>
      </c>
    </row>
    <row r="33338" spans="9:9" x14ac:dyDescent="0.2">
      <c r="I33338" s="137" t="s">
        <v>74</v>
      </c>
    </row>
    <row r="33339" spans="9:9" x14ac:dyDescent="0.2">
      <c r="I33339" s="137" t="s">
        <v>74</v>
      </c>
    </row>
    <row r="33340" spans="9:9" x14ac:dyDescent="0.2">
      <c r="I33340" s="137" t="s">
        <v>74</v>
      </c>
    </row>
    <row r="33341" spans="9:9" x14ac:dyDescent="0.2">
      <c r="I33341" s="137" t="s">
        <v>74</v>
      </c>
    </row>
    <row r="33342" spans="9:9" x14ac:dyDescent="0.2">
      <c r="I33342" s="137" t="s">
        <v>74</v>
      </c>
    </row>
    <row r="33343" spans="9:9" x14ac:dyDescent="0.2">
      <c r="I33343" s="137" t="s">
        <v>74</v>
      </c>
    </row>
    <row r="33344" spans="9:9" x14ac:dyDescent="0.2">
      <c r="I33344" s="137" t="s">
        <v>74</v>
      </c>
    </row>
    <row r="33345" spans="9:9" x14ac:dyDescent="0.2">
      <c r="I33345" s="137" t="s">
        <v>74</v>
      </c>
    </row>
    <row r="33346" spans="9:9" x14ac:dyDescent="0.2">
      <c r="I33346" s="137" t="s">
        <v>74</v>
      </c>
    </row>
    <row r="33347" spans="9:9" x14ac:dyDescent="0.2">
      <c r="I33347" s="137" t="s">
        <v>74</v>
      </c>
    </row>
    <row r="33348" spans="9:9" x14ac:dyDescent="0.2">
      <c r="I33348" s="137" t="s">
        <v>74</v>
      </c>
    </row>
    <row r="33349" spans="9:9" x14ac:dyDescent="0.2">
      <c r="I33349" s="137" t="s">
        <v>74</v>
      </c>
    </row>
    <row r="33350" spans="9:9" x14ac:dyDescent="0.2">
      <c r="I33350" s="137" t="s">
        <v>74</v>
      </c>
    </row>
    <row r="33351" spans="9:9" x14ac:dyDescent="0.2">
      <c r="I33351" s="137" t="s">
        <v>74</v>
      </c>
    </row>
    <row r="33352" spans="9:9" x14ac:dyDescent="0.2">
      <c r="I33352" s="137" t="s">
        <v>74</v>
      </c>
    </row>
    <row r="33353" spans="9:9" x14ac:dyDescent="0.2">
      <c r="I33353" s="137" t="s">
        <v>74</v>
      </c>
    </row>
    <row r="33354" spans="9:9" x14ac:dyDescent="0.2">
      <c r="I33354" s="137" t="s">
        <v>74</v>
      </c>
    </row>
    <row r="33355" spans="9:9" x14ac:dyDescent="0.2">
      <c r="I33355" s="137" t="s">
        <v>74</v>
      </c>
    </row>
    <row r="33356" spans="9:9" x14ac:dyDescent="0.2">
      <c r="I33356" s="137" t="s">
        <v>74</v>
      </c>
    </row>
    <row r="33357" spans="9:9" x14ac:dyDescent="0.2">
      <c r="I33357" s="137" t="s">
        <v>74</v>
      </c>
    </row>
    <row r="33358" spans="9:9" x14ac:dyDescent="0.2">
      <c r="I33358" s="137" t="s">
        <v>74</v>
      </c>
    </row>
    <row r="33359" spans="9:9" x14ac:dyDescent="0.2">
      <c r="I33359" s="137" t="s">
        <v>74</v>
      </c>
    </row>
    <row r="33360" spans="9:9" x14ac:dyDescent="0.2">
      <c r="I33360" s="137" t="s">
        <v>74</v>
      </c>
    </row>
    <row r="33361" spans="9:9" x14ac:dyDescent="0.2">
      <c r="I33361" s="137" t="s">
        <v>74</v>
      </c>
    </row>
    <row r="33362" spans="9:9" x14ac:dyDescent="0.2">
      <c r="I33362" s="137" t="s">
        <v>74</v>
      </c>
    </row>
    <row r="33363" spans="9:9" x14ac:dyDescent="0.2">
      <c r="I33363" s="137" t="s">
        <v>74</v>
      </c>
    </row>
    <row r="33364" spans="9:9" x14ac:dyDescent="0.2">
      <c r="I33364" s="137" t="s">
        <v>74</v>
      </c>
    </row>
    <row r="33365" spans="9:9" x14ac:dyDescent="0.2">
      <c r="I33365" s="137" t="s">
        <v>74</v>
      </c>
    </row>
    <row r="33366" spans="9:9" x14ac:dyDescent="0.2">
      <c r="I33366" s="137" t="s">
        <v>74</v>
      </c>
    </row>
    <row r="33367" spans="9:9" x14ac:dyDescent="0.2">
      <c r="I33367" s="137" t="s">
        <v>74</v>
      </c>
    </row>
    <row r="33368" spans="9:9" x14ac:dyDescent="0.2">
      <c r="I33368" s="137" t="s">
        <v>74</v>
      </c>
    </row>
    <row r="33369" spans="9:9" x14ac:dyDescent="0.2">
      <c r="I33369" s="137" t="s">
        <v>74</v>
      </c>
    </row>
    <row r="33370" spans="9:9" x14ac:dyDescent="0.2">
      <c r="I33370" s="137" t="s">
        <v>74</v>
      </c>
    </row>
    <row r="33371" spans="9:9" x14ac:dyDescent="0.2">
      <c r="I33371" s="137" t="s">
        <v>74</v>
      </c>
    </row>
    <row r="33372" spans="9:9" x14ac:dyDescent="0.2">
      <c r="I33372" s="137" t="s">
        <v>74</v>
      </c>
    </row>
    <row r="33373" spans="9:9" x14ac:dyDescent="0.2">
      <c r="I33373" s="137" t="s">
        <v>74</v>
      </c>
    </row>
    <row r="33374" spans="9:9" x14ac:dyDescent="0.2">
      <c r="I33374" s="137" t="s">
        <v>74</v>
      </c>
    </row>
    <row r="33375" spans="9:9" x14ac:dyDescent="0.2">
      <c r="I33375" s="137" t="s">
        <v>74</v>
      </c>
    </row>
    <row r="33376" spans="9:9" x14ac:dyDescent="0.2">
      <c r="I33376" s="137" t="s">
        <v>74</v>
      </c>
    </row>
    <row r="33377" spans="9:9" x14ac:dyDescent="0.2">
      <c r="I33377" s="137" t="s">
        <v>74</v>
      </c>
    </row>
    <row r="33378" spans="9:9" x14ac:dyDescent="0.2">
      <c r="I33378" s="137" t="s">
        <v>74</v>
      </c>
    </row>
    <row r="33379" spans="9:9" x14ac:dyDescent="0.2">
      <c r="I33379" s="137" t="s">
        <v>74</v>
      </c>
    </row>
    <row r="33380" spans="9:9" x14ac:dyDescent="0.2">
      <c r="I33380" s="137" t="s">
        <v>74</v>
      </c>
    </row>
    <row r="33381" spans="9:9" x14ac:dyDescent="0.2">
      <c r="I33381" s="137" t="s">
        <v>74</v>
      </c>
    </row>
    <row r="33382" spans="9:9" x14ac:dyDescent="0.2">
      <c r="I33382" s="137" t="s">
        <v>74</v>
      </c>
    </row>
    <row r="33383" spans="9:9" x14ac:dyDescent="0.2">
      <c r="I33383" s="137" t="s">
        <v>74</v>
      </c>
    </row>
    <row r="33384" spans="9:9" x14ac:dyDescent="0.2">
      <c r="I33384" s="137" t="s">
        <v>74</v>
      </c>
    </row>
    <row r="33385" spans="9:9" x14ac:dyDescent="0.2">
      <c r="I33385" s="137" t="s">
        <v>74</v>
      </c>
    </row>
    <row r="33386" spans="9:9" x14ac:dyDescent="0.2">
      <c r="I33386" s="137" t="s">
        <v>74</v>
      </c>
    </row>
    <row r="33387" spans="9:9" x14ac:dyDescent="0.2">
      <c r="I33387" s="137" t="s">
        <v>74</v>
      </c>
    </row>
    <row r="33388" spans="9:9" x14ac:dyDescent="0.2">
      <c r="I33388" s="137" t="s">
        <v>74</v>
      </c>
    </row>
    <row r="33389" spans="9:9" x14ac:dyDescent="0.2">
      <c r="I33389" s="137" t="s">
        <v>74</v>
      </c>
    </row>
    <row r="33390" spans="9:9" x14ac:dyDescent="0.2">
      <c r="I33390" s="137" t="s">
        <v>74</v>
      </c>
    </row>
    <row r="33391" spans="9:9" x14ac:dyDescent="0.2">
      <c r="I33391" s="137" t="s">
        <v>74</v>
      </c>
    </row>
    <row r="33392" spans="9:9" x14ac:dyDescent="0.2">
      <c r="I33392" s="137" t="s">
        <v>74</v>
      </c>
    </row>
    <row r="33393" spans="9:9" x14ac:dyDescent="0.2">
      <c r="I33393" s="137" t="s">
        <v>74</v>
      </c>
    </row>
    <row r="33394" spans="9:9" x14ac:dyDescent="0.2">
      <c r="I33394" s="137" t="s">
        <v>74</v>
      </c>
    </row>
    <row r="33395" spans="9:9" x14ac:dyDescent="0.2">
      <c r="I33395" s="137" t="s">
        <v>74</v>
      </c>
    </row>
    <row r="33396" spans="9:9" x14ac:dyDescent="0.2">
      <c r="I33396" s="137" t="s">
        <v>74</v>
      </c>
    </row>
    <row r="33397" spans="9:9" x14ac:dyDescent="0.2">
      <c r="I33397" s="137" t="s">
        <v>74</v>
      </c>
    </row>
    <row r="33398" spans="9:9" x14ac:dyDescent="0.2">
      <c r="I33398" s="137" t="s">
        <v>74</v>
      </c>
    </row>
    <row r="33399" spans="9:9" x14ac:dyDescent="0.2">
      <c r="I33399" s="137" t="s">
        <v>74</v>
      </c>
    </row>
    <row r="33400" spans="9:9" x14ac:dyDescent="0.2">
      <c r="I33400" s="137" t="s">
        <v>74</v>
      </c>
    </row>
    <row r="33401" spans="9:9" x14ac:dyDescent="0.2">
      <c r="I33401" s="137" t="s">
        <v>74</v>
      </c>
    </row>
    <row r="33402" spans="9:9" x14ac:dyDescent="0.2">
      <c r="I33402" s="137" t="s">
        <v>74</v>
      </c>
    </row>
    <row r="33403" spans="9:9" x14ac:dyDescent="0.2">
      <c r="I33403" s="137" t="s">
        <v>74</v>
      </c>
    </row>
    <row r="33404" spans="9:9" x14ac:dyDescent="0.2">
      <c r="I33404" s="137" t="s">
        <v>74</v>
      </c>
    </row>
    <row r="33405" spans="9:9" x14ac:dyDescent="0.2">
      <c r="I33405" s="137" t="s">
        <v>74</v>
      </c>
    </row>
    <row r="33406" spans="9:9" x14ac:dyDescent="0.2">
      <c r="I33406" s="137" t="s">
        <v>74</v>
      </c>
    </row>
    <row r="33407" spans="9:9" x14ac:dyDescent="0.2">
      <c r="I33407" s="137" t="s">
        <v>74</v>
      </c>
    </row>
    <row r="33408" spans="9:9" x14ac:dyDescent="0.2">
      <c r="I33408" s="137" t="s">
        <v>74</v>
      </c>
    </row>
    <row r="33409" spans="9:9" x14ac:dyDescent="0.2">
      <c r="I33409" s="137" t="s">
        <v>74</v>
      </c>
    </row>
    <row r="33410" spans="9:9" x14ac:dyDescent="0.2">
      <c r="I33410" s="137" t="s">
        <v>74</v>
      </c>
    </row>
    <row r="33411" spans="9:9" x14ac:dyDescent="0.2">
      <c r="I33411" s="137" t="s">
        <v>74</v>
      </c>
    </row>
    <row r="33412" spans="9:9" x14ac:dyDescent="0.2">
      <c r="I33412" s="137" t="s">
        <v>74</v>
      </c>
    </row>
    <row r="33413" spans="9:9" x14ac:dyDescent="0.2">
      <c r="I33413" s="137" t="s">
        <v>74</v>
      </c>
    </row>
    <row r="33414" spans="9:9" x14ac:dyDescent="0.2">
      <c r="I33414" s="137" t="s">
        <v>74</v>
      </c>
    </row>
    <row r="33415" spans="9:9" x14ac:dyDescent="0.2">
      <c r="I33415" s="137" t="s">
        <v>74</v>
      </c>
    </row>
    <row r="33416" spans="9:9" x14ac:dyDescent="0.2">
      <c r="I33416" s="137" t="s">
        <v>74</v>
      </c>
    </row>
    <row r="33417" spans="9:9" x14ac:dyDescent="0.2">
      <c r="I33417" s="137" t="s">
        <v>74</v>
      </c>
    </row>
    <row r="33418" spans="9:9" x14ac:dyDescent="0.2">
      <c r="I33418" s="137" t="s">
        <v>74</v>
      </c>
    </row>
    <row r="33419" spans="9:9" x14ac:dyDescent="0.2">
      <c r="I33419" s="137" t="s">
        <v>74</v>
      </c>
    </row>
    <row r="33420" spans="9:9" x14ac:dyDescent="0.2">
      <c r="I33420" s="137" t="s">
        <v>74</v>
      </c>
    </row>
    <row r="33421" spans="9:9" x14ac:dyDescent="0.2">
      <c r="I33421" s="137" t="s">
        <v>74</v>
      </c>
    </row>
    <row r="33422" spans="9:9" x14ac:dyDescent="0.2">
      <c r="I33422" s="137" t="s">
        <v>74</v>
      </c>
    </row>
    <row r="33423" spans="9:9" x14ac:dyDescent="0.2">
      <c r="I33423" s="137" t="s">
        <v>74</v>
      </c>
    </row>
    <row r="33424" spans="9:9" x14ac:dyDescent="0.2">
      <c r="I33424" s="137" t="s">
        <v>74</v>
      </c>
    </row>
    <row r="33425" spans="9:9" x14ac:dyDescent="0.2">
      <c r="I33425" s="137" t="s">
        <v>74</v>
      </c>
    </row>
    <row r="33426" spans="9:9" x14ac:dyDescent="0.2">
      <c r="I33426" s="137" t="s">
        <v>74</v>
      </c>
    </row>
    <row r="33427" spans="9:9" x14ac:dyDescent="0.2">
      <c r="I33427" s="137" t="s">
        <v>74</v>
      </c>
    </row>
    <row r="33428" spans="9:9" x14ac:dyDescent="0.2">
      <c r="I33428" s="137" t="s">
        <v>74</v>
      </c>
    </row>
    <row r="33429" spans="9:9" x14ac:dyDescent="0.2">
      <c r="I33429" s="137" t="s">
        <v>74</v>
      </c>
    </row>
    <row r="33430" spans="9:9" x14ac:dyDescent="0.2">
      <c r="I33430" s="137" t="s">
        <v>74</v>
      </c>
    </row>
    <row r="33431" spans="9:9" x14ac:dyDescent="0.2">
      <c r="I33431" s="137" t="s">
        <v>74</v>
      </c>
    </row>
    <row r="33432" spans="9:9" x14ac:dyDescent="0.2">
      <c r="I33432" s="137" t="s">
        <v>74</v>
      </c>
    </row>
    <row r="33433" spans="9:9" x14ac:dyDescent="0.2">
      <c r="I33433" s="137" t="s">
        <v>74</v>
      </c>
    </row>
    <row r="33434" spans="9:9" x14ac:dyDescent="0.2">
      <c r="I33434" s="137" t="s">
        <v>74</v>
      </c>
    </row>
    <row r="33435" spans="9:9" x14ac:dyDescent="0.2">
      <c r="I33435" s="137" t="s">
        <v>74</v>
      </c>
    </row>
    <row r="33436" spans="9:9" x14ac:dyDescent="0.2">
      <c r="I33436" s="137" t="s">
        <v>74</v>
      </c>
    </row>
    <row r="33437" spans="9:9" x14ac:dyDescent="0.2">
      <c r="I33437" s="137" t="s">
        <v>74</v>
      </c>
    </row>
    <row r="33438" spans="9:9" x14ac:dyDescent="0.2">
      <c r="I33438" s="137" t="s">
        <v>74</v>
      </c>
    </row>
    <row r="33439" spans="9:9" x14ac:dyDescent="0.2">
      <c r="I33439" s="137" t="s">
        <v>74</v>
      </c>
    </row>
    <row r="33440" spans="9:9" x14ac:dyDescent="0.2">
      <c r="I33440" s="137" t="s">
        <v>74</v>
      </c>
    </row>
    <row r="33441" spans="9:9" x14ac:dyDescent="0.2">
      <c r="I33441" s="137" t="s">
        <v>74</v>
      </c>
    </row>
    <row r="33442" spans="9:9" x14ac:dyDescent="0.2">
      <c r="I33442" s="137" t="s">
        <v>74</v>
      </c>
    </row>
    <row r="33443" spans="9:9" x14ac:dyDescent="0.2">
      <c r="I33443" s="137" t="s">
        <v>74</v>
      </c>
    </row>
    <row r="33444" spans="9:9" x14ac:dyDescent="0.2">
      <c r="I33444" s="137" t="s">
        <v>74</v>
      </c>
    </row>
    <row r="33445" spans="9:9" x14ac:dyDescent="0.2">
      <c r="I33445" s="137" t="s">
        <v>74</v>
      </c>
    </row>
    <row r="33446" spans="9:9" x14ac:dyDescent="0.2">
      <c r="I33446" s="137" t="s">
        <v>74</v>
      </c>
    </row>
    <row r="33447" spans="9:9" x14ac:dyDescent="0.2">
      <c r="I33447" s="137" t="s">
        <v>74</v>
      </c>
    </row>
    <row r="33448" spans="9:9" x14ac:dyDescent="0.2">
      <c r="I33448" s="137" t="s">
        <v>74</v>
      </c>
    </row>
    <row r="33449" spans="9:9" x14ac:dyDescent="0.2">
      <c r="I33449" s="137" t="s">
        <v>74</v>
      </c>
    </row>
    <row r="33450" spans="9:9" x14ac:dyDescent="0.2">
      <c r="I33450" s="137" t="s">
        <v>74</v>
      </c>
    </row>
    <row r="33451" spans="9:9" x14ac:dyDescent="0.2">
      <c r="I33451" s="137" t="s">
        <v>74</v>
      </c>
    </row>
    <row r="33452" spans="9:9" x14ac:dyDescent="0.2">
      <c r="I33452" s="137" t="s">
        <v>74</v>
      </c>
    </row>
    <row r="33453" spans="9:9" x14ac:dyDescent="0.2">
      <c r="I33453" s="137" t="s">
        <v>74</v>
      </c>
    </row>
    <row r="33454" spans="9:9" x14ac:dyDescent="0.2">
      <c r="I33454" s="137" t="s">
        <v>74</v>
      </c>
    </row>
    <row r="33455" spans="9:9" x14ac:dyDescent="0.2">
      <c r="I33455" s="137" t="s">
        <v>74</v>
      </c>
    </row>
    <row r="33456" spans="9:9" x14ac:dyDescent="0.2">
      <c r="I33456" s="137" t="s">
        <v>74</v>
      </c>
    </row>
    <row r="33457" spans="9:9" x14ac:dyDescent="0.2">
      <c r="I33457" s="137" t="s">
        <v>74</v>
      </c>
    </row>
    <row r="33458" spans="9:9" x14ac:dyDescent="0.2">
      <c r="I33458" s="137" t="s">
        <v>74</v>
      </c>
    </row>
    <row r="33459" spans="9:9" x14ac:dyDescent="0.2">
      <c r="I33459" s="137" t="s">
        <v>74</v>
      </c>
    </row>
    <row r="33460" spans="9:9" x14ac:dyDescent="0.2">
      <c r="I33460" s="137" t="s">
        <v>74</v>
      </c>
    </row>
    <row r="33461" spans="9:9" x14ac:dyDescent="0.2">
      <c r="I33461" s="137" t="s">
        <v>74</v>
      </c>
    </row>
    <row r="33462" spans="9:9" x14ac:dyDescent="0.2">
      <c r="I33462" s="137" t="s">
        <v>74</v>
      </c>
    </row>
    <row r="33463" spans="9:9" x14ac:dyDescent="0.2">
      <c r="I33463" s="137" t="s">
        <v>74</v>
      </c>
    </row>
    <row r="33464" spans="9:9" x14ac:dyDescent="0.2">
      <c r="I33464" s="137" t="s">
        <v>74</v>
      </c>
    </row>
    <row r="33465" spans="9:9" x14ac:dyDescent="0.2">
      <c r="I33465" s="137" t="s">
        <v>74</v>
      </c>
    </row>
    <row r="33466" spans="9:9" x14ac:dyDescent="0.2">
      <c r="I33466" s="137" t="s">
        <v>74</v>
      </c>
    </row>
    <row r="33467" spans="9:9" x14ac:dyDescent="0.2">
      <c r="I33467" s="137" t="s">
        <v>74</v>
      </c>
    </row>
    <row r="33468" spans="9:9" x14ac:dyDescent="0.2">
      <c r="I33468" s="137" t="s">
        <v>74</v>
      </c>
    </row>
    <row r="33469" spans="9:9" x14ac:dyDescent="0.2">
      <c r="I33469" s="137" t="s">
        <v>74</v>
      </c>
    </row>
    <row r="33470" spans="9:9" x14ac:dyDescent="0.2">
      <c r="I33470" s="137" t="s">
        <v>74</v>
      </c>
    </row>
    <row r="33471" spans="9:9" x14ac:dyDescent="0.2">
      <c r="I33471" s="137" t="s">
        <v>74</v>
      </c>
    </row>
    <row r="33472" spans="9:9" x14ac:dyDescent="0.2">
      <c r="I33472" s="137" t="s">
        <v>74</v>
      </c>
    </row>
    <row r="33473" spans="9:9" x14ac:dyDescent="0.2">
      <c r="I33473" s="137" t="s">
        <v>74</v>
      </c>
    </row>
    <row r="33474" spans="9:9" x14ac:dyDescent="0.2">
      <c r="I33474" s="137" t="s">
        <v>74</v>
      </c>
    </row>
    <row r="33475" spans="9:9" x14ac:dyDescent="0.2">
      <c r="I33475" s="137" t="s">
        <v>74</v>
      </c>
    </row>
    <row r="33476" spans="9:9" x14ac:dyDescent="0.2">
      <c r="I33476" s="137" t="s">
        <v>74</v>
      </c>
    </row>
    <row r="33477" spans="9:9" x14ac:dyDescent="0.2">
      <c r="I33477" s="137" t="s">
        <v>74</v>
      </c>
    </row>
    <row r="33478" spans="9:9" x14ac:dyDescent="0.2">
      <c r="I33478" s="137" t="s">
        <v>74</v>
      </c>
    </row>
    <row r="33479" spans="9:9" x14ac:dyDescent="0.2">
      <c r="I33479" s="137" t="s">
        <v>74</v>
      </c>
    </row>
    <row r="33480" spans="9:9" x14ac:dyDescent="0.2">
      <c r="I33480" s="137" t="s">
        <v>74</v>
      </c>
    </row>
    <row r="33481" spans="9:9" x14ac:dyDescent="0.2">
      <c r="I33481" s="137" t="s">
        <v>74</v>
      </c>
    </row>
    <row r="33482" spans="9:9" x14ac:dyDescent="0.2">
      <c r="I33482" s="137" t="s">
        <v>74</v>
      </c>
    </row>
    <row r="33483" spans="9:9" x14ac:dyDescent="0.2">
      <c r="I33483" s="137" t="s">
        <v>74</v>
      </c>
    </row>
    <row r="33484" spans="9:9" x14ac:dyDescent="0.2">
      <c r="I33484" s="137" t="s">
        <v>74</v>
      </c>
    </row>
    <row r="33485" spans="9:9" x14ac:dyDescent="0.2">
      <c r="I33485" s="137" t="s">
        <v>74</v>
      </c>
    </row>
    <row r="33486" spans="9:9" x14ac:dyDescent="0.2">
      <c r="I33486" s="137" t="s">
        <v>74</v>
      </c>
    </row>
    <row r="33487" spans="9:9" x14ac:dyDescent="0.2">
      <c r="I33487" s="137" t="s">
        <v>74</v>
      </c>
    </row>
    <row r="33488" spans="9:9" x14ac:dyDescent="0.2">
      <c r="I33488" s="137" t="s">
        <v>74</v>
      </c>
    </row>
    <row r="33489" spans="9:9" x14ac:dyDescent="0.2">
      <c r="I33489" s="137" t="s">
        <v>74</v>
      </c>
    </row>
    <row r="33490" spans="9:9" x14ac:dyDescent="0.2">
      <c r="I33490" s="137" t="s">
        <v>74</v>
      </c>
    </row>
    <row r="33491" spans="9:9" x14ac:dyDescent="0.2">
      <c r="I33491" s="137" t="s">
        <v>74</v>
      </c>
    </row>
    <row r="33492" spans="9:9" x14ac:dyDescent="0.2">
      <c r="I33492" s="137" t="s">
        <v>74</v>
      </c>
    </row>
    <row r="33493" spans="9:9" x14ac:dyDescent="0.2">
      <c r="I33493" s="137" t="s">
        <v>74</v>
      </c>
    </row>
    <row r="33494" spans="9:9" x14ac:dyDescent="0.2">
      <c r="I33494" s="137" t="s">
        <v>74</v>
      </c>
    </row>
    <row r="33495" spans="9:9" x14ac:dyDescent="0.2">
      <c r="I33495" s="137" t="s">
        <v>74</v>
      </c>
    </row>
    <row r="33496" spans="9:9" x14ac:dyDescent="0.2">
      <c r="I33496" s="137" t="s">
        <v>74</v>
      </c>
    </row>
    <row r="33497" spans="9:9" x14ac:dyDescent="0.2">
      <c r="I33497" s="137" t="s">
        <v>74</v>
      </c>
    </row>
    <row r="33498" spans="9:9" x14ac:dyDescent="0.2">
      <c r="I33498" s="137" t="s">
        <v>74</v>
      </c>
    </row>
    <row r="33499" spans="9:9" x14ac:dyDescent="0.2">
      <c r="I33499" s="137" t="s">
        <v>74</v>
      </c>
    </row>
    <row r="33500" spans="9:9" x14ac:dyDescent="0.2">
      <c r="I33500" s="137" t="s">
        <v>74</v>
      </c>
    </row>
    <row r="33501" spans="9:9" x14ac:dyDescent="0.2">
      <c r="I33501" s="137" t="s">
        <v>74</v>
      </c>
    </row>
    <row r="33502" spans="9:9" x14ac:dyDescent="0.2">
      <c r="I33502" s="137" t="s">
        <v>74</v>
      </c>
    </row>
    <row r="33503" spans="9:9" x14ac:dyDescent="0.2">
      <c r="I33503" s="137" t="s">
        <v>74</v>
      </c>
    </row>
    <row r="33504" spans="9:9" x14ac:dyDescent="0.2">
      <c r="I33504" s="137" t="s">
        <v>74</v>
      </c>
    </row>
    <row r="33505" spans="9:9" x14ac:dyDescent="0.2">
      <c r="I33505" s="137" t="s">
        <v>74</v>
      </c>
    </row>
    <row r="33506" spans="9:9" x14ac:dyDescent="0.2">
      <c r="I33506" s="137" t="s">
        <v>74</v>
      </c>
    </row>
    <row r="33507" spans="9:9" x14ac:dyDescent="0.2">
      <c r="I33507" s="137" t="s">
        <v>74</v>
      </c>
    </row>
    <row r="33508" spans="9:9" x14ac:dyDescent="0.2">
      <c r="I33508" s="137" t="s">
        <v>74</v>
      </c>
    </row>
    <row r="33509" spans="9:9" x14ac:dyDescent="0.2">
      <c r="I33509" s="137" t="s">
        <v>74</v>
      </c>
    </row>
    <row r="33510" spans="9:9" x14ac:dyDescent="0.2">
      <c r="I33510" s="137" t="s">
        <v>74</v>
      </c>
    </row>
    <row r="33511" spans="9:9" x14ac:dyDescent="0.2">
      <c r="I33511" s="137" t="s">
        <v>74</v>
      </c>
    </row>
    <row r="33512" spans="9:9" x14ac:dyDescent="0.2">
      <c r="I33512" s="137" t="s">
        <v>74</v>
      </c>
    </row>
    <row r="33513" spans="9:9" x14ac:dyDescent="0.2">
      <c r="I33513" s="137" t="s">
        <v>74</v>
      </c>
    </row>
    <row r="33514" spans="9:9" x14ac:dyDescent="0.2">
      <c r="I33514" s="137" t="s">
        <v>74</v>
      </c>
    </row>
    <row r="33515" spans="9:9" x14ac:dyDescent="0.2">
      <c r="I33515" s="137" t="s">
        <v>74</v>
      </c>
    </row>
    <row r="33516" spans="9:9" x14ac:dyDescent="0.2">
      <c r="I33516" s="137" t="s">
        <v>74</v>
      </c>
    </row>
    <row r="33517" spans="9:9" x14ac:dyDescent="0.2">
      <c r="I33517" s="137" t="s">
        <v>74</v>
      </c>
    </row>
    <row r="33518" spans="9:9" x14ac:dyDescent="0.2">
      <c r="I33518" s="137" t="s">
        <v>74</v>
      </c>
    </row>
    <row r="33519" spans="9:9" x14ac:dyDescent="0.2">
      <c r="I33519" s="137" t="s">
        <v>74</v>
      </c>
    </row>
    <row r="33520" spans="9:9" x14ac:dyDescent="0.2">
      <c r="I33520" s="137" t="s">
        <v>74</v>
      </c>
    </row>
    <row r="33521" spans="9:9" x14ac:dyDescent="0.2">
      <c r="I33521" s="137" t="s">
        <v>74</v>
      </c>
    </row>
    <row r="33522" spans="9:9" x14ac:dyDescent="0.2">
      <c r="I33522" s="137" t="s">
        <v>74</v>
      </c>
    </row>
    <row r="33523" spans="9:9" x14ac:dyDescent="0.2">
      <c r="I33523" s="137" t="s">
        <v>74</v>
      </c>
    </row>
    <row r="33524" spans="9:9" x14ac:dyDescent="0.2">
      <c r="I33524" s="137" t="s">
        <v>74</v>
      </c>
    </row>
    <row r="33525" spans="9:9" x14ac:dyDescent="0.2">
      <c r="I33525" s="137" t="s">
        <v>74</v>
      </c>
    </row>
    <row r="33526" spans="9:9" x14ac:dyDescent="0.2">
      <c r="I33526" s="137" t="s">
        <v>74</v>
      </c>
    </row>
    <row r="33527" spans="9:9" x14ac:dyDescent="0.2">
      <c r="I33527" s="137" t="s">
        <v>74</v>
      </c>
    </row>
    <row r="33528" spans="9:9" x14ac:dyDescent="0.2">
      <c r="I33528" s="137" t="s">
        <v>74</v>
      </c>
    </row>
    <row r="33529" spans="9:9" x14ac:dyDescent="0.2">
      <c r="I33529" s="137" t="s">
        <v>74</v>
      </c>
    </row>
    <row r="33530" spans="9:9" x14ac:dyDescent="0.2">
      <c r="I33530" s="137" t="s">
        <v>74</v>
      </c>
    </row>
    <row r="33531" spans="9:9" x14ac:dyDescent="0.2">
      <c r="I33531" s="137" t="s">
        <v>74</v>
      </c>
    </row>
    <row r="33532" spans="9:9" x14ac:dyDescent="0.2">
      <c r="I33532" s="137" t="s">
        <v>74</v>
      </c>
    </row>
    <row r="33533" spans="9:9" x14ac:dyDescent="0.2">
      <c r="I33533" s="137" t="s">
        <v>74</v>
      </c>
    </row>
    <row r="33534" spans="9:9" x14ac:dyDescent="0.2">
      <c r="I33534" s="137" t="s">
        <v>74</v>
      </c>
    </row>
    <row r="33535" spans="9:9" x14ac:dyDescent="0.2">
      <c r="I33535" s="137" t="s">
        <v>74</v>
      </c>
    </row>
    <row r="33536" spans="9:9" x14ac:dyDescent="0.2">
      <c r="I33536" s="137" t="s">
        <v>74</v>
      </c>
    </row>
    <row r="33537" spans="9:9" x14ac:dyDescent="0.2">
      <c r="I33537" s="137" t="s">
        <v>74</v>
      </c>
    </row>
    <row r="33538" spans="9:9" x14ac:dyDescent="0.2">
      <c r="I33538" s="137" t="s">
        <v>74</v>
      </c>
    </row>
    <row r="33539" spans="9:9" x14ac:dyDescent="0.2">
      <c r="I33539" s="137" t="s">
        <v>74</v>
      </c>
    </row>
    <row r="33540" spans="9:9" x14ac:dyDescent="0.2">
      <c r="I33540" s="137" t="s">
        <v>74</v>
      </c>
    </row>
    <row r="33541" spans="9:9" x14ac:dyDescent="0.2">
      <c r="I33541" s="137" t="s">
        <v>74</v>
      </c>
    </row>
    <row r="33542" spans="9:9" x14ac:dyDescent="0.2">
      <c r="I33542" s="137" t="s">
        <v>74</v>
      </c>
    </row>
    <row r="33543" spans="9:9" x14ac:dyDescent="0.2">
      <c r="I33543" s="137" t="s">
        <v>74</v>
      </c>
    </row>
    <row r="33544" spans="9:9" x14ac:dyDescent="0.2">
      <c r="I33544" s="137" t="s">
        <v>74</v>
      </c>
    </row>
    <row r="33545" spans="9:9" x14ac:dyDescent="0.2">
      <c r="I33545" s="137" t="s">
        <v>74</v>
      </c>
    </row>
    <row r="33546" spans="9:9" x14ac:dyDescent="0.2">
      <c r="I33546" s="137" t="s">
        <v>74</v>
      </c>
    </row>
    <row r="33547" spans="9:9" x14ac:dyDescent="0.2">
      <c r="I33547" s="137" t="s">
        <v>74</v>
      </c>
    </row>
    <row r="33548" spans="9:9" x14ac:dyDescent="0.2">
      <c r="I33548" s="137" t="s">
        <v>74</v>
      </c>
    </row>
    <row r="33549" spans="9:9" x14ac:dyDescent="0.2">
      <c r="I33549" s="137" t="s">
        <v>74</v>
      </c>
    </row>
    <row r="33550" spans="9:9" x14ac:dyDescent="0.2">
      <c r="I33550" s="137" t="s">
        <v>74</v>
      </c>
    </row>
    <row r="33551" spans="9:9" x14ac:dyDescent="0.2">
      <c r="I33551" s="137" t="s">
        <v>74</v>
      </c>
    </row>
    <row r="33552" spans="9:9" x14ac:dyDescent="0.2">
      <c r="I33552" s="137" t="s">
        <v>74</v>
      </c>
    </row>
    <row r="33553" spans="9:9" x14ac:dyDescent="0.2">
      <c r="I33553" s="137" t="s">
        <v>74</v>
      </c>
    </row>
    <row r="33554" spans="9:9" x14ac:dyDescent="0.2">
      <c r="I33554" s="137" t="s">
        <v>74</v>
      </c>
    </row>
    <row r="33555" spans="9:9" x14ac:dyDescent="0.2">
      <c r="I33555" s="137" t="s">
        <v>74</v>
      </c>
    </row>
    <row r="33556" spans="9:9" x14ac:dyDescent="0.2">
      <c r="I33556" s="137" t="s">
        <v>74</v>
      </c>
    </row>
    <row r="33557" spans="9:9" x14ac:dyDescent="0.2">
      <c r="I33557" s="137" t="s">
        <v>74</v>
      </c>
    </row>
    <row r="33558" spans="9:9" x14ac:dyDescent="0.2">
      <c r="I33558" s="137" t="s">
        <v>74</v>
      </c>
    </row>
    <row r="33559" spans="9:9" x14ac:dyDescent="0.2">
      <c r="I33559" s="137" t="s">
        <v>74</v>
      </c>
    </row>
    <row r="33560" spans="9:9" x14ac:dyDescent="0.2">
      <c r="I33560" s="137" t="s">
        <v>74</v>
      </c>
    </row>
    <row r="33561" spans="9:9" x14ac:dyDescent="0.2">
      <c r="I33561" s="137" t="s">
        <v>74</v>
      </c>
    </row>
    <row r="33562" spans="9:9" x14ac:dyDescent="0.2">
      <c r="I33562" s="137" t="s">
        <v>74</v>
      </c>
    </row>
    <row r="33563" spans="9:9" x14ac:dyDescent="0.2">
      <c r="I33563" s="137" t="s">
        <v>74</v>
      </c>
    </row>
    <row r="33564" spans="9:9" x14ac:dyDescent="0.2">
      <c r="I33564" s="137" t="s">
        <v>74</v>
      </c>
    </row>
    <row r="33565" spans="9:9" x14ac:dyDescent="0.2">
      <c r="I33565" s="137" t="s">
        <v>74</v>
      </c>
    </row>
    <row r="33566" spans="9:9" x14ac:dyDescent="0.2">
      <c r="I33566" s="137" t="s">
        <v>74</v>
      </c>
    </row>
    <row r="33567" spans="9:9" x14ac:dyDescent="0.2">
      <c r="I33567" s="137" t="s">
        <v>74</v>
      </c>
    </row>
    <row r="33568" spans="9:9" x14ac:dyDescent="0.2">
      <c r="I33568" s="137" t="s">
        <v>74</v>
      </c>
    </row>
    <row r="33569" spans="9:9" x14ac:dyDescent="0.2">
      <c r="I33569" s="137" t="s">
        <v>74</v>
      </c>
    </row>
    <row r="33570" spans="9:9" x14ac:dyDescent="0.2">
      <c r="I33570" s="137" t="s">
        <v>74</v>
      </c>
    </row>
    <row r="33571" spans="9:9" x14ac:dyDescent="0.2">
      <c r="I33571" s="137" t="s">
        <v>74</v>
      </c>
    </row>
    <row r="33572" spans="9:9" x14ac:dyDescent="0.2">
      <c r="I33572" s="137" t="s">
        <v>74</v>
      </c>
    </row>
    <row r="33573" spans="9:9" x14ac:dyDescent="0.2">
      <c r="I33573" s="137" t="s">
        <v>74</v>
      </c>
    </row>
    <row r="33574" spans="9:9" x14ac:dyDescent="0.2">
      <c r="I33574" s="137" t="s">
        <v>74</v>
      </c>
    </row>
    <row r="33575" spans="9:9" x14ac:dyDescent="0.2">
      <c r="I33575" s="137" t="s">
        <v>74</v>
      </c>
    </row>
    <row r="33576" spans="9:9" x14ac:dyDescent="0.2">
      <c r="I33576" s="137" t="s">
        <v>74</v>
      </c>
    </row>
    <row r="33577" spans="9:9" x14ac:dyDescent="0.2">
      <c r="I33577" s="137" t="s">
        <v>74</v>
      </c>
    </row>
    <row r="33578" spans="9:9" x14ac:dyDescent="0.2">
      <c r="I33578" s="137" t="s">
        <v>74</v>
      </c>
    </row>
    <row r="33579" spans="9:9" x14ac:dyDescent="0.2">
      <c r="I33579" s="137" t="s">
        <v>74</v>
      </c>
    </row>
    <row r="33580" spans="9:9" x14ac:dyDescent="0.2">
      <c r="I33580" s="137" t="s">
        <v>74</v>
      </c>
    </row>
    <row r="33581" spans="9:9" x14ac:dyDescent="0.2">
      <c r="I33581" s="137" t="s">
        <v>74</v>
      </c>
    </row>
    <row r="33582" spans="9:9" x14ac:dyDescent="0.2">
      <c r="I33582" s="137" t="s">
        <v>74</v>
      </c>
    </row>
    <row r="33583" spans="9:9" x14ac:dyDescent="0.2">
      <c r="I33583" s="137" t="s">
        <v>74</v>
      </c>
    </row>
    <row r="33584" spans="9:9" x14ac:dyDescent="0.2">
      <c r="I33584" s="137" t="s">
        <v>74</v>
      </c>
    </row>
    <row r="33585" spans="9:9" x14ac:dyDescent="0.2">
      <c r="I33585" s="137" t="s">
        <v>74</v>
      </c>
    </row>
    <row r="33586" spans="9:9" x14ac:dyDescent="0.2">
      <c r="I33586" s="137" t="s">
        <v>74</v>
      </c>
    </row>
    <row r="33587" spans="9:9" x14ac:dyDescent="0.2">
      <c r="I33587" s="137" t="s">
        <v>74</v>
      </c>
    </row>
    <row r="33588" spans="9:9" x14ac:dyDescent="0.2">
      <c r="I33588" s="137" t="s">
        <v>74</v>
      </c>
    </row>
    <row r="33589" spans="9:9" x14ac:dyDescent="0.2">
      <c r="I33589" s="137" t="s">
        <v>74</v>
      </c>
    </row>
    <row r="33590" spans="9:9" x14ac:dyDescent="0.2">
      <c r="I33590" s="137" t="s">
        <v>74</v>
      </c>
    </row>
    <row r="33591" spans="9:9" x14ac:dyDescent="0.2">
      <c r="I33591" s="137" t="s">
        <v>74</v>
      </c>
    </row>
    <row r="33592" spans="9:9" x14ac:dyDescent="0.2">
      <c r="I33592" s="137" t="s">
        <v>74</v>
      </c>
    </row>
    <row r="33593" spans="9:9" x14ac:dyDescent="0.2">
      <c r="I33593" s="137" t="s">
        <v>74</v>
      </c>
    </row>
    <row r="33594" spans="9:9" x14ac:dyDescent="0.2">
      <c r="I33594" s="137" t="s">
        <v>74</v>
      </c>
    </row>
    <row r="33595" spans="9:9" x14ac:dyDescent="0.2">
      <c r="I33595" s="137" t="s">
        <v>74</v>
      </c>
    </row>
    <row r="33596" spans="9:9" x14ac:dyDescent="0.2">
      <c r="I33596" s="137" t="s">
        <v>74</v>
      </c>
    </row>
    <row r="33597" spans="9:9" x14ac:dyDescent="0.2">
      <c r="I33597" s="137" t="s">
        <v>74</v>
      </c>
    </row>
    <row r="33598" spans="9:9" x14ac:dyDescent="0.2">
      <c r="I33598" s="137" t="s">
        <v>74</v>
      </c>
    </row>
    <row r="33599" spans="9:9" x14ac:dyDescent="0.2">
      <c r="I33599" s="137" t="s">
        <v>74</v>
      </c>
    </row>
    <row r="33600" spans="9:9" x14ac:dyDescent="0.2">
      <c r="I33600" s="137" t="s">
        <v>74</v>
      </c>
    </row>
    <row r="33601" spans="9:9" x14ac:dyDescent="0.2">
      <c r="I33601" s="137" t="s">
        <v>74</v>
      </c>
    </row>
    <row r="33602" spans="9:9" x14ac:dyDescent="0.2">
      <c r="I33602" s="137" t="s">
        <v>74</v>
      </c>
    </row>
    <row r="33603" spans="9:9" x14ac:dyDescent="0.2">
      <c r="I33603" s="137" t="s">
        <v>74</v>
      </c>
    </row>
    <row r="33604" spans="9:9" x14ac:dyDescent="0.2">
      <c r="I33604" s="137" t="s">
        <v>74</v>
      </c>
    </row>
    <row r="33605" spans="9:9" x14ac:dyDescent="0.2">
      <c r="I33605" s="137" t="s">
        <v>74</v>
      </c>
    </row>
    <row r="33606" spans="9:9" x14ac:dyDescent="0.2">
      <c r="I33606" s="137" t="s">
        <v>74</v>
      </c>
    </row>
    <row r="33607" spans="9:9" x14ac:dyDescent="0.2">
      <c r="I33607" s="137" t="s">
        <v>74</v>
      </c>
    </row>
    <row r="33608" spans="9:9" x14ac:dyDescent="0.2">
      <c r="I33608" s="137" t="s">
        <v>74</v>
      </c>
    </row>
    <row r="33609" spans="9:9" x14ac:dyDescent="0.2">
      <c r="I33609" s="137" t="s">
        <v>74</v>
      </c>
    </row>
    <row r="33610" spans="9:9" x14ac:dyDescent="0.2">
      <c r="I33610" s="137" t="s">
        <v>74</v>
      </c>
    </row>
    <row r="33611" spans="9:9" x14ac:dyDescent="0.2">
      <c r="I33611" s="137" t="s">
        <v>74</v>
      </c>
    </row>
    <row r="33612" spans="9:9" x14ac:dyDescent="0.2">
      <c r="I33612" s="137" t="s">
        <v>74</v>
      </c>
    </row>
    <row r="33613" spans="9:9" x14ac:dyDescent="0.2">
      <c r="I33613" s="137" t="s">
        <v>74</v>
      </c>
    </row>
    <row r="33614" spans="9:9" x14ac:dyDescent="0.2">
      <c r="I33614" s="137" t="s">
        <v>74</v>
      </c>
    </row>
    <row r="33615" spans="9:9" x14ac:dyDescent="0.2">
      <c r="I33615" s="137" t="s">
        <v>74</v>
      </c>
    </row>
    <row r="33616" spans="9:9" x14ac:dyDescent="0.2">
      <c r="I33616" s="137" t="s">
        <v>74</v>
      </c>
    </row>
    <row r="33617" spans="9:9" x14ac:dyDescent="0.2">
      <c r="I33617" s="137" t="s">
        <v>74</v>
      </c>
    </row>
    <row r="33618" spans="9:9" x14ac:dyDescent="0.2">
      <c r="I33618" s="137" t="s">
        <v>74</v>
      </c>
    </row>
    <row r="33619" spans="9:9" x14ac:dyDescent="0.2">
      <c r="I33619" s="137" t="s">
        <v>74</v>
      </c>
    </row>
    <row r="33620" spans="9:9" x14ac:dyDescent="0.2">
      <c r="I33620" s="137" t="s">
        <v>74</v>
      </c>
    </row>
    <row r="33621" spans="9:9" x14ac:dyDescent="0.2">
      <c r="I33621" s="137" t="s">
        <v>74</v>
      </c>
    </row>
    <row r="33622" spans="9:9" x14ac:dyDescent="0.2">
      <c r="I33622" s="137" t="s">
        <v>74</v>
      </c>
    </row>
    <row r="33623" spans="9:9" x14ac:dyDescent="0.2">
      <c r="I33623" s="137" t="s">
        <v>74</v>
      </c>
    </row>
    <row r="33624" spans="9:9" x14ac:dyDescent="0.2">
      <c r="I33624" s="137" t="s">
        <v>74</v>
      </c>
    </row>
    <row r="33625" spans="9:9" x14ac:dyDescent="0.2">
      <c r="I33625" s="137" t="s">
        <v>74</v>
      </c>
    </row>
    <row r="33626" spans="9:9" x14ac:dyDescent="0.2">
      <c r="I33626" s="137" t="s">
        <v>74</v>
      </c>
    </row>
    <row r="33627" spans="9:9" x14ac:dyDescent="0.2">
      <c r="I33627" s="137" t="s">
        <v>74</v>
      </c>
    </row>
    <row r="33628" spans="9:9" x14ac:dyDescent="0.2">
      <c r="I33628" s="137" t="s">
        <v>74</v>
      </c>
    </row>
    <row r="33629" spans="9:9" x14ac:dyDescent="0.2">
      <c r="I33629" s="137" t="s">
        <v>74</v>
      </c>
    </row>
    <row r="33630" spans="9:9" x14ac:dyDescent="0.2">
      <c r="I33630" s="137" t="s">
        <v>74</v>
      </c>
    </row>
    <row r="33631" spans="9:9" x14ac:dyDescent="0.2">
      <c r="I33631" s="137" t="s">
        <v>74</v>
      </c>
    </row>
    <row r="33632" spans="9:9" x14ac:dyDescent="0.2">
      <c r="I33632" s="137" t="s">
        <v>74</v>
      </c>
    </row>
    <row r="33633" spans="9:9" x14ac:dyDescent="0.2">
      <c r="I33633" s="137" t="s">
        <v>74</v>
      </c>
    </row>
    <row r="33634" spans="9:9" x14ac:dyDescent="0.2">
      <c r="I33634" s="137" t="s">
        <v>74</v>
      </c>
    </row>
    <row r="33635" spans="9:9" x14ac:dyDescent="0.2">
      <c r="I33635" s="137" t="s">
        <v>74</v>
      </c>
    </row>
    <row r="33636" spans="9:9" x14ac:dyDescent="0.2">
      <c r="I33636" s="137" t="s">
        <v>74</v>
      </c>
    </row>
    <row r="33637" spans="9:9" x14ac:dyDescent="0.2">
      <c r="I33637" s="137" t="s">
        <v>74</v>
      </c>
    </row>
    <row r="33638" spans="9:9" x14ac:dyDescent="0.2">
      <c r="I33638" s="137" t="s">
        <v>74</v>
      </c>
    </row>
    <row r="33639" spans="9:9" x14ac:dyDescent="0.2">
      <c r="I33639" s="137" t="s">
        <v>74</v>
      </c>
    </row>
    <row r="33640" spans="9:9" x14ac:dyDescent="0.2">
      <c r="I33640" s="137" t="s">
        <v>74</v>
      </c>
    </row>
    <row r="33641" spans="9:9" x14ac:dyDescent="0.2">
      <c r="I33641" s="137" t="s">
        <v>74</v>
      </c>
    </row>
    <row r="33642" spans="9:9" x14ac:dyDescent="0.2">
      <c r="I33642" s="137" t="s">
        <v>74</v>
      </c>
    </row>
    <row r="33643" spans="9:9" x14ac:dyDescent="0.2">
      <c r="I33643" s="137" t="s">
        <v>74</v>
      </c>
    </row>
    <row r="33644" spans="9:9" x14ac:dyDescent="0.2">
      <c r="I33644" s="137" t="s">
        <v>74</v>
      </c>
    </row>
    <row r="33645" spans="9:9" x14ac:dyDescent="0.2">
      <c r="I33645" s="137" t="s">
        <v>74</v>
      </c>
    </row>
    <row r="33646" spans="9:9" x14ac:dyDescent="0.2">
      <c r="I33646" s="137" t="s">
        <v>74</v>
      </c>
    </row>
    <row r="33647" spans="9:9" x14ac:dyDescent="0.2">
      <c r="I33647" s="137" t="s">
        <v>74</v>
      </c>
    </row>
    <row r="33648" spans="9:9" x14ac:dyDescent="0.2">
      <c r="I33648" s="137" t="s">
        <v>74</v>
      </c>
    </row>
    <row r="33649" spans="9:9" x14ac:dyDescent="0.2">
      <c r="I33649" s="137" t="s">
        <v>74</v>
      </c>
    </row>
    <row r="33650" spans="9:9" x14ac:dyDescent="0.2">
      <c r="I33650" s="137" t="s">
        <v>74</v>
      </c>
    </row>
    <row r="33651" spans="9:9" x14ac:dyDescent="0.2">
      <c r="I33651" s="137" t="s">
        <v>74</v>
      </c>
    </row>
    <row r="33652" spans="9:9" x14ac:dyDescent="0.2">
      <c r="I33652" s="137" t="s">
        <v>74</v>
      </c>
    </row>
    <row r="33653" spans="9:9" x14ac:dyDescent="0.2">
      <c r="I33653" s="137" t="s">
        <v>74</v>
      </c>
    </row>
    <row r="33654" spans="9:9" x14ac:dyDescent="0.2">
      <c r="I33654" s="137" t="s">
        <v>74</v>
      </c>
    </row>
    <row r="33655" spans="9:9" x14ac:dyDescent="0.2">
      <c r="I33655" s="137" t="s">
        <v>74</v>
      </c>
    </row>
    <row r="33656" spans="9:9" x14ac:dyDescent="0.2">
      <c r="I33656" s="137" t="s">
        <v>74</v>
      </c>
    </row>
    <row r="33657" spans="9:9" x14ac:dyDescent="0.2">
      <c r="I33657" s="137" t="s">
        <v>74</v>
      </c>
    </row>
    <row r="33658" spans="9:9" x14ac:dyDescent="0.2">
      <c r="I33658" s="137" t="s">
        <v>74</v>
      </c>
    </row>
    <row r="33659" spans="9:9" x14ac:dyDescent="0.2">
      <c r="I33659" s="137" t="s">
        <v>74</v>
      </c>
    </row>
    <row r="33660" spans="9:9" x14ac:dyDescent="0.2">
      <c r="I33660" s="137" t="s">
        <v>74</v>
      </c>
    </row>
    <row r="33661" spans="9:9" x14ac:dyDescent="0.2">
      <c r="I33661" s="137" t="s">
        <v>74</v>
      </c>
    </row>
    <row r="33662" spans="9:9" x14ac:dyDescent="0.2">
      <c r="I33662" s="137" t="s">
        <v>74</v>
      </c>
    </row>
    <row r="33663" spans="9:9" x14ac:dyDescent="0.2">
      <c r="I33663" s="137" t="s">
        <v>74</v>
      </c>
    </row>
    <row r="33664" spans="9:9" x14ac:dyDescent="0.2">
      <c r="I33664" s="137" t="s">
        <v>74</v>
      </c>
    </row>
    <row r="33665" spans="9:9" x14ac:dyDescent="0.2">
      <c r="I33665" s="137" t="s">
        <v>74</v>
      </c>
    </row>
    <row r="33666" spans="9:9" x14ac:dyDescent="0.2">
      <c r="I33666" s="137" t="s">
        <v>74</v>
      </c>
    </row>
    <row r="33667" spans="9:9" x14ac:dyDescent="0.2">
      <c r="I33667" s="137" t="s">
        <v>74</v>
      </c>
    </row>
    <row r="33668" spans="9:9" x14ac:dyDescent="0.2">
      <c r="I33668" s="137" t="s">
        <v>74</v>
      </c>
    </row>
    <row r="33669" spans="9:9" x14ac:dyDescent="0.2">
      <c r="I33669" s="137" t="s">
        <v>74</v>
      </c>
    </row>
    <row r="33670" spans="9:9" x14ac:dyDescent="0.2">
      <c r="I33670" s="137" t="s">
        <v>74</v>
      </c>
    </row>
    <row r="33671" spans="9:9" x14ac:dyDescent="0.2">
      <c r="I33671" s="137" t="s">
        <v>74</v>
      </c>
    </row>
    <row r="33672" spans="9:9" x14ac:dyDescent="0.2">
      <c r="I33672" s="137" t="s">
        <v>74</v>
      </c>
    </row>
    <row r="33673" spans="9:9" x14ac:dyDescent="0.2">
      <c r="I33673" s="137" t="s">
        <v>74</v>
      </c>
    </row>
    <row r="33674" spans="9:9" x14ac:dyDescent="0.2">
      <c r="I33674" s="137" t="s">
        <v>74</v>
      </c>
    </row>
    <row r="33675" spans="9:9" x14ac:dyDescent="0.2">
      <c r="I33675" s="137" t="s">
        <v>74</v>
      </c>
    </row>
    <row r="33676" spans="9:9" x14ac:dyDescent="0.2">
      <c r="I33676" s="137" t="s">
        <v>74</v>
      </c>
    </row>
    <row r="33677" spans="9:9" x14ac:dyDescent="0.2">
      <c r="I33677" s="137" t="s">
        <v>74</v>
      </c>
    </row>
    <row r="33678" spans="9:9" x14ac:dyDescent="0.2">
      <c r="I33678" s="137" t="s">
        <v>74</v>
      </c>
    </row>
    <row r="33679" spans="9:9" x14ac:dyDescent="0.2">
      <c r="I33679" s="137" t="s">
        <v>74</v>
      </c>
    </row>
    <row r="33680" spans="9:9" x14ac:dyDescent="0.2">
      <c r="I33680" s="137" t="s">
        <v>74</v>
      </c>
    </row>
    <row r="33681" spans="9:9" x14ac:dyDescent="0.2">
      <c r="I33681" s="137" t="s">
        <v>74</v>
      </c>
    </row>
    <row r="33682" spans="9:9" x14ac:dyDescent="0.2">
      <c r="I33682" s="137" t="s">
        <v>74</v>
      </c>
    </row>
    <row r="33683" spans="9:9" x14ac:dyDescent="0.2">
      <c r="I33683" s="137" t="s">
        <v>74</v>
      </c>
    </row>
    <row r="33684" spans="9:9" x14ac:dyDescent="0.2">
      <c r="I33684" s="137" t="s">
        <v>74</v>
      </c>
    </row>
    <row r="33685" spans="9:9" x14ac:dyDescent="0.2">
      <c r="I33685" s="137" t="s">
        <v>74</v>
      </c>
    </row>
    <row r="33686" spans="9:9" x14ac:dyDescent="0.2">
      <c r="I33686" s="137" t="s">
        <v>74</v>
      </c>
    </row>
    <row r="33687" spans="9:9" x14ac:dyDescent="0.2">
      <c r="I33687" s="137" t="s">
        <v>74</v>
      </c>
    </row>
    <row r="33688" spans="9:9" x14ac:dyDescent="0.2">
      <c r="I33688" s="137" t="s">
        <v>74</v>
      </c>
    </row>
    <row r="33689" spans="9:9" x14ac:dyDescent="0.2">
      <c r="I33689" s="137" t="s">
        <v>74</v>
      </c>
    </row>
    <row r="33690" spans="9:9" x14ac:dyDescent="0.2">
      <c r="I33690" s="137" t="s">
        <v>74</v>
      </c>
    </row>
    <row r="33691" spans="9:9" x14ac:dyDescent="0.2">
      <c r="I33691" s="137" t="s">
        <v>74</v>
      </c>
    </row>
    <row r="33692" spans="9:9" x14ac:dyDescent="0.2">
      <c r="I33692" s="137" t="s">
        <v>74</v>
      </c>
    </row>
    <row r="33693" spans="9:9" x14ac:dyDescent="0.2">
      <c r="I33693" s="137" t="s">
        <v>74</v>
      </c>
    </row>
    <row r="33694" spans="9:9" x14ac:dyDescent="0.2">
      <c r="I33694" s="137" t="s">
        <v>74</v>
      </c>
    </row>
    <row r="33695" spans="9:9" x14ac:dyDescent="0.2">
      <c r="I33695" s="137" t="s">
        <v>74</v>
      </c>
    </row>
    <row r="33696" spans="9:9" x14ac:dyDescent="0.2">
      <c r="I33696" s="137" t="s">
        <v>74</v>
      </c>
    </row>
    <row r="33697" spans="9:9" x14ac:dyDescent="0.2">
      <c r="I33697" s="137" t="s">
        <v>74</v>
      </c>
    </row>
    <row r="33698" spans="9:9" x14ac:dyDescent="0.2">
      <c r="I33698" s="137" t="s">
        <v>74</v>
      </c>
    </row>
    <row r="33699" spans="9:9" x14ac:dyDescent="0.2">
      <c r="I33699" s="137" t="s">
        <v>74</v>
      </c>
    </row>
    <row r="33700" spans="9:9" x14ac:dyDescent="0.2">
      <c r="I33700" s="137" t="s">
        <v>74</v>
      </c>
    </row>
    <row r="33701" spans="9:9" x14ac:dyDescent="0.2">
      <c r="I33701" s="137" t="s">
        <v>74</v>
      </c>
    </row>
    <row r="33702" spans="9:9" x14ac:dyDescent="0.2">
      <c r="I33702" s="137" t="s">
        <v>74</v>
      </c>
    </row>
    <row r="33703" spans="9:9" x14ac:dyDescent="0.2">
      <c r="I33703" s="137" t="s">
        <v>74</v>
      </c>
    </row>
    <row r="33704" spans="9:9" x14ac:dyDescent="0.2">
      <c r="I33704" s="137" t="s">
        <v>74</v>
      </c>
    </row>
    <row r="33705" spans="9:9" x14ac:dyDescent="0.2">
      <c r="I33705" s="137" t="s">
        <v>74</v>
      </c>
    </row>
    <row r="33706" spans="9:9" x14ac:dyDescent="0.2">
      <c r="I33706" s="137" t="s">
        <v>74</v>
      </c>
    </row>
    <row r="33707" spans="9:9" x14ac:dyDescent="0.2">
      <c r="I33707" s="137" t="s">
        <v>74</v>
      </c>
    </row>
    <row r="33708" spans="9:9" x14ac:dyDescent="0.2">
      <c r="I33708" s="137" t="s">
        <v>74</v>
      </c>
    </row>
    <row r="33709" spans="9:9" x14ac:dyDescent="0.2">
      <c r="I33709" s="137" t="s">
        <v>74</v>
      </c>
    </row>
    <row r="33710" spans="9:9" x14ac:dyDescent="0.2">
      <c r="I33710" s="137" t="s">
        <v>74</v>
      </c>
    </row>
    <row r="33711" spans="9:9" x14ac:dyDescent="0.2">
      <c r="I33711" s="137" t="s">
        <v>74</v>
      </c>
    </row>
    <row r="33712" spans="9:9" x14ac:dyDescent="0.2">
      <c r="I33712" s="137" t="s">
        <v>74</v>
      </c>
    </row>
    <row r="33713" spans="9:9" x14ac:dyDescent="0.2">
      <c r="I33713" s="137" t="s">
        <v>74</v>
      </c>
    </row>
    <row r="33714" spans="9:9" x14ac:dyDescent="0.2">
      <c r="I33714" s="137" t="s">
        <v>74</v>
      </c>
    </row>
    <row r="33715" spans="9:9" x14ac:dyDescent="0.2">
      <c r="I33715" s="137" t="s">
        <v>74</v>
      </c>
    </row>
    <row r="33716" spans="9:9" x14ac:dyDescent="0.2">
      <c r="I33716" s="137" t="s">
        <v>74</v>
      </c>
    </row>
    <row r="33717" spans="9:9" x14ac:dyDescent="0.2">
      <c r="I33717" s="137" t="s">
        <v>74</v>
      </c>
    </row>
    <row r="33718" spans="9:9" x14ac:dyDescent="0.2">
      <c r="I33718" s="137" t="s">
        <v>74</v>
      </c>
    </row>
    <row r="33719" spans="9:9" x14ac:dyDescent="0.2">
      <c r="I33719" s="137" t="s">
        <v>74</v>
      </c>
    </row>
    <row r="33720" spans="9:9" x14ac:dyDescent="0.2">
      <c r="I33720" s="137" t="s">
        <v>74</v>
      </c>
    </row>
    <row r="33721" spans="9:9" x14ac:dyDescent="0.2">
      <c r="I33721" s="137" t="s">
        <v>74</v>
      </c>
    </row>
    <row r="33722" spans="9:9" x14ac:dyDescent="0.2">
      <c r="I33722" s="137" t="s">
        <v>74</v>
      </c>
    </row>
    <row r="33723" spans="9:9" x14ac:dyDescent="0.2">
      <c r="I33723" s="137" t="s">
        <v>74</v>
      </c>
    </row>
    <row r="33724" spans="9:9" x14ac:dyDescent="0.2">
      <c r="I33724" s="137" t="s">
        <v>74</v>
      </c>
    </row>
    <row r="33725" spans="9:9" x14ac:dyDescent="0.2">
      <c r="I33725" s="137" t="s">
        <v>74</v>
      </c>
    </row>
    <row r="33726" spans="9:9" x14ac:dyDescent="0.2">
      <c r="I33726" s="137" t="s">
        <v>74</v>
      </c>
    </row>
    <row r="33727" spans="9:9" x14ac:dyDescent="0.2">
      <c r="I33727" s="137" t="s">
        <v>74</v>
      </c>
    </row>
    <row r="33728" spans="9:9" x14ac:dyDescent="0.2">
      <c r="I33728" s="137" t="s">
        <v>74</v>
      </c>
    </row>
    <row r="33729" spans="9:9" x14ac:dyDescent="0.2">
      <c r="I33729" s="137" t="s">
        <v>74</v>
      </c>
    </row>
    <row r="33730" spans="9:9" x14ac:dyDescent="0.2">
      <c r="I33730" s="137" t="s">
        <v>74</v>
      </c>
    </row>
    <row r="33731" spans="9:9" x14ac:dyDescent="0.2">
      <c r="I33731" s="137" t="s">
        <v>74</v>
      </c>
    </row>
    <row r="33732" spans="9:9" x14ac:dyDescent="0.2">
      <c r="I33732" s="137" t="s">
        <v>74</v>
      </c>
    </row>
    <row r="33733" spans="9:9" x14ac:dyDescent="0.2">
      <c r="I33733" s="137" t="s">
        <v>74</v>
      </c>
    </row>
    <row r="33734" spans="9:9" x14ac:dyDescent="0.2">
      <c r="I33734" s="137" t="s">
        <v>74</v>
      </c>
    </row>
    <row r="33735" spans="9:9" x14ac:dyDescent="0.2">
      <c r="I33735" s="137" t="s">
        <v>74</v>
      </c>
    </row>
    <row r="33736" spans="9:9" x14ac:dyDescent="0.2">
      <c r="I33736" s="137" t="s">
        <v>74</v>
      </c>
    </row>
    <row r="33737" spans="9:9" x14ac:dyDescent="0.2">
      <c r="I33737" s="137" t="s">
        <v>74</v>
      </c>
    </row>
    <row r="33738" spans="9:9" x14ac:dyDescent="0.2">
      <c r="I33738" s="137" t="s">
        <v>74</v>
      </c>
    </row>
    <row r="33739" spans="9:9" x14ac:dyDescent="0.2">
      <c r="I33739" s="137" t="s">
        <v>74</v>
      </c>
    </row>
    <row r="33740" spans="9:9" x14ac:dyDescent="0.2">
      <c r="I33740" s="137" t="s">
        <v>74</v>
      </c>
    </row>
    <row r="33741" spans="9:9" x14ac:dyDescent="0.2">
      <c r="I33741" s="137" t="s">
        <v>74</v>
      </c>
    </row>
    <row r="33742" spans="9:9" x14ac:dyDescent="0.2">
      <c r="I33742" s="137" t="s">
        <v>74</v>
      </c>
    </row>
    <row r="33743" spans="9:9" x14ac:dyDescent="0.2">
      <c r="I33743" s="137" t="s">
        <v>74</v>
      </c>
    </row>
    <row r="33744" spans="9:9" x14ac:dyDescent="0.2">
      <c r="I33744" s="137" t="s">
        <v>74</v>
      </c>
    </row>
    <row r="33745" spans="9:9" x14ac:dyDescent="0.2">
      <c r="I33745" s="137" t="s">
        <v>74</v>
      </c>
    </row>
    <row r="33746" spans="9:9" x14ac:dyDescent="0.2">
      <c r="I33746" s="137" t="s">
        <v>74</v>
      </c>
    </row>
    <row r="33747" spans="9:9" x14ac:dyDescent="0.2">
      <c r="I33747" s="137" t="s">
        <v>74</v>
      </c>
    </row>
    <row r="33748" spans="9:9" x14ac:dyDescent="0.2">
      <c r="I33748" s="137" t="s">
        <v>74</v>
      </c>
    </row>
    <row r="33749" spans="9:9" x14ac:dyDescent="0.2">
      <c r="I33749" s="137" t="s">
        <v>74</v>
      </c>
    </row>
    <row r="33750" spans="9:9" x14ac:dyDescent="0.2">
      <c r="I33750" s="137" t="s">
        <v>74</v>
      </c>
    </row>
    <row r="33751" spans="9:9" x14ac:dyDescent="0.2">
      <c r="I33751" s="137" t="s">
        <v>74</v>
      </c>
    </row>
    <row r="33752" spans="9:9" x14ac:dyDescent="0.2">
      <c r="I33752" s="137" t="s">
        <v>74</v>
      </c>
    </row>
    <row r="33753" spans="9:9" x14ac:dyDescent="0.2">
      <c r="I33753" s="137" t="s">
        <v>74</v>
      </c>
    </row>
    <row r="33754" spans="9:9" x14ac:dyDescent="0.2">
      <c r="I33754" s="137" t="s">
        <v>74</v>
      </c>
    </row>
    <row r="33755" spans="9:9" x14ac:dyDescent="0.2">
      <c r="I33755" s="137" t="s">
        <v>74</v>
      </c>
    </row>
    <row r="33756" spans="9:9" x14ac:dyDescent="0.2">
      <c r="I33756" s="137" t="s">
        <v>74</v>
      </c>
    </row>
    <row r="33757" spans="9:9" x14ac:dyDescent="0.2">
      <c r="I33757" s="137" t="s">
        <v>74</v>
      </c>
    </row>
    <row r="33758" spans="9:9" x14ac:dyDescent="0.2">
      <c r="I33758" s="137" t="s">
        <v>74</v>
      </c>
    </row>
    <row r="33759" spans="9:9" x14ac:dyDescent="0.2">
      <c r="I33759" s="137" t="s">
        <v>74</v>
      </c>
    </row>
    <row r="33760" spans="9:9" x14ac:dyDescent="0.2">
      <c r="I33760" s="137" t="s">
        <v>74</v>
      </c>
    </row>
    <row r="33761" spans="9:9" x14ac:dyDescent="0.2">
      <c r="I33761" s="137" t="s">
        <v>74</v>
      </c>
    </row>
    <row r="33762" spans="9:9" x14ac:dyDescent="0.2">
      <c r="I33762" s="137" t="s">
        <v>74</v>
      </c>
    </row>
    <row r="33763" spans="9:9" x14ac:dyDescent="0.2">
      <c r="I33763" s="137" t="s">
        <v>74</v>
      </c>
    </row>
    <row r="33764" spans="9:9" x14ac:dyDescent="0.2">
      <c r="I33764" s="137" t="s">
        <v>74</v>
      </c>
    </row>
    <row r="33765" spans="9:9" x14ac:dyDescent="0.2">
      <c r="I33765" s="137" t="s">
        <v>74</v>
      </c>
    </row>
    <row r="33766" spans="9:9" x14ac:dyDescent="0.2">
      <c r="I33766" s="137" t="s">
        <v>74</v>
      </c>
    </row>
    <row r="33767" spans="9:9" x14ac:dyDescent="0.2">
      <c r="I33767" s="137" t="s">
        <v>74</v>
      </c>
    </row>
    <row r="33768" spans="9:9" x14ac:dyDescent="0.2">
      <c r="I33768" s="137" t="s">
        <v>74</v>
      </c>
    </row>
    <row r="33769" spans="9:9" x14ac:dyDescent="0.2">
      <c r="I33769" s="137" t="s">
        <v>74</v>
      </c>
    </row>
    <row r="33770" spans="9:9" x14ac:dyDescent="0.2">
      <c r="I33770" s="137" t="s">
        <v>74</v>
      </c>
    </row>
    <row r="33771" spans="9:9" x14ac:dyDescent="0.2">
      <c r="I33771" s="137" t="s">
        <v>74</v>
      </c>
    </row>
    <row r="33772" spans="9:9" x14ac:dyDescent="0.2">
      <c r="I33772" s="137" t="s">
        <v>74</v>
      </c>
    </row>
    <row r="33773" spans="9:9" x14ac:dyDescent="0.2">
      <c r="I33773" s="137" t="s">
        <v>74</v>
      </c>
    </row>
    <row r="33774" spans="9:9" x14ac:dyDescent="0.2">
      <c r="I33774" s="137" t="s">
        <v>74</v>
      </c>
    </row>
    <row r="33775" spans="9:9" x14ac:dyDescent="0.2">
      <c r="I33775" s="137" t="s">
        <v>74</v>
      </c>
    </row>
    <row r="33776" spans="9:9" x14ac:dyDescent="0.2">
      <c r="I33776" s="137" t="s">
        <v>74</v>
      </c>
    </row>
    <row r="33777" spans="9:9" x14ac:dyDescent="0.2">
      <c r="I33777" s="137" t="s">
        <v>74</v>
      </c>
    </row>
    <row r="33778" spans="9:9" x14ac:dyDescent="0.2">
      <c r="I33778" s="137" t="s">
        <v>74</v>
      </c>
    </row>
    <row r="33779" spans="9:9" x14ac:dyDescent="0.2">
      <c r="I33779" s="137" t="s">
        <v>74</v>
      </c>
    </row>
    <row r="33780" spans="9:9" x14ac:dyDescent="0.2">
      <c r="I33780" s="137" t="s">
        <v>74</v>
      </c>
    </row>
    <row r="33781" spans="9:9" x14ac:dyDescent="0.2">
      <c r="I33781" s="137" t="s">
        <v>74</v>
      </c>
    </row>
    <row r="33782" spans="9:9" x14ac:dyDescent="0.2">
      <c r="I33782" s="137" t="s">
        <v>74</v>
      </c>
    </row>
    <row r="33783" spans="9:9" x14ac:dyDescent="0.2">
      <c r="I33783" s="137" t="s">
        <v>74</v>
      </c>
    </row>
    <row r="33784" spans="9:9" x14ac:dyDescent="0.2">
      <c r="I33784" s="137" t="s">
        <v>74</v>
      </c>
    </row>
    <row r="33785" spans="9:9" x14ac:dyDescent="0.2">
      <c r="I33785" s="137" t="s">
        <v>74</v>
      </c>
    </row>
    <row r="33786" spans="9:9" x14ac:dyDescent="0.2">
      <c r="I33786" s="137" t="s">
        <v>74</v>
      </c>
    </row>
    <row r="33787" spans="9:9" x14ac:dyDescent="0.2">
      <c r="I33787" s="137" t="s">
        <v>74</v>
      </c>
    </row>
    <row r="33788" spans="9:9" x14ac:dyDescent="0.2">
      <c r="I33788" s="137" t="s">
        <v>74</v>
      </c>
    </row>
    <row r="33789" spans="9:9" x14ac:dyDescent="0.2">
      <c r="I33789" s="137" t="s">
        <v>74</v>
      </c>
    </row>
    <row r="33790" spans="9:9" x14ac:dyDescent="0.2">
      <c r="I33790" s="137" t="s">
        <v>74</v>
      </c>
    </row>
    <row r="33791" spans="9:9" x14ac:dyDescent="0.2">
      <c r="I33791" s="137" t="s">
        <v>74</v>
      </c>
    </row>
    <row r="33792" spans="9:9" x14ac:dyDescent="0.2">
      <c r="I33792" s="137" t="s">
        <v>74</v>
      </c>
    </row>
    <row r="33793" spans="9:9" x14ac:dyDescent="0.2">
      <c r="I33793" s="137" t="s">
        <v>74</v>
      </c>
    </row>
    <row r="33794" spans="9:9" x14ac:dyDescent="0.2">
      <c r="I33794" s="137" t="s">
        <v>74</v>
      </c>
    </row>
    <row r="33795" spans="9:9" x14ac:dyDescent="0.2">
      <c r="I33795" s="137" t="s">
        <v>74</v>
      </c>
    </row>
    <row r="33796" spans="9:9" x14ac:dyDescent="0.2">
      <c r="I33796" s="137" t="s">
        <v>74</v>
      </c>
    </row>
    <row r="33797" spans="9:9" x14ac:dyDescent="0.2">
      <c r="I33797" s="137" t="s">
        <v>74</v>
      </c>
    </row>
    <row r="33798" spans="9:9" x14ac:dyDescent="0.2">
      <c r="I33798" s="137" t="s">
        <v>74</v>
      </c>
    </row>
    <row r="33799" spans="9:9" x14ac:dyDescent="0.2">
      <c r="I33799" s="137" t="s">
        <v>74</v>
      </c>
    </row>
    <row r="33800" spans="9:9" x14ac:dyDescent="0.2">
      <c r="I33800" s="137" t="s">
        <v>74</v>
      </c>
    </row>
    <row r="33801" spans="9:9" x14ac:dyDescent="0.2">
      <c r="I33801" s="137" t="s">
        <v>74</v>
      </c>
    </row>
    <row r="33802" spans="9:9" x14ac:dyDescent="0.2">
      <c r="I33802" s="137" t="s">
        <v>74</v>
      </c>
    </row>
    <row r="33803" spans="9:9" x14ac:dyDescent="0.2">
      <c r="I33803" s="137" t="s">
        <v>74</v>
      </c>
    </row>
    <row r="33804" spans="9:9" x14ac:dyDescent="0.2">
      <c r="I33804" s="137" t="s">
        <v>74</v>
      </c>
    </row>
    <row r="33805" spans="9:9" x14ac:dyDescent="0.2">
      <c r="I33805" s="137" t="s">
        <v>74</v>
      </c>
    </row>
    <row r="33806" spans="9:9" x14ac:dyDescent="0.2">
      <c r="I33806" s="137" t="s">
        <v>74</v>
      </c>
    </row>
    <row r="33807" spans="9:9" x14ac:dyDescent="0.2">
      <c r="I33807" s="137" t="s">
        <v>74</v>
      </c>
    </row>
    <row r="33808" spans="9:9" x14ac:dyDescent="0.2">
      <c r="I33808" s="137" t="s">
        <v>74</v>
      </c>
    </row>
    <row r="33809" spans="9:9" x14ac:dyDescent="0.2">
      <c r="I33809" s="137" t="s">
        <v>74</v>
      </c>
    </row>
    <row r="33810" spans="9:9" x14ac:dyDescent="0.2">
      <c r="I33810" s="137" t="s">
        <v>74</v>
      </c>
    </row>
    <row r="33811" spans="9:9" x14ac:dyDescent="0.2">
      <c r="I33811" s="137" t="s">
        <v>74</v>
      </c>
    </row>
    <row r="33812" spans="9:9" x14ac:dyDescent="0.2">
      <c r="I33812" s="137" t="s">
        <v>74</v>
      </c>
    </row>
    <row r="33813" spans="9:9" x14ac:dyDescent="0.2">
      <c r="I33813" s="137" t="s">
        <v>74</v>
      </c>
    </row>
    <row r="33814" spans="9:9" x14ac:dyDescent="0.2">
      <c r="I33814" s="137" t="s">
        <v>74</v>
      </c>
    </row>
    <row r="33815" spans="9:9" x14ac:dyDescent="0.2">
      <c r="I33815" s="137" t="s">
        <v>74</v>
      </c>
    </row>
    <row r="33816" spans="9:9" x14ac:dyDescent="0.2">
      <c r="I33816" s="137" t="s">
        <v>74</v>
      </c>
    </row>
    <row r="33817" spans="9:9" x14ac:dyDescent="0.2">
      <c r="I33817" s="137" t="s">
        <v>74</v>
      </c>
    </row>
    <row r="33818" spans="9:9" x14ac:dyDescent="0.2">
      <c r="I33818" s="137" t="s">
        <v>74</v>
      </c>
    </row>
    <row r="33819" spans="9:9" x14ac:dyDescent="0.2">
      <c r="I33819" s="137" t="s">
        <v>74</v>
      </c>
    </row>
    <row r="33820" spans="9:9" x14ac:dyDescent="0.2">
      <c r="I33820" s="137" t="s">
        <v>74</v>
      </c>
    </row>
    <row r="33821" spans="9:9" x14ac:dyDescent="0.2">
      <c r="I33821" s="137" t="s">
        <v>74</v>
      </c>
    </row>
    <row r="33822" spans="9:9" x14ac:dyDescent="0.2">
      <c r="I33822" s="137" t="s">
        <v>74</v>
      </c>
    </row>
    <row r="33823" spans="9:9" x14ac:dyDescent="0.2">
      <c r="I33823" s="137" t="s">
        <v>74</v>
      </c>
    </row>
    <row r="33824" spans="9:9" x14ac:dyDescent="0.2">
      <c r="I33824" s="137" t="s">
        <v>74</v>
      </c>
    </row>
    <row r="33825" spans="9:9" x14ac:dyDescent="0.2">
      <c r="I33825" s="137" t="s">
        <v>74</v>
      </c>
    </row>
    <row r="33826" spans="9:9" x14ac:dyDescent="0.2">
      <c r="I33826" s="137" t="s">
        <v>74</v>
      </c>
    </row>
    <row r="33827" spans="9:9" x14ac:dyDescent="0.2">
      <c r="I33827" s="137" t="s">
        <v>74</v>
      </c>
    </row>
    <row r="33828" spans="9:9" x14ac:dyDescent="0.2">
      <c r="I33828" s="137" t="s">
        <v>74</v>
      </c>
    </row>
    <row r="33829" spans="9:9" x14ac:dyDescent="0.2">
      <c r="I33829" s="137" t="s">
        <v>74</v>
      </c>
    </row>
    <row r="33830" spans="9:9" x14ac:dyDescent="0.2">
      <c r="I33830" s="137" t="s">
        <v>74</v>
      </c>
    </row>
    <row r="33831" spans="9:9" x14ac:dyDescent="0.2">
      <c r="I33831" s="137" t="s">
        <v>74</v>
      </c>
    </row>
    <row r="33832" spans="9:9" x14ac:dyDescent="0.2">
      <c r="I33832" s="137" t="s">
        <v>74</v>
      </c>
    </row>
    <row r="33833" spans="9:9" x14ac:dyDescent="0.2">
      <c r="I33833" s="137" t="s">
        <v>74</v>
      </c>
    </row>
    <row r="33834" spans="9:9" x14ac:dyDescent="0.2">
      <c r="I33834" s="137" t="s">
        <v>74</v>
      </c>
    </row>
    <row r="33835" spans="9:9" x14ac:dyDescent="0.2">
      <c r="I33835" s="137" t="s">
        <v>74</v>
      </c>
    </row>
    <row r="33836" spans="9:9" x14ac:dyDescent="0.2">
      <c r="I33836" s="137" t="s">
        <v>74</v>
      </c>
    </row>
    <row r="33837" spans="9:9" x14ac:dyDescent="0.2">
      <c r="I33837" s="137" t="s">
        <v>74</v>
      </c>
    </row>
    <row r="33838" spans="9:9" x14ac:dyDescent="0.2">
      <c r="I33838" s="137" t="s">
        <v>74</v>
      </c>
    </row>
    <row r="33839" spans="9:9" x14ac:dyDescent="0.2">
      <c r="I33839" s="137" t="s">
        <v>74</v>
      </c>
    </row>
    <row r="33840" spans="9:9" x14ac:dyDescent="0.2">
      <c r="I33840" s="137" t="s">
        <v>74</v>
      </c>
    </row>
    <row r="33841" spans="9:9" x14ac:dyDescent="0.2">
      <c r="I33841" s="137" t="s">
        <v>74</v>
      </c>
    </row>
    <row r="33842" spans="9:9" x14ac:dyDescent="0.2">
      <c r="I33842" s="137" t="s">
        <v>74</v>
      </c>
    </row>
    <row r="33843" spans="9:9" x14ac:dyDescent="0.2">
      <c r="I33843" s="137" t="s">
        <v>74</v>
      </c>
    </row>
    <row r="33844" spans="9:9" x14ac:dyDescent="0.2">
      <c r="I33844" s="137" t="s">
        <v>74</v>
      </c>
    </row>
    <row r="33845" spans="9:9" x14ac:dyDescent="0.2">
      <c r="I33845" s="137" t="s">
        <v>74</v>
      </c>
    </row>
    <row r="33846" spans="9:9" x14ac:dyDescent="0.2">
      <c r="I33846" s="137" t="s">
        <v>74</v>
      </c>
    </row>
    <row r="33847" spans="9:9" x14ac:dyDescent="0.2">
      <c r="I33847" s="137" t="s">
        <v>74</v>
      </c>
    </row>
    <row r="33848" spans="9:9" x14ac:dyDescent="0.2">
      <c r="I33848" s="137" t="s">
        <v>74</v>
      </c>
    </row>
    <row r="33849" spans="9:9" x14ac:dyDescent="0.2">
      <c r="I33849" s="137" t="s">
        <v>74</v>
      </c>
    </row>
    <row r="33850" spans="9:9" x14ac:dyDescent="0.2">
      <c r="I33850" s="137" t="s">
        <v>74</v>
      </c>
    </row>
    <row r="33851" spans="9:9" x14ac:dyDescent="0.2">
      <c r="I33851" s="137" t="s">
        <v>74</v>
      </c>
    </row>
    <row r="33852" spans="9:9" x14ac:dyDescent="0.2">
      <c r="I33852" s="137" t="s">
        <v>74</v>
      </c>
    </row>
    <row r="33853" spans="9:9" x14ac:dyDescent="0.2">
      <c r="I33853" s="137" t="s">
        <v>74</v>
      </c>
    </row>
    <row r="33854" spans="9:9" x14ac:dyDescent="0.2">
      <c r="I33854" s="137" t="s">
        <v>74</v>
      </c>
    </row>
    <row r="33855" spans="9:9" x14ac:dyDescent="0.2">
      <c r="I33855" s="137" t="s">
        <v>74</v>
      </c>
    </row>
    <row r="33856" spans="9:9" x14ac:dyDescent="0.2">
      <c r="I33856" s="137" t="s">
        <v>74</v>
      </c>
    </row>
    <row r="33857" spans="9:9" x14ac:dyDescent="0.2">
      <c r="I33857" s="137" t="s">
        <v>74</v>
      </c>
    </row>
    <row r="33858" spans="9:9" x14ac:dyDescent="0.2">
      <c r="I33858" s="137" t="s">
        <v>74</v>
      </c>
    </row>
    <row r="33859" spans="9:9" x14ac:dyDescent="0.2">
      <c r="I33859" s="137" t="s">
        <v>74</v>
      </c>
    </row>
    <row r="33860" spans="9:9" x14ac:dyDescent="0.2">
      <c r="I33860" s="137" t="s">
        <v>74</v>
      </c>
    </row>
    <row r="33861" spans="9:9" x14ac:dyDescent="0.2">
      <c r="I33861" s="137" t="s">
        <v>74</v>
      </c>
    </row>
    <row r="33862" spans="9:9" x14ac:dyDescent="0.2">
      <c r="I33862" s="137" t="s">
        <v>74</v>
      </c>
    </row>
    <row r="33863" spans="9:9" x14ac:dyDescent="0.2">
      <c r="I33863" s="137" t="s">
        <v>74</v>
      </c>
    </row>
    <row r="33864" spans="9:9" x14ac:dyDescent="0.2">
      <c r="I33864" s="137" t="s">
        <v>74</v>
      </c>
    </row>
    <row r="33865" spans="9:9" x14ac:dyDescent="0.2">
      <c r="I33865" s="137" t="s">
        <v>74</v>
      </c>
    </row>
    <row r="33866" spans="9:9" x14ac:dyDescent="0.2">
      <c r="I33866" s="137" t="s">
        <v>74</v>
      </c>
    </row>
    <row r="33867" spans="9:9" x14ac:dyDescent="0.2">
      <c r="I33867" s="137" t="s">
        <v>74</v>
      </c>
    </row>
    <row r="33868" spans="9:9" x14ac:dyDescent="0.2">
      <c r="I33868" s="137" t="s">
        <v>74</v>
      </c>
    </row>
    <row r="33869" spans="9:9" x14ac:dyDescent="0.2">
      <c r="I33869" s="137" t="s">
        <v>74</v>
      </c>
    </row>
    <row r="33870" spans="9:9" x14ac:dyDescent="0.2">
      <c r="I33870" s="137" t="s">
        <v>74</v>
      </c>
    </row>
    <row r="33871" spans="9:9" x14ac:dyDescent="0.2">
      <c r="I33871" s="137" t="s">
        <v>74</v>
      </c>
    </row>
    <row r="33872" spans="9:9" x14ac:dyDescent="0.2">
      <c r="I33872" s="137" t="s">
        <v>74</v>
      </c>
    </row>
    <row r="33873" spans="9:9" x14ac:dyDescent="0.2">
      <c r="I33873" s="137" t="s">
        <v>74</v>
      </c>
    </row>
    <row r="33874" spans="9:9" x14ac:dyDescent="0.2">
      <c r="I33874" s="137" t="s">
        <v>74</v>
      </c>
    </row>
    <row r="33875" spans="9:9" x14ac:dyDescent="0.2">
      <c r="I33875" s="137" t="s">
        <v>74</v>
      </c>
    </row>
    <row r="33876" spans="9:9" x14ac:dyDescent="0.2">
      <c r="I33876" s="137" t="s">
        <v>74</v>
      </c>
    </row>
    <row r="33877" spans="9:9" x14ac:dyDescent="0.2">
      <c r="I33877" s="137" t="s">
        <v>74</v>
      </c>
    </row>
    <row r="33878" spans="9:9" x14ac:dyDescent="0.2">
      <c r="I33878" s="137" t="s">
        <v>74</v>
      </c>
    </row>
    <row r="33879" spans="9:9" x14ac:dyDescent="0.2">
      <c r="I33879" s="137" t="s">
        <v>74</v>
      </c>
    </row>
    <row r="33880" spans="9:9" x14ac:dyDescent="0.2">
      <c r="I33880" s="137" t="s">
        <v>74</v>
      </c>
    </row>
    <row r="33881" spans="9:9" x14ac:dyDescent="0.2">
      <c r="I33881" s="137" t="s">
        <v>74</v>
      </c>
    </row>
    <row r="33882" spans="9:9" x14ac:dyDescent="0.2">
      <c r="I33882" s="137" t="s">
        <v>74</v>
      </c>
    </row>
    <row r="33883" spans="9:9" x14ac:dyDescent="0.2">
      <c r="I33883" s="137" t="s">
        <v>74</v>
      </c>
    </row>
    <row r="33884" spans="9:9" x14ac:dyDescent="0.2">
      <c r="I33884" s="137" t="s">
        <v>74</v>
      </c>
    </row>
    <row r="33885" spans="9:9" x14ac:dyDescent="0.2">
      <c r="I33885" s="137" t="s">
        <v>74</v>
      </c>
    </row>
    <row r="33886" spans="9:9" x14ac:dyDescent="0.2">
      <c r="I33886" s="137" t="s">
        <v>74</v>
      </c>
    </row>
    <row r="33887" spans="9:9" x14ac:dyDescent="0.2">
      <c r="I33887" s="137" t="s">
        <v>74</v>
      </c>
    </row>
    <row r="33888" spans="9:9" x14ac:dyDescent="0.2">
      <c r="I33888" s="137" t="s">
        <v>74</v>
      </c>
    </row>
    <row r="33889" spans="9:9" x14ac:dyDescent="0.2">
      <c r="I33889" s="137" t="s">
        <v>74</v>
      </c>
    </row>
    <row r="33890" spans="9:9" x14ac:dyDescent="0.2">
      <c r="I33890" s="137" t="s">
        <v>74</v>
      </c>
    </row>
    <row r="33891" spans="9:9" x14ac:dyDescent="0.2">
      <c r="I33891" s="137" t="s">
        <v>74</v>
      </c>
    </row>
    <row r="33892" spans="9:9" x14ac:dyDescent="0.2">
      <c r="I33892" s="137" t="s">
        <v>74</v>
      </c>
    </row>
    <row r="33893" spans="9:9" x14ac:dyDescent="0.2">
      <c r="I33893" s="137" t="s">
        <v>74</v>
      </c>
    </row>
    <row r="33894" spans="9:9" x14ac:dyDescent="0.2">
      <c r="I33894" s="137" t="s">
        <v>74</v>
      </c>
    </row>
    <row r="33895" spans="9:9" x14ac:dyDescent="0.2">
      <c r="I33895" s="137" t="s">
        <v>74</v>
      </c>
    </row>
    <row r="33896" spans="9:9" x14ac:dyDescent="0.2">
      <c r="I33896" s="137" t="s">
        <v>74</v>
      </c>
    </row>
    <row r="33897" spans="9:9" x14ac:dyDescent="0.2">
      <c r="I33897" s="137" t="s">
        <v>74</v>
      </c>
    </row>
    <row r="33898" spans="9:9" x14ac:dyDescent="0.2">
      <c r="I33898" s="137" t="s">
        <v>74</v>
      </c>
    </row>
    <row r="33899" spans="9:9" x14ac:dyDescent="0.2">
      <c r="I33899" s="137" t="s">
        <v>74</v>
      </c>
    </row>
    <row r="33900" spans="9:9" x14ac:dyDescent="0.2">
      <c r="I33900" s="137" t="s">
        <v>74</v>
      </c>
    </row>
    <row r="33901" spans="9:9" x14ac:dyDescent="0.2">
      <c r="I33901" s="137" t="s">
        <v>74</v>
      </c>
    </row>
    <row r="33902" spans="9:9" x14ac:dyDescent="0.2">
      <c r="I33902" s="137" t="s">
        <v>74</v>
      </c>
    </row>
    <row r="33903" spans="9:9" x14ac:dyDescent="0.2">
      <c r="I33903" s="137" t="s">
        <v>74</v>
      </c>
    </row>
    <row r="33904" spans="9:9" x14ac:dyDescent="0.2">
      <c r="I33904" s="137" t="s">
        <v>74</v>
      </c>
    </row>
    <row r="33905" spans="9:9" x14ac:dyDescent="0.2">
      <c r="I33905" s="137" t="s">
        <v>74</v>
      </c>
    </row>
    <row r="33906" spans="9:9" x14ac:dyDescent="0.2">
      <c r="I33906" s="137" t="s">
        <v>74</v>
      </c>
    </row>
    <row r="33907" spans="9:9" x14ac:dyDescent="0.2">
      <c r="I33907" s="137" t="s">
        <v>74</v>
      </c>
    </row>
    <row r="33908" spans="9:9" x14ac:dyDescent="0.2">
      <c r="I33908" s="137" t="s">
        <v>74</v>
      </c>
    </row>
    <row r="33909" spans="9:9" x14ac:dyDescent="0.2">
      <c r="I33909" s="137" t="s">
        <v>74</v>
      </c>
    </row>
    <row r="33910" spans="9:9" x14ac:dyDescent="0.2">
      <c r="I33910" s="137" t="s">
        <v>74</v>
      </c>
    </row>
    <row r="33911" spans="9:9" x14ac:dyDescent="0.2">
      <c r="I33911" s="137" t="s">
        <v>74</v>
      </c>
    </row>
    <row r="33912" spans="9:9" x14ac:dyDescent="0.2">
      <c r="I33912" s="137" t="s">
        <v>74</v>
      </c>
    </row>
    <row r="33913" spans="9:9" x14ac:dyDescent="0.2">
      <c r="I33913" s="137" t="s">
        <v>74</v>
      </c>
    </row>
    <row r="33914" spans="9:9" x14ac:dyDescent="0.2">
      <c r="I33914" s="137" t="s">
        <v>74</v>
      </c>
    </row>
    <row r="33915" spans="9:9" x14ac:dyDescent="0.2">
      <c r="I33915" s="137" t="s">
        <v>74</v>
      </c>
    </row>
    <row r="33916" spans="9:9" x14ac:dyDescent="0.2">
      <c r="I33916" s="137" t="s">
        <v>74</v>
      </c>
    </row>
    <row r="33917" spans="9:9" x14ac:dyDescent="0.2">
      <c r="I33917" s="137" t="s">
        <v>74</v>
      </c>
    </row>
    <row r="33918" spans="9:9" x14ac:dyDescent="0.2">
      <c r="I33918" s="137" t="s">
        <v>74</v>
      </c>
    </row>
    <row r="33919" spans="9:9" x14ac:dyDescent="0.2">
      <c r="I33919" s="137" t="s">
        <v>74</v>
      </c>
    </row>
    <row r="33920" spans="9:9" x14ac:dyDescent="0.2">
      <c r="I33920" s="137" t="s">
        <v>74</v>
      </c>
    </row>
    <row r="33921" spans="9:9" x14ac:dyDescent="0.2">
      <c r="I33921" s="137" t="s">
        <v>74</v>
      </c>
    </row>
    <row r="33922" spans="9:9" x14ac:dyDescent="0.2">
      <c r="I33922" s="137" t="s">
        <v>74</v>
      </c>
    </row>
    <row r="33923" spans="9:9" x14ac:dyDescent="0.2">
      <c r="I33923" s="137" t="s">
        <v>74</v>
      </c>
    </row>
    <row r="33924" spans="9:9" x14ac:dyDescent="0.2">
      <c r="I33924" s="137" t="s">
        <v>74</v>
      </c>
    </row>
    <row r="33925" spans="9:9" x14ac:dyDescent="0.2">
      <c r="I33925" s="137" t="s">
        <v>74</v>
      </c>
    </row>
    <row r="33926" spans="9:9" x14ac:dyDescent="0.2">
      <c r="I33926" s="137" t="s">
        <v>74</v>
      </c>
    </row>
    <row r="33927" spans="9:9" x14ac:dyDescent="0.2">
      <c r="I33927" s="137" t="s">
        <v>74</v>
      </c>
    </row>
    <row r="33928" spans="9:9" x14ac:dyDescent="0.2">
      <c r="I33928" s="137" t="s">
        <v>74</v>
      </c>
    </row>
    <row r="33929" spans="9:9" x14ac:dyDescent="0.2">
      <c r="I33929" s="137" t="s">
        <v>74</v>
      </c>
    </row>
    <row r="33930" spans="9:9" x14ac:dyDescent="0.2">
      <c r="I33930" s="137" t="s">
        <v>74</v>
      </c>
    </row>
    <row r="33931" spans="9:9" x14ac:dyDescent="0.2">
      <c r="I33931" s="137" t="s">
        <v>74</v>
      </c>
    </row>
    <row r="33932" spans="9:9" x14ac:dyDescent="0.2">
      <c r="I33932" s="137" t="s">
        <v>74</v>
      </c>
    </row>
    <row r="33933" spans="9:9" x14ac:dyDescent="0.2">
      <c r="I33933" s="137" t="s">
        <v>74</v>
      </c>
    </row>
    <row r="33934" spans="9:9" x14ac:dyDescent="0.2">
      <c r="I33934" s="137" t="s">
        <v>74</v>
      </c>
    </row>
    <row r="33935" spans="9:9" x14ac:dyDescent="0.2">
      <c r="I33935" s="137" t="s">
        <v>74</v>
      </c>
    </row>
    <row r="33936" spans="9:9" x14ac:dyDescent="0.2">
      <c r="I33936" s="137" t="s">
        <v>74</v>
      </c>
    </row>
    <row r="33937" spans="9:9" x14ac:dyDescent="0.2">
      <c r="I33937" s="137" t="s">
        <v>74</v>
      </c>
    </row>
    <row r="33938" spans="9:9" x14ac:dyDescent="0.2">
      <c r="I33938" s="137" t="s">
        <v>74</v>
      </c>
    </row>
    <row r="33939" spans="9:9" x14ac:dyDescent="0.2">
      <c r="I33939" s="137" t="s">
        <v>74</v>
      </c>
    </row>
    <row r="33940" spans="9:9" x14ac:dyDescent="0.2">
      <c r="I33940" s="137" t="s">
        <v>74</v>
      </c>
    </row>
    <row r="33941" spans="9:9" x14ac:dyDescent="0.2">
      <c r="I33941" s="137" t="s">
        <v>74</v>
      </c>
    </row>
    <row r="33942" spans="9:9" x14ac:dyDescent="0.2">
      <c r="I33942" s="137" t="s">
        <v>74</v>
      </c>
    </row>
    <row r="33943" spans="9:9" x14ac:dyDescent="0.2">
      <c r="I33943" s="137" t="s">
        <v>74</v>
      </c>
    </row>
    <row r="33944" spans="9:9" x14ac:dyDescent="0.2">
      <c r="I33944" s="137" t="s">
        <v>74</v>
      </c>
    </row>
    <row r="33945" spans="9:9" x14ac:dyDescent="0.2">
      <c r="I33945" s="137" t="s">
        <v>74</v>
      </c>
    </row>
    <row r="33946" spans="9:9" x14ac:dyDescent="0.2">
      <c r="I33946" s="137" t="s">
        <v>74</v>
      </c>
    </row>
    <row r="33947" spans="9:9" x14ac:dyDescent="0.2">
      <c r="I33947" s="137" t="s">
        <v>74</v>
      </c>
    </row>
    <row r="33948" spans="9:9" x14ac:dyDescent="0.2">
      <c r="I33948" s="137" t="s">
        <v>74</v>
      </c>
    </row>
    <row r="33949" spans="9:9" x14ac:dyDescent="0.2">
      <c r="I33949" s="137" t="s">
        <v>74</v>
      </c>
    </row>
    <row r="33950" spans="9:9" x14ac:dyDescent="0.2">
      <c r="I33950" s="137" t="s">
        <v>74</v>
      </c>
    </row>
    <row r="33951" spans="9:9" x14ac:dyDescent="0.2">
      <c r="I33951" s="137" t="s">
        <v>74</v>
      </c>
    </row>
    <row r="33952" spans="9:9" x14ac:dyDescent="0.2">
      <c r="I33952" s="137" t="s">
        <v>74</v>
      </c>
    </row>
    <row r="33953" spans="9:9" x14ac:dyDescent="0.2">
      <c r="I33953" s="137" t="s">
        <v>74</v>
      </c>
    </row>
    <row r="33954" spans="9:9" x14ac:dyDescent="0.2">
      <c r="I33954" s="137" t="s">
        <v>74</v>
      </c>
    </row>
    <row r="33955" spans="9:9" x14ac:dyDescent="0.2">
      <c r="I33955" s="137" t="s">
        <v>74</v>
      </c>
    </row>
    <row r="33956" spans="9:9" x14ac:dyDescent="0.2">
      <c r="I33956" s="137" t="s">
        <v>74</v>
      </c>
    </row>
    <row r="33957" spans="9:9" x14ac:dyDescent="0.2">
      <c r="I33957" s="137" t="s">
        <v>74</v>
      </c>
    </row>
    <row r="33958" spans="9:9" x14ac:dyDescent="0.2">
      <c r="I33958" s="137" t="s">
        <v>74</v>
      </c>
    </row>
    <row r="33959" spans="9:9" x14ac:dyDescent="0.2">
      <c r="I33959" s="137" t="s">
        <v>74</v>
      </c>
    </row>
    <row r="33960" spans="9:9" x14ac:dyDescent="0.2">
      <c r="I33960" s="137" t="s">
        <v>74</v>
      </c>
    </row>
    <row r="33961" spans="9:9" x14ac:dyDescent="0.2">
      <c r="I33961" s="137" t="s">
        <v>74</v>
      </c>
    </row>
    <row r="33962" spans="9:9" x14ac:dyDescent="0.2">
      <c r="I33962" s="137" t="s">
        <v>74</v>
      </c>
    </row>
    <row r="33963" spans="9:9" x14ac:dyDescent="0.2">
      <c r="I33963" s="137" t="s">
        <v>74</v>
      </c>
    </row>
    <row r="33964" spans="9:9" x14ac:dyDescent="0.2">
      <c r="I33964" s="137" t="s">
        <v>74</v>
      </c>
    </row>
    <row r="33965" spans="9:9" x14ac:dyDescent="0.2">
      <c r="I33965" s="137" t="s">
        <v>74</v>
      </c>
    </row>
    <row r="33966" spans="9:9" x14ac:dyDescent="0.2">
      <c r="I33966" s="137" t="s">
        <v>74</v>
      </c>
    </row>
    <row r="33967" spans="9:9" x14ac:dyDescent="0.2">
      <c r="I33967" s="137" t="s">
        <v>74</v>
      </c>
    </row>
    <row r="33968" spans="9:9" x14ac:dyDescent="0.2">
      <c r="I33968" s="137" t="s">
        <v>74</v>
      </c>
    </row>
    <row r="33969" spans="9:9" x14ac:dyDescent="0.2">
      <c r="I33969" s="137" t="s">
        <v>74</v>
      </c>
    </row>
    <row r="33970" spans="9:9" x14ac:dyDescent="0.2">
      <c r="I33970" s="137" t="s">
        <v>74</v>
      </c>
    </row>
    <row r="33971" spans="9:9" x14ac:dyDescent="0.2">
      <c r="I33971" s="137" t="s">
        <v>74</v>
      </c>
    </row>
    <row r="33972" spans="9:9" x14ac:dyDescent="0.2">
      <c r="I33972" s="137" t="s">
        <v>74</v>
      </c>
    </row>
    <row r="33973" spans="9:9" x14ac:dyDescent="0.2">
      <c r="I33973" s="137" t="s">
        <v>74</v>
      </c>
    </row>
    <row r="33974" spans="9:9" x14ac:dyDescent="0.2">
      <c r="I33974" s="137" t="s">
        <v>74</v>
      </c>
    </row>
    <row r="33975" spans="9:9" x14ac:dyDescent="0.2">
      <c r="I33975" s="137" t="s">
        <v>74</v>
      </c>
    </row>
    <row r="33976" spans="9:9" x14ac:dyDescent="0.2">
      <c r="I33976" s="137" t="s">
        <v>74</v>
      </c>
    </row>
    <row r="33977" spans="9:9" x14ac:dyDescent="0.2">
      <c r="I33977" s="137" t="s">
        <v>74</v>
      </c>
    </row>
    <row r="33978" spans="9:9" x14ac:dyDescent="0.2">
      <c r="I33978" s="137" t="s">
        <v>74</v>
      </c>
    </row>
    <row r="33979" spans="9:9" x14ac:dyDescent="0.2">
      <c r="I33979" s="137" t="s">
        <v>74</v>
      </c>
    </row>
    <row r="33980" spans="9:9" x14ac:dyDescent="0.2">
      <c r="I33980" s="137" t="s">
        <v>74</v>
      </c>
    </row>
    <row r="33981" spans="9:9" x14ac:dyDescent="0.2">
      <c r="I33981" s="137" t="s">
        <v>74</v>
      </c>
    </row>
    <row r="33982" spans="9:9" x14ac:dyDescent="0.2">
      <c r="I33982" s="137" t="s">
        <v>74</v>
      </c>
    </row>
    <row r="33983" spans="9:9" x14ac:dyDescent="0.2">
      <c r="I33983" s="137" t="s">
        <v>74</v>
      </c>
    </row>
    <row r="33984" spans="9:9" x14ac:dyDescent="0.2">
      <c r="I33984" s="137" t="s">
        <v>74</v>
      </c>
    </row>
    <row r="33985" spans="9:9" x14ac:dyDescent="0.2">
      <c r="I33985" s="137" t="s">
        <v>74</v>
      </c>
    </row>
    <row r="33986" spans="9:9" x14ac:dyDescent="0.2">
      <c r="I33986" s="137" t="s">
        <v>74</v>
      </c>
    </row>
    <row r="33987" spans="9:9" x14ac:dyDescent="0.2">
      <c r="I33987" s="137" t="s">
        <v>74</v>
      </c>
    </row>
    <row r="33988" spans="9:9" x14ac:dyDescent="0.2">
      <c r="I33988" s="137" t="s">
        <v>74</v>
      </c>
    </row>
    <row r="33989" spans="9:9" x14ac:dyDescent="0.2">
      <c r="I33989" s="137" t="s">
        <v>74</v>
      </c>
    </row>
    <row r="33990" spans="9:9" x14ac:dyDescent="0.2">
      <c r="I33990" s="137" t="s">
        <v>74</v>
      </c>
    </row>
    <row r="33991" spans="9:9" x14ac:dyDescent="0.2">
      <c r="I33991" s="137" t="s">
        <v>74</v>
      </c>
    </row>
    <row r="33992" spans="9:9" x14ac:dyDescent="0.2">
      <c r="I33992" s="137" t="s">
        <v>74</v>
      </c>
    </row>
    <row r="33993" spans="9:9" x14ac:dyDescent="0.2">
      <c r="I33993" s="137" t="s">
        <v>74</v>
      </c>
    </row>
    <row r="33994" spans="9:9" x14ac:dyDescent="0.2">
      <c r="I33994" s="137" t="s">
        <v>74</v>
      </c>
    </row>
    <row r="33995" spans="9:9" x14ac:dyDescent="0.2">
      <c r="I33995" s="137" t="s">
        <v>74</v>
      </c>
    </row>
    <row r="33996" spans="9:9" x14ac:dyDescent="0.2">
      <c r="I33996" s="137" t="s">
        <v>74</v>
      </c>
    </row>
    <row r="33997" spans="9:9" x14ac:dyDescent="0.2">
      <c r="I33997" s="137" t="s">
        <v>74</v>
      </c>
    </row>
    <row r="33998" spans="9:9" x14ac:dyDescent="0.2">
      <c r="I33998" s="137" t="s">
        <v>74</v>
      </c>
    </row>
    <row r="33999" spans="9:9" x14ac:dyDescent="0.2">
      <c r="I33999" s="137" t="s">
        <v>74</v>
      </c>
    </row>
    <row r="34000" spans="9:9" x14ac:dyDescent="0.2">
      <c r="I34000" s="137" t="s">
        <v>74</v>
      </c>
    </row>
    <row r="34001" spans="9:9" x14ac:dyDescent="0.2">
      <c r="I34001" s="137" t="s">
        <v>74</v>
      </c>
    </row>
    <row r="34002" spans="9:9" x14ac:dyDescent="0.2">
      <c r="I34002" s="137" t="s">
        <v>74</v>
      </c>
    </row>
    <row r="34003" spans="9:9" x14ac:dyDescent="0.2">
      <c r="I34003" s="137" t="s">
        <v>74</v>
      </c>
    </row>
    <row r="34004" spans="9:9" x14ac:dyDescent="0.2">
      <c r="I34004" s="137" t="s">
        <v>74</v>
      </c>
    </row>
    <row r="34005" spans="9:9" x14ac:dyDescent="0.2">
      <c r="I34005" s="137" t="s">
        <v>74</v>
      </c>
    </row>
    <row r="34006" spans="9:9" x14ac:dyDescent="0.2">
      <c r="I34006" s="137" t="s">
        <v>74</v>
      </c>
    </row>
    <row r="34007" spans="9:9" x14ac:dyDescent="0.2">
      <c r="I34007" s="137" t="s">
        <v>74</v>
      </c>
    </row>
    <row r="34008" spans="9:9" x14ac:dyDescent="0.2">
      <c r="I34008" s="137" t="s">
        <v>74</v>
      </c>
    </row>
    <row r="34009" spans="9:9" x14ac:dyDescent="0.2">
      <c r="I34009" s="137" t="s">
        <v>74</v>
      </c>
    </row>
    <row r="34010" spans="9:9" x14ac:dyDescent="0.2">
      <c r="I34010" s="137" t="s">
        <v>74</v>
      </c>
    </row>
    <row r="34011" spans="9:9" x14ac:dyDescent="0.2">
      <c r="I34011" s="137" t="s">
        <v>74</v>
      </c>
    </row>
    <row r="34012" spans="9:9" x14ac:dyDescent="0.2">
      <c r="I34012" s="137" t="s">
        <v>74</v>
      </c>
    </row>
    <row r="34013" spans="9:9" x14ac:dyDescent="0.2">
      <c r="I34013" s="137" t="s">
        <v>74</v>
      </c>
    </row>
    <row r="34014" spans="9:9" x14ac:dyDescent="0.2">
      <c r="I34014" s="137" t="s">
        <v>74</v>
      </c>
    </row>
    <row r="34015" spans="9:9" x14ac:dyDescent="0.2">
      <c r="I34015" s="137" t="s">
        <v>74</v>
      </c>
    </row>
    <row r="34016" spans="9:9" x14ac:dyDescent="0.2">
      <c r="I34016" s="137" t="s">
        <v>74</v>
      </c>
    </row>
    <row r="34017" spans="9:9" x14ac:dyDescent="0.2">
      <c r="I34017" s="137" t="s">
        <v>74</v>
      </c>
    </row>
    <row r="34018" spans="9:9" x14ac:dyDescent="0.2">
      <c r="I34018" s="137" t="s">
        <v>74</v>
      </c>
    </row>
    <row r="34019" spans="9:9" x14ac:dyDescent="0.2">
      <c r="I34019" s="137" t="s">
        <v>74</v>
      </c>
    </row>
    <row r="34020" spans="9:9" x14ac:dyDescent="0.2">
      <c r="I34020" s="137" t="s">
        <v>74</v>
      </c>
    </row>
    <row r="34021" spans="9:9" x14ac:dyDescent="0.2">
      <c r="I34021" s="137" t="s">
        <v>74</v>
      </c>
    </row>
    <row r="34022" spans="9:9" x14ac:dyDescent="0.2">
      <c r="I34022" s="137" t="s">
        <v>74</v>
      </c>
    </row>
    <row r="34023" spans="9:9" x14ac:dyDescent="0.2">
      <c r="I34023" s="137" t="s">
        <v>74</v>
      </c>
    </row>
    <row r="34024" spans="9:9" x14ac:dyDescent="0.2">
      <c r="I34024" s="137" t="s">
        <v>74</v>
      </c>
    </row>
    <row r="34025" spans="9:9" x14ac:dyDescent="0.2">
      <c r="I34025" s="137" t="s">
        <v>74</v>
      </c>
    </row>
    <row r="34026" spans="9:9" x14ac:dyDescent="0.2">
      <c r="I34026" s="137" t="s">
        <v>74</v>
      </c>
    </row>
    <row r="34027" spans="9:9" x14ac:dyDescent="0.2">
      <c r="I34027" s="137" t="s">
        <v>74</v>
      </c>
    </row>
    <row r="34028" spans="9:9" x14ac:dyDescent="0.2">
      <c r="I34028" s="137" t="s">
        <v>74</v>
      </c>
    </row>
    <row r="34029" spans="9:9" x14ac:dyDescent="0.2">
      <c r="I34029" s="137" t="s">
        <v>74</v>
      </c>
    </row>
    <row r="34030" spans="9:9" x14ac:dyDescent="0.2">
      <c r="I34030" s="137" t="s">
        <v>74</v>
      </c>
    </row>
    <row r="34031" spans="9:9" x14ac:dyDescent="0.2">
      <c r="I34031" s="137" t="s">
        <v>74</v>
      </c>
    </row>
    <row r="34032" spans="9:9" x14ac:dyDescent="0.2">
      <c r="I34032" s="137" t="s">
        <v>74</v>
      </c>
    </row>
    <row r="34033" spans="9:9" x14ac:dyDescent="0.2">
      <c r="I34033" s="137" t="s">
        <v>74</v>
      </c>
    </row>
    <row r="34034" spans="9:9" x14ac:dyDescent="0.2">
      <c r="I34034" s="137" t="s">
        <v>74</v>
      </c>
    </row>
    <row r="34035" spans="9:9" x14ac:dyDescent="0.2">
      <c r="I34035" s="137" t="s">
        <v>74</v>
      </c>
    </row>
    <row r="34036" spans="9:9" x14ac:dyDescent="0.2">
      <c r="I34036" s="137" t="s">
        <v>74</v>
      </c>
    </row>
    <row r="34037" spans="9:9" x14ac:dyDescent="0.2">
      <c r="I34037" s="137" t="s">
        <v>74</v>
      </c>
    </row>
    <row r="34038" spans="9:9" x14ac:dyDescent="0.2">
      <c r="I34038" s="137" t="s">
        <v>74</v>
      </c>
    </row>
    <row r="34039" spans="9:9" x14ac:dyDescent="0.2">
      <c r="I34039" s="137" t="s">
        <v>74</v>
      </c>
    </row>
    <row r="34040" spans="9:9" x14ac:dyDescent="0.2">
      <c r="I34040" s="137" t="s">
        <v>74</v>
      </c>
    </row>
    <row r="34041" spans="9:9" x14ac:dyDescent="0.2">
      <c r="I34041" s="137" t="s">
        <v>74</v>
      </c>
    </row>
    <row r="34042" spans="9:9" x14ac:dyDescent="0.2">
      <c r="I34042" s="137" t="s">
        <v>74</v>
      </c>
    </row>
    <row r="34043" spans="9:9" x14ac:dyDescent="0.2">
      <c r="I34043" s="137" t="s">
        <v>74</v>
      </c>
    </row>
    <row r="34044" spans="9:9" x14ac:dyDescent="0.2">
      <c r="I34044" s="137" t="s">
        <v>74</v>
      </c>
    </row>
    <row r="34045" spans="9:9" x14ac:dyDescent="0.2">
      <c r="I34045" s="137" t="s">
        <v>74</v>
      </c>
    </row>
    <row r="34046" spans="9:9" x14ac:dyDescent="0.2">
      <c r="I34046" s="137" t="s">
        <v>74</v>
      </c>
    </row>
    <row r="34047" spans="9:9" x14ac:dyDescent="0.2">
      <c r="I34047" s="137" t="s">
        <v>74</v>
      </c>
    </row>
    <row r="34048" spans="9:9" x14ac:dyDescent="0.2">
      <c r="I34048" s="137" t="s">
        <v>74</v>
      </c>
    </row>
    <row r="34049" spans="9:9" x14ac:dyDescent="0.2">
      <c r="I34049" s="137" t="s">
        <v>74</v>
      </c>
    </row>
    <row r="34050" spans="9:9" x14ac:dyDescent="0.2">
      <c r="I34050" s="137" t="s">
        <v>74</v>
      </c>
    </row>
    <row r="34051" spans="9:9" x14ac:dyDescent="0.2">
      <c r="I34051" s="137" t="s">
        <v>74</v>
      </c>
    </row>
    <row r="34052" spans="9:9" x14ac:dyDescent="0.2">
      <c r="I34052" s="137" t="s">
        <v>74</v>
      </c>
    </row>
    <row r="34053" spans="9:9" x14ac:dyDescent="0.2">
      <c r="I34053" s="137" t="s">
        <v>74</v>
      </c>
    </row>
    <row r="34054" spans="9:9" x14ac:dyDescent="0.2">
      <c r="I34054" s="137" t="s">
        <v>74</v>
      </c>
    </row>
    <row r="34055" spans="9:9" x14ac:dyDescent="0.2">
      <c r="I34055" s="137" t="s">
        <v>74</v>
      </c>
    </row>
    <row r="34056" spans="9:9" x14ac:dyDescent="0.2">
      <c r="I34056" s="137" t="s">
        <v>74</v>
      </c>
    </row>
    <row r="34057" spans="9:9" x14ac:dyDescent="0.2">
      <c r="I34057" s="137" t="s">
        <v>74</v>
      </c>
    </row>
    <row r="34058" spans="9:9" x14ac:dyDescent="0.2">
      <c r="I34058" s="137" t="s">
        <v>74</v>
      </c>
    </row>
    <row r="34059" spans="9:9" x14ac:dyDescent="0.2">
      <c r="I34059" s="137" t="s">
        <v>74</v>
      </c>
    </row>
    <row r="34060" spans="9:9" x14ac:dyDescent="0.2">
      <c r="I34060" s="137" t="s">
        <v>74</v>
      </c>
    </row>
    <row r="34061" spans="9:9" x14ac:dyDescent="0.2">
      <c r="I34061" s="137" t="s">
        <v>74</v>
      </c>
    </row>
    <row r="34062" spans="9:9" x14ac:dyDescent="0.2">
      <c r="I34062" s="137" t="s">
        <v>74</v>
      </c>
    </row>
    <row r="34063" spans="9:9" x14ac:dyDescent="0.2">
      <c r="I34063" s="137" t="s">
        <v>74</v>
      </c>
    </row>
    <row r="34064" spans="9:9" x14ac:dyDescent="0.2">
      <c r="I34064" s="137" t="s">
        <v>74</v>
      </c>
    </row>
    <row r="34065" spans="9:9" x14ac:dyDescent="0.2">
      <c r="I34065" s="137" t="s">
        <v>74</v>
      </c>
    </row>
    <row r="34066" spans="9:9" x14ac:dyDescent="0.2">
      <c r="I34066" s="137" t="s">
        <v>74</v>
      </c>
    </row>
    <row r="34067" spans="9:9" x14ac:dyDescent="0.2">
      <c r="I34067" s="137" t="s">
        <v>74</v>
      </c>
    </row>
    <row r="34068" spans="9:9" x14ac:dyDescent="0.2">
      <c r="I34068" s="137" t="s">
        <v>74</v>
      </c>
    </row>
    <row r="34069" spans="9:9" x14ac:dyDescent="0.2">
      <c r="I34069" s="137" t="s">
        <v>74</v>
      </c>
    </row>
    <row r="34070" spans="9:9" x14ac:dyDescent="0.2">
      <c r="I34070" s="137" t="s">
        <v>74</v>
      </c>
    </row>
    <row r="34071" spans="9:9" x14ac:dyDescent="0.2">
      <c r="I34071" s="137" t="s">
        <v>74</v>
      </c>
    </row>
    <row r="34072" spans="9:9" x14ac:dyDescent="0.2">
      <c r="I34072" s="137" t="s">
        <v>74</v>
      </c>
    </row>
    <row r="34073" spans="9:9" x14ac:dyDescent="0.2">
      <c r="I34073" s="137" t="s">
        <v>74</v>
      </c>
    </row>
    <row r="34074" spans="9:9" x14ac:dyDescent="0.2">
      <c r="I34074" s="137" t="s">
        <v>74</v>
      </c>
    </row>
    <row r="34075" spans="9:9" x14ac:dyDescent="0.2">
      <c r="I34075" s="137" t="s">
        <v>74</v>
      </c>
    </row>
    <row r="34076" spans="9:9" x14ac:dyDescent="0.2">
      <c r="I34076" s="137" t="s">
        <v>74</v>
      </c>
    </row>
    <row r="34077" spans="9:9" x14ac:dyDescent="0.2">
      <c r="I34077" s="137" t="s">
        <v>74</v>
      </c>
    </row>
    <row r="34078" spans="9:9" x14ac:dyDescent="0.2">
      <c r="I34078" s="137" t="s">
        <v>74</v>
      </c>
    </row>
    <row r="34079" spans="9:9" x14ac:dyDescent="0.2">
      <c r="I34079" s="137" t="s">
        <v>74</v>
      </c>
    </row>
    <row r="34080" spans="9:9" x14ac:dyDescent="0.2">
      <c r="I34080" s="137" t="s">
        <v>74</v>
      </c>
    </row>
    <row r="34081" spans="9:9" x14ac:dyDescent="0.2">
      <c r="I34081" s="137" t="s">
        <v>74</v>
      </c>
    </row>
    <row r="34082" spans="9:9" x14ac:dyDescent="0.2">
      <c r="I34082" s="137" t="s">
        <v>74</v>
      </c>
    </row>
    <row r="34083" spans="9:9" x14ac:dyDescent="0.2">
      <c r="I34083" s="137" t="s">
        <v>74</v>
      </c>
    </row>
    <row r="34084" spans="9:9" x14ac:dyDescent="0.2">
      <c r="I34084" s="137" t="s">
        <v>74</v>
      </c>
    </row>
    <row r="34085" spans="9:9" x14ac:dyDescent="0.2">
      <c r="I34085" s="137" t="s">
        <v>74</v>
      </c>
    </row>
    <row r="34086" spans="9:9" x14ac:dyDescent="0.2">
      <c r="I34086" s="137" t="s">
        <v>74</v>
      </c>
    </row>
    <row r="34087" spans="9:9" x14ac:dyDescent="0.2">
      <c r="I34087" s="137" t="s">
        <v>74</v>
      </c>
    </row>
    <row r="34088" spans="9:9" x14ac:dyDescent="0.2">
      <c r="I34088" s="137" t="s">
        <v>74</v>
      </c>
    </row>
    <row r="34089" spans="9:9" x14ac:dyDescent="0.2">
      <c r="I34089" s="137" t="s">
        <v>74</v>
      </c>
    </row>
    <row r="34090" spans="9:9" x14ac:dyDescent="0.2">
      <c r="I34090" s="137" t="s">
        <v>74</v>
      </c>
    </row>
    <row r="34091" spans="9:9" x14ac:dyDescent="0.2">
      <c r="I34091" s="137" t="s">
        <v>74</v>
      </c>
    </row>
    <row r="34092" spans="9:9" x14ac:dyDescent="0.2">
      <c r="I34092" s="137" t="s">
        <v>74</v>
      </c>
    </row>
    <row r="34093" spans="9:9" x14ac:dyDescent="0.2">
      <c r="I34093" s="137" t="s">
        <v>74</v>
      </c>
    </row>
    <row r="34094" spans="9:9" x14ac:dyDescent="0.2">
      <c r="I34094" s="137" t="s">
        <v>74</v>
      </c>
    </row>
    <row r="34095" spans="9:9" x14ac:dyDescent="0.2">
      <c r="I34095" s="137" t="s">
        <v>74</v>
      </c>
    </row>
    <row r="34096" spans="9:9" x14ac:dyDescent="0.2">
      <c r="I34096" s="137" t="s">
        <v>74</v>
      </c>
    </row>
    <row r="34097" spans="9:9" x14ac:dyDescent="0.2">
      <c r="I34097" s="137" t="s">
        <v>74</v>
      </c>
    </row>
    <row r="34098" spans="9:9" x14ac:dyDescent="0.2">
      <c r="I34098" s="137" t="s">
        <v>74</v>
      </c>
    </row>
    <row r="34099" spans="9:9" x14ac:dyDescent="0.2">
      <c r="I34099" s="137" t="s">
        <v>74</v>
      </c>
    </row>
    <row r="34100" spans="9:9" x14ac:dyDescent="0.2">
      <c r="I34100" s="137" t="s">
        <v>74</v>
      </c>
    </row>
    <row r="34101" spans="9:9" x14ac:dyDescent="0.2">
      <c r="I34101" s="137" t="s">
        <v>74</v>
      </c>
    </row>
    <row r="34102" spans="9:9" x14ac:dyDescent="0.2">
      <c r="I34102" s="137" t="s">
        <v>74</v>
      </c>
    </row>
    <row r="34103" spans="9:9" x14ac:dyDescent="0.2">
      <c r="I34103" s="137" t="s">
        <v>74</v>
      </c>
    </row>
    <row r="34104" spans="9:9" x14ac:dyDescent="0.2">
      <c r="I34104" s="137" t="s">
        <v>74</v>
      </c>
    </row>
    <row r="34105" spans="9:9" x14ac:dyDescent="0.2">
      <c r="I34105" s="137" t="s">
        <v>74</v>
      </c>
    </row>
    <row r="34106" spans="9:9" x14ac:dyDescent="0.2">
      <c r="I34106" s="137" t="s">
        <v>74</v>
      </c>
    </row>
    <row r="34107" spans="9:9" x14ac:dyDescent="0.2">
      <c r="I34107" s="137" t="s">
        <v>74</v>
      </c>
    </row>
    <row r="34108" spans="9:9" x14ac:dyDescent="0.2">
      <c r="I34108" s="137" t="s">
        <v>74</v>
      </c>
    </row>
    <row r="34109" spans="9:9" x14ac:dyDescent="0.2">
      <c r="I34109" s="137" t="s">
        <v>74</v>
      </c>
    </row>
    <row r="34110" spans="9:9" x14ac:dyDescent="0.2">
      <c r="I34110" s="137" t="s">
        <v>74</v>
      </c>
    </row>
    <row r="34111" spans="9:9" x14ac:dyDescent="0.2">
      <c r="I34111" s="137" t="s">
        <v>74</v>
      </c>
    </row>
    <row r="34112" spans="9:9" x14ac:dyDescent="0.2">
      <c r="I34112" s="137" t="s">
        <v>74</v>
      </c>
    </row>
    <row r="34113" spans="9:9" x14ac:dyDescent="0.2">
      <c r="I34113" s="137" t="s">
        <v>74</v>
      </c>
    </row>
    <row r="34114" spans="9:9" x14ac:dyDescent="0.2">
      <c r="I34114" s="137" t="s">
        <v>74</v>
      </c>
    </row>
    <row r="34115" spans="9:9" x14ac:dyDescent="0.2">
      <c r="I34115" s="137" t="s">
        <v>74</v>
      </c>
    </row>
    <row r="34116" spans="9:9" x14ac:dyDescent="0.2">
      <c r="I34116" s="137" t="s">
        <v>74</v>
      </c>
    </row>
    <row r="34117" spans="9:9" x14ac:dyDescent="0.2">
      <c r="I34117" s="137" t="s">
        <v>74</v>
      </c>
    </row>
    <row r="34118" spans="9:9" x14ac:dyDescent="0.2">
      <c r="I34118" s="137" t="s">
        <v>74</v>
      </c>
    </row>
    <row r="34119" spans="9:9" x14ac:dyDescent="0.2">
      <c r="I34119" s="137" t="s">
        <v>74</v>
      </c>
    </row>
    <row r="34120" spans="9:9" x14ac:dyDescent="0.2">
      <c r="I34120" s="137" t="s">
        <v>74</v>
      </c>
    </row>
    <row r="34121" spans="9:9" x14ac:dyDescent="0.2">
      <c r="I34121" s="137" t="s">
        <v>74</v>
      </c>
    </row>
    <row r="34122" spans="9:9" x14ac:dyDescent="0.2">
      <c r="I34122" s="137" t="s">
        <v>74</v>
      </c>
    </row>
    <row r="34123" spans="9:9" x14ac:dyDescent="0.2">
      <c r="I34123" s="137" t="s">
        <v>74</v>
      </c>
    </row>
    <row r="34124" spans="9:9" x14ac:dyDescent="0.2">
      <c r="I34124" s="137" t="s">
        <v>74</v>
      </c>
    </row>
    <row r="34125" spans="9:9" x14ac:dyDescent="0.2">
      <c r="I34125" s="137" t="s">
        <v>74</v>
      </c>
    </row>
    <row r="34126" spans="9:9" x14ac:dyDescent="0.2">
      <c r="I34126" s="137" t="s">
        <v>74</v>
      </c>
    </row>
    <row r="34127" spans="9:9" x14ac:dyDescent="0.2">
      <c r="I34127" s="137" t="s">
        <v>74</v>
      </c>
    </row>
    <row r="34128" spans="9:9" x14ac:dyDescent="0.2">
      <c r="I34128" s="137" t="s">
        <v>74</v>
      </c>
    </row>
    <row r="34129" spans="9:9" x14ac:dyDescent="0.2">
      <c r="I34129" s="137" t="s">
        <v>74</v>
      </c>
    </row>
    <row r="34130" spans="9:9" x14ac:dyDescent="0.2">
      <c r="I34130" s="137" t="s">
        <v>74</v>
      </c>
    </row>
    <row r="34131" spans="9:9" x14ac:dyDescent="0.2">
      <c r="I34131" s="137" t="s">
        <v>74</v>
      </c>
    </row>
    <row r="34132" spans="9:9" x14ac:dyDescent="0.2">
      <c r="I34132" s="137" t="s">
        <v>74</v>
      </c>
    </row>
    <row r="34133" spans="9:9" x14ac:dyDescent="0.2">
      <c r="I34133" s="137" t="s">
        <v>74</v>
      </c>
    </row>
    <row r="34134" spans="9:9" x14ac:dyDescent="0.2">
      <c r="I34134" s="137" t="s">
        <v>74</v>
      </c>
    </row>
    <row r="34135" spans="9:9" x14ac:dyDescent="0.2">
      <c r="I34135" s="137" t="s">
        <v>74</v>
      </c>
    </row>
    <row r="34136" spans="9:9" x14ac:dyDescent="0.2">
      <c r="I34136" s="137" t="s">
        <v>74</v>
      </c>
    </row>
    <row r="34137" spans="9:9" x14ac:dyDescent="0.2">
      <c r="I34137" s="137" t="s">
        <v>74</v>
      </c>
    </row>
    <row r="34138" spans="9:9" x14ac:dyDescent="0.2">
      <c r="I34138" s="137" t="s">
        <v>74</v>
      </c>
    </row>
    <row r="34139" spans="9:9" x14ac:dyDescent="0.2">
      <c r="I34139" s="137" t="s">
        <v>74</v>
      </c>
    </row>
    <row r="34140" spans="9:9" x14ac:dyDescent="0.2">
      <c r="I34140" s="137" t="s">
        <v>74</v>
      </c>
    </row>
    <row r="34141" spans="9:9" x14ac:dyDescent="0.2">
      <c r="I34141" s="137" t="s">
        <v>74</v>
      </c>
    </row>
    <row r="34142" spans="9:9" x14ac:dyDescent="0.2">
      <c r="I34142" s="137" t="s">
        <v>74</v>
      </c>
    </row>
    <row r="34143" spans="9:9" x14ac:dyDescent="0.2">
      <c r="I34143" s="137" t="s">
        <v>74</v>
      </c>
    </row>
    <row r="34144" spans="9:9" x14ac:dyDescent="0.2">
      <c r="I34144" s="137" t="s">
        <v>74</v>
      </c>
    </row>
    <row r="34145" spans="9:9" x14ac:dyDescent="0.2">
      <c r="I34145" s="137" t="s">
        <v>74</v>
      </c>
    </row>
    <row r="34146" spans="9:9" x14ac:dyDescent="0.2">
      <c r="I34146" s="137" t="s">
        <v>74</v>
      </c>
    </row>
    <row r="34147" spans="9:9" x14ac:dyDescent="0.2">
      <c r="I34147" s="137" t="s">
        <v>74</v>
      </c>
    </row>
    <row r="34148" spans="9:9" x14ac:dyDescent="0.2">
      <c r="I34148" s="137" t="s">
        <v>74</v>
      </c>
    </row>
    <row r="34149" spans="9:9" x14ac:dyDescent="0.2">
      <c r="I34149" s="137" t="s">
        <v>74</v>
      </c>
    </row>
    <row r="34150" spans="9:9" x14ac:dyDescent="0.2">
      <c r="I34150" s="137" t="s">
        <v>74</v>
      </c>
    </row>
    <row r="34151" spans="9:9" x14ac:dyDescent="0.2">
      <c r="I34151" s="137" t="s">
        <v>74</v>
      </c>
    </row>
    <row r="34152" spans="9:9" x14ac:dyDescent="0.2">
      <c r="I34152" s="137" t="s">
        <v>74</v>
      </c>
    </row>
    <row r="34153" spans="9:9" x14ac:dyDescent="0.2">
      <c r="I34153" s="137" t="s">
        <v>74</v>
      </c>
    </row>
    <row r="34154" spans="9:9" x14ac:dyDescent="0.2">
      <c r="I34154" s="137" t="s">
        <v>74</v>
      </c>
    </row>
    <row r="34155" spans="9:9" x14ac:dyDescent="0.2">
      <c r="I34155" s="137" t="s">
        <v>74</v>
      </c>
    </row>
    <row r="34156" spans="9:9" x14ac:dyDescent="0.2">
      <c r="I34156" s="137" t="s">
        <v>74</v>
      </c>
    </row>
    <row r="34157" spans="9:9" x14ac:dyDescent="0.2">
      <c r="I34157" s="137" t="s">
        <v>74</v>
      </c>
    </row>
    <row r="34158" spans="9:9" x14ac:dyDescent="0.2">
      <c r="I34158" s="137" t="s">
        <v>74</v>
      </c>
    </row>
    <row r="34159" spans="9:9" x14ac:dyDescent="0.2">
      <c r="I34159" s="137" t="s">
        <v>74</v>
      </c>
    </row>
    <row r="34160" spans="9:9" x14ac:dyDescent="0.2">
      <c r="I34160" s="137" t="s">
        <v>74</v>
      </c>
    </row>
    <row r="34161" spans="9:9" x14ac:dyDescent="0.2">
      <c r="I34161" s="137" t="s">
        <v>74</v>
      </c>
    </row>
    <row r="34162" spans="9:9" x14ac:dyDescent="0.2">
      <c r="I34162" s="137" t="s">
        <v>74</v>
      </c>
    </row>
    <row r="34163" spans="9:9" x14ac:dyDescent="0.2">
      <c r="I34163" s="137" t="s">
        <v>74</v>
      </c>
    </row>
    <row r="34164" spans="9:9" x14ac:dyDescent="0.2">
      <c r="I34164" s="137" t="s">
        <v>74</v>
      </c>
    </row>
    <row r="34165" spans="9:9" x14ac:dyDescent="0.2">
      <c r="I34165" s="137" t="s">
        <v>74</v>
      </c>
    </row>
    <row r="34166" spans="9:9" x14ac:dyDescent="0.2">
      <c r="I34166" s="137" t="s">
        <v>74</v>
      </c>
    </row>
    <row r="34167" spans="9:9" x14ac:dyDescent="0.2">
      <c r="I34167" s="137" t="s">
        <v>74</v>
      </c>
    </row>
    <row r="34168" spans="9:9" x14ac:dyDescent="0.2">
      <c r="I34168" s="137" t="s">
        <v>74</v>
      </c>
    </row>
    <row r="34169" spans="9:9" x14ac:dyDescent="0.2">
      <c r="I34169" s="137" t="s">
        <v>74</v>
      </c>
    </row>
    <row r="34170" spans="9:9" x14ac:dyDescent="0.2">
      <c r="I34170" s="137" t="s">
        <v>74</v>
      </c>
    </row>
    <row r="34171" spans="9:9" x14ac:dyDescent="0.2">
      <c r="I34171" s="137" t="s">
        <v>74</v>
      </c>
    </row>
    <row r="34172" spans="9:9" x14ac:dyDescent="0.2">
      <c r="I34172" s="137" t="s">
        <v>74</v>
      </c>
    </row>
    <row r="34173" spans="9:9" x14ac:dyDescent="0.2">
      <c r="I34173" s="137" t="s">
        <v>74</v>
      </c>
    </row>
    <row r="34174" spans="9:9" x14ac:dyDescent="0.2">
      <c r="I34174" s="137" t="s">
        <v>74</v>
      </c>
    </row>
    <row r="34175" spans="9:9" x14ac:dyDescent="0.2">
      <c r="I34175" s="137" t="s">
        <v>74</v>
      </c>
    </row>
    <row r="34176" spans="9:9" x14ac:dyDescent="0.2">
      <c r="I34176" s="137" t="s">
        <v>74</v>
      </c>
    </row>
    <row r="34177" spans="9:9" x14ac:dyDescent="0.2">
      <c r="I34177" s="137" t="s">
        <v>74</v>
      </c>
    </row>
    <row r="34178" spans="9:9" x14ac:dyDescent="0.2">
      <c r="I34178" s="137" t="s">
        <v>74</v>
      </c>
    </row>
    <row r="34179" spans="9:9" x14ac:dyDescent="0.2">
      <c r="I34179" s="137" t="s">
        <v>74</v>
      </c>
    </row>
    <row r="34180" spans="9:9" x14ac:dyDescent="0.2">
      <c r="I34180" s="137" t="s">
        <v>74</v>
      </c>
    </row>
    <row r="34181" spans="9:9" x14ac:dyDescent="0.2">
      <c r="I34181" s="137" t="s">
        <v>74</v>
      </c>
    </row>
    <row r="34182" spans="9:9" x14ac:dyDescent="0.2">
      <c r="I34182" s="137" t="s">
        <v>74</v>
      </c>
    </row>
    <row r="34183" spans="9:9" x14ac:dyDescent="0.2">
      <c r="I34183" s="137" t="s">
        <v>74</v>
      </c>
    </row>
    <row r="34184" spans="9:9" x14ac:dyDescent="0.2">
      <c r="I34184" s="137" t="s">
        <v>74</v>
      </c>
    </row>
    <row r="34185" spans="9:9" x14ac:dyDescent="0.2">
      <c r="I34185" s="137" t="s">
        <v>74</v>
      </c>
    </row>
    <row r="34186" spans="9:9" x14ac:dyDescent="0.2">
      <c r="I34186" s="137" t="s">
        <v>74</v>
      </c>
    </row>
    <row r="34187" spans="9:9" x14ac:dyDescent="0.2">
      <c r="I34187" s="137" t="s">
        <v>74</v>
      </c>
    </row>
    <row r="34188" spans="9:9" x14ac:dyDescent="0.2">
      <c r="I34188" s="137" t="s">
        <v>74</v>
      </c>
    </row>
    <row r="34189" spans="9:9" x14ac:dyDescent="0.2">
      <c r="I34189" s="137" t="s">
        <v>74</v>
      </c>
    </row>
    <row r="34190" spans="9:9" x14ac:dyDescent="0.2">
      <c r="I34190" s="137" t="s">
        <v>74</v>
      </c>
    </row>
    <row r="34191" spans="9:9" x14ac:dyDescent="0.2">
      <c r="I34191" s="137" t="s">
        <v>74</v>
      </c>
    </row>
    <row r="34192" spans="9:9" x14ac:dyDescent="0.2">
      <c r="I34192" s="137" t="s">
        <v>74</v>
      </c>
    </row>
    <row r="34193" spans="9:9" x14ac:dyDescent="0.2">
      <c r="I34193" s="137" t="s">
        <v>74</v>
      </c>
    </row>
    <row r="34194" spans="9:9" x14ac:dyDescent="0.2">
      <c r="I34194" s="137" t="s">
        <v>74</v>
      </c>
    </row>
    <row r="34195" spans="9:9" x14ac:dyDescent="0.2">
      <c r="I34195" s="137" t="s">
        <v>74</v>
      </c>
    </row>
    <row r="34196" spans="9:9" x14ac:dyDescent="0.2">
      <c r="I34196" s="137" t="s">
        <v>74</v>
      </c>
    </row>
    <row r="34197" spans="9:9" x14ac:dyDescent="0.2">
      <c r="I34197" s="137" t="s">
        <v>74</v>
      </c>
    </row>
    <row r="34198" spans="9:9" x14ac:dyDescent="0.2">
      <c r="I34198" s="137" t="s">
        <v>74</v>
      </c>
    </row>
    <row r="34199" spans="9:9" x14ac:dyDescent="0.2">
      <c r="I34199" s="137" t="s">
        <v>74</v>
      </c>
    </row>
    <row r="34200" spans="9:9" x14ac:dyDescent="0.2">
      <c r="I34200" s="137" t="s">
        <v>74</v>
      </c>
    </row>
    <row r="34201" spans="9:9" x14ac:dyDescent="0.2">
      <c r="I34201" s="137" t="s">
        <v>74</v>
      </c>
    </row>
    <row r="34202" spans="9:9" x14ac:dyDescent="0.2">
      <c r="I34202" s="137" t="s">
        <v>74</v>
      </c>
    </row>
    <row r="34203" spans="9:9" x14ac:dyDescent="0.2">
      <c r="I34203" s="137" t="s">
        <v>74</v>
      </c>
    </row>
    <row r="34204" spans="9:9" x14ac:dyDescent="0.2">
      <c r="I34204" s="137" t="s">
        <v>74</v>
      </c>
    </row>
    <row r="34205" spans="9:9" x14ac:dyDescent="0.2">
      <c r="I34205" s="137" t="s">
        <v>74</v>
      </c>
    </row>
    <row r="34206" spans="9:9" x14ac:dyDescent="0.2">
      <c r="I34206" s="137" t="s">
        <v>74</v>
      </c>
    </row>
    <row r="34207" spans="9:9" x14ac:dyDescent="0.2">
      <c r="I34207" s="137" t="s">
        <v>74</v>
      </c>
    </row>
    <row r="34208" spans="9:9" x14ac:dyDescent="0.2">
      <c r="I34208" s="137" t="s">
        <v>74</v>
      </c>
    </row>
    <row r="34209" spans="9:9" x14ac:dyDescent="0.2">
      <c r="I34209" s="137" t="s">
        <v>74</v>
      </c>
    </row>
    <row r="34210" spans="9:9" x14ac:dyDescent="0.2">
      <c r="I34210" s="137" t="s">
        <v>74</v>
      </c>
    </row>
    <row r="34211" spans="9:9" x14ac:dyDescent="0.2">
      <c r="I34211" s="137" t="s">
        <v>74</v>
      </c>
    </row>
    <row r="34212" spans="9:9" x14ac:dyDescent="0.2">
      <c r="I34212" s="137" t="s">
        <v>74</v>
      </c>
    </row>
    <row r="34213" spans="9:9" x14ac:dyDescent="0.2">
      <c r="I34213" s="137" t="s">
        <v>74</v>
      </c>
    </row>
    <row r="34214" spans="9:9" x14ac:dyDescent="0.2">
      <c r="I34214" s="137" t="s">
        <v>74</v>
      </c>
    </row>
    <row r="34215" spans="9:9" x14ac:dyDescent="0.2">
      <c r="I34215" s="137" t="s">
        <v>74</v>
      </c>
    </row>
    <row r="34216" spans="9:9" x14ac:dyDescent="0.2">
      <c r="I34216" s="137" t="s">
        <v>74</v>
      </c>
    </row>
    <row r="34217" spans="9:9" x14ac:dyDescent="0.2">
      <c r="I34217" s="137" t="s">
        <v>74</v>
      </c>
    </row>
    <row r="34218" spans="9:9" x14ac:dyDescent="0.2">
      <c r="I34218" s="137" t="s">
        <v>74</v>
      </c>
    </row>
    <row r="34219" spans="9:9" x14ac:dyDescent="0.2">
      <c r="I34219" s="137" t="s">
        <v>74</v>
      </c>
    </row>
    <row r="34220" spans="9:9" x14ac:dyDescent="0.2">
      <c r="I34220" s="137" t="s">
        <v>74</v>
      </c>
    </row>
    <row r="34221" spans="9:9" x14ac:dyDescent="0.2">
      <c r="I34221" s="137" t="s">
        <v>74</v>
      </c>
    </row>
    <row r="34222" spans="9:9" x14ac:dyDescent="0.2">
      <c r="I34222" s="137" t="s">
        <v>74</v>
      </c>
    </row>
    <row r="34223" spans="9:9" x14ac:dyDescent="0.2">
      <c r="I34223" s="137" t="s">
        <v>74</v>
      </c>
    </row>
    <row r="34224" spans="9:9" x14ac:dyDescent="0.2">
      <c r="I34224" s="137" t="s">
        <v>74</v>
      </c>
    </row>
    <row r="34225" spans="9:9" x14ac:dyDescent="0.2">
      <c r="I34225" s="137" t="s">
        <v>74</v>
      </c>
    </row>
    <row r="34226" spans="9:9" x14ac:dyDescent="0.2">
      <c r="I34226" s="137" t="s">
        <v>74</v>
      </c>
    </row>
    <row r="34227" spans="9:9" x14ac:dyDescent="0.2">
      <c r="I34227" s="137" t="s">
        <v>74</v>
      </c>
    </row>
    <row r="34228" spans="9:9" x14ac:dyDescent="0.2">
      <c r="I34228" s="137" t="s">
        <v>74</v>
      </c>
    </row>
    <row r="34229" spans="9:9" x14ac:dyDescent="0.2">
      <c r="I34229" s="137" t="s">
        <v>74</v>
      </c>
    </row>
    <row r="34230" spans="9:9" x14ac:dyDescent="0.2">
      <c r="I34230" s="137" t="s">
        <v>74</v>
      </c>
    </row>
    <row r="34231" spans="9:9" x14ac:dyDescent="0.2">
      <c r="I34231" s="137" t="s">
        <v>74</v>
      </c>
    </row>
    <row r="34232" spans="9:9" x14ac:dyDescent="0.2">
      <c r="I34232" s="137" t="s">
        <v>74</v>
      </c>
    </row>
    <row r="34233" spans="9:9" x14ac:dyDescent="0.2">
      <c r="I34233" s="137" t="s">
        <v>74</v>
      </c>
    </row>
    <row r="34234" spans="9:9" x14ac:dyDescent="0.2">
      <c r="I34234" s="137" t="s">
        <v>74</v>
      </c>
    </row>
    <row r="34235" spans="9:9" x14ac:dyDescent="0.2">
      <c r="I34235" s="137" t="s">
        <v>74</v>
      </c>
    </row>
    <row r="34236" spans="9:9" x14ac:dyDescent="0.2">
      <c r="I34236" s="137" t="s">
        <v>74</v>
      </c>
    </row>
    <row r="34237" spans="9:9" x14ac:dyDescent="0.2">
      <c r="I34237" s="137" t="s">
        <v>74</v>
      </c>
    </row>
    <row r="34238" spans="9:9" x14ac:dyDescent="0.2">
      <c r="I34238" s="137" t="s">
        <v>74</v>
      </c>
    </row>
    <row r="34239" spans="9:9" x14ac:dyDescent="0.2">
      <c r="I34239" s="137" t="s">
        <v>74</v>
      </c>
    </row>
    <row r="34240" spans="9:9" x14ac:dyDescent="0.2">
      <c r="I34240" s="137" t="s">
        <v>74</v>
      </c>
    </row>
    <row r="34241" spans="9:9" x14ac:dyDescent="0.2">
      <c r="I34241" s="137" t="s">
        <v>74</v>
      </c>
    </row>
    <row r="34242" spans="9:9" x14ac:dyDescent="0.2">
      <c r="I34242" s="137" t="s">
        <v>74</v>
      </c>
    </row>
    <row r="34243" spans="9:9" x14ac:dyDescent="0.2">
      <c r="I34243" s="137" t="s">
        <v>74</v>
      </c>
    </row>
    <row r="34244" spans="9:9" x14ac:dyDescent="0.2">
      <c r="I34244" s="137" t="s">
        <v>74</v>
      </c>
    </row>
    <row r="34245" spans="9:9" x14ac:dyDescent="0.2">
      <c r="I34245" s="137" t="s">
        <v>74</v>
      </c>
    </row>
    <row r="34246" spans="9:9" x14ac:dyDescent="0.2">
      <c r="I34246" s="137" t="s">
        <v>74</v>
      </c>
    </row>
    <row r="34247" spans="9:9" x14ac:dyDescent="0.2">
      <c r="I34247" s="137" t="s">
        <v>74</v>
      </c>
    </row>
    <row r="34248" spans="9:9" x14ac:dyDescent="0.2">
      <c r="I34248" s="137" t="s">
        <v>74</v>
      </c>
    </row>
    <row r="34249" spans="9:9" x14ac:dyDescent="0.2">
      <c r="I34249" s="137" t="s">
        <v>74</v>
      </c>
    </row>
    <row r="34250" spans="9:9" x14ac:dyDescent="0.2">
      <c r="I34250" s="137" t="s">
        <v>74</v>
      </c>
    </row>
    <row r="34251" spans="9:9" x14ac:dyDescent="0.2">
      <c r="I34251" s="137" t="s">
        <v>74</v>
      </c>
    </row>
    <row r="34252" spans="9:9" x14ac:dyDescent="0.2">
      <c r="I34252" s="137" t="s">
        <v>74</v>
      </c>
    </row>
    <row r="34253" spans="9:9" x14ac:dyDescent="0.2">
      <c r="I34253" s="137" t="s">
        <v>74</v>
      </c>
    </row>
    <row r="34254" spans="9:9" x14ac:dyDescent="0.2">
      <c r="I34254" s="137" t="s">
        <v>74</v>
      </c>
    </row>
    <row r="34255" spans="9:9" x14ac:dyDescent="0.2">
      <c r="I34255" s="137" t="s">
        <v>74</v>
      </c>
    </row>
    <row r="34256" spans="9:9" x14ac:dyDescent="0.2">
      <c r="I34256" s="137" t="s">
        <v>74</v>
      </c>
    </row>
    <row r="34257" spans="9:9" x14ac:dyDescent="0.2">
      <c r="I34257" s="137" t="s">
        <v>74</v>
      </c>
    </row>
    <row r="34258" spans="9:9" x14ac:dyDescent="0.2">
      <c r="I34258" s="137" t="s">
        <v>74</v>
      </c>
    </row>
    <row r="34259" spans="9:9" x14ac:dyDescent="0.2">
      <c r="I34259" s="137" t="s">
        <v>74</v>
      </c>
    </row>
    <row r="34260" spans="9:9" x14ac:dyDescent="0.2">
      <c r="I34260" s="137" t="s">
        <v>74</v>
      </c>
    </row>
    <row r="34261" spans="9:9" x14ac:dyDescent="0.2">
      <c r="I34261" s="137" t="s">
        <v>74</v>
      </c>
    </row>
    <row r="34262" spans="9:9" x14ac:dyDescent="0.2">
      <c r="I34262" s="137" t="s">
        <v>74</v>
      </c>
    </row>
    <row r="34263" spans="9:9" x14ac:dyDescent="0.2">
      <c r="I34263" s="137" t="s">
        <v>74</v>
      </c>
    </row>
    <row r="34264" spans="9:9" x14ac:dyDescent="0.2">
      <c r="I34264" s="137" t="s">
        <v>74</v>
      </c>
    </row>
    <row r="34265" spans="9:9" x14ac:dyDescent="0.2">
      <c r="I34265" s="137" t="s">
        <v>74</v>
      </c>
    </row>
    <row r="34266" spans="9:9" x14ac:dyDescent="0.2">
      <c r="I34266" s="137" t="s">
        <v>74</v>
      </c>
    </row>
    <row r="34267" spans="9:9" x14ac:dyDescent="0.2">
      <c r="I34267" s="137" t="s">
        <v>74</v>
      </c>
    </row>
    <row r="34268" spans="9:9" x14ac:dyDescent="0.2">
      <c r="I34268" s="137" t="s">
        <v>74</v>
      </c>
    </row>
    <row r="34269" spans="9:9" x14ac:dyDescent="0.2">
      <c r="I34269" s="137" t="s">
        <v>74</v>
      </c>
    </row>
    <row r="34270" spans="9:9" x14ac:dyDescent="0.2">
      <c r="I34270" s="137" t="s">
        <v>74</v>
      </c>
    </row>
    <row r="34271" spans="9:9" x14ac:dyDescent="0.2">
      <c r="I34271" s="137" t="s">
        <v>74</v>
      </c>
    </row>
    <row r="34272" spans="9:9" x14ac:dyDescent="0.2">
      <c r="I34272" s="137" t="s">
        <v>74</v>
      </c>
    </row>
    <row r="34273" spans="9:9" x14ac:dyDescent="0.2">
      <c r="I34273" s="137" t="s">
        <v>74</v>
      </c>
    </row>
    <row r="34274" spans="9:9" x14ac:dyDescent="0.2">
      <c r="I34274" s="137" t="s">
        <v>74</v>
      </c>
    </row>
    <row r="34275" spans="9:9" x14ac:dyDescent="0.2">
      <c r="I34275" s="137" t="s">
        <v>74</v>
      </c>
    </row>
    <row r="34276" spans="9:9" x14ac:dyDescent="0.2">
      <c r="I34276" s="137" t="s">
        <v>74</v>
      </c>
    </row>
    <row r="34277" spans="9:9" x14ac:dyDescent="0.2">
      <c r="I34277" s="137" t="s">
        <v>74</v>
      </c>
    </row>
    <row r="34278" spans="9:9" x14ac:dyDescent="0.2">
      <c r="I34278" s="137" t="s">
        <v>74</v>
      </c>
    </row>
    <row r="34279" spans="9:9" x14ac:dyDescent="0.2">
      <c r="I34279" s="137" t="s">
        <v>74</v>
      </c>
    </row>
    <row r="34280" spans="9:9" x14ac:dyDescent="0.2">
      <c r="I34280" s="137" t="s">
        <v>74</v>
      </c>
    </row>
    <row r="34281" spans="9:9" x14ac:dyDescent="0.2">
      <c r="I34281" s="137" t="s">
        <v>74</v>
      </c>
    </row>
    <row r="34282" spans="9:9" x14ac:dyDescent="0.2">
      <c r="I34282" s="137" t="s">
        <v>74</v>
      </c>
    </row>
    <row r="34283" spans="9:9" x14ac:dyDescent="0.2">
      <c r="I34283" s="137" t="s">
        <v>74</v>
      </c>
    </row>
    <row r="34284" spans="9:9" x14ac:dyDescent="0.2">
      <c r="I34284" s="137" t="s">
        <v>74</v>
      </c>
    </row>
    <row r="34285" spans="9:9" x14ac:dyDescent="0.2">
      <c r="I34285" s="137" t="s">
        <v>74</v>
      </c>
    </row>
    <row r="34286" spans="9:9" x14ac:dyDescent="0.2">
      <c r="I34286" s="137" t="s">
        <v>74</v>
      </c>
    </row>
    <row r="34287" spans="9:9" x14ac:dyDescent="0.2">
      <c r="I34287" s="137" t="s">
        <v>74</v>
      </c>
    </row>
    <row r="34288" spans="9:9" x14ac:dyDescent="0.2">
      <c r="I34288" s="137" t="s">
        <v>74</v>
      </c>
    </row>
    <row r="34289" spans="9:9" x14ac:dyDescent="0.2">
      <c r="I34289" s="137" t="s">
        <v>74</v>
      </c>
    </row>
    <row r="34290" spans="9:9" x14ac:dyDescent="0.2">
      <c r="I34290" s="137" t="s">
        <v>74</v>
      </c>
    </row>
    <row r="34291" spans="9:9" x14ac:dyDescent="0.2">
      <c r="I34291" s="137" t="s">
        <v>74</v>
      </c>
    </row>
    <row r="34292" spans="9:9" x14ac:dyDescent="0.2">
      <c r="I34292" s="137" t="s">
        <v>74</v>
      </c>
    </row>
    <row r="34293" spans="9:9" x14ac:dyDescent="0.2">
      <c r="I34293" s="137" t="s">
        <v>74</v>
      </c>
    </row>
    <row r="34294" spans="9:9" x14ac:dyDescent="0.2">
      <c r="I34294" s="137" t="s">
        <v>74</v>
      </c>
    </row>
    <row r="34295" spans="9:9" x14ac:dyDescent="0.2">
      <c r="I34295" s="137" t="s">
        <v>74</v>
      </c>
    </row>
    <row r="34296" spans="9:9" x14ac:dyDescent="0.2">
      <c r="I34296" s="137" t="s">
        <v>74</v>
      </c>
    </row>
    <row r="34297" spans="9:9" x14ac:dyDescent="0.2">
      <c r="I34297" s="137" t="s">
        <v>74</v>
      </c>
    </row>
    <row r="34298" spans="9:9" x14ac:dyDescent="0.2">
      <c r="I34298" s="137" t="s">
        <v>74</v>
      </c>
    </row>
    <row r="34299" spans="9:9" x14ac:dyDescent="0.2">
      <c r="I34299" s="137" t="s">
        <v>74</v>
      </c>
    </row>
    <row r="34300" spans="9:9" x14ac:dyDescent="0.2">
      <c r="I34300" s="137" t="s">
        <v>74</v>
      </c>
    </row>
    <row r="34301" spans="9:9" x14ac:dyDescent="0.2">
      <c r="I34301" s="137" t="s">
        <v>74</v>
      </c>
    </row>
    <row r="34302" spans="9:9" x14ac:dyDescent="0.2">
      <c r="I34302" s="137" t="s">
        <v>74</v>
      </c>
    </row>
    <row r="34303" spans="9:9" x14ac:dyDescent="0.2">
      <c r="I34303" s="137" t="s">
        <v>74</v>
      </c>
    </row>
    <row r="34304" spans="9:9" x14ac:dyDescent="0.2">
      <c r="I34304" s="137" t="s">
        <v>74</v>
      </c>
    </row>
    <row r="34305" spans="9:9" x14ac:dyDescent="0.2">
      <c r="I34305" s="137" t="s">
        <v>74</v>
      </c>
    </row>
    <row r="34306" spans="9:9" x14ac:dyDescent="0.2">
      <c r="I34306" s="137" t="s">
        <v>74</v>
      </c>
    </row>
    <row r="34307" spans="9:9" x14ac:dyDescent="0.2">
      <c r="I34307" s="137" t="s">
        <v>74</v>
      </c>
    </row>
    <row r="34308" spans="9:9" x14ac:dyDescent="0.2">
      <c r="I34308" s="137" t="s">
        <v>74</v>
      </c>
    </row>
    <row r="34309" spans="9:9" x14ac:dyDescent="0.2">
      <c r="I34309" s="137" t="s">
        <v>74</v>
      </c>
    </row>
    <row r="34310" spans="9:9" x14ac:dyDescent="0.2">
      <c r="I34310" s="137" t="s">
        <v>74</v>
      </c>
    </row>
    <row r="34311" spans="9:9" x14ac:dyDescent="0.2">
      <c r="I34311" s="137" t="s">
        <v>74</v>
      </c>
    </row>
    <row r="34312" spans="9:9" x14ac:dyDescent="0.2">
      <c r="I34312" s="137" t="s">
        <v>74</v>
      </c>
    </row>
    <row r="34313" spans="9:9" x14ac:dyDescent="0.2">
      <c r="I34313" s="137" t="s">
        <v>74</v>
      </c>
    </row>
    <row r="34314" spans="9:9" x14ac:dyDescent="0.2">
      <c r="I34314" s="137" t="s">
        <v>74</v>
      </c>
    </row>
    <row r="34315" spans="9:9" x14ac:dyDescent="0.2">
      <c r="I34315" s="137" t="s">
        <v>74</v>
      </c>
    </row>
    <row r="34316" spans="9:9" x14ac:dyDescent="0.2">
      <c r="I34316" s="137" t="s">
        <v>74</v>
      </c>
    </row>
    <row r="34317" spans="9:9" x14ac:dyDescent="0.2">
      <c r="I34317" s="137" t="s">
        <v>74</v>
      </c>
    </row>
    <row r="34318" spans="9:9" x14ac:dyDescent="0.2">
      <c r="I34318" s="137" t="s">
        <v>74</v>
      </c>
    </row>
    <row r="34319" spans="9:9" x14ac:dyDescent="0.2">
      <c r="I34319" s="137" t="s">
        <v>74</v>
      </c>
    </row>
    <row r="34320" spans="9:9" x14ac:dyDescent="0.2">
      <c r="I34320" s="137" t="s">
        <v>74</v>
      </c>
    </row>
    <row r="34321" spans="9:9" x14ac:dyDescent="0.2">
      <c r="I34321" s="137" t="s">
        <v>74</v>
      </c>
    </row>
    <row r="34322" spans="9:9" x14ac:dyDescent="0.2">
      <c r="I34322" s="137" t="s">
        <v>74</v>
      </c>
    </row>
    <row r="34323" spans="9:9" x14ac:dyDescent="0.2">
      <c r="I34323" s="137" t="s">
        <v>74</v>
      </c>
    </row>
    <row r="34324" spans="9:9" x14ac:dyDescent="0.2">
      <c r="I34324" s="137" t="s">
        <v>74</v>
      </c>
    </row>
    <row r="34325" spans="9:9" x14ac:dyDescent="0.2">
      <c r="I34325" s="137" t="s">
        <v>74</v>
      </c>
    </row>
    <row r="34326" spans="9:9" x14ac:dyDescent="0.2">
      <c r="I34326" s="137" t="s">
        <v>74</v>
      </c>
    </row>
    <row r="34327" spans="9:9" x14ac:dyDescent="0.2">
      <c r="I34327" s="137" t="s">
        <v>74</v>
      </c>
    </row>
    <row r="34328" spans="9:9" x14ac:dyDescent="0.2">
      <c r="I34328" s="137" t="s">
        <v>74</v>
      </c>
    </row>
    <row r="34329" spans="9:9" x14ac:dyDescent="0.2">
      <c r="I34329" s="137" t="s">
        <v>74</v>
      </c>
    </row>
    <row r="34330" spans="9:9" x14ac:dyDescent="0.2">
      <c r="I34330" s="137" t="s">
        <v>74</v>
      </c>
    </row>
    <row r="34331" spans="9:9" x14ac:dyDescent="0.2">
      <c r="I34331" s="137" t="s">
        <v>74</v>
      </c>
    </row>
    <row r="34332" spans="9:9" x14ac:dyDescent="0.2">
      <c r="I34332" s="137" t="s">
        <v>74</v>
      </c>
    </row>
    <row r="34333" spans="9:9" x14ac:dyDescent="0.2">
      <c r="I34333" s="137" t="s">
        <v>74</v>
      </c>
    </row>
    <row r="34334" spans="9:9" x14ac:dyDescent="0.2">
      <c r="I34334" s="137" t="s">
        <v>74</v>
      </c>
    </row>
    <row r="34335" spans="9:9" x14ac:dyDescent="0.2">
      <c r="I34335" s="137" t="s">
        <v>74</v>
      </c>
    </row>
    <row r="34336" spans="9:9" x14ac:dyDescent="0.2">
      <c r="I34336" s="137" t="s">
        <v>74</v>
      </c>
    </row>
    <row r="34337" spans="9:9" x14ac:dyDescent="0.2">
      <c r="I34337" s="137" t="s">
        <v>74</v>
      </c>
    </row>
    <row r="34338" spans="9:9" x14ac:dyDescent="0.2">
      <c r="I34338" s="137" t="s">
        <v>74</v>
      </c>
    </row>
    <row r="34339" spans="9:9" x14ac:dyDescent="0.2">
      <c r="I34339" s="137" t="s">
        <v>74</v>
      </c>
    </row>
    <row r="34340" spans="9:9" x14ac:dyDescent="0.2">
      <c r="I34340" s="137" t="s">
        <v>74</v>
      </c>
    </row>
    <row r="34341" spans="9:9" x14ac:dyDescent="0.2">
      <c r="I34341" s="137" t="s">
        <v>74</v>
      </c>
    </row>
    <row r="34342" spans="9:9" x14ac:dyDescent="0.2">
      <c r="I34342" s="137" t="s">
        <v>74</v>
      </c>
    </row>
    <row r="34343" spans="9:9" x14ac:dyDescent="0.2">
      <c r="I34343" s="137" t="s">
        <v>74</v>
      </c>
    </row>
    <row r="34344" spans="9:9" x14ac:dyDescent="0.2">
      <c r="I34344" s="137" t="s">
        <v>74</v>
      </c>
    </row>
    <row r="34345" spans="9:9" x14ac:dyDescent="0.2">
      <c r="I34345" s="137" t="s">
        <v>74</v>
      </c>
    </row>
    <row r="34346" spans="9:9" x14ac:dyDescent="0.2">
      <c r="I34346" s="137" t="s">
        <v>74</v>
      </c>
    </row>
    <row r="34347" spans="9:9" x14ac:dyDescent="0.2">
      <c r="I34347" s="137" t="s">
        <v>74</v>
      </c>
    </row>
    <row r="34348" spans="9:9" x14ac:dyDescent="0.2">
      <c r="I34348" s="137" t="s">
        <v>74</v>
      </c>
    </row>
    <row r="34349" spans="9:9" x14ac:dyDescent="0.2">
      <c r="I34349" s="137" t="s">
        <v>74</v>
      </c>
    </row>
    <row r="34350" spans="9:9" x14ac:dyDescent="0.2">
      <c r="I34350" s="137" t="s">
        <v>74</v>
      </c>
    </row>
    <row r="34351" spans="9:9" x14ac:dyDescent="0.2">
      <c r="I34351" s="137" t="s">
        <v>74</v>
      </c>
    </row>
    <row r="34352" spans="9:9" x14ac:dyDescent="0.2">
      <c r="I34352" s="137" t="s">
        <v>74</v>
      </c>
    </row>
    <row r="34353" spans="9:9" x14ac:dyDescent="0.2">
      <c r="I34353" s="137" t="s">
        <v>74</v>
      </c>
    </row>
    <row r="34354" spans="9:9" x14ac:dyDescent="0.2">
      <c r="I34354" s="137" t="s">
        <v>74</v>
      </c>
    </row>
    <row r="34355" spans="9:9" x14ac:dyDescent="0.2">
      <c r="I34355" s="137" t="s">
        <v>74</v>
      </c>
    </row>
    <row r="34356" spans="9:9" x14ac:dyDescent="0.2">
      <c r="I34356" s="137" t="s">
        <v>74</v>
      </c>
    </row>
    <row r="34357" spans="9:9" x14ac:dyDescent="0.2">
      <c r="I34357" s="137" t="s">
        <v>74</v>
      </c>
    </row>
    <row r="34358" spans="9:9" x14ac:dyDescent="0.2">
      <c r="I34358" s="137" t="s">
        <v>74</v>
      </c>
    </row>
    <row r="34359" spans="9:9" x14ac:dyDescent="0.2">
      <c r="I34359" s="137" t="s">
        <v>74</v>
      </c>
    </row>
    <row r="34360" spans="9:9" x14ac:dyDescent="0.2">
      <c r="I34360" s="137" t="s">
        <v>74</v>
      </c>
    </row>
    <row r="34361" spans="9:9" x14ac:dyDescent="0.2">
      <c r="I34361" s="137" t="s">
        <v>74</v>
      </c>
    </row>
    <row r="34362" spans="9:9" x14ac:dyDescent="0.2">
      <c r="I34362" s="137" t="s">
        <v>74</v>
      </c>
    </row>
    <row r="34363" spans="9:9" x14ac:dyDescent="0.2">
      <c r="I34363" s="137" t="s">
        <v>74</v>
      </c>
    </row>
    <row r="34364" spans="9:9" x14ac:dyDescent="0.2">
      <c r="I34364" s="137" t="s">
        <v>74</v>
      </c>
    </row>
    <row r="34365" spans="9:9" x14ac:dyDescent="0.2">
      <c r="I34365" s="137" t="s">
        <v>74</v>
      </c>
    </row>
    <row r="34366" spans="9:9" x14ac:dyDescent="0.2">
      <c r="I34366" s="137" t="s">
        <v>74</v>
      </c>
    </row>
    <row r="34367" spans="9:9" x14ac:dyDescent="0.2">
      <c r="I34367" s="137" t="s">
        <v>74</v>
      </c>
    </row>
    <row r="34368" spans="9:9" x14ac:dyDescent="0.2">
      <c r="I34368" s="137" t="s">
        <v>74</v>
      </c>
    </row>
    <row r="34369" spans="9:9" x14ac:dyDescent="0.2">
      <c r="I34369" s="137" t="s">
        <v>74</v>
      </c>
    </row>
    <row r="34370" spans="9:9" x14ac:dyDescent="0.2">
      <c r="I34370" s="137" t="s">
        <v>74</v>
      </c>
    </row>
    <row r="34371" spans="9:9" x14ac:dyDescent="0.2">
      <c r="I34371" s="137" t="s">
        <v>74</v>
      </c>
    </row>
    <row r="34372" spans="9:9" x14ac:dyDescent="0.2">
      <c r="I34372" s="137" t="s">
        <v>74</v>
      </c>
    </row>
    <row r="34373" spans="9:9" x14ac:dyDescent="0.2">
      <c r="I34373" s="137" t="s">
        <v>74</v>
      </c>
    </row>
    <row r="34374" spans="9:9" x14ac:dyDescent="0.2">
      <c r="I34374" s="137" t="s">
        <v>74</v>
      </c>
    </row>
    <row r="34375" spans="9:9" x14ac:dyDescent="0.2">
      <c r="I34375" s="137" t="s">
        <v>74</v>
      </c>
    </row>
    <row r="34376" spans="9:9" x14ac:dyDescent="0.2">
      <c r="I34376" s="137" t="s">
        <v>74</v>
      </c>
    </row>
    <row r="34377" spans="9:9" x14ac:dyDescent="0.2">
      <c r="I34377" s="137" t="s">
        <v>74</v>
      </c>
    </row>
    <row r="34378" spans="9:9" x14ac:dyDescent="0.2">
      <c r="I34378" s="137" t="s">
        <v>74</v>
      </c>
    </row>
    <row r="34379" spans="9:9" x14ac:dyDescent="0.2">
      <c r="I34379" s="137" t="s">
        <v>74</v>
      </c>
    </row>
    <row r="34380" spans="9:9" x14ac:dyDescent="0.2">
      <c r="I34380" s="137" t="s">
        <v>74</v>
      </c>
    </row>
    <row r="34381" spans="9:9" x14ac:dyDescent="0.2">
      <c r="I34381" s="137" t="s">
        <v>74</v>
      </c>
    </row>
    <row r="34382" spans="9:9" x14ac:dyDescent="0.2">
      <c r="I34382" s="137" t="s">
        <v>74</v>
      </c>
    </row>
    <row r="34383" spans="9:9" x14ac:dyDescent="0.2">
      <c r="I34383" s="137" t="s">
        <v>74</v>
      </c>
    </row>
    <row r="34384" spans="9:9" x14ac:dyDescent="0.2">
      <c r="I34384" s="137" t="s">
        <v>74</v>
      </c>
    </row>
    <row r="34385" spans="9:9" x14ac:dyDescent="0.2">
      <c r="I34385" s="137" t="s">
        <v>74</v>
      </c>
    </row>
    <row r="34386" spans="9:9" x14ac:dyDescent="0.2">
      <c r="I34386" s="137" t="s">
        <v>74</v>
      </c>
    </row>
    <row r="34387" spans="9:9" x14ac:dyDescent="0.2">
      <c r="I34387" s="137" t="s">
        <v>74</v>
      </c>
    </row>
    <row r="34388" spans="9:9" x14ac:dyDescent="0.2">
      <c r="I34388" s="137" t="s">
        <v>74</v>
      </c>
    </row>
    <row r="34389" spans="9:9" x14ac:dyDescent="0.2">
      <c r="I34389" s="137" t="s">
        <v>74</v>
      </c>
    </row>
    <row r="34390" spans="9:9" x14ac:dyDescent="0.2">
      <c r="I34390" s="137" t="s">
        <v>74</v>
      </c>
    </row>
    <row r="34391" spans="9:9" x14ac:dyDescent="0.2">
      <c r="I34391" s="137" t="s">
        <v>74</v>
      </c>
    </row>
    <row r="34392" spans="9:9" x14ac:dyDescent="0.2">
      <c r="I34392" s="137" t="s">
        <v>74</v>
      </c>
    </row>
    <row r="34393" spans="9:9" x14ac:dyDescent="0.2">
      <c r="I34393" s="137" t="s">
        <v>74</v>
      </c>
    </row>
    <row r="34394" spans="9:9" x14ac:dyDescent="0.2">
      <c r="I34394" s="137" t="s">
        <v>74</v>
      </c>
    </row>
    <row r="34395" spans="9:9" x14ac:dyDescent="0.2">
      <c r="I34395" s="137" t="s">
        <v>74</v>
      </c>
    </row>
    <row r="34396" spans="9:9" x14ac:dyDescent="0.2">
      <c r="I34396" s="137" t="s">
        <v>74</v>
      </c>
    </row>
    <row r="34397" spans="9:9" x14ac:dyDescent="0.2">
      <c r="I34397" s="137" t="s">
        <v>74</v>
      </c>
    </row>
    <row r="34398" spans="9:9" x14ac:dyDescent="0.2">
      <c r="I34398" s="137" t="s">
        <v>74</v>
      </c>
    </row>
    <row r="34399" spans="9:9" x14ac:dyDescent="0.2">
      <c r="I34399" s="137" t="s">
        <v>74</v>
      </c>
    </row>
    <row r="34400" spans="9:9" x14ac:dyDescent="0.2">
      <c r="I34400" s="137" t="s">
        <v>74</v>
      </c>
    </row>
    <row r="34401" spans="9:9" x14ac:dyDescent="0.2">
      <c r="I34401" s="137" t="s">
        <v>74</v>
      </c>
    </row>
    <row r="34402" spans="9:9" x14ac:dyDescent="0.2">
      <c r="I34402" s="137" t="s">
        <v>74</v>
      </c>
    </row>
    <row r="34403" spans="9:9" x14ac:dyDescent="0.2">
      <c r="I34403" s="137" t="s">
        <v>74</v>
      </c>
    </row>
    <row r="34404" spans="9:9" x14ac:dyDescent="0.2">
      <c r="I34404" s="137" t="s">
        <v>74</v>
      </c>
    </row>
    <row r="34405" spans="9:9" x14ac:dyDescent="0.2">
      <c r="I34405" s="137" t="s">
        <v>74</v>
      </c>
    </row>
    <row r="34406" spans="9:9" x14ac:dyDescent="0.2">
      <c r="I34406" s="137" t="s">
        <v>74</v>
      </c>
    </row>
    <row r="34407" spans="9:9" x14ac:dyDescent="0.2">
      <c r="I34407" s="137" t="s">
        <v>74</v>
      </c>
    </row>
    <row r="34408" spans="9:9" x14ac:dyDescent="0.2">
      <c r="I34408" s="137" t="s">
        <v>74</v>
      </c>
    </row>
    <row r="34409" spans="9:9" x14ac:dyDescent="0.2">
      <c r="I34409" s="137" t="s">
        <v>74</v>
      </c>
    </row>
    <row r="34410" spans="9:9" x14ac:dyDescent="0.2">
      <c r="I34410" s="137" t="s">
        <v>74</v>
      </c>
    </row>
    <row r="34411" spans="9:9" x14ac:dyDescent="0.2">
      <c r="I34411" s="137" t="s">
        <v>74</v>
      </c>
    </row>
    <row r="34412" spans="9:9" x14ac:dyDescent="0.2">
      <c r="I34412" s="137" t="s">
        <v>74</v>
      </c>
    </row>
    <row r="34413" spans="9:9" x14ac:dyDescent="0.2">
      <c r="I34413" s="137" t="s">
        <v>74</v>
      </c>
    </row>
    <row r="34414" spans="9:9" x14ac:dyDescent="0.2">
      <c r="I34414" s="137" t="s">
        <v>74</v>
      </c>
    </row>
    <row r="34415" spans="9:9" x14ac:dyDescent="0.2">
      <c r="I34415" s="137" t="s">
        <v>74</v>
      </c>
    </row>
    <row r="34416" spans="9:9" x14ac:dyDescent="0.2">
      <c r="I34416" s="137" t="s">
        <v>74</v>
      </c>
    </row>
    <row r="34417" spans="9:9" x14ac:dyDescent="0.2">
      <c r="I34417" s="137" t="s">
        <v>74</v>
      </c>
    </row>
    <row r="34418" spans="9:9" x14ac:dyDescent="0.2">
      <c r="I34418" s="137" t="s">
        <v>74</v>
      </c>
    </row>
    <row r="34419" spans="9:9" x14ac:dyDescent="0.2">
      <c r="I34419" s="137" t="s">
        <v>74</v>
      </c>
    </row>
    <row r="34420" spans="9:9" x14ac:dyDescent="0.2">
      <c r="I34420" s="137" t="s">
        <v>74</v>
      </c>
    </row>
    <row r="34421" spans="9:9" x14ac:dyDescent="0.2">
      <c r="I34421" s="137" t="s">
        <v>74</v>
      </c>
    </row>
    <row r="34422" spans="9:9" x14ac:dyDescent="0.2">
      <c r="I34422" s="137" t="s">
        <v>74</v>
      </c>
    </row>
    <row r="34423" spans="9:9" x14ac:dyDescent="0.2">
      <c r="I34423" s="137" t="s">
        <v>74</v>
      </c>
    </row>
    <row r="34424" spans="9:9" x14ac:dyDescent="0.2">
      <c r="I34424" s="137" t="s">
        <v>74</v>
      </c>
    </row>
    <row r="34425" spans="9:9" x14ac:dyDescent="0.2">
      <c r="I34425" s="137" t="s">
        <v>74</v>
      </c>
    </row>
    <row r="34426" spans="9:9" x14ac:dyDescent="0.2">
      <c r="I34426" s="137" t="s">
        <v>74</v>
      </c>
    </row>
    <row r="34427" spans="9:9" x14ac:dyDescent="0.2">
      <c r="I34427" s="137" t="s">
        <v>74</v>
      </c>
    </row>
    <row r="34428" spans="9:9" x14ac:dyDescent="0.2">
      <c r="I34428" s="137" t="s">
        <v>74</v>
      </c>
    </row>
    <row r="34429" spans="9:9" x14ac:dyDescent="0.2">
      <c r="I34429" s="137" t="s">
        <v>74</v>
      </c>
    </row>
    <row r="34430" spans="9:9" x14ac:dyDescent="0.2">
      <c r="I34430" s="137" t="s">
        <v>74</v>
      </c>
    </row>
    <row r="34431" spans="9:9" x14ac:dyDescent="0.2">
      <c r="I34431" s="137" t="s">
        <v>74</v>
      </c>
    </row>
    <row r="34432" spans="9:9" x14ac:dyDescent="0.2">
      <c r="I34432" s="137" t="s">
        <v>74</v>
      </c>
    </row>
    <row r="34433" spans="9:9" x14ac:dyDescent="0.2">
      <c r="I34433" s="137" t="s">
        <v>74</v>
      </c>
    </row>
    <row r="34434" spans="9:9" x14ac:dyDescent="0.2">
      <c r="I34434" s="137" t="s">
        <v>74</v>
      </c>
    </row>
    <row r="34435" spans="9:9" x14ac:dyDescent="0.2">
      <c r="I34435" s="137" t="s">
        <v>74</v>
      </c>
    </row>
    <row r="34436" spans="9:9" x14ac:dyDescent="0.2">
      <c r="I34436" s="137" t="s">
        <v>74</v>
      </c>
    </row>
    <row r="34437" spans="9:9" x14ac:dyDescent="0.2">
      <c r="I34437" s="137" t="s">
        <v>74</v>
      </c>
    </row>
    <row r="34438" spans="9:9" x14ac:dyDescent="0.2">
      <c r="I34438" s="137" t="s">
        <v>74</v>
      </c>
    </row>
    <row r="34439" spans="9:9" x14ac:dyDescent="0.2">
      <c r="I34439" s="137" t="s">
        <v>74</v>
      </c>
    </row>
    <row r="34440" spans="9:9" x14ac:dyDescent="0.2">
      <c r="I34440" s="137" t="s">
        <v>74</v>
      </c>
    </row>
    <row r="34441" spans="9:9" x14ac:dyDescent="0.2">
      <c r="I34441" s="137" t="s">
        <v>74</v>
      </c>
    </row>
    <row r="34442" spans="9:9" x14ac:dyDescent="0.2">
      <c r="I34442" s="137" t="s">
        <v>74</v>
      </c>
    </row>
    <row r="34443" spans="9:9" x14ac:dyDescent="0.2">
      <c r="I34443" s="137" t="s">
        <v>74</v>
      </c>
    </row>
    <row r="34444" spans="9:9" x14ac:dyDescent="0.2">
      <c r="I34444" s="137" t="s">
        <v>74</v>
      </c>
    </row>
    <row r="34445" spans="9:9" x14ac:dyDescent="0.2">
      <c r="I34445" s="137" t="s">
        <v>74</v>
      </c>
    </row>
    <row r="34446" spans="9:9" x14ac:dyDescent="0.2">
      <c r="I34446" s="137" t="s">
        <v>74</v>
      </c>
    </row>
    <row r="34447" spans="9:9" x14ac:dyDescent="0.2">
      <c r="I34447" s="137" t="s">
        <v>74</v>
      </c>
    </row>
    <row r="34448" spans="9:9" x14ac:dyDescent="0.2">
      <c r="I34448" s="137" t="s">
        <v>74</v>
      </c>
    </row>
    <row r="34449" spans="9:9" x14ac:dyDescent="0.2">
      <c r="I34449" s="137" t="s">
        <v>74</v>
      </c>
    </row>
    <row r="34450" spans="9:9" x14ac:dyDescent="0.2">
      <c r="I34450" s="137" t="s">
        <v>74</v>
      </c>
    </row>
    <row r="34451" spans="9:9" x14ac:dyDescent="0.2">
      <c r="I34451" s="137" t="s">
        <v>74</v>
      </c>
    </row>
    <row r="34452" spans="9:9" x14ac:dyDescent="0.2">
      <c r="I34452" s="137" t="s">
        <v>74</v>
      </c>
    </row>
    <row r="34453" spans="9:9" x14ac:dyDescent="0.2">
      <c r="I34453" s="137" t="s">
        <v>74</v>
      </c>
    </row>
    <row r="34454" spans="9:9" x14ac:dyDescent="0.2">
      <c r="I34454" s="137" t="s">
        <v>74</v>
      </c>
    </row>
    <row r="34455" spans="9:9" x14ac:dyDescent="0.2">
      <c r="I34455" s="137" t="s">
        <v>74</v>
      </c>
    </row>
    <row r="34456" spans="9:9" x14ac:dyDescent="0.2">
      <c r="I34456" s="137" t="s">
        <v>74</v>
      </c>
    </row>
    <row r="34457" spans="9:9" x14ac:dyDescent="0.2">
      <c r="I34457" s="137" t="s">
        <v>74</v>
      </c>
    </row>
    <row r="34458" spans="9:9" x14ac:dyDescent="0.2">
      <c r="I34458" s="137" t="s">
        <v>74</v>
      </c>
    </row>
    <row r="34459" spans="9:9" x14ac:dyDescent="0.2">
      <c r="I34459" s="137" t="s">
        <v>74</v>
      </c>
    </row>
    <row r="34460" spans="9:9" x14ac:dyDescent="0.2">
      <c r="I34460" s="137" t="s">
        <v>74</v>
      </c>
    </row>
    <row r="34461" spans="9:9" x14ac:dyDescent="0.2">
      <c r="I34461" s="137" t="s">
        <v>74</v>
      </c>
    </row>
    <row r="34462" spans="9:9" x14ac:dyDescent="0.2">
      <c r="I34462" s="137" t="s">
        <v>74</v>
      </c>
    </row>
    <row r="34463" spans="9:9" x14ac:dyDescent="0.2">
      <c r="I34463" s="137" t="s">
        <v>74</v>
      </c>
    </row>
    <row r="34464" spans="9:9" x14ac:dyDescent="0.2">
      <c r="I34464" s="137" t="s">
        <v>74</v>
      </c>
    </row>
    <row r="34465" spans="9:9" x14ac:dyDescent="0.2">
      <c r="I34465" s="137" t="s">
        <v>74</v>
      </c>
    </row>
    <row r="34466" spans="9:9" x14ac:dyDescent="0.2">
      <c r="I34466" s="137" t="s">
        <v>74</v>
      </c>
    </row>
    <row r="34467" spans="9:9" x14ac:dyDescent="0.2">
      <c r="I34467" s="137" t="s">
        <v>74</v>
      </c>
    </row>
    <row r="34468" spans="9:9" x14ac:dyDescent="0.2">
      <c r="I34468" s="137" t="s">
        <v>74</v>
      </c>
    </row>
    <row r="34469" spans="9:9" x14ac:dyDescent="0.2">
      <c r="I34469" s="137" t="s">
        <v>74</v>
      </c>
    </row>
    <row r="34470" spans="9:9" x14ac:dyDescent="0.2">
      <c r="I34470" s="137" t="s">
        <v>74</v>
      </c>
    </row>
    <row r="34471" spans="9:9" x14ac:dyDescent="0.2">
      <c r="I34471" s="137" t="s">
        <v>74</v>
      </c>
    </row>
    <row r="34472" spans="9:9" x14ac:dyDescent="0.2">
      <c r="I34472" s="137" t="s">
        <v>74</v>
      </c>
    </row>
    <row r="34473" spans="9:9" x14ac:dyDescent="0.2">
      <c r="I34473" s="137" t="s">
        <v>74</v>
      </c>
    </row>
    <row r="34474" spans="9:9" x14ac:dyDescent="0.2">
      <c r="I34474" s="137" t="s">
        <v>74</v>
      </c>
    </row>
    <row r="34475" spans="9:9" x14ac:dyDescent="0.2">
      <c r="I34475" s="137" t="s">
        <v>74</v>
      </c>
    </row>
    <row r="34476" spans="9:9" x14ac:dyDescent="0.2">
      <c r="I34476" s="137" t="s">
        <v>74</v>
      </c>
    </row>
    <row r="34477" spans="9:9" x14ac:dyDescent="0.2">
      <c r="I34477" s="137" t="s">
        <v>74</v>
      </c>
    </row>
    <row r="34478" spans="9:9" x14ac:dyDescent="0.2">
      <c r="I34478" s="137" t="s">
        <v>74</v>
      </c>
    </row>
    <row r="34479" spans="9:9" x14ac:dyDescent="0.2">
      <c r="I34479" s="137" t="s">
        <v>74</v>
      </c>
    </row>
    <row r="34480" spans="9:9" x14ac:dyDescent="0.2">
      <c r="I34480" s="137" t="s">
        <v>74</v>
      </c>
    </row>
    <row r="34481" spans="9:9" x14ac:dyDescent="0.2">
      <c r="I34481" s="137" t="s">
        <v>74</v>
      </c>
    </row>
    <row r="34482" spans="9:9" x14ac:dyDescent="0.2">
      <c r="I34482" s="137" t="s">
        <v>74</v>
      </c>
    </row>
    <row r="34483" spans="9:9" x14ac:dyDescent="0.2">
      <c r="I34483" s="137" t="s">
        <v>74</v>
      </c>
    </row>
    <row r="34484" spans="9:9" x14ac:dyDescent="0.2">
      <c r="I34484" s="137" t="s">
        <v>74</v>
      </c>
    </row>
    <row r="34485" spans="9:9" x14ac:dyDescent="0.2">
      <c r="I34485" s="137" t="s">
        <v>74</v>
      </c>
    </row>
    <row r="34486" spans="9:9" x14ac:dyDescent="0.2">
      <c r="I34486" s="137" t="s">
        <v>74</v>
      </c>
    </row>
    <row r="34487" spans="9:9" x14ac:dyDescent="0.2">
      <c r="I34487" s="137" t="s">
        <v>74</v>
      </c>
    </row>
    <row r="34488" spans="9:9" x14ac:dyDescent="0.2">
      <c r="I34488" s="137" t="s">
        <v>74</v>
      </c>
    </row>
    <row r="34489" spans="9:9" x14ac:dyDescent="0.2">
      <c r="I34489" s="137" t="s">
        <v>74</v>
      </c>
    </row>
    <row r="34490" spans="9:9" x14ac:dyDescent="0.2">
      <c r="I34490" s="137" t="s">
        <v>74</v>
      </c>
    </row>
    <row r="34491" spans="9:9" x14ac:dyDescent="0.2">
      <c r="I34491" s="137" t="s">
        <v>74</v>
      </c>
    </row>
    <row r="34492" spans="9:9" x14ac:dyDescent="0.2">
      <c r="I34492" s="137" t="s">
        <v>74</v>
      </c>
    </row>
    <row r="34493" spans="9:9" x14ac:dyDescent="0.2">
      <c r="I34493" s="137" t="s">
        <v>74</v>
      </c>
    </row>
    <row r="34494" spans="9:9" x14ac:dyDescent="0.2">
      <c r="I34494" s="137" t="s">
        <v>74</v>
      </c>
    </row>
    <row r="34495" spans="9:9" x14ac:dyDescent="0.2">
      <c r="I34495" s="137" t="s">
        <v>74</v>
      </c>
    </row>
    <row r="34496" spans="9:9" x14ac:dyDescent="0.2">
      <c r="I34496" s="137" t="s">
        <v>74</v>
      </c>
    </row>
    <row r="34497" spans="9:9" x14ac:dyDescent="0.2">
      <c r="I34497" s="137" t="s">
        <v>74</v>
      </c>
    </row>
    <row r="34498" spans="9:9" x14ac:dyDescent="0.2">
      <c r="I34498" s="137" t="s">
        <v>74</v>
      </c>
    </row>
    <row r="34499" spans="9:9" x14ac:dyDescent="0.2">
      <c r="I34499" s="137" t="s">
        <v>74</v>
      </c>
    </row>
    <row r="34500" spans="9:9" x14ac:dyDescent="0.2">
      <c r="I34500" s="137" t="s">
        <v>74</v>
      </c>
    </row>
    <row r="34501" spans="9:9" x14ac:dyDescent="0.2">
      <c r="I34501" s="137" t="s">
        <v>74</v>
      </c>
    </row>
    <row r="34502" spans="9:9" x14ac:dyDescent="0.2">
      <c r="I34502" s="137" t="s">
        <v>74</v>
      </c>
    </row>
    <row r="34503" spans="9:9" x14ac:dyDescent="0.2">
      <c r="I34503" s="137" t="s">
        <v>74</v>
      </c>
    </row>
    <row r="34504" spans="9:9" x14ac:dyDescent="0.2">
      <c r="I34504" s="137" t="s">
        <v>74</v>
      </c>
    </row>
    <row r="34505" spans="9:9" x14ac:dyDescent="0.2">
      <c r="I34505" s="137" t="s">
        <v>74</v>
      </c>
    </row>
    <row r="34506" spans="9:9" x14ac:dyDescent="0.2">
      <c r="I34506" s="137" t="s">
        <v>74</v>
      </c>
    </row>
    <row r="34507" spans="9:9" x14ac:dyDescent="0.2">
      <c r="I34507" s="137" t="s">
        <v>74</v>
      </c>
    </row>
    <row r="34508" spans="9:9" x14ac:dyDescent="0.2">
      <c r="I34508" s="137" t="s">
        <v>74</v>
      </c>
    </row>
    <row r="34509" spans="9:9" x14ac:dyDescent="0.2">
      <c r="I34509" s="137" t="s">
        <v>74</v>
      </c>
    </row>
    <row r="34510" spans="9:9" x14ac:dyDescent="0.2">
      <c r="I34510" s="137" t="s">
        <v>74</v>
      </c>
    </row>
    <row r="34511" spans="9:9" x14ac:dyDescent="0.2">
      <c r="I34511" s="137" t="s">
        <v>74</v>
      </c>
    </row>
    <row r="34512" spans="9:9" x14ac:dyDescent="0.2">
      <c r="I34512" s="137" t="s">
        <v>74</v>
      </c>
    </row>
    <row r="34513" spans="9:9" x14ac:dyDescent="0.2">
      <c r="I34513" s="137" t="s">
        <v>74</v>
      </c>
    </row>
    <row r="34514" spans="9:9" x14ac:dyDescent="0.2">
      <c r="I34514" s="137" t="s">
        <v>74</v>
      </c>
    </row>
    <row r="34515" spans="9:9" x14ac:dyDescent="0.2">
      <c r="I34515" s="137" t="s">
        <v>74</v>
      </c>
    </row>
    <row r="34516" spans="9:9" x14ac:dyDescent="0.2">
      <c r="I34516" s="137" t="s">
        <v>74</v>
      </c>
    </row>
    <row r="34517" spans="9:9" x14ac:dyDescent="0.2">
      <c r="I34517" s="137" t="s">
        <v>74</v>
      </c>
    </row>
    <row r="34518" spans="9:9" x14ac:dyDescent="0.2">
      <c r="I34518" s="137" t="s">
        <v>74</v>
      </c>
    </row>
    <row r="34519" spans="9:9" x14ac:dyDescent="0.2">
      <c r="I34519" s="137" t="s">
        <v>74</v>
      </c>
    </row>
    <row r="34520" spans="9:9" x14ac:dyDescent="0.2">
      <c r="I34520" s="137" t="s">
        <v>74</v>
      </c>
    </row>
    <row r="34521" spans="9:9" x14ac:dyDescent="0.2">
      <c r="I34521" s="137" t="s">
        <v>74</v>
      </c>
    </row>
    <row r="34522" spans="9:9" x14ac:dyDescent="0.2">
      <c r="I34522" s="137" t="s">
        <v>74</v>
      </c>
    </row>
    <row r="34523" spans="9:9" x14ac:dyDescent="0.2">
      <c r="I34523" s="137" t="s">
        <v>74</v>
      </c>
    </row>
    <row r="34524" spans="9:9" x14ac:dyDescent="0.2">
      <c r="I34524" s="137" t="s">
        <v>74</v>
      </c>
    </row>
    <row r="34525" spans="9:9" x14ac:dyDescent="0.2">
      <c r="I34525" s="137" t="s">
        <v>74</v>
      </c>
    </row>
    <row r="34526" spans="9:9" x14ac:dyDescent="0.2">
      <c r="I34526" s="137" t="s">
        <v>74</v>
      </c>
    </row>
    <row r="34527" spans="9:9" x14ac:dyDescent="0.2">
      <c r="I34527" s="137" t="s">
        <v>74</v>
      </c>
    </row>
    <row r="34528" spans="9:9" x14ac:dyDescent="0.2">
      <c r="I34528" s="137" t="s">
        <v>74</v>
      </c>
    </row>
    <row r="34529" spans="9:9" x14ac:dyDescent="0.2">
      <c r="I34529" s="137" t="s">
        <v>74</v>
      </c>
    </row>
    <row r="34530" spans="9:9" x14ac:dyDescent="0.2">
      <c r="I34530" s="137" t="s">
        <v>74</v>
      </c>
    </row>
    <row r="34531" spans="9:9" x14ac:dyDescent="0.2">
      <c r="I34531" s="137" t="s">
        <v>74</v>
      </c>
    </row>
    <row r="34532" spans="9:9" x14ac:dyDescent="0.2">
      <c r="I34532" s="137" t="s">
        <v>74</v>
      </c>
    </row>
    <row r="34533" spans="9:9" x14ac:dyDescent="0.2">
      <c r="I34533" s="137" t="s">
        <v>74</v>
      </c>
    </row>
    <row r="34534" spans="9:9" x14ac:dyDescent="0.2">
      <c r="I34534" s="137" t="s">
        <v>74</v>
      </c>
    </row>
    <row r="34535" spans="9:9" x14ac:dyDescent="0.2">
      <c r="I34535" s="137" t="s">
        <v>74</v>
      </c>
    </row>
    <row r="34536" spans="9:9" x14ac:dyDescent="0.2">
      <c r="I34536" s="137" t="s">
        <v>74</v>
      </c>
    </row>
    <row r="34537" spans="9:9" x14ac:dyDescent="0.2">
      <c r="I34537" s="137" t="s">
        <v>74</v>
      </c>
    </row>
    <row r="34538" spans="9:9" x14ac:dyDescent="0.2">
      <c r="I34538" s="137" t="s">
        <v>74</v>
      </c>
    </row>
    <row r="34539" spans="9:9" x14ac:dyDescent="0.2">
      <c r="I34539" s="137" t="s">
        <v>74</v>
      </c>
    </row>
    <row r="34540" spans="9:9" x14ac:dyDescent="0.2">
      <c r="I34540" s="137" t="s">
        <v>74</v>
      </c>
    </row>
    <row r="34541" spans="9:9" x14ac:dyDescent="0.2">
      <c r="I34541" s="137" t="s">
        <v>74</v>
      </c>
    </row>
    <row r="34542" spans="9:9" x14ac:dyDescent="0.2">
      <c r="I34542" s="137" t="s">
        <v>74</v>
      </c>
    </row>
    <row r="34543" spans="9:9" x14ac:dyDescent="0.2">
      <c r="I34543" s="137" t="s">
        <v>74</v>
      </c>
    </row>
    <row r="34544" spans="9:9" x14ac:dyDescent="0.2">
      <c r="I34544" s="137" t="s">
        <v>74</v>
      </c>
    </row>
    <row r="34545" spans="9:9" x14ac:dyDescent="0.2">
      <c r="I34545" s="137" t="s">
        <v>74</v>
      </c>
    </row>
    <row r="34546" spans="9:9" x14ac:dyDescent="0.2">
      <c r="I34546" s="137" t="s">
        <v>74</v>
      </c>
    </row>
    <row r="34547" spans="9:9" x14ac:dyDescent="0.2">
      <c r="I34547" s="137" t="s">
        <v>74</v>
      </c>
    </row>
    <row r="34548" spans="9:9" x14ac:dyDescent="0.2">
      <c r="I34548" s="137" t="s">
        <v>74</v>
      </c>
    </row>
    <row r="34549" spans="9:9" x14ac:dyDescent="0.2">
      <c r="I34549" s="137" t="s">
        <v>74</v>
      </c>
    </row>
    <row r="34550" spans="9:9" x14ac:dyDescent="0.2">
      <c r="I34550" s="137" t="s">
        <v>74</v>
      </c>
    </row>
    <row r="34551" spans="9:9" x14ac:dyDescent="0.2">
      <c r="I34551" s="137" t="s">
        <v>74</v>
      </c>
    </row>
    <row r="34552" spans="9:9" x14ac:dyDescent="0.2">
      <c r="I34552" s="137" t="s">
        <v>74</v>
      </c>
    </row>
    <row r="34553" spans="9:9" x14ac:dyDescent="0.2">
      <c r="I34553" s="137" t="s">
        <v>74</v>
      </c>
    </row>
    <row r="34554" spans="9:9" x14ac:dyDescent="0.2">
      <c r="I34554" s="137" t="s">
        <v>74</v>
      </c>
    </row>
    <row r="34555" spans="9:9" x14ac:dyDescent="0.2">
      <c r="I34555" s="137" t="s">
        <v>74</v>
      </c>
    </row>
    <row r="34556" spans="9:9" x14ac:dyDescent="0.2">
      <c r="I34556" s="137" t="s">
        <v>74</v>
      </c>
    </row>
    <row r="34557" spans="9:9" x14ac:dyDescent="0.2">
      <c r="I34557" s="137" t="s">
        <v>74</v>
      </c>
    </row>
    <row r="34558" spans="9:9" x14ac:dyDescent="0.2">
      <c r="I34558" s="137" t="s">
        <v>74</v>
      </c>
    </row>
    <row r="34559" spans="9:9" x14ac:dyDescent="0.2">
      <c r="I34559" s="137" t="s">
        <v>74</v>
      </c>
    </row>
    <row r="34560" spans="9:9" x14ac:dyDescent="0.2">
      <c r="I34560" s="137" t="s">
        <v>74</v>
      </c>
    </row>
    <row r="34561" spans="9:9" x14ac:dyDescent="0.2">
      <c r="I34561" s="137" t="s">
        <v>74</v>
      </c>
    </row>
    <row r="34562" spans="9:9" x14ac:dyDescent="0.2">
      <c r="I34562" s="137" t="s">
        <v>74</v>
      </c>
    </row>
    <row r="34563" spans="9:9" x14ac:dyDescent="0.2">
      <c r="I34563" s="137" t="s">
        <v>74</v>
      </c>
    </row>
    <row r="34564" spans="9:9" x14ac:dyDescent="0.2">
      <c r="I34564" s="137" t="s">
        <v>74</v>
      </c>
    </row>
    <row r="34565" spans="9:9" x14ac:dyDescent="0.2">
      <c r="I34565" s="137" t="s">
        <v>74</v>
      </c>
    </row>
    <row r="34566" spans="9:9" x14ac:dyDescent="0.2">
      <c r="I34566" s="137" t="s">
        <v>74</v>
      </c>
    </row>
    <row r="34567" spans="9:9" x14ac:dyDescent="0.2">
      <c r="I34567" s="137" t="s">
        <v>74</v>
      </c>
    </row>
    <row r="34568" spans="9:9" x14ac:dyDescent="0.2">
      <c r="I34568" s="137" t="s">
        <v>74</v>
      </c>
    </row>
    <row r="34569" spans="9:9" x14ac:dyDescent="0.2">
      <c r="I34569" s="137" t="s">
        <v>74</v>
      </c>
    </row>
    <row r="34570" spans="9:9" x14ac:dyDescent="0.2">
      <c r="I34570" s="137" t="s">
        <v>74</v>
      </c>
    </row>
    <row r="34571" spans="9:9" x14ac:dyDescent="0.2">
      <c r="I34571" s="137" t="s">
        <v>74</v>
      </c>
    </row>
    <row r="34572" spans="9:9" x14ac:dyDescent="0.2">
      <c r="I34572" s="137" t="s">
        <v>74</v>
      </c>
    </row>
    <row r="34573" spans="9:9" x14ac:dyDescent="0.2">
      <c r="I34573" s="137" t="s">
        <v>74</v>
      </c>
    </row>
    <row r="34574" spans="9:9" x14ac:dyDescent="0.2">
      <c r="I34574" s="137" t="s">
        <v>74</v>
      </c>
    </row>
    <row r="34575" spans="9:9" x14ac:dyDescent="0.2">
      <c r="I34575" s="137" t="s">
        <v>74</v>
      </c>
    </row>
    <row r="34576" spans="9:9" x14ac:dyDescent="0.2">
      <c r="I34576" s="137" t="s">
        <v>74</v>
      </c>
    </row>
    <row r="34577" spans="9:9" x14ac:dyDescent="0.2">
      <c r="I34577" s="137" t="s">
        <v>74</v>
      </c>
    </row>
    <row r="34578" spans="9:9" x14ac:dyDescent="0.2">
      <c r="I34578" s="137" t="s">
        <v>74</v>
      </c>
    </row>
    <row r="34579" spans="9:9" x14ac:dyDescent="0.2">
      <c r="I34579" s="137" t="s">
        <v>74</v>
      </c>
    </row>
    <row r="34580" spans="9:9" x14ac:dyDescent="0.2">
      <c r="I34580" s="137" t="s">
        <v>74</v>
      </c>
    </row>
    <row r="34581" spans="9:9" x14ac:dyDescent="0.2">
      <c r="I34581" s="137" t="s">
        <v>74</v>
      </c>
    </row>
    <row r="34582" spans="9:9" x14ac:dyDescent="0.2">
      <c r="I34582" s="137" t="s">
        <v>74</v>
      </c>
    </row>
    <row r="34583" spans="9:9" x14ac:dyDescent="0.2">
      <c r="I34583" s="137" t="s">
        <v>74</v>
      </c>
    </row>
    <row r="34584" spans="9:9" x14ac:dyDescent="0.2">
      <c r="I34584" s="137" t="s">
        <v>74</v>
      </c>
    </row>
    <row r="34585" spans="9:9" x14ac:dyDescent="0.2">
      <c r="I34585" s="137" t="s">
        <v>74</v>
      </c>
    </row>
    <row r="34586" spans="9:9" x14ac:dyDescent="0.2">
      <c r="I34586" s="137" t="s">
        <v>74</v>
      </c>
    </row>
    <row r="34587" spans="9:9" x14ac:dyDescent="0.2">
      <c r="I34587" s="137" t="s">
        <v>74</v>
      </c>
    </row>
    <row r="34588" spans="9:9" x14ac:dyDescent="0.2">
      <c r="I34588" s="137" t="s">
        <v>74</v>
      </c>
    </row>
    <row r="34589" spans="9:9" x14ac:dyDescent="0.2">
      <c r="I34589" s="137" t="s">
        <v>74</v>
      </c>
    </row>
    <row r="34590" spans="9:9" x14ac:dyDescent="0.2">
      <c r="I34590" s="137" t="s">
        <v>74</v>
      </c>
    </row>
    <row r="34591" spans="9:9" x14ac:dyDescent="0.2">
      <c r="I34591" s="137" t="s">
        <v>74</v>
      </c>
    </row>
    <row r="34592" spans="9:9" x14ac:dyDescent="0.2">
      <c r="I34592" s="137" t="s">
        <v>74</v>
      </c>
    </row>
    <row r="34593" spans="9:9" x14ac:dyDescent="0.2">
      <c r="I34593" s="137" t="s">
        <v>74</v>
      </c>
    </row>
    <row r="34594" spans="9:9" x14ac:dyDescent="0.2">
      <c r="I34594" s="137" t="s">
        <v>74</v>
      </c>
    </row>
    <row r="34595" spans="9:9" x14ac:dyDescent="0.2">
      <c r="I34595" s="137" t="s">
        <v>74</v>
      </c>
    </row>
    <row r="34596" spans="9:9" x14ac:dyDescent="0.2">
      <c r="I34596" s="137" t="s">
        <v>74</v>
      </c>
    </row>
    <row r="34597" spans="9:9" x14ac:dyDescent="0.2">
      <c r="I34597" s="137" t="s">
        <v>74</v>
      </c>
    </row>
    <row r="34598" spans="9:9" x14ac:dyDescent="0.2">
      <c r="I34598" s="137" t="s">
        <v>74</v>
      </c>
    </row>
    <row r="34599" spans="9:9" x14ac:dyDescent="0.2">
      <c r="I34599" s="137" t="s">
        <v>74</v>
      </c>
    </row>
    <row r="34600" spans="9:9" x14ac:dyDescent="0.2">
      <c r="I34600" s="137" t="s">
        <v>74</v>
      </c>
    </row>
    <row r="34601" spans="9:9" x14ac:dyDescent="0.2">
      <c r="I34601" s="137" t="s">
        <v>74</v>
      </c>
    </row>
    <row r="34602" spans="9:9" x14ac:dyDescent="0.2">
      <c r="I34602" s="137" t="s">
        <v>74</v>
      </c>
    </row>
    <row r="34603" spans="9:9" x14ac:dyDescent="0.2">
      <c r="I34603" s="137" t="s">
        <v>74</v>
      </c>
    </row>
    <row r="34604" spans="9:9" x14ac:dyDescent="0.2">
      <c r="I34604" s="137" t="s">
        <v>74</v>
      </c>
    </row>
    <row r="34605" spans="9:9" x14ac:dyDescent="0.2">
      <c r="I34605" s="137" t="s">
        <v>74</v>
      </c>
    </row>
    <row r="34606" spans="9:9" x14ac:dyDescent="0.2">
      <c r="I34606" s="137" t="s">
        <v>74</v>
      </c>
    </row>
    <row r="34607" spans="9:9" x14ac:dyDescent="0.2">
      <c r="I34607" s="137" t="s">
        <v>74</v>
      </c>
    </row>
    <row r="34608" spans="9:9" x14ac:dyDescent="0.2">
      <c r="I34608" s="137" t="s">
        <v>74</v>
      </c>
    </row>
    <row r="34609" spans="9:9" x14ac:dyDescent="0.2">
      <c r="I34609" s="137" t="s">
        <v>74</v>
      </c>
    </row>
    <row r="34610" spans="9:9" x14ac:dyDescent="0.2">
      <c r="I34610" s="137" t="s">
        <v>74</v>
      </c>
    </row>
    <row r="34611" spans="9:9" x14ac:dyDescent="0.2">
      <c r="I34611" s="137" t="s">
        <v>74</v>
      </c>
    </row>
    <row r="34612" spans="9:9" x14ac:dyDescent="0.2">
      <c r="I34612" s="137" t="s">
        <v>74</v>
      </c>
    </row>
    <row r="34613" spans="9:9" x14ac:dyDescent="0.2">
      <c r="I34613" s="137" t="s">
        <v>74</v>
      </c>
    </row>
    <row r="34614" spans="9:9" x14ac:dyDescent="0.2">
      <c r="I34614" s="137" t="s">
        <v>74</v>
      </c>
    </row>
    <row r="34615" spans="9:9" x14ac:dyDescent="0.2">
      <c r="I34615" s="137" t="s">
        <v>74</v>
      </c>
    </row>
    <row r="34616" spans="9:9" x14ac:dyDescent="0.2">
      <c r="I34616" s="137" t="s">
        <v>74</v>
      </c>
    </row>
    <row r="34617" spans="9:9" x14ac:dyDescent="0.2">
      <c r="I34617" s="137" t="s">
        <v>74</v>
      </c>
    </row>
    <row r="34618" spans="9:9" x14ac:dyDescent="0.2">
      <c r="I34618" s="137" t="s">
        <v>74</v>
      </c>
    </row>
    <row r="34619" spans="9:9" x14ac:dyDescent="0.2">
      <c r="I34619" s="137" t="s">
        <v>74</v>
      </c>
    </row>
    <row r="34620" spans="9:9" x14ac:dyDescent="0.2">
      <c r="I34620" s="137" t="s">
        <v>74</v>
      </c>
    </row>
    <row r="34621" spans="9:9" x14ac:dyDescent="0.2">
      <c r="I34621" s="137" t="s">
        <v>74</v>
      </c>
    </row>
    <row r="34622" spans="9:9" x14ac:dyDescent="0.2">
      <c r="I34622" s="137" t="s">
        <v>74</v>
      </c>
    </row>
    <row r="34623" spans="9:9" x14ac:dyDescent="0.2">
      <c r="I34623" s="137" t="s">
        <v>74</v>
      </c>
    </row>
    <row r="34624" spans="9:9" x14ac:dyDescent="0.2">
      <c r="I34624" s="137" t="s">
        <v>74</v>
      </c>
    </row>
    <row r="34625" spans="9:9" x14ac:dyDescent="0.2">
      <c r="I34625" s="137" t="s">
        <v>74</v>
      </c>
    </row>
    <row r="34626" spans="9:9" x14ac:dyDescent="0.2">
      <c r="I34626" s="137" t="s">
        <v>74</v>
      </c>
    </row>
    <row r="34627" spans="9:9" x14ac:dyDescent="0.2">
      <c r="I34627" s="137" t="s">
        <v>74</v>
      </c>
    </row>
    <row r="34628" spans="9:9" x14ac:dyDescent="0.2">
      <c r="I34628" s="137" t="s">
        <v>74</v>
      </c>
    </row>
    <row r="34629" spans="9:9" x14ac:dyDescent="0.2">
      <c r="I34629" s="137" t="s">
        <v>74</v>
      </c>
    </row>
    <row r="34630" spans="9:9" x14ac:dyDescent="0.2">
      <c r="I34630" s="137" t="s">
        <v>74</v>
      </c>
    </row>
    <row r="34631" spans="9:9" x14ac:dyDescent="0.2">
      <c r="I34631" s="137" t="s">
        <v>74</v>
      </c>
    </row>
    <row r="34632" spans="9:9" x14ac:dyDescent="0.2">
      <c r="I34632" s="137" t="s">
        <v>74</v>
      </c>
    </row>
    <row r="34633" spans="9:9" x14ac:dyDescent="0.2">
      <c r="I34633" s="137" t="s">
        <v>74</v>
      </c>
    </row>
    <row r="34634" spans="9:9" x14ac:dyDescent="0.2">
      <c r="I34634" s="137" t="s">
        <v>74</v>
      </c>
    </row>
    <row r="34635" spans="9:9" x14ac:dyDescent="0.2">
      <c r="I34635" s="137" t="s">
        <v>74</v>
      </c>
    </row>
    <row r="34636" spans="9:9" x14ac:dyDescent="0.2">
      <c r="I34636" s="137" t="s">
        <v>74</v>
      </c>
    </row>
    <row r="34637" spans="9:9" x14ac:dyDescent="0.2">
      <c r="I34637" s="137" t="s">
        <v>74</v>
      </c>
    </row>
    <row r="34638" spans="9:9" x14ac:dyDescent="0.2">
      <c r="I34638" s="137" t="s">
        <v>74</v>
      </c>
    </row>
    <row r="34639" spans="9:9" x14ac:dyDescent="0.2">
      <c r="I34639" s="137" t="s">
        <v>74</v>
      </c>
    </row>
    <row r="34640" spans="9:9" x14ac:dyDescent="0.2">
      <c r="I34640" s="137" t="s">
        <v>74</v>
      </c>
    </row>
    <row r="34641" spans="9:9" x14ac:dyDescent="0.2">
      <c r="I34641" s="137" t="s">
        <v>74</v>
      </c>
    </row>
    <row r="34642" spans="9:9" x14ac:dyDescent="0.2">
      <c r="I34642" s="137" t="s">
        <v>74</v>
      </c>
    </row>
    <row r="34643" spans="9:9" x14ac:dyDescent="0.2">
      <c r="I34643" s="137" t="s">
        <v>74</v>
      </c>
    </row>
    <row r="34644" spans="9:9" x14ac:dyDescent="0.2">
      <c r="I34644" s="137" t="s">
        <v>74</v>
      </c>
    </row>
    <row r="34645" spans="9:9" x14ac:dyDescent="0.2">
      <c r="I34645" s="137" t="s">
        <v>74</v>
      </c>
    </row>
    <row r="34646" spans="9:9" x14ac:dyDescent="0.2">
      <c r="I34646" s="137" t="s">
        <v>74</v>
      </c>
    </row>
    <row r="34647" spans="9:9" x14ac:dyDescent="0.2">
      <c r="I34647" s="137" t="s">
        <v>74</v>
      </c>
    </row>
    <row r="34648" spans="9:9" x14ac:dyDescent="0.2">
      <c r="I34648" s="137" t="s">
        <v>74</v>
      </c>
    </row>
    <row r="34649" spans="9:9" x14ac:dyDescent="0.2">
      <c r="I34649" s="137" t="s">
        <v>74</v>
      </c>
    </row>
    <row r="34650" spans="9:9" x14ac:dyDescent="0.2">
      <c r="I34650" s="137" t="s">
        <v>74</v>
      </c>
    </row>
    <row r="34651" spans="9:9" x14ac:dyDescent="0.2">
      <c r="I34651" s="137" t="s">
        <v>74</v>
      </c>
    </row>
    <row r="34652" spans="9:9" x14ac:dyDescent="0.2">
      <c r="I34652" s="137" t="s">
        <v>74</v>
      </c>
    </row>
    <row r="34653" spans="9:9" x14ac:dyDescent="0.2">
      <c r="I34653" s="137" t="s">
        <v>74</v>
      </c>
    </row>
    <row r="34654" spans="9:9" x14ac:dyDescent="0.2">
      <c r="I34654" s="137" t="s">
        <v>74</v>
      </c>
    </row>
    <row r="34655" spans="9:9" x14ac:dyDescent="0.2">
      <c r="I34655" s="137" t="s">
        <v>74</v>
      </c>
    </row>
    <row r="34656" spans="9:9" x14ac:dyDescent="0.2">
      <c r="I34656" s="137" t="s">
        <v>74</v>
      </c>
    </row>
    <row r="34657" spans="9:9" x14ac:dyDescent="0.2">
      <c r="I34657" s="137" t="s">
        <v>74</v>
      </c>
    </row>
    <row r="34658" spans="9:9" x14ac:dyDescent="0.2">
      <c r="I34658" s="137" t="s">
        <v>74</v>
      </c>
    </row>
    <row r="34659" spans="9:9" x14ac:dyDescent="0.2">
      <c r="I34659" s="137" t="s">
        <v>74</v>
      </c>
    </row>
    <row r="34660" spans="9:9" x14ac:dyDescent="0.2">
      <c r="I34660" s="137" t="s">
        <v>74</v>
      </c>
    </row>
    <row r="34661" spans="9:9" x14ac:dyDescent="0.2">
      <c r="I34661" s="137" t="s">
        <v>74</v>
      </c>
    </row>
    <row r="34662" spans="9:9" x14ac:dyDescent="0.2">
      <c r="I34662" s="137" t="s">
        <v>74</v>
      </c>
    </row>
    <row r="34663" spans="9:9" x14ac:dyDescent="0.2">
      <c r="I34663" s="137" t="s">
        <v>74</v>
      </c>
    </row>
    <row r="34664" spans="9:9" x14ac:dyDescent="0.2">
      <c r="I34664" s="137" t="s">
        <v>74</v>
      </c>
    </row>
    <row r="34665" spans="9:9" x14ac:dyDescent="0.2">
      <c r="I34665" s="137" t="s">
        <v>74</v>
      </c>
    </row>
    <row r="34666" spans="9:9" x14ac:dyDescent="0.2">
      <c r="I34666" s="137" t="s">
        <v>74</v>
      </c>
    </row>
    <row r="34667" spans="9:9" x14ac:dyDescent="0.2">
      <c r="I34667" s="137" t="s">
        <v>74</v>
      </c>
    </row>
    <row r="34668" spans="9:9" x14ac:dyDescent="0.2">
      <c r="I34668" s="137" t="s">
        <v>74</v>
      </c>
    </row>
    <row r="34669" spans="9:9" x14ac:dyDescent="0.2">
      <c r="I34669" s="137" t="s">
        <v>74</v>
      </c>
    </row>
    <row r="34670" spans="9:9" x14ac:dyDescent="0.2">
      <c r="I34670" s="137" t="s">
        <v>74</v>
      </c>
    </row>
    <row r="34671" spans="9:9" x14ac:dyDescent="0.2">
      <c r="I34671" s="137" t="s">
        <v>74</v>
      </c>
    </row>
    <row r="34672" spans="9:9" x14ac:dyDescent="0.2">
      <c r="I34672" s="137" t="s">
        <v>74</v>
      </c>
    </row>
    <row r="34673" spans="9:9" x14ac:dyDescent="0.2">
      <c r="I34673" s="137" t="s">
        <v>74</v>
      </c>
    </row>
    <row r="34674" spans="9:9" x14ac:dyDescent="0.2">
      <c r="I34674" s="137" t="s">
        <v>74</v>
      </c>
    </row>
    <row r="34675" spans="9:9" x14ac:dyDescent="0.2">
      <c r="I34675" s="137" t="s">
        <v>74</v>
      </c>
    </row>
    <row r="34676" spans="9:9" x14ac:dyDescent="0.2">
      <c r="I34676" s="137" t="s">
        <v>74</v>
      </c>
    </row>
    <row r="34677" spans="9:9" x14ac:dyDescent="0.2">
      <c r="I34677" s="137" t="s">
        <v>74</v>
      </c>
    </row>
    <row r="34678" spans="9:9" x14ac:dyDescent="0.2">
      <c r="I34678" s="137" t="s">
        <v>74</v>
      </c>
    </row>
    <row r="34679" spans="9:9" x14ac:dyDescent="0.2">
      <c r="I34679" s="137" t="s">
        <v>74</v>
      </c>
    </row>
    <row r="34680" spans="9:9" x14ac:dyDescent="0.2">
      <c r="I34680" s="137" t="s">
        <v>74</v>
      </c>
    </row>
    <row r="34681" spans="9:9" x14ac:dyDescent="0.2">
      <c r="I34681" s="137" t="s">
        <v>74</v>
      </c>
    </row>
    <row r="34682" spans="9:9" x14ac:dyDescent="0.2">
      <c r="I34682" s="137" t="s">
        <v>74</v>
      </c>
    </row>
    <row r="34683" spans="9:9" x14ac:dyDescent="0.2">
      <c r="I34683" s="137" t="s">
        <v>74</v>
      </c>
    </row>
    <row r="34684" spans="9:9" x14ac:dyDescent="0.2">
      <c r="I34684" s="137" t="s">
        <v>74</v>
      </c>
    </row>
    <row r="34685" spans="9:9" x14ac:dyDescent="0.2">
      <c r="I34685" s="137" t="s">
        <v>74</v>
      </c>
    </row>
    <row r="34686" spans="9:9" x14ac:dyDescent="0.2">
      <c r="I34686" s="137" t="s">
        <v>74</v>
      </c>
    </row>
    <row r="34687" spans="9:9" x14ac:dyDescent="0.2">
      <c r="I34687" s="137" t="s">
        <v>74</v>
      </c>
    </row>
    <row r="34688" spans="9:9" x14ac:dyDescent="0.2">
      <c r="I34688" s="137" t="s">
        <v>74</v>
      </c>
    </row>
    <row r="34689" spans="9:9" x14ac:dyDescent="0.2">
      <c r="I34689" s="137" t="s">
        <v>74</v>
      </c>
    </row>
    <row r="34690" spans="9:9" x14ac:dyDescent="0.2">
      <c r="I34690" s="137" t="s">
        <v>74</v>
      </c>
    </row>
    <row r="34691" spans="9:9" x14ac:dyDescent="0.2">
      <c r="I34691" s="137" t="s">
        <v>74</v>
      </c>
    </row>
    <row r="34692" spans="9:9" x14ac:dyDescent="0.2">
      <c r="I34692" s="137" t="s">
        <v>74</v>
      </c>
    </row>
    <row r="34693" spans="9:9" x14ac:dyDescent="0.2">
      <c r="I34693" s="137" t="s">
        <v>74</v>
      </c>
    </row>
    <row r="34694" spans="9:9" x14ac:dyDescent="0.2">
      <c r="I34694" s="137" t="s">
        <v>74</v>
      </c>
    </row>
    <row r="34695" spans="9:9" x14ac:dyDescent="0.2">
      <c r="I34695" s="137" t="s">
        <v>74</v>
      </c>
    </row>
    <row r="34696" spans="9:9" x14ac:dyDescent="0.2">
      <c r="I34696" s="137" t="s">
        <v>74</v>
      </c>
    </row>
    <row r="34697" spans="9:9" x14ac:dyDescent="0.2">
      <c r="I34697" s="137" t="s">
        <v>74</v>
      </c>
    </row>
    <row r="34698" spans="9:9" x14ac:dyDescent="0.2">
      <c r="I34698" s="137" t="s">
        <v>74</v>
      </c>
    </row>
    <row r="34699" spans="9:9" x14ac:dyDescent="0.2">
      <c r="I34699" s="137" t="s">
        <v>74</v>
      </c>
    </row>
    <row r="34700" spans="9:9" x14ac:dyDescent="0.2">
      <c r="I34700" s="137" t="s">
        <v>74</v>
      </c>
    </row>
    <row r="34701" spans="9:9" x14ac:dyDescent="0.2">
      <c r="I34701" s="137" t="s">
        <v>74</v>
      </c>
    </row>
    <row r="34702" spans="9:9" x14ac:dyDescent="0.2">
      <c r="I34702" s="137" t="s">
        <v>74</v>
      </c>
    </row>
    <row r="34703" spans="9:9" x14ac:dyDescent="0.2">
      <c r="I34703" s="137" t="s">
        <v>74</v>
      </c>
    </row>
    <row r="34704" spans="9:9" x14ac:dyDescent="0.2">
      <c r="I34704" s="137" t="s">
        <v>74</v>
      </c>
    </row>
    <row r="34705" spans="9:9" x14ac:dyDescent="0.2">
      <c r="I34705" s="137" t="s">
        <v>74</v>
      </c>
    </row>
    <row r="34706" spans="9:9" x14ac:dyDescent="0.2">
      <c r="I34706" s="137" t="s">
        <v>74</v>
      </c>
    </row>
    <row r="34707" spans="9:9" x14ac:dyDescent="0.2">
      <c r="I34707" s="137" t="s">
        <v>74</v>
      </c>
    </row>
    <row r="34708" spans="9:9" x14ac:dyDescent="0.2">
      <c r="I34708" s="137" t="s">
        <v>74</v>
      </c>
    </row>
    <row r="34709" spans="9:9" x14ac:dyDescent="0.2">
      <c r="I34709" s="137" t="s">
        <v>74</v>
      </c>
    </row>
    <row r="34710" spans="9:9" x14ac:dyDescent="0.2">
      <c r="I34710" s="137" t="s">
        <v>74</v>
      </c>
    </row>
    <row r="34711" spans="9:9" x14ac:dyDescent="0.2">
      <c r="I34711" s="137" t="s">
        <v>74</v>
      </c>
    </row>
    <row r="34712" spans="9:9" x14ac:dyDescent="0.2">
      <c r="I34712" s="137" t="s">
        <v>74</v>
      </c>
    </row>
    <row r="34713" spans="9:9" x14ac:dyDescent="0.2">
      <c r="I34713" s="137" t="s">
        <v>74</v>
      </c>
    </row>
    <row r="34714" spans="9:9" x14ac:dyDescent="0.2">
      <c r="I34714" s="137" t="s">
        <v>74</v>
      </c>
    </row>
    <row r="34715" spans="9:9" x14ac:dyDescent="0.2">
      <c r="I34715" s="137" t="s">
        <v>74</v>
      </c>
    </row>
    <row r="34716" spans="9:9" x14ac:dyDescent="0.2">
      <c r="I34716" s="137" t="s">
        <v>74</v>
      </c>
    </row>
    <row r="34717" spans="9:9" x14ac:dyDescent="0.2">
      <c r="I34717" s="137" t="s">
        <v>74</v>
      </c>
    </row>
    <row r="34718" spans="9:9" x14ac:dyDescent="0.2">
      <c r="I34718" s="137" t="s">
        <v>74</v>
      </c>
    </row>
    <row r="34719" spans="9:9" x14ac:dyDescent="0.2">
      <c r="I34719" s="137" t="s">
        <v>74</v>
      </c>
    </row>
    <row r="34720" spans="9:9" x14ac:dyDescent="0.2">
      <c r="I34720" s="137" t="s">
        <v>74</v>
      </c>
    </row>
    <row r="34721" spans="9:9" x14ac:dyDescent="0.2">
      <c r="I34721" s="137" t="s">
        <v>74</v>
      </c>
    </row>
    <row r="34722" spans="9:9" x14ac:dyDescent="0.2">
      <c r="I34722" s="137" t="s">
        <v>74</v>
      </c>
    </row>
    <row r="34723" spans="9:9" x14ac:dyDescent="0.2">
      <c r="I34723" s="137" t="s">
        <v>74</v>
      </c>
    </row>
    <row r="34724" spans="9:9" x14ac:dyDescent="0.2">
      <c r="I34724" s="137" t="s">
        <v>74</v>
      </c>
    </row>
    <row r="34725" spans="9:9" x14ac:dyDescent="0.2">
      <c r="I34725" s="137" t="s">
        <v>74</v>
      </c>
    </row>
    <row r="34726" spans="9:9" x14ac:dyDescent="0.2">
      <c r="I34726" s="137" t="s">
        <v>74</v>
      </c>
    </row>
    <row r="34727" spans="9:9" x14ac:dyDescent="0.2">
      <c r="I34727" s="137" t="s">
        <v>74</v>
      </c>
    </row>
    <row r="34728" spans="9:9" x14ac:dyDescent="0.2">
      <c r="I34728" s="137" t="s">
        <v>74</v>
      </c>
    </row>
    <row r="34729" spans="9:9" x14ac:dyDescent="0.2">
      <c r="I34729" s="137" t="s">
        <v>74</v>
      </c>
    </row>
    <row r="34730" spans="9:9" x14ac:dyDescent="0.2">
      <c r="I34730" s="137" t="s">
        <v>74</v>
      </c>
    </row>
    <row r="34731" spans="9:9" x14ac:dyDescent="0.2">
      <c r="I34731" s="137" t="s">
        <v>74</v>
      </c>
    </row>
    <row r="34732" spans="9:9" x14ac:dyDescent="0.2">
      <c r="I34732" s="137" t="s">
        <v>74</v>
      </c>
    </row>
    <row r="34733" spans="9:9" x14ac:dyDescent="0.2">
      <c r="I34733" s="137" t="s">
        <v>74</v>
      </c>
    </row>
    <row r="34734" spans="9:9" x14ac:dyDescent="0.2">
      <c r="I34734" s="137" t="s">
        <v>74</v>
      </c>
    </row>
    <row r="34735" spans="9:9" x14ac:dyDescent="0.2">
      <c r="I34735" s="137" t="s">
        <v>74</v>
      </c>
    </row>
    <row r="34736" spans="9:9" x14ac:dyDescent="0.2">
      <c r="I34736" s="137" t="s">
        <v>74</v>
      </c>
    </row>
    <row r="34737" spans="9:9" x14ac:dyDescent="0.2">
      <c r="I34737" s="137" t="s">
        <v>74</v>
      </c>
    </row>
    <row r="34738" spans="9:9" x14ac:dyDescent="0.2">
      <c r="I34738" s="137" t="s">
        <v>74</v>
      </c>
    </row>
    <row r="34739" spans="9:9" x14ac:dyDescent="0.2">
      <c r="I34739" s="137" t="s">
        <v>74</v>
      </c>
    </row>
    <row r="34740" spans="9:9" x14ac:dyDescent="0.2">
      <c r="I34740" s="137" t="s">
        <v>74</v>
      </c>
    </row>
    <row r="34741" spans="9:9" x14ac:dyDescent="0.2">
      <c r="I34741" s="137" t="s">
        <v>74</v>
      </c>
    </row>
    <row r="34742" spans="9:9" x14ac:dyDescent="0.2">
      <c r="I34742" s="137" t="s">
        <v>74</v>
      </c>
    </row>
    <row r="34743" spans="9:9" x14ac:dyDescent="0.2">
      <c r="I34743" s="137" t="s">
        <v>74</v>
      </c>
    </row>
    <row r="34744" spans="9:9" x14ac:dyDescent="0.2">
      <c r="I34744" s="137" t="s">
        <v>74</v>
      </c>
    </row>
    <row r="34745" spans="9:9" x14ac:dyDescent="0.2">
      <c r="I34745" s="137" t="s">
        <v>74</v>
      </c>
    </row>
    <row r="34746" spans="9:9" x14ac:dyDescent="0.2">
      <c r="I34746" s="137" t="s">
        <v>74</v>
      </c>
    </row>
    <row r="34747" spans="9:9" x14ac:dyDescent="0.2">
      <c r="I34747" s="137" t="s">
        <v>74</v>
      </c>
    </row>
    <row r="34748" spans="9:9" x14ac:dyDescent="0.2">
      <c r="I34748" s="137" t="s">
        <v>74</v>
      </c>
    </row>
    <row r="34749" spans="9:9" x14ac:dyDescent="0.2">
      <c r="I34749" s="137" t="s">
        <v>74</v>
      </c>
    </row>
    <row r="34750" spans="9:9" x14ac:dyDescent="0.2">
      <c r="I34750" s="137" t="s">
        <v>74</v>
      </c>
    </row>
    <row r="34751" spans="9:9" x14ac:dyDescent="0.2">
      <c r="I34751" s="137" t="s">
        <v>74</v>
      </c>
    </row>
    <row r="34752" spans="9:9" x14ac:dyDescent="0.2">
      <c r="I34752" s="137" t="s">
        <v>74</v>
      </c>
    </row>
    <row r="34753" spans="9:9" x14ac:dyDescent="0.2">
      <c r="I34753" s="137" t="s">
        <v>74</v>
      </c>
    </row>
    <row r="34754" spans="9:9" x14ac:dyDescent="0.2">
      <c r="I34754" s="137" t="s">
        <v>74</v>
      </c>
    </row>
    <row r="34755" spans="9:9" x14ac:dyDescent="0.2">
      <c r="I34755" s="137" t="s">
        <v>74</v>
      </c>
    </row>
    <row r="34756" spans="9:9" x14ac:dyDescent="0.2">
      <c r="I34756" s="137" t="s">
        <v>74</v>
      </c>
    </row>
    <row r="34757" spans="9:9" x14ac:dyDescent="0.2">
      <c r="I34757" s="137" t="s">
        <v>74</v>
      </c>
    </row>
    <row r="34758" spans="9:9" x14ac:dyDescent="0.2">
      <c r="I34758" s="137" t="s">
        <v>74</v>
      </c>
    </row>
    <row r="34759" spans="9:9" x14ac:dyDescent="0.2">
      <c r="I34759" s="137" t="s">
        <v>74</v>
      </c>
    </row>
    <row r="34760" spans="9:9" x14ac:dyDescent="0.2">
      <c r="I34760" s="137" t="s">
        <v>74</v>
      </c>
    </row>
    <row r="34761" spans="9:9" x14ac:dyDescent="0.2">
      <c r="I34761" s="137" t="s">
        <v>74</v>
      </c>
    </row>
    <row r="34762" spans="9:9" x14ac:dyDescent="0.2">
      <c r="I34762" s="137" t="s">
        <v>74</v>
      </c>
    </row>
    <row r="34763" spans="9:9" x14ac:dyDescent="0.2">
      <c r="I34763" s="137" t="s">
        <v>74</v>
      </c>
    </row>
    <row r="34764" spans="9:9" x14ac:dyDescent="0.2">
      <c r="I34764" s="137" t="s">
        <v>74</v>
      </c>
    </row>
    <row r="34765" spans="9:9" x14ac:dyDescent="0.2">
      <c r="I34765" s="137" t="s">
        <v>74</v>
      </c>
    </row>
    <row r="34766" spans="9:9" x14ac:dyDescent="0.2">
      <c r="I34766" s="137" t="s">
        <v>74</v>
      </c>
    </row>
    <row r="34767" spans="9:9" x14ac:dyDescent="0.2">
      <c r="I34767" s="137" t="s">
        <v>74</v>
      </c>
    </row>
    <row r="34768" spans="9:9" x14ac:dyDescent="0.2">
      <c r="I34768" s="137" t="s">
        <v>74</v>
      </c>
    </row>
    <row r="34769" spans="9:9" x14ac:dyDescent="0.2">
      <c r="I34769" s="137" t="s">
        <v>74</v>
      </c>
    </row>
    <row r="34770" spans="9:9" x14ac:dyDescent="0.2">
      <c r="I34770" s="137" t="s">
        <v>74</v>
      </c>
    </row>
    <row r="34771" spans="9:9" x14ac:dyDescent="0.2">
      <c r="I34771" s="137" t="s">
        <v>74</v>
      </c>
    </row>
    <row r="34772" spans="9:9" x14ac:dyDescent="0.2">
      <c r="I34772" s="137" t="s">
        <v>74</v>
      </c>
    </row>
    <row r="34773" spans="9:9" x14ac:dyDescent="0.2">
      <c r="I34773" s="137" t="s">
        <v>74</v>
      </c>
    </row>
    <row r="34774" spans="9:9" x14ac:dyDescent="0.2">
      <c r="I34774" s="137" t="s">
        <v>74</v>
      </c>
    </row>
    <row r="34775" spans="9:9" x14ac:dyDescent="0.2">
      <c r="I34775" s="137" t="s">
        <v>74</v>
      </c>
    </row>
    <row r="34776" spans="9:9" x14ac:dyDescent="0.2">
      <c r="I34776" s="137" t="s">
        <v>74</v>
      </c>
    </row>
    <row r="34777" spans="9:9" x14ac:dyDescent="0.2">
      <c r="I34777" s="137" t="s">
        <v>74</v>
      </c>
    </row>
    <row r="34778" spans="9:9" x14ac:dyDescent="0.2">
      <c r="I34778" s="137" t="s">
        <v>74</v>
      </c>
    </row>
    <row r="34779" spans="9:9" x14ac:dyDescent="0.2">
      <c r="I34779" s="137" t="s">
        <v>74</v>
      </c>
    </row>
    <row r="34780" spans="9:9" x14ac:dyDescent="0.2">
      <c r="I34780" s="137" t="s">
        <v>74</v>
      </c>
    </row>
    <row r="34781" spans="9:9" x14ac:dyDescent="0.2">
      <c r="I34781" s="137" t="s">
        <v>74</v>
      </c>
    </row>
    <row r="34782" spans="9:9" x14ac:dyDescent="0.2">
      <c r="I34782" s="137" t="s">
        <v>74</v>
      </c>
    </row>
    <row r="34783" spans="9:9" x14ac:dyDescent="0.2">
      <c r="I34783" s="137" t="s">
        <v>74</v>
      </c>
    </row>
    <row r="34784" spans="9:9" x14ac:dyDescent="0.2">
      <c r="I34784" s="137" t="s">
        <v>74</v>
      </c>
    </row>
    <row r="34785" spans="9:9" x14ac:dyDescent="0.2">
      <c r="I34785" s="137" t="s">
        <v>74</v>
      </c>
    </row>
    <row r="34786" spans="9:9" x14ac:dyDescent="0.2">
      <c r="I34786" s="137" t="s">
        <v>74</v>
      </c>
    </row>
    <row r="34787" spans="9:9" x14ac:dyDescent="0.2">
      <c r="I34787" s="137" t="s">
        <v>74</v>
      </c>
    </row>
    <row r="34788" spans="9:9" x14ac:dyDescent="0.2">
      <c r="I34788" s="137" t="s">
        <v>74</v>
      </c>
    </row>
    <row r="34789" spans="9:9" x14ac:dyDescent="0.2">
      <c r="I34789" s="137" t="s">
        <v>74</v>
      </c>
    </row>
    <row r="34790" spans="9:9" x14ac:dyDescent="0.2">
      <c r="I34790" s="137" t="s">
        <v>74</v>
      </c>
    </row>
    <row r="34791" spans="9:9" x14ac:dyDescent="0.2">
      <c r="I34791" s="137" t="s">
        <v>74</v>
      </c>
    </row>
    <row r="34792" spans="9:9" x14ac:dyDescent="0.2">
      <c r="I34792" s="137" t="s">
        <v>74</v>
      </c>
    </row>
    <row r="34793" spans="9:9" x14ac:dyDescent="0.2">
      <c r="I34793" s="137" t="s">
        <v>74</v>
      </c>
    </row>
    <row r="34794" spans="9:9" x14ac:dyDescent="0.2">
      <c r="I34794" s="137" t="s">
        <v>74</v>
      </c>
    </row>
    <row r="34795" spans="9:9" x14ac:dyDescent="0.2">
      <c r="I34795" s="137" t="s">
        <v>74</v>
      </c>
    </row>
    <row r="34796" spans="9:9" x14ac:dyDescent="0.2">
      <c r="I34796" s="137" t="s">
        <v>74</v>
      </c>
    </row>
    <row r="34797" spans="9:9" x14ac:dyDescent="0.2">
      <c r="I34797" s="137" t="s">
        <v>74</v>
      </c>
    </row>
    <row r="34798" spans="9:9" x14ac:dyDescent="0.2">
      <c r="I34798" s="137" t="s">
        <v>74</v>
      </c>
    </row>
    <row r="34799" spans="9:9" x14ac:dyDescent="0.2">
      <c r="I34799" s="137" t="s">
        <v>74</v>
      </c>
    </row>
    <row r="34800" spans="9:9" x14ac:dyDescent="0.2">
      <c r="I34800" s="137" t="s">
        <v>74</v>
      </c>
    </row>
    <row r="34801" spans="9:9" x14ac:dyDescent="0.2">
      <c r="I34801" s="137" t="s">
        <v>74</v>
      </c>
    </row>
    <row r="34802" spans="9:9" x14ac:dyDescent="0.2">
      <c r="I34802" s="137" t="s">
        <v>74</v>
      </c>
    </row>
    <row r="34803" spans="9:9" x14ac:dyDescent="0.2">
      <c r="I34803" s="137" t="s">
        <v>74</v>
      </c>
    </row>
    <row r="34804" spans="9:9" x14ac:dyDescent="0.2">
      <c r="I34804" s="137" t="s">
        <v>74</v>
      </c>
    </row>
    <row r="34805" spans="9:9" x14ac:dyDescent="0.2">
      <c r="I34805" s="137" t="s">
        <v>74</v>
      </c>
    </row>
    <row r="34806" spans="9:9" x14ac:dyDescent="0.2">
      <c r="I34806" s="137" t="s">
        <v>74</v>
      </c>
    </row>
    <row r="34807" spans="9:9" x14ac:dyDescent="0.2">
      <c r="I34807" s="137" t="s">
        <v>74</v>
      </c>
    </row>
    <row r="34808" spans="9:9" x14ac:dyDescent="0.2">
      <c r="I34808" s="137" t="s">
        <v>74</v>
      </c>
    </row>
    <row r="34809" spans="9:9" x14ac:dyDescent="0.2">
      <c r="I34809" s="137" t="s">
        <v>74</v>
      </c>
    </row>
    <row r="34810" spans="9:9" x14ac:dyDescent="0.2">
      <c r="I34810" s="137" t="s">
        <v>74</v>
      </c>
    </row>
    <row r="34811" spans="9:9" x14ac:dyDescent="0.2">
      <c r="I34811" s="137" t="s">
        <v>74</v>
      </c>
    </row>
    <row r="34812" spans="9:9" x14ac:dyDescent="0.2">
      <c r="I34812" s="137" t="s">
        <v>74</v>
      </c>
    </row>
    <row r="34813" spans="9:9" x14ac:dyDescent="0.2">
      <c r="I34813" s="137" t="s">
        <v>74</v>
      </c>
    </row>
    <row r="34814" spans="9:9" x14ac:dyDescent="0.2">
      <c r="I34814" s="137" t="s">
        <v>74</v>
      </c>
    </row>
    <row r="34815" spans="9:9" x14ac:dyDescent="0.2">
      <c r="I34815" s="137" t="s">
        <v>74</v>
      </c>
    </row>
    <row r="34816" spans="9:9" x14ac:dyDescent="0.2">
      <c r="I34816" s="137" t="s">
        <v>74</v>
      </c>
    </row>
    <row r="34817" spans="9:9" x14ac:dyDescent="0.2">
      <c r="I34817" s="137" t="s">
        <v>74</v>
      </c>
    </row>
    <row r="34818" spans="9:9" x14ac:dyDescent="0.2">
      <c r="I34818" s="137" t="s">
        <v>74</v>
      </c>
    </row>
    <row r="34819" spans="9:9" x14ac:dyDescent="0.2">
      <c r="I34819" s="137" t="s">
        <v>74</v>
      </c>
    </row>
    <row r="34820" spans="9:9" x14ac:dyDescent="0.2">
      <c r="I34820" s="137" t="s">
        <v>74</v>
      </c>
    </row>
    <row r="34821" spans="9:9" x14ac:dyDescent="0.2">
      <c r="I34821" s="137" t="s">
        <v>74</v>
      </c>
    </row>
    <row r="34822" spans="9:9" x14ac:dyDescent="0.2">
      <c r="I34822" s="137" t="s">
        <v>74</v>
      </c>
    </row>
    <row r="34823" spans="9:9" x14ac:dyDescent="0.2">
      <c r="I34823" s="137" t="s">
        <v>74</v>
      </c>
    </row>
    <row r="34824" spans="9:9" x14ac:dyDescent="0.2">
      <c r="I34824" s="137" t="s">
        <v>74</v>
      </c>
    </row>
    <row r="34825" spans="9:9" x14ac:dyDescent="0.2">
      <c r="I34825" s="137" t="s">
        <v>74</v>
      </c>
    </row>
    <row r="34826" spans="9:9" x14ac:dyDescent="0.2">
      <c r="I34826" s="137" t="s">
        <v>74</v>
      </c>
    </row>
    <row r="34827" spans="9:9" x14ac:dyDescent="0.2">
      <c r="I34827" s="137" t="s">
        <v>74</v>
      </c>
    </row>
    <row r="34828" spans="9:9" x14ac:dyDescent="0.2">
      <c r="I34828" s="137" t="s">
        <v>74</v>
      </c>
    </row>
    <row r="34829" spans="9:9" x14ac:dyDescent="0.2">
      <c r="I34829" s="137" t="s">
        <v>74</v>
      </c>
    </row>
    <row r="34830" spans="9:9" x14ac:dyDescent="0.2">
      <c r="I34830" s="137" t="s">
        <v>74</v>
      </c>
    </row>
    <row r="34831" spans="9:9" x14ac:dyDescent="0.2">
      <c r="I34831" s="137" t="s">
        <v>74</v>
      </c>
    </row>
    <row r="34832" spans="9:9" x14ac:dyDescent="0.2">
      <c r="I34832" s="137" t="s">
        <v>74</v>
      </c>
    </row>
    <row r="34833" spans="9:9" x14ac:dyDescent="0.2">
      <c r="I34833" s="137" t="s">
        <v>74</v>
      </c>
    </row>
    <row r="34834" spans="9:9" x14ac:dyDescent="0.2">
      <c r="I34834" s="137" t="s">
        <v>74</v>
      </c>
    </row>
    <row r="34835" spans="9:9" x14ac:dyDescent="0.2">
      <c r="I34835" s="137" t="s">
        <v>74</v>
      </c>
    </row>
    <row r="34836" spans="9:9" x14ac:dyDescent="0.2">
      <c r="I34836" s="137" t="s">
        <v>74</v>
      </c>
    </row>
    <row r="34837" spans="9:9" x14ac:dyDescent="0.2">
      <c r="I34837" s="137" t="s">
        <v>74</v>
      </c>
    </row>
    <row r="34838" spans="9:9" x14ac:dyDescent="0.2">
      <c r="I34838" s="137" t="s">
        <v>74</v>
      </c>
    </row>
    <row r="34839" spans="9:9" x14ac:dyDescent="0.2">
      <c r="I34839" s="137" t="s">
        <v>74</v>
      </c>
    </row>
    <row r="34840" spans="9:9" x14ac:dyDescent="0.2">
      <c r="I34840" s="137" t="s">
        <v>74</v>
      </c>
    </row>
    <row r="34841" spans="9:9" x14ac:dyDescent="0.2">
      <c r="I34841" s="137" t="s">
        <v>74</v>
      </c>
    </row>
    <row r="34842" spans="9:9" x14ac:dyDescent="0.2">
      <c r="I34842" s="137" t="s">
        <v>74</v>
      </c>
    </row>
    <row r="34843" spans="9:9" x14ac:dyDescent="0.2">
      <c r="I34843" s="137" t="s">
        <v>74</v>
      </c>
    </row>
    <row r="34844" spans="9:9" x14ac:dyDescent="0.2">
      <c r="I34844" s="137" t="s">
        <v>74</v>
      </c>
    </row>
    <row r="34845" spans="9:9" x14ac:dyDescent="0.2">
      <c r="I34845" s="137" t="s">
        <v>74</v>
      </c>
    </row>
    <row r="34846" spans="9:9" x14ac:dyDescent="0.2">
      <c r="I34846" s="137" t="s">
        <v>74</v>
      </c>
    </row>
    <row r="34847" spans="9:9" x14ac:dyDescent="0.2">
      <c r="I34847" s="137" t="s">
        <v>74</v>
      </c>
    </row>
    <row r="34848" spans="9:9" x14ac:dyDescent="0.2">
      <c r="I34848" s="137" t="s">
        <v>74</v>
      </c>
    </row>
    <row r="34849" spans="9:9" x14ac:dyDescent="0.2">
      <c r="I34849" s="137" t="s">
        <v>74</v>
      </c>
    </row>
    <row r="34850" spans="9:9" x14ac:dyDescent="0.2">
      <c r="I34850" s="137" t="s">
        <v>74</v>
      </c>
    </row>
    <row r="34851" spans="9:9" x14ac:dyDescent="0.2">
      <c r="I34851" s="137" t="s">
        <v>74</v>
      </c>
    </row>
    <row r="34852" spans="9:9" x14ac:dyDescent="0.2">
      <c r="I34852" s="137" t="s">
        <v>74</v>
      </c>
    </row>
    <row r="34853" spans="9:9" x14ac:dyDescent="0.2">
      <c r="I34853" s="137" t="s">
        <v>74</v>
      </c>
    </row>
    <row r="34854" spans="9:9" x14ac:dyDescent="0.2">
      <c r="I34854" s="137" t="s">
        <v>74</v>
      </c>
    </row>
    <row r="34855" spans="9:9" x14ac:dyDescent="0.2">
      <c r="I34855" s="137" t="s">
        <v>74</v>
      </c>
    </row>
    <row r="34856" spans="9:9" x14ac:dyDescent="0.2">
      <c r="I34856" s="137" t="s">
        <v>74</v>
      </c>
    </row>
    <row r="34857" spans="9:9" x14ac:dyDescent="0.2">
      <c r="I34857" s="137" t="s">
        <v>74</v>
      </c>
    </row>
    <row r="34858" spans="9:9" x14ac:dyDescent="0.2">
      <c r="I34858" s="137" t="s">
        <v>74</v>
      </c>
    </row>
    <row r="34859" spans="9:9" x14ac:dyDescent="0.2">
      <c r="I34859" s="137" t="s">
        <v>74</v>
      </c>
    </row>
    <row r="34860" spans="9:9" x14ac:dyDescent="0.2">
      <c r="I34860" s="137" t="s">
        <v>74</v>
      </c>
    </row>
    <row r="34861" spans="9:9" x14ac:dyDescent="0.2">
      <c r="I34861" s="137" t="s">
        <v>74</v>
      </c>
    </row>
    <row r="34862" spans="9:9" x14ac:dyDescent="0.2">
      <c r="I34862" s="137" t="s">
        <v>74</v>
      </c>
    </row>
    <row r="34863" spans="9:9" x14ac:dyDescent="0.2">
      <c r="I34863" s="137" t="s">
        <v>74</v>
      </c>
    </row>
    <row r="34864" spans="9:9" x14ac:dyDescent="0.2">
      <c r="I34864" s="137" t="s">
        <v>74</v>
      </c>
    </row>
    <row r="34865" spans="9:9" x14ac:dyDescent="0.2">
      <c r="I34865" s="137" t="s">
        <v>74</v>
      </c>
    </row>
    <row r="34866" spans="9:9" x14ac:dyDescent="0.2">
      <c r="I34866" s="137" t="s">
        <v>74</v>
      </c>
    </row>
    <row r="34867" spans="9:9" x14ac:dyDescent="0.2">
      <c r="I34867" s="137" t="s">
        <v>74</v>
      </c>
    </row>
    <row r="34868" spans="9:9" x14ac:dyDescent="0.2">
      <c r="I34868" s="137" t="s">
        <v>74</v>
      </c>
    </row>
    <row r="34869" spans="9:9" x14ac:dyDescent="0.2">
      <c r="I34869" s="137" t="s">
        <v>74</v>
      </c>
    </row>
    <row r="34870" spans="9:9" x14ac:dyDescent="0.2">
      <c r="I34870" s="137" t="s">
        <v>74</v>
      </c>
    </row>
    <row r="34871" spans="9:9" x14ac:dyDescent="0.2">
      <c r="I34871" s="137" t="s">
        <v>74</v>
      </c>
    </row>
    <row r="34872" spans="9:9" x14ac:dyDescent="0.2">
      <c r="I34872" s="137" t="s">
        <v>74</v>
      </c>
    </row>
    <row r="34873" spans="9:9" x14ac:dyDescent="0.2">
      <c r="I34873" s="137" t="s">
        <v>74</v>
      </c>
    </row>
    <row r="34874" spans="9:9" x14ac:dyDescent="0.2">
      <c r="I34874" s="137" t="s">
        <v>74</v>
      </c>
    </row>
    <row r="34875" spans="9:9" x14ac:dyDescent="0.2">
      <c r="I34875" s="137" t="s">
        <v>74</v>
      </c>
    </row>
    <row r="34876" spans="9:9" x14ac:dyDescent="0.2">
      <c r="I34876" s="137" t="s">
        <v>74</v>
      </c>
    </row>
    <row r="34877" spans="9:9" x14ac:dyDescent="0.2">
      <c r="I34877" s="137" t="s">
        <v>74</v>
      </c>
    </row>
    <row r="34878" spans="9:9" x14ac:dyDescent="0.2">
      <c r="I34878" s="137" t="s">
        <v>74</v>
      </c>
    </row>
    <row r="34879" spans="9:9" x14ac:dyDescent="0.2">
      <c r="I34879" s="137" t="s">
        <v>74</v>
      </c>
    </row>
    <row r="34880" spans="9:9" x14ac:dyDescent="0.2">
      <c r="I34880" s="137" t="s">
        <v>74</v>
      </c>
    </row>
    <row r="34881" spans="9:9" x14ac:dyDescent="0.2">
      <c r="I34881" s="137" t="s">
        <v>74</v>
      </c>
    </row>
    <row r="34882" spans="9:9" x14ac:dyDescent="0.2">
      <c r="I34882" s="137" t="s">
        <v>74</v>
      </c>
    </row>
    <row r="34883" spans="9:9" x14ac:dyDescent="0.2">
      <c r="I34883" s="137" t="s">
        <v>74</v>
      </c>
    </row>
    <row r="34884" spans="9:9" x14ac:dyDescent="0.2">
      <c r="I34884" s="137" t="s">
        <v>74</v>
      </c>
    </row>
    <row r="34885" spans="9:9" x14ac:dyDescent="0.2">
      <c r="I34885" s="137" t="s">
        <v>74</v>
      </c>
    </row>
    <row r="34886" spans="9:9" x14ac:dyDescent="0.2">
      <c r="I34886" s="137" t="s">
        <v>74</v>
      </c>
    </row>
    <row r="34887" spans="9:9" x14ac:dyDescent="0.2">
      <c r="I34887" s="137" t="s">
        <v>74</v>
      </c>
    </row>
    <row r="34888" spans="9:9" x14ac:dyDescent="0.2">
      <c r="I34888" s="137" t="s">
        <v>74</v>
      </c>
    </row>
    <row r="34889" spans="9:9" x14ac:dyDescent="0.2">
      <c r="I34889" s="137" t="s">
        <v>74</v>
      </c>
    </row>
    <row r="34890" spans="9:9" x14ac:dyDescent="0.2">
      <c r="I34890" s="137" t="s">
        <v>74</v>
      </c>
    </row>
    <row r="34891" spans="9:9" x14ac:dyDescent="0.2">
      <c r="I34891" s="137" t="s">
        <v>74</v>
      </c>
    </row>
    <row r="34892" spans="9:9" x14ac:dyDescent="0.2">
      <c r="I34892" s="137" t="s">
        <v>74</v>
      </c>
    </row>
    <row r="34893" spans="9:9" x14ac:dyDescent="0.2">
      <c r="I34893" s="137" t="s">
        <v>74</v>
      </c>
    </row>
    <row r="34894" spans="9:9" x14ac:dyDescent="0.2">
      <c r="I34894" s="137" t="s">
        <v>74</v>
      </c>
    </row>
    <row r="34895" spans="9:9" x14ac:dyDescent="0.2">
      <c r="I34895" s="137" t="s">
        <v>74</v>
      </c>
    </row>
    <row r="34896" spans="9:9" x14ac:dyDescent="0.2">
      <c r="I34896" s="137" t="s">
        <v>74</v>
      </c>
    </row>
    <row r="34897" spans="9:9" x14ac:dyDescent="0.2">
      <c r="I34897" s="137" t="s">
        <v>74</v>
      </c>
    </row>
    <row r="34898" spans="9:9" x14ac:dyDescent="0.2">
      <c r="I34898" s="137" t="s">
        <v>74</v>
      </c>
    </row>
    <row r="34899" spans="9:9" x14ac:dyDescent="0.2">
      <c r="I34899" s="137" t="s">
        <v>74</v>
      </c>
    </row>
    <row r="34900" spans="9:9" x14ac:dyDescent="0.2">
      <c r="I34900" s="137" t="s">
        <v>74</v>
      </c>
    </row>
    <row r="34901" spans="9:9" x14ac:dyDescent="0.2">
      <c r="I34901" s="137" t="s">
        <v>74</v>
      </c>
    </row>
    <row r="34902" spans="9:9" x14ac:dyDescent="0.2">
      <c r="I34902" s="137" t="s">
        <v>74</v>
      </c>
    </row>
    <row r="34903" spans="9:9" x14ac:dyDescent="0.2">
      <c r="I34903" s="137" t="s">
        <v>74</v>
      </c>
    </row>
    <row r="34904" spans="9:9" x14ac:dyDescent="0.2">
      <c r="I34904" s="137" t="s">
        <v>74</v>
      </c>
    </row>
    <row r="34905" spans="9:9" x14ac:dyDescent="0.2">
      <c r="I34905" s="137" t="s">
        <v>74</v>
      </c>
    </row>
    <row r="34906" spans="9:9" x14ac:dyDescent="0.2">
      <c r="I34906" s="137" t="s">
        <v>74</v>
      </c>
    </row>
    <row r="34907" spans="9:9" x14ac:dyDescent="0.2">
      <c r="I34907" s="137" t="s">
        <v>74</v>
      </c>
    </row>
    <row r="34908" spans="9:9" x14ac:dyDescent="0.2">
      <c r="I34908" s="137" t="s">
        <v>74</v>
      </c>
    </row>
    <row r="34909" spans="9:9" x14ac:dyDescent="0.2">
      <c r="I34909" s="137" t="s">
        <v>74</v>
      </c>
    </row>
    <row r="34910" spans="9:9" x14ac:dyDescent="0.2">
      <c r="I34910" s="137" t="s">
        <v>74</v>
      </c>
    </row>
    <row r="34911" spans="9:9" x14ac:dyDescent="0.2">
      <c r="I34911" s="137" t="s">
        <v>74</v>
      </c>
    </row>
    <row r="34912" spans="9:9" x14ac:dyDescent="0.2">
      <c r="I34912" s="137" t="s">
        <v>74</v>
      </c>
    </row>
    <row r="34913" spans="9:9" x14ac:dyDescent="0.2">
      <c r="I34913" s="137" t="s">
        <v>74</v>
      </c>
    </row>
    <row r="34914" spans="9:9" x14ac:dyDescent="0.2">
      <c r="I34914" s="137" t="s">
        <v>74</v>
      </c>
    </row>
    <row r="34915" spans="9:9" x14ac:dyDescent="0.2">
      <c r="I34915" s="137" t="s">
        <v>74</v>
      </c>
    </row>
    <row r="34916" spans="9:9" x14ac:dyDescent="0.2">
      <c r="I34916" s="137" t="s">
        <v>74</v>
      </c>
    </row>
    <row r="34917" spans="9:9" x14ac:dyDescent="0.2">
      <c r="I34917" s="137" t="s">
        <v>74</v>
      </c>
    </row>
    <row r="34918" spans="9:9" x14ac:dyDescent="0.2">
      <c r="I34918" s="137" t="s">
        <v>74</v>
      </c>
    </row>
    <row r="34919" spans="9:9" x14ac:dyDescent="0.2">
      <c r="I34919" s="137" t="s">
        <v>74</v>
      </c>
    </row>
    <row r="34920" spans="9:9" x14ac:dyDescent="0.2">
      <c r="I34920" s="137" t="s">
        <v>74</v>
      </c>
    </row>
    <row r="34921" spans="9:9" x14ac:dyDescent="0.2">
      <c r="I34921" s="137" t="s">
        <v>74</v>
      </c>
    </row>
    <row r="34922" spans="9:9" x14ac:dyDescent="0.2">
      <c r="I34922" s="137" t="s">
        <v>74</v>
      </c>
    </row>
    <row r="34923" spans="9:9" x14ac:dyDescent="0.2">
      <c r="I34923" s="137" t="s">
        <v>74</v>
      </c>
    </row>
    <row r="34924" spans="9:9" x14ac:dyDescent="0.2">
      <c r="I34924" s="137" t="s">
        <v>74</v>
      </c>
    </row>
    <row r="34925" spans="9:9" x14ac:dyDescent="0.2">
      <c r="I34925" s="137" t="s">
        <v>74</v>
      </c>
    </row>
    <row r="34926" spans="9:9" x14ac:dyDescent="0.2">
      <c r="I34926" s="137" t="s">
        <v>74</v>
      </c>
    </row>
    <row r="34927" spans="9:9" x14ac:dyDescent="0.2">
      <c r="I34927" s="137" t="s">
        <v>74</v>
      </c>
    </row>
    <row r="34928" spans="9:9" x14ac:dyDescent="0.2">
      <c r="I34928" s="137" t="s">
        <v>74</v>
      </c>
    </row>
    <row r="34929" spans="9:9" x14ac:dyDescent="0.2">
      <c r="I34929" s="137" t="s">
        <v>74</v>
      </c>
    </row>
    <row r="34930" spans="9:9" x14ac:dyDescent="0.2">
      <c r="I34930" s="137" t="s">
        <v>74</v>
      </c>
    </row>
    <row r="34931" spans="9:9" x14ac:dyDescent="0.2">
      <c r="I34931" s="137" t="s">
        <v>74</v>
      </c>
    </row>
    <row r="34932" spans="9:9" x14ac:dyDescent="0.2">
      <c r="I34932" s="137" t="s">
        <v>74</v>
      </c>
    </row>
    <row r="34933" spans="9:9" x14ac:dyDescent="0.2">
      <c r="I34933" s="137" t="s">
        <v>74</v>
      </c>
    </row>
    <row r="34934" spans="9:9" x14ac:dyDescent="0.2">
      <c r="I34934" s="137" t="s">
        <v>74</v>
      </c>
    </row>
    <row r="34935" spans="9:9" x14ac:dyDescent="0.2">
      <c r="I34935" s="137" t="s">
        <v>74</v>
      </c>
    </row>
    <row r="34936" spans="9:9" x14ac:dyDescent="0.2">
      <c r="I34936" s="137" t="s">
        <v>74</v>
      </c>
    </row>
    <row r="34937" spans="9:9" x14ac:dyDescent="0.2">
      <c r="I34937" s="137" t="s">
        <v>74</v>
      </c>
    </row>
    <row r="34938" spans="9:9" x14ac:dyDescent="0.2">
      <c r="I34938" s="137" t="s">
        <v>74</v>
      </c>
    </row>
    <row r="34939" spans="9:9" x14ac:dyDescent="0.2">
      <c r="I34939" s="137" t="s">
        <v>74</v>
      </c>
    </row>
    <row r="34940" spans="9:9" x14ac:dyDescent="0.2">
      <c r="I34940" s="137" t="s">
        <v>74</v>
      </c>
    </row>
    <row r="34941" spans="9:9" x14ac:dyDescent="0.2">
      <c r="I34941" s="137" t="s">
        <v>74</v>
      </c>
    </row>
    <row r="34942" spans="9:9" x14ac:dyDescent="0.2">
      <c r="I34942" s="137" t="s">
        <v>74</v>
      </c>
    </row>
    <row r="34943" spans="9:9" x14ac:dyDescent="0.2">
      <c r="I34943" s="137" t="s">
        <v>74</v>
      </c>
    </row>
    <row r="34944" spans="9:9" x14ac:dyDescent="0.2">
      <c r="I34944" s="137" t="s">
        <v>74</v>
      </c>
    </row>
    <row r="34945" spans="9:9" x14ac:dyDescent="0.2">
      <c r="I34945" s="137" t="s">
        <v>74</v>
      </c>
    </row>
    <row r="34946" spans="9:9" x14ac:dyDescent="0.2">
      <c r="I34946" s="137" t="s">
        <v>74</v>
      </c>
    </row>
    <row r="34947" spans="9:9" x14ac:dyDescent="0.2">
      <c r="I34947" s="137" t="s">
        <v>74</v>
      </c>
    </row>
    <row r="34948" spans="9:9" x14ac:dyDescent="0.2">
      <c r="I34948" s="137" t="s">
        <v>74</v>
      </c>
    </row>
    <row r="34949" spans="9:9" x14ac:dyDescent="0.2">
      <c r="I34949" s="137" t="s">
        <v>74</v>
      </c>
    </row>
    <row r="34950" spans="9:9" x14ac:dyDescent="0.2">
      <c r="I34950" s="137" t="s">
        <v>74</v>
      </c>
    </row>
    <row r="34951" spans="9:9" x14ac:dyDescent="0.2">
      <c r="I34951" s="137" t="s">
        <v>74</v>
      </c>
    </row>
    <row r="34952" spans="9:9" x14ac:dyDescent="0.2">
      <c r="I34952" s="137" t="s">
        <v>74</v>
      </c>
    </row>
    <row r="34953" spans="9:9" x14ac:dyDescent="0.2">
      <c r="I34953" s="137" t="s">
        <v>74</v>
      </c>
    </row>
    <row r="34954" spans="9:9" x14ac:dyDescent="0.2">
      <c r="I34954" s="137" t="s">
        <v>74</v>
      </c>
    </row>
    <row r="34955" spans="9:9" x14ac:dyDescent="0.2">
      <c r="I34955" s="137" t="s">
        <v>74</v>
      </c>
    </row>
    <row r="34956" spans="9:9" x14ac:dyDescent="0.2">
      <c r="I34956" s="137" t="s">
        <v>74</v>
      </c>
    </row>
    <row r="34957" spans="9:9" x14ac:dyDescent="0.2">
      <c r="I34957" s="137" t="s">
        <v>74</v>
      </c>
    </row>
    <row r="34958" spans="9:9" x14ac:dyDescent="0.2">
      <c r="I34958" s="137" t="s">
        <v>74</v>
      </c>
    </row>
    <row r="34959" spans="9:9" x14ac:dyDescent="0.2">
      <c r="I34959" s="137" t="s">
        <v>74</v>
      </c>
    </row>
    <row r="34960" spans="9:9" x14ac:dyDescent="0.2">
      <c r="I34960" s="137" t="s">
        <v>74</v>
      </c>
    </row>
    <row r="34961" spans="9:9" x14ac:dyDescent="0.2">
      <c r="I34961" s="137" t="s">
        <v>74</v>
      </c>
    </row>
    <row r="34962" spans="9:9" x14ac:dyDescent="0.2">
      <c r="I34962" s="137" t="s">
        <v>74</v>
      </c>
    </row>
    <row r="34963" spans="9:9" x14ac:dyDescent="0.2">
      <c r="I34963" s="137" t="s">
        <v>74</v>
      </c>
    </row>
    <row r="34964" spans="9:9" x14ac:dyDescent="0.2">
      <c r="I34964" s="137" t="s">
        <v>74</v>
      </c>
    </row>
    <row r="34965" spans="9:9" x14ac:dyDescent="0.2">
      <c r="I34965" s="137" t="s">
        <v>74</v>
      </c>
    </row>
    <row r="34966" spans="9:9" x14ac:dyDescent="0.2">
      <c r="I34966" s="137" t="s">
        <v>74</v>
      </c>
    </row>
    <row r="34967" spans="9:9" x14ac:dyDescent="0.2">
      <c r="I34967" s="137" t="s">
        <v>74</v>
      </c>
    </row>
    <row r="34968" spans="9:9" x14ac:dyDescent="0.2">
      <c r="I34968" s="137" t="s">
        <v>74</v>
      </c>
    </row>
    <row r="34969" spans="9:9" x14ac:dyDescent="0.2">
      <c r="I34969" s="137" t="s">
        <v>74</v>
      </c>
    </row>
    <row r="34970" spans="9:9" x14ac:dyDescent="0.2">
      <c r="I34970" s="137" t="s">
        <v>74</v>
      </c>
    </row>
    <row r="34971" spans="9:9" x14ac:dyDescent="0.2">
      <c r="I34971" s="137" t="s">
        <v>74</v>
      </c>
    </row>
    <row r="34972" spans="9:9" x14ac:dyDescent="0.2">
      <c r="I34972" s="137" t="s">
        <v>74</v>
      </c>
    </row>
    <row r="34973" spans="9:9" x14ac:dyDescent="0.2">
      <c r="I34973" s="137" t="s">
        <v>74</v>
      </c>
    </row>
    <row r="34974" spans="9:9" x14ac:dyDescent="0.2">
      <c r="I34974" s="137" t="s">
        <v>74</v>
      </c>
    </row>
    <row r="34975" spans="9:9" x14ac:dyDescent="0.2">
      <c r="I34975" s="137" t="s">
        <v>74</v>
      </c>
    </row>
    <row r="34976" spans="9:9" x14ac:dyDescent="0.2">
      <c r="I34976" s="137" t="s">
        <v>74</v>
      </c>
    </row>
    <row r="34977" spans="9:9" x14ac:dyDescent="0.2">
      <c r="I34977" s="137" t="s">
        <v>74</v>
      </c>
    </row>
    <row r="34978" spans="9:9" x14ac:dyDescent="0.2">
      <c r="I34978" s="137" t="s">
        <v>74</v>
      </c>
    </row>
    <row r="34979" spans="9:9" x14ac:dyDescent="0.2">
      <c r="I34979" s="137" t="s">
        <v>74</v>
      </c>
    </row>
    <row r="34980" spans="9:9" x14ac:dyDescent="0.2">
      <c r="I34980" s="137" t="s">
        <v>74</v>
      </c>
    </row>
    <row r="34981" spans="9:9" x14ac:dyDescent="0.2">
      <c r="I34981" s="137" t="s">
        <v>74</v>
      </c>
    </row>
    <row r="34982" spans="9:9" x14ac:dyDescent="0.2">
      <c r="I34982" s="137" t="s">
        <v>74</v>
      </c>
    </row>
    <row r="34983" spans="9:9" x14ac:dyDescent="0.2">
      <c r="I34983" s="137" t="s">
        <v>74</v>
      </c>
    </row>
    <row r="34984" spans="9:9" x14ac:dyDescent="0.2">
      <c r="I34984" s="137" t="s">
        <v>74</v>
      </c>
    </row>
    <row r="34985" spans="9:9" x14ac:dyDescent="0.2">
      <c r="I34985" s="137" t="s">
        <v>74</v>
      </c>
    </row>
    <row r="34986" spans="9:9" x14ac:dyDescent="0.2">
      <c r="I34986" s="137" t="s">
        <v>74</v>
      </c>
    </row>
    <row r="34987" spans="9:9" x14ac:dyDescent="0.2">
      <c r="I34987" s="137" t="s">
        <v>74</v>
      </c>
    </row>
    <row r="34988" spans="9:9" x14ac:dyDescent="0.2">
      <c r="I34988" s="137" t="s">
        <v>74</v>
      </c>
    </row>
    <row r="34989" spans="9:9" x14ac:dyDescent="0.2">
      <c r="I34989" s="137" t="s">
        <v>74</v>
      </c>
    </row>
    <row r="34990" spans="9:9" x14ac:dyDescent="0.2">
      <c r="I34990" s="137" t="s">
        <v>74</v>
      </c>
    </row>
    <row r="34991" spans="9:9" x14ac:dyDescent="0.2">
      <c r="I34991" s="137" t="s">
        <v>74</v>
      </c>
    </row>
    <row r="34992" spans="9:9" x14ac:dyDescent="0.2">
      <c r="I34992" s="137" t="s">
        <v>74</v>
      </c>
    </row>
    <row r="34993" spans="9:9" x14ac:dyDescent="0.2">
      <c r="I34993" s="137" t="s">
        <v>74</v>
      </c>
    </row>
    <row r="34994" spans="9:9" x14ac:dyDescent="0.2">
      <c r="I34994" s="137" t="s">
        <v>74</v>
      </c>
    </row>
    <row r="34995" spans="9:9" x14ac:dyDescent="0.2">
      <c r="I34995" s="137" t="s">
        <v>74</v>
      </c>
    </row>
    <row r="34996" spans="9:9" x14ac:dyDescent="0.2">
      <c r="I34996" s="137" t="s">
        <v>74</v>
      </c>
    </row>
    <row r="34997" spans="9:9" x14ac:dyDescent="0.2">
      <c r="I34997" s="137" t="s">
        <v>74</v>
      </c>
    </row>
    <row r="34998" spans="9:9" x14ac:dyDescent="0.2">
      <c r="I34998" s="137" t="s">
        <v>74</v>
      </c>
    </row>
    <row r="34999" spans="9:9" x14ac:dyDescent="0.2">
      <c r="I34999" s="137" t="s">
        <v>74</v>
      </c>
    </row>
    <row r="35000" spans="9:9" x14ac:dyDescent="0.2">
      <c r="I35000" s="137" t="s">
        <v>74</v>
      </c>
    </row>
    <row r="35001" spans="9:9" x14ac:dyDescent="0.2">
      <c r="I35001" s="137" t="s">
        <v>74</v>
      </c>
    </row>
    <row r="35002" spans="9:9" x14ac:dyDescent="0.2">
      <c r="I35002" s="137" t="s">
        <v>74</v>
      </c>
    </row>
    <row r="35003" spans="9:9" x14ac:dyDescent="0.2">
      <c r="I35003" s="137" t="s">
        <v>74</v>
      </c>
    </row>
    <row r="35004" spans="9:9" x14ac:dyDescent="0.2">
      <c r="I35004" s="137" t="s">
        <v>74</v>
      </c>
    </row>
    <row r="35005" spans="9:9" x14ac:dyDescent="0.2">
      <c r="I35005" s="137" t="s">
        <v>74</v>
      </c>
    </row>
    <row r="35006" spans="9:9" x14ac:dyDescent="0.2">
      <c r="I35006" s="137" t="s">
        <v>74</v>
      </c>
    </row>
    <row r="35007" spans="9:9" x14ac:dyDescent="0.2">
      <c r="I35007" s="137" t="s">
        <v>74</v>
      </c>
    </row>
    <row r="35008" spans="9:9" x14ac:dyDescent="0.2">
      <c r="I35008" s="137" t="s">
        <v>74</v>
      </c>
    </row>
    <row r="35009" spans="9:9" x14ac:dyDescent="0.2">
      <c r="I35009" s="137" t="s">
        <v>74</v>
      </c>
    </row>
    <row r="35010" spans="9:9" x14ac:dyDescent="0.2">
      <c r="I35010" s="137" t="s">
        <v>74</v>
      </c>
    </row>
    <row r="35011" spans="9:9" x14ac:dyDescent="0.2">
      <c r="I35011" s="137" t="s">
        <v>74</v>
      </c>
    </row>
    <row r="35012" spans="9:9" x14ac:dyDescent="0.2">
      <c r="I35012" s="137" t="s">
        <v>74</v>
      </c>
    </row>
    <row r="35013" spans="9:9" x14ac:dyDescent="0.2">
      <c r="I35013" s="137" t="s">
        <v>74</v>
      </c>
    </row>
    <row r="35014" spans="9:9" x14ac:dyDescent="0.2">
      <c r="I35014" s="137" t="s">
        <v>74</v>
      </c>
    </row>
    <row r="35015" spans="9:9" x14ac:dyDescent="0.2">
      <c r="I35015" s="137" t="s">
        <v>74</v>
      </c>
    </row>
    <row r="35016" spans="9:9" x14ac:dyDescent="0.2">
      <c r="I35016" s="137" t="s">
        <v>74</v>
      </c>
    </row>
    <row r="35017" spans="9:9" x14ac:dyDescent="0.2">
      <c r="I35017" s="137" t="s">
        <v>74</v>
      </c>
    </row>
    <row r="35018" spans="9:9" x14ac:dyDescent="0.2">
      <c r="I35018" s="137" t="s">
        <v>74</v>
      </c>
    </row>
    <row r="35019" spans="9:9" x14ac:dyDescent="0.2">
      <c r="I35019" s="137" t="s">
        <v>74</v>
      </c>
    </row>
    <row r="35020" spans="9:9" x14ac:dyDescent="0.2">
      <c r="I35020" s="137" t="s">
        <v>74</v>
      </c>
    </row>
    <row r="35021" spans="9:9" x14ac:dyDescent="0.2">
      <c r="I35021" s="137" t="s">
        <v>74</v>
      </c>
    </row>
    <row r="35022" spans="9:9" x14ac:dyDescent="0.2">
      <c r="I35022" s="137" t="s">
        <v>74</v>
      </c>
    </row>
    <row r="35023" spans="9:9" x14ac:dyDescent="0.2">
      <c r="I35023" s="137" t="s">
        <v>74</v>
      </c>
    </row>
    <row r="35024" spans="9:9" x14ac:dyDescent="0.2">
      <c r="I35024" s="137" t="s">
        <v>74</v>
      </c>
    </row>
    <row r="35025" spans="9:9" x14ac:dyDescent="0.2">
      <c r="I35025" s="137" t="s">
        <v>74</v>
      </c>
    </row>
    <row r="35026" spans="9:9" x14ac:dyDescent="0.2">
      <c r="I35026" s="137" t="s">
        <v>74</v>
      </c>
    </row>
    <row r="35027" spans="9:9" x14ac:dyDescent="0.2">
      <c r="I35027" s="137" t="s">
        <v>74</v>
      </c>
    </row>
    <row r="35028" spans="9:9" x14ac:dyDescent="0.2">
      <c r="I35028" s="137" t="s">
        <v>74</v>
      </c>
    </row>
    <row r="35029" spans="9:9" x14ac:dyDescent="0.2">
      <c r="I35029" s="137" t="s">
        <v>74</v>
      </c>
    </row>
    <row r="35030" spans="9:9" x14ac:dyDescent="0.2">
      <c r="I35030" s="137" t="s">
        <v>74</v>
      </c>
    </row>
    <row r="35031" spans="9:9" x14ac:dyDescent="0.2">
      <c r="I35031" s="137" t="s">
        <v>74</v>
      </c>
    </row>
    <row r="35032" spans="9:9" x14ac:dyDescent="0.2">
      <c r="I35032" s="137" t="s">
        <v>74</v>
      </c>
    </row>
    <row r="35033" spans="9:9" x14ac:dyDescent="0.2">
      <c r="I35033" s="137" t="s">
        <v>74</v>
      </c>
    </row>
    <row r="35034" spans="9:9" x14ac:dyDescent="0.2">
      <c r="I35034" s="137" t="s">
        <v>74</v>
      </c>
    </row>
    <row r="35035" spans="9:9" x14ac:dyDescent="0.2">
      <c r="I35035" s="137" t="s">
        <v>74</v>
      </c>
    </row>
    <row r="35036" spans="9:9" x14ac:dyDescent="0.2">
      <c r="I35036" s="137" t="s">
        <v>74</v>
      </c>
    </row>
    <row r="35037" spans="9:9" x14ac:dyDescent="0.2">
      <c r="I35037" s="137" t="s">
        <v>74</v>
      </c>
    </row>
    <row r="35038" spans="9:9" x14ac:dyDescent="0.2">
      <c r="I35038" s="137" t="s">
        <v>74</v>
      </c>
    </row>
    <row r="35039" spans="9:9" x14ac:dyDescent="0.2">
      <c r="I35039" s="137" t="s">
        <v>74</v>
      </c>
    </row>
    <row r="35040" spans="9:9" x14ac:dyDescent="0.2">
      <c r="I35040" s="137" t="s">
        <v>74</v>
      </c>
    </row>
    <row r="35041" spans="9:9" x14ac:dyDescent="0.2">
      <c r="I35041" s="137" t="s">
        <v>74</v>
      </c>
    </row>
    <row r="35042" spans="9:9" x14ac:dyDescent="0.2">
      <c r="I35042" s="137" t="s">
        <v>74</v>
      </c>
    </row>
    <row r="35043" spans="9:9" x14ac:dyDescent="0.2">
      <c r="I35043" s="137" t="s">
        <v>74</v>
      </c>
    </row>
    <row r="35044" spans="9:9" x14ac:dyDescent="0.2">
      <c r="I35044" s="137" t="s">
        <v>74</v>
      </c>
    </row>
    <row r="35045" spans="9:9" x14ac:dyDescent="0.2">
      <c r="I35045" s="137" t="s">
        <v>74</v>
      </c>
    </row>
    <row r="35046" spans="9:9" x14ac:dyDescent="0.2">
      <c r="I35046" s="137" t="s">
        <v>74</v>
      </c>
    </row>
    <row r="35047" spans="9:9" x14ac:dyDescent="0.2">
      <c r="I35047" s="137" t="s">
        <v>74</v>
      </c>
    </row>
    <row r="35048" spans="9:9" x14ac:dyDescent="0.2">
      <c r="I35048" s="137" t="s">
        <v>74</v>
      </c>
    </row>
    <row r="35049" spans="9:9" x14ac:dyDescent="0.2">
      <c r="I35049" s="137" t="s">
        <v>74</v>
      </c>
    </row>
    <row r="35050" spans="9:9" x14ac:dyDescent="0.2">
      <c r="I35050" s="137" t="s">
        <v>74</v>
      </c>
    </row>
    <row r="35051" spans="9:9" x14ac:dyDescent="0.2">
      <c r="I35051" s="137" t="s">
        <v>74</v>
      </c>
    </row>
    <row r="35052" spans="9:9" x14ac:dyDescent="0.2">
      <c r="I35052" s="137" t="s">
        <v>74</v>
      </c>
    </row>
    <row r="35053" spans="9:9" x14ac:dyDescent="0.2">
      <c r="I35053" s="137" t="s">
        <v>74</v>
      </c>
    </row>
    <row r="35054" spans="9:9" x14ac:dyDescent="0.2">
      <c r="I35054" s="137" t="s">
        <v>74</v>
      </c>
    </row>
    <row r="35055" spans="9:9" x14ac:dyDescent="0.2">
      <c r="I35055" s="137" t="s">
        <v>74</v>
      </c>
    </row>
    <row r="35056" spans="9:9" x14ac:dyDescent="0.2">
      <c r="I35056" s="137" t="s">
        <v>74</v>
      </c>
    </row>
    <row r="35057" spans="9:9" x14ac:dyDescent="0.2">
      <c r="I35057" s="137" t="s">
        <v>74</v>
      </c>
    </row>
    <row r="35058" spans="9:9" x14ac:dyDescent="0.2">
      <c r="I35058" s="137" t="s">
        <v>74</v>
      </c>
    </row>
    <row r="35059" spans="9:9" x14ac:dyDescent="0.2">
      <c r="I35059" s="137" t="s">
        <v>74</v>
      </c>
    </row>
    <row r="35060" spans="9:9" x14ac:dyDescent="0.2">
      <c r="I35060" s="137" t="s">
        <v>74</v>
      </c>
    </row>
    <row r="35061" spans="9:9" x14ac:dyDescent="0.2">
      <c r="I35061" s="137" t="s">
        <v>74</v>
      </c>
    </row>
    <row r="35062" spans="9:9" x14ac:dyDescent="0.2">
      <c r="I35062" s="137" t="s">
        <v>74</v>
      </c>
    </row>
    <row r="35063" spans="9:9" x14ac:dyDescent="0.2">
      <c r="I35063" s="137" t="s">
        <v>74</v>
      </c>
    </row>
    <row r="35064" spans="9:9" x14ac:dyDescent="0.2">
      <c r="I35064" s="137" t="s">
        <v>74</v>
      </c>
    </row>
    <row r="35065" spans="9:9" x14ac:dyDescent="0.2">
      <c r="I35065" s="137" t="s">
        <v>74</v>
      </c>
    </row>
    <row r="35066" spans="9:9" x14ac:dyDescent="0.2">
      <c r="I35066" s="137" t="s">
        <v>74</v>
      </c>
    </row>
    <row r="35067" spans="9:9" x14ac:dyDescent="0.2">
      <c r="I35067" s="137" t="s">
        <v>74</v>
      </c>
    </row>
    <row r="35068" spans="9:9" x14ac:dyDescent="0.2">
      <c r="I35068" s="137" t="s">
        <v>74</v>
      </c>
    </row>
    <row r="35069" spans="9:9" x14ac:dyDescent="0.2">
      <c r="I35069" s="137" t="s">
        <v>74</v>
      </c>
    </row>
    <row r="35070" spans="9:9" x14ac:dyDescent="0.2">
      <c r="I35070" s="137" t="s">
        <v>74</v>
      </c>
    </row>
    <row r="35071" spans="9:9" x14ac:dyDescent="0.2">
      <c r="I35071" s="137" t="s">
        <v>74</v>
      </c>
    </row>
    <row r="35072" spans="9:9" x14ac:dyDescent="0.2">
      <c r="I35072" s="137" t="s">
        <v>74</v>
      </c>
    </row>
    <row r="35073" spans="9:9" x14ac:dyDescent="0.2">
      <c r="I35073" s="137" t="s">
        <v>74</v>
      </c>
    </row>
    <row r="35074" spans="9:9" x14ac:dyDescent="0.2">
      <c r="I35074" s="137" t="s">
        <v>74</v>
      </c>
    </row>
    <row r="35075" spans="9:9" x14ac:dyDescent="0.2">
      <c r="I35075" s="137" t="s">
        <v>74</v>
      </c>
    </row>
    <row r="35076" spans="9:9" x14ac:dyDescent="0.2">
      <c r="I35076" s="137" t="s">
        <v>74</v>
      </c>
    </row>
    <row r="35077" spans="9:9" x14ac:dyDescent="0.2">
      <c r="I35077" s="137" t="s">
        <v>74</v>
      </c>
    </row>
    <row r="35078" spans="9:9" x14ac:dyDescent="0.2">
      <c r="I35078" s="137" t="s">
        <v>74</v>
      </c>
    </row>
    <row r="35079" spans="9:9" x14ac:dyDescent="0.2">
      <c r="I35079" s="137" t="s">
        <v>74</v>
      </c>
    </row>
    <row r="35080" spans="9:9" x14ac:dyDescent="0.2">
      <c r="I35080" s="137" t="s">
        <v>74</v>
      </c>
    </row>
    <row r="35081" spans="9:9" x14ac:dyDescent="0.2">
      <c r="I35081" s="137" t="s">
        <v>74</v>
      </c>
    </row>
    <row r="35082" spans="9:9" x14ac:dyDescent="0.2">
      <c r="I35082" s="137" t="s">
        <v>74</v>
      </c>
    </row>
    <row r="35083" spans="9:9" x14ac:dyDescent="0.2">
      <c r="I35083" s="137" t="s">
        <v>74</v>
      </c>
    </row>
    <row r="35084" spans="9:9" x14ac:dyDescent="0.2">
      <c r="I35084" s="137" t="s">
        <v>74</v>
      </c>
    </row>
    <row r="35085" spans="9:9" x14ac:dyDescent="0.2">
      <c r="I35085" s="137" t="s">
        <v>74</v>
      </c>
    </row>
    <row r="35086" spans="9:9" x14ac:dyDescent="0.2">
      <c r="I35086" s="137" t="s">
        <v>74</v>
      </c>
    </row>
    <row r="35087" spans="9:9" x14ac:dyDescent="0.2">
      <c r="I35087" s="137" t="s">
        <v>74</v>
      </c>
    </row>
    <row r="35088" spans="9:9" x14ac:dyDescent="0.2">
      <c r="I35088" s="137" t="s">
        <v>74</v>
      </c>
    </row>
    <row r="35089" spans="9:9" x14ac:dyDescent="0.2">
      <c r="I35089" s="137" t="s">
        <v>74</v>
      </c>
    </row>
    <row r="35090" spans="9:9" x14ac:dyDescent="0.2">
      <c r="I35090" s="137" t="s">
        <v>74</v>
      </c>
    </row>
    <row r="35091" spans="9:9" x14ac:dyDescent="0.2">
      <c r="I35091" s="137" t="s">
        <v>74</v>
      </c>
    </row>
    <row r="35092" spans="9:9" x14ac:dyDescent="0.2">
      <c r="I35092" s="137" t="s">
        <v>74</v>
      </c>
    </row>
    <row r="35093" spans="9:9" x14ac:dyDescent="0.2">
      <c r="I35093" s="137" t="s">
        <v>74</v>
      </c>
    </row>
    <row r="35094" spans="9:9" x14ac:dyDescent="0.2">
      <c r="I35094" s="137" t="s">
        <v>74</v>
      </c>
    </row>
    <row r="35095" spans="9:9" x14ac:dyDescent="0.2">
      <c r="I35095" s="137" t="s">
        <v>74</v>
      </c>
    </row>
    <row r="35096" spans="9:9" x14ac:dyDescent="0.2">
      <c r="I35096" s="137" t="s">
        <v>74</v>
      </c>
    </row>
    <row r="35097" spans="9:9" x14ac:dyDescent="0.2">
      <c r="I35097" s="137" t="s">
        <v>74</v>
      </c>
    </row>
    <row r="35098" spans="9:9" x14ac:dyDescent="0.2">
      <c r="I35098" s="137" t="s">
        <v>74</v>
      </c>
    </row>
    <row r="35099" spans="9:9" x14ac:dyDescent="0.2">
      <c r="I35099" s="137" t="s">
        <v>74</v>
      </c>
    </row>
    <row r="35100" spans="9:9" x14ac:dyDescent="0.2">
      <c r="I35100" s="137" t="s">
        <v>74</v>
      </c>
    </row>
    <row r="35101" spans="9:9" x14ac:dyDescent="0.2">
      <c r="I35101" s="137" t="s">
        <v>74</v>
      </c>
    </row>
    <row r="35102" spans="9:9" x14ac:dyDescent="0.2">
      <c r="I35102" s="137" t="s">
        <v>74</v>
      </c>
    </row>
    <row r="35103" spans="9:9" x14ac:dyDescent="0.2">
      <c r="I35103" s="137" t="s">
        <v>74</v>
      </c>
    </row>
    <row r="35104" spans="9:9" x14ac:dyDescent="0.2">
      <c r="I35104" s="137" t="s">
        <v>74</v>
      </c>
    </row>
    <row r="35105" spans="9:9" x14ac:dyDescent="0.2">
      <c r="I35105" s="137" t="s">
        <v>74</v>
      </c>
    </row>
    <row r="35106" spans="9:9" x14ac:dyDescent="0.2">
      <c r="I35106" s="137" t="s">
        <v>74</v>
      </c>
    </row>
    <row r="35107" spans="9:9" x14ac:dyDescent="0.2">
      <c r="I35107" s="137" t="s">
        <v>74</v>
      </c>
    </row>
    <row r="35108" spans="9:9" x14ac:dyDescent="0.2">
      <c r="I35108" s="137" t="s">
        <v>74</v>
      </c>
    </row>
    <row r="35109" spans="9:9" x14ac:dyDescent="0.2">
      <c r="I35109" s="137" t="s">
        <v>74</v>
      </c>
    </row>
    <row r="35110" spans="9:9" x14ac:dyDescent="0.2">
      <c r="I35110" s="137" t="s">
        <v>74</v>
      </c>
    </row>
    <row r="35111" spans="9:9" x14ac:dyDescent="0.2">
      <c r="I35111" s="137" t="s">
        <v>74</v>
      </c>
    </row>
    <row r="35112" spans="9:9" x14ac:dyDescent="0.2">
      <c r="I35112" s="137" t="s">
        <v>74</v>
      </c>
    </row>
    <row r="35113" spans="9:9" x14ac:dyDescent="0.2">
      <c r="I35113" s="137" t="s">
        <v>74</v>
      </c>
    </row>
    <row r="35114" spans="9:9" x14ac:dyDescent="0.2">
      <c r="I35114" s="137" t="s">
        <v>74</v>
      </c>
    </row>
    <row r="35115" spans="9:9" x14ac:dyDescent="0.2">
      <c r="I35115" s="137" t="s">
        <v>74</v>
      </c>
    </row>
    <row r="35116" spans="9:9" x14ac:dyDescent="0.2">
      <c r="I35116" s="137" t="s">
        <v>74</v>
      </c>
    </row>
    <row r="35117" spans="9:9" x14ac:dyDescent="0.2">
      <c r="I35117" s="137" t="s">
        <v>74</v>
      </c>
    </row>
    <row r="35118" spans="9:9" x14ac:dyDescent="0.2">
      <c r="I35118" s="137" t="s">
        <v>74</v>
      </c>
    </row>
    <row r="35119" spans="9:9" x14ac:dyDescent="0.2">
      <c r="I35119" s="137" t="s">
        <v>74</v>
      </c>
    </row>
    <row r="35120" spans="9:9" x14ac:dyDescent="0.2">
      <c r="I35120" s="137" t="s">
        <v>74</v>
      </c>
    </row>
    <row r="35121" spans="9:9" x14ac:dyDescent="0.2">
      <c r="I35121" s="137" t="s">
        <v>74</v>
      </c>
    </row>
    <row r="35122" spans="9:9" x14ac:dyDescent="0.2">
      <c r="I35122" s="137" t="s">
        <v>74</v>
      </c>
    </row>
    <row r="35123" spans="9:9" x14ac:dyDescent="0.2">
      <c r="I35123" s="137" t="s">
        <v>74</v>
      </c>
    </row>
    <row r="35124" spans="9:9" x14ac:dyDescent="0.2">
      <c r="I35124" s="137" t="s">
        <v>74</v>
      </c>
    </row>
    <row r="35125" spans="9:9" x14ac:dyDescent="0.2">
      <c r="I35125" s="137" t="s">
        <v>74</v>
      </c>
    </row>
    <row r="35126" spans="9:9" x14ac:dyDescent="0.2">
      <c r="I35126" s="137" t="s">
        <v>74</v>
      </c>
    </row>
    <row r="35127" spans="9:9" x14ac:dyDescent="0.2">
      <c r="I35127" s="137" t="s">
        <v>74</v>
      </c>
    </row>
    <row r="35128" spans="9:9" x14ac:dyDescent="0.2">
      <c r="I35128" s="137" t="s">
        <v>74</v>
      </c>
    </row>
    <row r="35129" spans="9:9" x14ac:dyDescent="0.2">
      <c r="I35129" s="137" t="s">
        <v>74</v>
      </c>
    </row>
    <row r="35130" spans="9:9" x14ac:dyDescent="0.2">
      <c r="I35130" s="137" t="s">
        <v>74</v>
      </c>
    </row>
    <row r="35131" spans="9:9" x14ac:dyDescent="0.2">
      <c r="I35131" s="137" t="s">
        <v>74</v>
      </c>
    </row>
    <row r="35132" spans="9:9" x14ac:dyDescent="0.2">
      <c r="I35132" s="137" t="s">
        <v>74</v>
      </c>
    </row>
    <row r="35133" spans="9:9" x14ac:dyDescent="0.2">
      <c r="I35133" s="137" t="s">
        <v>74</v>
      </c>
    </row>
    <row r="35134" spans="9:9" x14ac:dyDescent="0.2">
      <c r="I35134" s="137" t="s">
        <v>74</v>
      </c>
    </row>
    <row r="35135" spans="9:9" x14ac:dyDescent="0.2">
      <c r="I35135" s="137" t="s">
        <v>74</v>
      </c>
    </row>
    <row r="35136" spans="9:9" x14ac:dyDescent="0.2">
      <c r="I35136" s="137" t="s">
        <v>74</v>
      </c>
    </row>
    <row r="35137" spans="9:9" x14ac:dyDescent="0.2">
      <c r="I35137" s="137" t="s">
        <v>74</v>
      </c>
    </row>
    <row r="35138" spans="9:9" x14ac:dyDescent="0.2">
      <c r="I35138" s="137" t="s">
        <v>74</v>
      </c>
    </row>
    <row r="35139" spans="9:9" x14ac:dyDescent="0.2">
      <c r="I35139" s="137" t="s">
        <v>74</v>
      </c>
    </row>
    <row r="35140" spans="9:9" x14ac:dyDescent="0.2">
      <c r="I35140" s="137" t="s">
        <v>74</v>
      </c>
    </row>
    <row r="35141" spans="9:9" x14ac:dyDescent="0.2">
      <c r="I35141" s="137" t="s">
        <v>74</v>
      </c>
    </row>
    <row r="35142" spans="9:9" x14ac:dyDescent="0.2">
      <c r="I35142" s="137" t="s">
        <v>74</v>
      </c>
    </row>
    <row r="35143" spans="9:9" x14ac:dyDescent="0.2">
      <c r="I35143" s="137" t="s">
        <v>74</v>
      </c>
    </row>
    <row r="35144" spans="9:9" x14ac:dyDescent="0.2">
      <c r="I35144" s="137" t="s">
        <v>74</v>
      </c>
    </row>
    <row r="35145" spans="9:9" x14ac:dyDescent="0.2">
      <c r="I35145" s="137" t="s">
        <v>74</v>
      </c>
    </row>
    <row r="35146" spans="9:9" x14ac:dyDescent="0.2">
      <c r="I35146" s="137" t="s">
        <v>74</v>
      </c>
    </row>
    <row r="35147" spans="9:9" x14ac:dyDescent="0.2">
      <c r="I35147" s="137" t="s">
        <v>74</v>
      </c>
    </row>
    <row r="35148" spans="9:9" x14ac:dyDescent="0.2">
      <c r="I35148" s="137" t="s">
        <v>74</v>
      </c>
    </row>
    <row r="35149" spans="9:9" x14ac:dyDescent="0.2">
      <c r="I35149" s="137" t="s">
        <v>74</v>
      </c>
    </row>
    <row r="35150" spans="9:9" x14ac:dyDescent="0.2">
      <c r="I35150" s="137" t="s">
        <v>74</v>
      </c>
    </row>
    <row r="35151" spans="9:9" x14ac:dyDescent="0.2">
      <c r="I35151" s="137" t="s">
        <v>74</v>
      </c>
    </row>
    <row r="35152" spans="9:9" x14ac:dyDescent="0.2">
      <c r="I35152" s="137" t="s">
        <v>74</v>
      </c>
    </row>
    <row r="35153" spans="9:9" x14ac:dyDescent="0.2">
      <c r="I35153" s="137" t="s">
        <v>74</v>
      </c>
    </row>
    <row r="35154" spans="9:9" x14ac:dyDescent="0.2">
      <c r="I35154" s="137" t="s">
        <v>74</v>
      </c>
    </row>
    <row r="35155" spans="9:9" x14ac:dyDescent="0.2">
      <c r="I35155" s="137" t="s">
        <v>74</v>
      </c>
    </row>
    <row r="35156" spans="9:9" x14ac:dyDescent="0.2">
      <c r="I35156" s="137" t="s">
        <v>74</v>
      </c>
    </row>
    <row r="35157" spans="9:9" x14ac:dyDescent="0.2">
      <c r="I35157" s="137" t="s">
        <v>74</v>
      </c>
    </row>
    <row r="35158" spans="9:9" x14ac:dyDescent="0.2">
      <c r="I35158" s="137" t="s">
        <v>74</v>
      </c>
    </row>
    <row r="35159" spans="9:9" x14ac:dyDescent="0.2">
      <c r="I35159" s="137" t="s">
        <v>74</v>
      </c>
    </row>
    <row r="35160" spans="9:9" x14ac:dyDescent="0.2">
      <c r="I35160" s="137" t="s">
        <v>74</v>
      </c>
    </row>
    <row r="35161" spans="9:9" x14ac:dyDescent="0.2">
      <c r="I35161" s="137" t="s">
        <v>74</v>
      </c>
    </row>
    <row r="35162" spans="9:9" x14ac:dyDescent="0.2">
      <c r="I35162" s="137" t="s">
        <v>74</v>
      </c>
    </row>
    <row r="35163" spans="9:9" x14ac:dyDescent="0.2">
      <c r="I35163" s="137" t="s">
        <v>74</v>
      </c>
    </row>
    <row r="35164" spans="9:9" x14ac:dyDescent="0.2">
      <c r="I35164" s="137" t="s">
        <v>74</v>
      </c>
    </row>
    <row r="35165" spans="9:9" x14ac:dyDescent="0.2">
      <c r="I35165" s="137" t="s">
        <v>74</v>
      </c>
    </row>
    <row r="35166" spans="9:9" x14ac:dyDescent="0.2">
      <c r="I35166" s="137" t="s">
        <v>74</v>
      </c>
    </row>
    <row r="35167" spans="9:9" x14ac:dyDescent="0.2">
      <c r="I35167" s="137" t="s">
        <v>74</v>
      </c>
    </row>
    <row r="35168" spans="9:9" x14ac:dyDescent="0.2">
      <c r="I35168" s="137" t="s">
        <v>74</v>
      </c>
    </row>
    <row r="35169" spans="9:9" x14ac:dyDescent="0.2">
      <c r="I35169" s="137" t="s">
        <v>74</v>
      </c>
    </row>
    <row r="35170" spans="9:9" x14ac:dyDescent="0.2">
      <c r="I35170" s="137" t="s">
        <v>74</v>
      </c>
    </row>
    <row r="35171" spans="9:9" x14ac:dyDescent="0.2">
      <c r="I35171" s="137" t="s">
        <v>74</v>
      </c>
    </row>
    <row r="35172" spans="9:9" x14ac:dyDescent="0.2">
      <c r="I35172" s="137" t="s">
        <v>74</v>
      </c>
    </row>
    <row r="35173" spans="9:9" x14ac:dyDescent="0.2">
      <c r="I35173" s="137" t="s">
        <v>74</v>
      </c>
    </row>
    <row r="35174" spans="9:9" x14ac:dyDescent="0.2">
      <c r="I35174" s="137" t="s">
        <v>74</v>
      </c>
    </row>
    <row r="35175" spans="9:9" x14ac:dyDescent="0.2">
      <c r="I35175" s="137" t="s">
        <v>74</v>
      </c>
    </row>
    <row r="35176" spans="9:9" x14ac:dyDescent="0.2">
      <c r="I35176" s="137" t="s">
        <v>74</v>
      </c>
    </row>
    <row r="35177" spans="9:9" x14ac:dyDescent="0.2">
      <c r="I35177" s="137" t="s">
        <v>74</v>
      </c>
    </row>
    <row r="35178" spans="9:9" x14ac:dyDescent="0.2">
      <c r="I35178" s="137" t="s">
        <v>74</v>
      </c>
    </row>
    <row r="35179" spans="9:9" x14ac:dyDescent="0.2">
      <c r="I35179" s="137" t="s">
        <v>74</v>
      </c>
    </row>
    <row r="35180" spans="9:9" x14ac:dyDescent="0.2">
      <c r="I35180" s="137" t="s">
        <v>74</v>
      </c>
    </row>
    <row r="35181" spans="9:9" x14ac:dyDescent="0.2">
      <c r="I35181" s="137" t="s">
        <v>74</v>
      </c>
    </row>
    <row r="35182" spans="9:9" x14ac:dyDescent="0.2">
      <c r="I35182" s="137" t="s">
        <v>74</v>
      </c>
    </row>
    <row r="35183" spans="9:9" x14ac:dyDescent="0.2">
      <c r="I35183" s="137" t="s">
        <v>74</v>
      </c>
    </row>
    <row r="35184" spans="9:9" x14ac:dyDescent="0.2">
      <c r="I35184" s="137" t="s">
        <v>74</v>
      </c>
    </row>
    <row r="35185" spans="9:9" x14ac:dyDescent="0.2">
      <c r="I35185" s="137" t="s">
        <v>74</v>
      </c>
    </row>
    <row r="35186" spans="9:9" x14ac:dyDescent="0.2">
      <c r="I35186" s="137" t="s">
        <v>74</v>
      </c>
    </row>
    <row r="35187" spans="9:9" x14ac:dyDescent="0.2">
      <c r="I35187" s="137" t="s">
        <v>74</v>
      </c>
    </row>
    <row r="35188" spans="9:9" x14ac:dyDescent="0.2">
      <c r="I35188" s="137" t="s">
        <v>74</v>
      </c>
    </row>
    <row r="35189" spans="9:9" x14ac:dyDescent="0.2">
      <c r="I35189" s="137" t="s">
        <v>74</v>
      </c>
    </row>
    <row r="35190" spans="9:9" x14ac:dyDescent="0.2">
      <c r="I35190" s="137" t="s">
        <v>74</v>
      </c>
    </row>
    <row r="35191" spans="9:9" x14ac:dyDescent="0.2">
      <c r="I35191" s="137" t="s">
        <v>74</v>
      </c>
    </row>
    <row r="35192" spans="9:9" x14ac:dyDescent="0.2">
      <c r="I35192" s="137" t="s">
        <v>74</v>
      </c>
    </row>
    <row r="35193" spans="9:9" x14ac:dyDescent="0.2">
      <c r="I35193" s="137" t="s">
        <v>74</v>
      </c>
    </row>
    <row r="35194" spans="9:9" x14ac:dyDescent="0.2">
      <c r="I35194" s="137" t="s">
        <v>74</v>
      </c>
    </row>
    <row r="35195" spans="9:9" x14ac:dyDescent="0.2">
      <c r="I35195" s="137" t="s">
        <v>74</v>
      </c>
    </row>
    <row r="35196" spans="9:9" x14ac:dyDescent="0.2">
      <c r="I35196" s="137" t="s">
        <v>74</v>
      </c>
    </row>
    <row r="35197" spans="9:9" x14ac:dyDescent="0.2">
      <c r="I35197" s="137" t="s">
        <v>74</v>
      </c>
    </row>
    <row r="35198" spans="9:9" x14ac:dyDescent="0.2">
      <c r="I35198" s="137" t="s">
        <v>74</v>
      </c>
    </row>
    <row r="35199" spans="9:9" x14ac:dyDescent="0.2">
      <c r="I35199" s="137" t="s">
        <v>74</v>
      </c>
    </row>
    <row r="35200" spans="9:9" x14ac:dyDescent="0.2">
      <c r="I35200" s="137" t="s">
        <v>74</v>
      </c>
    </row>
    <row r="35201" spans="9:9" x14ac:dyDescent="0.2">
      <c r="I35201" s="137" t="s">
        <v>74</v>
      </c>
    </row>
    <row r="35202" spans="9:9" x14ac:dyDescent="0.2">
      <c r="I35202" s="137" t="s">
        <v>74</v>
      </c>
    </row>
    <row r="35203" spans="9:9" x14ac:dyDescent="0.2">
      <c r="I35203" s="137" t="s">
        <v>74</v>
      </c>
    </row>
    <row r="35204" spans="9:9" x14ac:dyDescent="0.2">
      <c r="I35204" s="137" t="s">
        <v>74</v>
      </c>
    </row>
    <row r="35205" spans="9:9" x14ac:dyDescent="0.2">
      <c r="I35205" s="137" t="s">
        <v>74</v>
      </c>
    </row>
    <row r="35206" spans="9:9" x14ac:dyDescent="0.2">
      <c r="I35206" s="137" t="s">
        <v>74</v>
      </c>
    </row>
    <row r="35207" spans="9:9" x14ac:dyDescent="0.2">
      <c r="I35207" s="137" t="s">
        <v>74</v>
      </c>
    </row>
    <row r="35208" spans="9:9" x14ac:dyDescent="0.2">
      <c r="I35208" s="137" t="s">
        <v>74</v>
      </c>
    </row>
    <row r="35209" spans="9:9" x14ac:dyDescent="0.2">
      <c r="I35209" s="137" t="s">
        <v>74</v>
      </c>
    </row>
    <row r="35210" spans="9:9" x14ac:dyDescent="0.2">
      <c r="I35210" s="137" t="s">
        <v>74</v>
      </c>
    </row>
    <row r="35211" spans="9:9" x14ac:dyDescent="0.2">
      <c r="I35211" s="137" t="s">
        <v>74</v>
      </c>
    </row>
    <row r="35212" spans="9:9" x14ac:dyDescent="0.2">
      <c r="I35212" s="137" t="s">
        <v>74</v>
      </c>
    </row>
    <row r="35213" spans="9:9" x14ac:dyDescent="0.2">
      <c r="I35213" s="137" t="s">
        <v>74</v>
      </c>
    </row>
    <row r="35214" spans="9:9" x14ac:dyDescent="0.2">
      <c r="I35214" s="137" t="s">
        <v>74</v>
      </c>
    </row>
    <row r="35215" spans="9:9" x14ac:dyDescent="0.2">
      <c r="I35215" s="137" t="s">
        <v>74</v>
      </c>
    </row>
    <row r="35216" spans="9:9" x14ac:dyDescent="0.2">
      <c r="I35216" s="137" t="s">
        <v>74</v>
      </c>
    </row>
    <row r="35217" spans="9:9" x14ac:dyDescent="0.2">
      <c r="I35217" s="137" t="s">
        <v>74</v>
      </c>
    </row>
    <row r="35218" spans="9:9" x14ac:dyDescent="0.2">
      <c r="I35218" s="137" t="s">
        <v>74</v>
      </c>
    </row>
    <row r="35219" spans="9:9" x14ac:dyDescent="0.2">
      <c r="I35219" s="137" t="s">
        <v>74</v>
      </c>
    </row>
    <row r="35220" spans="9:9" x14ac:dyDescent="0.2">
      <c r="I35220" s="137" t="s">
        <v>74</v>
      </c>
    </row>
    <row r="35221" spans="9:9" x14ac:dyDescent="0.2">
      <c r="I35221" s="137" t="s">
        <v>74</v>
      </c>
    </row>
    <row r="35222" spans="9:9" x14ac:dyDescent="0.2">
      <c r="I35222" s="137" t="s">
        <v>74</v>
      </c>
    </row>
    <row r="35223" spans="9:9" x14ac:dyDescent="0.2">
      <c r="I35223" s="137" t="s">
        <v>74</v>
      </c>
    </row>
    <row r="35224" spans="9:9" x14ac:dyDescent="0.2">
      <c r="I35224" s="137" t="s">
        <v>74</v>
      </c>
    </row>
    <row r="35225" spans="9:9" x14ac:dyDescent="0.2">
      <c r="I35225" s="137" t="s">
        <v>74</v>
      </c>
    </row>
    <row r="35226" spans="9:9" x14ac:dyDescent="0.2">
      <c r="I35226" s="137" t="s">
        <v>74</v>
      </c>
    </row>
    <row r="35227" spans="9:9" x14ac:dyDescent="0.2">
      <c r="I35227" s="137" t="s">
        <v>74</v>
      </c>
    </row>
    <row r="35228" spans="9:9" x14ac:dyDescent="0.2">
      <c r="I35228" s="137" t="s">
        <v>74</v>
      </c>
    </row>
    <row r="35229" spans="9:9" x14ac:dyDescent="0.2">
      <c r="I35229" s="137" t="s">
        <v>74</v>
      </c>
    </row>
    <row r="35230" spans="9:9" x14ac:dyDescent="0.2">
      <c r="I35230" s="137" t="s">
        <v>74</v>
      </c>
    </row>
    <row r="35231" spans="9:9" x14ac:dyDescent="0.2">
      <c r="I35231" s="137" t="s">
        <v>74</v>
      </c>
    </row>
    <row r="35232" spans="9:9" x14ac:dyDescent="0.2">
      <c r="I35232" s="137" t="s">
        <v>74</v>
      </c>
    </row>
    <row r="35233" spans="9:9" x14ac:dyDescent="0.2">
      <c r="I35233" s="137" t="s">
        <v>74</v>
      </c>
    </row>
    <row r="35234" spans="9:9" x14ac:dyDescent="0.2">
      <c r="I35234" s="137" t="s">
        <v>74</v>
      </c>
    </row>
    <row r="35235" spans="9:9" x14ac:dyDescent="0.2">
      <c r="I35235" s="137" t="s">
        <v>74</v>
      </c>
    </row>
    <row r="35236" spans="9:9" x14ac:dyDescent="0.2">
      <c r="I35236" s="137" t="s">
        <v>74</v>
      </c>
    </row>
    <row r="35237" spans="9:9" x14ac:dyDescent="0.2">
      <c r="I35237" s="137" t="s">
        <v>74</v>
      </c>
    </row>
    <row r="35238" spans="9:9" x14ac:dyDescent="0.2">
      <c r="I35238" s="137" t="s">
        <v>74</v>
      </c>
    </row>
    <row r="35239" spans="9:9" x14ac:dyDescent="0.2">
      <c r="I35239" s="137" t="s">
        <v>74</v>
      </c>
    </row>
    <row r="35240" spans="9:9" x14ac:dyDescent="0.2">
      <c r="I35240" s="137" t="s">
        <v>74</v>
      </c>
    </row>
    <row r="35241" spans="9:9" x14ac:dyDescent="0.2">
      <c r="I35241" s="137" t="s">
        <v>74</v>
      </c>
    </row>
    <row r="35242" spans="9:9" x14ac:dyDescent="0.2">
      <c r="I35242" s="137" t="s">
        <v>74</v>
      </c>
    </row>
    <row r="35243" spans="9:9" x14ac:dyDescent="0.2">
      <c r="I35243" s="137" t="s">
        <v>74</v>
      </c>
    </row>
    <row r="35244" spans="9:9" x14ac:dyDescent="0.2">
      <c r="I35244" s="137" t="s">
        <v>74</v>
      </c>
    </row>
    <row r="35245" spans="9:9" x14ac:dyDescent="0.2">
      <c r="I35245" s="137" t="s">
        <v>74</v>
      </c>
    </row>
    <row r="35246" spans="9:9" x14ac:dyDescent="0.2">
      <c r="I35246" s="137" t="s">
        <v>74</v>
      </c>
    </row>
    <row r="35247" spans="9:9" x14ac:dyDescent="0.2">
      <c r="I35247" s="137" t="s">
        <v>74</v>
      </c>
    </row>
    <row r="35248" spans="9:9" x14ac:dyDescent="0.2">
      <c r="I35248" s="137" t="s">
        <v>74</v>
      </c>
    </row>
    <row r="35249" spans="9:9" x14ac:dyDescent="0.2">
      <c r="I35249" s="137" t="s">
        <v>74</v>
      </c>
    </row>
    <row r="35250" spans="9:9" x14ac:dyDescent="0.2">
      <c r="I35250" s="137" t="s">
        <v>74</v>
      </c>
    </row>
    <row r="35251" spans="9:9" x14ac:dyDescent="0.2">
      <c r="I35251" s="137" t="s">
        <v>74</v>
      </c>
    </row>
    <row r="35252" spans="9:9" x14ac:dyDescent="0.2">
      <c r="I35252" s="137" t="s">
        <v>74</v>
      </c>
    </row>
    <row r="35253" spans="9:9" x14ac:dyDescent="0.2">
      <c r="I35253" s="137" t="s">
        <v>74</v>
      </c>
    </row>
    <row r="35254" spans="9:9" x14ac:dyDescent="0.2">
      <c r="I35254" s="137" t="s">
        <v>74</v>
      </c>
    </row>
    <row r="35255" spans="9:9" x14ac:dyDescent="0.2">
      <c r="I35255" s="137" t="s">
        <v>74</v>
      </c>
    </row>
    <row r="35256" spans="9:9" x14ac:dyDescent="0.2">
      <c r="I35256" s="137" t="s">
        <v>74</v>
      </c>
    </row>
    <row r="35257" spans="9:9" x14ac:dyDescent="0.2">
      <c r="I35257" s="137" t="s">
        <v>74</v>
      </c>
    </row>
    <row r="35258" spans="9:9" x14ac:dyDescent="0.2">
      <c r="I35258" s="137" t="s">
        <v>74</v>
      </c>
    </row>
    <row r="35259" spans="9:9" x14ac:dyDescent="0.2">
      <c r="I35259" s="137" t="s">
        <v>74</v>
      </c>
    </row>
    <row r="35260" spans="9:9" x14ac:dyDescent="0.2">
      <c r="I35260" s="137" t="s">
        <v>74</v>
      </c>
    </row>
    <row r="35261" spans="9:9" x14ac:dyDescent="0.2">
      <c r="I35261" s="137" t="s">
        <v>74</v>
      </c>
    </row>
    <row r="35262" spans="9:9" x14ac:dyDescent="0.2">
      <c r="I35262" s="137" t="s">
        <v>74</v>
      </c>
    </row>
    <row r="35263" spans="9:9" x14ac:dyDescent="0.2">
      <c r="I35263" s="137" t="s">
        <v>74</v>
      </c>
    </row>
    <row r="35264" spans="9:9" x14ac:dyDescent="0.2">
      <c r="I35264" s="137" t="s">
        <v>74</v>
      </c>
    </row>
    <row r="35265" spans="9:9" x14ac:dyDescent="0.2">
      <c r="I35265" s="137" t="s">
        <v>74</v>
      </c>
    </row>
    <row r="35266" spans="9:9" x14ac:dyDescent="0.2">
      <c r="I35266" s="137" t="s">
        <v>74</v>
      </c>
    </row>
    <row r="35267" spans="9:9" x14ac:dyDescent="0.2">
      <c r="I35267" s="137" t="s">
        <v>74</v>
      </c>
    </row>
    <row r="35268" spans="9:9" x14ac:dyDescent="0.2">
      <c r="I35268" s="137" t="s">
        <v>74</v>
      </c>
    </row>
    <row r="35269" spans="9:9" x14ac:dyDescent="0.2">
      <c r="I35269" s="137" t="s">
        <v>74</v>
      </c>
    </row>
    <row r="35270" spans="9:9" x14ac:dyDescent="0.2">
      <c r="I35270" s="137" t="s">
        <v>74</v>
      </c>
    </row>
    <row r="35271" spans="9:9" x14ac:dyDescent="0.2">
      <c r="I35271" s="137" t="s">
        <v>74</v>
      </c>
    </row>
    <row r="35272" spans="9:9" x14ac:dyDescent="0.2">
      <c r="I35272" s="137" t="s">
        <v>74</v>
      </c>
    </row>
    <row r="35273" spans="9:9" x14ac:dyDescent="0.2">
      <c r="I35273" s="137" t="s">
        <v>74</v>
      </c>
    </row>
    <row r="35274" spans="9:9" x14ac:dyDescent="0.2">
      <c r="I35274" s="137" t="s">
        <v>74</v>
      </c>
    </row>
    <row r="35275" spans="9:9" x14ac:dyDescent="0.2">
      <c r="I35275" s="137" t="s">
        <v>74</v>
      </c>
    </row>
    <row r="35276" spans="9:9" x14ac:dyDescent="0.2">
      <c r="I35276" s="137" t="s">
        <v>74</v>
      </c>
    </row>
    <row r="35277" spans="9:9" x14ac:dyDescent="0.2">
      <c r="I35277" s="137" t="s">
        <v>74</v>
      </c>
    </row>
    <row r="35278" spans="9:9" x14ac:dyDescent="0.2">
      <c r="I35278" s="137" t="s">
        <v>74</v>
      </c>
    </row>
    <row r="35279" spans="9:9" x14ac:dyDescent="0.2">
      <c r="I35279" s="137" t="s">
        <v>74</v>
      </c>
    </row>
    <row r="35280" spans="9:9" x14ac:dyDescent="0.2">
      <c r="I35280" s="137" t="s">
        <v>74</v>
      </c>
    </row>
    <row r="35281" spans="9:9" x14ac:dyDescent="0.2">
      <c r="I35281" s="137" t="s">
        <v>74</v>
      </c>
    </row>
    <row r="35282" spans="9:9" x14ac:dyDescent="0.2">
      <c r="I35282" s="137" t="s">
        <v>74</v>
      </c>
    </row>
    <row r="35283" spans="9:9" x14ac:dyDescent="0.2">
      <c r="I35283" s="137" t="s">
        <v>74</v>
      </c>
    </row>
    <row r="35284" spans="9:9" x14ac:dyDescent="0.2">
      <c r="I35284" s="137" t="s">
        <v>74</v>
      </c>
    </row>
    <row r="35285" spans="9:9" x14ac:dyDescent="0.2">
      <c r="I35285" s="137" t="s">
        <v>74</v>
      </c>
    </row>
    <row r="35286" spans="9:9" x14ac:dyDescent="0.2">
      <c r="I35286" s="137" t="s">
        <v>74</v>
      </c>
    </row>
    <row r="35287" spans="9:9" x14ac:dyDescent="0.2">
      <c r="I35287" s="137" t="s">
        <v>74</v>
      </c>
    </row>
    <row r="35288" spans="9:9" x14ac:dyDescent="0.2">
      <c r="I35288" s="137" t="s">
        <v>74</v>
      </c>
    </row>
    <row r="35289" spans="9:9" x14ac:dyDescent="0.2">
      <c r="I35289" s="137" t="s">
        <v>74</v>
      </c>
    </row>
    <row r="35290" spans="9:9" x14ac:dyDescent="0.2">
      <c r="I35290" s="137" t="s">
        <v>74</v>
      </c>
    </row>
    <row r="35291" spans="9:9" x14ac:dyDescent="0.2">
      <c r="I35291" s="137" t="s">
        <v>74</v>
      </c>
    </row>
    <row r="35292" spans="9:9" x14ac:dyDescent="0.2">
      <c r="I35292" s="137" t="s">
        <v>74</v>
      </c>
    </row>
    <row r="35293" spans="9:9" x14ac:dyDescent="0.2">
      <c r="I35293" s="137" t="s">
        <v>74</v>
      </c>
    </row>
    <row r="35294" spans="9:9" x14ac:dyDescent="0.2">
      <c r="I35294" s="137" t="s">
        <v>74</v>
      </c>
    </row>
    <row r="35295" spans="9:9" x14ac:dyDescent="0.2">
      <c r="I35295" s="137" t="s">
        <v>74</v>
      </c>
    </row>
    <row r="35296" spans="9:9" x14ac:dyDescent="0.2">
      <c r="I35296" s="137" t="s">
        <v>74</v>
      </c>
    </row>
    <row r="35297" spans="9:9" x14ac:dyDescent="0.2">
      <c r="I35297" s="137" t="s">
        <v>74</v>
      </c>
    </row>
    <row r="35298" spans="9:9" x14ac:dyDescent="0.2">
      <c r="I35298" s="137" t="s">
        <v>74</v>
      </c>
    </row>
    <row r="35299" spans="9:9" x14ac:dyDescent="0.2">
      <c r="I35299" s="137" t="s">
        <v>74</v>
      </c>
    </row>
    <row r="35300" spans="9:9" x14ac:dyDescent="0.2">
      <c r="I35300" s="137" t="s">
        <v>74</v>
      </c>
    </row>
    <row r="35301" spans="9:9" x14ac:dyDescent="0.2">
      <c r="I35301" s="137" t="s">
        <v>74</v>
      </c>
    </row>
    <row r="35302" spans="9:9" x14ac:dyDescent="0.2">
      <c r="I35302" s="137" t="s">
        <v>74</v>
      </c>
    </row>
    <row r="35303" spans="9:9" x14ac:dyDescent="0.2">
      <c r="I35303" s="137" t="s">
        <v>74</v>
      </c>
    </row>
    <row r="35304" spans="9:9" x14ac:dyDescent="0.2">
      <c r="I35304" s="137" t="s">
        <v>74</v>
      </c>
    </row>
    <row r="35305" spans="9:9" x14ac:dyDescent="0.2">
      <c r="I35305" s="137" t="s">
        <v>74</v>
      </c>
    </row>
    <row r="35306" spans="9:9" x14ac:dyDescent="0.2">
      <c r="I35306" s="137" t="s">
        <v>74</v>
      </c>
    </row>
    <row r="35307" spans="9:9" x14ac:dyDescent="0.2">
      <c r="I35307" s="137" t="s">
        <v>74</v>
      </c>
    </row>
    <row r="35308" spans="9:9" x14ac:dyDescent="0.2">
      <c r="I35308" s="137" t="s">
        <v>74</v>
      </c>
    </row>
    <row r="35309" spans="9:9" x14ac:dyDescent="0.2">
      <c r="I35309" s="137" t="s">
        <v>74</v>
      </c>
    </row>
    <row r="35310" spans="9:9" x14ac:dyDescent="0.2">
      <c r="I35310" s="137" t="s">
        <v>74</v>
      </c>
    </row>
    <row r="35311" spans="9:9" x14ac:dyDescent="0.2">
      <c r="I35311" s="137" t="s">
        <v>74</v>
      </c>
    </row>
    <row r="35312" spans="9:9" x14ac:dyDescent="0.2">
      <c r="I35312" s="137" t="s">
        <v>74</v>
      </c>
    </row>
    <row r="35313" spans="9:9" x14ac:dyDescent="0.2">
      <c r="I35313" s="137" t="s">
        <v>74</v>
      </c>
    </row>
    <row r="35314" spans="9:9" x14ac:dyDescent="0.2">
      <c r="I35314" s="137" t="s">
        <v>74</v>
      </c>
    </row>
    <row r="35315" spans="9:9" x14ac:dyDescent="0.2">
      <c r="I35315" s="137" t="s">
        <v>74</v>
      </c>
    </row>
    <row r="35316" spans="9:9" x14ac:dyDescent="0.2">
      <c r="I35316" s="137" t="s">
        <v>74</v>
      </c>
    </row>
    <row r="35317" spans="9:9" x14ac:dyDescent="0.2">
      <c r="I35317" s="137" t="s">
        <v>74</v>
      </c>
    </row>
    <row r="35318" spans="9:9" x14ac:dyDescent="0.2">
      <c r="I35318" s="137" t="s">
        <v>74</v>
      </c>
    </row>
    <row r="35319" spans="9:9" x14ac:dyDescent="0.2">
      <c r="I35319" s="137" t="s">
        <v>74</v>
      </c>
    </row>
    <row r="35320" spans="9:9" x14ac:dyDescent="0.2">
      <c r="I35320" s="137" t="s">
        <v>74</v>
      </c>
    </row>
    <row r="35321" spans="9:9" x14ac:dyDescent="0.2">
      <c r="I35321" s="137" t="s">
        <v>74</v>
      </c>
    </row>
    <row r="35322" spans="9:9" x14ac:dyDescent="0.2">
      <c r="I35322" s="137" t="s">
        <v>74</v>
      </c>
    </row>
    <row r="35323" spans="9:9" x14ac:dyDescent="0.2">
      <c r="I35323" s="137" t="s">
        <v>74</v>
      </c>
    </row>
    <row r="35324" spans="9:9" x14ac:dyDescent="0.2">
      <c r="I35324" s="137" t="s">
        <v>74</v>
      </c>
    </row>
    <row r="35325" spans="9:9" x14ac:dyDescent="0.2">
      <c r="I35325" s="137" t="s">
        <v>74</v>
      </c>
    </row>
    <row r="35326" spans="9:9" x14ac:dyDescent="0.2">
      <c r="I35326" s="137" t="s">
        <v>74</v>
      </c>
    </row>
    <row r="35327" spans="9:9" x14ac:dyDescent="0.2">
      <c r="I35327" s="137" t="s">
        <v>74</v>
      </c>
    </row>
    <row r="35328" spans="9:9" x14ac:dyDescent="0.2">
      <c r="I35328" s="137" t="s">
        <v>74</v>
      </c>
    </row>
    <row r="35329" spans="9:9" x14ac:dyDescent="0.2">
      <c r="I35329" s="137" t="s">
        <v>74</v>
      </c>
    </row>
    <row r="35330" spans="9:9" x14ac:dyDescent="0.2">
      <c r="I35330" s="137" t="s">
        <v>74</v>
      </c>
    </row>
    <row r="35331" spans="9:9" x14ac:dyDescent="0.2">
      <c r="I35331" s="137" t="s">
        <v>74</v>
      </c>
    </row>
    <row r="35332" spans="9:9" x14ac:dyDescent="0.2">
      <c r="I35332" s="137" t="s">
        <v>74</v>
      </c>
    </row>
    <row r="35333" spans="9:9" x14ac:dyDescent="0.2">
      <c r="I35333" s="137" t="s">
        <v>74</v>
      </c>
    </row>
    <row r="35334" spans="9:9" x14ac:dyDescent="0.2">
      <c r="I35334" s="137" t="s">
        <v>74</v>
      </c>
    </row>
    <row r="35335" spans="9:9" x14ac:dyDescent="0.2">
      <c r="I35335" s="137" t="s">
        <v>74</v>
      </c>
    </row>
    <row r="35336" spans="9:9" x14ac:dyDescent="0.2">
      <c r="I35336" s="137" t="s">
        <v>74</v>
      </c>
    </row>
    <row r="35337" spans="9:9" x14ac:dyDescent="0.2">
      <c r="I35337" s="137" t="s">
        <v>74</v>
      </c>
    </row>
    <row r="35338" spans="9:9" x14ac:dyDescent="0.2">
      <c r="I35338" s="137" t="s">
        <v>74</v>
      </c>
    </row>
    <row r="35339" spans="9:9" x14ac:dyDescent="0.2">
      <c r="I35339" s="137" t="s">
        <v>74</v>
      </c>
    </row>
    <row r="35340" spans="9:9" x14ac:dyDescent="0.2">
      <c r="I35340" s="137" t="s">
        <v>74</v>
      </c>
    </row>
    <row r="35341" spans="9:9" x14ac:dyDescent="0.2">
      <c r="I35341" s="137" t="s">
        <v>74</v>
      </c>
    </row>
    <row r="35342" spans="9:9" x14ac:dyDescent="0.2">
      <c r="I35342" s="137" t="s">
        <v>74</v>
      </c>
    </row>
    <row r="35343" spans="9:9" x14ac:dyDescent="0.2">
      <c r="I35343" s="137" t="s">
        <v>74</v>
      </c>
    </row>
    <row r="35344" spans="9:9" x14ac:dyDescent="0.2">
      <c r="I35344" s="137" t="s">
        <v>74</v>
      </c>
    </row>
    <row r="35345" spans="9:9" x14ac:dyDescent="0.2">
      <c r="I35345" s="137" t="s">
        <v>74</v>
      </c>
    </row>
    <row r="35346" spans="9:9" x14ac:dyDescent="0.2">
      <c r="I35346" s="137" t="s">
        <v>74</v>
      </c>
    </row>
    <row r="35347" spans="9:9" x14ac:dyDescent="0.2">
      <c r="I35347" s="137" t="s">
        <v>74</v>
      </c>
    </row>
    <row r="35348" spans="9:9" x14ac:dyDescent="0.2">
      <c r="I35348" s="137" t="s">
        <v>74</v>
      </c>
    </row>
    <row r="35349" spans="9:9" x14ac:dyDescent="0.2">
      <c r="I35349" s="137" t="s">
        <v>74</v>
      </c>
    </row>
    <row r="35350" spans="9:9" x14ac:dyDescent="0.2">
      <c r="I35350" s="137" t="s">
        <v>74</v>
      </c>
    </row>
    <row r="35351" spans="9:9" x14ac:dyDescent="0.2">
      <c r="I35351" s="137" t="s">
        <v>74</v>
      </c>
    </row>
    <row r="35352" spans="9:9" x14ac:dyDescent="0.2">
      <c r="I35352" s="137" t="s">
        <v>74</v>
      </c>
    </row>
    <row r="35353" spans="9:9" x14ac:dyDescent="0.2">
      <c r="I35353" s="137" t="s">
        <v>74</v>
      </c>
    </row>
    <row r="35354" spans="9:9" x14ac:dyDescent="0.2">
      <c r="I35354" s="137" t="s">
        <v>74</v>
      </c>
    </row>
    <row r="35355" spans="9:9" x14ac:dyDescent="0.2">
      <c r="I35355" s="137" t="s">
        <v>74</v>
      </c>
    </row>
    <row r="35356" spans="9:9" x14ac:dyDescent="0.2">
      <c r="I35356" s="137" t="s">
        <v>74</v>
      </c>
    </row>
    <row r="35357" spans="9:9" x14ac:dyDescent="0.2">
      <c r="I35357" s="137" t="s">
        <v>74</v>
      </c>
    </row>
    <row r="35358" spans="9:9" x14ac:dyDescent="0.2">
      <c r="I35358" s="137" t="s">
        <v>74</v>
      </c>
    </row>
    <row r="35359" spans="9:9" x14ac:dyDescent="0.2">
      <c r="I35359" s="137" t="s">
        <v>74</v>
      </c>
    </row>
    <row r="35360" spans="9:9" x14ac:dyDescent="0.2">
      <c r="I35360" s="137" t="s">
        <v>74</v>
      </c>
    </row>
    <row r="35361" spans="9:9" x14ac:dyDescent="0.2">
      <c r="I35361" s="137" t="s">
        <v>74</v>
      </c>
    </row>
    <row r="35362" spans="9:9" x14ac:dyDescent="0.2">
      <c r="I35362" s="137" t="s">
        <v>74</v>
      </c>
    </row>
    <row r="35363" spans="9:9" x14ac:dyDescent="0.2">
      <c r="I35363" s="137" t="s">
        <v>74</v>
      </c>
    </row>
    <row r="35364" spans="9:9" x14ac:dyDescent="0.2">
      <c r="I35364" s="137" t="s">
        <v>74</v>
      </c>
    </row>
    <row r="35365" spans="9:9" x14ac:dyDescent="0.2">
      <c r="I35365" s="137" t="s">
        <v>74</v>
      </c>
    </row>
    <row r="35366" spans="9:9" x14ac:dyDescent="0.2">
      <c r="I35366" s="137" t="s">
        <v>74</v>
      </c>
    </row>
    <row r="35367" spans="9:9" x14ac:dyDescent="0.2">
      <c r="I35367" s="137" t="s">
        <v>74</v>
      </c>
    </row>
    <row r="35368" spans="9:9" x14ac:dyDescent="0.2">
      <c r="I35368" s="137" t="s">
        <v>74</v>
      </c>
    </row>
    <row r="35369" spans="9:9" x14ac:dyDescent="0.2">
      <c r="I35369" s="137" t="s">
        <v>74</v>
      </c>
    </row>
    <row r="35370" spans="9:9" x14ac:dyDescent="0.2">
      <c r="I35370" s="137" t="s">
        <v>74</v>
      </c>
    </row>
    <row r="35371" spans="9:9" x14ac:dyDescent="0.2">
      <c r="I35371" s="137" t="s">
        <v>74</v>
      </c>
    </row>
    <row r="35372" spans="9:9" x14ac:dyDescent="0.2">
      <c r="I35372" s="137" t="s">
        <v>74</v>
      </c>
    </row>
    <row r="35373" spans="9:9" x14ac:dyDescent="0.2">
      <c r="I35373" s="137" t="s">
        <v>74</v>
      </c>
    </row>
    <row r="35374" spans="9:9" x14ac:dyDescent="0.2">
      <c r="I35374" s="137" t="s">
        <v>74</v>
      </c>
    </row>
    <row r="35375" spans="9:9" x14ac:dyDescent="0.2">
      <c r="I35375" s="137" t="s">
        <v>74</v>
      </c>
    </row>
    <row r="35376" spans="9:9" x14ac:dyDescent="0.2">
      <c r="I35376" s="137" t="s">
        <v>74</v>
      </c>
    </row>
    <row r="35377" spans="9:9" x14ac:dyDescent="0.2">
      <c r="I35377" s="137" t="s">
        <v>74</v>
      </c>
    </row>
    <row r="35378" spans="9:9" x14ac:dyDescent="0.2">
      <c r="I35378" s="137" t="s">
        <v>74</v>
      </c>
    </row>
    <row r="35379" spans="9:9" x14ac:dyDescent="0.2">
      <c r="I35379" s="137" t="s">
        <v>74</v>
      </c>
    </row>
    <row r="35380" spans="9:9" x14ac:dyDescent="0.2">
      <c r="I35380" s="137" t="s">
        <v>74</v>
      </c>
    </row>
    <row r="35381" spans="9:9" x14ac:dyDescent="0.2">
      <c r="I35381" s="137" t="s">
        <v>74</v>
      </c>
    </row>
    <row r="35382" spans="9:9" x14ac:dyDescent="0.2">
      <c r="I35382" s="137" t="s">
        <v>74</v>
      </c>
    </row>
    <row r="35383" spans="9:9" x14ac:dyDescent="0.2">
      <c r="I35383" s="137" t="s">
        <v>74</v>
      </c>
    </row>
    <row r="35384" spans="9:9" x14ac:dyDescent="0.2">
      <c r="I35384" s="137" t="s">
        <v>74</v>
      </c>
    </row>
    <row r="35385" spans="9:9" x14ac:dyDescent="0.2">
      <c r="I35385" s="137" t="s">
        <v>74</v>
      </c>
    </row>
    <row r="35386" spans="9:9" x14ac:dyDescent="0.2">
      <c r="I35386" s="137" t="s">
        <v>74</v>
      </c>
    </row>
    <row r="35387" spans="9:9" x14ac:dyDescent="0.2">
      <c r="I35387" s="137" t="s">
        <v>74</v>
      </c>
    </row>
    <row r="35388" spans="9:9" x14ac:dyDescent="0.2">
      <c r="I35388" s="137" t="s">
        <v>74</v>
      </c>
    </row>
    <row r="35389" spans="9:9" x14ac:dyDescent="0.2">
      <c r="I35389" s="137" t="s">
        <v>74</v>
      </c>
    </row>
    <row r="35390" spans="9:9" x14ac:dyDescent="0.2">
      <c r="I35390" s="137" t="s">
        <v>74</v>
      </c>
    </row>
    <row r="35391" spans="9:9" x14ac:dyDescent="0.2">
      <c r="I35391" s="137" t="s">
        <v>74</v>
      </c>
    </row>
    <row r="35392" spans="9:9" x14ac:dyDescent="0.2">
      <c r="I35392" s="137" t="s">
        <v>74</v>
      </c>
    </row>
    <row r="35393" spans="9:9" x14ac:dyDescent="0.2">
      <c r="I35393" s="137" t="s">
        <v>74</v>
      </c>
    </row>
    <row r="35394" spans="9:9" x14ac:dyDescent="0.2">
      <c r="I35394" s="137" t="s">
        <v>74</v>
      </c>
    </row>
    <row r="35395" spans="9:9" x14ac:dyDescent="0.2">
      <c r="I35395" s="137" t="s">
        <v>74</v>
      </c>
    </row>
    <row r="35396" spans="9:9" x14ac:dyDescent="0.2">
      <c r="I35396" s="137" t="s">
        <v>74</v>
      </c>
    </row>
    <row r="35397" spans="9:9" x14ac:dyDescent="0.2">
      <c r="I35397" s="137" t="s">
        <v>74</v>
      </c>
    </row>
    <row r="35398" spans="9:9" x14ac:dyDescent="0.2">
      <c r="I35398" s="137" t="s">
        <v>74</v>
      </c>
    </row>
    <row r="35399" spans="9:9" x14ac:dyDescent="0.2">
      <c r="I35399" s="137" t="s">
        <v>74</v>
      </c>
    </row>
    <row r="35400" spans="9:9" x14ac:dyDescent="0.2">
      <c r="I35400" s="137" t="s">
        <v>74</v>
      </c>
    </row>
    <row r="35401" spans="9:9" x14ac:dyDescent="0.2">
      <c r="I35401" s="137" t="s">
        <v>74</v>
      </c>
    </row>
    <row r="35402" spans="9:9" x14ac:dyDescent="0.2">
      <c r="I35402" s="137" t="s">
        <v>74</v>
      </c>
    </row>
    <row r="35403" spans="9:9" x14ac:dyDescent="0.2">
      <c r="I35403" s="137" t="s">
        <v>74</v>
      </c>
    </row>
    <row r="35404" spans="9:9" x14ac:dyDescent="0.2">
      <c r="I35404" s="137" t="s">
        <v>74</v>
      </c>
    </row>
    <row r="35405" spans="9:9" x14ac:dyDescent="0.2">
      <c r="I35405" s="137" t="s">
        <v>74</v>
      </c>
    </row>
    <row r="35406" spans="9:9" x14ac:dyDescent="0.2">
      <c r="I35406" s="137" t="s">
        <v>74</v>
      </c>
    </row>
    <row r="35407" spans="9:9" x14ac:dyDescent="0.2">
      <c r="I35407" s="137" t="s">
        <v>74</v>
      </c>
    </row>
    <row r="35408" spans="9:9" x14ac:dyDescent="0.2">
      <c r="I35408" s="137" t="s">
        <v>74</v>
      </c>
    </row>
    <row r="35409" spans="9:9" x14ac:dyDescent="0.2">
      <c r="I35409" s="137" t="s">
        <v>74</v>
      </c>
    </row>
    <row r="35410" spans="9:9" x14ac:dyDescent="0.2">
      <c r="I35410" s="137" t="s">
        <v>74</v>
      </c>
    </row>
    <row r="35411" spans="9:9" x14ac:dyDescent="0.2">
      <c r="I35411" s="137" t="s">
        <v>74</v>
      </c>
    </row>
    <row r="35412" spans="9:9" x14ac:dyDescent="0.2">
      <c r="I35412" s="137" t="s">
        <v>74</v>
      </c>
    </row>
    <row r="35413" spans="9:9" x14ac:dyDescent="0.2">
      <c r="I35413" s="137" t="s">
        <v>74</v>
      </c>
    </row>
    <row r="35414" spans="9:9" x14ac:dyDescent="0.2">
      <c r="I35414" s="137" t="s">
        <v>74</v>
      </c>
    </row>
    <row r="35415" spans="9:9" x14ac:dyDescent="0.2">
      <c r="I35415" s="137" t="s">
        <v>74</v>
      </c>
    </row>
    <row r="35416" spans="9:9" x14ac:dyDescent="0.2">
      <c r="I35416" s="137" t="s">
        <v>74</v>
      </c>
    </row>
    <row r="35417" spans="9:9" x14ac:dyDescent="0.2">
      <c r="I35417" s="137" t="s">
        <v>74</v>
      </c>
    </row>
    <row r="35418" spans="9:9" x14ac:dyDescent="0.2">
      <c r="I35418" s="137" t="s">
        <v>74</v>
      </c>
    </row>
    <row r="35419" spans="9:9" x14ac:dyDescent="0.2">
      <c r="I35419" s="137" t="s">
        <v>74</v>
      </c>
    </row>
    <row r="35420" spans="9:9" x14ac:dyDescent="0.2">
      <c r="I35420" s="137" t="s">
        <v>74</v>
      </c>
    </row>
    <row r="35421" spans="9:9" x14ac:dyDescent="0.2">
      <c r="I35421" s="137" t="s">
        <v>74</v>
      </c>
    </row>
    <row r="35422" spans="9:9" x14ac:dyDescent="0.2">
      <c r="I35422" s="137" t="s">
        <v>74</v>
      </c>
    </row>
    <row r="35423" spans="9:9" x14ac:dyDescent="0.2">
      <c r="I35423" s="137" t="s">
        <v>74</v>
      </c>
    </row>
    <row r="35424" spans="9:9" x14ac:dyDescent="0.2">
      <c r="I35424" s="137" t="s">
        <v>74</v>
      </c>
    </row>
    <row r="35425" spans="9:9" x14ac:dyDescent="0.2">
      <c r="I35425" s="137" t="s">
        <v>74</v>
      </c>
    </row>
    <row r="35426" spans="9:9" x14ac:dyDescent="0.2">
      <c r="I35426" s="137" t="s">
        <v>74</v>
      </c>
    </row>
    <row r="35427" spans="9:9" x14ac:dyDescent="0.2">
      <c r="I35427" s="137" t="s">
        <v>74</v>
      </c>
    </row>
    <row r="35428" spans="9:9" x14ac:dyDescent="0.2">
      <c r="I35428" s="137" t="s">
        <v>74</v>
      </c>
    </row>
    <row r="35429" spans="9:9" x14ac:dyDescent="0.2">
      <c r="I35429" s="137" t="s">
        <v>74</v>
      </c>
    </row>
    <row r="35430" spans="9:9" x14ac:dyDescent="0.2">
      <c r="I35430" s="137" t="s">
        <v>74</v>
      </c>
    </row>
    <row r="35431" spans="9:9" x14ac:dyDescent="0.2">
      <c r="I35431" s="137" t="s">
        <v>74</v>
      </c>
    </row>
    <row r="35432" spans="9:9" x14ac:dyDescent="0.2">
      <c r="I35432" s="137" t="s">
        <v>74</v>
      </c>
    </row>
    <row r="35433" spans="9:9" x14ac:dyDescent="0.2">
      <c r="I35433" s="137" t="s">
        <v>74</v>
      </c>
    </row>
    <row r="35434" spans="9:9" x14ac:dyDescent="0.2">
      <c r="I35434" s="137" t="s">
        <v>74</v>
      </c>
    </row>
    <row r="35435" spans="9:9" x14ac:dyDescent="0.2">
      <c r="I35435" s="137" t="s">
        <v>74</v>
      </c>
    </row>
    <row r="35436" spans="9:9" x14ac:dyDescent="0.2">
      <c r="I35436" s="137" t="s">
        <v>74</v>
      </c>
    </row>
    <row r="35437" spans="9:9" x14ac:dyDescent="0.2">
      <c r="I35437" s="137" t="s">
        <v>74</v>
      </c>
    </row>
    <row r="35438" spans="9:9" x14ac:dyDescent="0.2">
      <c r="I35438" s="137" t="s">
        <v>74</v>
      </c>
    </row>
    <row r="35439" spans="9:9" x14ac:dyDescent="0.2">
      <c r="I35439" s="137" t="s">
        <v>74</v>
      </c>
    </row>
    <row r="35440" spans="9:9" x14ac:dyDescent="0.2">
      <c r="I35440" s="137" t="s">
        <v>74</v>
      </c>
    </row>
    <row r="35441" spans="9:9" x14ac:dyDescent="0.2">
      <c r="I35441" s="137" t="s">
        <v>74</v>
      </c>
    </row>
    <row r="35442" spans="9:9" x14ac:dyDescent="0.2">
      <c r="I35442" s="137" t="s">
        <v>74</v>
      </c>
    </row>
    <row r="35443" spans="9:9" x14ac:dyDescent="0.2">
      <c r="I35443" s="137" t="s">
        <v>74</v>
      </c>
    </row>
    <row r="35444" spans="9:9" x14ac:dyDescent="0.2">
      <c r="I35444" s="137" t="s">
        <v>74</v>
      </c>
    </row>
    <row r="35445" spans="9:9" x14ac:dyDescent="0.2">
      <c r="I35445" s="137" t="s">
        <v>74</v>
      </c>
    </row>
    <row r="35446" spans="9:9" x14ac:dyDescent="0.2">
      <c r="I35446" s="137" t="s">
        <v>74</v>
      </c>
    </row>
    <row r="35447" spans="9:9" x14ac:dyDescent="0.2">
      <c r="I35447" s="137" t="s">
        <v>74</v>
      </c>
    </row>
    <row r="35448" spans="9:9" x14ac:dyDescent="0.2">
      <c r="I35448" s="137" t="s">
        <v>74</v>
      </c>
    </row>
    <row r="35449" spans="9:9" x14ac:dyDescent="0.2">
      <c r="I35449" s="137" t="s">
        <v>74</v>
      </c>
    </row>
    <row r="35450" spans="9:9" x14ac:dyDescent="0.2">
      <c r="I35450" s="137" t="s">
        <v>74</v>
      </c>
    </row>
    <row r="35451" spans="9:9" x14ac:dyDescent="0.2">
      <c r="I35451" s="137" t="s">
        <v>74</v>
      </c>
    </row>
    <row r="35452" spans="9:9" x14ac:dyDescent="0.2">
      <c r="I35452" s="137" t="s">
        <v>74</v>
      </c>
    </row>
    <row r="35453" spans="9:9" x14ac:dyDescent="0.2">
      <c r="I35453" s="137" t="s">
        <v>74</v>
      </c>
    </row>
    <row r="35454" spans="9:9" x14ac:dyDescent="0.2">
      <c r="I35454" s="137" t="s">
        <v>74</v>
      </c>
    </row>
    <row r="35455" spans="9:9" x14ac:dyDescent="0.2">
      <c r="I35455" s="137" t="s">
        <v>74</v>
      </c>
    </row>
    <row r="35456" spans="9:9" x14ac:dyDescent="0.2">
      <c r="I35456" s="137" t="s">
        <v>74</v>
      </c>
    </row>
    <row r="35457" spans="9:9" x14ac:dyDescent="0.2">
      <c r="I35457" s="137" t="s">
        <v>74</v>
      </c>
    </row>
    <row r="35458" spans="9:9" x14ac:dyDescent="0.2">
      <c r="I35458" s="137" t="s">
        <v>74</v>
      </c>
    </row>
    <row r="35459" spans="9:9" x14ac:dyDescent="0.2">
      <c r="I35459" s="137" t="s">
        <v>74</v>
      </c>
    </row>
    <row r="35460" spans="9:9" x14ac:dyDescent="0.2">
      <c r="I35460" s="137" t="s">
        <v>74</v>
      </c>
    </row>
    <row r="35461" spans="9:9" x14ac:dyDescent="0.2">
      <c r="I35461" s="137" t="s">
        <v>74</v>
      </c>
    </row>
    <row r="35462" spans="9:9" x14ac:dyDescent="0.2">
      <c r="I35462" s="137" t="s">
        <v>74</v>
      </c>
    </row>
    <row r="35463" spans="9:9" x14ac:dyDescent="0.2">
      <c r="I35463" s="137" t="s">
        <v>74</v>
      </c>
    </row>
    <row r="35464" spans="9:9" x14ac:dyDescent="0.2">
      <c r="I35464" s="137" t="s">
        <v>74</v>
      </c>
    </row>
    <row r="35465" spans="9:9" x14ac:dyDescent="0.2">
      <c r="I35465" s="137" t="s">
        <v>74</v>
      </c>
    </row>
    <row r="35466" spans="9:9" x14ac:dyDescent="0.2">
      <c r="I35466" s="137" t="s">
        <v>74</v>
      </c>
    </row>
    <row r="35467" spans="9:9" x14ac:dyDescent="0.2">
      <c r="I35467" s="137" t="s">
        <v>74</v>
      </c>
    </row>
    <row r="35468" spans="9:9" x14ac:dyDescent="0.2">
      <c r="I35468" s="137" t="s">
        <v>74</v>
      </c>
    </row>
    <row r="35469" spans="9:9" x14ac:dyDescent="0.2">
      <c r="I35469" s="137" t="s">
        <v>74</v>
      </c>
    </row>
    <row r="35470" spans="9:9" x14ac:dyDescent="0.2">
      <c r="I35470" s="137" t="s">
        <v>74</v>
      </c>
    </row>
    <row r="35471" spans="9:9" x14ac:dyDescent="0.2">
      <c r="I35471" s="137" t="s">
        <v>74</v>
      </c>
    </row>
    <row r="35472" spans="9:9" x14ac:dyDescent="0.2">
      <c r="I35472" s="137" t="s">
        <v>74</v>
      </c>
    </row>
    <row r="35473" spans="9:9" x14ac:dyDescent="0.2">
      <c r="I35473" s="137" t="s">
        <v>74</v>
      </c>
    </row>
    <row r="35474" spans="9:9" x14ac:dyDescent="0.2">
      <c r="I35474" s="137" t="s">
        <v>74</v>
      </c>
    </row>
    <row r="35475" spans="9:9" x14ac:dyDescent="0.2">
      <c r="I35475" s="137" t="s">
        <v>74</v>
      </c>
    </row>
    <row r="35476" spans="9:9" x14ac:dyDescent="0.2">
      <c r="I35476" s="137" t="s">
        <v>74</v>
      </c>
    </row>
    <row r="35477" spans="9:9" x14ac:dyDescent="0.2">
      <c r="I35477" s="137" t="s">
        <v>74</v>
      </c>
    </row>
    <row r="35478" spans="9:9" x14ac:dyDescent="0.2">
      <c r="I35478" s="137" t="s">
        <v>74</v>
      </c>
    </row>
    <row r="35479" spans="9:9" x14ac:dyDescent="0.2">
      <c r="I35479" s="137" t="s">
        <v>74</v>
      </c>
    </row>
    <row r="35480" spans="9:9" x14ac:dyDescent="0.2">
      <c r="I35480" s="137" t="s">
        <v>74</v>
      </c>
    </row>
    <row r="35481" spans="9:9" x14ac:dyDescent="0.2">
      <c r="I35481" s="137" t="s">
        <v>74</v>
      </c>
    </row>
    <row r="35482" spans="9:9" x14ac:dyDescent="0.2">
      <c r="I35482" s="137" t="s">
        <v>74</v>
      </c>
    </row>
    <row r="35483" spans="9:9" x14ac:dyDescent="0.2">
      <c r="I35483" s="137" t="s">
        <v>74</v>
      </c>
    </row>
    <row r="35484" spans="9:9" x14ac:dyDescent="0.2">
      <c r="I35484" s="137" t="s">
        <v>74</v>
      </c>
    </row>
    <row r="35485" spans="9:9" x14ac:dyDescent="0.2">
      <c r="I35485" s="137" t="s">
        <v>74</v>
      </c>
    </row>
    <row r="35486" spans="9:9" x14ac:dyDescent="0.2">
      <c r="I35486" s="137" t="s">
        <v>74</v>
      </c>
    </row>
    <row r="35487" spans="9:9" x14ac:dyDescent="0.2">
      <c r="I35487" s="137" t="s">
        <v>74</v>
      </c>
    </row>
    <row r="35488" spans="9:9" x14ac:dyDescent="0.2">
      <c r="I35488" s="137" t="s">
        <v>74</v>
      </c>
    </row>
    <row r="35489" spans="9:9" x14ac:dyDescent="0.2">
      <c r="I35489" s="137" t="s">
        <v>74</v>
      </c>
    </row>
    <row r="35490" spans="9:9" x14ac:dyDescent="0.2">
      <c r="I35490" s="137" t="s">
        <v>74</v>
      </c>
    </row>
    <row r="35491" spans="9:9" x14ac:dyDescent="0.2">
      <c r="I35491" s="137" t="s">
        <v>74</v>
      </c>
    </row>
    <row r="35492" spans="9:9" x14ac:dyDescent="0.2">
      <c r="I35492" s="137" t="s">
        <v>74</v>
      </c>
    </row>
    <row r="35493" spans="9:9" x14ac:dyDescent="0.2">
      <c r="I35493" s="137" t="s">
        <v>74</v>
      </c>
    </row>
    <row r="35494" spans="9:9" x14ac:dyDescent="0.2">
      <c r="I35494" s="137" t="s">
        <v>74</v>
      </c>
    </row>
    <row r="35495" spans="9:9" x14ac:dyDescent="0.2">
      <c r="I35495" s="137" t="s">
        <v>74</v>
      </c>
    </row>
    <row r="35496" spans="9:9" x14ac:dyDescent="0.2">
      <c r="I35496" s="137" t="s">
        <v>74</v>
      </c>
    </row>
    <row r="35497" spans="9:9" x14ac:dyDescent="0.2">
      <c r="I35497" s="137" t="s">
        <v>74</v>
      </c>
    </row>
    <row r="35498" spans="9:9" x14ac:dyDescent="0.2">
      <c r="I35498" s="137" t="s">
        <v>74</v>
      </c>
    </row>
    <row r="35499" spans="9:9" x14ac:dyDescent="0.2">
      <c r="I35499" s="137" t="s">
        <v>74</v>
      </c>
    </row>
    <row r="35500" spans="9:9" x14ac:dyDescent="0.2">
      <c r="I35500" s="137" t="s">
        <v>74</v>
      </c>
    </row>
    <row r="35501" spans="9:9" x14ac:dyDescent="0.2">
      <c r="I35501" s="137" t="s">
        <v>74</v>
      </c>
    </row>
    <row r="35502" spans="9:9" x14ac:dyDescent="0.2">
      <c r="I35502" s="137" t="s">
        <v>74</v>
      </c>
    </row>
    <row r="35503" spans="9:9" x14ac:dyDescent="0.2">
      <c r="I35503" s="137" t="s">
        <v>74</v>
      </c>
    </row>
    <row r="35504" spans="9:9" x14ac:dyDescent="0.2">
      <c r="I35504" s="137" t="s">
        <v>74</v>
      </c>
    </row>
    <row r="35505" spans="9:9" x14ac:dyDescent="0.2">
      <c r="I35505" s="137" t="s">
        <v>74</v>
      </c>
    </row>
    <row r="35506" spans="9:9" x14ac:dyDescent="0.2">
      <c r="I35506" s="137" t="s">
        <v>74</v>
      </c>
    </row>
    <row r="35507" spans="9:9" x14ac:dyDescent="0.2">
      <c r="I35507" s="137" t="s">
        <v>74</v>
      </c>
    </row>
    <row r="35508" spans="9:9" x14ac:dyDescent="0.2">
      <c r="I35508" s="137" t="s">
        <v>74</v>
      </c>
    </row>
    <row r="35509" spans="9:9" x14ac:dyDescent="0.2">
      <c r="I35509" s="137" t="s">
        <v>74</v>
      </c>
    </row>
    <row r="35510" spans="9:9" x14ac:dyDescent="0.2">
      <c r="I35510" s="137" t="s">
        <v>74</v>
      </c>
    </row>
    <row r="35511" spans="9:9" x14ac:dyDescent="0.2">
      <c r="I35511" s="137" t="s">
        <v>74</v>
      </c>
    </row>
    <row r="35512" spans="9:9" x14ac:dyDescent="0.2">
      <c r="I35512" s="137" t="s">
        <v>74</v>
      </c>
    </row>
    <row r="35513" spans="9:9" x14ac:dyDescent="0.2">
      <c r="I35513" s="137" t="s">
        <v>74</v>
      </c>
    </row>
    <row r="35514" spans="9:9" x14ac:dyDescent="0.2">
      <c r="I35514" s="137" t="s">
        <v>74</v>
      </c>
    </row>
    <row r="35515" spans="9:9" x14ac:dyDescent="0.2">
      <c r="I35515" s="137" t="s">
        <v>74</v>
      </c>
    </row>
    <row r="35516" spans="9:9" x14ac:dyDescent="0.2">
      <c r="I35516" s="137" t="s">
        <v>74</v>
      </c>
    </row>
    <row r="35517" spans="9:9" x14ac:dyDescent="0.2">
      <c r="I35517" s="137" t="s">
        <v>74</v>
      </c>
    </row>
    <row r="35518" spans="9:9" x14ac:dyDescent="0.2">
      <c r="I35518" s="137" t="s">
        <v>74</v>
      </c>
    </row>
    <row r="35519" spans="9:9" x14ac:dyDescent="0.2">
      <c r="I35519" s="137" t="s">
        <v>74</v>
      </c>
    </row>
    <row r="35520" spans="9:9" x14ac:dyDescent="0.2">
      <c r="I35520" s="137" t="s">
        <v>74</v>
      </c>
    </row>
    <row r="35521" spans="9:9" x14ac:dyDescent="0.2">
      <c r="I35521" s="137" t="s">
        <v>74</v>
      </c>
    </row>
    <row r="35522" spans="9:9" x14ac:dyDescent="0.2">
      <c r="I35522" s="137" t="s">
        <v>74</v>
      </c>
    </row>
    <row r="35523" spans="9:9" x14ac:dyDescent="0.2">
      <c r="I35523" s="137" t="s">
        <v>74</v>
      </c>
    </row>
    <row r="35524" spans="9:9" x14ac:dyDescent="0.2">
      <c r="I35524" s="137" t="s">
        <v>74</v>
      </c>
    </row>
    <row r="35525" spans="9:9" x14ac:dyDescent="0.2">
      <c r="I35525" s="137" t="s">
        <v>74</v>
      </c>
    </row>
    <row r="35526" spans="9:9" x14ac:dyDescent="0.2">
      <c r="I35526" s="137" t="s">
        <v>74</v>
      </c>
    </row>
    <row r="35527" spans="9:9" x14ac:dyDescent="0.2">
      <c r="I35527" s="137" t="s">
        <v>74</v>
      </c>
    </row>
    <row r="35528" spans="9:9" x14ac:dyDescent="0.2">
      <c r="I35528" s="137" t="s">
        <v>74</v>
      </c>
    </row>
    <row r="35529" spans="9:9" x14ac:dyDescent="0.2">
      <c r="I35529" s="137" t="s">
        <v>74</v>
      </c>
    </row>
    <row r="35530" spans="9:9" x14ac:dyDescent="0.2">
      <c r="I35530" s="137" t="s">
        <v>74</v>
      </c>
    </row>
    <row r="35531" spans="9:9" x14ac:dyDescent="0.2">
      <c r="I35531" s="137" t="s">
        <v>74</v>
      </c>
    </row>
    <row r="35532" spans="9:9" x14ac:dyDescent="0.2">
      <c r="I35532" s="137" t="s">
        <v>74</v>
      </c>
    </row>
    <row r="35533" spans="9:9" x14ac:dyDescent="0.2">
      <c r="I35533" s="137" t="s">
        <v>74</v>
      </c>
    </row>
    <row r="35534" spans="9:9" x14ac:dyDescent="0.2">
      <c r="I35534" s="137" t="s">
        <v>74</v>
      </c>
    </row>
    <row r="35535" spans="9:9" x14ac:dyDescent="0.2">
      <c r="I35535" s="137" t="s">
        <v>74</v>
      </c>
    </row>
    <row r="35536" spans="9:9" x14ac:dyDescent="0.2">
      <c r="I35536" s="137" t="s">
        <v>74</v>
      </c>
    </row>
    <row r="35537" spans="9:9" x14ac:dyDescent="0.2">
      <c r="I35537" s="137" t="s">
        <v>74</v>
      </c>
    </row>
    <row r="35538" spans="9:9" x14ac:dyDescent="0.2">
      <c r="I35538" s="137" t="s">
        <v>74</v>
      </c>
    </row>
    <row r="35539" spans="9:9" x14ac:dyDescent="0.2">
      <c r="I35539" s="137" t="s">
        <v>74</v>
      </c>
    </row>
    <row r="35540" spans="9:9" x14ac:dyDescent="0.2">
      <c r="I35540" s="137" t="s">
        <v>74</v>
      </c>
    </row>
    <row r="35541" spans="9:9" x14ac:dyDescent="0.2">
      <c r="I35541" s="137" t="s">
        <v>74</v>
      </c>
    </row>
    <row r="35542" spans="9:9" x14ac:dyDescent="0.2">
      <c r="I35542" s="137" t="s">
        <v>74</v>
      </c>
    </row>
    <row r="35543" spans="9:9" x14ac:dyDescent="0.2">
      <c r="I35543" s="137" t="s">
        <v>74</v>
      </c>
    </row>
    <row r="35544" spans="9:9" x14ac:dyDescent="0.2">
      <c r="I35544" s="137" t="s">
        <v>74</v>
      </c>
    </row>
    <row r="35545" spans="9:9" x14ac:dyDescent="0.2">
      <c r="I35545" s="137" t="s">
        <v>74</v>
      </c>
    </row>
    <row r="35546" spans="9:9" x14ac:dyDescent="0.2">
      <c r="I35546" s="137" t="s">
        <v>74</v>
      </c>
    </row>
    <row r="35547" spans="9:9" x14ac:dyDescent="0.2">
      <c r="I35547" s="137" t="s">
        <v>74</v>
      </c>
    </row>
    <row r="35548" spans="9:9" x14ac:dyDescent="0.2">
      <c r="I35548" s="137" t="s">
        <v>74</v>
      </c>
    </row>
    <row r="35549" spans="9:9" x14ac:dyDescent="0.2">
      <c r="I35549" s="137" t="s">
        <v>74</v>
      </c>
    </row>
    <row r="35550" spans="9:9" x14ac:dyDescent="0.2">
      <c r="I35550" s="137" t="s">
        <v>74</v>
      </c>
    </row>
    <row r="35551" spans="9:9" x14ac:dyDescent="0.2">
      <c r="I35551" s="137" t="s">
        <v>74</v>
      </c>
    </row>
    <row r="35552" spans="9:9" x14ac:dyDescent="0.2">
      <c r="I35552" s="137" t="s">
        <v>74</v>
      </c>
    </row>
    <row r="35553" spans="9:9" x14ac:dyDescent="0.2">
      <c r="I35553" s="137" t="s">
        <v>74</v>
      </c>
    </row>
    <row r="35554" spans="9:9" x14ac:dyDescent="0.2">
      <c r="I35554" s="137" t="s">
        <v>74</v>
      </c>
    </row>
    <row r="35555" spans="9:9" x14ac:dyDescent="0.2">
      <c r="I35555" s="137" t="s">
        <v>74</v>
      </c>
    </row>
    <row r="35556" spans="9:9" x14ac:dyDescent="0.2">
      <c r="I35556" s="137" t="s">
        <v>74</v>
      </c>
    </row>
    <row r="35557" spans="9:9" x14ac:dyDescent="0.2">
      <c r="I35557" s="137" t="s">
        <v>74</v>
      </c>
    </row>
    <row r="35558" spans="9:9" x14ac:dyDescent="0.2">
      <c r="I35558" s="137" t="s">
        <v>74</v>
      </c>
    </row>
    <row r="35559" spans="9:9" x14ac:dyDescent="0.2">
      <c r="I35559" s="137" t="s">
        <v>74</v>
      </c>
    </row>
    <row r="35560" spans="9:9" x14ac:dyDescent="0.2">
      <c r="I35560" s="137" t="s">
        <v>74</v>
      </c>
    </row>
    <row r="35561" spans="9:9" x14ac:dyDescent="0.2">
      <c r="I35561" s="137" t="s">
        <v>74</v>
      </c>
    </row>
    <row r="35562" spans="9:9" x14ac:dyDescent="0.2">
      <c r="I35562" s="137" t="s">
        <v>74</v>
      </c>
    </row>
    <row r="35563" spans="9:9" x14ac:dyDescent="0.2">
      <c r="I35563" s="137" t="s">
        <v>74</v>
      </c>
    </row>
    <row r="35564" spans="9:9" x14ac:dyDescent="0.2">
      <c r="I35564" s="137" t="s">
        <v>74</v>
      </c>
    </row>
    <row r="35565" spans="9:9" x14ac:dyDescent="0.2">
      <c r="I35565" s="137" t="s">
        <v>74</v>
      </c>
    </row>
    <row r="35566" spans="9:9" x14ac:dyDescent="0.2">
      <c r="I35566" s="137" t="s">
        <v>74</v>
      </c>
    </row>
    <row r="35567" spans="9:9" x14ac:dyDescent="0.2">
      <c r="I35567" s="137" t="s">
        <v>74</v>
      </c>
    </row>
    <row r="35568" spans="9:9" x14ac:dyDescent="0.2">
      <c r="I35568" s="137" t="s">
        <v>74</v>
      </c>
    </row>
    <row r="35569" spans="9:9" x14ac:dyDescent="0.2">
      <c r="I35569" s="137" t="s">
        <v>74</v>
      </c>
    </row>
    <row r="35570" spans="9:9" x14ac:dyDescent="0.2">
      <c r="I35570" s="137" t="s">
        <v>74</v>
      </c>
    </row>
    <row r="35571" spans="9:9" x14ac:dyDescent="0.2">
      <c r="I35571" s="137" t="s">
        <v>74</v>
      </c>
    </row>
    <row r="35572" spans="9:9" x14ac:dyDescent="0.2">
      <c r="I35572" s="137" t="s">
        <v>74</v>
      </c>
    </row>
    <row r="35573" spans="9:9" x14ac:dyDescent="0.2">
      <c r="I35573" s="137" t="s">
        <v>74</v>
      </c>
    </row>
    <row r="35574" spans="9:9" x14ac:dyDescent="0.2">
      <c r="I35574" s="137" t="s">
        <v>74</v>
      </c>
    </row>
    <row r="35575" spans="9:9" x14ac:dyDescent="0.2">
      <c r="I35575" s="137" t="s">
        <v>74</v>
      </c>
    </row>
    <row r="35576" spans="9:9" x14ac:dyDescent="0.2">
      <c r="I35576" s="137" t="s">
        <v>74</v>
      </c>
    </row>
    <row r="35577" spans="9:9" x14ac:dyDescent="0.2">
      <c r="I35577" s="137" t="s">
        <v>74</v>
      </c>
    </row>
    <row r="35578" spans="9:9" x14ac:dyDescent="0.2">
      <c r="I35578" s="137" t="s">
        <v>74</v>
      </c>
    </row>
    <row r="35579" spans="9:9" x14ac:dyDescent="0.2">
      <c r="I35579" s="137" t="s">
        <v>74</v>
      </c>
    </row>
    <row r="35580" spans="9:9" x14ac:dyDescent="0.2">
      <c r="I35580" s="137" t="s">
        <v>74</v>
      </c>
    </row>
    <row r="35581" spans="9:9" x14ac:dyDescent="0.2">
      <c r="I35581" s="137" t="s">
        <v>74</v>
      </c>
    </row>
    <row r="35582" spans="9:9" x14ac:dyDescent="0.2">
      <c r="I35582" s="137" t="s">
        <v>74</v>
      </c>
    </row>
    <row r="35583" spans="9:9" x14ac:dyDescent="0.2">
      <c r="I35583" s="137" t="s">
        <v>74</v>
      </c>
    </row>
    <row r="35584" spans="9:9" x14ac:dyDescent="0.2">
      <c r="I35584" s="137" t="s">
        <v>74</v>
      </c>
    </row>
    <row r="35585" spans="9:9" x14ac:dyDescent="0.2">
      <c r="I35585" s="137" t="s">
        <v>74</v>
      </c>
    </row>
    <row r="35586" spans="9:9" x14ac:dyDescent="0.2">
      <c r="I35586" s="137" t="s">
        <v>74</v>
      </c>
    </row>
    <row r="35587" spans="9:9" x14ac:dyDescent="0.2">
      <c r="I35587" s="137" t="s">
        <v>74</v>
      </c>
    </row>
    <row r="35588" spans="9:9" x14ac:dyDescent="0.2">
      <c r="I35588" s="137" t="s">
        <v>74</v>
      </c>
    </row>
    <row r="35589" spans="9:9" x14ac:dyDescent="0.2">
      <c r="I35589" s="137" t="s">
        <v>74</v>
      </c>
    </row>
    <row r="35590" spans="9:9" x14ac:dyDescent="0.2">
      <c r="I35590" s="137" t="s">
        <v>74</v>
      </c>
    </row>
    <row r="35591" spans="9:9" x14ac:dyDescent="0.2">
      <c r="I35591" s="137" t="s">
        <v>74</v>
      </c>
    </row>
    <row r="35592" spans="9:9" x14ac:dyDescent="0.2">
      <c r="I35592" s="137" t="s">
        <v>74</v>
      </c>
    </row>
    <row r="35593" spans="9:9" x14ac:dyDescent="0.2">
      <c r="I35593" s="137" t="s">
        <v>74</v>
      </c>
    </row>
    <row r="35594" spans="9:9" x14ac:dyDescent="0.2">
      <c r="I35594" s="137" t="s">
        <v>74</v>
      </c>
    </row>
    <row r="35595" spans="9:9" x14ac:dyDescent="0.2">
      <c r="I35595" s="137" t="s">
        <v>74</v>
      </c>
    </row>
    <row r="35596" spans="9:9" x14ac:dyDescent="0.2">
      <c r="I35596" s="137" t="s">
        <v>74</v>
      </c>
    </row>
    <row r="35597" spans="9:9" x14ac:dyDescent="0.2">
      <c r="I35597" s="137" t="s">
        <v>74</v>
      </c>
    </row>
    <row r="35598" spans="9:9" x14ac:dyDescent="0.2">
      <c r="I35598" s="137" t="s">
        <v>74</v>
      </c>
    </row>
    <row r="35599" spans="9:9" x14ac:dyDescent="0.2">
      <c r="I35599" s="137" t="s">
        <v>74</v>
      </c>
    </row>
    <row r="35600" spans="9:9" x14ac:dyDescent="0.2">
      <c r="I35600" s="137" t="s">
        <v>74</v>
      </c>
    </row>
    <row r="35601" spans="9:9" x14ac:dyDescent="0.2">
      <c r="I35601" s="137" t="s">
        <v>74</v>
      </c>
    </row>
    <row r="35602" spans="9:9" x14ac:dyDescent="0.2">
      <c r="I35602" s="137" t="s">
        <v>74</v>
      </c>
    </row>
    <row r="35603" spans="9:9" x14ac:dyDescent="0.2">
      <c r="I35603" s="137" t="s">
        <v>74</v>
      </c>
    </row>
    <row r="35604" spans="9:9" x14ac:dyDescent="0.2">
      <c r="I35604" s="137" t="s">
        <v>74</v>
      </c>
    </row>
    <row r="35605" spans="9:9" x14ac:dyDescent="0.2">
      <c r="I35605" s="137" t="s">
        <v>74</v>
      </c>
    </row>
    <row r="35606" spans="9:9" x14ac:dyDescent="0.2">
      <c r="I35606" s="137" t="s">
        <v>74</v>
      </c>
    </row>
    <row r="35607" spans="9:9" x14ac:dyDescent="0.2">
      <c r="I35607" s="137" t="s">
        <v>74</v>
      </c>
    </row>
    <row r="35608" spans="9:9" x14ac:dyDescent="0.2">
      <c r="I35608" s="137" t="s">
        <v>74</v>
      </c>
    </row>
    <row r="35609" spans="9:9" x14ac:dyDescent="0.2">
      <c r="I35609" s="137" t="s">
        <v>74</v>
      </c>
    </row>
    <row r="35610" spans="9:9" x14ac:dyDescent="0.2">
      <c r="I35610" s="137" t="s">
        <v>74</v>
      </c>
    </row>
    <row r="35611" spans="9:9" x14ac:dyDescent="0.2">
      <c r="I35611" s="137" t="s">
        <v>74</v>
      </c>
    </row>
    <row r="35612" spans="9:9" x14ac:dyDescent="0.2">
      <c r="I35612" s="137" t="s">
        <v>74</v>
      </c>
    </row>
    <row r="35613" spans="9:9" x14ac:dyDescent="0.2">
      <c r="I35613" s="137" t="s">
        <v>74</v>
      </c>
    </row>
    <row r="35614" spans="9:9" x14ac:dyDescent="0.2">
      <c r="I35614" s="137" t="s">
        <v>74</v>
      </c>
    </row>
    <row r="35615" spans="9:9" x14ac:dyDescent="0.2">
      <c r="I35615" s="137" t="s">
        <v>74</v>
      </c>
    </row>
    <row r="35616" spans="9:9" x14ac:dyDescent="0.2">
      <c r="I35616" s="137" t="s">
        <v>74</v>
      </c>
    </row>
    <row r="35617" spans="9:9" x14ac:dyDescent="0.2">
      <c r="I35617" s="137" t="s">
        <v>74</v>
      </c>
    </row>
    <row r="35618" spans="9:9" x14ac:dyDescent="0.2">
      <c r="I35618" s="137" t="s">
        <v>74</v>
      </c>
    </row>
    <row r="35619" spans="9:9" x14ac:dyDescent="0.2">
      <c r="I35619" s="137" t="s">
        <v>74</v>
      </c>
    </row>
    <row r="35620" spans="9:9" x14ac:dyDescent="0.2">
      <c r="I35620" s="137" t="s">
        <v>74</v>
      </c>
    </row>
    <row r="35621" spans="9:9" x14ac:dyDescent="0.2">
      <c r="I35621" s="137" t="s">
        <v>74</v>
      </c>
    </row>
    <row r="35622" spans="9:9" x14ac:dyDescent="0.2">
      <c r="I35622" s="137" t="s">
        <v>74</v>
      </c>
    </row>
    <row r="35623" spans="9:9" x14ac:dyDescent="0.2">
      <c r="I35623" s="137" t="s">
        <v>74</v>
      </c>
    </row>
    <row r="35624" spans="9:9" x14ac:dyDescent="0.2">
      <c r="I35624" s="137" t="s">
        <v>74</v>
      </c>
    </row>
    <row r="35625" spans="9:9" x14ac:dyDescent="0.2">
      <c r="I35625" s="137" t="s">
        <v>74</v>
      </c>
    </row>
    <row r="35626" spans="9:9" x14ac:dyDescent="0.2">
      <c r="I35626" s="137" t="s">
        <v>74</v>
      </c>
    </row>
    <row r="35627" spans="9:9" x14ac:dyDescent="0.2">
      <c r="I35627" s="137" t="s">
        <v>74</v>
      </c>
    </row>
    <row r="35628" spans="9:9" x14ac:dyDescent="0.2">
      <c r="I35628" s="137" t="s">
        <v>74</v>
      </c>
    </row>
    <row r="35629" spans="9:9" x14ac:dyDescent="0.2">
      <c r="I35629" s="137" t="s">
        <v>74</v>
      </c>
    </row>
    <row r="35630" spans="9:9" x14ac:dyDescent="0.2">
      <c r="I35630" s="137" t="s">
        <v>74</v>
      </c>
    </row>
    <row r="35631" spans="9:9" x14ac:dyDescent="0.2">
      <c r="I35631" s="137" t="s">
        <v>74</v>
      </c>
    </row>
    <row r="35632" spans="9:9" x14ac:dyDescent="0.2">
      <c r="I35632" s="137" t="s">
        <v>74</v>
      </c>
    </row>
    <row r="35633" spans="9:9" x14ac:dyDescent="0.2">
      <c r="I35633" s="137" t="s">
        <v>74</v>
      </c>
    </row>
    <row r="35634" spans="9:9" x14ac:dyDescent="0.2">
      <c r="I35634" s="137" t="s">
        <v>74</v>
      </c>
    </row>
    <row r="35635" spans="9:9" x14ac:dyDescent="0.2">
      <c r="I35635" s="137" t="s">
        <v>74</v>
      </c>
    </row>
    <row r="35636" spans="9:9" x14ac:dyDescent="0.2">
      <c r="I35636" s="137" t="s">
        <v>74</v>
      </c>
    </row>
    <row r="35637" spans="9:9" x14ac:dyDescent="0.2">
      <c r="I35637" s="137" t="s">
        <v>74</v>
      </c>
    </row>
    <row r="35638" spans="9:9" x14ac:dyDescent="0.2">
      <c r="I35638" s="137" t="s">
        <v>74</v>
      </c>
    </row>
    <row r="35639" spans="9:9" x14ac:dyDescent="0.2">
      <c r="I35639" s="137" t="s">
        <v>74</v>
      </c>
    </row>
    <row r="35640" spans="9:9" x14ac:dyDescent="0.2">
      <c r="I35640" s="137" t="s">
        <v>74</v>
      </c>
    </row>
    <row r="35641" spans="9:9" x14ac:dyDescent="0.2">
      <c r="I35641" s="137" t="s">
        <v>74</v>
      </c>
    </row>
    <row r="35642" spans="9:9" x14ac:dyDescent="0.2">
      <c r="I35642" s="137" t="s">
        <v>74</v>
      </c>
    </row>
    <row r="35643" spans="9:9" x14ac:dyDescent="0.2">
      <c r="I35643" s="137" t="s">
        <v>74</v>
      </c>
    </row>
    <row r="35644" spans="9:9" x14ac:dyDescent="0.2">
      <c r="I35644" s="137" t="s">
        <v>74</v>
      </c>
    </row>
    <row r="35645" spans="9:9" x14ac:dyDescent="0.2">
      <c r="I35645" s="137" t="s">
        <v>74</v>
      </c>
    </row>
    <row r="35646" spans="9:9" x14ac:dyDescent="0.2">
      <c r="I35646" s="137" t="s">
        <v>74</v>
      </c>
    </row>
    <row r="35647" spans="9:9" x14ac:dyDescent="0.2">
      <c r="I35647" s="137" t="s">
        <v>74</v>
      </c>
    </row>
    <row r="35648" spans="9:9" x14ac:dyDescent="0.2">
      <c r="I35648" s="137" t="s">
        <v>74</v>
      </c>
    </row>
    <row r="35649" spans="9:9" x14ac:dyDescent="0.2">
      <c r="I35649" s="137" t="s">
        <v>74</v>
      </c>
    </row>
    <row r="35650" spans="9:9" x14ac:dyDescent="0.2">
      <c r="I35650" s="137" t="s">
        <v>74</v>
      </c>
    </row>
    <row r="35651" spans="9:9" x14ac:dyDescent="0.2">
      <c r="I35651" s="137" t="s">
        <v>74</v>
      </c>
    </row>
    <row r="35652" spans="9:9" x14ac:dyDescent="0.2">
      <c r="I35652" s="137" t="s">
        <v>74</v>
      </c>
    </row>
    <row r="35653" spans="9:9" x14ac:dyDescent="0.2">
      <c r="I35653" s="137" t="s">
        <v>74</v>
      </c>
    </row>
    <row r="35654" spans="9:9" x14ac:dyDescent="0.2">
      <c r="I35654" s="137" t="s">
        <v>74</v>
      </c>
    </row>
    <row r="35655" spans="9:9" x14ac:dyDescent="0.2">
      <c r="I35655" s="137" t="s">
        <v>74</v>
      </c>
    </row>
    <row r="35656" spans="9:9" x14ac:dyDescent="0.2">
      <c r="I35656" s="137" t="s">
        <v>74</v>
      </c>
    </row>
    <row r="35657" spans="9:9" x14ac:dyDescent="0.2">
      <c r="I35657" s="137" t="s">
        <v>74</v>
      </c>
    </row>
    <row r="35658" spans="9:9" x14ac:dyDescent="0.2">
      <c r="I35658" s="137" t="s">
        <v>74</v>
      </c>
    </row>
    <row r="35659" spans="9:9" x14ac:dyDescent="0.2">
      <c r="I35659" s="137" t="s">
        <v>74</v>
      </c>
    </row>
    <row r="35660" spans="9:9" x14ac:dyDescent="0.2">
      <c r="I35660" s="137" t="s">
        <v>74</v>
      </c>
    </row>
    <row r="35661" spans="9:9" x14ac:dyDescent="0.2">
      <c r="I35661" s="137" t="s">
        <v>74</v>
      </c>
    </row>
    <row r="35662" spans="9:9" x14ac:dyDescent="0.2">
      <c r="I35662" s="137" t="s">
        <v>74</v>
      </c>
    </row>
    <row r="35663" spans="9:9" x14ac:dyDescent="0.2">
      <c r="I35663" s="137" t="s">
        <v>74</v>
      </c>
    </row>
    <row r="35664" spans="9:9" x14ac:dyDescent="0.2">
      <c r="I35664" s="137" t="s">
        <v>74</v>
      </c>
    </row>
    <row r="35665" spans="9:9" x14ac:dyDescent="0.2">
      <c r="I35665" s="137" t="s">
        <v>74</v>
      </c>
    </row>
    <row r="35666" spans="9:9" x14ac:dyDescent="0.2">
      <c r="I35666" s="137" t="s">
        <v>74</v>
      </c>
    </row>
    <row r="35667" spans="9:9" x14ac:dyDescent="0.2">
      <c r="I35667" s="137" t="s">
        <v>74</v>
      </c>
    </row>
    <row r="35668" spans="9:9" x14ac:dyDescent="0.2">
      <c r="I35668" s="137" t="s">
        <v>74</v>
      </c>
    </row>
    <row r="35669" spans="9:9" x14ac:dyDescent="0.2">
      <c r="I35669" s="137" t="s">
        <v>74</v>
      </c>
    </row>
    <row r="35670" spans="9:9" x14ac:dyDescent="0.2">
      <c r="I35670" s="137" t="s">
        <v>74</v>
      </c>
    </row>
    <row r="35671" spans="9:9" x14ac:dyDescent="0.2">
      <c r="I35671" s="137" t="s">
        <v>74</v>
      </c>
    </row>
    <row r="35672" spans="9:9" x14ac:dyDescent="0.2">
      <c r="I35672" s="137" t="s">
        <v>74</v>
      </c>
    </row>
    <row r="35673" spans="9:9" x14ac:dyDescent="0.2">
      <c r="I35673" s="137" t="s">
        <v>74</v>
      </c>
    </row>
    <row r="35674" spans="9:9" x14ac:dyDescent="0.2">
      <c r="I35674" s="137" t="s">
        <v>74</v>
      </c>
    </row>
    <row r="35675" spans="9:9" x14ac:dyDescent="0.2">
      <c r="I35675" s="137" t="s">
        <v>74</v>
      </c>
    </row>
    <row r="35676" spans="9:9" x14ac:dyDescent="0.2">
      <c r="I35676" s="137" t="s">
        <v>74</v>
      </c>
    </row>
    <row r="35677" spans="9:9" x14ac:dyDescent="0.2">
      <c r="I35677" s="137" t="s">
        <v>74</v>
      </c>
    </row>
    <row r="35678" spans="9:9" x14ac:dyDescent="0.2">
      <c r="I35678" s="137" t="s">
        <v>74</v>
      </c>
    </row>
    <row r="35679" spans="9:9" x14ac:dyDescent="0.2">
      <c r="I35679" s="137" t="s">
        <v>74</v>
      </c>
    </row>
    <row r="35680" spans="9:9" x14ac:dyDescent="0.2">
      <c r="I35680" s="137" t="s">
        <v>74</v>
      </c>
    </row>
    <row r="35681" spans="9:9" x14ac:dyDescent="0.2">
      <c r="I35681" s="137" t="s">
        <v>74</v>
      </c>
    </row>
    <row r="35682" spans="9:9" x14ac:dyDescent="0.2">
      <c r="I35682" s="137" t="s">
        <v>74</v>
      </c>
    </row>
    <row r="35683" spans="9:9" x14ac:dyDescent="0.2">
      <c r="I35683" s="137" t="s">
        <v>74</v>
      </c>
    </row>
    <row r="35684" spans="9:9" x14ac:dyDescent="0.2">
      <c r="I35684" s="137" t="s">
        <v>74</v>
      </c>
    </row>
    <row r="35685" spans="9:9" x14ac:dyDescent="0.2">
      <c r="I35685" s="137" t="s">
        <v>74</v>
      </c>
    </row>
    <row r="35686" spans="9:9" x14ac:dyDescent="0.2">
      <c r="I35686" s="137" t="s">
        <v>74</v>
      </c>
    </row>
    <row r="35687" spans="9:9" x14ac:dyDescent="0.2">
      <c r="I35687" s="137" t="s">
        <v>74</v>
      </c>
    </row>
    <row r="35688" spans="9:9" x14ac:dyDescent="0.2">
      <c r="I35688" s="137" t="s">
        <v>74</v>
      </c>
    </row>
    <row r="35689" spans="9:9" x14ac:dyDescent="0.2">
      <c r="I35689" s="137" t="s">
        <v>74</v>
      </c>
    </row>
    <row r="35690" spans="9:9" x14ac:dyDescent="0.2">
      <c r="I35690" s="137" t="s">
        <v>74</v>
      </c>
    </row>
    <row r="35691" spans="9:9" x14ac:dyDescent="0.2">
      <c r="I35691" s="137" t="s">
        <v>74</v>
      </c>
    </row>
    <row r="35692" spans="9:9" x14ac:dyDescent="0.2">
      <c r="I35692" s="137" t="s">
        <v>74</v>
      </c>
    </row>
    <row r="35693" spans="9:9" x14ac:dyDescent="0.2">
      <c r="I35693" s="137" t="s">
        <v>74</v>
      </c>
    </row>
    <row r="35694" spans="9:9" x14ac:dyDescent="0.2">
      <c r="I35694" s="137" t="s">
        <v>74</v>
      </c>
    </row>
    <row r="35695" spans="9:9" x14ac:dyDescent="0.2">
      <c r="I35695" s="137" t="s">
        <v>74</v>
      </c>
    </row>
    <row r="35696" spans="9:9" x14ac:dyDescent="0.2">
      <c r="I35696" s="137" t="s">
        <v>74</v>
      </c>
    </row>
    <row r="35697" spans="9:9" x14ac:dyDescent="0.2">
      <c r="I35697" s="137" t="s">
        <v>74</v>
      </c>
    </row>
    <row r="35698" spans="9:9" x14ac:dyDescent="0.2">
      <c r="I35698" s="137" t="s">
        <v>74</v>
      </c>
    </row>
    <row r="35699" spans="9:9" x14ac:dyDescent="0.2">
      <c r="I35699" s="137" t="s">
        <v>74</v>
      </c>
    </row>
    <row r="35700" spans="9:9" x14ac:dyDescent="0.2">
      <c r="I35700" s="137" t="s">
        <v>74</v>
      </c>
    </row>
    <row r="35701" spans="9:9" x14ac:dyDescent="0.2">
      <c r="I35701" s="137" t="s">
        <v>74</v>
      </c>
    </row>
    <row r="35702" spans="9:9" x14ac:dyDescent="0.2">
      <c r="I35702" s="137" t="s">
        <v>74</v>
      </c>
    </row>
    <row r="35703" spans="9:9" x14ac:dyDescent="0.2">
      <c r="I35703" s="137" t="s">
        <v>74</v>
      </c>
    </row>
    <row r="35704" spans="9:9" x14ac:dyDescent="0.2">
      <c r="I35704" s="137" t="s">
        <v>74</v>
      </c>
    </row>
    <row r="35705" spans="9:9" x14ac:dyDescent="0.2">
      <c r="I35705" s="137" t="s">
        <v>74</v>
      </c>
    </row>
    <row r="35706" spans="9:9" x14ac:dyDescent="0.2">
      <c r="I35706" s="137" t="s">
        <v>74</v>
      </c>
    </row>
    <row r="35707" spans="9:9" x14ac:dyDescent="0.2">
      <c r="I35707" s="137" t="s">
        <v>74</v>
      </c>
    </row>
    <row r="35708" spans="9:9" x14ac:dyDescent="0.2">
      <c r="I35708" s="137" t="s">
        <v>74</v>
      </c>
    </row>
    <row r="35709" spans="9:9" x14ac:dyDescent="0.2">
      <c r="I35709" s="137" t="s">
        <v>74</v>
      </c>
    </row>
    <row r="35710" spans="9:9" x14ac:dyDescent="0.2">
      <c r="I35710" s="137" t="s">
        <v>74</v>
      </c>
    </row>
    <row r="35711" spans="9:9" x14ac:dyDescent="0.2">
      <c r="I35711" s="137" t="s">
        <v>74</v>
      </c>
    </row>
    <row r="35712" spans="9:9" x14ac:dyDescent="0.2">
      <c r="I35712" s="137" t="s">
        <v>74</v>
      </c>
    </row>
    <row r="35713" spans="9:9" x14ac:dyDescent="0.2">
      <c r="I35713" s="137" t="s">
        <v>74</v>
      </c>
    </row>
    <row r="35714" spans="9:9" x14ac:dyDescent="0.2">
      <c r="I35714" s="137" t="s">
        <v>74</v>
      </c>
    </row>
    <row r="35715" spans="9:9" x14ac:dyDescent="0.2">
      <c r="I35715" s="137" t="s">
        <v>74</v>
      </c>
    </row>
    <row r="35716" spans="9:9" x14ac:dyDescent="0.2">
      <c r="I35716" s="137" t="s">
        <v>74</v>
      </c>
    </row>
    <row r="35717" spans="9:9" x14ac:dyDescent="0.2">
      <c r="I35717" s="137" t="s">
        <v>74</v>
      </c>
    </row>
    <row r="35718" spans="9:9" x14ac:dyDescent="0.2">
      <c r="I35718" s="137" t="s">
        <v>74</v>
      </c>
    </row>
    <row r="35719" spans="9:9" x14ac:dyDescent="0.2">
      <c r="I35719" s="137" t="s">
        <v>74</v>
      </c>
    </row>
    <row r="35720" spans="9:9" x14ac:dyDescent="0.2">
      <c r="I35720" s="137" t="s">
        <v>74</v>
      </c>
    </row>
    <row r="35721" spans="9:9" x14ac:dyDescent="0.2">
      <c r="I35721" s="137" t="s">
        <v>74</v>
      </c>
    </row>
    <row r="35722" spans="9:9" x14ac:dyDescent="0.2">
      <c r="I35722" s="137" t="s">
        <v>74</v>
      </c>
    </row>
    <row r="35723" spans="9:9" x14ac:dyDescent="0.2">
      <c r="I35723" s="137" t="s">
        <v>74</v>
      </c>
    </row>
    <row r="35724" spans="9:9" x14ac:dyDescent="0.2">
      <c r="I35724" s="137" t="s">
        <v>74</v>
      </c>
    </row>
    <row r="35725" spans="9:9" x14ac:dyDescent="0.2">
      <c r="I35725" s="137" t="s">
        <v>74</v>
      </c>
    </row>
    <row r="35726" spans="9:9" x14ac:dyDescent="0.2">
      <c r="I35726" s="137" t="s">
        <v>74</v>
      </c>
    </row>
    <row r="35727" spans="9:9" x14ac:dyDescent="0.2">
      <c r="I35727" s="137" t="s">
        <v>74</v>
      </c>
    </row>
    <row r="35728" spans="9:9" x14ac:dyDescent="0.2">
      <c r="I35728" s="137" t="s">
        <v>74</v>
      </c>
    </row>
    <row r="35729" spans="9:9" x14ac:dyDescent="0.2">
      <c r="I35729" s="137" t="s">
        <v>74</v>
      </c>
    </row>
    <row r="35730" spans="9:9" x14ac:dyDescent="0.2">
      <c r="I35730" s="137" t="s">
        <v>74</v>
      </c>
    </row>
    <row r="35731" spans="9:9" x14ac:dyDescent="0.2">
      <c r="I35731" s="137" t="s">
        <v>74</v>
      </c>
    </row>
    <row r="35732" spans="9:9" x14ac:dyDescent="0.2">
      <c r="I35732" s="137" t="s">
        <v>74</v>
      </c>
    </row>
    <row r="35733" spans="9:9" x14ac:dyDescent="0.2">
      <c r="I35733" s="137" t="s">
        <v>74</v>
      </c>
    </row>
    <row r="35734" spans="9:9" x14ac:dyDescent="0.2">
      <c r="I35734" s="137" t="s">
        <v>74</v>
      </c>
    </row>
    <row r="35735" spans="9:9" x14ac:dyDescent="0.2">
      <c r="I35735" s="137" t="s">
        <v>74</v>
      </c>
    </row>
    <row r="35736" spans="9:9" x14ac:dyDescent="0.2">
      <c r="I35736" s="137" t="s">
        <v>74</v>
      </c>
    </row>
    <row r="35737" spans="9:9" x14ac:dyDescent="0.2">
      <c r="I35737" s="137" t="s">
        <v>74</v>
      </c>
    </row>
    <row r="35738" spans="9:9" x14ac:dyDescent="0.2">
      <c r="I35738" s="137" t="s">
        <v>74</v>
      </c>
    </row>
    <row r="35739" spans="9:9" x14ac:dyDescent="0.2">
      <c r="I35739" s="137" t="s">
        <v>74</v>
      </c>
    </row>
    <row r="35740" spans="9:9" x14ac:dyDescent="0.2">
      <c r="I35740" s="137" t="s">
        <v>74</v>
      </c>
    </row>
    <row r="35741" spans="9:9" x14ac:dyDescent="0.2">
      <c r="I35741" s="137" t="s">
        <v>74</v>
      </c>
    </row>
    <row r="35742" spans="9:9" x14ac:dyDescent="0.2">
      <c r="I35742" s="137" t="s">
        <v>74</v>
      </c>
    </row>
    <row r="35743" spans="9:9" x14ac:dyDescent="0.2">
      <c r="I35743" s="137" t="s">
        <v>74</v>
      </c>
    </row>
    <row r="35744" spans="9:9" x14ac:dyDescent="0.2">
      <c r="I35744" s="137" t="s">
        <v>74</v>
      </c>
    </row>
    <row r="35745" spans="9:9" x14ac:dyDescent="0.2">
      <c r="I35745" s="137" t="s">
        <v>74</v>
      </c>
    </row>
    <row r="35746" spans="9:9" x14ac:dyDescent="0.2">
      <c r="I35746" s="137" t="s">
        <v>74</v>
      </c>
    </row>
    <row r="35747" spans="9:9" x14ac:dyDescent="0.2">
      <c r="I35747" s="137" t="s">
        <v>74</v>
      </c>
    </row>
    <row r="35748" spans="9:9" x14ac:dyDescent="0.2">
      <c r="I35748" s="137" t="s">
        <v>74</v>
      </c>
    </row>
    <row r="35749" spans="9:9" x14ac:dyDescent="0.2">
      <c r="I35749" s="137" t="s">
        <v>74</v>
      </c>
    </row>
    <row r="35750" spans="9:9" x14ac:dyDescent="0.2">
      <c r="I35750" s="137" t="s">
        <v>74</v>
      </c>
    </row>
    <row r="35751" spans="9:9" x14ac:dyDescent="0.2">
      <c r="I35751" s="137" t="s">
        <v>74</v>
      </c>
    </row>
    <row r="35752" spans="9:9" x14ac:dyDescent="0.2">
      <c r="I35752" s="137" t="s">
        <v>74</v>
      </c>
    </row>
    <row r="35753" spans="9:9" x14ac:dyDescent="0.2">
      <c r="I35753" s="137" t="s">
        <v>74</v>
      </c>
    </row>
    <row r="35754" spans="9:9" x14ac:dyDescent="0.2">
      <c r="I35754" s="137" t="s">
        <v>74</v>
      </c>
    </row>
    <row r="35755" spans="9:9" x14ac:dyDescent="0.2">
      <c r="I35755" s="137" t="s">
        <v>74</v>
      </c>
    </row>
    <row r="35756" spans="9:9" x14ac:dyDescent="0.2">
      <c r="I35756" s="137" t="s">
        <v>74</v>
      </c>
    </row>
    <row r="35757" spans="9:9" x14ac:dyDescent="0.2">
      <c r="I35757" s="137" t="s">
        <v>74</v>
      </c>
    </row>
    <row r="35758" spans="9:9" x14ac:dyDescent="0.2">
      <c r="I35758" s="137" t="s">
        <v>74</v>
      </c>
    </row>
    <row r="35759" spans="9:9" x14ac:dyDescent="0.2">
      <c r="I35759" s="137" t="s">
        <v>74</v>
      </c>
    </row>
    <row r="35760" spans="9:9" x14ac:dyDescent="0.2">
      <c r="I35760" s="137" t="s">
        <v>74</v>
      </c>
    </row>
    <row r="35761" spans="9:9" x14ac:dyDescent="0.2">
      <c r="I35761" s="137" t="s">
        <v>74</v>
      </c>
    </row>
    <row r="35762" spans="9:9" x14ac:dyDescent="0.2">
      <c r="I35762" s="137" t="s">
        <v>74</v>
      </c>
    </row>
    <row r="35763" spans="9:9" x14ac:dyDescent="0.2">
      <c r="I35763" s="137" t="s">
        <v>74</v>
      </c>
    </row>
    <row r="35764" spans="9:9" x14ac:dyDescent="0.2">
      <c r="I35764" s="137" t="s">
        <v>74</v>
      </c>
    </row>
    <row r="35765" spans="9:9" x14ac:dyDescent="0.2">
      <c r="I35765" s="137" t="s">
        <v>74</v>
      </c>
    </row>
    <row r="35766" spans="9:9" x14ac:dyDescent="0.2">
      <c r="I35766" s="137" t="s">
        <v>74</v>
      </c>
    </row>
    <row r="35767" spans="9:9" x14ac:dyDescent="0.2">
      <c r="I35767" s="137" t="s">
        <v>74</v>
      </c>
    </row>
    <row r="35768" spans="9:9" x14ac:dyDescent="0.2">
      <c r="I35768" s="137" t="s">
        <v>74</v>
      </c>
    </row>
    <row r="35769" spans="9:9" x14ac:dyDescent="0.2">
      <c r="I35769" s="137" t="s">
        <v>74</v>
      </c>
    </row>
    <row r="35770" spans="9:9" x14ac:dyDescent="0.2">
      <c r="I35770" s="137" t="s">
        <v>74</v>
      </c>
    </row>
    <row r="35771" spans="9:9" x14ac:dyDescent="0.2">
      <c r="I35771" s="137" t="s">
        <v>74</v>
      </c>
    </row>
    <row r="35772" spans="9:9" x14ac:dyDescent="0.2">
      <c r="I35772" s="137" t="s">
        <v>74</v>
      </c>
    </row>
    <row r="35773" spans="9:9" x14ac:dyDescent="0.2">
      <c r="I35773" s="137" t="s">
        <v>74</v>
      </c>
    </row>
    <row r="35774" spans="9:9" x14ac:dyDescent="0.2">
      <c r="I35774" s="137" t="s">
        <v>74</v>
      </c>
    </row>
    <row r="35775" spans="9:9" x14ac:dyDescent="0.2">
      <c r="I35775" s="137" t="s">
        <v>74</v>
      </c>
    </row>
    <row r="35776" spans="9:9" x14ac:dyDescent="0.2">
      <c r="I35776" s="137" t="s">
        <v>74</v>
      </c>
    </row>
    <row r="35777" spans="9:9" x14ac:dyDescent="0.2">
      <c r="I35777" s="137" t="s">
        <v>74</v>
      </c>
    </row>
    <row r="35778" spans="9:9" x14ac:dyDescent="0.2">
      <c r="I35778" s="137" t="s">
        <v>74</v>
      </c>
    </row>
    <row r="35779" spans="9:9" x14ac:dyDescent="0.2">
      <c r="I35779" s="137" t="s">
        <v>74</v>
      </c>
    </row>
    <row r="35780" spans="9:9" x14ac:dyDescent="0.2">
      <c r="I35780" s="137" t="s">
        <v>74</v>
      </c>
    </row>
    <row r="35781" spans="9:9" x14ac:dyDescent="0.2">
      <c r="I35781" s="137" t="s">
        <v>74</v>
      </c>
    </row>
    <row r="35782" spans="9:9" x14ac:dyDescent="0.2">
      <c r="I35782" s="137" t="s">
        <v>74</v>
      </c>
    </row>
    <row r="35783" spans="9:9" x14ac:dyDescent="0.2">
      <c r="I35783" s="137" t="s">
        <v>74</v>
      </c>
    </row>
    <row r="35784" spans="9:9" x14ac:dyDescent="0.2">
      <c r="I35784" s="137" t="s">
        <v>74</v>
      </c>
    </row>
    <row r="35785" spans="9:9" x14ac:dyDescent="0.2">
      <c r="I35785" s="137" t="s">
        <v>74</v>
      </c>
    </row>
    <row r="35786" spans="9:9" x14ac:dyDescent="0.2">
      <c r="I35786" s="137" t="s">
        <v>74</v>
      </c>
    </row>
    <row r="35787" spans="9:9" x14ac:dyDescent="0.2">
      <c r="I35787" s="137" t="s">
        <v>74</v>
      </c>
    </row>
    <row r="35788" spans="9:9" x14ac:dyDescent="0.2">
      <c r="I35788" s="137" t="s">
        <v>74</v>
      </c>
    </row>
    <row r="35789" spans="9:9" x14ac:dyDescent="0.2">
      <c r="I35789" s="137" t="s">
        <v>74</v>
      </c>
    </row>
    <row r="35790" spans="9:9" x14ac:dyDescent="0.2">
      <c r="I35790" s="137" t="s">
        <v>74</v>
      </c>
    </row>
    <row r="35791" spans="9:9" x14ac:dyDescent="0.2">
      <c r="I35791" s="137" t="s">
        <v>74</v>
      </c>
    </row>
    <row r="35792" spans="9:9" x14ac:dyDescent="0.2">
      <c r="I35792" s="137" t="s">
        <v>74</v>
      </c>
    </row>
    <row r="35793" spans="9:9" x14ac:dyDescent="0.2">
      <c r="I35793" s="137" t="s">
        <v>74</v>
      </c>
    </row>
    <row r="35794" spans="9:9" x14ac:dyDescent="0.2">
      <c r="I35794" s="137" t="s">
        <v>74</v>
      </c>
    </row>
    <row r="35795" spans="9:9" x14ac:dyDescent="0.2">
      <c r="I35795" s="137" t="s">
        <v>74</v>
      </c>
    </row>
    <row r="35796" spans="9:9" x14ac:dyDescent="0.2">
      <c r="I35796" s="137" t="s">
        <v>74</v>
      </c>
    </row>
    <row r="35797" spans="9:9" x14ac:dyDescent="0.2">
      <c r="I35797" s="137" t="s">
        <v>74</v>
      </c>
    </row>
    <row r="35798" spans="9:9" x14ac:dyDescent="0.2">
      <c r="I35798" s="137" t="s">
        <v>74</v>
      </c>
    </row>
    <row r="35799" spans="9:9" x14ac:dyDescent="0.2">
      <c r="I35799" s="137" t="s">
        <v>74</v>
      </c>
    </row>
    <row r="35800" spans="9:9" x14ac:dyDescent="0.2">
      <c r="I35800" s="137" t="s">
        <v>74</v>
      </c>
    </row>
    <row r="35801" spans="9:9" x14ac:dyDescent="0.2">
      <c r="I35801" s="137" t="s">
        <v>74</v>
      </c>
    </row>
    <row r="35802" spans="9:9" x14ac:dyDescent="0.2">
      <c r="I35802" s="137" t="s">
        <v>74</v>
      </c>
    </row>
    <row r="35803" spans="9:9" x14ac:dyDescent="0.2">
      <c r="I35803" s="137" t="s">
        <v>74</v>
      </c>
    </row>
    <row r="35804" spans="9:9" x14ac:dyDescent="0.2">
      <c r="I35804" s="137" t="s">
        <v>74</v>
      </c>
    </row>
    <row r="35805" spans="9:9" x14ac:dyDescent="0.2">
      <c r="I35805" s="137" t="s">
        <v>74</v>
      </c>
    </row>
    <row r="35806" spans="9:9" x14ac:dyDescent="0.2">
      <c r="I35806" s="137" t="s">
        <v>74</v>
      </c>
    </row>
    <row r="35807" spans="9:9" x14ac:dyDescent="0.2">
      <c r="I35807" s="137" t="s">
        <v>74</v>
      </c>
    </row>
    <row r="35808" spans="9:9" x14ac:dyDescent="0.2">
      <c r="I35808" s="137" t="s">
        <v>74</v>
      </c>
    </row>
    <row r="35809" spans="9:9" x14ac:dyDescent="0.2">
      <c r="I35809" s="137" t="s">
        <v>74</v>
      </c>
    </row>
    <row r="35810" spans="9:9" x14ac:dyDescent="0.2">
      <c r="I35810" s="137" t="s">
        <v>74</v>
      </c>
    </row>
    <row r="35811" spans="9:9" x14ac:dyDescent="0.2">
      <c r="I35811" s="137" t="s">
        <v>74</v>
      </c>
    </row>
    <row r="35812" spans="9:9" x14ac:dyDescent="0.2">
      <c r="I35812" s="137" t="s">
        <v>74</v>
      </c>
    </row>
    <row r="35813" spans="9:9" x14ac:dyDescent="0.2">
      <c r="I35813" s="137" t="s">
        <v>74</v>
      </c>
    </row>
    <row r="35814" spans="9:9" x14ac:dyDescent="0.2">
      <c r="I35814" s="137" t="s">
        <v>74</v>
      </c>
    </row>
    <row r="35815" spans="9:9" x14ac:dyDescent="0.2">
      <c r="I35815" s="137" t="s">
        <v>74</v>
      </c>
    </row>
    <row r="35816" spans="9:9" x14ac:dyDescent="0.2">
      <c r="I35816" s="137" t="s">
        <v>74</v>
      </c>
    </row>
    <row r="35817" spans="9:9" x14ac:dyDescent="0.2">
      <c r="I35817" s="137" t="s">
        <v>74</v>
      </c>
    </row>
    <row r="35818" spans="9:9" x14ac:dyDescent="0.2">
      <c r="I35818" s="137" t="s">
        <v>74</v>
      </c>
    </row>
    <row r="35819" spans="9:9" x14ac:dyDescent="0.2">
      <c r="I35819" s="137" t="s">
        <v>74</v>
      </c>
    </row>
    <row r="35820" spans="9:9" x14ac:dyDescent="0.2">
      <c r="I35820" s="137" t="s">
        <v>74</v>
      </c>
    </row>
    <row r="35821" spans="9:9" x14ac:dyDescent="0.2">
      <c r="I35821" s="137" t="s">
        <v>74</v>
      </c>
    </row>
    <row r="35822" spans="9:9" x14ac:dyDescent="0.2">
      <c r="I35822" s="137" t="s">
        <v>74</v>
      </c>
    </row>
    <row r="35823" spans="9:9" x14ac:dyDescent="0.2">
      <c r="I35823" s="137" t="s">
        <v>74</v>
      </c>
    </row>
    <row r="35824" spans="9:9" x14ac:dyDescent="0.2">
      <c r="I35824" s="137" t="s">
        <v>74</v>
      </c>
    </row>
    <row r="35825" spans="9:9" x14ac:dyDescent="0.2">
      <c r="I35825" s="137" t="s">
        <v>74</v>
      </c>
    </row>
    <row r="35826" spans="9:9" x14ac:dyDescent="0.2">
      <c r="I35826" s="137" t="s">
        <v>74</v>
      </c>
    </row>
    <row r="35827" spans="9:9" x14ac:dyDescent="0.2">
      <c r="I35827" s="137" t="s">
        <v>74</v>
      </c>
    </row>
    <row r="35828" spans="9:9" x14ac:dyDescent="0.2">
      <c r="I35828" s="137" t="s">
        <v>74</v>
      </c>
    </row>
    <row r="35829" spans="9:9" x14ac:dyDescent="0.2">
      <c r="I35829" s="137" t="s">
        <v>74</v>
      </c>
    </row>
    <row r="35830" spans="9:9" x14ac:dyDescent="0.2">
      <c r="I35830" s="137" t="s">
        <v>74</v>
      </c>
    </row>
    <row r="35831" spans="9:9" x14ac:dyDescent="0.2">
      <c r="I35831" s="137" t="s">
        <v>74</v>
      </c>
    </row>
    <row r="35832" spans="9:9" x14ac:dyDescent="0.2">
      <c r="I35832" s="137" t="s">
        <v>74</v>
      </c>
    </row>
    <row r="35833" spans="9:9" x14ac:dyDescent="0.2">
      <c r="I35833" s="137" t="s">
        <v>74</v>
      </c>
    </row>
    <row r="35834" spans="9:9" x14ac:dyDescent="0.2">
      <c r="I35834" s="137" t="s">
        <v>74</v>
      </c>
    </row>
    <row r="35835" spans="9:9" x14ac:dyDescent="0.2">
      <c r="I35835" s="137" t="s">
        <v>74</v>
      </c>
    </row>
    <row r="35836" spans="9:9" x14ac:dyDescent="0.2">
      <c r="I35836" s="137" t="s">
        <v>74</v>
      </c>
    </row>
    <row r="35837" spans="9:9" x14ac:dyDescent="0.2">
      <c r="I35837" s="137" t="s">
        <v>74</v>
      </c>
    </row>
    <row r="35838" spans="9:9" x14ac:dyDescent="0.2">
      <c r="I35838" s="137" t="s">
        <v>74</v>
      </c>
    </row>
    <row r="35839" spans="9:9" x14ac:dyDescent="0.2">
      <c r="I35839" s="137" t="s">
        <v>74</v>
      </c>
    </row>
    <row r="35840" spans="9:9" x14ac:dyDescent="0.2">
      <c r="I35840" s="137" t="s">
        <v>74</v>
      </c>
    </row>
    <row r="35841" spans="9:9" x14ac:dyDescent="0.2">
      <c r="I35841" s="137" t="s">
        <v>74</v>
      </c>
    </row>
    <row r="35842" spans="9:9" x14ac:dyDescent="0.2">
      <c r="I35842" s="137" t="s">
        <v>74</v>
      </c>
    </row>
    <row r="35843" spans="9:9" x14ac:dyDescent="0.2">
      <c r="I35843" s="137" t="s">
        <v>74</v>
      </c>
    </row>
    <row r="35844" spans="9:9" x14ac:dyDescent="0.2">
      <c r="I35844" s="137" t="s">
        <v>74</v>
      </c>
    </row>
    <row r="35845" spans="9:9" x14ac:dyDescent="0.2">
      <c r="I35845" s="137" t="s">
        <v>74</v>
      </c>
    </row>
    <row r="35846" spans="9:9" x14ac:dyDescent="0.2">
      <c r="I35846" s="137" t="s">
        <v>74</v>
      </c>
    </row>
    <row r="35847" spans="9:9" x14ac:dyDescent="0.2">
      <c r="I35847" s="137" t="s">
        <v>74</v>
      </c>
    </row>
    <row r="35848" spans="9:9" x14ac:dyDescent="0.2">
      <c r="I35848" s="137" t="s">
        <v>74</v>
      </c>
    </row>
    <row r="35849" spans="9:9" x14ac:dyDescent="0.2">
      <c r="I35849" s="137" t="s">
        <v>74</v>
      </c>
    </row>
    <row r="35850" spans="9:9" x14ac:dyDescent="0.2">
      <c r="I35850" s="137" t="s">
        <v>74</v>
      </c>
    </row>
    <row r="35851" spans="9:9" x14ac:dyDescent="0.2">
      <c r="I35851" s="137" t="s">
        <v>74</v>
      </c>
    </row>
    <row r="35852" spans="9:9" x14ac:dyDescent="0.2">
      <c r="I35852" s="137" t="s">
        <v>74</v>
      </c>
    </row>
    <row r="35853" spans="9:9" x14ac:dyDescent="0.2">
      <c r="I35853" s="137" t="s">
        <v>74</v>
      </c>
    </row>
    <row r="35854" spans="9:9" x14ac:dyDescent="0.2">
      <c r="I35854" s="137" t="s">
        <v>74</v>
      </c>
    </row>
    <row r="35855" spans="9:9" x14ac:dyDescent="0.2">
      <c r="I35855" s="137" t="s">
        <v>74</v>
      </c>
    </row>
    <row r="35856" spans="9:9" x14ac:dyDescent="0.2">
      <c r="I35856" s="137" t="s">
        <v>74</v>
      </c>
    </row>
    <row r="35857" spans="9:9" x14ac:dyDescent="0.2">
      <c r="I35857" s="137" t="s">
        <v>74</v>
      </c>
    </row>
    <row r="35858" spans="9:9" x14ac:dyDescent="0.2">
      <c r="I35858" s="137" t="s">
        <v>74</v>
      </c>
    </row>
    <row r="35859" spans="9:9" x14ac:dyDescent="0.2">
      <c r="I35859" s="137" t="s">
        <v>74</v>
      </c>
    </row>
    <row r="35860" spans="9:9" x14ac:dyDescent="0.2">
      <c r="I35860" s="137" t="s">
        <v>74</v>
      </c>
    </row>
    <row r="35861" spans="9:9" x14ac:dyDescent="0.2">
      <c r="I35861" s="137" t="s">
        <v>74</v>
      </c>
    </row>
    <row r="35862" spans="9:9" x14ac:dyDescent="0.2">
      <c r="I35862" s="137" t="s">
        <v>74</v>
      </c>
    </row>
    <row r="35863" spans="9:9" x14ac:dyDescent="0.2">
      <c r="I35863" s="137" t="s">
        <v>74</v>
      </c>
    </row>
    <row r="35864" spans="9:9" x14ac:dyDescent="0.2">
      <c r="I35864" s="137" t="s">
        <v>74</v>
      </c>
    </row>
    <row r="35865" spans="9:9" x14ac:dyDescent="0.2">
      <c r="I35865" s="137" t="s">
        <v>74</v>
      </c>
    </row>
    <row r="35866" spans="9:9" x14ac:dyDescent="0.2">
      <c r="I35866" s="137" t="s">
        <v>74</v>
      </c>
    </row>
    <row r="35867" spans="9:9" x14ac:dyDescent="0.2">
      <c r="I35867" s="137" t="s">
        <v>74</v>
      </c>
    </row>
    <row r="35868" spans="9:9" x14ac:dyDescent="0.2">
      <c r="I35868" s="137" t="s">
        <v>74</v>
      </c>
    </row>
    <row r="35869" spans="9:9" x14ac:dyDescent="0.2">
      <c r="I35869" s="137" t="s">
        <v>74</v>
      </c>
    </row>
    <row r="35870" spans="9:9" x14ac:dyDescent="0.2">
      <c r="I35870" s="137" t="s">
        <v>74</v>
      </c>
    </row>
    <row r="35871" spans="9:9" x14ac:dyDescent="0.2">
      <c r="I35871" s="137" t="s">
        <v>74</v>
      </c>
    </row>
    <row r="35872" spans="9:9" x14ac:dyDescent="0.2">
      <c r="I35872" s="137" t="s">
        <v>74</v>
      </c>
    </row>
    <row r="35873" spans="9:9" x14ac:dyDescent="0.2">
      <c r="I35873" s="137" t="s">
        <v>74</v>
      </c>
    </row>
    <row r="35874" spans="9:9" x14ac:dyDescent="0.2">
      <c r="I35874" s="137" t="s">
        <v>74</v>
      </c>
    </row>
    <row r="35875" spans="9:9" x14ac:dyDescent="0.2">
      <c r="I35875" s="137" t="s">
        <v>74</v>
      </c>
    </row>
    <row r="35876" spans="9:9" x14ac:dyDescent="0.2">
      <c r="I35876" s="137" t="s">
        <v>74</v>
      </c>
    </row>
    <row r="35877" spans="9:9" x14ac:dyDescent="0.2">
      <c r="I35877" s="137" t="s">
        <v>74</v>
      </c>
    </row>
    <row r="35878" spans="9:9" x14ac:dyDescent="0.2">
      <c r="I35878" s="137" t="s">
        <v>74</v>
      </c>
    </row>
    <row r="35879" spans="9:9" x14ac:dyDescent="0.2">
      <c r="I35879" s="137" t="s">
        <v>74</v>
      </c>
    </row>
    <row r="35880" spans="9:9" x14ac:dyDescent="0.2">
      <c r="I35880" s="137" t="s">
        <v>74</v>
      </c>
    </row>
    <row r="35881" spans="9:9" x14ac:dyDescent="0.2">
      <c r="I35881" s="137" t="s">
        <v>74</v>
      </c>
    </row>
    <row r="35882" spans="9:9" x14ac:dyDescent="0.2">
      <c r="I35882" s="137" t="s">
        <v>74</v>
      </c>
    </row>
    <row r="35883" spans="9:9" x14ac:dyDescent="0.2">
      <c r="I35883" s="137" t="s">
        <v>74</v>
      </c>
    </row>
    <row r="35884" spans="9:9" x14ac:dyDescent="0.2">
      <c r="I35884" s="137" t="s">
        <v>74</v>
      </c>
    </row>
    <row r="35885" spans="9:9" x14ac:dyDescent="0.2">
      <c r="I35885" s="137" t="s">
        <v>74</v>
      </c>
    </row>
    <row r="35886" spans="9:9" x14ac:dyDescent="0.2">
      <c r="I35886" s="137" t="s">
        <v>74</v>
      </c>
    </row>
    <row r="35887" spans="9:9" x14ac:dyDescent="0.2">
      <c r="I35887" s="137" t="s">
        <v>74</v>
      </c>
    </row>
    <row r="35888" spans="9:9" x14ac:dyDescent="0.2">
      <c r="I35888" s="137" t="s">
        <v>74</v>
      </c>
    </row>
    <row r="35889" spans="9:9" x14ac:dyDescent="0.2">
      <c r="I35889" s="137" t="s">
        <v>74</v>
      </c>
    </row>
    <row r="35890" spans="9:9" x14ac:dyDescent="0.2">
      <c r="I35890" s="137" t="s">
        <v>74</v>
      </c>
    </row>
    <row r="35891" spans="9:9" x14ac:dyDescent="0.2">
      <c r="I35891" s="137" t="s">
        <v>74</v>
      </c>
    </row>
    <row r="35892" spans="9:9" x14ac:dyDescent="0.2">
      <c r="I35892" s="137" t="s">
        <v>74</v>
      </c>
    </row>
    <row r="35893" spans="9:9" x14ac:dyDescent="0.2">
      <c r="I35893" s="137" t="s">
        <v>74</v>
      </c>
    </row>
    <row r="35894" spans="9:9" x14ac:dyDescent="0.2">
      <c r="I35894" s="137" t="s">
        <v>74</v>
      </c>
    </row>
    <row r="35895" spans="9:9" x14ac:dyDescent="0.2">
      <c r="I35895" s="137" t="s">
        <v>74</v>
      </c>
    </row>
    <row r="35896" spans="9:9" x14ac:dyDescent="0.2">
      <c r="I35896" s="137" t="s">
        <v>74</v>
      </c>
    </row>
    <row r="35897" spans="9:9" x14ac:dyDescent="0.2">
      <c r="I35897" s="137" t="s">
        <v>74</v>
      </c>
    </row>
    <row r="35898" spans="9:9" x14ac:dyDescent="0.2">
      <c r="I35898" s="137" t="s">
        <v>74</v>
      </c>
    </row>
    <row r="35899" spans="9:9" x14ac:dyDescent="0.2">
      <c r="I35899" s="137" t="s">
        <v>74</v>
      </c>
    </row>
    <row r="35900" spans="9:9" x14ac:dyDescent="0.2">
      <c r="I35900" s="137" t="s">
        <v>74</v>
      </c>
    </row>
    <row r="35901" spans="9:9" x14ac:dyDescent="0.2">
      <c r="I35901" s="137" t="s">
        <v>74</v>
      </c>
    </row>
    <row r="35902" spans="9:9" x14ac:dyDescent="0.2">
      <c r="I35902" s="137" t="s">
        <v>74</v>
      </c>
    </row>
    <row r="35903" spans="9:9" x14ac:dyDescent="0.2">
      <c r="I35903" s="137" t="s">
        <v>74</v>
      </c>
    </row>
    <row r="35904" spans="9:9" x14ac:dyDescent="0.2">
      <c r="I35904" s="137" t="s">
        <v>74</v>
      </c>
    </row>
    <row r="35905" spans="9:9" x14ac:dyDescent="0.2">
      <c r="I35905" s="137" t="s">
        <v>74</v>
      </c>
    </row>
    <row r="35906" spans="9:9" x14ac:dyDescent="0.2">
      <c r="I35906" s="137" t="s">
        <v>74</v>
      </c>
    </row>
    <row r="35907" spans="9:9" x14ac:dyDescent="0.2">
      <c r="I35907" s="137" t="s">
        <v>74</v>
      </c>
    </row>
    <row r="35908" spans="9:9" x14ac:dyDescent="0.2">
      <c r="I35908" s="137" t="s">
        <v>74</v>
      </c>
    </row>
    <row r="35909" spans="9:9" x14ac:dyDescent="0.2">
      <c r="I35909" s="137" t="s">
        <v>74</v>
      </c>
    </row>
    <row r="35910" spans="9:9" x14ac:dyDescent="0.2">
      <c r="I35910" s="137" t="s">
        <v>74</v>
      </c>
    </row>
    <row r="35911" spans="9:9" x14ac:dyDescent="0.2">
      <c r="I35911" s="137" t="s">
        <v>74</v>
      </c>
    </row>
    <row r="35912" spans="9:9" x14ac:dyDescent="0.2">
      <c r="I35912" s="137" t="s">
        <v>74</v>
      </c>
    </row>
    <row r="35913" spans="9:9" x14ac:dyDescent="0.2">
      <c r="I35913" s="137" t="s">
        <v>74</v>
      </c>
    </row>
    <row r="35914" spans="9:9" x14ac:dyDescent="0.2">
      <c r="I35914" s="137" t="s">
        <v>74</v>
      </c>
    </row>
    <row r="35915" spans="9:9" x14ac:dyDescent="0.2">
      <c r="I35915" s="137" t="s">
        <v>74</v>
      </c>
    </row>
    <row r="35916" spans="9:9" x14ac:dyDescent="0.2">
      <c r="I35916" s="137" t="s">
        <v>74</v>
      </c>
    </row>
    <row r="35917" spans="9:9" x14ac:dyDescent="0.2">
      <c r="I35917" s="137" t="s">
        <v>74</v>
      </c>
    </row>
    <row r="35918" spans="9:9" x14ac:dyDescent="0.2">
      <c r="I35918" s="137" t="s">
        <v>74</v>
      </c>
    </row>
    <row r="35919" spans="9:9" x14ac:dyDescent="0.2">
      <c r="I35919" s="137" t="s">
        <v>74</v>
      </c>
    </row>
    <row r="35920" spans="9:9" x14ac:dyDescent="0.2">
      <c r="I35920" s="137" t="s">
        <v>74</v>
      </c>
    </row>
    <row r="35921" spans="9:9" x14ac:dyDescent="0.2">
      <c r="I35921" s="137" t="s">
        <v>74</v>
      </c>
    </row>
    <row r="35922" spans="9:9" x14ac:dyDescent="0.2">
      <c r="I35922" s="137" t="s">
        <v>74</v>
      </c>
    </row>
    <row r="35923" spans="9:9" x14ac:dyDescent="0.2">
      <c r="I35923" s="137" t="s">
        <v>74</v>
      </c>
    </row>
    <row r="35924" spans="9:9" x14ac:dyDescent="0.2">
      <c r="I35924" s="137" t="s">
        <v>74</v>
      </c>
    </row>
    <row r="35925" spans="9:9" x14ac:dyDescent="0.2">
      <c r="I35925" s="137" t="s">
        <v>74</v>
      </c>
    </row>
    <row r="35926" spans="9:9" x14ac:dyDescent="0.2">
      <c r="I35926" s="137" t="s">
        <v>74</v>
      </c>
    </row>
    <row r="35927" spans="9:9" x14ac:dyDescent="0.2">
      <c r="I35927" s="137" t="s">
        <v>74</v>
      </c>
    </row>
    <row r="35928" spans="9:9" x14ac:dyDescent="0.2">
      <c r="I35928" s="137" t="s">
        <v>74</v>
      </c>
    </row>
    <row r="35929" spans="9:9" x14ac:dyDescent="0.2">
      <c r="I35929" s="137" t="s">
        <v>74</v>
      </c>
    </row>
    <row r="35930" spans="9:9" x14ac:dyDescent="0.2">
      <c r="I35930" s="137" t="s">
        <v>74</v>
      </c>
    </row>
    <row r="35931" spans="9:9" x14ac:dyDescent="0.2">
      <c r="I35931" s="137" t="s">
        <v>74</v>
      </c>
    </row>
    <row r="35932" spans="9:9" x14ac:dyDescent="0.2">
      <c r="I35932" s="137" t="s">
        <v>74</v>
      </c>
    </row>
    <row r="35933" spans="9:9" x14ac:dyDescent="0.2">
      <c r="I35933" s="137" t="s">
        <v>74</v>
      </c>
    </row>
    <row r="35934" spans="9:9" x14ac:dyDescent="0.2">
      <c r="I35934" s="137" t="s">
        <v>74</v>
      </c>
    </row>
    <row r="35935" spans="9:9" x14ac:dyDescent="0.2">
      <c r="I35935" s="137" t="s">
        <v>74</v>
      </c>
    </row>
    <row r="35936" spans="9:9" x14ac:dyDescent="0.2">
      <c r="I35936" s="137" t="s">
        <v>74</v>
      </c>
    </row>
    <row r="35937" spans="9:9" x14ac:dyDescent="0.2">
      <c r="I35937" s="137" t="s">
        <v>74</v>
      </c>
    </row>
    <row r="35938" spans="9:9" x14ac:dyDescent="0.2">
      <c r="I35938" s="137" t="s">
        <v>74</v>
      </c>
    </row>
    <row r="35939" spans="9:9" x14ac:dyDescent="0.2">
      <c r="I35939" s="137" t="s">
        <v>74</v>
      </c>
    </row>
    <row r="35940" spans="9:9" x14ac:dyDescent="0.2">
      <c r="I35940" s="137" t="s">
        <v>74</v>
      </c>
    </row>
    <row r="35941" spans="9:9" x14ac:dyDescent="0.2">
      <c r="I35941" s="137" t="s">
        <v>74</v>
      </c>
    </row>
    <row r="35942" spans="9:9" x14ac:dyDescent="0.2">
      <c r="I35942" s="137" t="s">
        <v>74</v>
      </c>
    </row>
    <row r="35943" spans="9:9" x14ac:dyDescent="0.2">
      <c r="I35943" s="137" t="s">
        <v>74</v>
      </c>
    </row>
    <row r="35944" spans="9:9" x14ac:dyDescent="0.2">
      <c r="I35944" s="137" t="s">
        <v>74</v>
      </c>
    </row>
    <row r="35945" spans="9:9" x14ac:dyDescent="0.2">
      <c r="I35945" s="137" t="s">
        <v>74</v>
      </c>
    </row>
    <row r="35946" spans="9:9" x14ac:dyDescent="0.2">
      <c r="I35946" s="137" t="s">
        <v>74</v>
      </c>
    </row>
    <row r="35947" spans="9:9" x14ac:dyDescent="0.2">
      <c r="I35947" s="137" t="s">
        <v>74</v>
      </c>
    </row>
    <row r="35948" spans="9:9" x14ac:dyDescent="0.2">
      <c r="I35948" s="137" t="s">
        <v>74</v>
      </c>
    </row>
    <row r="35949" spans="9:9" x14ac:dyDescent="0.2">
      <c r="I35949" s="137" t="s">
        <v>74</v>
      </c>
    </row>
    <row r="35950" spans="9:9" x14ac:dyDescent="0.2">
      <c r="I35950" s="137" t="s">
        <v>74</v>
      </c>
    </row>
    <row r="35951" spans="9:9" x14ac:dyDescent="0.2">
      <c r="I35951" s="137" t="s">
        <v>74</v>
      </c>
    </row>
    <row r="35952" spans="9:9" x14ac:dyDescent="0.2">
      <c r="I35952" s="137" t="s">
        <v>74</v>
      </c>
    </row>
    <row r="35953" spans="9:9" x14ac:dyDescent="0.2">
      <c r="I35953" s="137" t="s">
        <v>74</v>
      </c>
    </row>
    <row r="35954" spans="9:9" x14ac:dyDescent="0.2">
      <c r="I35954" s="137" t="s">
        <v>74</v>
      </c>
    </row>
    <row r="35955" spans="9:9" x14ac:dyDescent="0.2">
      <c r="I35955" s="137" t="s">
        <v>74</v>
      </c>
    </row>
    <row r="35956" spans="9:9" x14ac:dyDescent="0.2">
      <c r="I35956" s="137" t="s">
        <v>74</v>
      </c>
    </row>
    <row r="35957" spans="9:9" x14ac:dyDescent="0.2">
      <c r="I35957" s="137" t="s">
        <v>74</v>
      </c>
    </row>
    <row r="35958" spans="9:9" x14ac:dyDescent="0.2">
      <c r="I35958" s="137" t="s">
        <v>74</v>
      </c>
    </row>
    <row r="35959" spans="9:9" x14ac:dyDescent="0.2">
      <c r="I35959" s="137" t="s">
        <v>74</v>
      </c>
    </row>
    <row r="35960" spans="9:9" x14ac:dyDescent="0.2">
      <c r="I35960" s="137" t="s">
        <v>74</v>
      </c>
    </row>
    <row r="35961" spans="9:9" x14ac:dyDescent="0.2">
      <c r="I35961" s="137" t="s">
        <v>74</v>
      </c>
    </row>
    <row r="35962" spans="9:9" x14ac:dyDescent="0.2">
      <c r="I35962" s="137" t="s">
        <v>74</v>
      </c>
    </row>
    <row r="35963" spans="9:9" x14ac:dyDescent="0.2">
      <c r="I35963" s="137" t="s">
        <v>74</v>
      </c>
    </row>
    <row r="35964" spans="9:9" x14ac:dyDescent="0.2">
      <c r="I35964" s="137" t="s">
        <v>74</v>
      </c>
    </row>
    <row r="35965" spans="9:9" x14ac:dyDescent="0.2">
      <c r="I35965" s="137" t="s">
        <v>74</v>
      </c>
    </row>
    <row r="35966" spans="9:9" x14ac:dyDescent="0.2">
      <c r="I35966" s="137" t="s">
        <v>74</v>
      </c>
    </row>
    <row r="35967" spans="9:9" x14ac:dyDescent="0.2">
      <c r="I35967" s="137" t="s">
        <v>74</v>
      </c>
    </row>
    <row r="35968" spans="9:9" x14ac:dyDescent="0.2">
      <c r="I35968" s="137" t="s">
        <v>74</v>
      </c>
    </row>
    <row r="35969" spans="9:9" x14ac:dyDescent="0.2">
      <c r="I35969" s="137" t="s">
        <v>74</v>
      </c>
    </row>
    <row r="35970" spans="9:9" x14ac:dyDescent="0.2">
      <c r="I35970" s="137" t="s">
        <v>74</v>
      </c>
    </row>
    <row r="35971" spans="9:9" x14ac:dyDescent="0.2">
      <c r="I35971" s="137" t="s">
        <v>74</v>
      </c>
    </row>
    <row r="35972" spans="9:9" x14ac:dyDescent="0.2">
      <c r="I35972" s="137" t="s">
        <v>74</v>
      </c>
    </row>
    <row r="35973" spans="9:9" x14ac:dyDescent="0.2">
      <c r="I35973" s="137" t="s">
        <v>74</v>
      </c>
    </row>
    <row r="35974" spans="9:9" x14ac:dyDescent="0.2">
      <c r="I35974" s="137" t="s">
        <v>74</v>
      </c>
    </row>
    <row r="35975" spans="9:9" x14ac:dyDescent="0.2">
      <c r="I35975" s="137" t="s">
        <v>74</v>
      </c>
    </row>
    <row r="35976" spans="9:9" x14ac:dyDescent="0.2">
      <c r="I35976" s="137" t="s">
        <v>74</v>
      </c>
    </row>
    <row r="35977" spans="9:9" x14ac:dyDescent="0.2">
      <c r="I35977" s="137" t="s">
        <v>74</v>
      </c>
    </row>
    <row r="35978" spans="9:9" x14ac:dyDescent="0.2">
      <c r="I35978" s="137" t="s">
        <v>74</v>
      </c>
    </row>
    <row r="35979" spans="9:9" x14ac:dyDescent="0.2">
      <c r="I35979" s="137" t="s">
        <v>74</v>
      </c>
    </row>
    <row r="35980" spans="9:9" x14ac:dyDescent="0.2">
      <c r="I35980" s="137" t="s">
        <v>74</v>
      </c>
    </row>
    <row r="35981" spans="9:9" x14ac:dyDescent="0.2">
      <c r="I35981" s="137" t="s">
        <v>74</v>
      </c>
    </row>
    <row r="35982" spans="9:9" x14ac:dyDescent="0.2">
      <c r="I35982" s="137" t="s">
        <v>74</v>
      </c>
    </row>
    <row r="35983" spans="9:9" x14ac:dyDescent="0.2">
      <c r="I35983" s="137" t="s">
        <v>74</v>
      </c>
    </row>
    <row r="35984" spans="9:9" x14ac:dyDescent="0.2">
      <c r="I35984" s="137" t="s">
        <v>74</v>
      </c>
    </row>
    <row r="35985" spans="9:9" x14ac:dyDescent="0.2">
      <c r="I35985" s="137" t="s">
        <v>74</v>
      </c>
    </row>
    <row r="35986" spans="9:9" x14ac:dyDescent="0.2">
      <c r="I35986" s="137" t="s">
        <v>74</v>
      </c>
    </row>
    <row r="35987" spans="9:9" x14ac:dyDescent="0.2">
      <c r="I35987" s="137" t="s">
        <v>74</v>
      </c>
    </row>
    <row r="35988" spans="9:9" x14ac:dyDescent="0.2">
      <c r="I35988" s="137" t="s">
        <v>74</v>
      </c>
    </row>
    <row r="35989" spans="9:9" x14ac:dyDescent="0.2">
      <c r="I35989" s="137" t="s">
        <v>74</v>
      </c>
    </row>
    <row r="35990" spans="9:9" x14ac:dyDescent="0.2">
      <c r="I35990" s="137" t="s">
        <v>74</v>
      </c>
    </row>
    <row r="35991" spans="9:9" x14ac:dyDescent="0.2">
      <c r="I35991" s="137" t="s">
        <v>74</v>
      </c>
    </row>
    <row r="35992" spans="9:9" x14ac:dyDescent="0.2">
      <c r="I35992" s="137" t="s">
        <v>74</v>
      </c>
    </row>
    <row r="35993" spans="9:9" x14ac:dyDescent="0.2">
      <c r="I35993" s="137" t="s">
        <v>74</v>
      </c>
    </row>
    <row r="35994" spans="9:9" x14ac:dyDescent="0.2">
      <c r="I35994" s="137" t="s">
        <v>74</v>
      </c>
    </row>
    <row r="35995" spans="9:9" x14ac:dyDescent="0.2">
      <c r="I35995" s="137" t="s">
        <v>74</v>
      </c>
    </row>
    <row r="35996" spans="9:9" x14ac:dyDescent="0.2">
      <c r="I35996" s="137" t="s">
        <v>74</v>
      </c>
    </row>
    <row r="35997" spans="9:9" x14ac:dyDescent="0.2">
      <c r="I35997" s="137" t="s">
        <v>74</v>
      </c>
    </row>
    <row r="35998" spans="9:9" x14ac:dyDescent="0.2">
      <c r="I35998" s="137" t="s">
        <v>74</v>
      </c>
    </row>
    <row r="35999" spans="9:9" x14ac:dyDescent="0.2">
      <c r="I35999" s="137" t="s">
        <v>74</v>
      </c>
    </row>
    <row r="36000" spans="9:9" x14ac:dyDescent="0.2">
      <c r="I36000" s="137" t="s">
        <v>74</v>
      </c>
    </row>
    <row r="36001" spans="9:9" x14ac:dyDescent="0.2">
      <c r="I36001" s="137" t="s">
        <v>74</v>
      </c>
    </row>
    <row r="36002" spans="9:9" x14ac:dyDescent="0.2">
      <c r="I36002" s="137" t="s">
        <v>74</v>
      </c>
    </row>
    <row r="36003" spans="9:9" x14ac:dyDescent="0.2">
      <c r="I36003" s="137" t="s">
        <v>74</v>
      </c>
    </row>
    <row r="36004" spans="9:9" x14ac:dyDescent="0.2">
      <c r="I36004" s="137" t="s">
        <v>74</v>
      </c>
    </row>
    <row r="36005" spans="9:9" x14ac:dyDescent="0.2">
      <c r="I36005" s="137" t="s">
        <v>74</v>
      </c>
    </row>
    <row r="36006" spans="9:9" x14ac:dyDescent="0.2">
      <c r="I36006" s="137" t="s">
        <v>74</v>
      </c>
    </row>
    <row r="36007" spans="9:9" x14ac:dyDescent="0.2">
      <c r="I36007" s="137" t="s">
        <v>74</v>
      </c>
    </row>
    <row r="36008" spans="9:9" x14ac:dyDescent="0.2">
      <c r="I36008" s="137" t="s">
        <v>74</v>
      </c>
    </row>
    <row r="36009" spans="9:9" x14ac:dyDescent="0.2">
      <c r="I36009" s="137" t="s">
        <v>74</v>
      </c>
    </row>
    <row r="36010" spans="9:9" x14ac:dyDescent="0.2">
      <c r="I36010" s="137" t="s">
        <v>74</v>
      </c>
    </row>
    <row r="36011" spans="9:9" x14ac:dyDescent="0.2">
      <c r="I36011" s="137" t="s">
        <v>74</v>
      </c>
    </row>
    <row r="36012" spans="9:9" x14ac:dyDescent="0.2">
      <c r="I36012" s="137" t="s">
        <v>74</v>
      </c>
    </row>
    <row r="36013" spans="9:9" x14ac:dyDescent="0.2">
      <c r="I36013" s="137" t="s">
        <v>74</v>
      </c>
    </row>
    <row r="36014" spans="9:9" x14ac:dyDescent="0.2">
      <c r="I36014" s="137" t="s">
        <v>74</v>
      </c>
    </row>
    <row r="36015" spans="9:9" x14ac:dyDescent="0.2">
      <c r="I36015" s="137" t="s">
        <v>74</v>
      </c>
    </row>
    <row r="36016" spans="9:9" x14ac:dyDescent="0.2">
      <c r="I36016" s="137" t="s">
        <v>74</v>
      </c>
    </row>
    <row r="36017" spans="9:9" x14ac:dyDescent="0.2">
      <c r="I36017" s="137" t="s">
        <v>74</v>
      </c>
    </row>
    <row r="36018" spans="9:9" x14ac:dyDescent="0.2">
      <c r="I36018" s="137" t="s">
        <v>74</v>
      </c>
    </row>
    <row r="36019" spans="9:9" x14ac:dyDescent="0.2">
      <c r="I36019" s="137" t="s">
        <v>74</v>
      </c>
    </row>
    <row r="36020" spans="9:9" x14ac:dyDescent="0.2">
      <c r="I36020" s="137" t="s">
        <v>74</v>
      </c>
    </row>
    <row r="36021" spans="9:9" x14ac:dyDescent="0.2">
      <c r="I36021" s="137" t="s">
        <v>74</v>
      </c>
    </row>
    <row r="36022" spans="9:9" x14ac:dyDescent="0.2">
      <c r="I36022" s="137" t="s">
        <v>74</v>
      </c>
    </row>
    <row r="36023" spans="9:9" x14ac:dyDescent="0.2">
      <c r="I36023" s="137" t="s">
        <v>74</v>
      </c>
    </row>
    <row r="36024" spans="9:9" x14ac:dyDescent="0.2">
      <c r="I36024" s="137" t="s">
        <v>74</v>
      </c>
    </row>
    <row r="36025" spans="9:9" x14ac:dyDescent="0.2">
      <c r="I36025" s="137" t="s">
        <v>74</v>
      </c>
    </row>
    <row r="36026" spans="9:9" x14ac:dyDescent="0.2">
      <c r="I36026" s="137" t="s">
        <v>74</v>
      </c>
    </row>
    <row r="36027" spans="9:9" x14ac:dyDescent="0.2">
      <c r="I36027" s="137" t="s">
        <v>74</v>
      </c>
    </row>
    <row r="36028" spans="9:9" x14ac:dyDescent="0.2">
      <c r="I36028" s="137" t="s">
        <v>74</v>
      </c>
    </row>
    <row r="36029" spans="9:9" x14ac:dyDescent="0.2">
      <c r="I36029" s="137" t="s">
        <v>74</v>
      </c>
    </row>
    <row r="36030" spans="9:9" x14ac:dyDescent="0.2">
      <c r="I36030" s="137" t="s">
        <v>74</v>
      </c>
    </row>
    <row r="36031" spans="9:9" x14ac:dyDescent="0.2">
      <c r="I36031" s="137" t="s">
        <v>74</v>
      </c>
    </row>
    <row r="36032" spans="9:9" x14ac:dyDescent="0.2">
      <c r="I36032" s="137" t="s">
        <v>74</v>
      </c>
    </row>
    <row r="36033" spans="9:9" x14ac:dyDescent="0.2">
      <c r="I36033" s="137" t="s">
        <v>74</v>
      </c>
    </row>
    <row r="36034" spans="9:9" x14ac:dyDescent="0.2">
      <c r="I36034" s="137" t="s">
        <v>74</v>
      </c>
    </row>
    <row r="36035" spans="9:9" x14ac:dyDescent="0.2">
      <c r="I36035" s="137" t="s">
        <v>74</v>
      </c>
    </row>
    <row r="36036" spans="9:9" x14ac:dyDescent="0.2">
      <c r="I36036" s="137" t="s">
        <v>74</v>
      </c>
    </row>
    <row r="36037" spans="9:9" x14ac:dyDescent="0.2">
      <c r="I36037" s="137" t="s">
        <v>74</v>
      </c>
    </row>
    <row r="36038" spans="9:9" x14ac:dyDescent="0.2">
      <c r="I36038" s="137" t="s">
        <v>74</v>
      </c>
    </row>
    <row r="36039" spans="9:9" x14ac:dyDescent="0.2">
      <c r="I36039" s="137" t="s">
        <v>74</v>
      </c>
    </row>
    <row r="36040" spans="9:9" x14ac:dyDescent="0.2">
      <c r="I36040" s="137" t="s">
        <v>74</v>
      </c>
    </row>
    <row r="36041" spans="9:9" x14ac:dyDescent="0.2">
      <c r="I36041" s="137" t="s">
        <v>74</v>
      </c>
    </row>
    <row r="36042" spans="9:9" x14ac:dyDescent="0.2">
      <c r="I36042" s="137" t="s">
        <v>74</v>
      </c>
    </row>
    <row r="36043" spans="9:9" x14ac:dyDescent="0.2">
      <c r="I36043" s="137" t="s">
        <v>74</v>
      </c>
    </row>
    <row r="36044" spans="9:9" x14ac:dyDescent="0.2">
      <c r="I36044" s="137" t="s">
        <v>74</v>
      </c>
    </row>
    <row r="36045" spans="9:9" x14ac:dyDescent="0.2">
      <c r="I36045" s="137" t="s">
        <v>74</v>
      </c>
    </row>
    <row r="36046" spans="9:9" x14ac:dyDescent="0.2">
      <c r="I36046" s="137" t="s">
        <v>74</v>
      </c>
    </row>
    <row r="36047" spans="9:9" x14ac:dyDescent="0.2">
      <c r="I36047" s="137" t="s">
        <v>74</v>
      </c>
    </row>
    <row r="36048" spans="9:9" x14ac:dyDescent="0.2">
      <c r="I36048" s="137" t="s">
        <v>74</v>
      </c>
    </row>
    <row r="36049" spans="9:9" x14ac:dyDescent="0.2">
      <c r="I36049" s="137" t="s">
        <v>74</v>
      </c>
    </row>
    <row r="36050" spans="9:9" x14ac:dyDescent="0.2">
      <c r="I36050" s="137" t="s">
        <v>74</v>
      </c>
    </row>
    <row r="36051" spans="9:9" x14ac:dyDescent="0.2">
      <c r="I36051" s="137" t="s">
        <v>74</v>
      </c>
    </row>
    <row r="36052" spans="9:9" x14ac:dyDescent="0.2">
      <c r="I36052" s="137" t="s">
        <v>74</v>
      </c>
    </row>
    <row r="36053" spans="9:9" x14ac:dyDescent="0.2">
      <c r="I36053" s="137" t="s">
        <v>74</v>
      </c>
    </row>
    <row r="36054" spans="9:9" x14ac:dyDescent="0.2">
      <c r="I36054" s="137" t="s">
        <v>74</v>
      </c>
    </row>
    <row r="36055" spans="9:9" x14ac:dyDescent="0.2">
      <c r="I36055" s="137" t="s">
        <v>74</v>
      </c>
    </row>
    <row r="36056" spans="9:9" x14ac:dyDescent="0.2">
      <c r="I36056" s="137" t="s">
        <v>74</v>
      </c>
    </row>
    <row r="36057" spans="9:9" x14ac:dyDescent="0.2">
      <c r="I36057" s="137" t="s">
        <v>74</v>
      </c>
    </row>
    <row r="36058" spans="9:9" x14ac:dyDescent="0.2">
      <c r="I36058" s="137" t="s">
        <v>74</v>
      </c>
    </row>
    <row r="36059" spans="9:9" x14ac:dyDescent="0.2">
      <c r="I36059" s="137" t="s">
        <v>74</v>
      </c>
    </row>
    <row r="36060" spans="9:9" x14ac:dyDescent="0.2">
      <c r="I36060" s="137" t="s">
        <v>74</v>
      </c>
    </row>
    <row r="36061" spans="9:9" x14ac:dyDescent="0.2">
      <c r="I36061" s="137" t="s">
        <v>74</v>
      </c>
    </row>
    <row r="36062" spans="9:9" x14ac:dyDescent="0.2">
      <c r="I36062" s="137" t="s">
        <v>74</v>
      </c>
    </row>
    <row r="36063" spans="9:9" x14ac:dyDescent="0.2">
      <c r="I36063" s="137" t="s">
        <v>74</v>
      </c>
    </row>
    <row r="36064" spans="9:9" x14ac:dyDescent="0.2">
      <c r="I36064" s="137" t="s">
        <v>74</v>
      </c>
    </row>
    <row r="36065" spans="9:9" x14ac:dyDescent="0.2">
      <c r="I36065" s="137" t="s">
        <v>74</v>
      </c>
    </row>
    <row r="36066" spans="9:9" x14ac:dyDescent="0.2">
      <c r="I36066" s="137" t="s">
        <v>74</v>
      </c>
    </row>
    <row r="36067" spans="9:9" x14ac:dyDescent="0.2">
      <c r="I36067" s="137" t="s">
        <v>74</v>
      </c>
    </row>
    <row r="36068" spans="9:9" x14ac:dyDescent="0.2">
      <c r="I36068" s="137" t="s">
        <v>74</v>
      </c>
    </row>
    <row r="36069" spans="9:9" x14ac:dyDescent="0.2">
      <c r="I36069" s="137" t="s">
        <v>74</v>
      </c>
    </row>
    <row r="36070" spans="9:9" x14ac:dyDescent="0.2">
      <c r="I36070" s="137" t="s">
        <v>74</v>
      </c>
    </row>
    <row r="36071" spans="9:9" x14ac:dyDescent="0.2">
      <c r="I36071" s="137" t="s">
        <v>74</v>
      </c>
    </row>
    <row r="36072" spans="9:9" x14ac:dyDescent="0.2">
      <c r="I36072" s="137" t="s">
        <v>74</v>
      </c>
    </row>
    <row r="36073" spans="9:9" x14ac:dyDescent="0.2">
      <c r="I36073" s="137" t="s">
        <v>74</v>
      </c>
    </row>
    <row r="36074" spans="9:9" x14ac:dyDescent="0.2">
      <c r="I36074" s="137" t="s">
        <v>74</v>
      </c>
    </row>
    <row r="36075" spans="9:9" x14ac:dyDescent="0.2">
      <c r="I36075" s="137" t="s">
        <v>74</v>
      </c>
    </row>
    <row r="36076" spans="9:9" x14ac:dyDescent="0.2">
      <c r="I36076" s="137" t="s">
        <v>74</v>
      </c>
    </row>
    <row r="36077" spans="9:9" x14ac:dyDescent="0.2">
      <c r="I36077" s="137" t="s">
        <v>74</v>
      </c>
    </row>
    <row r="36078" spans="9:9" x14ac:dyDescent="0.2">
      <c r="I36078" s="137" t="s">
        <v>74</v>
      </c>
    </row>
    <row r="36079" spans="9:9" x14ac:dyDescent="0.2">
      <c r="I36079" s="137" t="s">
        <v>74</v>
      </c>
    </row>
    <row r="36080" spans="9:9" x14ac:dyDescent="0.2">
      <c r="I36080" s="137" t="s">
        <v>74</v>
      </c>
    </row>
    <row r="36081" spans="9:9" x14ac:dyDescent="0.2">
      <c r="I36081" s="137" t="s">
        <v>74</v>
      </c>
    </row>
    <row r="36082" spans="9:9" x14ac:dyDescent="0.2">
      <c r="I36082" s="137" t="s">
        <v>74</v>
      </c>
    </row>
    <row r="36083" spans="9:9" x14ac:dyDescent="0.2">
      <c r="I36083" s="137" t="s">
        <v>74</v>
      </c>
    </row>
    <row r="36084" spans="9:9" x14ac:dyDescent="0.2">
      <c r="I36084" s="137" t="s">
        <v>74</v>
      </c>
    </row>
    <row r="36085" spans="9:9" x14ac:dyDescent="0.2">
      <c r="I36085" s="137" t="s">
        <v>74</v>
      </c>
    </row>
    <row r="36086" spans="9:9" x14ac:dyDescent="0.2">
      <c r="I36086" s="137" t="s">
        <v>74</v>
      </c>
    </row>
    <row r="36087" spans="9:9" x14ac:dyDescent="0.2">
      <c r="I36087" s="137" t="s">
        <v>74</v>
      </c>
    </row>
    <row r="36088" spans="9:9" x14ac:dyDescent="0.2">
      <c r="I36088" s="137" t="s">
        <v>74</v>
      </c>
    </row>
    <row r="36089" spans="9:9" x14ac:dyDescent="0.2">
      <c r="I36089" s="137" t="s">
        <v>74</v>
      </c>
    </row>
    <row r="36090" spans="9:9" x14ac:dyDescent="0.2">
      <c r="I36090" s="137" t="s">
        <v>74</v>
      </c>
    </row>
    <row r="36091" spans="9:9" x14ac:dyDescent="0.2">
      <c r="I36091" s="137" t="s">
        <v>74</v>
      </c>
    </row>
    <row r="36092" spans="9:9" x14ac:dyDescent="0.2">
      <c r="I36092" s="137" t="s">
        <v>74</v>
      </c>
    </row>
    <row r="36093" spans="9:9" x14ac:dyDescent="0.2">
      <c r="I36093" s="137" t="s">
        <v>74</v>
      </c>
    </row>
    <row r="36094" spans="9:9" x14ac:dyDescent="0.2">
      <c r="I36094" s="137" t="s">
        <v>74</v>
      </c>
    </row>
    <row r="36095" spans="9:9" x14ac:dyDescent="0.2">
      <c r="I36095" s="137" t="s">
        <v>74</v>
      </c>
    </row>
    <row r="36096" spans="9:9" x14ac:dyDescent="0.2">
      <c r="I36096" s="137" t="s">
        <v>74</v>
      </c>
    </row>
    <row r="36097" spans="9:9" x14ac:dyDescent="0.2">
      <c r="I36097" s="137" t="s">
        <v>74</v>
      </c>
    </row>
    <row r="36098" spans="9:9" x14ac:dyDescent="0.2">
      <c r="I36098" s="137" t="s">
        <v>74</v>
      </c>
    </row>
    <row r="36099" spans="9:9" x14ac:dyDescent="0.2">
      <c r="I36099" s="137" t="s">
        <v>74</v>
      </c>
    </row>
    <row r="36100" spans="9:9" x14ac:dyDescent="0.2">
      <c r="I36100" s="137" t="s">
        <v>74</v>
      </c>
    </row>
    <row r="36101" spans="9:9" x14ac:dyDescent="0.2">
      <c r="I36101" s="137" t="s">
        <v>74</v>
      </c>
    </row>
    <row r="36102" spans="9:9" x14ac:dyDescent="0.2">
      <c r="I36102" s="137" t="s">
        <v>74</v>
      </c>
    </row>
    <row r="36103" spans="9:9" x14ac:dyDescent="0.2">
      <c r="I36103" s="137" t="s">
        <v>74</v>
      </c>
    </row>
    <row r="36104" spans="9:9" x14ac:dyDescent="0.2">
      <c r="I36104" s="137" t="s">
        <v>74</v>
      </c>
    </row>
    <row r="36105" spans="9:9" x14ac:dyDescent="0.2">
      <c r="I36105" s="137" t="s">
        <v>74</v>
      </c>
    </row>
    <row r="36106" spans="9:9" x14ac:dyDescent="0.2">
      <c r="I36106" s="137" t="s">
        <v>74</v>
      </c>
    </row>
    <row r="36107" spans="9:9" x14ac:dyDescent="0.2">
      <c r="I36107" s="137" t="s">
        <v>74</v>
      </c>
    </row>
    <row r="36108" spans="9:9" x14ac:dyDescent="0.2">
      <c r="I36108" s="137" t="s">
        <v>74</v>
      </c>
    </row>
    <row r="36109" spans="9:9" x14ac:dyDescent="0.2">
      <c r="I36109" s="137" t="s">
        <v>74</v>
      </c>
    </row>
    <row r="36110" spans="9:9" x14ac:dyDescent="0.2">
      <c r="I36110" s="137" t="s">
        <v>74</v>
      </c>
    </row>
    <row r="36111" spans="9:9" x14ac:dyDescent="0.2">
      <c r="I36111" s="137" t="s">
        <v>74</v>
      </c>
    </row>
    <row r="36112" spans="9:9" x14ac:dyDescent="0.2">
      <c r="I36112" s="137" t="s">
        <v>74</v>
      </c>
    </row>
    <row r="36113" spans="9:9" x14ac:dyDescent="0.2">
      <c r="I36113" s="137" t="s">
        <v>74</v>
      </c>
    </row>
    <row r="36114" spans="9:9" x14ac:dyDescent="0.2">
      <c r="I36114" s="137" t="s">
        <v>74</v>
      </c>
    </row>
    <row r="36115" spans="9:9" x14ac:dyDescent="0.2">
      <c r="I36115" s="137" t="s">
        <v>74</v>
      </c>
    </row>
    <row r="36116" spans="9:9" x14ac:dyDescent="0.2">
      <c r="I36116" s="137" t="s">
        <v>74</v>
      </c>
    </row>
    <row r="36117" spans="9:9" x14ac:dyDescent="0.2">
      <c r="I36117" s="137" t="s">
        <v>74</v>
      </c>
    </row>
    <row r="36118" spans="9:9" x14ac:dyDescent="0.2">
      <c r="I36118" s="137" t="s">
        <v>74</v>
      </c>
    </row>
    <row r="36119" spans="9:9" x14ac:dyDescent="0.2">
      <c r="I36119" s="137" t="s">
        <v>74</v>
      </c>
    </row>
    <row r="36120" spans="9:9" x14ac:dyDescent="0.2">
      <c r="I36120" s="137" t="s">
        <v>74</v>
      </c>
    </row>
    <row r="36121" spans="9:9" x14ac:dyDescent="0.2">
      <c r="I36121" s="137" t="s">
        <v>74</v>
      </c>
    </row>
    <row r="36122" spans="9:9" x14ac:dyDescent="0.2">
      <c r="I36122" s="137" t="s">
        <v>74</v>
      </c>
    </row>
    <row r="36123" spans="9:9" x14ac:dyDescent="0.2">
      <c r="I36123" s="137" t="s">
        <v>74</v>
      </c>
    </row>
    <row r="36124" spans="9:9" x14ac:dyDescent="0.2">
      <c r="I36124" s="137" t="s">
        <v>74</v>
      </c>
    </row>
    <row r="36125" spans="9:9" x14ac:dyDescent="0.2">
      <c r="I36125" s="137" t="s">
        <v>74</v>
      </c>
    </row>
    <row r="36126" spans="9:9" x14ac:dyDescent="0.2">
      <c r="I36126" s="137" t="s">
        <v>74</v>
      </c>
    </row>
    <row r="36127" spans="9:9" x14ac:dyDescent="0.2">
      <c r="I36127" s="137" t="s">
        <v>74</v>
      </c>
    </row>
    <row r="36128" spans="9:9" x14ac:dyDescent="0.2">
      <c r="I36128" s="137" t="s">
        <v>74</v>
      </c>
    </row>
    <row r="36129" spans="9:9" x14ac:dyDescent="0.2">
      <c r="I36129" s="137" t="s">
        <v>74</v>
      </c>
    </row>
    <row r="36130" spans="9:9" x14ac:dyDescent="0.2">
      <c r="I36130" s="137" t="s">
        <v>74</v>
      </c>
    </row>
    <row r="36131" spans="9:9" x14ac:dyDescent="0.2">
      <c r="I36131" s="137" t="s">
        <v>74</v>
      </c>
    </row>
    <row r="36132" spans="9:9" x14ac:dyDescent="0.2">
      <c r="I36132" s="137" t="s">
        <v>74</v>
      </c>
    </row>
    <row r="36133" spans="9:9" x14ac:dyDescent="0.2">
      <c r="I36133" s="137" t="s">
        <v>74</v>
      </c>
    </row>
    <row r="36134" spans="9:9" x14ac:dyDescent="0.2">
      <c r="I36134" s="137" t="s">
        <v>74</v>
      </c>
    </row>
    <row r="36135" spans="9:9" x14ac:dyDescent="0.2">
      <c r="I36135" s="137" t="s">
        <v>74</v>
      </c>
    </row>
    <row r="36136" spans="9:9" x14ac:dyDescent="0.2">
      <c r="I36136" s="137" t="s">
        <v>74</v>
      </c>
    </row>
    <row r="36137" spans="9:9" x14ac:dyDescent="0.2">
      <c r="I36137" s="137" t="s">
        <v>74</v>
      </c>
    </row>
    <row r="36138" spans="9:9" x14ac:dyDescent="0.2">
      <c r="I36138" s="137" t="s">
        <v>74</v>
      </c>
    </row>
    <row r="36139" spans="9:9" x14ac:dyDescent="0.2">
      <c r="I36139" s="137" t="s">
        <v>74</v>
      </c>
    </row>
    <row r="36140" spans="9:9" x14ac:dyDescent="0.2">
      <c r="I36140" s="137" t="s">
        <v>74</v>
      </c>
    </row>
    <row r="36141" spans="9:9" x14ac:dyDescent="0.2">
      <c r="I36141" s="137" t="s">
        <v>74</v>
      </c>
    </row>
    <row r="36142" spans="9:9" x14ac:dyDescent="0.2">
      <c r="I36142" s="137" t="s">
        <v>74</v>
      </c>
    </row>
    <row r="36143" spans="9:9" x14ac:dyDescent="0.2">
      <c r="I36143" s="137" t="s">
        <v>74</v>
      </c>
    </row>
    <row r="36144" spans="9:9" x14ac:dyDescent="0.2">
      <c r="I36144" s="137" t="s">
        <v>74</v>
      </c>
    </row>
    <row r="36145" spans="9:9" x14ac:dyDescent="0.2">
      <c r="I36145" s="137" t="s">
        <v>74</v>
      </c>
    </row>
    <row r="36146" spans="9:9" x14ac:dyDescent="0.2">
      <c r="I36146" s="137" t="s">
        <v>74</v>
      </c>
    </row>
    <row r="36147" spans="9:9" x14ac:dyDescent="0.2">
      <c r="I36147" s="137" t="s">
        <v>74</v>
      </c>
    </row>
    <row r="36148" spans="9:9" x14ac:dyDescent="0.2">
      <c r="I36148" s="137" t="s">
        <v>74</v>
      </c>
    </row>
    <row r="36149" spans="9:9" x14ac:dyDescent="0.2">
      <c r="I36149" s="137" t="s">
        <v>74</v>
      </c>
    </row>
    <row r="36150" spans="9:9" x14ac:dyDescent="0.2">
      <c r="I36150" s="137" t="s">
        <v>74</v>
      </c>
    </row>
    <row r="36151" spans="9:9" x14ac:dyDescent="0.2">
      <c r="I36151" s="137" t="s">
        <v>74</v>
      </c>
    </row>
    <row r="36152" spans="9:9" x14ac:dyDescent="0.2">
      <c r="I36152" s="137" t="s">
        <v>74</v>
      </c>
    </row>
    <row r="36153" spans="9:9" x14ac:dyDescent="0.2">
      <c r="I36153" s="137" t="s">
        <v>74</v>
      </c>
    </row>
    <row r="36154" spans="9:9" x14ac:dyDescent="0.2">
      <c r="I36154" s="137" t="s">
        <v>74</v>
      </c>
    </row>
    <row r="36155" spans="9:9" x14ac:dyDescent="0.2">
      <c r="I36155" s="137" t="s">
        <v>74</v>
      </c>
    </row>
    <row r="36156" spans="9:9" x14ac:dyDescent="0.2">
      <c r="I36156" s="137" t="s">
        <v>74</v>
      </c>
    </row>
    <row r="36157" spans="9:9" x14ac:dyDescent="0.2">
      <c r="I36157" s="137" t="s">
        <v>74</v>
      </c>
    </row>
    <row r="36158" spans="9:9" x14ac:dyDescent="0.2">
      <c r="I36158" s="137" t="s">
        <v>74</v>
      </c>
    </row>
    <row r="36159" spans="9:9" x14ac:dyDescent="0.2">
      <c r="I36159" s="137" t="s">
        <v>74</v>
      </c>
    </row>
    <row r="36160" spans="9:9" x14ac:dyDescent="0.2">
      <c r="I36160" s="137" t="s">
        <v>74</v>
      </c>
    </row>
    <row r="36161" spans="9:9" x14ac:dyDescent="0.2">
      <c r="I36161" s="137" t="s">
        <v>74</v>
      </c>
    </row>
    <row r="36162" spans="9:9" x14ac:dyDescent="0.2">
      <c r="I36162" s="137" t="s">
        <v>74</v>
      </c>
    </row>
    <row r="36163" spans="9:9" x14ac:dyDescent="0.2">
      <c r="I36163" s="137" t="s">
        <v>74</v>
      </c>
    </row>
    <row r="36164" spans="9:9" x14ac:dyDescent="0.2">
      <c r="I36164" s="137" t="s">
        <v>74</v>
      </c>
    </row>
    <row r="36165" spans="9:9" x14ac:dyDescent="0.2">
      <c r="I36165" s="137" t="s">
        <v>74</v>
      </c>
    </row>
    <row r="36166" spans="9:9" x14ac:dyDescent="0.2">
      <c r="I36166" s="137" t="s">
        <v>74</v>
      </c>
    </row>
    <row r="36167" spans="9:9" x14ac:dyDescent="0.2">
      <c r="I36167" s="137" t="s">
        <v>74</v>
      </c>
    </row>
    <row r="36168" spans="9:9" x14ac:dyDescent="0.2">
      <c r="I36168" s="137" t="s">
        <v>74</v>
      </c>
    </row>
    <row r="36169" spans="9:9" x14ac:dyDescent="0.2">
      <c r="I36169" s="137" t="s">
        <v>74</v>
      </c>
    </row>
    <row r="36170" spans="9:9" x14ac:dyDescent="0.2">
      <c r="I36170" s="137" t="s">
        <v>74</v>
      </c>
    </row>
    <row r="36171" spans="9:9" x14ac:dyDescent="0.2">
      <c r="I36171" s="137" t="s">
        <v>74</v>
      </c>
    </row>
    <row r="36172" spans="9:9" x14ac:dyDescent="0.2">
      <c r="I36172" s="137" t="s">
        <v>74</v>
      </c>
    </row>
    <row r="36173" spans="9:9" x14ac:dyDescent="0.2">
      <c r="I36173" s="137" t="s">
        <v>74</v>
      </c>
    </row>
    <row r="36174" spans="9:9" x14ac:dyDescent="0.2">
      <c r="I36174" s="137" t="s">
        <v>74</v>
      </c>
    </row>
    <row r="36175" spans="9:9" x14ac:dyDescent="0.2">
      <c r="I36175" s="137" t="s">
        <v>74</v>
      </c>
    </row>
    <row r="36176" spans="9:9" x14ac:dyDescent="0.2">
      <c r="I36176" s="137" t="s">
        <v>74</v>
      </c>
    </row>
    <row r="36177" spans="9:9" x14ac:dyDescent="0.2">
      <c r="I36177" s="137" t="s">
        <v>74</v>
      </c>
    </row>
    <row r="36178" spans="9:9" x14ac:dyDescent="0.2">
      <c r="I36178" s="137" t="s">
        <v>74</v>
      </c>
    </row>
    <row r="36179" spans="9:9" x14ac:dyDescent="0.2">
      <c r="I36179" s="137" t="s">
        <v>74</v>
      </c>
    </row>
    <row r="36180" spans="9:9" x14ac:dyDescent="0.2">
      <c r="I36180" s="137" t="s">
        <v>74</v>
      </c>
    </row>
    <row r="36181" spans="9:9" x14ac:dyDescent="0.2">
      <c r="I36181" s="137" t="s">
        <v>74</v>
      </c>
    </row>
    <row r="36182" spans="9:9" x14ac:dyDescent="0.2">
      <c r="I36182" s="137" t="s">
        <v>74</v>
      </c>
    </row>
    <row r="36183" spans="9:9" x14ac:dyDescent="0.2">
      <c r="I36183" s="137" t="s">
        <v>74</v>
      </c>
    </row>
    <row r="36184" spans="9:9" x14ac:dyDescent="0.2">
      <c r="I36184" s="137" t="s">
        <v>74</v>
      </c>
    </row>
    <row r="36185" spans="9:9" x14ac:dyDescent="0.2">
      <c r="I36185" s="137" t="s">
        <v>74</v>
      </c>
    </row>
    <row r="36186" spans="9:9" x14ac:dyDescent="0.2">
      <c r="I36186" s="137" t="s">
        <v>74</v>
      </c>
    </row>
    <row r="36187" spans="9:9" x14ac:dyDescent="0.2">
      <c r="I36187" s="137" t="s">
        <v>74</v>
      </c>
    </row>
    <row r="36188" spans="9:9" x14ac:dyDescent="0.2">
      <c r="I36188" s="137" t="s">
        <v>74</v>
      </c>
    </row>
    <row r="36189" spans="9:9" x14ac:dyDescent="0.2">
      <c r="I36189" s="137" t="s">
        <v>74</v>
      </c>
    </row>
    <row r="36190" spans="9:9" x14ac:dyDescent="0.2">
      <c r="I36190" s="137" t="s">
        <v>74</v>
      </c>
    </row>
    <row r="36191" spans="9:9" x14ac:dyDescent="0.2">
      <c r="I36191" s="137" t="s">
        <v>74</v>
      </c>
    </row>
    <row r="36192" spans="9:9" x14ac:dyDescent="0.2">
      <c r="I36192" s="137" t="s">
        <v>74</v>
      </c>
    </row>
    <row r="36193" spans="9:9" x14ac:dyDescent="0.2">
      <c r="I36193" s="137" t="s">
        <v>74</v>
      </c>
    </row>
    <row r="36194" spans="9:9" x14ac:dyDescent="0.2">
      <c r="I36194" s="137" t="s">
        <v>74</v>
      </c>
    </row>
    <row r="36195" spans="9:9" x14ac:dyDescent="0.2">
      <c r="I36195" s="137" t="s">
        <v>74</v>
      </c>
    </row>
    <row r="36196" spans="9:9" x14ac:dyDescent="0.2">
      <c r="I36196" s="137" t="s">
        <v>74</v>
      </c>
    </row>
    <row r="36197" spans="9:9" x14ac:dyDescent="0.2">
      <c r="I36197" s="137" t="s">
        <v>74</v>
      </c>
    </row>
    <row r="36198" spans="9:9" x14ac:dyDescent="0.2">
      <c r="I36198" s="137" t="s">
        <v>74</v>
      </c>
    </row>
    <row r="36199" spans="9:9" x14ac:dyDescent="0.2">
      <c r="I36199" s="137" t="s">
        <v>74</v>
      </c>
    </row>
    <row r="36200" spans="9:9" x14ac:dyDescent="0.2">
      <c r="I36200" s="137" t="s">
        <v>74</v>
      </c>
    </row>
    <row r="36201" spans="9:9" x14ac:dyDescent="0.2">
      <c r="I36201" s="137" t="s">
        <v>74</v>
      </c>
    </row>
    <row r="36202" spans="9:9" x14ac:dyDescent="0.2">
      <c r="I36202" s="137" t="s">
        <v>74</v>
      </c>
    </row>
    <row r="36203" spans="9:9" x14ac:dyDescent="0.2">
      <c r="I36203" s="137" t="s">
        <v>74</v>
      </c>
    </row>
    <row r="36204" spans="9:9" x14ac:dyDescent="0.2">
      <c r="I36204" s="137" t="s">
        <v>74</v>
      </c>
    </row>
    <row r="36205" spans="9:9" x14ac:dyDescent="0.2">
      <c r="I36205" s="137" t="s">
        <v>74</v>
      </c>
    </row>
    <row r="36206" spans="9:9" x14ac:dyDescent="0.2">
      <c r="I36206" s="137" t="s">
        <v>74</v>
      </c>
    </row>
    <row r="36207" spans="9:9" x14ac:dyDescent="0.2">
      <c r="I36207" s="137" t="s">
        <v>74</v>
      </c>
    </row>
    <row r="36208" spans="9:9" x14ac:dyDescent="0.2">
      <c r="I36208" s="137" t="s">
        <v>74</v>
      </c>
    </row>
    <row r="36209" spans="9:9" x14ac:dyDescent="0.2">
      <c r="I36209" s="137" t="s">
        <v>74</v>
      </c>
    </row>
    <row r="36210" spans="9:9" x14ac:dyDescent="0.2">
      <c r="I36210" s="137" t="s">
        <v>74</v>
      </c>
    </row>
    <row r="36211" spans="9:9" x14ac:dyDescent="0.2">
      <c r="I36211" s="137" t="s">
        <v>74</v>
      </c>
    </row>
    <row r="36212" spans="9:9" x14ac:dyDescent="0.2">
      <c r="I36212" s="137" t="s">
        <v>74</v>
      </c>
    </row>
    <row r="36213" spans="9:9" x14ac:dyDescent="0.2">
      <c r="I36213" s="137" t="s">
        <v>74</v>
      </c>
    </row>
    <row r="36214" spans="9:9" x14ac:dyDescent="0.2">
      <c r="I36214" s="137" t="s">
        <v>74</v>
      </c>
    </row>
    <row r="36215" spans="9:9" x14ac:dyDescent="0.2">
      <c r="I36215" s="137" t="s">
        <v>74</v>
      </c>
    </row>
    <row r="36216" spans="9:9" x14ac:dyDescent="0.2">
      <c r="I36216" s="137" t="s">
        <v>74</v>
      </c>
    </row>
    <row r="36217" spans="9:9" x14ac:dyDescent="0.2">
      <c r="I36217" s="137" t="s">
        <v>74</v>
      </c>
    </row>
    <row r="36218" spans="9:9" x14ac:dyDescent="0.2">
      <c r="I36218" s="137" t="s">
        <v>74</v>
      </c>
    </row>
    <row r="36219" spans="9:9" x14ac:dyDescent="0.2">
      <c r="I36219" s="137" t="s">
        <v>74</v>
      </c>
    </row>
    <row r="36220" spans="9:9" x14ac:dyDescent="0.2">
      <c r="I36220" s="137" t="s">
        <v>74</v>
      </c>
    </row>
    <row r="36221" spans="9:9" x14ac:dyDescent="0.2">
      <c r="I36221" s="137" t="s">
        <v>74</v>
      </c>
    </row>
    <row r="36222" spans="9:9" x14ac:dyDescent="0.2">
      <c r="I36222" s="137" t="s">
        <v>74</v>
      </c>
    </row>
    <row r="36223" spans="9:9" x14ac:dyDescent="0.2">
      <c r="I36223" s="137" t="s">
        <v>74</v>
      </c>
    </row>
    <row r="36224" spans="9:9" x14ac:dyDescent="0.2">
      <c r="I36224" s="137" t="s">
        <v>74</v>
      </c>
    </row>
    <row r="36225" spans="9:9" x14ac:dyDescent="0.2">
      <c r="I36225" s="137" t="s">
        <v>74</v>
      </c>
    </row>
    <row r="36226" spans="9:9" x14ac:dyDescent="0.2">
      <c r="I36226" s="137" t="s">
        <v>74</v>
      </c>
    </row>
    <row r="36227" spans="9:9" x14ac:dyDescent="0.2">
      <c r="I36227" s="137" t="s">
        <v>74</v>
      </c>
    </row>
    <row r="36228" spans="9:9" x14ac:dyDescent="0.2">
      <c r="I36228" s="137" t="s">
        <v>74</v>
      </c>
    </row>
    <row r="36229" spans="9:9" x14ac:dyDescent="0.2">
      <c r="I36229" s="137" t="s">
        <v>74</v>
      </c>
    </row>
    <row r="36230" spans="9:9" x14ac:dyDescent="0.2">
      <c r="I36230" s="137" t="s">
        <v>74</v>
      </c>
    </row>
    <row r="36231" spans="9:9" x14ac:dyDescent="0.2">
      <c r="I36231" s="137" t="s">
        <v>74</v>
      </c>
    </row>
    <row r="36232" spans="9:9" x14ac:dyDescent="0.2">
      <c r="I36232" s="137" t="s">
        <v>74</v>
      </c>
    </row>
    <row r="36233" spans="9:9" x14ac:dyDescent="0.2">
      <c r="I36233" s="137" t="s">
        <v>74</v>
      </c>
    </row>
    <row r="36234" spans="9:9" x14ac:dyDescent="0.2">
      <c r="I36234" s="137" t="s">
        <v>74</v>
      </c>
    </row>
    <row r="36235" spans="9:9" x14ac:dyDescent="0.2">
      <c r="I36235" s="137" t="s">
        <v>74</v>
      </c>
    </row>
    <row r="36236" spans="9:9" x14ac:dyDescent="0.2">
      <c r="I36236" s="137" t="s">
        <v>74</v>
      </c>
    </row>
    <row r="36237" spans="9:9" x14ac:dyDescent="0.2">
      <c r="I36237" s="137" t="s">
        <v>74</v>
      </c>
    </row>
    <row r="36238" spans="9:9" x14ac:dyDescent="0.2">
      <c r="I36238" s="137" t="s">
        <v>74</v>
      </c>
    </row>
    <row r="36239" spans="9:9" x14ac:dyDescent="0.2">
      <c r="I36239" s="137" t="s">
        <v>74</v>
      </c>
    </row>
    <row r="36240" spans="9:9" x14ac:dyDescent="0.2">
      <c r="I36240" s="137" t="s">
        <v>74</v>
      </c>
    </row>
    <row r="36241" spans="9:9" x14ac:dyDescent="0.2">
      <c r="I36241" s="137" t="s">
        <v>74</v>
      </c>
    </row>
    <row r="36242" spans="9:9" x14ac:dyDescent="0.2">
      <c r="I36242" s="137" t="s">
        <v>74</v>
      </c>
    </row>
    <row r="36243" spans="9:9" x14ac:dyDescent="0.2">
      <c r="I36243" s="137" t="s">
        <v>74</v>
      </c>
    </row>
    <row r="36244" spans="9:9" x14ac:dyDescent="0.2">
      <c r="I36244" s="137" t="s">
        <v>74</v>
      </c>
    </row>
    <row r="36245" spans="9:9" x14ac:dyDescent="0.2">
      <c r="I36245" s="137" t="s">
        <v>74</v>
      </c>
    </row>
    <row r="36246" spans="9:9" x14ac:dyDescent="0.2">
      <c r="I36246" s="137" t="s">
        <v>74</v>
      </c>
    </row>
    <row r="36247" spans="9:9" x14ac:dyDescent="0.2">
      <c r="I36247" s="137" t="s">
        <v>74</v>
      </c>
    </row>
    <row r="36248" spans="9:9" x14ac:dyDescent="0.2">
      <c r="I36248" s="137" t="s">
        <v>74</v>
      </c>
    </row>
    <row r="36249" spans="9:9" x14ac:dyDescent="0.2">
      <c r="I36249" s="137" t="s">
        <v>74</v>
      </c>
    </row>
    <row r="36250" spans="9:9" x14ac:dyDescent="0.2">
      <c r="I36250" s="137" t="s">
        <v>74</v>
      </c>
    </row>
    <row r="36251" spans="9:9" x14ac:dyDescent="0.2">
      <c r="I36251" s="137" t="s">
        <v>74</v>
      </c>
    </row>
    <row r="36252" spans="9:9" x14ac:dyDescent="0.2">
      <c r="I36252" s="137" t="s">
        <v>74</v>
      </c>
    </row>
    <row r="36253" spans="9:9" x14ac:dyDescent="0.2">
      <c r="I36253" s="137" t="s">
        <v>74</v>
      </c>
    </row>
    <row r="36254" spans="9:9" x14ac:dyDescent="0.2">
      <c r="I36254" s="137" t="s">
        <v>74</v>
      </c>
    </row>
    <row r="36255" spans="9:9" x14ac:dyDescent="0.2">
      <c r="I36255" s="137" t="s">
        <v>74</v>
      </c>
    </row>
    <row r="36256" spans="9:9" x14ac:dyDescent="0.2">
      <c r="I36256" s="137" t="s">
        <v>74</v>
      </c>
    </row>
    <row r="36257" spans="9:9" x14ac:dyDescent="0.2">
      <c r="I36257" s="137" t="s">
        <v>74</v>
      </c>
    </row>
    <row r="36258" spans="9:9" x14ac:dyDescent="0.2">
      <c r="I36258" s="137" t="s">
        <v>74</v>
      </c>
    </row>
    <row r="36259" spans="9:9" x14ac:dyDescent="0.2">
      <c r="I36259" s="137" t="s">
        <v>74</v>
      </c>
    </row>
    <row r="36260" spans="9:9" x14ac:dyDescent="0.2">
      <c r="I36260" s="137" t="s">
        <v>74</v>
      </c>
    </row>
    <row r="36261" spans="9:9" x14ac:dyDescent="0.2">
      <c r="I36261" s="137" t="s">
        <v>74</v>
      </c>
    </row>
    <row r="36262" spans="9:9" x14ac:dyDescent="0.2">
      <c r="I36262" s="137" t="s">
        <v>74</v>
      </c>
    </row>
    <row r="36263" spans="9:9" x14ac:dyDescent="0.2">
      <c r="I36263" s="137" t="s">
        <v>74</v>
      </c>
    </row>
    <row r="36264" spans="9:9" x14ac:dyDescent="0.2">
      <c r="I36264" s="137" t="s">
        <v>74</v>
      </c>
    </row>
    <row r="36265" spans="9:9" x14ac:dyDescent="0.2">
      <c r="I36265" s="137" t="s">
        <v>74</v>
      </c>
    </row>
    <row r="36266" spans="9:9" x14ac:dyDescent="0.2">
      <c r="I36266" s="137" t="s">
        <v>74</v>
      </c>
    </row>
    <row r="36267" spans="9:9" x14ac:dyDescent="0.2">
      <c r="I36267" s="137" t="s">
        <v>74</v>
      </c>
    </row>
    <row r="36268" spans="9:9" x14ac:dyDescent="0.2">
      <c r="I36268" s="137" t="s">
        <v>74</v>
      </c>
    </row>
    <row r="36269" spans="9:9" x14ac:dyDescent="0.2">
      <c r="I36269" s="137" t="s">
        <v>74</v>
      </c>
    </row>
    <row r="36270" spans="9:9" x14ac:dyDescent="0.2">
      <c r="I36270" s="137" t="s">
        <v>74</v>
      </c>
    </row>
    <row r="36271" spans="9:9" x14ac:dyDescent="0.2">
      <c r="I36271" s="137" t="s">
        <v>74</v>
      </c>
    </row>
    <row r="36272" spans="9:9" x14ac:dyDescent="0.2">
      <c r="I36272" s="137" t="s">
        <v>74</v>
      </c>
    </row>
    <row r="36273" spans="9:9" x14ac:dyDescent="0.2">
      <c r="I36273" s="137" t="s">
        <v>74</v>
      </c>
    </row>
    <row r="36274" spans="9:9" x14ac:dyDescent="0.2">
      <c r="I36274" s="137" t="s">
        <v>74</v>
      </c>
    </row>
    <row r="36275" spans="9:9" x14ac:dyDescent="0.2">
      <c r="I36275" s="137" t="s">
        <v>74</v>
      </c>
    </row>
    <row r="36276" spans="9:9" x14ac:dyDescent="0.2">
      <c r="I36276" s="137" t="s">
        <v>74</v>
      </c>
    </row>
    <row r="36277" spans="9:9" x14ac:dyDescent="0.2">
      <c r="I36277" s="137" t="s">
        <v>74</v>
      </c>
    </row>
    <row r="36278" spans="9:9" x14ac:dyDescent="0.2">
      <c r="I36278" s="137" t="s">
        <v>74</v>
      </c>
    </row>
    <row r="36279" spans="9:9" x14ac:dyDescent="0.2">
      <c r="I36279" s="137" t="s">
        <v>74</v>
      </c>
    </row>
    <row r="36280" spans="9:9" x14ac:dyDescent="0.2">
      <c r="I36280" s="137" t="s">
        <v>74</v>
      </c>
    </row>
    <row r="36281" spans="9:9" x14ac:dyDescent="0.2">
      <c r="I36281" s="137" t="s">
        <v>74</v>
      </c>
    </row>
    <row r="36282" spans="9:9" x14ac:dyDescent="0.2">
      <c r="I36282" s="137" t="s">
        <v>74</v>
      </c>
    </row>
    <row r="36283" spans="9:9" x14ac:dyDescent="0.2">
      <c r="I36283" s="137" t="s">
        <v>74</v>
      </c>
    </row>
    <row r="36284" spans="9:9" x14ac:dyDescent="0.2">
      <c r="I36284" s="137" t="s">
        <v>74</v>
      </c>
    </row>
    <row r="36285" spans="9:9" x14ac:dyDescent="0.2">
      <c r="I36285" s="137" t="s">
        <v>74</v>
      </c>
    </row>
    <row r="36286" spans="9:9" x14ac:dyDescent="0.2">
      <c r="I36286" s="137" t="s">
        <v>74</v>
      </c>
    </row>
    <row r="36287" spans="9:9" x14ac:dyDescent="0.2">
      <c r="I36287" s="137" t="s">
        <v>74</v>
      </c>
    </row>
    <row r="36288" spans="9:9" x14ac:dyDescent="0.2">
      <c r="I36288" s="137" t="s">
        <v>74</v>
      </c>
    </row>
    <row r="36289" spans="9:9" x14ac:dyDescent="0.2">
      <c r="I36289" s="137" t="s">
        <v>74</v>
      </c>
    </row>
    <row r="36290" spans="9:9" x14ac:dyDescent="0.2">
      <c r="I36290" s="137" t="s">
        <v>74</v>
      </c>
    </row>
    <row r="36291" spans="9:9" x14ac:dyDescent="0.2">
      <c r="I36291" s="137" t="s">
        <v>74</v>
      </c>
    </row>
    <row r="36292" spans="9:9" x14ac:dyDescent="0.2">
      <c r="I36292" s="137" t="s">
        <v>74</v>
      </c>
    </row>
    <row r="36293" spans="9:9" x14ac:dyDescent="0.2">
      <c r="I36293" s="137" t="s">
        <v>74</v>
      </c>
    </row>
    <row r="36294" spans="9:9" x14ac:dyDescent="0.2">
      <c r="I36294" s="137" t="s">
        <v>74</v>
      </c>
    </row>
    <row r="36295" spans="9:9" x14ac:dyDescent="0.2">
      <c r="I36295" s="137" t="s">
        <v>74</v>
      </c>
    </row>
    <row r="36296" spans="9:9" x14ac:dyDescent="0.2">
      <c r="I36296" s="137" t="s">
        <v>74</v>
      </c>
    </row>
    <row r="36297" spans="9:9" x14ac:dyDescent="0.2">
      <c r="I36297" s="137" t="s">
        <v>74</v>
      </c>
    </row>
    <row r="36298" spans="9:9" x14ac:dyDescent="0.2">
      <c r="I36298" s="137" t="s">
        <v>74</v>
      </c>
    </row>
    <row r="36299" spans="9:9" x14ac:dyDescent="0.2">
      <c r="I36299" s="137" t="s">
        <v>74</v>
      </c>
    </row>
    <row r="36300" spans="9:9" x14ac:dyDescent="0.2">
      <c r="I36300" s="137" t="s">
        <v>74</v>
      </c>
    </row>
    <row r="36301" spans="9:9" x14ac:dyDescent="0.2">
      <c r="I36301" s="137" t="s">
        <v>74</v>
      </c>
    </row>
    <row r="36302" spans="9:9" x14ac:dyDescent="0.2">
      <c r="I36302" s="137" t="s">
        <v>74</v>
      </c>
    </row>
    <row r="36303" spans="9:9" x14ac:dyDescent="0.2">
      <c r="I36303" s="137" t="s">
        <v>74</v>
      </c>
    </row>
    <row r="36304" spans="9:9" x14ac:dyDescent="0.2">
      <c r="I36304" s="137" t="s">
        <v>74</v>
      </c>
    </row>
    <row r="36305" spans="9:9" x14ac:dyDescent="0.2">
      <c r="I36305" s="137" t="s">
        <v>74</v>
      </c>
    </row>
    <row r="36306" spans="9:9" x14ac:dyDescent="0.2">
      <c r="I36306" s="137" t="s">
        <v>74</v>
      </c>
    </row>
    <row r="36307" spans="9:9" x14ac:dyDescent="0.2">
      <c r="I36307" s="137" t="s">
        <v>74</v>
      </c>
    </row>
    <row r="36308" spans="9:9" x14ac:dyDescent="0.2">
      <c r="I36308" s="137" t="s">
        <v>74</v>
      </c>
    </row>
    <row r="36309" spans="9:9" x14ac:dyDescent="0.2">
      <c r="I36309" s="137" t="s">
        <v>74</v>
      </c>
    </row>
    <row r="36310" spans="9:9" x14ac:dyDescent="0.2">
      <c r="I36310" s="137" t="s">
        <v>74</v>
      </c>
    </row>
    <row r="36311" spans="9:9" x14ac:dyDescent="0.2">
      <c r="I36311" s="137" t="s">
        <v>74</v>
      </c>
    </row>
    <row r="36312" spans="9:9" x14ac:dyDescent="0.2">
      <c r="I36312" s="137" t="s">
        <v>74</v>
      </c>
    </row>
    <row r="36313" spans="9:9" x14ac:dyDescent="0.2">
      <c r="I36313" s="137" t="s">
        <v>74</v>
      </c>
    </row>
    <row r="36314" spans="9:9" x14ac:dyDescent="0.2">
      <c r="I36314" s="137" t="s">
        <v>74</v>
      </c>
    </row>
    <row r="36315" spans="9:9" x14ac:dyDescent="0.2">
      <c r="I36315" s="137" t="s">
        <v>74</v>
      </c>
    </row>
    <row r="36316" spans="9:9" x14ac:dyDescent="0.2">
      <c r="I36316" s="137" t="s">
        <v>74</v>
      </c>
    </row>
    <row r="36317" spans="9:9" x14ac:dyDescent="0.2">
      <c r="I36317" s="137" t="s">
        <v>74</v>
      </c>
    </row>
    <row r="36318" spans="9:9" x14ac:dyDescent="0.2">
      <c r="I36318" s="137" t="s">
        <v>74</v>
      </c>
    </row>
    <row r="36319" spans="9:9" x14ac:dyDescent="0.2">
      <c r="I36319" s="137" t="s">
        <v>74</v>
      </c>
    </row>
    <row r="36320" spans="9:9" x14ac:dyDescent="0.2">
      <c r="I36320" s="137" t="s">
        <v>74</v>
      </c>
    </row>
    <row r="36321" spans="9:9" x14ac:dyDescent="0.2">
      <c r="I36321" s="137" t="s">
        <v>74</v>
      </c>
    </row>
    <row r="36322" spans="9:9" x14ac:dyDescent="0.2">
      <c r="I36322" s="137" t="s">
        <v>74</v>
      </c>
    </row>
    <row r="36323" spans="9:9" x14ac:dyDescent="0.2">
      <c r="I36323" s="137" t="s">
        <v>74</v>
      </c>
    </row>
    <row r="36324" spans="9:9" x14ac:dyDescent="0.2">
      <c r="I36324" s="137" t="s">
        <v>74</v>
      </c>
    </row>
    <row r="36325" spans="9:9" x14ac:dyDescent="0.2">
      <c r="I36325" s="137" t="s">
        <v>74</v>
      </c>
    </row>
    <row r="36326" spans="9:9" x14ac:dyDescent="0.2">
      <c r="I36326" s="137" t="s">
        <v>74</v>
      </c>
    </row>
    <row r="36327" spans="9:9" x14ac:dyDescent="0.2">
      <c r="I36327" s="137" t="s">
        <v>74</v>
      </c>
    </row>
    <row r="36328" spans="9:9" x14ac:dyDescent="0.2">
      <c r="I36328" s="137" t="s">
        <v>74</v>
      </c>
    </row>
    <row r="36329" spans="9:9" x14ac:dyDescent="0.2">
      <c r="I36329" s="137" t="s">
        <v>74</v>
      </c>
    </row>
    <row r="36330" spans="9:9" x14ac:dyDescent="0.2">
      <c r="I36330" s="137" t="s">
        <v>74</v>
      </c>
    </row>
    <row r="36331" spans="9:9" x14ac:dyDescent="0.2">
      <c r="I36331" s="137" t="s">
        <v>74</v>
      </c>
    </row>
    <row r="36332" spans="9:9" x14ac:dyDescent="0.2">
      <c r="I36332" s="137" t="s">
        <v>74</v>
      </c>
    </row>
    <row r="36333" spans="9:9" x14ac:dyDescent="0.2">
      <c r="I36333" s="137" t="s">
        <v>74</v>
      </c>
    </row>
    <row r="36334" spans="9:9" x14ac:dyDescent="0.2">
      <c r="I36334" s="137" t="s">
        <v>74</v>
      </c>
    </row>
    <row r="36335" spans="9:9" x14ac:dyDescent="0.2">
      <c r="I36335" s="137" t="s">
        <v>74</v>
      </c>
    </row>
    <row r="36336" spans="9:9" x14ac:dyDescent="0.2">
      <c r="I36336" s="137" t="s">
        <v>74</v>
      </c>
    </row>
    <row r="36337" spans="9:9" x14ac:dyDescent="0.2">
      <c r="I36337" s="137" t="s">
        <v>74</v>
      </c>
    </row>
    <row r="36338" spans="9:9" x14ac:dyDescent="0.2">
      <c r="I36338" s="137" t="s">
        <v>74</v>
      </c>
    </row>
    <row r="36339" spans="9:9" x14ac:dyDescent="0.2">
      <c r="I36339" s="137" t="s">
        <v>74</v>
      </c>
    </row>
    <row r="36340" spans="9:9" x14ac:dyDescent="0.2">
      <c r="I36340" s="137" t="s">
        <v>74</v>
      </c>
    </row>
    <row r="36341" spans="9:9" x14ac:dyDescent="0.2">
      <c r="I36341" s="137" t="s">
        <v>74</v>
      </c>
    </row>
    <row r="36342" spans="9:9" x14ac:dyDescent="0.2">
      <c r="I36342" s="137" t="s">
        <v>74</v>
      </c>
    </row>
    <row r="36343" spans="9:9" x14ac:dyDescent="0.2">
      <c r="I36343" s="137" t="s">
        <v>74</v>
      </c>
    </row>
    <row r="36344" spans="9:9" x14ac:dyDescent="0.2">
      <c r="I36344" s="137" t="s">
        <v>74</v>
      </c>
    </row>
    <row r="36345" spans="9:9" x14ac:dyDescent="0.2">
      <c r="I36345" s="137" t="s">
        <v>74</v>
      </c>
    </row>
    <row r="36346" spans="9:9" x14ac:dyDescent="0.2">
      <c r="I36346" s="137" t="s">
        <v>74</v>
      </c>
    </row>
    <row r="36347" spans="9:9" x14ac:dyDescent="0.2">
      <c r="I36347" s="137" t="s">
        <v>74</v>
      </c>
    </row>
    <row r="36348" spans="9:9" x14ac:dyDescent="0.2">
      <c r="I36348" s="137" t="s">
        <v>74</v>
      </c>
    </row>
    <row r="36349" spans="9:9" x14ac:dyDescent="0.2">
      <c r="I36349" s="137" t="s">
        <v>74</v>
      </c>
    </row>
    <row r="36350" spans="9:9" x14ac:dyDescent="0.2">
      <c r="I36350" s="137" t="s">
        <v>74</v>
      </c>
    </row>
    <row r="36351" spans="9:9" x14ac:dyDescent="0.2">
      <c r="I36351" s="137" t="s">
        <v>74</v>
      </c>
    </row>
    <row r="36352" spans="9:9" x14ac:dyDescent="0.2">
      <c r="I36352" s="137" t="s">
        <v>74</v>
      </c>
    </row>
    <row r="36353" spans="9:9" x14ac:dyDescent="0.2">
      <c r="I36353" s="137" t="s">
        <v>74</v>
      </c>
    </row>
    <row r="36354" spans="9:9" x14ac:dyDescent="0.2">
      <c r="I36354" s="137" t="s">
        <v>74</v>
      </c>
    </row>
    <row r="36355" spans="9:9" x14ac:dyDescent="0.2">
      <c r="I36355" s="137" t="s">
        <v>74</v>
      </c>
    </row>
    <row r="36356" spans="9:9" x14ac:dyDescent="0.2">
      <c r="I36356" s="137" t="s">
        <v>74</v>
      </c>
    </row>
    <row r="36357" spans="9:9" x14ac:dyDescent="0.2">
      <c r="I36357" s="137" t="s">
        <v>74</v>
      </c>
    </row>
    <row r="36358" spans="9:9" x14ac:dyDescent="0.2">
      <c r="I36358" s="137" t="s">
        <v>74</v>
      </c>
    </row>
    <row r="36359" spans="9:9" x14ac:dyDescent="0.2">
      <c r="I36359" s="137" t="s">
        <v>74</v>
      </c>
    </row>
    <row r="36360" spans="9:9" x14ac:dyDescent="0.2">
      <c r="I36360" s="137" t="s">
        <v>74</v>
      </c>
    </row>
    <row r="36361" spans="9:9" x14ac:dyDescent="0.2">
      <c r="I36361" s="137" t="s">
        <v>74</v>
      </c>
    </row>
    <row r="36362" spans="9:9" x14ac:dyDescent="0.2">
      <c r="I36362" s="137" t="s">
        <v>74</v>
      </c>
    </row>
    <row r="36363" spans="9:9" x14ac:dyDescent="0.2">
      <c r="I36363" s="137" t="s">
        <v>74</v>
      </c>
    </row>
    <row r="36364" spans="9:9" x14ac:dyDescent="0.2">
      <c r="I36364" s="137" t="s">
        <v>74</v>
      </c>
    </row>
    <row r="36365" spans="9:9" x14ac:dyDescent="0.2">
      <c r="I36365" s="137" t="s">
        <v>74</v>
      </c>
    </row>
    <row r="36366" spans="9:9" x14ac:dyDescent="0.2">
      <c r="I36366" s="137" t="s">
        <v>74</v>
      </c>
    </row>
    <row r="36367" spans="9:9" x14ac:dyDescent="0.2">
      <c r="I36367" s="137" t="s">
        <v>74</v>
      </c>
    </row>
    <row r="36368" spans="9:9" x14ac:dyDescent="0.2">
      <c r="I36368" s="137" t="s">
        <v>74</v>
      </c>
    </row>
    <row r="36369" spans="9:9" x14ac:dyDescent="0.2">
      <c r="I36369" s="137" t="s">
        <v>74</v>
      </c>
    </row>
    <row r="36370" spans="9:9" x14ac:dyDescent="0.2">
      <c r="I36370" s="137" t="s">
        <v>74</v>
      </c>
    </row>
    <row r="36371" spans="9:9" x14ac:dyDescent="0.2">
      <c r="I36371" s="137" t="s">
        <v>74</v>
      </c>
    </row>
    <row r="36372" spans="9:9" x14ac:dyDescent="0.2">
      <c r="I36372" s="137" t="s">
        <v>74</v>
      </c>
    </row>
    <row r="36373" spans="9:9" x14ac:dyDescent="0.2">
      <c r="I36373" s="137" t="s">
        <v>74</v>
      </c>
    </row>
    <row r="36374" spans="9:9" x14ac:dyDescent="0.2">
      <c r="I36374" s="137" t="s">
        <v>74</v>
      </c>
    </row>
    <row r="36375" spans="9:9" x14ac:dyDescent="0.2">
      <c r="I36375" s="137" t="s">
        <v>74</v>
      </c>
    </row>
    <row r="36376" spans="9:9" x14ac:dyDescent="0.2">
      <c r="I36376" s="137" t="s">
        <v>74</v>
      </c>
    </row>
    <row r="36377" spans="9:9" x14ac:dyDescent="0.2">
      <c r="I36377" s="137" t="s">
        <v>74</v>
      </c>
    </row>
    <row r="36378" spans="9:9" x14ac:dyDescent="0.2">
      <c r="I36378" s="137" t="s">
        <v>74</v>
      </c>
    </row>
    <row r="36379" spans="9:9" x14ac:dyDescent="0.2">
      <c r="I36379" s="137" t="s">
        <v>74</v>
      </c>
    </row>
    <row r="36380" spans="9:9" x14ac:dyDescent="0.2">
      <c r="I36380" s="137" t="s">
        <v>74</v>
      </c>
    </row>
    <row r="36381" spans="9:9" x14ac:dyDescent="0.2">
      <c r="I36381" s="137" t="s">
        <v>74</v>
      </c>
    </row>
    <row r="36382" spans="9:9" x14ac:dyDescent="0.2">
      <c r="I36382" s="137" t="s">
        <v>74</v>
      </c>
    </row>
    <row r="36383" spans="9:9" x14ac:dyDescent="0.2">
      <c r="I36383" s="137" t="s">
        <v>74</v>
      </c>
    </row>
    <row r="36384" spans="9:9" x14ac:dyDescent="0.2">
      <c r="I36384" s="137" t="s">
        <v>74</v>
      </c>
    </row>
    <row r="36385" spans="9:9" x14ac:dyDescent="0.2">
      <c r="I36385" s="137" t="s">
        <v>74</v>
      </c>
    </row>
    <row r="36386" spans="9:9" x14ac:dyDescent="0.2">
      <c r="I36386" s="137" t="s">
        <v>74</v>
      </c>
    </row>
    <row r="36387" spans="9:9" x14ac:dyDescent="0.2">
      <c r="I36387" s="137" t="s">
        <v>74</v>
      </c>
    </row>
    <row r="36388" spans="9:9" x14ac:dyDescent="0.2">
      <c r="I36388" s="137" t="s">
        <v>74</v>
      </c>
    </row>
    <row r="36389" spans="9:9" x14ac:dyDescent="0.2">
      <c r="I36389" s="137" t="s">
        <v>74</v>
      </c>
    </row>
    <row r="36390" spans="9:9" x14ac:dyDescent="0.2">
      <c r="I36390" s="137" t="s">
        <v>74</v>
      </c>
    </row>
    <row r="36391" spans="9:9" x14ac:dyDescent="0.2">
      <c r="I36391" s="137" t="s">
        <v>74</v>
      </c>
    </row>
    <row r="36392" spans="9:9" x14ac:dyDescent="0.2">
      <c r="I36392" s="137" t="s">
        <v>74</v>
      </c>
    </row>
    <row r="36393" spans="9:9" x14ac:dyDescent="0.2">
      <c r="I36393" s="137" t="s">
        <v>74</v>
      </c>
    </row>
    <row r="36394" spans="9:9" x14ac:dyDescent="0.2">
      <c r="I36394" s="137" t="s">
        <v>74</v>
      </c>
    </row>
    <row r="36395" spans="9:9" x14ac:dyDescent="0.2">
      <c r="I36395" s="137" t="s">
        <v>74</v>
      </c>
    </row>
    <row r="36396" spans="9:9" x14ac:dyDescent="0.2">
      <c r="I36396" s="137" t="s">
        <v>74</v>
      </c>
    </row>
    <row r="36397" spans="9:9" x14ac:dyDescent="0.2">
      <c r="I36397" s="137" t="s">
        <v>74</v>
      </c>
    </row>
    <row r="36398" spans="9:9" x14ac:dyDescent="0.2">
      <c r="I36398" s="137" t="s">
        <v>74</v>
      </c>
    </row>
    <row r="36399" spans="9:9" x14ac:dyDescent="0.2">
      <c r="I36399" s="137" t="s">
        <v>74</v>
      </c>
    </row>
    <row r="36400" spans="9:9" x14ac:dyDescent="0.2">
      <c r="I36400" s="137" t="s">
        <v>74</v>
      </c>
    </row>
    <row r="36401" spans="9:9" x14ac:dyDescent="0.2">
      <c r="I36401" s="137" t="s">
        <v>74</v>
      </c>
    </row>
    <row r="36402" spans="9:9" x14ac:dyDescent="0.2">
      <c r="I36402" s="137" t="s">
        <v>74</v>
      </c>
    </row>
    <row r="36403" spans="9:9" x14ac:dyDescent="0.2">
      <c r="I36403" s="137" t="s">
        <v>74</v>
      </c>
    </row>
    <row r="36404" spans="9:9" x14ac:dyDescent="0.2">
      <c r="I36404" s="137" t="s">
        <v>74</v>
      </c>
    </row>
    <row r="36405" spans="9:9" x14ac:dyDescent="0.2">
      <c r="I36405" s="137" t="s">
        <v>74</v>
      </c>
    </row>
    <row r="36406" spans="9:9" x14ac:dyDescent="0.2">
      <c r="I36406" s="137" t="s">
        <v>74</v>
      </c>
    </row>
    <row r="36407" spans="9:9" x14ac:dyDescent="0.2">
      <c r="I36407" s="137" t="s">
        <v>74</v>
      </c>
    </row>
    <row r="36408" spans="9:9" x14ac:dyDescent="0.2">
      <c r="I36408" s="137" t="s">
        <v>74</v>
      </c>
    </row>
    <row r="36409" spans="9:9" x14ac:dyDescent="0.2">
      <c r="I36409" s="137" t="s">
        <v>74</v>
      </c>
    </row>
    <row r="36410" spans="9:9" x14ac:dyDescent="0.2">
      <c r="I36410" s="137" t="s">
        <v>74</v>
      </c>
    </row>
    <row r="36411" spans="9:9" x14ac:dyDescent="0.2">
      <c r="I36411" s="137" t="s">
        <v>74</v>
      </c>
    </row>
    <row r="36412" spans="9:9" x14ac:dyDescent="0.2">
      <c r="I36412" s="137" t="s">
        <v>74</v>
      </c>
    </row>
    <row r="36413" spans="9:9" x14ac:dyDescent="0.2">
      <c r="I36413" s="137" t="s">
        <v>74</v>
      </c>
    </row>
    <row r="36414" spans="9:9" x14ac:dyDescent="0.2">
      <c r="I36414" s="137" t="s">
        <v>74</v>
      </c>
    </row>
    <row r="36415" spans="9:9" x14ac:dyDescent="0.2">
      <c r="I36415" s="137" t="s">
        <v>74</v>
      </c>
    </row>
    <row r="36416" spans="9:9" x14ac:dyDescent="0.2">
      <c r="I36416" s="137" t="s">
        <v>74</v>
      </c>
    </row>
    <row r="36417" spans="9:9" x14ac:dyDescent="0.2">
      <c r="I36417" s="137" t="s">
        <v>74</v>
      </c>
    </row>
    <row r="36418" spans="9:9" x14ac:dyDescent="0.2">
      <c r="I36418" s="137" t="s">
        <v>74</v>
      </c>
    </row>
    <row r="36419" spans="9:9" x14ac:dyDescent="0.2">
      <c r="I36419" s="137" t="s">
        <v>74</v>
      </c>
    </row>
    <row r="36420" spans="9:9" x14ac:dyDescent="0.2">
      <c r="I36420" s="137" t="s">
        <v>74</v>
      </c>
    </row>
    <row r="36421" spans="9:9" x14ac:dyDescent="0.2">
      <c r="I36421" s="137" t="s">
        <v>74</v>
      </c>
    </row>
    <row r="36422" spans="9:9" x14ac:dyDescent="0.2">
      <c r="I36422" s="137" t="s">
        <v>74</v>
      </c>
    </row>
    <row r="36423" spans="9:9" x14ac:dyDescent="0.2">
      <c r="I36423" s="137" t="s">
        <v>74</v>
      </c>
    </row>
    <row r="36424" spans="9:9" x14ac:dyDescent="0.2">
      <c r="I36424" s="137" t="s">
        <v>74</v>
      </c>
    </row>
    <row r="36425" spans="9:9" x14ac:dyDescent="0.2">
      <c r="I36425" s="137" t="s">
        <v>74</v>
      </c>
    </row>
    <row r="36426" spans="9:9" x14ac:dyDescent="0.2">
      <c r="I36426" s="137" t="s">
        <v>74</v>
      </c>
    </row>
    <row r="36427" spans="9:9" x14ac:dyDescent="0.2">
      <c r="I36427" s="137" t="s">
        <v>74</v>
      </c>
    </row>
    <row r="36428" spans="9:9" x14ac:dyDescent="0.2">
      <c r="I36428" s="137" t="s">
        <v>74</v>
      </c>
    </row>
    <row r="36429" spans="9:9" x14ac:dyDescent="0.2">
      <c r="I36429" s="137" t="s">
        <v>74</v>
      </c>
    </row>
    <row r="36430" spans="9:9" x14ac:dyDescent="0.2">
      <c r="I36430" s="137" t="s">
        <v>74</v>
      </c>
    </row>
    <row r="36431" spans="9:9" x14ac:dyDescent="0.2">
      <c r="I36431" s="137" t="s">
        <v>74</v>
      </c>
    </row>
    <row r="36432" spans="9:9" x14ac:dyDescent="0.2">
      <c r="I36432" s="137" t="s">
        <v>74</v>
      </c>
    </row>
    <row r="36433" spans="9:9" x14ac:dyDescent="0.2">
      <c r="I36433" s="137" t="s">
        <v>74</v>
      </c>
    </row>
    <row r="36434" spans="9:9" x14ac:dyDescent="0.2">
      <c r="I36434" s="137" t="s">
        <v>74</v>
      </c>
    </row>
    <row r="36435" spans="9:9" x14ac:dyDescent="0.2">
      <c r="I36435" s="137" t="s">
        <v>74</v>
      </c>
    </row>
    <row r="36436" spans="9:9" x14ac:dyDescent="0.2">
      <c r="I36436" s="137" t="s">
        <v>74</v>
      </c>
    </row>
    <row r="36437" spans="9:9" x14ac:dyDescent="0.2">
      <c r="I36437" s="137" t="s">
        <v>74</v>
      </c>
    </row>
    <row r="36438" spans="9:9" x14ac:dyDescent="0.2">
      <c r="I36438" s="137" t="s">
        <v>74</v>
      </c>
    </row>
    <row r="36439" spans="9:9" x14ac:dyDescent="0.2">
      <c r="I36439" s="137" t="s">
        <v>74</v>
      </c>
    </row>
    <row r="36440" spans="9:9" x14ac:dyDescent="0.2">
      <c r="I36440" s="137" t="s">
        <v>74</v>
      </c>
    </row>
    <row r="36441" spans="9:9" x14ac:dyDescent="0.2">
      <c r="I36441" s="137" t="s">
        <v>74</v>
      </c>
    </row>
    <row r="36442" spans="9:9" x14ac:dyDescent="0.2">
      <c r="I36442" s="137" t="s">
        <v>74</v>
      </c>
    </row>
    <row r="36443" spans="9:9" x14ac:dyDescent="0.2">
      <c r="I36443" s="137" t="s">
        <v>74</v>
      </c>
    </row>
    <row r="36444" spans="9:9" x14ac:dyDescent="0.2">
      <c r="I36444" s="137" t="s">
        <v>74</v>
      </c>
    </row>
    <row r="36445" spans="9:9" x14ac:dyDescent="0.2">
      <c r="I36445" s="137" t="s">
        <v>74</v>
      </c>
    </row>
    <row r="36446" spans="9:9" x14ac:dyDescent="0.2">
      <c r="I36446" s="137" t="s">
        <v>74</v>
      </c>
    </row>
    <row r="36447" spans="9:9" x14ac:dyDescent="0.2">
      <c r="I36447" s="137" t="s">
        <v>74</v>
      </c>
    </row>
    <row r="36448" spans="9:9" x14ac:dyDescent="0.2">
      <c r="I36448" s="137" t="s">
        <v>74</v>
      </c>
    </row>
    <row r="36449" spans="9:9" x14ac:dyDescent="0.2">
      <c r="I36449" s="137" t="s">
        <v>74</v>
      </c>
    </row>
    <row r="36450" spans="9:9" x14ac:dyDescent="0.2">
      <c r="I36450" s="137" t="s">
        <v>74</v>
      </c>
    </row>
    <row r="36451" spans="9:9" x14ac:dyDescent="0.2">
      <c r="I36451" s="137" t="s">
        <v>74</v>
      </c>
    </row>
    <row r="36452" spans="9:9" x14ac:dyDescent="0.2">
      <c r="I36452" s="137" t="s">
        <v>74</v>
      </c>
    </row>
    <row r="36453" spans="9:9" x14ac:dyDescent="0.2">
      <c r="I36453" s="137" t="s">
        <v>74</v>
      </c>
    </row>
    <row r="36454" spans="9:9" x14ac:dyDescent="0.2">
      <c r="I36454" s="137" t="s">
        <v>74</v>
      </c>
    </row>
    <row r="36455" spans="9:9" x14ac:dyDescent="0.2">
      <c r="I36455" s="137" t="s">
        <v>74</v>
      </c>
    </row>
    <row r="36456" spans="9:9" x14ac:dyDescent="0.2">
      <c r="I36456" s="137" t="s">
        <v>74</v>
      </c>
    </row>
    <row r="36457" spans="9:9" x14ac:dyDescent="0.2">
      <c r="I36457" s="137" t="s">
        <v>74</v>
      </c>
    </row>
    <row r="36458" spans="9:9" x14ac:dyDescent="0.2">
      <c r="I36458" s="137" t="s">
        <v>74</v>
      </c>
    </row>
    <row r="36459" spans="9:9" x14ac:dyDescent="0.2">
      <c r="I36459" s="137" t="s">
        <v>74</v>
      </c>
    </row>
    <row r="36460" spans="9:9" x14ac:dyDescent="0.2">
      <c r="I36460" s="137" t="s">
        <v>74</v>
      </c>
    </row>
    <row r="36461" spans="9:9" x14ac:dyDescent="0.2">
      <c r="I36461" s="137" t="s">
        <v>74</v>
      </c>
    </row>
    <row r="36462" spans="9:9" x14ac:dyDescent="0.2">
      <c r="I36462" s="137" t="s">
        <v>74</v>
      </c>
    </row>
    <row r="36463" spans="9:9" x14ac:dyDescent="0.2">
      <c r="I36463" s="137" t="s">
        <v>74</v>
      </c>
    </row>
    <row r="36464" spans="9:9" x14ac:dyDescent="0.2">
      <c r="I36464" s="137" t="s">
        <v>74</v>
      </c>
    </row>
    <row r="36465" spans="9:9" x14ac:dyDescent="0.2">
      <c r="I36465" s="137" t="s">
        <v>74</v>
      </c>
    </row>
    <row r="36466" spans="9:9" x14ac:dyDescent="0.2">
      <c r="I36466" s="137" t="s">
        <v>74</v>
      </c>
    </row>
    <row r="36467" spans="9:9" x14ac:dyDescent="0.2">
      <c r="I36467" s="137" t="s">
        <v>74</v>
      </c>
    </row>
    <row r="36468" spans="9:9" x14ac:dyDescent="0.2">
      <c r="I36468" s="137" t="s">
        <v>74</v>
      </c>
    </row>
    <row r="36469" spans="9:9" x14ac:dyDescent="0.2">
      <c r="I36469" s="137" t="s">
        <v>74</v>
      </c>
    </row>
    <row r="36470" spans="9:9" x14ac:dyDescent="0.2">
      <c r="I36470" s="137" t="s">
        <v>74</v>
      </c>
    </row>
    <row r="36471" spans="9:9" x14ac:dyDescent="0.2">
      <c r="I36471" s="137" t="s">
        <v>74</v>
      </c>
    </row>
    <row r="36472" spans="9:9" x14ac:dyDescent="0.2">
      <c r="I36472" s="137" t="s">
        <v>74</v>
      </c>
    </row>
    <row r="36473" spans="9:9" x14ac:dyDescent="0.2">
      <c r="I36473" s="137" t="s">
        <v>74</v>
      </c>
    </row>
    <row r="36474" spans="9:9" x14ac:dyDescent="0.2">
      <c r="I36474" s="137" t="s">
        <v>74</v>
      </c>
    </row>
    <row r="36475" spans="9:9" x14ac:dyDescent="0.2">
      <c r="I36475" s="137" t="s">
        <v>74</v>
      </c>
    </row>
    <row r="36476" spans="9:9" x14ac:dyDescent="0.2">
      <c r="I36476" s="137" t="s">
        <v>74</v>
      </c>
    </row>
    <row r="36477" spans="9:9" x14ac:dyDescent="0.2">
      <c r="I36477" s="137" t="s">
        <v>74</v>
      </c>
    </row>
    <row r="36478" spans="9:9" x14ac:dyDescent="0.2">
      <c r="I36478" s="137" t="s">
        <v>74</v>
      </c>
    </row>
    <row r="36479" spans="9:9" x14ac:dyDescent="0.2">
      <c r="I36479" s="137" t="s">
        <v>74</v>
      </c>
    </row>
    <row r="36480" spans="9:9" x14ac:dyDescent="0.2">
      <c r="I36480" s="137" t="s">
        <v>74</v>
      </c>
    </row>
    <row r="36481" spans="9:9" x14ac:dyDescent="0.2">
      <c r="I36481" s="137" t="s">
        <v>74</v>
      </c>
    </row>
    <row r="36482" spans="9:9" x14ac:dyDescent="0.2">
      <c r="I36482" s="137" t="s">
        <v>74</v>
      </c>
    </row>
    <row r="36483" spans="9:9" x14ac:dyDescent="0.2">
      <c r="I36483" s="137" t="s">
        <v>74</v>
      </c>
    </row>
    <row r="36484" spans="9:9" x14ac:dyDescent="0.2">
      <c r="I36484" s="137" t="s">
        <v>74</v>
      </c>
    </row>
    <row r="36485" spans="9:9" x14ac:dyDescent="0.2">
      <c r="I36485" s="137" t="s">
        <v>74</v>
      </c>
    </row>
    <row r="36486" spans="9:9" x14ac:dyDescent="0.2">
      <c r="I36486" s="137" t="s">
        <v>74</v>
      </c>
    </row>
    <row r="36487" spans="9:9" x14ac:dyDescent="0.2">
      <c r="I36487" s="137" t="s">
        <v>74</v>
      </c>
    </row>
    <row r="36488" spans="9:9" x14ac:dyDescent="0.2">
      <c r="I36488" s="137" t="s">
        <v>74</v>
      </c>
    </row>
    <row r="36489" spans="9:9" x14ac:dyDescent="0.2">
      <c r="I36489" s="137" t="s">
        <v>74</v>
      </c>
    </row>
    <row r="36490" spans="9:9" x14ac:dyDescent="0.2">
      <c r="I36490" s="137" t="s">
        <v>74</v>
      </c>
    </row>
    <row r="36491" spans="9:9" x14ac:dyDescent="0.2">
      <c r="I36491" s="137" t="s">
        <v>74</v>
      </c>
    </row>
    <row r="36492" spans="9:9" x14ac:dyDescent="0.2">
      <c r="I36492" s="137" t="s">
        <v>74</v>
      </c>
    </row>
    <row r="36493" spans="9:9" x14ac:dyDescent="0.2">
      <c r="I36493" s="137" t="s">
        <v>74</v>
      </c>
    </row>
    <row r="36494" spans="9:9" x14ac:dyDescent="0.2">
      <c r="I36494" s="137" t="s">
        <v>74</v>
      </c>
    </row>
    <row r="36495" spans="9:9" x14ac:dyDescent="0.2">
      <c r="I36495" s="137" t="s">
        <v>74</v>
      </c>
    </row>
    <row r="36496" spans="9:9" x14ac:dyDescent="0.2">
      <c r="I36496" s="137" t="s">
        <v>74</v>
      </c>
    </row>
    <row r="36497" spans="9:9" x14ac:dyDescent="0.2">
      <c r="I36497" s="137" t="s">
        <v>74</v>
      </c>
    </row>
    <row r="36498" spans="9:9" x14ac:dyDescent="0.2">
      <c r="I36498" s="137" t="s">
        <v>74</v>
      </c>
    </row>
    <row r="36499" spans="9:9" x14ac:dyDescent="0.2">
      <c r="I36499" s="137" t="s">
        <v>74</v>
      </c>
    </row>
    <row r="36500" spans="9:9" x14ac:dyDescent="0.2">
      <c r="I36500" s="137" t="s">
        <v>74</v>
      </c>
    </row>
    <row r="36501" spans="9:9" x14ac:dyDescent="0.2">
      <c r="I36501" s="137" t="s">
        <v>74</v>
      </c>
    </row>
    <row r="36502" spans="9:9" x14ac:dyDescent="0.2">
      <c r="I36502" s="137" t="s">
        <v>74</v>
      </c>
    </row>
    <row r="36503" spans="9:9" x14ac:dyDescent="0.2">
      <c r="I36503" s="137" t="s">
        <v>74</v>
      </c>
    </row>
    <row r="36504" spans="9:9" x14ac:dyDescent="0.2">
      <c r="I36504" s="137" t="s">
        <v>74</v>
      </c>
    </row>
    <row r="36505" spans="9:9" x14ac:dyDescent="0.2">
      <c r="I36505" s="137" t="s">
        <v>74</v>
      </c>
    </row>
    <row r="36506" spans="9:9" x14ac:dyDescent="0.2">
      <c r="I36506" s="137" t="s">
        <v>74</v>
      </c>
    </row>
    <row r="36507" spans="9:9" x14ac:dyDescent="0.2">
      <c r="I36507" s="137" t="s">
        <v>74</v>
      </c>
    </row>
    <row r="36508" spans="9:9" x14ac:dyDescent="0.2">
      <c r="I36508" s="137" t="s">
        <v>74</v>
      </c>
    </row>
    <row r="36509" spans="9:9" x14ac:dyDescent="0.2">
      <c r="I36509" s="137" t="s">
        <v>74</v>
      </c>
    </row>
    <row r="36510" spans="9:9" x14ac:dyDescent="0.2">
      <c r="I36510" s="137" t="s">
        <v>74</v>
      </c>
    </row>
    <row r="36511" spans="9:9" x14ac:dyDescent="0.2">
      <c r="I36511" s="137" t="s">
        <v>74</v>
      </c>
    </row>
    <row r="36512" spans="9:9" x14ac:dyDescent="0.2">
      <c r="I36512" s="137" t="s">
        <v>74</v>
      </c>
    </row>
    <row r="36513" spans="9:9" x14ac:dyDescent="0.2">
      <c r="I36513" s="137" t="s">
        <v>74</v>
      </c>
    </row>
    <row r="36514" spans="9:9" x14ac:dyDescent="0.2">
      <c r="I36514" s="137" t="s">
        <v>74</v>
      </c>
    </row>
    <row r="36515" spans="9:9" x14ac:dyDescent="0.2">
      <c r="I36515" s="137" t="s">
        <v>74</v>
      </c>
    </row>
    <row r="36516" spans="9:9" x14ac:dyDescent="0.2">
      <c r="I36516" s="137" t="s">
        <v>74</v>
      </c>
    </row>
    <row r="36517" spans="9:9" x14ac:dyDescent="0.2">
      <c r="I36517" s="137" t="s">
        <v>74</v>
      </c>
    </row>
    <row r="36518" spans="9:9" x14ac:dyDescent="0.2">
      <c r="I36518" s="137" t="s">
        <v>74</v>
      </c>
    </row>
    <row r="36519" spans="9:9" x14ac:dyDescent="0.2">
      <c r="I36519" s="137" t="s">
        <v>74</v>
      </c>
    </row>
    <row r="36520" spans="9:9" x14ac:dyDescent="0.2">
      <c r="I36520" s="137" t="s">
        <v>74</v>
      </c>
    </row>
    <row r="36521" spans="9:9" x14ac:dyDescent="0.2">
      <c r="I36521" s="137" t="s">
        <v>74</v>
      </c>
    </row>
    <row r="36522" spans="9:9" x14ac:dyDescent="0.2">
      <c r="I36522" s="137" t="s">
        <v>74</v>
      </c>
    </row>
    <row r="36523" spans="9:9" x14ac:dyDescent="0.2">
      <c r="I36523" s="137" t="s">
        <v>74</v>
      </c>
    </row>
    <row r="36524" spans="9:9" x14ac:dyDescent="0.2">
      <c r="I36524" s="137" t="s">
        <v>74</v>
      </c>
    </row>
    <row r="36525" spans="9:9" x14ac:dyDescent="0.2">
      <c r="I36525" s="137" t="s">
        <v>74</v>
      </c>
    </row>
    <row r="36526" spans="9:9" x14ac:dyDescent="0.2">
      <c r="I36526" s="137" t="s">
        <v>74</v>
      </c>
    </row>
    <row r="36527" spans="9:9" x14ac:dyDescent="0.2">
      <c r="I36527" s="137" t="s">
        <v>74</v>
      </c>
    </row>
    <row r="36528" spans="9:9" x14ac:dyDescent="0.2">
      <c r="I36528" s="137" t="s">
        <v>74</v>
      </c>
    </row>
    <row r="36529" spans="9:9" x14ac:dyDescent="0.2">
      <c r="I36529" s="137" t="s">
        <v>74</v>
      </c>
    </row>
    <row r="36530" spans="9:9" x14ac:dyDescent="0.2">
      <c r="I36530" s="137" t="s">
        <v>74</v>
      </c>
    </row>
    <row r="36531" spans="9:9" x14ac:dyDescent="0.2">
      <c r="I36531" s="137" t="s">
        <v>74</v>
      </c>
    </row>
    <row r="36532" spans="9:9" x14ac:dyDescent="0.2">
      <c r="I36532" s="137" t="s">
        <v>74</v>
      </c>
    </row>
    <row r="36533" spans="9:9" x14ac:dyDescent="0.2">
      <c r="I36533" s="137" t="s">
        <v>74</v>
      </c>
    </row>
    <row r="36534" spans="9:9" x14ac:dyDescent="0.2">
      <c r="I36534" s="137" t="s">
        <v>74</v>
      </c>
    </row>
    <row r="36535" spans="9:9" x14ac:dyDescent="0.2">
      <c r="I36535" s="137" t="s">
        <v>74</v>
      </c>
    </row>
    <row r="36536" spans="9:9" x14ac:dyDescent="0.2">
      <c r="I36536" s="137" t="s">
        <v>74</v>
      </c>
    </row>
    <row r="36537" spans="9:9" x14ac:dyDescent="0.2">
      <c r="I36537" s="137" t="s">
        <v>74</v>
      </c>
    </row>
    <row r="36538" spans="9:9" x14ac:dyDescent="0.2">
      <c r="I36538" s="137" t="s">
        <v>74</v>
      </c>
    </row>
    <row r="36539" spans="9:9" x14ac:dyDescent="0.2">
      <c r="I36539" s="137" t="s">
        <v>74</v>
      </c>
    </row>
    <row r="36540" spans="9:9" x14ac:dyDescent="0.2">
      <c r="I36540" s="137" t="s">
        <v>74</v>
      </c>
    </row>
    <row r="36541" spans="9:9" x14ac:dyDescent="0.2">
      <c r="I36541" s="137" t="s">
        <v>74</v>
      </c>
    </row>
    <row r="36542" spans="9:9" x14ac:dyDescent="0.2">
      <c r="I36542" s="137" t="s">
        <v>74</v>
      </c>
    </row>
    <row r="36543" spans="9:9" x14ac:dyDescent="0.2">
      <c r="I36543" s="137" t="s">
        <v>74</v>
      </c>
    </row>
    <row r="36544" spans="9:9" x14ac:dyDescent="0.2">
      <c r="I36544" s="137" t="s">
        <v>74</v>
      </c>
    </row>
    <row r="36545" spans="9:9" x14ac:dyDescent="0.2">
      <c r="I36545" s="137" t="s">
        <v>74</v>
      </c>
    </row>
    <row r="36546" spans="9:9" x14ac:dyDescent="0.2">
      <c r="I36546" s="137" t="s">
        <v>74</v>
      </c>
    </row>
    <row r="36547" spans="9:9" x14ac:dyDescent="0.2">
      <c r="I36547" s="137" t="s">
        <v>74</v>
      </c>
    </row>
    <row r="36548" spans="9:9" x14ac:dyDescent="0.2">
      <c r="I36548" s="137" t="s">
        <v>74</v>
      </c>
    </row>
    <row r="36549" spans="9:9" x14ac:dyDescent="0.2">
      <c r="I36549" s="137" t="s">
        <v>74</v>
      </c>
    </row>
    <row r="36550" spans="9:9" x14ac:dyDescent="0.2">
      <c r="I36550" s="137" t="s">
        <v>74</v>
      </c>
    </row>
    <row r="36551" spans="9:9" x14ac:dyDescent="0.2">
      <c r="I36551" s="137" t="s">
        <v>74</v>
      </c>
    </row>
    <row r="36552" spans="9:9" x14ac:dyDescent="0.2">
      <c r="I36552" s="137" t="s">
        <v>74</v>
      </c>
    </row>
    <row r="36553" spans="9:9" x14ac:dyDescent="0.2">
      <c r="I36553" s="137" t="s">
        <v>74</v>
      </c>
    </row>
    <row r="36554" spans="9:9" x14ac:dyDescent="0.2">
      <c r="I36554" s="137" t="s">
        <v>74</v>
      </c>
    </row>
    <row r="36555" spans="9:9" x14ac:dyDescent="0.2">
      <c r="I36555" s="137" t="s">
        <v>74</v>
      </c>
    </row>
    <row r="36556" spans="9:9" x14ac:dyDescent="0.2">
      <c r="I36556" s="137" t="s">
        <v>74</v>
      </c>
    </row>
    <row r="36557" spans="9:9" x14ac:dyDescent="0.2">
      <c r="I36557" s="137" t="s">
        <v>74</v>
      </c>
    </row>
    <row r="36558" spans="9:9" x14ac:dyDescent="0.2">
      <c r="I36558" s="137" t="s">
        <v>74</v>
      </c>
    </row>
    <row r="36559" spans="9:9" x14ac:dyDescent="0.2">
      <c r="I36559" s="137" t="s">
        <v>74</v>
      </c>
    </row>
    <row r="36560" spans="9:9" x14ac:dyDescent="0.2">
      <c r="I36560" s="137" t="s">
        <v>74</v>
      </c>
    </row>
    <row r="36561" spans="9:9" x14ac:dyDescent="0.2">
      <c r="I36561" s="137" t="s">
        <v>74</v>
      </c>
    </row>
    <row r="36562" spans="9:9" x14ac:dyDescent="0.2">
      <c r="I36562" s="137" t="s">
        <v>74</v>
      </c>
    </row>
    <row r="36563" spans="9:9" x14ac:dyDescent="0.2">
      <c r="I36563" s="137" t="s">
        <v>74</v>
      </c>
    </row>
    <row r="36564" spans="9:9" x14ac:dyDescent="0.2">
      <c r="I36564" s="137" t="s">
        <v>74</v>
      </c>
    </row>
    <row r="36565" spans="9:9" x14ac:dyDescent="0.2">
      <c r="I36565" s="137" t="s">
        <v>74</v>
      </c>
    </row>
    <row r="36566" spans="9:9" x14ac:dyDescent="0.2">
      <c r="I36566" s="137" t="s">
        <v>74</v>
      </c>
    </row>
    <row r="36567" spans="9:9" x14ac:dyDescent="0.2">
      <c r="I36567" s="137" t="s">
        <v>74</v>
      </c>
    </row>
    <row r="36568" spans="9:9" x14ac:dyDescent="0.2">
      <c r="I36568" s="137" t="s">
        <v>74</v>
      </c>
    </row>
    <row r="36569" spans="9:9" x14ac:dyDescent="0.2">
      <c r="I36569" s="137" t="s">
        <v>74</v>
      </c>
    </row>
    <row r="36570" spans="9:9" x14ac:dyDescent="0.2">
      <c r="I36570" s="137" t="s">
        <v>74</v>
      </c>
    </row>
    <row r="36571" spans="9:9" x14ac:dyDescent="0.2">
      <c r="I36571" s="137" t="s">
        <v>74</v>
      </c>
    </row>
    <row r="36572" spans="9:9" x14ac:dyDescent="0.2">
      <c r="I36572" s="137" t="s">
        <v>74</v>
      </c>
    </row>
    <row r="36573" spans="9:9" x14ac:dyDescent="0.2">
      <c r="I36573" s="137" t="s">
        <v>74</v>
      </c>
    </row>
    <row r="36574" spans="9:9" x14ac:dyDescent="0.2">
      <c r="I36574" s="137" t="s">
        <v>74</v>
      </c>
    </row>
    <row r="36575" spans="9:9" x14ac:dyDescent="0.2">
      <c r="I36575" s="137" t="s">
        <v>74</v>
      </c>
    </row>
    <row r="36576" spans="9:9" x14ac:dyDescent="0.2">
      <c r="I36576" s="137" t="s">
        <v>74</v>
      </c>
    </row>
    <row r="36577" spans="9:9" x14ac:dyDescent="0.2">
      <c r="I36577" s="137" t="s">
        <v>74</v>
      </c>
    </row>
    <row r="36578" spans="9:9" x14ac:dyDescent="0.2">
      <c r="I36578" s="137" t="s">
        <v>74</v>
      </c>
    </row>
    <row r="36579" spans="9:9" x14ac:dyDescent="0.2">
      <c r="I36579" s="137" t="s">
        <v>74</v>
      </c>
    </row>
    <row r="36580" spans="9:9" x14ac:dyDescent="0.2">
      <c r="I36580" s="137" t="s">
        <v>74</v>
      </c>
    </row>
    <row r="36581" spans="9:9" x14ac:dyDescent="0.2">
      <c r="I36581" s="137" t="s">
        <v>74</v>
      </c>
    </row>
    <row r="36582" spans="9:9" x14ac:dyDescent="0.2">
      <c r="I36582" s="137" t="s">
        <v>74</v>
      </c>
    </row>
    <row r="36583" spans="9:9" x14ac:dyDescent="0.2">
      <c r="I36583" s="137" t="s">
        <v>74</v>
      </c>
    </row>
    <row r="36584" spans="9:9" x14ac:dyDescent="0.2">
      <c r="I36584" s="137" t="s">
        <v>74</v>
      </c>
    </row>
    <row r="36585" spans="9:9" x14ac:dyDescent="0.2">
      <c r="I36585" s="137" t="s">
        <v>74</v>
      </c>
    </row>
    <row r="36586" spans="9:9" x14ac:dyDescent="0.2">
      <c r="I36586" s="137" t="s">
        <v>74</v>
      </c>
    </row>
    <row r="36587" spans="9:9" x14ac:dyDescent="0.2">
      <c r="I36587" s="137" t="s">
        <v>74</v>
      </c>
    </row>
    <row r="36588" spans="9:9" x14ac:dyDescent="0.2">
      <c r="I36588" s="137" t="s">
        <v>74</v>
      </c>
    </row>
    <row r="36589" spans="9:9" x14ac:dyDescent="0.2">
      <c r="I36589" s="137" t="s">
        <v>74</v>
      </c>
    </row>
    <row r="36590" spans="9:9" x14ac:dyDescent="0.2">
      <c r="I36590" s="137" t="s">
        <v>74</v>
      </c>
    </row>
    <row r="36591" spans="9:9" x14ac:dyDescent="0.2">
      <c r="I36591" s="137" t="s">
        <v>74</v>
      </c>
    </row>
    <row r="36592" spans="9:9" x14ac:dyDescent="0.2">
      <c r="I36592" s="137" t="s">
        <v>74</v>
      </c>
    </row>
    <row r="36593" spans="9:9" x14ac:dyDescent="0.2">
      <c r="I36593" s="137" t="s">
        <v>74</v>
      </c>
    </row>
    <row r="36594" spans="9:9" x14ac:dyDescent="0.2">
      <c r="I36594" s="137" t="s">
        <v>74</v>
      </c>
    </row>
    <row r="36595" spans="9:9" x14ac:dyDescent="0.2">
      <c r="I36595" s="137" t="s">
        <v>74</v>
      </c>
    </row>
    <row r="36596" spans="9:9" x14ac:dyDescent="0.2">
      <c r="I36596" s="137" t="s">
        <v>74</v>
      </c>
    </row>
    <row r="36597" spans="9:9" x14ac:dyDescent="0.2">
      <c r="I36597" s="137" t="s">
        <v>74</v>
      </c>
    </row>
    <row r="36598" spans="9:9" x14ac:dyDescent="0.2">
      <c r="I36598" s="137" t="s">
        <v>74</v>
      </c>
    </row>
    <row r="36599" spans="9:9" x14ac:dyDescent="0.2">
      <c r="I36599" s="137" t="s">
        <v>74</v>
      </c>
    </row>
    <row r="36600" spans="9:9" x14ac:dyDescent="0.2">
      <c r="I36600" s="137" t="s">
        <v>74</v>
      </c>
    </row>
    <row r="36601" spans="9:9" x14ac:dyDescent="0.2">
      <c r="I36601" s="137" t="s">
        <v>74</v>
      </c>
    </row>
    <row r="36602" spans="9:9" x14ac:dyDescent="0.2">
      <c r="I36602" s="137" t="s">
        <v>74</v>
      </c>
    </row>
    <row r="36603" spans="9:9" x14ac:dyDescent="0.2">
      <c r="I36603" s="137" t="s">
        <v>74</v>
      </c>
    </row>
    <row r="36604" spans="9:9" x14ac:dyDescent="0.2">
      <c r="I36604" s="137" t="s">
        <v>74</v>
      </c>
    </row>
    <row r="36605" spans="9:9" x14ac:dyDescent="0.2">
      <c r="I36605" s="137" t="s">
        <v>74</v>
      </c>
    </row>
    <row r="36606" spans="9:9" x14ac:dyDescent="0.2">
      <c r="I36606" s="137" t="s">
        <v>74</v>
      </c>
    </row>
    <row r="36607" spans="9:9" x14ac:dyDescent="0.2">
      <c r="I36607" s="137" t="s">
        <v>74</v>
      </c>
    </row>
    <row r="36608" spans="9:9" x14ac:dyDescent="0.2">
      <c r="I36608" s="137" t="s">
        <v>74</v>
      </c>
    </row>
    <row r="36609" spans="9:9" x14ac:dyDescent="0.2">
      <c r="I36609" s="137" t="s">
        <v>74</v>
      </c>
    </row>
    <row r="36610" spans="9:9" x14ac:dyDescent="0.2">
      <c r="I36610" s="137" t="s">
        <v>74</v>
      </c>
    </row>
    <row r="36611" spans="9:9" x14ac:dyDescent="0.2">
      <c r="I36611" s="137" t="s">
        <v>74</v>
      </c>
    </row>
    <row r="36612" spans="9:9" x14ac:dyDescent="0.2">
      <c r="I36612" s="137" t="s">
        <v>74</v>
      </c>
    </row>
    <row r="36613" spans="9:9" x14ac:dyDescent="0.2">
      <c r="I36613" s="137" t="s">
        <v>74</v>
      </c>
    </row>
    <row r="36614" spans="9:9" x14ac:dyDescent="0.2">
      <c r="I36614" s="137" t="s">
        <v>74</v>
      </c>
    </row>
    <row r="36615" spans="9:9" x14ac:dyDescent="0.2">
      <c r="I36615" s="137" t="s">
        <v>74</v>
      </c>
    </row>
    <row r="36616" spans="9:9" x14ac:dyDescent="0.2">
      <c r="I36616" s="137" t="s">
        <v>74</v>
      </c>
    </row>
    <row r="36617" spans="9:9" x14ac:dyDescent="0.2">
      <c r="I36617" s="137" t="s">
        <v>74</v>
      </c>
    </row>
    <row r="36618" spans="9:9" x14ac:dyDescent="0.2">
      <c r="I36618" s="137" t="s">
        <v>74</v>
      </c>
    </row>
    <row r="36619" spans="9:9" x14ac:dyDescent="0.2">
      <c r="I36619" s="137" t="s">
        <v>74</v>
      </c>
    </row>
    <row r="36620" spans="9:9" x14ac:dyDescent="0.2">
      <c r="I36620" s="137" t="s">
        <v>74</v>
      </c>
    </row>
    <row r="36621" spans="9:9" x14ac:dyDescent="0.2">
      <c r="I36621" s="137" t="s">
        <v>74</v>
      </c>
    </row>
    <row r="36622" spans="9:9" x14ac:dyDescent="0.2">
      <c r="I36622" s="137" t="s">
        <v>74</v>
      </c>
    </row>
    <row r="36623" spans="9:9" x14ac:dyDescent="0.2">
      <c r="I36623" s="137" t="s">
        <v>74</v>
      </c>
    </row>
    <row r="36624" spans="9:9" x14ac:dyDescent="0.2">
      <c r="I36624" s="137" t="s">
        <v>74</v>
      </c>
    </row>
    <row r="36625" spans="9:9" x14ac:dyDescent="0.2">
      <c r="I36625" s="137" t="s">
        <v>74</v>
      </c>
    </row>
    <row r="36626" spans="9:9" x14ac:dyDescent="0.2">
      <c r="I36626" s="137" t="s">
        <v>74</v>
      </c>
    </row>
    <row r="36627" spans="9:9" x14ac:dyDescent="0.2">
      <c r="I36627" s="137" t="s">
        <v>74</v>
      </c>
    </row>
    <row r="36628" spans="9:9" x14ac:dyDescent="0.2">
      <c r="I36628" s="137" t="s">
        <v>74</v>
      </c>
    </row>
    <row r="36629" spans="9:9" x14ac:dyDescent="0.2">
      <c r="I36629" s="137" t="s">
        <v>74</v>
      </c>
    </row>
    <row r="36630" spans="9:9" x14ac:dyDescent="0.2">
      <c r="I36630" s="137" t="s">
        <v>74</v>
      </c>
    </row>
    <row r="36631" spans="9:9" x14ac:dyDescent="0.2">
      <c r="I36631" s="137" t="s">
        <v>74</v>
      </c>
    </row>
    <row r="36632" spans="9:9" x14ac:dyDescent="0.2">
      <c r="I36632" s="137" t="s">
        <v>74</v>
      </c>
    </row>
    <row r="36633" spans="9:9" x14ac:dyDescent="0.2">
      <c r="I36633" s="137" t="s">
        <v>74</v>
      </c>
    </row>
    <row r="36634" spans="9:9" x14ac:dyDescent="0.2">
      <c r="I36634" s="137" t="s">
        <v>74</v>
      </c>
    </row>
    <row r="36635" spans="9:9" x14ac:dyDescent="0.2">
      <c r="I36635" s="137" t="s">
        <v>74</v>
      </c>
    </row>
    <row r="36636" spans="9:9" x14ac:dyDescent="0.2">
      <c r="I36636" s="137" t="s">
        <v>74</v>
      </c>
    </row>
    <row r="36637" spans="9:9" x14ac:dyDescent="0.2">
      <c r="I36637" s="137" t="s">
        <v>74</v>
      </c>
    </row>
    <row r="36638" spans="9:9" x14ac:dyDescent="0.2">
      <c r="I36638" s="137" t="s">
        <v>74</v>
      </c>
    </row>
    <row r="36639" spans="9:9" x14ac:dyDescent="0.2">
      <c r="I36639" s="137" t="s">
        <v>74</v>
      </c>
    </row>
    <row r="36640" spans="9:9" x14ac:dyDescent="0.2">
      <c r="I36640" s="137" t="s">
        <v>74</v>
      </c>
    </row>
    <row r="36641" spans="9:9" x14ac:dyDescent="0.2">
      <c r="I36641" s="137" t="s">
        <v>74</v>
      </c>
    </row>
    <row r="36642" spans="9:9" x14ac:dyDescent="0.2">
      <c r="I36642" s="137" t="s">
        <v>74</v>
      </c>
    </row>
    <row r="36643" spans="9:9" x14ac:dyDescent="0.2">
      <c r="I36643" s="137" t="s">
        <v>74</v>
      </c>
    </row>
    <row r="36644" spans="9:9" x14ac:dyDescent="0.2">
      <c r="I36644" s="137" t="s">
        <v>74</v>
      </c>
    </row>
    <row r="36645" spans="9:9" x14ac:dyDescent="0.2">
      <c r="I36645" s="137" t="s">
        <v>74</v>
      </c>
    </row>
    <row r="36646" spans="9:9" x14ac:dyDescent="0.2">
      <c r="I36646" s="137" t="s">
        <v>74</v>
      </c>
    </row>
    <row r="36647" spans="9:9" x14ac:dyDescent="0.2">
      <c r="I36647" s="137" t="s">
        <v>74</v>
      </c>
    </row>
    <row r="36648" spans="9:9" x14ac:dyDescent="0.2">
      <c r="I36648" s="137" t="s">
        <v>74</v>
      </c>
    </row>
    <row r="36649" spans="9:9" x14ac:dyDescent="0.2">
      <c r="I36649" s="137" t="s">
        <v>74</v>
      </c>
    </row>
    <row r="36650" spans="9:9" x14ac:dyDescent="0.2">
      <c r="I36650" s="137" t="s">
        <v>74</v>
      </c>
    </row>
    <row r="36651" spans="9:9" x14ac:dyDescent="0.2">
      <c r="I36651" s="137" t="s">
        <v>74</v>
      </c>
    </row>
    <row r="36652" spans="9:9" x14ac:dyDescent="0.2">
      <c r="I36652" s="137" t="s">
        <v>74</v>
      </c>
    </row>
    <row r="36653" spans="9:9" x14ac:dyDescent="0.2">
      <c r="I36653" s="137" t="s">
        <v>74</v>
      </c>
    </row>
    <row r="36654" spans="9:9" x14ac:dyDescent="0.2">
      <c r="I36654" s="137" t="s">
        <v>74</v>
      </c>
    </row>
    <row r="36655" spans="9:9" x14ac:dyDescent="0.2">
      <c r="I36655" s="137" t="s">
        <v>74</v>
      </c>
    </row>
    <row r="36656" spans="9:9" x14ac:dyDescent="0.2">
      <c r="I36656" s="137" t="s">
        <v>74</v>
      </c>
    </row>
    <row r="36657" spans="9:9" x14ac:dyDescent="0.2">
      <c r="I36657" s="137" t="s">
        <v>74</v>
      </c>
    </row>
    <row r="36658" spans="9:9" x14ac:dyDescent="0.2">
      <c r="I36658" s="137" t="s">
        <v>74</v>
      </c>
    </row>
    <row r="36659" spans="9:9" x14ac:dyDescent="0.2">
      <c r="I36659" s="137" t="s">
        <v>74</v>
      </c>
    </row>
    <row r="36660" spans="9:9" x14ac:dyDescent="0.2">
      <c r="I36660" s="137" t="s">
        <v>74</v>
      </c>
    </row>
    <row r="36661" spans="9:9" x14ac:dyDescent="0.2">
      <c r="I36661" s="137" t="s">
        <v>74</v>
      </c>
    </row>
    <row r="36662" spans="9:9" x14ac:dyDescent="0.2">
      <c r="I36662" s="137" t="s">
        <v>74</v>
      </c>
    </row>
    <row r="36663" spans="9:9" x14ac:dyDescent="0.2">
      <c r="I36663" s="137" t="s">
        <v>74</v>
      </c>
    </row>
    <row r="36664" spans="9:9" x14ac:dyDescent="0.2">
      <c r="I36664" s="137" t="s">
        <v>74</v>
      </c>
    </row>
    <row r="36665" spans="9:9" x14ac:dyDescent="0.2">
      <c r="I36665" s="137" t="s">
        <v>74</v>
      </c>
    </row>
    <row r="36666" spans="9:9" x14ac:dyDescent="0.2">
      <c r="I36666" s="137" t="s">
        <v>74</v>
      </c>
    </row>
    <row r="36667" spans="9:9" x14ac:dyDescent="0.2">
      <c r="I36667" s="137" t="s">
        <v>74</v>
      </c>
    </row>
    <row r="36668" spans="9:9" x14ac:dyDescent="0.2">
      <c r="I36668" s="137" t="s">
        <v>74</v>
      </c>
    </row>
    <row r="36669" spans="9:9" x14ac:dyDescent="0.2">
      <c r="I36669" s="137" t="s">
        <v>74</v>
      </c>
    </row>
    <row r="36670" spans="9:9" x14ac:dyDescent="0.2">
      <c r="I36670" s="137" t="s">
        <v>74</v>
      </c>
    </row>
    <row r="36671" spans="9:9" x14ac:dyDescent="0.2">
      <c r="I36671" s="137" t="s">
        <v>74</v>
      </c>
    </row>
    <row r="36672" spans="9:9" x14ac:dyDescent="0.2">
      <c r="I36672" s="137" t="s">
        <v>74</v>
      </c>
    </row>
    <row r="36673" spans="9:9" x14ac:dyDescent="0.2">
      <c r="I36673" s="137" t="s">
        <v>74</v>
      </c>
    </row>
    <row r="36674" spans="9:9" x14ac:dyDescent="0.2">
      <c r="I36674" s="137" t="s">
        <v>74</v>
      </c>
    </row>
    <row r="36675" spans="9:9" x14ac:dyDescent="0.2">
      <c r="I36675" s="137" t="s">
        <v>74</v>
      </c>
    </row>
    <row r="36676" spans="9:9" x14ac:dyDescent="0.2">
      <c r="I36676" s="137" t="s">
        <v>74</v>
      </c>
    </row>
    <row r="36677" spans="9:9" x14ac:dyDescent="0.2">
      <c r="I36677" s="137" t="s">
        <v>74</v>
      </c>
    </row>
    <row r="36678" spans="9:9" x14ac:dyDescent="0.2">
      <c r="I36678" s="137" t="s">
        <v>74</v>
      </c>
    </row>
    <row r="36679" spans="9:9" x14ac:dyDescent="0.2">
      <c r="I36679" s="137" t="s">
        <v>74</v>
      </c>
    </row>
    <row r="36680" spans="9:9" x14ac:dyDescent="0.2">
      <c r="I36680" s="137" t="s">
        <v>74</v>
      </c>
    </row>
    <row r="36681" spans="9:9" x14ac:dyDescent="0.2">
      <c r="I36681" s="137" t="s">
        <v>74</v>
      </c>
    </row>
    <row r="36682" spans="9:9" x14ac:dyDescent="0.2">
      <c r="I36682" s="137" t="s">
        <v>74</v>
      </c>
    </row>
    <row r="36683" spans="9:9" x14ac:dyDescent="0.2">
      <c r="I36683" s="137" t="s">
        <v>74</v>
      </c>
    </row>
    <row r="36684" spans="9:9" x14ac:dyDescent="0.2">
      <c r="I36684" s="137" t="s">
        <v>74</v>
      </c>
    </row>
    <row r="36685" spans="9:9" x14ac:dyDescent="0.2">
      <c r="I36685" s="137" t="s">
        <v>74</v>
      </c>
    </row>
    <row r="36686" spans="9:9" x14ac:dyDescent="0.2">
      <c r="I36686" s="137" t="s">
        <v>74</v>
      </c>
    </row>
    <row r="36687" spans="9:9" x14ac:dyDescent="0.2">
      <c r="I36687" s="137" t="s">
        <v>74</v>
      </c>
    </row>
    <row r="36688" spans="9:9" x14ac:dyDescent="0.2">
      <c r="I36688" s="137" t="s">
        <v>74</v>
      </c>
    </row>
    <row r="36689" spans="9:9" x14ac:dyDescent="0.2">
      <c r="I36689" s="137" t="s">
        <v>74</v>
      </c>
    </row>
    <row r="36690" spans="9:9" x14ac:dyDescent="0.2">
      <c r="I36690" s="137" t="s">
        <v>74</v>
      </c>
    </row>
    <row r="36691" spans="9:9" x14ac:dyDescent="0.2">
      <c r="I36691" s="137" t="s">
        <v>74</v>
      </c>
    </row>
    <row r="36692" spans="9:9" x14ac:dyDescent="0.2">
      <c r="I36692" s="137" t="s">
        <v>74</v>
      </c>
    </row>
    <row r="36693" spans="9:9" x14ac:dyDescent="0.2">
      <c r="I36693" s="137" t="s">
        <v>74</v>
      </c>
    </row>
    <row r="36694" spans="9:9" x14ac:dyDescent="0.2">
      <c r="I36694" s="137" t="s">
        <v>74</v>
      </c>
    </row>
    <row r="36695" spans="9:9" x14ac:dyDescent="0.2">
      <c r="I36695" s="137" t="s">
        <v>74</v>
      </c>
    </row>
    <row r="36696" spans="9:9" x14ac:dyDescent="0.2">
      <c r="I36696" s="137" t="s">
        <v>74</v>
      </c>
    </row>
    <row r="36697" spans="9:9" x14ac:dyDescent="0.2">
      <c r="I36697" s="137" t="s">
        <v>74</v>
      </c>
    </row>
    <row r="36698" spans="9:9" x14ac:dyDescent="0.2">
      <c r="I36698" s="137" t="s">
        <v>74</v>
      </c>
    </row>
    <row r="36699" spans="9:9" x14ac:dyDescent="0.2">
      <c r="I36699" s="137" t="s">
        <v>74</v>
      </c>
    </row>
    <row r="36700" spans="9:9" x14ac:dyDescent="0.2">
      <c r="I36700" s="137" t="s">
        <v>74</v>
      </c>
    </row>
    <row r="36701" spans="9:9" x14ac:dyDescent="0.2">
      <c r="I36701" s="137" t="s">
        <v>74</v>
      </c>
    </row>
    <row r="36702" spans="9:9" x14ac:dyDescent="0.2">
      <c r="I36702" s="137" t="s">
        <v>74</v>
      </c>
    </row>
    <row r="36703" spans="9:9" x14ac:dyDescent="0.2">
      <c r="I36703" s="137" t="s">
        <v>74</v>
      </c>
    </row>
    <row r="36704" spans="9:9" x14ac:dyDescent="0.2">
      <c r="I36704" s="137" t="s">
        <v>74</v>
      </c>
    </row>
    <row r="36705" spans="9:9" x14ac:dyDescent="0.2">
      <c r="I36705" s="137" t="s">
        <v>74</v>
      </c>
    </row>
    <row r="36706" spans="9:9" x14ac:dyDescent="0.2">
      <c r="I36706" s="137" t="s">
        <v>74</v>
      </c>
    </row>
    <row r="36707" spans="9:9" x14ac:dyDescent="0.2">
      <c r="I36707" s="137" t="s">
        <v>74</v>
      </c>
    </row>
    <row r="36708" spans="9:9" x14ac:dyDescent="0.2">
      <c r="I36708" s="137" t="s">
        <v>74</v>
      </c>
    </row>
    <row r="36709" spans="9:9" x14ac:dyDescent="0.2">
      <c r="I36709" s="137" t="s">
        <v>74</v>
      </c>
    </row>
    <row r="36710" spans="9:9" x14ac:dyDescent="0.2">
      <c r="I36710" s="137" t="s">
        <v>74</v>
      </c>
    </row>
    <row r="36711" spans="9:9" x14ac:dyDescent="0.2">
      <c r="I36711" s="137" t="s">
        <v>74</v>
      </c>
    </row>
    <row r="36712" spans="9:9" x14ac:dyDescent="0.2">
      <c r="I36712" s="137" t="s">
        <v>74</v>
      </c>
    </row>
    <row r="36713" spans="9:9" x14ac:dyDescent="0.2">
      <c r="I36713" s="137" t="s">
        <v>74</v>
      </c>
    </row>
    <row r="36714" spans="9:9" x14ac:dyDescent="0.2">
      <c r="I36714" s="137" t="s">
        <v>74</v>
      </c>
    </row>
    <row r="36715" spans="9:9" x14ac:dyDescent="0.2">
      <c r="I36715" s="137" t="s">
        <v>74</v>
      </c>
    </row>
    <row r="36716" spans="9:9" x14ac:dyDescent="0.2">
      <c r="I36716" s="137" t="s">
        <v>74</v>
      </c>
    </row>
    <row r="36717" spans="9:9" x14ac:dyDescent="0.2">
      <c r="I36717" s="137" t="s">
        <v>74</v>
      </c>
    </row>
    <row r="36718" spans="9:9" x14ac:dyDescent="0.2">
      <c r="I36718" s="137" t="s">
        <v>74</v>
      </c>
    </row>
    <row r="36719" spans="9:9" x14ac:dyDescent="0.2">
      <c r="I36719" s="137" t="s">
        <v>74</v>
      </c>
    </row>
    <row r="36720" spans="9:9" x14ac:dyDescent="0.2">
      <c r="I36720" s="137" t="s">
        <v>74</v>
      </c>
    </row>
    <row r="36721" spans="9:9" x14ac:dyDescent="0.2">
      <c r="I36721" s="137" t="s">
        <v>74</v>
      </c>
    </row>
    <row r="36722" spans="9:9" x14ac:dyDescent="0.2">
      <c r="I36722" s="137" t="s">
        <v>74</v>
      </c>
    </row>
    <row r="36723" spans="9:9" x14ac:dyDescent="0.2">
      <c r="I36723" s="137" t="s">
        <v>74</v>
      </c>
    </row>
    <row r="36724" spans="9:9" x14ac:dyDescent="0.2">
      <c r="I36724" s="137" t="s">
        <v>74</v>
      </c>
    </row>
    <row r="36725" spans="9:9" x14ac:dyDescent="0.2">
      <c r="I36725" s="137" t="s">
        <v>74</v>
      </c>
    </row>
    <row r="36726" spans="9:9" x14ac:dyDescent="0.2">
      <c r="I36726" s="137" t="s">
        <v>74</v>
      </c>
    </row>
    <row r="36727" spans="9:9" x14ac:dyDescent="0.2">
      <c r="I36727" s="137" t="s">
        <v>74</v>
      </c>
    </row>
    <row r="36728" spans="9:9" x14ac:dyDescent="0.2">
      <c r="I36728" s="137" t="s">
        <v>74</v>
      </c>
    </row>
    <row r="36729" spans="9:9" x14ac:dyDescent="0.2">
      <c r="I36729" s="137" t="s">
        <v>74</v>
      </c>
    </row>
    <row r="36730" spans="9:9" x14ac:dyDescent="0.2">
      <c r="I36730" s="137" t="s">
        <v>74</v>
      </c>
    </row>
    <row r="36731" spans="9:9" x14ac:dyDescent="0.2">
      <c r="I36731" s="137" t="s">
        <v>74</v>
      </c>
    </row>
    <row r="36732" spans="9:9" x14ac:dyDescent="0.2">
      <c r="I36732" s="137" t="s">
        <v>74</v>
      </c>
    </row>
    <row r="36733" spans="9:9" x14ac:dyDescent="0.2">
      <c r="I36733" s="137" t="s">
        <v>74</v>
      </c>
    </row>
    <row r="36734" spans="9:9" x14ac:dyDescent="0.2">
      <c r="I36734" s="137" t="s">
        <v>74</v>
      </c>
    </row>
    <row r="36735" spans="9:9" x14ac:dyDescent="0.2">
      <c r="I36735" s="137" t="s">
        <v>74</v>
      </c>
    </row>
    <row r="36736" spans="9:9" x14ac:dyDescent="0.2">
      <c r="I36736" s="137" t="s">
        <v>74</v>
      </c>
    </row>
    <row r="36737" spans="9:9" x14ac:dyDescent="0.2">
      <c r="I36737" s="137" t="s">
        <v>74</v>
      </c>
    </row>
    <row r="36738" spans="9:9" x14ac:dyDescent="0.2">
      <c r="I36738" s="137" t="s">
        <v>74</v>
      </c>
    </row>
    <row r="36739" spans="9:9" x14ac:dyDescent="0.2">
      <c r="I36739" s="137" t="s">
        <v>74</v>
      </c>
    </row>
    <row r="36740" spans="9:9" x14ac:dyDescent="0.2">
      <c r="I36740" s="137" t="s">
        <v>74</v>
      </c>
    </row>
    <row r="36741" spans="9:9" x14ac:dyDescent="0.2">
      <c r="I36741" s="137" t="s">
        <v>74</v>
      </c>
    </row>
    <row r="36742" spans="9:9" x14ac:dyDescent="0.2">
      <c r="I36742" s="137" t="s">
        <v>74</v>
      </c>
    </row>
    <row r="36743" spans="9:9" x14ac:dyDescent="0.2">
      <c r="I36743" s="137" t="s">
        <v>74</v>
      </c>
    </row>
    <row r="36744" spans="9:9" x14ac:dyDescent="0.2">
      <c r="I36744" s="137" t="s">
        <v>74</v>
      </c>
    </row>
    <row r="36745" spans="9:9" x14ac:dyDescent="0.2">
      <c r="I36745" s="137" t="s">
        <v>74</v>
      </c>
    </row>
    <row r="36746" spans="9:9" x14ac:dyDescent="0.2">
      <c r="I36746" s="137" t="s">
        <v>74</v>
      </c>
    </row>
    <row r="36747" spans="9:9" x14ac:dyDescent="0.2">
      <c r="I36747" s="137" t="s">
        <v>74</v>
      </c>
    </row>
    <row r="36748" spans="9:9" x14ac:dyDescent="0.2">
      <c r="I36748" s="137" t="s">
        <v>74</v>
      </c>
    </row>
    <row r="36749" spans="9:9" x14ac:dyDescent="0.2">
      <c r="I36749" s="137" t="s">
        <v>74</v>
      </c>
    </row>
    <row r="36750" spans="9:9" x14ac:dyDescent="0.2">
      <c r="I36750" s="137" t="s">
        <v>74</v>
      </c>
    </row>
    <row r="36751" spans="9:9" x14ac:dyDescent="0.2">
      <c r="I36751" s="137" t="s">
        <v>74</v>
      </c>
    </row>
    <row r="36752" spans="9:9" x14ac:dyDescent="0.2">
      <c r="I36752" s="137" t="s">
        <v>74</v>
      </c>
    </row>
    <row r="36753" spans="9:9" x14ac:dyDescent="0.2">
      <c r="I36753" s="137" t="s">
        <v>74</v>
      </c>
    </row>
    <row r="36754" spans="9:9" x14ac:dyDescent="0.2">
      <c r="I36754" s="137" t="s">
        <v>74</v>
      </c>
    </row>
    <row r="36755" spans="9:9" x14ac:dyDescent="0.2">
      <c r="I36755" s="137" t="s">
        <v>74</v>
      </c>
    </row>
    <row r="36756" spans="9:9" x14ac:dyDescent="0.2">
      <c r="I36756" s="137" t="s">
        <v>74</v>
      </c>
    </row>
    <row r="36757" spans="9:9" x14ac:dyDescent="0.2">
      <c r="I36757" s="137" t="s">
        <v>74</v>
      </c>
    </row>
    <row r="36758" spans="9:9" x14ac:dyDescent="0.2">
      <c r="I36758" s="137" t="s">
        <v>74</v>
      </c>
    </row>
    <row r="36759" spans="9:9" x14ac:dyDescent="0.2">
      <c r="I36759" s="137" t="s">
        <v>74</v>
      </c>
    </row>
    <row r="36760" spans="9:9" x14ac:dyDescent="0.2">
      <c r="I36760" s="137" t="s">
        <v>74</v>
      </c>
    </row>
    <row r="36761" spans="9:9" x14ac:dyDescent="0.2">
      <c r="I36761" s="137" t="s">
        <v>74</v>
      </c>
    </row>
    <row r="36762" spans="9:9" x14ac:dyDescent="0.2">
      <c r="I36762" s="137" t="s">
        <v>74</v>
      </c>
    </row>
    <row r="36763" spans="9:9" x14ac:dyDescent="0.2">
      <c r="I36763" s="137" t="s">
        <v>74</v>
      </c>
    </row>
    <row r="36764" spans="9:9" x14ac:dyDescent="0.2">
      <c r="I36764" s="137" t="s">
        <v>74</v>
      </c>
    </row>
    <row r="36765" spans="9:9" x14ac:dyDescent="0.2">
      <c r="I36765" s="137" t="s">
        <v>74</v>
      </c>
    </row>
    <row r="36766" spans="9:9" x14ac:dyDescent="0.2">
      <c r="I36766" s="137" t="s">
        <v>74</v>
      </c>
    </row>
    <row r="36767" spans="9:9" x14ac:dyDescent="0.2">
      <c r="I36767" s="137" t="s">
        <v>74</v>
      </c>
    </row>
    <row r="36768" spans="9:9" x14ac:dyDescent="0.2">
      <c r="I36768" s="137" t="s">
        <v>74</v>
      </c>
    </row>
    <row r="36769" spans="9:9" x14ac:dyDescent="0.2">
      <c r="I36769" s="137" t="s">
        <v>74</v>
      </c>
    </row>
    <row r="36770" spans="9:9" x14ac:dyDescent="0.2">
      <c r="I36770" s="137" t="s">
        <v>74</v>
      </c>
    </row>
    <row r="36771" spans="9:9" x14ac:dyDescent="0.2">
      <c r="I36771" s="137" t="s">
        <v>74</v>
      </c>
    </row>
    <row r="36772" spans="9:9" x14ac:dyDescent="0.2">
      <c r="I36772" s="137" t="s">
        <v>74</v>
      </c>
    </row>
    <row r="36773" spans="9:9" x14ac:dyDescent="0.2">
      <c r="I36773" s="137" t="s">
        <v>74</v>
      </c>
    </row>
    <row r="36774" spans="9:9" x14ac:dyDescent="0.2">
      <c r="I36774" s="137" t="s">
        <v>74</v>
      </c>
    </row>
    <row r="36775" spans="9:9" x14ac:dyDescent="0.2">
      <c r="I36775" s="137" t="s">
        <v>74</v>
      </c>
    </row>
    <row r="36776" spans="9:9" x14ac:dyDescent="0.2">
      <c r="I36776" s="137" t="s">
        <v>74</v>
      </c>
    </row>
    <row r="36777" spans="9:9" x14ac:dyDescent="0.2">
      <c r="I36777" s="137" t="s">
        <v>74</v>
      </c>
    </row>
    <row r="36778" spans="9:9" x14ac:dyDescent="0.2">
      <c r="I36778" s="137" t="s">
        <v>74</v>
      </c>
    </row>
    <row r="36779" spans="9:9" x14ac:dyDescent="0.2">
      <c r="I36779" s="137" t="s">
        <v>74</v>
      </c>
    </row>
    <row r="36780" spans="9:9" x14ac:dyDescent="0.2">
      <c r="I36780" s="137" t="s">
        <v>74</v>
      </c>
    </row>
    <row r="36781" spans="9:9" x14ac:dyDescent="0.2">
      <c r="I36781" s="137" t="s">
        <v>74</v>
      </c>
    </row>
    <row r="36782" spans="9:9" x14ac:dyDescent="0.2">
      <c r="I36782" s="137" t="s">
        <v>74</v>
      </c>
    </row>
    <row r="36783" spans="9:9" x14ac:dyDescent="0.2">
      <c r="I36783" s="137" t="s">
        <v>74</v>
      </c>
    </row>
    <row r="36784" spans="9:9" x14ac:dyDescent="0.2">
      <c r="I36784" s="137" t="s">
        <v>74</v>
      </c>
    </row>
    <row r="36785" spans="9:9" x14ac:dyDescent="0.2">
      <c r="I36785" s="137" t="s">
        <v>74</v>
      </c>
    </row>
    <row r="36786" spans="9:9" x14ac:dyDescent="0.2">
      <c r="I36786" s="137" t="s">
        <v>74</v>
      </c>
    </row>
    <row r="36787" spans="9:9" x14ac:dyDescent="0.2">
      <c r="I36787" s="137" t="s">
        <v>74</v>
      </c>
    </row>
    <row r="36788" spans="9:9" x14ac:dyDescent="0.2">
      <c r="I36788" s="137" t="s">
        <v>74</v>
      </c>
    </row>
    <row r="36789" spans="9:9" x14ac:dyDescent="0.2">
      <c r="I36789" s="137" t="s">
        <v>74</v>
      </c>
    </row>
    <row r="36790" spans="9:9" x14ac:dyDescent="0.2">
      <c r="I36790" s="137" t="s">
        <v>74</v>
      </c>
    </row>
    <row r="36791" spans="9:9" x14ac:dyDescent="0.2">
      <c r="I36791" s="137" t="s">
        <v>74</v>
      </c>
    </row>
    <row r="36792" spans="9:9" x14ac:dyDescent="0.2">
      <c r="I36792" s="137" t="s">
        <v>74</v>
      </c>
    </row>
    <row r="36793" spans="9:9" x14ac:dyDescent="0.2">
      <c r="I36793" s="137" t="s">
        <v>74</v>
      </c>
    </row>
    <row r="36794" spans="9:9" x14ac:dyDescent="0.2">
      <c r="I36794" s="137" t="s">
        <v>74</v>
      </c>
    </row>
    <row r="36795" spans="9:9" x14ac:dyDescent="0.2">
      <c r="I36795" s="137" t="s">
        <v>74</v>
      </c>
    </row>
    <row r="36796" spans="9:9" x14ac:dyDescent="0.2">
      <c r="I36796" s="137" t="s">
        <v>74</v>
      </c>
    </row>
    <row r="36797" spans="9:9" x14ac:dyDescent="0.2">
      <c r="I36797" s="137" t="s">
        <v>74</v>
      </c>
    </row>
    <row r="36798" spans="9:9" x14ac:dyDescent="0.2">
      <c r="I36798" s="137" t="s">
        <v>74</v>
      </c>
    </row>
    <row r="36799" spans="9:9" x14ac:dyDescent="0.2">
      <c r="I36799" s="137" t="s">
        <v>74</v>
      </c>
    </row>
    <row r="36800" spans="9:9" x14ac:dyDescent="0.2">
      <c r="I36800" s="137" t="s">
        <v>74</v>
      </c>
    </row>
    <row r="36801" spans="9:9" x14ac:dyDescent="0.2">
      <c r="I36801" s="137" t="s">
        <v>74</v>
      </c>
    </row>
    <row r="36802" spans="9:9" x14ac:dyDescent="0.2">
      <c r="I36802" s="137" t="s">
        <v>74</v>
      </c>
    </row>
    <row r="36803" spans="9:9" x14ac:dyDescent="0.2">
      <c r="I36803" s="137" t="s">
        <v>74</v>
      </c>
    </row>
    <row r="36804" spans="9:9" x14ac:dyDescent="0.2">
      <c r="I36804" s="137" t="s">
        <v>74</v>
      </c>
    </row>
    <row r="36805" spans="9:9" x14ac:dyDescent="0.2">
      <c r="I36805" s="137" t="s">
        <v>74</v>
      </c>
    </row>
    <row r="36806" spans="9:9" x14ac:dyDescent="0.2">
      <c r="I36806" s="137" t="s">
        <v>74</v>
      </c>
    </row>
    <row r="36807" spans="9:9" x14ac:dyDescent="0.2">
      <c r="I36807" s="137" t="s">
        <v>74</v>
      </c>
    </row>
    <row r="36808" spans="9:9" x14ac:dyDescent="0.2">
      <c r="I36808" s="137" t="s">
        <v>74</v>
      </c>
    </row>
    <row r="36809" spans="9:9" x14ac:dyDescent="0.2">
      <c r="I36809" s="137" t="s">
        <v>74</v>
      </c>
    </row>
    <row r="36810" spans="9:9" x14ac:dyDescent="0.2">
      <c r="I36810" s="137" t="s">
        <v>74</v>
      </c>
    </row>
    <row r="36811" spans="9:9" x14ac:dyDescent="0.2">
      <c r="I36811" s="137" t="s">
        <v>74</v>
      </c>
    </row>
    <row r="36812" spans="9:9" x14ac:dyDescent="0.2">
      <c r="I36812" s="137" t="s">
        <v>74</v>
      </c>
    </row>
    <row r="36813" spans="9:9" x14ac:dyDescent="0.2">
      <c r="I36813" s="137" t="s">
        <v>74</v>
      </c>
    </row>
    <row r="36814" spans="9:9" x14ac:dyDescent="0.2">
      <c r="I36814" s="137" t="s">
        <v>74</v>
      </c>
    </row>
    <row r="36815" spans="9:9" x14ac:dyDescent="0.2">
      <c r="I36815" s="137" t="s">
        <v>74</v>
      </c>
    </row>
    <row r="36816" spans="9:9" x14ac:dyDescent="0.2">
      <c r="I36816" s="137" t="s">
        <v>74</v>
      </c>
    </row>
    <row r="36817" spans="9:9" x14ac:dyDescent="0.2">
      <c r="I36817" s="137" t="s">
        <v>74</v>
      </c>
    </row>
    <row r="36818" spans="9:9" x14ac:dyDescent="0.2">
      <c r="I36818" s="137" t="s">
        <v>74</v>
      </c>
    </row>
    <row r="36819" spans="9:9" x14ac:dyDescent="0.2">
      <c r="I36819" s="137" t="s">
        <v>74</v>
      </c>
    </row>
    <row r="36820" spans="9:9" x14ac:dyDescent="0.2">
      <c r="I36820" s="137" t="s">
        <v>74</v>
      </c>
    </row>
    <row r="36821" spans="9:9" x14ac:dyDescent="0.2">
      <c r="I36821" s="137" t="s">
        <v>74</v>
      </c>
    </row>
    <row r="36822" spans="9:9" x14ac:dyDescent="0.2">
      <c r="I36822" s="137" t="s">
        <v>74</v>
      </c>
    </row>
    <row r="36823" spans="9:9" x14ac:dyDescent="0.2">
      <c r="I36823" s="137" t="s">
        <v>74</v>
      </c>
    </row>
    <row r="36824" spans="9:9" x14ac:dyDescent="0.2">
      <c r="I36824" s="137" t="s">
        <v>74</v>
      </c>
    </row>
    <row r="36825" spans="9:9" x14ac:dyDescent="0.2">
      <c r="I36825" s="137" t="s">
        <v>74</v>
      </c>
    </row>
    <row r="36826" spans="9:9" x14ac:dyDescent="0.2">
      <c r="I36826" s="137" t="s">
        <v>74</v>
      </c>
    </row>
    <row r="36827" spans="9:9" x14ac:dyDescent="0.2">
      <c r="I36827" s="137" t="s">
        <v>74</v>
      </c>
    </row>
    <row r="36828" spans="9:9" x14ac:dyDescent="0.2">
      <c r="I36828" s="137" t="s">
        <v>74</v>
      </c>
    </row>
    <row r="36829" spans="9:9" x14ac:dyDescent="0.2">
      <c r="I36829" s="137" t="s">
        <v>74</v>
      </c>
    </row>
    <row r="36830" spans="9:9" x14ac:dyDescent="0.2">
      <c r="I36830" s="137" t="s">
        <v>74</v>
      </c>
    </row>
    <row r="36831" spans="9:9" x14ac:dyDescent="0.2">
      <c r="I36831" s="137" t="s">
        <v>74</v>
      </c>
    </row>
    <row r="36832" spans="9:9" x14ac:dyDescent="0.2">
      <c r="I36832" s="137" t="s">
        <v>74</v>
      </c>
    </row>
    <row r="36833" spans="9:9" x14ac:dyDescent="0.2">
      <c r="I36833" s="137" t="s">
        <v>74</v>
      </c>
    </row>
    <row r="36834" spans="9:9" x14ac:dyDescent="0.2">
      <c r="I36834" s="137" t="s">
        <v>74</v>
      </c>
    </row>
    <row r="36835" spans="9:9" x14ac:dyDescent="0.2">
      <c r="I36835" s="137" t="s">
        <v>74</v>
      </c>
    </row>
    <row r="36836" spans="9:9" x14ac:dyDescent="0.2">
      <c r="I36836" s="137" t="s">
        <v>74</v>
      </c>
    </row>
    <row r="36837" spans="9:9" x14ac:dyDescent="0.2">
      <c r="I36837" s="137" t="s">
        <v>74</v>
      </c>
    </row>
    <row r="36838" spans="9:9" x14ac:dyDescent="0.2">
      <c r="I36838" s="137" t="s">
        <v>74</v>
      </c>
    </row>
    <row r="36839" spans="9:9" x14ac:dyDescent="0.2">
      <c r="I36839" s="137" t="s">
        <v>74</v>
      </c>
    </row>
    <row r="36840" spans="9:9" x14ac:dyDescent="0.2">
      <c r="I36840" s="137" t="s">
        <v>74</v>
      </c>
    </row>
    <row r="36841" spans="9:9" x14ac:dyDescent="0.2">
      <c r="I36841" s="137" t="s">
        <v>74</v>
      </c>
    </row>
    <row r="36842" spans="9:9" x14ac:dyDescent="0.2">
      <c r="I36842" s="137" t="s">
        <v>74</v>
      </c>
    </row>
    <row r="36843" spans="9:9" x14ac:dyDescent="0.2">
      <c r="I36843" s="137" t="s">
        <v>74</v>
      </c>
    </row>
    <row r="36844" spans="9:9" x14ac:dyDescent="0.2">
      <c r="I36844" s="137" t="s">
        <v>74</v>
      </c>
    </row>
    <row r="36845" spans="9:9" x14ac:dyDescent="0.2">
      <c r="I36845" s="137" t="s">
        <v>74</v>
      </c>
    </row>
    <row r="36846" spans="9:9" x14ac:dyDescent="0.2">
      <c r="I36846" s="137" t="s">
        <v>74</v>
      </c>
    </row>
    <row r="36847" spans="9:9" x14ac:dyDescent="0.2">
      <c r="I36847" s="137" t="s">
        <v>74</v>
      </c>
    </row>
    <row r="36848" spans="9:9" x14ac:dyDescent="0.2">
      <c r="I36848" s="137" t="s">
        <v>74</v>
      </c>
    </row>
    <row r="36849" spans="9:9" x14ac:dyDescent="0.2">
      <c r="I36849" s="137" t="s">
        <v>74</v>
      </c>
    </row>
    <row r="36850" spans="9:9" x14ac:dyDescent="0.2">
      <c r="I36850" s="137" t="s">
        <v>74</v>
      </c>
    </row>
    <row r="36851" spans="9:9" x14ac:dyDescent="0.2">
      <c r="I36851" s="137" t="s">
        <v>74</v>
      </c>
    </row>
    <row r="36852" spans="9:9" x14ac:dyDescent="0.2">
      <c r="I36852" s="137" t="s">
        <v>74</v>
      </c>
    </row>
    <row r="36853" spans="9:9" x14ac:dyDescent="0.2">
      <c r="I36853" s="137" t="s">
        <v>74</v>
      </c>
    </row>
    <row r="36854" spans="9:9" x14ac:dyDescent="0.2">
      <c r="I36854" s="137" t="s">
        <v>74</v>
      </c>
    </row>
    <row r="36855" spans="9:9" x14ac:dyDescent="0.2">
      <c r="I36855" s="137" t="s">
        <v>74</v>
      </c>
    </row>
    <row r="36856" spans="9:9" x14ac:dyDescent="0.2">
      <c r="I36856" s="137" t="s">
        <v>74</v>
      </c>
    </row>
    <row r="36857" spans="9:9" x14ac:dyDescent="0.2">
      <c r="I36857" s="137" t="s">
        <v>74</v>
      </c>
    </row>
    <row r="36858" spans="9:9" x14ac:dyDescent="0.2">
      <c r="I36858" s="137" t="s">
        <v>74</v>
      </c>
    </row>
    <row r="36859" spans="9:9" x14ac:dyDescent="0.2">
      <c r="I36859" s="137" t="s">
        <v>74</v>
      </c>
    </row>
    <row r="36860" spans="9:9" x14ac:dyDescent="0.2">
      <c r="I36860" s="137" t="s">
        <v>74</v>
      </c>
    </row>
    <row r="36861" spans="9:9" x14ac:dyDescent="0.2">
      <c r="I36861" s="137" t="s">
        <v>74</v>
      </c>
    </row>
    <row r="36862" spans="9:9" x14ac:dyDescent="0.2">
      <c r="I36862" s="137" t="s">
        <v>74</v>
      </c>
    </row>
    <row r="36863" spans="9:9" x14ac:dyDescent="0.2">
      <c r="I36863" s="137" t="s">
        <v>74</v>
      </c>
    </row>
    <row r="36864" spans="9:9" x14ac:dyDescent="0.2">
      <c r="I36864" s="137" t="s">
        <v>74</v>
      </c>
    </row>
    <row r="36865" spans="9:9" x14ac:dyDescent="0.2">
      <c r="I36865" s="137" t="s">
        <v>74</v>
      </c>
    </row>
    <row r="36866" spans="9:9" x14ac:dyDescent="0.2">
      <c r="I36866" s="137" t="s">
        <v>74</v>
      </c>
    </row>
    <row r="36867" spans="9:9" x14ac:dyDescent="0.2">
      <c r="I36867" s="137" t="s">
        <v>74</v>
      </c>
    </row>
    <row r="36868" spans="9:9" x14ac:dyDescent="0.2">
      <c r="I36868" s="137" t="s">
        <v>74</v>
      </c>
    </row>
    <row r="36869" spans="9:9" x14ac:dyDescent="0.2">
      <c r="I36869" s="137" t="s">
        <v>74</v>
      </c>
    </row>
    <row r="36870" spans="9:9" x14ac:dyDescent="0.2">
      <c r="I36870" s="137" t="s">
        <v>74</v>
      </c>
    </row>
    <row r="36871" spans="9:9" x14ac:dyDescent="0.2">
      <c r="I36871" s="137" t="s">
        <v>74</v>
      </c>
    </row>
    <row r="36872" spans="9:9" x14ac:dyDescent="0.2">
      <c r="I36872" s="137" t="s">
        <v>74</v>
      </c>
    </row>
    <row r="36873" spans="9:9" x14ac:dyDescent="0.2">
      <c r="I36873" s="137" t="s">
        <v>74</v>
      </c>
    </row>
    <row r="36874" spans="9:9" x14ac:dyDescent="0.2">
      <c r="I36874" s="137" t="s">
        <v>74</v>
      </c>
    </row>
    <row r="36875" spans="9:9" x14ac:dyDescent="0.2">
      <c r="I36875" s="137" t="s">
        <v>74</v>
      </c>
    </row>
    <row r="36876" spans="9:9" x14ac:dyDescent="0.2">
      <c r="I36876" s="137" t="s">
        <v>74</v>
      </c>
    </row>
    <row r="36877" spans="9:9" x14ac:dyDescent="0.2">
      <c r="I36877" s="137" t="s">
        <v>74</v>
      </c>
    </row>
    <row r="36878" spans="9:9" x14ac:dyDescent="0.2">
      <c r="I36878" s="137" t="s">
        <v>74</v>
      </c>
    </row>
    <row r="36879" spans="9:9" x14ac:dyDescent="0.2">
      <c r="I36879" s="137" t="s">
        <v>74</v>
      </c>
    </row>
    <row r="36880" spans="9:9" x14ac:dyDescent="0.2">
      <c r="I36880" s="137" t="s">
        <v>74</v>
      </c>
    </row>
    <row r="36881" spans="9:9" x14ac:dyDescent="0.2">
      <c r="I36881" s="137" t="s">
        <v>74</v>
      </c>
    </row>
    <row r="36882" spans="9:9" x14ac:dyDescent="0.2">
      <c r="I36882" s="137" t="s">
        <v>74</v>
      </c>
    </row>
    <row r="36883" spans="9:9" x14ac:dyDescent="0.2">
      <c r="I36883" s="137" t="s">
        <v>74</v>
      </c>
    </row>
    <row r="36884" spans="9:9" x14ac:dyDescent="0.2">
      <c r="I36884" s="137" t="s">
        <v>74</v>
      </c>
    </row>
    <row r="36885" spans="9:9" x14ac:dyDescent="0.2">
      <c r="I36885" s="137" t="s">
        <v>74</v>
      </c>
    </row>
    <row r="36886" spans="9:9" x14ac:dyDescent="0.2">
      <c r="I36886" s="137" t="s">
        <v>74</v>
      </c>
    </row>
    <row r="36887" spans="9:9" x14ac:dyDescent="0.2">
      <c r="I36887" s="137" t="s">
        <v>74</v>
      </c>
    </row>
    <row r="36888" spans="9:9" x14ac:dyDescent="0.2">
      <c r="I36888" s="137" t="s">
        <v>74</v>
      </c>
    </row>
    <row r="36889" spans="9:9" x14ac:dyDescent="0.2">
      <c r="I36889" s="137" t="s">
        <v>74</v>
      </c>
    </row>
    <row r="36890" spans="9:9" x14ac:dyDescent="0.2">
      <c r="I36890" s="137" t="s">
        <v>74</v>
      </c>
    </row>
    <row r="36891" spans="9:9" x14ac:dyDescent="0.2">
      <c r="I36891" s="137" t="s">
        <v>74</v>
      </c>
    </row>
    <row r="36892" spans="9:9" x14ac:dyDescent="0.2">
      <c r="I36892" s="137" t="s">
        <v>74</v>
      </c>
    </row>
    <row r="36893" spans="9:9" x14ac:dyDescent="0.2">
      <c r="I36893" s="137" t="s">
        <v>74</v>
      </c>
    </row>
    <row r="36894" spans="9:9" x14ac:dyDescent="0.2">
      <c r="I36894" s="137" t="s">
        <v>74</v>
      </c>
    </row>
    <row r="36895" spans="9:9" x14ac:dyDescent="0.2">
      <c r="I36895" s="137" t="s">
        <v>74</v>
      </c>
    </row>
    <row r="36896" spans="9:9" x14ac:dyDescent="0.2">
      <c r="I36896" s="137" t="s">
        <v>74</v>
      </c>
    </row>
    <row r="36897" spans="9:9" x14ac:dyDescent="0.2">
      <c r="I36897" s="137" t="s">
        <v>74</v>
      </c>
    </row>
    <row r="36898" spans="9:9" x14ac:dyDescent="0.2">
      <c r="I36898" s="137" t="s">
        <v>74</v>
      </c>
    </row>
    <row r="36899" spans="9:9" x14ac:dyDescent="0.2">
      <c r="I36899" s="137" t="s">
        <v>74</v>
      </c>
    </row>
    <row r="36900" spans="9:9" x14ac:dyDescent="0.2">
      <c r="I36900" s="137" t="s">
        <v>74</v>
      </c>
    </row>
    <row r="36901" spans="9:9" x14ac:dyDescent="0.2">
      <c r="I36901" s="137" t="s">
        <v>74</v>
      </c>
    </row>
    <row r="36902" spans="9:9" x14ac:dyDescent="0.2">
      <c r="I36902" s="137" t="s">
        <v>74</v>
      </c>
    </row>
    <row r="36903" spans="9:9" x14ac:dyDescent="0.2">
      <c r="I36903" s="137" t="s">
        <v>74</v>
      </c>
    </row>
    <row r="36904" spans="9:9" x14ac:dyDescent="0.2">
      <c r="I36904" s="137" t="s">
        <v>74</v>
      </c>
    </row>
    <row r="36905" spans="9:9" x14ac:dyDescent="0.2">
      <c r="I36905" s="137" t="s">
        <v>74</v>
      </c>
    </row>
    <row r="36906" spans="9:9" x14ac:dyDescent="0.2">
      <c r="I36906" s="137" t="s">
        <v>74</v>
      </c>
    </row>
    <row r="36907" spans="9:9" x14ac:dyDescent="0.2">
      <c r="I36907" s="137" t="s">
        <v>74</v>
      </c>
    </row>
    <row r="36908" spans="9:9" x14ac:dyDescent="0.2">
      <c r="I36908" s="137" t="s">
        <v>74</v>
      </c>
    </row>
    <row r="36909" spans="9:9" x14ac:dyDescent="0.2">
      <c r="I36909" s="137" t="s">
        <v>74</v>
      </c>
    </row>
    <row r="36910" spans="9:9" x14ac:dyDescent="0.2">
      <c r="I36910" s="137" t="s">
        <v>74</v>
      </c>
    </row>
    <row r="36911" spans="9:9" x14ac:dyDescent="0.2">
      <c r="I36911" s="137" t="s">
        <v>74</v>
      </c>
    </row>
    <row r="36912" spans="9:9" x14ac:dyDescent="0.2">
      <c r="I36912" s="137" t="s">
        <v>74</v>
      </c>
    </row>
    <row r="36913" spans="9:9" x14ac:dyDescent="0.2">
      <c r="I36913" s="137" t="s">
        <v>74</v>
      </c>
    </row>
    <row r="36914" spans="9:9" x14ac:dyDescent="0.2">
      <c r="I36914" s="137" t="s">
        <v>74</v>
      </c>
    </row>
    <row r="36915" spans="9:9" x14ac:dyDescent="0.2">
      <c r="I36915" s="137" t="s">
        <v>74</v>
      </c>
    </row>
    <row r="36916" spans="9:9" x14ac:dyDescent="0.2">
      <c r="I36916" s="137" t="s">
        <v>74</v>
      </c>
    </row>
    <row r="36917" spans="9:9" x14ac:dyDescent="0.2">
      <c r="I36917" s="137" t="s">
        <v>74</v>
      </c>
    </row>
    <row r="36918" spans="9:9" x14ac:dyDescent="0.2">
      <c r="I36918" s="137" t="s">
        <v>74</v>
      </c>
    </row>
    <row r="36919" spans="9:9" x14ac:dyDescent="0.2">
      <c r="I36919" s="137" t="s">
        <v>74</v>
      </c>
    </row>
    <row r="36920" spans="9:9" x14ac:dyDescent="0.2">
      <c r="I36920" s="137" t="s">
        <v>74</v>
      </c>
    </row>
    <row r="36921" spans="9:9" x14ac:dyDescent="0.2">
      <c r="I36921" s="137" t="s">
        <v>74</v>
      </c>
    </row>
    <row r="36922" spans="9:9" x14ac:dyDescent="0.2">
      <c r="I36922" s="137" t="s">
        <v>74</v>
      </c>
    </row>
    <row r="36923" spans="9:9" x14ac:dyDescent="0.2">
      <c r="I36923" s="137" t="s">
        <v>74</v>
      </c>
    </row>
    <row r="36924" spans="9:9" x14ac:dyDescent="0.2">
      <c r="I36924" s="137" t="s">
        <v>74</v>
      </c>
    </row>
    <row r="36925" spans="9:9" x14ac:dyDescent="0.2">
      <c r="I36925" s="137" t="s">
        <v>74</v>
      </c>
    </row>
    <row r="36926" spans="9:9" x14ac:dyDescent="0.2">
      <c r="I36926" s="137" t="s">
        <v>74</v>
      </c>
    </row>
    <row r="36927" spans="9:9" x14ac:dyDescent="0.2">
      <c r="I36927" s="137" t="s">
        <v>74</v>
      </c>
    </row>
    <row r="36928" spans="9:9" x14ac:dyDescent="0.2">
      <c r="I36928" s="137" t="s">
        <v>74</v>
      </c>
    </row>
    <row r="36929" spans="9:9" x14ac:dyDescent="0.2">
      <c r="I36929" s="137" t="s">
        <v>74</v>
      </c>
    </row>
    <row r="36930" spans="9:9" x14ac:dyDescent="0.2">
      <c r="I36930" s="137" t="s">
        <v>74</v>
      </c>
    </row>
    <row r="36931" spans="9:9" x14ac:dyDescent="0.2">
      <c r="I36931" s="137" t="s">
        <v>74</v>
      </c>
    </row>
    <row r="36932" spans="9:9" x14ac:dyDescent="0.2">
      <c r="I36932" s="137" t="s">
        <v>74</v>
      </c>
    </row>
    <row r="36933" spans="9:9" x14ac:dyDescent="0.2">
      <c r="I36933" s="137" t="s">
        <v>74</v>
      </c>
    </row>
    <row r="36934" spans="9:9" x14ac:dyDescent="0.2">
      <c r="I36934" s="137" t="s">
        <v>74</v>
      </c>
    </row>
    <row r="36935" spans="9:9" x14ac:dyDescent="0.2">
      <c r="I36935" s="137" t="s">
        <v>74</v>
      </c>
    </row>
    <row r="36936" spans="9:9" x14ac:dyDescent="0.2">
      <c r="I36936" s="137" t="s">
        <v>74</v>
      </c>
    </row>
    <row r="36937" spans="9:9" x14ac:dyDescent="0.2">
      <c r="I36937" s="137" t="s">
        <v>74</v>
      </c>
    </row>
    <row r="36938" spans="9:9" x14ac:dyDescent="0.2">
      <c r="I36938" s="137" t="s">
        <v>74</v>
      </c>
    </row>
    <row r="36939" spans="9:9" x14ac:dyDescent="0.2">
      <c r="I36939" s="137" t="s">
        <v>74</v>
      </c>
    </row>
    <row r="36940" spans="9:9" x14ac:dyDescent="0.2">
      <c r="I36940" s="137" t="s">
        <v>74</v>
      </c>
    </row>
    <row r="36941" spans="9:9" x14ac:dyDescent="0.2">
      <c r="I36941" s="137" t="s">
        <v>74</v>
      </c>
    </row>
    <row r="36942" spans="9:9" x14ac:dyDescent="0.2">
      <c r="I36942" s="137" t="s">
        <v>74</v>
      </c>
    </row>
    <row r="36943" spans="9:9" x14ac:dyDescent="0.2">
      <c r="I36943" s="137" t="s">
        <v>74</v>
      </c>
    </row>
    <row r="36944" spans="9:9" x14ac:dyDescent="0.2">
      <c r="I36944" s="137" t="s">
        <v>74</v>
      </c>
    </row>
    <row r="36945" spans="9:9" x14ac:dyDescent="0.2">
      <c r="I36945" s="137" t="s">
        <v>74</v>
      </c>
    </row>
    <row r="36946" spans="9:9" x14ac:dyDescent="0.2">
      <c r="I36946" s="137" t="s">
        <v>74</v>
      </c>
    </row>
    <row r="36947" spans="9:9" x14ac:dyDescent="0.2">
      <c r="I36947" s="137" t="s">
        <v>74</v>
      </c>
    </row>
    <row r="36948" spans="9:9" x14ac:dyDescent="0.2">
      <c r="I36948" s="137" t="s">
        <v>74</v>
      </c>
    </row>
    <row r="36949" spans="9:9" x14ac:dyDescent="0.2">
      <c r="I36949" s="137" t="s">
        <v>74</v>
      </c>
    </row>
    <row r="36950" spans="9:9" x14ac:dyDescent="0.2">
      <c r="I36950" s="137" t="s">
        <v>74</v>
      </c>
    </row>
    <row r="36951" spans="9:9" x14ac:dyDescent="0.2">
      <c r="I36951" s="137" t="s">
        <v>74</v>
      </c>
    </row>
    <row r="36952" spans="9:9" x14ac:dyDescent="0.2">
      <c r="I36952" s="137" t="s">
        <v>74</v>
      </c>
    </row>
    <row r="36953" spans="9:9" x14ac:dyDescent="0.2">
      <c r="I36953" s="137" t="s">
        <v>74</v>
      </c>
    </row>
    <row r="36954" spans="9:9" x14ac:dyDescent="0.2">
      <c r="I36954" s="137" t="s">
        <v>74</v>
      </c>
    </row>
    <row r="36955" spans="9:9" x14ac:dyDescent="0.2">
      <c r="I36955" s="137" t="s">
        <v>74</v>
      </c>
    </row>
    <row r="36956" spans="9:9" x14ac:dyDescent="0.2">
      <c r="I36956" s="137" t="s">
        <v>74</v>
      </c>
    </row>
    <row r="36957" spans="9:9" x14ac:dyDescent="0.2">
      <c r="I36957" s="137" t="s">
        <v>74</v>
      </c>
    </row>
    <row r="36958" spans="9:9" x14ac:dyDescent="0.2">
      <c r="I36958" s="137" t="s">
        <v>74</v>
      </c>
    </row>
    <row r="36959" spans="9:9" x14ac:dyDescent="0.2">
      <c r="I36959" s="137" t="s">
        <v>74</v>
      </c>
    </row>
    <row r="36960" spans="9:9" x14ac:dyDescent="0.2">
      <c r="I36960" s="137" t="s">
        <v>74</v>
      </c>
    </row>
    <row r="36961" spans="9:9" x14ac:dyDescent="0.2">
      <c r="I36961" s="137" t="s">
        <v>74</v>
      </c>
    </row>
    <row r="36962" spans="9:9" x14ac:dyDescent="0.2">
      <c r="I36962" s="137" t="s">
        <v>74</v>
      </c>
    </row>
    <row r="36963" spans="9:9" x14ac:dyDescent="0.2">
      <c r="I36963" s="137" t="s">
        <v>74</v>
      </c>
    </row>
    <row r="36964" spans="9:9" x14ac:dyDescent="0.2">
      <c r="I36964" s="137" t="s">
        <v>74</v>
      </c>
    </row>
    <row r="36965" spans="9:9" x14ac:dyDescent="0.2">
      <c r="I36965" s="137" t="s">
        <v>74</v>
      </c>
    </row>
    <row r="36966" spans="9:9" x14ac:dyDescent="0.2">
      <c r="I36966" s="137" t="s">
        <v>74</v>
      </c>
    </row>
    <row r="36967" spans="9:9" x14ac:dyDescent="0.2">
      <c r="I36967" s="137" t="s">
        <v>74</v>
      </c>
    </row>
    <row r="36968" spans="9:9" x14ac:dyDescent="0.2">
      <c r="I36968" s="137" t="s">
        <v>74</v>
      </c>
    </row>
    <row r="36969" spans="9:9" x14ac:dyDescent="0.2">
      <c r="I36969" s="137" t="s">
        <v>74</v>
      </c>
    </row>
    <row r="36970" spans="9:9" x14ac:dyDescent="0.2">
      <c r="I36970" s="137" t="s">
        <v>74</v>
      </c>
    </row>
    <row r="36971" spans="9:9" x14ac:dyDescent="0.2">
      <c r="I36971" s="137" t="s">
        <v>74</v>
      </c>
    </row>
    <row r="36972" spans="9:9" x14ac:dyDescent="0.2">
      <c r="I36972" s="137" t="s">
        <v>74</v>
      </c>
    </row>
    <row r="36973" spans="9:9" x14ac:dyDescent="0.2">
      <c r="I36973" s="137" t="s">
        <v>74</v>
      </c>
    </row>
    <row r="36974" spans="9:9" x14ac:dyDescent="0.2">
      <c r="I36974" s="137" t="s">
        <v>74</v>
      </c>
    </row>
    <row r="36975" spans="9:9" x14ac:dyDescent="0.2">
      <c r="I36975" s="137" t="s">
        <v>74</v>
      </c>
    </row>
    <row r="36976" spans="9:9" x14ac:dyDescent="0.2">
      <c r="I36976" s="137" t="s">
        <v>74</v>
      </c>
    </row>
    <row r="36977" spans="9:9" x14ac:dyDescent="0.2">
      <c r="I36977" s="137" t="s">
        <v>74</v>
      </c>
    </row>
    <row r="36978" spans="9:9" x14ac:dyDescent="0.2">
      <c r="I36978" s="137" t="s">
        <v>74</v>
      </c>
    </row>
    <row r="36979" spans="9:9" x14ac:dyDescent="0.2">
      <c r="I36979" s="137" t="s">
        <v>74</v>
      </c>
    </row>
    <row r="36980" spans="9:9" x14ac:dyDescent="0.2">
      <c r="I36980" s="137" t="s">
        <v>74</v>
      </c>
    </row>
    <row r="36981" spans="9:9" x14ac:dyDescent="0.2">
      <c r="I36981" s="137" t="s">
        <v>74</v>
      </c>
    </row>
    <row r="36982" spans="9:9" x14ac:dyDescent="0.2">
      <c r="I36982" s="137" t="s">
        <v>74</v>
      </c>
    </row>
    <row r="36983" spans="9:9" x14ac:dyDescent="0.2">
      <c r="I36983" s="137" t="s">
        <v>74</v>
      </c>
    </row>
    <row r="36984" spans="9:9" x14ac:dyDescent="0.2">
      <c r="I36984" s="137" t="s">
        <v>74</v>
      </c>
    </row>
    <row r="36985" spans="9:9" x14ac:dyDescent="0.2">
      <c r="I36985" s="137" t="s">
        <v>74</v>
      </c>
    </row>
    <row r="36986" spans="9:9" x14ac:dyDescent="0.2">
      <c r="I36986" s="137" t="s">
        <v>74</v>
      </c>
    </row>
    <row r="36987" spans="9:9" x14ac:dyDescent="0.2">
      <c r="I36987" s="137" t="s">
        <v>74</v>
      </c>
    </row>
    <row r="36988" spans="9:9" x14ac:dyDescent="0.2">
      <c r="I36988" s="137" t="s">
        <v>74</v>
      </c>
    </row>
    <row r="36989" spans="9:9" x14ac:dyDescent="0.2">
      <c r="I36989" s="137" t="s">
        <v>74</v>
      </c>
    </row>
    <row r="36990" spans="9:9" x14ac:dyDescent="0.2">
      <c r="I36990" s="137" t="s">
        <v>74</v>
      </c>
    </row>
    <row r="36991" spans="9:9" x14ac:dyDescent="0.2">
      <c r="I36991" s="137" t="s">
        <v>74</v>
      </c>
    </row>
    <row r="36992" spans="9:9" x14ac:dyDescent="0.2">
      <c r="I36992" s="137" t="s">
        <v>74</v>
      </c>
    </row>
    <row r="36993" spans="9:9" x14ac:dyDescent="0.2">
      <c r="I36993" s="137" t="s">
        <v>74</v>
      </c>
    </row>
    <row r="36994" spans="9:9" x14ac:dyDescent="0.2">
      <c r="I36994" s="137" t="s">
        <v>74</v>
      </c>
    </row>
    <row r="36995" spans="9:9" x14ac:dyDescent="0.2">
      <c r="I36995" s="137" t="s">
        <v>74</v>
      </c>
    </row>
    <row r="36996" spans="9:9" x14ac:dyDescent="0.2">
      <c r="I36996" s="137" t="s">
        <v>74</v>
      </c>
    </row>
    <row r="36997" spans="9:9" x14ac:dyDescent="0.2">
      <c r="I36997" s="137" t="s">
        <v>74</v>
      </c>
    </row>
    <row r="36998" spans="9:9" x14ac:dyDescent="0.2">
      <c r="I36998" s="137" t="s">
        <v>74</v>
      </c>
    </row>
    <row r="36999" spans="9:9" x14ac:dyDescent="0.2">
      <c r="I36999" s="137" t="s">
        <v>74</v>
      </c>
    </row>
    <row r="37000" spans="9:9" x14ac:dyDescent="0.2">
      <c r="I37000" s="137" t="s">
        <v>74</v>
      </c>
    </row>
    <row r="37001" spans="9:9" x14ac:dyDescent="0.2">
      <c r="I37001" s="137" t="s">
        <v>74</v>
      </c>
    </row>
    <row r="37002" spans="9:9" x14ac:dyDescent="0.2">
      <c r="I37002" s="137" t="s">
        <v>74</v>
      </c>
    </row>
    <row r="37003" spans="9:9" x14ac:dyDescent="0.2">
      <c r="I37003" s="137" t="s">
        <v>74</v>
      </c>
    </row>
    <row r="37004" spans="9:9" x14ac:dyDescent="0.2">
      <c r="I37004" s="137" t="s">
        <v>74</v>
      </c>
    </row>
    <row r="37005" spans="9:9" x14ac:dyDescent="0.2">
      <c r="I37005" s="137" t="s">
        <v>74</v>
      </c>
    </row>
    <row r="37006" spans="9:9" x14ac:dyDescent="0.2">
      <c r="I37006" s="137" t="s">
        <v>74</v>
      </c>
    </row>
    <row r="37007" spans="9:9" x14ac:dyDescent="0.2">
      <c r="I37007" s="137" t="s">
        <v>74</v>
      </c>
    </row>
    <row r="37008" spans="9:9" x14ac:dyDescent="0.2">
      <c r="I37008" s="137" t="s">
        <v>74</v>
      </c>
    </row>
    <row r="37009" spans="9:9" x14ac:dyDescent="0.2">
      <c r="I37009" s="137" t="s">
        <v>74</v>
      </c>
    </row>
    <row r="37010" spans="9:9" x14ac:dyDescent="0.2">
      <c r="I37010" s="137" t="s">
        <v>74</v>
      </c>
    </row>
    <row r="37011" spans="9:9" x14ac:dyDescent="0.2">
      <c r="I37011" s="137" t="s">
        <v>74</v>
      </c>
    </row>
    <row r="37012" spans="9:9" x14ac:dyDescent="0.2">
      <c r="I37012" s="137" t="s">
        <v>74</v>
      </c>
    </row>
    <row r="37013" spans="9:9" x14ac:dyDescent="0.2">
      <c r="I37013" s="137" t="s">
        <v>74</v>
      </c>
    </row>
    <row r="37014" spans="9:9" x14ac:dyDescent="0.2">
      <c r="I37014" s="137" t="s">
        <v>74</v>
      </c>
    </row>
    <row r="37015" spans="9:9" x14ac:dyDescent="0.2">
      <c r="I37015" s="137" t="s">
        <v>74</v>
      </c>
    </row>
    <row r="37016" spans="9:9" x14ac:dyDescent="0.2">
      <c r="I37016" s="137" t="s">
        <v>74</v>
      </c>
    </row>
    <row r="37017" spans="9:9" x14ac:dyDescent="0.2">
      <c r="I37017" s="137" t="s">
        <v>74</v>
      </c>
    </row>
    <row r="37018" spans="9:9" x14ac:dyDescent="0.2">
      <c r="I37018" s="137" t="s">
        <v>74</v>
      </c>
    </row>
    <row r="37019" spans="9:9" x14ac:dyDescent="0.2">
      <c r="I37019" s="137" t="s">
        <v>74</v>
      </c>
    </row>
    <row r="37020" spans="9:9" x14ac:dyDescent="0.2">
      <c r="I37020" s="137" t="s">
        <v>74</v>
      </c>
    </row>
    <row r="37021" spans="9:9" x14ac:dyDescent="0.2">
      <c r="I37021" s="137" t="s">
        <v>74</v>
      </c>
    </row>
    <row r="37022" spans="9:9" x14ac:dyDescent="0.2">
      <c r="I37022" s="137" t="s">
        <v>74</v>
      </c>
    </row>
    <row r="37023" spans="9:9" x14ac:dyDescent="0.2">
      <c r="I37023" s="137" t="s">
        <v>74</v>
      </c>
    </row>
    <row r="37024" spans="9:9" x14ac:dyDescent="0.2">
      <c r="I37024" s="137" t="s">
        <v>74</v>
      </c>
    </row>
    <row r="37025" spans="9:9" x14ac:dyDescent="0.2">
      <c r="I37025" s="137" t="s">
        <v>74</v>
      </c>
    </row>
    <row r="37026" spans="9:9" x14ac:dyDescent="0.2">
      <c r="I37026" s="137" t="s">
        <v>74</v>
      </c>
    </row>
    <row r="37027" spans="9:9" x14ac:dyDescent="0.2">
      <c r="I37027" s="137" t="s">
        <v>74</v>
      </c>
    </row>
    <row r="37028" spans="9:9" x14ac:dyDescent="0.2">
      <c r="I37028" s="137" t="s">
        <v>74</v>
      </c>
    </row>
    <row r="37029" spans="9:9" x14ac:dyDescent="0.2">
      <c r="I37029" s="137" t="s">
        <v>74</v>
      </c>
    </row>
    <row r="37030" spans="9:9" x14ac:dyDescent="0.2">
      <c r="I37030" s="137" t="s">
        <v>74</v>
      </c>
    </row>
    <row r="37031" spans="9:9" x14ac:dyDescent="0.2">
      <c r="I37031" s="137" t="s">
        <v>74</v>
      </c>
    </row>
    <row r="37032" spans="9:9" x14ac:dyDescent="0.2">
      <c r="I37032" s="137" t="s">
        <v>74</v>
      </c>
    </row>
    <row r="37033" spans="9:9" x14ac:dyDescent="0.2">
      <c r="I37033" s="137" t="s">
        <v>74</v>
      </c>
    </row>
    <row r="37034" spans="9:9" x14ac:dyDescent="0.2">
      <c r="I37034" s="137" t="s">
        <v>74</v>
      </c>
    </row>
    <row r="37035" spans="9:9" x14ac:dyDescent="0.2">
      <c r="I37035" s="137" t="s">
        <v>74</v>
      </c>
    </row>
    <row r="37036" spans="9:9" x14ac:dyDescent="0.2">
      <c r="I37036" s="137" t="s">
        <v>74</v>
      </c>
    </row>
    <row r="37037" spans="9:9" x14ac:dyDescent="0.2">
      <c r="I37037" s="137" t="s">
        <v>74</v>
      </c>
    </row>
    <row r="37038" spans="9:9" x14ac:dyDescent="0.2">
      <c r="I37038" s="137" t="s">
        <v>74</v>
      </c>
    </row>
    <row r="37039" spans="9:9" x14ac:dyDescent="0.2">
      <c r="I37039" s="137" t="s">
        <v>74</v>
      </c>
    </row>
    <row r="37040" spans="9:9" x14ac:dyDescent="0.2">
      <c r="I37040" s="137" t="s">
        <v>74</v>
      </c>
    </row>
    <row r="37041" spans="9:9" x14ac:dyDescent="0.2">
      <c r="I37041" s="137" t="s">
        <v>74</v>
      </c>
    </row>
    <row r="37042" spans="9:9" x14ac:dyDescent="0.2">
      <c r="I37042" s="137" t="s">
        <v>74</v>
      </c>
    </row>
    <row r="37043" spans="9:9" x14ac:dyDescent="0.2">
      <c r="I37043" s="137" t="s">
        <v>74</v>
      </c>
    </row>
    <row r="37044" spans="9:9" x14ac:dyDescent="0.2">
      <c r="I37044" s="137" t="s">
        <v>74</v>
      </c>
    </row>
    <row r="37045" spans="9:9" x14ac:dyDescent="0.2">
      <c r="I37045" s="137" t="s">
        <v>74</v>
      </c>
    </row>
    <row r="37046" spans="9:9" x14ac:dyDescent="0.2">
      <c r="I37046" s="137" t="s">
        <v>74</v>
      </c>
    </row>
    <row r="37047" spans="9:9" x14ac:dyDescent="0.2">
      <c r="I37047" s="137" t="s">
        <v>74</v>
      </c>
    </row>
    <row r="37048" spans="9:9" x14ac:dyDescent="0.2">
      <c r="I37048" s="137" t="s">
        <v>74</v>
      </c>
    </row>
    <row r="37049" spans="9:9" x14ac:dyDescent="0.2">
      <c r="I37049" s="137" t="s">
        <v>74</v>
      </c>
    </row>
    <row r="37050" spans="9:9" x14ac:dyDescent="0.2">
      <c r="I37050" s="137" t="s">
        <v>74</v>
      </c>
    </row>
    <row r="37051" spans="9:9" x14ac:dyDescent="0.2">
      <c r="I37051" s="137" t="s">
        <v>74</v>
      </c>
    </row>
    <row r="37052" spans="9:9" x14ac:dyDescent="0.2">
      <c r="I37052" s="137" t="s">
        <v>74</v>
      </c>
    </row>
    <row r="37053" spans="9:9" x14ac:dyDescent="0.2">
      <c r="I37053" s="137" t="s">
        <v>74</v>
      </c>
    </row>
    <row r="37054" spans="9:9" x14ac:dyDescent="0.2">
      <c r="I37054" s="137" t="s">
        <v>74</v>
      </c>
    </row>
    <row r="37055" spans="9:9" x14ac:dyDescent="0.2">
      <c r="I37055" s="137" t="s">
        <v>74</v>
      </c>
    </row>
    <row r="37056" spans="9:9" x14ac:dyDescent="0.2">
      <c r="I37056" s="137" t="s">
        <v>74</v>
      </c>
    </row>
    <row r="37057" spans="9:9" x14ac:dyDescent="0.2">
      <c r="I37057" s="137" t="s">
        <v>74</v>
      </c>
    </row>
    <row r="37058" spans="9:9" x14ac:dyDescent="0.2">
      <c r="I37058" s="137" t="s">
        <v>74</v>
      </c>
    </row>
    <row r="37059" spans="9:9" x14ac:dyDescent="0.2">
      <c r="I37059" s="137" t="s">
        <v>74</v>
      </c>
    </row>
    <row r="37060" spans="9:9" x14ac:dyDescent="0.2">
      <c r="I37060" s="137" t="s">
        <v>74</v>
      </c>
    </row>
    <row r="37061" spans="9:9" x14ac:dyDescent="0.2">
      <c r="I37061" s="137" t="s">
        <v>74</v>
      </c>
    </row>
    <row r="37062" spans="9:9" x14ac:dyDescent="0.2">
      <c r="I37062" s="137" t="s">
        <v>74</v>
      </c>
    </row>
    <row r="37063" spans="9:9" x14ac:dyDescent="0.2">
      <c r="I37063" s="137" t="s">
        <v>74</v>
      </c>
    </row>
    <row r="37064" spans="9:9" x14ac:dyDescent="0.2">
      <c r="I37064" s="137" t="s">
        <v>74</v>
      </c>
    </row>
    <row r="37065" spans="9:9" x14ac:dyDescent="0.2">
      <c r="I37065" s="137" t="s">
        <v>74</v>
      </c>
    </row>
    <row r="37066" spans="9:9" x14ac:dyDescent="0.2">
      <c r="I37066" s="137" t="s">
        <v>74</v>
      </c>
    </row>
    <row r="37067" spans="9:9" x14ac:dyDescent="0.2">
      <c r="I37067" s="137" t="s">
        <v>74</v>
      </c>
    </row>
    <row r="37068" spans="9:9" x14ac:dyDescent="0.2">
      <c r="I37068" s="137" t="s">
        <v>74</v>
      </c>
    </row>
    <row r="37069" spans="9:9" x14ac:dyDescent="0.2">
      <c r="I37069" s="137" t="s">
        <v>74</v>
      </c>
    </row>
    <row r="37070" spans="9:9" x14ac:dyDescent="0.2">
      <c r="I37070" s="137" t="s">
        <v>74</v>
      </c>
    </row>
    <row r="37071" spans="9:9" x14ac:dyDescent="0.2">
      <c r="I37071" s="137" t="s">
        <v>74</v>
      </c>
    </row>
    <row r="37072" spans="9:9" x14ac:dyDescent="0.2">
      <c r="I37072" s="137" t="s">
        <v>74</v>
      </c>
    </row>
    <row r="37073" spans="9:9" x14ac:dyDescent="0.2">
      <c r="I37073" s="137" t="s">
        <v>74</v>
      </c>
    </row>
    <row r="37074" spans="9:9" x14ac:dyDescent="0.2">
      <c r="I37074" s="137" t="s">
        <v>74</v>
      </c>
    </row>
    <row r="37075" spans="9:9" x14ac:dyDescent="0.2">
      <c r="I37075" s="137" t="s">
        <v>74</v>
      </c>
    </row>
    <row r="37076" spans="9:9" x14ac:dyDescent="0.2">
      <c r="I37076" s="137" t="s">
        <v>74</v>
      </c>
    </row>
    <row r="37077" spans="9:9" x14ac:dyDescent="0.2">
      <c r="I37077" s="137" t="s">
        <v>74</v>
      </c>
    </row>
    <row r="37078" spans="9:9" x14ac:dyDescent="0.2">
      <c r="I37078" s="137" t="s">
        <v>74</v>
      </c>
    </row>
    <row r="37079" spans="9:9" x14ac:dyDescent="0.2">
      <c r="I37079" s="137" t="s">
        <v>74</v>
      </c>
    </row>
    <row r="37080" spans="9:9" x14ac:dyDescent="0.2">
      <c r="I37080" s="137" t="s">
        <v>74</v>
      </c>
    </row>
    <row r="37081" spans="9:9" x14ac:dyDescent="0.2">
      <c r="I37081" s="137" t="s">
        <v>74</v>
      </c>
    </row>
    <row r="37082" spans="9:9" x14ac:dyDescent="0.2">
      <c r="I37082" s="137" t="s">
        <v>74</v>
      </c>
    </row>
    <row r="37083" spans="9:9" x14ac:dyDescent="0.2">
      <c r="I37083" s="137" t="s">
        <v>74</v>
      </c>
    </row>
    <row r="37084" spans="9:9" x14ac:dyDescent="0.2">
      <c r="I37084" s="137" t="s">
        <v>74</v>
      </c>
    </row>
    <row r="37085" spans="9:9" x14ac:dyDescent="0.2">
      <c r="I37085" s="137" t="s">
        <v>74</v>
      </c>
    </row>
    <row r="37086" spans="9:9" x14ac:dyDescent="0.2">
      <c r="I37086" s="137" t="s">
        <v>74</v>
      </c>
    </row>
    <row r="37087" spans="9:9" x14ac:dyDescent="0.2">
      <c r="I37087" s="137" t="s">
        <v>74</v>
      </c>
    </row>
    <row r="37088" spans="9:9" x14ac:dyDescent="0.2">
      <c r="I37088" s="137" t="s">
        <v>74</v>
      </c>
    </row>
    <row r="37089" spans="9:9" x14ac:dyDescent="0.2">
      <c r="I37089" s="137" t="s">
        <v>74</v>
      </c>
    </row>
    <row r="37090" spans="9:9" x14ac:dyDescent="0.2">
      <c r="I37090" s="137" t="s">
        <v>74</v>
      </c>
    </row>
    <row r="37091" spans="9:9" x14ac:dyDescent="0.2">
      <c r="I37091" s="137" t="s">
        <v>74</v>
      </c>
    </row>
    <row r="37092" spans="9:9" x14ac:dyDescent="0.2">
      <c r="I37092" s="137" t="s">
        <v>74</v>
      </c>
    </row>
    <row r="37093" spans="9:9" x14ac:dyDescent="0.2">
      <c r="I37093" s="137" t="s">
        <v>74</v>
      </c>
    </row>
    <row r="37094" spans="9:9" x14ac:dyDescent="0.2">
      <c r="I37094" s="137" t="s">
        <v>74</v>
      </c>
    </row>
    <row r="37095" spans="9:9" x14ac:dyDescent="0.2">
      <c r="I37095" s="137" t="s">
        <v>74</v>
      </c>
    </row>
    <row r="37096" spans="9:9" x14ac:dyDescent="0.2">
      <c r="I37096" s="137" t="s">
        <v>74</v>
      </c>
    </row>
    <row r="37097" spans="9:9" x14ac:dyDescent="0.2">
      <c r="I37097" s="137" t="s">
        <v>74</v>
      </c>
    </row>
    <row r="37098" spans="9:9" x14ac:dyDescent="0.2">
      <c r="I37098" s="137" t="s">
        <v>74</v>
      </c>
    </row>
    <row r="37099" spans="9:9" x14ac:dyDescent="0.2">
      <c r="I37099" s="137" t="s">
        <v>74</v>
      </c>
    </row>
    <row r="37100" spans="9:9" x14ac:dyDescent="0.2">
      <c r="I37100" s="137" t="s">
        <v>74</v>
      </c>
    </row>
    <row r="37101" spans="9:9" x14ac:dyDescent="0.2">
      <c r="I37101" s="137" t="s">
        <v>74</v>
      </c>
    </row>
    <row r="37102" spans="9:9" x14ac:dyDescent="0.2">
      <c r="I37102" s="137" t="s">
        <v>74</v>
      </c>
    </row>
    <row r="37103" spans="9:9" x14ac:dyDescent="0.2">
      <c r="I37103" s="137" t="s">
        <v>74</v>
      </c>
    </row>
    <row r="37104" spans="9:9" x14ac:dyDescent="0.2">
      <c r="I37104" s="137" t="s">
        <v>74</v>
      </c>
    </row>
    <row r="37105" spans="9:9" x14ac:dyDescent="0.2">
      <c r="I37105" s="137" t="s">
        <v>74</v>
      </c>
    </row>
    <row r="37106" spans="9:9" x14ac:dyDescent="0.2">
      <c r="I37106" s="137" t="s">
        <v>74</v>
      </c>
    </row>
    <row r="37107" spans="9:9" x14ac:dyDescent="0.2">
      <c r="I37107" s="137" t="s">
        <v>74</v>
      </c>
    </row>
    <row r="37108" spans="9:9" x14ac:dyDescent="0.2">
      <c r="I37108" s="137" t="s">
        <v>74</v>
      </c>
    </row>
    <row r="37109" spans="9:9" x14ac:dyDescent="0.2">
      <c r="I37109" s="137" t="s">
        <v>74</v>
      </c>
    </row>
    <row r="37110" spans="9:9" x14ac:dyDescent="0.2">
      <c r="I37110" s="137" t="s">
        <v>74</v>
      </c>
    </row>
    <row r="37111" spans="9:9" x14ac:dyDescent="0.2">
      <c r="I37111" s="137" t="s">
        <v>74</v>
      </c>
    </row>
    <row r="37112" spans="9:9" x14ac:dyDescent="0.2">
      <c r="I37112" s="137" t="s">
        <v>74</v>
      </c>
    </row>
    <row r="37113" spans="9:9" x14ac:dyDescent="0.2">
      <c r="I37113" s="137" t="s">
        <v>74</v>
      </c>
    </row>
    <row r="37114" spans="9:9" x14ac:dyDescent="0.2">
      <c r="I37114" s="137" t="s">
        <v>74</v>
      </c>
    </row>
    <row r="37115" spans="9:9" x14ac:dyDescent="0.2">
      <c r="I37115" s="137" t="s">
        <v>74</v>
      </c>
    </row>
    <row r="37116" spans="9:9" x14ac:dyDescent="0.2">
      <c r="I37116" s="137" t="s">
        <v>74</v>
      </c>
    </row>
    <row r="37117" spans="9:9" x14ac:dyDescent="0.2">
      <c r="I37117" s="137" t="s">
        <v>74</v>
      </c>
    </row>
    <row r="37118" spans="9:9" x14ac:dyDescent="0.2">
      <c r="I37118" s="137" t="s">
        <v>74</v>
      </c>
    </row>
    <row r="37119" spans="9:9" x14ac:dyDescent="0.2">
      <c r="I37119" s="137" t="s">
        <v>74</v>
      </c>
    </row>
    <row r="37120" spans="9:9" x14ac:dyDescent="0.2">
      <c r="I37120" s="137" t="s">
        <v>74</v>
      </c>
    </row>
    <row r="37121" spans="9:9" x14ac:dyDescent="0.2">
      <c r="I37121" s="137" t="s">
        <v>74</v>
      </c>
    </row>
    <row r="37122" spans="9:9" x14ac:dyDescent="0.2">
      <c r="I37122" s="137" t="s">
        <v>74</v>
      </c>
    </row>
    <row r="37123" spans="9:9" x14ac:dyDescent="0.2">
      <c r="I37123" s="137" t="s">
        <v>74</v>
      </c>
    </row>
    <row r="37124" spans="9:9" x14ac:dyDescent="0.2">
      <c r="I37124" s="137" t="s">
        <v>74</v>
      </c>
    </row>
    <row r="37125" spans="9:9" x14ac:dyDescent="0.2">
      <c r="I37125" s="137" t="s">
        <v>74</v>
      </c>
    </row>
    <row r="37126" spans="9:9" x14ac:dyDescent="0.2">
      <c r="I37126" s="137" t="s">
        <v>74</v>
      </c>
    </row>
    <row r="37127" spans="9:9" x14ac:dyDescent="0.2">
      <c r="I37127" s="137" t="s">
        <v>74</v>
      </c>
    </row>
    <row r="37128" spans="9:9" x14ac:dyDescent="0.2">
      <c r="I37128" s="137" t="s">
        <v>74</v>
      </c>
    </row>
    <row r="37129" spans="9:9" x14ac:dyDescent="0.2">
      <c r="I37129" s="137" t="s">
        <v>74</v>
      </c>
    </row>
    <row r="37130" spans="9:9" x14ac:dyDescent="0.2">
      <c r="I37130" s="137" t="s">
        <v>74</v>
      </c>
    </row>
    <row r="37131" spans="9:9" x14ac:dyDescent="0.2">
      <c r="I37131" s="137" t="s">
        <v>74</v>
      </c>
    </row>
    <row r="37132" spans="9:9" x14ac:dyDescent="0.2">
      <c r="I37132" s="137" t="s">
        <v>74</v>
      </c>
    </row>
    <row r="37133" spans="9:9" x14ac:dyDescent="0.2">
      <c r="I37133" s="137" t="s">
        <v>74</v>
      </c>
    </row>
    <row r="37134" spans="9:9" x14ac:dyDescent="0.2">
      <c r="I37134" s="137" t="s">
        <v>74</v>
      </c>
    </row>
    <row r="37135" spans="9:9" x14ac:dyDescent="0.2">
      <c r="I37135" s="137" t="s">
        <v>74</v>
      </c>
    </row>
    <row r="37136" spans="9:9" x14ac:dyDescent="0.2">
      <c r="I37136" s="137" t="s">
        <v>74</v>
      </c>
    </row>
    <row r="37137" spans="9:9" x14ac:dyDescent="0.2">
      <c r="I37137" s="137" t="s">
        <v>74</v>
      </c>
    </row>
    <row r="37138" spans="9:9" x14ac:dyDescent="0.2">
      <c r="I37138" s="137" t="s">
        <v>74</v>
      </c>
    </row>
    <row r="37139" spans="9:9" x14ac:dyDescent="0.2">
      <c r="I37139" s="137" t="s">
        <v>74</v>
      </c>
    </row>
    <row r="37140" spans="9:9" x14ac:dyDescent="0.2">
      <c r="I37140" s="137" t="s">
        <v>74</v>
      </c>
    </row>
    <row r="37141" spans="9:9" x14ac:dyDescent="0.2">
      <c r="I37141" s="137" t="s">
        <v>74</v>
      </c>
    </row>
    <row r="37142" spans="9:9" x14ac:dyDescent="0.2">
      <c r="I37142" s="137" t="s">
        <v>74</v>
      </c>
    </row>
    <row r="37143" spans="9:9" x14ac:dyDescent="0.2">
      <c r="I37143" s="137" t="s">
        <v>74</v>
      </c>
    </row>
    <row r="37144" spans="9:9" x14ac:dyDescent="0.2">
      <c r="I37144" s="137" t="s">
        <v>74</v>
      </c>
    </row>
    <row r="37145" spans="9:9" x14ac:dyDescent="0.2">
      <c r="I37145" s="137" t="s">
        <v>74</v>
      </c>
    </row>
    <row r="37146" spans="9:9" x14ac:dyDescent="0.2">
      <c r="I37146" s="137" t="s">
        <v>74</v>
      </c>
    </row>
    <row r="37147" spans="9:9" x14ac:dyDescent="0.2">
      <c r="I37147" s="137" t="s">
        <v>74</v>
      </c>
    </row>
    <row r="37148" spans="9:9" x14ac:dyDescent="0.2">
      <c r="I37148" s="137" t="s">
        <v>74</v>
      </c>
    </row>
    <row r="37149" spans="9:9" x14ac:dyDescent="0.2">
      <c r="I37149" s="137" t="s">
        <v>74</v>
      </c>
    </row>
    <row r="37150" spans="9:9" x14ac:dyDescent="0.2">
      <c r="I37150" s="137" t="s">
        <v>74</v>
      </c>
    </row>
    <row r="37151" spans="9:9" x14ac:dyDescent="0.2">
      <c r="I37151" s="137" t="s">
        <v>74</v>
      </c>
    </row>
    <row r="37152" spans="9:9" x14ac:dyDescent="0.2">
      <c r="I37152" s="137" t="s">
        <v>74</v>
      </c>
    </row>
    <row r="37153" spans="9:9" x14ac:dyDescent="0.2">
      <c r="I37153" s="137" t="s">
        <v>74</v>
      </c>
    </row>
    <row r="37154" spans="9:9" x14ac:dyDescent="0.2">
      <c r="I37154" s="137" t="s">
        <v>74</v>
      </c>
    </row>
    <row r="37155" spans="9:9" x14ac:dyDescent="0.2">
      <c r="I37155" s="137" t="s">
        <v>74</v>
      </c>
    </row>
    <row r="37156" spans="9:9" x14ac:dyDescent="0.2">
      <c r="I37156" s="137" t="s">
        <v>74</v>
      </c>
    </row>
    <row r="37157" spans="9:9" x14ac:dyDescent="0.2">
      <c r="I37157" s="137" t="s">
        <v>74</v>
      </c>
    </row>
    <row r="37158" spans="9:9" x14ac:dyDescent="0.2">
      <c r="I37158" s="137" t="s">
        <v>74</v>
      </c>
    </row>
    <row r="37159" spans="9:9" x14ac:dyDescent="0.2">
      <c r="I37159" s="137" t="s">
        <v>74</v>
      </c>
    </row>
    <row r="37160" spans="9:9" x14ac:dyDescent="0.2">
      <c r="I37160" s="137" t="s">
        <v>74</v>
      </c>
    </row>
    <row r="37161" spans="9:9" x14ac:dyDescent="0.2">
      <c r="I37161" s="137" t="s">
        <v>74</v>
      </c>
    </row>
    <row r="37162" spans="9:9" x14ac:dyDescent="0.2">
      <c r="I37162" s="137" t="s">
        <v>74</v>
      </c>
    </row>
    <row r="37163" spans="9:9" x14ac:dyDescent="0.2">
      <c r="I37163" s="137" t="s">
        <v>74</v>
      </c>
    </row>
    <row r="37164" spans="9:9" x14ac:dyDescent="0.2">
      <c r="I37164" s="137" t="s">
        <v>74</v>
      </c>
    </row>
    <row r="37165" spans="9:9" x14ac:dyDescent="0.2">
      <c r="I37165" s="137" t="s">
        <v>74</v>
      </c>
    </row>
    <row r="37166" spans="9:9" x14ac:dyDescent="0.2">
      <c r="I37166" s="137" t="s">
        <v>74</v>
      </c>
    </row>
    <row r="37167" spans="9:9" x14ac:dyDescent="0.2">
      <c r="I37167" s="137" t="s">
        <v>74</v>
      </c>
    </row>
    <row r="37168" spans="9:9" x14ac:dyDescent="0.2">
      <c r="I37168" s="137" t="s">
        <v>74</v>
      </c>
    </row>
    <row r="37169" spans="9:9" x14ac:dyDescent="0.2">
      <c r="I37169" s="137" t="s">
        <v>74</v>
      </c>
    </row>
    <row r="37170" spans="9:9" x14ac:dyDescent="0.2">
      <c r="I37170" s="137" t="s">
        <v>74</v>
      </c>
    </row>
    <row r="37171" spans="9:9" x14ac:dyDescent="0.2">
      <c r="I37171" s="137" t="s">
        <v>74</v>
      </c>
    </row>
    <row r="37172" spans="9:9" x14ac:dyDescent="0.2">
      <c r="I37172" s="137" t="s">
        <v>74</v>
      </c>
    </row>
    <row r="37173" spans="9:9" x14ac:dyDescent="0.2">
      <c r="I37173" s="137" t="s">
        <v>74</v>
      </c>
    </row>
    <row r="37174" spans="9:9" x14ac:dyDescent="0.2">
      <c r="I37174" s="137" t="s">
        <v>74</v>
      </c>
    </row>
    <row r="37175" spans="9:9" x14ac:dyDescent="0.2">
      <c r="I37175" s="137" t="s">
        <v>74</v>
      </c>
    </row>
    <row r="37176" spans="9:9" x14ac:dyDescent="0.2">
      <c r="I37176" s="137" t="s">
        <v>74</v>
      </c>
    </row>
    <row r="37177" spans="9:9" x14ac:dyDescent="0.2">
      <c r="I37177" s="137" t="s">
        <v>74</v>
      </c>
    </row>
    <row r="37178" spans="9:9" x14ac:dyDescent="0.2">
      <c r="I37178" s="137" t="s">
        <v>74</v>
      </c>
    </row>
    <row r="37179" spans="9:9" x14ac:dyDescent="0.2">
      <c r="I37179" s="137" t="s">
        <v>74</v>
      </c>
    </row>
    <row r="37180" spans="9:9" x14ac:dyDescent="0.2">
      <c r="I37180" s="137" t="s">
        <v>74</v>
      </c>
    </row>
    <row r="37181" spans="9:9" x14ac:dyDescent="0.2">
      <c r="I37181" s="137" t="s">
        <v>74</v>
      </c>
    </row>
    <row r="37182" spans="9:9" x14ac:dyDescent="0.2">
      <c r="I37182" s="137" t="s">
        <v>74</v>
      </c>
    </row>
    <row r="37183" spans="9:9" x14ac:dyDescent="0.2">
      <c r="I37183" s="137" t="s">
        <v>74</v>
      </c>
    </row>
    <row r="37184" spans="9:9" x14ac:dyDescent="0.2">
      <c r="I37184" s="137" t="s">
        <v>74</v>
      </c>
    </row>
    <row r="37185" spans="9:9" x14ac:dyDescent="0.2">
      <c r="I37185" s="137" t="s">
        <v>74</v>
      </c>
    </row>
    <row r="37186" spans="9:9" x14ac:dyDescent="0.2">
      <c r="I37186" s="137" t="s">
        <v>74</v>
      </c>
    </row>
    <row r="37187" spans="9:9" x14ac:dyDescent="0.2">
      <c r="I37187" s="137" t="s">
        <v>74</v>
      </c>
    </row>
    <row r="37188" spans="9:9" x14ac:dyDescent="0.2">
      <c r="I37188" s="137" t="s">
        <v>74</v>
      </c>
    </row>
    <row r="37189" spans="9:9" x14ac:dyDescent="0.2">
      <c r="I37189" s="137" t="s">
        <v>74</v>
      </c>
    </row>
    <row r="37190" spans="9:9" x14ac:dyDescent="0.2">
      <c r="I37190" s="137" t="s">
        <v>74</v>
      </c>
    </row>
    <row r="37191" spans="9:9" x14ac:dyDescent="0.2">
      <c r="I37191" s="137" t="s">
        <v>74</v>
      </c>
    </row>
    <row r="37192" spans="9:9" x14ac:dyDescent="0.2">
      <c r="I37192" s="137" t="s">
        <v>74</v>
      </c>
    </row>
    <row r="37193" spans="9:9" x14ac:dyDescent="0.2">
      <c r="I37193" s="137" t="s">
        <v>74</v>
      </c>
    </row>
    <row r="37194" spans="9:9" x14ac:dyDescent="0.2">
      <c r="I37194" s="137" t="s">
        <v>74</v>
      </c>
    </row>
    <row r="37195" spans="9:9" x14ac:dyDescent="0.2">
      <c r="I37195" s="137" t="s">
        <v>74</v>
      </c>
    </row>
    <row r="37196" spans="9:9" x14ac:dyDescent="0.2">
      <c r="I37196" s="137" t="s">
        <v>74</v>
      </c>
    </row>
    <row r="37197" spans="9:9" x14ac:dyDescent="0.2">
      <c r="I37197" s="137" t="s">
        <v>74</v>
      </c>
    </row>
    <row r="37198" spans="9:9" x14ac:dyDescent="0.2">
      <c r="I37198" s="137" t="s">
        <v>74</v>
      </c>
    </row>
    <row r="37199" spans="9:9" x14ac:dyDescent="0.2">
      <c r="I37199" s="137" t="s">
        <v>74</v>
      </c>
    </row>
    <row r="37200" spans="9:9" x14ac:dyDescent="0.2">
      <c r="I37200" s="137" t="s">
        <v>74</v>
      </c>
    </row>
    <row r="37201" spans="9:9" x14ac:dyDescent="0.2">
      <c r="I37201" s="137" t="s">
        <v>74</v>
      </c>
    </row>
    <row r="37202" spans="9:9" x14ac:dyDescent="0.2">
      <c r="I37202" s="137" t="s">
        <v>74</v>
      </c>
    </row>
    <row r="37203" spans="9:9" x14ac:dyDescent="0.2">
      <c r="I37203" s="137" t="s">
        <v>74</v>
      </c>
    </row>
    <row r="37204" spans="9:9" x14ac:dyDescent="0.2">
      <c r="I37204" s="137" t="s">
        <v>74</v>
      </c>
    </row>
    <row r="37205" spans="9:9" x14ac:dyDescent="0.2">
      <c r="I37205" s="137" t="s">
        <v>74</v>
      </c>
    </row>
    <row r="37206" spans="9:9" x14ac:dyDescent="0.2">
      <c r="I37206" s="137" t="s">
        <v>74</v>
      </c>
    </row>
    <row r="37207" spans="9:9" x14ac:dyDescent="0.2">
      <c r="I37207" s="137" t="s">
        <v>74</v>
      </c>
    </row>
    <row r="37208" spans="9:9" x14ac:dyDescent="0.2">
      <c r="I37208" s="137" t="s">
        <v>74</v>
      </c>
    </row>
    <row r="37209" spans="9:9" x14ac:dyDescent="0.2">
      <c r="I37209" s="137" t="s">
        <v>74</v>
      </c>
    </row>
    <row r="37210" spans="9:9" x14ac:dyDescent="0.2">
      <c r="I37210" s="137" t="s">
        <v>74</v>
      </c>
    </row>
    <row r="37211" spans="9:9" x14ac:dyDescent="0.2">
      <c r="I37211" s="137" t="s">
        <v>74</v>
      </c>
    </row>
    <row r="37212" spans="9:9" x14ac:dyDescent="0.2">
      <c r="I37212" s="137" t="s">
        <v>74</v>
      </c>
    </row>
    <row r="37213" spans="9:9" x14ac:dyDescent="0.2">
      <c r="I37213" s="137" t="s">
        <v>74</v>
      </c>
    </row>
    <row r="37214" spans="9:9" x14ac:dyDescent="0.2">
      <c r="I37214" s="137" t="s">
        <v>74</v>
      </c>
    </row>
    <row r="37215" spans="9:9" x14ac:dyDescent="0.2">
      <c r="I37215" s="137" t="s">
        <v>74</v>
      </c>
    </row>
    <row r="37216" spans="9:9" x14ac:dyDescent="0.2">
      <c r="I37216" s="137" t="s">
        <v>74</v>
      </c>
    </row>
    <row r="37217" spans="9:9" x14ac:dyDescent="0.2">
      <c r="I37217" s="137" t="s">
        <v>74</v>
      </c>
    </row>
    <row r="37218" spans="9:9" x14ac:dyDescent="0.2">
      <c r="I37218" s="137" t="s">
        <v>74</v>
      </c>
    </row>
    <row r="37219" spans="9:9" x14ac:dyDescent="0.2">
      <c r="I37219" s="137" t="s">
        <v>74</v>
      </c>
    </row>
    <row r="37220" spans="9:9" x14ac:dyDescent="0.2">
      <c r="I37220" s="137" t="s">
        <v>74</v>
      </c>
    </row>
    <row r="37221" spans="9:9" x14ac:dyDescent="0.2">
      <c r="I37221" s="137" t="s">
        <v>74</v>
      </c>
    </row>
    <row r="37222" spans="9:9" x14ac:dyDescent="0.2">
      <c r="I37222" s="137" t="s">
        <v>74</v>
      </c>
    </row>
    <row r="37223" spans="9:9" x14ac:dyDescent="0.2">
      <c r="I37223" s="137" t="s">
        <v>74</v>
      </c>
    </row>
    <row r="37224" spans="9:9" x14ac:dyDescent="0.2">
      <c r="I37224" s="137" t="s">
        <v>74</v>
      </c>
    </row>
    <row r="37225" spans="9:9" x14ac:dyDescent="0.2">
      <c r="I37225" s="137" t="s">
        <v>74</v>
      </c>
    </row>
    <row r="37226" spans="9:9" x14ac:dyDescent="0.2">
      <c r="I37226" s="137" t="s">
        <v>74</v>
      </c>
    </row>
    <row r="37227" spans="9:9" x14ac:dyDescent="0.2">
      <c r="I37227" s="137" t="s">
        <v>74</v>
      </c>
    </row>
    <row r="37228" spans="9:9" x14ac:dyDescent="0.2">
      <c r="I37228" s="137" t="s">
        <v>74</v>
      </c>
    </row>
    <row r="37229" spans="9:9" x14ac:dyDescent="0.2">
      <c r="I37229" s="137" t="s">
        <v>74</v>
      </c>
    </row>
    <row r="37230" spans="9:9" x14ac:dyDescent="0.2">
      <c r="I37230" s="137" t="s">
        <v>74</v>
      </c>
    </row>
    <row r="37231" spans="9:9" x14ac:dyDescent="0.2">
      <c r="I37231" s="137" t="s">
        <v>74</v>
      </c>
    </row>
    <row r="37232" spans="9:9" x14ac:dyDescent="0.2">
      <c r="I37232" s="137" t="s">
        <v>74</v>
      </c>
    </row>
    <row r="37233" spans="9:9" x14ac:dyDescent="0.2">
      <c r="I37233" s="137" t="s">
        <v>74</v>
      </c>
    </row>
    <row r="37234" spans="9:9" x14ac:dyDescent="0.2">
      <c r="I37234" s="137" t="s">
        <v>74</v>
      </c>
    </row>
    <row r="37235" spans="9:9" x14ac:dyDescent="0.2">
      <c r="I37235" s="137" t="s">
        <v>74</v>
      </c>
    </row>
    <row r="37236" spans="9:9" x14ac:dyDescent="0.2">
      <c r="I37236" s="137" t="s">
        <v>74</v>
      </c>
    </row>
    <row r="37237" spans="9:9" x14ac:dyDescent="0.2">
      <c r="I37237" s="137" t="s">
        <v>74</v>
      </c>
    </row>
    <row r="37238" spans="9:9" x14ac:dyDescent="0.2">
      <c r="I37238" s="137" t="s">
        <v>74</v>
      </c>
    </row>
    <row r="37239" spans="9:9" x14ac:dyDescent="0.2">
      <c r="I37239" s="137" t="s">
        <v>74</v>
      </c>
    </row>
    <row r="37240" spans="9:9" x14ac:dyDescent="0.2">
      <c r="I37240" s="137" t="s">
        <v>74</v>
      </c>
    </row>
    <row r="37241" spans="9:9" x14ac:dyDescent="0.2">
      <c r="I37241" s="137" t="s">
        <v>74</v>
      </c>
    </row>
    <row r="37242" spans="9:9" x14ac:dyDescent="0.2">
      <c r="I37242" s="137" t="s">
        <v>74</v>
      </c>
    </row>
    <row r="37243" spans="9:9" x14ac:dyDescent="0.2">
      <c r="I37243" s="137" t="s">
        <v>74</v>
      </c>
    </row>
    <row r="37244" spans="9:9" x14ac:dyDescent="0.2">
      <c r="I37244" s="137" t="s">
        <v>74</v>
      </c>
    </row>
    <row r="37245" spans="9:9" x14ac:dyDescent="0.2">
      <c r="I37245" s="137" t="s">
        <v>74</v>
      </c>
    </row>
    <row r="37246" spans="9:9" x14ac:dyDescent="0.2">
      <c r="I37246" s="137" t="s">
        <v>74</v>
      </c>
    </row>
    <row r="37247" spans="9:9" x14ac:dyDescent="0.2">
      <c r="I37247" s="137" t="s">
        <v>74</v>
      </c>
    </row>
    <row r="37248" spans="9:9" x14ac:dyDescent="0.2">
      <c r="I37248" s="137" t="s">
        <v>74</v>
      </c>
    </row>
    <row r="37249" spans="9:9" x14ac:dyDescent="0.2">
      <c r="I37249" s="137" t="s">
        <v>74</v>
      </c>
    </row>
    <row r="37250" spans="9:9" x14ac:dyDescent="0.2">
      <c r="I37250" s="137" t="s">
        <v>74</v>
      </c>
    </row>
    <row r="37251" spans="9:9" x14ac:dyDescent="0.2">
      <c r="I37251" s="137" t="s">
        <v>74</v>
      </c>
    </row>
    <row r="37252" spans="9:9" x14ac:dyDescent="0.2">
      <c r="I37252" s="137" t="s">
        <v>74</v>
      </c>
    </row>
    <row r="37253" spans="9:9" x14ac:dyDescent="0.2">
      <c r="I37253" s="137" t="s">
        <v>74</v>
      </c>
    </row>
    <row r="37254" spans="9:9" x14ac:dyDescent="0.2">
      <c r="I37254" s="137" t="s">
        <v>74</v>
      </c>
    </row>
    <row r="37255" spans="9:9" x14ac:dyDescent="0.2">
      <c r="I37255" s="137" t="s">
        <v>74</v>
      </c>
    </row>
    <row r="37256" spans="9:9" x14ac:dyDescent="0.2">
      <c r="I37256" s="137" t="s">
        <v>74</v>
      </c>
    </row>
    <row r="37257" spans="9:9" x14ac:dyDescent="0.2">
      <c r="I37257" s="137" t="s">
        <v>74</v>
      </c>
    </row>
    <row r="37258" spans="9:9" x14ac:dyDescent="0.2">
      <c r="I37258" s="137" t="s">
        <v>74</v>
      </c>
    </row>
    <row r="37259" spans="9:9" x14ac:dyDescent="0.2">
      <c r="I37259" s="137" t="s">
        <v>74</v>
      </c>
    </row>
    <row r="37260" spans="9:9" x14ac:dyDescent="0.2">
      <c r="I37260" s="137" t="s">
        <v>74</v>
      </c>
    </row>
    <row r="37261" spans="9:9" x14ac:dyDescent="0.2">
      <c r="I37261" s="137" t="s">
        <v>74</v>
      </c>
    </row>
    <row r="37262" spans="9:9" x14ac:dyDescent="0.2">
      <c r="I37262" s="137" t="s">
        <v>74</v>
      </c>
    </row>
    <row r="37263" spans="9:9" x14ac:dyDescent="0.2">
      <c r="I37263" s="137" t="s">
        <v>74</v>
      </c>
    </row>
    <row r="37264" spans="9:9" x14ac:dyDescent="0.2">
      <c r="I37264" s="137" t="s">
        <v>74</v>
      </c>
    </row>
    <row r="37265" spans="9:9" x14ac:dyDescent="0.2">
      <c r="I37265" s="137" t="s">
        <v>74</v>
      </c>
    </row>
    <row r="37266" spans="9:9" x14ac:dyDescent="0.2">
      <c r="I37266" s="137" t="s">
        <v>74</v>
      </c>
    </row>
    <row r="37267" spans="9:9" x14ac:dyDescent="0.2">
      <c r="I37267" s="137" t="s">
        <v>74</v>
      </c>
    </row>
    <row r="37268" spans="9:9" x14ac:dyDescent="0.2">
      <c r="I37268" s="137" t="s">
        <v>74</v>
      </c>
    </row>
    <row r="37269" spans="9:9" x14ac:dyDescent="0.2">
      <c r="I37269" s="137" t="s">
        <v>74</v>
      </c>
    </row>
    <row r="37270" spans="9:9" x14ac:dyDescent="0.2">
      <c r="I37270" s="137" t="s">
        <v>74</v>
      </c>
    </row>
    <row r="37271" spans="9:9" x14ac:dyDescent="0.2">
      <c r="I37271" s="137" t="s">
        <v>74</v>
      </c>
    </row>
    <row r="37272" spans="9:9" x14ac:dyDescent="0.2">
      <c r="I37272" s="137" t="s">
        <v>74</v>
      </c>
    </row>
    <row r="37273" spans="9:9" x14ac:dyDescent="0.2">
      <c r="I37273" s="137" t="s">
        <v>74</v>
      </c>
    </row>
    <row r="37274" spans="9:9" x14ac:dyDescent="0.2">
      <c r="I37274" s="137" t="s">
        <v>74</v>
      </c>
    </row>
    <row r="37275" spans="9:9" x14ac:dyDescent="0.2">
      <c r="I37275" s="137" t="s">
        <v>74</v>
      </c>
    </row>
    <row r="37276" spans="9:9" x14ac:dyDescent="0.2">
      <c r="I37276" s="137" t="s">
        <v>74</v>
      </c>
    </row>
    <row r="37277" spans="9:9" x14ac:dyDescent="0.2">
      <c r="I37277" s="137" t="s">
        <v>74</v>
      </c>
    </row>
    <row r="37278" spans="9:9" x14ac:dyDescent="0.2">
      <c r="I37278" s="137" t="s">
        <v>74</v>
      </c>
    </row>
    <row r="37279" spans="9:9" x14ac:dyDescent="0.2">
      <c r="I37279" s="137" t="s">
        <v>74</v>
      </c>
    </row>
    <row r="37280" spans="9:9" x14ac:dyDescent="0.2">
      <c r="I37280" s="137" t="s">
        <v>74</v>
      </c>
    </row>
    <row r="37281" spans="9:9" x14ac:dyDescent="0.2">
      <c r="I37281" s="137" t="s">
        <v>74</v>
      </c>
    </row>
    <row r="37282" spans="9:9" x14ac:dyDescent="0.2">
      <c r="I37282" s="137" t="s">
        <v>74</v>
      </c>
    </row>
    <row r="37283" spans="9:9" x14ac:dyDescent="0.2">
      <c r="I37283" s="137" t="s">
        <v>74</v>
      </c>
    </row>
    <row r="37284" spans="9:9" x14ac:dyDescent="0.2">
      <c r="I37284" s="137" t="s">
        <v>74</v>
      </c>
    </row>
    <row r="37285" spans="9:9" x14ac:dyDescent="0.2">
      <c r="I37285" s="137" t="s">
        <v>74</v>
      </c>
    </row>
    <row r="37286" spans="9:9" x14ac:dyDescent="0.2">
      <c r="I37286" s="137" t="s">
        <v>74</v>
      </c>
    </row>
    <row r="37287" spans="9:9" x14ac:dyDescent="0.2">
      <c r="I37287" s="137" t="s">
        <v>74</v>
      </c>
    </row>
    <row r="37288" spans="9:9" x14ac:dyDescent="0.2">
      <c r="I37288" s="137" t="s">
        <v>74</v>
      </c>
    </row>
    <row r="37289" spans="9:9" x14ac:dyDescent="0.2">
      <c r="I37289" s="137" t="s">
        <v>74</v>
      </c>
    </row>
    <row r="37290" spans="9:9" x14ac:dyDescent="0.2">
      <c r="I37290" s="137" t="s">
        <v>74</v>
      </c>
    </row>
    <row r="37291" spans="9:9" x14ac:dyDescent="0.2">
      <c r="I37291" s="137" t="s">
        <v>74</v>
      </c>
    </row>
    <row r="37292" spans="9:9" x14ac:dyDescent="0.2">
      <c r="I37292" s="137" t="s">
        <v>74</v>
      </c>
    </row>
    <row r="37293" spans="9:9" x14ac:dyDescent="0.2">
      <c r="I37293" s="137" t="s">
        <v>74</v>
      </c>
    </row>
    <row r="37294" spans="9:9" x14ac:dyDescent="0.2">
      <c r="I37294" s="137" t="s">
        <v>74</v>
      </c>
    </row>
    <row r="37295" spans="9:9" x14ac:dyDescent="0.2">
      <c r="I37295" s="137" t="s">
        <v>74</v>
      </c>
    </row>
    <row r="37296" spans="9:9" x14ac:dyDescent="0.2">
      <c r="I37296" s="137" t="s">
        <v>74</v>
      </c>
    </row>
    <row r="37297" spans="9:9" x14ac:dyDescent="0.2">
      <c r="I37297" s="137" t="s">
        <v>74</v>
      </c>
    </row>
    <row r="37298" spans="9:9" x14ac:dyDescent="0.2">
      <c r="I37298" s="137" t="s">
        <v>74</v>
      </c>
    </row>
    <row r="37299" spans="9:9" x14ac:dyDescent="0.2">
      <c r="I37299" s="137" t="s">
        <v>74</v>
      </c>
    </row>
    <row r="37300" spans="9:9" x14ac:dyDescent="0.2">
      <c r="I37300" s="137" t="s">
        <v>74</v>
      </c>
    </row>
    <row r="37301" spans="9:9" x14ac:dyDescent="0.2">
      <c r="I37301" s="137" t="s">
        <v>74</v>
      </c>
    </row>
    <row r="37302" spans="9:9" x14ac:dyDescent="0.2">
      <c r="I37302" s="137" t="s">
        <v>74</v>
      </c>
    </row>
    <row r="37303" spans="9:9" x14ac:dyDescent="0.2">
      <c r="I37303" s="137" t="s">
        <v>74</v>
      </c>
    </row>
    <row r="37304" spans="9:9" x14ac:dyDescent="0.2">
      <c r="I37304" s="137" t="s">
        <v>74</v>
      </c>
    </row>
    <row r="37305" spans="9:9" x14ac:dyDescent="0.2">
      <c r="I37305" s="137" t="s">
        <v>74</v>
      </c>
    </row>
    <row r="37306" spans="9:9" x14ac:dyDescent="0.2">
      <c r="I37306" s="137" t="s">
        <v>74</v>
      </c>
    </row>
    <row r="37307" spans="9:9" x14ac:dyDescent="0.2">
      <c r="I37307" s="137" t="s">
        <v>74</v>
      </c>
    </row>
    <row r="37308" spans="9:9" x14ac:dyDescent="0.2">
      <c r="I37308" s="137" t="s">
        <v>74</v>
      </c>
    </row>
    <row r="37309" spans="9:9" x14ac:dyDescent="0.2">
      <c r="I37309" s="137" t="s">
        <v>74</v>
      </c>
    </row>
    <row r="37310" spans="9:9" x14ac:dyDescent="0.2">
      <c r="I37310" s="137" t="s">
        <v>74</v>
      </c>
    </row>
    <row r="37311" spans="9:9" x14ac:dyDescent="0.2">
      <c r="I37311" s="137" t="s">
        <v>74</v>
      </c>
    </row>
    <row r="37312" spans="9:9" x14ac:dyDescent="0.2">
      <c r="I37312" s="137" t="s">
        <v>74</v>
      </c>
    </row>
    <row r="37313" spans="9:9" x14ac:dyDescent="0.2">
      <c r="I37313" s="137" t="s">
        <v>74</v>
      </c>
    </row>
    <row r="37314" spans="9:9" x14ac:dyDescent="0.2">
      <c r="I37314" s="137" t="s">
        <v>74</v>
      </c>
    </row>
    <row r="37315" spans="9:9" x14ac:dyDescent="0.2">
      <c r="I37315" s="137" t="s">
        <v>74</v>
      </c>
    </row>
    <row r="37316" spans="9:9" x14ac:dyDescent="0.2">
      <c r="I37316" s="137" t="s">
        <v>74</v>
      </c>
    </row>
    <row r="37317" spans="9:9" x14ac:dyDescent="0.2">
      <c r="I37317" s="137" t="s">
        <v>74</v>
      </c>
    </row>
    <row r="37318" spans="9:9" x14ac:dyDescent="0.2">
      <c r="I37318" s="137" t="s">
        <v>74</v>
      </c>
    </row>
    <row r="37319" spans="9:9" x14ac:dyDescent="0.2">
      <c r="I37319" s="137" t="s">
        <v>74</v>
      </c>
    </row>
    <row r="37320" spans="9:9" x14ac:dyDescent="0.2">
      <c r="I37320" s="137" t="s">
        <v>74</v>
      </c>
    </row>
    <row r="37321" spans="9:9" x14ac:dyDescent="0.2">
      <c r="I37321" s="137" t="s">
        <v>74</v>
      </c>
    </row>
    <row r="37322" spans="9:9" x14ac:dyDescent="0.2">
      <c r="I37322" s="137" t="s">
        <v>74</v>
      </c>
    </row>
    <row r="37323" spans="9:9" x14ac:dyDescent="0.2">
      <c r="I37323" s="137" t="s">
        <v>74</v>
      </c>
    </row>
    <row r="37324" spans="9:9" x14ac:dyDescent="0.2">
      <c r="I37324" s="137" t="s">
        <v>74</v>
      </c>
    </row>
    <row r="37325" spans="9:9" x14ac:dyDescent="0.2">
      <c r="I37325" s="137" t="s">
        <v>74</v>
      </c>
    </row>
    <row r="37326" spans="9:9" x14ac:dyDescent="0.2">
      <c r="I37326" s="137" t="s">
        <v>74</v>
      </c>
    </row>
    <row r="37327" spans="9:9" x14ac:dyDescent="0.2">
      <c r="I37327" s="137" t="s">
        <v>74</v>
      </c>
    </row>
    <row r="37328" spans="9:9" x14ac:dyDescent="0.2">
      <c r="I37328" s="137" t="s">
        <v>74</v>
      </c>
    </row>
    <row r="37329" spans="9:9" x14ac:dyDescent="0.2">
      <c r="I37329" s="137" t="s">
        <v>74</v>
      </c>
    </row>
    <row r="37330" spans="9:9" x14ac:dyDescent="0.2">
      <c r="I37330" s="137" t="s">
        <v>74</v>
      </c>
    </row>
    <row r="37331" spans="9:9" x14ac:dyDescent="0.2">
      <c r="I37331" s="137" t="s">
        <v>74</v>
      </c>
    </row>
    <row r="37332" spans="9:9" x14ac:dyDescent="0.2">
      <c r="I37332" s="137" t="s">
        <v>74</v>
      </c>
    </row>
    <row r="37333" spans="9:9" x14ac:dyDescent="0.2">
      <c r="I37333" s="137" t="s">
        <v>74</v>
      </c>
    </row>
    <row r="37334" spans="9:9" x14ac:dyDescent="0.2">
      <c r="I37334" s="137" t="s">
        <v>74</v>
      </c>
    </row>
    <row r="37335" spans="9:9" x14ac:dyDescent="0.2">
      <c r="I37335" s="137" t="s">
        <v>74</v>
      </c>
    </row>
    <row r="37336" spans="9:9" x14ac:dyDescent="0.2">
      <c r="I37336" s="137" t="s">
        <v>74</v>
      </c>
    </row>
    <row r="37337" spans="9:9" x14ac:dyDescent="0.2">
      <c r="I37337" s="137" t="s">
        <v>74</v>
      </c>
    </row>
    <row r="37338" spans="9:9" x14ac:dyDescent="0.2">
      <c r="I37338" s="137" t="s">
        <v>74</v>
      </c>
    </row>
    <row r="37339" spans="9:9" x14ac:dyDescent="0.2">
      <c r="I37339" s="137" t="s">
        <v>74</v>
      </c>
    </row>
    <row r="37340" spans="9:9" x14ac:dyDescent="0.2">
      <c r="I37340" s="137" t="s">
        <v>74</v>
      </c>
    </row>
    <row r="37341" spans="9:9" x14ac:dyDescent="0.2">
      <c r="I37341" s="137" t="s">
        <v>74</v>
      </c>
    </row>
    <row r="37342" spans="9:9" x14ac:dyDescent="0.2">
      <c r="I37342" s="137" t="s">
        <v>74</v>
      </c>
    </row>
    <row r="37343" spans="9:9" x14ac:dyDescent="0.2">
      <c r="I37343" s="137" t="s">
        <v>74</v>
      </c>
    </row>
    <row r="37344" spans="9:9" x14ac:dyDescent="0.2">
      <c r="I37344" s="137" t="s">
        <v>74</v>
      </c>
    </row>
    <row r="37345" spans="9:9" x14ac:dyDescent="0.2">
      <c r="I37345" s="137" t="s">
        <v>74</v>
      </c>
    </row>
    <row r="37346" spans="9:9" x14ac:dyDescent="0.2">
      <c r="I37346" s="137" t="s">
        <v>74</v>
      </c>
    </row>
    <row r="37347" spans="9:9" x14ac:dyDescent="0.2">
      <c r="I37347" s="137" t="s">
        <v>74</v>
      </c>
    </row>
    <row r="37348" spans="9:9" x14ac:dyDescent="0.2">
      <c r="I37348" s="137" t="s">
        <v>74</v>
      </c>
    </row>
    <row r="37349" spans="9:9" x14ac:dyDescent="0.2">
      <c r="I37349" s="137" t="s">
        <v>74</v>
      </c>
    </row>
    <row r="37350" spans="9:9" x14ac:dyDescent="0.2">
      <c r="I37350" s="137" t="s">
        <v>74</v>
      </c>
    </row>
    <row r="37351" spans="9:9" x14ac:dyDescent="0.2">
      <c r="I37351" s="137" t="s">
        <v>74</v>
      </c>
    </row>
    <row r="37352" spans="9:9" x14ac:dyDescent="0.2">
      <c r="I37352" s="137" t="s">
        <v>74</v>
      </c>
    </row>
    <row r="37353" spans="9:9" x14ac:dyDescent="0.2">
      <c r="I37353" s="137" t="s">
        <v>74</v>
      </c>
    </row>
    <row r="37354" spans="9:9" x14ac:dyDescent="0.2">
      <c r="I37354" s="137" t="s">
        <v>74</v>
      </c>
    </row>
    <row r="37355" spans="9:9" x14ac:dyDescent="0.2">
      <c r="I37355" s="137" t="s">
        <v>74</v>
      </c>
    </row>
    <row r="37356" spans="9:9" x14ac:dyDescent="0.2">
      <c r="I37356" s="137" t="s">
        <v>74</v>
      </c>
    </row>
    <row r="37357" spans="9:9" x14ac:dyDescent="0.2">
      <c r="I37357" s="137" t="s">
        <v>74</v>
      </c>
    </row>
    <row r="37358" spans="9:9" x14ac:dyDescent="0.2">
      <c r="I37358" s="137" t="s">
        <v>74</v>
      </c>
    </row>
    <row r="37359" spans="9:9" x14ac:dyDescent="0.2">
      <c r="I37359" s="137" t="s">
        <v>74</v>
      </c>
    </row>
    <row r="37360" spans="9:9" x14ac:dyDescent="0.2">
      <c r="I37360" s="137" t="s">
        <v>74</v>
      </c>
    </row>
    <row r="37361" spans="9:9" x14ac:dyDescent="0.2">
      <c r="I37361" s="137" t="s">
        <v>74</v>
      </c>
    </row>
    <row r="37362" spans="9:9" x14ac:dyDescent="0.2">
      <c r="I37362" s="137" t="s">
        <v>74</v>
      </c>
    </row>
    <row r="37363" spans="9:9" x14ac:dyDescent="0.2">
      <c r="I37363" s="137" t="s">
        <v>74</v>
      </c>
    </row>
    <row r="37364" spans="9:9" x14ac:dyDescent="0.2">
      <c r="I37364" s="137" t="s">
        <v>74</v>
      </c>
    </row>
    <row r="37365" spans="9:9" x14ac:dyDescent="0.2">
      <c r="I37365" s="137" t="s">
        <v>74</v>
      </c>
    </row>
    <row r="37366" spans="9:9" x14ac:dyDescent="0.2">
      <c r="I37366" s="137" t="s">
        <v>74</v>
      </c>
    </row>
    <row r="37367" spans="9:9" x14ac:dyDescent="0.2">
      <c r="I37367" s="137" t="s">
        <v>74</v>
      </c>
    </row>
    <row r="37368" spans="9:9" x14ac:dyDescent="0.2">
      <c r="I37368" s="137" t="s">
        <v>74</v>
      </c>
    </row>
    <row r="37369" spans="9:9" x14ac:dyDescent="0.2">
      <c r="I37369" s="137" t="s">
        <v>74</v>
      </c>
    </row>
    <row r="37370" spans="9:9" x14ac:dyDescent="0.2">
      <c r="I37370" s="137" t="s">
        <v>74</v>
      </c>
    </row>
    <row r="37371" spans="9:9" x14ac:dyDescent="0.2">
      <c r="I37371" s="137" t="s">
        <v>74</v>
      </c>
    </row>
    <row r="37372" spans="9:9" x14ac:dyDescent="0.2">
      <c r="I37372" s="137" t="s">
        <v>74</v>
      </c>
    </row>
    <row r="37373" spans="9:9" x14ac:dyDescent="0.2">
      <c r="I37373" s="137" t="s">
        <v>74</v>
      </c>
    </row>
    <row r="37374" spans="9:9" x14ac:dyDescent="0.2">
      <c r="I37374" s="137" t="s">
        <v>74</v>
      </c>
    </row>
    <row r="37375" spans="9:9" x14ac:dyDescent="0.2">
      <c r="I37375" s="137" t="s">
        <v>74</v>
      </c>
    </row>
    <row r="37376" spans="9:9" x14ac:dyDescent="0.2">
      <c r="I37376" s="137" t="s">
        <v>74</v>
      </c>
    </row>
    <row r="37377" spans="9:9" x14ac:dyDescent="0.2">
      <c r="I37377" s="137" t="s">
        <v>74</v>
      </c>
    </row>
    <row r="37378" spans="9:9" x14ac:dyDescent="0.2">
      <c r="I37378" s="137" t="s">
        <v>74</v>
      </c>
    </row>
    <row r="37379" spans="9:9" x14ac:dyDescent="0.2">
      <c r="I37379" s="137" t="s">
        <v>74</v>
      </c>
    </row>
    <row r="37380" spans="9:9" x14ac:dyDescent="0.2">
      <c r="I37380" s="137" t="s">
        <v>74</v>
      </c>
    </row>
    <row r="37381" spans="9:9" x14ac:dyDescent="0.2">
      <c r="I37381" s="137" t="s">
        <v>74</v>
      </c>
    </row>
    <row r="37382" spans="9:9" x14ac:dyDescent="0.2">
      <c r="I37382" s="137" t="s">
        <v>74</v>
      </c>
    </row>
    <row r="37383" spans="9:9" x14ac:dyDescent="0.2">
      <c r="I37383" s="137" t="s">
        <v>74</v>
      </c>
    </row>
    <row r="37384" spans="9:9" x14ac:dyDescent="0.2">
      <c r="I37384" s="137" t="s">
        <v>74</v>
      </c>
    </row>
    <row r="37385" spans="9:9" x14ac:dyDescent="0.2">
      <c r="I37385" s="137" t="s">
        <v>74</v>
      </c>
    </row>
    <row r="37386" spans="9:9" x14ac:dyDescent="0.2">
      <c r="I37386" s="137" t="s">
        <v>74</v>
      </c>
    </row>
    <row r="37387" spans="9:9" x14ac:dyDescent="0.2">
      <c r="I37387" s="137" t="s">
        <v>74</v>
      </c>
    </row>
    <row r="37388" spans="9:9" x14ac:dyDescent="0.2">
      <c r="I37388" s="137" t="s">
        <v>74</v>
      </c>
    </row>
    <row r="37389" spans="9:9" x14ac:dyDescent="0.2">
      <c r="I37389" s="137" t="s">
        <v>74</v>
      </c>
    </row>
    <row r="37390" spans="9:9" x14ac:dyDescent="0.2">
      <c r="I37390" s="137" t="s">
        <v>74</v>
      </c>
    </row>
    <row r="37391" spans="9:9" x14ac:dyDescent="0.2">
      <c r="I37391" s="137" t="s">
        <v>74</v>
      </c>
    </row>
    <row r="37392" spans="9:9" x14ac:dyDescent="0.2">
      <c r="I37392" s="137" t="s">
        <v>74</v>
      </c>
    </row>
    <row r="37393" spans="9:9" x14ac:dyDescent="0.2">
      <c r="I37393" s="137" t="s">
        <v>74</v>
      </c>
    </row>
    <row r="37394" spans="9:9" x14ac:dyDescent="0.2">
      <c r="I37394" s="137" t="s">
        <v>74</v>
      </c>
    </row>
    <row r="37395" spans="9:9" x14ac:dyDescent="0.2">
      <c r="I37395" s="137" t="s">
        <v>74</v>
      </c>
    </row>
    <row r="37396" spans="9:9" x14ac:dyDescent="0.2">
      <c r="I37396" s="137" t="s">
        <v>74</v>
      </c>
    </row>
    <row r="37397" spans="9:9" x14ac:dyDescent="0.2">
      <c r="I37397" s="137" t="s">
        <v>74</v>
      </c>
    </row>
    <row r="37398" spans="9:9" x14ac:dyDescent="0.2">
      <c r="I37398" s="137" t="s">
        <v>74</v>
      </c>
    </row>
    <row r="37399" spans="9:9" x14ac:dyDescent="0.2">
      <c r="I37399" s="137" t="s">
        <v>74</v>
      </c>
    </row>
    <row r="37400" spans="9:9" x14ac:dyDescent="0.2">
      <c r="I37400" s="137" t="s">
        <v>74</v>
      </c>
    </row>
    <row r="37401" spans="9:9" x14ac:dyDescent="0.2">
      <c r="I37401" s="137" t="s">
        <v>74</v>
      </c>
    </row>
    <row r="37402" spans="9:9" x14ac:dyDescent="0.2">
      <c r="I37402" s="137" t="s">
        <v>74</v>
      </c>
    </row>
    <row r="37403" spans="9:9" x14ac:dyDescent="0.2">
      <c r="I37403" s="137" t="s">
        <v>74</v>
      </c>
    </row>
    <row r="37404" spans="9:9" x14ac:dyDescent="0.2">
      <c r="I37404" s="137" t="s">
        <v>74</v>
      </c>
    </row>
    <row r="37405" spans="9:9" x14ac:dyDescent="0.2">
      <c r="I37405" s="137" t="s">
        <v>74</v>
      </c>
    </row>
    <row r="37406" spans="9:9" x14ac:dyDescent="0.2">
      <c r="I37406" s="137" t="s">
        <v>74</v>
      </c>
    </row>
    <row r="37407" spans="9:9" x14ac:dyDescent="0.2">
      <c r="I37407" s="137" t="s">
        <v>74</v>
      </c>
    </row>
    <row r="37408" spans="9:9" x14ac:dyDescent="0.2">
      <c r="I37408" s="137" t="s">
        <v>74</v>
      </c>
    </row>
    <row r="37409" spans="9:9" x14ac:dyDescent="0.2">
      <c r="I37409" s="137" t="s">
        <v>74</v>
      </c>
    </row>
    <row r="37410" spans="9:9" x14ac:dyDescent="0.2">
      <c r="I37410" s="137" t="s">
        <v>74</v>
      </c>
    </row>
    <row r="37411" spans="9:9" x14ac:dyDescent="0.2">
      <c r="I37411" s="137" t="s">
        <v>74</v>
      </c>
    </row>
    <row r="37412" spans="9:9" x14ac:dyDescent="0.2">
      <c r="I37412" s="137" t="s">
        <v>74</v>
      </c>
    </row>
    <row r="37413" spans="9:9" x14ac:dyDescent="0.2">
      <c r="I37413" s="137" t="s">
        <v>74</v>
      </c>
    </row>
    <row r="37414" spans="9:9" x14ac:dyDescent="0.2">
      <c r="I37414" s="137" t="s">
        <v>74</v>
      </c>
    </row>
    <row r="37415" spans="9:9" x14ac:dyDescent="0.2">
      <c r="I37415" s="137" t="s">
        <v>74</v>
      </c>
    </row>
    <row r="37416" spans="9:9" x14ac:dyDescent="0.2">
      <c r="I37416" s="137" t="s">
        <v>74</v>
      </c>
    </row>
    <row r="37417" spans="9:9" x14ac:dyDescent="0.2">
      <c r="I37417" s="137" t="s">
        <v>74</v>
      </c>
    </row>
    <row r="37418" spans="9:9" x14ac:dyDescent="0.2">
      <c r="I37418" s="137" t="s">
        <v>74</v>
      </c>
    </row>
    <row r="37419" spans="9:9" x14ac:dyDescent="0.2">
      <c r="I37419" s="137" t="s">
        <v>74</v>
      </c>
    </row>
    <row r="37420" spans="9:9" x14ac:dyDescent="0.2">
      <c r="I37420" s="137" t="s">
        <v>74</v>
      </c>
    </row>
    <row r="37421" spans="9:9" x14ac:dyDescent="0.2">
      <c r="I37421" s="137" t="s">
        <v>74</v>
      </c>
    </row>
    <row r="37422" spans="9:9" x14ac:dyDescent="0.2">
      <c r="I37422" s="137" t="s">
        <v>74</v>
      </c>
    </row>
    <row r="37423" spans="9:9" x14ac:dyDescent="0.2">
      <c r="I37423" s="137" t="s">
        <v>74</v>
      </c>
    </row>
    <row r="37424" spans="9:9" x14ac:dyDescent="0.2">
      <c r="I37424" s="137" t="s">
        <v>74</v>
      </c>
    </row>
    <row r="37425" spans="9:9" x14ac:dyDescent="0.2">
      <c r="I37425" s="137" t="s">
        <v>74</v>
      </c>
    </row>
    <row r="37426" spans="9:9" x14ac:dyDescent="0.2">
      <c r="I37426" s="137" t="s">
        <v>74</v>
      </c>
    </row>
    <row r="37427" spans="9:9" x14ac:dyDescent="0.2">
      <c r="I37427" s="137" t="s">
        <v>74</v>
      </c>
    </row>
    <row r="37428" spans="9:9" x14ac:dyDescent="0.2">
      <c r="I37428" s="137" t="s">
        <v>74</v>
      </c>
    </row>
    <row r="37429" spans="9:9" x14ac:dyDescent="0.2">
      <c r="I37429" s="137" t="s">
        <v>74</v>
      </c>
    </row>
    <row r="37430" spans="9:9" x14ac:dyDescent="0.2">
      <c r="I37430" s="137" t="s">
        <v>74</v>
      </c>
    </row>
    <row r="37431" spans="9:9" x14ac:dyDescent="0.2">
      <c r="I37431" s="137" t="s">
        <v>74</v>
      </c>
    </row>
    <row r="37432" spans="9:9" x14ac:dyDescent="0.2">
      <c r="I37432" s="137" t="s">
        <v>74</v>
      </c>
    </row>
    <row r="37433" spans="9:9" x14ac:dyDescent="0.2">
      <c r="I37433" s="137" t="s">
        <v>74</v>
      </c>
    </row>
    <row r="37434" spans="9:9" x14ac:dyDescent="0.2">
      <c r="I37434" s="137" t="s">
        <v>74</v>
      </c>
    </row>
    <row r="37435" spans="9:9" x14ac:dyDescent="0.2">
      <c r="I37435" s="137" t="s">
        <v>74</v>
      </c>
    </row>
    <row r="37436" spans="9:9" x14ac:dyDescent="0.2">
      <c r="I37436" s="137" t="s">
        <v>74</v>
      </c>
    </row>
    <row r="37437" spans="9:9" x14ac:dyDescent="0.2">
      <c r="I37437" s="137" t="s">
        <v>74</v>
      </c>
    </row>
    <row r="37438" spans="9:9" x14ac:dyDescent="0.2">
      <c r="I37438" s="137" t="s">
        <v>74</v>
      </c>
    </row>
    <row r="37439" spans="9:9" x14ac:dyDescent="0.2">
      <c r="I37439" s="137" t="s">
        <v>74</v>
      </c>
    </row>
    <row r="37440" spans="9:9" x14ac:dyDescent="0.2">
      <c r="I37440" s="137" t="s">
        <v>74</v>
      </c>
    </row>
    <row r="37441" spans="9:9" x14ac:dyDescent="0.2">
      <c r="I37441" s="137" t="s">
        <v>74</v>
      </c>
    </row>
    <row r="37442" spans="9:9" x14ac:dyDescent="0.2">
      <c r="I37442" s="137" t="s">
        <v>74</v>
      </c>
    </row>
    <row r="37443" spans="9:9" x14ac:dyDescent="0.2">
      <c r="I37443" s="137" t="s">
        <v>74</v>
      </c>
    </row>
    <row r="37444" spans="9:9" x14ac:dyDescent="0.2">
      <c r="I37444" s="137" t="s">
        <v>74</v>
      </c>
    </row>
    <row r="37445" spans="9:9" x14ac:dyDescent="0.2">
      <c r="I37445" s="137" t="s">
        <v>74</v>
      </c>
    </row>
    <row r="37446" spans="9:9" x14ac:dyDescent="0.2">
      <c r="I37446" s="137" t="s">
        <v>74</v>
      </c>
    </row>
    <row r="37447" spans="9:9" x14ac:dyDescent="0.2">
      <c r="I37447" s="137" t="s">
        <v>74</v>
      </c>
    </row>
    <row r="37448" spans="9:9" x14ac:dyDescent="0.2">
      <c r="I37448" s="137" t="s">
        <v>74</v>
      </c>
    </row>
    <row r="37449" spans="9:9" x14ac:dyDescent="0.2">
      <c r="I37449" s="137" t="s">
        <v>74</v>
      </c>
    </row>
    <row r="37450" spans="9:9" x14ac:dyDescent="0.2">
      <c r="I37450" s="137" t="s">
        <v>74</v>
      </c>
    </row>
    <row r="37451" spans="9:9" x14ac:dyDescent="0.2">
      <c r="I37451" s="137" t="s">
        <v>74</v>
      </c>
    </row>
    <row r="37452" spans="9:9" x14ac:dyDescent="0.2">
      <c r="I37452" s="137" t="s">
        <v>74</v>
      </c>
    </row>
    <row r="37453" spans="9:9" x14ac:dyDescent="0.2">
      <c r="I37453" s="137" t="s">
        <v>74</v>
      </c>
    </row>
    <row r="37454" spans="9:9" x14ac:dyDescent="0.2">
      <c r="I37454" s="137" t="s">
        <v>74</v>
      </c>
    </row>
    <row r="37455" spans="9:9" x14ac:dyDescent="0.2">
      <c r="I37455" s="137" t="s">
        <v>74</v>
      </c>
    </row>
    <row r="37456" spans="9:9" x14ac:dyDescent="0.2">
      <c r="I37456" s="137" t="s">
        <v>74</v>
      </c>
    </row>
    <row r="37457" spans="9:9" x14ac:dyDescent="0.2">
      <c r="I37457" s="137" t="s">
        <v>74</v>
      </c>
    </row>
    <row r="37458" spans="9:9" x14ac:dyDescent="0.2">
      <c r="I37458" s="137" t="s">
        <v>74</v>
      </c>
    </row>
    <row r="37459" spans="9:9" x14ac:dyDescent="0.2">
      <c r="I37459" s="137" t="s">
        <v>74</v>
      </c>
    </row>
    <row r="37460" spans="9:9" x14ac:dyDescent="0.2">
      <c r="I37460" s="137" t="s">
        <v>74</v>
      </c>
    </row>
    <row r="37461" spans="9:9" x14ac:dyDescent="0.2">
      <c r="I37461" s="137" t="s">
        <v>74</v>
      </c>
    </row>
    <row r="37462" spans="9:9" x14ac:dyDescent="0.2">
      <c r="I37462" s="137" t="s">
        <v>74</v>
      </c>
    </row>
    <row r="37463" spans="9:9" x14ac:dyDescent="0.2">
      <c r="I37463" s="137" t="s">
        <v>74</v>
      </c>
    </row>
    <row r="37464" spans="9:9" x14ac:dyDescent="0.2">
      <c r="I37464" s="137" t="s">
        <v>74</v>
      </c>
    </row>
    <row r="37465" spans="9:9" x14ac:dyDescent="0.2">
      <c r="I37465" s="137" t="s">
        <v>74</v>
      </c>
    </row>
    <row r="37466" spans="9:9" x14ac:dyDescent="0.2">
      <c r="I37466" s="137" t="s">
        <v>74</v>
      </c>
    </row>
    <row r="37467" spans="9:9" x14ac:dyDescent="0.2">
      <c r="I37467" s="137" t="s">
        <v>74</v>
      </c>
    </row>
    <row r="37468" spans="9:9" x14ac:dyDescent="0.2">
      <c r="I37468" s="137" t="s">
        <v>74</v>
      </c>
    </row>
    <row r="37469" spans="9:9" x14ac:dyDescent="0.2">
      <c r="I37469" s="137" t="s">
        <v>74</v>
      </c>
    </row>
    <row r="37470" spans="9:9" x14ac:dyDescent="0.2">
      <c r="I37470" s="137" t="s">
        <v>74</v>
      </c>
    </row>
    <row r="37471" spans="9:9" x14ac:dyDescent="0.2">
      <c r="I37471" s="137" t="s">
        <v>74</v>
      </c>
    </row>
    <row r="37472" spans="9:9" x14ac:dyDescent="0.2">
      <c r="I37472" s="137" t="s">
        <v>74</v>
      </c>
    </row>
    <row r="37473" spans="9:9" x14ac:dyDescent="0.2">
      <c r="I37473" s="137" t="s">
        <v>74</v>
      </c>
    </row>
    <row r="37474" spans="9:9" x14ac:dyDescent="0.2">
      <c r="I37474" s="137" t="s">
        <v>74</v>
      </c>
    </row>
    <row r="37475" spans="9:9" x14ac:dyDescent="0.2">
      <c r="I37475" s="137" t="s">
        <v>74</v>
      </c>
    </row>
    <row r="37476" spans="9:9" x14ac:dyDescent="0.2">
      <c r="I37476" s="137" t="s">
        <v>74</v>
      </c>
    </row>
    <row r="37477" spans="9:9" x14ac:dyDescent="0.2">
      <c r="I37477" s="137" t="s">
        <v>74</v>
      </c>
    </row>
    <row r="37478" spans="9:9" x14ac:dyDescent="0.2">
      <c r="I37478" s="137" t="s">
        <v>74</v>
      </c>
    </row>
    <row r="37479" spans="9:9" x14ac:dyDescent="0.2">
      <c r="I37479" s="137" t="s">
        <v>74</v>
      </c>
    </row>
    <row r="37480" spans="9:9" x14ac:dyDescent="0.2">
      <c r="I37480" s="137" t="s">
        <v>74</v>
      </c>
    </row>
    <row r="37481" spans="9:9" x14ac:dyDescent="0.2">
      <c r="I37481" s="137" t="s">
        <v>74</v>
      </c>
    </row>
    <row r="37482" spans="9:9" x14ac:dyDescent="0.2">
      <c r="I37482" s="137" t="s">
        <v>74</v>
      </c>
    </row>
    <row r="37483" spans="9:9" x14ac:dyDescent="0.2">
      <c r="I37483" s="137" t="s">
        <v>74</v>
      </c>
    </row>
    <row r="37484" spans="9:9" x14ac:dyDescent="0.2">
      <c r="I37484" s="137" t="s">
        <v>74</v>
      </c>
    </row>
    <row r="37485" spans="9:9" x14ac:dyDescent="0.2">
      <c r="I37485" s="137" t="s">
        <v>74</v>
      </c>
    </row>
    <row r="37486" spans="9:9" x14ac:dyDescent="0.2">
      <c r="I37486" s="137" t="s">
        <v>74</v>
      </c>
    </row>
    <row r="37487" spans="9:9" x14ac:dyDescent="0.2">
      <c r="I37487" s="137" t="s">
        <v>74</v>
      </c>
    </row>
    <row r="37488" spans="9:9" x14ac:dyDescent="0.2">
      <c r="I37488" s="137" t="s">
        <v>74</v>
      </c>
    </row>
    <row r="37489" spans="9:9" x14ac:dyDescent="0.2">
      <c r="I37489" s="137" t="s">
        <v>74</v>
      </c>
    </row>
    <row r="37490" spans="9:9" x14ac:dyDescent="0.2">
      <c r="I37490" s="137" t="s">
        <v>74</v>
      </c>
    </row>
    <row r="37491" spans="9:9" x14ac:dyDescent="0.2">
      <c r="I37491" s="137" t="s">
        <v>74</v>
      </c>
    </row>
    <row r="37492" spans="9:9" x14ac:dyDescent="0.2">
      <c r="I37492" s="137" t="s">
        <v>74</v>
      </c>
    </row>
    <row r="37493" spans="9:9" x14ac:dyDescent="0.2">
      <c r="I37493" s="137" t="s">
        <v>74</v>
      </c>
    </row>
    <row r="37494" spans="9:9" x14ac:dyDescent="0.2">
      <c r="I37494" s="137" t="s">
        <v>74</v>
      </c>
    </row>
    <row r="37495" spans="9:9" x14ac:dyDescent="0.2">
      <c r="I37495" s="137" t="s">
        <v>74</v>
      </c>
    </row>
    <row r="37496" spans="9:9" x14ac:dyDescent="0.2">
      <c r="I37496" s="137" t="s">
        <v>74</v>
      </c>
    </row>
    <row r="37497" spans="9:9" x14ac:dyDescent="0.2">
      <c r="I37497" s="137" t="s">
        <v>74</v>
      </c>
    </row>
    <row r="37498" spans="9:9" x14ac:dyDescent="0.2">
      <c r="I37498" s="137" t="s">
        <v>74</v>
      </c>
    </row>
    <row r="37499" spans="9:9" x14ac:dyDescent="0.2">
      <c r="I37499" s="137" t="s">
        <v>74</v>
      </c>
    </row>
    <row r="37500" spans="9:9" x14ac:dyDescent="0.2">
      <c r="I37500" s="137" t="s">
        <v>74</v>
      </c>
    </row>
    <row r="37501" spans="9:9" x14ac:dyDescent="0.2">
      <c r="I37501" s="137" t="s">
        <v>74</v>
      </c>
    </row>
    <row r="37502" spans="9:9" x14ac:dyDescent="0.2">
      <c r="I37502" s="137" t="s">
        <v>74</v>
      </c>
    </row>
    <row r="37503" spans="9:9" x14ac:dyDescent="0.2">
      <c r="I37503" s="137" t="s">
        <v>74</v>
      </c>
    </row>
    <row r="37504" spans="9:9" x14ac:dyDescent="0.2">
      <c r="I37504" s="137" t="s">
        <v>74</v>
      </c>
    </row>
    <row r="37505" spans="9:9" x14ac:dyDescent="0.2">
      <c r="I37505" s="137" t="s">
        <v>74</v>
      </c>
    </row>
    <row r="37506" spans="9:9" x14ac:dyDescent="0.2">
      <c r="I37506" s="137" t="s">
        <v>74</v>
      </c>
    </row>
    <row r="37507" spans="9:9" x14ac:dyDescent="0.2">
      <c r="I37507" s="137" t="s">
        <v>74</v>
      </c>
    </row>
    <row r="37508" spans="9:9" x14ac:dyDescent="0.2">
      <c r="I37508" s="137" t="s">
        <v>74</v>
      </c>
    </row>
    <row r="37509" spans="9:9" x14ac:dyDescent="0.2">
      <c r="I37509" s="137" t="s">
        <v>74</v>
      </c>
    </row>
    <row r="37510" spans="9:9" x14ac:dyDescent="0.2">
      <c r="I37510" s="137" t="s">
        <v>74</v>
      </c>
    </row>
    <row r="37511" spans="9:9" x14ac:dyDescent="0.2">
      <c r="I37511" s="137" t="s">
        <v>74</v>
      </c>
    </row>
    <row r="37512" spans="9:9" x14ac:dyDescent="0.2">
      <c r="I37512" s="137" t="s">
        <v>74</v>
      </c>
    </row>
    <row r="37513" spans="9:9" x14ac:dyDescent="0.2">
      <c r="I37513" s="137" t="s">
        <v>74</v>
      </c>
    </row>
    <row r="37514" spans="9:9" x14ac:dyDescent="0.2">
      <c r="I37514" s="137" t="s">
        <v>74</v>
      </c>
    </row>
    <row r="37515" spans="9:9" x14ac:dyDescent="0.2">
      <c r="I37515" s="137" t="s">
        <v>74</v>
      </c>
    </row>
    <row r="37516" spans="9:9" x14ac:dyDescent="0.2">
      <c r="I37516" s="137" t="s">
        <v>74</v>
      </c>
    </row>
    <row r="37517" spans="9:9" x14ac:dyDescent="0.2">
      <c r="I37517" s="137" t="s">
        <v>74</v>
      </c>
    </row>
    <row r="37518" spans="9:9" x14ac:dyDescent="0.2">
      <c r="I37518" s="137" t="s">
        <v>74</v>
      </c>
    </row>
    <row r="37519" spans="9:9" x14ac:dyDescent="0.2">
      <c r="I37519" s="137" t="s">
        <v>74</v>
      </c>
    </row>
    <row r="37520" spans="9:9" x14ac:dyDescent="0.2">
      <c r="I37520" s="137" t="s">
        <v>74</v>
      </c>
    </row>
    <row r="37521" spans="9:9" x14ac:dyDescent="0.2">
      <c r="I37521" s="137" t="s">
        <v>74</v>
      </c>
    </row>
    <row r="37522" spans="9:9" x14ac:dyDescent="0.2">
      <c r="I37522" s="137" t="s">
        <v>74</v>
      </c>
    </row>
    <row r="37523" spans="9:9" x14ac:dyDescent="0.2">
      <c r="I37523" s="137" t="s">
        <v>74</v>
      </c>
    </row>
    <row r="37524" spans="9:9" x14ac:dyDescent="0.2">
      <c r="I37524" s="137" t="s">
        <v>74</v>
      </c>
    </row>
    <row r="37525" spans="9:9" x14ac:dyDescent="0.2">
      <c r="I37525" s="137" t="s">
        <v>74</v>
      </c>
    </row>
    <row r="37526" spans="9:9" x14ac:dyDescent="0.2">
      <c r="I37526" s="137" t="s">
        <v>74</v>
      </c>
    </row>
    <row r="37527" spans="9:9" x14ac:dyDescent="0.2">
      <c r="I37527" s="137" t="s">
        <v>74</v>
      </c>
    </row>
    <row r="37528" spans="9:9" x14ac:dyDescent="0.2">
      <c r="I37528" s="137" t="s">
        <v>74</v>
      </c>
    </row>
    <row r="37529" spans="9:9" x14ac:dyDescent="0.2">
      <c r="I37529" s="137" t="s">
        <v>74</v>
      </c>
    </row>
    <row r="37530" spans="9:9" x14ac:dyDescent="0.2">
      <c r="I37530" s="137" t="s">
        <v>74</v>
      </c>
    </row>
    <row r="37531" spans="9:9" x14ac:dyDescent="0.2">
      <c r="I37531" s="137" t="s">
        <v>74</v>
      </c>
    </row>
    <row r="37532" spans="9:9" x14ac:dyDescent="0.2">
      <c r="I37532" s="137" t="s">
        <v>74</v>
      </c>
    </row>
    <row r="37533" spans="9:9" x14ac:dyDescent="0.2">
      <c r="I37533" s="137" t="s">
        <v>74</v>
      </c>
    </row>
    <row r="37534" spans="9:9" x14ac:dyDescent="0.2">
      <c r="I37534" s="137" t="s">
        <v>74</v>
      </c>
    </row>
    <row r="37535" spans="9:9" x14ac:dyDescent="0.2">
      <c r="I37535" s="137" t="s">
        <v>74</v>
      </c>
    </row>
    <row r="37536" spans="9:9" x14ac:dyDescent="0.2">
      <c r="I37536" s="137" t="s">
        <v>74</v>
      </c>
    </row>
    <row r="37537" spans="9:9" x14ac:dyDescent="0.2">
      <c r="I37537" s="137" t="s">
        <v>74</v>
      </c>
    </row>
    <row r="37538" spans="9:9" x14ac:dyDescent="0.2">
      <c r="I37538" s="137" t="s">
        <v>74</v>
      </c>
    </row>
    <row r="37539" spans="9:9" x14ac:dyDescent="0.2">
      <c r="I37539" s="137" t="s">
        <v>74</v>
      </c>
    </row>
    <row r="37540" spans="9:9" x14ac:dyDescent="0.2">
      <c r="I37540" s="137" t="s">
        <v>74</v>
      </c>
    </row>
    <row r="37541" spans="9:9" x14ac:dyDescent="0.2">
      <c r="I37541" s="137" t="s">
        <v>74</v>
      </c>
    </row>
    <row r="37542" spans="9:9" x14ac:dyDescent="0.2">
      <c r="I37542" s="137" t="s">
        <v>74</v>
      </c>
    </row>
    <row r="37543" spans="9:9" x14ac:dyDescent="0.2">
      <c r="I37543" s="137" t="s">
        <v>74</v>
      </c>
    </row>
    <row r="37544" spans="9:9" x14ac:dyDescent="0.2">
      <c r="I37544" s="137" t="s">
        <v>74</v>
      </c>
    </row>
    <row r="37545" spans="9:9" x14ac:dyDescent="0.2">
      <c r="I37545" s="137" t="s">
        <v>74</v>
      </c>
    </row>
    <row r="37546" spans="9:9" x14ac:dyDescent="0.2">
      <c r="I37546" s="137" t="s">
        <v>74</v>
      </c>
    </row>
    <row r="37547" spans="9:9" x14ac:dyDescent="0.2">
      <c r="I37547" s="137" t="s">
        <v>74</v>
      </c>
    </row>
    <row r="37548" spans="9:9" x14ac:dyDescent="0.2">
      <c r="I37548" s="137" t="s">
        <v>74</v>
      </c>
    </row>
    <row r="37549" spans="9:9" x14ac:dyDescent="0.2">
      <c r="I37549" s="137" t="s">
        <v>74</v>
      </c>
    </row>
    <row r="37550" spans="9:9" x14ac:dyDescent="0.2">
      <c r="I37550" s="137" t="s">
        <v>74</v>
      </c>
    </row>
    <row r="37551" spans="9:9" x14ac:dyDescent="0.2">
      <c r="I37551" s="137" t="s">
        <v>74</v>
      </c>
    </row>
    <row r="37552" spans="9:9" x14ac:dyDescent="0.2">
      <c r="I37552" s="137" t="s">
        <v>74</v>
      </c>
    </row>
    <row r="37553" spans="9:9" x14ac:dyDescent="0.2">
      <c r="I37553" s="137" t="s">
        <v>74</v>
      </c>
    </row>
    <row r="37554" spans="9:9" x14ac:dyDescent="0.2">
      <c r="I37554" s="137" t="s">
        <v>74</v>
      </c>
    </row>
    <row r="37555" spans="9:9" x14ac:dyDescent="0.2">
      <c r="I37555" s="137" t="s">
        <v>74</v>
      </c>
    </row>
    <row r="37556" spans="9:9" x14ac:dyDescent="0.2">
      <c r="I37556" s="137" t="s">
        <v>74</v>
      </c>
    </row>
    <row r="37557" spans="9:9" x14ac:dyDescent="0.2">
      <c r="I37557" s="137" t="s">
        <v>74</v>
      </c>
    </row>
    <row r="37558" spans="9:9" x14ac:dyDescent="0.2">
      <c r="I37558" s="137" t="s">
        <v>74</v>
      </c>
    </row>
    <row r="37559" spans="9:9" x14ac:dyDescent="0.2">
      <c r="I37559" s="137" t="s">
        <v>74</v>
      </c>
    </row>
    <row r="37560" spans="9:9" x14ac:dyDescent="0.2">
      <c r="I37560" s="137" t="s">
        <v>74</v>
      </c>
    </row>
    <row r="37561" spans="9:9" x14ac:dyDescent="0.2">
      <c r="I37561" s="137" t="s">
        <v>74</v>
      </c>
    </row>
    <row r="37562" spans="9:9" x14ac:dyDescent="0.2">
      <c r="I37562" s="137" t="s">
        <v>74</v>
      </c>
    </row>
    <row r="37563" spans="9:9" x14ac:dyDescent="0.2">
      <c r="I37563" s="137" t="s">
        <v>74</v>
      </c>
    </row>
    <row r="37564" spans="9:9" x14ac:dyDescent="0.2">
      <c r="I37564" s="137" t="s">
        <v>74</v>
      </c>
    </row>
    <row r="37565" spans="9:9" x14ac:dyDescent="0.2">
      <c r="I37565" s="137" t="s">
        <v>74</v>
      </c>
    </row>
    <row r="37566" spans="9:9" x14ac:dyDescent="0.2">
      <c r="I37566" s="137" t="s">
        <v>74</v>
      </c>
    </row>
    <row r="37567" spans="9:9" x14ac:dyDescent="0.2">
      <c r="I37567" s="137" t="s">
        <v>74</v>
      </c>
    </row>
    <row r="37568" spans="9:9" x14ac:dyDescent="0.2">
      <c r="I37568" s="137" t="s">
        <v>74</v>
      </c>
    </row>
    <row r="37569" spans="9:9" x14ac:dyDescent="0.2">
      <c r="I37569" s="137" t="s">
        <v>74</v>
      </c>
    </row>
    <row r="37570" spans="9:9" x14ac:dyDescent="0.2">
      <c r="I37570" s="137" t="s">
        <v>74</v>
      </c>
    </row>
    <row r="37571" spans="9:9" x14ac:dyDescent="0.2">
      <c r="I37571" s="137" t="s">
        <v>74</v>
      </c>
    </row>
    <row r="37572" spans="9:9" x14ac:dyDescent="0.2">
      <c r="I37572" s="137" t="s">
        <v>74</v>
      </c>
    </row>
    <row r="37573" spans="9:9" x14ac:dyDescent="0.2">
      <c r="I37573" s="137" t="s">
        <v>74</v>
      </c>
    </row>
    <row r="37574" spans="9:9" x14ac:dyDescent="0.2">
      <c r="I37574" s="137" t="s">
        <v>74</v>
      </c>
    </row>
    <row r="37575" spans="9:9" x14ac:dyDescent="0.2">
      <c r="I37575" s="137" t="s">
        <v>74</v>
      </c>
    </row>
    <row r="37576" spans="9:9" x14ac:dyDescent="0.2">
      <c r="I37576" s="137" t="s">
        <v>74</v>
      </c>
    </row>
    <row r="37577" spans="9:9" x14ac:dyDescent="0.2">
      <c r="I37577" s="137" t="s">
        <v>74</v>
      </c>
    </row>
    <row r="37578" spans="9:9" x14ac:dyDescent="0.2">
      <c r="I37578" s="137" t="s">
        <v>74</v>
      </c>
    </row>
    <row r="37579" spans="9:9" x14ac:dyDescent="0.2">
      <c r="I37579" s="137" t="s">
        <v>74</v>
      </c>
    </row>
    <row r="37580" spans="9:9" x14ac:dyDescent="0.2">
      <c r="I37580" s="137" t="s">
        <v>74</v>
      </c>
    </row>
    <row r="37581" spans="9:9" x14ac:dyDescent="0.2">
      <c r="I37581" s="137" t="s">
        <v>74</v>
      </c>
    </row>
    <row r="37582" spans="9:9" x14ac:dyDescent="0.2">
      <c r="I37582" s="137" t="s">
        <v>74</v>
      </c>
    </row>
    <row r="37583" spans="9:9" x14ac:dyDescent="0.2">
      <c r="I37583" s="137" t="s">
        <v>74</v>
      </c>
    </row>
    <row r="37584" spans="9:9" x14ac:dyDescent="0.2">
      <c r="I37584" s="137" t="s">
        <v>74</v>
      </c>
    </row>
    <row r="37585" spans="9:9" x14ac:dyDescent="0.2">
      <c r="I37585" s="137" t="s">
        <v>74</v>
      </c>
    </row>
    <row r="37586" spans="9:9" x14ac:dyDescent="0.2">
      <c r="I37586" s="137" t="s">
        <v>74</v>
      </c>
    </row>
    <row r="37587" spans="9:9" x14ac:dyDescent="0.2">
      <c r="I37587" s="137" t="s">
        <v>74</v>
      </c>
    </row>
    <row r="37588" spans="9:9" x14ac:dyDescent="0.2">
      <c r="I37588" s="137" t="s">
        <v>74</v>
      </c>
    </row>
    <row r="37589" spans="9:9" x14ac:dyDescent="0.2">
      <c r="I37589" s="137" t="s">
        <v>74</v>
      </c>
    </row>
    <row r="37590" spans="9:9" x14ac:dyDescent="0.2">
      <c r="I37590" s="137" t="s">
        <v>74</v>
      </c>
    </row>
    <row r="37591" spans="9:9" x14ac:dyDescent="0.2">
      <c r="I37591" s="137" t="s">
        <v>74</v>
      </c>
    </row>
    <row r="37592" spans="9:9" x14ac:dyDescent="0.2">
      <c r="I37592" s="137" t="s">
        <v>74</v>
      </c>
    </row>
    <row r="37593" spans="9:9" x14ac:dyDescent="0.2">
      <c r="I37593" s="137" t="s">
        <v>74</v>
      </c>
    </row>
    <row r="37594" spans="9:9" x14ac:dyDescent="0.2">
      <c r="I37594" s="137" t="s">
        <v>74</v>
      </c>
    </row>
    <row r="37595" spans="9:9" x14ac:dyDescent="0.2">
      <c r="I37595" s="137" t="s">
        <v>74</v>
      </c>
    </row>
    <row r="37596" spans="9:9" x14ac:dyDescent="0.2">
      <c r="I37596" s="137" t="s">
        <v>74</v>
      </c>
    </row>
    <row r="37597" spans="9:9" x14ac:dyDescent="0.2">
      <c r="I37597" s="137" t="s">
        <v>74</v>
      </c>
    </row>
    <row r="37598" spans="9:9" x14ac:dyDescent="0.2">
      <c r="I37598" s="137" t="s">
        <v>74</v>
      </c>
    </row>
    <row r="37599" spans="9:9" x14ac:dyDescent="0.2">
      <c r="I37599" s="137" t="s">
        <v>74</v>
      </c>
    </row>
    <row r="37600" spans="9:9" x14ac:dyDescent="0.2">
      <c r="I37600" s="137" t="s">
        <v>74</v>
      </c>
    </row>
    <row r="37601" spans="9:9" x14ac:dyDescent="0.2">
      <c r="I37601" s="137" t="s">
        <v>74</v>
      </c>
    </row>
    <row r="37602" spans="9:9" x14ac:dyDescent="0.2">
      <c r="I37602" s="137" t="s">
        <v>74</v>
      </c>
    </row>
    <row r="37603" spans="9:9" x14ac:dyDescent="0.2">
      <c r="I37603" s="137" t="s">
        <v>74</v>
      </c>
    </row>
    <row r="37604" spans="9:9" x14ac:dyDescent="0.2">
      <c r="I37604" s="137" t="s">
        <v>74</v>
      </c>
    </row>
    <row r="37605" spans="9:9" x14ac:dyDescent="0.2">
      <c r="I37605" s="137" t="s">
        <v>74</v>
      </c>
    </row>
    <row r="37606" spans="9:9" x14ac:dyDescent="0.2">
      <c r="I37606" s="137" t="s">
        <v>74</v>
      </c>
    </row>
    <row r="37607" spans="9:9" x14ac:dyDescent="0.2">
      <c r="I37607" s="137" t="s">
        <v>74</v>
      </c>
    </row>
    <row r="37608" spans="9:9" x14ac:dyDescent="0.2">
      <c r="I37608" s="137" t="s">
        <v>74</v>
      </c>
    </row>
    <row r="37609" spans="9:9" x14ac:dyDescent="0.2">
      <c r="I37609" s="137" t="s">
        <v>74</v>
      </c>
    </row>
    <row r="37610" spans="9:9" x14ac:dyDescent="0.2">
      <c r="I37610" s="137" t="s">
        <v>74</v>
      </c>
    </row>
    <row r="37611" spans="9:9" x14ac:dyDescent="0.2">
      <c r="I37611" s="137" t="s">
        <v>74</v>
      </c>
    </row>
    <row r="37612" spans="9:9" x14ac:dyDescent="0.2">
      <c r="I37612" s="137" t="s">
        <v>74</v>
      </c>
    </row>
    <row r="37613" spans="9:9" x14ac:dyDescent="0.2">
      <c r="I37613" s="137" t="s">
        <v>74</v>
      </c>
    </row>
    <row r="37614" spans="9:9" x14ac:dyDescent="0.2">
      <c r="I37614" s="137" t="s">
        <v>74</v>
      </c>
    </row>
    <row r="37615" spans="9:9" x14ac:dyDescent="0.2">
      <c r="I37615" s="137" t="s">
        <v>74</v>
      </c>
    </row>
    <row r="37616" spans="9:9" x14ac:dyDescent="0.2">
      <c r="I37616" s="137" t="s">
        <v>74</v>
      </c>
    </row>
    <row r="37617" spans="9:9" x14ac:dyDescent="0.2">
      <c r="I37617" s="137" t="s">
        <v>74</v>
      </c>
    </row>
    <row r="37618" spans="9:9" x14ac:dyDescent="0.2">
      <c r="I37618" s="137" t="s">
        <v>74</v>
      </c>
    </row>
    <row r="37619" spans="9:9" x14ac:dyDescent="0.2">
      <c r="I37619" s="137" t="s">
        <v>74</v>
      </c>
    </row>
    <row r="37620" spans="9:9" x14ac:dyDescent="0.2">
      <c r="I37620" s="137" t="s">
        <v>74</v>
      </c>
    </row>
    <row r="37621" spans="9:9" x14ac:dyDescent="0.2">
      <c r="I37621" s="137" t="s">
        <v>74</v>
      </c>
    </row>
    <row r="37622" spans="9:9" x14ac:dyDescent="0.2">
      <c r="I37622" s="137" t="s">
        <v>74</v>
      </c>
    </row>
    <row r="37623" spans="9:9" x14ac:dyDescent="0.2">
      <c r="I37623" s="137" t="s">
        <v>74</v>
      </c>
    </row>
    <row r="37624" spans="9:9" x14ac:dyDescent="0.2">
      <c r="I37624" s="137" t="s">
        <v>74</v>
      </c>
    </row>
    <row r="37625" spans="9:9" x14ac:dyDescent="0.2">
      <c r="I37625" s="137" t="s">
        <v>74</v>
      </c>
    </row>
    <row r="37626" spans="9:9" x14ac:dyDescent="0.2">
      <c r="I37626" s="137" t="s">
        <v>74</v>
      </c>
    </row>
    <row r="37627" spans="9:9" x14ac:dyDescent="0.2">
      <c r="I37627" s="137" t="s">
        <v>74</v>
      </c>
    </row>
    <row r="37628" spans="9:9" x14ac:dyDescent="0.2">
      <c r="I37628" s="137" t="s">
        <v>74</v>
      </c>
    </row>
    <row r="37629" spans="9:9" x14ac:dyDescent="0.2">
      <c r="I37629" s="137" t="s">
        <v>74</v>
      </c>
    </row>
    <row r="37630" spans="9:9" x14ac:dyDescent="0.2">
      <c r="I37630" s="137" t="s">
        <v>74</v>
      </c>
    </row>
    <row r="37631" spans="9:9" x14ac:dyDescent="0.2">
      <c r="I37631" s="137" t="s">
        <v>74</v>
      </c>
    </row>
    <row r="37632" spans="9:9" x14ac:dyDescent="0.2">
      <c r="I37632" s="137" t="s">
        <v>74</v>
      </c>
    </row>
    <row r="37633" spans="9:9" x14ac:dyDescent="0.2">
      <c r="I37633" s="137" t="s">
        <v>74</v>
      </c>
    </row>
    <row r="37634" spans="9:9" x14ac:dyDescent="0.2">
      <c r="I37634" s="137" t="s">
        <v>74</v>
      </c>
    </row>
    <row r="37635" spans="9:9" x14ac:dyDescent="0.2">
      <c r="I37635" s="137" t="s">
        <v>74</v>
      </c>
    </row>
    <row r="37636" spans="9:9" x14ac:dyDescent="0.2">
      <c r="I37636" s="137" t="s">
        <v>74</v>
      </c>
    </row>
    <row r="37637" spans="9:9" x14ac:dyDescent="0.2">
      <c r="I37637" s="137" t="s">
        <v>74</v>
      </c>
    </row>
    <row r="37638" spans="9:9" x14ac:dyDescent="0.2">
      <c r="I37638" s="137" t="s">
        <v>74</v>
      </c>
    </row>
    <row r="37639" spans="9:9" x14ac:dyDescent="0.2">
      <c r="I37639" s="137" t="s">
        <v>74</v>
      </c>
    </row>
    <row r="37640" spans="9:9" x14ac:dyDescent="0.2">
      <c r="I37640" s="137" t="s">
        <v>74</v>
      </c>
    </row>
    <row r="37641" spans="9:9" x14ac:dyDescent="0.2">
      <c r="I37641" s="137" t="s">
        <v>74</v>
      </c>
    </row>
    <row r="37642" spans="9:9" x14ac:dyDescent="0.2">
      <c r="I37642" s="137" t="s">
        <v>74</v>
      </c>
    </row>
    <row r="37643" spans="9:9" x14ac:dyDescent="0.2">
      <c r="I37643" s="137" t="s">
        <v>74</v>
      </c>
    </row>
    <row r="37644" spans="9:9" x14ac:dyDescent="0.2">
      <c r="I37644" s="137" t="s">
        <v>74</v>
      </c>
    </row>
    <row r="37645" spans="9:9" x14ac:dyDescent="0.2">
      <c r="I37645" s="137" t="s">
        <v>74</v>
      </c>
    </row>
    <row r="37646" spans="9:9" x14ac:dyDescent="0.2">
      <c r="I37646" s="137" t="s">
        <v>74</v>
      </c>
    </row>
    <row r="37647" spans="9:9" x14ac:dyDescent="0.2">
      <c r="I37647" s="137" t="s">
        <v>74</v>
      </c>
    </row>
    <row r="37648" spans="9:9" x14ac:dyDescent="0.2">
      <c r="I37648" s="137" t="s">
        <v>74</v>
      </c>
    </row>
    <row r="37649" spans="9:9" x14ac:dyDescent="0.2">
      <c r="I37649" s="137" t="s">
        <v>74</v>
      </c>
    </row>
    <row r="37650" spans="9:9" x14ac:dyDescent="0.2">
      <c r="I37650" s="137" t="s">
        <v>74</v>
      </c>
    </row>
    <row r="37651" spans="9:9" x14ac:dyDescent="0.2">
      <c r="I37651" s="137" t="s">
        <v>74</v>
      </c>
    </row>
    <row r="37652" spans="9:9" x14ac:dyDescent="0.2">
      <c r="I37652" s="137" t="s">
        <v>74</v>
      </c>
    </row>
    <row r="37653" spans="9:9" x14ac:dyDescent="0.2">
      <c r="I37653" s="137" t="s">
        <v>74</v>
      </c>
    </row>
    <row r="37654" spans="9:9" x14ac:dyDescent="0.2">
      <c r="I37654" s="137" t="s">
        <v>74</v>
      </c>
    </row>
    <row r="37655" spans="9:9" x14ac:dyDescent="0.2">
      <c r="I37655" s="137" t="s">
        <v>74</v>
      </c>
    </row>
    <row r="37656" spans="9:9" x14ac:dyDescent="0.2">
      <c r="I37656" s="137" t="s">
        <v>74</v>
      </c>
    </row>
    <row r="37657" spans="9:9" x14ac:dyDescent="0.2">
      <c r="I37657" s="137" t="s">
        <v>74</v>
      </c>
    </row>
    <row r="37658" spans="9:9" x14ac:dyDescent="0.2">
      <c r="I37658" s="137" t="s">
        <v>74</v>
      </c>
    </row>
    <row r="37659" spans="9:9" x14ac:dyDescent="0.2">
      <c r="I37659" s="137" t="s">
        <v>74</v>
      </c>
    </row>
    <row r="37660" spans="9:9" x14ac:dyDescent="0.2">
      <c r="I37660" s="137" t="s">
        <v>74</v>
      </c>
    </row>
    <row r="37661" spans="9:9" x14ac:dyDescent="0.2">
      <c r="I37661" s="137" t="s">
        <v>74</v>
      </c>
    </row>
    <row r="37662" spans="9:9" x14ac:dyDescent="0.2">
      <c r="I37662" s="137" t="s">
        <v>74</v>
      </c>
    </row>
    <row r="37663" spans="9:9" x14ac:dyDescent="0.2">
      <c r="I37663" s="137" t="s">
        <v>74</v>
      </c>
    </row>
    <row r="37664" spans="9:9" x14ac:dyDescent="0.2">
      <c r="I37664" s="137" t="s">
        <v>74</v>
      </c>
    </row>
    <row r="37665" spans="9:9" x14ac:dyDescent="0.2">
      <c r="I37665" s="137" t="s">
        <v>74</v>
      </c>
    </row>
    <row r="37666" spans="9:9" x14ac:dyDescent="0.2">
      <c r="I37666" s="137" t="s">
        <v>74</v>
      </c>
    </row>
    <row r="37667" spans="9:9" x14ac:dyDescent="0.2">
      <c r="I37667" s="137" t="s">
        <v>74</v>
      </c>
    </row>
    <row r="37668" spans="9:9" x14ac:dyDescent="0.2">
      <c r="I37668" s="137" t="s">
        <v>74</v>
      </c>
    </row>
    <row r="37669" spans="9:9" x14ac:dyDescent="0.2">
      <c r="I37669" s="137" t="s">
        <v>74</v>
      </c>
    </row>
    <row r="37670" spans="9:9" x14ac:dyDescent="0.2">
      <c r="I37670" s="137" t="s">
        <v>74</v>
      </c>
    </row>
    <row r="37671" spans="9:9" x14ac:dyDescent="0.2">
      <c r="I37671" s="137" t="s">
        <v>74</v>
      </c>
    </row>
    <row r="37672" spans="9:9" x14ac:dyDescent="0.2">
      <c r="I37672" s="137" t="s">
        <v>74</v>
      </c>
    </row>
    <row r="37673" spans="9:9" x14ac:dyDescent="0.2">
      <c r="I37673" s="137" t="s">
        <v>74</v>
      </c>
    </row>
    <row r="37674" spans="9:9" x14ac:dyDescent="0.2">
      <c r="I37674" s="137" t="s">
        <v>74</v>
      </c>
    </row>
    <row r="37675" spans="9:9" x14ac:dyDescent="0.2">
      <c r="I37675" s="137" t="s">
        <v>74</v>
      </c>
    </row>
    <row r="37676" spans="9:9" x14ac:dyDescent="0.2">
      <c r="I37676" s="137" t="s">
        <v>74</v>
      </c>
    </row>
    <row r="37677" spans="9:9" x14ac:dyDescent="0.2">
      <c r="I37677" s="137" t="s">
        <v>74</v>
      </c>
    </row>
    <row r="37678" spans="9:9" x14ac:dyDescent="0.2">
      <c r="I37678" s="137" t="s">
        <v>74</v>
      </c>
    </row>
    <row r="37679" spans="9:9" x14ac:dyDescent="0.2">
      <c r="I37679" s="137" t="s">
        <v>74</v>
      </c>
    </row>
    <row r="37680" spans="9:9" x14ac:dyDescent="0.2">
      <c r="I37680" s="137" t="s">
        <v>74</v>
      </c>
    </row>
    <row r="37681" spans="9:9" x14ac:dyDescent="0.2">
      <c r="I37681" s="137" t="s">
        <v>74</v>
      </c>
    </row>
    <row r="37682" spans="9:9" x14ac:dyDescent="0.2">
      <c r="I37682" s="137" t="s">
        <v>74</v>
      </c>
    </row>
    <row r="37683" spans="9:9" x14ac:dyDescent="0.2">
      <c r="I37683" s="137" t="s">
        <v>74</v>
      </c>
    </row>
    <row r="37684" spans="9:9" x14ac:dyDescent="0.2">
      <c r="I37684" s="137" t="s">
        <v>74</v>
      </c>
    </row>
    <row r="37685" spans="9:9" x14ac:dyDescent="0.2">
      <c r="I37685" s="137" t="s">
        <v>74</v>
      </c>
    </row>
    <row r="37686" spans="9:9" x14ac:dyDescent="0.2">
      <c r="I37686" s="137" t="s">
        <v>74</v>
      </c>
    </row>
    <row r="37687" spans="9:9" x14ac:dyDescent="0.2">
      <c r="I37687" s="137" t="s">
        <v>74</v>
      </c>
    </row>
    <row r="37688" spans="9:9" x14ac:dyDescent="0.2">
      <c r="I37688" s="137" t="s">
        <v>74</v>
      </c>
    </row>
    <row r="37689" spans="9:9" x14ac:dyDescent="0.2">
      <c r="I37689" s="137" t="s">
        <v>74</v>
      </c>
    </row>
    <row r="37690" spans="9:9" x14ac:dyDescent="0.2">
      <c r="I37690" s="137" t="s">
        <v>74</v>
      </c>
    </row>
    <row r="37691" spans="9:9" x14ac:dyDescent="0.2">
      <c r="I37691" s="137" t="s">
        <v>74</v>
      </c>
    </row>
    <row r="37692" spans="9:9" x14ac:dyDescent="0.2">
      <c r="I37692" s="137" t="s">
        <v>74</v>
      </c>
    </row>
    <row r="37693" spans="9:9" x14ac:dyDescent="0.2">
      <c r="I37693" s="137" t="s">
        <v>74</v>
      </c>
    </row>
    <row r="37694" spans="9:9" x14ac:dyDescent="0.2">
      <c r="I37694" s="137" t="s">
        <v>74</v>
      </c>
    </row>
    <row r="37695" spans="9:9" x14ac:dyDescent="0.2">
      <c r="I37695" s="137" t="s">
        <v>74</v>
      </c>
    </row>
    <row r="37696" spans="9:9" x14ac:dyDescent="0.2">
      <c r="I37696" s="137" t="s">
        <v>74</v>
      </c>
    </row>
    <row r="37697" spans="9:9" x14ac:dyDescent="0.2">
      <c r="I37697" s="137" t="s">
        <v>74</v>
      </c>
    </row>
    <row r="37698" spans="9:9" x14ac:dyDescent="0.2">
      <c r="I37698" s="137" t="s">
        <v>74</v>
      </c>
    </row>
    <row r="37699" spans="9:9" x14ac:dyDescent="0.2">
      <c r="I37699" s="137" t="s">
        <v>74</v>
      </c>
    </row>
    <row r="37700" spans="9:9" x14ac:dyDescent="0.2">
      <c r="I37700" s="137" t="s">
        <v>74</v>
      </c>
    </row>
    <row r="37701" spans="9:9" x14ac:dyDescent="0.2">
      <c r="I37701" s="137" t="s">
        <v>74</v>
      </c>
    </row>
    <row r="37702" spans="9:9" x14ac:dyDescent="0.2">
      <c r="I37702" s="137" t="s">
        <v>74</v>
      </c>
    </row>
    <row r="37703" spans="9:9" x14ac:dyDescent="0.2">
      <c r="I37703" s="137" t="s">
        <v>74</v>
      </c>
    </row>
    <row r="37704" spans="9:9" x14ac:dyDescent="0.2">
      <c r="I37704" s="137" t="s">
        <v>74</v>
      </c>
    </row>
    <row r="37705" spans="9:9" x14ac:dyDescent="0.2">
      <c r="I37705" s="137" t="s">
        <v>74</v>
      </c>
    </row>
    <row r="37706" spans="9:9" x14ac:dyDescent="0.2">
      <c r="I37706" s="137" t="s">
        <v>74</v>
      </c>
    </row>
    <row r="37707" spans="9:9" x14ac:dyDescent="0.2">
      <c r="I37707" s="137" t="s">
        <v>74</v>
      </c>
    </row>
    <row r="37708" spans="9:9" x14ac:dyDescent="0.2">
      <c r="I37708" s="137" t="s">
        <v>74</v>
      </c>
    </row>
    <row r="37709" spans="9:9" x14ac:dyDescent="0.2">
      <c r="I37709" s="137" t="s">
        <v>74</v>
      </c>
    </row>
    <row r="37710" spans="9:9" x14ac:dyDescent="0.2">
      <c r="I37710" s="137" t="s">
        <v>74</v>
      </c>
    </row>
    <row r="37711" spans="9:9" x14ac:dyDescent="0.2">
      <c r="I37711" s="137" t="s">
        <v>74</v>
      </c>
    </row>
    <row r="37712" spans="9:9" x14ac:dyDescent="0.2">
      <c r="I37712" s="137" t="s">
        <v>74</v>
      </c>
    </row>
    <row r="37713" spans="9:9" x14ac:dyDescent="0.2">
      <c r="I37713" s="137" t="s">
        <v>74</v>
      </c>
    </row>
    <row r="37714" spans="9:9" x14ac:dyDescent="0.2">
      <c r="I37714" s="137" t="s">
        <v>74</v>
      </c>
    </row>
    <row r="37715" spans="9:9" x14ac:dyDescent="0.2">
      <c r="I37715" s="137" t="s">
        <v>74</v>
      </c>
    </row>
    <row r="37716" spans="9:9" x14ac:dyDescent="0.2">
      <c r="I37716" s="137" t="s">
        <v>74</v>
      </c>
    </row>
    <row r="37717" spans="9:9" x14ac:dyDescent="0.2">
      <c r="I37717" s="137" t="s">
        <v>74</v>
      </c>
    </row>
    <row r="37718" spans="9:9" x14ac:dyDescent="0.2">
      <c r="I37718" s="137" t="s">
        <v>74</v>
      </c>
    </row>
    <row r="37719" spans="9:9" x14ac:dyDescent="0.2">
      <c r="I37719" s="137" t="s">
        <v>74</v>
      </c>
    </row>
    <row r="37720" spans="9:9" x14ac:dyDescent="0.2">
      <c r="I37720" s="137" t="s">
        <v>74</v>
      </c>
    </row>
    <row r="37721" spans="9:9" x14ac:dyDescent="0.2">
      <c r="I37721" s="137" t="s">
        <v>74</v>
      </c>
    </row>
    <row r="37722" spans="9:9" x14ac:dyDescent="0.2">
      <c r="I37722" s="137" t="s">
        <v>74</v>
      </c>
    </row>
    <row r="37723" spans="9:9" x14ac:dyDescent="0.2">
      <c r="I37723" s="137" t="s">
        <v>74</v>
      </c>
    </row>
    <row r="37724" spans="9:9" x14ac:dyDescent="0.2">
      <c r="I37724" s="137" t="s">
        <v>74</v>
      </c>
    </row>
    <row r="37725" spans="9:9" x14ac:dyDescent="0.2">
      <c r="I37725" s="137" t="s">
        <v>74</v>
      </c>
    </row>
    <row r="37726" spans="9:9" x14ac:dyDescent="0.2">
      <c r="I37726" s="137" t="s">
        <v>74</v>
      </c>
    </row>
    <row r="37727" spans="9:9" x14ac:dyDescent="0.2">
      <c r="I37727" s="137" t="s">
        <v>74</v>
      </c>
    </row>
    <row r="37728" spans="9:9" x14ac:dyDescent="0.2">
      <c r="I37728" s="137" t="s">
        <v>74</v>
      </c>
    </row>
    <row r="37729" spans="9:9" x14ac:dyDescent="0.2">
      <c r="I37729" s="137" t="s">
        <v>74</v>
      </c>
    </row>
    <row r="37730" spans="9:9" x14ac:dyDescent="0.2">
      <c r="I37730" s="137" t="s">
        <v>74</v>
      </c>
    </row>
    <row r="37731" spans="9:9" x14ac:dyDescent="0.2">
      <c r="I37731" s="137" t="s">
        <v>74</v>
      </c>
    </row>
    <row r="37732" spans="9:9" x14ac:dyDescent="0.2">
      <c r="I37732" s="137" t="s">
        <v>74</v>
      </c>
    </row>
    <row r="37733" spans="9:9" x14ac:dyDescent="0.2">
      <c r="I37733" s="137" t="s">
        <v>74</v>
      </c>
    </row>
    <row r="37734" spans="9:9" x14ac:dyDescent="0.2">
      <c r="I37734" s="137" t="s">
        <v>74</v>
      </c>
    </row>
    <row r="37735" spans="9:9" x14ac:dyDescent="0.2">
      <c r="I37735" s="137" t="s">
        <v>74</v>
      </c>
    </row>
    <row r="37736" spans="9:9" x14ac:dyDescent="0.2">
      <c r="I37736" s="137" t="s">
        <v>74</v>
      </c>
    </row>
    <row r="37737" spans="9:9" x14ac:dyDescent="0.2">
      <c r="I37737" s="137" t="s">
        <v>74</v>
      </c>
    </row>
    <row r="37738" spans="9:9" x14ac:dyDescent="0.2">
      <c r="I37738" s="137" t="s">
        <v>74</v>
      </c>
    </row>
    <row r="37739" spans="9:9" x14ac:dyDescent="0.2">
      <c r="I37739" s="137" t="s">
        <v>74</v>
      </c>
    </row>
    <row r="37740" spans="9:9" x14ac:dyDescent="0.2">
      <c r="I37740" s="137" t="s">
        <v>74</v>
      </c>
    </row>
    <row r="37741" spans="9:9" x14ac:dyDescent="0.2">
      <c r="I37741" s="137" t="s">
        <v>74</v>
      </c>
    </row>
    <row r="37742" spans="9:9" x14ac:dyDescent="0.2">
      <c r="I37742" s="137" t="s">
        <v>74</v>
      </c>
    </row>
    <row r="37743" spans="9:9" x14ac:dyDescent="0.2">
      <c r="I37743" s="137" t="s">
        <v>74</v>
      </c>
    </row>
    <row r="37744" spans="9:9" x14ac:dyDescent="0.2">
      <c r="I37744" s="137" t="s">
        <v>74</v>
      </c>
    </row>
    <row r="37745" spans="9:9" x14ac:dyDescent="0.2">
      <c r="I37745" s="137" t="s">
        <v>74</v>
      </c>
    </row>
    <row r="37746" spans="9:9" x14ac:dyDescent="0.2">
      <c r="I37746" s="137" t="s">
        <v>74</v>
      </c>
    </row>
    <row r="37747" spans="9:9" x14ac:dyDescent="0.2">
      <c r="I37747" s="137" t="s">
        <v>74</v>
      </c>
    </row>
    <row r="37748" spans="9:9" x14ac:dyDescent="0.2">
      <c r="I37748" s="137" t="s">
        <v>74</v>
      </c>
    </row>
    <row r="37749" spans="9:9" x14ac:dyDescent="0.2">
      <c r="I37749" s="137" t="s">
        <v>74</v>
      </c>
    </row>
    <row r="37750" spans="9:9" x14ac:dyDescent="0.2">
      <c r="I37750" s="137" t="s">
        <v>74</v>
      </c>
    </row>
    <row r="37751" spans="9:9" x14ac:dyDescent="0.2">
      <c r="I37751" s="137" t="s">
        <v>74</v>
      </c>
    </row>
    <row r="37752" spans="9:9" x14ac:dyDescent="0.2">
      <c r="I37752" s="137" t="s">
        <v>74</v>
      </c>
    </row>
    <row r="37753" spans="9:9" x14ac:dyDescent="0.2">
      <c r="I37753" s="137" t="s">
        <v>74</v>
      </c>
    </row>
    <row r="37754" spans="9:9" x14ac:dyDescent="0.2">
      <c r="I37754" s="137" t="s">
        <v>74</v>
      </c>
    </row>
    <row r="37755" spans="9:9" x14ac:dyDescent="0.2">
      <c r="I37755" s="137" t="s">
        <v>74</v>
      </c>
    </row>
    <row r="37756" spans="9:9" x14ac:dyDescent="0.2">
      <c r="I37756" s="137" t="s">
        <v>74</v>
      </c>
    </row>
    <row r="37757" spans="9:9" x14ac:dyDescent="0.2">
      <c r="I37757" s="137" t="s">
        <v>74</v>
      </c>
    </row>
    <row r="37758" spans="9:9" x14ac:dyDescent="0.2">
      <c r="I37758" s="137" t="s">
        <v>74</v>
      </c>
    </row>
    <row r="37759" spans="9:9" x14ac:dyDescent="0.2">
      <c r="I37759" s="137" t="s">
        <v>74</v>
      </c>
    </row>
    <row r="37760" spans="9:9" x14ac:dyDescent="0.2">
      <c r="I37760" s="137" t="s">
        <v>74</v>
      </c>
    </row>
    <row r="37761" spans="9:9" x14ac:dyDescent="0.2">
      <c r="I37761" s="137" t="s">
        <v>74</v>
      </c>
    </row>
    <row r="37762" spans="9:9" x14ac:dyDescent="0.2">
      <c r="I37762" s="137" t="s">
        <v>74</v>
      </c>
    </row>
    <row r="37763" spans="9:9" x14ac:dyDescent="0.2">
      <c r="I37763" s="137" t="s">
        <v>74</v>
      </c>
    </row>
    <row r="37764" spans="9:9" x14ac:dyDescent="0.2">
      <c r="I37764" s="137" t="s">
        <v>74</v>
      </c>
    </row>
    <row r="37765" spans="9:9" x14ac:dyDescent="0.2">
      <c r="I37765" s="137" t="s">
        <v>74</v>
      </c>
    </row>
    <row r="37766" spans="9:9" x14ac:dyDescent="0.2">
      <c r="I37766" s="137" t="s">
        <v>74</v>
      </c>
    </row>
    <row r="37767" spans="9:9" x14ac:dyDescent="0.2">
      <c r="I37767" s="137" t="s">
        <v>74</v>
      </c>
    </row>
    <row r="37768" spans="9:9" x14ac:dyDescent="0.2">
      <c r="I37768" s="137" t="s">
        <v>74</v>
      </c>
    </row>
    <row r="37769" spans="9:9" x14ac:dyDescent="0.2">
      <c r="I37769" s="137" t="s">
        <v>74</v>
      </c>
    </row>
    <row r="37770" spans="9:9" x14ac:dyDescent="0.2">
      <c r="I37770" s="137" t="s">
        <v>74</v>
      </c>
    </row>
    <row r="37771" spans="9:9" x14ac:dyDescent="0.2">
      <c r="I37771" s="137" t="s">
        <v>74</v>
      </c>
    </row>
    <row r="37772" spans="9:9" x14ac:dyDescent="0.2">
      <c r="I37772" s="137" t="s">
        <v>74</v>
      </c>
    </row>
    <row r="37773" spans="9:9" x14ac:dyDescent="0.2">
      <c r="I37773" s="137" t="s">
        <v>74</v>
      </c>
    </row>
    <row r="37774" spans="9:9" x14ac:dyDescent="0.2">
      <c r="I37774" s="137" t="s">
        <v>74</v>
      </c>
    </row>
    <row r="37775" spans="9:9" x14ac:dyDescent="0.2">
      <c r="I37775" s="137" t="s">
        <v>74</v>
      </c>
    </row>
    <row r="37776" spans="9:9" x14ac:dyDescent="0.2">
      <c r="I37776" s="137" t="s">
        <v>74</v>
      </c>
    </row>
    <row r="37777" spans="9:9" x14ac:dyDescent="0.2">
      <c r="I37777" s="137" t="s">
        <v>74</v>
      </c>
    </row>
    <row r="37778" spans="9:9" x14ac:dyDescent="0.2">
      <c r="I37778" s="137" t="s">
        <v>74</v>
      </c>
    </row>
    <row r="37779" spans="9:9" x14ac:dyDescent="0.2">
      <c r="I37779" s="137" t="s">
        <v>74</v>
      </c>
    </row>
    <row r="37780" spans="9:9" x14ac:dyDescent="0.2">
      <c r="I37780" s="137" t="s">
        <v>74</v>
      </c>
    </row>
    <row r="37781" spans="9:9" x14ac:dyDescent="0.2">
      <c r="I37781" s="137" t="s">
        <v>74</v>
      </c>
    </row>
    <row r="37782" spans="9:9" x14ac:dyDescent="0.2">
      <c r="I37782" s="137" t="s">
        <v>74</v>
      </c>
    </row>
    <row r="37783" spans="9:9" x14ac:dyDescent="0.2">
      <c r="I37783" s="137" t="s">
        <v>74</v>
      </c>
    </row>
    <row r="37784" spans="9:9" x14ac:dyDescent="0.2">
      <c r="I37784" s="137" t="s">
        <v>74</v>
      </c>
    </row>
    <row r="37785" spans="9:9" x14ac:dyDescent="0.2">
      <c r="I37785" s="137" t="s">
        <v>74</v>
      </c>
    </row>
    <row r="37786" spans="9:9" x14ac:dyDescent="0.2">
      <c r="I37786" s="137" t="s">
        <v>74</v>
      </c>
    </row>
    <row r="37787" spans="9:9" x14ac:dyDescent="0.2">
      <c r="I37787" s="137" t="s">
        <v>74</v>
      </c>
    </row>
    <row r="37788" spans="9:9" x14ac:dyDescent="0.2">
      <c r="I37788" s="137" t="s">
        <v>74</v>
      </c>
    </row>
    <row r="37789" spans="9:9" x14ac:dyDescent="0.2">
      <c r="I37789" s="137" t="s">
        <v>74</v>
      </c>
    </row>
    <row r="37790" spans="9:9" x14ac:dyDescent="0.2">
      <c r="I37790" s="137" t="s">
        <v>74</v>
      </c>
    </row>
    <row r="37791" spans="9:9" x14ac:dyDescent="0.2">
      <c r="I37791" s="137" t="s">
        <v>74</v>
      </c>
    </row>
    <row r="37792" spans="9:9" x14ac:dyDescent="0.2">
      <c r="I37792" s="137" t="s">
        <v>74</v>
      </c>
    </row>
    <row r="37793" spans="9:9" x14ac:dyDescent="0.2">
      <c r="I37793" s="137" t="s">
        <v>74</v>
      </c>
    </row>
    <row r="37794" spans="9:9" x14ac:dyDescent="0.2">
      <c r="I37794" s="137" t="s">
        <v>74</v>
      </c>
    </row>
    <row r="37795" spans="9:9" x14ac:dyDescent="0.2">
      <c r="I37795" s="137" t="s">
        <v>74</v>
      </c>
    </row>
    <row r="37796" spans="9:9" x14ac:dyDescent="0.2">
      <c r="I37796" s="137" t="s">
        <v>74</v>
      </c>
    </row>
    <row r="37797" spans="9:9" x14ac:dyDescent="0.2">
      <c r="I37797" s="137" t="s">
        <v>74</v>
      </c>
    </row>
    <row r="37798" spans="9:9" x14ac:dyDescent="0.2">
      <c r="I37798" s="137" t="s">
        <v>74</v>
      </c>
    </row>
    <row r="37799" spans="9:9" x14ac:dyDescent="0.2">
      <c r="I37799" s="137" t="s">
        <v>74</v>
      </c>
    </row>
    <row r="37800" spans="9:9" x14ac:dyDescent="0.2">
      <c r="I37800" s="137" t="s">
        <v>74</v>
      </c>
    </row>
    <row r="37801" spans="9:9" x14ac:dyDescent="0.2">
      <c r="I37801" s="137" t="s">
        <v>74</v>
      </c>
    </row>
    <row r="37802" spans="9:9" x14ac:dyDescent="0.2">
      <c r="I37802" s="137" t="s">
        <v>74</v>
      </c>
    </row>
    <row r="37803" spans="9:9" x14ac:dyDescent="0.2">
      <c r="I37803" s="137" t="s">
        <v>74</v>
      </c>
    </row>
    <row r="37804" spans="9:9" x14ac:dyDescent="0.2">
      <c r="I37804" s="137" t="s">
        <v>74</v>
      </c>
    </row>
    <row r="37805" spans="9:9" x14ac:dyDescent="0.2">
      <c r="I37805" s="137" t="s">
        <v>74</v>
      </c>
    </row>
    <row r="37806" spans="9:9" x14ac:dyDescent="0.2">
      <c r="I37806" s="137" t="s">
        <v>74</v>
      </c>
    </row>
    <row r="37807" spans="9:9" x14ac:dyDescent="0.2">
      <c r="I37807" s="137" t="s">
        <v>74</v>
      </c>
    </row>
    <row r="37808" spans="9:9" x14ac:dyDescent="0.2">
      <c r="I37808" s="137" t="s">
        <v>74</v>
      </c>
    </row>
    <row r="37809" spans="9:9" x14ac:dyDescent="0.2">
      <c r="I37809" s="137" t="s">
        <v>74</v>
      </c>
    </row>
    <row r="37810" spans="9:9" x14ac:dyDescent="0.2">
      <c r="I37810" s="137" t="s">
        <v>74</v>
      </c>
    </row>
    <row r="37811" spans="9:9" x14ac:dyDescent="0.2">
      <c r="I37811" s="137" t="s">
        <v>74</v>
      </c>
    </row>
    <row r="37812" spans="9:9" x14ac:dyDescent="0.2">
      <c r="I37812" s="137" t="s">
        <v>74</v>
      </c>
    </row>
    <row r="37813" spans="9:9" x14ac:dyDescent="0.2">
      <c r="I37813" s="137" t="s">
        <v>74</v>
      </c>
    </row>
    <row r="37814" spans="9:9" x14ac:dyDescent="0.2">
      <c r="I37814" s="137" t="s">
        <v>74</v>
      </c>
    </row>
    <row r="37815" spans="9:9" x14ac:dyDescent="0.2">
      <c r="I37815" s="137" t="s">
        <v>74</v>
      </c>
    </row>
    <row r="37816" spans="9:9" x14ac:dyDescent="0.2">
      <c r="I37816" s="137" t="s">
        <v>74</v>
      </c>
    </row>
    <row r="37817" spans="9:9" x14ac:dyDescent="0.2">
      <c r="I37817" s="137" t="s">
        <v>74</v>
      </c>
    </row>
    <row r="37818" spans="9:9" x14ac:dyDescent="0.2">
      <c r="I37818" s="137" t="s">
        <v>74</v>
      </c>
    </row>
    <row r="37819" spans="9:9" x14ac:dyDescent="0.2">
      <c r="I37819" s="137" t="s">
        <v>74</v>
      </c>
    </row>
    <row r="37820" spans="9:9" x14ac:dyDescent="0.2">
      <c r="I37820" s="137" t="s">
        <v>74</v>
      </c>
    </row>
    <row r="37821" spans="9:9" x14ac:dyDescent="0.2">
      <c r="I37821" s="137" t="s">
        <v>74</v>
      </c>
    </row>
    <row r="37822" spans="9:9" x14ac:dyDescent="0.2">
      <c r="I37822" s="137" t="s">
        <v>74</v>
      </c>
    </row>
    <row r="37823" spans="9:9" x14ac:dyDescent="0.2">
      <c r="I37823" s="137" t="s">
        <v>74</v>
      </c>
    </row>
    <row r="37824" spans="9:9" x14ac:dyDescent="0.2">
      <c r="I37824" s="137" t="s">
        <v>74</v>
      </c>
    </row>
    <row r="37825" spans="9:9" x14ac:dyDescent="0.2">
      <c r="I37825" s="137" t="s">
        <v>74</v>
      </c>
    </row>
    <row r="37826" spans="9:9" x14ac:dyDescent="0.2">
      <c r="I37826" s="137" t="s">
        <v>74</v>
      </c>
    </row>
    <row r="37827" spans="9:9" x14ac:dyDescent="0.2">
      <c r="I37827" s="137" t="s">
        <v>74</v>
      </c>
    </row>
    <row r="37828" spans="9:9" x14ac:dyDescent="0.2">
      <c r="I37828" s="137" t="s">
        <v>74</v>
      </c>
    </row>
    <row r="37829" spans="9:9" x14ac:dyDescent="0.2">
      <c r="I37829" s="137" t="s">
        <v>74</v>
      </c>
    </row>
    <row r="37830" spans="9:9" x14ac:dyDescent="0.2">
      <c r="I37830" s="137" t="s">
        <v>74</v>
      </c>
    </row>
    <row r="37831" spans="9:9" x14ac:dyDescent="0.2">
      <c r="I37831" s="137" t="s">
        <v>74</v>
      </c>
    </row>
    <row r="37832" spans="9:9" x14ac:dyDescent="0.2">
      <c r="I37832" s="137" t="s">
        <v>74</v>
      </c>
    </row>
    <row r="37833" spans="9:9" x14ac:dyDescent="0.2">
      <c r="I37833" s="137" t="s">
        <v>74</v>
      </c>
    </row>
    <row r="37834" spans="9:9" x14ac:dyDescent="0.2">
      <c r="I37834" s="137" t="s">
        <v>74</v>
      </c>
    </row>
    <row r="37835" spans="9:9" x14ac:dyDescent="0.2">
      <c r="I37835" s="137" t="s">
        <v>74</v>
      </c>
    </row>
    <row r="37836" spans="9:9" x14ac:dyDescent="0.2">
      <c r="I37836" s="137" t="s">
        <v>74</v>
      </c>
    </row>
    <row r="37837" spans="9:9" x14ac:dyDescent="0.2">
      <c r="I37837" s="137" t="s">
        <v>74</v>
      </c>
    </row>
    <row r="37838" spans="9:9" x14ac:dyDescent="0.2">
      <c r="I37838" s="137" t="s">
        <v>74</v>
      </c>
    </row>
    <row r="37839" spans="9:9" x14ac:dyDescent="0.2">
      <c r="I37839" s="137" t="s">
        <v>74</v>
      </c>
    </row>
    <row r="37840" spans="9:9" x14ac:dyDescent="0.2">
      <c r="I37840" s="137" t="s">
        <v>74</v>
      </c>
    </row>
    <row r="37841" spans="9:9" x14ac:dyDescent="0.2">
      <c r="I37841" s="137" t="s">
        <v>74</v>
      </c>
    </row>
    <row r="37842" spans="9:9" x14ac:dyDescent="0.2">
      <c r="I37842" s="137" t="s">
        <v>74</v>
      </c>
    </row>
    <row r="37843" spans="9:9" x14ac:dyDescent="0.2">
      <c r="I37843" s="137" t="s">
        <v>74</v>
      </c>
    </row>
    <row r="37844" spans="9:9" x14ac:dyDescent="0.2">
      <c r="I37844" s="137" t="s">
        <v>74</v>
      </c>
    </row>
    <row r="37845" spans="9:9" x14ac:dyDescent="0.2">
      <c r="I37845" s="137" t="s">
        <v>74</v>
      </c>
    </row>
    <row r="37846" spans="9:9" x14ac:dyDescent="0.2">
      <c r="I37846" s="137" t="s">
        <v>74</v>
      </c>
    </row>
    <row r="37847" spans="9:9" x14ac:dyDescent="0.2">
      <c r="I37847" s="137" t="s">
        <v>74</v>
      </c>
    </row>
    <row r="37848" spans="9:9" x14ac:dyDescent="0.2">
      <c r="I37848" s="137" t="s">
        <v>74</v>
      </c>
    </row>
    <row r="37849" spans="9:9" x14ac:dyDescent="0.2">
      <c r="I37849" s="137" t="s">
        <v>74</v>
      </c>
    </row>
    <row r="37850" spans="9:9" x14ac:dyDescent="0.2">
      <c r="I37850" s="137" t="s">
        <v>74</v>
      </c>
    </row>
    <row r="37851" spans="9:9" x14ac:dyDescent="0.2">
      <c r="I37851" s="137" t="s">
        <v>74</v>
      </c>
    </row>
    <row r="37852" spans="9:9" x14ac:dyDescent="0.2">
      <c r="I37852" s="137" t="s">
        <v>74</v>
      </c>
    </row>
    <row r="37853" spans="9:9" x14ac:dyDescent="0.2">
      <c r="I37853" s="137" t="s">
        <v>74</v>
      </c>
    </row>
    <row r="37854" spans="9:9" x14ac:dyDescent="0.2">
      <c r="I37854" s="137" t="s">
        <v>74</v>
      </c>
    </row>
    <row r="37855" spans="9:9" x14ac:dyDescent="0.2">
      <c r="I37855" s="137" t="s">
        <v>74</v>
      </c>
    </row>
    <row r="37856" spans="9:9" x14ac:dyDescent="0.2">
      <c r="I37856" s="137" t="s">
        <v>74</v>
      </c>
    </row>
    <row r="37857" spans="9:9" x14ac:dyDescent="0.2">
      <c r="I37857" s="137" t="s">
        <v>74</v>
      </c>
    </row>
    <row r="37858" spans="9:9" x14ac:dyDescent="0.2">
      <c r="I37858" s="137" t="s">
        <v>74</v>
      </c>
    </row>
    <row r="37859" spans="9:9" x14ac:dyDescent="0.2">
      <c r="I37859" s="137" t="s">
        <v>74</v>
      </c>
    </row>
    <row r="37860" spans="9:9" x14ac:dyDescent="0.2">
      <c r="I37860" s="137" t="s">
        <v>74</v>
      </c>
    </row>
    <row r="37861" spans="9:9" x14ac:dyDescent="0.2">
      <c r="I37861" s="137" t="s">
        <v>74</v>
      </c>
    </row>
    <row r="37862" spans="9:9" x14ac:dyDescent="0.2">
      <c r="I37862" s="137" t="s">
        <v>74</v>
      </c>
    </row>
    <row r="37863" spans="9:9" x14ac:dyDescent="0.2">
      <c r="I37863" s="137" t="s">
        <v>74</v>
      </c>
    </row>
    <row r="37864" spans="9:9" x14ac:dyDescent="0.2">
      <c r="I37864" s="137" t="s">
        <v>74</v>
      </c>
    </row>
    <row r="37865" spans="9:9" x14ac:dyDescent="0.2">
      <c r="I37865" s="137" t="s">
        <v>74</v>
      </c>
    </row>
    <row r="37866" spans="9:9" x14ac:dyDescent="0.2">
      <c r="I37866" s="137" t="s">
        <v>74</v>
      </c>
    </row>
    <row r="37867" spans="9:9" x14ac:dyDescent="0.2">
      <c r="I37867" s="137" t="s">
        <v>74</v>
      </c>
    </row>
    <row r="37868" spans="9:9" x14ac:dyDescent="0.2">
      <c r="I37868" s="137" t="s">
        <v>74</v>
      </c>
    </row>
    <row r="37869" spans="9:9" x14ac:dyDescent="0.2">
      <c r="I37869" s="137" t="s">
        <v>74</v>
      </c>
    </row>
    <row r="37870" spans="9:9" x14ac:dyDescent="0.2">
      <c r="I37870" s="137" t="s">
        <v>74</v>
      </c>
    </row>
    <row r="37871" spans="9:9" x14ac:dyDescent="0.2">
      <c r="I37871" s="137" t="s">
        <v>74</v>
      </c>
    </row>
    <row r="37872" spans="9:9" x14ac:dyDescent="0.2">
      <c r="I37872" s="137" t="s">
        <v>74</v>
      </c>
    </row>
    <row r="37873" spans="9:9" x14ac:dyDescent="0.2">
      <c r="I37873" s="137" t="s">
        <v>74</v>
      </c>
    </row>
    <row r="37874" spans="9:9" x14ac:dyDescent="0.2">
      <c r="I37874" s="137" t="s">
        <v>74</v>
      </c>
    </row>
    <row r="37875" spans="9:9" x14ac:dyDescent="0.2">
      <c r="I37875" s="137" t="s">
        <v>74</v>
      </c>
    </row>
    <row r="37876" spans="9:9" x14ac:dyDescent="0.2">
      <c r="I37876" s="137" t="s">
        <v>74</v>
      </c>
    </row>
    <row r="37877" spans="9:9" x14ac:dyDescent="0.2">
      <c r="I37877" s="137" t="s">
        <v>74</v>
      </c>
    </row>
    <row r="37878" spans="9:9" x14ac:dyDescent="0.2">
      <c r="I37878" s="137" t="s">
        <v>74</v>
      </c>
    </row>
    <row r="37879" spans="9:9" x14ac:dyDescent="0.2">
      <c r="I37879" s="137" t="s">
        <v>74</v>
      </c>
    </row>
    <row r="37880" spans="9:9" x14ac:dyDescent="0.2">
      <c r="I37880" s="137" t="s">
        <v>74</v>
      </c>
    </row>
    <row r="37881" spans="9:9" x14ac:dyDescent="0.2">
      <c r="I37881" s="137" t="s">
        <v>74</v>
      </c>
    </row>
    <row r="37882" spans="9:9" x14ac:dyDescent="0.2">
      <c r="I37882" s="137" t="s">
        <v>74</v>
      </c>
    </row>
    <row r="37883" spans="9:9" x14ac:dyDescent="0.2">
      <c r="I37883" s="137" t="s">
        <v>74</v>
      </c>
    </row>
    <row r="37884" spans="9:9" x14ac:dyDescent="0.2">
      <c r="I37884" s="137" t="s">
        <v>74</v>
      </c>
    </row>
    <row r="37885" spans="9:9" x14ac:dyDescent="0.2">
      <c r="I37885" s="137" t="s">
        <v>74</v>
      </c>
    </row>
    <row r="37886" spans="9:9" x14ac:dyDescent="0.2">
      <c r="I37886" s="137" t="s">
        <v>74</v>
      </c>
    </row>
    <row r="37887" spans="9:9" x14ac:dyDescent="0.2">
      <c r="I37887" s="137" t="s">
        <v>74</v>
      </c>
    </row>
    <row r="37888" spans="9:9" x14ac:dyDescent="0.2">
      <c r="I37888" s="137" t="s">
        <v>74</v>
      </c>
    </row>
    <row r="37889" spans="9:9" x14ac:dyDescent="0.2">
      <c r="I37889" s="137" t="s">
        <v>74</v>
      </c>
    </row>
    <row r="37890" spans="9:9" x14ac:dyDescent="0.2">
      <c r="I37890" s="137" t="s">
        <v>74</v>
      </c>
    </row>
    <row r="37891" spans="9:9" x14ac:dyDescent="0.2">
      <c r="I37891" s="137" t="s">
        <v>74</v>
      </c>
    </row>
    <row r="37892" spans="9:9" x14ac:dyDescent="0.2">
      <c r="I37892" s="137" t="s">
        <v>74</v>
      </c>
    </row>
    <row r="37893" spans="9:9" x14ac:dyDescent="0.2">
      <c r="I37893" s="137" t="s">
        <v>74</v>
      </c>
    </row>
    <row r="37894" spans="9:9" x14ac:dyDescent="0.2">
      <c r="I37894" s="137" t="s">
        <v>74</v>
      </c>
    </row>
    <row r="37895" spans="9:9" x14ac:dyDescent="0.2">
      <c r="I37895" s="137" t="s">
        <v>74</v>
      </c>
    </row>
    <row r="37896" spans="9:9" x14ac:dyDescent="0.2">
      <c r="I37896" s="137" t="s">
        <v>74</v>
      </c>
    </row>
    <row r="37897" spans="9:9" x14ac:dyDescent="0.2">
      <c r="I37897" s="137" t="s">
        <v>74</v>
      </c>
    </row>
    <row r="37898" spans="9:9" x14ac:dyDescent="0.2">
      <c r="I37898" s="137" t="s">
        <v>74</v>
      </c>
    </row>
    <row r="37899" spans="9:9" x14ac:dyDescent="0.2">
      <c r="I37899" s="137" t="s">
        <v>74</v>
      </c>
    </row>
    <row r="37900" spans="9:9" x14ac:dyDescent="0.2">
      <c r="I37900" s="137" t="s">
        <v>74</v>
      </c>
    </row>
    <row r="37901" spans="9:9" x14ac:dyDescent="0.2">
      <c r="I37901" s="137" t="s">
        <v>74</v>
      </c>
    </row>
    <row r="37902" spans="9:9" x14ac:dyDescent="0.2">
      <c r="I37902" s="137" t="s">
        <v>74</v>
      </c>
    </row>
    <row r="37903" spans="9:9" x14ac:dyDescent="0.2">
      <c r="I37903" s="137" t="s">
        <v>74</v>
      </c>
    </row>
    <row r="37904" spans="9:9" x14ac:dyDescent="0.2">
      <c r="I37904" s="137" t="s">
        <v>74</v>
      </c>
    </row>
    <row r="37905" spans="9:9" x14ac:dyDescent="0.2">
      <c r="I37905" s="137" t="s">
        <v>74</v>
      </c>
    </row>
    <row r="37906" spans="9:9" x14ac:dyDescent="0.2">
      <c r="I37906" s="137" t="s">
        <v>74</v>
      </c>
    </row>
    <row r="37907" spans="9:9" x14ac:dyDescent="0.2">
      <c r="I37907" s="137" t="s">
        <v>74</v>
      </c>
    </row>
    <row r="37908" spans="9:9" x14ac:dyDescent="0.2">
      <c r="I37908" s="137" t="s">
        <v>74</v>
      </c>
    </row>
    <row r="37909" spans="9:9" x14ac:dyDescent="0.2">
      <c r="I37909" s="137" t="s">
        <v>74</v>
      </c>
    </row>
    <row r="37910" spans="9:9" x14ac:dyDescent="0.2">
      <c r="I37910" s="137" t="s">
        <v>74</v>
      </c>
    </row>
    <row r="37911" spans="9:9" x14ac:dyDescent="0.2">
      <c r="I37911" s="137" t="s">
        <v>74</v>
      </c>
    </row>
    <row r="37912" spans="9:9" x14ac:dyDescent="0.2">
      <c r="I37912" s="137" t="s">
        <v>74</v>
      </c>
    </row>
    <row r="37913" spans="9:9" x14ac:dyDescent="0.2">
      <c r="I37913" s="137" t="s">
        <v>74</v>
      </c>
    </row>
    <row r="37914" spans="9:9" x14ac:dyDescent="0.2">
      <c r="I37914" s="137" t="s">
        <v>74</v>
      </c>
    </row>
    <row r="37915" spans="9:9" x14ac:dyDescent="0.2">
      <c r="I37915" s="137" t="s">
        <v>74</v>
      </c>
    </row>
    <row r="37916" spans="9:9" x14ac:dyDescent="0.2">
      <c r="I37916" s="137" t="s">
        <v>74</v>
      </c>
    </row>
    <row r="37917" spans="9:9" x14ac:dyDescent="0.2">
      <c r="I37917" s="137" t="s">
        <v>74</v>
      </c>
    </row>
    <row r="37918" spans="9:9" x14ac:dyDescent="0.2">
      <c r="I37918" s="137" t="s">
        <v>74</v>
      </c>
    </row>
    <row r="37919" spans="9:9" x14ac:dyDescent="0.2">
      <c r="I37919" s="137" t="s">
        <v>74</v>
      </c>
    </row>
    <row r="37920" spans="9:9" x14ac:dyDescent="0.2">
      <c r="I37920" s="137" t="s">
        <v>74</v>
      </c>
    </row>
    <row r="37921" spans="9:9" x14ac:dyDescent="0.2">
      <c r="I37921" s="137" t="s">
        <v>74</v>
      </c>
    </row>
    <row r="37922" spans="9:9" x14ac:dyDescent="0.2">
      <c r="I37922" s="137" t="s">
        <v>74</v>
      </c>
    </row>
    <row r="37923" spans="9:9" x14ac:dyDescent="0.2">
      <c r="I37923" s="137" t="s">
        <v>74</v>
      </c>
    </row>
    <row r="37924" spans="9:9" x14ac:dyDescent="0.2">
      <c r="I37924" s="137" t="s">
        <v>74</v>
      </c>
    </row>
    <row r="37925" spans="9:9" x14ac:dyDescent="0.2">
      <c r="I37925" s="137" t="s">
        <v>74</v>
      </c>
    </row>
    <row r="37926" spans="9:9" x14ac:dyDescent="0.2">
      <c r="I37926" s="137" t="s">
        <v>74</v>
      </c>
    </row>
    <row r="37927" spans="9:9" x14ac:dyDescent="0.2">
      <c r="I37927" s="137" t="s">
        <v>74</v>
      </c>
    </row>
    <row r="37928" spans="9:9" x14ac:dyDescent="0.2">
      <c r="I37928" s="137" t="s">
        <v>74</v>
      </c>
    </row>
    <row r="37929" spans="9:9" x14ac:dyDescent="0.2">
      <c r="I37929" s="137" t="s">
        <v>74</v>
      </c>
    </row>
    <row r="37930" spans="9:9" x14ac:dyDescent="0.2">
      <c r="I37930" s="137" t="s">
        <v>74</v>
      </c>
    </row>
    <row r="37931" spans="9:9" x14ac:dyDescent="0.2">
      <c r="I37931" s="137" t="s">
        <v>74</v>
      </c>
    </row>
    <row r="37932" spans="9:9" x14ac:dyDescent="0.2">
      <c r="I37932" s="137" t="s">
        <v>74</v>
      </c>
    </row>
    <row r="37933" spans="9:9" x14ac:dyDescent="0.2">
      <c r="I37933" s="137" t="s">
        <v>74</v>
      </c>
    </row>
    <row r="37934" spans="9:9" x14ac:dyDescent="0.2">
      <c r="I37934" s="137" t="s">
        <v>74</v>
      </c>
    </row>
    <row r="37935" spans="9:9" x14ac:dyDescent="0.2">
      <c r="I37935" s="137" t="s">
        <v>74</v>
      </c>
    </row>
    <row r="37936" spans="9:9" x14ac:dyDescent="0.2">
      <c r="I37936" s="137" t="s">
        <v>74</v>
      </c>
    </row>
    <row r="37937" spans="9:9" x14ac:dyDescent="0.2">
      <c r="I37937" s="137" t="s">
        <v>74</v>
      </c>
    </row>
    <row r="37938" spans="9:9" x14ac:dyDescent="0.2">
      <c r="I37938" s="137" t="s">
        <v>74</v>
      </c>
    </row>
    <row r="37939" spans="9:9" x14ac:dyDescent="0.2">
      <c r="I37939" s="137" t="s">
        <v>74</v>
      </c>
    </row>
    <row r="37940" spans="9:9" x14ac:dyDescent="0.2">
      <c r="I37940" s="137" t="s">
        <v>74</v>
      </c>
    </row>
    <row r="37941" spans="9:9" x14ac:dyDescent="0.2">
      <c r="I37941" s="137" t="s">
        <v>74</v>
      </c>
    </row>
    <row r="37942" spans="9:9" x14ac:dyDescent="0.2">
      <c r="I37942" s="137" t="s">
        <v>74</v>
      </c>
    </row>
    <row r="37943" spans="9:9" x14ac:dyDescent="0.2">
      <c r="I37943" s="137" t="s">
        <v>74</v>
      </c>
    </row>
    <row r="37944" spans="9:9" x14ac:dyDescent="0.2">
      <c r="I37944" s="137" t="s">
        <v>74</v>
      </c>
    </row>
    <row r="37945" spans="9:9" x14ac:dyDescent="0.2">
      <c r="I37945" s="137" t="s">
        <v>74</v>
      </c>
    </row>
    <row r="37946" spans="9:9" x14ac:dyDescent="0.2">
      <c r="I37946" s="137" t="s">
        <v>74</v>
      </c>
    </row>
    <row r="37947" spans="9:9" x14ac:dyDescent="0.2">
      <c r="I37947" s="137" t="s">
        <v>74</v>
      </c>
    </row>
    <row r="37948" spans="9:9" x14ac:dyDescent="0.2">
      <c r="I37948" s="137" t="s">
        <v>74</v>
      </c>
    </row>
    <row r="37949" spans="9:9" x14ac:dyDescent="0.2">
      <c r="I37949" s="137" t="s">
        <v>74</v>
      </c>
    </row>
    <row r="37950" spans="9:9" x14ac:dyDescent="0.2">
      <c r="I37950" s="137" t="s">
        <v>74</v>
      </c>
    </row>
    <row r="37951" spans="9:9" x14ac:dyDescent="0.2">
      <c r="I37951" s="137" t="s">
        <v>74</v>
      </c>
    </row>
    <row r="37952" spans="9:9" x14ac:dyDescent="0.2">
      <c r="I37952" s="137" t="s">
        <v>74</v>
      </c>
    </row>
    <row r="37953" spans="9:9" x14ac:dyDescent="0.2">
      <c r="I37953" s="137" t="s">
        <v>74</v>
      </c>
    </row>
    <row r="37954" spans="9:9" x14ac:dyDescent="0.2">
      <c r="I37954" s="137" t="s">
        <v>74</v>
      </c>
    </row>
    <row r="37955" spans="9:9" x14ac:dyDescent="0.2">
      <c r="I37955" s="137" t="s">
        <v>74</v>
      </c>
    </row>
    <row r="37956" spans="9:9" x14ac:dyDescent="0.2">
      <c r="I37956" s="137" t="s">
        <v>74</v>
      </c>
    </row>
    <row r="37957" spans="9:9" x14ac:dyDescent="0.2">
      <c r="I37957" s="137" t="s">
        <v>74</v>
      </c>
    </row>
    <row r="37958" spans="9:9" x14ac:dyDescent="0.2">
      <c r="I37958" s="137" t="s">
        <v>74</v>
      </c>
    </row>
    <row r="37959" spans="9:9" x14ac:dyDescent="0.2">
      <c r="I37959" s="137" t="s">
        <v>74</v>
      </c>
    </row>
    <row r="37960" spans="9:9" x14ac:dyDescent="0.2">
      <c r="I37960" s="137" t="s">
        <v>74</v>
      </c>
    </row>
    <row r="37961" spans="9:9" x14ac:dyDescent="0.2">
      <c r="I37961" s="137" t="s">
        <v>74</v>
      </c>
    </row>
    <row r="37962" spans="9:9" x14ac:dyDescent="0.2">
      <c r="I37962" s="137" t="s">
        <v>74</v>
      </c>
    </row>
    <row r="37963" spans="9:9" x14ac:dyDescent="0.2">
      <c r="I37963" s="137" t="s">
        <v>74</v>
      </c>
    </row>
    <row r="37964" spans="9:9" x14ac:dyDescent="0.2">
      <c r="I37964" s="137" t="s">
        <v>74</v>
      </c>
    </row>
    <row r="37965" spans="9:9" x14ac:dyDescent="0.2">
      <c r="I37965" s="137" t="s">
        <v>74</v>
      </c>
    </row>
    <row r="37966" spans="9:9" x14ac:dyDescent="0.2">
      <c r="I37966" s="137" t="s">
        <v>74</v>
      </c>
    </row>
    <row r="37967" spans="9:9" x14ac:dyDescent="0.2">
      <c r="I37967" s="137" t="s">
        <v>74</v>
      </c>
    </row>
    <row r="37968" spans="9:9" x14ac:dyDescent="0.2">
      <c r="I37968" s="137" t="s">
        <v>74</v>
      </c>
    </row>
    <row r="37969" spans="9:9" x14ac:dyDescent="0.2">
      <c r="I37969" s="137" t="s">
        <v>74</v>
      </c>
    </row>
    <row r="37970" spans="9:9" x14ac:dyDescent="0.2">
      <c r="I37970" s="137" t="s">
        <v>74</v>
      </c>
    </row>
    <row r="37971" spans="9:9" x14ac:dyDescent="0.2">
      <c r="I37971" s="137" t="s">
        <v>74</v>
      </c>
    </row>
    <row r="37972" spans="9:9" x14ac:dyDescent="0.2">
      <c r="I37972" s="137" t="s">
        <v>74</v>
      </c>
    </row>
    <row r="37973" spans="9:9" x14ac:dyDescent="0.2">
      <c r="I37973" s="137" t="s">
        <v>74</v>
      </c>
    </row>
    <row r="37974" spans="9:9" x14ac:dyDescent="0.2">
      <c r="I37974" s="137" t="s">
        <v>74</v>
      </c>
    </row>
    <row r="37975" spans="9:9" x14ac:dyDescent="0.2">
      <c r="I37975" s="137" t="s">
        <v>74</v>
      </c>
    </row>
    <row r="37976" spans="9:9" x14ac:dyDescent="0.2">
      <c r="I37976" s="137" t="s">
        <v>74</v>
      </c>
    </row>
    <row r="37977" spans="9:9" x14ac:dyDescent="0.2">
      <c r="I37977" s="137" t="s">
        <v>74</v>
      </c>
    </row>
    <row r="37978" spans="9:9" x14ac:dyDescent="0.2">
      <c r="I37978" s="137" t="s">
        <v>74</v>
      </c>
    </row>
    <row r="37979" spans="9:9" x14ac:dyDescent="0.2">
      <c r="I37979" s="137" t="s">
        <v>74</v>
      </c>
    </row>
    <row r="37980" spans="9:9" x14ac:dyDescent="0.2">
      <c r="I37980" s="137" t="s">
        <v>74</v>
      </c>
    </row>
    <row r="37981" spans="9:9" x14ac:dyDescent="0.2">
      <c r="I37981" s="137" t="s">
        <v>74</v>
      </c>
    </row>
    <row r="37982" spans="9:9" x14ac:dyDescent="0.2">
      <c r="I37982" s="137" t="s">
        <v>74</v>
      </c>
    </row>
    <row r="37983" spans="9:9" x14ac:dyDescent="0.2">
      <c r="I37983" s="137" t="s">
        <v>74</v>
      </c>
    </row>
    <row r="37984" spans="9:9" x14ac:dyDescent="0.2">
      <c r="I37984" s="137" t="s">
        <v>74</v>
      </c>
    </row>
    <row r="37985" spans="9:9" x14ac:dyDescent="0.2">
      <c r="I37985" s="137" t="s">
        <v>74</v>
      </c>
    </row>
    <row r="37986" spans="9:9" x14ac:dyDescent="0.2">
      <c r="I37986" s="137" t="s">
        <v>74</v>
      </c>
    </row>
    <row r="37987" spans="9:9" x14ac:dyDescent="0.2">
      <c r="I37987" s="137" t="s">
        <v>74</v>
      </c>
    </row>
    <row r="37988" spans="9:9" x14ac:dyDescent="0.2">
      <c r="I37988" s="137" t="s">
        <v>74</v>
      </c>
    </row>
    <row r="37989" spans="9:9" x14ac:dyDescent="0.2">
      <c r="I37989" s="137" t="s">
        <v>74</v>
      </c>
    </row>
    <row r="37990" spans="9:9" x14ac:dyDescent="0.2">
      <c r="I37990" s="137" t="s">
        <v>74</v>
      </c>
    </row>
    <row r="37991" spans="9:9" x14ac:dyDescent="0.2">
      <c r="I37991" s="137" t="s">
        <v>74</v>
      </c>
    </row>
    <row r="37992" spans="9:9" x14ac:dyDescent="0.2">
      <c r="I37992" s="137" t="s">
        <v>74</v>
      </c>
    </row>
    <row r="37993" spans="9:9" x14ac:dyDescent="0.2">
      <c r="I37993" s="137" t="s">
        <v>74</v>
      </c>
    </row>
    <row r="37994" spans="9:9" x14ac:dyDescent="0.2">
      <c r="I37994" s="137" t="s">
        <v>74</v>
      </c>
    </row>
    <row r="37995" spans="9:9" x14ac:dyDescent="0.2">
      <c r="I37995" s="137" t="s">
        <v>74</v>
      </c>
    </row>
    <row r="37996" spans="9:9" x14ac:dyDescent="0.2">
      <c r="I37996" s="137" t="s">
        <v>74</v>
      </c>
    </row>
    <row r="37997" spans="9:9" x14ac:dyDescent="0.2">
      <c r="I37997" s="137" t="s">
        <v>74</v>
      </c>
    </row>
    <row r="37998" spans="9:9" x14ac:dyDescent="0.2">
      <c r="I37998" s="137" t="s">
        <v>74</v>
      </c>
    </row>
    <row r="37999" spans="9:9" x14ac:dyDescent="0.2">
      <c r="I37999" s="137" t="s">
        <v>74</v>
      </c>
    </row>
    <row r="38000" spans="9:9" x14ac:dyDescent="0.2">
      <c r="I38000" s="137" t="s">
        <v>74</v>
      </c>
    </row>
    <row r="38001" spans="9:9" x14ac:dyDescent="0.2">
      <c r="I38001" s="137" t="s">
        <v>74</v>
      </c>
    </row>
    <row r="38002" spans="9:9" x14ac:dyDescent="0.2">
      <c r="I38002" s="137" t="s">
        <v>74</v>
      </c>
    </row>
    <row r="38003" spans="9:9" x14ac:dyDescent="0.2">
      <c r="I38003" s="137" t="s">
        <v>74</v>
      </c>
    </row>
    <row r="38004" spans="9:9" x14ac:dyDescent="0.2">
      <c r="I38004" s="137" t="s">
        <v>74</v>
      </c>
    </row>
    <row r="38005" spans="9:9" x14ac:dyDescent="0.2">
      <c r="I38005" s="137" t="s">
        <v>74</v>
      </c>
    </row>
    <row r="38006" spans="9:9" x14ac:dyDescent="0.2">
      <c r="I38006" s="137" t="s">
        <v>74</v>
      </c>
    </row>
    <row r="38007" spans="9:9" x14ac:dyDescent="0.2">
      <c r="I38007" s="137" t="s">
        <v>74</v>
      </c>
    </row>
    <row r="38008" spans="9:9" x14ac:dyDescent="0.2">
      <c r="I38008" s="137" t="s">
        <v>74</v>
      </c>
    </row>
    <row r="38009" spans="9:9" x14ac:dyDescent="0.2">
      <c r="I38009" s="137" t="s">
        <v>74</v>
      </c>
    </row>
    <row r="38010" spans="9:9" x14ac:dyDescent="0.2">
      <c r="I38010" s="137" t="s">
        <v>74</v>
      </c>
    </row>
    <row r="38011" spans="9:9" x14ac:dyDescent="0.2">
      <c r="I38011" s="137" t="s">
        <v>74</v>
      </c>
    </row>
    <row r="38012" spans="9:9" x14ac:dyDescent="0.2">
      <c r="I38012" s="137" t="s">
        <v>74</v>
      </c>
    </row>
    <row r="38013" spans="9:9" x14ac:dyDescent="0.2">
      <c r="I38013" s="137" t="s">
        <v>74</v>
      </c>
    </row>
    <row r="38014" spans="9:9" x14ac:dyDescent="0.2">
      <c r="I38014" s="137" t="s">
        <v>74</v>
      </c>
    </row>
    <row r="38015" spans="9:9" x14ac:dyDescent="0.2">
      <c r="I38015" s="137" t="s">
        <v>74</v>
      </c>
    </row>
    <row r="38016" spans="9:9" x14ac:dyDescent="0.2">
      <c r="I38016" s="137" t="s">
        <v>74</v>
      </c>
    </row>
    <row r="38017" spans="9:9" x14ac:dyDescent="0.2">
      <c r="I38017" s="137" t="s">
        <v>74</v>
      </c>
    </row>
    <row r="38018" spans="9:9" x14ac:dyDescent="0.2">
      <c r="I38018" s="137" t="s">
        <v>74</v>
      </c>
    </row>
    <row r="38019" spans="9:9" x14ac:dyDescent="0.2">
      <c r="I38019" s="137" t="s">
        <v>74</v>
      </c>
    </row>
    <row r="38020" spans="9:9" x14ac:dyDescent="0.2">
      <c r="I38020" s="137" t="s">
        <v>74</v>
      </c>
    </row>
    <row r="38021" spans="9:9" x14ac:dyDescent="0.2">
      <c r="I38021" s="137" t="s">
        <v>74</v>
      </c>
    </row>
    <row r="38022" spans="9:9" x14ac:dyDescent="0.2">
      <c r="I38022" s="137" t="s">
        <v>74</v>
      </c>
    </row>
    <row r="38023" spans="9:9" x14ac:dyDescent="0.2">
      <c r="I38023" s="137" t="s">
        <v>74</v>
      </c>
    </row>
    <row r="38024" spans="9:9" x14ac:dyDescent="0.2">
      <c r="I38024" s="137" t="s">
        <v>74</v>
      </c>
    </row>
    <row r="38025" spans="9:9" x14ac:dyDescent="0.2">
      <c r="I38025" s="137" t="s">
        <v>74</v>
      </c>
    </row>
    <row r="38026" spans="9:9" x14ac:dyDescent="0.2">
      <c r="I38026" s="137" t="s">
        <v>74</v>
      </c>
    </row>
    <row r="38027" spans="9:9" x14ac:dyDescent="0.2">
      <c r="I38027" s="137" t="s">
        <v>74</v>
      </c>
    </row>
    <row r="38028" spans="9:9" x14ac:dyDescent="0.2">
      <c r="I38028" s="137" t="s">
        <v>74</v>
      </c>
    </row>
    <row r="38029" spans="9:9" x14ac:dyDescent="0.2">
      <c r="I38029" s="137" t="s">
        <v>74</v>
      </c>
    </row>
    <row r="38030" spans="9:9" x14ac:dyDescent="0.2">
      <c r="I38030" s="137" t="s">
        <v>74</v>
      </c>
    </row>
    <row r="38031" spans="9:9" x14ac:dyDescent="0.2">
      <c r="I38031" s="137" t="s">
        <v>74</v>
      </c>
    </row>
    <row r="38032" spans="9:9" x14ac:dyDescent="0.2">
      <c r="I38032" s="137" t="s">
        <v>74</v>
      </c>
    </row>
    <row r="38033" spans="9:9" x14ac:dyDescent="0.2">
      <c r="I38033" s="137" t="s">
        <v>74</v>
      </c>
    </row>
    <row r="38034" spans="9:9" x14ac:dyDescent="0.2">
      <c r="I38034" s="137" t="s">
        <v>74</v>
      </c>
    </row>
    <row r="38035" spans="9:9" x14ac:dyDescent="0.2">
      <c r="I38035" s="137" t="s">
        <v>74</v>
      </c>
    </row>
    <row r="38036" spans="9:9" x14ac:dyDescent="0.2">
      <c r="I38036" s="137" t="s">
        <v>74</v>
      </c>
    </row>
    <row r="38037" spans="9:9" x14ac:dyDescent="0.2">
      <c r="I38037" s="137" t="s">
        <v>74</v>
      </c>
    </row>
    <row r="38038" spans="9:9" x14ac:dyDescent="0.2">
      <c r="I38038" s="137" t="s">
        <v>74</v>
      </c>
    </row>
    <row r="38039" spans="9:9" x14ac:dyDescent="0.2">
      <c r="I38039" s="137" t="s">
        <v>74</v>
      </c>
    </row>
    <row r="38040" spans="9:9" x14ac:dyDescent="0.2">
      <c r="I38040" s="137" t="s">
        <v>74</v>
      </c>
    </row>
    <row r="38041" spans="9:9" x14ac:dyDescent="0.2">
      <c r="I38041" s="137" t="s">
        <v>74</v>
      </c>
    </row>
    <row r="38042" spans="9:9" x14ac:dyDescent="0.2">
      <c r="I38042" s="137" t="s">
        <v>74</v>
      </c>
    </row>
    <row r="38043" spans="9:9" x14ac:dyDescent="0.2">
      <c r="I38043" s="137" t="s">
        <v>74</v>
      </c>
    </row>
    <row r="38044" spans="9:9" x14ac:dyDescent="0.2">
      <c r="I38044" s="137" t="s">
        <v>74</v>
      </c>
    </row>
    <row r="38045" spans="9:9" x14ac:dyDescent="0.2">
      <c r="I38045" s="137" t="s">
        <v>74</v>
      </c>
    </row>
    <row r="38046" spans="9:9" x14ac:dyDescent="0.2">
      <c r="I38046" s="137" t="s">
        <v>74</v>
      </c>
    </row>
    <row r="38047" spans="9:9" x14ac:dyDescent="0.2">
      <c r="I38047" s="137" t="s">
        <v>74</v>
      </c>
    </row>
    <row r="38048" spans="9:9" x14ac:dyDescent="0.2">
      <c r="I38048" s="137" t="s">
        <v>74</v>
      </c>
    </row>
    <row r="38049" spans="9:9" x14ac:dyDescent="0.2">
      <c r="I38049" s="137" t="s">
        <v>74</v>
      </c>
    </row>
    <row r="38050" spans="9:9" x14ac:dyDescent="0.2">
      <c r="I38050" s="137" t="s">
        <v>74</v>
      </c>
    </row>
    <row r="38051" spans="9:9" x14ac:dyDescent="0.2">
      <c r="I38051" s="137" t="s">
        <v>74</v>
      </c>
    </row>
    <row r="38052" spans="9:9" x14ac:dyDescent="0.2">
      <c r="I38052" s="137" t="s">
        <v>74</v>
      </c>
    </row>
    <row r="38053" spans="9:9" x14ac:dyDescent="0.2">
      <c r="I38053" s="137" t="s">
        <v>74</v>
      </c>
    </row>
    <row r="38054" spans="9:9" x14ac:dyDescent="0.2">
      <c r="I38054" s="137" t="s">
        <v>74</v>
      </c>
    </row>
    <row r="38055" spans="9:9" x14ac:dyDescent="0.2">
      <c r="I38055" s="137" t="s">
        <v>74</v>
      </c>
    </row>
    <row r="38056" spans="9:9" x14ac:dyDescent="0.2">
      <c r="I38056" s="137" t="s">
        <v>74</v>
      </c>
    </row>
    <row r="38057" spans="9:9" x14ac:dyDescent="0.2">
      <c r="I38057" s="137" t="s">
        <v>74</v>
      </c>
    </row>
    <row r="38058" spans="9:9" x14ac:dyDescent="0.2">
      <c r="I38058" s="137" t="s">
        <v>74</v>
      </c>
    </row>
    <row r="38059" spans="9:9" x14ac:dyDescent="0.2">
      <c r="I38059" s="137" t="s">
        <v>74</v>
      </c>
    </row>
    <row r="38060" spans="9:9" x14ac:dyDescent="0.2">
      <c r="I38060" s="137" t="s">
        <v>74</v>
      </c>
    </row>
    <row r="38061" spans="9:9" x14ac:dyDescent="0.2">
      <c r="I38061" s="137" t="s">
        <v>74</v>
      </c>
    </row>
    <row r="38062" spans="9:9" x14ac:dyDescent="0.2">
      <c r="I38062" s="137" t="s">
        <v>74</v>
      </c>
    </row>
    <row r="38063" spans="9:9" x14ac:dyDescent="0.2">
      <c r="I38063" s="137" t="s">
        <v>74</v>
      </c>
    </row>
    <row r="38064" spans="9:9" x14ac:dyDescent="0.2">
      <c r="I38064" s="137" t="s">
        <v>74</v>
      </c>
    </row>
    <row r="38065" spans="9:9" x14ac:dyDescent="0.2">
      <c r="I38065" s="137" t="s">
        <v>74</v>
      </c>
    </row>
    <row r="38066" spans="9:9" x14ac:dyDescent="0.2">
      <c r="I38066" s="137" t="s">
        <v>74</v>
      </c>
    </row>
    <row r="38067" spans="9:9" x14ac:dyDescent="0.2">
      <c r="I38067" s="137" t="s">
        <v>74</v>
      </c>
    </row>
    <row r="38068" spans="9:9" x14ac:dyDescent="0.2">
      <c r="I38068" s="137" t="s">
        <v>74</v>
      </c>
    </row>
    <row r="38069" spans="9:9" x14ac:dyDescent="0.2">
      <c r="I38069" s="137" t="s">
        <v>74</v>
      </c>
    </row>
    <row r="38070" spans="9:9" x14ac:dyDescent="0.2">
      <c r="I38070" s="137" t="s">
        <v>74</v>
      </c>
    </row>
    <row r="38071" spans="9:9" x14ac:dyDescent="0.2">
      <c r="I38071" s="137" t="s">
        <v>74</v>
      </c>
    </row>
    <row r="38072" spans="9:9" x14ac:dyDescent="0.2">
      <c r="I38072" s="137" t="s">
        <v>74</v>
      </c>
    </row>
    <row r="38073" spans="9:9" x14ac:dyDescent="0.2">
      <c r="I38073" s="137" t="s">
        <v>74</v>
      </c>
    </row>
    <row r="38074" spans="9:9" x14ac:dyDescent="0.2">
      <c r="I38074" s="137" t="s">
        <v>74</v>
      </c>
    </row>
    <row r="38075" spans="9:9" x14ac:dyDescent="0.2">
      <c r="I38075" s="137" t="s">
        <v>74</v>
      </c>
    </row>
    <row r="38076" spans="9:9" x14ac:dyDescent="0.2">
      <c r="I38076" s="137" t="s">
        <v>74</v>
      </c>
    </row>
    <row r="38077" spans="9:9" x14ac:dyDescent="0.2">
      <c r="I38077" s="137" t="s">
        <v>74</v>
      </c>
    </row>
    <row r="38078" spans="9:9" x14ac:dyDescent="0.2">
      <c r="I38078" s="137" t="s">
        <v>74</v>
      </c>
    </row>
    <row r="38079" spans="9:9" x14ac:dyDescent="0.2">
      <c r="I38079" s="137" t="s">
        <v>74</v>
      </c>
    </row>
    <row r="38080" spans="9:9" x14ac:dyDescent="0.2">
      <c r="I38080" s="137" t="s">
        <v>74</v>
      </c>
    </row>
    <row r="38081" spans="9:9" x14ac:dyDescent="0.2">
      <c r="I38081" s="137" t="s">
        <v>74</v>
      </c>
    </row>
    <row r="38082" spans="9:9" x14ac:dyDescent="0.2">
      <c r="I38082" s="137" t="s">
        <v>74</v>
      </c>
    </row>
    <row r="38083" spans="9:9" x14ac:dyDescent="0.2">
      <c r="I38083" s="137" t="s">
        <v>74</v>
      </c>
    </row>
    <row r="38084" spans="9:9" x14ac:dyDescent="0.2">
      <c r="I38084" s="137" t="s">
        <v>74</v>
      </c>
    </row>
    <row r="38085" spans="9:9" x14ac:dyDescent="0.2">
      <c r="I38085" s="137" t="s">
        <v>74</v>
      </c>
    </row>
    <row r="38086" spans="9:9" x14ac:dyDescent="0.2">
      <c r="I38086" s="137" t="s">
        <v>74</v>
      </c>
    </row>
    <row r="38087" spans="9:9" x14ac:dyDescent="0.2">
      <c r="I38087" s="137" t="s">
        <v>74</v>
      </c>
    </row>
    <row r="38088" spans="9:9" x14ac:dyDescent="0.2">
      <c r="I38088" s="137" t="s">
        <v>74</v>
      </c>
    </row>
    <row r="38089" spans="9:9" x14ac:dyDescent="0.2">
      <c r="I38089" s="137" t="s">
        <v>74</v>
      </c>
    </row>
    <row r="38090" spans="9:9" x14ac:dyDescent="0.2">
      <c r="I38090" s="137" t="s">
        <v>74</v>
      </c>
    </row>
    <row r="38091" spans="9:9" x14ac:dyDescent="0.2">
      <c r="I38091" s="137" t="s">
        <v>74</v>
      </c>
    </row>
    <row r="38092" spans="9:9" x14ac:dyDescent="0.2">
      <c r="I38092" s="137" t="s">
        <v>74</v>
      </c>
    </row>
    <row r="38093" spans="9:9" x14ac:dyDescent="0.2">
      <c r="I38093" s="137" t="s">
        <v>74</v>
      </c>
    </row>
    <row r="38094" spans="9:9" x14ac:dyDescent="0.2">
      <c r="I38094" s="137" t="s">
        <v>74</v>
      </c>
    </row>
    <row r="38095" spans="9:9" x14ac:dyDescent="0.2">
      <c r="I38095" s="137" t="s">
        <v>74</v>
      </c>
    </row>
    <row r="38096" spans="9:9" x14ac:dyDescent="0.2">
      <c r="I38096" s="137" t="s">
        <v>74</v>
      </c>
    </row>
    <row r="38097" spans="9:9" x14ac:dyDescent="0.2">
      <c r="I38097" s="137" t="s">
        <v>74</v>
      </c>
    </row>
    <row r="38098" spans="9:9" x14ac:dyDescent="0.2">
      <c r="I38098" s="137" t="s">
        <v>74</v>
      </c>
    </row>
    <row r="38099" spans="9:9" x14ac:dyDescent="0.2">
      <c r="I38099" s="137" t="s">
        <v>74</v>
      </c>
    </row>
    <row r="38100" spans="9:9" x14ac:dyDescent="0.2">
      <c r="I38100" s="137" t="s">
        <v>74</v>
      </c>
    </row>
    <row r="38101" spans="9:9" x14ac:dyDescent="0.2">
      <c r="I38101" s="137" t="s">
        <v>74</v>
      </c>
    </row>
    <row r="38102" spans="9:9" x14ac:dyDescent="0.2">
      <c r="I38102" s="137" t="s">
        <v>74</v>
      </c>
    </row>
    <row r="38103" spans="9:9" x14ac:dyDescent="0.2">
      <c r="I38103" s="137" t="s">
        <v>74</v>
      </c>
    </row>
    <row r="38104" spans="9:9" x14ac:dyDescent="0.2">
      <c r="I38104" s="137" t="s">
        <v>74</v>
      </c>
    </row>
    <row r="38105" spans="9:9" x14ac:dyDescent="0.2">
      <c r="I38105" s="137" t="s">
        <v>74</v>
      </c>
    </row>
    <row r="38106" spans="9:9" x14ac:dyDescent="0.2">
      <c r="I38106" s="137" t="s">
        <v>74</v>
      </c>
    </row>
    <row r="38107" spans="9:9" x14ac:dyDescent="0.2">
      <c r="I38107" s="137" t="s">
        <v>74</v>
      </c>
    </row>
    <row r="38108" spans="9:9" x14ac:dyDescent="0.2">
      <c r="I38108" s="137" t="s">
        <v>74</v>
      </c>
    </row>
    <row r="38109" spans="9:9" x14ac:dyDescent="0.2">
      <c r="I38109" s="137" t="s">
        <v>74</v>
      </c>
    </row>
    <row r="38110" spans="9:9" x14ac:dyDescent="0.2">
      <c r="I38110" s="137" t="s">
        <v>74</v>
      </c>
    </row>
    <row r="38111" spans="9:9" x14ac:dyDescent="0.2">
      <c r="I38111" s="137" t="s">
        <v>74</v>
      </c>
    </row>
    <row r="38112" spans="9:9" x14ac:dyDescent="0.2">
      <c r="I38112" s="137" t="s">
        <v>74</v>
      </c>
    </row>
    <row r="38113" spans="9:9" x14ac:dyDescent="0.2">
      <c r="I38113" s="137" t="s">
        <v>74</v>
      </c>
    </row>
    <row r="38114" spans="9:9" x14ac:dyDescent="0.2">
      <c r="I38114" s="137" t="s">
        <v>74</v>
      </c>
    </row>
    <row r="38115" spans="9:9" x14ac:dyDescent="0.2">
      <c r="I38115" s="137" t="s">
        <v>74</v>
      </c>
    </row>
    <row r="38116" spans="9:9" x14ac:dyDescent="0.2">
      <c r="I38116" s="137" t="s">
        <v>74</v>
      </c>
    </row>
    <row r="38117" spans="9:9" x14ac:dyDescent="0.2">
      <c r="I38117" s="137" t="s">
        <v>74</v>
      </c>
    </row>
    <row r="38118" spans="9:9" x14ac:dyDescent="0.2">
      <c r="I38118" s="137" t="s">
        <v>74</v>
      </c>
    </row>
    <row r="38119" spans="9:9" x14ac:dyDescent="0.2">
      <c r="I38119" s="137" t="s">
        <v>74</v>
      </c>
    </row>
    <row r="38120" spans="9:9" x14ac:dyDescent="0.2">
      <c r="I38120" s="137" t="s">
        <v>74</v>
      </c>
    </row>
    <row r="38121" spans="9:9" x14ac:dyDescent="0.2">
      <c r="I38121" s="137" t="s">
        <v>74</v>
      </c>
    </row>
    <row r="38122" spans="9:9" x14ac:dyDescent="0.2">
      <c r="I38122" s="137" t="s">
        <v>74</v>
      </c>
    </row>
    <row r="38123" spans="9:9" x14ac:dyDescent="0.2">
      <c r="I38123" s="137" t="s">
        <v>74</v>
      </c>
    </row>
    <row r="38124" spans="9:9" x14ac:dyDescent="0.2">
      <c r="I38124" s="137" t="s">
        <v>74</v>
      </c>
    </row>
    <row r="38125" spans="9:9" x14ac:dyDescent="0.2">
      <c r="I38125" s="137" t="s">
        <v>74</v>
      </c>
    </row>
    <row r="38126" spans="9:9" x14ac:dyDescent="0.2">
      <c r="I38126" s="137" t="s">
        <v>74</v>
      </c>
    </row>
    <row r="38127" spans="9:9" x14ac:dyDescent="0.2">
      <c r="I38127" s="137" t="s">
        <v>74</v>
      </c>
    </row>
    <row r="38128" spans="9:9" x14ac:dyDescent="0.2">
      <c r="I38128" s="137" t="s">
        <v>74</v>
      </c>
    </row>
    <row r="38129" spans="9:9" x14ac:dyDescent="0.2">
      <c r="I38129" s="137" t="s">
        <v>74</v>
      </c>
    </row>
    <row r="38130" spans="9:9" x14ac:dyDescent="0.2">
      <c r="I38130" s="137" t="s">
        <v>74</v>
      </c>
    </row>
    <row r="38131" spans="9:9" x14ac:dyDescent="0.2">
      <c r="I38131" s="137" t="s">
        <v>74</v>
      </c>
    </row>
    <row r="38132" spans="9:9" x14ac:dyDescent="0.2">
      <c r="I38132" s="137" t="s">
        <v>74</v>
      </c>
    </row>
    <row r="38133" spans="9:9" x14ac:dyDescent="0.2">
      <c r="I38133" s="137" t="s">
        <v>74</v>
      </c>
    </row>
    <row r="38134" spans="9:9" x14ac:dyDescent="0.2">
      <c r="I38134" s="137" t="s">
        <v>74</v>
      </c>
    </row>
    <row r="38135" spans="9:9" x14ac:dyDescent="0.2">
      <c r="I38135" s="137" t="s">
        <v>74</v>
      </c>
    </row>
    <row r="38136" spans="9:9" x14ac:dyDescent="0.2">
      <c r="I38136" s="137" t="s">
        <v>74</v>
      </c>
    </row>
    <row r="38137" spans="9:9" x14ac:dyDescent="0.2">
      <c r="I38137" s="137" t="s">
        <v>74</v>
      </c>
    </row>
    <row r="38138" spans="9:9" x14ac:dyDescent="0.2">
      <c r="I38138" s="137" t="s">
        <v>74</v>
      </c>
    </row>
    <row r="38139" spans="9:9" x14ac:dyDescent="0.2">
      <c r="I38139" s="137" t="s">
        <v>74</v>
      </c>
    </row>
    <row r="38140" spans="9:9" x14ac:dyDescent="0.2">
      <c r="I38140" s="137" t="s">
        <v>74</v>
      </c>
    </row>
    <row r="38141" spans="9:9" x14ac:dyDescent="0.2">
      <c r="I38141" s="137" t="s">
        <v>74</v>
      </c>
    </row>
    <row r="38142" spans="9:9" x14ac:dyDescent="0.2">
      <c r="I38142" s="137" t="s">
        <v>74</v>
      </c>
    </row>
    <row r="38143" spans="9:9" x14ac:dyDescent="0.2">
      <c r="I38143" s="137" t="s">
        <v>74</v>
      </c>
    </row>
    <row r="38144" spans="9:9" x14ac:dyDescent="0.2">
      <c r="I38144" s="137" t="s">
        <v>74</v>
      </c>
    </row>
    <row r="38145" spans="9:9" x14ac:dyDescent="0.2">
      <c r="I38145" s="137" t="s">
        <v>74</v>
      </c>
    </row>
    <row r="38146" spans="9:9" x14ac:dyDescent="0.2">
      <c r="I38146" s="137" t="s">
        <v>74</v>
      </c>
    </row>
    <row r="38147" spans="9:9" x14ac:dyDescent="0.2">
      <c r="I38147" s="137" t="s">
        <v>74</v>
      </c>
    </row>
    <row r="38148" spans="9:9" x14ac:dyDescent="0.2">
      <c r="I38148" s="137" t="s">
        <v>74</v>
      </c>
    </row>
    <row r="38149" spans="9:9" x14ac:dyDescent="0.2">
      <c r="I38149" s="137" t="s">
        <v>74</v>
      </c>
    </row>
    <row r="38150" spans="9:9" x14ac:dyDescent="0.2">
      <c r="I38150" s="137" t="s">
        <v>74</v>
      </c>
    </row>
    <row r="38151" spans="9:9" x14ac:dyDescent="0.2">
      <c r="I38151" s="137" t="s">
        <v>74</v>
      </c>
    </row>
    <row r="38152" spans="9:9" x14ac:dyDescent="0.2">
      <c r="I38152" s="137" t="s">
        <v>74</v>
      </c>
    </row>
    <row r="38153" spans="9:9" x14ac:dyDescent="0.2">
      <c r="I38153" s="137" t="s">
        <v>74</v>
      </c>
    </row>
    <row r="38154" spans="9:9" x14ac:dyDescent="0.2">
      <c r="I38154" s="137" t="s">
        <v>74</v>
      </c>
    </row>
    <row r="38155" spans="9:9" x14ac:dyDescent="0.2">
      <c r="I38155" s="137" t="s">
        <v>74</v>
      </c>
    </row>
    <row r="38156" spans="9:9" x14ac:dyDescent="0.2">
      <c r="I38156" s="137" t="s">
        <v>74</v>
      </c>
    </row>
    <row r="38157" spans="9:9" x14ac:dyDescent="0.2">
      <c r="I38157" s="137" t="s">
        <v>74</v>
      </c>
    </row>
    <row r="38158" spans="9:9" x14ac:dyDescent="0.2">
      <c r="I38158" s="137" t="s">
        <v>74</v>
      </c>
    </row>
    <row r="38159" spans="9:9" x14ac:dyDescent="0.2">
      <c r="I38159" s="137" t="s">
        <v>74</v>
      </c>
    </row>
    <row r="38160" spans="9:9" x14ac:dyDescent="0.2">
      <c r="I38160" s="137" t="s">
        <v>74</v>
      </c>
    </row>
    <row r="38161" spans="9:9" x14ac:dyDescent="0.2">
      <c r="I38161" s="137" t="s">
        <v>74</v>
      </c>
    </row>
    <row r="38162" spans="9:9" x14ac:dyDescent="0.2">
      <c r="I38162" s="137" t="s">
        <v>74</v>
      </c>
    </row>
    <row r="38163" spans="9:9" x14ac:dyDescent="0.2">
      <c r="I38163" s="137" t="s">
        <v>74</v>
      </c>
    </row>
    <row r="38164" spans="9:9" x14ac:dyDescent="0.2">
      <c r="I38164" s="137" t="s">
        <v>74</v>
      </c>
    </row>
    <row r="38165" spans="9:9" x14ac:dyDescent="0.2">
      <c r="I38165" s="137" t="s">
        <v>74</v>
      </c>
    </row>
    <row r="38166" spans="9:9" x14ac:dyDescent="0.2">
      <c r="I38166" s="137" t="s">
        <v>74</v>
      </c>
    </row>
    <row r="38167" spans="9:9" x14ac:dyDescent="0.2">
      <c r="I38167" s="137" t="s">
        <v>74</v>
      </c>
    </row>
    <row r="38168" spans="9:9" x14ac:dyDescent="0.2">
      <c r="I38168" s="137" t="s">
        <v>74</v>
      </c>
    </row>
    <row r="38169" spans="9:9" x14ac:dyDescent="0.2">
      <c r="I38169" s="137" t="s">
        <v>74</v>
      </c>
    </row>
    <row r="38170" spans="9:9" x14ac:dyDescent="0.2">
      <c r="I38170" s="137" t="s">
        <v>74</v>
      </c>
    </row>
    <row r="38171" spans="9:9" x14ac:dyDescent="0.2">
      <c r="I38171" s="137" t="s">
        <v>74</v>
      </c>
    </row>
    <row r="38172" spans="9:9" x14ac:dyDescent="0.2">
      <c r="I38172" s="137" t="s">
        <v>74</v>
      </c>
    </row>
    <row r="38173" spans="9:9" x14ac:dyDescent="0.2">
      <c r="I38173" s="137" t="s">
        <v>74</v>
      </c>
    </row>
    <row r="38174" spans="9:9" x14ac:dyDescent="0.2">
      <c r="I38174" s="137" t="s">
        <v>74</v>
      </c>
    </row>
    <row r="38175" spans="9:9" x14ac:dyDescent="0.2">
      <c r="I38175" s="137" t="s">
        <v>74</v>
      </c>
    </row>
    <row r="38176" spans="9:9" x14ac:dyDescent="0.2">
      <c r="I38176" s="137" t="s">
        <v>74</v>
      </c>
    </row>
    <row r="38177" spans="9:9" x14ac:dyDescent="0.2">
      <c r="I38177" s="137" t="s">
        <v>74</v>
      </c>
    </row>
    <row r="38178" spans="9:9" x14ac:dyDescent="0.2">
      <c r="I38178" s="137" t="s">
        <v>74</v>
      </c>
    </row>
    <row r="38179" spans="9:9" x14ac:dyDescent="0.2">
      <c r="I38179" s="137" t="s">
        <v>74</v>
      </c>
    </row>
    <row r="38180" spans="9:9" x14ac:dyDescent="0.2">
      <c r="I38180" s="137" t="s">
        <v>74</v>
      </c>
    </row>
    <row r="38181" spans="9:9" x14ac:dyDescent="0.2">
      <c r="I38181" s="137" t="s">
        <v>74</v>
      </c>
    </row>
    <row r="38182" spans="9:9" x14ac:dyDescent="0.2">
      <c r="I38182" s="137" t="s">
        <v>74</v>
      </c>
    </row>
    <row r="38183" spans="9:9" x14ac:dyDescent="0.2">
      <c r="I38183" s="137" t="s">
        <v>74</v>
      </c>
    </row>
    <row r="38184" spans="9:9" x14ac:dyDescent="0.2">
      <c r="I38184" s="137" t="s">
        <v>74</v>
      </c>
    </row>
    <row r="38185" spans="9:9" x14ac:dyDescent="0.2">
      <c r="I38185" s="137" t="s">
        <v>74</v>
      </c>
    </row>
    <row r="38186" spans="9:9" x14ac:dyDescent="0.2">
      <c r="I38186" s="137" t="s">
        <v>74</v>
      </c>
    </row>
    <row r="38187" spans="9:9" x14ac:dyDescent="0.2">
      <c r="I38187" s="137" t="s">
        <v>74</v>
      </c>
    </row>
    <row r="38188" spans="9:9" x14ac:dyDescent="0.2">
      <c r="I38188" s="137" t="s">
        <v>74</v>
      </c>
    </row>
    <row r="38189" spans="9:9" x14ac:dyDescent="0.2">
      <c r="I38189" s="137" t="s">
        <v>74</v>
      </c>
    </row>
    <row r="38190" spans="9:9" x14ac:dyDescent="0.2">
      <c r="I38190" s="137" t="s">
        <v>74</v>
      </c>
    </row>
    <row r="38191" spans="9:9" x14ac:dyDescent="0.2">
      <c r="I38191" s="137" t="s">
        <v>74</v>
      </c>
    </row>
    <row r="38192" spans="9:9" x14ac:dyDescent="0.2">
      <c r="I38192" s="137" t="s">
        <v>74</v>
      </c>
    </row>
    <row r="38193" spans="9:9" x14ac:dyDescent="0.2">
      <c r="I38193" s="137" t="s">
        <v>74</v>
      </c>
    </row>
    <row r="38194" spans="9:9" x14ac:dyDescent="0.2">
      <c r="I38194" s="137" t="s">
        <v>74</v>
      </c>
    </row>
    <row r="38195" spans="9:9" x14ac:dyDescent="0.2">
      <c r="I38195" s="137" t="s">
        <v>74</v>
      </c>
    </row>
    <row r="38196" spans="9:9" x14ac:dyDescent="0.2">
      <c r="I38196" s="137" t="s">
        <v>74</v>
      </c>
    </row>
    <row r="38197" spans="9:9" x14ac:dyDescent="0.2">
      <c r="I38197" s="137" t="s">
        <v>74</v>
      </c>
    </row>
    <row r="38198" spans="9:9" x14ac:dyDescent="0.2">
      <c r="I38198" s="137" t="s">
        <v>74</v>
      </c>
    </row>
    <row r="38199" spans="9:9" x14ac:dyDescent="0.2">
      <c r="I38199" s="137" t="s">
        <v>74</v>
      </c>
    </row>
    <row r="38200" spans="9:9" x14ac:dyDescent="0.2">
      <c r="I38200" s="137" t="s">
        <v>74</v>
      </c>
    </row>
    <row r="38201" spans="9:9" x14ac:dyDescent="0.2">
      <c r="I38201" s="137" t="s">
        <v>74</v>
      </c>
    </row>
    <row r="38202" spans="9:9" x14ac:dyDescent="0.2">
      <c r="I38202" s="137" t="s">
        <v>74</v>
      </c>
    </row>
    <row r="38203" spans="9:9" x14ac:dyDescent="0.2">
      <c r="I38203" s="137" t="s">
        <v>74</v>
      </c>
    </row>
    <row r="38204" spans="9:9" x14ac:dyDescent="0.2">
      <c r="I38204" s="137" t="s">
        <v>74</v>
      </c>
    </row>
    <row r="38205" spans="9:9" x14ac:dyDescent="0.2">
      <c r="I38205" s="137" t="s">
        <v>74</v>
      </c>
    </row>
    <row r="38206" spans="9:9" x14ac:dyDescent="0.2">
      <c r="I38206" s="137" t="s">
        <v>74</v>
      </c>
    </row>
    <row r="38207" spans="9:9" x14ac:dyDescent="0.2">
      <c r="I38207" s="137" t="s">
        <v>74</v>
      </c>
    </row>
    <row r="38208" spans="9:9" x14ac:dyDescent="0.2">
      <c r="I38208" s="137" t="s">
        <v>74</v>
      </c>
    </row>
    <row r="38209" spans="9:9" x14ac:dyDescent="0.2">
      <c r="I38209" s="137" t="s">
        <v>74</v>
      </c>
    </row>
    <row r="38210" spans="9:9" x14ac:dyDescent="0.2">
      <c r="I38210" s="137" t="s">
        <v>74</v>
      </c>
    </row>
    <row r="38211" spans="9:9" x14ac:dyDescent="0.2">
      <c r="I38211" s="137" t="s">
        <v>74</v>
      </c>
    </row>
    <row r="38212" spans="9:9" x14ac:dyDescent="0.2">
      <c r="I38212" s="137" t="s">
        <v>74</v>
      </c>
    </row>
    <row r="38213" spans="9:9" x14ac:dyDescent="0.2">
      <c r="I38213" s="137" t="s">
        <v>74</v>
      </c>
    </row>
    <row r="38214" spans="9:9" x14ac:dyDescent="0.2">
      <c r="I38214" s="137" t="s">
        <v>74</v>
      </c>
    </row>
    <row r="38215" spans="9:9" x14ac:dyDescent="0.2">
      <c r="I38215" s="137" t="s">
        <v>74</v>
      </c>
    </row>
    <row r="38216" spans="9:9" x14ac:dyDescent="0.2">
      <c r="I38216" s="137" t="s">
        <v>74</v>
      </c>
    </row>
    <row r="38217" spans="9:9" x14ac:dyDescent="0.2">
      <c r="I38217" s="137" t="s">
        <v>74</v>
      </c>
    </row>
    <row r="38218" spans="9:9" x14ac:dyDescent="0.2">
      <c r="I38218" s="137" t="s">
        <v>74</v>
      </c>
    </row>
    <row r="38219" spans="9:9" x14ac:dyDescent="0.2">
      <c r="I38219" s="137" t="s">
        <v>74</v>
      </c>
    </row>
    <row r="38220" spans="9:9" x14ac:dyDescent="0.2">
      <c r="I38220" s="137" t="s">
        <v>74</v>
      </c>
    </row>
    <row r="38221" spans="9:9" x14ac:dyDescent="0.2">
      <c r="I38221" s="137" t="s">
        <v>74</v>
      </c>
    </row>
    <row r="38222" spans="9:9" x14ac:dyDescent="0.2">
      <c r="I38222" s="137" t="s">
        <v>74</v>
      </c>
    </row>
    <row r="38223" spans="9:9" x14ac:dyDescent="0.2">
      <c r="I38223" s="137" t="s">
        <v>74</v>
      </c>
    </row>
    <row r="38224" spans="9:9" x14ac:dyDescent="0.2">
      <c r="I38224" s="137" t="s">
        <v>74</v>
      </c>
    </row>
    <row r="38225" spans="9:9" x14ac:dyDescent="0.2">
      <c r="I38225" s="137" t="s">
        <v>74</v>
      </c>
    </row>
    <row r="38226" spans="9:9" x14ac:dyDescent="0.2">
      <c r="I38226" s="137" t="s">
        <v>74</v>
      </c>
    </row>
    <row r="38227" spans="9:9" x14ac:dyDescent="0.2">
      <c r="I38227" s="137" t="s">
        <v>74</v>
      </c>
    </row>
    <row r="38228" spans="9:9" x14ac:dyDescent="0.2">
      <c r="I38228" s="137" t="s">
        <v>74</v>
      </c>
    </row>
    <row r="38229" spans="9:9" x14ac:dyDescent="0.2">
      <c r="I38229" s="137" t="s">
        <v>74</v>
      </c>
    </row>
    <row r="38230" spans="9:9" x14ac:dyDescent="0.2">
      <c r="I38230" s="137" t="s">
        <v>74</v>
      </c>
    </row>
    <row r="38231" spans="9:9" x14ac:dyDescent="0.2">
      <c r="I38231" s="137" t="s">
        <v>74</v>
      </c>
    </row>
    <row r="38232" spans="9:9" x14ac:dyDescent="0.2">
      <c r="I38232" s="137" t="s">
        <v>74</v>
      </c>
    </row>
    <row r="38233" spans="9:9" x14ac:dyDescent="0.2">
      <c r="I38233" s="137" t="s">
        <v>74</v>
      </c>
    </row>
    <row r="38234" spans="9:9" x14ac:dyDescent="0.2">
      <c r="I38234" s="137" t="s">
        <v>74</v>
      </c>
    </row>
    <row r="38235" spans="9:9" x14ac:dyDescent="0.2">
      <c r="I38235" s="137" t="s">
        <v>74</v>
      </c>
    </row>
    <row r="38236" spans="9:9" x14ac:dyDescent="0.2">
      <c r="I38236" s="137" t="s">
        <v>74</v>
      </c>
    </row>
    <row r="38237" spans="9:9" x14ac:dyDescent="0.2">
      <c r="I38237" s="137" t="s">
        <v>74</v>
      </c>
    </row>
    <row r="38238" spans="9:9" x14ac:dyDescent="0.2">
      <c r="I38238" s="137" t="s">
        <v>74</v>
      </c>
    </row>
    <row r="38239" spans="9:9" x14ac:dyDescent="0.2">
      <c r="I38239" s="137" t="s">
        <v>74</v>
      </c>
    </row>
    <row r="38240" spans="9:9" x14ac:dyDescent="0.2">
      <c r="I38240" s="137" t="s">
        <v>74</v>
      </c>
    </row>
    <row r="38241" spans="9:9" x14ac:dyDescent="0.2">
      <c r="I38241" s="137" t="s">
        <v>74</v>
      </c>
    </row>
    <row r="38242" spans="9:9" x14ac:dyDescent="0.2">
      <c r="I38242" s="137" t="s">
        <v>74</v>
      </c>
    </row>
    <row r="38243" spans="9:9" x14ac:dyDescent="0.2">
      <c r="I38243" s="137" t="s">
        <v>74</v>
      </c>
    </row>
    <row r="38244" spans="9:9" x14ac:dyDescent="0.2">
      <c r="I38244" s="137" t="s">
        <v>74</v>
      </c>
    </row>
    <row r="38245" spans="9:9" x14ac:dyDescent="0.2">
      <c r="I38245" s="137" t="s">
        <v>74</v>
      </c>
    </row>
    <row r="38246" spans="9:9" x14ac:dyDescent="0.2">
      <c r="I38246" s="137" t="s">
        <v>74</v>
      </c>
    </row>
    <row r="38247" spans="9:9" x14ac:dyDescent="0.2">
      <c r="I38247" s="137" t="s">
        <v>74</v>
      </c>
    </row>
    <row r="38248" spans="9:9" x14ac:dyDescent="0.2">
      <c r="I38248" s="137" t="s">
        <v>74</v>
      </c>
    </row>
    <row r="38249" spans="9:9" x14ac:dyDescent="0.2">
      <c r="I38249" s="137" t="s">
        <v>74</v>
      </c>
    </row>
    <row r="38250" spans="9:9" x14ac:dyDescent="0.2">
      <c r="I38250" s="137" t="s">
        <v>74</v>
      </c>
    </row>
    <row r="38251" spans="9:9" x14ac:dyDescent="0.2">
      <c r="I38251" s="137" t="s">
        <v>74</v>
      </c>
    </row>
    <row r="38252" spans="9:9" x14ac:dyDescent="0.2">
      <c r="I38252" s="137" t="s">
        <v>74</v>
      </c>
    </row>
    <row r="38253" spans="9:9" x14ac:dyDescent="0.2">
      <c r="I38253" s="137" t="s">
        <v>74</v>
      </c>
    </row>
    <row r="38254" spans="9:9" x14ac:dyDescent="0.2">
      <c r="I38254" s="137" t="s">
        <v>74</v>
      </c>
    </row>
    <row r="38255" spans="9:9" x14ac:dyDescent="0.2">
      <c r="I38255" s="137" t="s">
        <v>74</v>
      </c>
    </row>
    <row r="38256" spans="9:9" x14ac:dyDescent="0.2">
      <c r="I38256" s="137" t="s">
        <v>74</v>
      </c>
    </row>
    <row r="38257" spans="9:9" x14ac:dyDescent="0.2">
      <c r="I38257" s="137" t="s">
        <v>74</v>
      </c>
    </row>
    <row r="38258" spans="9:9" x14ac:dyDescent="0.2">
      <c r="I38258" s="137" t="s">
        <v>74</v>
      </c>
    </row>
    <row r="38259" spans="9:9" x14ac:dyDescent="0.2">
      <c r="I38259" s="137" t="s">
        <v>74</v>
      </c>
    </row>
    <row r="38260" spans="9:9" x14ac:dyDescent="0.2">
      <c r="I38260" s="137" t="s">
        <v>74</v>
      </c>
    </row>
    <row r="38261" spans="9:9" x14ac:dyDescent="0.2">
      <c r="I38261" s="137" t="s">
        <v>74</v>
      </c>
    </row>
    <row r="38262" spans="9:9" x14ac:dyDescent="0.2">
      <c r="I38262" s="137" t="s">
        <v>74</v>
      </c>
    </row>
    <row r="38263" spans="9:9" x14ac:dyDescent="0.2">
      <c r="I38263" s="137" t="s">
        <v>74</v>
      </c>
    </row>
    <row r="38264" spans="9:9" x14ac:dyDescent="0.2">
      <c r="I38264" s="137" t="s">
        <v>74</v>
      </c>
    </row>
    <row r="38265" spans="9:9" x14ac:dyDescent="0.2">
      <c r="I38265" s="137" t="s">
        <v>74</v>
      </c>
    </row>
    <row r="38266" spans="9:9" x14ac:dyDescent="0.2">
      <c r="I38266" s="137" t="s">
        <v>74</v>
      </c>
    </row>
    <row r="38267" spans="9:9" x14ac:dyDescent="0.2">
      <c r="I38267" s="137" t="s">
        <v>74</v>
      </c>
    </row>
    <row r="38268" spans="9:9" x14ac:dyDescent="0.2">
      <c r="I38268" s="137" t="s">
        <v>74</v>
      </c>
    </row>
    <row r="38269" spans="9:9" x14ac:dyDescent="0.2">
      <c r="I38269" s="137" t="s">
        <v>74</v>
      </c>
    </row>
    <row r="38270" spans="9:9" x14ac:dyDescent="0.2">
      <c r="I38270" s="137" t="s">
        <v>74</v>
      </c>
    </row>
    <row r="38271" spans="9:9" x14ac:dyDescent="0.2">
      <c r="I38271" s="137" t="s">
        <v>74</v>
      </c>
    </row>
    <row r="38272" spans="9:9" x14ac:dyDescent="0.2">
      <c r="I38272" s="137" t="s">
        <v>74</v>
      </c>
    </row>
    <row r="38273" spans="9:9" x14ac:dyDescent="0.2">
      <c r="I38273" s="137" t="s">
        <v>74</v>
      </c>
    </row>
    <row r="38274" spans="9:9" x14ac:dyDescent="0.2">
      <c r="I38274" s="137" t="s">
        <v>74</v>
      </c>
    </row>
    <row r="38275" spans="9:9" x14ac:dyDescent="0.2">
      <c r="I38275" s="137" t="s">
        <v>74</v>
      </c>
    </row>
    <row r="38276" spans="9:9" x14ac:dyDescent="0.2">
      <c r="I38276" s="137" t="s">
        <v>74</v>
      </c>
    </row>
    <row r="38277" spans="9:9" x14ac:dyDescent="0.2">
      <c r="I38277" s="137" t="s">
        <v>74</v>
      </c>
    </row>
    <row r="38278" spans="9:9" x14ac:dyDescent="0.2">
      <c r="I38278" s="137" t="s">
        <v>74</v>
      </c>
    </row>
    <row r="38279" spans="9:9" x14ac:dyDescent="0.2">
      <c r="I38279" s="137" t="s">
        <v>74</v>
      </c>
    </row>
    <row r="38280" spans="9:9" x14ac:dyDescent="0.2">
      <c r="I38280" s="137" t="s">
        <v>74</v>
      </c>
    </row>
    <row r="38281" spans="9:9" x14ac:dyDescent="0.2">
      <c r="I38281" s="137" t="s">
        <v>74</v>
      </c>
    </row>
    <row r="38282" spans="9:9" x14ac:dyDescent="0.2">
      <c r="I38282" s="137" t="s">
        <v>74</v>
      </c>
    </row>
    <row r="38283" spans="9:9" x14ac:dyDescent="0.2">
      <c r="I38283" s="137" t="s">
        <v>74</v>
      </c>
    </row>
    <row r="38284" spans="9:9" x14ac:dyDescent="0.2">
      <c r="I38284" s="137" t="s">
        <v>74</v>
      </c>
    </row>
    <row r="38285" spans="9:9" x14ac:dyDescent="0.2">
      <c r="I38285" s="137" t="s">
        <v>74</v>
      </c>
    </row>
    <row r="38286" spans="9:9" x14ac:dyDescent="0.2">
      <c r="I38286" s="137" t="s">
        <v>74</v>
      </c>
    </row>
    <row r="38287" spans="9:9" x14ac:dyDescent="0.2">
      <c r="I38287" s="137" t="s">
        <v>74</v>
      </c>
    </row>
    <row r="38288" spans="9:9" x14ac:dyDescent="0.2">
      <c r="I38288" s="137" t="s">
        <v>74</v>
      </c>
    </row>
    <row r="38289" spans="9:9" x14ac:dyDescent="0.2">
      <c r="I38289" s="137" t="s">
        <v>74</v>
      </c>
    </row>
    <row r="38290" spans="9:9" x14ac:dyDescent="0.2">
      <c r="I38290" s="137" t="s">
        <v>74</v>
      </c>
    </row>
    <row r="38291" spans="9:9" x14ac:dyDescent="0.2">
      <c r="I38291" s="137" t="s">
        <v>74</v>
      </c>
    </row>
    <row r="38292" spans="9:9" x14ac:dyDescent="0.2">
      <c r="I38292" s="137" t="s">
        <v>74</v>
      </c>
    </row>
    <row r="38293" spans="9:9" x14ac:dyDescent="0.2">
      <c r="I38293" s="137" t="s">
        <v>74</v>
      </c>
    </row>
    <row r="38294" spans="9:9" x14ac:dyDescent="0.2">
      <c r="I38294" s="137" t="s">
        <v>74</v>
      </c>
    </row>
    <row r="38295" spans="9:9" x14ac:dyDescent="0.2">
      <c r="I38295" s="137" t="s">
        <v>74</v>
      </c>
    </row>
    <row r="38296" spans="9:9" x14ac:dyDescent="0.2">
      <c r="I38296" s="137" t="s">
        <v>74</v>
      </c>
    </row>
    <row r="38297" spans="9:9" x14ac:dyDescent="0.2">
      <c r="I38297" s="137" t="s">
        <v>74</v>
      </c>
    </row>
    <row r="38298" spans="9:9" x14ac:dyDescent="0.2">
      <c r="I38298" s="137" t="s">
        <v>74</v>
      </c>
    </row>
    <row r="38299" spans="9:9" x14ac:dyDescent="0.2">
      <c r="I38299" s="137" t="s">
        <v>74</v>
      </c>
    </row>
    <row r="38300" spans="9:9" x14ac:dyDescent="0.2">
      <c r="I38300" s="137" t="s">
        <v>74</v>
      </c>
    </row>
    <row r="38301" spans="9:9" x14ac:dyDescent="0.2">
      <c r="I38301" s="137" t="s">
        <v>74</v>
      </c>
    </row>
    <row r="38302" spans="9:9" x14ac:dyDescent="0.2">
      <c r="I38302" s="137" t="s">
        <v>74</v>
      </c>
    </row>
    <row r="38303" spans="9:9" x14ac:dyDescent="0.2">
      <c r="I38303" s="137" t="s">
        <v>74</v>
      </c>
    </row>
    <row r="38304" spans="9:9" x14ac:dyDescent="0.2">
      <c r="I38304" s="137" t="s">
        <v>74</v>
      </c>
    </row>
    <row r="38305" spans="9:9" x14ac:dyDescent="0.2">
      <c r="I38305" s="137" t="s">
        <v>74</v>
      </c>
    </row>
    <row r="38306" spans="9:9" x14ac:dyDescent="0.2">
      <c r="I38306" s="137" t="s">
        <v>74</v>
      </c>
    </row>
    <row r="38307" spans="9:9" x14ac:dyDescent="0.2">
      <c r="I38307" s="137" t="s">
        <v>74</v>
      </c>
    </row>
    <row r="38308" spans="9:9" x14ac:dyDescent="0.2">
      <c r="I38308" s="137" t="s">
        <v>74</v>
      </c>
    </row>
    <row r="38309" spans="9:9" x14ac:dyDescent="0.2">
      <c r="I38309" s="137" t="s">
        <v>74</v>
      </c>
    </row>
    <row r="38310" spans="9:9" x14ac:dyDescent="0.2">
      <c r="I38310" s="137" t="s">
        <v>74</v>
      </c>
    </row>
    <row r="38311" spans="9:9" x14ac:dyDescent="0.2">
      <c r="I38311" s="137" t="s">
        <v>74</v>
      </c>
    </row>
    <row r="38312" spans="9:9" x14ac:dyDescent="0.2">
      <c r="I38312" s="137" t="s">
        <v>74</v>
      </c>
    </row>
    <row r="38313" spans="9:9" x14ac:dyDescent="0.2">
      <c r="I38313" s="137" t="s">
        <v>74</v>
      </c>
    </row>
    <row r="38314" spans="9:9" x14ac:dyDescent="0.2">
      <c r="I38314" s="137" t="s">
        <v>74</v>
      </c>
    </row>
    <row r="38315" spans="9:9" x14ac:dyDescent="0.2">
      <c r="I38315" s="137" t="s">
        <v>74</v>
      </c>
    </row>
    <row r="38316" spans="9:9" x14ac:dyDescent="0.2">
      <c r="I38316" s="137" t="s">
        <v>74</v>
      </c>
    </row>
    <row r="38317" spans="9:9" x14ac:dyDescent="0.2">
      <c r="I38317" s="137" t="s">
        <v>74</v>
      </c>
    </row>
    <row r="38318" spans="9:9" x14ac:dyDescent="0.2">
      <c r="I38318" s="137" t="s">
        <v>74</v>
      </c>
    </row>
    <row r="38319" spans="9:9" x14ac:dyDescent="0.2">
      <c r="I38319" s="137" t="s">
        <v>74</v>
      </c>
    </row>
    <row r="38320" spans="9:9" x14ac:dyDescent="0.2">
      <c r="I38320" s="137" t="s">
        <v>74</v>
      </c>
    </row>
    <row r="38321" spans="9:9" x14ac:dyDescent="0.2">
      <c r="I38321" s="137" t="s">
        <v>74</v>
      </c>
    </row>
    <row r="38322" spans="9:9" x14ac:dyDescent="0.2">
      <c r="I38322" s="137" t="s">
        <v>74</v>
      </c>
    </row>
    <row r="38323" spans="9:9" x14ac:dyDescent="0.2">
      <c r="I38323" s="137" t="s">
        <v>74</v>
      </c>
    </row>
    <row r="38324" spans="9:9" x14ac:dyDescent="0.2">
      <c r="I38324" s="137" t="s">
        <v>74</v>
      </c>
    </row>
    <row r="38325" spans="9:9" x14ac:dyDescent="0.2">
      <c r="I38325" s="137" t="s">
        <v>74</v>
      </c>
    </row>
    <row r="38326" spans="9:9" x14ac:dyDescent="0.2">
      <c r="I38326" s="137" t="s">
        <v>74</v>
      </c>
    </row>
    <row r="38327" spans="9:9" x14ac:dyDescent="0.2">
      <c r="I38327" s="137" t="s">
        <v>74</v>
      </c>
    </row>
    <row r="38328" spans="9:9" x14ac:dyDescent="0.2">
      <c r="I38328" s="137" t="s">
        <v>74</v>
      </c>
    </row>
    <row r="38329" spans="9:9" x14ac:dyDescent="0.2">
      <c r="I38329" s="137" t="s">
        <v>74</v>
      </c>
    </row>
    <row r="38330" spans="9:9" x14ac:dyDescent="0.2">
      <c r="I38330" s="137" t="s">
        <v>74</v>
      </c>
    </row>
    <row r="38331" spans="9:9" x14ac:dyDescent="0.2">
      <c r="I38331" s="137" t="s">
        <v>74</v>
      </c>
    </row>
    <row r="38332" spans="9:9" x14ac:dyDescent="0.2">
      <c r="I38332" s="137" t="s">
        <v>74</v>
      </c>
    </row>
    <row r="38333" spans="9:9" x14ac:dyDescent="0.2">
      <c r="I38333" s="137" t="s">
        <v>74</v>
      </c>
    </row>
    <row r="38334" spans="9:9" x14ac:dyDescent="0.2">
      <c r="I38334" s="137" t="s">
        <v>74</v>
      </c>
    </row>
    <row r="38335" spans="9:9" x14ac:dyDescent="0.2">
      <c r="I38335" s="137" t="s">
        <v>74</v>
      </c>
    </row>
    <row r="38336" spans="9:9" x14ac:dyDescent="0.2">
      <c r="I38336" s="137" t="s">
        <v>74</v>
      </c>
    </row>
    <row r="38337" spans="9:9" x14ac:dyDescent="0.2">
      <c r="I38337" s="137" t="s">
        <v>74</v>
      </c>
    </row>
    <row r="38338" spans="9:9" x14ac:dyDescent="0.2">
      <c r="I38338" s="137" t="s">
        <v>74</v>
      </c>
    </row>
    <row r="38339" spans="9:9" x14ac:dyDescent="0.2">
      <c r="I38339" s="137" t="s">
        <v>74</v>
      </c>
    </row>
    <row r="38340" spans="9:9" x14ac:dyDescent="0.2">
      <c r="I38340" s="137" t="s">
        <v>74</v>
      </c>
    </row>
    <row r="38341" spans="9:9" x14ac:dyDescent="0.2">
      <c r="I38341" s="137" t="s">
        <v>74</v>
      </c>
    </row>
    <row r="38342" spans="9:9" x14ac:dyDescent="0.2">
      <c r="I38342" s="137" t="s">
        <v>74</v>
      </c>
    </row>
    <row r="38343" spans="9:9" x14ac:dyDescent="0.2">
      <c r="I38343" s="137" t="s">
        <v>74</v>
      </c>
    </row>
    <row r="38344" spans="9:9" x14ac:dyDescent="0.2">
      <c r="I38344" s="137" t="s">
        <v>74</v>
      </c>
    </row>
    <row r="38345" spans="9:9" x14ac:dyDescent="0.2">
      <c r="I38345" s="137" t="s">
        <v>74</v>
      </c>
    </row>
    <row r="38346" spans="9:9" x14ac:dyDescent="0.2">
      <c r="I38346" s="137" t="s">
        <v>74</v>
      </c>
    </row>
    <row r="38347" spans="9:9" x14ac:dyDescent="0.2">
      <c r="I38347" s="137" t="s">
        <v>74</v>
      </c>
    </row>
    <row r="38348" spans="9:9" x14ac:dyDescent="0.2">
      <c r="I38348" s="137" t="s">
        <v>74</v>
      </c>
    </row>
    <row r="38349" spans="9:9" x14ac:dyDescent="0.2">
      <c r="I38349" s="137" t="s">
        <v>74</v>
      </c>
    </row>
    <row r="38350" spans="9:9" x14ac:dyDescent="0.2">
      <c r="I38350" s="137" t="s">
        <v>74</v>
      </c>
    </row>
    <row r="38351" spans="9:9" x14ac:dyDescent="0.2">
      <c r="I38351" s="137" t="s">
        <v>74</v>
      </c>
    </row>
    <row r="38352" spans="9:9" x14ac:dyDescent="0.2">
      <c r="I38352" s="137" t="s">
        <v>74</v>
      </c>
    </row>
    <row r="38353" spans="9:9" x14ac:dyDescent="0.2">
      <c r="I38353" s="137" t="s">
        <v>74</v>
      </c>
    </row>
    <row r="38354" spans="9:9" x14ac:dyDescent="0.2">
      <c r="I38354" s="137" t="s">
        <v>74</v>
      </c>
    </row>
    <row r="38355" spans="9:9" x14ac:dyDescent="0.2">
      <c r="I38355" s="137" t="s">
        <v>74</v>
      </c>
    </row>
    <row r="38356" spans="9:9" x14ac:dyDescent="0.2">
      <c r="I38356" s="137" t="s">
        <v>74</v>
      </c>
    </row>
    <row r="38357" spans="9:9" x14ac:dyDescent="0.2">
      <c r="I38357" s="137" t="s">
        <v>74</v>
      </c>
    </row>
    <row r="38358" spans="9:9" x14ac:dyDescent="0.2">
      <c r="I38358" s="137" t="s">
        <v>74</v>
      </c>
    </row>
    <row r="38359" spans="9:9" x14ac:dyDescent="0.2">
      <c r="I38359" s="137" t="s">
        <v>74</v>
      </c>
    </row>
    <row r="38360" spans="9:9" x14ac:dyDescent="0.2">
      <c r="I38360" s="137" t="s">
        <v>74</v>
      </c>
    </row>
    <row r="38361" spans="9:9" x14ac:dyDescent="0.2">
      <c r="I38361" s="137" t="s">
        <v>74</v>
      </c>
    </row>
    <row r="38362" spans="9:9" x14ac:dyDescent="0.2">
      <c r="I38362" s="137" t="s">
        <v>74</v>
      </c>
    </row>
    <row r="38363" spans="9:9" x14ac:dyDescent="0.2">
      <c r="I38363" s="137" t="s">
        <v>74</v>
      </c>
    </row>
    <row r="38364" spans="9:9" x14ac:dyDescent="0.2">
      <c r="I38364" s="137" t="s">
        <v>74</v>
      </c>
    </row>
    <row r="38365" spans="9:9" x14ac:dyDescent="0.2">
      <c r="I38365" s="137" t="s">
        <v>74</v>
      </c>
    </row>
    <row r="38366" spans="9:9" x14ac:dyDescent="0.2">
      <c r="I38366" s="137" t="s">
        <v>74</v>
      </c>
    </row>
    <row r="38367" spans="9:9" x14ac:dyDescent="0.2">
      <c r="I38367" s="137" t="s">
        <v>74</v>
      </c>
    </row>
    <row r="38368" spans="9:9" x14ac:dyDescent="0.2">
      <c r="I38368" s="137" t="s">
        <v>74</v>
      </c>
    </row>
    <row r="38369" spans="9:9" x14ac:dyDescent="0.2">
      <c r="I38369" s="137" t="s">
        <v>74</v>
      </c>
    </row>
    <row r="38370" spans="9:9" x14ac:dyDescent="0.2">
      <c r="I38370" s="137" t="s">
        <v>74</v>
      </c>
    </row>
    <row r="38371" spans="9:9" x14ac:dyDescent="0.2">
      <c r="I38371" s="137" t="s">
        <v>74</v>
      </c>
    </row>
    <row r="38372" spans="9:9" x14ac:dyDescent="0.2">
      <c r="I38372" s="137" t="s">
        <v>74</v>
      </c>
    </row>
    <row r="38373" spans="9:9" x14ac:dyDescent="0.2">
      <c r="I38373" s="137" t="s">
        <v>74</v>
      </c>
    </row>
    <row r="38374" spans="9:9" x14ac:dyDescent="0.2">
      <c r="I38374" s="137" t="s">
        <v>74</v>
      </c>
    </row>
    <row r="38375" spans="9:9" x14ac:dyDescent="0.2">
      <c r="I38375" s="137" t="s">
        <v>74</v>
      </c>
    </row>
    <row r="38376" spans="9:9" x14ac:dyDescent="0.2">
      <c r="I38376" s="137" t="s">
        <v>74</v>
      </c>
    </row>
    <row r="38377" spans="9:9" x14ac:dyDescent="0.2">
      <c r="I38377" s="137" t="s">
        <v>74</v>
      </c>
    </row>
    <row r="38378" spans="9:9" x14ac:dyDescent="0.2">
      <c r="I38378" s="137" t="s">
        <v>74</v>
      </c>
    </row>
    <row r="38379" spans="9:9" x14ac:dyDescent="0.2">
      <c r="I38379" s="137" t="s">
        <v>74</v>
      </c>
    </row>
    <row r="38380" spans="9:9" x14ac:dyDescent="0.2">
      <c r="I38380" s="137" t="s">
        <v>74</v>
      </c>
    </row>
    <row r="38381" spans="9:9" x14ac:dyDescent="0.2">
      <c r="I38381" s="137" t="s">
        <v>74</v>
      </c>
    </row>
    <row r="38382" spans="9:9" x14ac:dyDescent="0.2">
      <c r="I38382" s="137" t="s">
        <v>74</v>
      </c>
    </row>
    <row r="38383" spans="9:9" x14ac:dyDescent="0.2">
      <c r="I38383" s="137" t="s">
        <v>74</v>
      </c>
    </row>
    <row r="38384" spans="9:9" x14ac:dyDescent="0.2">
      <c r="I38384" s="137" t="s">
        <v>74</v>
      </c>
    </row>
    <row r="38385" spans="9:9" x14ac:dyDescent="0.2">
      <c r="I38385" s="137" t="s">
        <v>74</v>
      </c>
    </row>
    <row r="38386" spans="9:9" x14ac:dyDescent="0.2">
      <c r="I38386" s="137" t="s">
        <v>74</v>
      </c>
    </row>
    <row r="38387" spans="9:9" x14ac:dyDescent="0.2">
      <c r="I38387" s="137" t="s">
        <v>74</v>
      </c>
    </row>
    <row r="38388" spans="9:9" x14ac:dyDescent="0.2">
      <c r="I38388" s="137" t="s">
        <v>74</v>
      </c>
    </row>
    <row r="38389" spans="9:9" x14ac:dyDescent="0.2">
      <c r="I38389" s="137" t="s">
        <v>74</v>
      </c>
    </row>
    <row r="38390" spans="9:9" x14ac:dyDescent="0.2">
      <c r="I38390" s="137" t="s">
        <v>74</v>
      </c>
    </row>
    <row r="38391" spans="9:9" x14ac:dyDescent="0.2">
      <c r="I38391" s="137" t="s">
        <v>74</v>
      </c>
    </row>
    <row r="38392" spans="9:9" x14ac:dyDescent="0.2">
      <c r="I38392" s="137" t="s">
        <v>74</v>
      </c>
    </row>
    <row r="38393" spans="9:9" x14ac:dyDescent="0.2">
      <c r="I38393" s="137" t="s">
        <v>74</v>
      </c>
    </row>
    <row r="38394" spans="9:9" x14ac:dyDescent="0.2">
      <c r="I38394" s="137" t="s">
        <v>74</v>
      </c>
    </row>
    <row r="38395" spans="9:9" x14ac:dyDescent="0.2">
      <c r="I38395" s="137" t="s">
        <v>74</v>
      </c>
    </row>
    <row r="38396" spans="9:9" x14ac:dyDescent="0.2">
      <c r="I38396" s="137" t="s">
        <v>74</v>
      </c>
    </row>
    <row r="38397" spans="9:9" x14ac:dyDescent="0.2">
      <c r="I38397" s="137" t="s">
        <v>74</v>
      </c>
    </row>
    <row r="38398" spans="9:9" x14ac:dyDescent="0.2">
      <c r="I38398" s="137" t="s">
        <v>74</v>
      </c>
    </row>
    <row r="38399" spans="9:9" x14ac:dyDescent="0.2">
      <c r="I38399" s="137" t="s">
        <v>74</v>
      </c>
    </row>
    <row r="38400" spans="9:9" x14ac:dyDescent="0.2">
      <c r="I38400" s="137" t="s">
        <v>74</v>
      </c>
    </row>
    <row r="38401" spans="9:9" x14ac:dyDescent="0.2">
      <c r="I38401" s="137" t="s">
        <v>74</v>
      </c>
    </row>
    <row r="38402" spans="9:9" x14ac:dyDescent="0.2">
      <c r="I38402" s="137" t="s">
        <v>74</v>
      </c>
    </row>
    <row r="38403" spans="9:9" x14ac:dyDescent="0.2">
      <c r="I38403" s="137" t="s">
        <v>74</v>
      </c>
    </row>
    <row r="38404" spans="9:9" x14ac:dyDescent="0.2">
      <c r="I38404" s="137" t="s">
        <v>74</v>
      </c>
    </row>
    <row r="38405" spans="9:9" x14ac:dyDescent="0.2">
      <c r="I38405" s="137" t="s">
        <v>74</v>
      </c>
    </row>
    <row r="38406" spans="9:9" x14ac:dyDescent="0.2">
      <c r="I38406" s="137" t="s">
        <v>74</v>
      </c>
    </row>
    <row r="38407" spans="9:9" x14ac:dyDescent="0.2">
      <c r="I38407" s="137" t="s">
        <v>74</v>
      </c>
    </row>
    <row r="38408" spans="9:9" x14ac:dyDescent="0.2">
      <c r="I38408" s="137" t="s">
        <v>74</v>
      </c>
    </row>
    <row r="38409" spans="9:9" x14ac:dyDescent="0.2">
      <c r="I38409" s="137" t="s">
        <v>74</v>
      </c>
    </row>
    <row r="38410" spans="9:9" x14ac:dyDescent="0.2">
      <c r="I38410" s="137" t="s">
        <v>74</v>
      </c>
    </row>
    <row r="38411" spans="9:9" x14ac:dyDescent="0.2">
      <c r="I38411" s="137" t="s">
        <v>74</v>
      </c>
    </row>
    <row r="38412" spans="9:9" x14ac:dyDescent="0.2">
      <c r="I38412" s="137" t="s">
        <v>74</v>
      </c>
    </row>
    <row r="38413" spans="9:9" x14ac:dyDescent="0.2">
      <c r="I38413" s="137" t="s">
        <v>74</v>
      </c>
    </row>
    <row r="38414" spans="9:9" x14ac:dyDescent="0.2">
      <c r="I38414" s="137" t="s">
        <v>74</v>
      </c>
    </row>
    <row r="38415" spans="9:9" x14ac:dyDescent="0.2">
      <c r="I38415" s="137" t="s">
        <v>74</v>
      </c>
    </row>
    <row r="38416" spans="9:9" x14ac:dyDescent="0.2">
      <c r="I38416" s="137" t="s">
        <v>74</v>
      </c>
    </row>
    <row r="38417" spans="9:9" x14ac:dyDescent="0.2">
      <c r="I38417" s="137" t="s">
        <v>74</v>
      </c>
    </row>
    <row r="38418" spans="9:9" x14ac:dyDescent="0.2">
      <c r="I38418" s="137" t="s">
        <v>74</v>
      </c>
    </row>
    <row r="38419" spans="9:9" x14ac:dyDescent="0.2">
      <c r="I38419" s="137" t="s">
        <v>74</v>
      </c>
    </row>
    <row r="38420" spans="9:9" x14ac:dyDescent="0.2">
      <c r="I38420" s="137" t="s">
        <v>74</v>
      </c>
    </row>
    <row r="38421" spans="9:9" x14ac:dyDescent="0.2">
      <c r="I38421" s="137" t="s">
        <v>74</v>
      </c>
    </row>
    <row r="38422" spans="9:9" x14ac:dyDescent="0.2">
      <c r="I38422" s="137" t="s">
        <v>74</v>
      </c>
    </row>
    <row r="38423" spans="9:9" x14ac:dyDescent="0.2">
      <c r="I38423" s="137" t="s">
        <v>74</v>
      </c>
    </row>
    <row r="38424" spans="9:9" x14ac:dyDescent="0.2">
      <c r="I38424" s="137" t="s">
        <v>74</v>
      </c>
    </row>
    <row r="38425" spans="9:9" x14ac:dyDescent="0.2">
      <c r="I38425" s="137" t="s">
        <v>74</v>
      </c>
    </row>
    <row r="38426" spans="9:9" x14ac:dyDescent="0.2">
      <c r="I38426" s="137" t="s">
        <v>74</v>
      </c>
    </row>
    <row r="38427" spans="9:9" x14ac:dyDescent="0.2">
      <c r="I38427" s="137" t="s">
        <v>74</v>
      </c>
    </row>
    <row r="38428" spans="9:9" x14ac:dyDescent="0.2">
      <c r="I38428" s="137" t="s">
        <v>74</v>
      </c>
    </row>
    <row r="38429" spans="9:9" x14ac:dyDescent="0.2">
      <c r="I38429" s="137" t="s">
        <v>74</v>
      </c>
    </row>
    <row r="38430" spans="9:9" x14ac:dyDescent="0.2">
      <c r="I38430" s="137" t="s">
        <v>74</v>
      </c>
    </row>
    <row r="38431" spans="9:9" x14ac:dyDescent="0.2">
      <c r="I38431" s="137" t="s">
        <v>74</v>
      </c>
    </row>
    <row r="38432" spans="9:9" x14ac:dyDescent="0.2">
      <c r="I38432" s="137" t="s">
        <v>74</v>
      </c>
    </row>
    <row r="38433" spans="9:9" x14ac:dyDescent="0.2">
      <c r="I38433" s="137" t="s">
        <v>74</v>
      </c>
    </row>
    <row r="38434" spans="9:9" x14ac:dyDescent="0.2">
      <c r="I38434" s="137" t="s">
        <v>74</v>
      </c>
    </row>
    <row r="38435" spans="9:9" x14ac:dyDescent="0.2">
      <c r="I38435" s="137" t="s">
        <v>74</v>
      </c>
    </row>
    <row r="38436" spans="9:9" x14ac:dyDescent="0.2">
      <c r="I38436" s="137" t="s">
        <v>74</v>
      </c>
    </row>
    <row r="38437" spans="9:9" x14ac:dyDescent="0.2">
      <c r="I38437" s="137" t="s">
        <v>74</v>
      </c>
    </row>
    <row r="38438" spans="9:9" x14ac:dyDescent="0.2">
      <c r="I38438" s="137" t="s">
        <v>74</v>
      </c>
    </row>
    <row r="38439" spans="9:9" x14ac:dyDescent="0.2">
      <c r="I38439" s="137" t="s">
        <v>74</v>
      </c>
    </row>
    <row r="38440" spans="9:9" x14ac:dyDescent="0.2">
      <c r="I38440" s="137" t="s">
        <v>74</v>
      </c>
    </row>
    <row r="38441" spans="9:9" x14ac:dyDescent="0.2">
      <c r="I38441" s="137" t="s">
        <v>74</v>
      </c>
    </row>
    <row r="38442" spans="9:9" x14ac:dyDescent="0.2">
      <c r="I38442" s="137" t="s">
        <v>74</v>
      </c>
    </row>
    <row r="38443" spans="9:9" x14ac:dyDescent="0.2">
      <c r="I38443" s="137" t="s">
        <v>74</v>
      </c>
    </row>
    <row r="38444" spans="9:9" x14ac:dyDescent="0.2">
      <c r="I38444" s="137" t="s">
        <v>74</v>
      </c>
    </row>
    <row r="38445" spans="9:9" x14ac:dyDescent="0.2">
      <c r="I38445" s="137" t="s">
        <v>74</v>
      </c>
    </row>
    <row r="38446" spans="9:9" x14ac:dyDescent="0.2">
      <c r="I38446" s="137" t="s">
        <v>74</v>
      </c>
    </row>
    <row r="38447" spans="9:9" x14ac:dyDescent="0.2">
      <c r="I38447" s="137" t="s">
        <v>74</v>
      </c>
    </row>
    <row r="38448" spans="9:9" x14ac:dyDescent="0.2">
      <c r="I38448" s="137" t="s">
        <v>74</v>
      </c>
    </row>
    <row r="38449" spans="9:9" x14ac:dyDescent="0.2">
      <c r="I38449" s="137" t="s">
        <v>74</v>
      </c>
    </row>
    <row r="38450" spans="9:9" x14ac:dyDescent="0.2">
      <c r="I38450" s="137" t="s">
        <v>74</v>
      </c>
    </row>
    <row r="38451" spans="9:9" x14ac:dyDescent="0.2">
      <c r="I38451" s="137" t="s">
        <v>74</v>
      </c>
    </row>
    <row r="38452" spans="9:9" x14ac:dyDescent="0.2">
      <c r="I38452" s="137" t="s">
        <v>74</v>
      </c>
    </row>
    <row r="38453" spans="9:9" x14ac:dyDescent="0.2">
      <c r="I38453" s="137" t="s">
        <v>74</v>
      </c>
    </row>
    <row r="38454" spans="9:9" x14ac:dyDescent="0.2">
      <c r="I38454" s="137" t="s">
        <v>74</v>
      </c>
    </row>
    <row r="38455" spans="9:9" x14ac:dyDescent="0.2">
      <c r="I38455" s="137" t="s">
        <v>74</v>
      </c>
    </row>
    <row r="38456" spans="9:9" x14ac:dyDescent="0.2">
      <c r="I38456" s="137" t="s">
        <v>74</v>
      </c>
    </row>
    <row r="38457" spans="9:9" x14ac:dyDescent="0.2">
      <c r="I38457" s="137" t="s">
        <v>74</v>
      </c>
    </row>
    <row r="38458" spans="9:9" x14ac:dyDescent="0.2">
      <c r="I38458" s="137" t="s">
        <v>74</v>
      </c>
    </row>
    <row r="38459" spans="9:9" x14ac:dyDescent="0.2">
      <c r="I38459" s="137" t="s">
        <v>74</v>
      </c>
    </row>
    <row r="38460" spans="9:9" x14ac:dyDescent="0.2">
      <c r="I38460" s="137" t="s">
        <v>74</v>
      </c>
    </row>
    <row r="38461" spans="9:9" x14ac:dyDescent="0.2">
      <c r="I38461" s="137" t="s">
        <v>74</v>
      </c>
    </row>
    <row r="38462" spans="9:9" x14ac:dyDescent="0.2">
      <c r="I38462" s="137" t="s">
        <v>74</v>
      </c>
    </row>
    <row r="38463" spans="9:9" x14ac:dyDescent="0.2">
      <c r="I38463" s="137" t="s">
        <v>74</v>
      </c>
    </row>
    <row r="38464" spans="9:9" x14ac:dyDescent="0.2">
      <c r="I38464" s="137" t="s">
        <v>74</v>
      </c>
    </row>
    <row r="38465" spans="9:9" x14ac:dyDescent="0.2">
      <c r="I38465" s="137" t="s">
        <v>74</v>
      </c>
    </row>
    <row r="38466" spans="9:9" x14ac:dyDescent="0.2">
      <c r="I38466" s="137" t="s">
        <v>74</v>
      </c>
    </row>
    <row r="38467" spans="9:9" x14ac:dyDescent="0.2">
      <c r="I38467" s="137" t="s">
        <v>74</v>
      </c>
    </row>
    <row r="38468" spans="9:9" x14ac:dyDescent="0.2">
      <c r="I38468" s="137" t="s">
        <v>74</v>
      </c>
    </row>
    <row r="38469" spans="9:9" x14ac:dyDescent="0.2">
      <c r="I38469" s="137" t="s">
        <v>74</v>
      </c>
    </row>
    <row r="38470" spans="9:9" x14ac:dyDescent="0.2">
      <c r="I38470" s="137" t="s">
        <v>74</v>
      </c>
    </row>
    <row r="38471" spans="9:9" x14ac:dyDescent="0.2">
      <c r="I38471" s="137" t="s">
        <v>74</v>
      </c>
    </row>
    <row r="38472" spans="9:9" x14ac:dyDescent="0.2">
      <c r="I38472" s="137" t="s">
        <v>74</v>
      </c>
    </row>
    <row r="38473" spans="9:9" x14ac:dyDescent="0.2">
      <c r="I38473" s="137" t="s">
        <v>74</v>
      </c>
    </row>
    <row r="38474" spans="9:9" x14ac:dyDescent="0.2">
      <c r="I38474" s="137" t="s">
        <v>74</v>
      </c>
    </row>
    <row r="38475" spans="9:9" x14ac:dyDescent="0.2">
      <c r="I38475" s="137" t="s">
        <v>74</v>
      </c>
    </row>
    <row r="38476" spans="9:9" x14ac:dyDescent="0.2">
      <c r="I38476" s="137" t="s">
        <v>74</v>
      </c>
    </row>
    <row r="38477" spans="9:9" x14ac:dyDescent="0.2">
      <c r="I38477" s="137" t="s">
        <v>74</v>
      </c>
    </row>
    <row r="38478" spans="9:9" x14ac:dyDescent="0.2">
      <c r="I38478" s="137" t="s">
        <v>74</v>
      </c>
    </row>
    <row r="38479" spans="9:9" x14ac:dyDescent="0.2">
      <c r="I38479" s="137" t="s">
        <v>74</v>
      </c>
    </row>
    <row r="38480" spans="9:9" x14ac:dyDescent="0.2">
      <c r="I38480" s="137" t="s">
        <v>74</v>
      </c>
    </row>
    <row r="38481" spans="9:9" x14ac:dyDescent="0.2">
      <c r="I38481" s="137" t="s">
        <v>74</v>
      </c>
    </row>
    <row r="38482" spans="9:9" x14ac:dyDescent="0.2">
      <c r="I38482" s="137" t="s">
        <v>74</v>
      </c>
    </row>
    <row r="38483" spans="9:9" x14ac:dyDescent="0.2">
      <c r="I38483" s="137" t="s">
        <v>74</v>
      </c>
    </row>
    <row r="38484" spans="9:9" x14ac:dyDescent="0.2">
      <c r="I38484" s="137" t="s">
        <v>74</v>
      </c>
    </row>
    <row r="38485" spans="9:9" x14ac:dyDescent="0.2">
      <c r="I38485" s="137" t="s">
        <v>74</v>
      </c>
    </row>
    <row r="38486" spans="9:9" x14ac:dyDescent="0.2">
      <c r="I38486" s="137" t="s">
        <v>74</v>
      </c>
    </row>
    <row r="38487" spans="9:9" x14ac:dyDescent="0.2">
      <c r="I38487" s="137" t="s">
        <v>74</v>
      </c>
    </row>
    <row r="38488" spans="9:9" x14ac:dyDescent="0.2">
      <c r="I38488" s="137" t="s">
        <v>74</v>
      </c>
    </row>
    <row r="38489" spans="9:9" x14ac:dyDescent="0.2">
      <c r="I38489" s="137" t="s">
        <v>74</v>
      </c>
    </row>
    <row r="38490" spans="9:9" x14ac:dyDescent="0.2">
      <c r="I38490" s="137" t="s">
        <v>74</v>
      </c>
    </row>
    <row r="38491" spans="9:9" x14ac:dyDescent="0.2">
      <c r="I38491" s="137" t="s">
        <v>74</v>
      </c>
    </row>
    <row r="38492" spans="9:9" x14ac:dyDescent="0.2">
      <c r="I38492" s="137" t="s">
        <v>74</v>
      </c>
    </row>
    <row r="38493" spans="9:9" x14ac:dyDescent="0.2">
      <c r="I38493" s="137" t="s">
        <v>74</v>
      </c>
    </row>
    <row r="38494" spans="9:9" x14ac:dyDescent="0.2">
      <c r="I38494" s="137" t="s">
        <v>74</v>
      </c>
    </row>
    <row r="38495" spans="9:9" x14ac:dyDescent="0.2">
      <c r="I38495" s="137" t="s">
        <v>74</v>
      </c>
    </row>
    <row r="38496" spans="9:9" x14ac:dyDescent="0.2">
      <c r="I38496" s="137" t="s">
        <v>74</v>
      </c>
    </row>
    <row r="38497" spans="9:9" x14ac:dyDescent="0.2">
      <c r="I38497" s="137" t="s">
        <v>74</v>
      </c>
    </row>
    <row r="38498" spans="9:9" x14ac:dyDescent="0.2">
      <c r="I38498" s="137" t="s">
        <v>74</v>
      </c>
    </row>
    <row r="38499" spans="9:9" x14ac:dyDescent="0.2">
      <c r="I38499" s="137" t="s">
        <v>74</v>
      </c>
    </row>
    <row r="38500" spans="9:9" x14ac:dyDescent="0.2">
      <c r="I38500" s="137" t="s">
        <v>74</v>
      </c>
    </row>
    <row r="38501" spans="9:9" x14ac:dyDescent="0.2">
      <c r="I38501" s="137" t="s">
        <v>74</v>
      </c>
    </row>
    <row r="38502" spans="9:9" x14ac:dyDescent="0.2">
      <c r="I38502" s="137" t="s">
        <v>74</v>
      </c>
    </row>
    <row r="38503" spans="9:9" x14ac:dyDescent="0.2">
      <c r="I38503" s="137" t="s">
        <v>74</v>
      </c>
    </row>
    <row r="38504" spans="9:9" x14ac:dyDescent="0.2">
      <c r="I38504" s="137" t="s">
        <v>74</v>
      </c>
    </row>
    <row r="38505" spans="9:9" x14ac:dyDescent="0.2">
      <c r="I38505" s="137" t="s">
        <v>74</v>
      </c>
    </row>
    <row r="38506" spans="9:9" x14ac:dyDescent="0.2">
      <c r="I38506" s="137" t="s">
        <v>74</v>
      </c>
    </row>
    <row r="38507" spans="9:9" x14ac:dyDescent="0.2">
      <c r="I38507" s="137" t="s">
        <v>74</v>
      </c>
    </row>
    <row r="38508" spans="9:9" x14ac:dyDescent="0.2">
      <c r="I38508" s="137" t="s">
        <v>74</v>
      </c>
    </row>
    <row r="38509" spans="9:9" x14ac:dyDescent="0.2">
      <c r="I38509" s="137" t="s">
        <v>74</v>
      </c>
    </row>
    <row r="38510" spans="9:9" x14ac:dyDescent="0.2">
      <c r="I38510" s="137" t="s">
        <v>74</v>
      </c>
    </row>
    <row r="38511" spans="9:9" x14ac:dyDescent="0.2">
      <c r="I38511" s="137" t="s">
        <v>74</v>
      </c>
    </row>
    <row r="38512" spans="9:9" x14ac:dyDescent="0.2">
      <c r="I38512" s="137" t="s">
        <v>74</v>
      </c>
    </row>
    <row r="38513" spans="9:9" x14ac:dyDescent="0.2">
      <c r="I38513" s="137" t="s">
        <v>74</v>
      </c>
    </row>
    <row r="38514" spans="9:9" x14ac:dyDescent="0.2">
      <c r="I38514" s="137" t="s">
        <v>74</v>
      </c>
    </row>
    <row r="38515" spans="9:9" x14ac:dyDescent="0.2">
      <c r="I38515" s="137" t="s">
        <v>74</v>
      </c>
    </row>
    <row r="38516" spans="9:9" x14ac:dyDescent="0.2">
      <c r="I38516" s="137" t="s">
        <v>74</v>
      </c>
    </row>
    <row r="38517" spans="9:9" x14ac:dyDescent="0.2">
      <c r="I38517" s="137" t="s">
        <v>74</v>
      </c>
    </row>
    <row r="38518" spans="9:9" x14ac:dyDescent="0.2">
      <c r="I38518" s="137" t="s">
        <v>74</v>
      </c>
    </row>
    <row r="38519" spans="9:9" x14ac:dyDescent="0.2">
      <c r="I38519" s="137" t="s">
        <v>74</v>
      </c>
    </row>
    <row r="38520" spans="9:9" x14ac:dyDescent="0.2">
      <c r="I38520" s="137" t="s">
        <v>74</v>
      </c>
    </row>
    <row r="38521" spans="9:9" x14ac:dyDescent="0.2">
      <c r="I38521" s="137" t="s">
        <v>74</v>
      </c>
    </row>
    <row r="38522" spans="9:9" x14ac:dyDescent="0.2">
      <c r="I38522" s="137" t="s">
        <v>74</v>
      </c>
    </row>
    <row r="38523" spans="9:9" x14ac:dyDescent="0.2">
      <c r="I38523" s="137" t="s">
        <v>74</v>
      </c>
    </row>
    <row r="38524" spans="9:9" x14ac:dyDescent="0.2">
      <c r="I38524" s="137" t="s">
        <v>74</v>
      </c>
    </row>
    <row r="38525" spans="9:9" x14ac:dyDescent="0.2">
      <c r="I38525" s="137" t="s">
        <v>74</v>
      </c>
    </row>
    <row r="38526" spans="9:9" x14ac:dyDescent="0.2">
      <c r="I38526" s="137" t="s">
        <v>74</v>
      </c>
    </row>
    <row r="38527" spans="9:9" x14ac:dyDescent="0.2">
      <c r="I38527" s="137" t="s">
        <v>74</v>
      </c>
    </row>
    <row r="38528" spans="9:9" x14ac:dyDescent="0.2">
      <c r="I38528" s="137" t="s">
        <v>74</v>
      </c>
    </row>
    <row r="38529" spans="9:9" x14ac:dyDescent="0.2">
      <c r="I38529" s="137" t="s">
        <v>74</v>
      </c>
    </row>
    <row r="38530" spans="9:9" x14ac:dyDescent="0.2">
      <c r="I38530" s="137" t="s">
        <v>74</v>
      </c>
    </row>
    <row r="38531" spans="9:9" x14ac:dyDescent="0.2">
      <c r="I38531" s="137" t="s">
        <v>74</v>
      </c>
    </row>
    <row r="38532" spans="9:9" x14ac:dyDescent="0.2">
      <c r="I38532" s="137" t="s">
        <v>74</v>
      </c>
    </row>
    <row r="38533" spans="9:9" x14ac:dyDescent="0.2">
      <c r="I38533" s="137" t="s">
        <v>74</v>
      </c>
    </row>
    <row r="38534" spans="9:9" x14ac:dyDescent="0.2">
      <c r="I38534" s="137" t="s">
        <v>74</v>
      </c>
    </row>
    <row r="38535" spans="9:9" x14ac:dyDescent="0.2">
      <c r="I38535" s="137" t="s">
        <v>74</v>
      </c>
    </row>
    <row r="38536" spans="9:9" x14ac:dyDescent="0.2">
      <c r="I38536" s="137" t="s">
        <v>74</v>
      </c>
    </row>
    <row r="38537" spans="9:9" x14ac:dyDescent="0.2">
      <c r="I38537" s="137" t="s">
        <v>74</v>
      </c>
    </row>
    <row r="38538" spans="9:9" x14ac:dyDescent="0.2">
      <c r="I38538" s="137" t="s">
        <v>74</v>
      </c>
    </row>
    <row r="38539" spans="9:9" x14ac:dyDescent="0.2">
      <c r="I38539" s="137" t="s">
        <v>74</v>
      </c>
    </row>
    <row r="38540" spans="9:9" x14ac:dyDescent="0.2">
      <c r="I38540" s="137" t="s">
        <v>74</v>
      </c>
    </row>
    <row r="38541" spans="9:9" x14ac:dyDescent="0.2">
      <c r="I38541" s="137" t="s">
        <v>74</v>
      </c>
    </row>
    <row r="38542" spans="9:9" x14ac:dyDescent="0.2">
      <c r="I38542" s="137" t="s">
        <v>74</v>
      </c>
    </row>
    <row r="38543" spans="9:9" x14ac:dyDescent="0.2">
      <c r="I38543" s="137" t="s">
        <v>74</v>
      </c>
    </row>
    <row r="38544" spans="9:9" x14ac:dyDescent="0.2">
      <c r="I38544" s="137" t="s">
        <v>74</v>
      </c>
    </row>
    <row r="38545" spans="9:9" x14ac:dyDescent="0.2">
      <c r="I38545" s="137" t="s">
        <v>74</v>
      </c>
    </row>
    <row r="38546" spans="9:9" x14ac:dyDescent="0.2">
      <c r="I38546" s="137" t="s">
        <v>74</v>
      </c>
    </row>
    <row r="38547" spans="9:9" x14ac:dyDescent="0.2">
      <c r="I38547" s="137" t="s">
        <v>74</v>
      </c>
    </row>
    <row r="38548" spans="9:9" x14ac:dyDescent="0.2">
      <c r="I38548" s="137" t="s">
        <v>74</v>
      </c>
    </row>
    <row r="38549" spans="9:9" x14ac:dyDescent="0.2">
      <c r="I38549" s="137" t="s">
        <v>74</v>
      </c>
    </row>
    <row r="38550" spans="9:9" x14ac:dyDescent="0.2">
      <c r="I38550" s="137" t="s">
        <v>74</v>
      </c>
    </row>
    <row r="38551" spans="9:9" x14ac:dyDescent="0.2">
      <c r="I38551" s="137" t="s">
        <v>74</v>
      </c>
    </row>
    <row r="38552" spans="9:9" x14ac:dyDescent="0.2">
      <c r="I38552" s="137" t="s">
        <v>74</v>
      </c>
    </row>
    <row r="38553" spans="9:9" x14ac:dyDescent="0.2">
      <c r="I38553" s="137" t="s">
        <v>74</v>
      </c>
    </row>
    <row r="38554" spans="9:9" x14ac:dyDescent="0.2">
      <c r="I38554" s="137" t="s">
        <v>74</v>
      </c>
    </row>
    <row r="38555" spans="9:9" x14ac:dyDescent="0.2">
      <c r="I38555" s="137" t="s">
        <v>74</v>
      </c>
    </row>
    <row r="38556" spans="9:9" x14ac:dyDescent="0.2">
      <c r="I38556" s="137" t="s">
        <v>74</v>
      </c>
    </row>
    <row r="38557" spans="9:9" x14ac:dyDescent="0.2">
      <c r="I38557" s="137" t="s">
        <v>74</v>
      </c>
    </row>
    <row r="38558" spans="9:9" x14ac:dyDescent="0.2">
      <c r="I38558" s="137" t="s">
        <v>74</v>
      </c>
    </row>
    <row r="38559" spans="9:9" x14ac:dyDescent="0.2">
      <c r="I38559" s="137" t="s">
        <v>74</v>
      </c>
    </row>
    <row r="38560" spans="9:9" x14ac:dyDescent="0.2">
      <c r="I38560" s="137" t="s">
        <v>74</v>
      </c>
    </row>
    <row r="38561" spans="9:9" x14ac:dyDescent="0.2">
      <c r="I38561" s="137" t="s">
        <v>74</v>
      </c>
    </row>
    <row r="38562" spans="9:9" x14ac:dyDescent="0.2">
      <c r="I38562" s="137" t="s">
        <v>74</v>
      </c>
    </row>
    <row r="38563" spans="9:9" x14ac:dyDescent="0.2">
      <c r="I38563" s="137" t="s">
        <v>74</v>
      </c>
    </row>
    <row r="38564" spans="9:9" x14ac:dyDescent="0.2">
      <c r="I38564" s="137" t="s">
        <v>74</v>
      </c>
    </row>
    <row r="38565" spans="9:9" x14ac:dyDescent="0.2">
      <c r="I38565" s="137" t="s">
        <v>74</v>
      </c>
    </row>
    <row r="38566" spans="9:9" x14ac:dyDescent="0.2">
      <c r="I38566" s="137" t="s">
        <v>74</v>
      </c>
    </row>
    <row r="38567" spans="9:9" x14ac:dyDescent="0.2">
      <c r="I38567" s="137" t="s">
        <v>74</v>
      </c>
    </row>
    <row r="38568" spans="9:9" x14ac:dyDescent="0.2">
      <c r="I38568" s="137" t="s">
        <v>74</v>
      </c>
    </row>
    <row r="38569" spans="9:9" x14ac:dyDescent="0.2">
      <c r="I38569" s="137" t="s">
        <v>74</v>
      </c>
    </row>
    <row r="38570" spans="9:9" x14ac:dyDescent="0.2">
      <c r="I38570" s="137" t="s">
        <v>74</v>
      </c>
    </row>
    <row r="38571" spans="9:9" x14ac:dyDescent="0.2">
      <c r="I38571" s="137" t="s">
        <v>74</v>
      </c>
    </row>
    <row r="38572" spans="9:9" x14ac:dyDescent="0.2">
      <c r="I38572" s="137" t="s">
        <v>74</v>
      </c>
    </row>
    <row r="38573" spans="9:9" x14ac:dyDescent="0.2">
      <c r="I38573" s="137" t="s">
        <v>74</v>
      </c>
    </row>
    <row r="38574" spans="9:9" x14ac:dyDescent="0.2">
      <c r="I38574" s="137" t="s">
        <v>74</v>
      </c>
    </row>
    <row r="38575" spans="9:9" x14ac:dyDescent="0.2">
      <c r="I38575" s="137" t="s">
        <v>74</v>
      </c>
    </row>
    <row r="38576" spans="9:9" x14ac:dyDescent="0.2">
      <c r="I38576" s="137" t="s">
        <v>74</v>
      </c>
    </row>
    <row r="38577" spans="9:9" x14ac:dyDescent="0.2">
      <c r="I38577" s="137" t="s">
        <v>74</v>
      </c>
    </row>
    <row r="38578" spans="9:9" x14ac:dyDescent="0.2">
      <c r="I38578" s="137" t="s">
        <v>74</v>
      </c>
    </row>
    <row r="38579" spans="9:9" x14ac:dyDescent="0.2">
      <c r="I38579" s="137" t="s">
        <v>74</v>
      </c>
    </row>
    <row r="38580" spans="9:9" x14ac:dyDescent="0.2">
      <c r="I38580" s="137" t="s">
        <v>74</v>
      </c>
    </row>
    <row r="38581" spans="9:9" x14ac:dyDescent="0.2">
      <c r="I38581" s="137" t="s">
        <v>74</v>
      </c>
    </row>
    <row r="38582" spans="9:9" x14ac:dyDescent="0.2">
      <c r="I38582" s="137" t="s">
        <v>74</v>
      </c>
    </row>
    <row r="38583" spans="9:9" x14ac:dyDescent="0.2">
      <c r="I38583" s="137" t="s">
        <v>74</v>
      </c>
    </row>
    <row r="38584" spans="9:9" x14ac:dyDescent="0.2">
      <c r="I38584" s="137" t="s">
        <v>74</v>
      </c>
    </row>
    <row r="38585" spans="9:9" x14ac:dyDescent="0.2">
      <c r="I38585" s="137" t="s">
        <v>74</v>
      </c>
    </row>
    <row r="38586" spans="9:9" x14ac:dyDescent="0.2">
      <c r="I38586" s="137" t="s">
        <v>74</v>
      </c>
    </row>
    <row r="38587" spans="9:9" x14ac:dyDescent="0.2">
      <c r="I38587" s="137" t="s">
        <v>74</v>
      </c>
    </row>
    <row r="38588" spans="9:9" x14ac:dyDescent="0.2">
      <c r="I38588" s="137" t="s">
        <v>74</v>
      </c>
    </row>
    <row r="38589" spans="9:9" x14ac:dyDescent="0.2">
      <c r="I38589" s="137" t="s">
        <v>74</v>
      </c>
    </row>
    <row r="38590" spans="9:9" x14ac:dyDescent="0.2">
      <c r="I38590" s="137" t="s">
        <v>74</v>
      </c>
    </row>
    <row r="38591" spans="9:9" x14ac:dyDescent="0.2">
      <c r="I38591" s="137" t="s">
        <v>74</v>
      </c>
    </row>
    <row r="38592" spans="9:9" x14ac:dyDescent="0.2">
      <c r="I38592" s="137" t="s">
        <v>74</v>
      </c>
    </row>
    <row r="38593" spans="9:9" x14ac:dyDescent="0.2">
      <c r="I38593" s="137" t="s">
        <v>74</v>
      </c>
    </row>
    <row r="38594" spans="9:9" x14ac:dyDescent="0.2">
      <c r="I38594" s="137" t="s">
        <v>74</v>
      </c>
    </row>
    <row r="38595" spans="9:9" x14ac:dyDescent="0.2">
      <c r="I38595" s="137" t="s">
        <v>74</v>
      </c>
    </row>
    <row r="38596" spans="9:9" x14ac:dyDescent="0.2">
      <c r="I38596" s="137" t="s">
        <v>74</v>
      </c>
    </row>
    <row r="38597" spans="9:9" x14ac:dyDescent="0.2">
      <c r="I38597" s="137" t="s">
        <v>74</v>
      </c>
    </row>
    <row r="38598" spans="9:9" x14ac:dyDescent="0.2">
      <c r="I38598" s="137" t="s">
        <v>74</v>
      </c>
    </row>
    <row r="38599" spans="9:9" x14ac:dyDescent="0.2">
      <c r="I38599" s="137" t="s">
        <v>74</v>
      </c>
    </row>
    <row r="38600" spans="9:9" x14ac:dyDescent="0.2">
      <c r="I38600" s="137" t="s">
        <v>74</v>
      </c>
    </row>
    <row r="38601" spans="9:9" x14ac:dyDescent="0.2">
      <c r="I38601" s="137" t="s">
        <v>74</v>
      </c>
    </row>
    <row r="38602" spans="9:9" x14ac:dyDescent="0.2">
      <c r="I38602" s="137" t="s">
        <v>74</v>
      </c>
    </row>
    <row r="38603" spans="9:9" x14ac:dyDescent="0.2">
      <c r="I38603" s="137" t="s">
        <v>74</v>
      </c>
    </row>
    <row r="38604" spans="9:9" x14ac:dyDescent="0.2">
      <c r="I38604" s="137" t="s">
        <v>74</v>
      </c>
    </row>
    <row r="38605" spans="9:9" x14ac:dyDescent="0.2">
      <c r="I38605" s="137" t="s">
        <v>74</v>
      </c>
    </row>
    <row r="38606" spans="9:9" x14ac:dyDescent="0.2">
      <c r="I38606" s="137" t="s">
        <v>74</v>
      </c>
    </row>
    <row r="38607" spans="9:9" x14ac:dyDescent="0.2">
      <c r="I38607" s="137" t="s">
        <v>74</v>
      </c>
    </row>
    <row r="38608" spans="9:9" x14ac:dyDescent="0.2">
      <c r="I38608" s="137" t="s">
        <v>74</v>
      </c>
    </row>
    <row r="38609" spans="9:9" x14ac:dyDescent="0.2">
      <c r="I38609" s="137" t="s">
        <v>74</v>
      </c>
    </row>
    <row r="38610" spans="9:9" x14ac:dyDescent="0.2">
      <c r="I38610" s="137" t="s">
        <v>74</v>
      </c>
    </row>
    <row r="38611" spans="9:9" x14ac:dyDescent="0.2">
      <c r="I38611" s="137" t="s">
        <v>74</v>
      </c>
    </row>
    <row r="38612" spans="9:9" x14ac:dyDescent="0.2">
      <c r="I38612" s="137" t="s">
        <v>74</v>
      </c>
    </row>
    <row r="38613" spans="9:9" x14ac:dyDescent="0.2">
      <c r="I38613" s="137" t="s">
        <v>74</v>
      </c>
    </row>
    <row r="38614" spans="9:9" x14ac:dyDescent="0.2">
      <c r="I38614" s="137" t="s">
        <v>74</v>
      </c>
    </row>
    <row r="38615" spans="9:9" x14ac:dyDescent="0.2">
      <c r="I38615" s="137" t="s">
        <v>74</v>
      </c>
    </row>
    <row r="38616" spans="9:9" x14ac:dyDescent="0.2">
      <c r="I38616" s="137" t="s">
        <v>74</v>
      </c>
    </row>
    <row r="38617" spans="9:9" x14ac:dyDescent="0.2">
      <c r="I38617" s="137" t="s">
        <v>74</v>
      </c>
    </row>
    <row r="38618" spans="9:9" x14ac:dyDescent="0.2">
      <c r="I38618" s="137" t="s">
        <v>74</v>
      </c>
    </row>
    <row r="38619" spans="9:9" x14ac:dyDescent="0.2">
      <c r="I38619" s="137" t="s">
        <v>74</v>
      </c>
    </row>
    <row r="38620" spans="9:9" x14ac:dyDescent="0.2">
      <c r="I38620" s="137" t="s">
        <v>74</v>
      </c>
    </row>
    <row r="38621" spans="9:9" x14ac:dyDescent="0.2">
      <c r="I38621" s="137" t="s">
        <v>74</v>
      </c>
    </row>
    <row r="38622" spans="9:9" x14ac:dyDescent="0.2">
      <c r="I38622" s="137" t="s">
        <v>74</v>
      </c>
    </row>
    <row r="38623" spans="9:9" x14ac:dyDescent="0.2">
      <c r="I38623" s="137" t="s">
        <v>74</v>
      </c>
    </row>
    <row r="38624" spans="9:9" x14ac:dyDescent="0.2">
      <c r="I38624" s="137" t="s">
        <v>74</v>
      </c>
    </row>
    <row r="38625" spans="9:9" x14ac:dyDescent="0.2">
      <c r="I38625" s="137" t="s">
        <v>74</v>
      </c>
    </row>
    <row r="38626" spans="9:9" x14ac:dyDescent="0.2">
      <c r="I38626" s="137" t="s">
        <v>74</v>
      </c>
    </row>
    <row r="38627" spans="9:9" x14ac:dyDescent="0.2">
      <c r="I38627" s="137" t="s">
        <v>74</v>
      </c>
    </row>
    <row r="38628" spans="9:9" x14ac:dyDescent="0.2">
      <c r="I38628" s="137" t="s">
        <v>74</v>
      </c>
    </row>
    <row r="38629" spans="9:9" x14ac:dyDescent="0.2">
      <c r="I38629" s="137" t="s">
        <v>74</v>
      </c>
    </row>
    <row r="38630" spans="9:9" x14ac:dyDescent="0.2">
      <c r="I38630" s="137" t="s">
        <v>74</v>
      </c>
    </row>
    <row r="38631" spans="9:9" x14ac:dyDescent="0.2">
      <c r="I38631" s="137" t="s">
        <v>74</v>
      </c>
    </row>
    <row r="38632" spans="9:9" x14ac:dyDescent="0.2">
      <c r="I38632" s="137" t="s">
        <v>74</v>
      </c>
    </row>
    <row r="38633" spans="9:9" x14ac:dyDescent="0.2">
      <c r="I38633" s="137" t="s">
        <v>74</v>
      </c>
    </row>
    <row r="38634" spans="9:9" x14ac:dyDescent="0.2">
      <c r="I38634" s="137" t="s">
        <v>74</v>
      </c>
    </row>
    <row r="38635" spans="9:9" x14ac:dyDescent="0.2">
      <c r="I38635" s="137" t="s">
        <v>74</v>
      </c>
    </row>
    <row r="38636" spans="9:9" x14ac:dyDescent="0.2">
      <c r="I38636" s="137" t="s">
        <v>74</v>
      </c>
    </row>
    <row r="38637" spans="9:9" x14ac:dyDescent="0.2">
      <c r="I38637" s="137" t="s">
        <v>74</v>
      </c>
    </row>
    <row r="38638" spans="9:9" x14ac:dyDescent="0.2">
      <c r="I38638" s="137" t="s">
        <v>74</v>
      </c>
    </row>
    <row r="38639" spans="9:9" x14ac:dyDescent="0.2">
      <c r="I38639" s="137" t="s">
        <v>74</v>
      </c>
    </row>
    <row r="38640" spans="9:9" x14ac:dyDescent="0.2">
      <c r="I38640" s="137" t="s">
        <v>74</v>
      </c>
    </row>
    <row r="38641" spans="9:9" x14ac:dyDescent="0.2">
      <c r="I38641" s="137" t="s">
        <v>74</v>
      </c>
    </row>
    <row r="38642" spans="9:9" x14ac:dyDescent="0.2">
      <c r="I38642" s="137" t="s">
        <v>74</v>
      </c>
    </row>
    <row r="38643" spans="9:9" x14ac:dyDescent="0.2">
      <c r="I38643" s="137" t="s">
        <v>74</v>
      </c>
    </row>
    <row r="38644" spans="9:9" x14ac:dyDescent="0.2">
      <c r="I38644" s="137" t="s">
        <v>74</v>
      </c>
    </row>
    <row r="38645" spans="9:9" x14ac:dyDescent="0.2">
      <c r="I38645" s="137" t="s">
        <v>74</v>
      </c>
    </row>
    <row r="38646" spans="9:9" x14ac:dyDescent="0.2">
      <c r="I38646" s="137" t="s">
        <v>74</v>
      </c>
    </row>
    <row r="38647" spans="9:9" x14ac:dyDescent="0.2">
      <c r="I38647" s="137" t="s">
        <v>74</v>
      </c>
    </row>
    <row r="38648" spans="9:9" x14ac:dyDescent="0.2">
      <c r="I38648" s="137" t="s">
        <v>74</v>
      </c>
    </row>
    <row r="38649" spans="9:9" x14ac:dyDescent="0.2">
      <c r="I38649" s="137" t="s">
        <v>74</v>
      </c>
    </row>
    <row r="38650" spans="9:9" x14ac:dyDescent="0.2">
      <c r="I38650" s="137" t="s">
        <v>74</v>
      </c>
    </row>
    <row r="38651" spans="9:9" x14ac:dyDescent="0.2">
      <c r="I38651" s="137" t="s">
        <v>74</v>
      </c>
    </row>
    <row r="38652" spans="9:9" x14ac:dyDescent="0.2">
      <c r="I38652" s="137" t="s">
        <v>74</v>
      </c>
    </row>
    <row r="38653" spans="9:9" x14ac:dyDescent="0.2">
      <c r="I38653" s="137" t="s">
        <v>74</v>
      </c>
    </row>
    <row r="38654" spans="9:9" x14ac:dyDescent="0.2">
      <c r="I38654" s="137" t="s">
        <v>74</v>
      </c>
    </row>
    <row r="38655" spans="9:9" x14ac:dyDescent="0.2">
      <c r="I38655" s="137" t="s">
        <v>74</v>
      </c>
    </row>
    <row r="38656" spans="9:9" x14ac:dyDescent="0.2">
      <c r="I38656" s="137" t="s">
        <v>74</v>
      </c>
    </row>
    <row r="38657" spans="9:9" x14ac:dyDescent="0.2">
      <c r="I38657" s="137" t="s">
        <v>74</v>
      </c>
    </row>
    <row r="38658" spans="9:9" x14ac:dyDescent="0.2">
      <c r="I38658" s="137" t="s">
        <v>74</v>
      </c>
    </row>
    <row r="38659" spans="9:9" x14ac:dyDescent="0.2">
      <c r="I38659" s="137" t="s">
        <v>74</v>
      </c>
    </row>
    <row r="38660" spans="9:9" x14ac:dyDescent="0.2">
      <c r="I38660" s="137" t="s">
        <v>74</v>
      </c>
    </row>
    <row r="38661" spans="9:9" x14ac:dyDescent="0.2">
      <c r="I38661" s="137" t="s">
        <v>74</v>
      </c>
    </row>
    <row r="38662" spans="9:9" x14ac:dyDescent="0.2">
      <c r="I38662" s="137" t="s">
        <v>74</v>
      </c>
    </row>
    <row r="38663" spans="9:9" x14ac:dyDescent="0.2">
      <c r="I38663" s="137" t="s">
        <v>74</v>
      </c>
    </row>
    <row r="38664" spans="9:9" x14ac:dyDescent="0.2">
      <c r="I38664" s="137" t="s">
        <v>74</v>
      </c>
    </row>
    <row r="38665" spans="9:9" x14ac:dyDescent="0.2">
      <c r="I38665" s="137" t="s">
        <v>74</v>
      </c>
    </row>
    <row r="38666" spans="9:9" x14ac:dyDescent="0.2">
      <c r="I38666" s="137" t="s">
        <v>74</v>
      </c>
    </row>
    <row r="38667" spans="9:9" x14ac:dyDescent="0.2">
      <c r="I38667" s="137" t="s">
        <v>74</v>
      </c>
    </row>
    <row r="38668" spans="9:9" x14ac:dyDescent="0.2">
      <c r="I38668" s="137" t="s">
        <v>74</v>
      </c>
    </row>
    <row r="38669" spans="9:9" x14ac:dyDescent="0.2">
      <c r="I38669" s="137" t="s">
        <v>74</v>
      </c>
    </row>
    <row r="38670" spans="9:9" x14ac:dyDescent="0.2">
      <c r="I38670" s="137" t="s">
        <v>74</v>
      </c>
    </row>
    <row r="38671" spans="9:9" x14ac:dyDescent="0.2">
      <c r="I38671" s="137" t="s">
        <v>74</v>
      </c>
    </row>
    <row r="38672" spans="9:9" x14ac:dyDescent="0.2">
      <c r="I38672" s="137" t="s">
        <v>74</v>
      </c>
    </row>
    <row r="38673" spans="9:9" x14ac:dyDescent="0.2">
      <c r="I38673" s="137" t="s">
        <v>74</v>
      </c>
    </row>
    <row r="38674" spans="9:9" x14ac:dyDescent="0.2">
      <c r="I38674" s="137" t="s">
        <v>74</v>
      </c>
    </row>
    <row r="38675" spans="9:9" x14ac:dyDescent="0.2">
      <c r="I38675" s="137" t="s">
        <v>74</v>
      </c>
    </row>
    <row r="38676" spans="9:9" x14ac:dyDescent="0.2">
      <c r="I38676" s="137" t="s">
        <v>74</v>
      </c>
    </row>
    <row r="38677" spans="9:9" x14ac:dyDescent="0.2">
      <c r="I38677" s="137" t="s">
        <v>74</v>
      </c>
    </row>
    <row r="38678" spans="9:9" x14ac:dyDescent="0.2">
      <c r="I38678" s="137" t="s">
        <v>74</v>
      </c>
    </row>
    <row r="38679" spans="9:9" x14ac:dyDescent="0.2">
      <c r="I38679" s="137" t="s">
        <v>74</v>
      </c>
    </row>
    <row r="38680" spans="9:9" x14ac:dyDescent="0.2">
      <c r="I38680" s="137" t="s">
        <v>74</v>
      </c>
    </row>
    <row r="38681" spans="9:9" x14ac:dyDescent="0.2">
      <c r="I38681" s="137" t="s">
        <v>74</v>
      </c>
    </row>
    <row r="38682" spans="9:9" x14ac:dyDescent="0.2">
      <c r="I38682" s="137" t="s">
        <v>74</v>
      </c>
    </row>
    <row r="38683" spans="9:9" x14ac:dyDescent="0.2">
      <c r="I38683" s="137" t="s">
        <v>74</v>
      </c>
    </row>
    <row r="38684" spans="9:9" x14ac:dyDescent="0.2">
      <c r="I38684" s="137" t="s">
        <v>74</v>
      </c>
    </row>
    <row r="38685" spans="9:9" x14ac:dyDescent="0.2">
      <c r="I38685" s="137" t="s">
        <v>74</v>
      </c>
    </row>
    <row r="38686" spans="9:9" x14ac:dyDescent="0.2">
      <c r="I38686" s="137" t="s">
        <v>74</v>
      </c>
    </row>
    <row r="38687" spans="9:9" x14ac:dyDescent="0.2">
      <c r="I38687" s="137" t="s">
        <v>74</v>
      </c>
    </row>
    <row r="38688" spans="9:9" x14ac:dyDescent="0.2">
      <c r="I38688" s="137" t="s">
        <v>74</v>
      </c>
    </row>
    <row r="38689" spans="9:9" x14ac:dyDescent="0.2">
      <c r="I38689" s="137" t="s">
        <v>74</v>
      </c>
    </row>
    <row r="38690" spans="9:9" x14ac:dyDescent="0.2">
      <c r="I38690" s="137" t="s">
        <v>74</v>
      </c>
    </row>
    <row r="38691" spans="9:9" x14ac:dyDescent="0.2">
      <c r="I38691" s="137" t="s">
        <v>74</v>
      </c>
    </row>
    <row r="38692" spans="9:9" x14ac:dyDescent="0.2">
      <c r="I38692" s="137" t="s">
        <v>74</v>
      </c>
    </row>
    <row r="38693" spans="9:9" x14ac:dyDescent="0.2">
      <c r="I38693" s="137" t="s">
        <v>74</v>
      </c>
    </row>
    <row r="38694" spans="9:9" x14ac:dyDescent="0.2">
      <c r="I38694" s="137" t="s">
        <v>74</v>
      </c>
    </row>
    <row r="38695" spans="9:9" x14ac:dyDescent="0.2">
      <c r="I38695" s="137" t="s">
        <v>74</v>
      </c>
    </row>
    <row r="38696" spans="9:9" x14ac:dyDescent="0.2">
      <c r="I38696" s="137" t="s">
        <v>74</v>
      </c>
    </row>
    <row r="38697" spans="9:9" x14ac:dyDescent="0.2">
      <c r="I38697" s="137" t="s">
        <v>74</v>
      </c>
    </row>
    <row r="38698" spans="9:9" x14ac:dyDescent="0.2">
      <c r="I38698" s="137" t="s">
        <v>74</v>
      </c>
    </row>
    <row r="38699" spans="9:9" x14ac:dyDescent="0.2">
      <c r="I38699" s="137" t="s">
        <v>74</v>
      </c>
    </row>
    <row r="38700" spans="9:9" x14ac:dyDescent="0.2">
      <c r="I38700" s="137" t="s">
        <v>74</v>
      </c>
    </row>
    <row r="38701" spans="9:9" x14ac:dyDescent="0.2">
      <c r="I38701" s="137" t="s">
        <v>74</v>
      </c>
    </row>
    <row r="38702" spans="9:9" x14ac:dyDescent="0.2">
      <c r="I38702" s="137" t="s">
        <v>74</v>
      </c>
    </row>
    <row r="38703" spans="9:9" x14ac:dyDescent="0.2">
      <c r="I38703" s="137" t="s">
        <v>74</v>
      </c>
    </row>
    <row r="38704" spans="9:9" x14ac:dyDescent="0.2">
      <c r="I38704" s="137" t="s">
        <v>74</v>
      </c>
    </row>
    <row r="38705" spans="9:9" x14ac:dyDescent="0.2">
      <c r="I38705" s="137" t="s">
        <v>74</v>
      </c>
    </row>
    <row r="38706" spans="9:9" x14ac:dyDescent="0.2">
      <c r="I38706" s="137" t="s">
        <v>74</v>
      </c>
    </row>
    <row r="38707" spans="9:9" x14ac:dyDescent="0.2">
      <c r="I38707" s="137" t="s">
        <v>74</v>
      </c>
    </row>
    <row r="38708" spans="9:9" x14ac:dyDescent="0.2">
      <c r="I38708" s="137" t="s">
        <v>74</v>
      </c>
    </row>
    <row r="38709" spans="9:9" x14ac:dyDescent="0.2">
      <c r="I38709" s="137" t="s">
        <v>74</v>
      </c>
    </row>
    <row r="38710" spans="9:9" x14ac:dyDescent="0.2">
      <c r="I38710" s="137" t="s">
        <v>74</v>
      </c>
    </row>
    <row r="38711" spans="9:9" x14ac:dyDescent="0.2">
      <c r="I38711" s="137" t="s">
        <v>74</v>
      </c>
    </row>
    <row r="38712" spans="9:9" x14ac:dyDescent="0.2">
      <c r="I38712" s="137" t="s">
        <v>74</v>
      </c>
    </row>
    <row r="38713" spans="9:9" x14ac:dyDescent="0.2">
      <c r="I38713" s="137" t="s">
        <v>74</v>
      </c>
    </row>
    <row r="38714" spans="9:9" x14ac:dyDescent="0.2">
      <c r="I38714" s="137" t="s">
        <v>74</v>
      </c>
    </row>
    <row r="38715" spans="9:9" x14ac:dyDescent="0.2">
      <c r="I38715" s="137" t="s">
        <v>74</v>
      </c>
    </row>
    <row r="38716" spans="9:9" x14ac:dyDescent="0.2">
      <c r="I38716" s="137" t="s">
        <v>74</v>
      </c>
    </row>
    <row r="38717" spans="9:9" x14ac:dyDescent="0.2">
      <c r="I38717" s="137" t="s">
        <v>74</v>
      </c>
    </row>
    <row r="38718" spans="9:9" x14ac:dyDescent="0.2">
      <c r="I38718" s="137" t="s">
        <v>74</v>
      </c>
    </row>
    <row r="38719" spans="9:9" x14ac:dyDescent="0.2">
      <c r="I38719" s="137" t="s">
        <v>74</v>
      </c>
    </row>
    <row r="38720" spans="9:9" x14ac:dyDescent="0.2">
      <c r="I38720" s="137" t="s">
        <v>74</v>
      </c>
    </row>
    <row r="38721" spans="9:9" x14ac:dyDescent="0.2">
      <c r="I38721" s="137" t="s">
        <v>74</v>
      </c>
    </row>
    <row r="38722" spans="9:9" x14ac:dyDescent="0.2">
      <c r="I38722" s="137" t="s">
        <v>74</v>
      </c>
    </row>
    <row r="38723" spans="9:9" x14ac:dyDescent="0.2">
      <c r="I38723" s="137" t="s">
        <v>74</v>
      </c>
    </row>
    <row r="38724" spans="9:9" x14ac:dyDescent="0.2">
      <c r="I38724" s="137" t="s">
        <v>74</v>
      </c>
    </row>
    <row r="38725" spans="9:9" x14ac:dyDescent="0.2">
      <c r="I38725" s="137" t="s">
        <v>74</v>
      </c>
    </row>
    <row r="38726" spans="9:9" x14ac:dyDescent="0.2">
      <c r="I38726" s="137" t="s">
        <v>74</v>
      </c>
    </row>
    <row r="38727" spans="9:9" x14ac:dyDescent="0.2">
      <c r="I38727" s="137" t="s">
        <v>74</v>
      </c>
    </row>
    <row r="38728" spans="9:9" x14ac:dyDescent="0.2">
      <c r="I38728" s="137" t="s">
        <v>74</v>
      </c>
    </row>
    <row r="38729" spans="9:9" x14ac:dyDescent="0.2">
      <c r="I38729" s="137" t="s">
        <v>74</v>
      </c>
    </row>
    <row r="38730" spans="9:9" x14ac:dyDescent="0.2">
      <c r="I38730" s="137" t="s">
        <v>74</v>
      </c>
    </row>
    <row r="38731" spans="9:9" x14ac:dyDescent="0.2">
      <c r="I38731" s="137" t="s">
        <v>74</v>
      </c>
    </row>
    <row r="38732" spans="9:9" x14ac:dyDescent="0.2">
      <c r="I38732" s="137" t="s">
        <v>74</v>
      </c>
    </row>
    <row r="38733" spans="9:9" x14ac:dyDescent="0.2">
      <c r="I38733" s="137" t="s">
        <v>74</v>
      </c>
    </row>
    <row r="38734" spans="9:9" x14ac:dyDescent="0.2">
      <c r="I38734" s="137" t="s">
        <v>74</v>
      </c>
    </row>
    <row r="38735" spans="9:9" x14ac:dyDescent="0.2">
      <c r="I38735" s="137" t="s">
        <v>74</v>
      </c>
    </row>
    <row r="38736" spans="9:9" x14ac:dyDescent="0.2">
      <c r="I38736" s="137" t="s">
        <v>74</v>
      </c>
    </row>
    <row r="38737" spans="9:9" x14ac:dyDescent="0.2">
      <c r="I38737" s="137" t="s">
        <v>74</v>
      </c>
    </row>
    <row r="38738" spans="9:9" x14ac:dyDescent="0.2">
      <c r="I38738" s="137" t="s">
        <v>74</v>
      </c>
    </row>
    <row r="38739" spans="9:9" x14ac:dyDescent="0.2">
      <c r="I38739" s="137" t="s">
        <v>74</v>
      </c>
    </row>
    <row r="38740" spans="9:9" x14ac:dyDescent="0.2">
      <c r="I38740" s="137" t="s">
        <v>74</v>
      </c>
    </row>
    <row r="38741" spans="9:9" x14ac:dyDescent="0.2">
      <c r="I38741" s="137" t="s">
        <v>74</v>
      </c>
    </row>
    <row r="38742" spans="9:9" x14ac:dyDescent="0.2">
      <c r="I38742" s="137" t="s">
        <v>74</v>
      </c>
    </row>
    <row r="38743" spans="9:9" x14ac:dyDescent="0.2">
      <c r="I38743" s="137" t="s">
        <v>74</v>
      </c>
    </row>
    <row r="38744" spans="9:9" x14ac:dyDescent="0.2">
      <c r="I38744" s="137" t="s">
        <v>74</v>
      </c>
    </row>
    <row r="38745" spans="9:9" x14ac:dyDescent="0.2">
      <c r="I38745" s="137" t="s">
        <v>74</v>
      </c>
    </row>
    <row r="38746" spans="9:9" x14ac:dyDescent="0.2">
      <c r="I38746" s="137" t="s">
        <v>74</v>
      </c>
    </row>
    <row r="38747" spans="9:9" x14ac:dyDescent="0.2">
      <c r="I38747" s="137" t="s">
        <v>74</v>
      </c>
    </row>
    <row r="38748" spans="9:9" x14ac:dyDescent="0.2">
      <c r="I38748" s="137" t="s">
        <v>74</v>
      </c>
    </row>
    <row r="38749" spans="9:9" x14ac:dyDescent="0.2">
      <c r="I38749" s="137" t="s">
        <v>74</v>
      </c>
    </row>
    <row r="38750" spans="9:9" x14ac:dyDescent="0.2">
      <c r="I38750" s="137" t="s">
        <v>74</v>
      </c>
    </row>
    <row r="38751" spans="9:9" x14ac:dyDescent="0.2">
      <c r="I38751" s="137" t="s">
        <v>74</v>
      </c>
    </row>
    <row r="38752" spans="9:9" x14ac:dyDescent="0.2">
      <c r="I38752" s="137" t="s">
        <v>74</v>
      </c>
    </row>
    <row r="38753" spans="9:9" x14ac:dyDescent="0.2">
      <c r="I38753" s="137" t="s">
        <v>74</v>
      </c>
    </row>
    <row r="38754" spans="9:9" x14ac:dyDescent="0.2">
      <c r="I38754" s="137" t="s">
        <v>74</v>
      </c>
    </row>
    <row r="38755" spans="9:9" x14ac:dyDescent="0.2">
      <c r="I38755" s="137" t="s">
        <v>74</v>
      </c>
    </row>
    <row r="38756" spans="9:9" x14ac:dyDescent="0.2">
      <c r="I38756" s="137" t="s">
        <v>74</v>
      </c>
    </row>
    <row r="38757" spans="9:9" x14ac:dyDescent="0.2">
      <c r="I38757" s="137" t="s">
        <v>74</v>
      </c>
    </row>
    <row r="38758" spans="9:9" x14ac:dyDescent="0.2">
      <c r="I38758" s="137" t="s">
        <v>74</v>
      </c>
    </row>
    <row r="38759" spans="9:9" x14ac:dyDescent="0.2">
      <c r="I38759" s="137" t="s">
        <v>74</v>
      </c>
    </row>
    <row r="38760" spans="9:9" x14ac:dyDescent="0.2">
      <c r="I38760" s="137" t="s">
        <v>74</v>
      </c>
    </row>
    <row r="38761" spans="9:9" x14ac:dyDescent="0.2">
      <c r="I38761" s="137" t="s">
        <v>74</v>
      </c>
    </row>
    <row r="38762" spans="9:9" x14ac:dyDescent="0.2">
      <c r="I38762" s="137" t="s">
        <v>74</v>
      </c>
    </row>
    <row r="38763" spans="9:9" x14ac:dyDescent="0.2">
      <c r="I38763" s="137" t="s">
        <v>74</v>
      </c>
    </row>
    <row r="38764" spans="9:9" x14ac:dyDescent="0.2">
      <c r="I38764" s="137" t="s">
        <v>74</v>
      </c>
    </row>
    <row r="38765" spans="9:9" x14ac:dyDescent="0.2">
      <c r="I38765" s="137" t="s">
        <v>74</v>
      </c>
    </row>
    <row r="38766" spans="9:9" x14ac:dyDescent="0.2">
      <c r="I38766" s="137" t="s">
        <v>74</v>
      </c>
    </row>
    <row r="38767" spans="9:9" x14ac:dyDescent="0.2">
      <c r="I38767" s="137" t="s">
        <v>74</v>
      </c>
    </row>
    <row r="38768" spans="9:9" x14ac:dyDescent="0.2">
      <c r="I38768" s="137" t="s">
        <v>74</v>
      </c>
    </row>
    <row r="38769" spans="9:9" x14ac:dyDescent="0.2">
      <c r="I38769" s="137" t="s">
        <v>74</v>
      </c>
    </row>
    <row r="38770" spans="9:9" x14ac:dyDescent="0.2">
      <c r="I38770" s="137" t="s">
        <v>74</v>
      </c>
    </row>
    <row r="38771" spans="9:9" x14ac:dyDescent="0.2">
      <c r="I38771" s="137" t="s">
        <v>74</v>
      </c>
    </row>
    <row r="38772" spans="9:9" x14ac:dyDescent="0.2">
      <c r="I38772" s="137" t="s">
        <v>74</v>
      </c>
    </row>
    <row r="38773" spans="9:9" x14ac:dyDescent="0.2">
      <c r="I38773" s="137" t="s">
        <v>74</v>
      </c>
    </row>
    <row r="38774" spans="9:9" x14ac:dyDescent="0.2">
      <c r="I38774" s="137" t="s">
        <v>74</v>
      </c>
    </row>
    <row r="38775" spans="9:9" x14ac:dyDescent="0.2">
      <c r="I38775" s="137" t="s">
        <v>74</v>
      </c>
    </row>
    <row r="38776" spans="9:9" x14ac:dyDescent="0.2">
      <c r="I38776" s="137" t="s">
        <v>74</v>
      </c>
    </row>
    <row r="38777" spans="9:9" x14ac:dyDescent="0.2">
      <c r="I38777" s="137" t="s">
        <v>74</v>
      </c>
    </row>
    <row r="38778" spans="9:9" x14ac:dyDescent="0.2">
      <c r="I38778" s="137" t="s">
        <v>74</v>
      </c>
    </row>
    <row r="38779" spans="9:9" x14ac:dyDescent="0.2">
      <c r="I38779" s="137" t="s">
        <v>74</v>
      </c>
    </row>
    <row r="38780" spans="9:9" x14ac:dyDescent="0.2">
      <c r="I38780" s="137" t="s">
        <v>74</v>
      </c>
    </row>
    <row r="38781" spans="9:9" x14ac:dyDescent="0.2">
      <c r="I38781" s="137" t="s">
        <v>74</v>
      </c>
    </row>
    <row r="38782" spans="9:9" x14ac:dyDescent="0.2">
      <c r="I38782" s="137" t="s">
        <v>74</v>
      </c>
    </row>
    <row r="38783" spans="9:9" x14ac:dyDescent="0.2">
      <c r="I38783" s="137" t="s">
        <v>74</v>
      </c>
    </row>
    <row r="38784" spans="9:9" x14ac:dyDescent="0.2">
      <c r="I38784" s="137" t="s">
        <v>74</v>
      </c>
    </row>
    <row r="38785" spans="9:9" x14ac:dyDescent="0.2">
      <c r="I38785" s="137" t="s">
        <v>74</v>
      </c>
    </row>
    <row r="38786" spans="9:9" x14ac:dyDescent="0.2">
      <c r="I38786" s="137" t="s">
        <v>74</v>
      </c>
    </row>
    <row r="38787" spans="9:9" x14ac:dyDescent="0.2">
      <c r="I38787" s="137" t="s">
        <v>74</v>
      </c>
    </row>
    <row r="38788" spans="9:9" x14ac:dyDescent="0.2">
      <c r="I38788" s="137" t="s">
        <v>74</v>
      </c>
    </row>
    <row r="38789" spans="9:9" x14ac:dyDescent="0.2">
      <c r="I38789" s="137" t="s">
        <v>74</v>
      </c>
    </row>
    <row r="38790" spans="9:9" x14ac:dyDescent="0.2">
      <c r="I38790" s="137" t="s">
        <v>74</v>
      </c>
    </row>
    <row r="38791" spans="9:9" x14ac:dyDescent="0.2">
      <c r="I38791" s="137" t="s">
        <v>74</v>
      </c>
    </row>
    <row r="38792" spans="9:9" x14ac:dyDescent="0.2">
      <c r="I38792" s="137" t="s">
        <v>74</v>
      </c>
    </row>
    <row r="38793" spans="9:9" x14ac:dyDescent="0.2">
      <c r="I38793" s="137" t="s">
        <v>74</v>
      </c>
    </row>
    <row r="38794" spans="9:9" x14ac:dyDescent="0.2">
      <c r="I38794" s="137" t="s">
        <v>74</v>
      </c>
    </row>
    <row r="38795" spans="9:9" x14ac:dyDescent="0.2">
      <c r="I38795" s="137" t="s">
        <v>74</v>
      </c>
    </row>
    <row r="38796" spans="9:9" x14ac:dyDescent="0.2">
      <c r="I38796" s="137" t="s">
        <v>74</v>
      </c>
    </row>
    <row r="38797" spans="9:9" x14ac:dyDescent="0.2">
      <c r="I38797" s="137" t="s">
        <v>74</v>
      </c>
    </row>
    <row r="38798" spans="9:9" x14ac:dyDescent="0.2">
      <c r="I38798" s="137" t="s">
        <v>74</v>
      </c>
    </row>
    <row r="38799" spans="9:9" x14ac:dyDescent="0.2">
      <c r="I38799" s="137" t="s">
        <v>74</v>
      </c>
    </row>
    <row r="38800" spans="9:9" x14ac:dyDescent="0.2">
      <c r="I38800" s="137" t="s">
        <v>74</v>
      </c>
    </row>
    <row r="38801" spans="9:9" x14ac:dyDescent="0.2">
      <c r="I38801" s="137" t="s">
        <v>74</v>
      </c>
    </row>
    <row r="38802" spans="9:9" x14ac:dyDescent="0.2">
      <c r="I38802" s="137" t="s">
        <v>74</v>
      </c>
    </row>
    <row r="38803" spans="9:9" x14ac:dyDescent="0.2">
      <c r="I38803" s="137" t="s">
        <v>74</v>
      </c>
    </row>
    <row r="38804" spans="9:9" x14ac:dyDescent="0.2">
      <c r="I38804" s="137" t="s">
        <v>74</v>
      </c>
    </row>
    <row r="38805" spans="9:9" x14ac:dyDescent="0.2">
      <c r="I38805" s="137" t="s">
        <v>74</v>
      </c>
    </row>
    <row r="38806" spans="9:9" x14ac:dyDescent="0.2">
      <c r="I38806" s="137" t="s">
        <v>74</v>
      </c>
    </row>
    <row r="38807" spans="9:9" x14ac:dyDescent="0.2">
      <c r="I38807" s="137" t="s">
        <v>74</v>
      </c>
    </row>
    <row r="38808" spans="9:9" x14ac:dyDescent="0.2">
      <c r="I38808" s="137" t="s">
        <v>74</v>
      </c>
    </row>
    <row r="38809" spans="9:9" x14ac:dyDescent="0.2">
      <c r="I38809" s="137" t="s">
        <v>74</v>
      </c>
    </row>
    <row r="38810" spans="9:9" x14ac:dyDescent="0.2">
      <c r="I38810" s="137" t="s">
        <v>74</v>
      </c>
    </row>
    <row r="38811" spans="9:9" x14ac:dyDescent="0.2">
      <c r="I38811" s="137" t="s">
        <v>74</v>
      </c>
    </row>
    <row r="38812" spans="9:9" x14ac:dyDescent="0.2">
      <c r="I38812" s="137" t="s">
        <v>74</v>
      </c>
    </row>
    <row r="38813" spans="9:9" x14ac:dyDescent="0.2">
      <c r="I38813" s="137" t="s">
        <v>74</v>
      </c>
    </row>
    <row r="38814" spans="9:9" x14ac:dyDescent="0.2">
      <c r="I38814" s="137" t="s">
        <v>74</v>
      </c>
    </row>
    <row r="38815" spans="9:9" x14ac:dyDescent="0.2">
      <c r="I38815" s="137" t="s">
        <v>74</v>
      </c>
    </row>
    <row r="38816" spans="9:9" x14ac:dyDescent="0.2">
      <c r="I38816" s="137" t="s">
        <v>74</v>
      </c>
    </row>
    <row r="38817" spans="9:9" x14ac:dyDescent="0.2">
      <c r="I38817" s="137" t="s">
        <v>74</v>
      </c>
    </row>
    <row r="38818" spans="9:9" x14ac:dyDescent="0.2">
      <c r="I38818" s="137" t="s">
        <v>74</v>
      </c>
    </row>
    <row r="38819" spans="9:9" x14ac:dyDescent="0.2">
      <c r="I38819" s="137" t="s">
        <v>74</v>
      </c>
    </row>
    <row r="38820" spans="9:9" x14ac:dyDescent="0.2">
      <c r="I38820" s="137" t="s">
        <v>74</v>
      </c>
    </row>
    <row r="38821" spans="9:9" x14ac:dyDescent="0.2">
      <c r="I38821" s="137" t="s">
        <v>74</v>
      </c>
    </row>
    <row r="38822" spans="9:9" x14ac:dyDescent="0.2">
      <c r="I38822" s="137" t="s">
        <v>74</v>
      </c>
    </row>
    <row r="38823" spans="9:9" x14ac:dyDescent="0.2">
      <c r="I38823" s="137" t="s">
        <v>74</v>
      </c>
    </row>
    <row r="38824" spans="9:9" x14ac:dyDescent="0.2">
      <c r="I38824" s="137" t="s">
        <v>74</v>
      </c>
    </row>
    <row r="38825" spans="9:9" x14ac:dyDescent="0.2">
      <c r="I38825" s="137" t="s">
        <v>74</v>
      </c>
    </row>
    <row r="38826" spans="9:9" x14ac:dyDescent="0.2">
      <c r="I38826" s="137" t="s">
        <v>74</v>
      </c>
    </row>
    <row r="38827" spans="9:9" x14ac:dyDescent="0.2">
      <c r="I38827" s="137" t="s">
        <v>74</v>
      </c>
    </row>
    <row r="38828" spans="9:9" x14ac:dyDescent="0.2">
      <c r="I38828" s="137" t="s">
        <v>74</v>
      </c>
    </row>
    <row r="38829" spans="9:9" x14ac:dyDescent="0.2">
      <c r="I38829" s="137" t="s">
        <v>74</v>
      </c>
    </row>
    <row r="38830" spans="9:9" x14ac:dyDescent="0.2">
      <c r="I38830" s="137" t="s">
        <v>74</v>
      </c>
    </row>
    <row r="38831" spans="9:9" x14ac:dyDescent="0.2">
      <c r="I38831" s="137" t="s">
        <v>74</v>
      </c>
    </row>
    <row r="38832" spans="9:9" x14ac:dyDescent="0.2">
      <c r="I38832" s="137" t="s">
        <v>74</v>
      </c>
    </row>
    <row r="38833" spans="9:9" x14ac:dyDescent="0.2">
      <c r="I38833" s="137" t="s">
        <v>74</v>
      </c>
    </row>
    <row r="38834" spans="9:9" x14ac:dyDescent="0.2">
      <c r="I38834" s="137" t="s">
        <v>74</v>
      </c>
    </row>
    <row r="38835" spans="9:9" x14ac:dyDescent="0.2">
      <c r="I38835" s="137" t="s">
        <v>74</v>
      </c>
    </row>
    <row r="38836" spans="9:9" x14ac:dyDescent="0.2">
      <c r="I38836" s="137" t="s">
        <v>74</v>
      </c>
    </row>
    <row r="38837" spans="9:9" x14ac:dyDescent="0.2">
      <c r="I38837" s="137" t="s">
        <v>74</v>
      </c>
    </row>
    <row r="38838" spans="9:9" x14ac:dyDescent="0.2">
      <c r="I38838" s="137" t="s">
        <v>74</v>
      </c>
    </row>
    <row r="38839" spans="9:9" x14ac:dyDescent="0.2">
      <c r="I38839" s="137" t="s">
        <v>74</v>
      </c>
    </row>
    <row r="38840" spans="9:9" x14ac:dyDescent="0.2">
      <c r="I38840" s="137" t="s">
        <v>74</v>
      </c>
    </row>
    <row r="38841" spans="9:9" x14ac:dyDescent="0.2">
      <c r="I38841" s="137" t="s">
        <v>74</v>
      </c>
    </row>
    <row r="38842" spans="9:9" x14ac:dyDescent="0.2">
      <c r="I38842" s="137" t="s">
        <v>74</v>
      </c>
    </row>
    <row r="38843" spans="9:9" x14ac:dyDescent="0.2">
      <c r="I38843" s="137" t="s">
        <v>74</v>
      </c>
    </row>
    <row r="38844" spans="9:9" x14ac:dyDescent="0.2">
      <c r="I38844" s="137" t="s">
        <v>74</v>
      </c>
    </row>
    <row r="38845" spans="9:9" x14ac:dyDescent="0.2">
      <c r="I38845" s="137" t="s">
        <v>74</v>
      </c>
    </row>
    <row r="38846" spans="9:9" x14ac:dyDescent="0.2">
      <c r="I38846" s="137" t="s">
        <v>74</v>
      </c>
    </row>
    <row r="38847" spans="9:9" x14ac:dyDescent="0.2">
      <c r="I38847" s="137" t="s">
        <v>74</v>
      </c>
    </row>
    <row r="38848" spans="9:9" x14ac:dyDescent="0.2">
      <c r="I38848" s="137" t="s">
        <v>74</v>
      </c>
    </row>
    <row r="38849" spans="9:9" x14ac:dyDescent="0.2">
      <c r="I38849" s="137" t="s">
        <v>74</v>
      </c>
    </row>
    <row r="38850" spans="9:9" x14ac:dyDescent="0.2">
      <c r="I38850" s="137" t="s">
        <v>74</v>
      </c>
    </row>
    <row r="38851" spans="9:9" x14ac:dyDescent="0.2">
      <c r="I38851" s="137" t="s">
        <v>74</v>
      </c>
    </row>
    <row r="38852" spans="9:9" x14ac:dyDescent="0.2">
      <c r="I38852" s="137" t="s">
        <v>74</v>
      </c>
    </row>
    <row r="38853" spans="9:9" x14ac:dyDescent="0.2">
      <c r="I38853" s="137" t="s">
        <v>74</v>
      </c>
    </row>
    <row r="38854" spans="9:9" x14ac:dyDescent="0.2">
      <c r="I38854" s="137" t="s">
        <v>74</v>
      </c>
    </row>
    <row r="38855" spans="9:9" x14ac:dyDescent="0.2">
      <c r="I38855" s="137" t="s">
        <v>74</v>
      </c>
    </row>
    <row r="38856" spans="9:9" x14ac:dyDescent="0.2">
      <c r="I38856" s="137" t="s">
        <v>74</v>
      </c>
    </row>
    <row r="38857" spans="9:9" x14ac:dyDescent="0.2">
      <c r="I38857" s="137" t="s">
        <v>74</v>
      </c>
    </row>
    <row r="38858" spans="9:9" x14ac:dyDescent="0.2">
      <c r="I38858" s="137" t="s">
        <v>74</v>
      </c>
    </row>
    <row r="38859" spans="9:9" x14ac:dyDescent="0.2">
      <c r="I38859" s="137" t="s">
        <v>74</v>
      </c>
    </row>
    <row r="38860" spans="9:9" x14ac:dyDescent="0.2">
      <c r="I38860" s="137" t="s">
        <v>74</v>
      </c>
    </row>
    <row r="38861" spans="9:9" x14ac:dyDescent="0.2">
      <c r="I38861" s="137" t="s">
        <v>74</v>
      </c>
    </row>
    <row r="38862" spans="9:9" x14ac:dyDescent="0.2">
      <c r="I38862" s="137" t="s">
        <v>74</v>
      </c>
    </row>
    <row r="38863" spans="9:9" x14ac:dyDescent="0.2">
      <c r="I38863" s="137" t="s">
        <v>74</v>
      </c>
    </row>
    <row r="38864" spans="9:9" x14ac:dyDescent="0.2">
      <c r="I38864" s="137" t="s">
        <v>74</v>
      </c>
    </row>
    <row r="38865" spans="9:9" x14ac:dyDescent="0.2">
      <c r="I38865" s="137" t="s">
        <v>74</v>
      </c>
    </row>
    <row r="38866" spans="9:9" x14ac:dyDescent="0.2">
      <c r="I38866" s="137" t="s">
        <v>74</v>
      </c>
    </row>
    <row r="38867" spans="9:9" x14ac:dyDescent="0.2">
      <c r="I38867" s="137" t="s">
        <v>74</v>
      </c>
    </row>
    <row r="38868" spans="9:9" x14ac:dyDescent="0.2">
      <c r="I38868" s="137" t="s">
        <v>74</v>
      </c>
    </row>
    <row r="38869" spans="9:9" x14ac:dyDescent="0.2">
      <c r="I38869" s="137" t="s">
        <v>74</v>
      </c>
    </row>
    <row r="38870" spans="9:9" x14ac:dyDescent="0.2">
      <c r="I38870" s="137" t="s">
        <v>74</v>
      </c>
    </row>
    <row r="38871" spans="9:9" x14ac:dyDescent="0.2">
      <c r="I38871" s="137" t="s">
        <v>74</v>
      </c>
    </row>
    <row r="38872" spans="9:9" x14ac:dyDescent="0.2">
      <c r="I38872" s="137" t="s">
        <v>74</v>
      </c>
    </row>
    <row r="38873" spans="9:9" x14ac:dyDescent="0.2">
      <c r="I38873" s="137" t="s">
        <v>74</v>
      </c>
    </row>
    <row r="38874" spans="9:9" x14ac:dyDescent="0.2">
      <c r="I38874" s="137" t="s">
        <v>74</v>
      </c>
    </row>
    <row r="38875" spans="9:9" x14ac:dyDescent="0.2">
      <c r="I38875" s="137" t="s">
        <v>74</v>
      </c>
    </row>
    <row r="38876" spans="9:9" x14ac:dyDescent="0.2">
      <c r="I38876" s="137" t="s">
        <v>74</v>
      </c>
    </row>
    <row r="38877" spans="9:9" x14ac:dyDescent="0.2">
      <c r="I38877" s="137" t="s">
        <v>74</v>
      </c>
    </row>
    <row r="38878" spans="9:9" x14ac:dyDescent="0.2">
      <c r="I38878" s="137" t="s">
        <v>74</v>
      </c>
    </row>
    <row r="38879" spans="9:9" x14ac:dyDescent="0.2">
      <c r="I38879" s="137" t="s">
        <v>74</v>
      </c>
    </row>
    <row r="38880" spans="9:9" x14ac:dyDescent="0.2">
      <c r="I38880" s="137" t="s">
        <v>74</v>
      </c>
    </row>
    <row r="38881" spans="9:9" x14ac:dyDescent="0.2">
      <c r="I38881" s="137" t="s">
        <v>74</v>
      </c>
    </row>
    <row r="38882" spans="9:9" x14ac:dyDescent="0.2">
      <c r="I38882" s="137" t="s">
        <v>74</v>
      </c>
    </row>
    <row r="38883" spans="9:9" x14ac:dyDescent="0.2">
      <c r="I38883" s="137" t="s">
        <v>74</v>
      </c>
    </row>
    <row r="38884" spans="9:9" x14ac:dyDescent="0.2">
      <c r="I38884" s="137" t="s">
        <v>74</v>
      </c>
    </row>
    <row r="38885" spans="9:9" x14ac:dyDescent="0.2">
      <c r="I38885" s="137" t="s">
        <v>74</v>
      </c>
    </row>
    <row r="38886" spans="9:9" x14ac:dyDescent="0.2">
      <c r="I38886" s="137" t="s">
        <v>74</v>
      </c>
    </row>
    <row r="38887" spans="9:9" x14ac:dyDescent="0.2">
      <c r="I38887" s="137" t="s">
        <v>74</v>
      </c>
    </row>
    <row r="38888" spans="9:9" x14ac:dyDescent="0.2">
      <c r="I38888" s="137" t="s">
        <v>74</v>
      </c>
    </row>
    <row r="38889" spans="9:9" x14ac:dyDescent="0.2">
      <c r="I38889" s="137" t="s">
        <v>74</v>
      </c>
    </row>
    <row r="38890" spans="9:9" x14ac:dyDescent="0.2">
      <c r="I38890" s="137" t="s">
        <v>74</v>
      </c>
    </row>
    <row r="38891" spans="9:9" x14ac:dyDescent="0.2">
      <c r="I38891" s="137" t="s">
        <v>74</v>
      </c>
    </row>
    <row r="38892" spans="9:9" x14ac:dyDescent="0.2">
      <c r="I38892" s="137" t="s">
        <v>74</v>
      </c>
    </row>
    <row r="38893" spans="9:9" x14ac:dyDescent="0.2">
      <c r="I38893" s="137" t="s">
        <v>74</v>
      </c>
    </row>
    <row r="38894" spans="9:9" x14ac:dyDescent="0.2">
      <c r="I38894" s="137" t="s">
        <v>74</v>
      </c>
    </row>
    <row r="38895" spans="9:9" x14ac:dyDescent="0.2">
      <c r="I38895" s="137" t="s">
        <v>74</v>
      </c>
    </row>
    <row r="38896" spans="9:9" x14ac:dyDescent="0.2">
      <c r="I38896" s="137" t="s">
        <v>74</v>
      </c>
    </row>
    <row r="38897" spans="9:9" x14ac:dyDescent="0.2">
      <c r="I38897" s="137" t="s">
        <v>74</v>
      </c>
    </row>
    <row r="38898" spans="9:9" x14ac:dyDescent="0.2">
      <c r="I38898" s="137" t="s">
        <v>74</v>
      </c>
    </row>
    <row r="38899" spans="9:9" x14ac:dyDescent="0.2">
      <c r="I38899" s="137" t="s">
        <v>74</v>
      </c>
    </row>
    <row r="38900" spans="9:9" x14ac:dyDescent="0.2">
      <c r="I38900" s="137" t="s">
        <v>74</v>
      </c>
    </row>
    <row r="38901" spans="9:9" x14ac:dyDescent="0.2">
      <c r="I38901" s="137" t="s">
        <v>74</v>
      </c>
    </row>
    <row r="38902" spans="9:9" x14ac:dyDescent="0.2">
      <c r="I38902" s="137" t="s">
        <v>74</v>
      </c>
    </row>
    <row r="38903" spans="9:9" x14ac:dyDescent="0.2">
      <c r="I38903" s="137" t="s">
        <v>74</v>
      </c>
    </row>
    <row r="38904" spans="9:9" x14ac:dyDescent="0.2">
      <c r="I38904" s="137" t="s">
        <v>74</v>
      </c>
    </row>
    <row r="38905" spans="9:9" x14ac:dyDescent="0.2">
      <c r="I38905" s="137" t="s">
        <v>74</v>
      </c>
    </row>
    <row r="38906" spans="9:9" x14ac:dyDescent="0.2">
      <c r="I38906" s="137" t="s">
        <v>74</v>
      </c>
    </row>
    <row r="38907" spans="9:9" x14ac:dyDescent="0.2">
      <c r="I38907" s="137" t="s">
        <v>74</v>
      </c>
    </row>
    <row r="38908" spans="9:9" x14ac:dyDescent="0.2">
      <c r="I38908" s="137" t="s">
        <v>74</v>
      </c>
    </row>
    <row r="38909" spans="9:9" x14ac:dyDescent="0.2">
      <c r="I38909" s="137" t="s">
        <v>74</v>
      </c>
    </row>
    <row r="38910" spans="9:9" x14ac:dyDescent="0.2">
      <c r="I38910" s="137" t="s">
        <v>74</v>
      </c>
    </row>
    <row r="38911" spans="9:9" x14ac:dyDescent="0.2">
      <c r="I38911" s="137" t="s">
        <v>74</v>
      </c>
    </row>
    <row r="38912" spans="9:9" x14ac:dyDescent="0.2">
      <c r="I38912" s="137" t="s">
        <v>74</v>
      </c>
    </row>
    <row r="38913" spans="9:9" x14ac:dyDescent="0.2">
      <c r="I38913" s="137" t="s">
        <v>74</v>
      </c>
    </row>
    <row r="38914" spans="9:9" x14ac:dyDescent="0.2">
      <c r="I38914" s="137" t="s">
        <v>74</v>
      </c>
    </row>
    <row r="38915" spans="9:9" x14ac:dyDescent="0.2">
      <c r="I38915" s="137" t="s">
        <v>74</v>
      </c>
    </row>
    <row r="38916" spans="9:9" x14ac:dyDescent="0.2">
      <c r="I38916" s="137" t="s">
        <v>74</v>
      </c>
    </row>
    <row r="38917" spans="9:9" x14ac:dyDescent="0.2">
      <c r="I38917" s="137" t="s">
        <v>74</v>
      </c>
    </row>
    <row r="38918" spans="9:9" x14ac:dyDescent="0.2">
      <c r="I38918" s="137" t="s">
        <v>74</v>
      </c>
    </row>
    <row r="38919" spans="9:9" x14ac:dyDescent="0.2">
      <c r="I38919" s="137" t="s">
        <v>74</v>
      </c>
    </row>
    <row r="38920" spans="9:9" x14ac:dyDescent="0.2">
      <c r="I38920" s="137" t="s">
        <v>74</v>
      </c>
    </row>
    <row r="38921" spans="9:9" x14ac:dyDescent="0.2">
      <c r="I38921" s="137" t="s">
        <v>74</v>
      </c>
    </row>
    <row r="38922" spans="9:9" x14ac:dyDescent="0.2">
      <c r="I38922" s="137" t="s">
        <v>74</v>
      </c>
    </row>
    <row r="38923" spans="9:9" x14ac:dyDescent="0.2">
      <c r="I38923" s="137" t="s">
        <v>74</v>
      </c>
    </row>
    <row r="38924" spans="9:9" x14ac:dyDescent="0.2">
      <c r="I38924" s="137" t="s">
        <v>74</v>
      </c>
    </row>
    <row r="38925" spans="9:9" x14ac:dyDescent="0.2">
      <c r="I38925" s="137" t="s">
        <v>74</v>
      </c>
    </row>
    <row r="38926" spans="9:9" x14ac:dyDescent="0.2">
      <c r="I38926" s="137" t="s">
        <v>74</v>
      </c>
    </row>
    <row r="38927" spans="9:9" x14ac:dyDescent="0.2">
      <c r="I38927" s="137" t="s">
        <v>74</v>
      </c>
    </row>
    <row r="38928" spans="9:9" x14ac:dyDescent="0.2">
      <c r="I38928" s="137" t="s">
        <v>74</v>
      </c>
    </row>
    <row r="38929" spans="9:9" x14ac:dyDescent="0.2">
      <c r="I38929" s="137" t="s">
        <v>74</v>
      </c>
    </row>
    <row r="38930" spans="9:9" x14ac:dyDescent="0.2">
      <c r="I38930" s="137" t="s">
        <v>74</v>
      </c>
    </row>
    <row r="38931" spans="9:9" x14ac:dyDescent="0.2">
      <c r="I38931" s="137" t="s">
        <v>74</v>
      </c>
    </row>
    <row r="38932" spans="9:9" x14ac:dyDescent="0.2">
      <c r="I38932" s="137" t="s">
        <v>74</v>
      </c>
    </row>
    <row r="38933" spans="9:9" x14ac:dyDescent="0.2">
      <c r="I38933" s="137" t="s">
        <v>74</v>
      </c>
    </row>
    <row r="38934" spans="9:9" x14ac:dyDescent="0.2">
      <c r="I38934" s="137" t="s">
        <v>74</v>
      </c>
    </row>
    <row r="38935" spans="9:9" x14ac:dyDescent="0.2">
      <c r="I38935" s="137" t="s">
        <v>74</v>
      </c>
    </row>
    <row r="38936" spans="9:9" x14ac:dyDescent="0.2">
      <c r="I38936" s="137" t="s">
        <v>74</v>
      </c>
    </row>
    <row r="38937" spans="9:9" x14ac:dyDescent="0.2">
      <c r="I38937" s="137" t="s">
        <v>74</v>
      </c>
    </row>
    <row r="38938" spans="9:9" x14ac:dyDescent="0.2">
      <c r="I38938" s="137" t="s">
        <v>74</v>
      </c>
    </row>
    <row r="38939" spans="9:9" x14ac:dyDescent="0.2">
      <c r="I38939" s="137" t="s">
        <v>74</v>
      </c>
    </row>
    <row r="38940" spans="9:9" x14ac:dyDescent="0.2">
      <c r="I38940" s="137" t="s">
        <v>74</v>
      </c>
    </row>
    <row r="38941" spans="9:9" x14ac:dyDescent="0.2">
      <c r="I38941" s="137" t="s">
        <v>74</v>
      </c>
    </row>
    <row r="38942" spans="9:9" x14ac:dyDescent="0.2">
      <c r="I38942" s="137" t="s">
        <v>74</v>
      </c>
    </row>
    <row r="38943" spans="9:9" x14ac:dyDescent="0.2">
      <c r="I38943" s="137" t="s">
        <v>74</v>
      </c>
    </row>
    <row r="38944" spans="9:9" x14ac:dyDescent="0.2">
      <c r="I38944" s="137" t="s">
        <v>74</v>
      </c>
    </row>
    <row r="38945" spans="9:9" x14ac:dyDescent="0.2">
      <c r="I38945" s="137" t="s">
        <v>74</v>
      </c>
    </row>
    <row r="38946" spans="9:9" x14ac:dyDescent="0.2">
      <c r="I38946" s="137" t="s">
        <v>74</v>
      </c>
    </row>
    <row r="38947" spans="9:9" x14ac:dyDescent="0.2">
      <c r="I38947" s="137" t="s">
        <v>74</v>
      </c>
    </row>
    <row r="38948" spans="9:9" x14ac:dyDescent="0.2">
      <c r="I38948" s="137" t="s">
        <v>74</v>
      </c>
    </row>
    <row r="38949" spans="9:9" x14ac:dyDescent="0.2">
      <c r="I38949" s="137" t="s">
        <v>74</v>
      </c>
    </row>
    <row r="38950" spans="9:9" x14ac:dyDescent="0.2">
      <c r="I38950" s="137" t="s">
        <v>74</v>
      </c>
    </row>
    <row r="38951" spans="9:9" x14ac:dyDescent="0.2">
      <c r="I38951" s="137" t="s">
        <v>74</v>
      </c>
    </row>
    <row r="38952" spans="9:9" x14ac:dyDescent="0.2">
      <c r="I38952" s="137" t="s">
        <v>74</v>
      </c>
    </row>
    <row r="38953" spans="9:9" x14ac:dyDescent="0.2">
      <c r="I38953" s="137" t="s">
        <v>74</v>
      </c>
    </row>
    <row r="38954" spans="9:9" x14ac:dyDescent="0.2">
      <c r="I38954" s="137" t="s">
        <v>74</v>
      </c>
    </row>
    <row r="38955" spans="9:9" x14ac:dyDescent="0.2">
      <c r="I38955" s="137" t="s">
        <v>74</v>
      </c>
    </row>
    <row r="38956" spans="9:9" x14ac:dyDescent="0.2">
      <c r="I38956" s="137" t="s">
        <v>74</v>
      </c>
    </row>
    <row r="38957" spans="9:9" x14ac:dyDescent="0.2">
      <c r="I38957" s="137" t="s">
        <v>74</v>
      </c>
    </row>
    <row r="38958" spans="9:9" x14ac:dyDescent="0.2">
      <c r="I38958" s="137" t="s">
        <v>74</v>
      </c>
    </row>
    <row r="38959" spans="9:9" x14ac:dyDescent="0.2">
      <c r="I38959" s="137" t="s">
        <v>74</v>
      </c>
    </row>
    <row r="38960" spans="9:9" x14ac:dyDescent="0.2">
      <c r="I38960" s="137" t="s">
        <v>74</v>
      </c>
    </row>
    <row r="38961" spans="9:9" x14ac:dyDescent="0.2">
      <c r="I38961" s="137" t="s">
        <v>74</v>
      </c>
    </row>
    <row r="38962" spans="9:9" x14ac:dyDescent="0.2">
      <c r="I38962" s="137" t="s">
        <v>74</v>
      </c>
    </row>
    <row r="38963" spans="9:9" x14ac:dyDescent="0.2">
      <c r="I38963" s="137" t="s">
        <v>74</v>
      </c>
    </row>
    <row r="38964" spans="9:9" x14ac:dyDescent="0.2">
      <c r="I38964" s="137" t="s">
        <v>74</v>
      </c>
    </row>
    <row r="38965" spans="9:9" x14ac:dyDescent="0.2">
      <c r="I38965" s="137" t="s">
        <v>74</v>
      </c>
    </row>
    <row r="38966" spans="9:9" x14ac:dyDescent="0.2">
      <c r="I38966" s="137" t="s">
        <v>74</v>
      </c>
    </row>
    <row r="38967" spans="9:9" x14ac:dyDescent="0.2">
      <c r="I38967" s="137" t="s">
        <v>74</v>
      </c>
    </row>
    <row r="38968" spans="9:9" x14ac:dyDescent="0.2">
      <c r="I38968" s="137" t="s">
        <v>74</v>
      </c>
    </row>
    <row r="38969" spans="9:9" x14ac:dyDescent="0.2">
      <c r="I38969" s="137" t="s">
        <v>74</v>
      </c>
    </row>
    <row r="38970" spans="9:9" x14ac:dyDescent="0.2">
      <c r="I38970" s="137" t="s">
        <v>74</v>
      </c>
    </row>
    <row r="38971" spans="9:9" x14ac:dyDescent="0.2">
      <c r="I38971" s="137" t="s">
        <v>74</v>
      </c>
    </row>
    <row r="38972" spans="9:9" x14ac:dyDescent="0.2">
      <c r="I38972" s="137" t="s">
        <v>74</v>
      </c>
    </row>
    <row r="38973" spans="9:9" x14ac:dyDescent="0.2">
      <c r="I38973" s="137" t="s">
        <v>74</v>
      </c>
    </row>
    <row r="38974" spans="9:9" x14ac:dyDescent="0.2">
      <c r="I38974" s="137" t="s">
        <v>74</v>
      </c>
    </row>
    <row r="38975" spans="9:9" x14ac:dyDescent="0.2">
      <c r="I38975" s="137" t="s">
        <v>74</v>
      </c>
    </row>
    <row r="38976" spans="9:9" x14ac:dyDescent="0.2">
      <c r="I38976" s="137" t="s">
        <v>74</v>
      </c>
    </row>
    <row r="38977" spans="9:9" x14ac:dyDescent="0.2">
      <c r="I38977" s="137" t="s">
        <v>74</v>
      </c>
    </row>
    <row r="38978" spans="9:9" x14ac:dyDescent="0.2">
      <c r="I38978" s="137" t="s">
        <v>74</v>
      </c>
    </row>
    <row r="38979" spans="9:9" x14ac:dyDescent="0.2">
      <c r="I38979" s="137" t="s">
        <v>74</v>
      </c>
    </row>
    <row r="38980" spans="9:9" x14ac:dyDescent="0.2">
      <c r="I38980" s="137" t="s">
        <v>74</v>
      </c>
    </row>
    <row r="38981" spans="9:9" x14ac:dyDescent="0.2">
      <c r="I38981" s="137" t="s">
        <v>74</v>
      </c>
    </row>
    <row r="38982" spans="9:9" x14ac:dyDescent="0.2">
      <c r="I38982" s="137" t="s">
        <v>74</v>
      </c>
    </row>
    <row r="38983" spans="9:9" x14ac:dyDescent="0.2">
      <c r="I38983" s="137" t="s">
        <v>74</v>
      </c>
    </row>
    <row r="38984" spans="9:9" x14ac:dyDescent="0.2">
      <c r="I38984" s="137" t="s">
        <v>74</v>
      </c>
    </row>
    <row r="38985" spans="9:9" x14ac:dyDescent="0.2">
      <c r="I38985" s="137" t="s">
        <v>74</v>
      </c>
    </row>
    <row r="38986" spans="9:9" x14ac:dyDescent="0.2">
      <c r="I38986" s="137" t="s">
        <v>74</v>
      </c>
    </row>
    <row r="38987" spans="9:9" x14ac:dyDescent="0.2">
      <c r="I38987" s="137" t="s">
        <v>74</v>
      </c>
    </row>
    <row r="38988" spans="9:9" x14ac:dyDescent="0.2">
      <c r="I38988" s="137" t="s">
        <v>74</v>
      </c>
    </row>
    <row r="38989" spans="9:9" x14ac:dyDescent="0.2">
      <c r="I38989" s="137" t="s">
        <v>74</v>
      </c>
    </row>
    <row r="38990" spans="9:9" x14ac:dyDescent="0.2">
      <c r="I38990" s="137" t="s">
        <v>74</v>
      </c>
    </row>
    <row r="38991" spans="9:9" x14ac:dyDescent="0.2">
      <c r="I38991" s="137" t="s">
        <v>74</v>
      </c>
    </row>
    <row r="38992" spans="9:9" x14ac:dyDescent="0.2">
      <c r="I38992" s="137" t="s">
        <v>74</v>
      </c>
    </row>
    <row r="38993" spans="9:9" x14ac:dyDescent="0.2">
      <c r="I38993" s="137" t="s">
        <v>74</v>
      </c>
    </row>
    <row r="38994" spans="9:9" x14ac:dyDescent="0.2">
      <c r="I38994" s="137" t="s">
        <v>74</v>
      </c>
    </row>
    <row r="38995" spans="9:9" x14ac:dyDescent="0.2">
      <c r="I38995" s="137" t="s">
        <v>74</v>
      </c>
    </row>
    <row r="38996" spans="9:9" x14ac:dyDescent="0.2">
      <c r="I38996" s="137" t="s">
        <v>74</v>
      </c>
    </row>
    <row r="38997" spans="9:9" x14ac:dyDescent="0.2">
      <c r="I38997" s="137" t="s">
        <v>74</v>
      </c>
    </row>
    <row r="38998" spans="9:9" x14ac:dyDescent="0.2">
      <c r="I38998" s="137" t="s">
        <v>74</v>
      </c>
    </row>
    <row r="38999" spans="9:9" x14ac:dyDescent="0.2">
      <c r="I38999" s="137" t="s">
        <v>74</v>
      </c>
    </row>
    <row r="39000" spans="9:9" x14ac:dyDescent="0.2">
      <c r="I39000" s="137" t="s">
        <v>74</v>
      </c>
    </row>
    <row r="39001" spans="9:9" x14ac:dyDescent="0.2">
      <c r="I39001" s="137" t="s">
        <v>74</v>
      </c>
    </row>
    <row r="39002" spans="9:9" x14ac:dyDescent="0.2">
      <c r="I39002" s="137" t="s">
        <v>74</v>
      </c>
    </row>
    <row r="39003" spans="9:9" x14ac:dyDescent="0.2">
      <c r="I39003" s="137" t="s">
        <v>74</v>
      </c>
    </row>
    <row r="39004" spans="9:9" x14ac:dyDescent="0.2">
      <c r="I39004" s="137" t="s">
        <v>74</v>
      </c>
    </row>
    <row r="39005" spans="9:9" x14ac:dyDescent="0.2">
      <c r="I39005" s="137" t="s">
        <v>74</v>
      </c>
    </row>
    <row r="39006" spans="9:9" x14ac:dyDescent="0.2">
      <c r="I39006" s="137" t="s">
        <v>74</v>
      </c>
    </row>
    <row r="39007" spans="9:9" x14ac:dyDescent="0.2">
      <c r="I39007" s="137" t="s">
        <v>74</v>
      </c>
    </row>
    <row r="39008" spans="9:9" x14ac:dyDescent="0.2">
      <c r="I39008" s="137" t="s">
        <v>74</v>
      </c>
    </row>
    <row r="39009" spans="9:9" x14ac:dyDescent="0.2">
      <c r="I39009" s="137" t="s">
        <v>74</v>
      </c>
    </row>
    <row r="39010" spans="9:9" x14ac:dyDescent="0.2">
      <c r="I39010" s="137" t="s">
        <v>74</v>
      </c>
    </row>
    <row r="39011" spans="9:9" x14ac:dyDescent="0.2">
      <c r="I39011" s="137" t="s">
        <v>74</v>
      </c>
    </row>
    <row r="39012" spans="9:9" x14ac:dyDescent="0.2">
      <c r="I39012" s="137" t="s">
        <v>74</v>
      </c>
    </row>
    <row r="39013" spans="9:9" x14ac:dyDescent="0.2">
      <c r="I39013" s="137" t="s">
        <v>74</v>
      </c>
    </row>
    <row r="39014" spans="9:9" x14ac:dyDescent="0.2">
      <c r="I39014" s="137" t="s">
        <v>74</v>
      </c>
    </row>
    <row r="39015" spans="9:9" x14ac:dyDescent="0.2">
      <c r="I39015" s="137" t="s">
        <v>74</v>
      </c>
    </row>
    <row r="39016" spans="9:9" x14ac:dyDescent="0.2">
      <c r="I39016" s="137" t="s">
        <v>74</v>
      </c>
    </row>
    <row r="39017" spans="9:9" x14ac:dyDescent="0.2">
      <c r="I39017" s="137" t="s">
        <v>74</v>
      </c>
    </row>
    <row r="39018" spans="9:9" x14ac:dyDescent="0.2">
      <c r="I39018" s="137" t="s">
        <v>74</v>
      </c>
    </row>
    <row r="39019" spans="9:9" x14ac:dyDescent="0.2">
      <c r="I39019" s="137" t="s">
        <v>74</v>
      </c>
    </row>
    <row r="39020" spans="9:9" x14ac:dyDescent="0.2">
      <c r="I39020" s="137" t="s">
        <v>74</v>
      </c>
    </row>
    <row r="39021" spans="9:9" x14ac:dyDescent="0.2">
      <c r="I39021" s="137" t="s">
        <v>74</v>
      </c>
    </row>
    <row r="39022" spans="9:9" x14ac:dyDescent="0.2">
      <c r="I39022" s="137" t="s">
        <v>74</v>
      </c>
    </row>
    <row r="39023" spans="9:9" x14ac:dyDescent="0.2">
      <c r="I39023" s="137" t="s">
        <v>74</v>
      </c>
    </row>
    <row r="39024" spans="9:9" x14ac:dyDescent="0.2">
      <c r="I39024" s="137" t="s">
        <v>74</v>
      </c>
    </row>
    <row r="39025" spans="9:9" x14ac:dyDescent="0.2">
      <c r="I39025" s="137" t="s">
        <v>74</v>
      </c>
    </row>
    <row r="39026" spans="9:9" x14ac:dyDescent="0.2">
      <c r="I39026" s="137" t="s">
        <v>74</v>
      </c>
    </row>
    <row r="39027" spans="9:9" x14ac:dyDescent="0.2">
      <c r="I39027" s="137" t="s">
        <v>74</v>
      </c>
    </row>
    <row r="39028" spans="9:9" x14ac:dyDescent="0.2">
      <c r="I39028" s="137" t="s">
        <v>74</v>
      </c>
    </row>
    <row r="39029" spans="9:9" x14ac:dyDescent="0.2">
      <c r="I39029" s="137" t="s">
        <v>74</v>
      </c>
    </row>
    <row r="39030" spans="9:9" x14ac:dyDescent="0.2">
      <c r="I39030" s="137" t="s">
        <v>74</v>
      </c>
    </row>
    <row r="39031" spans="9:9" x14ac:dyDescent="0.2">
      <c r="I39031" s="137" t="s">
        <v>74</v>
      </c>
    </row>
    <row r="39032" spans="9:9" x14ac:dyDescent="0.2">
      <c r="I39032" s="137" t="s">
        <v>74</v>
      </c>
    </row>
    <row r="39033" spans="9:9" x14ac:dyDescent="0.2">
      <c r="I39033" s="137" t="s">
        <v>74</v>
      </c>
    </row>
    <row r="39034" spans="9:9" x14ac:dyDescent="0.2">
      <c r="I39034" s="137" t="s">
        <v>74</v>
      </c>
    </row>
    <row r="39035" spans="9:9" x14ac:dyDescent="0.2">
      <c r="I39035" s="137" t="s">
        <v>74</v>
      </c>
    </row>
    <row r="39036" spans="9:9" x14ac:dyDescent="0.2">
      <c r="I39036" s="137" t="s">
        <v>74</v>
      </c>
    </row>
    <row r="39037" spans="9:9" x14ac:dyDescent="0.2">
      <c r="I39037" s="137" t="s">
        <v>74</v>
      </c>
    </row>
    <row r="39038" spans="9:9" x14ac:dyDescent="0.2">
      <c r="I39038" s="137" t="s">
        <v>74</v>
      </c>
    </row>
    <row r="39039" spans="9:9" x14ac:dyDescent="0.2">
      <c r="I39039" s="137" t="s">
        <v>74</v>
      </c>
    </row>
    <row r="39040" spans="9:9" x14ac:dyDescent="0.2">
      <c r="I39040" s="137" t="s">
        <v>74</v>
      </c>
    </row>
    <row r="39041" spans="9:9" x14ac:dyDescent="0.2">
      <c r="I39041" s="137" t="s">
        <v>74</v>
      </c>
    </row>
    <row r="39042" spans="9:9" x14ac:dyDescent="0.2">
      <c r="I39042" s="137" t="s">
        <v>74</v>
      </c>
    </row>
    <row r="39043" spans="9:9" x14ac:dyDescent="0.2">
      <c r="I39043" s="137" t="s">
        <v>74</v>
      </c>
    </row>
    <row r="39044" spans="9:9" x14ac:dyDescent="0.2">
      <c r="I39044" s="137" t="s">
        <v>74</v>
      </c>
    </row>
    <row r="39045" spans="9:9" x14ac:dyDescent="0.2">
      <c r="I39045" s="137" t="s">
        <v>74</v>
      </c>
    </row>
    <row r="39046" spans="9:9" x14ac:dyDescent="0.2">
      <c r="I39046" s="137" t="s">
        <v>74</v>
      </c>
    </row>
    <row r="39047" spans="9:9" x14ac:dyDescent="0.2">
      <c r="I39047" s="137" t="s">
        <v>74</v>
      </c>
    </row>
    <row r="39048" spans="9:9" x14ac:dyDescent="0.2">
      <c r="I39048" s="137" t="s">
        <v>74</v>
      </c>
    </row>
    <row r="39049" spans="9:9" x14ac:dyDescent="0.2">
      <c r="I39049" s="137" t="s">
        <v>74</v>
      </c>
    </row>
    <row r="39050" spans="9:9" x14ac:dyDescent="0.2">
      <c r="I39050" s="137" t="s">
        <v>74</v>
      </c>
    </row>
    <row r="39051" spans="9:9" x14ac:dyDescent="0.2">
      <c r="I39051" s="137" t="s">
        <v>74</v>
      </c>
    </row>
    <row r="39052" spans="9:9" x14ac:dyDescent="0.2">
      <c r="I39052" s="137" t="s">
        <v>74</v>
      </c>
    </row>
    <row r="39053" spans="9:9" x14ac:dyDescent="0.2">
      <c r="I39053" s="137" t="s">
        <v>74</v>
      </c>
    </row>
    <row r="39054" spans="9:9" x14ac:dyDescent="0.2">
      <c r="I39054" s="137" t="s">
        <v>74</v>
      </c>
    </row>
    <row r="39055" spans="9:9" x14ac:dyDescent="0.2">
      <c r="I39055" s="137" t="s">
        <v>74</v>
      </c>
    </row>
    <row r="39056" spans="9:9" x14ac:dyDescent="0.2">
      <c r="I39056" s="137" t="s">
        <v>74</v>
      </c>
    </row>
    <row r="39057" spans="9:9" x14ac:dyDescent="0.2">
      <c r="I39057" s="137" t="s">
        <v>74</v>
      </c>
    </row>
    <row r="39058" spans="9:9" x14ac:dyDescent="0.2">
      <c r="I39058" s="137" t="s">
        <v>74</v>
      </c>
    </row>
    <row r="39059" spans="9:9" x14ac:dyDescent="0.2">
      <c r="I39059" s="137" t="s">
        <v>74</v>
      </c>
    </row>
    <row r="39060" spans="9:9" x14ac:dyDescent="0.2">
      <c r="I39060" s="137" t="s">
        <v>74</v>
      </c>
    </row>
    <row r="39061" spans="9:9" x14ac:dyDescent="0.2">
      <c r="I39061" s="137" t="s">
        <v>74</v>
      </c>
    </row>
    <row r="39062" spans="9:9" x14ac:dyDescent="0.2">
      <c r="I39062" s="137" t="s">
        <v>74</v>
      </c>
    </row>
    <row r="39063" spans="9:9" x14ac:dyDescent="0.2">
      <c r="I39063" s="137" t="s">
        <v>74</v>
      </c>
    </row>
    <row r="39064" spans="9:9" x14ac:dyDescent="0.2">
      <c r="I39064" s="137" t="s">
        <v>74</v>
      </c>
    </row>
    <row r="39065" spans="9:9" x14ac:dyDescent="0.2">
      <c r="I39065" s="137" t="s">
        <v>74</v>
      </c>
    </row>
    <row r="39066" spans="9:9" x14ac:dyDescent="0.2">
      <c r="I39066" s="137" t="s">
        <v>74</v>
      </c>
    </row>
    <row r="39067" spans="9:9" x14ac:dyDescent="0.2">
      <c r="I39067" s="137" t="s">
        <v>74</v>
      </c>
    </row>
    <row r="39068" spans="9:9" x14ac:dyDescent="0.2">
      <c r="I39068" s="137" t="s">
        <v>74</v>
      </c>
    </row>
    <row r="39069" spans="9:9" x14ac:dyDescent="0.2">
      <c r="I39069" s="137" t="s">
        <v>74</v>
      </c>
    </row>
    <row r="39070" spans="9:9" x14ac:dyDescent="0.2">
      <c r="I39070" s="137" t="s">
        <v>74</v>
      </c>
    </row>
    <row r="39071" spans="9:9" x14ac:dyDescent="0.2">
      <c r="I39071" s="137" t="s">
        <v>74</v>
      </c>
    </row>
    <row r="39072" spans="9:9" x14ac:dyDescent="0.2">
      <c r="I39072" s="137" t="s">
        <v>74</v>
      </c>
    </row>
    <row r="39073" spans="9:9" x14ac:dyDescent="0.2">
      <c r="I39073" s="137" t="s">
        <v>74</v>
      </c>
    </row>
    <row r="39074" spans="9:9" x14ac:dyDescent="0.2">
      <c r="I39074" s="137" t="s">
        <v>74</v>
      </c>
    </row>
    <row r="39075" spans="9:9" x14ac:dyDescent="0.2">
      <c r="I39075" s="137" t="s">
        <v>74</v>
      </c>
    </row>
    <row r="39076" spans="9:9" x14ac:dyDescent="0.2">
      <c r="I39076" s="137" t="s">
        <v>74</v>
      </c>
    </row>
    <row r="39077" spans="9:9" x14ac:dyDescent="0.2">
      <c r="I39077" s="137" t="s">
        <v>74</v>
      </c>
    </row>
    <row r="39078" spans="9:9" x14ac:dyDescent="0.2">
      <c r="I39078" s="137" t="s">
        <v>74</v>
      </c>
    </row>
    <row r="39079" spans="9:9" x14ac:dyDescent="0.2">
      <c r="I39079" s="137" t="s">
        <v>74</v>
      </c>
    </row>
    <row r="39080" spans="9:9" x14ac:dyDescent="0.2">
      <c r="I39080" s="137" t="s">
        <v>74</v>
      </c>
    </row>
    <row r="39081" spans="9:9" x14ac:dyDescent="0.2">
      <c r="I39081" s="137" t="s">
        <v>74</v>
      </c>
    </row>
    <row r="39082" spans="9:9" x14ac:dyDescent="0.2">
      <c r="I39082" s="137" t="s">
        <v>74</v>
      </c>
    </row>
    <row r="39083" spans="9:9" x14ac:dyDescent="0.2">
      <c r="I39083" s="137" t="s">
        <v>74</v>
      </c>
    </row>
    <row r="39084" spans="9:9" x14ac:dyDescent="0.2">
      <c r="I39084" s="137" t="s">
        <v>74</v>
      </c>
    </row>
    <row r="39085" spans="9:9" x14ac:dyDescent="0.2">
      <c r="I39085" s="137" t="s">
        <v>74</v>
      </c>
    </row>
    <row r="39086" spans="9:9" x14ac:dyDescent="0.2">
      <c r="I39086" s="137" t="s">
        <v>74</v>
      </c>
    </row>
    <row r="39087" spans="9:9" x14ac:dyDescent="0.2">
      <c r="I39087" s="137" t="s">
        <v>74</v>
      </c>
    </row>
    <row r="39088" spans="9:9" x14ac:dyDescent="0.2">
      <c r="I39088" s="137" t="s">
        <v>74</v>
      </c>
    </row>
    <row r="39089" spans="9:9" x14ac:dyDescent="0.2">
      <c r="I39089" s="137" t="s">
        <v>74</v>
      </c>
    </row>
    <row r="39090" spans="9:9" x14ac:dyDescent="0.2">
      <c r="I39090" s="137" t="s">
        <v>74</v>
      </c>
    </row>
    <row r="39091" spans="9:9" x14ac:dyDescent="0.2">
      <c r="I39091" s="137" t="s">
        <v>74</v>
      </c>
    </row>
    <row r="39092" spans="9:9" x14ac:dyDescent="0.2">
      <c r="I39092" s="137" t="s">
        <v>74</v>
      </c>
    </row>
    <row r="39093" spans="9:9" x14ac:dyDescent="0.2">
      <c r="I39093" s="137" t="s">
        <v>74</v>
      </c>
    </row>
    <row r="39094" spans="9:9" x14ac:dyDescent="0.2">
      <c r="I39094" s="137" t="s">
        <v>74</v>
      </c>
    </row>
    <row r="39095" spans="9:9" x14ac:dyDescent="0.2">
      <c r="I39095" s="137" t="s">
        <v>74</v>
      </c>
    </row>
    <row r="39096" spans="9:9" x14ac:dyDescent="0.2">
      <c r="I39096" s="137" t="s">
        <v>74</v>
      </c>
    </row>
    <row r="39097" spans="9:9" x14ac:dyDescent="0.2">
      <c r="I39097" s="137" t="s">
        <v>74</v>
      </c>
    </row>
    <row r="39098" spans="9:9" x14ac:dyDescent="0.2">
      <c r="I39098" s="137" t="s">
        <v>74</v>
      </c>
    </row>
    <row r="39099" spans="9:9" x14ac:dyDescent="0.2">
      <c r="I39099" s="137" t="s">
        <v>74</v>
      </c>
    </row>
    <row r="39100" spans="9:9" x14ac:dyDescent="0.2">
      <c r="I39100" s="137" t="s">
        <v>74</v>
      </c>
    </row>
    <row r="39101" spans="9:9" x14ac:dyDescent="0.2">
      <c r="I39101" s="137" t="s">
        <v>74</v>
      </c>
    </row>
    <row r="39102" spans="9:9" x14ac:dyDescent="0.2">
      <c r="I39102" s="137" t="s">
        <v>74</v>
      </c>
    </row>
    <row r="39103" spans="9:9" x14ac:dyDescent="0.2">
      <c r="I39103" s="137" t="s">
        <v>74</v>
      </c>
    </row>
    <row r="39104" spans="9:9" x14ac:dyDescent="0.2">
      <c r="I39104" s="137" t="s">
        <v>74</v>
      </c>
    </row>
    <row r="39105" spans="9:9" x14ac:dyDescent="0.2">
      <c r="I39105" s="137" t="s">
        <v>74</v>
      </c>
    </row>
    <row r="39106" spans="9:9" x14ac:dyDescent="0.2">
      <c r="I39106" s="137" t="s">
        <v>74</v>
      </c>
    </row>
    <row r="39107" spans="9:9" x14ac:dyDescent="0.2">
      <c r="I39107" s="137" t="s">
        <v>74</v>
      </c>
    </row>
    <row r="39108" spans="9:9" x14ac:dyDescent="0.2">
      <c r="I39108" s="137" t="s">
        <v>74</v>
      </c>
    </row>
    <row r="39109" spans="9:9" x14ac:dyDescent="0.2">
      <c r="I39109" s="137" t="s">
        <v>74</v>
      </c>
    </row>
    <row r="39110" spans="9:9" x14ac:dyDescent="0.2">
      <c r="I39110" s="137" t="s">
        <v>74</v>
      </c>
    </row>
    <row r="39111" spans="9:9" x14ac:dyDescent="0.2">
      <c r="I39111" s="137" t="s">
        <v>74</v>
      </c>
    </row>
    <row r="39112" spans="9:9" x14ac:dyDescent="0.2">
      <c r="I39112" s="137" t="s">
        <v>74</v>
      </c>
    </row>
    <row r="39113" spans="9:9" x14ac:dyDescent="0.2">
      <c r="I39113" s="137" t="s">
        <v>74</v>
      </c>
    </row>
    <row r="39114" spans="9:9" x14ac:dyDescent="0.2">
      <c r="I39114" s="137" t="s">
        <v>74</v>
      </c>
    </row>
    <row r="39115" spans="9:9" x14ac:dyDescent="0.2">
      <c r="I39115" s="137" t="s">
        <v>74</v>
      </c>
    </row>
    <row r="39116" spans="9:9" x14ac:dyDescent="0.2">
      <c r="I39116" s="137" t="s">
        <v>74</v>
      </c>
    </row>
    <row r="39117" spans="9:9" x14ac:dyDescent="0.2">
      <c r="I39117" s="137" t="s">
        <v>74</v>
      </c>
    </row>
    <row r="39118" spans="9:9" x14ac:dyDescent="0.2">
      <c r="I39118" s="137" t="s">
        <v>74</v>
      </c>
    </row>
    <row r="39119" spans="9:9" x14ac:dyDescent="0.2">
      <c r="I39119" s="137" t="s">
        <v>74</v>
      </c>
    </row>
    <row r="39120" spans="9:9" x14ac:dyDescent="0.2">
      <c r="I39120" s="137" t="s">
        <v>74</v>
      </c>
    </row>
    <row r="39121" spans="9:9" x14ac:dyDescent="0.2">
      <c r="I39121" s="137" t="s">
        <v>74</v>
      </c>
    </row>
    <row r="39122" spans="9:9" x14ac:dyDescent="0.2">
      <c r="I39122" s="137" t="s">
        <v>74</v>
      </c>
    </row>
    <row r="39123" spans="9:9" x14ac:dyDescent="0.2">
      <c r="I39123" s="137" t="s">
        <v>74</v>
      </c>
    </row>
    <row r="39124" spans="9:9" x14ac:dyDescent="0.2">
      <c r="I39124" s="137" t="s">
        <v>74</v>
      </c>
    </row>
    <row r="39125" spans="9:9" x14ac:dyDescent="0.2">
      <c r="I39125" s="137" t="s">
        <v>74</v>
      </c>
    </row>
    <row r="39126" spans="9:9" x14ac:dyDescent="0.2">
      <c r="I39126" s="137" t="s">
        <v>74</v>
      </c>
    </row>
    <row r="39127" spans="9:9" x14ac:dyDescent="0.2">
      <c r="I39127" s="137" t="s">
        <v>74</v>
      </c>
    </row>
    <row r="39128" spans="9:9" x14ac:dyDescent="0.2">
      <c r="I39128" s="137" t="s">
        <v>74</v>
      </c>
    </row>
    <row r="39129" spans="9:9" x14ac:dyDescent="0.2">
      <c r="I39129" s="137" t="s">
        <v>74</v>
      </c>
    </row>
    <row r="39130" spans="9:9" x14ac:dyDescent="0.2">
      <c r="I39130" s="137" t="s">
        <v>74</v>
      </c>
    </row>
    <row r="39131" spans="9:9" x14ac:dyDescent="0.2">
      <c r="I39131" s="137" t="s">
        <v>74</v>
      </c>
    </row>
    <row r="39132" spans="9:9" x14ac:dyDescent="0.2">
      <c r="I39132" s="137" t="s">
        <v>74</v>
      </c>
    </row>
    <row r="39133" spans="9:9" x14ac:dyDescent="0.2">
      <c r="I39133" s="137" t="s">
        <v>74</v>
      </c>
    </row>
    <row r="39134" spans="9:9" x14ac:dyDescent="0.2">
      <c r="I39134" s="137" t="s">
        <v>74</v>
      </c>
    </row>
    <row r="39135" spans="9:9" x14ac:dyDescent="0.2">
      <c r="I39135" s="137" t="s">
        <v>74</v>
      </c>
    </row>
    <row r="39136" spans="9:9" x14ac:dyDescent="0.2">
      <c r="I39136" s="137" t="s">
        <v>74</v>
      </c>
    </row>
    <row r="39137" spans="9:9" x14ac:dyDescent="0.2">
      <c r="I39137" s="137" t="s">
        <v>74</v>
      </c>
    </row>
    <row r="39138" spans="9:9" x14ac:dyDescent="0.2">
      <c r="I39138" s="137" t="s">
        <v>74</v>
      </c>
    </row>
    <row r="39139" spans="9:9" x14ac:dyDescent="0.2">
      <c r="I39139" s="137" t="s">
        <v>74</v>
      </c>
    </row>
    <row r="39140" spans="9:9" x14ac:dyDescent="0.2">
      <c r="I39140" s="137" t="s">
        <v>74</v>
      </c>
    </row>
    <row r="39141" spans="9:9" x14ac:dyDescent="0.2">
      <c r="I39141" s="137" t="s">
        <v>74</v>
      </c>
    </row>
    <row r="39142" spans="9:9" x14ac:dyDescent="0.2">
      <c r="I39142" s="137" t="s">
        <v>74</v>
      </c>
    </row>
    <row r="39143" spans="9:9" x14ac:dyDescent="0.2">
      <c r="I39143" s="137" t="s">
        <v>74</v>
      </c>
    </row>
    <row r="39144" spans="9:9" x14ac:dyDescent="0.2">
      <c r="I39144" s="137" t="s">
        <v>74</v>
      </c>
    </row>
    <row r="39145" spans="9:9" x14ac:dyDescent="0.2">
      <c r="I39145" s="137" t="s">
        <v>74</v>
      </c>
    </row>
    <row r="39146" spans="9:9" x14ac:dyDescent="0.2">
      <c r="I39146" s="137" t="s">
        <v>74</v>
      </c>
    </row>
    <row r="39147" spans="9:9" x14ac:dyDescent="0.2">
      <c r="I39147" s="137" t="s">
        <v>74</v>
      </c>
    </row>
    <row r="39148" spans="9:9" x14ac:dyDescent="0.2">
      <c r="I39148" s="137" t="s">
        <v>74</v>
      </c>
    </row>
    <row r="39149" spans="9:9" x14ac:dyDescent="0.2">
      <c r="I39149" s="137" t="s">
        <v>74</v>
      </c>
    </row>
    <row r="39150" spans="9:9" x14ac:dyDescent="0.2">
      <c r="I39150" s="137" t="s">
        <v>74</v>
      </c>
    </row>
    <row r="39151" spans="9:9" x14ac:dyDescent="0.2">
      <c r="I39151" s="137" t="s">
        <v>74</v>
      </c>
    </row>
    <row r="39152" spans="9:9" x14ac:dyDescent="0.2">
      <c r="I39152" s="137" t="s">
        <v>74</v>
      </c>
    </row>
    <row r="39153" spans="9:9" x14ac:dyDescent="0.2">
      <c r="I39153" s="137" t="s">
        <v>74</v>
      </c>
    </row>
    <row r="39154" spans="9:9" x14ac:dyDescent="0.2">
      <c r="I39154" s="137" t="s">
        <v>74</v>
      </c>
    </row>
    <row r="39155" spans="9:9" x14ac:dyDescent="0.2">
      <c r="I39155" s="137" t="s">
        <v>74</v>
      </c>
    </row>
    <row r="39156" spans="9:9" x14ac:dyDescent="0.2">
      <c r="I39156" s="137" t="s">
        <v>74</v>
      </c>
    </row>
    <row r="39157" spans="9:9" x14ac:dyDescent="0.2">
      <c r="I39157" s="137" t="s">
        <v>74</v>
      </c>
    </row>
    <row r="39158" spans="9:9" x14ac:dyDescent="0.2">
      <c r="I39158" s="137" t="s">
        <v>74</v>
      </c>
    </row>
    <row r="39159" spans="9:9" x14ac:dyDescent="0.2">
      <c r="I39159" s="137" t="s">
        <v>74</v>
      </c>
    </row>
    <row r="39160" spans="9:9" x14ac:dyDescent="0.2">
      <c r="I39160" s="137" t="s">
        <v>74</v>
      </c>
    </row>
    <row r="39161" spans="9:9" x14ac:dyDescent="0.2">
      <c r="I39161" s="137" t="s">
        <v>74</v>
      </c>
    </row>
    <row r="39162" spans="9:9" x14ac:dyDescent="0.2">
      <c r="I39162" s="137" t="s">
        <v>74</v>
      </c>
    </row>
    <row r="39163" spans="9:9" x14ac:dyDescent="0.2">
      <c r="I39163" s="137" t="s">
        <v>74</v>
      </c>
    </row>
    <row r="39164" spans="9:9" x14ac:dyDescent="0.2">
      <c r="I39164" s="137" t="s">
        <v>74</v>
      </c>
    </row>
    <row r="39165" spans="9:9" x14ac:dyDescent="0.2">
      <c r="I39165" s="137" t="s">
        <v>74</v>
      </c>
    </row>
    <row r="39166" spans="9:9" x14ac:dyDescent="0.2">
      <c r="I39166" s="137" t="s">
        <v>74</v>
      </c>
    </row>
    <row r="39167" spans="9:9" x14ac:dyDescent="0.2">
      <c r="I39167" s="137" t="s">
        <v>74</v>
      </c>
    </row>
    <row r="39168" spans="9:9" x14ac:dyDescent="0.2">
      <c r="I39168" s="137" t="s">
        <v>74</v>
      </c>
    </row>
    <row r="39169" spans="9:9" x14ac:dyDescent="0.2">
      <c r="I39169" s="137" t="s">
        <v>74</v>
      </c>
    </row>
    <row r="39170" spans="9:9" x14ac:dyDescent="0.2">
      <c r="I39170" s="137" t="s">
        <v>74</v>
      </c>
    </row>
    <row r="39171" spans="9:9" x14ac:dyDescent="0.2">
      <c r="I39171" s="137" t="s">
        <v>74</v>
      </c>
    </row>
    <row r="39172" spans="9:9" x14ac:dyDescent="0.2">
      <c r="I39172" s="137" t="s">
        <v>74</v>
      </c>
    </row>
    <row r="39173" spans="9:9" x14ac:dyDescent="0.2">
      <c r="I39173" s="137" t="s">
        <v>74</v>
      </c>
    </row>
    <row r="39174" spans="9:9" x14ac:dyDescent="0.2">
      <c r="I39174" s="137" t="s">
        <v>74</v>
      </c>
    </row>
    <row r="39175" spans="9:9" x14ac:dyDescent="0.2">
      <c r="I39175" s="137" t="s">
        <v>74</v>
      </c>
    </row>
    <row r="39176" spans="9:9" x14ac:dyDescent="0.2">
      <c r="I39176" s="137" t="s">
        <v>74</v>
      </c>
    </row>
    <row r="39177" spans="9:9" x14ac:dyDescent="0.2">
      <c r="I39177" s="137" t="s">
        <v>74</v>
      </c>
    </row>
    <row r="39178" spans="9:9" x14ac:dyDescent="0.2">
      <c r="I39178" s="137" t="s">
        <v>74</v>
      </c>
    </row>
    <row r="39179" spans="9:9" x14ac:dyDescent="0.2">
      <c r="I39179" s="137" t="s">
        <v>74</v>
      </c>
    </row>
    <row r="39180" spans="9:9" x14ac:dyDescent="0.2">
      <c r="I39180" s="137" t="s">
        <v>74</v>
      </c>
    </row>
    <row r="39181" spans="9:9" x14ac:dyDescent="0.2">
      <c r="I39181" s="137" t="s">
        <v>74</v>
      </c>
    </row>
    <row r="39182" spans="9:9" x14ac:dyDescent="0.2">
      <c r="I39182" s="137" t="s">
        <v>74</v>
      </c>
    </row>
    <row r="39183" spans="9:9" x14ac:dyDescent="0.2">
      <c r="I39183" s="137" t="s">
        <v>74</v>
      </c>
    </row>
    <row r="39184" spans="9:9" x14ac:dyDescent="0.2">
      <c r="I39184" s="137" t="s">
        <v>74</v>
      </c>
    </row>
    <row r="39185" spans="9:9" x14ac:dyDescent="0.2">
      <c r="I39185" s="137" t="s">
        <v>74</v>
      </c>
    </row>
    <row r="39186" spans="9:9" x14ac:dyDescent="0.2">
      <c r="I39186" s="137" t="s">
        <v>74</v>
      </c>
    </row>
    <row r="39187" spans="9:9" x14ac:dyDescent="0.2">
      <c r="I39187" s="137" t="s">
        <v>74</v>
      </c>
    </row>
    <row r="39188" spans="9:9" x14ac:dyDescent="0.2">
      <c r="I39188" s="137" t="s">
        <v>74</v>
      </c>
    </row>
    <row r="39189" spans="9:9" x14ac:dyDescent="0.2">
      <c r="I39189" s="137" t="s">
        <v>74</v>
      </c>
    </row>
    <row r="39190" spans="9:9" x14ac:dyDescent="0.2">
      <c r="I39190" s="137" t="s">
        <v>74</v>
      </c>
    </row>
    <row r="39191" spans="9:9" x14ac:dyDescent="0.2">
      <c r="I39191" s="137" t="s">
        <v>74</v>
      </c>
    </row>
    <row r="39192" spans="9:9" x14ac:dyDescent="0.2">
      <c r="I39192" s="137" t="s">
        <v>74</v>
      </c>
    </row>
    <row r="39193" spans="9:9" x14ac:dyDescent="0.2">
      <c r="I39193" s="137" t="s">
        <v>74</v>
      </c>
    </row>
    <row r="39194" spans="9:9" x14ac:dyDescent="0.2">
      <c r="I39194" s="137" t="s">
        <v>74</v>
      </c>
    </row>
    <row r="39195" spans="9:9" x14ac:dyDescent="0.2">
      <c r="I39195" s="137" t="s">
        <v>74</v>
      </c>
    </row>
    <row r="39196" spans="9:9" x14ac:dyDescent="0.2">
      <c r="I39196" s="137" t="s">
        <v>74</v>
      </c>
    </row>
    <row r="39197" spans="9:9" x14ac:dyDescent="0.2">
      <c r="I39197" s="137" t="s">
        <v>74</v>
      </c>
    </row>
    <row r="39198" spans="9:9" x14ac:dyDescent="0.2">
      <c r="I39198" s="137" t="s">
        <v>74</v>
      </c>
    </row>
    <row r="39199" spans="9:9" x14ac:dyDescent="0.2">
      <c r="I39199" s="137" t="s">
        <v>74</v>
      </c>
    </row>
    <row r="39200" spans="9:9" x14ac:dyDescent="0.2">
      <c r="I39200" s="137" t="s">
        <v>74</v>
      </c>
    </row>
    <row r="39201" spans="9:9" x14ac:dyDescent="0.2">
      <c r="I39201" s="137" t="s">
        <v>74</v>
      </c>
    </row>
    <row r="39202" spans="9:9" x14ac:dyDescent="0.2">
      <c r="I39202" s="137" t="s">
        <v>74</v>
      </c>
    </row>
    <row r="39203" spans="9:9" x14ac:dyDescent="0.2">
      <c r="I39203" s="137" t="s">
        <v>74</v>
      </c>
    </row>
    <row r="39204" spans="9:9" x14ac:dyDescent="0.2">
      <c r="I39204" s="137" t="s">
        <v>74</v>
      </c>
    </row>
    <row r="39205" spans="9:9" x14ac:dyDescent="0.2">
      <c r="I39205" s="137" t="s">
        <v>74</v>
      </c>
    </row>
    <row r="39206" spans="9:9" x14ac:dyDescent="0.2">
      <c r="I39206" s="137" t="s">
        <v>74</v>
      </c>
    </row>
    <row r="39207" spans="9:9" x14ac:dyDescent="0.2">
      <c r="I39207" s="137" t="s">
        <v>74</v>
      </c>
    </row>
    <row r="39208" spans="9:9" x14ac:dyDescent="0.2">
      <c r="I39208" s="137" t="s">
        <v>74</v>
      </c>
    </row>
    <row r="39209" spans="9:9" x14ac:dyDescent="0.2">
      <c r="I39209" s="137" t="s">
        <v>74</v>
      </c>
    </row>
    <row r="39210" spans="9:9" x14ac:dyDescent="0.2">
      <c r="I39210" s="137" t="s">
        <v>74</v>
      </c>
    </row>
    <row r="39211" spans="9:9" x14ac:dyDescent="0.2">
      <c r="I39211" s="137" t="s">
        <v>74</v>
      </c>
    </row>
    <row r="39212" spans="9:9" x14ac:dyDescent="0.2">
      <c r="I39212" s="137" t="s">
        <v>74</v>
      </c>
    </row>
    <row r="39213" spans="9:9" x14ac:dyDescent="0.2">
      <c r="I39213" s="137" t="s">
        <v>74</v>
      </c>
    </row>
    <row r="39214" spans="9:9" x14ac:dyDescent="0.2">
      <c r="I39214" s="137" t="s">
        <v>74</v>
      </c>
    </row>
    <row r="39215" spans="9:9" x14ac:dyDescent="0.2">
      <c r="I39215" s="137" t="s">
        <v>74</v>
      </c>
    </row>
    <row r="39216" spans="9:9" x14ac:dyDescent="0.2">
      <c r="I39216" s="137" t="s">
        <v>74</v>
      </c>
    </row>
    <row r="39217" spans="9:9" x14ac:dyDescent="0.2">
      <c r="I39217" s="137" t="s">
        <v>74</v>
      </c>
    </row>
    <row r="39218" spans="9:9" x14ac:dyDescent="0.2">
      <c r="I39218" s="137" t="s">
        <v>74</v>
      </c>
    </row>
    <row r="39219" spans="9:9" x14ac:dyDescent="0.2">
      <c r="I39219" s="137" t="s">
        <v>74</v>
      </c>
    </row>
    <row r="39220" spans="9:9" x14ac:dyDescent="0.2">
      <c r="I39220" s="137" t="s">
        <v>74</v>
      </c>
    </row>
    <row r="39221" spans="9:9" x14ac:dyDescent="0.2">
      <c r="I39221" s="137" t="s">
        <v>74</v>
      </c>
    </row>
    <row r="39222" spans="9:9" x14ac:dyDescent="0.2">
      <c r="I39222" s="137" t="s">
        <v>74</v>
      </c>
    </row>
    <row r="39223" spans="9:9" x14ac:dyDescent="0.2">
      <c r="I39223" s="137" t="s">
        <v>74</v>
      </c>
    </row>
    <row r="39224" spans="9:9" x14ac:dyDescent="0.2">
      <c r="I39224" s="137" t="s">
        <v>74</v>
      </c>
    </row>
    <row r="39225" spans="9:9" x14ac:dyDescent="0.2">
      <c r="I39225" s="137" t="s">
        <v>74</v>
      </c>
    </row>
    <row r="39226" spans="9:9" x14ac:dyDescent="0.2">
      <c r="I39226" s="137" t="s">
        <v>74</v>
      </c>
    </row>
    <row r="39227" spans="9:9" x14ac:dyDescent="0.2">
      <c r="I39227" s="137" t="s">
        <v>74</v>
      </c>
    </row>
    <row r="39228" spans="9:9" x14ac:dyDescent="0.2">
      <c r="I39228" s="137" t="s">
        <v>74</v>
      </c>
    </row>
    <row r="39229" spans="9:9" x14ac:dyDescent="0.2">
      <c r="I39229" s="137" t="s">
        <v>74</v>
      </c>
    </row>
    <row r="39230" spans="9:9" x14ac:dyDescent="0.2">
      <c r="I39230" s="137" t="s">
        <v>74</v>
      </c>
    </row>
    <row r="39231" spans="9:9" x14ac:dyDescent="0.2">
      <c r="I39231" s="137" t="s">
        <v>74</v>
      </c>
    </row>
    <row r="39232" spans="9:9" x14ac:dyDescent="0.2">
      <c r="I39232" s="137" t="s">
        <v>74</v>
      </c>
    </row>
    <row r="39233" spans="9:9" x14ac:dyDescent="0.2">
      <c r="I39233" s="137" t="s">
        <v>74</v>
      </c>
    </row>
    <row r="39234" spans="9:9" x14ac:dyDescent="0.2">
      <c r="I39234" s="137" t="s">
        <v>74</v>
      </c>
    </row>
    <row r="39235" spans="9:9" x14ac:dyDescent="0.2">
      <c r="I39235" s="137" t="s">
        <v>74</v>
      </c>
    </row>
    <row r="39236" spans="9:9" x14ac:dyDescent="0.2">
      <c r="I39236" s="137" t="s">
        <v>74</v>
      </c>
    </row>
    <row r="39237" spans="9:9" x14ac:dyDescent="0.2">
      <c r="I39237" s="137" t="s">
        <v>74</v>
      </c>
    </row>
    <row r="39238" spans="9:9" x14ac:dyDescent="0.2">
      <c r="I39238" s="137" t="s">
        <v>74</v>
      </c>
    </row>
    <row r="39239" spans="9:9" x14ac:dyDescent="0.2">
      <c r="I39239" s="137" t="s">
        <v>74</v>
      </c>
    </row>
    <row r="39240" spans="9:9" x14ac:dyDescent="0.2">
      <c r="I39240" s="137" t="s">
        <v>74</v>
      </c>
    </row>
    <row r="39241" spans="9:9" x14ac:dyDescent="0.2">
      <c r="I39241" s="137" t="s">
        <v>74</v>
      </c>
    </row>
    <row r="39242" spans="9:9" x14ac:dyDescent="0.2">
      <c r="I39242" s="137" t="s">
        <v>74</v>
      </c>
    </row>
    <row r="39243" spans="9:9" x14ac:dyDescent="0.2">
      <c r="I39243" s="137" t="s">
        <v>74</v>
      </c>
    </row>
    <row r="39244" spans="9:9" x14ac:dyDescent="0.2">
      <c r="I39244" s="137" t="s">
        <v>74</v>
      </c>
    </row>
    <row r="39245" spans="9:9" x14ac:dyDescent="0.2">
      <c r="I39245" s="137" t="s">
        <v>74</v>
      </c>
    </row>
    <row r="39246" spans="9:9" x14ac:dyDescent="0.2">
      <c r="I39246" s="137" t="s">
        <v>74</v>
      </c>
    </row>
    <row r="39247" spans="9:9" x14ac:dyDescent="0.2">
      <c r="I39247" s="137" t="s">
        <v>74</v>
      </c>
    </row>
    <row r="39248" spans="9:9" x14ac:dyDescent="0.2">
      <c r="I39248" s="137" t="s">
        <v>74</v>
      </c>
    </row>
    <row r="39249" spans="9:9" x14ac:dyDescent="0.2">
      <c r="I39249" s="137" t="s">
        <v>74</v>
      </c>
    </row>
    <row r="39250" spans="9:9" x14ac:dyDescent="0.2">
      <c r="I39250" s="137" t="s">
        <v>74</v>
      </c>
    </row>
    <row r="39251" spans="9:9" x14ac:dyDescent="0.2">
      <c r="I39251" s="137" t="s">
        <v>74</v>
      </c>
    </row>
    <row r="39252" spans="9:9" x14ac:dyDescent="0.2">
      <c r="I39252" s="137" t="s">
        <v>74</v>
      </c>
    </row>
    <row r="39253" spans="9:9" x14ac:dyDescent="0.2">
      <c r="I39253" s="137" t="s">
        <v>74</v>
      </c>
    </row>
    <row r="39254" spans="9:9" x14ac:dyDescent="0.2">
      <c r="I39254" s="137" t="s">
        <v>74</v>
      </c>
    </row>
    <row r="39255" spans="9:9" x14ac:dyDescent="0.2">
      <c r="I39255" s="137" t="s">
        <v>74</v>
      </c>
    </row>
    <row r="39256" spans="9:9" x14ac:dyDescent="0.2">
      <c r="I39256" s="137" t="s">
        <v>74</v>
      </c>
    </row>
    <row r="39257" spans="9:9" x14ac:dyDescent="0.2">
      <c r="I39257" s="137" t="s">
        <v>74</v>
      </c>
    </row>
    <row r="39258" spans="9:9" x14ac:dyDescent="0.2">
      <c r="I39258" s="137" t="s">
        <v>74</v>
      </c>
    </row>
    <row r="39259" spans="9:9" x14ac:dyDescent="0.2">
      <c r="I39259" s="137" t="s">
        <v>74</v>
      </c>
    </row>
    <row r="39260" spans="9:9" x14ac:dyDescent="0.2">
      <c r="I39260" s="137" t="s">
        <v>74</v>
      </c>
    </row>
    <row r="39261" spans="9:9" x14ac:dyDescent="0.2">
      <c r="I39261" s="137" t="s">
        <v>74</v>
      </c>
    </row>
    <row r="39262" spans="9:9" x14ac:dyDescent="0.2">
      <c r="I39262" s="137" t="s">
        <v>74</v>
      </c>
    </row>
    <row r="39263" spans="9:9" x14ac:dyDescent="0.2">
      <c r="I39263" s="137" t="s">
        <v>74</v>
      </c>
    </row>
    <row r="39264" spans="9:9" x14ac:dyDescent="0.2">
      <c r="I39264" s="137" t="s">
        <v>74</v>
      </c>
    </row>
    <row r="39265" spans="9:9" x14ac:dyDescent="0.2">
      <c r="I39265" s="137" t="s">
        <v>74</v>
      </c>
    </row>
    <row r="39266" spans="9:9" x14ac:dyDescent="0.2">
      <c r="I39266" s="137" t="s">
        <v>74</v>
      </c>
    </row>
    <row r="39267" spans="9:9" x14ac:dyDescent="0.2">
      <c r="I39267" s="137" t="s">
        <v>74</v>
      </c>
    </row>
    <row r="39268" spans="9:9" x14ac:dyDescent="0.2">
      <c r="I39268" s="137" t="s">
        <v>74</v>
      </c>
    </row>
    <row r="39269" spans="9:9" x14ac:dyDescent="0.2">
      <c r="I39269" s="137" t="s">
        <v>74</v>
      </c>
    </row>
    <row r="39270" spans="9:9" x14ac:dyDescent="0.2">
      <c r="I39270" s="137" t="s">
        <v>74</v>
      </c>
    </row>
    <row r="39271" spans="9:9" x14ac:dyDescent="0.2">
      <c r="I39271" s="137" t="s">
        <v>74</v>
      </c>
    </row>
    <row r="39272" spans="9:9" x14ac:dyDescent="0.2">
      <c r="I39272" s="137" t="s">
        <v>74</v>
      </c>
    </row>
    <row r="39273" spans="9:9" x14ac:dyDescent="0.2">
      <c r="I39273" s="137" t="s">
        <v>74</v>
      </c>
    </row>
    <row r="39274" spans="9:9" x14ac:dyDescent="0.2">
      <c r="I39274" s="137" t="s">
        <v>74</v>
      </c>
    </row>
    <row r="39275" spans="9:9" x14ac:dyDescent="0.2">
      <c r="I39275" s="137" t="s">
        <v>74</v>
      </c>
    </row>
    <row r="39276" spans="9:9" x14ac:dyDescent="0.2">
      <c r="I39276" s="137" t="s">
        <v>74</v>
      </c>
    </row>
    <row r="39277" spans="9:9" x14ac:dyDescent="0.2">
      <c r="I39277" s="137" t="s">
        <v>74</v>
      </c>
    </row>
    <row r="39278" spans="9:9" x14ac:dyDescent="0.2">
      <c r="I39278" s="137" t="s">
        <v>74</v>
      </c>
    </row>
    <row r="39279" spans="9:9" x14ac:dyDescent="0.2">
      <c r="I39279" s="137" t="s">
        <v>74</v>
      </c>
    </row>
    <row r="39280" spans="9:9" x14ac:dyDescent="0.2">
      <c r="I39280" s="137" t="s">
        <v>74</v>
      </c>
    </row>
    <row r="39281" spans="9:9" x14ac:dyDescent="0.2">
      <c r="I39281" s="137" t="s">
        <v>74</v>
      </c>
    </row>
    <row r="39282" spans="9:9" x14ac:dyDescent="0.2">
      <c r="I39282" s="137" t="s">
        <v>74</v>
      </c>
    </row>
    <row r="39283" spans="9:9" x14ac:dyDescent="0.2">
      <c r="I39283" s="137" t="s">
        <v>74</v>
      </c>
    </row>
    <row r="39284" spans="9:9" x14ac:dyDescent="0.2">
      <c r="I39284" s="137" t="s">
        <v>74</v>
      </c>
    </row>
    <row r="39285" spans="9:9" x14ac:dyDescent="0.2">
      <c r="I39285" s="137" t="s">
        <v>74</v>
      </c>
    </row>
    <row r="39286" spans="9:9" x14ac:dyDescent="0.2">
      <c r="I39286" s="137" t="s">
        <v>74</v>
      </c>
    </row>
    <row r="39287" spans="9:9" x14ac:dyDescent="0.2">
      <c r="I39287" s="137" t="s">
        <v>74</v>
      </c>
    </row>
    <row r="39288" spans="9:9" x14ac:dyDescent="0.2">
      <c r="I39288" s="137" t="s">
        <v>74</v>
      </c>
    </row>
    <row r="39289" spans="9:9" x14ac:dyDescent="0.2">
      <c r="I39289" s="137" t="s">
        <v>74</v>
      </c>
    </row>
    <row r="39290" spans="9:9" x14ac:dyDescent="0.2">
      <c r="I39290" s="137" t="s">
        <v>74</v>
      </c>
    </row>
    <row r="39291" spans="9:9" x14ac:dyDescent="0.2">
      <c r="I39291" s="137" t="s">
        <v>74</v>
      </c>
    </row>
    <row r="39292" spans="9:9" x14ac:dyDescent="0.2">
      <c r="I39292" s="137" t="s">
        <v>74</v>
      </c>
    </row>
    <row r="39293" spans="9:9" x14ac:dyDescent="0.2">
      <c r="I39293" s="137" t="s">
        <v>74</v>
      </c>
    </row>
    <row r="39294" spans="9:9" x14ac:dyDescent="0.2">
      <c r="I39294" s="137" t="s">
        <v>74</v>
      </c>
    </row>
    <row r="39295" spans="9:9" x14ac:dyDescent="0.2">
      <c r="I39295" s="137" t="s">
        <v>74</v>
      </c>
    </row>
    <row r="39296" spans="9:9" x14ac:dyDescent="0.2">
      <c r="I39296" s="137" t="s">
        <v>74</v>
      </c>
    </row>
    <row r="39297" spans="9:9" x14ac:dyDescent="0.2">
      <c r="I39297" s="137" t="s">
        <v>74</v>
      </c>
    </row>
    <row r="39298" spans="9:9" x14ac:dyDescent="0.2">
      <c r="I39298" s="137" t="s">
        <v>74</v>
      </c>
    </row>
    <row r="39299" spans="9:9" x14ac:dyDescent="0.2">
      <c r="I39299" s="137" t="s">
        <v>74</v>
      </c>
    </row>
    <row r="39300" spans="9:9" x14ac:dyDescent="0.2">
      <c r="I39300" s="137" t="s">
        <v>74</v>
      </c>
    </row>
    <row r="39301" spans="9:9" x14ac:dyDescent="0.2">
      <c r="I39301" s="137" t="s">
        <v>74</v>
      </c>
    </row>
    <row r="39302" spans="9:9" x14ac:dyDescent="0.2">
      <c r="I39302" s="137" t="s">
        <v>74</v>
      </c>
    </row>
    <row r="39303" spans="9:9" x14ac:dyDescent="0.2">
      <c r="I39303" s="137" t="s">
        <v>74</v>
      </c>
    </row>
    <row r="39304" spans="9:9" x14ac:dyDescent="0.2">
      <c r="I39304" s="137" t="s">
        <v>74</v>
      </c>
    </row>
    <row r="39305" spans="9:9" x14ac:dyDescent="0.2">
      <c r="I39305" s="137" t="s">
        <v>74</v>
      </c>
    </row>
    <row r="39306" spans="9:9" x14ac:dyDescent="0.2">
      <c r="I39306" s="137" t="s">
        <v>74</v>
      </c>
    </row>
    <row r="39307" spans="9:9" x14ac:dyDescent="0.2">
      <c r="I39307" s="137" t="s">
        <v>74</v>
      </c>
    </row>
    <row r="39308" spans="9:9" x14ac:dyDescent="0.2">
      <c r="I39308" s="137" t="s">
        <v>74</v>
      </c>
    </row>
    <row r="39309" spans="9:9" x14ac:dyDescent="0.2">
      <c r="I39309" s="137" t="s">
        <v>74</v>
      </c>
    </row>
    <row r="39310" spans="9:9" x14ac:dyDescent="0.2">
      <c r="I39310" s="137" t="s">
        <v>74</v>
      </c>
    </row>
    <row r="39311" spans="9:9" x14ac:dyDescent="0.2">
      <c r="I39311" s="137" t="s">
        <v>74</v>
      </c>
    </row>
    <row r="39312" spans="9:9" x14ac:dyDescent="0.2">
      <c r="I39312" s="137" t="s">
        <v>74</v>
      </c>
    </row>
    <row r="39313" spans="9:9" x14ac:dyDescent="0.2">
      <c r="I39313" s="137" t="s">
        <v>74</v>
      </c>
    </row>
    <row r="39314" spans="9:9" x14ac:dyDescent="0.2">
      <c r="I39314" s="137" t="s">
        <v>74</v>
      </c>
    </row>
    <row r="39315" spans="9:9" x14ac:dyDescent="0.2">
      <c r="I39315" s="137" t="s">
        <v>74</v>
      </c>
    </row>
    <row r="39316" spans="9:9" x14ac:dyDescent="0.2">
      <c r="I39316" s="137" t="s">
        <v>74</v>
      </c>
    </row>
    <row r="39317" spans="9:9" x14ac:dyDescent="0.2">
      <c r="I39317" s="137" t="s">
        <v>74</v>
      </c>
    </row>
    <row r="39318" spans="9:9" x14ac:dyDescent="0.2">
      <c r="I39318" s="137" t="s">
        <v>74</v>
      </c>
    </row>
    <row r="39319" spans="9:9" x14ac:dyDescent="0.2">
      <c r="I39319" s="137" t="s">
        <v>74</v>
      </c>
    </row>
    <row r="39320" spans="9:9" x14ac:dyDescent="0.2">
      <c r="I39320" s="137" t="s">
        <v>74</v>
      </c>
    </row>
    <row r="39321" spans="9:9" x14ac:dyDescent="0.2">
      <c r="I39321" s="137" t="s">
        <v>74</v>
      </c>
    </row>
    <row r="39322" spans="9:9" x14ac:dyDescent="0.2">
      <c r="I39322" s="137" t="s">
        <v>74</v>
      </c>
    </row>
    <row r="39323" spans="9:9" x14ac:dyDescent="0.2">
      <c r="I39323" s="137" t="s">
        <v>74</v>
      </c>
    </row>
    <row r="39324" spans="9:9" x14ac:dyDescent="0.2">
      <c r="I39324" s="137" t="s">
        <v>74</v>
      </c>
    </row>
    <row r="39325" spans="9:9" x14ac:dyDescent="0.2">
      <c r="I39325" s="137" t="s">
        <v>74</v>
      </c>
    </row>
    <row r="39326" spans="9:9" x14ac:dyDescent="0.2">
      <c r="I39326" s="137" t="s">
        <v>74</v>
      </c>
    </row>
    <row r="39327" spans="9:9" x14ac:dyDescent="0.2">
      <c r="I39327" s="137" t="s">
        <v>74</v>
      </c>
    </row>
    <row r="39328" spans="9:9" x14ac:dyDescent="0.2">
      <c r="I39328" s="137" t="s">
        <v>74</v>
      </c>
    </row>
    <row r="39329" spans="9:9" x14ac:dyDescent="0.2">
      <c r="I39329" s="137" t="s">
        <v>74</v>
      </c>
    </row>
    <row r="39330" spans="9:9" x14ac:dyDescent="0.2">
      <c r="I39330" s="137" t="s">
        <v>74</v>
      </c>
    </row>
    <row r="39331" spans="9:9" x14ac:dyDescent="0.2">
      <c r="I39331" s="137" t="s">
        <v>74</v>
      </c>
    </row>
    <row r="39332" spans="9:9" x14ac:dyDescent="0.2">
      <c r="I39332" s="137" t="s">
        <v>74</v>
      </c>
    </row>
    <row r="39333" spans="9:9" x14ac:dyDescent="0.2">
      <c r="I39333" s="137" t="s">
        <v>74</v>
      </c>
    </row>
    <row r="39334" spans="9:9" x14ac:dyDescent="0.2">
      <c r="I39334" s="137" t="s">
        <v>74</v>
      </c>
    </row>
    <row r="39335" spans="9:9" x14ac:dyDescent="0.2">
      <c r="I39335" s="137" t="s">
        <v>74</v>
      </c>
    </row>
    <row r="39336" spans="9:9" x14ac:dyDescent="0.2">
      <c r="I39336" s="137" t="s">
        <v>74</v>
      </c>
    </row>
    <row r="39337" spans="9:9" x14ac:dyDescent="0.2">
      <c r="I39337" s="137" t="s">
        <v>74</v>
      </c>
    </row>
    <row r="39338" spans="9:9" x14ac:dyDescent="0.2">
      <c r="I39338" s="137" t="s">
        <v>74</v>
      </c>
    </row>
    <row r="39339" spans="9:9" x14ac:dyDescent="0.2">
      <c r="I39339" s="137" t="s">
        <v>74</v>
      </c>
    </row>
    <row r="39340" spans="9:9" x14ac:dyDescent="0.2">
      <c r="I39340" s="137" t="s">
        <v>74</v>
      </c>
    </row>
    <row r="39341" spans="9:9" x14ac:dyDescent="0.2">
      <c r="I39341" s="137" t="s">
        <v>74</v>
      </c>
    </row>
    <row r="39342" spans="9:9" x14ac:dyDescent="0.2">
      <c r="I39342" s="137" t="s">
        <v>74</v>
      </c>
    </row>
    <row r="39343" spans="9:9" x14ac:dyDescent="0.2">
      <c r="I39343" s="137" t="s">
        <v>74</v>
      </c>
    </row>
    <row r="39344" spans="9:9" x14ac:dyDescent="0.2">
      <c r="I39344" s="137" t="s">
        <v>74</v>
      </c>
    </row>
    <row r="39345" spans="9:9" x14ac:dyDescent="0.2">
      <c r="I39345" s="137" t="s">
        <v>74</v>
      </c>
    </row>
    <row r="39346" spans="9:9" x14ac:dyDescent="0.2">
      <c r="I39346" s="137" t="s">
        <v>74</v>
      </c>
    </row>
    <row r="39347" spans="9:9" x14ac:dyDescent="0.2">
      <c r="I39347" s="137" t="s">
        <v>74</v>
      </c>
    </row>
    <row r="39348" spans="9:9" x14ac:dyDescent="0.2">
      <c r="I39348" s="137" t="s">
        <v>74</v>
      </c>
    </row>
    <row r="39349" spans="9:9" x14ac:dyDescent="0.2">
      <c r="I39349" s="137" t="s">
        <v>74</v>
      </c>
    </row>
    <row r="39350" spans="9:9" x14ac:dyDescent="0.2">
      <c r="I39350" s="137" t="s">
        <v>74</v>
      </c>
    </row>
    <row r="39351" spans="9:9" x14ac:dyDescent="0.2">
      <c r="I39351" s="137" t="s">
        <v>74</v>
      </c>
    </row>
    <row r="39352" spans="9:9" x14ac:dyDescent="0.2">
      <c r="I39352" s="137" t="s">
        <v>74</v>
      </c>
    </row>
    <row r="39353" spans="9:9" x14ac:dyDescent="0.2">
      <c r="I39353" s="137" t="s">
        <v>74</v>
      </c>
    </row>
    <row r="39354" spans="9:9" x14ac:dyDescent="0.2">
      <c r="I39354" s="137" t="s">
        <v>74</v>
      </c>
    </row>
    <row r="39355" spans="9:9" x14ac:dyDescent="0.2">
      <c r="I39355" s="137" t="s">
        <v>74</v>
      </c>
    </row>
    <row r="39356" spans="9:9" x14ac:dyDescent="0.2">
      <c r="I39356" s="137" t="s">
        <v>74</v>
      </c>
    </row>
    <row r="39357" spans="9:9" x14ac:dyDescent="0.2">
      <c r="I39357" s="137" t="s">
        <v>74</v>
      </c>
    </row>
    <row r="39358" spans="9:9" x14ac:dyDescent="0.2">
      <c r="I39358" s="137" t="s">
        <v>74</v>
      </c>
    </row>
    <row r="39359" spans="9:9" x14ac:dyDescent="0.2">
      <c r="I39359" s="137" t="s">
        <v>74</v>
      </c>
    </row>
    <row r="39360" spans="9:9" x14ac:dyDescent="0.2">
      <c r="I39360" s="137" t="s">
        <v>74</v>
      </c>
    </row>
    <row r="39361" spans="9:9" x14ac:dyDescent="0.2">
      <c r="I39361" s="137" t="s">
        <v>74</v>
      </c>
    </row>
    <row r="39362" spans="9:9" x14ac:dyDescent="0.2">
      <c r="I39362" s="137" t="s">
        <v>74</v>
      </c>
    </row>
    <row r="39363" spans="9:9" x14ac:dyDescent="0.2">
      <c r="I39363" s="137" t="s">
        <v>74</v>
      </c>
    </row>
    <row r="39364" spans="9:9" x14ac:dyDescent="0.2">
      <c r="I39364" s="137" t="s">
        <v>74</v>
      </c>
    </row>
    <row r="39365" spans="9:9" x14ac:dyDescent="0.2">
      <c r="I39365" s="137" t="s">
        <v>74</v>
      </c>
    </row>
    <row r="39366" spans="9:9" x14ac:dyDescent="0.2">
      <c r="I39366" s="137" t="s">
        <v>74</v>
      </c>
    </row>
    <row r="39367" spans="9:9" x14ac:dyDescent="0.2">
      <c r="I39367" s="137" t="s">
        <v>74</v>
      </c>
    </row>
    <row r="39368" spans="9:9" x14ac:dyDescent="0.2">
      <c r="I39368" s="137" t="s">
        <v>74</v>
      </c>
    </row>
    <row r="39369" spans="9:9" x14ac:dyDescent="0.2">
      <c r="I39369" s="137" t="s">
        <v>74</v>
      </c>
    </row>
    <row r="39370" spans="9:9" x14ac:dyDescent="0.2">
      <c r="I39370" s="137" t="s">
        <v>74</v>
      </c>
    </row>
    <row r="39371" spans="9:9" x14ac:dyDescent="0.2">
      <c r="I39371" s="137" t="s">
        <v>74</v>
      </c>
    </row>
    <row r="39372" spans="9:9" x14ac:dyDescent="0.2">
      <c r="I39372" s="137" t="s">
        <v>74</v>
      </c>
    </row>
    <row r="39373" spans="9:9" x14ac:dyDescent="0.2">
      <c r="I39373" s="137" t="s">
        <v>74</v>
      </c>
    </row>
    <row r="39374" spans="9:9" x14ac:dyDescent="0.2">
      <c r="I39374" s="137" t="s">
        <v>74</v>
      </c>
    </row>
    <row r="39375" spans="9:9" x14ac:dyDescent="0.2">
      <c r="I39375" s="137" t="s">
        <v>74</v>
      </c>
    </row>
    <row r="39376" spans="9:9" x14ac:dyDescent="0.2">
      <c r="I39376" s="137" t="s">
        <v>74</v>
      </c>
    </row>
    <row r="39377" spans="9:9" x14ac:dyDescent="0.2">
      <c r="I39377" s="137" t="s">
        <v>74</v>
      </c>
    </row>
    <row r="39378" spans="9:9" x14ac:dyDescent="0.2">
      <c r="I39378" s="137" t="s">
        <v>74</v>
      </c>
    </row>
    <row r="39379" spans="9:9" x14ac:dyDescent="0.2">
      <c r="I39379" s="137" t="s">
        <v>74</v>
      </c>
    </row>
    <row r="39380" spans="9:9" x14ac:dyDescent="0.2">
      <c r="I39380" s="137" t="s">
        <v>74</v>
      </c>
    </row>
    <row r="39381" spans="9:9" x14ac:dyDescent="0.2">
      <c r="I39381" s="137" t="s">
        <v>74</v>
      </c>
    </row>
    <row r="39382" spans="9:9" x14ac:dyDescent="0.2">
      <c r="I39382" s="137" t="s">
        <v>74</v>
      </c>
    </row>
    <row r="39383" spans="9:9" x14ac:dyDescent="0.2">
      <c r="I39383" s="137" t="s">
        <v>74</v>
      </c>
    </row>
    <row r="39384" spans="9:9" x14ac:dyDescent="0.2">
      <c r="I39384" s="137" t="s">
        <v>74</v>
      </c>
    </row>
    <row r="39385" spans="9:9" x14ac:dyDescent="0.2">
      <c r="I39385" s="137" t="s">
        <v>74</v>
      </c>
    </row>
    <row r="39386" spans="9:9" x14ac:dyDescent="0.2">
      <c r="I39386" s="137" t="s">
        <v>74</v>
      </c>
    </row>
    <row r="39387" spans="9:9" x14ac:dyDescent="0.2">
      <c r="I39387" s="137" t="s">
        <v>74</v>
      </c>
    </row>
    <row r="39388" spans="9:9" x14ac:dyDescent="0.2">
      <c r="I39388" s="137" t="s">
        <v>74</v>
      </c>
    </row>
    <row r="39389" spans="9:9" x14ac:dyDescent="0.2">
      <c r="I39389" s="137" t="s">
        <v>74</v>
      </c>
    </row>
    <row r="39390" spans="9:9" x14ac:dyDescent="0.2">
      <c r="I39390" s="137" t="s">
        <v>74</v>
      </c>
    </row>
    <row r="39391" spans="9:9" x14ac:dyDescent="0.2">
      <c r="I39391" s="137" t="s">
        <v>74</v>
      </c>
    </row>
    <row r="39392" spans="9:9" x14ac:dyDescent="0.2">
      <c r="I39392" s="137" t="s">
        <v>74</v>
      </c>
    </row>
    <row r="39393" spans="9:9" x14ac:dyDescent="0.2">
      <c r="I39393" s="137" t="s">
        <v>74</v>
      </c>
    </row>
    <row r="39394" spans="9:9" x14ac:dyDescent="0.2">
      <c r="I39394" s="137" t="s">
        <v>74</v>
      </c>
    </row>
    <row r="39395" spans="9:9" x14ac:dyDescent="0.2">
      <c r="I39395" s="137" t="s">
        <v>74</v>
      </c>
    </row>
    <row r="39396" spans="9:9" x14ac:dyDescent="0.2">
      <c r="I39396" s="137" t="s">
        <v>74</v>
      </c>
    </row>
    <row r="39397" spans="9:9" x14ac:dyDescent="0.2">
      <c r="I39397" s="137" t="s">
        <v>74</v>
      </c>
    </row>
    <row r="39398" spans="9:9" x14ac:dyDescent="0.2">
      <c r="I39398" s="137" t="s">
        <v>74</v>
      </c>
    </row>
    <row r="39399" spans="9:9" x14ac:dyDescent="0.2">
      <c r="I39399" s="137" t="s">
        <v>74</v>
      </c>
    </row>
    <row r="39400" spans="9:9" x14ac:dyDescent="0.2">
      <c r="I39400" s="137" t="s">
        <v>74</v>
      </c>
    </row>
    <row r="39401" spans="9:9" x14ac:dyDescent="0.2">
      <c r="I39401" s="137" t="s">
        <v>74</v>
      </c>
    </row>
    <row r="39402" spans="9:9" x14ac:dyDescent="0.2">
      <c r="I39402" s="137" t="s">
        <v>74</v>
      </c>
    </row>
    <row r="39403" spans="9:9" x14ac:dyDescent="0.2">
      <c r="I39403" s="137" t="s">
        <v>74</v>
      </c>
    </row>
    <row r="39404" spans="9:9" x14ac:dyDescent="0.2">
      <c r="I39404" s="137" t="s">
        <v>74</v>
      </c>
    </row>
    <row r="39405" spans="9:9" x14ac:dyDescent="0.2">
      <c r="I39405" s="137" t="s">
        <v>74</v>
      </c>
    </row>
    <row r="39406" spans="9:9" x14ac:dyDescent="0.2">
      <c r="I39406" s="137" t="s">
        <v>74</v>
      </c>
    </row>
    <row r="39407" spans="9:9" x14ac:dyDescent="0.2">
      <c r="I39407" s="137" t="s">
        <v>74</v>
      </c>
    </row>
    <row r="39408" spans="9:9" x14ac:dyDescent="0.2">
      <c r="I39408" s="137" t="s">
        <v>74</v>
      </c>
    </row>
    <row r="39409" spans="9:9" x14ac:dyDescent="0.2">
      <c r="I39409" s="137" t="s">
        <v>74</v>
      </c>
    </row>
    <row r="39410" spans="9:9" x14ac:dyDescent="0.2">
      <c r="I39410" s="137" t="s">
        <v>74</v>
      </c>
    </row>
    <row r="39411" spans="9:9" x14ac:dyDescent="0.2">
      <c r="I39411" s="137" t="s">
        <v>74</v>
      </c>
    </row>
    <row r="39412" spans="9:9" x14ac:dyDescent="0.2">
      <c r="I39412" s="137" t="s">
        <v>74</v>
      </c>
    </row>
    <row r="39413" spans="9:9" x14ac:dyDescent="0.2">
      <c r="I39413" s="137" t="s">
        <v>74</v>
      </c>
    </row>
    <row r="39414" spans="9:9" x14ac:dyDescent="0.2">
      <c r="I39414" s="137" t="s">
        <v>74</v>
      </c>
    </row>
    <row r="39415" spans="9:9" x14ac:dyDescent="0.2">
      <c r="I39415" s="137" t="s">
        <v>74</v>
      </c>
    </row>
    <row r="39416" spans="9:9" x14ac:dyDescent="0.2">
      <c r="I39416" s="137" t="s">
        <v>74</v>
      </c>
    </row>
    <row r="39417" spans="9:9" x14ac:dyDescent="0.2">
      <c r="I39417" s="137" t="s">
        <v>74</v>
      </c>
    </row>
    <row r="39418" spans="9:9" x14ac:dyDescent="0.2">
      <c r="I39418" s="137" t="s">
        <v>74</v>
      </c>
    </row>
    <row r="39419" spans="9:9" x14ac:dyDescent="0.2">
      <c r="I39419" s="137" t="s">
        <v>74</v>
      </c>
    </row>
    <row r="39420" spans="9:9" x14ac:dyDescent="0.2">
      <c r="I39420" s="137" t="s">
        <v>74</v>
      </c>
    </row>
    <row r="39421" spans="9:9" x14ac:dyDescent="0.2">
      <c r="I39421" s="137" t="s">
        <v>74</v>
      </c>
    </row>
    <row r="39422" spans="9:9" x14ac:dyDescent="0.2">
      <c r="I39422" s="137" t="s">
        <v>74</v>
      </c>
    </row>
    <row r="39423" spans="9:9" x14ac:dyDescent="0.2">
      <c r="I39423" s="137" t="s">
        <v>74</v>
      </c>
    </row>
    <row r="39424" spans="9:9" x14ac:dyDescent="0.2">
      <c r="I39424" s="137" t="s">
        <v>74</v>
      </c>
    </row>
    <row r="39425" spans="9:9" x14ac:dyDescent="0.2">
      <c r="I39425" s="137" t="s">
        <v>74</v>
      </c>
    </row>
    <row r="39426" spans="9:9" x14ac:dyDescent="0.2">
      <c r="I39426" s="137" t="s">
        <v>74</v>
      </c>
    </row>
    <row r="39427" spans="9:9" x14ac:dyDescent="0.2">
      <c r="I39427" s="137" t="s">
        <v>74</v>
      </c>
    </row>
    <row r="39428" spans="9:9" x14ac:dyDescent="0.2">
      <c r="I39428" s="137" t="s">
        <v>74</v>
      </c>
    </row>
    <row r="39429" spans="9:9" x14ac:dyDescent="0.2">
      <c r="I39429" s="137" t="s">
        <v>74</v>
      </c>
    </row>
    <row r="39430" spans="9:9" x14ac:dyDescent="0.2">
      <c r="I39430" s="137" t="s">
        <v>74</v>
      </c>
    </row>
    <row r="39431" spans="9:9" x14ac:dyDescent="0.2">
      <c r="I39431" s="137" t="s">
        <v>74</v>
      </c>
    </row>
    <row r="39432" spans="9:9" x14ac:dyDescent="0.2">
      <c r="I39432" s="137" t="s">
        <v>74</v>
      </c>
    </row>
    <row r="39433" spans="9:9" x14ac:dyDescent="0.2">
      <c r="I39433" s="137" t="s">
        <v>74</v>
      </c>
    </row>
    <row r="39434" spans="9:9" x14ac:dyDescent="0.2">
      <c r="I39434" s="137" t="s">
        <v>74</v>
      </c>
    </row>
    <row r="39435" spans="9:9" x14ac:dyDescent="0.2">
      <c r="I39435" s="137" t="s">
        <v>74</v>
      </c>
    </row>
    <row r="39436" spans="9:9" x14ac:dyDescent="0.2">
      <c r="I39436" s="137" t="s">
        <v>74</v>
      </c>
    </row>
    <row r="39437" spans="9:9" x14ac:dyDescent="0.2">
      <c r="I39437" s="137" t="s">
        <v>74</v>
      </c>
    </row>
    <row r="39438" spans="9:9" x14ac:dyDescent="0.2">
      <c r="I39438" s="137" t="s">
        <v>74</v>
      </c>
    </row>
    <row r="39439" spans="9:9" x14ac:dyDescent="0.2">
      <c r="I39439" s="137" t="s">
        <v>74</v>
      </c>
    </row>
    <row r="39440" spans="9:9" x14ac:dyDescent="0.2">
      <c r="I39440" s="137" t="s">
        <v>74</v>
      </c>
    </row>
    <row r="39441" spans="9:9" x14ac:dyDescent="0.2">
      <c r="I39441" s="137" t="s">
        <v>74</v>
      </c>
    </row>
    <row r="39442" spans="9:9" x14ac:dyDescent="0.2">
      <c r="I39442" s="137" t="s">
        <v>74</v>
      </c>
    </row>
    <row r="39443" spans="9:9" x14ac:dyDescent="0.2">
      <c r="I39443" s="137" t="s">
        <v>74</v>
      </c>
    </row>
    <row r="39444" spans="9:9" x14ac:dyDescent="0.2">
      <c r="I39444" s="137" t="s">
        <v>74</v>
      </c>
    </row>
    <row r="39445" spans="9:9" x14ac:dyDescent="0.2">
      <c r="I39445" s="137" t="s">
        <v>74</v>
      </c>
    </row>
    <row r="39446" spans="9:9" x14ac:dyDescent="0.2">
      <c r="I39446" s="137" t="s">
        <v>74</v>
      </c>
    </row>
    <row r="39447" spans="9:9" x14ac:dyDescent="0.2">
      <c r="I39447" s="137" t="s">
        <v>74</v>
      </c>
    </row>
    <row r="39448" spans="9:9" x14ac:dyDescent="0.2">
      <c r="I39448" s="137" t="s">
        <v>74</v>
      </c>
    </row>
    <row r="39449" spans="9:9" x14ac:dyDescent="0.2">
      <c r="I39449" s="137" t="s">
        <v>74</v>
      </c>
    </row>
    <row r="39450" spans="9:9" x14ac:dyDescent="0.2">
      <c r="I39450" s="137" t="s">
        <v>74</v>
      </c>
    </row>
    <row r="39451" spans="9:9" x14ac:dyDescent="0.2">
      <c r="I39451" s="137" t="s">
        <v>74</v>
      </c>
    </row>
    <row r="39452" spans="9:9" x14ac:dyDescent="0.2">
      <c r="I39452" s="137" t="s">
        <v>74</v>
      </c>
    </row>
    <row r="39453" spans="9:9" x14ac:dyDescent="0.2">
      <c r="I39453" s="137" t="s">
        <v>74</v>
      </c>
    </row>
    <row r="39454" spans="9:9" x14ac:dyDescent="0.2">
      <c r="I39454" s="137" t="s">
        <v>74</v>
      </c>
    </row>
    <row r="39455" spans="9:9" x14ac:dyDescent="0.2">
      <c r="I39455" s="137" t="s">
        <v>74</v>
      </c>
    </row>
    <row r="39456" spans="9:9" x14ac:dyDescent="0.2">
      <c r="I39456" s="137" t="s">
        <v>74</v>
      </c>
    </row>
    <row r="39457" spans="9:9" x14ac:dyDescent="0.2">
      <c r="I39457" s="137" t="s">
        <v>74</v>
      </c>
    </row>
    <row r="39458" spans="9:9" x14ac:dyDescent="0.2">
      <c r="I39458" s="137" t="s">
        <v>74</v>
      </c>
    </row>
    <row r="39459" spans="9:9" x14ac:dyDescent="0.2">
      <c r="I39459" s="137" t="s">
        <v>74</v>
      </c>
    </row>
    <row r="39460" spans="9:9" x14ac:dyDescent="0.2">
      <c r="I39460" s="137" t="s">
        <v>74</v>
      </c>
    </row>
    <row r="39461" spans="9:9" x14ac:dyDescent="0.2">
      <c r="I39461" s="137" t="s">
        <v>74</v>
      </c>
    </row>
    <row r="39462" spans="9:9" x14ac:dyDescent="0.2">
      <c r="I39462" s="137" t="s">
        <v>74</v>
      </c>
    </row>
    <row r="39463" spans="9:9" x14ac:dyDescent="0.2">
      <c r="I39463" s="137" t="s">
        <v>74</v>
      </c>
    </row>
    <row r="39464" spans="9:9" x14ac:dyDescent="0.2">
      <c r="I39464" s="137" t="s">
        <v>74</v>
      </c>
    </row>
    <row r="39465" spans="9:9" x14ac:dyDescent="0.2">
      <c r="I39465" s="137" t="s">
        <v>74</v>
      </c>
    </row>
    <row r="39466" spans="9:9" x14ac:dyDescent="0.2">
      <c r="I39466" s="137" t="s">
        <v>74</v>
      </c>
    </row>
    <row r="39467" spans="9:9" x14ac:dyDescent="0.2">
      <c r="I39467" s="137" t="s">
        <v>74</v>
      </c>
    </row>
    <row r="39468" spans="9:9" x14ac:dyDescent="0.2">
      <c r="I39468" s="137" t="s">
        <v>74</v>
      </c>
    </row>
    <row r="39469" spans="9:9" x14ac:dyDescent="0.2">
      <c r="I39469" s="137" t="s">
        <v>74</v>
      </c>
    </row>
    <row r="39470" spans="9:9" x14ac:dyDescent="0.2">
      <c r="I39470" s="137" t="s">
        <v>74</v>
      </c>
    </row>
    <row r="39471" spans="9:9" x14ac:dyDescent="0.2">
      <c r="I39471" s="137" t="s">
        <v>74</v>
      </c>
    </row>
    <row r="39472" spans="9:9" x14ac:dyDescent="0.2">
      <c r="I39472" s="137" t="s">
        <v>74</v>
      </c>
    </row>
    <row r="39473" spans="9:9" x14ac:dyDescent="0.2">
      <c r="I39473" s="137" t="s">
        <v>74</v>
      </c>
    </row>
    <row r="39474" spans="9:9" x14ac:dyDescent="0.2">
      <c r="I39474" s="137" t="s">
        <v>74</v>
      </c>
    </row>
    <row r="39475" spans="9:9" x14ac:dyDescent="0.2">
      <c r="I39475" s="137" t="s">
        <v>74</v>
      </c>
    </row>
    <row r="39476" spans="9:9" x14ac:dyDescent="0.2">
      <c r="I39476" s="137" t="s">
        <v>74</v>
      </c>
    </row>
    <row r="39477" spans="9:9" x14ac:dyDescent="0.2">
      <c r="I39477" s="137" t="s">
        <v>74</v>
      </c>
    </row>
    <row r="39478" spans="9:9" x14ac:dyDescent="0.2">
      <c r="I39478" s="137" t="s">
        <v>74</v>
      </c>
    </row>
    <row r="39479" spans="9:9" x14ac:dyDescent="0.2">
      <c r="I39479" s="137" t="s">
        <v>74</v>
      </c>
    </row>
    <row r="39480" spans="9:9" x14ac:dyDescent="0.2">
      <c r="I39480" s="137" t="s">
        <v>74</v>
      </c>
    </row>
    <row r="39481" spans="9:9" x14ac:dyDescent="0.2">
      <c r="I39481" s="137" t="s">
        <v>74</v>
      </c>
    </row>
    <row r="39482" spans="9:9" x14ac:dyDescent="0.2">
      <c r="I39482" s="137" t="s">
        <v>74</v>
      </c>
    </row>
    <row r="39483" spans="9:9" x14ac:dyDescent="0.2">
      <c r="I39483" s="137" t="s">
        <v>74</v>
      </c>
    </row>
    <row r="39484" spans="9:9" x14ac:dyDescent="0.2">
      <c r="I39484" s="137" t="s">
        <v>74</v>
      </c>
    </row>
    <row r="39485" spans="9:9" x14ac:dyDescent="0.2">
      <c r="I39485" s="137" t="s">
        <v>74</v>
      </c>
    </row>
    <row r="39486" spans="9:9" x14ac:dyDescent="0.2">
      <c r="I39486" s="137" t="s">
        <v>74</v>
      </c>
    </row>
    <row r="39487" spans="9:9" x14ac:dyDescent="0.2">
      <c r="I39487" s="137" t="s">
        <v>74</v>
      </c>
    </row>
    <row r="39488" spans="9:9" x14ac:dyDescent="0.2">
      <c r="I39488" s="137" t="s">
        <v>74</v>
      </c>
    </row>
    <row r="39489" spans="9:9" x14ac:dyDescent="0.2">
      <c r="I39489" s="137" t="s">
        <v>74</v>
      </c>
    </row>
    <row r="39490" spans="9:9" x14ac:dyDescent="0.2">
      <c r="I39490" s="137" t="s">
        <v>74</v>
      </c>
    </row>
    <row r="39491" spans="9:9" x14ac:dyDescent="0.2">
      <c r="I39491" s="137" t="s">
        <v>74</v>
      </c>
    </row>
    <row r="39492" spans="9:9" x14ac:dyDescent="0.2">
      <c r="I39492" s="137" t="s">
        <v>74</v>
      </c>
    </row>
    <row r="39493" spans="9:9" x14ac:dyDescent="0.2">
      <c r="I39493" s="137" t="s">
        <v>74</v>
      </c>
    </row>
    <row r="39494" spans="9:9" x14ac:dyDescent="0.2">
      <c r="I39494" s="137" t="s">
        <v>74</v>
      </c>
    </row>
    <row r="39495" spans="9:9" x14ac:dyDescent="0.2">
      <c r="I39495" s="137" t="s">
        <v>74</v>
      </c>
    </row>
    <row r="39496" spans="9:9" x14ac:dyDescent="0.2">
      <c r="I39496" s="137" t="s">
        <v>74</v>
      </c>
    </row>
    <row r="39497" spans="9:9" x14ac:dyDescent="0.2">
      <c r="I39497" s="137" t="s">
        <v>74</v>
      </c>
    </row>
    <row r="39498" spans="9:9" x14ac:dyDescent="0.2">
      <c r="I39498" s="137" t="s">
        <v>74</v>
      </c>
    </row>
    <row r="39499" spans="9:9" x14ac:dyDescent="0.2">
      <c r="I39499" s="137" t="s">
        <v>74</v>
      </c>
    </row>
    <row r="39500" spans="9:9" x14ac:dyDescent="0.2">
      <c r="I39500" s="137" t="s">
        <v>74</v>
      </c>
    </row>
    <row r="39501" spans="9:9" x14ac:dyDescent="0.2">
      <c r="I39501" s="137" t="s">
        <v>74</v>
      </c>
    </row>
    <row r="39502" spans="9:9" x14ac:dyDescent="0.2">
      <c r="I39502" s="137" t="s">
        <v>74</v>
      </c>
    </row>
    <row r="39503" spans="9:9" x14ac:dyDescent="0.2">
      <c r="I39503" s="137" t="s">
        <v>74</v>
      </c>
    </row>
    <row r="39504" spans="9:9" x14ac:dyDescent="0.2">
      <c r="I39504" s="137" t="s">
        <v>74</v>
      </c>
    </row>
    <row r="39505" spans="9:9" x14ac:dyDescent="0.2">
      <c r="I39505" s="137" t="s">
        <v>74</v>
      </c>
    </row>
    <row r="39506" spans="9:9" x14ac:dyDescent="0.2">
      <c r="I39506" s="137" t="s">
        <v>74</v>
      </c>
    </row>
    <row r="39507" spans="9:9" x14ac:dyDescent="0.2">
      <c r="I39507" s="137" t="s">
        <v>74</v>
      </c>
    </row>
    <row r="39508" spans="9:9" x14ac:dyDescent="0.2">
      <c r="I39508" s="137" t="s">
        <v>74</v>
      </c>
    </row>
    <row r="39509" spans="9:9" x14ac:dyDescent="0.2">
      <c r="I39509" s="137" t="s">
        <v>74</v>
      </c>
    </row>
    <row r="39510" spans="9:9" x14ac:dyDescent="0.2">
      <c r="I39510" s="137" t="s">
        <v>74</v>
      </c>
    </row>
    <row r="39511" spans="9:9" x14ac:dyDescent="0.2">
      <c r="I39511" s="137" t="s">
        <v>74</v>
      </c>
    </row>
    <row r="39512" spans="9:9" x14ac:dyDescent="0.2">
      <c r="I39512" s="137" t="s">
        <v>74</v>
      </c>
    </row>
    <row r="39513" spans="9:9" x14ac:dyDescent="0.2">
      <c r="I39513" s="137" t="s">
        <v>74</v>
      </c>
    </row>
    <row r="39514" spans="9:9" x14ac:dyDescent="0.2">
      <c r="I39514" s="137" t="s">
        <v>74</v>
      </c>
    </row>
    <row r="39515" spans="9:9" x14ac:dyDescent="0.2">
      <c r="I39515" s="137" t="s">
        <v>74</v>
      </c>
    </row>
    <row r="39516" spans="9:9" x14ac:dyDescent="0.2">
      <c r="I39516" s="137" t="s">
        <v>74</v>
      </c>
    </row>
    <row r="39517" spans="9:9" x14ac:dyDescent="0.2">
      <c r="I39517" s="137" t="s">
        <v>74</v>
      </c>
    </row>
    <row r="39518" spans="9:9" x14ac:dyDescent="0.2">
      <c r="I39518" s="137" t="s">
        <v>74</v>
      </c>
    </row>
    <row r="39519" spans="9:9" x14ac:dyDescent="0.2">
      <c r="I39519" s="137" t="s">
        <v>74</v>
      </c>
    </row>
    <row r="39520" spans="9:9" x14ac:dyDescent="0.2">
      <c r="I39520" s="137" t="s">
        <v>74</v>
      </c>
    </row>
    <row r="39521" spans="9:9" x14ac:dyDescent="0.2">
      <c r="I39521" s="137" t="s">
        <v>74</v>
      </c>
    </row>
    <row r="39522" spans="9:9" x14ac:dyDescent="0.2">
      <c r="I39522" s="137" t="s">
        <v>74</v>
      </c>
    </row>
    <row r="39523" spans="9:9" x14ac:dyDescent="0.2">
      <c r="I39523" s="137" t="s">
        <v>74</v>
      </c>
    </row>
    <row r="39524" spans="9:9" x14ac:dyDescent="0.2">
      <c r="I39524" s="137" t="s">
        <v>74</v>
      </c>
    </row>
    <row r="39525" spans="9:9" x14ac:dyDescent="0.2">
      <c r="I39525" s="137" t="s">
        <v>74</v>
      </c>
    </row>
    <row r="39526" spans="9:9" x14ac:dyDescent="0.2">
      <c r="I39526" s="137" t="s">
        <v>74</v>
      </c>
    </row>
    <row r="39527" spans="9:9" x14ac:dyDescent="0.2">
      <c r="I39527" s="137" t="s">
        <v>74</v>
      </c>
    </row>
    <row r="39528" spans="9:9" x14ac:dyDescent="0.2">
      <c r="I39528" s="137" t="s">
        <v>74</v>
      </c>
    </row>
    <row r="39529" spans="9:9" x14ac:dyDescent="0.2">
      <c r="I39529" s="137" t="s">
        <v>74</v>
      </c>
    </row>
    <row r="39530" spans="9:9" x14ac:dyDescent="0.2">
      <c r="I39530" s="137" t="s">
        <v>74</v>
      </c>
    </row>
    <row r="39531" spans="9:9" x14ac:dyDescent="0.2">
      <c r="I39531" s="137" t="s">
        <v>74</v>
      </c>
    </row>
    <row r="39532" spans="9:9" x14ac:dyDescent="0.2">
      <c r="I39532" s="137" t="s">
        <v>74</v>
      </c>
    </row>
    <row r="39533" spans="9:9" x14ac:dyDescent="0.2">
      <c r="I39533" s="137" t="s">
        <v>74</v>
      </c>
    </row>
    <row r="39534" spans="9:9" x14ac:dyDescent="0.2">
      <c r="I39534" s="137" t="s">
        <v>74</v>
      </c>
    </row>
    <row r="39535" spans="9:9" x14ac:dyDescent="0.2">
      <c r="I39535" s="137" t="s">
        <v>74</v>
      </c>
    </row>
    <row r="39536" spans="9:9" x14ac:dyDescent="0.2">
      <c r="I39536" s="137" t="s">
        <v>74</v>
      </c>
    </row>
    <row r="39537" spans="9:9" x14ac:dyDescent="0.2">
      <c r="I39537" s="137" t="s">
        <v>74</v>
      </c>
    </row>
    <row r="39538" spans="9:9" x14ac:dyDescent="0.2">
      <c r="I39538" s="137" t="s">
        <v>74</v>
      </c>
    </row>
    <row r="39539" spans="9:9" x14ac:dyDescent="0.2">
      <c r="I39539" s="137" t="s">
        <v>74</v>
      </c>
    </row>
    <row r="39540" spans="9:9" x14ac:dyDescent="0.2">
      <c r="I39540" s="137" t="s">
        <v>74</v>
      </c>
    </row>
    <row r="39541" spans="9:9" x14ac:dyDescent="0.2">
      <c r="I39541" s="137" t="s">
        <v>74</v>
      </c>
    </row>
    <row r="39542" spans="9:9" x14ac:dyDescent="0.2">
      <c r="I39542" s="137" t="s">
        <v>74</v>
      </c>
    </row>
    <row r="39543" spans="9:9" x14ac:dyDescent="0.2">
      <c r="I39543" s="137" t="s">
        <v>74</v>
      </c>
    </row>
    <row r="39544" spans="9:9" x14ac:dyDescent="0.2">
      <c r="I39544" s="137" t="s">
        <v>74</v>
      </c>
    </row>
    <row r="39545" spans="9:9" x14ac:dyDescent="0.2">
      <c r="I39545" s="137" t="s">
        <v>74</v>
      </c>
    </row>
    <row r="39546" spans="9:9" x14ac:dyDescent="0.2">
      <c r="I39546" s="137" t="s">
        <v>74</v>
      </c>
    </row>
    <row r="39547" spans="9:9" x14ac:dyDescent="0.2">
      <c r="I39547" s="137" t="s">
        <v>74</v>
      </c>
    </row>
    <row r="39548" spans="9:9" x14ac:dyDescent="0.2">
      <c r="I39548" s="137" t="s">
        <v>74</v>
      </c>
    </row>
    <row r="39549" spans="9:9" x14ac:dyDescent="0.2">
      <c r="I39549" s="137" t="s">
        <v>74</v>
      </c>
    </row>
    <row r="39550" spans="9:9" x14ac:dyDescent="0.2">
      <c r="I39550" s="137" t="s">
        <v>74</v>
      </c>
    </row>
    <row r="39551" spans="9:9" x14ac:dyDescent="0.2">
      <c r="I39551" s="137" t="s">
        <v>74</v>
      </c>
    </row>
    <row r="39552" spans="9:9" x14ac:dyDescent="0.2">
      <c r="I39552" s="137" t="s">
        <v>74</v>
      </c>
    </row>
    <row r="39553" spans="9:9" x14ac:dyDescent="0.2">
      <c r="I39553" s="137" t="s">
        <v>74</v>
      </c>
    </row>
    <row r="39554" spans="9:9" x14ac:dyDescent="0.2">
      <c r="I39554" s="137" t="s">
        <v>74</v>
      </c>
    </row>
    <row r="39555" spans="9:9" x14ac:dyDescent="0.2">
      <c r="I39555" s="137" t="s">
        <v>74</v>
      </c>
    </row>
    <row r="39556" spans="9:9" x14ac:dyDescent="0.2">
      <c r="I39556" s="137" t="s">
        <v>74</v>
      </c>
    </row>
    <row r="39557" spans="9:9" x14ac:dyDescent="0.2">
      <c r="I39557" s="137" t="s">
        <v>74</v>
      </c>
    </row>
    <row r="39558" spans="9:9" x14ac:dyDescent="0.2">
      <c r="I39558" s="137" t="s">
        <v>74</v>
      </c>
    </row>
    <row r="39559" spans="9:9" x14ac:dyDescent="0.2">
      <c r="I39559" s="137" t="s">
        <v>74</v>
      </c>
    </row>
    <row r="39560" spans="9:9" x14ac:dyDescent="0.2">
      <c r="I39560" s="137" t="s">
        <v>74</v>
      </c>
    </row>
    <row r="39561" spans="9:9" x14ac:dyDescent="0.2">
      <c r="I39561" s="137" t="s">
        <v>74</v>
      </c>
    </row>
    <row r="39562" spans="9:9" x14ac:dyDescent="0.2">
      <c r="I39562" s="137" t="s">
        <v>74</v>
      </c>
    </row>
    <row r="39563" spans="9:9" x14ac:dyDescent="0.2">
      <c r="I39563" s="137" t="s">
        <v>74</v>
      </c>
    </row>
    <row r="39564" spans="9:9" x14ac:dyDescent="0.2">
      <c r="I39564" s="137" t="s">
        <v>74</v>
      </c>
    </row>
    <row r="39565" spans="9:9" x14ac:dyDescent="0.2">
      <c r="I39565" s="137" t="s">
        <v>74</v>
      </c>
    </row>
    <row r="39566" spans="9:9" x14ac:dyDescent="0.2">
      <c r="I39566" s="137" t="s">
        <v>74</v>
      </c>
    </row>
    <row r="39567" spans="9:9" x14ac:dyDescent="0.2">
      <c r="I39567" s="137" t="s">
        <v>74</v>
      </c>
    </row>
    <row r="39568" spans="9:9" x14ac:dyDescent="0.2">
      <c r="I39568" s="137" t="s">
        <v>74</v>
      </c>
    </row>
    <row r="39569" spans="9:9" x14ac:dyDescent="0.2">
      <c r="I39569" s="137" t="s">
        <v>74</v>
      </c>
    </row>
    <row r="39570" spans="9:9" x14ac:dyDescent="0.2">
      <c r="I39570" s="137" t="s">
        <v>74</v>
      </c>
    </row>
    <row r="39571" spans="9:9" x14ac:dyDescent="0.2">
      <c r="I39571" s="137" t="s">
        <v>74</v>
      </c>
    </row>
    <row r="39572" spans="9:9" x14ac:dyDescent="0.2">
      <c r="I39572" s="137" t="s">
        <v>74</v>
      </c>
    </row>
    <row r="39573" spans="9:9" x14ac:dyDescent="0.2">
      <c r="I39573" s="137" t="s">
        <v>74</v>
      </c>
    </row>
    <row r="39574" spans="9:9" x14ac:dyDescent="0.2">
      <c r="I39574" s="137" t="s">
        <v>74</v>
      </c>
    </row>
    <row r="39575" spans="9:9" x14ac:dyDescent="0.2">
      <c r="I39575" s="137" t="s">
        <v>74</v>
      </c>
    </row>
    <row r="39576" spans="9:9" x14ac:dyDescent="0.2">
      <c r="I39576" s="137" t="s">
        <v>74</v>
      </c>
    </row>
    <row r="39577" spans="9:9" x14ac:dyDescent="0.2">
      <c r="I39577" s="137" t="s">
        <v>74</v>
      </c>
    </row>
    <row r="39578" spans="9:9" x14ac:dyDescent="0.2">
      <c r="I39578" s="137" t="s">
        <v>74</v>
      </c>
    </row>
    <row r="39579" spans="9:9" x14ac:dyDescent="0.2">
      <c r="I39579" s="137" t="s">
        <v>74</v>
      </c>
    </row>
    <row r="39580" spans="9:9" x14ac:dyDescent="0.2">
      <c r="I39580" s="137" t="s">
        <v>74</v>
      </c>
    </row>
    <row r="39581" spans="9:9" x14ac:dyDescent="0.2">
      <c r="I39581" s="137" t="s">
        <v>74</v>
      </c>
    </row>
    <row r="39582" spans="9:9" x14ac:dyDescent="0.2">
      <c r="I39582" s="137" t="s">
        <v>74</v>
      </c>
    </row>
    <row r="39583" spans="9:9" x14ac:dyDescent="0.2">
      <c r="I39583" s="137" t="s">
        <v>74</v>
      </c>
    </row>
    <row r="39584" spans="9:9" x14ac:dyDescent="0.2">
      <c r="I39584" s="137" t="s">
        <v>74</v>
      </c>
    </row>
    <row r="39585" spans="9:9" x14ac:dyDescent="0.2">
      <c r="I39585" s="137" t="s">
        <v>74</v>
      </c>
    </row>
    <row r="39586" spans="9:9" x14ac:dyDescent="0.2">
      <c r="I39586" s="137" t="s">
        <v>74</v>
      </c>
    </row>
    <row r="39587" spans="9:9" x14ac:dyDescent="0.2">
      <c r="I39587" s="137" t="s">
        <v>74</v>
      </c>
    </row>
    <row r="39588" spans="9:9" x14ac:dyDescent="0.2">
      <c r="I39588" s="137" t="s">
        <v>74</v>
      </c>
    </row>
    <row r="39589" spans="9:9" x14ac:dyDescent="0.2">
      <c r="I39589" s="137" t="s">
        <v>74</v>
      </c>
    </row>
    <row r="39590" spans="9:9" x14ac:dyDescent="0.2">
      <c r="I39590" s="137" t="s">
        <v>74</v>
      </c>
    </row>
    <row r="39591" spans="9:9" x14ac:dyDescent="0.2">
      <c r="I39591" s="137" t="s">
        <v>74</v>
      </c>
    </row>
    <row r="39592" spans="9:9" x14ac:dyDescent="0.2">
      <c r="I39592" s="137" t="s">
        <v>74</v>
      </c>
    </row>
    <row r="39593" spans="9:9" x14ac:dyDescent="0.2">
      <c r="I39593" s="137" t="s">
        <v>74</v>
      </c>
    </row>
    <row r="39594" spans="9:9" x14ac:dyDescent="0.2">
      <c r="I39594" s="137" t="s">
        <v>74</v>
      </c>
    </row>
    <row r="39595" spans="9:9" x14ac:dyDescent="0.2">
      <c r="I39595" s="137" t="s">
        <v>74</v>
      </c>
    </row>
    <row r="39596" spans="9:9" x14ac:dyDescent="0.2">
      <c r="I39596" s="137" t="s">
        <v>74</v>
      </c>
    </row>
    <row r="39597" spans="9:9" x14ac:dyDescent="0.2">
      <c r="I39597" s="137" t="s">
        <v>74</v>
      </c>
    </row>
    <row r="39598" spans="9:9" x14ac:dyDescent="0.2">
      <c r="I39598" s="137" t="s">
        <v>74</v>
      </c>
    </row>
    <row r="39599" spans="9:9" x14ac:dyDescent="0.2">
      <c r="I39599" s="137" t="s">
        <v>74</v>
      </c>
    </row>
    <row r="39600" spans="9:9" x14ac:dyDescent="0.2">
      <c r="I39600" s="137" t="s">
        <v>74</v>
      </c>
    </row>
    <row r="39601" spans="9:9" x14ac:dyDescent="0.2">
      <c r="I39601" s="137" t="s">
        <v>74</v>
      </c>
    </row>
    <row r="39602" spans="9:9" x14ac:dyDescent="0.2">
      <c r="I39602" s="137" t="s">
        <v>74</v>
      </c>
    </row>
    <row r="39603" spans="9:9" x14ac:dyDescent="0.2">
      <c r="I39603" s="137" t="s">
        <v>74</v>
      </c>
    </row>
    <row r="39604" spans="9:9" x14ac:dyDescent="0.2">
      <c r="I39604" s="137" t="s">
        <v>74</v>
      </c>
    </row>
    <row r="39605" spans="9:9" x14ac:dyDescent="0.2">
      <c r="I39605" s="137" t="s">
        <v>74</v>
      </c>
    </row>
    <row r="39606" spans="9:9" x14ac:dyDescent="0.2">
      <c r="I39606" s="137" t="s">
        <v>74</v>
      </c>
    </row>
    <row r="39607" spans="9:9" x14ac:dyDescent="0.2">
      <c r="I39607" s="137" t="s">
        <v>74</v>
      </c>
    </row>
    <row r="39608" spans="9:9" x14ac:dyDescent="0.2">
      <c r="I39608" s="137" t="s">
        <v>74</v>
      </c>
    </row>
    <row r="39609" spans="9:9" x14ac:dyDescent="0.2">
      <c r="I39609" s="137" t="s">
        <v>74</v>
      </c>
    </row>
    <row r="39610" spans="9:9" x14ac:dyDescent="0.2">
      <c r="I39610" s="137" t="s">
        <v>74</v>
      </c>
    </row>
    <row r="39611" spans="9:9" x14ac:dyDescent="0.2">
      <c r="I39611" s="137" t="s">
        <v>74</v>
      </c>
    </row>
    <row r="39612" spans="9:9" x14ac:dyDescent="0.2">
      <c r="I39612" s="137" t="s">
        <v>74</v>
      </c>
    </row>
    <row r="39613" spans="9:9" x14ac:dyDescent="0.2">
      <c r="I39613" s="137" t="s">
        <v>74</v>
      </c>
    </row>
    <row r="39614" spans="9:9" x14ac:dyDescent="0.2">
      <c r="I39614" s="137" t="s">
        <v>74</v>
      </c>
    </row>
    <row r="39615" spans="9:9" x14ac:dyDescent="0.2">
      <c r="I39615" s="137" t="s">
        <v>74</v>
      </c>
    </row>
    <row r="39616" spans="9:9" x14ac:dyDescent="0.2">
      <c r="I39616" s="137" t="s">
        <v>74</v>
      </c>
    </row>
    <row r="39617" spans="9:9" x14ac:dyDescent="0.2">
      <c r="I39617" s="137" t="s">
        <v>74</v>
      </c>
    </row>
    <row r="39618" spans="9:9" x14ac:dyDescent="0.2">
      <c r="I39618" s="137" t="s">
        <v>74</v>
      </c>
    </row>
    <row r="39619" spans="9:9" x14ac:dyDescent="0.2">
      <c r="I39619" s="137" t="s">
        <v>74</v>
      </c>
    </row>
    <row r="39620" spans="9:9" x14ac:dyDescent="0.2">
      <c r="I39620" s="137" t="s">
        <v>74</v>
      </c>
    </row>
    <row r="39621" spans="9:9" x14ac:dyDescent="0.2">
      <c r="I39621" s="137" t="s">
        <v>74</v>
      </c>
    </row>
    <row r="39622" spans="9:9" x14ac:dyDescent="0.2">
      <c r="I39622" s="137" t="s">
        <v>74</v>
      </c>
    </row>
    <row r="39623" spans="9:9" x14ac:dyDescent="0.2">
      <c r="I39623" s="137" t="s">
        <v>74</v>
      </c>
    </row>
    <row r="39624" spans="9:9" x14ac:dyDescent="0.2">
      <c r="I39624" s="137" t="s">
        <v>74</v>
      </c>
    </row>
    <row r="39625" spans="9:9" x14ac:dyDescent="0.2">
      <c r="I39625" s="137" t="s">
        <v>74</v>
      </c>
    </row>
    <row r="39626" spans="9:9" x14ac:dyDescent="0.2">
      <c r="I39626" s="137" t="s">
        <v>74</v>
      </c>
    </row>
    <row r="39627" spans="9:9" x14ac:dyDescent="0.2">
      <c r="I39627" s="137" t="s">
        <v>74</v>
      </c>
    </row>
    <row r="39628" spans="9:9" x14ac:dyDescent="0.2">
      <c r="I39628" s="137" t="s">
        <v>74</v>
      </c>
    </row>
    <row r="39629" spans="9:9" x14ac:dyDescent="0.2">
      <c r="I39629" s="137" t="s">
        <v>74</v>
      </c>
    </row>
    <row r="39630" spans="9:9" x14ac:dyDescent="0.2">
      <c r="I39630" s="137" t="s">
        <v>74</v>
      </c>
    </row>
    <row r="39631" spans="9:9" x14ac:dyDescent="0.2">
      <c r="I39631" s="137" t="s">
        <v>74</v>
      </c>
    </row>
    <row r="39632" spans="9:9" x14ac:dyDescent="0.2">
      <c r="I39632" s="137" t="s">
        <v>74</v>
      </c>
    </row>
    <row r="39633" spans="9:9" x14ac:dyDescent="0.2">
      <c r="I39633" s="137" t="s">
        <v>74</v>
      </c>
    </row>
    <row r="39634" spans="9:9" x14ac:dyDescent="0.2">
      <c r="I39634" s="137" t="s">
        <v>74</v>
      </c>
    </row>
    <row r="39635" spans="9:9" x14ac:dyDescent="0.2">
      <c r="I39635" s="137" t="s">
        <v>74</v>
      </c>
    </row>
    <row r="39636" spans="9:9" x14ac:dyDescent="0.2">
      <c r="I39636" s="137" t="s">
        <v>74</v>
      </c>
    </row>
    <row r="39637" spans="9:9" x14ac:dyDescent="0.2">
      <c r="I39637" s="137" t="s">
        <v>74</v>
      </c>
    </row>
    <row r="39638" spans="9:9" x14ac:dyDescent="0.2">
      <c r="I39638" s="137" t="s">
        <v>74</v>
      </c>
    </row>
    <row r="39639" spans="9:9" x14ac:dyDescent="0.2">
      <c r="I39639" s="137" t="s">
        <v>74</v>
      </c>
    </row>
    <row r="39640" spans="9:9" x14ac:dyDescent="0.2">
      <c r="I39640" s="137" t="s">
        <v>74</v>
      </c>
    </row>
    <row r="39641" spans="9:9" x14ac:dyDescent="0.2">
      <c r="I39641" s="137" t="s">
        <v>74</v>
      </c>
    </row>
    <row r="39642" spans="9:9" x14ac:dyDescent="0.2">
      <c r="I39642" s="137" t="s">
        <v>74</v>
      </c>
    </row>
    <row r="39643" spans="9:9" x14ac:dyDescent="0.2">
      <c r="I39643" s="137" t="s">
        <v>74</v>
      </c>
    </row>
    <row r="39644" spans="9:9" x14ac:dyDescent="0.2">
      <c r="I39644" s="137" t="s">
        <v>74</v>
      </c>
    </row>
    <row r="39645" spans="9:9" x14ac:dyDescent="0.2">
      <c r="I39645" s="137" t="s">
        <v>74</v>
      </c>
    </row>
    <row r="39646" spans="9:9" x14ac:dyDescent="0.2">
      <c r="I39646" s="137" t="s">
        <v>74</v>
      </c>
    </row>
    <row r="39647" spans="9:9" x14ac:dyDescent="0.2">
      <c r="I39647" s="137" t="s">
        <v>74</v>
      </c>
    </row>
    <row r="39648" spans="9:9" x14ac:dyDescent="0.2">
      <c r="I39648" s="137" t="s">
        <v>74</v>
      </c>
    </row>
    <row r="39649" spans="9:9" x14ac:dyDescent="0.2">
      <c r="I39649" s="137" t="s">
        <v>74</v>
      </c>
    </row>
    <row r="39650" spans="9:9" x14ac:dyDescent="0.2">
      <c r="I39650" s="137" t="s">
        <v>74</v>
      </c>
    </row>
    <row r="39651" spans="9:9" x14ac:dyDescent="0.2">
      <c r="I39651" s="137" t="s">
        <v>74</v>
      </c>
    </row>
    <row r="39652" spans="9:9" x14ac:dyDescent="0.2">
      <c r="I39652" s="137" t="s">
        <v>74</v>
      </c>
    </row>
    <row r="39653" spans="9:9" x14ac:dyDescent="0.2">
      <c r="I39653" s="137" t="s">
        <v>74</v>
      </c>
    </row>
    <row r="39654" spans="9:9" x14ac:dyDescent="0.2">
      <c r="I39654" s="137" t="s">
        <v>74</v>
      </c>
    </row>
    <row r="39655" spans="9:9" x14ac:dyDescent="0.2">
      <c r="I39655" s="137" t="s">
        <v>74</v>
      </c>
    </row>
    <row r="39656" spans="9:9" x14ac:dyDescent="0.2">
      <c r="I39656" s="137" t="s">
        <v>74</v>
      </c>
    </row>
    <row r="39657" spans="9:9" x14ac:dyDescent="0.2">
      <c r="I39657" s="137" t="s">
        <v>74</v>
      </c>
    </row>
    <row r="39658" spans="9:9" x14ac:dyDescent="0.2">
      <c r="I39658" s="137" t="s">
        <v>74</v>
      </c>
    </row>
    <row r="39659" spans="9:9" x14ac:dyDescent="0.2">
      <c r="I39659" s="137" t="s">
        <v>74</v>
      </c>
    </row>
    <row r="39660" spans="9:9" x14ac:dyDescent="0.2">
      <c r="I39660" s="137" t="s">
        <v>74</v>
      </c>
    </row>
    <row r="39661" spans="9:9" x14ac:dyDescent="0.2">
      <c r="I39661" s="137" t="s">
        <v>74</v>
      </c>
    </row>
    <row r="39662" spans="9:9" x14ac:dyDescent="0.2">
      <c r="I39662" s="137" t="s">
        <v>74</v>
      </c>
    </row>
    <row r="39663" spans="9:9" x14ac:dyDescent="0.2">
      <c r="I39663" s="137" t="s">
        <v>74</v>
      </c>
    </row>
    <row r="39664" spans="9:9" x14ac:dyDescent="0.2">
      <c r="I39664" s="137" t="s">
        <v>74</v>
      </c>
    </row>
    <row r="39665" spans="9:9" x14ac:dyDescent="0.2">
      <c r="I39665" s="137" t="s">
        <v>74</v>
      </c>
    </row>
    <row r="39666" spans="9:9" x14ac:dyDescent="0.2">
      <c r="I39666" s="137" t="s">
        <v>74</v>
      </c>
    </row>
    <row r="39667" spans="9:9" x14ac:dyDescent="0.2">
      <c r="I39667" s="137" t="s">
        <v>74</v>
      </c>
    </row>
    <row r="39668" spans="9:9" x14ac:dyDescent="0.2">
      <c r="I39668" s="137" t="s">
        <v>74</v>
      </c>
    </row>
    <row r="39669" spans="9:9" x14ac:dyDescent="0.2">
      <c r="I39669" s="137" t="s">
        <v>74</v>
      </c>
    </row>
    <row r="39670" spans="9:9" x14ac:dyDescent="0.2">
      <c r="I39670" s="137" t="s">
        <v>74</v>
      </c>
    </row>
    <row r="39671" spans="9:9" x14ac:dyDescent="0.2">
      <c r="I39671" s="137" t="s">
        <v>74</v>
      </c>
    </row>
    <row r="39672" spans="9:9" x14ac:dyDescent="0.2">
      <c r="I39672" s="137" t="s">
        <v>74</v>
      </c>
    </row>
    <row r="39673" spans="9:9" x14ac:dyDescent="0.2">
      <c r="I39673" s="137" t="s">
        <v>74</v>
      </c>
    </row>
    <row r="39674" spans="9:9" x14ac:dyDescent="0.2">
      <c r="I39674" s="137" t="s">
        <v>74</v>
      </c>
    </row>
    <row r="39675" spans="9:9" x14ac:dyDescent="0.2">
      <c r="I39675" s="137" t="s">
        <v>74</v>
      </c>
    </row>
    <row r="39676" spans="9:9" x14ac:dyDescent="0.2">
      <c r="I39676" s="137" t="s">
        <v>74</v>
      </c>
    </row>
    <row r="39677" spans="9:9" x14ac:dyDescent="0.2">
      <c r="I39677" s="137" t="s">
        <v>74</v>
      </c>
    </row>
    <row r="39678" spans="9:9" x14ac:dyDescent="0.2">
      <c r="I39678" s="137" t="s">
        <v>74</v>
      </c>
    </row>
    <row r="39679" spans="9:9" x14ac:dyDescent="0.2">
      <c r="I39679" s="137" t="s">
        <v>74</v>
      </c>
    </row>
    <row r="39680" spans="9:9" x14ac:dyDescent="0.2">
      <c r="I39680" s="137" t="s">
        <v>74</v>
      </c>
    </row>
    <row r="39681" spans="9:9" x14ac:dyDescent="0.2">
      <c r="I39681" s="137" t="s">
        <v>74</v>
      </c>
    </row>
    <row r="39682" spans="9:9" x14ac:dyDescent="0.2">
      <c r="I39682" s="137" t="s">
        <v>74</v>
      </c>
    </row>
    <row r="39683" spans="9:9" x14ac:dyDescent="0.2">
      <c r="I39683" s="137" t="s">
        <v>74</v>
      </c>
    </row>
    <row r="39684" spans="9:9" x14ac:dyDescent="0.2">
      <c r="I39684" s="137" t="s">
        <v>74</v>
      </c>
    </row>
    <row r="39685" spans="9:9" x14ac:dyDescent="0.2">
      <c r="I39685" s="137" t="s">
        <v>74</v>
      </c>
    </row>
    <row r="39686" spans="9:9" x14ac:dyDescent="0.2">
      <c r="I39686" s="137" t="s">
        <v>74</v>
      </c>
    </row>
    <row r="39687" spans="9:9" x14ac:dyDescent="0.2">
      <c r="I39687" s="137" t="s">
        <v>74</v>
      </c>
    </row>
    <row r="39688" spans="9:9" x14ac:dyDescent="0.2">
      <c r="I39688" s="137" t="s">
        <v>74</v>
      </c>
    </row>
    <row r="39689" spans="9:9" x14ac:dyDescent="0.2">
      <c r="I39689" s="137" t="s">
        <v>74</v>
      </c>
    </row>
    <row r="39690" spans="9:9" x14ac:dyDescent="0.2">
      <c r="I39690" s="137" t="s">
        <v>74</v>
      </c>
    </row>
    <row r="39691" spans="9:9" x14ac:dyDescent="0.2">
      <c r="I39691" s="137" t="s">
        <v>74</v>
      </c>
    </row>
    <row r="39692" spans="9:9" x14ac:dyDescent="0.2">
      <c r="I39692" s="137" t="s">
        <v>74</v>
      </c>
    </row>
    <row r="39693" spans="9:9" x14ac:dyDescent="0.2">
      <c r="I39693" s="137" t="s">
        <v>74</v>
      </c>
    </row>
    <row r="39694" spans="9:9" x14ac:dyDescent="0.2">
      <c r="I39694" s="137" t="s">
        <v>74</v>
      </c>
    </row>
    <row r="39695" spans="9:9" x14ac:dyDescent="0.2">
      <c r="I39695" s="137" t="s">
        <v>74</v>
      </c>
    </row>
    <row r="39696" spans="9:9" x14ac:dyDescent="0.2">
      <c r="I39696" s="137" t="s">
        <v>74</v>
      </c>
    </row>
    <row r="39697" spans="9:9" x14ac:dyDescent="0.2">
      <c r="I39697" s="137" t="s">
        <v>74</v>
      </c>
    </row>
    <row r="39698" spans="9:9" x14ac:dyDescent="0.2">
      <c r="I39698" s="137" t="s">
        <v>74</v>
      </c>
    </row>
    <row r="39699" spans="9:9" x14ac:dyDescent="0.2">
      <c r="I39699" s="137" t="s">
        <v>74</v>
      </c>
    </row>
    <row r="39700" spans="9:9" x14ac:dyDescent="0.2">
      <c r="I39700" s="137" t="s">
        <v>74</v>
      </c>
    </row>
    <row r="39701" spans="9:9" x14ac:dyDescent="0.2">
      <c r="I39701" s="137" t="s">
        <v>74</v>
      </c>
    </row>
    <row r="39702" spans="9:9" x14ac:dyDescent="0.2">
      <c r="I39702" s="137" t="s">
        <v>74</v>
      </c>
    </row>
    <row r="39703" spans="9:9" x14ac:dyDescent="0.2">
      <c r="I39703" s="137" t="s">
        <v>74</v>
      </c>
    </row>
    <row r="39704" spans="9:9" x14ac:dyDescent="0.2">
      <c r="I39704" s="137" t="s">
        <v>74</v>
      </c>
    </row>
    <row r="39705" spans="9:9" x14ac:dyDescent="0.2">
      <c r="I39705" s="137" t="s">
        <v>74</v>
      </c>
    </row>
    <row r="39706" spans="9:9" x14ac:dyDescent="0.2">
      <c r="I39706" s="137" t="s">
        <v>74</v>
      </c>
    </row>
    <row r="39707" spans="9:9" x14ac:dyDescent="0.2">
      <c r="I39707" s="137" t="s">
        <v>74</v>
      </c>
    </row>
    <row r="39708" spans="9:9" x14ac:dyDescent="0.2">
      <c r="I39708" s="137" t="s">
        <v>74</v>
      </c>
    </row>
    <row r="39709" spans="9:9" x14ac:dyDescent="0.2">
      <c r="I39709" s="137" t="s">
        <v>74</v>
      </c>
    </row>
    <row r="39710" spans="9:9" x14ac:dyDescent="0.2">
      <c r="I39710" s="137" t="s">
        <v>74</v>
      </c>
    </row>
    <row r="39711" spans="9:9" x14ac:dyDescent="0.2">
      <c r="I39711" s="137" t="s">
        <v>74</v>
      </c>
    </row>
    <row r="39712" spans="9:9" x14ac:dyDescent="0.2">
      <c r="I39712" s="137" t="s">
        <v>74</v>
      </c>
    </row>
    <row r="39713" spans="9:9" x14ac:dyDescent="0.2">
      <c r="I39713" s="137" t="s">
        <v>74</v>
      </c>
    </row>
    <row r="39714" spans="9:9" x14ac:dyDescent="0.2">
      <c r="I39714" s="137" t="s">
        <v>74</v>
      </c>
    </row>
    <row r="39715" spans="9:9" x14ac:dyDescent="0.2">
      <c r="I39715" s="137" t="s">
        <v>74</v>
      </c>
    </row>
    <row r="39716" spans="9:9" x14ac:dyDescent="0.2">
      <c r="I39716" s="137" t="s">
        <v>74</v>
      </c>
    </row>
    <row r="39717" spans="9:9" x14ac:dyDescent="0.2">
      <c r="I39717" s="137" t="s">
        <v>74</v>
      </c>
    </row>
    <row r="39718" spans="9:9" x14ac:dyDescent="0.2">
      <c r="I39718" s="137" t="s">
        <v>74</v>
      </c>
    </row>
    <row r="39719" spans="9:9" x14ac:dyDescent="0.2">
      <c r="I39719" s="137" t="s">
        <v>74</v>
      </c>
    </row>
    <row r="39720" spans="9:9" x14ac:dyDescent="0.2">
      <c r="I39720" s="137" t="s">
        <v>74</v>
      </c>
    </row>
    <row r="39721" spans="9:9" x14ac:dyDescent="0.2">
      <c r="I39721" s="137" t="s">
        <v>74</v>
      </c>
    </row>
    <row r="39722" spans="9:9" x14ac:dyDescent="0.2">
      <c r="I39722" s="137" t="s">
        <v>74</v>
      </c>
    </row>
    <row r="39723" spans="9:9" x14ac:dyDescent="0.2">
      <c r="I39723" s="137" t="s">
        <v>74</v>
      </c>
    </row>
    <row r="39724" spans="9:9" x14ac:dyDescent="0.2">
      <c r="I39724" s="137" t="s">
        <v>74</v>
      </c>
    </row>
    <row r="39725" spans="9:9" x14ac:dyDescent="0.2">
      <c r="I39725" s="137" t="s">
        <v>74</v>
      </c>
    </row>
    <row r="39726" spans="9:9" x14ac:dyDescent="0.2">
      <c r="I39726" s="137" t="s">
        <v>74</v>
      </c>
    </row>
    <row r="39727" spans="9:9" x14ac:dyDescent="0.2">
      <c r="I39727" s="137" t="s">
        <v>74</v>
      </c>
    </row>
    <row r="39728" spans="9:9" x14ac:dyDescent="0.2">
      <c r="I39728" s="137" t="s">
        <v>74</v>
      </c>
    </row>
    <row r="39729" spans="9:9" x14ac:dyDescent="0.2">
      <c r="I39729" s="137" t="s">
        <v>74</v>
      </c>
    </row>
    <row r="39730" spans="9:9" x14ac:dyDescent="0.2">
      <c r="I39730" s="137" t="s">
        <v>74</v>
      </c>
    </row>
    <row r="39731" spans="9:9" x14ac:dyDescent="0.2">
      <c r="I39731" s="137" t="s">
        <v>74</v>
      </c>
    </row>
    <row r="39732" spans="9:9" x14ac:dyDescent="0.2">
      <c r="I39732" s="137" t="s">
        <v>74</v>
      </c>
    </row>
    <row r="39733" spans="9:9" x14ac:dyDescent="0.2">
      <c r="I39733" s="137" t="s">
        <v>74</v>
      </c>
    </row>
    <row r="39734" spans="9:9" x14ac:dyDescent="0.2">
      <c r="I39734" s="137" t="s">
        <v>74</v>
      </c>
    </row>
    <row r="39735" spans="9:9" x14ac:dyDescent="0.2">
      <c r="I39735" s="137" t="s">
        <v>74</v>
      </c>
    </row>
    <row r="39736" spans="9:9" x14ac:dyDescent="0.2">
      <c r="I39736" s="137" t="s">
        <v>74</v>
      </c>
    </row>
    <row r="39737" spans="9:9" x14ac:dyDescent="0.2">
      <c r="I39737" s="137" t="s">
        <v>74</v>
      </c>
    </row>
    <row r="39738" spans="9:9" x14ac:dyDescent="0.2">
      <c r="I39738" s="137" t="s">
        <v>74</v>
      </c>
    </row>
    <row r="39739" spans="9:9" x14ac:dyDescent="0.2">
      <c r="I39739" s="137" t="s">
        <v>74</v>
      </c>
    </row>
    <row r="39740" spans="9:9" x14ac:dyDescent="0.2">
      <c r="I39740" s="137" t="s">
        <v>74</v>
      </c>
    </row>
    <row r="39741" spans="9:9" x14ac:dyDescent="0.2">
      <c r="I39741" s="137" t="s">
        <v>74</v>
      </c>
    </row>
    <row r="39742" spans="9:9" x14ac:dyDescent="0.2">
      <c r="I39742" s="137" t="s">
        <v>74</v>
      </c>
    </row>
    <row r="39743" spans="9:9" x14ac:dyDescent="0.2">
      <c r="I39743" s="137" t="s">
        <v>74</v>
      </c>
    </row>
    <row r="39744" spans="9:9" x14ac:dyDescent="0.2">
      <c r="I39744" s="137" t="s">
        <v>74</v>
      </c>
    </row>
    <row r="39745" spans="9:9" x14ac:dyDescent="0.2">
      <c r="I39745" s="137" t="s">
        <v>74</v>
      </c>
    </row>
    <row r="39746" spans="9:9" x14ac:dyDescent="0.2">
      <c r="I39746" s="137" t="s">
        <v>74</v>
      </c>
    </row>
    <row r="39747" spans="9:9" x14ac:dyDescent="0.2">
      <c r="I39747" s="137" t="s">
        <v>74</v>
      </c>
    </row>
    <row r="39748" spans="9:9" x14ac:dyDescent="0.2">
      <c r="I39748" s="137" t="s">
        <v>74</v>
      </c>
    </row>
    <row r="39749" spans="9:9" x14ac:dyDescent="0.2">
      <c r="I39749" s="137" t="s">
        <v>74</v>
      </c>
    </row>
    <row r="39750" spans="9:9" x14ac:dyDescent="0.2">
      <c r="I39750" s="137" t="s">
        <v>74</v>
      </c>
    </row>
    <row r="39751" spans="9:9" x14ac:dyDescent="0.2">
      <c r="I39751" s="137" t="s">
        <v>74</v>
      </c>
    </row>
    <row r="39752" spans="9:9" x14ac:dyDescent="0.2">
      <c r="I39752" s="137" t="s">
        <v>74</v>
      </c>
    </row>
    <row r="39753" spans="9:9" x14ac:dyDescent="0.2">
      <c r="I39753" s="137" t="s">
        <v>74</v>
      </c>
    </row>
    <row r="39754" spans="9:9" x14ac:dyDescent="0.2">
      <c r="I39754" s="137" t="s">
        <v>74</v>
      </c>
    </row>
    <row r="39755" spans="9:9" x14ac:dyDescent="0.2">
      <c r="I39755" s="137" t="s">
        <v>74</v>
      </c>
    </row>
    <row r="39756" spans="9:9" x14ac:dyDescent="0.2">
      <c r="I39756" s="137" t="s">
        <v>74</v>
      </c>
    </row>
    <row r="39757" spans="9:9" x14ac:dyDescent="0.2">
      <c r="I39757" s="137" t="s">
        <v>74</v>
      </c>
    </row>
    <row r="39758" spans="9:9" x14ac:dyDescent="0.2">
      <c r="I39758" s="137" t="s">
        <v>74</v>
      </c>
    </row>
    <row r="39759" spans="9:9" x14ac:dyDescent="0.2">
      <c r="I39759" s="137" t="s">
        <v>74</v>
      </c>
    </row>
    <row r="39760" spans="9:9" x14ac:dyDescent="0.2">
      <c r="I39760" s="137" t="s">
        <v>74</v>
      </c>
    </row>
    <row r="39761" spans="9:9" x14ac:dyDescent="0.2">
      <c r="I39761" s="137" t="s">
        <v>74</v>
      </c>
    </row>
    <row r="39762" spans="9:9" x14ac:dyDescent="0.2">
      <c r="I39762" s="137" t="s">
        <v>74</v>
      </c>
    </row>
    <row r="39763" spans="9:9" x14ac:dyDescent="0.2">
      <c r="I39763" s="137" t="s">
        <v>74</v>
      </c>
    </row>
    <row r="39764" spans="9:9" x14ac:dyDescent="0.2">
      <c r="I39764" s="137" t="s">
        <v>74</v>
      </c>
    </row>
    <row r="39765" spans="9:9" x14ac:dyDescent="0.2">
      <c r="I39765" s="137" t="s">
        <v>74</v>
      </c>
    </row>
    <row r="39766" spans="9:9" x14ac:dyDescent="0.2">
      <c r="I39766" s="137" t="s">
        <v>74</v>
      </c>
    </row>
    <row r="39767" spans="9:9" x14ac:dyDescent="0.2">
      <c r="I39767" s="137" t="s">
        <v>74</v>
      </c>
    </row>
    <row r="39768" spans="9:9" x14ac:dyDescent="0.2">
      <c r="I39768" s="137" t="s">
        <v>74</v>
      </c>
    </row>
    <row r="39769" spans="9:9" x14ac:dyDescent="0.2">
      <c r="I39769" s="137" t="s">
        <v>74</v>
      </c>
    </row>
    <row r="39770" spans="9:9" x14ac:dyDescent="0.2">
      <c r="I39770" s="137" t="s">
        <v>74</v>
      </c>
    </row>
    <row r="39771" spans="9:9" x14ac:dyDescent="0.2">
      <c r="I39771" s="137" t="s">
        <v>74</v>
      </c>
    </row>
    <row r="39772" spans="9:9" x14ac:dyDescent="0.2">
      <c r="I39772" s="137" t="s">
        <v>74</v>
      </c>
    </row>
    <row r="39773" spans="9:9" x14ac:dyDescent="0.2">
      <c r="I39773" s="137" t="s">
        <v>74</v>
      </c>
    </row>
    <row r="39774" spans="9:9" x14ac:dyDescent="0.2">
      <c r="I39774" s="137" t="s">
        <v>74</v>
      </c>
    </row>
    <row r="39775" spans="9:9" x14ac:dyDescent="0.2">
      <c r="I39775" s="137" t="s">
        <v>74</v>
      </c>
    </row>
    <row r="39776" spans="9:9" x14ac:dyDescent="0.2">
      <c r="I39776" s="137" t="s">
        <v>74</v>
      </c>
    </row>
    <row r="39777" spans="9:9" x14ac:dyDescent="0.2">
      <c r="I39777" s="137" t="s">
        <v>74</v>
      </c>
    </row>
    <row r="39778" spans="9:9" x14ac:dyDescent="0.2">
      <c r="I39778" s="137" t="s">
        <v>74</v>
      </c>
    </row>
    <row r="39779" spans="9:9" x14ac:dyDescent="0.2">
      <c r="I39779" s="137" t="s">
        <v>74</v>
      </c>
    </row>
    <row r="39780" spans="9:9" x14ac:dyDescent="0.2">
      <c r="I39780" s="137" t="s">
        <v>74</v>
      </c>
    </row>
    <row r="39781" spans="9:9" x14ac:dyDescent="0.2">
      <c r="I39781" s="137" t="s">
        <v>74</v>
      </c>
    </row>
    <row r="39782" spans="9:9" x14ac:dyDescent="0.2">
      <c r="I39782" s="137" t="s">
        <v>74</v>
      </c>
    </row>
    <row r="39783" spans="9:9" x14ac:dyDescent="0.2">
      <c r="I39783" s="137" t="s">
        <v>74</v>
      </c>
    </row>
    <row r="39784" spans="9:9" x14ac:dyDescent="0.2">
      <c r="I39784" s="137" t="s">
        <v>74</v>
      </c>
    </row>
    <row r="39785" spans="9:9" x14ac:dyDescent="0.2">
      <c r="I39785" s="137" t="s">
        <v>74</v>
      </c>
    </row>
    <row r="39786" spans="9:9" x14ac:dyDescent="0.2">
      <c r="I39786" s="137" t="s">
        <v>74</v>
      </c>
    </row>
    <row r="39787" spans="9:9" x14ac:dyDescent="0.2">
      <c r="I39787" s="137" t="s">
        <v>74</v>
      </c>
    </row>
    <row r="39788" spans="9:9" x14ac:dyDescent="0.2">
      <c r="I39788" s="137" t="s">
        <v>74</v>
      </c>
    </row>
    <row r="39789" spans="9:9" x14ac:dyDescent="0.2">
      <c r="I39789" s="137" t="s">
        <v>74</v>
      </c>
    </row>
    <row r="39790" spans="9:9" x14ac:dyDescent="0.2">
      <c r="I39790" s="137" t="s">
        <v>74</v>
      </c>
    </row>
    <row r="39791" spans="9:9" x14ac:dyDescent="0.2">
      <c r="I39791" s="137" t="s">
        <v>74</v>
      </c>
    </row>
    <row r="39792" spans="9:9" x14ac:dyDescent="0.2">
      <c r="I39792" s="137" t="s">
        <v>74</v>
      </c>
    </row>
    <row r="39793" spans="9:9" x14ac:dyDescent="0.2">
      <c r="I39793" s="137" t="s">
        <v>74</v>
      </c>
    </row>
    <row r="39794" spans="9:9" x14ac:dyDescent="0.2">
      <c r="I39794" s="137" t="s">
        <v>74</v>
      </c>
    </row>
    <row r="39795" spans="9:9" x14ac:dyDescent="0.2">
      <c r="I39795" s="137" t="s">
        <v>74</v>
      </c>
    </row>
    <row r="39796" spans="9:9" x14ac:dyDescent="0.2">
      <c r="I39796" s="137" t="s">
        <v>74</v>
      </c>
    </row>
    <row r="39797" spans="9:9" x14ac:dyDescent="0.2">
      <c r="I39797" s="137" t="s">
        <v>74</v>
      </c>
    </row>
    <row r="39798" spans="9:9" x14ac:dyDescent="0.2">
      <c r="I39798" s="137" t="s">
        <v>74</v>
      </c>
    </row>
    <row r="39799" spans="9:9" x14ac:dyDescent="0.2">
      <c r="I39799" s="137" t="s">
        <v>74</v>
      </c>
    </row>
    <row r="39800" spans="9:9" x14ac:dyDescent="0.2">
      <c r="I39800" s="137" t="s">
        <v>74</v>
      </c>
    </row>
    <row r="39801" spans="9:9" x14ac:dyDescent="0.2">
      <c r="I39801" s="137" t="s">
        <v>74</v>
      </c>
    </row>
    <row r="39802" spans="9:9" x14ac:dyDescent="0.2">
      <c r="I39802" s="137" t="s">
        <v>74</v>
      </c>
    </row>
    <row r="39803" spans="9:9" x14ac:dyDescent="0.2">
      <c r="I39803" s="137" t="s">
        <v>74</v>
      </c>
    </row>
    <row r="39804" spans="9:9" x14ac:dyDescent="0.2">
      <c r="I39804" s="137" t="s">
        <v>74</v>
      </c>
    </row>
    <row r="39805" spans="9:9" x14ac:dyDescent="0.2">
      <c r="I39805" s="137" t="s">
        <v>74</v>
      </c>
    </row>
    <row r="39806" spans="9:9" x14ac:dyDescent="0.2">
      <c r="I39806" s="137" t="s">
        <v>74</v>
      </c>
    </row>
    <row r="39807" spans="9:9" x14ac:dyDescent="0.2">
      <c r="I39807" s="137" t="s">
        <v>74</v>
      </c>
    </row>
    <row r="39808" spans="9:9" x14ac:dyDescent="0.2">
      <c r="I39808" s="137" t="s">
        <v>74</v>
      </c>
    </row>
    <row r="39809" spans="9:9" x14ac:dyDescent="0.2">
      <c r="I39809" s="137" t="s">
        <v>74</v>
      </c>
    </row>
    <row r="39810" spans="9:9" x14ac:dyDescent="0.2">
      <c r="I39810" s="137" t="s">
        <v>74</v>
      </c>
    </row>
    <row r="39811" spans="9:9" x14ac:dyDescent="0.2">
      <c r="I39811" s="137" t="s">
        <v>74</v>
      </c>
    </row>
    <row r="39812" spans="9:9" x14ac:dyDescent="0.2">
      <c r="I39812" s="137" t="s">
        <v>74</v>
      </c>
    </row>
    <row r="39813" spans="9:9" x14ac:dyDescent="0.2">
      <c r="I39813" s="137" t="s">
        <v>74</v>
      </c>
    </row>
    <row r="39814" spans="9:9" x14ac:dyDescent="0.2">
      <c r="I39814" s="137" t="s">
        <v>74</v>
      </c>
    </row>
    <row r="39815" spans="9:9" x14ac:dyDescent="0.2">
      <c r="I39815" s="137" t="s">
        <v>74</v>
      </c>
    </row>
    <row r="39816" spans="9:9" x14ac:dyDescent="0.2">
      <c r="I39816" s="137" t="s">
        <v>74</v>
      </c>
    </row>
    <row r="39817" spans="9:9" x14ac:dyDescent="0.2">
      <c r="I39817" s="137" t="s">
        <v>74</v>
      </c>
    </row>
    <row r="39818" spans="9:9" x14ac:dyDescent="0.2">
      <c r="I39818" s="137" t="s">
        <v>74</v>
      </c>
    </row>
    <row r="39819" spans="9:9" x14ac:dyDescent="0.2">
      <c r="I39819" s="137" t="s">
        <v>74</v>
      </c>
    </row>
    <row r="39820" spans="9:9" x14ac:dyDescent="0.2">
      <c r="I39820" s="137" t="s">
        <v>74</v>
      </c>
    </row>
    <row r="39821" spans="9:9" x14ac:dyDescent="0.2">
      <c r="I39821" s="137" t="s">
        <v>74</v>
      </c>
    </row>
    <row r="39822" spans="9:9" x14ac:dyDescent="0.2">
      <c r="I39822" s="137" t="s">
        <v>74</v>
      </c>
    </row>
    <row r="39823" spans="9:9" x14ac:dyDescent="0.2">
      <c r="I39823" s="137" t="s">
        <v>74</v>
      </c>
    </row>
    <row r="39824" spans="9:9" x14ac:dyDescent="0.2">
      <c r="I39824" s="137" t="s">
        <v>74</v>
      </c>
    </row>
    <row r="39825" spans="9:9" x14ac:dyDescent="0.2">
      <c r="I39825" s="137" t="s">
        <v>74</v>
      </c>
    </row>
    <row r="39826" spans="9:9" x14ac:dyDescent="0.2">
      <c r="I39826" s="137" t="s">
        <v>74</v>
      </c>
    </row>
    <row r="39827" spans="9:9" x14ac:dyDescent="0.2">
      <c r="I39827" s="137" t="s">
        <v>74</v>
      </c>
    </row>
    <row r="39828" spans="9:9" x14ac:dyDescent="0.2">
      <c r="I39828" s="137" t="s">
        <v>74</v>
      </c>
    </row>
    <row r="39829" spans="9:9" x14ac:dyDescent="0.2">
      <c r="I39829" s="137" t="s">
        <v>74</v>
      </c>
    </row>
    <row r="39830" spans="9:9" x14ac:dyDescent="0.2">
      <c r="I39830" s="137" t="s">
        <v>74</v>
      </c>
    </row>
    <row r="39831" spans="9:9" x14ac:dyDescent="0.2">
      <c r="I39831" s="137" t="s">
        <v>74</v>
      </c>
    </row>
    <row r="39832" spans="9:9" x14ac:dyDescent="0.2">
      <c r="I39832" s="137" t="s">
        <v>74</v>
      </c>
    </row>
    <row r="39833" spans="9:9" x14ac:dyDescent="0.2">
      <c r="I39833" s="137" t="s">
        <v>74</v>
      </c>
    </row>
    <row r="39834" spans="9:9" x14ac:dyDescent="0.2">
      <c r="I39834" s="137" t="s">
        <v>74</v>
      </c>
    </row>
    <row r="39835" spans="9:9" x14ac:dyDescent="0.2">
      <c r="I39835" s="137" t="s">
        <v>74</v>
      </c>
    </row>
    <row r="39836" spans="9:9" x14ac:dyDescent="0.2">
      <c r="I39836" s="137" t="s">
        <v>74</v>
      </c>
    </row>
    <row r="39837" spans="9:9" x14ac:dyDescent="0.2">
      <c r="I39837" s="137" t="s">
        <v>74</v>
      </c>
    </row>
    <row r="39838" spans="9:9" x14ac:dyDescent="0.2">
      <c r="I39838" s="137" t="s">
        <v>74</v>
      </c>
    </row>
    <row r="39839" spans="9:9" x14ac:dyDescent="0.2">
      <c r="I39839" s="137" t="s">
        <v>74</v>
      </c>
    </row>
    <row r="39840" spans="9:9" x14ac:dyDescent="0.2">
      <c r="I39840" s="137" t="s">
        <v>74</v>
      </c>
    </row>
    <row r="39841" spans="9:9" x14ac:dyDescent="0.2">
      <c r="I39841" s="137" t="s">
        <v>74</v>
      </c>
    </row>
    <row r="39842" spans="9:9" x14ac:dyDescent="0.2">
      <c r="I39842" s="137" t="s">
        <v>74</v>
      </c>
    </row>
    <row r="39843" spans="9:9" x14ac:dyDescent="0.2">
      <c r="I39843" s="137" t="s">
        <v>74</v>
      </c>
    </row>
    <row r="39844" spans="9:9" x14ac:dyDescent="0.2">
      <c r="I39844" s="137" t="s">
        <v>74</v>
      </c>
    </row>
    <row r="39845" spans="9:9" x14ac:dyDescent="0.2">
      <c r="I39845" s="137" t="s">
        <v>74</v>
      </c>
    </row>
    <row r="39846" spans="9:9" x14ac:dyDescent="0.2">
      <c r="I39846" s="137" t="s">
        <v>74</v>
      </c>
    </row>
    <row r="39847" spans="9:9" x14ac:dyDescent="0.2">
      <c r="I39847" s="137" t="s">
        <v>74</v>
      </c>
    </row>
    <row r="39848" spans="9:9" x14ac:dyDescent="0.2">
      <c r="I39848" s="137" t="s">
        <v>74</v>
      </c>
    </row>
    <row r="39849" spans="9:9" x14ac:dyDescent="0.2">
      <c r="I39849" s="137" t="s">
        <v>74</v>
      </c>
    </row>
    <row r="39850" spans="9:9" x14ac:dyDescent="0.2">
      <c r="I39850" s="137" t="s">
        <v>74</v>
      </c>
    </row>
    <row r="39851" spans="9:9" x14ac:dyDescent="0.2">
      <c r="I39851" s="137" t="s">
        <v>74</v>
      </c>
    </row>
    <row r="39852" spans="9:9" x14ac:dyDescent="0.2">
      <c r="I39852" s="137" t="s">
        <v>74</v>
      </c>
    </row>
    <row r="39853" spans="9:9" x14ac:dyDescent="0.2">
      <c r="I39853" s="137" t="s">
        <v>74</v>
      </c>
    </row>
    <row r="39854" spans="9:9" x14ac:dyDescent="0.2">
      <c r="I39854" s="137" t="s">
        <v>74</v>
      </c>
    </row>
    <row r="39855" spans="9:9" x14ac:dyDescent="0.2">
      <c r="I39855" s="137" t="s">
        <v>74</v>
      </c>
    </row>
    <row r="39856" spans="9:9" x14ac:dyDescent="0.2">
      <c r="I39856" s="137" t="s">
        <v>74</v>
      </c>
    </row>
    <row r="39857" spans="9:9" x14ac:dyDescent="0.2">
      <c r="I39857" s="137" t="s">
        <v>74</v>
      </c>
    </row>
    <row r="39858" spans="9:9" x14ac:dyDescent="0.2">
      <c r="I39858" s="137" t="s">
        <v>74</v>
      </c>
    </row>
    <row r="39859" spans="9:9" x14ac:dyDescent="0.2">
      <c r="I39859" s="137" t="s">
        <v>74</v>
      </c>
    </row>
    <row r="39860" spans="9:9" x14ac:dyDescent="0.2">
      <c r="I39860" s="137" t="s">
        <v>74</v>
      </c>
    </row>
    <row r="39861" spans="9:9" x14ac:dyDescent="0.2">
      <c r="I39861" s="137" t="s">
        <v>74</v>
      </c>
    </row>
    <row r="39862" spans="9:9" x14ac:dyDescent="0.2">
      <c r="I39862" s="137" t="s">
        <v>74</v>
      </c>
    </row>
    <row r="39863" spans="9:9" x14ac:dyDescent="0.2">
      <c r="I39863" s="137" t="s">
        <v>74</v>
      </c>
    </row>
    <row r="39864" spans="9:9" x14ac:dyDescent="0.2">
      <c r="I39864" s="137" t="s">
        <v>74</v>
      </c>
    </row>
    <row r="39865" spans="9:9" x14ac:dyDescent="0.2">
      <c r="I39865" s="137" t="s">
        <v>74</v>
      </c>
    </row>
    <row r="39866" spans="9:9" x14ac:dyDescent="0.2">
      <c r="I39866" s="137" t="s">
        <v>74</v>
      </c>
    </row>
    <row r="39867" spans="9:9" x14ac:dyDescent="0.2">
      <c r="I39867" s="137" t="s">
        <v>74</v>
      </c>
    </row>
    <row r="39868" spans="9:9" x14ac:dyDescent="0.2">
      <c r="I39868" s="137" t="s">
        <v>74</v>
      </c>
    </row>
    <row r="39869" spans="9:9" x14ac:dyDescent="0.2">
      <c r="I39869" s="137" t="s">
        <v>74</v>
      </c>
    </row>
    <row r="39870" spans="9:9" x14ac:dyDescent="0.2">
      <c r="I39870" s="137" t="s">
        <v>74</v>
      </c>
    </row>
    <row r="39871" spans="9:9" x14ac:dyDescent="0.2">
      <c r="I39871" s="137" t="s">
        <v>74</v>
      </c>
    </row>
    <row r="39872" spans="9:9" x14ac:dyDescent="0.2">
      <c r="I39872" s="137" t="s">
        <v>74</v>
      </c>
    </row>
    <row r="39873" spans="9:9" x14ac:dyDescent="0.2">
      <c r="I39873" s="137" t="s">
        <v>74</v>
      </c>
    </row>
    <row r="39874" spans="9:9" x14ac:dyDescent="0.2">
      <c r="I39874" s="137" t="s">
        <v>74</v>
      </c>
    </row>
    <row r="39875" spans="9:9" x14ac:dyDescent="0.2">
      <c r="I39875" s="137" t="s">
        <v>74</v>
      </c>
    </row>
    <row r="39876" spans="9:9" x14ac:dyDescent="0.2">
      <c r="I39876" s="137" t="s">
        <v>74</v>
      </c>
    </row>
    <row r="39877" spans="9:9" x14ac:dyDescent="0.2">
      <c r="I39877" s="137" t="s">
        <v>74</v>
      </c>
    </row>
    <row r="39878" spans="9:9" x14ac:dyDescent="0.2">
      <c r="I39878" s="137" t="s">
        <v>74</v>
      </c>
    </row>
    <row r="39879" spans="9:9" x14ac:dyDescent="0.2">
      <c r="I39879" s="137" t="s">
        <v>74</v>
      </c>
    </row>
    <row r="39880" spans="9:9" x14ac:dyDescent="0.2">
      <c r="I39880" s="137" t="s">
        <v>74</v>
      </c>
    </row>
    <row r="39881" spans="9:9" x14ac:dyDescent="0.2">
      <c r="I39881" s="137" t="s">
        <v>74</v>
      </c>
    </row>
    <row r="39882" spans="9:9" x14ac:dyDescent="0.2">
      <c r="I39882" s="137" t="s">
        <v>74</v>
      </c>
    </row>
    <row r="39883" spans="9:9" x14ac:dyDescent="0.2">
      <c r="I39883" s="137" t="s">
        <v>74</v>
      </c>
    </row>
    <row r="39884" spans="9:9" x14ac:dyDescent="0.2">
      <c r="I39884" s="137" t="s">
        <v>74</v>
      </c>
    </row>
    <row r="39885" spans="9:9" x14ac:dyDescent="0.2">
      <c r="I39885" s="137" t="s">
        <v>74</v>
      </c>
    </row>
    <row r="39886" spans="9:9" x14ac:dyDescent="0.2">
      <c r="I39886" s="137" t="s">
        <v>74</v>
      </c>
    </row>
    <row r="39887" spans="9:9" x14ac:dyDescent="0.2">
      <c r="I39887" s="137" t="s">
        <v>74</v>
      </c>
    </row>
    <row r="39888" spans="9:9" x14ac:dyDescent="0.2">
      <c r="I39888" s="137" t="s">
        <v>74</v>
      </c>
    </row>
    <row r="39889" spans="9:9" x14ac:dyDescent="0.2">
      <c r="I39889" s="137" t="s">
        <v>74</v>
      </c>
    </row>
    <row r="39890" spans="9:9" x14ac:dyDescent="0.2">
      <c r="I39890" s="137" t="s">
        <v>74</v>
      </c>
    </row>
    <row r="39891" spans="9:9" x14ac:dyDescent="0.2">
      <c r="I39891" s="137" t="s">
        <v>74</v>
      </c>
    </row>
    <row r="39892" spans="9:9" x14ac:dyDescent="0.2">
      <c r="I39892" s="137" t="s">
        <v>74</v>
      </c>
    </row>
    <row r="39893" spans="9:9" x14ac:dyDescent="0.2">
      <c r="I39893" s="137" t="s">
        <v>74</v>
      </c>
    </row>
    <row r="39894" spans="9:9" x14ac:dyDescent="0.2">
      <c r="I39894" s="137" t="s">
        <v>74</v>
      </c>
    </row>
    <row r="39895" spans="9:9" x14ac:dyDescent="0.2">
      <c r="I39895" s="137" t="s">
        <v>74</v>
      </c>
    </row>
    <row r="39896" spans="9:9" x14ac:dyDescent="0.2">
      <c r="I39896" s="137" t="s">
        <v>74</v>
      </c>
    </row>
    <row r="39897" spans="9:9" x14ac:dyDescent="0.2">
      <c r="I39897" s="137" t="s">
        <v>74</v>
      </c>
    </row>
    <row r="39898" spans="9:9" x14ac:dyDescent="0.2">
      <c r="I39898" s="137" t="s">
        <v>74</v>
      </c>
    </row>
    <row r="39899" spans="9:9" x14ac:dyDescent="0.2">
      <c r="I39899" s="137" t="s">
        <v>74</v>
      </c>
    </row>
    <row r="39900" spans="9:9" x14ac:dyDescent="0.2">
      <c r="I39900" s="137" t="s">
        <v>74</v>
      </c>
    </row>
    <row r="39901" spans="9:9" x14ac:dyDescent="0.2">
      <c r="I39901" s="137" t="s">
        <v>74</v>
      </c>
    </row>
    <row r="39902" spans="9:9" x14ac:dyDescent="0.2">
      <c r="I39902" s="137" t="s">
        <v>74</v>
      </c>
    </row>
    <row r="39903" spans="9:9" x14ac:dyDescent="0.2">
      <c r="I39903" s="137" t="s">
        <v>74</v>
      </c>
    </row>
    <row r="39904" spans="9:9" x14ac:dyDescent="0.2">
      <c r="I39904" s="137" t="s">
        <v>74</v>
      </c>
    </row>
    <row r="39905" spans="9:9" x14ac:dyDescent="0.2">
      <c r="I39905" s="137" t="s">
        <v>74</v>
      </c>
    </row>
    <row r="39906" spans="9:9" x14ac:dyDescent="0.2">
      <c r="I39906" s="137" t="s">
        <v>74</v>
      </c>
    </row>
    <row r="39907" spans="9:9" x14ac:dyDescent="0.2">
      <c r="I39907" s="137" t="s">
        <v>74</v>
      </c>
    </row>
    <row r="39908" spans="9:9" x14ac:dyDescent="0.2">
      <c r="I39908" s="137" t="s">
        <v>74</v>
      </c>
    </row>
    <row r="39909" spans="9:9" x14ac:dyDescent="0.2">
      <c r="I39909" s="137" t="s">
        <v>74</v>
      </c>
    </row>
    <row r="39910" spans="9:9" x14ac:dyDescent="0.2">
      <c r="I39910" s="137" t="s">
        <v>74</v>
      </c>
    </row>
    <row r="39911" spans="9:9" x14ac:dyDescent="0.2">
      <c r="I39911" s="137" t="s">
        <v>74</v>
      </c>
    </row>
    <row r="39912" spans="9:9" x14ac:dyDescent="0.2">
      <c r="I39912" s="137" t="s">
        <v>74</v>
      </c>
    </row>
    <row r="39913" spans="9:9" x14ac:dyDescent="0.2">
      <c r="I39913" s="137" t="s">
        <v>74</v>
      </c>
    </row>
    <row r="39914" spans="9:9" x14ac:dyDescent="0.2">
      <c r="I39914" s="137" t="s">
        <v>74</v>
      </c>
    </row>
    <row r="39915" spans="9:9" x14ac:dyDescent="0.2">
      <c r="I39915" s="137" t="s">
        <v>74</v>
      </c>
    </row>
    <row r="39916" spans="9:9" x14ac:dyDescent="0.2">
      <c r="I39916" s="137" t="s">
        <v>74</v>
      </c>
    </row>
    <row r="39917" spans="9:9" x14ac:dyDescent="0.2">
      <c r="I39917" s="137" t="s">
        <v>74</v>
      </c>
    </row>
    <row r="39918" spans="9:9" x14ac:dyDescent="0.2">
      <c r="I39918" s="137" t="s">
        <v>74</v>
      </c>
    </row>
    <row r="39919" spans="9:9" x14ac:dyDescent="0.2">
      <c r="I39919" s="137" t="s">
        <v>74</v>
      </c>
    </row>
    <row r="39920" spans="9:9" x14ac:dyDescent="0.2">
      <c r="I39920" s="137" t="s">
        <v>74</v>
      </c>
    </row>
    <row r="39921" spans="9:9" x14ac:dyDescent="0.2">
      <c r="I39921" s="137" t="s">
        <v>74</v>
      </c>
    </row>
    <row r="39922" spans="9:9" x14ac:dyDescent="0.2">
      <c r="I39922" s="137" t="s">
        <v>74</v>
      </c>
    </row>
    <row r="39923" spans="9:9" x14ac:dyDescent="0.2">
      <c r="I39923" s="137" t="s">
        <v>74</v>
      </c>
    </row>
    <row r="39924" spans="9:9" x14ac:dyDescent="0.2">
      <c r="I39924" s="137" t="s">
        <v>74</v>
      </c>
    </row>
    <row r="39925" spans="9:9" x14ac:dyDescent="0.2">
      <c r="I39925" s="137" t="s">
        <v>74</v>
      </c>
    </row>
    <row r="39926" spans="9:9" x14ac:dyDescent="0.2">
      <c r="I39926" s="137" t="s">
        <v>74</v>
      </c>
    </row>
    <row r="39927" spans="9:9" x14ac:dyDescent="0.2">
      <c r="I39927" s="137" t="s">
        <v>74</v>
      </c>
    </row>
    <row r="39928" spans="9:9" x14ac:dyDescent="0.2">
      <c r="I39928" s="137" t="s">
        <v>74</v>
      </c>
    </row>
    <row r="39929" spans="9:9" x14ac:dyDescent="0.2">
      <c r="I39929" s="137" t="s">
        <v>74</v>
      </c>
    </row>
    <row r="39930" spans="9:9" x14ac:dyDescent="0.2">
      <c r="I39930" s="137" t="s">
        <v>74</v>
      </c>
    </row>
    <row r="39931" spans="9:9" x14ac:dyDescent="0.2">
      <c r="I39931" s="137" t="s">
        <v>74</v>
      </c>
    </row>
    <row r="39932" spans="9:9" x14ac:dyDescent="0.2">
      <c r="I39932" s="137" t="s">
        <v>74</v>
      </c>
    </row>
    <row r="39933" spans="9:9" x14ac:dyDescent="0.2">
      <c r="I39933" s="137" t="s">
        <v>74</v>
      </c>
    </row>
    <row r="39934" spans="9:9" x14ac:dyDescent="0.2">
      <c r="I39934" s="137" t="s">
        <v>74</v>
      </c>
    </row>
    <row r="39935" spans="9:9" x14ac:dyDescent="0.2">
      <c r="I39935" s="137" t="s">
        <v>74</v>
      </c>
    </row>
    <row r="39936" spans="9:9" x14ac:dyDescent="0.2">
      <c r="I39936" s="137" t="s">
        <v>74</v>
      </c>
    </row>
    <row r="39937" spans="9:9" x14ac:dyDescent="0.2">
      <c r="I39937" s="137" t="s">
        <v>74</v>
      </c>
    </row>
    <row r="39938" spans="9:9" x14ac:dyDescent="0.2">
      <c r="I39938" s="137" t="s">
        <v>74</v>
      </c>
    </row>
    <row r="39939" spans="9:9" x14ac:dyDescent="0.2">
      <c r="I39939" s="137" t="s">
        <v>74</v>
      </c>
    </row>
    <row r="39940" spans="9:9" x14ac:dyDescent="0.2">
      <c r="I39940" s="137" t="s">
        <v>74</v>
      </c>
    </row>
    <row r="39941" spans="9:9" x14ac:dyDescent="0.2">
      <c r="I39941" s="137" t="s">
        <v>74</v>
      </c>
    </row>
    <row r="39942" spans="9:9" x14ac:dyDescent="0.2">
      <c r="I39942" s="137" t="s">
        <v>74</v>
      </c>
    </row>
    <row r="39943" spans="9:9" x14ac:dyDescent="0.2">
      <c r="I39943" s="137" t="s">
        <v>74</v>
      </c>
    </row>
    <row r="39944" spans="9:9" x14ac:dyDescent="0.2">
      <c r="I39944" s="137" t="s">
        <v>74</v>
      </c>
    </row>
    <row r="39945" spans="9:9" x14ac:dyDescent="0.2">
      <c r="I39945" s="137" t="s">
        <v>74</v>
      </c>
    </row>
    <row r="39946" spans="9:9" x14ac:dyDescent="0.2">
      <c r="I39946" s="137" t="s">
        <v>74</v>
      </c>
    </row>
    <row r="39947" spans="9:9" x14ac:dyDescent="0.2">
      <c r="I39947" s="137" t="s">
        <v>74</v>
      </c>
    </row>
    <row r="39948" spans="9:9" x14ac:dyDescent="0.2">
      <c r="I39948" s="137" t="s">
        <v>74</v>
      </c>
    </row>
    <row r="39949" spans="9:9" x14ac:dyDescent="0.2">
      <c r="I39949" s="137" t="s">
        <v>74</v>
      </c>
    </row>
    <row r="39950" spans="9:9" x14ac:dyDescent="0.2">
      <c r="I39950" s="137" t="s">
        <v>74</v>
      </c>
    </row>
    <row r="39951" spans="9:9" x14ac:dyDescent="0.2">
      <c r="I39951" s="137" t="s">
        <v>74</v>
      </c>
    </row>
    <row r="39952" spans="9:9" x14ac:dyDescent="0.2">
      <c r="I39952" s="137" t="s">
        <v>74</v>
      </c>
    </row>
    <row r="39953" spans="9:9" x14ac:dyDescent="0.2">
      <c r="I39953" s="137" t="s">
        <v>74</v>
      </c>
    </row>
    <row r="39954" spans="9:9" x14ac:dyDescent="0.2">
      <c r="I39954" s="137" t="s">
        <v>74</v>
      </c>
    </row>
    <row r="39955" spans="9:9" x14ac:dyDescent="0.2">
      <c r="I39955" s="137" t="s">
        <v>74</v>
      </c>
    </row>
    <row r="39956" spans="9:9" x14ac:dyDescent="0.2">
      <c r="I39956" s="137" t="s">
        <v>74</v>
      </c>
    </row>
    <row r="39957" spans="9:9" x14ac:dyDescent="0.2">
      <c r="I39957" s="137" t="s">
        <v>74</v>
      </c>
    </row>
    <row r="39958" spans="9:9" x14ac:dyDescent="0.2">
      <c r="I39958" s="137" t="s">
        <v>74</v>
      </c>
    </row>
    <row r="39959" spans="9:9" x14ac:dyDescent="0.2">
      <c r="I39959" s="137" t="s">
        <v>74</v>
      </c>
    </row>
    <row r="39960" spans="9:9" x14ac:dyDescent="0.2">
      <c r="I39960" s="137" t="s">
        <v>74</v>
      </c>
    </row>
    <row r="39961" spans="9:9" x14ac:dyDescent="0.2">
      <c r="I39961" s="137" t="s">
        <v>74</v>
      </c>
    </row>
    <row r="39962" spans="9:9" x14ac:dyDescent="0.2">
      <c r="I39962" s="137" t="s">
        <v>74</v>
      </c>
    </row>
    <row r="39963" spans="9:9" x14ac:dyDescent="0.2">
      <c r="I39963" s="137" t="s">
        <v>74</v>
      </c>
    </row>
    <row r="39964" spans="9:9" x14ac:dyDescent="0.2">
      <c r="I39964" s="137" t="s">
        <v>74</v>
      </c>
    </row>
    <row r="39965" spans="9:9" x14ac:dyDescent="0.2">
      <c r="I39965" s="137" t="s">
        <v>74</v>
      </c>
    </row>
    <row r="39966" spans="9:9" x14ac:dyDescent="0.2">
      <c r="I39966" s="137" t="s">
        <v>74</v>
      </c>
    </row>
    <row r="39967" spans="9:9" x14ac:dyDescent="0.2">
      <c r="I39967" s="137" t="s">
        <v>74</v>
      </c>
    </row>
    <row r="39968" spans="9:9" x14ac:dyDescent="0.2">
      <c r="I39968" s="137" t="s">
        <v>74</v>
      </c>
    </row>
    <row r="39969" spans="9:9" x14ac:dyDescent="0.2">
      <c r="I39969" s="137" t="s">
        <v>74</v>
      </c>
    </row>
    <row r="39970" spans="9:9" x14ac:dyDescent="0.2">
      <c r="I39970" s="137" t="s">
        <v>74</v>
      </c>
    </row>
    <row r="39971" spans="9:9" x14ac:dyDescent="0.2">
      <c r="I39971" s="137" t="s">
        <v>74</v>
      </c>
    </row>
    <row r="39972" spans="9:9" x14ac:dyDescent="0.2">
      <c r="I39972" s="137" t="s">
        <v>74</v>
      </c>
    </row>
    <row r="39973" spans="9:9" x14ac:dyDescent="0.2">
      <c r="I39973" s="137" t="s">
        <v>74</v>
      </c>
    </row>
    <row r="39974" spans="9:9" x14ac:dyDescent="0.2">
      <c r="I39974" s="137" t="s">
        <v>74</v>
      </c>
    </row>
    <row r="39975" spans="9:9" x14ac:dyDescent="0.2">
      <c r="I39975" s="137" t="s">
        <v>74</v>
      </c>
    </row>
    <row r="39976" spans="9:9" x14ac:dyDescent="0.2">
      <c r="I39976" s="137" t="s">
        <v>74</v>
      </c>
    </row>
    <row r="39977" spans="9:9" x14ac:dyDescent="0.2">
      <c r="I39977" s="137" t="s">
        <v>74</v>
      </c>
    </row>
    <row r="39978" spans="9:9" x14ac:dyDescent="0.2">
      <c r="I39978" s="137" t="s">
        <v>74</v>
      </c>
    </row>
    <row r="39979" spans="9:9" x14ac:dyDescent="0.2">
      <c r="I39979" s="137" t="s">
        <v>74</v>
      </c>
    </row>
    <row r="39980" spans="9:9" x14ac:dyDescent="0.2">
      <c r="I39980" s="137" t="s">
        <v>74</v>
      </c>
    </row>
    <row r="39981" spans="9:9" x14ac:dyDescent="0.2">
      <c r="I39981" s="137" t="s">
        <v>74</v>
      </c>
    </row>
    <row r="39982" spans="9:9" x14ac:dyDescent="0.2">
      <c r="I39982" s="137" t="s">
        <v>74</v>
      </c>
    </row>
    <row r="39983" spans="9:9" x14ac:dyDescent="0.2">
      <c r="I39983" s="137" t="s">
        <v>74</v>
      </c>
    </row>
    <row r="39984" spans="9:9" x14ac:dyDescent="0.2">
      <c r="I39984" s="137" t="s">
        <v>74</v>
      </c>
    </row>
    <row r="39985" spans="9:9" x14ac:dyDescent="0.2">
      <c r="I39985" s="137" t="s">
        <v>74</v>
      </c>
    </row>
    <row r="39986" spans="9:9" x14ac:dyDescent="0.2">
      <c r="I39986" s="137" t="s">
        <v>74</v>
      </c>
    </row>
    <row r="39987" spans="9:9" x14ac:dyDescent="0.2">
      <c r="I39987" s="137" t="s">
        <v>74</v>
      </c>
    </row>
    <row r="39988" spans="9:9" x14ac:dyDescent="0.2">
      <c r="I39988" s="137" t="s">
        <v>74</v>
      </c>
    </row>
    <row r="39989" spans="9:9" x14ac:dyDescent="0.2">
      <c r="I39989" s="137" t="s">
        <v>74</v>
      </c>
    </row>
    <row r="39990" spans="9:9" x14ac:dyDescent="0.2">
      <c r="I39990" s="137" t="s">
        <v>74</v>
      </c>
    </row>
    <row r="39991" spans="9:9" x14ac:dyDescent="0.2">
      <c r="I39991" s="137" t="s">
        <v>74</v>
      </c>
    </row>
    <row r="39992" spans="9:9" x14ac:dyDescent="0.2">
      <c r="I39992" s="137" t="s">
        <v>74</v>
      </c>
    </row>
    <row r="39993" spans="9:9" x14ac:dyDescent="0.2">
      <c r="I39993" s="137" t="s">
        <v>74</v>
      </c>
    </row>
    <row r="39994" spans="9:9" x14ac:dyDescent="0.2">
      <c r="I39994" s="137" t="s">
        <v>74</v>
      </c>
    </row>
    <row r="39995" spans="9:9" x14ac:dyDescent="0.2">
      <c r="I39995" s="137" t="s">
        <v>74</v>
      </c>
    </row>
    <row r="39996" spans="9:9" x14ac:dyDescent="0.2">
      <c r="I39996" s="137" t="s">
        <v>74</v>
      </c>
    </row>
    <row r="39997" spans="9:9" x14ac:dyDescent="0.2">
      <c r="I39997" s="137" t="s">
        <v>74</v>
      </c>
    </row>
    <row r="39998" spans="9:9" x14ac:dyDescent="0.2">
      <c r="I39998" s="137" t="s">
        <v>74</v>
      </c>
    </row>
    <row r="39999" spans="9:9" x14ac:dyDescent="0.2">
      <c r="I39999" s="137" t="s">
        <v>74</v>
      </c>
    </row>
    <row r="40000" spans="9:9" x14ac:dyDescent="0.2">
      <c r="I40000" s="137" t="s">
        <v>74</v>
      </c>
    </row>
    <row r="40001" spans="9:9" x14ac:dyDescent="0.2">
      <c r="I40001" s="137" t="s">
        <v>74</v>
      </c>
    </row>
    <row r="40002" spans="9:9" x14ac:dyDescent="0.2">
      <c r="I40002" s="137" t="s">
        <v>74</v>
      </c>
    </row>
    <row r="40003" spans="9:9" x14ac:dyDescent="0.2">
      <c r="I40003" s="137" t="s">
        <v>74</v>
      </c>
    </row>
    <row r="40004" spans="9:9" x14ac:dyDescent="0.2">
      <c r="I40004" s="137" t="s">
        <v>74</v>
      </c>
    </row>
    <row r="40005" spans="9:9" x14ac:dyDescent="0.2">
      <c r="I40005" s="137" t="s">
        <v>74</v>
      </c>
    </row>
    <row r="40006" spans="9:9" x14ac:dyDescent="0.2">
      <c r="I40006" s="137" t="s">
        <v>74</v>
      </c>
    </row>
    <row r="40007" spans="9:9" x14ac:dyDescent="0.2">
      <c r="I40007" s="137" t="s">
        <v>74</v>
      </c>
    </row>
    <row r="40008" spans="9:9" x14ac:dyDescent="0.2">
      <c r="I40008" s="137" t="s">
        <v>74</v>
      </c>
    </row>
    <row r="40009" spans="9:9" x14ac:dyDescent="0.2">
      <c r="I40009" s="137" t="s">
        <v>74</v>
      </c>
    </row>
    <row r="40010" spans="9:9" x14ac:dyDescent="0.2">
      <c r="I40010" s="137" t="s">
        <v>74</v>
      </c>
    </row>
    <row r="40011" spans="9:9" x14ac:dyDescent="0.2">
      <c r="I40011" s="137" t="s">
        <v>74</v>
      </c>
    </row>
    <row r="40012" spans="9:9" x14ac:dyDescent="0.2">
      <c r="I40012" s="137" t="s">
        <v>74</v>
      </c>
    </row>
    <row r="40013" spans="9:9" x14ac:dyDescent="0.2">
      <c r="I40013" s="137" t="s">
        <v>74</v>
      </c>
    </row>
    <row r="40014" spans="9:9" x14ac:dyDescent="0.2">
      <c r="I40014" s="137" t="s">
        <v>74</v>
      </c>
    </row>
    <row r="40015" spans="9:9" x14ac:dyDescent="0.2">
      <c r="I40015" s="137" t="s">
        <v>74</v>
      </c>
    </row>
    <row r="40016" spans="9:9" x14ac:dyDescent="0.2">
      <c r="I40016" s="137" t="s">
        <v>74</v>
      </c>
    </row>
    <row r="40017" spans="9:9" x14ac:dyDescent="0.2">
      <c r="I40017" s="137" t="s">
        <v>74</v>
      </c>
    </row>
    <row r="40018" spans="9:9" x14ac:dyDescent="0.2">
      <c r="I40018" s="137" t="s">
        <v>74</v>
      </c>
    </row>
    <row r="40019" spans="9:9" x14ac:dyDescent="0.2">
      <c r="I40019" s="137" t="s">
        <v>74</v>
      </c>
    </row>
    <row r="40020" spans="9:9" x14ac:dyDescent="0.2">
      <c r="I40020" s="137" t="s">
        <v>74</v>
      </c>
    </row>
    <row r="40021" spans="9:9" x14ac:dyDescent="0.2">
      <c r="I40021" s="137" t="s">
        <v>74</v>
      </c>
    </row>
    <row r="40022" spans="9:9" x14ac:dyDescent="0.2">
      <c r="I40022" s="137" t="s">
        <v>74</v>
      </c>
    </row>
    <row r="40023" spans="9:9" x14ac:dyDescent="0.2">
      <c r="I40023" s="137" t="s">
        <v>74</v>
      </c>
    </row>
    <row r="40024" spans="9:9" x14ac:dyDescent="0.2">
      <c r="I40024" s="137" t="s">
        <v>74</v>
      </c>
    </row>
    <row r="40025" spans="9:9" x14ac:dyDescent="0.2">
      <c r="I40025" s="137" t="s">
        <v>74</v>
      </c>
    </row>
    <row r="40026" spans="9:9" x14ac:dyDescent="0.2">
      <c r="I40026" s="137" t="s">
        <v>74</v>
      </c>
    </row>
    <row r="40027" spans="9:9" x14ac:dyDescent="0.2">
      <c r="I40027" s="137" t="s">
        <v>74</v>
      </c>
    </row>
    <row r="40028" spans="9:9" x14ac:dyDescent="0.2">
      <c r="I40028" s="137" t="s">
        <v>74</v>
      </c>
    </row>
    <row r="40029" spans="9:9" x14ac:dyDescent="0.2">
      <c r="I40029" s="137" t="s">
        <v>74</v>
      </c>
    </row>
    <row r="40030" spans="9:9" x14ac:dyDescent="0.2">
      <c r="I40030" s="137" t="s">
        <v>74</v>
      </c>
    </row>
    <row r="40031" spans="9:9" x14ac:dyDescent="0.2">
      <c r="I40031" s="137" t="s">
        <v>74</v>
      </c>
    </row>
    <row r="40032" spans="9:9" x14ac:dyDescent="0.2">
      <c r="I40032" s="137" t="s">
        <v>74</v>
      </c>
    </row>
    <row r="40033" spans="9:9" x14ac:dyDescent="0.2">
      <c r="I40033" s="137" t="s">
        <v>74</v>
      </c>
    </row>
    <row r="40034" spans="9:9" x14ac:dyDescent="0.2">
      <c r="I40034" s="137" t="s">
        <v>74</v>
      </c>
    </row>
    <row r="40035" spans="9:9" x14ac:dyDescent="0.2">
      <c r="I40035" s="137" t="s">
        <v>74</v>
      </c>
    </row>
    <row r="40036" spans="9:9" x14ac:dyDescent="0.2">
      <c r="I40036" s="137" t="s">
        <v>74</v>
      </c>
    </row>
    <row r="40037" spans="9:9" x14ac:dyDescent="0.2">
      <c r="I40037" s="137" t="s">
        <v>74</v>
      </c>
    </row>
    <row r="40038" spans="9:9" x14ac:dyDescent="0.2">
      <c r="I40038" s="137" t="s">
        <v>74</v>
      </c>
    </row>
    <row r="40039" spans="9:9" x14ac:dyDescent="0.2">
      <c r="I40039" s="137" t="s">
        <v>74</v>
      </c>
    </row>
    <row r="40040" spans="9:9" x14ac:dyDescent="0.2">
      <c r="I40040" s="137" t="s">
        <v>74</v>
      </c>
    </row>
    <row r="40041" spans="9:9" x14ac:dyDescent="0.2">
      <c r="I40041" s="137" t="s">
        <v>74</v>
      </c>
    </row>
    <row r="40042" spans="9:9" x14ac:dyDescent="0.2">
      <c r="I40042" s="137" t="s">
        <v>74</v>
      </c>
    </row>
    <row r="40043" spans="9:9" x14ac:dyDescent="0.2">
      <c r="I40043" s="137" t="s">
        <v>74</v>
      </c>
    </row>
    <row r="40044" spans="9:9" x14ac:dyDescent="0.2">
      <c r="I40044" s="137" t="s">
        <v>74</v>
      </c>
    </row>
    <row r="40045" spans="9:9" x14ac:dyDescent="0.2">
      <c r="I40045" s="137" t="s">
        <v>74</v>
      </c>
    </row>
    <row r="40046" spans="9:9" x14ac:dyDescent="0.2">
      <c r="I40046" s="137" t="s">
        <v>74</v>
      </c>
    </row>
    <row r="40047" spans="9:9" x14ac:dyDescent="0.2">
      <c r="I40047" s="137" t="s">
        <v>74</v>
      </c>
    </row>
    <row r="40048" spans="9:9" x14ac:dyDescent="0.2">
      <c r="I40048" s="137" t="s">
        <v>74</v>
      </c>
    </row>
    <row r="40049" spans="9:9" x14ac:dyDescent="0.2">
      <c r="I40049" s="137" t="s">
        <v>74</v>
      </c>
    </row>
    <row r="40050" spans="9:9" x14ac:dyDescent="0.2">
      <c r="I40050" s="137" t="s">
        <v>74</v>
      </c>
    </row>
    <row r="40051" spans="9:9" x14ac:dyDescent="0.2">
      <c r="I40051" s="137" t="s">
        <v>74</v>
      </c>
    </row>
    <row r="40052" spans="9:9" x14ac:dyDescent="0.2">
      <c r="I40052" s="137" t="s">
        <v>74</v>
      </c>
    </row>
    <row r="40053" spans="9:9" x14ac:dyDescent="0.2">
      <c r="I40053" s="137" t="s">
        <v>74</v>
      </c>
    </row>
    <row r="40054" spans="9:9" x14ac:dyDescent="0.2">
      <c r="I40054" s="137" t="s">
        <v>74</v>
      </c>
    </row>
    <row r="40055" spans="9:9" x14ac:dyDescent="0.2">
      <c r="I40055" s="137" t="s">
        <v>74</v>
      </c>
    </row>
    <row r="40056" spans="9:9" x14ac:dyDescent="0.2">
      <c r="I40056" s="137" t="s">
        <v>74</v>
      </c>
    </row>
    <row r="40057" spans="9:9" x14ac:dyDescent="0.2">
      <c r="I40057" s="137" t="s">
        <v>74</v>
      </c>
    </row>
    <row r="40058" spans="9:9" x14ac:dyDescent="0.2">
      <c r="I40058" s="137" t="s">
        <v>74</v>
      </c>
    </row>
    <row r="40059" spans="9:9" x14ac:dyDescent="0.2">
      <c r="I40059" s="137" t="s">
        <v>74</v>
      </c>
    </row>
    <row r="40060" spans="9:9" x14ac:dyDescent="0.2">
      <c r="I40060" s="137" t="s">
        <v>74</v>
      </c>
    </row>
    <row r="40061" spans="9:9" x14ac:dyDescent="0.2">
      <c r="I40061" s="137" t="s">
        <v>74</v>
      </c>
    </row>
    <row r="40062" spans="9:9" x14ac:dyDescent="0.2">
      <c r="I40062" s="137" t="s">
        <v>74</v>
      </c>
    </row>
    <row r="40063" spans="9:9" x14ac:dyDescent="0.2">
      <c r="I40063" s="137" t="s">
        <v>74</v>
      </c>
    </row>
    <row r="40064" spans="9:9" x14ac:dyDescent="0.2">
      <c r="I40064" s="137" t="s">
        <v>74</v>
      </c>
    </row>
    <row r="40065" spans="9:9" x14ac:dyDescent="0.2">
      <c r="I40065" s="137" t="s">
        <v>74</v>
      </c>
    </row>
    <row r="40066" spans="9:9" x14ac:dyDescent="0.2">
      <c r="I40066" s="137" t="s">
        <v>74</v>
      </c>
    </row>
    <row r="40067" spans="9:9" x14ac:dyDescent="0.2">
      <c r="I40067" s="137" t="s">
        <v>74</v>
      </c>
    </row>
    <row r="40068" spans="9:9" x14ac:dyDescent="0.2">
      <c r="I40068" s="137" t="s">
        <v>74</v>
      </c>
    </row>
    <row r="40069" spans="9:9" x14ac:dyDescent="0.2">
      <c r="I40069" s="137" t="s">
        <v>74</v>
      </c>
    </row>
    <row r="40070" spans="9:9" x14ac:dyDescent="0.2">
      <c r="I40070" s="137" t="s">
        <v>74</v>
      </c>
    </row>
    <row r="40071" spans="9:9" x14ac:dyDescent="0.2">
      <c r="I40071" s="137" t="s">
        <v>74</v>
      </c>
    </row>
    <row r="40072" spans="9:9" x14ac:dyDescent="0.2">
      <c r="I40072" s="137" t="s">
        <v>74</v>
      </c>
    </row>
    <row r="40073" spans="9:9" x14ac:dyDescent="0.2">
      <c r="I40073" s="137" t="s">
        <v>74</v>
      </c>
    </row>
    <row r="40074" spans="9:9" x14ac:dyDescent="0.2">
      <c r="I40074" s="137" t="s">
        <v>74</v>
      </c>
    </row>
    <row r="40075" spans="9:9" x14ac:dyDescent="0.2">
      <c r="I40075" s="137" t="s">
        <v>74</v>
      </c>
    </row>
    <row r="40076" spans="9:9" x14ac:dyDescent="0.2">
      <c r="I40076" s="137" t="s">
        <v>74</v>
      </c>
    </row>
    <row r="40077" spans="9:9" x14ac:dyDescent="0.2">
      <c r="I40077" s="137" t="s">
        <v>74</v>
      </c>
    </row>
    <row r="40078" spans="9:9" x14ac:dyDescent="0.2">
      <c r="I40078" s="137" t="s">
        <v>74</v>
      </c>
    </row>
    <row r="40079" spans="9:9" x14ac:dyDescent="0.2">
      <c r="I40079" s="137" t="s">
        <v>74</v>
      </c>
    </row>
    <row r="40080" spans="9:9" x14ac:dyDescent="0.2">
      <c r="I40080" s="137" t="s">
        <v>74</v>
      </c>
    </row>
    <row r="40081" spans="9:9" x14ac:dyDescent="0.2">
      <c r="I40081" s="137" t="s">
        <v>74</v>
      </c>
    </row>
    <row r="40082" spans="9:9" x14ac:dyDescent="0.2">
      <c r="I40082" s="137" t="s">
        <v>74</v>
      </c>
    </row>
    <row r="40083" spans="9:9" x14ac:dyDescent="0.2">
      <c r="I40083" s="137" t="s">
        <v>74</v>
      </c>
    </row>
    <row r="40084" spans="9:9" x14ac:dyDescent="0.2">
      <c r="I40084" s="137" t="s">
        <v>74</v>
      </c>
    </row>
    <row r="40085" spans="9:9" x14ac:dyDescent="0.2">
      <c r="I40085" s="137" t="s">
        <v>74</v>
      </c>
    </row>
    <row r="40086" spans="9:9" x14ac:dyDescent="0.2">
      <c r="I40086" s="137" t="s">
        <v>74</v>
      </c>
    </row>
    <row r="40087" spans="9:9" x14ac:dyDescent="0.2">
      <c r="I40087" s="137" t="s">
        <v>74</v>
      </c>
    </row>
    <row r="40088" spans="9:9" x14ac:dyDescent="0.2">
      <c r="I40088" s="137" t="s">
        <v>74</v>
      </c>
    </row>
    <row r="40089" spans="9:9" x14ac:dyDescent="0.2">
      <c r="I40089" s="137" t="s">
        <v>74</v>
      </c>
    </row>
    <row r="40090" spans="9:9" x14ac:dyDescent="0.2">
      <c r="I40090" s="137" t="s">
        <v>74</v>
      </c>
    </row>
    <row r="40091" spans="9:9" x14ac:dyDescent="0.2">
      <c r="I40091" s="137" t="s">
        <v>74</v>
      </c>
    </row>
    <row r="40092" spans="9:9" x14ac:dyDescent="0.2">
      <c r="I40092" s="137" t="s">
        <v>74</v>
      </c>
    </row>
    <row r="40093" spans="9:9" x14ac:dyDescent="0.2">
      <c r="I40093" s="137" t="s">
        <v>74</v>
      </c>
    </row>
    <row r="40094" spans="9:9" x14ac:dyDescent="0.2">
      <c r="I40094" s="137" t="s">
        <v>74</v>
      </c>
    </row>
    <row r="40095" spans="9:9" x14ac:dyDescent="0.2">
      <c r="I40095" s="137" t="s">
        <v>74</v>
      </c>
    </row>
    <row r="40096" spans="9:9" x14ac:dyDescent="0.2">
      <c r="I40096" s="137" t="s">
        <v>74</v>
      </c>
    </row>
    <row r="40097" spans="9:9" x14ac:dyDescent="0.2">
      <c r="I40097" s="137" t="s">
        <v>74</v>
      </c>
    </row>
    <row r="40098" spans="9:9" x14ac:dyDescent="0.2">
      <c r="I40098" s="137" t="s">
        <v>74</v>
      </c>
    </row>
    <row r="40099" spans="9:9" x14ac:dyDescent="0.2">
      <c r="I40099" s="137" t="s">
        <v>74</v>
      </c>
    </row>
    <row r="40100" spans="9:9" x14ac:dyDescent="0.2">
      <c r="I40100" s="137" t="s">
        <v>74</v>
      </c>
    </row>
    <row r="40101" spans="9:9" x14ac:dyDescent="0.2">
      <c r="I40101" s="137" t="s">
        <v>74</v>
      </c>
    </row>
    <row r="40102" spans="9:9" x14ac:dyDescent="0.2">
      <c r="I40102" s="137" t="s">
        <v>74</v>
      </c>
    </row>
    <row r="40103" spans="9:9" x14ac:dyDescent="0.2">
      <c r="I40103" s="137" t="s">
        <v>74</v>
      </c>
    </row>
    <row r="40104" spans="9:9" x14ac:dyDescent="0.2">
      <c r="I40104" s="137" t="s">
        <v>74</v>
      </c>
    </row>
    <row r="40105" spans="9:9" x14ac:dyDescent="0.2">
      <c r="I40105" s="137" t="s">
        <v>74</v>
      </c>
    </row>
    <row r="40106" spans="9:9" x14ac:dyDescent="0.2">
      <c r="I40106" s="137" t="s">
        <v>74</v>
      </c>
    </row>
    <row r="40107" spans="9:9" x14ac:dyDescent="0.2">
      <c r="I40107" s="137" t="s">
        <v>74</v>
      </c>
    </row>
    <row r="40108" spans="9:9" x14ac:dyDescent="0.2">
      <c r="I40108" s="137" t="s">
        <v>74</v>
      </c>
    </row>
    <row r="40109" spans="9:9" x14ac:dyDescent="0.2">
      <c r="I40109" s="137" t="s">
        <v>74</v>
      </c>
    </row>
    <row r="40110" spans="9:9" x14ac:dyDescent="0.2">
      <c r="I40110" s="137" t="s">
        <v>74</v>
      </c>
    </row>
    <row r="40111" spans="9:9" x14ac:dyDescent="0.2">
      <c r="I40111" s="137" t="s">
        <v>74</v>
      </c>
    </row>
    <row r="40112" spans="9:9" x14ac:dyDescent="0.2">
      <c r="I40112" s="137" t="s">
        <v>74</v>
      </c>
    </row>
    <row r="40113" spans="9:9" x14ac:dyDescent="0.2">
      <c r="I40113" s="137" t="s">
        <v>74</v>
      </c>
    </row>
    <row r="40114" spans="9:9" x14ac:dyDescent="0.2">
      <c r="I40114" s="137" t="s">
        <v>74</v>
      </c>
    </row>
    <row r="40115" spans="9:9" x14ac:dyDescent="0.2">
      <c r="I40115" s="137" t="s">
        <v>74</v>
      </c>
    </row>
    <row r="40116" spans="9:9" x14ac:dyDescent="0.2">
      <c r="I40116" s="137" t="s">
        <v>74</v>
      </c>
    </row>
    <row r="40117" spans="9:9" x14ac:dyDescent="0.2">
      <c r="I40117" s="137" t="s">
        <v>74</v>
      </c>
    </row>
    <row r="40118" spans="9:9" x14ac:dyDescent="0.2">
      <c r="I40118" s="137" t="s">
        <v>74</v>
      </c>
    </row>
    <row r="40119" spans="9:9" x14ac:dyDescent="0.2">
      <c r="I40119" s="137" t="s">
        <v>74</v>
      </c>
    </row>
    <row r="40120" spans="9:9" x14ac:dyDescent="0.2">
      <c r="I40120" s="137" t="s">
        <v>74</v>
      </c>
    </row>
    <row r="40121" spans="9:9" x14ac:dyDescent="0.2">
      <c r="I40121" s="137" t="s">
        <v>74</v>
      </c>
    </row>
    <row r="40122" spans="9:9" x14ac:dyDescent="0.2">
      <c r="I40122" s="137" t="s">
        <v>74</v>
      </c>
    </row>
    <row r="40123" spans="9:9" x14ac:dyDescent="0.2">
      <c r="I40123" s="137" t="s">
        <v>74</v>
      </c>
    </row>
    <row r="40124" spans="9:9" x14ac:dyDescent="0.2">
      <c r="I40124" s="137" t="s">
        <v>74</v>
      </c>
    </row>
    <row r="40125" spans="9:9" x14ac:dyDescent="0.2">
      <c r="I40125" s="137" t="s">
        <v>74</v>
      </c>
    </row>
    <row r="40126" spans="9:9" x14ac:dyDescent="0.2">
      <c r="I40126" s="137" t="s">
        <v>74</v>
      </c>
    </row>
    <row r="40127" spans="9:9" x14ac:dyDescent="0.2">
      <c r="I40127" s="137" t="s">
        <v>74</v>
      </c>
    </row>
    <row r="40128" spans="9:9" x14ac:dyDescent="0.2">
      <c r="I40128" s="137" t="s">
        <v>74</v>
      </c>
    </row>
    <row r="40129" spans="9:9" x14ac:dyDescent="0.2">
      <c r="I40129" s="137" t="s">
        <v>74</v>
      </c>
    </row>
    <row r="40130" spans="9:9" x14ac:dyDescent="0.2">
      <c r="I40130" s="137" t="s">
        <v>74</v>
      </c>
    </row>
    <row r="40131" spans="9:9" x14ac:dyDescent="0.2">
      <c r="I40131" s="137" t="s">
        <v>74</v>
      </c>
    </row>
    <row r="40132" spans="9:9" x14ac:dyDescent="0.2">
      <c r="I40132" s="137" t="s">
        <v>74</v>
      </c>
    </row>
    <row r="40133" spans="9:9" x14ac:dyDescent="0.2">
      <c r="I40133" s="137" t="s">
        <v>74</v>
      </c>
    </row>
    <row r="40134" spans="9:9" x14ac:dyDescent="0.2">
      <c r="I40134" s="137" t="s">
        <v>74</v>
      </c>
    </row>
    <row r="40135" spans="9:9" x14ac:dyDescent="0.2">
      <c r="I40135" s="137" t="s">
        <v>74</v>
      </c>
    </row>
    <row r="40136" spans="9:9" x14ac:dyDescent="0.2">
      <c r="I40136" s="137" t="s">
        <v>74</v>
      </c>
    </row>
    <row r="40137" spans="9:9" x14ac:dyDescent="0.2">
      <c r="I40137" s="137" t="s">
        <v>74</v>
      </c>
    </row>
    <row r="40138" spans="9:9" x14ac:dyDescent="0.2">
      <c r="I40138" s="137" t="s">
        <v>74</v>
      </c>
    </row>
    <row r="40139" spans="9:9" x14ac:dyDescent="0.2">
      <c r="I40139" s="137" t="s">
        <v>74</v>
      </c>
    </row>
    <row r="40140" spans="9:9" x14ac:dyDescent="0.2">
      <c r="I40140" s="137" t="s">
        <v>74</v>
      </c>
    </row>
    <row r="40141" spans="9:9" x14ac:dyDescent="0.2">
      <c r="I40141" s="137" t="s">
        <v>74</v>
      </c>
    </row>
    <row r="40142" spans="9:9" x14ac:dyDescent="0.2">
      <c r="I40142" s="137" t="s">
        <v>74</v>
      </c>
    </row>
    <row r="40143" spans="9:9" x14ac:dyDescent="0.2">
      <c r="I40143" s="137" t="s">
        <v>74</v>
      </c>
    </row>
    <row r="40144" spans="9:9" x14ac:dyDescent="0.2">
      <c r="I40144" s="137" t="s">
        <v>74</v>
      </c>
    </row>
    <row r="40145" spans="9:9" x14ac:dyDescent="0.2">
      <c r="I40145" s="137" t="s">
        <v>74</v>
      </c>
    </row>
    <row r="40146" spans="9:9" x14ac:dyDescent="0.2">
      <c r="I40146" s="137" t="s">
        <v>74</v>
      </c>
    </row>
    <row r="40147" spans="9:9" x14ac:dyDescent="0.2">
      <c r="I40147" s="137" t="s">
        <v>74</v>
      </c>
    </row>
    <row r="40148" spans="9:9" x14ac:dyDescent="0.2">
      <c r="I40148" s="137" t="s">
        <v>74</v>
      </c>
    </row>
    <row r="40149" spans="9:9" x14ac:dyDescent="0.2">
      <c r="I40149" s="137" t="s">
        <v>74</v>
      </c>
    </row>
    <row r="40150" spans="9:9" x14ac:dyDescent="0.2">
      <c r="I40150" s="137" t="s">
        <v>74</v>
      </c>
    </row>
    <row r="40151" spans="9:9" x14ac:dyDescent="0.2">
      <c r="I40151" s="137" t="s">
        <v>74</v>
      </c>
    </row>
    <row r="40152" spans="9:9" x14ac:dyDescent="0.2">
      <c r="I40152" s="137" t="s">
        <v>74</v>
      </c>
    </row>
    <row r="40153" spans="9:9" x14ac:dyDescent="0.2">
      <c r="I40153" s="137" t="s">
        <v>74</v>
      </c>
    </row>
    <row r="40154" spans="9:9" x14ac:dyDescent="0.2">
      <c r="I40154" s="137" t="s">
        <v>74</v>
      </c>
    </row>
    <row r="40155" spans="9:9" x14ac:dyDescent="0.2">
      <c r="I40155" s="137" t="s">
        <v>74</v>
      </c>
    </row>
    <row r="40156" spans="9:9" x14ac:dyDescent="0.2">
      <c r="I40156" s="137" t="s">
        <v>74</v>
      </c>
    </row>
    <row r="40157" spans="9:9" x14ac:dyDescent="0.2">
      <c r="I40157" s="137" t="s">
        <v>74</v>
      </c>
    </row>
    <row r="40158" spans="9:9" x14ac:dyDescent="0.2">
      <c r="I40158" s="137" t="s">
        <v>74</v>
      </c>
    </row>
    <row r="40159" spans="9:9" x14ac:dyDescent="0.2">
      <c r="I40159" s="137" t="s">
        <v>74</v>
      </c>
    </row>
    <row r="40160" spans="9:9" x14ac:dyDescent="0.2">
      <c r="I40160" s="137" t="s">
        <v>74</v>
      </c>
    </row>
    <row r="40161" spans="9:9" x14ac:dyDescent="0.2">
      <c r="I40161" s="137" t="s">
        <v>74</v>
      </c>
    </row>
    <row r="40162" spans="9:9" x14ac:dyDescent="0.2">
      <c r="I40162" s="137" t="s">
        <v>74</v>
      </c>
    </row>
    <row r="40163" spans="9:9" x14ac:dyDescent="0.2">
      <c r="I40163" s="137" t="s">
        <v>74</v>
      </c>
    </row>
    <row r="40164" spans="9:9" x14ac:dyDescent="0.2">
      <c r="I40164" s="137" t="s">
        <v>74</v>
      </c>
    </row>
    <row r="40165" spans="9:9" x14ac:dyDescent="0.2">
      <c r="I40165" s="137" t="s">
        <v>74</v>
      </c>
    </row>
    <row r="40166" spans="9:9" x14ac:dyDescent="0.2">
      <c r="I40166" s="137" t="s">
        <v>74</v>
      </c>
    </row>
    <row r="40167" spans="9:9" x14ac:dyDescent="0.2">
      <c r="I40167" s="137" t="s">
        <v>74</v>
      </c>
    </row>
    <row r="40168" spans="9:9" x14ac:dyDescent="0.2">
      <c r="I40168" s="137" t="s">
        <v>74</v>
      </c>
    </row>
    <row r="40169" spans="9:9" x14ac:dyDescent="0.2">
      <c r="I40169" s="137" t="s">
        <v>74</v>
      </c>
    </row>
    <row r="40170" spans="9:9" x14ac:dyDescent="0.2">
      <c r="I40170" s="137" t="s">
        <v>74</v>
      </c>
    </row>
    <row r="40171" spans="9:9" x14ac:dyDescent="0.2">
      <c r="I40171" s="137" t="s">
        <v>74</v>
      </c>
    </row>
    <row r="40172" spans="9:9" x14ac:dyDescent="0.2">
      <c r="I40172" s="137" t="s">
        <v>74</v>
      </c>
    </row>
    <row r="40173" spans="9:9" x14ac:dyDescent="0.2">
      <c r="I40173" s="137" t="s">
        <v>74</v>
      </c>
    </row>
    <row r="40174" spans="9:9" x14ac:dyDescent="0.2">
      <c r="I40174" s="137" t="s">
        <v>74</v>
      </c>
    </row>
    <row r="40175" spans="9:9" x14ac:dyDescent="0.2">
      <c r="I40175" s="137" t="s">
        <v>74</v>
      </c>
    </row>
    <row r="40176" spans="9:9" x14ac:dyDescent="0.2">
      <c r="I40176" s="137" t="s">
        <v>74</v>
      </c>
    </row>
    <row r="40177" spans="9:9" x14ac:dyDescent="0.2">
      <c r="I40177" s="137" t="s">
        <v>74</v>
      </c>
    </row>
    <row r="40178" spans="9:9" x14ac:dyDescent="0.2">
      <c r="I40178" s="137" t="s">
        <v>74</v>
      </c>
    </row>
    <row r="40179" spans="9:9" x14ac:dyDescent="0.2">
      <c r="I40179" s="137" t="s">
        <v>74</v>
      </c>
    </row>
    <row r="40180" spans="9:9" x14ac:dyDescent="0.2">
      <c r="I40180" s="137" t="s">
        <v>74</v>
      </c>
    </row>
    <row r="40181" spans="9:9" x14ac:dyDescent="0.2">
      <c r="I40181" s="137" t="s">
        <v>74</v>
      </c>
    </row>
    <row r="40182" spans="9:9" x14ac:dyDescent="0.2">
      <c r="I40182" s="137" t="s">
        <v>74</v>
      </c>
    </row>
    <row r="40183" spans="9:9" x14ac:dyDescent="0.2">
      <c r="I40183" s="137" t="s">
        <v>74</v>
      </c>
    </row>
    <row r="40184" spans="9:9" x14ac:dyDescent="0.2">
      <c r="I40184" s="137" t="s">
        <v>74</v>
      </c>
    </row>
    <row r="40185" spans="9:9" x14ac:dyDescent="0.2">
      <c r="I40185" s="137" t="s">
        <v>74</v>
      </c>
    </row>
    <row r="40186" spans="9:9" x14ac:dyDescent="0.2">
      <c r="I40186" s="137" t="s">
        <v>74</v>
      </c>
    </row>
    <row r="40187" spans="9:9" x14ac:dyDescent="0.2">
      <c r="I40187" s="137" t="s">
        <v>74</v>
      </c>
    </row>
    <row r="40188" spans="9:9" x14ac:dyDescent="0.2">
      <c r="I40188" s="137" t="s">
        <v>74</v>
      </c>
    </row>
    <row r="40189" spans="9:9" x14ac:dyDescent="0.2">
      <c r="I40189" s="137" t="s">
        <v>74</v>
      </c>
    </row>
    <row r="40190" spans="9:9" x14ac:dyDescent="0.2">
      <c r="I40190" s="137" t="s">
        <v>74</v>
      </c>
    </row>
    <row r="40191" spans="9:9" x14ac:dyDescent="0.2">
      <c r="I40191" s="137" t="s">
        <v>74</v>
      </c>
    </row>
    <row r="40192" spans="9:9" x14ac:dyDescent="0.2">
      <c r="I40192" s="137" t="s">
        <v>74</v>
      </c>
    </row>
    <row r="40193" spans="9:9" x14ac:dyDescent="0.2">
      <c r="I40193" s="137" t="s">
        <v>74</v>
      </c>
    </row>
    <row r="40194" spans="9:9" x14ac:dyDescent="0.2">
      <c r="I40194" s="137" t="s">
        <v>74</v>
      </c>
    </row>
    <row r="40195" spans="9:9" x14ac:dyDescent="0.2">
      <c r="I40195" s="137" t="s">
        <v>74</v>
      </c>
    </row>
    <row r="40196" spans="9:9" x14ac:dyDescent="0.2">
      <c r="I40196" s="137" t="s">
        <v>74</v>
      </c>
    </row>
    <row r="40197" spans="9:9" x14ac:dyDescent="0.2">
      <c r="I40197" s="137" t="s">
        <v>74</v>
      </c>
    </row>
    <row r="40198" spans="9:9" x14ac:dyDescent="0.2">
      <c r="I40198" s="137" t="s">
        <v>74</v>
      </c>
    </row>
    <row r="40199" spans="9:9" x14ac:dyDescent="0.2">
      <c r="I40199" s="137" t="s">
        <v>74</v>
      </c>
    </row>
    <row r="40200" spans="9:9" x14ac:dyDescent="0.2">
      <c r="I40200" s="137" t="s">
        <v>74</v>
      </c>
    </row>
    <row r="40201" spans="9:9" x14ac:dyDescent="0.2">
      <c r="I40201" s="137" t="s">
        <v>74</v>
      </c>
    </row>
    <row r="40202" spans="9:9" x14ac:dyDescent="0.2">
      <c r="I40202" s="137" t="s">
        <v>74</v>
      </c>
    </row>
    <row r="40203" spans="9:9" x14ac:dyDescent="0.2">
      <c r="I40203" s="137" t="s">
        <v>74</v>
      </c>
    </row>
    <row r="40204" spans="9:9" x14ac:dyDescent="0.2">
      <c r="I40204" s="137" t="s">
        <v>74</v>
      </c>
    </row>
    <row r="40205" spans="9:9" x14ac:dyDescent="0.2">
      <c r="I40205" s="137" t="s">
        <v>74</v>
      </c>
    </row>
    <row r="40206" spans="9:9" x14ac:dyDescent="0.2">
      <c r="I40206" s="137" t="s">
        <v>74</v>
      </c>
    </row>
    <row r="40207" spans="9:9" x14ac:dyDescent="0.2">
      <c r="I40207" s="137" t="s">
        <v>74</v>
      </c>
    </row>
    <row r="40208" spans="9:9" x14ac:dyDescent="0.2">
      <c r="I40208" s="137" t="s">
        <v>74</v>
      </c>
    </row>
    <row r="40209" spans="9:9" x14ac:dyDescent="0.2">
      <c r="I40209" s="137" t="s">
        <v>74</v>
      </c>
    </row>
    <row r="40210" spans="9:9" x14ac:dyDescent="0.2">
      <c r="I40210" s="137" t="s">
        <v>74</v>
      </c>
    </row>
    <row r="40211" spans="9:9" x14ac:dyDescent="0.2">
      <c r="I40211" s="137" t="s">
        <v>74</v>
      </c>
    </row>
    <row r="40212" spans="9:9" x14ac:dyDescent="0.2">
      <c r="I40212" s="137" t="s">
        <v>74</v>
      </c>
    </row>
    <row r="40213" spans="9:9" x14ac:dyDescent="0.2">
      <c r="I40213" s="137" t="s">
        <v>74</v>
      </c>
    </row>
    <row r="40214" spans="9:9" x14ac:dyDescent="0.2">
      <c r="I40214" s="137" t="s">
        <v>74</v>
      </c>
    </row>
    <row r="40215" spans="9:9" x14ac:dyDescent="0.2">
      <c r="I40215" s="137" t="s">
        <v>74</v>
      </c>
    </row>
    <row r="40216" spans="9:9" x14ac:dyDescent="0.2">
      <c r="I40216" s="137" t="s">
        <v>74</v>
      </c>
    </row>
    <row r="40217" spans="9:9" x14ac:dyDescent="0.2">
      <c r="I40217" s="137" t="s">
        <v>74</v>
      </c>
    </row>
    <row r="40218" spans="9:9" x14ac:dyDescent="0.2">
      <c r="I40218" s="137" t="s">
        <v>74</v>
      </c>
    </row>
    <row r="40219" spans="9:9" x14ac:dyDescent="0.2">
      <c r="I40219" s="137" t="s">
        <v>74</v>
      </c>
    </row>
    <row r="40220" spans="9:9" x14ac:dyDescent="0.2">
      <c r="I40220" s="137" t="s">
        <v>74</v>
      </c>
    </row>
    <row r="40221" spans="9:9" x14ac:dyDescent="0.2">
      <c r="I40221" s="137" t="s">
        <v>74</v>
      </c>
    </row>
    <row r="40222" spans="9:9" x14ac:dyDescent="0.2">
      <c r="I40222" s="137" t="s">
        <v>74</v>
      </c>
    </row>
    <row r="40223" spans="9:9" x14ac:dyDescent="0.2">
      <c r="I40223" s="137" t="s">
        <v>74</v>
      </c>
    </row>
    <row r="40224" spans="9:9" x14ac:dyDescent="0.2">
      <c r="I40224" s="137" t="s">
        <v>74</v>
      </c>
    </row>
    <row r="40225" spans="9:9" x14ac:dyDescent="0.2">
      <c r="I40225" s="137" t="s">
        <v>74</v>
      </c>
    </row>
    <row r="40226" spans="9:9" x14ac:dyDescent="0.2">
      <c r="I40226" s="137" t="s">
        <v>74</v>
      </c>
    </row>
    <row r="40227" spans="9:9" x14ac:dyDescent="0.2">
      <c r="I40227" s="137" t="s">
        <v>74</v>
      </c>
    </row>
    <row r="40228" spans="9:9" x14ac:dyDescent="0.2">
      <c r="I40228" s="137" t="s">
        <v>74</v>
      </c>
    </row>
    <row r="40229" spans="9:9" x14ac:dyDescent="0.2">
      <c r="I40229" s="137" t="s">
        <v>74</v>
      </c>
    </row>
    <row r="40230" spans="9:9" x14ac:dyDescent="0.2">
      <c r="I40230" s="137" t="s">
        <v>74</v>
      </c>
    </row>
    <row r="40231" spans="9:9" x14ac:dyDescent="0.2">
      <c r="I40231" s="137" t="s">
        <v>74</v>
      </c>
    </row>
    <row r="40232" spans="9:9" x14ac:dyDescent="0.2">
      <c r="I40232" s="137" t="s">
        <v>74</v>
      </c>
    </row>
    <row r="40233" spans="9:9" x14ac:dyDescent="0.2">
      <c r="I40233" s="137" t="s">
        <v>74</v>
      </c>
    </row>
    <row r="40234" spans="9:9" x14ac:dyDescent="0.2">
      <c r="I40234" s="137" t="s">
        <v>74</v>
      </c>
    </row>
    <row r="40235" spans="9:9" x14ac:dyDescent="0.2">
      <c r="I40235" s="137" t="s">
        <v>74</v>
      </c>
    </row>
    <row r="40236" spans="9:9" x14ac:dyDescent="0.2">
      <c r="I40236" s="137" t="s">
        <v>74</v>
      </c>
    </row>
    <row r="40237" spans="9:9" x14ac:dyDescent="0.2">
      <c r="I40237" s="137" t="s">
        <v>74</v>
      </c>
    </row>
    <row r="40238" spans="9:9" x14ac:dyDescent="0.2">
      <c r="I40238" s="137" t="s">
        <v>74</v>
      </c>
    </row>
    <row r="40239" spans="9:9" x14ac:dyDescent="0.2">
      <c r="I40239" s="137" t="s">
        <v>74</v>
      </c>
    </row>
    <row r="40240" spans="9:9" x14ac:dyDescent="0.2">
      <c r="I40240" s="137" t="s">
        <v>74</v>
      </c>
    </row>
    <row r="40241" spans="9:9" x14ac:dyDescent="0.2">
      <c r="I40241" s="137" t="s">
        <v>74</v>
      </c>
    </row>
    <row r="40242" spans="9:9" x14ac:dyDescent="0.2">
      <c r="I40242" s="137" t="s">
        <v>74</v>
      </c>
    </row>
    <row r="40243" spans="9:9" x14ac:dyDescent="0.2">
      <c r="I40243" s="137" t="s">
        <v>74</v>
      </c>
    </row>
    <row r="40244" spans="9:9" x14ac:dyDescent="0.2">
      <c r="I40244" s="137" t="s">
        <v>74</v>
      </c>
    </row>
    <row r="40245" spans="9:9" x14ac:dyDescent="0.2">
      <c r="I40245" s="137" t="s">
        <v>74</v>
      </c>
    </row>
    <row r="40246" spans="9:9" x14ac:dyDescent="0.2">
      <c r="I40246" s="137" t="s">
        <v>74</v>
      </c>
    </row>
    <row r="40247" spans="9:9" x14ac:dyDescent="0.2">
      <c r="I40247" s="137" t="s">
        <v>74</v>
      </c>
    </row>
    <row r="40248" spans="9:9" x14ac:dyDescent="0.2">
      <c r="I40248" s="137" t="s">
        <v>74</v>
      </c>
    </row>
    <row r="40249" spans="9:9" x14ac:dyDescent="0.2">
      <c r="I40249" s="137" t="s">
        <v>74</v>
      </c>
    </row>
    <row r="40250" spans="9:9" x14ac:dyDescent="0.2">
      <c r="I40250" s="137" t="s">
        <v>74</v>
      </c>
    </row>
    <row r="40251" spans="9:9" x14ac:dyDescent="0.2">
      <c r="I40251" s="137" t="s">
        <v>74</v>
      </c>
    </row>
    <row r="40252" spans="9:9" x14ac:dyDescent="0.2">
      <c r="I40252" s="137" t="s">
        <v>74</v>
      </c>
    </row>
    <row r="40253" spans="9:9" x14ac:dyDescent="0.2">
      <c r="I40253" s="137" t="s">
        <v>74</v>
      </c>
    </row>
    <row r="40254" spans="9:9" x14ac:dyDescent="0.2">
      <c r="I40254" s="137" t="s">
        <v>74</v>
      </c>
    </row>
    <row r="40255" spans="9:9" x14ac:dyDescent="0.2">
      <c r="I40255" s="137" t="s">
        <v>74</v>
      </c>
    </row>
    <row r="40256" spans="9:9" x14ac:dyDescent="0.2">
      <c r="I40256" s="137" t="s">
        <v>74</v>
      </c>
    </row>
    <row r="40257" spans="9:9" x14ac:dyDescent="0.2">
      <c r="I40257" s="137" t="s">
        <v>74</v>
      </c>
    </row>
    <row r="40258" spans="9:9" x14ac:dyDescent="0.2">
      <c r="I40258" s="137" t="s">
        <v>74</v>
      </c>
    </row>
    <row r="40259" spans="9:9" x14ac:dyDescent="0.2">
      <c r="I40259" s="137" t="s">
        <v>74</v>
      </c>
    </row>
    <row r="40260" spans="9:9" x14ac:dyDescent="0.2">
      <c r="I40260" s="137" t="s">
        <v>74</v>
      </c>
    </row>
    <row r="40261" spans="9:9" x14ac:dyDescent="0.2">
      <c r="I40261" s="137" t="s">
        <v>74</v>
      </c>
    </row>
    <row r="40262" spans="9:9" x14ac:dyDescent="0.2">
      <c r="I40262" s="137" t="s">
        <v>74</v>
      </c>
    </row>
    <row r="40263" spans="9:9" x14ac:dyDescent="0.2">
      <c r="I40263" s="137" t="s">
        <v>74</v>
      </c>
    </row>
    <row r="40264" spans="9:9" x14ac:dyDescent="0.2">
      <c r="I40264" s="137" t="s">
        <v>74</v>
      </c>
    </row>
    <row r="40265" spans="9:9" x14ac:dyDescent="0.2">
      <c r="I40265" s="137" t="s">
        <v>74</v>
      </c>
    </row>
    <row r="40266" spans="9:9" x14ac:dyDescent="0.2">
      <c r="I40266" s="137" t="s">
        <v>74</v>
      </c>
    </row>
    <row r="40267" spans="9:9" x14ac:dyDescent="0.2">
      <c r="I40267" s="137" t="s">
        <v>74</v>
      </c>
    </row>
    <row r="40268" spans="9:9" x14ac:dyDescent="0.2">
      <c r="I40268" s="137" t="s">
        <v>74</v>
      </c>
    </row>
    <row r="40269" spans="9:9" x14ac:dyDescent="0.2">
      <c r="I40269" s="137" t="s">
        <v>74</v>
      </c>
    </row>
    <row r="40270" spans="9:9" x14ac:dyDescent="0.2">
      <c r="I40270" s="137" t="s">
        <v>74</v>
      </c>
    </row>
    <row r="40271" spans="9:9" x14ac:dyDescent="0.2">
      <c r="I40271" s="137" t="s">
        <v>74</v>
      </c>
    </row>
    <row r="40272" spans="9:9" x14ac:dyDescent="0.2">
      <c r="I40272" s="137" t="s">
        <v>74</v>
      </c>
    </row>
    <row r="40273" spans="9:9" x14ac:dyDescent="0.2">
      <c r="I40273" s="137" t="s">
        <v>74</v>
      </c>
    </row>
    <row r="40274" spans="9:9" x14ac:dyDescent="0.2">
      <c r="I40274" s="137" t="s">
        <v>74</v>
      </c>
    </row>
    <row r="40275" spans="9:9" x14ac:dyDescent="0.2">
      <c r="I40275" s="137" t="s">
        <v>74</v>
      </c>
    </row>
    <row r="40276" spans="9:9" x14ac:dyDescent="0.2">
      <c r="I40276" s="137" t="s">
        <v>74</v>
      </c>
    </row>
    <row r="40277" spans="9:9" x14ac:dyDescent="0.2">
      <c r="I40277" s="137" t="s">
        <v>74</v>
      </c>
    </row>
    <row r="40278" spans="9:9" x14ac:dyDescent="0.2">
      <c r="I40278" s="137" t="s">
        <v>74</v>
      </c>
    </row>
    <row r="40279" spans="9:9" x14ac:dyDescent="0.2">
      <c r="I40279" s="137" t="s">
        <v>74</v>
      </c>
    </row>
    <row r="40280" spans="9:9" x14ac:dyDescent="0.2">
      <c r="I40280" s="137" t="s">
        <v>74</v>
      </c>
    </row>
    <row r="40281" spans="9:9" x14ac:dyDescent="0.2">
      <c r="I40281" s="137" t="s">
        <v>74</v>
      </c>
    </row>
    <row r="40282" spans="9:9" x14ac:dyDescent="0.2">
      <c r="I40282" s="137" t="s">
        <v>74</v>
      </c>
    </row>
    <row r="40283" spans="9:9" x14ac:dyDescent="0.2">
      <c r="I40283" s="137" t="s">
        <v>74</v>
      </c>
    </row>
    <row r="40284" spans="9:9" x14ac:dyDescent="0.2">
      <c r="I40284" s="137" t="s">
        <v>74</v>
      </c>
    </row>
    <row r="40285" spans="9:9" x14ac:dyDescent="0.2">
      <c r="I40285" s="137" t="s">
        <v>74</v>
      </c>
    </row>
    <row r="40286" spans="9:9" x14ac:dyDescent="0.2">
      <c r="I40286" s="137" t="s">
        <v>74</v>
      </c>
    </row>
    <row r="40287" spans="9:9" x14ac:dyDescent="0.2">
      <c r="I40287" s="137" t="s">
        <v>74</v>
      </c>
    </row>
    <row r="40288" spans="9:9" x14ac:dyDescent="0.2">
      <c r="I40288" s="137" t="s">
        <v>74</v>
      </c>
    </row>
    <row r="40289" spans="9:9" x14ac:dyDescent="0.2">
      <c r="I40289" s="137" t="s">
        <v>74</v>
      </c>
    </row>
    <row r="40290" spans="9:9" x14ac:dyDescent="0.2">
      <c r="I40290" s="137" t="s">
        <v>74</v>
      </c>
    </row>
    <row r="40291" spans="9:9" x14ac:dyDescent="0.2">
      <c r="I40291" s="137" t="s">
        <v>74</v>
      </c>
    </row>
    <row r="40292" spans="9:9" x14ac:dyDescent="0.2">
      <c r="I40292" s="137" t="s">
        <v>74</v>
      </c>
    </row>
    <row r="40293" spans="9:9" x14ac:dyDescent="0.2">
      <c r="I40293" s="137" t="s">
        <v>74</v>
      </c>
    </row>
    <row r="40294" spans="9:9" x14ac:dyDescent="0.2">
      <c r="I40294" s="137" t="s">
        <v>74</v>
      </c>
    </row>
    <row r="40295" spans="9:9" x14ac:dyDescent="0.2">
      <c r="I40295" s="137" t="s">
        <v>74</v>
      </c>
    </row>
    <row r="40296" spans="9:9" x14ac:dyDescent="0.2">
      <c r="I40296" s="137" t="s">
        <v>74</v>
      </c>
    </row>
    <row r="40297" spans="9:9" x14ac:dyDescent="0.2">
      <c r="I40297" s="137" t="s">
        <v>74</v>
      </c>
    </row>
    <row r="40298" spans="9:9" x14ac:dyDescent="0.2">
      <c r="I40298" s="137" t="s">
        <v>74</v>
      </c>
    </row>
    <row r="40299" spans="9:9" x14ac:dyDescent="0.2">
      <c r="I40299" s="137" t="s">
        <v>74</v>
      </c>
    </row>
    <row r="40300" spans="9:9" x14ac:dyDescent="0.2">
      <c r="I40300" s="137" t="s">
        <v>74</v>
      </c>
    </row>
    <row r="40301" spans="9:9" x14ac:dyDescent="0.2">
      <c r="I40301" s="137" t="s">
        <v>74</v>
      </c>
    </row>
    <row r="40302" spans="9:9" x14ac:dyDescent="0.2">
      <c r="I40302" s="137" t="s">
        <v>74</v>
      </c>
    </row>
    <row r="40303" spans="9:9" x14ac:dyDescent="0.2">
      <c r="I40303" s="137" t="s">
        <v>74</v>
      </c>
    </row>
    <row r="40304" spans="9:9" x14ac:dyDescent="0.2">
      <c r="I40304" s="137" t="s">
        <v>74</v>
      </c>
    </row>
    <row r="40305" spans="9:9" x14ac:dyDescent="0.2">
      <c r="I40305" s="137" t="s">
        <v>74</v>
      </c>
    </row>
    <row r="40306" spans="9:9" x14ac:dyDescent="0.2">
      <c r="I40306" s="137" t="s">
        <v>74</v>
      </c>
    </row>
    <row r="40307" spans="9:9" x14ac:dyDescent="0.2">
      <c r="I40307" s="137" t="s">
        <v>74</v>
      </c>
    </row>
    <row r="40308" spans="9:9" x14ac:dyDescent="0.2">
      <c r="I40308" s="137" t="s">
        <v>74</v>
      </c>
    </row>
    <row r="40309" spans="9:9" x14ac:dyDescent="0.2">
      <c r="I40309" s="137" t="s">
        <v>74</v>
      </c>
    </row>
    <row r="40310" spans="9:9" x14ac:dyDescent="0.2">
      <c r="I40310" s="137" t="s">
        <v>74</v>
      </c>
    </row>
    <row r="40311" spans="9:9" x14ac:dyDescent="0.2">
      <c r="I40311" s="137" t="s">
        <v>74</v>
      </c>
    </row>
    <row r="40312" spans="9:9" x14ac:dyDescent="0.2">
      <c r="I40312" s="137" t="s">
        <v>74</v>
      </c>
    </row>
    <row r="40313" spans="9:9" x14ac:dyDescent="0.2">
      <c r="I40313" s="137" t="s">
        <v>74</v>
      </c>
    </row>
    <row r="40314" spans="9:9" x14ac:dyDescent="0.2">
      <c r="I40314" s="137" t="s">
        <v>74</v>
      </c>
    </row>
    <row r="40315" spans="9:9" x14ac:dyDescent="0.2">
      <c r="I40315" s="137" t="s">
        <v>74</v>
      </c>
    </row>
    <row r="40316" spans="9:9" x14ac:dyDescent="0.2">
      <c r="I40316" s="137" t="s">
        <v>74</v>
      </c>
    </row>
    <row r="40317" spans="9:9" x14ac:dyDescent="0.2">
      <c r="I40317" s="137" t="s">
        <v>74</v>
      </c>
    </row>
    <row r="40318" spans="9:9" x14ac:dyDescent="0.2">
      <c r="I40318" s="137" t="s">
        <v>74</v>
      </c>
    </row>
    <row r="40319" spans="9:9" x14ac:dyDescent="0.2">
      <c r="I40319" s="137" t="s">
        <v>74</v>
      </c>
    </row>
    <row r="40320" spans="9:9" x14ac:dyDescent="0.2">
      <c r="I40320" s="137" t="s">
        <v>74</v>
      </c>
    </row>
    <row r="40321" spans="9:9" x14ac:dyDescent="0.2">
      <c r="I40321" s="137" t="s">
        <v>74</v>
      </c>
    </row>
    <row r="40322" spans="9:9" x14ac:dyDescent="0.2">
      <c r="I40322" s="137" t="s">
        <v>74</v>
      </c>
    </row>
    <row r="40323" spans="9:9" x14ac:dyDescent="0.2">
      <c r="I40323" s="137" t="s">
        <v>74</v>
      </c>
    </row>
    <row r="40324" spans="9:9" x14ac:dyDescent="0.2">
      <c r="I40324" s="137" t="s">
        <v>74</v>
      </c>
    </row>
    <row r="40325" spans="9:9" x14ac:dyDescent="0.2">
      <c r="I40325" s="137" t="s">
        <v>74</v>
      </c>
    </row>
    <row r="40326" spans="9:9" x14ac:dyDescent="0.2">
      <c r="I40326" s="137" t="s">
        <v>74</v>
      </c>
    </row>
    <row r="40327" spans="9:9" x14ac:dyDescent="0.2">
      <c r="I40327" s="137" t="s">
        <v>74</v>
      </c>
    </row>
    <row r="40328" spans="9:9" x14ac:dyDescent="0.2">
      <c r="I40328" s="137" t="s">
        <v>74</v>
      </c>
    </row>
    <row r="40329" spans="9:9" x14ac:dyDescent="0.2">
      <c r="I40329" s="137" t="s">
        <v>74</v>
      </c>
    </row>
    <row r="40330" spans="9:9" x14ac:dyDescent="0.2">
      <c r="I40330" s="137" t="s">
        <v>74</v>
      </c>
    </row>
    <row r="40331" spans="9:9" x14ac:dyDescent="0.2">
      <c r="I40331" s="137" t="s">
        <v>74</v>
      </c>
    </row>
    <row r="40332" spans="9:9" x14ac:dyDescent="0.2">
      <c r="I40332" s="137" t="s">
        <v>74</v>
      </c>
    </row>
    <row r="40333" spans="9:9" x14ac:dyDescent="0.2">
      <c r="I40333" s="137" t="s">
        <v>74</v>
      </c>
    </row>
    <row r="40334" spans="9:9" x14ac:dyDescent="0.2">
      <c r="I40334" s="137" t="s">
        <v>74</v>
      </c>
    </row>
    <row r="40335" spans="9:9" x14ac:dyDescent="0.2">
      <c r="I40335" s="137" t="s">
        <v>74</v>
      </c>
    </row>
    <row r="40336" spans="9:9" x14ac:dyDescent="0.2">
      <c r="I40336" s="137" t="s">
        <v>74</v>
      </c>
    </row>
    <row r="40337" spans="9:9" x14ac:dyDescent="0.2">
      <c r="I40337" s="137" t="s">
        <v>74</v>
      </c>
    </row>
    <row r="40338" spans="9:9" x14ac:dyDescent="0.2">
      <c r="I40338" s="137" t="s">
        <v>74</v>
      </c>
    </row>
    <row r="40339" spans="9:9" x14ac:dyDescent="0.2">
      <c r="I40339" s="137" t="s">
        <v>74</v>
      </c>
    </row>
    <row r="40340" spans="9:9" x14ac:dyDescent="0.2">
      <c r="I40340" s="137" t="s">
        <v>74</v>
      </c>
    </row>
    <row r="40341" spans="9:9" x14ac:dyDescent="0.2">
      <c r="I40341" s="137" t="s">
        <v>74</v>
      </c>
    </row>
    <row r="40342" spans="9:9" x14ac:dyDescent="0.2">
      <c r="I40342" s="137" t="s">
        <v>74</v>
      </c>
    </row>
    <row r="40343" spans="9:9" x14ac:dyDescent="0.2">
      <c r="I40343" s="137" t="s">
        <v>74</v>
      </c>
    </row>
    <row r="40344" spans="9:9" x14ac:dyDescent="0.2">
      <c r="I40344" s="137" t="s">
        <v>74</v>
      </c>
    </row>
    <row r="40345" spans="9:9" x14ac:dyDescent="0.2">
      <c r="I40345" s="137" t="s">
        <v>74</v>
      </c>
    </row>
    <row r="40346" spans="9:9" x14ac:dyDescent="0.2">
      <c r="I40346" s="137" t="s">
        <v>74</v>
      </c>
    </row>
    <row r="40347" spans="9:9" x14ac:dyDescent="0.2">
      <c r="I40347" s="137" t="s">
        <v>74</v>
      </c>
    </row>
    <row r="40348" spans="9:9" x14ac:dyDescent="0.2">
      <c r="I40348" s="137" t="s">
        <v>74</v>
      </c>
    </row>
    <row r="40349" spans="9:9" x14ac:dyDescent="0.2">
      <c r="I40349" s="137" t="s">
        <v>74</v>
      </c>
    </row>
    <row r="40350" spans="9:9" x14ac:dyDescent="0.2">
      <c r="I40350" s="137" t="s">
        <v>74</v>
      </c>
    </row>
    <row r="40351" spans="9:9" x14ac:dyDescent="0.2">
      <c r="I40351" s="137" t="s">
        <v>74</v>
      </c>
    </row>
    <row r="40352" spans="9:9" x14ac:dyDescent="0.2">
      <c r="I40352" s="137" t="s">
        <v>74</v>
      </c>
    </row>
    <row r="40353" spans="9:9" x14ac:dyDescent="0.2">
      <c r="I40353" s="137" t="s">
        <v>74</v>
      </c>
    </row>
    <row r="40354" spans="9:9" x14ac:dyDescent="0.2">
      <c r="I40354" s="137" t="s">
        <v>74</v>
      </c>
    </row>
    <row r="40355" spans="9:9" x14ac:dyDescent="0.2">
      <c r="I40355" s="137" t="s">
        <v>74</v>
      </c>
    </row>
    <row r="40356" spans="9:9" x14ac:dyDescent="0.2">
      <c r="I40356" s="137" t="s">
        <v>74</v>
      </c>
    </row>
    <row r="40357" spans="9:9" x14ac:dyDescent="0.2">
      <c r="I40357" s="137" t="s">
        <v>74</v>
      </c>
    </row>
    <row r="40358" spans="9:9" x14ac:dyDescent="0.2">
      <c r="I40358" s="137" t="s">
        <v>74</v>
      </c>
    </row>
    <row r="40359" spans="9:9" x14ac:dyDescent="0.2">
      <c r="I40359" s="137" t="s">
        <v>74</v>
      </c>
    </row>
    <row r="40360" spans="9:9" x14ac:dyDescent="0.2">
      <c r="I40360" s="137" t="s">
        <v>74</v>
      </c>
    </row>
    <row r="40361" spans="9:9" x14ac:dyDescent="0.2">
      <c r="I40361" s="137" t="s">
        <v>74</v>
      </c>
    </row>
    <row r="40362" spans="9:9" x14ac:dyDescent="0.2">
      <c r="I40362" s="137" t="s">
        <v>74</v>
      </c>
    </row>
    <row r="40363" spans="9:9" x14ac:dyDescent="0.2">
      <c r="I40363" s="137" t="s">
        <v>74</v>
      </c>
    </row>
    <row r="40364" spans="9:9" x14ac:dyDescent="0.2">
      <c r="I40364" s="137" t="s">
        <v>74</v>
      </c>
    </row>
    <row r="40365" spans="9:9" x14ac:dyDescent="0.2">
      <c r="I40365" s="137" t="s">
        <v>74</v>
      </c>
    </row>
    <row r="40366" spans="9:9" x14ac:dyDescent="0.2">
      <c r="I40366" s="137" t="s">
        <v>74</v>
      </c>
    </row>
    <row r="40367" spans="9:9" x14ac:dyDescent="0.2">
      <c r="I40367" s="137" t="s">
        <v>74</v>
      </c>
    </row>
    <row r="40368" spans="9:9" x14ac:dyDescent="0.2">
      <c r="I40368" s="137" t="s">
        <v>74</v>
      </c>
    </row>
    <row r="40369" spans="9:9" x14ac:dyDescent="0.2">
      <c r="I40369" s="137" t="s">
        <v>74</v>
      </c>
    </row>
    <row r="40370" spans="9:9" x14ac:dyDescent="0.2">
      <c r="I40370" s="137" t="s">
        <v>74</v>
      </c>
    </row>
    <row r="40371" spans="9:9" x14ac:dyDescent="0.2">
      <c r="I40371" s="137" t="s">
        <v>74</v>
      </c>
    </row>
    <row r="40372" spans="9:9" x14ac:dyDescent="0.2">
      <c r="I40372" s="137" t="s">
        <v>74</v>
      </c>
    </row>
    <row r="40373" spans="9:9" x14ac:dyDescent="0.2">
      <c r="I40373" s="137" t="s">
        <v>74</v>
      </c>
    </row>
    <row r="40374" spans="9:9" x14ac:dyDescent="0.2">
      <c r="I40374" s="137" t="s">
        <v>74</v>
      </c>
    </row>
    <row r="40375" spans="9:9" x14ac:dyDescent="0.2">
      <c r="I40375" s="137" t="s">
        <v>74</v>
      </c>
    </row>
    <row r="40376" spans="9:9" x14ac:dyDescent="0.2">
      <c r="I40376" s="137" t="s">
        <v>74</v>
      </c>
    </row>
    <row r="40377" spans="9:9" x14ac:dyDescent="0.2">
      <c r="I40377" s="137" t="s">
        <v>74</v>
      </c>
    </row>
    <row r="40378" spans="9:9" x14ac:dyDescent="0.2">
      <c r="I40378" s="137" t="s">
        <v>74</v>
      </c>
    </row>
    <row r="40379" spans="9:9" x14ac:dyDescent="0.2">
      <c r="I40379" s="137" t="s">
        <v>74</v>
      </c>
    </row>
    <row r="40380" spans="9:9" x14ac:dyDescent="0.2">
      <c r="I40380" s="137" t="s">
        <v>74</v>
      </c>
    </row>
    <row r="40381" spans="9:9" x14ac:dyDescent="0.2">
      <c r="I40381" s="137" t="s">
        <v>74</v>
      </c>
    </row>
    <row r="40382" spans="9:9" x14ac:dyDescent="0.2">
      <c r="I40382" s="137" t="s">
        <v>74</v>
      </c>
    </row>
    <row r="40383" spans="9:9" x14ac:dyDescent="0.2">
      <c r="I40383" s="137" t="s">
        <v>74</v>
      </c>
    </row>
    <row r="40384" spans="9:9" x14ac:dyDescent="0.2">
      <c r="I40384" s="137" t="s">
        <v>74</v>
      </c>
    </row>
    <row r="40385" spans="9:9" x14ac:dyDescent="0.2">
      <c r="I40385" s="137" t="s">
        <v>74</v>
      </c>
    </row>
    <row r="40386" spans="9:9" x14ac:dyDescent="0.2">
      <c r="I40386" s="137" t="s">
        <v>74</v>
      </c>
    </row>
    <row r="40387" spans="9:9" x14ac:dyDescent="0.2">
      <c r="I40387" s="137" t="s">
        <v>74</v>
      </c>
    </row>
    <row r="40388" spans="9:9" x14ac:dyDescent="0.2">
      <c r="I40388" s="137" t="s">
        <v>74</v>
      </c>
    </row>
    <row r="40389" spans="9:9" x14ac:dyDescent="0.2">
      <c r="I40389" s="137" t="s">
        <v>74</v>
      </c>
    </row>
    <row r="40390" spans="9:9" x14ac:dyDescent="0.2">
      <c r="I40390" s="137" t="s">
        <v>74</v>
      </c>
    </row>
    <row r="40391" spans="9:9" x14ac:dyDescent="0.2">
      <c r="I40391" s="137" t="s">
        <v>74</v>
      </c>
    </row>
    <row r="40392" spans="9:9" x14ac:dyDescent="0.2">
      <c r="I40392" s="137" t="s">
        <v>74</v>
      </c>
    </row>
    <row r="40393" spans="9:9" x14ac:dyDescent="0.2">
      <c r="I40393" s="137" t="s">
        <v>74</v>
      </c>
    </row>
    <row r="40394" spans="9:9" x14ac:dyDescent="0.2">
      <c r="I40394" s="137" t="s">
        <v>74</v>
      </c>
    </row>
    <row r="40395" spans="9:9" x14ac:dyDescent="0.2">
      <c r="I40395" s="137" t="s">
        <v>74</v>
      </c>
    </row>
    <row r="40396" spans="9:9" x14ac:dyDescent="0.2">
      <c r="I40396" s="137" t="s">
        <v>74</v>
      </c>
    </row>
    <row r="40397" spans="9:9" x14ac:dyDescent="0.2">
      <c r="I40397" s="137" t="s">
        <v>74</v>
      </c>
    </row>
    <row r="40398" spans="9:9" x14ac:dyDescent="0.2">
      <c r="I40398" s="137" t="s">
        <v>74</v>
      </c>
    </row>
    <row r="40399" spans="9:9" x14ac:dyDescent="0.2">
      <c r="I40399" s="137" t="s">
        <v>74</v>
      </c>
    </row>
    <row r="40400" spans="9:9" x14ac:dyDescent="0.2">
      <c r="I40400" s="137" t="s">
        <v>74</v>
      </c>
    </row>
    <row r="40401" spans="9:9" x14ac:dyDescent="0.2">
      <c r="I40401" s="137" t="s">
        <v>74</v>
      </c>
    </row>
    <row r="40402" spans="9:9" x14ac:dyDescent="0.2">
      <c r="I40402" s="137" t="s">
        <v>74</v>
      </c>
    </row>
    <row r="40403" spans="9:9" x14ac:dyDescent="0.2">
      <c r="I40403" s="137" t="s">
        <v>74</v>
      </c>
    </row>
    <row r="40404" spans="9:9" x14ac:dyDescent="0.2">
      <c r="I40404" s="137" t="s">
        <v>74</v>
      </c>
    </row>
    <row r="40405" spans="9:9" x14ac:dyDescent="0.2">
      <c r="I40405" s="137" t="s">
        <v>74</v>
      </c>
    </row>
    <row r="40406" spans="9:9" x14ac:dyDescent="0.2">
      <c r="I40406" s="137" t="s">
        <v>74</v>
      </c>
    </row>
    <row r="40407" spans="9:9" x14ac:dyDescent="0.2">
      <c r="I40407" s="137" t="s">
        <v>74</v>
      </c>
    </row>
    <row r="40408" spans="9:9" x14ac:dyDescent="0.2">
      <c r="I40408" s="137" t="s">
        <v>74</v>
      </c>
    </row>
    <row r="40409" spans="9:9" x14ac:dyDescent="0.2">
      <c r="I40409" s="137" t="s">
        <v>74</v>
      </c>
    </row>
    <row r="40410" spans="9:9" x14ac:dyDescent="0.2">
      <c r="I40410" s="137" t="s">
        <v>74</v>
      </c>
    </row>
    <row r="40411" spans="9:9" x14ac:dyDescent="0.2">
      <c r="I40411" s="137" t="s">
        <v>74</v>
      </c>
    </row>
    <row r="40412" spans="9:9" x14ac:dyDescent="0.2">
      <c r="I40412" s="137" t="s">
        <v>74</v>
      </c>
    </row>
    <row r="40413" spans="9:9" x14ac:dyDescent="0.2">
      <c r="I40413" s="137" t="s">
        <v>74</v>
      </c>
    </row>
    <row r="40414" spans="9:9" x14ac:dyDescent="0.2">
      <c r="I40414" s="137" t="s">
        <v>74</v>
      </c>
    </row>
    <row r="40415" spans="9:9" x14ac:dyDescent="0.2">
      <c r="I40415" s="137" t="s">
        <v>74</v>
      </c>
    </row>
    <row r="40416" spans="9:9" x14ac:dyDescent="0.2">
      <c r="I40416" s="137" t="s">
        <v>74</v>
      </c>
    </row>
    <row r="40417" spans="9:9" x14ac:dyDescent="0.2">
      <c r="I40417" s="137" t="s">
        <v>74</v>
      </c>
    </row>
    <row r="40418" spans="9:9" x14ac:dyDescent="0.2">
      <c r="I40418" s="137" t="s">
        <v>74</v>
      </c>
    </row>
    <row r="40419" spans="9:9" x14ac:dyDescent="0.2">
      <c r="I40419" s="137" t="s">
        <v>74</v>
      </c>
    </row>
    <row r="40420" spans="9:9" x14ac:dyDescent="0.2">
      <c r="I40420" s="137" t="s">
        <v>74</v>
      </c>
    </row>
    <row r="40421" spans="9:9" x14ac:dyDescent="0.2">
      <c r="I40421" s="137" t="s">
        <v>74</v>
      </c>
    </row>
    <row r="40422" spans="9:9" x14ac:dyDescent="0.2">
      <c r="I40422" s="137" t="s">
        <v>74</v>
      </c>
    </row>
    <row r="40423" spans="9:9" x14ac:dyDescent="0.2">
      <c r="I40423" s="137" t="s">
        <v>74</v>
      </c>
    </row>
    <row r="40424" spans="9:9" x14ac:dyDescent="0.2">
      <c r="I40424" s="137" t="s">
        <v>74</v>
      </c>
    </row>
    <row r="40425" spans="9:9" x14ac:dyDescent="0.2">
      <c r="I40425" s="137" t="s">
        <v>74</v>
      </c>
    </row>
    <row r="40426" spans="9:9" x14ac:dyDescent="0.2">
      <c r="I40426" s="137" t="s">
        <v>74</v>
      </c>
    </row>
    <row r="40427" spans="9:9" x14ac:dyDescent="0.2">
      <c r="I40427" s="137" t="s">
        <v>74</v>
      </c>
    </row>
    <row r="40428" spans="9:9" x14ac:dyDescent="0.2">
      <c r="I40428" s="137" t="s">
        <v>74</v>
      </c>
    </row>
    <row r="40429" spans="9:9" x14ac:dyDescent="0.2">
      <c r="I40429" s="137" t="s">
        <v>74</v>
      </c>
    </row>
    <row r="40430" spans="9:9" x14ac:dyDescent="0.2">
      <c r="I40430" s="137" t="s">
        <v>74</v>
      </c>
    </row>
    <row r="40431" spans="9:9" x14ac:dyDescent="0.2">
      <c r="I40431" s="137" t="s">
        <v>74</v>
      </c>
    </row>
    <row r="40432" spans="9:9" x14ac:dyDescent="0.2">
      <c r="I40432" s="137" t="s">
        <v>74</v>
      </c>
    </row>
    <row r="40433" spans="9:9" x14ac:dyDescent="0.2">
      <c r="I40433" s="137" t="s">
        <v>74</v>
      </c>
    </row>
    <row r="40434" spans="9:9" x14ac:dyDescent="0.2">
      <c r="I40434" s="137" t="s">
        <v>74</v>
      </c>
    </row>
    <row r="40435" spans="9:9" x14ac:dyDescent="0.2">
      <c r="I40435" s="137" t="s">
        <v>74</v>
      </c>
    </row>
    <row r="40436" spans="9:9" x14ac:dyDescent="0.2">
      <c r="I40436" s="137" t="s">
        <v>74</v>
      </c>
    </row>
    <row r="40437" spans="9:9" x14ac:dyDescent="0.2">
      <c r="I40437" s="137" t="s">
        <v>74</v>
      </c>
    </row>
    <row r="40438" spans="9:9" x14ac:dyDescent="0.2">
      <c r="I40438" s="137" t="s">
        <v>74</v>
      </c>
    </row>
    <row r="40439" spans="9:9" x14ac:dyDescent="0.2">
      <c r="I40439" s="137" t="s">
        <v>74</v>
      </c>
    </row>
    <row r="40440" spans="9:9" x14ac:dyDescent="0.2">
      <c r="I40440" s="137" t="s">
        <v>74</v>
      </c>
    </row>
    <row r="40441" spans="9:9" x14ac:dyDescent="0.2">
      <c r="I40441" s="137" t="s">
        <v>74</v>
      </c>
    </row>
    <row r="40442" spans="9:9" x14ac:dyDescent="0.2">
      <c r="I40442" s="137" t="s">
        <v>74</v>
      </c>
    </row>
    <row r="40443" spans="9:9" x14ac:dyDescent="0.2">
      <c r="I40443" s="137" t="s">
        <v>74</v>
      </c>
    </row>
    <row r="40444" spans="9:9" x14ac:dyDescent="0.2">
      <c r="I40444" s="137" t="s">
        <v>74</v>
      </c>
    </row>
    <row r="40445" spans="9:9" x14ac:dyDescent="0.2">
      <c r="I40445" s="137" t="s">
        <v>74</v>
      </c>
    </row>
    <row r="40446" spans="9:9" x14ac:dyDescent="0.2">
      <c r="I40446" s="137" t="s">
        <v>74</v>
      </c>
    </row>
    <row r="40447" spans="9:9" x14ac:dyDescent="0.2">
      <c r="I40447" s="137" t="s">
        <v>74</v>
      </c>
    </row>
    <row r="40448" spans="9:9" x14ac:dyDescent="0.2">
      <c r="I40448" s="137" t="s">
        <v>74</v>
      </c>
    </row>
    <row r="40449" spans="9:9" x14ac:dyDescent="0.2">
      <c r="I40449" s="137" t="s">
        <v>74</v>
      </c>
    </row>
    <row r="40450" spans="9:9" x14ac:dyDescent="0.2">
      <c r="I40450" s="137" t="s">
        <v>74</v>
      </c>
    </row>
    <row r="40451" spans="9:9" x14ac:dyDescent="0.2">
      <c r="I40451" s="137" t="s">
        <v>74</v>
      </c>
    </row>
    <row r="40452" spans="9:9" x14ac:dyDescent="0.2">
      <c r="I40452" s="137" t="s">
        <v>74</v>
      </c>
    </row>
    <row r="40453" spans="9:9" x14ac:dyDescent="0.2">
      <c r="I40453" s="137" t="s">
        <v>74</v>
      </c>
    </row>
    <row r="40454" spans="9:9" x14ac:dyDescent="0.2">
      <c r="I40454" s="137" t="s">
        <v>74</v>
      </c>
    </row>
    <row r="40455" spans="9:9" x14ac:dyDescent="0.2">
      <c r="I40455" s="137" t="s">
        <v>74</v>
      </c>
    </row>
    <row r="40456" spans="9:9" x14ac:dyDescent="0.2">
      <c r="I40456" s="137" t="s">
        <v>74</v>
      </c>
    </row>
    <row r="40457" spans="9:9" x14ac:dyDescent="0.2">
      <c r="I40457" s="137" t="s">
        <v>74</v>
      </c>
    </row>
    <row r="40458" spans="9:9" x14ac:dyDescent="0.2">
      <c r="I40458" s="137" t="s">
        <v>74</v>
      </c>
    </row>
    <row r="40459" spans="9:9" x14ac:dyDescent="0.2">
      <c r="I40459" s="137" t="s">
        <v>74</v>
      </c>
    </row>
    <row r="40460" spans="9:9" x14ac:dyDescent="0.2">
      <c r="I40460" s="137" t="s">
        <v>74</v>
      </c>
    </row>
    <row r="40461" spans="9:9" x14ac:dyDescent="0.2">
      <c r="I40461" s="137" t="s">
        <v>74</v>
      </c>
    </row>
    <row r="40462" spans="9:9" x14ac:dyDescent="0.2">
      <c r="I40462" s="137" t="s">
        <v>74</v>
      </c>
    </row>
    <row r="40463" spans="9:9" x14ac:dyDescent="0.2">
      <c r="I40463" s="137" t="s">
        <v>74</v>
      </c>
    </row>
    <row r="40464" spans="9:9" x14ac:dyDescent="0.2">
      <c r="I40464" s="137" t="s">
        <v>74</v>
      </c>
    </row>
    <row r="40465" spans="9:9" x14ac:dyDescent="0.2">
      <c r="I40465" s="137" t="s">
        <v>74</v>
      </c>
    </row>
    <row r="40466" spans="9:9" x14ac:dyDescent="0.2">
      <c r="I40466" s="137" t="s">
        <v>74</v>
      </c>
    </row>
    <row r="40467" spans="9:9" x14ac:dyDescent="0.2">
      <c r="I40467" s="137" t="s">
        <v>74</v>
      </c>
    </row>
    <row r="40468" spans="9:9" x14ac:dyDescent="0.2">
      <c r="I40468" s="137" t="s">
        <v>74</v>
      </c>
    </row>
    <row r="40469" spans="9:9" x14ac:dyDescent="0.2">
      <c r="I40469" s="137" t="s">
        <v>74</v>
      </c>
    </row>
    <row r="40470" spans="9:9" x14ac:dyDescent="0.2">
      <c r="I40470" s="137" t="s">
        <v>74</v>
      </c>
    </row>
    <row r="40471" spans="9:9" x14ac:dyDescent="0.2">
      <c r="I40471" s="137" t="s">
        <v>74</v>
      </c>
    </row>
    <row r="40472" spans="9:9" x14ac:dyDescent="0.2">
      <c r="I40472" s="137" t="s">
        <v>74</v>
      </c>
    </row>
    <row r="40473" spans="9:9" x14ac:dyDescent="0.2">
      <c r="I40473" s="137" t="s">
        <v>74</v>
      </c>
    </row>
    <row r="40474" spans="9:9" x14ac:dyDescent="0.2">
      <c r="I40474" s="137" t="s">
        <v>74</v>
      </c>
    </row>
    <row r="40475" spans="9:9" x14ac:dyDescent="0.2">
      <c r="I40475" s="137" t="s">
        <v>74</v>
      </c>
    </row>
    <row r="40476" spans="9:9" x14ac:dyDescent="0.2">
      <c r="I40476" s="137" t="s">
        <v>74</v>
      </c>
    </row>
    <row r="40477" spans="9:9" x14ac:dyDescent="0.2">
      <c r="I40477" s="137" t="s">
        <v>74</v>
      </c>
    </row>
    <row r="40478" spans="9:9" x14ac:dyDescent="0.2">
      <c r="I40478" s="137" t="s">
        <v>74</v>
      </c>
    </row>
    <row r="40479" spans="9:9" x14ac:dyDescent="0.2">
      <c r="I40479" s="137" t="s">
        <v>74</v>
      </c>
    </row>
    <row r="40480" spans="9:9" x14ac:dyDescent="0.2">
      <c r="I40480" s="137" t="s">
        <v>74</v>
      </c>
    </row>
    <row r="40481" spans="9:9" x14ac:dyDescent="0.2">
      <c r="I40481" s="137" t="s">
        <v>74</v>
      </c>
    </row>
    <row r="40482" spans="9:9" x14ac:dyDescent="0.2">
      <c r="I40482" s="137" t="s">
        <v>74</v>
      </c>
    </row>
    <row r="40483" spans="9:9" x14ac:dyDescent="0.2">
      <c r="I40483" s="137" t="s">
        <v>74</v>
      </c>
    </row>
    <row r="40484" spans="9:9" x14ac:dyDescent="0.2">
      <c r="I40484" s="137" t="s">
        <v>74</v>
      </c>
    </row>
    <row r="40485" spans="9:9" x14ac:dyDescent="0.2">
      <c r="I40485" s="137" t="s">
        <v>74</v>
      </c>
    </row>
    <row r="40486" spans="9:9" x14ac:dyDescent="0.2">
      <c r="I40486" s="137" t="s">
        <v>74</v>
      </c>
    </row>
    <row r="40487" spans="9:9" x14ac:dyDescent="0.2">
      <c r="I40487" s="137" t="s">
        <v>74</v>
      </c>
    </row>
    <row r="40488" spans="9:9" x14ac:dyDescent="0.2">
      <c r="I40488" s="137" t="s">
        <v>74</v>
      </c>
    </row>
    <row r="40489" spans="9:9" x14ac:dyDescent="0.2">
      <c r="I40489" s="137" t="s">
        <v>74</v>
      </c>
    </row>
    <row r="40490" spans="9:9" x14ac:dyDescent="0.2">
      <c r="I40490" s="137" t="s">
        <v>74</v>
      </c>
    </row>
    <row r="40491" spans="9:9" x14ac:dyDescent="0.2">
      <c r="I40491" s="137" t="s">
        <v>74</v>
      </c>
    </row>
    <row r="40492" spans="9:9" x14ac:dyDescent="0.2">
      <c r="I40492" s="137" t="s">
        <v>74</v>
      </c>
    </row>
    <row r="40493" spans="9:9" x14ac:dyDescent="0.2">
      <c r="I40493" s="137" t="s">
        <v>74</v>
      </c>
    </row>
    <row r="40494" spans="9:9" x14ac:dyDescent="0.2">
      <c r="I40494" s="137" t="s">
        <v>74</v>
      </c>
    </row>
    <row r="40495" spans="9:9" x14ac:dyDescent="0.2">
      <c r="I40495" s="137" t="s">
        <v>74</v>
      </c>
    </row>
    <row r="40496" spans="9:9" x14ac:dyDescent="0.2">
      <c r="I40496" s="137" t="s">
        <v>74</v>
      </c>
    </row>
    <row r="40497" spans="9:9" x14ac:dyDescent="0.2">
      <c r="I40497" s="137" t="s">
        <v>74</v>
      </c>
    </row>
    <row r="40498" spans="9:9" x14ac:dyDescent="0.2">
      <c r="I40498" s="137" t="s">
        <v>74</v>
      </c>
    </row>
    <row r="40499" spans="9:9" x14ac:dyDescent="0.2">
      <c r="I40499" s="137" t="s">
        <v>74</v>
      </c>
    </row>
    <row r="40500" spans="9:9" x14ac:dyDescent="0.2">
      <c r="I40500" s="137" t="s">
        <v>74</v>
      </c>
    </row>
    <row r="40501" spans="9:9" x14ac:dyDescent="0.2">
      <c r="I40501" s="137" t="s">
        <v>74</v>
      </c>
    </row>
    <row r="40502" spans="9:9" x14ac:dyDescent="0.2">
      <c r="I40502" s="137" t="s">
        <v>74</v>
      </c>
    </row>
    <row r="40503" spans="9:9" x14ac:dyDescent="0.2">
      <c r="I40503" s="137" t="s">
        <v>74</v>
      </c>
    </row>
    <row r="40504" spans="9:9" x14ac:dyDescent="0.2">
      <c r="I40504" s="137" t="s">
        <v>74</v>
      </c>
    </row>
    <row r="40505" spans="9:9" x14ac:dyDescent="0.2">
      <c r="I40505" s="137" t="s">
        <v>74</v>
      </c>
    </row>
    <row r="40506" spans="9:9" x14ac:dyDescent="0.2">
      <c r="I40506" s="137" t="s">
        <v>74</v>
      </c>
    </row>
    <row r="40507" spans="9:9" x14ac:dyDescent="0.2">
      <c r="I40507" s="137" t="s">
        <v>74</v>
      </c>
    </row>
    <row r="40508" spans="9:9" x14ac:dyDescent="0.2">
      <c r="I40508" s="137" t="s">
        <v>74</v>
      </c>
    </row>
    <row r="40509" spans="9:9" x14ac:dyDescent="0.2">
      <c r="I40509" s="137" t="s">
        <v>74</v>
      </c>
    </row>
    <row r="40510" spans="9:9" x14ac:dyDescent="0.2">
      <c r="I40510" s="137" t="s">
        <v>74</v>
      </c>
    </row>
    <row r="40511" spans="9:9" x14ac:dyDescent="0.2">
      <c r="I40511" s="137" t="s">
        <v>74</v>
      </c>
    </row>
    <row r="40512" spans="9:9" x14ac:dyDescent="0.2">
      <c r="I40512" s="137" t="s">
        <v>74</v>
      </c>
    </row>
    <row r="40513" spans="9:9" x14ac:dyDescent="0.2">
      <c r="I40513" s="137" t="s">
        <v>74</v>
      </c>
    </row>
    <row r="40514" spans="9:9" x14ac:dyDescent="0.2">
      <c r="I40514" s="137" t="s">
        <v>74</v>
      </c>
    </row>
    <row r="40515" spans="9:9" x14ac:dyDescent="0.2">
      <c r="I40515" s="137" t="s">
        <v>74</v>
      </c>
    </row>
    <row r="40516" spans="9:9" x14ac:dyDescent="0.2">
      <c r="I40516" s="137" t="s">
        <v>74</v>
      </c>
    </row>
    <row r="40517" spans="9:9" x14ac:dyDescent="0.2">
      <c r="I40517" s="137" t="s">
        <v>74</v>
      </c>
    </row>
    <row r="40518" spans="9:9" x14ac:dyDescent="0.2">
      <c r="I40518" s="137" t="s">
        <v>74</v>
      </c>
    </row>
    <row r="40519" spans="9:9" x14ac:dyDescent="0.2">
      <c r="I40519" s="137" t="s">
        <v>74</v>
      </c>
    </row>
    <row r="40520" spans="9:9" x14ac:dyDescent="0.2">
      <c r="I40520" s="137" t="s">
        <v>74</v>
      </c>
    </row>
    <row r="40521" spans="9:9" x14ac:dyDescent="0.2">
      <c r="I40521" s="137" t="s">
        <v>74</v>
      </c>
    </row>
    <row r="40522" spans="9:9" x14ac:dyDescent="0.2">
      <c r="I40522" s="137" t="s">
        <v>74</v>
      </c>
    </row>
    <row r="40523" spans="9:9" x14ac:dyDescent="0.2">
      <c r="I40523" s="137" t="s">
        <v>74</v>
      </c>
    </row>
    <row r="40524" spans="9:9" x14ac:dyDescent="0.2">
      <c r="I40524" s="137" t="s">
        <v>74</v>
      </c>
    </row>
    <row r="40525" spans="9:9" x14ac:dyDescent="0.2">
      <c r="I40525" s="137" t="s">
        <v>74</v>
      </c>
    </row>
    <row r="40526" spans="9:9" x14ac:dyDescent="0.2">
      <c r="I40526" s="137" t="s">
        <v>74</v>
      </c>
    </row>
    <row r="40527" spans="9:9" x14ac:dyDescent="0.2">
      <c r="I40527" s="137" t="s">
        <v>74</v>
      </c>
    </row>
    <row r="40528" spans="9:9" x14ac:dyDescent="0.2">
      <c r="I40528" s="137" t="s">
        <v>74</v>
      </c>
    </row>
    <row r="40529" spans="9:9" x14ac:dyDescent="0.2">
      <c r="I40529" s="137" t="s">
        <v>74</v>
      </c>
    </row>
    <row r="40530" spans="9:9" x14ac:dyDescent="0.2">
      <c r="I40530" s="137" t="s">
        <v>74</v>
      </c>
    </row>
    <row r="40531" spans="9:9" x14ac:dyDescent="0.2">
      <c r="I40531" s="137" t="s">
        <v>74</v>
      </c>
    </row>
    <row r="40532" spans="9:9" x14ac:dyDescent="0.2">
      <c r="I40532" s="137" t="s">
        <v>74</v>
      </c>
    </row>
    <row r="40533" spans="9:9" x14ac:dyDescent="0.2">
      <c r="I40533" s="137" t="s">
        <v>74</v>
      </c>
    </row>
    <row r="40534" spans="9:9" x14ac:dyDescent="0.2">
      <c r="I40534" s="137" t="s">
        <v>74</v>
      </c>
    </row>
    <row r="40535" spans="9:9" x14ac:dyDescent="0.2">
      <c r="I40535" s="137" t="s">
        <v>74</v>
      </c>
    </row>
    <row r="40536" spans="9:9" x14ac:dyDescent="0.2">
      <c r="I40536" s="137" t="s">
        <v>74</v>
      </c>
    </row>
    <row r="40537" spans="9:9" x14ac:dyDescent="0.2">
      <c r="I40537" s="137" t="s">
        <v>74</v>
      </c>
    </row>
    <row r="40538" spans="9:9" x14ac:dyDescent="0.2">
      <c r="I40538" s="137" t="s">
        <v>74</v>
      </c>
    </row>
    <row r="40539" spans="9:9" x14ac:dyDescent="0.2">
      <c r="I40539" s="137" t="s">
        <v>74</v>
      </c>
    </row>
    <row r="40540" spans="9:9" x14ac:dyDescent="0.2">
      <c r="I40540" s="137" t="s">
        <v>74</v>
      </c>
    </row>
    <row r="40541" spans="9:9" x14ac:dyDescent="0.2">
      <c r="I40541" s="137" t="s">
        <v>74</v>
      </c>
    </row>
    <row r="40542" spans="9:9" x14ac:dyDescent="0.2">
      <c r="I40542" s="137" t="s">
        <v>74</v>
      </c>
    </row>
    <row r="40543" spans="9:9" x14ac:dyDescent="0.2">
      <c r="I40543" s="137" t="s">
        <v>74</v>
      </c>
    </row>
    <row r="40544" spans="9:9" x14ac:dyDescent="0.2">
      <c r="I40544" s="137" t="s">
        <v>74</v>
      </c>
    </row>
    <row r="40545" spans="9:9" x14ac:dyDescent="0.2">
      <c r="I40545" s="137" t="s">
        <v>74</v>
      </c>
    </row>
    <row r="40546" spans="9:9" x14ac:dyDescent="0.2">
      <c r="I40546" s="137" t="s">
        <v>74</v>
      </c>
    </row>
    <row r="40547" spans="9:9" x14ac:dyDescent="0.2">
      <c r="I40547" s="137" t="s">
        <v>74</v>
      </c>
    </row>
    <row r="40548" spans="9:9" x14ac:dyDescent="0.2">
      <c r="I40548" s="137" t="s">
        <v>74</v>
      </c>
    </row>
    <row r="40549" spans="9:9" x14ac:dyDescent="0.2">
      <c r="I40549" s="137" t="s">
        <v>74</v>
      </c>
    </row>
    <row r="40550" spans="9:9" x14ac:dyDescent="0.2">
      <c r="I40550" s="137" t="s">
        <v>74</v>
      </c>
    </row>
    <row r="40551" spans="9:9" x14ac:dyDescent="0.2">
      <c r="I40551" s="137" t="s">
        <v>74</v>
      </c>
    </row>
    <row r="40552" spans="9:9" x14ac:dyDescent="0.2">
      <c r="I40552" s="137" t="s">
        <v>74</v>
      </c>
    </row>
    <row r="40553" spans="9:9" x14ac:dyDescent="0.2">
      <c r="I40553" s="137" t="s">
        <v>74</v>
      </c>
    </row>
    <row r="40554" spans="9:9" x14ac:dyDescent="0.2">
      <c r="I40554" s="137" t="s">
        <v>74</v>
      </c>
    </row>
    <row r="40555" spans="9:9" x14ac:dyDescent="0.2">
      <c r="I40555" s="137" t="s">
        <v>74</v>
      </c>
    </row>
    <row r="40556" spans="9:9" x14ac:dyDescent="0.2">
      <c r="I40556" s="137" t="s">
        <v>74</v>
      </c>
    </row>
    <row r="40557" spans="9:9" x14ac:dyDescent="0.2">
      <c r="I40557" s="137" t="s">
        <v>74</v>
      </c>
    </row>
    <row r="40558" spans="9:9" x14ac:dyDescent="0.2">
      <c r="I40558" s="137" t="s">
        <v>74</v>
      </c>
    </row>
    <row r="40559" spans="9:9" x14ac:dyDescent="0.2">
      <c r="I40559" s="137" t="s">
        <v>74</v>
      </c>
    </row>
    <row r="40560" spans="9:9" x14ac:dyDescent="0.2">
      <c r="I40560" s="137" t="s">
        <v>74</v>
      </c>
    </row>
    <row r="40561" spans="9:9" x14ac:dyDescent="0.2">
      <c r="I40561" s="137" t="s">
        <v>74</v>
      </c>
    </row>
    <row r="40562" spans="9:9" x14ac:dyDescent="0.2">
      <c r="I40562" s="137" t="s">
        <v>74</v>
      </c>
    </row>
    <row r="40563" spans="9:9" x14ac:dyDescent="0.2">
      <c r="I40563" s="137" t="s">
        <v>74</v>
      </c>
    </row>
    <row r="40564" spans="9:9" x14ac:dyDescent="0.2">
      <c r="I40564" s="137" t="s">
        <v>74</v>
      </c>
    </row>
    <row r="40565" spans="9:9" x14ac:dyDescent="0.2">
      <c r="I40565" s="137" t="s">
        <v>74</v>
      </c>
    </row>
    <row r="40566" spans="9:9" x14ac:dyDescent="0.2">
      <c r="I40566" s="137" t="s">
        <v>74</v>
      </c>
    </row>
    <row r="40567" spans="9:9" x14ac:dyDescent="0.2">
      <c r="I40567" s="137" t="s">
        <v>74</v>
      </c>
    </row>
    <row r="40568" spans="9:9" x14ac:dyDescent="0.2">
      <c r="I40568" s="137" t="s">
        <v>74</v>
      </c>
    </row>
    <row r="40569" spans="9:9" x14ac:dyDescent="0.2">
      <c r="I40569" s="137" t="s">
        <v>74</v>
      </c>
    </row>
    <row r="40570" spans="9:9" x14ac:dyDescent="0.2">
      <c r="I40570" s="137" t="s">
        <v>74</v>
      </c>
    </row>
    <row r="40571" spans="9:9" x14ac:dyDescent="0.2">
      <c r="I40571" s="137" t="s">
        <v>74</v>
      </c>
    </row>
    <row r="40572" spans="9:9" x14ac:dyDescent="0.2">
      <c r="I40572" s="137" t="s">
        <v>74</v>
      </c>
    </row>
    <row r="40573" spans="9:9" x14ac:dyDescent="0.2">
      <c r="I40573" s="137" t="s">
        <v>74</v>
      </c>
    </row>
    <row r="40574" spans="9:9" x14ac:dyDescent="0.2">
      <c r="I40574" s="137" t="s">
        <v>74</v>
      </c>
    </row>
    <row r="40575" spans="9:9" x14ac:dyDescent="0.2">
      <c r="I40575" s="137" t="s">
        <v>74</v>
      </c>
    </row>
    <row r="40576" spans="9:9" x14ac:dyDescent="0.2">
      <c r="I40576" s="137" t="s">
        <v>74</v>
      </c>
    </row>
    <row r="40577" spans="9:9" x14ac:dyDescent="0.2">
      <c r="I40577" s="137" t="s">
        <v>74</v>
      </c>
    </row>
    <row r="40578" spans="9:9" x14ac:dyDescent="0.2">
      <c r="I40578" s="137" t="s">
        <v>74</v>
      </c>
    </row>
    <row r="40579" spans="9:9" x14ac:dyDescent="0.2">
      <c r="I40579" s="137" t="s">
        <v>74</v>
      </c>
    </row>
    <row r="40580" spans="9:9" x14ac:dyDescent="0.2">
      <c r="I40580" s="137" t="s">
        <v>74</v>
      </c>
    </row>
    <row r="40581" spans="9:9" x14ac:dyDescent="0.2">
      <c r="I40581" s="137" t="s">
        <v>74</v>
      </c>
    </row>
    <row r="40582" spans="9:9" x14ac:dyDescent="0.2">
      <c r="I40582" s="137" t="s">
        <v>74</v>
      </c>
    </row>
    <row r="40583" spans="9:9" x14ac:dyDescent="0.2">
      <c r="I40583" s="137" t="s">
        <v>74</v>
      </c>
    </row>
    <row r="40584" spans="9:9" x14ac:dyDescent="0.2">
      <c r="I40584" s="137" t="s">
        <v>74</v>
      </c>
    </row>
    <row r="40585" spans="9:9" x14ac:dyDescent="0.2">
      <c r="I40585" s="137" t="s">
        <v>74</v>
      </c>
    </row>
    <row r="40586" spans="9:9" x14ac:dyDescent="0.2">
      <c r="I40586" s="137" t="s">
        <v>74</v>
      </c>
    </row>
    <row r="40587" spans="9:9" x14ac:dyDescent="0.2">
      <c r="I40587" s="137" t="s">
        <v>74</v>
      </c>
    </row>
    <row r="40588" spans="9:9" x14ac:dyDescent="0.2">
      <c r="I40588" s="137" t="s">
        <v>74</v>
      </c>
    </row>
    <row r="40589" spans="9:9" x14ac:dyDescent="0.2">
      <c r="I40589" s="137" t="s">
        <v>74</v>
      </c>
    </row>
    <row r="40590" spans="9:9" x14ac:dyDescent="0.2">
      <c r="I40590" s="137" t="s">
        <v>74</v>
      </c>
    </row>
    <row r="40591" spans="9:9" x14ac:dyDescent="0.2">
      <c r="I40591" s="137" t="s">
        <v>74</v>
      </c>
    </row>
    <row r="40592" spans="9:9" x14ac:dyDescent="0.2">
      <c r="I40592" s="137" t="s">
        <v>74</v>
      </c>
    </row>
    <row r="40593" spans="9:9" x14ac:dyDescent="0.2">
      <c r="I40593" s="137" t="s">
        <v>74</v>
      </c>
    </row>
    <row r="40594" spans="9:9" x14ac:dyDescent="0.2">
      <c r="I40594" s="137" t="s">
        <v>74</v>
      </c>
    </row>
    <row r="40595" spans="9:9" x14ac:dyDescent="0.2">
      <c r="I40595" s="137" t="s">
        <v>74</v>
      </c>
    </row>
    <row r="40596" spans="9:9" x14ac:dyDescent="0.2">
      <c r="I40596" s="137" t="s">
        <v>74</v>
      </c>
    </row>
    <row r="40597" spans="9:9" x14ac:dyDescent="0.2">
      <c r="I40597" s="137" t="s">
        <v>74</v>
      </c>
    </row>
    <row r="40598" spans="9:9" x14ac:dyDescent="0.2">
      <c r="I40598" s="137" t="s">
        <v>74</v>
      </c>
    </row>
    <row r="40599" spans="9:9" x14ac:dyDescent="0.2">
      <c r="I40599" s="137" t="s">
        <v>74</v>
      </c>
    </row>
    <row r="40600" spans="9:9" x14ac:dyDescent="0.2">
      <c r="I40600" s="137" t="s">
        <v>74</v>
      </c>
    </row>
    <row r="40601" spans="9:9" x14ac:dyDescent="0.2">
      <c r="I40601" s="137" t="s">
        <v>74</v>
      </c>
    </row>
    <row r="40602" spans="9:9" x14ac:dyDescent="0.2">
      <c r="I40602" s="137" t="s">
        <v>74</v>
      </c>
    </row>
    <row r="40603" spans="9:9" x14ac:dyDescent="0.2">
      <c r="I40603" s="137" t="s">
        <v>74</v>
      </c>
    </row>
    <row r="40604" spans="9:9" x14ac:dyDescent="0.2">
      <c r="I40604" s="137" t="s">
        <v>74</v>
      </c>
    </row>
    <row r="40605" spans="9:9" x14ac:dyDescent="0.2">
      <c r="I40605" s="137" t="s">
        <v>74</v>
      </c>
    </row>
    <row r="40606" spans="9:9" x14ac:dyDescent="0.2">
      <c r="I40606" s="137" t="s">
        <v>74</v>
      </c>
    </row>
    <row r="40607" spans="9:9" x14ac:dyDescent="0.2">
      <c r="I40607" s="137" t="s">
        <v>74</v>
      </c>
    </row>
    <row r="40608" spans="9:9" x14ac:dyDescent="0.2">
      <c r="I40608" s="137" t="s">
        <v>74</v>
      </c>
    </row>
    <row r="40609" spans="9:9" x14ac:dyDescent="0.2">
      <c r="I40609" s="137" t="s">
        <v>74</v>
      </c>
    </row>
    <row r="40610" spans="9:9" x14ac:dyDescent="0.2">
      <c r="I40610" s="137" t="s">
        <v>74</v>
      </c>
    </row>
    <row r="40611" spans="9:9" x14ac:dyDescent="0.2">
      <c r="I40611" s="137" t="s">
        <v>74</v>
      </c>
    </row>
    <row r="40612" spans="9:9" x14ac:dyDescent="0.2">
      <c r="I40612" s="137" t="s">
        <v>74</v>
      </c>
    </row>
    <row r="40613" spans="9:9" x14ac:dyDescent="0.2">
      <c r="I40613" s="137" t="s">
        <v>74</v>
      </c>
    </row>
    <row r="40614" spans="9:9" x14ac:dyDescent="0.2">
      <c r="I40614" s="137" t="s">
        <v>74</v>
      </c>
    </row>
    <row r="40615" spans="9:9" x14ac:dyDescent="0.2">
      <c r="I40615" s="137" t="s">
        <v>74</v>
      </c>
    </row>
    <row r="40616" spans="9:9" x14ac:dyDescent="0.2">
      <c r="I40616" s="137" t="s">
        <v>74</v>
      </c>
    </row>
    <row r="40617" spans="9:9" x14ac:dyDescent="0.2">
      <c r="I40617" s="137" t="s">
        <v>74</v>
      </c>
    </row>
    <row r="40618" spans="9:9" x14ac:dyDescent="0.2">
      <c r="I40618" s="137" t="s">
        <v>74</v>
      </c>
    </row>
    <row r="40619" spans="9:9" x14ac:dyDescent="0.2">
      <c r="I40619" s="137" t="s">
        <v>74</v>
      </c>
    </row>
    <row r="40620" spans="9:9" x14ac:dyDescent="0.2">
      <c r="I40620" s="137" t="s">
        <v>74</v>
      </c>
    </row>
    <row r="40621" spans="9:9" x14ac:dyDescent="0.2">
      <c r="I40621" s="137" t="s">
        <v>74</v>
      </c>
    </row>
    <row r="40622" spans="9:9" x14ac:dyDescent="0.2">
      <c r="I40622" s="137" t="s">
        <v>74</v>
      </c>
    </row>
    <row r="40623" spans="9:9" x14ac:dyDescent="0.2">
      <c r="I40623" s="137" t="s">
        <v>74</v>
      </c>
    </row>
    <row r="40624" spans="9:9" x14ac:dyDescent="0.2">
      <c r="I40624" s="137" t="s">
        <v>74</v>
      </c>
    </row>
    <row r="40625" spans="9:9" x14ac:dyDescent="0.2">
      <c r="I40625" s="137" t="s">
        <v>74</v>
      </c>
    </row>
    <row r="40626" spans="9:9" x14ac:dyDescent="0.2">
      <c r="I40626" s="137" t="s">
        <v>74</v>
      </c>
    </row>
    <row r="40627" spans="9:9" x14ac:dyDescent="0.2">
      <c r="I40627" s="137" t="s">
        <v>74</v>
      </c>
    </row>
    <row r="40628" spans="9:9" x14ac:dyDescent="0.2">
      <c r="I40628" s="137" t="s">
        <v>74</v>
      </c>
    </row>
    <row r="40629" spans="9:9" x14ac:dyDescent="0.2">
      <c r="I40629" s="137" t="s">
        <v>74</v>
      </c>
    </row>
    <row r="40630" spans="9:9" x14ac:dyDescent="0.2">
      <c r="I40630" s="137" t="s">
        <v>74</v>
      </c>
    </row>
    <row r="40631" spans="9:9" x14ac:dyDescent="0.2">
      <c r="I40631" s="137" t="s">
        <v>74</v>
      </c>
    </row>
    <row r="40632" spans="9:9" x14ac:dyDescent="0.2">
      <c r="I40632" s="137" t="s">
        <v>74</v>
      </c>
    </row>
    <row r="40633" spans="9:9" x14ac:dyDescent="0.2">
      <c r="I40633" s="137" t="s">
        <v>74</v>
      </c>
    </row>
    <row r="40634" spans="9:9" x14ac:dyDescent="0.2">
      <c r="I40634" s="137" t="s">
        <v>74</v>
      </c>
    </row>
    <row r="40635" spans="9:9" x14ac:dyDescent="0.2">
      <c r="I40635" s="137" t="s">
        <v>74</v>
      </c>
    </row>
    <row r="40636" spans="9:9" x14ac:dyDescent="0.2">
      <c r="I40636" s="137" t="s">
        <v>74</v>
      </c>
    </row>
    <row r="40637" spans="9:9" x14ac:dyDescent="0.2">
      <c r="I40637" s="137" t="s">
        <v>74</v>
      </c>
    </row>
    <row r="40638" spans="9:9" x14ac:dyDescent="0.2">
      <c r="I40638" s="137" t="s">
        <v>74</v>
      </c>
    </row>
    <row r="40639" spans="9:9" x14ac:dyDescent="0.2">
      <c r="I40639" s="137" t="s">
        <v>74</v>
      </c>
    </row>
    <row r="40640" spans="9:9" x14ac:dyDescent="0.2">
      <c r="I40640" s="137" t="s">
        <v>74</v>
      </c>
    </row>
    <row r="40641" spans="9:9" x14ac:dyDescent="0.2">
      <c r="I40641" s="137" t="s">
        <v>74</v>
      </c>
    </row>
    <row r="40642" spans="9:9" x14ac:dyDescent="0.2">
      <c r="I40642" s="137" t="s">
        <v>74</v>
      </c>
    </row>
    <row r="40643" spans="9:9" x14ac:dyDescent="0.2">
      <c r="I40643" s="137" t="s">
        <v>74</v>
      </c>
    </row>
    <row r="40644" spans="9:9" x14ac:dyDescent="0.2">
      <c r="I40644" s="137" t="s">
        <v>74</v>
      </c>
    </row>
    <row r="40645" spans="9:9" x14ac:dyDescent="0.2">
      <c r="I40645" s="137" t="s">
        <v>74</v>
      </c>
    </row>
    <row r="40646" spans="9:9" x14ac:dyDescent="0.2">
      <c r="I40646" s="137" t="s">
        <v>74</v>
      </c>
    </row>
    <row r="40647" spans="9:9" x14ac:dyDescent="0.2">
      <c r="I40647" s="137" t="s">
        <v>74</v>
      </c>
    </row>
    <row r="40648" spans="9:9" x14ac:dyDescent="0.2">
      <c r="I40648" s="137" t="s">
        <v>74</v>
      </c>
    </row>
    <row r="40649" spans="9:9" x14ac:dyDescent="0.2">
      <c r="I40649" s="137" t="s">
        <v>74</v>
      </c>
    </row>
    <row r="40650" spans="9:9" x14ac:dyDescent="0.2">
      <c r="I40650" s="137" t="s">
        <v>74</v>
      </c>
    </row>
    <row r="40651" spans="9:9" x14ac:dyDescent="0.2">
      <c r="I40651" s="137" t="s">
        <v>74</v>
      </c>
    </row>
    <row r="40652" spans="9:9" x14ac:dyDescent="0.2">
      <c r="I40652" s="137" t="s">
        <v>74</v>
      </c>
    </row>
    <row r="40653" spans="9:9" x14ac:dyDescent="0.2">
      <c r="I40653" s="137" t="s">
        <v>74</v>
      </c>
    </row>
    <row r="40654" spans="9:9" x14ac:dyDescent="0.2">
      <c r="I40654" s="137" t="s">
        <v>74</v>
      </c>
    </row>
    <row r="40655" spans="9:9" x14ac:dyDescent="0.2">
      <c r="I40655" s="137" t="s">
        <v>74</v>
      </c>
    </row>
    <row r="40656" spans="9:9" x14ac:dyDescent="0.2">
      <c r="I40656" s="137" t="s">
        <v>74</v>
      </c>
    </row>
    <row r="40657" spans="9:9" x14ac:dyDescent="0.2">
      <c r="I40657" s="137" t="s">
        <v>74</v>
      </c>
    </row>
    <row r="40658" spans="9:9" x14ac:dyDescent="0.2">
      <c r="I40658" s="137" t="s">
        <v>74</v>
      </c>
    </row>
    <row r="40659" spans="9:9" x14ac:dyDescent="0.2">
      <c r="I40659" s="137" t="s">
        <v>74</v>
      </c>
    </row>
    <row r="40660" spans="9:9" x14ac:dyDescent="0.2">
      <c r="I40660" s="137" t="s">
        <v>74</v>
      </c>
    </row>
    <row r="40661" spans="9:9" x14ac:dyDescent="0.2">
      <c r="I40661" s="137" t="s">
        <v>74</v>
      </c>
    </row>
    <row r="40662" spans="9:9" x14ac:dyDescent="0.2">
      <c r="I40662" s="137" t="s">
        <v>74</v>
      </c>
    </row>
    <row r="40663" spans="9:9" x14ac:dyDescent="0.2">
      <c r="I40663" s="137" t="s">
        <v>74</v>
      </c>
    </row>
    <row r="40664" spans="9:9" x14ac:dyDescent="0.2">
      <c r="I40664" s="137" t="s">
        <v>74</v>
      </c>
    </row>
    <row r="40665" spans="9:9" x14ac:dyDescent="0.2">
      <c r="I40665" s="137" t="s">
        <v>74</v>
      </c>
    </row>
    <row r="40666" spans="9:9" x14ac:dyDescent="0.2">
      <c r="I40666" s="137" t="s">
        <v>74</v>
      </c>
    </row>
    <row r="40667" spans="9:9" x14ac:dyDescent="0.2">
      <c r="I40667" s="137" t="s">
        <v>74</v>
      </c>
    </row>
    <row r="40668" spans="9:9" x14ac:dyDescent="0.2">
      <c r="I40668" s="137" t="s">
        <v>74</v>
      </c>
    </row>
    <row r="40669" spans="9:9" x14ac:dyDescent="0.2">
      <c r="I40669" s="137" t="s">
        <v>74</v>
      </c>
    </row>
    <row r="40670" spans="9:9" x14ac:dyDescent="0.2">
      <c r="I40670" s="137" t="s">
        <v>74</v>
      </c>
    </row>
    <row r="40671" spans="9:9" x14ac:dyDescent="0.2">
      <c r="I40671" s="137" t="s">
        <v>74</v>
      </c>
    </row>
    <row r="40672" spans="9:9" x14ac:dyDescent="0.2">
      <c r="I40672" s="137" t="s">
        <v>74</v>
      </c>
    </row>
    <row r="40673" spans="9:9" x14ac:dyDescent="0.2">
      <c r="I40673" s="137" t="s">
        <v>74</v>
      </c>
    </row>
    <row r="40674" spans="9:9" x14ac:dyDescent="0.2">
      <c r="I40674" s="137" t="s">
        <v>74</v>
      </c>
    </row>
    <row r="40675" spans="9:9" x14ac:dyDescent="0.2">
      <c r="I40675" s="137" t="s">
        <v>74</v>
      </c>
    </row>
    <row r="40676" spans="9:9" x14ac:dyDescent="0.2">
      <c r="I40676" s="137" t="s">
        <v>74</v>
      </c>
    </row>
    <row r="40677" spans="9:9" x14ac:dyDescent="0.2">
      <c r="I40677" s="137" t="s">
        <v>74</v>
      </c>
    </row>
    <row r="40678" spans="9:9" x14ac:dyDescent="0.2">
      <c r="I40678" s="137" t="s">
        <v>74</v>
      </c>
    </row>
    <row r="40679" spans="9:9" x14ac:dyDescent="0.2">
      <c r="I40679" s="137" t="s">
        <v>74</v>
      </c>
    </row>
    <row r="40680" spans="9:9" x14ac:dyDescent="0.2">
      <c r="I40680" s="137" t="s">
        <v>74</v>
      </c>
    </row>
    <row r="40681" spans="9:9" x14ac:dyDescent="0.2">
      <c r="I40681" s="137" t="s">
        <v>74</v>
      </c>
    </row>
    <row r="40682" spans="9:9" x14ac:dyDescent="0.2">
      <c r="I40682" s="137" t="s">
        <v>74</v>
      </c>
    </row>
    <row r="40683" spans="9:9" x14ac:dyDescent="0.2">
      <c r="I40683" s="137" t="s">
        <v>74</v>
      </c>
    </row>
    <row r="40684" spans="9:9" x14ac:dyDescent="0.2">
      <c r="I40684" s="137" t="s">
        <v>74</v>
      </c>
    </row>
    <row r="40685" spans="9:9" x14ac:dyDescent="0.2">
      <c r="I40685" s="137" t="s">
        <v>74</v>
      </c>
    </row>
    <row r="40686" spans="9:9" x14ac:dyDescent="0.2">
      <c r="I40686" s="137" t="s">
        <v>74</v>
      </c>
    </row>
    <row r="40687" spans="9:9" x14ac:dyDescent="0.2">
      <c r="I40687" s="137" t="s">
        <v>74</v>
      </c>
    </row>
    <row r="40688" spans="9:9" x14ac:dyDescent="0.2">
      <c r="I40688" s="137" t="s">
        <v>74</v>
      </c>
    </row>
    <row r="40689" spans="9:9" x14ac:dyDescent="0.2">
      <c r="I40689" s="137" t="s">
        <v>74</v>
      </c>
    </row>
    <row r="40690" spans="9:9" x14ac:dyDescent="0.2">
      <c r="I40690" s="137" t="s">
        <v>74</v>
      </c>
    </row>
    <row r="40691" spans="9:9" x14ac:dyDescent="0.2">
      <c r="I40691" s="137" t="s">
        <v>74</v>
      </c>
    </row>
    <row r="40692" spans="9:9" x14ac:dyDescent="0.2">
      <c r="I40692" s="137" t="s">
        <v>74</v>
      </c>
    </row>
    <row r="40693" spans="9:9" x14ac:dyDescent="0.2">
      <c r="I40693" s="137" t="s">
        <v>74</v>
      </c>
    </row>
    <row r="40694" spans="9:9" x14ac:dyDescent="0.2">
      <c r="I40694" s="137" t="s">
        <v>74</v>
      </c>
    </row>
    <row r="40695" spans="9:9" x14ac:dyDescent="0.2">
      <c r="I40695" s="137" t="s">
        <v>74</v>
      </c>
    </row>
    <row r="40696" spans="9:9" x14ac:dyDescent="0.2">
      <c r="I40696" s="137" t="s">
        <v>74</v>
      </c>
    </row>
    <row r="40697" spans="9:9" x14ac:dyDescent="0.2">
      <c r="I40697" s="137" t="s">
        <v>74</v>
      </c>
    </row>
    <row r="40698" spans="9:9" x14ac:dyDescent="0.2">
      <c r="I40698" s="137" t="s">
        <v>74</v>
      </c>
    </row>
    <row r="40699" spans="9:9" x14ac:dyDescent="0.2">
      <c r="I40699" s="137" t="s">
        <v>74</v>
      </c>
    </row>
    <row r="40700" spans="9:9" x14ac:dyDescent="0.2">
      <c r="I40700" s="137" t="s">
        <v>74</v>
      </c>
    </row>
    <row r="40701" spans="9:9" x14ac:dyDescent="0.2">
      <c r="I40701" s="137" t="s">
        <v>74</v>
      </c>
    </row>
    <row r="40702" spans="9:9" x14ac:dyDescent="0.2">
      <c r="I40702" s="137" t="s">
        <v>74</v>
      </c>
    </row>
    <row r="40703" spans="9:9" x14ac:dyDescent="0.2">
      <c r="I40703" s="137" t="s">
        <v>74</v>
      </c>
    </row>
    <row r="40704" spans="9:9" x14ac:dyDescent="0.2">
      <c r="I40704" s="137" t="s">
        <v>74</v>
      </c>
    </row>
    <row r="40705" spans="9:9" x14ac:dyDescent="0.2">
      <c r="I40705" s="137" t="s">
        <v>74</v>
      </c>
    </row>
    <row r="40706" spans="9:9" x14ac:dyDescent="0.2">
      <c r="I40706" s="137" t="s">
        <v>74</v>
      </c>
    </row>
    <row r="40707" spans="9:9" x14ac:dyDescent="0.2">
      <c r="I40707" s="137" t="s">
        <v>74</v>
      </c>
    </row>
    <row r="40708" spans="9:9" x14ac:dyDescent="0.2">
      <c r="I40708" s="137" t="s">
        <v>74</v>
      </c>
    </row>
    <row r="40709" spans="9:9" x14ac:dyDescent="0.2">
      <c r="I40709" s="137" t="s">
        <v>74</v>
      </c>
    </row>
    <row r="40710" spans="9:9" x14ac:dyDescent="0.2">
      <c r="I40710" s="137" t="s">
        <v>74</v>
      </c>
    </row>
    <row r="40711" spans="9:9" x14ac:dyDescent="0.2">
      <c r="I40711" s="137" t="s">
        <v>74</v>
      </c>
    </row>
    <row r="40712" spans="9:9" x14ac:dyDescent="0.2">
      <c r="I40712" s="137" t="s">
        <v>74</v>
      </c>
    </row>
    <row r="40713" spans="9:9" x14ac:dyDescent="0.2">
      <c r="I40713" s="137" t="s">
        <v>74</v>
      </c>
    </row>
    <row r="40714" spans="9:9" x14ac:dyDescent="0.2">
      <c r="I40714" s="137" t="s">
        <v>74</v>
      </c>
    </row>
    <row r="40715" spans="9:9" x14ac:dyDescent="0.2">
      <c r="I40715" s="137" t="s">
        <v>74</v>
      </c>
    </row>
    <row r="40716" spans="9:9" x14ac:dyDescent="0.2">
      <c r="I40716" s="137" t="s">
        <v>74</v>
      </c>
    </row>
    <row r="40717" spans="9:9" x14ac:dyDescent="0.2">
      <c r="I40717" s="137" t="s">
        <v>74</v>
      </c>
    </row>
    <row r="40718" spans="9:9" x14ac:dyDescent="0.2">
      <c r="I40718" s="137" t="s">
        <v>74</v>
      </c>
    </row>
    <row r="40719" spans="9:9" x14ac:dyDescent="0.2">
      <c r="I40719" s="137" t="s">
        <v>74</v>
      </c>
    </row>
    <row r="40720" spans="9:9" x14ac:dyDescent="0.2">
      <c r="I40720" s="137" t="s">
        <v>74</v>
      </c>
    </row>
    <row r="40721" spans="9:9" x14ac:dyDescent="0.2">
      <c r="I40721" s="137" t="s">
        <v>74</v>
      </c>
    </row>
    <row r="40722" spans="9:9" x14ac:dyDescent="0.2">
      <c r="I40722" s="137" t="s">
        <v>74</v>
      </c>
    </row>
    <row r="40723" spans="9:9" x14ac:dyDescent="0.2">
      <c r="I40723" s="137" t="s">
        <v>74</v>
      </c>
    </row>
    <row r="40724" spans="9:9" x14ac:dyDescent="0.2">
      <c r="I40724" s="137" t="s">
        <v>74</v>
      </c>
    </row>
    <row r="40725" spans="9:9" x14ac:dyDescent="0.2">
      <c r="I40725" s="137" t="s">
        <v>74</v>
      </c>
    </row>
    <row r="40726" spans="9:9" x14ac:dyDescent="0.2">
      <c r="I40726" s="137" t="s">
        <v>74</v>
      </c>
    </row>
    <row r="40727" spans="9:9" x14ac:dyDescent="0.2">
      <c r="I40727" s="137" t="s">
        <v>74</v>
      </c>
    </row>
    <row r="40728" spans="9:9" x14ac:dyDescent="0.2">
      <c r="I40728" s="137" t="s">
        <v>74</v>
      </c>
    </row>
    <row r="40729" spans="9:9" x14ac:dyDescent="0.2">
      <c r="I40729" s="137" t="s">
        <v>74</v>
      </c>
    </row>
    <row r="40730" spans="9:9" x14ac:dyDescent="0.2">
      <c r="I40730" s="137" t="s">
        <v>74</v>
      </c>
    </row>
    <row r="40731" spans="9:9" x14ac:dyDescent="0.2">
      <c r="I40731" s="137" t="s">
        <v>74</v>
      </c>
    </row>
    <row r="40732" spans="9:9" x14ac:dyDescent="0.2">
      <c r="I40732" s="137" t="s">
        <v>74</v>
      </c>
    </row>
    <row r="40733" spans="9:9" x14ac:dyDescent="0.2">
      <c r="I40733" s="137" t="s">
        <v>74</v>
      </c>
    </row>
    <row r="40734" spans="9:9" x14ac:dyDescent="0.2">
      <c r="I40734" s="137" t="s">
        <v>74</v>
      </c>
    </row>
    <row r="40735" spans="9:9" x14ac:dyDescent="0.2">
      <c r="I40735" s="137" t="s">
        <v>74</v>
      </c>
    </row>
    <row r="40736" spans="9:9" x14ac:dyDescent="0.2">
      <c r="I40736" s="137" t="s">
        <v>74</v>
      </c>
    </row>
    <row r="40737" spans="9:9" x14ac:dyDescent="0.2">
      <c r="I40737" s="137" t="s">
        <v>74</v>
      </c>
    </row>
    <row r="40738" spans="9:9" x14ac:dyDescent="0.2">
      <c r="I40738" s="137" t="s">
        <v>74</v>
      </c>
    </row>
    <row r="40739" spans="9:9" x14ac:dyDescent="0.2">
      <c r="I40739" s="137" t="s">
        <v>74</v>
      </c>
    </row>
    <row r="40740" spans="9:9" x14ac:dyDescent="0.2">
      <c r="I40740" s="137" t="s">
        <v>74</v>
      </c>
    </row>
    <row r="40741" spans="9:9" x14ac:dyDescent="0.2">
      <c r="I40741" s="137" t="s">
        <v>74</v>
      </c>
    </row>
    <row r="40742" spans="9:9" x14ac:dyDescent="0.2">
      <c r="I40742" s="137" t="s">
        <v>74</v>
      </c>
    </row>
    <row r="40743" spans="9:9" x14ac:dyDescent="0.2">
      <c r="I40743" s="137" t="s">
        <v>74</v>
      </c>
    </row>
    <row r="40744" spans="9:9" x14ac:dyDescent="0.2">
      <c r="I40744" s="137" t="s">
        <v>74</v>
      </c>
    </row>
    <row r="40745" spans="9:9" x14ac:dyDescent="0.2">
      <c r="I40745" s="137" t="s">
        <v>74</v>
      </c>
    </row>
    <row r="40746" spans="9:9" x14ac:dyDescent="0.2">
      <c r="I40746" s="137" t="s">
        <v>74</v>
      </c>
    </row>
    <row r="40747" spans="9:9" x14ac:dyDescent="0.2">
      <c r="I40747" s="137" t="s">
        <v>74</v>
      </c>
    </row>
    <row r="40748" spans="9:9" x14ac:dyDescent="0.2">
      <c r="I40748" s="137" t="s">
        <v>74</v>
      </c>
    </row>
    <row r="40749" spans="9:9" x14ac:dyDescent="0.2">
      <c r="I40749" s="137" t="s">
        <v>74</v>
      </c>
    </row>
    <row r="40750" spans="9:9" x14ac:dyDescent="0.2">
      <c r="I40750" s="137" t="s">
        <v>74</v>
      </c>
    </row>
    <row r="40751" spans="9:9" x14ac:dyDescent="0.2">
      <c r="I40751" s="137" t="s">
        <v>74</v>
      </c>
    </row>
    <row r="40752" spans="9:9" x14ac:dyDescent="0.2">
      <c r="I40752" s="137" t="s">
        <v>74</v>
      </c>
    </row>
    <row r="40753" spans="9:9" x14ac:dyDescent="0.2">
      <c r="I40753" s="137" t="s">
        <v>74</v>
      </c>
    </row>
    <row r="40754" spans="9:9" x14ac:dyDescent="0.2">
      <c r="I40754" s="137" t="s">
        <v>74</v>
      </c>
    </row>
    <row r="40755" spans="9:9" x14ac:dyDescent="0.2">
      <c r="I40755" s="137" t="s">
        <v>74</v>
      </c>
    </row>
    <row r="40756" spans="9:9" x14ac:dyDescent="0.2">
      <c r="I40756" s="137" t="s">
        <v>74</v>
      </c>
    </row>
    <row r="40757" spans="9:9" x14ac:dyDescent="0.2">
      <c r="I40757" s="137" t="s">
        <v>74</v>
      </c>
    </row>
    <row r="40758" spans="9:9" x14ac:dyDescent="0.2">
      <c r="I40758" s="137" t="s">
        <v>74</v>
      </c>
    </row>
    <row r="40759" spans="9:9" x14ac:dyDescent="0.2">
      <c r="I40759" s="137" t="s">
        <v>74</v>
      </c>
    </row>
    <row r="40760" spans="9:9" x14ac:dyDescent="0.2">
      <c r="I40760" s="137" t="s">
        <v>74</v>
      </c>
    </row>
    <row r="40761" spans="9:9" x14ac:dyDescent="0.2">
      <c r="I40761" s="137" t="s">
        <v>74</v>
      </c>
    </row>
    <row r="40762" spans="9:9" x14ac:dyDescent="0.2">
      <c r="I40762" s="137" t="s">
        <v>74</v>
      </c>
    </row>
    <row r="40763" spans="9:9" x14ac:dyDescent="0.2">
      <c r="I40763" s="137" t="s">
        <v>74</v>
      </c>
    </row>
    <row r="40764" spans="9:9" x14ac:dyDescent="0.2">
      <c r="I40764" s="137" t="s">
        <v>74</v>
      </c>
    </row>
    <row r="40765" spans="9:9" x14ac:dyDescent="0.2">
      <c r="I40765" s="137" t="s">
        <v>74</v>
      </c>
    </row>
    <row r="40766" spans="9:9" x14ac:dyDescent="0.2">
      <c r="I40766" s="137" t="s">
        <v>74</v>
      </c>
    </row>
    <row r="40767" spans="9:9" x14ac:dyDescent="0.2">
      <c r="I40767" s="137" t="s">
        <v>74</v>
      </c>
    </row>
    <row r="40768" spans="9:9" x14ac:dyDescent="0.2">
      <c r="I40768" s="137" t="s">
        <v>74</v>
      </c>
    </row>
    <row r="40769" spans="9:9" x14ac:dyDescent="0.2">
      <c r="I40769" s="137" t="s">
        <v>74</v>
      </c>
    </row>
    <row r="40770" spans="9:9" x14ac:dyDescent="0.2">
      <c r="I40770" s="137" t="s">
        <v>74</v>
      </c>
    </row>
    <row r="40771" spans="9:9" x14ac:dyDescent="0.2">
      <c r="I40771" s="137" t="s">
        <v>74</v>
      </c>
    </row>
    <row r="40772" spans="9:9" x14ac:dyDescent="0.2">
      <c r="I40772" s="137" t="s">
        <v>74</v>
      </c>
    </row>
    <row r="40773" spans="9:9" x14ac:dyDescent="0.2">
      <c r="I40773" s="137" t="s">
        <v>74</v>
      </c>
    </row>
    <row r="40774" spans="9:9" x14ac:dyDescent="0.2">
      <c r="I40774" s="137" t="s">
        <v>74</v>
      </c>
    </row>
    <row r="40775" spans="9:9" x14ac:dyDescent="0.2">
      <c r="I40775" s="137" t="s">
        <v>74</v>
      </c>
    </row>
    <row r="40776" spans="9:9" x14ac:dyDescent="0.2">
      <c r="I40776" s="137" t="s">
        <v>74</v>
      </c>
    </row>
    <row r="40777" spans="9:9" x14ac:dyDescent="0.2">
      <c r="I40777" s="137" t="s">
        <v>74</v>
      </c>
    </row>
    <row r="40778" spans="9:9" x14ac:dyDescent="0.2">
      <c r="I40778" s="137" t="s">
        <v>74</v>
      </c>
    </row>
    <row r="40779" spans="9:9" x14ac:dyDescent="0.2">
      <c r="I40779" s="137" t="s">
        <v>74</v>
      </c>
    </row>
    <row r="40780" spans="9:9" x14ac:dyDescent="0.2">
      <c r="I40780" s="137" t="s">
        <v>74</v>
      </c>
    </row>
    <row r="40781" spans="9:9" x14ac:dyDescent="0.2">
      <c r="I40781" s="137" t="s">
        <v>74</v>
      </c>
    </row>
    <row r="40782" spans="9:9" x14ac:dyDescent="0.2">
      <c r="I40782" s="137" t="s">
        <v>74</v>
      </c>
    </row>
    <row r="40783" spans="9:9" x14ac:dyDescent="0.2">
      <c r="I40783" s="137" t="s">
        <v>74</v>
      </c>
    </row>
    <row r="40784" spans="9:9" x14ac:dyDescent="0.2">
      <c r="I40784" s="137" t="s">
        <v>74</v>
      </c>
    </row>
    <row r="40785" spans="9:9" x14ac:dyDescent="0.2">
      <c r="I40785" s="137" t="s">
        <v>74</v>
      </c>
    </row>
    <row r="40786" spans="9:9" x14ac:dyDescent="0.2">
      <c r="I40786" s="137" t="s">
        <v>74</v>
      </c>
    </row>
    <row r="40787" spans="9:9" x14ac:dyDescent="0.2">
      <c r="I40787" s="137" t="s">
        <v>74</v>
      </c>
    </row>
    <row r="40788" spans="9:9" x14ac:dyDescent="0.2">
      <c r="I40788" s="137" t="s">
        <v>74</v>
      </c>
    </row>
    <row r="40789" spans="9:9" x14ac:dyDescent="0.2">
      <c r="I40789" s="137" t="s">
        <v>74</v>
      </c>
    </row>
    <row r="40790" spans="9:9" x14ac:dyDescent="0.2">
      <c r="I40790" s="137" t="s">
        <v>74</v>
      </c>
    </row>
    <row r="40791" spans="9:9" x14ac:dyDescent="0.2">
      <c r="I40791" s="137" t="s">
        <v>74</v>
      </c>
    </row>
    <row r="40792" spans="9:9" x14ac:dyDescent="0.2">
      <c r="I40792" s="137" t="s">
        <v>74</v>
      </c>
    </row>
    <row r="40793" spans="9:9" x14ac:dyDescent="0.2">
      <c r="I40793" s="137" t="s">
        <v>74</v>
      </c>
    </row>
    <row r="40794" spans="9:9" x14ac:dyDescent="0.2">
      <c r="I40794" s="137" t="s">
        <v>74</v>
      </c>
    </row>
    <row r="40795" spans="9:9" x14ac:dyDescent="0.2">
      <c r="I40795" s="137" t="s">
        <v>74</v>
      </c>
    </row>
    <row r="40796" spans="9:9" x14ac:dyDescent="0.2">
      <c r="I40796" s="137" t="s">
        <v>74</v>
      </c>
    </row>
    <row r="40797" spans="9:9" x14ac:dyDescent="0.2">
      <c r="I40797" s="137" t="s">
        <v>74</v>
      </c>
    </row>
    <row r="40798" spans="9:9" x14ac:dyDescent="0.2">
      <c r="I40798" s="137" t="s">
        <v>74</v>
      </c>
    </row>
    <row r="40799" spans="9:9" x14ac:dyDescent="0.2">
      <c r="I40799" s="137" t="s">
        <v>74</v>
      </c>
    </row>
    <row r="40800" spans="9:9" x14ac:dyDescent="0.2">
      <c r="I40800" s="137" t="s">
        <v>74</v>
      </c>
    </row>
    <row r="40801" spans="9:9" x14ac:dyDescent="0.2">
      <c r="I40801" s="137" t="s">
        <v>74</v>
      </c>
    </row>
    <row r="40802" spans="9:9" x14ac:dyDescent="0.2">
      <c r="I40802" s="137" t="s">
        <v>74</v>
      </c>
    </row>
    <row r="40803" spans="9:9" x14ac:dyDescent="0.2">
      <c r="I40803" s="137" t="s">
        <v>74</v>
      </c>
    </row>
    <row r="40804" spans="9:9" x14ac:dyDescent="0.2">
      <c r="I40804" s="137" t="s">
        <v>74</v>
      </c>
    </row>
    <row r="40805" spans="9:9" x14ac:dyDescent="0.2">
      <c r="I40805" s="137" t="s">
        <v>74</v>
      </c>
    </row>
    <row r="40806" spans="9:9" x14ac:dyDescent="0.2">
      <c r="I40806" s="137" t="s">
        <v>74</v>
      </c>
    </row>
    <row r="40807" spans="9:9" x14ac:dyDescent="0.2">
      <c r="I40807" s="137" t="s">
        <v>74</v>
      </c>
    </row>
    <row r="40808" spans="9:9" x14ac:dyDescent="0.2">
      <c r="I40808" s="137" t="s">
        <v>74</v>
      </c>
    </row>
    <row r="40809" spans="9:9" x14ac:dyDescent="0.2">
      <c r="I40809" s="137" t="s">
        <v>74</v>
      </c>
    </row>
    <row r="40810" spans="9:9" x14ac:dyDescent="0.2">
      <c r="I40810" s="137" t="s">
        <v>74</v>
      </c>
    </row>
    <row r="40811" spans="9:9" x14ac:dyDescent="0.2">
      <c r="I40811" s="137" t="s">
        <v>74</v>
      </c>
    </row>
    <row r="40812" spans="9:9" x14ac:dyDescent="0.2">
      <c r="I40812" s="137" t="s">
        <v>74</v>
      </c>
    </row>
    <row r="40813" spans="9:9" x14ac:dyDescent="0.2">
      <c r="I40813" s="137" t="s">
        <v>74</v>
      </c>
    </row>
    <row r="40814" spans="9:9" x14ac:dyDescent="0.2">
      <c r="I40814" s="137" t="s">
        <v>74</v>
      </c>
    </row>
    <row r="40815" spans="9:9" x14ac:dyDescent="0.2">
      <c r="I40815" s="137" t="s">
        <v>74</v>
      </c>
    </row>
    <row r="40816" spans="9:9" x14ac:dyDescent="0.2">
      <c r="I40816" s="137" t="s">
        <v>74</v>
      </c>
    </row>
    <row r="40817" spans="9:9" x14ac:dyDescent="0.2">
      <c r="I40817" s="137" t="s">
        <v>74</v>
      </c>
    </row>
    <row r="40818" spans="9:9" x14ac:dyDescent="0.2">
      <c r="I40818" s="137" t="s">
        <v>74</v>
      </c>
    </row>
    <row r="40819" spans="9:9" x14ac:dyDescent="0.2">
      <c r="I40819" s="137" t="s">
        <v>74</v>
      </c>
    </row>
    <row r="40820" spans="9:9" x14ac:dyDescent="0.2">
      <c r="I40820" s="137" t="s">
        <v>74</v>
      </c>
    </row>
    <row r="40821" spans="9:9" x14ac:dyDescent="0.2">
      <c r="I40821" s="137" t="s">
        <v>74</v>
      </c>
    </row>
    <row r="40822" spans="9:9" x14ac:dyDescent="0.2">
      <c r="I40822" s="137" t="s">
        <v>74</v>
      </c>
    </row>
    <row r="40823" spans="9:9" x14ac:dyDescent="0.2">
      <c r="I40823" s="137" t="s">
        <v>74</v>
      </c>
    </row>
    <row r="40824" spans="9:9" x14ac:dyDescent="0.2">
      <c r="I40824" s="137" t="s">
        <v>74</v>
      </c>
    </row>
    <row r="40825" spans="9:9" x14ac:dyDescent="0.2">
      <c r="I40825" s="137" t="s">
        <v>74</v>
      </c>
    </row>
    <row r="40826" spans="9:9" x14ac:dyDescent="0.2">
      <c r="I40826" s="137" t="s">
        <v>74</v>
      </c>
    </row>
    <row r="40827" spans="9:9" x14ac:dyDescent="0.2">
      <c r="I40827" s="137" t="s">
        <v>74</v>
      </c>
    </row>
    <row r="40828" spans="9:9" x14ac:dyDescent="0.2">
      <c r="I40828" s="137" t="s">
        <v>74</v>
      </c>
    </row>
    <row r="40829" spans="9:9" x14ac:dyDescent="0.2">
      <c r="I40829" s="137" t="s">
        <v>74</v>
      </c>
    </row>
    <row r="40830" spans="9:9" x14ac:dyDescent="0.2">
      <c r="I40830" s="137" t="s">
        <v>74</v>
      </c>
    </row>
    <row r="40831" spans="9:9" x14ac:dyDescent="0.2">
      <c r="I40831" s="137" t="s">
        <v>74</v>
      </c>
    </row>
    <row r="40832" spans="9:9" x14ac:dyDescent="0.2">
      <c r="I40832" s="137" t="s">
        <v>74</v>
      </c>
    </row>
    <row r="40833" spans="9:9" x14ac:dyDescent="0.2">
      <c r="I40833" s="137" t="s">
        <v>74</v>
      </c>
    </row>
    <row r="40834" spans="9:9" x14ac:dyDescent="0.2">
      <c r="I40834" s="137" t="s">
        <v>74</v>
      </c>
    </row>
    <row r="40835" spans="9:9" x14ac:dyDescent="0.2">
      <c r="I40835" s="137" t="s">
        <v>74</v>
      </c>
    </row>
    <row r="40836" spans="9:9" x14ac:dyDescent="0.2">
      <c r="I40836" s="137" t="s">
        <v>74</v>
      </c>
    </row>
    <row r="40837" spans="9:9" x14ac:dyDescent="0.2">
      <c r="I40837" s="137" t="s">
        <v>74</v>
      </c>
    </row>
    <row r="40838" spans="9:9" x14ac:dyDescent="0.2">
      <c r="I40838" s="137" t="s">
        <v>74</v>
      </c>
    </row>
    <row r="40839" spans="9:9" x14ac:dyDescent="0.2">
      <c r="I40839" s="137" t="s">
        <v>74</v>
      </c>
    </row>
    <row r="40840" spans="9:9" x14ac:dyDescent="0.2">
      <c r="I40840" s="137" t="s">
        <v>74</v>
      </c>
    </row>
    <row r="40841" spans="9:9" x14ac:dyDescent="0.2">
      <c r="I40841" s="137" t="s">
        <v>74</v>
      </c>
    </row>
    <row r="40842" spans="9:9" x14ac:dyDescent="0.2">
      <c r="I40842" s="137" t="s">
        <v>74</v>
      </c>
    </row>
    <row r="40843" spans="9:9" x14ac:dyDescent="0.2">
      <c r="I40843" s="137" t="s">
        <v>74</v>
      </c>
    </row>
    <row r="40844" spans="9:9" x14ac:dyDescent="0.2">
      <c r="I40844" s="137" t="s">
        <v>74</v>
      </c>
    </row>
    <row r="40845" spans="9:9" x14ac:dyDescent="0.2">
      <c r="I40845" s="137" t="s">
        <v>74</v>
      </c>
    </row>
    <row r="40846" spans="9:9" x14ac:dyDescent="0.2">
      <c r="I40846" s="137" t="s">
        <v>74</v>
      </c>
    </row>
    <row r="40847" spans="9:9" x14ac:dyDescent="0.2">
      <c r="I40847" s="137" t="s">
        <v>74</v>
      </c>
    </row>
    <row r="40848" spans="9:9" x14ac:dyDescent="0.2">
      <c r="I40848" s="137" t="s">
        <v>74</v>
      </c>
    </row>
    <row r="40849" spans="9:9" x14ac:dyDescent="0.2">
      <c r="I40849" s="137" t="s">
        <v>74</v>
      </c>
    </row>
    <row r="40850" spans="9:9" x14ac:dyDescent="0.2">
      <c r="I40850" s="137" t="s">
        <v>74</v>
      </c>
    </row>
    <row r="40851" spans="9:9" x14ac:dyDescent="0.2">
      <c r="I40851" s="137" t="s">
        <v>74</v>
      </c>
    </row>
    <row r="40852" spans="9:9" x14ac:dyDescent="0.2">
      <c r="I40852" s="137" t="s">
        <v>74</v>
      </c>
    </row>
    <row r="40853" spans="9:9" x14ac:dyDescent="0.2">
      <c r="I40853" s="137" t="s">
        <v>74</v>
      </c>
    </row>
    <row r="40854" spans="9:9" x14ac:dyDescent="0.2">
      <c r="I40854" s="137" t="s">
        <v>74</v>
      </c>
    </row>
    <row r="40855" spans="9:9" x14ac:dyDescent="0.2">
      <c r="I40855" s="137" t="s">
        <v>74</v>
      </c>
    </row>
    <row r="40856" spans="9:9" x14ac:dyDescent="0.2">
      <c r="I40856" s="137" t="s">
        <v>74</v>
      </c>
    </row>
    <row r="40857" spans="9:9" x14ac:dyDescent="0.2">
      <c r="I40857" s="137" t="s">
        <v>74</v>
      </c>
    </row>
    <row r="40858" spans="9:9" x14ac:dyDescent="0.2">
      <c r="I40858" s="137" t="s">
        <v>74</v>
      </c>
    </row>
    <row r="40859" spans="9:9" x14ac:dyDescent="0.2">
      <c r="I40859" s="137" t="s">
        <v>74</v>
      </c>
    </row>
    <row r="40860" spans="9:9" x14ac:dyDescent="0.2">
      <c r="I40860" s="137" t="s">
        <v>74</v>
      </c>
    </row>
    <row r="40861" spans="9:9" x14ac:dyDescent="0.2">
      <c r="I40861" s="137" t="s">
        <v>74</v>
      </c>
    </row>
    <row r="40862" spans="9:9" x14ac:dyDescent="0.2">
      <c r="I40862" s="137" t="s">
        <v>74</v>
      </c>
    </row>
    <row r="40863" spans="9:9" x14ac:dyDescent="0.2">
      <c r="I40863" s="137" t="s">
        <v>74</v>
      </c>
    </row>
    <row r="40864" spans="9:9" x14ac:dyDescent="0.2">
      <c r="I40864" s="137" t="s">
        <v>74</v>
      </c>
    </row>
    <row r="40865" spans="9:9" x14ac:dyDescent="0.2">
      <c r="I40865" s="137" t="s">
        <v>74</v>
      </c>
    </row>
    <row r="40866" spans="9:9" x14ac:dyDescent="0.2">
      <c r="I40866" s="137" t="s">
        <v>74</v>
      </c>
    </row>
    <row r="40867" spans="9:9" x14ac:dyDescent="0.2">
      <c r="I40867" s="137" t="s">
        <v>74</v>
      </c>
    </row>
    <row r="40868" spans="9:9" x14ac:dyDescent="0.2">
      <c r="I40868" s="137" t="s">
        <v>74</v>
      </c>
    </row>
    <row r="40869" spans="9:9" x14ac:dyDescent="0.2">
      <c r="I40869" s="137" t="s">
        <v>74</v>
      </c>
    </row>
    <row r="40870" spans="9:9" x14ac:dyDescent="0.2">
      <c r="I40870" s="137" t="s">
        <v>74</v>
      </c>
    </row>
    <row r="40871" spans="9:9" x14ac:dyDescent="0.2">
      <c r="I40871" s="137" t="s">
        <v>74</v>
      </c>
    </row>
    <row r="40872" spans="9:9" x14ac:dyDescent="0.2">
      <c r="I40872" s="137" t="s">
        <v>74</v>
      </c>
    </row>
    <row r="40873" spans="9:9" x14ac:dyDescent="0.2">
      <c r="I40873" s="137" t="s">
        <v>74</v>
      </c>
    </row>
    <row r="40874" spans="9:9" x14ac:dyDescent="0.2">
      <c r="I40874" s="137" t="s">
        <v>74</v>
      </c>
    </row>
    <row r="40875" spans="9:9" x14ac:dyDescent="0.2">
      <c r="I40875" s="137" t="s">
        <v>74</v>
      </c>
    </row>
    <row r="40876" spans="9:9" x14ac:dyDescent="0.2">
      <c r="I40876" s="137" t="s">
        <v>74</v>
      </c>
    </row>
    <row r="40877" spans="9:9" x14ac:dyDescent="0.2">
      <c r="I40877" s="137" t="s">
        <v>74</v>
      </c>
    </row>
    <row r="40878" spans="9:9" x14ac:dyDescent="0.2">
      <c r="I40878" s="137" t="s">
        <v>74</v>
      </c>
    </row>
    <row r="40879" spans="9:9" x14ac:dyDescent="0.2">
      <c r="I40879" s="137" t="s">
        <v>74</v>
      </c>
    </row>
    <row r="40880" spans="9:9" x14ac:dyDescent="0.2">
      <c r="I40880" s="137" t="s">
        <v>74</v>
      </c>
    </row>
    <row r="40881" spans="9:9" x14ac:dyDescent="0.2">
      <c r="I40881" s="137" t="s">
        <v>74</v>
      </c>
    </row>
    <row r="40882" spans="9:9" x14ac:dyDescent="0.2">
      <c r="I40882" s="137" t="s">
        <v>74</v>
      </c>
    </row>
    <row r="40883" spans="9:9" x14ac:dyDescent="0.2">
      <c r="I40883" s="137" t="s">
        <v>74</v>
      </c>
    </row>
    <row r="40884" spans="9:9" x14ac:dyDescent="0.2">
      <c r="I40884" s="137" t="s">
        <v>74</v>
      </c>
    </row>
    <row r="40885" spans="9:9" x14ac:dyDescent="0.2">
      <c r="I40885" s="137" t="s">
        <v>74</v>
      </c>
    </row>
    <row r="40886" spans="9:9" x14ac:dyDescent="0.2">
      <c r="I40886" s="137" t="s">
        <v>74</v>
      </c>
    </row>
    <row r="40887" spans="9:9" x14ac:dyDescent="0.2">
      <c r="I40887" s="137" t="s">
        <v>74</v>
      </c>
    </row>
    <row r="40888" spans="9:9" x14ac:dyDescent="0.2">
      <c r="I40888" s="137" t="s">
        <v>74</v>
      </c>
    </row>
    <row r="40889" spans="9:9" x14ac:dyDescent="0.2">
      <c r="I40889" s="137" t="s">
        <v>74</v>
      </c>
    </row>
    <row r="40890" spans="9:9" x14ac:dyDescent="0.2">
      <c r="I40890" s="137" t="s">
        <v>74</v>
      </c>
    </row>
    <row r="40891" spans="9:9" x14ac:dyDescent="0.2">
      <c r="I40891" s="137" t="s">
        <v>74</v>
      </c>
    </row>
    <row r="40892" spans="9:9" x14ac:dyDescent="0.2">
      <c r="I40892" s="137" t="s">
        <v>74</v>
      </c>
    </row>
    <row r="40893" spans="9:9" x14ac:dyDescent="0.2">
      <c r="I40893" s="137" t="s">
        <v>74</v>
      </c>
    </row>
    <row r="40894" spans="9:9" x14ac:dyDescent="0.2">
      <c r="I40894" s="137" t="s">
        <v>74</v>
      </c>
    </row>
    <row r="40895" spans="9:9" x14ac:dyDescent="0.2">
      <c r="I40895" s="137" t="s">
        <v>74</v>
      </c>
    </row>
    <row r="40896" spans="9:9" x14ac:dyDescent="0.2">
      <c r="I40896" s="137" t="s">
        <v>74</v>
      </c>
    </row>
    <row r="40897" spans="9:9" x14ac:dyDescent="0.2">
      <c r="I40897" s="137" t="s">
        <v>74</v>
      </c>
    </row>
    <row r="40898" spans="9:9" x14ac:dyDescent="0.2">
      <c r="I40898" s="137" t="s">
        <v>74</v>
      </c>
    </row>
    <row r="40899" spans="9:9" x14ac:dyDescent="0.2">
      <c r="I40899" s="137" t="s">
        <v>74</v>
      </c>
    </row>
    <row r="40900" spans="9:9" x14ac:dyDescent="0.2">
      <c r="I40900" s="137" t="s">
        <v>74</v>
      </c>
    </row>
    <row r="40901" spans="9:9" x14ac:dyDescent="0.2">
      <c r="I40901" s="137" t="s">
        <v>74</v>
      </c>
    </row>
    <row r="40902" spans="9:9" x14ac:dyDescent="0.2">
      <c r="I40902" s="137" t="s">
        <v>74</v>
      </c>
    </row>
    <row r="40903" spans="9:9" x14ac:dyDescent="0.2">
      <c r="I40903" s="137" t="s">
        <v>74</v>
      </c>
    </row>
    <row r="40904" spans="9:9" x14ac:dyDescent="0.2">
      <c r="I40904" s="137" t="s">
        <v>74</v>
      </c>
    </row>
    <row r="40905" spans="9:9" x14ac:dyDescent="0.2">
      <c r="I40905" s="137" t="s">
        <v>74</v>
      </c>
    </row>
    <row r="40906" spans="9:9" x14ac:dyDescent="0.2">
      <c r="I40906" s="137" t="s">
        <v>74</v>
      </c>
    </row>
    <row r="40907" spans="9:9" x14ac:dyDescent="0.2">
      <c r="I40907" s="137" t="s">
        <v>74</v>
      </c>
    </row>
    <row r="40908" spans="9:9" x14ac:dyDescent="0.2">
      <c r="I40908" s="137" t="s">
        <v>74</v>
      </c>
    </row>
    <row r="40909" spans="9:9" x14ac:dyDescent="0.2">
      <c r="I40909" s="137" t="s">
        <v>74</v>
      </c>
    </row>
    <row r="40910" spans="9:9" x14ac:dyDescent="0.2">
      <c r="I40910" s="137" t="s">
        <v>74</v>
      </c>
    </row>
    <row r="40911" spans="9:9" x14ac:dyDescent="0.2">
      <c r="I40911" s="137" t="s">
        <v>74</v>
      </c>
    </row>
    <row r="40912" spans="9:9" x14ac:dyDescent="0.2">
      <c r="I40912" s="137" t="s">
        <v>74</v>
      </c>
    </row>
    <row r="40913" spans="9:9" x14ac:dyDescent="0.2">
      <c r="I40913" s="137" t="s">
        <v>74</v>
      </c>
    </row>
    <row r="40914" spans="9:9" x14ac:dyDescent="0.2">
      <c r="I40914" s="137" t="s">
        <v>74</v>
      </c>
    </row>
    <row r="40915" spans="9:9" x14ac:dyDescent="0.2">
      <c r="I40915" s="137" t="s">
        <v>74</v>
      </c>
    </row>
    <row r="40916" spans="9:9" x14ac:dyDescent="0.2">
      <c r="I40916" s="137" t="s">
        <v>74</v>
      </c>
    </row>
    <row r="40917" spans="9:9" x14ac:dyDescent="0.2">
      <c r="I40917" s="137" t="s">
        <v>74</v>
      </c>
    </row>
    <row r="40918" spans="9:9" x14ac:dyDescent="0.2">
      <c r="I40918" s="137" t="s">
        <v>74</v>
      </c>
    </row>
    <row r="40919" spans="9:9" x14ac:dyDescent="0.2">
      <c r="I40919" s="137" t="s">
        <v>74</v>
      </c>
    </row>
    <row r="40920" spans="9:9" x14ac:dyDescent="0.2">
      <c r="I40920" s="137" t="s">
        <v>74</v>
      </c>
    </row>
    <row r="40921" spans="9:9" x14ac:dyDescent="0.2">
      <c r="I40921" s="137" t="s">
        <v>74</v>
      </c>
    </row>
    <row r="40922" spans="9:9" x14ac:dyDescent="0.2">
      <c r="I40922" s="137" t="s">
        <v>74</v>
      </c>
    </row>
    <row r="40923" spans="9:9" x14ac:dyDescent="0.2">
      <c r="I40923" s="137" t="s">
        <v>74</v>
      </c>
    </row>
    <row r="40924" spans="9:9" x14ac:dyDescent="0.2">
      <c r="I40924" s="137" t="s">
        <v>74</v>
      </c>
    </row>
    <row r="40925" spans="9:9" x14ac:dyDescent="0.2">
      <c r="I40925" s="137" t="s">
        <v>74</v>
      </c>
    </row>
    <row r="40926" spans="9:9" x14ac:dyDescent="0.2">
      <c r="I40926" s="137" t="s">
        <v>74</v>
      </c>
    </row>
    <row r="40927" spans="9:9" x14ac:dyDescent="0.2">
      <c r="I40927" s="137" t="s">
        <v>74</v>
      </c>
    </row>
    <row r="40928" spans="9:9" x14ac:dyDescent="0.2">
      <c r="I40928" s="137" t="s">
        <v>74</v>
      </c>
    </row>
    <row r="40929" spans="9:9" x14ac:dyDescent="0.2">
      <c r="I40929" s="137" t="s">
        <v>74</v>
      </c>
    </row>
    <row r="40930" spans="9:9" x14ac:dyDescent="0.2">
      <c r="I40930" s="137" t="s">
        <v>74</v>
      </c>
    </row>
    <row r="40931" spans="9:9" x14ac:dyDescent="0.2">
      <c r="I40931" s="137" t="s">
        <v>74</v>
      </c>
    </row>
    <row r="40932" spans="9:9" x14ac:dyDescent="0.2">
      <c r="I40932" s="137" t="s">
        <v>74</v>
      </c>
    </row>
    <row r="40933" spans="9:9" x14ac:dyDescent="0.2">
      <c r="I40933" s="137" t="s">
        <v>74</v>
      </c>
    </row>
    <row r="40934" spans="9:9" x14ac:dyDescent="0.2">
      <c r="I40934" s="137" t="s">
        <v>74</v>
      </c>
    </row>
    <row r="40935" spans="9:9" x14ac:dyDescent="0.2">
      <c r="I40935" s="137" t="s">
        <v>74</v>
      </c>
    </row>
    <row r="40936" spans="9:9" x14ac:dyDescent="0.2">
      <c r="I40936" s="137" t="s">
        <v>74</v>
      </c>
    </row>
    <row r="40937" spans="9:9" x14ac:dyDescent="0.2">
      <c r="I40937" s="137" t="s">
        <v>74</v>
      </c>
    </row>
    <row r="40938" spans="9:9" x14ac:dyDescent="0.2">
      <c r="I40938" s="137" t="s">
        <v>74</v>
      </c>
    </row>
    <row r="40939" spans="9:9" x14ac:dyDescent="0.2">
      <c r="I40939" s="137" t="s">
        <v>74</v>
      </c>
    </row>
    <row r="40940" spans="9:9" x14ac:dyDescent="0.2">
      <c r="I40940" s="137" t="s">
        <v>74</v>
      </c>
    </row>
    <row r="40941" spans="9:9" x14ac:dyDescent="0.2">
      <c r="I40941" s="137" t="s">
        <v>74</v>
      </c>
    </row>
    <row r="40942" spans="9:9" x14ac:dyDescent="0.2">
      <c r="I40942" s="137" t="s">
        <v>74</v>
      </c>
    </row>
    <row r="40943" spans="9:9" x14ac:dyDescent="0.2">
      <c r="I40943" s="137" t="s">
        <v>74</v>
      </c>
    </row>
    <row r="40944" spans="9:9" x14ac:dyDescent="0.2">
      <c r="I40944" s="137" t="s">
        <v>74</v>
      </c>
    </row>
    <row r="40945" spans="9:9" x14ac:dyDescent="0.2">
      <c r="I40945" s="137" t="s">
        <v>74</v>
      </c>
    </row>
    <row r="40946" spans="9:9" x14ac:dyDescent="0.2">
      <c r="I40946" s="137" t="s">
        <v>74</v>
      </c>
    </row>
    <row r="40947" spans="9:9" x14ac:dyDescent="0.2">
      <c r="I40947" s="137" t="s">
        <v>74</v>
      </c>
    </row>
    <row r="40948" spans="9:9" x14ac:dyDescent="0.2">
      <c r="I40948" s="137" t="s">
        <v>74</v>
      </c>
    </row>
    <row r="40949" spans="9:9" x14ac:dyDescent="0.2">
      <c r="I40949" s="137" t="s">
        <v>74</v>
      </c>
    </row>
    <row r="40950" spans="9:9" x14ac:dyDescent="0.2">
      <c r="I40950" s="137" t="s">
        <v>74</v>
      </c>
    </row>
    <row r="40951" spans="9:9" x14ac:dyDescent="0.2">
      <c r="I40951" s="137" t="s">
        <v>74</v>
      </c>
    </row>
    <row r="40952" spans="9:9" x14ac:dyDescent="0.2">
      <c r="I40952" s="137" t="s">
        <v>74</v>
      </c>
    </row>
    <row r="40953" spans="9:9" x14ac:dyDescent="0.2">
      <c r="I40953" s="137" t="s">
        <v>74</v>
      </c>
    </row>
    <row r="40954" spans="9:9" x14ac:dyDescent="0.2">
      <c r="I40954" s="137" t="s">
        <v>74</v>
      </c>
    </row>
    <row r="40955" spans="9:9" x14ac:dyDescent="0.2">
      <c r="I40955" s="137" t="s">
        <v>74</v>
      </c>
    </row>
    <row r="40956" spans="9:9" x14ac:dyDescent="0.2">
      <c r="I40956" s="137" t="s">
        <v>74</v>
      </c>
    </row>
    <row r="40957" spans="9:9" x14ac:dyDescent="0.2">
      <c r="I40957" s="137" t="s">
        <v>74</v>
      </c>
    </row>
    <row r="40958" spans="9:9" x14ac:dyDescent="0.2">
      <c r="I40958" s="137" t="s">
        <v>74</v>
      </c>
    </row>
    <row r="40959" spans="9:9" x14ac:dyDescent="0.2">
      <c r="I40959" s="137" t="s">
        <v>74</v>
      </c>
    </row>
    <row r="40960" spans="9:9" x14ac:dyDescent="0.2">
      <c r="I40960" s="137" t="s">
        <v>74</v>
      </c>
    </row>
    <row r="40961" spans="9:9" x14ac:dyDescent="0.2">
      <c r="I40961" s="137" t="s">
        <v>74</v>
      </c>
    </row>
    <row r="40962" spans="9:9" x14ac:dyDescent="0.2">
      <c r="I40962" s="137" t="s">
        <v>74</v>
      </c>
    </row>
    <row r="40963" spans="9:9" x14ac:dyDescent="0.2">
      <c r="I40963" s="137" t="s">
        <v>74</v>
      </c>
    </row>
    <row r="40964" spans="9:9" x14ac:dyDescent="0.2">
      <c r="I40964" s="137" t="s">
        <v>74</v>
      </c>
    </row>
    <row r="40965" spans="9:9" x14ac:dyDescent="0.2">
      <c r="I40965" s="137" t="s">
        <v>74</v>
      </c>
    </row>
    <row r="40966" spans="9:9" x14ac:dyDescent="0.2">
      <c r="I40966" s="137" t="s">
        <v>74</v>
      </c>
    </row>
    <row r="40967" spans="9:9" x14ac:dyDescent="0.2">
      <c r="I40967" s="137" t="s">
        <v>74</v>
      </c>
    </row>
    <row r="40968" spans="9:9" x14ac:dyDescent="0.2">
      <c r="I40968" s="137" t="s">
        <v>74</v>
      </c>
    </row>
    <row r="40969" spans="9:9" x14ac:dyDescent="0.2">
      <c r="I40969" s="137" t="s">
        <v>74</v>
      </c>
    </row>
    <row r="40970" spans="9:9" x14ac:dyDescent="0.2">
      <c r="I40970" s="137" t="s">
        <v>74</v>
      </c>
    </row>
    <row r="40971" spans="9:9" x14ac:dyDescent="0.2">
      <c r="I40971" s="137" t="s">
        <v>74</v>
      </c>
    </row>
    <row r="40972" spans="9:9" x14ac:dyDescent="0.2">
      <c r="I40972" s="137" t="s">
        <v>74</v>
      </c>
    </row>
    <row r="40973" spans="9:9" x14ac:dyDescent="0.2">
      <c r="I40973" s="137" t="s">
        <v>74</v>
      </c>
    </row>
    <row r="40974" spans="9:9" x14ac:dyDescent="0.2">
      <c r="I40974" s="137" t="s">
        <v>74</v>
      </c>
    </row>
    <row r="40975" spans="9:9" x14ac:dyDescent="0.2">
      <c r="I40975" s="137" t="s">
        <v>74</v>
      </c>
    </row>
    <row r="40976" spans="9:9" x14ac:dyDescent="0.2">
      <c r="I40976" s="137" t="s">
        <v>74</v>
      </c>
    </row>
    <row r="40977" spans="9:9" x14ac:dyDescent="0.2">
      <c r="I40977" s="137" t="s">
        <v>74</v>
      </c>
    </row>
    <row r="40978" spans="9:9" x14ac:dyDescent="0.2">
      <c r="I40978" s="137" t="s">
        <v>74</v>
      </c>
    </row>
    <row r="40979" spans="9:9" x14ac:dyDescent="0.2">
      <c r="I40979" s="137" t="s">
        <v>74</v>
      </c>
    </row>
    <row r="40980" spans="9:9" x14ac:dyDescent="0.2">
      <c r="I40980" s="137" t="s">
        <v>74</v>
      </c>
    </row>
    <row r="40981" spans="9:9" x14ac:dyDescent="0.2">
      <c r="I40981" s="137" t="s">
        <v>74</v>
      </c>
    </row>
    <row r="40982" spans="9:9" x14ac:dyDescent="0.2">
      <c r="I40982" s="137" t="s">
        <v>74</v>
      </c>
    </row>
    <row r="40983" spans="9:9" x14ac:dyDescent="0.2">
      <c r="I40983" s="137" t="s">
        <v>74</v>
      </c>
    </row>
    <row r="40984" spans="9:9" x14ac:dyDescent="0.2">
      <c r="I40984" s="137" t="s">
        <v>74</v>
      </c>
    </row>
    <row r="40985" spans="9:9" x14ac:dyDescent="0.2">
      <c r="I40985" s="137" t="s">
        <v>74</v>
      </c>
    </row>
    <row r="40986" spans="9:9" x14ac:dyDescent="0.2">
      <c r="I40986" s="137" t="s">
        <v>74</v>
      </c>
    </row>
    <row r="40987" spans="9:9" x14ac:dyDescent="0.2">
      <c r="I40987" s="137" t="s">
        <v>74</v>
      </c>
    </row>
    <row r="40988" spans="9:9" x14ac:dyDescent="0.2">
      <c r="I40988" s="137" t="s">
        <v>74</v>
      </c>
    </row>
    <row r="40989" spans="9:9" x14ac:dyDescent="0.2">
      <c r="I40989" s="137" t="s">
        <v>74</v>
      </c>
    </row>
    <row r="40990" spans="9:9" x14ac:dyDescent="0.2">
      <c r="I40990" s="137" t="s">
        <v>74</v>
      </c>
    </row>
    <row r="40991" spans="9:9" x14ac:dyDescent="0.2">
      <c r="I40991" s="137" t="s">
        <v>74</v>
      </c>
    </row>
    <row r="40992" spans="9:9" x14ac:dyDescent="0.2">
      <c r="I40992" s="137" t="s">
        <v>74</v>
      </c>
    </row>
    <row r="40993" spans="9:9" x14ac:dyDescent="0.2">
      <c r="I40993" s="137" t="s">
        <v>74</v>
      </c>
    </row>
    <row r="40994" spans="9:9" x14ac:dyDescent="0.2">
      <c r="I40994" s="137" t="s">
        <v>74</v>
      </c>
    </row>
    <row r="40995" spans="9:9" x14ac:dyDescent="0.2">
      <c r="I40995" s="137" t="s">
        <v>74</v>
      </c>
    </row>
    <row r="40996" spans="9:9" x14ac:dyDescent="0.2">
      <c r="I40996" s="137" t="s">
        <v>74</v>
      </c>
    </row>
    <row r="40997" spans="9:9" x14ac:dyDescent="0.2">
      <c r="I40997" s="137" t="s">
        <v>74</v>
      </c>
    </row>
    <row r="40998" spans="9:9" x14ac:dyDescent="0.2">
      <c r="I40998" s="137" t="s">
        <v>74</v>
      </c>
    </row>
    <row r="40999" spans="9:9" x14ac:dyDescent="0.2">
      <c r="I40999" s="137" t="s">
        <v>74</v>
      </c>
    </row>
    <row r="41000" spans="9:9" x14ac:dyDescent="0.2">
      <c r="I41000" s="137" t="s">
        <v>74</v>
      </c>
    </row>
    <row r="41001" spans="9:9" x14ac:dyDescent="0.2">
      <c r="I41001" s="137" t="s">
        <v>74</v>
      </c>
    </row>
    <row r="41002" spans="9:9" x14ac:dyDescent="0.2">
      <c r="I41002" s="137" t="s">
        <v>74</v>
      </c>
    </row>
    <row r="41003" spans="9:9" x14ac:dyDescent="0.2">
      <c r="I41003" s="137" t="s">
        <v>74</v>
      </c>
    </row>
    <row r="41004" spans="9:9" x14ac:dyDescent="0.2">
      <c r="I41004" s="137" t="s">
        <v>74</v>
      </c>
    </row>
    <row r="41005" spans="9:9" x14ac:dyDescent="0.2">
      <c r="I41005" s="137" t="s">
        <v>74</v>
      </c>
    </row>
    <row r="41006" spans="9:9" x14ac:dyDescent="0.2">
      <c r="I41006" s="137" t="s">
        <v>74</v>
      </c>
    </row>
    <row r="41007" spans="9:9" x14ac:dyDescent="0.2">
      <c r="I41007" s="137" t="s">
        <v>74</v>
      </c>
    </row>
    <row r="41008" spans="9:9" x14ac:dyDescent="0.2">
      <c r="I41008" s="137" t="s">
        <v>74</v>
      </c>
    </row>
    <row r="41009" spans="9:9" x14ac:dyDescent="0.2">
      <c r="I41009" s="137" t="s">
        <v>74</v>
      </c>
    </row>
    <row r="41010" spans="9:9" x14ac:dyDescent="0.2">
      <c r="I41010" s="137" t="s">
        <v>74</v>
      </c>
    </row>
    <row r="41011" spans="9:9" x14ac:dyDescent="0.2">
      <c r="I41011" s="137" t="s">
        <v>74</v>
      </c>
    </row>
    <row r="41012" spans="9:9" x14ac:dyDescent="0.2">
      <c r="I41012" s="137" t="s">
        <v>74</v>
      </c>
    </row>
    <row r="41013" spans="9:9" x14ac:dyDescent="0.2">
      <c r="I41013" s="137" t="s">
        <v>74</v>
      </c>
    </row>
    <row r="41014" spans="9:9" x14ac:dyDescent="0.2">
      <c r="I41014" s="137" t="s">
        <v>74</v>
      </c>
    </row>
    <row r="41015" spans="9:9" x14ac:dyDescent="0.2">
      <c r="I41015" s="137" t="s">
        <v>74</v>
      </c>
    </row>
    <row r="41016" spans="9:9" x14ac:dyDescent="0.2">
      <c r="I41016" s="137" t="s">
        <v>74</v>
      </c>
    </row>
    <row r="41017" spans="9:9" x14ac:dyDescent="0.2">
      <c r="I41017" s="137" t="s">
        <v>74</v>
      </c>
    </row>
    <row r="41018" spans="9:9" x14ac:dyDescent="0.2">
      <c r="I41018" s="137" t="s">
        <v>74</v>
      </c>
    </row>
    <row r="41019" spans="9:9" x14ac:dyDescent="0.2">
      <c r="I41019" s="137" t="s">
        <v>74</v>
      </c>
    </row>
    <row r="41020" spans="9:9" x14ac:dyDescent="0.2">
      <c r="I41020" s="137" t="s">
        <v>74</v>
      </c>
    </row>
    <row r="41021" spans="9:9" x14ac:dyDescent="0.2">
      <c r="I41021" s="137" t="s">
        <v>74</v>
      </c>
    </row>
    <row r="41022" spans="9:9" x14ac:dyDescent="0.2">
      <c r="I41022" s="137" t="s">
        <v>74</v>
      </c>
    </row>
    <row r="41023" spans="9:9" x14ac:dyDescent="0.2">
      <c r="I41023" s="137" t="s">
        <v>74</v>
      </c>
    </row>
    <row r="41024" spans="9:9" x14ac:dyDescent="0.2">
      <c r="I41024" s="137" t="s">
        <v>74</v>
      </c>
    </row>
    <row r="41025" spans="9:9" x14ac:dyDescent="0.2">
      <c r="I41025" s="137" t="s">
        <v>74</v>
      </c>
    </row>
    <row r="41026" spans="9:9" x14ac:dyDescent="0.2">
      <c r="I41026" s="137" t="s">
        <v>74</v>
      </c>
    </row>
    <row r="41027" spans="9:9" x14ac:dyDescent="0.2">
      <c r="I41027" s="137" t="s">
        <v>74</v>
      </c>
    </row>
    <row r="41028" spans="9:9" x14ac:dyDescent="0.2">
      <c r="I41028" s="137" t="s">
        <v>74</v>
      </c>
    </row>
    <row r="41029" spans="9:9" x14ac:dyDescent="0.2">
      <c r="I41029" s="137" t="s">
        <v>74</v>
      </c>
    </row>
    <row r="41030" spans="9:9" x14ac:dyDescent="0.2">
      <c r="I41030" s="137" t="s">
        <v>74</v>
      </c>
    </row>
    <row r="41031" spans="9:9" x14ac:dyDescent="0.2">
      <c r="I41031" s="137" t="s">
        <v>74</v>
      </c>
    </row>
    <row r="41032" spans="9:9" x14ac:dyDescent="0.2">
      <c r="I41032" s="137" t="s">
        <v>74</v>
      </c>
    </row>
    <row r="41033" spans="9:9" x14ac:dyDescent="0.2">
      <c r="I41033" s="137" t="s">
        <v>74</v>
      </c>
    </row>
    <row r="41034" spans="9:9" x14ac:dyDescent="0.2">
      <c r="I41034" s="137" t="s">
        <v>74</v>
      </c>
    </row>
    <row r="41035" spans="9:9" x14ac:dyDescent="0.2">
      <c r="I41035" s="137" t="s">
        <v>74</v>
      </c>
    </row>
    <row r="41036" spans="9:9" x14ac:dyDescent="0.2">
      <c r="I41036" s="137" t="s">
        <v>74</v>
      </c>
    </row>
    <row r="41037" spans="9:9" x14ac:dyDescent="0.2">
      <c r="I41037" s="137" t="s">
        <v>74</v>
      </c>
    </row>
    <row r="41038" spans="9:9" x14ac:dyDescent="0.2">
      <c r="I41038" s="137" t="s">
        <v>74</v>
      </c>
    </row>
    <row r="41039" spans="9:9" x14ac:dyDescent="0.2">
      <c r="I41039" s="137" t="s">
        <v>74</v>
      </c>
    </row>
    <row r="41040" spans="9:9" x14ac:dyDescent="0.2">
      <c r="I41040" s="137" t="s">
        <v>74</v>
      </c>
    </row>
    <row r="41041" spans="9:9" x14ac:dyDescent="0.2">
      <c r="I41041" s="137" t="s">
        <v>74</v>
      </c>
    </row>
    <row r="41042" spans="9:9" x14ac:dyDescent="0.2">
      <c r="I41042" s="137" t="s">
        <v>74</v>
      </c>
    </row>
    <row r="41043" spans="9:9" x14ac:dyDescent="0.2">
      <c r="I41043" s="137" t="s">
        <v>74</v>
      </c>
    </row>
    <row r="41044" spans="9:9" x14ac:dyDescent="0.2">
      <c r="I41044" s="137" t="s">
        <v>74</v>
      </c>
    </row>
    <row r="41045" spans="9:9" x14ac:dyDescent="0.2">
      <c r="I41045" s="137" t="s">
        <v>74</v>
      </c>
    </row>
    <row r="41046" spans="9:9" x14ac:dyDescent="0.2">
      <c r="I41046" s="137" t="s">
        <v>74</v>
      </c>
    </row>
    <row r="41047" spans="9:9" x14ac:dyDescent="0.2">
      <c r="I41047" s="137" t="s">
        <v>74</v>
      </c>
    </row>
    <row r="41048" spans="9:9" x14ac:dyDescent="0.2">
      <c r="I41048" s="137" t="s">
        <v>74</v>
      </c>
    </row>
    <row r="41049" spans="9:9" x14ac:dyDescent="0.2">
      <c r="I41049" s="137" t="s">
        <v>74</v>
      </c>
    </row>
    <row r="41050" spans="9:9" x14ac:dyDescent="0.2">
      <c r="I41050" s="137" t="s">
        <v>74</v>
      </c>
    </row>
    <row r="41051" spans="9:9" x14ac:dyDescent="0.2">
      <c r="I41051" s="137" t="s">
        <v>74</v>
      </c>
    </row>
    <row r="41052" spans="9:9" x14ac:dyDescent="0.2">
      <c r="I41052" s="137" t="s">
        <v>74</v>
      </c>
    </row>
    <row r="41053" spans="9:9" x14ac:dyDescent="0.2">
      <c r="I41053" s="137" t="s">
        <v>74</v>
      </c>
    </row>
    <row r="41054" spans="9:9" x14ac:dyDescent="0.2">
      <c r="I41054" s="137" t="s">
        <v>74</v>
      </c>
    </row>
    <row r="41055" spans="9:9" x14ac:dyDescent="0.2">
      <c r="I41055" s="137" t="s">
        <v>74</v>
      </c>
    </row>
    <row r="41056" spans="9:9" x14ac:dyDescent="0.2">
      <c r="I41056" s="137" t="s">
        <v>74</v>
      </c>
    </row>
    <row r="41057" spans="9:9" x14ac:dyDescent="0.2">
      <c r="I41057" s="137" t="s">
        <v>74</v>
      </c>
    </row>
    <row r="41058" spans="9:9" x14ac:dyDescent="0.2">
      <c r="I41058" s="137" t="s">
        <v>74</v>
      </c>
    </row>
    <row r="41059" spans="9:9" x14ac:dyDescent="0.2">
      <c r="I41059" s="137" t="s">
        <v>74</v>
      </c>
    </row>
    <row r="41060" spans="9:9" x14ac:dyDescent="0.2">
      <c r="I41060" s="137" t="s">
        <v>74</v>
      </c>
    </row>
    <row r="41061" spans="9:9" x14ac:dyDescent="0.2">
      <c r="I41061" s="137" t="s">
        <v>74</v>
      </c>
    </row>
    <row r="41062" spans="9:9" x14ac:dyDescent="0.2">
      <c r="I41062" s="137" t="s">
        <v>74</v>
      </c>
    </row>
    <row r="41063" spans="9:9" x14ac:dyDescent="0.2">
      <c r="I41063" s="137" t="s">
        <v>74</v>
      </c>
    </row>
    <row r="41064" spans="9:9" x14ac:dyDescent="0.2">
      <c r="I41064" s="137" t="s">
        <v>74</v>
      </c>
    </row>
    <row r="41065" spans="9:9" x14ac:dyDescent="0.2">
      <c r="I41065" s="137" t="s">
        <v>74</v>
      </c>
    </row>
    <row r="41066" spans="9:9" x14ac:dyDescent="0.2">
      <c r="I41066" s="137" t="s">
        <v>74</v>
      </c>
    </row>
    <row r="41067" spans="9:9" x14ac:dyDescent="0.2">
      <c r="I41067" s="137" t="s">
        <v>74</v>
      </c>
    </row>
    <row r="41068" spans="9:9" x14ac:dyDescent="0.2">
      <c r="I41068" s="137" t="s">
        <v>74</v>
      </c>
    </row>
    <row r="41069" spans="9:9" x14ac:dyDescent="0.2">
      <c r="I41069" s="137" t="s">
        <v>74</v>
      </c>
    </row>
    <row r="41070" spans="9:9" x14ac:dyDescent="0.2">
      <c r="I41070" s="137" t="s">
        <v>74</v>
      </c>
    </row>
    <row r="41071" spans="9:9" x14ac:dyDescent="0.2">
      <c r="I41071" s="137" t="s">
        <v>74</v>
      </c>
    </row>
    <row r="41072" spans="9:9" x14ac:dyDescent="0.2">
      <c r="I41072" s="137" t="s">
        <v>74</v>
      </c>
    </row>
    <row r="41073" spans="9:9" x14ac:dyDescent="0.2">
      <c r="I41073" s="137" t="s">
        <v>74</v>
      </c>
    </row>
    <row r="41074" spans="9:9" x14ac:dyDescent="0.2">
      <c r="I41074" s="137" t="s">
        <v>74</v>
      </c>
    </row>
    <row r="41075" spans="9:9" x14ac:dyDescent="0.2">
      <c r="I41075" s="137" t="s">
        <v>74</v>
      </c>
    </row>
    <row r="41076" spans="9:9" x14ac:dyDescent="0.2">
      <c r="I41076" s="137" t="s">
        <v>74</v>
      </c>
    </row>
    <row r="41077" spans="9:9" x14ac:dyDescent="0.2">
      <c r="I41077" s="137" t="s">
        <v>74</v>
      </c>
    </row>
    <row r="41078" spans="9:9" x14ac:dyDescent="0.2">
      <c r="I41078" s="137" t="s">
        <v>74</v>
      </c>
    </row>
    <row r="41079" spans="9:9" x14ac:dyDescent="0.2">
      <c r="I41079" s="137" t="s">
        <v>74</v>
      </c>
    </row>
    <row r="41080" spans="9:9" x14ac:dyDescent="0.2">
      <c r="I41080" s="137" t="s">
        <v>74</v>
      </c>
    </row>
    <row r="41081" spans="9:9" x14ac:dyDescent="0.2">
      <c r="I41081" s="137" t="s">
        <v>74</v>
      </c>
    </row>
    <row r="41082" spans="9:9" x14ac:dyDescent="0.2">
      <c r="I41082" s="137" t="s">
        <v>74</v>
      </c>
    </row>
    <row r="41083" spans="9:9" x14ac:dyDescent="0.2">
      <c r="I41083" s="137" t="s">
        <v>74</v>
      </c>
    </row>
    <row r="41084" spans="9:9" x14ac:dyDescent="0.2">
      <c r="I41084" s="137" t="s">
        <v>74</v>
      </c>
    </row>
    <row r="41085" spans="9:9" x14ac:dyDescent="0.2">
      <c r="I41085" s="137" t="s">
        <v>74</v>
      </c>
    </row>
    <row r="41086" spans="9:9" x14ac:dyDescent="0.2">
      <c r="I41086" s="137" t="s">
        <v>74</v>
      </c>
    </row>
    <row r="41087" spans="9:9" x14ac:dyDescent="0.2">
      <c r="I41087" s="137" t="s">
        <v>74</v>
      </c>
    </row>
    <row r="41088" spans="9:9" x14ac:dyDescent="0.2">
      <c r="I41088" s="137" t="s">
        <v>74</v>
      </c>
    </row>
    <row r="41089" spans="9:9" x14ac:dyDescent="0.2">
      <c r="I41089" s="137" t="s">
        <v>74</v>
      </c>
    </row>
    <row r="41090" spans="9:9" x14ac:dyDescent="0.2">
      <c r="I41090" s="137" t="s">
        <v>74</v>
      </c>
    </row>
    <row r="41091" spans="9:9" x14ac:dyDescent="0.2">
      <c r="I41091" s="137" t="s">
        <v>74</v>
      </c>
    </row>
    <row r="41092" spans="9:9" x14ac:dyDescent="0.2">
      <c r="I41092" s="137" t="s">
        <v>74</v>
      </c>
    </row>
    <row r="41093" spans="9:9" x14ac:dyDescent="0.2">
      <c r="I41093" s="137" t="s">
        <v>74</v>
      </c>
    </row>
    <row r="41094" spans="9:9" x14ac:dyDescent="0.2">
      <c r="I41094" s="137" t="s">
        <v>74</v>
      </c>
    </row>
    <row r="41095" spans="9:9" x14ac:dyDescent="0.2">
      <c r="I41095" s="137" t="s">
        <v>74</v>
      </c>
    </row>
    <row r="41096" spans="9:9" x14ac:dyDescent="0.2">
      <c r="I41096" s="137" t="s">
        <v>74</v>
      </c>
    </row>
    <row r="41097" spans="9:9" x14ac:dyDescent="0.2">
      <c r="I41097" s="137" t="s">
        <v>74</v>
      </c>
    </row>
    <row r="41098" spans="9:9" x14ac:dyDescent="0.2">
      <c r="I41098" s="137" t="s">
        <v>74</v>
      </c>
    </row>
    <row r="41099" spans="9:9" x14ac:dyDescent="0.2">
      <c r="I41099" s="137" t="s">
        <v>74</v>
      </c>
    </row>
    <row r="41100" spans="9:9" x14ac:dyDescent="0.2">
      <c r="I41100" s="137" t="s">
        <v>74</v>
      </c>
    </row>
    <row r="41101" spans="9:9" x14ac:dyDescent="0.2">
      <c r="I41101" s="137" t="s">
        <v>74</v>
      </c>
    </row>
    <row r="41102" spans="9:9" x14ac:dyDescent="0.2">
      <c r="I41102" s="137" t="s">
        <v>74</v>
      </c>
    </row>
    <row r="41103" spans="9:9" x14ac:dyDescent="0.2">
      <c r="I41103" s="137" t="s">
        <v>74</v>
      </c>
    </row>
    <row r="41104" spans="9:9" x14ac:dyDescent="0.2">
      <c r="I41104" s="137" t="s">
        <v>74</v>
      </c>
    </row>
    <row r="41105" spans="9:9" x14ac:dyDescent="0.2">
      <c r="I41105" s="137" t="s">
        <v>74</v>
      </c>
    </row>
    <row r="41106" spans="9:9" x14ac:dyDescent="0.2">
      <c r="I41106" s="137" t="s">
        <v>74</v>
      </c>
    </row>
    <row r="41107" spans="9:9" x14ac:dyDescent="0.2">
      <c r="I41107" s="137" t="s">
        <v>74</v>
      </c>
    </row>
    <row r="41108" spans="9:9" x14ac:dyDescent="0.2">
      <c r="I41108" s="137" t="s">
        <v>74</v>
      </c>
    </row>
    <row r="41109" spans="9:9" x14ac:dyDescent="0.2">
      <c r="I41109" s="137" t="s">
        <v>74</v>
      </c>
    </row>
    <row r="41110" spans="9:9" x14ac:dyDescent="0.2">
      <c r="I41110" s="137" t="s">
        <v>74</v>
      </c>
    </row>
    <row r="41111" spans="9:9" x14ac:dyDescent="0.2">
      <c r="I41111" s="137" t="s">
        <v>74</v>
      </c>
    </row>
    <row r="41112" spans="9:9" x14ac:dyDescent="0.2">
      <c r="I41112" s="137" t="s">
        <v>74</v>
      </c>
    </row>
    <row r="41113" spans="9:9" x14ac:dyDescent="0.2">
      <c r="I41113" s="137" t="s">
        <v>74</v>
      </c>
    </row>
    <row r="41114" spans="9:9" x14ac:dyDescent="0.2">
      <c r="I41114" s="137" t="s">
        <v>74</v>
      </c>
    </row>
    <row r="41115" spans="9:9" x14ac:dyDescent="0.2">
      <c r="I41115" s="137" t="s">
        <v>74</v>
      </c>
    </row>
    <row r="41116" spans="9:9" x14ac:dyDescent="0.2">
      <c r="I41116" s="137" t="s">
        <v>74</v>
      </c>
    </row>
    <row r="41117" spans="9:9" x14ac:dyDescent="0.2">
      <c r="I41117" s="137" t="s">
        <v>74</v>
      </c>
    </row>
    <row r="41118" spans="9:9" x14ac:dyDescent="0.2">
      <c r="I41118" s="137" t="s">
        <v>74</v>
      </c>
    </row>
    <row r="41119" spans="9:9" x14ac:dyDescent="0.2">
      <c r="I41119" s="137" t="s">
        <v>74</v>
      </c>
    </row>
    <row r="41120" spans="9:9" x14ac:dyDescent="0.2">
      <c r="I41120" s="137" t="s">
        <v>74</v>
      </c>
    </row>
    <row r="41121" spans="9:9" x14ac:dyDescent="0.2">
      <c r="I41121" s="137" t="s">
        <v>74</v>
      </c>
    </row>
    <row r="41122" spans="9:9" x14ac:dyDescent="0.2">
      <c r="I41122" s="137" t="s">
        <v>74</v>
      </c>
    </row>
    <row r="41123" spans="9:9" x14ac:dyDescent="0.2">
      <c r="I41123" s="137" t="s">
        <v>74</v>
      </c>
    </row>
    <row r="41124" spans="9:9" x14ac:dyDescent="0.2">
      <c r="I41124" s="137" t="s">
        <v>74</v>
      </c>
    </row>
    <row r="41125" spans="9:9" x14ac:dyDescent="0.2">
      <c r="I41125" s="137" t="s">
        <v>74</v>
      </c>
    </row>
    <row r="41126" spans="9:9" x14ac:dyDescent="0.2">
      <c r="I41126" s="137" t="s">
        <v>74</v>
      </c>
    </row>
    <row r="41127" spans="9:9" x14ac:dyDescent="0.2">
      <c r="I41127" s="137" t="s">
        <v>74</v>
      </c>
    </row>
    <row r="41128" spans="9:9" x14ac:dyDescent="0.2">
      <c r="I41128" s="137" t="s">
        <v>74</v>
      </c>
    </row>
    <row r="41129" spans="9:9" x14ac:dyDescent="0.2">
      <c r="I41129" s="137" t="s">
        <v>74</v>
      </c>
    </row>
    <row r="41130" spans="9:9" x14ac:dyDescent="0.2">
      <c r="I41130" s="137" t="s">
        <v>74</v>
      </c>
    </row>
    <row r="41131" spans="9:9" x14ac:dyDescent="0.2">
      <c r="I41131" s="137" t="s">
        <v>74</v>
      </c>
    </row>
    <row r="41132" spans="9:9" x14ac:dyDescent="0.2">
      <c r="I41132" s="137" t="s">
        <v>74</v>
      </c>
    </row>
    <row r="41133" spans="9:9" x14ac:dyDescent="0.2">
      <c r="I41133" s="137" t="s">
        <v>74</v>
      </c>
    </row>
    <row r="41134" spans="9:9" x14ac:dyDescent="0.2">
      <c r="I41134" s="137" t="s">
        <v>74</v>
      </c>
    </row>
    <row r="41135" spans="9:9" x14ac:dyDescent="0.2">
      <c r="I41135" s="137" t="s">
        <v>74</v>
      </c>
    </row>
    <row r="41136" spans="9:9" x14ac:dyDescent="0.2">
      <c r="I41136" s="137" t="s">
        <v>74</v>
      </c>
    </row>
    <row r="41137" spans="9:9" x14ac:dyDescent="0.2">
      <c r="I41137" s="137" t="s">
        <v>74</v>
      </c>
    </row>
    <row r="41138" spans="9:9" x14ac:dyDescent="0.2">
      <c r="I41138" s="137" t="s">
        <v>74</v>
      </c>
    </row>
    <row r="41139" spans="9:9" x14ac:dyDescent="0.2">
      <c r="I41139" s="137" t="s">
        <v>74</v>
      </c>
    </row>
    <row r="41140" spans="9:9" x14ac:dyDescent="0.2">
      <c r="I41140" s="137" t="s">
        <v>74</v>
      </c>
    </row>
    <row r="41141" spans="9:9" x14ac:dyDescent="0.2">
      <c r="I41141" s="137" t="s">
        <v>74</v>
      </c>
    </row>
    <row r="41142" spans="9:9" x14ac:dyDescent="0.2">
      <c r="I41142" s="137" t="s">
        <v>74</v>
      </c>
    </row>
    <row r="41143" spans="9:9" x14ac:dyDescent="0.2">
      <c r="I41143" s="137" t="s">
        <v>74</v>
      </c>
    </row>
    <row r="41144" spans="9:9" x14ac:dyDescent="0.2">
      <c r="I41144" s="137" t="s">
        <v>74</v>
      </c>
    </row>
    <row r="41145" spans="9:9" x14ac:dyDescent="0.2">
      <c r="I41145" s="137" t="s">
        <v>74</v>
      </c>
    </row>
    <row r="41146" spans="9:9" x14ac:dyDescent="0.2">
      <c r="I41146" s="137" t="s">
        <v>74</v>
      </c>
    </row>
    <row r="41147" spans="9:9" x14ac:dyDescent="0.2">
      <c r="I41147" s="137" t="s">
        <v>74</v>
      </c>
    </row>
    <row r="41148" spans="9:9" x14ac:dyDescent="0.2">
      <c r="I41148" s="137" t="s">
        <v>74</v>
      </c>
    </row>
    <row r="41149" spans="9:9" x14ac:dyDescent="0.2">
      <c r="I41149" s="137" t="s">
        <v>74</v>
      </c>
    </row>
    <row r="41150" spans="9:9" x14ac:dyDescent="0.2">
      <c r="I41150" s="137" t="s">
        <v>74</v>
      </c>
    </row>
    <row r="41151" spans="9:9" x14ac:dyDescent="0.2">
      <c r="I41151" s="137" t="s">
        <v>74</v>
      </c>
    </row>
    <row r="41152" spans="9:9" x14ac:dyDescent="0.2">
      <c r="I41152" s="137" t="s">
        <v>74</v>
      </c>
    </row>
    <row r="41153" spans="9:9" x14ac:dyDescent="0.2">
      <c r="I41153" s="137" t="s">
        <v>74</v>
      </c>
    </row>
    <row r="41154" spans="9:9" x14ac:dyDescent="0.2">
      <c r="I41154" s="137" t="s">
        <v>74</v>
      </c>
    </row>
    <row r="41155" spans="9:9" x14ac:dyDescent="0.2">
      <c r="I41155" s="137" t="s">
        <v>74</v>
      </c>
    </row>
    <row r="41156" spans="9:9" x14ac:dyDescent="0.2">
      <c r="I41156" s="137" t="s">
        <v>74</v>
      </c>
    </row>
    <row r="41157" spans="9:9" x14ac:dyDescent="0.2">
      <c r="I41157" s="137" t="s">
        <v>74</v>
      </c>
    </row>
    <row r="41158" spans="9:9" x14ac:dyDescent="0.2">
      <c r="I41158" s="137" t="s">
        <v>74</v>
      </c>
    </row>
    <row r="41159" spans="9:9" x14ac:dyDescent="0.2">
      <c r="I41159" s="137" t="s">
        <v>74</v>
      </c>
    </row>
    <row r="41160" spans="9:9" x14ac:dyDescent="0.2">
      <c r="I41160" s="137" t="s">
        <v>74</v>
      </c>
    </row>
    <row r="41161" spans="9:9" x14ac:dyDescent="0.2">
      <c r="I41161" s="137" t="s">
        <v>74</v>
      </c>
    </row>
    <row r="41162" spans="9:9" x14ac:dyDescent="0.2">
      <c r="I41162" s="137" t="s">
        <v>74</v>
      </c>
    </row>
    <row r="41163" spans="9:9" x14ac:dyDescent="0.2">
      <c r="I41163" s="137" t="s">
        <v>74</v>
      </c>
    </row>
    <row r="41164" spans="9:9" x14ac:dyDescent="0.2">
      <c r="I41164" s="137" t="s">
        <v>74</v>
      </c>
    </row>
    <row r="41165" spans="9:9" x14ac:dyDescent="0.2">
      <c r="I41165" s="137" t="s">
        <v>74</v>
      </c>
    </row>
    <row r="41166" spans="9:9" x14ac:dyDescent="0.2">
      <c r="I41166" s="137" t="s">
        <v>74</v>
      </c>
    </row>
    <row r="41167" spans="9:9" x14ac:dyDescent="0.2">
      <c r="I41167" s="137" t="s">
        <v>74</v>
      </c>
    </row>
    <row r="41168" spans="9:9" x14ac:dyDescent="0.2">
      <c r="I41168" s="137" t="s">
        <v>74</v>
      </c>
    </row>
    <row r="41169" spans="9:9" x14ac:dyDescent="0.2">
      <c r="I41169" s="137" t="s">
        <v>74</v>
      </c>
    </row>
    <row r="41170" spans="9:9" x14ac:dyDescent="0.2">
      <c r="I41170" s="137" t="s">
        <v>74</v>
      </c>
    </row>
    <row r="41171" spans="9:9" x14ac:dyDescent="0.2">
      <c r="I41171" s="137" t="s">
        <v>74</v>
      </c>
    </row>
    <row r="41172" spans="9:9" x14ac:dyDescent="0.2">
      <c r="I41172" s="137" t="s">
        <v>74</v>
      </c>
    </row>
    <row r="41173" spans="9:9" x14ac:dyDescent="0.2">
      <c r="I41173" s="137" t="s">
        <v>74</v>
      </c>
    </row>
    <row r="41174" spans="9:9" x14ac:dyDescent="0.2">
      <c r="I41174" s="137" t="s">
        <v>74</v>
      </c>
    </row>
    <row r="41175" spans="9:9" x14ac:dyDescent="0.2">
      <c r="I41175" s="137" t="s">
        <v>74</v>
      </c>
    </row>
    <row r="41176" spans="9:9" x14ac:dyDescent="0.2">
      <c r="I41176" s="137" t="s">
        <v>74</v>
      </c>
    </row>
    <row r="41177" spans="9:9" x14ac:dyDescent="0.2">
      <c r="I41177" s="137" t="s">
        <v>74</v>
      </c>
    </row>
    <row r="41178" spans="9:9" x14ac:dyDescent="0.2">
      <c r="I41178" s="137" t="s">
        <v>74</v>
      </c>
    </row>
    <row r="41179" spans="9:9" x14ac:dyDescent="0.2">
      <c r="I41179" s="137" t="s">
        <v>74</v>
      </c>
    </row>
    <row r="41180" spans="9:9" x14ac:dyDescent="0.2">
      <c r="I41180" s="137" t="s">
        <v>74</v>
      </c>
    </row>
    <row r="41181" spans="9:9" x14ac:dyDescent="0.2">
      <c r="I41181" s="137" t="s">
        <v>74</v>
      </c>
    </row>
    <row r="41182" spans="9:9" x14ac:dyDescent="0.2">
      <c r="I41182" s="137" t="s">
        <v>74</v>
      </c>
    </row>
    <row r="41183" spans="9:9" x14ac:dyDescent="0.2">
      <c r="I41183" s="137" t="s">
        <v>74</v>
      </c>
    </row>
    <row r="41184" spans="9:9" x14ac:dyDescent="0.2">
      <c r="I41184" s="137" t="s">
        <v>74</v>
      </c>
    </row>
    <row r="41185" spans="9:9" x14ac:dyDescent="0.2">
      <c r="I41185" s="137" t="s">
        <v>74</v>
      </c>
    </row>
    <row r="41186" spans="9:9" x14ac:dyDescent="0.2">
      <c r="I41186" s="137" t="s">
        <v>74</v>
      </c>
    </row>
    <row r="41187" spans="9:9" x14ac:dyDescent="0.2">
      <c r="I41187" s="137" t="s">
        <v>74</v>
      </c>
    </row>
    <row r="41188" spans="9:9" x14ac:dyDescent="0.2">
      <c r="I41188" s="137" t="s">
        <v>74</v>
      </c>
    </row>
    <row r="41189" spans="9:9" x14ac:dyDescent="0.2">
      <c r="I41189" s="137" t="s">
        <v>74</v>
      </c>
    </row>
    <row r="41190" spans="9:9" x14ac:dyDescent="0.2">
      <c r="I41190" s="137" t="s">
        <v>74</v>
      </c>
    </row>
    <row r="41191" spans="9:9" x14ac:dyDescent="0.2">
      <c r="I41191" s="137" t="s">
        <v>74</v>
      </c>
    </row>
    <row r="41192" spans="9:9" x14ac:dyDescent="0.2">
      <c r="I41192" s="137" t="s">
        <v>74</v>
      </c>
    </row>
    <row r="41193" spans="9:9" x14ac:dyDescent="0.2">
      <c r="I41193" s="137" t="s">
        <v>74</v>
      </c>
    </row>
    <row r="41194" spans="9:9" x14ac:dyDescent="0.2">
      <c r="I41194" s="137" t="s">
        <v>74</v>
      </c>
    </row>
    <row r="41195" spans="9:9" x14ac:dyDescent="0.2">
      <c r="I41195" s="137" t="s">
        <v>74</v>
      </c>
    </row>
    <row r="41196" spans="9:9" x14ac:dyDescent="0.2">
      <c r="I41196" s="137" t="s">
        <v>74</v>
      </c>
    </row>
    <row r="41197" spans="9:9" x14ac:dyDescent="0.2">
      <c r="I41197" s="137" t="s">
        <v>74</v>
      </c>
    </row>
    <row r="41198" spans="9:9" x14ac:dyDescent="0.2">
      <c r="I41198" s="137" t="s">
        <v>74</v>
      </c>
    </row>
    <row r="41199" spans="9:9" x14ac:dyDescent="0.2">
      <c r="I41199" s="137" t="s">
        <v>74</v>
      </c>
    </row>
    <row r="41200" spans="9:9" x14ac:dyDescent="0.2">
      <c r="I41200" s="137" t="s">
        <v>74</v>
      </c>
    </row>
    <row r="41201" spans="9:9" x14ac:dyDescent="0.2">
      <c r="I41201" s="137" t="s">
        <v>74</v>
      </c>
    </row>
    <row r="41202" spans="9:9" x14ac:dyDescent="0.2">
      <c r="I41202" s="137" t="s">
        <v>74</v>
      </c>
    </row>
    <row r="41203" spans="9:9" x14ac:dyDescent="0.2">
      <c r="I41203" s="137" t="s">
        <v>74</v>
      </c>
    </row>
    <row r="41204" spans="9:9" x14ac:dyDescent="0.2">
      <c r="I41204" s="137" t="s">
        <v>74</v>
      </c>
    </row>
    <row r="41205" spans="9:9" x14ac:dyDescent="0.2">
      <c r="I41205" s="137" t="s">
        <v>74</v>
      </c>
    </row>
    <row r="41206" spans="9:9" x14ac:dyDescent="0.2">
      <c r="I41206" s="137" t="s">
        <v>74</v>
      </c>
    </row>
    <row r="41207" spans="9:9" x14ac:dyDescent="0.2">
      <c r="I41207" s="137" t="s">
        <v>74</v>
      </c>
    </row>
    <row r="41208" spans="9:9" x14ac:dyDescent="0.2">
      <c r="I41208" s="137" t="s">
        <v>74</v>
      </c>
    </row>
    <row r="41209" spans="9:9" x14ac:dyDescent="0.2">
      <c r="I41209" s="137" t="s">
        <v>74</v>
      </c>
    </row>
    <row r="41210" spans="9:9" x14ac:dyDescent="0.2">
      <c r="I41210" s="137" t="s">
        <v>74</v>
      </c>
    </row>
    <row r="41211" spans="9:9" x14ac:dyDescent="0.2">
      <c r="I41211" s="137" t="s">
        <v>74</v>
      </c>
    </row>
    <row r="41212" spans="9:9" x14ac:dyDescent="0.2">
      <c r="I41212" s="137" t="s">
        <v>74</v>
      </c>
    </row>
    <row r="41213" spans="9:9" x14ac:dyDescent="0.2">
      <c r="I41213" s="137" t="s">
        <v>74</v>
      </c>
    </row>
    <row r="41214" spans="9:9" x14ac:dyDescent="0.2">
      <c r="I41214" s="137" t="s">
        <v>74</v>
      </c>
    </row>
    <row r="41215" spans="9:9" x14ac:dyDescent="0.2">
      <c r="I41215" s="137" t="s">
        <v>74</v>
      </c>
    </row>
    <row r="41216" spans="9:9" x14ac:dyDescent="0.2">
      <c r="I41216" s="137" t="s">
        <v>74</v>
      </c>
    </row>
    <row r="41217" spans="9:9" x14ac:dyDescent="0.2">
      <c r="I41217" s="137" t="s">
        <v>74</v>
      </c>
    </row>
    <row r="41218" spans="9:9" x14ac:dyDescent="0.2">
      <c r="I41218" s="137" t="s">
        <v>74</v>
      </c>
    </row>
    <row r="41219" spans="9:9" x14ac:dyDescent="0.2">
      <c r="I41219" s="137" t="s">
        <v>74</v>
      </c>
    </row>
    <row r="41220" spans="9:9" x14ac:dyDescent="0.2">
      <c r="I41220" s="137" t="s">
        <v>74</v>
      </c>
    </row>
    <row r="41221" spans="9:9" x14ac:dyDescent="0.2">
      <c r="I41221" s="137" t="s">
        <v>74</v>
      </c>
    </row>
    <row r="41222" spans="9:9" x14ac:dyDescent="0.2">
      <c r="I41222" s="137" t="s">
        <v>74</v>
      </c>
    </row>
    <row r="41223" spans="9:9" x14ac:dyDescent="0.2">
      <c r="I41223" s="137" t="s">
        <v>74</v>
      </c>
    </row>
    <row r="41224" spans="9:9" x14ac:dyDescent="0.2">
      <c r="I41224" s="137" t="s">
        <v>74</v>
      </c>
    </row>
    <row r="41225" spans="9:9" x14ac:dyDescent="0.2">
      <c r="I41225" s="137" t="s">
        <v>74</v>
      </c>
    </row>
    <row r="41226" spans="9:9" x14ac:dyDescent="0.2">
      <c r="I41226" s="137" t="s">
        <v>74</v>
      </c>
    </row>
    <row r="41227" spans="9:9" x14ac:dyDescent="0.2">
      <c r="I41227" s="137" t="s">
        <v>74</v>
      </c>
    </row>
    <row r="41228" spans="9:9" x14ac:dyDescent="0.2">
      <c r="I41228" s="137" t="s">
        <v>74</v>
      </c>
    </row>
    <row r="41229" spans="9:9" x14ac:dyDescent="0.2">
      <c r="I41229" s="137" t="s">
        <v>74</v>
      </c>
    </row>
    <row r="41230" spans="9:9" x14ac:dyDescent="0.2">
      <c r="I41230" s="137" t="s">
        <v>74</v>
      </c>
    </row>
    <row r="41231" spans="9:9" x14ac:dyDescent="0.2">
      <c r="I41231" s="137" t="s">
        <v>74</v>
      </c>
    </row>
    <row r="41232" spans="9:9" x14ac:dyDescent="0.2">
      <c r="I41232" s="137" t="s">
        <v>74</v>
      </c>
    </row>
    <row r="41233" spans="9:9" x14ac:dyDescent="0.2">
      <c r="I41233" s="137" t="s">
        <v>74</v>
      </c>
    </row>
    <row r="41234" spans="9:9" x14ac:dyDescent="0.2">
      <c r="I41234" s="137" t="s">
        <v>74</v>
      </c>
    </row>
    <row r="41235" spans="9:9" x14ac:dyDescent="0.2">
      <c r="I41235" s="137" t="s">
        <v>74</v>
      </c>
    </row>
    <row r="41236" spans="9:9" x14ac:dyDescent="0.2">
      <c r="I41236" s="137" t="s">
        <v>74</v>
      </c>
    </row>
    <row r="41237" spans="9:9" x14ac:dyDescent="0.2">
      <c r="I41237" s="137" t="s">
        <v>74</v>
      </c>
    </row>
    <row r="41238" spans="9:9" x14ac:dyDescent="0.2">
      <c r="I41238" s="137" t="s">
        <v>74</v>
      </c>
    </row>
    <row r="41239" spans="9:9" x14ac:dyDescent="0.2">
      <c r="I41239" s="137" t="s">
        <v>74</v>
      </c>
    </row>
    <row r="41240" spans="9:9" x14ac:dyDescent="0.2">
      <c r="I41240" s="137" t="s">
        <v>74</v>
      </c>
    </row>
    <row r="41241" spans="9:9" x14ac:dyDescent="0.2">
      <c r="I41241" s="137" t="s">
        <v>74</v>
      </c>
    </row>
    <row r="41242" spans="9:9" x14ac:dyDescent="0.2">
      <c r="I41242" s="137" t="s">
        <v>74</v>
      </c>
    </row>
    <row r="41243" spans="9:9" x14ac:dyDescent="0.2">
      <c r="I41243" s="137" t="s">
        <v>74</v>
      </c>
    </row>
    <row r="41244" spans="9:9" x14ac:dyDescent="0.2">
      <c r="I41244" s="137" t="s">
        <v>74</v>
      </c>
    </row>
    <row r="41245" spans="9:9" x14ac:dyDescent="0.2">
      <c r="I41245" s="137" t="s">
        <v>74</v>
      </c>
    </row>
    <row r="41246" spans="9:9" x14ac:dyDescent="0.2">
      <c r="I41246" s="137" t="s">
        <v>74</v>
      </c>
    </row>
    <row r="41247" spans="9:9" x14ac:dyDescent="0.2">
      <c r="I41247" s="137" t="s">
        <v>74</v>
      </c>
    </row>
    <row r="41248" spans="9:9" x14ac:dyDescent="0.2">
      <c r="I41248" s="137" t="s">
        <v>74</v>
      </c>
    </row>
    <row r="41249" spans="9:9" x14ac:dyDescent="0.2">
      <c r="I41249" s="137" t="s">
        <v>74</v>
      </c>
    </row>
    <row r="41250" spans="9:9" x14ac:dyDescent="0.2">
      <c r="I41250" s="137" t="s">
        <v>74</v>
      </c>
    </row>
    <row r="41251" spans="9:9" x14ac:dyDescent="0.2">
      <c r="I41251" s="137" t="s">
        <v>74</v>
      </c>
    </row>
    <row r="41252" spans="9:9" x14ac:dyDescent="0.2">
      <c r="I41252" s="137" t="s">
        <v>74</v>
      </c>
    </row>
    <row r="41253" spans="9:9" x14ac:dyDescent="0.2">
      <c r="I41253" s="137" t="s">
        <v>74</v>
      </c>
    </row>
    <row r="41254" spans="9:9" x14ac:dyDescent="0.2">
      <c r="I41254" s="137" t="s">
        <v>74</v>
      </c>
    </row>
    <row r="41255" spans="9:9" x14ac:dyDescent="0.2">
      <c r="I41255" s="137" t="s">
        <v>74</v>
      </c>
    </row>
    <row r="41256" spans="9:9" x14ac:dyDescent="0.2">
      <c r="I41256" s="137" t="s">
        <v>74</v>
      </c>
    </row>
    <row r="41257" spans="9:9" x14ac:dyDescent="0.2">
      <c r="I41257" s="137" t="s">
        <v>74</v>
      </c>
    </row>
    <row r="41258" spans="9:9" x14ac:dyDescent="0.2">
      <c r="I41258" s="137" t="s">
        <v>74</v>
      </c>
    </row>
    <row r="41259" spans="9:9" x14ac:dyDescent="0.2">
      <c r="I41259" s="137" t="s">
        <v>74</v>
      </c>
    </row>
    <row r="41260" spans="9:9" x14ac:dyDescent="0.2">
      <c r="I41260" s="137" t="s">
        <v>74</v>
      </c>
    </row>
    <row r="41261" spans="9:9" x14ac:dyDescent="0.2">
      <c r="I41261" s="137" t="s">
        <v>74</v>
      </c>
    </row>
    <row r="41262" spans="9:9" x14ac:dyDescent="0.2">
      <c r="I41262" s="137" t="s">
        <v>74</v>
      </c>
    </row>
    <row r="41263" spans="9:9" x14ac:dyDescent="0.2">
      <c r="I41263" s="137" t="s">
        <v>74</v>
      </c>
    </row>
    <row r="41264" spans="9:9" x14ac:dyDescent="0.2">
      <c r="I41264" s="137" t="s">
        <v>74</v>
      </c>
    </row>
    <row r="41265" spans="9:9" x14ac:dyDescent="0.2">
      <c r="I41265" s="137" t="s">
        <v>74</v>
      </c>
    </row>
    <row r="41266" spans="9:9" x14ac:dyDescent="0.2">
      <c r="I41266" s="137" t="s">
        <v>74</v>
      </c>
    </row>
    <row r="41267" spans="9:9" x14ac:dyDescent="0.2">
      <c r="I41267" s="137" t="s">
        <v>74</v>
      </c>
    </row>
    <row r="41268" spans="9:9" x14ac:dyDescent="0.2">
      <c r="I41268" s="137" t="s">
        <v>74</v>
      </c>
    </row>
    <row r="41269" spans="9:9" x14ac:dyDescent="0.2">
      <c r="I41269" s="137" t="s">
        <v>74</v>
      </c>
    </row>
    <row r="41270" spans="9:9" x14ac:dyDescent="0.2">
      <c r="I41270" s="137" t="s">
        <v>74</v>
      </c>
    </row>
    <row r="41271" spans="9:9" x14ac:dyDescent="0.2">
      <c r="I41271" s="137" t="s">
        <v>74</v>
      </c>
    </row>
    <row r="41272" spans="9:9" x14ac:dyDescent="0.2">
      <c r="I41272" s="137" t="s">
        <v>74</v>
      </c>
    </row>
    <row r="41273" spans="9:9" x14ac:dyDescent="0.2">
      <c r="I41273" s="137" t="s">
        <v>74</v>
      </c>
    </row>
    <row r="41274" spans="9:9" x14ac:dyDescent="0.2">
      <c r="I41274" s="137" t="s">
        <v>74</v>
      </c>
    </row>
    <row r="41275" spans="9:9" x14ac:dyDescent="0.2">
      <c r="I41275" s="137" t="s">
        <v>74</v>
      </c>
    </row>
    <row r="41276" spans="9:9" x14ac:dyDescent="0.2">
      <c r="I41276" s="137" t="s">
        <v>74</v>
      </c>
    </row>
    <row r="41277" spans="9:9" x14ac:dyDescent="0.2">
      <c r="I41277" s="137" t="s">
        <v>74</v>
      </c>
    </row>
    <row r="41278" spans="9:9" x14ac:dyDescent="0.2">
      <c r="I41278" s="137" t="s">
        <v>74</v>
      </c>
    </row>
    <row r="41279" spans="9:9" x14ac:dyDescent="0.2">
      <c r="I41279" s="137" t="s">
        <v>74</v>
      </c>
    </row>
    <row r="41280" spans="9:9" x14ac:dyDescent="0.2">
      <c r="I41280" s="137" t="s">
        <v>74</v>
      </c>
    </row>
    <row r="41281" spans="9:9" x14ac:dyDescent="0.2">
      <c r="I41281" s="137" t="s">
        <v>74</v>
      </c>
    </row>
    <row r="41282" spans="9:9" x14ac:dyDescent="0.2">
      <c r="I41282" s="137" t="s">
        <v>74</v>
      </c>
    </row>
    <row r="41283" spans="9:9" x14ac:dyDescent="0.2">
      <c r="I41283" s="137" t="s">
        <v>74</v>
      </c>
    </row>
    <row r="41284" spans="9:9" x14ac:dyDescent="0.2">
      <c r="I41284" s="137" t="s">
        <v>74</v>
      </c>
    </row>
    <row r="41285" spans="9:9" x14ac:dyDescent="0.2">
      <c r="I41285" s="137" t="s">
        <v>74</v>
      </c>
    </row>
    <row r="41286" spans="9:9" x14ac:dyDescent="0.2">
      <c r="I41286" s="137" t="s">
        <v>74</v>
      </c>
    </row>
    <row r="41287" spans="9:9" x14ac:dyDescent="0.2">
      <c r="I41287" s="137" t="s">
        <v>74</v>
      </c>
    </row>
    <row r="41288" spans="9:9" x14ac:dyDescent="0.2">
      <c r="I41288" s="137" t="s">
        <v>74</v>
      </c>
    </row>
    <row r="41289" spans="9:9" x14ac:dyDescent="0.2">
      <c r="I41289" s="137" t="s">
        <v>74</v>
      </c>
    </row>
    <row r="41290" spans="9:9" x14ac:dyDescent="0.2">
      <c r="I41290" s="137" t="s">
        <v>74</v>
      </c>
    </row>
    <row r="41291" spans="9:9" x14ac:dyDescent="0.2">
      <c r="I41291" s="137" t="s">
        <v>74</v>
      </c>
    </row>
    <row r="41292" spans="9:9" x14ac:dyDescent="0.2">
      <c r="I41292" s="137" t="s">
        <v>74</v>
      </c>
    </row>
    <row r="41293" spans="9:9" x14ac:dyDescent="0.2">
      <c r="I41293" s="137" t="s">
        <v>74</v>
      </c>
    </row>
    <row r="41294" spans="9:9" x14ac:dyDescent="0.2">
      <c r="I41294" s="137" t="s">
        <v>74</v>
      </c>
    </row>
    <row r="41295" spans="9:9" x14ac:dyDescent="0.2">
      <c r="I41295" s="137" t="s">
        <v>74</v>
      </c>
    </row>
    <row r="41296" spans="9:9" x14ac:dyDescent="0.2">
      <c r="I41296" s="137" t="s">
        <v>74</v>
      </c>
    </row>
    <row r="41297" spans="9:9" x14ac:dyDescent="0.2">
      <c r="I41297" s="137" t="s">
        <v>74</v>
      </c>
    </row>
    <row r="41298" spans="9:9" x14ac:dyDescent="0.2">
      <c r="I41298" s="137" t="s">
        <v>74</v>
      </c>
    </row>
    <row r="41299" spans="9:9" x14ac:dyDescent="0.2">
      <c r="I41299" s="137" t="s">
        <v>74</v>
      </c>
    </row>
    <row r="41300" spans="9:9" x14ac:dyDescent="0.2">
      <c r="I41300" s="137" t="s">
        <v>74</v>
      </c>
    </row>
    <row r="41301" spans="9:9" x14ac:dyDescent="0.2">
      <c r="I41301" s="137" t="s">
        <v>74</v>
      </c>
    </row>
    <row r="41302" spans="9:9" x14ac:dyDescent="0.2">
      <c r="I41302" s="137" t="s">
        <v>74</v>
      </c>
    </row>
    <row r="41303" spans="9:9" x14ac:dyDescent="0.2">
      <c r="I41303" s="137" t="s">
        <v>74</v>
      </c>
    </row>
    <row r="41304" spans="9:9" x14ac:dyDescent="0.2">
      <c r="I41304" s="137" t="s">
        <v>74</v>
      </c>
    </row>
    <row r="41305" spans="9:9" x14ac:dyDescent="0.2">
      <c r="I41305" s="137" t="s">
        <v>74</v>
      </c>
    </row>
    <row r="41306" spans="9:9" x14ac:dyDescent="0.2">
      <c r="I41306" s="137" t="s">
        <v>74</v>
      </c>
    </row>
    <row r="41307" spans="9:9" x14ac:dyDescent="0.2">
      <c r="I41307" s="137" t="s">
        <v>74</v>
      </c>
    </row>
    <row r="41308" spans="9:9" x14ac:dyDescent="0.2">
      <c r="I41308" s="137" t="s">
        <v>74</v>
      </c>
    </row>
    <row r="41309" spans="9:9" x14ac:dyDescent="0.2">
      <c r="I41309" s="137" t="s">
        <v>74</v>
      </c>
    </row>
    <row r="41310" spans="9:9" x14ac:dyDescent="0.2">
      <c r="I41310" s="137" t="s">
        <v>74</v>
      </c>
    </row>
    <row r="41311" spans="9:9" x14ac:dyDescent="0.2">
      <c r="I41311" s="137" t="s">
        <v>74</v>
      </c>
    </row>
    <row r="41312" spans="9:9" x14ac:dyDescent="0.2">
      <c r="I41312" s="137" t="s">
        <v>74</v>
      </c>
    </row>
    <row r="41313" spans="9:9" x14ac:dyDescent="0.2">
      <c r="I41313" s="137" t="s">
        <v>74</v>
      </c>
    </row>
    <row r="41314" spans="9:9" x14ac:dyDescent="0.2">
      <c r="I41314" s="137" t="s">
        <v>74</v>
      </c>
    </row>
    <row r="41315" spans="9:9" x14ac:dyDescent="0.2">
      <c r="I41315" s="137" t="s">
        <v>74</v>
      </c>
    </row>
    <row r="41316" spans="9:9" x14ac:dyDescent="0.2">
      <c r="I41316" s="137" t="s">
        <v>74</v>
      </c>
    </row>
    <row r="41317" spans="9:9" x14ac:dyDescent="0.2">
      <c r="I41317" s="137" t="s">
        <v>74</v>
      </c>
    </row>
    <row r="41318" spans="9:9" x14ac:dyDescent="0.2">
      <c r="I41318" s="137" t="s">
        <v>74</v>
      </c>
    </row>
    <row r="41319" spans="9:9" x14ac:dyDescent="0.2">
      <c r="I41319" s="137" t="s">
        <v>74</v>
      </c>
    </row>
    <row r="41320" spans="9:9" x14ac:dyDescent="0.2">
      <c r="I41320" s="137" t="s">
        <v>74</v>
      </c>
    </row>
    <row r="41321" spans="9:9" x14ac:dyDescent="0.2">
      <c r="I41321" s="137" t="s">
        <v>74</v>
      </c>
    </row>
    <row r="41322" spans="9:9" x14ac:dyDescent="0.2">
      <c r="I41322" s="137" t="s">
        <v>74</v>
      </c>
    </row>
    <row r="41323" spans="9:9" x14ac:dyDescent="0.2">
      <c r="I41323" s="137" t="s">
        <v>74</v>
      </c>
    </row>
    <row r="41324" spans="9:9" x14ac:dyDescent="0.2">
      <c r="I41324" s="137" t="s">
        <v>74</v>
      </c>
    </row>
    <row r="41325" spans="9:9" x14ac:dyDescent="0.2">
      <c r="I41325" s="137" t="s">
        <v>74</v>
      </c>
    </row>
    <row r="41326" spans="9:9" x14ac:dyDescent="0.2">
      <c r="I41326" s="137" t="s">
        <v>74</v>
      </c>
    </row>
    <row r="41327" spans="9:9" x14ac:dyDescent="0.2">
      <c r="I41327" s="137" t="s">
        <v>74</v>
      </c>
    </row>
    <row r="41328" spans="9:9" x14ac:dyDescent="0.2">
      <c r="I41328" s="137" t="s">
        <v>74</v>
      </c>
    </row>
    <row r="41329" spans="9:9" x14ac:dyDescent="0.2">
      <c r="I41329" s="137" t="s">
        <v>74</v>
      </c>
    </row>
    <row r="41330" spans="9:9" x14ac:dyDescent="0.2">
      <c r="I41330" s="137" t="s">
        <v>74</v>
      </c>
    </row>
    <row r="41331" spans="9:9" x14ac:dyDescent="0.2">
      <c r="I41331" s="137" t="s">
        <v>74</v>
      </c>
    </row>
    <row r="41332" spans="9:9" x14ac:dyDescent="0.2">
      <c r="I41332" s="137" t="s">
        <v>74</v>
      </c>
    </row>
    <row r="41333" spans="9:9" x14ac:dyDescent="0.2">
      <c r="I41333" s="137" t="s">
        <v>74</v>
      </c>
    </row>
    <row r="41334" spans="9:9" x14ac:dyDescent="0.2">
      <c r="I41334" s="137" t="s">
        <v>74</v>
      </c>
    </row>
    <row r="41335" spans="9:9" x14ac:dyDescent="0.2">
      <c r="I41335" s="137" t="s">
        <v>74</v>
      </c>
    </row>
    <row r="41336" spans="9:9" x14ac:dyDescent="0.2">
      <c r="I41336" s="137" t="s">
        <v>74</v>
      </c>
    </row>
    <row r="41337" spans="9:9" x14ac:dyDescent="0.2">
      <c r="I41337" s="137" t="s">
        <v>74</v>
      </c>
    </row>
    <row r="41338" spans="9:9" x14ac:dyDescent="0.2">
      <c r="I41338" s="137" t="s">
        <v>74</v>
      </c>
    </row>
    <row r="41339" spans="9:9" x14ac:dyDescent="0.2">
      <c r="I41339" s="137" t="s">
        <v>74</v>
      </c>
    </row>
    <row r="41340" spans="9:9" x14ac:dyDescent="0.2">
      <c r="I41340" s="137" t="s">
        <v>74</v>
      </c>
    </row>
    <row r="41341" spans="9:9" x14ac:dyDescent="0.2">
      <c r="I41341" s="137" t="s">
        <v>74</v>
      </c>
    </row>
    <row r="41342" spans="9:9" x14ac:dyDescent="0.2">
      <c r="I41342" s="137" t="s">
        <v>74</v>
      </c>
    </row>
    <row r="41343" spans="9:9" x14ac:dyDescent="0.2">
      <c r="I41343" s="137" t="s">
        <v>74</v>
      </c>
    </row>
    <row r="41344" spans="9:9" x14ac:dyDescent="0.2">
      <c r="I41344" s="137" t="s">
        <v>74</v>
      </c>
    </row>
    <row r="41345" spans="9:9" x14ac:dyDescent="0.2">
      <c r="I41345" s="137" t="s">
        <v>74</v>
      </c>
    </row>
    <row r="41346" spans="9:9" x14ac:dyDescent="0.2">
      <c r="I41346" s="137" t="s">
        <v>74</v>
      </c>
    </row>
    <row r="41347" spans="9:9" x14ac:dyDescent="0.2">
      <c r="I41347" s="137" t="s">
        <v>74</v>
      </c>
    </row>
    <row r="41348" spans="9:9" x14ac:dyDescent="0.2">
      <c r="I41348" s="137" t="s">
        <v>74</v>
      </c>
    </row>
    <row r="41349" spans="9:9" x14ac:dyDescent="0.2">
      <c r="I41349" s="137" t="s">
        <v>74</v>
      </c>
    </row>
    <row r="41350" spans="9:9" x14ac:dyDescent="0.2">
      <c r="I41350" s="137" t="s">
        <v>74</v>
      </c>
    </row>
    <row r="41351" spans="9:9" x14ac:dyDescent="0.2">
      <c r="I41351" s="137" t="s">
        <v>74</v>
      </c>
    </row>
    <row r="41352" spans="9:9" x14ac:dyDescent="0.2">
      <c r="I41352" s="137" t="s">
        <v>74</v>
      </c>
    </row>
    <row r="41353" spans="9:9" x14ac:dyDescent="0.2">
      <c r="I41353" s="137" t="s">
        <v>74</v>
      </c>
    </row>
    <row r="41354" spans="9:9" x14ac:dyDescent="0.2">
      <c r="I41354" s="137" t="s">
        <v>74</v>
      </c>
    </row>
    <row r="41355" spans="9:9" x14ac:dyDescent="0.2">
      <c r="I41355" s="137" t="s">
        <v>74</v>
      </c>
    </row>
    <row r="41356" spans="9:9" x14ac:dyDescent="0.2">
      <c r="I41356" s="137" t="s">
        <v>74</v>
      </c>
    </row>
    <row r="41357" spans="9:9" x14ac:dyDescent="0.2">
      <c r="I41357" s="137" t="s">
        <v>74</v>
      </c>
    </row>
    <row r="41358" spans="9:9" x14ac:dyDescent="0.2">
      <c r="I41358" s="137" t="s">
        <v>74</v>
      </c>
    </row>
    <row r="41359" spans="9:9" x14ac:dyDescent="0.2">
      <c r="I41359" s="137" t="s">
        <v>74</v>
      </c>
    </row>
    <row r="41360" spans="9:9" x14ac:dyDescent="0.2">
      <c r="I41360" s="137" t="s">
        <v>74</v>
      </c>
    </row>
    <row r="41361" spans="9:9" x14ac:dyDescent="0.2">
      <c r="I41361" s="137" t="s">
        <v>74</v>
      </c>
    </row>
    <row r="41362" spans="9:9" x14ac:dyDescent="0.2">
      <c r="I41362" s="137" t="s">
        <v>74</v>
      </c>
    </row>
    <row r="41363" spans="9:9" x14ac:dyDescent="0.2">
      <c r="I41363" s="137" t="s">
        <v>74</v>
      </c>
    </row>
    <row r="41364" spans="9:9" x14ac:dyDescent="0.2">
      <c r="I41364" s="137" t="s">
        <v>74</v>
      </c>
    </row>
    <row r="41365" spans="9:9" x14ac:dyDescent="0.2">
      <c r="I41365" s="137" t="s">
        <v>74</v>
      </c>
    </row>
    <row r="41366" spans="9:9" x14ac:dyDescent="0.2">
      <c r="I41366" s="137" t="s">
        <v>74</v>
      </c>
    </row>
    <row r="41367" spans="9:9" x14ac:dyDescent="0.2">
      <c r="I41367" s="137" t="s">
        <v>74</v>
      </c>
    </row>
    <row r="41368" spans="9:9" x14ac:dyDescent="0.2">
      <c r="I41368" s="137" t="s">
        <v>74</v>
      </c>
    </row>
    <row r="41369" spans="9:9" x14ac:dyDescent="0.2">
      <c r="I41369" s="137" t="s">
        <v>74</v>
      </c>
    </row>
    <row r="41370" spans="9:9" x14ac:dyDescent="0.2">
      <c r="I41370" s="137" t="s">
        <v>74</v>
      </c>
    </row>
    <row r="41371" spans="9:9" x14ac:dyDescent="0.2">
      <c r="I41371" s="137" t="s">
        <v>74</v>
      </c>
    </row>
    <row r="41372" spans="9:9" x14ac:dyDescent="0.2">
      <c r="I41372" s="137" t="s">
        <v>74</v>
      </c>
    </row>
    <row r="41373" spans="9:9" x14ac:dyDescent="0.2">
      <c r="I41373" s="137" t="s">
        <v>74</v>
      </c>
    </row>
    <row r="41374" spans="9:9" x14ac:dyDescent="0.2">
      <c r="I41374" s="137" t="s">
        <v>74</v>
      </c>
    </row>
    <row r="41375" spans="9:9" x14ac:dyDescent="0.2">
      <c r="I41375" s="137" t="s">
        <v>74</v>
      </c>
    </row>
    <row r="41376" spans="9:9" x14ac:dyDescent="0.2">
      <c r="I41376" s="137" t="s">
        <v>74</v>
      </c>
    </row>
    <row r="41377" spans="9:9" x14ac:dyDescent="0.2">
      <c r="I41377" s="137" t="s">
        <v>74</v>
      </c>
    </row>
    <row r="41378" spans="9:9" x14ac:dyDescent="0.2">
      <c r="I41378" s="137" t="s">
        <v>74</v>
      </c>
    </row>
    <row r="41379" spans="9:9" x14ac:dyDescent="0.2">
      <c r="I41379" s="137" t="s">
        <v>74</v>
      </c>
    </row>
    <row r="41380" spans="9:9" x14ac:dyDescent="0.2">
      <c r="I41380" s="137" t="s">
        <v>74</v>
      </c>
    </row>
    <row r="41381" spans="9:9" x14ac:dyDescent="0.2">
      <c r="I41381" s="137" t="s">
        <v>74</v>
      </c>
    </row>
    <row r="41382" spans="9:9" x14ac:dyDescent="0.2">
      <c r="I41382" s="137" t="s">
        <v>74</v>
      </c>
    </row>
    <row r="41383" spans="9:9" x14ac:dyDescent="0.2">
      <c r="I41383" s="137" t="s">
        <v>74</v>
      </c>
    </row>
    <row r="41384" spans="9:9" x14ac:dyDescent="0.2">
      <c r="I41384" s="137" t="s">
        <v>74</v>
      </c>
    </row>
    <row r="41385" spans="9:9" x14ac:dyDescent="0.2">
      <c r="I41385" s="137" t="s">
        <v>74</v>
      </c>
    </row>
    <row r="41386" spans="9:9" x14ac:dyDescent="0.2">
      <c r="I41386" s="137" t="s">
        <v>74</v>
      </c>
    </row>
    <row r="41387" spans="9:9" x14ac:dyDescent="0.2">
      <c r="I41387" s="137" t="s">
        <v>74</v>
      </c>
    </row>
    <row r="41388" spans="9:9" x14ac:dyDescent="0.2">
      <c r="I41388" s="137" t="s">
        <v>74</v>
      </c>
    </row>
    <row r="41389" spans="9:9" x14ac:dyDescent="0.2">
      <c r="I41389" s="137" t="s">
        <v>74</v>
      </c>
    </row>
    <row r="41390" spans="9:9" x14ac:dyDescent="0.2">
      <c r="I41390" s="137" t="s">
        <v>74</v>
      </c>
    </row>
    <row r="41391" spans="9:9" x14ac:dyDescent="0.2">
      <c r="I41391" s="137" t="s">
        <v>74</v>
      </c>
    </row>
    <row r="41392" spans="9:9" x14ac:dyDescent="0.2">
      <c r="I41392" s="137" t="s">
        <v>74</v>
      </c>
    </row>
    <row r="41393" spans="9:9" x14ac:dyDescent="0.2">
      <c r="I41393" s="137" t="s">
        <v>74</v>
      </c>
    </row>
    <row r="41394" spans="9:9" x14ac:dyDescent="0.2">
      <c r="I41394" s="137" t="s">
        <v>74</v>
      </c>
    </row>
    <row r="41395" spans="9:9" x14ac:dyDescent="0.2">
      <c r="I41395" s="137" t="s">
        <v>74</v>
      </c>
    </row>
    <row r="41396" spans="9:9" x14ac:dyDescent="0.2">
      <c r="I41396" s="137" t="s">
        <v>74</v>
      </c>
    </row>
    <row r="41397" spans="9:9" x14ac:dyDescent="0.2">
      <c r="I41397" s="137" t="s">
        <v>74</v>
      </c>
    </row>
    <row r="41398" spans="9:9" x14ac:dyDescent="0.2">
      <c r="I41398" s="137" t="s">
        <v>74</v>
      </c>
    </row>
    <row r="41399" spans="9:9" x14ac:dyDescent="0.2">
      <c r="I41399" s="137" t="s">
        <v>74</v>
      </c>
    </row>
    <row r="41400" spans="9:9" x14ac:dyDescent="0.2">
      <c r="I41400" s="137" t="s">
        <v>74</v>
      </c>
    </row>
    <row r="41401" spans="9:9" x14ac:dyDescent="0.2">
      <c r="I41401" s="137" t="s">
        <v>74</v>
      </c>
    </row>
    <row r="41402" spans="9:9" x14ac:dyDescent="0.2">
      <c r="I41402" s="137" t="s">
        <v>74</v>
      </c>
    </row>
    <row r="41403" spans="9:9" x14ac:dyDescent="0.2">
      <c r="I41403" s="137" t="s">
        <v>74</v>
      </c>
    </row>
    <row r="41404" spans="9:9" x14ac:dyDescent="0.2">
      <c r="I41404" s="137" t="s">
        <v>74</v>
      </c>
    </row>
    <row r="41405" spans="9:9" x14ac:dyDescent="0.2">
      <c r="I41405" s="137" t="s">
        <v>74</v>
      </c>
    </row>
    <row r="41406" spans="9:9" x14ac:dyDescent="0.2">
      <c r="I41406" s="137" t="s">
        <v>74</v>
      </c>
    </row>
    <row r="41407" spans="9:9" x14ac:dyDescent="0.2">
      <c r="I41407" s="137" t="s">
        <v>74</v>
      </c>
    </row>
    <row r="41408" spans="9:9" x14ac:dyDescent="0.2">
      <c r="I41408" s="137" t="s">
        <v>74</v>
      </c>
    </row>
    <row r="41409" spans="9:9" x14ac:dyDescent="0.2">
      <c r="I41409" s="137" t="s">
        <v>74</v>
      </c>
    </row>
    <row r="41410" spans="9:9" x14ac:dyDescent="0.2">
      <c r="I41410" s="137" t="s">
        <v>74</v>
      </c>
    </row>
    <row r="41411" spans="9:9" x14ac:dyDescent="0.2">
      <c r="I41411" s="137" t="s">
        <v>74</v>
      </c>
    </row>
    <row r="41412" spans="9:9" x14ac:dyDescent="0.2">
      <c r="I41412" s="137" t="s">
        <v>74</v>
      </c>
    </row>
    <row r="41413" spans="9:9" x14ac:dyDescent="0.2">
      <c r="I41413" s="137" t="s">
        <v>74</v>
      </c>
    </row>
    <row r="41414" spans="9:9" x14ac:dyDescent="0.2">
      <c r="I41414" s="137" t="s">
        <v>74</v>
      </c>
    </row>
    <row r="41415" spans="9:9" x14ac:dyDescent="0.2">
      <c r="I41415" s="137" t="s">
        <v>74</v>
      </c>
    </row>
    <row r="41416" spans="9:9" x14ac:dyDescent="0.2">
      <c r="I41416" s="137" t="s">
        <v>74</v>
      </c>
    </row>
    <row r="41417" spans="9:9" x14ac:dyDescent="0.2">
      <c r="I41417" s="137" t="s">
        <v>74</v>
      </c>
    </row>
    <row r="41418" spans="9:9" x14ac:dyDescent="0.2">
      <c r="I41418" s="137" t="s">
        <v>74</v>
      </c>
    </row>
    <row r="41419" spans="9:9" x14ac:dyDescent="0.2">
      <c r="I41419" s="137" t="s">
        <v>74</v>
      </c>
    </row>
    <row r="41420" spans="9:9" x14ac:dyDescent="0.2">
      <c r="I41420" s="137" t="s">
        <v>74</v>
      </c>
    </row>
    <row r="41421" spans="9:9" x14ac:dyDescent="0.2">
      <c r="I41421" s="137" t="s">
        <v>74</v>
      </c>
    </row>
    <row r="41422" spans="9:9" x14ac:dyDescent="0.2">
      <c r="I41422" s="137" t="s">
        <v>74</v>
      </c>
    </row>
    <row r="41423" spans="9:9" x14ac:dyDescent="0.2">
      <c r="I41423" s="137" t="s">
        <v>74</v>
      </c>
    </row>
    <row r="41424" spans="9:9" x14ac:dyDescent="0.2">
      <c r="I41424" s="137" t="s">
        <v>74</v>
      </c>
    </row>
    <row r="41425" spans="9:9" x14ac:dyDescent="0.2">
      <c r="I41425" s="137" t="s">
        <v>74</v>
      </c>
    </row>
    <row r="41426" spans="9:9" x14ac:dyDescent="0.2">
      <c r="I41426" s="137" t="s">
        <v>74</v>
      </c>
    </row>
    <row r="41427" spans="9:9" x14ac:dyDescent="0.2">
      <c r="I41427" s="137" t="s">
        <v>74</v>
      </c>
    </row>
    <row r="41428" spans="9:9" x14ac:dyDescent="0.2">
      <c r="I41428" s="137" t="s">
        <v>74</v>
      </c>
    </row>
    <row r="41429" spans="9:9" x14ac:dyDescent="0.2">
      <c r="I41429" s="137" t="s">
        <v>74</v>
      </c>
    </row>
    <row r="41430" spans="9:9" x14ac:dyDescent="0.2">
      <c r="I41430" s="137" t="s">
        <v>74</v>
      </c>
    </row>
    <row r="41431" spans="9:9" x14ac:dyDescent="0.2">
      <c r="I41431" s="137" t="s">
        <v>74</v>
      </c>
    </row>
    <row r="41432" spans="9:9" x14ac:dyDescent="0.2">
      <c r="I41432" s="137" t="s">
        <v>74</v>
      </c>
    </row>
    <row r="41433" spans="9:9" x14ac:dyDescent="0.2">
      <c r="I41433" s="137" t="s">
        <v>74</v>
      </c>
    </row>
    <row r="41434" spans="9:9" x14ac:dyDescent="0.2">
      <c r="I41434" s="137" t="s">
        <v>74</v>
      </c>
    </row>
    <row r="41435" spans="9:9" x14ac:dyDescent="0.2">
      <c r="I41435" s="137" t="s">
        <v>74</v>
      </c>
    </row>
    <row r="41436" spans="9:9" x14ac:dyDescent="0.2">
      <c r="I41436" s="137" t="s">
        <v>74</v>
      </c>
    </row>
    <row r="41437" spans="9:9" x14ac:dyDescent="0.2">
      <c r="I41437" s="137" t="s">
        <v>74</v>
      </c>
    </row>
    <row r="41438" spans="9:9" x14ac:dyDescent="0.2">
      <c r="I41438" s="137" t="s">
        <v>74</v>
      </c>
    </row>
    <row r="41439" spans="9:9" x14ac:dyDescent="0.2">
      <c r="I41439" s="137" t="s">
        <v>74</v>
      </c>
    </row>
    <row r="41440" spans="9:9" x14ac:dyDescent="0.2">
      <c r="I41440" s="137" t="s">
        <v>74</v>
      </c>
    </row>
    <row r="41441" spans="9:9" x14ac:dyDescent="0.2">
      <c r="I41441" s="137" t="s">
        <v>74</v>
      </c>
    </row>
    <row r="41442" spans="9:9" x14ac:dyDescent="0.2">
      <c r="I41442" s="137" t="s">
        <v>74</v>
      </c>
    </row>
    <row r="41443" spans="9:9" x14ac:dyDescent="0.2">
      <c r="I41443" s="137" t="s">
        <v>74</v>
      </c>
    </row>
    <row r="41444" spans="9:9" x14ac:dyDescent="0.2">
      <c r="I41444" s="137" t="s">
        <v>74</v>
      </c>
    </row>
    <row r="41445" spans="9:9" x14ac:dyDescent="0.2">
      <c r="I41445" s="137" t="s">
        <v>74</v>
      </c>
    </row>
    <row r="41446" spans="9:9" x14ac:dyDescent="0.2">
      <c r="I41446" s="137" t="s">
        <v>74</v>
      </c>
    </row>
    <row r="41447" spans="9:9" x14ac:dyDescent="0.2">
      <c r="I41447" s="137" t="s">
        <v>74</v>
      </c>
    </row>
    <row r="41448" spans="9:9" x14ac:dyDescent="0.2">
      <c r="I41448" s="137" t="s">
        <v>74</v>
      </c>
    </row>
    <row r="41449" spans="9:9" x14ac:dyDescent="0.2">
      <c r="I41449" s="137" t="s">
        <v>74</v>
      </c>
    </row>
    <row r="41450" spans="9:9" x14ac:dyDescent="0.2">
      <c r="I41450" s="137" t="s">
        <v>74</v>
      </c>
    </row>
    <row r="41451" spans="9:9" x14ac:dyDescent="0.2">
      <c r="I41451" s="137" t="s">
        <v>74</v>
      </c>
    </row>
    <row r="41452" spans="9:9" x14ac:dyDescent="0.2">
      <c r="I41452" s="137" t="s">
        <v>74</v>
      </c>
    </row>
    <row r="41453" spans="9:9" x14ac:dyDescent="0.2">
      <c r="I41453" s="137" t="s">
        <v>74</v>
      </c>
    </row>
    <row r="41454" spans="9:9" x14ac:dyDescent="0.2">
      <c r="I41454" s="137" t="s">
        <v>74</v>
      </c>
    </row>
    <row r="41455" spans="9:9" x14ac:dyDescent="0.2">
      <c r="I41455" s="137" t="s">
        <v>74</v>
      </c>
    </row>
    <row r="41456" spans="9:9" x14ac:dyDescent="0.2">
      <c r="I41456" s="137" t="s">
        <v>74</v>
      </c>
    </row>
    <row r="41457" spans="9:9" x14ac:dyDescent="0.2">
      <c r="I41457" s="137" t="s">
        <v>74</v>
      </c>
    </row>
    <row r="41458" spans="9:9" x14ac:dyDescent="0.2">
      <c r="I41458" s="137" t="s">
        <v>74</v>
      </c>
    </row>
    <row r="41459" spans="9:9" x14ac:dyDescent="0.2">
      <c r="I41459" s="137" t="s">
        <v>74</v>
      </c>
    </row>
    <row r="41460" spans="9:9" x14ac:dyDescent="0.2">
      <c r="I41460" s="137" t="s">
        <v>74</v>
      </c>
    </row>
    <row r="41461" spans="9:9" x14ac:dyDescent="0.2">
      <c r="I41461" s="137" t="s">
        <v>74</v>
      </c>
    </row>
    <row r="41462" spans="9:9" x14ac:dyDescent="0.2">
      <c r="I41462" s="137" t="s">
        <v>74</v>
      </c>
    </row>
    <row r="41463" spans="9:9" x14ac:dyDescent="0.2">
      <c r="I41463" s="137" t="s">
        <v>74</v>
      </c>
    </row>
    <row r="41464" spans="9:9" x14ac:dyDescent="0.2">
      <c r="I41464" s="137" t="s">
        <v>74</v>
      </c>
    </row>
    <row r="41465" spans="9:9" x14ac:dyDescent="0.2">
      <c r="I41465" s="137" t="s">
        <v>74</v>
      </c>
    </row>
    <row r="41466" spans="9:9" x14ac:dyDescent="0.2">
      <c r="I41466" s="137" t="s">
        <v>74</v>
      </c>
    </row>
    <row r="41467" spans="9:9" x14ac:dyDescent="0.2">
      <c r="I41467" s="137" t="s">
        <v>74</v>
      </c>
    </row>
    <row r="41468" spans="9:9" x14ac:dyDescent="0.2">
      <c r="I41468" s="137" t="s">
        <v>74</v>
      </c>
    </row>
    <row r="41469" spans="9:9" x14ac:dyDescent="0.2">
      <c r="I41469" s="137" t="s">
        <v>74</v>
      </c>
    </row>
    <row r="41470" spans="9:9" x14ac:dyDescent="0.2">
      <c r="I41470" s="137" t="s">
        <v>74</v>
      </c>
    </row>
    <row r="41471" spans="9:9" x14ac:dyDescent="0.2">
      <c r="I41471" s="137" t="s">
        <v>74</v>
      </c>
    </row>
    <row r="41472" spans="9:9" x14ac:dyDescent="0.2">
      <c r="I41472" s="137" t="s">
        <v>74</v>
      </c>
    </row>
    <row r="41473" spans="9:9" x14ac:dyDescent="0.2">
      <c r="I41473" s="137" t="s">
        <v>74</v>
      </c>
    </row>
    <row r="41474" spans="9:9" x14ac:dyDescent="0.2">
      <c r="I41474" s="137" t="s">
        <v>74</v>
      </c>
    </row>
    <row r="41475" spans="9:9" x14ac:dyDescent="0.2">
      <c r="I41475" s="137" t="s">
        <v>74</v>
      </c>
    </row>
    <row r="41476" spans="9:9" x14ac:dyDescent="0.2">
      <c r="I41476" s="137" t="s">
        <v>74</v>
      </c>
    </row>
    <row r="41477" spans="9:9" x14ac:dyDescent="0.2">
      <c r="I41477" s="137" t="s">
        <v>74</v>
      </c>
    </row>
    <row r="41478" spans="9:9" x14ac:dyDescent="0.2">
      <c r="I41478" s="137" t="s">
        <v>74</v>
      </c>
    </row>
    <row r="41479" spans="9:9" x14ac:dyDescent="0.2">
      <c r="I41479" s="137" t="s">
        <v>74</v>
      </c>
    </row>
    <row r="41480" spans="9:9" x14ac:dyDescent="0.2">
      <c r="I41480" s="137" t="s">
        <v>74</v>
      </c>
    </row>
    <row r="41481" spans="9:9" x14ac:dyDescent="0.2">
      <c r="I41481" s="137" t="s">
        <v>74</v>
      </c>
    </row>
    <row r="41482" spans="9:9" x14ac:dyDescent="0.2">
      <c r="I41482" s="137" t="s">
        <v>74</v>
      </c>
    </row>
    <row r="41483" spans="9:9" x14ac:dyDescent="0.2">
      <c r="I41483" s="137" t="s">
        <v>74</v>
      </c>
    </row>
    <row r="41484" spans="9:9" x14ac:dyDescent="0.2">
      <c r="I41484" s="137" t="s">
        <v>74</v>
      </c>
    </row>
    <row r="41485" spans="9:9" x14ac:dyDescent="0.2">
      <c r="I41485" s="137" t="s">
        <v>74</v>
      </c>
    </row>
    <row r="41486" spans="9:9" x14ac:dyDescent="0.2">
      <c r="I41486" s="137" t="s">
        <v>74</v>
      </c>
    </row>
    <row r="41487" spans="9:9" x14ac:dyDescent="0.2">
      <c r="I41487" s="137" t="s">
        <v>74</v>
      </c>
    </row>
    <row r="41488" spans="9:9" x14ac:dyDescent="0.2">
      <c r="I41488" s="137" t="s">
        <v>74</v>
      </c>
    </row>
    <row r="41489" spans="9:9" x14ac:dyDescent="0.2">
      <c r="I41489" s="137" t="s">
        <v>74</v>
      </c>
    </row>
    <row r="41490" spans="9:9" x14ac:dyDescent="0.2">
      <c r="I41490" s="137" t="s">
        <v>74</v>
      </c>
    </row>
    <row r="41491" spans="9:9" x14ac:dyDescent="0.2">
      <c r="I41491" s="137" t="s">
        <v>74</v>
      </c>
    </row>
    <row r="41492" spans="9:9" x14ac:dyDescent="0.2">
      <c r="I41492" s="137" t="s">
        <v>74</v>
      </c>
    </row>
    <row r="41493" spans="9:9" x14ac:dyDescent="0.2">
      <c r="I41493" s="137" t="s">
        <v>74</v>
      </c>
    </row>
    <row r="41494" spans="9:9" x14ac:dyDescent="0.2">
      <c r="I41494" s="137" t="s">
        <v>74</v>
      </c>
    </row>
    <row r="41495" spans="9:9" x14ac:dyDescent="0.2">
      <c r="I41495" s="137" t="s">
        <v>74</v>
      </c>
    </row>
    <row r="41496" spans="9:9" x14ac:dyDescent="0.2">
      <c r="I41496" s="137" t="s">
        <v>74</v>
      </c>
    </row>
    <row r="41497" spans="9:9" x14ac:dyDescent="0.2">
      <c r="I41497" s="137" t="s">
        <v>74</v>
      </c>
    </row>
    <row r="41498" spans="9:9" x14ac:dyDescent="0.2">
      <c r="I41498" s="137" t="s">
        <v>74</v>
      </c>
    </row>
    <row r="41499" spans="9:9" x14ac:dyDescent="0.2">
      <c r="I41499" s="137" t="s">
        <v>74</v>
      </c>
    </row>
    <row r="41500" spans="9:9" x14ac:dyDescent="0.2">
      <c r="I41500" s="137" t="s">
        <v>74</v>
      </c>
    </row>
    <row r="41501" spans="9:9" x14ac:dyDescent="0.2">
      <c r="I41501" s="137" t="s">
        <v>74</v>
      </c>
    </row>
    <row r="41502" spans="9:9" x14ac:dyDescent="0.2">
      <c r="I41502" s="137" t="s">
        <v>74</v>
      </c>
    </row>
    <row r="41503" spans="9:9" x14ac:dyDescent="0.2">
      <c r="I41503" s="137" t="s">
        <v>74</v>
      </c>
    </row>
    <row r="41504" spans="9:9" x14ac:dyDescent="0.2">
      <c r="I41504" s="137" t="s">
        <v>74</v>
      </c>
    </row>
    <row r="41505" spans="9:9" x14ac:dyDescent="0.2">
      <c r="I41505" s="137" t="s">
        <v>74</v>
      </c>
    </row>
    <row r="41506" spans="9:9" x14ac:dyDescent="0.2">
      <c r="I41506" s="137" t="s">
        <v>74</v>
      </c>
    </row>
    <row r="41507" spans="9:9" x14ac:dyDescent="0.2">
      <c r="I41507" s="137" t="s">
        <v>74</v>
      </c>
    </row>
    <row r="41508" spans="9:9" x14ac:dyDescent="0.2">
      <c r="I41508" s="137" t="s">
        <v>74</v>
      </c>
    </row>
    <row r="41509" spans="9:9" x14ac:dyDescent="0.2">
      <c r="I41509" s="137" t="s">
        <v>74</v>
      </c>
    </row>
    <row r="41510" spans="9:9" x14ac:dyDescent="0.2">
      <c r="I41510" s="137" t="s">
        <v>74</v>
      </c>
    </row>
    <row r="41511" spans="9:9" x14ac:dyDescent="0.2">
      <c r="I41511" s="137" t="s">
        <v>74</v>
      </c>
    </row>
    <row r="41512" spans="9:9" x14ac:dyDescent="0.2">
      <c r="I41512" s="137" t="s">
        <v>74</v>
      </c>
    </row>
    <row r="41513" spans="9:9" x14ac:dyDescent="0.2">
      <c r="I41513" s="137" t="s">
        <v>74</v>
      </c>
    </row>
    <row r="41514" spans="9:9" x14ac:dyDescent="0.2">
      <c r="I41514" s="137" t="s">
        <v>74</v>
      </c>
    </row>
    <row r="41515" spans="9:9" x14ac:dyDescent="0.2">
      <c r="I41515" s="137" t="s">
        <v>74</v>
      </c>
    </row>
    <row r="41516" spans="9:9" x14ac:dyDescent="0.2">
      <c r="I41516" s="137" t="s">
        <v>74</v>
      </c>
    </row>
    <row r="41517" spans="9:9" x14ac:dyDescent="0.2">
      <c r="I41517" s="137" t="s">
        <v>74</v>
      </c>
    </row>
    <row r="41518" spans="9:9" x14ac:dyDescent="0.2">
      <c r="I41518" s="137" t="s">
        <v>74</v>
      </c>
    </row>
    <row r="41519" spans="9:9" x14ac:dyDescent="0.2">
      <c r="I41519" s="137" t="s">
        <v>74</v>
      </c>
    </row>
    <row r="41520" spans="9:9" x14ac:dyDescent="0.2">
      <c r="I41520" s="137" t="s">
        <v>74</v>
      </c>
    </row>
    <row r="41521" spans="9:9" x14ac:dyDescent="0.2">
      <c r="I41521" s="137" t="s">
        <v>74</v>
      </c>
    </row>
    <row r="41522" spans="9:9" x14ac:dyDescent="0.2">
      <c r="I41522" s="137" t="s">
        <v>74</v>
      </c>
    </row>
    <row r="41523" spans="9:9" x14ac:dyDescent="0.2">
      <c r="I41523" s="137" t="s">
        <v>74</v>
      </c>
    </row>
    <row r="41524" spans="9:9" x14ac:dyDescent="0.2">
      <c r="I41524" s="137" t="s">
        <v>74</v>
      </c>
    </row>
    <row r="41525" spans="9:9" x14ac:dyDescent="0.2">
      <c r="I41525" s="137" t="s">
        <v>74</v>
      </c>
    </row>
    <row r="41526" spans="9:9" x14ac:dyDescent="0.2">
      <c r="I41526" s="137" t="s">
        <v>74</v>
      </c>
    </row>
    <row r="41527" spans="9:9" x14ac:dyDescent="0.2">
      <c r="I41527" s="137" t="s">
        <v>74</v>
      </c>
    </row>
    <row r="41528" spans="9:9" x14ac:dyDescent="0.2">
      <c r="I41528" s="137" t="s">
        <v>74</v>
      </c>
    </row>
    <row r="41529" spans="9:9" x14ac:dyDescent="0.2">
      <c r="I41529" s="137" t="s">
        <v>74</v>
      </c>
    </row>
    <row r="41530" spans="9:9" x14ac:dyDescent="0.2">
      <c r="I41530" s="137" t="s">
        <v>74</v>
      </c>
    </row>
    <row r="41531" spans="9:9" x14ac:dyDescent="0.2">
      <c r="I41531" s="137" t="s">
        <v>74</v>
      </c>
    </row>
    <row r="41532" spans="9:9" x14ac:dyDescent="0.2">
      <c r="I41532" s="137" t="s">
        <v>74</v>
      </c>
    </row>
    <row r="41533" spans="9:9" x14ac:dyDescent="0.2">
      <c r="I41533" s="137" t="s">
        <v>74</v>
      </c>
    </row>
    <row r="41534" spans="9:9" x14ac:dyDescent="0.2">
      <c r="I41534" s="137" t="s">
        <v>74</v>
      </c>
    </row>
    <row r="41535" spans="9:9" x14ac:dyDescent="0.2">
      <c r="I41535" s="137" t="s">
        <v>74</v>
      </c>
    </row>
    <row r="41536" spans="9:9" x14ac:dyDescent="0.2">
      <c r="I41536" s="137" t="s">
        <v>74</v>
      </c>
    </row>
    <row r="41537" spans="9:9" x14ac:dyDescent="0.2">
      <c r="I41537" s="137" t="s">
        <v>74</v>
      </c>
    </row>
    <row r="41538" spans="9:9" x14ac:dyDescent="0.2">
      <c r="I41538" s="137" t="s">
        <v>74</v>
      </c>
    </row>
    <row r="41539" spans="9:9" x14ac:dyDescent="0.2">
      <c r="I41539" s="137" t="s">
        <v>74</v>
      </c>
    </row>
    <row r="41540" spans="9:9" x14ac:dyDescent="0.2">
      <c r="I41540" s="137" t="s">
        <v>74</v>
      </c>
    </row>
    <row r="41541" spans="9:9" x14ac:dyDescent="0.2">
      <c r="I41541" s="137" t="s">
        <v>74</v>
      </c>
    </row>
    <row r="41542" spans="9:9" x14ac:dyDescent="0.2">
      <c r="I41542" s="137" t="s">
        <v>74</v>
      </c>
    </row>
    <row r="41543" spans="9:9" x14ac:dyDescent="0.2">
      <c r="I41543" s="137" t="s">
        <v>74</v>
      </c>
    </row>
    <row r="41544" spans="9:9" x14ac:dyDescent="0.2">
      <c r="I41544" s="137" t="s">
        <v>74</v>
      </c>
    </row>
    <row r="41545" spans="9:9" x14ac:dyDescent="0.2">
      <c r="I41545" s="137" t="s">
        <v>74</v>
      </c>
    </row>
    <row r="41546" spans="9:9" x14ac:dyDescent="0.2">
      <c r="I41546" s="137" t="s">
        <v>74</v>
      </c>
    </row>
    <row r="41547" spans="9:9" x14ac:dyDescent="0.2">
      <c r="I41547" s="137" t="s">
        <v>74</v>
      </c>
    </row>
    <row r="41548" spans="9:9" x14ac:dyDescent="0.2">
      <c r="I41548" s="137" t="s">
        <v>74</v>
      </c>
    </row>
    <row r="41549" spans="9:9" x14ac:dyDescent="0.2">
      <c r="I41549" s="137" t="s">
        <v>74</v>
      </c>
    </row>
    <row r="41550" spans="9:9" x14ac:dyDescent="0.2">
      <c r="I41550" s="137" t="s">
        <v>74</v>
      </c>
    </row>
    <row r="41551" spans="9:9" x14ac:dyDescent="0.2">
      <c r="I41551" s="137" t="s">
        <v>74</v>
      </c>
    </row>
    <row r="41552" spans="9:9" x14ac:dyDescent="0.2">
      <c r="I41552" s="137" t="s">
        <v>74</v>
      </c>
    </row>
    <row r="41553" spans="9:9" x14ac:dyDescent="0.2">
      <c r="I41553" s="137" t="s">
        <v>74</v>
      </c>
    </row>
    <row r="41554" spans="9:9" x14ac:dyDescent="0.2">
      <c r="I41554" s="137" t="s">
        <v>74</v>
      </c>
    </row>
    <row r="41555" spans="9:9" x14ac:dyDescent="0.2">
      <c r="I41555" s="137" t="s">
        <v>74</v>
      </c>
    </row>
    <row r="41556" spans="9:9" x14ac:dyDescent="0.2">
      <c r="I41556" s="137" t="s">
        <v>74</v>
      </c>
    </row>
    <row r="41557" spans="9:9" x14ac:dyDescent="0.2">
      <c r="I41557" s="137" t="s">
        <v>74</v>
      </c>
    </row>
    <row r="41558" spans="9:9" x14ac:dyDescent="0.2">
      <c r="I41558" s="137" t="s">
        <v>74</v>
      </c>
    </row>
    <row r="41559" spans="9:9" x14ac:dyDescent="0.2">
      <c r="I41559" s="137" t="s">
        <v>74</v>
      </c>
    </row>
    <row r="41560" spans="9:9" x14ac:dyDescent="0.2">
      <c r="I41560" s="137" t="s">
        <v>74</v>
      </c>
    </row>
    <row r="41561" spans="9:9" x14ac:dyDescent="0.2">
      <c r="I41561" s="137" t="s">
        <v>74</v>
      </c>
    </row>
    <row r="41562" spans="9:9" x14ac:dyDescent="0.2">
      <c r="I41562" s="137" t="s">
        <v>74</v>
      </c>
    </row>
    <row r="41563" spans="9:9" x14ac:dyDescent="0.2">
      <c r="I41563" s="137" t="s">
        <v>74</v>
      </c>
    </row>
    <row r="41564" spans="9:9" x14ac:dyDescent="0.2">
      <c r="I41564" s="137" t="s">
        <v>74</v>
      </c>
    </row>
    <row r="41565" spans="9:9" x14ac:dyDescent="0.2">
      <c r="I41565" s="137" t="s">
        <v>74</v>
      </c>
    </row>
    <row r="41566" spans="9:9" x14ac:dyDescent="0.2">
      <c r="I41566" s="137" t="s">
        <v>74</v>
      </c>
    </row>
    <row r="41567" spans="9:9" x14ac:dyDescent="0.2">
      <c r="I41567" s="137" t="s">
        <v>74</v>
      </c>
    </row>
    <row r="41568" spans="9:9" x14ac:dyDescent="0.2">
      <c r="I41568" s="137" t="s">
        <v>74</v>
      </c>
    </row>
    <row r="41569" spans="9:9" x14ac:dyDescent="0.2">
      <c r="I41569" s="137" t="s">
        <v>74</v>
      </c>
    </row>
    <row r="41570" spans="9:9" x14ac:dyDescent="0.2">
      <c r="I41570" s="137" t="s">
        <v>74</v>
      </c>
    </row>
    <row r="41571" spans="9:9" x14ac:dyDescent="0.2">
      <c r="I41571" s="137" t="s">
        <v>74</v>
      </c>
    </row>
    <row r="41572" spans="9:9" x14ac:dyDescent="0.2">
      <c r="I41572" s="137" t="s">
        <v>74</v>
      </c>
    </row>
    <row r="41573" spans="9:9" x14ac:dyDescent="0.2">
      <c r="I41573" s="137" t="s">
        <v>74</v>
      </c>
    </row>
    <row r="41574" spans="9:9" x14ac:dyDescent="0.2">
      <c r="I41574" s="137" t="s">
        <v>74</v>
      </c>
    </row>
    <row r="41575" spans="9:9" x14ac:dyDescent="0.2">
      <c r="I41575" s="137" t="s">
        <v>74</v>
      </c>
    </row>
    <row r="41576" spans="9:9" x14ac:dyDescent="0.2">
      <c r="I41576" s="137" t="s">
        <v>74</v>
      </c>
    </row>
    <row r="41577" spans="9:9" x14ac:dyDescent="0.2">
      <c r="I41577" s="137" t="s">
        <v>74</v>
      </c>
    </row>
    <row r="41578" spans="9:9" x14ac:dyDescent="0.2">
      <c r="I41578" s="137" t="s">
        <v>74</v>
      </c>
    </row>
    <row r="41579" spans="9:9" x14ac:dyDescent="0.2">
      <c r="I41579" s="137" t="s">
        <v>74</v>
      </c>
    </row>
    <row r="41580" spans="9:9" x14ac:dyDescent="0.2">
      <c r="I41580" s="137" t="s">
        <v>74</v>
      </c>
    </row>
    <row r="41581" spans="9:9" x14ac:dyDescent="0.2">
      <c r="I41581" s="137" t="s">
        <v>74</v>
      </c>
    </row>
    <row r="41582" spans="9:9" x14ac:dyDescent="0.2">
      <c r="I41582" s="137" t="s">
        <v>74</v>
      </c>
    </row>
    <row r="41583" spans="9:9" x14ac:dyDescent="0.2">
      <c r="I41583" s="137" t="s">
        <v>74</v>
      </c>
    </row>
    <row r="41584" spans="9:9" x14ac:dyDescent="0.2">
      <c r="I41584" s="137" t="s">
        <v>74</v>
      </c>
    </row>
    <row r="41585" spans="9:9" x14ac:dyDescent="0.2">
      <c r="I41585" s="137" t="s">
        <v>74</v>
      </c>
    </row>
    <row r="41586" spans="9:9" x14ac:dyDescent="0.2">
      <c r="I41586" s="137" t="s">
        <v>74</v>
      </c>
    </row>
    <row r="41587" spans="9:9" x14ac:dyDescent="0.2">
      <c r="I41587" s="137" t="s">
        <v>74</v>
      </c>
    </row>
    <row r="41588" spans="9:9" x14ac:dyDescent="0.2">
      <c r="I41588" s="137" t="s">
        <v>74</v>
      </c>
    </row>
    <row r="41589" spans="9:9" x14ac:dyDescent="0.2">
      <c r="I41589" s="137" t="s">
        <v>74</v>
      </c>
    </row>
    <row r="41590" spans="9:9" x14ac:dyDescent="0.2">
      <c r="I41590" s="137" t="s">
        <v>74</v>
      </c>
    </row>
    <row r="41591" spans="9:9" x14ac:dyDescent="0.2">
      <c r="I41591" s="137" t="s">
        <v>74</v>
      </c>
    </row>
    <row r="41592" spans="9:9" x14ac:dyDescent="0.2">
      <c r="I41592" s="137" t="s">
        <v>74</v>
      </c>
    </row>
    <row r="41593" spans="9:9" x14ac:dyDescent="0.2">
      <c r="I41593" s="137" t="s">
        <v>74</v>
      </c>
    </row>
    <row r="41594" spans="9:9" x14ac:dyDescent="0.2">
      <c r="I41594" s="137" t="s">
        <v>74</v>
      </c>
    </row>
    <row r="41595" spans="9:9" x14ac:dyDescent="0.2">
      <c r="I41595" s="137" t="s">
        <v>74</v>
      </c>
    </row>
    <row r="41596" spans="9:9" x14ac:dyDescent="0.2">
      <c r="I41596" s="137" t="s">
        <v>74</v>
      </c>
    </row>
    <row r="41597" spans="9:9" x14ac:dyDescent="0.2">
      <c r="I41597" s="137" t="s">
        <v>74</v>
      </c>
    </row>
    <row r="41598" spans="9:9" x14ac:dyDescent="0.2">
      <c r="I41598" s="137" t="s">
        <v>74</v>
      </c>
    </row>
    <row r="41599" spans="9:9" x14ac:dyDescent="0.2">
      <c r="I41599" s="137" t="s">
        <v>74</v>
      </c>
    </row>
    <row r="41600" spans="9:9" x14ac:dyDescent="0.2">
      <c r="I41600" s="137" t="s">
        <v>74</v>
      </c>
    </row>
    <row r="41601" spans="9:9" x14ac:dyDescent="0.2">
      <c r="I41601" s="137" t="s">
        <v>74</v>
      </c>
    </row>
    <row r="41602" spans="9:9" x14ac:dyDescent="0.2">
      <c r="I41602" s="137" t="s">
        <v>74</v>
      </c>
    </row>
    <row r="41603" spans="9:9" x14ac:dyDescent="0.2">
      <c r="I41603" s="137" t="s">
        <v>74</v>
      </c>
    </row>
    <row r="41604" spans="9:9" x14ac:dyDescent="0.2">
      <c r="I41604" s="137" t="s">
        <v>74</v>
      </c>
    </row>
    <row r="41605" spans="9:9" x14ac:dyDescent="0.2">
      <c r="I41605" s="137" t="s">
        <v>74</v>
      </c>
    </row>
    <row r="41606" spans="9:9" x14ac:dyDescent="0.2">
      <c r="I41606" s="137" t="s">
        <v>74</v>
      </c>
    </row>
    <row r="41607" spans="9:9" x14ac:dyDescent="0.2">
      <c r="I41607" s="137" t="s">
        <v>74</v>
      </c>
    </row>
    <row r="41608" spans="9:9" x14ac:dyDescent="0.2">
      <c r="I41608" s="137" t="s">
        <v>74</v>
      </c>
    </row>
    <row r="41609" spans="9:9" x14ac:dyDescent="0.2">
      <c r="I41609" s="137" t="s">
        <v>74</v>
      </c>
    </row>
    <row r="41610" spans="9:9" x14ac:dyDescent="0.2">
      <c r="I41610" s="137" t="s">
        <v>74</v>
      </c>
    </row>
    <row r="41611" spans="9:9" x14ac:dyDescent="0.2">
      <c r="I41611" s="137" t="s">
        <v>74</v>
      </c>
    </row>
    <row r="41612" spans="9:9" x14ac:dyDescent="0.2">
      <c r="I41612" s="137" t="s">
        <v>74</v>
      </c>
    </row>
    <row r="41613" spans="9:9" x14ac:dyDescent="0.2">
      <c r="I41613" s="137" t="s">
        <v>74</v>
      </c>
    </row>
    <row r="41614" spans="9:9" x14ac:dyDescent="0.2">
      <c r="I41614" s="137" t="s">
        <v>74</v>
      </c>
    </row>
    <row r="41615" spans="9:9" x14ac:dyDescent="0.2">
      <c r="I41615" s="137" t="s">
        <v>74</v>
      </c>
    </row>
    <row r="41616" spans="9:9" x14ac:dyDescent="0.2">
      <c r="I41616" s="137" t="s">
        <v>74</v>
      </c>
    </row>
    <row r="41617" spans="9:9" x14ac:dyDescent="0.2">
      <c r="I41617" s="137" t="s">
        <v>74</v>
      </c>
    </row>
    <row r="41618" spans="9:9" x14ac:dyDescent="0.2">
      <c r="I41618" s="137" t="s">
        <v>74</v>
      </c>
    </row>
    <row r="41619" spans="9:9" x14ac:dyDescent="0.2">
      <c r="I41619" s="137" t="s">
        <v>74</v>
      </c>
    </row>
    <row r="41620" spans="9:9" x14ac:dyDescent="0.2">
      <c r="I41620" s="137" t="s">
        <v>74</v>
      </c>
    </row>
    <row r="41621" spans="9:9" x14ac:dyDescent="0.2">
      <c r="I41621" s="137" t="s">
        <v>74</v>
      </c>
    </row>
    <row r="41622" spans="9:9" x14ac:dyDescent="0.2">
      <c r="I41622" s="137" t="s">
        <v>74</v>
      </c>
    </row>
    <row r="41623" spans="9:9" x14ac:dyDescent="0.2">
      <c r="I41623" s="137" t="s">
        <v>74</v>
      </c>
    </row>
    <row r="41624" spans="9:9" x14ac:dyDescent="0.2">
      <c r="I41624" s="137" t="s">
        <v>74</v>
      </c>
    </row>
    <row r="41625" spans="9:9" x14ac:dyDescent="0.2">
      <c r="I41625" s="137" t="s">
        <v>74</v>
      </c>
    </row>
    <row r="41626" spans="9:9" x14ac:dyDescent="0.2">
      <c r="I41626" s="137" t="s">
        <v>74</v>
      </c>
    </row>
    <row r="41627" spans="9:9" x14ac:dyDescent="0.2">
      <c r="I41627" s="137" t="s">
        <v>74</v>
      </c>
    </row>
    <row r="41628" spans="9:9" x14ac:dyDescent="0.2">
      <c r="I41628" s="137" t="s">
        <v>74</v>
      </c>
    </row>
    <row r="41629" spans="9:9" x14ac:dyDescent="0.2">
      <c r="I41629" s="137" t="s">
        <v>74</v>
      </c>
    </row>
    <row r="41630" spans="9:9" x14ac:dyDescent="0.2">
      <c r="I41630" s="137" t="s">
        <v>74</v>
      </c>
    </row>
    <row r="41631" spans="9:9" x14ac:dyDescent="0.2">
      <c r="I41631" s="137" t="s">
        <v>74</v>
      </c>
    </row>
    <row r="41632" spans="9:9" x14ac:dyDescent="0.2">
      <c r="I41632" s="137" t="s">
        <v>74</v>
      </c>
    </row>
    <row r="41633" spans="9:9" x14ac:dyDescent="0.2">
      <c r="I41633" s="137" t="s">
        <v>74</v>
      </c>
    </row>
    <row r="41634" spans="9:9" x14ac:dyDescent="0.2">
      <c r="I41634" s="137" t="s">
        <v>74</v>
      </c>
    </row>
    <row r="41635" spans="9:9" x14ac:dyDescent="0.2">
      <c r="I41635" s="137" t="s">
        <v>74</v>
      </c>
    </row>
    <row r="41636" spans="9:9" x14ac:dyDescent="0.2">
      <c r="I41636" s="137" t="s">
        <v>74</v>
      </c>
    </row>
    <row r="41637" spans="9:9" x14ac:dyDescent="0.2">
      <c r="I41637" s="137" t="s">
        <v>74</v>
      </c>
    </row>
    <row r="41638" spans="9:9" x14ac:dyDescent="0.2">
      <c r="I41638" s="137" t="s">
        <v>74</v>
      </c>
    </row>
    <row r="41639" spans="9:9" x14ac:dyDescent="0.2">
      <c r="I41639" s="137" t="s">
        <v>74</v>
      </c>
    </row>
    <row r="41640" spans="9:9" x14ac:dyDescent="0.2">
      <c r="I41640" s="137" t="s">
        <v>74</v>
      </c>
    </row>
    <row r="41641" spans="9:9" x14ac:dyDescent="0.2">
      <c r="I41641" s="137" t="s">
        <v>74</v>
      </c>
    </row>
    <row r="41642" spans="9:9" x14ac:dyDescent="0.2">
      <c r="I41642" s="137" t="s">
        <v>74</v>
      </c>
    </row>
    <row r="41643" spans="9:9" x14ac:dyDescent="0.2">
      <c r="I41643" s="137" t="s">
        <v>74</v>
      </c>
    </row>
    <row r="41644" spans="9:9" x14ac:dyDescent="0.2">
      <c r="I41644" s="137" t="s">
        <v>74</v>
      </c>
    </row>
    <row r="41645" spans="9:9" x14ac:dyDescent="0.2">
      <c r="I41645" s="137" t="s">
        <v>74</v>
      </c>
    </row>
    <row r="41646" spans="9:9" x14ac:dyDescent="0.2">
      <c r="I41646" s="137" t="s">
        <v>74</v>
      </c>
    </row>
    <row r="41647" spans="9:9" x14ac:dyDescent="0.2">
      <c r="I41647" s="137" t="s">
        <v>74</v>
      </c>
    </row>
    <row r="41648" spans="9:9" x14ac:dyDescent="0.2">
      <c r="I41648" s="137" t="s">
        <v>74</v>
      </c>
    </row>
    <row r="41649" spans="9:9" x14ac:dyDescent="0.2">
      <c r="I41649" s="137" t="s">
        <v>74</v>
      </c>
    </row>
    <row r="41650" spans="9:9" x14ac:dyDescent="0.2">
      <c r="I41650" s="137" t="s">
        <v>74</v>
      </c>
    </row>
    <row r="41651" spans="9:9" x14ac:dyDescent="0.2">
      <c r="I41651" s="137" t="s">
        <v>74</v>
      </c>
    </row>
    <row r="41652" spans="9:9" x14ac:dyDescent="0.2">
      <c r="I41652" s="137" t="s">
        <v>74</v>
      </c>
    </row>
    <row r="41653" spans="9:9" x14ac:dyDescent="0.2">
      <c r="I41653" s="137" t="s">
        <v>74</v>
      </c>
    </row>
    <row r="41654" spans="9:9" x14ac:dyDescent="0.2">
      <c r="I41654" s="137" t="s">
        <v>74</v>
      </c>
    </row>
    <row r="41655" spans="9:9" x14ac:dyDescent="0.2">
      <c r="I41655" s="137" t="s">
        <v>74</v>
      </c>
    </row>
    <row r="41656" spans="9:9" x14ac:dyDescent="0.2">
      <c r="I41656" s="137" t="s">
        <v>74</v>
      </c>
    </row>
    <row r="41657" spans="9:9" x14ac:dyDescent="0.2">
      <c r="I41657" s="137" t="s">
        <v>74</v>
      </c>
    </row>
    <row r="41658" spans="9:9" x14ac:dyDescent="0.2">
      <c r="I41658" s="137" t="s">
        <v>74</v>
      </c>
    </row>
    <row r="41659" spans="9:9" x14ac:dyDescent="0.2">
      <c r="I41659" s="137" t="s">
        <v>74</v>
      </c>
    </row>
    <row r="41660" spans="9:9" x14ac:dyDescent="0.2">
      <c r="I41660" s="137" t="s">
        <v>74</v>
      </c>
    </row>
    <row r="41661" spans="9:9" x14ac:dyDescent="0.2">
      <c r="I41661" s="137" t="s">
        <v>74</v>
      </c>
    </row>
    <row r="41662" spans="9:9" x14ac:dyDescent="0.2">
      <c r="I41662" s="137" t="s">
        <v>74</v>
      </c>
    </row>
    <row r="41663" spans="9:9" x14ac:dyDescent="0.2">
      <c r="I41663" s="137" t="s">
        <v>74</v>
      </c>
    </row>
    <row r="41664" spans="9:9" x14ac:dyDescent="0.2">
      <c r="I41664" s="137" t="s">
        <v>74</v>
      </c>
    </row>
    <row r="41665" spans="9:9" x14ac:dyDescent="0.2">
      <c r="I41665" s="137" t="s">
        <v>74</v>
      </c>
    </row>
    <row r="41666" spans="9:9" x14ac:dyDescent="0.2">
      <c r="I41666" s="137" t="s">
        <v>74</v>
      </c>
    </row>
    <row r="41667" spans="9:9" x14ac:dyDescent="0.2">
      <c r="I41667" s="137" t="s">
        <v>74</v>
      </c>
    </row>
    <row r="41668" spans="9:9" x14ac:dyDescent="0.2">
      <c r="I41668" s="137" t="s">
        <v>74</v>
      </c>
    </row>
    <row r="41669" spans="9:9" x14ac:dyDescent="0.2">
      <c r="I41669" s="137" t="s">
        <v>74</v>
      </c>
    </row>
    <row r="41670" spans="9:9" x14ac:dyDescent="0.2">
      <c r="I41670" s="137" t="s">
        <v>74</v>
      </c>
    </row>
    <row r="41671" spans="9:9" x14ac:dyDescent="0.2">
      <c r="I41671" s="137" t="s">
        <v>74</v>
      </c>
    </row>
    <row r="41672" spans="9:9" x14ac:dyDescent="0.2">
      <c r="I41672" s="137" t="s">
        <v>74</v>
      </c>
    </row>
    <row r="41673" spans="9:9" x14ac:dyDescent="0.2">
      <c r="I41673" s="137" t="s">
        <v>74</v>
      </c>
    </row>
    <row r="41674" spans="9:9" x14ac:dyDescent="0.2">
      <c r="I41674" s="137" t="s">
        <v>74</v>
      </c>
    </row>
    <row r="41675" spans="9:9" x14ac:dyDescent="0.2">
      <c r="I41675" s="137" t="s">
        <v>74</v>
      </c>
    </row>
    <row r="41676" spans="9:9" x14ac:dyDescent="0.2">
      <c r="I41676" s="137" t="s">
        <v>74</v>
      </c>
    </row>
    <row r="41677" spans="9:9" x14ac:dyDescent="0.2">
      <c r="I41677" s="137" t="s">
        <v>74</v>
      </c>
    </row>
    <row r="41678" spans="9:9" x14ac:dyDescent="0.2">
      <c r="I41678" s="137" t="s">
        <v>74</v>
      </c>
    </row>
    <row r="41679" spans="9:9" x14ac:dyDescent="0.2">
      <c r="I41679" s="137" t="s">
        <v>74</v>
      </c>
    </row>
    <row r="41680" spans="9:9" x14ac:dyDescent="0.2">
      <c r="I41680" s="137" t="s">
        <v>74</v>
      </c>
    </row>
    <row r="41681" spans="9:9" x14ac:dyDescent="0.2">
      <c r="I41681" s="137" t="s">
        <v>74</v>
      </c>
    </row>
    <row r="41682" spans="9:9" x14ac:dyDescent="0.2">
      <c r="I41682" s="137" t="s">
        <v>74</v>
      </c>
    </row>
    <row r="41683" spans="9:9" x14ac:dyDescent="0.2">
      <c r="I41683" s="137" t="s">
        <v>74</v>
      </c>
    </row>
    <row r="41684" spans="9:9" x14ac:dyDescent="0.2">
      <c r="I41684" s="137" t="s">
        <v>74</v>
      </c>
    </row>
    <row r="41685" spans="9:9" x14ac:dyDescent="0.2">
      <c r="I41685" s="137" t="s">
        <v>74</v>
      </c>
    </row>
    <row r="41686" spans="9:9" x14ac:dyDescent="0.2">
      <c r="I41686" s="137" t="s">
        <v>74</v>
      </c>
    </row>
    <row r="41687" spans="9:9" x14ac:dyDescent="0.2">
      <c r="I41687" s="137" t="s">
        <v>74</v>
      </c>
    </row>
    <row r="41688" spans="9:9" x14ac:dyDescent="0.2">
      <c r="I41688" s="137" t="s">
        <v>74</v>
      </c>
    </row>
    <row r="41689" spans="9:9" x14ac:dyDescent="0.2">
      <c r="I41689" s="137" t="s">
        <v>74</v>
      </c>
    </row>
    <row r="41690" spans="9:9" x14ac:dyDescent="0.2">
      <c r="I41690" s="137" t="s">
        <v>74</v>
      </c>
    </row>
    <row r="41691" spans="9:9" x14ac:dyDescent="0.2">
      <c r="I41691" s="137" t="s">
        <v>74</v>
      </c>
    </row>
    <row r="41692" spans="9:9" x14ac:dyDescent="0.2">
      <c r="I41692" s="137" t="s">
        <v>74</v>
      </c>
    </row>
    <row r="41693" spans="9:9" x14ac:dyDescent="0.2">
      <c r="I41693" s="137" t="s">
        <v>74</v>
      </c>
    </row>
    <row r="41694" spans="9:9" x14ac:dyDescent="0.2">
      <c r="I41694" s="137" t="s">
        <v>74</v>
      </c>
    </row>
    <row r="41695" spans="9:9" x14ac:dyDescent="0.2">
      <c r="I41695" s="137" t="s">
        <v>74</v>
      </c>
    </row>
    <row r="41696" spans="9:9" x14ac:dyDescent="0.2">
      <c r="I41696" s="137" t="s">
        <v>74</v>
      </c>
    </row>
    <row r="41697" spans="9:9" x14ac:dyDescent="0.2">
      <c r="I41697" s="137" t="s">
        <v>74</v>
      </c>
    </row>
    <row r="41698" spans="9:9" x14ac:dyDescent="0.2">
      <c r="I41698" s="137" t="s">
        <v>74</v>
      </c>
    </row>
    <row r="41699" spans="9:9" x14ac:dyDescent="0.2">
      <c r="I41699" s="137" t="s">
        <v>74</v>
      </c>
    </row>
    <row r="41700" spans="9:9" x14ac:dyDescent="0.2">
      <c r="I41700" s="137" t="s">
        <v>74</v>
      </c>
    </row>
    <row r="41701" spans="9:9" x14ac:dyDescent="0.2">
      <c r="I41701" s="137" t="s">
        <v>74</v>
      </c>
    </row>
    <row r="41702" spans="9:9" x14ac:dyDescent="0.2">
      <c r="I41702" s="137" t="s">
        <v>74</v>
      </c>
    </row>
    <row r="41703" spans="9:9" x14ac:dyDescent="0.2">
      <c r="I41703" s="137" t="s">
        <v>74</v>
      </c>
    </row>
    <row r="41704" spans="9:9" x14ac:dyDescent="0.2">
      <c r="I41704" s="137" t="s">
        <v>74</v>
      </c>
    </row>
    <row r="41705" spans="9:9" x14ac:dyDescent="0.2">
      <c r="I41705" s="137" t="s">
        <v>74</v>
      </c>
    </row>
    <row r="41706" spans="9:9" x14ac:dyDescent="0.2">
      <c r="I41706" s="137" t="s">
        <v>74</v>
      </c>
    </row>
    <row r="41707" spans="9:9" x14ac:dyDescent="0.2">
      <c r="I41707" s="137" t="s">
        <v>74</v>
      </c>
    </row>
    <row r="41708" spans="9:9" x14ac:dyDescent="0.2">
      <c r="I41708" s="137" t="s">
        <v>74</v>
      </c>
    </row>
    <row r="41709" spans="9:9" x14ac:dyDescent="0.2">
      <c r="I41709" s="137" t="s">
        <v>74</v>
      </c>
    </row>
    <row r="41710" spans="9:9" x14ac:dyDescent="0.2">
      <c r="I41710" s="137" t="s">
        <v>74</v>
      </c>
    </row>
    <row r="41711" spans="9:9" x14ac:dyDescent="0.2">
      <c r="I41711" s="137" t="s">
        <v>74</v>
      </c>
    </row>
    <row r="41712" spans="9:9" x14ac:dyDescent="0.2">
      <c r="I41712" s="137" t="s">
        <v>74</v>
      </c>
    </row>
    <row r="41713" spans="9:9" x14ac:dyDescent="0.2">
      <c r="I41713" s="137" t="s">
        <v>74</v>
      </c>
    </row>
    <row r="41714" spans="9:9" x14ac:dyDescent="0.2">
      <c r="I41714" s="137" t="s">
        <v>74</v>
      </c>
    </row>
    <row r="41715" spans="9:9" x14ac:dyDescent="0.2">
      <c r="I41715" s="137" t="s">
        <v>74</v>
      </c>
    </row>
    <row r="41716" spans="9:9" x14ac:dyDescent="0.2">
      <c r="I41716" s="137" t="s">
        <v>74</v>
      </c>
    </row>
    <row r="41717" spans="9:9" x14ac:dyDescent="0.2">
      <c r="I41717" s="137" t="s">
        <v>74</v>
      </c>
    </row>
    <row r="41718" spans="9:9" x14ac:dyDescent="0.2">
      <c r="I41718" s="137" t="s">
        <v>74</v>
      </c>
    </row>
    <row r="41719" spans="9:9" x14ac:dyDescent="0.2">
      <c r="I41719" s="137" t="s">
        <v>74</v>
      </c>
    </row>
    <row r="41720" spans="9:9" x14ac:dyDescent="0.2">
      <c r="I41720" s="137" t="s">
        <v>74</v>
      </c>
    </row>
    <row r="41721" spans="9:9" x14ac:dyDescent="0.2">
      <c r="I41721" s="137" t="s">
        <v>74</v>
      </c>
    </row>
    <row r="41722" spans="9:9" x14ac:dyDescent="0.2">
      <c r="I41722" s="137" t="s">
        <v>74</v>
      </c>
    </row>
    <row r="41723" spans="9:9" x14ac:dyDescent="0.2">
      <c r="I41723" s="137" t="s">
        <v>74</v>
      </c>
    </row>
    <row r="41724" spans="9:9" x14ac:dyDescent="0.2">
      <c r="I41724" s="137" t="s">
        <v>74</v>
      </c>
    </row>
    <row r="41725" spans="9:9" x14ac:dyDescent="0.2">
      <c r="I41725" s="137" t="s">
        <v>74</v>
      </c>
    </row>
    <row r="41726" spans="9:9" x14ac:dyDescent="0.2">
      <c r="I41726" s="137" t="s">
        <v>74</v>
      </c>
    </row>
    <row r="41727" spans="9:9" x14ac:dyDescent="0.2">
      <c r="I41727" s="137" t="s">
        <v>74</v>
      </c>
    </row>
    <row r="41728" spans="9:9" x14ac:dyDescent="0.2">
      <c r="I41728" s="137" t="s">
        <v>74</v>
      </c>
    </row>
    <row r="41729" spans="9:9" x14ac:dyDescent="0.2">
      <c r="I41729" s="137" t="s">
        <v>74</v>
      </c>
    </row>
    <row r="41730" spans="9:9" x14ac:dyDescent="0.2">
      <c r="I41730" s="137" t="s">
        <v>74</v>
      </c>
    </row>
    <row r="41731" spans="9:9" x14ac:dyDescent="0.2">
      <c r="I41731" s="137" t="s">
        <v>74</v>
      </c>
    </row>
    <row r="41732" spans="9:9" x14ac:dyDescent="0.2">
      <c r="I41732" s="137" t="s">
        <v>74</v>
      </c>
    </row>
    <row r="41733" spans="9:9" x14ac:dyDescent="0.2">
      <c r="I41733" s="137" t="s">
        <v>74</v>
      </c>
    </row>
    <row r="41734" spans="9:9" x14ac:dyDescent="0.2">
      <c r="I41734" s="137" t="s">
        <v>74</v>
      </c>
    </row>
    <row r="41735" spans="9:9" x14ac:dyDescent="0.2">
      <c r="I41735" s="137" t="s">
        <v>74</v>
      </c>
    </row>
    <row r="41736" spans="9:9" x14ac:dyDescent="0.2">
      <c r="I41736" s="137" t="s">
        <v>74</v>
      </c>
    </row>
    <row r="41737" spans="9:9" x14ac:dyDescent="0.2">
      <c r="I41737" s="137" t="s">
        <v>74</v>
      </c>
    </row>
    <row r="41738" spans="9:9" x14ac:dyDescent="0.2">
      <c r="I41738" s="137" t="s">
        <v>74</v>
      </c>
    </row>
    <row r="41739" spans="9:9" x14ac:dyDescent="0.2">
      <c r="I41739" s="137" t="s">
        <v>74</v>
      </c>
    </row>
    <row r="41740" spans="9:9" x14ac:dyDescent="0.2">
      <c r="I41740" s="137" t="s">
        <v>74</v>
      </c>
    </row>
    <row r="41741" spans="9:9" x14ac:dyDescent="0.2">
      <c r="I41741" s="137" t="s">
        <v>74</v>
      </c>
    </row>
    <row r="41742" spans="9:9" x14ac:dyDescent="0.2">
      <c r="I41742" s="137" t="s">
        <v>74</v>
      </c>
    </row>
    <row r="41743" spans="9:9" x14ac:dyDescent="0.2">
      <c r="I41743" s="137" t="s">
        <v>74</v>
      </c>
    </row>
    <row r="41744" spans="9:9" x14ac:dyDescent="0.2">
      <c r="I41744" s="137" t="s">
        <v>74</v>
      </c>
    </row>
    <row r="41745" spans="9:9" x14ac:dyDescent="0.2">
      <c r="I41745" s="137" t="s">
        <v>74</v>
      </c>
    </row>
    <row r="41746" spans="9:9" x14ac:dyDescent="0.2">
      <c r="I41746" s="137" t="s">
        <v>74</v>
      </c>
    </row>
    <row r="41747" spans="9:9" x14ac:dyDescent="0.2">
      <c r="I41747" s="137" t="s">
        <v>74</v>
      </c>
    </row>
    <row r="41748" spans="9:9" x14ac:dyDescent="0.2">
      <c r="I41748" s="137" t="s">
        <v>74</v>
      </c>
    </row>
    <row r="41749" spans="9:9" x14ac:dyDescent="0.2">
      <c r="I41749" s="137" t="s">
        <v>74</v>
      </c>
    </row>
    <row r="41750" spans="9:9" x14ac:dyDescent="0.2">
      <c r="I41750" s="137" t="s">
        <v>74</v>
      </c>
    </row>
    <row r="41751" spans="9:9" x14ac:dyDescent="0.2">
      <c r="I41751" s="137" t="s">
        <v>74</v>
      </c>
    </row>
    <row r="41752" spans="9:9" x14ac:dyDescent="0.2">
      <c r="I41752" s="137" t="s">
        <v>74</v>
      </c>
    </row>
    <row r="41753" spans="9:9" x14ac:dyDescent="0.2">
      <c r="I41753" s="137" t="s">
        <v>74</v>
      </c>
    </row>
    <row r="41754" spans="9:9" x14ac:dyDescent="0.2">
      <c r="I41754" s="137" t="s">
        <v>74</v>
      </c>
    </row>
    <row r="41755" spans="9:9" x14ac:dyDescent="0.2">
      <c r="I41755" s="137" t="s">
        <v>74</v>
      </c>
    </row>
    <row r="41756" spans="9:9" x14ac:dyDescent="0.2">
      <c r="I41756" s="137" t="s">
        <v>74</v>
      </c>
    </row>
    <row r="41757" spans="9:9" x14ac:dyDescent="0.2">
      <c r="I41757" s="137" t="s">
        <v>74</v>
      </c>
    </row>
    <row r="41758" spans="9:9" x14ac:dyDescent="0.2">
      <c r="I41758" s="137" t="s">
        <v>74</v>
      </c>
    </row>
    <row r="41759" spans="9:9" x14ac:dyDescent="0.2">
      <c r="I41759" s="137" t="s">
        <v>74</v>
      </c>
    </row>
    <row r="41760" spans="9:9" x14ac:dyDescent="0.2">
      <c r="I41760" s="137" t="s">
        <v>74</v>
      </c>
    </row>
    <row r="41761" spans="9:9" x14ac:dyDescent="0.2">
      <c r="I41761" s="137" t="s">
        <v>74</v>
      </c>
    </row>
    <row r="41762" spans="9:9" x14ac:dyDescent="0.2">
      <c r="I41762" s="137" t="s">
        <v>74</v>
      </c>
    </row>
    <row r="41763" spans="9:9" x14ac:dyDescent="0.2">
      <c r="I41763" s="137" t="s">
        <v>74</v>
      </c>
    </row>
    <row r="41764" spans="9:9" x14ac:dyDescent="0.2">
      <c r="I41764" s="137" t="s">
        <v>74</v>
      </c>
    </row>
    <row r="41765" spans="9:9" x14ac:dyDescent="0.2">
      <c r="I41765" s="137" t="s">
        <v>74</v>
      </c>
    </row>
    <row r="41766" spans="9:9" x14ac:dyDescent="0.2">
      <c r="I41766" s="137" t="s">
        <v>74</v>
      </c>
    </row>
    <row r="41767" spans="9:9" x14ac:dyDescent="0.2">
      <c r="I41767" s="137" t="s">
        <v>74</v>
      </c>
    </row>
    <row r="41768" spans="9:9" x14ac:dyDescent="0.2">
      <c r="I41768" s="137" t="s">
        <v>74</v>
      </c>
    </row>
    <row r="41769" spans="9:9" x14ac:dyDescent="0.2">
      <c r="I41769" s="137" t="s">
        <v>74</v>
      </c>
    </row>
    <row r="41770" spans="9:9" x14ac:dyDescent="0.2">
      <c r="I41770" s="137" t="s">
        <v>74</v>
      </c>
    </row>
    <row r="41771" spans="9:9" x14ac:dyDescent="0.2">
      <c r="I41771" s="137" t="s">
        <v>74</v>
      </c>
    </row>
    <row r="41772" spans="9:9" x14ac:dyDescent="0.2">
      <c r="I41772" s="137" t="s">
        <v>74</v>
      </c>
    </row>
    <row r="41773" spans="9:9" x14ac:dyDescent="0.2">
      <c r="I41773" s="137" t="s">
        <v>74</v>
      </c>
    </row>
    <row r="41774" spans="9:9" x14ac:dyDescent="0.2">
      <c r="I41774" s="137" t="s">
        <v>74</v>
      </c>
    </row>
    <row r="41775" spans="9:9" x14ac:dyDescent="0.2">
      <c r="I41775" s="137" t="s">
        <v>74</v>
      </c>
    </row>
    <row r="41776" spans="9:9" x14ac:dyDescent="0.2">
      <c r="I41776" s="137" t="s">
        <v>74</v>
      </c>
    </row>
    <row r="41777" spans="9:9" x14ac:dyDescent="0.2">
      <c r="I41777" s="137" t="s">
        <v>74</v>
      </c>
    </row>
    <row r="41778" spans="9:9" x14ac:dyDescent="0.2">
      <c r="I41778" s="137" t="s">
        <v>74</v>
      </c>
    </row>
    <row r="41779" spans="9:9" x14ac:dyDescent="0.2">
      <c r="I41779" s="137" t="s">
        <v>74</v>
      </c>
    </row>
    <row r="41780" spans="9:9" x14ac:dyDescent="0.2">
      <c r="I41780" s="137" t="s">
        <v>74</v>
      </c>
    </row>
    <row r="41781" spans="9:9" x14ac:dyDescent="0.2">
      <c r="I41781" s="137" t="s">
        <v>74</v>
      </c>
    </row>
    <row r="41782" spans="9:9" x14ac:dyDescent="0.2">
      <c r="I41782" s="137" t="s">
        <v>74</v>
      </c>
    </row>
    <row r="41783" spans="9:9" x14ac:dyDescent="0.2">
      <c r="I41783" s="137" t="s">
        <v>74</v>
      </c>
    </row>
    <row r="41784" spans="9:9" x14ac:dyDescent="0.2">
      <c r="I41784" s="137" t="s">
        <v>74</v>
      </c>
    </row>
    <row r="41785" spans="9:9" x14ac:dyDescent="0.2">
      <c r="I41785" s="137" t="s">
        <v>74</v>
      </c>
    </row>
    <row r="41786" spans="9:9" x14ac:dyDescent="0.2">
      <c r="I41786" s="137" t="s">
        <v>74</v>
      </c>
    </row>
    <row r="41787" spans="9:9" x14ac:dyDescent="0.2">
      <c r="I41787" s="137" t="s">
        <v>74</v>
      </c>
    </row>
    <row r="41788" spans="9:9" x14ac:dyDescent="0.2">
      <c r="I41788" s="137" t="s">
        <v>74</v>
      </c>
    </row>
    <row r="41789" spans="9:9" x14ac:dyDescent="0.2">
      <c r="I41789" s="137" t="s">
        <v>74</v>
      </c>
    </row>
    <row r="41790" spans="9:9" x14ac:dyDescent="0.2">
      <c r="I41790" s="137" t="s">
        <v>74</v>
      </c>
    </row>
    <row r="41791" spans="9:9" x14ac:dyDescent="0.2">
      <c r="I41791" s="137" t="s">
        <v>74</v>
      </c>
    </row>
    <row r="41792" spans="9:9" x14ac:dyDescent="0.2">
      <c r="I41792" s="137" t="s">
        <v>74</v>
      </c>
    </row>
    <row r="41793" spans="9:9" x14ac:dyDescent="0.2">
      <c r="I41793" s="137" t="s">
        <v>74</v>
      </c>
    </row>
    <row r="41794" spans="9:9" x14ac:dyDescent="0.2">
      <c r="I41794" s="137" t="s">
        <v>74</v>
      </c>
    </row>
    <row r="41795" spans="9:9" x14ac:dyDescent="0.2">
      <c r="I41795" s="137" t="s">
        <v>74</v>
      </c>
    </row>
    <row r="41796" spans="9:9" x14ac:dyDescent="0.2">
      <c r="I41796" s="137" t="s">
        <v>74</v>
      </c>
    </row>
    <row r="41797" spans="9:9" x14ac:dyDescent="0.2">
      <c r="I41797" s="137" t="s">
        <v>74</v>
      </c>
    </row>
    <row r="41798" spans="9:9" x14ac:dyDescent="0.2">
      <c r="I41798" s="137" t="s">
        <v>74</v>
      </c>
    </row>
    <row r="41799" spans="9:9" x14ac:dyDescent="0.2">
      <c r="I41799" s="137" t="s">
        <v>74</v>
      </c>
    </row>
    <row r="41800" spans="9:9" x14ac:dyDescent="0.2">
      <c r="I41800" s="137" t="s">
        <v>74</v>
      </c>
    </row>
    <row r="41801" spans="9:9" x14ac:dyDescent="0.2">
      <c r="I41801" s="137" t="s">
        <v>74</v>
      </c>
    </row>
    <row r="41802" spans="9:9" x14ac:dyDescent="0.2">
      <c r="I41802" s="137" t="s">
        <v>74</v>
      </c>
    </row>
    <row r="41803" spans="9:9" x14ac:dyDescent="0.2">
      <c r="I41803" s="137" t="s">
        <v>74</v>
      </c>
    </row>
    <row r="41804" spans="9:9" x14ac:dyDescent="0.2">
      <c r="I41804" s="137" t="s">
        <v>74</v>
      </c>
    </row>
    <row r="41805" spans="9:9" x14ac:dyDescent="0.2">
      <c r="I41805" s="137" t="s">
        <v>74</v>
      </c>
    </row>
    <row r="41806" spans="9:9" x14ac:dyDescent="0.2">
      <c r="I41806" s="137" t="s">
        <v>74</v>
      </c>
    </row>
    <row r="41807" spans="9:9" x14ac:dyDescent="0.2">
      <c r="I41807" s="137" t="s">
        <v>74</v>
      </c>
    </row>
    <row r="41808" spans="9:9" x14ac:dyDescent="0.2">
      <c r="I41808" s="137" t="s">
        <v>74</v>
      </c>
    </row>
    <row r="41809" spans="9:9" x14ac:dyDescent="0.2">
      <c r="I41809" s="137" t="s">
        <v>74</v>
      </c>
    </row>
    <row r="41810" spans="9:9" x14ac:dyDescent="0.2">
      <c r="I41810" s="137" t="s">
        <v>74</v>
      </c>
    </row>
    <row r="41811" spans="9:9" x14ac:dyDescent="0.2">
      <c r="I41811" s="137" t="s">
        <v>74</v>
      </c>
    </row>
    <row r="41812" spans="9:9" x14ac:dyDescent="0.2">
      <c r="I41812" s="137" t="s">
        <v>74</v>
      </c>
    </row>
    <row r="41813" spans="9:9" x14ac:dyDescent="0.2">
      <c r="I41813" s="137" t="s">
        <v>74</v>
      </c>
    </row>
    <row r="41814" spans="9:9" x14ac:dyDescent="0.2">
      <c r="I41814" s="137" t="s">
        <v>74</v>
      </c>
    </row>
    <row r="41815" spans="9:9" x14ac:dyDescent="0.2">
      <c r="I41815" s="137" t="s">
        <v>74</v>
      </c>
    </row>
    <row r="41816" spans="9:9" x14ac:dyDescent="0.2">
      <c r="I41816" s="137" t="s">
        <v>74</v>
      </c>
    </row>
    <row r="41817" spans="9:9" x14ac:dyDescent="0.2">
      <c r="I41817" s="137" t="s">
        <v>74</v>
      </c>
    </row>
    <row r="41818" spans="9:9" x14ac:dyDescent="0.2">
      <c r="I41818" s="137" t="s">
        <v>74</v>
      </c>
    </row>
    <row r="41819" spans="9:9" x14ac:dyDescent="0.2">
      <c r="I41819" s="137" t="s">
        <v>74</v>
      </c>
    </row>
    <row r="41820" spans="9:9" x14ac:dyDescent="0.2">
      <c r="I41820" s="137" t="s">
        <v>74</v>
      </c>
    </row>
    <row r="41821" spans="9:9" x14ac:dyDescent="0.2">
      <c r="I41821" s="137" t="s">
        <v>74</v>
      </c>
    </row>
    <row r="41822" spans="9:9" x14ac:dyDescent="0.2">
      <c r="I41822" s="137" t="s">
        <v>74</v>
      </c>
    </row>
    <row r="41823" spans="9:9" x14ac:dyDescent="0.2">
      <c r="I41823" s="137" t="s">
        <v>74</v>
      </c>
    </row>
    <row r="41824" spans="9:9" x14ac:dyDescent="0.2">
      <c r="I41824" s="137" t="s">
        <v>74</v>
      </c>
    </row>
    <row r="41825" spans="9:9" x14ac:dyDescent="0.2">
      <c r="I41825" s="137" t="s">
        <v>74</v>
      </c>
    </row>
    <row r="41826" spans="9:9" x14ac:dyDescent="0.2">
      <c r="I41826" s="137" t="s">
        <v>74</v>
      </c>
    </row>
    <row r="41827" spans="9:9" x14ac:dyDescent="0.2">
      <c r="I41827" s="137" t="s">
        <v>74</v>
      </c>
    </row>
    <row r="41828" spans="9:9" x14ac:dyDescent="0.2">
      <c r="I41828" s="137" t="s">
        <v>74</v>
      </c>
    </row>
    <row r="41829" spans="9:9" x14ac:dyDescent="0.2">
      <c r="I41829" s="137" t="s">
        <v>74</v>
      </c>
    </row>
    <row r="41830" spans="9:9" x14ac:dyDescent="0.2">
      <c r="I41830" s="137" t="s">
        <v>74</v>
      </c>
    </row>
    <row r="41831" spans="9:9" x14ac:dyDescent="0.2">
      <c r="I41831" s="137" t="s">
        <v>74</v>
      </c>
    </row>
    <row r="41832" spans="9:9" x14ac:dyDescent="0.2">
      <c r="I41832" s="137" t="s">
        <v>74</v>
      </c>
    </row>
    <row r="41833" spans="9:9" x14ac:dyDescent="0.2">
      <c r="I41833" s="137" t="s">
        <v>74</v>
      </c>
    </row>
    <row r="41834" spans="9:9" x14ac:dyDescent="0.2">
      <c r="I41834" s="137" t="s">
        <v>74</v>
      </c>
    </row>
    <row r="41835" spans="9:9" x14ac:dyDescent="0.2">
      <c r="I41835" s="137" t="s">
        <v>74</v>
      </c>
    </row>
    <row r="41836" spans="9:9" x14ac:dyDescent="0.2">
      <c r="I41836" s="137" t="s">
        <v>74</v>
      </c>
    </row>
    <row r="41837" spans="9:9" x14ac:dyDescent="0.2">
      <c r="I41837" s="137" t="s">
        <v>74</v>
      </c>
    </row>
    <row r="41838" spans="9:9" x14ac:dyDescent="0.2">
      <c r="I41838" s="137" t="s">
        <v>74</v>
      </c>
    </row>
    <row r="41839" spans="9:9" x14ac:dyDescent="0.2">
      <c r="I41839" s="137" t="s">
        <v>74</v>
      </c>
    </row>
    <row r="41840" spans="9:9" x14ac:dyDescent="0.2">
      <c r="I41840" s="137" t="s">
        <v>74</v>
      </c>
    </row>
    <row r="41841" spans="9:9" x14ac:dyDescent="0.2">
      <c r="I41841" s="137" t="s">
        <v>74</v>
      </c>
    </row>
    <row r="41842" spans="9:9" x14ac:dyDescent="0.2">
      <c r="I41842" s="137" t="s">
        <v>74</v>
      </c>
    </row>
    <row r="41843" spans="9:9" x14ac:dyDescent="0.2">
      <c r="I41843" s="137" t="s">
        <v>74</v>
      </c>
    </row>
    <row r="41844" spans="9:9" x14ac:dyDescent="0.2">
      <c r="I41844" s="137" t="s">
        <v>74</v>
      </c>
    </row>
    <row r="41845" spans="9:9" x14ac:dyDescent="0.2">
      <c r="I41845" s="137" t="s">
        <v>74</v>
      </c>
    </row>
    <row r="41846" spans="9:9" x14ac:dyDescent="0.2">
      <c r="I41846" s="137" t="s">
        <v>74</v>
      </c>
    </row>
    <row r="41847" spans="9:9" x14ac:dyDescent="0.2">
      <c r="I41847" s="137" t="s">
        <v>74</v>
      </c>
    </row>
    <row r="41848" spans="9:9" x14ac:dyDescent="0.2">
      <c r="I41848" s="137" t="s">
        <v>74</v>
      </c>
    </row>
    <row r="41849" spans="9:9" x14ac:dyDescent="0.2">
      <c r="I41849" s="137" t="s">
        <v>74</v>
      </c>
    </row>
    <row r="41850" spans="9:9" x14ac:dyDescent="0.2">
      <c r="I41850" s="137" t="s">
        <v>74</v>
      </c>
    </row>
    <row r="41851" spans="9:9" x14ac:dyDescent="0.2">
      <c r="I41851" s="137" t="s">
        <v>74</v>
      </c>
    </row>
    <row r="41852" spans="9:9" x14ac:dyDescent="0.2">
      <c r="I41852" s="137" t="s">
        <v>74</v>
      </c>
    </row>
    <row r="41853" spans="9:9" x14ac:dyDescent="0.2">
      <c r="I41853" s="137" t="s">
        <v>74</v>
      </c>
    </row>
    <row r="41854" spans="9:9" x14ac:dyDescent="0.2">
      <c r="I41854" s="137" t="s">
        <v>74</v>
      </c>
    </row>
    <row r="41855" spans="9:9" x14ac:dyDescent="0.2">
      <c r="I41855" s="137" t="s">
        <v>74</v>
      </c>
    </row>
    <row r="41856" spans="9:9" x14ac:dyDescent="0.2">
      <c r="I41856" s="137" t="s">
        <v>74</v>
      </c>
    </row>
    <row r="41857" spans="9:9" x14ac:dyDescent="0.2">
      <c r="I41857" s="137" t="s">
        <v>74</v>
      </c>
    </row>
    <row r="41858" spans="9:9" x14ac:dyDescent="0.2">
      <c r="I41858" s="137" t="s">
        <v>74</v>
      </c>
    </row>
    <row r="41859" spans="9:9" x14ac:dyDescent="0.2">
      <c r="I41859" s="137" t="s">
        <v>74</v>
      </c>
    </row>
    <row r="41860" spans="9:9" x14ac:dyDescent="0.2">
      <c r="I41860" s="137" t="s">
        <v>74</v>
      </c>
    </row>
    <row r="41861" spans="9:9" x14ac:dyDescent="0.2">
      <c r="I41861" s="137" t="s">
        <v>74</v>
      </c>
    </row>
    <row r="41862" spans="9:9" x14ac:dyDescent="0.2">
      <c r="I41862" s="137" t="s">
        <v>74</v>
      </c>
    </row>
    <row r="41863" spans="9:9" x14ac:dyDescent="0.2">
      <c r="I41863" s="137" t="s">
        <v>74</v>
      </c>
    </row>
    <row r="41864" spans="9:9" x14ac:dyDescent="0.2">
      <c r="I41864" s="137" t="s">
        <v>74</v>
      </c>
    </row>
    <row r="41865" spans="9:9" x14ac:dyDescent="0.2">
      <c r="I41865" s="137" t="s">
        <v>74</v>
      </c>
    </row>
    <row r="41866" spans="9:9" x14ac:dyDescent="0.2">
      <c r="I41866" s="137" t="s">
        <v>74</v>
      </c>
    </row>
    <row r="41867" spans="9:9" x14ac:dyDescent="0.2">
      <c r="I41867" s="137" t="s">
        <v>74</v>
      </c>
    </row>
    <row r="41868" spans="9:9" x14ac:dyDescent="0.2">
      <c r="I41868" s="137" t="s">
        <v>74</v>
      </c>
    </row>
    <row r="41869" spans="9:9" x14ac:dyDescent="0.2">
      <c r="I41869" s="137" t="s">
        <v>74</v>
      </c>
    </row>
    <row r="41870" spans="9:9" x14ac:dyDescent="0.2">
      <c r="I41870" s="137" t="s">
        <v>74</v>
      </c>
    </row>
    <row r="41871" spans="9:9" x14ac:dyDescent="0.2">
      <c r="I41871" s="137" t="s">
        <v>74</v>
      </c>
    </row>
    <row r="41872" spans="9:9" x14ac:dyDescent="0.2">
      <c r="I41872" s="137" t="s">
        <v>74</v>
      </c>
    </row>
    <row r="41873" spans="9:9" x14ac:dyDescent="0.2">
      <c r="I41873" s="137" t="s">
        <v>74</v>
      </c>
    </row>
    <row r="41874" spans="9:9" x14ac:dyDescent="0.2">
      <c r="I41874" s="137" t="s">
        <v>74</v>
      </c>
    </row>
    <row r="41875" spans="9:9" x14ac:dyDescent="0.2">
      <c r="I41875" s="137" t="s">
        <v>74</v>
      </c>
    </row>
    <row r="41876" spans="9:9" x14ac:dyDescent="0.2">
      <c r="I41876" s="137" t="s">
        <v>74</v>
      </c>
    </row>
    <row r="41877" spans="9:9" x14ac:dyDescent="0.2">
      <c r="I41877" s="137" t="s">
        <v>74</v>
      </c>
    </row>
    <row r="41878" spans="9:9" x14ac:dyDescent="0.2">
      <c r="I41878" s="137" t="s">
        <v>74</v>
      </c>
    </row>
    <row r="41879" spans="9:9" x14ac:dyDescent="0.2">
      <c r="I41879" s="137" t="s">
        <v>74</v>
      </c>
    </row>
    <row r="41880" spans="9:9" x14ac:dyDescent="0.2">
      <c r="I41880" s="137" t="s">
        <v>74</v>
      </c>
    </row>
    <row r="41881" spans="9:9" x14ac:dyDescent="0.2">
      <c r="I41881" s="137" t="s">
        <v>74</v>
      </c>
    </row>
    <row r="41882" spans="9:9" x14ac:dyDescent="0.2">
      <c r="I41882" s="137" t="s">
        <v>74</v>
      </c>
    </row>
    <row r="41883" spans="9:9" x14ac:dyDescent="0.2">
      <c r="I41883" s="137" t="s">
        <v>74</v>
      </c>
    </row>
    <row r="41884" spans="9:9" x14ac:dyDescent="0.2">
      <c r="I41884" s="137" t="s">
        <v>74</v>
      </c>
    </row>
    <row r="41885" spans="9:9" x14ac:dyDescent="0.2">
      <c r="I41885" s="137" t="s">
        <v>74</v>
      </c>
    </row>
    <row r="41886" spans="9:9" x14ac:dyDescent="0.2">
      <c r="I41886" s="137" t="s">
        <v>74</v>
      </c>
    </row>
    <row r="41887" spans="9:9" x14ac:dyDescent="0.2">
      <c r="I41887" s="137" t="s">
        <v>74</v>
      </c>
    </row>
    <row r="41888" spans="9:9" x14ac:dyDescent="0.2">
      <c r="I41888" s="137" t="s">
        <v>74</v>
      </c>
    </row>
    <row r="41889" spans="9:9" x14ac:dyDescent="0.2">
      <c r="I41889" s="137" t="s">
        <v>74</v>
      </c>
    </row>
    <row r="41890" spans="9:9" x14ac:dyDescent="0.2">
      <c r="I41890" s="137" t="s">
        <v>74</v>
      </c>
    </row>
    <row r="41891" spans="9:9" x14ac:dyDescent="0.2">
      <c r="I41891" s="137" t="s">
        <v>74</v>
      </c>
    </row>
    <row r="41892" spans="9:9" x14ac:dyDescent="0.2">
      <c r="I41892" s="137" t="s">
        <v>74</v>
      </c>
    </row>
    <row r="41893" spans="9:9" x14ac:dyDescent="0.2">
      <c r="I41893" s="137" t="s">
        <v>74</v>
      </c>
    </row>
    <row r="41894" spans="9:9" x14ac:dyDescent="0.2">
      <c r="I41894" s="137" t="s">
        <v>74</v>
      </c>
    </row>
    <row r="41895" spans="9:9" x14ac:dyDescent="0.2">
      <c r="I41895" s="137" t="s">
        <v>74</v>
      </c>
    </row>
    <row r="41896" spans="9:9" x14ac:dyDescent="0.2">
      <c r="I41896" s="137" t="s">
        <v>74</v>
      </c>
    </row>
    <row r="41897" spans="9:9" x14ac:dyDescent="0.2">
      <c r="I41897" s="137" t="s">
        <v>74</v>
      </c>
    </row>
    <row r="41898" spans="9:9" x14ac:dyDescent="0.2">
      <c r="I41898" s="137" t="s">
        <v>74</v>
      </c>
    </row>
    <row r="41899" spans="9:9" x14ac:dyDescent="0.2">
      <c r="I41899" s="137" t="s">
        <v>74</v>
      </c>
    </row>
    <row r="41900" spans="9:9" x14ac:dyDescent="0.2">
      <c r="I41900" s="137" t="s">
        <v>74</v>
      </c>
    </row>
    <row r="41901" spans="9:9" x14ac:dyDescent="0.2">
      <c r="I41901" s="137" t="s">
        <v>74</v>
      </c>
    </row>
    <row r="41902" spans="9:9" x14ac:dyDescent="0.2">
      <c r="I41902" s="137" t="s">
        <v>74</v>
      </c>
    </row>
    <row r="41903" spans="9:9" x14ac:dyDescent="0.2">
      <c r="I41903" s="137" t="s">
        <v>74</v>
      </c>
    </row>
    <row r="41904" spans="9:9" x14ac:dyDescent="0.2">
      <c r="I41904" s="137" t="s">
        <v>74</v>
      </c>
    </row>
    <row r="41905" spans="9:9" x14ac:dyDescent="0.2">
      <c r="I41905" s="137" t="s">
        <v>74</v>
      </c>
    </row>
    <row r="41906" spans="9:9" x14ac:dyDescent="0.2">
      <c r="I41906" s="137" t="s">
        <v>74</v>
      </c>
    </row>
    <row r="41907" spans="9:9" x14ac:dyDescent="0.2">
      <c r="I41907" s="137" t="s">
        <v>74</v>
      </c>
    </row>
    <row r="41908" spans="9:9" x14ac:dyDescent="0.2">
      <c r="I41908" s="137" t="s">
        <v>74</v>
      </c>
    </row>
    <row r="41909" spans="9:9" x14ac:dyDescent="0.2">
      <c r="I41909" s="137" t="s">
        <v>74</v>
      </c>
    </row>
    <row r="41910" spans="9:9" x14ac:dyDescent="0.2">
      <c r="I41910" s="137" t="s">
        <v>74</v>
      </c>
    </row>
    <row r="41911" spans="9:9" x14ac:dyDescent="0.2">
      <c r="I41911" s="137" t="s">
        <v>74</v>
      </c>
    </row>
    <row r="41912" spans="9:9" x14ac:dyDescent="0.2">
      <c r="I41912" s="137" t="s">
        <v>74</v>
      </c>
    </row>
    <row r="41913" spans="9:9" x14ac:dyDescent="0.2">
      <c r="I41913" s="137" t="s">
        <v>74</v>
      </c>
    </row>
    <row r="41914" spans="9:9" x14ac:dyDescent="0.2">
      <c r="I41914" s="137" t="s">
        <v>74</v>
      </c>
    </row>
    <row r="41915" spans="9:9" x14ac:dyDescent="0.2">
      <c r="I41915" s="137" t="s">
        <v>74</v>
      </c>
    </row>
    <row r="41916" spans="9:9" x14ac:dyDescent="0.2">
      <c r="I41916" s="137" t="s">
        <v>74</v>
      </c>
    </row>
    <row r="41917" spans="9:9" x14ac:dyDescent="0.2">
      <c r="I41917" s="137" t="s">
        <v>74</v>
      </c>
    </row>
    <row r="41918" spans="9:9" x14ac:dyDescent="0.2">
      <c r="I41918" s="137" t="s">
        <v>74</v>
      </c>
    </row>
    <row r="41919" spans="9:9" x14ac:dyDescent="0.2">
      <c r="I41919" s="137" t="s">
        <v>74</v>
      </c>
    </row>
    <row r="41920" spans="9:9" x14ac:dyDescent="0.2">
      <c r="I41920" s="137" t="s">
        <v>74</v>
      </c>
    </row>
    <row r="41921" spans="9:9" x14ac:dyDescent="0.2">
      <c r="I41921" s="137" t="s">
        <v>74</v>
      </c>
    </row>
    <row r="41922" spans="9:9" x14ac:dyDescent="0.2">
      <c r="I41922" s="137" t="s">
        <v>74</v>
      </c>
    </row>
    <row r="41923" spans="9:9" x14ac:dyDescent="0.2">
      <c r="I41923" s="137" t="s">
        <v>74</v>
      </c>
    </row>
    <row r="41924" spans="9:9" x14ac:dyDescent="0.2">
      <c r="I41924" s="137" t="s">
        <v>74</v>
      </c>
    </row>
    <row r="41925" spans="9:9" x14ac:dyDescent="0.2">
      <c r="I41925" s="137" t="s">
        <v>74</v>
      </c>
    </row>
    <row r="41926" spans="9:9" x14ac:dyDescent="0.2">
      <c r="I41926" s="137" t="s">
        <v>74</v>
      </c>
    </row>
    <row r="41927" spans="9:9" x14ac:dyDescent="0.2">
      <c r="I41927" s="137" t="s">
        <v>74</v>
      </c>
    </row>
    <row r="41928" spans="9:9" x14ac:dyDescent="0.2">
      <c r="I41928" s="137" t="s">
        <v>74</v>
      </c>
    </row>
    <row r="41929" spans="9:9" x14ac:dyDescent="0.2">
      <c r="I41929" s="137" t="s">
        <v>74</v>
      </c>
    </row>
    <row r="41930" spans="9:9" x14ac:dyDescent="0.2">
      <c r="I41930" s="137" t="s">
        <v>74</v>
      </c>
    </row>
    <row r="41931" spans="9:9" x14ac:dyDescent="0.2">
      <c r="I41931" s="137" t="s">
        <v>74</v>
      </c>
    </row>
    <row r="41932" spans="9:9" x14ac:dyDescent="0.2">
      <c r="I41932" s="137" t="s">
        <v>74</v>
      </c>
    </row>
    <row r="41933" spans="9:9" x14ac:dyDescent="0.2">
      <c r="I41933" s="137" t="s">
        <v>74</v>
      </c>
    </row>
    <row r="41934" spans="9:9" x14ac:dyDescent="0.2">
      <c r="I41934" s="137" t="s">
        <v>74</v>
      </c>
    </row>
    <row r="41935" spans="9:9" x14ac:dyDescent="0.2">
      <c r="I41935" s="137" t="s">
        <v>74</v>
      </c>
    </row>
    <row r="41936" spans="9:9" x14ac:dyDescent="0.2">
      <c r="I41936" s="137" t="s">
        <v>74</v>
      </c>
    </row>
    <row r="41937" spans="9:9" x14ac:dyDescent="0.2">
      <c r="I41937" s="137" t="s">
        <v>74</v>
      </c>
    </row>
    <row r="41938" spans="9:9" x14ac:dyDescent="0.2">
      <c r="I41938" s="137" t="s">
        <v>74</v>
      </c>
    </row>
    <row r="41939" spans="9:9" x14ac:dyDescent="0.2">
      <c r="I41939" s="137" t="s">
        <v>74</v>
      </c>
    </row>
    <row r="41940" spans="9:9" x14ac:dyDescent="0.2">
      <c r="I41940" s="137" t="s">
        <v>74</v>
      </c>
    </row>
    <row r="41941" spans="9:9" x14ac:dyDescent="0.2">
      <c r="I41941" s="137" t="s">
        <v>74</v>
      </c>
    </row>
    <row r="41942" spans="9:9" x14ac:dyDescent="0.2">
      <c r="I41942" s="137" t="s">
        <v>74</v>
      </c>
    </row>
    <row r="41943" spans="9:9" x14ac:dyDescent="0.2">
      <c r="I41943" s="137" t="s">
        <v>74</v>
      </c>
    </row>
    <row r="41944" spans="9:9" x14ac:dyDescent="0.2">
      <c r="I41944" s="137" t="s">
        <v>74</v>
      </c>
    </row>
    <row r="41945" spans="9:9" x14ac:dyDescent="0.2">
      <c r="I41945" s="137" t="s">
        <v>74</v>
      </c>
    </row>
    <row r="41946" spans="9:9" x14ac:dyDescent="0.2">
      <c r="I41946" s="137" t="s">
        <v>74</v>
      </c>
    </row>
    <row r="41947" spans="9:9" x14ac:dyDescent="0.2">
      <c r="I41947" s="137" t="s">
        <v>74</v>
      </c>
    </row>
    <row r="41948" spans="9:9" x14ac:dyDescent="0.2">
      <c r="I41948" s="137" t="s">
        <v>74</v>
      </c>
    </row>
    <row r="41949" spans="9:9" x14ac:dyDescent="0.2">
      <c r="I41949" s="137" t="s">
        <v>74</v>
      </c>
    </row>
    <row r="41950" spans="9:9" x14ac:dyDescent="0.2">
      <c r="I41950" s="137" t="s">
        <v>74</v>
      </c>
    </row>
    <row r="41951" spans="9:9" x14ac:dyDescent="0.2">
      <c r="I41951" s="137" t="s">
        <v>74</v>
      </c>
    </row>
    <row r="41952" spans="9:9" x14ac:dyDescent="0.2">
      <c r="I41952" s="137" t="s">
        <v>74</v>
      </c>
    </row>
    <row r="41953" spans="9:9" x14ac:dyDescent="0.2">
      <c r="I41953" s="137" t="s">
        <v>74</v>
      </c>
    </row>
    <row r="41954" spans="9:9" x14ac:dyDescent="0.2">
      <c r="I41954" s="137" t="s">
        <v>74</v>
      </c>
    </row>
    <row r="41955" spans="9:9" x14ac:dyDescent="0.2">
      <c r="I41955" s="137" t="s">
        <v>74</v>
      </c>
    </row>
    <row r="41956" spans="9:9" x14ac:dyDescent="0.2">
      <c r="I41956" s="137" t="s">
        <v>74</v>
      </c>
    </row>
    <row r="41957" spans="9:9" x14ac:dyDescent="0.2">
      <c r="I41957" s="137" t="s">
        <v>74</v>
      </c>
    </row>
    <row r="41958" spans="9:9" x14ac:dyDescent="0.2">
      <c r="I41958" s="137" t="s">
        <v>74</v>
      </c>
    </row>
    <row r="41959" spans="9:9" x14ac:dyDescent="0.2">
      <c r="I41959" s="137" t="s">
        <v>74</v>
      </c>
    </row>
    <row r="41960" spans="9:9" x14ac:dyDescent="0.2">
      <c r="I41960" s="137" t="s">
        <v>74</v>
      </c>
    </row>
    <row r="41961" spans="9:9" x14ac:dyDescent="0.2">
      <c r="I41961" s="137" t="s">
        <v>74</v>
      </c>
    </row>
    <row r="41962" spans="9:9" x14ac:dyDescent="0.2">
      <c r="I41962" s="137" t="s">
        <v>74</v>
      </c>
    </row>
    <row r="41963" spans="9:9" x14ac:dyDescent="0.2">
      <c r="I41963" s="137" t="s">
        <v>74</v>
      </c>
    </row>
    <row r="41964" spans="9:9" x14ac:dyDescent="0.2">
      <c r="I41964" s="137" t="s">
        <v>74</v>
      </c>
    </row>
    <row r="41965" spans="9:9" x14ac:dyDescent="0.2">
      <c r="I41965" s="137" t="s">
        <v>74</v>
      </c>
    </row>
    <row r="41966" spans="9:9" x14ac:dyDescent="0.2">
      <c r="I41966" s="137" t="s">
        <v>74</v>
      </c>
    </row>
    <row r="41967" spans="9:9" x14ac:dyDescent="0.2">
      <c r="I41967" s="137" t="s">
        <v>74</v>
      </c>
    </row>
    <row r="41968" spans="9:9" x14ac:dyDescent="0.2">
      <c r="I41968" s="137" t="s">
        <v>74</v>
      </c>
    </row>
    <row r="41969" spans="9:9" x14ac:dyDescent="0.2">
      <c r="I41969" s="137" t="s">
        <v>74</v>
      </c>
    </row>
    <row r="41970" spans="9:9" x14ac:dyDescent="0.2">
      <c r="I41970" s="137" t="s">
        <v>74</v>
      </c>
    </row>
    <row r="41971" spans="9:9" x14ac:dyDescent="0.2">
      <c r="I41971" s="137" t="s">
        <v>74</v>
      </c>
    </row>
    <row r="41972" spans="9:9" x14ac:dyDescent="0.2">
      <c r="I41972" s="137" t="s">
        <v>74</v>
      </c>
    </row>
    <row r="41973" spans="9:9" x14ac:dyDescent="0.2">
      <c r="I41973" s="137" t="s">
        <v>74</v>
      </c>
    </row>
    <row r="41974" spans="9:9" x14ac:dyDescent="0.2">
      <c r="I41974" s="137" t="s">
        <v>74</v>
      </c>
    </row>
    <row r="41975" spans="9:9" x14ac:dyDescent="0.2">
      <c r="I41975" s="137" t="s">
        <v>74</v>
      </c>
    </row>
    <row r="41976" spans="9:9" x14ac:dyDescent="0.2">
      <c r="I41976" s="137" t="s">
        <v>74</v>
      </c>
    </row>
    <row r="41977" spans="9:9" x14ac:dyDescent="0.2">
      <c r="I41977" s="137" t="s">
        <v>74</v>
      </c>
    </row>
    <row r="41978" spans="9:9" x14ac:dyDescent="0.2">
      <c r="I41978" s="137" t="s">
        <v>74</v>
      </c>
    </row>
    <row r="41979" spans="9:9" x14ac:dyDescent="0.2">
      <c r="I41979" s="137" t="s">
        <v>74</v>
      </c>
    </row>
    <row r="41980" spans="9:9" x14ac:dyDescent="0.2">
      <c r="I41980" s="137" t="s">
        <v>74</v>
      </c>
    </row>
    <row r="41981" spans="9:9" x14ac:dyDescent="0.2">
      <c r="I41981" s="137" t="s">
        <v>74</v>
      </c>
    </row>
    <row r="41982" spans="9:9" x14ac:dyDescent="0.2">
      <c r="I41982" s="137" t="s">
        <v>74</v>
      </c>
    </row>
    <row r="41983" spans="9:9" x14ac:dyDescent="0.2">
      <c r="I41983" s="137" t="s">
        <v>74</v>
      </c>
    </row>
    <row r="41984" spans="9:9" x14ac:dyDescent="0.2">
      <c r="I41984" s="137" t="s">
        <v>74</v>
      </c>
    </row>
    <row r="41985" spans="9:9" x14ac:dyDescent="0.2">
      <c r="I41985" s="137" t="s">
        <v>74</v>
      </c>
    </row>
    <row r="41986" spans="9:9" x14ac:dyDescent="0.2">
      <c r="I41986" s="137" t="s">
        <v>74</v>
      </c>
    </row>
    <row r="41987" spans="9:9" x14ac:dyDescent="0.2">
      <c r="I41987" s="137" t="s">
        <v>74</v>
      </c>
    </row>
    <row r="41988" spans="9:9" x14ac:dyDescent="0.2">
      <c r="I41988" s="137" t="s">
        <v>74</v>
      </c>
    </row>
    <row r="41989" spans="9:9" x14ac:dyDescent="0.2">
      <c r="I41989" s="137" t="s">
        <v>74</v>
      </c>
    </row>
    <row r="41990" spans="9:9" x14ac:dyDescent="0.2">
      <c r="I41990" s="137" t="s">
        <v>74</v>
      </c>
    </row>
    <row r="41991" spans="9:9" x14ac:dyDescent="0.2">
      <c r="I41991" s="137" t="s">
        <v>74</v>
      </c>
    </row>
    <row r="41992" spans="9:9" x14ac:dyDescent="0.2">
      <c r="I41992" s="137" t="s">
        <v>74</v>
      </c>
    </row>
    <row r="41993" spans="9:9" x14ac:dyDescent="0.2">
      <c r="I41993" s="137" t="s">
        <v>74</v>
      </c>
    </row>
    <row r="41994" spans="9:9" x14ac:dyDescent="0.2">
      <c r="I41994" s="137" t="s">
        <v>74</v>
      </c>
    </row>
    <row r="41995" spans="9:9" x14ac:dyDescent="0.2">
      <c r="I41995" s="137" t="s">
        <v>74</v>
      </c>
    </row>
    <row r="41996" spans="9:9" x14ac:dyDescent="0.2">
      <c r="I41996" s="137" t="s">
        <v>74</v>
      </c>
    </row>
    <row r="41997" spans="9:9" x14ac:dyDescent="0.2">
      <c r="I41997" s="137" t="s">
        <v>74</v>
      </c>
    </row>
    <row r="41998" spans="9:9" x14ac:dyDescent="0.2">
      <c r="I41998" s="137" t="s">
        <v>74</v>
      </c>
    </row>
    <row r="41999" spans="9:9" x14ac:dyDescent="0.2">
      <c r="I41999" s="137" t="s">
        <v>74</v>
      </c>
    </row>
    <row r="42000" spans="9:9" x14ac:dyDescent="0.2">
      <c r="I42000" s="137" t="s">
        <v>74</v>
      </c>
    </row>
    <row r="42001" spans="9:9" x14ac:dyDescent="0.2">
      <c r="I42001" s="137" t="s">
        <v>74</v>
      </c>
    </row>
    <row r="42002" spans="9:9" x14ac:dyDescent="0.2">
      <c r="I42002" s="137" t="s">
        <v>74</v>
      </c>
    </row>
    <row r="42003" spans="9:9" x14ac:dyDescent="0.2">
      <c r="I42003" s="137" t="s">
        <v>74</v>
      </c>
    </row>
    <row r="42004" spans="9:9" x14ac:dyDescent="0.2">
      <c r="I42004" s="137" t="s">
        <v>74</v>
      </c>
    </row>
    <row r="42005" spans="9:9" x14ac:dyDescent="0.2">
      <c r="I42005" s="137" t="s">
        <v>74</v>
      </c>
    </row>
    <row r="42006" spans="9:9" x14ac:dyDescent="0.2">
      <c r="I42006" s="137" t="s">
        <v>74</v>
      </c>
    </row>
    <row r="42007" spans="9:9" x14ac:dyDescent="0.2">
      <c r="I42007" s="137" t="s">
        <v>74</v>
      </c>
    </row>
    <row r="42008" spans="9:9" x14ac:dyDescent="0.2">
      <c r="I42008" s="137" t="s">
        <v>74</v>
      </c>
    </row>
    <row r="42009" spans="9:9" x14ac:dyDescent="0.2">
      <c r="I42009" s="137" t="s">
        <v>74</v>
      </c>
    </row>
    <row r="42010" spans="9:9" x14ac:dyDescent="0.2">
      <c r="I42010" s="137" t="s">
        <v>74</v>
      </c>
    </row>
    <row r="42011" spans="9:9" x14ac:dyDescent="0.2">
      <c r="I42011" s="137" t="s">
        <v>74</v>
      </c>
    </row>
    <row r="42012" spans="9:9" x14ac:dyDescent="0.2">
      <c r="I42012" s="137" t="s">
        <v>74</v>
      </c>
    </row>
    <row r="42013" spans="9:9" x14ac:dyDescent="0.2">
      <c r="I42013" s="137" t="s">
        <v>74</v>
      </c>
    </row>
    <row r="42014" spans="9:9" x14ac:dyDescent="0.2">
      <c r="I42014" s="137" t="s">
        <v>74</v>
      </c>
    </row>
    <row r="42015" spans="9:9" x14ac:dyDescent="0.2">
      <c r="I42015" s="137" t="s">
        <v>74</v>
      </c>
    </row>
    <row r="42016" spans="9:9" x14ac:dyDescent="0.2">
      <c r="I42016" s="137" t="s">
        <v>74</v>
      </c>
    </row>
    <row r="42017" spans="9:9" x14ac:dyDescent="0.2">
      <c r="I42017" s="137" t="s">
        <v>74</v>
      </c>
    </row>
    <row r="42018" spans="9:9" x14ac:dyDescent="0.2">
      <c r="I42018" s="137" t="s">
        <v>74</v>
      </c>
    </row>
    <row r="42019" spans="9:9" x14ac:dyDescent="0.2">
      <c r="I42019" s="137" t="s">
        <v>74</v>
      </c>
    </row>
    <row r="42020" spans="9:9" x14ac:dyDescent="0.2">
      <c r="I42020" s="137" t="s">
        <v>74</v>
      </c>
    </row>
    <row r="42021" spans="9:9" x14ac:dyDescent="0.2">
      <c r="I42021" s="137" t="s">
        <v>74</v>
      </c>
    </row>
    <row r="42022" spans="9:9" x14ac:dyDescent="0.2">
      <c r="I42022" s="137" t="s">
        <v>74</v>
      </c>
    </row>
    <row r="42023" spans="9:9" x14ac:dyDescent="0.2">
      <c r="I42023" s="137" t="s">
        <v>74</v>
      </c>
    </row>
    <row r="42024" spans="9:9" x14ac:dyDescent="0.2">
      <c r="I42024" s="137" t="s">
        <v>74</v>
      </c>
    </row>
    <row r="42025" spans="9:9" x14ac:dyDescent="0.2">
      <c r="I42025" s="137" t="s">
        <v>74</v>
      </c>
    </row>
    <row r="42026" spans="9:9" x14ac:dyDescent="0.2">
      <c r="I42026" s="137" t="s">
        <v>74</v>
      </c>
    </row>
    <row r="42027" spans="9:9" x14ac:dyDescent="0.2">
      <c r="I42027" s="137" t="s">
        <v>74</v>
      </c>
    </row>
    <row r="42028" spans="9:9" x14ac:dyDescent="0.2">
      <c r="I42028" s="137" t="s">
        <v>74</v>
      </c>
    </row>
    <row r="42029" spans="9:9" x14ac:dyDescent="0.2">
      <c r="I42029" s="137" t="s">
        <v>74</v>
      </c>
    </row>
    <row r="42030" spans="9:9" x14ac:dyDescent="0.2">
      <c r="I42030" s="137" t="s">
        <v>74</v>
      </c>
    </row>
    <row r="42031" spans="9:9" x14ac:dyDescent="0.2">
      <c r="I42031" s="137" t="s">
        <v>74</v>
      </c>
    </row>
    <row r="42032" spans="9:9" x14ac:dyDescent="0.2">
      <c r="I42032" s="137" t="s">
        <v>74</v>
      </c>
    </row>
    <row r="42033" spans="9:9" x14ac:dyDescent="0.2">
      <c r="I42033" s="137" t="s">
        <v>74</v>
      </c>
    </row>
    <row r="42034" spans="9:9" x14ac:dyDescent="0.2">
      <c r="I42034" s="137" t="s">
        <v>74</v>
      </c>
    </row>
    <row r="42035" spans="9:9" x14ac:dyDescent="0.2">
      <c r="I42035" s="137" t="s">
        <v>74</v>
      </c>
    </row>
    <row r="42036" spans="9:9" x14ac:dyDescent="0.2">
      <c r="I42036" s="137" t="s">
        <v>74</v>
      </c>
    </row>
    <row r="42037" spans="9:9" x14ac:dyDescent="0.2">
      <c r="I42037" s="137" t="s">
        <v>74</v>
      </c>
    </row>
    <row r="42038" spans="9:9" x14ac:dyDescent="0.2">
      <c r="I42038" s="137" t="s">
        <v>74</v>
      </c>
    </row>
    <row r="42039" spans="9:9" x14ac:dyDescent="0.2">
      <c r="I42039" s="137" t="s">
        <v>74</v>
      </c>
    </row>
    <row r="42040" spans="9:9" x14ac:dyDescent="0.2">
      <c r="I42040" s="137" t="s">
        <v>74</v>
      </c>
    </row>
    <row r="42041" spans="9:9" x14ac:dyDescent="0.2">
      <c r="I42041" s="137" t="s">
        <v>74</v>
      </c>
    </row>
    <row r="42042" spans="9:9" x14ac:dyDescent="0.2">
      <c r="I42042" s="137" t="s">
        <v>74</v>
      </c>
    </row>
    <row r="42043" spans="9:9" x14ac:dyDescent="0.2">
      <c r="I42043" s="137" t="s">
        <v>74</v>
      </c>
    </row>
    <row r="42044" spans="9:9" x14ac:dyDescent="0.2">
      <c r="I42044" s="137" t="s">
        <v>74</v>
      </c>
    </row>
    <row r="42045" spans="9:9" x14ac:dyDescent="0.2">
      <c r="I42045" s="137" t="s">
        <v>74</v>
      </c>
    </row>
    <row r="42046" spans="9:9" x14ac:dyDescent="0.2">
      <c r="I42046" s="137" t="s">
        <v>74</v>
      </c>
    </row>
    <row r="42047" spans="9:9" x14ac:dyDescent="0.2">
      <c r="I42047" s="137" t="s">
        <v>74</v>
      </c>
    </row>
    <row r="42048" spans="9:9" x14ac:dyDescent="0.2">
      <c r="I42048" s="137" t="s">
        <v>74</v>
      </c>
    </row>
    <row r="42049" spans="9:9" x14ac:dyDescent="0.2">
      <c r="I42049" s="137" t="s">
        <v>74</v>
      </c>
    </row>
    <row r="42050" spans="9:9" x14ac:dyDescent="0.2">
      <c r="I42050" s="137" t="s">
        <v>74</v>
      </c>
    </row>
    <row r="42051" spans="9:9" x14ac:dyDescent="0.2">
      <c r="I42051" s="137" t="s">
        <v>74</v>
      </c>
    </row>
    <row r="42052" spans="9:9" x14ac:dyDescent="0.2">
      <c r="I42052" s="137" t="s">
        <v>74</v>
      </c>
    </row>
    <row r="42053" spans="9:9" x14ac:dyDescent="0.2">
      <c r="I42053" s="137" t="s">
        <v>74</v>
      </c>
    </row>
    <row r="42054" spans="9:9" x14ac:dyDescent="0.2">
      <c r="I42054" s="137" t="s">
        <v>74</v>
      </c>
    </row>
    <row r="42055" spans="9:9" x14ac:dyDescent="0.2">
      <c r="I42055" s="137" t="s">
        <v>74</v>
      </c>
    </row>
    <row r="42056" spans="9:9" x14ac:dyDescent="0.2">
      <c r="I42056" s="137" t="s">
        <v>74</v>
      </c>
    </row>
    <row r="42057" spans="9:9" x14ac:dyDescent="0.2">
      <c r="I42057" s="137" t="s">
        <v>74</v>
      </c>
    </row>
    <row r="42058" spans="9:9" x14ac:dyDescent="0.2">
      <c r="I42058" s="137" t="s">
        <v>74</v>
      </c>
    </row>
    <row r="42059" spans="9:9" x14ac:dyDescent="0.2">
      <c r="I42059" s="137" t="s">
        <v>74</v>
      </c>
    </row>
    <row r="42060" spans="9:9" x14ac:dyDescent="0.2">
      <c r="I42060" s="137" t="s">
        <v>74</v>
      </c>
    </row>
    <row r="42061" spans="9:9" x14ac:dyDescent="0.2">
      <c r="I42061" s="137" t="s">
        <v>74</v>
      </c>
    </row>
    <row r="42062" spans="9:9" x14ac:dyDescent="0.2">
      <c r="I42062" s="137" t="s">
        <v>74</v>
      </c>
    </row>
    <row r="42063" spans="9:9" x14ac:dyDescent="0.2">
      <c r="I42063" s="137" t="s">
        <v>74</v>
      </c>
    </row>
    <row r="42064" spans="9:9" x14ac:dyDescent="0.2">
      <c r="I42064" s="137" t="s">
        <v>74</v>
      </c>
    </row>
    <row r="42065" spans="9:9" x14ac:dyDescent="0.2">
      <c r="I42065" s="137" t="s">
        <v>74</v>
      </c>
    </row>
    <row r="42066" spans="9:9" x14ac:dyDescent="0.2">
      <c r="I42066" s="137" t="s">
        <v>74</v>
      </c>
    </row>
    <row r="42067" spans="9:9" x14ac:dyDescent="0.2">
      <c r="I42067" s="137" t="s">
        <v>74</v>
      </c>
    </row>
    <row r="42068" spans="9:9" x14ac:dyDescent="0.2">
      <c r="I42068" s="137" t="s">
        <v>74</v>
      </c>
    </row>
    <row r="42069" spans="9:9" x14ac:dyDescent="0.2">
      <c r="I42069" s="137" t="s">
        <v>74</v>
      </c>
    </row>
    <row r="42070" spans="9:9" x14ac:dyDescent="0.2">
      <c r="I42070" s="137" t="s">
        <v>74</v>
      </c>
    </row>
    <row r="42071" spans="9:9" x14ac:dyDescent="0.2">
      <c r="I42071" s="137" t="s">
        <v>74</v>
      </c>
    </row>
    <row r="42072" spans="9:9" x14ac:dyDescent="0.2">
      <c r="I42072" s="137" t="s">
        <v>74</v>
      </c>
    </row>
    <row r="42073" spans="9:9" x14ac:dyDescent="0.2">
      <c r="I42073" s="137" t="s">
        <v>74</v>
      </c>
    </row>
    <row r="42074" spans="9:9" x14ac:dyDescent="0.2">
      <c r="I42074" s="137" t="s">
        <v>74</v>
      </c>
    </row>
    <row r="42075" spans="9:9" x14ac:dyDescent="0.2">
      <c r="I42075" s="137" t="s">
        <v>74</v>
      </c>
    </row>
    <row r="42076" spans="9:9" x14ac:dyDescent="0.2">
      <c r="I42076" s="137" t="s">
        <v>74</v>
      </c>
    </row>
    <row r="42077" spans="9:9" x14ac:dyDescent="0.2">
      <c r="I42077" s="137" t="s">
        <v>74</v>
      </c>
    </row>
    <row r="42078" spans="9:9" x14ac:dyDescent="0.2">
      <c r="I42078" s="137" t="s">
        <v>74</v>
      </c>
    </row>
    <row r="42079" spans="9:9" x14ac:dyDescent="0.2">
      <c r="I42079" s="137" t="s">
        <v>74</v>
      </c>
    </row>
    <row r="42080" spans="9:9" x14ac:dyDescent="0.2">
      <c r="I42080" s="137" t="s">
        <v>74</v>
      </c>
    </row>
    <row r="42081" spans="9:9" x14ac:dyDescent="0.2">
      <c r="I42081" s="137" t="s">
        <v>74</v>
      </c>
    </row>
    <row r="42082" spans="9:9" x14ac:dyDescent="0.2">
      <c r="I42082" s="137" t="s">
        <v>74</v>
      </c>
    </row>
    <row r="42083" spans="9:9" x14ac:dyDescent="0.2">
      <c r="I42083" s="137" t="s">
        <v>74</v>
      </c>
    </row>
    <row r="42084" spans="9:9" x14ac:dyDescent="0.2">
      <c r="I42084" s="137" t="s">
        <v>74</v>
      </c>
    </row>
    <row r="42085" spans="9:9" x14ac:dyDescent="0.2">
      <c r="I42085" s="137" t="s">
        <v>74</v>
      </c>
    </row>
    <row r="42086" spans="9:9" x14ac:dyDescent="0.2">
      <c r="I42086" s="137" t="s">
        <v>74</v>
      </c>
    </row>
    <row r="42087" spans="9:9" x14ac:dyDescent="0.2">
      <c r="I42087" s="137" t="s">
        <v>74</v>
      </c>
    </row>
    <row r="42088" spans="9:9" x14ac:dyDescent="0.2">
      <c r="I42088" s="137" t="s">
        <v>74</v>
      </c>
    </row>
    <row r="42089" spans="9:9" x14ac:dyDescent="0.2">
      <c r="I42089" s="137" t="s">
        <v>74</v>
      </c>
    </row>
    <row r="42090" spans="9:9" x14ac:dyDescent="0.2">
      <c r="I42090" s="137" t="s">
        <v>74</v>
      </c>
    </row>
    <row r="42091" spans="9:9" x14ac:dyDescent="0.2">
      <c r="I42091" s="137" t="s">
        <v>74</v>
      </c>
    </row>
    <row r="42092" spans="9:9" x14ac:dyDescent="0.2">
      <c r="I42092" s="137" t="s">
        <v>74</v>
      </c>
    </row>
    <row r="42093" spans="9:9" x14ac:dyDescent="0.2">
      <c r="I42093" s="137" t="s">
        <v>74</v>
      </c>
    </row>
    <row r="42094" spans="9:9" x14ac:dyDescent="0.2">
      <c r="I42094" s="137" t="s">
        <v>74</v>
      </c>
    </row>
    <row r="42095" spans="9:9" x14ac:dyDescent="0.2">
      <c r="I42095" s="137" t="s">
        <v>74</v>
      </c>
    </row>
    <row r="42096" spans="9:9" x14ac:dyDescent="0.2">
      <c r="I42096" s="137" t="s">
        <v>74</v>
      </c>
    </row>
    <row r="42097" spans="9:9" x14ac:dyDescent="0.2">
      <c r="I42097" s="137" t="s">
        <v>74</v>
      </c>
    </row>
    <row r="42098" spans="9:9" x14ac:dyDescent="0.2">
      <c r="I42098" s="137" t="s">
        <v>74</v>
      </c>
    </row>
    <row r="42099" spans="9:9" x14ac:dyDescent="0.2">
      <c r="I42099" s="137" t="s">
        <v>74</v>
      </c>
    </row>
    <row r="42100" spans="9:9" x14ac:dyDescent="0.2">
      <c r="I42100" s="137" t="s">
        <v>74</v>
      </c>
    </row>
    <row r="42101" spans="9:9" x14ac:dyDescent="0.2">
      <c r="I42101" s="137" t="s">
        <v>74</v>
      </c>
    </row>
    <row r="42102" spans="9:9" x14ac:dyDescent="0.2">
      <c r="I42102" s="137" t="s">
        <v>74</v>
      </c>
    </row>
    <row r="42103" spans="9:9" x14ac:dyDescent="0.2">
      <c r="I42103" s="137" t="s">
        <v>74</v>
      </c>
    </row>
    <row r="42104" spans="9:9" x14ac:dyDescent="0.2">
      <c r="I42104" s="137" t="s">
        <v>74</v>
      </c>
    </row>
    <row r="42105" spans="9:9" x14ac:dyDescent="0.2">
      <c r="I42105" s="137" t="s">
        <v>74</v>
      </c>
    </row>
    <row r="42106" spans="9:9" x14ac:dyDescent="0.2">
      <c r="I42106" s="137" t="s">
        <v>74</v>
      </c>
    </row>
    <row r="42107" spans="9:9" x14ac:dyDescent="0.2">
      <c r="I42107" s="137" t="s">
        <v>74</v>
      </c>
    </row>
    <row r="42108" spans="9:9" x14ac:dyDescent="0.2">
      <c r="I42108" s="137" t="s">
        <v>74</v>
      </c>
    </row>
    <row r="42109" spans="9:9" x14ac:dyDescent="0.2">
      <c r="I42109" s="137" t="s">
        <v>74</v>
      </c>
    </row>
    <row r="42110" spans="9:9" x14ac:dyDescent="0.2">
      <c r="I42110" s="137" t="s">
        <v>74</v>
      </c>
    </row>
    <row r="42111" spans="9:9" x14ac:dyDescent="0.2">
      <c r="I42111" s="137" t="s">
        <v>74</v>
      </c>
    </row>
    <row r="42112" spans="9:9" x14ac:dyDescent="0.2">
      <c r="I42112" s="137" t="s">
        <v>74</v>
      </c>
    </row>
    <row r="42113" spans="9:9" x14ac:dyDescent="0.2">
      <c r="I42113" s="137" t="s">
        <v>74</v>
      </c>
    </row>
    <row r="42114" spans="9:9" x14ac:dyDescent="0.2">
      <c r="I42114" s="137" t="s">
        <v>74</v>
      </c>
    </row>
    <row r="42115" spans="9:9" x14ac:dyDescent="0.2">
      <c r="I42115" s="137" t="s">
        <v>74</v>
      </c>
    </row>
    <row r="42116" spans="9:9" x14ac:dyDescent="0.2">
      <c r="I42116" s="137" t="s">
        <v>74</v>
      </c>
    </row>
    <row r="42117" spans="9:9" x14ac:dyDescent="0.2">
      <c r="I42117" s="137" t="s">
        <v>74</v>
      </c>
    </row>
    <row r="42118" spans="9:9" x14ac:dyDescent="0.2">
      <c r="I42118" s="137" t="s">
        <v>74</v>
      </c>
    </row>
    <row r="42119" spans="9:9" x14ac:dyDescent="0.2">
      <c r="I42119" s="137" t="s">
        <v>74</v>
      </c>
    </row>
    <row r="42120" spans="9:9" x14ac:dyDescent="0.2">
      <c r="I42120" s="137" t="s">
        <v>74</v>
      </c>
    </row>
    <row r="42121" spans="9:9" x14ac:dyDescent="0.2">
      <c r="I42121" s="137" t="s">
        <v>74</v>
      </c>
    </row>
    <row r="42122" spans="9:9" x14ac:dyDescent="0.2">
      <c r="I42122" s="137" t="s">
        <v>74</v>
      </c>
    </row>
    <row r="42123" spans="9:9" x14ac:dyDescent="0.2">
      <c r="I42123" s="137" t="s">
        <v>74</v>
      </c>
    </row>
    <row r="42124" spans="9:9" x14ac:dyDescent="0.2">
      <c r="I42124" s="137" t="s">
        <v>74</v>
      </c>
    </row>
    <row r="42125" spans="9:9" x14ac:dyDescent="0.2">
      <c r="I42125" s="137" t="s">
        <v>74</v>
      </c>
    </row>
    <row r="42126" spans="9:9" x14ac:dyDescent="0.2">
      <c r="I42126" s="137" t="s">
        <v>74</v>
      </c>
    </row>
    <row r="42127" spans="9:9" x14ac:dyDescent="0.2">
      <c r="I42127" s="137" t="s">
        <v>74</v>
      </c>
    </row>
    <row r="42128" spans="9:9" x14ac:dyDescent="0.2">
      <c r="I42128" s="137" t="s">
        <v>74</v>
      </c>
    </row>
    <row r="42129" spans="9:9" x14ac:dyDescent="0.2">
      <c r="I42129" s="137" t="s">
        <v>74</v>
      </c>
    </row>
    <row r="42130" spans="9:9" x14ac:dyDescent="0.2">
      <c r="I42130" s="137" t="s">
        <v>74</v>
      </c>
    </row>
    <row r="42131" spans="9:9" x14ac:dyDescent="0.2">
      <c r="I42131" s="137" t="s">
        <v>74</v>
      </c>
    </row>
    <row r="42132" spans="9:9" x14ac:dyDescent="0.2">
      <c r="I42132" s="137" t="s">
        <v>74</v>
      </c>
    </row>
    <row r="42133" spans="9:9" x14ac:dyDescent="0.2">
      <c r="I42133" s="137" t="s">
        <v>74</v>
      </c>
    </row>
    <row r="42134" spans="9:9" x14ac:dyDescent="0.2">
      <c r="I42134" s="137" t="s">
        <v>74</v>
      </c>
    </row>
    <row r="42135" spans="9:9" x14ac:dyDescent="0.2">
      <c r="I42135" s="137" t="s">
        <v>74</v>
      </c>
    </row>
    <row r="42136" spans="9:9" x14ac:dyDescent="0.2">
      <c r="I42136" s="137" t="s">
        <v>74</v>
      </c>
    </row>
    <row r="42137" spans="9:9" x14ac:dyDescent="0.2">
      <c r="I42137" s="137" t="s">
        <v>74</v>
      </c>
    </row>
    <row r="42138" spans="9:9" x14ac:dyDescent="0.2">
      <c r="I42138" s="137" t="s">
        <v>74</v>
      </c>
    </row>
    <row r="42139" spans="9:9" x14ac:dyDescent="0.2">
      <c r="I42139" s="137" t="s">
        <v>74</v>
      </c>
    </row>
    <row r="42140" spans="9:9" x14ac:dyDescent="0.2">
      <c r="I42140" s="137" t="s">
        <v>74</v>
      </c>
    </row>
    <row r="42141" spans="9:9" x14ac:dyDescent="0.2">
      <c r="I42141" s="137" t="s">
        <v>74</v>
      </c>
    </row>
    <row r="42142" spans="9:9" x14ac:dyDescent="0.2">
      <c r="I42142" s="137" t="s">
        <v>74</v>
      </c>
    </row>
    <row r="42143" spans="9:9" x14ac:dyDescent="0.2">
      <c r="I42143" s="137" t="s">
        <v>74</v>
      </c>
    </row>
    <row r="42144" spans="9:9" x14ac:dyDescent="0.2">
      <c r="I42144" s="137" t="s">
        <v>74</v>
      </c>
    </row>
    <row r="42145" spans="9:9" x14ac:dyDescent="0.2">
      <c r="I42145" s="137" t="s">
        <v>74</v>
      </c>
    </row>
    <row r="42146" spans="9:9" x14ac:dyDescent="0.2">
      <c r="I42146" s="137" t="s">
        <v>74</v>
      </c>
    </row>
    <row r="42147" spans="9:9" x14ac:dyDescent="0.2">
      <c r="I42147" s="137" t="s">
        <v>74</v>
      </c>
    </row>
    <row r="42148" spans="9:9" x14ac:dyDescent="0.2">
      <c r="I42148" s="137" t="s">
        <v>74</v>
      </c>
    </row>
    <row r="42149" spans="9:9" x14ac:dyDescent="0.2">
      <c r="I42149" s="137" t="s">
        <v>74</v>
      </c>
    </row>
    <row r="42150" spans="9:9" x14ac:dyDescent="0.2">
      <c r="I42150" s="137" t="s">
        <v>74</v>
      </c>
    </row>
    <row r="42151" spans="9:9" x14ac:dyDescent="0.2">
      <c r="I42151" s="137" t="s">
        <v>74</v>
      </c>
    </row>
    <row r="42152" spans="9:9" x14ac:dyDescent="0.2">
      <c r="I42152" s="137" t="s">
        <v>74</v>
      </c>
    </row>
    <row r="42153" spans="9:9" x14ac:dyDescent="0.2">
      <c r="I42153" s="137" t="s">
        <v>74</v>
      </c>
    </row>
    <row r="42154" spans="9:9" x14ac:dyDescent="0.2">
      <c r="I42154" s="137" t="s">
        <v>74</v>
      </c>
    </row>
    <row r="42155" spans="9:9" x14ac:dyDescent="0.2">
      <c r="I42155" s="137" t="s">
        <v>74</v>
      </c>
    </row>
    <row r="42156" spans="9:9" x14ac:dyDescent="0.2">
      <c r="I42156" s="137" t="s">
        <v>74</v>
      </c>
    </row>
    <row r="42157" spans="9:9" x14ac:dyDescent="0.2">
      <c r="I42157" s="137" t="s">
        <v>74</v>
      </c>
    </row>
    <row r="42158" spans="9:9" x14ac:dyDescent="0.2">
      <c r="I42158" s="137" t="s">
        <v>74</v>
      </c>
    </row>
    <row r="42159" spans="9:9" x14ac:dyDescent="0.2">
      <c r="I42159" s="137" t="s">
        <v>74</v>
      </c>
    </row>
    <row r="42160" spans="9:9" x14ac:dyDescent="0.2">
      <c r="I42160" s="137" t="s">
        <v>74</v>
      </c>
    </row>
    <row r="42161" spans="9:9" x14ac:dyDescent="0.2">
      <c r="I42161" s="137" t="s">
        <v>74</v>
      </c>
    </row>
    <row r="42162" spans="9:9" x14ac:dyDescent="0.2">
      <c r="I42162" s="137" t="s">
        <v>74</v>
      </c>
    </row>
    <row r="42163" spans="9:9" x14ac:dyDescent="0.2">
      <c r="I42163" s="137" t="s">
        <v>74</v>
      </c>
    </row>
    <row r="42164" spans="9:9" x14ac:dyDescent="0.2">
      <c r="I42164" s="137" t="s">
        <v>74</v>
      </c>
    </row>
    <row r="42165" spans="9:9" x14ac:dyDescent="0.2">
      <c r="I42165" s="137" t="s">
        <v>74</v>
      </c>
    </row>
    <row r="42166" spans="9:9" x14ac:dyDescent="0.2">
      <c r="I42166" s="137" t="s">
        <v>74</v>
      </c>
    </row>
    <row r="42167" spans="9:9" x14ac:dyDescent="0.2">
      <c r="I42167" s="137" t="s">
        <v>74</v>
      </c>
    </row>
    <row r="42168" spans="9:9" x14ac:dyDescent="0.2">
      <c r="I42168" s="137" t="s">
        <v>74</v>
      </c>
    </row>
    <row r="42169" spans="9:9" x14ac:dyDescent="0.2">
      <c r="I42169" s="137" t="s">
        <v>74</v>
      </c>
    </row>
    <row r="42170" spans="9:9" x14ac:dyDescent="0.2">
      <c r="I42170" s="137" t="s">
        <v>74</v>
      </c>
    </row>
    <row r="42171" spans="9:9" x14ac:dyDescent="0.2">
      <c r="I42171" s="137" t="s">
        <v>74</v>
      </c>
    </row>
    <row r="42172" spans="9:9" x14ac:dyDescent="0.2">
      <c r="I42172" s="137" t="s">
        <v>74</v>
      </c>
    </row>
    <row r="42173" spans="9:9" x14ac:dyDescent="0.2">
      <c r="I42173" s="137" t="s">
        <v>74</v>
      </c>
    </row>
    <row r="42174" spans="9:9" x14ac:dyDescent="0.2">
      <c r="I42174" s="137" t="s">
        <v>74</v>
      </c>
    </row>
    <row r="42175" spans="9:9" x14ac:dyDescent="0.2">
      <c r="I42175" s="137" t="s">
        <v>74</v>
      </c>
    </row>
    <row r="42176" spans="9:9" x14ac:dyDescent="0.2">
      <c r="I42176" s="137" t="s">
        <v>74</v>
      </c>
    </row>
    <row r="42177" spans="9:9" x14ac:dyDescent="0.2">
      <c r="I42177" s="137" t="s">
        <v>74</v>
      </c>
    </row>
    <row r="42178" spans="9:9" x14ac:dyDescent="0.2">
      <c r="I42178" s="137" t="s">
        <v>74</v>
      </c>
    </row>
    <row r="42179" spans="9:9" x14ac:dyDescent="0.2">
      <c r="I42179" s="137" t="s">
        <v>74</v>
      </c>
    </row>
    <row r="42180" spans="9:9" x14ac:dyDescent="0.2">
      <c r="I42180" s="137" t="s">
        <v>74</v>
      </c>
    </row>
    <row r="42181" spans="9:9" x14ac:dyDescent="0.2">
      <c r="I42181" s="137" t="s">
        <v>74</v>
      </c>
    </row>
    <row r="42182" spans="9:9" x14ac:dyDescent="0.2">
      <c r="I42182" s="137" t="s">
        <v>74</v>
      </c>
    </row>
    <row r="42183" spans="9:9" x14ac:dyDescent="0.2">
      <c r="I42183" s="137" t="s">
        <v>74</v>
      </c>
    </row>
    <row r="42184" spans="9:9" x14ac:dyDescent="0.2">
      <c r="I42184" s="137" t="s">
        <v>74</v>
      </c>
    </row>
    <row r="42185" spans="9:9" x14ac:dyDescent="0.2">
      <c r="I42185" s="137" t="s">
        <v>74</v>
      </c>
    </row>
    <row r="42186" spans="9:9" x14ac:dyDescent="0.2">
      <c r="I42186" s="137" t="s">
        <v>74</v>
      </c>
    </row>
    <row r="42187" spans="9:9" x14ac:dyDescent="0.2">
      <c r="I42187" s="137" t="s">
        <v>74</v>
      </c>
    </row>
    <row r="42188" spans="9:9" x14ac:dyDescent="0.2">
      <c r="I42188" s="137" t="s">
        <v>74</v>
      </c>
    </row>
    <row r="42189" spans="9:9" x14ac:dyDescent="0.2">
      <c r="I42189" s="137" t="s">
        <v>74</v>
      </c>
    </row>
    <row r="42190" spans="9:9" x14ac:dyDescent="0.2">
      <c r="I42190" s="137" t="s">
        <v>74</v>
      </c>
    </row>
    <row r="42191" spans="9:9" x14ac:dyDescent="0.2">
      <c r="I42191" s="137" t="s">
        <v>74</v>
      </c>
    </row>
    <row r="42192" spans="9:9" x14ac:dyDescent="0.2">
      <c r="I42192" s="137" t="s">
        <v>74</v>
      </c>
    </row>
    <row r="42193" spans="9:9" x14ac:dyDescent="0.2">
      <c r="I42193" s="137" t="s">
        <v>74</v>
      </c>
    </row>
    <row r="42194" spans="9:9" x14ac:dyDescent="0.2">
      <c r="I42194" s="137" t="s">
        <v>74</v>
      </c>
    </row>
    <row r="42195" spans="9:9" x14ac:dyDescent="0.2">
      <c r="I42195" s="137" t="s">
        <v>74</v>
      </c>
    </row>
    <row r="42196" spans="9:9" x14ac:dyDescent="0.2">
      <c r="I42196" s="137" t="s">
        <v>74</v>
      </c>
    </row>
    <row r="42197" spans="9:9" x14ac:dyDescent="0.2">
      <c r="I42197" s="137" t="s">
        <v>74</v>
      </c>
    </row>
    <row r="42198" spans="9:9" x14ac:dyDescent="0.2">
      <c r="I42198" s="137" t="s">
        <v>74</v>
      </c>
    </row>
    <row r="42199" spans="9:9" x14ac:dyDescent="0.2">
      <c r="I42199" s="137" t="s">
        <v>74</v>
      </c>
    </row>
    <row r="42200" spans="9:9" x14ac:dyDescent="0.2">
      <c r="I42200" s="137" t="s">
        <v>74</v>
      </c>
    </row>
    <row r="42201" spans="9:9" x14ac:dyDescent="0.2">
      <c r="I42201" s="137" t="s">
        <v>74</v>
      </c>
    </row>
    <row r="42202" spans="9:9" x14ac:dyDescent="0.2">
      <c r="I42202" s="137" t="s">
        <v>74</v>
      </c>
    </row>
    <row r="42203" spans="9:9" x14ac:dyDescent="0.2">
      <c r="I42203" s="137" t="s">
        <v>74</v>
      </c>
    </row>
    <row r="42204" spans="9:9" x14ac:dyDescent="0.2">
      <c r="I42204" s="137" t="s">
        <v>74</v>
      </c>
    </row>
    <row r="42205" spans="9:9" x14ac:dyDescent="0.2">
      <c r="I42205" s="137" t="s">
        <v>74</v>
      </c>
    </row>
    <row r="42206" spans="9:9" x14ac:dyDescent="0.2">
      <c r="I42206" s="137" t="s">
        <v>74</v>
      </c>
    </row>
    <row r="42207" spans="9:9" x14ac:dyDescent="0.2">
      <c r="I42207" s="137" t="s">
        <v>74</v>
      </c>
    </row>
    <row r="42208" spans="9:9" x14ac:dyDescent="0.2">
      <c r="I42208" s="137" t="s">
        <v>74</v>
      </c>
    </row>
    <row r="42209" spans="9:9" x14ac:dyDescent="0.2">
      <c r="I42209" s="137" t="s">
        <v>74</v>
      </c>
    </row>
    <row r="42210" spans="9:9" x14ac:dyDescent="0.2">
      <c r="I42210" s="137" t="s">
        <v>74</v>
      </c>
    </row>
    <row r="42211" spans="9:9" x14ac:dyDescent="0.2">
      <c r="I42211" s="137" t="s">
        <v>74</v>
      </c>
    </row>
    <row r="42212" spans="9:9" x14ac:dyDescent="0.2">
      <c r="I42212" s="137" t="s">
        <v>74</v>
      </c>
    </row>
    <row r="42213" spans="9:9" x14ac:dyDescent="0.2">
      <c r="I42213" s="137" t="s">
        <v>74</v>
      </c>
    </row>
    <row r="42214" spans="9:9" x14ac:dyDescent="0.2">
      <c r="I42214" s="137" t="s">
        <v>74</v>
      </c>
    </row>
    <row r="42215" spans="9:9" x14ac:dyDescent="0.2">
      <c r="I42215" s="137" t="s">
        <v>74</v>
      </c>
    </row>
    <row r="42216" spans="9:9" x14ac:dyDescent="0.2">
      <c r="I42216" s="137" t="s">
        <v>74</v>
      </c>
    </row>
    <row r="42217" spans="9:9" x14ac:dyDescent="0.2">
      <c r="I42217" s="137" t="s">
        <v>74</v>
      </c>
    </row>
    <row r="42218" spans="9:9" x14ac:dyDescent="0.2">
      <c r="I42218" s="137" t="s">
        <v>74</v>
      </c>
    </row>
    <row r="42219" spans="9:9" x14ac:dyDescent="0.2">
      <c r="I42219" s="137" t="s">
        <v>74</v>
      </c>
    </row>
    <row r="42220" spans="9:9" x14ac:dyDescent="0.2">
      <c r="I42220" s="137" t="s">
        <v>74</v>
      </c>
    </row>
    <row r="42221" spans="9:9" x14ac:dyDescent="0.2">
      <c r="I42221" s="137" t="s">
        <v>74</v>
      </c>
    </row>
    <row r="42222" spans="9:9" x14ac:dyDescent="0.2">
      <c r="I42222" s="137" t="s">
        <v>74</v>
      </c>
    </row>
    <row r="42223" spans="9:9" x14ac:dyDescent="0.2">
      <c r="I42223" s="137" t="s">
        <v>74</v>
      </c>
    </row>
    <row r="42224" spans="9:9" x14ac:dyDescent="0.2">
      <c r="I42224" s="137" t="s">
        <v>74</v>
      </c>
    </row>
    <row r="42225" spans="9:9" x14ac:dyDescent="0.2">
      <c r="I42225" s="137" t="s">
        <v>74</v>
      </c>
    </row>
    <row r="42226" spans="9:9" x14ac:dyDescent="0.2">
      <c r="I42226" s="137" t="s">
        <v>74</v>
      </c>
    </row>
    <row r="42227" spans="9:9" x14ac:dyDescent="0.2">
      <c r="I42227" s="137" t="s">
        <v>74</v>
      </c>
    </row>
    <row r="42228" spans="9:9" x14ac:dyDescent="0.2">
      <c r="I42228" s="137" t="s">
        <v>74</v>
      </c>
    </row>
    <row r="42229" spans="9:9" x14ac:dyDescent="0.2">
      <c r="I42229" s="137" t="s">
        <v>74</v>
      </c>
    </row>
    <row r="42230" spans="9:9" x14ac:dyDescent="0.2">
      <c r="I42230" s="137" t="s">
        <v>74</v>
      </c>
    </row>
    <row r="42231" spans="9:9" x14ac:dyDescent="0.2">
      <c r="I42231" s="137" t="s">
        <v>74</v>
      </c>
    </row>
    <row r="42232" spans="9:9" x14ac:dyDescent="0.2">
      <c r="I42232" s="137" t="s">
        <v>74</v>
      </c>
    </row>
    <row r="42233" spans="9:9" x14ac:dyDescent="0.2">
      <c r="I42233" s="137" t="s">
        <v>74</v>
      </c>
    </row>
    <row r="42234" spans="9:9" x14ac:dyDescent="0.2">
      <c r="I42234" s="137" t="s">
        <v>74</v>
      </c>
    </row>
    <row r="42235" spans="9:9" x14ac:dyDescent="0.2">
      <c r="I42235" s="137" t="s">
        <v>74</v>
      </c>
    </row>
    <row r="42236" spans="9:9" x14ac:dyDescent="0.2">
      <c r="I42236" s="137" t="s">
        <v>74</v>
      </c>
    </row>
    <row r="42237" spans="9:9" x14ac:dyDescent="0.2">
      <c r="I42237" s="137" t="s">
        <v>74</v>
      </c>
    </row>
    <row r="42238" spans="9:9" x14ac:dyDescent="0.2">
      <c r="I42238" s="137" t="s">
        <v>74</v>
      </c>
    </row>
    <row r="42239" spans="9:9" x14ac:dyDescent="0.2">
      <c r="I42239" s="137" t="s">
        <v>74</v>
      </c>
    </row>
    <row r="42240" spans="9:9" x14ac:dyDescent="0.2">
      <c r="I42240" s="137" t="s">
        <v>74</v>
      </c>
    </row>
    <row r="42241" spans="9:9" x14ac:dyDescent="0.2">
      <c r="I42241" s="137" t="s">
        <v>74</v>
      </c>
    </row>
    <row r="42242" spans="9:9" x14ac:dyDescent="0.2">
      <c r="I42242" s="137" t="s">
        <v>74</v>
      </c>
    </row>
    <row r="42243" spans="9:9" x14ac:dyDescent="0.2">
      <c r="I42243" s="137" t="s">
        <v>74</v>
      </c>
    </row>
    <row r="42244" spans="9:9" x14ac:dyDescent="0.2">
      <c r="I42244" s="137" t="s">
        <v>74</v>
      </c>
    </row>
    <row r="42245" spans="9:9" x14ac:dyDescent="0.2">
      <c r="I42245" s="137" t="s">
        <v>74</v>
      </c>
    </row>
    <row r="42246" spans="9:9" x14ac:dyDescent="0.2">
      <c r="I42246" s="137" t="s">
        <v>74</v>
      </c>
    </row>
    <row r="42247" spans="9:9" x14ac:dyDescent="0.2">
      <c r="I42247" s="137" t="s">
        <v>74</v>
      </c>
    </row>
    <row r="42248" spans="9:9" x14ac:dyDescent="0.2">
      <c r="I42248" s="137" t="s">
        <v>74</v>
      </c>
    </row>
    <row r="42249" spans="9:9" x14ac:dyDescent="0.2">
      <c r="I42249" s="137" t="s">
        <v>74</v>
      </c>
    </row>
    <row r="42250" spans="9:9" x14ac:dyDescent="0.2">
      <c r="I42250" s="137" t="s">
        <v>74</v>
      </c>
    </row>
    <row r="42251" spans="9:9" x14ac:dyDescent="0.2">
      <c r="I42251" s="137" t="s">
        <v>74</v>
      </c>
    </row>
    <row r="42252" spans="9:9" x14ac:dyDescent="0.2">
      <c r="I42252" s="137" t="s">
        <v>74</v>
      </c>
    </row>
    <row r="42253" spans="9:9" x14ac:dyDescent="0.2">
      <c r="I42253" s="137" t="s">
        <v>74</v>
      </c>
    </row>
    <row r="42254" spans="9:9" x14ac:dyDescent="0.2">
      <c r="I42254" s="137" t="s">
        <v>74</v>
      </c>
    </row>
    <row r="42255" spans="9:9" x14ac:dyDescent="0.2">
      <c r="I42255" s="137" t="s">
        <v>74</v>
      </c>
    </row>
    <row r="42256" spans="9:9" x14ac:dyDescent="0.2">
      <c r="I42256" s="137" t="s">
        <v>74</v>
      </c>
    </row>
    <row r="42257" spans="9:9" x14ac:dyDescent="0.2">
      <c r="I42257" s="137" t="s">
        <v>74</v>
      </c>
    </row>
    <row r="42258" spans="9:9" x14ac:dyDescent="0.2">
      <c r="I42258" s="137" t="s">
        <v>74</v>
      </c>
    </row>
    <row r="42259" spans="9:9" x14ac:dyDescent="0.2">
      <c r="I42259" s="137" t="s">
        <v>74</v>
      </c>
    </row>
    <row r="42260" spans="9:9" x14ac:dyDescent="0.2">
      <c r="I42260" s="137" t="s">
        <v>74</v>
      </c>
    </row>
    <row r="42261" spans="9:9" x14ac:dyDescent="0.2">
      <c r="I42261" s="137" t="s">
        <v>74</v>
      </c>
    </row>
    <row r="42262" spans="9:9" x14ac:dyDescent="0.2">
      <c r="I42262" s="137" t="s">
        <v>74</v>
      </c>
    </row>
    <row r="42263" spans="9:9" x14ac:dyDescent="0.2">
      <c r="I42263" s="137" t="s">
        <v>74</v>
      </c>
    </row>
    <row r="42264" spans="9:9" x14ac:dyDescent="0.2">
      <c r="I42264" s="137" t="s">
        <v>74</v>
      </c>
    </row>
    <row r="42265" spans="9:9" x14ac:dyDescent="0.2">
      <c r="I42265" s="137" t="s">
        <v>74</v>
      </c>
    </row>
    <row r="42266" spans="9:9" x14ac:dyDescent="0.2">
      <c r="I42266" s="137" t="s">
        <v>74</v>
      </c>
    </row>
    <row r="42267" spans="9:9" x14ac:dyDescent="0.2">
      <c r="I42267" s="137" t="s">
        <v>74</v>
      </c>
    </row>
    <row r="42268" spans="9:9" x14ac:dyDescent="0.2">
      <c r="I42268" s="137" t="s">
        <v>74</v>
      </c>
    </row>
    <row r="42269" spans="9:9" x14ac:dyDescent="0.2">
      <c r="I42269" s="137" t="s">
        <v>74</v>
      </c>
    </row>
    <row r="42270" spans="9:9" x14ac:dyDescent="0.2">
      <c r="I42270" s="137" t="s">
        <v>74</v>
      </c>
    </row>
    <row r="42271" spans="9:9" x14ac:dyDescent="0.2">
      <c r="I42271" s="137" t="s">
        <v>74</v>
      </c>
    </row>
    <row r="42272" spans="9:9" x14ac:dyDescent="0.2">
      <c r="I42272" s="137" t="s">
        <v>74</v>
      </c>
    </row>
    <row r="42273" spans="9:9" x14ac:dyDescent="0.2">
      <c r="I42273" s="137" t="s">
        <v>74</v>
      </c>
    </row>
    <row r="42274" spans="9:9" x14ac:dyDescent="0.2">
      <c r="I42274" s="137" t="s">
        <v>74</v>
      </c>
    </row>
    <row r="42275" spans="9:9" x14ac:dyDescent="0.2">
      <c r="I42275" s="137" t="s">
        <v>74</v>
      </c>
    </row>
    <row r="42276" spans="9:9" x14ac:dyDescent="0.2">
      <c r="I42276" s="137" t="s">
        <v>74</v>
      </c>
    </row>
    <row r="42277" spans="9:9" x14ac:dyDescent="0.2">
      <c r="I42277" s="137" t="s">
        <v>74</v>
      </c>
    </row>
    <row r="42278" spans="9:9" x14ac:dyDescent="0.2">
      <c r="I42278" s="137" t="s">
        <v>74</v>
      </c>
    </row>
    <row r="42279" spans="9:9" x14ac:dyDescent="0.2">
      <c r="I42279" s="137" t="s">
        <v>74</v>
      </c>
    </row>
    <row r="42280" spans="9:9" x14ac:dyDescent="0.2">
      <c r="I42280" s="137" t="s">
        <v>74</v>
      </c>
    </row>
    <row r="42281" spans="9:9" x14ac:dyDescent="0.2">
      <c r="I42281" s="137" t="s">
        <v>74</v>
      </c>
    </row>
    <row r="42282" spans="9:9" x14ac:dyDescent="0.2">
      <c r="I42282" s="137" t="s">
        <v>74</v>
      </c>
    </row>
    <row r="42283" spans="9:9" x14ac:dyDescent="0.2">
      <c r="I42283" s="137" t="s">
        <v>74</v>
      </c>
    </row>
    <row r="42284" spans="9:9" x14ac:dyDescent="0.2">
      <c r="I42284" s="137" t="s">
        <v>74</v>
      </c>
    </row>
    <row r="42285" spans="9:9" x14ac:dyDescent="0.2">
      <c r="I42285" s="137" t="s">
        <v>74</v>
      </c>
    </row>
    <row r="42286" spans="9:9" x14ac:dyDescent="0.2">
      <c r="I42286" s="137" t="s">
        <v>74</v>
      </c>
    </row>
    <row r="42287" spans="9:9" x14ac:dyDescent="0.2">
      <c r="I42287" s="137" t="s">
        <v>74</v>
      </c>
    </row>
    <row r="42288" spans="9:9" x14ac:dyDescent="0.2">
      <c r="I42288" s="137" t="s">
        <v>74</v>
      </c>
    </row>
    <row r="42289" spans="9:9" x14ac:dyDescent="0.2">
      <c r="I42289" s="137" t="s">
        <v>74</v>
      </c>
    </row>
    <row r="42290" spans="9:9" x14ac:dyDescent="0.2">
      <c r="I42290" s="137" t="s">
        <v>74</v>
      </c>
    </row>
    <row r="42291" spans="9:9" x14ac:dyDescent="0.2">
      <c r="I42291" s="137" t="s">
        <v>74</v>
      </c>
    </row>
    <row r="42292" spans="9:9" x14ac:dyDescent="0.2">
      <c r="I42292" s="137" t="s">
        <v>74</v>
      </c>
    </row>
    <row r="42293" spans="9:9" x14ac:dyDescent="0.2">
      <c r="I42293" s="137" t="s">
        <v>74</v>
      </c>
    </row>
    <row r="42294" spans="9:9" x14ac:dyDescent="0.2">
      <c r="I42294" s="137" t="s">
        <v>74</v>
      </c>
    </row>
    <row r="42295" spans="9:9" x14ac:dyDescent="0.2">
      <c r="I42295" s="137" t="s">
        <v>74</v>
      </c>
    </row>
    <row r="42296" spans="9:9" x14ac:dyDescent="0.2">
      <c r="I42296" s="137" t="s">
        <v>74</v>
      </c>
    </row>
    <row r="42297" spans="9:9" x14ac:dyDescent="0.2">
      <c r="I42297" s="137" t="s">
        <v>74</v>
      </c>
    </row>
    <row r="42298" spans="9:9" x14ac:dyDescent="0.2">
      <c r="I42298" s="137" t="s">
        <v>74</v>
      </c>
    </row>
    <row r="42299" spans="9:9" x14ac:dyDescent="0.2">
      <c r="I42299" s="137" t="s">
        <v>74</v>
      </c>
    </row>
    <row r="42300" spans="9:9" x14ac:dyDescent="0.2">
      <c r="I42300" s="137" t="s">
        <v>74</v>
      </c>
    </row>
    <row r="42301" spans="9:9" x14ac:dyDescent="0.2">
      <c r="I42301" s="137" t="s">
        <v>74</v>
      </c>
    </row>
    <row r="42302" spans="9:9" x14ac:dyDescent="0.2">
      <c r="I42302" s="137" t="s">
        <v>74</v>
      </c>
    </row>
    <row r="42303" spans="9:9" x14ac:dyDescent="0.2">
      <c r="I42303" s="137" t="s">
        <v>74</v>
      </c>
    </row>
    <row r="42304" spans="9:9" x14ac:dyDescent="0.2">
      <c r="I42304" s="137" t="s">
        <v>74</v>
      </c>
    </row>
    <row r="42305" spans="9:9" x14ac:dyDescent="0.2">
      <c r="I42305" s="137" t="s">
        <v>74</v>
      </c>
    </row>
    <row r="42306" spans="9:9" x14ac:dyDescent="0.2">
      <c r="I42306" s="137" t="s">
        <v>74</v>
      </c>
    </row>
    <row r="42307" spans="9:9" x14ac:dyDescent="0.2">
      <c r="I42307" s="137" t="s">
        <v>74</v>
      </c>
    </row>
    <row r="42308" spans="9:9" x14ac:dyDescent="0.2">
      <c r="I42308" s="137" t="s">
        <v>74</v>
      </c>
    </row>
    <row r="42309" spans="9:9" x14ac:dyDescent="0.2">
      <c r="I42309" s="137" t="s">
        <v>74</v>
      </c>
    </row>
    <row r="42310" spans="9:9" x14ac:dyDescent="0.2">
      <c r="I42310" s="137" t="s">
        <v>74</v>
      </c>
    </row>
    <row r="42311" spans="9:9" x14ac:dyDescent="0.2">
      <c r="I42311" s="137" t="s">
        <v>74</v>
      </c>
    </row>
    <row r="42312" spans="9:9" x14ac:dyDescent="0.2">
      <c r="I42312" s="137" t="s">
        <v>74</v>
      </c>
    </row>
    <row r="42313" spans="9:9" x14ac:dyDescent="0.2">
      <c r="I42313" s="137" t="s">
        <v>74</v>
      </c>
    </row>
    <row r="42314" spans="9:9" x14ac:dyDescent="0.2">
      <c r="I42314" s="137" t="s">
        <v>74</v>
      </c>
    </row>
    <row r="42315" spans="9:9" x14ac:dyDescent="0.2">
      <c r="I42315" s="137" t="s">
        <v>74</v>
      </c>
    </row>
    <row r="42316" spans="9:9" x14ac:dyDescent="0.2">
      <c r="I42316" s="137" t="s">
        <v>74</v>
      </c>
    </row>
    <row r="42317" spans="9:9" x14ac:dyDescent="0.2">
      <c r="I42317" s="137" t="s">
        <v>74</v>
      </c>
    </row>
    <row r="42318" spans="9:9" x14ac:dyDescent="0.2">
      <c r="I42318" s="137" t="s">
        <v>74</v>
      </c>
    </row>
    <row r="42319" spans="9:9" x14ac:dyDescent="0.2">
      <c r="I42319" s="137" t="s">
        <v>74</v>
      </c>
    </row>
    <row r="42320" spans="9:9" x14ac:dyDescent="0.2">
      <c r="I42320" s="137" t="s">
        <v>74</v>
      </c>
    </row>
    <row r="42321" spans="9:9" x14ac:dyDescent="0.2">
      <c r="I42321" s="137" t="s">
        <v>74</v>
      </c>
    </row>
    <row r="42322" spans="9:9" x14ac:dyDescent="0.2">
      <c r="I42322" s="137" t="s">
        <v>74</v>
      </c>
    </row>
    <row r="42323" spans="9:9" x14ac:dyDescent="0.2">
      <c r="I42323" s="137" t="s">
        <v>74</v>
      </c>
    </row>
    <row r="42324" spans="9:9" x14ac:dyDescent="0.2">
      <c r="I42324" s="137" t="s">
        <v>74</v>
      </c>
    </row>
    <row r="42325" spans="9:9" x14ac:dyDescent="0.2">
      <c r="I42325" s="137" t="s">
        <v>74</v>
      </c>
    </row>
    <row r="42326" spans="9:9" x14ac:dyDescent="0.2">
      <c r="I42326" s="137" t="s">
        <v>74</v>
      </c>
    </row>
    <row r="42327" spans="9:9" x14ac:dyDescent="0.2">
      <c r="I42327" s="137" t="s">
        <v>74</v>
      </c>
    </row>
    <row r="42328" spans="9:9" x14ac:dyDescent="0.2">
      <c r="I42328" s="137" t="s">
        <v>74</v>
      </c>
    </row>
    <row r="42329" spans="9:9" x14ac:dyDescent="0.2">
      <c r="I42329" s="137" t="s">
        <v>74</v>
      </c>
    </row>
    <row r="42330" spans="9:9" x14ac:dyDescent="0.2">
      <c r="I42330" s="137" t="s">
        <v>74</v>
      </c>
    </row>
    <row r="42331" spans="9:9" x14ac:dyDescent="0.2">
      <c r="I42331" s="137" t="s">
        <v>74</v>
      </c>
    </row>
    <row r="42332" spans="9:9" x14ac:dyDescent="0.2">
      <c r="I42332" s="137" t="s">
        <v>74</v>
      </c>
    </row>
    <row r="42333" spans="9:9" x14ac:dyDescent="0.2">
      <c r="I42333" s="137" t="s">
        <v>74</v>
      </c>
    </row>
    <row r="42334" spans="9:9" x14ac:dyDescent="0.2">
      <c r="I42334" s="137" t="s">
        <v>74</v>
      </c>
    </row>
    <row r="42335" spans="9:9" x14ac:dyDescent="0.2">
      <c r="I42335" s="137" t="s">
        <v>74</v>
      </c>
    </row>
    <row r="42336" spans="9:9" x14ac:dyDescent="0.2">
      <c r="I42336" s="137" t="s">
        <v>74</v>
      </c>
    </row>
    <row r="42337" spans="9:9" x14ac:dyDescent="0.2">
      <c r="I42337" s="137" t="s">
        <v>74</v>
      </c>
    </row>
    <row r="42338" spans="9:9" x14ac:dyDescent="0.2">
      <c r="I42338" s="137" t="s">
        <v>74</v>
      </c>
    </row>
    <row r="42339" spans="9:9" x14ac:dyDescent="0.2">
      <c r="I42339" s="137" t="s">
        <v>74</v>
      </c>
    </row>
    <row r="42340" spans="9:9" x14ac:dyDescent="0.2">
      <c r="I42340" s="137" t="s">
        <v>74</v>
      </c>
    </row>
    <row r="42341" spans="9:9" x14ac:dyDescent="0.2">
      <c r="I42341" s="137" t="s">
        <v>74</v>
      </c>
    </row>
    <row r="42342" spans="9:9" x14ac:dyDescent="0.2">
      <c r="I42342" s="137" t="s">
        <v>74</v>
      </c>
    </row>
    <row r="42343" spans="9:9" x14ac:dyDescent="0.2">
      <c r="I42343" s="137" t="s">
        <v>74</v>
      </c>
    </row>
    <row r="42344" spans="9:9" x14ac:dyDescent="0.2">
      <c r="I42344" s="137" t="s">
        <v>74</v>
      </c>
    </row>
    <row r="42345" spans="9:9" x14ac:dyDescent="0.2">
      <c r="I42345" s="137" t="s">
        <v>74</v>
      </c>
    </row>
    <row r="42346" spans="9:9" x14ac:dyDescent="0.2">
      <c r="I42346" s="137" t="s">
        <v>74</v>
      </c>
    </row>
    <row r="42347" spans="9:9" x14ac:dyDescent="0.2">
      <c r="I42347" s="137" t="s">
        <v>74</v>
      </c>
    </row>
    <row r="42348" spans="9:9" x14ac:dyDescent="0.2">
      <c r="I42348" s="137" t="s">
        <v>74</v>
      </c>
    </row>
    <row r="42349" spans="9:9" x14ac:dyDescent="0.2">
      <c r="I42349" s="137" t="s">
        <v>74</v>
      </c>
    </row>
    <row r="42350" spans="9:9" x14ac:dyDescent="0.2">
      <c r="I42350" s="137" t="s">
        <v>74</v>
      </c>
    </row>
    <row r="42351" spans="9:9" x14ac:dyDescent="0.2">
      <c r="I42351" s="137" t="s">
        <v>74</v>
      </c>
    </row>
    <row r="42352" spans="9:9" x14ac:dyDescent="0.2">
      <c r="I42352" s="137" t="s">
        <v>74</v>
      </c>
    </row>
    <row r="42353" spans="9:9" x14ac:dyDescent="0.2">
      <c r="I42353" s="137" t="s">
        <v>74</v>
      </c>
    </row>
    <row r="42354" spans="9:9" x14ac:dyDescent="0.2">
      <c r="I42354" s="137" t="s">
        <v>74</v>
      </c>
    </row>
    <row r="42355" spans="9:9" x14ac:dyDescent="0.2">
      <c r="I42355" s="137" t="s">
        <v>74</v>
      </c>
    </row>
    <row r="42356" spans="9:9" x14ac:dyDescent="0.2">
      <c r="I42356" s="137" t="s">
        <v>74</v>
      </c>
    </row>
    <row r="42357" spans="9:9" x14ac:dyDescent="0.2">
      <c r="I42357" s="137" t="s">
        <v>74</v>
      </c>
    </row>
    <row r="42358" spans="9:9" x14ac:dyDescent="0.2">
      <c r="I42358" s="137" t="s">
        <v>74</v>
      </c>
    </row>
    <row r="42359" spans="9:9" x14ac:dyDescent="0.2">
      <c r="I42359" s="137" t="s">
        <v>74</v>
      </c>
    </row>
    <row r="42360" spans="9:9" x14ac:dyDescent="0.2">
      <c r="I42360" s="137" t="s">
        <v>74</v>
      </c>
    </row>
    <row r="42361" spans="9:9" x14ac:dyDescent="0.2">
      <c r="I42361" s="137" t="s">
        <v>74</v>
      </c>
    </row>
    <row r="42362" spans="9:9" x14ac:dyDescent="0.2">
      <c r="I42362" s="137" t="s">
        <v>74</v>
      </c>
    </row>
    <row r="42363" spans="9:9" x14ac:dyDescent="0.2">
      <c r="I42363" s="137" t="s">
        <v>74</v>
      </c>
    </row>
    <row r="42364" spans="9:9" x14ac:dyDescent="0.2">
      <c r="I42364" s="137" t="s">
        <v>74</v>
      </c>
    </row>
    <row r="42365" spans="9:9" x14ac:dyDescent="0.2">
      <c r="I42365" s="137" t="s">
        <v>74</v>
      </c>
    </row>
    <row r="42366" spans="9:9" x14ac:dyDescent="0.2">
      <c r="I42366" s="137" t="s">
        <v>74</v>
      </c>
    </row>
    <row r="42367" spans="9:9" x14ac:dyDescent="0.2">
      <c r="I42367" s="137" t="s">
        <v>74</v>
      </c>
    </row>
    <row r="42368" spans="9:9" x14ac:dyDescent="0.2">
      <c r="I42368" s="137" t="s">
        <v>74</v>
      </c>
    </row>
    <row r="42369" spans="9:9" x14ac:dyDescent="0.2">
      <c r="I42369" s="137" t="s">
        <v>74</v>
      </c>
    </row>
    <row r="42370" spans="9:9" x14ac:dyDescent="0.2">
      <c r="I42370" s="137" t="s">
        <v>74</v>
      </c>
    </row>
    <row r="42371" spans="9:9" x14ac:dyDescent="0.2">
      <c r="I42371" s="137" t="s">
        <v>74</v>
      </c>
    </row>
    <row r="42372" spans="9:9" x14ac:dyDescent="0.2">
      <c r="I42372" s="137" t="s">
        <v>74</v>
      </c>
    </row>
    <row r="42373" spans="9:9" x14ac:dyDescent="0.2">
      <c r="I42373" s="137" t="s">
        <v>74</v>
      </c>
    </row>
    <row r="42374" spans="9:9" x14ac:dyDescent="0.2">
      <c r="I42374" s="137" t="s">
        <v>74</v>
      </c>
    </row>
    <row r="42375" spans="9:9" x14ac:dyDescent="0.2">
      <c r="I42375" s="137" t="s">
        <v>74</v>
      </c>
    </row>
    <row r="42376" spans="9:9" x14ac:dyDescent="0.2">
      <c r="I42376" s="137" t="s">
        <v>74</v>
      </c>
    </row>
    <row r="42377" spans="9:9" x14ac:dyDescent="0.2">
      <c r="I42377" s="137" t="s">
        <v>74</v>
      </c>
    </row>
    <row r="42378" spans="9:9" x14ac:dyDescent="0.2">
      <c r="I42378" s="137" t="s">
        <v>74</v>
      </c>
    </row>
    <row r="42379" spans="9:9" x14ac:dyDescent="0.2">
      <c r="I42379" s="137" t="s">
        <v>74</v>
      </c>
    </row>
    <row r="42380" spans="9:9" x14ac:dyDescent="0.2">
      <c r="I42380" s="137" t="s">
        <v>74</v>
      </c>
    </row>
    <row r="42381" spans="9:9" x14ac:dyDescent="0.2">
      <c r="I42381" s="137" t="s">
        <v>74</v>
      </c>
    </row>
    <row r="42382" spans="9:9" x14ac:dyDescent="0.2">
      <c r="I42382" s="137" t="s">
        <v>74</v>
      </c>
    </row>
    <row r="42383" spans="9:9" x14ac:dyDescent="0.2">
      <c r="I42383" s="137" t="s">
        <v>74</v>
      </c>
    </row>
    <row r="42384" spans="9:9" x14ac:dyDescent="0.2">
      <c r="I42384" s="137" t="s">
        <v>74</v>
      </c>
    </row>
    <row r="42385" spans="9:9" x14ac:dyDescent="0.2">
      <c r="I42385" s="137" t="s">
        <v>74</v>
      </c>
    </row>
    <row r="42386" spans="9:9" x14ac:dyDescent="0.2">
      <c r="I42386" s="137" t="s">
        <v>74</v>
      </c>
    </row>
    <row r="42387" spans="9:9" x14ac:dyDescent="0.2">
      <c r="I42387" s="137" t="s">
        <v>74</v>
      </c>
    </row>
    <row r="42388" spans="9:9" x14ac:dyDescent="0.2">
      <c r="I42388" s="137" t="s">
        <v>74</v>
      </c>
    </row>
    <row r="42389" spans="9:9" x14ac:dyDescent="0.2">
      <c r="I42389" s="137" t="s">
        <v>74</v>
      </c>
    </row>
    <row r="42390" spans="9:9" x14ac:dyDescent="0.2">
      <c r="I42390" s="137" t="s">
        <v>74</v>
      </c>
    </row>
    <row r="42391" spans="9:9" x14ac:dyDescent="0.2">
      <c r="I42391" s="137" t="s">
        <v>74</v>
      </c>
    </row>
    <row r="42392" spans="9:9" x14ac:dyDescent="0.2">
      <c r="I42392" s="137" t="s">
        <v>74</v>
      </c>
    </row>
    <row r="42393" spans="9:9" x14ac:dyDescent="0.2">
      <c r="I42393" s="137" t="s">
        <v>74</v>
      </c>
    </row>
    <row r="42394" spans="9:9" x14ac:dyDescent="0.2">
      <c r="I42394" s="137" t="s">
        <v>74</v>
      </c>
    </row>
    <row r="42395" spans="9:9" x14ac:dyDescent="0.2">
      <c r="I42395" s="137" t="s">
        <v>74</v>
      </c>
    </row>
    <row r="42396" spans="9:9" x14ac:dyDescent="0.2">
      <c r="I42396" s="137" t="s">
        <v>74</v>
      </c>
    </row>
    <row r="42397" spans="9:9" x14ac:dyDescent="0.2">
      <c r="I42397" s="137" t="s">
        <v>74</v>
      </c>
    </row>
    <row r="42398" spans="9:9" x14ac:dyDescent="0.2">
      <c r="I42398" s="137" t="s">
        <v>74</v>
      </c>
    </row>
    <row r="42399" spans="9:9" x14ac:dyDescent="0.2">
      <c r="I42399" s="137" t="s">
        <v>74</v>
      </c>
    </row>
    <row r="42400" spans="9:9" x14ac:dyDescent="0.2">
      <c r="I42400" s="137" t="s">
        <v>74</v>
      </c>
    </row>
    <row r="42401" spans="9:9" x14ac:dyDescent="0.2">
      <c r="I42401" s="137" t="s">
        <v>74</v>
      </c>
    </row>
    <row r="42402" spans="9:9" x14ac:dyDescent="0.2">
      <c r="I42402" s="137" t="s">
        <v>74</v>
      </c>
    </row>
    <row r="42403" spans="9:9" x14ac:dyDescent="0.2">
      <c r="I42403" s="137" t="s">
        <v>74</v>
      </c>
    </row>
    <row r="42404" spans="9:9" x14ac:dyDescent="0.2">
      <c r="I42404" s="137" t="s">
        <v>74</v>
      </c>
    </row>
    <row r="42405" spans="9:9" x14ac:dyDescent="0.2">
      <c r="I42405" s="137" t="s">
        <v>74</v>
      </c>
    </row>
    <row r="42406" spans="9:9" x14ac:dyDescent="0.2">
      <c r="I42406" s="137" t="s">
        <v>74</v>
      </c>
    </row>
    <row r="42407" spans="9:9" x14ac:dyDescent="0.2">
      <c r="I42407" s="137" t="s">
        <v>74</v>
      </c>
    </row>
    <row r="42408" spans="9:9" x14ac:dyDescent="0.2">
      <c r="I42408" s="137" t="s">
        <v>74</v>
      </c>
    </row>
    <row r="42409" spans="9:9" x14ac:dyDescent="0.2">
      <c r="I42409" s="137" t="s">
        <v>74</v>
      </c>
    </row>
    <row r="42410" spans="9:9" x14ac:dyDescent="0.2">
      <c r="I42410" s="137" t="s">
        <v>74</v>
      </c>
    </row>
    <row r="42411" spans="9:9" x14ac:dyDescent="0.2">
      <c r="I42411" s="137" t="s">
        <v>74</v>
      </c>
    </row>
    <row r="42412" spans="9:9" x14ac:dyDescent="0.2">
      <c r="I42412" s="137" t="s">
        <v>74</v>
      </c>
    </row>
    <row r="42413" spans="9:9" x14ac:dyDescent="0.2">
      <c r="I42413" s="137" t="s">
        <v>74</v>
      </c>
    </row>
    <row r="42414" spans="9:9" x14ac:dyDescent="0.2">
      <c r="I42414" s="137" t="s">
        <v>74</v>
      </c>
    </row>
    <row r="42415" spans="9:9" x14ac:dyDescent="0.2">
      <c r="I42415" s="137" t="s">
        <v>74</v>
      </c>
    </row>
    <row r="42416" spans="9:9" x14ac:dyDescent="0.2">
      <c r="I42416" s="137" t="s">
        <v>74</v>
      </c>
    </row>
    <row r="42417" spans="9:9" x14ac:dyDescent="0.2">
      <c r="I42417" s="137" t="s">
        <v>74</v>
      </c>
    </row>
    <row r="42418" spans="9:9" x14ac:dyDescent="0.2">
      <c r="I42418" s="137" t="s">
        <v>74</v>
      </c>
    </row>
    <row r="42419" spans="9:9" x14ac:dyDescent="0.2">
      <c r="I42419" s="137" t="s">
        <v>74</v>
      </c>
    </row>
    <row r="42420" spans="9:9" x14ac:dyDescent="0.2">
      <c r="I42420" s="137" t="s">
        <v>74</v>
      </c>
    </row>
    <row r="42421" spans="9:9" x14ac:dyDescent="0.2">
      <c r="I42421" s="137" t="s">
        <v>74</v>
      </c>
    </row>
    <row r="42422" spans="9:9" x14ac:dyDescent="0.2">
      <c r="I42422" s="137" t="s">
        <v>74</v>
      </c>
    </row>
    <row r="42423" spans="9:9" x14ac:dyDescent="0.2">
      <c r="I42423" s="137" t="s">
        <v>74</v>
      </c>
    </row>
    <row r="42424" spans="9:9" x14ac:dyDescent="0.2">
      <c r="I42424" s="137" t="s">
        <v>74</v>
      </c>
    </row>
    <row r="42425" spans="9:9" x14ac:dyDescent="0.2">
      <c r="I42425" s="137" t="s">
        <v>74</v>
      </c>
    </row>
    <row r="42426" spans="9:9" x14ac:dyDescent="0.2">
      <c r="I42426" s="137" t="s">
        <v>74</v>
      </c>
    </row>
    <row r="42427" spans="9:9" x14ac:dyDescent="0.2">
      <c r="I42427" s="137" t="s">
        <v>74</v>
      </c>
    </row>
    <row r="42428" spans="9:9" x14ac:dyDescent="0.2">
      <c r="I42428" s="137" t="s">
        <v>74</v>
      </c>
    </row>
    <row r="42429" spans="9:9" x14ac:dyDescent="0.2">
      <c r="I42429" s="137" t="s">
        <v>74</v>
      </c>
    </row>
    <row r="42430" spans="9:9" x14ac:dyDescent="0.2">
      <c r="I42430" s="137" t="s">
        <v>74</v>
      </c>
    </row>
    <row r="42431" spans="9:9" x14ac:dyDescent="0.2">
      <c r="I42431" s="137" t="s">
        <v>74</v>
      </c>
    </row>
    <row r="42432" spans="9:9" x14ac:dyDescent="0.2">
      <c r="I42432" s="137" t="s">
        <v>74</v>
      </c>
    </row>
    <row r="42433" spans="9:9" x14ac:dyDescent="0.2">
      <c r="I42433" s="137" t="s">
        <v>74</v>
      </c>
    </row>
    <row r="42434" spans="9:9" x14ac:dyDescent="0.2">
      <c r="I42434" s="137" t="s">
        <v>74</v>
      </c>
    </row>
    <row r="42435" spans="9:9" x14ac:dyDescent="0.2">
      <c r="I42435" s="137" t="s">
        <v>74</v>
      </c>
    </row>
    <row r="42436" spans="9:9" x14ac:dyDescent="0.2">
      <c r="I42436" s="137" t="s">
        <v>74</v>
      </c>
    </row>
    <row r="42437" spans="9:9" x14ac:dyDescent="0.2">
      <c r="I42437" s="137" t="s">
        <v>74</v>
      </c>
    </row>
    <row r="42438" spans="9:9" x14ac:dyDescent="0.2">
      <c r="I42438" s="137" t="s">
        <v>74</v>
      </c>
    </row>
    <row r="42439" spans="9:9" x14ac:dyDescent="0.2">
      <c r="I42439" s="137" t="s">
        <v>74</v>
      </c>
    </row>
    <row r="42440" spans="9:9" x14ac:dyDescent="0.2">
      <c r="I42440" s="137" t="s">
        <v>74</v>
      </c>
    </row>
    <row r="42441" spans="9:9" x14ac:dyDescent="0.2">
      <c r="I42441" s="137" t="s">
        <v>74</v>
      </c>
    </row>
    <row r="42442" spans="9:9" x14ac:dyDescent="0.2">
      <c r="I42442" s="137" t="s">
        <v>74</v>
      </c>
    </row>
    <row r="42443" spans="9:9" x14ac:dyDescent="0.2">
      <c r="I42443" s="137" t="s">
        <v>74</v>
      </c>
    </row>
    <row r="42444" spans="9:9" x14ac:dyDescent="0.2">
      <c r="I42444" s="137" t="s">
        <v>74</v>
      </c>
    </row>
    <row r="42445" spans="9:9" x14ac:dyDescent="0.2">
      <c r="I42445" s="137" t="s">
        <v>74</v>
      </c>
    </row>
    <row r="42446" spans="9:9" x14ac:dyDescent="0.2">
      <c r="I42446" s="137" t="s">
        <v>74</v>
      </c>
    </row>
    <row r="42447" spans="9:9" x14ac:dyDescent="0.2">
      <c r="I42447" s="137" t="s">
        <v>74</v>
      </c>
    </row>
    <row r="42448" spans="9:9" x14ac:dyDescent="0.2">
      <c r="I42448" s="137" t="s">
        <v>74</v>
      </c>
    </row>
    <row r="42449" spans="9:9" x14ac:dyDescent="0.2">
      <c r="I42449" s="137" t="s">
        <v>74</v>
      </c>
    </row>
    <row r="42450" spans="9:9" x14ac:dyDescent="0.2">
      <c r="I42450" s="137" t="s">
        <v>74</v>
      </c>
    </row>
    <row r="42451" spans="9:9" x14ac:dyDescent="0.2">
      <c r="I42451" s="137" t="s">
        <v>74</v>
      </c>
    </row>
    <row r="42452" spans="9:9" x14ac:dyDescent="0.2">
      <c r="I42452" s="137" t="s">
        <v>74</v>
      </c>
    </row>
    <row r="42453" spans="9:9" x14ac:dyDescent="0.2">
      <c r="I42453" s="137" t="s">
        <v>74</v>
      </c>
    </row>
    <row r="42454" spans="9:9" x14ac:dyDescent="0.2">
      <c r="I42454" s="137" t="s">
        <v>74</v>
      </c>
    </row>
    <row r="42455" spans="9:9" x14ac:dyDescent="0.2">
      <c r="I42455" s="137" t="s">
        <v>74</v>
      </c>
    </row>
    <row r="42456" spans="9:9" x14ac:dyDescent="0.2">
      <c r="I42456" s="137" t="s">
        <v>74</v>
      </c>
    </row>
    <row r="42457" spans="9:9" x14ac:dyDescent="0.2">
      <c r="I42457" s="137" t="s">
        <v>74</v>
      </c>
    </row>
    <row r="42458" spans="9:9" x14ac:dyDescent="0.2">
      <c r="I42458" s="137" t="s">
        <v>74</v>
      </c>
    </row>
    <row r="42459" spans="9:9" x14ac:dyDescent="0.2">
      <c r="I42459" s="137" t="s">
        <v>74</v>
      </c>
    </row>
    <row r="42460" spans="9:9" x14ac:dyDescent="0.2">
      <c r="I42460" s="137" t="s">
        <v>74</v>
      </c>
    </row>
    <row r="42461" spans="9:9" x14ac:dyDescent="0.2">
      <c r="I42461" s="137" t="s">
        <v>74</v>
      </c>
    </row>
    <row r="42462" spans="9:9" x14ac:dyDescent="0.2">
      <c r="I42462" s="137" t="s">
        <v>74</v>
      </c>
    </row>
    <row r="42463" spans="9:9" x14ac:dyDescent="0.2">
      <c r="I42463" s="137" t="s">
        <v>74</v>
      </c>
    </row>
    <row r="42464" spans="9:9" x14ac:dyDescent="0.2">
      <c r="I42464" s="137" t="s">
        <v>74</v>
      </c>
    </row>
    <row r="42465" spans="9:9" x14ac:dyDescent="0.2">
      <c r="I42465" s="137" t="s">
        <v>74</v>
      </c>
    </row>
    <row r="42466" spans="9:9" x14ac:dyDescent="0.2">
      <c r="I42466" s="137" t="s">
        <v>74</v>
      </c>
    </row>
    <row r="42467" spans="9:9" x14ac:dyDescent="0.2">
      <c r="I42467" s="137" t="s">
        <v>74</v>
      </c>
    </row>
    <row r="42468" spans="9:9" x14ac:dyDescent="0.2">
      <c r="I42468" s="137" t="s">
        <v>74</v>
      </c>
    </row>
    <row r="42469" spans="9:9" x14ac:dyDescent="0.2">
      <c r="I42469" s="137" t="s">
        <v>74</v>
      </c>
    </row>
    <row r="42470" spans="9:9" x14ac:dyDescent="0.2">
      <c r="I42470" s="137" t="s">
        <v>74</v>
      </c>
    </row>
    <row r="42471" spans="9:9" x14ac:dyDescent="0.2">
      <c r="I42471" s="137" t="s">
        <v>74</v>
      </c>
    </row>
    <row r="42472" spans="9:9" x14ac:dyDescent="0.2">
      <c r="I42472" s="137" t="s">
        <v>74</v>
      </c>
    </row>
    <row r="42473" spans="9:9" x14ac:dyDescent="0.2">
      <c r="I42473" s="137" t="s">
        <v>74</v>
      </c>
    </row>
    <row r="42474" spans="9:9" x14ac:dyDescent="0.2">
      <c r="I42474" s="137" t="s">
        <v>74</v>
      </c>
    </row>
    <row r="42475" spans="9:9" x14ac:dyDescent="0.2">
      <c r="I42475" s="137" t="s">
        <v>74</v>
      </c>
    </row>
    <row r="42476" spans="9:9" x14ac:dyDescent="0.2">
      <c r="I42476" s="137" t="s">
        <v>74</v>
      </c>
    </row>
    <row r="42477" spans="9:9" x14ac:dyDescent="0.2">
      <c r="I42477" s="137" t="s">
        <v>74</v>
      </c>
    </row>
    <row r="42478" spans="9:9" x14ac:dyDescent="0.2">
      <c r="I42478" s="137" t="s">
        <v>74</v>
      </c>
    </row>
    <row r="42479" spans="9:9" x14ac:dyDescent="0.2">
      <c r="I42479" s="137" t="s">
        <v>74</v>
      </c>
    </row>
    <row r="42480" spans="9:9" x14ac:dyDescent="0.2">
      <c r="I42480" s="137" t="s">
        <v>74</v>
      </c>
    </row>
    <row r="42481" spans="9:9" x14ac:dyDescent="0.2">
      <c r="I42481" s="137" t="s">
        <v>74</v>
      </c>
    </row>
    <row r="42482" spans="9:9" x14ac:dyDescent="0.2">
      <c r="I42482" s="137" t="s">
        <v>74</v>
      </c>
    </row>
    <row r="42483" spans="9:9" x14ac:dyDescent="0.2">
      <c r="I42483" s="137" t="s">
        <v>74</v>
      </c>
    </row>
    <row r="42484" spans="9:9" x14ac:dyDescent="0.2">
      <c r="I42484" s="137" t="s">
        <v>74</v>
      </c>
    </row>
    <row r="42485" spans="9:9" x14ac:dyDescent="0.2">
      <c r="I42485" s="137" t="s">
        <v>74</v>
      </c>
    </row>
    <row r="42486" spans="9:9" x14ac:dyDescent="0.2">
      <c r="I42486" s="137" t="s">
        <v>74</v>
      </c>
    </row>
    <row r="42487" spans="9:9" x14ac:dyDescent="0.2">
      <c r="I42487" s="137" t="s">
        <v>74</v>
      </c>
    </row>
    <row r="42488" spans="9:9" x14ac:dyDescent="0.2">
      <c r="I42488" s="137" t="s">
        <v>74</v>
      </c>
    </row>
    <row r="42489" spans="9:9" x14ac:dyDescent="0.2">
      <c r="I42489" s="137" t="s">
        <v>74</v>
      </c>
    </row>
    <row r="42490" spans="9:9" x14ac:dyDescent="0.2">
      <c r="I42490" s="137" t="s">
        <v>74</v>
      </c>
    </row>
    <row r="42491" spans="9:9" x14ac:dyDescent="0.2">
      <c r="I42491" s="137" t="s">
        <v>74</v>
      </c>
    </row>
    <row r="42492" spans="9:9" x14ac:dyDescent="0.2">
      <c r="I42492" s="137" t="s">
        <v>74</v>
      </c>
    </row>
    <row r="42493" spans="9:9" x14ac:dyDescent="0.2">
      <c r="I42493" s="137" t="s">
        <v>74</v>
      </c>
    </row>
    <row r="42494" spans="9:9" x14ac:dyDescent="0.2">
      <c r="I42494" s="137" t="s">
        <v>74</v>
      </c>
    </row>
    <row r="42495" spans="9:9" x14ac:dyDescent="0.2">
      <c r="I42495" s="137" t="s">
        <v>74</v>
      </c>
    </row>
    <row r="42496" spans="9:9" x14ac:dyDescent="0.2">
      <c r="I42496" s="137" t="s">
        <v>74</v>
      </c>
    </row>
    <row r="42497" spans="9:9" x14ac:dyDescent="0.2">
      <c r="I42497" s="137" t="s">
        <v>74</v>
      </c>
    </row>
    <row r="42498" spans="9:9" x14ac:dyDescent="0.2">
      <c r="I42498" s="137" t="s">
        <v>74</v>
      </c>
    </row>
    <row r="42499" spans="9:9" x14ac:dyDescent="0.2">
      <c r="I42499" s="137" t="s">
        <v>74</v>
      </c>
    </row>
    <row r="42500" spans="9:9" x14ac:dyDescent="0.2">
      <c r="I42500" s="137" t="s">
        <v>74</v>
      </c>
    </row>
    <row r="42501" spans="9:9" x14ac:dyDescent="0.2">
      <c r="I42501" s="137" t="s">
        <v>74</v>
      </c>
    </row>
    <row r="42502" spans="9:9" x14ac:dyDescent="0.2">
      <c r="I42502" s="137" t="s">
        <v>74</v>
      </c>
    </row>
    <row r="42503" spans="9:9" x14ac:dyDescent="0.2">
      <c r="I42503" s="137" t="s">
        <v>74</v>
      </c>
    </row>
    <row r="42504" spans="9:9" x14ac:dyDescent="0.2">
      <c r="I42504" s="137" t="s">
        <v>74</v>
      </c>
    </row>
    <row r="42505" spans="9:9" x14ac:dyDescent="0.2">
      <c r="I42505" s="137" t="s">
        <v>74</v>
      </c>
    </row>
    <row r="42506" spans="9:9" x14ac:dyDescent="0.2">
      <c r="I42506" s="137" t="s">
        <v>74</v>
      </c>
    </row>
    <row r="42507" spans="9:9" x14ac:dyDescent="0.2">
      <c r="I42507" s="137" t="s">
        <v>74</v>
      </c>
    </row>
    <row r="42508" spans="9:9" x14ac:dyDescent="0.2">
      <c r="I42508" s="137" t="s">
        <v>74</v>
      </c>
    </row>
    <row r="42509" spans="9:9" x14ac:dyDescent="0.2">
      <c r="I42509" s="137" t="s">
        <v>74</v>
      </c>
    </row>
    <row r="42510" spans="9:9" x14ac:dyDescent="0.2">
      <c r="I42510" s="137" t="s">
        <v>74</v>
      </c>
    </row>
    <row r="42511" spans="9:9" x14ac:dyDescent="0.2">
      <c r="I42511" s="137" t="s">
        <v>74</v>
      </c>
    </row>
    <row r="42512" spans="9:9" x14ac:dyDescent="0.2">
      <c r="I42512" s="137" t="s">
        <v>74</v>
      </c>
    </row>
    <row r="42513" spans="9:9" x14ac:dyDescent="0.2">
      <c r="I42513" s="137" t="s">
        <v>74</v>
      </c>
    </row>
    <row r="42514" spans="9:9" x14ac:dyDescent="0.2">
      <c r="I42514" s="137" t="s">
        <v>74</v>
      </c>
    </row>
    <row r="42515" spans="9:9" x14ac:dyDescent="0.2">
      <c r="I42515" s="137" t="s">
        <v>74</v>
      </c>
    </row>
    <row r="42516" spans="9:9" x14ac:dyDescent="0.2">
      <c r="I42516" s="137" t="s">
        <v>74</v>
      </c>
    </row>
    <row r="42517" spans="9:9" x14ac:dyDescent="0.2">
      <c r="I42517" s="137" t="s">
        <v>74</v>
      </c>
    </row>
    <row r="42518" spans="9:9" x14ac:dyDescent="0.2">
      <c r="I42518" s="137" t="s">
        <v>74</v>
      </c>
    </row>
    <row r="42519" spans="9:9" x14ac:dyDescent="0.2">
      <c r="I42519" s="137" t="s">
        <v>74</v>
      </c>
    </row>
    <row r="42520" spans="9:9" x14ac:dyDescent="0.2">
      <c r="I42520" s="137" t="s">
        <v>74</v>
      </c>
    </row>
    <row r="42521" spans="9:9" x14ac:dyDescent="0.2">
      <c r="I42521" s="137" t="s">
        <v>74</v>
      </c>
    </row>
    <row r="42522" spans="9:9" x14ac:dyDescent="0.2">
      <c r="I42522" s="137" t="s">
        <v>74</v>
      </c>
    </row>
    <row r="42523" spans="9:9" x14ac:dyDescent="0.2">
      <c r="I42523" s="137" t="s">
        <v>74</v>
      </c>
    </row>
    <row r="42524" spans="9:9" x14ac:dyDescent="0.2">
      <c r="I42524" s="137" t="s">
        <v>74</v>
      </c>
    </row>
    <row r="42525" spans="9:9" x14ac:dyDescent="0.2">
      <c r="I42525" s="137" t="s">
        <v>74</v>
      </c>
    </row>
    <row r="42526" spans="9:9" x14ac:dyDescent="0.2">
      <c r="I42526" s="137" t="s">
        <v>74</v>
      </c>
    </row>
    <row r="42527" spans="9:9" x14ac:dyDescent="0.2">
      <c r="I42527" s="137" t="s">
        <v>74</v>
      </c>
    </row>
    <row r="42528" spans="9:9" x14ac:dyDescent="0.2">
      <c r="I42528" s="137" t="s">
        <v>74</v>
      </c>
    </row>
    <row r="42529" spans="9:9" x14ac:dyDescent="0.2">
      <c r="I42529" s="137" t="s">
        <v>74</v>
      </c>
    </row>
    <row r="42530" spans="9:9" x14ac:dyDescent="0.2">
      <c r="I42530" s="137" t="s">
        <v>74</v>
      </c>
    </row>
    <row r="42531" spans="9:9" x14ac:dyDescent="0.2">
      <c r="I42531" s="137" t="s">
        <v>74</v>
      </c>
    </row>
    <row r="42532" spans="9:9" x14ac:dyDescent="0.2">
      <c r="I42532" s="137" t="s">
        <v>74</v>
      </c>
    </row>
    <row r="42533" spans="9:9" x14ac:dyDescent="0.2">
      <c r="I42533" s="137" t="s">
        <v>74</v>
      </c>
    </row>
    <row r="42534" spans="9:9" x14ac:dyDescent="0.2">
      <c r="I42534" s="137" t="s">
        <v>74</v>
      </c>
    </row>
    <row r="42535" spans="9:9" x14ac:dyDescent="0.2">
      <c r="I42535" s="137" t="s">
        <v>74</v>
      </c>
    </row>
    <row r="42536" spans="9:9" x14ac:dyDescent="0.2">
      <c r="I42536" s="137" t="s">
        <v>74</v>
      </c>
    </row>
    <row r="42537" spans="9:9" x14ac:dyDescent="0.2">
      <c r="I42537" s="137" t="s">
        <v>74</v>
      </c>
    </row>
    <row r="42538" spans="9:9" x14ac:dyDescent="0.2">
      <c r="I42538" s="137" t="s">
        <v>74</v>
      </c>
    </row>
    <row r="42539" spans="9:9" x14ac:dyDescent="0.2">
      <c r="I42539" s="137" t="s">
        <v>74</v>
      </c>
    </row>
    <row r="42540" spans="9:9" x14ac:dyDescent="0.2">
      <c r="I42540" s="137" t="s">
        <v>74</v>
      </c>
    </row>
    <row r="42541" spans="9:9" x14ac:dyDescent="0.2">
      <c r="I42541" s="137" t="s">
        <v>74</v>
      </c>
    </row>
    <row r="42542" spans="9:9" x14ac:dyDescent="0.2">
      <c r="I42542" s="137" t="s">
        <v>74</v>
      </c>
    </row>
    <row r="42543" spans="9:9" x14ac:dyDescent="0.2">
      <c r="I42543" s="137" t="s">
        <v>74</v>
      </c>
    </row>
    <row r="42544" spans="9:9" x14ac:dyDescent="0.2">
      <c r="I42544" s="137" t="s">
        <v>74</v>
      </c>
    </row>
    <row r="42545" spans="9:9" x14ac:dyDescent="0.2">
      <c r="I42545" s="137" t="s">
        <v>74</v>
      </c>
    </row>
    <row r="42546" spans="9:9" x14ac:dyDescent="0.2">
      <c r="I42546" s="137" t="s">
        <v>74</v>
      </c>
    </row>
    <row r="42547" spans="9:9" x14ac:dyDescent="0.2">
      <c r="I42547" s="137" t="s">
        <v>74</v>
      </c>
    </row>
    <row r="42548" spans="9:9" x14ac:dyDescent="0.2">
      <c r="I42548" s="137" t="s">
        <v>74</v>
      </c>
    </row>
    <row r="42549" spans="9:9" x14ac:dyDescent="0.2">
      <c r="I42549" s="137" t="s">
        <v>74</v>
      </c>
    </row>
    <row r="42550" spans="9:9" x14ac:dyDescent="0.2">
      <c r="I42550" s="137" t="s">
        <v>74</v>
      </c>
    </row>
    <row r="42551" spans="9:9" x14ac:dyDescent="0.2">
      <c r="I42551" s="137" t="s">
        <v>74</v>
      </c>
    </row>
    <row r="42552" spans="9:9" x14ac:dyDescent="0.2">
      <c r="I42552" s="137" t="s">
        <v>74</v>
      </c>
    </row>
    <row r="42553" spans="9:9" x14ac:dyDescent="0.2">
      <c r="I42553" s="137" t="s">
        <v>74</v>
      </c>
    </row>
    <row r="42554" spans="9:9" x14ac:dyDescent="0.2">
      <c r="I42554" s="137" t="s">
        <v>74</v>
      </c>
    </row>
    <row r="42555" spans="9:9" x14ac:dyDescent="0.2">
      <c r="I42555" s="137" t="s">
        <v>74</v>
      </c>
    </row>
    <row r="42556" spans="9:9" x14ac:dyDescent="0.2">
      <c r="I42556" s="137" t="s">
        <v>74</v>
      </c>
    </row>
    <row r="42557" spans="9:9" x14ac:dyDescent="0.2">
      <c r="I42557" s="137" t="s">
        <v>74</v>
      </c>
    </row>
    <row r="42558" spans="9:9" x14ac:dyDescent="0.2">
      <c r="I42558" s="137" t="s">
        <v>74</v>
      </c>
    </row>
    <row r="42559" spans="9:9" x14ac:dyDescent="0.2">
      <c r="I42559" s="137" t="s">
        <v>74</v>
      </c>
    </row>
    <row r="42560" spans="9:9" x14ac:dyDescent="0.2">
      <c r="I42560" s="137" t="s">
        <v>74</v>
      </c>
    </row>
    <row r="42561" spans="9:9" x14ac:dyDescent="0.2">
      <c r="I42561" s="137" t="s">
        <v>74</v>
      </c>
    </row>
    <row r="42562" spans="9:9" x14ac:dyDescent="0.2">
      <c r="I42562" s="137" t="s">
        <v>74</v>
      </c>
    </row>
    <row r="42563" spans="9:9" x14ac:dyDescent="0.2">
      <c r="I42563" s="137" t="s">
        <v>74</v>
      </c>
    </row>
    <row r="42564" spans="9:9" x14ac:dyDescent="0.2">
      <c r="I42564" s="137" t="s">
        <v>74</v>
      </c>
    </row>
    <row r="42565" spans="9:9" x14ac:dyDescent="0.2">
      <c r="I42565" s="137" t="s">
        <v>74</v>
      </c>
    </row>
    <row r="42566" spans="9:9" x14ac:dyDescent="0.2">
      <c r="I42566" s="137" t="s">
        <v>74</v>
      </c>
    </row>
    <row r="42567" spans="9:9" x14ac:dyDescent="0.2">
      <c r="I42567" s="137" t="s">
        <v>74</v>
      </c>
    </row>
    <row r="42568" spans="9:9" x14ac:dyDescent="0.2">
      <c r="I42568" s="137" t="s">
        <v>74</v>
      </c>
    </row>
    <row r="42569" spans="9:9" x14ac:dyDescent="0.2">
      <c r="I42569" s="137" t="s">
        <v>74</v>
      </c>
    </row>
    <row r="42570" spans="9:9" x14ac:dyDescent="0.2">
      <c r="I42570" s="137" t="s">
        <v>74</v>
      </c>
    </row>
    <row r="42571" spans="9:9" x14ac:dyDescent="0.2">
      <c r="I42571" s="137" t="s">
        <v>74</v>
      </c>
    </row>
    <row r="42572" spans="9:9" x14ac:dyDescent="0.2">
      <c r="I42572" s="137" t="s">
        <v>74</v>
      </c>
    </row>
    <row r="42573" spans="9:9" x14ac:dyDescent="0.2">
      <c r="I42573" s="137" t="s">
        <v>74</v>
      </c>
    </row>
    <row r="42574" spans="9:9" x14ac:dyDescent="0.2">
      <c r="I42574" s="137" t="s">
        <v>74</v>
      </c>
    </row>
    <row r="42575" spans="9:9" x14ac:dyDescent="0.2">
      <c r="I42575" s="137" t="s">
        <v>74</v>
      </c>
    </row>
    <row r="42576" spans="9:9" x14ac:dyDescent="0.2">
      <c r="I42576" s="137" t="s">
        <v>74</v>
      </c>
    </row>
    <row r="42577" spans="9:9" x14ac:dyDescent="0.2">
      <c r="I42577" s="137" t="s">
        <v>74</v>
      </c>
    </row>
    <row r="42578" spans="9:9" x14ac:dyDescent="0.2">
      <c r="I42578" s="137" t="s">
        <v>74</v>
      </c>
    </row>
    <row r="42579" spans="9:9" x14ac:dyDescent="0.2">
      <c r="I42579" s="137" t="s">
        <v>74</v>
      </c>
    </row>
    <row r="42580" spans="9:9" x14ac:dyDescent="0.2">
      <c r="I42580" s="137" t="s">
        <v>74</v>
      </c>
    </row>
    <row r="42581" spans="9:9" x14ac:dyDescent="0.2">
      <c r="I42581" s="137" t="s">
        <v>74</v>
      </c>
    </row>
    <row r="42582" spans="9:9" x14ac:dyDescent="0.2">
      <c r="I42582" s="137" t="s">
        <v>74</v>
      </c>
    </row>
    <row r="42583" spans="9:9" x14ac:dyDescent="0.2">
      <c r="I42583" s="137" t="s">
        <v>74</v>
      </c>
    </row>
    <row r="42584" spans="9:9" x14ac:dyDescent="0.2">
      <c r="I42584" s="137" t="s">
        <v>74</v>
      </c>
    </row>
    <row r="42585" spans="9:9" x14ac:dyDescent="0.2">
      <c r="I42585" s="137" t="s">
        <v>74</v>
      </c>
    </row>
    <row r="42586" spans="9:9" x14ac:dyDescent="0.2">
      <c r="I42586" s="137" t="s">
        <v>74</v>
      </c>
    </row>
    <row r="42587" spans="9:9" x14ac:dyDescent="0.2">
      <c r="I42587" s="137" t="s">
        <v>74</v>
      </c>
    </row>
    <row r="42588" spans="9:9" x14ac:dyDescent="0.2">
      <c r="I42588" s="137" t="s">
        <v>74</v>
      </c>
    </row>
    <row r="42589" spans="9:9" x14ac:dyDescent="0.2">
      <c r="I42589" s="137" t="s">
        <v>74</v>
      </c>
    </row>
    <row r="42590" spans="9:9" x14ac:dyDescent="0.2">
      <c r="I42590" s="137" t="s">
        <v>74</v>
      </c>
    </row>
    <row r="42591" spans="9:9" x14ac:dyDescent="0.2">
      <c r="I42591" s="137" t="s">
        <v>74</v>
      </c>
    </row>
    <row r="42592" spans="9:9" x14ac:dyDescent="0.2">
      <c r="I42592" s="137" t="s">
        <v>74</v>
      </c>
    </row>
    <row r="42593" spans="9:9" x14ac:dyDescent="0.2">
      <c r="I42593" s="137" t="s">
        <v>74</v>
      </c>
    </row>
    <row r="42594" spans="9:9" x14ac:dyDescent="0.2">
      <c r="I42594" s="137" t="s">
        <v>74</v>
      </c>
    </row>
    <row r="42595" spans="9:9" x14ac:dyDescent="0.2">
      <c r="I42595" s="137" t="s">
        <v>74</v>
      </c>
    </row>
    <row r="42596" spans="9:9" x14ac:dyDescent="0.2">
      <c r="I42596" s="137" t="s">
        <v>74</v>
      </c>
    </row>
    <row r="42597" spans="9:9" x14ac:dyDescent="0.2">
      <c r="I42597" s="137" t="s">
        <v>74</v>
      </c>
    </row>
    <row r="42598" spans="9:9" x14ac:dyDescent="0.2">
      <c r="I42598" s="137" t="s">
        <v>74</v>
      </c>
    </row>
    <row r="42599" spans="9:9" x14ac:dyDescent="0.2">
      <c r="I42599" s="137" t="s">
        <v>74</v>
      </c>
    </row>
    <row r="42600" spans="9:9" x14ac:dyDescent="0.2">
      <c r="I42600" s="137" t="s">
        <v>74</v>
      </c>
    </row>
    <row r="42601" spans="9:9" x14ac:dyDescent="0.2">
      <c r="I42601" s="137" t="s">
        <v>74</v>
      </c>
    </row>
    <row r="42602" spans="9:9" x14ac:dyDescent="0.2">
      <c r="I42602" s="137" t="s">
        <v>74</v>
      </c>
    </row>
    <row r="42603" spans="9:9" x14ac:dyDescent="0.2">
      <c r="I42603" s="137" t="s">
        <v>74</v>
      </c>
    </row>
    <row r="42604" spans="9:9" x14ac:dyDescent="0.2">
      <c r="I42604" s="137" t="s">
        <v>74</v>
      </c>
    </row>
    <row r="42605" spans="9:9" x14ac:dyDescent="0.2">
      <c r="I42605" s="137" t="s">
        <v>74</v>
      </c>
    </row>
    <row r="42606" spans="9:9" x14ac:dyDescent="0.2">
      <c r="I42606" s="137" t="s">
        <v>74</v>
      </c>
    </row>
    <row r="42607" spans="9:9" x14ac:dyDescent="0.2">
      <c r="I42607" s="137" t="s">
        <v>74</v>
      </c>
    </row>
    <row r="42608" spans="9:9" x14ac:dyDescent="0.2">
      <c r="I42608" s="137" t="s">
        <v>74</v>
      </c>
    </row>
    <row r="42609" spans="9:9" x14ac:dyDescent="0.2">
      <c r="I42609" s="137" t="s">
        <v>74</v>
      </c>
    </row>
    <row r="42610" spans="9:9" x14ac:dyDescent="0.2">
      <c r="I42610" s="137" t="s">
        <v>74</v>
      </c>
    </row>
    <row r="42611" spans="9:9" x14ac:dyDescent="0.2">
      <c r="I42611" s="137" t="s">
        <v>74</v>
      </c>
    </row>
    <row r="42612" spans="9:9" x14ac:dyDescent="0.2">
      <c r="I42612" s="137" t="s">
        <v>74</v>
      </c>
    </row>
    <row r="42613" spans="9:9" x14ac:dyDescent="0.2">
      <c r="I42613" s="137" t="s">
        <v>74</v>
      </c>
    </row>
    <row r="42614" spans="9:9" x14ac:dyDescent="0.2">
      <c r="I42614" s="137" t="s">
        <v>74</v>
      </c>
    </row>
    <row r="42615" spans="9:9" x14ac:dyDescent="0.2">
      <c r="I42615" s="137" t="s">
        <v>74</v>
      </c>
    </row>
    <row r="42616" spans="9:9" x14ac:dyDescent="0.2">
      <c r="I42616" s="137" t="s">
        <v>74</v>
      </c>
    </row>
    <row r="42617" spans="9:9" x14ac:dyDescent="0.2">
      <c r="I42617" s="137" t="s">
        <v>74</v>
      </c>
    </row>
    <row r="42618" spans="9:9" x14ac:dyDescent="0.2">
      <c r="I42618" s="137" t="s">
        <v>74</v>
      </c>
    </row>
    <row r="42619" spans="9:9" x14ac:dyDescent="0.2">
      <c r="I42619" s="137" t="s">
        <v>74</v>
      </c>
    </row>
    <row r="42620" spans="9:9" x14ac:dyDescent="0.2">
      <c r="I42620" s="137" t="s">
        <v>74</v>
      </c>
    </row>
    <row r="42621" spans="9:9" x14ac:dyDescent="0.2">
      <c r="I42621" s="137" t="s">
        <v>74</v>
      </c>
    </row>
    <row r="42622" spans="9:9" x14ac:dyDescent="0.2">
      <c r="I42622" s="137" t="s">
        <v>74</v>
      </c>
    </row>
    <row r="42623" spans="9:9" x14ac:dyDescent="0.2">
      <c r="I42623" s="137" t="s">
        <v>74</v>
      </c>
    </row>
    <row r="42624" spans="9:9" x14ac:dyDescent="0.2">
      <c r="I42624" s="137" t="s">
        <v>74</v>
      </c>
    </row>
    <row r="42625" spans="9:9" x14ac:dyDescent="0.2">
      <c r="I42625" s="137" t="s">
        <v>74</v>
      </c>
    </row>
    <row r="42626" spans="9:9" x14ac:dyDescent="0.2">
      <c r="I42626" s="137" t="s">
        <v>74</v>
      </c>
    </row>
    <row r="42627" spans="9:9" x14ac:dyDescent="0.2">
      <c r="I42627" s="137" t="s">
        <v>74</v>
      </c>
    </row>
    <row r="42628" spans="9:9" x14ac:dyDescent="0.2">
      <c r="I42628" s="137" t="s">
        <v>74</v>
      </c>
    </row>
    <row r="42629" spans="9:9" x14ac:dyDescent="0.2">
      <c r="I42629" s="137" t="s">
        <v>74</v>
      </c>
    </row>
    <row r="42630" spans="9:9" x14ac:dyDescent="0.2">
      <c r="I42630" s="137" t="s">
        <v>74</v>
      </c>
    </row>
    <row r="42631" spans="9:9" x14ac:dyDescent="0.2">
      <c r="I42631" s="137" t="s">
        <v>74</v>
      </c>
    </row>
    <row r="42632" spans="9:9" x14ac:dyDescent="0.2">
      <c r="I42632" s="137" t="s">
        <v>74</v>
      </c>
    </row>
    <row r="42633" spans="9:9" x14ac:dyDescent="0.2">
      <c r="I42633" s="137" t="s">
        <v>74</v>
      </c>
    </row>
    <row r="42634" spans="9:9" x14ac:dyDescent="0.2">
      <c r="I42634" s="137" t="s">
        <v>74</v>
      </c>
    </row>
    <row r="42635" spans="9:9" x14ac:dyDescent="0.2">
      <c r="I42635" s="137" t="s">
        <v>74</v>
      </c>
    </row>
    <row r="42636" spans="9:9" x14ac:dyDescent="0.2">
      <c r="I42636" s="137" t="s">
        <v>74</v>
      </c>
    </row>
    <row r="42637" spans="9:9" x14ac:dyDescent="0.2">
      <c r="I42637" s="137" t="s">
        <v>74</v>
      </c>
    </row>
    <row r="42638" spans="9:9" x14ac:dyDescent="0.2">
      <c r="I42638" s="137" t="s">
        <v>74</v>
      </c>
    </row>
    <row r="42639" spans="9:9" x14ac:dyDescent="0.2">
      <c r="I42639" s="137" t="s">
        <v>74</v>
      </c>
    </row>
    <row r="42640" spans="9:9" x14ac:dyDescent="0.2">
      <c r="I42640" s="137" t="s">
        <v>74</v>
      </c>
    </row>
    <row r="42641" spans="9:9" x14ac:dyDescent="0.2">
      <c r="I42641" s="137" t="s">
        <v>74</v>
      </c>
    </row>
    <row r="42642" spans="9:9" x14ac:dyDescent="0.2">
      <c r="I42642" s="137" t="s">
        <v>74</v>
      </c>
    </row>
    <row r="42643" spans="9:9" x14ac:dyDescent="0.2">
      <c r="I42643" s="137" t="s">
        <v>74</v>
      </c>
    </row>
    <row r="42644" spans="9:9" x14ac:dyDescent="0.2">
      <c r="I42644" s="137" t="s">
        <v>74</v>
      </c>
    </row>
    <row r="42645" spans="9:9" x14ac:dyDescent="0.2">
      <c r="I42645" s="137" t="s">
        <v>74</v>
      </c>
    </row>
    <row r="42646" spans="9:9" x14ac:dyDescent="0.2">
      <c r="I42646" s="137" t="s">
        <v>74</v>
      </c>
    </row>
    <row r="42647" spans="9:9" x14ac:dyDescent="0.2">
      <c r="I42647" s="137" t="s">
        <v>74</v>
      </c>
    </row>
    <row r="42648" spans="9:9" x14ac:dyDescent="0.2">
      <c r="I42648" s="137" t="s">
        <v>74</v>
      </c>
    </row>
    <row r="42649" spans="9:9" x14ac:dyDescent="0.2">
      <c r="I42649" s="137" t="s">
        <v>74</v>
      </c>
    </row>
    <row r="42650" spans="9:9" x14ac:dyDescent="0.2">
      <c r="I42650" s="137" t="s">
        <v>74</v>
      </c>
    </row>
    <row r="42651" spans="9:9" x14ac:dyDescent="0.2">
      <c r="I42651" s="137" t="s">
        <v>74</v>
      </c>
    </row>
    <row r="42652" spans="9:9" x14ac:dyDescent="0.2">
      <c r="I42652" s="137" t="s">
        <v>74</v>
      </c>
    </row>
    <row r="42653" spans="9:9" x14ac:dyDescent="0.2">
      <c r="I42653" s="137" t="s">
        <v>74</v>
      </c>
    </row>
    <row r="42654" spans="9:9" x14ac:dyDescent="0.2">
      <c r="I42654" s="137" t="s">
        <v>74</v>
      </c>
    </row>
    <row r="42655" spans="9:9" x14ac:dyDescent="0.2">
      <c r="I42655" s="137" t="s">
        <v>74</v>
      </c>
    </row>
    <row r="42656" spans="9:9" x14ac:dyDescent="0.2">
      <c r="I42656" s="137" t="s">
        <v>74</v>
      </c>
    </row>
    <row r="42657" spans="9:9" x14ac:dyDescent="0.2">
      <c r="I42657" s="137" t="s">
        <v>74</v>
      </c>
    </row>
    <row r="42658" spans="9:9" x14ac:dyDescent="0.2">
      <c r="I42658" s="137" t="s">
        <v>74</v>
      </c>
    </row>
    <row r="42659" spans="9:9" x14ac:dyDescent="0.2">
      <c r="I42659" s="137" t="s">
        <v>74</v>
      </c>
    </row>
    <row r="42660" spans="9:9" x14ac:dyDescent="0.2">
      <c r="I42660" s="137" t="s">
        <v>74</v>
      </c>
    </row>
    <row r="42661" spans="9:9" x14ac:dyDescent="0.2">
      <c r="I42661" s="137" t="s">
        <v>74</v>
      </c>
    </row>
    <row r="42662" spans="9:9" x14ac:dyDescent="0.2">
      <c r="I42662" s="137" t="s">
        <v>74</v>
      </c>
    </row>
    <row r="42663" spans="9:9" x14ac:dyDescent="0.2">
      <c r="I42663" s="137" t="s">
        <v>74</v>
      </c>
    </row>
    <row r="42664" spans="9:9" x14ac:dyDescent="0.2">
      <c r="I42664" s="137" t="s">
        <v>74</v>
      </c>
    </row>
    <row r="42665" spans="9:9" x14ac:dyDescent="0.2">
      <c r="I42665" s="137" t="s">
        <v>74</v>
      </c>
    </row>
    <row r="42666" spans="9:9" x14ac:dyDescent="0.2">
      <c r="I42666" s="137" t="s">
        <v>74</v>
      </c>
    </row>
    <row r="42667" spans="9:9" x14ac:dyDescent="0.2">
      <c r="I42667" s="137" t="s">
        <v>74</v>
      </c>
    </row>
    <row r="42668" spans="9:9" x14ac:dyDescent="0.2">
      <c r="I42668" s="137" t="s">
        <v>74</v>
      </c>
    </row>
    <row r="42669" spans="9:9" x14ac:dyDescent="0.2">
      <c r="I42669" s="137" t="s">
        <v>74</v>
      </c>
    </row>
    <row r="42670" spans="9:9" x14ac:dyDescent="0.2">
      <c r="I42670" s="137" t="s">
        <v>74</v>
      </c>
    </row>
    <row r="42671" spans="9:9" x14ac:dyDescent="0.2">
      <c r="I42671" s="137" t="s">
        <v>74</v>
      </c>
    </row>
    <row r="42672" spans="9:9" x14ac:dyDescent="0.2">
      <c r="I42672" s="137" t="s">
        <v>74</v>
      </c>
    </row>
    <row r="42673" spans="9:9" x14ac:dyDescent="0.2">
      <c r="I42673" s="137" t="s">
        <v>74</v>
      </c>
    </row>
    <row r="42674" spans="9:9" x14ac:dyDescent="0.2">
      <c r="I42674" s="137" t="s">
        <v>74</v>
      </c>
    </row>
    <row r="42675" spans="9:9" x14ac:dyDescent="0.2">
      <c r="I42675" s="137" t="s">
        <v>74</v>
      </c>
    </row>
    <row r="42676" spans="9:9" x14ac:dyDescent="0.2">
      <c r="I42676" s="137" t="s">
        <v>74</v>
      </c>
    </row>
    <row r="42677" spans="9:9" x14ac:dyDescent="0.2">
      <c r="I42677" s="137" t="s">
        <v>74</v>
      </c>
    </row>
    <row r="42678" spans="9:9" x14ac:dyDescent="0.2">
      <c r="I42678" s="137" t="s">
        <v>74</v>
      </c>
    </row>
    <row r="42679" spans="9:9" x14ac:dyDescent="0.2">
      <c r="I42679" s="137" t="s">
        <v>74</v>
      </c>
    </row>
    <row r="42680" spans="9:9" x14ac:dyDescent="0.2">
      <c r="I42680" s="137" t="s">
        <v>74</v>
      </c>
    </row>
    <row r="42681" spans="9:9" x14ac:dyDescent="0.2">
      <c r="I42681" s="137" t="s">
        <v>74</v>
      </c>
    </row>
    <row r="42682" spans="9:9" x14ac:dyDescent="0.2">
      <c r="I42682" s="137" t="s">
        <v>74</v>
      </c>
    </row>
    <row r="42683" spans="9:9" x14ac:dyDescent="0.2">
      <c r="I42683" s="137" t="s">
        <v>74</v>
      </c>
    </row>
    <row r="42684" spans="9:9" x14ac:dyDescent="0.2">
      <c r="I42684" s="137" t="s">
        <v>74</v>
      </c>
    </row>
    <row r="42685" spans="9:9" x14ac:dyDescent="0.2">
      <c r="I42685" s="137" t="s">
        <v>74</v>
      </c>
    </row>
    <row r="42686" spans="9:9" x14ac:dyDescent="0.2">
      <c r="I42686" s="137" t="s">
        <v>74</v>
      </c>
    </row>
    <row r="42687" spans="9:9" x14ac:dyDescent="0.2">
      <c r="I42687" s="137" t="s">
        <v>74</v>
      </c>
    </row>
    <row r="42688" spans="9:9" x14ac:dyDescent="0.2">
      <c r="I42688" s="137" t="s">
        <v>74</v>
      </c>
    </row>
    <row r="42689" spans="9:9" x14ac:dyDescent="0.2">
      <c r="I42689" s="137" t="s">
        <v>74</v>
      </c>
    </row>
    <row r="42690" spans="9:9" x14ac:dyDescent="0.2">
      <c r="I42690" s="137" t="s">
        <v>74</v>
      </c>
    </row>
    <row r="42691" spans="9:9" x14ac:dyDescent="0.2">
      <c r="I42691" s="137" t="s">
        <v>74</v>
      </c>
    </row>
    <row r="42692" spans="9:9" x14ac:dyDescent="0.2">
      <c r="I42692" s="137" t="s">
        <v>74</v>
      </c>
    </row>
    <row r="42693" spans="9:9" x14ac:dyDescent="0.2">
      <c r="I42693" s="137" t="s">
        <v>74</v>
      </c>
    </row>
    <row r="42694" spans="9:9" x14ac:dyDescent="0.2">
      <c r="I42694" s="137" t="s">
        <v>74</v>
      </c>
    </row>
    <row r="42695" spans="9:9" x14ac:dyDescent="0.2">
      <c r="I42695" s="137" t="s">
        <v>74</v>
      </c>
    </row>
    <row r="42696" spans="9:9" x14ac:dyDescent="0.2">
      <c r="I42696" s="137" t="s">
        <v>74</v>
      </c>
    </row>
    <row r="42697" spans="9:9" x14ac:dyDescent="0.2">
      <c r="I42697" s="137" t="s">
        <v>74</v>
      </c>
    </row>
    <row r="42698" spans="9:9" x14ac:dyDescent="0.2">
      <c r="I42698" s="137" t="s">
        <v>74</v>
      </c>
    </row>
    <row r="42699" spans="9:9" x14ac:dyDescent="0.2">
      <c r="I42699" s="137" t="s">
        <v>74</v>
      </c>
    </row>
    <row r="42700" spans="9:9" x14ac:dyDescent="0.2">
      <c r="I42700" s="137" t="s">
        <v>74</v>
      </c>
    </row>
    <row r="42701" spans="9:9" x14ac:dyDescent="0.2">
      <c r="I42701" s="137" t="s">
        <v>74</v>
      </c>
    </row>
    <row r="42702" spans="9:9" x14ac:dyDescent="0.2">
      <c r="I42702" s="137" t="s">
        <v>74</v>
      </c>
    </row>
    <row r="42703" spans="9:9" x14ac:dyDescent="0.2">
      <c r="I42703" s="137" t="s">
        <v>74</v>
      </c>
    </row>
    <row r="42704" spans="9:9" x14ac:dyDescent="0.2">
      <c r="I42704" s="137" t="s">
        <v>74</v>
      </c>
    </row>
    <row r="42705" spans="9:9" x14ac:dyDescent="0.2">
      <c r="I42705" s="137" t="s">
        <v>74</v>
      </c>
    </row>
    <row r="42706" spans="9:9" x14ac:dyDescent="0.2">
      <c r="I42706" s="137" t="s">
        <v>74</v>
      </c>
    </row>
    <row r="42707" spans="9:9" x14ac:dyDescent="0.2">
      <c r="I42707" s="137" t="s">
        <v>74</v>
      </c>
    </row>
    <row r="42708" spans="9:9" x14ac:dyDescent="0.2">
      <c r="I42708" s="137" t="s">
        <v>74</v>
      </c>
    </row>
    <row r="42709" spans="9:9" x14ac:dyDescent="0.2">
      <c r="I42709" s="137" t="s">
        <v>74</v>
      </c>
    </row>
    <row r="42710" spans="9:9" x14ac:dyDescent="0.2">
      <c r="I42710" s="137" t="s">
        <v>74</v>
      </c>
    </row>
    <row r="42711" spans="9:9" x14ac:dyDescent="0.2">
      <c r="I42711" s="137" t="s">
        <v>74</v>
      </c>
    </row>
    <row r="42712" spans="9:9" x14ac:dyDescent="0.2">
      <c r="I42712" s="137" t="s">
        <v>74</v>
      </c>
    </row>
    <row r="42713" spans="9:9" x14ac:dyDescent="0.2">
      <c r="I42713" s="137" t="s">
        <v>74</v>
      </c>
    </row>
    <row r="42714" spans="9:9" x14ac:dyDescent="0.2">
      <c r="I42714" s="137" t="s">
        <v>74</v>
      </c>
    </row>
    <row r="42715" spans="9:9" x14ac:dyDescent="0.2">
      <c r="I42715" s="137" t="s">
        <v>74</v>
      </c>
    </row>
    <row r="42716" spans="9:9" x14ac:dyDescent="0.2">
      <c r="I42716" s="137" t="s">
        <v>74</v>
      </c>
    </row>
    <row r="42717" spans="9:9" x14ac:dyDescent="0.2">
      <c r="I42717" s="137" t="s">
        <v>74</v>
      </c>
    </row>
    <row r="42718" spans="9:9" x14ac:dyDescent="0.2">
      <c r="I42718" s="137" t="s">
        <v>74</v>
      </c>
    </row>
    <row r="42719" spans="9:9" x14ac:dyDescent="0.2">
      <c r="I42719" s="137" t="s">
        <v>74</v>
      </c>
    </row>
    <row r="42720" spans="9:9" x14ac:dyDescent="0.2">
      <c r="I42720" s="137" t="s">
        <v>74</v>
      </c>
    </row>
    <row r="42721" spans="9:9" x14ac:dyDescent="0.2">
      <c r="I42721" s="137" t="s">
        <v>74</v>
      </c>
    </row>
    <row r="42722" spans="9:9" x14ac:dyDescent="0.2">
      <c r="I42722" s="137" t="s">
        <v>74</v>
      </c>
    </row>
    <row r="42723" spans="9:9" x14ac:dyDescent="0.2">
      <c r="I42723" s="137" t="s">
        <v>74</v>
      </c>
    </row>
    <row r="42724" spans="9:9" x14ac:dyDescent="0.2">
      <c r="I42724" s="137" t="s">
        <v>74</v>
      </c>
    </row>
    <row r="42725" spans="9:9" x14ac:dyDescent="0.2">
      <c r="I42725" s="137" t="s">
        <v>74</v>
      </c>
    </row>
    <row r="42726" spans="9:9" x14ac:dyDescent="0.2">
      <c r="I42726" s="137" t="s">
        <v>74</v>
      </c>
    </row>
    <row r="42727" spans="9:9" x14ac:dyDescent="0.2">
      <c r="I42727" s="137" t="s">
        <v>74</v>
      </c>
    </row>
    <row r="42728" spans="9:9" x14ac:dyDescent="0.2">
      <c r="I42728" s="137" t="s">
        <v>74</v>
      </c>
    </row>
    <row r="42729" spans="9:9" x14ac:dyDescent="0.2">
      <c r="I42729" s="137" t="s">
        <v>74</v>
      </c>
    </row>
    <row r="42730" spans="9:9" x14ac:dyDescent="0.2">
      <c r="I42730" s="137" t="s">
        <v>74</v>
      </c>
    </row>
    <row r="42731" spans="9:9" x14ac:dyDescent="0.2">
      <c r="I42731" s="137" t="s">
        <v>74</v>
      </c>
    </row>
    <row r="42732" spans="9:9" x14ac:dyDescent="0.2">
      <c r="I42732" s="137" t="s">
        <v>74</v>
      </c>
    </row>
    <row r="42733" spans="9:9" x14ac:dyDescent="0.2">
      <c r="I42733" s="137" t="s">
        <v>74</v>
      </c>
    </row>
    <row r="42734" spans="9:9" x14ac:dyDescent="0.2">
      <c r="I42734" s="137" t="s">
        <v>74</v>
      </c>
    </row>
    <row r="42735" spans="9:9" x14ac:dyDescent="0.2">
      <c r="I42735" s="137" t="s">
        <v>74</v>
      </c>
    </row>
    <row r="42736" spans="9:9" x14ac:dyDescent="0.2">
      <c r="I42736" s="137" t="s">
        <v>74</v>
      </c>
    </row>
    <row r="42737" spans="9:9" x14ac:dyDescent="0.2">
      <c r="I42737" s="137" t="s">
        <v>74</v>
      </c>
    </row>
    <row r="42738" spans="9:9" x14ac:dyDescent="0.2">
      <c r="I42738" s="137" t="s">
        <v>74</v>
      </c>
    </row>
    <row r="42739" spans="9:9" x14ac:dyDescent="0.2">
      <c r="I42739" s="137" t="s">
        <v>74</v>
      </c>
    </row>
    <row r="42740" spans="9:9" x14ac:dyDescent="0.2">
      <c r="I42740" s="137" t="s">
        <v>74</v>
      </c>
    </row>
    <row r="42741" spans="9:9" x14ac:dyDescent="0.2">
      <c r="I42741" s="137" t="s">
        <v>74</v>
      </c>
    </row>
    <row r="42742" spans="9:9" x14ac:dyDescent="0.2">
      <c r="I42742" s="137" t="s">
        <v>74</v>
      </c>
    </row>
    <row r="42743" spans="9:9" x14ac:dyDescent="0.2">
      <c r="I42743" s="137" t="s">
        <v>74</v>
      </c>
    </row>
    <row r="42744" spans="9:9" x14ac:dyDescent="0.2">
      <c r="I42744" s="137" t="s">
        <v>74</v>
      </c>
    </row>
    <row r="42745" spans="9:9" x14ac:dyDescent="0.2">
      <c r="I42745" s="137" t="s">
        <v>74</v>
      </c>
    </row>
    <row r="42746" spans="9:9" x14ac:dyDescent="0.2">
      <c r="I42746" s="137" t="s">
        <v>74</v>
      </c>
    </row>
    <row r="42747" spans="9:9" x14ac:dyDescent="0.2">
      <c r="I42747" s="137" t="s">
        <v>74</v>
      </c>
    </row>
    <row r="42748" spans="9:9" x14ac:dyDescent="0.2">
      <c r="I42748" s="137" t="s">
        <v>74</v>
      </c>
    </row>
    <row r="42749" spans="9:9" x14ac:dyDescent="0.2">
      <c r="I42749" s="137" t="s">
        <v>74</v>
      </c>
    </row>
    <row r="42750" spans="9:9" x14ac:dyDescent="0.2">
      <c r="I42750" s="137" t="s">
        <v>74</v>
      </c>
    </row>
    <row r="42751" spans="9:9" x14ac:dyDescent="0.2">
      <c r="I42751" s="137" t="s">
        <v>74</v>
      </c>
    </row>
    <row r="42752" spans="9:9" x14ac:dyDescent="0.2">
      <c r="I42752" s="137" t="s">
        <v>74</v>
      </c>
    </row>
    <row r="42753" spans="9:9" x14ac:dyDescent="0.2">
      <c r="I42753" s="137" t="s">
        <v>74</v>
      </c>
    </row>
    <row r="42754" spans="9:9" x14ac:dyDescent="0.2">
      <c r="I42754" s="137" t="s">
        <v>74</v>
      </c>
    </row>
    <row r="42755" spans="9:9" x14ac:dyDescent="0.2">
      <c r="I42755" s="137" t="s">
        <v>74</v>
      </c>
    </row>
    <row r="42756" spans="9:9" x14ac:dyDescent="0.2">
      <c r="I42756" s="137" t="s">
        <v>74</v>
      </c>
    </row>
    <row r="42757" spans="9:9" x14ac:dyDescent="0.2">
      <c r="I42757" s="137" t="s">
        <v>74</v>
      </c>
    </row>
    <row r="42758" spans="9:9" x14ac:dyDescent="0.2">
      <c r="I42758" s="137" t="s">
        <v>74</v>
      </c>
    </row>
    <row r="42759" spans="9:9" x14ac:dyDescent="0.2">
      <c r="I42759" s="137" t="s">
        <v>74</v>
      </c>
    </row>
    <row r="42760" spans="9:9" x14ac:dyDescent="0.2">
      <c r="I42760" s="137" t="s">
        <v>74</v>
      </c>
    </row>
    <row r="42761" spans="9:9" x14ac:dyDescent="0.2">
      <c r="I42761" s="137" t="s">
        <v>74</v>
      </c>
    </row>
    <row r="42762" spans="9:9" x14ac:dyDescent="0.2">
      <c r="I42762" s="137" t="s">
        <v>74</v>
      </c>
    </row>
    <row r="42763" spans="9:9" x14ac:dyDescent="0.2">
      <c r="I42763" s="137" t="s">
        <v>74</v>
      </c>
    </row>
    <row r="42764" spans="9:9" x14ac:dyDescent="0.2">
      <c r="I42764" s="137" t="s">
        <v>74</v>
      </c>
    </row>
    <row r="42765" spans="9:9" x14ac:dyDescent="0.2">
      <c r="I42765" s="137" t="s">
        <v>74</v>
      </c>
    </row>
    <row r="42766" spans="9:9" x14ac:dyDescent="0.2">
      <c r="I42766" s="137" t="s">
        <v>74</v>
      </c>
    </row>
    <row r="42767" spans="9:9" x14ac:dyDescent="0.2">
      <c r="I42767" s="137" t="s">
        <v>74</v>
      </c>
    </row>
    <row r="42768" spans="9:9" x14ac:dyDescent="0.2">
      <c r="I42768" s="137" t="s">
        <v>74</v>
      </c>
    </row>
    <row r="42769" spans="9:9" x14ac:dyDescent="0.2">
      <c r="I42769" s="137" t="s">
        <v>74</v>
      </c>
    </row>
    <row r="42770" spans="9:9" x14ac:dyDescent="0.2">
      <c r="I42770" s="137" t="s">
        <v>74</v>
      </c>
    </row>
    <row r="42771" spans="9:9" x14ac:dyDescent="0.2">
      <c r="I42771" s="137" t="s">
        <v>74</v>
      </c>
    </row>
    <row r="42772" spans="9:9" x14ac:dyDescent="0.2">
      <c r="I42772" s="137" t="s">
        <v>74</v>
      </c>
    </row>
    <row r="42773" spans="9:9" x14ac:dyDescent="0.2">
      <c r="I42773" s="137" t="s">
        <v>74</v>
      </c>
    </row>
    <row r="42774" spans="9:9" x14ac:dyDescent="0.2">
      <c r="I42774" s="137" t="s">
        <v>74</v>
      </c>
    </row>
    <row r="42775" spans="9:9" x14ac:dyDescent="0.2">
      <c r="I42775" s="137" t="s">
        <v>74</v>
      </c>
    </row>
    <row r="42776" spans="9:9" x14ac:dyDescent="0.2">
      <c r="I42776" s="137" t="s">
        <v>74</v>
      </c>
    </row>
    <row r="42777" spans="9:9" x14ac:dyDescent="0.2">
      <c r="I42777" s="137" t="s">
        <v>74</v>
      </c>
    </row>
    <row r="42778" spans="9:9" x14ac:dyDescent="0.2">
      <c r="I42778" s="137" t="s">
        <v>74</v>
      </c>
    </row>
    <row r="42779" spans="9:9" x14ac:dyDescent="0.2">
      <c r="I42779" s="137" t="s">
        <v>74</v>
      </c>
    </row>
    <row r="42780" spans="9:9" x14ac:dyDescent="0.2">
      <c r="I42780" s="137" t="s">
        <v>74</v>
      </c>
    </row>
    <row r="42781" spans="9:9" x14ac:dyDescent="0.2">
      <c r="I42781" s="137" t="s">
        <v>74</v>
      </c>
    </row>
    <row r="42782" spans="9:9" x14ac:dyDescent="0.2">
      <c r="I42782" s="137" t="s">
        <v>74</v>
      </c>
    </row>
    <row r="42783" spans="9:9" x14ac:dyDescent="0.2">
      <c r="I42783" s="137" t="s">
        <v>74</v>
      </c>
    </row>
    <row r="42784" spans="9:9" x14ac:dyDescent="0.2">
      <c r="I42784" s="137" t="s">
        <v>74</v>
      </c>
    </row>
    <row r="42785" spans="9:9" x14ac:dyDescent="0.2">
      <c r="I42785" s="137" t="s">
        <v>74</v>
      </c>
    </row>
    <row r="42786" spans="9:9" x14ac:dyDescent="0.2">
      <c r="I42786" s="137" t="s">
        <v>74</v>
      </c>
    </row>
    <row r="42787" spans="9:9" x14ac:dyDescent="0.2">
      <c r="I42787" s="137" t="s">
        <v>74</v>
      </c>
    </row>
    <row r="42788" spans="9:9" x14ac:dyDescent="0.2">
      <c r="I42788" s="137" t="s">
        <v>74</v>
      </c>
    </row>
    <row r="42789" spans="9:9" x14ac:dyDescent="0.2">
      <c r="I42789" s="137" t="s">
        <v>74</v>
      </c>
    </row>
    <row r="42790" spans="9:9" x14ac:dyDescent="0.2">
      <c r="I42790" s="137" t="s">
        <v>74</v>
      </c>
    </row>
    <row r="42791" spans="9:9" x14ac:dyDescent="0.2">
      <c r="I42791" s="137" t="s">
        <v>74</v>
      </c>
    </row>
    <row r="42792" spans="9:9" x14ac:dyDescent="0.2">
      <c r="I42792" s="137" t="s">
        <v>74</v>
      </c>
    </row>
    <row r="42793" spans="9:9" x14ac:dyDescent="0.2">
      <c r="I42793" s="137" t="s">
        <v>74</v>
      </c>
    </row>
    <row r="42794" spans="9:9" x14ac:dyDescent="0.2">
      <c r="I42794" s="137" t="s">
        <v>74</v>
      </c>
    </row>
    <row r="42795" spans="9:9" x14ac:dyDescent="0.2">
      <c r="I42795" s="137" t="s">
        <v>74</v>
      </c>
    </row>
    <row r="42796" spans="9:9" x14ac:dyDescent="0.2">
      <c r="I42796" s="137" t="s">
        <v>74</v>
      </c>
    </row>
    <row r="42797" spans="9:9" x14ac:dyDescent="0.2">
      <c r="I42797" s="137" t="s">
        <v>74</v>
      </c>
    </row>
    <row r="42798" spans="9:9" x14ac:dyDescent="0.2">
      <c r="I42798" s="137" t="s">
        <v>74</v>
      </c>
    </row>
    <row r="42799" spans="9:9" x14ac:dyDescent="0.2">
      <c r="I42799" s="137" t="s">
        <v>74</v>
      </c>
    </row>
    <row r="42800" spans="9:9" x14ac:dyDescent="0.2">
      <c r="I42800" s="137" t="s">
        <v>74</v>
      </c>
    </row>
    <row r="42801" spans="9:9" x14ac:dyDescent="0.2">
      <c r="I42801" s="137" t="s">
        <v>74</v>
      </c>
    </row>
    <row r="42802" spans="9:9" x14ac:dyDescent="0.2">
      <c r="I42802" s="137" t="s">
        <v>74</v>
      </c>
    </row>
    <row r="42803" spans="9:9" x14ac:dyDescent="0.2">
      <c r="I42803" s="137" t="s">
        <v>74</v>
      </c>
    </row>
    <row r="42804" spans="9:9" x14ac:dyDescent="0.2">
      <c r="I42804" s="137" t="s">
        <v>74</v>
      </c>
    </row>
    <row r="42805" spans="9:9" x14ac:dyDescent="0.2">
      <c r="I42805" s="137" t="s">
        <v>74</v>
      </c>
    </row>
    <row r="42806" spans="9:9" x14ac:dyDescent="0.2">
      <c r="I42806" s="137" t="s">
        <v>74</v>
      </c>
    </row>
    <row r="42807" spans="9:9" x14ac:dyDescent="0.2">
      <c r="I42807" s="137" t="s">
        <v>74</v>
      </c>
    </row>
    <row r="42808" spans="9:9" x14ac:dyDescent="0.2">
      <c r="I42808" s="137" t="s">
        <v>74</v>
      </c>
    </row>
    <row r="42809" spans="9:9" x14ac:dyDescent="0.2">
      <c r="I42809" s="137" t="s">
        <v>74</v>
      </c>
    </row>
    <row r="42810" spans="9:9" x14ac:dyDescent="0.2">
      <c r="I42810" s="137" t="s">
        <v>74</v>
      </c>
    </row>
    <row r="42811" spans="9:9" x14ac:dyDescent="0.2">
      <c r="I42811" s="137" t="s">
        <v>74</v>
      </c>
    </row>
    <row r="42812" spans="9:9" x14ac:dyDescent="0.2">
      <c r="I42812" s="137" t="s">
        <v>74</v>
      </c>
    </row>
    <row r="42813" spans="9:9" x14ac:dyDescent="0.2">
      <c r="I42813" s="137" t="s">
        <v>74</v>
      </c>
    </row>
    <row r="42814" spans="9:9" x14ac:dyDescent="0.2">
      <c r="I42814" s="137" t="s">
        <v>74</v>
      </c>
    </row>
    <row r="42815" spans="9:9" x14ac:dyDescent="0.2">
      <c r="I42815" s="137" t="s">
        <v>74</v>
      </c>
    </row>
    <row r="42816" spans="9:9" x14ac:dyDescent="0.2">
      <c r="I42816" s="137" t="s">
        <v>74</v>
      </c>
    </row>
    <row r="42817" spans="9:9" x14ac:dyDescent="0.2">
      <c r="I42817" s="137" t="s">
        <v>74</v>
      </c>
    </row>
    <row r="42818" spans="9:9" x14ac:dyDescent="0.2">
      <c r="I42818" s="137" t="s">
        <v>74</v>
      </c>
    </row>
    <row r="42819" spans="9:9" x14ac:dyDescent="0.2">
      <c r="I42819" s="137" t="s">
        <v>74</v>
      </c>
    </row>
    <row r="42820" spans="9:9" x14ac:dyDescent="0.2">
      <c r="I42820" s="137" t="s">
        <v>74</v>
      </c>
    </row>
    <row r="42821" spans="9:9" x14ac:dyDescent="0.2">
      <c r="I42821" s="137" t="s">
        <v>74</v>
      </c>
    </row>
    <row r="42822" spans="9:9" x14ac:dyDescent="0.2">
      <c r="I42822" s="137" t="s">
        <v>74</v>
      </c>
    </row>
    <row r="42823" spans="9:9" x14ac:dyDescent="0.2">
      <c r="I42823" s="137" t="s">
        <v>74</v>
      </c>
    </row>
    <row r="42824" spans="9:9" x14ac:dyDescent="0.2">
      <c r="I42824" s="137" t="s">
        <v>74</v>
      </c>
    </row>
    <row r="42825" spans="9:9" x14ac:dyDescent="0.2">
      <c r="I42825" s="137" t="s">
        <v>74</v>
      </c>
    </row>
    <row r="42826" spans="9:9" x14ac:dyDescent="0.2">
      <c r="I42826" s="137" t="s">
        <v>74</v>
      </c>
    </row>
    <row r="42827" spans="9:9" x14ac:dyDescent="0.2">
      <c r="I42827" s="137" t="s">
        <v>74</v>
      </c>
    </row>
    <row r="42828" spans="9:9" x14ac:dyDescent="0.2">
      <c r="I42828" s="137" t="s">
        <v>74</v>
      </c>
    </row>
    <row r="42829" spans="9:9" x14ac:dyDescent="0.2">
      <c r="I42829" s="137" t="s">
        <v>74</v>
      </c>
    </row>
    <row r="42830" spans="9:9" x14ac:dyDescent="0.2">
      <c r="I42830" s="137" t="s">
        <v>74</v>
      </c>
    </row>
    <row r="42831" spans="9:9" x14ac:dyDescent="0.2">
      <c r="I42831" s="137" t="s">
        <v>74</v>
      </c>
    </row>
    <row r="42832" spans="9:9" x14ac:dyDescent="0.2">
      <c r="I42832" s="137" t="s">
        <v>74</v>
      </c>
    </row>
    <row r="42833" spans="9:9" x14ac:dyDescent="0.2">
      <c r="I42833" s="137" t="s">
        <v>74</v>
      </c>
    </row>
    <row r="42834" spans="9:9" x14ac:dyDescent="0.2">
      <c r="I42834" s="137" t="s">
        <v>74</v>
      </c>
    </row>
    <row r="42835" spans="9:9" x14ac:dyDescent="0.2">
      <c r="I42835" s="137" t="s">
        <v>74</v>
      </c>
    </row>
    <row r="42836" spans="9:9" x14ac:dyDescent="0.2">
      <c r="I42836" s="137" t="s">
        <v>74</v>
      </c>
    </row>
    <row r="42837" spans="9:9" x14ac:dyDescent="0.2">
      <c r="I42837" s="137" t="s">
        <v>74</v>
      </c>
    </row>
    <row r="42838" spans="9:9" x14ac:dyDescent="0.2">
      <c r="I42838" s="137" t="s">
        <v>74</v>
      </c>
    </row>
    <row r="42839" spans="9:9" x14ac:dyDescent="0.2">
      <c r="I42839" s="137" t="s">
        <v>74</v>
      </c>
    </row>
    <row r="42840" spans="9:9" x14ac:dyDescent="0.2">
      <c r="I42840" s="137" t="s">
        <v>74</v>
      </c>
    </row>
    <row r="42841" spans="9:9" x14ac:dyDescent="0.2">
      <c r="I42841" s="137" t="s">
        <v>74</v>
      </c>
    </row>
    <row r="42842" spans="9:9" x14ac:dyDescent="0.2">
      <c r="I42842" s="137" t="s">
        <v>74</v>
      </c>
    </row>
    <row r="42843" spans="9:9" x14ac:dyDescent="0.2">
      <c r="I42843" s="137" t="s">
        <v>74</v>
      </c>
    </row>
    <row r="42844" spans="9:9" x14ac:dyDescent="0.2">
      <c r="I42844" s="137" t="s">
        <v>74</v>
      </c>
    </row>
    <row r="42845" spans="9:9" x14ac:dyDescent="0.2">
      <c r="I42845" s="137" t="s">
        <v>74</v>
      </c>
    </row>
    <row r="42846" spans="9:9" x14ac:dyDescent="0.2">
      <c r="I42846" s="137" t="s">
        <v>74</v>
      </c>
    </row>
    <row r="42847" spans="9:9" x14ac:dyDescent="0.2">
      <c r="I42847" s="137" t="s">
        <v>74</v>
      </c>
    </row>
    <row r="42848" spans="9:9" x14ac:dyDescent="0.2">
      <c r="I42848" s="137" t="s">
        <v>74</v>
      </c>
    </row>
    <row r="42849" spans="9:9" x14ac:dyDescent="0.2">
      <c r="I42849" s="137" t="s">
        <v>74</v>
      </c>
    </row>
    <row r="42850" spans="9:9" x14ac:dyDescent="0.2">
      <c r="I42850" s="137" t="s">
        <v>74</v>
      </c>
    </row>
    <row r="42851" spans="9:9" x14ac:dyDescent="0.2">
      <c r="I42851" s="137" t="s">
        <v>74</v>
      </c>
    </row>
    <row r="42852" spans="9:9" x14ac:dyDescent="0.2">
      <c r="I42852" s="137" t="s">
        <v>74</v>
      </c>
    </row>
    <row r="42853" spans="9:9" x14ac:dyDescent="0.2">
      <c r="I42853" s="137" t="s">
        <v>74</v>
      </c>
    </row>
    <row r="42854" spans="9:9" x14ac:dyDescent="0.2">
      <c r="I42854" s="137" t="s">
        <v>74</v>
      </c>
    </row>
    <row r="42855" spans="9:9" x14ac:dyDescent="0.2">
      <c r="I42855" s="137" t="s">
        <v>74</v>
      </c>
    </row>
    <row r="42856" spans="9:9" x14ac:dyDescent="0.2">
      <c r="I42856" s="137" t="s">
        <v>74</v>
      </c>
    </row>
    <row r="42857" spans="9:9" x14ac:dyDescent="0.2">
      <c r="I42857" s="137" t="s">
        <v>74</v>
      </c>
    </row>
    <row r="42858" spans="9:9" x14ac:dyDescent="0.2">
      <c r="I42858" s="137" t="s">
        <v>74</v>
      </c>
    </row>
    <row r="42859" spans="9:9" x14ac:dyDescent="0.2">
      <c r="I42859" s="137" t="s">
        <v>74</v>
      </c>
    </row>
    <row r="42860" spans="9:9" x14ac:dyDescent="0.2">
      <c r="I42860" s="137" t="s">
        <v>74</v>
      </c>
    </row>
    <row r="42861" spans="9:9" x14ac:dyDescent="0.2">
      <c r="I42861" s="137" t="s">
        <v>74</v>
      </c>
    </row>
    <row r="42862" spans="9:9" x14ac:dyDescent="0.2">
      <c r="I42862" s="137" t="s">
        <v>74</v>
      </c>
    </row>
    <row r="42863" spans="9:9" x14ac:dyDescent="0.2">
      <c r="I42863" s="137" t="s">
        <v>74</v>
      </c>
    </row>
    <row r="42864" spans="9:9" x14ac:dyDescent="0.2">
      <c r="I42864" s="137" t="s">
        <v>74</v>
      </c>
    </row>
    <row r="42865" spans="9:9" x14ac:dyDescent="0.2">
      <c r="I42865" s="137" t="s">
        <v>74</v>
      </c>
    </row>
    <row r="42866" spans="9:9" x14ac:dyDescent="0.2">
      <c r="I42866" s="137" t="s">
        <v>74</v>
      </c>
    </row>
    <row r="42867" spans="9:9" x14ac:dyDescent="0.2">
      <c r="I42867" s="137" t="s">
        <v>74</v>
      </c>
    </row>
    <row r="42868" spans="9:9" x14ac:dyDescent="0.2">
      <c r="I42868" s="137" t="s">
        <v>74</v>
      </c>
    </row>
    <row r="42869" spans="9:9" x14ac:dyDescent="0.2">
      <c r="I42869" s="137" t="s">
        <v>74</v>
      </c>
    </row>
    <row r="42870" spans="9:9" x14ac:dyDescent="0.2">
      <c r="I42870" s="137" t="s">
        <v>74</v>
      </c>
    </row>
    <row r="42871" spans="9:9" x14ac:dyDescent="0.2">
      <c r="I42871" s="137" t="s">
        <v>74</v>
      </c>
    </row>
    <row r="42872" spans="9:9" x14ac:dyDescent="0.2">
      <c r="I42872" s="137" t="s">
        <v>74</v>
      </c>
    </row>
    <row r="42873" spans="9:9" x14ac:dyDescent="0.2">
      <c r="I42873" s="137" t="s">
        <v>74</v>
      </c>
    </row>
    <row r="42874" spans="9:9" x14ac:dyDescent="0.2">
      <c r="I42874" s="137" t="s">
        <v>74</v>
      </c>
    </row>
    <row r="42875" spans="9:9" x14ac:dyDescent="0.2">
      <c r="I42875" s="137" t="s">
        <v>74</v>
      </c>
    </row>
    <row r="42876" spans="9:9" x14ac:dyDescent="0.2">
      <c r="I42876" s="137" t="s">
        <v>74</v>
      </c>
    </row>
    <row r="42877" spans="9:9" x14ac:dyDescent="0.2">
      <c r="I42877" s="137" t="s">
        <v>74</v>
      </c>
    </row>
    <row r="42878" spans="9:9" x14ac:dyDescent="0.2">
      <c r="I42878" s="137" t="s">
        <v>74</v>
      </c>
    </row>
    <row r="42879" spans="9:9" x14ac:dyDescent="0.2">
      <c r="I42879" s="137" t="s">
        <v>74</v>
      </c>
    </row>
    <row r="42880" spans="9:9" x14ac:dyDescent="0.2">
      <c r="I42880" s="137" t="s">
        <v>74</v>
      </c>
    </row>
    <row r="42881" spans="9:9" x14ac:dyDescent="0.2">
      <c r="I42881" s="137" t="s">
        <v>74</v>
      </c>
    </row>
    <row r="42882" spans="9:9" x14ac:dyDescent="0.2">
      <c r="I42882" s="137" t="s">
        <v>74</v>
      </c>
    </row>
    <row r="42883" spans="9:9" x14ac:dyDescent="0.2">
      <c r="I42883" s="137" t="s">
        <v>74</v>
      </c>
    </row>
    <row r="42884" spans="9:9" x14ac:dyDescent="0.2">
      <c r="I42884" s="137" t="s">
        <v>74</v>
      </c>
    </row>
    <row r="42885" spans="9:9" x14ac:dyDescent="0.2">
      <c r="I42885" s="137" t="s">
        <v>74</v>
      </c>
    </row>
    <row r="42886" spans="9:9" x14ac:dyDescent="0.2">
      <c r="I42886" s="137" t="s">
        <v>74</v>
      </c>
    </row>
    <row r="42887" spans="9:9" x14ac:dyDescent="0.2">
      <c r="I42887" s="137" t="s">
        <v>74</v>
      </c>
    </row>
    <row r="42888" spans="9:9" x14ac:dyDescent="0.2">
      <c r="I42888" s="137" t="s">
        <v>74</v>
      </c>
    </row>
    <row r="42889" spans="9:9" x14ac:dyDescent="0.2">
      <c r="I42889" s="137" t="s">
        <v>74</v>
      </c>
    </row>
    <row r="42890" spans="9:9" x14ac:dyDescent="0.2">
      <c r="I42890" s="137" t="s">
        <v>74</v>
      </c>
    </row>
    <row r="42891" spans="9:9" x14ac:dyDescent="0.2">
      <c r="I42891" s="137" t="s">
        <v>74</v>
      </c>
    </row>
    <row r="42892" spans="9:9" x14ac:dyDescent="0.2">
      <c r="I42892" s="137" t="s">
        <v>74</v>
      </c>
    </row>
    <row r="42893" spans="9:9" x14ac:dyDescent="0.2">
      <c r="I42893" s="137" t="s">
        <v>74</v>
      </c>
    </row>
    <row r="42894" spans="9:9" x14ac:dyDescent="0.2">
      <c r="I42894" s="137" t="s">
        <v>74</v>
      </c>
    </row>
    <row r="42895" spans="9:9" x14ac:dyDescent="0.2">
      <c r="I42895" s="137" t="s">
        <v>74</v>
      </c>
    </row>
    <row r="42896" spans="9:9" x14ac:dyDescent="0.2">
      <c r="I42896" s="137" t="s">
        <v>74</v>
      </c>
    </row>
    <row r="42897" spans="9:9" x14ac:dyDescent="0.2">
      <c r="I42897" s="137" t="s">
        <v>74</v>
      </c>
    </row>
    <row r="42898" spans="9:9" x14ac:dyDescent="0.2">
      <c r="I42898" s="137" t="s">
        <v>74</v>
      </c>
    </row>
    <row r="42899" spans="9:9" x14ac:dyDescent="0.2">
      <c r="I42899" s="137" t="s">
        <v>74</v>
      </c>
    </row>
    <row r="42900" spans="9:9" x14ac:dyDescent="0.2">
      <c r="I42900" s="137" t="s">
        <v>74</v>
      </c>
    </row>
    <row r="42901" spans="9:9" x14ac:dyDescent="0.2">
      <c r="I42901" s="137" t="s">
        <v>74</v>
      </c>
    </row>
    <row r="42902" spans="9:9" x14ac:dyDescent="0.2">
      <c r="I42902" s="137" t="s">
        <v>74</v>
      </c>
    </row>
    <row r="42903" spans="9:9" x14ac:dyDescent="0.2">
      <c r="I42903" s="137" t="s">
        <v>74</v>
      </c>
    </row>
    <row r="42904" spans="9:9" x14ac:dyDescent="0.2">
      <c r="I42904" s="137" t="s">
        <v>74</v>
      </c>
    </row>
    <row r="42905" spans="9:9" x14ac:dyDescent="0.2">
      <c r="I42905" s="137" t="s">
        <v>74</v>
      </c>
    </row>
    <row r="42906" spans="9:9" x14ac:dyDescent="0.2">
      <c r="I42906" s="137" t="s">
        <v>74</v>
      </c>
    </row>
    <row r="42907" spans="9:9" x14ac:dyDescent="0.2">
      <c r="I42907" s="137" t="s">
        <v>74</v>
      </c>
    </row>
    <row r="42908" spans="9:9" x14ac:dyDescent="0.2">
      <c r="I42908" s="137" t="s">
        <v>74</v>
      </c>
    </row>
    <row r="42909" spans="9:9" x14ac:dyDescent="0.2">
      <c r="I42909" s="137" t="s">
        <v>74</v>
      </c>
    </row>
    <row r="42910" spans="9:9" x14ac:dyDescent="0.2">
      <c r="I42910" s="137" t="s">
        <v>74</v>
      </c>
    </row>
    <row r="42911" spans="9:9" x14ac:dyDescent="0.2">
      <c r="I42911" s="137" t="s">
        <v>74</v>
      </c>
    </row>
    <row r="42912" spans="9:9" x14ac:dyDescent="0.2">
      <c r="I42912" s="137" t="s">
        <v>74</v>
      </c>
    </row>
    <row r="42913" spans="9:9" x14ac:dyDescent="0.2">
      <c r="I42913" s="137" t="s">
        <v>74</v>
      </c>
    </row>
    <row r="42914" spans="9:9" x14ac:dyDescent="0.2">
      <c r="I42914" s="137" t="s">
        <v>74</v>
      </c>
    </row>
    <row r="42915" spans="9:9" x14ac:dyDescent="0.2">
      <c r="I42915" s="137" t="s">
        <v>74</v>
      </c>
    </row>
    <row r="42916" spans="9:9" x14ac:dyDescent="0.2">
      <c r="I42916" s="137" t="s">
        <v>74</v>
      </c>
    </row>
    <row r="42917" spans="9:9" x14ac:dyDescent="0.2">
      <c r="I42917" s="137" t="s">
        <v>74</v>
      </c>
    </row>
    <row r="42918" spans="9:9" x14ac:dyDescent="0.2">
      <c r="I42918" s="137" t="s">
        <v>74</v>
      </c>
    </row>
    <row r="42919" spans="9:9" x14ac:dyDescent="0.2">
      <c r="I42919" s="137" t="s">
        <v>74</v>
      </c>
    </row>
    <row r="42920" spans="9:9" x14ac:dyDescent="0.2">
      <c r="I42920" s="137" t="s">
        <v>74</v>
      </c>
    </row>
    <row r="42921" spans="9:9" x14ac:dyDescent="0.2">
      <c r="I42921" s="137" t="s">
        <v>74</v>
      </c>
    </row>
    <row r="42922" spans="9:9" x14ac:dyDescent="0.2">
      <c r="I42922" s="137" t="s">
        <v>74</v>
      </c>
    </row>
    <row r="42923" spans="9:9" x14ac:dyDescent="0.2">
      <c r="I42923" s="137" t="s">
        <v>74</v>
      </c>
    </row>
    <row r="42924" spans="9:9" x14ac:dyDescent="0.2">
      <c r="I42924" s="137" t="s">
        <v>74</v>
      </c>
    </row>
    <row r="42925" spans="9:9" x14ac:dyDescent="0.2">
      <c r="I42925" s="137" t="s">
        <v>74</v>
      </c>
    </row>
    <row r="42926" spans="9:9" x14ac:dyDescent="0.2">
      <c r="I42926" s="137" t="s">
        <v>74</v>
      </c>
    </row>
    <row r="42927" spans="9:9" x14ac:dyDescent="0.2">
      <c r="I42927" s="137" t="s">
        <v>74</v>
      </c>
    </row>
    <row r="42928" spans="9:9" x14ac:dyDescent="0.2">
      <c r="I42928" s="137" t="s">
        <v>74</v>
      </c>
    </row>
    <row r="42929" spans="9:9" x14ac:dyDescent="0.2">
      <c r="I42929" s="137" t="s">
        <v>74</v>
      </c>
    </row>
    <row r="42930" spans="9:9" x14ac:dyDescent="0.2">
      <c r="I42930" s="137" t="s">
        <v>74</v>
      </c>
    </row>
    <row r="42931" spans="9:9" x14ac:dyDescent="0.2">
      <c r="I42931" s="137" t="s">
        <v>74</v>
      </c>
    </row>
    <row r="42932" spans="9:9" x14ac:dyDescent="0.2">
      <c r="I42932" s="137" t="s">
        <v>74</v>
      </c>
    </row>
    <row r="42933" spans="9:9" x14ac:dyDescent="0.2">
      <c r="I42933" s="137" t="s">
        <v>74</v>
      </c>
    </row>
    <row r="42934" spans="9:9" x14ac:dyDescent="0.2">
      <c r="I42934" s="137" t="s">
        <v>74</v>
      </c>
    </row>
    <row r="42935" spans="9:9" x14ac:dyDescent="0.2">
      <c r="I42935" s="137" t="s">
        <v>74</v>
      </c>
    </row>
    <row r="42936" spans="9:9" x14ac:dyDescent="0.2">
      <c r="I42936" s="137" t="s">
        <v>74</v>
      </c>
    </row>
    <row r="42937" spans="9:9" x14ac:dyDescent="0.2">
      <c r="I42937" s="137" t="s">
        <v>74</v>
      </c>
    </row>
    <row r="42938" spans="9:9" x14ac:dyDescent="0.2">
      <c r="I42938" s="137" t="s">
        <v>74</v>
      </c>
    </row>
    <row r="42939" spans="9:9" x14ac:dyDescent="0.2">
      <c r="I42939" s="137" t="s">
        <v>74</v>
      </c>
    </row>
    <row r="42940" spans="9:9" x14ac:dyDescent="0.2">
      <c r="I42940" s="137" t="s">
        <v>74</v>
      </c>
    </row>
    <row r="42941" spans="9:9" x14ac:dyDescent="0.2">
      <c r="I42941" s="137" t="s">
        <v>74</v>
      </c>
    </row>
    <row r="42942" spans="9:9" x14ac:dyDescent="0.2">
      <c r="I42942" s="137" t="s">
        <v>74</v>
      </c>
    </row>
    <row r="42943" spans="9:9" x14ac:dyDescent="0.2">
      <c r="I42943" s="137" t="s">
        <v>74</v>
      </c>
    </row>
    <row r="42944" spans="9:9" x14ac:dyDescent="0.2">
      <c r="I42944" s="137" t="s">
        <v>74</v>
      </c>
    </row>
    <row r="42945" spans="9:9" x14ac:dyDescent="0.2">
      <c r="I42945" s="137" t="s">
        <v>74</v>
      </c>
    </row>
    <row r="42946" spans="9:9" x14ac:dyDescent="0.2">
      <c r="I42946" s="137" t="s">
        <v>74</v>
      </c>
    </row>
    <row r="42947" spans="9:9" x14ac:dyDescent="0.2">
      <c r="I42947" s="137" t="s">
        <v>74</v>
      </c>
    </row>
    <row r="42948" spans="9:9" x14ac:dyDescent="0.2">
      <c r="I42948" s="137" t="s">
        <v>74</v>
      </c>
    </row>
    <row r="42949" spans="9:9" x14ac:dyDescent="0.2">
      <c r="I42949" s="137" t="s">
        <v>74</v>
      </c>
    </row>
    <row r="42950" spans="9:9" x14ac:dyDescent="0.2">
      <c r="I42950" s="137" t="s">
        <v>74</v>
      </c>
    </row>
    <row r="42951" spans="9:9" x14ac:dyDescent="0.2">
      <c r="I42951" s="137" t="s">
        <v>74</v>
      </c>
    </row>
    <row r="42952" spans="9:9" x14ac:dyDescent="0.2">
      <c r="I42952" s="137" t="s">
        <v>74</v>
      </c>
    </row>
    <row r="42953" spans="9:9" x14ac:dyDescent="0.2">
      <c r="I42953" s="137" t="s">
        <v>74</v>
      </c>
    </row>
    <row r="42954" spans="9:9" x14ac:dyDescent="0.2">
      <c r="I42954" s="137" t="s">
        <v>74</v>
      </c>
    </row>
    <row r="42955" spans="9:9" x14ac:dyDescent="0.2">
      <c r="I42955" s="137" t="s">
        <v>74</v>
      </c>
    </row>
    <row r="42956" spans="9:9" x14ac:dyDescent="0.2">
      <c r="I42956" s="137" t="s">
        <v>74</v>
      </c>
    </row>
    <row r="42957" spans="9:9" x14ac:dyDescent="0.2">
      <c r="I42957" s="137" t="s">
        <v>74</v>
      </c>
    </row>
    <row r="42958" spans="9:9" x14ac:dyDescent="0.2">
      <c r="I42958" s="137" t="s">
        <v>74</v>
      </c>
    </row>
    <row r="42959" spans="9:9" x14ac:dyDescent="0.2">
      <c r="I42959" s="137" t="s">
        <v>74</v>
      </c>
    </row>
    <row r="42960" spans="9:9" x14ac:dyDescent="0.2">
      <c r="I42960" s="137" t="s">
        <v>74</v>
      </c>
    </row>
    <row r="42961" spans="9:9" x14ac:dyDescent="0.2">
      <c r="I42961" s="137" t="s">
        <v>74</v>
      </c>
    </row>
    <row r="42962" spans="9:9" x14ac:dyDescent="0.2">
      <c r="I42962" s="137" t="s">
        <v>74</v>
      </c>
    </row>
    <row r="42963" spans="9:9" x14ac:dyDescent="0.2">
      <c r="I42963" s="137" t="s">
        <v>74</v>
      </c>
    </row>
    <row r="42964" spans="9:9" x14ac:dyDescent="0.2">
      <c r="I42964" s="137" t="s">
        <v>74</v>
      </c>
    </row>
    <row r="42965" spans="9:9" x14ac:dyDescent="0.2">
      <c r="I42965" s="137" t="s">
        <v>74</v>
      </c>
    </row>
    <row r="42966" spans="9:9" x14ac:dyDescent="0.2">
      <c r="I42966" s="137" t="s">
        <v>74</v>
      </c>
    </row>
    <row r="42967" spans="9:9" x14ac:dyDescent="0.2">
      <c r="I42967" s="137" t="s">
        <v>74</v>
      </c>
    </row>
    <row r="42968" spans="9:9" x14ac:dyDescent="0.2">
      <c r="I42968" s="137" t="s">
        <v>74</v>
      </c>
    </row>
    <row r="42969" spans="9:9" x14ac:dyDescent="0.2">
      <c r="I42969" s="137" t="s">
        <v>74</v>
      </c>
    </row>
    <row r="42970" spans="9:9" x14ac:dyDescent="0.2">
      <c r="I42970" s="137" t="s">
        <v>74</v>
      </c>
    </row>
    <row r="42971" spans="9:9" x14ac:dyDescent="0.2">
      <c r="I42971" s="137" t="s">
        <v>74</v>
      </c>
    </row>
    <row r="42972" spans="9:9" x14ac:dyDescent="0.2">
      <c r="I42972" s="137" t="s">
        <v>74</v>
      </c>
    </row>
    <row r="42973" spans="9:9" x14ac:dyDescent="0.2">
      <c r="I42973" s="137" t="s">
        <v>74</v>
      </c>
    </row>
    <row r="42974" spans="9:9" x14ac:dyDescent="0.2">
      <c r="I42974" s="137" t="s">
        <v>74</v>
      </c>
    </row>
    <row r="42975" spans="9:9" x14ac:dyDescent="0.2">
      <c r="I42975" s="137" t="s">
        <v>74</v>
      </c>
    </row>
    <row r="42976" spans="9:9" x14ac:dyDescent="0.2">
      <c r="I42976" s="137" t="s">
        <v>74</v>
      </c>
    </row>
    <row r="42977" spans="9:9" x14ac:dyDescent="0.2">
      <c r="I42977" s="137" t="s">
        <v>74</v>
      </c>
    </row>
    <row r="42978" spans="9:9" x14ac:dyDescent="0.2">
      <c r="I42978" s="137" t="s">
        <v>74</v>
      </c>
    </row>
    <row r="42979" spans="9:9" x14ac:dyDescent="0.2">
      <c r="I42979" s="137" t="s">
        <v>74</v>
      </c>
    </row>
    <row r="42980" spans="9:9" x14ac:dyDescent="0.2">
      <c r="I42980" s="137" t="s">
        <v>74</v>
      </c>
    </row>
    <row r="42981" spans="9:9" x14ac:dyDescent="0.2">
      <c r="I42981" s="137" t="s">
        <v>74</v>
      </c>
    </row>
    <row r="42982" spans="9:9" x14ac:dyDescent="0.2">
      <c r="I42982" s="137" t="s">
        <v>74</v>
      </c>
    </row>
    <row r="42983" spans="9:9" x14ac:dyDescent="0.2">
      <c r="I42983" s="137" t="s">
        <v>74</v>
      </c>
    </row>
    <row r="42984" spans="9:9" x14ac:dyDescent="0.2">
      <c r="I42984" s="137" t="s">
        <v>74</v>
      </c>
    </row>
    <row r="42985" spans="9:9" x14ac:dyDescent="0.2">
      <c r="I42985" s="137" t="s">
        <v>74</v>
      </c>
    </row>
    <row r="42986" spans="9:9" x14ac:dyDescent="0.2">
      <c r="I42986" s="137" t="s">
        <v>74</v>
      </c>
    </row>
    <row r="42987" spans="9:9" x14ac:dyDescent="0.2">
      <c r="I42987" s="137" t="s">
        <v>74</v>
      </c>
    </row>
    <row r="42988" spans="9:9" x14ac:dyDescent="0.2">
      <c r="I42988" s="137" t="s">
        <v>74</v>
      </c>
    </row>
    <row r="42989" spans="9:9" x14ac:dyDescent="0.2">
      <c r="I42989" s="137" t="s">
        <v>74</v>
      </c>
    </row>
    <row r="42990" spans="9:9" x14ac:dyDescent="0.2">
      <c r="I42990" s="137" t="s">
        <v>74</v>
      </c>
    </row>
    <row r="42991" spans="9:9" x14ac:dyDescent="0.2">
      <c r="I42991" s="137" t="s">
        <v>74</v>
      </c>
    </row>
    <row r="42992" spans="9:9" x14ac:dyDescent="0.2">
      <c r="I42992" s="137" t="s">
        <v>74</v>
      </c>
    </row>
    <row r="42993" spans="9:9" x14ac:dyDescent="0.2">
      <c r="I42993" s="137" t="s">
        <v>74</v>
      </c>
    </row>
    <row r="42994" spans="9:9" x14ac:dyDescent="0.2">
      <c r="I42994" s="137" t="s">
        <v>74</v>
      </c>
    </row>
    <row r="42995" spans="9:9" x14ac:dyDescent="0.2">
      <c r="I42995" s="137" t="s">
        <v>74</v>
      </c>
    </row>
    <row r="42996" spans="9:9" x14ac:dyDescent="0.2">
      <c r="I42996" s="137" t="s">
        <v>74</v>
      </c>
    </row>
    <row r="42997" spans="9:9" x14ac:dyDescent="0.2">
      <c r="I42997" s="137" t="s">
        <v>74</v>
      </c>
    </row>
    <row r="42998" spans="9:9" x14ac:dyDescent="0.2">
      <c r="I42998" s="137" t="s">
        <v>74</v>
      </c>
    </row>
    <row r="42999" spans="9:9" x14ac:dyDescent="0.2">
      <c r="I42999" s="137" t="s">
        <v>74</v>
      </c>
    </row>
    <row r="43000" spans="9:9" x14ac:dyDescent="0.2">
      <c r="I43000" s="137" t="s">
        <v>74</v>
      </c>
    </row>
    <row r="43001" spans="9:9" x14ac:dyDescent="0.2">
      <c r="I43001" s="137" t="s">
        <v>74</v>
      </c>
    </row>
    <row r="43002" spans="9:9" x14ac:dyDescent="0.2">
      <c r="I43002" s="137" t="s">
        <v>74</v>
      </c>
    </row>
    <row r="43003" spans="9:9" x14ac:dyDescent="0.2">
      <c r="I43003" s="137" t="s">
        <v>74</v>
      </c>
    </row>
    <row r="43004" spans="9:9" x14ac:dyDescent="0.2">
      <c r="I43004" s="137" t="s">
        <v>74</v>
      </c>
    </row>
    <row r="43005" spans="9:9" x14ac:dyDescent="0.2">
      <c r="I43005" s="137" t="s">
        <v>74</v>
      </c>
    </row>
    <row r="43006" spans="9:9" x14ac:dyDescent="0.2">
      <c r="I43006" s="137" t="s">
        <v>74</v>
      </c>
    </row>
    <row r="43007" spans="9:9" x14ac:dyDescent="0.2">
      <c r="I43007" s="137" t="s">
        <v>74</v>
      </c>
    </row>
    <row r="43008" spans="9:9" x14ac:dyDescent="0.2">
      <c r="I43008" s="137" t="s">
        <v>74</v>
      </c>
    </row>
    <row r="43009" spans="9:9" x14ac:dyDescent="0.2">
      <c r="I43009" s="137" t="s">
        <v>74</v>
      </c>
    </row>
    <row r="43010" spans="9:9" x14ac:dyDescent="0.2">
      <c r="I43010" s="137" t="s">
        <v>74</v>
      </c>
    </row>
    <row r="43011" spans="9:9" x14ac:dyDescent="0.2">
      <c r="I43011" s="137" t="s">
        <v>74</v>
      </c>
    </row>
    <row r="43012" spans="9:9" x14ac:dyDescent="0.2">
      <c r="I43012" s="137" t="s">
        <v>74</v>
      </c>
    </row>
    <row r="43013" spans="9:9" x14ac:dyDescent="0.2">
      <c r="I43013" s="137" t="s">
        <v>74</v>
      </c>
    </row>
    <row r="43014" spans="9:9" x14ac:dyDescent="0.2">
      <c r="I43014" s="137" t="s">
        <v>74</v>
      </c>
    </row>
    <row r="43015" spans="9:9" x14ac:dyDescent="0.2">
      <c r="I43015" s="137" t="s">
        <v>74</v>
      </c>
    </row>
    <row r="43016" spans="9:9" x14ac:dyDescent="0.2">
      <c r="I43016" s="137" t="s">
        <v>74</v>
      </c>
    </row>
    <row r="43017" spans="9:9" x14ac:dyDescent="0.2">
      <c r="I43017" s="137" t="s">
        <v>74</v>
      </c>
    </row>
    <row r="43018" spans="9:9" x14ac:dyDescent="0.2">
      <c r="I43018" s="137" t="s">
        <v>74</v>
      </c>
    </row>
    <row r="43019" spans="9:9" x14ac:dyDescent="0.2">
      <c r="I43019" s="137" t="s">
        <v>74</v>
      </c>
    </row>
    <row r="43020" spans="9:9" x14ac:dyDescent="0.2">
      <c r="I43020" s="137" t="s">
        <v>74</v>
      </c>
    </row>
    <row r="43021" spans="9:9" x14ac:dyDescent="0.2">
      <c r="I43021" s="137" t="s">
        <v>74</v>
      </c>
    </row>
    <row r="43022" spans="9:9" x14ac:dyDescent="0.2">
      <c r="I43022" s="137" t="s">
        <v>74</v>
      </c>
    </row>
    <row r="43023" spans="9:9" x14ac:dyDescent="0.2">
      <c r="I43023" s="137" t="s">
        <v>74</v>
      </c>
    </row>
    <row r="43024" spans="9:9" x14ac:dyDescent="0.2">
      <c r="I43024" s="137" t="s">
        <v>74</v>
      </c>
    </row>
    <row r="43025" spans="9:9" x14ac:dyDescent="0.2">
      <c r="I43025" s="137" t="s">
        <v>74</v>
      </c>
    </row>
    <row r="43026" spans="9:9" x14ac:dyDescent="0.2">
      <c r="I43026" s="137" t="s">
        <v>74</v>
      </c>
    </row>
    <row r="43027" spans="9:9" x14ac:dyDescent="0.2">
      <c r="I43027" s="137" t="s">
        <v>74</v>
      </c>
    </row>
    <row r="43028" spans="9:9" x14ac:dyDescent="0.2">
      <c r="I43028" s="137" t="s">
        <v>74</v>
      </c>
    </row>
    <row r="43029" spans="9:9" x14ac:dyDescent="0.2">
      <c r="I43029" s="137" t="s">
        <v>74</v>
      </c>
    </row>
    <row r="43030" spans="9:9" x14ac:dyDescent="0.2">
      <c r="I43030" s="137" t="s">
        <v>74</v>
      </c>
    </row>
    <row r="43031" spans="9:9" x14ac:dyDescent="0.2">
      <c r="I43031" s="137" t="s">
        <v>74</v>
      </c>
    </row>
    <row r="43032" spans="9:9" x14ac:dyDescent="0.2">
      <c r="I43032" s="137" t="s">
        <v>74</v>
      </c>
    </row>
    <row r="43033" spans="9:9" x14ac:dyDescent="0.2">
      <c r="I43033" s="137" t="s">
        <v>74</v>
      </c>
    </row>
    <row r="43034" spans="9:9" x14ac:dyDescent="0.2">
      <c r="I43034" s="137" t="s">
        <v>74</v>
      </c>
    </row>
    <row r="43035" spans="9:9" x14ac:dyDescent="0.2">
      <c r="I43035" s="137" t="s">
        <v>74</v>
      </c>
    </row>
    <row r="43036" spans="9:9" x14ac:dyDescent="0.2">
      <c r="I43036" s="137" t="s">
        <v>74</v>
      </c>
    </row>
    <row r="43037" spans="9:9" x14ac:dyDescent="0.2">
      <c r="I43037" s="137" t="s">
        <v>74</v>
      </c>
    </row>
    <row r="43038" spans="9:9" x14ac:dyDescent="0.2">
      <c r="I43038" s="137" t="s">
        <v>74</v>
      </c>
    </row>
    <row r="43039" spans="9:9" x14ac:dyDescent="0.2">
      <c r="I43039" s="137" t="s">
        <v>74</v>
      </c>
    </row>
    <row r="43040" spans="9:9" x14ac:dyDescent="0.2">
      <c r="I43040" s="137" t="s">
        <v>74</v>
      </c>
    </row>
    <row r="43041" spans="9:9" x14ac:dyDescent="0.2">
      <c r="I43041" s="137" t="s">
        <v>74</v>
      </c>
    </row>
    <row r="43042" spans="9:9" x14ac:dyDescent="0.2">
      <c r="I43042" s="137" t="s">
        <v>74</v>
      </c>
    </row>
    <row r="43043" spans="9:9" x14ac:dyDescent="0.2">
      <c r="I43043" s="137" t="s">
        <v>74</v>
      </c>
    </row>
    <row r="43044" spans="9:9" x14ac:dyDescent="0.2">
      <c r="I43044" s="137" t="s">
        <v>74</v>
      </c>
    </row>
    <row r="43045" spans="9:9" x14ac:dyDescent="0.2">
      <c r="I43045" s="137" t="s">
        <v>74</v>
      </c>
    </row>
    <row r="43046" spans="9:9" x14ac:dyDescent="0.2">
      <c r="I43046" s="137" t="s">
        <v>74</v>
      </c>
    </row>
    <row r="43047" spans="9:9" x14ac:dyDescent="0.2">
      <c r="I43047" s="137" t="s">
        <v>74</v>
      </c>
    </row>
    <row r="43048" spans="9:9" x14ac:dyDescent="0.2">
      <c r="I43048" s="137" t="s">
        <v>74</v>
      </c>
    </row>
    <row r="43049" spans="9:9" x14ac:dyDescent="0.2">
      <c r="I43049" s="137" t="s">
        <v>74</v>
      </c>
    </row>
    <row r="43050" spans="9:9" x14ac:dyDescent="0.2">
      <c r="I43050" s="137" t="s">
        <v>74</v>
      </c>
    </row>
    <row r="43051" spans="9:9" x14ac:dyDescent="0.2">
      <c r="I43051" s="137" t="s">
        <v>74</v>
      </c>
    </row>
    <row r="43052" spans="9:9" x14ac:dyDescent="0.2">
      <c r="I43052" s="137" t="s">
        <v>74</v>
      </c>
    </row>
    <row r="43053" spans="9:9" x14ac:dyDescent="0.2">
      <c r="I43053" s="137" t="s">
        <v>74</v>
      </c>
    </row>
    <row r="43054" spans="9:9" x14ac:dyDescent="0.2">
      <c r="I43054" s="137" t="s">
        <v>74</v>
      </c>
    </row>
    <row r="43055" spans="9:9" x14ac:dyDescent="0.2">
      <c r="I43055" s="137" t="s">
        <v>74</v>
      </c>
    </row>
    <row r="43056" spans="9:9" x14ac:dyDescent="0.2">
      <c r="I43056" s="137" t="s">
        <v>74</v>
      </c>
    </row>
    <row r="43057" spans="9:9" x14ac:dyDescent="0.2">
      <c r="I43057" s="137" t="s">
        <v>74</v>
      </c>
    </row>
    <row r="43058" spans="9:9" x14ac:dyDescent="0.2">
      <c r="I43058" s="137" t="s">
        <v>74</v>
      </c>
    </row>
    <row r="43059" spans="9:9" x14ac:dyDescent="0.2">
      <c r="I43059" s="137" t="s">
        <v>74</v>
      </c>
    </row>
    <row r="43060" spans="9:9" x14ac:dyDescent="0.2">
      <c r="I43060" s="137" t="s">
        <v>74</v>
      </c>
    </row>
    <row r="43061" spans="9:9" x14ac:dyDescent="0.2">
      <c r="I43061" s="137" t="s">
        <v>74</v>
      </c>
    </row>
    <row r="43062" spans="9:9" x14ac:dyDescent="0.2">
      <c r="I43062" s="137" t="s">
        <v>74</v>
      </c>
    </row>
    <row r="43063" spans="9:9" x14ac:dyDescent="0.2">
      <c r="I43063" s="137" t="s">
        <v>74</v>
      </c>
    </row>
    <row r="43064" spans="9:9" x14ac:dyDescent="0.2">
      <c r="I43064" s="137" t="s">
        <v>74</v>
      </c>
    </row>
    <row r="43065" spans="9:9" x14ac:dyDescent="0.2">
      <c r="I43065" s="137" t="s">
        <v>74</v>
      </c>
    </row>
    <row r="43066" spans="9:9" x14ac:dyDescent="0.2">
      <c r="I43066" s="137" t="s">
        <v>74</v>
      </c>
    </row>
    <row r="43067" spans="9:9" x14ac:dyDescent="0.2">
      <c r="I43067" s="137" t="s">
        <v>74</v>
      </c>
    </row>
    <row r="43068" spans="9:9" x14ac:dyDescent="0.2">
      <c r="I43068" s="137" t="s">
        <v>74</v>
      </c>
    </row>
    <row r="43069" spans="9:9" x14ac:dyDescent="0.2">
      <c r="I43069" s="137" t="s">
        <v>74</v>
      </c>
    </row>
    <row r="43070" spans="9:9" x14ac:dyDescent="0.2">
      <c r="I43070" s="137" t="s">
        <v>74</v>
      </c>
    </row>
    <row r="43071" spans="9:9" x14ac:dyDescent="0.2">
      <c r="I43071" s="137" t="s">
        <v>74</v>
      </c>
    </row>
    <row r="43072" spans="9:9" x14ac:dyDescent="0.2">
      <c r="I43072" s="137" t="s">
        <v>74</v>
      </c>
    </row>
    <row r="43073" spans="9:9" x14ac:dyDescent="0.2">
      <c r="I43073" s="137" t="s">
        <v>74</v>
      </c>
    </row>
    <row r="43074" spans="9:9" x14ac:dyDescent="0.2">
      <c r="I43074" s="137" t="s">
        <v>74</v>
      </c>
    </row>
    <row r="43075" spans="9:9" x14ac:dyDescent="0.2">
      <c r="I43075" s="137" t="s">
        <v>74</v>
      </c>
    </row>
    <row r="43076" spans="9:9" x14ac:dyDescent="0.2">
      <c r="I43076" s="137" t="s">
        <v>74</v>
      </c>
    </row>
    <row r="43077" spans="9:9" x14ac:dyDescent="0.2">
      <c r="I43077" s="137" t="s">
        <v>74</v>
      </c>
    </row>
    <row r="43078" spans="9:9" x14ac:dyDescent="0.2">
      <c r="I43078" s="137" t="s">
        <v>74</v>
      </c>
    </row>
    <row r="43079" spans="9:9" x14ac:dyDescent="0.2">
      <c r="I43079" s="137" t="s">
        <v>74</v>
      </c>
    </row>
    <row r="43080" spans="9:9" x14ac:dyDescent="0.2">
      <c r="I43080" s="137" t="s">
        <v>74</v>
      </c>
    </row>
    <row r="43081" spans="9:9" x14ac:dyDescent="0.2">
      <c r="I43081" s="137" t="s">
        <v>74</v>
      </c>
    </row>
    <row r="43082" spans="9:9" x14ac:dyDescent="0.2">
      <c r="I43082" s="137" t="s">
        <v>74</v>
      </c>
    </row>
    <row r="43083" spans="9:9" x14ac:dyDescent="0.2">
      <c r="I43083" s="137" t="s">
        <v>74</v>
      </c>
    </row>
    <row r="43084" spans="9:9" x14ac:dyDescent="0.2">
      <c r="I43084" s="137" t="s">
        <v>74</v>
      </c>
    </row>
    <row r="43085" spans="9:9" x14ac:dyDescent="0.2">
      <c r="I43085" s="137" t="s">
        <v>74</v>
      </c>
    </row>
    <row r="43086" spans="9:9" x14ac:dyDescent="0.2">
      <c r="I43086" s="137" t="s">
        <v>74</v>
      </c>
    </row>
    <row r="43087" spans="9:9" x14ac:dyDescent="0.2">
      <c r="I43087" s="137" t="s">
        <v>74</v>
      </c>
    </row>
    <row r="43088" spans="9:9" x14ac:dyDescent="0.2">
      <c r="I43088" s="137" t="s">
        <v>74</v>
      </c>
    </row>
    <row r="43089" spans="9:9" x14ac:dyDescent="0.2">
      <c r="I43089" s="137" t="s">
        <v>74</v>
      </c>
    </row>
    <row r="43090" spans="9:9" x14ac:dyDescent="0.2">
      <c r="I43090" s="137" t="s">
        <v>74</v>
      </c>
    </row>
    <row r="43091" spans="9:9" x14ac:dyDescent="0.2">
      <c r="I43091" s="137" t="s">
        <v>74</v>
      </c>
    </row>
    <row r="43092" spans="9:9" x14ac:dyDescent="0.2">
      <c r="I43092" s="137" t="s">
        <v>74</v>
      </c>
    </row>
    <row r="43093" spans="9:9" x14ac:dyDescent="0.2">
      <c r="I43093" s="137" t="s">
        <v>74</v>
      </c>
    </row>
    <row r="43094" spans="9:9" x14ac:dyDescent="0.2">
      <c r="I43094" s="137" t="s">
        <v>74</v>
      </c>
    </row>
    <row r="43095" spans="9:9" x14ac:dyDescent="0.2">
      <c r="I43095" s="137" t="s">
        <v>74</v>
      </c>
    </row>
    <row r="43096" spans="9:9" x14ac:dyDescent="0.2">
      <c r="I43096" s="137" t="s">
        <v>74</v>
      </c>
    </row>
    <row r="43097" spans="9:9" x14ac:dyDescent="0.2">
      <c r="I43097" s="137" t="s">
        <v>74</v>
      </c>
    </row>
    <row r="43098" spans="9:9" x14ac:dyDescent="0.2">
      <c r="I43098" s="137" t="s">
        <v>74</v>
      </c>
    </row>
    <row r="43099" spans="9:9" x14ac:dyDescent="0.2">
      <c r="I43099" s="137" t="s">
        <v>74</v>
      </c>
    </row>
    <row r="43100" spans="9:9" x14ac:dyDescent="0.2">
      <c r="I43100" s="137" t="s">
        <v>74</v>
      </c>
    </row>
    <row r="43101" spans="9:9" x14ac:dyDescent="0.2">
      <c r="I43101" s="137" t="s">
        <v>74</v>
      </c>
    </row>
    <row r="43102" spans="9:9" x14ac:dyDescent="0.2">
      <c r="I43102" s="137" t="s">
        <v>74</v>
      </c>
    </row>
    <row r="43103" spans="9:9" x14ac:dyDescent="0.2">
      <c r="I43103" s="137" t="s">
        <v>74</v>
      </c>
    </row>
    <row r="43104" spans="9:9" x14ac:dyDescent="0.2">
      <c r="I43104" s="137" t="s">
        <v>74</v>
      </c>
    </row>
    <row r="43105" spans="9:9" x14ac:dyDescent="0.2">
      <c r="I43105" s="137" t="s">
        <v>74</v>
      </c>
    </row>
    <row r="43106" spans="9:9" x14ac:dyDescent="0.2">
      <c r="I43106" s="137" t="s">
        <v>74</v>
      </c>
    </row>
    <row r="43107" spans="9:9" x14ac:dyDescent="0.2">
      <c r="I43107" s="137" t="s">
        <v>74</v>
      </c>
    </row>
    <row r="43108" spans="9:9" x14ac:dyDescent="0.2">
      <c r="I43108" s="137" t="s">
        <v>74</v>
      </c>
    </row>
    <row r="43109" spans="9:9" x14ac:dyDescent="0.2">
      <c r="I43109" s="137" t="s">
        <v>74</v>
      </c>
    </row>
    <row r="43110" spans="9:9" x14ac:dyDescent="0.2">
      <c r="I43110" s="137" t="s">
        <v>74</v>
      </c>
    </row>
    <row r="43111" spans="9:9" x14ac:dyDescent="0.2">
      <c r="I43111" s="137" t="s">
        <v>74</v>
      </c>
    </row>
    <row r="43112" spans="9:9" x14ac:dyDescent="0.2">
      <c r="I43112" s="137" t="s">
        <v>74</v>
      </c>
    </row>
    <row r="43113" spans="9:9" x14ac:dyDescent="0.2">
      <c r="I43113" s="137" t="s">
        <v>74</v>
      </c>
    </row>
    <row r="43114" spans="9:9" x14ac:dyDescent="0.2">
      <c r="I43114" s="137" t="s">
        <v>74</v>
      </c>
    </row>
    <row r="43115" spans="9:9" x14ac:dyDescent="0.2">
      <c r="I43115" s="137" t="s">
        <v>74</v>
      </c>
    </row>
    <row r="43116" spans="9:9" x14ac:dyDescent="0.2">
      <c r="I43116" s="137" t="s">
        <v>74</v>
      </c>
    </row>
    <row r="43117" spans="9:9" x14ac:dyDescent="0.2">
      <c r="I43117" s="137" t="s">
        <v>74</v>
      </c>
    </row>
    <row r="43118" spans="9:9" x14ac:dyDescent="0.2">
      <c r="I43118" s="137" t="s">
        <v>74</v>
      </c>
    </row>
    <row r="43119" spans="9:9" x14ac:dyDescent="0.2">
      <c r="I43119" s="137" t="s">
        <v>74</v>
      </c>
    </row>
    <row r="43120" spans="9:9" x14ac:dyDescent="0.2">
      <c r="I43120" s="137" t="s">
        <v>74</v>
      </c>
    </row>
    <row r="43121" spans="9:9" x14ac:dyDescent="0.2">
      <c r="I43121" s="137" t="s">
        <v>74</v>
      </c>
    </row>
    <row r="43122" spans="9:9" x14ac:dyDescent="0.2">
      <c r="I43122" s="137" t="s">
        <v>74</v>
      </c>
    </row>
    <row r="43123" spans="9:9" x14ac:dyDescent="0.2">
      <c r="I43123" s="137" t="s">
        <v>74</v>
      </c>
    </row>
    <row r="43124" spans="9:9" x14ac:dyDescent="0.2">
      <c r="I43124" s="137" t="s">
        <v>74</v>
      </c>
    </row>
    <row r="43125" spans="9:9" x14ac:dyDescent="0.2">
      <c r="I43125" s="137" t="s">
        <v>74</v>
      </c>
    </row>
    <row r="43126" spans="9:9" x14ac:dyDescent="0.2">
      <c r="I43126" s="137" t="s">
        <v>74</v>
      </c>
    </row>
    <row r="43127" spans="9:9" x14ac:dyDescent="0.2">
      <c r="I43127" s="137" t="s">
        <v>74</v>
      </c>
    </row>
    <row r="43128" spans="9:9" x14ac:dyDescent="0.2">
      <c r="I43128" s="137" t="s">
        <v>74</v>
      </c>
    </row>
    <row r="43129" spans="9:9" x14ac:dyDescent="0.2">
      <c r="I43129" s="137" t="s">
        <v>74</v>
      </c>
    </row>
    <row r="43130" spans="9:9" x14ac:dyDescent="0.2">
      <c r="I43130" s="137" t="s">
        <v>74</v>
      </c>
    </row>
    <row r="43131" spans="9:9" x14ac:dyDescent="0.2">
      <c r="I43131" s="137" t="s">
        <v>74</v>
      </c>
    </row>
    <row r="43132" spans="9:9" x14ac:dyDescent="0.2">
      <c r="I43132" s="137" t="s">
        <v>74</v>
      </c>
    </row>
    <row r="43133" spans="9:9" x14ac:dyDescent="0.2">
      <c r="I43133" s="137" t="s">
        <v>74</v>
      </c>
    </row>
    <row r="43134" spans="9:9" x14ac:dyDescent="0.2">
      <c r="I43134" s="137" t="s">
        <v>74</v>
      </c>
    </row>
    <row r="43135" spans="9:9" x14ac:dyDescent="0.2">
      <c r="I43135" s="137" t="s">
        <v>74</v>
      </c>
    </row>
    <row r="43136" spans="9:9" x14ac:dyDescent="0.2">
      <c r="I43136" s="137" t="s">
        <v>74</v>
      </c>
    </row>
    <row r="43137" spans="9:9" x14ac:dyDescent="0.2">
      <c r="I43137" s="137" t="s">
        <v>74</v>
      </c>
    </row>
    <row r="43138" spans="9:9" x14ac:dyDescent="0.2">
      <c r="I43138" s="137" t="s">
        <v>74</v>
      </c>
    </row>
    <row r="43139" spans="9:9" x14ac:dyDescent="0.2">
      <c r="I43139" s="137" t="s">
        <v>74</v>
      </c>
    </row>
    <row r="43140" spans="9:9" x14ac:dyDescent="0.2">
      <c r="I43140" s="137" t="s">
        <v>74</v>
      </c>
    </row>
    <row r="43141" spans="9:9" x14ac:dyDescent="0.2">
      <c r="I43141" s="137" t="s">
        <v>74</v>
      </c>
    </row>
    <row r="43142" spans="9:9" x14ac:dyDescent="0.2">
      <c r="I43142" s="137" t="s">
        <v>74</v>
      </c>
    </row>
    <row r="43143" spans="9:9" x14ac:dyDescent="0.2">
      <c r="I43143" s="137" t="s">
        <v>74</v>
      </c>
    </row>
    <row r="43144" spans="9:9" x14ac:dyDescent="0.2">
      <c r="I43144" s="137" t="s">
        <v>74</v>
      </c>
    </row>
    <row r="43145" spans="9:9" x14ac:dyDescent="0.2">
      <c r="I43145" s="137" t="s">
        <v>74</v>
      </c>
    </row>
    <row r="43146" spans="9:9" x14ac:dyDescent="0.2">
      <c r="I43146" s="137" t="s">
        <v>74</v>
      </c>
    </row>
    <row r="43147" spans="9:9" x14ac:dyDescent="0.2">
      <c r="I43147" s="137" t="s">
        <v>74</v>
      </c>
    </row>
    <row r="43148" spans="9:9" x14ac:dyDescent="0.2">
      <c r="I43148" s="137" t="s">
        <v>74</v>
      </c>
    </row>
    <row r="43149" spans="9:9" x14ac:dyDescent="0.2">
      <c r="I43149" s="137" t="s">
        <v>74</v>
      </c>
    </row>
    <row r="43150" spans="9:9" x14ac:dyDescent="0.2">
      <c r="I43150" s="137" t="s">
        <v>74</v>
      </c>
    </row>
    <row r="43151" spans="9:9" x14ac:dyDescent="0.2">
      <c r="I43151" s="137" t="s">
        <v>74</v>
      </c>
    </row>
    <row r="43152" spans="9:9" x14ac:dyDescent="0.2">
      <c r="I43152" s="137" t="s">
        <v>74</v>
      </c>
    </row>
    <row r="43153" spans="9:9" x14ac:dyDescent="0.2">
      <c r="I43153" s="137" t="s">
        <v>74</v>
      </c>
    </row>
    <row r="43154" spans="9:9" x14ac:dyDescent="0.2">
      <c r="I43154" s="137" t="s">
        <v>74</v>
      </c>
    </row>
    <row r="43155" spans="9:9" x14ac:dyDescent="0.2">
      <c r="I43155" s="137" t="s">
        <v>74</v>
      </c>
    </row>
    <row r="43156" spans="9:9" x14ac:dyDescent="0.2">
      <c r="I43156" s="137" t="s">
        <v>74</v>
      </c>
    </row>
    <row r="43157" spans="9:9" x14ac:dyDescent="0.2">
      <c r="I43157" s="137" t="s">
        <v>74</v>
      </c>
    </row>
    <row r="43158" spans="9:9" x14ac:dyDescent="0.2">
      <c r="I43158" s="137" t="s">
        <v>74</v>
      </c>
    </row>
    <row r="43159" spans="9:9" x14ac:dyDescent="0.2">
      <c r="I43159" s="137" t="s">
        <v>74</v>
      </c>
    </row>
    <row r="43160" spans="9:9" x14ac:dyDescent="0.2">
      <c r="I43160" s="137" t="s">
        <v>74</v>
      </c>
    </row>
    <row r="43161" spans="9:9" x14ac:dyDescent="0.2">
      <c r="I43161" s="137" t="s">
        <v>74</v>
      </c>
    </row>
    <row r="43162" spans="9:9" x14ac:dyDescent="0.2">
      <c r="I43162" s="137" t="s">
        <v>74</v>
      </c>
    </row>
    <row r="43163" spans="9:9" x14ac:dyDescent="0.2">
      <c r="I43163" s="137" t="s">
        <v>74</v>
      </c>
    </row>
    <row r="43164" spans="9:9" x14ac:dyDescent="0.2">
      <c r="I43164" s="137" t="s">
        <v>74</v>
      </c>
    </row>
    <row r="43165" spans="9:9" x14ac:dyDescent="0.2">
      <c r="I43165" s="137" t="s">
        <v>74</v>
      </c>
    </row>
    <row r="43166" spans="9:9" x14ac:dyDescent="0.2">
      <c r="I43166" s="137" t="s">
        <v>74</v>
      </c>
    </row>
    <row r="43167" spans="9:9" x14ac:dyDescent="0.2">
      <c r="I43167" s="137" t="s">
        <v>74</v>
      </c>
    </row>
    <row r="43168" spans="9:9" x14ac:dyDescent="0.2">
      <c r="I43168" s="137" t="s">
        <v>74</v>
      </c>
    </row>
    <row r="43169" spans="9:9" x14ac:dyDescent="0.2">
      <c r="I43169" s="137" t="s">
        <v>74</v>
      </c>
    </row>
    <row r="43170" spans="9:9" x14ac:dyDescent="0.2">
      <c r="I43170" s="137" t="s">
        <v>74</v>
      </c>
    </row>
    <row r="43171" spans="9:9" x14ac:dyDescent="0.2">
      <c r="I43171" s="137" t="s">
        <v>74</v>
      </c>
    </row>
    <row r="43172" spans="9:9" x14ac:dyDescent="0.2">
      <c r="I43172" s="137" t="s">
        <v>74</v>
      </c>
    </row>
    <row r="43173" spans="9:9" x14ac:dyDescent="0.2">
      <c r="I43173" s="137" t="s">
        <v>74</v>
      </c>
    </row>
    <row r="43174" spans="9:9" x14ac:dyDescent="0.2">
      <c r="I43174" s="137" t="s">
        <v>74</v>
      </c>
    </row>
    <row r="43175" spans="9:9" x14ac:dyDescent="0.2">
      <c r="I43175" s="137" t="s">
        <v>74</v>
      </c>
    </row>
    <row r="43176" spans="9:9" x14ac:dyDescent="0.2">
      <c r="I43176" s="137" t="s">
        <v>74</v>
      </c>
    </row>
    <row r="43177" spans="9:9" x14ac:dyDescent="0.2">
      <c r="I43177" s="137" t="s">
        <v>74</v>
      </c>
    </row>
    <row r="43178" spans="9:9" x14ac:dyDescent="0.2">
      <c r="I43178" s="137" t="s">
        <v>74</v>
      </c>
    </row>
    <row r="43179" spans="9:9" x14ac:dyDescent="0.2">
      <c r="I43179" s="137" t="s">
        <v>74</v>
      </c>
    </row>
    <row r="43180" spans="9:9" x14ac:dyDescent="0.2">
      <c r="I43180" s="137" t="s">
        <v>74</v>
      </c>
    </row>
    <row r="43181" spans="9:9" x14ac:dyDescent="0.2">
      <c r="I43181" s="137" t="s">
        <v>74</v>
      </c>
    </row>
    <row r="43182" spans="9:9" x14ac:dyDescent="0.2">
      <c r="I43182" s="137" t="s">
        <v>74</v>
      </c>
    </row>
    <row r="43183" spans="9:9" x14ac:dyDescent="0.2">
      <c r="I43183" s="137" t="s">
        <v>74</v>
      </c>
    </row>
    <row r="43184" spans="9:9" x14ac:dyDescent="0.2">
      <c r="I43184" s="137" t="s">
        <v>74</v>
      </c>
    </row>
    <row r="43185" spans="9:9" x14ac:dyDescent="0.2">
      <c r="I43185" s="137" t="s">
        <v>74</v>
      </c>
    </row>
    <row r="43186" spans="9:9" x14ac:dyDescent="0.2">
      <c r="I43186" s="137" t="s">
        <v>74</v>
      </c>
    </row>
    <row r="43187" spans="9:9" x14ac:dyDescent="0.2">
      <c r="I43187" s="137" t="s">
        <v>74</v>
      </c>
    </row>
    <row r="43188" spans="9:9" x14ac:dyDescent="0.2">
      <c r="I43188" s="137" t="s">
        <v>74</v>
      </c>
    </row>
    <row r="43189" spans="9:9" x14ac:dyDescent="0.2">
      <c r="I43189" s="137" t="s">
        <v>74</v>
      </c>
    </row>
    <row r="43190" spans="9:9" x14ac:dyDescent="0.2">
      <c r="I43190" s="137" t="s">
        <v>74</v>
      </c>
    </row>
    <row r="43191" spans="9:9" x14ac:dyDescent="0.2">
      <c r="I43191" s="137" t="s">
        <v>74</v>
      </c>
    </row>
    <row r="43192" spans="9:9" x14ac:dyDescent="0.2">
      <c r="I43192" s="137" t="s">
        <v>74</v>
      </c>
    </row>
    <row r="43193" spans="9:9" x14ac:dyDescent="0.2">
      <c r="I43193" s="137" t="s">
        <v>74</v>
      </c>
    </row>
    <row r="43194" spans="9:9" x14ac:dyDescent="0.2">
      <c r="I43194" s="137" t="s">
        <v>74</v>
      </c>
    </row>
    <row r="43195" spans="9:9" x14ac:dyDescent="0.2">
      <c r="I43195" s="137" t="s">
        <v>74</v>
      </c>
    </row>
    <row r="43196" spans="9:9" x14ac:dyDescent="0.2">
      <c r="I43196" s="137" t="s">
        <v>74</v>
      </c>
    </row>
    <row r="43197" spans="9:9" x14ac:dyDescent="0.2">
      <c r="I43197" s="137" t="s">
        <v>74</v>
      </c>
    </row>
    <row r="43198" spans="9:9" x14ac:dyDescent="0.2">
      <c r="I43198" s="137" t="s">
        <v>74</v>
      </c>
    </row>
    <row r="43199" spans="9:9" x14ac:dyDescent="0.2">
      <c r="I43199" s="137" t="s">
        <v>74</v>
      </c>
    </row>
    <row r="43200" spans="9:9" x14ac:dyDescent="0.2">
      <c r="I43200" s="137" t="s">
        <v>74</v>
      </c>
    </row>
    <row r="43201" spans="9:9" x14ac:dyDescent="0.2">
      <c r="I43201" s="137" t="s">
        <v>74</v>
      </c>
    </row>
    <row r="43202" spans="9:9" x14ac:dyDescent="0.2">
      <c r="I43202" s="137" t="s">
        <v>74</v>
      </c>
    </row>
    <row r="43203" spans="9:9" x14ac:dyDescent="0.2">
      <c r="I43203" s="137" t="s">
        <v>74</v>
      </c>
    </row>
    <row r="43204" spans="9:9" x14ac:dyDescent="0.2">
      <c r="I43204" s="137" t="s">
        <v>74</v>
      </c>
    </row>
    <row r="43205" spans="9:9" x14ac:dyDescent="0.2">
      <c r="I43205" s="137" t="s">
        <v>74</v>
      </c>
    </row>
    <row r="43206" spans="9:9" x14ac:dyDescent="0.2">
      <c r="I43206" s="137" t="s">
        <v>74</v>
      </c>
    </row>
    <row r="43207" spans="9:9" x14ac:dyDescent="0.2">
      <c r="I43207" s="137" t="s">
        <v>74</v>
      </c>
    </row>
    <row r="43208" spans="9:9" x14ac:dyDescent="0.2">
      <c r="I43208" s="137" t="s">
        <v>74</v>
      </c>
    </row>
    <row r="43209" spans="9:9" x14ac:dyDescent="0.2">
      <c r="I43209" s="137" t="s">
        <v>74</v>
      </c>
    </row>
    <row r="43210" spans="9:9" x14ac:dyDescent="0.2">
      <c r="I43210" s="137" t="s">
        <v>74</v>
      </c>
    </row>
    <row r="43211" spans="9:9" x14ac:dyDescent="0.2">
      <c r="I43211" s="137" t="s">
        <v>74</v>
      </c>
    </row>
    <row r="43212" spans="9:9" x14ac:dyDescent="0.2">
      <c r="I43212" s="137" t="s">
        <v>74</v>
      </c>
    </row>
    <row r="43213" spans="9:9" x14ac:dyDescent="0.2">
      <c r="I43213" s="137" t="s">
        <v>74</v>
      </c>
    </row>
    <row r="43214" spans="9:9" x14ac:dyDescent="0.2">
      <c r="I43214" s="137" t="s">
        <v>74</v>
      </c>
    </row>
    <row r="43215" spans="9:9" x14ac:dyDescent="0.2">
      <c r="I43215" s="137" t="s">
        <v>74</v>
      </c>
    </row>
    <row r="43216" spans="9:9" x14ac:dyDescent="0.2">
      <c r="I43216" s="137" t="s">
        <v>74</v>
      </c>
    </row>
    <row r="43217" spans="9:9" x14ac:dyDescent="0.2">
      <c r="I43217" s="137" t="s">
        <v>74</v>
      </c>
    </row>
    <row r="43218" spans="9:9" x14ac:dyDescent="0.2">
      <c r="I43218" s="137" t="s">
        <v>74</v>
      </c>
    </row>
    <row r="43219" spans="9:9" x14ac:dyDescent="0.2">
      <c r="I43219" s="137" t="s">
        <v>74</v>
      </c>
    </row>
    <row r="43220" spans="9:9" x14ac:dyDescent="0.2">
      <c r="I43220" s="137" t="s">
        <v>74</v>
      </c>
    </row>
    <row r="43221" spans="9:9" x14ac:dyDescent="0.2">
      <c r="I43221" s="137" t="s">
        <v>74</v>
      </c>
    </row>
    <row r="43222" spans="9:9" x14ac:dyDescent="0.2">
      <c r="I43222" s="137" t="s">
        <v>74</v>
      </c>
    </row>
    <row r="43223" spans="9:9" x14ac:dyDescent="0.2">
      <c r="I43223" s="137" t="s">
        <v>74</v>
      </c>
    </row>
    <row r="43224" spans="9:9" x14ac:dyDescent="0.2">
      <c r="I43224" s="137" t="s">
        <v>74</v>
      </c>
    </row>
    <row r="43225" spans="9:9" x14ac:dyDescent="0.2">
      <c r="I43225" s="137" t="s">
        <v>74</v>
      </c>
    </row>
    <row r="43226" spans="9:9" x14ac:dyDescent="0.2">
      <c r="I43226" s="137" t="s">
        <v>74</v>
      </c>
    </row>
    <row r="43227" spans="9:9" x14ac:dyDescent="0.2">
      <c r="I43227" s="137" t="s">
        <v>74</v>
      </c>
    </row>
    <row r="43228" spans="9:9" x14ac:dyDescent="0.2">
      <c r="I43228" s="137" t="s">
        <v>74</v>
      </c>
    </row>
    <row r="43229" spans="9:9" x14ac:dyDescent="0.2">
      <c r="I43229" s="137" t="s">
        <v>74</v>
      </c>
    </row>
    <row r="43230" spans="9:9" x14ac:dyDescent="0.2">
      <c r="I43230" s="137" t="s">
        <v>74</v>
      </c>
    </row>
    <row r="43231" spans="9:9" x14ac:dyDescent="0.2">
      <c r="I43231" s="137" t="s">
        <v>74</v>
      </c>
    </row>
    <row r="43232" spans="9:9" x14ac:dyDescent="0.2">
      <c r="I43232" s="137" t="s">
        <v>74</v>
      </c>
    </row>
    <row r="43233" spans="9:9" x14ac:dyDescent="0.2">
      <c r="I43233" s="137" t="s">
        <v>74</v>
      </c>
    </row>
    <row r="43234" spans="9:9" x14ac:dyDescent="0.2">
      <c r="I43234" s="137" t="s">
        <v>74</v>
      </c>
    </row>
    <row r="43235" spans="9:9" x14ac:dyDescent="0.2">
      <c r="I43235" s="137" t="s">
        <v>74</v>
      </c>
    </row>
    <row r="43236" spans="9:9" x14ac:dyDescent="0.2">
      <c r="I43236" s="137" t="s">
        <v>74</v>
      </c>
    </row>
    <row r="43237" spans="9:9" x14ac:dyDescent="0.2">
      <c r="I43237" s="137" t="s">
        <v>74</v>
      </c>
    </row>
    <row r="43238" spans="9:9" x14ac:dyDescent="0.2">
      <c r="I43238" s="137" t="s">
        <v>74</v>
      </c>
    </row>
    <row r="43239" spans="9:9" x14ac:dyDescent="0.2">
      <c r="I43239" s="137" t="s">
        <v>74</v>
      </c>
    </row>
    <row r="43240" spans="9:9" x14ac:dyDescent="0.2">
      <c r="I43240" s="137" t="s">
        <v>74</v>
      </c>
    </row>
    <row r="43241" spans="9:9" x14ac:dyDescent="0.2">
      <c r="I43241" s="137" t="s">
        <v>74</v>
      </c>
    </row>
    <row r="43242" spans="9:9" x14ac:dyDescent="0.2">
      <c r="I43242" s="137" t="s">
        <v>74</v>
      </c>
    </row>
    <row r="43243" spans="9:9" x14ac:dyDescent="0.2">
      <c r="I43243" s="137" t="s">
        <v>74</v>
      </c>
    </row>
    <row r="43244" spans="9:9" x14ac:dyDescent="0.2">
      <c r="I43244" s="137" t="s">
        <v>74</v>
      </c>
    </row>
    <row r="43245" spans="9:9" x14ac:dyDescent="0.2">
      <c r="I43245" s="137" t="s">
        <v>74</v>
      </c>
    </row>
    <row r="43246" spans="9:9" x14ac:dyDescent="0.2">
      <c r="I43246" s="137" t="s">
        <v>74</v>
      </c>
    </row>
    <row r="43247" spans="9:9" x14ac:dyDescent="0.2">
      <c r="I43247" s="137" t="s">
        <v>74</v>
      </c>
    </row>
    <row r="43248" spans="9:9" x14ac:dyDescent="0.2">
      <c r="I43248" s="137" t="s">
        <v>74</v>
      </c>
    </row>
    <row r="43249" spans="9:9" x14ac:dyDescent="0.2">
      <c r="I43249" s="137" t="s">
        <v>74</v>
      </c>
    </row>
    <row r="43250" spans="9:9" x14ac:dyDescent="0.2">
      <c r="I43250" s="137" t="s">
        <v>74</v>
      </c>
    </row>
    <row r="43251" spans="9:9" x14ac:dyDescent="0.2">
      <c r="I43251" s="137" t="s">
        <v>74</v>
      </c>
    </row>
    <row r="43252" spans="9:9" x14ac:dyDescent="0.2">
      <c r="I43252" s="137" t="s">
        <v>74</v>
      </c>
    </row>
    <row r="43253" spans="9:9" x14ac:dyDescent="0.2">
      <c r="I43253" s="137" t="s">
        <v>74</v>
      </c>
    </row>
    <row r="43254" spans="9:9" x14ac:dyDescent="0.2">
      <c r="I43254" s="137" t="s">
        <v>74</v>
      </c>
    </row>
    <row r="43255" spans="9:9" x14ac:dyDescent="0.2">
      <c r="I43255" s="137" t="s">
        <v>74</v>
      </c>
    </row>
    <row r="43256" spans="9:9" x14ac:dyDescent="0.2">
      <c r="I43256" s="137" t="s">
        <v>74</v>
      </c>
    </row>
    <row r="43257" spans="9:9" x14ac:dyDescent="0.2">
      <c r="I43257" s="137" t="s">
        <v>74</v>
      </c>
    </row>
    <row r="43258" spans="9:9" x14ac:dyDescent="0.2">
      <c r="I43258" s="137" t="s">
        <v>74</v>
      </c>
    </row>
    <row r="43259" spans="9:9" x14ac:dyDescent="0.2">
      <c r="I43259" s="137" t="s">
        <v>74</v>
      </c>
    </row>
    <row r="43260" spans="9:9" x14ac:dyDescent="0.2">
      <c r="I43260" s="137" t="s">
        <v>74</v>
      </c>
    </row>
    <row r="43261" spans="9:9" x14ac:dyDescent="0.2">
      <c r="I43261" s="137" t="s">
        <v>74</v>
      </c>
    </row>
    <row r="43262" spans="9:9" x14ac:dyDescent="0.2">
      <c r="I43262" s="137" t="s">
        <v>74</v>
      </c>
    </row>
    <row r="43263" spans="9:9" x14ac:dyDescent="0.2">
      <c r="I43263" s="137" t="s">
        <v>74</v>
      </c>
    </row>
    <row r="43264" spans="9:9" x14ac:dyDescent="0.2">
      <c r="I43264" s="137" t="s">
        <v>74</v>
      </c>
    </row>
    <row r="43265" spans="9:9" x14ac:dyDescent="0.2">
      <c r="I43265" s="137" t="s">
        <v>74</v>
      </c>
    </row>
    <row r="43266" spans="9:9" x14ac:dyDescent="0.2">
      <c r="I43266" s="137" t="s">
        <v>74</v>
      </c>
    </row>
    <row r="43267" spans="9:9" x14ac:dyDescent="0.2">
      <c r="I43267" s="137" t="s">
        <v>74</v>
      </c>
    </row>
    <row r="43268" spans="9:9" x14ac:dyDescent="0.2">
      <c r="I43268" s="137" t="s">
        <v>74</v>
      </c>
    </row>
    <row r="43269" spans="9:9" x14ac:dyDescent="0.2">
      <c r="I43269" s="137" t="s">
        <v>74</v>
      </c>
    </row>
    <row r="43270" spans="9:9" x14ac:dyDescent="0.2">
      <c r="I43270" s="137" t="s">
        <v>74</v>
      </c>
    </row>
    <row r="43271" spans="9:9" x14ac:dyDescent="0.2">
      <c r="I43271" s="137" t="s">
        <v>74</v>
      </c>
    </row>
    <row r="43272" spans="9:9" x14ac:dyDescent="0.2">
      <c r="I43272" s="137" t="s">
        <v>74</v>
      </c>
    </row>
    <row r="43273" spans="9:9" x14ac:dyDescent="0.2">
      <c r="I43273" s="137" t="s">
        <v>74</v>
      </c>
    </row>
    <row r="43274" spans="9:9" x14ac:dyDescent="0.2">
      <c r="I43274" s="137" t="s">
        <v>74</v>
      </c>
    </row>
    <row r="43275" spans="9:9" x14ac:dyDescent="0.2">
      <c r="I43275" s="137" t="s">
        <v>74</v>
      </c>
    </row>
    <row r="43276" spans="9:9" x14ac:dyDescent="0.2">
      <c r="I43276" s="137" t="s">
        <v>74</v>
      </c>
    </row>
    <row r="43277" spans="9:9" x14ac:dyDescent="0.2">
      <c r="I43277" s="137" t="s">
        <v>74</v>
      </c>
    </row>
    <row r="43278" spans="9:9" x14ac:dyDescent="0.2">
      <c r="I43278" s="137" t="s">
        <v>74</v>
      </c>
    </row>
    <row r="43279" spans="9:9" x14ac:dyDescent="0.2">
      <c r="I43279" s="137" t="s">
        <v>74</v>
      </c>
    </row>
    <row r="43280" spans="9:9" x14ac:dyDescent="0.2">
      <c r="I43280" s="137" t="s">
        <v>74</v>
      </c>
    </row>
    <row r="43281" spans="9:9" x14ac:dyDescent="0.2">
      <c r="I43281" s="137" t="s">
        <v>74</v>
      </c>
    </row>
    <row r="43282" spans="9:9" x14ac:dyDescent="0.2">
      <c r="I43282" s="137" t="s">
        <v>74</v>
      </c>
    </row>
    <row r="43283" spans="9:9" x14ac:dyDescent="0.2">
      <c r="I43283" s="137" t="s">
        <v>74</v>
      </c>
    </row>
    <row r="43284" spans="9:9" x14ac:dyDescent="0.2">
      <c r="I43284" s="137" t="s">
        <v>74</v>
      </c>
    </row>
    <row r="43285" spans="9:9" x14ac:dyDescent="0.2">
      <c r="I43285" s="137" t="s">
        <v>74</v>
      </c>
    </row>
    <row r="43286" spans="9:9" x14ac:dyDescent="0.2">
      <c r="I43286" s="137" t="s">
        <v>74</v>
      </c>
    </row>
    <row r="43287" spans="9:9" x14ac:dyDescent="0.2">
      <c r="I43287" s="137" t="s">
        <v>74</v>
      </c>
    </row>
    <row r="43288" spans="9:9" x14ac:dyDescent="0.2">
      <c r="I43288" s="137" t="s">
        <v>74</v>
      </c>
    </row>
    <row r="43289" spans="9:9" x14ac:dyDescent="0.2">
      <c r="I43289" s="137" t="s">
        <v>74</v>
      </c>
    </row>
    <row r="43290" spans="9:9" x14ac:dyDescent="0.2">
      <c r="I43290" s="137" t="s">
        <v>74</v>
      </c>
    </row>
    <row r="43291" spans="9:9" x14ac:dyDescent="0.2">
      <c r="I43291" s="137" t="s">
        <v>74</v>
      </c>
    </row>
    <row r="43292" spans="9:9" x14ac:dyDescent="0.2">
      <c r="I43292" s="137" t="s">
        <v>74</v>
      </c>
    </row>
    <row r="43293" spans="9:9" x14ac:dyDescent="0.2">
      <c r="I43293" s="137" t="s">
        <v>74</v>
      </c>
    </row>
    <row r="43294" spans="9:9" x14ac:dyDescent="0.2">
      <c r="I43294" s="137" t="s">
        <v>74</v>
      </c>
    </row>
    <row r="43295" spans="9:9" x14ac:dyDescent="0.2">
      <c r="I43295" s="137" t="s">
        <v>74</v>
      </c>
    </row>
    <row r="43296" spans="9:9" x14ac:dyDescent="0.2">
      <c r="I43296" s="137" t="s">
        <v>74</v>
      </c>
    </row>
    <row r="43297" spans="9:9" x14ac:dyDescent="0.2">
      <c r="I43297" s="137" t="s">
        <v>74</v>
      </c>
    </row>
    <row r="43298" spans="9:9" x14ac:dyDescent="0.2">
      <c r="I43298" s="137" t="s">
        <v>74</v>
      </c>
    </row>
    <row r="43299" spans="9:9" x14ac:dyDescent="0.2">
      <c r="I43299" s="137" t="s">
        <v>74</v>
      </c>
    </row>
    <row r="43300" spans="9:9" x14ac:dyDescent="0.2">
      <c r="I43300" s="137" t="s">
        <v>74</v>
      </c>
    </row>
    <row r="43301" spans="9:9" x14ac:dyDescent="0.2">
      <c r="I43301" s="137" t="s">
        <v>74</v>
      </c>
    </row>
    <row r="43302" spans="9:9" x14ac:dyDescent="0.2">
      <c r="I43302" s="137" t="s">
        <v>74</v>
      </c>
    </row>
    <row r="43303" spans="9:9" x14ac:dyDescent="0.2">
      <c r="I43303" s="137" t="s">
        <v>74</v>
      </c>
    </row>
    <row r="43304" spans="9:9" x14ac:dyDescent="0.2">
      <c r="I43304" s="137" t="s">
        <v>74</v>
      </c>
    </row>
    <row r="43305" spans="9:9" x14ac:dyDescent="0.2">
      <c r="I43305" s="137" t="s">
        <v>74</v>
      </c>
    </row>
    <row r="43306" spans="9:9" x14ac:dyDescent="0.2">
      <c r="I43306" s="137" t="s">
        <v>74</v>
      </c>
    </row>
    <row r="43307" spans="9:9" x14ac:dyDescent="0.2">
      <c r="I43307" s="137" t="s">
        <v>74</v>
      </c>
    </row>
    <row r="43308" spans="9:9" x14ac:dyDescent="0.2">
      <c r="I43308" s="137" t="s">
        <v>74</v>
      </c>
    </row>
    <row r="43309" spans="9:9" x14ac:dyDescent="0.2">
      <c r="I43309" s="137" t="s">
        <v>74</v>
      </c>
    </row>
    <row r="43310" spans="9:9" x14ac:dyDescent="0.2">
      <c r="I43310" s="137" t="s">
        <v>74</v>
      </c>
    </row>
    <row r="43311" spans="9:9" x14ac:dyDescent="0.2">
      <c r="I43311" s="137" t="s">
        <v>74</v>
      </c>
    </row>
    <row r="43312" spans="9:9" x14ac:dyDescent="0.2">
      <c r="I43312" s="137" t="s">
        <v>74</v>
      </c>
    </row>
    <row r="43313" spans="9:9" x14ac:dyDescent="0.2">
      <c r="I43313" s="137" t="s">
        <v>74</v>
      </c>
    </row>
    <row r="43314" spans="9:9" x14ac:dyDescent="0.2">
      <c r="I43314" s="137" t="s">
        <v>74</v>
      </c>
    </row>
    <row r="43315" spans="9:9" x14ac:dyDescent="0.2">
      <c r="I43315" s="137" t="s">
        <v>74</v>
      </c>
    </row>
    <row r="43316" spans="9:9" x14ac:dyDescent="0.2">
      <c r="I43316" s="137" t="s">
        <v>74</v>
      </c>
    </row>
    <row r="43317" spans="9:9" x14ac:dyDescent="0.2">
      <c r="I43317" s="137" t="s">
        <v>74</v>
      </c>
    </row>
    <row r="43318" spans="9:9" x14ac:dyDescent="0.2">
      <c r="I43318" s="137" t="s">
        <v>74</v>
      </c>
    </row>
    <row r="43319" spans="9:9" x14ac:dyDescent="0.2">
      <c r="I43319" s="137" t="s">
        <v>74</v>
      </c>
    </row>
    <row r="43320" spans="9:9" x14ac:dyDescent="0.2">
      <c r="I43320" s="137" t="s">
        <v>74</v>
      </c>
    </row>
    <row r="43321" spans="9:9" x14ac:dyDescent="0.2">
      <c r="I43321" s="137" t="s">
        <v>74</v>
      </c>
    </row>
    <row r="43322" spans="9:9" x14ac:dyDescent="0.2">
      <c r="I43322" s="137" t="s">
        <v>74</v>
      </c>
    </row>
    <row r="43323" spans="9:9" x14ac:dyDescent="0.2">
      <c r="I43323" s="137" t="s">
        <v>74</v>
      </c>
    </row>
    <row r="43324" spans="9:9" x14ac:dyDescent="0.2">
      <c r="I43324" s="137" t="s">
        <v>74</v>
      </c>
    </row>
    <row r="43325" spans="9:9" x14ac:dyDescent="0.2">
      <c r="I43325" s="137" t="s">
        <v>74</v>
      </c>
    </row>
    <row r="43326" spans="9:9" x14ac:dyDescent="0.2">
      <c r="I43326" s="137" t="s">
        <v>74</v>
      </c>
    </row>
    <row r="43327" spans="9:9" x14ac:dyDescent="0.2">
      <c r="I43327" s="137" t="s">
        <v>74</v>
      </c>
    </row>
    <row r="43328" spans="9:9" x14ac:dyDescent="0.2">
      <c r="I43328" s="137" t="s">
        <v>74</v>
      </c>
    </row>
    <row r="43329" spans="9:9" x14ac:dyDescent="0.2">
      <c r="I43329" s="137" t="s">
        <v>74</v>
      </c>
    </row>
    <row r="43330" spans="9:9" x14ac:dyDescent="0.2">
      <c r="I43330" s="137" t="s">
        <v>74</v>
      </c>
    </row>
    <row r="43331" spans="9:9" x14ac:dyDescent="0.2">
      <c r="I43331" s="137" t="s">
        <v>74</v>
      </c>
    </row>
    <row r="43332" spans="9:9" x14ac:dyDescent="0.2">
      <c r="I43332" s="137" t="s">
        <v>74</v>
      </c>
    </row>
    <row r="43333" spans="9:9" x14ac:dyDescent="0.2">
      <c r="I43333" s="137" t="s">
        <v>74</v>
      </c>
    </row>
    <row r="43334" spans="9:9" x14ac:dyDescent="0.2">
      <c r="I43334" s="137" t="s">
        <v>74</v>
      </c>
    </row>
    <row r="43335" spans="9:9" x14ac:dyDescent="0.2">
      <c r="I43335" s="137" t="s">
        <v>74</v>
      </c>
    </row>
    <row r="43336" spans="9:9" x14ac:dyDescent="0.2">
      <c r="I43336" s="137" t="s">
        <v>74</v>
      </c>
    </row>
    <row r="43337" spans="9:9" x14ac:dyDescent="0.2">
      <c r="I43337" s="137" t="s">
        <v>74</v>
      </c>
    </row>
    <row r="43338" spans="9:9" x14ac:dyDescent="0.2">
      <c r="I43338" s="137" t="s">
        <v>74</v>
      </c>
    </row>
    <row r="43339" spans="9:9" x14ac:dyDescent="0.2">
      <c r="I43339" s="137" t="s">
        <v>74</v>
      </c>
    </row>
    <row r="43340" spans="9:9" x14ac:dyDescent="0.2">
      <c r="I43340" s="137" t="s">
        <v>74</v>
      </c>
    </row>
    <row r="43341" spans="9:9" x14ac:dyDescent="0.2">
      <c r="I43341" s="137" t="s">
        <v>74</v>
      </c>
    </row>
    <row r="43342" spans="9:9" x14ac:dyDescent="0.2">
      <c r="I43342" s="137" t="s">
        <v>74</v>
      </c>
    </row>
    <row r="43343" spans="9:9" x14ac:dyDescent="0.2">
      <c r="I43343" s="137" t="s">
        <v>74</v>
      </c>
    </row>
    <row r="43344" spans="9:9" x14ac:dyDescent="0.2">
      <c r="I43344" s="137" t="s">
        <v>74</v>
      </c>
    </row>
    <row r="43345" spans="9:9" x14ac:dyDescent="0.2">
      <c r="I43345" s="137" t="s">
        <v>74</v>
      </c>
    </row>
    <row r="43346" spans="9:9" x14ac:dyDescent="0.2">
      <c r="I43346" s="137" t="s">
        <v>74</v>
      </c>
    </row>
    <row r="43347" spans="9:9" x14ac:dyDescent="0.2">
      <c r="I43347" s="137" t="s">
        <v>74</v>
      </c>
    </row>
    <row r="43348" spans="9:9" x14ac:dyDescent="0.2">
      <c r="I43348" s="137" t="s">
        <v>74</v>
      </c>
    </row>
    <row r="43349" spans="9:9" x14ac:dyDescent="0.2">
      <c r="I43349" s="137" t="s">
        <v>74</v>
      </c>
    </row>
    <row r="43350" spans="9:9" x14ac:dyDescent="0.2">
      <c r="I43350" s="137" t="s">
        <v>74</v>
      </c>
    </row>
    <row r="43351" spans="9:9" x14ac:dyDescent="0.2">
      <c r="I43351" s="137" t="s">
        <v>74</v>
      </c>
    </row>
    <row r="43352" spans="9:9" x14ac:dyDescent="0.2">
      <c r="I43352" s="137" t="s">
        <v>74</v>
      </c>
    </row>
    <row r="43353" spans="9:9" x14ac:dyDescent="0.2">
      <c r="I43353" s="137" t="s">
        <v>74</v>
      </c>
    </row>
    <row r="43354" spans="9:9" x14ac:dyDescent="0.2">
      <c r="I43354" s="137" t="s">
        <v>74</v>
      </c>
    </row>
    <row r="43355" spans="9:9" x14ac:dyDescent="0.2">
      <c r="I43355" s="137" t="s">
        <v>74</v>
      </c>
    </row>
    <row r="43356" spans="9:9" x14ac:dyDescent="0.2">
      <c r="I43356" s="137" t="s">
        <v>74</v>
      </c>
    </row>
    <row r="43357" spans="9:9" x14ac:dyDescent="0.2">
      <c r="I43357" s="137" t="s">
        <v>74</v>
      </c>
    </row>
    <row r="43358" spans="9:9" x14ac:dyDescent="0.2">
      <c r="I43358" s="137" t="s">
        <v>74</v>
      </c>
    </row>
    <row r="43359" spans="9:9" x14ac:dyDescent="0.2">
      <c r="I43359" s="137" t="s">
        <v>74</v>
      </c>
    </row>
    <row r="43360" spans="9:9" x14ac:dyDescent="0.2">
      <c r="I43360" s="137" t="s">
        <v>74</v>
      </c>
    </row>
    <row r="43361" spans="9:9" x14ac:dyDescent="0.2">
      <c r="I43361" s="137" t="s">
        <v>74</v>
      </c>
    </row>
    <row r="43362" spans="9:9" x14ac:dyDescent="0.2">
      <c r="I43362" s="137" t="s">
        <v>74</v>
      </c>
    </row>
    <row r="43363" spans="9:9" x14ac:dyDescent="0.2">
      <c r="I43363" s="137" t="s">
        <v>74</v>
      </c>
    </row>
    <row r="43364" spans="9:9" x14ac:dyDescent="0.2">
      <c r="I43364" s="137" t="s">
        <v>74</v>
      </c>
    </row>
    <row r="43365" spans="9:9" x14ac:dyDescent="0.2">
      <c r="I43365" s="137" t="s">
        <v>74</v>
      </c>
    </row>
    <row r="43366" spans="9:9" x14ac:dyDescent="0.2">
      <c r="I43366" s="137" t="s">
        <v>74</v>
      </c>
    </row>
    <row r="43367" spans="9:9" x14ac:dyDescent="0.2">
      <c r="I43367" s="137" t="s">
        <v>74</v>
      </c>
    </row>
    <row r="43368" spans="9:9" x14ac:dyDescent="0.2">
      <c r="I43368" s="137" t="s">
        <v>74</v>
      </c>
    </row>
    <row r="43369" spans="9:9" x14ac:dyDescent="0.2">
      <c r="I43369" s="137" t="s">
        <v>74</v>
      </c>
    </row>
    <row r="43370" spans="9:9" x14ac:dyDescent="0.2">
      <c r="I43370" s="137" t="s">
        <v>74</v>
      </c>
    </row>
    <row r="43371" spans="9:9" x14ac:dyDescent="0.2">
      <c r="I43371" s="137" t="s">
        <v>74</v>
      </c>
    </row>
    <row r="43372" spans="9:9" x14ac:dyDescent="0.2">
      <c r="I43372" s="137" t="s">
        <v>74</v>
      </c>
    </row>
    <row r="43373" spans="9:9" x14ac:dyDescent="0.2">
      <c r="I43373" s="137" t="s">
        <v>74</v>
      </c>
    </row>
    <row r="43374" spans="9:9" x14ac:dyDescent="0.2">
      <c r="I43374" s="137" t="s">
        <v>74</v>
      </c>
    </row>
    <row r="43375" spans="9:9" x14ac:dyDescent="0.2">
      <c r="I43375" s="137" t="s">
        <v>74</v>
      </c>
    </row>
    <row r="43376" spans="9:9" x14ac:dyDescent="0.2">
      <c r="I43376" s="137" t="s">
        <v>74</v>
      </c>
    </row>
    <row r="43377" spans="9:9" x14ac:dyDescent="0.2">
      <c r="I43377" s="137" t="s">
        <v>74</v>
      </c>
    </row>
    <row r="43378" spans="9:9" x14ac:dyDescent="0.2">
      <c r="I43378" s="137" t="s">
        <v>74</v>
      </c>
    </row>
    <row r="43379" spans="9:9" x14ac:dyDescent="0.2">
      <c r="I43379" s="137" t="s">
        <v>74</v>
      </c>
    </row>
    <row r="43380" spans="9:9" x14ac:dyDescent="0.2">
      <c r="I43380" s="137" t="s">
        <v>74</v>
      </c>
    </row>
    <row r="43381" spans="9:9" x14ac:dyDescent="0.2">
      <c r="I43381" s="137" t="s">
        <v>74</v>
      </c>
    </row>
    <row r="43382" spans="9:9" x14ac:dyDescent="0.2">
      <c r="I43382" s="137" t="s">
        <v>74</v>
      </c>
    </row>
    <row r="43383" spans="9:9" x14ac:dyDescent="0.2">
      <c r="I43383" s="137" t="s">
        <v>74</v>
      </c>
    </row>
    <row r="43384" spans="9:9" x14ac:dyDescent="0.2">
      <c r="I43384" s="137" t="s">
        <v>74</v>
      </c>
    </row>
    <row r="43385" spans="9:9" x14ac:dyDescent="0.2">
      <c r="I43385" s="137" t="s">
        <v>74</v>
      </c>
    </row>
    <row r="43386" spans="9:9" x14ac:dyDescent="0.2">
      <c r="I43386" s="137" t="s">
        <v>74</v>
      </c>
    </row>
    <row r="43387" spans="9:9" x14ac:dyDescent="0.2">
      <c r="I43387" s="137" t="s">
        <v>74</v>
      </c>
    </row>
    <row r="43388" spans="9:9" x14ac:dyDescent="0.2">
      <c r="I43388" s="137" t="s">
        <v>74</v>
      </c>
    </row>
    <row r="43389" spans="9:9" x14ac:dyDescent="0.2">
      <c r="I43389" s="137" t="s">
        <v>74</v>
      </c>
    </row>
    <row r="43390" spans="9:9" x14ac:dyDescent="0.2">
      <c r="I43390" s="137" t="s">
        <v>74</v>
      </c>
    </row>
    <row r="43391" spans="9:9" x14ac:dyDescent="0.2">
      <c r="I43391" s="137" t="s">
        <v>74</v>
      </c>
    </row>
    <row r="43392" spans="9:9" x14ac:dyDescent="0.2">
      <c r="I43392" s="137" t="s">
        <v>74</v>
      </c>
    </row>
    <row r="43393" spans="9:9" x14ac:dyDescent="0.2">
      <c r="I43393" s="137" t="s">
        <v>74</v>
      </c>
    </row>
    <row r="43394" spans="9:9" x14ac:dyDescent="0.2">
      <c r="I43394" s="137" t="s">
        <v>74</v>
      </c>
    </row>
    <row r="43395" spans="9:9" x14ac:dyDescent="0.2">
      <c r="I43395" s="137" t="s">
        <v>74</v>
      </c>
    </row>
    <row r="43396" spans="9:9" x14ac:dyDescent="0.2">
      <c r="I43396" s="137" t="s">
        <v>74</v>
      </c>
    </row>
    <row r="43397" spans="9:9" x14ac:dyDescent="0.2">
      <c r="I43397" s="137" t="s">
        <v>74</v>
      </c>
    </row>
    <row r="43398" spans="9:9" x14ac:dyDescent="0.2">
      <c r="I43398" s="137" t="s">
        <v>74</v>
      </c>
    </row>
    <row r="43399" spans="9:9" x14ac:dyDescent="0.2">
      <c r="I43399" s="137" t="s">
        <v>74</v>
      </c>
    </row>
    <row r="43400" spans="9:9" x14ac:dyDescent="0.2">
      <c r="I43400" s="137" t="s">
        <v>74</v>
      </c>
    </row>
    <row r="43401" spans="9:9" x14ac:dyDescent="0.2">
      <c r="I43401" s="137" t="s">
        <v>74</v>
      </c>
    </row>
    <row r="43402" spans="9:9" x14ac:dyDescent="0.2">
      <c r="I43402" s="137" t="s">
        <v>74</v>
      </c>
    </row>
    <row r="43403" spans="9:9" x14ac:dyDescent="0.2">
      <c r="I43403" s="137" t="s">
        <v>74</v>
      </c>
    </row>
    <row r="43404" spans="9:9" x14ac:dyDescent="0.2">
      <c r="I43404" s="137" t="s">
        <v>74</v>
      </c>
    </row>
    <row r="43405" spans="9:9" x14ac:dyDescent="0.2">
      <c r="I43405" s="137" t="s">
        <v>74</v>
      </c>
    </row>
    <row r="43406" spans="9:9" x14ac:dyDescent="0.2">
      <c r="I43406" s="137" t="s">
        <v>74</v>
      </c>
    </row>
    <row r="43407" spans="9:9" x14ac:dyDescent="0.2">
      <c r="I43407" s="137" t="s">
        <v>74</v>
      </c>
    </row>
    <row r="43408" spans="9:9" x14ac:dyDescent="0.2">
      <c r="I43408" s="137" t="s">
        <v>74</v>
      </c>
    </row>
    <row r="43409" spans="9:9" x14ac:dyDescent="0.2">
      <c r="I43409" s="137" t="s">
        <v>74</v>
      </c>
    </row>
    <row r="43410" spans="9:9" x14ac:dyDescent="0.2">
      <c r="I43410" s="137" t="s">
        <v>74</v>
      </c>
    </row>
    <row r="43411" spans="9:9" x14ac:dyDescent="0.2">
      <c r="I43411" s="137" t="s">
        <v>74</v>
      </c>
    </row>
    <row r="43412" spans="9:9" x14ac:dyDescent="0.2">
      <c r="I43412" s="137" t="s">
        <v>74</v>
      </c>
    </row>
    <row r="43413" spans="9:9" x14ac:dyDescent="0.2">
      <c r="I43413" s="137" t="s">
        <v>74</v>
      </c>
    </row>
    <row r="43414" spans="9:9" x14ac:dyDescent="0.2">
      <c r="I43414" s="137" t="s">
        <v>74</v>
      </c>
    </row>
    <row r="43415" spans="9:9" x14ac:dyDescent="0.2">
      <c r="I43415" s="137" t="s">
        <v>74</v>
      </c>
    </row>
    <row r="43416" spans="9:9" x14ac:dyDescent="0.2">
      <c r="I43416" s="137" t="s">
        <v>74</v>
      </c>
    </row>
    <row r="43417" spans="9:9" x14ac:dyDescent="0.2">
      <c r="I43417" s="137" t="s">
        <v>74</v>
      </c>
    </row>
    <row r="43418" spans="9:9" x14ac:dyDescent="0.2">
      <c r="I43418" s="137" t="s">
        <v>74</v>
      </c>
    </row>
    <row r="43419" spans="9:9" x14ac:dyDescent="0.2">
      <c r="I43419" s="137" t="s">
        <v>74</v>
      </c>
    </row>
    <row r="43420" spans="9:9" x14ac:dyDescent="0.2">
      <c r="I43420" s="137" t="s">
        <v>74</v>
      </c>
    </row>
    <row r="43421" spans="9:9" x14ac:dyDescent="0.2">
      <c r="I43421" s="137" t="s">
        <v>74</v>
      </c>
    </row>
    <row r="43422" spans="9:9" x14ac:dyDescent="0.2">
      <c r="I43422" s="137" t="s">
        <v>74</v>
      </c>
    </row>
    <row r="43423" spans="9:9" x14ac:dyDescent="0.2">
      <c r="I43423" s="137" t="s">
        <v>74</v>
      </c>
    </row>
    <row r="43424" spans="9:9" x14ac:dyDescent="0.2">
      <c r="I43424" s="137" t="s">
        <v>74</v>
      </c>
    </row>
    <row r="43425" spans="9:9" x14ac:dyDescent="0.2">
      <c r="I43425" s="137" t="s">
        <v>74</v>
      </c>
    </row>
    <row r="43426" spans="9:9" x14ac:dyDescent="0.2">
      <c r="I43426" s="137" t="s">
        <v>74</v>
      </c>
    </row>
    <row r="43427" spans="9:9" x14ac:dyDescent="0.2">
      <c r="I43427" s="137" t="s">
        <v>74</v>
      </c>
    </row>
    <row r="43428" spans="9:9" x14ac:dyDescent="0.2">
      <c r="I43428" s="137" t="s">
        <v>74</v>
      </c>
    </row>
    <row r="43429" spans="9:9" x14ac:dyDescent="0.2">
      <c r="I43429" s="137" t="s">
        <v>74</v>
      </c>
    </row>
    <row r="43430" spans="9:9" x14ac:dyDescent="0.2">
      <c r="I43430" s="137" t="s">
        <v>74</v>
      </c>
    </row>
    <row r="43431" spans="9:9" x14ac:dyDescent="0.2">
      <c r="I43431" s="137" t="s">
        <v>74</v>
      </c>
    </row>
    <row r="43432" spans="9:9" x14ac:dyDescent="0.2">
      <c r="I43432" s="137" t="s">
        <v>74</v>
      </c>
    </row>
    <row r="43433" spans="9:9" x14ac:dyDescent="0.2">
      <c r="I43433" s="137" t="s">
        <v>74</v>
      </c>
    </row>
    <row r="43434" spans="9:9" x14ac:dyDescent="0.2">
      <c r="I43434" s="137" t="s">
        <v>74</v>
      </c>
    </row>
    <row r="43435" spans="9:9" x14ac:dyDescent="0.2">
      <c r="I43435" s="137" t="s">
        <v>74</v>
      </c>
    </row>
    <row r="43436" spans="9:9" x14ac:dyDescent="0.2">
      <c r="I43436" s="137" t="s">
        <v>74</v>
      </c>
    </row>
    <row r="43437" spans="9:9" x14ac:dyDescent="0.2">
      <c r="I43437" s="137" t="s">
        <v>74</v>
      </c>
    </row>
    <row r="43438" spans="9:9" x14ac:dyDescent="0.2">
      <c r="I43438" s="137" t="s">
        <v>74</v>
      </c>
    </row>
    <row r="43439" spans="9:9" x14ac:dyDescent="0.2">
      <c r="I43439" s="137" t="s">
        <v>74</v>
      </c>
    </row>
    <row r="43440" spans="9:9" x14ac:dyDescent="0.2">
      <c r="I43440" s="137" t="s">
        <v>74</v>
      </c>
    </row>
    <row r="43441" spans="9:9" x14ac:dyDescent="0.2">
      <c r="I43441" s="137" t="s">
        <v>74</v>
      </c>
    </row>
    <row r="43442" spans="9:9" x14ac:dyDescent="0.2">
      <c r="I43442" s="137" t="s">
        <v>74</v>
      </c>
    </row>
    <row r="43443" spans="9:9" x14ac:dyDescent="0.2">
      <c r="I43443" s="137" t="s">
        <v>74</v>
      </c>
    </row>
    <row r="43444" spans="9:9" x14ac:dyDescent="0.2">
      <c r="I43444" s="137" t="s">
        <v>74</v>
      </c>
    </row>
    <row r="43445" spans="9:9" x14ac:dyDescent="0.2">
      <c r="I43445" s="137" t="s">
        <v>74</v>
      </c>
    </row>
    <row r="43446" spans="9:9" x14ac:dyDescent="0.2">
      <c r="I43446" s="137" t="s">
        <v>74</v>
      </c>
    </row>
    <row r="43447" spans="9:9" x14ac:dyDescent="0.2">
      <c r="I43447" s="137" t="s">
        <v>74</v>
      </c>
    </row>
    <row r="43448" spans="9:9" x14ac:dyDescent="0.2">
      <c r="I43448" s="137" t="s">
        <v>74</v>
      </c>
    </row>
    <row r="43449" spans="9:9" x14ac:dyDescent="0.2">
      <c r="I43449" s="137" t="s">
        <v>74</v>
      </c>
    </row>
    <row r="43450" spans="9:9" x14ac:dyDescent="0.2">
      <c r="I43450" s="137" t="s">
        <v>74</v>
      </c>
    </row>
    <row r="43451" spans="9:9" x14ac:dyDescent="0.2">
      <c r="I43451" s="137" t="s">
        <v>74</v>
      </c>
    </row>
    <row r="43452" spans="9:9" x14ac:dyDescent="0.2">
      <c r="I43452" s="137" t="s">
        <v>74</v>
      </c>
    </row>
    <row r="43453" spans="9:9" x14ac:dyDescent="0.2">
      <c r="I43453" s="137" t="s">
        <v>74</v>
      </c>
    </row>
    <row r="43454" spans="9:9" x14ac:dyDescent="0.2">
      <c r="I43454" s="137" t="s">
        <v>74</v>
      </c>
    </row>
    <row r="43455" spans="9:9" x14ac:dyDescent="0.2">
      <c r="I43455" s="137" t="s">
        <v>74</v>
      </c>
    </row>
    <row r="43456" spans="9:9" x14ac:dyDescent="0.2">
      <c r="I43456" s="137" t="s">
        <v>74</v>
      </c>
    </row>
    <row r="43457" spans="9:9" x14ac:dyDescent="0.2">
      <c r="I43457" s="137" t="s">
        <v>74</v>
      </c>
    </row>
    <row r="43458" spans="9:9" x14ac:dyDescent="0.2">
      <c r="I43458" s="137" t="s">
        <v>74</v>
      </c>
    </row>
    <row r="43459" spans="9:9" x14ac:dyDescent="0.2">
      <c r="I43459" s="137" t="s">
        <v>74</v>
      </c>
    </row>
    <row r="43460" spans="9:9" x14ac:dyDescent="0.2">
      <c r="I43460" s="137" t="s">
        <v>74</v>
      </c>
    </row>
    <row r="43461" spans="9:9" x14ac:dyDescent="0.2">
      <c r="I43461" s="137" t="s">
        <v>74</v>
      </c>
    </row>
    <row r="43462" spans="9:9" x14ac:dyDescent="0.2">
      <c r="I43462" s="137" t="s">
        <v>74</v>
      </c>
    </row>
    <row r="43463" spans="9:9" x14ac:dyDescent="0.2">
      <c r="I43463" s="137" t="s">
        <v>74</v>
      </c>
    </row>
    <row r="43464" spans="9:9" x14ac:dyDescent="0.2">
      <c r="I43464" s="137" t="s">
        <v>74</v>
      </c>
    </row>
    <row r="43465" spans="9:9" x14ac:dyDescent="0.2">
      <c r="I43465" s="137" t="s">
        <v>74</v>
      </c>
    </row>
    <row r="43466" spans="9:9" x14ac:dyDescent="0.2">
      <c r="I43466" s="137" t="s">
        <v>74</v>
      </c>
    </row>
    <row r="43467" spans="9:9" x14ac:dyDescent="0.2">
      <c r="I43467" s="137" t="s">
        <v>74</v>
      </c>
    </row>
    <row r="43468" spans="9:9" x14ac:dyDescent="0.2">
      <c r="I43468" s="137" t="s">
        <v>74</v>
      </c>
    </row>
    <row r="43469" spans="9:9" x14ac:dyDescent="0.2">
      <c r="I43469" s="137" t="s">
        <v>74</v>
      </c>
    </row>
    <row r="43470" spans="9:9" x14ac:dyDescent="0.2">
      <c r="I43470" s="137" t="s">
        <v>74</v>
      </c>
    </row>
    <row r="43471" spans="9:9" x14ac:dyDescent="0.2">
      <c r="I43471" s="137" t="s">
        <v>74</v>
      </c>
    </row>
    <row r="43472" spans="9:9" x14ac:dyDescent="0.2">
      <c r="I43472" s="137" t="s">
        <v>74</v>
      </c>
    </row>
    <row r="43473" spans="9:9" x14ac:dyDescent="0.2">
      <c r="I43473" s="137" t="s">
        <v>74</v>
      </c>
    </row>
    <row r="43474" spans="9:9" x14ac:dyDescent="0.2">
      <c r="I43474" s="137" t="s">
        <v>74</v>
      </c>
    </row>
    <row r="43475" spans="9:9" x14ac:dyDescent="0.2">
      <c r="I43475" s="137" t="s">
        <v>74</v>
      </c>
    </row>
    <row r="43476" spans="9:9" x14ac:dyDescent="0.2">
      <c r="I43476" s="137" t="s">
        <v>74</v>
      </c>
    </row>
    <row r="43477" spans="9:9" x14ac:dyDescent="0.2">
      <c r="I43477" s="137" t="s">
        <v>74</v>
      </c>
    </row>
    <row r="43478" spans="9:9" x14ac:dyDescent="0.2">
      <c r="I43478" s="137" t="s">
        <v>74</v>
      </c>
    </row>
    <row r="43479" spans="9:9" x14ac:dyDescent="0.2">
      <c r="I43479" s="137" t="s">
        <v>74</v>
      </c>
    </row>
    <row r="43480" spans="9:9" x14ac:dyDescent="0.2">
      <c r="I43480" s="137" t="s">
        <v>74</v>
      </c>
    </row>
    <row r="43481" spans="9:9" x14ac:dyDescent="0.2">
      <c r="I43481" s="137" t="s">
        <v>74</v>
      </c>
    </row>
    <row r="43482" spans="9:9" x14ac:dyDescent="0.2">
      <c r="I43482" s="137" t="s">
        <v>74</v>
      </c>
    </row>
    <row r="43483" spans="9:9" x14ac:dyDescent="0.2">
      <c r="I43483" s="137" t="s">
        <v>74</v>
      </c>
    </row>
    <row r="43484" spans="9:9" x14ac:dyDescent="0.2">
      <c r="I43484" s="137" t="s">
        <v>74</v>
      </c>
    </row>
    <row r="43485" spans="9:9" x14ac:dyDescent="0.2">
      <c r="I43485" s="137" t="s">
        <v>74</v>
      </c>
    </row>
    <row r="43486" spans="9:9" x14ac:dyDescent="0.2">
      <c r="I43486" s="137" t="s">
        <v>74</v>
      </c>
    </row>
    <row r="43487" spans="9:9" x14ac:dyDescent="0.2">
      <c r="I43487" s="137" t="s">
        <v>74</v>
      </c>
    </row>
    <row r="43488" spans="9:9" x14ac:dyDescent="0.2">
      <c r="I43488" s="137" t="s">
        <v>74</v>
      </c>
    </row>
    <row r="43489" spans="9:9" x14ac:dyDescent="0.2">
      <c r="I43489" s="137" t="s">
        <v>74</v>
      </c>
    </row>
    <row r="43490" spans="9:9" x14ac:dyDescent="0.2">
      <c r="I43490" s="137" t="s">
        <v>74</v>
      </c>
    </row>
    <row r="43491" spans="9:9" x14ac:dyDescent="0.2">
      <c r="I43491" s="137" t="s">
        <v>74</v>
      </c>
    </row>
    <row r="43492" spans="9:9" x14ac:dyDescent="0.2">
      <c r="I43492" s="137" t="s">
        <v>74</v>
      </c>
    </row>
    <row r="43493" spans="9:9" x14ac:dyDescent="0.2">
      <c r="I43493" s="137" t="s">
        <v>74</v>
      </c>
    </row>
    <row r="43494" spans="9:9" x14ac:dyDescent="0.2">
      <c r="I43494" s="137" t="s">
        <v>74</v>
      </c>
    </row>
    <row r="43495" spans="9:9" x14ac:dyDescent="0.2">
      <c r="I43495" s="137" t="s">
        <v>74</v>
      </c>
    </row>
    <row r="43496" spans="9:9" x14ac:dyDescent="0.2">
      <c r="I43496" s="137" t="s">
        <v>74</v>
      </c>
    </row>
    <row r="43497" spans="9:9" x14ac:dyDescent="0.2">
      <c r="I43497" s="137" t="s">
        <v>74</v>
      </c>
    </row>
    <row r="43498" spans="9:9" x14ac:dyDescent="0.2">
      <c r="I43498" s="137" t="s">
        <v>74</v>
      </c>
    </row>
    <row r="43499" spans="9:9" x14ac:dyDescent="0.2">
      <c r="I43499" s="137" t="s">
        <v>74</v>
      </c>
    </row>
    <row r="43500" spans="9:9" x14ac:dyDescent="0.2">
      <c r="I43500" s="137" t="s">
        <v>74</v>
      </c>
    </row>
    <row r="43501" spans="9:9" x14ac:dyDescent="0.2">
      <c r="I43501" s="137" t="s">
        <v>74</v>
      </c>
    </row>
    <row r="43502" spans="9:9" x14ac:dyDescent="0.2">
      <c r="I43502" s="137" t="s">
        <v>74</v>
      </c>
    </row>
    <row r="43503" spans="9:9" x14ac:dyDescent="0.2">
      <c r="I43503" s="137" t="s">
        <v>74</v>
      </c>
    </row>
    <row r="43504" spans="9:9" x14ac:dyDescent="0.2">
      <c r="I43504" s="137" t="s">
        <v>74</v>
      </c>
    </row>
    <row r="43505" spans="9:9" x14ac:dyDescent="0.2">
      <c r="I43505" s="137" t="s">
        <v>74</v>
      </c>
    </row>
    <row r="43506" spans="9:9" x14ac:dyDescent="0.2">
      <c r="I43506" s="137" t="s">
        <v>74</v>
      </c>
    </row>
    <row r="43507" spans="9:9" x14ac:dyDescent="0.2">
      <c r="I43507" s="137" t="s">
        <v>74</v>
      </c>
    </row>
    <row r="43508" spans="9:9" x14ac:dyDescent="0.2">
      <c r="I43508" s="137" t="s">
        <v>74</v>
      </c>
    </row>
    <row r="43509" spans="9:9" x14ac:dyDescent="0.2">
      <c r="I43509" s="137" t="s">
        <v>74</v>
      </c>
    </row>
    <row r="43510" spans="9:9" x14ac:dyDescent="0.2">
      <c r="I43510" s="137" t="s">
        <v>74</v>
      </c>
    </row>
    <row r="43511" spans="9:9" x14ac:dyDescent="0.2">
      <c r="I43511" s="137" t="s">
        <v>74</v>
      </c>
    </row>
    <row r="43512" spans="9:9" x14ac:dyDescent="0.2">
      <c r="I43512" s="137" t="s">
        <v>74</v>
      </c>
    </row>
    <row r="43513" spans="9:9" x14ac:dyDescent="0.2">
      <c r="I43513" s="137" t="s">
        <v>74</v>
      </c>
    </row>
    <row r="43514" spans="9:9" x14ac:dyDescent="0.2">
      <c r="I43514" s="137" t="s">
        <v>74</v>
      </c>
    </row>
    <row r="43515" spans="9:9" x14ac:dyDescent="0.2">
      <c r="I43515" s="137" t="s">
        <v>74</v>
      </c>
    </row>
    <row r="43516" spans="9:9" x14ac:dyDescent="0.2">
      <c r="I43516" s="137" t="s">
        <v>74</v>
      </c>
    </row>
    <row r="43517" spans="9:9" x14ac:dyDescent="0.2">
      <c r="I43517" s="137" t="s">
        <v>74</v>
      </c>
    </row>
    <row r="43518" spans="9:9" x14ac:dyDescent="0.2">
      <c r="I43518" s="137" t="s">
        <v>74</v>
      </c>
    </row>
    <row r="43519" spans="9:9" x14ac:dyDescent="0.2">
      <c r="I43519" s="137" t="s">
        <v>74</v>
      </c>
    </row>
    <row r="43520" spans="9:9" x14ac:dyDescent="0.2">
      <c r="I43520" s="137" t="s">
        <v>74</v>
      </c>
    </row>
    <row r="43521" spans="9:9" x14ac:dyDescent="0.2">
      <c r="I43521" s="137" t="s">
        <v>74</v>
      </c>
    </row>
    <row r="43522" spans="9:9" x14ac:dyDescent="0.2">
      <c r="I43522" s="137" t="s">
        <v>74</v>
      </c>
    </row>
    <row r="43523" spans="9:9" x14ac:dyDescent="0.2">
      <c r="I43523" s="137" t="s">
        <v>74</v>
      </c>
    </row>
    <row r="43524" spans="9:9" x14ac:dyDescent="0.2">
      <c r="I43524" s="137" t="s">
        <v>74</v>
      </c>
    </row>
    <row r="43525" spans="9:9" x14ac:dyDescent="0.2">
      <c r="I43525" s="137" t="s">
        <v>74</v>
      </c>
    </row>
    <row r="43526" spans="9:9" x14ac:dyDescent="0.2">
      <c r="I43526" s="137" t="s">
        <v>74</v>
      </c>
    </row>
    <row r="43527" spans="9:9" x14ac:dyDescent="0.2">
      <c r="I43527" s="137" t="s">
        <v>74</v>
      </c>
    </row>
    <row r="43528" spans="9:9" x14ac:dyDescent="0.2">
      <c r="I43528" s="137" t="s">
        <v>74</v>
      </c>
    </row>
    <row r="43529" spans="9:9" x14ac:dyDescent="0.2">
      <c r="I43529" s="137" t="s">
        <v>74</v>
      </c>
    </row>
    <row r="43530" spans="9:9" x14ac:dyDescent="0.2">
      <c r="I43530" s="137" t="s">
        <v>74</v>
      </c>
    </row>
    <row r="43531" spans="9:9" x14ac:dyDescent="0.2">
      <c r="I43531" s="137" t="s">
        <v>74</v>
      </c>
    </row>
    <row r="43532" spans="9:9" x14ac:dyDescent="0.2">
      <c r="I43532" s="137" t="s">
        <v>74</v>
      </c>
    </row>
    <row r="43533" spans="9:9" x14ac:dyDescent="0.2">
      <c r="I43533" s="137" t="s">
        <v>74</v>
      </c>
    </row>
    <row r="43534" spans="9:9" x14ac:dyDescent="0.2">
      <c r="I43534" s="137" t="s">
        <v>74</v>
      </c>
    </row>
    <row r="43535" spans="9:9" x14ac:dyDescent="0.2">
      <c r="I43535" s="137" t="s">
        <v>74</v>
      </c>
    </row>
    <row r="43536" spans="9:9" x14ac:dyDescent="0.2">
      <c r="I43536" s="137" t="s">
        <v>74</v>
      </c>
    </row>
    <row r="43537" spans="9:9" x14ac:dyDescent="0.2">
      <c r="I43537" s="137" t="s">
        <v>74</v>
      </c>
    </row>
    <row r="43538" spans="9:9" x14ac:dyDescent="0.2">
      <c r="I43538" s="137" t="s">
        <v>74</v>
      </c>
    </row>
    <row r="43539" spans="9:9" x14ac:dyDescent="0.2">
      <c r="I43539" s="137" t="s">
        <v>74</v>
      </c>
    </row>
    <row r="43540" spans="9:9" x14ac:dyDescent="0.2">
      <c r="I43540" s="137" t="s">
        <v>74</v>
      </c>
    </row>
    <row r="43541" spans="9:9" x14ac:dyDescent="0.2">
      <c r="I43541" s="137" t="s">
        <v>74</v>
      </c>
    </row>
    <row r="43542" spans="9:9" x14ac:dyDescent="0.2">
      <c r="I43542" s="137" t="s">
        <v>74</v>
      </c>
    </row>
    <row r="43543" spans="9:9" x14ac:dyDescent="0.2">
      <c r="I43543" s="137" t="s">
        <v>74</v>
      </c>
    </row>
    <row r="43544" spans="9:9" x14ac:dyDescent="0.2">
      <c r="I43544" s="137" t="s">
        <v>74</v>
      </c>
    </row>
    <row r="43545" spans="9:9" x14ac:dyDescent="0.2">
      <c r="I43545" s="137" t="s">
        <v>74</v>
      </c>
    </row>
    <row r="43546" spans="9:9" x14ac:dyDescent="0.2">
      <c r="I43546" s="137" t="s">
        <v>74</v>
      </c>
    </row>
    <row r="43547" spans="9:9" x14ac:dyDescent="0.2">
      <c r="I43547" s="137" t="s">
        <v>74</v>
      </c>
    </row>
    <row r="43548" spans="9:9" x14ac:dyDescent="0.2">
      <c r="I43548" s="137" t="s">
        <v>74</v>
      </c>
    </row>
    <row r="43549" spans="9:9" x14ac:dyDescent="0.2">
      <c r="I43549" s="137" t="s">
        <v>74</v>
      </c>
    </row>
    <row r="43550" spans="9:9" x14ac:dyDescent="0.2">
      <c r="I43550" s="137" t="s">
        <v>74</v>
      </c>
    </row>
    <row r="43551" spans="9:9" x14ac:dyDescent="0.2">
      <c r="I43551" s="137" t="s">
        <v>74</v>
      </c>
    </row>
    <row r="43552" spans="9:9" x14ac:dyDescent="0.2">
      <c r="I43552" s="137" t="s">
        <v>74</v>
      </c>
    </row>
    <row r="43553" spans="9:9" x14ac:dyDescent="0.2">
      <c r="I43553" s="137" t="s">
        <v>74</v>
      </c>
    </row>
    <row r="43554" spans="9:9" x14ac:dyDescent="0.2">
      <c r="I43554" s="137" t="s">
        <v>74</v>
      </c>
    </row>
    <row r="43555" spans="9:9" x14ac:dyDescent="0.2">
      <c r="I43555" s="137" t="s">
        <v>74</v>
      </c>
    </row>
    <row r="43556" spans="9:9" x14ac:dyDescent="0.2">
      <c r="I43556" s="137" t="s">
        <v>74</v>
      </c>
    </row>
    <row r="43557" spans="9:9" x14ac:dyDescent="0.2">
      <c r="I43557" s="137" t="s">
        <v>74</v>
      </c>
    </row>
    <row r="43558" spans="9:9" x14ac:dyDescent="0.2">
      <c r="I43558" s="137" t="s">
        <v>74</v>
      </c>
    </row>
    <row r="43559" spans="9:9" x14ac:dyDescent="0.2">
      <c r="I43559" s="137" t="s">
        <v>74</v>
      </c>
    </row>
    <row r="43560" spans="9:9" x14ac:dyDescent="0.2">
      <c r="I43560" s="137" t="s">
        <v>74</v>
      </c>
    </row>
    <row r="43561" spans="9:9" x14ac:dyDescent="0.2">
      <c r="I43561" s="137" t="s">
        <v>74</v>
      </c>
    </row>
    <row r="43562" spans="9:9" x14ac:dyDescent="0.2">
      <c r="I43562" s="137" t="s">
        <v>74</v>
      </c>
    </row>
    <row r="43563" spans="9:9" x14ac:dyDescent="0.2">
      <c r="I43563" s="137" t="s">
        <v>74</v>
      </c>
    </row>
    <row r="43564" spans="9:9" x14ac:dyDescent="0.2">
      <c r="I43564" s="137" t="s">
        <v>74</v>
      </c>
    </row>
    <row r="43565" spans="9:9" x14ac:dyDescent="0.2">
      <c r="I43565" s="137" t="s">
        <v>74</v>
      </c>
    </row>
    <row r="43566" spans="9:9" x14ac:dyDescent="0.2">
      <c r="I43566" s="137" t="s">
        <v>74</v>
      </c>
    </row>
    <row r="43567" spans="9:9" x14ac:dyDescent="0.2">
      <c r="I43567" s="137" t="s">
        <v>74</v>
      </c>
    </row>
    <row r="43568" spans="9:9" x14ac:dyDescent="0.2">
      <c r="I43568" s="137" t="s">
        <v>74</v>
      </c>
    </row>
    <row r="43569" spans="9:9" x14ac:dyDescent="0.2">
      <c r="I43569" s="137" t="s">
        <v>74</v>
      </c>
    </row>
    <row r="43570" spans="9:9" x14ac:dyDescent="0.2">
      <c r="I43570" s="137" t="s">
        <v>74</v>
      </c>
    </row>
    <row r="43571" spans="9:9" x14ac:dyDescent="0.2">
      <c r="I43571" s="137" t="s">
        <v>74</v>
      </c>
    </row>
    <row r="43572" spans="9:9" x14ac:dyDescent="0.2">
      <c r="I43572" s="137" t="s">
        <v>74</v>
      </c>
    </row>
    <row r="43573" spans="9:9" x14ac:dyDescent="0.2">
      <c r="I43573" s="137" t="s">
        <v>74</v>
      </c>
    </row>
    <row r="43574" spans="9:9" x14ac:dyDescent="0.2">
      <c r="I43574" s="137" t="s">
        <v>74</v>
      </c>
    </row>
    <row r="43575" spans="9:9" x14ac:dyDescent="0.2">
      <c r="I43575" s="137" t="s">
        <v>74</v>
      </c>
    </row>
    <row r="43576" spans="9:9" x14ac:dyDescent="0.2">
      <c r="I43576" s="137" t="s">
        <v>74</v>
      </c>
    </row>
    <row r="43577" spans="9:9" x14ac:dyDescent="0.2">
      <c r="I43577" s="137" t="s">
        <v>74</v>
      </c>
    </row>
    <row r="43578" spans="9:9" x14ac:dyDescent="0.2">
      <c r="I43578" s="137" t="s">
        <v>74</v>
      </c>
    </row>
    <row r="43579" spans="9:9" x14ac:dyDescent="0.2">
      <c r="I43579" s="137" t="s">
        <v>74</v>
      </c>
    </row>
    <row r="43580" spans="9:9" x14ac:dyDescent="0.2">
      <c r="I43580" s="137" t="s">
        <v>74</v>
      </c>
    </row>
    <row r="43581" spans="9:9" x14ac:dyDescent="0.2">
      <c r="I43581" s="137" t="s">
        <v>74</v>
      </c>
    </row>
    <row r="43582" spans="9:9" x14ac:dyDescent="0.2">
      <c r="I43582" s="137" t="s">
        <v>74</v>
      </c>
    </row>
    <row r="43583" spans="9:9" x14ac:dyDescent="0.2">
      <c r="I43583" s="137" t="s">
        <v>74</v>
      </c>
    </row>
    <row r="43584" spans="9:9" x14ac:dyDescent="0.2">
      <c r="I43584" s="137" t="s">
        <v>74</v>
      </c>
    </row>
    <row r="43585" spans="9:9" x14ac:dyDescent="0.2">
      <c r="I43585" s="137" t="s">
        <v>74</v>
      </c>
    </row>
    <row r="43586" spans="9:9" x14ac:dyDescent="0.2">
      <c r="I43586" s="137" t="s">
        <v>74</v>
      </c>
    </row>
    <row r="43587" spans="9:9" x14ac:dyDescent="0.2">
      <c r="I43587" s="137" t="s">
        <v>74</v>
      </c>
    </row>
    <row r="43588" spans="9:9" x14ac:dyDescent="0.2">
      <c r="I43588" s="137" t="s">
        <v>74</v>
      </c>
    </row>
    <row r="43589" spans="9:9" x14ac:dyDescent="0.2">
      <c r="I43589" s="137" t="s">
        <v>74</v>
      </c>
    </row>
    <row r="43590" spans="9:9" x14ac:dyDescent="0.2">
      <c r="I43590" s="137" t="s">
        <v>74</v>
      </c>
    </row>
    <row r="43591" spans="9:9" x14ac:dyDescent="0.2">
      <c r="I43591" s="137" t="s">
        <v>74</v>
      </c>
    </row>
    <row r="43592" spans="9:9" x14ac:dyDescent="0.2">
      <c r="I43592" s="137" t="s">
        <v>74</v>
      </c>
    </row>
    <row r="43593" spans="9:9" x14ac:dyDescent="0.2">
      <c r="I43593" s="137" t="s">
        <v>74</v>
      </c>
    </row>
    <row r="43594" spans="9:9" x14ac:dyDescent="0.2">
      <c r="I43594" s="137" t="s">
        <v>74</v>
      </c>
    </row>
    <row r="43595" spans="9:9" x14ac:dyDescent="0.2">
      <c r="I43595" s="137" t="s">
        <v>74</v>
      </c>
    </row>
    <row r="43596" spans="9:9" x14ac:dyDescent="0.2">
      <c r="I43596" s="137" t="s">
        <v>74</v>
      </c>
    </row>
    <row r="43597" spans="9:9" x14ac:dyDescent="0.2">
      <c r="I43597" s="137" t="s">
        <v>74</v>
      </c>
    </row>
    <row r="43598" spans="9:9" x14ac:dyDescent="0.2">
      <c r="I43598" s="137" t="s">
        <v>74</v>
      </c>
    </row>
    <row r="43599" spans="9:9" x14ac:dyDescent="0.2">
      <c r="I43599" s="137" t="s">
        <v>74</v>
      </c>
    </row>
    <row r="43600" spans="9:9" x14ac:dyDescent="0.2">
      <c r="I43600" s="137" t="s">
        <v>74</v>
      </c>
    </row>
    <row r="43601" spans="9:9" x14ac:dyDescent="0.2">
      <c r="I43601" s="137" t="s">
        <v>74</v>
      </c>
    </row>
    <row r="43602" spans="9:9" x14ac:dyDescent="0.2">
      <c r="I43602" s="137" t="s">
        <v>74</v>
      </c>
    </row>
    <row r="43603" spans="9:9" x14ac:dyDescent="0.2">
      <c r="I43603" s="137" t="s">
        <v>74</v>
      </c>
    </row>
    <row r="43604" spans="9:9" x14ac:dyDescent="0.2">
      <c r="I43604" s="137" t="s">
        <v>74</v>
      </c>
    </row>
    <row r="43605" spans="9:9" x14ac:dyDescent="0.2">
      <c r="I43605" s="137" t="s">
        <v>74</v>
      </c>
    </row>
    <row r="43606" spans="9:9" x14ac:dyDescent="0.2">
      <c r="I43606" s="137" t="s">
        <v>74</v>
      </c>
    </row>
    <row r="43607" spans="9:9" x14ac:dyDescent="0.2">
      <c r="I43607" s="137" t="s">
        <v>74</v>
      </c>
    </row>
    <row r="43608" spans="9:9" x14ac:dyDescent="0.2">
      <c r="I43608" s="137" t="s">
        <v>74</v>
      </c>
    </row>
    <row r="43609" spans="9:9" x14ac:dyDescent="0.2">
      <c r="I43609" s="137" t="s">
        <v>74</v>
      </c>
    </row>
    <row r="43610" spans="9:9" x14ac:dyDescent="0.2">
      <c r="I43610" s="137" t="s">
        <v>74</v>
      </c>
    </row>
    <row r="43611" spans="9:9" x14ac:dyDescent="0.2">
      <c r="I43611" s="137" t="s">
        <v>74</v>
      </c>
    </row>
    <row r="43612" spans="9:9" x14ac:dyDescent="0.2">
      <c r="I43612" s="137" t="s">
        <v>74</v>
      </c>
    </row>
    <row r="43613" spans="9:9" x14ac:dyDescent="0.2">
      <c r="I43613" s="137" t="s">
        <v>74</v>
      </c>
    </row>
    <row r="43614" spans="9:9" x14ac:dyDescent="0.2">
      <c r="I43614" s="137" t="s">
        <v>74</v>
      </c>
    </row>
    <row r="43615" spans="9:9" x14ac:dyDescent="0.2">
      <c r="I43615" s="137" t="s">
        <v>74</v>
      </c>
    </row>
    <row r="43616" spans="9:9" x14ac:dyDescent="0.2">
      <c r="I43616" s="137" t="s">
        <v>74</v>
      </c>
    </row>
    <row r="43617" spans="9:9" x14ac:dyDescent="0.2">
      <c r="I43617" s="137" t="s">
        <v>74</v>
      </c>
    </row>
    <row r="43618" spans="9:9" x14ac:dyDescent="0.2">
      <c r="I43618" s="137" t="s">
        <v>74</v>
      </c>
    </row>
    <row r="43619" spans="9:9" x14ac:dyDescent="0.2">
      <c r="I43619" s="137" t="s">
        <v>74</v>
      </c>
    </row>
    <row r="43620" spans="9:9" x14ac:dyDescent="0.2">
      <c r="I43620" s="137" t="s">
        <v>74</v>
      </c>
    </row>
    <row r="43621" spans="9:9" x14ac:dyDescent="0.2">
      <c r="I43621" s="137" t="s">
        <v>74</v>
      </c>
    </row>
    <row r="43622" spans="9:9" x14ac:dyDescent="0.2">
      <c r="I43622" s="137" t="s">
        <v>74</v>
      </c>
    </row>
    <row r="43623" spans="9:9" x14ac:dyDescent="0.2">
      <c r="I43623" s="137" t="s">
        <v>74</v>
      </c>
    </row>
    <row r="43624" spans="9:9" x14ac:dyDescent="0.2">
      <c r="I43624" s="137" t="s">
        <v>74</v>
      </c>
    </row>
    <row r="43625" spans="9:9" x14ac:dyDescent="0.2">
      <c r="I43625" s="137" t="s">
        <v>74</v>
      </c>
    </row>
    <row r="43626" spans="9:9" x14ac:dyDescent="0.2">
      <c r="I43626" s="137" t="s">
        <v>74</v>
      </c>
    </row>
    <row r="43627" spans="9:9" x14ac:dyDescent="0.2">
      <c r="I43627" s="137" t="s">
        <v>74</v>
      </c>
    </row>
    <row r="43628" spans="9:9" x14ac:dyDescent="0.2">
      <c r="I43628" s="137" t="s">
        <v>74</v>
      </c>
    </row>
    <row r="43629" spans="9:9" x14ac:dyDescent="0.2">
      <c r="I43629" s="137" t="s">
        <v>74</v>
      </c>
    </row>
    <row r="43630" spans="9:9" x14ac:dyDescent="0.2">
      <c r="I43630" s="137" t="s">
        <v>74</v>
      </c>
    </row>
    <row r="43631" spans="9:9" x14ac:dyDescent="0.2">
      <c r="I43631" s="137" t="s">
        <v>74</v>
      </c>
    </row>
    <row r="43632" spans="9:9" x14ac:dyDescent="0.2">
      <c r="I43632" s="137" t="s">
        <v>74</v>
      </c>
    </row>
    <row r="43633" spans="9:9" x14ac:dyDescent="0.2">
      <c r="I43633" s="137" t="s">
        <v>74</v>
      </c>
    </row>
    <row r="43634" spans="9:9" x14ac:dyDescent="0.2">
      <c r="I43634" s="137" t="s">
        <v>74</v>
      </c>
    </row>
    <row r="43635" spans="9:9" x14ac:dyDescent="0.2">
      <c r="I43635" s="137" t="s">
        <v>74</v>
      </c>
    </row>
    <row r="43636" spans="9:9" x14ac:dyDescent="0.2">
      <c r="I43636" s="137" t="s">
        <v>74</v>
      </c>
    </row>
    <row r="43637" spans="9:9" x14ac:dyDescent="0.2">
      <c r="I43637" s="137" t="s">
        <v>74</v>
      </c>
    </row>
    <row r="43638" spans="9:9" x14ac:dyDescent="0.2">
      <c r="I43638" s="137" t="s">
        <v>74</v>
      </c>
    </row>
    <row r="43639" spans="9:9" x14ac:dyDescent="0.2">
      <c r="I43639" s="137" t="s">
        <v>74</v>
      </c>
    </row>
    <row r="43640" spans="9:9" x14ac:dyDescent="0.2">
      <c r="I43640" s="137" t="s">
        <v>74</v>
      </c>
    </row>
    <row r="43641" spans="9:9" x14ac:dyDescent="0.2">
      <c r="I43641" s="137" t="s">
        <v>74</v>
      </c>
    </row>
    <row r="43642" spans="9:9" x14ac:dyDescent="0.2">
      <c r="I43642" s="137" t="s">
        <v>74</v>
      </c>
    </row>
    <row r="43643" spans="9:9" x14ac:dyDescent="0.2">
      <c r="I43643" s="137" t="s">
        <v>74</v>
      </c>
    </row>
    <row r="43644" spans="9:9" x14ac:dyDescent="0.2">
      <c r="I43644" s="137" t="s">
        <v>74</v>
      </c>
    </row>
    <row r="43645" spans="9:9" x14ac:dyDescent="0.2">
      <c r="I43645" s="137" t="s">
        <v>74</v>
      </c>
    </row>
    <row r="43646" spans="9:9" x14ac:dyDescent="0.2">
      <c r="I43646" s="137" t="s">
        <v>74</v>
      </c>
    </row>
    <row r="43647" spans="9:9" x14ac:dyDescent="0.2">
      <c r="I43647" s="137" t="s">
        <v>74</v>
      </c>
    </row>
    <row r="43648" spans="9:9" x14ac:dyDescent="0.2">
      <c r="I43648" s="137" t="s">
        <v>74</v>
      </c>
    </row>
    <row r="43649" spans="9:9" x14ac:dyDescent="0.2">
      <c r="I43649" s="137" t="s">
        <v>74</v>
      </c>
    </row>
    <row r="43650" spans="9:9" x14ac:dyDescent="0.2">
      <c r="I43650" s="137" t="s">
        <v>74</v>
      </c>
    </row>
    <row r="43651" spans="9:9" x14ac:dyDescent="0.2">
      <c r="I43651" s="137" t="s">
        <v>74</v>
      </c>
    </row>
    <row r="43652" spans="9:9" x14ac:dyDescent="0.2">
      <c r="I43652" s="137" t="s">
        <v>74</v>
      </c>
    </row>
    <row r="43653" spans="9:9" x14ac:dyDescent="0.2">
      <c r="I43653" s="137" t="s">
        <v>74</v>
      </c>
    </row>
    <row r="43654" spans="9:9" x14ac:dyDescent="0.2">
      <c r="I43654" s="137" t="s">
        <v>74</v>
      </c>
    </row>
    <row r="43655" spans="9:9" x14ac:dyDescent="0.2">
      <c r="I43655" s="137" t="s">
        <v>74</v>
      </c>
    </row>
    <row r="43656" spans="9:9" x14ac:dyDescent="0.2">
      <c r="I43656" s="137" t="s">
        <v>74</v>
      </c>
    </row>
    <row r="43657" spans="9:9" x14ac:dyDescent="0.2">
      <c r="I43657" s="137" t="s">
        <v>74</v>
      </c>
    </row>
    <row r="43658" spans="9:9" x14ac:dyDescent="0.2">
      <c r="I43658" s="137" t="s">
        <v>74</v>
      </c>
    </row>
    <row r="43659" spans="9:9" x14ac:dyDescent="0.2">
      <c r="I43659" s="137" t="s">
        <v>74</v>
      </c>
    </row>
    <row r="43660" spans="9:9" x14ac:dyDescent="0.2">
      <c r="I43660" s="137" t="s">
        <v>74</v>
      </c>
    </row>
    <row r="43661" spans="9:9" x14ac:dyDescent="0.2">
      <c r="I43661" s="137" t="s">
        <v>74</v>
      </c>
    </row>
    <row r="43662" spans="9:9" x14ac:dyDescent="0.2">
      <c r="I43662" s="137" t="s">
        <v>74</v>
      </c>
    </row>
    <row r="43663" spans="9:9" x14ac:dyDescent="0.2">
      <c r="I43663" s="137" t="s">
        <v>74</v>
      </c>
    </row>
    <row r="43664" spans="9:9" x14ac:dyDescent="0.2">
      <c r="I43664" s="137" t="s">
        <v>74</v>
      </c>
    </row>
    <row r="43665" spans="9:9" x14ac:dyDescent="0.2">
      <c r="I43665" s="137" t="s">
        <v>74</v>
      </c>
    </row>
    <row r="43666" spans="9:9" x14ac:dyDescent="0.2">
      <c r="I43666" s="137" t="s">
        <v>74</v>
      </c>
    </row>
    <row r="43667" spans="9:9" x14ac:dyDescent="0.2">
      <c r="I43667" s="137" t="s">
        <v>74</v>
      </c>
    </row>
    <row r="43668" spans="9:9" x14ac:dyDescent="0.2">
      <c r="I43668" s="137" t="s">
        <v>74</v>
      </c>
    </row>
    <row r="43669" spans="9:9" x14ac:dyDescent="0.2">
      <c r="I43669" s="137" t="s">
        <v>74</v>
      </c>
    </row>
    <row r="43670" spans="9:9" x14ac:dyDescent="0.2">
      <c r="I43670" s="137" t="s">
        <v>74</v>
      </c>
    </row>
    <row r="43671" spans="9:9" x14ac:dyDescent="0.2">
      <c r="I43671" s="137" t="s">
        <v>74</v>
      </c>
    </row>
    <row r="43672" spans="9:9" x14ac:dyDescent="0.2">
      <c r="I43672" s="137" t="s">
        <v>74</v>
      </c>
    </row>
    <row r="43673" spans="9:9" x14ac:dyDescent="0.2">
      <c r="I43673" s="137" t="s">
        <v>74</v>
      </c>
    </row>
    <row r="43674" spans="9:9" x14ac:dyDescent="0.2">
      <c r="I43674" s="137" t="s">
        <v>74</v>
      </c>
    </row>
    <row r="43675" spans="9:9" x14ac:dyDescent="0.2">
      <c r="I43675" s="137" t="s">
        <v>74</v>
      </c>
    </row>
    <row r="43676" spans="9:9" x14ac:dyDescent="0.2">
      <c r="I43676" s="137" t="s">
        <v>74</v>
      </c>
    </row>
    <row r="43677" spans="9:9" x14ac:dyDescent="0.2">
      <c r="I43677" s="137" t="s">
        <v>74</v>
      </c>
    </row>
    <row r="43678" spans="9:9" x14ac:dyDescent="0.2">
      <c r="I43678" s="137" t="s">
        <v>74</v>
      </c>
    </row>
    <row r="43679" spans="9:9" x14ac:dyDescent="0.2">
      <c r="I43679" s="137" t="s">
        <v>74</v>
      </c>
    </row>
    <row r="43680" spans="9:9" x14ac:dyDescent="0.2">
      <c r="I43680" s="137" t="s">
        <v>74</v>
      </c>
    </row>
    <row r="43681" spans="9:9" x14ac:dyDescent="0.2">
      <c r="I43681" s="137" t="s">
        <v>74</v>
      </c>
    </row>
    <row r="43682" spans="9:9" x14ac:dyDescent="0.2">
      <c r="I43682" s="137" t="s">
        <v>74</v>
      </c>
    </row>
    <row r="43683" spans="9:9" x14ac:dyDescent="0.2">
      <c r="I43683" s="137" t="s">
        <v>74</v>
      </c>
    </row>
    <row r="43684" spans="9:9" x14ac:dyDescent="0.2">
      <c r="I43684" s="137" t="s">
        <v>74</v>
      </c>
    </row>
    <row r="43685" spans="9:9" x14ac:dyDescent="0.2">
      <c r="I43685" s="137" t="s">
        <v>74</v>
      </c>
    </row>
    <row r="43686" spans="9:9" x14ac:dyDescent="0.2">
      <c r="I43686" s="137" t="s">
        <v>74</v>
      </c>
    </row>
    <row r="43687" spans="9:9" x14ac:dyDescent="0.2">
      <c r="I43687" s="137" t="s">
        <v>74</v>
      </c>
    </row>
    <row r="43688" spans="9:9" x14ac:dyDescent="0.2">
      <c r="I43688" s="137" t="s">
        <v>74</v>
      </c>
    </row>
    <row r="43689" spans="9:9" x14ac:dyDescent="0.2">
      <c r="I43689" s="137" t="s">
        <v>74</v>
      </c>
    </row>
    <row r="43690" spans="9:9" x14ac:dyDescent="0.2">
      <c r="I43690" s="137" t="s">
        <v>74</v>
      </c>
    </row>
    <row r="43691" spans="9:9" x14ac:dyDescent="0.2">
      <c r="I43691" s="137" t="s">
        <v>74</v>
      </c>
    </row>
    <row r="43692" spans="9:9" x14ac:dyDescent="0.2">
      <c r="I43692" s="137" t="s">
        <v>74</v>
      </c>
    </row>
    <row r="43693" spans="9:9" x14ac:dyDescent="0.2">
      <c r="I43693" s="137" t="s">
        <v>74</v>
      </c>
    </row>
    <row r="43694" spans="9:9" x14ac:dyDescent="0.2">
      <c r="I43694" s="137" t="s">
        <v>74</v>
      </c>
    </row>
    <row r="43695" spans="9:9" x14ac:dyDescent="0.2">
      <c r="I43695" s="137" t="s">
        <v>74</v>
      </c>
    </row>
    <row r="43696" spans="9:9" x14ac:dyDescent="0.2">
      <c r="I43696" s="137" t="s">
        <v>74</v>
      </c>
    </row>
    <row r="43697" spans="9:9" x14ac:dyDescent="0.2">
      <c r="I43697" s="137" t="s">
        <v>74</v>
      </c>
    </row>
    <row r="43698" spans="9:9" x14ac:dyDescent="0.2">
      <c r="I43698" s="137" t="s">
        <v>74</v>
      </c>
    </row>
    <row r="43699" spans="9:9" x14ac:dyDescent="0.2">
      <c r="I43699" s="137" t="s">
        <v>74</v>
      </c>
    </row>
    <row r="43700" spans="9:9" x14ac:dyDescent="0.2">
      <c r="I43700" s="137" t="s">
        <v>74</v>
      </c>
    </row>
    <row r="43701" spans="9:9" x14ac:dyDescent="0.2">
      <c r="I43701" s="137" t="s">
        <v>74</v>
      </c>
    </row>
    <row r="43702" spans="9:9" x14ac:dyDescent="0.2">
      <c r="I43702" s="137" t="s">
        <v>74</v>
      </c>
    </row>
    <row r="43703" spans="9:9" x14ac:dyDescent="0.2">
      <c r="I43703" s="137" t="s">
        <v>74</v>
      </c>
    </row>
    <row r="43704" spans="9:9" x14ac:dyDescent="0.2">
      <c r="I43704" s="137" t="s">
        <v>74</v>
      </c>
    </row>
    <row r="43705" spans="9:9" x14ac:dyDescent="0.2">
      <c r="I43705" s="137" t="s">
        <v>74</v>
      </c>
    </row>
    <row r="43706" spans="9:9" x14ac:dyDescent="0.2">
      <c r="I43706" s="137" t="s">
        <v>74</v>
      </c>
    </row>
    <row r="43707" spans="9:9" x14ac:dyDescent="0.2">
      <c r="I43707" s="137" t="s">
        <v>74</v>
      </c>
    </row>
    <row r="43708" spans="9:9" x14ac:dyDescent="0.2">
      <c r="I43708" s="137" t="s">
        <v>74</v>
      </c>
    </row>
    <row r="43709" spans="9:9" x14ac:dyDescent="0.2">
      <c r="I43709" s="137" t="s">
        <v>74</v>
      </c>
    </row>
    <row r="43710" spans="9:9" x14ac:dyDescent="0.2">
      <c r="I43710" s="137" t="s">
        <v>74</v>
      </c>
    </row>
    <row r="43711" spans="9:9" x14ac:dyDescent="0.2">
      <c r="I43711" s="137" t="s">
        <v>74</v>
      </c>
    </row>
    <row r="43712" spans="9:9" x14ac:dyDescent="0.2">
      <c r="I43712" s="137" t="s">
        <v>74</v>
      </c>
    </row>
    <row r="43713" spans="9:9" x14ac:dyDescent="0.2">
      <c r="I43713" s="137" t="s">
        <v>74</v>
      </c>
    </row>
    <row r="43714" spans="9:9" x14ac:dyDescent="0.2">
      <c r="I43714" s="137" t="s">
        <v>74</v>
      </c>
    </row>
    <row r="43715" spans="9:9" x14ac:dyDescent="0.2">
      <c r="I43715" s="137" t="s">
        <v>74</v>
      </c>
    </row>
    <row r="43716" spans="9:9" x14ac:dyDescent="0.2">
      <c r="I43716" s="137" t="s">
        <v>74</v>
      </c>
    </row>
    <row r="43717" spans="9:9" x14ac:dyDescent="0.2">
      <c r="I43717" s="137" t="s">
        <v>74</v>
      </c>
    </row>
    <row r="43718" spans="9:9" x14ac:dyDescent="0.2">
      <c r="I43718" s="137" t="s">
        <v>74</v>
      </c>
    </row>
    <row r="43719" spans="9:9" x14ac:dyDescent="0.2">
      <c r="I43719" s="137" t="s">
        <v>74</v>
      </c>
    </row>
    <row r="43720" spans="9:9" x14ac:dyDescent="0.2">
      <c r="I43720" s="137" t="s">
        <v>74</v>
      </c>
    </row>
    <row r="43721" spans="9:9" x14ac:dyDescent="0.2">
      <c r="I43721" s="137" t="s">
        <v>74</v>
      </c>
    </row>
    <row r="43722" spans="9:9" x14ac:dyDescent="0.2">
      <c r="I43722" s="137" t="s">
        <v>74</v>
      </c>
    </row>
    <row r="43723" spans="9:9" x14ac:dyDescent="0.2">
      <c r="I43723" s="137" t="s">
        <v>74</v>
      </c>
    </row>
    <row r="43724" spans="9:9" x14ac:dyDescent="0.2">
      <c r="I43724" s="137" t="s">
        <v>74</v>
      </c>
    </row>
    <row r="43725" spans="9:9" x14ac:dyDescent="0.2">
      <c r="I43725" s="137" t="s">
        <v>74</v>
      </c>
    </row>
    <row r="43726" spans="9:9" x14ac:dyDescent="0.2">
      <c r="I43726" s="137" t="s">
        <v>74</v>
      </c>
    </row>
    <row r="43727" spans="9:9" x14ac:dyDescent="0.2">
      <c r="I43727" s="137" t="s">
        <v>74</v>
      </c>
    </row>
    <row r="43728" spans="9:9" x14ac:dyDescent="0.2">
      <c r="I43728" s="137" t="s">
        <v>74</v>
      </c>
    </row>
    <row r="43729" spans="9:9" x14ac:dyDescent="0.2">
      <c r="I43729" s="137" t="s">
        <v>74</v>
      </c>
    </row>
    <row r="43730" spans="9:9" x14ac:dyDescent="0.2">
      <c r="I43730" s="137" t="s">
        <v>74</v>
      </c>
    </row>
    <row r="43731" spans="9:9" x14ac:dyDescent="0.2">
      <c r="I43731" s="137" t="s">
        <v>74</v>
      </c>
    </row>
    <row r="43732" spans="9:9" x14ac:dyDescent="0.2">
      <c r="I43732" s="137" t="s">
        <v>74</v>
      </c>
    </row>
    <row r="43733" spans="9:9" x14ac:dyDescent="0.2">
      <c r="I43733" s="137" t="s">
        <v>74</v>
      </c>
    </row>
    <row r="43734" spans="9:9" x14ac:dyDescent="0.2">
      <c r="I43734" s="137" t="s">
        <v>74</v>
      </c>
    </row>
    <row r="43735" spans="9:9" x14ac:dyDescent="0.2">
      <c r="I43735" s="137" t="s">
        <v>74</v>
      </c>
    </row>
    <row r="43736" spans="9:9" x14ac:dyDescent="0.2">
      <c r="I43736" s="137" t="s">
        <v>74</v>
      </c>
    </row>
    <row r="43737" spans="9:9" x14ac:dyDescent="0.2">
      <c r="I43737" s="137" t="s">
        <v>74</v>
      </c>
    </row>
    <row r="43738" spans="9:9" x14ac:dyDescent="0.2">
      <c r="I43738" s="137" t="s">
        <v>74</v>
      </c>
    </row>
    <row r="43739" spans="9:9" x14ac:dyDescent="0.2">
      <c r="I43739" s="137" t="s">
        <v>74</v>
      </c>
    </row>
    <row r="43740" spans="9:9" x14ac:dyDescent="0.2">
      <c r="I43740" s="137" t="s">
        <v>74</v>
      </c>
    </row>
    <row r="43741" spans="9:9" x14ac:dyDescent="0.2">
      <c r="I43741" s="137" t="s">
        <v>74</v>
      </c>
    </row>
    <row r="43742" spans="9:9" x14ac:dyDescent="0.2">
      <c r="I43742" s="137" t="s">
        <v>74</v>
      </c>
    </row>
    <row r="43743" spans="9:9" x14ac:dyDescent="0.2">
      <c r="I43743" s="137" t="s">
        <v>74</v>
      </c>
    </row>
    <row r="43744" spans="9:9" x14ac:dyDescent="0.2">
      <c r="I43744" s="137" t="s">
        <v>74</v>
      </c>
    </row>
    <row r="43745" spans="9:9" x14ac:dyDescent="0.2">
      <c r="I43745" s="137" t="s">
        <v>74</v>
      </c>
    </row>
    <row r="43746" spans="9:9" x14ac:dyDescent="0.2">
      <c r="I43746" s="137" t="s">
        <v>74</v>
      </c>
    </row>
    <row r="43747" spans="9:9" x14ac:dyDescent="0.2">
      <c r="I43747" s="137" t="s">
        <v>74</v>
      </c>
    </row>
    <row r="43748" spans="9:9" x14ac:dyDescent="0.2">
      <c r="I43748" s="137" t="s">
        <v>74</v>
      </c>
    </row>
    <row r="43749" spans="9:9" x14ac:dyDescent="0.2">
      <c r="I43749" s="137" t="s">
        <v>74</v>
      </c>
    </row>
    <row r="43750" spans="9:9" x14ac:dyDescent="0.2">
      <c r="I43750" s="137" t="s">
        <v>74</v>
      </c>
    </row>
    <row r="43751" spans="9:9" x14ac:dyDescent="0.2">
      <c r="I43751" s="137" t="s">
        <v>74</v>
      </c>
    </row>
    <row r="43752" spans="9:9" x14ac:dyDescent="0.2">
      <c r="I43752" s="137" t="s">
        <v>74</v>
      </c>
    </row>
    <row r="43753" spans="9:9" x14ac:dyDescent="0.2">
      <c r="I43753" s="137" t="s">
        <v>74</v>
      </c>
    </row>
    <row r="43754" spans="9:9" x14ac:dyDescent="0.2">
      <c r="I43754" s="137" t="s">
        <v>74</v>
      </c>
    </row>
    <row r="43755" spans="9:9" x14ac:dyDescent="0.2">
      <c r="I43755" s="137" t="s">
        <v>74</v>
      </c>
    </row>
    <row r="43756" spans="9:9" x14ac:dyDescent="0.2">
      <c r="I43756" s="137" t="s">
        <v>74</v>
      </c>
    </row>
    <row r="43757" spans="9:9" x14ac:dyDescent="0.2">
      <c r="I43757" s="137" t="s">
        <v>74</v>
      </c>
    </row>
    <row r="43758" spans="9:9" x14ac:dyDescent="0.2">
      <c r="I43758" s="137" t="s">
        <v>74</v>
      </c>
    </row>
    <row r="43759" spans="9:9" x14ac:dyDescent="0.2">
      <c r="I43759" s="137" t="s">
        <v>74</v>
      </c>
    </row>
    <row r="43760" spans="9:9" x14ac:dyDescent="0.2">
      <c r="I43760" s="137" t="s">
        <v>74</v>
      </c>
    </row>
    <row r="43761" spans="9:9" x14ac:dyDescent="0.2">
      <c r="I43761" s="137" t="s">
        <v>74</v>
      </c>
    </row>
    <row r="43762" spans="9:9" x14ac:dyDescent="0.2">
      <c r="I43762" s="137" t="s">
        <v>74</v>
      </c>
    </row>
    <row r="43763" spans="9:9" x14ac:dyDescent="0.2">
      <c r="I43763" s="137" t="s">
        <v>74</v>
      </c>
    </row>
    <row r="43764" spans="9:9" x14ac:dyDescent="0.2">
      <c r="I43764" s="137" t="s">
        <v>74</v>
      </c>
    </row>
    <row r="43765" spans="9:9" x14ac:dyDescent="0.2">
      <c r="I43765" s="137" t="s">
        <v>74</v>
      </c>
    </row>
    <row r="43766" spans="9:9" x14ac:dyDescent="0.2">
      <c r="I43766" s="137" t="s">
        <v>74</v>
      </c>
    </row>
    <row r="43767" spans="9:9" x14ac:dyDescent="0.2">
      <c r="I43767" s="137" t="s">
        <v>74</v>
      </c>
    </row>
    <row r="43768" spans="9:9" x14ac:dyDescent="0.2">
      <c r="I43768" s="137" t="s">
        <v>74</v>
      </c>
    </row>
    <row r="43769" spans="9:9" x14ac:dyDescent="0.2">
      <c r="I43769" s="137" t="s">
        <v>74</v>
      </c>
    </row>
    <row r="43770" spans="9:9" x14ac:dyDescent="0.2">
      <c r="I43770" s="137" t="s">
        <v>74</v>
      </c>
    </row>
    <row r="43771" spans="9:9" x14ac:dyDescent="0.2">
      <c r="I43771" s="137" t="s">
        <v>74</v>
      </c>
    </row>
    <row r="43772" spans="9:9" x14ac:dyDescent="0.2">
      <c r="I43772" s="137" t="s">
        <v>74</v>
      </c>
    </row>
    <row r="43773" spans="9:9" x14ac:dyDescent="0.2">
      <c r="I43773" s="137" t="s">
        <v>74</v>
      </c>
    </row>
    <row r="43774" spans="9:9" x14ac:dyDescent="0.2">
      <c r="I43774" s="137" t="s">
        <v>74</v>
      </c>
    </row>
    <row r="43775" spans="9:9" x14ac:dyDescent="0.2">
      <c r="I43775" s="137" t="s">
        <v>74</v>
      </c>
    </row>
    <row r="43776" spans="9:9" x14ac:dyDescent="0.2">
      <c r="I43776" s="137" t="s">
        <v>74</v>
      </c>
    </row>
    <row r="43777" spans="9:9" x14ac:dyDescent="0.2">
      <c r="I43777" s="137" t="s">
        <v>74</v>
      </c>
    </row>
    <row r="43778" spans="9:9" x14ac:dyDescent="0.2">
      <c r="I43778" s="137" t="s">
        <v>74</v>
      </c>
    </row>
    <row r="43779" spans="9:9" x14ac:dyDescent="0.2">
      <c r="I43779" s="137" t="s">
        <v>74</v>
      </c>
    </row>
    <row r="43780" spans="9:9" x14ac:dyDescent="0.2">
      <c r="I43780" s="137" t="s">
        <v>74</v>
      </c>
    </row>
    <row r="43781" spans="9:9" x14ac:dyDescent="0.2">
      <c r="I43781" s="137" t="s">
        <v>74</v>
      </c>
    </row>
    <row r="43782" spans="9:9" x14ac:dyDescent="0.2">
      <c r="I43782" s="137" t="s">
        <v>74</v>
      </c>
    </row>
    <row r="43783" spans="9:9" x14ac:dyDescent="0.2">
      <c r="I43783" s="137" t="s">
        <v>74</v>
      </c>
    </row>
    <row r="43784" spans="9:9" x14ac:dyDescent="0.2">
      <c r="I43784" s="137" t="s">
        <v>74</v>
      </c>
    </row>
    <row r="43785" spans="9:9" x14ac:dyDescent="0.2">
      <c r="I43785" s="137" t="s">
        <v>74</v>
      </c>
    </row>
    <row r="43786" spans="9:9" x14ac:dyDescent="0.2">
      <c r="I43786" s="137" t="s">
        <v>74</v>
      </c>
    </row>
    <row r="43787" spans="9:9" x14ac:dyDescent="0.2">
      <c r="I43787" s="137" t="s">
        <v>74</v>
      </c>
    </row>
    <row r="43788" spans="9:9" x14ac:dyDescent="0.2">
      <c r="I43788" s="137" t="s">
        <v>74</v>
      </c>
    </row>
    <row r="43789" spans="9:9" x14ac:dyDescent="0.2">
      <c r="I43789" s="137" t="s">
        <v>74</v>
      </c>
    </row>
    <row r="43790" spans="9:9" x14ac:dyDescent="0.2">
      <c r="I43790" s="137" t="s">
        <v>74</v>
      </c>
    </row>
    <row r="43791" spans="9:9" x14ac:dyDescent="0.2">
      <c r="I43791" s="137" t="s">
        <v>74</v>
      </c>
    </row>
    <row r="43792" spans="9:9" x14ac:dyDescent="0.2">
      <c r="I43792" s="137" t="s">
        <v>74</v>
      </c>
    </row>
    <row r="43793" spans="9:9" x14ac:dyDescent="0.2">
      <c r="I43793" s="137" t="s">
        <v>74</v>
      </c>
    </row>
    <row r="43794" spans="9:9" x14ac:dyDescent="0.2">
      <c r="I43794" s="137" t="s">
        <v>74</v>
      </c>
    </row>
    <row r="43795" spans="9:9" x14ac:dyDescent="0.2">
      <c r="I43795" s="137" t="s">
        <v>74</v>
      </c>
    </row>
    <row r="43796" spans="9:9" x14ac:dyDescent="0.2">
      <c r="I43796" s="137" t="s">
        <v>74</v>
      </c>
    </row>
    <row r="43797" spans="9:9" x14ac:dyDescent="0.2">
      <c r="I43797" s="137" t="s">
        <v>74</v>
      </c>
    </row>
    <row r="43798" spans="9:9" x14ac:dyDescent="0.2">
      <c r="I43798" s="137" t="s">
        <v>74</v>
      </c>
    </row>
    <row r="43799" spans="9:9" x14ac:dyDescent="0.2">
      <c r="I43799" s="137" t="s">
        <v>74</v>
      </c>
    </row>
    <row r="43800" spans="9:9" x14ac:dyDescent="0.2">
      <c r="I43800" s="137" t="s">
        <v>74</v>
      </c>
    </row>
    <row r="43801" spans="9:9" x14ac:dyDescent="0.2">
      <c r="I43801" s="137" t="s">
        <v>74</v>
      </c>
    </row>
    <row r="43802" spans="9:9" x14ac:dyDescent="0.2">
      <c r="I43802" s="137" t="s">
        <v>74</v>
      </c>
    </row>
    <row r="43803" spans="9:9" x14ac:dyDescent="0.2">
      <c r="I43803" s="137" t="s">
        <v>74</v>
      </c>
    </row>
    <row r="43804" spans="9:9" x14ac:dyDescent="0.2">
      <c r="I43804" s="137" t="s">
        <v>74</v>
      </c>
    </row>
    <row r="43805" spans="9:9" x14ac:dyDescent="0.2">
      <c r="I43805" s="137" t="s">
        <v>74</v>
      </c>
    </row>
    <row r="43806" spans="9:9" x14ac:dyDescent="0.2">
      <c r="I43806" s="137" t="s">
        <v>74</v>
      </c>
    </row>
    <row r="43807" spans="9:9" x14ac:dyDescent="0.2">
      <c r="I43807" s="137" t="s">
        <v>74</v>
      </c>
    </row>
    <row r="43808" spans="9:9" x14ac:dyDescent="0.2">
      <c r="I43808" s="137" t="s">
        <v>74</v>
      </c>
    </row>
    <row r="43809" spans="9:9" x14ac:dyDescent="0.2">
      <c r="I43809" s="137" t="s">
        <v>74</v>
      </c>
    </row>
    <row r="43810" spans="9:9" x14ac:dyDescent="0.2">
      <c r="I43810" s="137" t="s">
        <v>74</v>
      </c>
    </row>
    <row r="43811" spans="9:9" x14ac:dyDescent="0.2">
      <c r="I43811" s="137" t="s">
        <v>74</v>
      </c>
    </row>
    <row r="43812" spans="9:9" x14ac:dyDescent="0.2">
      <c r="I43812" s="137" t="s">
        <v>74</v>
      </c>
    </row>
    <row r="43813" spans="9:9" x14ac:dyDescent="0.2">
      <c r="I43813" s="137" t="s">
        <v>74</v>
      </c>
    </row>
    <row r="43814" spans="9:9" x14ac:dyDescent="0.2">
      <c r="I43814" s="137" t="s">
        <v>74</v>
      </c>
    </row>
    <row r="43815" spans="9:9" x14ac:dyDescent="0.2">
      <c r="I43815" s="137" t="s">
        <v>74</v>
      </c>
    </row>
    <row r="43816" spans="9:9" x14ac:dyDescent="0.2">
      <c r="I43816" s="137" t="s">
        <v>74</v>
      </c>
    </row>
    <row r="43817" spans="9:9" x14ac:dyDescent="0.2">
      <c r="I43817" s="137" t="s">
        <v>74</v>
      </c>
    </row>
    <row r="43818" spans="9:9" x14ac:dyDescent="0.2">
      <c r="I43818" s="137" t="s">
        <v>74</v>
      </c>
    </row>
    <row r="43819" spans="9:9" x14ac:dyDescent="0.2">
      <c r="I43819" s="137" t="s">
        <v>74</v>
      </c>
    </row>
    <row r="43820" spans="9:9" x14ac:dyDescent="0.2">
      <c r="I43820" s="137" t="s">
        <v>74</v>
      </c>
    </row>
    <row r="43821" spans="9:9" x14ac:dyDescent="0.2">
      <c r="I43821" s="137" t="s">
        <v>74</v>
      </c>
    </row>
    <row r="43822" spans="9:9" x14ac:dyDescent="0.2">
      <c r="I43822" s="137" t="s">
        <v>74</v>
      </c>
    </row>
    <row r="43823" spans="9:9" x14ac:dyDescent="0.2">
      <c r="I43823" s="137" t="s">
        <v>74</v>
      </c>
    </row>
    <row r="43824" spans="9:9" x14ac:dyDescent="0.2">
      <c r="I43824" s="137" t="s">
        <v>74</v>
      </c>
    </row>
    <row r="43825" spans="9:9" x14ac:dyDescent="0.2">
      <c r="I43825" s="137" t="s">
        <v>74</v>
      </c>
    </row>
    <row r="43826" spans="9:9" x14ac:dyDescent="0.2">
      <c r="I43826" s="137" t="s">
        <v>74</v>
      </c>
    </row>
    <row r="43827" spans="9:9" x14ac:dyDescent="0.2">
      <c r="I43827" s="137" t="s">
        <v>74</v>
      </c>
    </row>
    <row r="43828" spans="9:9" x14ac:dyDescent="0.2">
      <c r="I43828" s="137" t="s">
        <v>74</v>
      </c>
    </row>
    <row r="43829" spans="9:9" x14ac:dyDescent="0.2">
      <c r="I43829" s="137" t="s">
        <v>74</v>
      </c>
    </row>
    <row r="43830" spans="9:9" x14ac:dyDescent="0.2">
      <c r="I43830" s="137" t="s">
        <v>74</v>
      </c>
    </row>
    <row r="43831" spans="9:9" x14ac:dyDescent="0.2">
      <c r="I43831" s="137" t="s">
        <v>74</v>
      </c>
    </row>
    <row r="43832" spans="9:9" x14ac:dyDescent="0.2">
      <c r="I43832" s="137" t="s">
        <v>74</v>
      </c>
    </row>
    <row r="43833" spans="9:9" x14ac:dyDescent="0.2">
      <c r="I43833" s="137" t="s">
        <v>74</v>
      </c>
    </row>
    <row r="43834" spans="9:9" x14ac:dyDescent="0.2">
      <c r="I43834" s="137" t="s">
        <v>74</v>
      </c>
    </row>
    <row r="43835" spans="9:9" x14ac:dyDescent="0.2">
      <c r="I43835" s="137" t="s">
        <v>74</v>
      </c>
    </row>
    <row r="43836" spans="9:9" x14ac:dyDescent="0.2">
      <c r="I43836" s="137" t="s">
        <v>74</v>
      </c>
    </row>
    <row r="43837" spans="9:9" x14ac:dyDescent="0.2">
      <c r="I43837" s="137" t="s">
        <v>74</v>
      </c>
    </row>
    <row r="43838" spans="9:9" x14ac:dyDescent="0.2">
      <c r="I43838" s="137" t="s">
        <v>74</v>
      </c>
    </row>
    <row r="43839" spans="9:9" x14ac:dyDescent="0.2">
      <c r="I43839" s="137" t="s">
        <v>74</v>
      </c>
    </row>
    <row r="43840" spans="9:9" x14ac:dyDescent="0.2">
      <c r="I43840" s="137" t="s">
        <v>74</v>
      </c>
    </row>
    <row r="43841" spans="9:9" x14ac:dyDescent="0.2">
      <c r="I43841" s="137" t="s">
        <v>74</v>
      </c>
    </row>
    <row r="43842" spans="9:9" x14ac:dyDescent="0.2">
      <c r="I43842" s="137" t="s">
        <v>74</v>
      </c>
    </row>
    <row r="43843" spans="9:9" x14ac:dyDescent="0.2">
      <c r="I43843" s="137" t="s">
        <v>74</v>
      </c>
    </row>
    <row r="43844" spans="9:9" x14ac:dyDescent="0.2">
      <c r="I43844" s="137" t="s">
        <v>74</v>
      </c>
    </row>
    <row r="43845" spans="9:9" x14ac:dyDescent="0.2">
      <c r="I43845" s="137" t="s">
        <v>74</v>
      </c>
    </row>
    <row r="43846" spans="9:9" x14ac:dyDescent="0.2">
      <c r="I43846" s="137" t="s">
        <v>74</v>
      </c>
    </row>
    <row r="43847" spans="9:9" x14ac:dyDescent="0.2">
      <c r="I43847" s="137" t="s">
        <v>74</v>
      </c>
    </row>
    <row r="43848" spans="9:9" x14ac:dyDescent="0.2">
      <c r="I43848" s="137" t="s">
        <v>74</v>
      </c>
    </row>
    <row r="43849" spans="9:9" x14ac:dyDescent="0.2">
      <c r="I43849" s="137" t="s">
        <v>74</v>
      </c>
    </row>
    <row r="43850" spans="9:9" x14ac:dyDescent="0.2">
      <c r="I43850" s="137" t="s">
        <v>74</v>
      </c>
    </row>
    <row r="43851" spans="9:9" x14ac:dyDescent="0.2">
      <c r="I43851" s="137" t="s">
        <v>74</v>
      </c>
    </row>
    <row r="43852" spans="9:9" x14ac:dyDescent="0.2">
      <c r="I43852" s="137" t="s">
        <v>74</v>
      </c>
    </row>
    <row r="43853" spans="9:9" x14ac:dyDescent="0.2">
      <c r="I43853" s="137" t="s">
        <v>74</v>
      </c>
    </row>
    <row r="43854" spans="9:9" x14ac:dyDescent="0.2">
      <c r="I43854" s="137" t="s">
        <v>74</v>
      </c>
    </row>
    <row r="43855" spans="9:9" x14ac:dyDescent="0.2">
      <c r="I43855" s="137" t="s">
        <v>74</v>
      </c>
    </row>
    <row r="43856" spans="9:9" x14ac:dyDescent="0.2">
      <c r="I43856" s="137" t="s">
        <v>74</v>
      </c>
    </row>
    <row r="43857" spans="9:9" x14ac:dyDescent="0.2">
      <c r="I43857" s="137" t="s">
        <v>74</v>
      </c>
    </row>
    <row r="43858" spans="9:9" x14ac:dyDescent="0.2">
      <c r="I43858" s="137" t="s">
        <v>74</v>
      </c>
    </row>
    <row r="43859" spans="9:9" x14ac:dyDescent="0.2">
      <c r="I43859" s="137" t="s">
        <v>74</v>
      </c>
    </row>
    <row r="43860" spans="9:9" x14ac:dyDescent="0.2">
      <c r="I43860" s="137" t="s">
        <v>74</v>
      </c>
    </row>
    <row r="43861" spans="9:9" x14ac:dyDescent="0.2">
      <c r="I43861" s="137" t="s">
        <v>74</v>
      </c>
    </row>
    <row r="43862" spans="9:9" x14ac:dyDescent="0.2">
      <c r="I43862" s="137" t="s">
        <v>74</v>
      </c>
    </row>
    <row r="43863" spans="9:9" x14ac:dyDescent="0.2">
      <c r="I43863" s="137" t="s">
        <v>74</v>
      </c>
    </row>
    <row r="43864" spans="9:9" x14ac:dyDescent="0.2">
      <c r="I43864" s="137" t="s">
        <v>74</v>
      </c>
    </row>
    <row r="43865" spans="9:9" x14ac:dyDescent="0.2">
      <c r="I43865" s="137" t="s">
        <v>74</v>
      </c>
    </row>
    <row r="43866" spans="9:9" x14ac:dyDescent="0.2">
      <c r="I43866" s="137" t="s">
        <v>74</v>
      </c>
    </row>
    <row r="43867" spans="9:9" x14ac:dyDescent="0.2">
      <c r="I43867" s="137" t="s">
        <v>74</v>
      </c>
    </row>
    <row r="43868" spans="9:9" x14ac:dyDescent="0.2">
      <c r="I43868" s="137" t="s">
        <v>74</v>
      </c>
    </row>
    <row r="43869" spans="9:9" x14ac:dyDescent="0.2">
      <c r="I43869" s="137" t="s">
        <v>74</v>
      </c>
    </row>
    <row r="43870" spans="9:9" x14ac:dyDescent="0.2">
      <c r="I43870" s="137" t="s">
        <v>74</v>
      </c>
    </row>
    <row r="43871" spans="9:9" x14ac:dyDescent="0.2">
      <c r="I43871" s="137" t="s">
        <v>74</v>
      </c>
    </row>
    <row r="43872" spans="9:9" x14ac:dyDescent="0.2">
      <c r="I43872" s="137" t="s">
        <v>74</v>
      </c>
    </row>
    <row r="43873" spans="9:9" x14ac:dyDescent="0.2">
      <c r="I43873" s="137" t="s">
        <v>74</v>
      </c>
    </row>
    <row r="43874" spans="9:9" x14ac:dyDescent="0.2">
      <c r="I43874" s="137" t="s">
        <v>74</v>
      </c>
    </row>
    <row r="43875" spans="9:9" x14ac:dyDescent="0.2">
      <c r="I43875" s="137" t="s">
        <v>74</v>
      </c>
    </row>
    <row r="43876" spans="9:9" x14ac:dyDescent="0.2">
      <c r="I43876" s="137" t="s">
        <v>74</v>
      </c>
    </row>
    <row r="43877" spans="9:9" x14ac:dyDescent="0.2">
      <c r="I43877" s="137" t="s">
        <v>74</v>
      </c>
    </row>
    <row r="43878" spans="9:9" x14ac:dyDescent="0.2">
      <c r="I43878" s="137" t="s">
        <v>74</v>
      </c>
    </row>
    <row r="43879" spans="9:9" x14ac:dyDescent="0.2">
      <c r="I43879" s="137" t="s">
        <v>74</v>
      </c>
    </row>
    <row r="43880" spans="9:9" x14ac:dyDescent="0.2">
      <c r="I43880" s="137" t="s">
        <v>74</v>
      </c>
    </row>
    <row r="43881" spans="9:9" x14ac:dyDescent="0.2">
      <c r="I43881" s="137" t="s">
        <v>74</v>
      </c>
    </row>
    <row r="43882" spans="9:9" x14ac:dyDescent="0.2">
      <c r="I43882" s="137" t="s">
        <v>74</v>
      </c>
    </row>
    <row r="43883" spans="9:9" x14ac:dyDescent="0.2">
      <c r="I43883" s="137" t="s">
        <v>74</v>
      </c>
    </row>
    <row r="43884" spans="9:9" x14ac:dyDescent="0.2">
      <c r="I43884" s="137" t="s">
        <v>74</v>
      </c>
    </row>
    <row r="43885" spans="9:9" x14ac:dyDescent="0.2">
      <c r="I43885" s="137" t="s">
        <v>74</v>
      </c>
    </row>
    <row r="43886" spans="9:9" x14ac:dyDescent="0.2">
      <c r="I43886" s="137" t="s">
        <v>74</v>
      </c>
    </row>
    <row r="43887" spans="9:9" x14ac:dyDescent="0.2">
      <c r="I43887" s="137" t="s">
        <v>74</v>
      </c>
    </row>
    <row r="43888" spans="9:9" x14ac:dyDescent="0.2">
      <c r="I43888" s="137" t="s">
        <v>74</v>
      </c>
    </row>
    <row r="43889" spans="9:9" x14ac:dyDescent="0.2">
      <c r="I43889" s="137" t="s">
        <v>74</v>
      </c>
    </row>
    <row r="43890" spans="9:9" x14ac:dyDescent="0.2">
      <c r="I43890" s="137" t="s">
        <v>74</v>
      </c>
    </row>
    <row r="43891" spans="9:9" x14ac:dyDescent="0.2">
      <c r="I43891" s="137" t="s">
        <v>74</v>
      </c>
    </row>
    <row r="43892" spans="9:9" x14ac:dyDescent="0.2">
      <c r="I43892" s="137" t="s">
        <v>74</v>
      </c>
    </row>
    <row r="43893" spans="9:9" x14ac:dyDescent="0.2">
      <c r="I43893" s="137" t="s">
        <v>74</v>
      </c>
    </row>
    <row r="43894" spans="9:9" x14ac:dyDescent="0.2">
      <c r="I43894" s="137" t="s">
        <v>74</v>
      </c>
    </row>
    <row r="43895" spans="9:9" x14ac:dyDescent="0.2">
      <c r="I43895" s="137" t="s">
        <v>74</v>
      </c>
    </row>
    <row r="43896" spans="9:9" x14ac:dyDescent="0.2">
      <c r="I43896" s="137" t="s">
        <v>74</v>
      </c>
    </row>
    <row r="43897" spans="9:9" x14ac:dyDescent="0.2">
      <c r="I43897" s="137" t="s">
        <v>74</v>
      </c>
    </row>
    <row r="43898" spans="9:9" x14ac:dyDescent="0.2">
      <c r="I43898" s="137" t="s">
        <v>74</v>
      </c>
    </row>
    <row r="43899" spans="9:9" x14ac:dyDescent="0.2">
      <c r="I43899" s="137" t="s">
        <v>74</v>
      </c>
    </row>
    <row r="43900" spans="9:9" x14ac:dyDescent="0.2">
      <c r="I43900" s="137" t="s">
        <v>74</v>
      </c>
    </row>
    <row r="43901" spans="9:9" x14ac:dyDescent="0.2">
      <c r="I43901" s="137" t="s">
        <v>74</v>
      </c>
    </row>
    <row r="43902" spans="9:9" x14ac:dyDescent="0.2">
      <c r="I43902" s="137" t="s">
        <v>74</v>
      </c>
    </row>
    <row r="43903" spans="9:9" x14ac:dyDescent="0.2">
      <c r="I43903" s="137" t="s">
        <v>74</v>
      </c>
    </row>
    <row r="43904" spans="9:9" x14ac:dyDescent="0.2">
      <c r="I43904" s="137" t="s">
        <v>74</v>
      </c>
    </row>
    <row r="43905" spans="9:9" x14ac:dyDescent="0.2">
      <c r="I43905" s="137" t="s">
        <v>74</v>
      </c>
    </row>
    <row r="43906" spans="9:9" x14ac:dyDescent="0.2">
      <c r="I43906" s="137" t="s">
        <v>74</v>
      </c>
    </row>
    <row r="43907" spans="9:9" x14ac:dyDescent="0.2">
      <c r="I43907" s="137" t="s">
        <v>74</v>
      </c>
    </row>
    <row r="43908" spans="9:9" x14ac:dyDescent="0.2">
      <c r="I43908" s="137" t="s">
        <v>74</v>
      </c>
    </row>
    <row r="43909" spans="9:9" x14ac:dyDescent="0.2">
      <c r="I43909" s="137" t="s">
        <v>74</v>
      </c>
    </row>
    <row r="43910" spans="9:9" x14ac:dyDescent="0.2">
      <c r="I43910" s="137" t="s">
        <v>74</v>
      </c>
    </row>
    <row r="43911" spans="9:9" x14ac:dyDescent="0.2">
      <c r="I43911" s="137" t="s">
        <v>74</v>
      </c>
    </row>
    <row r="43912" spans="9:9" x14ac:dyDescent="0.2">
      <c r="I43912" s="137" t="s">
        <v>74</v>
      </c>
    </row>
    <row r="43913" spans="9:9" x14ac:dyDescent="0.2">
      <c r="I43913" s="137" t="s">
        <v>74</v>
      </c>
    </row>
    <row r="43914" spans="9:9" x14ac:dyDescent="0.2">
      <c r="I43914" s="137" t="s">
        <v>74</v>
      </c>
    </row>
    <row r="43915" spans="9:9" x14ac:dyDescent="0.2">
      <c r="I43915" s="137" t="s">
        <v>74</v>
      </c>
    </row>
    <row r="43916" spans="9:9" x14ac:dyDescent="0.2">
      <c r="I43916" s="137" t="s">
        <v>74</v>
      </c>
    </row>
    <row r="43917" spans="9:9" x14ac:dyDescent="0.2">
      <c r="I43917" s="137" t="s">
        <v>74</v>
      </c>
    </row>
    <row r="43918" spans="9:9" x14ac:dyDescent="0.2">
      <c r="I43918" s="137" t="s">
        <v>74</v>
      </c>
    </row>
    <row r="43919" spans="9:9" x14ac:dyDescent="0.2">
      <c r="I43919" s="137" t="s">
        <v>74</v>
      </c>
    </row>
    <row r="43920" spans="9:9" x14ac:dyDescent="0.2">
      <c r="I43920" s="137" t="s">
        <v>74</v>
      </c>
    </row>
    <row r="43921" spans="9:9" x14ac:dyDescent="0.2">
      <c r="I43921" s="137" t="s">
        <v>74</v>
      </c>
    </row>
    <row r="43922" spans="9:9" x14ac:dyDescent="0.2">
      <c r="I43922" s="137" t="s">
        <v>74</v>
      </c>
    </row>
    <row r="43923" spans="9:9" x14ac:dyDescent="0.2">
      <c r="I43923" s="137" t="s">
        <v>74</v>
      </c>
    </row>
    <row r="43924" spans="9:9" x14ac:dyDescent="0.2">
      <c r="I43924" s="137" t="s">
        <v>74</v>
      </c>
    </row>
    <row r="43925" spans="9:9" x14ac:dyDescent="0.2">
      <c r="I43925" s="137" t="s">
        <v>74</v>
      </c>
    </row>
    <row r="43926" spans="9:9" x14ac:dyDescent="0.2">
      <c r="I43926" s="137" t="s">
        <v>74</v>
      </c>
    </row>
    <row r="43927" spans="9:9" x14ac:dyDescent="0.2">
      <c r="I43927" s="137" t="s">
        <v>74</v>
      </c>
    </row>
    <row r="43928" spans="9:9" x14ac:dyDescent="0.2">
      <c r="I43928" s="137" t="s">
        <v>74</v>
      </c>
    </row>
    <row r="43929" spans="9:9" x14ac:dyDescent="0.2">
      <c r="I43929" s="137" t="s">
        <v>74</v>
      </c>
    </row>
    <row r="43930" spans="9:9" x14ac:dyDescent="0.2">
      <c r="I43930" s="137" t="s">
        <v>74</v>
      </c>
    </row>
    <row r="43931" spans="9:9" x14ac:dyDescent="0.2">
      <c r="I43931" s="137" t="s">
        <v>74</v>
      </c>
    </row>
    <row r="43932" spans="9:9" x14ac:dyDescent="0.2">
      <c r="I43932" s="137" t="s">
        <v>74</v>
      </c>
    </row>
    <row r="43933" spans="9:9" x14ac:dyDescent="0.2">
      <c r="I43933" s="137" t="s">
        <v>74</v>
      </c>
    </row>
    <row r="43934" spans="9:9" x14ac:dyDescent="0.2">
      <c r="I43934" s="137" t="s">
        <v>74</v>
      </c>
    </row>
    <row r="43935" spans="9:9" x14ac:dyDescent="0.2">
      <c r="I43935" s="137" t="s">
        <v>74</v>
      </c>
    </row>
    <row r="43936" spans="9:9" x14ac:dyDescent="0.2">
      <c r="I43936" s="137" t="s">
        <v>74</v>
      </c>
    </row>
    <row r="43937" spans="9:9" x14ac:dyDescent="0.2">
      <c r="I43937" s="137" t="s">
        <v>74</v>
      </c>
    </row>
    <row r="43938" spans="9:9" x14ac:dyDescent="0.2">
      <c r="I43938" s="137" t="s">
        <v>74</v>
      </c>
    </row>
    <row r="43939" spans="9:9" x14ac:dyDescent="0.2">
      <c r="I43939" s="137" t="s">
        <v>74</v>
      </c>
    </row>
    <row r="43940" spans="9:9" x14ac:dyDescent="0.2">
      <c r="I43940" s="137" t="s">
        <v>74</v>
      </c>
    </row>
    <row r="43941" spans="9:9" x14ac:dyDescent="0.2">
      <c r="I43941" s="137" t="s">
        <v>74</v>
      </c>
    </row>
    <row r="43942" spans="9:9" x14ac:dyDescent="0.2">
      <c r="I43942" s="137" t="s">
        <v>74</v>
      </c>
    </row>
    <row r="43943" spans="9:9" x14ac:dyDescent="0.2">
      <c r="I43943" s="137" t="s">
        <v>74</v>
      </c>
    </row>
    <row r="43944" spans="9:9" x14ac:dyDescent="0.2">
      <c r="I43944" s="137" t="s">
        <v>74</v>
      </c>
    </row>
    <row r="43945" spans="9:9" x14ac:dyDescent="0.2">
      <c r="I43945" s="137" t="s">
        <v>74</v>
      </c>
    </row>
    <row r="43946" spans="9:9" x14ac:dyDescent="0.2">
      <c r="I43946" s="137" t="s">
        <v>74</v>
      </c>
    </row>
    <row r="43947" spans="9:9" x14ac:dyDescent="0.2">
      <c r="I43947" s="137" t="s">
        <v>74</v>
      </c>
    </row>
    <row r="43948" spans="9:9" x14ac:dyDescent="0.2">
      <c r="I43948" s="137" t="s">
        <v>74</v>
      </c>
    </row>
    <row r="43949" spans="9:9" x14ac:dyDescent="0.2">
      <c r="I43949" s="137" t="s">
        <v>74</v>
      </c>
    </row>
    <row r="43950" spans="9:9" x14ac:dyDescent="0.2">
      <c r="I43950" s="137" t="s">
        <v>74</v>
      </c>
    </row>
    <row r="43951" spans="9:9" x14ac:dyDescent="0.2">
      <c r="I43951" s="137" t="s">
        <v>74</v>
      </c>
    </row>
    <row r="43952" spans="9:9" x14ac:dyDescent="0.2">
      <c r="I43952" s="137" t="s">
        <v>74</v>
      </c>
    </row>
    <row r="43953" spans="9:9" x14ac:dyDescent="0.2">
      <c r="I43953" s="137" t="s">
        <v>74</v>
      </c>
    </row>
    <row r="43954" spans="9:9" x14ac:dyDescent="0.2">
      <c r="I43954" s="137" t="s">
        <v>74</v>
      </c>
    </row>
    <row r="43955" spans="9:9" x14ac:dyDescent="0.2">
      <c r="I43955" s="137" t="s">
        <v>74</v>
      </c>
    </row>
    <row r="43956" spans="9:9" x14ac:dyDescent="0.2">
      <c r="I43956" s="137" t="s">
        <v>74</v>
      </c>
    </row>
    <row r="43957" spans="9:9" x14ac:dyDescent="0.2">
      <c r="I43957" s="137" t="s">
        <v>74</v>
      </c>
    </row>
    <row r="43958" spans="9:9" x14ac:dyDescent="0.2">
      <c r="I43958" s="137" t="s">
        <v>74</v>
      </c>
    </row>
    <row r="43959" spans="9:9" x14ac:dyDescent="0.2">
      <c r="I43959" s="137" t="s">
        <v>74</v>
      </c>
    </row>
    <row r="43960" spans="9:9" x14ac:dyDescent="0.2">
      <c r="I43960" s="137" t="s">
        <v>74</v>
      </c>
    </row>
    <row r="43961" spans="9:9" x14ac:dyDescent="0.2">
      <c r="I43961" s="137" t="s">
        <v>74</v>
      </c>
    </row>
    <row r="43962" spans="9:9" x14ac:dyDescent="0.2">
      <c r="I43962" s="137" t="s">
        <v>74</v>
      </c>
    </row>
    <row r="43963" spans="9:9" x14ac:dyDescent="0.2">
      <c r="I43963" s="137" t="s">
        <v>74</v>
      </c>
    </row>
    <row r="43964" spans="9:9" x14ac:dyDescent="0.2">
      <c r="I43964" s="137" t="s">
        <v>74</v>
      </c>
    </row>
    <row r="43965" spans="9:9" x14ac:dyDescent="0.2">
      <c r="I43965" s="137" t="s">
        <v>74</v>
      </c>
    </row>
    <row r="43966" spans="9:9" x14ac:dyDescent="0.2">
      <c r="I43966" s="137" t="s">
        <v>74</v>
      </c>
    </row>
    <row r="43967" spans="9:9" x14ac:dyDescent="0.2">
      <c r="I43967" s="137" t="s">
        <v>74</v>
      </c>
    </row>
    <row r="43968" spans="9:9" x14ac:dyDescent="0.2">
      <c r="I43968" s="137" t="s">
        <v>74</v>
      </c>
    </row>
    <row r="43969" spans="9:9" x14ac:dyDescent="0.2">
      <c r="I43969" s="137" t="s">
        <v>74</v>
      </c>
    </row>
    <row r="43970" spans="9:9" x14ac:dyDescent="0.2">
      <c r="I43970" s="137" t="s">
        <v>74</v>
      </c>
    </row>
    <row r="43971" spans="9:9" x14ac:dyDescent="0.2">
      <c r="I43971" s="137" t="s">
        <v>74</v>
      </c>
    </row>
    <row r="43972" spans="9:9" x14ac:dyDescent="0.2">
      <c r="I43972" s="137" t="s">
        <v>74</v>
      </c>
    </row>
    <row r="43973" spans="9:9" x14ac:dyDescent="0.2">
      <c r="I43973" s="137" t="s">
        <v>74</v>
      </c>
    </row>
    <row r="43974" spans="9:9" x14ac:dyDescent="0.2">
      <c r="I43974" s="137" t="s">
        <v>74</v>
      </c>
    </row>
    <row r="43975" spans="9:9" x14ac:dyDescent="0.2">
      <c r="I43975" s="137" t="s">
        <v>74</v>
      </c>
    </row>
    <row r="43976" spans="9:9" x14ac:dyDescent="0.2">
      <c r="I43976" s="137" t="s">
        <v>74</v>
      </c>
    </row>
    <row r="43977" spans="9:9" x14ac:dyDescent="0.2">
      <c r="I43977" s="137" t="s">
        <v>74</v>
      </c>
    </row>
    <row r="43978" spans="9:9" x14ac:dyDescent="0.2">
      <c r="I43978" s="137" t="s">
        <v>74</v>
      </c>
    </row>
    <row r="43979" spans="9:9" x14ac:dyDescent="0.2">
      <c r="I43979" s="137" t="s">
        <v>74</v>
      </c>
    </row>
    <row r="43980" spans="9:9" x14ac:dyDescent="0.2">
      <c r="I43980" s="137" t="s">
        <v>74</v>
      </c>
    </row>
    <row r="43981" spans="9:9" x14ac:dyDescent="0.2">
      <c r="I43981" s="137" t="s">
        <v>74</v>
      </c>
    </row>
    <row r="43982" spans="9:9" x14ac:dyDescent="0.2">
      <c r="I43982" s="137" t="s">
        <v>74</v>
      </c>
    </row>
    <row r="43983" spans="9:9" x14ac:dyDescent="0.2">
      <c r="I43983" s="137" t="s">
        <v>74</v>
      </c>
    </row>
    <row r="43984" spans="9:9" x14ac:dyDescent="0.2">
      <c r="I43984" s="137" t="s">
        <v>74</v>
      </c>
    </row>
    <row r="43985" spans="9:9" x14ac:dyDescent="0.2">
      <c r="I43985" s="137" t="s">
        <v>74</v>
      </c>
    </row>
    <row r="43986" spans="9:9" x14ac:dyDescent="0.2">
      <c r="I43986" s="137" t="s">
        <v>74</v>
      </c>
    </row>
    <row r="43987" spans="9:9" x14ac:dyDescent="0.2">
      <c r="I43987" s="137" t="s">
        <v>74</v>
      </c>
    </row>
    <row r="43988" spans="9:9" x14ac:dyDescent="0.2">
      <c r="I43988" s="137" t="s">
        <v>74</v>
      </c>
    </row>
    <row r="43989" spans="9:9" x14ac:dyDescent="0.2">
      <c r="I43989" s="137" t="s">
        <v>74</v>
      </c>
    </row>
    <row r="43990" spans="9:9" x14ac:dyDescent="0.2">
      <c r="I43990" s="137" t="s">
        <v>74</v>
      </c>
    </row>
    <row r="43991" spans="9:9" x14ac:dyDescent="0.2">
      <c r="I43991" s="137" t="s">
        <v>74</v>
      </c>
    </row>
    <row r="43992" spans="9:9" x14ac:dyDescent="0.2">
      <c r="I43992" s="137" t="s">
        <v>74</v>
      </c>
    </row>
    <row r="43993" spans="9:9" x14ac:dyDescent="0.2">
      <c r="I43993" s="137" t="s">
        <v>74</v>
      </c>
    </row>
    <row r="43994" spans="9:9" x14ac:dyDescent="0.2">
      <c r="I43994" s="137" t="s">
        <v>74</v>
      </c>
    </row>
    <row r="43995" spans="9:9" x14ac:dyDescent="0.2">
      <c r="I43995" s="137" t="s">
        <v>74</v>
      </c>
    </row>
    <row r="43996" spans="9:9" x14ac:dyDescent="0.2">
      <c r="I43996" s="137" t="s">
        <v>74</v>
      </c>
    </row>
    <row r="43997" spans="9:9" x14ac:dyDescent="0.2">
      <c r="I43997" s="137" t="s">
        <v>74</v>
      </c>
    </row>
    <row r="43998" spans="9:9" x14ac:dyDescent="0.2">
      <c r="I43998" s="137" t="s">
        <v>74</v>
      </c>
    </row>
    <row r="43999" spans="9:9" x14ac:dyDescent="0.2">
      <c r="I43999" s="137" t="s">
        <v>74</v>
      </c>
    </row>
    <row r="44000" spans="9:9" x14ac:dyDescent="0.2">
      <c r="I44000" s="137" t="s">
        <v>74</v>
      </c>
    </row>
    <row r="44001" spans="9:9" x14ac:dyDescent="0.2">
      <c r="I44001" s="137" t="s">
        <v>74</v>
      </c>
    </row>
    <row r="44002" spans="9:9" x14ac:dyDescent="0.2">
      <c r="I44002" s="137" t="s">
        <v>74</v>
      </c>
    </row>
    <row r="44003" spans="9:9" x14ac:dyDescent="0.2">
      <c r="I44003" s="137" t="s">
        <v>74</v>
      </c>
    </row>
    <row r="44004" spans="9:9" x14ac:dyDescent="0.2">
      <c r="I44004" s="137" t="s">
        <v>74</v>
      </c>
    </row>
    <row r="44005" spans="9:9" x14ac:dyDescent="0.2">
      <c r="I44005" s="137" t="s">
        <v>74</v>
      </c>
    </row>
    <row r="44006" spans="9:9" x14ac:dyDescent="0.2">
      <c r="I44006" s="137" t="s">
        <v>74</v>
      </c>
    </row>
    <row r="44007" spans="9:9" x14ac:dyDescent="0.2">
      <c r="I44007" s="137" t="s">
        <v>74</v>
      </c>
    </row>
    <row r="44008" spans="9:9" x14ac:dyDescent="0.2">
      <c r="I44008" s="137" t="s">
        <v>74</v>
      </c>
    </row>
    <row r="44009" spans="9:9" x14ac:dyDescent="0.2">
      <c r="I44009" s="137" t="s">
        <v>74</v>
      </c>
    </row>
    <row r="44010" spans="9:9" x14ac:dyDescent="0.2">
      <c r="I44010" s="137" t="s">
        <v>74</v>
      </c>
    </row>
    <row r="44011" spans="9:9" x14ac:dyDescent="0.2">
      <c r="I44011" s="137" t="s">
        <v>74</v>
      </c>
    </row>
    <row r="44012" spans="9:9" x14ac:dyDescent="0.2">
      <c r="I44012" s="137" t="s">
        <v>74</v>
      </c>
    </row>
    <row r="44013" spans="9:9" x14ac:dyDescent="0.2">
      <c r="I44013" s="137" t="s">
        <v>74</v>
      </c>
    </row>
    <row r="44014" spans="9:9" x14ac:dyDescent="0.2">
      <c r="I44014" s="137" t="s">
        <v>74</v>
      </c>
    </row>
    <row r="44015" spans="9:9" x14ac:dyDescent="0.2">
      <c r="I44015" s="137" t="s">
        <v>74</v>
      </c>
    </row>
    <row r="44016" spans="9:9" x14ac:dyDescent="0.2">
      <c r="I44016" s="137" t="s">
        <v>74</v>
      </c>
    </row>
    <row r="44017" spans="9:9" x14ac:dyDescent="0.2">
      <c r="I44017" s="137" t="s">
        <v>74</v>
      </c>
    </row>
    <row r="44018" spans="9:9" x14ac:dyDescent="0.2">
      <c r="I44018" s="137" t="s">
        <v>74</v>
      </c>
    </row>
    <row r="44019" spans="9:9" x14ac:dyDescent="0.2">
      <c r="I44019" s="137" t="s">
        <v>74</v>
      </c>
    </row>
    <row r="44020" spans="9:9" x14ac:dyDescent="0.2">
      <c r="I44020" s="137" t="s">
        <v>74</v>
      </c>
    </row>
    <row r="44021" spans="9:9" x14ac:dyDescent="0.2">
      <c r="I44021" s="137" t="s">
        <v>74</v>
      </c>
    </row>
    <row r="44022" spans="9:9" x14ac:dyDescent="0.2">
      <c r="I44022" s="137" t="s">
        <v>74</v>
      </c>
    </row>
    <row r="44023" spans="9:9" x14ac:dyDescent="0.2">
      <c r="I44023" s="137" t="s">
        <v>74</v>
      </c>
    </row>
    <row r="44024" spans="9:9" x14ac:dyDescent="0.2">
      <c r="I44024" s="137" t="s">
        <v>74</v>
      </c>
    </row>
    <row r="44025" spans="9:9" x14ac:dyDescent="0.2">
      <c r="I44025" s="137" t="s">
        <v>74</v>
      </c>
    </row>
    <row r="44026" spans="9:9" x14ac:dyDescent="0.2">
      <c r="I44026" s="137" t="s">
        <v>74</v>
      </c>
    </row>
    <row r="44027" spans="9:9" x14ac:dyDescent="0.2">
      <c r="I44027" s="137" t="s">
        <v>74</v>
      </c>
    </row>
    <row r="44028" spans="9:9" x14ac:dyDescent="0.2">
      <c r="I44028" s="137" t="s">
        <v>74</v>
      </c>
    </row>
    <row r="44029" spans="9:9" x14ac:dyDescent="0.2">
      <c r="I44029" s="137" t="s">
        <v>74</v>
      </c>
    </row>
    <row r="44030" spans="9:9" x14ac:dyDescent="0.2">
      <c r="I44030" s="137" t="s">
        <v>74</v>
      </c>
    </row>
    <row r="44031" spans="9:9" x14ac:dyDescent="0.2">
      <c r="I44031" s="137" t="s">
        <v>74</v>
      </c>
    </row>
    <row r="44032" spans="9:9" x14ac:dyDescent="0.2">
      <c r="I44032" s="137" t="s">
        <v>74</v>
      </c>
    </row>
    <row r="44033" spans="9:9" x14ac:dyDescent="0.2">
      <c r="I44033" s="137" t="s">
        <v>74</v>
      </c>
    </row>
    <row r="44034" spans="9:9" x14ac:dyDescent="0.2">
      <c r="I44034" s="137" t="s">
        <v>74</v>
      </c>
    </row>
    <row r="44035" spans="9:9" x14ac:dyDescent="0.2">
      <c r="I44035" s="137" t="s">
        <v>74</v>
      </c>
    </row>
    <row r="44036" spans="9:9" x14ac:dyDescent="0.2">
      <c r="I44036" s="137" t="s">
        <v>74</v>
      </c>
    </row>
    <row r="44037" spans="9:9" x14ac:dyDescent="0.2">
      <c r="I44037" s="137" t="s">
        <v>74</v>
      </c>
    </row>
    <row r="44038" spans="9:9" x14ac:dyDescent="0.2">
      <c r="I44038" s="137" t="s">
        <v>74</v>
      </c>
    </row>
    <row r="44039" spans="9:9" x14ac:dyDescent="0.2">
      <c r="I44039" s="137" t="s">
        <v>74</v>
      </c>
    </row>
    <row r="44040" spans="9:9" x14ac:dyDescent="0.2">
      <c r="I44040" s="137" t="s">
        <v>74</v>
      </c>
    </row>
    <row r="44041" spans="9:9" x14ac:dyDescent="0.2">
      <c r="I44041" s="137" t="s">
        <v>74</v>
      </c>
    </row>
    <row r="44042" spans="9:9" x14ac:dyDescent="0.2">
      <c r="I44042" s="137" t="s">
        <v>74</v>
      </c>
    </row>
    <row r="44043" spans="9:9" x14ac:dyDescent="0.2">
      <c r="I44043" s="137" t="s">
        <v>74</v>
      </c>
    </row>
    <row r="44044" spans="9:9" x14ac:dyDescent="0.2">
      <c r="I44044" s="137" t="s">
        <v>74</v>
      </c>
    </row>
    <row r="44045" spans="9:9" x14ac:dyDescent="0.2">
      <c r="I44045" s="137" t="s">
        <v>74</v>
      </c>
    </row>
    <row r="44046" spans="9:9" x14ac:dyDescent="0.2">
      <c r="I44046" s="137" t="s">
        <v>74</v>
      </c>
    </row>
    <row r="44047" spans="9:9" x14ac:dyDescent="0.2">
      <c r="I44047" s="137" t="s">
        <v>74</v>
      </c>
    </row>
    <row r="44048" spans="9:9" x14ac:dyDescent="0.2">
      <c r="I44048" s="137" t="s">
        <v>74</v>
      </c>
    </row>
    <row r="44049" spans="9:9" x14ac:dyDescent="0.2">
      <c r="I44049" s="137" t="s">
        <v>74</v>
      </c>
    </row>
    <row r="44050" spans="9:9" x14ac:dyDescent="0.2">
      <c r="I44050" s="137" t="s">
        <v>74</v>
      </c>
    </row>
    <row r="44051" spans="9:9" x14ac:dyDescent="0.2">
      <c r="I44051" s="137" t="s">
        <v>74</v>
      </c>
    </row>
    <row r="44052" spans="9:9" x14ac:dyDescent="0.2">
      <c r="I44052" s="137" t="s">
        <v>74</v>
      </c>
    </row>
    <row r="44053" spans="9:9" x14ac:dyDescent="0.2">
      <c r="I44053" s="137" t="s">
        <v>74</v>
      </c>
    </row>
    <row r="44054" spans="9:9" x14ac:dyDescent="0.2">
      <c r="I44054" s="137" t="s">
        <v>74</v>
      </c>
    </row>
    <row r="44055" spans="9:9" x14ac:dyDescent="0.2">
      <c r="I44055" s="137" t="s">
        <v>74</v>
      </c>
    </row>
    <row r="44056" spans="9:9" x14ac:dyDescent="0.2">
      <c r="I44056" s="137" t="s">
        <v>74</v>
      </c>
    </row>
    <row r="44057" spans="9:9" x14ac:dyDescent="0.2">
      <c r="I44057" s="137" t="s">
        <v>74</v>
      </c>
    </row>
    <row r="44058" spans="9:9" x14ac:dyDescent="0.2">
      <c r="I44058" s="137" t="s">
        <v>74</v>
      </c>
    </row>
    <row r="44059" spans="9:9" x14ac:dyDescent="0.2">
      <c r="I44059" s="137" t="s">
        <v>74</v>
      </c>
    </row>
    <row r="44060" spans="9:9" x14ac:dyDescent="0.2">
      <c r="I44060" s="137" t="s">
        <v>74</v>
      </c>
    </row>
    <row r="44061" spans="9:9" x14ac:dyDescent="0.2">
      <c r="I44061" s="137" t="s">
        <v>74</v>
      </c>
    </row>
    <row r="44062" spans="9:9" x14ac:dyDescent="0.2">
      <c r="I44062" s="137" t="s">
        <v>74</v>
      </c>
    </row>
    <row r="44063" spans="9:9" x14ac:dyDescent="0.2">
      <c r="I44063" s="137" t="s">
        <v>74</v>
      </c>
    </row>
    <row r="44064" spans="9:9" x14ac:dyDescent="0.2">
      <c r="I44064" s="137" t="s">
        <v>74</v>
      </c>
    </row>
    <row r="44065" spans="9:9" x14ac:dyDescent="0.2">
      <c r="I44065" s="137" t="s">
        <v>74</v>
      </c>
    </row>
    <row r="44066" spans="9:9" x14ac:dyDescent="0.2">
      <c r="I44066" s="137" t="s">
        <v>74</v>
      </c>
    </row>
    <row r="44067" spans="9:9" x14ac:dyDescent="0.2">
      <c r="I44067" s="137" t="s">
        <v>74</v>
      </c>
    </row>
    <row r="44068" spans="9:9" x14ac:dyDescent="0.2">
      <c r="I44068" s="137" t="s">
        <v>74</v>
      </c>
    </row>
    <row r="44069" spans="9:9" x14ac:dyDescent="0.2">
      <c r="I44069" s="137" t="s">
        <v>74</v>
      </c>
    </row>
    <row r="44070" spans="9:9" x14ac:dyDescent="0.2">
      <c r="I44070" s="137" t="s">
        <v>74</v>
      </c>
    </row>
    <row r="44071" spans="9:9" x14ac:dyDescent="0.2">
      <c r="I44071" s="137" t="s">
        <v>74</v>
      </c>
    </row>
    <row r="44072" spans="9:9" x14ac:dyDescent="0.2">
      <c r="I44072" s="137" t="s">
        <v>74</v>
      </c>
    </row>
    <row r="44073" spans="9:9" x14ac:dyDescent="0.2">
      <c r="I44073" s="137" t="s">
        <v>74</v>
      </c>
    </row>
    <row r="44074" spans="9:9" x14ac:dyDescent="0.2">
      <c r="I44074" s="137" t="s">
        <v>74</v>
      </c>
    </row>
    <row r="44075" spans="9:9" x14ac:dyDescent="0.2">
      <c r="I44075" s="137" t="s">
        <v>74</v>
      </c>
    </row>
    <row r="44076" spans="9:9" x14ac:dyDescent="0.2">
      <c r="I44076" s="137" t="s">
        <v>74</v>
      </c>
    </row>
    <row r="44077" spans="9:9" x14ac:dyDescent="0.2">
      <c r="I44077" s="137" t="s">
        <v>74</v>
      </c>
    </row>
    <row r="44078" spans="9:9" x14ac:dyDescent="0.2">
      <c r="I44078" s="137" t="s">
        <v>74</v>
      </c>
    </row>
    <row r="44079" spans="9:9" x14ac:dyDescent="0.2">
      <c r="I44079" s="137" t="s">
        <v>74</v>
      </c>
    </row>
    <row r="44080" spans="9:9" x14ac:dyDescent="0.2">
      <c r="I44080" s="137" t="s">
        <v>74</v>
      </c>
    </row>
    <row r="44081" spans="9:9" x14ac:dyDescent="0.2">
      <c r="I44081" s="137" t="s">
        <v>74</v>
      </c>
    </row>
    <row r="44082" spans="9:9" x14ac:dyDescent="0.2">
      <c r="I44082" s="137" t="s">
        <v>74</v>
      </c>
    </row>
    <row r="44083" spans="9:9" x14ac:dyDescent="0.2">
      <c r="I44083" s="137" t="s">
        <v>74</v>
      </c>
    </row>
    <row r="44084" spans="9:9" x14ac:dyDescent="0.2">
      <c r="I44084" s="137" t="s">
        <v>74</v>
      </c>
    </row>
    <row r="44085" spans="9:9" x14ac:dyDescent="0.2">
      <c r="I44085" s="137" t="s">
        <v>74</v>
      </c>
    </row>
    <row r="44086" spans="9:9" x14ac:dyDescent="0.2">
      <c r="I44086" s="137" t="s">
        <v>74</v>
      </c>
    </row>
    <row r="44087" spans="9:9" x14ac:dyDescent="0.2">
      <c r="I44087" s="137" t="s">
        <v>74</v>
      </c>
    </row>
    <row r="44088" spans="9:9" x14ac:dyDescent="0.2">
      <c r="I44088" s="137" t="s">
        <v>74</v>
      </c>
    </row>
    <row r="44089" spans="9:9" x14ac:dyDescent="0.2">
      <c r="I44089" s="137" t="s">
        <v>74</v>
      </c>
    </row>
    <row r="44090" spans="9:9" x14ac:dyDescent="0.2">
      <c r="I44090" s="137" t="s">
        <v>74</v>
      </c>
    </row>
    <row r="44091" spans="9:9" x14ac:dyDescent="0.2">
      <c r="I44091" s="137" t="s">
        <v>74</v>
      </c>
    </row>
    <row r="44092" spans="9:9" x14ac:dyDescent="0.2">
      <c r="I44092" s="137" t="s">
        <v>74</v>
      </c>
    </row>
    <row r="44093" spans="9:9" x14ac:dyDescent="0.2">
      <c r="I44093" s="137" t="s">
        <v>74</v>
      </c>
    </row>
    <row r="44094" spans="9:9" x14ac:dyDescent="0.2">
      <c r="I44094" s="137" t="s">
        <v>74</v>
      </c>
    </row>
    <row r="44095" spans="9:9" x14ac:dyDescent="0.2">
      <c r="I44095" s="137" t="s">
        <v>74</v>
      </c>
    </row>
    <row r="44096" spans="9:9" x14ac:dyDescent="0.2">
      <c r="I44096" s="137" t="s">
        <v>74</v>
      </c>
    </row>
    <row r="44097" spans="9:9" x14ac:dyDescent="0.2">
      <c r="I44097" s="137" t="s">
        <v>74</v>
      </c>
    </row>
    <row r="44098" spans="9:9" x14ac:dyDescent="0.2">
      <c r="I44098" s="137" t="s">
        <v>74</v>
      </c>
    </row>
    <row r="44099" spans="9:9" x14ac:dyDescent="0.2">
      <c r="I44099" s="137" t="s">
        <v>74</v>
      </c>
    </row>
    <row r="44100" spans="9:9" x14ac:dyDescent="0.2">
      <c r="I44100" s="137" t="s">
        <v>74</v>
      </c>
    </row>
    <row r="44101" spans="9:9" x14ac:dyDescent="0.2">
      <c r="I44101" s="137" t="s">
        <v>74</v>
      </c>
    </row>
    <row r="44102" spans="9:9" x14ac:dyDescent="0.2">
      <c r="I44102" s="137" t="s">
        <v>74</v>
      </c>
    </row>
    <row r="44103" spans="9:9" x14ac:dyDescent="0.2">
      <c r="I44103" s="137" t="s">
        <v>74</v>
      </c>
    </row>
    <row r="44104" spans="9:9" x14ac:dyDescent="0.2">
      <c r="I44104" s="137" t="s">
        <v>74</v>
      </c>
    </row>
    <row r="44105" spans="9:9" x14ac:dyDescent="0.2">
      <c r="I44105" s="137" t="s">
        <v>74</v>
      </c>
    </row>
    <row r="44106" spans="9:9" x14ac:dyDescent="0.2">
      <c r="I44106" s="137" t="s">
        <v>74</v>
      </c>
    </row>
    <row r="44107" spans="9:9" x14ac:dyDescent="0.2">
      <c r="I44107" s="137" t="s">
        <v>74</v>
      </c>
    </row>
    <row r="44108" spans="9:9" x14ac:dyDescent="0.2">
      <c r="I44108" s="137" t="s">
        <v>74</v>
      </c>
    </row>
    <row r="44109" spans="9:9" x14ac:dyDescent="0.2">
      <c r="I44109" s="137" t="s">
        <v>74</v>
      </c>
    </row>
    <row r="44110" spans="9:9" x14ac:dyDescent="0.2">
      <c r="I44110" s="137" t="s">
        <v>74</v>
      </c>
    </row>
    <row r="44111" spans="9:9" x14ac:dyDescent="0.2">
      <c r="I44111" s="137" t="s">
        <v>74</v>
      </c>
    </row>
    <row r="44112" spans="9:9" x14ac:dyDescent="0.2">
      <c r="I44112" s="137" t="s">
        <v>74</v>
      </c>
    </row>
    <row r="44113" spans="9:9" x14ac:dyDescent="0.2">
      <c r="I44113" s="137" t="s">
        <v>74</v>
      </c>
    </row>
    <row r="44114" spans="9:9" x14ac:dyDescent="0.2">
      <c r="I44114" s="137" t="s">
        <v>74</v>
      </c>
    </row>
    <row r="44115" spans="9:9" x14ac:dyDescent="0.2">
      <c r="I44115" s="137" t="s">
        <v>74</v>
      </c>
    </row>
    <row r="44116" spans="9:9" x14ac:dyDescent="0.2">
      <c r="I44116" s="137" t="s">
        <v>74</v>
      </c>
    </row>
    <row r="44117" spans="9:9" x14ac:dyDescent="0.2">
      <c r="I44117" s="137" t="s">
        <v>74</v>
      </c>
    </row>
    <row r="44118" spans="9:9" x14ac:dyDescent="0.2">
      <c r="I44118" s="137" t="s">
        <v>74</v>
      </c>
    </row>
    <row r="44119" spans="9:9" x14ac:dyDescent="0.2">
      <c r="I44119" s="137" t="s">
        <v>74</v>
      </c>
    </row>
    <row r="44120" spans="9:9" x14ac:dyDescent="0.2">
      <c r="I44120" s="137" t="s">
        <v>74</v>
      </c>
    </row>
    <row r="44121" spans="9:9" x14ac:dyDescent="0.2">
      <c r="I44121" s="137" t="s">
        <v>74</v>
      </c>
    </row>
    <row r="44122" spans="9:9" x14ac:dyDescent="0.2">
      <c r="I44122" s="137" t="s">
        <v>74</v>
      </c>
    </row>
    <row r="44123" spans="9:9" x14ac:dyDescent="0.2">
      <c r="I44123" s="137" t="s">
        <v>74</v>
      </c>
    </row>
    <row r="44124" spans="9:9" x14ac:dyDescent="0.2">
      <c r="I44124" s="137" t="s">
        <v>74</v>
      </c>
    </row>
    <row r="44125" spans="9:9" x14ac:dyDescent="0.2">
      <c r="I44125" s="137" t="s">
        <v>74</v>
      </c>
    </row>
    <row r="44126" spans="9:9" x14ac:dyDescent="0.2">
      <c r="I44126" s="137" t="s">
        <v>74</v>
      </c>
    </row>
    <row r="44127" spans="9:9" x14ac:dyDescent="0.2">
      <c r="I44127" s="137" t="s">
        <v>74</v>
      </c>
    </row>
    <row r="44128" spans="9:9" x14ac:dyDescent="0.2">
      <c r="I44128" s="137" t="s">
        <v>74</v>
      </c>
    </row>
    <row r="44129" spans="9:9" x14ac:dyDescent="0.2">
      <c r="I44129" s="137" t="s">
        <v>74</v>
      </c>
    </row>
    <row r="44130" spans="9:9" x14ac:dyDescent="0.2">
      <c r="I44130" s="137" t="s">
        <v>74</v>
      </c>
    </row>
    <row r="44131" spans="9:9" x14ac:dyDescent="0.2">
      <c r="I44131" s="137" t="s">
        <v>74</v>
      </c>
    </row>
    <row r="44132" spans="9:9" x14ac:dyDescent="0.2">
      <c r="I44132" s="137" t="s">
        <v>74</v>
      </c>
    </row>
    <row r="44133" spans="9:9" x14ac:dyDescent="0.2">
      <c r="I44133" s="137" t="s">
        <v>74</v>
      </c>
    </row>
    <row r="44134" spans="9:9" x14ac:dyDescent="0.2">
      <c r="I44134" s="137" t="s">
        <v>74</v>
      </c>
    </row>
    <row r="44135" spans="9:9" x14ac:dyDescent="0.2">
      <c r="I44135" s="137" t="s">
        <v>74</v>
      </c>
    </row>
    <row r="44136" spans="9:9" x14ac:dyDescent="0.2">
      <c r="I44136" s="137" t="s">
        <v>74</v>
      </c>
    </row>
    <row r="44137" spans="9:9" x14ac:dyDescent="0.2">
      <c r="I44137" s="137" t="s">
        <v>74</v>
      </c>
    </row>
    <row r="44138" spans="9:9" x14ac:dyDescent="0.2">
      <c r="I44138" s="137" t="s">
        <v>74</v>
      </c>
    </row>
    <row r="44139" spans="9:9" x14ac:dyDescent="0.2">
      <c r="I44139" s="137" t="s">
        <v>74</v>
      </c>
    </row>
    <row r="44140" spans="9:9" x14ac:dyDescent="0.2">
      <c r="I44140" s="137" t="s">
        <v>74</v>
      </c>
    </row>
    <row r="44141" spans="9:9" x14ac:dyDescent="0.2">
      <c r="I44141" s="137" t="s">
        <v>74</v>
      </c>
    </row>
    <row r="44142" spans="9:9" x14ac:dyDescent="0.2">
      <c r="I44142" s="137" t="s">
        <v>74</v>
      </c>
    </row>
    <row r="44143" spans="9:9" x14ac:dyDescent="0.2">
      <c r="I44143" s="137" t="s">
        <v>74</v>
      </c>
    </row>
    <row r="44144" spans="9:9" x14ac:dyDescent="0.2">
      <c r="I44144" s="137" t="s">
        <v>74</v>
      </c>
    </row>
    <row r="44145" spans="9:9" x14ac:dyDescent="0.2">
      <c r="I44145" s="137" t="s">
        <v>74</v>
      </c>
    </row>
    <row r="44146" spans="9:9" x14ac:dyDescent="0.2">
      <c r="I44146" s="137" t="s">
        <v>74</v>
      </c>
    </row>
    <row r="44147" spans="9:9" x14ac:dyDescent="0.2">
      <c r="I44147" s="137" t="s">
        <v>74</v>
      </c>
    </row>
    <row r="44148" spans="9:9" x14ac:dyDescent="0.2">
      <c r="I44148" s="137" t="s">
        <v>74</v>
      </c>
    </row>
    <row r="44149" spans="9:9" x14ac:dyDescent="0.2">
      <c r="I44149" s="137" t="s">
        <v>74</v>
      </c>
    </row>
    <row r="44150" spans="9:9" x14ac:dyDescent="0.2">
      <c r="I44150" s="137" t="s">
        <v>74</v>
      </c>
    </row>
    <row r="44151" spans="9:9" x14ac:dyDescent="0.2">
      <c r="I44151" s="137" t="s">
        <v>74</v>
      </c>
    </row>
    <row r="44152" spans="9:9" x14ac:dyDescent="0.2">
      <c r="I44152" s="137" t="s">
        <v>74</v>
      </c>
    </row>
    <row r="44153" spans="9:9" x14ac:dyDescent="0.2">
      <c r="I44153" s="137" t="s">
        <v>74</v>
      </c>
    </row>
    <row r="44154" spans="9:9" x14ac:dyDescent="0.2">
      <c r="I44154" s="137" t="s">
        <v>74</v>
      </c>
    </row>
    <row r="44155" spans="9:9" x14ac:dyDescent="0.2">
      <c r="I44155" s="137" t="s">
        <v>74</v>
      </c>
    </row>
    <row r="44156" spans="9:9" x14ac:dyDescent="0.2">
      <c r="I44156" s="137" t="s">
        <v>74</v>
      </c>
    </row>
    <row r="44157" spans="9:9" x14ac:dyDescent="0.2">
      <c r="I44157" s="137" t="s">
        <v>74</v>
      </c>
    </row>
    <row r="44158" spans="9:9" x14ac:dyDescent="0.2">
      <c r="I44158" s="137" t="s">
        <v>74</v>
      </c>
    </row>
    <row r="44159" spans="9:9" x14ac:dyDescent="0.2">
      <c r="I44159" s="137" t="s">
        <v>74</v>
      </c>
    </row>
    <row r="44160" spans="9:9" x14ac:dyDescent="0.2">
      <c r="I44160" s="137" t="s">
        <v>74</v>
      </c>
    </row>
    <row r="44161" spans="9:9" x14ac:dyDescent="0.2">
      <c r="I44161" s="137" t="s">
        <v>74</v>
      </c>
    </row>
    <row r="44162" spans="9:9" x14ac:dyDescent="0.2">
      <c r="I44162" s="137" t="s">
        <v>74</v>
      </c>
    </row>
    <row r="44163" spans="9:9" x14ac:dyDescent="0.2">
      <c r="I44163" s="137" t="s">
        <v>74</v>
      </c>
    </row>
    <row r="44164" spans="9:9" x14ac:dyDescent="0.2">
      <c r="I44164" s="137" t="s">
        <v>74</v>
      </c>
    </row>
    <row r="44165" spans="9:9" x14ac:dyDescent="0.2">
      <c r="I44165" s="137" t="s">
        <v>74</v>
      </c>
    </row>
    <row r="44166" spans="9:9" x14ac:dyDescent="0.2">
      <c r="I44166" s="137" t="s">
        <v>74</v>
      </c>
    </row>
    <row r="44167" spans="9:9" x14ac:dyDescent="0.2">
      <c r="I44167" s="137" t="s">
        <v>74</v>
      </c>
    </row>
    <row r="44168" spans="9:9" x14ac:dyDescent="0.2">
      <c r="I44168" s="137" t="s">
        <v>74</v>
      </c>
    </row>
    <row r="44169" spans="9:9" x14ac:dyDescent="0.2">
      <c r="I44169" s="137" t="s">
        <v>74</v>
      </c>
    </row>
    <row r="44170" spans="9:9" x14ac:dyDescent="0.2">
      <c r="I44170" s="137" t="s">
        <v>74</v>
      </c>
    </row>
    <row r="44171" spans="9:9" x14ac:dyDescent="0.2">
      <c r="I44171" s="137" t="s">
        <v>74</v>
      </c>
    </row>
    <row r="44172" spans="9:9" x14ac:dyDescent="0.2">
      <c r="I44172" s="137" t="s">
        <v>74</v>
      </c>
    </row>
    <row r="44173" spans="9:9" x14ac:dyDescent="0.2">
      <c r="I44173" s="137" t="s">
        <v>74</v>
      </c>
    </row>
    <row r="44174" spans="9:9" x14ac:dyDescent="0.2">
      <c r="I44174" s="137" t="s">
        <v>74</v>
      </c>
    </row>
    <row r="44175" spans="9:9" x14ac:dyDescent="0.2">
      <c r="I44175" s="137" t="s">
        <v>74</v>
      </c>
    </row>
    <row r="44176" spans="9:9" x14ac:dyDescent="0.2">
      <c r="I44176" s="137" t="s">
        <v>74</v>
      </c>
    </row>
    <row r="44177" spans="9:9" x14ac:dyDescent="0.2">
      <c r="I44177" s="137" t="s">
        <v>74</v>
      </c>
    </row>
    <row r="44178" spans="9:9" x14ac:dyDescent="0.2">
      <c r="I44178" s="137" t="s">
        <v>74</v>
      </c>
    </row>
    <row r="44179" spans="9:9" x14ac:dyDescent="0.2">
      <c r="I44179" s="137" t="s">
        <v>74</v>
      </c>
    </row>
    <row r="44180" spans="9:9" x14ac:dyDescent="0.2">
      <c r="I44180" s="137" t="s">
        <v>74</v>
      </c>
    </row>
    <row r="44181" spans="9:9" x14ac:dyDescent="0.2">
      <c r="I44181" s="137" t="s">
        <v>74</v>
      </c>
    </row>
    <row r="44182" spans="9:9" x14ac:dyDescent="0.2">
      <c r="I44182" s="137" t="s">
        <v>74</v>
      </c>
    </row>
    <row r="44183" spans="9:9" x14ac:dyDescent="0.2">
      <c r="I44183" s="137" t="s">
        <v>74</v>
      </c>
    </row>
    <row r="44184" spans="9:9" x14ac:dyDescent="0.2">
      <c r="I44184" s="137" t="s">
        <v>74</v>
      </c>
    </row>
    <row r="44185" spans="9:9" x14ac:dyDescent="0.2">
      <c r="I44185" s="137" t="s">
        <v>74</v>
      </c>
    </row>
    <row r="44186" spans="9:9" x14ac:dyDescent="0.2">
      <c r="I44186" s="137" t="s">
        <v>74</v>
      </c>
    </row>
    <row r="44187" spans="9:9" x14ac:dyDescent="0.2">
      <c r="I44187" s="137" t="s">
        <v>74</v>
      </c>
    </row>
    <row r="44188" spans="9:9" x14ac:dyDescent="0.2">
      <c r="I44188" s="137" t="s">
        <v>74</v>
      </c>
    </row>
    <row r="44189" spans="9:9" x14ac:dyDescent="0.2">
      <c r="I44189" s="137" t="s">
        <v>74</v>
      </c>
    </row>
    <row r="44190" spans="9:9" x14ac:dyDescent="0.2">
      <c r="I44190" s="137" t="s">
        <v>74</v>
      </c>
    </row>
    <row r="44191" spans="9:9" x14ac:dyDescent="0.2">
      <c r="I44191" s="137" t="s">
        <v>74</v>
      </c>
    </row>
    <row r="44192" spans="9:9" x14ac:dyDescent="0.2">
      <c r="I44192" s="137" t="s">
        <v>74</v>
      </c>
    </row>
    <row r="44193" spans="9:9" x14ac:dyDescent="0.2">
      <c r="I44193" s="137" t="s">
        <v>74</v>
      </c>
    </row>
    <row r="44194" spans="9:9" x14ac:dyDescent="0.2">
      <c r="I44194" s="137" t="s">
        <v>74</v>
      </c>
    </row>
    <row r="44195" spans="9:9" x14ac:dyDescent="0.2">
      <c r="I44195" s="137" t="s">
        <v>74</v>
      </c>
    </row>
    <row r="44196" spans="9:9" x14ac:dyDescent="0.2">
      <c r="I44196" s="137" t="s">
        <v>74</v>
      </c>
    </row>
    <row r="44197" spans="9:9" x14ac:dyDescent="0.2">
      <c r="I44197" s="137" t="s">
        <v>74</v>
      </c>
    </row>
    <row r="44198" spans="9:9" x14ac:dyDescent="0.2">
      <c r="I44198" s="137" t="s">
        <v>74</v>
      </c>
    </row>
    <row r="44199" spans="9:9" x14ac:dyDescent="0.2">
      <c r="I44199" s="137" t="s">
        <v>74</v>
      </c>
    </row>
    <row r="44200" spans="9:9" x14ac:dyDescent="0.2">
      <c r="I44200" s="137" t="s">
        <v>74</v>
      </c>
    </row>
    <row r="44201" spans="9:9" x14ac:dyDescent="0.2">
      <c r="I44201" s="137" t="s">
        <v>74</v>
      </c>
    </row>
    <row r="44202" spans="9:9" x14ac:dyDescent="0.2">
      <c r="I44202" s="137" t="s">
        <v>74</v>
      </c>
    </row>
    <row r="44203" spans="9:9" x14ac:dyDescent="0.2">
      <c r="I44203" s="137" t="s">
        <v>74</v>
      </c>
    </row>
    <row r="44204" spans="9:9" x14ac:dyDescent="0.2">
      <c r="I44204" s="137" t="s">
        <v>74</v>
      </c>
    </row>
    <row r="44205" spans="9:9" x14ac:dyDescent="0.2">
      <c r="I44205" s="137" t="s">
        <v>74</v>
      </c>
    </row>
    <row r="44206" spans="9:9" x14ac:dyDescent="0.2">
      <c r="I44206" s="137" t="s">
        <v>74</v>
      </c>
    </row>
    <row r="44207" spans="9:9" x14ac:dyDescent="0.2">
      <c r="I44207" s="137" t="s">
        <v>74</v>
      </c>
    </row>
    <row r="44208" spans="9:9" x14ac:dyDescent="0.2">
      <c r="I44208" s="137" t="s">
        <v>74</v>
      </c>
    </row>
    <row r="44209" spans="9:9" x14ac:dyDescent="0.2">
      <c r="I44209" s="137" t="s">
        <v>74</v>
      </c>
    </row>
    <row r="44210" spans="9:9" x14ac:dyDescent="0.2">
      <c r="I44210" s="137" t="s">
        <v>74</v>
      </c>
    </row>
    <row r="44211" spans="9:9" x14ac:dyDescent="0.2">
      <c r="I44211" s="137" t="s">
        <v>74</v>
      </c>
    </row>
    <row r="44212" spans="9:9" x14ac:dyDescent="0.2">
      <c r="I44212" s="137" t="s">
        <v>74</v>
      </c>
    </row>
    <row r="44213" spans="9:9" x14ac:dyDescent="0.2">
      <c r="I44213" s="137" t="s">
        <v>74</v>
      </c>
    </row>
    <row r="44214" spans="9:9" x14ac:dyDescent="0.2">
      <c r="I44214" s="137" t="s">
        <v>74</v>
      </c>
    </row>
    <row r="44215" spans="9:9" x14ac:dyDescent="0.2">
      <c r="I44215" s="137" t="s">
        <v>74</v>
      </c>
    </row>
    <row r="44216" spans="9:9" x14ac:dyDescent="0.2">
      <c r="I44216" s="137" t="s">
        <v>74</v>
      </c>
    </row>
    <row r="44217" spans="9:9" x14ac:dyDescent="0.2">
      <c r="I44217" s="137" t="s">
        <v>74</v>
      </c>
    </row>
    <row r="44218" spans="9:9" x14ac:dyDescent="0.2">
      <c r="I44218" s="137" t="s">
        <v>74</v>
      </c>
    </row>
    <row r="44219" spans="9:9" x14ac:dyDescent="0.2">
      <c r="I44219" s="137" t="s">
        <v>74</v>
      </c>
    </row>
    <row r="44220" spans="9:9" x14ac:dyDescent="0.2">
      <c r="I44220" s="137" t="s">
        <v>74</v>
      </c>
    </row>
    <row r="44221" spans="9:9" x14ac:dyDescent="0.2">
      <c r="I44221" s="137" t="s">
        <v>74</v>
      </c>
    </row>
    <row r="44222" spans="9:9" x14ac:dyDescent="0.2">
      <c r="I44222" s="137" t="s">
        <v>74</v>
      </c>
    </row>
    <row r="44223" spans="9:9" x14ac:dyDescent="0.2">
      <c r="I44223" s="137" t="s">
        <v>74</v>
      </c>
    </row>
    <row r="44224" spans="9:9" x14ac:dyDescent="0.2">
      <c r="I44224" s="137" t="s">
        <v>74</v>
      </c>
    </row>
    <row r="44225" spans="9:9" x14ac:dyDescent="0.2">
      <c r="I44225" s="137" t="s">
        <v>74</v>
      </c>
    </row>
    <row r="44226" spans="9:9" x14ac:dyDescent="0.2">
      <c r="I44226" s="137" t="s">
        <v>74</v>
      </c>
    </row>
    <row r="44227" spans="9:9" x14ac:dyDescent="0.2">
      <c r="I44227" s="137" t="s">
        <v>74</v>
      </c>
    </row>
    <row r="44228" spans="9:9" x14ac:dyDescent="0.2">
      <c r="I44228" s="137" t="s">
        <v>74</v>
      </c>
    </row>
    <row r="44229" spans="9:9" x14ac:dyDescent="0.2">
      <c r="I44229" s="137" t="s">
        <v>74</v>
      </c>
    </row>
    <row r="44230" spans="9:9" x14ac:dyDescent="0.2">
      <c r="I44230" s="137" t="s">
        <v>74</v>
      </c>
    </row>
    <row r="44231" spans="9:9" x14ac:dyDescent="0.2">
      <c r="I44231" s="137" t="s">
        <v>74</v>
      </c>
    </row>
    <row r="44232" spans="9:9" x14ac:dyDescent="0.2">
      <c r="I44232" s="137" t="s">
        <v>74</v>
      </c>
    </row>
    <row r="44233" spans="9:9" x14ac:dyDescent="0.2">
      <c r="I44233" s="137" t="s">
        <v>74</v>
      </c>
    </row>
    <row r="44234" spans="9:9" x14ac:dyDescent="0.2">
      <c r="I44234" s="137" t="s">
        <v>74</v>
      </c>
    </row>
    <row r="44235" spans="9:9" x14ac:dyDescent="0.2">
      <c r="I44235" s="137" t="s">
        <v>74</v>
      </c>
    </row>
    <row r="44236" spans="9:9" x14ac:dyDescent="0.2">
      <c r="I44236" s="137" t="s">
        <v>74</v>
      </c>
    </row>
    <row r="44237" spans="9:9" x14ac:dyDescent="0.2">
      <c r="I44237" s="137" t="s">
        <v>74</v>
      </c>
    </row>
    <row r="44238" spans="9:9" x14ac:dyDescent="0.2">
      <c r="I44238" s="137" t="s">
        <v>74</v>
      </c>
    </row>
    <row r="44239" spans="9:9" x14ac:dyDescent="0.2">
      <c r="I44239" s="137" t="s">
        <v>74</v>
      </c>
    </row>
    <row r="44240" spans="9:9" x14ac:dyDescent="0.2">
      <c r="I44240" s="137" t="s">
        <v>74</v>
      </c>
    </row>
    <row r="44241" spans="9:9" x14ac:dyDescent="0.2">
      <c r="I44241" s="137" t="s">
        <v>74</v>
      </c>
    </row>
    <row r="44242" spans="9:9" x14ac:dyDescent="0.2">
      <c r="I44242" s="137" t="s">
        <v>74</v>
      </c>
    </row>
    <row r="44243" spans="9:9" x14ac:dyDescent="0.2">
      <c r="I44243" s="137" t="s">
        <v>74</v>
      </c>
    </row>
    <row r="44244" spans="9:9" x14ac:dyDescent="0.2">
      <c r="I44244" s="137" t="s">
        <v>74</v>
      </c>
    </row>
    <row r="44245" spans="9:9" x14ac:dyDescent="0.2">
      <c r="I44245" s="137" t="s">
        <v>74</v>
      </c>
    </row>
    <row r="44246" spans="9:9" x14ac:dyDescent="0.2">
      <c r="I44246" s="137" t="s">
        <v>74</v>
      </c>
    </row>
    <row r="44247" spans="9:9" x14ac:dyDescent="0.2">
      <c r="I44247" s="137" t="s">
        <v>74</v>
      </c>
    </row>
    <row r="44248" spans="9:9" x14ac:dyDescent="0.2">
      <c r="I44248" s="137" t="s">
        <v>74</v>
      </c>
    </row>
    <row r="44249" spans="9:9" x14ac:dyDescent="0.2">
      <c r="I44249" s="137" t="s">
        <v>74</v>
      </c>
    </row>
    <row r="44250" spans="9:9" x14ac:dyDescent="0.2">
      <c r="I44250" s="137" t="s">
        <v>74</v>
      </c>
    </row>
    <row r="44251" spans="9:9" x14ac:dyDescent="0.2">
      <c r="I44251" s="137" t="s">
        <v>74</v>
      </c>
    </row>
    <row r="44252" spans="9:9" x14ac:dyDescent="0.2">
      <c r="I44252" s="137" t="s">
        <v>74</v>
      </c>
    </row>
    <row r="44253" spans="9:9" x14ac:dyDescent="0.2">
      <c r="I44253" s="137" t="s">
        <v>74</v>
      </c>
    </row>
    <row r="44254" spans="9:9" x14ac:dyDescent="0.2">
      <c r="I44254" s="137" t="s">
        <v>74</v>
      </c>
    </row>
    <row r="44255" spans="9:9" x14ac:dyDescent="0.2">
      <c r="I44255" s="137" t="s">
        <v>74</v>
      </c>
    </row>
    <row r="44256" spans="9:9" x14ac:dyDescent="0.2">
      <c r="I44256" s="137" t="s">
        <v>74</v>
      </c>
    </row>
    <row r="44257" spans="9:9" x14ac:dyDescent="0.2">
      <c r="I44257" s="137" t="s">
        <v>74</v>
      </c>
    </row>
    <row r="44258" spans="9:9" x14ac:dyDescent="0.2">
      <c r="I44258" s="137" t="s">
        <v>74</v>
      </c>
    </row>
    <row r="44259" spans="9:9" x14ac:dyDescent="0.2">
      <c r="I44259" s="137" t="s">
        <v>74</v>
      </c>
    </row>
    <row r="44260" spans="9:9" x14ac:dyDescent="0.2">
      <c r="I44260" s="137" t="s">
        <v>74</v>
      </c>
    </row>
    <row r="44261" spans="9:9" x14ac:dyDescent="0.2">
      <c r="I44261" s="137" t="s">
        <v>74</v>
      </c>
    </row>
    <row r="44262" spans="9:9" x14ac:dyDescent="0.2">
      <c r="I44262" s="137" t="s">
        <v>74</v>
      </c>
    </row>
    <row r="44263" spans="9:9" x14ac:dyDescent="0.2">
      <c r="I44263" s="137" t="s">
        <v>74</v>
      </c>
    </row>
    <row r="44264" spans="9:9" x14ac:dyDescent="0.2">
      <c r="I44264" s="137" t="s">
        <v>74</v>
      </c>
    </row>
    <row r="44265" spans="9:9" x14ac:dyDescent="0.2">
      <c r="I44265" s="137" t="s">
        <v>74</v>
      </c>
    </row>
    <row r="44266" spans="9:9" x14ac:dyDescent="0.2">
      <c r="I44266" s="137" t="s">
        <v>74</v>
      </c>
    </row>
    <row r="44267" spans="9:9" x14ac:dyDescent="0.2">
      <c r="I44267" s="137" t="s">
        <v>74</v>
      </c>
    </row>
    <row r="44268" spans="9:9" x14ac:dyDescent="0.2">
      <c r="I44268" s="137" t="s">
        <v>74</v>
      </c>
    </row>
    <row r="44269" spans="9:9" x14ac:dyDescent="0.2">
      <c r="I44269" s="137" t="s">
        <v>74</v>
      </c>
    </row>
    <row r="44270" spans="9:9" x14ac:dyDescent="0.2">
      <c r="I44270" s="137" t="s">
        <v>74</v>
      </c>
    </row>
    <row r="44271" spans="9:9" x14ac:dyDescent="0.2">
      <c r="I44271" s="137" t="s">
        <v>74</v>
      </c>
    </row>
    <row r="44272" spans="9:9" x14ac:dyDescent="0.2">
      <c r="I44272" s="137" t="s">
        <v>74</v>
      </c>
    </row>
    <row r="44273" spans="9:9" x14ac:dyDescent="0.2">
      <c r="I44273" s="137" t="s">
        <v>74</v>
      </c>
    </row>
    <row r="44274" spans="9:9" x14ac:dyDescent="0.2">
      <c r="I44274" s="137" t="s">
        <v>74</v>
      </c>
    </row>
    <row r="44275" spans="9:9" x14ac:dyDescent="0.2">
      <c r="I44275" s="137" t="s">
        <v>74</v>
      </c>
    </row>
    <row r="44276" spans="9:9" x14ac:dyDescent="0.2">
      <c r="I44276" s="137" t="s">
        <v>74</v>
      </c>
    </row>
    <row r="44277" spans="9:9" x14ac:dyDescent="0.2">
      <c r="I44277" s="137" t="s">
        <v>74</v>
      </c>
    </row>
    <row r="44278" spans="9:9" x14ac:dyDescent="0.2">
      <c r="I44278" s="137" t="s">
        <v>74</v>
      </c>
    </row>
    <row r="44279" spans="9:9" x14ac:dyDescent="0.2">
      <c r="I44279" s="137" t="s">
        <v>74</v>
      </c>
    </row>
    <row r="44280" spans="9:9" x14ac:dyDescent="0.2">
      <c r="I44280" s="137" t="s">
        <v>74</v>
      </c>
    </row>
    <row r="44281" spans="9:9" x14ac:dyDescent="0.2">
      <c r="I44281" s="137" t="s">
        <v>74</v>
      </c>
    </row>
    <row r="44282" spans="9:9" x14ac:dyDescent="0.2">
      <c r="I44282" s="137" t="s">
        <v>74</v>
      </c>
    </row>
    <row r="44283" spans="9:9" x14ac:dyDescent="0.2">
      <c r="I44283" s="137" t="s">
        <v>74</v>
      </c>
    </row>
    <row r="44284" spans="9:9" x14ac:dyDescent="0.2">
      <c r="I44284" s="137" t="s">
        <v>74</v>
      </c>
    </row>
    <row r="44285" spans="9:9" x14ac:dyDescent="0.2">
      <c r="I44285" s="137" t="s">
        <v>74</v>
      </c>
    </row>
    <row r="44286" spans="9:9" x14ac:dyDescent="0.2">
      <c r="I44286" s="137" t="s">
        <v>74</v>
      </c>
    </row>
    <row r="44287" spans="9:9" x14ac:dyDescent="0.2">
      <c r="I44287" s="137" t="s">
        <v>74</v>
      </c>
    </row>
    <row r="44288" spans="9:9" x14ac:dyDescent="0.2">
      <c r="I44288" s="137" t="s">
        <v>74</v>
      </c>
    </row>
    <row r="44289" spans="9:9" x14ac:dyDescent="0.2">
      <c r="I44289" s="137" t="s">
        <v>74</v>
      </c>
    </row>
    <row r="44290" spans="9:9" x14ac:dyDescent="0.2">
      <c r="I44290" s="137" t="s">
        <v>74</v>
      </c>
    </row>
    <row r="44291" spans="9:9" x14ac:dyDescent="0.2">
      <c r="I44291" s="137" t="s">
        <v>74</v>
      </c>
    </row>
    <row r="44292" spans="9:9" x14ac:dyDescent="0.2">
      <c r="I44292" s="137" t="s">
        <v>74</v>
      </c>
    </row>
    <row r="44293" spans="9:9" x14ac:dyDescent="0.2">
      <c r="I44293" s="137" t="s">
        <v>74</v>
      </c>
    </row>
    <row r="44294" spans="9:9" x14ac:dyDescent="0.2">
      <c r="I44294" s="137" t="s">
        <v>74</v>
      </c>
    </row>
    <row r="44295" spans="9:9" x14ac:dyDescent="0.2">
      <c r="I44295" s="137" t="s">
        <v>74</v>
      </c>
    </row>
    <row r="44296" spans="9:9" x14ac:dyDescent="0.2">
      <c r="I44296" s="137" t="s">
        <v>74</v>
      </c>
    </row>
    <row r="44297" spans="9:9" x14ac:dyDescent="0.2">
      <c r="I44297" s="137" t="s">
        <v>74</v>
      </c>
    </row>
    <row r="44298" spans="9:9" x14ac:dyDescent="0.2">
      <c r="I44298" s="137" t="s">
        <v>74</v>
      </c>
    </row>
    <row r="44299" spans="9:9" x14ac:dyDescent="0.2">
      <c r="I44299" s="137" t="s">
        <v>74</v>
      </c>
    </row>
    <row r="44300" spans="9:9" x14ac:dyDescent="0.2">
      <c r="I44300" s="137" t="s">
        <v>74</v>
      </c>
    </row>
    <row r="44301" spans="9:9" x14ac:dyDescent="0.2">
      <c r="I44301" s="137" t="s">
        <v>74</v>
      </c>
    </row>
    <row r="44302" spans="9:9" x14ac:dyDescent="0.2">
      <c r="I44302" s="137" t="s">
        <v>74</v>
      </c>
    </row>
    <row r="44303" spans="9:9" x14ac:dyDescent="0.2">
      <c r="I44303" s="137" t="s">
        <v>74</v>
      </c>
    </row>
    <row r="44304" spans="9:9" x14ac:dyDescent="0.2">
      <c r="I44304" s="137" t="s">
        <v>74</v>
      </c>
    </row>
    <row r="44305" spans="9:9" x14ac:dyDescent="0.2">
      <c r="I44305" s="137" t="s">
        <v>74</v>
      </c>
    </row>
    <row r="44306" spans="9:9" x14ac:dyDescent="0.2">
      <c r="I44306" s="137" t="s">
        <v>74</v>
      </c>
    </row>
    <row r="44307" spans="9:9" x14ac:dyDescent="0.2">
      <c r="I44307" s="137" t="s">
        <v>74</v>
      </c>
    </row>
    <row r="44308" spans="9:9" x14ac:dyDescent="0.2">
      <c r="I44308" s="137" t="s">
        <v>74</v>
      </c>
    </row>
    <row r="44309" spans="9:9" x14ac:dyDescent="0.2">
      <c r="I44309" s="137" t="s">
        <v>74</v>
      </c>
    </row>
    <row r="44310" spans="9:9" x14ac:dyDescent="0.2">
      <c r="I44310" s="137" t="s">
        <v>74</v>
      </c>
    </row>
    <row r="44311" spans="9:9" x14ac:dyDescent="0.2">
      <c r="I44311" s="137" t="s">
        <v>74</v>
      </c>
    </row>
    <row r="44312" spans="9:9" x14ac:dyDescent="0.2">
      <c r="I44312" s="137" t="s">
        <v>74</v>
      </c>
    </row>
    <row r="44313" spans="9:9" x14ac:dyDescent="0.2">
      <c r="I44313" s="137" t="s">
        <v>74</v>
      </c>
    </row>
    <row r="44314" spans="9:9" x14ac:dyDescent="0.2">
      <c r="I44314" s="137" t="s">
        <v>74</v>
      </c>
    </row>
    <row r="44315" spans="9:9" x14ac:dyDescent="0.2">
      <c r="I44315" s="137" t="s">
        <v>74</v>
      </c>
    </row>
    <row r="44316" spans="9:9" x14ac:dyDescent="0.2">
      <c r="I44316" s="137" t="s">
        <v>74</v>
      </c>
    </row>
    <row r="44317" spans="9:9" x14ac:dyDescent="0.2">
      <c r="I44317" s="137" t="s">
        <v>74</v>
      </c>
    </row>
    <row r="44318" spans="9:9" x14ac:dyDescent="0.2">
      <c r="I44318" s="137" t="s">
        <v>74</v>
      </c>
    </row>
    <row r="44319" spans="9:9" x14ac:dyDescent="0.2">
      <c r="I44319" s="137" t="s">
        <v>74</v>
      </c>
    </row>
    <row r="44320" spans="9:9" x14ac:dyDescent="0.2">
      <c r="I44320" s="137" t="s">
        <v>74</v>
      </c>
    </row>
    <row r="44321" spans="9:9" x14ac:dyDescent="0.2">
      <c r="I44321" s="137" t="s">
        <v>74</v>
      </c>
    </row>
    <row r="44322" spans="9:9" x14ac:dyDescent="0.2">
      <c r="I44322" s="137" t="s">
        <v>74</v>
      </c>
    </row>
    <row r="44323" spans="9:9" x14ac:dyDescent="0.2">
      <c r="I44323" s="137" t="s">
        <v>74</v>
      </c>
    </row>
    <row r="44324" spans="9:9" x14ac:dyDescent="0.2">
      <c r="I44324" s="137" t="s">
        <v>74</v>
      </c>
    </row>
    <row r="44325" spans="9:9" x14ac:dyDescent="0.2">
      <c r="I44325" s="137" t="s">
        <v>74</v>
      </c>
    </row>
    <row r="44326" spans="9:9" x14ac:dyDescent="0.2">
      <c r="I44326" s="137" t="s">
        <v>74</v>
      </c>
    </row>
    <row r="44327" spans="9:9" x14ac:dyDescent="0.2">
      <c r="I44327" s="137" t="s">
        <v>74</v>
      </c>
    </row>
    <row r="44328" spans="9:9" x14ac:dyDescent="0.2">
      <c r="I44328" s="137" t="s">
        <v>74</v>
      </c>
    </row>
    <row r="44329" spans="9:9" x14ac:dyDescent="0.2">
      <c r="I44329" s="137" t="s">
        <v>74</v>
      </c>
    </row>
    <row r="44330" spans="9:9" x14ac:dyDescent="0.2">
      <c r="I44330" s="137" t="s">
        <v>74</v>
      </c>
    </row>
    <row r="44331" spans="9:9" x14ac:dyDescent="0.2">
      <c r="I44331" s="137" t="s">
        <v>74</v>
      </c>
    </row>
    <row r="44332" spans="9:9" x14ac:dyDescent="0.2">
      <c r="I44332" s="137" t="s">
        <v>74</v>
      </c>
    </row>
    <row r="44333" spans="9:9" x14ac:dyDescent="0.2">
      <c r="I44333" s="137" t="s">
        <v>74</v>
      </c>
    </row>
    <row r="44334" spans="9:9" x14ac:dyDescent="0.2">
      <c r="I44334" s="137" t="s">
        <v>74</v>
      </c>
    </row>
    <row r="44335" spans="9:9" x14ac:dyDescent="0.2">
      <c r="I44335" s="137" t="s">
        <v>74</v>
      </c>
    </row>
    <row r="44336" spans="9:9" x14ac:dyDescent="0.2">
      <c r="I44336" s="137" t="s">
        <v>74</v>
      </c>
    </row>
    <row r="44337" spans="9:9" x14ac:dyDescent="0.2">
      <c r="I44337" s="137" t="s">
        <v>74</v>
      </c>
    </row>
    <row r="44338" spans="9:9" x14ac:dyDescent="0.2">
      <c r="I44338" s="137" t="s">
        <v>74</v>
      </c>
    </row>
    <row r="44339" spans="9:9" x14ac:dyDescent="0.2">
      <c r="I44339" s="137" t="s">
        <v>74</v>
      </c>
    </row>
    <row r="44340" spans="9:9" x14ac:dyDescent="0.2">
      <c r="I44340" s="137" t="s">
        <v>74</v>
      </c>
    </row>
    <row r="44341" spans="9:9" x14ac:dyDescent="0.2">
      <c r="I44341" s="137" t="s">
        <v>74</v>
      </c>
    </row>
    <row r="44342" spans="9:9" x14ac:dyDescent="0.2">
      <c r="I44342" s="137" t="s">
        <v>74</v>
      </c>
    </row>
    <row r="44343" spans="9:9" x14ac:dyDescent="0.2">
      <c r="I44343" s="137" t="s">
        <v>74</v>
      </c>
    </row>
    <row r="44344" spans="9:9" x14ac:dyDescent="0.2">
      <c r="I44344" s="137" t="s">
        <v>74</v>
      </c>
    </row>
    <row r="44345" spans="9:9" x14ac:dyDescent="0.2">
      <c r="I44345" s="137" t="s">
        <v>74</v>
      </c>
    </row>
    <row r="44346" spans="9:9" x14ac:dyDescent="0.2">
      <c r="I44346" s="137" t="s">
        <v>74</v>
      </c>
    </row>
    <row r="44347" spans="9:9" x14ac:dyDescent="0.2">
      <c r="I44347" s="137" t="s">
        <v>74</v>
      </c>
    </row>
    <row r="44348" spans="9:9" x14ac:dyDescent="0.2">
      <c r="I44348" s="137" t="s">
        <v>74</v>
      </c>
    </row>
    <row r="44349" spans="9:9" x14ac:dyDescent="0.2">
      <c r="I44349" s="137" t="s">
        <v>74</v>
      </c>
    </row>
    <row r="44350" spans="9:9" x14ac:dyDescent="0.2">
      <c r="I44350" s="137" t="s">
        <v>74</v>
      </c>
    </row>
    <row r="44351" spans="9:9" x14ac:dyDescent="0.2">
      <c r="I44351" s="137" t="s">
        <v>74</v>
      </c>
    </row>
    <row r="44352" spans="9:9" x14ac:dyDescent="0.2">
      <c r="I44352" s="137" t="s">
        <v>74</v>
      </c>
    </row>
    <row r="44353" spans="9:9" x14ac:dyDescent="0.2">
      <c r="I44353" s="137" t="s">
        <v>74</v>
      </c>
    </row>
    <row r="44354" spans="9:9" x14ac:dyDescent="0.2">
      <c r="I44354" s="137" t="s">
        <v>74</v>
      </c>
    </row>
    <row r="44355" spans="9:9" x14ac:dyDescent="0.2">
      <c r="I44355" s="137" t="s">
        <v>74</v>
      </c>
    </row>
    <row r="44356" spans="9:9" x14ac:dyDescent="0.2">
      <c r="I44356" s="137" t="s">
        <v>74</v>
      </c>
    </row>
    <row r="44357" spans="9:9" x14ac:dyDescent="0.2">
      <c r="I44357" s="137" t="s">
        <v>74</v>
      </c>
    </row>
    <row r="44358" spans="9:9" x14ac:dyDescent="0.2">
      <c r="I44358" s="137" t="s">
        <v>74</v>
      </c>
    </row>
    <row r="44359" spans="9:9" x14ac:dyDescent="0.2">
      <c r="I44359" s="137" t="s">
        <v>74</v>
      </c>
    </row>
    <row r="44360" spans="9:9" x14ac:dyDescent="0.2">
      <c r="I44360" s="137" t="s">
        <v>74</v>
      </c>
    </row>
    <row r="44361" spans="9:9" x14ac:dyDescent="0.2">
      <c r="I44361" s="137" t="s">
        <v>74</v>
      </c>
    </row>
    <row r="44362" spans="9:9" x14ac:dyDescent="0.2">
      <c r="I44362" s="137" t="s">
        <v>74</v>
      </c>
    </row>
    <row r="44363" spans="9:9" x14ac:dyDescent="0.2">
      <c r="I44363" s="137" t="s">
        <v>74</v>
      </c>
    </row>
    <row r="44364" spans="9:9" x14ac:dyDescent="0.2">
      <c r="I44364" s="137" t="s">
        <v>74</v>
      </c>
    </row>
    <row r="44365" spans="9:9" x14ac:dyDescent="0.2">
      <c r="I44365" s="137" t="s">
        <v>74</v>
      </c>
    </row>
    <row r="44366" spans="9:9" x14ac:dyDescent="0.2">
      <c r="I44366" s="137" t="s">
        <v>74</v>
      </c>
    </row>
    <row r="44367" spans="9:9" x14ac:dyDescent="0.2">
      <c r="I44367" s="137" t="s">
        <v>74</v>
      </c>
    </row>
    <row r="44368" spans="9:9" x14ac:dyDescent="0.2">
      <c r="I44368" s="137" t="s">
        <v>74</v>
      </c>
    </row>
    <row r="44369" spans="9:9" x14ac:dyDescent="0.2">
      <c r="I44369" s="137" t="s">
        <v>74</v>
      </c>
    </row>
    <row r="44370" spans="9:9" x14ac:dyDescent="0.2">
      <c r="I44370" s="137" t="s">
        <v>74</v>
      </c>
    </row>
    <row r="44371" spans="9:9" x14ac:dyDescent="0.2">
      <c r="I44371" s="137" t="s">
        <v>74</v>
      </c>
    </row>
    <row r="44372" spans="9:9" x14ac:dyDescent="0.2">
      <c r="I44372" s="137" t="s">
        <v>74</v>
      </c>
    </row>
    <row r="44373" spans="9:9" x14ac:dyDescent="0.2">
      <c r="I44373" s="137" t="s">
        <v>74</v>
      </c>
    </row>
    <row r="44374" spans="9:9" x14ac:dyDescent="0.2">
      <c r="I44374" s="137" t="s">
        <v>74</v>
      </c>
    </row>
    <row r="44375" spans="9:9" x14ac:dyDescent="0.2">
      <c r="I44375" s="137" t="s">
        <v>74</v>
      </c>
    </row>
    <row r="44376" spans="9:9" x14ac:dyDescent="0.2">
      <c r="I44376" s="137" t="s">
        <v>74</v>
      </c>
    </row>
    <row r="44377" spans="9:9" x14ac:dyDescent="0.2">
      <c r="I44377" s="137" t="s">
        <v>74</v>
      </c>
    </row>
    <row r="44378" spans="9:9" x14ac:dyDescent="0.2">
      <c r="I44378" s="137" t="s">
        <v>74</v>
      </c>
    </row>
    <row r="44379" spans="9:9" x14ac:dyDescent="0.2">
      <c r="I44379" s="137" t="s">
        <v>74</v>
      </c>
    </row>
    <row r="44380" spans="9:9" x14ac:dyDescent="0.2">
      <c r="I44380" s="137" t="s">
        <v>74</v>
      </c>
    </row>
    <row r="44381" spans="9:9" x14ac:dyDescent="0.2">
      <c r="I44381" s="137" t="s">
        <v>74</v>
      </c>
    </row>
    <row r="44382" spans="9:9" x14ac:dyDescent="0.2">
      <c r="I44382" s="137" t="s">
        <v>74</v>
      </c>
    </row>
    <row r="44383" spans="9:9" x14ac:dyDescent="0.2">
      <c r="I44383" s="137" t="s">
        <v>74</v>
      </c>
    </row>
    <row r="44384" spans="9:9" x14ac:dyDescent="0.2">
      <c r="I44384" s="137" t="s">
        <v>74</v>
      </c>
    </row>
    <row r="44385" spans="9:9" x14ac:dyDescent="0.2">
      <c r="I44385" s="137" t="s">
        <v>74</v>
      </c>
    </row>
    <row r="44386" spans="9:9" x14ac:dyDescent="0.2">
      <c r="I44386" s="137" t="s">
        <v>74</v>
      </c>
    </row>
    <row r="44387" spans="9:9" x14ac:dyDescent="0.2">
      <c r="I44387" s="137" t="s">
        <v>74</v>
      </c>
    </row>
    <row r="44388" spans="9:9" x14ac:dyDescent="0.2">
      <c r="I44388" s="137" t="s">
        <v>74</v>
      </c>
    </row>
    <row r="44389" spans="9:9" x14ac:dyDescent="0.2">
      <c r="I44389" s="137" t="s">
        <v>74</v>
      </c>
    </row>
    <row r="44390" spans="9:9" x14ac:dyDescent="0.2">
      <c r="I44390" s="137" t="s">
        <v>74</v>
      </c>
    </row>
    <row r="44391" spans="9:9" x14ac:dyDescent="0.2">
      <c r="I44391" s="137" t="s">
        <v>74</v>
      </c>
    </row>
    <row r="44392" spans="9:9" x14ac:dyDescent="0.2">
      <c r="I44392" s="137" t="s">
        <v>74</v>
      </c>
    </row>
    <row r="44393" spans="9:9" x14ac:dyDescent="0.2">
      <c r="I44393" s="137" t="s">
        <v>74</v>
      </c>
    </row>
    <row r="44394" spans="9:9" x14ac:dyDescent="0.2">
      <c r="I44394" s="137" t="s">
        <v>74</v>
      </c>
    </row>
    <row r="44395" spans="9:9" x14ac:dyDescent="0.2">
      <c r="I44395" s="137" t="s">
        <v>74</v>
      </c>
    </row>
    <row r="44396" spans="9:9" x14ac:dyDescent="0.2">
      <c r="I44396" s="137" t="s">
        <v>74</v>
      </c>
    </row>
    <row r="44397" spans="9:9" x14ac:dyDescent="0.2">
      <c r="I44397" s="137" t="s">
        <v>74</v>
      </c>
    </row>
    <row r="44398" spans="9:9" x14ac:dyDescent="0.2">
      <c r="I44398" s="137" t="s">
        <v>74</v>
      </c>
    </row>
    <row r="44399" spans="9:9" x14ac:dyDescent="0.2">
      <c r="I44399" s="137" t="s">
        <v>74</v>
      </c>
    </row>
    <row r="44400" spans="9:9" x14ac:dyDescent="0.2">
      <c r="I44400" s="137" t="s">
        <v>74</v>
      </c>
    </row>
    <row r="44401" spans="9:9" x14ac:dyDescent="0.2">
      <c r="I44401" s="137" t="s">
        <v>74</v>
      </c>
    </row>
    <row r="44402" spans="9:9" x14ac:dyDescent="0.2">
      <c r="I44402" s="137" t="s">
        <v>74</v>
      </c>
    </row>
    <row r="44403" spans="9:9" x14ac:dyDescent="0.2">
      <c r="I44403" s="137" t="s">
        <v>74</v>
      </c>
    </row>
    <row r="44404" spans="9:9" x14ac:dyDescent="0.2">
      <c r="I44404" s="137" t="s">
        <v>74</v>
      </c>
    </row>
    <row r="44405" spans="9:9" x14ac:dyDescent="0.2">
      <c r="I44405" s="137" t="s">
        <v>74</v>
      </c>
    </row>
    <row r="44406" spans="9:9" x14ac:dyDescent="0.2">
      <c r="I44406" s="137" t="s">
        <v>74</v>
      </c>
    </row>
    <row r="44407" spans="9:9" x14ac:dyDescent="0.2">
      <c r="I44407" s="137" t="s">
        <v>74</v>
      </c>
    </row>
    <row r="44408" spans="9:9" x14ac:dyDescent="0.2">
      <c r="I44408" s="137" t="s">
        <v>74</v>
      </c>
    </row>
    <row r="44409" spans="9:9" x14ac:dyDescent="0.2">
      <c r="I44409" s="137" t="s">
        <v>74</v>
      </c>
    </row>
    <row r="44410" spans="9:9" x14ac:dyDescent="0.2">
      <c r="I44410" s="137" t="s">
        <v>74</v>
      </c>
    </row>
    <row r="44411" spans="9:9" x14ac:dyDescent="0.2">
      <c r="I44411" s="137" t="s">
        <v>74</v>
      </c>
    </row>
    <row r="44412" spans="9:9" x14ac:dyDescent="0.2">
      <c r="I44412" s="137" t="s">
        <v>74</v>
      </c>
    </row>
    <row r="44413" spans="9:9" x14ac:dyDescent="0.2">
      <c r="I44413" s="137" t="s">
        <v>74</v>
      </c>
    </row>
    <row r="44414" spans="9:9" x14ac:dyDescent="0.2">
      <c r="I44414" s="137" t="s">
        <v>74</v>
      </c>
    </row>
    <row r="44415" spans="9:9" x14ac:dyDescent="0.2">
      <c r="I44415" s="137" t="s">
        <v>74</v>
      </c>
    </row>
    <row r="44416" spans="9:9" x14ac:dyDescent="0.2">
      <c r="I44416" s="137" t="s">
        <v>74</v>
      </c>
    </row>
    <row r="44417" spans="9:9" x14ac:dyDescent="0.2">
      <c r="I44417" s="137" t="s">
        <v>74</v>
      </c>
    </row>
    <row r="44418" spans="9:9" x14ac:dyDescent="0.2">
      <c r="I44418" s="137" t="s">
        <v>74</v>
      </c>
    </row>
    <row r="44419" spans="9:9" x14ac:dyDescent="0.2">
      <c r="I44419" s="137" t="s">
        <v>74</v>
      </c>
    </row>
    <row r="44420" spans="9:9" x14ac:dyDescent="0.2">
      <c r="I44420" s="137" t="s">
        <v>74</v>
      </c>
    </row>
    <row r="44421" spans="9:9" x14ac:dyDescent="0.2">
      <c r="I44421" s="137" t="s">
        <v>74</v>
      </c>
    </row>
    <row r="44422" spans="9:9" x14ac:dyDescent="0.2">
      <c r="I44422" s="137" t="s">
        <v>74</v>
      </c>
    </row>
    <row r="44423" spans="9:9" x14ac:dyDescent="0.2">
      <c r="I44423" s="137" t="s">
        <v>74</v>
      </c>
    </row>
    <row r="44424" spans="9:9" x14ac:dyDescent="0.2">
      <c r="I44424" s="137" t="s">
        <v>74</v>
      </c>
    </row>
    <row r="44425" spans="9:9" x14ac:dyDescent="0.2">
      <c r="I44425" s="137" t="s">
        <v>74</v>
      </c>
    </row>
    <row r="44426" spans="9:9" x14ac:dyDescent="0.2">
      <c r="I44426" s="137" t="s">
        <v>74</v>
      </c>
    </row>
    <row r="44427" spans="9:9" x14ac:dyDescent="0.2">
      <c r="I44427" s="137" t="s">
        <v>74</v>
      </c>
    </row>
    <row r="44428" spans="9:9" x14ac:dyDescent="0.2">
      <c r="I44428" s="137" t="s">
        <v>74</v>
      </c>
    </row>
    <row r="44429" spans="9:9" x14ac:dyDescent="0.2">
      <c r="I44429" s="137" t="s">
        <v>74</v>
      </c>
    </row>
    <row r="44430" spans="9:9" x14ac:dyDescent="0.2">
      <c r="I44430" s="137" t="s">
        <v>74</v>
      </c>
    </row>
    <row r="44431" spans="9:9" x14ac:dyDescent="0.2">
      <c r="I44431" s="137" t="s">
        <v>74</v>
      </c>
    </row>
    <row r="44432" spans="9:9" x14ac:dyDescent="0.2">
      <c r="I44432" s="137" t="s">
        <v>74</v>
      </c>
    </row>
    <row r="44433" spans="9:9" x14ac:dyDescent="0.2">
      <c r="I44433" s="137" t="s">
        <v>74</v>
      </c>
    </row>
    <row r="44434" spans="9:9" x14ac:dyDescent="0.2">
      <c r="I44434" s="137" t="s">
        <v>74</v>
      </c>
    </row>
    <row r="44435" spans="9:9" x14ac:dyDescent="0.2">
      <c r="I44435" s="137" t="s">
        <v>74</v>
      </c>
    </row>
    <row r="44436" spans="9:9" x14ac:dyDescent="0.2">
      <c r="I44436" s="137" t="s">
        <v>74</v>
      </c>
    </row>
    <row r="44437" spans="9:9" x14ac:dyDescent="0.2">
      <c r="I44437" s="137" t="s">
        <v>74</v>
      </c>
    </row>
    <row r="44438" spans="9:9" x14ac:dyDescent="0.2">
      <c r="I44438" s="137" t="s">
        <v>74</v>
      </c>
    </row>
    <row r="44439" spans="9:9" x14ac:dyDescent="0.2">
      <c r="I44439" s="137" t="s">
        <v>74</v>
      </c>
    </row>
    <row r="44440" spans="9:9" x14ac:dyDescent="0.2">
      <c r="I44440" s="137" t="s">
        <v>74</v>
      </c>
    </row>
    <row r="44441" spans="9:9" x14ac:dyDescent="0.2">
      <c r="I44441" s="137" t="s">
        <v>74</v>
      </c>
    </row>
    <row r="44442" spans="9:9" x14ac:dyDescent="0.2">
      <c r="I44442" s="137" t="s">
        <v>74</v>
      </c>
    </row>
    <row r="44443" spans="9:9" x14ac:dyDescent="0.2">
      <c r="I44443" s="137" t="s">
        <v>74</v>
      </c>
    </row>
    <row r="44444" spans="9:9" x14ac:dyDescent="0.2">
      <c r="I44444" s="137" t="s">
        <v>74</v>
      </c>
    </row>
    <row r="44445" spans="9:9" x14ac:dyDescent="0.2">
      <c r="I44445" s="137" t="s">
        <v>74</v>
      </c>
    </row>
    <row r="44446" spans="9:9" x14ac:dyDescent="0.2">
      <c r="I44446" s="137" t="s">
        <v>74</v>
      </c>
    </row>
    <row r="44447" spans="9:9" x14ac:dyDescent="0.2">
      <c r="I44447" s="137" t="s">
        <v>74</v>
      </c>
    </row>
    <row r="44448" spans="9:9" x14ac:dyDescent="0.2">
      <c r="I44448" s="137" t="s">
        <v>74</v>
      </c>
    </row>
    <row r="44449" spans="9:9" x14ac:dyDescent="0.2">
      <c r="I44449" s="137" t="s">
        <v>74</v>
      </c>
    </row>
    <row r="44450" spans="9:9" x14ac:dyDescent="0.2">
      <c r="I44450" s="137" t="s">
        <v>74</v>
      </c>
    </row>
    <row r="44451" spans="9:9" x14ac:dyDescent="0.2">
      <c r="I44451" s="137" t="s">
        <v>74</v>
      </c>
    </row>
    <row r="44452" spans="9:9" x14ac:dyDescent="0.2">
      <c r="I44452" s="137" t="s">
        <v>74</v>
      </c>
    </row>
    <row r="44453" spans="9:9" x14ac:dyDescent="0.2">
      <c r="I44453" s="137" t="s">
        <v>74</v>
      </c>
    </row>
    <row r="44454" spans="9:9" x14ac:dyDescent="0.2">
      <c r="I44454" s="137" t="s">
        <v>74</v>
      </c>
    </row>
    <row r="44455" spans="9:9" x14ac:dyDescent="0.2">
      <c r="I44455" s="137" t="s">
        <v>74</v>
      </c>
    </row>
    <row r="44456" spans="9:9" x14ac:dyDescent="0.2">
      <c r="I44456" s="137" t="s">
        <v>74</v>
      </c>
    </row>
    <row r="44457" spans="9:9" x14ac:dyDescent="0.2">
      <c r="I44457" s="137" t="s">
        <v>74</v>
      </c>
    </row>
    <row r="44458" spans="9:9" x14ac:dyDescent="0.2">
      <c r="I44458" s="137" t="s">
        <v>74</v>
      </c>
    </row>
    <row r="44459" spans="9:9" x14ac:dyDescent="0.2">
      <c r="I44459" s="137" t="s">
        <v>74</v>
      </c>
    </row>
    <row r="44460" spans="9:9" x14ac:dyDescent="0.2">
      <c r="I44460" s="137" t="s">
        <v>74</v>
      </c>
    </row>
    <row r="44461" spans="9:9" x14ac:dyDescent="0.2">
      <c r="I44461" s="137" t="s">
        <v>74</v>
      </c>
    </row>
    <row r="44462" spans="9:9" x14ac:dyDescent="0.2">
      <c r="I44462" s="137" t="s">
        <v>74</v>
      </c>
    </row>
    <row r="44463" spans="9:9" x14ac:dyDescent="0.2">
      <c r="I44463" s="137" t="s">
        <v>74</v>
      </c>
    </row>
    <row r="44464" spans="9:9" x14ac:dyDescent="0.2">
      <c r="I44464" s="137" t="s">
        <v>74</v>
      </c>
    </row>
    <row r="44465" spans="9:9" x14ac:dyDescent="0.2">
      <c r="I44465" s="137" t="s">
        <v>74</v>
      </c>
    </row>
    <row r="44466" spans="9:9" x14ac:dyDescent="0.2">
      <c r="I44466" s="137" t="s">
        <v>74</v>
      </c>
    </row>
    <row r="44467" spans="9:9" x14ac:dyDescent="0.2">
      <c r="I44467" s="137" t="s">
        <v>74</v>
      </c>
    </row>
    <row r="44468" spans="9:9" x14ac:dyDescent="0.2">
      <c r="I44468" s="137" t="s">
        <v>74</v>
      </c>
    </row>
    <row r="44469" spans="9:9" x14ac:dyDescent="0.2">
      <c r="I44469" s="137" t="s">
        <v>74</v>
      </c>
    </row>
    <row r="44470" spans="9:9" x14ac:dyDescent="0.2">
      <c r="I44470" s="137" t="s">
        <v>74</v>
      </c>
    </row>
    <row r="44471" spans="9:9" x14ac:dyDescent="0.2">
      <c r="I44471" s="137" t="s">
        <v>74</v>
      </c>
    </row>
    <row r="44472" spans="9:9" x14ac:dyDescent="0.2">
      <c r="I44472" s="137" t="s">
        <v>74</v>
      </c>
    </row>
    <row r="44473" spans="9:9" x14ac:dyDescent="0.2">
      <c r="I44473" s="137" t="s">
        <v>74</v>
      </c>
    </row>
    <row r="44474" spans="9:9" x14ac:dyDescent="0.2">
      <c r="I44474" s="137" t="s">
        <v>74</v>
      </c>
    </row>
    <row r="44475" spans="9:9" x14ac:dyDescent="0.2">
      <c r="I44475" s="137" t="s">
        <v>74</v>
      </c>
    </row>
    <row r="44476" spans="9:9" x14ac:dyDescent="0.2">
      <c r="I44476" s="137" t="s">
        <v>74</v>
      </c>
    </row>
    <row r="44477" spans="9:9" x14ac:dyDescent="0.2">
      <c r="I44477" s="137" t="s">
        <v>74</v>
      </c>
    </row>
    <row r="44478" spans="9:9" x14ac:dyDescent="0.2">
      <c r="I44478" s="137" t="s">
        <v>74</v>
      </c>
    </row>
    <row r="44479" spans="9:9" x14ac:dyDescent="0.2">
      <c r="I44479" s="137" t="s">
        <v>74</v>
      </c>
    </row>
    <row r="44480" spans="9:9" x14ac:dyDescent="0.2">
      <c r="I44480" s="137" t="s">
        <v>74</v>
      </c>
    </row>
    <row r="44481" spans="9:9" x14ac:dyDescent="0.2">
      <c r="I44481" s="137" t="s">
        <v>74</v>
      </c>
    </row>
    <row r="44482" spans="9:9" x14ac:dyDescent="0.2">
      <c r="I44482" s="137" t="s">
        <v>74</v>
      </c>
    </row>
    <row r="44483" spans="9:9" x14ac:dyDescent="0.2">
      <c r="I44483" s="137" t="s">
        <v>74</v>
      </c>
    </row>
    <row r="44484" spans="9:9" x14ac:dyDescent="0.2">
      <c r="I44484" s="137" t="s">
        <v>74</v>
      </c>
    </row>
    <row r="44485" spans="9:9" x14ac:dyDescent="0.2">
      <c r="I44485" s="137" t="s">
        <v>74</v>
      </c>
    </row>
    <row r="44486" spans="9:9" x14ac:dyDescent="0.2">
      <c r="I44486" s="137" t="s">
        <v>74</v>
      </c>
    </row>
    <row r="44487" spans="9:9" x14ac:dyDescent="0.2">
      <c r="I44487" s="137" t="s">
        <v>74</v>
      </c>
    </row>
    <row r="44488" spans="9:9" x14ac:dyDescent="0.2">
      <c r="I44488" s="137" t="s">
        <v>74</v>
      </c>
    </row>
    <row r="44489" spans="9:9" x14ac:dyDescent="0.2">
      <c r="I44489" s="137" t="s">
        <v>74</v>
      </c>
    </row>
    <row r="44490" spans="9:9" x14ac:dyDescent="0.2">
      <c r="I44490" s="137" t="s">
        <v>74</v>
      </c>
    </row>
    <row r="44491" spans="9:9" x14ac:dyDescent="0.2">
      <c r="I44491" s="137" t="s">
        <v>74</v>
      </c>
    </row>
    <row r="44492" spans="9:9" x14ac:dyDescent="0.2">
      <c r="I44492" s="137" t="s">
        <v>74</v>
      </c>
    </row>
    <row r="44493" spans="9:9" x14ac:dyDescent="0.2">
      <c r="I44493" s="137" t="s">
        <v>74</v>
      </c>
    </row>
    <row r="44494" spans="9:9" x14ac:dyDescent="0.2">
      <c r="I44494" s="137" t="s">
        <v>74</v>
      </c>
    </row>
    <row r="44495" spans="9:9" x14ac:dyDescent="0.2">
      <c r="I44495" s="137" t="s">
        <v>74</v>
      </c>
    </row>
    <row r="44496" spans="9:9" x14ac:dyDescent="0.2">
      <c r="I44496" s="137" t="s">
        <v>74</v>
      </c>
    </row>
    <row r="44497" spans="9:9" x14ac:dyDescent="0.2">
      <c r="I44497" s="137" t="s">
        <v>74</v>
      </c>
    </row>
    <row r="44498" spans="9:9" x14ac:dyDescent="0.2">
      <c r="I44498" s="137" t="s">
        <v>74</v>
      </c>
    </row>
    <row r="44499" spans="9:9" x14ac:dyDescent="0.2">
      <c r="I44499" s="137" t="s">
        <v>74</v>
      </c>
    </row>
    <row r="44500" spans="9:9" x14ac:dyDescent="0.2">
      <c r="I44500" s="137" t="s">
        <v>74</v>
      </c>
    </row>
    <row r="44501" spans="9:9" x14ac:dyDescent="0.2">
      <c r="I44501" s="137" t="s">
        <v>74</v>
      </c>
    </row>
    <row r="44502" spans="9:9" x14ac:dyDescent="0.2">
      <c r="I44502" s="137" t="s">
        <v>74</v>
      </c>
    </row>
    <row r="44503" spans="9:9" x14ac:dyDescent="0.2">
      <c r="I44503" s="137" t="s">
        <v>74</v>
      </c>
    </row>
    <row r="44504" spans="9:9" x14ac:dyDescent="0.2">
      <c r="I44504" s="137" t="s">
        <v>74</v>
      </c>
    </row>
    <row r="44505" spans="9:9" x14ac:dyDescent="0.2">
      <c r="I44505" s="137" t="s">
        <v>74</v>
      </c>
    </row>
    <row r="44506" spans="9:9" x14ac:dyDescent="0.2">
      <c r="I44506" s="137" t="s">
        <v>74</v>
      </c>
    </row>
    <row r="44507" spans="9:9" x14ac:dyDescent="0.2">
      <c r="I44507" s="137" t="s">
        <v>74</v>
      </c>
    </row>
    <row r="44508" spans="9:9" x14ac:dyDescent="0.2">
      <c r="I44508" s="137" t="s">
        <v>74</v>
      </c>
    </row>
    <row r="44509" spans="9:9" x14ac:dyDescent="0.2">
      <c r="I44509" s="137" t="s">
        <v>74</v>
      </c>
    </row>
    <row r="44510" spans="9:9" x14ac:dyDescent="0.2">
      <c r="I44510" s="137" t="s">
        <v>74</v>
      </c>
    </row>
    <row r="44511" spans="9:9" x14ac:dyDescent="0.2">
      <c r="I44511" s="137" t="s">
        <v>74</v>
      </c>
    </row>
    <row r="44512" spans="9:9" x14ac:dyDescent="0.2">
      <c r="I44512" s="137" t="s">
        <v>74</v>
      </c>
    </row>
    <row r="44513" spans="9:9" x14ac:dyDescent="0.2">
      <c r="I44513" s="137" t="s">
        <v>74</v>
      </c>
    </row>
    <row r="44514" spans="9:9" x14ac:dyDescent="0.2">
      <c r="I44514" s="137" t="s">
        <v>74</v>
      </c>
    </row>
    <row r="44515" spans="9:9" x14ac:dyDescent="0.2">
      <c r="I44515" s="137" t="s">
        <v>74</v>
      </c>
    </row>
    <row r="44516" spans="9:9" x14ac:dyDescent="0.2">
      <c r="I44516" s="137" t="s">
        <v>74</v>
      </c>
    </row>
    <row r="44517" spans="9:9" x14ac:dyDescent="0.2">
      <c r="I44517" s="137" t="s">
        <v>74</v>
      </c>
    </row>
    <row r="44518" spans="9:9" x14ac:dyDescent="0.2">
      <c r="I44518" s="137" t="s">
        <v>74</v>
      </c>
    </row>
    <row r="44519" spans="9:9" x14ac:dyDescent="0.2">
      <c r="I44519" s="137" t="s">
        <v>74</v>
      </c>
    </row>
    <row r="44520" spans="9:9" x14ac:dyDescent="0.2">
      <c r="I44520" s="137" t="s">
        <v>74</v>
      </c>
    </row>
    <row r="44521" spans="9:9" x14ac:dyDescent="0.2">
      <c r="I44521" s="137" t="s">
        <v>74</v>
      </c>
    </row>
    <row r="44522" spans="9:9" x14ac:dyDescent="0.2">
      <c r="I44522" s="137" t="s">
        <v>74</v>
      </c>
    </row>
    <row r="44523" spans="9:9" x14ac:dyDescent="0.2">
      <c r="I44523" s="137" t="s">
        <v>74</v>
      </c>
    </row>
    <row r="44524" spans="9:9" x14ac:dyDescent="0.2">
      <c r="I44524" s="137" t="s">
        <v>74</v>
      </c>
    </row>
    <row r="44525" spans="9:9" x14ac:dyDescent="0.2">
      <c r="I44525" s="137" t="s">
        <v>74</v>
      </c>
    </row>
    <row r="44526" spans="9:9" x14ac:dyDescent="0.2">
      <c r="I44526" s="137" t="s">
        <v>74</v>
      </c>
    </row>
    <row r="44527" spans="9:9" x14ac:dyDescent="0.2">
      <c r="I44527" s="137" t="s">
        <v>74</v>
      </c>
    </row>
    <row r="44528" spans="9:9" x14ac:dyDescent="0.2">
      <c r="I44528" s="137" t="s">
        <v>74</v>
      </c>
    </row>
    <row r="44529" spans="9:9" x14ac:dyDescent="0.2">
      <c r="I44529" s="137" t="s">
        <v>74</v>
      </c>
    </row>
    <row r="44530" spans="9:9" x14ac:dyDescent="0.2">
      <c r="I44530" s="137" t="s">
        <v>74</v>
      </c>
    </row>
    <row r="44531" spans="9:9" x14ac:dyDescent="0.2">
      <c r="I44531" s="137" t="s">
        <v>74</v>
      </c>
    </row>
    <row r="44532" spans="9:9" x14ac:dyDescent="0.2">
      <c r="I44532" s="137" t="s">
        <v>74</v>
      </c>
    </row>
    <row r="44533" spans="9:9" x14ac:dyDescent="0.2">
      <c r="I44533" s="137" t="s">
        <v>74</v>
      </c>
    </row>
    <row r="44534" spans="9:9" x14ac:dyDescent="0.2">
      <c r="I44534" s="137" t="s">
        <v>74</v>
      </c>
    </row>
    <row r="44535" spans="9:9" x14ac:dyDescent="0.2">
      <c r="I44535" s="137" t="s">
        <v>74</v>
      </c>
    </row>
    <row r="44536" spans="9:9" x14ac:dyDescent="0.2">
      <c r="I44536" s="137" t="s">
        <v>74</v>
      </c>
    </row>
    <row r="44537" spans="9:9" x14ac:dyDescent="0.2">
      <c r="I44537" s="137" t="s">
        <v>74</v>
      </c>
    </row>
    <row r="44538" spans="9:9" x14ac:dyDescent="0.2">
      <c r="I44538" s="137" t="s">
        <v>74</v>
      </c>
    </row>
    <row r="44539" spans="9:9" x14ac:dyDescent="0.2">
      <c r="I44539" s="137" t="s">
        <v>74</v>
      </c>
    </row>
    <row r="44540" spans="9:9" x14ac:dyDescent="0.2">
      <c r="I44540" s="137" t="s">
        <v>74</v>
      </c>
    </row>
    <row r="44541" spans="9:9" x14ac:dyDescent="0.2">
      <c r="I44541" s="137" t="s">
        <v>74</v>
      </c>
    </row>
    <row r="44542" spans="9:9" x14ac:dyDescent="0.2">
      <c r="I44542" s="137" t="s">
        <v>74</v>
      </c>
    </row>
    <row r="44543" spans="9:9" x14ac:dyDescent="0.2">
      <c r="I44543" s="137" t="s">
        <v>74</v>
      </c>
    </row>
    <row r="44544" spans="9:9" x14ac:dyDescent="0.2">
      <c r="I44544" s="137" t="s">
        <v>74</v>
      </c>
    </row>
    <row r="44545" spans="9:9" x14ac:dyDescent="0.2">
      <c r="I44545" s="137" t="s">
        <v>74</v>
      </c>
    </row>
    <row r="44546" spans="9:9" x14ac:dyDescent="0.2">
      <c r="I44546" s="137" t="s">
        <v>74</v>
      </c>
    </row>
    <row r="44547" spans="9:9" x14ac:dyDescent="0.2">
      <c r="I44547" s="137" t="s">
        <v>74</v>
      </c>
    </row>
    <row r="44548" spans="9:9" x14ac:dyDescent="0.2">
      <c r="I44548" s="137" t="s">
        <v>74</v>
      </c>
    </row>
    <row r="44549" spans="9:9" x14ac:dyDescent="0.2">
      <c r="I44549" s="137" t="s">
        <v>74</v>
      </c>
    </row>
    <row r="44550" spans="9:9" x14ac:dyDescent="0.2">
      <c r="I44550" s="137" t="s">
        <v>74</v>
      </c>
    </row>
    <row r="44551" spans="9:9" x14ac:dyDescent="0.2">
      <c r="I44551" s="137" t="s">
        <v>74</v>
      </c>
    </row>
    <row r="44552" spans="9:9" x14ac:dyDescent="0.2">
      <c r="I44552" s="137" t="s">
        <v>74</v>
      </c>
    </row>
    <row r="44553" spans="9:9" x14ac:dyDescent="0.2">
      <c r="I44553" s="137" t="s">
        <v>74</v>
      </c>
    </row>
    <row r="44554" spans="9:9" x14ac:dyDescent="0.2">
      <c r="I44554" s="137" t="s">
        <v>74</v>
      </c>
    </row>
    <row r="44555" spans="9:9" x14ac:dyDescent="0.2">
      <c r="I44555" s="137" t="s">
        <v>74</v>
      </c>
    </row>
    <row r="44556" spans="9:9" x14ac:dyDescent="0.2">
      <c r="I44556" s="137" t="s">
        <v>74</v>
      </c>
    </row>
    <row r="44557" spans="9:9" x14ac:dyDescent="0.2">
      <c r="I44557" s="137" t="s">
        <v>74</v>
      </c>
    </row>
    <row r="44558" spans="9:9" x14ac:dyDescent="0.2">
      <c r="I44558" s="137" t="s">
        <v>74</v>
      </c>
    </row>
    <row r="44559" spans="9:9" x14ac:dyDescent="0.2">
      <c r="I44559" s="137" t="s">
        <v>74</v>
      </c>
    </row>
    <row r="44560" spans="9:9" x14ac:dyDescent="0.2">
      <c r="I44560" s="137" t="s">
        <v>74</v>
      </c>
    </row>
    <row r="44561" spans="9:9" x14ac:dyDescent="0.2">
      <c r="I44561" s="137" t="s">
        <v>74</v>
      </c>
    </row>
    <row r="44562" spans="9:9" x14ac:dyDescent="0.2">
      <c r="I44562" s="137" t="s">
        <v>74</v>
      </c>
    </row>
    <row r="44563" spans="9:9" x14ac:dyDescent="0.2">
      <c r="I44563" s="137" t="s">
        <v>74</v>
      </c>
    </row>
    <row r="44564" spans="9:9" x14ac:dyDescent="0.2">
      <c r="I44564" s="137" t="s">
        <v>74</v>
      </c>
    </row>
    <row r="44565" spans="9:9" x14ac:dyDescent="0.2">
      <c r="I44565" s="137" t="s">
        <v>74</v>
      </c>
    </row>
    <row r="44566" spans="9:9" x14ac:dyDescent="0.2">
      <c r="I44566" s="137" t="s">
        <v>74</v>
      </c>
    </row>
    <row r="44567" spans="9:9" x14ac:dyDescent="0.2">
      <c r="I44567" s="137" t="s">
        <v>74</v>
      </c>
    </row>
    <row r="44568" spans="9:9" x14ac:dyDescent="0.2">
      <c r="I44568" s="137" t="s">
        <v>74</v>
      </c>
    </row>
    <row r="44569" spans="9:9" x14ac:dyDescent="0.2">
      <c r="I44569" s="137" t="s">
        <v>74</v>
      </c>
    </row>
    <row r="44570" spans="9:9" x14ac:dyDescent="0.2">
      <c r="I44570" s="137" t="s">
        <v>74</v>
      </c>
    </row>
    <row r="44571" spans="9:9" x14ac:dyDescent="0.2">
      <c r="I44571" s="137" t="s">
        <v>74</v>
      </c>
    </row>
    <row r="44572" spans="9:9" x14ac:dyDescent="0.2">
      <c r="I44572" s="137" t="s">
        <v>74</v>
      </c>
    </row>
    <row r="44573" spans="9:9" x14ac:dyDescent="0.2">
      <c r="I44573" s="137" t="s">
        <v>74</v>
      </c>
    </row>
    <row r="44574" spans="9:9" x14ac:dyDescent="0.2">
      <c r="I44574" s="137" t="s">
        <v>74</v>
      </c>
    </row>
    <row r="44575" spans="9:9" x14ac:dyDescent="0.2">
      <c r="I44575" s="137" t="s">
        <v>74</v>
      </c>
    </row>
    <row r="44576" spans="9:9" x14ac:dyDescent="0.2">
      <c r="I44576" s="137" t="s">
        <v>74</v>
      </c>
    </row>
    <row r="44577" spans="9:9" x14ac:dyDescent="0.2">
      <c r="I44577" s="137" t="s">
        <v>74</v>
      </c>
    </row>
    <row r="44578" spans="9:9" x14ac:dyDescent="0.2">
      <c r="I44578" s="137" t="s">
        <v>74</v>
      </c>
    </row>
    <row r="44579" spans="9:9" x14ac:dyDescent="0.2">
      <c r="I44579" s="137" t="s">
        <v>74</v>
      </c>
    </row>
    <row r="44580" spans="9:9" x14ac:dyDescent="0.2">
      <c r="I44580" s="137" t="s">
        <v>74</v>
      </c>
    </row>
    <row r="44581" spans="9:9" x14ac:dyDescent="0.2">
      <c r="I44581" s="137" t="s">
        <v>74</v>
      </c>
    </row>
    <row r="44582" spans="9:9" x14ac:dyDescent="0.2">
      <c r="I44582" s="137" t="s">
        <v>74</v>
      </c>
    </row>
    <row r="44583" spans="9:9" x14ac:dyDescent="0.2">
      <c r="I44583" s="137" t="s">
        <v>74</v>
      </c>
    </row>
    <row r="44584" spans="9:9" x14ac:dyDescent="0.2">
      <c r="I44584" s="137" t="s">
        <v>74</v>
      </c>
    </row>
    <row r="44585" spans="9:9" x14ac:dyDescent="0.2">
      <c r="I44585" s="137" t="s">
        <v>74</v>
      </c>
    </row>
    <row r="44586" spans="9:9" x14ac:dyDescent="0.2">
      <c r="I44586" s="137" t="s">
        <v>74</v>
      </c>
    </row>
    <row r="44587" spans="9:9" x14ac:dyDescent="0.2">
      <c r="I44587" s="137" t="s">
        <v>74</v>
      </c>
    </row>
    <row r="44588" spans="9:9" x14ac:dyDescent="0.2">
      <c r="I44588" s="137" t="s">
        <v>74</v>
      </c>
    </row>
    <row r="44589" spans="9:9" x14ac:dyDescent="0.2">
      <c r="I44589" s="137" t="s">
        <v>74</v>
      </c>
    </row>
    <row r="44590" spans="9:9" x14ac:dyDescent="0.2">
      <c r="I44590" s="137" t="s">
        <v>74</v>
      </c>
    </row>
    <row r="44591" spans="9:9" x14ac:dyDescent="0.2">
      <c r="I44591" s="137" t="s">
        <v>74</v>
      </c>
    </row>
    <row r="44592" spans="9:9" x14ac:dyDescent="0.2">
      <c r="I44592" s="137" t="s">
        <v>74</v>
      </c>
    </row>
    <row r="44593" spans="9:9" x14ac:dyDescent="0.2">
      <c r="I44593" s="137" t="s">
        <v>74</v>
      </c>
    </row>
    <row r="44594" spans="9:9" x14ac:dyDescent="0.2">
      <c r="I44594" s="137" t="s">
        <v>74</v>
      </c>
    </row>
    <row r="44595" spans="9:9" x14ac:dyDescent="0.2">
      <c r="I44595" s="137" t="s">
        <v>74</v>
      </c>
    </row>
    <row r="44596" spans="9:9" x14ac:dyDescent="0.2">
      <c r="I44596" s="137" t="s">
        <v>74</v>
      </c>
    </row>
    <row r="44597" spans="9:9" x14ac:dyDescent="0.2">
      <c r="I44597" s="137" t="s">
        <v>74</v>
      </c>
    </row>
    <row r="44598" spans="9:9" x14ac:dyDescent="0.2">
      <c r="I44598" s="137" t="s">
        <v>74</v>
      </c>
    </row>
    <row r="44599" spans="9:9" x14ac:dyDescent="0.2">
      <c r="I44599" s="137" t="s">
        <v>74</v>
      </c>
    </row>
    <row r="44600" spans="9:9" x14ac:dyDescent="0.2">
      <c r="I44600" s="137" t="s">
        <v>74</v>
      </c>
    </row>
    <row r="44601" spans="9:9" x14ac:dyDescent="0.2">
      <c r="I44601" s="137" t="s">
        <v>74</v>
      </c>
    </row>
    <row r="44602" spans="9:9" x14ac:dyDescent="0.2">
      <c r="I44602" s="137" t="s">
        <v>74</v>
      </c>
    </row>
    <row r="44603" spans="9:9" x14ac:dyDescent="0.2">
      <c r="I44603" s="137" t="s">
        <v>74</v>
      </c>
    </row>
    <row r="44604" spans="9:9" x14ac:dyDescent="0.2">
      <c r="I44604" s="137" t="s">
        <v>74</v>
      </c>
    </row>
    <row r="44605" spans="9:9" x14ac:dyDescent="0.2">
      <c r="I44605" s="137" t="s">
        <v>74</v>
      </c>
    </row>
    <row r="44606" spans="9:9" x14ac:dyDescent="0.2">
      <c r="I44606" s="137" t="s">
        <v>74</v>
      </c>
    </row>
    <row r="44607" spans="9:9" x14ac:dyDescent="0.2">
      <c r="I44607" s="137" t="s">
        <v>74</v>
      </c>
    </row>
    <row r="44608" spans="9:9" x14ac:dyDescent="0.2">
      <c r="I44608" s="137" t="s">
        <v>74</v>
      </c>
    </row>
    <row r="44609" spans="9:9" x14ac:dyDescent="0.2">
      <c r="I44609" s="137" t="s">
        <v>74</v>
      </c>
    </row>
    <row r="44610" spans="9:9" x14ac:dyDescent="0.2">
      <c r="I44610" s="137" t="s">
        <v>74</v>
      </c>
    </row>
    <row r="44611" spans="9:9" x14ac:dyDescent="0.2">
      <c r="I44611" s="137" t="s">
        <v>74</v>
      </c>
    </row>
    <row r="44612" spans="9:9" x14ac:dyDescent="0.2">
      <c r="I44612" s="137" t="s">
        <v>74</v>
      </c>
    </row>
    <row r="44613" spans="9:9" x14ac:dyDescent="0.2">
      <c r="I44613" s="137" t="s">
        <v>74</v>
      </c>
    </row>
    <row r="44614" spans="9:9" x14ac:dyDescent="0.2">
      <c r="I44614" s="137" t="s">
        <v>74</v>
      </c>
    </row>
    <row r="44615" spans="9:9" x14ac:dyDescent="0.2">
      <c r="I44615" s="137" t="s">
        <v>74</v>
      </c>
    </row>
    <row r="44616" spans="9:9" x14ac:dyDescent="0.2">
      <c r="I44616" s="137" t="s">
        <v>74</v>
      </c>
    </row>
    <row r="44617" spans="9:9" x14ac:dyDescent="0.2">
      <c r="I44617" s="137" t="s">
        <v>74</v>
      </c>
    </row>
    <row r="44618" spans="9:9" x14ac:dyDescent="0.2">
      <c r="I44618" s="137" t="s">
        <v>74</v>
      </c>
    </row>
    <row r="44619" spans="9:9" x14ac:dyDescent="0.2">
      <c r="I44619" s="137" t="s">
        <v>74</v>
      </c>
    </row>
    <row r="44620" spans="9:9" x14ac:dyDescent="0.2">
      <c r="I44620" s="137" t="s">
        <v>74</v>
      </c>
    </row>
    <row r="44621" spans="9:9" x14ac:dyDescent="0.2">
      <c r="I44621" s="137" t="s">
        <v>74</v>
      </c>
    </row>
    <row r="44622" spans="9:9" x14ac:dyDescent="0.2">
      <c r="I44622" s="137" t="s">
        <v>74</v>
      </c>
    </row>
    <row r="44623" spans="9:9" x14ac:dyDescent="0.2">
      <c r="I44623" s="137" t="s">
        <v>74</v>
      </c>
    </row>
    <row r="44624" spans="9:9" x14ac:dyDescent="0.2">
      <c r="I44624" s="137" t="s">
        <v>74</v>
      </c>
    </row>
    <row r="44625" spans="9:9" x14ac:dyDescent="0.2">
      <c r="I44625" s="137" t="s">
        <v>74</v>
      </c>
    </row>
    <row r="44626" spans="9:9" x14ac:dyDescent="0.2">
      <c r="I44626" s="137" t="s">
        <v>74</v>
      </c>
    </row>
    <row r="44627" spans="9:9" x14ac:dyDescent="0.2">
      <c r="I44627" s="137" t="s">
        <v>74</v>
      </c>
    </row>
    <row r="44628" spans="9:9" x14ac:dyDescent="0.2">
      <c r="I44628" s="137" t="s">
        <v>74</v>
      </c>
    </row>
    <row r="44629" spans="9:9" x14ac:dyDescent="0.2">
      <c r="I44629" s="137" t="s">
        <v>74</v>
      </c>
    </row>
    <row r="44630" spans="9:9" x14ac:dyDescent="0.2">
      <c r="I44630" s="137" t="s">
        <v>74</v>
      </c>
    </row>
    <row r="44631" spans="9:9" x14ac:dyDescent="0.2">
      <c r="I44631" s="137" t="s">
        <v>74</v>
      </c>
    </row>
    <row r="44632" spans="9:9" x14ac:dyDescent="0.2">
      <c r="I44632" s="137" t="s">
        <v>74</v>
      </c>
    </row>
    <row r="44633" spans="9:9" x14ac:dyDescent="0.2">
      <c r="I44633" s="137" t="s">
        <v>74</v>
      </c>
    </row>
    <row r="44634" spans="9:9" x14ac:dyDescent="0.2">
      <c r="I44634" s="137" t="s">
        <v>74</v>
      </c>
    </row>
    <row r="44635" spans="9:9" x14ac:dyDescent="0.2">
      <c r="I44635" s="137" t="s">
        <v>74</v>
      </c>
    </row>
    <row r="44636" spans="9:9" x14ac:dyDescent="0.2">
      <c r="I44636" s="137" t="s">
        <v>74</v>
      </c>
    </row>
    <row r="44637" spans="9:9" x14ac:dyDescent="0.2">
      <c r="I44637" s="137" t="s">
        <v>74</v>
      </c>
    </row>
    <row r="44638" spans="9:9" x14ac:dyDescent="0.2">
      <c r="I44638" s="137" t="s">
        <v>74</v>
      </c>
    </row>
    <row r="44639" spans="9:9" x14ac:dyDescent="0.2">
      <c r="I44639" s="137" t="s">
        <v>74</v>
      </c>
    </row>
    <row r="44640" spans="9:9" x14ac:dyDescent="0.2">
      <c r="I44640" s="137" t="s">
        <v>74</v>
      </c>
    </row>
    <row r="44641" spans="9:9" x14ac:dyDescent="0.2">
      <c r="I44641" s="137" t="s">
        <v>74</v>
      </c>
    </row>
    <row r="44642" spans="9:9" x14ac:dyDescent="0.2">
      <c r="I44642" s="137" t="s">
        <v>74</v>
      </c>
    </row>
    <row r="44643" spans="9:9" x14ac:dyDescent="0.2">
      <c r="I44643" s="137" t="s">
        <v>74</v>
      </c>
    </row>
    <row r="44644" spans="9:9" x14ac:dyDescent="0.2">
      <c r="I44644" s="137" t="s">
        <v>74</v>
      </c>
    </row>
    <row r="44645" spans="9:9" x14ac:dyDescent="0.2">
      <c r="I44645" s="137" t="s">
        <v>74</v>
      </c>
    </row>
    <row r="44646" spans="9:9" x14ac:dyDescent="0.2">
      <c r="I44646" s="137" t="s">
        <v>74</v>
      </c>
    </row>
    <row r="44647" spans="9:9" x14ac:dyDescent="0.2">
      <c r="I44647" s="137" t="s">
        <v>74</v>
      </c>
    </row>
    <row r="44648" spans="9:9" x14ac:dyDescent="0.2">
      <c r="I44648" s="137" t="s">
        <v>74</v>
      </c>
    </row>
    <row r="44649" spans="9:9" x14ac:dyDescent="0.2">
      <c r="I44649" s="137" t="s">
        <v>74</v>
      </c>
    </row>
    <row r="44650" spans="9:9" x14ac:dyDescent="0.2">
      <c r="I44650" s="137" t="s">
        <v>74</v>
      </c>
    </row>
    <row r="44651" spans="9:9" x14ac:dyDescent="0.2">
      <c r="I44651" s="137" t="s">
        <v>74</v>
      </c>
    </row>
    <row r="44652" spans="9:9" x14ac:dyDescent="0.2">
      <c r="I44652" s="137" t="s">
        <v>74</v>
      </c>
    </row>
    <row r="44653" spans="9:9" x14ac:dyDescent="0.2">
      <c r="I44653" s="137" t="s">
        <v>74</v>
      </c>
    </row>
    <row r="44654" spans="9:9" x14ac:dyDescent="0.2">
      <c r="I44654" s="137" t="s">
        <v>74</v>
      </c>
    </row>
    <row r="44655" spans="9:9" x14ac:dyDescent="0.2">
      <c r="I44655" s="137" t="s">
        <v>74</v>
      </c>
    </row>
    <row r="44656" spans="9:9" x14ac:dyDescent="0.2">
      <c r="I44656" s="137" t="s">
        <v>74</v>
      </c>
    </row>
    <row r="44657" spans="9:9" x14ac:dyDescent="0.2">
      <c r="I44657" s="137" t="s">
        <v>74</v>
      </c>
    </row>
    <row r="44658" spans="9:9" x14ac:dyDescent="0.2">
      <c r="I44658" s="137" t="s">
        <v>74</v>
      </c>
    </row>
    <row r="44659" spans="9:9" x14ac:dyDescent="0.2">
      <c r="I44659" s="137" t="s">
        <v>74</v>
      </c>
    </row>
    <row r="44660" spans="9:9" x14ac:dyDescent="0.2">
      <c r="I44660" s="137" t="s">
        <v>74</v>
      </c>
    </row>
    <row r="44661" spans="9:9" x14ac:dyDescent="0.2">
      <c r="I44661" s="137" t="s">
        <v>74</v>
      </c>
    </row>
    <row r="44662" spans="9:9" x14ac:dyDescent="0.2">
      <c r="I44662" s="137" t="s">
        <v>74</v>
      </c>
    </row>
    <row r="44663" spans="9:9" x14ac:dyDescent="0.2">
      <c r="I44663" s="137" t="s">
        <v>74</v>
      </c>
    </row>
    <row r="44664" spans="9:9" x14ac:dyDescent="0.2">
      <c r="I44664" s="137" t="s">
        <v>74</v>
      </c>
    </row>
    <row r="44665" spans="9:9" x14ac:dyDescent="0.2">
      <c r="I44665" s="137" t="s">
        <v>74</v>
      </c>
    </row>
    <row r="44666" spans="9:9" x14ac:dyDescent="0.2">
      <c r="I44666" s="137" t="s">
        <v>74</v>
      </c>
    </row>
    <row r="44667" spans="9:9" x14ac:dyDescent="0.2">
      <c r="I44667" s="137" t="s">
        <v>74</v>
      </c>
    </row>
    <row r="44668" spans="9:9" x14ac:dyDescent="0.2">
      <c r="I44668" s="137" t="s">
        <v>74</v>
      </c>
    </row>
    <row r="44669" spans="9:9" x14ac:dyDescent="0.2">
      <c r="I44669" s="137" t="s">
        <v>74</v>
      </c>
    </row>
    <row r="44670" spans="9:9" x14ac:dyDescent="0.2">
      <c r="I44670" s="137" t="s">
        <v>74</v>
      </c>
    </row>
    <row r="44671" spans="9:9" x14ac:dyDescent="0.2">
      <c r="I44671" s="137" t="s">
        <v>74</v>
      </c>
    </row>
    <row r="44672" spans="9:9" x14ac:dyDescent="0.2">
      <c r="I44672" s="137" t="s">
        <v>74</v>
      </c>
    </row>
    <row r="44673" spans="9:9" x14ac:dyDescent="0.2">
      <c r="I44673" s="137" t="s">
        <v>74</v>
      </c>
    </row>
    <row r="44674" spans="9:9" x14ac:dyDescent="0.2">
      <c r="I44674" s="137" t="s">
        <v>74</v>
      </c>
    </row>
    <row r="44675" spans="9:9" x14ac:dyDescent="0.2">
      <c r="I44675" s="137" t="s">
        <v>74</v>
      </c>
    </row>
    <row r="44676" spans="9:9" x14ac:dyDescent="0.2">
      <c r="I44676" s="137" t="s">
        <v>74</v>
      </c>
    </row>
    <row r="44677" spans="9:9" x14ac:dyDescent="0.2">
      <c r="I44677" s="137" t="s">
        <v>74</v>
      </c>
    </row>
    <row r="44678" spans="9:9" x14ac:dyDescent="0.2">
      <c r="I44678" s="137" t="s">
        <v>74</v>
      </c>
    </row>
    <row r="44679" spans="9:9" x14ac:dyDescent="0.2">
      <c r="I44679" s="137" t="s">
        <v>74</v>
      </c>
    </row>
    <row r="44680" spans="9:9" x14ac:dyDescent="0.2">
      <c r="I44680" s="137" t="s">
        <v>74</v>
      </c>
    </row>
    <row r="44681" spans="9:9" x14ac:dyDescent="0.2">
      <c r="I44681" s="137" t="s">
        <v>74</v>
      </c>
    </row>
    <row r="44682" spans="9:9" x14ac:dyDescent="0.2">
      <c r="I44682" s="137" t="s">
        <v>74</v>
      </c>
    </row>
    <row r="44683" spans="9:9" x14ac:dyDescent="0.2">
      <c r="I44683" s="137" t="s">
        <v>74</v>
      </c>
    </row>
    <row r="44684" spans="9:9" x14ac:dyDescent="0.2">
      <c r="I44684" s="137" t="s">
        <v>74</v>
      </c>
    </row>
    <row r="44685" spans="9:9" x14ac:dyDescent="0.2">
      <c r="I44685" s="137" t="s">
        <v>74</v>
      </c>
    </row>
    <row r="44686" spans="9:9" x14ac:dyDescent="0.2">
      <c r="I44686" s="137" t="s">
        <v>74</v>
      </c>
    </row>
    <row r="44687" spans="9:9" x14ac:dyDescent="0.2">
      <c r="I44687" s="137" t="s">
        <v>74</v>
      </c>
    </row>
    <row r="44688" spans="9:9" x14ac:dyDescent="0.2">
      <c r="I44688" s="137" t="s">
        <v>74</v>
      </c>
    </row>
    <row r="44689" spans="9:9" x14ac:dyDescent="0.2">
      <c r="I44689" s="137" t="s">
        <v>74</v>
      </c>
    </row>
    <row r="44690" spans="9:9" x14ac:dyDescent="0.2">
      <c r="I44690" s="137" t="s">
        <v>74</v>
      </c>
    </row>
    <row r="44691" spans="9:9" x14ac:dyDescent="0.2">
      <c r="I44691" s="137" t="s">
        <v>74</v>
      </c>
    </row>
    <row r="44692" spans="9:9" x14ac:dyDescent="0.2">
      <c r="I44692" s="137" t="s">
        <v>74</v>
      </c>
    </row>
    <row r="44693" spans="9:9" x14ac:dyDescent="0.2">
      <c r="I44693" s="137" t="s">
        <v>74</v>
      </c>
    </row>
    <row r="44694" spans="9:9" x14ac:dyDescent="0.2">
      <c r="I44694" s="137" t="s">
        <v>74</v>
      </c>
    </row>
    <row r="44695" spans="9:9" x14ac:dyDescent="0.2">
      <c r="I44695" s="137" t="s">
        <v>74</v>
      </c>
    </row>
    <row r="44696" spans="9:9" x14ac:dyDescent="0.2">
      <c r="I44696" s="137" t="s">
        <v>74</v>
      </c>
    </row>
    <row r="44697" spans="9:9" x14ac:dyDescent="0.2">
      <c r="I44697" s="137" t="s">
        <v>74</v>
      </c>
    </row>
    <row r="44698" spans="9:9" x14ac:dyDescent="0.2">
      <c r="I44698" s="137" t="s">
        <v>74</v>
      </c>
    </row>
    <row r="44699" spans="9:9" x14ac:dyDescent="0.2">
      <c r="I44699" s="137" t="s">
        <v>74</v>
      </c>
    </row>
    <row r="44700" spans="9:9" x14ac:dyDescent="0.2">
      <c r="I44700" s="137" t="s">
        <v>74</v>
      </c>
    </row>
    <row r="44701" spans="9:9" x14ac:dyDescent="0.2">
      <c r="I44701" s="137" t="s">
        <v>74</v>
      </c>
    </row>
    <row r="44702" spans="9:9" x14ac:dyDescent="0.2">
      <c r="I44702" s="137" t="s">
        <v>74</v>
      </c>
    </row>
    <row r="44703" spans="9:9" x14ac:dyDescent="0.2">
      <c r="I44703" s="137" t="s">
        <v>74</v>
      </c>
    </row>
    <row r="44704" spans="9:9" x14ac:dyDescent="0.2">
      <c r="I44704" s="137" t="s">
        <v>74</v>
      </c>
    </row>
    <row r="44705" spans="9:9" x14ac:dyDescent="0.2">
      <c r="I44705" s="137" t="s">
        <v>74</v>
      </c>
    </row>
    <row r="44706" spans="9:9" x14ac:dyDescent="0.2">
      <c r="I44706" s="137" t="s">
        <v>74</v>
      </c>
    </row>
    <row r="44707" spans="9:9" x14ac:dyDescent="0.2">
      <c r="I44707" s="137" t="s">
        <v>74</v>
      </c>
    </row>
    <row r="44708" spans="9:9" x14ac:dyDescent="0.2">
      <c r="I44708" s="137" t="s">
        <v>74</v>
      </c>
    </row>
    <row r="44709" spans="9:9" x14ac:dyDescent="0.2">
      <c r="I44709" s="137" t="s">
        <v>74</v>
      </c>
    </row>
    <row r="44710" spans="9:9" x14ac:dyDescent="0.2">
      <c r="I44710" s="137" t="s">
        <v>74</v>
      </c>
    </row>
    <row r="44711" spans="9:9" x14ac:dyDescent="0.2">
      <c r="I44711" s="137" t="s">
        <v>74</v>
      </c>
    </row>
    <row r="44712" spans="9:9" x14ac:dyDescent="0.2">
      <c r="I44712" s="137" t="s">
        <v>74</v>
      </c>
    </row>
    <row r="44713" spans="9:9" x14ac:dyDescent="0.2">
      <c r="I44713" s="137" t="s">
        <v>74</v>
      </c>
    </row>
    <row r="44714" spans="9:9" x14ac:dyDescent="0.2">
      <c r="I44714" s="137" t="s">
        <v>74</v>
      </c>
    </row>
    <row r="44715" spans="9:9" x14ac:dyDescent="0.2">
      <c r="I44715" s="137" t="s">
        <v>74</v>
      </c>
    </row>
    <row r="44716" spans="9:9" x14ac:dyDescent="0.2">
      <c r="I44716" s="137" t="s">
        <v>74</v>
      </c>
    </row>
    <row r="44717" spans="9:9" x14ac:dyDescent="0.2">
      <c r="I44717" s="137" t="s">
        <v>74</v>
      </c>
    </row>
    <row r="44718" spans="9:9" x14ac:dyDescent="0.2">
      <c r="I44718" s="137" t="s">
        <v>74</v>
      </c>
    </row>
    <row r="44719" spans="9:9" x14ac:dyDescent="0.2">
      <c r="I44719" s="137" t="s">
        <v>74</v>
      </c>
    </row>
    <row r="44720" spans="9:9" x14ac:dyDescent="0.2">
      <c r="I44720" s="137" t="s">
        <v>74</v>
      </c>
    </row>
    <row r="44721" spans="9:9" x14ac:dyDescent="0.2">
      <c r="I44721" s="137" t="s">
        <v>74</v>
      </c>
    </row>
    <row r="44722" spans="9:9" x14ac:dyDescent="0.2">
      <c r="I44722" s="137" t="s">
        <v>74</v>
      </c>
    </row>
    <row r="44723" spans="9:9" x14ac:dyDescent="0.2">
      <c r="I44723" s="137" t="s">
        <v>74</v>
      </c>
    </row>
    <row r="44724" spans="9:9" x14ac:dyDescent="0.2">
      <c r="I44724" s="137" t="s">
        <v>74</v>
      </c>
    </row>
    <row r="44725" spans="9:9" x14ac:dyDescent="0.2">
      <c r="I44725" s="137" t="s">
        <v>74</v>
      </c>
    </row>
    <row r="44726" spans="9:9" x14ac:dyDescent="0.2">
      <c r="I44726" s="137" t="s">
        <v>74</v>
      </c>
    </row>
    <row r="44727" spans="9:9" x14ac:dyDescent="0.2">
      <c r="I44727" s="137" t="s">
        <v>74</v>
      </c>
    </row>
    <row r="44728" spans="9:9" x14ac:dyDescent="0.2">
      <c r="I44728" s="137" t="s">
        <v>74</v>
      </c>
    </row>
    <row r="44729" spans="9:9" x14ac:dyDescent="0.2">
      <c r="I44729" s="137" t="s">
        <v>74</v>
      </c>
    </row>
    <row r="44730" spans="9:9" x14ac:dyDescent="0.2">
      <c r="I44730" s="137" t="s">
        <v>74</v>
      </c>
    </row>
    <row r="44731" spans="9:9" x14ac:dyDescent="0.2">
      <c r="I44731" s="137" t="s">
        <v>74</v>
      </c>
    </row>
    <row r="44732" spans="9:9" x14ac:dyDescent="0.2">
      <c r="I44732" s="137" t="s">
        <v>74</v>
      </c>
    </row>
    <row r="44733" spans="9:9" x14ac:dyDescent="0.2">
      <c r="I44733" s="137" t="s">
        <v>74</v>
      </c>
    </row>
    <row r="44734" spans="9:9" x14ac:dyDescent="0.2">
      <c r="I44734" s="137" t="s">
        <v>74</v>
      </c>
    </row>
    <row r="44735" spans="9:9" x14ac:dyDescent="0.2">
      <c r="I44735" s="137" t="s">
        <v>74</v>
      </c>
    </row>
    <row r="44736" spans="9:9" x14ac:dyDescent="0.2">
      <c r="I44736" s="137" t="s">
        <v>74</v>
      </c>
    </row>
    <row r="44737" spans="9:9" x14ac:dyDescent="0.2">
      <c r="I44737" s="137" t="s">
        <v>74</v>
      </c>
    </row>
    <row r="44738" spans="9:9" x14ac:dyDescent="0.2">
      <c r="I44738" s="137" t="s">
        <v>74</v>
      </c>
    </row>
    <row r="44739" spans="9:9" x14ac:dyDescent="0.2">
      <c r="I44739" s="137" t="s">
        <v>74</v>
      </c>
    </row>
    <row r="44740" spans="9:9" x14ac:dyDescent="0.2">
      <c r="I44740" s="137" t="s">
        <v>74</v>
      </c>
    </row>
    <row r="44741" spans="9:9" x14ac:dyDescent="0.2">
      <c r="I44741" s="137" t="s">
        <v>74</v>
      </c>
    </row>
    <row r="44742" spans="9:9" x14ac:dyDescent="0.2">
      <c r="I44742" s="137" t="s">
        <v>74</v>
      </c>
    </row>
    <row r="44743" spans="9:9" x14ac:dyDescent="0.2">
      <c r="I44743" s="137" t="s">
        <v>74</v>
      </c>
    </row>
    <row r="44744" spans="9:9" x14ac:dyDescent="0.2">
      <c r="I44744" s="137" t="s">
        <v>74</v>
      </c>
    </row>
    <row r="44745" spans="9:9" x14ac:dyDescent="0.2">
      <c r="I44745" s="137" t="s">
        <v>74</v>
      </c>
    </row>
    <row r="44746" spans="9:9" x14ac:dyDescent="0.2">
      <c r="I44746" s="137" t="s">
        <v>74</v>
      </c>
    </row>
    <row r="44747" spans="9:9" x14ac:dyDescent="0.2">
      <c r="I44747" s="137" t="s">
        <v>74</v>
      </c>
    </row>
    <row r="44748" spans="9:9" x14ac:dyDescent="0.2">
      <c r="I44748" s="137" t="s">
        <v>74</v>
      </c>
    </row>
    <row r="44749" spans="9:9" x14ac:dyDescent="0.2">
      <c r="I44749" s="137" t="s">
        <v>74</v>
      </c>
    </row>
    <row r="44750" spans="9:9" x14ac:dyDescent="0.2">
      <c r="I44750" s="137" t="s">
        <v>74</v>
      </c>
    </row>
    <row r="44751" spans="9:9" x14ac:dyDescent="0.2">
      <c r="I44751" s="137" t="s">
        <v>74</v>
      </c>
    </row>
    <row r="44752" spans="9:9" x14ac:dyDescent="0.2">
      <c r="I44752" s="137" t="s">
        <v>74</v>
      </c>
    </row>
    <row r="44753" spans="9:9" x14ac:dyDescent="0.2">
      <c r="I44753" s="137" t="s">
        <v>74</v>
      </c>
    </row>
    <row r="44754" spans="9:9" x14ac:dyDescent="0.2">
      <c r="I44754" s="137" t="s">
        <v>74</v>
      </c>
    </row>
    <row r="44755" spans="9:9" x14ac:dyDescent="0.2">
      <c r="I44755" s="137" t="s">
        <v>74</v>
      </c>
    </row>
    <row r="44756" spans="9:9" x14ac:dyDescent="0.2">
      <c r="I44756" s="137" t="s">
        <v>74</v>
      </c>
    </row>
    <row r="44757" spans="9:9" x14ac:dyDescent="0.2">
      <c r="I44757" s="137" t="s">
        <v>74</v>
      </c>
    </row>
    <row r="44758" spans="9:9" x14ac:dyDescent="0.2">
      <c r="I44758" s="137" t="s">
        <v>74</v>
      </c>
    </row>
    <row r="44759" spans="9:9" x14ac:dyDescent="0.2">
      <c r="I44759" s="137" t="s">
        <v>74</v>
      </c>
    </row>
    <row r="44760" spans="9:9" x14ac:dyDescent="0.2">
      <c r="I44760" s="137" t="s">
        <v>74</v>
      </c>
    </row>
    <row r="44761" spans="9:9" x14ac:dyDescent="0.2">
      <c r="I44761" s="137" t="s">
        <v>74</v>
      </c>
    </row>
    <row r="44762" spans="9:9" x14ac:dyDescent="0.2">
      <c r="I44762" s="137" t="s">
        <v>74</v>
      </c>
    </row>
    <row r="44763" spans="9:9" x14ac:dyDescent="0.2">
      <c r="I44763" s="137" t="s">
        <v>74</v>
      </c>
    </row>
    <row r="44764" spans="9:9" x14ac:dyDescent="0.2">
      <c r="I44764" s="137" t="s">
        <v>74</v>
      </c>
    </row>
    <row r="44765" spans="9:9" x14ac:dyDescent="0.2">
      <c r="I44765" s="137" t="s">
        <v>74</v>
      </c>
    </row>
    <row r="44766" spans="9:9" x14ac:dyDescent="0.2">
      <c r="I44766" s="137" t="s">
        <v>74</v>
      </c>
    </row>
    <row r="44767" spans="9:9" x14ac:dyDescent="0.2">
      <c r="I44767" s="137" t="s">
        <v>74</v>
      </c>
    </row>
    <row r="44768" spans="9:9" x14ac:dyDescent="0.2">
      <c r="I44768" s="137" t="s">
        <v>74</v>
      </c>
    </row>
    <row r="44769" spans="9:9" x14ac:dyDescent="0.2">
      <c r="I44769" s="137" t="s">
        <v>74</v>
      </c>
    </row>
    <row r="44770" spans="9:9" x14ac:dyDescent="0.2">
      <c r="I44770" s="137" t="s">
        <v>74</v>
      </c>
    </row>
    <row r="44771" spans="9:9" x14ac:dyDescent="0.2">
      <c r="I44771" s="137" t="s">
        <v>74</v>
      </c>
    </row>
    <row r="44772" spans="9:9" x14ac:dyDescent="0.2">
      <c r="I44772" s="137" t="s">
        <v>74</v>
      </c>
    </row>
    <row r="44773" spans="9:9" x14ac:dyDescent="0.2">
      <c r="I44773" s="137" t="s">
        <v>74</v>
      </c>
    </row>
    <row r="44774" spans="9:9" x14ac:dyDescent="0.2">
      <c r="I44774" s="137" t="s">
        <v>74</v>
      </c>
    </row>
    <row r="44775" spans="9:9" x14ac:dyDescent="0.2">
      <c r="I44775" s="137" t="s">
        <v>74</v>
      </c>
    </row>
    <row r="44776" spans="9:9" x14ac:dyDescent="0.2">
      <c r="I44776" s="137" t="s">
        <v>74</v>
      </c>
    </row>
    <row r="44777" spans="9:9" x14ac:dyDescent="0.2">
      <c r="I44777" s="137" t="s">
        <v>74</v>
      </c>
    </row>
    <row r="44778" spans="9:9" x14ac:dyDescent="0.2">
      <c r="I44778" s="137" t="s">
        <v>74</v>
      </c>
    </row>
    <row r="44779" spans="9:9" x14ac:dyDescent="0.2">
      <c r="I44779" s="137" t="s">
        <v>74</v>
      </c>
    </row>
    <row r="44780" spans="9:9" x14ac:dyDescent="0.2">
      <c r="I44780" s="137" t="s">
        <v>74</v>
      </c>
    </row>
    <row r="44781" spans="9:9" x14ac:dyDescent="0.2">
      <c r="I44781" s="137" t="s">
        <v>74</v>
      </c>
    </row>
    <row r="44782" spans="9:9" x14ac:dyDescent="0.2">
      <c r="I44782" s="137" t="s">
        <v>74</v>
      </c>
    </row>
    <row r="44783" spans="9:9" x14ac:dyDescent="0.2">
      <c r="I44783" s="137" t="s">
        <v>74</v>
      </c>
    </row>
    <row r="44784" spans="9:9" x14ac:dyDescent="0.2">
      <c r="I44784" s="137" t="s">
        <v>74</v>
      </c>
    </row>
    <row r="44785" spans="9:9" x14ac:dyDescent="0.2">
      <c r="I44785" s="137" t="s">
        <v>74</v>
      </c>
    </row>
    <row r="44786" spans="9:9" x14ac:dyDescent="0.2">
      <c r="I44786" s="137" t="s">
        <v>74</v>
      </c>
    </row>
    <row r="44787" spans="9:9" x14ac:dyDescent="0.2">
      <c r="I44787" s="137" t="s">
        <v>74</v>
      </c>
    </row>
    <row r="44788" spans="9:9" x14ac:dyDescent="0.2">
      <c r="I44788" s="137" t="s">
        <v>74</v>
      </c>
    </row>
    <row r="44789" spans="9:9" x14ac:dyDescent="0.2">
      <c r="I44789" s="137" t="s">
        <v>74</v>
      </c>
    </row>
    <row r="44790" spans="9:9" x14ac:dyDescent="0.2">
      <c r="I44790" s="137" t="s">
        <v>74</v>
      </c>
    </row>
    <row r="44791" spans="9:9" x14ac:dyDescent="0.2">
      <c r="I44791" s="137" t="s">
        <v>74</v>
      </c>
    </row>
    <row r="44792" spans="9:9" x14ac:dyDescent="0.2">
      <c r="I44792" s="137" t="s">
        <v>74</v>
      </c>
    </row>
    <row r="44793" spans="9:9" x14ac:dyDescent="0.2">
      <c r="I44793" s="137" t="s">
        <v>74</v>
      </c>
    </row>
    <row r="44794" spans="9:9" x14ac:dyDescent="0.2">
      <c r="I44794" s="137" t="s">
        <v>74</v>
      </c>
    </row>
    <row r="44795" spans="9:9" x14ac:dyDescent="0.2">
      <c r="I44795" s="137" t="s">
        <v>74</v>
      </c>
    </row>
    <row r="44796" spans="9:9" x14ac:dyDescent="0.2">
      <c r="I44796" s="137" t="s">
        <v>74</v>
      </c>
    </row>
    <row r="44797" spans="9:9" x14ac:dyDescent="0.2">
      <c r="I44797" s="137" t="s">
        <v>74</v>
      </c>
    </row>
    <row r="44798" spans="9:9" x14ac:dyDescent="0.2">
      <c r="I44798" s="137" t="s">
        <v>74</v>
      </c>
    </row>
    <row r="44799" spans="9:9" x14ac:dyDescent="0.2">
      <c r="I44799" s="137" t="s">
        <v>74</v>
      </c>
    </row>
    <row r="44800" spans="9:9" x14ac:dyDescent="0.2">
      <c r="I44800" s="137" t="s">
        <v>74</v>
      </c>
    </row>
    <row r="44801" spans="9:9" x14ac:dyDescent="0.2">
      <c r="I44801" s="137" t="s">
        <v>74</v>
      </c>
    </row>
    <row r="44802" spans="9:9" x14ac:dyDescent="0.2">
      <c r="I44802" s="137" t="s">
        <v>74</v>
      </c>
    </row>
    <row r="44803" spans="9:9" x14ac:dyDescent="0.2">
      <c r="I44803" s="137" t="s">
        <v>74</v>
      </c>
    </row>
    <row r="44804" spans="9:9" x14ac:dyDescent="0.2">
      <c r="I44804" s="137" t="s">
        <v>74</v>
      </c>
    </row>
    <row r="44805" spans="9:9" x14ac:dyDescent="0.2">
      <c r="I44805" s="137" t="s">
        <v>74</v>
      </c>
    </row>
    <row r="44806" spans="9:9" x14ac:dyDescent="0.2">
      <c r="I44806" s="137" t="s">
        <v>74</v>
      </c>
    </row>
    <row r="44807" spans="9:9" x14ac:dyDescent="0.2">
      <c r="I44807" s="137" t="s">
        <v>74</v>
      </c>
    </row>
    <row r="44808" spans="9:9" x14ac:dyDescent="0.2">
      <c r="I44808" s="137" t="s">
        <v>74</v>
      </c>
    </row>
    <row r="44809" spans="9:9" x14ac:dyDescent="0.2">
      <c r="I44809" s="137" t="s">
        <v>74</v>
      </c>
    </row>
    <row r="44810" spans="9:9" x14ac:dyDescent="0.2">
      <c r="I44810" s="137" t="s">
        <v>74</v>
      </c>
    </row>
    <row r="44811" spans="9:9" x14ac:dyDescent="0.2">
      <c r="I44811" s="137" t="s">
        <v>74</v>
      </c>
    </row>
    <row r="44812" spans="9:9" x14ac:dyDescent="0.2">
      <c r="I44812" s="137" t="s">
        <v>74</v>
      </c>
    </row>
    <row r="44813" spans="9:9" x14ac:dyDescent="0.2">
      <c r="I44813" s="137" t="s">
        <v>74</v>
      </c>
    </row>
    <row r="44814" spans="9:9" x14ac:dyDescent="0.2">
      <c r="I44814" s="137" t="s">
        <v>74</v>
      </c>
    </row>
    <row r="44815" spans="9:9" x14ac:dyDescent="0.2">
      <c r="I44815" s="137" t="s">
        <v>74</v>
      </c>
    </row>
    <row r="44816" spans="9:9" x14ac:dyDescent="0.2">
      <c r="I44816" s="137" t="s">
        <v>74</v>
      </c>
    </row>
    <row r="44817" spans="9:9" x14ac:dyDescent="0.2">
      <c r="I44817" s="137" t="s">
        <v>74</v>
      </c>
    </row>
    <row r="44818" spans="9:9" x14ac:dyDescent="0.2">
      <c r="I44818" s="137" t="s">
        <v>74</v>
      </c>
    </row>
    <row r="44819" spans="9:9" x14ac:dyDescent="0.2">
      <c r="I44819" s="137" t="s">
        <v>74</v>
      </c>
    </row>
    <row r="44820" spans="9:9" x14ac:dyDescent="0.2">
      <c r="I44820" s="137" t="s">
        <v>74</v>
      </c>
    </row>
    <row r="44821" spans="9:9" x14ac:dyDescent="0.2">
      <c r="I44821" s="137" t="s">
        <v>74</v>
      </c>
    </row>
    <row r="44822" spans="9:9" x14ac:dyDescent="0.2">
      <c r="I44822" s="137" t="s">
        <v>74</v>
      </c>
    </row>
    <row r="44823" spans="9:9" x14ac:dyDescent="0.2">
      <c r="I44823" s="137" t="s">
        <v>74</v>
      </c>
    </row>
    <row r="44824" spans="9:9" x14ac:dyDescent="0.2">
      <c r="I44824" s="137" t="s">
        <v>74</v>
      </c>
    </row>
    <row r="44825" spans="9:9" x14ac:dyDescent="0.2">
      <c r="I44825" s="137" t="s">
        <v>74</v>
      </c>
    </row>
    <row r="44826" spans="9:9" x14ac:dyDescent="0.2">
      <c r="I44826" s="137" t="s">
        <v>74</v>
      </c>
    </row>
    <row r="44827" spans="9:9" x14ac:dyDescent="0.2">
      <c r="I44827" s="137" t="s">
        <v>74</v>
      </c>
    </row>
    <row r="44828" spans="9:9" x14ac:dyDescent="0.2">
      <c r="I44828" s="137" t="s">
        <v>74</v>
      </c>
    </row>
    <row r="44829" spans="9:9" x14ac:dyDescent="0.2">
      <c r="I44829" s="137" t="s">
        <v>74</v>
      </c>
    </row>
    <row r="44830" spans="9:9" x14ac:dyDescent="0.2">
      <c r="I44830" s="137" t="s">
        <v>74</v>
      </c>
    </row>
    <row r="44831" spans="9:9" x14ac:dyDescent="0.2">
      <c r="I44831" s="137" t="s">
        <v>74</v>
      </c>
    </row>
    <row r="44832" spans="9:9" x14ac:dyDescent="0.2">
      <c r="I44832" s="137" t="s">
        <v>74</v>
      </c>
    </row>
    <row r="44833" spans="9:9" x14ac:dyDescent="0.2">
      <c r="I44833" s="137" t="s">
        <v>74</v>
      </c>
    </row>
    <row r="44834" spans="9:9" x14ac:dyDescent="0.2">
      <c r="I44834" s="137" t="s">
        <v>74</v>
      </c>
    </row>
    <row r="44835" spans="9:9" x14ac:dyDescent="0.2">
      <c r="I44835" s="137" t="s">
        <v>74</v>
      </c>
    </row>
    <row r="44836" spans="9:9" x14ac:dyDescent="0.2">
      <c r="I44836" s="137" t="s">
        <v>74</v>
      </c>
    </row>
    <row r="44837" spans="9:9" x14ac:dyDescent="0.2">
      <c r="I44837" s="137" t="s">
        <v>74</v>
      </c>
    </row>
    <row r="44838" spans="9:9" x14ac:dyDescent="0.2">
      <c r="I44838" s="137" t="s">
        <v>74</v>
      </c>
    </row>
    <row r="44839" spans="9:9" x14ac:dyDescent="0.2">
      <c r="I44839" s="137" t="s">
        <v>74</v>
      </c>
    </row>
    <row r="44840" spans="9:9" x14ac:dyDescent="0.2">
      <c r="I44840" s="137" t="s">
        <v>74</v>
      </c>
    </row>
    <row r="44841" spans="9:9" x14ac:dyDescent="0.2">
      <c r="I44841" s="137" t="s">
        <v>74</v>
      </c>
    </row>
    <row r="44842" spans="9:9" x14ac:dyDescent="0.2">
      <c r="I44842" s="137" t="s">
        <v>74</v>
      </c>
    </row>
    <row r="44843" spans="9:9" x14ac:dyDescent="0.2">
      <c r="I44843" s="137" t="s">
        <v>74</v>
      </c>
    </row>
    <row r="44844" spans="9:9" x14ac:dyDescent="0.2">
      <c r="I44844" s="137" t="s">
        <v>74</v>
      </c>
    </row>
    <row r="44845" spans="9:9" x14ac:dyDescent="0.2">
      <c r="I44845" s="137" t="s">
        <v>74</v>
      </c>
    </row>
    <row r="44846" spans="9:9" x14ac:dyDescent="0.2">
      <c r="I44846" s="137" t="s">
        <v>74</v>
      </c>
    </row>
    <row r="44847" spans="9:9" x14ac:dyDescent="0.2">
      <c r="I44847" s="137" t="s">
        <v>74</v>
      </c>
    </row>
    <row r="44848" spans="9:9" x14ac:dyDescent="0.2">
      <c r="I44848" s="137" t="s">
        <v>74</v>
      </c>
    </row>
    <row r="44849" spans="9:9" x14ac:dyDescent="0.2">
      <c r="I44849" s="137" t="s">
        <v>74</v>
      </c>
    </row>
    <row r="44850" spans="9:9" x14ac:dyDescent="0.2">
      <c r="I44850" s="137" t="s">
        <v>74</v>
      </c>
    </row>
    <row r="44851" spans="9:9" x14ac:dyDescent="0.2">
      <c r="I44851" s="137" t="s">
        <v>74</v>
      </c>
    </row>
    <row r="44852" spans="9:9" x14ac:dyDescent="0.2">
      <c r="I44852" s="137" t="s">
        <v>74</v>
      </c>
    </row>
    <row r="44853" spans="9:9" x14ac:dyDescent="0.2">
      <c r="I44853" s="137" t="s">
        <v>74</v>
      </c>
    </row>
    <row r="44854" spans="9:9" x14ac:dyDescent="0.2">
      <c r="I44854" s="137" t="s">
        <v>74</v>
      </c>
    </row>
    <row r="44855" spans="9:9" x14ac:dyDescent="0.2">
      <c r="I44855" s="137" t="s">
        <v>74</v>
      </c>
    </row>
    <row r="44856" spans="9:9" x14ac:dyDescent="0.2">
      <c r="I44856" s="137" t="s">
        <v>74</v>
      </c>
    </row>
    <row r="44857" spans="9:9" x14ac:dyDescent="0.2">
      <c r="I44857" s="137" t="s">
        <v>74</v>
      </c>
    </row>
    <row r="44858" spans="9:9" x14ac:dyDescent="0.2">
      <c r="I44858" s="137" t="s">
        <v>74</v>
      </c>
    </row>
    <row r="44859" spans="9:9" x14ac:dyDescent="0.2">
      <c r="I44859" s="137" t="s">
        <v>74</v>
      </c>
    </row>
    <row r="44860" spans="9:9" x14ac:dyDescent="0.2">
      <c r="I44860" s="137" t="s">
        <v>74</v>
      </c>
    </row>
    <row r="44861" spans="9:9" x14ac:dyDescent="0.2">
      <c r="I44861" s="137" t="s">
        <v>74</v>
      </c>
    </row>
    <row r="44862" spans="9:9" x14ac:dyDescent="0.2">
      <c r="I44862" s="137" t="s">
        <v>74</v>
      </c>
    </row>
    <row r="44863" spans="9:9" x14ac:dyDescent="0.2">
      <c r="I44863" s="137" t="s">
        <v>74</v>
      </c>
    </row>
    <row r="44864" spans="9:9" x14ac:dyDescent="0.2">
      <c r="I44864" s="137" t="s">
        <v>74</v>
      </c>
    </row>
    <row r="44865" spans="9:9" x14ac:dyDescent="0.2">
      <c r="I44865" s="137" t="s">
        <v>74</v>
      </c>
    </row>
    <row r="44866" spans="9:9" x14ac:dyDescent="0.2">
      <c r="I44866" s="137" t="s">
        <v>74</v>
      </c>
    </row>
    <row r="44867" spans="9:9" x14ac:dyDescent="0.2">
      <c r="I44867" s="137" t="s">
        <v>74</v>
      </c>
    </row>
    <row r="44868" spans="9:9" x14ac:dyDescent="0.2">
      <c r="I44868" s="137" t="s">
        <v>74</v>
      </c>
    </row>
    <row r="44869" spans="9:9" x14ac:dyDescent="0.2">
      <c r="I44869" s="137" t="s">
        <v>74</v>
      </c>
    </row>
    <row r="44870" spans="9:9" x14ac:dyDescent="0.2">
      <c r="I44870" s="137" t="s">
        <v>74</v>
      </c>
    </row>
    <row r="44871" spans="9:9" x14ac:dyDescent="0.2">
      <c r="I44871" s="137" t="s">
        <v>74</v>
      </c>
    </row>
    <row r="44872" spans="9:9" x14ac:dyDescent="0.2">
      <c r="I44872" s="137" t="s">
        <v>74</v>
      </c>
    </row>
    <row r="44873" spans="9:9" x14ac:dyDescent="0.2">
      <c r="I44873" s="137" t="s">
        <v>74</v>
      </c>
    </row>
    <row r="44874" spans="9:9" x14ac:dyDescent="0.2">
      <c r="I44874" s="137" t="s">
        <v>74</v>
      </c>
    </row>
    <row r="44875" spans="9:9" x14ac:dyDescent="0.2">
      <c r="I44875" s="137" t="s">
        <v>74</v>
      </c>
    </row>
    <row r="44876" spans="9:9" x14ac:dyDescent="0.2">
      <c r="I44876" s="137" t="s">
        <v>74</v>
      </c>
    </row>
    <row r="44877" spans="9:9" x14ac:dyDescent="0.2">
      <c r="I44877" s="137" t="s">
        <v>74</v>
      </c>
    </row>
    <row r="44878" spans="9:9" x14ac:dyDescent="0.2">
      <c r="I44878" s="137" t="s">
        <v>74</v>
      </c>
    </row>
    <row r="44879" spans="9:9" x14ac:dyDescent="0.2">
      <c r="I44879" s="137" t="s">
        <v>74</v>
      </c>
    </row>
    <row r="44880" spans="9:9" x14ac:dyDescent="0.2">
      <c r="I44880" s="137" t="s">
        <v>74</v>
      </c>
    </row>
    <row r="44881" spans="9:9" x14ac:dyDescent="0.2">
      <c r="I44881" s="137" t="s">
        <v>74</v>
      </c>
    </row>
    <row r="44882" spans="9:9" x14ac:dyDescent="0.2">
      <c r="I44882" s="137" t="s">
        <v>74</v>
      </c>
    </row>
    <row r="44883" spans="9:9" x14ac:dyDescent="0.2">
      <c r="I44883" s="137" t="s">
        <v>74</v>
      </c>
    </row>
    <row r="44884" spans="9:9" x14ac:dyDescent="0.2">
      <c r="I44884" s="137" t="s">
        <v>74</v>
      </c>
    </row>
    <row r="44885" spans="9:9" x14ac:dyDescent="0.2">
      <c r="I44885" s="137" t="s">
        <v>74</v>
      </c>
    </row>
    <row r="44886" spans="9:9" x14ac:dyDescent="0.2">
      <c r="I44886" s="137" t="s">
        <v>74</v>
      </c>
    </row>
    <row r="44887" spans="9:9" x14ac:dyDescent="0.2">
      <c r="I44887" s="137" t="s">
        <v>74</v>
      </c>
    </row>
    <row r="44888" spans="9:9" x14ac:dyDescent="0.2">
      <c r="I44888" s="137" t="s">
        <v>74</v>
      </c>
    </row>
    <row r="44889" spans="9:9" x14ac:dyDescent="0.2">
      <c r="I44889" s="137" t="s">
        <v>74</v>
      </c>
    </row>
    <row r="44890" spans="9:9" x14ac:dyDescent="0.2">
      <c r="I44890" s="137" t="s">
        <v>74</v>
      </c>
    </row>
    <row r="44891" spans="9:9" x14ac:dyDescent="0.2">
      <c r="I44891" s="137" t="s">
        <v>74</v>
      </c>
    </row>
    <row r="44892" spans="9:9" x14ac:dyDescent="0.2">
      <c r="I44892" s="137" t="s">
        <v>74</v>
      </c>
    </row>
    <row r="44893" spans="9:9" x14ac:dyDescent="0.2">
      <c r="I44893" s="137" t="s">
        <v>74</v>
      </c>
    </row>
    <row r="44894" spans="9:9" x14ac:dyDescent="0.2">
      <c r="I44894" s="137" t="s">
        <v>74</v>
      </c>
    </row>
    <row r="44895" spans="9:9" x14ac:dyDescent="0.2">
      <c r="I44895" s="137" t="s">
        <v>74</v>
      </c>
    </row>
    <row r="44896" spans="9:9" x14ac:dyDescent="0.2">
      <c r="I44896" s="137" t="s">
        <v>74</v>
      </c>
    </row>
    <row r="44897" spans="9:9" x14ac:dyDescent="0.2">
      <c r="I44897" s="137" t="s">
        <v>74</v>
      </c>
    </row>
    <row r="44898" spans="9:9" x14ac:dyDescent="0.2">
      <c r="I44898" s="137" t="s">
        <v>74</v>
      </c>
    </row>
    <row r="44899" spans="9:9" x14ac:dyDescent="0.2">
      <c r="I44899" s="137" t="s">
        <v>74</v>
      </c>
    </row>
    <row r="44900" spans="9:9" x14ac:dyDescent="0.2">
      <c r="I44900" s="137" t="s">
        <v>74</v>
      </c>
    </row>
    <row r="44901" spans="9:9" x14ac:dyDescent="0.2">
      <c r="I44901" s="137" t="s">
        <v>74</v>
      </c>
    </row>
    <row r="44902" spans="9:9" x14ac:dyDescent="0.2">
      <c r="I44902" s="137" t="s">
        <v>74</v>
      </c>
    </row>
    <row r="44903" spans="9:9" x14ac:dyDescent="0.2">
      <c r="I44903" s="137" t="s">
        <v>74</v>
      </c>
    </row>
    <row r="44904" spans="9:9" x14ac:dyDescent="0.2">
      <c r="I44904" s="137" t="s">
        <v>74</v>
      </c>
    </row>
    <row r="44905" spans="9:9" x14ac:dyDescent="0.2">
      <c r="I44905" s="137" t="s">
        <v>74</v>
      </c>
    </row>
    <row r="44906" spans="9:9" x14ac:dyDescent="0.2">
      <c r="I44906" s="137" t="s">
        <v>74</v>
      </c>
    </row>
    <row r="44907" spans="9:9" x14ac:dyDescent="0.2">
      <c r="I44907" s="137" t="s">
        <v>74</v>
      </c>
    </row>
    <row r="44908" spans="9:9" x14ac:dyDescent="0.2">
      <c r="I44908" s="137" t="s">
        <v>74</v>
      </c>
    </row>
    <row r="44909" spans="9:9" x14ac:dyDescent="0.2">
      <c r="I44909" s="137" t="s">
        <v>74</v>
      </c>
    </row>
    <row r="44910" spans="9:9" x14ac:dyDescent="0.2">
      <c r="I44910" s="137" t="s">
        <v>74</v>
      </c>
    </row>
    <row r="44911" spans="9:9" x14ac:dyDescent="0.2">
      <c r="I44911" s="137" t="s">
        <v>74</v>
      </c>
    </row>
    <row r="44912" spans="9:9" x14ac:dyDescent="0.2">
      <c r="I44912" s="137" t="s">
        <v>74</v>
      </c>
    </row>
    <row r="44913" spans="9:9" x14ac:dyDescent="0.2">
      <c r="I44913" s="137" t="s">
        <v>74</v>
      </c>
    </row>
    <row r="44914" spans="9:9" x14ac:dyDescent="0.2">
      <c r="I44914" s="137" t="s">
        <v>74</v>
      </c>
    </row>
    <row r="44915" spans="9:9" x14ac:dyDescent="0.2">
      <c r="I44915" s="137" t="s">
        <v>74</v>
      </c>
    </row>
    <row r="44916" spans="9:9" x14ac:dyDescent="0.2">
      <c r="I44916" s="137" t="s">
        <v>74</v>
      </c>
    </row>
    <row r="44917" spans="9:9" x14ac:dyDescent="0.2">
      <c r="I44917" s="137" t="s">
        <v>74</v>
      </c>
    </row>
    <row r="44918" spans="9:9" x14ac:dyDescent="0.2">
      <c r="I44918" s="137" t="s">
        <v>74</v>
      </c>
    </row>
    <row r="44919" spans="9:9" x14ac:dyDescent="0.2">
      <c r="I44919" s="137" t="s">
        <v>74</v>
      </c>
    </row>
    <row r="44920" spans="9:9" x14ac:dyDescent="0.2">
      <c r="I44920" s="137" t="s">
        <v>74</v>
      </c>
    </row>
    <row r="44921" spans="9:9" x14ac:dyDescent="0.2">
      <c r="I44921" s="137" t="s">
        <v>74</v>
      </c>
    </row>
    <row r="44922" spans="9:9" x14ac:dyDescent="0.2">
      <c r="I44922" s="137" t="s">
        <v>74</v>
      </c>
    </row>
    <row r="44923" spans="9:9" x14ac:dyDescent="0.2">
      <c r="I44923" s="137" t="s">
        <v>74</v>
      </c>
    </row>
    <row r="44924" spans="9:9" x14ac:dyDescent="0.2">
      <c r="I44924" s="137" t="s">
        <v>74</v>
      </c>
    </row>
    <row r="44925" spans="9:9" x14ac:dyDescent="0.2">
      <c r="I44925" s="137" t="s">
        <v>74</v>
      </c>
    </row>
    <row r="44926" spans="9:9" x14ac:dyDescent="0.2">
      <c r="I44926" s="137" t="s">
        <v>74</v>
      </c>
    </row>
    <row r="44927" spans="9:9" x14ac:dyDescent="0.2">
      <c r="I44927" s="137" t="s">
        <v>74</v>
      </c>
    </row>
    <row r="44928" spans="9:9" x14ac:dyDescent="0.2">
      <c r="I44928" s="137" t="s">
        <v>74</v>
      </c>
    </row>
    <row r="44929" spans="9:9" x14ac:dyDescent="0.2">
      <c r="I44929" s="137" t="s">
        <v>74</v>
      </c>
    </row>
    <row r="44930" spans="9:9" x14ac:dyDescent="0.2">
      <c r="I44930" s="137" t="s">
        <v>74</v>
      </c>
    </row>
    <row r="44931" spans="9:9" x14ac:dyDescent="0.2">
      <c r="I44931" s="137" t="s">
        <v>74</v>
      </c>
    </row>
    <row r="44932" spans="9:9" x14ac:dyDescent="0.2">
      <c r="I44932" s="137" t="s">
        <v>74</v>
      </c>
    </row>
    <row r="44933" spans="9:9" x14ac:dyDescent="0.2">
      <c r="I44933" s="137" t="s">
        <v>74</v>
      </c>
    </row>
    <row r="44934" spans="9:9" x14ac:dyDescent="0.2">
      <c r="I44934" s="137" t="s">
        <v>74</v>
      </c>
    </row>
    <row r="44935" spans="9:9" x14ac:dyDescent="0.2">
      <c r="I44935" s="137" t="s">
        <v>74</v>
      </c>
    </row>
    <row r="44936" spans="9:9" x14ac:dyDescent="0.2">
      <c r="I44936" s="137" t="s">
        <v>74</v>
      </c>
    </row>
    <row r="44937" spans="9:9" x14ac:dyDescent="0.2">
      <c r="I44937" s="137" t="s">
        <v>74</v>
      </c>
    </row>
    <row r="44938" spans="9:9" x14ac:dyDescent="0.2">
      <c r="I44938" s="137" t="s">
        <v>74</v>
      </c>
    </row>
    <row r="44939" spans="9:9" x14ac:dyDescent="0.2">
      <c r="I44939" s="137" t="s">
        <v>74</v>
      </c>
    </row>
    <row r="44940" spans="9:9" x14ac:dyDescent="0.2">
      <c r="I44940" s="137" t="s">
        <v>74</v>
      </c>
    </row>
    <row r="44941" spans="9:9" x14ac:dyDescent="0.2">
      <c r="I44941" s="137" t="s">
        <v>74</v>
      </c>
    </row>
    <row r="44942" spans="9:9" x14ac:dyDescent="0.2">
      <c r="I44942" s="137" t="s">
        <v>74</v>
      </c>
    </row>
    <row r="44943" spans="9:9" x14ac:dyDescent="0.2">
      <c r="I44943" s="137" t="s">
        <v>74</v>
      </c>
    </row>
    <row r="44944" spans="9:9" x14ac:dyDescent="0.2">
      <c r="I44944" s="137" t="s">
        <v>74</v>
      </c>
    </row>
    <row r="44945" spans="9:9" x14ac:dyDescent="0.2">
      <c r="I44945" s="137" t="s">
        <v>74</v>
      </c>
    </row>
    <row r="44946" spans="9:9" x14ac:dyDescent="0.2">
      <c r="I44946" s="137" t="s">
        <v>74</v>
      </c>
    </row>
    <row r="44947" spans="9:9" x14ac:dyDescent="0.2">
      <c r="I44947" s="137" t="s">
        <v>74</v>
      </c>
    </row>
    <row r="44948" spans="9:9" x14ac:dyDescent="0.2">
      <c r="I44948" s="137" t="s">
        <v>74</v>
      </c>
    </row>
    <row r="44949" spans="9:9" x14ac:dyDescent="0.2">
      <c r="I44949" s="137" t="s">
        <v>74</v>
      </c>
    </row>
    <row r="44950" spans="9:9" x14ac:dyDescent="0.2">
      <c r="I44950" s="137" t="s">
        <v>74</v>
      </c>
    </row>
    <row r="44951" spans="9:9" x14ac:dyDescent="0.2">
      <c r="I44951" s="137" t="s">
        <v>74</v>
      </c>
    </row>
    <row r="44952" spans="9:9" x14ac:dyDescent="0.2">
      <c r="I44952" s="137" t="s">
        <v>74</v>
      </c>
    </row>
    <row r="44953" spans="9:9" x14ac:dyDescent="0.2">
      <c r="I44953" s="137" t="s">
        <v>74</v>
      </c>
    </row>
    <row r="44954" spans="9:9" x14ac:dyDescent="0.2">
      <c r="I44954" s="137" t="s">
        <v>74</v>
      </c>
    </row>
    <row r="44955" spans="9:9" x14ac:dyDescent="0.2">
      <c r="I44955" s="137" t="s">
        <v>74</v>
      </c>
    </row>
    <row r="44956" spans="9:9" x14ac:dyDescent="0.2">
      <c r="I44956" s="137" t="s">
        <v>74</v>
      </c>
    </row>
    <row r="44957" spans="9:9" x14ac:dyDescent="0.2">
      <c r="I44957" s="137" t="s">
        <v>74</v>
      </c>
    </row>
    <row r="44958" spans="9:9" x14ac:dyDescent="0.2">
      <c r="I44958" s="137" t="s">
        <v>74</v>
      </c>
    </row>
    <row r="44959" spans="9:9" x14ac:dyDescent="0.2">
      <c r="I44959" s="137" t="s">
        <v>74</v>
      </c>
    </row>
    <row r="44960" spans="9:9" x14ac:dyDescent="0.2">
      <c r="I44960" s="137" t="s">
        <v>74</v>
      </c>
    </row>
    <row r="44961" spans="9:9" x14ac:dyDescent="0.2">
      <c r="I44961" s="137" t="s">
        <v>74</v>
      </c>
    </row>
    <row r="44962" spans="9:9" x14ac:dyDescent="0.2">
      <c r="I44962" s="137" t="s">
        <v>74</v>
      </c>
    </row>
    <row r="44963" spans="9:9" x14ac:dyDescent="0.2">
      <c r="I44963" s="137" t="s">
        <v>74</v>
      </c>
    </row>
    <row r="44964" spans="9:9" x14ac:dyDescent="0.2">
      <c r="I44964" s="137" t="s">
        <v>74</v>
      </c>
    </row>
    <row r="44965" spans="9:9" x14ac:dyDescent="0.2">
      <c r="I44965" s="137" t="s">
        <v>74</v>
      </c>
    </row>
    <row r="44966" spans="9:9" x14ac:dyDescent="0.2">
      <c r="I44966" s="137" t="s">
        <v>74</v>
      </c>
    </row>
    <row r="44967" spans="9:9" x14ac:dyDescent="0.2">
      <c r="I44967" s="137" t="s">
        <v>74</v>
      </c>
    </row>
    <row r="44968" spans="9:9" x14ac:dyDescent="0.2">
      <c r="I44968" s="137" t="s">
        <v>74</v>
      </c>
    </row>
    <row r="44969" spans="9:9" x14ac:dyDescent="0.2">
      <c r="I44969" s="137" t="s">
        <v>74</v>
      </c>
    </row>
    <row r="44970" spans="9:9" x14ac:dyDescent="0.2">
      <c r="I44970" s="137" t="s">
        <v>74</v>
      </c>
    </row>
    <row r="44971" spans="9:9" x14ac:dyDescent="0.2">
      <c r="I44971" s="137" t="s">
        <v>74</v>
      </c>
    </row>
    <row r="44972" spans="9:9" x14ac:dyDescent="0.2">
      <c r="I44972" s="137" t="s">
        <v>74</v>
      </c>
    </row>
    <row r="44973" spans="9:9" x14ac:dyDescent="0.2">
      <c r="I44973" s="137" t="s">
        <v>74</v>
      </c>
    </row>
    <row r="44974" spans="9:9" x14ac:dyDescent="0.2">
      <c r="I44974" s="137" t="s">
        <v>74</v>
      </c>
    </row>
    <row r="44975" spans="9:9" x14ac:dyDescent="0.2">
      <c r="I44975" s="137" t="s">
        <v>74</v>
      </c>
    </row>
    <row r="44976" spans="9:9" x14ac:dyDescent="0.2">
      <c r="I44976" s="137" t="s">
        <v>74</v>
      </c>
    </row>
    <row r="44977" spans="9:9" x14ac:dyDescent="0.2">
      <c r="I44977" s="137" t="s">
        <v>74</v>
      </c>
    </row>
    <row r="44978" spans="9:9" x14ac:dyDescent="0.2">
      <c r="I44978" s="137" t="s">
        <v>74</v>
      </c>
    </row>
    <row r="44979" spans="9:9" x14ac:dyDescent="0.2">
      <c r="I44979" s="137" t="s">
        <v>74</v>
      </c>
    </row>
    <row r="44980" spans="9:9" x14ac:dyDescent="0.2">
      <c r="I44980" s="137" t="s">
        <v>74</v>
      </c>
    </row>
    <row r="44981" spans="9:9" x14ac:dyDescent="0.2">
      <c r="I44981" s="137" t="s">
        <v>74</v>
      </c>
    </row>
    <row r="44982" spans="9:9" x14ac:dyDescent="0.2">
      <c r="I44982" s="137" t="s">
        <v>74</v>
      </c>
    </row>
    <row r="44983" spans="9:9" x14ac:dyDescent="0.2">
      <c r="I44983" s="137" t="s">
        <v>74</v>
      </c>
    </row>
    <row r="44984" spans="9:9" x14ac:dyDescent="0.2">
      <c r="I44984" s="137" t="s">
        <v>74</v>
      </c>
    </row>
    <row r="44985" spans="9:9" x14ac:dyDescent="0.2">
      <c r="I44985" s="137" t="s">
        <v>74</v>
      </c>
    </row>
    <row r="44986" spans="9:9" x14ac:dyDescent="0.2">
      <c r="I44986" s="137" t="s">
        <v>74</v>
      </c>
    </row>
    <row r="44987" spans="9:9" x14ac:dyDescent="0.2">
      <c r="I44987" s="137" t="s">
        <v>74</v>
      </c>
    </row>
    <row r="44988" spans="9:9" x14ac:dyDescent="0.2">
      <c r="I44988" s="137" t="s">
        <v>74</v>
      </c>
    </row>
    <row r="44989" spans="9:9" x14ac:dyDescent="0.2">
      <c r="I44989" s="137" t="s">
        <v>74</v>
      </c>
    </row>
    <row r="44990" spans="9:9" x14ac:dyDescent="0.2">
      <c r="I44990" s="137" t="s">
        <v>74</v>
      </c>
    </row>
    <row r="44991" spans="9:9" x14ac:dyDescent="0.2">
      <c r="I44991" s="137" t="s">
        <v>74</v>
      </c>
    </row>
    <row r="44992" spans="9:9" x14ac:dyDescent="0.2">
      <c r="I44992" s="137" t="s">
        <v>74</v>
      </c>
    </row>
    <row r="44993" spans="9:9" x14ac:dyDescent="0.2">
      <c r="I44993" s="137" t="s">
        <v>74</v>
      </c>
    </row>
    <row r="44994" spans="9:9" x14ac:dyDescent="0.2">
      <c r="I44994" s="137" t="s">
        <v>74</v>
      </c>
    </row>
    <row r="44995" spans="9:9" x14ac:dyDescent="0.2">
      <c r="I44995" s="137" t="s">
        <v>74</v>
      </c>
    </row>
    <row r="44996" spans="9:9" x14ac:dyDescent="0.2">
      <c r="I44996" s="137" t="s">
        <v>74</v>
      </c>
    </row>
    <row r="44997" spans="9:9" x14ac:dyDescent="0.2">
      <c r="I44997" s="137" t="s">
        <v>74</v>
      </c>
    </row>
    <row r="44998" spans="9:9" x14ac:dyDescent="0.2">
      <c r="I44998" s="137" t="s">
        <v>74</v>
      </c>
    </row>
    <row r="44999" spans="9:9" x14ac:dyDescent="0.2">
      <c r="I44999" s="137" t="s">
        <v>74</v>
      </c>
    </row>
    <row r="45000" spans="9:9" x14ac:dyDescent="0.2">
      <c r="I45000" s="137" t="s">
        <v>74</v>
      </c>
    </row>
    <row r="45001" spans="9:9" x14ac:dyDescent="0.2">
      <c r="I45001" s="137" t="s">
        <v>74</v>
      </c>
    </row>
    <row r="45002" spans="9:9" x14ac:dyDescent="0.2">
      <c r="I45002" s="137" t="s">
        <v>74</v>
      </c>
    </row>
    <row r="45003" spans="9:9" x14ac:dyDescent="0.2">
      <c r="I45003" s="137" t="s">
        <v>74</v>
      </c>
    </row>
    <row r="45004" spans="9:9" x14ac:dyDescent="0.2">
      <c r="I45004" s="137" t="s">
        <v>74</v>
      </c>
    </row>
    <row r="45005" spans="9:9" x14ac:dyDescent="0.2">
      <c r="I45005" s="137" t="s">
        <v>74</v>
      </c>
    </row>
    <row r="45006" spans="9:9" x14ac:dyDescent="0.2">
      <c r="I45006" s="137" t="s">
        <v>74</v>
      </c>
    </row>
    <row r="45007" spans="9:9" x14ac:dyDescent="0.2">
      <c r="I45007" s="137" t="s">
        <v>74</v>
      </c>
    </row>
    <row r="45008" spans="9:9" x14ac:dyDescent="0.2">
      <c r="I45008" s="137" t="s">
        <v>74</v>
      </c>
    </row>
    <row r="45009" spans="9:9" x14ac:dyDescent="0.2">
      <c r="I45009" s="137" t="s">
        <v>74</v>
      </c>
    </row>
    <row r="45010" spans="9:9" x14ac:dyDescent="0.2">
      <c r="I45010" s="137" t="s">
        <v>74</v>
      </c>
    </row>
    <row r="45011" spans="9:9" x14ac:dyDescent="0.2">
      <c r="I45011" s="137" t="s">
        <v>74</v>
      </c>
    </row>
    <row r="45012" spans="9:9" x14ac:dyDescent="0.2">
      <c r="I45012" s="137" t="s">
        <v>74</v>
      </c>
    </row>
    <row r="45013" spans="9:9" x14ac:dyDescent="0.2">
      <c r="I45013" s="137" t="s">
        <v>74</v>
      </c>
    </row>
    <row r="45014" spans="9:9" x14ac:dyDescent="0.2">
      <c r="I45014" s="137" t="s">
        <v>74</v>
      </c>
    </row>
    <row r="45015" spans="9:9" x14ac:dyDescent="0.2">
      <c r="I45015" s="137" t="s">
        <v>74</v>
      </c>
    </row>
    <row r="45016" spans="9:9" x14ac:dyDescent="0.2">
      <c r="I45016" s="137" t="s">
        <v>74</v>
      </c>
    </row>
    <row r="45017" spans="9:9" x14ac:dyDescent="0.2">
      <c r="I45017" s="137" t="s">
        <v>74</v>
      </c>
    </row>
    <row r="45018" spans="9:9" x14ac:dyDescent="0.2">
      <c r="I45018" s="137" t="s">
        <v>74</v>
      </c>
    </row>
    <row r="45019" spans="9:9" x14ac:dyDescent="0.2">
      <c r="I45019" s="137" t="s">
        <v>74</v>
      </c>
    </row>
    <row r="45020" spans="9:9" x14ac:dyDescent="0.2">
      <c r="I45020" s="137" t="s">
        <v>74</v>
      </c>
    </row>
    <row r="45021" spans="9:9" x14ac:dyDescent="0.2">
      <c r="I45021" s="137" t="s">
        <v>74</v>
      </c>
    </row>
    <row r="45022" spans="9:9" x14ac:dyDescent="0.2">
      <c r="I45022" s="137" t="s">
        <v>74</v>
      </c>
    </row>
    <row r="45023" spans="9:9" x14ac:dyDescent="0.2">
      <c r="I45023" s="137" t="s">
        <v>74</v>
      </c>
    </row>
    <row r="45024" spans="9:9" x14ac:dyDescent="0.2">
      <c r="I45024" s="137" t="s">
        <v>74</v>
      </c>
    </row>
    <row r="45025" spans="9:9" x14ac:dyDescent="0.2">
      <c r="I45025" s="137" t="s">
        <v>74</v>
      </c>
    </row>
    <row r="45026" spans="9:9" x14ac:dyDescent="0.2">
      <c r="I45026" s="137" t="s">
        <v>74</v>
      </c>
    </row>
    <row r="45027" spans="9:9" x14ac:dyDescent="0.2">
      <c r="I45027" s="137" t="s">
        <v>74</v>
      </c>
    </row>
    <row r="45028" spans="9:9" x14ac:dyDescent="0.2">
      <c r="I45028" s="137" t="s">
        <v>74</v>
      </c>
    </row>
    <row r="45029" spans="9:9" x14ac:dyDescent="0.2">
      <c r="I45029" s="137" t="s">
        <v>74</v>
      </c>
    </row>
    <row r="45030" spans="9:9" x14ac:dyDescent="0.2">
      <c r="I45030" s="137" t="s">
        <v>74</v>
      </c>
    </row>
    <row r="45031" spans="9:9" x14ac:dyDescent="0.2">
      <c r="I45031" s="137" t="s">
        <v>74</v>
      </c>
    </row>
    <row r="45032" spans="9:9" x14ac:dyDescent="0.2">
      <c r="I45032" s="137" t="s">
        <v>74</v>
      </c>
    </row>
    <row r="45033" spans="9:9" x14ac:dyDescent="0.2">
      <c r="I45033" s="137" t="s">
        <v>74</v>
      </c>
    </row>
    <row r="45034" spans="9:9" x14ac:dyDescent="0.2">
      <c r="I45034" s="137" t="s">
        <v>74</v>
      </c>
    </row>
    <row r="45035" spans="9:9" x14ac:dyDescent="0.2">
      <c r="I45035" s="137" t="s">
        <v>74</v>
      </c>
    </row>
    <row r="45036" spans="9:9" x14ac:dyDescent="0.2">
      <c r="I45036" s="137" t="s">
        <v>74</v>
      </c>
    </row>
    <row r="45037" spans="9:9" x14ac:dyDescent="0.2">
      <c r="I45037" s="137" t="s">
        <v>74</v>
      </c>
    </row>
    <row r="45038" spans="9:9" x14ac:dyDescent="0.2">
      <c r="I45038" s="137" t="s">
        <v>74</v>
      </c>
    </row>
    <row r="45039" spans="9:9" x14ac:dyDescent="0.2">
      <c r="I45039" s="137" t="s">
        <v>74</v>
      </c>
    </row>
    <row r="45040" spans="9:9" x14ac:dyDescent="0.2">
      <c r="I45040" s="137" t="s">
        <v>74</v>
      </c>
    </row>
    <row r="45041" spans="9:9" x14ac:dyDescent="0.2">
      <c r="I45041" s="137" t="s">
        <v>74</v>
      </c>
    </row>
    <row r="45042" spans="9:9" x14ac:dyDescent="0.2">
      <c r="I45042" s="137" t="s">
        <v>74</v>
      </c>
    </row>
    <row r="45043" spans="9:9" x14ac:dyDescent="0.2">
      <c r="I45043" s="137" t="s">
        <v>74</v>
      </c>
    </row>
    <row r="45044" spans="9:9" x14ac:dyDescent="0.2">
      <c r="I45044" s="137" t="s">
        <v>74</v>
      </c>
    </row>
    <row r="45045" spans="9:9" x14ac:dyDescent="0.2">
      <c r="I45045" s="137" t="s">
        <v>74</v>
      </c>
    </row>
    <row r="45046" spans="9:9" x14ac:dyDescent="0.2">
      <c r="I45046" s="137" t="s">
        <v>74</v>
      </c>
    </row>
    <row r="45047" spans="9:9" x14ac:dyDescent="0.2">
      <c r="I45047" s="137" t="s">
        <v>74</v>
      </c>
    </row>
    <row r="45048" spans="9:9" x14ac:dyDescent="0.2">
      <c r="I45048" s="137" t="s">
        <v>74</v>
      </c>
    </row>
    <row r="45049" spans="9:9" x14ac:dyDescent="0.2">
      <c r="I45049" s="137" t="s">
        <v>74</v>
      </c>
    </row>
    <row r="45050" spans="9:9" x14ac:dyDescent="0.2">
      <c r="I45050" s="137" t="s">
        <v>74</v>
      </c>
    </row>
    <row r="45051" spans="9:9" x14ac:dyDescent="0.2">
      <c r="I45051" s="137" t="s">
        <v>74</v>
      </c>
    </row>
    <row r="45052" spans="9:9" x14ac:dyDescent="0.2">
      <c r="I45052" s="137" t="s">
        <v>74</v>
      </c>
    </row>
    <row r="45053" spans="9:9" x14ac:dyDescent="0.2">
      <c r="I45053" s="137" t="s">
        <v>74</v>
      </c>
    </row>
    <row r="45054" spans="9:9" x14ac:dyDescent="0.2">
      <c r="I45054" s="137" t="s">
        <v>74</v>
      </c>
    </row>
    <row r="45055" spans="9:9" x14ac:dyDescent="0.2">
      <c r="I45055" s="137" t="s">
        <v>74</v>
      </c>
    </row>
    <row r="45056" spans="9:9" x14ac:dyDescent="0.2">
      <c r="I45056" s="137" t="s">
        <v>74</v>
      </c>
    </row>
    <row r="45057" spans="9:9" x14ac:dyDescent="0.2">
      <c r="I45057" s="137" t="s">
        <v>74</v>
      </c>
    </row>
    <row r="45058" spans="9:9" x14ac:dyDescent="0.2">
      <c r="I45058" s="137" t="s">
        <v>74</v>
      </c>
    </row>
    <row r="45059" spans="9:9" x14ac:dyDescent="0.2">
      <c r="I45059" s="137" t="s">
        <v>74</v>
      </c>
    </row>
    <row r="45060" spans="9:9" x14ac:dyDescent="0.2">
      <c r="I45060" s="137" t="s">
        <v>74</v>
      </c>
    </row>
    <row r="45061" spans="9:9" x14ac:dyDescent="0.2">
      <c r="I45061" s="137" t="s">
        <v>74</v>
      </c>
    </row>
    <row r="45062" spans="9:9" x14ac:dyDescent="0.2">
      <c r="I45062" s="137" t="s">
        <v>74</v>
      </c>
    </row>
    <row r="45063" spans="9:9" x14ac:dyDescent="0.2">
      <c r="I45063" s="137" t="s">
        <v>74</v>
      </c>
    </row>
    <row r="45064" spans="9:9" x14ac:dyDescent="0.2">
      <c r="I45064" s="137" t="s">
        <v>74</v>
      </c>
    </row>
    <row r="45065" spans="9:9" x14ac:dyDescent="0.2">
      <c r="I45065" s="137" t="s">
        <v>74</v>
      </c>
    </row>
    <row r="45066" spans="9:9" x14ac:dyDescent="0.2">
      <c r="I45066" s="137" t="s">
        <v>74</v>
      </c>
    </row>
    <row r="45067" spans="9:9" x14ac:dyDescent="0.2">
      <c r="I45067" s="137" t="s">
        <v>74</v>
      </c>
    </row>
    <row r="45068" spans="9:9" x14ac:dyDescent="0.2">
      <c r="I45068" s="137" t="s">
        <v>74</v>
      </c>
    </row>
    <row r="45069" spans="9:9" x14ac:dyDescent="0.2">
      <c r="I45069" s="137" t="s">
        <v>74</v>
      </c>
    </row>
    <row r="45070" spans="9:9" x14ac:dyDescent="0.2">
      <c r="I45070" s="137" t="s">
        <v>74</v>
      </c>
    </row>
    <row r="45071" spans="9:9" x14ac:dyDescent="0.2">
      <c r="I45071" s="137" t="s">
        <v>74</v>
      </c>
    </row>
    <row r="45072" spans="9:9" x14ac:dyDescent="0.2">
      <c r="I45072" s="137" t="s">
        <v>74</v>
      </c>
    </row>
    <row r="45073" spans="9:9" x14ac:dyDescent="0.2">
      <c r="I45073" s="137" t="s">
        <v>74</v>
      </c>
    </row>
    <row r="45074" spans="9:9" x14ac:dyDescent="0.2">
      <c r="I45074" s="137" t="s">
        <v>74</v>
      </c>
    </row>
    <row r="45075" spans="9:9" x14ac:dyDescent="0.2">
      <c r="I45075" s="137" t="s">
        <v>74</v>
      </c>
    </row>
    <row r="45076" spans="9:9" x14ac:dyDescent="0.2">
      <c r="I45076" s="137" t="s">
        <v>74</v>
      </c>
    </row>
    <row r="45077" spans="9:9" x14ac:dyDescent="0.2">
      <c r="I45077" s="137" t="s">
        <v>74</v>
      </c>
    </row>
    <row r="45078" spans="9:9" x14ac:dyDescent="0.2">
      <c r="I45078" s="137" t="s">
        <v>74</v>
      </c>
    </row>
    <row r="45079" spans="9:9" x14ac:dyDescent="0.2">
      <c r="I45079" s="137" t="s">
        <v>74</v>
      </c>
    </row>
    <row r="45080" spans="9:9" x14ac:dyDescent="0.2">
      <c r="I45080" s="137" t="s">
        <v>74</v>
      </c>
    </row>
    <row r="45081" spans="9:9" x14ac:dyDescent="0.2">
      <c r="I45081" s="137" t="s">
        <v>74</v>
      </c>
    </row>
    <row r="45082" spans="9:9" x14ac:dyDescent="0.2">
      <c r="I45082" s="137" t="s">
        <v>74</v>
      </c>
    </row>
    <row r="45083" spans="9:9" x14ac:dyDescent="0.2">
      <c r="I45083" s="137" t="s">
        <v>74</v>
      </c>
    </row>
    <row r="45084" spans="9:9" x14ac:dyDescent="0.2">
      <c r="I45084" s="137" t="s">
        <v>74</v>
      </c>
    </row>
    <row r="45085" spans="9:9" x14ac:dyDescent="0.2">
      <c r="I45085" s="137" t="s">
        <v>74</v>
      </c>
    </row>
    <row r="45086" spans="9:9" x14ac:dyDescent="0.2">
      <c r="I45086" s="137" t="s">
        <v>74</v>
      </c>
    </row>
    <row r="45087" spans="9:9" x14ac:dyDescent="0.2">
      <c r="I45087" s="137" t="s">
        <v>74</v>
      </c>
    </row>
    <row r="45088" spans="9:9" x14ac:dyDescent="0.2">
      <c r="I45088" s="137" t="s">
        <v>74</v>
      </c>
    </row>
    <row r="45089" spans="9:9" x14ac:dyDescent="0.2">
      <c r="I45089" s="137" t="s">
        <v>74</v>
      </c>
    </row>
    <row r="45090" spans="9:9" x14ac:dyDescent="0.2">
      <c r="I45090" s="137" t="s">
        <v>74</v>
      </c>
    </row>
    <row r="45091" spans="9:9" x14ac:dyDescent="0.2">
      <c r="I45091" s="137" t="s">
        <v>74</v>
      </c>
    </row>
    <row r="45092" spans="9:9" x14ac:dyDescent="0.2">
      <c r="I45092" s="137" t="s">
        <v>74</v>
      </c>
    </row>
    <row r="45093" spans="9:9" x14ac:dyDescent="0.2">
      <c r="I45093" s="137" t="s">
        <v>74</v>
      </c>
    </row>
    <row r="45094" spans="9:9" x14ac:dyDescent="0.2">
      <c r="I45094" s="137" t="s">
        <v>74</v>
      </c>
    </row>
    <row r="45095" spans="9:9" x14ac:dyDescent="0.2">
      <c r="I45095" s="137" t="s">
        <v>74</v>
      </c>
    </row>
    <row r="45096" spans="9:9" x14ac:dyDescent="0.2">
      <c r="I45096" s="137" t="s">
        <v>74</v>
      </c>
    </row>
    <row r="45097" spans="9:9" x14ac:dyDescent="0.2">
      <c r="I45097" s="137" t="s">
        <v>74</v>
      </c>
    </row>
    <row r="45098" spans="9:9" x14ac:dyDescent="0.2">
      <c r="I45098" s="137" t="s">
        <v>74</v>
      </c>
    </row>
    <row r="45099" spans="9:9" x14ac:dyDescent="0.2">
      <c r="I45099" s="137" t="s">
        <v>74</v>
      </c>
    </row>
    <row r="45100" spans="9:9" x14ac:dyDescent="0.2">
      <c r="I45100" s="137" t="s">
        <v>74</v>
      </c>
    </row>
    <row r="45101" spans="9:9" x14ac:dyDescent="0.2">
      <c r="I45101" s="137" t="s">
        <v>74</v>
      </c>
    </row>
    <row r="45102" spans="9:9" x14ac:dyDescent="0.2">
      <c r="I45102" s="137" t="s">
        <v>74</v>
      </c>
    </row>
    <row r="45103" spans="9:9" x14ac:dyDescent="0.2">
      <c r="I45103" s="137" t="s">
        <v>74</v>
      </c>
    </row>
    <row r="45104" spans="9:9" x14ac:dyDescent="0.2">
      <c r="I45104" s="137" t="s">
        <v>74</v>
      </c>
    </row>
    <row r="45105" spans="9:9" x14ac:dyDescent="0.2">
      <c r="I45105" s="137" t="s">
        <v>74</v>
      </c>
    </row>
    <row r="45106" spans="9:9" x14ac:dyDescent="0.2">
      <c r="I45106" s="137" t="s">
        <v>74</v>
      </c>
    </row>
    <row r="45107" spans="9:9" x14ac:dyDescent="0.2">
      <c r="I45107" s="137" t="s">
        <v>74</v>
      </c>
    </row>
    <row r="45108" spans="9:9" x14ac:dyDescent="0.2">
      <c r="I45108" s="137" t="s">
        <v>74</v>
      </c>
    </row>
    <row r="45109" spans="9:9" x14ac:dyDescent="0.2">
      <c r="I45109" s="137" t="s">
        <v>74</v>
      </c>
    </row>
    <row r="45110" spans="9:9" x14ac:dyDescent="0.2">
      <c r="I45110" s="137" t="s">
        <v>74</v>
      </c>
    </row>
    <row r="45111" spans="9:9" x14ac:dyDescent="0.2">
      <c r="I45111" s="137" t="s">
        <v>74</v>
      </c>
    </row>
    <row r="45112" spans="9:9" x14ac:dyDescent="0.2">
      <c r="I45112" s="137" t="s">
        <v>74</v>
      </c>
    </row>
    <row r="45113" spans="9:9" x14ac:dyDescent="0.2">
      <c r="I45113" s="137" t="s">
        <v>74</v>
      </c>
    </row>
    <row r="45114" spans="9:9" x14ac:dyDescent="0.2">
      <c r="I45114" s="137" t="s">
        <v>74</v>
      </c>
    </row>
    <row r="45115" spans="9:9" x14ac:dyDescent="0.2">
      <c r="I45115" s="137" t="s">
        <v>74</v>
      </c>
    </row>
    <row r="45116" spans="9:9" x14ac:dyDescent="0.2">
      <c r="I45116" s="137" t="s">
        <v>74</v>
      </c>
    </row>
    <row r="45117" spans="9:9" x14ac:dyDescent="0.2">
      <c r="I45117" s="137" t="s">
        <v>74</v>
      </c>
    </row>
    <row r="45118" spans="9:9" x14ac:dyDescent="0.2">
      <c r="I45118" s="137" t="s">
        <v>74</v>
      </c>
    </row>
    <row r="45119" spans="9:9" x14ac:dyDescent="0.2">
      <c r="I45119" s="137" t="s">
        <v>74</v>
      </c>
    </row>
    <row r="45120" spans="9:9" x14ac:dyDescent="0.2">
      <c r="I45120" s="137" t="s">
        <v>74</v>
      </c>
    </row>
    <row r="45121" spans="9:9" x14ac:dyDescent="0.2">
      <c r="I45121" s="137" t="s">
        <v>74</v>
      </c>
    </row>
    <row r="45122" spans="9:9" x14ac:dyDescent="0.2">
      <c r="I45122" s="137" t="s">
        <v>74</v>
      </c>
    </row>
    <row r="45123" spans="9:9" x14ac:dyDescent="0.2">
      <c r="I45123" s="137" t="s">
        <v>74</v>
      </c>
    </row>
    <row r="45124" spans="9:9" x14ac:dyDescent="0.2">
      <c r="I45124" s="137" t="s">
        <v>74</v>
      </c>
    </row>
    <row r="45125" spans="9:9" x14ac:dyDescent="0.2">
      <c r="I45125" s="137" t="s">
        <v>74</v>
      </c>
    </row>
    <row r="45126" spans="9:9" x14ac:dyDescent="0.2">
      <c r="I45126" s="137" t="s">
        <v>74</v>
      </c>
    </row>
    <row r="45127" spans="9:9" x14ac:dyDescent="0.2">
      <c r="I45127" s="137" t="s">
        <v>74</v>
      </c>
    </row>
    <row r="45128" spans="9:9" x14ac:dyDescent="0.2">
      <c r="I45128" s="137" t="s">
        <v>74</v>
      </c>
    </row>
    <row r="45129" spans="9:9" x14ac:dyDescent="0.2">
      <c r="I45129" s="137" t="s">
        <v>74</v>
      </c>
    </row>
    <row r="45130" spans="9:9" x14ac:dyDescent="0.2">
      <c r="I45130" s="137" t="s">
        <v>74</v>
      </c>
    </row>
    <row r="45131" spans="9:9" x14ac:dyDescent="0.2">
      <c r="I45131" s="137" t="s">
        <v>74</v>
      </c>
    </row>
    <row r="45132" spans="9:9" x14ac:dyDescent="0.2">
      <c r="I45132" s="137" t="s">
        <v>74</v>
      </c>
    </row>
    <row r="45133" spans="9:9" x14ac:dyDescent="0.2">
      <c r="I45133" s="137" t="s">
        <v>74</v>
      </c>
    </row>
    <row r="45134" spans="9:9" x14ac:dyDescent="0.2">
      <c r="I45134" s="137" t="s">
        <v>74</v>
      </c>
    </row>
    <row r="45135" spans="9:9" x14ac:dyDescent="0.2">
      <c r="I45135" s="137" t="s">
        <v>74</v>
      </c>
    </row>
    <row r="45136" spans="9:9" x14ac:dyDescent="0.2">
      <c r="I45136" s="137" t="s">
        <v>74</v>
      </c>
    </row>
    <row r="45137" spans="9:9" x14ac:dyDescent="0.2">
      <c r="I45137" s="137" t="s">
        <v>74</v>
      </c>
    </row>
    <row r="45138" spans="9:9" x14ac:dyDescent="0.2">
      <c r="I45138" s="137" t="s">
        <v>74</v>
      </c>
    </row>
    <row r="45139" spans="9:9" x14ac:dyDescent="0.2">
      <c r="I45139" s="137" t="s">
        <v>74</v>
      </c>
    </row>
    <row r="45140" spans="9:9" x14ac:dyDescent="0.2">
      <c r="I45140" s="137" t="s">
        <v>74</v>
      </c>
    </row>
    <row r="45141" spans="9:9" x14ac:dyDescent="0.2">
      <c r="I45141" s="137" t="s">
        <v>74</v>
      </c>
    </row>
    <row r="45142" spans="9:9" x14ac:dyDescent="0.2">
      <c r="I45142" s="137" t="s">
        <v>74</v>
      </c>
    </row>
    <row r="45143" spans="9:9" x14ac:dyDescent="0.2">
      <c r="I45143" s="137" t="s">
        <v>74</v>
      </c>
    </row>
    <row r="45144" spans="9:9" x14ac:dyDescent="0.2">
      <c r="I45144" s="137" t="s">
        <v>74</v>
      </c>
    </row>
    <row r="45145" spans="9:9" x14ac:dyDescent="0.2">
      <c r="I45145" s="137" t="s">
        <v>74</v>
      </c>
    </row>
    <row r="45146" spans="9:9" x14ac:dyDescent="0.2">
      <c r="I45146" s="137" t="s">
        <v>74</v>
      </c>
    </row>
    <row r="45147" spans="9:9" x14ac:dyDescent="0.2">
      <c r="I45147" s="137" t="s">
        <v>74</v>
      </c>
    </row>
    <row r="45148" spans="9:9" x14ac:dyDescent="0.2">
      <c r="I45148" s="137" t="s">
        <v>74</v>
      </c>
    </row>
    <row r="45149" spans="9:9" x14ac:dyDescent="0.2">
      <c r="I45149" s="137" t="s">
        <v>74</v>
      </c>
    </row>
    <row r="45150" spans="9:9" x14ac:dyDescent="0.2">
      <c r="I45150" s="137" t="s">
        <v>74</v>
      </c>
    </row>
    <row r="45151" spans="9:9" x14ac:dyDescent="0.2">
      <c r="I45151" s="137" t="s">
        <v>74</v>
      </c>
    </row>
    <row r="45152" spans="9:9" x14ac:dyDescent="0.2">
      <c r="I45152" s="137" t="s">
        <v>74</v>
      </c>
    </row>
    <row r="45153" spans="9:9" x14ac:dyDescent="0.2">
      <c r="I45153" s="137" t="s">
        <v>74</v>
      </c>
    </row>
    <row r="45154" spans="9:9" x14ac:dyDescent="0.2">
      <c r="I45154" s="137" t="s">
        <v>74</v>
      </c>
    </row>
    <row r="45155" spans="9:9" x14ac:dyDescent="0.2">
      <c r="I45155" s="137" t="s">
        <v>74</v>
      </c>
    </row>
    <row r="45156" spans="9:9" x14ac:dyDescent="0.2">
      <c r="I45156" s="137" t="s">
        <v>74</v>
      </c>
    </row>
    <row r="45157" spans="9:9" x14ac:dyDescent="0.2">
      <c r="I45157" s="137" t="s">
        <v>74</v>
      </c>
    </row>
    <row r="45158" spans="9:9" x14ac:dyDescent="0.2">
      <c r="I45158" s="137" t="s">
        <v>74</v>
      </c>
    </row>
    <row r="45159" spans="9:9" x14ac:dyDescent="0.2">
      <c r="I45159" s="137" t="s">
        <v>74</v>
      </c>
    </row>
    <row r="45160" spans="9:9" x14ac:dyDescent="0.2">
      <c r="I45160" s="137" t="s">
        <v>74</v>
      </c>
    </row>
    <row r="45161" spans="9:9" x14ac:dyDescent="0.2">
      <c r="I45161" s="137" t="s">
        <v>74</v>
      </c>
    </row>
    <row r="45162" spans="9:9" x14ac:dyDescent="0.2">
      <c r="I45162" s="137" t="s">
        <v>74</v>
      </c>
    </row>
    <row r="45163" spans="9:9" x14ac:dyDescent="0.2">
      <c r="I45163" s="137" t="s">
        <v>74</v>
      </c>
    </row>
    <row r="45164" spans="9:9" x14ac:dyDescent="0.2">
      <c r="I45164" s="137" t="s">
        <v>74</v>
      </c>
    </row>
    <row r="45165" spans="9:9" x14ac:dyDescent="0.2">
      <c r="I45165" s="137" t="s">
        <v>74</v>
      </c>
    </row>
    <row r="45166" spans="9:9" x14ac:dyDescent="0.2">
      <c r="I45166" s="137" t="s">
        <v>74</v>
      </c>
    </row>
    <row r="45167" spans="9:9" x14ac:dyDescent="0.2">
      <c r="I45167" s="137" t="s">
        <v>74</v>
      </c>
    </row>
    <row r="45168" spans="9:9" x14ac:dyDescent="0.2">
      <c r="I45168" s="137" t="s">
        <v>74</v>
      </c>
    </row>
    <row r="45169" spans="9:9" x14ac:dyDescent="0.2">
      <c r="I45169" s="137" t="s">
        <v>74</v>
      </c>
    </row>
    <row r="45170" spans="9:9" x14ac:dyDescent="0.2">
      <c r="I45170" s="137" t="s">
        <v>74</v>
      </c>
    </row>
    <row r="45171" spans="9:9" x14ac:dyDescent="0.2">
      <c r="I45171" s="137" t="s">
        <v>74</v>
      </c>
    </row>
    <row r="45172" spans="9:9" x14ac:dyDescent="0.2">
      <c r="I45172" s="137" t="s">
        <v>74</v>
      </c>
    </row>
    <row r="45173" spans="9:9" x14ac:dyDescent="0.2">
      <c r="I45173" s="137" t="s">
        <v>74</v>
      </c>
    </row>
    <row r="45174" spans="9:9" x14ac:dyDescent="0.2">
      <c r="I45174" s="137" t="s">
        <v>74</v>
      </c>
    </row>
    <row r="45175" spans="9:9" x14ac:dyDescent="0.2">
      <c r="I45175" s="137" t="s">
        <v>74</v>
      </c>
    </row>
    <row r="45176" spans="9:9" x14ac:dyDescent="0.2">
      <c r="I45176" s="137" t="s">
        <v>74</v>
      </c>
    </row>
    <row r="45177" spans="9:9" x14ac:dyDescent="0.2">
      <c r="I45177" s="137" t="s">
        <v>74</v>
      </c>
    </row>
    <row r="45178" spans="9:9" x14ac:dyDescent="0.2">
      <c r="I45178" s="137" t="s">
        <v>74</v>
      </c>
    </row>
    <row r="45179" spans="9:9" x14ac:dyDescent="0.2">
      <c r="I45179" s="137" t="s">
        <v>74</v>
      </c>
    </row>
    <row r="45180" spans="9:9" x14ac:dyDescent="0.2">
      <c r="I45180" s="137" t="s">
        <v>74</v>
      </c>
    </row>
    <row r="45181" spans="9:9" x14ac:dyDescent="0.2">
      <c r="I45181" s="137" t="s">
        <v>74</v>
      </c>
    </row>
    <row r="45182" spans="9:9" x14ac:dyDescent="0.2">
      <c r="I45182" s="137" t="s">
        <v>74</v>
      </c>
    </row>
    <row r="45183" spans="9:9" x14ac:dyDescent="0.2">
      <c r="I45183" s="137" t="s">
        <v>74</v>
      </c>
    </row>
    <row r="45184" spans="9:9" x14ac:dyDescent="0.2">
      <c r="I45184" s="137" t="s">
        <v>74</v>
      </c>
    </row>
    <row r="45185" spans="9:9" x14ac:dyDescent="0.2">
      <c r="I45185" s="137" t="s">
        <v>74</v>
      </c>
    </row>
    <row r="45186" spans="9:9" x14ac:dyDescent="0.2">
      <c r="I45186" s="137" t="s">
        <v>74</v>
      </c>
    </row>
    <row r="45187" spans="9:9" x14ac:dyDescent="0.2">
      <c r="I45187" s="137" t="s">
        <v>74</v>
      </c>
    </row>
    <row r="45188" spans="9:9" x14ac:dyDescent="0.2">
      <c r="I45188" s="137" t="s">
        <v>74</v>
      </c>
    </row>
    <row r="45189" spans="9:9" x14ac:dyDescent="0.2">
      <c r="I45189" s="137" t="s">
        <v>74</v>
      </c>
    </row>
    <row r="45190" spans="9:9" x14ac:dyDescent="0.2">
      <c r="I45190" s="137" t="s">
        <v>74</v>
      </c>
    </row>
    <row r="45191" spans="9:9" x14ac:dyDescent="0.2">
      <c r="I45191" s="137" t="s">
        <v>74</v>
      </c>
    </row>
    <row r="45192" spans="9:9" x14ac:dyDescent="0.2">
      <c r="I45192" s="137" t="s">
        <v>74</v>
      </c>
    </row>
    <row r="45193" spans="9:9" x14ac:dyDescent="0.2">
      <c r="I45193" s="137" t="s">
        <v>74</v>
      </c>
    </row>
    <row r="45194" spans="9:9" x14ac:dyDescent="0.2">
      <c r="I45194" s="137" t="s">
        <v>74</v>
      </c>
    </row>
    <row r="45195" spans="9:9" x14ac:dyDescent="0.2">
      <c r="I45195" s="137" t="s">
        <v>74</v>
      </c>
    </row>
    <row r="45196" spans="9:9" x14ac:dyDescent="0.2">
      <c r="I45196" s="137" t="s">
        <v>74</v>
      </c>
    </row>
    <row r="45197" spans="9:9" x14ac:dyDescent="0.2">
      <c r="I45197" s="137" t="s">
        <v>74</v>
      </c>
    </row>
    <row r="45198" spans="9:9" x14ac:dyDescent="0.2">
      <c r="I45198" s="137" t="s">
        <v>74</v>
      </c>
    </row>
    <row r="45199" spans="9:9" x14ac:dyDescent="0.2">
      <c r="I45199" s="137" t="s">
        <v>74</v>
      </c>
    </row>
    <row r="45200" spans="9:9" x14ac:dyDescent="0.2">
      <c r="I45200" s="137" t="s">
        <v>74</v>
      </c>
    </row>
    <row r="45201" spans="9:9" x14ac:dyDescent="0.2">
      <c r="I45201" s="137" t="s">
        <v>74</v>
      </c>
    </row>
    <row r="45202" spans="9:9" x14ac:dyDescent="0.2">
      <c r="I45202" s="137" t="s">
        <v>74</v>
      </c>
    </row>
    <row r="45203" spans="9:9" x14ac:dyDescent="0.2">
      <c r="I45203" s="137" t="s">
        <v>74</v>
      </c>
    </row>
    <row r="45204" spans="9:9" x14ac:dyDescent="0.2">
      <c r="I45204" s="137" t="s">
        <v>74</v>
      </c>
    </row>
    <row r="45205" spans="9:9" x14ac:dyDescent="0.2">
      <c r="I45205" s="137" t="s">
        <v>74</v>
      </c>
    </row>
    <row r="45206" spans="9:9" x14ac:dyDescent="0.2">
      <c r="I45206" s="137" t="s">
        <v>74</v>
      </c>
    </row>
    <row r="45207" spans="9:9" x14ac:dyDescent="0.2">
      <c r="I45207" s="137" t="s">
        <v>74</v>
      </c>
    </row>
    <row r="45208" spans="9:9" x14ac:dyDescent="0.2">
      <c r="I45208" s="137" t="s">
        <v>74</v>
      </c>
    </row>
    <row r="45209" spans="9:9" x14ac:dyDescent="0.2">
      <c r="I45209" s="137" t="s">
        <v>74</v>
      </c>
    </row>
    <row r="45210" spans="9:9" x14ac:dyDescent="0.2">
      <c r="I45210" s="137" t="s">
        <v>74</v>
      </c>
    </row>
    <row r="45211" spans="9:9" x14ac:dyDescent="0.2">
      <c r="I45211" s="137" t="s">
        <v>74</v>
      </c>
    </row>
    <row r="45212" spans="9:9" x14ac:dyDescent="0.2">
      <c r="I45212" s="137" t="s">
        <v>74</v>
      </c>
    </row>
    <row r="45213" spans="9:9" x14ac:dyDescent="0.2">
      <c r="I45213" s="137" t="s">
        <v>74</v>
      </c>
    </row>
    <row r="45214" spans="9:9" x14ac:dyDescent="0.2">
      <c r="I45214" s="137" t="s">
        <v>74</v>
      </c>
    </row>
    <row r="45215" spans="9:9" x14ac:dyDescent="0.2">
      <c r="I45215" s="137" t="s">
        <v>74</v>
      </c>
    </row>
    <row r="45216" spans="9:9" x14ac:dyDescent="0.2">
      <c r="I45216" s="137" t="s">
        <v>74</v>
      </c>
    </row>
    <row r="45217" spans="9:9" x14ac:dyDescent="0.2">
      <c r="I45217" s="137" t="s">
        <v>74</v>
      </c>
    </row>
    <row r="45218" spans="9:9" x14ac:dyDescent="0.2">
      <c r="I45218" s="137" t="s">
        <v>74</v>
      </c>
    </row>
    <row r="45219" spans="9:9" x14ac:dyDescent="0.2">
      <c r="I45219" s="137" t="s">
        <v>74</v>
      </c>
    </row>
    <row r="45220" spans="9:9" x14ac:dyDescent="0.2">
      <c r="I45220" s="137" t="s">
        <v>74</v>
      </c>
    </row>
    <row r="45221" spans="9:9" x14ac:dyDescent="0.2">
      <c r="I45221" s="137" t="s">
        <v>74</v>
      </c>
    </row>
    <row r="45222" spans="9:9" x14ac:dyDescent="0.2">
      <c r="I45222" s="137" t="s">
        <v>74</v>
      </c>
    </row>
    <row r="45223" spans="9:9" x14ac:dyDescent="0.2">
      <c r="I45223" s="137" t="s">
        <v>74</v>
      </c>
    </row>
    <row r="45224" spans="9:9" x14ac:dyDescent="0.2">
      <c r="I45224" s="137" t="s">
        <v>74</v>
      </c>
    </row>
    <row r="45225" spans="9:9" x14ac:dyDescent="0.2">
      <c r="I45225" s="137" t="s">
        <v>74</v>
      </c>
    </row>
    <row r="45226" spans="9:9" x14ac:dyDescent="0.2">
      <c r="I45226" s="137" t="s">
        <v>74</v>
      </c>
    </row>
    <row r="45227" spans="9:9" x14ac:dyDescent="0.2">
      <c r="I45227" s="137" t="s">
        <v>74</v>
      </c>
    </row>
    <row r="45228" spans="9:9" x14ac:dyDescent="0.2">
      <c r="I45228" s="137" t="s">
        <v>74</v>
      </c>
    </row>
    <row r="45229" spans="9:9" x14ac:dyDescent="0.2">
      <c r="I45229" s="137" t="s">
        <v>74</v>
      </c>
    </row>
    <row r="45230" spans="9:9" x14ac:dyDescent="0.2">
      <c r="I45230" s="137" t="s">
        <v>74</v>
      </c>
    </row>
    <row r="45231" spans="9:9" x14ac:dyDescent="0.2">
      <c r="I45231" s="137" t="s">
        <v>74</v>
      </c>
    </row>
    <row r="45232" spans="9:9" x14ac:dyDescent="0.2">
      <c r="I45232" s="137" t="s">
        <v>74</v>
      </c>
    </row>
    <row r="45233" spans="9:9" x14ac:dyDescent="0.2">
      <c r="I45233" s="137" t="s">
        <v>74</v>
      </c>
    </row>
    <row r="45234" spans="9:9" x14ac:dyDescent="0.2">
      <c r="I45234" s="137" t="s">
        <v>74</v>
      </c>
    </row>
    <row r="45235" spans="9:9" x14ac:dyDescent="0.2">
      <c r="I45235" s="137" t="s">
        <v>74</v>
      </c>
    </row>
    <row r="45236" spans="9:9" x14ac:dyDescent="0.2">
      <c r="I45236" s="137" t="s">
        <v>74</v>
      </c>
    </row>
    <row r="45237" spans="9:9" x14ac:dyDescent="0.2">
      <c r="I45237" s="137" t="s">
        <v>74</v>
      </c>
    </row>
    <row r="45238" spans="9:9" x14ac:dyDescent="0.2">
      <c r="I45238" s="137" t="s">
        <v>74</v>
      </c>
    </row>
    <row r="45239" spans="9:9" x14ac:dyDescent="0.2">
      <c r="I45239" s="137" t="s">
        <v>74</v>
      </c>
    </row>
    <row r="45240" spans="9:9" x14ac:dyDescent="0.2">
      <c r="I45240" s="137" t="s">
        <v>74</v>
      </c>
    </row>
    <row r="45241" spans="9:9" x14ac:dyDescent="0.2">
      <c r="I45241" s="137" t="s">
        <v>74</v>
      </c>
    </row>
    <row r="45242" spans="9:9" x14ac:dyDescent="0.2">
      <c r="I45242" s="137" t="s">
        <v>74</v>
      </c>
    </row>
    <row r="45243" spans="9:9" x14ac:dyDescent="0.2">
      <c r="I45243" s="137" t="s">
        <v>74</v>
      </c>
    </row>
    <row r="45244" spans="9:9" x14ac:dyDescent="0.2">
      <c r="I45244" s="137" t="s">
        <v>74</v>
      </c>
    </row>
    <row r="45245" spans="9:9" x14ac:dyDescent="0.2">
      <c r="I45245" s="137" t="s">
        <v>74</v>
      </c>
    </row>
    <row r="45246" spans="9:9" x14ac:dyDescent="0.2">
      <c r="I45246" s="137" t="s">
        <v>74</v>
      </c>
    </row>
    <row r="45247" spans="9:9" x14ac:dyDescent="0.2">
      <c r="I45247" s="137" t="s">
        <v>74</v>
      </c>
    </row>
    <row r="45248" spans="9:9" x14ac:dyDescent="0.2">
      <c r="I45248" s="137" t="s">
        <v>74</v>
      </c>
    </row>
    <row r="45249" spans="9:9" x14ac:dyDescent="0.2">
      <c r="I45249" s="137" t="s">
        <v>74</v>
      </c>
    </row>
    <row r="45250" spans="9:9" x14ac:dyDescent="0.2">
      <c r="I45250" s="137" t="s">
        <v>74</v>
      </c>
    </row>
    <row r="45251" spans="9:9" x14ac:dyDescent="0.2">
      <c r="I45251" s="137" t="s">
        <v>74</v>
      </c>
    </row>
    <row r="45252" spans="9:9" x14ac:dyDescent="0.2">
      <c r="I45252" s="137" t="s">
        <v>74</v>
      </c>
    </row>
    <row r="45253" spans="9:9" x14ac:dyDescent="0.2">
      <c r="I45253" s="137" t="s">
        <v>74</v>
      </c>
    </row>
    <row r="45254" spans="9:9" x14ac:dyDescent="0.2">
      <c r="I45254" s="137" t="s">
        <v>74</v>
      </c>
    </row>
    <row r="45255" spans="9:9" x14ac:dyDescent="0.2">
      <c r="I45255" s="137" t="s">
        <v>74</v>
      </c>
    </row>
    <row r="45256" spans="9:9" x14ac:dyDescent="0.2">
      <c r="I45256" s="137" t="s">
        <v>74</v>
      </c>
    </row>
    <row r="45257" spans="9:9" x14ac:dyDescent="0.2">
      <c r="I45257" s="137" t="s">
        <v>74</v>
      </c>
    </row>
    <row r="45258" spans="9:9" x14ac:dyDescent="0.2">
      <c r="I45258" s="137" t="s">
        <v>74</v>
      </c>
    </row>
    <row r="45259" spans="9:9" x14ac:dyDescent="0.2">
      <c r="I45259" s="137" t="s">
        <v>74</v>
      </c>
    </row>
    <row r="45260" spans="9:9" x14ac:dyDescent="0.2">
      <c r="I45260" s="137" t="s">
        <v>74</v>
      </c>
    </row>
    <row r="45261" spans="9:9" x14ac:dyDescent="0.2">
      <c r="I45261" s="137" t="s">
        <v>74</v>
      </c>
    </row>
    <row r="45262" spans="9:9" x14ac:dyDescent="0.2">
      <c r="I45262" s="137" t="s">
        <v>74</v>
      </c>
    </row>
    <row r="45263" spans="9:9" x14ac:dyDescent="0.2">
      <c r="I45263" s="137" t="s">
        <v>74</v>
      </c>
    </row>
    <row r="45264" spans="9:9" x14ac:dyDescent="0.2">
      <c r="I45264" s="137" t="s">
        <v>74</v>
      </c>
    </row>
    <row r="45265" spans="9:9" x14ac:dyDescent="0.2">
      <c r="I45265" s="137" t="s">
        <v>74</v>
      </c>
    </row>
    <row r="45266" spans="9:9" x14ac:dyDescent="0.2">
      <c r="I45266" s="137" t="s">
        <v>74</v>
      </c>
    </row>
    <row r="45267" spans="9:9" x14ac:dyDescent="0.2">
      <c r="I45267" s="137" t="s">
        <v>74</v>
      </c>
    </row>
    <row r="45268" spans="9:9" x14ac:dyDescent="0.2">
      <c r="I45268" s="137" t="s">
        <v>74</v>
      </c>
    </row>
    <row r="45269" spans="9:9" x14ac:dyDescent="0.2">
      <c r="I45269" s="137" t="s">
        <v>74</v>
      </c>
    </row>
    <row r="45270" spans="9:9" x14ac:dyDescent="0.2">
      <c r="I45270" s="137" t="s">
        <v>74</v>
      </c>
    </row>
    <row r="45271" spans="9:9" x14ac:dyDescent="0.2">
      <c r="I45271" s="137" t="s">
        <v>74</v>
      </c>
    </row>
    <row r="45272" spans="9:9" x14ac:dyDescent="0.2">
      <c r="I45272" s="137" t="s">
        <v>74</v>
      </c>
    </row>
    <row r="45273" spans="9:9" x14ac:dyDescent="0.2">
      <c r="I45273" s="137" t="s">
        <v>74</v>
      </c>
    </row>
    <row r="45274" spans="9:9" x14ac:dyDescent="0.2">
      <c r="I45274" s="137" t="s">
        <v>74</v>
      </c>
    </row>
    <row r="45275" spans="9:9" x14ac:dyDescent="0.2">
      <c r="I45275" s="137" t="s">
        <v>74</v>
      </c>
    </row>
    <row r="45276" spans="9:9" x14ac:dyDescent="0.2">
      <c r="I45276" s="137" t="s">
        <v>74</v>
      </c>
    </row>
    <row r="45277" spans="9:9" x14ac:dyDescent="0.2">
      <c r="I45277" s="137" t="s">
        <v>74</v>
      </c>
    </row>
    <row r="45278" spans="9:9" x14ac:dyDescent="0.2">
      <c r="I45278" s="137" t="s">
        <v>74</v>
      </c>
    </row>
    <row r="45279" spans="9:9" x14ac:dyDescent="0.2">
      <c r="I45279" s="137" t="s">
        <v>74</v>
      </c>
    </row>
    <row r="45280" spans="9:9" x14ac:dyDescent="0.2">
      <c r="I45280" s="137" t="s">
        <v>74</v>
      </c>
    </row>
    <row r="45281" spans="9:9" x14ac:dyDescent="0.2">
      <c r="I45281" s="137" t="s">
        <v>74</v>
      </c>
    </row>
    <row r="45282" spans="9:9" x14ac:dyDescent="0.2">
      <c r="I45282" s="137" t="s">
        <v>74</v>
      </c>
    </row>
    <row r="45283" spans="9:9" x14ac:dyDescent="0.2">
      <c r="I45283" s="137" t="s">
        <v>74</v>
      </c>
    </row>
    <row r="45284" spans="9:9" x14ac:dyDescent="0.2">
      <c r="I45284" s="137" t="s">
        <v>74</v>
      </c>
    </row>
    <row r="45285" spans="9:9" x14ac:dyDescent="0.2">
      <c r="I45285" s="137" t="s">
        <v>74</v>
      </c>
    </row>
    <row r="45286" spans="9:9" x14ac:dyDescent="0.2">
      <c r="I45286" s="137" t="s">
        <v>74</v>
      </c>
    </row>
    <row r="45287" spans="9:9" x14ac:dyDescent="0.2">
      <c r="I45287" s="137" t="s">
        <v>74</v>
      </c>
    </row>
    <row r="45288" spans="9:9" x14ac:dyDescent="0.2">
      <c r="I45288" s="137" t="s">
        <v>74</v>
      </c>
    </row>
    <row r="45289" spans="9:9" x14ac:dyDescent="0.2">
      <c r="I45289" s="137" t="s">
        <v>74</v>
      </c>
    </row>
    <row r="45290" spans="9:9" x14ac:dyDescent="0.2">
      <c r="I45290" s="137" t="s">
        <v>74</v>
      </c>
    </row>
    <row r="45291" spans="9:9" x14ac:dyDescent="0.2">
      <c r="I45291" s="137" t="s">
        <v>74</v>
      </c>
    </row>
    <row r="45292" spans="9:9" x14ac:dyDescent="0.2">
      <c r="I45292" s="137" t="s">
        <v>74</v>
      </c>
    </row>
    <row r="45293" spans="9:9" x14ac:dyDescent="0.2">
      <c r="I45293" s="137" t="s">
        <v>74</v>
      </c>
    </row>
    <row r="45294" spans="9:9" x14ac:dyDescent="0.2">
      <c r="I45294" s="137" t="s">
        <v>74</v>
      </c>
    </row>
    <row r="45295" spans="9:9" x14ac:dyDescent="0.2">
      <c r="I45295" s="137" t="s">
        <v>74</v>
      </c>
    </row>
    <row r="45296" spans="9:9" x14ac:dyDescent="0.2">
      <c r="I45296" s="137" t="s">
        <v>74</v>
      </c>
    </row>
    <row r="45297" spans="9:9" x14ac:dyDescent="0.2">
      <c r="I45297" s="137" t="s">
        <v>74</v>
      </c>
    </row>
    <row r="45298" spans="9:9" x14ac:dyDescent="0.2">
      <c r="I45298" s="137" t="s">
        <v>74</v>
      </c>
    </row>
    <row r="45299" spans="9:9" x14ac:dyDescent="0.2">
      <c r="I45299" s="137" t="s">
        <v>74</v>
      </c>
    </row>
    <row r="45300" spans="9:9" x14ac:dyDescent="0.2">
      <c r="I45300" s="137" t="s">
        <v>74</v>
      </c>
    </row>
    <row r="45301" spans="9:9" x14ac:dyDescent="0.2">
      <c r="I45301" s="137" t="s">
        <v>74</v>
      </c>
    </row>
    <row r="45302" spans="9:9" x14ac:dyDescent="0.2">
      <c r="I45302" s="137" t="s">
        <v>74</v>
      </c>
    </row>
    <row r="45303" spans="9:9" x14ac:dyDescent="0.2">
      <c r="I45303" s="137" t="s">
        <v>74</v>
      </c>
    </row>
    <row r="45304" spans="9:9" x14ac:dyDescent="0.2">
      <c r="I45304" s="137" t="s">
        <v>74</v>
      </c>
    </row>
    <row r="45305" spans="9:9" x14ac:dyDescent="0.2">
      <c r="I45305" s="137" t="s">
        <v>74</v>
      </c>
    </row>
    <row r="45306" spans="9:9" x14ac:dyDescent="0.2">
      <c r="I45306" s="137" t="s">
        <v>74</v>
      </c>
    </row>
    <row r="45307" spans="9:9" x14ac:dyDescent="0.2">
      <c r="I45307" s="137" t="s">
        <v>74</v>
      </c>
    </row>
    <row r="45308" spans="9:9" x14ac:dyDescent="0.2">
      <c r="I45308" s="137" t="s">
        <v>74</v>
      </c>
    </row>
    <row r="45309" spans="9:9" x14ac:dyDescent="0.2">
      <c r="I45309" s="137" t="s">
        <v>74</v>
      </c>
    </row>
    <row r="45310" spans="9:9" x14ac:dyDescent="0.2">
      <c r="I45310" s="137" t="s">
        <v>74</v>
      </c>
    </row>
    <row r="45311" spans="9:9" x14ac:dyDescent="0.2">
      <c r="I45311" s="137" t="s">
        <v>74</v>
      </c>
    </row>
    <row r="45312" spans="9:9" x14ac:dyDescent="0.2">
      <c r="I45312" s="137" t="s">
        <v>74</v>
      </c>
    </row>
    <row r="45313" spans="9:9" x14ac:dyDescent="0.2">
      <c r="I45313" s="137" t="s">
        <v>74</v>
      </c>
    </row>
    <row r="45314" spans="9:9" x14ac:dyDescent="0.2">
      <c r="I45314" s="137" t="s">
        <v>74</v>
      </c>
    </row>
    <row r="45315" spans="9:9" x14ac:dyDescent="0.2">
      <c r="I45315" s="137" t="s">
        <v>74</v>
      </c>
    </row>
    <row r="45316" spans="9:9" x14ac:dyDescent="0.2">
      <c r="I45316" s="137" t="s">
        <v>74</v>
      </c>
    </row>
    <row r="45317" spans="9:9" x14ac:dyDescent="0.2">
      <c r="I45317" s="137" t="s">
        <v>74</v>
      </c>
    </row>
    <row r="45318" spans="9:9" x14ac:dyDescent="0.2">
      <c r="I45318" s="137" t="s">
        <v>74</v>
      </c>
    </row>
    <row r="45319" spans="9:9" x14ac:dyDescent="0.2">
      <c r="I45319" s="137" t="s">
        <v>74</v>
      </c>
    </row>
    <row r="45320" spans="9:9" x14ac:dyDescent="0.2">
      <c r="I45320" s="137" t="s">
        <v>74</v>
      </c>
    </row>
    <row r="45321" spans="9:9" x14ac:dyDescent="0.2">
      <c r="I45321" s="137" t="s">
        <v>74</v>
      </c>
    </row>
    <row r="45322" spans="9:9" x14ac:dyDescent="0.2">
      <c r="I45322" s="137" t="s">
        <v>74</v>
      </c>
    </row>
    <row r="45323" spans="9:9" x14ac:dyDescent="0.2">
      <c r="I45323" s="137" t="s">
        <v>74</v>
      </c>
    </row>
    <row r="45324" spans="9:9" x14ac:dyDescent="0.2">
      <c r="I45324" s="137" t="s">
        <v>74</v>
      </c>
    </row>
    <row r="45325" spans="9:9" x14ac:dyDescent="0.2">
      <c r="I45325" s="137" t="s">
        <v>74</v>
      </c>
    </row>
    <row r="45326" spans="9:9" x14ac:dyDescent="0.2">
      <c r="I45326" s="137" t="s">
        <v>74</v>
      </c>
    </row>
    <row r="45327" spans="9:9" x14ac:dyDescent="0.2">
      <c r="I45327" s="137" t="s">
        <v>74</v>
      </c>
    </row>
    <row r="45328" spans="9:9" x14ac:dyDescent="0.2">
      <c r="I45328" s="137" t="s">
        <v>74</v>
      </c>
    </row>
    <row r="45329" spans="9:9" x14ac:dyDescent="0.2">
      <c r="I45329" s="137" t="s">
        <v>74</v>
      </c>
    </row>
    <row r="45330" spans="9:9" x14ac:dyDescent="0.2">
      <c r="I45330" s="137" t="s">
        <v>74</v>
      </c>
    </row>
    <row r="45331" spans="9:9" x14ac:dyDescent="0.2">
      <c r="I45331" s="137" t="s">
        <v>74</v>
      </c>
    </row>
    <row r="45332" spans="9:9" x14ac:dyDescent="0.2">
      <c r="I45332" s="137" t="s">
        <v>74</v>
      </c>
    </row>
    <row r="45333" spans="9:9" x14ac:dyDescent="0.2">
      <c r="I45333" s="137" t="s">
        <v>74</v>
      </c>
    </row>
    <row r="45334" spans="9:9" x14ac:dyDescent="0.2">
      <c r="I45334" s="137" t="s">
        <v>74</v>
      </c>
    </row>
    <row r="45335" spans="9:9" x14ac:dyDescent="0.2">
      <c r="I45335" s="137" t="s">
        <v>74</v>
      </c>
    </row>
    <row r="45336" spans="9:9" x14ac:dyDescent="0.2">
      <c r="I45336" s="137" t="s">
        <v>74</v>
      </c>
    </row>
    <row r="45337" spans="9:9" x14ac:dyDescent="0.2">
      <c r="I45337" s="137" t="s">
        <v>74</v>
      </c>
    </row>
    <row r="45338" spans="9:9" x14ac:dyDescent="0.2">
      <c r="I45338" s="137" t="s">
        <v>74</v>
      </c>
    </row>
    <row r="45339" spans="9:9" x14ac:dyDescent="0.2">
      <c r="I45339" s="137" t="s">
        <v>74</v>
      </c>
    </row>
    <row r="45340" spans="9:9" x14ac:dyDescent="0.2">
      <c r="I45340" s="137" t="s">
        <v>74</v>
      </c>
    </row>
    <row r="45341" spans="9:9" x14ac:dyDescent="0.2">
      <c r="I45341" s="137" t="s">
        <v>74</v>
      </c>
    </row>
    <row r="45342" spans="9:9" x14ac:dyDescent="0.2">
      <c r="I45342" s="137" t="s">
        <v>74</v>
      </c>
    </row>
    <row r="45343" spans="9:9" x14ac:dyDescent="0.2">
      <c r="I45343" s="137" t="s">
        <v>74</v>
      </c>
    </row>
    <row r="45344" spans="9:9" x14ac:dyDescent="0.2">
      <c r="I45344" s="137" t="s">
        <v>74</v>
      </c>
    </row>
    <row r="45345" spans="9:9" x14ac:dyDescent="0.2">
      <c r="I45345" s="137" t="s">
        <v>74</v>
      </c>
    </row>
    <row r="45346" spans="9:9" x14ac:dyDescent="0.2">
      <c r="I45346" s="137" t="s">
        <v>74</v>
      </c>
    </row>
    <row r="45347" spans="9:9" x14ac:dyDescent="0.2">
      <c r="I45347" s="137" t="s">
        <v>74</v>
      </c>
    </row>
    <row r="45348" spans="9:9" x14ac:dyDescent="0.2">
      <c r="I45348" s="137" t="s">
        <v>74</v>
      </c>
    </row>
    <row r="45349" spans="9:9" x14ac:dyDescent="0.2">
      <c r="I45349" s="137" t="s">
        <v>74</v>
      </c>
    </row>
    <row r="45350" spans="9:9" x14ac:dyDescent="0.2">
      <c r="I45350" s="137" t="s">
        <v>74</v>
      </c>
    </row>
    <row r="45351" spans="9:9" x14ac:dyDescent="0.2">
      <c r="I45351" s="137" t="s">
        <v>74</v>
      </c>
    </row>
    <row r="45352" spans="9:9" x14ac:dyDescent="0.2">
      <c r="I45352" s="137" t="s">
        <v>74</v>
      </c>
    </row>
    <row r="45353" spans="9:9" x14ac:dyDescent="0.2">
      <c r="I45353" s="137" t="s">
        <v>74</v>
      </c>
    </row>
    <row r="45354" spans="9:9" x14ac:dyDescent="0.2">
      <c r="I45354" s="137" t="s">
        <v>74</v>
      </c>
    </row>
    <row r="45355" spans="9:9" x14ac:dyDescent="0.2">
      <c r="I45355" s="137" t="s">
        <v>74</v>
      </c>
    </row>
    <row r="45356" spans="9:9" x14ac:dyDescent="0.2">
      <c r="I45356" s="137" t="s">
        <v>74</v>
      </c>
    </row>
    <row r="45357" spans="9:9" x14ac:dyDescent="0.2">
      <c r="I45357" s="137" t="s">
        <v>74</v>
      </c>
    </row>
    <row r="45358" spans="9:9" x14ac:dyDescent="0.2">
      <c r="I45358" s="137" t="s">
        <v>74</v>
      </c>
    </row>
    <row r="45359" spans="9:9" x14ac:dyDescent="0.2">
      <c r="I45359" s="137" t="s">
        <v>74</v>
      </c>
    </row>
    <row r="45360" spans="9:9" x14ac:dyDescent="0.2">
      <c r="I45360" s="137" t="s">
        <v>74</v>
      </c>
    </row>
    <row r="45361" spans="9:9" x14ac:dyDescent="0.2">
      <c r="I45361" s="137" t="s">
        <v>74</v>
      </c>
    </row>
    <row r="45362" spans="9:9" x14ac:dyDescent="0.2">
      <c r="I45362" s="137" t="s">
        <v>74</v>
      </c>
    </row>
    <row r="45363" spans="9:9" x14ac:dyDescent="0.2">
      <c r="I45363" s="137" t="s">
        <v>74</v>
      </c>
    </row>
    <row r="45364" spans="9:9" x14ac:dyDescent="0.2">
      <c r="I45364" s="137" t="s">
        <v>74</v>
      </c>
    </row>
    <row r="45365" spans="9:9" x14ac:dyDescent="0.2">
      <c r="I45365" s="137" t="s">
        <v>74</v>
      </c>
    </row>
    <row r="45366" spans="9:9" x14ac:dyDescent="0.2">
      <c r="I45366" s="137" t="s">
        <v>74</v>
      </c>
    </row>
    <row r="45367" spans="9:9" x14ac:dyDescent="0.2">
      <c r="I45367" s="137" t="s">
        <v>74</v>
      </c>
    </row>
    <row r="45368" spans="9:9" x14ac:dyDescent="0.2">
      <c r="I45368" s="137" t="s">
        <v>74</v>
      </c>
    </row>
    <row r="45369" spans="9:9" x14ac:dyDescent="0.2">
      <c r="I45369" s="137" t="s">
        <v>74</v>
      </c>
    </row>
    <row r="45370" spans="9:9" x14ac:dyDescent="0.2">
      <c r="I45370" s="137" t="s">
        <v>74</v>
      </c>
    </row>
    <row r="45371" spans="9:9" x14ac:dyDescent="0.2">
      <c r="I45371" s="137" t="s">
        <v>74</v>
      </c>
    </row>
    <row r="45372" spans="9:9" x14ac:dyDescent="0.2">
      <c r="I45372" s="137" t="s">
        <v>74</v>
      </c>
    </row>
    <row r="45373" spans="9:9" x14ac:dyDescent="0.2">
      <c r="I45373" s="137" t="s">
        <v>74</v>
      </c>
    </row>
    <row r="45374" spans="9:9" x14ac:dyDescent="0.2">
      <c r="I45374" s="137" t="s">
        <v>74</v>
      </c>
    </row>
    <row r="45375" spans="9:9" x14ac:dyDescent="0.2">
      <c r="I45375" s="137" t="s">
        <v>74</v>
      </c>
    </row>
    <row r="45376" spans="9:9" x14ac:dyDescent="0.2">
      <c r="I45376" s="137" t="s">
        <v>74</v>
      </c>
    </row>
    <row r="45377" spans="9:9" x14ac:dyDescent="0.2">
      <c r="I45377" s="137" t="s">
        <v>74</v>
      </c>
    </row>
    <row r="45378" spans="9:9" x14ac:dyDescent="0.2">
      <c r="I45378" s="137" t="s">
        <v>74</v>
      </c>
    </row>
    <row r="45379" spans="9:9" x14ac:dyDescent="0.2">
      <c r="I45379" s="137" t="s">
        <v>74</v>
      </c>
    </row>
    <row r="45380" spans="9:9" x14ac:dyDescent="0.2">
      <c r="I45380" s="137" t="s">
        <v>74</v>
      </c>
    </row>
    <row r="45381" spans="9:9" x14ac:dyDescent="0.2">
      <c r="I45381" s="137" t="s">
        <v>74</v>
      </c>
    </row>
    <row r="45382" spans="9:9" x14ac:dyDescent="0.2">
      <c r="I45382" s="137" t="s">
        <v>74</v>
      </c>
    </row>
    <row r="45383" spans="9:9" x14ac:dyDescent="0.2">
      <c r="I45383" s="137" t="s">
        <v>74</v>
      </c>
    </row>
    <row r="45384" spans="9:9" x14ac:dyDescent="0.2">
      <c r="I45384" s="137" t="s">
        <v>74</v>
      </c>
    </row>
    <row r="45385" spans="9:9" x14ac:dyDescent="0.2">
      <c r="I45385" s="137" t="s">
        <v>74</v>
      </c>
    </row>
    <row r="45386" spans="9:9" x14ac:dyDescent="0.2">
      <c r="I45386" s="137" t="s">
        <v>74</v>
      </c>
    </row>
    <row r="45387" spans="9:9" x14ac:dyDescent="0.2">
      <c r="I45387" s="137" t="s">
        <v>74</v>
      </c>
    </row>
    <row r="45388" spans="9:9" x14ac:dyDescent="0.2">
      <c r="I45388" s="137" t="s">
        <v>74</v>
      </c>
    </row>
    <row r="45389" spans="9:9" x14ac:dyDescent="0.2">
      <c r="I45389" s="137" t="s">
        <v>74</v>
      </c>
    </row>
    <row r="45390" spans="9:9" x14ac:dyDescent="0.2">
      <c r="I45390" s="137" t="s">
        <v>74</v>
      </c>
    </row>
    <row r="45391" spans="9:9" x14ac:dyDescent="0.2">
      <c r="I45391" s="137" t="s">
        <v>74</v>
      </c>
    </row>
    <row r="45392" spans="9:9" x14ac:dyDescent="0.2">
      <c r="I45392" s="137" t="s">
        <v>74</v>
      </c>
    </row>
    <row r="45393" spans="9:9" x14ac:dyDescent="0.2">
      <c r="I45393" s="137" t="s">
        <v>74</v>
      </c>
    </row>
    <row r="45394" spans="9:9" x14ac:dyDescent="0.2">
      <c r="I45394" s="137" t="s">
        <v>74</v>
      </c>
    </row>
    <row r="45395" spans="9:9" x14ac:dyDescent="0.2">
      <c r="I45395" s="137" t="s">
        <v>74</v>
      </c>
    </row>
    <row r="45396" spans="9:9" x14ac:dyDescent="0.2">
      <c r="I45396" s="137" t="s">
        <v>74</v>
      </c>
    </row>
    <row r="45397" spans="9:9" x14ac:dyDescent="0.2">
      <c r="I45397" s="137" t="s">
        <v>74</v>
      </c>
    </row>
    <row r="45398" spans="9:9" x14ac:dyDescent="0.2">
      <c r="I45398" s="137" t="s">
        <v>74</v>
      </c>
    </row>
    <row r="45399" spans="9:9" x14ac:dyDescent="0.2">
      <c r="I45399" s="137" t="s">
        <v>74</v>
      </c>
    </row>
    <row r="45400" spans="9:9" x14ac:dyDescent="0.2">
      <c r="I45400" s="137" t="s">
        <v>74</v>
      </c>
    </row>
    <row r="45401" spans="9:9" x14ac:dyDescent="0.2">
      <c r="I45401" s="137" t="s">
        <v>74</v>
      </c>
    </row>
    <row r="45402" spans="9:9" x14ac:dyDescent="0.2">
      <c r="I45402" s="137" t="s">
        <v>74</v>
      </c>
    </row>
    <row r="45403" spans="9:9" x14ac:dyDescent="0.2">
      <c r="I45403" s="137" t="s">
        <v>74</v>
      </c>
    </row>
    <row r="45404" spans="9:9" x14ac:dyDescent="0.2">
      <c r="I45404" s="137" t="s">
        <v>74</v>
      </c>
    </row>
    <row r="45405" spans="9:9" x14ac:dyDescent="0.2">
      <c r="I45405" s="137" t="s">
        <v>74</v>
      </c>
    </row>
    <row r="45406" spans="9:9" x14ac:dyDescent="0.2">
      <c r="I45406" s="137" t="s">
        <v>74</v>
      </c>
    </row>
    <row r="45407" spans="9:9" x14ac:dyDescent="0.2">
      <c r="I45407" s="137" t="s">
        <v>74</v>
      </c>
    </row>
    <row r="45408" spans="9:9" x14ac:dyDescent="0.2">
      <c r="I45408" s="137" t="s">
        <v>74</v>
      </c>
    </row>
    <row r="45409" spans="9:9" x14ac:dyDescent="0.2">
      <c r="I45409" s="137" t="s">
        <v>74</v>
      </c>
    </row>
    <row r="45410" spans="9:9" x14ac:dyDescent="0.2">
      <c r="I45410" s="137" t="s">
        <v>74</v>
      </c>
    </row>
    <row r="45411" spans="9:9" x14ac:dyDescent="0.2">
      <c r="I45411" s="137" t="s">
        <v>74</v>
      </c>
    </row>
    <row r="45412" spans="9:9" x14ac:dyDescent="0.2">
      <c r="I45412" s="137" t="s">
        <v>74</v>
      </c>
    </row>
    <row r="45413" spans="9:9" x14ac:dyDescent="0.2">
      <c r="I45413" s="137" t="s">
        <v>74</v>
      </c>
    </row>
    <row r="45414" spans="9:9" x14ac:dyDescent="0.2">
      <c r="I45414" s="137" t="s">
        <v>74</v>
      </c>
    </row>
    <row r="45415" spans="9:9" x14ac:dyDescent="0.2">
      <c r="I45415" s="137" t="s">
        <v>74</v>
      </c>
    </row>
    <row r="45416" spans="9:9" x14ac:dyDescent="0.2">
      <c r="I45416" s="137" t="s">
        <v>74</v>
      </c>
    </row>
    <row r="45417" spans="9:9" x14ac:dyDescent="0.2">
      <c r="I45417" s="137" t="s">
        <v>74</v>
      </c>
    </row>
    <row r="45418" spans="9:9" x14ac:dyDescent="0.2">
      <c r="I45418" s="137" t="s">
        <v>74</v>
      </c>
    </row>
    <row r="45419" spans="9:9" x14ac:dyDescent="0.2">
      <c r="I45419" s="137" t="s">
        <v>74</v>
      </c>
    </row>
    <row r="45420" spans="9:9" x14ac:dyDescent="0.2">
      <c r="I45420" s="137" t="s">
        <v>74</v>
      </c>
    </row>
    <row r="45421" spans="9:9" x14ac:dyDescent="0.2">
      <c r="I45421" s="137" t="s">
        <v>74</v>
      </c>
    </row>
    <row r="45422" spans="9:9" x14ac:dyDescent="0.2">
      <c r="I45422" s="137" t="s">
        <v>74</v>
      </c>
    </row>
    <row r="45423" spans="9:9" x14ac:dyDescent="0.2">
      <c r="I45423" s="137" t="s">
        <v>74</v>
      </c>
    </row>
    <row r="45424" spans="9:9" x14ac:dyDescent="0.2">
      <c r="I45424" s="137" t="s">
        <v>74</v>
      </c>
    </row>
    <row r="45425" spans="9:9" x14ac:dyDescent="0.2">
      <c r="I45425" s="137" t="s">
        <v>74</v>
      </c>
    </row>
    <row r="45426" spans="9:9" x14ac:dyDescent="0.2">
      <c r="I45426" s="137" t="s">
        <v>74</v>
      </c>
    </row>
    <row r="45427" spans="9:9" x14ac:dyDescent="0.2">
      <c r="I45427" s="137" t="s">
        <v>74</v>
      </c>
    </row>
    <row r="45428" spans="9:9" x14ac:dyDescent="0.2">
      <c r="I45428" s="137" t="s">
        <v>74</v>
      </c>
    </row>
    <row r="45429" spans="9:9" x14ac:dyDescent="0.2">
      <c r="I45429" s="137" t="s">
        <v>74</v>
      </c>
    </row>
    <row r="45430" spans="9:9" x14ac:dyDescent="0.2">
      <c r="I45430" s="137" t="s">
        <v>74</v>
      </c>
    </row>
    <row r="45431" spans="9:9" x14ac:dyDescent="0.2">
      <c r="I45431" s="137" t="s">
        <v>74</v>
      </c>
    </row>
    <row r="45432" spans="9:9" x14ac:dyDescent="0.2">
      <c r="I45432" s="137" t="s">
        <v>74</v>
      </c>
    </row>
    <row r="45433" spans="9:9" x14ac:dyDescent="0.2">
      <c r="I45433" s="137" t="s">
        <v>74</v>
      </c>
    </row>
    <row r="45434" spans="9:9" x14ac:dyDescent="0.2">
      <c r="I45434" s="137" t="s">
        <v>74</v>
      </c>
    </row>
    <row r="45435" spans="9:9" x14ac:dyDescent="0.2">
      <c r="I45435" s="137" t="s">
        <v>74</v>
      </c>
    </row>
    <row r="45436" spans="9:9" x14ac:dyDescent="0.2">
      <c r="I45436" s="137" t="s">
        <v>74</v>
      </c>
    </row>
    <row r="45437" spans="9:9" x14ac:dyDescent="0.2">
      <c r="I45437" s="137" t="s">
        <v>74</v>
      </c>
    </row>
    <row r="45438" spans="9:9" x14ac:dyDescent="0.2">
      <c r="I45438" s="137" t="s">
        <v>74</v>
      </c>
    </row>
    <row r="45439" spans="9:9" x14ac:dyDescent="0.2">
      <c r="I45439" s="137" t="s">
        <v>74</v>
      </c>
    </row>
    <row r="45440" spans="9:9" x14ac:dyDescent="0.2">
      <c r="I45440" s="137" t="s">
        <v>74</v>
      </c>
    </row>
    <row r="45441" spans="9:9" x14ac:dyDescent="0.2">
      <c r="I45441" s="137" t="s">
        <v>74</v>
      </c>
    </row>
    <row r="45442" spans="9:9" x14ac:dyDescent="0.2">
      <c r="I45442" s="137" t="s">
        <v>74</v>
      </c>
    </row>
    <row r="45443" spans="9:9" x14ac:dyDescent="0.2">
      <c r="I45443" s="137" t="s">
        <v>74</v>
      </c>
    </row>
    <row r="45444" spans="9:9" x14ac:dyDescent="0.2">
      <c r="I45444" s="137" t="s">
        <v>74</v>
      </c>
    </row>
    <row r="45445" spans="9:9" x14ac:dyDescent="0.2">
      <c r="I45445" s="137" t="s">
        <v>74</v>
      </c>
    </row>
    <row r="45446" spans="9:9" x14ac:dyDescent="0.2">
      <c r="I45446" s="137" t="s">
        <v>74</v>
      </c>
    </row>
    <row r="45447" spans="9:9" x14ac:dyDescent="0.2">
      <c r="I45447" s="137" t="s">
        <v>74</v>
      </c>
    </row>
    <row r="45448" spans="9:9" x14ac:dyDescent="0.2">
      <c r="I45448" s="137" t="s">
        <v>74</v>
      </c>
    </row>
    <row r="45449" spans="9:9" x14ac:dyDescent="0.2">
      <c r="I45449" s="137" t="s">
        <v>74</v>
      </c>
    </row>
    <row r="45450" spans="9:9" x14ac:dyDescent="0.2">
      <c r="I45450" s="137" t="s">
        <v>74</v>
      </c>
    </row>
    <row r="45451" spans="9:9" x14ac:dyDescent="0.2">
      <c r="I45451" s="137" t="s">
        <v>74</v>
      </c>
    </row>
    <row r="45452" spans="9:9" x14ac:dyDescent="0.2">
      <c r="I45452" s="137" t="s">
        <v>74</v>
      </c>
    </row>
    <row r="45453" spans="9:9" x14ac:dyDescent="0.2">
      <c r="I45453" s="137" t="s">
        <v>74</v>
      </c>
    </row>
    <row r="45454" spans="9:9" x14ac:dyDescent="0.2">
      <c r="I45454" s="137" t="s">
        <v>74</v>
      </c>
    </row>
    <row r="45455" spans="9:9" x14ac:dyDescent="0.2">
      <c r="I45455" s="137" t="s">
        <v>74</v>
      </c>
    </row>
    <row r="45456" spans="9:9" x14ac:dyDescent="0.2">
      <c r="I45456" s="137" t="s">
        <v>74</v>
      </c>
    </row>
    <row r="45457" spans="9:9" x14ac:dyDescent="0.2">
      <c r="I45457" s="137" t="s">
        <v>74</v>
      </c>
    </row>
    <row r="45458" spans="9:9" x14ac:dyDescent="0.2">
      <c r="I45458" s="137" t="s">
        <v>74</v>
      </c>
    </row>
    <row r="45459" spans="9:9" x14ac:dyDescent="0.2">
      <c r="I45459" s="137" t="s">
        <v>74</v>
      </c>
    </row>
    <row r="45460" spans="9:9" x14ac:dyDescent="0.2">
      <c r="I45460" s="137" t="s">
        <v>74</v>
      </c>
    </row>
    <row r="45461" spans="9:9" x14ac:dyDescent="0.2">
      <c r="I45461" s="137" t="s">
        <v>74</v>
      </c>
    </row>
    <row r="45462" spans="9:9" x14ac:dyDescent="0.2">
      <c r="I45462" s="137" t="s">
        <v>74</v>
      </c>
    </row>
    <row r="45463" spans="9:9" x14ac:dyDescent="0.2">
      <c r="I45463" s="137" t="s">
        <v>74</v>
      </c>
    </row>
    <row r="45464" spans="9:9" x14ac:dyDescent="0.2">
      <c r="I45464" s="137" t="s">
        <v>74</v>
      </c>
    </row>
    <row r="45465" spans="9:9" x14ac:dyDescent="0.2">
      <c r="I45465" s="137" t="s">
        <v>74</v>
      </c>
    </row>
    <row r="45466" spans="9:9" x14ac:dyDescent="0.2">
      <c r="I45466" s="137" t="s">
        <v>74</v>
      </c>
    </row>
    <row r="45467" spans="9:9" x14ac:dyDescent="0.2">
      <c r="I45467" s="137" t="s">
        <v>74</v>
      </c>
    </row>
    <row r="45468" spans="9:9" x14ac:dyDescent="0.2">
      <c r="I45468" s="137" t="s">
        <v>74</v>
      </c>
    </row>
    <row r="45469" spans="9:9" x14ac:dyDescent="0.2">
      <c r="I45469" s="137" t="s">
        <v>74</v>
      </c>
    </row>
    <row r="45470" spans="9:9" x14ac:dyDescent="0.2">
      <c r="I45470" s="137" t="s">
        <v>74</v>
      </c>
    </row>
    <row r="45471" spans="9:9" x14ac:dyDescent="0.2">
      <c r="I45471" s="137" t="s">
        <v>74</v>
      </c>
    </row>
    <row r="45472" spans="9:9" x14ac:dyDescent="0.2">
      <c r="I45472" s="137" t="s">
        <v>74</v>
      </c>
    </row>
    <row r="45473" spans="9:9" x14ac:dyDescent="0.2">
      <c r="I45473" s="137" t="s">
        <v>74</v>
      </c>
    </row>
    <row r="45474" spans="9:9" x14ac:dyDescent="0.2">
      <c r="I45474" s="137" t="s">
        <v>74</v>
      </c>
    </row>
    <row r="45475" spans="9:9" x14ac:dyDescent="0.2">
      <c r="I45475" s="137" t="s">
        <v>74</v>
      </c>
    </row>
    <row r="45476" spans="9:9" x14ac:dyDescent="0.2">
      <c r="I45476" s="137" t="s">
        <v>74</v>
      </c>
    </row>
    <row r="45477" spans="9:9" x14ac:dyDescent="0.2">
      <c r="I45477" s="137" t="s">
        <v>74</v>
      </c>
    </row>
    <row r="45478" spans="9:9" x14ac:dyDescent="0.2">
      <c r="I45478" s="137" t="s">
        <v>74</v>
      </c>
    </row>
    <row r="45479" spans="9:9" x14ac:dyDescent="0.2">
      <c r="I45479" s="137" t="s">
        <v>74</v>
      </c>
    </row>
    <row r="45480" spans="9:9" x14ac:dyDescent="0.2">
      <c r="I45480" s="137" t="s">
        <v>74</v>
      </c>
    </row>
    <row r="45481" spans="9:9" x14ac:dyDescent="0.2">
      <c r="I45481" s="137" t="s">
        <v>74</v>
      </c>
    </row>
    <row r="45482" spans="9:9" x14ac:dyDescent="0.2">
      <c r="I45482" s="137" t="s">
        <v>74</v>
      </c>
    </row>
    <row r="45483" spans="9:9" x14ac:dyDescent="0.2">
      <c r="I45483" s="137" t="s">
        <v>74</v>
      </c>
    </row>
    <row r="45484" spans="9:9" x14ac:dyDescent="0.2">
      <c r="I45484" s="137" t="s">
        <v>74</v>
      </c>
    </row>
    <row r="45485" spans="9:9" x14ac:dyDescent="0.2">
      <c r="I45485" s="137" t="s">
        <v>74</v>
      </c>
    </row>
    <row r="45486" spans="9:9" x14ac:dyDescent="0.2">
      <c r="I45486" s="137" t="s">
        <v>74</v>
      </c>
    </row>
    <row r="45487" spans="9:9" x14ac:dyDescent="0.2">
      <c r="I45487" s="137" t="s">
        <v>74</v>
      </c>
    </row>
    <row r="45488" spans="9:9" x14ac:dyDescent="0.2">
      <c r="I45488" s="137" t="s">
        <v>74</v>
      </c>
    </row>
    <row r="45489" spans="9:9" x14ac:dyDescent="0.2">
      <c r="I45489" s="137" t="s">
        <v>74</v>
      </c>
    </row>
    <row r="45490" spans="9:9" x14ac:dyDescent="0.2">
      <c r="I45490" s="137" t="s">
        <v>74</v>
      </c>
    </row>
    <row r="45491" spans="9:9" x14ac:dyDescent="0.2">
      <c r="I45491" s="137" t="s">
        <v>74</v>
      </c>
    </row>
    <row r="45492" spans="9:9" x14ac:dyDescent="0.2">
      <c r="I45492" s="137" t="s">
        <v>74</v>
      </c>
    </row>
    <row r="45493" spans="9:9" x14ac:dyDescent="0.2">
      <c r="I45493" s="137" t="s">
        <v>74</v>
      </c>
    </row>
    <row r="45494" spans="9:9" x14ac:dyDescent="0.2">
      <c r="I45494" s="137" t="s">
        <v>74</v>
      </c>
    </row>
    <row r="45495" spans="9:9" x14ac:dyDescent="0.2">
      <c r="I45495" s="137" t="s">
        <v>74</v>
      </c>
    </row>
    <row r="45496" spans="9:9" x14ac:dyDescent="0.2">
      <c r="I45496" s="137" t="s">
        <v>74</v>
      </c>
    </row>
    <row r="45497" spans="9:9" x14ac:dyDescent="0.2">
      <c r="I45497" s="137" t="s">
        <v>74</v>
      </c>
    </row>
    <row r="45498" spans="9:9" x14ac:dyDescent="0.2">
      <c r="I45498" s="137" t="s">
        <v>74</v>
      </c>
    </row>
    <row r="45499" spans="9:9" x14ac:dyDescent="0.2">
      <c r="I45499" s="137" t="s">
        <v>74</v>
      </c>
    </row>
    <row r="45500" spans="9:9" x14ac:dyDescent="0.2">
      <c r="I45500" s="137" t="s">
        <v>74</v>
      </c>
    </row>
    <row r="45501" spans="9:9" x14ac:dyDescent="0.2">
      <c r="I45501" s="137" t="s">
        <v>74</v>
      </c>
    </row>
    <row r="45502" spans="9:9" x14ac:dyDescent="0.2">
      <c r="I45502" s="137" t="s">
        <v>74</v>
      </c>
    </row>
    <row r="45503" spans="9:9" x14ac:dyDescent="0.2">
      <c r="I45503" s="137" t="s">
        <v>74</v>
      </c>
    </row>
    <row r="45504" spans="9:9" x14ac:dyDescent="0.2">
      <c r="I45504" s="137" t="s">
        <v>74</v>
      </c>
    </row>
    <row r="45505" spans="9:9" x14ac:dyDescent="0.2">
      <c r="I45505" s="137" t="s">
        <v>74</v>
      </c>
    </row>
    <row r="45506" spans="9:9" x14ac:dyDescent="0.2">
      <c r="I45506" s="137" t="s">
        <v>74</v>
      </c>
    </row>
    <row r="45507" spans="9:9" x14ac:dyDescent="0.2">
      <c r="I45507" s="137" t="s">
        <v>74</v>
      </c>
    </row>
    <row r="45508" spans="9:9" x14ac:dyDescent="0.2">
      <c r="I45508" s="137" t="s">
        <v>74</v>
      </c>
    </row>
    <row r="45509" spans="9:9" x14ac:dyDescent="0.2">
      <c r="I45509" s="137" t="s">
        <v>74</v>
      </c>
    </row>
    <row r="45510" spans="9:9" x14ac:dyDescent="0.2">
      <c r="I45510" s="137" t="s">
        <v>74</v>
      </c>
    </row>
    <row r="45511" spans="9:9" x14ac:dyDescent="0.2">
      <c r="I45511" s="137" t="s">
        <v>74</v>
      </c>
    </row>
    <row r="45512" spans="9:9" x14ac:dyDescent="0.2">
      <c r="I45512" s="137" t="s">
        <v>74</v>
      </c>
    </row>
    <row r="45513" spans="9:9" x14ac:dyDescent="0.2">
      <c r="I45513" s="137" t="s">
        <v>74</v>
      </c>
    </row>
    <row r="45514" spans="9:9" x14ac:dyDescent="0.2">
      <c r="I45514" s="137" t="s">
        <v>74</v>
      </c>
    </row>
    <row r="45515" spans="9:9" x14ac:dyDescent="0.2">
      <c r="I45515" s="137" t="s">
        <v>74</v>
      </c>
    </row>
    <row r="45516" spans="9:9" x14ac:dyDescent="0.2">
      <c r="I45516" s="137" t="s">
        <v>74</v>
      </c>
    </row>
    <row r="45517" spans="9:9" x14ac:dyDescent="0.2">
      <c r="I45517" s="137" t="s">
        <v>74</v>
      </c>
    </row>
    <row r="45518" spans="9:9" x14ac:dyDescent="0.2">
      <c r="I45518" s="137" t="s">
        <v>74</v>
      </c>
    </row>
    <row r="45519" spans="9:9" x14ac:dyDescent="0.2">
      <c r="I45519" s="137" t="s">
        <v>74</v>
      </c>
    </row>
    <row r="45520" spans="9:9" x14ac:dyDescent="0.2">
      <c r="I45520" s="137" t="s">
        <v>74</v>
      </c>
    </row>
    <row r="45521" spans="9:9" x14ac:dyDescent="0.2">
      <c r="I45521" s="137" t="s">
        <v>74</v>
      </c>
    </row>
    <row r="45522" spans="9:9" x14ac:dyDescent="0.2">
      <c r="I45522" s="137" t="s">
        <v>74</v>
      </c>
    </row>
    <row r="45523" spans="9:9" x14ac:dyDescent="0.2">
      <c r="I45523" s="137" t="s">
        <v>74</v>
      </c>
    </row>
    <row r="45524" spans="9:9" x14ac:dyDescent="0.2">
      <c r="I45524" s="137" t="s">
        <v>74</v>
      </c>
    </row>
    <row r="45525" spans="9:9" x14ac:dyDescent="0.2">
      <c r="I45525" s="137" t="s">
        <v>74</v>
      </c>
    </row>
    <row r="45526" spans="9:9" x14ac:dyDescent="0.2">
      <c r="I45526" s="137" t="s">
        <v>74</v>
      </c>
    </row>
    <row r="45527" spans="9:9" x14ac:dyDescent="0.2">
      <c r="I45527" s="137" t="s">
        <v>74</v>
      </c>
    </row>
    <row r="45528" spans="9:9" x14ac:dyDescent="0.2">
      <c r="I45528" s="137" t="s">
        <v>74</v>
      </c>
    </row>
    <row r="45529" spans="9:9" x14ac:dyDescent="0.2">
      <c r="I45529" s="137" t="s">
        <v>74</v>
      </c>
    </row>
    <row r="45530" spans="9:9" x14ac:dyDescent="0.2">
      <c r="I45530" s="137" t="s">
        <v>74</v>
      </c>
    </row>
    <row r="45531" spans="9:9" x14ac:dyDescent="0.2">
      <c r="I45531" s="137" t="s">
        <v>74</v>
      </c>
    </row>
    <row r="45532" spans="9:9" x14ac:dyDescent="0.2">
      <c r="I45532" s="137" t="s">
        <v>74</v>
      </c>
    </row>
    <row r="45533" spans="9:9" x14ac:dyDescent="0.2">
      <c r="I45533" s="137" t="s">
        <v>74</v>
      </c>
    </row>
    <row r="45534" spans="9:9" x14ac:dyDescent="0.2">
      <c r="I45534" s="137" t="s">
        <v>74</v>
      </c>
    </row>
    <row r="45535" spans="9:9" x14ac:dyDescent="0.2">
      <c r="I45535" s="137" t="s">
        <v>74</v>
      </c>
    </row>
    <row r="45536" spans="9:9" x14ac:dyDescent="0.2">
      <c r="I45536" s="137" t="s">
        <v>74</v>
      </c>
    </row>
    <row r="45537" spans="9:9" x14ac:dyDescent="0.2">
      <c r="I45537" s="137" t="s">
        <v>74</v>
      </c>
    </row>
    <row r="45538" spans="9:9" x14ac:dyDescent="0.2">
      <c r="I45538" s="137" t="s">
        <v>74</v>
      </c>
    </row>
    <row r="45539" spans="9:9" x14ac:dyDescent="0.2">
      <c r="I45539" s="137" t="s">
        <v>74</v>
      </c>
    </row>
    <row r="45540" spans="9:9" x14ac:dyDescent="0.2">
      <c r="I45540" s="137" t="s">
        <v>74</v>
      </c>
    </row>
    <row r="45541" spans="9:9" x14ac:dyDescent="0.2">
      <c r="I45541" s="137" t="s">
        <v>74</v>
      </c>
    </row>
    <row r="45542" spans="9:9" x14ac:dyDescent="0.2">
      <c r="I45542" s="137" t="s">
        <v>74</v>
      </c>
    </row>
    <row r="45543" spans="9:9" x14ac:dyDescent="0.2">
      <c r="I45543" s="137" t="s">
        <v>74</v>
      </c>
    </row>
    <row r="45544" spans="9:9" x14ac:dyDescent="0.2">
      <c r="I45544" s="137" t="s">
        <v>74</v>
      </c>
    </row>
    <row r="45545" spans="9:9" x14ac:dyDescent="0.2">
      <c r="I45545" s="137" t="s">
        <v>74</v>
      </c>
    </row>
    <row r="45546" spans="9:9" x14ac:dyDescent="0.2">
      <c r="I45546" s="137" t="s">
        <v>74</v>
      </c>
    </row>
    <row r="45547" spans="9:9" x14ac:dyDescent="0.2">
      <c r="I45547" s="137" t="s">
        <v>74</v>
      </c>
    </row>
    <row r="45548" spans="9:9" x14ac:dyDescent="0.2">
      <c r="I45548" s="137" t="s">
        <v>74</v>
      </c>
    </row>
    <row r="45549" spans="9:9" x14ac:dyDescent="0.2">
      <c r="I45549" s="137" t="s">
        <v>74</v>
      </c>
    </row>
    <row r="45550" spans="9:9" x14ac:dyDescent="0.2">
      <c r="I45550" s="137" t="s">
        <v>74</v>
      </c>
    </row>
    <row r="45551" spans="9:9" x14ac:dyDescent="0.2">
      <c r="I45551" s="137" t="s">
        <v>74</v>
      </c>
    </row>
    <row r="45552" spans="9:9" x14ac:dyDescent="0.2">
      <c r="I45552" s="137" t="s">
        <v>74</v>
      </c>
    </row>
    <row r="45553" spans="9:9" x14ac:dyDescent="0.2">
      <c r="I45553" s="137" t="s">
        <v>74</v>
      </c>
    </row>
    <row r="45554" spans="9:9" x14ac:dyDescent="0.2">
      <c r="I45554" s="137" t="s">
        <v>74</v>
      </c>
    </row>
    <row r="45555" spans="9:9" x14ac:dyDescent="0.2">
      <c r="I45555" s="137" t="s">
        <v>74</v>
      </c>
    </row>
    <row r="45556" spans="9:9" x14ac:dyDescent="0.2">
      <c r="I45556" s="137" t="s">
        <v>74</v>
      </c>
    </row>
    <row r="45557" spans="9:9" x14ac:dyDescent="0.2">
      <c r="I45557" s="137" t="s">
        <v>74</v>
      </c>
    </row>
    <row r="45558" spans="9:9" x14ac:dyDescent="0.2">
      <c r="I45558" s="137" t="s">
        <v>74</v>
      </c>
    </row>
    <row r="45559" spans="9:9" x14ac:dyDescent="0.2">
      <c r="I45559" s="137" t="s">
        <v>74</v>
      </c>
    </row>
    <row r="45560" spans="9:9" x14ac:dyDescent="0.2">
      <c r="I45560" s="137" t="s">
        <v>74</v>
      </c>
    </row>
    <row r="45561" spans="9:9" x14ac:dyDescent="0.2">
      <c r="I45561" s="137" t="s">
        <v>74</v>
      </c>
    </row>
    <row r="45562" spans="9:9" x14ac:dyDescent="0.2">
      <c r="I45562" s="137" t="s">
        <v>74</v>
      </c>
    </row>
    <row r="45563" spans="9:9" x14ac:dyDescent="0.2">
      <c r="I45563" s="137" t="s">
        <v>74</v>
      </c>
    </row>
    <row r="45564" spans="9:9" x14ac:dyDescent="0.2">
      <c r="I45564" s="137" t="s">
        <v>74</v>
      </c>
    </row>
    <row r="45565" spans="9:9" x14ac:dyDescent="0.2">
      <c r="I45565" s="137" t="s">
        <v>74</v>
      </c>
    </row>
    <row r="45566" spans="9:9" x14ac:dyDescent="0.2">
      <c r="I45566" s="137" t="s">
        <v>74</v>
      </c>
    </row>
    <row r="45567" spans="9:9" x14ac:dyDescent="0.2">
      <c r="I45567" s="137" t="s">
        <v>74</v>
      </c>
    </row>
    <row r="45568" spans="9:9" x14ac:dyDescent="0.2">
      <c r="I45568" s="137" t="s">
        <v>74</v>
      </c>
    </row>
    <row r="45569" spans="9:9" x14ac:dyDescent="0.2">
      <c r="I45569" s="137" t="s">
        <v>74</v>
      </c>
    </row>
    <row r="45570" spans="9:9" x14ac:dyDescent="0.2">
      <c r="I45570" s="137" t="s">
        <v>74</v>
      </c>
    </row>
    <row r="45571" spans="9:9" x14ac:dyDescent="0.2">
      <c r="I45571" s="137" t="s">
        <v>74</v>
      </c>
    </row>
    <row r="45572" spans="9:9" x14ac:dyDescent="0.2">
      <c r="I45572" s="137" t="s">
        <v>74</v>
      </c>
    </row>
    <row r="45573" spans="9:9" x14ac:dyDescent="0.2">
      <c r="I45573" s="137" t="s">
        <v>74</v>
      </c>
    </row>
    <row r="45574" spans="9:9" x14ac:dyDescent="0.2">
      <c r="I45574" s="137" t="s">
        <v>74</v>
      </c>
    </row>
    <row r="45575" spans="9:9" x14ac:dyDescent="0.2">
      <c r="I45575" s="137" t="s">
        <v>74</v>
      </c>
    </row>
    <row r="45576" spans="9:9" x14ac:dyDescent="0.2">
      <c r="I45576" s="137" t="s">
        <v>74</v>
      </c>
    </row>
    <row r="45577" spans="9:9" x14ac:dyDescent="0.2">
      <c r="I45577" s="137" t="s">
        <v>74</v>
      </c>
    </row>
    <row r="45578" spans="9:9" x14ac:dyDescent="0.2">
      <c r="I45578" s="137" t="s">
        <v>74</v>
      </c>
    </row>
    <row r="45579" spans="9:9" x14ac:dyDescent="0.2">
      <c r="I45579" s="137" t="s">
        <v>74</v>
      </c>
    </row>
    <row r="45580" spans="9:9" x14ac:dyDescent="0.2">
      <c r="I45580" s="137" t="s">
        <v>74</v>
      </c>
    </row>
    <row r="45581" spans="9:9" x14ac:dyDescent="0.2">
      <c r="I45581" s="137" t="s">
        <v>74</v>
      </c>
    </row>
    <row r="45582" spans="9:9" x14ac:dyDescent="0.2">
      <c r="I45582" s="137" t="s">
        <v>74</v>
      </c>
    </row>
    <row r="45583" spans="9:9" x14ac:dyDescent="0.2">
      <c r="I45583" s="137" t="s">
        <v>74</v>
      </c>
    </row>
    <row r="45584" spans="9:9" x14ac:dyDescent="0.2">
      <c r="I45584" s="137" t="s">
        <v>74</v>
      </c>
    </row>
    <row r="45585" spans="9:9" x14ac:dyDescent="0.2">
      <c r="I45585" s="137" t="s">
        <v>74</v>
      </c>
    </row>
    <row r="45586" spans="9:9" x14ac:dyDescent="0.2">
      <c r="I45586" s="137" t="s">
        <v>74</v>
      </c>
    </row>
    <row r="45587" spans="9:9" x14ac:dyDescent="0.2">
      <c r="I45587" s="137" t="s">
        <v>74</v>
      </c>
    </row>
    <row r="45588" spans="9:9" x14ac:dyDescent="0.2">
      <c r="I45588" s="137" t="s">
        <v>74</v>
      </c>
    </row>
    <row r="45589" spans="9:9" x14ac:dyDescent="0.2">
      <c r="I45589" s="137" t="s">
        <v>74</v>
      </c>
    </row>
    <row r="45590" spans="9:9" x14ac:dyDescent="0.2">
      <c r="I45590" s="137" t="s">
        <v>74</v>
      </c>
    </row>
    <row r="45591" spans="9:9" x14ac:dyDescent="0.2">
      <c r="I45591" s="137" t="s">
        <v>74</v>
      </c>
    </row>
    <row r="45592" spans="9:9" x14ac:dyDescent="0.2">
      <c r="I45592" s="137" t="s">
        <v>74</v>
      </c>
    </row>
    <row r="45593" spans="9:9" x14ac:dyDescent="0.2">
      <c r="I45593" s="137" t="s">
        <v>74</v>
      </c>
    </row>
    <row r="45594" spans="9:9" x14ac:dyDescent="0.2">
      <c r="I45594" s="137" t="s">
        <v>74</v>
      </c>
    </row>
    <row r="45595" spans="9:9" x14ac:dyDescent="0.2">
      <c r="I45595" s="137" t="s">
        <v>74</v>
      </c>
    </row>
    <row r="45596" spans="9:9" x14ac:dyDescent="0.2">
      <c r="I45596" s="137" t="s">
        <v>74</v>
      </c>
    </row>
    <row r="45597" spans="9:9" x14ac:dyDescent="0.2">
      <c r="I45597" s="137" t="s">
        <v>74</v>
      </c>
    </row>
    <row r="45598" spans="9:9" x14ac:dyDescent="0.2">
      <c r="I45598" s="137" t="s">
        <v>74</v>
      </c>
    </row>
    <row r="45599" spans="9:9" x14ac:dyDescent="0.2">
      <c r="I45599" s="137" t="s">
        <v>74</v>
      </c>
    </row>
    <row r="45600" spans="9:9" x14ac:dyDescent="0.2">
      <c r="I45600" s="137" t="s">
        <v>74</v>
      </c>
    </row>
    <row r="45601" spans="9:9" x14ac:dyDescent="0.2">
      <c r="I45601" s="137" t="s">
        <v>74</v>
      </c>
    </row>
    <row r="45602" spans="9:9" x14ac:dyDescent="0.2">
      <c r="I45602" s="137" t="s">
        <v>74</v>
      </c>
    </row>
    <row r="45603" spans="9:9" x14ac:dyDescent="0.2">
      <c r="I45603" s="137" t="s">
        <v>74</v>
      </c>
    </row>
    <row r="45604" spans="9:9" x14ac:dyDescent="0.2">
      <c r="I45604" s="137" t="s">
        <v>74</v>
      </c>
    </row>
    <row r="45605" spans="9:9" x14ac:dyDescent="0.2">
      <c r="I45605" s="137" t="s">
        <v>74</v>
      </c>
    </row>
    <row r="45606" spans="9:9" x14ac:dyDescent="0.2">
      <c r="I45606" s="137" t="s">
        <v>74</v>
      </c>
    </row>
    <row r="45607" spans="9:9" x14ac:dyDescent="0.2">
      <c r="I45607" s="137" t="s">
        <v>74</v>
      </c>
    </row>
    <row r="45608" spans="9:9" x14ac:dyDescent="0.2">
      <c r="I45608" s="137" t="s">
        <v>74</v>
      </c>
    </row>
    <row r="45609" spans="9:9" x14ac:dyDescent="0.2">
      <c r="I45609" s="137" t="s">
        <v>74</v>
      </c>
    </row>
    <row r="45610" spans="9:9" x14ac:dyDescent="0.2">
      <c r="I45610" s="137" t="s">
        <v>74</v>
      </c>
    </row>
    <row r="45611" spans="9:9" x14ac:dyDescent="0.2">
      <c r="I45611" s="137" t="s">
        <v>74</v>
      </c>
    </row>
    <row r="45612" spans="9:9" x14ac:dyDescent="0.2">
      <c r="I45612" s="137" t="s">
        <v>74</v>
      </c>
    </row>
    <row r="45613" spans="9:9" x14ac:dyDescent="0.2">
      <c r="I45613" s="137" t="s">
        <v>74</v>
      </c>
    </row>
    <row r="45614" spans="9:9" x14ac:dyDescent="0.2">
      <c r="I45614" s="137" t="s">
        <v>74</v>
      </c>
    </row>
    <row r="45615" spans="9:9" x14ac:dyDescent="0.2">
      <c r="I45615" s="137" t="s">
        <v>74</v>
      </c>
    </row>
    <row r="45616" spans="9:9" x14ac:dyDescent="0.2">
      <c r="I45616" s="137" t="s">
        <v>74</v>
      </c>
    </row>
    <row r="45617" spans="9:9" x14ac:dyDescent="0.2">
      <c r="I45617" s="137" t="s">
        <v>74</v>
      </c>
    </row>
    <row r="45618" spans="9:9" x14ac:dyDescent="0.2">
      <c r="I45618" s="137" t="s">
        <v>74</v>
      </c>
    </row>
    <row r="45619" spans="9:9" x14ac:dyDescent="0.2">
      <c r="I45619" s="137" t="s">
        <v>74</v>
      </c>
    </row>
    <row r="45620" spans="9:9" x14ac:dyDescent="0.2">
      <c r="I45620" s="137" t="s">
        <v>74</v>
      </c>
    </row>
    <row r="45621" spans="9:9" x14ac:dyDescent="0.2">
      <c r="I45621" s="137" t="s">
        <v>74</v>
      </c>
    </row>
    <row r="45622" spans="9:9" x14ac:dyDescent="0.2">
      <c r="I45622" s="137" t="s">
        <v>74</v>
      </c>
    </row>
    <row r="45623" spans="9:9" x14ac:dyDescent="0.2">
      <c r="I45623" s="137" t="s">
        <v>74</v>
      </c>
    </row>
    <row r="45624" spans="9:9" x14ac:dyDescent="0.2">
      <c r="I45624" s="137" t="s">
        <v>74</v>
      </c>
    </row>
    <row r="45625" spans="9:9" x14ac:dyDescent="0.2">
      <c r="I45625" s="137" t="s">
        <v>74</v>
      </c>
    </row>
    <row r="45626" spans="9:9" x14ac:dyDescent="0.2">
      <c r="I45626" s="137" t="s">
        <v>74</v>
      </c>
    </row>
    <row r="45627" spans="9:9" x14ac:dyDescent="0.2">
      <c r="I45627" s="137" t="s">
        <v>74</v>
      </c>
    </row>
    <row r="45628" spans="9:9" x14ac:dyDescent="0.2">
      <c r="I45628" s="137" t="s">
        <v>74</v>
      </c>
    </row>
    <row r="45629" spans="9:9" x14ac:dyDescent="0.2">
      <c r="I45629" s="137" t="s">
        <v>74</v>
      </c>
    </row>
    <row r="45630" spans="9:9" x14ac:dyDescent="0.2">
      <c r="I45630" s="137" t="s">
        <v>74</v>
      </c>
    </row>
    <row r="45631" spans="9:9" x14ac:dyDescent="0.2">
      <c r="I45631" s="137" t="s">
        <v>74</v>
      </c>
    </row>
    <row r="45632" spans="9:9" x14ac:dyDescent="0.2">
      <c r="I45632" s="137" t="s">
        <v>74</v>
      </c>
    </row>
    <row r="45633" spans="9:9" x14ac:dyDescent="0.2">
      <c r="I45633" s="137" t="s">
        <v>74</v>
      </c>
    </row>
    <row r="45634" spans="9:9" x14ac:dyDescent="0.2">
      <c r="I45634" s="137" t="s">
        <v>74</v>
      </c>
    </row>
    <row r="45635" spans="9:9" x14ac:dyDescent="0.2">
      <c r="I45635" s="137" t="s">
        <v>74</v>
      </c>
    </row>
    <row r="45636" spans="9:9" x14ac:dyDescent="0.2">
      <c r="I45636" s="137" t="s">
        <v>74</v>
      </c>
    </row>
    <row r="45637" spans="9:9" x14ac:dyDescent="0.2">
      <c r="I45637" s="137" t="s">
        <v>74</v>
      </c>
    </row>
    <row r="45638" spans="9:9" x14ac:dyDescent="0.2">
      <c r="I45638" s="137" t="s">
        <v>74</v>
      </c>
    </row>
    <row r="45639" spans="9:9" x14ac:dyDescent="0.2">
      <c r="I45639" s="137" t="s">
        <v>74</v>
      </c>
    </row>
    <row r="45640" spans="9:9" x14ac:dyDescent="0.2">
      <c r="I45640" s="137" t="s">
        <v>74</v>
      </c>
    </row>
    <row r="45641" spans="9:9" x14ac:dyDescent="0.2">
      <c r="I45641" s="137" t="s">
        <v>74</v>
      </c>
    </row>
    <row r="45642" spans="9:9" x14ac:dyDescent="0.2">
      <c r="I45642" s="137" t="s">
        <v>74</v>
      </c>
    </row>
    <row r="45643" spans="9:9" x14ac:dyDescent="0.2">
      <c r="I45643" s="137" t="s">
        <v>74</v>
      </c>
    </row>
    <row r="45644" spans="9:9" x14ac:dyDescent="0.2">
      <c r="I45644" s="137" t="s">
        <v>74</v>
      </c>
    </row>
    <row r="45645" spans="9:9" x14ac:dyDescent="0.2">
      <c r="I45645" s="137" t="s">
        <v>74</v>
      </c>
    </row>
    <row r="45646" spans="9:9" x14ac:dyDescent="0.2">
      <c r="I45646" s="137" t="s">
        <v>74</v>
      </c>
    </row>
    <row r="45647" spans="9:9" x14ac:dyDescent="0.2">
      <c r="I45647" s="137" t="s">
        <v>74</v>
      </c>
    </row>
    <row r="45648" spans="9:9" x14ac:dyDescent="0.2">
      <c r="I45648" s="137" t="s">
        <v>74</v>
      </c>
    </row>
    <row r="45649" spans="9:9" x14ac:dyDescent="0.2">
      <c r="I45649" s="137" t="s">
        <v>74</v>
      </c>
    </row>
    <row r="45650" spans="9:9" x14ac:dyDescent="0.2">
      <c r="I45650" s="137" t="s">
        <v>74</v>
      </c>
    </row>
    <row r="45651" spans="9:9" x14ac:dyDescent="0.2">
      <c r="I45651" s="137" t="s">
        <v>74</v>
      </c>
    </row>
    <row r="45652" spans="9:9" x14ac:dyDescent="0.2">
      <c r="I45652" s="137" t="s">
        <v>74</v>
      </c>
    </row>
    <row r="45653" spans="9:9" x14ac:dyDescent="0.2">
      <c r="I45653" s="137" t="s">
        <v>74</v>
      </c>
    </row>
    <row r="45654" spans="9:9" x14ac:dyDescent="0.2">
      <c r="I45654" s="137" t="s">
        <v>74</v>
      </c>
    </row>
    <row r="45655" spans="9:9" x14ac:dyDescent="0.2">
      <c r="I45655" s="137" t="s">
        <v>74</v>
      </c>
    </row>
    <row r="45656" spans="9:9" x14ac:dyDescent="0.2">
      <c r="I45656" s="137" t="s">
        <v>74</v>
      </c>
    </row>
    <row r="45657" spans="9:9" x14ac:dyDescent="0.2">
      <c r="I45657" s="137" t="s">
        <v>74</v>
      </c>
    </row>
    <row r="45658" spans="9:9" x14ac:dyDescent="0.2">
      <c r="I45658" s="137" t="s">
        <v>74</v>
      </c>
    </row>
    <row r="45659" spans="9:9" x14ac:dyDescent="0.2">
      <c r="I45659" s="137" t="s">
        <v>74</v>
      </c>
    </row>
    <row r="45660" spans="9:9" x14ac:dyDescent="0.2">
      <c r="I45660" s="137" t="s">
        <v>74</v>
      </c>
    </row>
    <row r="45661" spans="9:9" x14ac:dyDescent="0.2">
      <c r="I45661" s="137" t="s">
        <v>74</v>
      </c>
    </row>
    <row r="45662" spans="9:9" x14ac:dyDescent="0.2">
      <c r="I45662" s="137" t="s">
        <v>74</v>
      </c>
    </row>
    <row r="45663" spans="9:9" x14ac:dyDescent="0.2">
      <c r="I45663" s="137" t="s">
        <v>74</v>
      </c>
    </row>
    <row r="45664" spans="9:9" x14ac:dyDescent="0.2">
      <c r="I45664" s="137" t="s">
        <v>74</v>
      </c>
    </row>
    <row r="45665" spans="9:9" x14ac:dyDescent="0.2">
      <c r="I45665" s="137" t="s">
        <v>74</v>
      </c>
    </row>
    <row r="45666" spans="9:9" x14ac:dyDescent="0.2">
      <c r="I45666" s="137" t="s">
        <v>74</v>
      </c>
    </row>
    <row r="45667" spans="9:9" x14ac:dyDescent="0.2">
      <c r="I45667" s="137" t="s">
        <v>74</v>
      </c>
    </row>
    <row r="45668" spans="9:9" x14ac:dyDescent="0.2">
      <c r="I45668" s="137" t="s">
        <v>74</v>
      </c>
    </row>
    <row r="45669" spans="9:9" x14ac:dyDescent="0.2">
      <c r="I45669" s="137" t="s">
        <v>74</v>
      </c>
    </row>
    <row r="45670" spans="9:9" x14ac:dyDescent="0.2">
      <c r="I45670" s="137" t="s">
        <v>74</v>
      </c>
    </row>
    <row r="45671" spans="9:9" x14ac:dyDescent="0.2">
      <c r="I45671" s="137" t="s">
        <v>74</v>
      </c>
    </row>
    <row r="45672" spans="9:9" x14ac:dyDescent="0.2">
      <c r="I45672" s="137" t="s">
        <v>74</v>
      </c>
    </row>
    <row r="45673" spans="9:9" x14ac:dyDescent="0.2">
      <c r="I45673" s="137" t="s">
        <v>74</v>
      </c>
    </row>
    <row r="45674" spans="9:9" x14ac:dyDescent="0.2">
      <c r="I45674" s="137" t="s">
        <v>74</v>
      </c>
    </row>
    <row r="45675" spans="9:9" x14ac:dyDescent="0.2">
      <c r="I45675" s="137" t="s">
        <v>74</v>
      </c>
    </row>
    <row r="45676" spans="9:9" x14ac:dyDescent="0.2">
      <c r="I45676" s="137" t="s">
        <v>74</v>
      </c>
    </row>
    <row r="45677" spans="9:9" x14ac:dyDescent="0.2">
      <c r="I45677" s="137" t="s">
        <v>74</v>
      </c>
    </row>
    <row r="45678" spans="9:9" x14ac:dyDescent="0.2">
      <c r="I45678" s="137" t="s">
        <v>74</v>
      </c>
    </row>
    <row r="45679" spans="9:9" x14ac:dyDescent="0.2">
      <c r="I45679" s="137" t="s">
        <v>74</v>
      </c>
    </row>
    <row r="45680" spans="9:9" x14ac:dyDescent="0.2">
      <c r="I45680" s="137" t="s">
        <v>74</v>
      </c>
    </row>
    <row r="45681" spans="9:9" x14ac:dyDescent="0.2">
      <c r="I45681" s="137" t="s">
        <v>74</v>
      </c>
    </row>
    <row r="45682" spans="9:9" x14ac:dyDescent="0.2">
      <c r="I45682" s="137" t="s">
        <v>74</v>
      </c>
    </row>
    <row r="45683" spans="9:9" x14ac:dyDescent="0.2">
      <c r="I45683" s="137" t="s">
        <v>74</v>
      </c>
    </row>
    <row r="45684" spans="9:9" x14ac:dyDescent="0.2">
      <c r="I45684" s="137" t="s">
        <v>74</v>
      </c>
    </row>
    <row r="45685" spans="9:9" x14ac:dyDescent="0.2">
      <c r="I45685" s="137" t="s">
        <v>74</v>
      </c>
    </row>
    <row r="45686" spans="9:9" x14ac:dyDescent="0.2">
      <c r="I45686" s="137" t="s">
        <v>74</v>
      </c>
    </row>
    <row r="45687" spans="9:9" x14ac:dyDescent="0.2">
      <c r="I45687" s="137" t="s">
        <v>74</v>
      </c>
    </row>
    <row r="45688" spans="9:9" x14ac:dyDescent="0.2">
      <c r="I45688" s="137" t="s">
        <v>74</v>
      </c>
    </row>
    <row r="45689" spans="9:9" x14ac:dyDescent="0.2">
      <c r="I45689" s="137" t="s">
        <v>74</v>
      </c>
    </row>
    <row r="45690" spans="9:9" x14ac:dyDescent="0.2">
      <c r="I45690" s="137" t="s">
        <v>74</v>
      </c>
    </row>
    <row r="45691" spans="9:9" x14ac:dyDescent="0.2">
      <c r="I45691" s="137" t="s">
        <v>74</v>
      </c>
    </row>
    <row r="45692" spans="9:9" x14ac:dyDescent="0.2">
      <c r="I45692" s="137" t="s">
        <v>74</v>
      </c>
    </row>
    <row r="45693" spans="9:9" x14ac:dyDescent="0.2">
      <c r="I45693" s="137" t="s">
        <v>74</v>
      </c>
    </row>
    <row r="45694" spans="9:9" x14ac:dyDescent="0.2">
      <c r="I45694" s="137" t="s">
        <v>74</v>
      </c>
    </row>
    <row r="45695" spans="9:9" x14ac:dyDescent="0.2">
      <c r="I45695" s="137" t="s">
        <v>74</v>
      </c>
    </row>
    <row r="45696" spans="9:9" x14ac:dyDescent="0.2">
      <c r="I45696" s="137" t="s">
        <v>74</v>
      </c>
    </row>
    <row r="45697" spans="9:9" x14ac:dyDescent="0.2">
      <c r="I45697" s="137" t="s">
        <v>74</v>
      </c>
    </row>
    <row r="45698" spans="9:9" x14ac:dyDescent="0.2">
      <c r="I45698" s="137" t="s">
        <v>74</v>
      </c>
    </row>
    <row r="45699" spans="9:9" x14ac:dyDescent="0.2">
      <c r="I45699" s="137" t="s">
        <v>74</v>
      </c>
    </row>
    <row r="45700" spans="9:9" x14ac:dyDescent="0.2">
      <c r="I45700" s="137" t="s">
        <v>74</v>
      </c>
    </row>
    <row r="45701" spans="9:9" x14ac:dyDescent="0.2">
      <c r="I45701" s="137" t="s">
        <v>74</v>
      </c>
    </row>
    <row r="45702" spans="9:9" x14ac:dyDescent="0.2">
      <c r="I45702" s="137" t="s">
        <v>74</v>
      </c>
    </row>
    <row r="45703" spans="9:9" x14ac:dyDescent="0.2">
      <c r="I45703" s="137" t="s">
        <v>74</v>
      </c>
    </row>
    <row r="45704" spans="9:9" x14ac:dyDescent="0.2">
      <c r="I45704" s="137" t="s">
        <v>74</v>
      </c>
    </row>
    <row r="45705" spans="9:9" x14ac:dyDescent="0.2">
      <c r="I45705" s="137" t="s">
        <v>74</v>
      </c>
    </row>
    <row r="45706" spans="9:9" x14ac:dyDescent="0.2">
      <c r="I45706" s="137" t="s">
        <v>74</v>
      </c>
    </row>
    <row r="45707" spans="9:9" x14ac:dyDescent="0.2">
      <c r="I45707" s="137" t="s">
        <v>74</v>
      </c>
    </row>
    <row r="45708" spans="9:9" x14ac:dyDescent="0.2">
      <c r="I45708" s="137" t="s">
        <v>74</v>
      </c>
    </row>
    <row r="45709" spans="9:9" x14ac:dyDescent="0.2">
      <c r="I45709" s="137" t="s">
        <v>74</v>
      </c>
    </row>
    <row r="45710" spans="9:9" x14ac:dyDescent="0.2">
      <c r="I45710" s="137" t="s">
        <v>74</v>
      </c>
    </row>
    <row r="45711" spans="9:9" x14ac:dyDescent="0.2">
      <c r="I45711" s="137" t="s">
        <v>74</v>
      </c>
    </row>
    <row r="45712" spans="9:9" x14ac:dyDescent="0.2">
      <c r="I45712" s="137" t="s">
        <v>74</v>
      </c>
    </row>
    <row r="45713" spans="9:9" x14ac:dyDescent="0.2">
      <c r="I45713" s="137" t="s">
        <v>74</v>
      </c>
    </row>
    <row r="45714" spans="9:9" x14ac:dyDescent="0.2">
      <c r="I45714" s="137" t="s">
        <v>74</v>
      </c>
    </row>
    <row r="45715" spans="9:9" x14ac:dyDescent="0.2">
      <c r="I45715" s="137" t="s">
        <v>74</v>
      </c>
    </row>
    <row r="45716" spans="9:9" x14ac:dyDescent="0.2">
      <c r="I45716" s="137" t="s">
        <v>74</v>
      </c>
    </row>
    <row r="45717" spans="9:9" x14ac:dyDescent="0.2">
      <c r="I45717" s="137" t="s">
        <v>74</v>
      </c>
    </row>
    <row r="45718" spans="9:9" x14ac:dyDescent="0.2">
      <c r="I45718" s="137" t="s">
        <v>74</v>
      </c>
    </row>
    <row r="45719" spans="9:9" x14ac:dyDescent="0.2">
      <c r="I45719" s="137" t="s">
        <v>74</v>
      </c>
    </row>
    <row r="45720" spans="9:9" x14ac:dyDescent="0.2">
      <c r="I45720" s="137" t="s">
        <v>74</v>
      </c>
    </row>
    <row r="45721" spans="9:9" x14ac:dyDescent="0.2">
      <c r="I45721" s="137" t="s">
        <v>74</v>
      </c>
    </row>
    <row r="45722" spans="9:9" x14ac:dyDescent="0.2">
      <c r="I45722" s="137" t="s">
        <v>74</v>
      </c>
    </row>
    <row r="45723" spans="9:9" x14ac:dyDescent="0.2">
      <c r="I45723" s="137" t="s">
        <v>74</v>
      </c>
    </row>
    <row r="45724" spans="9:9" x14ac:dyDescent="0.2">
      <c r="I45724" s="137" t="s">
        <v>74</v>
      </c>
    </row>
    <row r="45725" spans="9:9" x14ac:dyDescent="0.2">
      <c r="I45725" s="137" t="s">
        <v>74</v>
      </c>
    </row>
    <row r="45726" spans="9:9" x14ac:dyDescent="0.2">
      <c r="I45726" s="137" t="s">
        <v>74</v>
      </c>
    </row>
    <row r="45727" spans="9:9" x14ac:dyDescent="0.2">
      <c r="I45727" s="137" t="s">
        <v>74</v>
      </c>
    </row>
    <row r="45728" spans="9:9" x14ac:dyDescent="0.2">
      <c r="I45728" s="137" t="s">
        <v>74</v>
      </c>
    </row>
    <row r="45729" spans="9:9" x14ac:dyDescent="0.2">
      <c r="I45729" s="137" t="s">
        <v>74</v>
      </c>
    </row>
    <row r="45730" spans="9:9" x14ac:dyDescent="0.2">
      <c r="I45730" s="137" t="s">
        <v>74</v>
      </c>
    </row>
    <row r="45731" spans="9:9" x14ac:dyDescent="0.2">
      <c r="I45731" s="137" t="s">
        <v>74</v>
      </c>
    </row>
    <row r="45732" spans="9:9" x14ac:dyDescent="0.2">
      <c r="I45732" s="137" t="s">
        <v>74</v>
      </c>
    </row>
    <row r="45733" spans="9:9" x14ac:dyDescent="0.2">
      <c r="I45733" s="137" t="s">
        <v>74</v>
      </c>
    </row>
    <row r="45734" spans="9:9" x14ac:dyDescent="0.2">
      <c r="I45734" s="137" t="s">
        <v>74</v>
      </c>
    </row>
    <row r="45735" spans="9:9" x14ac:dyDescent="0.2">
      <c r="I45735" s="137" t="s">
        <v>74</v>
      </c>
    </row>
    <row r="45736" spans="9:9" x14ac:dyDescent="0.2">
      <c r="I45736" s="137" t="s">
        <v>74</v>
      </c>
    </row>
    <row r="45737" spans="9:9" x14ac:dyDescent="0.2">
      <c r="I45737" s="137" t="s">
        <v>74</v>
      </c>
    </row>
    <row r="45738" spans="9:9" x14ac:dyDescent="0.2">
      <c r="I45738" s="137" t="s">
        <v>74</v>
      </c>
    </row>
    <row r="45739" spans="9:9" x14ac:dyDescent="0.2">
      <c r="I45739" s="137" t="s">
        <v>74</v>
      </c>
    </row>
    <row r="45740" spans="9:9" x14ac:dyDescent="0.2">
      <c r="I45740" s="137" t="s">
        <v>74</v>
      </c>
    </row>
    <row r="45741" spans="9:9" x14ac:dyDescent="0.2">
      <c r="I45741" s="137" t="s">
        <v>74</v>
      </c>
    </row>
    <row r="45742" spans="9:9" x14ac:dyDescent="0.2">
      <c r="I45742" s="137" t="s">
        <v>74</v>
      </c>
    </row>
    <row r="45743" spans="9:9" x14ac:dyDescent="0.2">
      <c r="I45743" s="137" t="s">
        <v>74</v>
      </c>
    </row>
    <row r="45744" spans="9:9" x14ac:dyDescent="0.2">
      <c r="I45744" s="137" t="s">
        <v>74</v>
      </c>
    </row>
    <row r="45745" spans="9:9" x14ac:dyDescent="0.2">
      <c r="I45745" s="137" t="s">
        <v>74</v>
      </c>
    </row>
    <row r="45746" spans="9:9" x14ac:dyDescent="0.2">
      <c r="I45746" s="137" t="s">
        <v>74</v>
      </c>
    </row>
    <row r="45747" spans="9:9" x14ac:dyDescent="0.2">
      <c r="I45747" s="137" t="s">
        <v>74</v>
      </c>
    </row>
    <row r="45748" spans="9:9" x14ac:dyDescent="0.2">
      <c r="I45748" s="137" t="s">
        <v>74</v>
      </c>
    </row>
    <row r="45749" spans="9:9" x14ac:dyDescent="0.2">
      <c r="I45749" s="137" t="s">
        <v>74</v>
      </c>
    </row>
    <row r="45750" spans="9:9" x14ac:dyDescent="0.2">
      <c r="I45750" s="137" t="s">
        <v>74</v>
      </c>
    </row>
    <row r="45751" spans="9:9" x14ac:dyDescent="0.2">
      <c r="I45751" s="137" t="s">
        <v>74</v>
      </c>
    </row>
    <row r="45752" spans="9:9" x14ac:dyDescent="0.2">
      <c r="I45752" s="137" t="s">
        <v>74</v>
      </c>
    </row>
    <row r="45753" spans="9:9" x14ac:dyDescent="0.2">
      <c r="I45753" s="137" t="s">
        <v>74</v>
      </c>
    </row>
    <row r="45754" spans="9:9" x14ac:dyDescent="0.2">
      <c r="I45754" s="137" t="s">
        <v>74</v>
      </c>
    </row>
    <row r="45755" spans="9:9" x14ac:dyDescent="0.2">
      <c r="I45755" s="137" t="s">
        <v>74</v>
      </c>
    </row>
    <row r="45756" spans="9:9" x14ac:dyDescent="0.2">
      <c r="I45756" s="137" t="s">
        <v>74</v>
      </c>
    </row>
    <row r="45757" spans="9:9" x14ac:dyDescent="0.2">
      <c r="I45757" s="137" t="s">
        <v>74</v>
      </c>
    </row>
    <row r="45758" spans="9:9" x14ac:dyDescent="0.2">
      <c r="I45758" s="137" t="s">
        <v>74</v>
      </c>
    </row>
    <row r="45759" spans="9:9" x14ac:dyDescent="0.2">
      <c r="I45759" s="137" t="s">
        <v>74</v>
      </c>
    </row>
    <row r="45760" spans="9:9" x14ac:dyDescent="0.2">
      <c r="I45760" s="137" t="s">
        <v>74</v>
      </c>
    </row>
    <row r="45761" spans="9:9" x14ac:dyDescent="0.2">
      <c r="I45761" s="137" t="s">
        <v>74</v>
      </c>
    </row>
    <row r="45762" spans="9:9" x14ac:dyDescent="0.2">
      <c r="I45762" s="137" t="s">
        <v>74</v>
      </c>
    </row>
    <row r="45763" spans="9:9" x14ac:dyDescent="0.2">
      <c r="I45763" s="137" t="s">
        <v>74</v>
      </c>
    </row>
    <row r="45764" spans="9:9" x14ac:dyDescent="0.2">
      <c r="I45764" s="137" t="s">
        <v>74</v>
      </c>
    </row>
    <row r="45765" spans="9:9" x14ac:dyDescent="0.2">
      <c r="I45765" s="137" t="s">
        <v>74</v>
      </c>
    </row>
    <row r="45766" spans="9:9" x14ac:dyDescent="0.2">
      <c r="I45766" s="137" t="s">
        <v>74</v>
      </c>
    </row>
    <row r="45767" spans="9:9" x14ac:dyDescent="0.2">
      <c r="I45767" s="137" t="s">
        <v>74</v>
      </c>
    </row>
    <row r="45768" spans="9:9" x14ac:dyDescent="0.2">
      <c r="I45768" s="137" t="s">
        <v>74</v>
      </c>
    </row>
    <row r="45769" spans="9:9" x14ac:dyDescent="0.2">
      <c r="I45769" s="137" t="s">
        <v>74</v>
      </c>
    </row>
    <row r="45770" spans="9:9" x14ac:dyDescent="0.2">
      <c r="I45770" s="137" t="s">
        <v>74</v>
      </c>
    </row>
    <row r="45771" spans="9:9" x14ac:dyDescent="0.2">
      <c r="I45771" s="137" t="s">
        <v>74</v>
      </c>
    </row>
    <row r="45772" spans="9:9" x14ac:dyDescent="0.2">
      <c r="I45772" s="137" t="s">
        <v>74</v>
      </c>
    </row>
    <row r="45773" spans="9:9" x14ac:dyDescent="0.2">
      <c r="I45773" s="137" t="s">
        <v>74</v>
      </c>
    </row>
    <row r="45774" spans="9:9" x14ac:dyDescent="0.2">
      <c r="I45774" s="137" t="s">
        <v>74</v>
      </c>
    </row>
    <row r="45775" spans="9:9" x14ac:dyDescent="0.2">
      <c r="I45775" s="137" t="s">
        <v>74</v>
      </c>
    </row>
    <row r="45776" spans="9:9" x14ac:dyDescent="0.2">
      <c r="I45776" s="137" t="s">
        <v>74</v>
      </c>
    </row>
    <row r="45777" spans="9:9" x14ac:dyDescent="0.2">
      <c r="I45777" s="137" t="s">
        <v>74</v>
      </c>
    </row>
    <row r="45778" spans="9:9" x14ac:dyDescent="0.2">
      <c r="I45778" s="137" t="s">
        <v>74</v>
      </c>
    </row>
    <row r="45779" spans="9:9" x14ac:dyDescent="0.2">
      <c r="I45779" s="137" t="s">
        <v>74</v>
      </c>
    </row>
    <row r="45780" spans="9:9" x14ac:dyDescent="0.2">
      <c r="I45780" s="137" t="s">
        <v>74</v>
      </c>
    </row>
    <row r="45781" spans="9:9" x14ac:dyDescent="0.2">
      <c r="I45781" s="137" t="s">
        <v>74</v>
      </c>
    </row>
    <row r="45782" spans="9:9" x14ac:dyDescent="0.2">
      <c r="I45782" s="137" t="s">
        <v>74</v>
      </c>
    </row>
    <row r="45783" spans="9:9" x14ac:dyDescent="0.2">
      <c r="I45783" s="137" t="s">
        <v>74</v>
      </c>
    </row>
    <row r="45784" spans="9:9" x14ac:dyDescent="0.2">
      <c r="I45784" s="137" t="s">
        <v>74</v>
      </c>
    </row>
    <row r="45785" spans="9:9" x14ac:dyDescent="0.2">
      <c r="I45785" s="137" t="s">
        <v>74</v>
      </c>
    </row>
    <row r="45786" spans="9:9" x14ac:dyDescent="0.2">
      <c r="I45786" s="137" t="s">
        <v>74</v>
      </c>
    </row>
    <row r="45787" spans="9:9" x14ac:dyDescent="0.2">
      <c r="I45787" s="137" t="s">
        <v>74</v>
      </c>
    </row>
    <row r="45788" spans="9:9" x14ac:dyDescent="0.2">
      <c r="I45788" s="137" t="s">
        <v>74</v>
      </c>
    </row>
    <row r="45789" spans="9:9" x14ac:dyDescent="0.2">
      <c r="I45789" s="137" t="s">
        <v>74</v>
      </c>
    </row>
    <row r="45790" spans="9:9" x14ac:dyDescent="0.2">
      <c r="I45790" s="137" t="s">
        <v>74</v>
      </c>
    </row>
    <row r="45791" spans="9:9" x14ac:dyDescent="0.2">
      <c r="I45791" s="137" t="s">
        <v>74</v>
      </c>
    </row>
    <row r="45792" spans="9:9" x14ac:dyDescent="0.2">
      <c r="I45792" s="137" t="s">
        <v>74</v>
      </c>
    </row>
    <row r="45793" spans="9:9" x14ac:dyDescent="0.2">
      <c r="I45793" s="137" t="s">
        <v>74</v>
      </c>
    </row>
    <row r="45794" spans="9:9" x14ac:dyDescent="0.2">
      <c r="I45794" s="137" t="s">
        <v>74</v>
      </c>
    </row>
    <row r="45795" spans="9:9" x14ac:dyDescent="0.2">
      <c r="I45795" s="137" t="s">
        <v>74</v>
      </c>
    </row>
    <row r="45796" spans="9:9" x14ac:dyDescent="0.2">
      <c r="I45796" s="137" t="s">
        <v>74</v>
      </c>
    </row>
    <row r="45797" spans="9:9" x14ac:dyDescent="0.2">
      <c r="I45797" s="137" t="s">
        <v>74</v>
      </c>
    </row>
    <row r="45798" spans="9:9" x14ac:dyDescent="0.2">
      <c r="I45798" s="137" t="s">
        <v>74</v>
      </c>
    </row>
    <row r="45799" spans="9:9" x14ac:dyDescent="0.2">
      <c r="I45799" s="137" t="s">
        <v>74</v>
      </c>
    </row>
    <row r="45800" spans="9:9" x14ac:dyDescent="0.2">
      <c r="I45800" s="137" t="s">
        <v>74</v>
      </c>
    </row>
    <row r="45801" spans="9:9" x14ac:dyDescent="0.2">
      <c r="I45801" s="137" t="s">
        <v>74</v>
      </c>
    </row>
    <row r="45802" spans="9:9" x14ac:dyDescent="0.2">
      <c r="I45802" s="137" t="s">
        <v>74</v>
      </c>
    </row>
    <row r="45803" spans="9:9" x14ac:dyDescent="0.2">
      <c r="I45803" s="137" t="s">
        <v>74</v>
      </c>
    </row>
    <row r="45804" spans="9:9" x14ac:dyDescent="0.2">
      <c r="I45804" s="137" t="s">
        <v>74</v>
      </c>
    </row>
    <row r="45805" spans="9:9" x14ac:dyDescent="0.2">
      <c r="I45805" s="137" t="s">
        <v>74</v>
      </c>
    </row>
    <row r="45806" spans="9:9" x14ac:dyDescent="0.2">
      <c r="I45806" s="137" t="s">
        <v>74</v>
      </c>
    </row>
    <row r="45807" spans="9:9" x14ac:dyDescent="0.2">
      <c r="I45807" s="137" t="s">
        <v>74</v>
      </c>
    </row>
    <row r="45808" spans="9:9" x14ac:dyDescent="0.2">
      <c r="I45808" s="137" t="s">
        <v>74</v>
      </c>
    </row>
    <row r="45809" spans="9:9" x14ac:dyDescent="0.2">
      <c r="I45809" s="137" t="s">
        <v>74</v>
      </c>
    </row>
    <row r="45810" spans="9:9" x14ac:dyDescent="0.2">
      <c r="I45810" s="137" t="s">
        <v>74</v>
      </c>
    </row>
    <row r="45811" spans="9:9" x14ac:dyDescent="0.2">
      <c r="I45811" s="137" t="s">
        <v>74</v>
      </c>
    </row>
    <row r="45812" spans="9:9" x14ac:dyDescent="0.2">
      <c r="I45812" s="137" t="s">
        <v>74</v>
      </c>
    </row>
    <row r="45813" spans="9:9" x14ac:dyDescent="0.2">
      <c r="I45813" s="137" t="s">
        <v>74</v>
      </c>
    </row>
    <row r="45814" spans="9:9" x14ac:dyDescent="0.2">
      <c r="I45814" s="137" t="s">
        <v>74</v>
      </c>
    </row>
    <row r="45815" spans="9:9" x14ac:dyDescent="0.2">
      <c r="I45815" s="137" t="s">
        <v>74</v>
      </c>
    </row>
    <row r="45816" spans="9:9" x14ac:dyDescent="0.2">
      <c r="I45816" s="137" t="s">
        <v>74</v>
      </c>
    </row>
    <row r="45817" spans="9:9" x14ac:dyDescent="0.2">
      <c r="I45817" s="137" t="s">
        <v>74</v>
      </c>
    </row>
    <row r="45818" spans="9:9" x14ac:dyDescent="0.2">
      <c r="I45818" s="137" t="s">
        <v>74</v>
      </c>
    </row>
    <row r="45819" spans="9:9" x14ac:dyDescent="0.2">
      <c r="I45819" s="137" t="s">
        <v>74</v>
      </c>
    </row>
    <row r="45820" spans="9:9" x14ac:dyDescent="0.2">
      <c r="I45820" s="137" t="s">
        <v>74</v>
      </c>
    </row>
    <row r="45821" spans="9:9" x14ac:dyDescent="0.2">
      <c r="I45821" s="137" t="s">
        <v>74</v>
      </c>
    </row>
    <row r="45822" spans="9:9" x14ac:dyDescent="0.2">
      <c r="I45822" s="137" t="s">
        <v>74</v>
      </c>
    </row>
    <row r="45823" spans="9:9" x14ac:dyDescent="0.2">
      <c r="I45823" s="137" t="s">
        <v>74</v>
      </c>
    </row>
    <row r="45824" spans="9:9" x14ac:dyDescent="0.2">
      <c r="I45824" s="137" t="s">
        <v>74</v>
      </c>
    </row>
    <row r="45825" spans="9:9" x14ac:dyDescent="0.2">
      <c r="I45825" s="137" t="s">
        <v>74</v>
      </c>
    </row>
    <row r="45826" spans="9:9" x14ac:dyDescent="0.2">
      <c r="I45826" s="137" t="s">
        <v>74</v>
      </c>
    </row>
    <row r="45827" spans="9:9" x14ac:dyDescent="0.2">
      <c r="I45827" s="137" t="s">
        <v>74</v>
      </c>
    </row>
    <row r="45828" spans="9:9" x14ac:dyDescent="0.2">
      <c r="I45828" s="137" t="s">
        <v>74</v>
      </c>
    </row>
    <row r="45829" spans="9:9" x14ac:dyDescent="0.2">
      <c r="I45829" s="137" t="s">
        <v>74</v>
      </c>
    </row>
    <row r="45830" spans="9:9" x14ac:dyDescent="0.2">
      <c r="I45830" s="137" t="s">
        <v>74</v>
      </c>
    </row>
    <row r="45831" spans="9:9" x14ac:dyDescent="0.2">
      <c r="I45831" s="137" t="s">
        <v>74</v>
      </c>
    </row>
    <row r="45832" spans="9:9" x14ac:dyDescent="0.2">
      <c r="I45832" s="137" t="s">
        <v>74</v>
      </c>
    </row>
    <row r="45833" spans="9:9" x14ac:dyDescent="0.2">
      <c r="I45833" s="137" t="s">
        <v>74</v>
      </c>
    </row>
    <row r="45834" spans="9:9" x14ac:dyDescent="0.2">
      <c r="I45834" s="137" t="s">
        <v>74</v>
      </c>
    </row>
    <row r="45835" spans="9:9" x14ac:dyDescent="0.2">
      <c r="I45835" s="137" t="s">
        <v>74</v>
      </c>
    </row>
    <row r="45836" spans="9:9" x14ac:dyDescent="0.2">
      <c r="I45836" s="137" t="s">
        <v>74</v>
      </c>
    </row>
    <row r="45837" spans="9:9" x14ac:dyDescent="0.2">
      <c r="I45837" s="137" t="s">
        <v>74</v>
      </c>
    </row>
    <row r="45838" spans="9:9" x14ac:dyDescent="0.2">
      <c r="I45838" s="137" t="s">
        <v>74</v>
      </c>
    </row>
    <row r="45839" spans="9:9" x14ac:dyDescent="0.2">
      <c r="I45839" s="137" t="s">
        <v>74</v>
      </c>
    </row>
    <row r="45840" spans="9:9" x14ac:dyDescent="0.2">
      <c r="I45840" s="137" t="s">
        <v>74</v>
      </c>
    </row>
    <row r="45841" spans="9:9" x14ac:dyDescent="0.2">
      <c r="I45841" s="137" t="s">
        <v>74</v>
      </c>
    </row>
    <row r="45842" spans="9:9" x14ac:dyDescent="0.2">
      <c r="I45842" s="137" t="s">
        <v>74</v>
      </c>
    </row>
    <row r="45843" spans="9:9" x14ac:dyDescent="0.2">
      <c r="I45843" s="137" t="s">
        <v>74</v>
      </c>
    </row>
    <row r="45844" spans="9:9" x14ac:dyDescent="0.2">
      <c r="I45844" s="137" t="s">
        <v>74</v>
      </c>
    </row>
    <row r="45845" spans="9:9" x14ac:dyDescent="0.2">
      <c r="I45845" s="137" t="s">
        <v>74</v>
      </c>
    </row>
    <row r="45846" spans="9:9" x14ac:dyDescent="0.2">
      <c r="I45846" s="137" t="s">
        <v>74</v>
      </c>
    </row>
    <row r="45847" spans="9:9" x14ac:dyDescent="0.2">
      <c r="I45847" s="137" t="s">
        <v>74</v>
      </c>
    </row>
    <row r="45848" spans="9:9" x14ac:dyDescent="0.2">
      <c r="I45848" s="137" t="s">
        <v>74</v>
      </c>
    </row>
    <row r="45849" spans="9:9" x14ac:dyDescent="0.2">
      <c r="I45849" s="137" t="s">
        <v>74</v>
      </c>
    </row>
    <row r="45850" spans="9:9" x14ac:dyDescent="0.2">
      <c r="I45850" s="137" t="s">
        <v>74</v>
      </c>
    </row>
    <row r="45851" spans="9:9" x14ac:dyDescent="0.2">
      <c r="I45851" s="137" t="s">
        <v>74</v>
      </c>
    </row>
    <row r="45852" spans="9:9" x14ac:dyDescent="0.2">
      <c r="I45852" s="137" t="s">
        <v>74</v>
      </c>
    </row>
    <row r="45853" spans="9:9" x14ac:dyDescent="0.2">
      <c r="I45853" s="137" t="s">
        <v>74</v>
      </c>
    </row>
    <row r="45854" spans="9:9" x14ac:dyDescent="0.2">
      <c r="I45854" s="137" t="s">
        <v>74</v>
      </c>
    </row>
    <row r="45855" spans="9:9" x14ac:dyDescent="0.2">
      <c r="I45855" s="137" t="s">
        <v>74</v>
      </c>
    </row>
    <row r="45856" spans="9:9" x14ac:dyDescent="0.2">
      <c r="I45856" s="137" t="s">
        <v>74</v>
      </c>
    </row>
    <row r="45857" spans="9:9" x14ac:dyDescent="0.2">
      <c r="I45857" s="137" t="s">
        <v>74</v>
      </c>
    </row>
    <row r="45858" spans="9:9" x14ac:dyDescent="0.2">
      <c r="I45858" s="137" t="s">
        <v>74</v>
      </c>
    </row>
    <row r="45859" spans="9:9" x14ac:dyDescent="0.2">
      <c r="I45859" s="137" t="s">
        <v>74</v>
      </c>
    </row>
    <row r="45860" spans="9:9" x14ac:dyDescent="0.2">
      <c r="I45860" s="137" t="s">
        <v>74</v>
      </c>
    </row>
    <row r="45861" spans="9:9" x14ac:dyDescent="0.2">
      <c r="I45861" s="137" t="s">
        <v>74</v>
      </c>
    </row>
    <row r="45862" spans="9:9" x14ac:dyDescent="0.2">
      <c r="I45862" s="137" t="s">
        <v>74</v>
      </c>
    </row>
    <row r="45863" spans="9:9" x14ac:dyDescent="0.2">
      <c r="I45863" s="137" t="s">
        <v>74</v>
      </c>
    </row>
    <row r="45864" spans="9:9" x14ac:dyDescent="0.2">
      <c r="I45864" s="137" t="s">
        <v>74</v>
      </c>
    </row>
    <row r="45865" spans="9:9" x14ac:dyDescent="0.2">
      <c r="I45865" s="137" t="s">
        <v>74</v>
      </c>
    </row>
    <row r="45866" spans="9:9" x14ac:dyDescent="0.2">
      <c r="I45866" s="137" t="s">
        <v>74</v>
      </c>
    </row>
    <row r="45867" spans="9:9" x14ac:dyDescent="0.2">
      <c r="I45867" s="137" t="s">
        <v>74</v>
      </c>
    </row>
    <row r="45868" spans="9:9" x14ac:dyDescent="0.2">
      <c r="I45868" s="137" t="s">
        <v>74</v>
      </c>
    </row>
    <row r="45869" spans="9:9" x14ac:dyDescent="0.2">
      <c r="I45869" s="137" t="s">
        <v>74</v>
      </c>
    </row>
    <row r="45870" spans="9:9" x14ac:dyDescent="0.2">
      <c r="I45870" s="137" t="s">
        <v>74</v>
      </c>
    </row>
    <row r="45871" spans="9:9" x14ac:dyDescent="0.2">
      <c r="I45871" s="137" t="s">
        <v>74</v>
      </c>
    </row>
    <row r="45872" spans="9:9" x14ac:dyDescent="0.2">
      <c r="I45872" s="137" t="s">
        <v>74</v>
      </c>
    </row>
    <row r="45873" spans="9:9" x14ac:dyDescent="0.2">
      <c r="I45873" s="137" t="s">
        <v>74</v>
      </c>
    </row>
    <row r="45874" spans="9:9" x14ac:dyDescent="0.2">
      <c r="I45874" s="137" t="s">
        <v>74</v>
      </c>
    </row>
    <row r="45875" spans="9:9" x14ac:dyDescent="0.2">
      <c r="I45875" s="137" t="s">
        <v>74</v>
      </c>
    </row>
    <row r="45876" spans="9:9" x14ac:dyDescent="0.2">
      <c r="I45876" s="137" t="s">
        <v>74</v>
      </c>
    </row>
    <row r="45877" spans="9:9" x14ac:dyDescent="0.2">
      <c r="I45877" s="137" t="s">
        <v>74</v>
      </c>
    </row>
    <row r="45878" spans="9:9" x14ac:dyDescent="0.2">
      <c r="I45878" s="137" t="s">
        <v>74</v>
      </c>
    </row>
    <row r="45879" spans="9:9" x14ac:dyDescent="0.2">
      <c r="I45879" s="137" t="s">
        <v>74</v>
      </c>
    </row>
    <row r="45880" spans="9:9" x14ac:dyDescent="0.2">
      <c r="I45880" s="137" t="s">
        <v>74</v>
      </c>
    </row>
    <row r="45881" spans="9:9" x14ac:dyDescent="0.2">
      <c r="I45881" s="137" t="s">
        <v>74</v>
      </c>
    </row>
    <row r="45882" spans="9:9" x14ac:dyDescent="0.2">
      <c r="I45882" s="137" t="s">
        <v>74</v>
      </c>
    </row>
    <row r="45883" spans="9:9" x14ac:dyDescent="0.2">
      <c r="I45883" s="137" t="s">
        <v>74</v>
      </c>
    </row>
    <row r="45884" spans="9:9" x14ac:dyDescent="0.2">
      <c r="I45884" s="137" t="s">
        <v>74</v>
      </c>
    </row>
    <row r="45885" spans="9:9" x14ac:dyDescent="0.2">
      <c r="I45885" s="137" t="s">
        <v>74</v>
      </c>
    </row>
    <row r="45886" spans="9:9" x14ac:dyDescent="0.2">
      <c r="I45886" s="137" t="s">
        <v>74</v>
      </c>
    </row>
    <row r="45887" spans="9:9" x14ac:dyDescent="0.2">
      <c r="I45887" s="137" t="s">
        <v>74</v>
      </c>
    </row>
    <row r="45888" spans="9:9" x14ac:dyDescent="0.2">
      <c r="I45888" s="137" t="s">
        <v>74</v>
      </c>
    </row>
    <row r="45889" spans="9:9" x14ac:dyDescent="0.2">
      <c r="I45889" s="137" t="s">
        <v>74</v>
      </c>
    </row>
    <row r="45890" spans="9:9" x14ac:dyDescent="0.2">
      <c r="I45890" s="137" t="s">
        <v>74</v>
      </c>
    </row>
    <row r="45891" spans="9:9" x14ac:dyDescent="0.2">
      <c r="I45891" s="137" t="s">
        <v>74</v>
      </c>
    </row>
    <row r="45892" spans="9:9" x14ac:dyDescent="0.2">
      <c r="I45892" s="137" t="s">
        <v>74</v>
      </c>
    </row>
    <row r="45893" spans="9:9" x14ac:dyDescent="0.2">
      <c r="I45893" s="137" t="s">
        <v>74</v>
      </c>
    </row>
    <row r="45894" spans="9:9" x14ac:dyDescent="0.2">
      <c r="I45894" s="137" t="s">
        <v>74</v>
      </c>
    </row>
    <row r="45895" spans="9:9" x14ac:dyDescent="0.2">
      <c r="I45895" s="137" t="s">
        <v>74</v>
      </c>
    </row>
    <row r="45896" spans="9:9" x14ac:dyDescent="0.2">
      <c r="I45896" s="137" t="s">
        <v>74</v>
      </c>
    </row>
    <row r="45897" spans="9:9" x14ac:dyDescent="0.2">
      <c r="I45897" s="137" t="s">
        <v>74</v>
      </c>
    </row>
    <row r="45898" spans="9:9" x14ac:dyDescent="0.2">
      <c r="I45898" s="137" t="s">
        <v>74</v>
      </c>
    </row>
    <row r="45899" spans="9:9" x14ac:dyDescent="0.2">
      <c r="I45899" s="137" t="s">
        <v>74</v>
      </c>
    </row>
    <row r="45900" spans="9:9" x14ac:dyDescent="0.2">
      <c r="I45900" s="137" t="s">
        <v>74</v>
      </c>
    </row>
    <row r="45901" spans="9:9" x14ac:dyDescent="0.2">
      <c r="I45901" s="137" t="s">
        <v>74</v>
      </c>
    </row>
    <row r="45902" spans="9:9" x14ac:dyDescent="0.2">
      <c r="I45902" s="137" t="s">
        <v>74</v>
      </c>
    </row>
    <row r="45903" spans="9:9" x14ac:dyDescent="0.2">
      <c r="I45903" s="137" t="s">
        <v>74</v>
      </c>
    </row>
    <row r="45904" spans="9:9" x14ac:dyDescent="0.2">
      <c r="I45904" s="137" t="s">
        <v>74</v>
      </c>
    </row>
    <row r="45905" spans="9:9" x14ac:dyDescent="0.2">
      <c r="I45905" s="137" t="s">
        <v>74</v>
      </c>
    </row>
    <row r="45906" spans="9:9" x14ac:dyDescent="0.2">
      <c r="I45906" s="137" t="s">
        <v>74</v>
      </c>
    </row>
    <row r="45907" spans="9:9" x14ac:dyDescent="0.2">
      <c r="I45907" s="137" t="s">
        <v>74</v>
      </c>
    </row>
    <row r="45908" spans="9:9" x14ac:dyDescent="0.2">
      <c r="I45908" s="137" t="s">
        <v>74</v>
      </c>
    </row>
    <row r="45909" spans="9:9" x14ac:dyDescent="0.2">
      <c r="I45909" s="137" t="s">
        <v>74</v>
      </c>
    </row>
    <row r="45910" spans="9:9" x14ac:dyDescent="0.2">
      <c r="I45910" s="137" t="s">
        <v>74</v>
      </c>
    </row>
    <row r="45911" spans="9:9" x14ac:dyDescent="0.2">
      <c r="I45911" s="137" t="s">
        <v>74</v>
      </c>
    </row>
    <row r="45912" spans="9:9" x14ac:dyDescent="0.2">
      <c r="I45912" s="137" t="s">
        <v>74</v>
      </c>
    </row>
    <row r="45913" spans="9:9" x14ac:dyDescent="0.2">
      <c r="I45913" s="137" t="s">
        <v>74</v>
      </c>
    </row>
    <row r="45914" spans="9:9" x14ac:dyDescent="0.2">
      <c r="I45914" s="137" t="s">
        <v>74</v>
      </c>
    </row>
    <row r="45915" spans="9:9" x14ac:dyDescent="0.2">
      <c r="I45915" s="137" t="s">
        <v>74</v>
      </c>
    </row>
    <row r="45916" spans="9:9" x14ac:dyDescent="0.2">
      <c r="I45916" s="137" t="s">
        <v>74</v>
      </c>
    </row>
    <row r="45917" spans="9:9" x14ac:dyDescent="0.2">
      <c r="I45917" s="137" t="s">
        <v>74</v>
      </c>
    </row>
    <row r="45918" spans="9:9" x14ac:dyDescent="0.2">
      <c r="I45918" s="137" t="s">
        <v>74</v>
      </c>
    </row>
    <row r="45919" spans="9:9" x14ac:dyDescent="0.2">
      <c r="I45919" s="137" t="s">
        <v>74</v>
      </c>
    </row>
    <row r="45920" spans="9:9" x14ac:dyDescent="0.2">
      <c r="I45920" s="137" t="s">
        <v>74</v>
      </c>
    </row>
    <row r="45921" spans="9:9" x14ac:dyDescent="0.2">
      <c r="I45921" s="137" t="s">
        <v>74</v>
      </c>
    </row>
    <row r="45922" spans="9:9" x14ac:dyDescent="0.2">
      <c r="I45922" s="137" t="s">
        <v>74</v>
      </c>
    </row>
    <row r="45923" spans="9:9" x14ac:dyDescent="0.2">
      <c r="I45923" s="137" t="s">
        <v>74</v>
      </c>
    </row>
    <row r="45924" spans="9:9" x14ac:dyDescent="0.2">
      <c r="I45924" s="137" t="s">
        <v>74</v>
      </c>
    </row>
    <row r="45925" spans="9:9" x14ac:dyDescent="0.2">
      <c r="I45925" s="137" t="s">
        <v>74</v>
      </c>
    </row>
    <row r="45926" spans="9:9" x14ac:dyDescent="0.2">
      <c r="I45926" s="137" t="s">
        <v>74</v>
      </c>
    </row>
    <row r="45927" spans="9:9" x14ac:dyDescent="0.2">
      <c r="I45927" s="137" t="s">
        <v>74</v>
      </c>
    </row>
    <row r="45928" spans="9:9" x14ac:dyDescent="0.2">
      <c r="I45928" s="137" t="s">
        <v>74</v>
      </c>
    </row>
    <row r="45929" spans="9:9" x14ac:dyDescent="0.2">
      <c r="I45929" s="137" t="s">
        <v>74</v>
      </c>
    </row>
    <row r="45930" spans="9:9" x14ac:dyDescent="0.2">
      <c r="I45930" s="137" t="s">
        <v>74</v>
      </c>
    </row>
    <row r="45931" spans="9:9" x14ac:dyDescent="0.2">
      <c r="I45931" s="137" t="s">
        <v>74</v>
      </c>
    </row>
    <row r="45932" spans="9:9" x14ac:dyDescent="0.2">
      <c r="I45932" s="137" t="s">
        <v>74</v>
      </c>
    </row>
    <row r="45933" spans="9:9" x14ac:dyDescent="0.2">
      <c r="I45933" s="137" t="s">
        <v>74</v>
      </c>
    </row>
    <row r="45934" spans="9:9" x14ac:dyDescent="0.2">
      <c r="I45934" s="137" t="s">
        <v>74</v>
      </c>
    </row>
    <row r="45935" spans="9:9" x14ac:dyDescent="0.2">
      <c r="I45935" s="137" t="s">
        <v>74</v>
      </c>
    </row>
    <row r="45936" spans="9:9" x14ac:dyDescent="0.2">
      <c r="I45936" s="137" t="s">
        <v>74</v>
      </c>
    </row>
    <row r="45937" spans="9:9" x14ac:dyDescent="0.2">
      <c r="I45937" s="137" t="s">
        <v>74</v>
      </c>
    </row>
    <row r="45938" spans="9:9" x14ac:dyDescent="0.2">
      <c r="I45938" s="137" t="s">
        <v>74</v>
      </c>
    </row>
    <row r="45939" spans="9:9" x14ac:dyDescent="0.2">
      <c r="I45939" s="137" t="s">
        <v>74</v>
      </c>
    </row>
    <row r="45940" spans="9:9" x14ac:dyDescent="0.2">
      <c r="I45940" s="137" t="s">
        <v>74</v>
      </c>
    </row>
    <row r="45941" spans="9:9" x14ac:dyDescent="0.2">
      <c r="I45941" s="137" t="s">
        <v>74</v>
      </c>
    </row>
    <row r="45942" spans="9:9" x14ac:dyDescent="0.2">
      <c r="I45942" s="137" t="s">
        <v>74</v>
      </c>
    </row>
    <row r="45943" spans="9:9" x14ac:dyDescent="0.2">
      <c r="I45943" s="137" t="s">
        <v>74</v>
      </c>
    </row>
    <row r="45944" spans="9:9" x14ac:dyDescent="0.2">
      <c r="I45944" s="137" t="s">
        <v>74</v>
      </c>
    </row>
    <row r="45945" spans="9:9" x14ac:dyDescent="0.2">
      <c r="I45945" s="137" t="s">
        <v>74</v>
      </c>
    </row>
    <row r="45946" spans="9:9" x14ac:dyDescent="0.2">
      <c r="I45946" s="137" t="s">
        <v>74</v>
      </c>
    </row>
    <row r="45947" spans="9:9" x14ac:dyDescent="0.2">
      <c r="I45947" s="137" t="s">
        <v>74</v>
      </c>
    </row>
    <row r="45948" spans="9:9" x14ac:dyDescent="0.2">
      <c r="I45948" s="137" t="s">
        <v>74</v>
      </c>
    </row>
    <row r="45949" spans="9:9" x14ac:dyDescent="0.2">
      <c r="I45949" s="137" t="s">
        <v>74</v>
      </c>
    </row>
    <row r="45950" spans="9:9" x14ac:dyDescent="0.2">
      <c r="I45950" s="137" t="s">
        <v>74</v>
      </c>
    </row>
    <row r="45951" spans="9:9" x14ac:dyDescent="0.2">
      <c r="I45951" s="137" t="s">
        <v>74</v>
      </c>
    </row>
    <row r="45952" spans="9:9" x14ac:dyDescent="0.2">
      <c r="I45952" s="137" t="s">
        <v>74</v>
      </c>
    </row>
    <row r="45953" spans="9:9" x14ac:dyDescent="0.2">
      <c r="I45953" s="137" t="s">
        <v>74</v>
      </c>
    </row>
    <row r="45954" spans="9:9" x14ac:dyDescent="0.2">
      <c r="I45954" s="137" t="s">
        <v>74</v>
      </c>
    </row>
    <row r="45955" spans="9:9" x14ac:dyDescent="0.2">
      <c r="I45955" s="137" t="s">
        <v>74</v>
      </c>
    </row>
    <row r="45956" spans="9:9" x14ac:dyDescent="0.2">
      <c r="I45956" s="137" t="s">
        <v>74</v>
      </c>
    </row>
    <row r="45957" spans="9:9" x14ac:dyDescent="0.2">
      <c r="I45957" s="137" t="s">
        <v>74</v>
      </c>
    </row>
    <row r="45958" spans="9:9" x14ac:dyDescent="0.2">
      <c r="I45958" s="137" t="s">
        <v>74</v>
      </c>
    </row>
    <row r="45959" spans="9:9" x14ac:dyDescent="0.2">
      <c r="I45959" s="137" t="s">
        <v>74</v>
      </c>
    </row>
    <row r="45960" spans="9:9" x14ac:dyDescent="0.2">
      <c r="I45960" s="137" t="s">
        <v>74</v>
      </c>
    </row>
    <row r="45961" spans="9:9" x14ac:dyDescent="0.2">
      <c r="I45961" s="137" t="s">
        <v>74</v>
      </c>
    </row>
    <row r="45962" spans="9:9" x14ac:dyDescent="0.2">
      <c r="I45962" s="137" t="s">
        <v>74</v>
      </c>
    </row>
    <row r="45963" spans="9:9" x14ac:dyDescent="0.2">
      <c r="I45963" s="137" t="s">
        <v>74</v>
      </c>
    </row>
    <row r="45964" spans="9:9" x14ac:dyDescent="0.2">
      <c r="I45964" s="137" t="s">
        <v>74</v>
      </c>
    </row>
    <row r="45965" spans="9:9" x14ac:dyDescent="0.2">
      <c r="I45965" s="137" t="s">
        <v>74</v>
      </c>
    </row>
    <row r="45966" spans="9:9" x14ac:dyDescent="0.2">
      <c r="I45966" s="137" t="s">
        <v>74</v>
      </c>
    </row>
    <row r="45967" spans="9:9" x14ac:dyDescent="0.2">
      <c r="I45967" s="137" t="s">
        <v>74</v>
      </c>
    </row>
    <row r="45968" spans="9:9" x14ac:dyDescent="0.2">
      <c r="I45968" s="137" t="s">
        <v>74</v>
      </c>
    </row>
    <row r="45969" spans="9:9" x14ac:dyDescent="0.2">
      <c r="I45969" s="137" t="s">
        <v>74</v>
      </c>
    </row>
    <row r="45970" spans="9:9" x14ac:dyDescent="0.2">
      <c r="I45970" s="137" t="s">
        <v>74</v>
      </c>
    </row>
    <row r="45971" spans="9:9" x14ac:dyDescent="0.2">
      <c r="I45971" s="137" t="s">
        <v>74</v>
      </c>
    </row>
    <row r="45972" spans="9:9" x14ac:dyDescent="0.2">
      <c r="I45972" s="137" t="s">
        <v>74</v>
      </c>
    </row>
    <row r="45973" spans="9:9" x14ac:dyDescent="0.2">
      <c r="I45973" s="137" t="s">
        <v>74</v>
      </c>
    </row>
    <row r="45974" spans="9:9" x14ac:dyDescent="0.2">
      <c r="I45974" s="137" t="s">
        <v>74</v>
      </c>
    </row>
    <row r="45975" spans="9:9" x14ac:dyDescent="0.2">
      <c r="I45975" s="137" t="s">
        <v>74</v>
      </c>
    </row>
    <row r="45976" spans="9:9" x14ac:dyDescent="0.2">
      <c r="I45976" s="137" t="s">
        <v>74</v>
      </c>
    </row>
    <row r="45977" spans="9:9" x14ac:dyDescent="0.2">
      <c r="I45977" s="137" t="s">
        <v>74</v>
      </c>
    </row>
    <row r="45978" spans="9:9" x14ac:dyDescent="0.2">
      <c r="I45978" s="137" t="s">
        <v>74</v>
      </c>
    </row>
    <row r="45979" spans="9:9" x14ac:dyDescent="0.2">
      <c r="I45979" s="137" t="s">
        <v>74</v>
      </c>
    </row>
    <row r="45980" spans="9:9" x14ac:dyDescent="0.2">
      <c r="I45980" s="137" t="s">
        <v>74</v>
      </c>
    </row>
    <row r="45981" spans="9:9" x14ac:dyDescent="0.2">
      <c r="I45981" s="137" t="s">
        <v>74</v>
      </c>
    </row>
    <row r="45982" spans="9:9" x14ac:dyDescent="0.2">
      <c r="I45982" s="137" t="s">
        <v>74</v>
      </c>
    </row>
    <row r="45983" spans="9:9" x14ac:dyDescent="0.2">
      <c r="I45983" s="137" t="s">
        <v>74</v>
      </c>
    </row>
    <row r="45984" spans="9:9" x14ac:dyDescent="0.2">
      <c r="I45984" s="137" t="s">
        <v>74</v>
      </c>
    </row>
    <row r="45985" spans="9:9" x14ac:dyDescent="0.2">
      <c r="I45985" s="137" t="s">
        <v>74</v>
      </c>
    </row>
    <row r="45986" spans="9:9" x14ac:dyDescent="0.2">
      <c r="I45986" s="137" t="s">
        <v>74</v>
      </c>
    </row>
    <row r="45987" spans="9:9" x14ac:dyDescent="0.2">
      <c r="I45987" s="137" t="s">
        <v>74</v>
      </c>
    </row>
    <row r="45988" spans="9:9" x14ac:dyDescent="0.2">
      <c r="I45988" s="137" t="s">
        <v>74</v>
      </c>
    </row>
    <row r="45989" spans="9:9" x14ac:dyDescent="0.2">
      <c r="I45989" s="137" t="s">
        <v>74</v>
      </c>
    </row>
    <row r="45990" spans="9:9" x14ac:dyDescent="0.2">
      <c r="I45990" s="137" t="s">
        <v>74</v>
      </c>
    </row>
    <row r="45991" spans="9:9" x14ac:dyDescent="0.2">
      <c r="I45991" s="137" t="s">
        <v>74</v>
      </c>
    </row>
    <row r="45992" spans="9:9" x14ac:dyDescent="0.2">
      <c r="I45992" s="137" t="s">
        <v>74</v>
      </c>
    </row>
    <row r="45993" spans="9:9" x14ac:dyDescent="0.2">
      <c r="I45993" s="137" t="s">
        <v>74</v>
      </c>
    </row>
    <row r="45994" spans="9:9" x14ac:dyDescent="0.2">
      <c r="I45994" s="137" t="s">
        <v>74</v>
      </c>
    </row>
    <row r="45995" spans="9:9" x14ac:dyDescent="0.2">
      <c r="I45995" s="137" t="s">
        <v>74</v>
      </c>
    </row>
    <row r="45996" spans="9:9" x14ac:dyDescent="0.2">
      <c r="I45996" s="137" t="s">
        <v>74</v>
      </c>
    </row>
    <row r="45997" spans="9:9" x14ac:dyDescent="0.2">
      <c r="I45997" s="137" t="s">
        <v>74</v>
      </c>
    </row>
    <row r="45998" spans="9:9" x14ac:dyDescent="0.2">
      <c r="I45998" s="137" t="s">
        <v>74</v>
      </c>
    </row>
    <row r="45999" spans="9:9" x14ac:dyDescent="0.2">
      <c r="I45999" s="137" t="s">
        <v>74</v>
      </c>
    </row>
    <row r="46000" spans="9:9" x14ac:dyDescent="0.2">
      <c r="I46000" s="137" t="s">
        <v>74</v>
      </c>
    </row>
    <row r="46001" spans="9:9" x14ac:dyDescent="0.2">
      <c r="I46001" s="137" t="s">
        <v>74</v>
      </c>
    </row>
    <row r="46002" spans="9:9" x14ac:dyDescent="0.2">
      <c r="I46002" s="137" t="s">
        <v>74</v>
      </c>
    </row>
    <row r="46003" spans="9:9" x14ac:dyDescent="0.2">
      <c r="I46003" s="137" t="s">
        <v>74</v>
      </c>
    </row>
    <row r="46004" spans="9:9" x14ac:dyDescent="0.2">
      <c r="I46004" s="137" t="s">
        <v>74</v>
      </c>
    </row>
    <row r="46005" spans="9:9" x14ac:dyDescent="0.2">
      <c r="I46005" s="137" t="s">
        <v>74</v>
      </c>
    </row>
    <row r="46006" spans="9:9" x14ac:dyDescent="0.2">
      <c r="I46006" s="137" t="s">
        <v>74</v>
      </c>
    </row>
    <row r="46007" spans="9:9" x14ac:dyDescent="0.2">
      <c r="I46007" s="137" t="s">
        <v>74</v>
      </c>
    </row>
    <row r="46008" spans="9:9" x14ac:dyDescent="0.2">
      <c r="I46008" s="137" t="s">
        <v>74</v>
      </c>
    </row>
    <row r="46009" spans="9:9" x14ac:dyDescent="0.2">
      <c r="I46009" s="137" t="s">
        <v>74</v>
      </c>
    </row>
    <row r="46010" spans="9:9" x14ac:dyDescent="0.2">
      <c r="I46010" s="137" t="s">
        <v>74</v>
      </c>
    </row>
    <row r="46011" spans="9:9" x14ac:dyDescent="0.2">
      <c r="I46011" s="137" t="s">
        <v>74</v>
      </c>
    </row>
    <row r="46012" spans="9:9" x14ac:dyDescent="0.2">
      <c r="I46012" s="137" t="s">
        <v>74</v>
      </c>
    </row>
    <row r="46013" spans="9:9" x14ac:dyDescent="0.2">
      <c r="I46013" s="137" t="s">
        <v>74</v>
      </c>
    </row>
    <row r="46014" spans="9:9" x14ac:dyDescent="0.2">
      <c r="I46014" s="137" t="s">
        <v>74</v>
      </c>
    </row>
    <row r="46015" spans="9:9" x14ac:dyDescent="0.2">
      <c r="I46015" s="137" t="s">
        <v>74</v>
      </c>
    </row>
    <row r="46016" spans="9:9" x14ac:dyDescent="0.2">
      <c r="I46016" s="137" t="s">
        <v>74</v>
      </c>
    </row>
    <row r="46017" spans="9:9" x14ac:dyDescent="0.2">
      <c r="I46017" s="137" t="s">
        <v>74</v>
      </c>
    </row>
    <row r="46018" spans="9:9" x14ac:dyDescent="0.2">
      <c r="I46018" s="137" t="s">
        <v>74</v>
      </c>
    </row>
    <row r="46019" spans="9:9" x14ac:dyDescent="0.2">
      <c r="I46019" s="137" t="s">
        <v>74</v>
      </c>
    </row>
    <row r="46020" spans="9:9" x14ac:dyDescent="0.2">
      <c r="I46020" s="137" t="s">
        <v>74</v>
      </c>
    </row>
    <row r="46021" spans="9:9" x14ac:dyDescent="0.2">
      <c r="I46021" s="137" t="s">
        <v>74</v>
      </c>
    </row>
    <row r="46022" spans="9:9" x14ac:dyDescent="0.2">
      <c r="I46022" s="137" t="s">
        <v>74</v>
      </c>
    </row>
    <row r="46023" spans="9:9" x14ac:dyDescent="0.2">
      <c r="I46023" s="137" t="s">
        <v>74</v>
      </c>
    </row>
    <row r="46024" spans="9:9" x14ac:dyDescent="0.2">
      <c r="I46024" s="137" t="s">
        <v>74</v>
      </c>
    </row>
    <row r="46025" spans="9:9" x14ac:dyDescent="0.2">
      <c r="I46025" s="137" t="s">
        <v>74</v>
      </c>
    </row>
    <row r="46026" spans="9:9" x14ac:dyDescent="0.2">
      <c r="I46026" s="137" t="s">
        <v>74</v>
      </c>
    </row>
    <row r="46027" spans="9:9" x14ac:dyDescent="0.2">
      <c r="I46027" s="137" t="s">
        <v>74</v>
      </c>
    </row>
    <row r="46028" spans="9:9" x14ac:dyDescent="0.2">
      <c r="I46028" s="137" t="s">
        <v>74</v>
      </c>
    </row>
    <row r="46029" spans="9:9" x14ac:dyDescent="0.2">
      <c r="I46029" s="137" t="s">
        <v>74</v>
      </c>
    </row>
    <row r="46030" spans="9:9" x14ac:dyDescent="0.2">
      <c r="I46030" s="137" t="s">
        <v>74</v>
      </c>
    </row>
    <row r="46031" spans="9:9" x14ac:dyDescent="0.2">
      <c r="I46031" s="137" t="s">
        <v>74</v>
      </c>
    </row>
    <row r="46032" spans="9:9" x14ac:dyDescent="0.2">
      <c r="I46032" s="137" t="s">
        <v>74</v>
      </c>
    </row>
    <row r="46033" spans="9:9" x14ac:dyDescent="0.2">
      <c r="I46033" s="137" t="s">
        <v>74</v>
      </c>
    </row>
    <row r="46034" spans="9:9" x14ac:dyDescent="0.2">
      <c r="I46034" s="137" t="s">
        <v>74</v>
      </c>
    </row>
    <row r="46035" spans="9:9" x14ac:dyDescent="0.2">
      <c r="I46035" s="137" t="s">
        <v>74</v>
      </c>
    </row>
    <row r="46036" spans="9:9" x14ac:dyDescent="0.2">
      <c r="I46036" s="137" t="s">
        <v>74</v>
      </c>
    </row>
    <row r="46037" spans="9:9" x14ac:dyDescent="0.2">
      <c r="I46037" s="137" t="s">
        <v>74</v>
      </c>
    </row>
    <row r="46038" spans="9:9" x14ac:dyDescent="0.2">
      <c r="I46038" s="137" t="s">
        <v>74</v>
      </c>
    </row>
    <row r="46039" spans="9:9" x14ac:dyDescent="0.2">
      <c r="I46039" s="137" t="s">
        <v>74</v>
      </c>
    </row>
    <row r="46040" spans="9:9" x14ac:dyDescent="0.2">
      <c r="I46040" s="137" t="s">
        <v>74</v>
      </c>
    </row>
    <row r="46041" spans="9:9" x14ac:dyDescent="0.2">
      <c r="I46041" s="137" t="s">
        <v>74</v>
      </c>
    </row>
    <row r="46042" spans="9:9" x14ac:dyDescent="0.2">
      <c r="I46042" s="137" t="s">
        <v>74</v>
      </c>
    </row>
    <row r="46043" spans="9:9" x14ac:dyDescent="0.2">
      <c r="I46043" s="137" t="s">
        <v>74</v>
      </c>
    </row>
    <row r="46044" spans="9:9" x14ac:dyDescent="0.2">
      <c r="I46044" s="137" t="s">
        <v>74</v>
      </c>
    </row>
    <row r="46045" spans="9:9" x14ac:dyDescent="0.2">
      <c r="I46045" s="137" t="s">
        <v>74</v>
      </c>
    </row>
    <row r="46046" spans="9:9" x14ac:dyDescent="0.2">
      <c r="I46046" s="137" t="s">
        <v>74</v>
      </c>
    </row>
    <row r="46047" spans="9:9" x14ac:dyDescent="0.2">
      <c r="I46047" s="137" t="s">
        <v>74</v>
      </c>
    </row>
    <row r="46048" spans="9:9" x14ac:dyDescent="0.2">
      <c r="I46048" s="137" t="s">
        <v>74</v>
      </c>
    </row>
    <row r="46049" spans="9:9" x14ac:dyDescent="0.2">
      <c r="I46049" s="137" t="s">
        <v>74</v>
      </c>
    </row>
    <row r="46050" spans="9:9" x14ac:dyDescent="0.2">
      <c r="I46050" s="137" t="s">
        <v>74</v>
      </c>
    </row>
    <row r="46051" spans="9:9" x14ac:dyDescent="0.2">
      <c r="I46051" s="137" t="s">
        <v>74</v>
      </c>
    </row>
    <row r="46052" spans="9:9" x14ac:dyDescent="0.2">
      <c r="I46052" s="137" t="s">
        <v>74</v>
      </c>
    </row>
    <row r="46053" spans="9:9" x14ac:dyDescent="0.2">
      <c r="I46053" s="137" t="s">
        <v>74</v>
      </c>
    </row>
    <row r="46054" spans="9:9" x14ac:dyDescent="0.2">
      <c r="I46054" s="137" t="s">
        <v>74</v>
      </c>
    </row>
    <row r="46055" spans="9:9" x14ac:dyDescent="0.2">
      <c r="I46055" s="137" t="s">
        <v>74</v>
      </c>
    </row>
    <row r="46056" spans="9:9" x14ac:dyDescent="0.2">
      <c r="I46056" s="137" t="s">
        <v>74</v>
      </c>
    </row>
    <row r="46057" spans="9:9" x14ac:dyDescent="0.2">
      <c r="I46057" s="137" t="s">
        <v>74</v>
      </c>
    </row>
    <row r="46058" spans="9:9" x14ac:dyDescent="0.2">
      <c r="I46058" s="137" t="s">
        <v>74</v>
      </c>
    </row>
    <row r="46059" spans="9:9" x14ac:dyDescent="0.2">
      <c r="I46059" s="137" t="s">
        <v>74</v>
      </c>
    </row>
    <row r="46060" spans="9:9" x14ac:dyDescent="0.2">
      <c r="I46060" s="137" t="s">
        <v>74</v>
      </c>
    </row>
    <row r="46061" spans="9:9" x14ac:dyDescent="0.2">
      <c r="I46061" s="137" t="s">
        <v>74</v>
      </c>
    </row>
    <row r="46062" spans="9:9" x14ac:dyDescent="0.2">
      <c r="I46062" s="137" t="s">
        <v>74</v>
      </c>
    </row>
    <row r="46063" spans="9:9" x14ac:dyDescent="0.2">
      <c r="I46063" s="137" t="s">
        <v>74</v>
      </c>
    </row>
    <row r="46064" spans="9:9" x14ac:dyDescent="0.2">
      <c r="I46064" s="137" t="s">
        <v>74</v>
      </c>
    </row>
    <row r="46065" spans="9:9" x14ac:dyDescent="0.2">
      <c r="I46065" s="137" t="s">
        <v>74</v>
      </c>
    </row>
    <row r="46066" spans="9:9" x14ac:dyDescent="0.2">
      <c r="I46066" s="137" t="s">
        <v>74</v>
      </c>
    </row>
    <row r="46067" spans="9:9" x14ac:dyDescent="0.2">
      <c r="I46067" s="137" t="s">
        <v>74</v>
      </c>
    </row>
    <row r="46068" spans="9:9" x14ac:dyDescent="0.2">
      <c r="I46068" s="137" t="s">
        <v>74</v>
      </c>
    </row>
    <row r="46069" spans="9:9" x14ac:dyDescent="0.2">
      <c r="I46069" s="137" t="s">
        <v>74</v>
      </c>
    </row>
    <row r="46070" spans="9:9" x14ac:dyDescent="0.2">
      <c r="I46070" s="137" t="s">
        <v>74</v>
      </c>
    </row>
    <row r="46071" spans="9:9" x14ac:dyDescent="0.2">
      <c r="I46071" s="137" t="s">
        <v>74</v>
      </c>
    </row>
    <row r="46072" spans="9:9" x14ac:dyDescent="0.2">
      <c r="I46072" s="137" t="s">
        <v>74</v>
      </c>
    </row>
    <row r="46073" spans="9:9" x14ac:dyDescent="0.2">
      <c r="I46073" s="137" t="s">
        <v>74</v>
      </c>
    </row>
    <row r="46074" spans="9:9" x14ac:dyDescent="0.2">
      <c r="I46074" s="137" t="s">
        <v>74</v>
      </c>
    </row>
    <row r="46075" spans="9:9" x14ac:dyDescent="0.2">
      <c r="I46075" s="137" t="s">
        <v>74</v>
      </c>
    </row>
    <row r="46076" spans="9:9" x14ac:dyDescent="0.2">
      <c r="I46076" s="137" t="s">
        <v>74</v>
      </c>
    </row>
    <row r="46077" spans="9:9" x14ac:dyDescent="0.2">
      <c r="I46077" s="137" t="s">
        <v>74</v>
      </c>
    </row>
    <row r="46078" spans="9:9" x14ac:dyDescent="0.2">
      <c r="I46078" s="137" t="s">
        <v>74</v>
      </c>
    </row>
    <row r="46079" spans="9:9" x14ac:dyDescent="0.2">
      <c r="I46079" s="137" t="s">
        <v>74</v>
      </c>
    </row>
    <row r="46080" spans="9:9" x14ac:dyDescent="0.2">
      <c r="I46080" s="137" t="s">
        <v>74</v>
      </c>
    </row>
    <row r="46081" spans="9:9" x14ac:dyDescent="0.2">
      <c r="I46081" s="137" t="s">
        <v>74</v>
      </c>
    </row>
    <row r="46082" spans="9:9" x14ac:dyDescent="0.2">
      <c r="I46082" s="137" t="s">
        <v>74</v>
      </c>
    </row>
    <row r="46083" spans="9:9" x14ac:dyDescent="0.2">
      <c r="I46083" s="137" t="s">
        <v>74</v>
      </c>
    </row>
    <row r="46084" spans="9:9" x14ac:dyDescent="0.2">
      <c r="I46084" s="137" t="s">
        <v>74</v>
      </c>
    </row>
    <row r="46085" spans="9:9" x14ac:dyDescent="0.2">
      <c r="I46085" s="137" t="s">
        <v>74</v>
      </c>
    </row>
    <row r="46086" spans="9:9" x14ac:dyDescent="0.2">
      <c r="I46086" s="137" t="s">
        <v>74</v>
      </c>
    </row>
    <row r="46087" spans="9:9" x14ac:dyDescent="0.2">
      <c r="I46087" s="137" t="s">
        <v>74</v>
      </c>
    </row>
    <row r="46088" spans="9:9" x14ac:dyDescent="0.2">
      <c r="I46088" s="137" t="s">
        <v>74</v>
      </c>
    </row>
    <row r="46089" spans="9:9" x14ac:dyDescent="0.2">
      <c r="I46089" s="137" t="s">
        <v>74</v>
      </c>
    </row>
    <row r="46090" spans="9:9" x14ac:dyDescent="0.2">
      <c r="I46090" s="137" t="s">
        <v>74</v>
      </c>
    </row>
    <row r="46091" spans="9:9" x14ac:dyDescent="0.2">
      <c r="I46091" s="137" t="s">
        <v>74</v>
      </c>
    </row>
    <row r="46092" spans="9:9" x14ac:dyDescent="0.2">
      <c r="I46092" s="137" t="s">
        <v>74</v>
      </c>
    </row>
    <row r="46093" spans="9:9" x14ac:dyDescent="0.2">
      <c r="I46093" s="137" t="s">
        <v>74</v>
      </c>
    </row>
    <row r="46094" spans="9:9" x14ac:dyDescent="0.2">
      <c r="I46094" s="137" t="s">
        <v>74</v>
      </c>
    </row>
    <row r="46095" spans="9:9" x14ac:dyDescent="0.2">
      <c r="I46095" s="137" t="s">
        <v>74</v>
      </c>
    </row>
    <row r="46096" spans="9:9" x14ac:dyDescent="0.2">
      <c r="I46096" s="137" t="s">
        <v>74</v>
      </c>
    </row>
    <row r="46097" spans="9:9" x14ac:dyDescent="0.2">
      <c r="I46097" s="137" t="s">
        <v>74</v>
      </c>
    </row>
    <row r="46098" spans="9:9" x14ac:dyDescent="0.2">
      <c r="I46098" s="137" t="s">
        <v>74</v>
      </c>
    </row>
    <row r="46099" spans="9:9" x14ac:dyDescent="0.2">
      <c r="I46099" s="137" t="s">
        <v>74</v>
      </c>
    </row>
    <row r="46100" spans="9:9" x14ac:dyDescent="0.2">
      <c r="I46100" s="137" t="s">
        <v>74</v>
      </c>
    </row>
    <row r="46101" spans="9:9" x14ac:dyDescent="0.2">
      <c r="I46101" s="137" t="s">
        <v>74</v>
      </c>
    </row>
    <row r="46102" spans="9:9" x14ac:dyDescent="0.2">
      <c r="I46102" s="137" t="s">
        <v>74</v>
      </c>
    </row>
    <row r="46103" spans="9:9" x14ac:dyDescent="0.2">
      <c r="I46103" s="137" t="s">
        <v>74</v>
      </c>
    </row>
    <row r="46104" spans="9:9" x14ac:dyDescent="0.2">
      <c r="I46104" s="137" t="s">
        <v>74</v>
      </c>
    </row>
    <row r="46105" spans="9:9" x14ac:dyDescent="0.2">
      <c r="I46105" s="137" t="s">
        <v>74</v>
      </c>
    </row>
    <row r="46106" spans="9:9" x14ac:dyDescent="0.2">
      <c r="I46106" s="137" t="s">
        <v>74</v>
      </c>
    </row>
    <row r="46107" spans="9:9" x14ac:dyDescent="0.2">
      <c r="I46107" s="137" t="s">
        <v>74</v>
      </c>
    </row>
    <row r="46108" spans="9:9" x14ac:dyDescent="0.2">
      <c r="I46108" s="137" t="s">
        <v>74</v>
      </c>
    </row>
    <row r="46109" spans="9:9" x14ac:dyDescent="0.2">
      <c r="I46109" s="137" t="s">
        <v>74</v>
      </c>
    </row>
    <row r="46110" spans="9:9" x14ac:dyDescent="0.2">
      <c r="I46110" s="137" t="s">
        <v>74</v>
      </c>
    </row>
    <row r="46111" spans="9:9" x14ac:dyDescent="0.2">
      <c r="I46111" s="137" t="s">
        <v>74</v>
      </c>
    </row>
    <row r="46112" spans="9:9" x14ac:dyDescent="0.2">
      <c r="I46112" s="137" t="s">
        <v>74</v>
      </c>
    </row>
    <row r="46113" spans="9:9" x14ac:dyDescent="0.2">
      <c r="I46113" s="137" t="s">
        <v>74</v>
      </c>
    </row>
    <row r="46114" spans="9:9" x14ac:dyDescent="0.2">
      <c r="I46114" s="137" t="s">
        <v>74</v>
      </c>
    </row>
    <row r="46115" spans="9:9" x14ac:dyDescent="0.2">
      <c r="I46115" s="137" t="s">
        <v>74</v>
      </c>
    </row>
    <row r="46116" spans="9:9" x14ac:dyDescent="0.2">
      <c r="I46116" s="137" t="s">
        <v>74</v>
      </c>
    </row>
    <row r="46117" spans="9:9" x14ac:dyDescent="0.2">
      <c r="I46117" s="137" t="s">
        <v>74</v>
      </c>
    </row>
    <row r="46118" spans="9:9" x14ac:dyDescent="0.2">
      <c r="I46118" s="137" t="s">
        <v>74</v>
      </c>
    </row>
    <row r="46119" spans="9:9" x14ac:dyDescent="0.2">
      <c r="I46119" s="137" t="s">
        <v>74</v>
      </c>
    </row>
    <row r="46120" spans="9:9" x14ac:dyDescent="0.2">
      <c r="I46120" s="137" t="s">
        <v>74</v>
      </c>
    </row>
    <row r="46121" spans="9:9" x14ac:dyDescent="0.2">
      <c r="I46121" s="137" t="s">
        <v>74</v>
      </c>
    </row>
    <row r="46122" spans="9:9" x14ac:dyDescent="0.2">
      <c r="I46122" s="137" t="s">
        <v>74</v>
      </c>
    </row>
    <row r="46123" spans="9:9" x14ac:dyDescent="0.2">
      <c r="I46123" s="137" t="s">
        <v>74</v>
      </c>
    </row>
    <row r="46124" spans="9:9" x14ac:dyDescent="0.2">
      <c r="I46124" s="137" t="s">
        <v>74</v>
      </c>
    </row>
    <row r="46125" spans="9:9" x14ac:dyDescent="0.2">
      <c r="I46125" s="137" t="s">
        <v>74</v>
      </c>
    </row>
    <row r="46126" spans="9:9" x14ac:dyDescent="0.2">
      <c r="I46126" s="137" t="s">
        <v>74</v>
      </c>
    </row>
    <row r="46127" spans="9:9" x14ac:dyDescent="0.2">
      <c r="I46127" s="137" t="s">
        <v>74</v>
      </c>
    </row>
    <row r="46128" spans="9:9" x14ac:dyDescent="0.2">
      <c r="I46128" s="137" t="s">
        <v>74</v>
      </c>
    </row>
    <row r="46129" spans="9:9" x14ac:dyDescent="0.2">
      <c r="I46129" s="137" t="s">
        <v>74</v>
      </c>
    </row>
    <row r="46130" spans="9:9" x14ac:dyDescent="0.2">
      <c r="I46130" s="137" t="s">
        <v>74</v>
      </c>
    </row>
    <row r="46131" spans="9:9" x14ac:dyDescent="0.2">
      <c r="I46131" s="137" t="s">
        <v>74</v>
      </c>
    </row>
    <row r="46132" spans="9:9" x14ac:dyDescent="0.2">
      <c r="I46132" s="137" t="s">
        <v>74</v>
      </c>
    </row>
    <row r="46133" spans="9:9" x14ac:dyDescent="0.2">
      <c r="I46133" s="137" t="s">
        <v>74</v>
      </c>
    </row>
    <row r="46134" spans="9:9" x14ac:dyDescent="0.2">
      <c r="I46134" s="137" t="s">
        <v>74</v>
      </c>
    </row>
    <row r="46135" spans="9:9" x14ac:dyDescent="0.2">
      <c r="I46135" s="137" t="s">
        <v>74</v>
      </c>
    </row>
    <row r="46136" spans="9:9" x14ac:dyDescent="0.2">
      <c r="I46136" s="137" t="s">
        <v>74</v>
      </c>
    </row>
    <row r="46137" spans="9:9" x14ac:dyDescent="0.2">
      <c r="I46137" s="137" t="s">
        <v>74</v>
      </c>
    </row>
    <row r="46138" spans="9:9" x14ac:dyDescent="0.2">
      <c r="I46138" s="137" t="s">
        <v>74</v>
      </c>
    </row>
    <row r="46139" spans="9:9" x14ac:dyDescent="0.2">
      <c r="I46139" s="137" t="s">
        <v>74</v>
      </c>
    </row>
    <row r="46140" spans="9:9" x14ac:dyDescent="0.2">
      <c r="I46140" s="137" t="s">
        <v>74</v>
      </c>
    </row>
    <row r="46141" spans="9:9" x14ac:dyDescent="0.2">
      <c r="I46141" s="137" t="s">
        <v>74</v>
      </c>
    </row>
    <row r="46142" spans="9:9" x14ac:dyDescent="0.2">
      <c r="I46142" s="137" t="s">
        <v>74</v>
      </c>
    </row>
    <row r="46143" spans="9:9" x14ac:dyDescent="0.2">
      <c r="I46143" s="137" t="s">
        <v>74</v>
      </c>
    </row>
    <row r="46144" spans="9:9" x14ac:dyDescent="0.2">
      <c r="I46144" s="137" t="s">
        <v>74</v>
      </c>
    </row>
    <row r="46145" spans="9:9" x14ac:dyDescent="0.2">
      <c r="I46145" s="137" t="s">
        <v>74</v>
      </c>
    </row>
    <row r="46146" spans="9:9" x14ac:dyDescent="0.2">
      <c r="I46146" s="137" t="s">
        <v>74</v>
      </c>
    </row>
    <row r="46147" spans="9:9" x14ac:dyDescent="0.2">
      <c r="I46147" s="137" t="s">
        <v>74</v>
      </c>
    </row>
    <row r="46148" spans="9:9" x14ac:dyDescent="0.2">
      <c r="I46148" s="137" t="s">
        <v>74</v>
      </c>
    </row>
    <row r="46149" spans="9:9" x14ac:dyDescent="0.2">
      <c r="I46149" s="137" t="s">
        <v>74</v>
      </c>
    </row>
    <row r="46150" spans="9:9" x14ac:dyDescent="0.2">
      <c r="I46150" s="137" t="s">
        <v>74</v>
      </c>
    </row>
    <row r="46151" spans="9:9" x14ac:dyDescent="0.2">
      <c r="I46151" s="137" t="s">
        <v>74</v>
      </c>
    </row>
    <row r="46152" spans="9:9" x14ac:dyDescent="0.2">
      <c r="I46152" s="137" t="s">
        <v>74</v>
      </c>
    </row>
    <row r="46153" spans="9:9" x14ac:dyDescent="0.2">
      <c r="I46153" s="137" t="s">
        <v>74</v>
      </c>
    </row>
    <row r="46154" spans="9:9" x14ac:dyDescent="0.2">
      <c r="I46154" s="137" t="s">
        <v>74</v>
      </c>
    </row>
    <row r="46155" spans="9:9" x14ac:dyDescent="0.2">
      <c r="I46155" s="137" t="s">
        <v>74</v>
      </c>
    </row>
    <row r="46156" spans="9:9" x14ac:dyDescent="0.2">
      <c r="I46156" s="137" t="s">
        <v>74</v>
      </c>
    </row>
    <row r="46157" spans="9:9" x14ac:dyDescent="0.2">
      <c r="I46157" s="137" t="s">
        <v>74</v>
      </c>
    </row>
    <row r="46158" spans="9:9" x14ac:dyDescent="0.2">
      <c r="I46158" s="137" t="s">
        <v>74</v>
      </c>
    </row>
    <row r="46159" spans="9:9" x14ac:dyDescent="0.2">
      <c r="I46159" s="137" t="s">
        <v>74</v>
      </c>
    </row>
    <row r="46160" spans="9:9" x14ac:dyDescent="0.2">
      <c r="I46160" s="137" t="s">
        <v>74</v>
      </c>
    </row>
    <row r="46161" spans="9:9" x14ac:dyDescent="0.2">
      <c r="I46161" s="137" t="s">
        <v>74</v>
      </c>
    </row>
    <row r="46162" spans="9:9" x14ac:dyDescent="0.2">
      <c r="I46162" s="137" t="s">
        <v>74</v>
      </c>
    </row>
    <row r="46163" spans="9:9" x14ac:dyDescent="0.2">
      <c r="I46163" s="137" t="s">
        <v>74</v>
      </c>
    </row>
    <row r="46164" spans="9:9" x14ac:dyDescent="0.2">
      <c r="I46164" s="137" t="s">
        <v>74</v>
      </c>
    </row>
    <row r="46165" spans="9:9" x14ac:dyDescent="0.2">
      <c r="I46165" s="137" t="s">
        <v>74</v>
      </c>
    </row>
    <row r="46166" spans="9:9" x14ac:dyDescent="0.2">
      <c r="I46166" s="137" t="s">
        <v>74</v>
      </c>
    </row>
    <row r="46167" spans="9:9" x14ac:dyDescent="0.2">
      <c r="I46167" s="137" t="s">
        <v>74</v>
      </c>
    </row>
    <row r="46168" spans="9:9" x14ac:dyDescent="0.2">
      <c r="I46168" s="137" t="s">
        <v>74</v>
      </c>
    </row>
    <row r="46169" spans="9:9" x14ac:dyDescent="0.2">
      <c r="I46169" s="137" t="s">
        <v>74</v>
      </c>
    </row>
    <row r="46170" spans="9:9" x14ac:dyDescent="0.2">
      <c r="I46170" s="137" t="s">
        <v>74</v>
      </c>
    </row>
    <row r="46171" spans="9:9" x14ac:dyDescent="0.2">
      <c r="I46171" s="137" t="s">
        <v>74</v>
      </c>
    </row>
    <row r="46172" spans="9:9" x14ac:dyDescent="0.2">
      <c r="I46172" s="137" t="s">
        <v>74</v>
      </c>
    </row>
    <row r="46173" spans="9:9" x14ac:dyDescent="0.2">
      <c r="I46173" s="137" t="s">
        <v>74</v>
      </c>
    </row>
    <row r="46174" spans="9:9" x14ac:dyDescent="0.2">
      <c r="I46174" s="137" t="s">
        <v>74</v>
      </c>
    </row>
    <row r="46175" spans="9:9" x14ac:dyDescent="0.2">
      <c r="I46175" s="137" t="s">
        <v>74</v>
      </c>
    </row>
    <row r="46176" spans="9:9" x14ac:dyDescent="0.2">
      <c r="I46176" s="137" t="s">
        <v>74</v>
      </c>
    </row>
    <row r="46177" spans="9:9" x14ac:dyDescent="0.2">
      <c r="I46177" s="137" t="s">
        <v>74</v>
      </c>
    </row>
    <row r="46178" spans="9:9" x14ac:dyDescent="0.2">
      <c r="I46178" s="137" t="s">
        <v>74</v>
      </c>
    </row>
    <row r="46179" spans="9:9" x14ac:dyDescent="0.2">
      <c r="I46179" s="137" t="s">
        <v>74</v>
      </c>
    </row>
    <row r="46180" spans="9:9" x14ac:dyDescent="0.2">
      <c r="I46180" s="137" t="s">
        <v>74</v>
      </c>
    </row>
    <row r="46181" spans="9:9" x14ac:dyDescent="0.2">
      <c r="I46181" s="137" t="s">
        <v>74</v>
      </c>
    </row>
    <row r="46182" spans="9:9" x14ac:dyDescent="0.2">
      <c r="I46182" s="137" t="s">
        <v>74</v>
      </c>
    </row>
    <row r="46183" spans="9:9" x14ac:dyDescent="0.2">
      <c r="I46183" s="137" t="s">
        <v>74</v>
      </c>
    </row>
    <row r="46184" spans="9:9" x14ac:dyDescent="0.2">
      <c r="I46184" s="137" t="s">
        <v>74</v>
      </c>
    </row>
    <row r="46185" spans="9:9" x14ac:dyDescent="0.2">
      <c r="I46185" s="137" t="s">
        <v>74</v>
      </c>
    </row>
    <row r="46186" spans="9:9" x14ac:dyDescent="0.2">
      <c r="I46186" s="137" t="s">
        <v>74</v>
      </c>
    </row>
    <row r="46187" spans="9:9" x14ac:dyDescent="0.2">
      <c r="I46187" s="137" t="s">
        <v>74</v>
      </c>
    </row>
    <row r="46188" spans="9:9" x14ac:dyDescent="0.2">
      <c r="I46188" s="137" t="s">
        <v>74</v>
      </c>
    </row>
    <row r="46189" spans="9:9" x14ac:dyDescent="0.2">
      <c r="I46189" s="137" t="s">
        <v>74</v>
      </c>
    </row>
    <row r="46190" spans="9:9" x14ac:dyDescent="0.2">
      <c r="I46190" s="137" t="s">
        <v>74</v>
      </c>
    </row>
    <row r="46191" spans="9:9" x14ac:dyDescent="0.2">
      <c r="I46191" s="137" t="s">
        <v>74</v>
      </c>
    </row>
    <row r="46192" spans="9:9" x14ac:dyDescent="0.2">
      <c r="I46192" s="137" t="s">
        <v>74</v>
      </c>
    </row>
    <row r="46193" spans="9:9" x14ac:dyDescent="0.2">
      <c r="I46193" s="137" t="s">
        <v>74</v>
      </c>
    </row>
    <row r="46194" spans="9:9" x14ac:dyDescent="0.2">
      <c r="I46194" s="137" t="s">
        <v>74</v>
      </c>
    </row>
    <row r="46195" spans="9:9" x14ac:dyDescent="0.2">
      <c r="I46195" s="137" t="s">
        <v>74</v>
      </c>
    </row>
    <row r="46196" spans="9:9" x14ac:dyDescent="0.2">
      <c r="I46196" s="137" t="s">
        <v>74</v>
      </c>
    </row>
    <row r="46197" spans="9:9" x14ac:dyDescent="0.2">
      <c r="I46197" s="137" t="s">
        <v>74</v>
      </c>
    </row>
    <row r="46198" spans="9:9" x14ac:dyDescent="0.2">
      <c r="I46198" s="137" t="s">
        <v>74</v>
      </c>
    </row>
    <row r="46199" spans="9:9" x14ac:dyDescent="0.2">
      <c r="I46199" s="137" t="s">
        <v>74</v>
      </c>
    </row>
    <row r="46200" spans="9:9" x14ac:dyDescent="0.2">
      <c r="I46200" s="137" t="s">
        <v>74</v>
      </c>
    </row>
    <row r="46201" spans="9:9" x14ac:dyDescent="0.2">
      <c r="I46201" s="137" t="s">
        <v>74</v>
      </c>
    </row>
    <row r="46202" spans="9:9" x14ac:dyDescent="0.2">
      <c r="I46202" s="137" t="s">
        <v>74</v>
      </c>
    </row>
    <row r="46203" spans="9:9" x14ac:dyDescent="0.2">
      <c r="I46203" s="137" t="s">
        <v>74</v>
      </c>
    </row>
    <row r="46204" spans="9:9" x14ac:dyDescent="0.2">
      <c r="I46204" s="137" t="s">
        <v>74</v>
      </c>
    </row>
    <row r="46205" spans="9:9" x14ac:dyDescent="0.2">
      <c r="I46205" s="137" t="s">
        <v>74</v>
      </c>
    </row>
    <row r="46206" spans="9:9" x14ac:dyDescent="0.2">
      <c r="I46206" s="137" t="s">
        <v>74</v>
      </c>
    </row>
    <row r="46207" spans="9:9" x14ac:dyDescent="0.2">
      <c r="I46207" s="137" t="s">
        <v>74</v>
      </c>
    </row>
    <row r="46208" spans="9:9" x14ac:dyDescent="0.2">
      <c r="I46208" s="137" t="s">
        <v>74</v>
      </c>
    </row>
    <row r="46209" spans="9:9" x14ac:dyDescent="0.2">
      <c r="I46209" s="137" t="s">
        <v>74</v>
      </c>
    </row>
    <row r="46210" spans="9:9" x14ac:dyDescent="0.2">
      <c r="I46210" s="137" t="s">
        <v>74</v>
      </c>
    </row>
    <row r="46211" spans="9:9" x14ac:dyDescent="0.2">
      <c r="I46211" s="137" t="s">
        <v>74</v>
      </c>
    </row>
    <row r="46212" spans="9:9" x14ac:dyDescent="0.2">
      <c r="I46212" s="137" t="s">
        <v>74</v>
      </c>
    </row>
    <row r="46213" spans="9:9" x14ac:dyDescent="0.2">
      <c r="I46213" s="137" t="s">
        <v>74</v>
      </c>
    </row>
    <row r="46214" spans="9:9" x14ac:dyDescent="0.2">
      <c r="I46214" s="137" t="s">
        <v>74</v>
      </c>
    </row>
    <row r="46215" spans="9:9" x14ac:dyDescent="0.2">
      <c r="I46215" s="137" t="s">
        <v>74</v>
      </c>
    </row>
    <row r="46216" spans="9:9" x14ac:dyDescent="0.2">
      <c r="I46216" s="137" t="s">
        <v>74</v>
      </c>
    </row>
    <row r="46217" spans="9:9" x14ac:dyDescent="0.2">
      <c r="I46217" s="137" t="s">
        <v>74</v>
      </c>
    </row>
    <row r="46218" spans="9:9" x14ac:dyDescent="0.2">
      <c r="I46218" s="137" t="s">
        <v>74</v>
      </c>
    </row>
    <row r="46219" spans="9:9" x14ac:dyDescent="0.2">
      <c r="I46219" s="137" t="s">
        <v>74</v>
      </c>
    </row>
    <row r="46220" spans="9:9" x14ac:dyDescent="0.2">
      <c r="I46220" s="137" t="s">
        <v>74</v>
      </c>
    </row>
    <row r="46221" spans="9:9" x14ac:dyDescent="0.2">
      <c r="I46221" s="137" t="s">
        <v>74</v>
      </c>
    </row>
    <row r="46222" spans="9:9" x14ac:dyDescent="0.2">
      <c r="I46222" s="137" t="s">
        <v>74</v>
      </c>
    </row>
    <row r="46223" spans="9:9" x14ac:dyDescent="0.2">
      <c r="I46223" s="137" t="s">
        <v>74</v>
      </c>
    </row>
    <row r="46224" spans="9:9" x14ac:dyDescent="0.2">
      <c r="I46224" s="137" t="s">
        <v>74</v>
      </c>
    </row>
    <row r="46225" spans="9:9" x14ac:dyDescent="0.2">
      <c r="I46225" s="137" t="s">
        <v>74</v>
      </c>
    </row>
    <row r="46226" spans="9:9" x14ac:dyDescent="0.2">
      <c r="I46226" s="137" t="s">
        <v>74</v>
      </c>
    </row>
    <row r="46227" spans="9:9" x14ac:dyDescent="0.2">
      <c r="I46227" s="137" t="s">
        <v>74</v>
      </c>
    </row>
    <row r="46228" spans="9:9" x14ac:dyDescent="0.2">
      <c r="I46228" s="137" t="s">
        <v>74</v>
      </c>
    </row>
    <row r="46229" spans="9:9" x14ac:dyDescent="0.2">
      <c r="I46229" s="137" t="s">
        <v>74</v>
      </c>
    </row>
    <row r="46230" spans="9:9" x14ac:dyDescent="0.2">
      <c r="I46230" s="137" t="s">
        <v>74</v>
      </c>
    </row>
    <row r="46231" spans="9:9" x14ac:dyDescent="0.2">
      <c r="I46231" s="137" t="s">
        <v>74</v>
      </c>
    </row>
    <row r="46232" spans="9:9" x14ac:dyDescent="0.2">
      <c r="I46232" s="137" t="s">
        <v>74</v>
      </c>
    </row>
    <row r="46233" spans="9:9" x14ac:dyDescent="0.2">
      <c r="I46233" s="137" t="s">
        <v>74</v>
      </c>
    </row>
    <row r="46234" spans="9:9" x14ac:dyDescent="0.2">
      <c r="I46234" s="137" t="s">
        <v>74</v>
      </c>
    </row>
    <row r="46235" spans="9:9" x14ac:dyDescent="0.2">
      <c r="I46235" s="137" t="s">
        <v>74</v>
      </c>
    </row>
    <row r="46236" spans="9:9" x14ac:dyDescent="0.2">
      <c r="I46236" s="137" t="s">
        <v>74</v>
      </c>
    </row>
    <row r="46237" spans="9:9" x14ac:dyDescent="0.2">
      <c r="I46237" s="137" t="s">
        <v>74</v>
      </c>
    </row>
    <row r="46238" spans="9:9" x14ac:dyDescent="0.2">
      <c r="I46238" s="137" t="s">
        <v>74</v>
      </c>
    </row>
    <row r="46239" spans="9:9" x14ac:dyDescent="0.2">
      <c r="I46239" s="137" t="s">
        <v>74</v>
      </c>
    </row>
    <row r="46240" spans="9:9" x14ac:dyDescent="0.2">
      <c r="I46240" s="137" t="s">
        <v>74</v>
      </c>
    </row>
    <row r="46241" spans="9:9" x14ac:dyDescent="0.2">
      <c r="I46241" s="137" t="s">
        <v>74</v>
      </c>
    </row>
    <row r="46242" spans="9:9" x14ac:dyDescent="0.2">
      <c r="I46242" s="137" t="s">
        <v>74</v>
      </c>
    </row>
    <row r="46243" spans="9:9" x14ac:dyDescent="0.2">
      <c r="I46243" s="137" t="s">
        <v>74</v>
      </c>
    </row>
    <row r="46244" spans="9:9" x14ac:dyDescent="0.2">
      <c r="I46244" s="137" t="s">
        <v>74</v>
      </c>
    </row>
    <row r="46245" spans="9:9" x14ac:dyDescent="0.2">
      <c r="I46245" s="137" t="s">
        <v>74</v>
      </c>
    </row>
    <row r="46246" spans="9:9" x14ac:dyDescent="0.2">
      <c r="I46246" s="137" t="s">
        <v>74</v>
      </c>
    </row>
    <row r="46247" spans="9:9" x14ac:dyDescent="0.2">
      <c r="I46247" s="137" t="s">
        <v>74</v>
      </c>
    </row>
    <row r="46248" spans="9:9" x14ac:dyDescent="0.2">
      <c r="I46248" s="137" t="s">
        <v>74</v>
      </c>
    </row>
    <row r="46249" spans="9:9" x14ac:dyDescent="0.2">
      <c r="I46249" s="137" t="s">
        <v>74</v>
      </c>
    </row>
    <row r="46250" spans="9:9" x14ac:dyDescent="0.2">
      <c r="I46250" s="137" t="s">
        <v>74</v>
      </c>
    </row>
    <row r="46251" spans="9:9" x14ac:dyDescent="0.2">
      <c r="I46251" s="137" t="s">
        <v>74</v>
      </c>
    </row>
    <row r="46252" spans="9:9" x14ac:dyDescent="0.2">
      <c r="I46252" s="137" t="s">
        <v>74</v>
      </c>
    </row>
    <row r="46253" spans="9:9" x14ac:dyDescent="0.2">
      <c r="I46253" s="137" t="s">
        <v>74</v>
      </c>
    </row>
    <row r="46254" spans="9:9" x14ac:dyDescent="0.2">
      <c r="I46254" s="137" t="s">
        <v>74</v>
      </c>
    </row>
    <row r="46255" spans="9:9" x14ac:dyDescent="0.2">
      <c r="I46255" s="137" t="s">
        <v>74</v>
      </c>
    </row>
    <row r="46256" spans="9:9" x14ac:dyDescent="0.2">
      <c r="I46256" s="137" t="s">
        <v>74</v>
      </c>
    </row>
    <row r="46257" spans="9:9" x14ac:dyDescent="0.2">
      <c r="I46257" s="137" t="s">
        <v>74</v>
      </c>
    </row>
    <row r="46258" spans="9:9" x14ac:dyDescent="0.2">
      <c r="I46258" s="137" t="s">
        <v>74</v>
      </c>
    </row>
    <row r="46259" spans="9:9" x14ac:dyDescent="0.2">
      <c r="I46259" s="137" t="s">
        <v>74</v>
      </c>
    </row>
    <row r="46260" spans="9:9" x14ac:dyDescent="0.2">
      <c r="I46260" s="137" t="s">
        <v>74</v>
      </c>
    </row>
    <row r="46261" spans="9:9" x14ac:dyDescent="0.2">
      <c r="I46261" s="137" t="s">
        <v>74</v>
      </c>
    </row>
    <row r="46262" spans="9:9" x14ac:dyDescent="0.2">
      <c r="I46262" s="137" t="s">
        <v>74</v>
      </c>
    </row>
    <row r="46263" spans="9:9" x14ac:dyDescent="0.2">
      <c r="I46263" s="137" t="s">
        <v>74</v>
      </c>
    </row>
    <row r="46264" spans="9:9" x14ac:dyDescent="0.2">
      <c r="I46264" s="137" t="s">
        <v>74</v>
      </c>
    </row>
    <row r="46265" spans="9:9" x14ac:dyDescent="0.2">
      <c r="I46265" s="137" t="s">
        <v>74</v>
      </c>
    </row>
    <row r="46266" spans="9:9" x14ac:dyDescent="0.2">
      <c r="I46266" s="137" t="s">
        <v>74</v>
      </c>
    </row>
    <row r="46267" spans="9:9" x14ac:dyDescent="0.2">
      <c r="I46267" s="137" t="s">
        <v>74</v>
      </c>
    </row>
    <row r="46268" spans="9:9" x14ac:dyDescent="0.2">
      <c r="I46268" s="137" t="s">
        <v>74</v>
      </c>
    </row>
    <row r="46269" spans="9:9" x14ac:dyDescent="0.2">
      <c r="I46269" s="137" t="s">
        <v>74</v>
      </c>
    </row>
    <row r="46270" spans="9:9" x14ac:dyDescent="0.2">
      <c r="I46270" s="137" t="s">
        <v>74</v>
      </c>
    </row>
    <row r="46271" spans="9:9" x14ac:dyDescent="0.2">
      <c r="I46271" s="137" t="s">
        <v>74</v>
      </c>
    </row>
    <row r="46272" spans="9:9" x14ac:dyDescent="0.2">
      <c r="I46272" s="137" t="s">
        <v>74</v>
      </c>
    </row>
    <row r="46273" spans="9:9" x14ac:dyDescent="0.2">
      <c r="I46273" s="137" t="s">
        <v>74</v>
      </c>
    </row>
    <row r="46274" spans="9:9" x14ac:dyDescent="0.2">
      <c r="I46274" s="137" t="s">
        <v>74</v>
      </c>
    </row>
    <row r="46275" spans="9:9" x14ac:dyDescent="0.2">
      <c r="I46275" s="137" t="s">
        <v>74</v>
      </c>
    </row>
    <row r="46276" spans="9:9" x14ac:dyDescent="0.2">
      <c r="I46276" s="137" t="s">
        <v>74</v>
      </c>
    </row>
    <row r="46277" spans="9:9" x14ac:dyDescent="0.2">
      <c r="I46277" s="137" t="s">
        <v>74</v>
      </c>
    </row>
    <row r="46278" spans="9:9" x14ac:dyDescent="0.2">
      <c r="I46278" s="137" t="s">
        <v>74</v>
      </c>
    </row>
    <row r="46279" spans="9:9" x14ac:dyDescent="0.2">
      <c r="I46279" s="137" t="s">
        <v>74</v>
      </c>
    </row>
    <row r="46280" spans="9:9" x14ac:dyDescent="0.2">
      <c r="I46280" s="137" t="s">
        <v>74</v>
      </c>
    </row>
    <row r="46281" spans="9:9" x14ac:dyDescent="0.2">
      <c r="I46281" s="137" t="s">
        <v>74</v>
      </c>
    </row>
    <row r="46282" spans="9:9" x14ac:dyDescent="0.2">
      <c r="I46282" s="137" t="s">
        <v>74</v>
      </c>
    </row>
    <row r="46283" spans="9:9" x14ac:dyDescent="0.2">
      <c r="I46283" s="137" t="s">
        <v>74</v>
      </c>
    </row>
    <row r="46284" spans="9:9" x14ac:dyDescent="0.2">
      <c r="I46284" s="137" t="s">
        <v>74</v>
      </c>
    </row>
    <row r="46285" spans="9:9" x14ac:dyDescent="0.2">
      <c r="I46285" s="137" t="s">
        <v>74</v>
      </c>
    </row>
    <row r="46286" spans="9:9" x14ac:dyDescent="0.2">
      <c r="I46286" s="137" t="s">
        <v>74</v>
      </c>
    </row>
    <row r="46287" spans="9:9" x14ac:dyDescent="0.2">
      <c r="I46287" s="137" t="s">
        <v>74</v>
      </c>
    </row>
    <row r="46288" spans="9:9" x14ac:dyDescent="0.2">
      <c r="I46288" s="137" t="s">
        <v>74</v>
      </c>
    </row>
    <row r="46289" spans="9:9" x14ac:dyDescent="0.2">
      <c r="I46289" s="137" t="s">
        <v>74</v>
      </c>
    </row>
    <row r="46290" spans="9:9" x14ac:dyDescent="0.2">
      <c r="I46290" s="137" t="s">
        <v>74</v>
      </c>
    </row>
    <row r="46291" spans="9:9" x14ac:dyDescent="0.2">
      <c r="I46291" s="137" t="s">
        <v>74</v>
      </c>
    </row>
    <row r="46292" spans="9:9" x14ac:dyDescent="0.2">
      <c r="I46292" s="137" t="s">
        <v>74</v>
      </c>
    </row>
    <row r="46293" spans="9:9" x14ac:dyDescent="0.2">
      <c r="I46293" s="137" t="s">
        <v>74</v>
      </c>
    </row>
    <row r="46294" spans="9:9" x14ac:dyDescent="0.2">
      <c r="I46294" s="137" t="s">
        <v>74</v>
      </c>
    </row>
    <row r="46295" spans="9:9" x14ac:dyDescent="0.2">
      <c r="I46295" s="137" t="s">
        <v>74</v>
      </c>
    </row>
    <row r="46296" spans="9:9" x14ac:dyDescent="0.2">
      <c r="I46296" s="137" t="s">
        <v>74</v>
      </c>
    </row>
    <row r="46297" spans="9:9" x14ac:dyDescent="0.2">
      <c r="I46297" s="137" t="s">
        <v>74</v>
      </c>
    </row>
    <row r="46298" spans="9:9" x14ac:dyDescent="0.2">
      <c r="I46298" s="137" t="s">
        <v>74</v>
      </c>
    </row>
    <row r="46299" spans="9:9" x14ac:dyDescent="0.2">
      <c r="I46299" s="137" t="s">
        <v>74</v>
      </c>
    </row>
    <row r="46300" spans="9:9" x14ac:dyDescent="0.2">
      <c r="I46300" s="137" t="s">
        <v>74</v>
      </c>
    </row>
    <row r="46301" spans="9:9" x14ac:dyDescent="0.2">
      <c r="I46301" s="137" t="s">
        <v>74</v>
      </c>
    </row>
    <row r="46302" spans="9:9" x14ac:dyDescent="0.2">
      <c r="I46302" s="137" t="s">
        <v>74</v>
      </c>
    </row>
    <row r="46303" spans="9:9" x14ac:dyDescent="0.2">
      <c r="I46303" s="137" t="s">
        <v>74</v>
      </c>
    </row>
    <row r="46304" spans="9:9" x14ac:dyDescent="0.2">
      <c r="I46304" s="137" t="s">
        <v>74</v>
      </c>
    </row>
    <row r="46305" spans="9:9" x14ac:dyDescent="0.2">
      <c r="I46305" s="137" t="s">
        <v>74</v>
      </c>
    </row>
    <row r="46306" spans="9:9" x14ac:dyDescent="0.2">
      <c r="I46306" s="137" t="s">
        <v>74</v>
      </c>
    </row>
    <row r="46307" spans="9:9" x14ac:dyDescent="0.2">
      <c r="I46307" s="137" t="s">
        <v>74</v>
      </c>
    </row>
    <row r="46308" spans="9:9" x14ac:dyDescent="0.2">
      <c r="I46308" s="137" t="s">
        <v>74</v>
      </c>
    </row>
    <row r="46309" spans="9:9" x14ac:dyDescent="0.2">
      <c r="I46309" s="137" t="s">
        <v>74</v>
      </c>
    </row>
    <row r="46310" spans="9:9" x14ac:dyDescent="0.2">
      <c r="I46310" s="137" t="s">
        <v>74</v>
      </c>
    </row>
    <row r="46311" spans="9:9" x14ac:dyDescent="0.2">
      <c r="I46311" s="137" t="s">
        <v>74</v>
      </c>
    </row>
    <row r="46312" spans="9:9" x14ac:dyDescent="0.2">
      <c r="I46312" s="137" t="s">
        <v>74</v>
      </c>
    </row>
    <row r="46313" spans="9:9" x14ac:dyDescent="0.2">
      <c r="I46313" s="137" t="s">
        <v>74</v>
      </c>
    </row>
    <row r="46314" spans="9:9" x14ac:dyDescent="0.2">
      <c r="I46314" s="137" t="s">
        <v>74</v>
      </c>
    </row>
    <row r="46315" spans="9:9" x14ac:dyDescent="0.2">
      <c r="I46315" s="137" t="s">
        <v>74</v>
      </c>
    </row>
    <row r="46316" spans="9:9" x14ac:dyDescent="0.2">
      <c r="I46316" s="137" t="s">
        <v>74</v>
      </c>
    </row>
    <row r="46317" spans="9:9" x14ac:dyDescent="0.2">
      <c r="I46317" s="137" t="s">
        <v>74</v>
      </c>
    </row>
    <row r="46318" spans="9:9" x14ac:dyDescent="0.2">
      <c r="I46318" s="137" t="s">
        <v>74</v>
      </c>
    </row>
    <row r="46319" spans="9:9" x14ac:dyDescent="0.2">
      <c r="I46319" s="137" t="s">
        <v>74</v>
      </c>
    </row>
    <row r="46320" spans="9:9" x14ac:dyDescent="0.2">
      <c r="I46320" s="137" t="s">
        <v>74</v>
      </c>
    </row>
    <row r="46321" spans="9:9" x14ac:dyDescent="0.2">
      <c r="I46321" s="137" t="s">
        <v>74</v>
      </c>
    </row>
    <row r="46322" spans="9:9" x14ac:dyDescent="0.2">
      <c r="I46322" s="137" t="s">
        <v>74</v>
      </c>
    </row>
    <row r="46323" spans="9:9" x14ac:dyDescent="0.2">
      <c r="I46323" s="137" t="s">
        <v>74</v>
      </c>
    </row>
    <row r="46324" spans="9:9" x14ac:dyDescent="0.2">
      <c r="I46324" s="137" t="s">
        <v>74</v>
      </c>
    </row>
    <row r="46325" spans="9:9" x14ac:dyDescent="0.2">
      <c r="I46325" s="137" t="s">
        <v>74</v>
      </c>
    </row>
    <row r="46326" spans="9:9" x14ac:dyDescent="0.2">
      <c r="I46326" s="137" t="s">
        <v>74</v>
      </c>
    </row>
    <row r="46327" spans="9:9" x14ac:dyDescent="0.2">
      <c r="I46327" s="137" t="s">
        <v>74</v>
      </c>
    </row>
    <row r="46328" spans="9:9" x14ac:dyDescent="0.2">
      <c r="I46328" s="137" t="s">
        <v>74</v>
      </c>
    </row>
    <row r="46329" spans="9:9" x14ac:dyDescent="0.2">
      <c r="I46329" s="137" t="s">
        <v>74</v>
      </c>
    </row>
    <row r="46330" spans="9:9" x14ac:dyDescent="0.2">
      <c r="I46330" s="137" t="s">
        <v>74</v>
      </c>
    </row>
    <row r="46331" spans="9:9" x14ac:dyDescent="0.2">
      <c r="I46331" s="137" t="s">
        <v>74</v>
      </c>
    </row>
    <row r="46332" spans="9:9" x14ac:dyDescent="0.2">
      <c r="I46332" s="137" t="s">
        <v>74</v>
      </c>
    </row>
    <row r="46333" spans="9:9" x14ac:dyDescent="0.2">
      <c r="I46333" s="137" t="s">
        <v>74</v>
      </c>
    </row>
    <row r="46334" spans="9:9" x14ac:dyDescent="0.2">
      <c r="I46334" s="137" t="s">
        <v>74</v>
      </c>
    </row>
    <row r="46335" spans="9:9" x14ac:dyDescent="0.2">
      <c r="I46335" s="137" t="s">
        <v>74</v>
      </c>
    </row>
    <row r="46336" spans="9:9" x14ac:dyDescent="0.2">
      <c r="I46336" s="137" t="s">
        <v>74</v>
      </c>
    </row>
    <row r="46337" spans="9:9" x14ac:dyDescent="0.2">
      <c r="I46337" s="137" t="s">
        <v>74</v>
      </c>
    </row>
    <row r="46338" spans="9:9" x14ac:dyDescent="0.2">
      <c r="I46338" s="137" t="s">
        <v>74</v>
      </c>
    </row>
    <row r="46339" spans="9:9" x14ac:dyDescent="0.2">
      <c r="I46339" s="137" t="s">
        <v>74</v>
      </c>
    </row>
    <row r="46340" spans="9:9" x14ac:dyDescent="0.2">
      <c r="I46340" s="137" t="s">
        <v>74</v>
      </c>
    </row>
    <row r="46341" spans="9:9" x14ac:dyDescent="0.2">
      <c r="I46341" s="137" t="s">
        <v>74</v>
      </c>
    </row>
    <row r="46342" spans="9:9" x14ac:dyDescent="0.2">
      <c r="I46342" s="137" t="s">
        <v>74</v>
      </c>
    </row>
    <row r="46343" spans="9:9" x14ac:dyDescent="0.2">
      <c r="I46343" s="137" t="s">
        <v>74</v>
      </c>
    </row>
    <row r="46344" spans="9:9" x14ac:dyDescent="0.2">
      <c r="I46344" s="137" t="s">
        <v>74</v>
      </c>
    </row>
    <row r="46345" spans="9:9" x14ac:dyDescent="0.2">
      <c r="I46345" s="137" t="s">
        <v>74</v>
      </c>
    </row>
    <row r="46346" spans="9:9" x14ac:dyDescent="0.2">
      <c r="I46346" s="137" t="s">
        <v>74</v>
      </c>
    </row>
    <row r="46347" spans="9:9" x14ac:dyDescent="0.2">
      <c r="I46347" s="137" t="s">
        <v>74</v>
      </c>
    </row>
    <row r="46348" spans="9:9" x14ac:dyDescent="0.2">
      <c r="I46348" s="137" t="s">
        <v>74</v>
      </c>
    </row>
    <row r="46349" spans="9:9" x14ac:dyDescent="0.2">
      <c r="I46349" s="137" t="s">
        <v>74</v>
      </c>
    </row>
    <row r="46350" spans="9:9" x14ac:dyDescent="0.2">
      <c r="I46350" s="137" t="s">
        <v>74</v>
      </c>
    </row>
    <row r="46351" spans="9:9" x14ac:dyDescent="0.2">
      <c r="I46351" s="137" t="s">
        <v>74</v>
      </c>
    </row>
    <row r="46352" spans="9:9" x14ac:dyDescent="0.2">
      <c r="I46352" s="137" t="s">
        <v>74</v>
      </c>
    </row>
    <row r="46353" spans="9:9" x14ac:dyDescent="0.2">
      <c r="I46353" s="137" t="s">
        <v>74</v>
      </c>
    </row>
    <row r="46354" spans="9:9" x14ac:dyDescent="0.2">
      <c r="I46354" s="137" t="s">
        <v>74</v>
      </c>
    </row>
    <row r="46355" spans="9:9" x14ac:dyDescent="0.2">
      <c r="I46355" s="137" t="s">
        <v>74</v>
      </c>
    </row>
    <row r="46356" spans="9:9" x14ac:dyDescent="0.2">
      <c r="I46356" s="137" t="s">
        <v>74</v>
      </c>
    </row>
    <row r="46357" spans="9:9" x14ac:dyDescent="0.2">
      <c r="I46357" s="137" t="s">
        <v>74</v>
      </c>
    </row>
    <row r="46358" spans="9:9" x14ac:dyDescent="0.2">
      <c r="I46358" s="137" t="s">
        <v>74</v>
      </c>
    </row>
    <row r="46359" spans="9:9" x14ac:dyDescent="0.2">
      <c r="I46359" s="137" t="s">
        <v>74</v>
      </c>
    </row>
    <row r="46360" spans="9:9" x14ac:dyDescent="0.2">
      <c r="I46360" s="137" t="s">
        <v>74</v>
      </c>
    </row>
    <row r="46361" spans="9:9" x14ac:dyDescent="0.2">
      <c r="I46361" s="137" t="s">
        <v>74</v>
      </c>
    </row>
    <row r="46362" spans="9:9" x14ac:dyDescent="0.2">
      <c r="I46362" s="137" t="s">
        <v>74</v>
      </c>
    </row>
    <row r="46363" spans="9:9" x14ac:dyDescent="0.2">
      <c r="I46363" s="137" t="s">
        <v>74</v>
      </c>
    </row>
    <row r="46364" spans="9:9" x14ac:dyDescent="0.2">
      <c r="I46364" s="137" t="s">
        <v>74</v>
      </c>
    </row>
    <row r="46365" spans="9:9" x14ac:dyDescent="0.2">
      <c r="I46365" s="137" t="s">
        <v>74</v>
      </c>
    </row>
    <row r="46366" spans="9:9" x14ac:dyDescent="0.2">
      <c r="I46366" s="137" t="s">
        <v>74</v>
      </c>
    </row>
    <row r="46367" spans="9:9" x14ac:dyDescent="0.2">
      <c r="I46367" s="137" t="s">
        <v>74</v>
      </c>
    </row>
    <row r="46368" spans="9:9" x14ac:dyDescent="0.2">
      <c r="I46368" s="137" t="s">
        <v>74</v>
      </c>
    </row>
    <row r="46369" spans="9:9" x14ac:dyDescent="0.2">
      <c r="I46369" s="137" t="s">
        <v>74</v>
      </c>
    </row>
    <row r="46370" spans="9:9" x14ac:dyDescent="0.2">
      <c r="I46370" s="137" t="s">
        <v>74</v>
      </c>
    </row>
    <row r="46371" spans="9:9" x14ac:dyDescent="0.2">
      <c r="I46371" s="137" t="s">
        <v>74</v>
      </c>
    </row>
    <row r="46372" spans="9:9" x14ac:dyDescent="0.2">
      <c r="I46372" s="137" t="s">
        <v>74</v>
      </c>
    </row>
    <row r="46373" spans="9:9" x14ac:dyDescent="0.2">
      <c r="I46373" s="137" t="s">
        <v>74</v>
      </c>
    </row>
    <row r="46374" spans="9:9" x14ac:dyDescent="0.2">
      <c r="I46374" s="137" t="s">
        <v>74</v>
      </c>
    </row>
    <row r="46375" spans="9:9" x14ac:dyDescent="0.2">
      <c r="I46375" s="137" t="s">
        <v>74</v>
      </c>
    </row>
    <row r="46376" spans="9:9" x14ac:dyDescent="0.2">
      <c r="I46376" s="137" t="s">
        <v>74</v>
      </c>
    </row>
    <row r="46377" spans="9:9" x14ac:dyDescent="0.2">
      <c r="I46377" s="137" t="s">
        <v>74</v>
      </c>
    </row>
    <row r="46378" spans="9:9" x14ac:dyDescent="0.2">
      <c r="I46378" s="137" t="s">
        <v>74</v>
      </c>
    </row>
    <row r="46379" spans="9:9" x14ac:dyDescent="0.2">
      <c r="I46379" s="137" t="s">
        <v>74</v>
      </c>
    </row>
    <row r="46380" spans="9:9" x14ac:dyDescent="0.2">
      <c r="I46380" s="137" t="s">
        <v>74</v>
      </c>
    </row>
    <row r="46381" spans="9:9" x14ac:dyDescent="0.2">
      <c r="I46381" s="137" t="s">
        <v>74</v>
      </c>
    </row>
    <row r="46382" spans="9:9" x14ac:dyDescent="0.2">
      <c r="I46382" s="137" t="s">
        <v>74</v>
      </c>
    </row>
    <row r="46383" spans="9:9" x14ac:dyDescent="0.2">
      <c r="I46383" s="137" t="s">
        <v>74</v>
      </c>
    </row>
    <row r="46384" spans="9:9" x14ac:dyDescent="0.2">
      <c r="I46384" s="137" t="s">
        <v>74</v>
      </c>
    </row>
    <row r="46385" spans="9:9" x14ac:dyDescent="0.2">
      <c r="I46385" s="137" t="s">
        <v>74</v>
      </c>
    </row>
    <row r="46386" spans="9:9" x14ac:dyDescent="0.2">
      <c r="I46386" s="137" t="s">
        <v>74</v>
      </c>
    </row>
    <row r="46387" spans="9:9" x14ac:dyDescent="0.2">
      <c r="I46387" s="137" t="s">
        <v>74</v>
      </c>
    </row>
    <row r="46388" spans="9:9" x14ac:dyDescent="0.2">
      <c r="I46388" s="137" t="s">
        <v>74</v>
      </c>
    </row>
    <row r="46389" spans="9:9" x14ac:dyDescent="0.2">
      <c r="I46389" s="137" t="s">
        <v>74</v>
      </c>
    </row>
    <row r="46390" spans="9:9" x14ac:dyDescent="0.2">
      <c r="I46390" s="137" t="s">
        <v>74</v>
      </c>
    </row>
    <row r="46391" spans="9:9" x14ac:dyDescent="0.2">
      <c r="I46391" s="137" t="s">
        <v>74</v>
      </c>
    </row>
    <row r="46392" spans="9:9" x14ac:dyDescent="0.2">
      <c r="I46392" s="137" t="s">
        <v>74</v>
      </c>
    </row>
    <row r="46393" spans="9:9" x14ac:dyDescent="0.2">
      <c r="I46393" s="137" t="s">
        <v>74</v>
      </c>
    </row>
    <row r="46394" spans="9:9" x14ac:dyDescent="0.2">
      <c r="I46394" s="137" t="s">
        <v>74</v>
      </c>
    </row>
    <row r="46395" spans="9:9" x14ac:dyDescent="0.2">
      <c r="I46395" s="137" t="s">
        <v>74</v>
      </c>
    </row>
    <row r="46396" spans="9:9" x14ac:dyDescent="0.2">
      <c r="I46396" s="137" t="s">
        <v>74</v>
      </c>
    </row>
    <row r="46397" spans="9:9" x14ac:dyDescent="0.2">
      <c r="I46397" s="137" t="s">
        <v>74</v>
      </c>
    </row>
    <row r="46398" spans="9:9" x14ac:dyDescent="0.2">
      <c r="I46398" s="137" t="s">
        <v>74</v>
      </c>
    </row>
    <row r="46399" spans="9:9" x14ac:dyDescent="0.2">
      <c r="I46399" s="137" t="s">
        <v>74</v>
      </c>
    </row>
    <row r="46400" spans="9:9" x14ac:dyDescent="0.2">
      <c r="I46400" s="137" t="s">
        <v>74</v>
      </c>
    </row>
    <row r="46401" spans="9:9" x14ac:dyDescent="0.2">
      <c r="I46401" s="137" t="s">
        <v>74</v>
      </c>
    </row>
    <row r="46402" spans="9:9" x14ac:dyDescent="0.2">
      <c r="I46402" s="137" t="s">
        <v>74</v>
      </c>
    </row>
    <row r="46403" spans="9:9" x14ac:dyDescent="0.2">
      <c r="I46403" s="137" t="s">
        <v>74</v>
      </c>
    </row>
    <row r="46404" spans="9:9" x14ac:dyDescent="0.2">
      <c r="I46404" s="137" t="s">
        <v>74</v>
      </c>
    </row>
    <row r="46405" spans="9:9" x14ac:dyDescent="0.2">
      <c r="I46405" s="137" t="s">
        <v>74</v>
      </c>
    </row>
    <row r="46406" spans="9:9" x14ac:dyDescent="0.2">
      <c r="I46406" s="137" t="s">
        <v>74</v>
      </c>
    </row>
    <row r="46407" spans="9:9" x14ac:dyDescent="0.2">
      <c r="I46407" s="137" t="s">
        <v>74</v>
      </c>
    </row>
    <row r="46408" spans="9:9" x14ac:dyDescent="0.2">
      <c r="I46408" s="137" t="s">
        <v>74</v>
      </c>
    </row>
    <row r="46409" spans="9:9" x14ac:dyDescent="0.2">
      <c r="I46409" s="137" t="s">
        <v>74</v>
      </c>
    </row>
    <row r="46410" spans="9:9" x14ac:dyDescent="0.2">
      <c r="I46410" s="137" t="s">
        <v>74</v>
      </c>
    </row>
    <row r="46411" spans="9:9" x14ac:dyDescent="0.2">
      <c r="I46411" s="137" t="s">
        <v>74</v>
      </c>
    </row>
    <row r="46412" spans="9:9" x14ac:dyDescent="0.2">
      <c r="I46412" s="137" t="s">
        <v>74</v>
      </c>
    </row>
    <row r="46413" spans="9:9" x14ac:dyDescent="0.2">
      <c r="I46413" s="137" t="s">
        <v>74</v>
      </c>
    </row>
    <row r="46414" spans="9:9" x14ac:dyDescent="0.2">
      <c r="I46414" s="137" t="s">
        <v>74</v>
      </c>
    </row>
    <row r="46415" spans="9:9" x14ac:dyDescent="0.2">
      <c r="I46415" s="137" t="s">
        <v>74</v>
      </c>
    </row>
    <row r="46416" spans="9:9" x14ac:dyDescent="0.2">
      <c r="I46416" s="137" t="s">
        <v>74</v>
      </c>
    </row>
    <row r="46417" spans="9:9" x14ac:dyDescent="0.2">
      <c r="I46417" s="137" t="s">
        <v>74</v>
      </c>
    </row>
    <row r="46418" spans="9:9" x14ac:dyDescent="0.2">
      <c r="I46418" s="137" t="s">
        <v>74</v>
      </c>
    </row>
    <row r="46419" spans="9:9" x14ac:dyDescent="0.2">
      <c r="I46419" s="137" t="s">
        <v>74</v>
      </c>
    </row>
    <row r="46420" spans="9:9" x14ac:dyDescent="0.2">
      <c r="I46420" s="137" t="s">
        <v>74</v>
      </c>
    </row>
    <row r="46421" spans="9:9" x14ac:dyDescent="0.2">
      <c r="I46421" s="137" t="s">
        <v>74</v>
      </c>
    </row>
    <row r="46422" spans="9:9" x14ac:dyDescent="0.2">
      <c r="I46422" s="137" t="s">
        <v>74</v>
      </c>
    </row>
    <row r="46423" spans="9:9" x14ac:dyDescent="0.2">
      <c r="I46423" s="137" t="s">
        <v>74</v>
      </c>
    </row>
    <row r="46424" spans="9:9" x14ac:dyDescent="0.2">
      <c r="I46424" s="137" t="s">
        <v>74</v>
      </c>
    </row>
    <row r="46425" spans="9:9" x14ac:dyDescent="0.2">
      <c r="I46425" s="137" t="s">
        <v>74</v>
      </c>
    </row>
    <row r="46426" spans="9:9" x14ac:dyDescent="0.2">
      <c r="I46426" s="137" t="s">
        <v>74</v>
      </c>
    </row>
    <row r="46427" spans="9:9" x14ac:dyDescent="0.2">
      <c r="I46427" s="137" t="s">
        <v>74</v>
      </c>
    </row>
    <row r="46428" spans="9:9" x14ac:dyDescent="0.2">
      <c r="I46428" s="137" t="s">
        <v>74</v>
      </c>
    </row>
    <row r="46429" spans="9:9" x14ac:dyDescent="0.2">
      <c r="I46429" s="137" t="s">
        <v>74</v>
      </c>
    </row>
    <row r="46430" spans="9:9" x14ac:dyDescent="0.2">
      <c r="I46430" s="137" t="s">
        <v>74</v>
      </c>
    </row>
    <row r="46431" spans="9:9" x14ac:dyDescent="0.2">
      <c r="I46431" s="137" t="s">
        <v>74</v>
      </c>
    </row>
    <row r="46432" spans="9:9" x14ac:dyDescent="0.2">
      <c r="I46432" s="137" t="s">
        <v>74</v>
      </c>
    </row>
    <row r="46433" spans="9:9" x14ac:dyDescent="0.2">
      <c r="I46433" s="137" t="s">
        <v>74</v>
      </c>
    </row>
    <row r="46434" spans="9:9" x14ac:dyDescent="0.2">
      <c r="I46434" s="137" t="s">
        <v>74</v>
      </c>
    </row>
    <row r="46435" spans="9:9" x14ac:dyDescent="0.2">
      <c r="I46435" s="137" t="s">
        <v>74</v>
      </c>
    </row>
    <row r="46436" spans="9:9" x14ac:dyDescent="0.2">
      <c r="I46436" s="137" t="s">
        <v>74</v>
      </c>
    </row>
    <row r="46437" spans="9:9" x14ac:dyDescent="0.2">
      <c r="I46437" s="137" t="s">
        <v>74</v>
      </c>
    </row>
    <row r="46438" spans="9:9" x14ac:dyDescent="0.2">
      <c r="I46438" s="137" t="s">
        <v>74</v>
      </c>
    </row>
    <row r="46439" spans="9:9" x14ac:dyDescent="0.2">
      <c r="I46439" s="137" t="s">
        <v>74</v>
      </c>
    </row>
    <row r="46440" spans="9:9" x14ac:dyDescent="0.2">
      <c r="I46440" s="137" t="s">
        <v>74</v>
      </c>
    </row>
    <row r="46441" spans="9:9" x14ac:dyDescent="0.2">
      <c r="I46441" s="137" t="s">
        <v>74</v>
      </c>
    </row>
    <row r="46442" spans="9:9" x14ac:dyDescent="0.2">
      <c r="I46442" s="137" t="s">
        <v>74</v>
      </c>
    </row>
    <row r="46443" spans="9:9" x14ac:dyDescent="0.2">
      <c r="I46443" s="137" t="s">
        <v>74</v>
      </c>
    </row>
    <row r="46444" spans="9:9" x14ac:dyDescent="0.2">
      <c r="I46444" s="137" t="s">
        <v>74</v>
      </c>
    </row>
    <row r="46445" spans="9:9" x14ac:dyDescent="0.2">
      <c r="I46445" s="137" t="s">
        <v>74</v>
      </c>
    </row>
    <row r="46446" spans="9:9" x14ac:dyDescent="0.2">
      <c r="I46446" s="137" t="s">
        <v>74</v>
      </c>
    </row>
    <row r="46447" spans="9:9" x14ac:dyDescent="0.2">
      <c r="I46447" s="137" t="s">
        <v>74</v>
      </c>
    </row>
    <row r="46448" spans="9:9" x14ac:dyDescent="0.2">
      <c r="I46448" s="137" t="s">
        <v>74</v>
      </c>
    </row>
    <row r="46449" spans="9:9" x14ac:dyDescent="0.2">
      <c r="I46449" s="137" t="s">
        <v>74</v>
      </c>
    </row>
    <row r="46450" spans="9:9" x14ac:dyDescent="0.2">
      <c r="I46450" s="137" t="s">
        <v>74</v>
      </c>
    </row>
    <row r="46451" spans="9:9" x14ac:dyDescent="0.2">
      <c r="I46451" s="137" t="s">
        <v>74</v>
      </c>
    </row>
    <row r="46452" spans="9:9" x14ac:dyDescent="0.2">
      <c r="I46452" s="137" t="s">
        <v>74</v>
      </c>
    </row>
    <row r="46453" spans="9:9" x14ac:dyDescent="0.2">
      <c r="I46453" s="137" t="s">
        <v>74</v>
      </c>
    </row>
    <row r="46454" spans="9:9" x14ac:dyDescent="0.2">
      <c r="I46454" s="137" t="s">
        <v>74</v>
      </c>
    </row>
    <row r="46455" spans="9:9" x14ac:dyDescent="0.2">
      <c r="I46455" s="137" t="s">
        <v>74</v>
      </c>
    </row>
    <row r="46456" spans="9:9" x14ac:dyDescent="0.2">
      <c r="I46456" s="137" t="s">
        <v>74</v>
      </c>
    </row>
    <row r="46457" spans="9:9" x14ac:dyDescent="0.2">
      <c r="I46457" s="137" t="s">
        <v>74</v>
      </c>
    </row>
    <row r="46458" spans="9:9" x14ac:dyDescent="0.2">
      <c r="I46458" s="137" t="s">
        <v>74</v>
      </c>
    </row>
    <row r="46459" spans="9:9" x14ac:dyDescent="0.2">
      <c r="I46459" s="137" t="s">
        <v>74</v>
      </c>
    </row>
    <row r="46460" spans="9:9" x14ac:dyDescent="0.2">
      <c r="I46460" s="137" t="s">
        <v>74</v>
      </c>
    </row>
    <row r="46461" spans="9:9" x14ac:dyDescent="0.2">
      <c r="I46461" s="137" t="s">
        <v>74</v>
      </c>
    </row>
    <row r="46462" spans="9:9" x14ac:dyDescent="0.2">
      <c r="I46462" s="137" t="s">
        <v>74</v>
      </c>
    </row>
    <row r="46463" spans="9:9" x14ac:dyDescent="0.2">
      <c r="I46463" s="137" t="s">
        <v>74</v>
      </c>
    </row>
    <row r="46464" spans="9:9" x14ac:dyDescent="0.2">
      <c r="I46464" s="137" t="s">
        <v>74</v>
      </c>
    </row>
    <row r="46465" spans="9:9" x14ac:dyDescent="0.2">
      <c r="I46465" s="137" t="s">
        <v>74</v>
      </c>
    </row>
    <row r="46466" spans="9:9" x14ac:dyDescent="0.2">
      <c r="I46466" s="137" t="s">
        <v>74</v>
      </c>
    </row>
    <row r="46467" spans="9:9" x14ac:dyDescent="0.2">
      <c r="I46467" s="137" t="s">
        <v>74</v>
      </c>
    </row>
    <row r="46468" spans="9:9" x14ac:dyDescent="0.2">
      <c r="I46468" s="137" t="s">
        <v>74</v>
      </c>
    </row>
    <row r="46469" spans="9:9" x14ac:dyDescent="0.2">
      <c r="I46469" s="137" t="s">
        <v>74</v>
      </c>
    </row>
    <row r="46470" spans="9:9" x14ac:dyDescent="0.2">
      <c r="I46470" s="137" t="s">
        <v>74</v>
      </c>
    </row>
    <row r="46471" spans="9:9" x14ac:dyDescent="0.2">
      <c r="I46471" s="137" t="s">
        <v>74</v>
      </c>
    </row>
    <row r="46472" spans="9:9" x14ac:dyDescent="0.2">
      <c r="I46472" s="137" t="s">
        <v>74</v>
      </c>
    </row>
    <row r="46473" spans="9:9" x14ac:dyDescent="0.2">
      <c r="I46473" s="137" t="s">
        <v>74</v>
      </c>
    </row>
    <row r="46474" spans="9:9" x14ac:dyDescent="0.2">
      <c r="I46474" s="137" t="s">
        <v>74</v>
      </c>
    </row>
    <row r="46475" spans="9:9" x14ac:dyDescent="0.2">
      <c r="I46475" s="137" t="s">
        <v>74</v>
      </c>
    </row>
    <row r="46476" spans="9:9" x14ac:dyDescent="0.2">
      <c r="I46476" s="137" t="s">
        <v>74</v>
      </c>
    </row>
    <row r="46477" spans="9:9" x14ac:dyDescent="0.2">
      <c r="I46477" s="137" t="s">
        <v>74</v>
      </c>
    </row>
    <row r="46478" spans="9:9" x14ac:dyDescent="0.2">
      <c r="I46478" s="137" t="s">
        <v>74</v>
      </c>
    </row>
    <row r="46479" spans="9:9" x14ac:dyDescent="0.2">
      <c r="I46479" s="137" t="s">
        <v>74</v>
      </c>
    </row>
    <row r="46480" spans="9:9" x14ac:dyDescent="0.2">
      <c r="I46480" s="137" t="s">
        <v>74</v>
      </c>
    </row>
    <row r="46481" spans="9:9" x14ac:dyDescent="0.2">
      <c r="I46481" s="137" t="s">
        <v>74</v>
      </c>
    </row>
    <row r="46482" spans="9:9" x14ac:dyDescent="0.2">
      <c r="I46482" s="137" t="s">
        <v>74</v>
      </c>
    </row>
    <row r="46483" spans="9:9" x14ac:dyDescent="0.2">
      <c r="I46483" s="137" t="s">
        <v>74</v>
      </c>
    </row>
    <row r="46484" spans="9:9" x14ac:dyDescent="0.2">
      <c r="I46484" s="137" t="s">
        <v>74</v>
      </c>
    </row>
    <row r="46485" spans="9:9" x14ac:dyDescent="0.2">
      <c r="I46485" s="137" t="s">
        <v>74</v>
      </c>
    </row>
    <row r="46486" spans="9:9" x14ac:dyDescent="0.2">
      <c r="I46486" s="137" t="s">
        <v>74</v>
      </c>
    </row>
    <row r="46487" spans="9:9" x14ac:dyDescent="0.2">
      <c r="I46487" s="137" t="s">
        <v>74</v>
      </c>
    </row>
    <row r="46488" spans="9:9" x14ac:dyDescent="0.2">
      <c r="I46488" s="137" t="s">
        <v>74</v>
      </c>
    </row>
    <row r="46489" spans="9:9" x14ac:dyDescent="0.2">
      <c r="I46489" s="137" t="s">
        <v>74</v>
      </c>
    </row>
    <row r="46490" spans="9:9" x14ac:dyDescent="0.2">
      <c r="I46490" s="137" t="s">
        <v>74</v>
      </c>
    </row>
    <row r="46491" spans="9:9" x14ac:dyDescent="0.2">
      <c r="I46491" s="137" t="s">
        <v>74</v>
      </c>
    </row>
    <row r="46492" spans="9:9" x14ac:dyDescent="0.2">
      <c r="I46492" s="137" t="s">
        <v>74</v>
      </c>
    </row>
    <row r="46493" spans="9:9" x14ac:dyDescent="0.2">
      <c r="I46493" s="137" t="s">
        <v>74</v>
      </c>
    </row>
    <row r="46494" spans="9:9" x14ac:dyDescent="0.2">
      <c r="I46494" s="137" t="s">
        <v>74</v>
      </c>
    </row>
    <row r="46495" spans="9:9" x14ac:dyDescent="0.2">
      <c r="I46495" s="137" t="s">
        <v>74</v>
      </c>
    </row>
    <row r="46496" spans="9:9" x14ac:dyDescent="0.2">
      <c r="I46496" s="137" t="s">
        <v>74</v>
      </c>
    </row>
    <row r="46497" spans="9:9" x14ac:dyDescent="0.2">
      <c r="I46497" s="137" t="s">
        <v>74</v>
      </c>
    </row>
    <row r="46498" spans="9:9" x14ac:dyDescent="0.2">
      <c r="I46498" s="137" t="s">
        <v>74</v>
      </c>
    </row>
    <row r="46499" spans="9:9" x14ac:dyDescent="0.2">
      <c r="I46499" s="137" t="s">
        <v>74</v>
      </c>
    </row>
    <row r="46500" spans="9:9" x14ac:dyDescent="0.2">
      <c r="I46500" s="137" t="s">
        <v>74</v>
      </c>
    </row>
    <row r="46501" spans="9:9" x14ac:dyDescent="0.2">
      <c r="I46501" s="137" t="s">
        <v>74</v>
      </c>
    </row>
    <row r="46502" spans="9:9" x14ac:dyDescent="0.2">
      <c r="I46502" s="137" t="s">
        <v>74</v>
      </c>
    </row>
    <row r="46503" spans="9:9" x14ac:dyDescent="0.2">
      <c r="I46503" s="137" t="s">
        <v>74</v>
      </c>
    </row>
    <row r="46504" spans="9:9" x14ac:dyDescent="0.2">
      <c r="I46504" s="137" t="s">
        <v>74</v>
      </c>
    </row>
    <row r="46505" spans="9:9" x14ac:dyDescent="0.2">
      <c r="I46505" s="137" t="s">
        <v>74</v>
      </c>
    </row>
    <row r="46506" spans="9:9" x14ac:dyDescent="0.2">
      <c r="I46506" s="137" t="s">
        <v>74</v>
      </c>
    </row>
    <row r="46507" spans="9:9" x14ac:dyDescent="0.2">
      <c r="I46507" s="137" t="s">
        <v>74</v>
      </c>
    </row>
    <row r="46508" spans="9:9" x14ac:dyDescent="0.2">
      <c r="I46508" s="137" t="s">
        <v>74</v>
      </c>
    </row>
    <row r="46509" spans="9:9" x14ac:dyDescent="0.2">
      <c r="I46509" s="137" t="s">
        <v>74</v>
      </c>
    </row>
    <row r="46510" spans="9:9" x14ac:dyDescent="0.2">
      <c r="I46510" s="137" t="s">
        <v>74</v>
      </c>
    </row>
    <row r="46511" spans="9:9" x14ac:dyDescent="0.2">
      <c r="I46511" s="137" t="s">
        <v>74</v>
      </c>
    </row>
    <row r="46512" spans="9:9" x14ac:dyDescent="0.2">
      <c r="I46512" s="137" t="s">
        <v>74</v>
      </c>
    </row>
    <row r="46513" spans="9:9" x14ac:dyDescent="0.2">
      <c r="I46513" s="137" t="s">
        <v>74</v>
      </c>
    </row>
    <row r="46514" spans="9:9" x14ac:dyDescent="0.2">
      <c r="I46514" s="137" t="s">
        <v>74</v>
      </c>
    </row>
    <row r="46515" spans="9:9" x14ac:dyDescent="0.2">
      <c r="I46515" s="137" t="s">
        <v>74</v>
      </c>
    </row>
    <row r="46516" spans="9:9" x14ac:dyDescent="0.2">
      <c r="I46516" s="137" t="s">
        <v>74</v>
      </c>
    </row>
    <row r="46517" spans="9:9" x14ac:dyDescent="0.2">
      <c r="I46517" s="137" t="s">
        <v>74</v>
      </c>
    </row>
    <row r="46518" spans="9:9" x14ac:dyDescent="0.2">
      <c r="I46518" s="137" t="s">
        <v>74</v>
      </c>
    </row>
    <row r="46519" spans="9:9" x14ac:dyDescent="0.2">
      <c r="I46519" s="137" t="s">
        <v>74</v>
      </c>
    </row>
    <row r="46520" spans="9:9" x14ac:dyDescent="0.2">
      <c r="I46520" s="137" t="s">
        <v>74</v>
      </c>
    </row>
    <row r="46521" spans="9:9" x14ac:dyDescent="0.2">
      <c r="I46521" s="137" t="s">
        <v>74</v>
      </c>
    </row>
    <row r="46522" spans="9:9" x14ac:dyDescent="0.2">
      <c r="I46522" s="137" t="s">
        <v>74</v>
      </c>
    </row>
    <row r="46523" spans="9:9" x14ac:dyDescent="0.2">
      <c r="I46523" s="137" t="s">
        <v>74</v>
      </c>
    </row>
    <row r="46524" spans="9:9" x14ac:dyDescent="0.2">
      <c r="I46524" s="137" t="s">
        <v>74</v>
      </c>
    </row>
    <row r="46525" spans="9:9" x14ac:dyDescent="0.2">
      <c r="I46525" s="137" t="s">
        <v>74</v>
      </c>
    </row>
    <row r="46526" spans="9:9" x14ac:dyDescent="0.2">
      <c r="I46526" s="137" t="s">
        <v>74</v>
      </c>
    </row>
    <row r="46527" spans="9:9" x14ac:dyDescent="0.2">
      <c r="I46527" s="137" t="s">
        <v>74</v>
      </c>
    </row>
    <row r="46528" spans="9:9" x14ac:dyDescent="0.2">
      <c r="I46528" s="137" t="s">
        <v>74</v>
      </c>
    </row>
    <row r="46529" spans="9:9" x14ac:dyDescent="0.2">
      <c r="I46529" s="137" t="s">
        <v>74</v>
      </c>
    </row>
    <row r="46530" spans="9:9" x14ac:dyDescent="0.2">
      <c r="I46530" s="137" t="s">
        <v>74</v>
      </c>
    </row>
    <row r="46531" spans="9:9" x14ac:dyDescent="0.2">
      <c r="I46531" s="137" t="s">
        <v>74</v>
      </c>
    </row>
    <row r="46532" spans="9:9" x14ac:dyDescent="0.2">
      <c r="I46532" s="137" t="s">
        <v>74</v>
      </c>
    </row>
    <row r="46533" spans="9:9" x14ac:dyDescent="0.2">
      <c r="I46533" s="137" t="s">
        <v>74</v>
      </c>
    </row>
    <row r="46534" spans="9:9" x14ac:dyDescent="0.2">
      <c r="I46534" s="137" t="s">
        <v>74</v>
      </c>
    </row>
    <row r="46535" spans="9:9" x14ac:dyDescent="0.2">
      <c r="I46535" s="137" t="s">
        <v>74</v>
      </c>
    </row>
    <row r="46536" spans="9:9" x14ac:dyDescent="0.2">
      <c r="I46536" s="137" t="s">
        <v>74</v>
      </c>
    </row>
    <row r="46537" spans="9:9" x14ac:dyDescent="0.2">
      <c r="I46537" s="137" t="s">
        <v>74</v>
      </c>
    </row>
    <row r="46538" spans="9:9" x14ac:dyDescent="0.2">
      <c r="I46538" s="137" t="s">
        <v>74</v>
      </c>
    </row>
    <row r="46539" spans="9:9" x14ac:dyDescent="0.2">
      <c r="I46539" s="137" t="s">
        <v>74</v>
      </c>
    </row>
    <row r="46540" spans="9:9" x14ac:dyDescent="0.2">
      <c r="I46540" s="137" t="s">
        <v>74</v>
      </c>
    </row>
    <row r="46541" spans="9:9" x14ac:dyDescent="0.2">
      <c r="I46541" s="137" t="s">
        <v>74</v>
      </c>
    </row>
    <row r="46542" spans="9:9" x14ac:dyDescent="0.2">
      <c r="I46542" s="137" t="s">
        <v>74</v>
      </c>
    </row>
    <row r="46543" spans="9:9" x14ac:dyDescent="0.2">
      <c r="I46543" s="137" t="s">
        <v>74</v>
      </c>
    </row>
    <row r="46544" spans="9:9" x14ac:dyDescent="0.2">
      <c r="I46544" s="137" t="s">
        <v>74</v>
      </c>
    </row>
    <row r="46545" spans="9:9" x14ac:dyDescent="0.2">
      <c r="I46545" s="137" t="s">
        <v>74</v>
      </c>
    </row>
    <row r="46546" spans="9:9" x14ac:dyDescent="0.2">
      <c r="I46546" s="137" t="s">
        <v>74</v>
      </c>
    </row>
    <row r="46547" spans="9:9" x14ac:dyDescent="0.2">
      <c r="I46547" s="137" t="s">
        <v>74</v>
      </c>
    </row>
    <row r="46548" spans="9:9" x14ac:dyDescent="0.2">
      <c r="I46548" s="137" t="s">
        <v>74</v>
      </c>
    </row>
    <row r="46549" spans="9:9" x14ac:dyDescent="0.2">
      <c r="I46549" s="137" t="s">
        <v>74</v>
      </c>
    </row>
    <row r="46550" spans="9:9" x14ac:dyDescent="0.2">
      <c r="I46550" s="137" t="s">
        <v>74</v>
      </c>
    </row>
    <row r="46551" spans="9:9" x14ac:dyDescent="0.2">
      <c r="I46551" s="137" t="s">
        <v>74</v>
      </c>
    </row>
    <row r="46552" spans="9:9" x14ac:dyDescent="0.2">
      <c r="I46552" s="137" t="s">
        <v>74</v>
      </c>
    </row>
    <row r="46553" spans="9:9" x14ac:dyDescent="0.2">
      <c r="I46553" s="137" t="s">
        <v>74</v>
      </c>
    </row>
    <row r="46554" spans="9:9" x14ac:dyDescent="0.2">
      <c r="I46554" s="137" t="s">
        <v>74</v>
      </c>
    </row>
    <row r="46555" spans="9:9" x14ac:dyDescent="0.2">
      <c r="I46555" s="137" t="s">
        <v>74</v>
      </c>
    </row>
    <row r="46556" spans="9:9" x14ac:dyDescent="0.2">
      <c r="I46556" s="137" t="s">
        <v>74</v>
      </c>
    </row>
    <row r="46557" spans="9:9" x14ac:dyDescent="0.2">
      <c r="I46557" s="137" t="s">
        <v>74</v>
      </c>
    </row>
    <row r="46558" spans="9:9" x14ac:dyDescent="0.2">
      <c r="I46558" s="137" t="s">
        <v>74</v>
      </c>
    </row>
    <row r="46559" spans="9:9" x14ac:dyDescent="0.2">
      <c r="I46559" s="137" t="s">
        <v>74</v>
      </c>
    </row>
    <row r="46560" spans="9:9" x14ac:dyDescent="0.2">
      <c r="I46560" s="137" t="s">
        <v>74</v>
      </c>
    </row>
    <row r="46561" spans="9:9" x14ac:dyDescent="0.2">
      <c r="I46561" s="137" t="s">
        <v>74</v>
      </c>
    </row>
    <row r="46562" spans="9:9" x14ac:dyDescent="0.2">
      <c r="I46562" s="137" t="s">
        <v>74</v>
      </c>
    </row>
    <row r="46563" spans="9:9" x14ac:dyDescent="0.2">
      <c r="I46563" s="137" t="s">
        <v>74</v>
      </c>
    </row>
    <row r="46564" spans="9:9" x14ac:dyDescent="0.2">
      <c r="I46564" s="137" t="s">
        <v>74</v>
      </c>
    </row>
    <row r="46565" spans="9:9" x14ac:dyDescent="0.2">
      <c r="I46565" s="137" t="s">
        <v>74</v>
      </c>
    </row>
    <row r="46566" spans="9:9" x14ac:dyDescent="0.2">
      <c r="I46566" s="137" t="s">
        <v>74</v>
      </c>
    </row>
    <row r="46567" spans="9:9" x14ac:dyDescent="0.2">
      <c r="I46567" s="137" t="s">
        <v>74</v>
      </c>
    </row>
    <row r="46568" spans="9:9" x14ac:dyDescent="0.2">
      <c r="I46568" s="137" t="s">
        <v>74</v>
      </c>
    </row>
    <row r="46569" spans="9:9" x14ac:dyDescent="0.2">
      <c r="I46569" s="137" t="s">
        <v>74</v>
      </c>
    </row>
    <row r="46570" spans="9:9" x14ac:dyDescent="0.2">
      <c r="I46570" s="137" t="s">
        <v>74</v>
      </c>
    </row>
    <row r="46571" spans="9:9" x14ac:dyDescent="0.2">
      <c r="I46571" s="137" t="s">
        <v>74</v>
      </c>
    </row>
    <row r="46572" spans="9:9" x14ac:dyDescent="0.2">
      <c r="I46572" s="137" t="s">
        <v>74</v>
      </c>
    </row>
    <row r="46573" spans="9:9" x14ac:dyDescent="0.2">
      <c r="I46573" s="137" t="s">
        <v>74</v>
      </c>
    </row>
    <row r="46574" spans="9:9" x14ac:dyDescent="0.2">
      <c r="I46574" s="137" t="s">
        <v>74</v>
      </c>
    </row>
    <row r="46575" spans="9:9" x14ac:dyDescent="0.2">
      <c r="I46575" s="137" t="s">
        <v>74</v>
      </c>
    </row>
    <row r="46576" spans="9:9" x14ac:dyDescent="0.2">
      <c r="I46576" s="137" t="s">
        <v>74</v>
      </c>
    </row>
    <row r="46577" spans="9:9" x14ac:dyDescent="0.2">
      <c r="I46577" s="137" t="s">
        <v>74</v>
      </c>
    </row>
    <row r="46578" spans="9:9" x14ac:dyDescent="0.2">
      <c r="I46578" s="137" t="s">
        <v>74</v>
      </c>
    </row>
    <row r="46579" spans="9:9" x14ac:dyDescent="0.2">
      <c r="I46579" s="137" t="s">
        <v>74</v>
      </c>
    </row>
    <row r="46580" spans="9:9" x14ac:dyDescent="0.2">
      <c r="I46580" s="137" t="s">
        <v>74</v>
      </c>
    </row>
    <row r="46581" spans="9:9" x14ac:dyDescent="0.2">
      <c r="I46581" s="137" t="s">
        <v>74</v>
      </c>
    </row>
    <row r="46582" spans="9:9" x14ac:dyDescent="0.2">
      <c r="I46582" s="137" t="s">
        <v>74</v>
      </c>
    </row>
    <row r="46583" spans="9:9" x14ac:dyDescent="0.2">
      <c r="I46583" s="137" t="s">
        <v>74</v>
      </c>
    </row>
    <row r="46584" spans="9:9" x14ac:dyDescent="0.2">
      <c r="I46584" s="137" t="s">
        <v>74</v>
      </c>
    </row>
    <row r="46585" spans="9:9" x14ac:dyDescent="0.2">
      <c r="I46585" s="137" t="s">
        <v>74</v>
      </c>
    </row>
    <row r="46586" spans="9:9" x14ac:dyDescent="0.2">
      <c r="I46586" s="137" t="s">
        <v>74</v>
      </c>
    </row>
    <row r="46587" spans="9:9" x14ac:dyDescent="0.2">
      <c r="I46587" s="137" t="s">
        <v>74</v>
      </c>
    </row>
    <row r="46588" spans="9:9" x14ac:dyDescent="0.2">
      <c r="I46588" s="137" t="s">
        <v>74</v>
      </c>
    </row>
    <row r="46589" spans="9:9" x14ac:dyDescent="0.2">
      <c r="I46589" s="137" t="s">
        <v>74</v>
      </c>
    </row>
    <row r="46590" spans="9:9" x14ac:dyDescent="0.2">
      <c r="I46590" s="137" t="s">
        <v>74</v>
      </c>
    </row>
    <row r="46591" spans="9:9" x14ac:dyDescent="0.2">
      <c r="I46591" s="137" t="s">
        <v>74</v>
      </c>
    </row>
    <row r="46592" spans="9:9" x14ac:dyDescent="0.2">
      <c r="I46592" s="137" t="s">
        <v>74</v>
      </c>
    </row>
    <row r="46593" spans="9:9" x14ac:dyDescent="0.2">
      <c r="I46593" s="137" t="s">
        <v>74</v>
      </c>
    </row>
    <row r="46594" spans="9:9" x14ac:dyDescent="0.2">
      <c r="I46594" s="137" t="s">
        <v>74</v>
      </c>
    </row>
    <row r="46595" spans="9:9" x14ac:dyDescent="0.2">
      <c r="I46595" s="137" t="s">
        <v>74</v>
      </c>
    </row>
    <row r="46596" spans="9:9" x14ac:dyDescent="0.2">
      <c r="I46596" s="137" t="s">
        <v>74</v>
      </c>
    </row>
    <row r="46597" spans="9:9" x14ac:dyDescent="0.2">
      <c r="I46597" s="137" t="s">
        <v>74</v>
      </c>
    </row>
    <row r="46598" spans="9:9" x14ac:dyDescent="0.2">
      <c r="I46598" s="137" t="s">
        <v>74</v>
      </c>
    </row>
    <row r="46599" spans="9:9" x14ac:dyDescent="0.2">
      <c r="I46599" s="137" t="s">
        <v>74</v>
      </c>
    </row>
    <row r="46600" spans="9:9" x14ac:dyDescent="0.2">
      <c r="I46600" s="137" t="s">
        <v>74</v>
      </c>
    </row>
    <row r="46601" spans="9:9" x14ac:dyDescent="0.2">
      <c r="I46601" s="137" t="s">
        <v>74</v>
      </c>
    </row>
    <row r="46602" spans="9:9" x14ac:dyDescent="0.2">
      <c r="I46602" s="137" t="s">
        <v>74</v>
      </c>
    </row>
    <row r="46603" spans="9:9" x14ac:dyDescent="0.2">
      <c r="I46603" s="137" t="s">
        <v>74</v>
      </c>
    </row>
    <row r="46604" spans="9:9" x14ac:dyDescent="0.2">
      <c r="I46604" s="137" t="s">
        <v>74</v>
      </c>
    </row>
    <row r="46605" spans="9:9" x14ac:dyDescent="0.2">
      <c r="I46605" s="137" t="s">
        <v>74</v>
      </c>
    </row>
    <row r="46606" spans="9:9" x14ac:dyDescent="0.2">
      <c r="I46606" s="137" t="s">
        <v>74</v>
      </c>
    </row>
    <row r="46607" spans="9:9" x14ac:dyDescent="0.2">
      <c r="I46607" s="137" t="s">
        <v>74</v>
      </c>
    </row>
    <row r="46608" spans="9:9" x14ac:dyDescent="0.2">
      <c r="I46608" s="137" t="s">
        <v>74</v>
      </c>
    </row>
    <row r="46609" spans="9:9" x14ac:dyDescent="0.2">
      <c r="I46609" s="137" t="s">
        <v>74</v>
      </c>
    </row>
    <row r="46610" spans="9:9" x14ac:dyDescent="0.2">
      <c r="I46610" s="137" t="s">
        <v>74</v>
      </c>
    </row>
    <row r="46611" spans="9:9" x14ac:dyDescent="0.2">
      <c r="I46611" s="137" t="s">
        <v>74</v>
      </c>
    </row>
    <row r="46612" spans="9:9" x14ac:dyDescent="0.2">
      <c r="I46612" s="137" t="s">
        <v>74</v>
      </c>
    </row>
    <row r="46613" spans="9:9" x14ac:dyDescent="0.2">
      <c r="I46613" s="137" t="s">
        <v>74</v>
      </c>
    </row>
    <row r="46614" spans="9:9" x14ac:dyDescent="0.2">
      <c r="I46614" s="137" t="s">
        <v>74</v>
      </c>
    </row>
    <row r="46615" spans="9:9" x14ac:dyDescent="0.2">
      <c r="I46615" s="137" t="s">
        <v>74</v>
      </c>
    </row>
    <row r="46616" spans="9:9" x14ac:dyDescent="0.2">
      <c r="I46616" s="137" t="s">
        <v>74</v>
      </c>
    </row>
    <row r="46617" spans="9:9" x14ac:dyDescent="0.2">
      <c r="I46617" s="137" t="s">
        <v>74</v>
      </c>
    </row>
    <row r="46618" spans="9:9" x14ac:dyDescent="0.2">
      <c r="I46618" s="137" t="s">
        <v>74</v>
      </c>
    </row>
    <row r="46619" spans="9:9" x14ac:dyDescent="0.2">
      <c r="I46619" s="137" t="s">
        <v>74</v>
      </c>
    </row>
    <row r="46620" spans="9:9" x14ac:dyDescent="0.2">
      <c r="I46620" s="137" t="s">
        <v>74</v>
      </c>
    </row>
    <row r="46621" spans="9:9" x14ac:dyDescent="0.2">
      <c r="I46621" s="137" t="s">
        <v>74</v>
      </c>
    </row>
    <row r="46622" spans="9:9" x14ac:dyDescent="0.2">
      <c r="I46622" s="137" t="s">
        <v>74</v>
      </c>
    </row>
    <row r="46623" spans="9:9" x14ac:dyDescent="0.2">
      <c r="I46623" s="137" t="s">
        <v>74</v>
      </c>
    </row>
    <row r="46624" spans="9:9" x14ac:dyDescent="0.2">
      <c r="I46624" s="137" t="s">
        <v>74</v>
      </c>
    </row>
    <row r="46625" spans="9:9" x14ac:dyDescent="0.2">
      <c r="I46625" s="137" t="s">
        <v>74</v>
      </c>
    </row>
    <row r="46626" spans="9:9" x14ac:dyDescent="0.2">
      <c r="I46626" s="137" t="s">
        <v>74</v>
      </c>
    </row>
    <row r="46627" spans="9:9" x14ac:dyDescent="0.2">
      <c r="I46627" s="137" t="s">
        <v>74</v>
      </c>
    </row>
    <row r="46628" spans="9:9" x14ac:dyDescent="0.2">
      <c r="I46628" s="137" t="s">
        <v>74</v>
      </c>
    </row>
    <row r="46629" spans="9:9" x14ac:dyDescent="0.2">
      <c r="I46629" s="137" t="s">
        <v>74</v>
      </c>
    </row>
    <row r="46630" spans="9:9" x14ac:dyDescent="0.2">
      <c r="I46630" s="137" t="s">
        <v>74</v>
      </c>
    </row>
    <row r="46631" spans="9:9" x14ac:dyDescent="0.2">
      <c r="I46631" s="137" t="s">
        <v>74</v>
      </c>
    </row>
    <row r="46632" spans="9:9" x14ac:dyDescent="0.2">
      <c r="I46632" s="137" t="s">
        <v>74</v>
      </c>
    </row>
    <row r="46633" spans="9:9" x14ac:dyDescent="0.2">
      <c r="I46633" s="137" t="s">
        <v>74</v>
      </c>
    </row>
    <row r="46634" spans="9:9" x14ac:dyDescent="0.2">
      <c r="I46634" s="137" t="s">
        <v>74</v>
      </c>
    </row>
    <row r="46635" spans="9:9" x14ac:dyDescent="0.2">
      <c r="I46635" s="137" t="s">
        <v>74</v>
      </c>
    </row>
    <row r="46636" spans="9:9" x14ac:dyDescent="0.2">
      <c r="I46636" s="137" t="s">
        <v>74</v>
      </c>
    </row>
    <row r="46637" spans="9:9" x14ac:dyDescent="0.2">
      <c r="I46637" s="137" t="s">
        <v>74</v>
      </c>
    </row>
    <row r="46638" spans="9:9" x14ac:dyDescent="0.2">
      <c r="I46638" s="137" t="s">
        <v>74</v>
      </c>
    </row>
    <row r="46639" spans="9:9" x14ac:dyDescent="0.2">
      <c r="I46639" s="137" t="s">
        <v>74</v>
      </c>
    </row>
    <row r="46640" spans="9:9" x14ac:dyDescent="0.2">
      <c r="I46640" s="137" t="s">
        <v>74</v>
      </c>
    </row>
    <row r="46641" spans="9:9" x14ac:dyDescent="0.2">
      <c r="I46641" s="137" t="s">
        <v>74</v>
      </c>
    </row>
    <row r="46642" spans="9:9" x14ac:dyDescent="0.2">
      <c r="I46642" s="137" t="s">
        <v>74</v>
      </c>
    </row>
    <row r="46643" spans="9:9" x14ac:dyDescent="0.2">
      <c r="I46643" s="137" t="s">
        <v>74</v>
      </c>
    </row>
    <row r="46644" spans="9:9" x14ac:dyDescent="0.2">
      <c r="I46644" s="137" t="s">
        <v>74</v>
      </c>
    </row>
    <row r="46645" spans="9:9" x14ac:dyDescent="0.2">
      <c r="I46645" s="137" t="s">
        <v>74</v>
      </c>
    </row>
    <row r="46646" spans="9:9" x14ac:dyDescent="0.2">
      <c r="I46646" s="137" t="s">
        <v>74</v>
      </c>
    </row>
    <row r="46647" spans="9:9" x14ac:dyDescent="0.2">
      <c r="I46647" s="137" t="s">
        <v>74</v>
      </c>
    </row>
    <row r="46648" spans="9:9" x14ac:dyDescent="0.2">
      <c r="I46648" s="137" t="s">
        <v>74</v>
      </c>
    </row>
    <row r="46649" spans="9:9" x14ac:dyDescent="0.2">
      <c r="I46649" s="137" t="s">
        <v>74</v>
      </c>
    </row>
    <row r="46650" spans="9:9" x14ac:dyDescent="0.2">
      <c r="I46650" s="137" t="s">
        <v>74</v>
      </c>
    </row>
    <row r="46651" spans="9:9" x14ac:dyDescent="0.2">
      <c r="I46651" s="137" t="s">
        <v>74</v>
      </c>
    </row>
    <row r="46652" spans="9:9" x14ac:dyDescent="0.2">
      <c r="I46652" s="137" t="s">
        <v>74</v>
      </c>
    </row>
    <row r="46653" spans="9:9" x14ac:dyDescent="0.2">
      <c r="I46653" s="137" t="s">
        <v>74</v>
      </c>
    </row>
    <row r="46654" spans="9:9" x14ac:dyDescent="0.2">
      <c r="I46654" s="137" t="s">
        <v>74</v>
      </c>
    </row>
    <row r="46655" spans="9:9" x14ac:dyDescent="0.2">
      <c r="I46655" s="137" t="s">
        <v>74</v>
      </c>
    </row>
    <row r="46656" spans="9:9" x14ac:dyDescent="0.2">
      <c r="I46656" s="137" t="s">
        <v>74</v>
      </c>
    </row>
    <row r="46657" spans="9:9" x14ac:dyDescent="0.2">
      <c r="I46657" s="137" t="s">
        <v>74</v>
      </c>
    </row>
    <row r="46658" spans="9:9" x14ac:dyDescent="0.2">
      <c r="I46658" s="137" t="s">
        <v>74</v>
      </c>
    </row>
    <row r="46659" spans="9:9" x14ac:dyDescent="0.2">
      <c r="I46659" s="137" t="s">
        <v>74</v>
      </c>
    </row>
    <row r="46660" spans="9:9" x14ac:dyDescent="0.2">
      <c r="I46660" s="137" t="s">
        <v>74</v>
      </c>
    </row>
    <row r="46661" spans="9:9" x14ac:dyDescent="0.2">
      <c r="I46661" s="137" t="s">
        <v>74</v>
      </c>
    </row>
    <row r="46662" spans="9:9" x14ac:dyDescent="0.2">
      <c r="I46662" s="137" t="s">
        <v>74</v>
      </c>
    </row>
    <row r="46663" spans="9:9" x14ac:dyDescent="0.2">
      <c r="I46663" s="137" t="s">
        <v>74</v>
      </c>
    </row>
    <row r="46664" spans="9:9" x14ac:dyDescent="0.2">
      <c r="I46664" s="137" t="s">
        <v>74</v>
      </c>
    </row>
    <row r="46665" spans="9:9" x14ac:dyDescent="0.2">
      <c r="I46665" s="137" t="s">
        <v>74</v>
      </c>
    </row>
    <row r="46666" spans="9:9" x14ac:dyDescent="0.2">
      <c r="I46666" s="137" t="s">
        <v>74</v>
      </c>
    </row>
    <row r="46667" spans="9:9" x14ac:dyDescent="0.2">
      <c r="I46667" s="137" t="s">
        <v>74</v>
      </c>
    </row>
    <row r="46668" spans="9:9" x14ac:dyDescent="0.2">
      <c r="I46668" s="137" t="s">
        <v>74</v>
      </c>
    </row>
    <row r="46669" spans="9:9" x14ac:dyDescent="0.2">
      <c r="I46669" s="137" t="s">
        <v>74</v>
      </c>
    </row>
    <row r="46670" spans="9:9" x14ac:dyDescent="0.2">
      <c r="I46670" s="137" t="s">
        <v>74</v>
      </c>
    </row>
    <row r="46671" spans="9:9" x14ac:dyDescent="0.2">
      <c r="I46671" s="137" t="s">
        <v>74</v>
      </c>
    </row>
    <row r="46672" spans="9:9" x14ac:dyDescent="0.2">
      <c r="I46672" s="137" t="s">
        <v>74</v>
      </c>
    </row>
    <row r="46673" spans="9:9" x14ac:dyDescent="0.2">
      <c r="I46673" s="137" t="s">
        <v>74</v>
      </c>
    </row>
    <row r="46674" spans="9:9" x14ac:dyDescent="0.2">
      <c r="I46674" s="137" t="s">
        <v>74</v>
      </c>
    </row>
    <row r="46675" spans="9:9" x14ac:dyDescent="0.2">
      <c r="I46675" s="137" t="s">
        <v>74</v>
      </c>
    </row>
    <row r="46676" spans="9:9" x14ac:dyDescent="0.2">
      <c r="I46676" s="137" t="s">
        <v>74</v>
      </c>
    </row>
    <row r="46677" spans="9:9" x14ac:dyDescent="0.2">
      <c r="I46677" s="137" t="s">
        <v>74</v>
      </c>
    </row>
    <row r="46678" spans="9:9" x14ac:dyDescent="0.2">
      <c r="I46678" s="137" t="s">
        <v>74</v>
      </c>
    </row>
    <row r="46679" spans="9:9" x14ac:dyDescent="0.2">
      <c r="I46679" s="137" t="s">
        <v>74</v>
      </c>
    </row>
    <row r="46680" spans="9:9" x14ac:dyDescent="0.2">
      <c r="I46680" s="137" t="s">
        <v>74</v>
      </c>
    </row>
    <row r="46681" spans="9:9" x14ac:dyDescent="0.2">
      <c r="I46681" s="137" t="s">
        <v>74</v>
      </c>
    </row>
    <row r="46682" spans="9:9" x14ac:dyDescent="0.2">
      <c r="I46682" s="137" t="s">
        <v>74</v>
      </c>
    </row>
    <row r="46683" spans="9:9" x14ac:dyDescent="0.2">
      <c r="I46683" s="137" t="s">
        <v>74</v>
      </c>
    </row>
    <row r="46684" spans="9:9" x14ac:dyDescent="0.2">
      <c r="I46684" s="137" t="s">
        <v>74</v>
      </c>
    </row>
    <row r="46685" spans="9:9" x14ac:dyDescent="0.2">
      <c r="I46685" s="137" t="s">
        <v>74</v>
      </c>
    </row>
    <row r="46686" spans="9:9" x14ac:dyDescent="0.2">
      <c r="I46686" s="137" t="s">
        <v>74</v>
      </c>
    </row>
    <row r="46687" spans="9:9" x14ac:dyDescent="0.2">
      <c r="I46687" s="137" t="s">
        <v>74</v>
      </c>
    </row>
    <row r="46688" spans="9:9" x14ac:dyDescent="0.2">
      <c r="I46688" s="137" t="s">
        <v>74</v>
      </c>
    </row>
    <row r="46689" spans="9:9" x14ac:dyDescent="0.2">
      <c r="I46689" s="137" t="s">
        <v>74</v>
      </c>
    </row>
    <row r="46690" spans="9:9" x14ac:dyDescent="0.2">
      <c r="I46690" s="137" t="s">
        <v>74</v>
      </c>
    </row>
    <row r="46691" spans="9:9" x14ac:dyDescent="0.2">
      <c r="I46691" s="137" t="s">
        <v>74</v>
      </c>
    </row>
    <row r="46692" spans="9:9" x14ac:dyDescent="0.2">
      <c r="I46692" s="137" t="s">
        <v>74</v>
      </c>
    </row>
    <row r="46693" spans="9:9" x14ac:dyDescent="0.2">
      <c r="I46693" s="137" t="s">
        <v>74</v>
      </c>
    </row>
    <row r="46694" spans="9:9" x14ac:dyDescent="0.2">
      <c r="I46694" s="137" t="s">
        <v>74</v>
      </c>
    </row>
    <row r="46695" spans="9:9" x14ac:dyDescent="0.2">
      <c r="I46695" s="137" t="s">
        <v>74</v>
      </c>
    </row>
    <row r="46696" spans="9:9" x14ac:dyDescent="0.2">
      <c r="I46696" s="137" t="s">
        <v>74</v>
      </c>
    </row>
    <row r="46697" spans="9:9" x14ac:dyDescent="0.2">
      <c r="I46697" s="137" t="s">
        <v>74</v>
      </c>
    </row>
    <row r="46698" spans="9:9" x14ac:dyDescent="0.2">
      <c r="I46698" s="137" t="s">
        <v>74</v>
      </c>
    </row>
    <row r="46699" spans="9:9" x14ac:dyDescent="0.2">
      <c r="I46699" s="137" t="s">
        <v>74</v>
      </c>
    </row>
    <row r="46700" spans="9:9" x14ac:dyDescent="0.2">
      <c r="I46700" s="137" t="s">
        <v>74</v>
      </c>
    </row>
    <row r="46701" spans="9:9" x14ac:dyDescent="0.2">
      <c r="I46701" s="137" t="s">
        <v>74</v>
      </c>
    </row>
    <row r="46702" spans="9:9" x14ac:dyDescent="0.2">
      <c r="I46702" s="137" t="s">
        <v>74</v>
      </c>
    </row>
    <row r="46703" spans="9:9" x14ac:dyDescent="0.2">
      <c r="I46703" s="137" t="s">
        <v>74</v>
      </c>
    </row>
    <row r="46704" spans="9:9" x14ac:dyDescent="0.2">
      <c r="I46704" s="137" t="s">
        <v>74</v>
      </c>
    </row>
    <row r="46705" spans="9:9" x14ac:dyDescent="0.2">
      <c r="I46705" s="137" t="s">
        <v>74</v>
      </c>
    </row>
    <row r="46706" spans="9:9" x14ac:dyDescent="0.2">
      <c r="I46706" s="137" t="s">
        <v>74</v>
      </c>
    </row>
    <row r="46707" spans="9:9" x14ac:dyDescent="0.2">
      <c r="I46707" s="137" t="s">
        <v>74</v>
      </c>
    </row>
    <row r="46708" spans="9:9" x14ac:dyDescent="0.2">
      <c r="I46708" s="137" t="s">
        <v>74</v>
      </c>
    </row>
    <row r="46709" spans="9:9" x14ac:dyDescent="0.2">
      <c r="I46709" s="137" t="s">
        <v>74</v>
      </c>
    </row>
    <row r="46710" spans="9:9" x14ac:dyDescent="0.2">
      <c r="I46710" s="137" t="s">
        <v>74</v>
      </c>
    </row>
    <row r="46711" spans="9:9" x14ac:dyDescent="0.2">
      <c r="I46711" s="137" t="s">
        <v>74</v>
      </c>
    </row>
    <row r="46712" spans="9:9" x14ac:dyDescent="0.2">
      <c r="I46712" s="137" t="s">
        <v>74</v>
      </c>
    </row>
    <row r="46713" spans="9:9" x14ac:dyDescent="0.2">
      <c r="I46713" s="137" t="s">
        <v>74</v>
      </c>
    </row>
    <row r="46714" spans="9:9" x14ac:dyDescent="0.2">
      <c r="I46714" s="137" t="s">
        <v>74</v>
      </c>
    </row>
    <row r="46715" spans="9:9" x14ac:dyDescent="0.2">
      <c r="I46715" s="137" t="s">
        <v>74</v>
      </c>
    </row>
    <row r="46716" spans="9:9" x14ac:dyDescent="0.2">
      <c r="I46716" s="137" t="s">
        <v>74</v>
      </c>
    </row>
    <row r="46717" spans="9:9" x14ac:dyDescent="0.2">
      <c r="I46717" s="137" t="s">
        <v>74</v>
      </c>
    </row>
    <row r="46718" spans="9:9" x14ac:dyDescent="0.2">
      <c r="I46718" s="137" t="s">
        <v>74</v>
      </c>
    </row>
    <row r="46719" spans="9:9" x14ac:dyDescent="0.2">
      <c r="I46719" s="137" t="s">
        <v>74</v>
      </c>
    </row>
    <row r="46720" spans="9:9" x14ac:dyDescent="0.2">
      <c r="I46720" s="137" t="s">
        <v>74</v>
      </c>
    </row>
    <row r="46721" spans="9:9" x14ac:dyDescent="0.2">
      <c r="I46721" s="137" t="s">
        <v>74</v>
      </c>
    </row>
    <row r="46722" spans="9:9" x14ac:dyDescent="0.2">
      <c r="I46722" s="137" t="s">
        <v>74</v>
      </c>
    </row>
    <row r="46723" spans="9:9" x14ac:dyDescent="0.2">
      <c r="I46723" s="137" t="s">
        <v>74</v>
      </c>
    </row>
    <row r="46724" spans="9:9" x14ac:dyDescent="0.2">
      <c r="I46724" s="137" t="s">
        <v>74</v>
      </c>
    </row>
    <row r="46725" spans="9:9" x14ac:dyDescent="0.2">
      <c r="I46725" s="137" t="s">
        <v>74</v>
      </c>
    </row>
    <row r="46726" spans="9:9" x14ac:dyDescent="0.2">
      <c r="I46726" s="137" t="s">
        <v>74</v>
      </c>
    </row>
    <row r="46727" spans="9:9" x14ac:dyDescent="0.2">
      <c r="I46727" s="137" t="s">
        <v>74</v>
      </c>
    </row>
    <row r="46728" spans="9:9" x14ac:dyDescent="0.2">
      <c r="I46728" s="137" t="s">
        <v>74</v>
      </c>
    </row>
    <row r="46729" spans="9:9" x14ac:dyDescent="0.2">
      <c r="I46729" s="137" t="s">
        <v>74</v>
      </c>
    </row>
    <row r="46730" spans="9:9" x14ac:dyDescent="0.2">
      <c r="I46730" s="137" t="s">
        <v>74</v>
      </c>
    </row>
    <row r="46731" spans="9:9" x14ac:dyDescent="0.2">
      <c r="I46731" s="137" t="s">
        <v>74</v>
      </c>
    </row>
    <row r="46732" spans="9:9" x14ac:dyDescent="0.2">
      <c r="I46732" s="137" t="s">
        <v>74</v>
      </c>
    </row>
    <row r="46733" spans="9:9" x14ac:dyDescent="0.2">
      <c r="I46733" s="137" t="s">
        <v>74</v>
      </c>
    </row>
    <row r="46734" spans="9:9" x14ac:dyDescent="0.2">
      <c r="I46734" s="137" t="s">
        <v>74</v>
      </c>
    </row>
    <row r="46735" spans="9:9" x14ac:dyDescent="0.2">
      <c r="I46735" s="137" t="s">
        <v>74</v>
      </c>
    </row>
    <row r="46736" spans="9:9" x14ac:dyDescent="0.2">
      <c r="I46736" s="137" t="s">
        <v>74</v>
      </c>
    </row>
    <row r="46737" spans="9:9" x14ac:dyDescent="0.2">
      <c r="I46737" s="137" t="s">
        <v>74</v>
      </c>
    </row>
    <row r="46738" spans="9:9" x14ac:dyDescent="0.2">
      <c r="I46738" s="137" t="s">
        <v>74</v>
      </c>
    </row>
    <row r="46739" spans="9:9" x14ac:dyDescent="0.2">
      <c r="I46739" s="137" t="s">
        <v>74</v>
      </c>
    </row>
    <row r="46740" spans="9:9" x14ac:dyDescent="0.2">
      <c r="I46740" s="137" t="s">
        <v>74</v>
      </c>
    </row>
    <row r="46741" spans="9:9" x14ac:dyDescent="0.2">
      <c r="I46741" s="137" t="s">
        <v>74</v>
      </c>
    </row>
    <row r="46742" spans="9:9" x14ac:dyDescent="0.2">
      <c r="I46742" s="137" t="s">
        <v>74</v>
      </c>
    </row>
    <row r="46743" spans="9:9" x14ac:dyDescent="0.2">
      <c r="I46743" s="137" t="s">
        <v>74</v>
      </c>
    </row>
    <row r="46744" spans="9:9" x14ac:dyDescent="0.2">
      <c r="I46744" s="137" t="s">
        <v>74</v>
      </c>
    </row>
    <row r="46745" spans="9:9" x14ac:dyDescent="0.2">
      <c r="I46745" s="137" t="s">
        <v>74</v>
      </c>
    </row>
    <row r="46746" spans="9:9" x14ac:dyDescent="0.2">
      <c r="I46746" s="137" t="s">
        <v>74</v>
      </c>
    </row>
    <row r="46747" spans="9:9" x14ac:dyDescent="0.2">
      <c r="I46747" s="137" t="s">
        <v>74</v>
      </c>
    </row>
    <row r="46748" spans="9:9" x14ac:dyDescent="0.2">
      <c r="I46748" s="137" t="s">
        <v>74</v>
      </c>
    </row>
    <row r="46749" spans="9:9" x14ac:dyDescent="0.2">
      <c r="I46749" s="137" t="s">
        <v>74</v>
      </c>
    </row>
    <row r="46750" spans="9:9" x14ac:dyDescent="0.2">
      <c r="I46750" s="137" t="s">
        <v>74</v>
      </c>
    </row>
    <row r="46751" spans="9:9" x14ac:dyDescent="0.2">
      <c r="I46751" s="137" t="s">
        <v>74</v>
      </c>
    </row>
    <row r="46752" spans="9:9" x14ac:dyDescent="0.2">
      <c r="I46752" s="137" t="s">
        <v>74</v>
      </c>
    </row>
    <row r="46753" spans="9:9" x14ac:dyDescent="0.2">
      <c r="I46753" s="137" t="s">
        <v>74</v>
      </c>
    </row>
    <row r="46754" spans="9:9" x14ac:dyDescent="0.2">
      <c r="I46754" s="137" t="s">
        <v>74</v>
      </c>
    </row>
    <row r="46755" spans="9:9" x14ac:dyDescent="0.2">
      <c r="I46755" s="137" t="s">
        <v>74</v>
      </c>
    </row>
    <row r="46756" spans="9:9" x14ac:dyDescent="0.2">
      <c r="I46756" s="137" t="s">
        <v>74</v>
      </c>
    </row>
    <row r="46757" spans="9:9" x14ac:dyDescent="0.2">
      <c r="I46757" s="137" t="s">
        <v>74</v>
      </c>
    </row>
    <row r="46758" spans="9:9" x14ac:dyDescent="0.2">
      <c r="I46758" s="137" t="s">
        <v>74</v>
      </c>
    </row>
    <row r="46759" spans="9:9" x14ac:dyDescent="0.2">
      <c r="I46759" s="137" t="s">
        <v>74</v>
      </c>
    </row>
    <row r="46760" spans="9:9" x14ac:dyDescent="0.2">
      <c r="I46760" s="137" t="s">
        <v>74</v>
      </c>
    </row>
    <row r="46761" spans="9:9" x14ac:dyDescent="0.2">
      <c r="I46761" s="137" t="s">
        <v>74</v>
      </c>
    </row>
    <row r="46762" spans="9:9" x14ac:dyDescent="0.2">
      <c r="I46762" s="137" t="s">
        <v>74</v>
      </c>
    </row>
    <row r="46763" spans="9:9" x14ac:dyDescent="0.2">
      <c r="I46763" s="137" t="s">
        <v>74</v>
      </c>
    </row>
    <row r="46764" spans="9:9" x14ac:dyDescent="0.2">
      <c r="I46764" s="137" t="s">
        <v>74</v>
      </c>
    </row>
    <row r="46765" spans="9:9" x14ac:dyDescent="0.2">
      <c r="I46765" s="137" t="s">
        <v>74</v>
      </c>
    </row>
    <row r="46766" spans="9:9" x14ac:dyDescent="0.2">
      <c r="I46766" s="137" t="s">
        <v>74</v>
      </c>
    </row>
    <row r="46767" spans="9:9" x14ac:dyDescent="0.2">
      <c r="I46767" s="137" t="s">
        <v>74</v>
      </c>
    </row>
    <row r="46768" spans="9:9" x14ac:dyDescent="0.2">
      <c r="I46768" s="137" t="s">
        <v>74</v>
      </c>
    </row>
    <row r="46769" spans="9:9" x14ac:dyDescent="0.2">
      <c r="I46769" s="137" t="s">
        <v>74</v>
      </c>
    </row>
    <row r="46770" spans="9:9" x14ac:dyDescent="0.2">
      <c r="I46770" s="137" t="s">
        <v>74</v>
      </c>
    </row>
    <row r="46771" spans="9:9" x14ac:dyDescent="0.2">
      <c r="I46771" s="137" t="s">
        <v>74</v>
      </c>
    </row>
    <row r="46772" spans="9:9" x14ac:dyDescent="0.2">
      <c r="I46772" s="137" t="s">
        <v>74</v>
      </c>
    </row>
    <row r="46773" spans="9:9" x14ac:dyDescent="0.2">
      <c r="I46773" s="137" t="s">
        <v>74</v>
      </c>
    </row>
    <row r="46774" spans="9:9" x14ac:dyDescent="0.2">
      <c r="I46774" s="137" t="s">
        <v>74</v>
      </c>
    </row>
    <row r="46775" spans="9:9" x14ac:dyDescent="0.2">
      <c r="I46775" s="137" t="s">
        <v>74</v>
      </c>
    </row>
    <row r="46776" spans="9:9" x14ac:dyDescent="0.2">
      <c r="I46776" s="137" t="s">
        <v>74</v>
      </c>
    </row>
    <row r="46777" spans="9:9" x14ac:dyDescent="0.2">
      <c r="I46777" s="137" t="s">
        <v>74</v>
      </c>
    </row>
    <row r="46778" spans="9:9" x14ac:dyDescent="0.2">
      <c r="I46778" s="137" t="s">
        <v>74</v>
      </c>
    </row>
    <row r="46779" spans="9:9" x14ac:dyDescent="0.2">
      <c r="I46779" s="137" t="s">
        <v>74</v>
      </c>
    </row>
    <row r="46780" spans="9:9" x14ac:dyDescent="0.2">
      <c r="I46780" s="137" t="s">
        <v>74</v>
      </c>
    </row>
    <row r="46781" spans="9:9" x14ac:dyDescent="0.2">
      <c r="I46781" s="137" t="s">
        <v>74</v>
      </c>
    </row>
    <row r="46782" spans="9:9" x14ac:dyDescent="0.2">
      <c r="I46782" s="137" t="s">
        <v>74</v>
      </c>
    </row>
    <row r="46783" spans="9:9" x14ac:dyDescent="0.2">
      <c r="I46783" s="137" t="s">
        <v>74</v>
      </c>
    </row>
    <row r="46784" spans="9:9" x14ac:dyDescent="0.2">
      <c r="I46784" s="137" t="s">
        <v>74</v>
      </c>
    </row>
    <row r="46785" spans="9:9" x14ac:dyDescent="0.2">
      <c r="I46785" s="137" t="s">
        <v>74</v>
      </c>
    </row>
    <row r="46786" spans="9:9" x14ac:dyDescent="0.2">
      <c r="I46786" s="137" t="s">
        <v>74</v>
      </c>
    </row>
    <row r="46787" spans="9:9" x14ac:dyDescent="0.2">
      <c r="I46787" s="137" t="s">
        <v>74</v>
      </c>
    </row>
    <row r="46788" spans="9:9" x14ac:dyDescent="0.2">
      <c r="I46788" s="137" t="s">
        <v>74</v>
      </c>
    </row>
    <row r="46789" spans="9:9" x14ac:dyDescent="0.2">
      <c r="I46789" s="137" t="s">
        <v>74</v>
      </c>
    </row>
    <row r="46790" spans="9:9" x14ac:dyDescent="0.2">
      <c r="I46790" s="137" t="s">
        <v>74</v>
      </c>
    </row>
    <row r="46791" spans="9:9" x14ac:dyDescent="0.2">
      <c r="I46791" s="137" t="s">
        <v>74</v>
      </c>
    </row>
    <row r="46792" spans="9:9" x14ac:dyDescent="0.2">
      <c r="I46792" s="137" t="s">
        <v>74</v>
      </c>
    </row>
    <row r="46793" spans="9:9" x14ac:dyDescent="0.2">
      <c r="I46793" s="137" t="s">
        <v>74</v>
      </c>
    </row>
    <row r="46794" spans="9:9" x14ac:dyDescent="0.2">
      <c r="I46794" s="137" t="s">
        <v>74</v>
      </c>
    </row>
    <row r="46795" spans="9:9" x14ac:dyDescent="0.2">
      <c r="I46795" s="137" t="s">
        <v>74</v>
      </c>
    </row>
    <row r="46796" spans="9:9" x14ac:dyDescent="0.2">
      <c r="I46796" s="137" t="s">
        <v>74</v>
      </c>
    </row>
    <row r="46797" spans="9:9" x14ac:dyDescent="0.2">
      <c r="I46797" s="137" t="s">
        <v>74</v>
      </c>
    </row>
    <row r="46798" spans="9:9" x14ac:dyDescent="0.2">
      <c r="I46798" s="137" t="s">
        <v>74</v>
      </c>
    </row>
    <row r="46799" spans="9:9" x14ac:dyDescent="0.2">
      <c r="I46799" s="137" t="s">
        <v>74</v>
      </c>
    </row>
    <row r="46800" spans="9:9" x14ac:dyDescent="0.2">
      <c r="I46800" s="137" t="s">
        <v>74</v>
      </c>
    </row>
    <row r="46801" spans="9:9" x14ac:dyDescent="0.2">
      <c r="I46801" s="137" t="s">
        <v>74</v>
      </c>
    </row>
    <row r="46802" spans="9:9" x14ac:dyDescent="0.2">
      <c r="I46802" s="137" t="s">
        <v>74</v>
      </c>
    </row>
    <row r="46803" spans="9:9" x14ac:dyDescent="0.2">
      <c r="I46803" s="137" t="s">
        <v>74</v>
      </c>
    </row>
    <row r="46804" spans="9:9" x14ac:dyDescent="0.2">
      <c r="I46804" s="137" t="s">
        <v>74</v>
      </c>
    </row>
    <row r="46805" spans="9:9" x14ac:dyDescent="0.2">
      <c r="I46805" s="137" t="s">
        <v>74</v>
      </c>
    </row>
    <row r="46806" spans="9:9" x14ac:dyDescent="0.2">
      <c r="I46806" s="137" t="s">
        <v>74</v>
      </c>
    </row>
    <row r="46807" spans="9:9" x14ac:dyDescent="0.2">
      <c r="I46807" s="137" t="s">
        <v>74</v>
      </c>
    </row>
    <row r="46808" spans="9:9" x14ac:dyDescent="0.2">
      <c r="I46808" s="137" t="s">
        <v>74</v>
      </c>
    </row>
    <row r="46809" spans="9:9" x14ac:dyDescent="0.2">
      <c r="I46809" s="137" t="s">
        <v>74</v>
      </c>
    </row>
    <row r="46810" spans="9:9" x14ac:dyDescent="0.2">
      <c r="I46810" s="137" t="s">
        <v>74</v>
      </c>
    </row>
    <row r="46811" spans="9:9" x14ac:dyDescent="0.2">
      <c r="I46811" s="137" t="s">
        <v>74</v>
      </c>
    </row>
    <row r="46812" spans="9:9" x14ac:dyDescent="0.2">
      <c r="I46812" s="137" t="s">
        <v>74</v>
      </c>
    </row>
    <row r="46813" spans="9:9" x14ac:dyDescent="0.2">
      <c r="I46813" s="137" t="s">
        <v>74</v>
      </c>
    </row>
    <row r="46814" spans="9:9" x14ac:dyDescent="0.2">
      <c r="I46814" s="137" t="s">
        <v>74</v>
      </c>
    </row>
    <row r="46815" spans="9:9" x14ac:dyDescent="0.2">
      <c r="I46815" s="137" t="s">
        <v>74</v>
      </c>
    </row>
    <row r="46816" spans="9:9" x14ac:dyDescent="0.2">
      <c r="I46816" s="137" t="s">
        <v>74</v>
      </c>
    </row>
    <row r="46817" spans="9:9" x14ac:dyDescent="0.2">
      <c r="I46817" s="137" t="s">
        <v>74</v>
      </c>
    </row>
    <row r="46818" spans="9:9" x14ac:dyDescent="0.2">
      <c r="I46818" s="137" t="s">
        <v>74</v>
      </c>
    </row>
    <row r="46819" spans="9:9" x14ac:dyDescent="0.2">
      <c r="I46819" s="137" t="s">
        <v>74</v>
      </c>
    </row>
    <row r="46820" spans="9:9" x14ac:dyDescent="0.2">
      <c r="I46820" s="137" t="s">
        <v>74</v>
      </c>
    </row>
    <row r="46821" spans="9:9" x14ac:dyDescent="0.2">
      <c r="I46821" s="137" t="s">
        <v>74</v>
      </c>
    </row>
    <row r="46822" spans="9:9" x14ac:dyDescent="0.2">
      <c r="I46822" s="137" t="s">
        <v>74</v>
      </c>
    </row>
    <row r="46823" spans="9:9" x14ac:dyDescent="0.2">
      <c r="I46823" s="137" t="s">
        <v>74</v>
      </c>
    </row>
    <row r="46824" spans="9:9" x14ac:dyDescent="0.2">
      <c r="I46824" s="137" t="s">
        <v>74</v>
      </c>
    </row>
    <row r="46825" spans="9:9" x14ac:dyDescent="0.2">
      <c r="I46825" s="137" t="s">
        <v>74</v>
      </c>
    </row>
    <row r="46826" spans="9:9" x14ac:dyDescent="0.2">
      <c r="I46826" s="137" t="s">
        <v>74</v>
      </c>
    </row>
    <row r="46827" spans="9:9" x14ac:dyDescent="0.2">
      <c r="I46827" s="137" t="s">
        <v>74</v>
      </c>
    </row>
    <row r="46828" spans="9:9" x14ac:dyDescent="0.2">
      <c r="I46828" s="137" t="s">
        <v>74</v>
      </c>
    </row>
    <row r="46829" spans="9:9" x14ac:dyDescent="0.2">
      <c r="I46829" s="137" t="s">
        <v>74</v>
      </c>
    </row>
    <row r="46830" spans="9:9" x14ac:dyDescent="0.2">
      <c r="I46830" s="137" t="s">
        <v>74</v>
      </c>
    </row>
    <row r="46831" spans="9:9" x14ac:dyDescent="0.2">
      <c r="I46831" s="137" t="s">
        <v>74</v>
      </c>
    </row>
    <row r="46832" spans="9:9" x14ac:dyDescent="0.2">
      <c r="I46832" s="137" t="s">
        <v>74</v>
      </c>
    </row>
    <row r="46833" spans="9:9" x14ac:dyDescent="0.2">
      <c r="I46833" s="137" t="s">
        <v>74</v>
      </c>
    </row>
    <row r="46834" spans="9:9" x14ac:dyDescent="0.2">
      <c r="I46834" s="137" t="s">
        <v>74</v>
      </c>
    </row>
    <row r="46835" spans="9:9" x14ac:dyDescent="0.2">
      <c r="I46835" s="137" t="s">
        <v>74</v>
      </c>
    </row>
    <row r="46836" spans="9:9" x14ac:dyDescent="0.2">
      <c r="I46836" s="137" t="s">
        <v>74</v>
      </c>
    </row>
    <row r="46837" spans="9:9" x14ac:dyDescent="0.2">
      <c r="I46837" s="137" t="s">
        <v>74</v>
      </c>
    </row>
    <row r="46838" spans="9:9" x14ac:dyDescent="0.2">
      <c r="I46838" s="137" t="s">
        <v>74</v>
      </c>
    </row>
    <row r="46839" spans="9:9" x14ac:dyDescent="0.2">
      <c r="I46839" s="137" t="s">
        <v>74</v>
      </c>
    </row>
    <row r="46840" spans="9:9" x14ac:dyDescent="0.2">
      <c r="I46840" s="137" t="s">
        <v>74</v>
      </c>
    </row>
    <row r="46841" spans="9:9" x14ac:dyDescent="0.2">
      <c r="I46841" s="137" t="s">
        <v>74</v>
      </c>
    </row>
    <row r="46842" spans="9:9" x14ac:dyDescent="0.2">
      <c r="I46842" s="137" t="s">
        <v>74</v>
      </c>
    </row>
    <row r="46843" spans="9:9" x14ac:dyDescent="0.2">
      <c r="I46843" s="137" t="s">
        <v>74</v>
      </c>
    </row>
    <row r="46844" spans="9:9" x14ac:dyDescent="0.2">
      <c r="I46844" s="137" t="s">
        <v>74</v>
      </c>
    </row>
    <row r="46845" spans="9:9" x14ac:dyDescent="0.2">
      <c r="I46845" s="137" t="s">
        <v>74</v>
      </c>
    </row>
    <row r="46846" spans="9:9" x14ac:dyDescent="0.2">
      <c r="I46846" s="137" t="s">
        <v>74</v>
      </c>
    </row>
    <row r="46847" spans="9:9" x14ac:dyDescent="0.2">
      <c r="I46847" s="137" t="s">
        <v>74</v>
      </c>
    </row>
    <row r="46848" spans="9:9" x14ac:dyDescent="0.2">
      <c r="I46848" s="137" t="s">
        <v>74</v>
      </c>
    </row>
    <row r="46849" spans="9:9" x14ac:dyDescent="0.2">
      <c r="I46849" s="137" t="s">
        <v>74</v>
      </c>
    </row>
    <row r="46850" spans="9:9" x14ac:dyDescent="0.2">
      <c r="I46850" s="137" t="s">
        <v>74</v>
      </c>
    </row>
    <row r="46851" spans="9:9" x14ac:dyDescent="0.2">
      <c r="I46851" s="137" t="s">
        <v>74</v>
      </c>
    </row>
    <row r="46852" spans="9:9" x14ac:dyDescent="0.2">
      <c r="I46852" s="137" t="s">
        <v>74</v>
      </c>
    </row>
    <row r="46853" spans="9:9" x14ac:dyDescent="0.2">
      <c r="I46853" s="137" t="s">
        <v>74</v>
      </c>
    </row>
    <row r="46854" spans="9:9" x14ac:dyDescent="0.2">
      <c r="I46854" s="137" t="s">
        <v>74</v>
      </c>
    </row>
    <row r="46855" spans="9:9" x14ac:dyDescent="0.2">
      <c r="I46855" s="137" t="s">
        <v>74</v>
      </c>
    </row>
    <row r="46856" spans="9:9" x14ac:dyDescent="0.2">
      <c r="I46856" s="137" t="s">
        <v>74</v>
      </c>
    </row>
    <row r="46857" spans="9:9" x14ac:dyDescent="0.2">
      <c r="I46857" s="137" t="s">
        <v>74</v>
      </c>
    </row>
    <row r="46858" spans="9:9" x14ac:dyDescent="0.2">
      <c r="I46858" s="137" t="s">
        <v>74</v>
      </c>
    </row>
    <row r="46859" spans="9:9" x14ac:dyDescent="0.2">
      <c r="I46859" s="137" t="s">
        <v>74</v>
      </c>
    </row>
    <row r="46860" spans="9:9" x14ac:dyDescent="0.2">
      <c r="I46860" s="137" t="s">
        <v>74</v>
      </c>
    </row>
    <row r="46861" spans="9:9" x14ac:dyDescent="0.2">
      <c r="I46861" s="137" t="s">
        <v>74</v>
      </c>
    </row>
    <row r="46862" spans="9:9" x14ac:dyDescent="0.2">
      <c r="I46862" s="137" t="s">
        <v>74</v>
      </c>
    </row>
    <row r="46863" spans="9:9" x14ac:dyDescent="0.2">
      <c r="I46863" s="137" t="s">
        <v>74</v>
      </c>
    </row>
    <row r="46864" spans="9:9" x14ac:dyDescent="0.2">
      <c r="I46864" s="137" t="s">
        <v>74</v>
      </c>
    </row>
    <row r="46865" spans="9:9" x14ac:dyDescent="0.2">
      <c r="I46865" s="137" t="s">
        <v>74</v>
      </c>
    </row>
    <row r="46866" spans="9:9" x14ac:dyDescent="0.2">
      <c r="I46866" s="137" t="s">
        <v>74</v>
      </c>
    </row>
    <row r="46867" spans="9:9" x14ac:dyDescent="0.2">
      <c r="I46867" s="137" t="s">
        <v>74</v>
      </c>
    </row>
    <row r="46868" spans="9:9" x14ac:dyDescent="0.2">
      <c r="I46868" s="137" t="s">
        <v>74</v>
      </c>
    </row>
    <row r="46869" spans="9:9" x14ac:dyDescent="0.2">
      <c r="I46869" s="137" t="s">
        <v>74</v>
      </c>
    </row>
    <row r="46870" spans="9:9" x14ac:dyDescent="0.2">
      <c r="I46870" s="137" t="s">
        <v>74</v>
      </c>
    </row>
    <row r="46871" spans="9:9" x14ac:dyDescent="0.2">
      <c r="I46871" s="137" t="s">
        <v>74</v>
      </c>
    </row>
    <row r="46872" spans="9:9" x14ac:dyDescent="0.2">
      <c r="I46872" s="137" t="s">
        <v>74</v>
      </c>
    </row>
    <row r="46873" spans="9:9" x14ac:dyDescent="0.2">
      <c r="I46873" s="137" t="s">
        <v>74</v>
      </c>
    </row>
    <row r="46874" spans="9:9" x14ac:dyDescent="0.2">
      <c r="I46874" s="137" t="s">
        <v>74</v>
      </c>
    </row>
    <row r="46875" spans="9:9" x14ac:dyDescent="0.2">
      <c r="I46875" s="137" t="s">
        <v>74</v>
      </c>
    </row>
    <row r="46876" spans="9:9" x14ac:dyDescent="0.2">
      <c r="I46876" s="137" t="s">
        <v>74</v>
      </c>
    </row>
    <row r="46877" spans="9:9" x14ac:dyDescent="0.2">
      <c r="I46877" s="137" t="s">
        <v>74</v>
      </c>
    </row>
    <row r="46878" spans="9:9" x14ac:dyDescent="0.2">
      <c r="I46878" s="137" t="s">
        <v>74</v>
      </c>
    </row>
    <row r="46879" spans="9:9" x14ac:dyDescent="0.2">
      <c r="I46879" s="137" t="s">
        <v>74</v>
      </c>
    </row>
    <row r="46880" spans="9:9" x14ac:dyDescent="0.2">
      <c r="I46880" s="137" t="s">
        <v>74</v>
      </c>
    </row>
    <row r="46881" spans="9:9" x14ac:dyDescent="0.2">
      <c r="I46881" s="137" t="s">
        <v>74</v>
      </c>
    </row>
    <row r="46882" spans="9:9" x14ac:dyDescent="0.2">
      <c r="I46882" s="137" t="s">
        <v>74</v>
      </c>
    </row>
    <row r="46883" spans="9:9" x14ac:dyDescent="0.2">
      <c r="I46883" s="137" t="s">
        <v>74</v>
      </c>
    </row>
    <row r="46884" spans="9:9" x14ac:dyDescent="0.2">
      <c r="I46884" s="137" t="s">
        <v>74</v>
      </c>
    </row>
    <row r="46885" spans="9:9" x14ac:dyDescent="0.2">
      <c r="I46885" s="137" t="s">
        <v>74</v>
      </c>
    </row>
    <row r="46886" spans="9:9" x14ac:dyDescent="0.2">
      <c r="I46886" s="137" t="s">
        <v>74</v>
      </c>
    </row>
    <row r="46887" spans="9:9" x14ac:dyDescent="0.2">
      <c r="I46887" s="137" t="s">
        <v>74</v>
      </c>
    </row>
    <row r="46888" spans="9:9" x14ac:dyDescent="0.2">
      <c r="I46888" s="137" t="s">
        <v>74</v>
      </c>
    </row>
    <row r="46889" spans="9:9" x14ac:dyDescent="0.2">
      <c r="I46889" s="137" t="s">
        <v>74</v>
      </c>
    </row>
    <row r="46890" spans="9:9" x14ac:dyDescent="0.2">
      <c r="I46890" s="137" t="s">
        <v>74</v>
      </c>
    </row>
    <row r="46891" spans="9:9" x14ac:dyDescent="0.2">
      <c r="I46891" s="137" t="s">
        <v>74</v>
      </c>
    </row>
    <row r="46892" spans="9:9" x14ac:dyDescent="0.2">
      <c r="I46892" s="137" t="s">
        <v>74</v>
      </c>
    </row>
    <row r="46893" spans="9:9" x14ac:dyDescent="0.2">
      <c r="I46893" s="137" t="s">
        <v>74</v>
      </c>
    </row>
    <row r="46894" spans="9:9" x14ac:dyDescent="0.2">
      <c r="I46894" s="137" t="s">
        <v>74</v>
      </c>
    </row>
    <row r="46895" spans="9:9" x14ac:dyDescent="0.2">
      <c r="I46895" s="137" t="s">
        <v>74</v>
      </c>
    </row>
    <row r="46896" spans="9:9" x14ac:dyDescent="0.2">
      <c r="I46896" s="137" t="s">
        <v>74</v>
      </c>
    </row>
    <row r="46897" spans="9:9" x14ac:dyDescent="0.2">
      <c r="I46897" s="137" t="s">
        <v>74</v>
      </c>
    </row>
    <row r="46898" spans="9:9" x14ac:dyDescent="0.2">
      <c r="I46898" s="137" t="s">
        <v>74</v>
      </c>
    </row>
    <row r="46899" spans="9:9" x14ac:dyDescent="0.2">
      <c r="I46899" s="137" t="s">
        <v>74</v>
      </c>
    </row>
    <row r="46900" spans="9:9" x14ac:dyDescent="0.2">
      <c r="I46900" s="137" t="s">
        <v>74</v>
      </c>
    </row>
    <row r="46901" spans="9:9" x14ac:dyDescent="0.2">
      <c r="I46901" s="137" t="s">
        <v>74</v>
      </c>
    </row>
    <row r="46902" spans="9:9" x14ac:dyDescent="0.2">
      <c r="I46902" s="137" t="s">
        <v>74</v>
      </c>
    </row>
    <row r="46903" spans="9:9" x14ac:dyDescent="0.2">
      <c r="I46903" s="137" t="s">
        <v>74</v>
      </c>
    </row>
    <row r="46904" spans="9:9" x14ac:dyDescent="0.2">
      <c r="I46904" s="137" t="s">
        <v>74</v>
      </c>
    </row>
    <row r="46905" spans="9:9" x14ac:dyDescent="0.2">
      <c r="I46905" s="137" t="s">
        <v>74</v>
      </c>
    </row>
    <row r="46906" spans="9:9" x14ac:dyDescent="0.2">
      <c r="I46906" s="137" t="s">
        <v>74</v>
      </c>
    </row>
    <row r="46907" spans="9:9" x14ac:dyDescent="0.2">
      <c r="I46907" s="137" t="s">
        <v>74</v>
      </c>
    </row>
    <row r="46908" spans="9:9" x14ac:dyDescent="0.2">
      <c r="I46908" s="137" t="s">
        <v>74</v>
      </c>
    </row>
    <row r="46909" spans="9:9" x14ac:dyDescent="0.2">
      <c r="I46909" s="137" t="s">
        <v>74</v>
      </c>
    </row>
    <row r="46910" spans="9:9" x14ac:dyDescent="0.2">
      <c r="I46910" s="137" t="s">
        <v>74</v>
      </c>
    </row>
    <row r="46911" spans="9:9" x14ac:dyDescent="0.2">
      <c r="I46911" s="137" t="s">
        <v>74</v>
      </c>
    </row>
    <row r="46912" spans="9:9" x14ac:dyDescent="0.2">
      <c r="I46912" s="137" t="s">
        <v>74</v>
      </c>
    </row>
    <row r="46913" spans="9:9" x14ac:dyDescent="0.2">
      <c r="I46913" s="137" t="s">
        <v>74</v>
      </c>
    </row>
    <row r="46914" spans="9:9" x14ac:dyDescent="0.2">
      <c r="I46914" s="137" t="s">
        <v>74</v>
      </c>
    </row>
    <row r="46915" spans="9:9" x14ac:dyDescent="0.2">
      <c r="I46915" s="137" t="s">
        <v>74</v>
      </c>
    </row>
    <row r="46916" spans="9:9" x14ac:dyDescent="0.2">
      <c r="I46916" s="137" t="s">
        <v>74</v>
      </c>
    </row>
    <row r="46917" spans="9:9" x14ac:dyDescent="0.2">
      <c r="I46917" s="137" t="s">
        <v>74</v>
      </c>
    </row>
    <row r="46918" spans="9:9" x14ac:dyDescent="0.2">
      <c r="I46918" s="137" t="s">
        <v>74</v>
      </c>
    </row>
    <row r="46919" spans="9:9" x14ac:dyDescent="0.2">
      <c r="I46919" s="137" t="s">
        <v>74</v>
      </c>
    </row>
    <row r="46920" spans="9:9" x14ac:dyDescent="0.2">
      <c r="I46920" s="137" t="s">
        <v>74</v>
      </c>
    </row>
    <row r="46921" spans="9:9" x14ac:dyDescent="0.2">
      <c r="I46921" s="137" t="s">
        <v>74</v>
      </c>
    </row>
    <row r="46922" spans="9:9" x14ac:dyDescent="0.2">
      <c r="I46922" s="137" t="s">
        <v>74</v>
      </c>
    </row>
    <row r="46923" spans="9:9" x14ac:dyDescent="0.2">
      <c r="I46923" s="137" t="s">
        <v>74</v>
      </c>
    </row>
    <row r="46924" spans="9:9" x14ac:dyDescent="0.2">
      <c r="I46924" s="137" t="s">
        <v>74</v>
      </c>
    </row>
    <row r="46925" spans="9:9" x14ac:dyDescent="0.2">
      <c r="I46925" s="137" t="s">
        <v>74</v>
      </c>
    </row>
    <row r="46926" spans="9:9" x14ac:dyDescent="0.2">
      <c r="I46926" s="137" t="s">
        <v>74</v>
      </c>
    </row>
    <row r="46927" spans="9:9" x14ac:dyDescent="0.2">
      <c r="I46927" s="137" t="s">
        <v>74</v>
      </c>
    </row>
    <row r="46928" spans="9:9" x14ac:dyDescent="0.2">
      <c r="I46928" s="137" t="s">
        <v>74</v>
      </c>
    </row>
    <row r="46929" spans="9:9" x14ac:dyDescent="0.2">
      <c r="I46929" s="137" t="s">
        <v>74</v>
      </c>
    </row>
    <row r="46930" spans="9:9" x14ac:dyDescent="0.2">
      <c r="I46930" s="137" t="s">
        <v>74</v>
      </c>
    </row>
    <row r="46931" spans="9:9" x14ac:dyDescent="0.2">
      <c r="I46931" s="137" t="s">
        <v>74</v>
      </c>
    </row>
    <row r="46932" spans="9:9" x14ac:dyDescent="0.2">
      <c r="I46932" s="137" t="s">
        <v>74</v>
      </c>
    </row>
    <row r="46933" spans="9:9" x14ac:dyDescent="0.2">
      <c r="I46933" s="137" t="s">
        <v>74</v>
      </c>
    </row>
    <row r="46934" spans="9:9" x14ac:dyDescent="0.2">
      <c r="I46934" s="137" t="s">
        <v>74</v>
      </c>
    </row>
    <row r="46935" spans="9:9" x14ac:dyDescent="0.2">
      <c r="I46935" s="137" t="s">
        <v>74</v>
      </c>
    </row>
    <row r="46936" spans="9:9" x14ac:dyDescent="0.2">
      <c r="I46936" s="137" t="s">
        <v>74</v>
      </c>
    </row>
    <row r="46937" spans="9:9" x14ac:dyDescent="0.2">
      <c r="I46937" s="137" t="s">
        <v>74</v>
      </c>
    </row>
    <row r="46938" spans="9:9" x14ac:dyDescent="0.2">
      <c r="I46938" s="137" t="s">
        <v>74</v>
      </c>
    </row>
    <row r="46939" spans="9:9" x14ac:dyDescent="0.2">
      <c r="I46939" s="137" t="s">
        <v>74</v>
      </c>
    </row>
    <row r="46940" spans="9:9" x14ac:dyDescent="0.2">
      <c r="I46940" s="137" t="s">
        <v>74</v>
      </c>
    </row>
    <row r="46941" spans="9:9" x14ac:dyDescent="0.2">
      <c r="I46941" s="137" t="s">
        <v>74</v>
      </c>
    </row>
    <row r="46942" spans="9:9" x14ac:dyDescent="0.2">
      <c r="I46942" s="137" t="s">
        <v>74</v>
      </c>
    </row>
    <row r="46943" spans="9:9" x14ac:dyDescent="0.2">
      <c r="I46943" s="137" t="s">
        <v>74</v>
      </c>
    </row>
    <row r="46944" spans="9:9" x14ac:dyDescent="0.2">
      <c r="I46944" s="137" t="s">
        <v>74</v>
      </c>
    </row>
    <row r="46945" spans="9:9" x14ac:dyDescent="0.2">
      <c r="I46945" s="137" t="s">
        <v>74</v>
      </c>
    </row>
    <row r="46946" spans="9:9" x14ac:dyDescent="0.2">
      <c r="I46946" s="137" t="s">
        <v>74</v>
      </c>
    </row>
    <row r="46947" spans="9:9" x14ac:dyDescent="0.2">
      <c r="I46947" s="137" t="s">
        <v>74</v>
      </c>
    </row>
    <row r="46948" spans="9:9" x14ac:dyDescent="0.2">
      <c r="I46948" s="137" t="s">
        <v>74</v>
      </c>
    </row>
    <row r="46949" spans="9:9" x14ac:dyDescent="0.2">
      <c r="I46949" s="137" t="s">
        <v>74</v>
      </c>
    </row>
    <row r="46950" spans="9:9" x14ac:dyDescent="0.2">
      <c r="I46950" s="137" t="s">
        <v>74</v>
      </c>
    </row>
    <row r="46951" spans="9:9" x14ac:dyDescent="0.2">
      <c r="I46951" s="137" t="s">
        <v>74</v>
      </c>
    </row>
    <row r="46952" spans="9:9" x14ac:dyDescent="0.2">
      <c r="I46952" s="137" t="s">
        <v>74</v>
      </c>
    </row>
    <row r="46953" spans="9:9" x14ac:dyDescent="0.2">
      <c r="I46953" s="137" t="s">
        <v>74</v>
      </c>
    </row>
    <row r="46954" spans="9:9" x14ac:dyDescent="0.2">
      <c r="I46954" s="137" t="s">
        <v>74</v>
      </c>
    </row>
    <row r="46955" spans="9:9" x14ac:dyDescent="0.2">
      <c r="I46955" s="137" t="s">
        <v>74</v>
      </c>
    </row>
    <row r="46956" spans="9:9" x14ac:dyDescent="0.2">
      <c r="I46956" s="137" t="s">
        <v>74</v>
      </c>
    </row>
    <row r="46957" spans="9:9" x14ac:dyDescent="0.2">
      <c r="I46957" s="137" t="s">
        <v>74</v>
      </c>
    </row>
    <row r="46958" spans="9:9" x14ac:dyDescent="0.2">
      <c r="I46958" s="137" t="s">
        <v>74</v>
      </c>
    </row>
    <row r="46959" spans="9:9" x14ac:dyDescent="0.2">
      <c r="I46959" s="137" t="s">
        <v>74</v>
      </c>
    </row>
    <row r="46960" spans="9:9" x14ac:dyDescent="0.2">
      <c r="I46960" s="137" t="s">
        <v>74</v>
      </c>
    </row>
    <row r="46961" spans="9:9" x14ac:dyDescent="0.2">
      <c r="I46961" s="137" t="s">
        <v>74</v>
      </c>
    </row>
    <row r="46962" spans="9:9" x14ac:dyDescent="0.2">
      <c r="I46962" s="137" t="s">
        <v>74</v>
      </c>
    </row>
    <row r="46963" spans="9:9" x14ac:dyDescent="0.2">
      <c r="I46963" s="137" t="s">
        <v>74</v>
      </c>
    </row>
    <row r="46964" spans="9:9" x14ac:dyDescent="0.2">
      <c r="I46964" s="137" t="s">
        <v>74</v>
      </c>
    </row>
    <row r="46965" spans="9:9" x14ac:dyDescent="0.2">
      <c r="I46965" s="137" t="s">
        <v>74</v>
      </c>
    </row>
    <row r="46966" spans="9:9" x14ac:dyDescent="0.2">
      <c r="I46966" s="137" t="s">
        <v>74</v>
      </c>
    </row>
    <row r="46967" spans="9:9" x14ac:dyDescent="0.2">
      <c r="I46967" s="137" t="s">
        <v>74</v>
      </c>
    </row>
    <row r="46968" spans="9:9" x14ac:dyDescent="0.2">
      <c r="I46968" s="137" t="s">
        <v>74</v>
      </c>
    </row>
    <row r="46969" spans="9:9" x14ac:dyDescent="0.2">
      <c r="I46969" s="137" t="s">
        <v>74</v>
      </c>
    </row>
    <row r="46970" spans="9:9" x14ac:dyDescent="0.2">
      <c r="I46970" s="137" t="s">
        <v>74</v>
      </c>
    </row>
    <row r="46971" spans="9:9" x14ac:dyDescent="0.2">
      <c r="I46971" s="137" t="s">
        <v>74</v>
      </c>
    </row>
    <row r="46972" spans="9:9" x14ac:dyDescent="0.2">
      <c r="I46972" s="137" t="s">
        <v>74</v>
      </c>
    </row>
    <row r="46973" spans="9:9" x14ac:dyDescent="0.2">
      <c r="I46973" s="137" t="s">
        <v>74</v>
      </c>
    </row>
    <row r="46974" spans="9:9" x14ac:dyDescent="0.2">
      <c r="I46974" s="137" t="s">
        <v>74</v>
      </c>
    </row>
    <row r="46975" spans="9:9" x14ac:dyDescent="0.2">
      <c r="I46975" s="137" t="s">
        <v>74</v>
      </c>
    </row>
    <row r="46976" spans="9:9" x14ac:dyDescent="0.2">
      <c r="I46976" s="137" t="s">
        <v>74</v>
      </c>
    </row>
    <row r="46977" spans="9:9" x14ac:dyDescent="0.2">
      <c r="I46977" s="137" t="s">
        <v>74</v>
      </c>
    </row>
    <row r="46978" spans="9:9" x14ac:dyDescent="0.2">
      <c r="I46978" s="137" t="s">
        <v>74</v>
      </c>
    </row>
    <row r="46979" spans="9:9" x14ac:dyDescent="0.2">
      <c r="I46979" s="137" t="s">
        <v>74</v>
      </c>
    </row>
    <row r="46980" spans="9:9" x14ac:dyDescent="0.2">
      <c r="I46980" s="137" t="s">
        <v>74</v>
      </c>
    </row>
    <row r="46981" spans="9:9" x14ac:dyDescent="0.2">
      <c r="I46981" s="137" t="s">
        <v>74</v>
      </c>
    </row>
    <row r="46982" spans="9:9" x14ac:dyDescent="0.2">
      <c r="I46982" s="137" t="s">
        <v>74</v>
      </c>
    </row>
    <row r="46983" spans="9:9" x14ac:dyDescent="0.2">
      <c r="I46983" s="137" t="s">
        <v>74</v>
      </c>
    </row>
    <row r="46984" spans="9:9" x14ac:dyDescent="0.2">
      <c r="I46984" s="137" t="s">
        <v>74</v>
      </c>
    </row>
    <row r="46985" spans="9:9" x14ac:dyDescent="0.2">
      <c r="I46985" s="137" t="s">
        <v>74</v>
      </c>
    </row>
    <row r="46986" spans="9:9" x14ac:dyDescent="0.2">
      <c r="I46986" s="137" t="s">
        <v>74</v>
      </c>
    </row>
    <row r="46987" spans="9:9" x14ac:dyDescent="0.2">
      <c r="I46987" s="137" t="s">
        <v>74</v>
      </c>
    </row>
    <row r="46988" spans="9:9" x14ac:dyDescent="0.2">
      <c r="I46988" s="137" t="s">
        <v>74</v>
      </c>
    </row>
    <row r="46989" spans="9:9" x14ac:dyDescent="0.2">
      <c r="I46989" s="137" t="s">
        <v>74</v>
      </c>
    </row>
    <row r="46990" spans="9:9" x14ac:dyDescent="0.2">
      <c r="I46990" s="137" t="s">
        <v>74</v>
      </c>
    </row>
    <row r="46991" spans="9:9" x14ac:dyDescent="0.2">
      <c r="I46991" s="137" t="s">
        <v>74</v>
      </c>
    </row>
    <row r="46992" spans="9:9" x14ac:dyDescent="0.2">
      <c r="I46992" s="137" t="s">
        <v>74</v>
      </c>
    </row>
    <row r="46993" spans="9:9" x14ac:dyDescent="0.2">
      <c r="I46993" s="137" t="s">
        <v>74</v>
      </c>
    </row>
    <row r="46994" spans="9:9" x14ac:dyDescent="0.2">
      <c r="I46994" s="137" t="s">
        <v>74</v>
      </c>
    </row>
    <row r="46995" spans="9:9" x14ac:dyDescent="0.2">
      <c r="I46995" s="137" t="s">
        <v>74</v>
      </c>
    </row>
    <row r="46996" spans="9:9" x14ac:dyDescent="0.2">
      <c r="I46996" s="137" t="s">
        <v>74</v>
      </c>
    </row>
    <row r="46997" spans="9:9" x14ac:dyDescent="0.2">
      <c r="I46997" s="137" t="s">
        <v>74</v>
      </c>
    </row>
    <row r="46998" spans="9:9" x14ac:dyDescent="0.2">
      <c r="I46998" s="137" t="s">
        <v>74</v>
      </c>
    </row>
    <row r="46999" spans="9:9" x14ac:dyDescent="0.2">
      <c r="I46999" s="137" t="s">
        <v>74</v>
      </c>
    </row>
    <row r="47000" spans="9:9" x14ac:dyDescent="0.2">
      <c r="I47000" s="137" t="s">
        <v>74</v>
      </c>
    </row>
    <row r="47001" spans="9:9" x14ac:dyDescent="0.2">
      <c r="I47001" s="137" t="s">
        <v>74</v>
      </c>
    </row>
    <row r="47002" spans="9:9" x14ac:dyDescent="0.2">
      <c r="I47002" s="137" t="s">
        <v>74</v>
      </c>
    </row>
    <row r="47003" spans="9:9" x14ac:dyDescent="0.2">
      <c r="I47003" s="137" t="s">
        <v>74</v>
      </c>
    </row>
    <row r="47004" spans="9:9" x14ac:dyDescent="0.2">
      <c r="I47004" s="137" t="s">
        <v>74</v>
      </c>
    </row>
    <row r="47005" spans="9:9" x14ac:dyDescent="0.2">
      <c r="I47005" s="137" t="s">
        <v>74</v>
      </c>
    </row>
    <row r="47006" spans="9:9" x14ac:dyDescent="0.2">
      <c r="I47006" s="137" t="s">
        <v>74</v>
      </c>
    </row>
    <row r="47007" spans="9:9" x14ac:dyDescent="0.2">
      <c r="I47007" s="137" t="s">
        <v>74</v>
      </c>
    </row>
    <row r="47008" spans="9:9" x14ac:dyDescent="0.2">
      <c r="I47008" s="137" t="s">
        <v>74</v>
      </c>
    </row>
    <row r="47009" spans="9:9" x14ac:dyDescent="0.2">
      <c r="I47009" s="137" t="s">
        <v>74</v>
      </c>
    </row>
    <row r="47010" spans="9:9" x14ac:dyDescent="0.2">
      <c r="I47010" s="137" t="s">
        <v>74</v>
      </c>
    </row>
    <row r="47011" spans="9:9" x14ac:dyDescent="0.2">
      <c r="I47011" s="137" t="s">
        <v>74</v>
      </c>
    </row>
    <row r="47012" spans="9:9" x14ac:dyDescent="0.2">
      <c r="I47012" s="137" t="s">
        <v>74</v>
      </c>
    </row>
    <row r="47013" spans="9:9" x14ac:dyDescent="0.2">
      <c r="I47013" s="137" t="s">
        <v>74</v>
      </c>
    </row>
    <row r="47014" spans="9:9" x14ac:dyDescent="0.2">
      <c r="I47014" s="137" t="s">
        <v>74</v>
      </c>
    </row>
    <row r="47015" spans="9:9" x14ac:dyDescent="0.2">
      <c r="I47015" s="137" t="s">
        <v>74</v>
      </c>
    </row>
    <row r="47016" spans="9:9" x14ac:dyDescent="0.2">
      <c r="I47016" s="137" t="s">
        <v>74</v>
      </c>
    </row>
    <row r="47017" spans="9:9" x14ac:dyDescent="0.2">
      <c r="I47017" s="137" t="s">
        <v>74</v>
      </c>
    </row>
    <row r="47018" spans="9:9" x14ac:dyDescent="0.2">
      <c r="I47018" s="137" t="s">
        <v>74</v>
      </c>
    </row>
    <row r="47019" spans="9:9" x14ac:dyDescent="0.2">
      <c r="I47019" s="137" t="s">
        <v>74</v>
      </c>
    </row>
    <row r="47020" spans="9:9" x14ac:dyDescent="0.2">
      <c r="I47020" s="137" t="s">
        <v>74</v>
      </c>
    </row>
    <row r="47021" spans="9:9" x14ac:dyDescent="0.2">
      <c r="I47021" s="137" t="s">
        <v>74</v>
      </c>
    </row>
    <row r="47022" spans="9:9" x14ac:dyDescent="0.2">
      <c r="I47022" s="137" t="s">
        <v>74</v>
      </c>
    </row>
    <row r="47023" spans="9:9" x14ac:dyDescent="0.2">
      <c r="I47023" s="137" t="s">
        <v>74</v>
      </c>
    </row>
    <row r="47024" spans="9:9" x14ac:dyDescent="0.2">
      <c r="I47024" s="137" t="s">
        <v>74</v>
      </c>
    </row>
    <row r="47025" spans="9:9" x14ac:dyDescent="0.2">
      <c r="I47025" s="137" t="s">
        <v>74</v>
      </c>
    </row>
    <row r="47026" spans="9:9" x14ac:dyDescent="0.2">
      <c r="I47026" s="137" t="s">
        <v>74</v>
      </c>
    </row>
    <row r="47027" spans="9:9" x14ac:dyDescent="0.2">
      <c r="I47027" s="137" t="s">
        <v>74</v>
      </c>
    </row>
    <row r="47028" spans="9:9" x14ac:dyDescent="0.2">
      <c r="I47028" s="137" t="s">
        <v>74</v>
      </c>
    </row>
    <row r="47029" spans="9:9" x14ac:dyDescent="0.2">
      <c r="I47029" s="137" t="s">
        <v>74</v>
      </c>
    </row>
    <row r="47030" spans="9:9" x14ac:dyDescent="0.2">
      <c r="I47030" s="137" t="s">
        <v>74</v>
      </c>
    </row>
    <row r="47031" spans="9:9" x14ac:dyDescent="0.2">
      <c r="I47031" s="137" t="s">
        <v>74</v>
      </c>
    </row>
    <row r="47032" spans="9:9" x14ac:dyDescent="0.2">
      <c r="I47032" s="137" t="s">
        <v>74</v>
      </c>
    </row>
    <row r="47033" spans="9:9" x14ac:dyDescent="0.2">
      <c r="I47033" s="137" t="s">
        <v>74</v>
      </c>
    </row>
    <row r="47034" spans="9:9" x14ac:dyDescent="0.2">
      <c r="I47034" s="137" t="s">
        <v>74</v>
      </c>
    </row>
    <row r="47035" spans="9:9" x14ac:dyDescent="0.2">
      <c r="I47035" s="137" t="s">
        <v>74</v>
      </c>
    </row>
    <row r="47036" spans="9:9" x14ac:dyDescent="0.2">
      <c r="I47036" s="137" t="s">
        <v>74</v>
      </c>
    </row>
    <row r="47037" spans="9:9" x14ac:dyDescent="0.2">
      <c r="I47037" s="137" t="s">
        <v>74</v>
      </c>
    </row>
    <row r="47038" spans="9:9" x14ac:dyDescent="0.2">
      <c r="I47038" s="137" t="s">
        <v>74</v>
      </c>
    </row>
    <row r="47039" spans="9:9" x14ac:dyDescent="0.2">
      <c r="I47039" s="137" t="s">
        <v>74</v>
      </c>
    </row>
    <row r="47040" spans="9:9" x14ac:dyDescent="0.2">
      <c r="I47040" s="137" t="s">
        <v>74</v>
      </c>
    </row>
    <row r="47041" spans="9:9" x14ac:dyDescent="0.2">
      <c r="I47041" s="137" t="s">
        <v>74</v>
      </c>
    </row>
    <row r="47042" spans="9:9" x14ac:dyDescent="0.2">
      <c r="I47042" s="137" t="s">
        <v>74</v>
      </c>
    </row>
    <row r="47043" spans="9:9" x14ac:dyDescent="0.2">
      <c r="I47043" s="137" t="s">
        <v>74</v>
      </c>
    </row>
    <row r="47044" spans="9:9" x14ac:dyDescent="0.2">
      <c r="I47044" s="137" t="s">
        <v>74</v>
      </c>
    </row>
    <row r="47045" spans="9:9" x14ac:dyDescent="0.2">
      <c r="I47045" s="137" t="s">
        <v>74</v>
      </c>
    </row>
    <row r="47046" spans="9:9" x14ac:dyDescent="0.2">
      <c r="I47046" s="137" t="s">
        <v>74</v>
      </c>
    </row>
    <row r="47047" spans="9:9" x14ac:dyDescent="0.2">
      <c r="I47047" s="137" t="s">
        <v>74</v>
      </c>
    </row>
    <row r="47048" spans="9:9" x14ac:dyDescent="0.2">
      <c r="I47048" s="137" t="s">
        <v>74</v>
      </c>
    </row>
    <row r="47049" spans="9:9" x14ac:dyDescent="0.2">
      <c r="I47049" s="137" t="s">
        <v>74</v>
      </c>
    </row>
    <row r="47050" spans="9:9" x14ac:dyDescent="0.2">
      <c r="I47050" s="137" t="s">
        <v>74</v>
      </c>
    </row>
    <row r="47051" spans="9:9" x14ac:dyDescent="0.2">
      <c r="I47051" s="137" t="s">
        <v>74</v>
      </c>
    </row>
    <row r="47052" spans="9:9" x14ac:dyDescent="0.2">
      <c r="I47052" s="137" t="s">
        <v>74</v>
      </c>
    </row>
    <row r="47053" spans="9:9" x14ac:dyDescent="0.2">
      <c r="I47053" s="137" t="s">
        <v>74</v>
      </c>
    </row>
    <row r="47054" spans="9:9" x14ac:dyDescent="0.2">
      <c r="I47054" s="137" t="s">
        <v>74</v>
      </c>
    </row>
    <row r="47055" spans="9:9" x14ac:dyDescent="0.2">
      <c r="I47055" s="137" t="s">
        <v>74</v>
      </c>
    </row>
    <row r="47056" spans="9:9" x14ac:dyDescent="0.2">
      <c r="I47056" s="137" t="s">
        <v>74</v>
      </c>
    </row>
    <row r="47057" spans="9:9" x14ac:dyDescent="0.2">
      <c r="I47057" s="137" t="s">
        <v>74</v>
      </c>
    </row>
    <row r="47058" spans="9:9" x14ac:dyDescent="0.2">
      <c r="I47058" s="137" t="s">
        <v>74</v>
      </c>
    </row>
    <row r="47059" spans="9:9" x14ac:dyDescent="0.2">
      <c r="I47059" s="137" t="s">
        <v>74</v>
      </c>
    </row>
    <row r="47060" spans="9:9" x14ac:dyDescent="0.2">
      <c r="I47060" s="137" t="s">
        <v>74</v>
      </c>
    </row>
    <row r="47061" spans="9:9" x14ac:dyDescent="0.2">
      <c r="I47061" s="137" t="s">
        <v>74</v>
      </c>
    </row>
    <row r="47062" spans="9:9" x14ac:dyDescent="0.2">
      <c r="I47062" s="137" t="s">
        <v>74</v>
      </c>
    </row>
    <row r="47063" spans="9:9" x14ac:dyDescent="0.2">
      <c r="I47063" s="137" t="s">
        <v>74</v>
      </c>
    </row>
    <row r="47064" spans="9:9" x14ac:dyDescent="0.2">
      <c r="I47064" s="137" t="s">
        <v>74</v>
      </c>
    </row>
    <row r="47065" spans="9:9" x14ac:dyDescent="0.2">
      <c r="I47065" s="137" t="s">
        <v>74</v>
      </c>
    </row>
    <row r="47066" spans="9:9" x14ac:dyDescent="0.2">
      <c r="I47066" s="137" t="s">
        <v>74</v>
      </c>
    </row>
    <row r="47067" spans="9:9" x14ac:dyDescent="0.2">
      <c r="I47067" s="137" t="s">
        <v>74</v>
      </c>
    </row>
    <row r="47068" spans="9:9" x14ac:dyDescent="0.2">
      <c r="I47068" s="137" t="s">
        <v>74</v>
      </c>
    </row>
    <row r="47069" spans="9:9" x14ac:dyDescent="0.2">
      <c r="I47069" s="137" t="s">
        <v>74</v>
      </c>
    </row>
    <row r="47070" spans="9:9" x14ac:dyDescent="0.2">
      <c r="I47070" s="137" t="s">
        <v>74</v>
      </c>
    </row>
    <row r="47071" spans="9:9" x14ac:dyDescent="0.2">
      <c r="I47071" s="137" t="s">
        <v>74</v>
      </c>
    </row>
    <row r="47072" spans="9:9" x14ac:dyDescent="0.2">
      <c r="I47072" s="137" t="s">
        <v>74</v>
      </c>
    </row>
    <row r="47073" spans="9:9" x14ac:dyDescent="0.2">
      <c r="I47073" s="137" t="s">
        <v>74</v>
      </c>
    </row>
    <row r="47074" spans="9:9" x14ac:dyDescent="0.2">
      <c r="I47074" s="137" t="s">
        <v>74</v>
      </c>
    </row>
    <row r="47075" spans="9:9" x14ac:dyDescent="0.2">
      <c r="I47075" s="137" t="s">
        <v>74</v>
      </c>
    </row>
    <row r="47076" spans="9:9" x14ac:dyDescent="0.2">
      <c r="I47076" s="137" t="s">
        <v>74</v>
      </c>
    </row>
    <row r="47077" spans="9:9" x14ac:dyDescent="0.2">
      <c r="I47077" s="137" t="s">
        <v>74</v>
      </c>
    </row>
    <row r="47078" spans="9:9" x14ac:dyDescent="0.2">
      <c r="I47078" s="137" t="s">
        <v>74</v>
      </c>
    </row>
    <row r="47079" spans="9:9" x14ac:dyDescent="0.2">
      <c r="I47079" s="137" t="s">
        <v>74</v>
      </c>
    </row>
    <row r="47080" spans="9:9" x14ac:dyDescent="0.2">
      <c r="I47080" s="137" t="s">
        <v>74</v>
      </c>
    </row>
    <row r="47081" spans="9:9" x14ac:dyDescent="0.2">
      <c r="I47081" s="137" t="s">
        <v>74</v>
      </c>
    </row>
    <row r="47082" spans="9:9" x14ac:dyDescent="0.2">
      <c r="I47082" s="137" t="s">
        <v>74</v>
      </c>
    </row>
    <row r="47083" spans="9:9" x14ac:dyDescent="0.2">
      <c r="I47083" s="137" t="s">
        <v>74</v>
      </c>
    </row>
    <row r="47084" spans="9:9" x14ac:dyDescent="0.2">
      <c r="I47084" s="137" t="s">
        <v>74</v>
      </c>
    </row>
    <row r="47085" spans="9:9" x14ac:dyDescent="0.2">
      <c r="I47085" s="137" t="s">
        <v>74</v>
      </c>
    </row>
    <row r="47086" spans="9:9" x14ac:dyDescent="0.2">
      <c r="I47086" s="137" t="s">
        <v>74</v>
      </c>
    </row>
    <row r="47087" spans="9:9" x14ac:dyDescent="0.2">
      <c r="I47087" s="137" t="s">
        <v>74</v>
      </c>
    </row>
    <row r="47088" spans="9:9" x14ac:dyDescent="0.2">
      <c r="I47088" s="137" t="s">
        <v>74</v>
      </c>
    </row>
    <row r="47089" spans="9:9" x14ac:dyDescent="0.2">
      <c r="I47089" s="137" t="s">
        <v>74</v>
      </c>
    </row>
    <row r="47090" spans="9:9" x14ac:dyDescent="0.2">
      <c r="I47090" s="137" t="s">
        <v>74</v>
      </c>
    </row>
    <row r="47091" spans="9:9" x14ac:dyDescent="0.2">
      <c r="I47091" s="137" t="s">
        <v>74</v>
      </c>
    </row>
    <row r="47092" spans="9:9" x14ac:dyDescent="0.2">
      <c r="I47092" s="137" t="s">
        <v>74</v>
      </c>
    </row>
    <row r="47093" spans="9:9" x14ac:dyDescent="0.2">
      <c r="I47093" s="137" t="s">
        <v>74</v>
      </c>
    </row>
    <row r="47094" spans="9:9" x14ac:dyDescent="0.2">
      <c r="I47094" s="137" t="s">
        <v>74</v>
      </c>
    </row>
    <row r="47095" spans="9:9" x14ac:dyDescent="0.2">
      <c r="I47095" s="137" t="s">
        <v>74</v>
      </c>
    </row>
    <row r="47096" spans="9:9" x14ac:dyDescent="0.2">
      <c r="I47096" s="137" t="s">
        <v>74</v>
      </c>
    </row>
    <row r="47097" spans="9:9" x14ac:dyDescent="0.2">
      <c r="I47097" s="137" t="s">
        <v>74</v>
      </c>
    </row>
    <row r="47098" spans="9:9" x14ac:dyDescent="0.2">
      <c r="I47098" s="137" t="s">
        <v>74</v>
      </c>
    </row>
    <row r="47099" spans="9:9" x14ac:dyDescent="0.2">
      <c r="I47099" s="137" t="s">
        <v>74</v>
      </c>
    </row>
    <row r="47100" spans="9:9" x14ac:dyDescent="0.2">
      <c r="I47100" s="137" t="s">
        <v>74</v>
      </c>
    </row>
    <row r="47101" spans="9:9" x14ac:dyDescent="0.2">
      <c r="I47101" s="137" t="s">
        <v>74</v>
      </c>
    </row>
    <row r="47102" spans="9:9" x14ac:dyDescent="0.2">
      <c r="I47102" s="137" t="s">
        <v>74</v>
      </c>
    </row>
    <row r="47103" spans="9:9" x14ac:dyDescent="0.2">
      <c r="I47103" s="137" t="s">
        <v>74</v>
      </c>
    </row>
    <row r="47104" spans="9:9" x14ac:dyDescent="0.2">
      <c r="I47104" s="137" t="s">
        <v>74</v>
      </c>
    </row>
    <row r="47105" spans="9:9" x14ac:dyDescent="0.2">
      <c r="I47105" s="137" t="s">
        <v>74</v>
      </c>
    </row>
    <row r="47106" spans="9:9" x14ac:dyDescent="0.2">
      <c r="I47106" s="137" t="s">
        <v>74</v>
      </c>
    </row>
    <row r="47107" spans="9:9" x14ac:dyDescent="0.2">
      <c r="I47107" s="137" t="s">
        <v>74</v>
      </c>
    </row>
    <row r="47108" spans="9:9" x14ac:dyDescent="0.2">
      <c r="I47108" s="137" t="s">
        <v>74</v>
      </c>
    </row>
    <row r="47109" spans="9:9" x14ac:dyDescent="0.2">
      <c r="I47109" s="137" t="s">
        <v>74</v>
      </c>
    </row>
    <row r="47110" spans="9:9" x14ac:dyDescent="0.2">
      <c r="I47110" s="137" t="s">
        <v>74</v>
      </c>
    </row>
    <row r="47111" spans="9:9" x14ac:dyDescent="0.2">
      <c r="I47111" s="137" t="s">
        <v>74</v>
      </c>
    </row>
    <row r="47112" spans="9:9" x14ac:dyDescent="0.2">
      <c r="I47112" s="137" t="s">
        <v>74</v>
      </c>
    </row>
    <row r="47113" spans="9:9" x14ac:dyDescent="0.2">
      <c r="I47113" s="137" t="s">
        <v>74</v>
      </c>
    </row>
    <row r="47114" spans="9:9" x14ac:dyDescent="0.2">
      <c r="I47114" s="137" t="s">
        <v>74</v>
      </c>
    </row>
    <row r="47115" spans="9:9" x14ac:dyDescent="0.2">
      <c r="I47115" s="137" t="s">
        <v>74</v>
      </c>
    </row>
    <row r="47116" spans="9:9" x14ac:dyDescent="0.2">
      <c r="I47116" s="137" t="s">
        <v>74</v>
      </c>
    </row>
    <row r="47117" spans="9:9" x14ac:dyDescent="0.2">
      <c r="I47117" s="137" t="s">
        <v>74</v>
      </c>
    </row>
    <row r="47118" spans="9:9" x14ac:dyDescent="0.2">
      <c r="I47118" s="137" t="s">
        <v>74</v>
      </c>
    </row>
    <row r="47119" spans="9:9" x14ac:dyDescent="0.2">
      <c r="I47119" s="137" t="s">
        <v>74</v>
      </c>
    </row>
    <row r="47120" spans="9:9" x14ac:dyDescent="0.2">
      <c r="I47120" s="137" t="s">
        <v>74</v>
      </c>
    </row>
    <row r="47121" spans="9:9" x14ac:dyDescent="0.2">
      <c r="I47121" s="137" t="s">
        <v>74</v>
      </c>
    </row>
    <row r="47122" spans="9:9" x14ac:dyDescent="0.2">
      <c r="I47122" s="137" t="s">
        <v>74</v>
      </c>
    </row>
    <row r="47123" spans="9:9" x14ac:dyDescent="0.2">
      <c r="I47123" s="137" t="s">
        <v>74</v>
      </c>
    </row>
    <row r="47124" spans="9:9" x14ac:dyDescent="0.2">
      <c r="I47124" s="137" t="s">
        <v>74</v>
      </c>
    </row>
    <row r="47125" spans="9:9" x14ac:dyDescent="0.2">
      <c r="I47125" s="137" t="s">
        <v>74</v>
      </c>
    </row>
    <row r="47126" spans="9:9" x14ac:dyDescent="0.2">
      <c r="I47126" s="137" t="s">
        <v>74</v>
      </c>
    </row>
    <row r="47127" spans="9:9" x14ac:dyDescent="0.2">
      <c r="I47127" s="137" t="s">
        <v>74</v>
      </c>
    </row>
    <row r="47128" spans="9:9" x14ac:dyDescent="0.2">
      <c r="I47128" s="137" t="s">
        <v>74</v>
      </c>
    </row>
    <row r="47129" spans="9:9" x14ac:dyDescent="0.2">
      <c r="I47129" s="137" t="s">
        <v>74</v>
      </c>
    </row>
    <row r="47130" spans="9:9" x14ac:dyDescent="0.2">
      <c r="I47130" s="137" t="s">
        <v>74</v>
      </c>
    </row>
    <row r="47131" spans="9:9" x14ac:dyDescent="0.2">
      <c r="I47131" s="137" t="s">
        <v>74</v>
      </c>
    </row>
    <row r="47132" spans="9:9" x14ac:dyDescent="0.2">
      <c r="I47132" s="137" t="s">
        <v>74</v>
      </c>
    </row>
    <row r="47133" spans="9:9" x14ac:dyDescent="0.2">
      <c r="I47133" s="137" t="s">
        <v>74</v>
      </c>
    </row>
    <row r="47134" spans="9:9" x14ac:dyDescent="0.2">
      <c r="I47134" s="137" t="s">
        <v>74</v>
      </c>
    </row>
    <row r="47135" spans="9:9" x14ac:dyDescent="0.2">
      <c r="I47135" s="137" t="s">
        <v>74</v>
      </c>
    </row>
    <row r="47136" spans="9:9" x14ac:dyDescent="0.2">
      <c r="I47136" s="137" t="s">
        <v>74</v>
      </c>
    </row>
    <row r="47137" spans="9:9" x14ac:dyDescent="0.2">
      <c r="I47137" s="137" t="s">
        <v>74</v>
      </c>
    </row>
    <row r="47138" spans="9:9" x14ac:dyDescent="0.2">
      <c r="I47138" s="137" t="s">
        <v>74</v>
      </c>
    </row>
    <row r="47139" spans="9:9" x14ac:dyDescent="0.2">
      <c r="I47139" s="137" t="s">
        <v>74</v>
      </c>
    </row>
    <row r="47140" spans="9:9" x14ac:dyDescent="0.2">
      <c r="I47140" s="137" t="s">
        <v>74</v>
      </c>
    </row>
    <row r="47141" spans="9:9" x14ac:dyDescent="0.2">
      <c r="I47141" s="137" t="s">
        <v>74</v>
      </c>
    </row>
    <row r="47142" spans="9:9" x14ac:dyDescent="0.2">
      <c r="I47142" s="137" t="s">
        <v>74</v>
      </c>
    </row>
    <row r="47143" spans="9:9" x14ac:dyDescent="0.2">
      <c r="I47143" s="137" t="s">
        <v>74</v>
      </c>
    </row>
    <row r="47144" spans="9:9" x14ac:dyDescent="0.2">
      <c r="I47144" s="137" t="s">
        <v>74</v>
      </c>
    </row>
    <row r="47145" spans="9:9" x14ac:dyDescent="0.2">
      <c r="I47145" s="137" t="s">
        <v>74</v>
      </c>
    </row>
    <row r="47146" spans="9:9" x14ac:dyDescent="0.2">
      <c r="I47146" s="137" t="s">
        <v>74</v>
      </c>
    </row>
    <row r="47147" spans="9:9" x14ac:dyDescent="0.2">
      <c r="I47147" s="137" t="s">
        <v>74</v>
      </c>
    </row>
    <row r="47148" spans="9:9" x14ac:dyDescent="0.2">
      <c r="I47148" s="137" t="s">
        <v>74</v>
      </c>
    </row>
    <row r="47149" spans="9:9" x14ac:dyDescent="0.2">
      <c r="I47149" s="137" t="s">
        <v>74</v>
      </c>
    </row>
    <row r="47150" spans="9:9" x14ac:dyDescent="0.2">
      <c r="I47150" s="137" t="s">
        <v>74</v>
      </c>
    </row>
    <row r="47151" spans="9:9" x14ac:dyDescent="0.2">
      <c r="I47151" s="137" t="s">
        <v>74</v>
      </c>
    </row>
    <row r="47152" spans="9:9" x14ac:dyDescent="0.2">
      <c r="I47152" s="137" t="s">
        <v>74</v>
      </c>
    </row>
    <row r="47153" spans="9:9" x14ac:dyDescent="0.2">
      <c r="I47153" s="137" t="s">
        <v>74</v>
      </c>
    </row>
    <row r="47154" spans="9:9" x14ac:dyDescent="0.2">
      <c r="I47154" s="137" t="s">
        <v>74</v>
      </c>
    </row>
    <row r="47155" spans="9:9" x14ac:dyDescent="0.2">
      <c r="I47155" s="137" t="s">
        <v>74</v>
      </c>
    </row>
    <row r="47156" spans="9:9" x14ac:dyDescent="0.2">
      <c r="I47156" s="137" t="s">
        <v>74</v>
      </c>
    </row>
    <row r="47157" spans="9:9" x14ac:dyDescent="0.2">
      <c r="I47157" s="137" t="s">
        <v>74</v>
      </c>
    </row>
    <row r="47158" spans="9:9" x14ac:dyDescent="0.2">
      <c r="I47158" s="137" t="s">
        <v>74</v>
      </c>
    </row>
    <row r="47159" spans="9:9" x14ac:dyDescent="0.2">
      <c r="I47159" s="137" t="s">
        <v>74</v>
      </c>
    </row>
    <row r="47160" spans="9:9" x14ac:dyDescent="0.2">
      <c r="I47160" s="137" t="s">
        <v>74</v>
      </c>
    </row>
    <row r="47161" spans="9:9" x14ac:dyDescent="0.2">
      <c r="I47161" s="137" t="s">
        <v>74</v>
      </c>
    </row>
    <row r="47162" spans="9:9" x14ac:dyDescent="0.2">
      <c r="I47162" s="137" t="s">
        <v>74</v>
      </c>
    </row>
    <row r="47163" spans="9:9" x14ac:dyDescent="0.2">
      <c r="I47163" s="137" t="s">
        <v>74</v>
      </c>
    </row>
    <row r="47164" spans="9:9" x14ac:dyDescent="0.2">
      <c r="I47164" s="137" t="s">
        <v>74</v>
      </c>
    </row>
    <row r="47165" spans="9:9" x14ac:dyDescent="0.2">
      <c r="I47165" s="137" t="s">
        <v>74</v>
      </c>
    </row>
    <row r="47166" spans="9:9" x14ac:dyDescent="0.2">
      <c r="I47166" s="137" t="s">
        <v>74</v>
      </c>
    </row>
    <row r="47167" spans="9:9" x14ac:dyDescent="0.2">
      <c r="I47167" s="137" t="s">
        <v>74</v>
      </c>
    </row>
    <row r="47168" spans="9:9" x14ac:dyDescent="0.2">
      <c r="I47168" s="137" t="s">
        <v>74</v>
      </c>
    </row>
    <row r="47169" spans="9:9" x14ac:dyDescent="0.2">
      <c r="I47169" s="137" t="s">
        <v>74</v>
      </c>
    </row>
    <row r="47170" spans="9:9" x14ac:dyDescent="0.2">
      <c r="I47170" s="137" t="s">
        <v>74</v>
      </c>
    </row>
    <row r="47171" spans="9:9" x14ac:dyDescent="0.2">
      <c r="I47171" s="137" t="s">
        <v>74</v>
      </c>
    </row>
    <row r="47172" spans="9:9" x14ac:dyDescent="0.2">
      <c r="I47172" s="137" t="s">
        <v>74</v>
      </c>
    </row>
    <row r="47173" spans="9:9" x14ac:dyDescent="0.2">
      <c r="I47173" s="137" t="s">
        <v>74</v>
      </c>
    </row>
    <row r="47174" spans="9:9" x14ac:dyDescent="0.2">
      <c r="I47174" s="137" t="s">
        <v>74</v>
      </c>
    </row>
    <row r="47175" spans="9:9" x14ac:dyDescent="0.2">
      <c r="I47175" s="137" t="s">
        <v>74</v>
      </c>
    </row>
    <row r="47176" spans="9:9" x14ac:dyDescent="0.2">
      <c r="I47176" s="137" t="s">
        <v>74</v>
      </c>
    </row>
    <row r="47177" spans="9:9" x14ac:dyDescent="0.2">
      <c r="I47177" s="137" t="s">
        <v>74</v>
      </c>
    </row>
    <row r="47178" spans="9:9" x14ac:dyDescent="0.2">
      <c r="I47178" s="137" t="s">
        <v>74</v>
      </c>
    </row>
    <row r="47179" spans="9:9" x14ac:dyDescent="0.2">
      <c r="I47179" s="137" t="s">
        <v>74</v>
      </c>
    </row>
    <row r="47180" spans="9:9" x14ac:dyDescent="0.2">
      <c r="I47180" s="137" t="s">
        <v>74</v>
      </c>
    </row>
    <row r="47181" spans="9:9" x14ac:dyDescent="0.2">
      <c r="I47181" s="137" t="s">
        <v>74</v>
      </c>
    </row>
    <row r="47182" spans="9:9" x14ac:dyDescent="0.2">
      <c r="I47182" s="137" t="s">
        <v>74</v>
      </c>
    </row>
    <row r="47183" spans="9:9" x14ac:dyDescent="0.2">
      <c r="I47183" s="137" t="s">
        <v>74</v>
      </c>
    </row>
    <row r="47184" spans="9:9" x14ac:dyDescent="0.2">
      <c r="I47184" s="137" t="s">
        <v>74</v>
      </c>
    </row>
    <row r="47185" spans="9:9" x14ac:dyDescent="0.2">
      <c r="I47185" s="137" t="s">
        <v>74</v>
      </c>
    </row>
    <row r="47186" spans="9:9" x14ac:dyDescent="0.2">
      <c r="I47186" s="137" t="s">
        <v>74</v>
      </c>
    </row>
    <row r="47187" spans="9:9" x14ac:dyDescent="0.2">
      <c r="I47187" s="137" t="s">
        <v>74</v>
      </c>
    </row>
    <row r="47188" spans="9:9" x14ac:dyDescent="0.2">
      <c r="I47188" s="137" t="s">
        <v>74</v>
      </c>
    </row>
    <row r="47189" spans="9:9" x14ac:dyDescent="0.2">
      <c r="I47189" s="137" t="s">
        <v>74</v>
      </c>
    </row>
    <row r="47190" spans="9:9" x14ac:dyDescent="0.2">
      <c r="I47190" s="137" t="s">
        <v>74</v>
      </c>
    </row>
    <row r="47191" spans="9:9" x14ac:dyDescent="0.2">
      <c r="I47191" s="137" t="s">
        <v>74</v>
      </c>
    </row>
    <row r="47192" spans="9:9" x14ac:dyDescent="0.2">
      <c r="I47192" s="137" t="s">
        <v>74</v>
      </c>
    </row>
    <row r="47193" spans="9:9" x14ac:dyDescent="0.2">
      <c r="I47193" s="137" t="s">
        <v>74</v>
      </c>
    </row>
    <row r="47194" spans="9:9" x14ac:dyDescent="0.2">
      <c r="I47194" s="137" t="s">
        <v>74</v>
      </c>
    </row>
    <row r="47195" spans="9:9" x14ac:dyDescent="0.2">
      <c r="I47195" s="137" t="s">
        <v>74</v>
      </c>
    </row>
    <row r="47196" spans="9:9" x14ac:dyDescent="0.2">
      <c r="I47196" s="137" t="s">
        <v>74</v>
      </c>
    </row>
    <row r="47197" spans="9:9" x14ac:dyDescent="0.2">
      <c r="I47197" s="137" t="s">
        <v>74</v>
      </c>
    </row>
    <row r="47198" spans="9:9" x14ac:dyDescent="0.2">
      <c r="I47198" s="137" t="s">
        <v>74</v>
      </c>
    </row>
    <row r="47199" spans="9:9" x14ac:dyDescent="0.2">
      <c r="I47199" s="137" t="s">
        <v>74</v>
      </c>
    </row>
    <row r="47200" spans="9:9" x14ac:dyDescent="0.2">
      <c r="I47200" s="137" t="s">
        <v>74</v>
      </c>
    </row>
    <row r="47201" spans="9:9" x14ac:dyDescent="0.2">
      <c r="I47201" s="137" t="s">
        <v>74</v>
      </c>
    </row>
    <row r="47202" spans="9:9" x14ac:dyDescent="0.2">
      <c r="I47202" s="137" t="s">
        <v>74</v>
      </c>
    </row>
    <row r="47203" spans="9:9" x14ac:dyDescent="0.2">
      <c r="I47203" s="137" t="s">
        <v>74</v>
      </c>
    </row>
    <row r="47204" spans="9:9" x14ac:dyDescent="0.2">
      <c r="I47204" s="137" t="s">
        <v>74</v>
      </c>
    </row>
    <row r="47205" spans="9:9" x14ac:dyDescent="0.2">
      <c r="I47205" s="137" t="s">
        <v>74</v>
      </c>
    </row>
    <row r="47206" spans="9:9" x14ac:dyDescent="0.2">
      <c r="I47206" s="137" t="s">
        <v>74</v>
      </c>
    </row>
    <row r="47207" spans="9:9" x14ac:dyDescent="0.2">
      <c r="I47207" s="137" t="s">
        <v>74</v>
      </c>
    </row>
    <row r="47208" spans="9:9" x14ac:dyDescent="0.2">
      <c r="I47208" s="137" t="s">
        <v>74</v>
      </c>
    </row>
    <row r="47209" spans="9:9" x14ac:dyDescent="0.2">
      <c r="I47209" s="137" t="s">
        <v>74</v>
      </c>
    </row>
    <row r="47210" spans="9:9" x14ac:dyDescent="0.2">
      <c r="I47210" s="137" t="s">
        <v>74</v>
      </c>
    </row>
    <row r="47211" spans="9:9" x14ac:dyDescent="0.2">
      <c r="I47211" s="137" t="s">
        <v>74</v>
      </c>
    </row>
    <row r="47212" spans="9:9" x14ac:dyDescent="0.2">
      <c r="I47212" s="137" t="s">
        <v>74</v>
      </c>
    </row>
    <row r="47213" spans="9:9" x14ac:dyDescent="0.2">
      <c r="I47213" s="137" t="s">
        <v>74</v>
      </c>
    </row>
    <row r="47214" spans="9:9" x14ac:dyDescent="0.2">
      <c r="I47214" s="137" t="s">
        <v>74</v>
      </c>
    </row>
    <row r="47215" spans="9:9" x14ac:dyDescent="0.2">
      <c r="I47215" s="137" t="s">
        <v>74</v>
      </c>
    </row>
    <row r="47216" spans="9:9" x14ac:dyDescent="0.2">
      <c r="I47216" s="137" t="s">
        <v>74</v>
      </c>
    </row>
    <row r="47217" spans="9:9" x14ac:dyDescent="0.2">
      <c r="I47217" s="137" t="s">
        <v>74</v>
      </c>
    </row>
    <row r="47218" spans="9:9" x14ac:dyDescent="0.2">
      <c r="I47218" s="137" t="s">
        <v>74</v>
      </c>
    </row>
    <row r="47219" spans="9:9" x14ac:dyDescent="0.2">
      <c r="I47219" s="137" t="s">
        <v>74</v>
      </c>
    </row>
    <row r="47220" spans="9:9" x14ac:dyDescent="0.2">
      <c r="I47220" s="137" t="s">
        <v>74</v>
      </c>
    </row>
    <row r="47221" spans="9:9" x14ac:dyDescent="0.2">
      <c r="I47221" s="137" t="s">
        <v>74</v>
      </c>
    </row>
    <row r="47222" spans="9:9" x14ac:dyDescent="0.2">
      <c r="I47222" s="137" t="s">
        <v>74</v>
      </c>
    </row>
    <row r="47223" spans="9:9" x14ac:dyDescent="0.2">
      <c r="I47223" s="137" t="s">
        <v>74</v>
      </c>
    </row>
    <row r="47224" spans="9:9" x14ac:dyDescent="0.2">
      <c r="I47224" s="137" t="s">
        <v>74</v>
      </c>
    </row>
    <row r="47225" spans="9:9" x14ac:dyDescent="0.2">
      <c r="I47225" s="137" t="s">
        <v>74</v>
      </c>
    </row>
    <row r="47226" spans="9:9" x14ac:dyDescent="0.2">
      <c r="I47226" s="137" t="s">
        <v>74</v>
      </c>
    </row>
    <row r="47227" spans="9:9" x14ac:dyDescent="0.2">
      <c r="I47227" s="137" t="s">
        <v>74</v>
      </c>
    </row>
    <row r="47228" spans="9:9" x14ac:dyDescent="0.2">
      <c r="I47228" s="137" t="s">
        <v>74</v>
      </c>
    </row>
    <row r="47229" spans="9:9" x14ac:dyDescent="0.2">
      <c r="I47229" s="137" t="s">
        <v>74</v>
      </c>
    </row>
    <row r="47230" spans="9:9" x14ac:dyDescent="0.2">
      <c r="I47230" s="137" t="s">
        <v>74</v>
      </c>
    </row>
    <row r="47231" spans="9:9" x14ac:dyDescent="0.2">
      <c r="I47231" s="137" t="s">
        <v>74</v>
      </c>
    </row>
    <row r="47232" spans="9:9" x14ac:dyDescent="0.2">
      <c r="I47232" s="137" t="s">
        <v>74</v>
      </c>
    </row>
    <row r="47233" spans="9:9" x14ac:dyDescent="0.2">
      <c r="I47233" s="137" t="s">
        <v>74</v>
      </c>
    </row>
    <row r="47234" spans="9:9" x14ac:dyDescent="0.2">
      <c r="I47234" s="137" t="s">
        <v>74</v>
      </c>
    </row>
    <row r="47235" spans="9:9" x14ac:dyDescent="0.2">
      <c r="I47235" s="137" t="s">
        <v>74</v>
      </c>
    </row>
    <row r="47236" spans="9:9" x14ac:dyDescent="0.2">
      <c r="I47236" s="137" t="s">
        <v>74</v>
      </c>
    </row>
    <row r="47237" spans="9:9" x14ac:dyDescent="0.2">
      <c r="I47237" s="137" t="s">
        <v>74</v>
      </c>
    </row>
    <row r="47238" spans="9:9" x14ac:dyDescent="0.2">
      <c r="I47238" s="137" t="s">
        <v>74</v>
      </c>
    </row>
    <row r="47239" spans="9:9" x14ac:dyDescent="0.2">
      <c r="I47239" s="137" t="s">
        <v>74</v>
      </c>
    </row>
    <row r="47240" spans="9:9" x14ac:dyDescent="0.2">
      <c r="I47240" s="137" t="s">
        <v>74</v>
      </c>
    </row>
    <row r="47241" spans="9:9" x14ac:dyDescent="0.2">
      <c r="I47241" s="137" t="s">
        <v>74</v>
      </c>
    </row>
    <row r="47242" spans="9:9" x14ac:dyDescent="0.2">
      <c r="I47242" s="137" t="s">
        <v>74</v>
      </c>
    </row>
    <row r="47243" spans="9:9" x14ac:dyDescent="0.2">
      <c r="I47243" s="137" t="s">
        <v>74</v>
      </c>
    </row>
    <row r="47244" spans="9:9" x14ac:dyDescent="0.2">
      <c r="I47244" s="137" t="s">
        <v>74</v>
      </c>
    </row>
    <row r="47245" spans="9:9" x14ac:dyDescent="0.2">
      <c r="I47245" s="137" t="s">
        <v>74</v>
      </c>
    </row>
    <row r="47246" spans="9:9" x14ac:dyDescent="0.2">
      <c r="I47246" s="137" t="s">
        <v>74</v>
      </c>
    </row>
    <row r="47247" spans="9:9" x14ac:dyDescent="0.2">
      <c r="I47247" s="137" t="s">
        <v>74</v>
      </c>
    </row>
    <row r="47248" spans="9:9" x14ac:dyDescent="0.2">
      <c r="I47248" s="137" t="s">
        <v>74</v>
      </c>
    </row>
    <row r="47249" spans="9:9" x14ac:dyDescent="0.2">
      <c r="I47249" s="137" t="s">
        <v>74</v>
      </c>
    </row>
    <row r="47250" spans="9:9" x14ac:dyDescent="0.2">
      <c r="I47250" s="137" t="s">
        <v>74</v>
      </c>
    </row>
    <row r="47251" spans="9:9" x14ac:dyDescent="0.2">
      <c r="I47251" s="137" t="s">
        <v>74</v>
      </c>
    </row>
    <row r="47252" spans="9:9" x14ac:dyDescent="0.2">
      <c r="I47252" s="137" t="s">
        <v>74</v>
      </c>
    </row>
    <row r="47253" spans="9:9" x14ac:dyDescent="0.2">
      <c r="I47253" s="137" t="s">
        <v>74</v>
      </c>
    </row>
    <row r="47254" spans="9:9" x14ac:dyDescent="0.2">
      <c r="I47254" s="137" t="s">
        <v>74</v>
      </c>
    </row>
    <row r="47255" spans="9:9" x14ac:dyDescent="0.2">
      <c r="I47255" s="137" t="s">
        <v>74</v>
      </c>
    </row>
    <row r="47256" spans="9:9" x14ac:dyDescent="0.2">
      <c r="I47256" s="137" t="s">
        <v>74</v>
      </c>
    </row>
    <row r="47257" spans="9:9" x14ac:dyDescent="0.2">
      <c r="I47257" s="137" t="s">
        <v>74</v>
      </c>
    </row>
    <row r="47258" spans="9:9" x14ac:dyDescent="0.2">
      <c r="I47258" s="137" t="s">
        <v>74</v>
      </c>
    </row>
    <row r="47259" spans="9:9" x14ac:dyDescent="0.2">
      <c r="I47259" s="137" t="s">
        <v>74</v>
      </c>
    </row>
    <row r="47260" spans="9:9" x14ac:dyDescent="0.2">
      <c r="I47260" s="137" t="s">
        <v>74</v>
      </c>
    </row>
    <row r="47261" spans="9:9" x14ac:dyDescent="0.2">
      <c r="I47261" s="137" t="s">
        <v>74</v>
      </c>
    </row>
    <row r="47262" spans="9:9" x14ac:dyDescent="0.2">
      <c r="I47262" s="137" t="s">
        <v>74</v>
      </c>
    </row>
    <row r="47263" spans="9:9" x14ac:dyDescent="0.2">
      <c r="I47263" s="137" t="s">
        <v>74</v>
      </c>
    </row>
    <row r="47264" spans="9:9" x14ac:dyDescent="0.2">
      <c r="I47264" s="137" t="s">
        <v>74</v>
      </c>
    </row>
    <row r="47265" spans="9:9" x14ac:dyDescent="0.2">
      <c r="I47265" s="137" t="s">
        <v>74</v>
      </c>
    </row>
    <row r="47266" spans="9:9" x14ac:dyDescent="0.2">
      <c r="I47266" s="137" t="s">
        <v>74</v>
      </c>
    </row>
    <row r="47267" spans="9:9" x14ac:dyDescent="0.2">
      <c r="I47267" s="137" t="s">
        <v>74</v>
      </c>
    </row>
    <row r="47268" spans="9:9" x14ac:dyDescent="0.2">
      <c r="I47268" s="137" t="s">
        <v>74</v>
      </c>
    </row>
    <row r="47269" spans="9:9" x14ac:dyDescent="0.2">
      <c r="I47269" s="137" t="s">
        <v>74</v>
      </c>
    </row>
    <row r="47270" spans="9:9" x14ac:dyDescent="0.2">
      <c r="I47270" s="137" t="s">
        <v>74</v>
      </c>
    </row>
    <row r="47271" spans="9:9" x14ac:dyDescent="0.2">
      <c r="I47271" s="137" t="s">
        <v>74</v>
      </c>
    </row>
    <row r="47272" spans="9:9" x14ac:dyDescent="0.2">
      <c r="I47272" s="137" t="s">
        <v>74</v>
      </c>
    </row>
    <row r="47273" spans="9:9" x14ac:dyDescent="0.2">
      <c r="I47273" s="137" t="s">
        <v>74</v>
      </c>
    </row>
    <row r="47274" spans="9:9" x14ac:dyDescent="0.2">
      <c r="I47274" s="137" t="s">
        <v>74</v>
      </c>
    </row>
    <row r="47275" spans="9:9" x14ac:dyDescent="0.2">
      <c r="I47275" s="137" t="s">
        <v>74</v>
      </c>
    </row>
    <row r="47276" spans="9:9" x14ac:dyDescent="0.2">
      <c r="I47276" s="137" t="s">
        <v>74</v>
      </c>
    </row>
    <row r="47277" spans="9:9" x14ac:dyDescent="0.2">
      <c r="I47277" s="137" t="s">
        <v>74</v>
      </c>
    </row>
    <row r="47278" spans="9:9" x14ac:dyDescent="0.2">
      <c r="I47278" s="137" t="s">
        <v>74</v>
      </c>
    </row>
    <row r="47279" spans="9:9" x14ac:dyDescent="0.2">
      <c r="I47279" s="137" t="s">
        <v>74</v>
      </c>
    </row>
    <row r="47280" spans="9:9" x14ac:dyDescent="0.2">
      <c r="I47280" s="137" t="s">
        <v>74</v>
      </c>
    </row>
    <row r="47281" spans="9:9" x14ac:dyDescent="0.2">
      <c r="I47281" s="137" t="s">
        <v>74</v>
      </c>
    </row>
    <row r="47282" spans="9:9" x14ac:dyDescent="0.2">
      <c r="I47282" s="137" t="s">
        <v>74</v>
      </c>
    </row>
    <row r="47283" spans="9:9" x14ac:dyDescent="0.2">
      <c r="I47283" s="137" t="s">
        <v>74</v>
      </c>
    </row>
    <row r="47284" spans="9:9" x14ac:dyDescent="0.2">
      <c r="I47284" s="137" t="s">
        <v>74</v>
      </c>
    </row>
    <row r="47285" spans="9:9" x14ac:dyDescent="0.2">
      <c r="I47285" s="137" t="s">
        <v>74</v>
      </c>
    </row>
    <row r="47286" spans="9:9" x14ac:dyDescent="0.2">
      <c r="I47286" s="137" t="s">
        <v>74</v>
      </c>
    </row>
    <row r="47287" spans="9:9" x14ac:dyDescent="0.2">
      <c r="I47287" s="137" t="s">
        <v>74</v>
      </c>
    </row>
    <row r="47288" spans="9:9" x14ac:dyDescent="0.2">
      <c r="I47288" s="137" t="s">
        <v>74</v>
      </c>
    </row>
    <row r="47289" spans="9:9" x14ac:dyDescent="0.2">
      <c r="I47289" s="137" t="s">
        <v>74</v>
      </c>
    </row>
    <row r="47290" spans="9:9" x14ac:dyDescent="0.2">
      <c r="I47290" s="137" t="s">
        <v>74</v>
      </c>
    </row>
    <row r="47291" spans="9:9" x14ac:dyDescent="0.2">
      <c r="I47291" s="137" t="s">
        <v>74</v>
      </c>
    </row>
    <row r="47292" spans="9:9" x14ac:dyDescent="0.2">
      <c r="I47292" s="137" t="s">
        <v>74</v>
      </c>
    </row>
    <row r="47293" spans="9:9" x14ac:dyDescent="0.2">
      <c r="I47293" s="137" t="s">
        <v>74</v>
      </c>
    </row>
    <row r="47294" spans="9:9" x14ac:dyDescent="0.2">
      <c r="I47294" s="137" t="s">
        <v>74</v>
      </c>
    </row>
    <row r="47295" spans="9:9" x14ac:dyDescent="0.2">
      <c r="I47295" s="137" t="s">
        <v>74</v>
      </c>
    </row>
    <row r="47296" spans="9:9" x14ac:dyDescent="0.2">
      <c r="I47296" s="137" t="s">
        <v>74</v>
      </c>
    </row>
    <row r="47297" spans="9:9" x14ac:dyDescent="0.2">
      <c r="I47297" s="137" t="s">
        <v>74</v>
      </c>
    </row>
    <row r="47298" spans="9:9" x14ac:dyDescent="0.2">
      <c r="I47298" s="137" t="s">
        <v>74</v>
      </c>
    </row>
    <row r="47299" spans="9:9" x14ac:dyDescent="0.2">
      <c r="I47299" s="137" t="s">
        <v>74</v>
      </c>
    </row>
    <row r="47300" spans="9:9" x14ac:dyDescent="0.2">
      <c r="I47300" s="137" t="s">
        <v>74</v>
      </c>
    </row>
    <row r="47301" spans="9:9" x14ac:dyDescent="0.2">
      <c r="I47301" s="137" t="s">
        <v>74</v>
      </c>
    </row>
    <row r="47302" spans="9:9" x14ac:dyDescent="0.2">
      <c r="I47302" s="137" t="s">
        <v>74</v>
      </c>
    </row>
    <row r="47303" spans="9:9" x14ac:dyDescent="0.2">
      <c r="I47303" s="137" t="s">
        <v>74</v>
      </c>
    </row>
    <row r="47304" spans="9:9" x14ac:dyDescent="0.2">
      <c r="I47304" s="137" t="s">
        <v>74</v>
      </c>
    </row>
    <row r="47305" spans="9:9" x14ac:dyDescent="0.2">
      <c r="I47305" s="137" t="s">
        <v>74</v>
      </c>
    </row>
    <row r="47306" spans="9:9" x14ac:dyDescent="0.2">
      <c r="I47306" s="137" t="s">
        <v>74</v>
      </c>
    </row>
    <row r="47307" spans="9:9" x14ac:dyDescent="0.2">
      <c r="I47307" s="137" t="s">
        <v>74</v>
      </c>
    </row>
    <row r="47308" spans="9:9" x14ac:dyDescent="0.2">
      <c r="I47308" s="137" t="s">
        <v>74</v>
      </c>
    </row>
    <row r="47309" spans="9:9" x14ac:dyDescent="0.2">
      <c r="I47309" s="137" t="s">
        <v>74</v>
      </c>
    </row>
    <row r="47310" spans="9:9" x14ac:dyDescent="0.2">
      <c r="I47310" s="137" t="s">
        <v>74</v>
      </c>
    </row>
    <row r="47311" spans="9:9" x14ac:dyDescent="0.2">
      <c r="I47311" s="137" t="s">
        <v>74</v>
      </c>
    </row>
    <row r="47312" spans="9:9" x14ac:dyDescent="0.2">
      <c r="I47312" s="137" t="s">
        <v>74</v>
      </c>
    </row>
    <row r="47313" spans="9:9" x14ac:dyDescent="0.2">
      <c r="I47313" s="137" t="s">
        <v>74</v>
      </c>
    </row>
    <row r="47314" spans="9:9" x14ac:dyDescent="0.2">
      <c r="I47314" s="137" t="s">
        <v>74</v>
      </c>
    </row>
    <row r="47315" spans="9:9" x14ac:dyDescent="0.2">
      <c r="I47315" s="137" t="s">
        <v>74</v>
      </c>
    </row>
    <row r="47316" spans="9:9" x14ac:dyDescent="0.2">
      <c r="I47316" s="137" t="s">
        <v>74</v>
      </c>
    </row>
    <row r="47317" spans="9:9" x14ac:dyDescent="0.2">
      <c r="I47317" s="137" t="s">
        <v>74</v>
      </c>
    </row>
    <row r="47318" spans="9:9" x14ac:dyDescent="0.2">
      <c r="I47318" s="137" t="s">
        <v>74</v>
      </c>
    </row>
    <row r="47319" spans="9:9" x14ac:dyDescent="0.2">
      <c r="I47319" s="137" t="s">
        <v>74</v>
      </c>
    </row>
    <row r="47320" spans="9:9" x14ac:dyDescent="0.2">
      <c r="I47320" s="137" t="s">
        <v>74</v>
      </c>
    </row>
    <row r="47321" spans="9:9" x14ac:dyDescent="0.2">
      <c r="I47321" s="137" t="s">
        <v>74</v>
      </c>
    </row>
    <row r="47322" spans="9:9" x14ac:dyDescent="0.2">
      <c r="I47322" s="137" t="s">
        <v>74</v>
      </c>
    </row>
    <row r="47323" spans="9:9" x14ac:dyDescent="0.2">
      <c r="I47323" s="137" t="s">
        <v>74</v>
      </c>
    </row>
    <row r="47324" spans="9:9" x14ac:dyDescent="0.2">
      <c r="I47324" s="137" t="s">
        <v>74</v>
      </c>
    </row>
    <row r="47325" spans="9:9" x14ac:dyDescent="0.2">
      <c r="I47325" s="137" t="s">
        <v>74</v>
      </c>
    </row>
    <row r="47326" spans="9:9" x14ac:dyDescent="0.2">
      <c r="I47326" s="137" t="s">
        <v>74</v>
      </c>
    </row>
    <row r="47327" spans="9:9" x14ac:dyDescent="0.2">
      <c r="I47327" s="137" t="s">
        <v>74</v>
      </c>
    </row>
    <row r="47328" spans="9:9" x14ac:dyDescent="0.2">
      <c r="I47328" s="137" t="s">
        <v>74</v>
      </c>
    </row>
    <row r="47329" spans="9:9" x14ac:dyDescent="0.2">
      <c r="I47329" s="137" t="s">
        <v>74</v>
      </c>
    </row>
    <row r="47330" spans="9:9" x14ac:dyDescent="0.2">
      <c r="I47330" s="137" t="s">
        <v>74</v>
      </c>
    </row>
    <row r="47331" spans="9:9" x14ac:dyDescent="0.2">
      <c r="I47331" s="137" t="s">
        <v>74</v>
      </c>
    </row>
    <row r="47332" spans="9:9" x14ac:dyDescent="0.2">
      <c r="I47332" s="137" t="s">
        <v>74</v>
      </c>
    </row>
    <row r="47333" spans="9:9" x14ac:dyDescent="0.2">
      <c r="I47333" s="137" t="s">
        <v>74</v>
      </c>
    </row>
    <row r="47334" spans="9:9" x14ac:dyDescent="0.2">
      <c r="I47334" s="137" t="s">
        <v>74</v>
      </c>
    </row>
    <row r="47335" spans="9:9" x14ac:dyDescent="0.2">
      <c r="I47335" s="137" t="s">
        <v>74</v>
      </c>
    </row>
    <row r="47336" spans="9:9" x14ac:dyDescent="0.2">
      <c r="I47336" s="137" t="s">
        <v>74</v>
      </c>
    </row>
    <row r="47337" spans="9:9" x14ac:dyDescent="0.2">
      <c r="I47337" s="137" t="s">
        <v>74</v>
      </c>
    </row>
    <row r="47338" spans="9:9" x14ac:dyDescent="0.2">
      <c r="I47338" s="137" t="s">
        <v>74</v>
      </c>
    </row>
    <row r="47339" spans="9:9" x14ac:dyDescent="0.2">
      <c r="I47339" s="137" t="s">
        <v>74</v>
      </c>
    </row>
    <row r="47340" spans="9:9" x14ac:dyDescent="0.2">
      <c r="I47340" s="137" t="s">
        <v>74</v>
      </c>
    </row>
    <row r="47341" spans="9:9" x14ac:dyDescent="0.2">
      <c r="I47341" s="137" t="s">
        <v>74</v>
      </c>
    </row>
    <row r="47342" spans="9:9" x14ac:dyDescent="0.2">
      <c r="I47342" s="137" t="s">
        <v>74</v>
      </c>
    </row>
    <row r="47343" spans="9:9" x14ac:dyDescent="0.2">
      <c r="I47343" s="137" t="s">
        <v>74</v>
      </c>
    </row>
    <row r="47344" spans="9:9" x14ac:dyDescent="0.2">
      <c r="I47344" s="137" t="s">
        <v>74</v>
      </c>
    </row>
    <row r="47345" spans="9:9" x14ac:dyDescent="0.2">
      <c r="I47345" s="137" t="s">
        <v>74</v>
      </c>
    </row>
    <row r="47346" spans="9:9" x14ac:dyDescent="0.2">
      <c r="I47346" s="137" t="s">
        <v>74</v>
      </c>
    </row>
    <row r="47347" spans="9:9" x14ac:dyDescent="0.2">
      <c r="I47347" s="137" t="s">
        <v>74</v>
      </c>
    </row>
    <row r="47348" spans="9:9" x14ac:dyDescent="0.2">
      <c r="I47348" s="137" t="s">
        <v>74</v>
      </c>
    </row>
    <row r="47349" spans="9:9" x14ac:dyDescent="0.2">
      <c r="I47349" s="137" t="s">
        <v>74</v>
      </c>
    </row>
    <row r="47350" spans="9:9" x14ac:dyDescent="0.2">
      <c r="I47350" s="137" t="s">
        <v>74</v>
      </c>
    </row>
    <row r="47351" spans="9:9" x14ac:dyDescent="0.2">
      <c r="I47351" s="137" t="s">
        <v>74</v>
      </c>
    </row>
    <row r="47352" spans="9:9" x14ac:dyDescent="0.2">
      <c r="I47352" s="137" t="s">
        <v>74</v>
      </c>
    </row>
    <row r="47353" spans="9:9" x14ac:dyDescent="0.2">
      <c r="I47353" s="137" t="s">
        <v>74</v>
      </c>
    </row>
    <row r="47354" spans="9:9" x14ac:dyDescent="0.2">
      <c r="I47354" s="137" t="s">
        <v>74</v>
      </c>
    </row>
    <row r="47355" spans="9:9" x14ac:dyDescent="0.2">
      <c r="I47355" s="137" t="s">
        <v>74</v>
      </c>
    </row>
    <row r="47356" spans="9:9" x14ac:dyDescent="0.2">
      <c r="I47356" s="137" t="s">
        <v>74</v>
      </c>
    </row>
    <row r="47357" spans="9:9" x14ac:dyDescent="0.2">
      <c r="I47357" s="137" t="s">
        <v>74</v>
      </c>
    </row>
    <row r="47358" spans="9:9" x14ac:dyDescent="0.2">
      <c r="I47358" s="137" t="s">
        <v>74</v>
      </c>
    </row>
    <row r="47359" spans="9:9" x14ac:dyDescent="0.2">
      <c r="I47359" s="137" t="s">
        <v>74</v>
      </c>
    </row>
    <row r="47360" spans="9:9" x14ac:dyDescent="0.2">
      <c r="I47360" s="137" t="s">
        <v>74</v>
      </c>
    </row>
    <row r="47361" spans="9:9" x14ac:dyDescent="0.2">
      <c r="I47361" s="137" t="s">
        <v>74</v>
      </c>
    </row>
    <row r="47362" spans="9:9" x14ac:dyDescent="0.2">
      <c r="I47362" s="137" t="s">
        <v>74</v>
      </c>
    </row>
    <row r="47363" spans="9:9" x14ac:dyDescent="0.2">
      <c r="I47363" s="137" t="s">
        <v>74</v>
      </c>
    </row>
    <row r="47364" spans="9:9" x14ac:dyDescent="0.2">
      <c r="I47364" s="137" t="s">
        <v>74</v>
      </c>
    </row>
    <row r="47365" spans="9:9" x14ac:dyDescent="0.2">
      <c r="I47365" s="137" t="s">
        <v>74</v>
      </c>
    </row>
    <row r="47366" spans="9:9" x14ac:dyDescent="0.2">
      <c r="I47366" s="137" t="s">
        <v>74</v>
      </c>
    </row>
    <row r="47367" spans="9:9" x14ac:dyDescent="0.2">
      <c r="I47367" s="137" t="s">
        <v>74</v>
      </c>
    </row>
    <row r="47368" spans="9:9" x14ac:dyDescent="0.2">
      <c r="I47368" s="137" t="s">
        <v>74</v>
      </c>
    </row>
    <row r="47369" spans="9:9" x14ac:dyDescent="0.2">
      <c r="I47369" s="137" t="s">
        <v>74</v>
      </c>
    </row>
    <row r="47370" spans="9:9" x14ac:dyDescent="0.2">
      <c r="I47370" s="137" t="s">
        <v>74</v>
      </c>
    </row>
    <row r="47371" spans="9:9" x14ac:dyDescent="0.2">
      <c r="I47371" s="137" t="s">
        <v>74</v>
      </c>
    </row>
    <row r="47372" spans="9:9" x14ac:dyDescent="0.2">
      <c r="I47372" s="137" t="s">
        <v>74</v>
      </c>
    </row>
    <row r="47373" spans="9:9" x14ac:dyDescent="0.2">
      <c r="I47373" s="137" t="s">
        <v>74</v>
      </c>
    </row>
    <row r="47374" spans="9:9" x14ac:dyDescent="0.2">
      <c r="I47374" s="137" t="s">
        <v>74</v>
      </c>
    </row>
    <row r="47375" spans="9:9" x14ac:dyDescent="0.2">
      <c r="I47375" s="137" t="s">
        <v>74</v>
      </c>
    </row>
    <row r="47376" spans="9:9" x14ac:dyDescent="0.2">
      <c r="I47376" s="137" t="s">
        <v>74</v>
      </c>
    </row>
    <row r="47377" spans="9:9" x14ac:dyDescent="0.2">
      <c r="I47377" s="137" t="s">
        <v>74</v>
      </c>
    </row>
    <row r="47378" spans="9:9" x14ac:dyDescent="0.2">
      <c r="I47378" s="137" t="s">
        <v>74</v>
      </c>
    </row>
    <row r="47379" spans="9:9" x14ac:dyDescent="0.2">
      <c r="I47379" s="137" t="s">
        <v>74</v>
      </c>
    </row>
    <row r="47380" spans="9:9" x14ac:dyDescent="0.2">
      <c r="I47380" s="137" t="s">
        <v>74</v>
      </c>
    </row>
    <row r="47381" spans="9:9" x14ac:dyDescent="0.2">
      <c r="I47381" s="137" t="s">
        <v>74</v>
      </c>
    </row>
    <row r="47382" spans="9:9" x14ac:dyDescent="0.2">
      <c r="I47382" s="137" t="s">
        <v>74</v>
      </c>
    </row>
    <row r="47383" spans="9:9" x14ac:dyDescent="0.2">
      <c r="I47383" s="137" t="s">
        <v>74</v>
      </c>
    </row>
    <row r="47384" spans="9:9" x14ac:dyDescent="0.2">
      <c r="I47384" s="137" t="s">
        <v>74</v>
      </c>
    </row>
    <row r="47385" spans="9:9" x14ac:dyDescent="0.2">
      <c r="I47385" s="137" t="s">
        <v>74</v>
      </c>
    </row>
    <row r="47386" spans="9:9" x14ac:dyDescent="0.2">
      <c r="I47386" s="137" t="s">
        <v>74</v>
      </c>
    </row>
    <row r="47387" spans="9:9" x14ac:dyDescent="0.2">
      <c r="I47387" s="137" t="s">
        <v>74</v>
      </c>
    </row>
    <row r="47388" spans="9:9" x14ac:dyDescent="0.2">
      <c r="I47388" s="137" t="s">
        <v>74</v>
      </c>
    </row>
    <row r="47389" spans="9:9" x14ac:dyDescent="0.2">
      <c r="I47389" s="137" t="s">
        <v>74</v>
      </c>
    </row>
    <row r="47390" spans="9:9" x14ac:dyDescent="0.2">
      <c r="I47390" s="137" t="s">
        <v>74</v>
      </c>
    </row>
    <row r="47391" spans="9:9" x14ac:dyDescent="0.2">
      <c r="I47391" s="137" t="s">
        <v>74</v>
      </c>
    </row>
    <row r="47392" spans="9:9" x14ac:dyDescent="0.2">
      <c r="I47392" s="137" t="s">
        <v>74</v>
      </c>
    </row>
    <row r="47393" spans="9:9" x14ac:dyDescent="0.2">
      <c r="I47393" s="137" t="s">
        <v>74</v>
      </c>
    </row>
    <row r="47394" spans="9:9" x14ac:dyDescent="0.2">
      <c r="I47394" s="137" t="s">
        <v>74</v>
      </c>
    </row>
    <row r="47395" spans="9:9" x14ac:dyDescent="0.2">
      <c r="I47395" s="137" t="s">
        <v>74</v>
      </c>
    </row>
    <row r="47396" spans="9:9" x14ac:dyDescent="0.2">
      <c r="I47396" s="137" t="s">
        <v>74</v>
      </c>
    </row>
    <row r="47397" spans="9:9" x14ac:dyDescent="0.2">
      <c r="I47397" s="137" t="s">
        <v>74</v>
      </c>
    </row>
    <row r="47398" spans="9:9" x14ac:dyDescent="0.2">
      <c r="I47398" s="137" t="s">
        <v>74</v>
      </c>
    </row>
    <row r="47399" spans="9:9" x14ac:dyDescent="0.2">
      <c r="I47399" s="137" t="s">
        <v>74</v>
      </c>
    </row>
    <row r="47400" spans="9:9" x14ac:dyDescent="0.2">
      <c r="I47400" s="137" t="s">
        <v>74</v>
      </c>
    </row>
    <row r="47401" spans="9:9" x14ac:dyDescent="0.2">
      <c r="I47401" s="137" t="s">
        <v>74</v>
      </c>
    </row>
    <row r="47402" spans="9:9" x14ac:dyDescent="0.2">
      <c r="I47402" s="137" t="s">
        <v>74</v>
      </c>
    </row>
    <row r="47403" spans="9:9" x14ac:dyDescent="0.2">
      <c r="I47403" s="137" t="s">
        <v>74</v>
      </c>
    </row>
    <row r="47404" spans="9:9" x14ac:dyDescent="0.2">
      <c r="I47404" s="137" t="s">
        <v>74</v>
      </c>
    </row>
    <row r="47405" spans="9:9" x14ac:dyDescent="0.2">
      <c r="I47405" s="137" t="s">
        <v>74</v>
      </c>
    </row>
    <row r="47406" spans="9:9" x14ac:dyDescent="0.2">
      <c r="I47406" s="137" t="s">
        <v>74</v>
      </c>
    </row>
    <row r="47407" spans="9:9" x14ac:dyDescent="0.2">
      <c r="I47407" s="137" t="s">
        <v>74</v>
      </c>
    </row>
    <row r="47408" spans="9:9" x14ac:dyDescent="0.2">
      <c r="I47408" s="137" t="s">
        <v>74</v>
      </c>
    </row>
    <row r="47409" spans="9:9" x14ac:dyDescent="0.2">
      <c r="I47409" s="137" t="s">
        <v>74</v>
      </c>
    </row>
    <row r="47410" spans="9:9" x14ac:dyDescent="0.2">
      <c r="I47410" s="137" t="s">
        <v>74</v>
      </c>
    </row>
    <row r="47411" spans="9:9" x14ac:dyDescent="0.2">
      <c r="I47411" s="137" t="s">
        <v>74</v>
      </c>
    </row>
    <row r="47412" spans="9:9" x14ac:dyDescent="0.2">
      <c r="I47412" s="137" t="s">
        <v>74</v>
      </c>
    </row>
    <row r="47413" spans="9:9" x14ac:dyDescent="0.2">
      <c r="I47413" s="137" t="s">
        <v>74</v>
      </c>
    </row>
    <row r="47414" spans="9:9" x14ac:dyDescent="0.2">
      <c r="I47414" s="137" t="s">
        <v>74</v>
      </c>
    </row>
    <row r="47415" spans="9:9" x14ac:dyDescent="0.2">
      <c r="I47415" s="137" t="s">
        <v>74</v>
      </c>
    </row>
    <row r="47416" spans="9:9" x14ac:dyDescent="0.2">
      <c r="I47416" s="137" t="s">
        <v>74</v>
      </c>
    </row>
    <row r="47417" spans="9:9" x14ac:dyDescent="0.2">
      <c r="I47417" s="137" t="s">
        <v>74</v>
      </c>
    </row>
    <row r="47418" spans="9:9" x14ac:dyDescent="0.2">
      <c r="I47418" s="137" t="s">
        <v>74</v>
      </c>
    </row>
    <row r="47419" spans="9:9" x14ac:dyDescent="0.2">
      <c r="I47419" s="137" t="s">
        <v>74</v>
      </c>
    </row>
    <row r="47420" spans="9:9" x14ac:dyDescent="0.2">
      <c r="I47420" s="137" t="s">
        <v>74</v>
      </c>
    </row>
    <row r="47421" spans="9:9" x14ac:dyDescent="0.2">
      <c r="I47421" s="137" t="s">
        <v>74</v>
      </c>
    </row>
    <row r="47422" spans="9:9" x14ac:dyDescent="0.2">
      <c r="I47422" s="137" t="s">
        <v>74</v>
      </c>
    </row>
    <row r="47423" spans="9:9" x14ac:dyDescent="0.2">
      <c r="I47423" s="137" t="s">
        <v>74</v>
      </c>
    </row>
    <row r="47424" spans="9:9" x14ac:dyDescent="0.2">
      <c r="I47424" s="137" t="s">
        <v>74</v>
      </c>
    </row>
    <row r="47425" spans="9:9" x14ac:dyDescent="0.2">
      <c r="I47425" s="137" t="s">
        <v>74</v>
      </c>
    </row>
    <row r="47426" spans="9:9" x14ac:dyDescent="0.2">
      <c r="I47426" s="137" t="s">
        <v>74</v>
      </c>
    </row>
    <row r="47427" spans="9:9" x14ac:dyDescent="0.2">
      <c r="I47427" s="137" t="s">
        <v>74</v>
      </c>
    </row>
    <row r="47428" spans="9:9" x14ac:dyDescent="0.2">
      <c r="I47428" s="137" t="s">
        <v>74</v>
      </c>
    </row>
    <row r="47429" spans="9:9" x14ac:dyDescent="0.2">
      <c r="I47429" s="137" t="s">
        <v>74</v>
      </c>
    </row>
    <row r="47430" spans="9:9" x14ac:dyDescent="0.2">
      <c r="I47430" s="137" t="s">
        <v>74</v>
      </c>
    </row>
    <row r="47431" spans="9:9" x14ac:dyDescent="0.2">
      <c r="I47431" s="137" t="s">
        <v>74</v>
      </c>
    </row>
    <row r="47432" spans="9:9" x14ac:dyDescent="0.2">
      <c r="I47432" s="137" t="s">
        <v>74</v>
      </c>
    </row>
    <row r="47433" spans="9:9" x14ac:dyDescent="0.2">
      <c r="I47433" s="137" t="s">
        <v>74</v>
      </c>
    </row>
    <row r="47434" spans="9:9" x14ac:dyDescent="0.2">
      <c r="I47434" s="137" t="s">
        <v>74</v>
      </c>
    </row>
    <row r="47435" spans="9:9" x14ac:dyDescent="0.2">
      <c r="I47435" s="137" t="s">
        <v>74</v>
      </c>
    </row>
    <row r="47436" spans="9:9" x14ac:dyDescent="0.2">
      <c r="I47436" s="137" t="s">
        <v>74</v>
      </c>
    </row>
    <row r="47437" spans="9:9" x14ac:dyDescent="0.2">
      <c r="I47437" s="137" t="s">
        <v>74</v>
      </c>
    </row>
    <row r="47438" spans="9:9" x14ac:dyDescent="0.2">
      <c r="I47438" s="137" t="s">
        <v>74</v>
      </c>
    </row>
    <row r="47439" spans="9:9" x14ac:dyDescent="0.2">
      <c r="I47439" s="137" t="s">
        <v>74</v>
      </c>
    </row>
    <row r="47440" spans="9:9" x14ac:dyDescent="0.2">
      <c r="I47440" s="137" t="s">
        <v>74</v>
      </c>
    </row>
    <row r="47441" spans="9:9" x14ac:dyDescent="0.2">
      <c r="I47441" s="137" t="s">
        <v>74</v>
      </c>
    </row>
    <row r="47442" spans="9:9" x14ac:dyDescent="0.2">
      <c r="I47442" s="137" t="s">
        <v>74</v>
      </c>
    </row>
    <row r="47443" spans="9:9" x14ac:dyDescent="0.2">
      <c r="I47443" s="137" t="s">
        <v>74</v>
      </c>
    </row>
    <row r="47444" spans="9:9" x14ac:dyDescent="0.2">
      <c r="I47444" s="137" t="s">
        <v>74</v>
      </c>
    </row>
    <row r="47445" spans="9:9" x14ac:dyDescent="0.2">
      <c r="I47445" s="137" t="s">
        <v>74</v>
      </c>
    </row>
    <row r="47446" spans="9:9" x14ac:dyDescent="0.2">
      <c r="I47446" s="137" t="s">
        <v>74</v>
      </c>
    </row>
    <row r="47447" spans="9:9" x14ac:dyDescent="0.2">
      <c r="I47447" s="137" t="s">
        <v>74</v>
      </c>
    </row>
    <row r="47448" spans="9:9" x14ac:dyDescent="0.2">
      <c r="I47448" s="137" t="s">
        <v>74</v>
      </c>
    </row>
    <row r="47449" spans="9:9" x14ac:dyDescent="0.2">
      <c r="I47449" s="137" t="s">
        <v>74</v>
      </c>
    </row>
    <row r="47450" spans="9:9" x14ac:dyDescent="0.2">
      <c r="I47450" s="137" t="s">
        <v>74</v>
      </c>
    </row>
    <row r="47451" spans="9:9" x14ac:dyDescent="0.2">
      <c r="I47451" s="137" t="s">
        <v>74</v>
      </c>
    </row>
    <row r="47452" spans="9:9" x14ac:dyDescent="0.2">
      <c r="I47452" s="137" t="s">
        <v>74</v>
      </c>
    </row>
    <row r="47453" spans="9:9" x14ac:dyDescent="0.2">
      <c r="I47453" s="137" t="s">
        <v>74</v>
      </c>
    </row>
    <row r="47454" spans="9:9" x14ac:dyDescent="0.2">
      <c r="I47454" s="137" t="s">
        <v>74</v>
      </c>
    </row>
    <row r="47455" spans="9:9" x14ac:dyDescent="0.2">
      <c r="I47455" s="137" t="s">
        <v>74</v>
      </c>
    </row>
    <row r="47456" spans="9:9" x14ac:dyDescent="0.2">
      <c r="I47456" s="137" t="s">
        <v>74</v>
      </c>
    </row>
    <row r="47457" spans="9:9" x14ac:dyDescent="0.2">
      <c r="I47457" s="137" t="s">
        <v>74</v>
      </c>
    </row>
    <row r="47458" spans="9:9" x14ac:dyDescent="0.2">
      <c r="I47458" s="137" t="s">
        <v>74</v>
      </c>
    </row>
    <row r="47459" spans="9:9" x14ac:dyDescent="0.2">
      <c r="I47459" s="137" t="s">
        <v>74</v>
      </c>
    </row>
    <row r="47460" spans="9:9" x14ac:dyDescent="0.2">
      <c r="I47460" s="137" t="s">
        <v>74</v>
      </c>
    </row>
    <row r="47461" spans="9:9" x14ac:dyDescent="0.2">
      <c r="I47461" s="137" t="s">
        <v>74</v>
      </c>
    </row>
    <row r="47462" spans="9:9" x14ac:dyDescent="0.2">
      <c r="I47462" s="137" t="s">
        <v>74</v>
      </c>
    </row>
    <row r="47463" spans="9:9" x14ac:dyDescent="0.2">
      <c r="I47463" s="137" t="s">
        <v>74</v>
      </c>
    </row>
    <row r="47464" spans="9:9" x14ac:dyDescent="0.2">
      <c r="I47464" s="137" t="s">
        <v>74</v>
      </c>
    </row>
    <row r="47465" spans="9:9" x14ac:dyDescent="0.2">
      <c r="I47465" s="137" t="s">
        <v>74</v>
      </c>
    </row>
    <row r="47466" spans="9:9" x14ac:dyDescent="0.2">
      <c r="I47466" s="137" t="s">
        <v>74</v>
      </c>
    </row>
    <row r="47467" spans="9:9" x14ac:dyDescent="0.2">
      <c r="I47467" s="137" t="s">
        <v>74</v>
      </c>
    </row>
    <row r="47468" spans="9:9" x14ac:dyDescent="0.2">
      <c r="I47468" s="137" t="s">
        <v>74</v>
      </c>
    </row>
    <row r="47469" spans="9:9" x14ac:dyDescent="0.2">
      <c r="I47469" s="137" t="s">
        <v>74</v>
      </c>
    </row>
    <row r="47470" spans="9:9" x14ac:dyDescent="0.2">
      <c r="I47470" s="137" t="s">
        <v>74</v>
      </c>
    </row>
    <row r="47471" spans="9:9" x14ac:dyDescent="0.2">
      <c r="I47471" s="137" t="s">
        <v>74</v>
      </c>
    </row>
    <row r="47472" spans="9:9" x14ac:dyDescent="0.2">
      <c r="I47472" s="137" t="s">
        <v>74</v>
      </c>
    </row>
    <row r="47473" spans="9:9" x14ac:dyDescent="0.2">
      <c r="I47473" s="137" t="s">
        <v>74</v>
      </c>
    </row>
    <row r="47474" spans="9:9" x14ac:dyDescent="0.2">
      <c r="I47474" s="137" t="s">
        <v>74</v>
      </c>
    </row>
    <row r="47475" spans="9:9" x14ac:dyDescent="0.2">
      <c r="I47475" s="137" t="s">
        <v>74</v>
      </c>
    </row>
    <row r="47476" spans="9:9" x14ac:dyDescent="0.2">
      <c r="I47476" s="137" t="s">
        <v>74</v>
      </c>
    </row>
    <row r="47477" spans="9:9" x14ac:dyDescent="0.2">
      <c r="I47477" s="137" t="s">
        <v>74</v>
      </c>
    </row>
    <row r="47478" spans="9:9" x14ac:dyDescent="0.2">
      <c r="I47478" s="137" t="s">
        <v>74</v>
      </c>
    </row>
    <row r="47479" spans="9:9" x14ac:dyDescent="0.2">
      <c r="I47479" s="137" t="s">
        <v>74</v>
      </c>
    </row>
    <row r="47480" spans="9:9" x14ac:dyDescent="0.2">
      <c r="I47480" s="137" t="s">
        <v>74</v>
      </c>
    </row>
    <row r="47481" spans="9:9" x14ac:dyDescent="0.2">
      <c r="I47481" s="137" t="s">
        <v>74</v>
      </c>
    </row>
    <row r="47482" spans="9:9" x14ac:dyDescent="0.2">
      <c r="I47482" s="137" t="s">
        <v>74</v>
      </c>
    </row>
    <row r="47483" spans="9:9" x14ac:dyDescent="0.2">
      <c r="I47483" s="137" t="s">
        <v>74</v>
      </c>
    </row>
    <row r="47484" spans="9:9" x14ac:dyDescent="0.2">
      <c r="I47484" s="137" t="s">
        <v>74</v>
      </c>
    </row>
    <row r="47485" spans="9:9" x14ac:dyDescent="0.2">
      <c r="I47485" s="137" t="s">
        <v>74</v>
      </c>
    </row>
    <row r="47486" spans="9:9" x14ac:dyDescent="0.2">
      <c r="I47486" s="137" t="s">
        <v>74</v>
      </c>
    </row>
    <row r="47487" spans="9:9" x14ac:dyDescent="0.2">
      <c r="I47487" s="137" t="s">
        <v>74</v>
      </c>
    </row>
    <row r="47488" spans="9:9" x14ac:dyDescent="0.2">
      <c r="I47488" s="137" t="s">
        <v>74</v>
      </c>
    </row>
    <row r="47489" spans="9:9" x14ac:dyDescent="0.2">
      <c r="I47489" s="137" t="s">
        <v>74</v>
      </c>
    </row>
    <row r="47490" spans="9:9" x14ac:dyDescent="0.2">
      <c r="I47490" s="137" t="s">
        <v>74</v>
      </c>
    </row>
    <row r="47491" spans="9:9" x14ac:dyDescent="0.2">
      <c r="I47491" s="137" t="s">
        <v>74</v>
      </c>
    </row>
    <row r="47492" spans="9:9" x14ac:dyDescent="0.2">
      <c r="I47492" s="137" t="s">
        <v>74</v>
      </c>
    </row>
    <row r="47493" spans="9:9" x14ac:dyDescent="0.2">
      <c r="I47493" s="137" t="s">
        <v>74</v>
      </c>
    </row>
    <row r="47494" spans="9:9" x14ac:dyDescent="0.2">
      <c r="I47494" s="137" t="s">
        <v>74</v>
      </c>
    </row>
    <row r="47495" spans="9:9" x14ac:dyDescent="0.2">
      <c r="I47495" s="137" t="s">
        <v>74</v>
      </c>
    </row>
    <row r="47496" spans="9:9" x14ac:dyDescent="0.2">
      <c r="I47496" s="137" t="s">
        <v>74</v>
      </c>
    </row>
    <row r="47497" spans="9:9" x14ac:dyDescent="0.2">
      <c r="I47497" s="137" t="s">
        <v>74</v>
      </c>
    </row>
    <row r="47498" spans="9:9" x14ac:dyDescent="0.2">
      <c r="I47498" s="137" t="s">
        <v>74</v>
      </c>
    </row>
    <row r="47499" spans="9:9" x14ac:dyDescent="0.2">
      <c r="I47499" s="137" t="s">
        <v>74</v>
      </c>
    </row>
    <row r="47500" spans="9:9" x14ac:dyDescent="0.2">
      <c r="I47500" s="137" t="s">
        <v>74</v>
      </c>
    </row>
    <row r="47501" spans="9:9" x14ac:dyDescent="0.2">
      <c r="I47501" s="137" t="s">
        <v>74</v>
      </c>
    </row>
    <row r="47502" spans="9:9" x14ac:dyDescent="0.2">
      <c r="I47502" s="137" t="s">
        <v>74</v>
      </c>
    </row>
    <row r="47503" spans="9:9" x14ac:dyDescent="0.2">
      <c r="I47503" s="137" t="s">
        <v>74</v>
      </c>
    </row>
    <row r="47504" spans="9:9" x14ac:dyDescent="0.2">
      <c r="I47504" s="137" t="s">
        <v>74</v>
      </c>
    </row>
    <row r="47505" spans="9:9" x14ac:dyDescent="0.2">
      <c r="I47505" s="137" t="s">
        <v>74</v>
      </c>
    </row>
    <row r="47506" spans="9:9" x14ac:dyDescent="0.2">
      <c r="I47506" s="137" t="s">
        <v>74</v>
      </c>
    </row>
    <row r="47507" spans="9:9" x14ac:dyDescent="0.2">
      <c r="I47507" s="137" t="s">
        <v>74</v>
      </c>
    </row>
    <row r="47508" spans="9:9" x14ac:dyDescent="0.2">
      <c r="I47508" s="137" t="s">
        <v>74</v>
      </c>
    </row>
    <row r="47509" spans="9:9" x14ac:dyDescent="0.2">
      <c r="I47509" s="137" t="s">
        <v>74</v>
      </c>
    </row>
    <row r="47510" spans="9:9" x14ac:dyDescent="0.2">
      <c r="I47510" s="137" t="s">
        <v>74</v>
      </c>
    </row>
    <row r="47511" spans="9:9" x14ac:dyDescent="0.2">
      <c r="I47511" s="137" t="s">
        <v>74</v>
      </c>
    </row>
    <row r="47512" spans="9:9" x14ac:dyDescent="0.2">
      <c r="I47512" s="137" t="s">
        <v>74</v>
      </c>
    </row>
    <row r="47513" spans="9:9" x14ac:dyDescent="0.2">
      <c r="I47513" s="137" t="s">
        <v>74</v>
      </c>
    </row>
    <row r="47514" spans="9:9" x14ac:dyDescent="0.2">
      <c r="I47514" s="137" t="s">
        <v>74</v>
      </c>
    </row>
    <row r="47515" spans="9:9" x14ac:dyDescent="0.2">
      <c r="I47515" s="137" t="s">
        <v>74</v>
      </c>
    </row>
    <row r="47516" spans="9:9" x14ac:dyDescent="0.2">
      <c r="I47516" s="137" t="s">
        <v>74</v>
      </c>
    </row>
    <row r="47517" spans="9:9" x14ac:dyDescent="0.2">
      <c r="I47517" s="137" t="s">
        <v>74</v>
      </c>
    </row>
    <row r="47518" spans="9:9" x14ac:dyDescent="0.2">
      <c r="I47518" s="137" t="s">
        <v>74</v>
      </c>
    </row>
    <row r="47519" spans="9:9" x14ac:dyDescent="0.2">
      <c r="I47519" s="137" t="s">
        <v>74</v>
      </c>
    </row>
    <row r="47520" spans="9:9" x14ac:dyDescent="0.2">
      <c r="I47520" s="137" t="s">
        <v>74</v>
      </c>
    </row>
    <row r="47521" spans="9:9" x14ac:dyDescent="0.2">
      <c r="I47521" s="137" t="s">
        <v>74</v>
      </c>
    </row>
    <row r="47522" spans="9:9" x14ac:dyDescent="0.2">
      <c r="I47522" s="137" t="s">
        <v>74</v>
      </c>
    </row>
    <row r="47523" spans="9:9" x14ac:dyDescent="0.2">
      <c r="I47523" s="137" t="s">
        <v>74</v>
      </c>
    </row>
    <row r="47524" spans="9:9" x14ac:dyDescent="0.2">
      <c r="I47524" s="137" t="s">
        <v>74</v>
      </c>
    </row>
    <row r="47525" spans="9:9" x14ac:dyDescent="0.2">
      <c r="I47525" s="137" t="s">
        <v>74</v>
      </c>
    </row>
    <row r="47526" spans="9:9" x14ac:dyDescent="0.2">
      <c r="I47526" s="137" t="s">
        <v>74</v>
      </c>
    </row>
    <row r="47527" spans="9:9" x14ac:dyDescent="0.2">
      <c r="I47527" s="137" t="s">
        <v>74</v>
      </c>
    </row>
    <row r="47528" spans="9:9" x14ac:dyDescent="0.2">
      <c r="I47528" s="137" t="s">
        <v>74</v>
      </c>
    </row>
    <row r="47529" spans="9:9" x14ac:dyDescent="0.2">
      <c r="I47529" s="137" t="s">
        <v>74</v>
      </c>
    </row>
    <row r="47530" spans="9:9" x14ac:dyDescent="0.2">
      <c r="I47530" s="137" t="s">
        <v>74</v>
      </c>
    </row>
    <row r="47531" spans="9:9" x14ac:dyDescent="0.2">
      <c r="I47531" s="137" t="s">
        <v>74</v>
      </c>
    </row>
    <row r="47532" spans="9:9" x14ac:dyDescent="0.2">
      <c r="I47532" s="137" t="s">
        <v>74</v>
      </c>
    </row>
    <row r="47533" spans="9:9" x14ac:dyDescent="0.2">
      <c r="I47533" s="137" t="s">
        <v>74</v>
      </c>
    </row>
    <row r="47534" spans="9:9" x14ac:dyDescent="0.2">
      <c r="I47534" s="137" t="s">
        <v>74</v>
      </c>
    </row>
    <row r="47535" spans="9:9" x14ac:dyDescent="0.2">
      <c r="I47535" s="137" t="s">
        <v>74</v>
      </c>
    </row>
    <row r="47536" spans="9:9" x14ac:dyDescent="0.2">
      <c r="I47536" s="137" t="s">
        <v>74</v>
      </c>
    </row>
    <row r="47537" spans="9:9" x14ac:dyDescent="0.2">
      <c r="I47537" s="137" t="s">
        <v>74</v>
      </c>
    </row>
    <row r="47538" spans="9:9" x14ac:dyDescent="0.2">
      <c r="I47538" s="137" t="s">
        <v>74</v>
      </c>
    </row>
    <row r="47539" spans="9:9" x14ac:dyDescent="0.2">
      <c r="I47539" s="137" t="s">
        <v>74</v>
      </c>
    </row>
    <row r="47540" spans="9:9" x14ac:dyDescent="0.2">
      <c r="I47540" s="137" t="s">
        <v>74</v>
      </c>
    </row>
    <row r="47541" spans="9:9" x14ac:dyDescent="0.2">
      <c r="I47541" s="137" t="s">
        <v>74</v>
      </c>
    </row>
    <row r="47542" spans="9:9" x14ac:dyDescent="0.2">
      <c r="I47542" s="137" t="s">
        <v>74</v>
      </c>
    </row>
    <row r="47543" spans="9:9" x14ac:dyDescent="0.2">
      <c r="I47543" s="137" t="s">
        <v>74</v>
      </c>
    </row>
    <row r="47544" spans="9:9" x14ac:dyDescent="0.2">
      <c r="I47544" s="137" t="s">
        <v>74</v>
      </c>
    </row>
    <row r="47545" spans="9:9" x14ac:dyDescent="0.2">
      <c r="I47545" s="137" t="s">
        <v>74</v>
      </c>
    </row>
    <row r="47546" spans="9:9" x14ac:dyDescent="0.2">
      <c r="I47546" s="137" t="s">
        <v>74</v>
      </c>
    </row>
    <row r="47547" spans="9:9" x14ac:dyDescent="0.2">
      <c r="I47547" s="137" t="s">
        <v>74</v>
      </c>
    </row>
    <row r="47548" spans="9:9" x14ac:dyDescent="0.2">
      <c r="I47548" s="137" t="s">
        <v>74</v>
      </c>
    </row>
    <row r="47549" spans="9:9" x14ac:dyDescent="0.2">
      <c r="I47549" s="137" t="s">
        <v>74</v>
      </c>
    </row>
    <row r="47550" spans="9:9" x14ac:dyDescent="0.2">
      <c r="I47550" s="137" t="s">
        <v>74</v>
      </c>
    </row>
    <row r="47551" spans="9:9" x14ac:dyDescent="0.2">
      <c r="I47551" s="137" t="s">
        <v>74</v>
      </c>
    </row>
    <row r="47552" spans="9:9" x14ac:dyDescent="0.2">
      <c r="I47552" s="137" t="s">
        <v>74</v>
      </c>
    </row>
    <row r="47553" spans="9:9" x14ac:dyDescent="0.2">
      <c r="I47553" s="137" t="s">
        <v>74</v>
      </c>
    </row>
    <row r="47554" spans="9:9" x14ac:dyDescent="0.2">
      <c r="I47554" s="137" t="s">
        <v>74</v>
      </c>
    </row>
    <row r="47555" spans="9:9" x14ac:dyDescent="0.2">
      <c r="I47555" s="137" t="s">
        <v>74</v>
      </c>
    </row>
    <row r="47556" spans="9:9" x14ac:dyDescent="0.2">
      <c r="I47556" s="137" t="s">
        <v>74</v>
      </c>
    </row>
    <row r="47557" spans="9:9" x14ac:dyDescent="0.2">
      <c r="I47557" s="137" t="s">
        <v>74</v>
      </c>
    </row>
    <row r="47558" spans="9:9" x14ac:dyDescent="0.2">
      <c r="I47558" s="137" t="s">
        <v>74</v>
      </c>
    </row>
    <row r="47559" spans="9:9" x14ac:dyDescent="0.2">
      <c r="I47559" s="137" t="s">
        <v>74</v>
      </c>
    </row>
    <row r="47560" spans="9:9" x14ac:dyDescent="0.2">
      <c r="I47560" s="137" t="s">
        <v>74</v>
      </c>
    </row>
    <row r="47561" spans="9:9" x14ac:dyDescent="0.2">
      <c r="I47561" s="137" t="s">
        <v>74</v>
      </c>
    </row>
    <row r="47562" spans="9:9" x14ac:dyDescent="0.2">
      <c r="I47562" s="137" t="s">
        <v>74</v>
      </c>
    </row>
    <row r="47563" spans="9:9" x14ac:dyDescent="0.2">
      <c r="I47563" s="137" t="s">
        <v>74</v>
      </c>
    </row>
    <row r="47564" spans="9:9" x14ac:dyDescent="0.2">
      <c r="I47564" s="137" t="s">
        <v>74</v>
      </c>
    </row>
    <row r="47565" spans="9:9" x14ac:dyDescent="0.2">
      <c r="I47565" s="137" t="s">
        <v>74</v>
      </c>
    </row>
    <row r="47566" spans="9:9" x14ac:dyDescent="0.2">
      <c r="I47566" s="137" t="s">
        <v>74</v>
      </c>
    </row>
    <row r="47567" spans="9:9" x14ac:dyDescent="0.2">
      <c r="I47567" s="137" t="s">
        <v>74</v>
      </c>
    </row>
    <row r="47568" spans="9:9" x14ac:dyDescent="0.2">
      <c r="I47568" s="137" t="s">
        <v>74</v>
      </c>
    </row>
    <row r="47569" spans="9:9" x14ac:dyDescent="0.2">
      <c r="I47569" s="137" t="s">
        <v>74</v>
      </c>
    </row>
    <row r="47570" spans="9:9" x14ac:dyDescent="0.2">
      <c r="I47570" s="137" t="s">
        <v>74</v>
      </c>
    </row>
    <row r="47571" spans="9:9" x14ac:dyDescent="0.2">
      <c r="I47571" s="137" t="s">
        <v>74</v>
      </c>
    </row>
    <row r="47572" spans="9:9" x14ac:dyDescent="0.2">
      <c r="I47572" s="137" t="s">
        <v>74</v>
      </c>
    </row>
    <row r="47573" spans="9:9" x14ac:dyDescent="0.2">
      <c r="I47573" s="137" t="s">
        <v>74</v>
      </c>
    </row>
    <row r="47574" spans="9:9" x14ac:dyDescent="0.2">
      <c r="I47574" s="137" t="s">
        <v>74</v>
      </c>
    </row>
    <row r="47575" spans="9:9" x14ac:dyDescent="0.2">
      <c r="I47575" s="137" t="s">
        <v>74</v>
      </c>
    </row>
    <row r="47576" spans="9:9" x14ac:dyDescent="0.2">
      <c r="I47576" s="137" t="s">
        <v>74</v>
      </c>
    </row>
    <row r="47577" spans="9:9" x14ac:dyDescent="0.2">
      <c r="I47577" s="137" t="s">
        <v>74</v>
      </c>
    </row>
    <row r="47578" spans="9:9" x14ac:dyDescent="0.2">
      <c r="I47578" s="137" t="s">
        <v>74</v>
      </c>
    </row>
    <row r="47579" spans="9:9" x14ac:dyDescent="0.2">
      <c r="I47579" s="137" t="s">
        <v>74</v>
      </c>
    </row>
    <row r="47580" spans="9:9" x14ac:dyDescent="0.2">
      <c r="I47580" s="137" t="s">
        <v>74</v>
      </c>
    </row>
    <row r="47581" spans="9:9" x14ac:dyDescent="0.2">
      <c r="I47581" s="137" t="s">
        <v>74</v>
      </c>
    </row>
    <row r="47582" spans="9:9" x14ac:dyDescent="0.2">
      <c r="I47582" s="137" t="s">
        <v>74</v>
      </c>
    </row>
    <row r="47583" spans="9:9" x14ac:dyDescent="0.2">
      <c r="I47583" s="137" t="s">
        <v>74</v>
      </c>
    </row>
    <row r="47584" spans="9:9" x14ac:dyDescent="0.2">
      <c r="I47584" s="137" t="s">
        <v>74</v>
      </c>
    </row>
    <row r="47585" spans="9:9" x14ac:dyDescent="0.2">
      <c r="I47585" s="137" t="s">
        <v>74</v>
      </c>
    </row>
    <row r="47586" spans="9:9" x14ac:dyDescent="0.2">
      <c r="I47586" s="137" t="s">
        <v>74</v>
      </c>
    </row>
    <row r="47587" spans="9:9" x14ac:dyDescent="0.2">
      <c r="I47587" s="137" t="s">
        <v>74</v>
      </c>
    </row>
    <row r="47588" spans="9:9" x14ac:dyDescent="0.2">
      <c r="I47588" s="137" t="s">
        <v>74</v>
      </c>
    </row>
    <row r="47589" spans="9:9" x14ac:dyDescent="0.2">
      <c r="I47589" s="137" t="s">
        <v>74</v>
      </c>
    </row>
    <row r="47590" spans="9:9" x14ac:dyDescent="0.2">
      <c r="I47590" s="137" t="s">
        <v>74</v>
      </c>
    </row>
    <row r="47591" spans="9:9" x14ac:dyDescent="0.2">
      <c r="I47591" s="137" t="s">
        <v>74</v>
      </c>
    </row>
    <row r="47592" spans="9:9" x14ac:dyDescent="0.2">
      <c r="I47592" s="137" t="s">
        <v>74</v>
      </c>
    </row>
    <row r="47593" spans="9:9" x14ac:dyDescent="0.2">
      <c r="I47593" s="137" t="s">
        <v>74</v>
      </c>
    </row>
    <row r="47594" spans="9:9" x14ac:dyDescent="0.2">
      <c r="I47594" s="137" t="s">
        <v>74</v>
      </c>
    </row>
    <row r="47595" spans="9:9" x14ac:dyDescent="0.2">
      <c r="I47595" s="137" t="s">
        <v>74</v>
      </c>
    </row>
    <row r="47596" spans="9:9" x14ac:dyDescent="0.2">
      <c r="I47596" s="137" t="s">
        <v>74</v>
      </c>
    </row>
    <row r="47597" spans="9:9" x14ac:dyDescent="0.2">
      <c r="I47597" s="137" t="s">
        <v>74</v>
      </c>
    </row>
    <row r="47598" spans="9:9" x14ac:dyDescent="0.2">
      <c r="I47598" s="137" t="s">
        <v>74</v>
      </c>
    </row>
    <row r="47599" spans="9:9" x14ac:dyDescent="0.2">
      <c r="I47599" s="137" t="s">
        <v>74</v>
      </c>
    </row>
    <row r="47600" spans="9:9" x14ac:dyDescent="0.2">
      <c r="I47600" s="137" t="s">
        <v>74</v>
      </c>
    </row>
    <row r="47601" spans="9:9" x14ac:dyDescent="0.2">
      <c r="I47601" s="137" t="s">
        <v>74</v>
      </c>
    </row>
    <row r="47602" spans="9:9" x14ac:dyDescent="0.2">
      <c r="I47602" s="137" t="s">
        <v>74</v>
      </c>
    </row>
    <row r="47603" spans="9:9" x14ac:dyDescent="0.2">
      <c r="I47603" s="137" t="s">
        <v>74</v>
      </c>
    </row>
    <row r="47604" spans="9:9" x14ac:dyDescent="0.2">
      <c r="I47604" s="137" t="s">
        <v>74</v>
      </c>
    </row>
    <row r="47605" spans="9:9" x14ac:dyDescent="0.2">
      <c r="I47605" s="137" t="s">
        <v>74</v>
      </c>
    </row>
    <row r="47606" spans="9:9" x14ac:dyDescent="0.2">
      <c r="I47606" s="137" t="s">
        <v>74</v>
      </c>
    </row>
    <row r="47607" spans="9:9" x14ac:dyDescent="0.2">
      <c r="I47607" s="137" t="s">
        <v>74</v>
      </c>
    </row>
    <row r="47608" spans="9:9" x14ac:dyDescent="0.2">
      <c r="I47608" s="137" t="s">
        <v>74</v>
      </c>
    </row>
    <row r="47609" spans="9:9" x14ac:dyDescent="0.2">
      <c r="I47609" s="137" t="s">
        <v>74</v>
      </c>
    </row>
    <row r="47610" spans="9:9" x14ac:dyDescent="0.2">
      <c r="I47610" s="137" t="s">
        <v>74</v>
      </c>
    </row>
    <row r="47611" spans="9:9" x14ac:dyDescent="0.2">
      <c r="I47611" s="137" t="s">
        <v>74</v>
      </c>
    </row>
    <row r="47612" spans="9:9" x14ac:dyDescent="0.2">
      <c r="I47612" s="137" t="s">
        <v>74</v>
      </c>
    </row>
    <row r="47613" spans="9:9" x14ac:dyDescent="0.2">
      <c r="I47613" s="137" t="s">
        <v>74</v>
      </c>
    </row>
    <row r="47614" spans="9:9" x14ac:dyDescent="0.2">
      <c r="I47614" s="137" t="s">
        <v>74</v>
      </c>
    </row>
    <row r="47615" spans="9:9" x14ac:dyDescent="0.2">
      <c r="I47615" s="137" t="s">
        <v>74</v>
      </c>
    </row>
    <row r="47616" spans="9:9" x14ac:dyDescent="0.2">
      <c r="I47616" s="137" t="s">
        <v>74</v>
      </c>
    </row>
    <row r="47617" spans="9:9" x14ac:dyDescent="0.2">
      <c r="I47617" s="137" t="s">
        <v>74</v>
      </c>
    </row>
    <row r="47618" spans="9:9" x14ac:dyDescent="0.2">
      <c r="I47618" s="137" t="s">
        <v>74</v>
      </c>
    </row>
    <row r="47619" spans="9:9" x14ac:dyDescent="0.2">
      <c r="I47619" s="137" t="s">
        <v>74</v>
      </c>
    </row>
    <row r="47620" spans="9:9" x14ac:dyDescent="0.2">
      <c r="I47620" s="137" t="s">
        <v>74</v>
      </c>
    </row>
    <row r="47621" spans="9:9" x14ac:dyDescent="0.2">
      <c r="I47621" s="137" t="s">
        <v>74</v>
      </c>
    </row>
    <row r="47622" spans="9:9" x14ac:dyDescent="0.2">
      <c r="I47622" s="137" t="s">
        <v>74</v>
      </c>
    </row>
    <row r="47623" spans="9:9" x14ac:dyDescent="0.2">
      <c r="I47623" s="137" t="s">
        <v>74</v>
      </c>
    </row>
    <row r="47624" spans="9:9" x14ac:dyDescent="0.2">
      <c r="I47624" s="137" t="s">
        <v>74</v>
      </c>
    </row>
    <row r="47625" spans="9:9" x14ac:dyDescent="0.2">
      <c r="I47625" s="137" t="s">
        <v>74</v>
      </c>
    </row>
    <row r="47626" spans="9:9" x14ac:dyDescent="0.2">
      <c r="I47626" s="137" t="s">
        <v>74</v>
      </c>
    </row>
    <row r="47627" spans="9:9" x14ac:dyDescent="0.2">
      <c r="I47627" s="137" t="s">
        <v>74</v>
      </c>
    </row>
    <row r="47628" spans="9:9" x14ac:dyDescent="0.2">
      <c r="I47628" s="137" t="s">
        <v>74</v>
      </c>
    </row>
    <row r="47629" spans="9:9" x14ac:dyDescent="0.2">
      <c r="I47629" s="137" t="s">
        <v>74</v>
      </c>
    </row>
    <row r="47630" spans="9:9" x14ac:dyDescent="0.2">
      <c r="I47630" s="137" t="s">
        <v>74</v>
      </c>
    </row>
    <row r="47631" spans="9:9" x14ac:dyDescent="0.2">
      <c r="I47631" s="137" t="s">
        <v>74</v>
      </c>
    </row>
    <row r="47632" spans="9:9" x14ac:dyDescent="0.2">
      <c r="I47632" s="137" t="s">
        <v>74</v>
      </c>
    </row>
    <row r="47633" spans="9:9" x14ac:dyDescent="0.2">
      <c r="I47633" s="137" t="s">
        <v>74</v>
      </c>
    </row>
    <row r="47634" spans="9:9" x14ac:dyDescent="0.2">
      <c r="I47634" s="137" t="s">
        <v>74</v>
      </c>
    </row>
    <row r="47635" spans="9:9" x14ac:dyDescent="0.2">
      <c r="I47635" s="137" t="s">
        <v>74</v>
      </c>
    </row>
    <row r="47636" spans="9:9" x14ac:dyDescent="0.2">
      <c r="I47636" s="137" t="s">
        <v>74</v>
      </c>
    </row>
    <row r="47637" spans="9:9" x14ac:dyDescent="0.2">
      <c r="I47637" s="137" t="s">
        <v>74</v>
      </c>
    </row>
    <row r="47638" spans="9:9" x14ac:dyDescent="0.2">
      <c r="I47638" s="137" t="s">
        <v>74</v>
      </c>
    </row>
    <row r="47639" spans="9:9" x14ac:dyDescent="0.2">
      <c r="I47639" s="137" t="s">
        <v>74</v>
      </c>
    </row>
    <row r="47640" spans="9:9" x14ac:dyDescent="0.2">
      <c r="I47640" s="137" t="s">
        <v>74</v>
      </c>
    </row>
    <row r="47641" spans="9:9" x14ac:dyDescent="0.2">
      <c r="I47641" s="137" t="s">
        <v>74</v>
      </c>
    </row>
    <row r="47642" spans="9:9" x14ac:dyDescent="0.2">
      <c r="I47642" s="137" t="s">
        <v>74</v>
      </c>
    </row>
    <row r="47643" spans="9:9" x14ac:dyDescent="0.2">
      <c r="I47643" s="137" t="s">
        <v>74</v>
      </c>
    </row>
    <row r="47644" spans="9:9" x14ac:dyDescent="0.2">
      <c r="I47644" s="137" t="s">
        <v>74</v>
      </c>
    </row>
    <row r="47645" spans="9:9" x14ac:dyDescent="0.2">
      <c r="I47645" s="137" t="s">
        <v>74</v>
      </c>
    </row>
    <row r="47646" spans="9:9" x14ac:dyDescent="0.2">
      <c r="I47646" s="137" t="s">
        <v>74</v>
      </c>
    </row>
    <row r="47647" spans="9:9" x14ac:dyDescent="0.2">
      <c r="I47647" s="137" t="s">
        <v>74</v>
      </c>
    </row>
    <row r="47648" spans="9:9" x14ac:dyDescent="0.2">
      <c r="I47648" s="137" t="s">
        <v>74</v>
      </c>
    </row>
    <row r="47649" spans="9:9" x14ac:dyDescent="0.2">
      <c r="I47649" s="137" t="s">
        <v>74</v>
      </c>
    </row>
    <row r="47650" spans="9:9" x14ac:dyDescent="0.2">
      <c r="I47650" s="137" t="s">
        <v>74</v>
      </c>
    </row>
    <row r="47651" spans="9:9" x14ac:dyDescent="0.2">
      <c r="I47651" s="137" t="s">
        <v>74</v>
      </c>
    </row>
    <row r="47652" spans="9:9" x14ac:dyDescent="0.2">
      <c r="I47652" s="137" t="s">
        <v>74</v>
      </c>
    </row>
    <row r="47653" spans="9:9" x14ac:dyDescent="0.2">
      <c r="I47653" s="137" t="s">
        <v>74</v>
      </c>
    </row>
    <row r="47654" spans="9:9" x14ac:dyDescent="0.2">
      <c r="I47654" s="137" t="s">
        <v>74</v>
      </c>
    </row>
    <row r="47655" spans="9:9" x14ac:dyDescent="0.2">
      <c r="I47655" s="137" t="s">
        <v>74</v>
      </c>
    </row>
    <row r="47656" spans="9:9" x14ac:dyDescent="0.2">
      <c r="I47656" s="137" t="s">
        <v>74</v>
      </c>
    </row>
    <row r="47657" spans="9:9" x14ac:dyDescent="0.2">
      <c r="I47657" s="137" t="s">
        <v>74</v>
      </c>
    </row>
    <row r="47658" spans="9:9" x14ac:dyDescent="0.2">
      <c r="I47658" s="137" t="s">
        <v>74</v>
      </c>
    </row>
    <row r="47659" spans="9:9" x14ac:dyDescent="0.2">
      <c r="I47659" s="137" t="s">
        <v>74</v>
      </c>
    </row>
    <row r="47660" spans="9:9" x14ac:dyDescent="0.2">
      <c r="I47660" s="137" t="s">
        <v>74</v>
      </c>
    </row>
    <row r="47661" spans="9:9" x14ac:dyDescent="0.2">
      <c r="I47661" s="137" t="s">
        <v>74</v>
      </c>
    </row>
    <row r="47662" spans="9:9" x14ac:dyDescent="0.2">
      <c r="I47662" s="137" t="s">
        <v>74</v>
      </c>
    </row>
    <row r="47663" spans="9:9" x14ac:dyDescent="0.2">
      <c r="I47663" s="137" t="s">
        <v>74</v>
      </c>
    </row>
    <row r="47664" spans="9:9" x14ac:dyDescent="0.2">
      <c r="I47664" s="137" t="s">
        <v>74</v>
      </c>
    </row>
    <row r="47665" spans="9:9" x14ac:dyDescent="0.2">
      <c r="I47665" s="137" t="s">
        <v>74</v>
      </c>
    </row>
    <row r="47666" spans="9:9" x14ac:dyDescent="0.2">
      <c r="I47666" s="137" t="s">
        <v>74</v>
      </c>
    </row>
    <row r="47667" spans="9:9" x14ac:dyDescent="0.2">
      <c r="I47667" s="137" t="s">
        <v>74</v>
      </c>
    </row>
    <row r="47668" spans="9:9" x14ac:dyDescent="0.2">
      <c r="I47668" s="137" t="s">
        <v>74</v>
      </c>
    </row>
    <row r="47669" spans="9:9" x14ac:dyDescent="0.2">
      <c r="I47669" s="137" t="s">
        <v>74</v>
      </c>
    </row>
    <row r="47670" spans="9:9" x14ac:dyDescent="0.2">
      <c r="I47670" s="137" t="s">
        <v>74</v>
      </c>
    </row>
    <row r="47671" spans="9:9" x14ac:dyDescent="0.2">
      <c r="I47671" s="137" t="s">
        <v>74</v>
      </c>
    </row>
    <row r="47672" spans="9:9" x14ac:dyDescent="0.2">
      <c r="I47672" s="137" t="s">
        <v>74</v>
      </c>
    </row>
    <row r="47673" spans="9:9" x14ac:dyDescent="0.2">
      <c r="I47673" s="137" t="s">
        <v>74</v>
      </c>
    </row>
    <row r="47674" spans="9:9" x14ac:dyDescent="0.2">
      <c r="I47674" s="137" t="s">
        <v>74</v>
      </c>
    </row>
    <row r="47675" spans="9:9" x14ac:dyDescent="0.2">
      <c r="I47675" s="137" t="s">
        <v>74</v>
      </c>
    </row>
    <row r="47676" spans="9:9" x14ac:dyDescent="0.2">
      <c r="I47676" s="137" t="s">
        <v>74</v>
      </c>
    </row>
    <row r="47677" spans="9:9" x14ac:dyDescent="0.2">
      <c r="I47677" s="137" t="s">
        <v>74</v>
      </c>
    </row>
    <row r="47678" spans="9:9" x14ac:dyDescent="0.2">
      <c r="I47678" s="137" t="s">
        <v>74</v>
      </c>
    </row>
    <row r="47679" spans="9:9" x14ac:dyDescent="0.2">
      <c r="I47679" s="137" t="s">
        <v>74</v>
      </c>
    </row>
    <row r="47680" spans="9:9" x14ac:dyDescent="0.2">
      <c r="I47680" s="137" t="s">
        <v>74</v>
      </c>
    </row>
    <row r="47681" spans="9:9" x14ac:dyDescent="0.2">
      <c r="I47681" s="137" t="s">
        <v>74</v>
      </c>
    </row>
    <row r="47682" spans="9:9" x14ac:dyDescent="0.2">
      <c r="I47682" s="137" t="s">
        <v>74</v>
      </c>
    </row>
    <row r="47683" spans="9:9" x14ac:dyDescent="0.2">
      <c r="I47683" s="137" t="s">
        <v>74</v>
      </c>
    </row>
    <row r="47684" spans="9:9" x14ac:dyDescent="0.2">
      <c r="I47684" s="137" t="s">
        <v>74</v>
      </c>
    </row>
    <row r="47685" spans="9:9" x14ac:dyDescent="0.2">
      <c r="I47685" s="137" t="s">
        <v>74</v>
      </c>
    </row>
    <row r="47686" spans="9:9" x14ac:dyDescent="0.2">
      <c r="I47686" s="137" t="s">
        <v>74</v>
      </c>
    </row>
    <row r="47687" spans="9:9" x14ac:dyDescent="0.2">
      <c r="I47687" s="137" t="s">
        <v>74</v>
      </c>
    </row>
    <row r="47688" spans="9:9" x14ac:dyDescent="0.2">
      <c r="I47688" s="137" t="s">
        <v>74</v>
      </c>
    </row>
    <row r="47689" spans="9:9" x14ac:dyDescent="0.2">
      <c r="I47689" s="137" t="s">
        <v>74</v>
      </c>
    </row>
    <row r="47690" spans="9:9" x14ac:dyDescent="0.2">
      <c r="I47690" s="137" t="s">
        <v>74</v>
      </c>
    </row>
    <row r="47691" spans="9:9" x14ac:dyDescent="0.2">
      <c r="I47691" s="137" t="s">
        <v>74</v>
      </c>
    </row>
    <row r="47692" spans="9:9" x14ac:dyDescent="0.2">
      <c r="I47692" s="137" t="s">
        <v>74</v>
      </c>
    </row>
    <row r="47693" spans="9:9" x14ac:dyDescent="0.2">
      <c r="I47693" s="137" t="s">
        <v>74</v>
      </c>
    </row>
    <row r="47694" spans="9:9" x14ac:dyDescent="0.2">
      <c r="I47694" s="137" t="s">
        <v>74</v>
      </c>
    </row>
    <row r="47695" spans="9:9" x14ac:dyDescent="0.2">
      <c r="I47695" s="137" t="s">
        <v>74</v>
      </c>
    </row>
    <row r="47696" spans="9:9" x14ac:dyDescent="0.2">
      <c r="I47696" s="137" t="s">
        <v>74</v>
      </c>
    </row>
    <row r="47697" spans="9:9" x14ac:dyDescent="0.2">
      <c r="I47697" s="137" t="s">
        <v>74</v>
      </c>
    </row>
    <row r="47698" spans="9:9" x14ac:dyDescent="0.2">
      <c r="I47698" s="137" t="s">
        <v>74</v>
      </c>
    </row>
    <row r="47699" spans="9:9" x14ac:dyDescent="0.2">
      <c r="I47699" s="137" t="s">
        <v>74</v>
      </c>
    </row>
    <row r="47700" spans="9:9" x14ac:dyDescent="0.2">
      <c r="I47700" s="137" t="s">
        <v>74</v>
      </c>
    </row>
    <row r="47701" spans="9:9" x14ac:dyDescent="0.2">
      <c r="I47701" s="137" t="s">
        <v>74</v>
      </c>
    </row>
    <row r="47702" spans="9:9" x14ac:dyDescent="0.2">
      <c r="I47702" s="137" t="s">
        <v>74</v>
      </c>
    </row>
    <row r="47703" spans="9:9" x14ac:dyDescent="0.2">
      <c r="I47703" s="137" t="s">
        <v>74</v>
      </c>
    </row>
    <row r="47704" spans="9:9" x14ac:dyDescent="0.2">
      <c r="I47704" s="137" t="s">
        <v>74</v>
      </c>
    </row>
    <row r="47705" spans="9:9" x14ac:dyDescent="0.2">
      <c r="I47705" s="137" t="s">
        <v>74</v>
      </c>
    </row>
    <row r="47706" spans="9:9" x14ac:dyDescent="0.2">
      <c r="I47706" s="137" t="s">
        <v>74</v>
      </c>
    </row>
    <row r="47707" spans="9:9" x14ac:dyDescent="0.2">
      <c r="I47707" s="137" t="s">
        <v>74</v>
      </c>
    </row>
    <row r="47708" spans="9:9" x14ac:dyDescent="0.2">
      <c r="I47708" s="137" t="s">
        <v>74</v>
      </c>
    </row>
    <row r="47709" spans="9:9" x14ac:dyDescent="0.2">
      <c r="I47709" s="137" t="s">
        <v>74</v>
      </c>
    </row>
    <row r="47710" spans="9:9" x14ac:dyDescent="0.2">
      <c r="I47710" s="137" t="s">
        <v>74</v>
      </c>
    </row>
    <row r="47711" spans="9:9" x14ac:dyDescent="0.2">
      <c r="I47711" s="137" t="s">
        <v>74</v>
      </c>
    </row>
    <row r="47712" spans="9:9" x14ac:dyDescent="0.2">
      <c r="I47712" s="137" t="s">
        <v>74</v>
      </c>
    </row>
    <row r="47713" spans="9:9" x14ac:dyDescent="0.2">
      <c r="I47713" s="137" t="s">
        <v>74</v>
      </c>
    </row>
    <row r="47714" spans="9:9" x14ac:dyDescent="0.2">
      <c r="I47714" s="137" t="s">
        <v>74</v>
      </c>
    </row>
    <row r="47715" spans="9:9" x14ac:dyDescent="0.2">
      <c r="I47715" s="137" t="s">
        <v>74</v>
      </c>
    </row>
    <row r="47716" spans="9:9" x14ac:dyDescent="0.2">
      <c r="I47716" s="137" t="s">
        <v>74</v>
      </c>
    </row>
    <row r="47717" spans="9:9" x14ac:dyDescent="0.2">
      <c r="I47717" s="137" t="s">
        <v>74</v>
      </c>
    </row>
    <row r="47718" spans="9:9" x14ac:dyDescent="0.2">
      <c r="I47718" s="137" t="s">
        <v>74</v>
      </c>
    </row>
    <row r="47719" spans="9:9" x14ac:dyDescent="0.2">
      <c r="I47719" s="137" t="s">
        <v>74</v>
      </c>
    </row>
    <row r="47720" spans="9:9" x14ac:dyDescent="0.2">
      <c r="I47720" s="137" t="s">
        <v>74</v>
      </c>
    </row>
    <row r="47721" spans="9:9" x14ac:dyDescent="0.2">
      <c r="I47721" s="137" t="s">
        <v>74</v>
      </c>
    </row>
    <row r="47722" spans="9:9" x14ac:dyDescent="0.2">
      <c r="I47722" s="137" t="s">
        <v>74</v>
      </c>
    </row>
    <row r="47723" spans="9:9" x14ac:dyDescent="0.2">
      <c r="I47723" s="137" t="s">
        <v>74</v>
      </c>
    </row>
    <row r="47724" spans="9:9" x14ac:dyDescent="0.2">
      <c r="I47724" s="137" t="s">
        <v>74</v>
      </c>
    </row>
    <row r="47725" spans="9:9" x14ac:dyDescent="0.2">
      <c r="I47725" s="137" t="s">
        <v>74</v>
      </c>
    </row>
    <row r="47726" spans="9:9" x14ac:dyDescent="0.2">
      <c r="I47726" s="137" t="s">
        <v>74</v>
      </c>
    </row>
    <row r="47727" spans="9:9" x14ac:dyDescent="0.2">
      <c r="I47727" s="137" t="s">
        <v>74</v>
      </c>
    </row>
    <row r="47728" spans="9:9" x14ac:dyDescent="0.2">
      <c r="I47728" s="137" t="s">
        <v>74</v>
      </c>
    </row>
    <row r="47729" spans="9:9" x14ac:dyDescent="0.2">
      <c r="I47729" s="137" t="s">
        <v>74</v>
      </c>
    </row>
    <row r="47730" spans="9:9" x14ac:dyDescent="0.2">
      <c r="I47730" s="137" t="s">
        <v>74</v>
      </c>
    </row>
    <row r="47731" spans="9:9" x14ac:dyDescent="0.2">
      <c r="I47731" s="137" t="s">
        <v>74</v>
      </c>
    </row>
    <row r="47732" spans="9:9" x14ac:dyDescent="0.2">
      <c r="I47732" s="137" t="s">
        <v>74</v>
      </c>
    </row>
    <row r="47733" spans="9:9" x14ac:dyDescent="0.2">
      <c r="I47733" s="137" t="s">
        <v>74</v>
      </c>
    </row>
    <row r="47734" spans="9:9" x14ac:dyDescent="0.2">
      <c r="I47734" s="137" t="s">
        <v>74</v>
      </c>
    </row>
    <row r="47735" spans="9:9" x14ac:dyDescent="0.2">
      <c r="I47735" s="137" t="s">
        <v>74</v>
      </c>
    </row>
    <row r="47736" spans="9:9" x14ac:dyDescent="0.2">
      <c r="I47736" s="137" t="s">
        <v>74</v>
      </c>
    </row>
    <row r="47737" spans="9:9" x14ac:dyDescent="0.2">
      <c r="I47737" s="137" t="s">
        <v>74</v>
      </c>
    </row>
    <row r="47738" spans="9:9" x14ac:dyDescent="0.2">
      <c r="I47738" s="137" t="s">
        <v>74</v>
      </c>
    </row>
    <row r="47739" spans="9:9" x14ac:dyDescent="0.2">
      <c r="I47739" s="137" t="s">
        <v>74</v>
      </c>
    </row>
    <row r="47740" spans="9:9" x14ac:dyDescent="0.2">
      <c r="I47740" s="137" t="s">
        <v>74</v>
      </c>
    </row>
    <row r="47741" spans="9:9" x14ac:dyDescent="0.2">
      <c r="I47741" s="137" t="s">
        <v>74</v>
      </c>
    </row>
    <row r="47742" spans="9:9" x14ac:dyDescent="0.2">
      <c r="I47742" s="137" t="s">
        <v>74</v>
      </c>
    </row>
    <row r="47743" spans="9:9" x14ac:dyDescent="0.2">
      <c r="I47743" s="137" t="s">
        <v>74</v>
      </c>
    </row>
    <row r="47744" spans="9:9" x14ac:dyDescent="0.2">
      <c r="I47744" s="137" t="s">
        <v>74</v>
      </c>
    </row>
    <row r="47745" spans="9:9" x14ac:dyDescent="0.2">
      <c r="I47745" s="137" t="s">
        <v>74</v>
      </c>
    </row>
    <row r="47746" spans="9:9" x14ac:dyDescent="0.2">
      <c r="I47746" s="137" t="s">
        <v>74</v>
      </c>
    </row>
    <row r="47747" spans="9:9" x14ac:dyDescent="0.2">
      <c r="I47747" s="137" t="s">
        <v>74</v>
      </c>
    </row>
    <row r="47748" spans="9:9" x14ac:dyDescent="0.2">
      <c r="I47748" s="137" t="s">
        <v>74</v>
      </c>
    </row>
    <row r="47749" spans="9:9" x14ac:dyDescent="0.2">
      <c r="I47749" s="137" t="s">
        <v>74</v>
      </c>
    </row>
    <row r="47750" spans="9:9" x14ac:dyDescent="0.2">
      <c r="I47750" s="137" t="s">
        <v>74</v>
      </c>
    </row>
    <row r="47751" spans="9:9" x14ac:dyDescent="0.2">
      <c r="I47751" s="137" t="s">
        <v>74</v>
      </c>
    </row>
    <row r="47752" spans="9:9" x14ac:dyDescent="0.2">
      <c r="I47752" s="137" t="s">
        <v>74</v>
      </c>
    </row>
    <row r="47753" spans="9:9" x14ac:dyDescent="0.2">
      <c r="I47753" s="137" t="s">
        <v>74</v>
      </c>
    </row>
    <row r="47754" spans="9:9" x14ac:dyDescent="0.2">
      <c r="I47754" s="137" t="s">
        <v>74</v>
      </c>
    </row>
    <row r="47755" spans="9:9" x14ac:dyDescent="0.2">
      <c r="I47755" s="137" t="s">
        <v>74</v>
      </c>
    </row>
    <row r="47756" spans="9:9" x14ac:dyDescent="0.2">
      <c r="I47756" s="137" t="s">
        <v>74</v>
      </c>
    </row>
    <row r="47757" spans="9:9" x14ac:dyDescent="0.2">
      <c r="I47757" s="137" t="s">
        <v>74</v>
      </c>
    </row>
    <row r="47758" spans="9:9" x14ac:dyDescent="0.2">
      <c r="I47758" s="137" t="s">
        <v>74</v>
      </c>
    </row>
    <row r="47759" spans="9:9" x14ac:dyDescent="0.2">
      <c r="I47759" s="137" t="s">
        <v>74</v>
      </c>
    </row>
    <row r="47760" spans="9:9" x14ac:dyDescent="0.2">
      <c r="I47760" s="137" t="s">
        <v>74</v>
      </c>
    </row>
    <row r="47761" spans="9:9" x14ac:dyDescent="0.2">
      <c r="I47761" s="137" t="s">
        <v>74</v>
      </c>
    </row>
    <row r="47762" spans="9:9" x14ac:dyDescent="0.2">
      <c r="I47762" s="137" t="s">
        <v>74</v>
      </c>
    </row>
    <row r="47763" spans="9:9" x14ac:dyDescent="0.2">
      <c r="I47763" s="137" t="s">
        <v>74</v>
      </c>
    </row>
    <row r="47764" spans="9:9" x14ac:dyDescent="0.2">
      <c r="I47764" s="137" t="s">
        <v>74</v>
      </c>
    </row>
    <row r="47765" spans="9:9" x14ac:dyDescent="0.2">
      <c r="I47765" s="137" t="s">
        <v>74</v>
      </c>
    </row>
    <row r="47766" spans="9:9" x14ac:dyDescent="0.2">
      <c r="I47766" s="137" t="s">
        <v>74</v>
      </c>
    </row>
    <row r="47767" spans="9:9" x14ac:dyDescent="0.2">
      <c r="I47767" s="137" t="s">
        <v>74</v>
      </c>
    </row>
    <row r="47768" spans="9:9" x14ac:dyDescent="0.2">
      <c r="I47768" s="137" t="s">
        <v>74</v>
      </c>
    </row>
    <row r="47769" spans="9:9" x14ac:dyDescent="0.2">
      <c r="I47769" s="137" t="s">
        <v>74</v>
      </c>
    </row>
    <row r="47770" spans="9:9" x14ac:dyDescent="0.2">
      <c r="I47770" s="137" t="s">
        <v>74</v>
      </c>
    </row>
    <row r="47771" spans="9:9" x14ac:dyDescent="0.2">
      <c r="I47771" s="137" t="s">
        <v>74</v>
      </c>
    </row>
    <row r="47772" spans="9:9" x14ac:dyDescent="0.2">
      <c r="I47772" s="137" t="s">
        <v>74</v>
      </c>
    </row>
    <row r="47773" spans="9:9" x14ac:dyDescent="0.2">
      <c r="I47773" s="137" t="s">
        <v>74</v>
      </c>
    </row>
    <row r="47774" spans="9:9" x14ac:dyDescent="0.2">
      <c r="I47774" s="137" t="s">
        <v>74</v>
      </c>
    </row>
    <row r="47775" spans="9:9" x14ac:dyDescent="0.2">
      <c r="I47775" s="137" t="s">
        <v>74</v>
      </c>
    </row>
    <row r="47776" spans="9:9" x14ac:dyDescent="0.2">
      <c r="I47776" s="137" t="s">
        <v>74</v>
      </c>
    </row>
    <row r="47777" spans="9:9" x14ac:dyDescent="0.2">
      <c r="I47777" s="137" t="s">
        <v>74</v>
      </c>
    </row>
    <row r="47778" spans="9:9" x14ac:dyDescent="0.2">
      <c r="I47778" s="137" t="s">
        <v>74</v>
      </c>
    </row>
    <row r="47779" spans="9:9" x14ac:dyDescent="0.2">
      <c r="I47779" s="137" t="s">
        <v>74</v>
      </c>
    </row>
    <row r="47780" spans="9:9" x14ac:dyDescent="0.2">
      <c r="I47780" s="137" t="s">
        <v>74</v>
      </c>
    </row>
    <row r="47781" spans="9:9" x14ac:dyDescent="0.2">
      <c r="I47781" s="137" t="s">
        <v>74</v>
      </c>
    </row>
    <row r="47782" spans="9:9" x14ac:dyDescent="0.2">
      <c r="I47782" s="137" t="s">
        <v>74</v>
      </c>
    </row>
    <row r="47783" spans="9:9" x14ac:dyDescent="0.2">
      <c r="I47783" s="137" t="s">
        <v>74</v>
      </c>
    </row>
    <row r="47784" spans="9:9" x14ac:dyDescent="0.2">
      <c r="I47784" s="137" t="s">
        <v>74</v>
      </c>
    </row>
    <row r="47785" spans="9:9" x14ac:dyDescent="0.2">
      <c r="I47785" s="137" t="s">
        <v>74</v>
      </c>
    </row>
    <row r="47786" spans="9:9" x14ac:dyDescent="0.2">
      <c r="I47786" s="137" t="s">
        <v>74</v>
      </c>
    </row>
    <row r="47787" spans="9:9" x14ac:dyDescent="0.2">
      <c r="I47787" s="137" t="s">
        <v>74</v>
      </c>
    </row>
    <row r="47788" spans="9:9" x14ac:dyDescent="0.2">
      <c r="I47788" s="137" t="s">
        <v>74</v>
      </c>
    </row>
    <row r="47789" spans="9:9" x14ac:dyDescent="0.2">
      <c r="I47789" s="137" t="s">
        <v>74</v>
      </c>
    </row>
    <row r="47790" spans="9:9" x14ac:dyDescent="0.2">
      <c r="I47790" s="137" t="s">
        <v>74</v>
      </c>
    </row>
    <row r="47791" spans="9:9" x14ac:dyDescent="0.2">
      <c r="I47791" s="137" t="s">
        <v>74</v>
      </c>
    </row>
    <row r="47792" spans="9:9" x14ac:dyDescent="0.2">
      <c r="I47792" s="137" t="s">
        <v>74</v>
      </c>
    </row>
    <row r="47793" spans="9:9" x14ac:dyDescent="0.2">
      <c r="I47793" s="137" t="s">
        <v>74</v>
      </c>
    </row>
    <row r="47794" spans="9:9" x14ac:dyDescent="0.2">
      <c r="I47794" s="137" t="s">
        <v>74</v>
      </c>
    </row>
    <row r="47795" spans="9:9" x14ac:dyDescent="0.2">
      <c r="I47795" s="137" t="s">
        <v>74</v>
      </c>
    </row>
    <row r="47796" spans="9:9" x14ac:dyDescent="0.2">
      <c r="I47796" s="137" t="s">
        <v>74</v>
      </c>
    </row>
    <row r="47797" spans="9:9" x14ac:dyDescent="0.2">
      <c r="I47797" s="137" t="s">
        <v>74</v>
      </c>
    </row>
    <row r="47798" spans="9:9" x14ac:dyDescent="0.2">
      <c r="I47798" s="137" t="s">
        <v>74</v>
      </c>
    </row>
    <row r="47799" spans="9:9" x14ac:dyDescent="0.2">
      <c r="I47799" s="137" t="s">
        <v>74</v>
      </c>
    </row>
    <row r="47800" spans="9:9" x14ac:dyDescent="0.2">
      <c r="I47800" s="137" t="s">
        <v>74</v>
      </c>
    </row>
    <row r="47801" spans="9:9" x14ac:dyDescent="0.2">
      <c r="I47801" s="137" t="s">
        <v>74</v>
      </c>
    </row>
    <row r="47802" spans="9:9" x14ac:dyDescent="0.2">
      <c r="I47802" s="137" t="s">
        <v>74</v>
      </c>
    </row>
    <row r="47803" spans="9:9" x14ac:dyDescent="0.2">
      <c r="I47803" s="137" t="s">
        <v>74</v>
      </c>
    </row>
    <row r="47804" spans="9:9" x14ac:dyDescent="0.2">
      <c r="I47804" s="137" t="s">
        <v>74</v>
      </c>
    </row>
    <row r="47805" spans="9:9" x14ac:dyDescent="0.2">
      <c r="I47805" s="137" t="s">
        <v>74</v>
      </c>
    </row>
    <row r="47806" spans="9:9" x14ac:dyDescent="0.2">
      <c r="I47806" s="137" t="s">
        <v>74</v>
      </c>
    </row>
    <row r="47807" spans="9:9" x14ac:dyDescent="0.2">
      <c r="I47807" s="137" t="s">
        <v>74</v>
      </c>
    </row>
    <row r="47808" spans="9:9" x14ac:dyDescent="0.2">
      <c r="I47808" s="137" t="s">
        <v>74</v>
      </c>
    </row>
    <row r="47809" spans="9:9" x14ac:dyDescent="0.2">
      <c r="I47809" s="137" t="s">
        <v>74</v>
      </c>
    </row>
    <row r="47810" spans="9:9" x14ac:dyDescent="0.2">
      <c r="I47810" s="137" t="s">
        <v>74</v>
      </c>
    </row>
    <row r="47811" spans="9:9" x14ac:dyDescent="0.2">
      <c r="I47811" s="137" t="s">
        <v>74</v>
      </c>
    </row>
    <row r="47812" spans="9:9" x14ac:dyDescent="0.2">
      <c r="I47812" s="137" t="s">
        <v>74</v>
      </c>
    </row>
    <row r="47813" spans="9:9" x14ac:dyDescent="0.2">
      <c r="I47813" s="137" t="s">
        <v>74</v>
      </c>
    </row>
    <row r="47814" spans="9:9" x14ac:dyDescent="0.2">
      <c r="I47814" s="137" t="s">
        <v>74</v>
      </c>
    </row>
    <row r="47815" spans="9:9" x14ac:dyDescent="0.2">
      <c r="I47815" s="137" t="s">
        <v>74</v>
      </c>
    </row>
    <row r="47816" spans="9:9" x14ac:dyDescent="0.2">
      <c r="I47816" s="137" t="s">
        <v>74</v>
      </c>
    </row>
    <row r="47817" spans="9:9" x14ac:dyDescent="0.2">
      <c r="I47817" s="137" t="s">
        <v>74</v>
      </c>
    </row>
    <row r="47818" spans="9:9" x14ac:dyDescent="0.2">
      <c r="I47818" s="137" t="s">
        <v>74</v>
      </c>
    </row>
    <row r="47819" spans="9:9" x14ac:dyDescent="0.2">
      <c r="I47819" s="137" t="s">
        <v>74</v>
      </c>
    </row>
    <row r="47820" spans="9:9" x14ac:dyDescent="0.2">
      <c r="I47820" s="137" t="s">
        <v>74</v>
      </c>
    </row>
    <row r="47821" spans="9:9" x14ac:dyDescent="0.2">
      <c r="I47821" s="137" t="s">
        <v>74</v>
      </c>
    </row>
    <row r="47822" spans="9:9" x14ac:dyDescent="0.2">
      <c r="I47822" s="137" t="s">
        <v>74</v>
      </c>
    </row>
    <row r="47823" spans="9:9" x14ac:dyDescent="0.2">
      <c r="I47823" s="137" t="s">
        <v>74</v>
      </c>
    </row>
    <row r="47824" spans="9:9" x14ac:dyDescent="0.2">
      <c r="I47824" s="137" t="s">
        <v>74</v>
      </c>
    </row>
    <row r="47825" spans="9:9" x14ac:dyDescent="0.2">
      <c r="I47825" s="137" t="s">
        <v>74</v>
      </c>
    </row>
    <row r="47826" spans="9:9" x14ac:dyDescent="0.2">
      <c r="I47826" s="137" t="s">
        <v>74</v>
      </c>
    </row>
    <row r="47827" spans="9:9" x14ac:dyDescent="0.2">
      <c r="I47827" s="137" t="s">
        <v>74</v>
      </c>
    </row>
    <row r="47828" spans="9:9" x14ac:dyDescent="0.2">
      <c r="I47828" s="137" t="s">
        <v>74</v>
      </c>
    </row>
    <row r="47829" spans="9:9" x14ac:dyDescent="0.2">
      <c r="I47829" s="137" t="s">
        <v>74</v>
      </c>
    </row>
    <row r="47830" spans="9:9" x14ac:dyDescent="0.2">
      <c r="I47830" s="137" t="s">
        <v>74</v>
      </c>
    </row>
    <row r="47831" spans="9:9" x14ac:dyDescent="0.2">
      <c r="I47831" s="137" t="s">
        <v>74</v>
      </c>
    </row>
    <row r="47832" spans="9:9" x14ac:dyDescent="0.2">
      <c r="I47832" s="137" t="s">
        <v>74</v>
      </c>
    </row>
    <row r="47833" spans="9:9" x14ac:dyDescent="0.2">
      <c r="I47833" s="137" t="s">
        <v>74</v>
      </c>
    </row>
    <row r="47834" spans="9:9" x14ac:dyDescent="0.2">
      <c r="I47834" s="137" t="s">
        <v>74</v>
      </c>
    </row>
    <row r="47835" spans="9:9" x14ac:dyDescent="0.2">
      <c r="I47835" s="137" t="s">
        <v>74</v>
      </c>
    </row>
    <row r="47836" spans="9:9" x14ac:dyDescent="0.2">
      <c r="I47836" s="137" t="s">
        <v>74</v>
      </c>
    </row>
    <row r="47837" spans="9:9" x14ac:dyDescent="0.2">
      <c r="I47837" s="137" t="s">
        <v>74</v>
      </c>
    </row>
    <row r="47838" spans="9:9" x14ac:dyDescent="0.2">
      <c r="I47838" s="137" t="s">
        <v>74</v>
      </c>
    </row>
    <row r="47839" spans="9:9" x14ac:dyDescent="0.2">
      <c r="I47839" s="137" t="s">
        <v>74</v>
      </c>
    </row>
    <row r="47840" spans="9:9" x14ac:dyDescent="0.2">
      <c r="I47840" s="137" t="s">
        <v>74</v>
      </c>
    </row>
    <row r="47841" spans="9:9" x14ac:dyDescent="0.2">
      <c r="I47841" s="137" t="s">
        <v>74</v>
      </c>
    </row>
    <row r="47842" spans="9:9" x14ac:dyDescent="0.2">
      <c r="I47842" s="137" t="s">
        <v>74</v>
      </c>
    </row>
    <row r="47843" spans="9:9" x14ac:dyDescent="0.2">
      <c r="I47843" s="137" t="s">
        <v>74</v>
      </c>
    </row>
    <row r="47844" spans="9:9" x14ac:dyDescent="0.2">
      <c r="I47844" s="137" t="s">
        <v>74</v>
      </c>
    </row>
    <row r="47845" spans="9:9" x14ac:dyDescent="0.2">
      <c r="I47845" s="137" t="s">
        <v>74</v>
      </c>
    </row>
    <row r="47846" spans="9:9" x14ac:dyDescent="0.2">
      <c r="I47846" s="137" t="s">
        <v>74</v>
      </c>
    </row>
    <row r="47847" spans="9:9" x14ac:dyDescent="0.2">
      <c r="I47847" s="137" t="s">
        <v>74</v>
      </c>
    </row>
    <row r="47848" spans="9:9" x14ac:dyDescent="0.2">
      <c r="I47848" s="137" t="s">
        <v>74</v>
      </c>
    </row>
    <row r="47849" spans="9:9" x14ac:dyDescent="0.2">
      <c r="I47849" s="137" t="s">
        <v>74</v>
      </c>
    </row>
    <row r="47850" spans="9:9" x14ac:dyDescent="0.2">
      <c r="I47850" s="137" t="s">
        <v>74</v>
      </c>
    </row>
    <row r="47851" spans="9:9" x14ac:dyDescent="0.2">
      <c r="I47851" s="137" t="s">
        <v>74</v>
      </c>
    </row>
    <row r="47852" spans="9:9" x14ac:dyDescent="0.2">
      <c r="I47852" s="137" t="s">
        <v>74</v>
      </c>
    </row>
    <row r="47853" spans="9:9" x14ac:dyDescent="0.2">
      <c r="I47853" s="137" t="s">
        <v>74</v>
      </c>
    </row>
    <row r="47854" spans="9:9" x14ac:dyDescent="0.2">
      <c r="I47854" s="137" t="s">
        <v>74</v>
      </c>
    </row>
    <row r="47855" spans="9:9" x14ac:dyDescent="0.2">
      <c r="I47855" s="137" t="s">
        <v>74</v>
      </c>
    </row>
    <row r="47856" spans="9:9" x14ac:dyDescent="0.2">
      <c r="I47856" s="137" t="s">
        <v>74</v>
      </c>
    </row>
    <row r="47857" spans="9:9" x14ac:dyDescent="0.2">
      <c r="I47857" s="137" t="s">
        <v>74</v>
      </c>
    </row>
    <row r="47858" spans="9:9" x14ac:dyDescent="0.2">
      <c r="I47858" s="137" t="s">
        <v>74</v>
      </c>
    </row>
    <row r="47859" spans="9:9" x14ac:dyDescent="0.2">
      <c r="I47859" s="137" t="s">
        <v>74</v>
      </c>
    </row>
    <row r="47860" spans="9:9" x14ac:dyDescent="0.2">
      <c r="I47860" s="137" t="s">
        <v>74</v>
      </c>
    </row>
    <row r="47861" spans="9:9" x14ac:dyDescent="0.2">
      <c r="I47861" s="137" t="s">
        <v>74</v>
      </c>
    </row>
    <row r="47862" spans="9:9" x14ac:dyDescent="0.2">
      <c r="I47862" s="137" t="s">
        <v>74</v>
      </c>
    </row>
    <row r="47863" spans="9:9" x14ac:dyDescent="0.2">
      <c r="I47863" s="137" t="s">
        <v>74</v>
      </c>
    </row>
    <row r="47864" spans="9:9" x14ac:dyDescent="0.2">
      <c r="I47864" s="137" t="s">
        <v>74</v>
      </c>
    </row>
    <row r="47865" spans="9:9" x14ac:dyDescent="0.2">
      <c r="I47865" s="137" t="s">
        <v>74</v>
      </c>
    </row>
    <row r="47866" spans="9:9" x14ac:dyDescent="0.2">
      <c r="I47866" s="137" t="s">
        <v>74</v>
      </c>
    </row>
    <row r="47867" spans="9:9" x14ac:dyDescent="0.2">
      <c r="I47867" s="137" t="s">
        <v>74</v>
      </c>
    </row>
    <row r="47868" spans="9:9" x14ac:dyDescent="0.2">
      <c r="I47868" s="137" t="s">
        <v>74</v>
      </c>
    </row>
    <row r="47869" spans="9:9" x14ac:dyDescent="0.2">
      <c r="I47869" s="137" t="s">
        <v>74</v>
      </c>
    </row>
    <row r="47870" spans="9:9" x14ac:dyDescent="0.2">
      <c r="I47870" s="137" t="s">
        <v>74</v>
      </c>
    </row>
    <row r="47871" spans="9:9" x14ac:dyDescent="0.2">
      <c r="I47871" s="137" t="s">
        <v>74</v>
      </c>
    </row>
    <row r="47872" spans="9:9" x14ac:dyDescent="0.2">
      <c r="I47872" s="137" t="s">
        <v>74</v>
      </c>
    </row>
    <row r="47873" spans="9:9" x14ac:dyDescent="0.2">
      <c r="I47873" s="137" t="s">
        <v>74</v>
      </c>
    </row>
    <row r="47874" spans="9:9" x14ac:dyDescent="0.2">
      <c r="I47874" s="137" t="s">
        <v>74</v>
      </c>
    </row>
    <row r="47875" spans="9:9" x14ac:dyDescent="0.2">
      <c r="I47875" s="137" t="s">
        <v>74</v>
      </c>
    </row>
    <row r="47876" spans="9:9" x14ac:dyDescent="0.2">
      <c r="I47876" s="137" t="s">
        <v>74</v>
      </c>
    </row>
    <row r="47877" spans="9:9" x14ac:dyDescent="0.2">
      <c r="I47877" s="137" t="s">
        <v>74</v>
      </c>
    </row>
    <row r="47878" spans="9:9" x14ac:dyDescent="0.2">
      <c r="I47878" s="137" t="s">
        <v>74</v>
      </c>
    </row>
    <row r="47879" spans="9:9" x14ac:dyDescent="0.2">
      <c r="I47879" s="137" t="s">
        <v>74</v>
      </c>
    </row>
    <row r="47880" spans="9:9" x14ac:dyDescent="0.2">
      <c r="I47880" s="137" t="s">
        <v>74</v>
      </c>
    </row>
    <row r="47881" spans="9:9" x14ac:dyDescent="0.2">
      <c r="I47881" s="137" t="s">
        <v>74</v>
      </c>
    </row>
    <row r="47882" spans="9:9" x14ac:dyDescent="0.2">
      <c r="I47882" s="137" t="s">
        <v>74</v>
      </c>
    </row>
    <row r="47883" spans="9:9" x14ac:dyDescent="0.2">
      <c r="I47883" s="137" t="s">
        <v>74</v>
      </c>
    </row>
    <row r="47884" spans="9:9" x14ac:dyDescent="0.2">
      <c r="I47884" s="137" t="s">
        <v>74</v>
      </c>
    </row>
    <row r="47885" spans="9:9" x14ac:dyDescent="0.2">
      <c r="I47885" s="137" t="s">
        <v>74</v>
      </c>
    </row>
    <row r="47886" spans="9:9" x14ac:dyDescent="0.2">
      <c r="I47886" s="137" t="s">
        <v>74</v>
      </c>
    </row>
    <row r="47887" spans="9:9" x14ac:dyDescent="0.2">
      <c r="I47887" s="137" t="s">
        <v>74</v>
      </c>
    </row>
    <row r="47888" spans="9:9" x14ac:dyDescent="0.2">
      <c r="I47888" s="137" t="s">
        <v>74</v>
      </c>
    </row>
    <row r="47889" spans="9:9" x14ac:dyDescent="0.2">
      <c r="I47889" s="137" t="s">
        <v>74</v>
      </c>
    </row>
    <row r="47890" spans="9:9" x14ac:dyDescent="0.2">
      <c r="I47890" s="137" t="s">
        <v>74</v>
      </c>
    </row>
    <row r="47891" spans="9:9" x14ac:dyDescent="0.2">
      <c r="I47891" s="137" t="s">
        <v>74</v>
      </c>
    </row>
    <row r="47892" spans="9:9" x14ac:dyDescent="0.2">
      <c r="I47892" s="137" t="s">
        <v>74</v>
      </c>
    </row>
    <row r="47893" spans="9:9" x14ac:dyDescent="0.2">
      <c r="I47893" s="137" t="s">
        <v>74</v>
      </c>
    </row>
    <row r="47894" spans="9:9" x14ac:dyDescent="0.2">
      <c r="I47894" s="137" t="s">
        <v>74</v>
      </c>
    </row>
    <row r="47895" spans="9:9" x14ac:dyDescent="0.2">
      <c r="I47895" s="137" t="s">
        <v>74</v>
      </c>
    </row>
    <row r="47896" spans="9:9" x14ac:dyDescent="0.2">
      <c r="I47896" s="137" t="s">
        <v>74</v>
      </c>
    </row>
    <row r="47897" spans="9:9" x14ac:dyDescent="0.2">
      <c r="I47897" s="137" t="s">
        <v>74</v>
      </c>
    </row>
    <row r="47898" spans="9:9" x14ac:dyDescent="0.2">
      <c r="I47898" s="137" t="s">
        <v>74</v>
      </c>
    </row>
    <row r="47899" spans="9:9" x14ac:dyDescent="0.2">
      <c r="I47899" s="137" t="s">
        <v>74</v>
      </c>
    </row>
    <row r="47900" spans="9:9" x14ac:dyDescent="0.2">
      <c r="I47900" s="137" t="s">
        <v>74</v>
      </c>
    </row>
    <row r="47901" spans="9:9" x14ac:dyDescent="0.2">
      <c r="I47901" s="137" t="s">
        <v>74</v>
      </c>
    </row>
    <row r="47902" spans="9:9" x14ac:dyDescent="0.2">
      <c r="I47902" s="137" t="s">
        <v>74</v>
      </c>
    </row>
    <row r="47903" spans="9:9" x14ac:dyDescent="0.2">
      <c r="I47903" s="137" t="s">
        <v>74</v>
      </c>
    </row>
    <row r="47904" spans="9:9" x14ac:dyDescent="0.2">
      <c r="I47904" s="137" t="s">
        <v>74</v>
      </c>
    </row>
    <row r="47905" spans="9:9" x14ac:dyDescent="0.2">
      <c r="I47905" s="137" t="s">
        <v>74</v>
      </c>
    </row>
    <row r="47906" spans="9:9" x14ac:dyDescent="0.2">
      <c r="I47906" s="137" t="s">
        <v>74</v>
      </c>
    </row>
    <row r="47907" spans="9:9" x14ac:dyDescent="0.2">
      <c r="I47907" s="137" t="s">
        <v>74</v>
      </c>
    </row>
    <row r="47908" spans="9:9" x14ac:dyDescent="0.2">
      <c r="I47908" s="137" t="s">
        <v>74</v>
      </c>
    </row>
    <row r="47909" spans="9:9" x14ac:dyDescent="0.2">
      <c r="I47909" s="137" t="s">
        <v>74</v>
      </c>
    </row>
    <row r="47910" spans="9:9" x14ac:dyDescent="0.2">
      <c r="I47910" s="137" t="s">
        <v>74</v>
      </c>
    </row>
    <row r="47911" spans="9:9" x14ac:dyDescent="0.2">
      <c r="I47911" s="137" t="s">
        <v>74</v>
      </c>
    </row>
    <row r="47912" spans="9:9" x14ac:dyDescent="0.2">
      <c r="I47912" s="137" t="s">
        <v>74</v>
      </c>
    </row>
    <row r="47913" spans="9:9" x14ac:dyDescent="0.2">
      <c r="I47913" s="137" t="s">
        <v>74</v>
      </c>
    </row>
    <row r="47914" spans="9:9" x14ac:dyDescent="0.2">
      <c r="I47914" s="137" t="s">
        <v>74</v>
      </c>
    </row>
    <row r="47915" spans="9:9" x14ac:dyDescent="0.2">
      <c r="I47915" s="137" t="s">
        <v>74</v>
      </c>
    </row>
    <row r="47916" spans="9:9" x14ac:dyDescent="0.2">
      <c r="I47916" s="137" t="s">
        <v>74</v>
      </c>
    </row>
    <row r="47917" spans="9:9" x14ac:dyDescent="0.2">
      <c r="I47917" s="137" t="s">
        <v>74</v>
      </c>
    </row>
    <row r="47918" spans="9:9" x14ac:dyDescent="0.2">
      <c r="I47918" s="137" t="s">
        <v>74</v>
      </c>
    </row>
    <row r="47919" spans="9:9" x14ac:dyDescent="0.2">
      <c r="I47919" s="137" t="s">
        <v>74</v>
      </c>
    </row>
    <row r="47920" spans="9:9" x14ac:dyDescent="0.2">
      <c r="I47920" s="137" t="s">
        <v>74</v>
      </c>
    </row>
    <row r="47921" spans="9:9" x14ac:dyDescent="0.2">
      <c r="I47921" s="137" t="s">
        <v>74</v>
      </c>
    </row>
    <row r="47922" spans="9:9" x14ac:dyDescent="0.2">
      <c r="I47922" s="137" t="s">
        <v>74</v>
      </c>
    </row>
    <row r="47923" spans="9:9" x14ac:dyDescent="0.2">
      <c r="I47923" s="137" t="s">
        <v>74</v>
      </c>
    </row>
    <row r="47924" spans="9:9" x14ac:dyDescent="0.2">
      <c r="I47924" s="137" t="s">
        <v>74</v>
      </c>
    </row>
    <row r="47925" spans="9:9" x14ac:dyDescent="0.2">
      <c r="I47925" s="137" t="s">
        <v>74</v>
      </c>
    </row>
    <row r="47926" spans="9:9" x14ac:dyDescent="0.2">
      <c r="I47926" s="137" t="s">
        <v>74</v>
      </c>
    </row>
    <row r="47927" spans="9:9" x14ac:dyDescent="0.2">
      <c r="I47927" s="137" t="s">
        <v>74</v>
      </c>
    </row>
    <row r="47928" spans="9:9" x14ac:dyDescent="0.2">
      <c r="I47928" s="137" t="s">
        <v>74</v>
      </c>
    </row>
    <row r="47929" spans="9:9" x14ac:dyDescent="0.2">
      <c r="I47929" s="137" t="s">
        <v>74</v>
      </c>
    </row>
    <row r="47930" spans="9:9" x14ac:dyDescent="0.2">
      <c r="I47930" s="137" t="s">
        <v>74</v>
      </c>
    </row>
    <row r="47931" spans="9:9" x14ac:dyDescent="0.2">
      <c r="I47931" s="137" t="s">
        <v>74</v>
      </c>
    </row>
    <row r="47932" spans="9:9" x14ac:dyDescent="0.2">
      <c r="I47932" s="137" t="s">
        <v>74</v>
      </c>
    </row>
    <row r="47933" spans="9:9" x14ac:dyDescent="0.2">
      <c r="I47933" s="137" t="s">
        <v>74</v>
      </c>
    </row>
    <row r="47934" spans="9:9" x14ac:dyDescent="0.2">
      <c r="I47934" s="137" t="s">
        <v>74</v>
      </c>
    </row>
    <row r="47935" spans="9:9" x14ac:dyDescent="0.2">
      <c r="I47935" s="137" t="s">
        <v>74</v>
      </c>
    </row>
    <row r="47936" spans="9:9" x14ac:dyDescent="0.2">
      <c r="I47936" s="137" t="s">
        <v>74</v>
      </c>
    </row>
    <row r="47937" spans="9:9" x14ac:dyDescent="0.2">
      <c r="I47937" s="137" t="s">
        <v>74</v>
      </c>
    </row>
    <row r="47938" spans="9:9" x14ac:dyDescent="0.2">
      <c r="I47938" s="137" t="s">
        <v>74</v>
      </c>
    </row>
    <row r="47939" spans="9:9" x14ac:dyDescent="0.2">
      <c r="I47939" s="137" t="s">
        <v>74</v>
      </c>
    </row>
    <row r="47940" spans="9:9" x14ac:dyDescent="0.2">
      <c r="I47940" s="137" t="s">
        <v>74</v>
      </c>
    </row>
    <row r="47941" spans="9:9" x14ac:dyDescent="0.2">
      <c r="I47941" s="137" t="s">
        <v>74</v>
      </c>
    </row>
    <row r="47942" spans="9:9" x14ac:dyDescent="0.2">
      <c r="I47942" s="137" t="s">
        <v>74</v>
      </c>
    </row>
    <row r="47943" spans="9:9" x14ac:dyDescent="0.2">
      <c r="I47943" s="137" t="s">
        <v>74</v>
      </c>
    </row>
    <row r="47944" spans="9:9" x14ac:dyDescent="0.2">
      <c r="I47944" s="137" t="s">
        <v>74</v>
      </c>
    </row>
    <row r="47945" spans="9:9" x14ac:dyDescent="0.2">
      <c r="I47945" s="137" t="s">
        <v>74</v>
      </c>
    </row>
    <row r="47946" spans="9:9" x14ac:dyDescent="0.2">
      <c r="I47946" s="137" t="s">
        <v>74</v>
      </c>
    </row>
    <row r="47947" spans="9:9" x14ac:dyDescent="0.2">
      <c r="I47947" s="137" t="s">
        <v>74</v>
      </c>
    </row>
    <row r="47948" spans="9:9" x14ac:dyDescent="0.2">
      <c r="I47948" s="137" t="s">
        <v>74</v>
      </c>
    </row>
    <row r="47949" spans="9:9" x14ac:dyDescent="0.2">
      <c r="I47949" s="137" t="s">
        <v>74</v>
      </c>
    </row>
    <row r="47950" spans="9:9" x14ac:dyDescent="0.2">
      <c r="I47950" s="137" t="s">
        <v>74</v>
      </c>
    </row>
    <row r="47951" spans="9:9" x14ac:dyDescent="0.2">
      <c r="I47951" s="137" t="s">
        <v>74</v>
      </c>
    </row>
    <row r="47952" spans="9:9" x14ac:dyDescent="0.2">
      <c r="I47952" s="137" t="s">
        <v>74</v>
      </c>
    </row>
    <row r="47953" spans="9:9" x14ac:dyDescent="0.2">
      <c r="I47953" s="137" t="s">
        <v>74</v>
      </c>
    </row>
    <row r="47954" spans="9:9" x14ac:dyDescent="0.2">
      <c r="I47954" s="137" t="s">
        <v>74</v>
      </c>
    </row>
    <row r="47955" spans="9:9" x14ac:dyDescent="0.2">
      <c r="I47955" s="137" t="s">
        <v>74</v>
      </c>
    </row>
    <row r="47956" spans="9:9" x14ac:dyDescent="0.2">
      <c r="I47956" s="137" t="s">
        <v>74</v>
      </c>
    </row>
    <row r="47957" spans="9:9" x14ac:dyDescent="0.2">
      <c r="I47957" s="137" t="s">
        <v>74</v>
      </c>
    </row>
    <row r="47958" spans="9:9" x14ac:dyDescent="0.2">
      <c r="I47958" s="137" t="s">
        <v>74</v>
      </c>
    </row>
    <row r="47959" spans="9:9" x14ac:dyDescent="0.2">
      <c r="I47959" s="137" t="s">
        <v>74</v>
      </c>
    </row>
    <row r="47960" spans="9:9" x14ac:dyDescent="0.2">
      <c r="I47960" s="137" t="s">
        <v>74</v>
      </c>
    </row>
    <row r="47961" spans="9:9" x14ac:dyDescent="0.2">
      <c r="I47961" s="137" t="s">
        <v>74</v>
      </c>
    </row>
    <row r="47962" spans="9:9" x14ac:dyDescent="0.2">
      <c r="I47962" s="137" t="s">
        <v>74</v>
      </c>
    </row>
    <row r="47963" spans="9:9" x14ac:dyDescent="0.2">
      <c r="I47963" s="137" t="s">
        <v>74</v>
      </c>
    </row>
    <row r="47964" spans="9:9" x14ac:dyDescent="0.2">
      <c r="I47964" s="137" t="s">
        <v>74</v>
      </c>
    </row>
    <row r="47965" spans="9:9" x14ac:dyDescent="0.2">
      <c r="I47965" s="137" t="s">
        <v>74</v>
      </c>
    </row>
    <row r="47966" spans="9:9" x14ac:dyDescent="0.2">
      <c r="I47966" s="137" t="s">
        <v>74</v>
      </c>
    </row>
    <row r="47967" spans="9:9" x14ac:dyDescent="0.2">
      <c r="I47967" s="137" t="s">
        <v>74</v>
      </c>
    </row>
    <row r="47968" spans="9:9" x14ac:dyDescent="0.2">
      <c r="I47968" s="137" t="s">
        <v>74</v>
      </c>
    </row>
    <row r="47969" spans="9:9" x14ac:dyDescent="0.2">
      <c r="I47969" s="137" t="s">
        <v>74</v>
      </c>
    </row>
    <row r="47970" spans="9:9" x14ac:dyDescent="0.2">
      <c r="I47970" s="137" t="s">
        <v>74</v>
      </c>
    </row>
    <row r="47971" spans="9:9" x14ac:dyDescent="0.2">
      <c r="I47971" s="137" t="s">
        <v>74</v>
      </c>
    </row>
    <row r="47972" spans="9:9" x14ac:dyDescent="0.2">
      <c r="I47972" s="137" t="s">
        <v>74</v>
      </c>
    </row>
    <row r="47973" spans="9:9" x14ac:dyDescent="0.2">
      <c r="I47973" s="137" t="s">
        <v>74</v>
      </c>
    </row>
    <row r="47974" spans="9:9" x14ac:dyDescent="0.2">
      <c r="I47974" s="137" t="s">
        <v>74</v>
      </c>
    </row>
    <row r="47975" spans="9:9" x14ac:dyDescent="0.2">
      <c r="I47975" s="137" t="s">
        <v>74</v>
      </c>
    </row>
    <row r="47976" spans="9:9" x14ac:dyDescent="0.2">
      <c r="I47976" s="137" t="s">
        <v>74</v>
      </c>
    </row>
    <row r="47977" spans="9:9" x14ac:dyDescent="0.2">
      <c r="I47977" s="137" t="s">
        <v>74</v>
      </c>
    </row>
    <row r="47978" spans="9:9" x14ac:dyDescent="0.2">
      <c r="I47978" s="137" t="s">
        <v>74</v>
      </c>
    </row>
    <row r="47979" spans="9:9" x14ac:dyDescent="0.2">
      <c r="I47979" s="137" t="s">
        <v>74</v>
      </c>
    </row>
    <row r="47980" spans="9:9" x14ac:dyDescent="0.2">
      <c r="I47980" s="137" t="s">
        <v>74</v>
      </c>
    </row>
    <row r="47981" spans="9:9" x14ac:dyDescent="0.2">
      <c r="I47981" s="137" t="s">
        <v>74</v>
      </c>
    </row>
    <row r="47982" spans="9:9" x14ac:dyDescent="0.2">
      <c r="I47982" s="137" t="s">
        <v>74</v>
      </c>
    </row>
    <row r="47983" spans="9:9" x14ac:dyDescent="0.2">
      <c r="I47983" s="137" t="s">
        <v>74</v>
      </c>
    </row>
    <row r="47984" spans="9:9" x14ac:dyDescent="0.2">
      <c r="I47984" s="137" t="s">
        <v>74</v>
      </c>
    </row>
    <row r="47985" spans="9:9" x14ac:dyDescent="0.2">
      <c r="I47985" s="137" t="s">
        <v>74</v>
      </c>
    </row>
    <row r="47986" spans="9:9" x14ac:dyDescent="0.2">
      <c r="I47986" s="137" t="s">
        <v>74</v>
      </c>
    </row>
    <row r="47987" spans="9:9" x14ac:dyDescent="0.2">
      <c r="I47987" s="137" t="s">
        <v>74</v>
      </c>
    </row>
    <row r="47988" spans="9:9" x14ac:dyDescent="0.2">
      <c r="I47988" s="137" t="s">
        <v>74</v>
      </c>
    </row>
    <row r="47989" spans="9:9" x14ac:dyDescent="0.2">
      <c r="I47989" s="137" t="s">
        <v>74</v>
      </c>
    </row>
    <row r="47990" spans="9:9" x14ac:dyDescent="0.2">
      <c r="I47990" s="137" t="s">
        <v>74</v>
      </c>
    </row>
    <row r="47991" spans="9:9" x14ac:dyDescent="0.2">
      <c r="I47991" s="137" t="s">
        <v>74</v>
      </c>
    </row>
    <row r="47992" spans="9:9" x14ac:dyDescent="0.2">
      <c r="I47992" s="137" t="s">
        <v>74</v>
      </c>
    </row>
    <row r="47993" spans="9:9" x14ac:dyDescent="0.2">
      <c r="I47993" s="137" t="s">
        <v>74</v>
      </c>
    </row>
    <row r="47994" spans="9:9" x14ac:dyDescent="0.2">
      <c r="I47994" s="137" t="s">
        <v>74</v>
      </c>
    </row>
    <row r="47995" spans="9:9" x14ac:dyDescent="0.2">
      <c r="I47995" s="137" t="s">
        <v>74</v>
      </c>
    </row>
    <row r="47996" spans="9:9" x14ac:dyDescent="0.2">
      <c r="I47996" s="137" t="s">
        <v>74</v>
      </c>
    </row>
    <row r="47997" spans="9:9" x14ac:dyDescent="0.2">
      <c r="I47997" s="137" t="s">
        <v>74</v>
      </c>
    </row>
    <row r="47998" spans="9:9" x14ac:dyDescent="0.2">
      <c r="I47998" s="137" t="s">
        <v>74</v>
      </c>
    </row>
    <row r="47999" spans="9:9" x14ac:dyDescent="0.2">
      <c r="I47999" s="137" t="s">
        <v>74</v>
      </c>
    </row>
    <row r="48000" spans="9:9" x14ac:dyDescent="0.2">
      <c r="I48000" s="137" t="s">
        <v>74</v>
      </c>
    </row>
    <row r="48001" spans="9:9" x14ac:dyDescent="0.2">
      <c r="I48001" s="137" t="s">
        <v>74</v>
      </c>
    </row>
    <row r="48002" spans="9:9" x14ac:dyDescent="0.2">
      <c r="I48002" s="137" t="s">
        <v>74</v>
      </c>
    </row>
    <row r="48003" spans="9:9" x14ac:dyDescent="0.2">
      <c r="I48003" s="137" t="s">
        <v>74</v>
      </c>
    </row>
    <row r="48004" spans="9:9" x14ac:dyDescent="0.2">
      <c r="I48004" s="137" t="s">
        <v>74</v>
      </c>
    </row>
    <row r="48005" spans="9:9" x14ac:dyDescent="0.2">
      <c r="I48005" s="137" t="s">
        <v>74</v>
      </c>
    </row>
    <row r="48006" spans="9:9" x14ac:dyDescent="0.2">
      <c r="I48006" s="137" t="s">
        <v>74</v>
      </c>
    </row>
    <row r="48007" spans="9:9" x14ac:dyDescent="0.2">
      <c r="I48007" s="137" t="s">
        <v>74</v>
      </c>
    </row>
    <row r="48008" spans="9:9" x14ac:dyDescent="0.2">
      <c r="I48008" s="137" t="s">
        <v>74</v>
      </c>
    </row>
    <row r="48009" spans="9:9" x14ac:dyDescent="0.2">
      <c r="I48009" s="137" t="s">
        <v>74</v>
      </c>
    </row>
    <row r="48010" spans="9:9" x14ac:dyDescent="0.2">
      <c r="I48010" s="137" t="s">
        <v>74</v>
      </c>
    </row>
    <row r="48011" spans="9:9" x14ac:dyDescent="0.2">
      <c r="I48011" s="137" t="s">
        <v>74</v>
      </c>
    </row>
    <row r="48012" spans="9:9" x14ac:dyDescent="0.2">
      <c r="I48012" s="137" t="s">
        <v>74</v>
      </c>
    </row>
    <row r="48013" spans="9:9" x14ac:dyDescent="0.2">
      <c r="I48013" s="137" t="s">
        <v>74</v>
      </c>
    </row>
    <row r="48014" spans="9:9" x14ac:dyDescent="0.2">
      <c r="I48014" s="137" t="s">
        <v>74</v>
      </c>
    </row>
    <row r="48015" spans="9:9" x14ac:dyDescent="0.2">
      <c r="I48015" s="137" t="s">
        <v>74</v>
      </c>
    </row>
    <row r="48016" spans="9:9" x14ac:dyDescent="0.2">
      <c r="I48016" s="137" t="s">
        <v>74</v>
      </c>
    </row>
    <row r="48017" spans="9:9" x14ac:dyDescent="0.2">
      <c r="I48017" s="137" t="s">
        <v>74</v>
      </c>
    </row>
    <row r="48018" spans="9:9" x14ac:dyDescent="0.2">
      <c r="I48018" s="137" t="s">
        <v>74</v>
      </c>
    </row>
    <row r="48019" spans="9:9" x14ac:dyDescent="0.2">
      <c r="I48019" s="137" t="s">
        <v>74</v>
      </c>
    </row>
    <row r="48020" spans="9:9" x14ac:dyDescent="0.2">
      <c r="I48020" s="137" t="s">
        <v>74</v>
      </c>
    </row>
    <row r="48021" spans="9:9" x14ac:dyDescent="0.2">
      <c r="I48021" s="137" t="s">
        <v>74</v>
      </c>
    </row>
    <row r="48022" spans="9:9" x14ac:dyDescent="0.2">
      <c r="I48022" s="137" t="s">
        <v>74</v>
      </c>
    </row>
    <row r="48023" spans="9:9" x14ac:dyDescent="0.2">
      <c r="I48023" s="137" t="s">
        <v>74</v>
      </c>
    </row>
    <row r="48024" spans="9:9" x14ac:dyDescent="0.2">
      <c r="I48024" s="137" t="s">
        <v>74</v>
      </c>
    </row>
    <row r="48025" spans="9:9" x14ac:dyDescent="0.2">
      <c r="I48025" s="137" t="s">
        <v>74</v>
      </c>
    </row>
    <row r="48026" spans="9:9" x14ac:dyDescent="0.2">
      <c r="I48026" s="137" t="s">
        <v>74</v>
      </c>
    </row>
    <row r="48027" spans="9:9" x14ac:dyDescent="0.2">
      <c r="I48027" s="137" t="s">
        <v>74</v>
      </c>
    </row>
    <row r="48028" spans="9:9" x14ac:dyDescent="0.2">
      <c r="I48028" s="137" t="s">
        <v>74</v>
      </c>
    </row>
    <row r="48029" spans="9:9" x14ac:dyDescent="0.2">
      <c r="I48029" s="137" t="s">
        <v>74</v>
      </c>
    </row>
    <row r="48030" spans="9:9" x14ac:dyDescent="0.2">
      <c r="I48030" s="137" t="s">
        <v>74</v>
      </c>
    </row>
    <row r="48031" spans="9:9" x14ac:dyDescent="0.2">
      <c r="I48031" s="137" t="s">
        <v>74</v>
      </c>
    </row>
    <row r="48032" spans="9:9" x14ac:dyDescent="0.2">
      <c r="I48032" s="137" t="s">
        <v>74</v>
      </c>
    </row>
    <row r="48033" spans="9:9" x14ac:dyDescent="0.2">
      <c r="I48033" s="137" t="s">
        <v>74</v>
      </c>
    </row>
    <row r="48034" spans="9:9" x14ac:dyDescent="0.2">
      <c r="I48034" s="137" t="s">
        <v>74</v>
      </c>
    </row>
    <row r="48035" spans="9:9" x14ac:dyDescent="0.2">
      <c r="I48035" s="137" t="s">
        <v>74</v>
      </c>
    </row>
    <row r="48036" spans="9:9" x14ac:dyDescent="0.2">
      <c r="I48036" s="137" t="s">
        <v>74</v>
      </c>
    </row>
    <row r="48037" spans="9:9" x14ac:dyDescent="0.2">
      <c r="I48037" s="137" t="s">
        <v>74</v>
      </c>
    </row>
    <row r="48038" spans="9:9" x14ac:dyDescent="0.2">
      <c r="I48038" s="137" t="s">
        <v>74</v>
      </c>
    </row>
    <row r="48039" spans="9:9" x14ac:dyDescent="0.2">
      <c r="I48039" s="137" t="s">
        <v>74</v>
      </c>
    </row>
    <row r="48040" spans="9:9" x14ac:dyDescent="0.2">
      <c r="I48040" s="137" t="s">
        <v>74</v>
      </c>
    </row>
    <row r="48041" spans="9:9" x14ac:dyDescent="0.2">
      <c r="I48041" s="137" t="s">
        <v>74</v>
      </c>
    </row>
    <row r="48042" spans="9:9" x14ac:dyDescent="0.2">
      <c r="I48042" s="137" t="s">
        <v>74</v>
      </c>
    </row>
    <row r="48043" spans="9:9" x14ac:dyDescent="0.2">
      <c r="I48043" s="137" t="s">
        <v>74</v>
      </c>
    </row>
    <row r="48044" spans="9:9" x14ac:dyDescent="0.2">
      <c r="I48044" s="137" t="s">
        <v>74</v>
      </c>
    </row>
    <row r="48045" spans="9:9" x14ac:dyDescent="0.2">
      <c r="I48045" s="137" t="s">
        <v>74</v>
      </c>
    </row>
    <row r="48046" spans="9:9" x14ac:dyDescent="0.2">
      <c r="I48046" s="137" t="s">
        <v>74</v>
      </c>
    </row>
    <row r="48047" spans="9:9" x14ac:dyDescent="0.2">
      <c r="I48047" s="137" t="s">
        <v>74</v>
      </c>
    </row>
    <row r="48048" spans="9:9" x14ac:dyDescent="0.2">
      <c r="I48048" s="137" t="s">
        <v>74</v>
      </c>
    </row>
    <row r="48049" spans="9:9" x14ac:dyDescent="0.2">
      <c r="I48049" s="137" t="s">
        <v>74</v>
      </c>
    </row>
    <row r="48050" spans="9:9" x14ac:dyDescent="0.2">
      <c r="I48050" s="137" t="s">
        <v>74</v>
      </c>
    </row>
    <row r="48051" spans="9:9" x14ac:dyDescent="0.2">
      <c r="I48051" s="137" t="s">
        <v>74</v>
      </c>
    </row>
    <row r="48052" spans="9:9" x14ac:dyDescent="0.2">
      <c r="I48052" s="137" t="s">
        <v>74</v>
      </c>
    </row>
    <row r="48053" spans="9:9" x14ac:dyDescent="0.2">
      <c r="I48053" s="137" t="s">
        <v>74</v>
      </c>
    </row>
    <row r="48054" spans="9:9" x14ac:dyDescent="0.2">
      <c r="I48054" s="137" t="s">
        <v>74</v>
      </c>
    </row>
    <row r="48055" spans="9:9" x14ac:dyDescent="0.2">
      <c r="I48055" s="137" t="s">
        <v>74</v>
      </c>
    </row>
    <row r="48056" spans="9:9" x14ac:dyDescent="0.2">
      <c r="I48056" s="137" t="s">
        <v>74</v>
      </c>
    </row>
    <row r="48057" spans="9:9" x14ac:dyDescent="0.2">
      <c r="I48057" s="137" t="s">
        <v>74</v>
      </c>
    </row>
    <row r="48058" spans="9:9" x14ac:dyDescent="0.2">
      <c r="I48058" s="137" t="s">
        <v>74</v>
      </c>
    </row>
    <row r="48059" spans="9:9" x14ac:dyDescent="0.2">
      <c r="I48059" s="137" t="s">
        <v>74</v>
      </c>
    </row>
    <row r="48060" spans="9:9" x14ac:dyDescent="0.2">
      <c r="I48060" s="137" t="s">
        <v>74</v>
      </c>
    </row>
    <row r="48061" spans="9:9" x14ac:dyDescent="0.2">
      <c r="I48061" s="137" t="s">
        <v>74</v>
      </c>
    </row>
    <row r="48062" spans="9:9" x14ac:dyDescent="0.2">
      <c r="I48062" s="137" t="s">
        <v>74</v>
      </c>
    </row>
    <row r="48063" spans="9:9" x14ac:dyDescent="0.2">
      <c r="I48063" s="137" t="s">
        <v>74</v>
      </c>
    </row>
    <row r="48064" spans="9:9" x14ac:dyDescent="0.2">
      <c r="I48064" s="137" t="s">
        <v>74</v>
      </c>
    </row>
    <row r="48065" spans="9:9" x14ac:dyDescent="0.2">
      <c r="I48065" s="137" t="s">
        <v>74</v>
      </c>
    </row>
    <row r="48066" spans="9:9" x14ac:dyDescent="0.2">
      <c r="I48066" s="137" t="s">
        <v>74</v>
      </c>
    </row>
    <row r="48067" spans="9:9" x14ac:dyDescent="0.2">
      <c r="I48067" s="137" t="s">
        <v>74</v>
      </c>
    </row>
    <row r="48068" spans="9:9" x14ac:dyDescent="0.2">
      <c r="I48068" s="137" t="s">
        <v>74</v>
      </c>
    </row>
    <row r="48069" spans="9:9" x14ac:dyDescent="0.2">
      <c r="I48069" s="137" t="s">
        <v>74</v>
      </c>
    </row>
    <row r="48070" spans="9:9" x14ac:dyDescent="0.2">
      <c r="I48070" s="137" t="s">
        <v>74</v>
      </c>
    </row>
    <row r="48071" spans="9:9" x14ac:dyDescent="0.2">
      <c r="I48071" s="137" t="s">
        <v>74</v>
      </c>
    </row>
    <row r="48072" spans="9:9" x14ac:dyDescent="0.2">
      <c r="I48072" s="137" t="s">
        <v>74</v>
      </c>
    </row>
    <row r="48073" spans="9:9" x14ac:dyDescent="0.2">
      <c r="I48073" s="137" t="s">
        <v>74</v>
      </c>
    </row>
    <row r="48074" spans="9:9" x14ac:dyDescent="0.2">
      <c r="I48074" s="137" t="s">
        <v>74</v>
      </c>
    </row>
    <row r="48075" spans="9:9" x14ac:dyDescent="0.2">
      <c r="I48075" s="137" t="s">
        <v>74</v>
      </c>
    </row>
    <row r="48076" spans="9:9" x14ac:dyDescent="0.2">
      <c r="I48076" s="137" t="s">
        <v>74</v>
      </c>
    </row>
    <row r="48077" spans="9:9" x14ac:dyDescent="0.2">
      <c r="I48077" s="137" t="s">
        <v>74</v>
      </c>
    </row>
    <row r="48078" spans="9:9" x14ac:dyDescent="0.2">
      <c r="I48078" s="137" t="s">
        <v>74</v>
      </c>
    </row>
    <row r="48079" spans="9:9" x14ac:dyDescent="0.2">
      <c r="I48079" s="137" t="s">
        <v>74</v>
      </c>
    </row>
    <row r="48080" spans="9:9" x14ac:dyDescent="0.2">
      <c r="I48080" s="137" t="s">
        <v>74</v>
      </c>
    </row>
    <row r="48081" spans="9:9" x14ac:dyDescent="0.2">
      <c r="I48081" s="137" t="s">
        <v>74</v>
      </c>
    </row>
    <row r="48082" spans="9:9" x14ac:dyDescent="0.2">
      <c r="I48082" s="137" t="s">
        <v>74</v>
      </c>
    </row>
    <row r="48083" spans="9:9" x14ac:dyDescent="0.2">
      <c r="I48083" s="137" t="s">
        <v>74</v>
      </c>
    </row>
    <row r="48084" spans="9:9" x14ac:dyDescent="0.2">
      <c r="I48084" s="137" t="s">
        <v>74</v>
      </c>
    </row>
    <row r="48085" spans="9:9" x14ac:dyDescent="0.2">
      <c r="I48085" s="137" t="s">
        <v>74</v>
      </c>
    </row>
    <row r="48086" spans="9:9" x14ac:dyDescent="0.2">
      <c r="I48086" s="137" t="s">
        <v>74</v>
      </c>
    </row>
    <row r="48087" spans="9:9" x14ac:dyDescent="0.2">
      <c r="I48087" s="137" t="s">
        <v>74</v>
      </c>
    </row>
    <row r="48088" spans="9:9" x14ac:dyDescent="0.2">
      <c r="I48088" s="137" t="s">
        <v>74</v>
      </c>
    </row>
    <row r="48089" spans="9:9" x14ac:dyDescent="0.2">
      <c r="I48089" s="137" t="s">
        <v>74</v>
      </c>
    </row>
    <row r="48090" spans="9:9" x14ac:dyDescent="0.2">
      <c r="I48090" s="137" t="s">
        <v>74</v>
      </c>
    </row>
    <row r="48091" spans="9:9" x14ac:dyDescent="0.2">
      <c r="I48091" s="137" t="s">
        <v>74</v>
      </c>
    </row>
    <row r="48092" spans="9:9" x14ac:dyDescent="0.2">
      <c r="I48092" s="137" t="s">
        <v>74</v>
      </c>
    </row>
    <row r="48093" spans="9:9" x14ac:dyDescent="0.2">
      <c r="I48093" s="137" t="s">
        <v>74</v>
      </c>
    </row>
    <row r="48094" spans="9:9" x14ac:dyDescent="0.2">
      <c r="I48094" s="137" t="s">
        <v>74</v>
      </c>
    </row>
    <row r="48095" spans="9:9" x14ac:dyDescent="0.2">
      <c r="I48095" s="137" t="s">
        <v>74</v>
      </c>
    </row>
    <row r="48096" spans="9:9" x14ac:dyDescent="0.2">
      <c r="I48096" s="137" t="s">
        <v>74</v>
      </c>
    </row>
    <row r="48097" spans="9:9" x14ac:dyDescent="0.2">
      <c r="I48097" s="137" t="s">
        <v>74</v>
      </c>
    </row>
    <row r="48098" spans="9:9" x14ac:dyDescent="0.2">
      <c r="I48098" s="137" t="s">
        <v>74</v>
      </c>
    </row>
    <row r="48099" spans="9:9" x14ac:dyDescent="0.2">
      <c r="I48099" s="137" t="s">
        <v>74</v>
      </c>
    </row>
    <row r="48100" spans="9:9" x14ac:dyDescent="0.2">
      <c r="I48100" s="137" t="s">
        <v>74</v>
      </c>
    </row>
    <row r="48101" spans="9:9" x14ac:dyDescent="0.2">
      <c r="I48101" s="137" t="s">
        <v>74</v>
      </c>
    </row>
    <row r="48102" spans="9:9" x14ac:dyDescent="0.2">
      <c r="I48102" s="137" t="s">
        <v>74</v>
      </c>
    </row>
    <row r="48103" spans="9:9" x14ac:dyDescent="0.2">
      <c r="I48103" s="137" t="s">
        <v>74</v>
      </c>
    </row>
    <row r="48104" spans="9:9" x14ac:dyDescent="0.2">
      <c r="I48104" s="137" t="s">
        <v>74</v>
      </c>
    </row>
    <row r="48105" spans="9:9" x14ac:dyDescent="0.2">
      <c r="I48105" s="137" t="s">
        <v>74</v>
      </c>
    </row>
    <row r="48106" spans="9:9" x14ac:dyDescent="0.2">
      <c r="I48106" s="137" t="s">
        <v>74</v>
      </c>
    </row>
    <row r="48107" spans="9:9" x14ac:dyDescent="0.2">
      <c r="I48107" s="137" t="s">
        <v>74</v>
      </c>
    </row>
    <row r="48108" spans="9:9" x14ac:dyDescent="0.2">
      <c r="I48108" s="137" t="s">
        <v>74</v>
      </c>
    </row>
    <row r="48109" spans="9:9" x14ac:dyDescent="0.2">
      <c r="I48109" s="137" t="s">
        <v>74</v>
      </c>
    </row>
    <row r="48110" spans="9:9" x14ac:dyDescent="0.2">
      <c r="I48110" s="137" t="s">
        <v>74</v>
      </c>
    </row>
    <row r="48111" spans="9:9" x14ac:dyDescent="0.2">
      <c r="I48111" s="137" t="s">
        <v>74</v>
      </c>
    </row>
    <row r="48112" spans="9:9" x14ac:dyDescent="0.2">
      <c r="I48112" s="137" t="s">
        <v>74</v>
      </c>
    </row>
    <row r="48113" spans="9:9" x14ac:dyDescent="0.2">
      <c r="I48113" s="137" t="s">
        <v>74</v>
      </c>
    </row>
    <row r="48114" spans="9:9" x14ac:dyDescent="0.2">
      <c r="I48114" s="137" t="s">
        <v>74</v>
      </c>
    </row>
    <row r="48115" spans="9:9" x14ac:dyDescent="0.2">
      <c r="I48115" s="137" t="s">
        <v>74</v>
      </c>
    </row>
    <row r="48116" spans="9:9" x14ac:dyDescent="0.2">
      <c r="I48116" s="137" t="s">
        <v>74</v>
      </c>
    </row>
    <row r="48117" spans="9:9" x14ac:dyDescent="0.2">
      <c r="I48117" s="137" t="s">
        <v>74</v>
      </c>
    </row>
    <row r="48118" spans="9:9" x14ac:dyDescent="0.2">
      <c r="I48118" s="137" t="s">
        <v>74</v>
      </c>
    </row>
    <row r="48119" spans="9:9" x14ac:dyDescent="0.2">
      <c r="I48119" s="137" t="s">
        <v>74</v>
      </c>
    </row>
    <row r="48120" spans="9:9" x14ac:dyDescent="0.2">
      <c r="I48120" s="137" t="s">
        <v>74</v>
      </c>
    </row>
    <row r="48121" spans="9:9" x14ac:dyDescent="0.2">
      <c r="I48121" s="137" t="s">
        <v>74</v>
      </c>
    </row>
    <row r="48122" spans="9:9" x14ac:dyDescent="0.2">
      <c r="I48122" s="137" t="s">
        <v>74</v>
      </c>
    </row>
    <row r="48123" spans="9:9" x14ac:dyDescent="0.2">
      <c r="I48123" s="137" t="s">
        <v>74</v>
      </c>
    </row>
    <row r="48124" spans="9:9" x14ac:dyDescent="0.2">
      <c r="I48124" s="137" t="s">
        <v>74</v>
      </c>
    </row>
    <row r="48125" spans="9:9" x14ac:dyDescent="0.2">
      <c r="I48125" s="137" t="s">
        <v>74</v>
      </c>
    </row>
    <row r="48126" spans="9:9" x14ac:dyDescent="0.2">
      <c r="I48126" s="137" t="s">
        <v>74</v>
      </c>
    </row>
    <row r="48127" spans="9:9" x14ac:dyDescent="0.2">
      <c r="I48127" s="137" t="s">
        <v>74</v>
      </c>
    </row>
    <row r="48128" spans="9:9" x14ac:dyDescent="0.2">
      <c r="I48128" s="137" t="s">
        <v>74</v>
      </c>
    </row>
    <row r="48129" spans="9:9" x14ac:dyDescent="0.2">
      <c r="I48129" s="137" t="s">
        <v>74</v>
      </c>
    </row>
    <row r="48130" spans="9:9" x14ac:dyDescent="0.2">
      <c r="I48130" s="137" t="s">
        <v>74</v>
      </c>
    </row>
    <row r="48131" spans="9:9" x14ac:dyDescent="0.2">
      <c r="I48131" s="137" t="s">
        <v>74</v>
      </c>
    </row>
    <row r="48132" spans="9:9" x14ac:dyDescent="0.2">
      <c r="I48132" s="137" t="s">
        <v>74</v>
      </c>
    </row>
    <row r="48133" spans="9:9" x14ac:dyDescent="0.2">
      <c r="I48133" s="137" t="s">
        <v>74</v>
      </c>
    </row>
    <row r="48134" spans="9:9" x14ac:dyDescent="0.2">
      <c r="I48134" s="137" t="s">
        <v>74</v>
      </c>
    </row>
    <row r="48135" spans="9:9" x14ac:dyDescent="0.2">
      <c r="I48135" s="137" t="s">
        <v>74</v>
      </c>
    </row>
    <row r="48136" spans="9:9" x14ac:dyDescent="0.2">
      <c r="I48136" s="137" t="s">
        <v>74</v>
      </c>
    </row>
    <row r="48137" spans="9:9" x14ac:dyDescent="0.2">
      <c r="I48137" s="137" t="s">
        <v>74</v>
      </c>
    </row>
    <row r="48138" spans="9:9" x14ac:dyDescent="0.2">
      <c r="I48138" s="137" t="s">
        <v>74</v>
      </c>
    </row>
    <row r="48139" spans="9:9" x14ac:dyDescent="0.2">
      <c r="I48139" s="137" t="s">
        <v>74</v>
      </c>
    </row>
    <row r="48140" spans="9:9" x14ac:dyDescent="0.2">
      <c r="I48140" s="137" t="s">
        <v>74</v>
      </c>
    </row>
    <row r="48141" spans="9:9" x14ac:dyDescent="0.2">
      <c r="I48141" s="137" t="s">
        <v>74</v>
      </c>
    </row>
    <row r="48142" spans="9:9" x14ac:dyDescent="0.2">
      <c r="I48142" s="137" t="s">
        <v>74</v>
      </c>
    </row>
    <row r="48143" spans="9:9" x14ac:dyDescent="0.2">
      <c r="I48143" s="137" t="s">
        <v>74</v>
      </c>
    </row>
    <row r="48144" spans="9:9" x14ac:dyDescent="0.2">
      <c r="I48144" s="137" t="s">
        <v>74</v>
      </c>
    </row>
    <row r="48145" spans="9:9" x14ac:dyDescent="0.2">
      <c r="I48145" s="137" t="s">
        <v>74</v>
      </c>
    </row>
    <row r="48146" spans="9:9" x14ac:dyDescent="0.2">
      <c r="I48146" s="137" t="s">
        <v>74</v>
      </c>
    </row>
    <row r="48147" spans="9:9" x14ac:dyDescent="0.2">
      <c r="I48147" s="137" t="s">
        <v>74</v>
      </c>
    </row>
    <row r="48148" spans="9:9" x14ac:dyDescent="0.2">
      <c r="I48148" s="137" t="s">
        <v>74</v>
      </c>
    </row>
    <row r="48149" spans="9:9" x14ac:dyDescent="0.2">
      <c r="I48149" s="137" t="s">
        <v>74</v>
      </c>
    </row>
    <row r="48150" spans="9:9" x14ac:dyDescent="0.2">
      <c r="I48150" s="137" t="s">
        <v>74</v>
      </c>
    </row>
    <row r="48151" spans="9:9" x14ac:dyDescent="0.2">
      <c r="I48151" s="137" t="s">
        <v>74</v>
      </c>
    </row>
    <row r="48152" spans="9:9" x14ac:dyDescent="0.2">
      <c r="I48152" s="137" t="s">
        <v>74</v>
      </c>
    </row>
    <row r="48153" spans="9:9" x14ac:dyDescent="0.2">
      <c r="I48153" s="137" t="s">
        <v>74</v>
      </c>
    </row>
    <row r="48154" spans="9:9" x14ac:dyDescent="0.2">
      <c r="I48154" s="137" t="s">
        <v>74</v>
      </c>
    </row>
    <row r="48155" spans="9:9" x14ac:dyDescent="0.2">
      <c r="I48155" s="137" t="s">
        <v>74</v>
      </c>
    </row>
    <row r="48156" spans="9:9" x14ac:dyDescent="0.2">
      <c r="I48156" s="137" t="s">
        <v>74</v>
      </c>
    </row>
    <row r="48157" spans="9:9" x14ac:dyDescent="0.2">
      <c r="I48157" s="137" t="s">
        <v>74</v>
      </c>
    </row>
    <row r="48158" spans="9:9" x14ac:dyDescent="0.2">
      <c r="I48158" s="137" t="s">
        <v>74</v>
      </c>
    </row>
    <row r="48159" spans="9:9" x14ac:dyDescent="0.2">
      <c r="I48159" s="137" t="s">
        <v>74</v>
      </c>
    </row>
    <row r="48160" spans="9:9" x14ac:dyDescent="0.2">
      <c r="I48160" s="137" t="s">
        <v>74</v>
      </c>
    </row>
    <row r="48161" spans="9:9" x14ac:dyDescent="0.2">
      <c r="I48161" s="137" t="s">
        <v>74</v>
      </c>
    </row>
    <row r="48162" spans="9:9" x14ac:dyDescent="0.2">
      <c r="I48162" s="137" t="s">
        <v>74</v>
      </c>
    </row>
    <row r="48163" spans="9:9" x14ac:dyDescent="0.2">
      <c r="I48163" s="137" t="s">
        <v>74</v>
      </c>
    </row>
    <row r="48164" spans="9:9" x14ac:dyDescent="0.2">
      <c r="I48164" s="137" t="s">
        <v>74</v>
      </c>
    </row>
    <row r="48165" spans="9:9" x14ac:dyDescent="0.2">
      <c r="I48165" s="137" t="s">
        <v>74</v>
      </c>
    </row>
    <row r="48166" spans="9:9" x14ac:dyDescent="0.2">
      <c r="I48166" s="137" t="s">
        <v>74</v>
      </c>
    </row>
    <row r="48167" spans="9:9" x14ac:dyDescent="0.2">
      <c r="I48167" s="137" t="s">
        <v>74</v>
      </c>
    </row>
    <row r="48168" spans="9:9" x14ac:dyDescent="0.2">
      <c r="I48168" s="137" t="s">
        <v>74</v>
      </c>
    </row>
    <row r="48169" spans="9:9" x14ac:dyDescent="0.2">
      <c r="I48169" s="137" t="s">
        <v>74</v>
      </c>
    </row>
    <row r="48170" spans="9:9" x14ac:dyDescent="0.2">
      <c r="I48170" s="137" t="s">
        <v>74</v>
      </c>
    </row>
    <row r="48171" spans="9:9" x14ac:dyDescent="0.2">
      <c r="I48171" s="137" t="s">
        <v>74</v>
      </c>
    </row>
    <row r="48172" spans="9:9" x14ac:dyDescent="0.2">
      <c r="I48172" s="137" t="s">
        <v>74</v>
      </c>
    </row>
    <row r="48173" spans="9:9" x14ac:dyDescent="0.2">
      <c r="I48173" s="137" t="s">
        <v>74</v>
      </c>
    </row>
    <row r="48174" spans="9:9" x14ac:dyDescent="0.2">
      <c r="I48174" s="137" t="s">
        <v>74</v>
      </c>
    </row>
    <row r="48175" spans="9:9" x14ac:dyDescent="0.2">
      <c r="I48175" s="137" t="s">
        <v>74</v>
      </c>
    </row>
    <row r="48176" spans="9:9" x14ac:dyDescent="0.2">
      <c r="I48176" s="137" t="s">
        <v>74</v>
      </c>
    </row>
    <row r="48177" spans="9:9" x14ac:dyDescent="0.2">
      <c r="I48177" s="137" t="s">
        <v>74</v>
      </c>
    </row>
    <row r="48178" spans="9:9" x14ac:dyDescent="0.2">
      <c r="I48178" s="137" t="s">
        <v>74</v>
      </c>
    </row>
    <row r="48179" spans="9:9" x14ac:dyDescent="0.2">
      <c r="I48179" s="137" t="s">
        <v>74</v>
      </c>
    </row>
    <row r="48180" spans="9:9" x14ac:dyDescent="0.2">
      <c r="I48180" s="137" t="s">
        <v>74</v>
      </c>
    </row>
    <row r="48181" spans="9:9" x14ac:dyDescent="0.2">
      <c r="I48181" s="137" t="s">
        <v>74</v>
      </c>
    </row>
    <row r="48182" spans="9:9" x14ac:dyDescent="0.2">
      <c r="I48182" s="137" t="s">
        <v>74</v>
      </c>
    </row>
    <row r="48183" spans="9:9" x14ac:dyDescent="0.2">
      <c r="I48183" s="137" t="s">
        <v>74</v>
      </c>
    </row>
    <row r="48184" spans="9:9" x14ac:dyDescent="0.2">
      <c r="I48184" s="137" t="s">
        <v>74</v>
      </c>
    </row>
    <row r="48185" spans="9:9" x14ac:dyDescent="0.2">
      <c r="I48185" s="137" t="s">
        <v>74</v>
      </c>
    </row>
    <row r="48186" spans="9:9" x14ac:dyDescent="0.2">
      <c r="I48186" s="137" t="s">
        <v>74</v>
      </c>
    </row>
    <row r="48187" spans="9:9" x14ac:dyDescent="0.2">
      <c r="I48187" s="137" t="s">
        <v>74</v>
      </c>
    </row>
    <row r="48188" spans="9:9" x14ac:dyDescent="0.2">
      <c r="I48188" s="137" t="s">
        <v>74</v>
      </c>
    </row>
    <row r="48189" spans="9:9" x14ac:dyDescent="0.2">
      <c r="I48189" s="137" t="s">
        <v>74</v>
      </c>
    </row>
    <row r="48190" spans="9:9" x14ac:dyDescent="0.2">
      <c r="I48190" s="137" t="s">
        <v>74</v>
      </c>
    </row>
    <row r="48191" spans="9:9" x14ac:dyDescent="0.2">
      <c r="I48191" s="137" t="s">
        <v>74</v>
      </c>
    </row>
    <row r="48192" spans="9:9" x14ac:dyDescent="0.2">
      <c r="I48192" s="137" t="s">
        <v>74</v>
      </c>
    </row>
    <row r="48193" spans="9:9" x14ac:dyDescent="0.2">
      <c r="I48193" s="137" t="s">
        <v>74</v>
      </c>
    </row>
    <row r="48194" spans="9:9" x14ac:dyDescent="0.2">
      <c r="I48194" s="137" t="s">
        <v>74</v>
      </c>
    </row>
    <row r="48195" spans="9:9" x14ac:dyDescent="0.2">
      <c r="I48195" s="137" t="s">
        <v>74</v>
      </c>
    </row>
    <row r="48196" spans="9:9" x14ac:dyDescent="0.2">
      <c r="I48196" s="137" t="s">
        <v>74</v>
      </c>
    </row>
    <row r="48197" spans="9:9" x14ac:dyDescent="0.2">
      <c r="I48197" s="137" t="s">
        <v>74</v>
      </c>
    </row>
    <row r="48198" spans="9:9" x14ac:dyDescent="0.2">
      <c r="I48198" s="137" t="s">
        <v>74</v>
      </c>
    </row>
    <row r="48199" spans="9:9" x14ac:dyDescent="0.2">
      <c r="I48199" s="137" t="s">
        <v>74</v>
      </c>
    </row>
    <row r="48200" spans="9:9" x14ac:dyDescent="0.2">
      <c r="I48200" s="137" t="s">
        <v>74</v>
      </c>
    </row>
    <row r="48201" spans="9:9" x14ac:dyDescent="0.2">
      <c r="I48201" s="137" t="s">
        <v>74</v>
      </c>
    </row>
    <row r="48202" spans="9:9" x14ac:dyDescent="0.2">
      <c r="I48202" s="137" t="s">
        <v>74</v>
      </c>
    </row>
    <row r="48203" spans="9:9" x14ac:dyDescent="0.2">
      <c r="I48203" s="137" t="s">
        <v>74</v>
      </c>
    </row>
    <row r="48204" spans="9:9" x14ac:dyDescent="0.2">
      <c r="I48204" s="137" t="s">
        <v>74</v>
      </c>
    </row>
    <row r="48205" spans="9:9" x14ac:dyDescent="0.2">
      <c r="I48205" s="137" t="s">
        <v>74</v>
      </c>
    </row>
    <row r="48206" spans="9:9" x14ac:dyDescent="0.2">
      <c r="I48206" s="137" t="s">
        <v>74</v>
      </c>
    </row>
    <row r="48207" spans="9:9" x14ac:dyDescent="0.2">
      <c r="I48207" s="137" t="s">
        <v>74</v>
      </c>
    </row>
    <row r="48208" spans="9:9" x14ac:dyDescent="0.2">
      <c r="I48208" s="137" t="s">
        <v>74</v>
      </c>
    </row>
    <row r="48209" spans="9:9" x14ac:dyDescent="0.2">
      <c r="I48209" s="137" t="s">
        <v>74</v>
      </c>
    </row>
    <row r="48210" spans="9:9" x14ac:dyDescent="0.2">
      <c r="I48210" s="137" t="s">
        <v>74</v>
      </c>
    </row>
    <row r="48211" spans="9:9" x14ac:dyDescent="0.2">
      <c r="I48211" s="137" t="s">
        <v>74</v>
      </c>
    </row>
    <row r="48212" spans="9:9" x14ac:dyDescent="0.2">
      <c r="I48212" s="137" t="s">
        <v>74</v>
      </c>
    </row>
    <row r="48213" spans="9:9" x14ac:dyDescent="0.2">
      <c r="I48213" s="137" t="s">
        <v>74</v>
      </c>
    </row>
    <row r="48214" spans="9:9" x14ac:dyDescent="0.2">
      <c r="I48214" s="137" t="s">
        <v>74</v>
      </c>
    </row>
    <row r="48215" spans="9:9" x14ac:dyDescent="0.2">
      <c r="I48215" s="137" t="s">
        <v>74</v>
      </c>
    </row>
    <row r="48216" spans="9:9" x14ac:dyDescent="0.2">
      <c r="I48216" s="137" t="s">
        <v>74</v>
      </c>
    </row>
    <row r="48217" spans="9:9" x14ac:dyDescent="0.2">
      <c r="I48217" s="137" t="s">
        <v>74</v>
      </c>
    </row>
    <row r="48218" spans="9:9" x14ac:dyDescent="0.2">
      <c r="I48218" s="137" t="s">
        <v>74</v>
      </c>
    </row>
    <row r="48219" spans="9:9" x14ac:dyDescent="0.2">
      <c r="I48219" s="137" t="s">
        <v>74</v>
      </c>
    </row>
    <row r="48220" spans="9:9" x14ac:dyDescent="0.2">
      <c r="I48220" s="137" t="s">
        <v>74</v>
      </c>
    </row>
    <row r="48221" spans="9:9" x14ac:dyDescent="0.2">
      <c r="I48221" s="137" t="s">
        <v>74</v>
      </c>
    </row>
    <row r="48222" spans="9:9" x14ac:dyDescent="0.2">
      <c r="I48222" s="137" t="s">
        <v>74</v>
      </c>
    </row>
    <row r="48223" spans="9:9" x14ac:dyDescent="0.2">
      <c r="I48223" s="137" t="s">
        <v>74</v>
      </c>
    </row>
    <row r="48224" spans="9:9" x14ac:dyDescent="0.2">
      <c r="I48224" s="137" t="s">
        <v>74</v>
      </c>
    </row>
    <row r="48225" spans="9:9" x14ac:dyDescent="0.2">
      <c r="I48225" s="137" t="s">
        <v>74</v>
      </c>
    </row>
    <row r="48226" spans="9:9" x14ac:dyDescent="0.2">
      <c r="I48226" s="137" t="s">
        <v>74</v>
      </c>
    </row>
    <row r="48227" spans="9:9" x14ac:dyDescent="0.2">
      <c r="I48227" s="137" t="s">
        <v>74</v>
      </c>
    </row>
    <row r="48228" spans="9:9" x14ac:dyDescent="0.2">
      <c r="I48228" s="137" t="s">
        <v>74</v>
      </c>
    </row>
    <row r="48229" spans="9:9" x14ac:dyDescent="0.2">
      <c r="I48229" s="137" t="s">
        <v>74</v>
      </c>
    </row>
    <row r="48230" spans="9:9" x14ac:dyDescent="0.2">
      <c r="I48230" s="137" t="s">
        <v>74</v>
      </c>
    </row>
    <row r="48231" spans="9:9" x14ac:dyDescent="0.2">
      <c r="I48231" s="137" t="s">
        <v>74</v>
      </c>
    </row>
    <row r="48232" spans="9:9" x14ac:dyDescent="0.2">
      <c r="I48232" s="137" t="s">
        <v>74</v>
      </c>
    </row>
    <row r="48233" spans="9:9" x14ac:dyDescent="0.2">
      <c r="I48233" s="137" t="s">
        <v>74</v>
      </c>
    </row>
    <row r="48234" spans="9:9" x14ac:dyDescent="0.2">
      <c r="I48234" s="137" t="s">
        <v>74</v>
      </c>
    </row>
    <row r="48235" spans="9:9" x14ac:dyDescent="0.2">
      <c r="I48235" s="137" t="s">
        <v>74</v>
      </c>
    </row>
    <row r="48236" spans="9:9" x14ac:dyDescent="0.2">
      <c r="I48236" s="137" t="s">
        <v>74</v>
      </c>
    </row>
    <row r="48237" spans="9:9" x14ac:dyDescent="0.2">
      <c r="I48237" s="137" t="s">
        <v>74</v>
      </c>
    </row>
    <row r="48238" spans="9:9" x14ac:dyDescent="0.2">
      <c r="I48238" s="137" t="s">
        <v>74</v>
      </c>
    </row>
    <row r="48239" spans="9:9" x14ac:dyDescent="0.2">
      <c r="I48239" s="137" t="s">
        <v>74</v>
      </c>
    </row>
    <row r="48240" spans="9:9" x14ac:dyDescent="0.2">
      <c r="I48240" s="137" t="s">
        <v>74</v>
      </c>
    </row>
    <row r="48241" spans="9:9" x14ac:dyDescent="0.2">
      <c r="I48241" s="137" t="s">
        <v>74</v>
      </c>
    </row>
    <row r="48242" spans="9:9" x14ac:dyDescent="0.2">
      <c r="I48242" s="137" t="s">
        <v>74</v>
      </c>
    </row>
    <row r="48243" spans="9:9" x14ac:dyDescent="0.2">
      <c r="I48243" s="137" t="s">
        <v>74</v>
      </c>
    </row>
    <row r="48244" spans="9:9" x14ac:dyDescent="0.2">
      <c r="I48244" s="137" t="s">
        <v>74</v>
      </c>
    </row>
    <row r="48245" spans="9:9" x14ac:dyDescent="0.2">
      <c r="I48245" s="137" t="s">
        <v>74</v>
      </c>
    </row>
    <row r="48246" spans="9:9" x14ac:dyDescent="0.2">
      <c r="I48246" s="137" t="s">
        <v>74</v>
      </c>
    </row>
    <row r="48247" spans="9:9" x14ac:dyDescent="0.2">
      <c r="I48247" s="137" t="s">
        <v>74</v>
      </c>
    </row>
    <row r="48248" spans="9:9" x14ac:dyDescent="0.2">
      <c r="I48248" s="137" t="s">
        <v>74</v>
      </c>
    </row>
    <row r="48249" spans="9:9" x14ac:dyDescent="0.2">
      <c r="I48249" s="137" t="s">
        <v>74</v>
      </c>
    </row>
    <row r="48250" spans="9:9" x14ac:dyDescent="0.2">
      <c r="I48250" s="137" t="s">
        <v>74</v>
      </c>
    </row>
    <row r="48251" spans="9:9" x14ac:dyDescent="0.2">
      <c r="I48251" s="137" t="s">
        <v>74</v>
      </c>
    </row>
    <row r="48252" spans="9:9" x14ac:dyDescent="0.2">
      <c r="I48252" s="137" t="s">
        <v>74</v>
      </c>
    </row>
    <row r="48253" spans="9:9" x14ac:dyDescent="0.2">
      <c r="I48253" s="137" t="s">
        <v>74</v>
      </c>
    </row>
    <row r="48254" spans="9:9" x14ac:dyDescent="0.2">
      <c r="I48254" s="137" t="s">
        <v>74</v>
      </c>
    </row>
    <row r="48255" spans="9:9" x14ac:dyDescent="0.2">
      <c r="I48255" s="137" t="s">
        <v>74</v>
      </c>
    </row>
    <row r="48256" spans="9:9" x14ac:dyDescent="0.2">
      <c r="I48256" s="137" t="s">
        <v>74</v>
      </c>
    </row>
    <row r="48257" spans="9:9" x14ac:dyDescent="0.2">
      <c r="I48257" s="137" t="s">
        <v>74</v>
      </c>
    </row>
    <row r="48258" spans="9:9" x14ac:dyDescent="0.2">
      <c r="I48258" s="137" t="s">
        <v>74</v>
      </c>
    </row>
    <row r="48259" spans="9:9" x14ac:dyDescent="0.2">
      <c r="I48259" s="137" t="s">
        <v>74</v>
      </c>
    </row>
    <row r="48260" spans="9:9" x14ac:dyDescent="0.2">
      <c r="I48260" s="137" t="s">
        <v>74</v>
      </c>
    </row>
    <row r="48261" spans="9:9" x14ac:dyDescent="0.2">
      <c r="I48261" s="137" t="s">
        <v>74</v>
      </c>
    </row>
    <row r="48262" spans="9:9" x14ac:dyDescent="0.2">
      <c r="I48262" s="137" t="s">
        <v>74</v>
      </c>
    </row>
    <row r="48263" spans="9:9" x14ac:dyDescent="0.2">
      <c r="I48263" s="137" t="s">
        <v>74</v>
      </c>
    </row>
    <row r="48264" spans="9:9" x14ac:dyDescent="0.2">
      <c r="I48264" s="137" t="s">
        <v>74</v>
      </c>
    </row>
    <row r="48265" spans="9:9" x14ac:dyDescent="0.2">
      <c r="I48265" s="137" t="s">
        <v>74</v>
      </c>
    </row>
    <row r="48266" spans="9:9" x14ac:dyDescent="0.2">
      <c r="I48266" s="137" t="s">
        <v>74</v>
      </c>
    </row>
    <row r="48267" spans="9:9" x14ac:dyDescent="0.2">
      <c r="I48267" s="137" t="s">
        <v>74</v>
      </c>
    </row>
    <row r="48268" spans="9:9" x14ac:dyDescent="0.2">
      <c r="I48268" s="137" t="s">
        <v>74</v>
      </c>
    </row>
    <row r="48269" spans="9:9" x14ac:dyDescent="0.2">
      <c r="I48269" s="137" t="s">
        <v>74</v>
      </c>
    </row>
    <row r="48270" spans="9:9" x14ac:dyDescent="0.2">
      <c r="I48270" s="137" t="s">
        <v>74</v>
      </c>
    </row>
    <row r="48271" spans="9:9" x14ac:dyDescent="0.2">
      <c r="I48271" s="137" t="s">
        <v>74</v>
      </c>
    </row>
    <row r="48272" spans="9:9" x14ac:dyDescent="0.2">
      <c r="I48272" s="137" t="s">
        <v>74</v>
      </c>
    </row>
    <row r="48273" spans="9:9" x14ac:dyDescent="0.2">
      <c r="I48273" s="137" t="s">
        <v>74</v>
      </c>
    </row>
    <row r="48274" spans="9:9" x14ac:dyDescent="0.2">
      <c r="I48274" s="137" t="s">
        <v>74</v>
      </c>
    </row>
    <row r="48275" spans="9:9" x14ac:dyDescent="0.2">
      <c r="I48275" s="137" t="s">
        <v>74</v>
      </c>
    </row>
    <row r="48276" spans="9:9" x14ac:dyDescent="0.2">
      <c r="I48276" s="137" t="s">
        <v>74</v>
      </c>
    </row>
    <row r="48277" spans="9:9" x14ac:dyDescent="0.2">
      <c r="I48277" s="137" t="s">
        <v>74</v>
      </c>
    </row>
    <row r="48278" spans="9:9" x14ac:dyDescent="0.2">
      <c r="I48278" s="137" t="s">
        <v>74</v>
      </c>
    </row>
    <row r="48279" spans="9:9" x14ac:dyDescent="0.2">
      <c r="I48279" s="137" t="s">
        <v>74</v>
      </c>
    </row>
    <row r="48280" spans="9:9" x14ac:dyDescent="0.2">
      <c r="I48280" s="137" t="s">
        <v>74</v>
      </c>
    </row>
    <row r="48281" spans="9:9" x14ac:dyDescent="0.2">
      <c r="I48281" s="137" t="s">
        <v>74</v>
      </c>
    </row>
    <row r="48282" spans="9:9" x14ac:dyDescent="0.2">
      <c r="I48282" s="137" t="s">
        <v>74</v>
      </c>
    </row>
    <row r="48283" spans="9:9" x14ac:dyDescent="0.2">
      <c r="I48283" s="137" t="s">
        <v>74</v>
      </c>
    </row>
    <row r="48284" spans="9:9" x14ac:dyDescent="0.2">
      <c r="I48284" s="137" t="s">
        <v>74</v>
      </c>
    </row>
    <row r="48285" spans="9:9" x14ac:dyDescent="0.2">
      <c r="I48285" s="137" t="s">
        <v>74</v>
      </c>
    </row>
    <row r="48286" spans="9:9" x14ac:dyDescent="0.2">
      <c r="I48286" s="137" t="s">
        <v>74</v>
      </c>
    </row>
    <row r="48287" spans="9:9" x14ac:dyDescent="0.2">
      <c r="I48287" s="137" t="s">
        <v>74</v>
      </c>
    </row>
    <row r="48288" spans="9:9" x14ac:dyDescent="0.2">
      <c r="I48288" s="137" t="s">
        <v>74</v>
      </c>
    </row>
    <row r="48289" spans="9:9" x14ac:dyDescent="0.2">
      <c r="I48289" s="137" t="s">
        <v>74</v>
      </c>
    </row>
    <row r="48290" spans="9:9" x14ac:dyDescent="0.2">
      <c r="I48290" s="137" t="s">
        <v>74</v>
      </c>
    </row>
    <row r="48291" spans="9:9" x14ac:dyDescent="0.2">
      <c r="I48291" s="137" t="s">
        <v>74</v>
      </c>
    </row>
    <row r="48292" spans="9:9" x14ac:dyDescent="0.2">
      <c r="I48292" s="137" t="s">
        <v>74</v>
      </c>
    </row>
    <row r="48293" spans="9:9" x14ac:dyDescent="0.2">
      <c r="I48293" s="137" t="s">
        <v>74</v>
      </c>
    </row>
    <row r="48294" spans="9:9" x14ac:dyDescent="0.2">
      <c r="I48294" s="137" t="s">
        <v>74</v>
      </c>
    </row>
    <row r="48295" spans="9:9" x14ac:dyDescent="0.2">
      <c r="I48295" s="137" t="s">
        <v>74</v>
      </c>
    </row>
    <row r="48296" spans="9:9" x14ac:dyDescent="0.2">
      <c r="I48296" s="137" t="s">
        <v>74</v>
      </c>
    </row>
    <row r="48297" spans="9:9" x14ac:dyDescent="0.2">
      <c r="I48297" s="137" t="s">
        <v>74</v>
      </c>
    </row>
    <row r="48298" spans="9:9" x14ac:dyDescent="0.2">
      <c r="I48298" s="137" t="s">
        <v>74</v>
      </c>
    </row>
    <row r="48299" spans="9:9" x14ac:dyDescent="0.2">
      <c r="I48299" s="137" t="s">
        <v>74</v>
      </c>
    </row>
    <row r="48300" spans="9:9" x14ac:dyDescent="0.2">
      <c r="I48300" s="137" t="s">
        <v>74</v>
      </c>
    </row>
    <row r="48301" spans="9:9" x14ac:dyDescent="0.2">
      <c r="I48301" s="137" t="s">
        <v>74</v>
      </c>
    </row>
    <row r="48302" spans="9:9" x14ac:dyDescent="0.2">
      <c r="I48302" s="137" t="s">
        <v>74</v>
      </c>
    </row>
    <row r="48303" spans="9:9" x14ac:dyDescent="0.2">
      <c r="I48303" s="137" t="s">
        <v>74</v>
      </c>
    </row>
    <row r="48304" spans="9:9" x14ac:dyDescent="0.2">
      <c r="I48304" s="137" t="s">
        <v>74</v>
      </c>
    </row>
    <row r="48305" spans="9:9" x14ac:dyDescent="0.2">
      <c r="I48305" s="137" t="s">
        <v>74</v>
      </c>
    </row>
    <row r="48306" spans="9:9" x14ac:dyDescent="0.2">
      <c r="I48306" s="137" t="s">
        <v>74</v>
      </c>
    </row>
    <row r="48307" spans="9:9" x14ac:dyDescent="0.2">
      <c r="I48307" s="137" t="s">
        <v>74</v>
      </c>
    </row>
    <row r="48308" spans="9:9" x14ac:dyDescent="0.2">
      <c r="I48308" s="137" t="s">
        <v>74</v>
      </c>
    </row>
    <row r="48309" spans="9:9" x14ac:dyDescent="0.2">
      <c r="I48309" s="137" t="s">
        <v>74</v>
      </c>
    </row>
    <row r="48310" spans="9:9" x14ac:dyDescent="0.2">
      <c r="I48310" s="137" t="s">
        <v>74</v>
      </c>
    </row>
    <row r="48311" spans="9:9" x14ac:dyDescent="0.2">
      <c r="I48311" s="137" t="s">
        <v>74</v>
      </c>
    </row>
    <row r="48312" spans="9:9" x14ac:dyDescent="0.2">
      <c r="I48312" s="137" t="s">
        <v>74</v>
      </c>
    </row>
    <row r="48313" spans="9:9" x14ac:dyDescent="0.2">
      <c r="I48313" s="137" t="s">
        <v>74</v>
      </c>
    </row>
    <row r="48314" spans="9:9" x14ac:dyDescent="0.2">
      <c r="I48314" s="137" t="s">
        <v>74</v>
      </c>
    </row>
    <row r="48315" spans="9:9" x14ac:dyDescent="0.2">
      <c r="I48315" s="137" t="s">
        <v>74</v>
      </c>
    </row>
    <row r="48316" spans="9:9" x14ac:dyDescent="0.2">
      <c r="I48316" s="137" t="s">
        <v>74</v>
      </c>
    </row>
    <row r="48317" spans="9:9" x14ac:dyDescent="0.2">
      <c r="I48317" s="137" t="s">
        <v>74</v>
      </c>
    </row>
    <row r="48318" spans="9:9" x14ac:dyDescent="0.2">
      <c r="I48318" s="137" t="s">
        <v>74</v>
      </c>
    </row>
    <row r="48319" spans="9:9" x14ac:dyDescent="0.2">
      <c r="I48319" s="137" t="s">
        <v>74</v>
      </c>
    </row>
    <row r="48320" spans="9:9" x14ac:dyDescent="0.2">
      <c r="I48320" s="137" t="s">
        <v>74</v>
      </c>
    </row>
    <row r="48321" spans="9:9" x14ac:dyDescent="0.2">
      <c r="I48321" s="137" t="s">
        <v>74</v>
      </c>
    </row>
    <row r="48322" spans="9:9" x14ac:dyDescent="0.2">
      <c r="I48322" s="137" t="s">
        <v>74</v>
      </c>
    </row>
    <row r="48323" spans="9:9" x14ac:dyDescent="0.2">
      <c r="I48323" s="137" t="s">
        <v>74</v>
      </c>
    </row>
    <row r="48324" spans="9:9" x14ac:dyDescent="0.2">
      <c r="I48324" s="137" t="s">
        <v>74</v>
      </c>
    </row>
    <row r="48325" spans="9:9" x14ac:dyDescent="0.2">
      <c r="I48325" s="137" t="s">
        <v>74</v>
      </c>
    </row>
    <row r="48326" spans="9:9" x14ac:dyDescent="0.2">
      <c r="I48326" s="137" t="s">
        <v>74</v>
      </c>
    </row>
    <row r="48327" spans="9:9" x14ac:dyDescent="0.2">
      <c r="I48327" s="137" t="s">
        <v>74</v>
      </c>
    </row>
    <row r="48328" spans="9:9" x14ac:dyDescent="0.2">
      <c r="I48328" s="137" t="s">
        <v>74</v>
      </c>
    </row>
    <row r="48329" spans="9:9" x14ac:dyDescent="0.2">
      <c r="I48329" s="137" t="s">
        <v>74</v>
      </c>
    </row>
    <row r="48330" spans="9:9" x14ac:dyDescent="0.2">
      <c r="I48330" s="137" t="s">
        <v>74</v>
      </c>
    </row>
    <row r="48331" spans="9:9" x14ac:dyDescent="0.2">
      <c r="I48331" s="137" t="s">
        <v>74</v>
      </c>
    </row>
    <row r="48332" spans="9:9" x14ac:dyDescent="0.2">
      <c r="I48332" s="137" t="s">
        <v>74</v>
      </c>
    </row>
    <row r="48333" spans="9:9" x14ac:dyDescent="0.2">
      <c r="I48333" s="137" t="s">
        <v>74</v>
      </c>
    </row>
    <row r="48334" spans="9:9" x14ac:dyDescent="0.2">
      <c r="I48334" s="137" t="s">
        <v>74</v>
      </c>
    </row>
    <row r="48335" spans="9:9" x14ac:dyDescent="0.2">
      <c r="I48335" s="137" t="s">
        <v>74</v>
      </c>
    </row>
    <row r="48336" spans="9:9" x14ac:dyDescent="0.2">
      <c r="I48336" s="137" t="s">
        <v>74</v>
      </c>
    </row>
    <row r="48337" spans="9:9" x14ac:dyDescent="0.2">
      <c r="I48337" s="137" t="s">
        <v>74</v>
      </c>
    </row>
    <row r="48338" spans="9:9" x14ac:dyDescent="0.2">
      <c r="I48338" s="137" t="s">
        <v>74</v>
      </c>
    </row>
    <row r="48339" spans="9:9" x14ac:dyDescent="0.2">
      <c r="I48339" s="137" t="s">
        <v>74</v>
      </c>
    </row>
    <row r="48340" spans="9:9" x14ac:dyDescent="0.2">
      <c r="I48340" s="137" t="s">
        <v>74</v>
      </c>
    </row>
    <row r="48341" spans="9:9" x14ac:dyDescent="0.2">
      <c r="I48341" s="137" t="s">
        <v>74</v>
      </c>
    </row>
    <row r="48342" spans="9:9" x14ac:dyDescent="0.2">
      <c r="I48342" s="137" t="s">
        <v>74</v>
      </c>
    </row>
    <row r="48343" spans="9:9" x14ac:dyDescent="0.2">
      <c r="I48343" s="137" t="s">
        <v>74</v>
      </c>
    </row>
    <row r="48344" spans="9:9" x14ac:dyDescent="0.2">
      <c r="I48344" s="137" t="s">
        <v>74</v>
      </c>
    </row>
    <row r="48345" spans="9:9" x14ac:dyDescent="0.2">
      <c r="I48345" s="137" t="s">
        <v>74</v>
      </c>
    </row>
    <row r="48346" spans="9:9" x14ac:dyDescent="0.2">
      <c r="I48346" s="137" t="s">
        <v>74</v>
      </c>
    </row>
    <row r="48347" spans="9:9" x14ac:dyDescent="0.2">
      <c r="I48347" s="137" t="s">
        <v>74</v>
      </c>
    </row>
    <row r="48348" spans="9:9" x14ac:dyDescent="0.2">
      <c r="I48348" s="137" t="s">
        <v>74</v>
      </c>
    </row>
    <row r="48349" spans="9:9" x14ac:dyDescent="0.2">
      <c r="I48349" s="137" t="s">
        <v>74</v>
      </c>
    </row>
    <row r="48350" spans="9:9" x14ac:dyDescent="0.2">
      <c r="I48350" s="137" t="s">
        <v>74</v>
      </c>
    </row>
    <row r="48351" spans="9:9" x14ac:dyDescent="0.2">
      <c r="I48351" s="137" t="s">
        <v>74</v>
      </c>
    </row>
    <row r="48352" spans="9:9" x14ac:dyDescent="0.2">
      <c r="I48352" s="137" t="s">
        <v>74</v>
      </c>
    </row>
    <row r="48353" spans="9:9" x14ac:dyDescent="0.2">
      <c r="I48353" s="137" t="s">
        <v>74</v>
      </c>
    </row>
    <row r="48354" spans="9:9" x14ac:dyDescent="0.2">
      <c r="I48354" s="137" t="s">
        <v>74</v>
      </c>
    </row>
    <row r="48355" spans="9:9" x14ac:dyDescent="0.2">
      <c r="I48355" s="137" t="s">
        <v>74</v>
      </c>
    </row>
    <row r="48356" spans="9:9" x14ac:dyDescent="0.2">
      <c r="I48356" s="137" t="s">
        <v>74</v>
      </c>
    </row>
    <row r="48357" spans="9:9" x14ac:dyDescent="0.2">
      <c r="I48357" s="137" t="s">
        <v>74</v>
      </c>
    </row>
    <row r="48358" spans="9:9" x14ac:dyDescent="0.2">
      <c r="I48358" s="137" t="s">
        <v>74</v>
      </c>
    </row>
    <row r="48359" spans="9:9" x14ac:dyDescent="0.2">
      <c r="I48359" s="137" t="s">
        <v>74</v>
      </c>
    </row>
    <row r="48360" spans="9:9" x14ac:dyDescent="0.2">
      <c r="I48360" s="137" t="s">
        <v>74</v>
      </c>
    </row>
    <row r="48361" spans="9:9" x14ac:dyDescent="0.2">
      <c r="I48361" s="137" t="s">
        <v>74</v>
      </c>
    </row>
    <row r="48362" spans="9:9" x14ac:dyDescent="0.2">
      <c r="I48362" s="137" t="s">
        <v>74</v>
      </c>
    </row>
    <row r="48363" spans="9:9" x14ac:dyDescent="0.2">
      <c r="I48363" s="137" t="s">
        <v>74</v>
      </c>
    </row>
    <row r="48364" spans="9:9" x14ac:dyDescent="0.2">
      <c r="I48364" s="137" t="s">
        <v>74</v>
      </c>
    </row>
    <row r="48365" spans="9:9" x14ac:dyDescent="0.2">
      <c r="I48365" s="137" t="s">
        <v>74</v>
      </c>
    </row>
    <row r="48366" spans="9:9" x14ac:dyDescent="0.2">
      <c r="I48366" s="137" t="s">
        <v>74</v>
      </c>
    </row>
    <row r="48367" spans="9:9" x14ac:dyDescent="0.2">
      <c r="I48367" s="137" t="s">
        <v>74</v>
      </c>
    </row>
    <row r="48368" spans="9:9" x14ac:dyDescent="0.2">
      <c r="I48368" s="137" t="s">
        <v>74</v>
      </c>
    </row>
    <row r="48369" spans="9:9" x14ac:dyDescent="0.2">
      <c r="I48369" s="137" t="s">
        <v>74</v>
      </c>
    </row>
    <row r="48370" spans="9:9" x14ac:dyDescent="0.2">
      <c r="I48370" s="137" t="s">
        <v>74</v>
      </c>
    </row>
    <row r="48371" spans="9:9" x14ac:dyDescent="0.2">
      <c r="I48371" s="137" t="s">
        <v>74</v>
      </c>
    </row>
    <row r="48372" spans="9:9" x14ac:dyDescent="0.2">
      <c r="I48372" s="137" t="s">
        <v>74</v>
      </c>
    </row>
    <row r="48373" spans="9:9" x14ac:dyDescent="0.2">
      <c r="I48373" s="137" t="s">
        <v>74</v>
      </c>
    </row>
    <row r="48374" spans="9:9" x14ac:dyDescent="0.2">
      <c r="I48374" s="137" t="s">
        <v>74</v>
      </c>
    </row>
    <row r="48375" spans="9:9" x14ac:dyDescent="0.2">
      <c r="I48375" s="137" t="s">
        <v>74</v>
      </c>
    </row>
    <row r="48376" spans="9:9" x14ac:dyDescent="0.2">
      <c r="I48376" s="137" t="s">
        <v>74</v>
      </c>
    </row>
    <row r="48377" spans="9:9" x14ac:dyDescent="0.2">
      <c r="I48377" s="137" t="s">
        <v>74</v>
      </c>
    </row>
    <row r="48378" spans="9:9" x14ac:dyDescent="0.2">
      <c r="I48378" s="137" t="s">
        <v>74</v>
      </c>
    </row>
    <row r="48379" spans="9:9" x14ac:dyDescent="0.2">
      <c r="I48379" s="137" t="s">
        <v>74</v>
      </c>
    </row>
    <row r="48380" spans="9:9" x14ac:dyDescent="0.2">
      <c r="I48380" s="137" t="s">
        <v>74</v>
      </c>
    </row>
    <row r="48381" spans="9:9" x14ac:dyDescent="0.2">
      <c r="I48381" s="137" t="s">
        <v>74</v>
      </c>
    </row>
    <row r="48382" spans="9:9" x14ac:dyDescent="0.2">
      <c r="I48382" s="137" t="s">
        <v>74</v>
      </c>
    </row>
    <row r="48383" spans="9:9" x14ac:dyDescent="0.2">
      <c r="I48383" s="137" t="s">
        <v>74</v>
      </c>
    </row>
    <row r="48384" spans="9:9" x14ac:dyDescent="0.2">
      <c r="I48384" s="137" t="s">
        <v>74</v>
      </c>
    </row>
    <row r="48385" spans="9:9" x14ac:dyDescent="0.2">
      <c r="I48385" s="137" t="s">
        <v>74</v>
      </c>
    </row>
    <row r="48386" spans="9:9" x14ac:dyDescent="0.2">
      <c r="I48386" s="137" t="s">
        <v>74</v>
      </c>
    </row>
    <row r="48387" spans="9:9" x14ac:dyDescent="0.2">
      <c r="I48387" s="137" t="s">
        <v>74</v>
      </c>
    </row>
    <row r="48388" spans="9:9" x14ac:dyDescent="0.2">
      <c r="I48388" s="137" t="s">
        <v>74</v>
      </c>
    </row>
    <row r="48389" spans="9:9" x14ac:dyDescent="0.2">
      <c r="I48389" s="137" t="s">
        <v>74</v>
      </c>
    </row>
    <row r="48390" spans="9:9" x14ac:dyDescent="0.2">
      <c r="I48390" s="137" t="s">
        <v>74</v>
      </c>
    </row>
    <row r="48391" spans="9:9" x14ac:dyDescent="0.2">
      <c r="I48391" s="137" t="s">
        <v>74</v>
      </c>
    </row>
    <row r="48392" spans="9:9" x14ac:dyDescent="0.2">
      <c r="I48392" s="137" t="s">
        <v>74</v>
      </c>
    </row>
    <row r="48393" spans="9:9" x14ac:dyDescent="0.2">
      <c r="I48393" s="137" t="s">
        <v>74</v>
      </c>
    </row>
    <row r="48394" spans="9:9" x14ac:dyDescent="0.2">
      <c r="I48394" s="137" t="s">
        <v>74</v>
      </c>
    </row>
    <row r="48395" spans="9:9" x14ac:dyDescent="0.2">
      <c r="I48395" s="137" t="s">
        <v>74</v>
      </c>
    </row>
    <row r="48396" spans="9:9" x14ac:dyDescent="0.2">
      <c r="I48396" s="137" t="s">
        <v>74</v>
      </c>
    </row>
    <row r="48397" spans="9:9" x14ac:dyDescent="0.2">
      <c r="I48397" s="137" t="s">
        <v>74</v>
      </c>
    </row>
    <row r="48398" spans="9:9" x14ac:dyDescent="0.2">
      <c r="I48398" s="137" t="s">
        <v>74</v>
      </c>
    </row>
    <row r="48399" spans="9:9" x14ac:dyDescent="0.2">
      <c r="I48399" s="137" t="s">
        <v>74</v>
      </c>
    </row>
    <row r="48400" spans="9:9" x14ac:dyDescent="0.2">
      <c r="I48400" s="137" t="s">
        <v>74</v>
      </c>
    </row>
    <row r="48401" spans="9:9" x14ac:dyDescent="0.2">
      <c r="I48401" s="137" t="s">
        <v>74</v>
      </c>
    </row>
    <row r="48402" spans="9:9" x14ac:dyDescent="0.2">
      <c r="I48402" s="137" t="s">
        <v>74</v>
      </c>
    </row>
    <row r="48403" spans="9:9" x14ac:dyDescent="0.2">
      <c r="I48403" s="137" t="s">
        <v>74</v>
      </c>
    </row>
    <row r="48404" spans="9:9" x14ac:dyDescent="0.2">
      <c r="I48404" s="137" t="s">
        <v>74</v>
      </c>
    </row>
    <row r="48405" spans="9:9" x14ac:dyDescent="0.2">
      <c r="I48405" s="137" t="s">
        <v>74</v>
      </c>
    </row>
    <row r="48406" spans="9:9" x14ac:dyDescent="0.2">
      <c r="I48406" s="137" t="s">
        <v>74</v>
      </c>
    </row>
    <row r="48407" spans="9:9" x14ac:dyDescent="0.2">
      <c r="I48407" s="137" t="s">
        <v>74</v>
      </c>
    </row>
    <row r="48408" spans="9:9" x14ac:dyDescent="0.2">
      <c r="I48408" s="137" t="s">
        <v>74</v>
      </c>
    </row>
    <row r="48409" spans="9:9" x14ac:dyDescent="0.2">
      <c r="I48409" s="137" t="s">
        <v>74</v>
      </c>
    </row>
    <row r="48410" spans="9:9" x14ac:dyDescent="0.2">
      <c r="I48410" s="137" t="s">
        <v>74</v>
      </c>
    </row>
    <row r="48411" spans="9:9" x14ac:dyDescent="0.2">
      <c r="I48411" s="137" t="s">
        <v>74</v>
      </c>
    </row>
    <row r="48412" spans="9:9" x14ac:dyDescent="0.2">
      <c r="I48412" s="137" t="s">
        <v>74</v>
      </c>
    </row>
    <row r="48413" spans="9:9" x14ac:dyDescent="0.2">
      <c r="I48413" s="137" t="s">
        <v>74</v>
      </c>
    </row>
    <row r="48414" spans="9:9" x14ac:dyDescent="0.2">
      <c r="I48414" s="137" t="s">
        <v>74</v>
      </c>
    </row>
    <row r="48415" spans="9:9" x14ac:dyDescent="0.2">
      <c r="I48415" s="137" t="s">
        <v>74</v>
      </c>
    </row>
    <row r="48416" spans="9:9" x14ac:dyDescent="0.2">
      <c r="I48416" s="137" t="s">
        <v>74</v>
      </c>
    </row>
    <row r="48417" spans="9:9" x14ac:dyDescent="0.2">
      <c r="I48417" s="137" t="s">
        <v>74</v>
      </c>
    </row>
    <row r="48418" spans="9:9" x14ac:dyDescent="0.2">
      <c r="I48418" s="137" t="s">
        <v>74</v>
      </c>
    </row>
    <row r="48419" spans="9:9" x14ac:dyDescent="0.2">
      <c r="I48419" s="137" t="s">
        <v>74</v>
      </c>
    </row>
    <row r="48420" spans="9:9" x14ac:dyDescent="0.2">
      <c r="I48420" s="137" t="s">
        <v>74</v>
      </c>
    </row>
    <row r="48421" spans="9:9" x14ac:dyDescent="0.2">
      <c r="I48421" s="137" t="s">
        <v>74</v>
      </c>
    </row>
    <row r="48422" spans="9:9" x14ac:dyDescent="0.2">
      <c r="I48422" s="137" t="s">
        <v>74</v>
      </c>
    </row>
    <row r="48423" spans="9:9" x14ac:dyDescent="0.2">
      <c r="I48423" s="137" t="s">
        <v>74</v>
      </c>
    </row>
    <row r="48424" spans="9:9" x14ac:dyDescent="0.2">
      <c r="I48424" s="137" t="s">
        <v>74</v>
      </c>
    </row>
    <row r="48425" spans="9:9" x14ac:dyDescent="0.2">
      <c r="I48425" s="137" t="s">
        <v>74</v>
      </c>
    </row>
    <row r="48426" spans="9:9" x14ac:dyDescent="0.2">
      <c r="I48426" s="137" t="s">
        <v>74</v>
      </c>
    </row>
    <row r="48427" spans="9:9" x14ac:dyDescent="0.2">
      <c r="I48427" s="137" t="s">
        <v>74</v>
      </c>
    </row>
    <row r="48428" spans="9:9" x14ac:dyDescent="0.2">
      <c r="I48428" s="137" t="s">
        <v>74</v>
      </c>
    </row>
    <row r="48429" spans="9:9" x14ac:dyDescent="0.2">
      <c r="I48429" s="137" t="s">
        <v>74</v>
      </c>
    </row>
    <row r="48430" spans="9:9" x14ac:dyDescent="0.2">
      <c r="I48430" s="137" t="s">
        <v>74</v>
      </c>
    </row>
    <row r="48431" spans="9:9" x14ac:dyDescent="0.2">
      <c r="I48431" s="137" t="s">
        <v>74</v>
      </c>
    </row>
    <row r="48432" spans="9:9" x14ac:dyDescent="0.2">
      <c r="I48432" s="137" t="s">
        <v>74</v>
      </c>
    </row>
    <row r="48433" spans="9:9" x14ac:dyDescent="0.2">
      <c r="I48433" s="137" t="s">
        <v>74</v>
      </c>
    </row>
    <row r="48434" spans="9:9" x14ac:dyDescent="0.2">
      <c r="I48434" s="137" t="s">
        <v>74</v>
      </c>
    </row>
    <row r="48435" spans="9:9" x14ac:dyDescent="0.2">
      <c r="I48435" s="137" t="s">
        <v>74</v>
      </c>
    </row>
    <row r="48436" spans="9:9" x14ac:dyDescent="0.2">
      <c r="I48436" s="137" t="s">
        <v>74</v>
      </c>
    </row>
    <row r="48437" spans="9:9" x14ac:dyDescent="0.2">
      <c r="I48437" s="137" t="s">
        <v>74</v>
      </c>
    </row>
    <row r="48438" spans="9:9" x14ac:dyDescent="0.2">
      <c r="I48438" s="137" t="s">
        <v>74</v>
      </c>
    </row>
    <row r="48439" spans="9:9" x14ac:dyDescent="0.2">
      <c r="I48439" s="137" t="s">
        <v>74</v>
      </c>
    </row>
    <row r="48440" spans="9:9" x14ac:dyDescent="0.2">
      <c r="I48440" s="137" t="s">
        <v>74</v>
      </c>
    </row>
    <row r="48441" spans="9:9" x14ac:dyDescent="0.2">
      <c r="I48441" s="137" t="s">
        <v>74</v>
      </c>
    </row>
    <row r="48442" spans="9:9" x14ac:dyDescent="0.2">
      <c r="I48442" s="137" t="s">
        <v>74</v>
      </c>
    </row>
    <row r="48443" spans="9:9" x14ac:dyDescent="0.2">
      <c r="I48443" s="137" t="s">
        <v>74</v>
      </c>
    </row>
    <row r="48444" spans="9:9" x14ac:dyDescent="0.2">
      <c r="I48444" s="137" t="s">
        <v>74</v>
      </c>
    </row>
    <row r="48445" spans="9:9" x14ac:dyDescent="0.2">
      <c r="I48445" s="137" t="s">
        <v>74</v>
      </c>
    </row>
    <row r="48446" spans="9:9" x14ac:dyDescent="0.2">
      <c r="I48446" s="137" t="s">
        <v>74</v>
      </c>
    </row>
    <row r="48447" spans="9:9" x14ac:dyDescent="0.2">
      <c r="I48447" s="137" t="s">
        <v>74</v>
      </c>
    </row>
    <row r="48448" spans="9:9" x14ac:dyDescent="0.2">
      <c r="I48448" s="137" t="s">
        <v>74</v>
      </c>
    </row>
    <row r="48449" spans="9:9" x14ac:dyDescent="0.2">
      <c r="I48449" s="137" t="s">
        <v>74</v>
      </c>
    </row>
    <row r="48450" spans="9:9" x14ac:dyDescent="0.2">
      <c r="I48450" s="137" t="s">
        <v>74</v>
      </c>
    </row>
    <row r="48451" spans="9:9" x14ac:dyDescent="0.2">
      <c r="I48451" s="137" t="s">
        <v>74</v>
      </c>
    </row>
    <row r="48452" spans="9:9" x14ac:dyDescent="0.2">
      <c r="I48452" s="137" t="s">
        <v>74</v>
      </c>
    </row>
    <row r="48453" spans="9:9" x14ac:dyDescent="0.2">
      <c r="I48453" s="137" t="s">
        <v>74</v>
      </c>
    </row>
    <row r="48454" spans="9:9" x14ac:dyDescent="0.2">
      <c r="I48454" s="137" t="s">
        <v>74</v>
      </c>
    </row>
    <row r="48455" spans="9:9" x14ac:dyDescent="0.2">
      <c r="I48455" s="137" t="s">
        <v>74</v>
      </c>
    </row>
    <row r="48456" spans="9:9" x14ac:dyDescent="0.2">
      <c r="I48456" s="137" t="s">
        <v>74</v>
      </c>
    </row>
    <row r="48457" spans="9:9" x14ac:dyDescent="0.2">
      <c r="I48457" s="137" t="s">
        <v>74</v>
      </c>
    </row>
    <row r="48458" spans="9:9" x14ac:dyDescent="0.2">
      <c r="I48458" s="137" t="s">
        <v>74</v>
      </c>
    </row>
    <row r="48459" spans="9:9" x14ac:dyDescent="0.2">
      <c r="I48459" s="137" t="s">
        <v>74</v>
      </c>
    </row>
    <row r="48460" spans="9:9" x14ac:dyDescent="0.2">
      <c r="I48460" s="137" t="s">
        <v>74</v>
      </c>
    </row>
    <row r="48461" spans="9:9" x14ac:dyDescent="0.2">
      <c r="I48461" s="137" t="s">
        <v>74</v>
      </c>
    </row>
    <row r="48462" spans="9:9" x14ac:dyDescent="0.2">
      <c r="I48462" s="137" t="s">
        <v>74</v>
      </c>
    </row>
    <row r="48463" spans="9:9" x14ac:dyDescent="0.2">
      <c r="I48463" s="137" t="s">
        <v>74</v>
      </c>
    </row>
    <row r="48464" spans="9:9" x14ac:dyDescent="0.2">
      <c r="I48464" s="137" t="s">
        <v>74</v>
      </c>
    </row>
    <row r="48465" spans="9:9" x14ac:dyDescent="0.2">
      <c r="I48465" s="137" t="s">
        <v>74</v>
      </c>
    </row>
    <row r="48466" spans="9:9" x14ac:dyDescent="0.2">
      <c r="I48466" s="137" t="s">
        <v>74</v>
      </c>
    </row>
    <row r="48467" spans="9:9" x14ac:dyDescent="0.2">
      <c r="I48467" s="137" t="s">
        <v>74</v>
      </c>
    </row>
    <row r="48468" spans="9:9" x14ac:dyDescent="0.2">
      <c r="I48468" s="137" t="s">
        <v>74</v>
      </c>
    </row>
    <row r="48469" spans="9:9" x14ac:dyDescent="0.2">
      <c r="I48469" s="137" t="s">
        <v>74</v>
      </c>
    </row>
    <row r="48470" spans="9:9" x14ac:dyDescent="0.2">
      <c r="I48470" s="137" t="s">
        <v>74</v>
      </c>
    </row>
    <row r="48471" spans="9:9" x14ac:dyDescent="0.2">
      <c r="I48471" s="137" t="s">
        <v>74</v>
      </c>
    </row>
    <row r="48472" spans="9:9" x14ac:dyDescent="0.2">
      <c r="I48472" s="137" t="s">
        <v>74</v>
      </c>
    </row>
    <row r="48473" spans="9:9" x14ac:dyDescent="0.2">
      <c r="I48473" s="137" t="s">
        <v>74</v>
      </c>
    </row>
    <row r="48474" spans="9:9" x14ac:dyDescent="0.2">
      <c r="I48474" s="137" t="s">
        <v>74</v>
      </c>
    </row>
    <row r="48475" spans="9:9" x14ac:dyDescent="0.2">
      <c r="I48475" s="137" t="s">
        <v>74</v>
      </c>
    </row>
    <row r="48476" spans="9:9" x14ac:dyDescent="0.2">
      <c r="I48476" s="137" t="s">
        <v>74</v>
      </c>
    </row>
    <row r="48477" spans="9:9" x14ac:dyDescent="0.2">
      <c r="I48477" s="137" t="s">
        <v>74</v>
      </c>
    </row>
    <row r="48478" spans="9:9" x14ac:dyDescent="0.2">
      <c r="I48478" s="137" t="s">
        <v>74</v>
      </c>
    </row>
    <row r="48479" spans="9:9" x14ac:dyDescent="0.2">
      <c r="I48479" s="137" t="s">
        <v>74</v>
      </c>
    </row>
    <row r="48480" spans="9:9" x14ac:dyDescent="0.2">
      <c r="I48480" s="137" t="s">
        <v>74</v>
      </c>
    </row>
    <row r="48481" spans="9:9" x14ac:dyDescent="0.2">
      <c r="I48481" s="137" t="s">
        <v>74</v>
      </c>
    </row>
    <row r="48482" spans="9:9" x14ac:dyDescent="0.2">
      <c r="I48482" s="137" t="s">
        <v>74</v>
      </c>
    </row>
    <row r="48483" spans="9:9" x14ac:dyDescent="0.2">
      <c r="I48483" s="137" t="s">
        <v>74</v>
      </c>
    </row>
    <row r="48484" spans="9:9" x14ac:dyDescent="0.2">
      <c r="I48484" s="137" t="s">
        <v>74</v>
      </c>
    </row>
    <row r="48485" spans="9:9" x14ac:dyDescent="0.2">
      <c r="I48485" s="137" t="s">
        <v>74</v>
      </c>
    </row>
    <row r="48486" spans="9:9" x14ac:dyDescent="0.2">
      <c r="I48486" s="137" t="s">
        <v>74</v>
      </c>
    </row>
    <row r="48487" spans="9:9" x14ac:dyDescent="0.2">
      <c r="I48487" s="137" t="s">
        <v>74</v>
      </c>
    </row>
    <row r="48488" spans="9:9" x14ac:dyDescent="0.2">
      <c r="I48488" s="137" t="s">
        <v>74</v>
      </c>
    </row>
    <row r="48489" spans="9:9" x14ac:dyDescent="0.2">
      <c r="I48489" s="137" t="s">
        <v>74</v>
      </c>
    </row>
    <row r="48490" spans="9:9" x14ac:dyDescent="0.2">
      <c r="I48490" s="137" t="s">
        <v>74</v>
      </c>
    </row>
    <row r="48491" spans="9:9" x14ac:dyDescent="0.2">
      <c r="I48491" s="137" t="s">
        <v>74</v>
      </c>
    </row>
    <row r="48492" spans="9:9" x14ac:dyDescent="0.2">
      <c r="I48492" s="137" t="s">
        <v>74</v>
      </c>
    </row>
    <row r="48493" spans="9:9" x14ac:dyDescent="0.2">
      <c r="I48493" s="137" t="s">
        <v>74</v>
      </c>
    </row>
    <row r="48494" spans="9:9" x14ac:dyDescent="0.2">
      <c r="I48494" s="137" t="s">
        <v>74</v>
      </c>
    </row>
    <row r="48495" spans="9:9" x14ac:dyDescent="0.2">
      <c r="I48495" s="137" t="s">
        <v>74</v>
      </c>
    </row>
    <row r="48496" spans="9:9" x14ac:dyDescent="0.2">
      <c r="I48496" s="137" t="s">
        <v>74</v>
      </c>
    </row>
    <row r="48497" spans="9:9" x14ac:dyDescent="0.2">
      <c r="I48497" s="137" t="s">
        <v>74</v>
      </c>
    </row>
    <row r="48498" spans="9:9" x14ac:dyDescent="0.2">
      <c r="I48498" s="137" t="s">
        <v>74</v>
      </c>
    </row>
    <row r="48499" spans="9:9" x14ac:dyDescent="0.2">
      <c r="I48499" s="137" t="s">
        <v>74</v>
      </c>
    </row>
    <row r="48500" spans="9:9" x14ac:dyDescent="0.2">
      <c r="I48500" s="137" t="s">
        <v>74</v>
      </c>
    </row>
    <row r="48501" spans="9:9" x14ac:dyDescent="0.2">
      <c r="I48501" s="137" t="s">
        <v>74</v>
      </c>
    </row>
    <row r="48502" spans="9:9" x14ac:dyDescent="0.2">
      <c r="I48502" s="137" t="s">
        <v>74</v>
      </c>
    </row>
    <row r="48503" spans="9:9" x14ac:dyDescent="0.2">
      <c r="I48503" s="137" t="s">
        <v>74</v>
      </c>
    </row>
    <row r="48504" spans="9:9" x14ac:dyDescent="0.2">
      <c r="I48504" s="137" t="s">
        <v>74</v>
      </c>
    </row>
    <row r="48505" spans="9:9" x14ac:dyDescent="0.2">
      <c r="I48505" s="137" t="s">
        <v>74</v>
      </c>
    </row>
    <row r="48506" spans="9:9" x14ac:dyDescent="0.2">
      <c r="I48506" s="137" t="s">
        <v>74</v>
      </c>
    </row>
    <row r="48507" spans="9:9" x14ac:dyDescent="0.2">
      <c r="I48507" s="137" t="s">
        <v>74</v>
      </c>
    </row>
    <row r="48508" spans="9:9" x14ac:dyDescent="0.2">
      <c r="I48508" s="137" t="s">
        <v>74</v>
      </c>
    </row>
    <row r="48509" spans="9:9" x14ac:dyDescent="0.2">
      <c r="I48509" s="137" t="s">
        <v>74</v>
      </c>
    </row>
    <row r="48510" spans="9:9" x14ac:dyDescent="0.2">
      <c r="I48510" s="137" t="s">
        <v>74</v>
      </c>
    </row>
    <row r="48511" spans="9:9" x14ac:dyDescent="0.2">
      <c r="I48511" s="137" t="s">
        <v>74</v>
      </c>
    </row>
    <row r="48512" spans="9:9" x14ac:dyDescent="0.2">
      <c r="I48512" s="137" t="s">
        <v>74</v>
      </c>
    </row>
    <row r="48513" spans="9:9" x14ac:dyDescent="0.2">
      <c r="I48513" s="137" t="s">
        <v>74</v>
      </c>
    </row>
    <row r="48514" spans="9:9" x14ac:dyDescent="0.2">
      <c r="I48514" s="137" t="s">
        <v>74</v>
      </c>
    </row>
    <row r="48515" spans="9:9" x14ac:dyDescent="0.2">
      <c r="I48515" s="137" t="s">
        <v>74</v>
      </c>
    </row>
    <row r="48516" spans="9:9" x14ac:dyDescent="0.2">
      <c r="I48516" s="137" t="s">
        <v>74</v>
      </c>
    </row>
    <row r="48517" spans="9:9" x14ac:dyDescent="0.2">
      <c r="I48517" s="137" t="s">
        <v>74</v>
      </c>
    </row>
    <row r="48518" spans="9:9" x14ac:dyDescent="0.2">
      <c r="I48518" s="137" t="s">
        <v>74</v>
      </c>
    </row>
    <row r="48519" spans="9:9" x14ac:dyDescent="0.2">
      <c r="I48519" s="137" t="s">
        <v>74</v>
      </c>
    </row>
    <row r="48520" spans="9:9" x14ac:dyDescent="0.2">
      <c r="I48520" s="137" t="s">
        <v>74</v>
      </c>
    </row>
    <row r="48521" spans="9:9" x14ac:dyDescent="0.2">
      <c r="I48521" s="137" t="s">
        <v>74</v>
      </c>
    </row>
    <row r="48522" spans="9:9" x14ac:dyDescent="0.2">
      <c r="I48522" s="137" t="s">
        <v>74</v>
      </c>
    </row>
    <row r="48523" spans="9:9" x14ac:dyDescent="0.2">
      <c r="I48523" s="137" t="s">
        <v>74</v>
      </c>
    </row>
    <row r="48524" spans="9:9" x14ac:dyDescent="0.2">
      <c r="I48524" s="137" t="s">
        <v>74</v>
      </c>
    </row>
    <row r="48525" spans="9:9" x14ac:dyDescent="0.2">
      <c r="I48525" s="137" t="s">
        <v>74</v>
      </c>
    </row>
    <row r="48526" spans="9:9" x14ac:dyDescent="0.2">
      <c r="I48526" s="137" t="s">
        <v>74</v>
      </c>
    </row>
    <row r="48527" spans="9:9" x14ac:dyDescent="0.2">
      <c r="I48527" s="137" t="s">
        <v>74</v>
      </c>
    </row>
    <row r="48528" spans="9:9" x14ac:dyDescent="0.2">
      <c r="I48528" s="137" t="s">
        <v>74</v>
      </c>
    </row>
    <row r="48529" spans="9:9" x14ac:dyDescent="0.2">
      <c r="I48529" s="137" t="s">
        <v>74</v>
      </c>
    </row>
    <row r="48530" spans="9:9" x14ac:dyDescent="0.2">
      <c r="I48530" s="137" t="s">
        <v>74</v>
      </c>
    </row>
    <row r="48531" spans="9:9" x14ac:dyDescent="0.2">
      <c r="I48531" s="137" t="s">
        <v>74</v>
      </c>
    </row>
    <row r="48532" spans="9:9" x14ac:dyDescent="0.2">
      <c r="I48532" s="137" t="s">
        <v>74</v>
      </c>
    </row>
    <row r="48533" spans="9:9" x14ac:dyDescent="0.2">
      <c r="I48533" s="137" t="s">
        <v>74</v>
      </c>
    </row>
    <row r="48534" spans="9:9" x14ac:dyDescent="0.2">
      <c r="I48534" s="137" t="s">
        <v>74</v>
      </c>
    </row>
    <row r="48535" spans="9:9" x14ac:dyDescent="0.2">
      <c r="I48535" s="137" t="s">
        <v>74</v>
      </c>
    </row>
    <row r="48536" spans="9:9" x14ac:dyDescent="0.2">
      <c r="I48536" s="137" t="s">
        <v>74</v>
      </c>
    </row>
    <row r="48537" spans="9:9" x14ac:dyDescent="0.2">
      <c r="I48537" s="137" t="s">
        <v>74</v>
      </c>
    </row>
    <row r="48538" spans="9:9" x14ac:dyDescent="0.2">
      <c r="I48538" s="137" t="s">
        <v>74</v>
      </c>
    </row>
    <row r="48539" spans="9:9" x14ac:dyDescent="0.2">
      <c r="I48539" s="137" t="s">
        <v>74</v>
      </c>
    </row>
    <row r="48540" spans="9:9" x14ac:dyDescent="0.2">
      <c r="I48540" s="137" t="s">
        <v>74</v>
      </c>
    </row>
    <row r="48541" spans="9:9" x14ac:dyDescent="0.2">
      <c r="I48541" s="137" t="s">
        <v>74</v>
      </c>
    </row>
    <row r="48542" spans="9:9" x14ac:dyDescent="0.2">
      <c r="I48542" s="137" t="s">
        <v>74</v>
      </c>
    </row>
    <row r="48543" spans="9:9" x14ac:dyDescent="0.2">
      <c r="I48543" s="137" t="s">
        <v>74</v>
      </c>
    </row>
    <row r="48544" spans="9:9" x14ac:dyDescent="0.2">
      <c r="I48544" s="137" t="s">
        <v>74</v>
      </c>
    </row>
    <row r="48545" spans="9:9" x14ac:dyDescent="0.2">
      <c r="I48545" s="137" t="s">
        <v>74</v>
      </c>
    </row>
    <row r="48546" spans="9:9" x14ac:dyDescent="0.2">
      <c r="I48546" s="137" t="s">
        <v>74</v>
      </c>
    </row>
    <row r="48547" spans="9:9" x14ac:dyDescent="0.2">
      <c r="I48547" s="137" t="s">
        <v>74</v>
      </c>
    </row>
    <row r="48548" spans="9:9" x14ac:dyDescent="0.2">
      <c r="I48548" s="137" t="s">
        <v>74</v>
      </c>
    </row>
    <row r="48549" spans="9:9" x14ac:dyDescent="0.2">
      <c r="I48549" s="137" t="s">
        <v>74</v>
      </c>
    </row>
    <row r="48550" spans="9:9" x14ac:dyDescent="0.2">
      <c r="I48550" s="137" t="s">
        <v>74</v>
      </c>
    </row>
    <row r="48551" spans="9:9" x14ac:dyDescent="0.2">
      <c r="I48551" s="137" t="s">
        <v>74</v>
      </c>
    </row>
    <row r="48552" spans="9:9" x14ac:dyDescent="0.2">
      <c r="I48552" s="137" t="s">
        <v>74</v>
      </c>
    </row>
    <row r="48553" spans="9:9" x14ac:dyDescent="0.2">
      <c r="I48553" s="137" t="s">
        <v>74</v>
      </c>
    </row>
    <row r="48554" spans="9:9" x14ac:dyDescent="0.2">
      <c r="I48554" s="137" t="s">
        <v>74</v>
      </c>
    </row>
    <row r="48555" spans="9:9" x14ac:dyDescent="0.2">
      <c r="I48555" s="137" t="s">
        <v>74</v>
      </c>
    </row>
    <row r="48556" spans="9:9" x14ac:dyDescent="0.2">
      <c r="I48556" s="137" t="s">
        <v>74</v>
      </c>
    </row>
    <row r="48557" spans="9:9" x14ac:dyDescent="0.2">
      <c r="I48557" s="137" t="s">
        <v>74</v>
      </c>
    </row>
    <row r="48558" spans="9:9" x14ac:dyDescent="0.2">
      <c r="I48558" s="137" t="s">
        <v>74</v>
      </c>
    </row>
    <row r="48559" spans="9:9" x14ac:dyDescent="0.2">
      <c r="I48559" s="137" t="s">
        <v>74</v>
      </c>
    </row>
    <row r="48560" spans="9:9" x14ac:dyDescent="0.2">
      <c r="I48560" s="137" t="s">
        <v>74</v>
      </c>
    </row>
    <row r="48561" spans="9:9" x14ac:dyDescent="0.2">
      <c r="I48561" s="137" t="s">
        <v>74</v>
      </c>
    </row>
    <row r="48562" spans="9:9" x14ac:dyDescent="0.2">
      <c r="I48562" s="137" t="s">
        <v>74</v>
      </c>
    </row>
    <row r="48563" spans="9:9" x14ac:dyDescent="0.2">
      <c r="I48563" s="137" t="s">
        <v>74</v>
      </c>
    </row>
    <row r="48564" spans="9:9" x14ac:dyDescent="0.2">
      <c r="I48564" s="137" t="s">
        <v>74</v>
      </c>
    </row>
    <row r="48565" spans="9:9" x14ac:dyDescent="0.2">
      <c r="I48565" s="137" t="s">
        <v>74</v>
      </c>
    </row>
    <row r="48566" spans="9:9" x14ac:dyDescent="0.2">
      <c r="I48566" s="137" t="s">
        <v>74</v>
      </c>
    </row>
    <row r="48567" spans="9:9" x14ac:dyDescent="0.2">
      <c r="I48567" s="137" t="s">
        <v>74</v>
      </c>
    </row>
    <row r="48568" spans="9:9" x14ac:dyDescent="0.2">
      <c r="I48568" s="137" t="s">
        <v>74</v>
      </c>
    </row>
    <row r="48569" spans="9:9" x14ac:dyDescent="0.2">
      <c r="I48569" s="137" t="s">
        <v>74</v>
      </c>
    </row>
    <row r="48570" spans="9:9" x14ac:dyDescent="0.2">
      <c r="I48570" s="137" t="s">
        <v>74</v>
      </c>
    </row>
    <row r="48571" spans="9:9" x14ac:dyDescent="0.2">
      <c r="I48571" s="137" t="s">
        <v>74</v>
      </c>
    </row>
    <row r="48572" spans="9:9" x14ac:dyDescent="0.2">
      <c r="I48572" s="137" t="s">
        <v>74</v>
      </c>
    </row>
    <row r="48573" spans="9:9" x14ac:dyDescent="0.2">
      <c r="I48573" s="137" t="s">
        <v>74</v>
      </c>
    </row>
    <row r="48574" spans="9:9" x14ac:dyDescent="0.2">
      <c r="I48574" s="137" t="s">
        <v>74</v>
      </c>
    </row>
    <row r="48575" spans="9:9" x14ac:dyDescent="0.2">
      <c r="I48575" s="137" t="s">
        <v>74</v>
      </c>
    </row>
    <row r="48576" spans="9:9" x14ac:dyDescent="0.2">
      <c r="I48576" s="137" t="s">
        <v>74</v>
      </c>
    </row>
    <row r="48577" spans="9:9" x14ac:dyDescent="0.2">
      <c r="I48577" s="137" t="s">
        <v>74</v>
      </c>
    </row>
    <row r="48578" spans="9:9" x14ac:dyDescent="0.2">
      <c r="I48578" s="137" t="s">
        <v>74</v>
      </c>
    </row>
    <row r="48579" spans="9:9" x14ac:dyDescent="0.2">
      <c r="I48579" s="137" t="s">
        <v>74</v>
      </c>
    </row>
    <row r="48580" spans="9:9" x14ac:dyDescent="0.2">
      <c r="I48580" s="137" t="s">
        <v>74</v>
      </c>
    </row>
    <row r="48581" spans="9:9" x14ac:dyDescent="0.2">
      <c r="I48581" s="137" t="s">
        <v>74</v>
      </c>
    </row>
    <row r="48582" spans="9:9" x14ac:dyDescent="0.2">
      <c r="I48582" s="137" t="s">
        <v>74</v>
      </c>
    </row>
    <row r="48583" spans="9:9" x14ac:dyDescent="0.2">
      <c r="I48583" s="137" t="s">
        <v>74</v>
      </c>
    </row>
    <row r="48584" spans="9:9" x14ac:dyDescent="0.2">
      <c r="I48584" s="137" t="s">
        <v>74</v>
      </c>
    </row>
    <row r="48585" spans="9:9" x14ac:dyDescent="0.2">
      <c r="I48585" s="137" t="s">
        <v>74</v>
      </c>
    </row>
    <row r="48586" spans="9:9" x14ac:dyDescent="0.2">
      <c r="I48586" s="137" t="s">
        <v>74</v>
      </c>
    </row>
    <row r="48587" spans="9:9" x14ac:dyDescent="0.2">
      <c r="I48587" s="137" t="s">
        <v>74</v>
      </c>
    </row>
    <row r="48588" spans="9:9" x14ac:dyDescent="0.2">
      <c r="I48588" s="137" t="s">
        <v>74</v>
      </c>
    </row>
    <row r="48589" spans="9:9" x14ac:dyDescent="0.2">
      <c r="I48589" s="137" t="s">
        <v>74</v>
      </c>
    </row>
    <row r="48590" spans="9:9" x14ac:dyDescent="0.2">
      <c r="I48590" s="137" t="s">
        <v>74</v>
      </c>
    </row>
    <row r="48591" spans="9:9" x14ac:dyDescent="0.2">
      <c r="I48591" s="137" t="s">
        <v>74</v>
      </c>
    </row>
    <row r="48592" spans="9:9" x14ac:dyDescent="0.2">
      <c r="I48592" s="137" t="s">
        <v>74</v>
      </c>
    </row>
    <row r="48593" spans="9:9" x14ac:dyDescent="0.2">
      <c r="I48593" s="137" t="s">
        <v>74</v>
      </c>
    </row>
    <row r="48594" spans="9:9" x14ac:dyDescent="0.2">
      <c r="I48594" s="137" t="s">
        <v>74</v>
      </c>
    </row>
    <row r="48595" spans="9:9" x14ac:dyDescent="0.2">
      <c r="I48595" s="137" t="s">
        <v>74</v>
      </c>
    </row>
    <row r="48596" spans="9:9" x14ac:dyDescent="0.2">
      <c r="I48596" s="137" t="s">
        <v>74</v>
      </c>
    </row>
    <row r="48597" spans="9:9" x14ac:dyDescent="0.2">
      <c r="I48597" s="137" t="s">
        <v>74</v>
      </c>
    </row>
    <row r="48598" spans="9:9" x14ac:dyDescent="0.2">
      <c r="I48598" s="137" t="s">
        <v>74</v>
      </c>
    </row>
    <row r="48599" spans="9:9" x14ac:dyDescent="0.2">
      <c r="I48599" s="137" t="s">
        <v>74</v>
      </c>
    </row>
    <row r="48600" spans="9:9" x14ac:dyDescent="0.2">
      <c r="I48600" s="137" t="s">
        <v>74</v>
      </c>
    </row>
    <row r="48601" spans="9:9" x14ac:dyDescent="0.2">
      <c r="I48601" s="137" t="s">
        <v>74</v>
      </c>
    </row>
    <row r="48602" spans="9:9" x14ac:dyDescent="0.2">
      <c r="I48602" s="137" t="s">
        <v>74</v>
      </c>
    </row>
    <row r="48603" spans="9:9" x14ac:dyDescent="0.2">
      <c r="I48603" s="137" t="s">
        <v>74</v>
      </c>
    </row>
    <row r="48604" spans="9:9" x14ac:dyDescent="0.2">
      <c r="I48604" s="137" t="s">
        <v>74</v>
      </c>
    </row>
    <row r="48605" spans="9:9" x14ac:dyDescent="0.2">
      <c r="I48605" s="137" t="s">
        <v>74</v>
      </c>
    </row>
    <row r="48606" spans="9:9" x14ac:dyDescent="0.2">
      <c r="I48606" s="137" t="s">
        <v>74</v>
      </c>
    </row>
    <row r="48607" spans="9:9" x14ac:dyDescent="0.2">
      <c r="I48607" s="137" t="s">
        <v>74</v>
      </c>
    </row>
    <row r="48608" spans="9:9" x14ac:dyDescent="0.2">
      <c r="I48608" s="137" t="s">
        <v>74</v>
      </c>
    </row>
    <row r="48609" spans="9:9" x14ac:dyDescent="0.2">
      <c r="I48609" s="137" t="s">
        <v>74</v>
      </c>
    </row>
    <row r="48610" spans="9:9" x14ac:dyDescent="0.2">
      <c r="I48610" s="137" t="s">
        <v>74</v>
      </c>
    </row>
    <row r="48611" spans="9:9" x14ac:dyDescent="0.2">
      <c r="I48611" s="137" t="s">
        <v>74</v>
      </c>
    </row>
    <row r="48612" spans="9:9" x14ac:dyDescent="0.2">
      <c r="I48612" s="137" t="s">
        <v>74</v>
      </c>
    </row>
    <row r="48613" spans="9:9" x14ac:dyDescent="0.2">
      <c r="I48613" s="137" t="s">
        <v>74</v>
      </c>
    </row>
    <row r="48614" spans="9:9" x14ac:dyDescent="0.2">
      <c r="I48614" s="137" t="s">
        <v>74</v>
      </c>
    </row>
    <row r="48615" spans="9:9" x14ac:dyDescent="0.2">
      <c r="I48615" s="137" t="s">
        <v>74</v>
      </c>
    </row>
    <row r="48616" spans="9:9" x14ac:dyDescent="0.2">
      <c r="I48616" s="137" t="s">
        <v>74</v>
      </c>
    </row>
    <row r="48617" spans="9:9" x14ac:dyDescent="0.2">
      <c r="I48617" s="137" t="s">
        <v>74</v>
      </c>
    </row>
    <row r="48618" spans="9:9" x14ac:dyDescent="0.2">
      <c r="I48618" s="137" t="s">
        <v>74</v>
      </c>
    </row>
    <row r="48619" spans="9:9" x14ac:dyDescent="0.2">
      <c r="I48619" s="137" t="s">
        <v>74</v>
      </c>
    </row>
    <row r="48620" spans="9:9" x14ac:dyDescent="0.2">
      <c r="I48620" s="137" t="s">
        <v>74</v>
      </c>
    </row>
    <row r="48621" spans="9:9" x14ac:dyDescent="0.2">
      <c r="I48621" s="137" t="s">
        <v>74</v>
      </c>
    </row>
    <row r="48622" spans="9:9" x14ac:dyDescent="0.2">
      <c r="I48622" s="137" t="s">
        <v>74</v>
      </c>
    </row>
    <row r="48623" spans="9:9" x14ac:dyDescent="0.2">
      <c r="I48623" s="137" t="s">
        <v>74</v>
      </c>
    </row>
    <row r="48624" spans="9:9" x14ac:dyDescent="0.2">
      <c r="I48624" s="137" t="s">
        <v>74</v>
      </c>
    </row>
    <row r="48625" spans="9:9" x14ac:dyDescent="0.2">
      <c r="I48625" s="137" t="s">
        <v>74</v>
      </c>
    </row>
    <row r="48626" spans="9:9" x14ac:dyDescent="0.2">
      <c r="I48626" s="137" t="s">
        <v>74</v>
      </c>
    </row>
    <row r="48627" spans="9:9" x14ac:dyDescent="0.2">
      <c r="I48627" s="137" t="s">
        <v>74</v>
      </c>
    </row>
    <row r="48628" spans="9:9" x14ac:dyDescent="0.2">
      <c r="I48628" s="137" t="s">
        <v>74</v>
      </c>
    </row>
    <row r="48629" spans="9:9" x14ac:dyDescent="0.2">
      <c r="I48629" s="137" t="s">
        <v>74</v>
      </c>
    </row>
    <row r="48630" spans="9:9" x14ac:dyDescent="0.2">
      <c r="I48630" s="137" t="s">
        <v>74</v>
      </c>
    </row>
    <row r="48631" spans="9:9" x14ac:dyDescent="0.2">
      <c r="I48631" s="137" t="s">
        <v>74</v>
      </c>
    </row>
    <row r="48632" spans="9:9" x14ac:dyDescent="0.2">
      <c r="I48632" s="137" t="s">
        <v>74</v>
      </c>
    </row>
    <row r="48633" spans="9:9" x14ac:dyDescent="0.2">
      <c r="I48633" s="137" t="s">
        <v>74</v>
      </c>
    </row>
    <row r="48634" spans="9:9" x14ac:dyDescent="0.2">
      <c r="I48634" s="137" t="s">
        <v>74</v>
      </c>
    </row>
    <row r="48635" spans="9:9" x14ac:dyDescent="0.2">
      <c r="I48635" s="137" t="s">
        <v>74</v>
      </c>
    </row>
    <row r="48636" spans="9:9" x14ac:dyDescent="0.2">
      <c r="I48636" s="137" t="s">
        <v>74</v>
      </c>
    </row>
    <row r="48637" spans="9:9" x14ac:dyDescent="0.2">
      <c r="I48637" s="137" t="s">
        <v>74</v>
      </c>
    </row>
    <row r="48638" spans="9:9" x14ac:dyDescent="0.2">
      <c r="I48638" s="137" t="s">
        <v>74</v>
      </c>
    </row>
    <row r="48639" spans="9:9" x14ac:dyDescent="0.2">
      <c r="I48639" s="137" t="s">
        <v>74</v>
      </c>
    </row>
    <row r="48640" spans="9:9" x14ac:dyDescent="0.2">
      <c r="I48640" s="137" t="s">
        <v>74</v>
      </c>
    </row>
    <row r="48641" spans="9:9" x14ac:dyDescent="0.2">
      <c r="I48641" s="137" t="s">
        <v>74</v>
      </c>
    </row>
    <row r="48642" spans="9:9" x14ac:dyDescent="0.2">
      <c r="I48642" s="137" t="s">
        <v>74</v>
      </c>
    </row>
    <row r="48643" spans="9:9" x14ac:dyDescent="0.2">
      <c r="I48643" s="137" t="s">
        <v>74</v>
      </c>
    </row>
    <row r="48644" spans="9:9" x14ac:dyDescent="0.2">
      <c r="I48644" s="137" t="s">
        <v>74</v>
      </c>
    </row>
    <row r="48645" spans="9:9" x14ac:dyDescent="0.2">
      <c r="I48645" s="137" t="s">
        <v>74</v>
      </c>
    </row>
    <row r="48646" spans="9:9" x14ac:dyDescent="0.2">
      <c r="I48646" s="137" t="s">
        <v>74</v>
      </c>
    </row>
    <row r="48647" spans="9:9" x14ac:dyDescent="0.2">
      <c r="I48647" s="137" t="s">
        <v>74</v>
      </c>
    </row>
    <row r="48648" spans="9:9" x14ac:dyDescent="0.2">
      <c r="I48648" s="137" t="s">
        <v>74</v>
      </c>
    </row>
    <row r="48649" spans="9:9" x14ac:dyDescent="0.2">
      <c r="I48649" s="137" t="s">
        <v>74</v>
      </c>
    </row>
    <row r="48650" spans="9:9" x14ac:dyDescent="0.2">
      <c r="I48650" s="137" t="s">
        <v>74</v>
      </c>
    </row>
    <row r="48651" spans="9:9" x14ac:dyDescent="0.2">
      <c r="I48651" s="137" t="s">
        <v>74</v>
      </c>
    </row>
    <row r="48652" spans="9:9" x14ac:dyDescent="0.2">
      <c r="I48652" s="137" t="s">
        <v>74</v>
      </c>
    </row>
    <row r="48653" spans="9:9" x14ac:dyDescent="0.2">
      <c r="I48653" s="137" t="s">
        <v>74</v>
      </c>
    </row>
    <row r="48654" spans="9:9" x14ac:dyDescent="0.2">
      <c r="I48654" s="137" t="s">
        <v>74</v>
      </c>
    </row>
    <row r="48655" spans="9:9" x14ac:dyDescent="0.2">
      <c r="I48655" s="137" t="s">
        <v>74</v>
      </c>
    </row>
    <row r="48656" spans="9:9" x14ac:dyDescent="0.2">
      <c r="I48656" s="137" t="s">
        <v>74</v>
      </c>
    </row>
    <row r="48657" spans="9:9" x14ac:dyDescent="0.2">
      <c r="I48657" s="137" t="s">
        <v>74</v>
      </c>
    </row>
    <row r="48658" spans="9:9" x14ac:dyDescent="0.2">
      <c r="I48658" s="137" t="s">
        <v>74</v>
      </c>
    </row>
    <row r="48659" spans="9:9" x14ac:dyDescent="0.2">
      <c r="I48659" s="137" t="s">
        <v>74</v>
      </c>
    </row>
    <row r="48660" spans="9:9" x14ac:dyDescent="0.2">
      <c r="I48660" s="137" t="s">
        <v>74</v>
      </c>
    </row>
    <row r="48661" spans="9:9" x14ac:dyDescent="0.2">
      <c r="I48661" s="137" t="s">
        <v>74</v>
      </c>
    </row>
    <row r="48662" spans="9:9" x14ac:dyDescent="0.2">
      <c r="I48662" s="137" t="s">
        <v>74</v>
      </c>
    </row>
    <row r="48663" spans="9:9" x14ac:dyDescent="0.2">
      <c r="I48663" s="137" t="s">
        <v>74</v>
      </c>
    </row>
    <row r="48664" spans="9:9" x14ac:dyDescent="0.2">
      <c r="I48664" s="137" t="s">
        <v>74</v>
      </c>
    </row>
    <row r="48665" spans="9:9" x14ac:dyDescent="0.2">
      <c r="I48665" s="137" t="s">
        <v>74</v>
      </c>
    </row>
    <row r="48666" spans="9:9" x14ac:dyDescent="0.2">
      <c r="I48666" s="137" t="s">
        <v>74</v>
      </c>
    </row>
    <row r="48667" spans="9:9" x14ac:dyDescent="0.2">
      <c r="I48667" s="137" t="s">
        <v>74</v>
      </c>
    </row>
    <row r="48668" spans="9:9" x14ac:dyDescent="0.2">
      <c r="I48668" s="137" t="s">
        <v>74</v>
      </c>
    </row>
    <row r="48669" spans="9:9" x14ac:dyDescent="0.2">
      <c r="I48669" s="137" t="s">
        <v>74</v>
      </c>
    </row>
    <row r="48670" spans="9:9" x14ac:dyDescent="0.2">
      <c r="I48670" s="137" t="s">
        <v>74</v>
      </c>
    </row>
    <row r="48671" spans="9:9" x14ac:dyDescent="0.2">
      <c r="I48671" s="137" t="s">
        <v>74</v>
      </c>
    </row>
    <row r="48672" spans="9:9" x14ac:dyDescent="0.2">
      <c r="I48672" s="137" t="s">
        <v>74</v>
      </c>
    </row>
    <row r="48673" spans="9:9" x14ac:dyDescent="0.2">
      <c r="I48673" s="137" t="s">
        <v>74</v>
      </c>
    </row>
    <row r="48674" spans="9:9" x14ac:dyDescent="0.2">
      <c r="I48674" s="137" t="s">
        <v>74</v>
      </c>
    </row>
    <row r="48675" spans="9:9" x14ac:dyDescent="0.2">
      <c r="I48675" s="137" t="s">
        <v>74</v>
      </c>
    </row>
    <row r="48676" spans="9:9" x14ac:dyDescent="0.2">
      <c r="I48676" s="137" t="s">
        <v>74</v>
      </c>
    </row>
    <row r="48677" spans="9:9" x14ac:dyDescent="0.2">
      <c r="I48677" s="137" t="s">
        <v>74</v>
      </c>
    </row>
    <row r="48678" spans="9:9" x14ac:dyDescent="0.2">
      <c r="I48678" s="137" t="s">
        <v>74</v>
      </c>
    </row>
    <row r="48679" spans="9:9" x14ac:dyDescent="0.2">
      <c r="I48679" s="137" t="s">
        <v>74</v>
      </c>
    </row>
    <row r="48680" spans="9:9" x14ac:dyDescent="0.2">
      <c r="I48680" s="137" t="s">
        <v>74</v>
      </c>
    </row>
    <row r="48681" spans="9:9" x14ac:dyDescent="0.2">
      <c r="I48681" s="137" t="s">
        <v>74</v>
      </c>
    </row>
    <row r="48682" spans="9:9" x14ac:dyDescent="0.2">
      <c r="I48682" s="137" t="s">
        <v>74</v>
      </c>
    </row>
    <row r="48683" spans="9:9" x14ac:dyDescent="0.2">
      <c r="I48683" s="137" t="s">
        <v>74</v>
      </c>
    </row>
    <row r="48684" spans="9:9" x14ac:dyDescent="0.2">
      <c r="I48684" s="137" t="s">
        <v>74</v>
      </c>
    </row>
    <row r="48685" spans="9:9" x14ac:dyDescent="0.2">
      <c r="I48685" s="137" t="s">
        <v>74</v>
      </c>
    </row>
    <row r="48686" spans="9:9" x14ac:dyDescent="0.2">
      <c r="I48686" s="137" t="s">
        <v>74</v>
      </c>
    </row>
    <row r="48687" spans="9:9" x14ac:dyDescent="0.2">
      <c r="I48687" s="137" t="s">
        <v>74</v>
      </c>
    </row>
    <row r="48688" spans="9:9" x14ac:dyDescent="0.2">
      <c r="I48688" s="137" t="s">
        <v>74</v>
      </c>
    </row>
    <row r="48689" spans="9:9" x14ac:dyDescent="0.2">
      <c r="I48689" s="137" t="s">
        <v>74</v>
      </c>
    </row>
    <row r="48690" spans="9:9" x14ac:dyDescent="0.2">
      <c r="I48690" s="137" t="s">
        <v>74</v>
      </c>
    </row>
    <row r="48691" spans="9:9" x14ac:dyDescent="0.2">
      <c r="I48691" s="137" t="s">
        <v>74</v>
      </c>
    </row>
    <row r="48692" spans="9:9" x14ac:dyDescent="0.2">
      <c r="I48692" s="137" t="s">
        <v>74</v>
      </c>
    </row>
    <row r="48693" spans="9:9" x14ac:dyDescent="0.2">
      <c r="I48693" s="137" t="s">
        <v>74</v>
      </c>
    </row>
    <row r="48694" spans="9:9" x14ac:dyDescent="0.2">
      <c r="I48694" s="137" t="s">
        <v>74</v>
      </c>
    </row>
    <row r="48695" spans="9:9" x14ac:dyDescent="0.2">
      <c r="I48695" s="137" t="s">
        <v>74</v>
      </c>
    </row>
    <row r="48696" spans="9:9" x14ac:dyDescent="0.2">
      <c r="I48696" s="137" t="s">
        <v>74</v>
      </c>
    </row>
    <row r="48697" spans="9:9" x14ac:dyDescent="0.2">
      <c r="I48697" s="137" t="s">
        <v>74</v>
      </c>
    </row>
    <row r="48698" spans="9:9" x14ac:dyDescent="0.2">
      <c r="I48698" s="137" t="s">
        <v>74</v>
      </c>
    </row>
    <row r="48699" spans="9:9" x14ac:dyDescent="0.2">
      <c r="I48699" s="137" t="s">
        <v>74</v>
      </c>
    </row>
    <row r="48700" spans="9:9" x14ac:dyDescent="0.2">
      <c r="I48700" s="137" t="s">
        <v>74</v>
      </c>
    </row>
    <row r="48701" spans="9:9" x14ac:dyDescent="0.2">
      <c r="I48701" s="137" t="s">
        <v>74</v>
      </c>
    </row>
    <row r="48702" spans="9:9" x14ac:dyDescent="0.2">
      <c r="I48702" s="137" t="s">
        <v>74</v>
      </c>
    </row>
    <row r="48703" spans="9:9" x14ac:dyDescent="0.2">
      <c r="I48703" s="137" t="s">
        <v>74</v>
      </c>
    </row>
    <row r="48704" spans="9:9" x14ac:dyDescent="0.2">
      <c r="I48704" s="137" t="s">
        <v>74</v>
      </c>
    </row>
    <row r="48705" spans="9:9" x14ac:dyDescent="0.2">
      <c r="I48705" s="137" t="s">
        <v>74</v>
      </c>
    </row>
    <row r="48706" spans="9:9" x14ac:dyDescent="0.2">
      <c r="I48706" s="137" t="s">
        <v>74</v>
      </c>
    </row>
    <row r="48707" spans="9:9" x14ac:dyDescent="0.2">
      <c r="I48707" s="137" t="s">
        <v>74</v>
      </c>
    </row>
    <row r="48708" spans="9:9" x14ac:dyDescent="0.2">
      <c r="I48708" s="137" t="s">
        <v>74</v>
      </c>
    </row>
    <row r="48709" spans="9:9" x14ac:dyDescent="0.2">
      <c r="I48709" s="137" t="s">
        <v>74</v>
      </c>
    </row>
    <row r="48710" spans="9:9" x14ac:dyDescent="0.2">
      <c r="I48710" s="137" t="s">
        <v>74</v>
      </c>
    </row>
    <row r="48711" spans="9:9" x14ac:dyDescent="0.2">
      <c r="I48711" s="137" t="s">
        <v>74</v>
      </c>
    </row>
    <row r="48712" spans="9:9" x14ac:dyDescent="0.2">
      <c r="I48712" s="137" t="s">
        <v>74</v>
      </c>
    </row>
    <row r="48713" spans="9:9" x14ac:dyDescent="0.2">
      <c r="I48713" s="137" t="s">
        <v>74</v>
      </c>
    </row>
    <row r="48714" spans="9:9" x14ac:dyDescent="0.2">
      <c r="I48714" s="137" t="s">
        <v>74</v>
      </c>
    </row>
    <row r="48715" spans="9:9" x14ac:dyDescent="0.2">
      <c r="I48715" s="137" t="s">
        <v>74</v>
      </c>
    </row>
    <row r="48716" spans="9:9" x14ac:dyDescent="0.2">
      <c r="I48716" s="137" t="s">
        <v>74</v>
      </c>
    </row>
    <row r="48717" spans="9:9" x14ac:dyDescent="0.2">
      <c r="I48717" s="137" t="s">
        <v>74</v>
      </c>
    </row>
    <row r="48718" spans="9:9" x14ac:dyDescent="0.2">
      <c r="I48718" s="137" t="s">
        <v>74</v>
      </c>
    </row>
    <row r="48719" spans="9:9" x14ac:dyDescent="0.2">
      <c r="I48719" s="137" t="s">
        <v>74</v>
      </c>
    </row>
    <row r="48720" spans="9:9" x14ac:dyDescent="0.2">
      <c r="I48720" s="137" t="s">
        <v>74</v>
      </c>
    </row>
    <row r="48721" spans="9:9" x14ac:dyDescent="0.2">
      <c r="I48721" s="137" t="s">
        <v>74</v>
      </c>
    </row>
    <row r="48722" spans="9:9" x14ac:dyDescent="0.2">
      <c r="I48722" s="137" t="s">
        <v>74</v>
      </c>
    </row>
    <row r="48723" spans="9:9" x14ac:dyDescent="0.2">
      <c r="I48723" s="137" t="s">
        <v>74</v>
      </c>
    </row>
    <row r="48724" spans="9:9" x14ac:dyDescent="0.2">
      <c r="I48724" s="137" t="s">
        <v>74</v>
      </c>
    </row>
    <row r="48725" spans="9:9" x14ac:dyDescent="0.2">
      <c r="I48725" s="137" t="s">
        <v>74</v>
      </c>
    </row>
    <row r="48726" spans="9:9" x14ac:dyDescent="0.2">
      <c r="I48726" s="137" t="s">
        <v>74</v>
      </c>
    </row>
    <row r="48727" spans="9:9" x14ac:dyDescent="0.2">
      <c r="I48727" s="137" t="s">
        <v>74</v>
      </c>
    </row>
    <row r="48728" spans="9:9" x14ac:dyDescent="0.2">
      <c r="I48728" s="137" t="s">
        <v>74</v>
      </c>
    </row>
    <row r="48729" spans="9:9" x14ac:dyDescent="0.2">
      <c r="I48729" s="137" t="s">
        <v>74</v>
      </c>
    </row>
    <row r="48730" spans="9:9" x14ac:dyDescent="0.2">
      <c r="I48730" s="137" t="s">
        <v>74</v>
      </c>
    </row>
    <row r="48731" spans="9:9" x14ac:dyDescent="0.2">
      <c r="I48731" s="137" t="s">
        <v>74</v>
      </c>
    </row>
    <row r="48732" spans="9:9" x14ac:dyDescent="0.2">
      <c r="I48732" s="137" t="s">
        <v>74</v>
      </c>
    </row>
    <row r="48733" spans="9:9" x14ac:dyDescent="0.2">
      <c r="I48733" s="137" t="s">
        <v>74</v>
      </c>
    </row>
    <row r="48734" spans="9:9" x14ac:dyDescent="0.2">
      <c r="I48734" s="137" t="s">
        <v>74</v>
      </c>
    </row>
    <row r="48735" spans="9:9" x14ac:dyDescent="0.2">
      <c r="I48735" s="137" t="s">
        <v>74</v>
      </c>
    </row>
    <row r="48736" spans="9:9" x14ac:dyDescent="0.2">
      <c r="I48736" s="137" t="s">
        <v>74</v>
      </c>
    </row>
    <row r="48737" spans="9:9" x14ac:dyDescent="0.2">
      <c r="I48737" s="137" t="s">
        <v>74</v>
      </c>
    </row>
    <row r="48738" spans="9:9" x14ac:dyDescent="0.2">
      <c r="I48738" s="137" t="s">
        <v>74</v>
      </c>
    </row>
    <row r="48739" spans="9:9" x14ac:dyDescent="0.2">
      <c r="I48739" s="137" t="s">
        <v>74</v>
      </c>
    </row>
    <row r="48740" spans="9:9" x14ac:dyDescent="0.2">
      <c r="I48740" s="137" t="s">
        <v>74</v>
      </c>
    </row>
    <row r="48741" spans="9:9" x14ac:dyDescent="0.2">
      <c r="I48741" s="137" t="s">
        <v>74</v>
      </c>
    </row>
    <row r="48742" spans="9:9" x14ac:dyDescent="0.2">
      <c r="I48742" s="137" t="s">
        <v>74</v>
      </c>
    </row>
    <row r="48743" spans="9:9" x14ac:dyDescent="0.2">
      <c r="I48743" s="137" t="s">
        <v>74</v>
      </c>
    </row>
    <row r="48744" spans="9:9" x14ac:dyDescent="0.2">
      <c r="I48744" s="137" t="s">
        <v>74</v>
      </c>
    </row>
    <row r="48745" spans="9:9" x14ac:dyDescent="0.2">
      <c r="I48745" s="137" t="s">
        <v>74</v>
      </c>
    </row>
    <row r="48746" spans="9:9" x14ac:dyDescent="0.2">
      <c r="I48746" s="137" t="s">
        <v>74</v>
      </c>
    </row>
    <row r="48747" spans="9:9" x14ac:dyDescent="0.2">
      <c r="I48747" s="137" t="s">
        <v>74</v>
      </c>
    </row>
    <row r="48748" spans="9:9" x14ac:dyDescent="0.2">
      <c r="I48748" s="137" t="s">
        <v>74</v>
      </c>
    </row>
    <row r="48749" spans="9:9" x14ac:dyDescent="0.2">
      <c r="I48749" s="137" t="s">
        <v>74</v>
      </c>
    </row>
    <row r="48750" spans="9:9" x14ac:dyDescent="0.2">
      <c r="I48750" s="137" t="s">
        <v>74</v>
      </c>
    </row>
    <row r="48751" spans="9:9" x14ac:dyDescent="0.2">
      <c r="I48751" s="137" t="s">
        <v>74</v>
      </c>
    </row>
    <row r="48752" spans="9:9" x14ac:dyDescent="0.2">
      <c r="I48752" s="137" t="s">
        <v>74</v>
      </c>
    </row>
    <row r="48753" spans="9:9" x14ac:dyDescent="0.2">
      <c r="I48753" s="137" t="s">
        <v>74</v>
      </c>
    </row>
    <row r="48754" spans="9:9" x14ac:dyDescent="0.2">
      <c r="I48754" s="137" t="s">
        <v>74</v>
      </c>
    </row>
    <row r="48755" spans="9:9" x14ac:dyDescent="0.2">
      <c r="I48755" s="137" t="s">
        <v>74</v>
      </c>
    </row>
    <row r="48756" spans="9:9" x14ac:dyDescent="0.2">
      <c r="I48756" s="137" t="s">
        <v>74</v>
      </c>
    </row>
    <row r="48757" spans="9:9" x14ac:dyDescent="0.2">
      <c r="I48757" s="137" t="s">
        <v>74</v>
      </c>
    </row>
    <row r="48758" spans="9:9" x14ac:dyDescent="0.2">
      <c r="I48758" s="137" t="s">
        <v>74</v>
      </c>
    </row>
    <row r="48759" spans="9:9" x14ac:dyDescent="0.2">
      <c r="I48759" s="137" t="s">
        <v>74</v>
      </c>
    </row>
    <row r="48760" spans="9:9" x14ac:dyDescent="0.2">
      <c r="I48760" s="137" t="s">
        <v>74</v>
      </c>
    </row>
    <row r="48761" spans="9:9" x14ac:dyDescent="0.2">
      <c r="I48761" s="137" t="s">
        <v>74</v>
      </c>
    </row>
    <row r="48762" spans="9:9" x14ac:dyDescent="0.2">
      <c r="I48762" s="137" t="s">
        <v>74</v>
      </c>
    </row>
    <row r="48763" spans="9:9" x14ac:dyDescent="0.2">
      <c r="I48763" s="137" t="s">
        <v>74</v>
      </c>
    </row>
    <row r="48764" spans="9:9" x14ac:dyDescent="0.2">
      <c r="I48764" s="137" t="s">
        <v>74</v>
      </c>
    </row>
    <row r="48765" spans="9:9" x14ac:dyDescent="0.2">
      <c r="I48765" s="137" t="s">
        <v>74</v>
      </c>
    </row>
    <row r="48766" spans="9:9" x14ac:dyDescent="0.2">
      <c r="I48766" s="137" t="s">
        <v>74</v>
      </c>
    </row>
    <row r="48767" spans="9:9" x14ac:dyDescent="0.2">
      <c r="I48767" s="137" t="s">
        <v>74</v>
      </c>
    </row>
    <row r="48768" spans="9:9" x14ac:dyDescent="0.2">
      <c r="I48768" s="137" t="s">
        <v>74</v>
      </c>
    </row>
    <row r="48769" spans="9:9" x14ac:dyDescent="0.2">
      <c r="I48769" s="137" t="s">
        <v>74</v>
      </c>
    </row>
    <row r="48770" spans="9:9" x14ac:dyDescent="0.2">
      <c r="I48770" s="137" t="s">
        <v>74</v>
      </c>
    </row>
    <row r="48771" spans="9:9" x14ac:dyDescent="0.2">
      <c r="I48771" s="137" t="s">
        <v>74</v>
      </c>
    </row>
    <row r="48772" spans="9:9" x14ac:dyDescent="0.2">
      <c r="I48772" s="137" t="s">
        <v>74</v>
      </c>
    </row>
    <row r="48773" spans="9:9" x14ac:dyDescent="0.2">
      <c r="I48773" s="137" t="s">
        <v>74</v>
      </c>
    </row>
    <row r="48774" spans="9:9" x14ac:dyDescent="0.2">
      <c r="I48774" s="137" t="s">
        <v>74</v>
      </c>
    </row>
    <row r="48775" spans="9:9" x14ac:dyDescent="0.2">
      <c r="I48775" s="137" t="s">
        <v>74</v>
      </c>
    </row>
    <row r="48776" spans="9:9" x14ac:dyDescent="0.2">
      <c r="I48776" s="137" t="s">
        <v>74</v>
      </c>
    </row>
    <row r="48777" spans="9:9" x14ac:dyDescent="0.2">
      <c r="I48777" s="137" t="s">
        <v>74</v>
      </c>
    </row>
    <row r="48778" spans="9:9" x14ac:dyDescent="0.2">
      <c r="I48778" s="137" t="s">
        <v>74</v>
      </c>
    </row>
    <row r="48779" spans="9:9" x14ac:dyDescent="0.2">
      <c r="I48779" s="137" t="s">
        <v>74</v>
      </c>
    </row>
    <row r="48780" spans="9:9" x14ac:dyDescent="0.2">
      <c r="I48780" s="137" t="s">
        <v>74</v>
      </c>
    </row>
    <row r="48781" spans="9:9" x14ac:dyDescent="0.2">
      <c r="I48781" s="137" t="s">
        <v>74</v>
      </c>
    </row>
    <row r="48782" spans="9:9" x14ac:dyDescent="0.2">
      <c r="I48782" s="137" t="s">
        <v>74</v>
      </c>
    </row>
    <row r="48783" spans="9:9" x14ac:dyDescent="0.2">
      <c r="I48783" s="137" t="s">
        <v>74</v>
      </c>
    </row>
    <row r="48784" spans="9:9" x14ac:dyDescent="0.2">
      <c r="I48784" s="137" t="s">
        <v>74</v>
      </c>
    </row>
    <row r="48785" spans="9:9" x14ac:dyDescent="0.2">
      <c r="I48785" s="137" t="s">
        <v>74</v>
      </c>
    </row>
    <row r="48786" spans="9:9" x14ac:dyDescent="0.2">
      <c r="I48786" s="137" t="s">
        <v>74</v>
      </c>
    </row>
    <row r="48787" spans="9:9" x14ac:dyDescent="0.2">
      <c r="I48787" s="137" t="s">
        <v>74</v>
      </c>
    </row>
    <row r="48788" spans="9:9" x14ac:dyDescent="0.2">
      <c r="I48788" s="137" t="s">
        <v>74</v>
      </c>
    </row>
    <row r="48789" spans="9:9" x14ac:dyDescent="0.2">
      <c r="I48789" s="137" t="s">
        <v>74</v>
      </c>
    </row>
    <row r="48790" spans="9:9" x14ac:dyDescent="0.2">
      <c r="I48790" s="137" t="s">
        <v>74</v>
      </c>
    </row>
    <row r="48791" spans="9:9" x14ac:dyDescent="0.2">
      <c r="I48791" s="137" t="s">
        <v>74</v>
      </c>
    </row>
    <row r="48792" spans="9:9" x14ac:dyDescent="0.2">
      <c r="I48792" s="137" t="s">
        <v>74</v>
      </c>
    </row>
    <row r="48793" spans="9:9" x14ac:dyDescent="0.2">
      <c r="I48793" s="137" t="s">
        <v>74</v>
      </c>
    </row>
    <row r="48794" spans="9:9" x14ac:dyDescent="0.2">
      <c r="I48794" s="137" t="s">
        <v>74</v>
      </c>
    </row>
    <row r="48795" spans="9:9" x14ac:dyDescent="0.2">
      <c r="I48795" s="137" t="s">
        <v>74</v>
      </c>
    </row>
    <row r="48796" spans="9:9" x14ac:dyDescent="0.2">
      <c r="I48796" s="137" t="s">
        <v>74</v>
      </c>
    </row>
    <row r="48797" spans="9:9" x14ac:dyDescent="0.2">
      <c r="I48797" s="137" t="s">
        <v>74</v>
      </c>
    </row>
    <row r="48798" spans="9:9" x14ac:dyDescent="0.2">
      <c r="I48798" s="137" t="s">
        <v>74</v>
      </c>
    </row>
    <row r="48799" spans="9:9" x14ac:dyDescent="0.2">
      <c r="I48799" s="137" t="s">
        <v>74</v>
      </c>
    </row>
    <row r="48800" spans="9:9" x14ac:dyDescent="0.2">
      <c r="I48800" s="137" t="s">
        <v>74</v>
      </c>
    </row>
    <row r="48801" spans="9:9" x14ac:dyDescent="0.2">
      <c r="I48801" s="137" t="s">
        <v>74</v>
      </c>
    </row>
    <row r="48802" spans="9:9" x14ac:dyDescent="0.2">
      <c r="I48802" s="137" t="s">
        <v>74</v>
      </c>
    </row>
    <row r="48803" spans="9:9" x14ac:dyDescent="0.2">
      <c r="I48803" s="137" t="s">
        <v>74</v>
      </c>
    </row>
    <row r="48804" spans="9:9" x14ac:dyDescent="0.2">
      <c r="I48804" s="137" t="s">
        <v>74</v>
      </c>
    </row>
    <row r="48805" spans="9:9" x14ac:dyDescent="0.2">
      <c r="I48805" s="137" t="s">
        <v>74</v>
      </c>
    </row>
    <row r="48806" spans="9:9" x14ac:dyDescent="0.2">
      <c r="I48806" s="137" t="s">
        <v>74</v>
      </c>
    </row>
    <row r="48807" spans="9:9" x14ac:dyDescent="0.2">
      <c r="I48807" s="137" t="s">
        <v>74</v>
      </c>
    </row>
    <row r="48808" spans="9:9" x14ac:dyDescent="0.2">
      <c r="I48808" s="137" t="s">
        <v>74</v>
      </c>
    </row>
    <row r="48809" spans="9:9" x14ac:dyDescent="0.2">
      <c r="I48809" s="137" t="s">
        <v>74</v>
      </c>
    </row>
    <row r="48810" spans="9:9" x14ac:dyDescent="0.2">
      <c r="I48810" s="137" t="s">
        <v>74</v>
      </c>
    </row>
    <row r="48811" spans="9:9" x14ac:dyDescent="0.2">
      <c r="I48811" s="137" t="s">
        <v>74</v>
      </c>
    </row>
    <row r="48812" spans="9:9" x14ac:dyDescent="0.2">
      <c r="I48812" s="137" t="s">
        <v>74</v>
      </c>
    </row>
    <row r="48813" spans="9:9" x14ac:dyDescent="0.2">
      <c r="I48813" s="137" t="s">
        <v>74</v>
      </c>
    </row>
    <row r="48814" spans="9:9" x14ac:dyDescent="0.2">
      <c r="I48814" s="137" t="s">
        <v>74</v>
      </c>
    </row>
    <row r="48815" spans="9:9" x14ac:dyDescent="0.2">
      <c r="I48815" s="137" t="s">
        <v>74</v>
      </c>
    </row>
    <row r="48816" spans="9:9" x14ac:dyDescent="0.2">
      <c r="I48816" s="137" t="s">
        <v>74</v>
      </c>
    </row>
    <row r="48817" spans="9:9" x14ac:dyDescent="0.2">
      <c r="I48817" s="137" t="s">
        <v>74</v>
      </c>
    </row>
    <row r="48818" spans="9:9" x14ac:dyDescent="0.2">
      <c r="I48818" s="137" t="s">
        <v>74</v>
      </c>
    </row>
    <row r="48819" spans="9:9" x14ac:dyDescent="0.2">
      <c r="I48819" s="137" t="s">
        <v>74</v>
      </c>
    </row>
    <row r="48820" spans="9:9" x14ac:dyDescent="0.2">
      <c r="I48820" s="137" t="s">
        <v>74</v>
      </c>
    </row>
    <row r="48821" spans="9:9" x14ac:dyDescent="0.2">
      <c r="I48821" s="137" t="s">
        <v>74</v>
      </c>
    </row>
    <row r="48822" spans="9:9" x14ac:dyDescent="0.2">
      <c r="I48822" s="137" t="s">
        <v>74</v>
      </c>
    </row>
    <row r="48823" spans="9:9" x14ac:dyDescent="0.2">
      <c r="I48823" s="137" t="s">
        <v>74</v>
      </c>
    </row>
    <row r="48824" spans="9:9" x14ac:dyDescent="0.2">
      <c r="I48824" s="137" t="s">
        <v>74</v>
      </c>
    </row>
    <row r="48825" spans="9:9" x14ac:dyDescent="0.2">
      <c r="I48825" s="137" t="s">
        <v>74</v>
      </c>
    </row>
    <row r="48826" spans="9:9" x14ac:dyDescent="0.2">
      <c r="I48826" s="137" t="s">
        <v>74</v>
      </c>
    </row>
    <row r="48827" spans="9:9" x14ac:dyDescent="0.2">
      <c r="I48827" s="137" t="s">
        <v>74</v>
      </c>
    </row>
    <row r="48828" spans="9:9" x14ac:dyDescent="0.2">
      <c r="I48828" s="137" t="s">
        <v>74</v>
      </c>
    </row>
    <row r="48829" spans="9:9" x14ac:dyDescent="0.2">
      <c r="I48829" s="137" t="s">
        <v>74</v>
      </c>
    </row>
    <row r="48830" spans="9:9" x14ac:dyDescent="0.2">
      <c r="I48830" s="137" t="s">
        <v>74</v>
      </c>
    </row>
    <row r="48831" spans="9:9" x14ac:dyDescent="0.2">
      <c r="I48831" s="137" t="s">
        <v>74</v>
      </c>
    </row>
    <row r="48832" spans="9:9" x14ac:dyDescent="0.2">
      <c r="I48832" s="137" t="s">
        <v>74</v>
      </c>
    </row>
    <row r="48833" spans="9:9" x14ac:dyDescent="0.2">
      <c r="I48833" s="137" t="s">
        <v>74</v>
      </c>
    </row>
    <row r="48834" spans="9:9" x14ac:dyDescent="0.2">
      <c r="I48834" s="137" t="s">
        <v>74</v>
      </c>
    </row>
    <row r="48835" spans="9:9" x14ac:dyDescent="0.2">
      <c r="I48835" s="137" t="s">
        <v>74</v>
      </c>
    </row>
    <row r="48836" spans="9:9" x14ac:dyDescent="0.2">
      <c r="I48836" s="137" t="s">
        <v>74</v>
      </c>
    </row>
    <row r="48837" spans="9:9" x14ac:dyDescent="0.2">
      <c r="I48837" s="137" t="s">
        <v>74</v>
      </c>
    </row>
    <row r="48838" spans="9:9" x14ac:dyDescent="0.2">
      <c r="I48838" s="137" t="s">
        <v>74</v>
      </c>
    </row>
    <row r="48839" spans="9:9" x14ac:dyDescent="0.2">
      <c r="I48839" s="137" t="s">
        <v>74</v>
      </c>
    </row>
    <row r="48840" spans="9:9" x14ac:dyDescent="0.2">
      <c r="I48840" s="137" t="s">
        <v>74</v>
      </c>
    </row>
    <row r="48841" spans="9:9" x14ac:dyDescent="0.2">
      <c r="I48841" s="137" t="s">
        <v>74</v>
      </c>
    </row>
    <row r="48842" spans="9:9" x14ac:dyDescent="0.2">
      <c r="I48842" s="137" t="s">
        <v>74</v>
      </c>
    </row>
    <row r="48843" spans="9:9" x14ac:dyDescent="0.2">
      <c r="I48843" s="137" t="s">
        <v>74</v>
      </c>
    </row>
    <row r="48844" spans="9:9" x14ac:dyDescent="0.2">
      <c r="I48844" s="137" t="s">
        <v>74</v>
      </c>
    </row>
    <row r="48845" spans="9:9" x14ac:dyDescent="0.2">
      <c r="I48845" s="137" t="s">
        <v>74</v>
      </c>
    </row>
    <row r="48846" spans="9:9" x14ac:dyDescent="0.2">
      <c r="I48846" s="137" t="s">
        <v>74</v>
      </c>
    </row>
    <row r="48847" spans="9:9" x14ac:dyDescent="0.2">
      <c r="I48847" s="137" t="s">
        <v>74</v>
      </c>
    </row>
    <row r="48848" spans="9:9" x14ac:dyDescent="0.2">
      <c r="I48848" s="137" t="s">
        <v>74</v>
      </c>
    </row>
    <row r="48849" spans="9:9" x14ac:dyDescent="0.2">
      <c r="I48849" s="137" t="s">
        <v>74</v>
      </c>
    </row>
    <row r="48850" spans="9:9" x14ac:dyDescent="0.2">
      <c r="I48850" s="137" t="s">
        <v>74</v>
      </c>
    </row>
    <row r="48851" spans="9:9" x14ac:dyDescent="0.2">
      <c r="I48851" s="137" t="s">
        <v>74</v>
      </c>
    </row>
    <row r="48852" spans="9:9" x14ac:dyDescent="0.2">
      <c r="I48852" s="137" t="s">
        <v>74</v>
      </c>
    </row>
    <row r="48853" spans="9:9" x14ac:dyDescent="0.2">
      <c r="I48853" s="137" t="s">
        <v>74</v>
      </c>
    </row>
    <row r="48854" spans="9:9" x14ac:dyDescent="0.2">
      <c r="I48854" s="137" t="s">
        <v>74</v>
      </c>
    </row>
    <row r="48855" spans="9:9" x14ac:dyDescent="0.2">
      <c r="I48855" s="137" t="s">
        <v>74</v>
      </c>
    </row>
    <row r="48856" spans="9:9" x14ac:dyDescent="0.2">
      <c r="I48856" s="137" t="s">
        <v>74</v>
      </c>
    </row>
    <row r="48857" spans="9:9" x14ac:dyDescent="0.2">
      <c r="I48857" s="137" t="s">
        <v>74</v>
      </c>
    </row>
    <row r="48858" spans="9:9" x14ac:dyDescent="0.2">
      <c r="I48858" s="137" t="s">
        <v>74</v>
      </c>
    </row>
    <row r="48859" spans="9:9" x14ac:dyDescent="0.2">
      <c r="I48859" s="137" t="s">
        <v>74</v>
      </c>
    </row>
    <row r="48860" spans="9:9" x14ac:dyDescent="0.2">
      <c r="I48860" s="137" t="s">
        <v>74</v>
      </c>
    </row>
    <row r="48861" spans="9:9" x14ac:dyDescent="0.2">
      <c r="I48861" s="137" t="s">
        <v>74</v>
      </c>
    </row>
    <row r="48862" spans="9:9" x14ac:dyDescent="0.2">
      <c r="I48862" s="137" t="s">
        <v>74</v>
      </c>
    </row>
    <row r="48863" spans="9:9" x14ac:dyDescent="0.2">
      <c r="I48863" s="137" t="s">
        <v>74</v>
      </c>
    </row>
    <row r="48864" spans="9:9" x14ac:dyDescent="0.2">
      <c r="I48864" s="137" t="s">
        <v>74</v>
      </c>
    </row>
    <row r="48865" spans="9:9" x14ac:dyDescent="0.2">
      <c r="I48865" s="137" t="s">
        <v>74</v>
      </c>
    </row>
    <row r="48866" spans="9:9" x14ac:dyDescent="0.2">
      <c r="I48866" s="137" t="s">
        <v>74</v>
      </c>
    </row>
    <row r="48867" spans="9:9" x14ac:dyDescent="0.2">
      <c r="I48867" s="137" t="s">
        <v>74</v>
      </c>
    </row>
    <row r="48868" spans="9:9" x14ac:dyDescent="0.2">
      <c r="I48868" s="137" t="s">
        <v>74</v>
      </c>
    </row>
    <row r="48869" spans="9:9" x14ac:dyDescent="0.2">
      <c r="I48869" s="137" t="s">
        <v>74</v>
      </c>
    </row>
    <row r="48870" spans="9:9" x14ac:dyDescent="0.2">
      <c r="I48870" s="137" t="s">
        <v>74</v>
      </c>
    </row>
    <row r="48871" spans="9:9" x14ac:dyDescent="0.2">
      <c r="I48871" s="137" t="s">
        <v>74</v>
      </c>
    </row>
    <row r="48872" spans="9:9" x14ac:dyDescent="0.2">
      <c r="I48872" s="137" t="s">
        <v>74</v>
      </c>
    </row>
    <row r="48873" spans="9:9" x14ac:dyDescent="0.2">
      <c r="I48873" s="137" t="s">
        <v>74</v>
      </c>
    </row>
    <row r="48874" spans="9:9" x14ac:dyDescent="0.2">
      <c r="I48874" s="137" t="s">
        <v>74</v>
      </c>
    </row>
    <row r="48875" spans="9:9" x14ac:dyDescent="0.2">
      <c r="I48875" s="137" t="s">
        <v>74</v>
      </c>
    </row>
    <row r="48876" spans="9:9" x14ac:dyDescent="0.2">
      <c r="I48876" s="137" t="s">
        <v>74</v>
      </c>
    </row>
    <row r="48877" spans="9:9" x14ac:dyDescent="0.2">
      <c r="I48877" s="137" t="s">
        <v>74</v>
      </c>
    </row>
    <row r="48878" spans="9:9" x14ac:dyDescent="0.2">
      <c r="I48878" s="137" t="s">
        <v>74</v>
      </c>
    </row>
    <row r="48879" spans="9:9" x14ac:dyDescent="0.2">
      <c r="I48879" s="137" t="s">
        <v>74</v>
      </c>
    </row>
    <row r="48880" spans="9:9" x14ac:dyDescent="0.2">
      <c r="I48880" s="137" t="s">
        <v>74</v>
      </c>
    </row>
    <row r="48881" spans="9:9" x14ac:dyDescent="0.2">
      <c r="I48881" s="137" t="s">
        <v>74</v>
      </c>
    </row>
    <row r="48882" spans="9:9" x14ac:dyDescent="0.2">
      <c r="I48882" s="137" t="s">
        <v>74</v>
      </c>
    </row>
    <row r="48883" spans="9:9" x14ac:dyDescent="0.2">
      <c r="I48883" s="137" t="s">
        <v>74</v>
      </c>
    </row>
    <row r="48884" spans="9:9" x14ac:dyDescent="0.2">
      <c r="I48884" s="137" t="s">
        <v>74</v>
      </c>
    </row>
    <row r="48885" spans="9:9" x14ac:dyDescent="0.2">
      <c r="I48885" s="137" t="s">
        <v>74</v>
      </c>
    </row>
    <row r="48886" spans="9:9" x14ac:dyDescent="0.2">
      <c r="I48886" s="137" t="s">
        <v>74</v>
      </c>
    </row>
    <row r="48887" spans="9:9" x14ac:dyDescent="0.2">
      <c r="I48887" s="137" t="s">
        <v>74</v>
      </c>
    </row>
    <row r="48888" spans="9:9" x14ac:dyDescent="0.2">
      <c r="I48888" s="137" t="s">
        <v>74</v>
      </c>
    </row>
    <row r="48889" spans="9:9" x14ac:dyDescent="0.2">
      <c r="I48889" s="137" t="s">
        <v>74</v>
      </c>
    </row>
    <row r="48890" spans="9:9" x14ac:dyDescent="0.2">
      <c r="I48890" s="137" t="s">
        <v>74</v>
      </c>
    </row>
    <row r="48891" spans="9:9" x14ac:dyDescent="0.2">
      <c r="I48891" s="137" t="s">
        <v>74</v>
      </c>
    </row>
    <row r="48892" spans="9:9" x14ac:dyDescent="0.2">
      <c r="I48892" s="137" t="s">
        <v>74</v>
      </c>
    </row>
    <row r="48893" spans="9:9" x14ac:dyDescent="0.2">
      <c r="I48893" s="137" t="s">
        <v>74</v>
      </c>
    </row>
    <row r="48894" spans="9:9" x14ac:dyDescent="0.2">
      <c r="I48894" s="137" t="s">
        <v>74</v>
      </c>
    </row>
    <row r="48895" spans="9:9" x14ac:dyDescent="0.2">
      <c r="I48895" s="137" t="s">
        <v>74</v>
      </c>
    </row>
    <row r="48896" spans="9:9" x14ac:dyDescent="0.2">
      <c r="I48896" s="137" t="s">
        <v>74</v>
      </c>
    </row>
    <row r="48897" spans="9:9" x14ac:dyDescent="0.2">
      <c r="I48897" s="137" t="s">
        <v>74</v>
      </c>
    </row>
    <row r="48898" spans="9:9" x14ac:dyDescent="0.2">
      <c r="I48898" s="137" t="s">
        <v>74</v>
      </c>
    </row>
    <row r="48899" spans="9:9" x14ac:dyDescent="0.2">
      <c r="I48899" s="137" t="s">
        <v>74</v>
      </c>
    </row>
    <row r="48900" spans="9:9" x14ac:dyDescent="0.2">
      <c r="I48900" s="137" t="s">
        <v>74</v>
      </c>
    </row>
    <row r="48901" spans="9:9" x14ac:dyDescent="0.2">
      <c r="I48901" s="137" t="s">
        <v>74</v>
      </c>
    </row>
    <row r="48902" spans="9:9" x14ac:dyDescent="0.2">
      <c r="I48902" s="137" t="s">
        <v>74</v>
      </c>
    </row>
    <row r="48903" spans="9:9" x14ac:dyDescent="0.2">
      <c r="I48903" s="137" t="s">
        <v>74</v>
      </c>
    </row>
    <row r="48904" spans="9:9" x14ac:dyDescent="0.2">
      <c r="I48904" s="137" t="s">
        <v>74</v>
      </c>
    </row>
    <row r="48905" spans="9:9" x14ac:dyDescent="0.2">
      <c r="I48905" s="137" t="s">
        <v>74</v>
      </c>
    </row>
    <row r="48906" spans="9:9" x14ac:dyDescent="0.2">
      <c r="I48906" s="137" t="s">
        <v>74</v>
      </c>
    </row>
    <row r="48907" spans="9:9" x14ac:dyDescent="0.2">
      <c r="I48907" s="137" t="s">
        <v>74</v>
      </c>
    </row>
    <row r="48908" spans="9:9" x14ac:dyDescent="0.2">
      <c r="I48908" s="137" t="s">
        <v>74</v>
      </c>
    </row>
    <row r="48909" spans="9:9" x14ac:dyDescent="0.2">
      <c r="I48909" s="137" t="s">
        <v>74</v>
      </c>
    </row>
    <row r="48910" spans="9:9" x14ac:dyDescent="0.2">
      <c r="I48910" s="137" t="s">
        <v>74</v>
      </c>
    </row>
    <row r="48911" spans="9:9" x14ac:dyDescent="0.2">
      <c r="I48911" s="137" t="s">
        <v>74</v>
      </c>
    </row>
    <row r="48912" spans="9:9" x14ac:dyDescent="0.2">
      <c r="I48912" s="137" t="s">
        <v>74</v>
      </c>
    </row>
    <row r="48913" spans="9:9" x14ac:dyDescent="0.2">
      <c r="I48913" s="137" t="s">
        <v>74</v>
      </c>
    </row>
    <row r="48914" spans="9:9" x14ac:dyDescent="0.2">
      <c r="I48914" s="137" t="s">
        <v>74</v>
      </c>
    </row>
    <row r="48915" spans="9:9" x14ac:dyDescent="0.2">
      <c r="I48915" s="137" t="s">
        <v>74</v>
      </c>
    </row>
    <row r="48916" spans="9:9" x14ac:dyDescent="0.2">
      <c r="I48916" s="137" t="s">
        <v>74</v>
      </c>
    </row>
    <row r="48917" spans="9:9" x14ac:dyDescent="0.2">
      <c r="I48917" s="137" t="s">
        <v>74</v>
      </c>
    </row>
    <row r="48918" spans="9:9" x14ac:dyDescent="0.2">
      <c r="I48918" s="137" t="s">
        <v>74</v>
      </c>
    </row>
    <row r="48919" spans="9:9" x14ac:dyDescent="0.2">
      <c r="I48919" s="137" t="s">
        <v>74</v>
      </c>
    </row>
    <row r="48920" spans="9:9" x14ac:dyDescent="0.2">
      <c r="I48920" s="137" t="s">
        <v>74</v>
      </c>
    </row>
    <row r="48921" spans="9:9" x14ac:dyDescent="0.2">
      <c r="I48921" s="137" t="s">
        <v>74</v>
      </c>
    </row>
    <row r="48922" spans="9:9" x14ac:dyDescent="0.2">
      <c r="I48922" s="137" t="s">
        <v>74</v>
      </c>
    </row>
    <row r="48923" spans="9:9" x14ac:dyDescent="0.2">
      <c r="I48923" s="137" t="s">
        <v>74</v>
      </c>
    </row>
    <row r="48924" spans="9:9" x14ac:dyDescent="0.2">
      <c r="I48924" s="137" t="s">
        <v>74</v>
      </c>
    </row>
    <row r="48925" spans="9:9" x14ac:dyDescent="0.2">
      <c r="I48925" s="137" t="s">
        <v>74</v>
      </c>
    </row>
    <row r="48926" spans="9:9" x14ac:dyDescent="0.2">
      <c r="I48926" s="137" t="s">
        <v>74</v>
      </c>
    </row>
    <row r="48927" spans="9:9" x14ac:dyDescent="0.2">
      <c r="I48927" s="137" t="s">
        <v>74</v>
      </c>
    </row>
    <row r="48928" spans="9:9" x14ac:dyDescent="0.2">
      <c r="I48928" s="137" t="s">
        <v>74</v>
      </c>
    </row>
    <row r="48929" spans="9:9" x14ac:dyDescent="0.2">
      <c r="I48929" s="137" t="s">
        <v>74</v>
      </c>
    </row>
    <row r="48930" spans="9:9" x14ac:dyDescent="0.2">
      <c r="I48930" s="137" t="s">
        <v>74</v>
      </c>
    </row>
    <row r="48931" spans="9:9" x14ac:dyDescent="0.2">
      <c r="I48931" s="137" t="s">
        <v>74</v>
      </c>
    </row>
    <row r="48932" spans="9:9" x14ac:dyDescent="0.2">
      <c r="I48932" s="137" t="s">
        <v>74</v>
      </c>
    </row>
    <row r="48933" spans="9:9" x14ac:dyDescent="0.2">
      <c r="I48933" s="137" t="s">
        <v>74</v>
      </c>
    </row>
    <row r="48934" spans="9:9" x14ac:dyDescent="0.2">
      <c r="I48934" s="137" t="s">
        <v>74</v>
      </c>
    </row>
    <row r="48935" spans="9:9" x14ac:dyDescent="0.2">
      <c r="I48935" s="137" t="s">
        <v>74</v>
      </c>
    </row>
    <row r="48936" spans="9:9" x14ac:dyDescent="0.2">
      <c r="I48936" s="137" t="s">
        <v>74</v>
      </c>
    </row>
    <row r="48937" spans="9:9" x14ac:dyDescent="0.2">
      <c r="I48937" s="137" t="s">
        <v>74</v>
      </c>
    </row>
    <row r="48938" spans="9:9" x14ac:dyDescent="0.2">
      <c r="I48938" s="137" t="s">
        <v>74</v>
      </c>
    </row>
    <row r="48939" spans="9:9" x14ac:dyDescent="0.2">
      <c r="I48939" s="137" t="s">
        <v>74</v>
      </c>
    </row>
    <row r="48940" spans="9:9" x14ac:dyDescent="0.2">
      <c r="I48940" s="137" t="s">
        <v>74</v>
      </c>
    </row>
    <row r="48941" spans="9:9" x14ac:dyDescent="0.2">
      <c r="I48941" s="137" t="s">
        <v>74</v>
      </c>
    </row>
    <row r="48942" spans="9:9" x14ac:dyDescent="0.2">
      <c r="I48942" s="137" t="s">
        <v>74</v>
      </c>
    </row>
    <row r="48943" spans="9:9" x14ac:dyDescent="0.2">
      <c r="I48943" s="137" t="s">
        <v>74</v>
      </c>
    </row>
    <row r="48944" spans="9:9" x14ac:dyDescent="0.2">
      <c r="I48944" s="137" t="s">
        <v>74</v>
      </c>
    </row>
    <row r="48945" spans="9:9" x14ac:dyDescent="0.2">
      <c r="I48945" s="137" t="s">
        <v>74</v>
      </c>
    </row>
    <row r="48946" spans="9:9" x14ac:dyDescent="0.2">
      <c r="I48946" s="137" t="s">
        <v>74</v>
      </c>
    </row>
    <row r="48947" spans="9:9" x14ac:dyDescent="0.2">
      <c r="I48947" s="137" t="s">
        <v>74</v>
      </c>
    </row>
    <row r="48948" spans="9:9" x14ac:dyDescent="0.2">
      <c r="I48948" s="137" t="s">
        <v>74</v>
      </c>
    </row>
    <row r="48949" spans="9:9" x14ac:dyDescent="0.2">
      <c r="I48949" s="137" t="s">
        <v>74</v>
      </c>
    </row>
    <row r="48950" spans="9:9" x14ac:dyDescent="0.2">
      <c r="I48950" s="137" t="s">
        <v>74</v>
      </c>
    </row>
    <row r="48951" spans="9:9" x14ac:dyDescent="0.2">
      <c r="I48951" s="137" t="s">
        <v>74</v>
      </c>
    </row>
    <row r="48952" spans="9:9" x14ac:dyDescent="0.2">
      <c r="I48952" s="137" t="s">
        <v>74</v>
      </c>
    </row>
    <row r="48953" spans="9:9" x14ac:dyDescent="0.2">
      <c r="I48953" s="137" t="s">
        <v>74</v>
      </c>
    </row>
    <row r="48954" spans="9:9" x14ac:dyDescent="0.2">
      <c r="I48954" s="137" t="s">
        <v>74</v>
      </c>
    </row>
    <row r="48955" spans="9:9" x14ac:dyDescent="0.2">
      <c r="I48955" s="137" t="s">
        <v>74</v>
      </c>
    </row>
    <row r="48956" spans="9:9" x14ac:dyDescent="0.2">
      <c r="I48956" s="137" t="s">
        <v>74</v>
      </c>
    </row>
    <row r="48957" spans="9:9" x14ac:dyDescent="0.2">
      <c r="I48957" s="137" t="s">
        <v>74</v>
      </c>
    </row>
    <row r="48958" spans="9:9" x14ac:dyDescent="0.2">
      <c r="I48958" s="137" t="s">
        <v>74</v>
      </c>
    </row>
    <row r="48959" spans="9:9" x14ac:dyDescent="0.2">
      <c r="I48959" s="137" t="s">
        <v>74</v>
      </c>
    </row>
    <row r="48960" spans="9:9" x14ac:dyDescent="0.2">
      <c r="I48960" s="137" t="s">
        <v>74</v>
      </c>
    </row>
    <row r="48961" spans="9:9" x14ac:dyDescent="0.2">
      <c r="I48961" s="137" t="s">
        <v>74</v>
      </c>
    </row>
    <row r="48962" spans="9:9" x14ac:dyDescent="0.2">
      <c r="I48962" s="137" t="s">
        <v>74</v>
      </c>
    </row>
    <row r="48963" spans="9:9" x14ac:dyDescent="0.2">
      <c r="I48963" s="137" t="s">
        <v>74</v>
      </c>
    </row>
    <row r="48964" spans="9:9" x14ac:dyDescent="0.2">
      <c r="I48964" s="137" t="s">
        <v>74</v>
      </c>
    </row>
    <row r="48965" spans="9:9" x14ac:dyDescent="0.2">
      <c r="I48965" s="137" t="s">
        <v>74</v>
      </c>
    </row>
    <row r="48966" spans="9:9" x14ac:dyDescent="0.2">
      <c r="I48966" s="137" t="s">
        <v>74</v>
      </c>
    </row>
    <row r="48967" spans="9:9" x14ac:dyDescent="0.2">
      <c r="I48967" s="137" t="s">
        <v>74</v>
      </c>
    </row>
    <row r="48968" spans="9:9" x14ac:dyDescent="0.2">
      <c r="I48968" s="137" t="s">
        <v>74</v>
      </c>
    </row>
    <row r="48969" spans="9:9" x14ac:dyDescent="0.2">
      <c r="I48969" s="137" t="s">
        <v>74</v>
      </c>
    </row>
    <row r="48970" spans="9:9" x14ac:dyDescent="0.2">
      <c r="I48970" s="137" t="s">
        <v>74</v>
      </c>
    </row>
    <row r="48971" spans="9:9" x14ac:dyDescent="0.2">
      <c r="I48971" s="137" t="s">
        <v>74</v>
      </c>
    </row>
    <row r="48972" spans="9:9" x14ac:dyDescent="0.2">
      <c r="I48972" s="137" t="s">
        <v>74</v>
      </c>
    </row>
    <row r="48973" spans="9:9" x14ac:dyDescent="0.2">
      <c r="I48973" s="137" t="s">
        <v>74</v>
      </c>
    </row>
    <row r="48974" spans="9:9" x14ac:dyDescent="0.2">
      <c r="I48974" s="137" t="s">
        <v>74</v>
      </c>
    </row>
    <row r="48975" spans="9:9" x14ac:dyDescent="0.2">
      <c r="I48975" s="137" t="s">
        <v>74</v>
      </c>
    </row>
    <row r="48976" spans="9:9" x14ac:dyDescent="0.2">
      <c r="I48976" s="137" t="s">
        <v>74</v>
      </c>
    </row>
    <row r="48977" spans="9:9" x14ac:dyDescent="0.2">
      <c r="I48977" s="137" t="s">
        <v>74</v>
      </c>
    </row>
    <row r="48978" spans="9:9" x14ac:dyDescent="0.2">
      <c r="I48978" s="137" t="s">
        <v>74</v>
      </c>
    </row>
    <row r="48979" spans="9:9" x14ac:dyDescent="0.2">
      <c r="I48979" s="137" t="s">
        <v>74</v>
      </c>
    </row>
    <row r="48980" spans="9:9" x14ac:dyDescent="0.2">
      <c r="I48980" s="137" t="s">
        <v>74</v>
      </c>
    </row>
    <row r="48981" spans="9:9" x14ac:dyDescent="0.2">
      <c r="I48981" s="137" t="s">
        <v>74</v>
      </c>
    </row>
    <row r="48982" spans="9:9" x14ac:dyDescent="0.2">
      <c r="I48982" s="137" t="s">
        <v>74</v>
      </c>
    </row>
    <row r="48983" spans="9:9" x14ac:dyDescent="0.2">
      <c r="I48983" s="137" t="s">
        <v>74</v>
      </c>
    </row>
    <row r="48984" spans="9:9" x14ac:dyDescent="0.2">
      <c r="I48984" s="137" t="s">
        <v>74</v>
      </c>
    </row>
    <row r="48985" spans="9:9" x14ac:dyDescent="0.2">
      <c r="I48985" s="137" t="s">
        <v>74</v>
      </c>
    </row>
    <row r="48986" spans="9:9" x14ac:dyDescent="0.2">
      <c r="I48986" s="137" t="s">
        <v>74</v>
      </c>
    </row>
    <row r="48987" spans="9:9" x14ac:dyDescent="0.2">
      <c r="I48987" s="137" t="s">
        <v>74</v>
      </c>
    </row>
    <row r="48988" spans="9:9" x14ac:dyDescent="0.2">
      <c r="I48988" s="137" t="s">
        <v>74</v>
      </c>
    </row>
    <row r="48989" spans="9:9" x14ac:dyDescent="0.2">
      <c r="I48989" s="137" t="s">
        <v>74</v>
      </c>
    </row>
    <row r="48990" spans="9:9" x14ac:dyDescent="0.2">
      <c r="I48990" s="137" t="s">
        <v>74</v>
      </c>
    </row>
    <row r="48991" spans="9:9" x14ac:dyDescent="0.2">
      <c r="I48991" s="137" t="s">
        <v>74</v>
      </c>
    </row>
    <row r="48992" spans="9:9" x14ac:dyDescent="0.2">
      <c r="I48992" s="137" t="s">
        <v>74</v>
      </c>
    </row>
    <row r="48993" spans="9:9" x14ac:dyDescent="0.2">
      <c r="I48993" s="137" t="s">
        <v>74</v>
      </c>
    </row>
    <row r="48994" spans="9:9" x14ac:dyDescent="0.2">
      <c r="I48994" s="137" t="s">
        <v>74</v>
      </c>
    </row>
    <row r="48995" spans="9:9" x14ac:dyDescent="0.2">
      <c r="I48995" s="137" t="s">
        <v>74</v>
      </c>
    </row>
    <row r="48996" spans="9:9" x14ac:dyDescent="0.2">
      <c r="I48996" s="137" t="s">
        <v>74</v>
      </c>
    </row>
    <row r="48997" spans="9:9" x14ac:dyDescent="0.2">
      <c r="I48997" s="137" t="s">
        <v>74</v>
      </c>
    </row>
    <row r="48998" spans="9:9" x14ac:dyDescent="0.2">
      <c r="I48998" s="137" t="s">
        <v>74</v>
      </c>
    </row>
    <row r="48999" spans="9:9" x14ac:dyDescent="0.2">
      <c r="I48999" s="137" t="s">
        <v>74</v>
      </c>
    </row>
    <row r="49000" spans="9:9" x14ac:dyDescent="0.2">
      <c r="I49000" s="137" t="s">
        <v>74</v>
      </c>
    </row>
    <row r="49001" spans="9:9" x14ac:dyDescent="0.2">
      <c r="I49001" s="137" t="s">
        <v>74</v>
      </c>
    </row>
    <row r="49002" spans="9:9" x14ac:dyDescent="0.2">
      <c r="I49002" s="137" t="s">
        <v>74</v>
      </c>
    </row>
    <row r="49003" spans="9:9" x14ac:dyDescent="0.2">
      <c r="I49003" s="137" t="s">
        <v>74</v>
      </c>
    </row>
    <row r="49004" spans="9:9" x14ac:dyDescent="0.2">
      <c r="I49004" s="137" t="s">
        <v>74</v>
      </c>
    </row>
    <row r="49005" spans="9:9" x14ac:dyDescent="0.2">
      <c r="I49005" s="137" t="s">
        <v>74</v>
      </c>
    </row>
    <row r="49006" spans="9:9" x14ac:dyDescent="0.2">
      <c r="I49006" s="137" t="s">
        <v>74</v>
      </c>
    </row>
    <row r="49007" spans="9:9" x14ac:dyDescent="0.2">
      <c r="I49007" s="137" t="s">
        <v>74</v>
      </c>
    </row>
    <row r="49008" spans="9:9" x14ac:dyDescent="0.2">
      <c r="I49008" s="137" t="s">
        <v>74</v>
      </c>
    </row>
    <row r="49009" spans="9:9" x14ac:dyDescent="0.2">
      <c r="I49009" s="137" t="s">
        <v>74</v>
      </c>
    </row>
    <row r="49010" spans="9:9" x14ac:dyDescent="0.2">
      <c r="I49010" s="137" t="s">
        <v>74</v>
      </c>
    </row>
    <row r="49011" spans="9:9" x14ac:dyDescent="0.2">
      <c r="I49011" s="137" t="s">
        <v>74</v>
      </c>
    </row>
    <row r="49012" spans="9:9" x14ac:dyDescent="0.2">
      <c r="I49012" s="137" t="s">
        <v>74</v>
      </c>
    </row>
    <row r="49013" spans="9:9" x14ac:dyDescent="0.2">
      <c r="I49013" s="137" t="s">
        <v>74</v>
      </c>
    </row>
    <row r="49014" spans="9:9" x14ac:dyDescent="0.2">
      <c r="I49014" s="137" t="s">
        <v>74</v>
      </c>
    </row>
    <row r="49015" spans="9:9" x14ac:dyDescent="0.2">
      <c r="I49015" s="137" t="s">
        <v>74</v>
      </c>
    </row>
    <row r="49016" spans="9:9" x14ac:dyDescent="0.2">
      <c r="I49016" s="137" t="s">
        <v>74</v>
      </c>
    </row>
    <row r="49017" spans="9:9" x14ac:dyDescent="0.2">
      <c r="I49017" s="137" t="s">
        <v>74</v>
      </c>
    </row>
    <row r="49018" spans="9:9" x14ac:dyDescent="0.2">
      <c r="I49018" s="137" t="s">
        <v>74</v>
      </c>
    </row>
    <row r="49019" spans="9:9" x14ac:dyDescent="0.2">
      <c r="I49019" s="137" t="s">
        <v>74</v>
      </c>
    </row>
    <row r="49020" spans="9:9" x14ac:dyDescent="0.2">
      <c r="I49020" s="137" t="s">
        <v>74</v>
      </c>
    </row>
    <row r="49021" spans="9:9" x14ac:dyDescent="0.2">
      <c r="I49021" s="137" t="s">
        <v>74</v>
      </c>
    </row>
    <row r="49022" spans="9:9" x14ac:dyDescent="0.2">
      <c r="I49022" s="137" t="s">
        <v>74</v>
      </c>
    </row>
    <row r="49023" spans="9:9" x14ac:dyDescent="0.2">
      <c r="I49023" s="137" t="s">
        <v>74</v>
      </c>
    </row>
    <row r="49024" spans="9:9" x14ac:dyDescent="0.2">
      <c r="I49024" s="137" t="s">
        <v>74</v>
      </c>
    </row>
    <row r="49025" spans="9:9" x14ac:dyDescent="0.2">
      <c r="I49025" s="137" t="s">
        <v>74</v>
      </c>
    </row>
    <row r="49026" spans="9:9" x14ac:dyDescent="0.2">
      <c r="I49026" s="137" t="s">
        <v>74</v>
      </c>
    </row>
    <row r="49027" spans="9:9" x14ac:dyDescent="0.2">
      <c r="I49027" s="137" t="s">
        <v>74</v>
      </c>
    </row>
    <row r="49028" spans="9:9" x14ac:dyDescent="0.2">
      <c r="I49028" s="137" t="s">
        <v>74</v>
      </c>
    </row>
    <row r="49029" spans="9:9" x14ac:dyDescent="0.2">
      <c r="I49029" s="137" t="s">
        <v>74</v>
      </c>
    </row>
    <row r="49030" spans="9:9" x14ac:dyDescent="0.2">
      <c r="I49030" s="137" t="s">
        <v>74</v>
      </c>
    </row>
    <row r="49031" spans="9:9" x14ac:dyDescent="0.2">
      <c r="I49031" s="137" t="s">
        <v>74</v>
      </c>
    </row>
    <row r="49032" spans="9:9" x14ac:dyDescent="0.2">
      <c r="I49032" s="137" t="s">
        <v>74</v>
      </c>
    </row>
    <row r="49033" spans="9:9" x14ac:dyDescent="0.2">
      <c r="I49033" s="137" t="s">
        <v>74</v>
      </c>
    </row>
    <row r="49034" spans="9:9" x14ac:dyDescent="0.2">
      <c r="I49034" s="137" t="s">
        <v>74</v>
      </c>
    </row>
    <row r="49035" spans="9:9" x14ac:dyDescent="0.2">
      <c r="I49035" s="137" t="s">
        <v>74</v>
      </c>
    </row>
    <row r="49036" spans="9:9" x14ac:dyDescent="0.2">
      <c r="I49036" s="137" t="s">
        <v>74</v>
      </c>
    </row>
    <row r="49037" spans="9:9" x14ac:dyDescent="0.2">
      <c r="I49037" s="137" t="s">
        <v>74</v>
      </c>
    </row>
    <row r="49038" spans="9:9" x14ac:dyDescent="0.2">
      <c r="I49038" s="137" t="s">
        <v>74</v>
      </c>
    </row>
    <row r="49039" spans="9:9" x14ac:dyDescent="0.2">
      <c r="I49039" s="137" t="s">
        <v>74</v>
      </c>
    </row>
    <row r="49040" spans="9:9" x14ac:dyDescent="0.2">
      <c r="I49040" s="137" t="s">
        <v>74</v>
      </c>
    </row>
    <row r="49041" spans="9:9" x14ac:dyDescent="0.2">
      <c r="I49041" s="137" t="s">
        <v>74</v>
      </c>
    </row>
    <row r="49042" spans="9:9" x14ac:dyDescent="0.2">
      <c r="I49042" s="137" t="s">
        <v>74</v>
      </c>
    </row>
    <row r="49043" spans="9:9" x14ac:dyDescent="0.2">
      <c r="I49043" s="137" t="s">
        <v>74</v>
      </c>
    </row>
    <row r="49044" spans="9:9" x14ac:dyDescent="0.2">
      <c r="I49044" s="137" t="s">
        <v>74</v>
      </c>
    </row>
    <row r="49045" spans="9:9" x14ac:dyDescent="0.2">
      <c r="I49045" s="137" t="s">
        <v>74</v>
      </c>
    </row>
    <row r="49046" spans="9:9" x14ac:dyDescent="0.2">
      <c r="I49046" s="137" t="s">
        <v>74</v>
      </c>
    </row>
    <row r="49047" spans="9:9" x14ac:dyDescent="0.2">
      <c r="I49047" s="137" t="s">
        <v>74</v>
      </c>
    </row>
    <row r="49048" spans="9:9" x14ac:dyDescent="0.2">
      <c r="I49048" s="137" t="s">
        <v>74</v>
      </c>
    </row>
    <row r="49049" spans="9:9" x14ac:dyDescent="0.2">
      <c r="I49049" s="137" t="s">
        <v>74</v>
      </c>
    </row>
    <row r="49050" spans="9:9" x14ac:dyDescent="0.2">
      <c r="I49050" s="137" t="s">
        <v>74</v>
      </c>
    </row>
    <row r="49051" spans="9:9" x14ac:dyDescent="0.2">
      <c r="I49051" s="137" t="s">
        <v>74</v>
      </c>
    </row>
    <row r="49052" spans="9:9" x14ac:dyDescent="0.2">
      <c r="I49052" s="137" t="s">
        <v>74</v>
      </c>
    </row>
    <row r="49053" spans="9:9" x14ac:dyDescent="0.2">
      <c r="I49053" s="137" t="s">
        <v>74</v>
      </c>
    </row>
    <row r="49054" spans="9:9" x14ac:dyDescent="0.2">
      <c r="I49054" s="137" t="s">
        <v>74</v>
      </c>
    </row>
    <row r="49055" spans="9:9" x14ac:dyDescent="0.2">
      <c r="I49055" s="137" t="s">
        <v>74</v>
      </c>
    </row>
    <row r="49056" spans="9:9" x14ac:dyDescent="0.2">
      <c r="I49056" s="137" t="s">
        <v>74</v>
      </c>
    </row>
    <row r="49057" spans="9:9" x14ac:dyDescent="0.2">
      <c r="I49057" s="137" t="s">
        <v>74</v>
      </c>
    </row>
    <row r="49058" spans="9:9" x14ac:dyDescent="0.2">
      <c r="I49058" s="137" t="s">
        <v>74</v>
      </c>
    </row>
    <row r="49059" spans="9:9" x14ac:dyDescent="0.2">
      <c r="I49059" s="137" t="s">
        <v>74</v>
      </c>
    </row>
    <row r="49060" spans="9:9" x14ac:dyDescent="0.2">
      <c r="I49060" s="137" t="s">
        <v>74</v>
      </c>
    </row>
    <row r="49061" spans="9:9" x14ac:dyDescent="0.2">
      <c r="I49061" s="137" t="s">
        <v>74</v>
      </c>
    </row>
    <row r="49062" spans="9:9" x14ac:dyDescent="0.2">
      <c r="I49062" s="137" t="s">
        <v>74</v>
      </c>
    </row>
    <row r="49063" spans="9:9" x14ac:dyDescent="0.2">
      <c r="I49063" s="137" t="s">
        <v>74</v>
      </c>
    </row>
    <row r="49064" spans="9:9" x14ac:dyDescent="0.2">
      <c r="I49064" s="137" t="s">
        <v>74</v>
      </c>
    </row>
    <row r="49065" spans="9:9" x14ac:dyDescent="0.2">
      <c r="I49065" s="137" t="s">
        <v>74</v>
      </c>
    </row>
    <row r="49066" spans="9:9" x14ac:dyDescent="0.2">
      <c r="I49066" s="137" t="s">
        <v>74</v>
      </c>
    </row>
    <row r="49067" spans="9:9" x14ac:dyDescent="0.2">
      <c r="I49067" s="137" t="s">
        <v>74</v>
      </c>
    </row>
    <row r="49068" spans="9:9" x14ac:dyDescent="0.2">
      <c r="I49068" s="137" t="s">
        <v>74</v>
      </c>
    </row>
    <row r="49069" spans="9:9" x14ac:dyDescent="0.2">
      <c r="I49069" s="137" t="s">
        <v>74</v>
      </c>
    </row>
    <row r="49070" spans="9:9" x14ac:dyDescent="0.2">
      <c r="I49070" s="137" t="s">
        <v>74</v>
      </c>
    </row>
    <row r="49071" spans="9:9" x14ac:dyDescent="0.2">
      <c r="I49071" s="137" t="s">
        <v>74</v>
      </c>
    </row>
    <row r="49072" spans="9:9" x14ac:dyDescent="0.2">
      <c r="I49072" s="137" t="s">
        <v>74</v>
      </c>
    </row>
    <row r="49073" spans="9:9" x14ac:dyDescent="0.2">
      <c r="I49073" s="137" t="s">
        <v>74</v>
      </c>
    </row>
    <row r="49074" spans="9:9" x14ac:dyDescent="0.2">
      <c r="I49074" s="137" t="s">
        <v>74</v>
      </c>
    </row>
    <row r="49075" spans="9:9" x14ac:dyDescent="0.2">
      <c r="I49075" s="137" t="s">
        <v>74</v>
      </c>
    </row>
    <row r="49076" spans="9:9" x14ac:dyDescent="0.2">
      <c r="I49076" s="137" t="s">
        <v>74</v>
      </c>
    </row>
    <row r="49077" spans="9:9" x14ac:dyDescent="0.2">
      <c r="I49077" s="137" t="s">
        <v>74</v>
      </c>
    </row>
    <row r="49078" spans="9:9" x14ac:dyDescent="0.2">
      <c r="I49078" s="137" t="s">
        <v>74</v>
      </c>
    </row>
    <row r="49079" spans="9:9" x14ac:dyDescent="0.2">
      <c r="I49079" s="137" t="s">
        <v>74</v>
      </c>
    </row>
    <row r="49080" spans="9:9" x14ac:dyDescent="0.2">
      <c r="I49080" s="137" t="s">
        <v>74</v>
      </c>
    </row>
    <row r="49081" spans="9:9" x14ac:dyDescent="0.2">
      <c r="I49081" s="137" t="s">
        <v>74</v>
      </c>
    </row>
    <row r="49082" spans="9:9" x14ac:dyDescent="0.2">
      <c r="I49082" s="137" t="s">
        <v>74</v>
      </c>
    </row>
    <row r="49083" spans="9:9" x14ac:dyDescent="0.2">
      <c r="I49083" s="137" t="s">
        <v>74</v>
      </c>
    </row>
    <row r="49084" spans="9:9" x14ac:dyDescent="0.2">
      <c r="I49084" s="137" t="s">
        <v>74</v>
      </c>
    </row>
    <row r="49085" spans="9:9" x14ac:dyDescent="0.2">
      <c r="I49085" s="137" t="s">
        <v>74</v>
      </c>
    </row>
    <row r="49086" spans="9:9" x14ac:dyDescent="0.2">
      <c r="I49086" s="137" t="s">
        <v>74</v>
      </c>
    </row>
    <row r="49087" spans="9:9" x14ac:dyDescent="0.2">
      <c r="I49087" s="137" t="s">
        <v>74</v>
      </c>
    </row>
    <row r="49088" spans="9:9" x14ac:dyDescent="0.2">
      <c r="I49088" s="137" t="s">
        <v>74</v>
      </c>
    </row>
    <row r="49089" spans="9:9" x14ac:dyDescent="0.2">
      <c r="I49089" s="137" t="s">
        <v>74</v>
      </c>
    </row>
    <row r="49090" spans="9:9" x14ac:dyDescent="0.2">
      <c r="I49090" s="137" t="s">
        <v>74</v>
      </c>
    </row>
    <row r="49091" spans="9:9" x14ac:dyDescent="0.2">
      <c r="I49091" s="137" t="s">
        <v>74</v>
      </c>
    </row>
    <row r="49092" spans="9:9" x14ac:dyDescent="0.2">
      <c r="I49092" s="137" t="s">
        <v>74</v>
      </c>
    </row>
    <row r="49093" spans="9:9" x14ac:dyDescent="0.2">
      <c r="I49093" s="137" t="s">
        <v>74</v>
      </c>
    </row>
    <row r="49094" spans="9:9" x14ac:dyDescent="0.2">
      <c r="I49094" s="137" t="s">
        <v>74</v>
      </c>
    </row>
    <row r="49095" spans="9:9" x14ac:dyDescent="0.2">
      <c r="I49095" s="137" t="s">
        <v>74</v>
      </c>
    </row>
    <row r="49096" spans="9:9" x14ac:dyDescent="0.2">
      <c r="I49096" s="137" t="s">
        <v>74</v>
      </c>
    </row>
    <row r="49097" spans="9:9" x14ac:dyDescent="0.2">
      <c r="I49097" s="137" t="s">
        <v>74</v>
      </c>
    </row>
    <row r="49098" spans="9:9" x14ac:dyDescent="0.2">
      <c r="I49098" s="137" t="s">
        <v>74</v>
      </c>
    </row>
    <row r="49099" spans="9:9" x14ac:dyDescent="0.2">
      <c r="I49099" s="137" t="s">
        <v>74</v>
      </c>
    </row>
    <row r="49100" spans="9:9" x14ac:dyDescent="0.2">
      <c r="I49100" s="137" t="s">
        <v>74</v>
      </c>
    </row>
    <row r="49101" spans="9:9" x14ac:dyDescent="0.2">
      <c r="I49101" s="137" t="s">
        <v>74</v>
      </c>
    </row>
    <row r="49102" spans="9:9" x14ac:dyDescent="0.2">
      <c r="I49102" s="137" t="s">
        <v>74</v>
      </c>
    </row>
    <row r="49103" spans="9:9" x14ac:dyDescent="0.2">
      <c r="I49103" s="137" t="s">
        <v>74</v>
      </c>
    </row>
    <row r="49104" spans="9:9" x14ac:dyDescent="0.2">
      <c r="I49104" s="137" t="s">
        <v>74</v>
      </c>
    </row>
    <row r="49105" spans="9:9" x14ac:dyDescent="0.2">
      <c r="I49105" s="137" t="s">
        <v>74</v>
      </c>
    </row>
    <row r="49106" spans="9:9" x14ac:dyDescent="0.2">
      <c r="I49106" s="137" t="s">
        <v>74</v>
      </c>
    </row>
    <row r="49107" spans="9:9" x14ac:dyDescent="0.2">
      <c r="I49107" s="137" t="s">
        <v>74</v>
      </c>
    </row>
    <row r="49108" spans="9:9" x14ac:dyDescent="0.2">
      <c r="I49108" s="137" t="s">
        <v>74</v>
      </c>
    </row>
    <row r="49109" spans="9:9" x14ac:dyDescent="0.2">
      <c r="I49109" s="137" t="s">
        <v>74</v>
      </c>
    </row>
    <row r="49110" spans="9:9" x14ac:dyDescent="0.2">
      <c r="I49110" s="137" t="s">
        <v>74</v>
      </c>
    </row>
    <row r="49111" spans="9:9" x14ac:dyDescent="0.2">
      <c r="I49111" s="137" t="s">
        <v>74</v>
      </c>
    </row>
    <row r="49112" spans="9:9" x14ac:dyDescent="0.2">
      <c r="I49112" s="137" t="s">
        <v>74</v>
      </c>
    </row>
    <row r="49113" spans="9:9" x14ac:dyDescent="0.2">
      <c r="I49113" s="137" t="s">
        <v>74</v>
      </c>
    </row>
    <row r="49114" spans="9:9" x14ac:dyDescent="0.2">
      <c r="I49114" s="137" t="s">
        <v>74</v>
      </c>
    </row>
    <row r="49115" spans="9:9" x14ac:dyDescent="0.2">
      <c r="I49115" s="137" t="s">
        <v>74</v>
      </c>
    </row>
    <row r="49116" spans="9:9" x14ac:dyDescent="0.2">
      <c r="I49116" s="137" t="s">
        <v>74</v>
      </c>
    </row>
    <row r="49117" spans="9:9" x14ac:dyDescent="0.2">
      <c r="I49117" s="137" t="s">
        <v>74</v>
      </c>
    </row>
    <row r="49118" spans="9:9" x14ac:dyDescent="0.2">
      <c r="I49118" s="137" t="s">
        <v>74</v>
      </c>
    </row>
    <row r="49119" spans="9:9" x14ac:dyDescent="0.2">
      <c r="I49119" s="137" t="s">
        <v>74</v>
      </c>
    </row>
    <row r="49120" spans="9:9" x14ac:dyDescent="0.2">
      <c r="I49120" s="137" t="s">
        <v>74</v>
      </c>
    </row>
    <row r="49121" spans="9:9" x14ac:dyDescent="0.2">
      <c r="I49121" s="137" t="s">
        <v>74</v>
      </c>
    </row>
    <row r="49122" spans="9:9" x14ac:dyDescent="0.2">
      <c r="I49122" s="137" t="s">
        <v>74</v>
      </c>
    </row>
    <row r="49123" spans="9:9" x14ac:dyDescent="0.2">
      <c r="I49123" s="137" t="s">
        <v>74</v>
      </c>
    </row>
    <row r="49124" spans="9:9" x14ac:dyDescent="0.2">
      <c r="I49124" s="137" t="s">
        <v>74</v>
      </c>
    </row>
    <row r="49125" spans="9:9" x14ac:dyDescent="0.2">
      <c r="I49125" s="137" t="s">
        <v>74</v>
      </c>
    </row>
    <row r="49126" spans="9:9" x14ac:dyDescent="0.2">
      <c r="I49126" s="137" t="s">
        <v>74</v>
      </c>
    </row>
    <row r="49127" spans="9:9" x14ac:dyDescent="0.2">
      <c r="I49127" s="137" t="s">
        <v>74</v>
      </c>
    </row>
    <row r="49128" spans="9:9" x14ac:dyDescent="0.2">
      <c r="I49128" s="137" t="s">
        <v>74</v>
      </c>
    </row>
    <row r="49129" spans="9:9" x14ac:dyDescent="0.2">
      <c r="I49129" s="137" t="s">
        <v>74</v>
      </c>
    </row>
    <row r="49130" spans="9:9" x14ac:dyDescent="0.2">
      <c r="I49130" s="137" t="s">
        <v>74</v>
      </c>
    </row>
    <row r="49131" spans="9:9" x14ac:dyDescent="0.2">
      <c r="I49131" s="137" t="s">
        <v>74</v>
      </c>
    </row>
    <row r="49132" spans="9:9" x14ac:dyDescent="0.2">
      <c r="I49132" s="137" t="s">
        <v>74</v>
      </c>
    </row>
    <row r="49133" spans="9:9" x14ac:dyDescent="0.2">
      <c r="I49133" s="137" t="s">
        <v>74</v>
      </c>
    </row>
    <row r="49134" spans="9:9" x14ac:dyDescent="0.2">
      <c r="I49134" s="137" t="s">
        <v>74</v>
      </c>
    </row>
    <row r="49135" spans="9:9" x14ac:dyDescent="0.2">
      <c r="I49135" s="137" t="s">
        <v>74</v>
      </c>
    </row>
    <row r="49136" spans="9:9" x14ac:dyDescent="0.2">
      <c r="I49136" s="137" t="s">
        <v>74</v>
      </c>
    </row>
    <row r="49137" spans="9:9" x14ac:dyDescent="0.2">
      <c r="I49137" s="137" t="s">
        <v>74</v>
      </c>
    </row>
    <row r="49138" spans="9:9" x14ac:dyDescent="0.2">
      <c r="I49138" s="137" t="s">
        <v>74</v>
      </c>
    </row>
    <row r="49139" spans="9:9" x14ac:dyDescent="0.2">
      <c r="I49139" s="137" t="s">
        <v>74</v>
      </c>
    </row>
    <row r="49140" spans="9:9" x14ac:dyDescent="0.2">
      <c r="I49140" s="137" t="s">
        <v>74</v>
      </c>
    </row>
    <row r="49141" spans="9:9" x14ac:dyDescent="0.2">
      <c r="I49141" s="137" t="s">
        <v>74</v>
      </c>
    </row>
    <row r="49142" spans="9:9" x14ac:dyDescent="0.2">
      <c r="I49142" s="137" t="s">
        <v>74</v>
      </c>
    </row>
    <row r="49143" spans="9:9" x14ac:dyDescent="0.2">
      <c r="I49143" s="137" t="s">
        <v>74</v>
      </c>
    </row>
    <row r="49144" spans="9:9" x14ac:dyDescent="0.2">
      <c r="I49144" s="137" t="s">
        <v>74</v>
      </c>
    </row>
    <row r="49145" spans="9:9" x14ac:dyDescent="0.2">
      <c r="I49145" s="137" t="s">
        <v>74</v>
      </c>
    </row>
    <row r="49146" spans="9:9" x14ac:dyDescent="0.2">
      <c r="I49146" s="137" t="s">
        <v>74</v>
      </c>
    </row>
    <row r="49147" spans="9:9" x14ac:dyDescent="0.2">
      <c r="I49147" s="137" t="s">
        <v>74</v>
      </c>
    </row>
    <row r="49148" spans="9:9" x14ac:dyDescent="0.2">
      <c r="I49148" s="137" t="s">
        <v>74</v>
      </c>
    </row>
    <row r="49149" spans="9:9" x14ac:dyDescent="0.2">
      <c r="I49149" s="137" t="s">
        <v>74</v>
      </c>
    </row>
    <row r="49150" spans="9:9" x14ac:dyDescent="0.2">
      <c r="I49150" s="137" t="s">
        <v>74</v>
      </c>
    </row>
    <row r="49151" spans="9:9" x14ac:dyDescent="0.2">
      <c r="I49151" s="137" t="s">
        <v>74</v>
      </c>
    </row>
    <row r="49152" spans="9:9" x14ac:dyDescent="0.2">
      <c r="I49152" s="137" t="s">
        <v>74</v>
      </c>
    </row>
    <row r="49153" spans="9:9" x14ac:dyDescent="0.2">
      <c r="I49153" s="137" t="s">
        <v>74</v>
      </c>
    </row>
    <row r="49154" spans="9:9" x14ac:dyDescent="0.2">
      <c r="I49154" s="137" t="s">
        <v>74</v>
      </c>
    </row>
    <row r="49155" spans="9:9" x14ac:dyDescent="0.2">
      <c r="I49155" s="137" t="s">
        <v>74</v>
      </c>
    </row>
    <row r="49156" spans="9:9" x14ac:dyDescent="0.2">
      <c r="I49156" s="137" t="s">
        <v>74</v>
      </c>
    </row>
    <row r="49157" spans="9:9" x14ac:dyDescent="0.2">
      <c r="I49157" s="137" t="s">
        <v>74</v>
      </c>
    </row>
    <row r="49158" spans="9:9" x14ac:dyDescent="0.2">
      <c r="I49158" s="137" t="s">
        <v>74</v>
      </c>
    </row>
    <row r="49159" spans="9:9" x14ac:dyDescent="0.2">
      <c r="I49159" s="137" t="s">
        <v>74</v>
      </c>
    </row>
    <row r="49160" spans="9:9" x14ac:dyDescent="0.2">
      <c r="I49160" s="137" t="s">
        <v>74</v>
      </c>
    </row>
    <row r="49161" spans="9:9" x14ac:dyDescent="0.2">
      <c r="I49161" s="137" t="s">
        <v>74</v>
      </c>
    </row>
    <row r="49162" spans="9:9" x14ac:dyDescent="0.2">
      <c r="I49162" s="137" t="s">
        <v>74</v>
      </c>
    </row>
    <row r="49163" spans="9:9" x14ac:dyDescent="0.2">
      <c r="I49163" s="137" t="s">
        <v>74</v>
      </c>
    </row>
    <row r="49164" spans="9:9" x14ac:dyDescent="0.2">
      <c r="I49164" s="137" t="s">
        <v>74</v>
      </c>
    </row>
    <row r="49165" spans="9:9" x14ac:dyDescent="0.2">
      <c r="I49165" s="137" t="s">
        <v>74</v>
      </c>
    </row>
    <row r="49166" spans="9:9" x14ac:dyDescent="0.2">
      <c r="I49166" s="137" t="s">
        <v>74</v>
      </c>
    </row>
    <row r="49167" spans="9:9" x14ac:dyDescent="0.2">
      <c r="I49167" s="137" t="s">
        <v>74</v>
      </c>
    </row>
    <row r="49168" spans="9:9" x14ac:dyDescent="0.2">
      <c r="I49168" s="137" t="s">
        <v>74</v>
      </c>
    </row>
    <row r="49169" spans="9:9" x14ac:dyDescent="0.2">
      <c r="I49169" s="137" t="s">
        <v>74</v>
      </c>
    </row>
    <row r="49170" spans="9:9" x14ac:dyDescent="0.2">
      <c r="I49170" s="137" t="s">
        <v>74</v>
      </c>
    </row>
    <row r="49171" spans="9:9" x14ac:dyDescent="0.2">
      <c r="I49171" s="137" t="s">
        <v>74</v>
      </c>
    </row>
    <row r="49172" spans="9:9" x14ac:dyDescent="0.2">
      <c r="I49172" s="137" t="s">
        <v>74</v>
      </c>
    </row>
    <row r="49173" spans="9:9" x14ac:dyDescent="0.2">
      <c r="I49173" s="137" t="s">
        <v>74</v>
      </c>
    </row>
    <row r="49174" spans="9:9" x14ac:dyDescent="0.2">
      <c r="I49174" s="137" t="s">
        <v>74</v>
      </c>
    </row>
    <row r="49175" spans="9:9" x14ac:dyDescent="0.2">
      <c r="I49175" s="137" t="s">
        <v>74</v>
      </c>
    </row>
    <row r="49176" spans="9:9" x14ac:dyDescent="0.2">
      <c r="I49176" s="137" t="s">
        <v>74</v>
      </c>
    </row>
    <row r="49177" spans="9:9" x14ac:dyDescent="0.2">
      <c r="I49177" s="137" t="s">
        <v>74</v>
      </c>
    </row>
    <row r="49178" spans="9:9" x14ac:dyDescent="0.2">
      <c r="I49178" s="137" t="s">
        <v>74</v>
      </c>
    </row>
    <row r="49179" spans="9:9" x14ac:dyDescent="0.2">
      <c r="I49179" s="137" t="s">
        <v>74</v>
      </c>
    </row>
    <row r="49180" spans="9:9" x14ac:dyDescent="0.2">
      <c r="I49180" s="137" t="s">
        <v>74</v>
      </c>
    </row>
    <row r="49181" spans="9:9" x14ac:dyDescent="0.2">
      <c r="I49181" s="137" t="s">
        <v>74</v>
      </c>
    </row>
    <row r="49182" spans="9:9" x14ac:dyDescent="0.2">
      <c r="I49182" s="137" t="s">
        <v>74</v>
      </c>
    </row>
    <row r="49183" spans="9:9" x14ac:dyDescent="0.2">
      <c r="I49183" s="137" t="s">
        <v>74</v>
      </c>
    </row>
    <row r="49184" spans="9:9" x14ac:dyDescent="0.2">
      <c r="I49184" s="137" t="s">
        <v>74</v>
      </c>
    </row>
    <row r="49185" spans="9:9" x14ac:dyDescent="0.2">
      <c r="I49185" s="137" t="s">
        <v>74</v>
      </c>
    </row>
    <row r="49186" spans="9:9" x14ac:dyDescent="0.2">
      <c r="I49186" s="137" t="s">
        <v>74</v>
      </c>
    </row>
    <row r="49187" spans="9:9" x14ac:dyDescent="0.2">
      <c r="I49187" s="137" t="s">
        <v>74</v>
      </c>
    </row>
    <row r="49188" spans="9:9" x14ac:dyDescent="0.2">
      <c r="I49188" s="137" t="s">
        <v>74</v>
      </c>
    </row>
    <row r="49189" spans="9:9" x14ac:dyDescent="0.2">
      <c r="I49189" s="137" t="s">
        <v>74</v>
      </c>
    </row>
    <row r="49190" spans="9:9" x14ac:dyDescent="0.2">
      <c r="I49190" s="137" t="s">
        <v>74</v>
      </c>
    </row>
    <row r="49191" spans="9:9" x14ac:dyDescent="0.2">
      <c r="I49191" s="137" t="s">
        <v>74</v>
      </c>
    </row>
    <row r="49192" spans="9:9" x14ac:dyDescent="0.2">
      <c r="I49192" s="137" t="s">
        <v>74</v>
      </c>
    </row>
    <row r="49193" spans="9:9" x14ac:dyDescent="0.2">
      <c r="I49193" s="137" t="s">
        <v>74</v>
      </c>
    </row>
    <row r="49194" spans="9:9" x14ac:dyDescent="0.2">
      <c r="I49194" s="137" t="s">
        <v>74</v>
      </c>
    </row>
    <row r="49195" spans="9:9" x14ac:dyDescent="0.2">
      <c r="I49195" s="137" t="s">
        <v>74</v>
      </c>
    </row>
    <row r="49196" spans="9:9" x14ac:dyDescent="0.2">
      <c r="I49196" s="137" t="s">
        <v>74</v>
      </c>
    </row>
    <row r="49197" spans="9:9" x14ac:dyDescent="0.2">
      <c r="I49197" s="137" t="s">
        <v>74</v>
      </c>
    </row>
    <row r="49198" spans="9:9" x14ac:dyDescent="0.2">
      <c r="I49198" s="137" t="s">
        <v>74</v>
      </c>
    </row>
    <row r="49199" spans="9:9" x14ac:dyDescent="0.2">
      <c r="I49199" s="137" t="s">
        <v>74</v>
      </c>
    </row>
    <row r="49200" spans="9:9" x14ac:dyDescent="0.2">
      <c r="I49200" s="137" t="s">
        <v>74</v>
      </c>
    </row>
    <row r="49201" spans="9:9" x14ac:dyDescent="0.2">
      <c r="I49201" s="137" t="s">
        <v>74</v>
      </c>
    </row>
    <row r="49202" spans="9:9" x14ac:dyDescent="0.2">
      <c r="I49202" s="137" t="s">
        <v>74</v>
      </c>
    </row>
    <row r="49203" spans="9:9" x14ac:dyDescent="0.2">
      <c r="I49203" s="137" t="s">
        <v>74</v>
      </c>
    </row>
    <row r="49204" spans="9:9" x14ac:dyDescent="0.2">
      <c r="I49204" s="137" t="s">
        <v>74</v>
      </c>
    </row>
    <row r="49205" spans="9:9" x14ac:dyDescent="0.2">
      <c r="I49205" s="137" t="s">
        <v>74</v>
      </c>
    </row>
    <row r="49206" spans="9:9" x14ac:dyDescent="0.2">
      <c r="I49206" s="137" t="s">
        <v>74</v>
      </c>
    </row>
    <row r="49207" spans="9:9" x14ac:dyDescent="0.2">
      <c r="I49207" s="137" t="s">
        <v>74</v>
      </c>
    </row>
    <row r="49208" spans="9:9" x14ac:dyDescent="0.2">
      <c r="I49208" s="137" t="s">
        <v>74</v>
      </c>
    </row>
    <row r="49209" spans="9:9" x14ac:dyDescent="0.2">
      <c r="I49209" s="137" t="s">
        <v>74</v>
      </c>
    </row>
    <row r="49210" spans="9:9" x14ac:dyDescent="0.2">
      <c r="I49210" s="137" t="s">
        <v>74</v>
      </c>
    </row>
    <row r="49211" spans="9:9" x14ac:dyDescent="0.2">
      <c r="I49211" s="137" t="s">
        <v>74</v>
      </c>
    </row>
    <row r="49212" spans="9:9" x14ac:dyDescent="0.2">
      <c r="I49212" s="137" t="s">
        <v>74</v>
      </c>
    </row>
    <row r="49213" spans="9:9" x14ac:dyDescent="0.2">
      <c r="I49213" s="137" t="s">
        <v>74</v>
      </c>
    </row>
    <row r="49214" spans="9:9" x14ac:dyDescent="0.2">
      <c r="I49214" s="137" t="s">
        <v>74</v>
      </c>
    </row>
    <row r="49215" spans="9:9" x14ac:dyDescent="0.2">
      <c r="I49215" s="137" t="s">
        <v>74</v>
      </c>
    </row>
    <row r="49216" spans="9:9" x14ac:dyDescent="0.2">
      <c r="I49216" s="137" t="s">
        <v>74</v>
      </c>
    </row>
    <row r="49217" spans="9:9" x14ac:dyDescent="0.2">
      <c r="I49217" s="137" t="s">
        <v>74</v>
      </c>
    </row>
    <row r="49218" spans="9:9" x14ac:dyDescent="0.2">
      <c r="I49218" s="137" t="s">
        <v>74</v>
      </c>
    </row>
    <row r="49219" spans="9:9" x14ac:dyDescent="0.2">
      <c r="I49219" s="137" t="s">
        <v>74</v>
      </c>
    </row>
    <row r="49220" spans="9:9" x14ac:dyDescent="0.2">
      <c r="I49220" s="137" t="s">
        <v>74</v>
      </c>
    </row>
    <row r="49221" spans="9:9" x14ac:dyDescent="0.2">
      <c r="I49221" s="137" t="s">
        <v>74</v>
      </c>
    </row>
    <row r="49222" spans="9:9" x14ac:dyDescent="0.2">
      <c r="I49222" s="137" t="s">
        <v>74</v>
      </c>
    </row>
    <row r="49223" spans="9:9" x14ac:dyDescent="0.2">
      <c r="I49223" s="137" t="s">
        <v>74</v>
      </c>
    </row>
    <row r="49224" spans="9:9" x14ac:dyDescent="0.2">
      <c r="I49224" s="137" t="s">
        <v>74</v>
      </c>
    </row>
    <row r="49225" spans="9:9" x14ac:dyDescent="0.2">
      <c r="I49225" s="137" t="s">
        <v>74</v>
      </c>
    </row>
    <row r="49226" spans="9:9" x14ac:dyDescent="0.2">
      <c r="I49226" s="137" t="s">
        <v>74</v>
      </c>
    </row>
    <row r="49227" spans="9:9" x14ac:dyDescent="0.2">
      <c r="I49227" s="137" t="s">
        <v>74</v>
      </c>
    </row>
    <row r="49228" spans="9:9" x14ac:dyDescent="0.2">
      <c r="I49228" s="137" t="s">
        <v>74</v>
      </c>
    </row>
    <row r="49229" spans="9:9" x14ac:dyDescent="0.2">
      <c r="I49229" s="137" t="s">
        <v>74</v>
      </c>
    </row>
    <row r="49230" spans="9:9" x14ac:dyDescent="0.2">
      <c r="I49230" s="137" t="s">
        <v>74</v>
      </c>
    </row>
    <row r="49231" spans="9:9" x14ac:dyDescent="0.2">
      <c r="I49231" s="137" t="s">
        <v>74</v>
      </c>
    </row>
    <row r="49232" spans="9:9" x14ac:dyDescent="0.2">
      <c r="I49232" s="137" t="s">
        <v>74</v>
      </c>
    </row>
    <row r="49233" spans="9:9" x14ac:dyDescent="0.2">
      <c r="I49233" s="137" t="s">
        <v>74</v>
      </c>
    </row>
    <row r="49234" spans="9:9" x14ac:dyDescent="0.2">
      <c r="I49234" s="137" t="s">
        <v>74</v>
      </c>
    </row>
    <row r="49235" spans="9:9" x14ac:dyDescent="0.2">
      <c r="I49235" s="137" t="s">
        <v>74</v>
      </c>
    </row>
    <row r="49236" spans="9:9" x14ac:dyDescent="0.2">
      <c r="I49236" s="137" t="s">
        <v>74</v>
      </c>
    </row>
    <row r="49237" spans="9:9" x14ac:dyDescent="0.2">
      <c r="I49237" s="137" t="s">
        <v>74</v>
      </c>
    </row>
    <row r="49238" spans="9:9" x14ac:dyDescent="0.2">
      <c r="I49238" s="137" t="s">
        <v>74</v>
      </c>
    </row>
    <row r="49239" spans="9:9" x14ac:dyDescent="0.2">
      <c r="I49239" s="137" t="s">
        <v>74</v>
      </c>
    </row>
    <row r="49240" spans="9:9" x14ac:dyDescent="0.2">
      <c r="I49240" s="137" t="s">
        <v>74</v>
      </c>
    </row>
    <row r="49241" spans="9:9" x14ac:dyDescent="0.2">
      <c r="I49241" s="137" t="s">
        <v>74</v>
      </c>
    </row>
    <row r="49242" spans="9:9" x14ac:dyDescent="0.2">
      <c r="I49242" s="137" t="s">
        <v>74</v>
      </c>
    </row>
    <row r="49243" spans="9:9" x14ac:dyDescent="0.2">
      <c r="I49243" s="137" t="s">
        <v>74</v>
      </c>
    </row>
    <row r="49244" spans="9:9" x14ac:dyDescent="0.2">
      <c r="I49244" s="137" t="s">
        <v>74</v>
      </c>
    </row>
    <row r="49245" spans="9:9" x14ac:dyDescent="0.2">
      <c r="I49245" s="137" t="s">
        <v>74</v>
      </c>
    </row>
    <row r="49246" spans="9:9" x14ac:dyDescent="0.2">
      <c r="I49246" s="137" t="s">
        <v>74</v>
      </c>
    </row>
    <row r="49247" spans="9:9" x14ac:dyDescent="0.2">
      <c r="I49247" s="137" t="s">
        <v>74</v>
      </c>
    </row>
    <row r="49248" spans="9:9" x14ac:dyDescent="0.2">
      <c r="I49248" s="137" t="s">
        <v>74</v>
      </c>
    </row>
    <row r="49249" spans="9:9" x14ac:dyDescent="0.2">
      <c r="I49249" s="137" t="s">
        <v>74</v>
      </c>
    </row>
    <row r="49250" spans="9:9" x14ac:dyDescent="0.2">
      <c r="I49250" s="137" t="s">
        <v>74</v>
      </c>
    </row>
    <row r="49251" spans="9:9" x14ac:dyDescent="0.2">
      <c r="I49251" s="137" t="s">
        <v>74</v>
      </c>
    </row>
    <row r="49252" spans="9:9" x14ac:dyDescent="0.2">
      <c r="I49252" s="137" t="s">
        <v>74</v>
      </c>
    </row>
    <row r="49253" spans="9:9" x14ac:dyDescent="0.2">
      <c r="I49253" s="137" t="s">
        <v>74</v>
      </c>
    </row>
    <row r="49254" spans="9:9" x14ac:dyDescent="0.2">
      <c r="I49254" s="137" t="s">
        <v>74</v>
      </c>
    </row>
    <row r="49255" spans="9:9" x14ac:dyDescent="0.2">
      <c r="I49255" s="137" t="s">
        <v>74</v>
      </c>
    </row>
    <row r="49256" spans="9:9" x14ac:dyDescent="0.2">
      <c r="I49256" s="137" t="s">
        <v>74</v>
      </c>
    </row>
    <row r="49257" spans="9:9" x14ac:dyDescent="0.2">
      <c r="I49257" s="137" t="s">
        <v>74</v>
      </c>
    </row>
    <row r="49258" spans="9:9" x14ac:dyDescent="0.2">
      <c r="I49258" s="137" t="s">
        <v>74</v>
      </c>
    </row>
    <row r="49259" spans="9:9" x14ac:dyDescent="0.2">
      <c r="I49259" s="137" t="s">
        <v>74</v>
      </c>
    </row>
    <row r="49260" spans="9:9" x14ac:dyDescent="0.2">
      <c r="I49260" s="137" t="s">
        <v>74</v>
      </c>
    </row>
    <row r="49261" spans="9:9" x14ac:dyDescent="0.2">
      <c r="I49261" s="137" t="s">
        <v>74</v>
      </c>
    </row>
    <row r="49262" spans="9:9" x14ac:dyDescent="0.2">
      <c r="I49262" s="137" t="s">
        <v>74</v>
      </c>
    </row>
    <row r="49263" spans="9:9" x14ac:dyDescent="0.2">
      <c r="I49263" s="137" t="s">
        <v>74</v>
      </c>
    </row>
    <row r="49264" spans="9:9" x14ac:dyDescent="0.2">
      <c r="I49264" s="137" t="s">
        <v>74</v>
      </c>
    </row>
    <row r="49265" spans="9:9" x14ac:dyDescent="0.2">
      <c r="I49265" s="137" t="s">
        <v>74</v>
      </c>
    </row>
    <row r="49266" spans="9:9" x14ac:dyDescent="0.2">
      <c r="I49266" s="137" t="s">
        <v>74</v>
      </c>
    </row>
    <row r="49267" spans="9:9" x14ac:dyDescent="0.2">
      <c r="I49267" s="137" t="s">
        <v>74</v>
      </c>
    </row>
    <row r="49268" spans="9:9" x14ac:dyDescent="0.2">
      <c r="I49268" s="137" t="s">
        <v>74</v>
      </c>
    </row>
    <row r="49269" spans="9:9" x14ac:dyDescent="0.2">
      <c r="I49269" s="137" t="s">
        <v>74</v>
      </c>
    </row>
    <row r="49270" spans="9:9" x14ac:dyDescent="0.2">
      <c r="I49270" s="137" t="s">
        <v>74</v>
      </c>
    </row>
    <row r="49271" spans="9:9" x14ac:dyDescent="0.2">
      <c r="I49271" s="137" t="s">
        <v>74</v>
      </c>
    </row>
    <row r="49272" spans="9:9" x14ac:dyDescent="0.2">
      <c r="I49272" s="137" t="s">
        <v>74</v>
      </c>
    </row>
    <row r="49273" spans="9:9" x14ac:dyDescent="0.2">
      <c r="I49273" s="137" t="s">
        <v>74</v>
      </c>
    </row>
    <row r="49274" spans="9:9" x14ac:dyDescent="0.2">
      <c r="I49274" s="137" t="s">
        <v>74</v>
      </c>
    </row>
    <row r="49275" spans="9:9" x14ac:dyDescent="0.2">
      <c r="I49275" s="137" t="s">
        <v>74</v>
      </c>
    </row>
    <row r="49276" spans="9:9" x14ac:dyDescent="0.2">
      <c r="I49276" s="137" t="s">
        <v>74</v>
      </c>
    </row>
    <row r="49277" spans="9:9" x14ac:dyDescent="0.2">
      <c r="I49277" s="137" t="s">
        <v>74</v>
      </c>
    </row>
    <row r="49278" spans="9:9" x14ac:dyDescent="0.2">
      <c r="I49278" s="137" t="s">
        <v>74</v>
      </c>
    </row>
    <row r="49279" spans="9:9" x14ac:dyDescent="0.2">
      <c r="I49279" s="137" t="s">
        <v>74</v>
      </c>
    </row>
    <row r="49280" spans="9:9" x14ac:dyDescent="0.2">
      <c r="I49280" s="137" t="s">
        <v>74</v>
      </c>
    </row>
    <row r="49281" spans="9:9" x14ac:dyDescent="0.2">
      <c r="I49281" s="137" t="s">
        <v>74</v>
      </c>
    </row>
    <row r="49282" spans="9:9" x14ac:dyDescent="0.2">
      <c r="I49282" s="137" t="s">
        <v>74</v>
      </c>
    </row>
    <row r="49283" spans="9:9" x14ac:dyDescent="0.2">
      <c r="I49283" s="137" t="s">
        <v>74</v>
      </c>
    </row>
    <row r="49284" spans="9:9" x14ac:dyDescent="0.2">
      <c r="I49284" s="137" t="s">
        <v>74</v>
      </c>
    </row>
    <row r="49285" spans="9:9" x14ac:dyDescent="0.2">
      <c r="I49285" s="137" t="s">
        <v>74</v>
      </c>
    </row>
    <row r="49286" spans="9:9" x14ac:dyDescent="0.2">
      <c r="I49286" s="137" t="s">
        <v>74</v>
      </c>
    </row>
    <row r="49287" spans="9:9" x14ac:dyDescent="0.2">
      <c r="I49287" s="137" t="s">
        <v>74</v>
      </c>
    </row>
    <row r="49288" spans="9:9" x14ac:dyDescent="0.2">
      <c r="I49288" s="137" t="s">
        <v>74</v>
      </c>
    </row>
    <row r="49289" spans="9:9" x14ac:dyDescent="0.2">
      <c r="I49289" s="137" t="s">
        <v>74</v>
      </c>
    </row>
    <row r="49290" spans="9:9" x14ac:dyDescent="0.2">
      <c r="I49290" s="137" t="s">
        <v>74</v>
      </c>
    </row>
    <row r="49291" spans="9:9" x14ac:dyDescent="0.2">
      <c r="I49291" s="137" t="s">
        <v>74</v>
      </c>
    </row>
    <row r="49292" spans="9:9" x14ac:dyDescent="0.2">
      <c r="I49292" s="137" t="s">
        <v>74</v>
      </c>
    </row>
    <row r="49293" spans="9:9" x14ac:dyDescent="0.2">
      <c r="I49293" s="137" t="s">
        <v>74</v>
      </c>
    </row>
    <row r="49294" spans="9:9" x14ac:dyDescent="0.2">
      <c r="I49294" s="137" t="s">
        <v>74</v>
      </c>
    </row>
    <row r="49295" spans="9:9" x14ac:dyDescent="0.2">
      <c r="I49295" s="137" t="s">
        <v>74</v>
      </c>
    </row>
    <row r="49296" spans="9:9" x14ac:dyDescent="0.2">
      <c r="I49296" s="137" t="s">
        <v>74</v>
      </c>
    </row>
    <row r="49297" spans="9:9" x14ac:dyDescent="0.2">
      <c r="I49297" s="137" t="s">
        <v>74</v>
      </c>
    </row>
    <row r="49298" spans="9:9" x14ac:dyDescent="0.2">
      <c r="I49298" s="137" t="s">
        <v>74</v>
      </c>
    </row>
    <row r="49299" spans="9:9" x14ac:dyDescent="0.2">
      <c r="I49299" s="137" t="s">
        <v>74</v>
      </c>
    </row>
    <row r="49300" spans="9:9" x14ac:dyDescent="0.2">
      <c r="I49300" s="137" t="s">
        <v>74</v>
      </c>
    </row>
    <row r="49301" spans="9:9" x14ac:dyDescent="0.2">
      <c r="I49301" s="137" t="s">
        <v>74</v>
      </c>
    </row>
    <row r="49302" spans="9:9" x14ac:dyDescent="0.2">
      <c r="I49302" s="137" t="s">
        <v>74</v>
      </c>
    </row>
    <row r="49303" spans="9:9" x14ac:dyDescent="0.2">
      <c r="I49303" s="137" t="s">
        <v>74</v>
      </c>
    </row>
    <row r="49304" spans="9:9" x14ac:dyDescent="0.2">
      <c r="I49304" s="137" t="s">
        <v>74</v>
      </c>
    </row>
    <row r="49305" spans="9:9" x14ac:dyDescent="0.2">
      <c r="I49305" s="137" t="s">
        <v>74</v>
      </c>
    </row>
    <row r="49306" spans="9:9" x14ac:dyDescent="0.2">
      <c r="I49306" s="137" t="s">
        <v>74</v>
      </c>
    </row>
    <row r="49307" spans="9:9" x14ac:dyDescent="0.2">
      <c r="I49307" s="137" t="s">
        <v>74</v>
      </c>
    </row>
    <row r="49308" spans="9:9" x14ac:dyDescent="0.2">
      <c r="I49308" s="137" t="s">
        <v>74</v>
      </c>
    </row>
    <row r="49309" spans="9:9" x14ac:dyDescent="0.2">
      <c r="I49309" s="137" t="s">
        <v>74</v>
      </c>
    </row>
    <row r="49310" spans="9:9" x14ac:dyDescent="0.2">
      <c r="I49310" s="137" t="s">
        <v>74</v>
      </c>
    </row>
    <row r="49311" spans="9:9" x14ac:dyDescent="0.2">
      <c r="I49311" s="137" t="s">
        <v>74</v>
      </c>
    </row>
    <row r="49312" spans="9:9" x14ac:dyDescent="0.2">
      <c r="I49312" s="137" t="s">
        <v>74</v>
      </c>
    </row>
    <row r="49313" spans="9:9" x14ac:dyDescent="0.2">
      <c r="I49313" s="137" t="s">
        <v>74</v>
      </c>
    </row>
    <row r="49314" spans="9:9" x14ac:dyDescent="0.2">
      <c r="I49314" s="137" t="s">
        <v>74</v>
      </c>
    </row>
    <row r="49315" spans="9:9" x14ac:dyDescent="0.2">
      <c r="I49315" s="137" t="s">
        <v>74</v>
      </c>
    </row>
    <row r="49316" spans="9:9" x14ac:dyDescent="0.2">
      <c r="I49316" s="137" t="s">
        <v>74</v>
      </c>
    </row>
    <row r="49317" spans="9:9" x14ac:dyDescent="0.2">
      <c r="I49317" s="137" t="s">
        <v>74</v>
      </c>
    </row>
    <row r="49318" spans="9:9" x14ac:dyDescent="0.2">
      <c r="I49318" s="137" t="s">
        <v>74</v>
      </c>
    </row>
    <row r="49319" spans="9:9" x14ac:dyDescent="0.2">
      <c r="I49319" s="137" t="s">
        <v>74</v>
      </c>
    </row>
    <row r="49320" spans="9:9" x14ac:dyDescent="0.2">
      <c r="I49320" s="137" t="s">
        <v>74</v>
      </c>
    </row>
    <row r="49321" spans="9:9" x14ac:dyDescent="0.2">
      <c r="I49321" s="137" t="s">
        <v>74</v>
      </c>
    </row>
    <row r="49322" spans="9:9" x14ac:dyDescent="0.2">
      <c r="I49322" s="137" t="s">
        <v>74</v>
      </c>
    </row>
    <row r="49323" spans="9:9" x14ac:dyDescent="0.2">
      <c r="I49323" s="137" t="s">
        <v>74</v>
      </c>
    </row>
    <row r="49324" spans="9:9" x14ac:dyDescent="0.2">
      <c r="I49324" s="137" t="s">
        <v>74</v>
      </c>
    </row>
    <row r="49325" spans="9:9" x14ac:dyDescent="0.2">
      <c r="I49325" s="137" t="s">
        <v>74</v>
      </c>
    </row>
    <row r="49326" spans="9:9" x14ac:dyDescent="0.2">
      <c r="I49326" s="137" t="s">
        <v>74</v>
      </c>
    </row>
    <row r="49327" spans="9:9" x14ac:dyDescent="0.2">
      <c r="I49327" s="137" t="s">
        <v>74</v>
      </c>
    </row>
    <row r="49328" spans="9:9" x14ac:dyDescent="0.2">
      <c r="I49328" s="137" t="s">
        <v>74</v>
      </c>
    </row>
    <row r="49329" spans="9:9" x14ac:dyDescent="0.2">
      <c r="I49329" s="137" t="s">
        <v>74</v>
      </c>
    </row>
    <row r="49330" spans="9:9" x14ac:dyDescent="0.2">
      <c r="I49330" s="137" t="s">
        <v>74</v>
      </c>
    </row>
    <row r="49331" spans="9:9" x14ac:dyDescent="0.2">
      <c r="I49331" s="137" t="s">
        <v>74</v>
      </c>
    </row>
    <row r="49332" spans="9:9" x14ac:dyDescent="0.2">
      <c r="I49332" s="137" t="s">
        <v>74</v>
      </c>
    </row>
    <row r="49333" spans="9:9" x14ac:dyDescent="0.2">
      <c r="I49333" s="137" t="s">
        <v>74</v>
      </c>
    </row>
    <row r="49334" spans="9:9" x14ac:dyDescent="0.2">
      <c r="I49334" s="137" t="s">
        <v>74</v>
      </c>
    </row>
    <row r="49335" spans="9:9" x14ac:dyDescent="0.2">
      <c r="I49335" s="137" t="s">
        <v>74</v>
      </c>
    </row>
    <row r="49336" spans="9:9" x14ac:dyDescent="0.2">
      <c r="I49336" s="137" t="s">
        <v>74</v>
      </c>
    </row>
    <row r="49337" spans="9:9" x14ac:dyDescent="0.2">
      <c r="I49337" s="137" t="s">
        <v>74</v>
      </c>
    </row>
    <row r="49338" spans="9:9" x14ac:dyDescent="0.2">
      <c r="I49338" s="137" t="s">
        <v>74</v>
      </c>
    </row>
    <row r="49339" spans="9:9" x14ac:dyDescent="0.2">
      <c r="I49339" s="137" t="s">
        <v>74</v>
      </c>
    </row>
    <row r="49340" spans="9:9" x14ac:dyDescent="0.2">
      <c r="I49340" s="137" t="s">
        <v>74</v>
      </c>
    </row>
    <row r="49341" spans="9:9" x14ac:dyDescent="0.2">
      <c r="I49341" s="137" t="s">
        <v>74</v>
      </c>
    </row>
    <row r="49342" spans="9:9" x14ac:dyDescent="0.2">
      <c r="I49342" s="137" t="s">
        <v>74</v>
      </c>
    </row>
    <row r="49343" spans="9:9" x14ac:dyDescent="0.2">
      <c r="I49343" s="137" t="s">
        <v>74</v>
      </c>
    </row>
    <row r="49344" spans="9:9" x14ac:dyDescent="0.2">
      <c r="I49344" s="137" t="s">
        <v>74</v>
      </c>
    </row>
    <row r="49345" spans="9:9" x14ac:dyDescent="0.2">
      <c r="I49345" s="137" t="s">
        <v>74</v>
      </c>
    </row>
    <row r="49346" spans="9:9" x14ac:dyDescent="0.2">
      <c r="I49346" s="137" t="s">
        <v>74</v>
      </c>
    </row>
    <row r="49347" spans="9:9" x14ac:dyDescent="0.2">
      <c r="I49347" s="137" t="s">
        <v>74</v>
      </c>
    </row>
    <row r="49348" spans="9:9" x14ac:dyDescent="0.2">
      <c r="I49348" s="137" t="s">
        <v>74</v>
      </c>
    </row>
    <row r="49349" spans="9:9" x14ac:dyDescent="0.2">
      <c r="I49349" s="137" t="s">
        <v>74</v>
      </c>
    </row>
    <row r="49350" spans="9:9" x14ac:dyDescent="0.2">
      <c r="I49350" s="137" t="s">
        <v>74</v>
      </c>
    </row>
    <row r="49351" spans="9:9" x14ac:dyDescent="0.2">
      <c r="I49351" s="137" t="s">
        <v>74</v>
      </c>
    </row>
    <row r="49352" spans="9:9" x14ac:dyDescent="0.2">
      <c r="I49352" s="137" t="s">
        <v>74</v>
      </c>
    </row>
    <row r="49353" spans="9:9" x14ac:dyDescent="0.2">
      <c r="I49353" s="137" t="s">
        <v>74</v>
      </c>
    </row>
    <row r="49354" spans="9:9" x14ac:dyDescent="0.2">
      <c r="I49354" s="137" t="s">
        <v>74</v>
      </c>
    </row>
    <row r="49355" spans="9:9" x14ac:dyDescent="0.2">
      <c r="I49355" s="137" t="s">
        <v>74</v>
      </c>
    </row>
    <row r="49356" spans="9:9" x14ac:dyDescent="0.2">
      <c r="I49356" s="137" t="s">
        <v>74</v>
      </c>
    </row>
    <row r="49357" spans="9:9" x14ac:dyDescent="0.2">
      <c r="I49357" s="137" t="s">
        <v>74</v>
      </c>
    </row>
    <row r="49358" spans="9:9" x14ac:dyDescent="0.2">
      <c r="I49358" s="137" t="s">
        <v>74</v>
      </c>
    </row>
    <row r="49359" spans="9:9" x14ac:dyDescent="0.2">
      <c r="I49359" s="137" t="s">
        <v>74</v>
      </c>
    </row>
    <row r="49360" spans="9:9" x14ac:dyDescent="0.2">
      <c r="I49360" s="137" t="s">
        <v>74</v>
      </c>
    </row>
    <row r="49361" spans="9:9" x14ac:dyDescent="0.2">
      <c r="I49361" s="137" t="s">
        <v>74</v>
      </c>
    </row>
    <row r="49362" spans="9:9" x14ac:dyDescent="0.2">
      <c r="I49362" s="137" t="s">
        <v>74</v>
      </c>
    </row>
    <row r="49363" spans="9:9" x14ac:dyDescent="0.2">
      <c r="I49363" s="137" t="s">
        <v>74</v>
      </c>
    </row>
    <row r="49364" spans="9:9" x14ac:dyDescent="0.2">
      <c r="I49364" s="137" t="s">
        <v>74</v>
      </c>
    </row>
    <row r="49365" spans="9:9" x14ac:dyDescent="0.2">
      <c r="I49365" s="137" t="s">
        <v>74</v>
      </c>
    </row>
    <row r="49366" spans="9:9" x14ac:dyDescent="0.2">
      <c r="I49366" s="137" t="s">
        <v>74</v>
      </c>
    </row>
    <row r="49367" spans="9:9" x14ac:dyDescent="0.2">
      <c r="I49367" s="137" t="s">
        <v>74</v>
      </c>
    </row>
    <row r="49368" spans="9:9" x14ac:dyDescent="0.2">
      <c r="I49368" s="137" t="s">
        <v>74</v>
      </c>
    </row>
    <row r="49369" spans="9:9" x14ac:dyDescent="0.2">
      <c r="I49369" s="137" t="s">
        <v>74</v>
      </c>
    </row>
    <row r="49370" spans="9:9" x14ac:dyDescent="0.2">
      <c r="I49370" s="137" t="s">
        <v>74</v>
      </c>
    </row>
    <row r="49371" spans="9:9" x14ac:dyDescent="0.2">
      <c r="I49371" s="137" t="s">
        <v>74</v>
      </c>
    </row>
    <row r="49372" spans="9:9" x14ac:dyDescent="0.2">
      <c r="I49372" s="137" t="s">
        <v>74</v>
      </c>
    </row>
    <row r="49373" spans="9:9" x14ac:dyDescent="0.2">
      <c r="I49373" s="137" t="s">
        <v>74</v>
      </c>
    </row>
    <row r="49374" spans="9:9" x14ac:dyDescent="0.2">
      <c r="I49374" s="137" t="s">
        <v>74</v>
      </c>
    </row>
    <row r="49375" spans="9:9" x14ac:dyDescent="0.2">
      <c r="I49375" s="137" t="s">
        <v>74</v>
      </c>
    </row>
    <row r="49376" spans="9:9" x14ac:dyDescent="0.2">
      <c r="I49376" s="137" t="s">
        <v>74</v>
      </c>
    </row>
    <row r="49377" spans="9:9" x14ac:dyDescent="0.2">
      <c r="I49377" s="137" t="s">
        <v>74</v>
      </c>
    </row>
    <row r="49378" spans="9:9" x14ac:dyDescent="0.2">
      <c r="I49378" s="137" t="s">
        <v>74</v>
      </c>
    </row>
    <row r="49379" spans="9:9" x14ac:dyDescent="0.2">
      <c r="I49379" s="137" t="s">
        <v>74</v>
      </c>
    </row>
    <row r="49380" spans="9:9" x14ac:dyDescent="0.2">
      <c r="I49380" s="137" t="s">
        <v>74</v>
      </c>
    </row>
    <row r="49381" spans="9:9" x14ac:dyDescent="0.2">
      <c r="I49381" s="137" t="s">
        <v>74</v>
      </c>
    </row>
    <row r="49382" spans="9:9" x14ac:dyDescent="0.2">
      <c r="I49382" s="137" t="s">
        <v>74</v>
      </c>
    </row>
    <row r="49383" spans="9:9" x14ac:dyDescent="0.2">
      <c r="I49383" s="137" t="s">
        <v>74</v>
      </c>
    </row>
    <row r="49384" spans="9:9" x14ac:dyDescent="0.2">
      <c r="I49384" s="137" t="s">
        <v>74</v>
      </c>
    </row>
    <row r="49385" spans="9:9" x14ac:dyDescent="0.2">
      <c r="I49385" s="137" t="s">
        <v>74</v>
      </c>
    </row>
    <row r="49386" spans="9:9" x14ac:dyDescent="0.2">
      <c r="I49386" s="137" t="s">
        <v>74</v>
      </c>
    </row>
    <row r="49387" spans="9:9" x14ac:dyDescent="0.2">
      <c r="I49387" s="137" t="s">
        <v>74</v>
      </c>
    </row>
    <row r="49388" spans="9:9" x14ac:dyDescent="0.2">
      <c r="I49388" s="137" t="s">
        <v>74</v>
      </c>
    </row>
    <row r="49389" spans="9:9" x14ac:dyDescent="0.2">
      <c r="I49389" s="137" t="s">
        <v>74</v>
      </c>
    </row>
    <row r="49390" spans="9:9" x14ac:dyDescent="0.2">
      <c r="I49390" s="137" t="s">
        <v>74</v>
      </c>
    </row>
    <row r="49391" spans="9:9" x14ac:dyDescent="0.2">
      <c r="I49391" s="137" t="s">
        <v>74</v>
      </c>
    </row>
    <row r="49392" spans="9:9" x14ac:dyDescent="0.2">
      <c r="I49392" s="137" t="s">
        <v>74</v>
      </c>
    </row>
    <row r="49393" spans="9:9" x14ac:dyDescent="0.2">
      <c r="I49393" s="137" t="s">
        <v>74</v>
      </c>
    </row>
    <row r="49394" spans="9:9" x14ac:dyDescent="0.2">
      <c r="I49394" s="137" t="s">
        <v>74</v>
      </c>
    </row>
    <row r="49395" spans="9:9" x14ac:dyDescent="0.2">
      <c r="I49395" s="137" t="s">
        <v>74</v>
      </c>
    </row>
    <row r="49396" spans="9:9" x14ac:dyDescent="0.2">
      <c r="I49396" s="137" t="s">
        <v>74</v>
      </c>
    </row>
    <row r="49397" spans="9:9" x14ac:dyDescent="0.2">
      <c r="I49397" s="137" t="s">
        <v>74</v>
      </c>
    </row>
    <row r="49398" spans="9:9" x14ac:dyDescent="0.2">
      <c r="I49398" s="137" t="s">
        <v>74</v>
      </c>
    </row>
    <row r="49399" spans="9:9" x14ac:dyDescent="0.2">
      <c r="I49399" s="137" t="s">
        <v>74</v>
      </c>
    </row>
    <row r="49400" spans="9:9" x14ac:dyDescent="0.2">
      <c r="I49400" s="137" t="s">
        <v>74</v>
      </c>
    </row>
    <row r="49401" spans="9:9" x14ac:dyDescent="0.2">
      <c r="I49401" s="137" t="s">
        <v>74</v>
      </c>
    </row>
    <row r="49402" spans="9:9" x14ac:dyDescent="0.2">
      <c r="I49402" s="137" t="s">
        <v>74</v>
      </c>
    </row>
    <row r="49403" spans="9:9" x14ac:dyDescent="0.2">
      <c r="I49403" s="137" t="s">
        <v>74</v>
      </c>
    </row>
    <row r="49404" spans="9:9" x14ac:dyDescent="0.2">
      <c r="I49404" s="137" t="s">
        <v>74</v>
      </c>
    </row>
    <row r="49405" spans="9:9" x14ac:dyDescent="0.2">
      <c r="I49405" s="137" t="s">
        <v>74</v>
      </c>
    </row>
    <row r="49406" spans="9:9" x14ac:dyDescent="0.2">
      <c r="I49406" s="137" t="s">
        <v>74</v>
      </c>
    </row>
    <row r="49407" spans="9:9" x14ac:dyDescent="0.2">
      <c r="I49407" s="137" t="s">
        <v>74</v>
      </c>
    </row>
    <row r="49408" spans="9:9" x14ac:dyDescent="0.2">
      <c r="I49408" s="137" t="s">
        <v>74</v>
      </c>
    </row>
    <row r="49409" spans="9:9" x14ac:dyDescent="0.2">
      <c r="I49409" s="137" t="s">
        <v>74</v>
      </c>
    </row>
    <row r="49410" spans="9:9" x14ac:dyDescent="0.2">
      <c r="I49410" s="137" t="s">
        <v>74</v>
      </c>
    </row>
    <row r="49411" spans="9:9" x14ac:dyDescent="0.2">
      <c r="I49411" s="137" t="s">
        <v>74</v>
      </c>
    </row>
    <row r="49412" spans="9:9" x14ac:dyDescent="0.2">
      <c r="I49412" s="137" t="s">
        <v>74</v>
      </c>
    </row>
    <row r="49413" spans="9:9" x14ac:dyDescent="0.2">
      <c r="I49413" s="137" t="s">
        <v>74</v>
      </c>
    </row>
    <row r="49414" spans="9:9" x14ac:dyDescent="0.2">
      <c r="I49414" s="137" t="s">
        <v>74</v>
      </c>
    </row>
    <row r="49415" spans="9:9" x14ac:dyDescent="0.2">
      <c r="I49415" s="137" t="s">
        <v>74</v>
      </c>
    </row>
    <row r="49416" spans="9:9" x14ac:dyDescent="0.2">
      <c r="I49416" s="137" t="s">
        <v>74</v>
      </c>
    </row>
    <row r="49417" spans="9:9" x14ac:dyDescent="0.2">
      <c r="I49417" s="137" t="s">
        <v>74</v>
      </c>
    </row>
    <row r="49418" spans="9:9" x14ac:dyDescent="0.2">
      <c r="I49418" s="137" t="s">
        <v>74</v>
      </c>
    </row>
    <row r="49419" spans="9:9" x14ac:dyDescent="0.2">
      <c r="I49419" s="137" t="s">
        <v>74</v>
      </c>
    </row>
    <row r="49420" spans="9:9" x14ac:dyDescent="0.2">
      <c r="I49420" s="137" t="s">
        <v>74</v>
      </c>
    </row>
    <row r="49421" spans="9:9" x14ac:dyDescent="0.2">
      <c r="I49421" s="137" t="s">
        <v>74</v>
      </c>
    </row>
    <row r="49422" spans="9:9" x14ac:dyDescent="0.2">
      <c r="I49422" s="137" t="s">
        <v>74</v>
      </c>
    </row>
    <row r="49423" spans="9:9" x14ac:dyDescent="0.2">
      <c r="I49423" s="137" t="s">
        <v>74</v>
      </c>
    </row>
    <row r="49424" spans="9:9" x14ac:dyDescent="0.2">
      <c r="I49424" s="137" t="s">
        <v>74</v>
      </c>
    </row>
    <row r="49425" spans="9:9" x14ac:dyDescent="0.2">
      <c r="I49425" s="137" t="s">
        <v>74</v>
      </c>
    </row>
    <row r="49426" spans="9:9" x14ac:dyDescent="0.2">
      <c r="I49426" s="137" t="s">
        <v>74</v>
      </c>
    </row>
    <row r="49427" spans="9:9" x14ac:dyDescent="0.2">
      <c r="I49427" s="137" t="s">
        <v>74</v>
      </c>
    </row>
    <row r="49428" spans="9:9" x14ac:dyDescent="0.2">
      <c r="I49428" s="137" t="s">
        <v>74</v>
      </c>
    </row>
    <row r="49429" spans="9:9" x14ac:dyDescent="0.2">
      <c r="I49429" s="137" t="s">
        <v>74</v>
      </c>
    </row>
    <row r="49430" spans="9:9" x14ac:dyDescent="0.2">
      <c r="I49430" s="137" t="s">
        <v>74</v>
      </c>
    </row>
    <row r="49431" spans="9:9" x14ac:dyDescent="0.2">
      <c r="I49431" s="137" t="s">
        <v>74</v>
      </c>
    </row>
    <row r="49432" spans="9:9" x14ac:dyDescent="0.2">
      <c r="I49432" s="137" t="s">
        <v>74</v>
      </c>
    </row>
    <row r="49433" spans="9:9" x14ac:dyDescent="0.2">
      <c r="I49433" s="137" t="s">
        <v>74</v>
      </c>
    </row>
    <row r="49434" spans="9:9" x14ac:dyDescent="0.2">
      <c r="I49434" s="137" t="s">
        <v>74</v>
      </c>
    </row>
    <row r="49435" spans="9:9" x14ac:dyDescent="0.2">
      <c r="I49435" s="137" t="s">
        <v>74</v>
      </c>
    </row>
    <row r="49436" spans="9:9" x14ac:dyDescent="0.2">
      <c r="I49436" s="137" t="s">
        <v>74</v>
      </c>
    </row>
    <row r="49437" spans="9:9" x14ac:dyDescent="0.2">
      <c r="I49437" s="137" t="s">
        <v>74</v>
      </c>
    </row>
    <row r="49438" spans="9:9" x14ac:dyDescent="0.2">
      <c r="I49438" s="137" t="s">
        <v>74</v>
      </c>
    </row>
    <row r="49439" spans="9:9" x14ac:dyDescent="0.2">
      <c r="I49439" s="137" t="s">
        <v>74</v>
      </c>
    </row>
    <row r="49440" spans="9:9" x14ac:dyDescent="0.2">
      <c r="I49440" s="137" t="s">
        <v>74</v>
      </c>
    </row>
    <row r="49441" spans="9:9" x14ac:dyDescent="0.2">
      <c r="I49441" s="137" t="s">
        <v>74</v>
      </c>
    </row>
    <row r="49442" spans="9:9" x14ac:dyDescent="0.2">
      <c r="I49442" s="137" t="s">
        <v>74</v>
      </c>
    </row>
    <row r="49443" spans="9:9" x14ac:dyDescent="0.2">
      <c r="I49443" s="137" t="s">
        <v>74</v>
      </c>
    </row>
    <row r="49444" spans="9:9" x14ac:dyDescent="0.2">
      <c r="I49444" s="137" t="s">
        <v>74</v>
      </c>
    </row>
    <row r="49445" spans="9:9" x14ac:dyDescent="0.2">
      <c r="I49445" s="137" t="s">
        <v>74</v>
      </c>
    </row>
    <row r="49446" spans="9:9" x14ac:dyDescent="0.2">
      <c r="I49446" s="137" t="s">
        <v>74</v>
      </c>
    </row>
    <row r="49447" spans="9:9" x14ac:dyDescent="0.2">
      <c r="I49447" s="137" t="s">
        <v>74</v>
      </c>
    </row>
    <row r="49448" spans="9:9" x14ac:dyDescent="0.2">
      <c r="I49448" s="137" t="s">
        <v>74</v>
      </c>
    </row>
    <row r="49449" spans="9:9" x14ac:dyDescent="0.2">
      <c r="I49449" s="137" t="s">
        <v>74</v>
      </c>
    </row>
    <row r="49450" spans="9:9" x14ac:dyDescent="0.2">
      <c r="I49450" s="137" t="s">
        <v>74</v>
      </c>
    </row>
    <row r="49451" spans="9:9" x14ac:dyDescent="0.2">
      <c r="I49451" s="137" t="s">
        <v>74</v>
      </c>
    </row>
    <row r="49452" spans="9:9" x14ac:dyDescent="0.2">
      <c r="I49452" s="137" t="s">
        <v>74</v>
      </c>
    </row>
    <row r="49453" spans="9:9" x14ac:dyDescent="0.2">
      <c r="I49453" s="137" t="s">
        <v>74</v>
      </c>
    </row>
    <row r="49454" spans="9:9" x14ac:dyDescent="0.2">
      <c r="I49454" s="137" t="s">
        <v>74</v>
      </c>
    </row>
    <row r="49455" spans="9:9" x14ac:dyDescent="0.2">
      <c r="I49455" s="137" t="s">
        <v>74</v>
      </c>
    </row>
    <row r="49456" spans="9:9" x14ac:dyDescent="0.2">
      <c r="I49456" s="137" t="s">
        <v>74</v>
      </c>
    </row>
    <row r="49457" spans="9:9" x14ac:dyDescent="0.2">
      <c r="I49457" s="137" t="s">
        <v>74</v>
      </c>
    </row>
    <row r="49458" spans="9:9" x14ac:dyDescent="0.2">
      <c r="I49458" s="137" t="s">
        <v>74</v>
      </c>
    </row>
    <row r="49459" spans="9:9" x14ac:dyDescent="0.2">
      <c r="I49459" s="137" t="s">
        <v>74</v>
      </c>
    </row>
    <row r="49460" spans="9:9" x14ac:dyDescent="0.2">
      <c r="I49460" s="137" t="s">
        <v>74</v>
      </c>
    </row>
    <row r="49461" spans="9:9" x14ac:dyDescent="0.2">
      <c r="I49461" s="137" t="s">
        <v>74</v>
      </c>
    </row>
    <row r="49462" spans="9:9" x14ac:dyDescent="0.2">
      <c r="I49462" s="137" t="s">
        <v>74</v>
      </c>
    </row>
    <row r="49463" spans="9:9" x14ac:dyDescent="0.2">
      <c r="I49463" s="137" t="s">
        <v>74</v>
      </c>
    </row>
    <row r="49464" spans="9:9" x14ac:dyDescent="0.2">
      <c r="I49464" s="137" t="s">
        <v>74</v>
      </c>
    </row>
    <row r="49465" spans="9:9" x14ac:dyDescent="0.2">
      <c r="I49465" s="137" t="s">
        <v>74</v>
      </c>
    </row>
    <row r="49466" spans="9:9" x14ac:dyDescent="0.2">
      <c r="I49466" s="137" t="s">
        <v>74</v>
      </c>
    </row>
    <row r="49467" spans="9:9" x14ac:dyDescent="0.2">
      <c r="I49467" s="137" t="s">
        <v>74</v>
      </c>
    </row>
    <row r="49468" spans="9:9" x14ac:dyDescent="0.2">
      <c r="I49468" s="137" t="s">
        <v>74</v>
      </c>
    </row>
    <row r="49469" spans="9:9" x14ac:dyDescent="0.2">
      <c r="I49469" s="137" t="s">
        <v>74</v>
      </c>
    </row>
    <row r="49470" spans="9:9" x14ac:dyDescent="0.2">
      <c r="I49470" s="137" t="s">
        <v>74</v>
      </c>
    </row>
    <row r="49471" spans="9:9" x14ac:dyDescent="0.2">
      <c r="I49471" s="137" t="s">
        <v>74</v>
      </c>
    </row>
    <row r="49472" spans="9:9" x14ac:dyDescent="0.2">
      <c r="I49472" s="137" t="s">
        <v>74</v>
      </c>
    </row>
    <row r="49473" spans="9:9" x14ac:dyDescent="0.2">
      <c r="I49473" s="137" t="s">
        <v>74</v>
      </c>
    </row>
    <row r="49474" spans="9:9" x14ac:dyDescent="0.2">
      <c r="I49474" s="137" t="s">
        <v>74</v>
      </c>
    </row>
    <row r="49475" spans="9:9" x14ac:dyDescent="0.2">
      <c r="I49475" s="137" t="s">
        <v>74</v>
      </c>
    </row>
    <row r="49476" spans="9:9" x14ac:dyDescent="0.2">
      <c r="I49476" s="137" t="s">
        <v>74</v>
      </c>
    </row>
    <row r="49477" spans="9:9" x14ac:dyDescent="0.2">
      <c r="I49477" s="137" t="s">
        <v>74</v>
      </c>
    </row>
    <row r="49478" spans="9:9" x14ac:dyDescent="0.2">
      <c r="I49478" s="137" t="s">
        <v>74</v>
      </c>
    </row>
    <row r="49479" spans="9:9" x14ac:dyDescent="0.2">
      <c r="I49479" s="137" t="s">
        <v>74</v>
      </c>
    </row>
    <row r="49480" spans="9:9" x14ac:dyDescent="0.2">
      <c r="I49480" s="137" t="s">
        <v>74</v>
      </c>
    </row>
    <row r="49481" spans="9:9" x14ac:dyDescent="0.2">
      <c r="I49481" s="137" t="s">
        <v>74</v>
      </c>
    </row>
    <row r="49482" spans="9:9" x14ac:dyDescent="0.2">
      <c r="I49482" s="137" t="s">
        <v>74</v>
      </c>
    </row>
    <row r="49483" spans="9:9" x14ac:dyDescent="0.2">
      <c r="I49483" s="137" t="s">
        <v>74</v>
      </c>
    </row>
    <row r="49484" spans="9:9" x14ac:dyDescent="0.2">
      <c r="I49484" s="137" t="s">
        <v>74</v>
      </c>
    </row>
    <row r="49485" spans="9:9" x14ac:dyDescent="0.2">
      <c r="I49485" s="137" t="s">
        <v>74</v>
      </c>
    </row>
    <row r="49486" spans="9:9" x14ac:dyDescent="0.2">
      <c r="I49486" s="137" t="s">
        <v>74</v>
      </c>
    </row>
    <row r="49487" spans="9:9" x14ac:dyDescent="0.2">
      <c r="I49487" s="137" t="s">
        <v>74</v>
      </c>
    </row>
    <row r="49488" spans="9:9" x14ac:dyDescent="0.2">
      <c r="I49488" s="137" t="s">
        <v>74</v>
      </c>
    </row>
    <row r="49489" spans="9:9" x14ac:dyDescent="0.2">
      <c r="I49489" s="137" t="s">
        <v>74</v>
      </c>
    </row>
    <row r="49490" spans="9:9" x14ac:dyDescent="0.2">
      <c r="I49490" s="137" t="s">
        <v>74</v>
      </c>
    </row>
    <row r="49491" spans="9:9" x14ac:dyDescent="0.2">
      <c r="I49491" s="137" t="s">
        <v>74</v>
      </c>
    </row>
    <row r="49492" spans="9:9" x14ac:dyDescent="0.2">
      <c r="I49492" s="137" t="s">
        <v>74</v>
      </c>
    </row>
    <row r="49493" spans="9:9" x14ac:dyDescent="0.2">
      <c r="I49493" s="137" t="s">
        <v>74</v>
      </c>
    </row>
    <row r="49494" spans="9:9" x14ac:dyDescent="0.2">
      <c r="I49494" s="137" t="s">
        <v>74</v>
      </c>
    </row>
    <row r="49495" spans="9:9" x14ac:dyDescent="0.2">
      <c r="I49495" s="137" t="s">
        <v>74</v>
      </c>
    </row>
    <row r="49496" spans="9:9" x14ac:dyDescent="0.2">
      <c r="I49496" s="137" t="s">
        <v>74</v>
      </c>
    </row>
    <row r="49497" spans="9:9" x14ac:dyDescent="0.2">
      <c r="I49497" s="137" t="s">
        <v>74</v>
      </c>
    </row>
    <row r="49498" spans="9:9" x14ac:dyDescent="0.2">
      <c r="I49498" s="137" t="s">
        <v>74</v>
      </c>
    </row>
    <row r="49499" spans="9:9" x14ac:dyDescent="0.2">
      <c r="I49499" s="137" t="s">
        <v>74</v>
      </c>
    </row>
    <row r="49500" spans="9:9" x14ac:dyDescent="0.2">
      <c r="I49500" s="137" t="s">
        <v>74</v>
      </c>
    </row>
    <row r="49501" spans="9:9" x14ac:dyDescent="0.2">
      <c r="I49501" s="137" t="s">
        <v>74</v>
      </c>
    </row>
    <row r="49502" spans="9:9" x14ac:dyDescent="0.2">
      <c r="I49502" s="137" t="s">
        <v>74</v>
      </c>
    </row>
    <row r="49503" spans="9:9" x14ac:dyDescent="0.2">
      <c r="I49503" s="137" t="s">
        <v>74</v>
      </c>
    </row>
    <row r="49504" spans="9:9" x14ac:dyDescent="0.2">
      <c r="I49504" s="137" t="s">
        <v>74</v>
      </c>
    </row>
    <row r="49505" spans="9:9" x14ac:dyDescent="0.2">
      <c r="I49505" s="137" t="s">
        <v>74</v>
      </c>
    </row>
    <row r="49506" spans="9:9" x14ac:dyDescent="0.2">
      <c r="I49506" s="137" t="s">
        <v>74</v>
      </c>
    </row>
    <row r="49507" spans="9:9" x14ac:dyDescent="0.2">
      <c r="I49507" s="137" t="s">
        <v>74</v>
      </c>
    </row>
    <row r="49508" spans="9:9" x14ac:dyDescent="0.2">
      <c r="I49508" s="137" t="s">
        <v>74</v>
      </c>
    </row>
    <row r="49509" spans="9:9" x14ac:dyDescent="0.2">
      <c r="I49509" s="137" t="s">
        <v>74</v>
      </c>
    </row>
    <row r="49510" spans="9:9" x14ac:dyDescent="0.2">
      <c r="I49510" s="137" t="s">
        <v>74</v>
      </c>
    </row>
    <row r="49511" spans="9:9" x14ac:dyDescent="0.2">
      <c r="I49511" s="137" t="s">
        <v>74</v>
      </c>
    </row>
    <row r="49512" spans="9:9" x14ac:dyDescent="0.2">
      <c r="I49512" s="137" t="s">
        <v>74</v>
      </c>
    </row>
    <row r="49513" spans="9:9" x14ac:dyDescent="0.2">
      <c r="I49513" s="137" t="s">
        <v>74</v>
      </c>
    </row>
    <row r="49514" spans="9:9" x14ac:dyDescent="0.2">
      <c r="I49514" s="137" t="s">
        <v>74</v>
      </c>
    </row>
    <row r="49515" spans="9:9" x14ac:dyDescent="0.2">
      <c r="I49515" s="137" t="s">
        <v>74</v>
      </c>
    </row>
    <row r="49516" spans="9:9" x14ac:dyDescent="0.2">
      <c r="I49516" s="137" t="s">
        <v>74</v>
      </c>
    </row>
    <row r="49517" spans="9:9" x14ac:dyDescent="0.2">
      <c r="I49517" s="137" t="s">
        <v>74</v>
      </c>
    </row>
    <row r="49518" spans="9:9" x14ac:dyDescent="0.2">
      <c r="I49518" s="137" t="s">
        <v>74</v>
      </c>
    </row>
    <row r="49519" spans="9:9" x14ac:dyDescent="0.2">
      <c r="I49519" s="137" t="s">
        <v>74</v>
      </c>
    </row>
    <row r="49520" spans="9:9" x14ac:dyDescent="0.2">
      <c r="I49520" s="137" t="s">
        <v>74</v>
      </c>
    </row>
    <row r="49521" spans="9:9" x14ac:dyDescent="0.2">
      <c r="I49521" s="137" t="s">
        <v>74</v>
      </c>
    </row>
    <row r="49522" spans="9:9" x14ac:dyDescent="0.2">
      <c r="I49522" s="137" t="s">
        <v>74</v>
      </c>
    </row>
    <row r="49523" spans="9:9" x14ac:dyDescent="0.2">
      <c r="I49523" s="137" t="s">
        <v>74</v>
      </c>
    </row>
    <row r="49524" spans="9:9" x14ac:dyDescent="0.2">
      <c r="I49524" s="137" t="s">
        <v>74</v>
      </c>
    </row>
    <row r="49525" spans="9:9" x14ac:dyDescent="0.2">
      <c r="I49525" s="137" t="s">
        <v>74</v>
      </c>
    </row>
    <row r="49526" spans="9:9" x14ac:dyDescent="0.2">
      <c r="I49526" s="137" t="s">
        <v>74</v>
      </c>
    </row>
    <row r="49527" spans="9:9" x14ac:dyDescent="0.2">
      <c r="I49527" s="137" t="s">
        <v>74</v>
      </c>
    </row>
    <row r="49528" spans="9:9" x14ac:dyDescent="0.2">
      <c r="I49528" s="137" t="s">
        <v>74</v>
      </c>
    </row>
    <row r="49529" spans="9:9" x14ac:dyDescent="0.2">
      <c r="I49529" s="137" t="s">
        <v>74</v>
      </c>
    </row>
    <row r="49530" spans="9:9" x14ac:dyDescent="0.2">
      <c r="I49530" s="137" t="s">
        <v>74</v>
      </c>
    </row>
    <row r="49531" spans="9:9" x14ac:dyDescent="0.2">
      <c r="I49531" s="137" t="s">
        <v>74</v>
      </c>
    </row>
    <row r="49532" spans="9:9" x14ac:dyDescent="0.2">
      <c r="I49532" s="137" t="s">
        <v>74</v>
      </c>
    </row>
    <row r="49533" spans="9:9" x14ac:dyDescent="0.2">
      <c r="I49533" s="137" t="s">
        <v>74</v>
      </c>
    </row>
    <row r="49534" spans="9:9" x14ac:dyDescent="0.2">
      <c r="I49534" s="137" t="s">
        <v>74</v>
      </c>
    </row>
    <row r="49535" spans="9:9" x14ac:dyDescent="0.2">
      <c r="I49535" s="137" t="s">
        <v>74</v>
      </c>
    </row>
    <row r="49536" spans="9:9" x14ac:dyDescent="0.2">
      <c r="I49536" s="137" t="s">
        <v>74</v>
      </c>
    </row>
    <row r="49537" spans="9:9" x14ac:dyDescent="0.2">
      <c r="I49537" s="137" t="s">
        <v>74</v>
      </c>
    </row>
    <row r="49538" spans="9:9" x14ac:dyDescent="0.2">
      <c r="I49538" s="137" t="s">
        <v>74</v>
      </c>
    </row>
    <row r="49539" spans="9:9" x14ac:dyDescent="0.2">
      <c r="I49539" s="137" t="s">
        <v>74</v>
      </c>
    </row>
    <row r="49540" spans="9:9" x14ac:dyDescent="0.2">
      <c r="I49540" s="137" t="s">
        <v>74</v>
      </c>
    </row>
    <row r="49541" spans="9:9" x14ac:dyDescent="0.2">
      <c r="I49541" s="137" t="s">
        <v>74</v>
      </c>
    </row>
    <row r="49542" spans="9:9" x14ac:dyDescent="0.2">
      <c r="I49542" s="137" t="s">
        <v>74</v>
      </c>
    </row>
    <row r="49543" spans="9:9" x14ac:dyDescent="0.2">
      <c r="I49543" s="137" t="s">
        <v>74</v>
      </c>
    </row>
    <row r="49544" spans="9:9" x14ac:dyDescent="0.2">
      <c r="I49544" s="137" t="s">
        <v>74</v>
      </c>
    </row>
    <row r="49545" spans="9:9" x14ac:dyDescent="0.2">
      <c r="I49545" s="137" t="s">
        <v>74</v>
      </c>
    </row>
    <row r="49546" spans="9:9" x14ac:dyDescent="0.2">
      <c r="I49546" s="137" t="s">
        <v>74</v>
      </c>
    </row>
    <row r="49547" spans="9:9" x14ac:dyDescent="0.2">
      <c r="I49547" s="137" t="s">
        <v>74</v>
      </c>
    </row>
    <row r="49548" spans="9:9" x14ac:dyDescent="0.2">
      <c r="I49548" s="137" t="s">
        <v>74</v>
      </c>
    </row>
    <row r="49549" spans="9:9" x14ac:dyDescent="0.2">
      <c r="I49549" s="137" t="s">
        <v>74</v>
      </c>
    </row>
    <row r="49550" spans="9:9" x14ac:dyDescent="0.2">
      <c r="I49550" s="137" t="s">
        <v>74</v>
      </c>
    </row>
    <row r="49551" spans="9:9" x14ac:dyDescent="0.2">
      <c r="I49551" s="137" t="s">
        <v>74</v>
      </c>
    </row>
    <row r="49552" spans="9:9" x14ac:dyDescent="0.2">
      <c r="I49552" s="137" t="s">
        <v>74</v>
      </c>
    </row>
    <row r="49553" spans="9:9" x14ac:dyDescent="0.2">
      <c r="I49553" s="137" t="s">
        <v>74</v>
      </c>
    </row>
    <row r="49554" spans="9:9" x14ac:dyDescent="0.2">
      <c r="I49554" s="137" t="s">
        <v>74</v>
      </c>
    </row>
    <row r="49555" spans="9:9" x14ac:dyDescent="0.2">
      <c r="I49555" s="137" t="s">
        <v>74</v>
      </c>
    </row>
    <row r="49556" spans="9:9" x14ac:dyDescent="0.2">
      <c r="I49556" s="137" t="s">
        <v>74</v>
      </c>
    </row>
    <row r="49557" spans="9:9" x14ac:dyDescent="0.2">
      <c r="I49557" s="137" t="s">
        <v>74</v>
      </c>
    </row>
    <row r="49558" spans="9:9" x14ac:dyDescent="0.2">
      <c r="I49558" s="137" t="s">
        <v>74</v>
      </c>
    </row>
    <row r="49559" spans="9:9" x14ac:dyDescent="0.2">
      <c r="I49559" s="137" t="s">
        <v>74</v>
      </c>
    </row>
    <row r="49560" spans="9:9" x14ac:dyDescent="0.2">
      <c r="I49560" s="137" t="s">
        <v>74</v>
      </c>
    </row>
    <row r="49561" spans="9:9" x14ac:dyDescent="0.2">
      <c r="I49561" s="137" t="s">
        <v>74</v>
      </c>
    </row>
    <row r="49562" spans="9:9" x14ac:dyDescent="0.2">
      <c r="I49562" s="137" t="s">
        <v>74</v>
      </c>
    </row>
    <row r="49563" spans="9:9" x14ac:dyDescent="0.2">
      <c r="I49563" s="137" t="s">
        <v>74</v>
      </c>
    </row>
    <row r="49564" spans="9:9" x14ac:dyDescent="0.2">
      <c r="I49564" s="137" t="s">
        <v>74</v>
      </c>
    </row>
    <row r="49565" spans="9:9" x14ac:dyDescent="0.2">
      <c r="I49565" s="137" t="s">
        <v>74</v>
      </c>
    </row>
    <row r="49566" spans="9:9" x14ac:dyDescent="0.2">
      <c r="I49566" s="137" t="s">
        <v>74</v>
      </c>
    </row>
    <row r="49567" spans="9:9" x14ac:dyDescent="0.2">
      <c r="I49567" s="137" t="s">
        <v>74</v>
      </c>
    </row>
    <row r="49568" spans="9:9" x14ac:dyDescent="0.2">
      <c r="I49568" s="137" t="s">
        <v>74</v>
      </c>
    </row>
    <row r="49569" spans="9:9" x14ac:dyDescent="0.2">
      <c r="I49569" s="137" t="s">
        <v>74</v>
      </c>
    </row>
    <row r="49570" spans="9:9" x14ac:dyDescent="0.2">
      <c r="I49570" s="137" t="s">
        <v>74</v>
      </c>
    </row>
    <row r="49571" spans="9:9" x14ac:dyDescent="0.2">
      <c r="I49571" s="137" t="s">
        <v>74</v>
      </c>
    </row>
    <row r="49572" spans="9:9" x14ac:dyDescent="0.2">
      <c r="I49572" s="137" t="s">
        <v>74</v>
      </c>
    </row>
    <row r="49573" spans="9:9" x14ac:dyDescent="0.2">
      <c r="I49573" s="137" t="s">
        <v>74</v>
      </c>
    </row>
    <row r="49574" spans="9:9" x14ac:dyDescent="0.2">
      <c r="I49574" s="137" t="s">
        <v>74</v>
      </c>
    </row>
    <row r="49575" spans="9:9" x14ac:dyDescent="0.2">
      <c r="I49575" s="137" t="s">
        <v>74</v>
      </c>
    </row>
    <row r="49576" spans="9:9" x14ac:dyDescent="0.2">
      <c r="I49576" s="137" t="s">
        <v>74</v>
      </c>
    </row>
    <row r="49577" spans="9:9" x14ac:dyDescent="0.2">
      <c r="I49577" s="137" t="s">
        <v>74</v>
      </c>
    </row>
    <row r="49578" spans="9:9" x14ac:dyDescent="0.2">
      <c r="I49578" s="137" t="s">
        <v>74</v>
      </c>
    </row>
    <row r="49579" spans="9:9" x14ac:dyDescent="0.2">
      <c r="I49579" s="137" t="s">
        <v>74</v>
      </c>
    </row>
    <row r="49580" spans="9:9" x14ac:dyDescent="0.2">
      <c r="I49580" s="137" t="s">
        <v>74</v>
      </c>
    </row>
    <row r="49581" spans="9:9" x14ac:dyDescent="0.2">
      <c r="I49581" s="137" t="s">
        <v>74</v>
      </c>
    </row>
    <row r="49582" spans="9:9" x14ac:dyDescent="0.2">
      <c r="I49582" s="137" t="s">
        <v>74</v>
      </c>
    </row>
    <row r="49583" spans="9:9" x14ac:dyDescent="0.2">
      <c r="I49583" s="137" t="s">
        <v>74</v>
      </c>
    </row>
    <row r="49584" spans="9:9" x14ac:dyDescent="0.2">
      <c r="I49584" s="137" t="s">
        <v>74</v>
      </c>
    </row>
    <row r="49585" spans="9:9" x14ac:dyDescent="0.2">
      <c r="I49585" s="137" t="s">
        <v>74</v>
      </c>
    </row>
    <row r="49586" spans="9:9" x14ac:dyDescent="0.2">
      <c r="I49586" s="137" t="s">
        <v>74</v>
      </c>
    </row>
    <row r="49587" spans="9:9" x14ac:dyDescent="0.2">
      <c r="I49587" s="137" t="s">
        <v>74</v>
      </c>
    </row>
    <row r="49588" spans="9:9" x14ac:dyDescent="0.2">
      <c r="I49588" s="137" t="s">
        <v>74</v>
      </c>
    </row>
    <row r="49589" spans="9:9" x14ac:dyDescent="0.2">
      <c r="I49589" s="137" t="s">
        <v>74</v>
      </c>
    </row>
    <row r="49590" spans="9:9" x14ac:dyDescent="0.2">
      <c r="I49590" s="137" t="s">
        <v>74</v>
      </c>
    </row>
    <row r="49591" spans="9:9" x14ac:dyDescent="0.2">
      <c r="I49591" s="137" t="s">
        <v>74</v>
      </c>
    </row>
    <row r="49592" spans="9:9" x14ac:dyDescent="0.2">
      <c r="I49592" s="137" t="s">
        <v>74</v>
      </c>
    </row>
    <row r="49593" spans="9:9" x14ac:dyDescent="0.2">
      <c r="I49593" s="137" t="s">
        <v>74</v>
      </c>
    </row>
    <row r="49594" spans="9:9" x14ac:dyDescent="0.2">
      <c r="I49594" s="137" t="s">
        <v>74</v>
      </c>
    </row>
    <row r="49595" spans="9:9" x14ac:dyDescent="0.2">
      <c r="I49595" s="137" t="s">
        <v>74</v>
      </c>
    </row>
    <row r="49596" spans="9:9" x14ac:dyDescent="0.2">
      <c r="I49596" s="137" t="s">
        <v>74</v>
      </c>
    </row>
    <row r="49597" spans="9:9" x14ac:dyDescent="0.2">
      <c r="I49597" s="137" t="s">
        <v>74</v>
      </c>
    </row>
    <row r="49598" spans="9:9" x14ac:dyDescent="0.2">
      <c r="I49598" s="137" t="s">
        <v>74</v>
      </c>
    </row>
    <row r="49599" spans="9:9" x14ac:dyDescent="0.2">
      <c r="I49599" s="137" t="s">
        <v>74</v>
      </c>
    </row>
    <row r="49600" spans="9:9" x14ac:dyDescent="0.2">
      <c r="I49600" s="137" t="s">
        <v>74</v>
      </c>
    </row>
    <row r="49601" spans="9:9" x14ac:dyDescent="0.2">
      <c r="I49601" s="137" t="s">
        <v>74</v>
      </c>
    </row>
    <row r="49602" spans="9:9" x14ac:dyDescent="0.2">
      <c r="I49602" s="137" t="s">
        <v>74</v>
      </c>
    </row>
    <row r="49603" spans="9:9" x14ac:dyDescent="0.2">
      <c r="I49603" s="137" t="s">
        <v>74</v>
      </c>
    </row>
    <row r="49604" spans="9:9" x14ac:dyDescent="0.2">
      <c r="I49604" s="137" t="s">
        <v>74</v>
      </c>
    </row>
    <row r="49605" spans="9:9" x14ac:dyDescent="0.2">
      <c r="I49605" s="137" t="s">
        <v>74</v>
      </c>
    </row>
    <row r="49606" spans="9:9" x14ac:dyDescent="0.2">
      <c r="I49606" s="137" t="s">
        <v>74</v>
      </c>
    </row>
    <row r="49607" spans="9:9" x14ac:dyDescent="0.2">
      <c r="I49607" s="137" t="s">
        <v>74</v>
      </c>
    </row>
    <row r="49608" spans="9:9" x14ac:dyDescent="0.2">
      <c r="I49608" s="137" t="s">
        <v>74</v>
      </c>
    </row>
    <row r="49609" spans="9:9" x14ac:dyDescent="0.2">
      <c r="I49609" s="137" t="s">
        <v>74</v>
      </c>
    </row>
    <row r="49610" spans="9:9" x14ac:dyDescent="0.2">
      <c r="I49610" s="137" t="s">
        <v>74</v>
      </c>
    </row>
    <row r="49611" spans="9:9" x14ac:dyDescent="0.2">
      <c r="I49611" s="137" t="s">
        <v>74</v>
      </c>
    </row>
    <row r="49612" spans="9:9" x14ac:dyDescent="0.2">
      <c r="I49612" s="137" t="s">
        <v>74</v>
      </c>
    </row>
    <row r="49613" spans="9:9" x14ac:dyDescent="0.2">
      <c r="I49613" s="137" t="s">
        <v>74</v>
      </c>
    </row>
    <row r="49614" spans="9:9" x14ac:dyDescent="0.2">
      <c r="I49614" s="137" t="s">
        <v>74</v>
      </c>
    </row>
    <row r="49615" spans="9:9" x14ac:dyDescent="0.2">
      <c r="I49615" s="137" t="s">
        <v>74</v>
      </c>
    </row>
    <row r="49616" spans="9:9" x14ac:dyDescent="0.2">
      <c r="I49616" s="137" t="s">
        <v>74</v>
      </c>
    </row>
    <row r="49617" spans="9:9" x14ac:dyDescent="0.2">
      <c r="I49617" s="137" t="s">
        <v>74</v>
      </c>
    </row>
    <row r="49618" spans="9:9" x14ac:dyDescent="0.2">
      <c r="I49618" s="137" t="s">
        <v>74</v>
      </c>
    </row>
    <row r="49619" spans="9:9" x14ac:dyDescent="0.2">
      <c r="I49619" s="137" t="s">
        <v>74</v>
      </c>
    </row>
    <row r="49620" spans="9:9" x14ac:dyDescent="0.2">
      <c r="I49620" s="137" t="s">
        <v>74</v>
      </c>
    </row>
    <row r="49621" spans="9:9" x14ac:dyDescent="0.2">
      <c r="I49621" s="137" t="s">
        <v>74</v>
      </c>
    </row>
    <row r="49622" spans="9:9" x14ac:dyDescent="0.2">
      <c r="I49622" s="137" t="s">
        <v>74</v>
      </c>
    </row>
    <row r="49623" spans="9:9" x14ac:dyDescent="0.2">
      <c r="I49623" s="137" t="s">
        <v>74</v>
      </c>
    </row>
    <row r="49624" spans="9:9" x14ac:dyDescent="0.2">
      <c r="I49624" s="137" t="s">
        <v>74</v>
      </c>
    </row>
    <row r="49625" spans="9:9" x14ac:dyDescent="0.2">
      <c r="I49625" s="137" t="s">
        <v>74</v>
      </c>
    </row>
    <row r="49626" spans="9:9" x14ac:dyDescent="0.2">
      <c r="I49626" s="137" t="s">
        <v>74</v>
      </c>
    </row>
    <row r="49627" spans="9:9" x14ac:dyDescent="0.2">
      <c r="I49627" s="137" t="s">
        <v>74</v>
      </c>
    </row>
    <row r="49628" spans="9:9" x14ac:dyDescent="0.2">
      <c r="I49628" s="137" t="s">
        <v>74</v>
      </c>
    </row>
    <row r="49629" spans="9:9" x14ac:dyDescent="0.2">
      <c r="I49629" s="137" t="s">
        <v>74</v>
      </c>
    </row>
    <row r="49630" spans="9:9" x14ac:dyDescent="0.2">
      <c r="I49630" s="137" t="s">
        <v>74</v>
      </c>
    </row>
    <row r="49631" spans="9:9" x14ac:dyDescent="0.2">
      <c r="I49631" s="137" t="s">
        <v>74</v>
      </c>
    </row>
    <row r="49632" spans="9:9" x14ac:dyDescent="0.2">
      <c r="I49632" s="137" t="s">
        <v>74</v>
      </c>
    </row>
    <row r="49633" spans="9:9" x14ac:dyDescent="0.2">
      <c r="I49633" s="137" t="s">
        <v>74</v>
      </c>
    </row>
    <row r="49634" spans="9:9" x14ac:dyDescent="0.2">
      <c r="I49634" s="137" t="s">
        <v>74</v>
      </c>
    </row>
    <row r="49635" spans="9:9" x14ac:dyDescent="0.2">
      <c r="I49635" s="137" t="s">
        <v>74</v>
      </c>
    </row>
    <row r="49636" spans="9:9" x14ac:dyDescent="0.2">
      <c r="I49636" s="137" t="s">
        <v>74</v>
      </c>
    </row>
    <row r="49637" spans="9:9" x14ac:dyDescent="0.2">
      <c r="I49637" s="137" t="s">
        <v>74</v>
      </c>
    </row>
    <row r="49638" spans="9:9" x14ac:dyDescent="0.2">
      <c r="I49638" s="137" t="s">
        <v>74</v>
      </c>
    </row>
    <row r="49639" spans="9:9" x14ac:dyDescent="0.2">
      <c r="I49639" s="137" t="s">
        <v>74</v>
      </c>
    </row>
    <row r="49640" spans="9:9" x14ac:dyDescent="0.2">
      <c r="I49640" s="137" t="s">
        <v>74</v>
      </c>
    </row>
    <row r="49641" spans="9:9" x14ac:dyDescent="0.2">
      <c r="I49641" s="137" t="s">
        <v>74</v>
      </c>
    </row>
    <row r="49642" spans="9:9" x14ac:dyDescent="0.2">
      <c r="I49642" s="137" t="s">
        <v>74</v>
      </c>
    </row>
    <row r="49643" spans="9:9" x14ac:dyDescent="0.2">
      <c r="I49643" s="137" t="s">
        <v>74</v>
      </c>
    </row>
    <row r="49644" spans="9:9" x14ac:dyDescent="0.2">
      <c r="I49644" s="137" t="s">
        <v>74</v>
      </c>
    </row>
    <row r="49645" spans="9:9" x14ac:dyDescent="0.2">
      <c r="I49645" s="137" t="s">
        <v>74</v>
      </c>
    </row>
    <row r="49646" spans="9:9" x14ac:dyDescent="0.2">
      <c r="I49646" s="137" t="s">
        <v>74</v>
      </c>
    </row>
    <row r="49647" spans="9:9" x14ac:dyDescent="0.2">
      <c r="I49647" s="137" t="s">
        <v>74</v>
      </c>
    </row>
    <row r="49648" spans="9:9" x14ac:dyDescent="0.2">
      <c r="I49648" s="137" t="s">
        <v>74</v>
      </c>
    </row>
    <row r="49649" spans="9:9" x14ac:dyDescent="0.2">
      <c r="I49649" s="137" t="s">
        <v>74</v>
      </c>
    </row>
    <row r="49650" spans="9:9" x14ac:dyDescent="0.2">
      <c r="I49650" s="137" t="s">
        <v>74</v>
      </c>
    </row>
    <row r="49651" spans="9:9" x14ac:dyDescent="0.2">
      <c r="I49651" s="137" t="s">
        <v>74</v>
      </c>
    </row>
    <row r="49652" spans="9:9" x14ac:dyDescent="0.2">
      <c r="I49652" s="137" t="s">
        <v>74</v>
      </c>
    </row>
    <row r="49653" spans="9:9" x14ac:dyDescent="0.2">
      <c r="I49653" s="137" t="s">
        <v>74</v>
      </c>
    </row>
    <row r="49654" spans="9:9" x14ac:dyDescent="0.2">
      <c r="I49654" s="137" t="s">
        <v>74</v>
      </c>
    </row>
    <row r="49655" spans="9:9" x14ac:dyDescent="0.2">
      <c r="I49655" s="137" t="s">
        <v>74</v>
      </c>
    </row>
    <row r="49656" spans="9:9" x14ac:dyDescent="0.2">
      <c r="I49656" s="137" t="s">
        <v>74</v>
      </c>
    </row>
    <row r="49657" spans="9:9" x14ac:dyDescent="0.2">
      <c r="I49657" s="137" t="s">
        <v>74</v>
      </c>
    </row>
    <row r="49658" spans="9:9" x14ac:dyDescent="0.2">
      <c r="I49658" s="137" t="s">
        <v>74</v>
      </c>
    </row>
    <row r="49659" spans="9:9" x14ac:dyDescent="0.2">
      <c r="I49659" s="137" t="s">
        <v>74</v>
      </c>
    </row>
    <row r="49660" spans="9:9" x14ac:dyDescent="0.2">
      <c r="I49660" s="137" t="s">
        <v>74</v>
      </c>
    </row>
    <row r="49661" spans="9:9" x14ac:dyDescent="0.2">
      <c r="I49661" s="137" t="s">
        <v>74</v>
      </c>
    </row>
    <row r="49662" spans="9:9" x14ac:dyDescent="0.2">
      <c r="I49662" s="137" t="s">
        <v>74</v>
      </c>
    </row>
    <row r="49663" spans="9:9" x14ac:dyDescent="0.2">
      <c r="I49663" s="137" t="s">
        <v>74</v>
      </c>
    </row>
    <row r="49664" spans="9:9" x14ac:dyDescent="0.2">
      <c r="I49664" s="137" t="s">
        <v>74</v>
      </c>
    </row>
    <row r="49665" spans="9:9" x14ac:dyDescent="0.2">
      <c r="I49665" s="137" t="s">
        <v>74</v>
      </c>
    </row>
    <row r="49666" spans="9:9" x14ac:dyDescent="0.2">
      <c r="I49666" s="137" t="s">
        <v>74</v>
      </c>
    </row>
    <row r="49667" spans="9:9" x14ac:dyDescent="0.2">
      <c r="I49667" s="137" t="s">
        <v>74</v>
      </c>
    </row>
    <row r="49668" spans="9:9" x14ac:dyDescent="0.2">
      <c r="I49668" s="137" t="s">
        <v>74</v>
      </c>
    </row>
    <row r="49669" spans="9:9" x14ac:dyDescent="0.2">
      <c r="I49669" s="137" t="s">
        <v>74</v>
      </c>
    </row>
    <row r="49670" spans="9:9" x14ac:dyDescent="0.2">
      <c r="I49670" s="137" t="s">
        <v>74</v>
      </c>
    </row>
    <row r="49671" spans="9:9" x14ac:dyDescent="0.2">
      <c r="I49671" s="137" t="s">
        <v>74</v>
      </c>
    </row>
    <row r="49672" spans="9:9" x14ac:dyDescent="0.2">
      <c r="I49672" s="137" t="s">
        <v>74</v>
      </c>
    </row>
    <row r="49673" spans="9:9" x14ac:dyDescent="0.2">
      <c r="I49673" s="137" t="s">
        <v>74</v>
      </c>
    </row>
    <row r="49674" spans="9:9" x14ac:dyDescent="0.2">
      <c r="I49674" s="137" t="s">
        <v>74</v>
      </c>
    </row>
    <row r="49675" spans="9:9" x14ac:dyDescent="0.2">
      <c r="I49675" s="137" t="s">
        <v>74</v>
      </c>
    </row>
    <row r="49676" spans="9:9" x14ac:dyDescent="0.2">
      <c r="I49676" s="137" t="s">
        <v>74</v>
      </c>
    </row>
    <row r="49677" spans="9:9" x14ac:dyDescent="0.2">
      <c r="I49677" s="137" t="s">
        <v>74</v>
      </c>
    </row>
    <row r="49678" spans="9:9" x14ac:dyDescent="0.2">
      <c r="I49678" s="137" t="s">
        <v>74</v>
      </c>
    </row>
    <row r="49679" spans="9:9" x14ac:dyDescent="0.2">
      <c r="I49679" s="137" t="s">
        <v>74</v>
      </c>
    </row>
    <row r="49680" spans="9:9" x14ac:dyDescent="0.2">
      <c r="I49680" s="137" t="s">
        <v>74</v>
      </c>
    </row>
    <row r="49681" spans="9:9" x14ac:dyDescent="0.2">
      <c r="I49681" s="137" t="s">
        <v>74</v>
      </c>
    </row>
    <row r="49682" spans="9:9" x14ac:dyDescent="0.2">
      <c r="I49682" s="137" t="s">
        <v>74</v>
      </c>
    </row>
    <row r="49683" spans="9:9" x14ac:dyDescent="0.2">
      <c r="I49683" s="137" t="s">
        <v>74</v>
      </c>
    </row>
    <row r="49684" spans="9:9" x14ac:dyDescent="0.2">
      <c r="I49684" s="137" t="s">
        <v>74</v>
      </c>
    </row>
    <row r="49685" spans="9:9" x14ac:dyDescent="0.2">
      <c r="I49685" s="137" t="s">
        <v>74</v>
      </c>
    </row>
    <row r="49686" spans="9:9" x14ac:dyDescent="0.2">
      <c r="I49686" s="137" t="s">
        <v>74</v>
      </c>
    </row>
    <row r="49687" spans="9:9" x14ac:dyDescent="0.2">
      <c r="I49687" s="137" t="s">
        <v>74</v>
      </c>
    </row>
    <row r="49688" spans="9:9" x14ac:dyDescent="0.2">
      <c r="I49688" s="137" t="s">
        <v>74</v>
      </c>
    </row>
    <row r="49689" spans="9:9" x14ac:dyDescent="0.2">
      <c r="I49689" s="137" t="s">
        <v>74</v>
      </c>
    </row>
    <row r="49690" spans="9:9" x14ac:dyDescent="0.2">
      <c r="I49690" s="137" t="s">
        <v>74</v>
      </c>
    </row>
    <row r="49691" spans="9:9" x14ac:dyDescent="0.2">
      <c r="I49691" s="137" t="s">
        <v>74</v>
      </c>
    </row>
    <row r="49692" spans="9:9" x14ac:dyDescent="0.2">
      <c r="I49692" s="137" t="s">
        <v>74</v>
      </c>
    </row>
    <row r="49693" spans="9:9" x14ac:dyDescent="0.2">
      <c r="I49693" s="137" t="s">
        <v>74</v>
      </c>
    </row>
    <row r="49694" spans="9:9" x14ac:dyDescent="0.2">
      <c r="I49694" s="137" t="s">
        <v>74</v>
      </c>
    </row>
    <row r="49695" spans="9:9" x14ac:dyDescent="0.2">
      <c r="I49695" s="137" t="s">
        <v>74</v>
      </c>
    </row>
    <row r="49696" spans="9:9" x14ac:dyDescent="0.2">
      <c r="I49696" s="137" t="s">
        <v>74</v>
      </c>
    </row>
    <row r="49697" spans="9:9" x14ac:dyDescent="0.2">
      <c r="I49697" s="137" t="s">
        <v>74</v>
      </c>
    </row>
    <row r="49698" spans="9:9" x14ac:dyDescent="0.2">
      <c r="I49698" s="137" t="s">
        <v>74</v>
      </c>
    </row>
    <row r="49699" spans="9:9" x14ac:dyDescent="0.2">
      <c r="I49699" s="137" t="s">
        <v>74</v>
      </c>
    </row>
    <row r="49700" spans="9:9" x14ac:dyDescent="0.2">
      <c r="I49700" s="137" t="s">
        <v>74</v>
      </c>
    </row>
    <row r="49701" spans="9:9" x14ac:dyDescent="0.2">
      <c r="I49701" s="137" t="s">
        <v>74</v>
      </c>
    </row>
    <row r="49702" spans="9:9" x14ac:dyDescent="0.2">
      <c r="I49702" s="137" t="s">
        <v>74</v>
      </c>
    </row>
    <row r="49703" spans="9:9" x14ac:dyDescent="0.2">
      <c r="I49703" s="137" t="s">
        <v>74</v>
      </c>
    </row>
    <row r="49704" spans="9:9" x14ac:dyDescent="0.2">
      <c r="I49704" s="137" t="s">
        <v>74</v>
      </c>
    </row>
    <row r="49705" spans="9:9" x14ac:dyDescent="0.2">
      <c r="I49705" s="137" t="s">
        <v>74</v>
      </c>
    </row>
    <row r="49706" spans="9:9" x14ac:dyDescent="0.2">
      <c r="I49706" s="137" t="s">
        <v>74</v>
      </c>
    </row>
    <row r="49707" spans="9:9" x14ac:dyDescent="0.2">
      <c r="I49707" s="137" t="s">
        <v>74</v>
      </c>
    </row>
    <row r="49708" spans="9:9" x14ac:dyDescent="0.2">
      <c r="I49708" s="137" t="s">
        <v>74</v>
      </c>
    </row>
    <row r="49709" spans="9:9" x14ac:dyDescent="0.2">
      <c r="I49709" s="137" t="s">
        <v>74</v>
      </c>
    </row>
    <row r="49710" spans="9:9" x14ac:dyDescent="0.2">
      <c r="I49710" s="137" t="s">
        <v>74</v>
      </c>
    </row>
    <row r="49711" spans="9:9" x14ac:dyDescent="0.2">
      <c r="I49711" s="137" t="s">
        <v>74</v>
      </c>
    </row>
    <row r="49712" spans="9:9" x14ac:dyDescent="0.2">
      <c r="I49712" s="137" t="s">
        <v>74</v>
      </c>
    </row>
    <row r="49713" spans="9:9" x14ac:dyDescent="0.2">
      <c r="I49713" s="137" t="s">
        <v>74</v>
      </c>
    </row>
    <row r="49714" spans="9:9" x14ac:dyDescent="0.2">
      <c r="I49714" s="137" t="s">
        <v>74</v>
      </c>
    </row>
    <row r="49715" spans="9:9" x14ac:dyDescent="0.2">
      <c r="I49715" s="137" t="s">
        <v>74</v>
      </c>
    </row>
    <row r="49716" spans="9:9" x14ac:dyDescent="0.2">
      <c r="I49716" s="137" t="s">
        <v>74</v>
      </c>
    </row>
    <row r="49717" spans="9:9" x14ac:dyDescent="0.2">
      <c r="I49717" s="137" t="s">
        <v>74</v>
      </c>
    </row>
    <row r="49718" spans="9:9" x14ac:dyDescent="0.2">
      <c r="I49718" s="137" t="s">
        <v>74</v>
      </c>
    </row>
    <row r="49719" spans="9:9" x14ac:dyDescent="0.2">
      <c r="I49719" s="137" t="s">
        <v>74</v>
      </c>
    </row>
    <row r="49720" spans="9:9" x14ac:dyDescent="0.2">
      <c r="I49720" s="137" t="s">
        <v>74</v>
      </c>
    </row>
    <row r="49721" spans="9:9" x14ac:dyDescent="0.2">
      <c r="I49721" s="137" t="s">
        <v>74</v>
      </c>
    </row>
    <row r="49722" spans="9:9" x14ac:dyDescent="0.2">
      <c r="I49722" s="137" t="s">
        <v>74</v>
      </c>
    </row>
    <row r="49723" spans="9:9" x14ac:dyDescent="0.2">
      <c r="I49723" s="137" t="s">
        <v>74</v>
      </c>
    </row>
    <row r="49724" spans="9:9" x14ac:dyDescent="0.2">
      <c r="I49724" s="137" t="s">
        <v>74</v>
      </c>
    </row>
    <row r="49725" spans="9:9" x14ac:dyDescent="0.2">
      <c r="I49725" s="137" t="s">
        <v>74</v>
      </c>
    </row>
    <row r="49726" spans="9:9" x14ac:dyDescent="0.2">
      <c r="I49726" s="137" t="s">
        <v>74</v>
      </c>
    </row>
    <row r="49727" spans="9:9" x14ac:dyDescent="0.2">
      <c r="I49727" s="137" t="s">
        <v>74</v>
      </c>
    </row>
    <row r="49728" spans="9:9" x14ac:dyDescent="0.2">
      <c r="I49728" s="137" t="s">
        <v>74</v>
      </c>
    </row>
    <row r="49729" spans="9:9" x14ac:dyDescent="0.2">
      <c r="I49729" s="137" t="s">
        <v>74</v>
      </c>
    </row>
    <row r="49730" spans="9:9" x14ac:dyDescent="0.2">
      <c r="I49730" s="137" t="s">
        <v>74</v>
      </c>
    </row>
    <row r="49731" spans="9:9" x14ac:dyDescent="0.2">
      <c r="I49731" s="137" t="s">
        <v>74</v>
      </c>
    </row>
    <row r="49732" spans="9:9" x14ac:dyDescent="0.2">
      <c r="I49732" s="137" t="s">
        <v>74</v>
      </c>
    </row>
    <row r="49733" spans="9:9" x14ac:dyDescent="0.2">
      <c r="I49733" s="137" t="s">
        <v>74</v>
      </c>
    </row>
    <row r="49734" spans="9:9" x14ac:dyDescent="0.2">
      <c r="I49734" s="137" t="s">
        <v>74</v>
      </c>
    </row>
    <row r="49735" spans="9:9" x14ac:dyDescent="0.2">
      <c r="I49735" s="137" t="s">
        <v>74</v>
      </c>
    </row>
    <row r="49736" spans="9:9" x14ac:dyDescent="0.2">
      <c r="I49736" s="137" t="s">
        <v>74</v>
      </c>
    </row>
    <row r="49737" spans="9:9" x14ac:dyDescent="0.2">
      <c r="I49737" s="137" t="s">
        <v>74</v>
      </c>
    </row>
    <row r="49738" spans="9:9" x14ac:dyDescent="0.2">
      <c r="I49738" s="137" t="s">
        <v>74</v>
      </c>
    </row>
    <row r="49739" spans="9:9" x14ac:dyDescent="0.2">
      <c r="I49739" s="137" t="s">
        <v>74</v>
      </c>
    </row>
    <row r="49740" spans="9:9" x14ac:dyDescent="0.2">
      <c r="I49740" s="137" t="s">
        <v>74</v>
      </c>
    </row>
    <row r="49741" spans="9:9" x14ac:dyDescent="0.2">
      <c r="I49741" s="137" t="s">
        <v>74</v>
      </c>
    </row>
    <row r="49742" spans="9:9" x14ac:dyDescent="0.2">
      <c r="I49742" s="137" t="s">
        <v>74</v>
      </c>
    </row>
    <row r="49743" spans="9:9" x14ac:dyDescent="0.2">
      <c r="I49743" s="137" t="s">
        <v>74</v>
      </c>
    </row>
    <row r="49744" spans="9:9" x14ac:dyDescent="0.2">
      <c r="I49744" s="137" t="s">
        <v>74</v>
      </c>
    </row>
    <row r="49745" spans="9:9" x14ac:dyDescent="0.2">
      <c r="I49745" s="137" t="s">
        <v>74</v>
      </c>
    </row>
    <row r="49746" spans="9:9" x14ac:dyDescent="0.2">
      <c r="I49746" s="137" t="s">
        <v>74</v>
      </c>
    </row>
    <row r="49747" spans="9:9" x14ac:dyDescent="0.2">
      <c r="I49747" s="137" t="s">
        <v>74</v>
      </c>
    </row>
    <row r="49748" spans="9:9" x14ac:dyDescent="0.2">
      <c r="I49748" s="137" t="s">
        <v>74</v>
      </c>
    </row>
    <row r="49749" spans="9:9" x14ac:dyDescent="0.2">
      <c r="I49749" s="137" t="s">
        <v>74</v>
      </c>
    </row>
    <row r="49750" spans="9:9" x14ac:dyDescent="0.2">
      <c r="I49750" s="137" t="s">
        <v>74</v>
      </c>
    </row>
    <row r="49751" spans="9:9" x14ac:dyDescent="0.2">
      <c r="I49751" s="137" t="s">
        <v>74</v>
      </c>
    </row>
    <row r="49752" spans="9:9" x14ac:dyDescent="0.2">
      <c r="I49752" s="137" t="s">
        <v>74</v>
      </c>
    </row>
    <row r="49753" spans="9:9" x14ac:dyDescent="0.2">
      <c r="I49753" s="137" t="s">
        <v>74</v>
      </c>
    </row>
    <row r="49754" spans="9:9" x14ac:dyDescent="0.2">
      <c r="I49754" s="137" t="s">
        <v>74</v>
      </c>
    </row>
    <row r="49755" spans="9:9" x14ac:dyDescent="0.2">
      <c r="I49755" s="137" t="s">
        <v>74</v>
      </c>
    </row>
    <row r="49756" spans="9:9" x14ac:dyDescent="0.2">
      <c r="I49756" s="137" t="s">
        <v>74</v>
      </c>
    </row>
    <row r="49757" spans="9:9" x14ac:dyDescent="0.2">
      <c r="I49757" s="137" t="s">
        <v>74</v>
      </c>
    </row>
    <row r="49758" spans="9:9" x14ac:dyDescent="0.2">
      <c r="I49758" s="137" t="s">
        <v>74</v>
      </c>
    </row>
    <row r="49759" spans="9:9" x14ac:dyDescent="0.2">
      <c r="I49759" s="137" t="s">
        <v>74</v>
      </c>
    </row>
    <row r="49760" spans="9:9" x14ac:dyDescent="0.2">
      <c r="I49760" s="137" t="s">
        <v>74</v>
      </c>
    </row>
    <row r="49761" spans="9:9" x14ac:dyDescent="0.2">
      <c r="I49761" s="137" t="s">
        <v>74</v>
      </c>
    </row>
    <row r="49762" spans="9:9" x14ac:dyDescent="0.2">
      <c r="I49762" s="137" t="s">
        <v>74</v>
      </c>
    </row>
    <row r="49763" spans="9:9" x14ac:dyDescent="0.2">
      <c r="I49763" s="137" t="s">
        <v>74</v>
      </c>
    </row>
    <row r="49764" spans="9:9" x14ac:dyDescent="0.2">
      <c r="I49764" s="137" t="s">
        <v>74</v>
      </c>
    </row>
    <row r="49765" spans="9:9" x14ac:dyDescent="0.2">
      <c r="I49765" s="137" t="s">
        <v>74</v>
      </c>
    </row>
    <row r="49766" spans="9:9" x14ac:dyDescent="0.2">
      <c r="I49766" s="137" t="s">
        <v>74</v>
      </c>
    </row>
    <row r="49767" spans="9:9" x14ac:dyDescent="0.2">
      <c r="I49767" s="137" t="s">
        <v>74</v>
      </c>
    </row>
    <row r="49768" spans="9:9" x14ac:dyDescent="0.2">
      <c r="I49768" s="137" t="s">
        <v>74</v>
      </c>
    </row>
    <row r="49769" spans="9:9" x14ac:dyDescent="0.2">
      <c r="I49769" s="137" t="s">
        <v>74</v>
      </c>
    </row>
    <row r="49770" spans="9:9" x14ac:dyDescent="0.2">
      <c r="I49770" s="137" t="s">
        <v>74</v>
      </c>
    </row>
    <row r="49771" spans="9:9" x14ac:dyDescent="0.2">
      <c r="I49771" s="137" t="s">
        <v>74</v>
      </c>
    </row>
    <row r="49772" spans="9:9" x14ac:dyDescent="0.2">
      <c r="I49772" s="137" t="s">
        <v>74</v>
      </c>
    </row>
    <row r="49773" spans="9:9" x14ac:dyDescent="0.2">
      <c r="I49773" s="137" t="s">
        <v>74</v>
      </c>
    </row>
    <row r="49774" spans="9:9" x14ac:dyDescent="0.2">
      <c r="I49774" s="137" t="s">
        <v>74</v>
      </c>
    </row>
    <row r="49775" spans="9:9" x14ac:dyDescent="0.2">
      <c r="I49775" s="137" t="s">
        <v>74</v>
      </c>
    </row>
    <row r="49776" spans="9:9" x14ac:dyDescent="0.2">
      <c r="I49776" s="137" t="s">
        <v>74</v>
      </c>
    </row>
    <row r="49777" spans="9:9" x14ac:dyDescent="0.2">
      <c r="I49777" s="137" t="s">
        <v>74</v>
      </c>
    </row>
    <row r="49778" spans="9:9" x14ac:dyDescent="0.2">
      <c r="I49778" s="137" t="s">
        <v>74</v>
      </c>
    </row>
    <row r="49779" spans="9:9" x14ac:dyDescent="0.2">
      <c r="I49779" s="137" t="s">
        <v>74</v>
      </c>
    </row>
    <row r="49780" spans="9:9" x14ac:dyDescent="0.2">
      <c r="I49780" s="137" t="s">
        <v>74</v>
      </c>
    </row>
    <row r="49781" spans="9:9" x14ac:dyDescent="0.2">
      <c r="I49781" s="137" t="s">
        <v>74</v>
      </c>
    </row>
    <row r="49782" spans="9:9" x14ac:dyDescent="0.2">
      <c r="I49782" s="137" t="s">
        <v>74</v>
      </c>
    </row>
    <row r="49783" spans="9:9" x14ac:dyDescent="0.2">
      <c r="I49783" s="137" t="s">
        <v>74</v>
      </c>
    </row>
    <row r="49784" spans="9:9" x14ac:dyDescent="0.2">
      <c r="I49784" s="137" t="s">
        <v>74</v>
      </c>
    </row>
    <row r="49785" spans="9:9" x14ac:dyDescent="0.2">
      <c r="I49785" s="137" t="s">
        <v>74</v>
      </c>
    </row>
    <row r="49786" spans="9:9" x14ac:dyDescent="0.2">
      <c r="I49786" s="137" t="s">
        <v>74</v>
      </c>
    </row>
    <row r="49787" spans="9:9" x14ac:dyDescent="0.2">
      <c r="I49787" s="137" t="s">
        <v>74</v>
      </c>
    </row>
    <row r="49788" spans="9:9" x14ac:dyDescent="0.2">
      <c r="I49788" s="137" t="s">
        <v>74</v>
      </c>
    </row>
    <row r="49789" spans="9:9" x14ac:dyDescent="0.2">
      <c r="I49789" s="137" t="s">
        <v>74</v>
      </c>
    </row>
    <row r="49790" spans="9:9" x14ac:dyDescent="0.2">
      <c r="I49790" s="137" t="s">
        <v>74</v>
      </c>
    </row>
    <row r="49791" spans="9:9" x14ac:dyDescent="0.2">
      <c r="I49791" s="137" t="s">
        <v>74</v>
      </c>
    </row>
    <row r="49792" spans="9:9" x14ac:dyDescent="0.2">
      <c r="I49792" s="137" t="s">
        <v>74</v>
      </c>
    </row>
    <row r="49793" spans="9:9" x14ac:dyDescent="0.2">
      <c r="I49793" s="137" t="s">
        <v>74</v>
      </c>
    </row>
    <row r="49794" spans="9:9" x14ac:dyDescent="0.2">
      <c r="I49794" s="137" t="s">
        <v>74</v>
      </c>
    </row>
    <row r="49795" spans="9:9" x14ac:dyDescent="0.2">
      <c r="I49795" s="137" t="s">
        <v>74</v>
      </c>
    </row>
    <row r="49796" spans="9:9" x14ac:dyDescent="0.2">
      <c r="I49796" s="137" t="s">
        <v>74</v>
      </c>
    </row>
    <row r="49797" spans="9:9" x14ac:dyDescent="0.2">
      <c r="I49797" s="137" t="s">
        <v>74</v>
      </c>
    </row>
    <row r="49798" spans="9:9" x14ac:dyDescent="0.2">
      <c r="I49798" s="137" t="s">
        <v>74</v>
      </c>
    </row>
    <row r="49799" spans="9:9" x14ac:dyDescent="0.2">
      <c r="I49799" s="137" t="s">
        <v>74</v>
      </c>
    </row>
    <row r="49800" spans="9:9" x14ac:dyDescent="0.2">
      <c r="I49800" s="137" t="s">
        <v>74</v>
      </c>
    </row>
    <row r="49801" spans="9:9" x14ac:dyDescent="0.2">
      <c r="I49801" s="137" t="s">
        <v>74</v>
      </c>
    </row>
    <row r="49802" spans="9:9" x14ac:dyDescent="0.2">
      <c r="I49802" s="137" t="s">
        <v>74</v>
      </c>
    </row>
    <row r="49803" spans="9:9" x14ac:dyDescent="0.2">
      <c r="I49803" s="137" t="s">
        <v>74</v>
      </c>
    </row>
    <row r="49804" spans="9:9" x14ac:dyDescent="0.2">
      <c r="I49804" s="137" t="s">
        <v>74</v>
      </c>
    </row>
    <row r="49805" spans="9:9" x14ac:dyDescent="0.2">
      <c r="I49805" s="137" t="s">
        <v>74</v>
      </c>
    </row>
    <row r="49806" spans="9:9" x14ac:dyDescent="0.2">
      <c r="I49806" s="137" t="s">
        <v>74</v>
      </c>
    </row>
    <row r="49807" spans="9:9" x14ac:dyDescent="0.2">
      <c r="I49807" s="137" t="s">
        <v>74</v>
      </c>
    </row>
    <row r="49808" spans="9:9" x14ac:dyDescent="0.2">
      <c r="I49808" s="137" t="s">
        <v>74</v>
      </c>
    </row>
    <row r="49809" spans="9:9" x14ac:dyDescent="0.2">
      <c r="I49809" s="137" t="s">
        <v>74</v>
      </c>
    </row>
    <row r="49810" spans="9:9" x14ac:dyDescent="0.2">
      <c r="I49810" s="137" t="s">
        <v>74</v>
      </c>
    </row>
    <row r="49811" spans="9:9" x14ac:dyDescent="0.2">
      <c r="I49811" s="137" t="s">
        <v>74</v>
      </c>
    </row>
    <row r="49812" spans="9:9" x14ac:dyDescent="0.2">
      <c r="I49812" s="137" t="s">
        <v>74</v>
      </c>
    </row>
    <row r="49813" spans="9:9" x14ac:dyDescent="0.2">
      <c r="I49813" s="137" t="s">
        <v>74</v>
      </c>
    </row>
    <row r="49814" spans="9:9" x14ac:dyDescent="0.2">
      <c r="I49814" s="137" t="s">
        <v>74</v>
      </c>
    </row>
    <row r="49815" spans="9:9" x14ac:dyDescent="0.2">
      <c r="I49815" s="137" t="s">
        <v>74</v>
      </c>
    </row>
    <row r="49816" spans="9:9" x14ac:dyDescent="0.2">
      <c r="I49816" s="137" t="s">
        <v>74</v>
      </c>
    </row>
    <row r="49817" spans="9:9" x14ac:dyDescent="0.2">
      <c r="I49817" s="137" t="s">
        <v>74</v>
      </c>
    </row>
    <row r="49818" spans="9:9" x14ac:dyDescent="0.2">
      <c r="I49818" s="137" t="s">
        <v>74</v>
      </c>
    </row>
    <row r="49819" spans="9:9" x14ac:dyDescent="0.2">
      <c r="I49819" s="137" t="s">
        <v>74</v>
      </c>
    </row>
    <row r="49820" spans="9:9" x14ac:dyDescent="0.2">
      <c r="I49820" s="137" t="s">
        <v>74</v>
      </c>
    </row>
    <row r="49821" spans="9:9" x14ac:dyDescent="0.2">
      <c r="I49821" s="137" t="s">
        <v>74</v>
      </c>
    </row>
    <row r="49822" spans="9:9" x14ac:dyDescent="0.2">
      <c r="I49822" s="137" t="s">
        <v>74</v>
      </c>
    </row>
    <row r="49823" spans="9:9" x14ac:dyDescent="0.2">
      <c r="I49823" s="137" t="s">
        <v>74</v>
      </c>
    </row>
    <row r="49824" spans="9:9" x14ac:dyDescent="0.2">
      <c r="I49824" s="137" t="s">
        <v>74</v>
      </c>
    </row>
    <row r="49825" spans="9:9" x14ac:dyDescent="0.2">
      <c r="I49825" s="137" t="s">
        <v>74</v>
      </c>
    </row>
    <row r="49826" spans="9:9" x14ac:dyDescent="0.2">
      <c r="I49826" s="137" t="s">
        <v>74</v>
      </c>
    </row>
    <row r="49827" spans="9:9" x14ac:dyDescent="0.2">
      <c r="I49827" s="137" t="s">
        <v>74</v>
      </c>
    </row>
    <row r="49828" spans="9:9" x14ac:dyDescent="0.2">
      <c r="I49828" s="137" t="s">
        <v>74</v>
      </c>
    </row>
    <row r="49829" spans="9:9" x14ac:dyDescent="0.2">
      <c r="I49829" s="137" t="s">
        <v>74</v>
      </c>
    </row>
    <row r="49830" spans="9:9" x14ac:dyDescent="0.2">
      <c r="I49830" s="137" t="s">
        <v>74</v>
      </c>
    </row>
    <row r="49831" spans="9:9" x14ac:dyDescent="0.2">
      <c r="I49831" s="137" t="s">
        <v>74</v>
      </c>
    </row>
    <row r="49832" spans="9:9" x14ac:dyDescent="0.2">
      <c r="I49832" s="137" t="s">
        <v>74</v>
      </c>
    </row>
    <row r="49833" spans="9:9" x14ac:dyDescent="0.2">
      <c r="I49833" s="137" t="s">
        <v>74</v>
      </c>
    </row>
    <row r="49834" spans="9:9" x14ac:dyDescent="0.2">
      <c r="I49834" s="137" t="s">
        <v>74</v>
      </c>
    </row>
    <row r="49835" spans="9:9" x14ac:dyDescent="0.2">
      <c r="I49835" s="137" t="s">
        <v>74</v>
      </c>
    </row>
    <row r="49836" spans="9:9" x14ac:dyDescent="0.2">
      <c r="I49836" s="137" t="s">
        <v>74</v>
      </c>
    </row>
    <row r="49837" spans="9:9" x14ac:dyDescent="0.2">
      <c r="I49837" s="137" t="s">
        <v>74</v>
      </c>
    </row>
    <row r="49838" spans="9:9" x14ac:dyDescent="0.2">
      <c r="I49838" s="137" t="s">
        <v>74</v>
      </c>
    </row>
    <row r="49839" spans="9:9" x14ac:dyDescent="0.2">
      <c r="I49839" s="137" t="s">
        <v>74</v>
      </c>
    </row>
    <row r="49840" spans="9:9" x14ac:dyDescent="0.2">
      <c r="I49840" s="137" t="s">
        <v>74</v>
      </c>
    </row>
    <row r="49841" spans="9:9" x14ac:dyDescent="0.2">
      <c r="I49841" s="137" t="s">
        <v>74</v>
      </c>
    </row>
    <row r="49842" spans="9:9" x14ac:dyDescent="0.2">
      <c r="I49842" s="137" t="s">
        <v>74</v>
      </c>
    </row>
    <row r="49843" spans="9:9" x14ac:dyDescent="0.2">
      <c r="I49843" s="137" t="s">
        <v>74</v>
      </c>
    </row>
    <row r="49844" spans="9:9" x14ac:dyDescent="0.2">
      <c r="I49844" s="137" t="s">
        <v>74</v>
      </c>
    </row>
    <row r="49845" spans="9:9" x14ac:dyDescent="0.2">
      <c r="I49845" s="137" t="s">
        <v>74</v>
      </c>
    </row>
    <row r="49846" spans="9:9" x14ac:dyDescent="0.2">
      <c r="I49846" s="137" t="s">
        <v>74</v>
      </c>
    </row>
    <row r="49847" spans="9:9" x14ac:dyDescent="0.2">
      <c r="I49847" s="137" t="s">
        <v>74</v>
      </c>
    </row>
    <row r="49848" spans="9:9" x14ac:dyDescent="0.2">
      <c r="I49848" s="137" t="s">
        <v>74</v>
      </c>
    </row>
    <row r="49849" spans="9:9" x14ac:dyDescent="0.2">
      <c r="I49849" s="137" t="s">
        <v>74</v>
      </c>
    </row>
    <row r="49850" spans="9:9" x14ac:dyDescent="0.2">
      <c r="I49850" s="137" t="s">
        <v>74</v>
      </c>
    </row>
    <row r="49851" spans="9:9" x14ac:dyDescent="0.2">
      <c r="I49851" s="137" t="s">
        <v>74</v>
      </c>
    </row>
    <row r="49852" spans="9:9" x14ac:dyDescent="0.2">
      <c r="I49852" s="137" t="s">
        <v>74</v>
      </c>
    </row>
    <row r="49853" spans="9:9" x14ac:dyDescent="0.2">
      <c r="I49853" s="137" t="s">
        <v>74</v>
      </c>
    </row>
    <row r="49854" spans="9:9" x14ac:dyDescent="0.2">
      <c r="I49854" s="137" t="s">
        <v>74</v>
      </c>
    </row>
    <row r="49855" spans="9:9" x14ac:dyDescent="0.2">
      <c r="I49855" s="137" t="s">
        <v>74</v>
      </c>
    </row>
    <row r="49856" spans="9:9" x14ac:dyDescent="0.2">
      <c r="I49856" s="137" t="s">
        <v>74</v>
      </c>
    </row>
    <row r="49857" spans="9:9" x14ac:dyDescent="0.2">
      <c r="I49857" s="137" t="s">
        <v>74</v>
      </c>
    </row>
    <row r="49858" spans="9:9" x14ac:dyDescent="0.2">
      <c r="I49858" s="137" t="s">
        <v>74</v>
      </c>
    </row>
    <row r="49859" spans="9:9" x14ac:dyDescent="0.2">
      <c r="I49859" s="137" t="s">
        <v>74</v>
      </c>
    </row>
    <row r="49860" spans="9:9" x14ac:dyDescent="0.2">
      <c r="I49860" s="137" t="s">
        <v>74</v>
      </c>
    </row>
    <row r="49861" spans="9:9" x14ac:dyDescent="0.2">
      <c r="I49861" s="137" t="s">
        <v>74</v>
      </c>
    </row>
    <row r="49862" spans="9:9" x14ac:dyDescent="0.2">
      <c r="I49862" s="137" t="s">
        <v>74</v>
      </c>
    </row>
    <row r="49863" spans="9:9" x14ac:dyDescent="0.2">
      <c r="I49863" s="137" t="s">
        <v>74</v>
      </c>
    </row>
    <row r="49864" spans="9:9" x14ac:dyDescent="0.2">
      <c r="I49864" s="137" t="s">
        <v>74</v>
      </c>
    </row>
    <row r="49865" spans="9:9" x14ac:dyDescent="0.2">
      <c r="I49865" s="137" t="s">
        <v>74</v>
      </c>
    </row>
    <row r="49866" spans="9:9" x14ac:dyDescent="0.2">
      <c r="I49866" s="137" t="s">
        <v>74</v>
      </c>
    </row>
    <row r="49867" spans="9:9" x14ac:dyDescent="0.2">
      <c r="I49867" s="137" t="s">
        <v>74</v>
      </c>
    </row>
    <row r="49868" spans="9:9" x14ac:dyDescent="0.2">
      <c r="I49868" s="137" t="s">
        <v>74</v>
      </c>
    </row>
    <row r="49869" spans="9:9" x14ac:dyDescent="0.2">
      <c r="I49869" s="137" t="s">
        <v>74</v>
      </c>
    </row>
    <row r="49870" spans="9:9" x14ac:dyDescent="0.2">
      <c r="I49870" s="137" t="s">
        <v>74</v>
      </c>
    </row>
    <row r="49871" spans="9:9" x14ac:dyDescent="0.2">
      <c r="I49871" s="137" t="s">
        <v>74</v>
      </c>
    </row>
    <row r="49872" spans="9:9" x14ac:dyDescent="0.2">
      <c r="I49872" s="137" t="s">
        <v>74</v>
      </c>
    </row>
    <row r="49873" spans="9:9" x14ac:dyDescent="0.2">
      <c r="I49873" s="137" t="s">
        <v>74</v>
      </c>
    </row>
    <row r="49874" spans="9:9" x14ac:dyDescent="0.2">
      <c r="I49874" s="137" t="s">
        <v>74</v>
      </c>
    </row>
    <row r="49875" spans="9:9" x14ac:dyDescent="0.2">
      <c r="I49875" s="137" t="s">
        <v>74</v>
      </c>
    </row>
    <row r="49876" spans="9:9" x14ac:dyDescent="0.2">
      <c r="I49876" s="137" t="s">
        <v>74</v>
      </c>
    </row>
    <row r="49877" spans="9:9" x14ac:dyDescent="0.2">
      <c r="I49877" s="137" t="s">
        <v>74</v>
      </c>
    </row>
    <row r="49878" spans="9:9" x14ac:dyDescent="0.2">
      <c r="I49878" s="137" t="s">
        <v>74</v>
      </c>
    </row>
    <row r="49879" spans="9:9" x14ac:dyDescent="0.2">
      <c r="I49879" s="137" t="s">
        <v>74</v>
      </c>
    </row>
    <row r="49880" spans="9:9" x14ac:dyDescent="0.2">
      <c r="I49880" s="137" t="s">
        <v>74</v>
      </c>
    </row>
    <row r="49881" spans="9:9" x14ac:dyDescent="0.2">
      <c r="I49881" s="137" t="s">
        <v>74</v>
      </c>
    </row>
    <row r="49882" spans="9:9" x14ac:dyDescent="0.2">
      <c r="I49882" s="137" t="s">
        <v>74</v>
      </c>
    </row>
    <row r="49883" spans="9:9" x14ac:dyDescent="0.2">
      <c r="I49883" s="137" t="s">
        <v>74</v>
      </c>
    </row>
    <row r="49884" spans="9:9" x14ac:dyDescent="0.2">
      <c r="I49884" s="137" t="s">
        <v>74</v>
      </c>
    </row>
    <row r="49885" spans="9:9" x14ac:dyDescent="0.2">
      <c r="I49885" s="137" t="s">
        <v>74</v>
      </c>
    </row>
    <row r="49886" spans="9:9" x14ac:dyDescent="0.2">
      <c r="I49886" s="137" t="s">
        <v>74</v>
      </c>
    </row>
    <row r="49887" spans="9:9" x14ac:dyDescent="0.2">
      <c r="I49887" s="137" t="s">
        <v>74</v>
      </c>
    </row>
    <row r="49888" spans="9:9" x14ac:dyDescent="0.2">
      <c r="I49888" s="137" t="s">
        <v>74</v>
      </c>
    </row>
    <row r="49889" spans="9:9" x14ac:dyDescent="0.2">
      <c r="I49889" s="137" t="s">
        <v>74</v>
      </c>
    </row>
    <row r="49890" spans="9:9" x14ac:dyDescent="0.2">
      <c r="I49890" s="137" t="s">
        <v>74</v>
      </c>
    </row>
    <row r="49891" spans="9:9" x14ac:dyDescent="0.2">
      <c r="I49891" s="137" t="s">
        <v>74</v>
      </c>
    </row>
    <row r="49892" spans="9:9" x14ac:dyDescent="0.2">
      <c r="I49892" s="137" t="s">
        <v>74</v>
      </c>
    </row>
    <row r="49893" spans="9:9" x14ac:dyDescent="0.2">
      <c r="I49893" s="137" t="s">
        <v>74</v>
      </c>
    </row>
    <row r="49894" spans="9:9" x14ac:dyDescent="0.2">
      <c r="I49894" s="137" t="s">
        <v>74</v>
      </c>
    </row>
    <row r="49895" spans="9:9" x14ac:dyDescent="0.2">
      <c r="I49895" s="137" t="s">
        <v>74</v>
      </c>
    </row>
    <row r="49896" spans="9:9" x14ac:dyDescent="0.2">
      <c r="I49896" s="137" t="s">
        <v>74</v>
      </c>
    </row>
    <row r="49897" spans="9:9" x14ac:dyDescent="0.2">
      <c r="I49897" s="137" t="s">
        <v>74</v>
      </c>
    </row>
    <row r="49898" spans="9:9" x14ac:dyDescent="0.2">
      <c r="I49898" s="137" t="s">
        <v>74</v>
      </c>
    </row>
    <row r="49899" spans="9:9" x14ac:dyDescent="0.2">
      <c r="I49899" s="137" t="s">
        <v>74</v>
      </c>
    </row>
    <row r="49900" spans="9:9" x14ac:dyDescent="0.2">
      <c r="I49900" s="137" t="s">
        <v>74</v>
      </c>
    </row>
    <row r="49901" spans="9:9" x14ac:dyDescent="0.2">
      <c r="I49901" s="137" t="s">
        <v>74</v>
      </c>
    </row>
    <row r="49902" spans="9:9" x14ac:dyDescent="0.2">
      <c r="I49902" s="137" t="s">
        <v>74</v>
      </c>
    </row>
    <row r="49903" spans="9:9" x14ac:dyDescent="0.2">
      <c r="I49903" s="137" t="s">
        <v>74</v>
      </c>
    </row>
    <row r="49904" spans="9:9" x14ac:dyDescent="0.2">
      <c r="I49904" s="137" t="s">
        <v>74</v>
      </c>
    </row>
    <row r="49905" spans="9:9" x14ac:dyDescent="0.2">
      <c r="I49905" s="137" t="s">
        <v>74</v>
      </c>
    </row>
    <row r="49906" spans="9:9" x14ac:dyDescent="0.2">
      <c r="I49906" s="137" t="s">
        <v>74</v>
      </c>
    </row>
    <row r="49907" spans="9:9" x14ac:dyDescent="0.2">
      <c r="I49907" s="137" t="s">
        <v>74</v>
      </c>
    </row>
    <row r="49908" spans="9:9" x14ac:dyDescent="0.2">
      <c r="I49908" s="137" t="s">
        <v>74</v>
      </c>
    </row>
    <row r="49909" spans="9:9" x14ac:dyDescent="0.2">
      <c r="I49909" s="137" t="s">
        <v>74</v>
      </c>
    </row>
    <row r="49910" spans="9:9" x14ac:dyDescent="0.2">
      <c r="I49910" s="137" t="s">
        <v>74</v>
      </c>
    </row>
    <row r="49911" spans="9:9" x14ac:dyDescent="0.2">
      <c r="I49911" s="137" t="s">
        <v>74</v>
      </c>
    </row>
    <row r="49912" spans="9:9" x14ac:dyDescent="0.2">
      <c r="I49912" s="137" t="s">
        <v>74</v>
      </c>
    </row>
    <row r="49913" spans="9:9" x14ac:dyDescent="0.2">
      <c r="I49913" s="137" t="s">
        <v>74</v>
      </c>
    </row>
    <row r="49914" spans="9:9" x14ac:dyDescent="0.2">
      <c r="I49914" s="137" t="s">
        <v>74</v>
      </c>
    </row>
    <row r="49915" spans="9:9" x14ac:dyDescent="0.2">
      <c r="I49915" s="137" t="s">
        <v>74</v>
      </c>
    </row>
    <row r="49916" spans="9:9" x14ac:dyDescent="0.2">
      <c r="I49916" s="137" t="s">
        <v>74</v>
      </c>
    </row>
    <row r="49917" spans="9:9" x14ac:dyDescent="0.2">
      <c r="I49917" s="137" t="s">
        <v>74</v>
      </c>
    </row>
    <row r="49918" spans="9:9" x14ac:dyDescent="0.2">
      <c r="I49918" s="137" t="s">
        <v>74</v>
      </c>
    </row>
    <row r="49919" spans="9:9" x14ac:dyDescent="0.2">
      <c r="I49919" s="137" t="s">
        <v>74</v>
      </c>
    </row>
    <row r="49920" spans="9:9" x14ac:dyDescent="0.2">
      <c r="I49920" s="137" t="s">
        <v>74</v>
      </c>
    </row>
    <row r="49921" spans="9:9" x14ac:dyDescent="0.2">
      <c r="I49921" s="137" t="s">
        <v>74</v>
      </c>
    </row>
    <row r="49922" spans="9:9" x14ac:dyDescent="0.2">
      <c r="I49922" s="137" t="s">
        <v>74</v>
      </c>
    </row>
    <row r="49923" spans="9:9" x14ac:dyDescent="0.2">
      <c r="I49923" s="137" t="s">
        <v>74</v>
      </c>
    </row>
    <row r="49924" spans="9:9" x14ac:dyDescent="0.2">
      <c r="I49924" s="137" t="s">
        <v>74</v>
      </c>
    </row>
    <row r="49925" spans="9:9" x14ac:dyDescent="0.2">
      <c r="I49925" s="137" t="s">
        <v>74</v>
      </c>
    </row>
    <row r="49926" spans="9:9" x14ac:dyDescent="0.2">
      <c r="I49926" s="137" t="s">
        <v>74</v>
      </c>
    </row>
    <row r="49927" spans="9:9" x14ac:dyDescent="0.2">
      <c r="I49927" s="137" t="s">
        <v>74</v>
      </c>
    </row>
    <row r="49928" spans="9:9" x14ac:dyDescent="0.2">
      <c r="I49928" s="137" t="s">
        <v>74</v>
      </c>
    </row>
    <row r="49929" spans="9:9" x14ac:dyDescent="0.2">
      <c r="I49929" s="137" t="s">
        <v>74</v>
      </c>
    </row>
    <row r="49930" spans="9:9" x14ac:dyDescent="0.2">
      <c r="I49930" s="137" t="s">
        <v>74</v>
      </c>
    </row>
    <row r="49931" spans="9:9" x14ac:dyDescent="0.2">
      <c r="I49931" s="137" t="s">
        <v>74</v>
      </c>
    </row>
    <row r="49932" spans="9:9" x14ac:dyDescent="0.2">
      <c r="I49932" s="137" t="s">
        <v>74</v>
      </c>
    </row>
    <row r="49933" spans="9:9" x14ac:dyDescent="0.2">
      <c r="I49933" s="137" t="s">
        <v>74</v>
      </c>
    </row>
    <row r="49934" spans="9:9" x14ac:dyDescent="0.2">
      <c r="I49934" s="137" t="s">
        <v>74</v>
      </c>
    </row>
    <row r="49935" spans="9:9" x14ac:dyDescent="0.2">
      <c r="I49935" s="137" t="s">
        <v>74</v>
      </c>
    </row>
    <row r="49936" spans="9:9" x14ac:dyDescent="0.2">
      <c r="I49936" s="137" t="s">
        <v>74</v>
      </c>
    </row>
    <row r="49937" spans="9:9" x14ac:dyDescent="0.2">
      <c r="I49937" s="137" t="s">
        <v>74</v>
      </c>
    </row>
    <row r="49938" spans="9:9" x14ac:dyDescent="0.2">
      <c r="I49938" s="137" t="s">
        <v>74</v>
      </c>
    </row>
    <row r="49939" spans="9:9" x14ac:dyDescent="0.2">
      <c r="I49939" s="137" t="s">
        <v>74</v>
      </c>
    </row>
    <row r="49940" spans="9:9" x14ac:dyDescent="0.2">
      <c r="I49940" s="137" t="s">
        <v>74</v>
      </c>
    </row>
    <row r="49941" spans="9:9" x14ac:dyDescent="0.2">
      <c r="I49941" s="137" t="s">
        <v>74</v>
      </c>
    </row>
    <row r="49942" spans="9:9" x14ac:dyDescent="0.2">
      <c r="I49942" s="137" t="s">
        <v>74</v>
      </c>
    </row>
    <row r="49943" spans="9:9" x14ac:dyDescent="0.2">
      <c r="I49943" s="137" t="s">
        <v>74</v>
      </c>
    </row>
    <row r="49944" spans="9:9" x14ac:dyDescent="0.2">
      <c r="I49944" s="137" t="s">
        <v>74</v>
      </c>
    </row>
    <row r="49945" spans="9:9" x14ac:dyDescent="0.2">
      <c r="I49945" s="137" t="s">
        <v>74</v>
      </c>
    </row>
    <row r="49946" spans="9:9" x14ac:dyDescent="0.2">
      <c r="I49946" s="137" t="s">
        <v>74</v>
      </c>
    </row>
    <row r="49947" spans="9:9" x14ac:dyDescent="0.2">
      <c r="I49947" s="137" t="s">
        <v>74</v>
      </c>
    </row>
    <row r="49948" spans="9:9" x14ac:dyDescent="0.2">
      <c r="I49948" s="137" t="s">
        <v>74</v>
      </c>
    </row>
    <row r="49949" spans="9:9" x14ac:dyDescent="0.2">
      <c r="I49949" s="137" t="s">
        <v>74</v>
      </c>
    </row>
    <row r="49950" spans="9:9" x14ac:dyDescent="0.2">
      <c r="I49950" s="137" t="s">
        <v>74</v>
      </c>
    </row>
    <row r="49951" spans="9:9" x14ac:dyDescent="0.2">
      <c r="I49951" s="137" t="s">
        <v>74</v>
      </c>
    </row>
    <row r="49952" spans="9:9" x14ac:dyDescent="0.2">
      <c r="I49952" s="137" t="s">
        <v>74</v>
      </c>
    </row>
    <row r="49953" spans="9:9" x14ac:dyDescent="0.2">
      <c r="I49953" s="137" t="s">
        <v>74</v>
      </c>
    </row>
    <row r="49954" spans="9:9" x14ac:dyDescent="0.2">
      <c r="I49954" s="137" t="s">
        <v>74</v>
      </c>
    </row>
    <row r="49955" spans="9:9" x14ac:dyDescent="0.2">
      <c r="I49955" s="137" t="s">
        <v>74</v>
      </c>
    </row>
    <row r="49956" spans="9:9" x14ac:dyDescent="0.2">
      <c r="I49956" s="137" t="s">
        <v>74</v>
      </c>
    </row>
    <row r="49957" spans="9:9" x14ac:dyDescent="0.2">
      <c r="I49957" s="137" t="s">
        <v>74</v>
      </c>
    </row>
    <row r="49958" spans="9:9" x14ac:dyDescent="0.2">
      <c r="I49958" s="137" t="s">
        <v>74</v>
      </c>
    </row>
    <row r="49959" spans="9:9" x14ac:dyDescent="0.2">
      <c r="I49959" s="137" t="s">
        <v>74</v>
      </c>
    </row>
    <row r="49960" spans="9:9" x14ac:dyDescent="0.2">
      <c r="I49960" s="137" t="s">
        <v>74</v>
      </c>
    </row>
    <row r="49961" spans="9:9" x14ac:dyDescent="0.2">
      <c r="I49961" s="137" t="s">
        <v>74</v>
      </c>
    </row>
    <row r="49962" spans="9:9" x14ac:dyDescent="0.2">
      <c r="I49962" s="137" t="s">
        <v>74</v>
      </c>
    </row>
    <row r="49963" spans="9:9" x14ac:dyDescent="0.2">
      <c r="I49963" s="137" t="s">
        <v>74</v>
      </c>
    </row>
    <row r="49964" spans="9:9" x14ac:dyDescent="0.2">
      <c r="I49964" s="137" t="s">
        <v>74</v>
      </c>
    </row>
    <row r="49965" spans="9:9" x14ac:dyDescent="0.2">
      <c r="I49965" s="137" t="s">
        <v>74</v>
      </c>
    </row>
    <row r="49966" spans="9:9" x14ac:dyDescent="0.2">
      <c r="I49966" s="137" t="s">
        <v>74</v>
      </c>
    </row>
    <row r="49967" spans="9:9" x14ac:dyDescent="0.2">
      <c r="I49967" s="137" t="s">
        <v>74</v>
      </c>
    </row>
    <row r="49968" spans="9:9" x14ac:dyDescent="0.2">
      <c r="I49968" s="137" t="s">
        <v>74</v>
      </c>
    </row>
    <row r="49969" spans="9:9" x14ac:dyDescent="0.2">
      <c r="I49969" s="137" t="s">
        <v>74</v>
      </c>
    </row>
    <row r="49970" spans="9:9" x14ac:dyDescent="0.2">
      <c r="I49970" s="137" t="s">
        <v>74</v>
      </c>
    </row>
    <row r="49971" spans="9:9" x14ac:dyDescent="0.2">
      <c r="I49971" s="137" t="s">
        <v>74</v>
      </c>
    </row>
    <row r="49972" spans="9:9" x14ac:dyDescent="0.2">
      <c r="I49972" s="137" t="s">
        <v>74</v>
      </c>
    </row>
    <row r="49973" spans="9:9" x14ac:dyDescent="0.2">
      <c r="I49973" s="137" t="s">
        <v>74</v>
      </c>
    </row>
    <row r="49974" spans="9:9" x14ac:dyDescent="0.2">
      <c r="I49974" s="137" t="s">
        <v>74</v>
      </c>
    </row>
    <row r="49975" spans="9:9" x14ac:dyDescent="0.2">
      <c r="I49975" s="137" t="s">
        <v>74</v>
      </c>
    </row>
    <row r="49976" spans="9:9" x14ac:dyDescent="0.2">
      <c r="I49976" s="137" t="s">
        <v>74</v>
      </c>
    </row>
    <row r="49977" spans="9:9" x14ac:dyDescent="0.2">
      <c r="I49977" s="137" t="s">
        <v>74</v>
      </c>
    </row>
    <row r="49978" spans="9:9" x14ac:dyDescent="0.2">
      <c r="I49978" s="137" t="s">
        <v>74</v>
      </c>
    </row>
    <row r="49979" spans="9:9" x14ac:dyDescent="0.2">
      <c r="I49979" s="137" t="s">
        <v>74</v>
      </c>
    </row>
    <row r="49980" spans="9:9" x14ac:dyDescent="0.2">
      <c r="I49980" s="137" t="s">
        <v>74</v>
      </c>
    </row>
    <row r="49981" spans="9:9" x14ac:dyDescent="0.2">
      <c r="I49981" s="137" t="s">
        <v>74</v>
      </c>
    </row>
    <row r="49982" spans="9:9" x14ac:dyDescent="0.2">
      <c r="I49982" s="137" t="s">
        <v>74</v>
      </c>
    </row>
    <row r="49983" spans="9:9" x14ac:dyDescent="0.2">
      <c r="I49983" s="137" t="s">
        <v>74</v>
      </c>
    </row>
    <row r="49984" spans="9:9" x14ac:dyDescent="0.2">
      <c r="I49984" s="137" t="s">
        <v>74</v>
      </c>
    </row>
    <row r="49985" spans="9:9" x14ac:dyDescent="0.2">
      <c r="I49985" s="137" t="s">
        <v>74</v>
      </c>
    </row>
    <row r="49986" spans="9:9" x14ac:dyDescent="0.2">
      <c r="I49986" s="137" t="s">
        <v>74</v>
      </c>
    </row>
    <row r="49987" spans="9:9" x14ac:dyDescent="0.2">
      <c r="I49987" s="137" t="s">
        <v>74</v>
      </c>
    </row>
    <row r="49988" spans="9:9" x14ac:dyDescent="0.2">
      <c r="I49988" s="137" t="s">
        <v>74</v>
      </c>
    </row>
    <row r="49989" spans="9:9" x14ac:dyDescent="0.2">
      <c r="I49989" s="137" t="s">
        <v>74</v>
      </c>
    </row>
    <row r="49990" spans="9:9" x14ac:dyDescent="0.2">
      <c r="I49990" s="137" t="s">
        <v>74</v>
      </c>
    </row>
    <row r="49991" spans="9:9" x14ac:dyDescent="0.2">
      <c r="I49991" s="137" t="s">
        <v>74</v>
      </c>
    </row>
    <row r="49992" spans="9:9" x14ac:dyDescent="0.2">
      <c r="I49992" s="137" t="s">
        <v>74</v>
      </c>
    </row>
    <row r="49993" spans="9:9" x14ac:dyDescent="0.2">
      <c r="I49993" s="137" t="s">
        <v>74</v>
      </c>
    </row>
    <row r="49994" spans="9:9" x14ac:dyDescent="0.2">
      <c r="I49994" s="137" t="s">
        <v>74</v>
      </c>
    </row>
    <row r="49995" spans="9:9" x14ac:dyDescent="0.2">
      <c r="I49995" s="137" t="s">
        <v>74</v>
      </c>
    </row>
    <row r="49996" spans="9:9" x14ac:dyDescent="0.2">
      <c r="I49996" s="137" t="s">
        <v>74</v>
      </c>
    </row>
    <row r="49997" spans="9:9" x14ac:dyDescent="0.2">
      <c r="I49997" s="137" t="s">
        <v>74</v>
      </c>
    </row>
    <row r="49998" spans="9:9" x14ac:dyDescent="0.2">
      <c r="I49998" s="137" t="s">
        <v>74</v>
      </c>
    </row>
    <row r="49999" spans="9:9" x14ac:dyDescent="0.2">
      <c r="I49999" s="137" t="s">
        <v>74</v>
      </c>
    </row>
    <row r="50000" spans="9:9" x14ac:dyDescent="0.2">
      <c r="I50000" s="137" t="s">
        <v>74</v>
      </c>
    </row>
    <row r="50001" spans="9:9" x14ac:dyDescent="0.2">
      <c r="I50001" s="137" t="s">
        <v>74</v>
      </c>
    </row>
    <row r="50002" spans="9:9" x14ac:dyDescent="0.2">
      <c r="I50002" s="137" t="s">
        <v>74</v>
      </c>
    </row>
    <row r="50003" spans="9:9" x14ac:dyDescent="0.2">
      <c r="I50003" s="137" t="s">
        <v>74</v>
      </c>
    </row>
    <row r="50004" spans="9:9" x14ac:dyDescent="0.2">
      <c r="I50004" s="137" t="s">
        <v>74</v>
      </c>
    </row>
    <row r="50005" spans="9:9" x14ac:dyDescent="0.2">
      <c r="I50005" s="137" t="s">
        <v>74</v>
      </c>
    </row>
    <row r="50006" spans="9:9" x14ac:dyDescent="0.2">
      <c r="I50006" s="137" t="s">
        <v>74</v>
      </c>
    </row>
    <row r="50007" spans="9:9" x14ac:dyDescent="0.2">
      <c r="I50007" s="137" t="s">
        <v>74</v>
      </c>
    </row>
    <row r="50008" spans="9:9" x14ac:dyDescent="0.2">
      <c r="I50008" s="137" t="s">
        <v>74</v>
      </c>
    </row>
    <row r="50009" spans="9:9" x14ac:dyDescent="0.2">
      <c r="I50009" s="137" t="s">
        <v>74</v>
      </c>
    </row>
    <row r="50010" spans="9:9" x14ac:dyDescent="0.2">
      <c r="I50010" s="137" t="s">
        <v>74</v>
      </c>
    </row>
    <row r="50011" spans="9:9" x14ac:dyDescent="0.2">
      <c r="I50011" s="137" t="s">
        <v>74</v>
      </c>
    </row>
    <row r="50012" spans="9:9" x14ac:dyDescent="0.2">
      <c r="I50012" s="137" t="s">
        <v>74</v>
      </c>
    </row>
    <row r="50013" spans="9:9" x14ac:dyDescent="0.2">
      <c r="I50013" s="137" t="s">
        <v>74</v>
      </c>
    </row>
    <row r="50014" spans="9:9" x14ac:dyDescent="0.2">
      <c r="I50014" s="137" t="s">
        <v>74</v>
      </c>
    </row>
    <row r="50015" spans="9:9" x14ac:dyDescent="0.2">
      <c r="I50015" s="137" t="s">
        <v>74</v>
      </c>
    </row>
    <row r="50016" spans="9:9" x14ac:dyDescent="0.2">
      <c r="I50016" s="137" t="s">
        <v>74</v>
      </c>
    </row>
    <row r="50017" spans="9:9" x14ac:dyDescent="0.2">
      <c r="I50017" s="137" t="s">
        <v>74</v>
      </c>
    </row>
    <row r="50018" spans="9:9" x14ac:dyDescent="0.2">
      <c r="I50018" s="137" t="s">
        <v>74</v>
      </c>
    </row>
    <row r="50019" spans="9:9" x14ac:dyDescent="0.2">
      <c r="I50019" s="137" t="s">
        <v>74</v>
      </c>
    </row>
    <row r="50020" spans="9:9" x14ac:dyDescent="0.2">
      <c r="I50020" s="137" t="s">
        <v>74</v>
      </c>
    </row>
    <row r="50021" spans="9:9" x14ac:dyDescent="0.2">
      <c r="I50021" s="137" t="s">
        <v>74</v>
      </c>
    </row>
    <row r="50022" spans="9:9" x14ac:dyDescent="0.2">
      <c r="I50022" s="137" t="s">
        <v>74</v>
      </c>
    </row>
    <row r="50023" spans="9:9" x14ac:dyDescent="0.2">
      <c r="I50023" s="137" t="s">
        <v>74</v>
      </c>
    </row>
    <row r="50024" spans="9:9" x14ac:dyDescent="0.2">
      <c r="I50024" s="137" t="s">
        <v>74</v>
      </c>
    </row>
    <row r="50025" spans="9:9" x14ac:dyDescent="0.2">
      <c r="I50025" s="137" t="s">
        <v>74</v>
      </c>
    </row>
    <row r="50026" spans="9:9" x14ac:dyDescent="0.2">
      <c r="I50026" s="137" t="s">
        <v>74</v>
      </c>
    </row>
    <row r="50027" spans="9:9" x14ac:dyDescent="0.2">
      <c r="I50027" s="137" t="s">
        <v>74</v>
      </c>
    </row>
    <row r="50028" spans="9:9" x14ac:dyDescent="0.2">
      <c r="I50028" s="137" t="s">
        <v>74</v>
      </c>
    </row>
    <row r="50029" spans="9:9" x14ac:dyDescent="0.2">
      <c r="I50029" s="137" t="s">
        <v>74</v>
      </c>
    </row>
    <row r="50030" spans="9:9" x14ac:dyDescent="0.2">
      <c r="I50030" s="137" t="s">
        <v>74</v>
      </c>
    </row>
    <row r="50031" spans="9:9" x14ac:dyDescent="0.2">
      <c r="I50031" s="137" t="s">
        <v>74</v>
      </c>
    </row>
    <row r="50032" spans="9:9" x14ac:dyDescent="0.2">
      <c r="I50032" s="137" t="s">
        <v>74</v>
      </c>
    </row>
    <row r="50033" spans="9:9" x14ac:dyDescent="0.2">
      <c r="I50033" s="137" t="s">
        <v>74</v>
      </c>
    </row>
    <row r="50034" spans="9:9" x14ac:dyDescent="0.2">
      <c r="I50034" s="137" t="s">
        <v>74</v>
      </c>
    </row>
    <row r="50035" spans="9:9" x14ac:dyDescent="0.2">
      <c r="I50035" s="137" t="s">
        <v>74</v>
      </c>
    </row>
    <row r="50036" spans="9:9" x14ac:dyDescent="0.2">
      <c r="I50036" s="137" t="s">
        <v>74</v>
      </c>
    </row>
    <row r="50037" spans="9:9" x14ac:dyDescent="0.2">
      <c r="I50037" s="137" t="s">
        <v>74</v>
      </c>
    </row>
    <row r="50038" spans="9:9" x14ac:dyDescent="0.2">
      <c r="I50038" s="137" t="s">
        <v>74</v>
      </c>
    </row>
    <row r="50039" spans="9:9" x14ac:dyDescent="0.2">
      <c r="I50039" s="137" t="s">
        <v>74</v>
      </c>
    </row>
    <row r="50040" spans="9:9" x14ac:dyDescent="0.2">
      <c r="I50040" s="137" t="s">
        <v>74</v>
      </c>
    </row>
    <row r="50041" spans="9:9" x14ac:dyDescent="0.2">
      <c r="I50041" s="137" t="s">
        <v>74</v>
      </c>
    </row>
    <row r="50042" spans="9:9" x14ac:dyDescent="0.2">
      <c r="I50042" s="137" t="s">
        <v>74</v>
      </c>
    </row>
    <row r="50043" spans="9:9" x14ac:dyDescent="0.2">
      <c r="I50043" s="137" t="s">
        <v>74</v>
      </c>
    </row>
    <row r="50044" spans="9:9" x14ac:dyDescent="0.2">
      <c r="I50044" s="137" t="s">
        <v>74</v>
      </c>
    </row>
    <row r="50045" spans="9:9" x14ac:dyDescent="0.2">
      <c r="I50045" s="137" t="s">
        <v>74</v>
      </c>
    </row>
    <row r="50046" spans="9:9" x14ac:dyDescent="0.2">
      <c r="I50046" s="137" t="s">
        <v>74</v>
      </c>
    </row>
    <row r="50047" spans="9:9" x14ac:dyDescent="0.2">
      <c r="I50047" s="137" t="s">
        <v>74</v>
      </c>
    </row>
    <row r="50048" spans="9:9" x14ac:dyDescent="0.2">
      <c r="I50048" s="137" t="s">
        <v>74</v>
      </c>
    </row>
    <row r="50049" spans="9:9" x14ac:dyDescent="0.2">
      <c r="I50049" s="137" t="s">
        <v>74</v>
      </c>
    </row>
    <row r="50050" spans="9:9" x14ac:dyDescent="0.2">
      <c r="I50050" s="137" t="s">
        <v>74</v>
      </c>
    </row>
    <row r="50051" spans="9:9" x14ac:dyDescent="0.2">
      <c r="I50051" s="137" t="s">
        <v>74</v>
      </c>
    </row>
    <row r="50052" spans="9:9" x14ac:dyDescent="0.2">
      <c r="I50052" s="137" t="s">
        <v>74</v>
      </c>
    </row>
    <row r="50053" spans="9:9" x14ac:dyDescent="0.2">
      <c r="I50053" s="137" t="s">
        <v>74</v>
      </c>
    </row>
    <row r="50054" spans="9:9" x14ac:dyDescent="0.2">
      <c r="I50054" s="137" t="s">
        <v>74</v>
      </c>
    </row>
    <row r="50055" spans="9:9" x14ac:dyDescent="0.2">
      <c r="I50055" s="137" t="s">
        <v>74</v>
      </c>
    </row>
    <row r="50056" spans="9:9" x14ac:dyDescent="0.2">
      <c r="I50056" s="137" t="s">
        <v>74</v>
      </c>
    </row>
    <row r="50057" spans="9:9" x14ac:dyDescent="0.2">
      <c r="I50057" s="137" t="s">
        <v>74</v>
      </c>
    </row>
    <row r="50058" spans="9:9" x14ac:dyDescent="0.2">
      <c r="I50058" s="137" t="s">
        <v>74</v>
      </c>
    </row>
    <row r="50059" spans="9:9" x14ac:dyDescent="0.2">
      <c r="I50059" s="137" t="s">
        <v>74</v>
      </c>
    </row>
    <row r="50060" spans="9:9" x14ac:dyDescent="0.2">
      <c r="I50060" s="137" t="s">
        <v>74</v>
      </c>
    </row>
    <row r="50061" spans="9:9" x14ac:dyDescent="0.2">
      <c r="I50061" s="137" t="s">
        <v>74</v>
      </c>
    </row>
    <row r="50062" spans="9:9" x14ac:dyDescent="0.2">
      <c r="I50062" s="137" t="s">
        <v>74</v>
      </c>
    </row>
    <row r="50063" spans="9:9" x14ac:dyDescent="0.2">
      <c r="I50063" s="137" t="s">
        <v>74</v>
      </c>
    </row>
    <row r="50064" spans="9:9" x14ac:dyDescent="0.2">
      <c r="I50064" s="137" t="s">
        <v>74</v>
      </c>
    </row>
    <row r="50065" spans="9:9" x14ac:dyDescent="0.2">
      <c r="I50065" s="137" t="s">
        <v>74</v>
      </c>
    </row>
    <row r="50066" spans="9:9" x14ac:dyDescent="0.2">
      <c r="I50066" s="137" t="s">
        <v>74</v>
      </c>
    </row>
    <row r="50067" spans="9:9" x14ac:dyDescent="0.2">
      <c r="I50067" s="137" t="s">
        <v>74</v>
      </c>
    </row>
    <row r="50068" spans="9:9" x14ac:dyDescent="0.2">
      <c r="I50068" s="137" t="s">
        <v>74</v>
      </c>
    </row>
    <row r="50069" spans="9:9" x14ac:dyDescent="0.2">
      <c r="I50069" s="137" t="s">
        <v>74</v>
      </c>
    </row>
    <row r="50070" spans="9:9" x14ac:dyDescent="0.2">
      <c r="I50070" s="137" t="s">
        <v>74</v>
      </c>
    </row>
    <row r="50071" spans="9:9" x14ac:dyDescent="0.2">
      <c r="I50071" s="137" t="s">
        <v>74</v>
      </c>
    </row>
    <row r="50072" spans="9:9" x14ac:dyDescent="0.2">
      <c r="I50072" s="137" t="s">
        <v>74</v>
      </c>
    </row>
    <row r="50073" spans="9:9" x14ac:dyDescent="0.2">
      <c r="I50073" s="137" t="s">
        <v>74</v>
      </c>
    </row>
    <row r="50074" spans="9:9" x14ac:dyDescent="0.2">
      <c r="I50074" s="137" t="s">
        <v>74</v>
      </c>
    </row>
    <row r="50075" spans="9:9" x14ac:dyDescent="0.2">
      <c r="I50075" s="137" t="s">
        <v>74</v>
      </c>
    </row>
    <row r="50076" spans="9:9" x14ac:dyDescent="0.2">
      <c r="I50076" s="137" t="s">
        <v>74</v>
      </c>
    </row>
    <row r="50077" spans="9:9" x14ac:dyDescent="0.2">
      <c r="I50077" s="137" t="s">
        <v>74</v>
      </c>
    </row>
    <row r="50078" spans="9:9" x14ac:dyDescent="0.2">
      <c r="I50078" s="137" t="s">
        <v>74</v>
      </c>
    </row>
    <row r="50079" spans="9:9" x14ac:dyDescent="0.2">
      <c r="I50079" s="137" t="s">
        <v>74</v>
      </c>
    </row>
    <row r="50080" spans="9:9" x14ac:dyDescent="0.2">
      <c r="I50080" s="137" t="s">
        <v>74</v>
      </c>
    </row>
    <row r="50081" spans="9:9" x14ac:dyDescent="0.2">
      <c r="I50081" s="137" t="s">
        <v>74</v>
      </c>
    </row>
    <row r="50082" spans="9:9" x14ac:dyDescent="0.2">
      <c r="I50082" s="137" t="s">
        <v>74</v>
      </c>
    </row>
    <row r="50083" spans="9:9" x14ac:dyDescent="0.2">
      <c r="I50083" s="137" t="s">
        <v>74</v>
      </c>
    </row>
    <row r="50084" spans="9:9" x14ac:dyDescent="0.2">
      <c r="I50084" s="137" t="s">
        <v>74</v>
      </c>
    </row>
    <row r="50085" spans="9:9" x14ac:dyDescent="0.2">
      <c r="I50085" s="137" t="s">
        <v>74</v>
      </c>
    </row>
    <row r="50086" spans="9:9" x14ac:dyDescent="0.2">
      <c r="I50086" s="137" t="s">
        <v>74</v>
      </c>
    </row>
    <row r="50087" spans="9:9" x14ac:dyDescent="0.2">
      <c r="I50087" s="137" t="s">
        <v>74</v>
      </c>
    </row>
    <row r="50088" spans="9:9" x14ac:dyDescent="0.2">
      <c r="I50088" s="137" t="s">
        <v>74</v>
      </c>
    </row>
    <row r="50089" spans="9:9" x14ac:dyDescent="0.2">
      <c r="I50089" s="137" t="s">
        <v>74</v>
      </c>
    </row>
    <row r="50090" spans="9:9" x14ac:dyDescent="0.2">
      <c r="I50090" s="137" t="s">
        <v>74</v>
      </c>
    </row>
    <row r="50091" spans="9:9" x14ac:dyDescent="0.2">
      <c r="I50091" s="137" t="s">
        <v>74</v>
      </c>
    </row>
    <row r="50092" spans="9:9" x14ac:dyDescent="0.2">
      <c r="I50092" s="137" t="s">
        <v>74</v>
      </c>
    </row>
    <row r="50093" spans="9:9" x14ac:dyDescent="0.2">
      <c r="I50093" s="137" t="s">
        <v>74</v>
      </c>
    </row>
    <row r="50094" spans="9:9" x14ac:dyDescent="0.2">
      <c r="I50094" s="137" t="s">
        <v>74</v>
      </c>
    </row>
    <row r="50095" spans="9:9" x14ac:dyDescent="0.2">
      <c r="I50095" s="137" t="s">
        <v>74</v>
      </c>
    </row>
    <row r="50096" spans="9:9" x14ac:dyDescent="0.2">
      <c r="I50096" s="137" t="s">
        <v>74</v>
      </c>
    </row>
    <row r="50097" spans="9:9" x14ac:dyDescent="0.2">
      <c r="I50097" s="137" t="s">
        <v>74</v>
      </c>
    </row>
    <row r="50098" spans="9:9" x14ac:dyDescent="0.2">
      <c r="I50098" s="137" t="s">
        <v>74</v>
      </c>
    </row>
    <row r="50099" spans="9:9" x14ac:dyDescent="0.2">
      <c r="I50099" s="137" t="s">
        <v>74</v>
      </c>
    </row>
    <row r="50100" spans="9:9" x14ac:dyDescent="0.2">
      <c r="I50100" s="137" t="s">
        <v>74</v>
      </c>
    </row>
    <row r="50101" spans="9:9" x14ac:dyDescent="0.2">
      <c r="I50101" s="137" t="s">
        <v>74</v>
      </c>
    </row>
    <row r="50102" spans="9:9" x14ac:dyDescent="0.2">
      <c r="I50102" s="137" t="s">
        <v>74</v>
      </c>
    </row>
    <row r="50103" spans="9:9" x14ac:dyDescent="0.2">
      <c r="I50103" s="137" t="s">
        <v>74</v>
      </c>
    </row>
    <row r="50104" spans="9:9" x14ac:dyDescent="0.2">
      <c r="I50104" s="137" t="s">
        <v>74</v>
      </c>
    </row>
    <row r="50105" spans="9:9" x14ac:dyDescent="0.2">
      <c r="I50105" s="137" t="s">
        <v>74</v>
      </c>
    </row>
    <row r="50106" spans="9:9" x14ac:dyDescent="0.2">
      <c r="I50106" s="137" t="s">
        <v>74</v>
      </c>
    </row>
    <row r="50107" spans="9:9" x14ac:dyDescent="0.2">
      <c r="I50107" s="137" t="s">
        <v>74</v>
      </c>
    </row>
    <row r="50108" spans="9:9" x14ac:dyDescent="0.2">
      <c r="I50108" s="137" t="s">
        <v>74</v>
      </c>
    </row>
    <row r="50109" spans="9:9" x14ac:dyDescent="0.2">
      <c r="I50109" s="137" t="s">
        <v>74</v>
      </c>
    </row>
    <row r="50110" spans="9:9" x14ac:dyDescent="0.2">
      <c r="I50110" s="137" t="s">
        <v>74</v>
      </c>
    </row>
    <row r="50111" spans="9:9" x14ac:dyDescent="0.2">
      <c r="I50111" s="137" t="s">
        <v>74</v>
      </c>
    </row>
    <row r="50112" spans="9:9" x14ac:dyDescent="0.2">
      <c r="I50112" s="137" t="s">
        <v>74</v>
      </c>
    </row>
    <row r="50113" spans="9:9" x14ac:dyDescent="0.2">
      <c r="I50113" s="137" t="s">
        <v>74</v>
      </c>
    </row>
    <row r="50114" spans="9:9" x14ac:dyDescent="0.2">
      <c r="I50114" s="137" t="s">
        <v>74</v>
      </c>
    </row>
    <row r="50115" spans="9:9" x14ac:dyDescent="0.2">
      <c r="I50115" s="137" t="s">
        <v>74</v>
      </c>
    </row>
    <row r="50116" spans="9:9" x14ac:dyDescent="0.2">
      <c r="I50116" s="137" t="s">
        <v>74</v>
      </c>
    </row>
    <row r="50117" spans="9:9" x14ac:dyDescent="0.2">
      <c r="I50117" s="137" t="s">
        <v>74</v>
      </c>
    </row>
    <row r="50118" spans="9:9" x14ac:dyDescent="0.2">
      <c r="I50118" s="137" t="s">
        <v>74</v>
      </c>
    </row>
    <row r="50119" spans="9:9" x14ac:dyDescent="0.2">
      <c r="I50119" s="137" t="s">
        <v>74</v>
      </c>
    </row>
    <row r="50120" spans="9:9" x14ac:dyDescent="0.2">
      <c r="I50120" s="137" t="s">
        <v>74</v>
      </c>
    </row>
    <row r="50121" spans="9:9" x14ac:dyDescent="0.2">
      <c r="I50121" s="137" t="s">
        <v>74</v>
      </c>
    </row>
    <row r="50122" spans="9:9" x14ac:dyDescent="0.2">
      <c r="I50122" s="137" t="s">
        <v>74</v>
      </c>
    </row>
    <row r="50123" spans="9:9" x14ac:dyDescent="0.2">
      <c r="I50123" s="137" t="s">
        <v>74</v>
      </c>
    </row>
    <row r="50124" spans="9:9" x14ac:dyDescent="0.2">
      <c r="I50124" s="137" t="s">
        <v>74</v>
      </c>
    </row>
    <row r="50125" spans="9:9" x14ac:dyDescent="0.2">
      <c r="I50125" s="137" t="s">
        <v>74</v>
      </c>
    </row>
    <row r="50126" spans="9:9" x14ac:dyDescent="0.2">
      <c r="I50126" s="137" t="s">
        <v>74</v>
      </c>
    </row>
    <row r="50127" spans="9:9" x14ac:dyDescent="0.2">
      <c r="I50127" s="137" t="s">
        <v>74</v>
      </c>
    </row>
    <row r="50128" spans="9:9" x14ac:dyDescent="0.2">
      <c r="I50128" s="137" t="s">
        <v>74</v>
      </c>
    </row>
    <row r="50129" spans="9:9" x14ac:dyDescent="0.2">
      <c r="I50129" s="137" t="s">
        <v>74</v>
      </c>
    </row>
    <row r="50130" spans="9:9" x14ac:dyDescent="0.2">
      <c r="I50130" s="137" t="s">
        <v>74</v>
      </c>
    </row>
    <row r="50131" spans="9:9" x14ac:dyDescent="0.2">
      <c r="I50131" s="137" t="s">
        <v>74</v>
      </c>
    </row>
    <row r="50132" spans="9:9" x14ac:dyDescent="0.2">
      <c r="I50132" s="137" t="s">
        <v>74</v>
      </c>
    </row>
    <row r="50133" spans="9:9" x14ac:dyDescent="0.2">
      <c r="I50133" s="137" t="s">
        <v>74</v>
      </c>
    </row>
    <row r="50134" spans="9:9" x14ac:dyDescent="0.2">
      <c r="I50134" s="137" t="s">
        <v>74</v>
      </c>
    </row>
    <row r="50135" spans="9:9" x14ac:dyDescent="0.2">
      <c r="I50135" s="137" t="s">
        <v>74</v>
      </c>
    </row>
    <row r="50136" spans="9:9" x14ac:dyDescent="0.2">
      <c r="I50136" s="137" t="s">
        <v>74</v>
      </c>
    </row>
    <row r="50137" spans="9:9" x14ac:dyDescent="0.2">
      <c r="I50137" s="137" t="s">
        <v>74</v>
      </c>
    </row>
    <row r="50138" spans="9:9" x14ac:dyDescent="0.2">
      <c r="I50138" s="137" t="s">
        <v>74</v>
      </c>
    </row>
    <row r="50139" spans="9:9" x14ac:dyDescent="0.2">
      <c r="I50139" s="137" t="s">
        <v>74</v>
      </c>
    </row>
    <row r="50140" spans="9:9" x14ac:dyDescent="0.2">
      <c r="I50140" s="137" t="s">
        <v>74</v>
      </c>
    </row>
    <row r="50141" spans="9:9" x14ac:dyDescent="0.2">
      <c r="I50141" s="137" t="s">
        <v>74</v>
      </c>
    </row>
    <row r="50142" spans="9:9" x14ac:dyDescent="0.2">
      <c r="I50142" s="137" t="s">
        <v>74</v>
      </c>
    </row>
    <row r="50143" spans="9:9" x14ac:dyDescent="0.2">
      <c r="I50143" s="137" t="s">
        <v>74</v>
      </c>
    </row>
    <row r="50144" spans="9:9" x14ac:dyDescent="0.2">
      <c r="I50144" s="137" t="s">
        <v>74</v>
      </c>
    </row>
    <row r="50145" spans="9:9" x14ac:dyDescent="0.2">
      <c r="I50145" s="137" t="s">
        <v>74</v>
      </c>
    </row>
    <row r="50146" spans="9:9" x14ac:dyDescent="0.2">
      <c r="I50146" s="137" t="s">
        <v>74</v>
      </c>
    </row>
    <row r="50147" spans="9:9" x14ac:dyDescent="0.2">
      <c r="I50147" s="137" t="s">
        <v>74</v>
      </c>
    </row>
    <row r="50148" spans="9:9" x14ac:dyDescent="0.2">
      <c r="I50148" s="137" t="s">
        <v>74</v>
      </c>
    </row>
    <row r="50149" spans="9:9" x14ac:dyDescent="0.2">
      <c r="I50149" s="137" t="s">
        <v>74</v>
      </c>
    </row>
    <row r="50150" spans="9:9" x14ac:dyDescent="0.2">
      <c r="I50150" s="137" t="s">
        <v>74</v>
      </c>
    </row>
    <row r="50151" spans="9:9" x14ac:dyDescent="0.2">
      <c r="I50151" s="137" t="s">
        <v>74</v>
      </c>
    </row>
    <row r="50152" spans="9:9" x14ac:dyDescent="0.2">
      <c r="I50152" s="137" t="s">
        <v>74</v>
      </c>
    </row>
    <row r="50153" spans="9:9" x14ac:dyDescent="0.2">
      <c r="I50153" s="137" t="s">
        <v>74</v>
      </c>
    </row>
    <row r="50154" spans="9:9" x14ac:dyDescent="0.2">
      <c r="I50154" s="137" t="s">
        <v>74</v>
      </c>
    </row>
    <row r="50155" spans="9:9" x14ac:dyDescent="0.2">
      <c r="I50155" s="137" t="s">
        <v>74</v>
      </c>
    </row>
    <row r="50156" spans="9:9" x14ac:dyDescent="0.2">
      <c r="I50156" s="137" t="s">
        <v>74</v>
      </c>
    </row>
    <row r="50157" spans="9:9" x14ac:dyDescent="0.2">
      <c r="I50157" s="137" t="s">
        <v>74</v>
      </c>
    </row>
    <row r="50158" spans="9:9" x14ac:dyDescent="0.2">
      <c r="I50158" s="137" t="s">
        <v>74</v>
      </c>
    </row>
    <row r="50159" spans="9:9" x14ac:dyDescent="0.2">
      <c r="I50159" s="137" t="s">
        <v>74</v>
      </c>
    </row>
    <row r="50160" spans="9:9" x14ac:dyDescent="0.2">
      <c r="I50160" s="137" t="s">
        <v>74</v>
      </c>
    </row>
    <row r="50161" spans="9:9" x14ac:dyDescent="0.2">
      <c r="I50161" s="137" t="s">
        <v>74</v>
      </c>
    </row>
    <row r="50162" spans="9:9" x14ac:dyDescent="0.2">
      <c r="I50162" s="137" t="s">
        <v>74</v>
      </c>
    </row>
    <row r="50163" spans="9:9" x14ac:dyDescent="0.2">
      <c r="I50163" s="137" t="s">
        <v>74</v>
      </c>
    </row>
    <row r="50164" spans="9:9" x14ac:dyDescent="0.2">
      <c r="I50164" s="137" t="s">
        <v>74</v>
      </c>
    </row>
    <row r="50165" spans="9:9" x14ac:dyDescent="0.2">
      <c r="I50165" s="137" t="s">
        <v>74</v>
      </c>
    </row>
    <row r="50166" spans="9:9" x14ac:dyDescent="0.2">
      <c r="I50166" s="137" t="s">
        <v>74</v>
      </c>
    </row>
    <row r="50167" spans="9:9" x14ac:dyDescent="0.2">
      <c r="I50167" s="137" t="s">
        <v>74</v>
      </c>
    </row>
    <row r="50168" spans="9:9" x14ac:dyDescent="0.2">
      <c r="I50168" s="137" t="s">
        <v>74</v>
      </c>
    </row>
    <row r="50169" spans="9:9" x14ac:dyDescent="0.2">
      <c r="I50169" s="137" t="s">
        <v>74</v>
      </c>
    </row>
    <row r="50170" spans="9:9" x14ac:dyDescent="0.2">
      <c r="I50170" s="137" t="s">
        <v>74</v>
      </c>
    </row>
    <row r="50171" spans="9:9" x14ac:dyDescent="0.2">
      <c r="I50171" s="137" t="s">
        <v>74</v>
      </c>
    </row>
    <row r="50172" spans="9:9" x14ac:dyDescent="0.2">
      <c r="I50172" s="137" t="s">
        <v>74</v>
      </c>
    </row>
    <row r="50173" spans="9:9" x14ac:dyDescent="0.2">
      <c r="I50173" s="137" t="s">
        <v>74</v>
      </c>
    </row>
    <row r="50174" spans="9:9" x14ac:dyDescent="0.2">
      <c r="I50174" s="137" t="s">
        <v>74</v>
      </c>
    </row>
    <row r="50175" spans="9:9" x14ac:dyDescent="0.2">
      <c r="I50175" s="137" t="s">
        <v>74</v>
      </c>
    </row>
    <row r="50176" spans="9:9" x14ac:dyDescent="0.2">
      <c r="I50176" s="137" t="s">
        <v>74</v>
      </c>
    </row>
    <row r="50177" spans="9:9" x14ac:dyDescent="0.2">
      <c r="I50177" s="137" t="s">
        <v>74</v>
      </c>
    </row>
    <row r="50178" spans="9:9" x14ac:dyDescent="0.2">
      <c r="I50178" s="137" t="s">
        <v>74</v>
      </c>
    </row>
    <row r="50179" spans="9:9" x14ac:dyDescent="0.2">
      <c r="I50179" s="137" t="s">
        <v>74</v>
      </c>
    </row>
    <row r="50180" spans="9:9" x14ac:dyDescent="0.2">
      <c r="I50180" s="137" t="s">
        <v>74</v>
      </c>
    </row>
    <row r="50181" spans="9:9" x14ac:dyDescent="0.2">
      <c r="I50181" s="137" t="s">
        <v>74</v>
      </c>
    </row>
    <row r="50182" spans="9:9" x14ac:dyDescent="0.2">
      <c r="I50182" s="137" t="s">
        <v>74</v>
      </c>
    </row>
    <row r="50183" spans="9:9" x14ac:dyDescent="0.2">
      <c r="I50183" s="137" t="s">
        <v>74</v>
      </c>
    </row>
    <row r="50184" spans="9:9" x14ac:dyDescent="0.2">
      <c r="I50184" s="137" t="s">
        <v>74</v>
      </c>
    </row>
    <row r="50185" spans="9:9" x14ac:dyDescent="0.2">
      <c r="I50185" s="137" t="s">
        <v>74</v>
      </c>
    </row>
    <row r="50186" spans="9:9" x14ac:dyDescent="0.2">
      <c r="I50186" s="137" t="s">
        <v>74</v>
      </c>
    </row>
    <row r="50187" spans="9:9" x14ac:dyDescent="0.2">
      <c r="I50187" s="137" t="s">
        <v>74</v>
      </c>
    </row>
    <row r="50188" spans="9:9" x14ac:dyDescent="0.2">
      <c r="I50188" s="137" t="s">
        <v>74</v>
      </c>
    </row>
    <row r="50189" spans="9:9" x14ac:dyDescent="0.2">
      <c r="I50189" s="137" t="s">
        <v>74</v>
      </c>
    </row>
    <row r="50190" spans="9:9" x14ac:dyDescent="0.2">
      <c r="I50190" s="137" t="s">
        <v>74</v>
      </c>
    </row>
    <row r="50191" spans="9:9" x14ac:dyDescent="0.2">
      <c r="I50191" s="137" t="s">
        <v>74</v>
      </c>
    </row>
    <row r="50192" spans="9:9" x14ac:dyDescent="0.2">
      <c r="I50192" s="137" t="s">
        <v>74</v>
      </c>
    </row>
    <row r="50193" spans="9:9" x14ac:dyDescent="0.2">
      <c r="I50193" s="137" t="s">
        <v>74</v>
      </c>
    </row>
    <row r="50194" spans="9:9" x14ac:dyDescent="0.2">
      <c r="I50194" s="137" t="s">
        <v>74</v>
      </c>
    </row>
    <row r="50195" spans="9:9" x14ac:dyDescent="0.2">
      <c r="I50195" s="137" t="s">
        <v>74</v>
      </c>
    </row>
    <row r="50196" spans="9:9" x14ac:dyDescent="0.2">
      <c r="I50196" s="137" t="s">
        <v>74</v>
      </c>
    </row>
    <row r="50197" spans="9:9" x14ac:dyDescent="0.2">
      <c r="I50197" s="137" t="s">
        <v>74</v>
      </c>
    </row>
    <row r="50198" spans="9:9" x14ac:dyDescent="0.2">
      <c r="I50198" s="137" t="s">
        <v>74</v>
      </c>
    </row>
    <row r="50199" spans="9:9" x14ac:dyDescent="0.2">
      <c r="I50199" s="137" t="s">
        <v>74</v>
      </c>
    </row>
    <row r="50200" spans="9:9" x14ac:dyDescent="0.2">
      <c r="I50200" s="137" t="s">
        <v>74</v>
      </c>
    </row>
    <row r="50201" spans="9:9" x14ac:dyDescent="0.2">
      <c r="I50201" s="137" t="s">
        <v>74</v>
      </c>
    </row>
    <row r="50202" spans="9:9" x14ac:dyDescent="0.2">
      <c r="I50202" s="137" t="s">
        <v>74</v>
      </c>
    </row>
    <row r="50203" spans="9:9" x14ac:dyDescent="0.2">
      <c r="I50203" s="137" t="s">
        <v>74</v>
      </c>
    </row>
    <row r="50204" spans="9:9" x14ac:dyDescent="0.2">
      <c r="I50204" s="137" t="s">
        <v>74</v>
      </c>
    </row>
    <row r="50205" spans="9:9" x14ac:dyDescent="0.2">
      <c r="I50205" s="137" t="s">
        <v>74</v>
      </c>
    </row>
    <row r="50206" spans="9:9" x14ac:dyDescent="0.2">
      <c r="I50206" s="137" t="s">
        <v>74</v>
      </c>
    </row>
    <row r="50207" spans="9:9" x14ac:dyDescent="0.2">
      <c r="I50207" s="137" t="s">
        <v>74</v>
      </c>
    </row>
    <row r="50208" spans="9:9" x14ac:dyDescent="0.2">
      <c r="I50208" s="137" t="s">
        <v>74</v>
      </c>
    </row>
    <row r="50209" spans="9:9" x14ac:dyDescent="0.2">
      <c r="I50209" s="137" t="s">
        <v>74</v>
      </c>
    </row>
    <row r="50210" spans="9:9" x14ac:dyDescent="0.2">
      <c r="I50210" s="137" t="s">
        <v>74</v>
      </c>
    </row>
    <row r="50211" spans="9:9" x14ac:dyDescent="0.2">
      <c r="I50211" s="137" t="s">
        <v>74</v>
      </c>
    </row>
    <row r="50212" spans="9:9" x14ac:dyDescent="0.2">
      <c r="I50212" s="137" t="s">
        <v>74</v>
      </c>
    </row>
    <row r="50213" spans="9:9" x14ac:dyDescent="0.2">
      <c r="I50213" s="137" t="s">
        <v>74</v>
      </c>
    </row>
    <row r="50214" spans="9:9" x14ac:dyDescent="0.2">
      <c r="I50214" s="137" t="s">
        <v>74</v>
      </c>
    </row>
    <row r="50215" spans="9:9" x14ac:dyDescent="0.2">
      <c r="I50215" s="137" t="s">
        <v>74</v>
      </c>
    </row>
    <row r="50216" spans="9:9" x14ac:dyDescent="0.2">
      <c r="I50216" s="137" t="s">
        <v>74</v>
      </c>
    </row>
    <row r="50217" spans="9:9" x14ac:dyDescent="0.2">
      <c r="I50217" s="137" t="s">
        <v>74</v>
      </c>
    </row>
    <row r="50218" spans="9:9" x14ac:dyDescent="0.2">
      <c r="I50218" s="137" t="s">
        <v>74</v>
      </c>
    </row>
    <row r="50219" spans="9:9" x14ac:dyDescent="0.2">
      <c r="I50219" s="137" t="s">
        <v>74</v>
      </c>
    </row>
    <row r="50220" spans="9:9" x14ac:dyDescent="0.2">
      <c r="I50220" s="137" t="s">
        <v>74</v>
      </c>
    </row>
    <row r="50221" spans="9:9" x14ac:dyDescent="0.2">
      <c r="I50221" s="137" t="s">
        <v>74</v>
      </c>
    </row>
    <row r="50222" spans="9:9" x14ac:dyDescent="0.2">
      <c r="I50222" s="137" t="s">
        <v>74</v>
      </c>
    </row>
    <row r="50223" spans="9:9" x14ac:dyDescent="0.2">
      <c r="I50223" s="137" t="s">
        <v>74</v>
      </c>
    </row>
    <row r="50224" spans="9:9" x14ac:dyDescent="0.2">
      <c r="I50224" s="137" t="s">
        <v>74</v>
      </c>
    </row>
    <row r="50225" spans="9:9" x14ac:dyDescent="0.2">
      <c r="I50225" s="137" t="s">
        <v>74</v>
      </c>
    </row>
    <row r="50226" spans="9:9" x14ac:dyDescent="0.2">
      <c r="I50226" s="137" t="s">
        <v>74</v>
      </c>
    </row>
    <row r="50227" spans="9:9" x14ac:dyDescent="0.2">
      <c r="I50227" s="137" t="s">
        <v>74</v>
      </c>
    </row>
    <row r="50228" spans="9:9" x14ac:dyDescent="0.2">
      <c r="I50228" s="137" t="s">
        <v>74</v>
      </c>
    </row>
    <row r="50229" spans="9:9" x14ac:dyDescent="0.2">
      <c r="I50229" s="137" t="s">
        <v>74</v>
      </c>
    </row>
    <row r="50230" spans="9:9" x14ac:dyDescent="0.2">
      <c r="I50230" s="137" t="s">
        <v>74</v>
      </c>
    </row>
    <row r="50231" spans="9:9" x14ac:dyDescent="0.2">
      <c r="I50231" s="137" t="s">
        <v>74</v>
      </c>
    </row>
    <row r="50232" spans="9:9" x14ac:dyDescent="0.2">
      <c r="I50232" s="137" t="s">
        <v>74</v>
      </c>
    </row>
    <row r="50233" spans="9:9" x14ac:dyDescent="0.2">
      <c r="I50233" s="137" t="s">
        <v>74</v>
      </c>
    </row>
    <row r="50234" spans="9:9" x14ac:dyDescent="0.2">
      <c r="I50234" s="137" t="s">
        <v>74</v>
      </c>
    </row>
    <row r="50235" spans="9:9" x14ac:dyDescent="0.2">
      <c r="I50235" s="137" t="s">
        <v>74</v>
      </c>
    </row>
    <row r="50236" spans="9:9" x14ac:dyDescent="0.2">
      <c r="I50236" s="137" t="s">
        <v>74</v>
      </c>
    </row>
    <row r="50237" spans="9:9" x14ac:dyDescent="0.2">
      <c r="I50237" s="137" t="s">
        <v>74</v>
      </c>
    </row>
    <row r="50238" spans="9:9" x14ac:dyDescent="0.2">
      <c r="I50238" s="137" t="s">
        <v>74</v>
      </c>
    </row>
    <row r="50239" spans="9:9" x14ac:dyDescent="0.2">
      <c r="I50239" s="137" t="s">
        <v>74</v>
      </c>
    </row>
    <row r="50240" spans="9:9" x14ac:dyDescent="0.2">
      <c r="I50240" s="137" t="s">
        <v>74</v>
      </c>
    </row>
    <row r="50241" spans="9:9" x14ac:dyDescent="0.2">
      <c r="I50241" s="137" t="s">
        <v>74</v>
      </c>
    </row>
    <row r="50242" spans="9:9" x14ac:dyDescent="0.2">
      <c r="I50242" s="137" t="s">
        <v>74</v>
      </c>
    </row>
    <row r="50243" spans="9:9" x14ac:dyDescent="0.2">
      <c r="I50243" s="137" t="s">
        <v>74</v>
      </c>
    </row>
    <row r="50244" spans="9:9" x14ac:dyDescent="0.2">
      <c r="I50244" s="137" t="s">
        <v>74</v>
      </c>
    </row>
    <row r="50245" spans="9:9" x14ac:dyDescent="0.2">
      <c r="I50245" s="137" t="s">
        <v>74</v>
      </c>
    </row>
    <row r="50246" spans="9:9" x14ac:dyDescent="0.2">
      <c r="I50246" s="137" t="s">
        <v>74</v>
      </c>
    </row>
    <row r="50247" spans="9:9" x14ac:dyDescent="0.2">
      <c r="I50247" s="137" t="s">
        <v>74</v>
      </c>
    </row>
    <row r="50248" spans="9:9" x14ac:dyDescent="0.2">
      <c r="I50248" s="137" t="s">
        <v>74</v>
      </c>
    </row>
    <row r="50249" spans="9:9" x14ac:dyDescent="0.2">
      <c r="I50249" s="137" t="s">
        <v>74</v>
      </c>
    </row>
    <row r="50250" spans="9:9" x14ac:dyDescent="0.2">
      <c r="I50250" s="137" t="s">
        <v>74</v>
      </c>
    </row>
    <row r="50251" spans="9:9" x14ac:dyDescent="0.2">
      <c r="I50251" s="137" t="s">
        <v>74</v>
      </c>
    </row>
    <row r="50252" spans="9:9" x14ac:dyDescent="0.2">
      <c r="I50252" s="137" t="s">
        <v>74</v>
      </c>
    </row>
    <row r="50253" spans="9:9" x14ac:dyDescent="0.2">
      <c r="I50253" s="137" t="s">
        <v>74</v>
      </c>
    </row>
    <row r="50254" spans="9:9" x14ac:dyDescent="0.2">
      <c r="I50254" s="137" t="s">
        <v>74</v>
      </c>
    </row>
    <row r="50255" spans="9:9" x14ac:dyDescent="0.2">
      <c r="I50255" s="137" t="s">
        <v>74</v>
      </c>
    </row>
    <row r="50256" spans="9:9" x14ac:dyDescent="0.2">
      <c r="I50256" s="137" t="s">
        <v>74</v>
      </c>
    </row>
    <row r="50257" spans="9:9" x14ac:dyDescent="0.2">
      <c r="I50257" s="137" t="s">
        <v>74</v>
      </c>
    </row>
    <row r="50258" spans="9:9" x14ac:dyDescent="0.2">
      <c r="I50258" s="137" t="s">
        <v>74</v>
      </c>
    </row>
    <row r="50259" spans="9:9" x14ac:dyDescent="0.2">
      <c r="I50259" s="137" t="s">
        <v>74</v>
      </c>
    </row>
    <row r="50260" spans="9:9" x14ac:dyDescent="0.2">
      <c r="I50260" s="137" t="s">
        <v>74</v>
      </c>
    </row>
    <row r="50261" spans="9:9" x14ac:dyDescent="0.2">
      <c r="I50261" s="137" t="s">
        <v>74</v>
      </c>
    </row>
    <row r="50262" spans="9:9" x14ac:dyDescent="0.2">
      <c r="I50262" s="137" t="s">
        <v>74</v>
      </c>
    </row>
    <row r="50263" spans="9:9" x14ac:dyDescent="0.2">
      <c r="I50263" s="137" t="s">
        <v>74</v>
      </c>
    </row>
    <row r="50264" spans="9:9" x14ac:dyDescent="0.2">
      <c r="I50264" s="137" t="s">
        <v>74</v>
      </c>
    </row>
    <row r="50265" spans="9:9" x14ac:dyDescent="0.2">
      <c r="I50265" s="137" t="s">
        <v>74</v>
      </c>
    </row>
    <row r="50266" spans="9:9" x14ac:dyDescent="0.2">
      <c r="I50266" s="137" t="s">
        <v>74</v>
      </c>
    </row>
    <row r="50267" spans="9:9" x14ac:dyDescent="0.2">
      <c r="I50267" s="137" t="s">
        <v>74</v>
      </c>
    </row>
    <row r="50268" spans="9:9" x14ac:dyDescent="0.2">
      <c r="I50268" s="137" t="s">
        <v>74</v>
      </c>
    </row>
    <row r="50269" spans="9:9" x14ac:dyDescent="0.2">
      <c r="I50269" s="137" t="s">
        <v>74</v>
      </c>
    </row>
    <row r="50270" spans="9:9" x14ac:dyDescent="0.2">
      <c r="I50270" s="137" t="s">
        <v>74</v>
      </c>
    </row>
    <row r="50271" spans="9:9" x14ac:dyDescent="0.2">
      <c r="I50271" s="137" t="s">
        <v>74</v>
      </c>
    </row>
    <row r="50272" spans="9:9" x14ac:dyDescent="0.2">
      <c r="I50272" s="137" t="s">
        <v>74</v>
      </c>
    </row>
    <row r="50273" spans="9:9" x14ac:dyDescent="0.2">
      <c r="I50273" s="137" t="s">
        <v>74</v>
      </c>
    </row>
    <row r="50274" spans="9:9" x14ac:dyDescent="0.2">
      <c r="I50274" s="137" t="s">
        <v>74</v>
      </c>
    </row>
    <row r="50275" spans="9:9" x14ac:dyDescent="0.2">
      <c r="I50275" s="137" t="s">
        <v>74</v>
      </c>
    </row>
    <row r="50276" spans="9:9" x14ac:dyDescent="0.2">
      <c r="I50276" s="137" t="s">
        <v>74</v>
      </c>
    </row>
    <row r="50277" spans="9:9" x14ac:dyDescent="0.2">
      <c r="I50277" s="137" t="s">
        <v>74</v>
      </c>
    </row>
    <row r="50278" spans="9:9" x14ac:dyDescent="0.2">
      <c r="I50278" s="137" t="s">
        <v>74</v>
      </c>
    </row>
    <row r="50279" spans="9:9" x14ac:dyDescent="0.2">
      <c r="I50279" s="137" t="s">
        <v>74</v>
      </c>
    </row>
    <row r="50280" spans="9:9" x14ac:dyDescent="0.2">
      <c r="I50280" s="137" t="s">
        <v>74</v>
      </c>
    </row>
    <row r="50281" spans="9:9" x14ac:dyDescent="0.2">
      <c r="I50281" s="137" t="s">
        <v>74</v>
      </c>
    </row>
    <row r="50282" spans="9:9" x14ac:dyDescent="0.2">
      <c r="I50282" s="137" t="s">
        <v>74</v>
      </c>
    </row>
    <row r="50283" spans="9:9" x14ac:dyDescent="0.2">
      <c r="I50283" s="137" t="s">
        <v>74</v>
      </c>
    </row>
    <row r="50284" spans="9:9" x14ac:dyDescent="0.2">
      <c r="I50284" s="137" t="s">
        <v>74</v>
      </c>
    </row>
    <row r="50285" spans="9:9" x14ac:dyDescent="0.2">
      <c r="I50285" s="137" t="s">
        <v>74</v>
      </c>
    </row>
    <row r="50286" spans="9:9" x14ac:dyDescent="0.2">
      <c r="I50286" s="137" t="s">
        <v>74</v>
      </c>
    </row>
    <row r="50287" spans="9:9" x14ac:dyDescent="0.2">
      <c r="I50287" s="137" t="s">
        <v>74</v>
      </c>
    </row>
    <row r="50288" spans="9:9" x14ac:dyDescent="0.2">
      <c r="I50288" s="137" t="s">
        <v>74</v>
      </c>
    </row>
    <row r="50289" spans="9:9" x14ac:dyDescent="0.2">
      <c r="I50289" s="137" t="s">
        <v>74</v>
      </c>
    </row>
    <row r="50290" spans="9:9" x14ac:dyDescent="0.2">
      <c r="I50290" s="137" t="s">
        <v>74</v>
      </c>
    </row>
    <row r="50291" spans="9:9" x14ac:dyDescent="0.2">
      <c r="I50291" s="137" t="s">
        <v>74</v>
      </c>
    </row>
    <row r="50292" spans="9:9" x14ac:dyDescent="0.2">
      <c r="I50292" s="137" t="s">
        <v>74</v>
      </c>
    </row>
    <row r="50293" spans="9:9" x14ac:dyDescent="0.2">
      <c r="I50293" s="137" t="s">
        <v>74</v>
      </c>
    </row>
    <row r="50294" spans="9:9" x14ac:dyDescent="0.2">
      <c r="I50294" s="137" t="s">
        <v>74</v>
      </c>
    </row>
    <row r="50295" spans="9:9" x14ac:dyDescent="0.2">
      <c r="I50295" s="137" t="s">
        <v>74</v>
      </c>
    </row>
    <row r="50296" spans="9:9" x14ac:dyDescent="0.2">
      <c r="I50296" s="137" t="s">
        <v>74</v>
      </c>
    </row>
    <row r="50297" spans="9:9" x14ac:dyDescent="0.2">
      <c r="I50297" s="137" t="s">
        <v>74</v>
      </c>
    </row>
    <row r="50298" spans="9:9" x14ac:dyDescent="0.2">
      <c r="I50298" s="137" t="s">
        <v>74</v>
      </c>
    </row>
    <row r="50299" spans="9:9" x14ac:dyDescent="0.2">
      <c r="I50299" s="137" t="s">
        <v>74</v>
      </c>
    </row>
    <row r="50300" spans="9:9" x14ac:dyDescent="0.2">
      <c r="I50300" s="137" t="s">
        <v>74</v>
      </c>
    </row>
    <row r="50301" spans="9:9" x14ac:dyDescent="0.2">
      <c r="I50301" s="137" t="s">
        <v>74</v>
      </c>
    </row>
    <row r="50302" spans="9:9" x14ac:dyDescent="0.2">
      <c r="I50302" s="137" t="s">
        <v>74</v>
      </c>
    </row>
    <row r="50303" spans="9:9" x14ac:dyDescent="0.2">
      <c r="I50303" s="137" t="s">
        <v>74</v>
      </c>
    </row>
    <row r="50304" spans="9:9" x14ac:dyDescent="0.2">
      <c r="I50304" s="137" t="s">
        <v>74</v>
      </c>
    </row>
    <row r="50305" spans="9:9" x14ac:dyDescent="0.2">
      <c r="I50305" s="137" t="s">
        <v>74</v>
      </c>
    </row>
    <row r="50306" spans="9:9" x14ac:dyDescent="0.2">
      <c r="I50306" s="137" t="s">
        <v>74</v>
      </c>
    </row>
    <row r="50307" spans="9:9" x14ac:dyDescent="0.2">
      <c r="I50307" s="137" t="s">
        <v>74</v>
      </c>
    </row>
    <row r="50308" spans="9:9" x14ac:dyDescent="0.2">
      <c r="I50308" s="137" t="s">
        <v>74</v>
      </c>
    </row>
    <row r="50309" spans="9:9" x14ac:dyDescent="0.2">
      <c r="I50309" s="137" t="s">
        <v>74</v>
      </c>
    </row>
    <row r="50310" spans="9:9" x14ac:dyDescent="0.2">
      <c r="I50310" s="137" t="s">
        <v>74</v>
      </c>
    </row>
    <row r="50311" spans="9:9" x14ac:dyDescent="0.2">
      <c r="I50311" s="137" t="s">
        <v>74</v>
      </c>
    </row>
    <row r="50312" spans="9:9" x14ac:dyDescent="0.2">
      <c r="I50312" s="137" t="s">
        <v>74</v>
      </c>
    </row>
    <row r="50313" spans="9:9" x14ac:dyDescent="0.2">
      <c r="I50313" s="137" t="s">
        <v>74</v>
      </c>
    </row>
    <row r="50314" spans="9:9" x14ac:dyDescent="0.2">
      <c r="I50314" s="137" t="s">
        <v>74</v>
      </c>
    </row>
    <row r="50315" spans="9:9" x14ac:dyDescent="0.2">
      <c r="I50315" s="137" t="s">
        <v>74</v>
      </c>
    </row>
    <row r="50316" spans="9:9" x14ac:dyDescent="0.2">
      <c r="I50316" s="137" t="s">
        <v>74</v>
      </c>
    </row>
    <row r="50317" spans="9:9" x14ac:dyDescent="0.2">
      <c r="I50317" s="137" t="s">
        <v>74</v>
      </c>
    </row>
    <row r="50318" spans="9:9" x14ac:dyDescent="0.2">
      <c r="I50318" s="137" t="s">
        <v>74</v>
      </c>
    </row>
    <row r="50319" spans="9:9" x14ac:dyDescent="0.2">
      <c r="I50319" s="137" t="s">
        <v>74</v>
      </c>
    </row>
    <row r="50320" spans="9:9" x14ac:dyDescent="0.2">
      <c r="I50320" s="137" t="s">
        <v>74</v>
      </c>
    </row>
    <row r="50321" spans="9:9" x14ac:dyDescent="0.2">
      <c r="I50321" s="137" t="s">
        <v>74</v>
      </c>
    </row>
    <row r="50322" spans="9:9" x14ac:dyDescent="0.2">
      <c r="I50322" s="137" t="s">
        <v>74</v>
      </c>
    </row>
    <row r="50323" spans="9:9" x14ac:dyDescent="0.2">
      <c r="I50323" s="137" t="s">
        <v>74</v>
      </c>
    </row>
    <row r="50324" spans="9:9" x14ac:dyDescent="0.2">
      <c r="I50324" s="137" t="s">
        <v>74</v>
      </c>
    </row>
    <row r="50325" spans="9:9" x14ac:dyDescent="0.2">
      <c r="I50325" s="137" t="s">
        <v>74</v>
      </c>
    </row>
    <row r="50326" spans="9:9" x14ac:dyDescent="0.2">
      <c r="I50326" s="137" t="s">
        <v>74</v>
      </c>
    </row>
    <row r="50327" spans="9:9" x14ac:dyDescent="0.2">
      <c r="I50327" s="137" t="s">
        <v>74</v>
      </c>
    </row>
    <row r="50328" spans="9:9" x14ac:dyDescent="0.2">
      <c r="I50328" s="137" t="s">
        <v>74</v>
      </c>
    </row>
    <row r="50329" spans="9:9" x14ac:dyDescent="0.2">
      <c r="I50329" s="137" t="s">
        <v>74</v>
      </c>
    </row>
    <row r="50330" spans="9:9" x14ac:dyDescent="0.2">
      <c r="I50330" s="137" t="s">
        <v>74</v>
      </c>
    </row>
    <row r="50331" spans="9:9" x14ac:dyDescent="0.2">
      <c r="I50331" s="137" t="s">
        <v>74</v>
      </c>
    </row>
    <row r="50332" spans="9:9" x14ac:dyDescent="0.2">
      <c r="I50332" s="137" t="s">
        <v>74</v>
      </c>
    </row>
    <row r="50333" spans="9:9" x14ac:dyDescent="0.2">
      <c r="I50333" s="137" t="s">
        <v>74</v>
      </c>
    </row>
    <row r="50334" spans="9:9" x14ac:dyDescent="0.2">
      <c r="I50334" s="137" t="s">
        <v>74</v>
      </c>
    </row>
    <row r="50335" spans="9:9" x14ac:dyDescent="0.2">
      <c r="I50335" s="137" t="s">
        <v>74</v>
      </c>
    </row>
    <row r="50336" spans="9:9" x14ac:dyDescent="0.2">
      <c r="I50336" s="137" t="s">
        <v>74</v>
      </c>
    </row>
    <row r="50337" spans="9:9" x14ac:dyDescent="0.2">
      <c r="I50337" s="137" t="s">
        <v>74</v>
      </c>
    </row>
    <row r="50338" spans="9:9" x14ac:dyDescent="0.2">
      <c r="I50338" s="137" t="s">
        <v>74</v>
      </c>
    </row>
    <row r="50339" spans="9:9" x14ac:dyDescent="0.2">
      <c r="I50339" s="137" t="s">
        <v>74</v>
      </c>
    </row>
    <row r="50340" spans="9:9" x14ac:dyDescent="0.2">
      <c r="I50340" s="137" t="s">
        <v>74</v>
      </c>
    </row>
    <row r="50341" spans="9:9" x14ac:dyDescent="0.2">
      <c r="I50341" s="137" t="s">
        <v>74</v>
      </c>
    </row>
    <row r="50342" spans="9:9" x14ac:dyDescent="0.2">
      <c r="I50342" s="137" t="s">
        <v>74</v>
      </c>
    </row>
    <row r="50343" spans="9:9" x14ac:dyDescent="0.2">
      <c r="I50343" s="137" t="s">
        <v>74</v>
      </c>
    </row>
    <row r="50344" spans="9:9" x14ac:dyDescent="0.2">
      <c r="I50344" s="137" t="s">
        <v>74</v>
      </c>
    </row>
    <row r="50345" spans="9:9" x14ac:dyDescent="0.2">
      <c r="I50345" s="137" t="s">
        <v>74</v>
      </c>
    </row>
    <row r="50346" spans="9:9" x14ac:dyDescent="0.2">
      <c r="I50346" s="137" t="s">
        <v>74</v>
      </c>
    </row>
    <row r="50347" spans="9:9" x14ac:dyDescent="0.2">
      <c r="I50347" s="137" t="s">
        <v>74</v>
      </c>
    </row>
    <row r="50348" spans="9:9" x14ac:dyDescent="0.2">
      <c r="I50348" s="137" t="s">
        <v>74</v>
      </c>
    </row>
    <row r="50349" spans="9:9" x14ac:dyDescent="0.2">
      <c r="I50349" s="137" t="s">
        <v>74</v>
      </c>
    </row>
    <row r="50350" spans="9:9" x14ac:dyDescent="0.2">
      <c r="I50350" s="137" t="s">
        <v>74</v>
      </c>
    </row>
    <row r="50351" spans="9:9" x14ac:dyDescent="0.2">
      <c r="I50351" s="137" t="s">
        <v>74</v>
      </c>
    </row>
    <row r="50352" spans="9:9" x14ac:dyDescent="0.2">
      <c r="I50352" s="137" t="s">
        <v>74</v>
      </c>
    </row>
    <row r="50353" spans="9:9" x14ac:dyDescent="0.2">
      <c r="I50353" s="137" t="s">
        <v>74</v>
      </c>
    </row>
    <row r="50354" spans="9:9" x14ac:dyDescent="0.2">
      <c r="I50354" s="137" t="s">
        <v>74</v>
      </c>
    </row>
    <row r="50355" spans="9:9" x14ac:dyDescent="0.2">
      <c r="I50355" s="137" t="s">
        <v>74</v>
      </c>
    </row>
    <row r="50356" spans="9:9" x14ac:dyDescent="0.2">
      <c r="I50356" s="137" t="s">
        <v>74</v>
      </c>
    </row>
    <row r="50357" spans="9:9" x14ac:dyDescent="0.2">
      <c r="I50357" s="137" t="s">
        <v>74</v>
      </c>
    </row>
    <row r="50358" spans="9:9" x14ac:dyDescent="0.2">
      <c r="I50358" s="137" t="s">
        <v>74</v>
      </c>
    </row>
    <row r="50359" spans="9:9" x14ac:dyDescent="0.2">
      <c r="I50359" s="137" t="s">
        <v>74</v>
      </c>
    </row>
    <row r="50360" spans="9:9" x14ac:dyDescent="0.2">
      <c r="I50360" s="137" t="s">
        <v>74</v>
      </c>
    </row>
    <row r="50361" spans="9:9" x14ac:dyDescent="0.2">
      <c r="I50361" s="137" t="s">
        <v>74</v>
      </c>
    </row>
    <row r="50362" spans="9:9" x14ac:dyDescent="0.2">
      <c r="I50362" s="137" t="s">
        <v>74</v>
      </c>
    </row>
    <row r="50363" spans="9:9" x14ac:dyDescent="0.2">
      <c r="I50363" s="137" t="s">
        <v>74</v>
      </c>
    </row>
    <row r="50364" spans="9:9" x14ac:dyDescent="0.2">
      <c r="I50364" s="137" t="s">
        <v>74</v>
      </c>
    </row>
    <row r="50365" spans="9:9" x14ac:dyDescent="0.2">
      <c r="I50365" s="137" t="s">
        <v>74</v>
      </c>
    </row>
    <row r="50366" spans="9:9" x14ac:dyDescent="0.2">
      <c r="I50366" s="137" t="s">
        <v>74</v>
      </c>
    </row>
    <row r="50367" spans="9:9" x14ac:dyDescent="0.2">
      <c r="I50367" s="137" t="s">
        <v>74</v>
      </c>
    </row>
    <row r="50368" spans="9:9" x14ac:dyDescent="0.2">
      <c r="I50368" s="137" t="s">
        <v>74</v>
      </c>
    </row>
    <row r="50369" spans="9:9" x14ac:dyDescent="0.2">
      <c r="I50369" s="137" t="s">
        <v>74</v>
      </c>
    </row>
    <row r="50370" spans="9:9" x14ac:dyDescent="0.2">
      <c r="I50370" s="137" t="s">
        <v>74</v>
      </c>
    </row>
    <row r="50371" spans="9:9" x14ac:dyDescent="0.2">
      <c r="I50371" s="137" t="s">
        <v>74</v>
      </c>
    </row>
    <row r="50372" spans="9:9" x14ac:dyDescent="0.2">
      <c r="I50372" s="137" t="s">
        <v>74</v>
      </c>
    </row>
    <row r="50373" spans="9:9" x14ac:dyDescent="0.2">
      <c r="I50373" s="137" t="s">
        <v>74</v>
      </c>
    </row>
    <row r="50374" spans="9:9" x14ac:dyDescent="0.2">
      <c r="I50374" s="137" t="s">
        <v>74</v>
      </c>
    </row>
    <row r="50375" spans="9:9" x14ac:dyDescent="0.2">
      <c r="I50375" s="137" t="s">
        <v>74</v>
      </c>
    </row>
    <row r="50376" spans="9:9" x14ac:dyDescent="0.2">
      <c r="I50376" s="137" t="s">
        <v>74</v>
      </c>
    </row>
    <row r="50377" spans="9:9" x14ac:dyDescent="0.2">
      <c r="I50377" s="137" t="s">
        <v>74</v>
      </c>
    </row>
    <row r="50378" spans="9:9" x14ac:dyDescent="0.2">
      <c r="I50378" s="137" t="s">
        <v>74</v>
      </c>
    </row>
    <row r="50379" spans="9:9" x14ac:dyDescent="0.2">
      <c r="I50379" s="137" t="s">
        <v>74</v>
      </c>
    </row>
    <row r="50380" spans="9:9" x14ac:dyDescent="0.2">
      <c r="I50380" s="137" t="s">
        <v>74</v>
      </c>
    </row>
    <row r="50381" spans="9:9" x14ac:dyDescent="0.2">
      <c r="I50381" s="137" t="s">
        <v>74</v>
      </c>
    </row>
    <row r="50382" spans="9:9" x14ac:dyDescent="0.2">
      <c r="I50382" s="137" t="s">
        <v>74</v>
      </c>
    </row>
    <row r="50383" spans="9:9" x14ac:dyDescent="0.2">
      <c r="I50383" s="137" t="s">
        <v>74</v>
      </c>
    </row>
    <row r="50384" spans="9:9" x14ac:dyDescent="0.2">
      <c r="I50384" s="137" t="s">
        <v>74</v>
      </c>
    </row>
    <row r="50385" spans="9:9" x14ac:dyDescent="0.2">
      <c r="I50385" s="137" t="s">
        <v>74</v>
      </c>
    </row>
    <row r="50386" spans="9:9" x14ac:dyDescent="0.2">
      <c r="I50386" s="137" t="s">
        <v>74</v>
      </c>
    </row>
    <row r="50387" spans="9:9" x14ac:dyDescent="0.2">
      <c r="I50387" s="137" t="s">
        <v>74</v>
      </c>
    </row>
    <row r="50388" spans="9:9" x14ac:dyDescent="0.2">
      <c r="I50388" s="137" t="s">
        <v>74</v>
      </c>
    </row>
    <row r="50389" spans="9:9" x14ac:dyDescent="0.2">
      <c r="I50389" s="137" t="s">
        <v>74</v>
      </c>
    </row>
    <row r="50390" spans="9:9" x14ac:dyDescent="0.2">
      <c r="I50390" s="137" t="s">
        <v>74</v>
      </c>
    </row>
    <row r="50391" spans="9:9" x14ac:dyDescent="0.2">
      <c r="I50391" s="137" t="s">
        <v>74</v>
      </c>
    </row>
    <row r="50392" spans="9:9" x14ac:dyDescent="0.2">
      <c r="I50392" s="137" t="s">
        <v>74</v>
      </c>
    </row>
    <row r="50393" spans="9:9" x14ac:dyDescent="0.2">
      <c r="I50393" s="137" t="s">
        <v>74</v>
      </c>
    </row>
    <row r="50394" spans="9:9" x14ac:dyDescent="0.2">
      <c r="I50394" s="137" t="s">
        <v>74</v>
      </c>
    </row>
    <row r="50395" spans="9:9" x14ac:dyDescent="0.2">
      <c r="I50395" s="137" t="s">
        <v>74</v>
      </c>
    </row>
    <row r="50396" spans="9:9" x14ac:dyDescent="0.2">
      <c r="I50396" s="137" t="s">
        <v>74</v>
      </c>
    </row>
    <row r="50397" spans="9:9" x14ac:dyDescent="0.2">
      <c r="I50397" s="137" t="s">
        <v>74</v>
      </c>
    </row>
    <row r="50398" spans="9:9" x14ac:dyDescent="0.2">
      <c r="I50398" s="137" t="s">
        <v>74</v>
      </c>
    </row>
    <row r="50399" spans="9:9" x14ac:dyDescent="0.2">
      <c r="I50399" s="137" t="s">
        <v>74</v>
      </c>
    </row>
    <row r="50400" spans="9:9" x14ac:dyDescent="0.2">
      <c r="I50400" s="137" t="s">
        <v>74</v>
      </c>
    </row>
    <row r="50401" spans="9:9" x14ac:dyDescent="0.2">
      <c r="I50401" s="137" t="s">
        <v>74</v>
      </c>
    </row>
    <row r="50402" spans="9:9" x14ac:dyDescent="0.2">
      <c r="I50402" s="137" t="s">
        <v>74</v>
      </c>
    </row>
    <row r="50403" spans="9:9" x14ac:dyDescent="0.2">
      <c r="I50403" s="137" t="s">
        <v>74</v>
      </c>
    </row>
    <row r="50404" spans="9:9" x14ac:dyDescent="0.2">
      <c r="I50404" s="137" t="s">
        <v>74</v>
      </c>
    </row>
    <row r="50405" spans="9:9" x14ac:dyDescent="0.2">
      <c r="I50405" s="137" t="s">
        <v>74</v>
      </c>
    </row>
    <row r="50406" spans="9:9" x14ac:dyDescent="0.2">
      <c r="I50406" s="137" t="s">
        <v>74</v>
      </c>
    </row>
    <row r="50407" spans="9:9" x14ac:dyDescent="0.2">
      <c r="I50407" s="137" t="s">
        <v>74</v>
      </c>
    </row>
    <row r="50408" spans="9:9" x14ac:dyDescent="0.2">
      <c r="I50408" s="137" t="s">
        <v>74</v>
      </c>
    </row>
    <row r="50409" spans="9:9" x14ac:dyDescent="0.2">
      <c r="I50409" s="137" t="s">
        <v>74</v>
      </c>
    </row>
    <row r="50410" spans="9:9" x14ac:dyDescent="0.2">
      <c r="I50410" s="137" t="s">
        <v>74</v>
      </c>
    </row>
    <row r="50411" spans="9:9" x14ac:dyDescent="0.2">
      <c r="I50411" s="137" t="s">
        <v>74</v>
      </c>
    </row>
    <row r="50412" spans="9:9" x14ac:dyDescent="0.2">
      <c r="I50412" s="137" t="s">
        <v>74</v>
      </c>
    </row>
    <row r="50413" spans="9:9" x14ac:dyDescent="0.2">
      <c r="I50413" s="137" t="s">
        <v>74</v>
      </c>
    </row>
    <row r="50414" spans="9:9" x14ac:dyDescent="0.2">
      <c r="I50414" s="137" t="s">
        <v>74</v>
      </c>
    </row>
    <row r="50415" spans="9:9" x14ac:dyDescent="0.2">
      <c r="I50415" s="137" t="s">
        <v>74</v>
      </c>
    </row>
    <row r="50416" spans="9:9" x14ac:dyDescent="0.2">
      <c r="I50416" s="137" t="s">
        <v>74</v>
      </c>
    </row>
    <row r="50417" spans="9:9" x14ac:dyDescent="0.2">
      <c r="I50417" s="137" t="s">
        <v>74</v>
      </c>
    </row>
    <row r="50418" spans="9:9" x14ac:dyDescent="0.2">
      <c r="I50418" s="137" t="s">
        <v>74</v>
      </c>
    </row>
    <row r="50419" spans="9:9" x14ac:dyDescent="0.2">
      <c r="I50419" s="137" t="s">
        <v>74</v>
      </c>
    </row>
    <row r="50420" spans="9:9" x14ac:dyDescent="0.2">
      <c r="I50420" s="137" t="s">
        <v>74</v>
      </c>
    </row>
    <row r="50421" spans="9:9" x14ac:dyDescent="0.2">
      <c r="I50421" s="137" t="s">
        <v>74</v>
      </c>
    </row>
    <row r="50422" spans="9:9" x14ac:dyDescent="0.2">
      <c r="I50422" s="137" t="s">
        <v>74</v>
      </c>
    </row>
    <row r="50423" spans="9:9" x14ac:dyDescent="0.2">
      <c r="I50423" s="137" t="s">
        <v>74</v>
      </c>
    </row>
    <row r="50424" spans="9:9" x14ac:dyDescent="0.2">
      <c r="I50424" s="137" t="s">
        <v>74</v>
      </c>
    </row>
    <row r="50425" spans="9:9" x14ac:dyDescent="0.2">
      <c r="I50425" s="137" t="s">
        <v>74</v>
      </c>
    </row>
    <row r="50426" spans="9:9" x14ac:dyDescent="0.2">
      <c r="I50426" s="137" t="s">
        <v>74</v>
      </c>
    </row>
    <row r="50427" spans="9:9" x14ac:dyDescent="0.2">
      <c r="I50427" s="137" t="s">
        <v>74</v>
      </c>
    </row>
    <row r="50428" spans="9:9" x14ac:dyDescent="0.2">
      <c r="I50428" s="137" t="s">
        <v>74</v>
      </c>
    </row>
    <row r="50429" spans="9:9" x14ac:dyDescent="0.2">
      <c r="I50429" s="137" t="s">
        <v>74</v>
      </c>
    </row>
    <row r="50430" spans="9:9" x14ac:dyDescent="0.2">
      <c r="I50430" s="137" t="s">
        <v>74</v>
      </c>
    </row>
    <row r="50431" spans="9:9" x14ac:dyDescent="0.2">
      <c r="I50431" s="137" t="s">
        <v>74</v>
      </c>
    </row>
    <row r="50432" spans="9:9" x14ac:dyDescent="0.2">
      <c r="I50432" s="137" t="s">
        <v>74</v>
      </c>
    </row>
    <row r="50433" spans="9:9" x14ac:dyDescent="0.2">
      <c r="I50433" s="137" t="s">
        <v>74</v>
      </c>
    </row>
    <row r="50434" spans="9:9" x14ac:dyDescent="0.2">
      <c r="I50434" s="137" t="s">
        <v>74</v>
      </c>
    </row>
    <row r="50435" spans="9:9" x14ac:dyDescent="0.2">
      <c r="I50435" s="137" t="s">
        <v>74</v>
      </c>
    </row>
    <row r="50436" spans="9:9" x14ac:dyDescent="0.2">
      <c r="I50436" s="137" t="s">
        <v>74</v>
      </c>
    </row>
    <row r="50437" spans="9:9" x14ac:dyDescent="0.2">
      <c r="I50437" s="137" t="s">
        <v>74</v>
      </c>
    </row>
    <row r="50438" spans="9:9" x14ac:dyDescent="0.2">
      <c r="I50438" s="137" t="s">
        <v>74</v>
      </c>
    </row>
    <row r="50439" spans="9:9" x14ac:dyDescent="0.2">
      <c r="I50439" s="137" t="s">
        <v>74</v>
      </c>
    </row>
    <row r="50440" spans="9:9" x14ac:dyDescent="0.2">
      <c r="I50440" s="137" t="s">
        <v>74</v>
      </c>
    </row>
    <row r="50441" spans="9:9" x14ac:dyDescent="0.2">
      <c r="I50441" s="137" t="s">
        <v>74</v>
      </c>
    </row>
    <row r="50442" spans="9:9" x14ac:dyDescent="0.2">
      <c r="I50442" s="137" t="s">
        <v>74</v>
      </c>
    </row>
    <row r="50443" spans="9:9" x14ac:dyDescent="0.2">
      <c r="I50443" s="137" t="s">
        <v>74</v>
      </c>
    </row>
    <row r="50444" spans="9:9" x14ac:dyDescent="0.2">
      <c r="I50444" s="137" t="s">
        <v>74</v>
      </c>
    </row>
    <row r="50445" spans="9:9" x14ac:dyDescent="0.2">
      <c r="I50445" s="137" t="s">
        <v>74</v>
      </c>
    </row>
    <row r="50446" spans="9:9" x14ac:dyDescent="0.2">
      <c r="I50446" s="137" t="s">
        <v>74</v>
      </c>
    </row>
    <row r="50447" spans="9:9" x14ac:dyDescent="0.2">
      <c r="I50447" s="137" t="s">
        <v>74</v>
      </c>
    </row>
    <row r="50448" spans="9:9" x14ac:dyDescent="0.2">
      <c r="I50448" s="137" t="s">
        <v>74</v>
      </c>
    </row>
    <row r="50449" spans="9:9" x14ac:dyDescent="0.2">
      <c r="I50449" s="137" t="s">
        <v>74</v>
      </c>
    </row>
    <row r="50450" spans="9:9" x14ac:dyDescent="0.2">
      <c r="I50450" s="137" t="s">
        <v>74</v>
      </c>
    </row>
    <row r="50451" spans="9:9" x14ac:dyDescent="0.2">
      <c r="I50451" s="137" t="s">
        <v>74</v>
      </c>
    </row>
    <row r="50452" spans="9:9" x14ac:dyDescent="0.2">
      <c r="I50452" s="137" t="s">
        <v>74</v>
      </c>
    </row>
    <row r="50453" spans="9:9" x14ac:dyDescent="0.2">
      <c r="I50453" s="137" t="s">
        <v>74</v>
      </c>
    </row>
    <row r="50454" spans="9:9" x14ac:dyDescent="0.2">
      <c r="I50454" s="137" t="s">
        <v>74</v>
      </c>
    </row>
    <row r="50455" spans="9:9" x14ac:dyDescent="0.2">
      <c r="I50455" s="137" t="s">
        <v>74</v>
      </c>
    </row>
    <row r="50456" spans="9:9" x14ac:dyDescent="0.2">
      <c r="I50456" s="137" t="s">
        <v>74</v>
      </c>
    </row>
    <row r="50457" spans="9:9" x14ac:dyDescent="0.2">
      <c r="I50457" s="137" t="s">
        <v>74</v>
      </c>
    </row>
    <row r="50458" spans="9:9" x14ac:dyDescent="0.2">
      <c r="I50458" s="137" t="s">
        <v>74</v>
      </c>
    </row>
    <row r="50459" spans="9:9" x14ac:dyDescent="0.2">
      <c r="I50459" s="137" t="s">
        <v>74</v>
      </c>
    </row>
    <row r="50460" spans="9:9" x14ac:dyDescent="0.2">
      <c r="I50460" s="137" t="s">
        <v>74</v>
      </c>
    </row>
    <row r="50461" spans="9:9" x14ac:dyDescent="0.2">
      <c r="I50461" s="137" t="s">
        <v>74</v>
      </c>
    </row>
    <row r="50462" spans="9:9" x14ac:dyDescent="0.2">
      <c r="I50462" s="137" t="s">
        <v>74</v>
      </c>
    </row>
    <row r="50463" spans="9:9" x14ac:dyDescent="0.2">
      <c r="I50463" s="137" t="s">
        <v>74</v>
      </c>
    </row>
    <row r="50464" spans="9:9" x14ac:dyDescent="0.2">
      <c r="I50464" s="137" t="s">
        <v>74</v>
      </c>
    </row>
    <row r="50465" spans="9:9" x14ac:dyDescent="0.2">
      <c r="I50465" s="137" t="s">
        <v>74</v>
      </c>
    </row>
    <row r="50466" spans="9:9" x14ac:dyDescent="0.2">
      <c r="I50466" s="137" t="s">
        <v>74</v>
      </c>
    </row>
    <row r="50467" spans="9:9" x14ac:dyDescent="0.2">
      <c r="I50467" s="137" t="s">
        <v>74</v>
      </c>
    </row>
    <row r="50468" spans="9:9" x14ac:dyDescent="0.2">
      <c r="I50468" s="137" t="s">
        <v>74</v>
      </c>
    </row>
    <row r="50469" spans="9:9" x14ac:dyDescent="0.2">
      <c r="I50469" s="137" t="s">
        <v>74</v>
      </c>
    </row>
    <row r="50470" spans="9:9" x14ac:dyDescent="0.2">
      <c r="I50470" s="137" t="s">
        <v>74</v>
      </c>
    </row>
    <row r="50471" spans="9:9" x14ac:dyDescent="0.2">
      <c r="I50471" s="137" t="s">
        <v>74</v>
      </c>
    </row>
    <row r="50472" spans="9:9" x14ac:dyDescent="0.2">
      <c r="I50472" s="137" t="s">
        <v>74</v>
      </c>
    </row>
    <row r="50473" spans="9:9" x14ac:dyDescent="0.2">
      <c r="I50473" s="137" t="s">
        <v>74</v>
      </c>
    </row>
    <row r="50474" spans="9:9" x14ac:dyDescent="0.2">
      <c r="I50474" s="137" t="s">
        <v>74</v>
      </c>
    </row>
    <row r="50475" spans="9:9" x14ac:dyDescent="0.2">
      <c r="I50475" s="137" t="s">
        <v>74</v>
      </c>
    </row>
    <row r="50476" spans="9:9" x14ac:dyDescent="0.2">
      <c r="I50476" s="137" t="s">
        <v>74</v>
      </c>
    </row>
    <row r="50477" spans="9:9" x14ac:dyDescent="0.2">
      <c r="I50477" s="137" t="s">
        <v>74</v>
      </c>
    </row>
    <row r="50478" spans="9:9" x14ac:dyDescent="0.2">
      <c r="I50478" s="137" t="s">
        <v>74</v>
      </c>
    </row>
    <row r="50479" spans="9:9" x14ac:dyDescent="0.2">
      <c r="I50479" s="137" t="s">
        <v>74</v>
      </c>
    </row>
    <row r="50480" spans="9:9" x14ac:dyDescent="0.2">
      <c r="I50480" s="137" t="s">
        <v>74</v>
      </c>
    </row>
    <row r="50481" spans="9:9" x14ac:dyDescent="0.2">
      <c r="I50481" s="137" t="s">
        <v>74</v>
      </c>
    </row>
    <row r="50482" spans="9:9" x14ac:dyDescent="0.2">
      <c r="I50482" s="137" t="s">
        <v>74</v>
      </c>
    </row>
    <row r="50483" spans="9:9" x14ac:dyDescent="0.2">
      <c r="I50483" s="137" t="s">
        <v>74</v>
      </c>
    </row>
    <row r="50484" spans="9:9" x14ac:dyDescent="0.2">
      <c r="I50484" s="137" t="s">
        <v>74</v>
      </c>
    </row>
    <row r="50485" spans="9:9" x14ac:dyDescent="0.2">
      <c r="I50485" s="137" t="s">
        <v>74</v>
      </c>
    </row>
    <row r="50486" spans="9:9" x14ac:dyDescent="0.2">
      <c r="I50486" s="137" t="s">
        <v>74</v>
      </c>
    </row>
    <row r="50487" spans="9:9" x14ac:dyDescent="0.2">
      <c r="I50487" s="137" t="s">
        <v>74</v>
      </c>
    </row>
    <row r="50488" spans="9:9" x14ac:dyDescent="0.2">
      <c r="I50488" s="137" t="s">
        <v>74</v>
      </c>
    </row>
    <row r="50489" spans="9:9" x14ac:dyDescent="0.2">
      <c r="I50489" s="137" t="s">
        <v>74</v>
      </c>
    </row>
    <row r="50490" spans="9:9" x14ac:dyDescent="0.2">
      <c r="I50490" s="137" t="s">
        <v>74</v>
      </c>
    </row>
    <row r="50491" spans="9:9" x14ac:dyDescent="0.2">
      <c r="I50491" s="137" t="s">
        <v>74</v>
      </c>
    </row>
    <row r="50492" spans="9:9" x14ac:dyDescent="0.2">
      <c r="I50492" s="137" t="s">
        <v>74</v>
      </c>
    </row>
    <row r="50493" spans="9:9" x14ac:dyDescent="0.2">
      <c r="I50493" s="137" t="s">
        <v>74</v>
      </c>
    </row>
    <row r="50494" spans="9:9" x14ac:dyDescent="0.2">
      <c r="I50494" s="137" t="s">
        <v>74</v>
      </c>
    </row>
    <row r="50495" spans="9:9" x14ac:dyDescent="0.2">
      <c r="I50495" s="137" t="s">
        <v>74</v>
      </c>
    </row>
    <row r="50496" spans="9:9" x14ac:dyDescent="0.2">
      <c r="I50496" s="137" t="s">
        <v>74</v>
      </c>
    </row>
    <row r="50497" spans="9:9" x14ac:dyDescent="0.2">
      <c r="I50497" s="137" t="s">
        <v>74</v>
      </c>
    </row>
    <row r="50498" spans="9:9" x14ac:dyDescent="0.2">
      <c r="I50498" s="137" t="s">
        <v>74</v>
      </c>
    </row>
    <row r="50499" spans="9:9" x14ac:dyDescent="0.2">
      <c r="I50499" s="137" t="s">
        <v>74</v>
      </c>
    </row>
    <row r="50500" spans="9:9" x14ac:dyDescent="0.2">
      <c r="I50500" s="137" t="s">
        <v>74</v>
      </c>
    </row>
    <row r="50501" spans="9:9" x14ac:dyDescent="0.2">
      <c r="I50501" s="137" t="s">
        <v>74</v>
      </c>
    </row>
    <row r="50502" spans="9:9" x14ac:dyDescent="0.2">
      <c r="I50502" s="137" t="s">
        <v>74</v>
      </c>
    </row>
    <row r="50503" spans="9:9" x14ac:dyDescent="0.2">
      <c r="I50503" s="137" t="s">
        <v>74</v>
      </c>
    </row>
    <row r="50504" spans="9:9" x14ac:dyDescent="0.2">
      <c r="I50504" s="137" t="s">
        <v>74</v>
      </c>
    </row>
    <row r="50505" spans="9:9" x14ac:dyDescent="0.2">
      <c r="I50505" s="137" t="s">
        <v>74</v>
      </c>
    </row>
    <row r="50506" spans="9:9" x14ac:dyDescent="0.2">
      <c r="I50506" s="137" t="s">
        <v>74</v>
      </c>
    </row>
    <row r="50507" spans="9:9" x14ac:dyDescent="0.2">
      <c r="I50507" s="137" t="s">
        <v>74</v>
      </c>
    </row>
    <row r="50508" spans="9:9" x14ac:dyDescent="0.2">
      <c r="I50508" s="137" t="s">
        <v>74</v>
      </c>
    </row>
    <row r="50509" spans="9:9" x14ac:dyDescent="0.2">
      <c r="I50509" s="137" t="s">
        <v>74</v>
      </c>
    </row>
    <row r="50510" spans="9:9" x14ac:dyDescent="0.2">
      <c r="I50510" s="137" t="s">
        <v>74</v>
      </c>
    </row>
    <row r="50511" spans="9:9" x14ac:dyDescent="0.2">
      <c r="I50511" s="137" t="s">
        <v>74</v>
      </c>
    </row>
    <row r="50512" spans="9:9" x14ac:dyDescent="0.2">
      <c r="I50512" s="137" t="s">
        <v>74</v>
      </c>
    </row>
    <row r="50513" spans="9:9" x14ac:dyDescent="0.2">
      <c r="I50513" s="137" t="s">
        <v>74</v>
      </c>
    </row>
    <row r="50514" spans="9:9" x14ac:dyDescent="0.2">
      <c r="I50514" s="137" t="s">
        <v>74</v>
      </c>
    </row>
    <row r="50515" spans="9:9" x14ac:dyDescent="0.2">
      <c r="I50515" s="137" t="s">
        <v>74</v>
      </c>
    </row>
    <row r="50516" spans="9:9" x14ac:dyDescent="0.2">
      <c r="I50516" s="137" t="s">
        <v>74</v>
      </c>
    </row>
    <row r="50517" spans="9:9" x14ac:dyDescent="0.2">
      <c r="I50517" s="137" t="s">
        <v>74</v>
      </c>
    </row>
    <row r="50518" spans="9:9" x14ac:dyDescent="0.2">
      <c r="I50518" s="137" t="s">
        <v>74</v>
      </c>
    </row>
    <row r="50519" spans="9:9" x14ac:dyDescent="0.2">
      <c r="I50519" s="137" t="s">
        <v>74</v>
      </c>
    </row>
    <row r="50520" spans="9:9" x14ac:dyDescent="0.2">
      <c r="I50520" s="137" t="s">
        <v>74</v>
      </c>
    </row>
    <row r="50521" spans="9:9" x14ac:dyDescent="0.2">
      <c r="I50521" s="137" t="s">
        <v>74</v>
      </c>
    </row>
    <row r="50522" spans="9:9" x14ac:dyDescent="0.2">
      <c r="I50522" s="137" t="s">
        <v>74</v>
      </c>
    </row>
    <row r="50523" spans="9:9" x14ac:dyDescent="0.2">
      <c r="I50523" s="137" t="s">
        <v>74</v>
      </c>
    </row>
    <row r="50524" spans="9:9" x14ac:dyDescent="0.2">
      <c r="I50524" s="137" t="s">
        <v>74</v>
      </c>
    </row>
    <row r="50525" spans="9:9" x14ac:dyDescent="0.2">
      <c r="I50525" s="137" t="s">
        <v>74</v>
      </c>
    </row>
    <row r="50526" spans="9:9" x14ac:dyDescent="0.2">
      <c r="I50526" s="137" t="s">
        <v>74</v>
      </c>
    </row>
    <row r="50527" spans="9:9" x14ac:dyDescent="0.2">
      <c r="I50527" s="137" t="s">
        <v>74</v>
      </c>
    </row>
    <row r="50528" spans="9:9" x14ac:dyDescent="0.2">
      <c r="I50528" s="137" t="s">
        <v>74</v>
      </c>
    </row>
    <row r="50529" spans="9:9" x14ac:dyDescent="0.2">
      <c r="I50529" s="137" t="s">
        <v>74</v>
      </c>
    </row>
    <row r="50530" spans="9:9" x14ac:dyDescent="0.2">
      <c r="I50530" s="137" t="s">
        <v>74</v>
      </c>
    </row>
    <row r="50531" spans="9:9" x14ac:dyDescent="0.2">
      <c r="I50531" s="137" t="s">
        <v>74</v>
      </c>
    </row>
    <row r="50532" spans="9:9" x14ac:dyDescent="0.2">
      <c r="I50532" s="137" t="s">
        <v>74</v>
      </c>
    </row>
    <row r="50533" spans="9:9" x14ac:dyDescent="0.2">
      <c r="I50533" s="137" t="s">
        <v>74</v>
      </c>
    </row>
    <row r="50534" spans="9:9" x14ac:dyDescent="0.2">
      <c r="I50534" s="137" t="s">
        <v>74</v>
      </c>
    </row>
    <row r="50535" spans="9:9" x14ac:dyDescent="0.2">
      <c r="I50535" s="137" t="s">
        <v>74</v>
      </c>
    </row>
    <row r="50536" spans="9:9" x14ac:dyDescent="0.2">
      <c r="I50536" s="137" t="s">
        <v>74</v>
      </c>
    </row>
    <row r="50537" spans="9:9" x14ac:dyDescent="0.2">
      <c r="I50537" s="137" t="s">
        <v>74</v>
      </c>
    </row>
    <row r="50538" spans="9:9" x14ac:dyDescent="0.2">
      <c r="I50538" s="137" t="s">
        <v>74</v>
      </c>
    </row>
    <row r="50539" spans="9:9" x14ac:dyDescent="0.2">
      <c r="I50539" s="137" t="s">
        <v>74</v>
      </c>
    </row>
    <row r="50540" spans="9:9" x14ac:dyDescent="0.2">
      <c r="I50540" s="137" t="s">
        <v>74</v>
      </c>
    </row>
    <row r="50541" spans="9:9" x14ac:dyDescent="0.2">
      <c r="I50541" s="137" t="s">
        <v>74</v>
      </c>
    </row>
    <row r="50542" spans="9:9" x14ac:dyDescent="0.2">
      <c r="I50542" s="137" t="s">
        <v>74</v>
      </c>
    </row>
    <row r="50543" spans="9:9" x14ac:dyDescent="0.2">
      <c r="I50543" s="137" t="s">
        <v>74</v>
      </c>
    </row>
    <row r="50544" spans="9:9" x14ac:dyDescent="0.2">
      <c r="I50544" s="137" t="s">
        <v>74</v>
      </c>
    </row>
    <row r="50545" spans="9:9" x14ac:dyDescent="0.2">
      <c r="I50545" s="137" t="s">
        <v>74</v>
      </c>
    </row>
    <row r="50546" spans="9:9" x14ac:dyDescent="0.2">
      <c r="I50546" s="137" t="s">
        <v>74</v>
      </c>
    </row>
    <row r="50547" spans="9:9" x14ac:dyDescent="0.2">
      <c r="I50547" s="137" t="s">
        <v>74</v>
      </c>
    </row>
    <row r="50548" spans="9:9" x14ac:dyDescent="0.2">
      <c r="I50548" s="137" t="s">
        <v>74</v>
      </c>
    </row>
    <row r="50549" spans="9:9" x14ac:dyDescent="0.2">
      <c r="I50549" s="137" t="s">
        <v>74</v>
      </c>
    </row>
    <row r="50550" spans="9:9" x14ac:dyDescent="0.2">
      <c r="I50550" s="137" t="s">
        <v>74</v>
      </c>
    </row>
    <row r="50551" spans="9:9" x14ac:dyDescent="0.2">
      <c r="I50551" s="137" t="s">
        <v>74</v>
      </c>
    </row>
    <row r="50552" spans="9:9" x14ac:dyDescent="0.2">
      <c r="I50552" s="137" t="s">
        <v>74</v>
      </c>
    </row>
    <row r="50553" spans="9:9" x14ac:dyDescent="0.2">
      <c r="I50553" s="137" t="s">
        <v>74</v>
      </c>
    </row>
    <row r="50554" spans="9:9" x14ac:dyDescent="0.2">
      <c r="I50554" s="137" t="s">
        <v>74</v>
      </c>
    </row>
    <row r="50555" spans="9:9" x14ac:dyDescent="0.2">
      <c r="I50555" s="137" t="s">
        <v>74</v>
      </c>
    </row>
    <row r="50556" spans="9:9" x14ac:dyDescent="0.2">
      <c r="I50556" s="137" t="s">
        <v>74</v>
      </c>
    </row>
    <row r="50557" spans="9:9" x14ac:dyDescent="0.2">
      <c r="I50557" s="137" t="s">
        <v>74</v>
      </c>
    </row>
    <row r="50558" spans="9:9" x14ac:dyDescent="0.2">
      <c r="I50558" s="137" t="s">
        <v>74</v>
      </c>
    </row>
    <row r="50559" spans="9:9" x14ac:dyDescent="0.2">
      <c r="I50559" s="137" t="s">
        <v>74</v>
      </c>
    </row>
    <row r="50560" spans="9:9" x14ac:dyDescent="0.2">
      <c r="I50560" s="137" t="s">
        <v>74</v>
      </c>
    </row>
    <row r="50561" spans="9:9" x14ac:dyDescent="0.2">
      <c r="I50561" s="137" t="s">
        <v>74</v>
      </c>
    </row>
    <row r="50562" spans="9:9" x14ac:dyDescent="0.2">
      <c r="I50562" s="137" t="s">
        <v>74</v>
      </c>
    </row>
    <row r="50563" spans="9:9" x14ac:dyDescent="0.2">
      <c r="I50563" s="137" t="s">
        <v>74</v>
      </c>
    </row>
    <row r="50564" spans="9:9" x14ac:dyDescent="0.2">
      <c r="I50564" s="137" t="s">
        <v>74</v>
      </c>
    </row>
    <row r="50565" spans="9:9" x14ac:dyDescent="0.2">
      <c r="I50565" s="137" t="s">
        <v>74</v>
      </c>
    </row>
    <row r="50566" spans="9:9" x14ac:dyDescent="0.2">
      <c r="I50566" s="137" t="s">
        <v>74</v>
      </c>
    </row>
    <row r="50567" spans="9:9" x14ac:dyDescent="0.2">
      <c r="I50567" s="137" t="s">
        <v>74</v>
      </c>
    </row>
    <row r="50568" spans="9:9" x14ac:dyDescent="0.2">
      <c r="I50568" s="137" t="s">
        <v>74</v>
      </c>
    </row>
    <row r="50569" spans="9:9" x14ac:dyDescent="0.2">
      <c r="I50569" s="137" t="s">
        <v>74</v>
      </c>
    </row>
    <row r="50570" spans="9:9" x14ac:dyDescent="0.2">
      <c r="I50570" s="137" t="s">
        <v>74</v>
      </c>
    </row>
    <row r="50571" spans="9:9" x14ac:dyDescent="0.2">
      <c r="I50571" s="137" t="s">
        <v>74</v>
      </c>
    </row>
    <row r="50572" spans="9:9" x14ac:dyDescent="0.2">
      <c r="I50572" s="137" t="s">
        <v>74</v>
      </c>
    </row>
    <row r="50573" spans="9:9" x14ac:dyDescent="0.2">
      <c r="I50573" s="137" t="s">
        <v>74</v>
      </c>
    </row>
    <row r="50574" spans="9:9" x14ac:dyDescent="0.2">
      <c r="I50574" s="137" t="s">
        <v>74</v>
      </c>
    </row>
    <row r="50575" spans="9:9" x14ac:dyDescent="0.2">
      <c r="I50575" s="137" t="s">
        <v>74</v>
      </c>
    </row>
    <row r="50576" spans="9:9" x14ac:dyDescent="0.2">
      <c r="I50576" s="137" t="s">
        <v>74</v>
      </c>
    </row>
    <row r="50577" spans="9:9" x14ac:dyDescent="0.2">
      <c r="I50577" s="137" t="s">
        <v>74</v>
      </c>
    </row>
    <row r="50578" spans="9:9" x14ac:dyDescent="0.2">
      <c r="I50578" s="137" t="s">
        <v>74</v>
      </c>
    </row>
    <row r="50579" spans="9:9" x14ac:dyDescent="0.2">
      <c r="I50579" s="137" t="s">
        <v>74</v>
      </c>
    </row>
    <row r="50580" spans="9:9" x14ac:dyDescent="0.2">
      <c r="I50580" s="137" t="s">
        <v>74</v>
      </c>
    </row>
    <row r="50581" spans="9:9" x14ac:dyDescent="0.2">
      <c r="I50581" s="137" t="s">
        <v>74</v>
      </c>
    </row>
    <row r="50582" spans="9:9" x14ac:dyDescent="0.2">
      <c r="I50582" s="137" t="s">
        <v>74</v>
      </c>
    </row>
    <row r="50583" spans="9:9" x14ac:dyDescent="0.2">
      <c r="I50583" s="137" t="s">
        <v>74</v>
      </c>
    </row>
    <row r="50584" spans="9:9" x14ac:dyDescent="0.2">
      <c r="I50584" s="137" t="s">
        <v>74</v>
      </c>
    </row>
    <row r="50585" spans="9:9" x14ac:dyDescent="0.2">
      <c r="I50585" s="137" t="s">
        <v>74</v>
      </c>
    </row>
    <row r="50586" spans="9:9" x14ac:dyDescent="0.2">
      <c r="I50586" s="137" t="s">
        <v>74</v>
      </c>
    </row>
    <row r="50587" spans="9:9" x14ac:dyDescent="0.2">
      <c r="I50587" s="137" t="s">
        <v>74</v>
      </c>
    </row>
    <row r="50588" spans="9:9" x14ac:dyDescent="0.2">
      <c r="I50588" s="137" t="s">
        <v>74</v>
      </c>
    </row>
    <row r="50589" spans="9:9" x14ac:dyDescent="0.2">
      <c r="I50589" s="137" t="s">
        <v>74</v>
      </c>
    </row>
    <row r="50590" spans="9:9" x14ac:dyDescent="0.2">
      <c r="I50590" s="137" t="s">
        <v>74</v>
      </c>
    </row>
    <row r="50591" spans="9:9" x14ac:dyDescent="0.2">
      <c r="I50591" s="137" t="s">
        <v>74</v>
      </c>
    </row>
    <row r="50592" spans="9:9" x14ac:dyDescent="0.2">
      <c r="I50592" s="137" t="s">
        <v>74</v>
      </c>
    </row>
    <row r="50593" spans="9:9" x14ac:dyDescent="0.2">
      <c r="I50593" s="137" t="s">
        <v>74</v>
      </c>
    </row>
    <row r="50594" spans="9:9" x14ac:dyDescent="0.2">
      <c r="I50594" s="137" t="s">
        <v>74</v>
      </c>
    </row>
    <row r="50595" spans="9:9" x14ac:dyDescent="0.2">
      <c r="I50595" s="137" t="s">
        <v>74</v>
      </c>
    </row>
    <row r="50596" spans="9:9" x14ac:dyDescent="0.2">
      <c r="I50596" s="137" t="s">
        <v>74</v>
      </c>
    </row>
    <row r="50597" spans="9:9" x14ac:dyDescent="0.2">
      <c r="I50597" s="137" t="s">
        <v>74</v>
      </c>
    </row>
    <row r="50598" spans="9:9" x14ac:dyDescent="0.2">
      <c r="I50598" s="137" t="s">
        <v>74</v>
      </c>
    </row>
    <row r="50599" spans="9:9" x14ac:dyDescent="0.2">
      <c r="I50599" s="137" t="s">
        <v>74</v>
      </c>
    </row>
    <row r="50600" spans="9:9" x14ac:dyDescent="0.2">
      <c r="I50600" s="137" t="s">
        <v>74</v>
      </c>
    </row>
    <row r="50601" spans="9:9" x14ac:dyDescent="0.2">
      <c r="I50601" s="137" t="s">
        <v>74</v>
      </c>
    </row>
    <row r="50602" spans="9:9" x14ac:dyDescent="0.2">
      <c r="I50602" s="137" t="s">
        <v>74</v>
      </c>
    </row>
    <row r="50603" spans="9:9" x14ac:dyDescent="0.2">
      <c r="I50603" s="137" t="s">
        <v>74</v>
      </c>
    </row>
    <row r="50604" spans="9:9" x14ac:dyDescent="0.2">
      <c r="I50604" s="137" t="s">
        <v>74</v>
      </c>
    </row>
    <row r="50605" spans="9:9" x14ac:dyDescent="0.2">
      <c r="I50605" s="137" t="s">
        <v>74</v>
      </c>
    </row>
    <row r="50606" spans="9:9" x14ac:dyDescent="0.2">
      <c r="I50606" s="137" t="s">
        <v>74</v>
      </c>
    </row>
    <row r="50607" spans="9:9" x14ac:dyDescent="0.2">
      <c r="I50607" s="137" t="s">
        <v>74</v>
      </c>
    </row>
    <row r="50608" spans="9:9" x14ac:dyDescent="0.2">
      <c r="I50608" s="137" t="s">
        <v>74</v>
      </c>
    </row>
    <row r="50609" spans="9:9" x14ac:dyDescent="0.2">
      <c r="I50609" s="137" t="s">
        <v>74</v>
      </c>
    </row>
    <row r="50610" spans="9:9" x14ac:dyDescent="0.2">
      <c r="I50610" s="137" t="s">
        <v>74</v>
      </c>
    </row>
    <row r="50611" spans="9:9" x14ac:dyDescent="0.2">
      <c r="I50611" s="137" t="s">
        <v>74</v>
      </c>
    </row>
    <row r="50612" spans="9:9" x14ac:dyDescent="0.2">
      <c r="I50612" s="137" t="s">
        <v>74</v>
      </c>
    </row>
    <row r="50613" spans="9:9" x14ac:dyDescent="0.2">
      <c r="I50613" s="137" t="s">
        <v>74</v>
      </c>
    </row>
    <row r="50614" spans="9:9" x14ac:dyDescent="0.2">
      <c r="I50614" s="137" t="s">
        <v>74</v>
      </c>
    </row>
    <row r="50615" spans="9:9" x14ac:dyDescent="0.2">
      <c r="I50615" s="137" t="s">
        <v>74</v>
      </c>
    </row>
    <row r="50616" spans="9:9" x14ac:dyDescent="0.2">
      <c r="I50616" s="137" t="s">
        <v>74</v>
      </c>
    </row>
    <row r="50617" spans="9:9" x14ac:dyDescent="0.2">
      <c r="I50617" s="137" t="s">
        <v>74</v>
      </c>
    </row>
    <row r="50618" spans="9:9" x14ac:dyDescent="0.2">
      <c r="I50618" s="137" t="s">
        <v>74</v>
      </c>
    </row>
    <row r="50619" spans="9:9" x14ac:dyDescent="0.2">
      <c r="I50619" s="137" t="s">
        <v>74</v>
      </c>
    </row>
    <row r="50620" spans="9:9" x14ac:dyDescent="0.2">
      <c r="I50620" s="137" t="s">
        <v>74</v>
      </c>
    </row>
    <row r="50621" spans="9:9" x14ac:dyDescent="0.2">
      <c r="I50621" s="137" t="s">
        <v>74</v>
      </c>
    </row>
    <row r="50622" spans="9:9" x14ac:dyDescent="0.2">
      <c r="I50622" s="137" t="s">
        <v>74</v>
      </c>
    </row>
    <row r="50623" spans="9:9" x14ac:dyDescent="0.2">
      <c r="I50623" s="137" t="s">
        <v>74</v>
      </c>
    </row>
    <row r="50624" spans="9:9" x14ac:dyDescent="0.2">
      <c r="I50624" s="137" t="s">
        <v>74</v>
      </c>
    </row>
    <row r="50625" spans="9:9" x14ac:dyDescent="0.2">
      <c r="I50625" s="137" t="s">
        <v>74</v>
      </c>
    </row>
    <row r="50626" spans="9:9" x14ac:dyDescent="0.2">
      <c r="I50626" s="137" t="s">
        <v>74</v>
      </c>
    </row>
    <row r="50627" spans="9:9" x14ac:dyDescent="0.2">
      <c r="I50627" s="137" t="s">
        <v>74</v>
      </c>
    </row>
    <row r="50628" spans="9:9" x14ac:dyDescent="0.2">
      <c r="I50628" s="137" t="s">
        <v>74</v>
      </c>
    </row>
    <row r="50629" spans="9:9" x14ac:dyDescent="0.2">
      <c r="I50629" s="137" t="s">
        <v>74</v>
      </c>
    </row>
    <row r="50630" spans="9:9" x14ac:dyDescent="0.2">
      <c r="I50630" s="137" t="s">
        <v>74</v>
      </c>
    </row>
    <row r="50631" spans="9:9" x14ac:dyDescent="0.2">
      <c r="I50631" s="137" t="s">
        <v>74</v>
      </c>
    </row>
    <row r="50632" spans="9:9" x14ac:dyDescent="0.2">
      <c r="I50632" s="137" t="s">
        <v>74</v>
      </c>
    </row>
    <row r="50633" spans="9:9" x14ac:dyDescent="0.2">
      <c r="I50633" s="137" t="s">
        <v>74</v>
      </c>
    </row>
    <row r="50634" spans="9:9" x14ac:dyDescent="0.2">
      <c r="I50634" s="137" t="s">
        <v>74</v>
      </c>
    </row>
    <row r="50635" spans="9:9" x14ac:dyDescent="0.2">
      <c r="I50635" s="137" t="s">
        <v>74</v>
      </c>
    </row>
    <row r="50636" spans="9:9" x14ac:dyDescent="0.2">
      <c r="I50636" s="137" t="s">
        <v>74</v>
      </c>
    </row>
    <row r="50637" spans="9:9" x14ac:dyDescent="0.2">
      <c r="I50637" s="137" t="s">
        <v>74</v>
      </c>
    </row>
    <row r="50638" spans="9:9" x14ac:dyDescent="0.2">
      <c r="I50638" s="137" t="s">
        <v>74</v>
      </c>
    </row>
    <row r="50639" spans="9:9" x14ac:dyDescent="0.2">
      <c r="I50639" s="137" t="s">
        <v>74</v>
      </c>
    </row>
    <row r="50640" spans="9:9" x14ac:dyDescent="0.2">
      <c r="I50640" s="137" t="s">
        <v>74</v>
      </c>
    </row>
    <row r="50641" spans="9:9" x14ac:dyDescent="0.2">
      <c r="I50641" s="137" t="s">
        <v>74</v>
      </c>
    </row>
    <row r="50642" spans="9:9" x14ac:dyDescent="0.2">
      <c r="I50642" s="137" t="s">
        <v>74</v>
      </c>
    </row>
    <row r="50643" spans="9:9" x14ac:dyDescent="0.2">
      <c r="I50643" s="137" t="s">
        <v>74</v>
      </c>
    </row>
    <row r="50644" spans="9:9" x14ac:dyDescent="0.2">
      <c r="I50644" s="137" t="s">
        <v>74</v>
      </c>
    </row>
    <row r="50645" spans="9:9" x14ac:dyDescent="0.2">
      <c r="I50645" s="137" t="s">
        <v>74</v>
      </c>
    </row>
    <row r="50646" spans="9:9" x14ac:dyDescent="0.2">
      <c r="I50646" s="137" t="s">
        <v>74</v>
      </c>
    </row>
    <row r="50647" spans="9:9" x14ac:dyDescent="0.2">
      <c r="I50647" s="137" t="s">
        <v>74</v>
      </c>
    </row>
    <row r="50648" spans="9:9" x14ac:dyDescent="0.2">
      <c r="I50648" s="137" t="s">
        <v>74</v>
      </c>
    </row>
    <row r="50649" spans="9:9" x14ac:dyDescent="0.2">
      <c r="I50649" s="137" t="s">
        <v>74</v>
      </c>
    </row>
    <row r="50650" spans="9:9" x14ac:dyDescent="0.2">
      <c r="I50650" s="137" t="s">
        <v>74</v>
      </c>
    </row>
    <row r="50651" spans="9:9" x14ac:dyDescent="0.2">
      <c r="I50651" s="137" t="s">
        <v>74</v>
      </c>
    </row>
    <row r="50652" spans="9:9" x14ac:dyDescent="0.2">
      <c r="I50652" s="137" t="s">
        <v>74</v>
      </c>
    </row>
    <row r="50653" spans="9:9" x14ac:dyDescent="0.2">
      <c r="I50653" s="137" t="s">
        <v>74</v>
      </c>
    </row>
    <row r="50654" spans="9:9" x14ac:dyDescent="0.2">
      <c r="I50654" s="137" t="s">
        <v>74</v>
      </c>
    </row>
    <row r="50655" spans="9:9" x14ac:dyDescent="0.2">
      <c r="I50655" s="137" t="s">
        <v>74</v>
      </c>
    </row>
    <row r="50656" spans="9:9" x14ac:dyDescent="0.2">
      <c r="I50656" s="137" t="s">
        <v>74</v>
      </c>
    </row>
    <row r="50657" spans="9:9" x14ac:dyDescent="0.2">
      <c r="I50657" s="137" t="s">
        <v>74</v>
      </c>
    </row>
    <row r="50658" spans="9:9" x14ac:dyDescent="0.2">
      <c r="I50658" s="137" t="s">
        <v>74</v>
      </c>
    </row>
    <row r="50659" spans="9:9" x14ac:dyDescent="0.2">
      <c r="I50659" s="137" t="s">
        <v>74</v>
      </c>
    </row>
    <row r="50660" spans="9:9" x14ac:dyDescent="0.2">
      <c r="I50660" s="137" t="s">
        <v>74</v>
      </c>
    </row>
    <row r="50661" spans="9:9" x14ac:dyDescent="0.2">
      <c r="I50661" s="137" t="s">
        <v>74</v>
      </c>
    </row>
    <row r="50662" spans="9:9" x14ac:dyDescent="0.2">
      <c r="I50662" s="137" t="s">
        <v>74</v>
      </c>
    </row>
    <row r="50663" spans="9:9" x14ac:dyDescent="0.2">
      <c r="I50663" s="137" t="s">
        <v>74</v>
      </c>
    </row>
    <row r="50664" spans="9:9" x14ac:dyDescent="0.2">
      <c r="I50664" s="137" t="s">
        <v>74</v>
      </c>
    </row>
    <row r="50665" spans="9:9" x14ac:dyDescent="0.2">
      <c r="I50665" s="137" t="s">
        <v>74</v>
      </c>
    </row>
    <row r="50666" spans="9:9" x14ac:dyDescent="0.2">
      <c r="I50666" s="137" t="s">
        <v>74</v>
      </c>
    </row>
    <row r="50667" spans="9:9" x14ac:dyDescent="0.2">
      <c r="I50667" s="137" t="s">
        <v>74</v>
      </c>
    </row>
    <row r="50668" spans="9:9" x14ac:dyDescent="0.2">
      <c r="I50668" s="137" t="s">
        <v>74</v>
      </c>
    </row>
    <row r="50669" spans="9:9" x14ac:dyDescent="0.2">
      <c r="I50669" s="137" t="s">
        <v>74</v>
      </c>
    </row>
    <row r="50670" spans="9:9" x14ac:dyDescent="0.2">
      <c r="I50670" s="137" t="s">
        <v>74</v>
      </c>
    </row>
    <row r="50671" spans="9:9" x14ac:dyDescent="0.2">
      <c r="I50671" s="137" t="s">
        <v>74</v>
      </c>
    </row>
    <row r="50672" spans="9:9" x14ac:dyDescent="0.2">
      <c r="I50672" s="137" t="s">
        <v>74</v>
      </c>
    </row>
    <row r="50673" spans="9:9" x14ac:dyDescent="0.2">
      <c r="I50673" s="137" t="s">
        <v>74</v>
      </c>
    </row>
    <row r="50674" spans="9:9" x14ac:dyDescent="0.2">
      <c r="I50674" s="137" t="s">
        <v>74</v>
      </c>
    </row>
    <row r="50675" spans="9:9" x14ac:dyDescent="0.2">
      <c r="I50675" s="137" t="s">
        <v>74</v>
      </c>
    </row>
    <row r="50676" spans="9:9" x14ac:dyDescent="0.2">
      <c r="I50676" s="137" t="s">
        <v>74</v>
      </c>
    </row>
    <row r="50677" spans="9:9" x14ac:dyDescent="0.2">
      <c r="I50677" s="137" t="s">
        <v>74</v>
      </c>
    </row>
    <row r="50678" spans="9:9" x14ac:dyDescent="0.2">
      <c r="I50678" s="137" t="s">
        <v>74</v>
      </c>
    </row>
    <row r="50679" spans="9:9" x14ac:dyDescent="0.2">
      <c r="I50679" s="137" t="s">
        <v>74</v>
      </c>
    </row>
    <row r="50680" spans="9:9" x14ac:dyDescent="0.2">
      <c r="I50680" s="137" t="s">
        <v>74</v>
      </c>
    </row>
    <row r="50681" spans="9:9" x14ac:dyDescent="0.2">
      <c r="I50681" s="137" t="s">
        <v>74</v>
      </c>
    </row>
    <row r="50682" spans="9:9" x14ac:dyDescent="0.2">
      <c r="I50682" s="137" t="s">
        <v>74</v>
      </c>
    </row>
    <row r="50683" spans="9:9" x14ac:dyDescent="0.2">
      <c r="I50683" s="137" t="s">
        <v>74</v>
      </c>
    </row>
    <row r="50684" spans="9:9" x14ac:dyDescent="0.2">
      <c r="I50684" s="137" t="s">
        <v>74</v>
      </c>
    </row>
    <row r="50685" spans="9:9" x14ac:dyDescent="0.2">
      <c r="I50685" s="137" t="s">
        <v>74</v>
      </c>
    </row>
    <row r="50686" spans="9:9" x14ac:dyDescent="0.2">
      <c r="I50686" s="137" t="s">
        <v>74</v>
      </c>
    </row>
    <row r="50687" spans="9:9" x14ac:dyDescent="0.2">
      <c r="I50687" s="137" t="s">
        <v>74</v>
      </c>
    </row>
    <row r="50688" spans="9:9" x14ac:dyDescent="0.2">
      <c r="I50688" s="137" t="s">
        <v>74</v>
      </c>
    </row>
    <row r="50689" spans="9:9" x14ac:dyDescent="0.2">
      <c r="I50689" s="137" t="s">
        <v>74</v>
      </c>
    </row>
    <row r="50690" spans="9:9" x14ac:dyDescent="0.2">
      <c r="I50690" s="137" t="s">
        <v>74</v>
      </c>
    </row>
    <row r="50691" spans="9:9" x14ac:dyDescent="0.2">
      <c r="I50691" s="137" t="s">
        <v>74</v>
      </c>
    </row>
    <row r="50692" spans="9:9" x14ac:dyDescent="0.2">
      <c r="I50692" s="137" t="s">
        <v>74</v>
      </c>
    </row>
    <row r="50693" spans="9:9" x14ac:dyDescent="0.2">
      <c r="I50693" s="137" t="s">
        <v>74</v>
      </c>
    </row>
    <row r="50694" spans="9:9" x14ac:dyDescent="0.2">
      <c r="I50694" s="137" t="s">
        <v>74</v>
      </c>
    </row>
    <row r="50695" spans="9:9" x14ac:dyDescent="0.2">
      <c r="I50695" s="137" t="s">
        <v>74</v>
      </c>
    </row>
    <row r="50696" spans="9:9" x14ac:dyDescent="0.2">
      <c r="I50696" s="137" t="s">
        <v>74</v>
      </c>
    </row>
    <row r="50697" spans="9:9" x14ac:dyDescent="0.2">
      <c r="I50697" s="137" t="s">
        <v>74</v>
      </c>
    </row>
    <row r="50698" spans="9:9" x14ac:dyDescent="0.2">
      <c r="I50698" s="137" t="s">
        <v>74</v>
      </c>
    </row>
    <row r="50699" spans="9:9" x14ac:dyDescent="0.2">
      <c r="I50699" s="137" t="s">
        <v>74</v>
      </c>
    </row>
    <row r="50700" spans="9:9" x14ac:dyDescent="0.2">
      <c r="I50700" s="137" t="s">
        <v>74</v>
      </c>
    </row>
    <row r="50701" spans="9:9" x14ac:dyDescent="0.2">
      <c r="I50701" s="137" t="s">
        <v>74</v>
      </c>
    </row>
    <row r="50702" spans="9:9" x14ac:dyDescent="0.2">
      <c r="I50702" s="137" t="s">
        <v>74</v>
      </c>
    </row>
    <row r="50703" spans="9:9" x14ac:dyDescent="0.2">
      <c r="I50703" s="137" t="s">
        <v>74</v>
      </c>
    </row>
    <row r="50704" spans="9:9" x14ac:dyDescent="0.2">
      <c r="I50704" s="137" t="s">
        <v>74</v>
      </c>
    </row>
    <row r="50705" spans="9:9" x14ac:dyDescent="0.2">
      <c r="I50705" s="137" t="s">
        <v>74</v>
      </c>
    </row>
    <row r="50706" spans="9:9" x14ac:dyDescent="0.2">
      <c r="I50706" s="137" t="s">
        <v>74</v>
      </c>
    </row>
    <row r="50707" spans="9:9" x14ac:dyDescent="0.2">
      <c r="I50707" s="137" t="s">
        <v>74</v>
      </c>
    </row>
    <row r="50708" spans="9:9" x14ac:dyDescent="0.2">
      <c r="I50708" s="137" t="s">
        <v>74</v>
      </c>
    </row>
    <row r="50709" spans="9:9" x14ac:dyDescent="0.2">
      <c r="I50709" s="137" t="s">
        <v>74</v>
      </c>
    </row>
    <row r="50710" spans="9:9" x14ac:dyDescent="0.2">
      <c r="I50710" s="137" t="s">
        <v>74</v>
      </c>
    </row>
    <row r="50711" spans="9:9" x14ac:dyDescent="0.2">
      <c r="I50711" s="137" t="s">
        <v>74</v>
      </c>
    </row>
    <row r="50712" spans="9:9" x14ac:dyDescent="0.2">
      <c r="I50712" s="137" t="s">
        <v>74</v>
      </c>
    </row>
    <row r="50713" spans="9:9" x14ac:dyDescent="0.2">
      <c r="I50713" s="137" t="s">
        <v>74</v>
      </c>
    </row>
    <row r="50714" spans="9:9" x14ac:dyDescent="0.2">
      <c r="I50714" s="137" t="s">
        <v>74</v>
      </c>
    </row>
    <row r="50715" spans="9:9" x14ac:dyDescent="0.2">
      <c r="I50715" s="137" t="s">
        <v>74</v>
      </c>
    </row>
    <row r="50716" spans="9:9" x14ac:dyDescent="0.2">
      <c r="I50716" s="137" t="s">
        <v>74</v>
      </c>
    </row>
    <row r="50717" spans="9:9" x14ac:dyDescent="0.2">
      <c r="I50717" s="137" t="s">
        <v>74</v>
      </c>
    </row>
    <row r="50718" spans="9:9" x14ac:dyDescent="0.2">
      <c r="I50718" s="137" t="s">
        <v>74</v>
      </c>
    </row>
    <row r="50719" spans="9:9" x14ac:dyDescent="0.2">
      <c r="I50719" s="137" t="s">
        <v>74</v>
      </c>
    </row>
    <row r="50720" spans="9:9" x14ac:dyDescent="0.2">
      <c r="I50720" s="137" t="s">
        <v>74</v>
      </c>
    </row>
    <row r="50721" spans="9:9" x14ac:dyDescent="0.2">
      <c r="I50721" s="137" t="s">
        <v>74</v>
      </c>
    </row>
    <row r="50722" spans="9:9" x14ac:dyDescent="0.2">
      <c r="I50722" s="137" t="s">
        <v>74</v>
      </c>
    </row>
    <row r="50723" spans="9:9" x14ac:dyDescent="0.2">
      <c r="I50723" s="137" t="s">
        <v>74</v>
      </c>
    </row>
    <row r="50724" spans="9:9" x14ac:dyDescent="0.2">
      <c r="I50724" s="137" t="s">
        <v>74</v>
      </c>
    </row>
    <row r="50725" spans="9:9" x14ac:dyDescent="0.2">
      <c r="I50725" s="137" t="s">
        <v>74</v>
      </c>
    </row>
    <row r="50726" spans="9:9" x14ac:dyDescent="0.2">
      <c r="I50726" s="137" t="s">
        <v>74</v>
      </c>
    </row>
    <row r="50727" spans="9:9" x14ac:dyDescent="0.2">
      <c r="I50727" s="137" t="s">
        <v>74</v>
      </c>
    </row>
    <row r="50728" spans="9:9" x14ac:dyDescent="0.2">
      <c r="I50728" s="137" t="s">
        <v>74</v>
      </c>
    </row>
    <row r="50729" spans="9:9" x14ac:dyDescent="0.2">
      <c r="I50729" s="137" t="s">
        <v>74</v>
      </c>
    </row>
    <row r="50730" spans="9:9" x14ac:dyDescent="0.2">
      <c r="I50730" s="137" t="s">
        <v>74</v>
      </c>
    </row>
    <row r="50731" spans="9:9" x14ac:dyDescent="0.2">
      <c r="I50731" s="137" t="s">
        <v>74</v>
      </c>
    </row>
    <row r="50732" spans="9:9" x14ac:dyDescent="0.2">
      <c r="I50732" s="137" t="s">
        <v>74</v>
      </c>
    </row>
    <row r="50733" spans="9:9" x14ac:dyDescent="0.2">
      <c r="I50733" s="137" t="s">
        <v>74</v>
      </c>
    </row>
    <row r="50734" spans="9:9" x14ac:dyDescent="0.2">
      <c r="I50734" s="137" t="s">
        <v>74</v>
      </c>
    </row>
    <row r="50735" spans="9:9" x14ac:dyDescent="0.2">
      <c r="I50735" s="137" t="s">
        <v>74</v>
      </c>
    </row>
    <row r="50736" spans="9:9" x14ac:dyDescent="0.2">
      <c r="I50736" s="137" t="s">
        <v>74</v>
      </c>
    </row>
    <row r="50737" spans="9:9" x14ac:dyDescent="0.2">
      <c r="I50737" s="137" t="s">
        <v>74</v>
      </c>
    </row>
    <row r="50738" spans="9:9" x14ac:dyDescent="0.2">
      <c r="I50738" s="137" t="s">
        <v>74</v>
      </c>
    </row>
    <row r="50739" spans="9:9" x14ac:dyDescent="0.2">
      <c r="I50739" s="137" t="s">
        <v>74</v>
      </c>
    </row>
    <row r="50740" spans="9:9" x14ac:dyDescent="0.2">
      <c r="I50740" s="137" t="s">
        <v>74</v>
      </c>
    </row>
    <row r="50741" spans="9:9" x14ac:dyDescent="0.2">
      <c r="I50741" s="137" t="s">
        <v>74</v>
      </c>
    </row>
    <row r="50742" spans="9:9" x14ac:dyDescent="0.2">
      <c r="I50742" s="137" t="s">
        <v>74</v>
      </c>
    </row>
    <row r="50743" spans="9:9" x14ac:dyDescent="0.2">
      <c r="I50743" s="137" t="s">
        <v>74</v>
      </c>
    </row>
    <row r="50744" spans="9:9" x14ac:dyDescent="0.2">
      <c r="I50744" s="137" t="s">
        <v>74</v>
      </c>
    </row>
    <row r="50745" spans="9:9" x14ac:dyDescent="0.2">
      <c r="I50745" s="137" t="s">
        <v>74</v>
      </c>
    </row>
    <row r="50746" spans="9:9" x14ac:dyDescent="0.2">
      <c r="I50746" s="137" t="s">
        <v>74</v>
      </c>
    </row>
    <row r="50747" spans="9:9" x14ac:dyDescent="0.2">
      <c r="I50747" s="137" t="s">
        <v>74</v>
      </c>
    </row>
    <row r="50748" spans="9:9" x14ac:dyDescent="0.2">
      <c r="I50748" s="137" t="s">
        <v>74</v>
      </c>
    </row>
    <row r="50749" spans="9:9" x14ac:dyDescent="0.2">
      <c r="I50749" s="137" t="s">
        <v>74</v>
      </c>
    </row>
    <row r="50750" spans="9:9" x14ac:dyDescent="0.2">
      <c r="I50750" s="137" t="s">
        <v>74</v>
      </c>
    </row>
    <row r="50751" spans="9:9" x14ac:dyDescent="0.2">
      <c r="I50751" s="137" t="s">
        <v>74</v>
      </c>
    </row>
    <row r="50752" spans="9:9" x14ac:dyDescent="0.2">
      <c r="I50752" s="137" t="s">
        <v>74</v>
      </c>
    </row>
    <row r="50753" spans="9:9" x14ac:dyDescent="0.2">
      <c r="I50753" s="137" t="s">
        <v>74</v>
      </c>
    </row>
    <row r="50754" spans="9:9" x14ac:dyDescent="0.2">
      <c r="I50754" s="137" t="s">
        <v>74</v>
      </c>
    </row>
    <row r="50755" spans="9:9" x14ac:dyDescent="0.2">
      <c r="I50755" s="137" t="s">
        <v>74</v>
      </c>
    </row>
    <row r="50756" spans="9:9" x14ac:dyDescent="0.2">
      <c r="I50756" s="137" t="s">
        <v>74</v>
      </c>
    </row>
    <row r="50757" spans="9:9" x14ac:dyDescent="0.2">
      <c r="I50757" s="137" t="s">
        <v>74</v>
      </c>
    </row>
    <row r="50758" spans="9:9" x14ac:dyDescent="0.2">
      <c r="I50758" s="137" t="s">
        <v>74</v>
      </c>
    </row>
    <row r="50759" spans="9:9" x14ac:dyDescent="0.2">
      <c r="I50759" s="137" t="s">
        <v>74</v>
      </c>
    </row>
    <row r="50760" spans="9:9" x14ac:dyDescent="0.2">
      <c r="I50760" s="137" t="s">
        <v>74</v>
      </c>
    </row>
    <row r="50761" spans="9:9" x14ac:dyDescent="0.2">
      <c r="I50761" s="137" t="s">
        <v>74</v>
      </c>
    </row>
    <row r="50762" spans="9:9" x14ac:dyDescent="0.2">
      <c r="I50762" s="137" t="s">
        <v>74</v>
      </c>
    </row>
    <row r="50763" spans="9:9" x14ac:dyDescent="0.2">
      <c r="I50763" s="137" t="s">
        <v>74</v>
      </c>
    </row>
    <row r="50764" spans="9:9" x14ac:dyDescent="0.2">
      <c r="I50764" s="137" t="s">
        <v>74</v>
      </c>
    </row>
    <row r="50765" spans="9:9" x14ac:dyDescent="0.2">
      <c r="I50765" s="137" t="s">
        <v>74</v>
      </c>
    </row>
    <row r="50766" spans="9:9" x14ac:dyDescent="0.2">
      <c r="I50766" s="137" t="s">
        <v>74</v>
      </c>
    </row>
    <row r="50767" spans="9:9" x14ac:dyDescent="0.2">
      <c r="I50767" s="137" t="s">
        <v>74</v>
      </c>
    </row>
    <row r="50768" spans="9:9" x14ac:dyDescent="0.2">
      <c r="I50768" s="137" t="s">
        <v>74</v>
      </c>
    </row>
    <row r="50769" spans="9:9" x14ac:dyDescent="0.2">
      <c r="I50769" s="137" t="s">
        <v>74</v>
      </c>
    </row>
    <row r="50770" spans="9:9" x14ac:dyDescent="0.2">
      <c r="I50770" s="137" t="s">
        <v>74</v>
      </c>
    </row>
    <row r="50771" spans="9:9" x14ac:dyDescent="0.2">
      <c r="I50771" s="137" t="s">
        <v>74</v>
      </c>
    </row>
    <row r="50772" spans="9:9" x14ac:dyDescent="0.2">
      <c r="I50772" s="137" t="s">
        <v>74</v>
      </c>
    </row>
    <row r="50773" spans="9:9" x14ac:dyDescent="0.2">
      <c r="I50773" s="137" t="s">
        <v>74</v>
      </c>
    </row>
    <row r="50774" spans="9:9" x14ac:dyDescent="0.2">
      <c r="I50774" s="137" t="s">
        <v>74</v>
      </c>
    </row>
    <row r="50775" spans="9:9" x14ac:dyDescent="0.2">
      <c r="I50775" s="137" t="s">
        <v>74</v>
      </c>
    </row>
    <row r="50776" spans="9:9" x14ac:dyDescent="0.2">
      <c r="I50776" s="137" t="s">
        <v>74</v>
      </c>
    </row>
    <row r="50777" spans="9:9" x14ac:dyDescent="0.2">
      <c r="I50777" s="137" t="s">
        <v>74</v>
      </c>
    </row>
    <row r="50778" spans="9:9" x14ac:dyDescent="0.2">
      <c r="I50778" s="137" t="s">
        <v>74</v>
      </c>
    </row>
    <row r="50779" spans="9:9" x14ac:dyDescent="0.2">
      <c r="I50779" s="137" t="s">
        <v>74</v>
      </c>
    </row>
    <row r="50780" spans="9:9" x14ac:dyDescent="0.2">
      <c r="I50780" s="137" t="s">
        <v>74</v>
      </c>
    </row>
    <row r="50781" spans="9:9" x14ac:dyDescent="0.2">
      <c r="I50781" s="137" t="s">
        <v>74</v>
      </c>
    </row>
    <row r="50782" spans="9:9" x14ac:dyDescent="0.2">
      <c r="I50782" s="137" t="s">
        <v>74</v>
      </c>
    </row>
    <row r="50783" spans="9:9" x14ac:dyDescent="0.2">
      <c r="I50783" s="137" t="s">
        <v>74</v>
      </c>
    </row>
    <row r="50784" spans="9:9" x14ac:dyDescent="0.2">
      <c r="I50784" s="137" t="s">
        <v>74</v>
      </c>
    </row>
    <row r="50785" spans="9:9" x14ac:dyDescent="0.2">
      <c r="I50785" s="137" t="s">
        <v>74</v>
      </c>
    </row>
    <row r="50786" spans="9:9" x14ac:dyDescent="0.2">
      <c r="I50786" s="137" t="s">
        <v>74</v>
      </c>
    </row>
    <row r="50787" spans="9:9" x14ac:dyDescent="0.2">
      <c r="I50787" s="137" t="s">
        <v>74</v>
      </c>
    </row>
    <row r="50788" spans="9:9" x14ac:dyDescent="0.2">
      <c r="I50788" s="137" t="s">
        <v>74</v>
      </c>
    </row>
    <row r="50789" spans="9:9" x14ac:dyDescent="0.2">
      <c r="I50789" s="137" t="s">
        <v>74</v>
      </c>
    </row>
    <row r="50790" spans="9:9" x14ac:dyDescent="0.2">
      <c r="I50790" s="137" t="s">
        <v>74</v>
      </c>
    </row>
    <row r="50791" spans="9:9" x14ac:dyDescent="0.2">
      <c r="I50791" s="137" t="s">
        <v>74</v>
      </c>
    </row>
    <row r="50792" spans="9:9" x14ac:dyDescent="0.2">
      <c r="I50792" s="137" t="s">
        <v>74</v>
      </c>
    </row>
    <row r="50793" spans="9:9" x14ac:dyDescent="0.2">
      <c r="I50793" s="137" t="s">
        <v>74</v>
      </c>
    </row>
    <row r="50794" spans="9:9" x14ac:dyDescent="0.2">
      <c r="I50794" s="137" t="s">
        <v>74</v>
      </c>
    </row>
    <row r="50795" spans="9:9" x14ac:dyDescent="0.2">
      <c r="I50795" s="137" t="s">
        <v>74</v>
      </c>
    </row>
    <row r="50796" spans="9:9" x14ac:dyDescent="0.2">
      <c r="I50796" s="137" t="s">
        <v>74</v>
      </c>
    </row>
    <row r="50797" spans="9:9" x14ac:dyDescent="0.2">
      <c r="I50797" s="137" t="s">
        <v>74</v>
      </c>
    </row>
    <row r="50798" spans="9:9" x14ac:dyDescent="0.2">
      <c r="I50798" s="137" t="s">
        <v>74</v>
      </c>
    </row>
    <row r="50799" spans="9:9" x14ac:dyDescent="0.2">
      <c r="I50799" s="137" t="s">
        <v>74</v>
      </c>
    </row>
    <row r="50800" spans="9:9" x14ac:dyDescent="0.2">
      <c r="I50800" s="137" t="s">
        <v>74</v>
      </c>
    </row>
    <row r="50801" spans="9:9" x14ac:dyDescent="0.2">
      <c r="I50801" s="137" t="s">
        <v>74</v>
      </c>
    </row>
    <row r="50802" spans="9:9" x14ac:dyDescent="0.2">
      <c r="I50802" s="137" t="s">
        <v>74</v>
      </c>
    </row>
    <row r="50803" spans="9:9" x14ac:dyDescent="0.2">
      <c r="I50803" s="137" t="s">
        <v>74</v>
      </c>
    </row>
    <row r="50804" spans="9:9" x14ac:dyDescent="0.2">
      <c r="I50804" s="137" t="s">
        <v>74</v>
      </c>
    </row>
    <row r="50805" spans="9:9" x14ac:dyDescent="0.2">
      <c r="I50805" s="137" t="s">
        <v>74</v>
      </c>
    </row>
    <row r="50806" spans="9:9" x14ac:dyDescent="0.2">
      <c r="I50806" s="137" t="s">
        <v>74</v>
      </c>
    </row>
    <row r="50807" spans="9:9" x14ac:dyDescent="0.2">
      <c r="I50807" s="137" t="s">
        <v>74</v>
      </c>
    </row>
    <row r="50808" spans="9:9" x14ac:dyDescent="0.2">
      <c r="I50808" s="137" t="s">
        <v>74</v>
      </c>
    </row>
    <row r="50809" spans="9:9" x14ac:dyDescent="0.2">
      <c r="I50809" s="137" t="s">
        <v>74</v>
      </c>
    </row>
    <row r="50810" spans="9:9" x14ac:dyDescent="0.2">
      <c r="I50810" s="137" t="s">
        <v>74</v>
      </c>
    </row>
    <row r="50811" spans="9:9" x14ac:dyDescent="0.2">
      <c r="I50811" s="137" t="s">
        <v>74</v>
      </c>
    </row>
    <row r="50812" spans="9:9" x14ac:dyDescent="0.2">
      <c r="I50812" s="137" t="s">
        <v>74</v>
      </c>
    </row>
    <row r="50813" spans="9:9" x14ac:dyDescent="0.2">
      <c r="I50813" s="137" t="s">
        <v>74</v>
      </c>
    </row>
    <row r="50814" spans="9:9" x14ac:dyDescent="0.2">
      <c r="I50814" s="137" t="s">
        <v>74</v>
      </c>
    </row>
    <row r="50815" spans="9:9" x14ac:dyDescent="0.2">
      <c r="I50815" s="137" t="s">
        <v>74</v>
      </c>
    </row>
    <row r="50816" spans="9:9" x14ac:dyDescent="0.2">
      <c r="I50816" s="137" t="s">
        <v>74</v>
      </c>
    </row>
    <row r="50817" spans="9:9" x14ac:dyDescent="0.2">
      <c r="I50817" s="137" t="s">
        <v>74</v>
      </c>
    </row>
    <row r="50818" spans="9:9" x14ac:dyDescent="0.2">
      <c r="I50818" s="137" t="s">
        <v>74</v>
      </c>
    </row>
    <row r="50819" spans="9:9" x14ac:dyDescent="0.2">
      <c r="I50819" s="137" t="s">
        <v>74</v>
      </c>
    </row>
    <row r="50820" spans="9:9" x14ac:dyDescent="0.2">
      <c r="I50820" s="137" t="s">
        <v>74</v>
      </c>
    </row>
    <row r="50821" spans="9:9" x14ac:dyDescent="0.2">
      <c r="I50821" s="137" t="s">
        <v>74</v>
      </c>
    </row>
    <row r="50822" spans="9:9" x14ac:dyDescent="0.2">
      <c r="I50822" s="137" t="s">
        <v>74</v>
      </c>
    </row>
    <row r="50823" spans="9:9" x14ac:dyDescent="0.2">
      <c r="I50823" s="137" t="s">
        <v>74</v>
      </c>
    </row>
    <row r="50824" spans="9:9" x14ac:dyDescent="0.2">
      <c r="I50824" s="137" t="s">
        <v>74</v>
      </c>
    </row>
    <row r="50825" spans="9:9" x14ac:dyDescent="0.2">
      <c r="I50825" s="137" t="s">
        <v>74</v>
      </c>
    </row>
    <row r="50826" spans="9:9" x14ac:dyDescent="0.2">
      <c r="I50826" s="137" t="s">
        <v>74</v>
      </c>
    </row>
    <row r="50827" spans="9:9" x14ac:dyDescent="0.2">
      <c r="I50827" s="137" t="s">
        <v>74</v>
      </c>
    </row>
    <row r="50828" spans="9:9" x14ac:dyDescent="0.2">
      <c r="I50828" s="137" t="s">
        <v>74</v>
      </c>
    </row>
    <row r="50829" spans="9:9" x14ac:dyDescent="0.2">
      <c r="I50829" s="137" t="s">
        <v>74</v>
      </c>
    </row>
    <row r="50830" spans="9:9" x14ac:dyDescent="0.2">
      <c r="I50830" s="137" t="s">
        <v>74</v>
      </c>
    </row>
    <row r="50831" spans="9:9" x14ac:dyDescent="0.2">
      <c r="I50831" s="137" t="s">
        <v>74</v>
      </c>
    </row>
    <row r="50832" spans="9:9" x14ac:dyDescent="0.2">
      <c r="I50832" s="137" t="s">
        <v>74</v>
      </c>
    </row>
    <row r="50833" spans="9:9" x14ac:dyDescent="0.2">
      <c r="I50833" s="137" t="s">
        <v>74</v>
      </c>
    </row>
    <row r="50834" spans="9:9" x14ac:dyDescent="0.2">
      <c r="I50834" s="137" t="s">
        <v>74</v>
      </c>
    </row>
    <row r="50835" spans="9:9" x14ac:dyDescent="0.2">
      <c r="I50835" s="137" t="s">
        <v>74</v>
      </c>
    </row>
    <row r="50836" spans="9:9" x14ac:dyDescent="0.2">
      <c r="I50836" s="137" t="s">
        <v>74</v>
      </c>
    </row>
    <row r="50837" spans="9:9" x14ac:dyDescent="0.2">
      <c r="I50837" s="137" t="s">
        <v>74</v>
      </c>
    </row>
    <row r="50838" spans="9:9" x14ac:dyDescent="0.2">
      <c r="I50838" s="137" t="s">
        <v>74</v>
      </c>
    </row>
    <row r="50839" spans="9:9" x14ac:dyDescent="0.2">
      <c r="I50839" s="137" t="s">
        <v>74</v>
      </c>
    </row>
    <row r="50840" spans="9:9" x14ac:dyDescent="0.2">
      <c r="I50840" s="137" t="s">
        <v>74</v>
      </c>
    </row>
    <row r="50841" spans="9:9" x14ac:dyDescent="0.2">
      <c r="I50841" s="137" t="s">
        <v>74</v>
      </c>
    </row>
    <row r="50842" spans="9:9" x14ac:dyDescent="0.2">
      <c r="I50842" s="137" t="s">
        <v>74</v>
      </c>
    </row>
    <row r="50843" spans="9:9" x14ac:dyDescent="0.2">
      <c r="I50843" s="137" t="s">
        <v>74</v>
      </c>
    </row>
    <row r="50844" spans="9:9" x14ac:dyDescent="0.2">
      <c r="I50844" s="137" t="s">
        <v>74</v>
      </c>
    </row>
    <row r="50845" spans="9:9" x14ac:dyDescent="0.2">
      <c r="I50845" s="137" t="s">
        <v>74</v>
      </c>
    </row>
    <row r="50846" spans="9:9" x14ac:dyDescent="0.2">
      <c r="I50846" s="137" t="s">
        <v>74</v>
      </c>
    </row>
    <row r="50847" spans="9:9" x14ac:dyDescent="0.2">
      <c r="I50847" s="137" t="s">
        <v>74</v>
      </c>
    </row>
    <row r="50848" spans="9:9" x14ac:dyDescent="0.2">
      <c r="I50848" s="137" t="s">
        <v>74</v>
      </c>
    </row>
    <row r="50849" spans="9:9" x14ac:dyDescent="0.2">
      <c r="I50849" s="137" t="s">
        <v>74</v>
      </c>
    </row>
    <row r="50850" spans="9:9" x14ac:dyDescent="0.2">
      <c r="I50850" s="137" t="s">
        <v>74</v>
      </c>
    </row>
    <row r="50851" spans="9:9" x14ac:dyDescent="0.2">
      <c r="I50851" s="137" t="s">
        <v>74</v>
      </c>
    </row>
    <row r="50852" spans="9:9" x14ac:dyDescent="0.2">
      <c r="I50852" s="137" t="s">
        <v>74</v>
      </c>
    </row>
    <row r="50853" spans="9:9" x14ac:dyDescent="0.2">
      <c r="I50853" s="137" t="s">
        <v>74</v>
      </c>
    </row>
    <row r="50854" spans="9:9" x14ac:dyDescent="0.2">
      <c r="I50854" s="137" t="s">
        <v>74</v>
      </c>
    </row>
    <row r="50855" spans="9:9" x14ac:dyDescent="0.2">
      <c r="I50855" s="137" t="s">
        <v>74</v>
      </c>
    </row>
    <row r="50856" spans="9:9" x14ac:dyDescent="0.2">
      <c r="I50856" s="137" t="s">
        <v>74</v>
      </c>
    </row>
    <row r="50857" spans="9:9" x14ac:dyDescent="0.2">
      <c r="I50857" s="137" t="s">
        <v>74</v>
      </c>
    </row>
    <row r="50858" spans="9:9" x14ac:dyDescent="0.2">
      <c r="I50858" s="137" t="s">
        <v>74</v>
      </c>
    </row>
    <row r="50859" spans="9:9" x14ac:dyDescent="0.2">
      <c r="I50859" s="137" t="s">
        <v>74</v>
      </c>
    </row>
    <row r="50860" spans="9:9" x14ac:dyDescent="0.2">
      <c r="I50860" s="137" t="s">
        <v>74</v>
      </c>
    </row>
    <row r="50861" spans="9:9" x14ac:dyDescent="0.2">
      <c r="I50861" s="137" t="s">
        <v>74</v>
      </c>
    </row>
    <row r="50862" spans="9:9" x14ac:dyDescent="0.2">
      <c r="I50862" s="137" t="s">
        <v>74</v>
      </c>
    </row>
    <row r="50863" spans="9:9" x14ac:dyDescent="0.2">
      <c r="I50863" s="137" t="s">
        <v>74</v>
      </c>
    </row>
    <row r="50864" spans="9:9" x14ac:dyDescent="0.2">
      <c r="I50864" s="137" t="s">
        <v>74</v>
      </c>
    </row>
    <row r="50865" spans="9:9" x14ac:dyDescent="0.2">
      <c r="I50865" s="137" t="s">
        <v>74</v>
      </c>
    </row>
    <row r="50866" spans="9:9" x14ac:dyDescent="0.2">
      <c r="I50866" s="137" t="s">
        <v>74</v>
      </c>
    </row>
    <row r="50867" spans="9:9" x14ac:dyDescent="0.2">
      <c r="I50867" s="137" t="s">
        <v>74</v>
      </c>
    </row>
    <row r="50868" spans="9:9" x14ac:dyDescent="0.2">
      <c r="I50868" s="137" t="s">
        <v>74</v>
      </c>
    </row>
    <row r="50869" spans="9:9" x14ac:dyDescent="0.2">
      <c r="I50869" s="137" t="s">
        <v>74</v>
      </c>
    </row>
    <row r="50870" spans="9:9" x14ac:dyDescent="0.2">
      <c r="I50870" s="137" t="s">
        <v>74</v>
      </c>
    </row>
    <row r="50871" spans="9:9" x14ac:dyDescent="0.2">
      <c r="I50871" s="137" t="s">
        <v>74</v>
      </c>
    </row>
    <row r="50872" spans="9:9" x14ac:dyDescent="0.2">
      <c r="I50872" s="137" t="s">
        <v>74</v>
      </c>
    </row>
    <row r="50873" spans="9:9" x14ac:dyDescent="0.2">
      <c r="I50873" s="137" t="s">
        <v>74</v>
      </c>
    </row>
    <row r="50874" spans="9:9" x14ac:dyDescent="0.2">
      <c r="I50874" s="137" t="s">
        <v>74</v>
      </c>
    </row>
    <row r="50875" spans="9:9" x14ac:dyDescent="0.2">
      <c r="I50875" s="137" t="s">
        <v>74</v>
      </c>
    </row>
    <row r="50876" spans="9:9" x14ac:dyDescent="0.2">
      <c r="I50876" s="137" t="s">
        <v>74</v>
      </c>
    </row>
    <row r="50877" spans="9:9" x14ac:dyDescent="0.2">
      <c r="I50877" s="137" t="s">
        <v>74</v>
      </c>
    </row>
    <row r="50878" spans="9:9" x14ac:dyDescent="0.2">
      <c r="I50878" s="137" t="s">
        <v>74</v>
      </c>
    </row>
    <row r="50879" spans="9:9" x14ac:dyDescent="0.2">
      <c r="I50879" s="137" t="s">
        <v>74</v>
      </c>
    </row>
    <row r="50880" spans="9:9" x14ac:dyDescent="0.2">
      <c r="I50880" s="137" t="s">
        <v>74</v>
      </c>
    </row>
    <row r="50881" spans="9:9" x14ac:dyDescent="0.2">
      <c r="I50881" s="137" t="s">
        <v>74</v>
      </c>
    </row>
    <row r="50882" spans="9:9" x14ac:dyDescent="0.2">
      <c r="I50882" s="137" t="s">
        <v>74</v>
      </c>
    </row>
    <row r="50883" spans="9:9" x14ac:dyDescent="0.2">
      <c r="I50883" s="137" t="s">
        <v>74</v>
      </c>
    </row>
    <row r="50884" spans="9:9" x14ac:dyDescent="0.2">
      <c r="I50884" s="137" t="s">
        <v>74</v>
      </c>
    </row>
    <row r="50885" spans="9:9" x14ac:dyDescent="0.2">
      <c r="I50885" s="137" t="s">
        <v>74</v>
      </c>
    </row>
    <row r="50886" spans="9:9" x14ac:dyDescent="0.2">
      <c r="I50886" s="137" t="s">
        <v>74</v>
      </c>
    </row>
    <row r="50887" spans="9:9" x14ac:dyDescent="0.2">
      <c r="I50887" s="137" t="s">
        <v>74</v>
      </c>
    </row>
    <row r="50888" spans="9:9" x14ac:dyDescent="0.2">
      <c r="I50888" s="137" t="s">
        <v>74</v>
      </c>
    </row>
    <row r="50889" spans="9:9" x14ac:dyDescent="0.2">
      <c r="I50889" s="137" t="s">
        <v>74</v>
      </c>
    </row>
    <row r="50890" spans="9:9" x14ac:dyDescent="0.2">
      <c r="I50890" s="137" t="s">
        <v>74</v>
      </c>
    </row>
    <row r="50891" spans="9:9" x14ac:dyDescent="0.2">
      <c r="I50891" s="137" t="s">
        <v>74</v>
      </c>
    </row>
    <row r="50892" spans="9:9" x14ac:dyDescent="0.2">
      <c r="I50892" s="137" t="s">
        <v>74</v>
      </c>
    </row>
    <row r="50893" spans="9:9" x14ac:dyDescent="0.2">
      <c r="I50893" s="137" t="s">
        <v>74</v>
      </c>
    </row>
    <row r="50894" spans="9:9" x14ac:dyDescent="0.2">
      <c r="I50894" s="137" t="s">
        <v>74</v>
      </c>
    </row>
    <row r="50895" spans="9:9" x14ac:dyDescent="0.2">
      <c r="I50895" s="137" t="s">
        <v>74</v>
      </c>
    </row>
    <row r="50896" spans="9:9" x14ac:dyDescent="0.2">
      <c r="I50896" s="137" t="s">
        <v>74</v>
      </c>
    </row>
    <row r="50897" spans="9:9" x14ac:dyDescent="0.2">
      <c r="I50897" s="137" t="s">
        <v>74</v>
      </c>
    </row>
    <row r="50898" spans="9:9" x14ac:dyDescent="0.2">
      <c r="I50898" s="137" t="s">
        <v>74</v>
      </c>
    </row>
    <row r="50899" spans="9:9" x14ac:dyDescent="0.2">
      <c r="I50899" s="137" t="s">
        <v>74</v>
      </c>
    </row>
    <row r="50900" spans="9:9" x14ac:dyDescent="0.2">
      <c r="I50900" s="137" t="s">
        <v>74</v>
      </c>
    </row>
    <row r="50901" spans="9:9" x14ac:dyDescent="0.2">
      <c r="I50901" s="137" t="s">
        <v>74</v>
      </c>
    </row>
    <row r="50902" spans="9:9" x14ac:dyDescent="0.2">
      <c r="I50902" s="137" t="s">
        <v>74</v>
      </c>
    </row>
    <row r="50903" spans="9:9" x14ac:dyDescent="0.2">
      <c r="I50903" s="137" t="s">
        <v>74</v>
      </c>
    </row>
    <row r="50904" spans="9:9" x14ac:dyDescent="0.2">
      <c r="I50904" s="137" t="s">
        <v>74</v>
      </c>
    </row>
    <row r="50905" spans="9:9" x14ac:dyDescent="0.2">
      <c r="I50905" s="137" t="s">
        <v>74</v>
      </c>
    </row>
    <row r="50906" spans="9:9" x14ac:dyDescent="0.2">
      <c r="I50906" s="137" t="s">
        <v>74</v>
      </c>
    </row>
    <row r="50907" spans="9:9" x14ac:dyDescent="0.2">
      <c r="I50907" s="137" t="s">
        <v>74</v>
      </c>
    </row>
    <row r="50908" spans="9:9" x14ac:dyDescent="0.2">
      <c r="I50908" s="137" t="s">
        <v>74</v>
      </c>
    </row>
    <row r="50909" spans="9:9" x14ac:dyDescent="0.2">
      <c r="I50909" s="137" t="s">
        <v>74</v>
      </c>
    </row>
    <row r="50910" spans="9:9" x14ac:dyDescent="0.2">
      <c r="I50910" s="137" t="s">
        <v>74</v>
      </c>
    </row>
    <row r="50911" spans="9:9" x14ac:dyDescent="0.2">
      <c r="I50911" s="137" t="s">
        <v>74</v>
      </c>
    </row>
    <row r="50912" spans="9:9" x14ac:dyDescent="0.2">
      <c r="I50912" s="137" t="s">
        <v>74</v>
      </c>
    </row>
    <row r="50913" spans="9:9" x14ac:dyDescent="0.2">
      <c r="I50913" s="137" t="s">
        <v>74</v>
      </c>
    </row>
    <row r="50914" spans="9:9" x14ac:dyDescent="0.2">
      <c r="I50914" s="137" t="s">
        <v>74</v>
      </c>
    </row>
    <row r="50915" spans="9:9" x14ac:dyDescent="0.2">
      <c r="I50915" s="137" t="s">
        <v>74</v>
      </c>
    </row>
    <row r="50916" spans="9:9" x14ac:dyDescent="0.2">
      <c r="I50916" s="137" t="s">
        <v>74</v>
      </c>
    </row>
    <row r="50917" spans="9:9" x14ac:dyDescent="0.2">
      <c r="I50917" s="137" t="s">
        <v>74</v>
      </c>
    </row>
    <row r="50918" spans="9:9" x14ac:dyDescent="0.2">
      <c r="I50918" s="137" t="s">
        <v>74</v>
      </c>
    </row>
    <row r="50919" spans="9:9" x14ac:dyDescent="0.2">
      <c r="I50919" s="137" t="s">
        <v>74</v>
      </c>
    </row>
    <row r="50920" spans="9:9" x14ac:dyDescent="0.2">
      <c r="I50920" s="137" t="s">
        <v>74</v>
      </c>
    </row>
    <row r="50921" spans="9:9" x14ac:dyDescent="0.2">
      <c r="I50921" s="137" t="s">
        <v>74</v>
      </c>
    </row>
    <row r="50922" spans="9:9" x14ac:dyDescent="0.2">
      <c r="I50922" s="137" t="s">
        <v>74</v>
      </c>
    </row>
    <row r="50923" spans="9:9" x14ac:dyDescent="0.2">
      <c r="I50923" s="137" t="s">
        <v>74</v>
      </c>
    </row>
    <row r="50924" spans="9:9" x14ac:dyDescent="0.2">
      <c r="I50924" s="137" t="s">
        <v>74</v>
      </c>
    </row>
    <row r="50925" spans="9:9" x14ac:dyDescent="0.2">
      <c r="I50925" s="137" t="s">
        <v>74</v>
      </c>
    </row>
    <row r="50926" spans="9:9" x14ac:dyDescent="0.2">
      <c r="I50926" s="137" t="s">
        <v>74</v>
      </c>
    </row>
    <row r="50927" spans="9:9" x14ac:dyDescent="0.2">
      <c r="I50927" s="137" t="s">
        <v>74</v>
      </c>
    </row>
    <row r="50928" spans="9:9" x14ac:dyDescent="0.2">
      <c r="I50928" s="137" t="s">
        <v>74</v>
      </c>
    </row>
    <row r="50929" spans="9:9" x14ac:dyDescent="0.2">
      <c r="I50929" s="137" t="s">
        <v>74</v>
      </c>
    </row>
    <row r="50930" spans="9:9" x14ac:dyDescent="0.2">
      <c r="I50930" s="137" t="s">
        <v>74</v>
      </c>
    </row>
    <row r="50931" spans="9:9" x14ac:dyDescent="0.2">
      <c r="I50931" s="137" t="s">
        <v>74</v>
      </c>
    </row>
    <row r="50932" spans="9:9" x14ac:dyDescent="0.2">
      <c r="I50932" s="137" t="s">
        <v>74</v>
      </c>
    </row>
    <row r="50933" spans="9:9" x14ac:dyDescent="0.2">
      <c r="I50933" s="137" t="s">
        <v>74</v>
      </c>
    </row>
    <row r="50934" spans="9:9" x14ac:dyDescent="0.2">
      <c r="I50934" s="137" t="s">
        <v>74</v>
      </c>
    </row>
    <row r="50935" spans="9:9" x14ac:dyDescent="0.2">
      <c r="I50935" s="137" t="s">
        <v>74</v>
      </c>
    </row>
    <row r="50936" spans="9:9" x14ac:dyDescent="0.2">
      <c r="I50936" s="137" t="s">
        <v>74</v>
      </c>
    </row>
    <row r="50937" spans="9:9" x14ac:dyDescent="0.2">
      <c r="I50937" s="137" t="s">
        <v>74</v>
      </c>
    </row>
    <row r="50938" spans="9:9" x14ac:dyDescent="0.2">
      <c r="I50938" s="137" t="s">
        <v>74</v>
      </c>
    </row>
    <row r="50939" spans="9:9" x14ac:dyDescent="0.2">
      <c r="I50939" s="137" t="s">
        <v>74</v>
      </c>
    </row>
    <row r="50940" spans="9:9" x14ac:dyDescent="0.2">
      <c r="I50940" s="137" t="s">
        <v>74</v>
      </c>
    </row>
    <row r="50941" spans="9:9" x14ac:dyDescent="0.2">
      <c r="I50941" s="137" t="s">
        <v>74</v>
      </c>
    </row>
    <row r="50942" spans="9:9" x14ac:dyDescent="0.2">
      <c r="I50942" s="137" t="s">
        <v>74</v>
      </c>
    </row>
    <row r="50943" spans="9:9" x14ac:dyDescent="0.2">
      <c r="I50943" s="137" t="s">
        <v>74</v>
      </c>
    </row>
    <row r="50944" spans="9:9" x14ac:dyDescent="0.2">
      <c r="I50944" s="137" t="s">
        <v>74</v>
      </c>
    </row>
    <row r="50945" spans="9:9" x14ac:dyDescent="0.2">
      <c r="I50945" s="137" t="s">
        <v>74</v>
      </c>
    </row>
    <row r="50946" spans="9:9" x14ac:dyDescent="0.2">
      <c r="I50946" s="137" t="s">
        <v>74</v>
      </c>
    </row>
    <row r="50947" spans="9:9" x14ac:dyDescent="0.2">
      <c r="I50947" s="137" t="s">
        <v>74</v>
      </c>
    </row>
    <row r="50948" spans="9:9" x14ac:dyDescent="0.2">
      <c r="I50948" s="137" t="s">
        <v>74</v>
      </c>
    </row>
    <row r="50949" spans="9:9" x14ac:dyDescent="0.2">
      <c r="I50949" s="137" t="s">
        <v>74</v>
      </c>
    </row>
    <row r="50950" spans="9:9" x14ac:dyDescent="0.2">
      <c r="I50950" s="137" t="s">
        <v>74</v>
      </c>
    </row>
    <row r="50951" spans="9:9" x14ac:dyDescent="0.2">
      <c r="I50951" s="137" t="s">
        <v>74</v>
      </c>
    </row>
    <row r="50952" spans="9:9" x14ac:dyDescent="0.2">
      <c r="I50952" s="137" t="s">
        <v>74</v>
      </c>
    </row>
    <row r="50953" spans="9:9" x14ac:dyDescent="0.2">
      <c r="I50953" s="137" t="s">
        <v>74</v>
      </c>
    </row>
    <row r="50954" spans="9:9" x14ac:dyDescent="0.2">
      <c r="I50954" s="137" t="s">
        <v>74</v>
      </c>
    </row>
    <row r="50955" spans="9:9" x14ac:dyDescent="0.2">
      <c r="I50955" s="137" t="s">
        <v>74</v>
      </c>
    </row>
    <row r="50956" spans="9:9" x14ac:dyDescent="0.2">
      <c r="I50956" s="137" t="s">
        <v>74</v>
      </c>
    </row>
    <row r="50957" spans="9:9" x14ac:dyDescent="0.2">
      <c r="I50957" s="137" t="s">
        <v>74</v>
      </c>
    </row>
    <row r="50958" spans="9:9" x14ac:dyDescent="0.2">
      <c r="I50958" s="137" t="s">
        <v>74</v>
      </c>
    </row>
    <row r="50959" spans="9:9" x14ac:dyDescent="0.2">
      <c r="I50959" s="137" t="s">
        <v>74</v>
      </c>
    </row>
    <row r="50960" spans="9:9" x14ac:dyDescent="0.2">
      <c r="I50960" s="137" t="s">
        <v>74</v>
      </c>
    </row>
    <row r="50961" spans="9:9" x14ac:dyDescent="0.2">
      <c r="I50961" s="137" t="s">
        <v>74</v>
      </c>
    </row>
    <row r="50962" spans="9:9" x14ac:dyDescent="0.2">
      <c r="I50962" s="137" t="s">
        <v>74</v>
      </c>
    </row>
    <row r="50963" spans="9:9" x14ac:dyDescent="0.2">
      <c r="I50963" s="137" t="s">
        <v>74</v>
      </c>
    </row>
    <row r="50964" spans="9:9" x14ac:dyDescent="0.2">
      <c r="I50964" s="137" t="s">
        <v>74</v>
      </c>
    </row>
    <row r="50965" spans="9:9" x14ac:dyDescent="0.2">
      <c r="I50965" s="137" t="s">
        <v>74</v>
      </c>
    </row>
    <row r="50966" spans="9:9" x14ac:dyDescent="0.2">
      <c r="I50966" s="137" t="s">
        <v>74</v>
      </c>
    </row>
    <row r="50967" spans="9:9" x14ac:dyDescent="0.2">
      <c r="I50967" s="137" t="s">
        <v>74</v>
      </c>
    </row>
    <row r="50968" spans="9:9" x14ac:dyDescent="0.2">
      <c r="I50968" s="137" t="s">
        <v>74</v>
      </c>
    </row>
    <row r="50969" spans="9:9" x14ac:dyDescent="0.2">
      <c r="I50969" s="137" t="s">
        <v>74</v>
      </c>
    </row>
    <row r="50970" spans="9:9" x14ac:dyDescent="0.2">
      <c r="I50970" s="137" t="s">
        <v>74</v>
      </c>
    </row>
    <row r="50971" spans="9:9" x14ac:dyDescent="0.2">
      <c r="I50971" s="137" t="s">
        <v>74</v>
      </c>
    </row>
    <row r="50972" spans="9:9" x14ac:dyDescent="0.2">
      <c r="I50972" s="137" t="s">
        <v>74</v>
      </c>
    </row>
    <row r="50973" spans="9:9" x14ac:dyDescent="0.2">
      <c r="I50973" s="137" t="s">
        <v>74</v>
      </c>
    </row>
    <row r="50974" spans="9:9" x14ac:dyDescent="0.2">
      <c r="I50974" s="137" t="s">
        <v>74</v>
      </c>
    </row>
    <row r="50975" spans="9:9" x14ac:dyDescent="0.2">
      <c r="I50975" s="137" t="s">
        <v>74</v>
      </c>
    </row>
    <row r="50976" spans="9:9" x14ac:dyDescent="0.2">
      <c r="I50976" s="137" t="s">
        <v>74</v>
      </c>
    </row>
    <row r="50977" spans="9:9" x14ac:dyDescent="0.2">
      <c r="I50977" s="137" t="s">
        <v>74</v>
      </c>
    </row>
    <row r="50978" spans="9:9" x14ac:dyDescent="0.2">
      <c r="I50978" s="137" t="s">
        <v>74</v>
      </c>
    </row>
    <row r="50979" spans="9:9" x14ac:dyDescent="0.2">
      <c r="I50979" s="137" t="s">
        <v>74</v>
      </c>
    </row>
    <row r="50980" spans="9:9" x14ac:dyDescent="0.2">
      <c r="I50980" s="137" t="s">
        <v>74</v>
      </c>
    </row>
    <row r="50981" spans="9:9" x14ac:dyDescent="0.2">
      <c r="I50981" s="137" t="s">
        <v>74</v>
      </c>
    </row>
    <row r="50982" spans="9:9" x14ac:dyDescent="0.2">
      <c r="I50982" s="137" t="s">
        <v>74</v>
      </c>
    </row>
    <row r="50983" spans="9:9" x14ac:dyDescent="0.2">
      <c r="I50983" s="137" t="s">
        <v>74</v>
      </c>
    </row>
    <row r="50984" spans="9:9" x14ac:dyDescent="0.2">
      <c r="I50984" s="137" t="s">
        <v>74</v>
      </c>
    </row>
    <row r="50985" spans="9:9" x14ac:dyDescent="0.2">
      <c r="I50985" s="137" t="s">
        <v>74</v>
      </c>
    </row>
    <row r="50986" spans="9:9" x14ac:dyDescent="0.2">
      <c r="I50986" s="137" t="s">
        <v>74</v>
      </c>
    </row>
    <row r="50987" spans="9:9" x14ac:dyDescent="0.2">
      <c r="I50987" s="137" t="s">
        <v>74</v>
      </c>
    </row>
    <row r="50988" spans="9:9" x14ac:dyDescent="0.2">
      <c r="I50988" s="137" t="s">
        <v>74</v>
      </c>
    </row>
    <row r="50989" spans="9:9" x14ac:dyDescent="0.2">
      <c r="I50989" s="137" t="s">
        <v>74</v>
      </c>
    </row>
    <row r="50990" spans="9:9" x14ac:dyDescent="0.2">
      <c r="I50990" s="137" t="s">
        <v>74</v>
      </c>
    </row>
    <row r="50991" spans="9:9" x14ac:dyDescent="0.2">
      <c r="I50991" s="137" t="s">
        <v>74</v>
      </c>
    </row>
    <row r="50992" spans="9:9" x14ac:dyDescent="0.2">
      <c r="I50992" s="137" t="s">
        <v>74</v>
      </c>
    </row>
    <row r="50993" spans="9:9" x14ac:dyDescent="0.2">
      <c r="I50993" s="137" t="s">
        <v>74</v>
      </c>
    </row>
    <row r="50994" spans="9:9" x14ac:dyDescent="0.2">
      <c r="I50994" s="137" t="s">
        <v>74</v>
      </c>
    </row>
    <row r="50995" spans="9:9" x14ac:dyDescent="0.2">
      <c r="I50995" s="137" t="s">
        <v>74</v>
      </c>
    </row>
    <row r="50996" spans="9:9" x14ac:dyDescent="0.2">
      <c r="I50996" s="137" t="s">
        <v>74</v>
      </c>
    </row>
    <row r="50997" spans="9:9" x14ac:dyDescent="0.2">
      <c r="I50997" s="137" t="s">
        <v>74</v>
      </c>
    </row>
    <row r="50998" spans="9:9" x14ac:dyDescent="0.2">
      <c r="I50998" s="137" t="s">
        <v>74</v>
      </c>
    </row>
    <row r="50999" spans="9:9" x14ac:dyDescent="0.2">
      <c r="I50999" s="137" t="s">
        <v>74</v>
      </c>
    </row>
    <row r="51000" spans="9:9" x14ac:dyDescent="0.2">
      <c r="I51000" s="137" t="s">
        <v>74</v>
      </c>
    </row>
    <row r="51001" spans="9:9" x14ac:dyDescent="0.2">
      <c r="I51001" s="137" t="s">
        <v>74</v>
      </c>
    </row>
    <row r="51002" spans="9:9" x14ac:dyDescent="0.2">
      <c r="I51002" s="137" t="s">
        <v>74</v>
      </c>
    </row>
    <row r="51003" spans="9:9" x14ac:dyDescent="0.2">
      <c r="I51003" s="137" t="s">
        <v>74</v>
      </c>
    </row>
    <row r="51004" spans="9:9" x14ac:dyDescent="0.2">
      <c r="I51004" s="137" t="s">
        <v>74</v>
      </c>
    </row>
    <row r="51005" spans="9:9" x14ac:dyDescent="0.2">
      <c r="I51005" s="137" t="s">
        <v>74</v>
      </c>
    </row>
    <row r="51006" spans="9:9" x14ac:dyDescent="0.2">
      <c r="I51006" s="137" t="s">
        <v>74</v>
      </c>
    </row>
    <row r="51007" spans="9:9" x14ac:dyDescent="0.2">
      <c r="I51007" s="137" t="s">
        <v>74</v>
      </c>
    </row>
    <row r="51008" spans="9:9" x14ac:dyDescent="0.2">
      <c r="I51008" s="137" t="s">
        <v>74</v>
      </c>
    </row>
    <row r="51009" spans="9:9" x14ac:dyDescent="0.2">
      <c r="I51009" s="137" t="s">
        <v>74</v>
      </c>
    </row>
    <row r="51010" spans="9:9" x14ac:dyDescent="0.2">
      <c r="I51010" s="137" t="s">
        <v>74</v>
      </c>
    </row>
    <row r="51011" spans="9:9" x14ac:dyDescent="0.2">
      <c r="I51011" s="137" t="s">
        <v>74</v>
      </c>
    </row>
    <row r="51012" spans="9:9" x14ac:dyDescent="0.2">
      <c r="I51012" s="137" t="s">
        <v>74</v>
      </c>
    </row>
    <row r="51013" spans="9:9" x14ac:dyDescent="0.2">
      <c r="I51013" s="137" t="s">
        <v>74</v>
      </c>
    </row>
    <row r="51014" spans="9:9" x14ac:dyDescent="0.2">
      <c r="I51014" s="137" t="s">
        <v>74</v>
      </c>
    </row>
    <row r="51015" spans="9:9" x14ac:dyDescent="0.2">
      <c r="I51015" s="137" t="s">
        <v>74</v>
      </c>
    </row>
    <row r="51016" spans="9:9" x14ac:dyDescent="0.2">
      <c r="I51016" s="137" t="s">
        <v>74</v>
      </c>
    </row>
    <row r="51017" spans="9:9" x14ac:dyDescent="0.2">
      <c r="I51017" s="137" t="s">
        <v>74</v>
      </c>
    </row>
    <row r="51018" spans="9:9" x14ac:dyDescent="0.2">
      <c r="I51018" s="137" t="s">
        <v>74</v>
      </c>
    </row>
    <row r="51019" spans="9:9" x14ac:dyDescent="0.2">
      <c r="I51019" s="137" t="s">
        <v>74</v>
      </c>
    </row>
    <row r="51020" spans="9:9" x14ac:dyDescent="0.2">
      <c r="I51020" s="137" t="s">
        <v>74</v>
      </c>
    </row>
    <row r="51021" spans="9:9" x14ac:dyDescent="0.2">
      <c r="I51021" s="137" t="s">
        <v>74</v>
      </c>
    </row>
    <row r="51022" spans="9:9" x14ac:dyDescent="0.2">
      <c r="I51022" s="137" t="s">
        <v>74</v>
      </c>
    </row>
    <row r="51023" spans="9:9" x14ac:dyDescent="0.2">
      <c r="I51023" s="137" t="s">
        <v>74</v>
      </c>
    </row>
    <row r="51024" spans="9:9" x14ac:dyDescent="0.2">
      <c r="I51024" s="137" t="s">
        <v>74</v>
      </c>
    </row>
    <row r="51025" spans="9:9" x14ac:dyDescent="0.2">
      <c r="I51025" s="137" t="s">
        <v>74</v>
      </c>
    </row>
    <row r="51026" spans="9:9" x14ac:dyDescent="0.2">
      <c r="I51026" s="137" t="s">
        <v>74</v>
      </c>
    </row>
    <row r="51027" spans="9:9" x14ac:dyDescent="0.2">
      <c r="I51027" s="137" t="s">
        <v>74</v>
      </c>
    </row>
    <row r="51028" spans="9:9" x14ac:dyDescent="0.2">
      <c r="I51028" s="137" t="s">
        <v>74</v>
      </c>
    </row>
    <row r="51029" spans="9:9" x14ac:dyDescent="0.2">
      <c r="I51029" s="137" t="s">
        <v>74</v>
      </c>
    </row>
    <row r="51030" spans="9:9" x14ac:dyDescent="0.2">
      <c r="I51030" s="137" t="s">
        <v>74</v>
      </c>
    </row>
    <row r="51031" spans="9:9" x14ac:dyDescent="0.2">
      <c r="I51031" s="137" t="s">
        <v>74</v>
      </c>
    </row>
    <row r="51032" spans="9:9" x14ac:dyDescent="0.2">
      <c r="I51032" s="137" t="s">
        <v>74</v>
      </c>
    </row>
    <row r="51033" spans="9:9" x14ac:dyDescent="0.2">
      <c r="I51033" s="137" t="s">
        <v>74</v>
      </c>
    </row>
    <row r="51034" spans="9:9" x14ac:dyDescent="0.2">
      <c r="I51034" s="137" t="s">
        <v>74</v>
      </c>
    </row>
    <row r="51035" spans="9:9" x14ac:dyDescent="0.2">
      <c r="I51035" s="137" t="s">
        <v>74</v>
      </c>
    </row>
    <row r="51036" spans="9:9" x14ac:dyDescent="0.2">
      <c r="I51036" s="137" t="s">
        <v>74</v>
      </c>
    </row>
    <row r="51037" spans="9:9" x14ac:dyDescent="0.2">
      <c r="I51037" s="137" t="s">
        <v>74</v>
      </c>
    </row>
    <row r="51038" spans="9:9" x14ac:dyDescent="0.2">
      <c r="I51038" s="137" t="s">
        <v>74</v>
      </c>
    </row>
    <row r="51039" spans="9:9" x14ac:dyDescent="0.2">
      <c r="I51039" s="137" t="s">
        <v>74</v>
      </c>
    </row>
    <row r="51040" spans="9:9" x14ac:dyDescent="0.2">
      <c r="I51040" s="137" t="s">
        <v>74</v>
      </c>
    </row>
    <row r="51041" spans="9:9" x14ac:dyDescent="0.2">
      <c r="I51041" s="137" t="s">
        <v>74</v>
      </c>
    </row>
    <row r="51042" spans="9:9" x14ac:dyDescent="0.2">
      <c r="I51042" s="137" t="s">
        <v>74</v>
      </c>
    </row>
    <row r="51043" spans="9:9" x14ac:dyDescent="0.2">
      <c r="I51043" s="137" t="s">
        <v>74</v>
      </c>
    </row>
    <row r="51044" spans="9:9" x14ac:dyDescent="0.2">
      <c r="I51044" s="137" t="s">
        <v>74</v>
      </c>
    </row>
    <row r="51045" spans="9:9" x14ac:dyDescent="0.2">
      <c r="I51045" s="137" t="s">
        <v>74</v>
      </c>
    </row>
    <row r="51046" spans="9:9" x14ac:dyDescent="0.2">
      <c r="I51046" s="137" t="s">
        <v>74</v>
      </c>
    </row>
    <row r="51047" spans="9:9" x14ac:dyDescent="0.2">
      <c r="I51047" s="137" t="s">
        <v>74</v>
      </c>
    </row>
    <row r="51048" spans="9:9" x14ac:dyDescent="0.2">
      <c r="I51048" s="137" t="s">
        <v>74</v>
      </c>
    </row>
    <row r="51049" spans="9:9" x14ac:dyDescent="0.2">
      <c r="I51049" s="137" t="s">
        <v>74</v>
      </c>
    </row>
    <row r="51050" spans="9:9" x14ac:dyDescent="0.2">
      <c r="I51050" s="137" t="s">
        <v>74</v>
      </c>
    </row>
    <row r="51051" spans="9:9" x14ac:dyDescent="0.2">
      <c r="I51051" s="137" t="s">
        <v>74</v>
      </c>
    </row>
    <row r="51052" spans="9:9" x14ac:dyDescent="0.2">
      <c r="I51052" s="137" t="s">
        <v>74</v>
      </c>
    </row>
    <row r="51053" spans="9:9" x14ac:dyDescent="0.2">
      <c r="I51053" s="137" t="s">
        <v>74</v>
      </c>
    </row>
    <row r="51054" spans="9:9" x14ac:dyDescent="0.2">
      <c r="I51054" s="137" t="s">
        <v>74</v>
      </c>
    </row>
    <row r="51055" spans="9:9" x14ac:dyDescent="0.2">
      <c r="I51055" s="137" t="s">
        <v>74</v>
      </c>
    </row>
    <row r="51056" spans="9:9" x14ac:dyDescent="0.2">
      <c r="I51056" s="137" t="s">
        <v>74</v>
      </c>
    </row>
    <row r="51057" spans="9:9" x14ac:dyDescent="0.2">
      <c r="I51057" s="137" t="s">
        <v>74</v>
      </c>
    </row>
    <row r="51058" spans="9:9" x14ac:dyDescent="0.2">
      <c r="I51058" s="137" t="s">
        <v>74</v>
      </c>
    </row>
    <row r="51059" spans="9:9" x14ac:dyDescent="0.2">
      <c r="I51059" s="137" t="s">
        <v>74</v>
      </c>
    </row>
    <row r="51060" spans="9:9" x14ac:dyDescent="0.2">
      <c r="I51060" s="137" t="s">
        <v>74</v>
      </c>
    </row>
    <row r="51061" spans="9:9" x14ac:dyDescent="0.2">
      <c r="I51061" s="137" t="s">
        <v>74</v>
      </c>
    </row>
    <row r="51062" spans="9:9" x14ac:dyDescent="0.2">
      <c r="I51062" s="137" t="s">
        <v>74</v>
      </c>
    </row>
    <row r="51063" spans="9:9" x14ac:dyDescent="0.2">
      <c r="I51063" s="137" t="s">
        <v>74</v>
      </c>
    </row>
    <row r="51064" spans="9:9" x14ac:dyDescent="0.2">
      <c r="I51064" s="137" t="s">
        <v>74</v>
      </c>
    </row>
    <row r="51065" spans="9:9" x14ac:dyDescent="0.2">
      <c r="I51065" s="137" t="s">
        <v>74</v>
      </c>
    </row>
    <row r="51066" spans="9:9" x14ac:dyDescent="0.2">
      <c r="I51066" s="137" t="s">
        <v>74</v>
      </c>
    </row>
    <row r="51067" spans="9:9" x14ac:dyDescent="0.2">
      <c r="I51067" s="137" t="s">
        <v>74</v>
      </c>
    </row>
    <row r="51068" spans="9:9" x14ac:dyDescent="0.2">
      <c r="I51068" s="137" t="s">
        <v>74</v>
      </c>
    </row>
    <row r="51069" spans="9:9" x14ac:dyDescent="0.2">
      <c r="I51069" s="137" t="s">
        <v>74</v>
      </c>
    </row>
    <row r="51070" spans="9:9" x14ac:dyDescent="0.2">
      <c r="I51070" s="137" t="s">
        <v>74</v>
      </c>
    </row>
    <row r="51071" spans="9:9" x14ac:dyDescent="0.2">
      <c r="I51071" s="137" t="s">
        <v>74</v>
      </c>
    </row>
    <row r="51072" spans="9:9" x14ac:dyDescent="0.2">
      <c r="I51072" s="137" t="s">
        <v>74</v>
      </c>
    </row>
    <row r="51073" spans="9:9" x14ac:dyDescent="0.2">
      <c r="I51073" s="137" t="s">
        <v>74</v>
      </c>
    </row>
    <row r="51074" spans="9:9" x14ac:dyDescent="0.2">
      <c r="I51074" s="137" t="s">
        <v>74</v>
      </c>
    </row>
    <row r="51075" spans="9:9" x14ac:dyDescent="0.2">
      <c r="I51075" s="137" t="s">
        <v>74</v>
      </c>
    </row>
    <row r="51076" spans="9:9" x14ac:dyDescent="0.2">
      <c r="I51076" s="137" t="s">
        <v>74</v>
      </c>
    </row>
    <row r="51077" spans="9:9" x14ac:dyDescent="0.2">
      <c r="I51077" s="137" t="s">
        <v>74</v>
      </c>
    </row>
    <row r="51078" spans="9:9" x14ac:dyDescent="0.2">
      <c r="I51078" s="137" t="s">
        <v>74</v>
      </c>
    </row>
    <row r="51079" spans="9:9" x14ac:dyDescent="0.2">
      <c r="I51079" s="137" t="s">
        <v>74</v>
      </c>
    </row>
    <row r="51080" spans="9:9" x14ac:dyDescent="0.2">
      <c r="I51080" s="137" t="s">
        <v>74</v>
      </c>
    </row>
    <row r="51081" spans="9:9" x14ac:dyDescent="0.2">
      <c r="I51081" s="137" t="s">
        <v>74</v>
      </c>
    </row>
    <row r="51082" spans="9:9" x14ac:dyDescent="0.2">
      <c r="I51082" s="137" t="s">
        <v>74</v>
      </c>
    </row>
    <row r="51083" spans="9:9" x14ac:dyDescent="0.2">
      <c r="I51083" s="137" t="s">
        <v>74</v>
      </c>
    </row>
    <row r="51084" spans="9:9" x14ac:dyDescent="0.2">
      <c r="I51084" s="137" t="s">
        <v>74</v>
      </c>
    </row>
    <row r="51085" spans="9:9" x14ac:dyDescent="0.2">
      <c r="I51085" s="137" t="s">
        <v>74</v>
      </c>
    </row>
    <row r="51086" spans="9:9" x14ac:dyDescent="0.2">
      <c r="I51086" s="137" t="s">
        <v>74</v>
      </c>
    </row>
    <row r="51087" spans="9:9" x14ac:dyDescent="0.2">
      <c r="I51087" s="137" t="s">
        <v>74</v>
      </c>
    </row>
    <row r="51088" spans="9:9" x14ac:dyDescent="0.2">
      <c r="I51088" s="137" t="s">
        <v>74</v>
      </c>
    </row>
    <row r="51089" spans="9:9" x14ac:dyDescent="0.2">
      <c r="I51089" s="137" t="s">
        <v>74</v>
      </c>
    </row>
    <row r="51090" spans="9:9" x14ac:dyDescent="0.2">
      <c r="I51090" s="137" t="s">
        <v>74</v>
      </c>
    </row>
    <row r="51091" spans="9:9" x14ac:dyDescent="0.2">
      <c r="I51091" s="137" t="s">
        <v>74</v>
      </c>
    </row>
    <row r="51092" spans="9:9" x14ac:dyDescent="0.2">
      <c r="I51092" s="137" t="s">
        <v>74</v>
      </c>
    </row>
    <row r="51093" spans="9:9" x14ac:dyDescent="0.2">
      <c r="I51093" s="137" t="s">
        <v>74</v>
      </c>
    </row>
    <row r="51094" spans="9:9" x14ac:dyDescent="0.2">
      <c r="I51094" s="137" t="s">
        <v>74</v>
      </c>
    </row>
    <row r="51095" spans="9:9" x14ac:dyDescent="0.2">
      <c r="I51095" s="137" t="s">
        <v>74</v>
      </c>
    </row>
    <row r="51096" spans="9:9" x14ac:dyDescent="0.2">
      <c r="I51096" s="137" t="s">
        <v>74</v>
      </c>
    </row>
    <row r="51097" spans="9:9" x14ac:dyDescent="0.2">
      <c r="I51097" s="137" t="s">
        <v>74</v>
      </c>
    </row>
    <row r="51098" spans="9:9" x14ac:dyDescent="0.2">
      <c r="I51098" s="137" t="s">
        <v>74</v>
      </c>
    </row>
    <row r="51099" spans="9:9" x14ac:dyDescent="0.2">
      <c r="I51099" s="137" t="s">
        <v>74</v>
      </c>
    </row>
    <row r="51100" spans="9:9" x14ac:dyDescent="0.2">
      <c r="I51100" s="137" t="s">
        <v>74</v>
      </c>
    </row>
    <row r="51101" spans="9:9" x14ac:dyDescent="0.2">
      <c r="I51101" s="137" t="s">
        <v>74</v>
      </c>
    </row>
    <row r="51102" spans="9:9" x14ac:dyDescent="0.2">
      <c r="I51102" s="137" t="s">
        <v>74</v>
      </c>
    </row>
    <row r="51103" spans="9:9" x14ac:dyDescent="0.2">
      <c r="I51103" s="137" t="s">
        <v>74</v>
      </c>
    </row>
    <row r="51104" spans="9:9" x14ac:dyDescent="0.2">
      <c r="I51104" s="137" t="s">
        <v>74</v>
      </c>
    </row>
    <row r="51105" spans="9:9" x14ac:dyDescent="0.2">
      <c r="I51105" s="137" t="s">
        <v>74</v>
      </c>
    </row>
    <row r="51106" spans="9:9" x14ac:dyDescent="0.2">
      <c r="I51106" s="137" t="s">
        <v>74</v>
      </c>
    </row>
    <row r="51107" spans="9:9" x14ac:dyDescent="0.2">
      <c r="I51107" s="137" t="s">
        <v>74</v>
      </c>
    </row>
    <row r="51108" spans="9:9" x14ac:dyDescent="0.2">
      <c r="I51108" s="137" t="s">
        <v>74</v>
      </c>
    </row>
    <row r="51109" spans="9:9" x14ac:dyDescent="0.2">
      <c r="I51109" s="137" t="s">
        <v>74</v>
      </c>
    </row>
    <row r="51110" spans="9:9" x14ac:dyDescent="0.2">
      <c r="I51110" s="137" t="s">
        <v>74</v>
      </c>
    </row>
    <row r="51111" spans="9:9" x14ac:dyDescent="0.2">
      <c r="I51111" s="137" t="s">
        <v>74</v>
      </c>
    </row>
    <row r="51112" spans="9:9" x14ac:dyDescent="0.2">
      <c r="I51112" s="137" t="s">
        <v>74</v>
      </c>
    </row>
    <row r="51113" spans="9:9" x14ac:dyDescent="0.2">
      <c r="I51113" s="137" t="s">
        <v>74</v>
      </c>
    </row>
    <row r="51114" spans="9:9" x14ac:dyDescent="0.2">
      <c r="I51114" s="137" t="s">
        <v>74</v>
      </c>
    </row>
    <row r="51115" spans="9:9" x14ac:dyDescent="0.2">
      <c r="I51115" s="137" t="s">
        <v>74</v>
      </c>
    </row>
    <row r="51116" spans="9:9" x14ac:dyDescent="0.2">
      <c r="I51116" s="137" t="s">
        <v>74</v>
      </c>
    </row>
    <row r="51117" spans="9:9" x14ac:dyDescent="0.2">
      <c r="I51117" s="137" t="s">
        <v>74</v>
      </c>
    </row>
    <row r="51118" spans="9:9" x14ac:dyDescent="0.2">
      <c r="I51118" s="137" t="s">
        <v>74</v>
      </c>
    </row>
    <row r="51119" spans="9:9" x14ac:dyDescent="0.2">
      <c r="I51119" s="137" t="s">
        <v>74</v>
      </c>
    </row>
    <row r="51120" spans="9:9" x14ac:dyDescent="0.2">
      <c r="I51120" s="137" t="s">
        <v>74</v>
      </c>
    </row>
    <row r="51121" spans="9:9" x14ac:dyDescent="0.2">
      <c r="I51121" s="137" t="s">
        <v>74</v>
      </c>
    </row>
    <row r="51122" spans="9:9" x14ac:dyDescent="0.2">
      <c r="I51122" s="137" t="s">
        <v>74</v>
      </c>
    </row>
    <row r="51123" spans="9:9" x14ac:dyDescent="0.2">
      <c r="I51123" s="137" t="s">
        <v>74</v>
      </c>
    </row>
    <row r="51124" spans="9:9" x14ac:dyDescent="0.2">
      <c r="I51124" s="137" t="s">
        <v>74</v>
      </c>
    </row>
    <row r="51125" spans="9:9" x14ac:dyDescent="0.2">
      <c r="I51125" s="137" t="s">
        <v>74</v>
      </c>
    </row>
    <row r="51126" spans="9:9" x14ac:dyDescent="0.2">
      <c r="I51126" s="137" t="s">
        <v>74</v>
      </c>
    </row>
    <row r="51127" spans="9:9" x14ac:dyDescent="0.2">
      <c r="I51127" s="137" t="s">
        <v>74</v>
      </c>
    </row>
    <row r="51128" spans="9:9" x14ac:dyDescent="0.2">
      <c r="I51128" s="137" t="s">
        <v>74</v>
      </c>
    </row>
    <row r="51129" spans="9:9" x14ac:dyDescent="0.2">
      <c r="I51129" s="137" t="s">
        <v>74</v>
      </c>
    </row>
    <row r="51130" spans="9:9" x14ac:dyDescent="0.2">
      <c r="I51130" s="137" t="s">
        <v>74</v>
      </c>
    </row>
    <row r="51131" spans="9:9" x14ac:dyDescent="0.2">
      <c r="I51131" s="137" t="s">
        <v>74</v>
      </c>
    </row>
    <row r="51132" spans="9:9" x14ac:dyDescent="0.2">
      <c r="I51132" s="137" t="s">
        <v>74</v>
      </c>
    </row>
    <row r="51133" spans="9:9" x14ac:dyDescent="0.2">
      <c r="I51133" s="137" t="s">
        <v>74</v>
      </c>
    </row>
    <row r="51134" spans="9:9" x14ac:dyDescent="0.2">
      <c r="I51134" s="137" t="s">
        <v>74</v>
      </c>
    </row>
    <row r="51135" spans="9:9" x14ac:dyDescent="0.2">
      <c r="I51135" s="137" t="s">
        <v>74</v>
      </c>
    </row>
    <row r="51136" spans="9:9" x14ac:dyDescent="0.2">
      <c r="I51136" s="137" t="s">
        <v>74</v>
      </c>
    </row>
    <row r="51137" spans="9:9" x14ac:dyDescent="0.2">
      <c r="I51137" s="137" t="s">
        <v>74</v>
      </c>
    </row>
    <row r="51138" spans="9:9" x14ac:dyDescent="0.2">
      <c r="I51138" s="137" t="s">
        <v>74</v>
      </c>
    </row>
    <row r="51139" spans="9:9" x14ac:dyDescent="0.2">
      <c r="I51139" s="137" t="s">
        <v>74</v>
      </c>
    </row>
    <row r="51140" spans="9:9" x14ac:dyDescent="0.2">
      <c r="I51140" s="137" t="s">
        <v>74</v>
      </c>
    </row>
    <row r="51141" spans="9:9" x14ac:dyDescent="0.2">
      <c r="I51141" s="137" t="s">
        <v>74</v>
      </c>
    </row>
    <row r="51142" spans="9:9" x14ac:dyDescent="0.2">
      <c r="I51142" s="137" t="s">
        <v>74</v>
      </c>
    </row>
    <row r="51143" spans="9:9" x14ac:dyDescent="0.2">
      <c r="I51143" s="137" t="s">
        <v>74</v>
      </c>
    </row>
    <row r="51144" spans="9:9" x14ac:dyDescent="0.2">
      <c r="I51144" s="137" t="s">
        <v>74</v>
      </c>
    </row>
    <row r="51145" spans="9:9" x14ac:dyDescent="0.2">
      <c r="I51145" s="137" t="s">
        <v>74</v>
      </c>
    </row>
    <row r="51146" spans="9:9" x14ac:dyDescent="0.2">
      <c r="I51146" s="137" t="s">
        <v>74</v>
      </c>
    </row>
    <row r="51147" spans="9:9" x14ac:dyDescent="0.2">
      <c r="I51147" s="137" t="s">
        <v>74</v>
      </c>
    </row>
    <row r="51148" spans="9:9" x14ac:dyDescent="0.2">
      <c r="I51148" s="137" t="s">
        <v>74</v>
      </c>
    </row>
    <row r="51149" spans="9:9" x14ac:dyDescent="0.2">
      <c r="I51149" s="137" t="s">
        <v>74</v>
      </c>
    </row>
    <row r="51150" spans="9:9" x14ac:dyDescent="0.2">
      <c r="I51150" s="137" t="s">
        <v>74</v>
      </c>
    </row>
    <row r="51151" spans="9:9" x14ac:dyDescent="0.2">
      <c r="I51151" s="137" t="s">
        <v>74</v>
      </c>
    </row>
    <row r="51152" spans="9:9" x14ac:dyDescent="0.2">
      <c r="I51152" s="137" t="s">
        <v>74</v>
      </c>
    </row>
    <row r="51153" spans="9:9" x14ac:dyDescent="0.2">
      <c r="I51153" s="137" t="s">
        <v>74</v>
      </c>
    </row>
    <row r="51154" spans="9:9" x14ac:dyDescent="0.2">
      <c r="I51154" s="137" t="s">
        <v>74</v>
      </c>
    </row>
    <row r="51155" spans="9:9" x14ac:dyDescent="0.2">
      <c r="I51155" s="137" t="s">
        <v>74</v>
      </c>
    </row>
    <row r="51156" spans="9:9" x14ac:dyDescent="0.2">
      <c r="I51156" s="137" t="s">
        <v>74</v>
      </c>
    </row>
    <row r="51157" spans="9:9" x14ac:dyDescent="0.2">
      <c r="I51157" s="137" t="s">
        <v>74</v>
      </c>
    </row>
    <row r="51158" spans="9:9" x14ac:dyDescent="0.2">
      <c r="I51158" s="137" t="s">
        <v>74</v>
      </c>
    </row>
    <row r="51159" spans="9:9" x14ac:dyDescent="0.2">
      <c r="I51159" s="137" t="s">
        <v>74</v>
      </c>
    </row>
    <row r="51160" spans="9:9" x14ac:dyDescent="0.2">
      <c r="I51160" s="137" t="s">
        <v>74</v>
      </c>
    </row>
    <row r="51161" spans="9:9" x14ac:dyDescent="0.2">
      <c r="I51161" s="137" t="s">
        <v>74</v>
      </c>
    </row>
    <row r="51162" spans="9:9" x14ac:dyDescent="0.2">
      <c r="I51162" s="137" t="s">
        <v>74</v>
      </c>
    </row>
    <row r="51163" spans="9:9" x14ac:dyDescent="0.2">
      <c r="I51163" s="137" t="s">
        <v>74</v>
      </c>
    </row>
    <row r="51164" spans="9:9" x14ac:dyDescent="0.2">
      <c r="I51164" s="137" t="s">
        <v>74</v>
      </c>
    </row>
    <row r="51165" spans="9:9" x14ac:dyDescent="0.2">
      <c r="I51165" s="137" t="s">
        <v>74</v>
      </c>
    </row>
    <row r="51166" spans="9:9" x14ac:dyDescent="0.2">
      <c r="I51166" s="137" t="s">
        <v>74</v>
      </c>
    </row>
    <row r="51167" spans="9:9" x14ac:dyDescent="0.2">
      <c r="I51167" s="137" t="s">
        <v>74</v>
      </c>
    </row>
    <row r="51168" spans="9:9" x14ac:dyDescent="0.2">
      <c r="I51168" s="137" t="s">
        <v>74</v>
      </c>
    </row>
    <row r="51169" spans="9:9" x14ac:dyDescent="0.2">
      <c r="I51169" s="137" t="s">
        <v>74</v>
      </c>
    </row>
    <row r="51170" spans="9:9" x14ac:dyDescent="0.2">
      <c r="I51170" s="137" t="s">
        <v>74</v>
      </c>
    </row>
    <row r="51171" spans="9:9" x14ac:dyDescent="0.2">
      <c r="I51171" s="137" t="s">
        <v>74</v>
      </c>
    </row>
    <row r="51172" spans="9:9" x14ac:dyDescent="0.2">
      <c r="I51172" s="137" t="s">
        <v>74</v>
      </c>
    </row>
    <row r="51173" spans="9:9" x14ac:dyDescent="0.2">
      <c r="I51173" s="137" t="s">
        <v>74</v>
      </c>
    </row>
    <row r="51174" spans="9:9" x14ac:dyDescent="0.2">
      <c r="I51174" s="137" t="s">
        <v>74</v>
      </c>
    </row>
    <row r="51175" spans="9:9" x14ac:dyDescent="0.2">
      <c r="I51175" s="137" t="s">
        <v>74</v>
      </c>
    </row>
    <row r="51176" spans="9:9" x14ac:dyDescent="0.2">
      <c r="I51176" s="137" t="s">
        <v>74</v>
      </c>
    </row>
    <row r="51177" spans="9:9" x14ac:dyDescent="0.2">
      <c r="I51177" s="137" t="s">
        <v>74</v>
      </c>
    </row>
    <row r="51178" spans="9:9" x14ac:dyDescent="0.2">
      <c r="I51178" s="137" t="s">
        <v>74</v>
      </c>
    </row>
    <row r="51179" spans="9:9" x14ac:dyDescent="0.2">
      <c r="I51179" s="137" t="s">
        <v>74</v>
      </c>
    </row>
    <row r="51180" spans="9:9" x14ac:dyDescent="0.2">
      <c r="I51180" s="137" t="s">
        <v>74</v>
      </c>
    </row>
    <row r="51181" spans="9:9" x14ac:dyDescent="0.2">
      <c r="I51181" s="137" t="s">
        <v>74</v>
      </c>
    </row>
    <row r="51182" spans="9:9" x14ac:dyDescent="0.2">
      <c r="I51182" s="137" t="s">
        <v>74</v>
      </c>
    </row>
    <row r="51183" spans="9:9" x14ac:dyDescent="0.2">
      <c r="I51183" s="137" t="s">
        <v>74</v>
      </c>
    </row>
    <row r="51184" spans="9:9" x14ac:dyDescent="0.2">
      <c r="I51184" s="137" t="s">
        <v>74</v>
      </c>
    </row>
    <row r="51185" spans="9:9" x14ac:dyDescent="0.2">
      <c r="I51185" s="137" t="s">
        <v>74</v>
      </c>
    </row>
    <row r="51186" spans="9:9" x14ac:dyDescent="0.2">
      <c r="I51186" s="137" t="s">
        <v>74</v>
      </c>
    </row>
    <row r="51187" spans="9:9" x14ac:dyDescent="0.2">
      <c r="I51187" s="137" t="s">
        <v>74</v>
      </c>
    </row>
    <row r="51188" spans="9:9" x14ac:dyDescent="0.2">
      <c r="I51188" s="137" t="s">
        <v>74</v>
      </c>
    </row>
    <row r="51189" spans="9:9" x14ac:dyDescent="0.2">
      <c r="I51189" s="137" t="s">
        <v>74</v>
      </c>
    </row>
    <row r="51190" spans="9:9" x14ac:dyDescent="0.2">
      <c r="I51190" s="137" t="s">
        <v>74</v>
      </c>
    </row>
    <row r="51191" spans="9:9" x14ac:dyDescent="0.2">
      <c r="I51191" s="137" t="s">
        <v>74</v>
      </c>
    </row>
    <row r="51192" spans="9:9" x14ac:dyDescent="0.2">
      <c r="I51192" s="137" t="s">
        <v>74</v>
      </c>
    </row>
    <row r="51193" spans="9:9" x14ac:dyDescent="0.2">
      <c r="I51193" s="137" t="s">
        <v>74</v>
      </c>
    </row>
    <row r="51194" spans="9:9" x14ac:dyDescent="0.2">
      <c r="I51194" s="137" t="s">
        <v>74</v>
      </c>
    </row>
    <row r="51195" spans="9:9" x14ac:dyDescent="0.2">
      <c r="I51195" s="137" t="s">
        <v>74</v>
      </c>
    </row>
    <row r="51196" spans="9:9" x14ac:dyDescent="0.2">
      <c r="I51196" s="137" t="s">
        <v>74</v>
      </c>
    </row>
    <row r="51197" spans="9:9" x14ac:dyDescent="0.2">
      <c r="I51197" s="137" t="s">
        <v>74</v>
      </c>
    </row>
    <row r="51198" spans="9:9" x14ac:dyDescent="0.2">
      <c r="I51198" s="137" t="s">
        <v>74</v>
      </c>
    </row>
    <row r="51199" spans="9:9" x14ac:dyDescent="0.2">
      <c r="I51199" s="137" t="s">
        <v>74</v>
      </c>
    </row>
    <row r="51200" spans="9:9" x14ac:dyDescent="0.2">
      <c r="I51200" s="137" t="s">
        <v>74</v>
      </c>
    </row>
    <row r="51201" spans="9:9" x14ac:dyDescent="0.2">
      <c r="I51201" s="137" t="s">
        <v>74</v>
      </c>
    </row>
    <row r="51202" spans="9:9" x14ac:dyDescent="0.2">
      <c r="I51202" s="137" t="s">
        <v>74</v>
      </c>
    </row>
    <row r="51203" spans="9:9" x14ac:dyDescent="0.2">
      <c r="I51203" s="137" t="s">
        <v>74</v>
      </c>
    </row>
    <row r="51204" spans="9:9" x14ac:dyDescent="0.2">
      <c r="I51204" s="137" t="s">
        <v>74</v>
      </c>
    </row>
    <row r="51205" spans="9:9" x14ac:dyDescent="0.2">
      <c r="I51205" s="137" t="s">
        <v>74</v>
      </c>
    </row>
    <row r="51206" spans="9:9" x14ac:dyDescent="0.2">
      <c r="I51206" s="137" t="s">
        <v>74</v>
      </c>
    </row>
    <row r="51207" spans="9:9" x14ac:dyDescent="0.2">
      <c r="I51207" s="137" t="s">
        <v>74</v>
      </c>
    </row>
    <row r="51208" spans="9:9" x14ac:dyDescent="0.2">
      <c r="I51208" s="137" t="s">
        <v>74</v>
      </c>
    </row>
    <row r="51209" spans="9:9" x14ac:dyDescent="0.2">
      <c r="I51209" s="137" t="s">
        <v>74</v>
      </c>
    </row>
    <row r="51210" spans="9:9" x14ac:dyDescent="0.2">
      <c r="I51210" s="137" t="s">
        <v>74</v>
      </c>
    </row>
    <row r="51211" spans="9:9" x14ac:dyDescent="0.2">
      <c r="I51211" s="137" t="s">
        <v>74</v>
      </c>
    </row>
    <row r="51212" spans="9:9" x14ac:dyDescent="0.2">
      <c r="I51212" s="137" t="s">
        <v>74</v>
      </c>
    </row>
    <row r="51213" spans="9:9" x14ac:dyDescent="0.2">
      <c r="I51213" s="137" t="s">
        <v>74</v>
      </c>
    </row>
    <row r="51214" spans="9:9" x14ac:dyDescent="0.2">
      <c r="I51214" s="137" t="s">
        <v>74</v>
      </c>
    </row>
    <row r="51215" spans="9:9" x14ac:dyDescent="0.2">
      <c r="I51215" s="137" t="s">
        <v>74</v>
      </c>
    </row>
    <row r="51216" spans="9:9" x14ac:dyDescent="0.2">
      <c r="I51216" s="137" t="s">
        <v>74</v>
      </c>
    </row>
    <row r="51217" spans="9:9" x14ac:dyDescent="0.2">
      <c r="I51217" s="137" t="s">
        <v>74</v>
      </c>
    </row>
    <row r="51218" spans="9:9" x14ac:dyDescent="0.2">
      <c r="I51218" s="137" t="s">
        <v>74</v>
      </c>
    </row>
    <row r="51219" spans="9:9" x14ac:dyDescent="0.2">
      <c r="I51219" s="137" t="s">
        <v>74</v>
      </c>
    </row>
    <row r="51220" spans="9:9" x14ac:dyDescent="0.2">
      <c r="I51220" s="137" t="s">
        <v>74</v>
      </c>
    </row>
    <row r="51221" spans="9:9" x14ac:dyDescent="0.2">
      <c r="I51221" s="137" t="s">
        <v>74</v>
      </c>
    </row>
    <row r="51222" spans="9:9" x14ac:dyDescent="0.2">
      <c r="I51222" s="137" t="s">
        <v>74</v>
      </c>
    </row>
    <row r="51223" spans="9:9" x14ac:dyDescent="0.2">
      <c r="I51223" s="137" t="s">
        <v>74</v>
      </c>
    </row>
    <row r="51224" spans="9:9" x14ac:dyDescent="0.2">
      <c r="I51224" s="137" t="s">
        <v>74</v>
      </c>
    </row>
    <row r="51225" spans="9:9" x14ac:dyDescent="0.2">
      <c r="I51225" s="137" t="s">
        <v>74</v>
      </c>
    </row>
    <row r="51226" spans="9:9" x14ac:dyDescent="0.2">
      <c r="I51226" s="137" t="s">
        <v>74</v>
      </c>
    </row>
    <row r="51227" spans="9:9" x14ac:dyDescent="0.2">
      <c r="I51227" s="137" t="s">
        <v>74</v>
      </c>
    </row>
    <row r="51228" spans="9:9" x14ac:dyDescent="0.2">
      <c r="I51228" s="137" t="s">
        <v>74</v>
      </c>
    </row>
    <row r="51229" spans="9:9" x14ac:dyDescent="0.2">
      <c r="I51229" s="137" t="s">
        <v>74</v>
      </c>
    </row>
    <row r="51230" spans="9:9" x14ac:dyDescent="0.2">
      <c r="I51230" s="137" t="s">
        <v>74</v>
      </c>
    </row>
    <row r="51231" spans="9:9" x14ac:dyDescent="0.2">
      <c r="I51231" s="137" t="s">
        <v>74</v>
      </c>
    </row>
    <row r="51232" spans="9:9" x14ac:dyDescent="0.2">
      <c r="I51232" s="137" t="s">
        <v>74</v>
      </c>
    </row>
    <row r="51233" spans="9:9" x14ac:dyDescent="0.2">
      <c r="I51233" s="137" t="s">
        <v>74</v>
      </c>
    </row>
    <row r="51234" spans="9:9" x14ac:dyDescent="0.2">
      <c r="I51234" s="137" t="s">
        <v>74</v>
      </c>
    </row>
    <row r="51235" spans="9:9" x14ac:dyDescent="0.2">
      <c r="I51235" s="137" t="s">
        <v>74</v>
      </c>
    </row>
    <row r="51236" spans="9:9" x14ac:dyDescent="0.2">
      <c r="I51236" s="137" t="s">
        <v>74</v>
      </c>
    </row>
    <row r="51237" spans="9:9" x14ac:dyDescent="0.2">
      <c r="I51237" s="137" t="s">
        <v>74</v>
      </c>
    </row>
    <row r="51238" spans="9:9" x14ac:dyDescent="0.2">
      <c r="I51238" s="137" t="s">
        <v>74</v>
      </c>
    </row>
    <row r="51239" spans="9:9" x14ac:dyDescent="0.2">
      <c r="I51239" s="137" t="s">
        <v>74</v>
      </c>
    </row>
    <row r="51240" spans="9:9" x14ac:dyDescent="0.2">
      <c r="I51240" s="137" t="s">
        <v>74</v>
      </c>
    </row>
    <row r="51241" spans="9:9" x14ac:dyDescent="0.2">
      <c r="I51241" s="137" t="s">
        <v>74</v>
      </c>
    </row>
    <row r="51242" spans="9:9" x14ac:dyDescent="0.2">
      <c r="I51242" s="137" t="s">
        <v>74</v>
      </c>
    </row>
    <row r="51243" spans="9:9" x14ac:dyDescent="0.2">
      <c r="I51243" s="137" t="s">
        <v>74</v>
      </c>
    </row>
    <row r="51244" spans="9:9" x14ac:dyDescent="0.2">
      <c r="I51244" s="137" t="s">
        <v>74</v>
      </c>
    </row>
    <row r="51245" spans="9:9" x14ac:dyDescent="0.2">
      <c r="I51245" s="137" t="s">
        <v>74</v>
      </c>
    </row>
    <row r="51246" spans="9:9" x14ac:dyDescent="0.2">
      <c r="I51246" s="137" t="s">
        <v>74</v>
      </c>
    </row>
    <row r="51247" spans="9:9" x14ac:dyDescent="0.2">
      <c r="I51247" s="137" t="s">
        <v>74</v>
      </c>
    </row>
    <row r="51248" spans="9:9" x14ac:dyDescent="0.2">
      <c r="I51248" s="137" t="s">
        <v>74</v>
      </c>
    </row>
    <row r="51249" spans="9:9" x14ac:dyDescent="0.2">
      <c r="I51249" s="137" t="s">
        <v>74</v>
      </c>
    </row>
    <row r="51250" spans="9:9" x14ac:dyDescent="0.2">
      <c r="I51250" s="137" t="s">
        <v>74</v>
      </c>
    </row>
    <row r="51251" spans="9:9" x14ac:dyDescent="0.2">
      <c r="I51251" s="137" t="s">
        <v>74</v>
      </c>
    </row>
    <row r="51252" spans="9:9" x14ac:dyDescent="0.2">
      <c r="I51252" s="137" t="s">
        <v>74</v>
      </c>
    </row>
    <row r="51253" spans="9:9" x14ac:dyDescent="0.2">
      <c r="I51253" s="137" t="s">
        <v>74</v>
      </c>
    </row>
    <row r="51254" spans="9:9" x14ac:dyDescent="0.2">
      <c r="I51254" s="137" t="s">
        <v>74</v>
      </c>
    </row>
    <row r="51255" spans="9:9" x14ac:dyDescent="0.2">
      <c r="I51255" s="137" t="s">
        <v>74</v>
      </c>
    </row>
    <row r="51256" spans="9:9" x14ac:dyDescent="0.2">
      <c r="I51256" s="137" t="s">
        <v>74</v>
      </c>
    </row>
    <row r="51257" spans="9:9" x14ac:dyDescent="0.2">
      <c r="I51257" s="137" t="s">
        <v>74</v>
      </c>
    </row>
    <row r="51258" spans="9:9" x14ac:dyDescent="0.2">
      <c r="I51258" s="137" t="s">
        <v>74</v>
      </c>
    </row>
    <row r="51259" spans="9:9" x14ac:dyDescent="0.2">
      <c r="I51259" s="137" t="s">
        <v>74</v>
      </c>
    </row>
    <row r="51260" spans="9:9" x14ac:dyDescent="0.2">
      <c r="I51260" s="137" t="s">
        <v>74</v>
      </c>
    </row>
    <row r="51261" spans="9:9" x14ac:dyDescent="0.2">
      <c r="I51261" s="137" t="s">
        <v>74</v>
      </c>
    </row>
    <row r="51262" spans="9:9" x14ac:dyDescent="0.2">
      <c r="I51262" s="137" t="s">
        <v>74</v>
      </c>
    </row>
    <row r="51263" spans="9:9" x14ac:dyDescent="0.2">
      <c r="I51263" s="137" t="s">
        <v>74</v>
      </c>
    </row>
    <row r="51264" spans="9:9" x14ac:dyDescent="0.2">
      <c r="I51264" s="137" t="s">
        <v>74</v>
      </c>
    </row>
    <row r="51265" spans="9:9" x14ac:dyDescent="0.2">
      <c r="I51265" s="137" t="s">
        <v>74</v>
      </c>
    </row>
    <row r="51266" spans="9:9" x14ac:dyDescent="0.2">
      <c r="I51266" s="137" t="s">
        <v>74</v>
      </c>
    </row>
    <row r="51267" spans="9:9" x14ac:dyDescent="0.2">
      <c r="I51267" s="137" t="s">
        <v>74</v>
      </c>
    </row>
    <row r="51268" spans="9:9" x14ac:dyDescent="0.2">
      <c r="I51268" s="137" t="s">
        <v>74</v>
      </c>
    </row>
    <row r="51269" spans="9:9" x14ac:dyDescent="0.2">
      <c r="I51269" s="137" t="s">
        <v>74</v>
      </c>
    </row>
    <row r="51270" spans="9:9" x14ac:dyDescent="0.2">
      <c r="I51270" s="137" t="s">
        <v>74</v>
      </c>
    </row>
    <row r="51271" spans="9:9" x14ac:dyDescent="0.2">
      <c r="I51271" s="137" t="s">
        <v>74</v>
      </c>
    </row>
    <row r="51272" spans="9:9" x14ac:dyDescent="0.2">
      <c r="I51272" s="137" t="s">
        <v>74</v>
      </c>
    </row>
    <row r="51273" spans="9:9" x14ac:dyDescent="0.2">
      <c r="I51273" s="137" t="s">
        <v>74</v>
      </c>
    </row>
    <row r="51274" spans="9:9" x14ac:dyDescent="0.2">
      <c r="I51274" s="137" t="s">
        <v>74</v>
      </c>
    </row>
    <row r="51275" spans="9:9" x14ac:dyDescent="0.2">
      <c r="I51275" s="137" t="s">
        <v>74</v>
      </c>
    </row>
    <row r="51276" spans="9:9" x14ac:dyDescent="0.2">
      <c r="I51276" s="137" t="s">
        <v>74</v>
      </c>
    </row>
    <row r="51277" spans="9:9" x14ac:dyDescent="0.2">
      <c r="I51277" s="137" t="s">
        <v>74</v>
      </c>
    </row>
    <row r="51278" spans="9:9" x14ac:dyDescent="0.2">
      <c r="I51278" s="137" t="s">
        <v>74</v>
      </c>
    </row>
    <row r="51279" spans="9:9" x14ac:dyDescent="0.2">
      <c r="I51279" s="137" t="s">
        <v>74</v>
      </c>
    </row>
    <row r="51280" spans="9:9" x14ac:dyDescent="0.2">
      <c r="I51280" s="137" t="s">
        <v>74</v>
      </c>
    </row>
    <row r="51281" spans="9:9" x14ac:dyDescent="0.2">
      <c r="I51281" s="137" t="s">
        <v>74</v>
      </c>
    </row>
    <row r="51282" spans="9:9" x14ac:dyDescent="0.2">
      <c r="I51282" s="137" t="s">
        <v>74</v>
      </c>
    </row>
    <row r="51283" spans="9:9" x14ac:dyDescent="0.2">
      <c r="I51283" s="137" t="s">
        <v>74</v>
      </c>
    </row>
    <row r="51284" spans="9:9" x14ac:dyDescent="0.2">
      <c r="I51284" s="137" t="s">
        <v>74</v>
      </c>
    </row>
    <row r="51285" spans="9:9" x14ac:dyDescent="0.2">
      <c r="I51285" s="137" t="s">
        <v>74</v>
      </c>
    </row>
    <row r="51286" spans="9:9" x14ac:dyDescent="0.2">
      <c r="I51286" s="137" t="s">
        <v>74</v>
      </c>
    </row>
    <row r="51287" spans="9:9" x14ac:dyDescent="0.2">
      <c r="I51287" s="137" t="s">
        <v>74</v>
      </c>
    </row>
    <row r="51288" spans="9:9" x14ac:dyDescent="0.2">
      <c r="I51288" s="137" t="s">
        <v>74</v>
      </c>
    </row>
    <row r="51289" spans="9:9" x14ac:dyDescent="0.2">
      <c r="I51289" s="137" t="s">
        <v>74</v>
      </c>
    </row>
    <row r="51290" spans="9:9" x14ac:dyDescent="0.2">
      <c r="I51290" s="137" t="s">
        <v>74</v>
      </c>
    </row>
    <row r="51291" spans="9:9" x14ac:dyDescent="0.2">
      <c r="I51291" s="137" t="s">
        <v>74</v>
      </c>
    </row>
    <row r="51292" spans="9:9" x14ac:dyDescent="0.2">
      <c r="I51292" s="137" t="s">
        <v>74</v>
      </c>
    </row>
    <row r="51293" spans="9:9" x14ac:dyDescent="0.2">
      <c r="I51293" s="137" t="s">
        <v>74</v>
      </c>
    </row>
    <row r="51294" spans="9:9" x14ac:dyDescent="0.2">
      <c r="I51294" s="137" t="s">
        <v>74</v>
      </c>
    </row>
    <row r="51295" spans="9:9" x14ac:dyDescent="0.2">
      <c r="I51295" s="137" t="s">
        <v>74</v>
      </c>
    </row>
    <row r="51296" spans="9:9" x14ac:dyDescent="0.2">
      <c r="I51296" s="137" t="s">
        <v>74</v>
      </c>
    </row>
    <row r="51297" spans="9:9" x14ac:dyDescent="0.2">
      <c r="I51297" s="137" t="s">
        <v>74</v>
      </c>
    </row>
    <row r="51298" spans="9:9" x14ac:dyDescent="0.2">
      <c r="I51298" s="137" t="s">
        <v>74</v>
      </c>
    </row>
    <row r="51299" spans="9:9" x14ac:dyDescent="0.2">
      <c r="I51299" s="137" t="s">
        <v>74</v>
      </c>
    </row>
    <row r="51300" spans="9:9" x14ac:dyDescent="0.2">
      <c r="I51300" s="137" t="s">
        <v>74</v>
      </c>
    </row>
    <row r="51301" spans="9:9" x14ac:dyDescent="0.2">
      <c r="I51301" s="137" t="s">
        <v>74</v>
      </c>
    </row>
    <row r="51302" spans="9:9" x14ac:dyDescent="0.2">
      <c r="I51302" s="137" t="s">
        <v>74</v>
      </c>
    </row>
    <row r="51303" spans="9:9" x14ac:dyDescent="0.2">
      <c r="I51303" s="137" t="s">
        <v>74</v>
      </c>
    </row>
    <row r="51304" spans="9:9" x14ac:dyDescent="0.2">
      <c r="I51304" s="137" t="s">
        <v>74</v>
      </c>
    </row>
    <row r="51305" spans="9:9" x14ac:dyDescent="0.2">
      <c r="I51305" s="137" t="s">
        <v>74</v>
      </c>
    </row>
    <row r="51306" spans="9:9" x14ac:dyDescent="0.2">
      <c r="I51306" s="137" t="s">
        <v>74</v>
      </c>
    </row>
    <row r="51307" spans="9:9" x14ac:dyDescent="0.2">
      <c r="I51307" s="137" t="s">
        <v>74</v>
      </c>
    </row>
    <row r="51308" spans="9:9" x14ac:dyDescent="0.2">
      <c r="I51308" s="137" t="s">
        <v>74</v>
      </c>
    </row>
    <row r="51309" spans="9:9" x14ac:dyDescent="0.2">
      <c r="I51309" s="137" t="s">
        <v>74</v>
      </c>
    </row>
    <row r="51310" spans="9:9" x14ac:dyDescent="0.2">
      <c r="I51310" s="137" t="s">
        <v>74</v>
      </c>
    </row>
    <row r="51311" spans="9:9" x14ac:dyDescent="0.2">
      <c r="I51311" s="137" t="s">
        <v>74</v>
      </c>
    </row>
    <row r="51312" spans="9:9" x14ac:dyDescent="0.2">
      <c r="I51312" s="137" t="s">
        <v>74</v>
      </c>
    </row>
    <row r="51313" spans="9:9" x14ac:dyDescent="0.2">
      <c r="I51313" s="137" t="s">
        <v>74</v>
      </c>
    </row>
    <row r="51314" spans="9:9" x14ac:dyDescent="0.2">
      <c r="I51314" s="137" t="s">
        <v>74</v>
      </c>
    </row>
    <row r="51315" spans="9:9" x14ac:dyDescent="0.2">
      <c r="I51315" s="137" t="s">
        <v>74</v>
      </c>
    </row>
    <row r="51316" spans="9:9" x14ac:dyDescent="0.2">
      <c r="I51316" s="137" t="s">
        <v>74</v>
      </c>
    </row>
    <row r="51317" spans="9:9" x14ac:dyDescent="0.2">
      <c r="I51317" s="137" t="s">
        <v>74</v>
      </c>
    </row>
    <row r="51318" spans="9:9" x14ac:dyDescent="0.2">
      <c r="I51318" s="137" t="s">
        <v>74</v>
      </c>
    </row>
    <row r="51319" spans="9:9" x14ac:dyDescent="0.2">
      <c r="I51319" s="137" t="s">
        <v>74</v>
      </c>
    </row>
    <row r="51320" spans="9:9" x14ac:dyDescent="0.2">
      <c r="I51320" s="137" t="s">
        <v>74</v>
      </c>
    </row>
    <row r="51321" spans="9:9" x14ac:dyDescent="0.2">
      <c r="I51321" s="137" t="s">
        <v>74</v>
      </c>
    </row>
    <row r="51322" spans="9:9" x14ac:dyDescent="0.2">
      <c r="I51322" s="137" t="s">
        <v>74</v>
      </c>
    </row>
    <row r="51323" spans="9:9" x14ac:dyDescent="0.2">
      <c r="I51323" s="137" t="s">
        <v>74</v>
      </c>
    </row>
    <row r="51324" spans="9:9" x14ac:dyDescent="0.2">
      <c r="I51324" s="137" t="s">
        <v>74</v>
      </c>
    </row>
    <row r="51325" spans="9:9" x14ac:dyDescent="0.2">
      <c r="I51325" s="137" t="s">
        <v>74</v>
      </c>
    </row>
    <row r="51326" spans="9:9" x14ac:dyDescent="0.2">
      <c r="I51326" s="137" t="s">
        <v>74</v>
      </c>
    </row>
    <row r="51327" spans="9:9" x14ac:dyDescent="0.2">
      <c r="I51327" s="137" t="s">
        <v>74</v>
      </c>
    </row>
    <row r="51328" spans="9:9" x14ac:dyDescent="0.2">
      <c r="I51328" s="137" t="s">
        <v>74</v>
      </c>
    </row>
    <row r="51329" spans="9:9" x14ac:dyDescent="0.2">
      <c r="I51329" s="137" t="s">
        <v>74</v>
      </c>
    </row>
    <row r="51330" spans="9:9" x14ac:dyDescent="0.2">
      <c r="I51330" s="137" t="s">
        <v>74</v>
      </c>
    </row>
    <row r="51331" spans="9:9" x14ac:dyDescent="0.2">
      <c r="I51331" s="137" t="s">
        <v>74</v>
      </c>
    </row>
    <row r="51332" spans="9:9" x14ac:dyDescent="0.2">
      <c r="I51332" s="137" t="s">
        <v>74</v>
      </c>
    </row>
    <row r="51333" spans="9:9" x14ac:dyDescent="0.2">
      <c r="I51333" s="137" t="s">
        <v>74</v>
      </c>
    </row>
    <row r="51334" spans="9:9" x14ac:dyDescent="0.2">
      <c r="I51334" s="137" t="s">
        <v>74</v>
      </c>
    </row>
    <row r="51335" spans="9:9" x14ac:dyDescent="0.2">
      <c r="I51335" s="137" t="s">
        <v>74</v>
      </c>
    </row>
    <row r="51336" spans="9:9" x14ac:dyDescent="0.2">
      <c r="I51336" s="137" t="s">
        <v>74</v>
      </c>
    </row>
    <row r="51337" spans="9:9" x14ac:dyDescent="0.2">
      <c r="I51337" s="137" t="s">
        <v>74</v>
      </c>
    </row>
    <row r="51338" spans="9:9" x14ac:dyDescent="0.2">
      <c r="I51338" s="137" t="s">
        <v>74</v>
      </c>
    </row>
    <row r="51339" spans="9:9" x14ac:dyDescent="0.2">
      <c r="I51339" s="137" t="s">
        <v>74</v>
      </c>
    </row>
    <row r="51340" spans="9:9" x14ac:dyDescent="0.2">
      <c r="I51340" s="137" t="s">
        <v>74</v>
      </c>
    </row>
    <row r="51341" spans="9:9" x14ac:dyDescent="0.2">
      <c r="I51341" s="137" t="s">
        <v>74</v>
      </c>
    </row>
    <row r="51342" spans="9:9" x14ac:dyDescent="0.2">
      <c r="I51342" s="137" t="s">
        <v>74</v>
      </c>
    </row>
    <row r="51343" spans="9:9" x14ac:dyDescent="0.2">
      <c r="I51343" s="137" t="s">
        <v>74</v>
      </c>
    </row>
    <row r="51344" spans="9:9" x14ac:dyDescent="0.2">
      <c r="I51344" s="137" t="s">
        <v>74</v>
      </c>
    </row>
    <row r="51345" spans="9:9" x14ac:dyDescent="0.2">
      <c r="I51345" s="137" t="s">
        <v>74</v>
      </c>
    </row>
    <row r="51346" spans="9:9" x14ac:dyDescent="0.2">
      <c r="I51346" s="137" t="s">
        <v>74</v>
      </c>
    </row>
    <row r="51347" spans="9:9" x14ac:dyDescent="0.2">
      <c r="I51347" s="137" t="s">
        <v>74</v>
      </c>
    </row>
    <row r="51348" spans="9:9" x14ac:dyDescent="0.2">
      <c r="I51348" s="137" t="s">
        <v>74</v>
      </c>
    </row>
    <row r="51349" spans="9:9" x14ac:dyDescent="0.2">
      <c r="I51349" s="137" t="s">
        <v>74</v>
      </c>
    </row>
    <row r="51350" spans="9:9" x14ac:dyDescent="0.2">
      <c r="I51350" s="137" t="s">
        <v>74</v>
      </c>
    </row>
    <row r="51351" spans="9:9" x14ac:dyDescent="0.2">
      <c r="I51351" s="137" t="s">
        <v>74</v>
      </c>
    </row>
    <row r="51352" spans="9:9" x14ac:dyDescent="0.2">
      <c r="I51352" s="137" t="s">
        <v>74</v>
      </c>
    </row>
    <row r="51353" spans="9:9" x14ac:dyDescent="0.2">
      <c r="I51353" s="137" t="s">
        <v>74</v>
      </c>
    </row>
    <row r="51354" spans="9:9" x14ac:dyDescent="0.2">
      <c r="I51354" s="137" t="s">
        <v>74</v>
      </c>
    </row>
    <row r="51355" spans="9:9" x14ac:dyDescent="0.2">
      <c r="I51355" s="137" t="s">
        <v>74</v>
      </c>
    </row>
    <row r="51356" spans="9:9" x14ac:dyDescent="0.2">
      <c r="I51356" s="137" t="s">
        <v>74</v>
      </c>
    </row>
    <row r="51357" spans="9:9" x14ac:dyDescent="0.2">
      <c r="I51357" s="137" t="s">
        <v>74</v>
      </c>
    </row>
    <row r="51358" spans="9:9" x14ac:dyDescent="0.2">
      <c r="I51358" s="137" t="s">
        <v>74</v>
      </c>
    </row>
    <row r="51359" spans="9:9" x14ac:dyDescent="0.2">
      <c r="I51359" s="137" t="s">
        <v>74</v>
      </c>
    </row>
    <row r="51360" spans="9:9" x14ac:dyDescent="0.2">
      <c r="I51360" s="137" t="s">
        <v>74</v>
      </c>
    </row>
    <row r="51361" spans="9:9" x14ac:dyDescent="0.2">
      <c r="I51361" s="137" t="s">
        <v>74</v>
      </c>
    </row>
    <row r="51362" spans="9:9" x14ac:dyDescent="0.2">
      <c r="I51362" s="137" t="s">
        <v>74</v>
      </c>
    </row>
    <row r="51363" spans="9:9" x14ac:dyDescent="0.2">
      <c r="I51363" s="137" t="s">
        <v>74</v>
      </c>
    </row>
    <row r="51364" spans="9:9" x14ac:dyDescent="0.2">
      <c r="I51364" s="137" t="s">
        <v>74</v>
      </c>
    </row>
    <row r="51365" spans="9:9" x14ac:dyDescent="0.2">
      <c r="I51365" s="137" t="s">
        <v>74</v>
      </c>
    </row>
    <row r="51366" spans="9:9" x14ac:dyDescent="0.2">
      <c r="I51366" s="137" t="s">
        <v>74</v>
      </c>
    </row>
    <row r="51367" spans="9:9" x14ac:dyDescent="0.2">
      <c r="I51367" s="137" t="s">
        <v>74</v>
      </c>
    </row>
    <row r="51368" spans="9:9" x14ac:dyDescent="0.2">
      <c r="I51368" s="137" t="s">
        <v>74</v>
      </c>
    </row>
    <row r="51369" spans="9:9" x14ac:dyDescent="0.2">
      <c r="I51369" s="137" t="s">
        <v>74</v>
      </c>
    </row>
    <row r="51370" spans="9:9" x14ac:dyDescent="0.2">
      <c r="I51370" s="137" t="s">
        <v>74</v>
      </c>
    </row>
    <row r="51371" spans="9:9" x14ac:dyDescent="0.2">
      <c r="I51371" s="137" t="s">
        <v>74</v>
      </c>
    </row>
    <row r="51372" spans="9:9" x14ac:dyDescent="0.2">
      <c r="I51372" s="137" t="s">
        <v>74</v>
      </c>
    </row>
    <row r="51373" spans="9:9" x14ac:dyDescent="0.2">
      <c r="I51373" s="137" t="s">
        <v>74</v>
      </c>
    </row>
    <row r="51374" spans="9:9" x14ac:dyDescent="0.2">
      <c r="I51374" s="137" t="s">
        <v>74</v>
      </c>
    </row>
    <row r="51375" spans="9:9" x14ac:dyDescent="0.2">
      <c r="I51375" s="137" t="s">
        <v>74</v>
      </c>
    </row>
    <row r="51376" spans="9:9" x14ac:dyDescent="0.2">
      <c r="I51376" s="137" t="s">
        <v>74</v>
      </c>
    </row>
    <row r="51377" spans="9:9" x14ac:dyDescent="0.2">
      <c r="I51377" s="137" t="s">
        <v>74</v>
      </c>
    </row>
    <row r="51378" spans="9:9" x14ac:dyDescent="0.2">
      <c r="I51378" s="137" t="s">
        <v>74</v>
      </c>
    </row>
    <row r="51379" spans="9:9" x14ac:dyDescent="0.2">
      <c r="I51379" s="137" t="s">
        <v>74</v>
      </c>
    </row>
    <row r="51380" spans="9:9" x14ac:dyDescent="0.2">
      <c r="I51380" s="137" t="s">
        <v>74</v>
      </c>
    </row>
    <row r="51381" spans="9:9" x14ac:dyDescent="0.2">
      <c r="I51381" s="137" t="s">
        <v>74</v>
      </c>
    </row>
    <row r="51382" spans="9:9" x14ac:dyDescent="0.2">
      <c r="I51382" s="137" t="s">
        <v>74</v>
      </c>
    </row>
    <row r="51383" spans="9:9" x14ac:dyDescent="0.2">
      <c r="I51383" s="137" t="s">
        <v>74</v>
      </c>
    </row>
    <row r="51384" spans="9:9" x14ac:dyDescent="0.2">
      <c r="I51384" s="137" t="s">
        <v>74</v>
      </c>
    </row>
    <row r="51385" spans="9:9" x14ac:dyDescent="0.2">
      <c r="I51385" s="137" t="s">
        <v>74</v>
      </c>
    </row>
    <row r="51386" spans="9:9" x14ac:dyDescent="0.2">
      <c r="I51386" s="137" t="s">
        <v>74</v>
      </c>
    </row>
    <row r="51387" spans="9:9" x14ac:dyDescent="0.2">
      <c r="I51387" s="137" t="s">
        <v>74</v>
      </c>
    </row>
    <row r="51388" spans="9:9" x14ac:dyDescent="0.2">
      <c r="I51388" s="137" t="s">
        <v>74</v>
      </c>
    </row>
    <row r="51389" spans="9:9" x14ac:dyDescent="0.2">
      <c r="I51389" s="137" t="s">
        <v>74</v>
      </c>
    </row>
    <row r="51390" spans="9:9" x14ac:dyDescent="0.2">
      <c r="I51390" s="137" t="s">
        <v>74</v>
      </c>
    </row>
    <row r="51391" spans="9:9" x14ac:dyDescent="0.2">
      <c r="I51391" s="137" t="s">
        <v>74</v>
      </c>
    </row>
    <row r="51392" spans="9:9" x14ac:dyDescent="0.2">
      <c r="I51392" s="137" t="s">
        <v>74</v>
      </c>
    </row>
    <row r="51393" spans="9:9" x14ac:dyDescent="0.2">
      <c r="I51393" s="137" t="s">
        <v>74</v>
      </c>
    </row>
    <row r="51394" spans="9:9" x14ac:dyDescent="0.2">
      <c r="I51394" s="137" t="s">
        <v>74</v>
      </c>
    </row>
    <row r="51395" spans="9:9" x14ac:dyDescent="0.2">
      <c r="I51395" s="137" t="s">
        <v>74</v>
      </c>
    </row>
    <row r="51396" spans="9:9" x14ac:dyDescent="0.2">
      <c r="I51396" s="137" t="s">
        <v>74</v>
      </c>
    </row>
    <row r="51397" spans="9:9" x14ac:dyDescent="0.2">
      <c r="I51397" s="137" t="s">
        <v>74</v>
      </c>
    </row>
    <row r="51398" spans="9:9" x14ac:dyDescent="0.2">
      <c r="I51398" s="137" t="s">
        <v>74</v>
      </c>
    </row>
    <row r="51399" spans="9:9" x14ac:dyDescent="0.2">
      <c r="I51399" s="137" t="s">
        <v>74</v>
      </c>
    </row>
    <row r="51400" spans="9:9" x14ac:dyDescent="0.2">
      <c r="I51400" s="137" t="s">
        <v>74</v>
      </c>
    </row>
    <row r="51401" spans="9:9" x14ac:dyDescent="0.2">
      <c r="I51401" s="137" t="s">
        <v>74</v>
      </c>
    </row>
    <row r="51402" spans="9:9" x14ac:dyDescent="0.2">
      <c r="I51402" s="137" t="s">
        <v>74</v>
      </c>
    </row>
    <row r="51403" spans="9:9" x14ac:dyDescent="0.2">
      <c r="I51403" s="137" t="s">
        <v>74</v>
      </c>
    </row>
    <row r="51404" spans="9:9" x14ac:dyDescent="0.2">
      <c r="I51404" s="137" t="s">
        <v>74</v>
      </c>
    </row>
    <row r="51405" spans="9:9" x14ac:dyDescent="0.2">
      <c r="I51405" s="137" t="s">
        <v>74</v>
      </c>
    </row>
    <row r="51406" spans="9:9" x14ac:dyDescent="0.2">
      <c r="I51406" s="137" t="s">
        <v>74</v>
      </c>
    </row>
    <row r="51407" spans="9:9" x14ac:dyDescent="0.2">
      <c r="I51407" s="137" t="s">
        <v>74</v>
      </c>
    </row>
    <row r="51408" spans="9:9" x14ac:dyDescent="0.2">
      <c r="I51408" s="137" t="s">
        <v>74</v>
      </c>
    </row>
    <row r="51409" spans="9:9" x14ac:dyDescent="0.2">
      <c r="I51409" s="137" t="s">
        <v>74</v>
      </c>
    </row>
    <row r="51410" spans="9:9" x14ac:dyDescent="0.2">
      <c r="I51410" s="137" t="s">
        <v>74</v>
      </c>
    </row>
    <row r="51411" spans="9:9" x14ac:dyDescent="0.2">
      <c r="I51411" s="137" t="s">
        <v>74</v>
      </c>
    </row>
    <row r="51412" spans="9:9" x14ac:dyDescent="0.2">
      <c r="I51412" s="137" t="s">
        <v>74</v>
      </c>
    </row>
    <row r="51413" spans="9:9" x14ac:dyDescent="0.2">
      <c r="I51413" s="137" t="s">
        <v>74</v>
      </c>
    </row>
    <row r="51414" spans="9:9" x14ac:dyDescent="0.2">
      <c r="I51414" s="137" t="s">
        <v>74</v>
      </c>
    </row>
    <row r="51415" spans="9:9" x14ac:dyDescent="0.2">
      <c r="I51415" s="137" t="s">
        <v>74</v>
      </c>
    </row>
    <row r="51416" spans="9:9" x14ac:dyDescent="0.2">
      <c r="I51416" s="137" t="s">
        <v>74</v>
      </c>
    </row>
    <row r="51417" spans="9:9" x14ac:dyDescent="0.2">
      <c r="I51417" s="137" t="s">
        <v>74</v>
      </c>
    </row>
    <row r="51418" spans="9:9" x14ac:dyDescent="0.2">
      <c r="I51418" s="137" t="s">
        <v>74</v>
      </c>
    </row>
    <row r="51419" spans="9:9" x14ac:dyDescent="0.2">
      <c r="I51419" s="137" t="s">
        <v>74</v>
      </c>
    </row>
    <row r="51420" spans="9:9" x14ac:dyDescent="0.2">
      <c r="I51420" s="137" t="s">
        <v>74</v>
      </c>
    </row>
    <row r="51421" spans="9:9" x14ac:dyDescent="0.2">
      <c r="I51421" s="137" t="s">
        <v>74</v>
      </c>
    </row>
    <row r="51422" spans="9:9" x14ac:dyDescent="0.2">
      <c r="I51422" s="137" t="s">
        <v>74</v>
      </c>
    </row>
    <row r="51423" spans="9:9" x14ac:dyDescent="0.2">
      <c r="I51423" s="137" t="s">
        <v>74</v>
      </c>
    </row>
    <row r="51424" spans="9:9" x14ac:dyDescent="0.2">
      <c r="I51424" s="137" t="s">
        <v>74</v>
      </c>
    </row>
    <row r="51425" spans="9:9" x14ac:dyDescent="0.2">
      <c r="I51425" s="137" t="s">
        <v>74</v>
      </c>
    </row>
    <row r="51426" spans="9:9" x14ac:dyDescent="0.2">
      <c r="I51426" s="137" t="s">
        <v>74</v>
      </c>
    </row>
    <row r="51427" spans="9:9" x14ac:dyDescent="0.2">
      <c r="I51427" s="137" t="s">
        <v>74</v>
      </c>
    </row>
    <row r="51428" spans="9:9" x14ac:dyDescent="0.2">
      <c r="I51428" s="137" t="s">
        <v>74</v>
      </c>
    </row>
    <row r="51429" spans="9:9" x14ac:dyDescent="0.2">
      <c r="I51429" s="137" t="s">
        <v>74</v>
      </c>
    </row>
    <row r="51430" spans="9:9" x14ac:dyDescent="0.2">
      <c r="I51430" s="137" t="s">
        <v>74</v>
      </c>
    </row>
    <row r="51431" spans="9:9" x14ac:dyDescent="0.2">
      <c r="I51431" s="137" t="s">
        <v>74</v>
      </c>
    </row>
    <row r="51432" spans="9:9" x14ac:dyDescent="0.2">
      <c r="I51432" s="137" t="s">
        <v>74</v>
      </c>
    </row>
    <row r="51433" spans="9:9" x14ac:dyDescent="0.2">
      <c r="I51433" s="137" t="s">
        <v>74</v>
      </c>
    </row>
    <row r="51434" spans="9:9" x14ac:dyDescent="0.2">
      <c r="I51434" s="137" t="s">
        <v>74</v>
      </c>
    </row>
    <row r="51435" spans="9:9" x14ac:dyDescent="0.2">
      <c r="I51435" s="137" t="s">
        <v>74</v>
      </c>
    </row>
    <row r="51436" spans="9:9" x14ac:dyDescent="0.2">
      <c r="I51436" s="137" t="s">
        <v>74</v>
      </c>
    </row>
    <row r="51437" spans="9:9" x14ac:dyDescent="0.2">
      <c r="I51437" s="137" t="s">
        <v>74</v>
      </c>
    </row>
    <row r="51438" spans="9:9" x14ac:dyDescent="0.2">
      <c r="I51438" s="137" t="s">
        <v>74</v>
      </c>
    </row>
    <row r="51439" spans="9:9" x14ac:dyDescent="0.2">
      <c r="I51439" s="137" t="s">
        <v>74</v>
      </c>
    </row>
    <row r="51440" spans="9:9" x14ac:dyDescent="0.2">
      <c r="I51440" s="137" t="s">
        <v>74</v>
      </c>
    </row>
    <row r="51441" spans="9:9" x14ac:dyDescent="0.2">
      <c r="I51441" s="137" t="s">
        <v>74</v>
      </c>
    </row>
    <row r="51442" spans="9:9" x14ac:dyDescent="0.2">
      <c r="I51442" s="137" t="s">
        <v>74</v>
      </c>
    </row>
    <row r="51443" spans="9:9" x14ac:dyDescent="0.2">
      <c r="I51443" s="137" t="s">
        <v>74</v>
      </c>
    </row>
    <row r="51444" spans="9:9" x14ac:dyDescent="0.2">
      <c r="I51444" s="137" t="s">
        <v>74</v>
      </c>
    </row>
    <row r="51445" spans="9:9" x14ac:dyDescent="0.2">
      <c r="I51445" s="137" t="s">
        <v>74</v>
      </c>
    </row>
    <row r="51446" spans="9:9" x14ac:dyDescent="0.2">
      <c r="I51446" s="137" t="s">
        <v>74</v>
      </c>
    </row>
    <row r="51447" spans="9:9" x14ac:dyDescent="0.2">
      <c r="I51447" s="137" t="s">
        <v>74</v>
      </c>
    </row>
    <row r="51448" spans="9:9" x14ac:dyDescent="0.2">
      <c r="I51448" s="137" t="s">
        <v>74</v>
      </c>
    </row>
    <row r="51449" spans="9:9" x14ac:dyDescent="0.2">
      <c r="I51449" s="137" t="s">
        <v>74</v>
      </c>
    </row>
    <row r="51450" spans="9:9" x14ac:dyDescent="0.2">
      <c r="I51450" s="137" t="s">
        <v>74</v>
      </c>
    </row>
    <row r="51451" spans="9:9" x14ac:dyDescent="0.2">
      <c r="I51451" s="137" t="s">
        <v>74</v>
      </c>
    </row>
    <row r="51452" spans="9:9" x14ac:dyDescent="0.2">
      <c r="I51452" s="137" t="s">
        <v>74</v>
      </c>
    </row>
    <row r="51453" spans="9:9" x14ac:dyDescent="0.2">
      <c r="I51453" s="137" t="s">
        <v>74</v>
      </c>
    </row>
    <row r="51454" spans="9:9" x14ac:dyDescent="0.2">
      <c r="I51454" s="137" t="s">
        <v>74</v>
      </c>
    </row>
    <row r="51455" spans="9:9" x14ac:dyDescent="0.2">
      <c r="I51455" s="137" t="s">
        <v>74</v>
      </c>
    </row>
    <row r="51456" spans="9:9" x14ac:dyDescent="0.2">
      <c r="I51456" s="137" t="s">
        <v>74</v>
      </c>
    </row>
    <row r="51457" spans="9:9" x14ac:dyDescent="0.2">
      <c r="I51457" s="137" t="s">
        <v>74</v>
      </c>
    </row>
    <row r="51458" spans="9:9" x14ac:dyDescent="0.2">
      <c r="I51458" s="137" t="s">
        <v>74</v>
      </c>
    </row>
    <row r="51459" spans="9:9" x14ac:dyDescent="0.2">
      <c r="I51459" s="137" t="s">
        <v>74</v>
      </c>
    </row>
    <row r="51460" spans="9:9" x14ac:dyDescent="0.2">
      <c r="I51460" s="137" t="s">
        <v>74</v>
      </c>
    </row>
    <row r="51461" spans="9:9" x14ac:dyDescent="0.2">
      <c r="I51461" s="137" t="s">
        <v>74</v>
      </c>
    </row>
    <row r="51462" spans="9:9" x14ac:dyDescent="0.2">
      <c r="I51462" s="137" t="s">
        <v>74</v>
      </c>
    </row>
    <row r="51463" spans="9:9" x14ac:dyDescent="0.2">
      <c r="I51463" s="137" t="s">
        <v>74</v>
      </c>
    </row>
    <row r="51464" spans="9:9" x14ac:dyDescent="0.2">
      <c r="I51464" s="137" t="s">
        <v>74</v>
      </c>
    </row>
    <row r="51465" spans="9:9" x14ac:dyDescent="0.2">
      <c r="I51465" s="137" t="s">
        <v>74</v>
      </c>
    </row>
    <row r="51466" spans="9:9" x14ac:dyDescent="0.2">
      <c r="I51466" s="137" t="s">
        <v>74</v>
      </c>
    </row>
    <row r="51467" spans="9:9" x14ac:dyDescent="0.2">
      <c r="I51467" s="137" t="s">
        <v>74</v>
      </c>
    </row>
    <row r="51468" spans="9:9" x14ac:dyDescent="0.2">
      <c r="I51468" s="137" t="s">
        <v>74</v>
      </c>
    </row>
    <row r="51469" spans="9:9" x14ac:dyDescent="0.2">
      <c r="I51469" s="137" t="s">
        <v>74</v>
      </c>
    </row>
    <row r="51470" spans="9:9" x14ac:dyDescent="0.2">
      <c r="I51470" s="137" t="s">
        <v>74</v>
      </c>
    </row>
    <row r="51471" spans="9:9" x14ac:dyDescent="0.2">
      <c r="I51471" s="137" t="s">
        <v>74</v>
      </c>
    </row>
    <row r="51472" spans="9:9" x14ac:dyDescent="0.2">
      <c r="I51472" s="137" t="s">
        <v>74</v>
      </c>
    </row>
    <row r="51473" spans="9:9" x14ac:dyDescent="0.2">
      <c r="I51473" s="137" t="s">
        <v>74</v>
      </c>
    </row>
    <row r="51474" spans="9:9" x14ac:dyDescent="0.2">
      <c r="I51474" s="137" t="s">
        <v>74</v>
      </c>
    </row>
    <row r="51475" spans="9:9" x14ac:dyDescent="0.2">
      <c r="I51475" s="137" t="s">
        <v>74</v>
      </c>
    </row>
    <row r="51476" spans="9:9" x14ac:dyDescent="0.2">
      <c r="I51476" s="137" t="s">
        <v>74</v>
      </c>
    </row>
    <row r="51477" spans="9:9" x14ac:dyDescent="0.2">
      <c r="I51477" s="137" t="s">
        <v>74</v>
      </c>
    </row>
    <row r="51478" spans="9:9" x14ac:dyDescent="0.2">
      <c r="I51478" s="137" t="s">
        <v>74</v>
      </c>
    </row>
    <row r="51479" spans="9:9" x14ac:dyDescent="0.2">
      <c r="I51479" s="137" t="s">
        <v>74</v>
      </c>
    </row>
    <row r="51480" spans="9:9" x14ac:dyDescent="0.2">
      <c r="I51480" s="137" t="s">
        <v>74</v>
      </c>
    </row>
    <row r="51481" spans="9:9" x14ac:dyDescent="0.2">
      <c r="I51481" s="137" t="s">
        <v>74</v>
      </c>
    </row>
    <row r="51482" spans="9:9" x14ac:dyDescent="0.2">
      <c r="I51482" s="137" t="s">
        <v>74</v>
      </c>
    </row>
    <row r="51483" spans="9:9" x14ac:dyDescent="0.2">
      <c r="I51483" s="137" t="s">
        <v>74</v>
      </c>
    </row>
    <row r="51484" spans="9:9" x14ac:dyDescent="0.2">
      <c r="I51484" s="137" t="s">
        <v>74</v>
      </c>
    </row>
    <row r="51485" spans="9:9" x14ac:dyDescent="0.2">
      <c r="I51485" s="137" t="s">
        <v>74</v>
      </c>
    </row>
    <row r="51486" spans="9:9" x14ac:dyDescent="0.2">
      <c r="I51486" s="137" t="s">
        <v>74</v>
      </c>
    </row>
    <row r="51487" spans="9:9" x14ac:dyDescent="0.2">
      <c r="I51487" s="137" t="s">
        <v>74</v>
      </c>
    </row>
    <row r="51488" spans="9:9" x14ac:dyDescent="0.2">
      <c r="I51488" s="137" t="s">
        <v>74</v>
      </c>
    </row>
    <row r="51489" spans="9:9" x14ac:dyDescent="0.2">
      <c r="I51489" s="137" t="s">
        <v>74</v>
      </c>
    </row>
    <row r="51490" spans="9:9" x14ac:dyDescent="0.2">
      <c r="I51490" s="137" t="s">
        <v>74</v>
      </c>
    </row>
    <row r="51491" spans="9:9" x14ac:dyDescent="0.2">
      <c r="I51491" s="137" t="s">
        <v>74</v>
      </c>
    </row>
    <row r="51492" spans="9:9" x14ac:dyDescent="0.2">
      <c r="I51492" s="137" t="s">
        <v>74</v>
      </c>
    </row>
    <row r="51493" spans="9:9" x14ac:dyDescent="0.2">
      <c r="I51493" s="137" t="s">
        <v>74</v>
      </c>
    </row>
    <row r="51494" spans="9:9" x14ac:dyDescent="0.2">
      <c r="I51494" s="137" t="s">
        <v>74</v>
      </c>
    </row>
    <row r="51495" spans="9:9" x14ac:dyDescent="0.2">
      <c r="I51495" s="137" t="s">
        <v>74</v>
      </c>
    </row>
    <row r="51496" spans="9:9" x14ac:dyDescent="0.2">
      <c r="I51496" s="137" t="s">
        <v>74</v>
      </c>
    </row>
    <row r="51497" spans="9:9" x14ac:dyDescent="0.2">
      <c r="I51497" s="137" t="s">
        <v>74</v>
      </c>
    </row>
    <row r="51498" spans="9:9" x14ac:dyDescent="0.2">
      <c r="I51498" s="137" t="s">
        <v>74</v>
      </c>
    </row>
    <row r="51499" spans="9:9" x14ac:dyDescent="0.2">
      <c r="I51499" s="137" t="s">
        <v>74</v>
      </c>
    </row>
    <row r="51500" spans="9:9" x14ac:dyDescent="0.2">
      <c r="I51500" s="137" t="s">
        <v>74</v>
      </c>
    </row>
    <row r="51501" spans="9:9" x14ac:dyDescent="0.2">
      <c r="I51501" s="137" t="s">
        <v>74</v>
      </c>
    </row>
    <row r="51502" spans="9:9" x14ac:dyDescent="0.2">
      <c r="I51502" s="137" t="s">
        <v>74</v>
      </c>
    </row>
    <row r="51503" spans="9:9" x14ac:dyDescent="0.2">
      <c r="I51503" s="137" t="s">
        <v>74</v>
      </c>
    </row>
    <row r="51504" spans="9:9" x14ac:dyDescent="0.2">
      <c r="I51504" s="137" t="s">
        <v>74</v>
      </c>
    </row>
    <row r="51505" spans="9:9" x14ac:dyDescent="0.2">
      <c r="I51505" s="137" t="s">
        <v>74</v>
      </c>
    </row>
    <row r="51506" spans="9:9" x14ac:dyDescent="0.2">
      <c r="I51506" s="137" t="s">
        <v>74</v>
      </c>
    </row>
    <row r="51507" spans="9:9" x14ac:dyDescent="0.2">
      <c r="I51507" s="137" t="s">
        <v>74</v>
      </c>
    </row>
    <row r="51508" spans="9:9" x14ac:dyDescent="0.2">
      <c r="I51508" s="137" t="s">
        <v>74</v>
      </c>
    </row>
    <row r="51509" spans="9:9" x14ac:dyDescent="0.2">
      <c r="I51509" s="137" t="s">
        <v>74</v>
      </c>
    </row>
    <row r="51510" spans="9:9" x14ac:dyDescent="0.2">
      <c r="I51510" s="137" t="s">
        <v>74</v>
      </c>
    </row>
    <row r="51511" spans="9:9" x14ac:dyDescent="0.2">
      <c r="I51511" s="137" t="s">
        <v>74</v>
      </c>
    </row>
    <row r="51512" spans="9:9" x14ac:dyDescent="0.2">
      <c r="I51512" s="137" t="s">
        <v>74</v>
      </c>
    </row>
    <row r="51513" spans="9:9" x14ac:dyDescent="0.2">
      <c r="I51513" s="137" t="s">
        <v>74</v>
      </c>
    </row>
    <row r="51514" spans="9:9" x14ac:dyDescent="0.2">
      <c r="I51514" s="137" t="s">
        <v>74</v>
      </c>
    </row>
    <row r="51515" spans="9:9" x14ac:dyDescent="0.2">
      <c r="I51515" s="137" t="s">
        <v>74</v>
      </c>
    </row>
    <row r="51516" spans="9:9" x14ac:dyDescent="0.2">
      <c r="I51516" s="137" t="s">
        <v>74</v>
      </c>
    </row>
    <row r="51517" spans="9:9" x14ac:dyDescent="0.2">
      <c r="I51517" s="137" t="s">
        <v>74</v>
      </c>
    </row>
    <row r="51518" spans="9:9" x14ac:dyDescent="0.2">
      <c r="I51518" s="137" t="s">
        <v>74</v>
      </c>
    </row>
    <row r="51519" spans="9:9" x14ac:dyDescent="0.2">
      <c r="I51519" s="137" t="s">
        <v>74</v>
      </c>
    </row>
    <row r="51520" spans="9:9" x14ac:dyDescent="0.2">
      <c r="I51520" s="137" t="s">
        <v>74</v>
      </c>
    </row>
    <row r="51521" spans="9:9" x14ac:dyDescent="0.2">
      <c r="I51521" s="137" t="s">
        <v>74</v>
      </c>
    </row>
    <row r="51522" spans="9:9" x14ac:dyDescent="0.2">
      <c r="I51522" s="137" t="s">
        <v>74</v>
      </c>
    </row>
    <row r="51523" spans="9:9" x14ac:dyDescent="0.2">
      <c r="I51523" s="137" t="s">
        <v>74</v>
      </c>
    </row>
    <row r="51524" spans="9:9" x14ac:dyDescent="0.2">
      <c r="I51524" s="137" t="s">
        <v>74</v>
      </c>
    </row>
    <row r="51525" spans="9:9" x14ac:dyDescent="0.2">
      <c r="I51525" s="137" t="s">
        <v>74</v>
      </c>
    </row>
    <row r="51526" spans="9:9" x14ac:dyDescent="0.2">
      <c r="I51526" s="137" t="s">
        <v>74</v>
      </c>
    </row>
    <row r="51527" spans="9:9" x14ac:dyDescent="0.2">
      <c r="I51527" s="137" t="s">
        <v>74</v>
      </c>
    </row>
    <row r="51528" spans="9:9" x14ac:dyDescent="0.2">
      <c r="I51528" s="137" t="s">
        <v>74</v>
      </c>
    </row>
    <row r="51529" spans="9:9" x14ac:dyDescent="0.2">
      <c r="I51529" s="137" t="s">
        <v>74</v>
      </c>
    </row>
    <row r="51530" spans="9:9" x14ac:dyDescent="0.2">
      <c r="I51530" s="137" t="s">
        <v>74</v>
      </c>
    </row>
    <row r="51531" spans="9:9" x14ac:dyDescent="0.2">
      <c r="I51531" s="137" t="s">
        <v>74</v>
      </c>
    </row>
    <row r="51532" spans="9:9" x14ac:dyDescent="0.2">
      <c r="I51532" s="137" t="s">
        <v>74</v>
      </c>
    </row>
    <row r="51533" spans="9:9" x14ac:dyDescent="0.2">
      <c r="I51533" s="137" t="s">
        <v>74</v>
      </c>
    </row>
    <row r="51534" spans="9:9" x14ac:dyDescent="0.2">
      <c r="I51534" s="137" t="s">
        <v>74</v>
      </c>
    </row>
    <row r="51535" spans="9:9" x14ac:dyDescent="0.2">
      <c r="I51535" s="137" t="s">
        <v>74</v>
      </c>
    </row>
    <row r="51536" spans="9:9" x14ac:dyDescent="0.2">
      <c r="I51536" s="137" t="s">
        <v>74</v>
      </c>
    </row>
    <row r="51537" spans="9:9" x14ac:dyDescent="0.2">
      <c r="I51537" s="137" t="s">
        <v>74</v>
      </c>
    </row>
    <row r="51538" spans="9:9" x14ac:dyDescent="0.2">
      <c r="I51538" s="137" t="s">
        <v>74</v>
      </c>
    </row>
    <row r="51539" spans="9:9" x14ac:dyDescent="0.2">
      <c r="I51539" s="137" t="s">
        <v>74</v>
      </c>
    </row>
    <row r="51540" spans="9:9" x14ac:dyDescent="0.2">
      <c r="I51540" s="137" t="s">
        <v>74</v>
      </c>
    </row>
    <row r="51541" spans="9:9" x14ac:dyDescent="0.2">
      <c r="I51541" s="137" t="s">
        <v>74</v>
      </c>
    </row>
    <row r="51542" spans="9:9" x14ac:dyDescent="0.2">
      <c r="I51542" s="137" t="s">
        <v>74</v>
      </c>
    </row>
    <row r="51543" spans="9:9" x14ac:dyDescent="0.2">
      <c r="I51543" s="137" t="s">
        <v>74</v>
      </c>
    </row>
    <row r="51544" spans="9:9" x14ac:dyDescent="0.2">
      <c r="I51544" s="137" t="s">
        <v>74</v>
      </c>
    </row>
    <row r="51545" spans="9:9" x14ac:dyDescent="0.2">
      <c r="I51545" s="137" t="s">
        <v>74</v>
      </c>
    </row>
    <row r="51546" spans="9:9" x14ac:dyDescent="0.2">
      <c r="I51546" s="137" t="s">
        <v>74</v>
      </c>
    </row>
    <row r="51547" spans="9:9" x14ac:dyDescent="0.2">
      <c r="I51547" s="137" t="s">
        <v>74</v>
      </c>
    </row>
    <row r="51548" spans="9:9" x14ac:dyDescent="0.2">
      <c r="I51548" s="137" t="s">
        <v>74</v>
      </c>
    </row>
    <row r="51549" spans="9:9" x14ac:dyDescent="0.2">
      <c r="I51549" s="137" t="s">
        <v>74</v>
      </c>
    </row>
    <row r="51550" spans="9:9" x14ac:dyDescent="0.2">
      <c r="I51550" s="137" t="s">
        <v>74</v>
      </c>
    </row>
    <row r="51551" spans="9:9" x14ac:dyDescent="0.2">
      <c r="I51551" s="137" t="s">
        <v>74</v>
      </c>
    </row>
    <row r="51552" spans="9:9" x14ac:dyDescent="0.2">
      <c r="I51552" s="137" t="s">
        <v>74</v>
      </c>
    </row>
    <row r="51553" spans="9:9" x14ac:dyDescent="0.2">
      <c r="I51553" s="137" t="s">
        <v>74</v>
      </c>
    </row>
    <row r="51554" spans="9:9" x14ac:dyDescent="0.2">
      <c r="I51554" s="137" t="s">
        <v>74</v>
      </c>
    </row>
    <row r="51555" spans="9:9" x14ac:dyDescent="0.2">
      <c r="I51555" s="137" t="s">
        <v>74</v>
      </c>
    </row>
    <row r="51556" spans="9:9" x14ac:dyDescent="0.2">
      <c r="I51556" s="137" t="s">
        <v>74</v>
      </c>
    </row>
    <row r="51557" spans="9:9" x14ac:dyDescent="0.2">
      <c r="I51557" s="137" t="s">
        <v>74</v>
      </c>
    </row>
    <row r="51558" spans="9:9" x14ac:dyDescent="0.2">
      <c r="I51558" s="137" t="s">
        <v>74</v>
      </c>
    </row>
    <row r="51559" spans="9:9" x14ac:dyDescent="0.2">
      <c r="I51559" s="137" t="s">
        <v>74</v>
      </c>
    </row>
    <row r="51560" spans="9:9" x14ac:dyDescent="0.2">
      <c r="I51560" s="137" t="s">
        <v>74</v>
      </c>
    </row>
    <row r="51561" spans="9:9" x14ac:dyDescent="0.2">
      <c r="I51561" s="137" t="s">
        <v>74</v>
      </c>
    </row>
    <row r="51562" spans="9:9" x14ac:dyDescent="0.2">
      <c r="I51562" s="137" t="s">
        <v>74</v>
      </c>
    </row>
    <row r="51563" spans="9:9" x14ac:dyDescent="0.2">
      <c r="I51563" s="137" t="s">
        <v>74</v>
      </c>
    </row>
    <row r="51564" spans="9:9" x14ac:dyDescent="0.2">
      <c r="I51564" s="137" t="s">
        <v>74</v>
      </c>
    </row>
    <row r="51565" spans="9:9" x14ac:dyDescent="0.2">
      <c r="I51565" s="137" t="s">
        <v>74</v>
      </c>
    </row>
    <row r="51566" spans="9:9" x14ac:dyDescent="0.2">
      <c r="I51566" s="137" t="s">
        <v>74</v>
      </c>
    </row>
    <row r="51567" spans="9:9" x14ac:dyDescent="0.2">
      <c r="I51567" s="137" t="s">
        <v>74</v>
      </c>
    </row>
    <row r="51568" spans="9:9" x14ac:dyDescent="0.2">
      <c r="I51568" s="137" t="s">
        <v>74</v>
      </c>
    </row>
    <row r="51569" spans="9:9" x14ac:dyDescent="0.2">
      <c r="I51569" s="137" t="s">
        <v>74</v>
      </c>
    </row>
    <row r="51570" spans="9:9" x14ac:dyDescent="0.2">
      <c r="I51570" s="137" t="s">
        <v>74</v>
      </c>
    </row>
    <row r="51571" spans="9:9" x14ac:dyDescent="0.2">
      <c r="I51571" s="137" t="s">
        <v>74</v>
      </c>
    </row>
    <row r="51572" spans="9:9" x14ac:dyDescent="0.2">
      <c r="I51572" s="137" t="s">
        <v>74</v>
      </c>
    </row>
    <row r="51573" spans="9:9" x14ac:dyDescent="0.2">
      <c r="I51573" s="137" t="s">
        <v>74</v>
      </c>
    </row>
    <row r="51574" spans="9:9" x14ac:dyDescent="0.2">
      <c r="I51574" s="137" t="s">
        <v>74</v>
      </c>
    </row>
    <row r="51575" spans="9:9" x14ac:dyDescent="0.2">
      <c r="I51575" s="137" t="s">
        <v>74</v>
      </c>
    </row>
    <row r="51576" spans="9:9" x14ac:dyDescent="0.2">
      <c r="I51576" s="137" t="s">
        <v>74</v>
      </c>
    </row>
    <row r="51577" spans="9:9" x14ac:dyDescent="0.2">
      <c r="I51577" s="137" t="s">
        <v>74</v>
      </c>
    </row>
    <row r="51578" spans="9:9" x14ac:dyDescent="0.2">
      <c r="I51578" s="137" t="s">
        <v>74</v>
      </c>
    </row>
    <row r="51579" spans="9:9" x14ac:dyDescent="0.2">
      <c r="I51579" s="137" t="s">
        <v>74</v>
      </c>
    </row>
    <row r="51580" spans="9:9" x14ac:dyDescent="0.2">
      <c r="I51580" s="137" t="s">
        <v>74</v>
      </c>
    </row>
    <row r="51581" spans="9:9" x14ac:dyDescent="0.2">
      <c r="I51581" s="137" t="s">
        <v>74</v>
      </c>
    </row>
    <row r="51582" spans="9:9" x14ac:dyDescent="0.2">
      <c r="I51582" s="137" t="s">
        <v>74</v>
      </c>
    </row>
    <row r="51583" spans="9:9" x14ac:dyDescent="0.2">
      <c r="I51583" s="137" t="s">
        <v>74</v>
      </c>
    </row>
    <row r="51584" spans="9:9" x14ac:dyDescent="0.2">
      <c r="I51584" s="137" t="s">
        <v>74</v>
      </c>
    </row>
    <row r="51585" spans="9:9" x14ac:dyDescent="0.2">
      <c r="I51585" s="137" t="s">
        <v>74</v>
      </c>
    </row>
    <row r="51586" spans="9:9" x14ac:dyDescent="0.2">
      <c r="I51586" s="137" t="s">
        <v>74</v>
      </c>
    </row>
    <row r="51587" spans="9:9" x14ac:dyDescent="0.2">
      <c r="I51587" s="137" t="s">
        <v>74</v>
      </c>
    </row>
    <row r="51588" spans="9:9" x14ac:dyDescent="0.2">
      <c r="I51588" s="137" t="s">
        <v>74</v>
      </c>
    </row>
    <row r="51589" spans="9:9" x14ac:dyDescent="0.2">
      <c r="I51589" s="137" t="s">
        <v>74</v>
      </c>
    </row>
    <row r="51590" spans="9:9" x14ac:dyDescent="0.2">
      <c r="I51590" s="137" t="s">
        <v>74</v>
      </c>
    </row>
    <row r="51591" spans="9:9" x14ac:dyDescent="0.2">
      <c r="I51591" s="137" t="s">
        <v>74</v>
      </c>
    </row>
    <row r="51592" spans="9:9" x14ac:dyDescent="0.2">
      <c r="I51592" s="137" t="s">
        <v>74</v>
      </c>
    </row>
    <row r="51593" spans="9:9" x14ac:dyDescent="0.2">
      <c r="I51593" s="137" t="s">
        <v>74</v>
      </c>
    </row>
    <row r="51594" spans="9:9" x14ac:dyDescent="0.2">
      <c r="I51594" s="137" t="s">
        <v>74</v>
      </c>
    </row>
    <row r="51595" spans="9:9" x14ac:dyDescent="0.2">
      <c r="I51595" s="137" t="s">
        <v>74</v>
      </c>
    </row>
    <row r="51596" spans="9:9" x14ac:dyDescent="0.2">
      <c r="I51596" s="137" t="s">
        <v>74</v>
      </c>
    </row>
    <row r="51597" spans="9:9" x14ac:dyDescent="0.2">
      <c r="I51597" s="137" t="s">
        <v>74</v>
      </c>
    </row>
    <row r="51598" spans="9:9" x14ac:dyDescent="0.2">
      <c r="I51598" s="137" t="s">
        <v>74</v>
      </c>
    </row>
    <row r="51599" spans="9:9" x14ac:dyDescent="0.2">
      <c r="I51599" s="137" t="s">
        <v>74</v>
      </c>
    </row>
    <row r="51600" spans="9:9" x14ac:dyDescent="0.2">
      <c r="I51600" s="137" t="s">
        <v>74</v>
      </c>
    </row>
    <row r="51601" spans="9:9" x14ac:dyDescent="0.2">
      <c r="I51601" s="137" t="s">
        <v>74</v>
      </c>
    </row>
    <row r="51602" spans="9:9" x14ac:dyDescent="0.2">
      <c r="I51602" s="137" t="s">
        <v>74</v>
      </c>
    </row>
    <row r="51603" spans="9:9" x14ac:dyDescent="0.2">
      <c r="I51603" s="137" t="s">
        <v>74</v>
      </c>
    </row>
    <row r="51604" spans="9:9" x14ac:dyDescent="0.2">
      <c r="I51604" s="137" t="s">
        <v>74</v>
      </c>
    </row>
    <row r="51605" spans="9:9" x14ac:dyDescent="0.2">
      <c r="I51605" s="137" t="s">
        <v>74</v>
      </c>
    </row>
    <row r="51606" spans="9:9" x14ac:dyDescent="0.2">
      <c r="I51606" s="137" t="s">
        <v>74</v>
      </c>
    </row>
    <row r="51607" spans="9:9" x14ac:dyDescent="0.2">
      <c r="I51607" s="137" t="s">
        <v>74</v>
      </c>
    </row>
    <row r="51608" spans="9:9" x14ac:dyDescent="0.2">
      <c r="I51608" s="137" t="s">
        <v>74</v>
      </c>
    </row>
    <row r="51609" spans="9:9" x14ac:dyDescent="0.2">
      <c r="I51609" s="137" t="s">
        <v>74</v>
      </c>
    </row>
    <row r="51610" spans="9:9" x14ac:dyDescent="0.2">
      <c r="I51610" s="137" t="s">
        <v>74</v>
      </c>
    </row>
    <row r="51611" spans="9:9" x14ac:dyDescent="0.2">
      <c r="I51611" s="137" t="s">
        <v>74</v>
      </c>
    </row>
    <row r="51612" spans="9:9" x14ac:dyDescent="0.2">
      <c r="I51612" s="137" t="s">
        <v>74</v>
      </c>
    </row>
    <row r="51613" spans="9:9" x14ac:dyDescent="0.2">
      <c r="I51613" s="137" t="s">
        <v>74</v>
      </c>
    </row>
    <row r="51614" spans="9:9" x14ac:dyDescent="0.2">
      <c r="I51614" s="137" t="s">
        <v>74</v>
      </c>
    </row>
    <row r="51615" spans="9:9" x14ac:dyDescent="0.2">
      <c r="I51615" s="137" t="s">
        <v>74</v>
      </c>
    </row>
    <row r="51616" spans="9:9" x14ac:dyDescent="0.2">
      <c r="I51616" s="137" t="s">
        <v>74</v>
      </c>
    </row>
    <row r="51617" spans="9:9" x14ac:dyDescent="0.2">
      <c r="I51617" s="137" t="s">
        <v>74</v>
      </c>
    </row>
    <row r="51618" spans="9:9" x14ac:dyDescent="0.2">
      <c r="I51618" s="137" t="s">
        <v>74</v>
      </c>
    </row>
    <row r="51619" spans="9:9" x14ac:dyDescent="0.2">
      <c r="I51619" s="137" t="s">
        <v>74</v>
      </c>
    </row>
    <row r="51620" spans="9:9" x14ac:dyDescent="0.2">
      <c r="I51620" s="137" t="s">
        <v>74</v>
      </c>
    </row>
    <row r="51621" spans="9:9" x14ac:dyDescent="0.2">
      <c r="I51621" s="137" t="s">
        <v>74</v>
      </c>
    </row>
    <row r="51622" spans="9:9" x14ac:dyDescent="0.2">
      <c r="I51622" s="137" t="s">
        <v>74</v>
      </c>
    </row>
    <row r="51623" spans="9:9" x14ac:dyDescent="0.2">
      <c r="I51623" s="137" t="s">
        <v>74</v>
      </c>
    </row>
    <row r="51624" spans="9:9" x14ac:dyDescent="0.2">
      <c r="I51624" s="137" t="s">
        <v>74</v>
      </c>
    </row>
    <row r="51625" spans="9:9" x14ac:dyDescent="0.2">
      <c r="I51625" s="137" t="s">
        <v>74</v>
      </c>
    </row>
    <row r="51626" spans="9:9" x14ac:dyDescent="0.2">
      <c r="I51626" s="137" t="s">
        <v>74</v>
      </c>
    </row>
    <row r="51627" spans="9:9" x14ac:dyDescent="0.2">
      <c r="I51627" s="137" t="s">
        <v>74</v>
      </c>
    </row>
    <row r="51628" spans="9:9" x14ac:dyDescent="0.2">
      <c r="I51628" s="137" t="s">
        <v>74</v>
      </c>
    </row>
    <row r="51629" spans="9:9" x14ac:dyDescent="0.2">
      <c r="I51629" s="137" t="s">
        <v>74</v>
      </c>
    </row>
    <row r="51630" spans="9:9" x14ac:dyDescent="0.2">
      <c r="I51630" s="137" t="s">
        <v>74</v>
      </c>
    </row>
    <row r="51631" spans="9:9" x14ac:dyDescent="0.2">
      <c r="I51631" s="137" t="s">
        <v>74</v>
      </c>
    </row>
    <row r="51632" spans="9:9" x14ac:dyDescent="0.2">
      <c r="I51632" s="137" t="s">
        <v>74</v>
      </c>
    </row>
    <row r="51633" spans="9:9" x14ac:dyDescent="0.2">
      <c r="I51633" s="137" t="s">
        <v>74</v>
      </c>
    </row>
    <row r="51634" spans="9:9" x14ac:dyDescent="0.2">
      <c r="I51634" s="137" t="s">
        <v>74</v>
      </c>
    </row>
    <row r="51635" spans="9:9" x14ac:dyDescent="0.2">
      <c r="I51635" s="137" t="s">
        <v>74</v>
      </c>
    </row>
    <row r="51636" spans="9:9" x14ac:dyDescent="0.2">
      <c r="I51636" s="137" t="s">
        <v>74</v>
      </c>
    </row>
    <row r="51637" spans="9:9" x14ac:dyDescent="0.2">
      <c r="I51637" s="137" t="s">
        <v>74</v>
      </c>
    </row>
    <row r="51638" spans="9:9" x14ac:dyDescent="0.2">
      <c r="I51638" s="137" t="s">
        <v>74</v>
      </c>
    </row>
    <row r="51639" spans="9:9" x14ac:dyDescent="0.2">
      <c r="I51639" s="137" t="s">
        <v>74</v>
      </c>
    </row>
    <row r="51640" spans="9:9" x14ac:dyDescent="0.2">
      <c r="I51640" s="137" t="s">
        <v>74</v>
      </c>
    </row>
    <row r="51641" spans="9:9" x14ac:dyDescent="0.2">
      <c r="I51641" s="137" t="s">
        <v>74</v>
      </c>
    </row>
    <row r="51642" spans="9:9" x14ac:dyDescent="0.2">
      <c r="I51642" s="137" t="s">
        <v>74</v>
      </c>
    </row>
    <row r="51643" spans="9:9" x14ac:dyDescent="0.2">
      <c r="I51643" s="137" t="s">
        <v>74</v>
      </c>
    </row>
    <row r="51644" spans="9:9" x14ac:dyDescent="0.2">
      <c r="I51644" s="137" t="s">
        <v>74</v>
      </c>
    </row>
    <row r="51645" spans="9:9" x14ac:dyDescent="0.2">
      <c r="I51645" s="137" t="s">
        <v>74</v>
      </c>
    </row>
    <row r="51646" spans="9:9" x14ac:dyDescent="0.2">
      <c r="I51646" s="137" t="s">
        <v>74</v>
      </c>
    </row>
    <row r="51647" spans="9:9" x14ac:dyDescent="0.2">
      <c r="I51647" s="137" t="s">
        <v>74</v>
      </c>
    </row>
    <row r="51648" spans="9:9" x14ac:dyDescent="0.2">
      <c r="I51648" s="137" t="s">
        <v>74</v>
      </c>
    </row>
    <row r="51649" spans="9:9" x14ac:dyDescent="0.2">
      <c r="I51649" s="137" t="s">
        <v>74</v>
      </c>
    </row>
    <row r="51650" spans="9:9" x14ac:dyDescent="0.2">
      <c r="I51650" s="137" t="s">
        <v>74</v>
      </c>
    </row>
    <row r="51651" spans="9:9" x14ac:dyDescent="0.2">
      <c r="I51651" s="137" t="s">
        <v>74</v>
      </c>
    </row>
    <row r="51652" spans="9:9" x14ac:dyDescent="0.2">
      <c r="I51652" s="137" t="s">
        <v>74</v>
      </c>
    </row>
    <row r="51653" spans="9:9" x14ac:dyDescent="0.2">
      <c r="I51653" s="137" t="s">
        <v>74</v>
      </c>
    </row>
    <row r="51654" spans="9:9" x14ac:dyDescent="0.2">
      <c r="I51654" s="137" t="s">
        <v>74</v>
      </c>
    </row>
    <row r="51655" spans="9:9" x14ac:dyDescent="0.2">
      <c r="I51655" s="137" t="s">
        <v>74</v>
      </c>
    </row>
    <row r="51656" spans="9:9" x14ac:dyDescent="0.2">
      <c r="I51656" s="137" t="s">
        <v>74</v>
      </c>
    </row>
    <row r="51657" spans="9:9" x14ac:dyDescent="0.2">
      <c r="I51657" s="137" t="s">
        <v>74</v>
      </c>
    </row>
    <row r="51658" spans="9:9" x14ac:dyDescent="0.2">
      <c r="I51658" s="137" t="s">
        <v>74</v>
      </c>
    </row>
    <row r="51659" spans="9:9" x14ac:dyDescent="0.2">
      <c r="I51659" s="137" t="s">
        <v>74</v>
      </c>
    </row>
    <row r="51660" spans="9:9" x14ac:dyDescent="0.2">
      <c r="I51660" s="137" t="s">
        <v>74</v>
      </c>
    </row>
    <row r="51661" spans="9:9" x14ac:dyDescent="0.2">
      <c r="I51661" s="137" t="s">
        <v>74</v>
      </c>
    </row>
    <row r="51662" spans="9:9" x14ac:dyDescent="0.2">
      <c r="I51662" s="137" t="s">
        <v>74</v>
      </c>
    </row>
    <row r="51663" spans="9:9" x14ac:dyDescent="0.2">
      <c r="I51663" s="137" t="s">
        <v>74</v>
      </c>
    </row>
    <row r="51664" spans="9:9" x14ac:dyDescent="0.2">
      <c r="I51664" s="137" t="s">
        <v>74</v>
      </c>
    </row>
    <row r="51665" spans="9:9" x14ac:dyDescent="0.2">
      <c r="I51665" s="137" t="s">
        <v>74</v>
      </c>
    </row>
    <row r="51666" spans="9:9" x14ac:dyDescent="0.2">
      <c r="I51666" s="137" t="s">
        <v>74</v>
      </c>
    </row>
    <row r="51667" spans="9:9" x14ac:dyDescent="0.2">
      <c r="I51667" s="137" t="s">
        <v>74</v>
      </c>
    </row>
    <row r="51668" spans="9:9" x14ac:dyDescent="0.2">
      <c r="I51668" s="137" t="s">
        <v>74</v>
      </c>
    </row>
    <row r="51669" spans="9:9" x14ac:dyDescent="0.2">
      <c r="I51669" s="137" t="s">
        <v>74</v>
      </c>
    </row>
    <row r="51670" spans="9:9" x14ac:dyDescent="0.2">
      <c r="I51670" s="137" t="s">
        <v>74</v>
      </c>
    </row>
    <row r="51671" spans="9:9" x14ac:dyDescent="0.2">
      <c r="I51671" s="137" t="s">
        <v>74</v>
      </c>
    </row>
    <row r="51672" spans="9:9" x14ac:dyDescent="0.2">
      <c r="I51672" s="137" t="s">
        <v>74</v>
      </c>
    </row>
    <row r="51673" spans="9:9" x14ac:dyDescent="0.2">
      <c r="I51673" s="137" t="s">
        <v>74</v>
      </c>
    </row>
    <row r="51674" spans="9:9" x14ac:dyDescent="0.2">
      <c r="I51674" s="137" t="s">
        <v>74</v>
      </c>
    </row>
    <row r="51675" spans="9:9" x14ac:dyDescent="0.2">
      <c r="I51675" s="137" t="s">
        <v>74</v>
      </c>
    </row>
    <row r="51676" spans="9:9" x14ac:dyDescent="0.2">
      <c r="I51676" s="137" t="s">
        <v>74</v>
      </c>
    </row>
    <row r="51677" spans="9:9" x14ac:dyDescent="0.2">
      <c r="I51677" s="137" t="s">
        <v>74</v>
      </c>
    </row>
    <row r="51678" spans="9:9" x14ac:dyDescent="0.2">
      <c r="I51678" s="137" t="s">
        <v>74</v>
      </c>
    </row>
    <row r="51679" spans="9:9" x14ac:dyDescent="0.2">
      <c r="I51679" s="137" t="s">
        <v>74</v>
      </c>
    </row>
    <row r="51680" spans="9:9" x14ac:dyDescent="0.2">
      <c r="I51680" s="137" t="s">
        <v>74</v>
      </c>
    </row>
    <row r="51681" spans="9:9" x14ac:dyDescent="0.2">
      <c r="I51681" s="137" t="s">
        <v>74</v>
      </c>
    </row>
    <row r="51682" spans="9:9" x14ac:dyDescent="0.2">
      <c r="I51682" s="137" t="s">
        <v>74</v>
      </c>
    </row>
    <row r="51683" spans="9:9" x14ac:dyDescent="0.2">
      <c r="I51683" s="137" t="s">
        <v>74</v>
      </c>
    </row>
    <row r="51684" spans="9:9" x14ac:dyDescent="0.2">
      <c r="I51684" s="137" t="s">
        <v>74</v>
      </c>
    </row>
    <row r="51685" spans="9:9" x14ac:dyDescent="0.2">
      <c r="I51685" s="137" t="s">
        <v>74</v>
      </c>
    </row>
    <row r="51686" spans="9:9" x14ac:dyDescent="0.2">
      <c r="I51686" s="137" t="s">
        <v>74</v>
      </c>
    </row>
    <row r="51687" spans="9:9" x14ac:dyDescent="0.2">
      <c r="I51687" s="137" t="s">
        <v>74</v>
      </c>
    </row>
    <row r="51688" spans="9:9" x14ac:dyDescent="0.2">
      <c r="I51688" s="137" t="s">
        <v>74</v>
      </c>
    </row>
    <row r="51689" spans="9:9" x14ac:dyDescent="0.2">
      <c r="I51689" s="137" t="s">
        <v>74</v>
      </c>
    </row>
    <row r="51690" spans="9:9" x14ac:dyDescent="0.2">
      <c r="I51690" s="137" t="s">
        <v>74</v>
      </c>
    </row>
    <row r="51691" spans="9:9" x14ac:dyDescent="0.2">
      <c r="I51691" s="137" t="s">
        <v>74</v>
      </c>
    </row>
    <row r="51692" spans="9:9" x14ac:dyDescent="0.2">
      <c r="I51692" s="137" t="s">
        <v>74</v>
      </c>
    </row>
    <row r="51693" spans="9:9" x14ac:dyDescent="0.2">
      <c r="I51693" s="137" t="s">
        <v>74</v>
      </c>
    </row>
    <row r="51694" spans="9:9" x14ac:dyDescent="0.2">
      <c r="I51694" s="137" t="s">
        <v>74</v>
      </c>
    </row>
    <row r="51695" spans="9:9" x14ac:dyDescent="0.2">
      <c r="I51695" s="137" t="s">
        <v>74</v>
      </c>
    </row>
    <row r="51696" spans="9:9" x14ac:dyDescent="0.2">
      <c r="I51696" s="137" t="s">
        <v>74</v>
      </c>
    </row>
    <row r="51697" spans="9:9" x14ac:dyDescent="0.2">
      <c r="I51697" s="137" t="s">
        <v>74</v>
      </c>
    </row>
    <row r="51698" spans="9:9" x14ac:dyDescent="0.2">
      <c r="I51698" s="137" t="s">
        <v>74</v>
      </c>
    </row>
    <row r="51699" spans="9:9" x14ac:dyDescent="0.2">
      <c r="I51699" s="137" t="s">
        <v>74</v>
      </c>
    </row>
    <row r="51700" spans="9:9" x14ac:dyDescent="0.2">
      <c r="I51700" s="137" t="s">
        <v>74</v>
      </c>
    </row>
    <row r="51701" spans="9:9" x14ac:dyDescent="0.2">
      <c r="I51701" s="137" t="s">
        <v>74</v>
      </c>
    </row>
    <row r="51702" spans="9:9" x14ac:dyDescent="0.2">
      <c r="I51702" s="137" t="s">
        <v>74</v>
      </c>
    </row>
    <row r="51703" spans="9:9" x14ac:dyDescent="0.2">
      <c r="I51703" s="137" t="s">
        <v>74</v>
      </c>
    </row>
    <row r="51704" spans="9:9" x14ac:dyDescent="0.2">
      <c r="I51704" s="137" t="s">
        <v>74</v>
      </c>
    </row>
    <row r="51705" spans="9:9" x14ac:dyDescent="0.2">
      <c r="I51705" s="137" t="s">
        <v>74</v>
      </c>
    </row>
    <row r="51706" spans="9:9" x14ac:dyDescent="0.2">
      <c r="I51706" s="137" t="s">
        <v>74</v>
      </c>
    </row>
    <row r="51707" spans="9:9" x14ac:dyDescent="0.2">
      <c r="I51707" s="137" t="s">
        <v>74</v>
      </c>
    </row>
    <row r="51708" spans="9:9" x14ac:dyDescent="0.2">
      <c r="I51708" s="137" t="s">
        <v>74</v>
      </c>
    </row>
    <row r="51709" spans="9:9" x14ac:dyDescent="0.2">
      <c r="I51709" s="137" t="s">
        <v>74</v>
      </c>
    </row>
    <row r="51710" spans="9:9" x14ac:dyDescent="0.2">
      <c r="I51710" s="137" t="s">
        <v>74</v>
      </c>
    </row>
    <row r="51711" spans="9:9" x14ac:dyDescent="0.2">
      <c r="I51711" s="137" t="s">
        <v>74</v>
      </c>
    </row>
    <row r="51712" spans="9:9" x14ac:dyDescent="0.2">
      <c r="I51712" s="137" t="s">
        <v>74</v>
      </c>
    </row>
    <row r="51713" spans="9:9" x14ac:dyDescent="0.2">
      <c r="I51713" s="137" t="s">
        <v>74</v>
      </c>
    </row>
    <row r="51714" spans="9:9" x14ac:dyDescent="0.2">
      <c r="I51714" s="137" t="s">
        <v>74</v>
      </c>
    </row>
    <row r="51715" spans="9:9" x14ac:dyDescent="0.2">
      <c r="I51715" s="137" t="s">
        <v>74</v>
      </c>
    </row>
    <row r="51716" spans="9:9" x14ac:dyDescent="0.2">
      <c r="I51716" s="137" t="s">
        <v>74</v>
      </c>
    </row>
    <row r="51717" spans="9:9" x14ac:dyDescent="0.2">
      <c r="I51717" s="137" t="s">
        <v>74</v>
      </c>
    </row>
    <row r="51718" spans="9:9" x14ac:dyDescent="0.2">
      <c r="I51718" s="137" t="s">
        <v>74</v>
      </c>
    </row>
    <row r="51719" spans="9:9" x14ac:dyDescent="0.2">
      <c r="I51719" s="137" t="s">
        <v>74</v>
      </c>
    </row>
    <row r="51720" spans="9:9" x14ac:dyDescent="0.2">
      <c r="I51720" s="137" t="s">
        <v>74</v>
      </c>
    </row>
    <row r="51721" spans="9:9" x14ac:dyDescent="0.2">
      <c r="I51721" s="137" t="s">
        <v>74</v>
      </c>
    </row>
    <row r="51722" spans="9:9" x14ac:dyDescent="0.2">
      <c r="I51722" s="137" t="s">
        <v>74</v>
      </c>
    </row>
    <row r="51723" spans="9:9" x14ac:dyDescent="0.2">
      <c r="I51723" s="137" t="s">
        <v>74</v>
      </c>
    </row>
    <row r="51724" spans="9:9" x14ac:dyDescent="0.2">
      <c r="I51724" s="137" t="s">
        <v>74</v>
      </c>
    </row>
    <row r="51725" spans="9:9" x14ac:dyDescent="0.2">
      <c r="I51725" s="137" t="s">
        <v>74</v>
      </c>
    </row>
    <row r="51726" spans="9:9" x14ac:dyDescent="0.2">
      <c r="I51726" s="137" t="s">
        <v>74</v>
      </c>
    </row>
    <row r="51727" spans="9:9" x14ac:dyDescent="0.2">
      <c r="I51727" s="137" t="s">
        <v>74</v>
      </c>
    </row>
    <row r="51728" spans="9:9" x14ac:dyDescent="0.2">
      <c r="I51728" s="137" t="s">
        <v>74</v>
      </c>
    </row>
    <row r="51729" spans="9:9" x14ac:dyDescent="0.2">
      <c r="I51729" s="137" t="s">
        <v>74</v>
      </c>
    </row>
    <row r="51730" spans="9:9" x14ac:dyDescent="0.2">
      <c r="I51730" s="137" t="s">
        <v>74</v>
      </c>
    </row>
    <row r="51731" spans="9:9" x14ac:dyDescent="0.2">
      <c r="I51731" s="137" t="s">
        <v>74</v>
      </c>
    </row>
    <row r="51732" spans="9:9" x14ac:dyDescent="0.2">
      <c r="I51732" s="137" t="s">
        <v>74</v>
      </c>
    </row>
    <row r="51733" spans="9:9" x14ac:dyDescent="0.2">
      <c r="I51733" s="137" t="s">
        <v>74</v>
      </c>
    </row>
    <row r="51734" spans="9:9" x14ac:dyDescent="0.2">
      <c r="I51734" s="137" t="s">
        <v>74</v>
      </c>
    </row>
    <row r="51735" spans="9:9" x14ac:dyDescent="0.2">
      <c r="I51735" s="137" t="s">
        <v>74</v>
      </c>
    </row>
    <row r="51736" spans="9:9" x14ac:dyDescent="0.2">
      <c r="I51736" s="137" t="s">
        <v>74</v>
      </c>
    </row>
    <row r="51737" spans="9:9" x14ac:dyDescent="0.2">
      <c r="I51737" s="137" t="s">
        <v>74</v>
      </c>
    </row>
    <row r="51738" spans="9:9" x14ac:dyDescent="0.2">
      <c r="I51738" s="137" t="s">
        <v>74</v>
      </c>
    </row>
    <row r="51739" spans="9:9" x14ac:dyDescent="0.2">
      <c r="I51739" s="137" t="s">
        <v>74</v>
      </c>
    </row>
    <row r="51740" spans="9:9" x14ac:dyDescent="0.2">
      <c r="I51740" s="137" t="s">
        <v>74</v>
      </c>
    </row>
    <row r="51741" spans="9:9" x14ac:dyDescent="0.2">
      <c r="I51741" s="137" t="s">
        <v>74</v>
      </c>
    </row>
    <row r="51742" spans="9:9" x14ac:dyDescent="0.2">
      <c r="I51742" s="137" t="s">
        <v>74</v>
      </c>
    </row>
    <row r="51743" spans="9:9" x14ac:dyDescent="0.2">
      <c r="I51743" s="137" t="s">
        <v>74</v>
      </c>
    </row>
    <row r="51744" spans="9:9" x14ac:dyDescent="0.2">
      <c r="I51744" s="137" t="s">
        <v>74</v>
      </c>
    </row>
    <row r="51745" spans="9:9" x14ac:dyDescent="0.2">
      <c r="I51745" s="137" t="s">
        <v>74</v>
      </c>
    </row>
    <row r="51746" spans="9:9" x14ac:dyDescent="0.2">
      <c r="I51746" s="137" t="s">
        <v>74</v>
      </c>
    </row>
    <row r="51747" spans="9:9" x14ac:dyDescent="0.2">
      <c r="I51747" s="137" t="s">
        <v>74</v>
      </c>
    </row>
    <row r="51748" spans="9:9" x14ac:dyDescent="0.2">
      <c r="I51748" s="137" t="s">
        <v>74</v>
      </c>
    </row>
    <row r="51749" spans="9:9" x14ac:dyDescent="0.2">
      <c r="I51749" s="137" t="s">
        <v>74</v>
      </c>
    </row>
    <row r="51750" spans="9:9" x14ac:dyDescent="0.2">
      <c r="I51750" s="137" t="s">
        <v>74</v>
      </c>
    </row>
    <row r="51751" spans="9:9" x14ac:dyDescent="0.2">
      <c r="I51751" s="137" t="s">
        <v>74</v>
      </c>
    </row>
    <row r="51752" spans="9:9" x14ac:dyDescent="0.2">
      <c r="I51752" s="137" t="s">
        <v>74</v>
      </c>
    </row>
    <row r="51753" spans="9:9" x14ac:dyDescent="0.2">
      <c r="I51753" s="137" t="s">
        <v>74</v>
      </c>
    </row>
    <row r="51754" spans="9:9" x14ac:dyDescent="0.2">
      <c r="I51754" s="137" t="s">
        <v>74</v>
      </c>
    </row>
    <row r="51755" spans="9:9" x14ac:dyDescent="0.2">
      <c r="I51755" s="137" t="s">
        <v>74</v>
      </c>
    </row>
    <row r="51756" spans="9:9" x14ac:dyDescent="0.2">
      <c r="I51756" s="137" t="s">
        <v>74</v>
      </c>
    </row>
    <row r="51757" spans="9:9" x14ac:dyDescent="0.2">
      <c r="I51757" s="137" t="s">
        <v>74</v>
      </c>
    </row>
    <row r="51758" spans="9:9" x14ac:dyDescent="0.2">
      <c r="I51758" s="137" t="s">
        <v>74</v>
      </c>
    </row>
    <row r="51759" spans="9:9" x14ac:dyDescent="0.2">
      <c r="I51759" s="137" t="s">
        <v>74</v>
      </c>
    </row>
    <row r="51760" spans="9:9" x14ac:dyDescent="0.2">
      <c r="I51760" s="137" t="s">
        <v>74</v>
      </c>
    </row>
    <row r="51761" spans="9:9" x14ac:dyDescent="0.2">
      <c r="I51761" s="137" t="s">
        <v>74</v>
      </c>
    </row>
    <row r="51762" spans="9:9" x14ac:dyDescent="0.2">
      <c r="I51762" s="137" t="s">
        <v>74</v>
      </c>
    </row>
    <row r="51763" spans="9:9" x14ac:dyDescent="0.2">
      <c r="I51763" s="137" t="s">
        <v>74</v>
      </c>
    </row>
    <row r="51764" spans="9:9" x14ac:dyDescent="0.2">
      <c r="I51764" s="137" t="s">
        <v>74</v>
      </c>
    </row>
    <row r="51765" spans="9:9" x14ac:dyDescent="0.2">
      <c r="I51765" s="137" t="s">
        <v>74</v>
      </c>
    </row>
    <row r="51766" spans="9:9" x14ac:dyDescent="0.2">
      <c r="I51766" s="137" t="s">
        <v>74</v>
      </c>
    </row>
    <row r="51767" spans="9:9" x14ac:dyDescent="0.2">
      <c r="I51767" s="137" t="s">
        <v>74</v>
      </c>
    </row>
    <row r="51768" spans="9:9" x14ac:dyDescent="0.2">
      <c r="I51768" s="137" t="s">
        <v>74</v>
      </c>
    </row>
    <row r="51769" spans="9:9" x14ac:dyDescent="0.2">
      <c r="I51769" s="137" t="s">
        <v>74</v>
      </c>
    </row>
    <row r="51770" spans="9:9" x14ac:dyDescent="0.2">
      <c r="I51770" s="137" t="s">
        <v>74</v>
      </c>
    </row>
    <row r="51771" spans="9:9" x14ac:dyDescent="0.2">
      <c r="I51771" s="137" t="s">
        <v>74</v>
      </c>
    </row>
    <row r="51772" spans="9:9" x14ac:dyDescent="0.2">
      <c r="I51772" s="137" t="s">
        <v>74</v>
      </c>
    </row>
    <row r="51773" spans="9:9" x14ac:dyDescent="0.2">
      <c r="I51773" s="137" t="s">
        <v>74</v>
      </c>
    </row>
    <row r="51774" spans="9:9" x14ac:dyDescent="0.2">
      <c r="I51774" s="137" t="s">
        <v>74</v>
      </c>
    </row>
    <row r="51775" spans="9:9" x14ac:dyDescent="0.2">
      <c r="I51775" s="137" t="s">
        <v>74</v>
      </c>
    </row>
    <row r="51776" spans="9:9" x14ac:dyDescent="0.2">
      <c r="I51776" s="137" t="s">
        <v>74</v>
      </c>
    </row>
    <row r="51777" spans="9:9" x14ac:dyDescent="0.2">
      <c r="I51777" s="137" t="s">
        <v>74</v>
      </c>
    </row>
    <row r="51778" spans="9:9" x14ac:dyDescent="0.2">
      <c r="I51778" s="137" t="s">
        <v>74</v>
      </c>
    </row>
    <row r="51779" spans="9:9" x14ac:dyDescent="0.2">
      <c r="I51779" s="137" t="s">
        <v>74</v>
      </c>
    </row>
    <row r="51780" spans="9:9" x14ac:dyDescent="0.2">
      <c r="I51780" s="137" t="s">
        <v>74</v>
      </c>
    </row>
    <row r="51781" spans="9:9" x14ac:dyDescent="0.2">
      <c r="I51781" s="137" t="s">
        <v>74</v>
      </c>
    </row>
    <row r="51782" spans="9:9" x14ac:dyDescent="0.2">
      <c r="I51782" s="137" t="s">
        <v>74</v>
      </c>
    </row>
    <row r="51783" spans="9:9" x14ac:dyDescent="0.2">
      <c r="I51783" s="137" t="s">
        <v>74</v>
      </c>
    </row>
    <row r="51784" spans="9:9" x14ac:dyDescent="0.2">
      <c r="I51784" s="137" t="s">
        <v>74</v>
      </c>
    </row>
    <row r="51785" spans="9:9" x14ac:dyDescent="0.2">
      <c r="I51785" s="137" t="s">
        <v>74</v>
      </c>
    </row>
    <row r="51786" spans="9:9" x14ac:dyDescent="0.2">
      <c r="I51786" s="137" t="s">
        <v>74</v>
      </c>
    </row>
    <row r="51787" spans="9:9" x14ac:dyDescent="0.2">
      <c r="I51787" s="137" t="s">
        <v>74</v>
      </c>
    </row>
    <row r="51788" spans="9:9" x14ac:dyDescent="0.2">
      <c r="I51788" s="137" t="s">
        <v>74</v>
      </c>
    </row>
    <row r="51789" spans="9:9" x14ac:dyDescent="0.2">
      <c r="I51789" s="137" t="s">
        <v>74</v>
      </c>
    </row>
    <row r="51790" spans="9:9" x14ac:dyDescent="0.2">
      <c r="I51790" s="137" t="s">
        <v>74</v>
      </c>
    </row>
    <row r="51791" spans="9:9" x14ac:dyDescent="0.2">
      <c r="I51791" s="137" t="s">
        <v>74</v>
      </c>
    </row>
    <row r="51792" spans="9:9" x14ac:dyDescent="0.2">
      <c r="I51792" s="137" t="s">
        <v>74</v>
      </c>
    </row>
    <row r="51793" spans="9:9" x14ac:dyDescent="0.2">
      <c r="I51793" s="137" t="s">
        <v>74</v>
      </c>
    </row>
    <row r="51794" spans="9:9" x14ac:dyDescent="0.2">
      <c r="I51794" s="137" t="s">
        <v>74</v>
      </c>
    </row>
    <row r="51795" spans="9:9" x14ac:dyDescent="0.2">
      <c r="I51795" s="137" t="s">
        <v>74</v>
      </c>
    </row>
    <row r="51796" spans="9:9" x14ac:dyDescent="0.2">
      <c r="I51796" s="137" t="s">
        <v>74</v>
      </c>
    </row>
    <row r="51797" spans="9:9" x14ac:dyDescent="0.2">
      <c r="I51797" s="137" t="s">
        <v>74</v>
      </c>
    </row>
    <row r="51798" spans="9:9" x14ac:dyDescent="0.2">
      <c r="I51798" s="137" t="s">
        <v>74</v>
      </c>
    </row>
    <row r="51799" spans="9:9" x14ac:dyDescent="0.2">
      <c r="I51799" s="137" t="s">
        <v>74</v>
      </c>
    </row>
    <row r="51800" spans="9:9" x14ac:dyDescent="0.2">
      <c r="I51800" s="137" t="s">
        <v>74</v>
      </c>
    </row>
    <row r="51801" spans="9:9" x14ac:dyDescent="0.2">
      <c r="I51801" s="137" t="s">
        <v>74</v>
      </c>
    </row>
    <row r="51802" spans="9:9" x14ac:dyDescent="0.2">
      <c r="I51802" s="137" t="s">
        <v>74</v>
      </c>
    </row>
    <row r="51803" spans="9:9" x14ac:dyDescent="0.2">
      <c r="I51803" s="137" t="s">
        <v>74</v>
      </c>
    </row>
    <row r="51804" spans="9:9" x14ac:dyDescent="0.2">
      <c r="I51804" s="137" t="s">
        <v>74</v>
      </c>
    </row>
    <row r="51805" spans="9:9" x14ac:dyDescent="0.2">
      <c r="I51805" s="137" t="s">
        <v>74</v>
      </c>
    </row>
    <row r="51806" spans="9:9" x14ac:dyDescent="0.2">
      <c r="I51806" s="137" t="s">
        <v>74</v>
      </c>
    </row>
    <row r="51807" spans="9:9" x14ac:dyDescent="0.2">
      <c r="I51807" s="137" t="s">
        <v>74</v>
      </c>
    </row>
    <row r="51808" spans="9:9" x14ac:dyDescent="0.2">
      <c r="I51808" s="137" t="s">
        <v>74</v>
      </c>
    </row>
    <row r="51809" spans="9:9" x14ac:dyDescent="0.2">
      <c r="I51809" s="137" t="s">
        <v>74</v>
      </c>
    </row>
    <row r="51810" spans="9:9" x14ac:dyDescent="0.2">
      <c r="I51810" s="137" t="s">
        <v>74</v>
      </c>
    </row>
    <row r="51811" spans="9:9" x14ac:dyDescent="0.2">
      <c r="I51811" s="137" t="s">
        <v>74</v>
      </c>
    </row>
    <row r="51812" spans="9:9" x14ac:dyDescent="0.2">
      <c r="I51812" s="137" t="s">
        <v>74</v>
      </c>
    </row>
    <row r="51813" spans="9:9" x14ac:dyDescent="0.2">
      <c r="I51813" s="137" t="s">
        <v>74</v>
      </c>
    </row>
    <row r="51814" spans="9:9" x14ac:dyDescent="0.2">
      <c r="I51814" s="137" t="s">
        <v>74</v>
      </c>
    </row>
    <row r="51815" spans="9:9" x14ac:dyDescent="0.2">
      <c r="I51815" s="137" t="s">
        <v>74</v>
      </c>
    </row>
    <row r="51816" spans="9:9" x14ac:dyDescent="0.2">
      <c r="I51816" s="137" t="s">
        <v>74</v>
      </c>
    </row>
    <row r="51817" spans="9:9" x14ac:dyDescent="0.2">
      <c r="I51817" s="137" t="s">
        <v>74</v>
      </c>
    </row>
    <row r="51818" spans="9:9" x14ac:dyDescent="0.2">
      <c r="I51818" s="137" t="s">
        <v>74</v>
      </c>
    </row>
    <row r="51819" spans="9:9" x14ac:dyDescent="0.2">
      <c r="I51819" s="137" t="s">
        <v>74</v>
      </c>
    </row>
    <row r="51820" spans="9:9" x14ac:dyDescent="0.2">
      <c r="I51820" s="137" t="s">
        <v>74</v>
      </c>
    </row>
    <row r="51821" spans="9:9" x14ac:dyDescent="0.2">
      <c r="I51821" s="137" t="s">
        <v>74</v>
      </c>
    </row>
    <row r="51822" spans="9:9" x14ac:dyDescent="0.2">
      <c r="I51822" s="137" t="s">
        <v>74</v>
      </c>
    </row>
    <row r="51823" spans="9:9" x14ac:dyDescent="0.2">
      <c r="I51823" s="137" t="s">
        <v>74</v>
      </c>
    </row>
    <row r="51824" spans="9:9" x14ac:dyDescent="0.2">
      <c r="I51824" s="137" t="s">
        <v>74</v>
      </c>
    </row>
    <row r="51825" spans="9:9" x14ac:dyDescent="0.2">
      <c r="I51825" s="137" t="s">
        <v>74</v>
      </c>
    </row>
    <row r="51826" spans="9:9" x14ac:dyDescent="0.2">
      <c r="I51826" s="137" t="s">
        <v>74</v>
      </c>
    </row>
    <row r="51827" spans="9:9" x14ac:dyDescent="0.2">
      <c r="I51827" s="137" t="s">
        <v>74</v>
      </c>
    </row>
    <row r="51828" spans="9:9" x14ac:dyDescent="0.2">
      <c r="I51828" s="137" t="s">
        <v>74</v>
      </c>
    </row>
    <row r="51829" spans="9:9" x14ac:dyDescent="0.2">
      <c r="I51829" s="137" t="s">
        <v>74</v>
      </c>
    </row>
    <row r="51830" spans="9:9" x14ac:dyDescent="0.2">
      <c r="I51830" s="137" t="s">
        <v>74</v>
      </c>
    </row>
    <row r="51831" spans="9:9" x14ac:dyDescent="0.2">
      <c r="I51831" s="137" t="s">
        <v>74</v>
      </c>
    </row>
    <row r="51832" spans="9:9" x14ac:dyDescent="0.2">
      <c r="I51832" s="137" t="s">
        <v>74</v>
      </c>
    </row>
    <row r="51833" spans="9:9" x14ac:dyDescent="0.2">
      <c r="I51833" s="137" t="s">
        <v>74</v>
      </c>
    </row>
    <row r="51834" spans="9:9" x14ac:dyDescent="0.2">
      <c r="I51834" s="137" t="s">
        <v>74</v>
      </c>
    </row>
    <row r="51835" spans="9:9" x14ac:dyDescent="0.2">
      <c r="I51835" s="137" t="s">
        <v>74</v>
      </c>
    </row>
    <row r="51836" spans="9:9" x14ac:dyDescent="0.2">
      <c r="I51836" s="137" t="s">
        <v>74</v>
      </c>
    </row>
    <row r="51837" spans="9:9" x14ac:dyDescent="0.2">
      <c r="I51837" s="137" t="s">
        <v>74</v>
      </c>
    </row>
    <row r="51838" spans="9:9" x14ac:dyDescent="0.2">
      <c r="I51838" s="137" t="s">
        <v>74</v>
      </c>
    </row>
    <row r="51839" spans="9:9" x14ac:dyDescent="0.2">
      <c r="I51839" s="137" t="s">
        <v>74</v>
      </c>
    </row>
    <row r="51840" spans="9:9" x14ac:dyDescent="0.2">
      <c r="I51840" s="137" t="s">
        <v>74</v>
      </c>
    </row>
    <row r="51841" spans="9:9" x14ac:dyDescent="0.2">
      <c r="I51841" s="137" t="s">
        <v>74</v>
      </c>
    </row>
    <row r="51842" spans="9:9" x14ac:dyDescent="0.2">
      <c r="I51842" s="137" t="s">
        <v>74</v>
      </c>
    </row>
    <row r="51843" spans="9:9" x14ac:dyDescent="0.2">
      <c r="I51843" s="137" t="s">
        <v>74</v>
      </c>
    </row>
    <row r="51844" spans="9:9" x14ac:dyDescent="0.2">
      <c r="I51844" s="137" t="s">
        <v>74</v>
      </c>
    </row>
    <row r="51845" spans="9:9" x14ac:dyDescent="0.2">
      <c r="I51845" s="137" t="s">
        <v>74</v>
      </c>
    </row>
    <row r="51846" spans="9:9" x14ac:dyDescent="0.2">
      <c r="I51846" s="137" t="s">
        <v>74</v>
      </c>
    </row>
    <row r="51847" spans="9:9" x14ac:dyDescent="0.2">
      <c r="I51847" s="137" t="s">
        <v>74</v>
      </c>
    </row>
    <row r="51848" spans="9:9" x14ac:dyDescent="0.2">
      <c r="I51848" s="137" t="s">
        <v>74</v>
      </c>
    </row>
    <row r="51849" spans="9:9" x14ac:dyDescent="0.2">
      <c r="I51849" s="137" t="s">
        <v>74</v>
      </c>
    </row>
    <row r="51850" spans="9:9" x14ac:dyDescent="0.2">
      <c r="I51850" s="137" t="s">
        <v>74</v>
      </c>
    </row>
    <row r="51851" spans="9:9" x14ac:dyDescent="0.2">
      <c r="I51851" s="137" t="s">
        <v>74</v>
      </c>
    </row>
    <row r="51852" spans="9:9" x14ac:dyDescent="0.2">
      <c r="I51852" s="137" t="s">
        <v>74</v>
      </c>
    </row>
    <row r="51853" spans="9:9" x14ac:dyDescent="0.2">
      <c r="I51853" s="137" t="s">
        <v>74</v>
      </c>
    </row>
    <row r="51854" spans="9:9" x14ac:dyDescent="0.2">
      <c r="I51854" s="137" t="s">
        <v>74</v>
      </c>
    </row>
    <row r="51855" spans="9:9" x14ac:dyDescent="0.2">
      <c r="I51855" s="137" t="s">
        <v>74</v>
      </c>
    </row>
    <row r="51856" spans="9:9" x14ac:dyDescent="0.2">
      <c r="I51856" s="137" t="s">
        <v>74</v>
      </c>
    </row>
    <row r="51857" spans="9:9" x14ac:dyDescent="0.2">
      <c r="I51857" s="137" t="s">
        <v>74</v>
      </c>
    </row>
    <row r="51858" spans="9:9" x14ac:dyDescent="0.2">
      <c r="I51858" s="137" t="s">
        <v>74</v>
      </c>
    </row>
    <row r="51859" spans="9:9" x14ac:dyDescent="0.2">
      <c r="I51859" s="137" t="s">
        <v>74</v>
      </c>
    </row>
    <row r="51860" spans="9:9" x14ac:dyDescent="0.2">
      <c r="I51860" s="137" t="s">
        <v>74</v>
      </c>
    </row>
    <row r="51861" spans="9:9" x14ac:dyDescent="0.2">
      <c r="I51861" s="137" t="s">
        <v>74</v>
      </c>
    </row>
    <row r="51862" spans="9:9" x14ac:dyDescent="0.2">
      <c r="I51862" s="137" t="s">
        <v>74</v>
      </c>
    </row>
    <row r="51863" spans="9:9" x14ac:dyDescent="0.2">
      <c r="I51863" s="137" t="s">
        <v>74</v>
      </c>
    </row>
    <row r="51864" spans="9:9" x14ac:dyDescent="0.2">
      <c r="I51864" s="137" t="s">
        <v>74</v>
      </c>
    </row>
    <row r="51865" spans="9:9" x14ac:dyDescent="0.2">
      <c r="I51865" s="137" t="s">
        <v>74</v>
      </c>
    </row>
    <row r="51866" spans="9:9" x14ac:dyDescent="0.2">
      <c r="I51866" s="137" t="s">
        <v>74</v>
      </c>
    </row>
    <row r="51867" spans="9:9" x14ac:dyDescent="0.2">
      <c r="I51867" s="137" t="s">
        <v>74</v>
      </c>
    </row>
    <row r="51868" spans="9:9" x14ac:dyDescent="0.2">
      <c r="I51868" s="137" t="s">
        <v>74</v>
      </c>
    </row>
    <row r="51869" spans="9:9" x14ac:dyDescent="0.2">
      <c r="I51869" s="137" t="s">
        <v>74</v>
      </c>
    </row>
    <row r="51870" spans="9:9" x14ac:dyDescent="0.2">
      <c r="I51870" s="137" t="s">
        <v>74</v>
      </c>
    </row>
    <row r="51871" spans="9:9" x14ac:dyDescent="0.2">
      <c r="I51871" s="137" t="s">
        <v>74</v>
      </c>
    </row>
    <row r="51872" spans="9:9" x14ac:dyDescent="0.2">
      <c r="I51872" s="137" t="s">
        <v>74</v>
      </c>
    </row>
    <row r="51873" spans="9:9" x14ac:dyDescent="0.2">
      <c r="I51873" s="137" t="s">
        <v>74</v>
      </c>
    </row>
    <row r="51874" spans="9:9" x14ac:dyDescent="0.2">
      <c r="I51874" s="137" t="s">
        <v>74</v>
      </c>
    </row>
    <row r="51875" spans="9:9" x14ac:dyDescent="0.2">
      <c r="I51875" s="137" t="s">
        <v>74</v>
      </c>
    </row>
    <row r="51876" spans="9:9" x14ac:dyDescent="0.2">
      <c r="I51876" s="137" t="s">
        <v>74</v>
      </c>
    </row>
    <row r="51877" spans="9:9" x14ac:dyDescent="0.2">
      <c r="I51877" s="137" t="s">
        <v>74</v>
      </c>
    </row>
    <row r="51878" spans="9:9" x14ac:dyDescent="0.2">
      <c r="I51878" s="137" t="s">
        <v>74</v>
      </c>
    </row>
    <row r="51879" spans="9:9" x14ac:dyDescent="0.2">
      <c r="I51879" s="137" t="s">
        <v>74</v>
      </c>
    </row>
    <row r="51880" spans="9:9" x14ac:dyDescent="0.2">
      <c r="I51880" s="137" t="s">
        <v>74</v>
      </c>
    </row>
    <row r="51881" spans="9:9" x14ac:dyDescent="0.2">
      <c r="I51881" s="137" t="s">
        <v>74</v>
      </c>
    </row>
    <row r="51882" spans="9:9" x14ac:dyDescent="0.2">
      <c r="I51882" s="137" t="s">
        <v>74</v>
      </c>
    </row>
    <row r="51883" spans="9:9" x14ac:dyDescent="0.2">
      <c r="I51883" s="137" t="s">
        <v>74</v>
      </c>
    </row>
    <row r="51884" spans="9:9" x14ac:dyDescent="0.2">
      <c r="I51884" s="137" t="s">
        <v>74</v>
      </c>
    </row>
    <row r="51885" spans="9:9" x14ac:dyDescent="0.2">
      <c r="I51885" s="137" t="s">
        <v>74</v>
      </c>
    </row>
    <row r="51886" spans="9:9" x14ac:dyDescent="0.2">
      <c r="I51886" s="137" t="s">
        <v>74</v>
      </c>
    </row>
    <row r="51887" spans="9:9" x14ac:dyDescent="0.2">
      <c r="I51887" s="137" t="s">
        <v>74</v>
      </c>
    </row>
    <row r="51888" spans="9:9" x14ac:dyDescent="0.2">
      <c r="I51888" s="137" t="s">
        <v>74</v>
      </c>
    </row>
    <row r="51889" spans="9:9" x14ac:dyDescent="0.2">
      <c r="I51889" s="137" t="s">
        <v>74</v>
      </c>
    </row>
    <row r="51890" spans="9:9" x14ac:dyDescent="0.2">
      <c r="I51890" s="137" t="s">
        <v>74</v>
      </c>
    </row>
    <row r="51891" spans="9:9" x14ac:dyDescent="0.2">
      <c r="I51891" s="137" t="s">
        <v>74</v>
      </c>
    </row>
    <row r="51892" spans="9:9" x14ac:dyDescent="0.2">
      <c r="I51892" s="137" t="s">
        <v>74</v>
      </c>
    </row>
    <row r="51893" spans="9:9" x14ac:dyDescent="0.2">
      <c r="I51893" s="137" t="s">
        <v>74</v>
      </c>
    </row>
    <row r="51894" spans="9:9" x14ac:dyDescent="0.2">
      <c r="I51894" s="137" t="s">
        <v>74</v>
      </c>
    </row>
    <row r="51895" spans="9:9" x14ac:dyDescent="0.2">
      <c r="I51895" s="137" t="s">
        <v>74</v>
      </c>
    </row>
    <row r="51896" spans="9:9" x14ac:dyDescent="0.2">
      <c r="I51896" s="137" t="s">
        <v>74</v>
      </c>
    </row>
    <row r="51897" spans="9:9" x14ac:dyDescent="0.2">
      <c r="I51897" s="137" t="s">
        <v>74</v>
      </c>
    </row>
    <row r="51898" spans="9:9" x14ac:dyDescent="0.2">
      <c r="I51898" s="137" t="s">
        <v>74</v>
      </c>
    </row>
    <row r="51899" spans="9:9" x14ac:dyDescent="0.2">
      <c r="I51899" s="137" t="s">
        <v>74</v>
      </c>
    </row>
    <row r="51900" spans="9:9" x14ac:dyDescent="0.2">
      <c r="I51900" s="137" t="s">
        <v>74</v>
      </c>
    </row>
    <row r="51901" spans="9:9" x14ac:dyDescent="0.2">
      <c r="I51901" s="137" t="s">
        <v>74</v>
      </c>
    </row>
    <row r="51902" spans="9:9" x14ac:dyDescent="0.2">
      <c r="I51902" s="137" t="s">
        <v>74</v>
      </c>
    </row>
    <row r="51903" spans="9:9" x14ac:dyDescent="0.2">
      <c r="I51903" s="137" t="s">
        <v>74</v>
      </c>
    </row>
    <row r="51904" spans="9:9" x14ac:dyDescent="0.2">
      <c r="I51904" s="137" t="s">
        <v>74</v>
      </c>
    </row>
    <row r="51905" spans="9:9" x14ac:dyDescent="0.2">
      <c r="I51905" s="137" t="s">
        <v>74</v>
      </c>
    </row>
    <row r="51906" spans="9:9" x14ac:dyDescent="0.2">
      <c r="I51906" s="137" t="s">
        <v>74</v>
      </c>
    </row>
    <row r="51907" spans="9:9" x14ac:dyDescent="0.2">
      <c r="I51907" s="137" t="s">
        <v>74</v>
      </c>
    </row>
    <row r="51908" spans="9:9" x14ac:dyDescent="0.2">
      <c r="I51908" s="137" t="s">
        <v>74</v>
      </c>
    </row>
    <row r="51909" spans="9:9" x14ac:dyDescent="0.2">
      <c r="I51909" s="137" t="s">
        <v>74</v>
      </c>
    </row>
    <row r="51910" spans="9:9" x14ac:dyDescent="0.2">
      <c r="I51910" s="137" t="s">
        <v>74</v>
      </c>
    </row>
    <row r="51911" spans="9:9" x14ac:dyDescent="0.2">
      <c r="I51911" s="137" t="s">
        <v>74</v>
      </c>
    </row>
    <row r="51912" spans="9:9" x14ac:dyDescent="0.2">
      <c r="I51912" s="137" t="s">
        <v>74</v>
      </c>
    </row>
    <row r="51913" spans="9:9" x14ac:dyDescent="0.2">
      <c r="I51913" s="137" t="s">
        <v>74</v>
      </c>
    </row>
    <row r="51914" spans="9:9" x14ac:dyDescent="0.2">
      <c r="I51914" s="137" t="s">
        <v>74</v>
      </c>
    </row>
    <row r="51915" spans="9:9" x14ac:dyDescent="0.2">
      <c r="I51915" s="137" t="s">
        <v>74</v>
      </c>
    </row>
    <row r="51916" spans="9:9" x14ac:dyDescent="0.2">
      <c r="I51916" s="137" t="s">
        <v>74</v>
      </c>
    </row>
    <row r="51917" spans="9:9" x14ac:dyDescent="0.2">
      <c r="I51917" s="137" t="s">
        <v>74</v>
      </c>
    </row>
    <row r="51918" spans="9:9" x14ac:dyDescent="0.2">
      <c r="I51918" s="137" t="s">
        <v>74</v>
      </c>
    </row>
    <row r="51919" spans="9:9" x14ac:dyDescent="0.2">
      <c r="I51919" s="137" t="s">
        <v>74</v>
      </c>
    </row>
    <row r="51920" spans="9:9" x14ac:dyDescent="0.2">
      <c r="I51920" s="137" t="s">
        <v>74</v>
      </c>
    </row>
    <row r="51921" spans="9:9" x14ac:dyDescent="0.2">
      <c r="I51921" s="137" t="s">
        <v>74</v>
      </c>
    </row>
    <row r="51922" spans="9:9" x14ac:dyDescent="0.2">
      <c r="I51922" s="137" t="s">
        <v>74</v>
      </c>
    </row>
    <row r="51923" spans="9:9" x14ac:dyDescent="0.2">
      <c r="I51923" s="137" t="s">
        <v>74</v>
      </c>
    </row>
    <row r="51924" spans="9:9" x14ac:dyDescent="0.2">
      <c r="I51924" s="137" t="s">
        <v>74</v>
      </c>
    </row>
    <row r="51925" spans="9:9" x14ac:dyDescent="0.2">
      <c r="I51925" s="137" t="s">
        <v>74</v>
      </c>
    </row>
    <row r="51926" spans="9:9" x14ac:dyDescent="0.2">
      <c r="I51926" s="137" t="s">
        <v>74</v>
      </c>
    </row>
    <row r="51927" spans="9:9" x14ac:dyDescent="0.2">
      <c r="I51927" s="137" t="s">
        <v>74</v>
      </c>
    </row>
    <row r="51928" spans="9:9" x14ac:dyDescent="0.2">
      <c r="I51928" s="137" t="s">
        <v>74</v>
      </c>
    </row>
    <row r="51929" spans="9:9" x14ac:dyDescent="0.2">
      <c r="I51929" s="137" t="s">
        <v>74</v>
      </c>
    </row>
    <row r="51930" spans="9:9" x14ac:dyDescent="0.2">
      <c r="I51930" s="137" t="s">
        <v>74</v>
      </c>
    </row>
    <row r="51931" spans="9:9" x14ac:dyDescent="0.2">
      <c r="I51931" s="137" t="s">
        <v>74</v>
      </c>
    </row>
    <row r="51932" spans="9:9" x14ac:dyDescent="0.2">
      <c r="I51932" s="137" t="s">
        <v>74</v>
      </c>
    </row>
    <row r="51933" spans="9:9" x14ac:dyDescent="0.2">
      <c r="I51933" s="137" t="s">
        <v>74</v>
      </c>
    </row>
    <row r="51934" spans="9:9" x14ac:dyDescent="0.2">
      <c r="I51934" s="137" t="s">
        <v>74</v>
      </c>
    </row>
    <row r="51935" spans="9:9" x14ac:dyDescent="0.2">
      <c r="I51935" s="137" t="s">
        <v>74</v>
      </c>
    </row>
    <row r="51936" spans="9:9" x14ac:dyDescent="0.2">
      <c r="I51936" s="137" t="s">
        <v>74</v>
      </c>
    </row>
    <row r="51937" spans="9:9" x14ac:dyDescent="0.2">
      <c r="I51937" s="137" t="s">
        <v>74</v>
      </c>
    </row>
    <row r="51938" spans="9:9" x14ac:dyDescent="0.2">
      <c r="I51938" s="137" t="s">
        <v>74</v>
      </c>
    </row>
    <row r="51939" spans="9:9" x14ac:dyDescent="0.2">
      <c r="I51939" s="137" t="s">
        <v>74</v>
      </c>
    </row>
    <row r="51940" spans="9:9" x14ac:dyDescent="0.2">
      <c r="I51940" s="137" t="s">
        <v>74</v>
      </c>
    </row>
    <row r="51941" spans="9:9" x14ac:dyDescent="0.2">
      <c r="I51941" s="137" t="s">
        <v>74</v>
      </c>
    </row>
    <row r="51942" spans="9:9" x14ac:dyDescent="0.2">
      <c r="I51942" s="137" t="s">
        <v>74</v>
      </c>
    </row>
    <row r="51943" spans="9:9" x14ac:dyDescent="0.2">
      <c r="I51943" s="137" t="s">
        <v>74</v>
      </c>
    </row>
    <row r="51944" spans="9:9" x14ac:dyDescent="0.2">
      <c r="I51944" s="137" t="s">
        <v>74</v>
      </c>
    </row>
    <row r="51945" spans="9:9" x14ac:dyDescent="0.2">
      <c r="I51945" s="137" t="s">
        <v>74</v>
      </c>
    </row>
    <row r="51946" spans="9:9" x14ac:dyDescent="0.2">
      <c r="I51946" s="137" t="s">
        <v>74</v>
      </c>
    </row>
    <row r="51947" spans="9:9" x14ac:dyDescent="0.2">
      <c r="I51947" s="137" t="s">
        <v>74</v>
      </c>
    </row>
    <row r="51948" spans="9:9" x14ac:dyDescent="0.2">
      <c r="I51948" s="137" t="s">
        <v>74</v>
      </c>
    </row>
    <row r="51949" spans="9:9" x14ac:dyDescent="0.2">
      <c r="I51949" s="137" t="s">
        <v>74</v>
      </c>
    </row>
    <row r="51950" spans="9:9" x14ac:dyDescent="0.2">
      <c r="I51950" s="137" t="s">
        <v>74</v>
      </c>
    </row>
    <row r="51951" spans="9:9" x14ac:dyDescent="0.2">
      <c r="I51951" s="137" t="s">
        <v>74</v>
      </c>
    </row>
    <row r="51952" spans="9:9" x14ac:dyDescent="0.2">
      <c r="I51952" s="137" t="s">
        <v>74</v>
      </c>
    </row>
    <row r="51953" spans="9:9" x14ac:dyDescent="0.2">
      <c r="I51953" s="137" t="s">
        <v>74</v>
      </c>
    </row>
    <row r="51954" spans="9:9" x14ac:dyDescent="0.2">
      <c r="I51954" s="137" t="s">
        <v>74</v>
      </c>
    </row>
    <row r="51955" spans="9:9" x14ac:dyDescent="0.2">
      <c r="I51955" s="137" t="s">
        <v>74</v>
      </c>
    </row>
    <row r="51956" spans="9:9" x14ac:dyDescent="0.2">
      <c r="I51956" s="137" t="s">
        <v>74</v>
      </c>
    </row>
    <row r="51957" spans="9:9" x14ac:dyDescent="0.2">
      <c r="I51957" s="137" t="s">
        <v>74</v>
      </c>
    </row>
    <row r="51958" spans="9:9" x14ac:dyDescent="0.2">
      <c r="I51958" s="137" t="s">
        <v>74</v>
      </c>
    </row>
    <row r="51959" spans="9:9" x14ac:dyDescent="0.2">
      <c r="I51959" s="137" t="s">
        <v>74</v>
      </c>
    </row>
    <row r="51960" spans="9:9" x14ac:dyDescent="0.2">
      <c r="I51960" s="137" t="s">
        <v>74</v>
      </c>
    </row>
    <row r="51961" spans="9:9" x14ac:dyDescent="0.2">
      <c r="I51961" s="137" t="s">
        <v>74</v>
      </c>
    </row>
    <row r="51962" spans="9:9" x14ac:dyDescent="0.2">
      <c r="I51962" s="137" t="s">
        <v>74</v>
      </c>
    </row>
    <row r="51963" spans="9:9" x14ac:dyDescent="0.2">
      <c r="I51963" s="137" t="s">
        <v>74</v>
      </c>
    </row>
    <row r="51964" spans="9:9" x14ac:dyDescent="0.2">
      <c r="I51964" s="137" t="s">
        <v>74</v>
      </c>
    </row>
    <row r="51965" spans="9:9" x14ac:dyDescent="0.2">
      <c r="I51965" s="137" t="s">
        <v>74</v>
      </c>
    </row>
    <row r="51966" spans="9:9" x14ac:dyDescent="0.2">
      <c r="I51966" s="137" t="s">
        <v>74</v>
      </c>
    </row>
    <row r="51967" spans="9:9" x14ac:dyDescent="0.2">
      <c r="I51967" s="137" t="s">
        <v>74</v>
      </c>
    </row>
    <row r="51968" spans="9:9" x14ac:dyDescent="0.2">
      <c r="I51968" s="137" t="s">
        <v>74</v>
      </c>
    </row>
    <row r="51969" spans="9:9" x14ac:dyDescent="0.2">
      <c r="I51969" s="137" t="s">
        <v>74</v>
      </c>
    </row>
    <row r="51970" spans="9:9" x14ac:dyDescent="0.2">
      <c r="I51970" s="137" t="s">
        <v>74</v>
      </c>
    </row>
    <row r="51971" spans="9:9" x14ac:dyDescent="0.2">
      <c r="I51971" s="137" t="s">
        <v>74</v>
      </c>
    </row>
    <row r="51972" spans="9:9" x14ac:dyDescent="0.2">
      <c r="I51972" s="137" t="s">
        <v>74</v>
      </c>
    </row>
    <row r="51973" spans="9:9" x14ac:dyDescent="0.2">
      <c r="I51973" s="137" t="s">
        <v>74</v>
      </c>
    </row>
    <row r="51974" spans="9:9" x14ac:dyDescent="0.2">
      <c r="I51974" s="137" t="s">
        <v>74</v>
      </c>
    </row>
    <row r="51975" spans="9:9" x14ac:dyDescent="0.2">
      <c r="I51975" s="137" t="s">
        <v>74</v>
      </c>
    </row>
    <row r="51976" spans="9:9" x14ac:dyDescent="0.2">
      <c r="I51976" s="137" t="s">
        <v>74</v>
      </c>
    </row>
    <row r="51977" spans="9:9" x14ac:dyDescent="0.2">
      <c r="I51977" s="137" t="s">
        <v>74</v>
      </c>
    </row>
    <row r="51978" spans="9:9" x14ac:dyDescent="0.2">
      <c r="I51978" s="137" t="s">
        <v>74</v>
      </c>
    </row>
    <row r="51979" spans="9:9" x14ac:dyDescent="0.2">
      <c r="I51979" s="137" t="s">
        <v>74</v>
      </c>
    </row>
    <row r="51980" spans="9:9" x14ac:dyDescent="0.2">
      <c r="I51980" s="137" t="s">
        <v>74</v>
      </c>
    </row>
    <row r="51981" spans="9:9" x14ac:dyDescent="0.2">
      <c r="I51981" s="137" t="s">
        <v>74</v>
      </c>
    </row>
    <row r="51982" spans="9:9" x14ac:dyDescent="0.2">
      <c r="I51982" s="137" t="s">
        <v>74</v>
      </c>
    </row>
    <row r="51983" spans="9:9" x14ac:dyDescent="0.2">
      <c r="I51983" s="137" t="s">
        <v>74</v>
      </c>
    </row>
    <row r="51984" spans="9:9" x14ac:dyDescent="0.2">
      <c r="I51984" s="137" t="s">
        <v>74</v>
      </c>
    </row>
    <row r="51985" spans="9:9" x14ac:dyDescent="0.2">
      <c r="I51985" s="137" t="s">
        <v>74</v>
      </c>
    </row>
    <row r="51986" spans="9:9" x14ac:dyDescent="0.2">
      <c r="I51986" s="137" t="s">
        <v>74</v>
      </c>
    </row>
    <row r="51987" spans="9:9" x14ac:dyDescent="0.2">
      <c r="I51987" s="137" t="s">
        <v>74</v>
      </c>
    </row>
    <row r="51988" spans="9:9" x14ac:dyDescent="0.2">
      <c r="I51988" s="137" t="s">
        <v>74</v>
      </c>
    </row>
    <row r="51989" spans="9:9" x14ac:dyDescent="0.2">
      <c r="I51989" s="137" t="s">
        <v>74</v>
      </c>
    </row>
    <row r="51990" spans="9:9" x14ac:dyDescent="0.2">
      <c r="I51990" s="137" t="s">
        <v>74</v>
      </c>
    </row>
    <row r="51991" spans="9:9" x14ac:dyDescent="0.2">
      <c r="I51991" s="137" t="s">
        <v>74</v>
      </c>
    </row>
    <row r="51992" spans="9:9" x14ac:dyDescent="0.2">
      <c r="I51992" s="137" t="s">
        <v>74</v>
      </c>
    </row>
    <row r="51993" spans="9:9" x14ac:dyDescent="0.2">
      <c r="I51993" s="137" t="s">
        <v>74</v>
      </c>
    </row>
    <row r="51994" spans="9:9" x14ac:dyDescent="0.2">
      <c r="I51994" s="137" t="s">
        <v>74</v>
      </c>
    </row>
    <row r="51995" spans="9:9" x14ac:dyDescent="0.2">
      <c r="I51995" s="137" t="s">
        <v>74</v>
      </c>
    </row>
    <row r="51996" spans="9:9" x14ac:dyDescent="0.2">
      <c r="I51996" s="137" t="s">
        <v>74</v>
      </c>
    </row>
    <row r="51997" spans="9:9" x14ac:dyDescent="0.2">
      <c r="I51997" s="137" t="s">
        <v>74</v>
      </c>
    </row>
    <row r="51998" spans="9:9" x14ac:dyDescent="0.2">
      <c r="I51998" s="137" t="s">
        <v>74</v>
      </c>
    </row>
    <row r="51999" spans="9:9" x14ac:dyDescent="0.2">
      <c r="I51999" s="137" t="s">
        <v>74</v>
      </c>
    </row>
    <row r="52000" spans="9:9" x14ac:dyDescent="0.2">
      <c r="I52000" s="137" t="s">
        <v>74</v>
      </c>
    </row>
    <row r="52001" spans="9:9" x14ac:dyDescent="0.2">
      <c r="I52001" s="137" t="s">
        <v>74</v>
      </c>
    </row>
    <row r="52002" spans="9:9" x14ac:dyDescent="0.2">
      <c r="I52002" s="137" t="s">
        <v>74</v>
      </c>
    </row>
    <row r="52003" spans="9:9" x14ac:dyDescent="0.2">
      <c r="I52003" s="137" t="s">
        <v>74</v>
      </c>
    </row>
    <row r="52004" spans="9:9" x14ac:dyDescent="0.2">
      <c r="I52004" s="137" t="s">
        <v>74</v>
      </c>
    </row>
    <row r="52005" spans="9:9" x14ac:dyDescent="0.2">
      <c r="I52005" s="137" t="s">
        <v>74</v>
      </c>
    </row>
    <row r="52006" spans="9:9" x14ac:dyDescent="0.2">
      <c r="I52006" s="137" t="s">
        <v>74</v>
      </c>
    </row>
    <row r="52007" spans="9:9" x14ac:dyDescent="0.2">
      <c r="I52007" s="137" t="s">
        <v>74</v>
      </c>
    </row>
    <row r="52008" spans="9:9" x14ac:dyDescent="0.2">
      <c r="I52008" s="137" t="s">
        <v>74</v>
      </c>
    </row>
    <row r="52009" spans="9:9" x14ac:dyDescent="0.2">
      <c r="I52009" s="137" t="s">
        <v>74</v>
      </c>
    </row>
    <row r="52010" spans="9:9" x14ac:dyDescent="0.2">
      <c r="I52010" s="137" t="s">
        <v>74</v>
      </c>
    </row>
    <row r="52011" spans="9:9" x14ac:dyDescent="0.2">
      <c r="I52011" s="137" t="s">
        <v>74</v>
      </c>
    </row>
    <row r="52012" spans="9:9" x14ac:dyDescent="0.2">
      <c r="I52012" s="137" t="s">
        <v>74</v>
      </c>
    </row>
    <row r="52013" spans="9:9" x14ac:dyDescent="0.2">
      <c r="I52013" s="137" t="s">
        <v>74</v>
      </c>
    </row>
    <row r="52014" spans="9:9" x14ac:dyDescent="0.2">
      <c r="I52014" s="137" t="s">
        <v>74</v>
      </c>
    </row>
    <row r="52015" spans="9:9" x14ac:dyDescent="0.2">
      <c r="I52015" s="137" t="s">
        <v>74</v>
      </c>
    </row>
    <row r="52016" spans="9:9" x14ac:dyDescent="0.2">
      <c r="I52016" s="137" t="s">
        <v>74</v>
      </c>
    </row>
    <row r="52017" spans="9:9" x14ac:dyDescent="0.2">
      <c r="I52017" s="137" t="s">
        <v>74</v>
      </c>
    </row>
    <row r="52018" spans="9:9" x14ac:dyDescent="0.2">
      <c r="I52018" s="137" t="s">
        <v>74</v>
      </c>
    </row>
    <row r="52019" spans="9:9" x14ac:dyDescent="0.2">
      <c r="I52019" s="137" t="s">
        <v>74</v>
      </c>
    </row>
    <row r="52020" spans="9:9" x14ac:dyDescent="0.2">
      <c r="I52020" s="137" t="s">
        <v>74</v>
      </c>
    </row>
    <row r="52021" spans="9:9" x14ac:dyDescent="0.2">
      <c r="I52021" s="137" t="s">
        <v>74</v>
      </c>
    </row>
    <row r="52022" spans="9:9" x14ac:dyDescent="0.2">
      <c r="I52022" s="137" t="s">
        <v>74</v>
      </c>
    </row>
    <row r="52023" spans="9:9" x14ac:dyDescent="0.2">
      <c r="I52023" s="137" t="s">
        <v>74</v>
      </c>
    </row>
    <row r="52024" spans="9:9" x14ac:dyDescent="0.2">
      <c r="I52024" s="137" t="s">
        <v>74</v>
      </c>
    </row>
    <row r="52025" spans="9:9" x14ac:dyDescent="0.2">
      <c r="I52025" s="137" t="s">
        <v>74</v>
      </c>
    </row>
    <row r="52026" spans="9:9" x14ac:dyDescent="0.2">
      <c r="I52026" s="137" t="s">
        <v>74</v>
      </c>
    </row>
    <row r="52027" spans="9:9" x14ac:dyDescent="0.2">
      <c r="I52027" s="137" t="s">
        <v>74</v>
      </c>
    </row>
    <row r="52028" spans="9:9" x14ac:dyDescent="0.2">
      <c r="I52028" s="137" t="s">
        <v>74</v>
      </c>
    </row>
    <row r="52029" spans="9:9" x14ac:dyDescent="0.2">
      <c r="I52029" s="137" t="s">
        <v>74</v>
      </c>
    </row>
    <row r="52030" spans="9:9" x14ac:dyDescent="0.2">
      <c r="I52030" s="137" t="s">
        <v>74</v>
      </c>
    </row>
    <row r="52031" spans="9:9" x14ac:dyDescent="0.2">
      <c r="I52031" s="137" t="s">
        <v>74</v>
      </c>
    </row>
    <row r="52032" spans="9:9" x14ac:dyDescent="0.2">
      <c r="I52032" s="137" t="s">
        <v>74</v>
      </c>
    </row>
    <row r="52033" spans="9:9" x14ac:dyDescent="0.2">
      <c r="I52033" s="137" t="s">
        <v>74</v>
      </c>
    </row>
    <row r="52034" spans="9:9" x14ac:dyDescent="0.2">
      <c r="I52034" s="137" t="s">
        <v>74</v>
      </c>
    </row>
    <row r="52035" spans="9:9" x14ac:dyDescent="0.2">
      <c r="I52035" s="137" t="s">
        <v>74</v>
      </c>
    </row>
    <row r="52036" spans="9:9" x14ac:dyDescent="0.2">
      <c r="I52036" s="137" t="s">
        <v>74</v>
      </c>
    </row>
    <row r="52037" spans="9:9" x14ac:dyDescent="0.2">
      <c r="I52037" s="137" t="s">
        <v>74</v>
      </c>
    </row>
    <row r="52038" spans="9:9" x14ac:dyDescent="0.2">
      <c r="I52038" s="137" t="s">
        <v>74</v>
      </c>
    </row>
    <row r="52039" spans="9:9" x14ac:dyDescent="0.2">
      <c r="I52039" s="137" t="s">
        <v>74</v>
      </c>
    </row>
    <row r="52040" spans="9:9" x14ac:dyDescent="0.2">
      <c r="I52040" s="137" t="s">
        <v>74</v>
      </c>
    </row>
    <row r="52041" spans="9:9" x14ac:dyDescent="0.2">
      <c r="I52041" s="137" t="s">
        <v>74</v>
      </c>
    </row>
    <row r="52042" spans="9:9" x14ac:dyDescent="0.2">
      <c r="I52042" s="137" t="s">
        <v>74</v>
      </c>
    </row>
    <row r="52043" spans="9:9" x14ac:dyDescent="0.2">
      <c r="I52043" s="137" t="s">
        <v>74</v>
      </c>
    </row>
    <row r="52044" spans="9:9" x14ac:dyDescent="0.2">
      <c r="I52044" s="137" t="s">
        <v>74</v>
      </c>
    </row>
    <row r="52045" spans="9:9" x14ac:dyDescent="0.2">
      <c r="I52045" s="137" t="s">
        <v>74</v>
      </c>
    </row>
    <row r="52046" spans="9:9" x14ac:dyDescent="0.2">
      <c r="I52046" s="137" t="s">
        <v>74</v>
      </c>
    </row>
    <row r="52047" spans="9:9" x14ac:dyDescent="0.2">
      <c r="I52047" s="137" t="s">
        <v>74</v>
      </c>
    </row>
    <row r="52048" spans="9:9" x14ac:dyDescent="0.2">
      <c r="I52048" s="137" t="s">
        <v>74</v>
      </c>
    </row>
    <row r="52049" spans="9:9" x14ac:dyDescent="0.2">
      <c r="I52049" s="137" t="s">
        <v>74</v>
      </c>
    </row>
    <row r="52050" spans="9:9" x14ac:dyDescent="0.2">
      <c r="I52050" s="137" t="s">
        <v>74</v>
      </c>
    </row>
    <row r="52051" spans="9:9" x14ac:dyDescent="0.2">
      <c r="I52051" s="137" t="s">
        <v>74</v>
      </c>
    </row>
    <row r="52052" spans="9:9" x14ac:dyDescent="0.2">
      <c r="I52052" s="137" t="s">
        <v>74</v>
      </c>
    </row>
    <row r="52053" spans="9:9" x14ac:dyDescent="0.2">
      <c r="I52053" s="137" t="s">
        <v>74</v>
      </c>
    </row>
    <row r="52054" spans="9:9" x14ac:dyDescent="0.2">
      <c r="I52054" s="137" t="s">
        <v>74</v>
      </c>
    </row>
    <row r="52055" spans="9:9" x14ac:dyDescent="0.2">
      <c r="I52055" s="137" t="s">
        <v>74</v>
      </c>
    </row>
    <row r="52056" spans="9:9" x14ac:dyDescent="0.2">
      <c r="I52056" s="137" t="s">
        <v>74</v>
      </c>
    </row>
    <row r="52057" spans="9:9" x14ac:dyDescent="0.2">
      <c r="I52057" s="137" t="s">
        <v>74</v>
      </c>
    </row>
    <row r="52058" spans="9:9" x14ac:dyDescent="0.2">
      <c r="I52058" s="137" t="s">
        <v>74</v>
      </c>
    </row>
    <row r="52059" spans="9:9" x14ac:dyDescent="0.2">
      <c r="I52059" s="137" t="s">
        <v>74</v>
      </c>
    </row>
    <row r="52060" spans="9:9" x14ac:dyDescent="0.2">
      <c r="I52060" s="137" t="s">
        <v>74</v>
      </c>
    </row>
    <row r="52061" spans="9:9" x14ac:dyDescent="0.2">
      <c r="I52061" s="137" t="s">
        <v>74</v>
      </c>
    </row>
    <row r="52062" spans="9:9" x14ac:dyDescent="0.2">
      <c r="I52062" s="137" t="s">
        <v>74</v>
      </c>
    </row>
    <row r="52063" spans="9:9" x14ac:dyDescent="0.2">
      <c r="I52063" s="137" t="s">
        <v>74</v>
      </c>
    </row>
    <row r="52064" spans="9:9" x14ac:dyDescent="0.2">
      <c r="I52064" s="137" t="s">
        <v>74</v>
      </c>
    </row>
    <row r="52065" spans="9:9" x14ac:dyDescent="0.2">
      <c r="I52065" s="137" t="s">
        <v>74</v>
      </c>
    </row>
    <row r="52066" spans="9:9" x14ac:dyDescent="0.2">
      <c r="I52066" s="137" t="s">
        <v>74</v>
      </c>
    </row>
    <row r="52067" spans="9:9" x14ac:dyDescent="0.2">
      <c r="I52067" s="137" t="s">
        <v>74</v>
      </c>
    </row>
    <row r="52068" spans="9:9" x14ac:dyDescent="0.2">
      <c r="I52068" s="137" t="s">
        <v>74</v>
      </c>
    </row>
    <row r="52069" spans="9:9" x14ac:dyDescent="0.2">
      <c r="I52069" s="137" t="s">
        <v>74</v>
      </c>
    </row>
    <row r="52070" spans="9:9" x14ac:dyDescent="0.2">
      <c r="I52070" s="137" t="s">
        <v>74</v>
      </c>
    </row>
    <row r="52071" spans="9:9" x14ac:dyDescent="0.2">
      <c r="I52071" s="137" t="s">
        <v>74</v>
      </c>
    </row>
    <row r="52072" spans="9:9" x14ac:dyDescent="0.2">
      <c r="I52072" s="137" t="s">
        <v>74</v>
      </c>
    </row>
    <row r="52073" spans="9:9" x14ac:dyDescent="0.2">
      <c r="I52073" s="137" t="s">
        <v>74</v>
      </c>
    </row>
    <row r="52074" spans="9:9" x14ac:dyDescent="0.2">
      <c r="I52074" s="137" t="s">
        <v>74</v>
      </c>
    </row>
    <row r="52075" spans="9:9" x14ac:dyDescent="0.2">
      <c r="I52075" s="137" t="s">
        <v>74</v>
      </c>
    </row>
    <row r="52076" spans="9:9" x14ac:dyDescent="0.2">
      <c r="I52076" s="137" t="s">
        <v>74</v>
      </c>
    </row>
    <row r="52077" spans="9:9" x14ac:dyDescent="0.2">
      <c r="I52077" s="137" t="s">
        <v>74</v>
      </c>
    </row>
    <row r="52078" spans="9:9" x14ac:dyDescent="0.2">
      <c r="I52078" s="137" t="s">
        <v>74</v>
      </c>
    </row>
    <row r="52079" spans="9:9" x14ac:dyDescent="0.2">
      <c r="I52079" s="137" t="s">
        <v>74</v>
      </c>
    </row>
    <row r="52080" spans="9:9" x14ac:dyDescent="0.2">
      <c r="I52080" s="137" t="s">
        <v>74</v>
      </c>
    </row>
    <row r="52081" spans="9:9" x14ac:dyDescent="0.2">
      <c r="I52081" s="137" t="s">
        <v>74</v>
      </c>
    </row>
    <row r="52082" spans="9:9" x14ac:dyDescent="0.2">
      <c r="I52082" s="137" t="s">
        <v>74</v>
      </c>
    </row>
    <row r="52083" spans="9:9" x14ac:dyDescent="0.2">
      <c r="I52083" s="137" t="s">
        <v>74</v>
      </c>
    </row>
    <row r="52084" spans="9:9" x14ac:dyDescent="0.2">
      <c r="I52084" s="137" t="s">
        <v>74</v>
      </c>
    </row>
    <row r="52085" spans="9:9" x14ac:dyDescent="0.2">
      <c r="I52085" s="137" t="s">
        <v>74</v>
      </c>
    </row>
    <row r="52086" spans="9:9" x14ac:dyDescent="0.2">
      <c r="I52086" s="137" t="s">
        <v>74</v>
      </c>
    </row>
    <row r="52087" spans="9:9" x14ac:dyDescent="0.2">
      <c r="I52087" s="137" t="s">
        <v>74</v>
      </c>
    </row>
    <row r="52088" spans="9:9" x14ac:dyDescent="0.2">
      <c r="I52088" s="137" t="s">
        <v>74</v>
      </c>
    </row>
    <row r="52089" spans="9:9" x14ac:dyDescent="0.2">
      <c r="I52089" s="137" t="s">
        <v>74</v>
      </c>
    </row>
    <row r="52090" spans="9:9" x14ac:dyDescent="0.2">
      <c r="I52090" s="137" t="s">
        <v>74</v>
      </c>
    </row>
    <row r="52091" spans="9:9" x14ac:dyDescent="0.2">
      <c r="I52091" s="137" t="s">
        <v>74</v>
      </c>
    </row>
    <row r="52092" spans="9:9" x14ac:dyDescent="0.2">
      <c r="I52092" s="137" t="s">
        <v>74</v>
      </c>
    </row>
    <row r="52093" spans="9:9" x14ac:dyDescent="0.2">
      <c r="I52093" s="137" t="s">
        <v>74</v>
      </c>
    </row>
    <row r="52094" spans="9:9" x14ac:dyDescent="0.2">
      <c r="I52094" s="137" t="s">
        <v>74</v>
      </c>
    </row>
    <row r="52095" spans="9:9" x14ac:dyDescent="0.2">
      <c r="I52095" s="137" t="s">
        <v>74</v>
      </c>
    </row>
    <row r="52096" spans="9:9" x14ac:dyDescent="0.2">
      <c r="I52096" s="137" t="s">
        <v>74</v>
      </c>
    </row>
    <row r="52097" spans="9:9" x14ac:dyDescent="0.2">
      <c r="I52097" s="137" t="s">
        <v>74</v>
      </c>
    </row>
    <row r="52098" spans="9:9" x14ac:dyDescent="0.2">
      <c r="I52098" s="137" t="s">
        <v>74</v>
      </c>
    </row>
    <row r="52099" spans="9:9" x14ac:dyDescent="0.2">
      <c r="I52099" s="137" t="s">
        <v>74</v>
      </c>
    </row>
    <row r="52100" spans="9:9" x14ac:dyDescent="0.2">
      <c r="I52100" s="137" t="s">
        <v>74</v>
      </c>
    </row>
    <row r="52101" spans="9:9" x14ac:dyDescent="0.2">
      <c r="I52101" s="137" t="s">
        <v>74</v>
      </c>
    </row>
    <row r="52102" spans="9:9" x14ac:dyDescent="0.2">
      <c r="I52102" s="137" t="s">
        <v>74</v>
      </c>
    </row>
    <row r="52103" spans="9:9" x14ac:dyDescent="0.2">
      <c r="I52103" s="137" t="s">
        <v>74</v>
      </c>
    </row>
    <row r="52104" spans="9:9" x14ac:dyDescent="0.2">
      <c r="I52104" s="137" t="s">
        <v>74</v>
      </c>
    </row>
    <row r="52105" spans="9:9" x14ac:dyDescent="0.2">
      <c r="I52105" s="137" t="s">
        <v>74</v>
      </c>
    </row>
    <row r="52106" spans="9:9" x14ac:dyDescent="0.2">
      <c r="I52106" s="137" t="s">
        <v>74</v>
      </c>
    </row>
    <row r="52107" spans="9:9" x14ac:dyDescent="0.2">
      <c r="I52107" s="137" t="s">
        <v>74</v>
      </c>
    </row>
    <row r="52108" spans="9:9" x14ac:dyDescent="0.2">
      <c r="I52108" s="137" t="s">
        <v>74</v>
      </c>
    </row>
    <row r="52109" spans="9:9" x14ac:dyDescent="0.2">
      <c r="I52109" s="137" t="s">
        <v>74</v>
      </c>
    </row>
    <row r="52110" spans="9:9" x14ac:dyDescent="0.2">
      <c r="I52110" s="137" t="s">
        <v>74</v>
      </c>
    </row>
    <row r="52111" spans="9:9" x14ac:dyDescent="0.2">
      <c r="I52111" s="137" t="s">
        <v>74</v>
      </c>
    </row>
    <row r="52112" spans="9:9" x14ac:dyDescent="0.2">
      <c r="I52112" s="137" t="s">
        <v>74</v>
      </c>
    </row>
    <row r="52113" spans="9:9" x14ac:dyDescent="0.2">
      <c r="I52113" s="137" t="s">
        <v>74</v>
      </c>
    </row>
    <row r="52114" spans="9:9" x14ac:dyDescent="0.2">
      <c r="I52114" s="137" t="s">
        <v>74</v>
      </c>
    </row>
    <row r="52115" spans="9:9" x14ac:dyDescent="0.2">
      <c r="I52115" s="137" t="s">
        <v>74</v>
      </c>
    </row>
    <row r="52116" spans="9:9" x14ac:dyDescent="0.2">
      <c r="I52116" s="137" t="s">
        <v>74</v>
      </c>
    </row>
    <row r="52117" spans="9:9" x14ac:dyDescent="0.2">
      <c r="I52117" s="137" t="s">
        <v>74</v>
      </c>
    </row>
    <row r="52118" spans="9:9" x14ac:dyDescent="0.2">
      <c r="I52118" s="137" t="s">
        <v>74</v>
      </c>
    </row>
    <row r="52119" spans="9:9" x14ac:dyDescent="0.2">
      <c r="I52119" s="137" t="s">
        <v>74</v>
      </c>
    </row>
    <row r="52120" spans="9:9" x14ac:dyDescent="0.2">
      <c r="I52120" s="137" t="s">
        <v>74</v>
      </c>
    </row>
    <row r="52121" spans="9:9" x14ac:dyDescent="0.2">
      <c r="I52121" s="137" t="s">
        <v>74</v>
      </c>
    </row>
    <row r="52122" spans="9:9" x14ac:dyDescent="0.2">
      <c r="I52122" s="137" t="s">
        <v>74</v>
      </c>
    </row>
    <row r="52123" spans="9:9" x14ac:dyDescent="0.2">
      <c r="I52123" s="137" t="s">
        <v>74</v>
      </c>
    </row>
    <row r="52124" spans="9:9" x14ac:dyDescent="0.2">
      <c r="I52124" s="137" t="s">
        <v>74</v>
      </c>
    </row>
    <row r="52125" spans="9:9" x14ac:dyDescent="0.2">
      <c r="I52125" s="137" t="s">
        <v>74</v>
      </c>
    </row>
    <row r="52126" spans="9:9" x14ac:dyDescent="0.2">
      <c r="I52126" s="137" t="s">
        <v>74</v>
      </c>
    </row>
    <row r="52127" spans="9:9" x14ac:dyDescent="0.2">
      <c r="I52127" s="137" t="s">
        <v>74</v>
      </c>
    </row>
    <row r="52128" spans="9:9" x14ac:dyDescent="0.2">
      <c r="I52128" s="137" t="s">
        <v>74</v>
      </c>
    </row>
    <row r="52129" spans="9:9" x14ac:dyDescent="0.2">
      <c r="I52129" s="137" t="s">
        <v>74</v>
      </c>
    </row>
    <row r="52130" spans="9:9" x14ac:dyDescent="0.2">
      <c r="I52130" s="137" t="s">
        <v>74</v>
      </c>
    </row>
    <row r="52131" spans="9:9" x14ac:dyDescent="0.2">
      <c r="I52131" s="137" t="s">
        <v>74</v>
      </c>
    </row>
    <row r="52132" spans="9:9" x14ac:dyDescent="0.2">
      <c r="I52132" s="137" t="s">
        <v>74</v>
      </c>
    </row>
    <row r="52133" spans="9:9" x14ac:dyDescent="0.2">
      <c r="I52133" s="137" t="s">
        <v>74</v>
      </c>
    </row>
    <row r="52134" spans="9:9" x14ac:dyDescent="0.2">
      <c r="I52134" s="137" t="s">
        <v>74</v>
      </c>
    </row>
    <row r="52135" spans="9:9" x14ac:dyDescent="0.2">
      <c r="I52135" s="137" t="s">
        <v>74</v>
      </c>
    </row>
    <row r="52136" spans="9:9" x14ac:dyDescent="0.2">
      <c r="I52136" s="137" t="s">
        <v>74</v>
      </c>
    </row>
    <row r="52137" spans="9:9" x14ac:dyDescent="0.2">
      <c r="I52137" s="137" t="s">
        <v>74</v>
      </c>
    </row>
    <row r="52138" spans="9:9" x14ac:dyDescent="0.2">
      <c r="I52138" s="137" t="s">
        <v>74</v>
      </c>
    </row>
    <row r="52139" spans="9:9" x14ac:dyDescent="0.2">
      <c r="I52139" s="137" t="s">
        <v>74</v>
      </c>
    </row>
    <row r="52140" spans="9:9" x14ac:dyDescent="0.2">
      <c r="I52140" s="137" t="s">
        <v>74</v>
      </c>
    </row>
    <row r="52141" spans="9:9" x14ac:dyDescent="0.2">
      <c r="I52141" s="137" t="s">
        <v>74</v>
      </c>
    </row>
    <row r="52142" spans="9:9" x14ac:dyDescent="0.2">
      <c r="I52142" s="137" t="s">
        <v>74</v>
      </c>
    </row>
    <row r="52143" spans="9:9" x14ac:dyDescent="0.2">
      <c r="I52143" s="137" t="s">
        <v>74</v>
      </c>
    </row>
    <row r="52144" spans="9:9" x14ac:dyDescent="0.2">
      <c r="I52144" s="137" t="s">
        <v>74</v>
      </c>
    </row>
    <row r="52145" spans="9:9" x14ac:dyDescent="0.2">
      <c r="I52145" s="137" t="s">
        <v>74</v>
      </c>
    </row>
    <row r="52146" spans="9:9" x14ac:dyDescent="0.2">
      <c r="I52146" s="137" t="s">
        <v>74</v>
      </c>
    </row>
    <row r="52147" spans="9:9" x14ac:dyDescent="0.2">
      <c r="I52147" s="137" t="s">
        <v>74</v>
      </c>
    </row>
    <row r="52148" spans="9:9" x14ac:dyDescent="0.2">
      <c r="I52148" s="137" t="s">
        <v>74</v>
      </c>
    </row>
    <row r="52149" spans="9:9" x14ac:dyDescent="0.2">
      <c r="I52149" s="137" t="s">
        <v>74</v>
      </c>
    </row>
    <row r="52150" spans="9:9" x14ac:dyDescent="0.2">
      <c r="I52150" s="137" t="s">
        <v>74</v>
      </c>
    </row>
    <row r="52151" spans="9:9" x14ac:dyDescent="0.2">
      <c r="I52151" s="137" t="s">
        <v>74</v>
      </c>
    </row>
    <row r="52152" spans="9:9" x14ac:dyDescent="0.2">
      <c r="I52152" s="137" t="s">
        <v>74</v>
      </c>
    </row>
    <row r="52153" spans="9:9" x14ac:dyDescent="0.2">
      <c r="I52153" s="137" t="s">
        <v>74</v>
      </c>
    </row>
    <row r="52154" spans="9:9" x14ac:dyDescent="0.2">
      <c r="I52154" s="137" t="s">
        <v>74</v>
      </c>
    </row>
    <row r="52155" spans="9:9" x14ac:dyDescent="0.2">
      <c r="I52155" s="137" t="s">
        <v>74</v>
      </c>
    </row>
    <row r="52156" spans="9:9" x14ac:dyDescent="0.2">
      <c r="I52156" s="137" t="s">
        <v>74</v>
      </c>
    </row>
    <row r="52157" spans="9:9" x14ac:dyDescent="0.2">
      <c r="I52157" s="137" t="s">
        <v>74</v>
      </c>
    </row>
    <row r="52158" spans="9:9" x14ac:dyDescent="0.2">
      <c r="I52158" s="137" t="s">
        <v>74</v>
      </c>
    </row>
    <row r="52159" spans="9:9" x14ac:dyDescent="0.2">
      <c r="I52159" s="137" t="s">
        <v>74</v>
      </c>
    </row>
    <row r="52160" spans="9:9" x14ac:dyDescent="0.2">
      <c r="I52160" s="137" t="s">
        <v>74</v>
      </c>
    </row>
    <row r="52161" spans="9:9" x14ac:dyDescent="0.2">
      <c r="I52161" s="137" t="s">
        <v>74</v>
      </c>
    </row>
    <row r="52162" spans="9:9" x14ac:dyDescent="0.2">
      <c r="I52162" s="137" t="s">
        <v>74</v>
      </c>
    </row>
    <row r="52163" spans="9:9" x14ac:dyDescent="0.2">
      <c r="I52163" s="137" t="s">
        <v>74</v>
      </c>
    </row>
    <row r="52164" spans="9:9" x14ac:dyDescent="0.2">
      <c r="I52164" s="137" t="s">
        <v>74</v>
      </c>
    </row>
    <row r="52165" spans="9:9" x14ac:dyDescent="0.2">
      <c r="I52165" s="137" t="s">
        <v>74</v>
      </c>
    </row>
    <row r="52166" spans="9:9" x14ac:dyDescent="0.2">
      <c r="I52166" s="137" t="s">
        <v>74</v>
      </c>
    </row>
    <row r="52167" spans="9:9" x14ac:dyDescent="0.2">
      <c r="I52167" s="137" t="s">
        <v>74</v>
      </c>
    </row>
    <row r="52168" spans="9:9" x14ac:dyDescent="0.2">
      <c r="I52168" s="137" t="s">
        <v>74</v>
      </c>
    </row>
    <row r="52169" spans="9:9" x14ac:dyDescent="0.2">
      <c r="I52169" s="137" t="s">
        <v>74</v>
      </c>
    </row>
    <row r="52170" spans="9:9" x14ac:dyDescent="0.2">
      <c r="I52170" s="137" t="s">
        <v>74</v>
      </c>
    </row>
    <row r="52171" spans="9:9" x14ac:dyDescent="0.2">
      <c r="I52171" s="137" t="s">
        <v>74</v>
      </c>
    </row>
    <row r="52172" spans="9:9" x14ac:dyDescent="0.2">
      <c r="I52172" s="137" t="s">
        <v>74</v>
      </c>
    </row>
    <row r="52173" spans="9:9" x14ac:dyDescent="0.2">
      <c r="I52173" s="137" t="s">
        <v>74</v>
      </c>
    </row>
    <row r="52174" spans="9:9" x14ac:dyDescent="0.2">
      <c r="I52174" s="137" t="s">
        <v>74</v>
      </c>
    </row>
    <row r="52175" spans="9:9" x14ac:dyDescent="0.2">
      <c r="I52175" s="137" t="s">
        <v>74</v>
      </c>
    </row>
    <row r="52176" spans="9:9" x14ac:dyDescent="0.2">
      <c r="I52176" s="137" t="s">
        <v>74</v>
      </c>
    </row>
    <row r="52177" spans="9:9" x14ac:dyDescent="0.2">
      <c r="I52177" s="137" t="s">
        <v>74</v>
      </c>
    </row>
    <row r="52178" spans="9:9" x14ac:dyDescent="0.2">
      <c r="I52178" s="137" t="s">
        <v>74</v>
      </c>
    </row>
    <row r="52179" spans="9:9" x14ac:dyDescent="0.2">
      <c r="I52179" s="137" t="s">
        <v>74</v>
      </c>
    </row>
    <row r="52180" spans="9:9" x14ac:dyDescent="0.2">
      <c r="I52180" s="137" t="s">
        <v>74</v>
      </c>
    </row>
    <row r="52181" spans="9:9" x14ac:dyDescent="0.2">
      <c r="I52181" s="137" t="s">
        <v>74</v>
      </c>
    </row>
    <row r="52182" spans="9:9" x14ac:dyDescent="0.2">
      <c r="I52182" s="137" t="s">
        <v>74</v>
      </c>
    </row>
    <row r="52183" spans="9:9" x14ac:dyDescent="0.2">
      <c r="I52183" s="137" t="s">
        <v>74</v>
      </c>
    </row>
    <row r="52184" spans="9:9" x14ac:dyDescent="0.2">
      <c r="I52184" s="137" t="s">
        <v>74</v>
      </c>
    </row>
    <row r="52185" spans="9:9" x14ac:dyDescent="0.2">
      <c r="I52185" s="137" t="s">
        <v>74</v>
      </c>
    </row>
    <row r="52186" spans="9:9" x14ac:dyDescent="0.2">
      <c r="I52186" s="137" t="s">
        <v>74</v>
      </c>
    </row>
    <row r="52187" spans="9:9" x14ac:dyDescent="0.2">
      <c r="I52187" s="137" t="s">
        <v>74</v>
      </c>
    </row>
    <row r="52188" spans="9:9" x14ac:dyDescent="0.2">
      <c r="I52188" s="137" t="s">
        <v>74</v>
      </c>
    </row>
    <row r="52189" spans="9:9" x14ac:dyDescent="0.2">
      <c r="I52189" s="137" t="s">
        <v>74</v>
      </c>
    </row>
    <row r="52190" spans="9:9" x14ac:dyDescent="0.2">
      <c r="I52190" s="137" t="s">
        <v>74</v>
      </c>
    </row>
    <row r="52191" spans="9:9" x14ac:dyDescent="0.2">
      <c r="I52191" s="137" t="s">
        <v>74</v>
      </c>
    </row>
    <row r="52192" spans="9:9" x14ac:dyDescent="0.2">
      <c r="I52192" s="137" t="s">
        <v>74</v>
      </c>
    </row>
    <row r="52193" spans="9:9" x14ac:dyDescent="0.2">
      <c r="I52193" s="137" t="s">
        <v>74</v>
      </c>
    </row>
    <row r="52194" spans="9:9" x14ac:dyDescent="0.2">
      <c r="I52194" s="137" t="s">
        <v>74</v>
      </c>
    </row>
    <row r="52195" spans="9:9" x14ac:dyDescent="0.2">
      <c r="I52195" s="137" t="s">
        <v>74</v>
      </c>
    </row>
    <row r="52196" spans="9:9" x14ac:dyDescent="0.2">
      <c r="I52196" s="137" t="s">
        <v>74</v>
      </c>
    </row>
    <row r="52197" spans="9:9" x14ac:dyDescent="0.2">
      <c r="I52197" s="137" t="s">
        <v>74</v>
      </c>
    </row>
    <row r="52198" spans="9:9" x14ac:dyDescent="0.2">
      <c r="I52198" s="137" t="s">
        <v>74</v>
      </c>
    </row>
    <row r="52199" spans="9:9" x14ac:dyDescent="0.2">
      <c r="I52199" s="137" t="s">
        <v>74</v>
      </c>
    </row>
    <row r="52200" spans="9:9" x14ac:dyDescent="0.2">
      <c r="I52200" s="137" t="s">
        <v>74</v>
      </c>
    </row>
    <row r="52201" spans="9:9" x14ac:dyDescent="0.2">
      <c r="I52201" s="137" t="s">
        <v>74</v>
      </c>
    </row>
    <row r="52202" spans="9:9" x14ac:dyDescent="0.2">
      <c r="I52202" s="137" t="s">
        <v>74</v>
      </c>
    </row>
    <row r="52203" spans="9:9" x14ac:dyDescent="0.2">
      <c r="I52203" s="137" t="s">
        <v>74</v>
      </c>
    </row>
    <row r="52204" spans="9:9" x14ac:dyDescent="0.2">
      <c r="I52204" s="137" t="s">
        <v>74</v>
      </c>
    </row>
    <row r="52205" spans="9:9" x14ac:dyDescent="0.2">
      <c r="I52205" s="137" t="s">
        <v>74</v>
      </c>
    </row>
    <row r="52206" spans="9:9" x14ac:dyDescent="0.2">
      <c r="I52206" s="137" t="s">
        <v>74</v>
      </c>
    </row>
    <row r="52207" spans="9:9" x14ac:dyDescent="0.2">
      <c r="I52207" s="137" t="s">
        <v>74</v>
      </c>
    </row>
    <row r="52208" spans="9:9" x14ac:dyDescent="0.2">
      <c r="I52208" s="137" t="s">
        <v>74</v>
      </c>
    </row>
    <row r="52209" spans="9:9" x14ac:dyDescent="0.2">
      <c r="I52209" s="137" t="s">
        <v>74</v>
      </c>
    </row>
    <row r="52210" spans="9:9" x14ac:dyDescent="0.2">
      <c r="I52210" s="137" t="s">
        <v>74</v>
      </c>
    </row>
    <row r="52211" spans="9:9" x14ac:dyDescent="0.2">
      <c r="I52211" s="137" t="s">
        <v>74</v>
      </c>
    </row>
    <row r="52212" spans="9:9" x14ac:dyDescent="0.2">
      <c r="I52212" s="137" t="s">
        <v>74</v>
      </c>
    </row>
    <row r="52213" spans="9:9" x14ac:dyDescent="0.2">
      <c r="I52213" s="137" t="s">
        <v>74</v>
      </c>
    </row>
    <row r="52214" spans="9:9" x14ac:dyDescent="0.2">
      <c r="I52214" s="137" t="s">
        <v>74</v>
      </c>
    </row>
    <row r="52215" spans="9:9" x14ac:dyDescent="0.2">
      <c r="I52215" s="137" t="s">
        <v>74</v>
      </c>
    </row>
    <row r="52216" spans="9:9" x14ac:dyDescent="0.2">
      <c r="I52216" s="137" t="s">
        <v>74</v>
      </c>
    </row>
    <row r="52217" spans="9:9" x14ac:dyDescent="0.2">
      <c r="I52217" s="137" t="s">
        <v>74</v>
      </c>
    </row>
    <row r="52218" spans="9:9" x14ac:dyDescent="0.2">
      <c r="I52218" s="137" t="s">
        <v>74</v>
      </c>
    </row>
    <row r="52219" spans="9:9" x14ac:dyDescent="0.2">
      <c r="I52219" s="137" t="s">
        <v>74</v>
      </c>
    </row>
    <row r="52220" spans="9:9" x14ac:dyDescent="0.2">
      <c r="I52220" s="137" t="s">
        <v>74</v>
      </c>
    </row>
    <row r="52221" spans="9:9" x14ac:dyDescent="0.2">
      <c r="I52221" s="137" t="s">
        <v>74</v>
      </c>
    </row>
    <row r="52222" spans="9:9" x14ac:dyDescent="0.2">
      <c r="I52222" s="137" t="s">
        <v>74</v>
      </c>
    </row>
    <row r="52223" spans="9:9" x14ac:dyDescent="0.2">
      <c r="I52223" s="137" t="s">
        <v>74</v>
      </c>
    </row>
    <row r="52224" spans="9:9" x14ac:dyDescent="0.2">
      <c r="I52224" s="137" t="s">
        <v>74</v>
      </c>
    </row>
    <row r="52225" spans="9:9" x14ac:dyDescent="0.2">
      <c r="I52225" s="137" t="s">
        <v>74</v>
      </c>
    </row>
    <row r="52226" spans="9:9" x14ac:dyDescent="0.2">
      <c r="I52226" s="137" t="s">
        <v>74</v>
      </c>
    </row>
    <row r="52227" spans="9:9" x14ac:dyDescent="0.2">
      <c r="I52227" s="137" t="s">
        <v>74</v>
      </c>
    </row>
    <row r="52228" spans="9:9" x14ac:dyDescent="0.2">
      <c r="I52228" s="137" t="s">
        <v>74</v>
      </c>
    </row>
    <row r="52229" spans="9:9" x14ac:dyDescent="0.2">
      <c r="I52229" s="137" t="s">
        <v>74</v>
      </c>
    </row>
    <row r="52230" spans="9:9" x14ac:dyDescent="0.2">
      <c r="I52230" s="137" t="s">
        <v>74</v>
      </c>
    </row>
    <row r="52231" spans="9:9" x14ac:dyDescent="0.2">
      <c r="I52231" s="137" t="s">
        <v>74</v>
      </c>
    </row>
    <row r="52232" spans="9:9" x14ac:dyDescent="0.2">
      <c r="I52232" s="137" t="s">
        <v>74</v>
      </c>
    </row>
    <row r="52233" spans="9:9" x14ac:dyDescent="0.2">
      <c r="I52233" s="137" t="s">
        <v>74</v>
      </c>
    </row>
    <row r="52234" spans="9:9" x14ac:dyDescent="0.2">
      <c r="I52234" s="137" t="s">
        <v>74</v>
      </c>
    </row>
    <row r="52235" spans="9:9" x14ac:dyDescent="0.2">
      <c r="I52235" s="137" t="s">
        <v>74</v>
      </c>
    </row>
    <row r="52236" spans="9:9" x14ac:dyDescent="0.2">
      <c r="I52236" s="137" t="s">
        <v>74</v>
      </c>
    </row>
    <row r="52237" spans="9:9" x14ac:dyDescent="0.2">
      <c r="I52237" s="137" t="s">
        <v>74</v>
      </c>
    </row>
    <row r="52238" spans="9:9" x14ac:dyDescent="0.2">
      <c r="I52238" s="137" t="s">
        <v>74</v>
      </c>
    </row>
    <row r="52239" spans="9:9" x14ac:dyDescent="0.2">
      <c r="I52239" s="137" t="s">
        <v>74</v>
      </c>
    </row>
    <row r="52240" spans="9:9" x14ac:dyDescent="0.2">
      <c r="I52240" s="137" t="s">
        <v>74</v>
      </c>
    </row>
    <row r="52241" spans="9:9" x14ac:dyDescent="0.2">
      <c r="I52241" s="137" t="s">
        <v>74</v>
      </c>
    </row>
    <row r="52242" spans="9:9" x14ac:dyDescent="0.2">
      <c r="I52242" s="137" t="s">
        <v>74</v>
      </c>
    </row>
    <row r="52243" spans="9:9" x14ac:dyDescent="0.2">
      <c r="I52243" s="137" t="s">
        <v>74</v>
      </c>
    </row>
    <row r="52244" spans="9:9" x14ac:dyDescent="0.2">
      <c r="I52244" s="137" t="s">
        <v>74</v>
      </c>
    </row>
    <row r="52245" spans="9:9" x14ac:dyDescent="0.2">
      <c r="I52245" s="137" t="s">
        <v>74</v>
      </c>
    </row>
    <row r="52246" spans="9:9" x14ac:dyDescent="0.2">
      <c r="I52246" s="137" t="s">
        <v>74</v>
      </c>
    </row>
    <row r="52247" spans="9:9" x14ac:dyDescent="0.2">
      <c r="I52247" s="137" t="s">
        <v>74</v>
      </c>
    </row>
    <row r="52248" spans="9:9" x14ac:dyDescent="0.2">
      <c r="I52248" s="137" t="s">
        <v>74</v>
      </c>
    </row>
    <row r="52249" spans="9:9" x14ac:dyDescent="0.2">
      <c r="I52249" s="137" t="s">
        <v>74</v>
      </c>
    </row>
    <row r="52250" spans="9:9" x14ac:dyDescent="0.2">
      <c r="I52250" s="137" t="s">
        <v>74</v>
      </c>
    </row>
    <row r="52251" spans="9:9" x14ac:dyDescent="0.2">
      <c r="I52251" s="137" t="s">
        <v>74</v>
      </c>
    </row>
    <row r="52252" spans="9:9" x14ac:dyDescent="0.2">
      <c r="I52252" s="137" t="s">
        <v>74</v>
      </c>
    </row>
    <row r="52253" spans="9:9" x14ac:dyDescent="0.2">
      <c r="I52253" s="137" t="s">
        <v>74</v>
      </c>
    </row>
    <row r="52254" spans="9:9" x14ac:dyDescent="0.2">
      <c r="I52254" s="137" t="s">
        <v>74</v>
      </c>
    </row>
    <row r="52255" spans="9:9" x14ac:dyDescent="0.2">
      <c r="I52255" s="137" t="s">
        <v>74</v>
      </c>
    </row>
    <row r="52256" spans="9:9" x14ac:dyDescent="0.2">
      <c r="I52256" s="137" t="s">
        <v>74</v>
      </c>
    </row>
    <row r="52257" spans="9:9" x14ac:dyDescent="0.2">
      <c r="I52257" s="137" t="s">
        <v>74</v>
      </c>
    </row>
    <row r="52258" spans="9:9" x14ac:dyDescent="0.2">
      <c r="I52258" s="137" t="s">
        <v>74</v>
      </c>
    </row>
    <row r="52259" spans="9:9" x14ac:dyDescent="0.2">
      <c r="I52259" s="137" t="s">
        <v>74</v>
      </c>
    </row>
    <row r="52260" spans="9:9" x14ac:dyDescent="0.2">
      <c r="I52260" s="137" t="s">
        <v>74</v>
      </c>
    </row>
    <row r="52261" spans="9:9" x14ac:dyDescent="0.2">
      <c r="I52261" s="137" t="s">
        <v>74</v>
      </c>
    </row>
    <row r="52262" spans="9:9" x14ac:dyDescent="0.2">
      <c r="I52262" s="137" t="s">
        <v>74</v>
      </c>
    </row>
    <row r="52263" spans="9:9" x14ac:dyDescent="0.2">
      <c r="I52263" s="137" t="s">
        <v>74</v>
      </c>
    </row>
    <row r="52264" spans="9:9" x14ac:dyDescent="0.2">
      <c r="I52264" s="137" t="s">
        <v>74</v>
      </c>
    </row>
    <row r="52265" spans="9:9" x14ac:dyDescent="0.2">
      <c r="I52265" s="137" t="s">
        <v>74</v>
      </c>
    </row>
    <row r="52266" spans="9:9" x14ac:dyDescent="0.2">
      <c r="I52266" s="137" t="s">
        <v>74</v>
      </c>
    </row>
    <row r="52267" spans="9:9" x14ac:dyDescent="0.2">
      <c r="I52267" s="137" t="s">
        <v>74</v>
      </c>
    </row>
    <row r="52268" spans="9:9" x14ac:dyDescent="0.2">
      <c r="I52268" s="137" t="s">
        <v>74</v>
      </c>
    </row>
    <row r="52269" spans="9:9" x14ac:dyDescent="0.2">
      <c r="I52269" s="137" t="s">
        <v>74</v>
      </c>
    </row>
    <row r="52270" spans="9:9" x14ac:dyDescent="0.2">
      <c r="I52270" s="137" t="s">
        <v>74</v>
      </c>
    </row>
    <row r="52271" spans="9:9" x14ac:dyDescent="0.2">
      <c r="I52271" s="137" t="s">
        <v>74</v>
      </c>
    </row>
    <row r="52272" spans="9:9" x14ac:dyDescent="0.2">
      <c r="I52272" s="137" t="s">
        <v>74</v>
      </c>
    </row>
    <row r="52273" spans="9:9" x14ac:dyDescent="0.2">
      <c r="I52273" s="137" t="s">
        <v>74</v>
      </c>
    </row>
    <row r="52274" spans="9:9" x14ac:dyDescent="0.2">
      <c r="I52274" s="137" t="s">
        <v>74</v>
      </c>
    </row>
    <row r="52275" spans="9:9" x14ac:dyDescent="0.2">
      <c r="I52275" s="137" t="s">
        <v>74</v>
      </c>
    </row>
    <row r="52276" spans="9:9" x14ac:dyDescent="0.2">
      <c r="I52276" s="137" t="s">
        <v>74</v>
      </c>
    </row>
    <row r="52277" spans="9:9" x14ac:dyDescent="0.2">
      <c r="I52277" s="137" t="s">
        <v>74</v>
      </c>
    </row>
    <row r="52278" spans="9:9" x14ac:dyDescent="0.2">
      <c r="I52278" s="137" t="s">
        <v>74</v>
      </c>
    </row>
    <row r="52279" spans="9:9" x14ac:dyDescent="0.2">
      <c r="I52279" s="137" t="s">
        <v>74</v>
      </c>
    </row>
    <row r="52280" spans="9:9" x14ac:dyDescent="0.2">
      <c r="I52280" s="137" t="s">
        <v>74</v>
      </c>
    </row>
    <row r="52281" spans="9:9" x14ac:dyDescent="0.2">
      <c r="I52281" s="137" t="s">
        <v>74</v>
      </c>
    </row>
    <row r="52282" spans="9:9" x14ac:dyDescent="0.2">
      <c r="I52282" s="137" t="s">
        <v>74</v>
      </c>
    </row>
    <row r="52283" spans="9:9" x14ac:dyDescent="0.2">
      <c r="I52283" s="137" t="s">
        <v>74</v>
      </c>
    </row>
    <row r="52284" spans="9:9" x14ac:dyDescent="0.2">
      <c r="I52284" s="137" t="s">
        <v>74</v>
      </c>
    </row>
    <row r="52285" spans="9:9" x14ac:dyDescent="0.2">
      <c r="I52285" s="137" t="s">
        <v>74</v>
      </c>
    </row>
    <row r="52286" spans="9:9" x14ac:dyDescent="0.2">
      <c r="I52286" s="137" t="s">
        <v>74</v>
      </c>
    </row>
    <row r="52287" spans="9:9" x14ac:dyDescent="0.2">
      <c r="I52287" s="137" t="s">
        <v>74</v>
      </c>
    </row>
    <row r="52288" spans="9:9" x14ac:dyDescent="0.2">
      <c r="I52288" s="137" t="s">
        <v>74</v>
      </c>
    </row>
    <row r="52289" spans="9:9" x14ac:dyDescent="0.2">
      <c r="I52289" s="137" t="s">
        <v>74</v>
      </c>
    </row>
    <row r="52290" spans="9:9" x14ac:dyDescent="0.2">
      <c r="I52290" s="137" t="s">
        <v>74</v>
      </c>
    </row>
    <row r="52291" spans="9:9" x14ac:dyDescent="0.2">
      <c r="I52291" s="137" t="s">
        <v>74</v>
      </c>
    </row>
    <row r="52292" spans="9:9" x14ac:dyDescent="0.2">
      <c r="I52292" s="137" t="s">
        <v>74</v>
      </c>
    </row>
    <row r="52293" spans="9:9" x14ac:dyDescent="0.2">
      <c r="I52293" s="137" t="s">
        <v>74</v>
      </c>
    </row>
    <row r="52294" spans="9:9" x14ac:dyDescent="0.2">
      <c r="I52294" s="137" t="s">
        <v>74</v>
      </c>
    </row>
    <row r="52295" spans="9:9" x14ac:dyDescent="0.2">
      <c r="I52295" s="137" t="s">
        <v>74</v>
      </c>
    </row>
    <row r="52296" spans="9:9" x14ac:dyDescent="0.2">
      <c r="I52296" s="137" t="s">
        <v>74</v>
      </c>
    </row>
    <row r="52297" spans="9:9" x14ac:dyDescent="0.2">
      <c r="I52297" s="137" t="s">
        <v>74</v>
      </c>
    </row>
    <row r="52298" spans="9:9" x14ac:dyDescent="0.2">
      <c r="I52298" s="137" t="s">
        <v>74</v>
      </c>
    </row>
    <row r="52299" spans="9:9" x14ac:dyDescent="0.2">
      <c r="I52299" s="137" t="s">
        <v>74</v>
      </c>
    </row>
    <row r="52300" spans="9:9" x14ac:dyDescent="0.2">
      <c r="I52300" s="137" t="s">
        <v>74</v>
      </c>
    </row>
    <row r="52301" spans="9:9" x14ac:dyDescent="0.2">
      <c r="I52301" s="137" t="s">
        <v>74</v>
      </c>
    </row>
    <row r="52302" spans="9:9" x14ac:dyDescent="0.2">
      <c r="I52302" s="137" t="s">
        <v>74</v>
      </c>
    </row>
    <row r="52303" spans="9:9" x14ac:dyDescent="0.2">
      <c r="I52303" s="137" t="s">
        <v>74</v>
      </c>
    </row>
    <row r="52304" spans="9:9" x14ac:dyDescent="0.2">
      <c r="I52304" s="137" t="s">
        <v>74</v>
      </c>
    </row>
    <row r="52305" spans="9:9" x14ac:dyDescent="0.2">
      <c r="I52305" s="137" t="s">
        <v>74</v>
      </c>
    </row>
    <row r="52306" spans="9:9" x14ac:dyDescent="0.2">
      <c r="I52306" s="137" t="s">
        <v>74</v>
      </c>
    </row>
    <row r="52307" spans="9:9" x14ac:dyDescent="0.2">
      <c r="I52307" s="137" t="s">
        <v>74</v>
      </c>
    </row>
    <row r="52308" spans="9:9" x14ac:dyDescent="0.2">
      <c r="I52308" s="137" t="s">
        <v>74</v>
      </c>
    </row>
    <row r="52309" spans="9:9" x14ac:dyDescent="0.2">
      <c r="I52309" s="137" t="s">
        <v>74</v>
      </c>
    </row>
    <row r="52310" spans="9:9" x14ac:dyDescent="0.2">
      <c r="I52310" s="137" t="s">
        <v>74</v>
      </c>
    </row>
    <row r="52311" spans="9:9" x14ac:dyDescent="0.2">
      <c r="I52311" s="137" t="s">
        <v>74</v>
      </c>
    </row>
    <row r="52312" spans="9:9" x14ac:dyDescent="0.2">
      <c r="I52312" s="137" t="s">
        <v>74</v>
      </c>
    </row>
    <row r="52313" spans="9:9" x14ac:dyDescent="0.2">
      <c r="I52313" s="137" t="s">
        <v>74</v>
      </c>
    </row>
    <row r="52314" spans="9:9" x14ac:dyDescent="0.2">
      <c r="I52314" s="137" t="s">
        <v>74</v>
      </c>
    </row>
    <row r="52315" spans="9:9" x14ac:dyDescent="0.2">
      <c r="I52315" s="137" t="s">
        <v>74</v>
      </c>
    </row>
    <row r="52316" spans="9:9" x14ac:dyDescent="0.2">
      <c r="I52316" s="137" t="s">
        <v>74</v>
      </c>
    </row>
    <row r="52317" spans="9:9" x14ac:dyDescent="0.2">
      <c r="I52317" s="137" t="s">
        <v>74</v>
      </c>
    </row>
    <row r="52318" spans="9:9" x14ac:dyDescent="0.2">
      <c r="I52318" s="137" t="s">
        <v>74</v>
      </c>
    </row>
    <row r="52319" spans="9:9" x14ac:dyDescent="0.2">
      <c r="I52319" s="137" t="s">
        <v>74</v>
      </c>
    </row>
    <row r="52320" spans="9:9" x14ac:dyDescent="0.2">
      <c r="I52320" s="137" t="s">
        <v>74</v>
      </c>
    </row>
    <row r="52321" spans="9:9" x14ac:dyDescent="0.2">
      <c r="I52321" s="137" t="s">
        <v>74</v>
      </c>
    </row>
    <row r="52322" spans="9:9" x14ac:dyDescent="0.2">
      <c r="I52322" s="137" t="s">
        <v>74</v>
      </c>
    </row>
    <row r="52323" spans="9:9" x14ac:dyDescent="0.2">
      <c r="I52323" s="137" t="s">
        <v>74</v>
      </c>
    </row>
    <row r="52324" spans="9:9" x14ac:dyDescent="0.2">
      <c r="I52324" s="137" t="s">
        <v>74</v>
      </c>
    </row>
    <row r="52325" spans="9:9" x14ac:dyDescent="0.2">
      <c r="I52325" s="137" t="s">
        <v>74</v>
      </c>
    </row>
    <row r="52326" spans="9:9" x14ac:dyDescent="0.2">
      <c r="I52326" s="137" t="s">
        <v>74</v>
      </c>
    </row>
    <row r="52327" spans="9:9" x14ac:dyDescent="0.2">
      <c r="I52327" s="137" t="s">
        <v>74</v>
      </c>
    </row>
    <row r="52328" spans="9:9" x14ac:dyDescent="0.2">
      <c r="I52328" s="137" t="s">
        <v>74</v>
      </c>
    </row>
    <row r="52329" spans="9:9" x14ac:dyDescent="0.2">
      <c r="I52329" s="137" t="s">
        <v>74</v>
      </c>
    </row>
    <row r="52330" spans="9:9" x14ac:dyDescent="0.2">
      <c r="I52330" s="137" t="s">
        <v>74</v>
      </c>
    </row>
    <row r="52331" spans="9:9" x14ac:dyDescent="0.2">
      <c r="I52331" s="137" t="s">
        <v>74</v>
      </c>
    </row>
    <row r="52332" spans="9:9" x14ac:dyDescent="0.2">
      <c r="I52332" s="137" t="s">
        <v>74</v>
      </c>
    </row>
    <row r="52333" spans="9:9" x14ac:dyDescent="0.2">
      <c r="I52333" s="137" t="s">
        <v>74</v>
      </c>
    </row>
    <row r="52334" spans="9:9" x14ac:dyDescent="0.2">
      <c r="I52334" s="137" t="s">
        <v>74</v>
      </c>
    </row>
    <row r="52335" spans="9:9" x14ac:dyDescent="0.2">
      <c r="I52335" s="137" t="s">
        <v>74</v>
      </c>
    </row>
    <row r="52336" spans="9:9" x14ac:dyDescent="0.2">
      <c r="I52336" s="137" t="s">
        <v>74</v>
      </c>
    </row>
    <row r="52337" spans="9:9" x14ac:dyDescent="0.2">
      <c r="I52337" s="137" t="s">
        <v>74</v>
      </c>
    </row>
    <row r="52338" spans="9:9" x14ac:dyDescent="0.2">
      <c r="I52338" s="137" t="s">
        <v>74</v>
      </c>
    </row>
    <row r="52339" spans="9:9" x14ac:dyDescent="0.2">
      <c r="I52339" s="137" t="s">
        <v>74</v>
      </c>
    </row>
    <row r="52340" spans="9:9" x14ac:dyDescent="0.2">
      <c r="I52340" s="137" t="s">
        <v>74</v>
      </c>
    </row>
    <row r="52341" spans="9:9" x14ac:dyDescent="0.2">
      <c r="I52341" s="137" t="s">
        <v>74</v>
      </c>
    </row>
    <row r="52342" spans="9:9" x14ac:dyDescent="0.2">
      <c r="I52342" s="137" t="s">
        <v>74</v>
      </c>
    </row>
    <row r="52343" spans="9:9" x14ac:dyDescent="0.2">
      <c r="I52343" s="137" t="s">
        <v>74</v>
      </c>
    </row>
    <row r="52344" spans="9:9" x14ac:dyDescent="0.2">
      <c r="I52344" s="137" t="s">
        <v>74</v>
      </c>
    </row>
    <row r="52345" spans="9:9" x14ac:dyDescent="0.2">
      <c r="I52345" s="137" t="s">
        <v>74</v>
      </c>
    </row>
    <row r="52346" spans="9:9" x14ac:dyDescent="0.2">
      <c r="I52346" s="137" t="s">
        <v>74</v>
      </c>
    </row>
    <row r="52347" spans="9:9" x14ac:dyDescent="0.2">
      <c r="I52347" s="137" t="s">
        <v>74</v>
      </c>
    </row>
    <row r="52348" spans="9:9" x14ac:dyDescent="0.2">
      <c r="I52348" s="137" t="s">
        <v>74</v>
      </c>
    </row>
    <row r="52349" spans="9:9" x14ac:dyDescent="0.2">
      <c r="I52349" s="137" t="s">
        <v>74</v>
      </c>
    </row>
    <row r="52350" spans="9:9" x14ac:dyDescent="0.2">
      <c r="I52350" s="137" t="s">
        <v>74</v>
      </c>
    </row>
    <row r="52351" spans="9:9" x14ac:dyDescent="0.2">
      <c r="I52351" s="137" t="s">
        <v>74</v>
      </c>
    </row>
    <row r="52352" spans="9:9" x14ac:dyDescent="0.2">
      <c r="I52352" s="137" t="s">
        <v>74</v>
      </c>
    </row>
    <row r="52353" spans="9:9" x14ac:dyDescent="0.2">
      <c r="I52353" s="137" t="s">
        <v>74</v>
      </c>
    </row>
    <row r="52354" spans="9:9" x14ac:dyDescent="0.2">
      <c r="I52354" s="137" t="s">
        <v>74</v>
      </c>
    </row>
    <row r="52355" spans="9:9" x14ac:dyDescent="0.2">
      <c r="I52355" s="137" t="s">
        <v>74</v>
      </c>
    </row>
    <row r="52356" spans="9:9" x14ac:dyDescent="0.2">
      <c r="I52356" s="137" t="s">
        <v>74</v>
      </c>
    </row>
    <row r="52357" spans="9:9" x14ac:dyDescent="0.2">
      <c r="I52357" s="137" t="s">
        <v>74</v>
      </c>
    </row>
    <row r="52358" spans="9:9" x14ac:dyDescent="0.2">
      <c r="I52358" s="137" t="s">
        <v>74</v>
      </c>
    </row>
    <row r="52359" spans="9:9" x14ac:dyDescent="0.2">
      <c r="I52359" s="137" t="s">
        <v>74</v>
      </c>
    </row>
    <row r="52360" spans="9:9" x14ac:dyDescent="0.2">
      <c r="I52360" s="137" t="s">
        <v>74</v>
      </c>
    </row>
    <row r="52361" spans="9:9" x14ac:dyDescent="0.2">
      <c r="I52361" s="137" t="s">
        <v>74</v>
      </c>
    </row>
    <row r="52362" spans="9:9" x14ac:dyDescent="0.2">
      <c r="I52362" s="137" t="s">
        <v>74</v>
      </c>
    </row>
    <row r="52363" spans="9:9" x14ac:dyDescent="0.2">
      <c r="I52363" s="137" t="s">
        <v>74</v>
      </c>
    </row>
    <row r="52364" spans="9:9" x14ac:dyDescent="0.2">
      <c r="I52364" s="137" t="s">
        <v>74</v>
      </c>
    </row>
    <row r="52365" spans="9:9" x14ac:dyDescent="0.2">
      <c r="I52365" s="137" t="s">
        <v>74</v>
      </c>
    </row>
    <row r="52366" spans="9:9" x14ac:dyDescent="0.2">
      <c r="I52366" s="137" t="s">
        <v>74</v>
      </c>
    </row>
    <row r="52367" spans="9:9" x14ac:dyDescent="0.2">
      <c r="I52367" s="137" t="s">
        <v>74</v>
      </c>
    </row>
    <row r="52368" spans="9:9" x14ac:dyDescent="0.2">
      <c r="I52368" s="137" t="s">
        <v>74</v>
      </c>
    </row>
    <row r="52369" spans="9:9" x14ac:dyDescent="0.2">
      <c r="I52369" s="137" t="s">
        <v>74</v>
      </c>
    </row>
    <row r="52370" spans="9:9" x14ac:dyDescent="0.2">
      <c r="I52370" s="137" t="s">
        <v>74</v>
      </c>
    </row>
    <row r="52371" spans="9:9" x14ac:dyDescent="0.2">
      <c r="I52371" s="137" t="s">
        <v>74</v>
      </c>
    </row>
    <row r="52372" spans="9:9" x14ac:dyDescent="0.2">
      <c r="I52372" s="137" t="s">
        <v>74</v>
      </c>
    </row>
    <row r="52373" spans="9:9" x14ac:dyDescent="0.2">
      <c r="I52373" s="137" t="s">
        <v>74</v>
      </c>
    </row>
    <row r="52374" spans="9:9" x14ac:dyDescent="0.2">
      <c r="I52374" s="137" t="s">
        <v>74</v>
      </c>
    </row>
    <row r="52375" spans="9:9" x14ac:dyDescent="0.2">
      <c r="I52375" s="137" t="s">
        <v>74</v>
      </c>
    </row>
    <row r="52376" spans="9:9" x14ac:dyDescent="0.2">
      <c r="I52376" s="137" t="s">
        <v>74</v>
      </c>
    </row>
    <row r="52377" spans="9:9" x14ac:dyDescent="0.2">
      <c r="I52377" s="137" t="s">
        <v>74</v>
      </c>
    </row>
    <row r="52378" spans="9:9" x14ac:dyDescent="0.2">
      <c r="I52378" s="137" t="s">
        <v>74</v>
      </c>
    </row>
    <row r="52379" spans="9:9" x14ac:dyDescent="0.2">
      <c r="I52379" s="137" t="s">
        <v>74</v>
      </c>
    </row>
    <row r="52380" spans="9:9" x14ac:dyDescent="0.2">
      <c r="I52380" s="137" t="s">
        <v>74</v>
      </c>
    </row>
    <row r="52381" spans="9:9" x14ac:dyDescent="0.2">
      <c r="I52381" s="137" t="s">
        <v>74</v>
      </c>
    </row>
    <row r="52382" spans="9:9" x14ac:dyDescent="0.2">
      <c r="I52382" s="137" t="s">
        <v>74</v>
      </c>
    </row>
    <row r="52383" spans="9:9" x14ac:dyDescent="0.2">
      <c r="I52383" s="137" t="s">
        <v>74</v>
      </c>
    </row>
    <row r="52384" spans="9:9" x14ac:dyDescent="0.2">
      <c r="I52384" s="137" t="s">
        <v>74</v>
      </c>
    </row>
    <row r="52385" spans="9:9" x14ac:dyDescent="0.2">
      <c r="I52385" s="137" t="s">
        <v>74</v>
      </c>
    </row>
    <row r="52386" spans="9:9" x14ac:dyDescent="0.2">
      <c r="I52386" s="137" t="s">
        <v>74</v>
      </c>
    </row>
    <row r="52387" spans="9:9" x14ac:dyDescent="0.2">
      <c r="I52387" s="137" t="s">
        <v>74</v>
      </c>
    </row>
    <row r="52388" spans="9:9" x14ac:dyDescent="0.2">
      <c r="I52388" s="137" t="s">
        <v>74</v>
      </c>
    </row>
    <row r="52389" spans="9:9" x14ac:dyDescent="0.2">
      <c r="I52389" s="137" t="s">
        <v>74</v>
      </c>
    </row>
    <row r="52390" spans="9:9" x14ac:dyDescent="0.2">
      <c r="I52390" s="137" t="s">
        <v>74</v>
      </c>
    </row>
    <row r="52391" spans="9:9" x14ac:dyDescent="0.2">
      <c r="I52391" s="137" t="s">
        <v>74</v>
      </c>
    </row>
    <row r="52392" spans="9:9" x14ac:dyDescent="0.2">
      <c r="I52392" s="137" t="s">
        <v>74</v>
      </c>
    </row>
    <row r="52393" spans="9:9" x14ac:dyDescent="0.2">
      <c r="I52393" s="137" t="s">
        <v>74</v>
      </c>
    </row>
    <row r="52394" spans="9:9" x14ac:dyDescent="0.2">
      <c r="I52394" s="137" t="s">
        <v>74</v>
      </c>
    </row>
    <row r="52395" spans="9:9" x14ac:dyDescent="0.2">
      <c r="I52395" s="137" t="s">
        <v>74</v>
      </c>
    </row>
    <row r="52396" spans="9:9" x14ac:dyDescent="0.2">
      <c r="I52396" s="137" t="s">
        <v>74</v>
      </c>
    </row>
    <row r="52397" spans="9:9" x14ac:dyDescent="0.2">
      <c r="I52397" s="137" t="s">
        <v>74</v>
      </c>
    </row>
    <row r="52398" spans="9:9" x14ac:dyDescent="0.2">
      <c r="I52398" s="137" t="s">
        <v>74</v>
      </c>
    </row>
    <row r="52399" spans="9:9" x14ac:dyDescent="0.2">
      <c r="I52399" s="137" t="s">
        <v>74</v>
      </c>
    </row>
    <row r="52400" spans="9:9" x14ac:dyDescent="0.2">
      <c r="I52400" s="137" t="s">
        <v>74</v>
      </c>
    </row>
    <row r="52401" spans="9:9" x14ac:dyDescent="0.2">
      <c r="I52401" s="137" t="s">
        <v>74</v>
      </c>
    </row>
    <row r="52402" spans="9:9" x14ac:dyDescent="0.2">
      <c r="I52402" s="137" t="s">
        <v>74</v>
      </c>
    </row>
    <row r="52403" spans="9:9" x14ac:dyDescent="0.2">
      <c r="I52403" s="137" t="s">
        <v>74</v>
      </c>
    </row>
    <row r="52404" spans="9:9" x14ac:dyDescent="0.2">
      <c r="I52404" s="137" t="s">
        <v>74</v>
      </c>
    </row>
    <row r="52405" spans="9:9" x14ac:dyDescent="0.2">
      <c r="I52405" s="137" t="s">
        <v>74</v>
      </c>
    </row>
    <row r="52406" spans="9:9" x14ac:dyDescent="0.2">
      <c r="I52406" s="137" t="s">
        <v>74</v>
      </c>
    </row>
    <row r="52407" spans="9:9" x14ac:dyDescent="0.2">
      <c r="I52407" s="137" t="s">
        <v>74</v>
      </c>
    </row>
    <row r="52408" spans="9:9" x14ac:dyDescent="0.2">
      <c r="I52408" s="137" t="s">
        <v>74</v>
      </c>
    </row>
    <row r="52409" spans="9:9" x14ac:dyDescent="0.2">
      <c r="I52409" s="137" t="s">
        <v>74</v>
      </c>
    </row>
    <row r="52410" spans="9:9" x14ac:dyDescent="0.2">
      <c r="I52410" s="137" t="s">
        <v>74</v>
      </c>
    </row>
    <row r="52411" spans="9:9" x14ac:dyDescent="0.2">
      <c r="I52411" s="137" t="s">
        <v>74</v>
      </c>
    </row>
    <row r="52412" spans="9:9" x14ac:dyDescent="0.2">
      <c r="I52412" s="137" t="s">
        <v>74</v>
      </c>
    </row>
    <row r="52413" spans="9:9" x14ac:dyDescent="0.2">
      <c r="I52413" s="137" t="s">
        <v>74</v>
      </c>
    </row>
    <row r="52414" spans="9:9" x14ac:dyDescent="0.2">
      <c r="I52414" s="137" t="s">
        <v>74</v>
      </c>
    </row>
    <row r="52415" spans="9:9" x14ac:dyDescent="0.2">
      <c r="I52415" s="137" t="s">
        <v>74</v>
      </c>
    </row>
    <row r="52416" spans="9:9" x14ac:dyDescent="0.2">
      <c r="I52416" s="137" t="s">
        <v>74</v>
      </c>
    </row>
    <row r="52417" spans="9:9" x14ac:dyDescent="0.2">
      <c r="I52417" s="137" t="s">
        <v>74</v>
      </c>
    </row>
    <row r="52418" spans="9:9" x14ac:dyDescent="0.2">
      <c r="I52418" s="137" t="s">
        <v>74</v>
      </c>
    </row>
    <row r="52419" spans="9:9" x14ac:dyDescent="0.2">
      <c r="I52419" s="137" t="s">
        <v>74</v>
      </c>
    </row>
    <row r="52420" spans="9:9" x14ac:dyDescent="0.2">
      <c r="I52420" s="137" t="s">
        <v>74</v>
      </c>
    </row>
    <row r="52421" spans="9:9" x14ac:dyDescent="0.2">
      <c r="I52421" s="137" t="s">
        <v>74</v>
      </c>
    </row>
    <row r="52422" spans="9:9" x14ac:dyDescent="0.2">
      <c r="I52422" s="137" t="s">
        <v>74</v>
      </c>
    </row>
    <row r="52423" spans="9:9" x14ac:dyDescent="0.2">
      <c r="I52423" s="137" t="s">
        <v>74</v>
      </c>
    </row>
    <row r="52424" spans="9:9" x14ac:dyDescent="0.2">
      <c r="I52424" s="137" t="s">
        <v>74</v>
      </c>
    </row>
    <row r="52425" spans="9:9" x14ac:dyDescent="0.2">
      <c r="I52425" s="137" t="s">
        <v>74</v>
      </c>
    </row>
    <row r="52426" spans="9:9" x14ac:dyDescent="0.2">
      <c r="I52426" s="137" t="s">
        <v>74</v>
      </c>
    </row>
    <row r="52427" spans="9:9" x14ac:dyDescent="0.2">
      <c r="I52427" s="137" t="s">
        <v>74</v>
      </c>
    </row>
    <row r="52428" spans="9:9" x14ac:dyDescent="0.2">
      <c r="I52428" s="137" t="s">
        <v>74</v>
      </c>
    </row>
    <row r="52429" spans="9:9" x14ac:dyDescent="0.2">
      <c r="I52429" s="137" t="s">
        <v>74</v>
      </c>
    </row>
    <row r="52430" spans="9:9" x14ac:dyDescent="0.2">
      <c r="I52430" s="137" t="s">
        <v>74</v>
      </c>
    </row>
    <row r="52431" spans="9:9" x14ac:dyDescent="0.2">
      <c r="I52431" s="137" t="s">
        <v>74</v>
      </c>
    </row>
    <row r="52432" spans="9:9" x14ac:dyDescent="0.2">
      <c r="I52432" s="137" t="s">
        <v>74</v>
      </c>
    </row>
    <row r="52433" spans="9:9" x14ac:dyDescent="0.2">
      <c r="I52433" s="137" t="s">
        <v>74</v>
      </c>
    </row>
    <row r="52434" spans="9:9" x14ac:dyDescent="0.2">
      <c r="I52434" s="137" t="s">
        <v>74</v>
      </c>
    </row>
    <row r="52435" spans="9:9" x14ac:dyDescent="0.2">
      <c r="I52435" s="137" t="s">
        <v>74</v>
      </c>
    </row>
    <row r="52436" spans="9:9" x14ac:dyDescent="0.2">
      <c r="I52436" s="137" t="s">
        <v>74</v>
      </c>
    </row>
    <row r="52437" spans="9:9" x14ac:dyDescent="0.2">
      <c r="I52437" s="137" t="s">
        <v>74</v>
      </c>
    </row>
    <row r="52438" spans="9:9" x14ac:dyDescent="0.2">
      <c r="I52438" s="137" t="s">
        <v>74</v>
      </c>
    </row>
    <row r="52439" spans="9:9" x14ac:dyDescent="0.2">
      <c r="I52439" s="137" t="s">
        <v>74</v>
      </c>
    </row>
    <row r="52440" spans="9:9" x14ac:dyDescent="0.2">
      <c r="I52440" s="137" t="s">
        <v>74</v>
      </c>
    </row>
    <row r="52441" spans="9:9" x14ac:dyDescent="0.2">
      <c r="I52441" s="137" t="s">
        <v>74</v>
      </c>
    </row>
    <row r="52442" spans="9:9" x14ac:dyDescent="0.2">
      <c r="I52442" s="137" t="s">
        <v>74</v>
      </c>
    </row>
    <row r="52443" spans="9:9" x14ac:dyDescent="0.2">
      <c r="I52443" s="137" t="s">
        <v>74</v>
      </c>
    </row>
    <row r="52444" spans="9:9" x14ac:dyDescent="0.2">
      <c r="I52444" s="137" t="s">
        <v>74</v>
      </c>
    </row>
    <row r="52445" spans="9:9" x14ac:dyDescent="0.2">
      <c r="I52445" s="137" t="s">
        <v>74</v>
      </c>
    </row>
    <row r="52446" spans="9:9" x14ac:dyDescent="0.2">
      <c r="I52446" s="137" t="s">
        <v>74</v>
      </c>
    </row>
    <row r="52447" spans="9:9" x14ac:dyDescent="0.2">
      <c r="I52447" s="137" t="s">
        <v>74</v>
      </c>
    </row>
    <row r="52448" spans="9:9" x14ac:dyDescent="0.2">
      <c r="I52448" s="137" t="s">
        <v>74</v>
      </c>
    </row>
    <row r="52449" spans="9:9" x14ac:dyDescent="0.2">
      <c r="I52449" s="137" t="s">
        <v>74</v>
      </c>
    </row>
    <row r="52450" spans="9:9" x14ac:dyDescent="0.2">
      <c r="I52450" s="137" t="s">
        <v>74</v>
      </c>
    </row>
    <row r="52451" spans="9:9" x14ac:dyDescent="0.2">
      <c r="I52451" s="137" t="s">
        <v>74</v>
      </c>
    </row>
    <row r="52452" spans="9:9" x14ac:dyDescent="0.2">
      <c r="I52452" s="137" t="s">
        <v>74</v>
      </c>
    </row>
    <row r="52453" spans="9:9" x14ac:dyDescent="0.2">
      <c r="I52453" s="137" t="s">
        <v>74</v>
      </c>
    </row>
    <row r="52454" spans="9:9" x14ac:dyDescent="0.2">
      <c r="I52454" s="137" t="s">
        <v>74</v>
      </c>
    </row>
    <row r="52455" spans="9:9" x14ac:dyDescent="0.2">
      <c r="I52455" s="137" t="s">
        <v>74</v>
      </c>
    </row>
    <row r="52456" spans="9:9" x14ac:dyDescent="0.2">
      <c r="I52456" s="137" t="s">
        <v>74</v>
      </c>
    </row>
    <row r="52457" spans="9:9" x14ac:dyDescent="0.2">
      <c r="I52457" s="137" t="s">
        <v>74</v>
      </c>
    </row>
    <row r="52458" spans="9:9" x14ac:dyDescent="0.2">
      <c r="I52458" s="137" t="s">
        <v>74</v>
      </c>
    </row>
    <row r="52459" spans="9:9" x14ac:dyDescent="0.2">
      <c r="I52459" s="137" t="s">
        <v>74</v>
      </c>
    </row>
    <row r="52460" spans="9:9" x14ac:dyDescent="0.2">
      <c r="I52460" s="137" t="s">
        <v>74</v>
      </c>
    </row>
    <row r="52461" spans="9:9" x14ac:dyDescent="0.2">
      <c r="I52461" s="137" t="s">
        <v>74</v>
      </c>
    </row>
    <row r="52462" spans="9:9" x14ac:dyDescent="0.2">
      <c r="I52462" s="137" t="s">
        <v>74</v>
      </c>
    </row>
    <row r="52463" spans="9:9" x14ac:dyDescent="0.2">
      <c r="I52463" s="137" t="s">
        <v>74</v>
      </c>
    </row>
    <row r="52464" spans="9:9" x14ac:dyDescent="0.2">
      <c r="I52464" s="137" t="s">
        <v>74</v>
      </c>
    </row>
    <row r="52465" spans="9:9" x14ac:dyDescent="0.2">
      <c r="I52465" s="137" t="s">
        <v>74</v>
      </c>
    </row>
    <row r="52466" spans="9:9" x14ac:dyDescent="0.2">
      <c r="I52466" s="137" t="s">
        <v>74</v>
      </c>
    </row>
    <row r="52467" spans="9:9" x14ac:dyDescent="0.2">
      <c r="I52467" s="137" t="s">
        <v>74</v>
      </c>
    </row>
    <row r="52468" spans="9:9" x14ac:dyDescent="0.2">
      <c r="I52468" s="137" t="s">
        <v>74</v>
      </c>
    </row>
    <row r="52469" spans="9:9" x14ac:dyDescent="0.2">
      <c r="I52469" s="137" t="s">
        <v>74</v>
      </c>
    </row>
    <row r="52470" spans="9:9" x14ac:dyDescent="0.2">
      <c r="I52470" s="137" t="s">
        <v>74</v>
      </c>
    </row>
    <row r="52471" spans="9:9" x14ac:dyDescent="0.2">
      <c r="I52471" s="137" t="s">
        <v>74</v>
      </c>
    </row>
    <row r="52472" spans="9:9" x14ac:dyDescent="0.2">
      <c r="I52472" s="137" t="s">
        <v>74</v>
      </c>
    </row>
    <row r="52473" spans="9:9" x14ac:dyDescent="0.2">
      <c r="I52473" s="137" t="s">
        <v>74</v>
      </c>
    </row>
    <row r="52474" spans="9:9" x14ac:dyDescent="0.2">
      <c r="I52474" s="137" t="s">
        <v>74</v>
      </c>
    </row>
    <row r="52475" spans="9:9" x14ac:dyDescent="0.2">
      <c r="I52475" s="137" t="s">
        <v>74</v>
      </c>
    </row>
    <row r="52476" spans="9:9" x14ac:dyDescent="0.2">
      <c r="I52476" s="137" t="s">
        <v>74</v>
      </c>
    </row>
    <row r="52477" spans="9:9" x14ac:dyDescent="0.2">
      <c r="I52477" s="137" t="s">
        <v>74</v>
      </c>
    </row>
    <row r="52478" spans="9:9" x14ac:dyDescent="0.2">
      <c r="I52478" s="137" t="s">
        <v>74</v>
      </c>
    </row>
    <row r="52479" spans="9:9" x14ac:dyDescent="0.2">
      <c r="I52479" s="137" t="s">
        <v>74</v>
      </c>
    </row>
    <row r="52480" spans="9:9" x14ac:dyDescent="0.2">
      <c r="I52480" s="137" t="s">
        <v>74</v>
      </c>
    </row>
    <row r="52481" spans="9:9" x14ac:dyDescent="0.2">
      <c r="I52481" s="137" t="s">
        <v>74</v>
      </c>
    </row>
    <row r="52482" spans="9:9" x14ac:dyDescent="0.2">
      <c r="I52482" s="137" t="s">
        <v>74</v>
      </c>
    </row>
    <row r="52483" spans="9:9" x14ac:dyDescent="0.2">
      <c r="I52483" s="137" t="s">
        <v>74</v>
      </c>
    </row>
    <row r="52484" spans="9:9" x14ac:dyDescent="0.2">
      <c r="I52484" s="137" t="s">
        <v>74</v>
      </c>
    </row>
    <row r="52485" spans="9:9" x14ac:dyDescent="0.2">
      <c r="I52485" s="137" t="s">
        <v>74</v>
      </c>
    </row>
    <row r="52486" spans="9:9" x14ac:dyDescent="0.2">
      <c r="I52486" s="137" t="s">
        <v>74</v>
      </c>
    </row>
    <row r="52487" spans="9:9" x14ac:dyDescent="0.2">
      <c r="I52487" s="137" t="s">
        <v>74</v>
      </c>
    </row>
    <row r="52488" spans="9:9" x14ac:dyDescent="0.2">
      <c r="I52488" s="137" t="s">
        <v>74</v>
      </c>
    </row>
    <row r="52489" spans="9:9" x14ac:dyDescent="0.2">
      <c r="I52489" s="137" t="s">
        <v>74</v>
      </c>
    </row>
    <row r="52490" spans="9:9" x14ac:dyDescent="0.2">
      <c r="I52490" s="137" t="s">
        <v>74</v>
      </c>
    </row>
    <row r="52491" spans="9:9" x14ac:dyDescent="0.2">
      <c r="I52491" s="137" t="s">
        <v>74</v>
      </c>
    </row>
    <row r="52492" spans="9:9" x14ac:dyDescent="0.2">
      <c r="I52492" s="137" t="s">
        <v>74</v>
      </c>
    </row>
    <row r="52493" spans="9:9" x14ac:dyDescent="0.2">
      <c r="I52493" s="137" t="s">
        <v>74</v>
      </c>
    </row>
    <row r="52494" spans="9:9" x14ac:dyDescent="0.2">
      <c r="I52494" s="137" t="s">
        <v>74</v>
      </c>
    </row>
    <row r="52495" spans="9:9" x14ac:dyDescent="0.2">
      <c r="I52495" s="137" t="s">
        <v>74</v>
      </c>
    </row>
    <row r="52496" spans="9:9" x14ac:dyDescent="0.2">
      <c r="I52496" s="137" t="s">
        <v>74</v>
      </c>
    </row>
    <row r="52497" spans="9:9" x14ac:dyDescent="0.2">
      <c r="I52497" s="137" t="s">
        <v>74</v>
      </c>
    </row>
    <row r="52498" spans="9:9" x14ac:dyDescent="0.2">
      <c r="I52498" s="137" t="s">
        <v>74</v>
      </c>
    </row>
    <row r="52499" spans="9:9" x14ac:dyDescent="0.2">
      <c r="I52499" s="137" t="s">
        <v>74</v>
      </c>
    </row>
    <row r="52500" spans="9:9" x14ac:dyDescent="0.2">
      <c r="I52500" s="137" t="s">
        <v>74</v>
      </c>
    </row>
    <row r="52501" spans="9:9" x14ac:dyDescent="0.2">
      <c r="I52501" s="137" t="s">
        <v>74</v>
      </c>
    </row>
    <row r="52502" spans="9:9" x14ac:dyDescent="0.2">
      <c r="I52502" s="137" t="s">
        <v>74</v>
      </c>
    </row>
    <row r="52503" spans="9:9" x14ac:dyDescent="0.2">
      <c r="I52503" s="137" t="s">
        <v>74</v>
      </c>
    </row>
    <row r="52504" spans="9:9" x14ac:dyDescent="0.2">
      <c r="I52504" s="137" t="s">
        <v>74</v>
      </c>
    </row>
    <row r="52505" spans="9:9" x14ac:dyDescent="0.2">
      <c r="I52505" s="137" t="s">
        <v>74</v>
      </c>
    </row>
    <row r="52506" spans="9:9" x14ac:dyDescent="0.2">
      <c r="I52506" s="137" t="s">
        <v>74</v>
      </c>
    </row>
    <row r="52507" spans="9:9" x14ac:dyDescent="0.2">
      <c r="I52507" s="137" t="s">
        <v>74</v>
      </c>
    </row>
    <row r="52508" spans="9:9" x14ac:dyDescent="0.2">
      <c r="I52508" s="137" t="s">
        <v>74</v>
      </c>
    </row>
    <row r="52509" spans="9:9" x14ac:dyDescent="0.2">
      <c r="I52509" s="137" t="s">
        <v>74</v>
      </c>
    </row>
    <row r="52510" spans="9:9" x14ac:dyDescent="0.2">
      <c r="I52510" s="137" t="s">
        <v>74</v>
      </c>
    </row>
    <row r="52511" spans="9:9" x14ac:dyDescent="0.2">
      <c r="I52511" s="137" t="s">
        <v>74</v>
      </c>
    </row>
    <row r="52512" spans="9:9" x14ac:dyDescent="0.2">
      <c r="I52512" s="137" t="s">
        <v>74</v>
      </c>
    </row>
    <row r="52513" spans="9:9" x14ac:dyDescent="0.2">
      <c r="I52513" s="137" t="s">
        <v>74</v>
      </c>
    </row>
    <row r="52514" spans="9:9" x14ac:dyDescent="0.2">
      <c r="I52514" s="137" t="s">
        <v>74</v>
      </c>
    </row>
    <row r="52515" spans="9:9" x14ac:dyDescent="0.2">
      <c r="I52515" s="137" t="s">
        <v>74</v>
      </c>
    </row>
    <row r="52516" spans="9:9" x14ac:dyDescent="0.2">
      <c r="I52516" s="137" t="s">
        <v>74</v>
      </c>
    </row>
    <row r="52517" spans="9:9" x14ac:dyDescent="0.2">
      <c r="I52517" s="137" t="s">
        <v>74</v>
      </c>
    </row>
    <row r="52518" spans="9:9" x14ac:dyDescent="0.2">
      <c r="I52518" s="137" t="s">
        <v>74</v>
      </c>
    </row>
    <row r="52519" spans="9:9" x14ac:dyDescent="0.2">
      <c r="I52519" s="137" t="s">
        <v>74</v>
      </c>
    </row>
    <row r="52520" spans="9:9" x14ac:dyDescent="0.2">
      <c r="I52520" s="137" t="s">
        <v>74</v>
      </c>
    </row>
    <row r="52521" spans="9:9" x14ac:dyDescent="0.2">
      <c r="I52521" s="137" t="s">
        <v>74</v>
      </c>
    </row>
    <row r="52522" spans="9:9" x14ac:dyDescent="0.2">
      <c r="I52522" s="137" t="s">
        <v>74</v>
      </c>
    </row>
    <row r="52523" spans="9:9" x14ac:dyDescent="0.2">
      <c r="I52523" s="137" t="s">
        <v>74</v>
      </c>
    </row>
    <row r="52524" spans="9:9" x14ac:dyDescent="0.2">
      <c r="I52524" s="137" t="s">
        <v>74</v>
      </c>
    </row>
    <row r="52525" spans="9:9" x14ac:dyDescent="0.2">
      <c r="I52525" s="137" t="s">
        <v>74</v>
      </c>
    </row>
    <row r="52526" spans="9:9" x14ac:dyDescent="0.2">
      <c r="I52526" s="137" t="s">
        <v>74</v>
      </c>
    </row>
    <row r="52527" spans="9:9" x14ac:dyDescent="0.2">
      <c r="I52527" s="137" t="s">
        <v>74</v>
      </c>
    </row>
    <row r="52528" spans="9:9" x14ac:dyDescent="0.2">
      <c r="I52528" s="137" t="s">
        <v>74</v>
      </c>
    </row>
    <row r="52529" spans="9:9" x14ac:dyDescent="0.2">
      <c r="I52529" s="137" t="s">
        <v>74</v>
      </c>
    </row>
    <row r="52530" spans="9:9" x14ac:dyDescent="0.2">
      <c r="I52530" s="137" t="s">
        <v>74</v>
      </c>
    </row>
    <row r="52531" spans="9:9" x14ac:dyDescent="0.2">
      <c r="I52531" s="137" t="s">
        <v>74</v>
      </c>
    </row>
    <row r="52532" spans="9:9" x14ac:dyDescent="0.2">
      <c r="I52532" s="137" t="s">
        <v>74</v>
      </c>
    </row>
    <row r="52533" spans="9:9" x14ac:dyDescent="0.2">
      <c r="I52533" s="137" t="s">
        <v>74</v>
      </c>
    </row>
    <row r="52534" spans="9:9" x14ac:dyDescent="0.2">
      <c r="I52534" s="137" t="s">
        <v>74</v>
      </c>
    </row>
    <row r="52535" spans="9:9" x14ac:dyDescent="0.2">
      <c r="I52535" s="137" t="s">
        <v>74</v>
      </c>
    </row>
    <row r="52536" spans="9:9" x14ac:dyDescent="0.2">
      <c r="I52536" s="137" t="s">
        <v>74</v>
      </c>
    </row>
    <row r="52537" spans="9:9" x14ac:dyDescent="0.2">
      <c r="I52537" s="137" t="s">
        <v>74</v>
      </c>
    </row>
    <row r="52538" spans="9:9" x14ac:dyDescent="0.2">
      <c r="I52538" s="137" t="s">
        <v>74</v>
      </c>
    </row>
    <row r="52539" spans="9:9" x14ac:dyDescent="0.2">
      <c r="I52539" s="137" t="s">
        <v>74</v>
      </c>
    </row>
    <row r="52540" spans="9:9" x14ac:dyDescent="0.2">
      <c r="I52540" s="137" t="s">
        <v>74</v>
      </c>
    </row>
    <row r="52541" spans="9:9" x14ac:dyDescent="0.2">
      <c r="I52541" s="137" t="s">
        <v>74</v>
      </c>
    </row>
    <row r="52542" spans="9:9" x14ac:dyDescent="0.2">
      <c r="I52542" s="137" t="s">
        <v>74</v>
      </c>
    </row>
    <row r="52543" spans="9:9" x14ac:dyDescent="0.2">
      <c r="I52543" s="137" t="s">
        <v>74</v>
      </c>
    </row>
    <row r="52544" spans="9:9" x14ac:dyDescent="0.2">
      <c r="I52544" s="137" t="s">
        <v>74</v>
      </c>
    </row>
    <row r="52545" spans="9:9" x14ac:dyDescent="0.2">
      <c r="I52545" s="137" t="s">
        <v>74</v>
      </c>
    </row>
    <row r="52546" spans="9:9" x14ac:dyDescent="0.2">
      <c r="I52546" s="137" t="s">
        <v>74</v>
      </c>
    </row>
    <row r="52547" spans="9:9" x14ac:dyDescent="0.2">
      <c r="I52547" s="137" t="s">
        <v>74</v>
      </c>
    </row>
    <row r="52548" spans="9:9" x14ac:dyDescent="0.2">
      <c r="I52548" s="137" t="s">
        <v>74</v>
      </c>
    </row>
    <row r="52549" spans="9:9" x14ac:dyDescent="0.2">
      <c r="I52549" s="137" t="s">
        <v>74</v>
      </c>
    </row>
    <row r="52550" spans="9:9" x14ac:dyDescent="0.2">
      <c r="I52550" s="137" t="s">
        <v>74</v>
      </c>
    </row>
    <row r="52551" spans="9:9" x14ac:dyDescent="0.2">
      <c r="I52551" s="137" t="s">
        <v>74</v>
      </c>
    </row>
    <row r="52552" spans="9:9" x14ac:dyDescent="0.2">
      <c r="I52552" s="137" t="s">
        <v>74</v>
      </c>
    </row>
    <row r="52553" spans="9:9" x14ac:dyDescent="0.2">
      <c r="I52553" s="137" t="s">
        <v>74</v>
      </c>
    </row>
    <row r="52554" spans="9:9" x14ac:dyDescent="0.2">
      <c r="I52554" s="137" t="s">
        <v>74</v>
      </c>
    </row>
    <row r="52555" spans="9:9" x14ac:dyDescent="0.2">
      <c r="I52555" s="137" t="s">
        <v>74</v>
      </c>
    </row>
    <row r="52556" spans="9:9" x14ac:dyDescent="0.2">
      <c r="I52556" s="137" t="s">
        <v>74</v>
      </c>
    </row>
    <row r="52557" spans="9:9" x14ac:dyDescent="0.2">
      <c r="I52557" s="137" t="s">
        <v>74</v>
      </c>
    </row>
    <row r="52558" spans="9:9" x14ac:dyDescent="0.2">
      <c r="I52558" s="137" t="s">
        <v>74</v>
      </c>
    </row>
    <row r="52559" spans="9:9" x14ac:dyDescent="0.2">
      <c r="I52559" s="137" t="s">
        <v>74</v>
      </c>
    </row>
    <row r="52560" spans="9:9" x14ac:dyDescent="0.2">
      <c r="I52560" s="137" t="s">
        <v>74</v>
      </c>
    </row>
    <row r="52561" spans="9:9" x14ac:dyDescent="0.2">
      <c r="I52561" s="137" t="s">
        <v>74</v>
      </c>
    </row>
    <row r="52562" spans="9:9" x14ac:dyDescent="0.2">
      <c r="I52562" s="137" t="s">
        <v>74</v>
      </c>
    </row>
    <row r="52563" spans="9:9" x14ac:dyDescent="0.2">
      <c r="I52563" s="137" t="s">
        <v>74</v>
      </c>
    </row>
    <row r="52564" spans="9:9" x14ac:dyDescent="0.2">
      <c r="I52564" s="137" t="s">
        <v>74</v>
      </c>
    </row>
    <row r="52565" spans="9:9" x14ac:dyDescent="0.2">
      <c r="I52565" s="137" t="s">
        <v>74</v>
      </c>
    </row>
    <row r="52566" spans="9:9" x14ac:dyDescent="0.2">
      <c r="I52566" s="137" t="s">
        <v>74</v>
      </c>
    </row>
    <row r="52567" spans="9:9" x14ac:dyDescent="0.2">
      <c r="I52567" s="137" t="s">
        <v>74</v>
      </c>
    </row>
    <row r="52568" spans="9:9" x14ac:dyDescent="0.2">
      <c r="I52568" s="137" t="s">
        <v>74</v>
      </c>
    </row>
    <row r="52569" spans="9:9" x14ac:dyDescent="0.2">
      <c r="I52569" s="137" t="s">
        <v>74</v>
      </c>
    </row>
    <row r="52570" spans="9:9" x14ac:dyDescent="0.2">
      <c r="I52570" s="137" t="s">
        <v>74</v>
      </c>
    </row>
    <row r="52571" spans="9:9" x14ac:dyDescent="0.2">
      <c r="I52571" s="137" t="s">
        <v>74</v>
      </c>
    </row>
    <row r="52572" spans="9:9" x14ac:dyDescent="0.2">
      <c r="I52572" s="137" t="s">
        <v>74</v>
      </c>
    </row>
    <row r="52573" spans="9:9" x14ac:dyDescent="0.2">
      <c r="I52573" s="137" t="s">
        <v>74</v>
      </c>
    </row>
    <row r="52574" spans="9:9" x14ac:dyDescent="0.2">
      <c r="I52574" s="137" t="s">
        <v>74</v>
      </c>
    </row>
    <row r="52575" spans="9:9" x14ac:dyDescent="0.2">
      <c r="I52575" s="137" t="s">
        <v>74</v>
      </c>
    </row>
    <row r="52576" spans="9:9" x14ac:dyDescent="0.2">
      <c r="I52576" s="137" t="s">
        <v>74</v>
      </c>
    </row>
    <row r="52577" spans="9:9" x14ac:dyDescent="0.2">
      <c r="I52577" s="137" t="s">
        <v>74</v>
      </c>
    </row>
    <row r="52578" spans="9:9" x14ac:dyDescent="0.2">
      <c r="I52578" s="137" t="s">
        <v>74</v>
      </c>
    </row>
    <row r="52579" spans="9:9" x14ac:dyDescent="0.2">
      <c r="I52579" s="137" t="s">
        <v>74</v>
      </c>
    </row>
    <row r="52580" spans="9:9" x14ac:dyDescent="0.2">
      <c r="I52580" s="137" t="s">
        <v>74</v>
      </c>
    </row>
    <row r="52581" spans="9:9" x14ac:dyDescent="0.2">
      <c r="I52581" s="137" t="s">
        <v>74</v>
      </c>
    </row>
    <row r="52582" spans="9:9" x14ac:dyDescent="0.2">
      <c r="I52582" s="137" t="s">
        <v>74</v>
      </c>
    </row>
    <row r="52583" spans="9:9" x14ac:dyDescent="0.2">
      <c r="I52583" s="137" t="s">
        <v>74</v>
      </c>
    </row>
    <row r="52584" spans="9:9" x14ac:dyDescent="0.2">
      <c r="I52584" s="137" t="s">
        <v>74</v>
      </c>
    </row>
    <row r="52585" spans="9:9" x14ac:dyDescent="0.2">
      <c r="I52585" s="137" t="s">
        <v>74</v>
      </c>
    </row>
    <row r="52586" spans="9:9" x14ac:dyDescent="0.2">
      <c r="I52586" s="137" t="s">
        <v>74</v>
      </c>
    </row>
    <row r="52587" spans="9:9" x14ac:dyDescent="0.2">
      <c r="I52587" s="137" t="s">
        <v>74</v>
      </c>
    </row>
    <row r="52588" spans="9:9" x14ac:dyDescent="0.2">
      <c r="I52588" s="137" t="s">
        <v>74</v>
      </c>
    </row>
    <row r="52589" spans="9:9" x14ac:dyDescent="0.2">
      <c r="I52589" s="137" t="s">
        <v>74</v>
      </c>
    </row>
    <row r="52590" spans="9:9" x14ac:dyDescent="0.2">
      <c r="I52590" s="137" t="s">
        <v>74</v>
      </c>
    </row>
    <row r="52591" spans="9:9" x14ac:dyDescent="0.2">
      <c r="I52591" s="137" t="s">
        <v>74</v>
      </c>
    </row>
    <row r="52592" spans="9:9" x14ac:dyDescent="0.2">
      <c r="I52592" s="137" t="s">
        <v>74</v>
      </c>
    </row>
    <row r="52593" spans="9:9" x14ac:dyDescent="0.2">
      <c r="I52593" s="137" t="s">
        <v>74</v>
      </c>
    </row>
    <row r="52594" spans="9:9" x14ac:dyDescent="0.2">
      <c r="I52594" s="137" t="s">
        <v>74</v>
      </c>
    </row>
    <row r="52595" spans="9:9" x14ac:dyDescent="0.2">
      <c r="I52595" s="137" t="s">
        <v>74</v>
      </c>
    </row>
    <row r="52596" spans="9:9" x14ac:dyDescent="0.2">
      <c r="I52596" s="137" t="s">
        <v>74</v>
      </c>
    </row>
    <row r="52597" spans="9:9" x14ac:dyDescent="0.2">
      <c r="I52597" s="137" t="s">
        <v>74</v>
      </c>
    </row>
    <row r="52598" spans="9:9" x14ac:dyDescent="0.2">
      <c r="I52598" s="137" t="s">
        <v>74</v>
      </c>
    </row>
    <row r="52599" spans="9:9" x14ac:dyDescent="0.2">
      <c r="I52599" s="137" t="s">
        <v>74</v>
      </c>
    </row>
    <row r="52600" spans="9:9" x14ac:dyDescent="0.2">
      <c r="I52600" s="137" t="s">
        <v>74</v>
      </c>
    </row>
    <row r="52601" spans="9:9" x14ac:dyDescent="0.2">
      <c r="I52601" s="137" t="s">
        <v>74</v>
      </c>
    </row>
    <row r="52602" spans="9:9" x14ac:dyDescent="0.2">
      <c r="I52602" s="137" t="s">
        <v>74</v>
      </c>
    </row>
    <row r="52603" spans="9:9" x14ac:dyDescent="0.2">
      <c r="I52603" s="137" t="s">
        <v>74</v>
      </c>
    </row>
    <row r="52604" spans="9:9" x14ac:dyDescent="0.2">
      <c r="I52604" s="137" t="s">
        <v>74</v>
      </c>
    </row>
    <row r="52605" spans="9:9" x14ac:dyDescent="0.2">
      <c r="I52605" s="137" t="s">
        <v>74</v>
      </c>
    </row>
    <row r="52606" spans="9:9" x14ac:dyDescent="0.2">
      <c r="I52606" s="137" t="s">
        <v>74</v>
      </c>
    </row>
    <row r="52607" spans="9:9" x14ac:dyDescent="0.2">
      <c r="I52607" s="137" t="s">
        <v>74</v>
      </c>
    </row>
    <row r="52608" spans="9:9" x14ac:dyDescent="0.2">
      <c r="I52608" s="137" t="s">
        <v>74</v>
      </c>
    </row>
    <row r="52609" spans="9:9" x14ac:dyDescent="0.2">
      <c r="I52609" s="137" t="s">
        <v>74</v>
      </c>
    </row>
    <row r="52610" spans="9:9" x14ac:dyDescent="0.2">
      <c r="I52610" s="137" t="s">
        <v>74</v>
      </c>
    </row>
    <row r="52611" spans="9:9" x14ac:dyDescent="0.2">
      <c r="I52611" s="137" t="s">
        <v>74</v>
      </c>
    </row>
    <row r="52612" spans="9:9" x14ac:dyDescent="0.2">
      <c r="I52612" s="137" t="s">
        <v>74</v>
      </c>
    </row>
    <row r="52613" spans="9:9" x14ac:dyDescent="0.2">
      <c r="I52613" s="137" t="s">
        <v>74</v>
      </c>
    </row>
    <row r="52614" spans="9:9" x14ac:dyDescent="0.2">
      <c r="I52614" s="137" t="s">
        <v>74</v>
      </c>
    </row>
    <row r="52615" spans="9:9" x14ac:dyDescent="0.2">
      <c r="I52615" s="137" t="s">
        <v>74</v>
      </c>
    </row>
    <row r="52616" spans="9:9" x14ac:dyDescent="0.2">
      <c r="I52616" s="137" t="s">
        <v>74</v>
      </c>
    </row>
    <row r="52617" spans="9:9" x14ac:dyDescent="0.2">
      <c r="I52617" s="137" t="s">
        <v>74</v>
      </c>
    </row>
    <row r="52618" spans="9:9" x14ac:dyDescent="0.2">
      <c r="I52618" s="137" t="s">
        <v>74</v>
      </c>
    </row>
    <row r="52619" spans="9:9" x14ac:dyDescent="0.2">
      <c r="I52619" s="137" t="s">
        <v>74</v>
      </c>
    </row>
    <row r="52620" spans="9:9" x14ac:dyDescent="0.2">
      <c r="I52620" s="137" t="s">
        <v>74</v>
      </c>
    </row>
    <row r="52621" spans="9:9" x14ac:dyDescent="0.2">
      <c r="I52621" s="137" t="s">
        <v>74</v>
      </c>
    </row>
    <row r="52622" spans="9:9" x14ac:dyDescent="0.2">
      <c r="I52622" s="137" t="s">
        <v>74</v>
      </c>
    </row>
    <row r="52623" spans="9:9" x14ac:dyDescent="0.2">
      <c r="I52623" s="137" t="s">
        <v>74</v>
      </c>
    </row>
    <row r="52624" spans="9:9" x14ac:dyDescent="0.2">
      <c r="I52624" s="137" t="s">
        <v>74</v>
      </c>
    </row>
    <row r="52625" spans="9:9" x14ac:dyDescent="0.2">
      <c r="I52625" s="137" t="s">
        <v>74</v>
      </c>
    </row>
    <row r="52626" spans="9:9" x14ac:dyDescent="0.2">
      <c r="I52626" s="137" t="s">
        <v>74</v>
      </c>
    </row>
    <row r="52627" spans="9:9" x14ac:dyDescent="0.2">
      <c r="I52627" s="137" t="s">
        <v>74</v>
      </c>
    </row>
    <row r="52628" spans="9:9" x14ac:dyDescent="0.2">
      <c r="I52628" s="137" t="s">
        <v>74</v>
      </c>
    </row>
    <row r="52629" spans="9:9" x14ac:dyDescent="0.2">
      <c r="I52629" s="137" t="s">
        <v>74</v>
      </c>
    </row>
    <row r="52630" spans="9:9" x14ac:dyDescent="0.2">
      <c r="I52630" s="137" t="s">
        <v>74</v>
      </c>
    </row>
    <row r="52631" spans="9:9" x14ac:dyDescent="0.2">
      <c r="I52631" s="137" t="s">
        <v>74</v>
      </c>
    </row>
    <row r="52632" spans="9:9" x14ac:dyDescent="0.2">
      <c r="I52632" s="137" t="s">
        <v>74</v>
      </c>
    </row>
    <row r="52633" spans="9:9" x14ac:dyDescent="0.2">
      <c r="I52633" s="137" t="s">
        <v>74</v>
      </c>
    </row>
    <row r="52634" spans="9:9" x14ac:dyDescent="0.2">
      <c r="I52634" s="137" t="s">
        <v>74</v>
      </c>
    </row>
    <row r="52635" spans="9:9" x14ac:dyDescent="0.2">
      <c r="I52635" s="137" t="s">
        <v>74</v>
      </c>
    </row>
    <row r="52636" spans="9:9" x14ac:dyDescent="0.2">
      <c r="I52636" s="137" t="s">
        <v>74</v>
      </c>
    </row>
    <row r="52637" spans="9:9" x14ac:dyDescent="0.2">
      <c r="I52637" s="137" t="s">
        <v>74</v>
      </c>
    </row>
    <row r="52638" spans="9:9" x14ac:dyDescent="0.2">
      <c r="I52638" s="137" t="s">
        <v>74</v>
      </c>
    </row>
    <row r="52639" spans="9:9" x14ac:dyDescent="0.2">
      <c r="I52639" s="137" t="s">
        <v>74</v>
      </c>
    </row>
    <row r="52640" spans="9:9" x14ac:dyDescent="0.2">
      <c r="I52640" s="137" t="s">
        <v>74</v>
      </c>
    </row>
    <row r="52641" spans="9:9" x14ac:dyDescent="0.2">
      <c r="I52641" s="137" t="s">
        <v>74</v>
      </c>
    </row>
    <row r="52642" spans="9:9" x14ac:dyDescent="0.2">
      <c r="I52642" s="137" t="s">
        <v>74</v>
      </c>
    </row>
    <row r="52643" spans="9:9" x14ac:dyDescent="0.2">
      <c r="I52643" s="137" t="s">
        <v>74</v>
      </c>
    </row>
    <row r="52644" spans="9:9" x14ac:dyDescent="0.2">
      <c r="I52644" s="137" t="s">
        <v>74</v>
      </c>
    </row>
    <row r="52645" spans="9:9" x14ac:dyDescent="0.2">
      <c r="I52645" s="137" t="s">
        <v>74</v>
      </c>
    </row>
    <row r="52646" spans="9:9" x14ac:dyDescent="0.2">
      <c r="I52646" s="137" t="s">
        <v>74</v>
      </c>
    </row>
    <row r="52647" spans="9:9" x14ac:dyDescent="0.2">
      <c r="I52647" s="137" t="s">
        <v>74</v>
      </c>
    </row>
    <row r="52648" spans="9:9" x14ac:dyDescent="0.2">
      <c r="I52648" s="137" t="s">
        <v>74</v>
      </c>
    </row>
    <row r="52649" spans="9:9" x14ac:dyDescent="0.2">
      <c r="I52649" s="137" t="s">
        <v>74</v>
      </c>
    </row>
    <row r="52650" spans="9:9" x14ac:dyDescent="0.2">
      <c r="I52650" s="137" t="s">
        <v>74</v>
      </c>
    </row>
    <row r="52651" spans="9:9" x14ac:dyDescent="0.2">
      <c r="I52651" s="137" t="s">
        <v>74</v>
      </c>
    </row>
    <row r="52652" spans="9:9" x14ac:dyDescent="0.2">
      <c r="I52652" s="137" t="s">
        <v>74</v>
      </c>
    </row>
    <row r="52653" spans="9:9" x14ac:dyDescent="0.2">
      <c r="I52653" s="137" t="s">
        <v>74</v>
      </c>
    </row>
    <row r="52654" spans="9:9" x14ac:dyDescent="0.2">
      <c r="I52654" s="137" t="s">
        <v>74</v>
      </c>
    </row>
    <row r="52655" spans="9:9" x14ac:dyDescent="0.2">
      <c r="I52655" s="137" t="s">
        <v>74</v>
      </c>
    </row>
    <row r="52656" spans="9:9" x14ac:dyDescent="0.2">
      <c r="I52656" s="137" t="s">
        <v>74</v>
      </c>
    </row>
    <row r="52657" spans="9:9" x14ac:dyDescent="0.2">
      <c r="I52657" s="137" t="s">
        <v>74</v>
      </c>
    </row>
    <row r="52658" spans="9:9" x14ac:dyDescent="0.2">
      <c r="I52658" s="137" t="s">
        <v>74</v>
      </c>
    </row>
    <row r="52659" spans="9:9" x14ac:dyDescent="0.2">
      <c r="I52659" s="137" t="s">
        <v>74</v>
      </c>
    </row>
    <row r="52660" spans="9:9" x14ac:dyDescent="0.2">
      <c r="I52660" s="137" t="s">
        <v>74</v>
      </c>
    </row>
    <row r="52661" spans="9:9" x14ac:dyDescent="0.2">
      <c r="I52661" s="137" t="s">
        <v>74</v>
      </c>
    </row>
    <row r="52662" spans="9:9" x14ac:dyDescent="0.2">
      <c r="I52662" s="137" t="s">
        <v>74</v>
      </c>
    </row>
    <row r="52663" spans="9:9" x14ac:dyDescent="0.2">
      <c r="I52663" s="137" t="s">
        <v>74</v>
      </c>
    </row>
    <row r="52664" spans="9:9" x14ac:dyDescent="0.2">
      <c r="I52664" s="137" t="s">
        <v>74</v>
      </c>
    </row>
    <row r="52665" spans="9:9" x14ac:dyDescent="0.2">
      <c r="I52665" s="137" t="s">
        <v>74</v>
      </c>
    </row>
    <row r="52666" spans="9:9" x14ac:dyDescent="0.2">
      <c r="I52666" s="137" t="s">
        <v>74</v>
      </c>
    </row>
    <row r="52667" spans="9:9" x14ac:dyDescent="0.2">
      <c r="I52667" s="137" t="s">
        <v>74</v>
      </c>
    </row>
    <row r="52668" spans="9:9" x14ac:dyDescent="0.2">
      <c r="I52668" s="137" t="s">
        <v>74</v>
      </c>
    </row>
    <row r="52669" spans="9:9" x14ac:dyDescent="0.2">
      <c r="I52669" s="137" t="s">
        <v>74</v>
      </c>
    </row>
    <row r="52670" spans="9:9" x14ac:dyDescent="0.2">
      <c r="I52670" s="137" t="s">
        <v>74</v>
      </c>
    </row>
    <row r="52671" spans="9:9" x14ac:dyDescent="0.2">
      <c r="I52671" s="137" t="s">
        <v>74</v>
      </c>
    </row>
    <row r="52672" spans="9:9" x14ac:dyDescent="0.2">
      <c r="I52672" s="137" t="s">
        <v>74</v>
      </c>
    </row>
    <row r="52673" spans="9:9" x14ac:dyDescent="0.2">
      <c r="I52673" s="137" t="s">
        <v>74</v>
      </c>
    </row>
    <row r="52674" spans="9:9" x14ac:dyDescent="0.2">
      <c r="I52674" s="137" t="s">
        <v>74</v>
      </c>
    </row>
    <row r="52675" spans="9:9" x14ac:dyDescent="0.2">
      <c r="I52675" s="137" t="s">
        <v>74</v>
      </c>
    </row>
    <row r="52676" spans="9:9" x14ac:dyDescent="0.2">
      <c r="I52676" s="137" t="s">
        <v>74</v>
      </c>
    </row>
    <row r="52677" spans="9:9" x14ac:dyDescent="0.2">
      <c r="I52677" s="137" t="s">
        <v>74</v>
      </c>
    </row>
    <row r="52678" spans="9:9" x14ac:dyDescent="0.2">
      <c r="I52678" s="137" t="s">
        <v>74</v>
      </c>
    </row>
    <row r="52679" spans="9:9" x14ac:dyDescent="0.2">
      <c r="I52679" s="137" t="s">
        <v>74</v>
      </c>
    </row>
    <row r="52680" spans="9:9" x14ac:dyDescent="0.2">
      <c r="I52680" s="137" t="s">
        <v>74</v>
      </c>
    </row>
    <row r="52681" spans="9:9" x14ac:dyDescent="0.2">
      <c r="I52681" s="137" t="s">
        <v>74</v>
      </c>
    </row>
    <row r="52682" spans="9:9" x14ac:dyDescent="0.2">
      <c r="I52682" s="137" t="s">
        <v>74</v>
      </c>
    </row>
    <row r="52683" spans="9:9" x14ac:dyDescent="0.2">
      <c r="I52683" s="137" t="s">
        <v>74</v>
      </c>
    </row>
    <row r="52684" spans="9:9" x14ac:dyDescent="0.2">
      <c r="I52684" s="137" t="s">
        <v>74</v>
      </c>
    </row>
    <row r="52685" spans="9:9" x14ac:dyDescent="0.2">
      <c r="I52685" s="137" t="s">
        <v>74</v>
      </c>
    </row>
    <row r="52686" spans="9:9" x14ac:dyDescent="0.2">
      <c r="I52686" s="137" t="s">
        <v>74</v>
      </c>
    </row>
    <row r="52687" spans="9:9" x14ac:dyDescent="0.2">
      <c r="I52687" s="137" t="s">
        <v>74</v>
      </c>
    </row>
    <row r="52688" spans="9:9" x14ac:dyDescent="0.2">
      <c r="I52688" s="137" t="s">
        <v>74</v>
      </c>
    </row>
    <row r="52689" spans="9:9" x14ac:dyDescent="0.2">
      <c r="I52689" s="137" t="s">
        <v>74</v>
      </c>
    </row>
    <row r="52690" spans="9:9" x14ac:dyDescent="0.2">
      <c r="I52690" s="137" t="s">
        <v>74</v>
      </c>
    </row>
    <row r="52691" spans="9:9" x14ac:dyDescent="0.2">
      <c r="I52691" s="137" t="s">
        <v>74</v>
      </c>
    </row>
    <row r="52692" spans="9:9" x14ac:dyDescent="0.2">
      <c r="I52692" s="137" t="s">
        <v>74</v>
      </c>
    </row>
    <row r="52693" spans="9:9" x14ac:dyDescent="0.2">
      <c r="I52693" s="137" t="s">
        <v>74</v>
      </c>
    </row>
    <row r="52694" spans="9:9" x14ac:dyDescent="0.2">
      <c r="I52694" s="137" t="s">
        <v>74</v>
      </c>
    </row>
    <row r="52695" spans="9:9" x14ac:dyDescent="0.2">
      <c r="I52695" s="137" t="s">
        <v>74</v>
      </c>
    </row>
    <row r="52696" spans="9:9" x14ac:dyDescent="0.2">
      <c r="I52696" s="137" t="s">
        <v>74</v>
      </c>
    </row>
    <row r="52697" spans="9:9" x14ac:dyDescent="0.2">
      <c r="I52697" s="137" t="s">
        <v>74</v>
      </c>
    </row>
    <row r="52698" spans="9:9" x14ac:dyDescent="0.2">
      <c r="I52698" s="137" t="s">
        <v>74</v>
      </c>
    </row>
    <row r="52699" spans="9:9" x14ac:dyDescent="0.2">
      <c r="I52699" s="137" t="s">
        <v>74</v>
      </c>
    </row>
    <row r="52700" spans="9:9" x14ac:dyDescent="0.2">
      <c r="I52700" s="137" t="s">
        <v>74</v>
      </c>
    </row>
    <row r="52701" spans="9:9" x14ac:dyDescent="0.2">
      <c r="I52701" s="137" t="s">
        <v>74</v>
      </c>
    </row>
    <row r="52702" spans="9:9" x14ac:dyDescent="0.2">
      <c r="I52702" s="137" t="s">
        <v>74</v>
      </c>
    </row>
    <row r="52703" spans="9:9" x14ac:dyDescent="0.2">
      <c r="I52703" s="137" t="s">
        <v>74</v>
      </c>
    </row>
    <row r="52704" spans="9:9" x14ac:dyDescent="0.2">
      <c r="I52704" s="137" t="s">
        <v>74</v>
      </c>
    </row>
    <row r="52705" spans="9:9" x14ac:dyDescent="0.2">
      <c r="I52705" s="137" t="s">
        <v>74</v>
      </c>
    </row>
    <row r="52706" spans="9:9" x14ac:dyDescent="0.2">
      <c r="I52706" s="137" t="s">
        <v>74</v>
      </c>
    </row>
    <row r="52707" spans="9:9" x14ac:dyDescent="0.2">
      <c r="I52707" s="137" t="s">
        <v>74</v>
      </c>
    </row>
    <row r="52708" spans="9:9" x14ac:dyDescent="0.2">
      <c r="I52708" s="137" t="s">
        <v>74</v>
      </c>
    </row>
    <row r="52709" spans="9:9" x14ac:dyDescent="0.2">
      <c r="I52709" s="137" t="s">
        <v>74</v>
      </c>
    </row>
    <row r="52710" spans="9:9" x14ac:dyDescent="0.2">
      <c r="I52710" s="137" t="s">
        <v>74</v>
      </c>
    </row>
    <row r="52711" spans="9:9" x14ac:dyDescent="0.2">
      <c r="I52711" s="137" t="s">
        <v>74</v>
      </c>
    </row>
    <row r="52712" spans="9:9" x14ac:dyDescent="0.2">
      <c r="I52712" s="137" t="s">
        <v>74</v>
      </c>
    </row>
    <row r="52713" spans="9:9" x14ac:dyDescent="0.2">
      <c r="I52713" s="137" t="s">
        <v>74</v>
      </c>
    </row>
    <row r="52714" spans="9:9" x14ac:dyDescent="0.2">
      <c r="I52714" s="137" t="s">
        <v>74</v>
      </c>
    </row>
    <row r="52715" spans="9:9" x14ac:dyDescent="0.2">
      <c r="I52715" s="137" t="s">
        <v>74</v>
      </c>
    </row>
    <row r="52716" spans="9:9" x14ac:dyDescent="0.2">
      <c r="I52716" s="137" t="s">
        <v>74</v>
      </c>
    </row>
    <row r="52717" spans="9:9" x14ac:dyDescent="0.2">
      <c r="I52717" s="137" t="s">
        <v>74</v>
      </c>
    </row>
    <row r="52718" spans="9:9" x14ac:dyDescent="0.2">
      <c r="I52718" s="137" t="s">
        <v>74</v>
      </c>
    </row>
    <row r="52719" spans="9:9" x14ac:dyDescent="0.2">
      <c r="I52719" s="137" t="s">
        <v>74</v>
      </c>
    </row>
    <row r="52720" spans="9:9" x14ac:dyDescent="0.2">
      <c r="I52720" s="137" t="s">
        <v>74</v>
      </c>
    </row>
    <row r="52721" spans="9:9" x14ac:dyDescent="0.2">
      <c r="I52721" s="137" t="s">
        <v>74</v>
      </c>
    </row>
    <row r="52722" spans="9:9" x14ac:dyDescent="0.2">
      <c r="I52722" s="137" t="s">
        <v>74</v>
      </c>
    </row>
    <row r="52723" spans="9:9" x14ac:dyDescent="0.2">
      <c r="I52723" s="137" t="s">
        <v>74</v>
      </c>
    </row>
    <row r="52724" spans="9:9" x14ac:dyDescent="0.2">
      <c r="I52724" s="137" t="s">
        <v>74</v>
      </c>
    </row>
    <row r="52725" spans="9:9" x14ac:dyDescent="0.2">
      <c r="I52725" s="137" t="s">
        <v>74</v>
      </c>
    </row>
    <row r="52726" spans="9:9" x14ac:dyDescent="0.2">
      <c r="I52726" s="137" t="s">
        <v>74</v>
      </c>
    </row>
    <row r="52727" spans="9:9" x14ac:dyDescent="0.2">
      <c r="I52727" s="137" t="s">
        <v>74</v>
      </c>
    </row>
    <row r="52728" spans="9:9" x14ac:dyDescent="0.2">
      <c r="I52728" s="137" t="s">
        <v>74</v>
      </c>
    </row>
    <row r="52729" spans="9:9" x14ac:dyDescent="0.2">
      <c r="I52729" s="137" t="s">
        <v>74</v>
      </c>
    </row>
    <row r="52730" spans="9:9" x14ac:dyDescent="0.2">
      <c r="I52730" s="137" t="s">
        <v>74</v>
      </c>
    </row>
    <row r="52731" spans="9:9" x14ac:dyDescent="0.2">
      <c r="I52731" s="137" t="s">
        <v>74</v>
      </c>
    </row>
    <row r="52732" spans="9:9" x14ac:dyDescent="0.2">
      <c r="I52732" s="137" t="s">
        <v>74</v>
      </c>
    </row>
    <row r="52733" spans="9:9" x14ac:dyDescent="0.2">
      <c r="I52733" s="137" t="s">
        <v>74</v>
      </c>
    </row>
    <row r="52734" spans="9:9" x14ac:dyDescent="0.2">
      <c r="I52734" s="137" t="s">
        <v>74</v>
      </c>
    </row>
    <row r="52735" spans="9:9" x14ac:dyDescent="0.2">
      <c r="I52735" s="137" t="s">
        <v>74</v>
      </c>
    </row>
    <row r="52736" spans="9:9" x14ac:dyDescent="0.2">
      <c r="I52736" s="137" t="s">
        <v>74</v>
      </c>
    </row>
    <row r="52737" spans="9:9" x14ac:dyDescent="0.2">
      <c r="I52737" s="137" t="s">
        <v>74</v>
      </c>
    </row>
    <row r="52738" spans="9:9" x14ac:dyDescent="0.2">
      <c r="I52738" s="137" t="s">
        <v>74</v>
      </c>
    </row>
    <row r="52739" spans="9:9" x14ac:dyDescent="0.2">
      <c r="I52739" s="137" t="s">
        <v>74</v>
      </c>
    </row>
    <row r="52740" spans="9:9" x14ac:dyDescent="0.2">
      <c r="I52740" s="137" t="s">
        <v>74</v>
      </c>
    </row>
    <row r="52741" spans="9:9" x14ac:dyDescent="0.2">
      <c r="I52741" s="137" t="s">
        <v>74</v>
      </c>
    </row>
    <row r="52742" spans="9:9" x14ac:dyDescent="0.2">
      <c r="I52742" s="137" t="s">
        <v>74</v>
      </c>
    </row>
    <row r="52743" spans="9:9" x14ac:dyDescent="0.2">
      <c r="I52743" s="137" t="s">
        <v>74</v>
      </c>
    </row>
    <row r="52744" spans="9:9" x14ac:dyDescent="0.2">
      <c r="I52744" s="137" t="s">
        <v>74</v>
      </c>
    </row>
    <row r="52745" spans="9:9" x14ac:dyDescent="0.2">
      <c r="I52745" s="137" t="s">
        <v>74</v>
      </c>
    </row>
    <row r="52746" spans="9:9" x14ac:dyDescent="0.2">
      <c r="I52746" s="137" t="s">
        <v>74</v>
      </c>
    </row>
    <row r="52747" spans="9:9" x14ac:dyDescent="0.2">
      <c r="I52747" s="137" t="s">
        <v>74</v>
      </c>
    </row>
    <row r="52748" spans="9:9" x14ac:dyDescent="0.2">
      <c r="I52748" s="137" t="s">
        <v>74</v>
      </c>
    </row>
    <row r="52749" spans="9:9" x14ac:dyDescent="0.2">
      <c r="I52749" s="137" t="s">
        <v>74</v>
      </c>
    </row>
    <row r="52750" spans="9:9" x14ac:dyDescent="0.2">
      <c r="I52750" s="137" t="s">
        <v>74</v>
      </c>
    </row>
    <row r="52751" spans="9:9" x14ac:dyDescent="0.2">
      <c r="I52751" s="137" t="s">
        <v>74</v>
      </c>
    </row>
    <row r="52752" spans="9:9" x14ac:dyDescent="0.2">
      <c r="I52752" s="137" t="s">
        <v>74</v>
      </c>
    </row>
    <row r="52753" spans="9:9" x14ac:dyDescent="0.2">
      <c r="I52753" s="137" t="s">
        <v>74</v>
      </c>
    </row>
    <row r="52754" spans="9:9" x14ac:dyDescent="0.2">
      <c r="I52754" s="137" t="s">
        <v>74</v>
      </c>
    </row>
    <row r="52755" spans="9:9" x14ac:dyDescent="0.2">
      <c r="I52755" s="137" t="s">
        <v>74</v>
      </c>
    </row>
    <row r="52756" spans="9:9" x14ac:dyDescent="0.2">
      <c r="I52756" s="137" t="s">
        <v>74</v>
      </c>
    </row>
    <row r="52757" spans="9:9" x14ac:dyDescent="0.2">
      <c r="I52757" s="137" t="s">
        <v>74</v>
      </c>
    </row>
    <row r="52758" spans="9:9" x14ac:dyDescent="0.2">
      <c r="I52758" s="137" t="s">
        <v>74</v>
      </c>
    </row>
    <row r="52759" spans="9:9" x14ac:dyDescent="0.2">
      <c r="I52759" s="137" t="s">
        <v>74</v>
      </c>
    </row>
    <row r="52760" spans="9:9" x14ac:dyDescent="0.2">
      <c r="I52760" s="137" t="s">
        <v>74</v>
      </c>
    </row>
    <row r="52761" spans="9:9" x14ac:dyDescent="0.2">
      <c r="I52761" s="137" t="s">
        <v>74</v>
      </c>
    </row>
    <row r="52762" spans="9:9" x14ac:dyDescent="0.2">
      <c r="I52762" s="137" t="s">
        <v>74</v>
      </c>
    </row>
    <row r="52763" spans="9:9" x14ac:dyDescent="0.2">
      <c r="I52763" s="137" t="s">
        <v>74</v>
      </c>
    </row>
    <row r="52764" spans="9:9" x14ac:dyDescent="0.2">
      <c r="I52764" s="137" t="s">
        <v>74</v>
      </c>
    </row>
    <row r="52765" spans="9:9" x14ac:dyDescent="0.2">
      <c r="I52765" s="137" t="s">
        <v>74</v>
      </c>
    </row>
    <row r="52766" spans="9:9" x14ac:dyDescent="0.2">
      <c r="I52766" s="137" t="s">
        <v>74</v>
      </c>
    </row>
    <row r="52767" spans="9:9" x14ac:dyDescent="0.2">
      <c r="I52767" s="137" t="s">
        <v>74</v>
      </c>
    </row>
    <row r="52768" spans="9:9" x14ac:dyDescent="0.2">
      <c r="I52768" s="137" t="s">
        <v>74</v>
      </c>
    </row>
    <row r="52769" spans="9:9" x14ac:dyDescent="0.2">
      <c r="I52769" s="137" t="s">
        <v>74</v>
      </c>
    </row>
    <row r="52770" spans="9:9" x14ac:dyDescent="0.2">
      <c r="I52770" s="137" t="s">
        <v>74</v>
      </c>
    </row>
    <row r="52771" spans="9:9" x14ac:dyDescent="0.2">
      <c r="I52771" s="137" t="s">
        <v>74</v>
      </c>
    </row>
    <row r="52772" spans="9:9" x14ac:dyDescent="0.2">
      <c r="I52772" s="137" t="s">
        <v>74</v>
      </c>
    </row>
    <row r="52773" spans="9:9" x14ac:dyDescent="0.2">
      <c r="I52773" s="137" t="s">
        <v>74</v>
      </c>
    </row>
    <row r="52774" spans="9:9" x14ac:dyDescent="0.2">
      <c r="I52774" s="137" t="s">
        <v>74</v>
      </c>
    </row>
    <row r="52775" spans="9:9" x14ac:dyDescent="0.2">
      <c r="I52775" s="137" t="s">
        <v>74</v>
      </c>
    </row>
    <row r="52776" spans="9:9" x14ac:dyDescent="0.2">
      <c r="I52776" s="137" t="s">
        <v>74</v>
      </c>
    </row>
    <row r="52777" spans="9:9" x14ac:dyDescent="0.2">
      <c r="I52777" s="137" t="s">
        <v>74</v>
      </c>
    </row>
    <row r="52778" spans="9:9" x14ac:dyDescent="0.2">
      <c r="I52778" s="137" t="s">
        <v>74</v>
      </c>
    </row>
    <row r="52779" spans="9:9" x14ac:dyDescent="0.2">
      <c r="I52779" s="137" t="s">
        <v>74</v>
      </c>
    </row>
    <row r="52780" spans="9:9" x14ac:dyDescent="0.2">
      <c r="I52780" s="137" t="s">
        <v>74</v>
      </c>
    </row>
    <row r="52781" spans="9:9" x14ac:dyDescent="0.2">
      <c r="I52781" s="137" t="s">
        <v>74</v>
      </c>
    </row>
    <row r="52782" spans="9:9" x14ac:dyDescent="0.2">
      <c r="I52782" s="137" t="s">
        <v>74</v>
      </c>
    </row>
    <row r="52783" spans="9:9" x14ac:dyDescent="0.2">
      <c r="I52783" s="137" t="s">
        <v>74</v>
      </c>
    </row>
    <row r="52784" spans="9:9" x14ac:dyDescent="0.2">
      <c r="I52784" s="137" t="s">
        <v>74</v>
      </c>
    </row>
    <row r="52785" spans="9:9" x14ac:dyDescent="0.2">
      <c r="I52785" s="137" t="s">
        <v>74</v>
      </c>
    </row>
    <row r="52786" spans="9:9" x14ac:dyDescent="0.2">
      <c r="I52786" s="137" t="s">
        <v>74</v>
      </c>
    </row>
    <row r="52787" spans="9:9" x14ac:dyDescent="0.2">
      <c r="I52787" s="137" t="s">
        <v>74</v>
      </c>
    </row>
    <row r="52788" spans="9:9" x14ac:dyDescent="0.2">
      <c r="I52788" s="137" t="s">
        <v>74</v>
      </c>
    </row>
    <row r="52789" spans="9:9" x14ac:dyDescent="0.2">
      <c r="I52789" s="137" t="s">
        <v>74</v>
      </c>
    </row>
    <row r="52790" spans="9:9" x14ac:dyDescent="0.2">
      <c r="I52790" s="137" t="s">
        <v>74</v>
      </c>
    </row>
    <row r="52791" spans="9:9" x14ac:dyDescent="0.2">
      <c r="I52791" s="137" t="s">
        <v>74</v>
      </c>
    </row>
    <row r="52792" spans="9:9" x14ac:dyDescent="0.2">
      <c r="I52792" s="137" t="s">
        <v>74</v>
      </c>
    </row>
    <row r="52793" spans="9:9" x14ac:dyDescent="0.2">
      <c r="I52793" s="137" t="s">
        <v>74</v>
      </c>
    </row>
    <row r="52794" spans="9:9" x14ac:dyDescent="0.2">
      <c r="I52794" s="137" t="s">
        <v>74</v>
      </c>
    </row>
    <row r="52795" spans="9:9" x14ac:dyDescent="0.2">
      <c r="I52795" s="137" t="s">
        <v>74</v>
      </c>
    </row>
    <row r="52796" spans="9:9" x14ac:dyDescent="0.2">
      <c r="I52796" s="137" t="s">
        <v>74</v>
      </c>
    </row>
    <row r="52797" spans="9:9" x14ac:dyDescent="0.2">
      <c r="I52797" s="137" t="s">
        <v>74</v>
      </c>
    </row>
    <row r="52798" spans="9:9" x14ac:dyDescent="0.2">
      <c r="I52798" s="137" t="s">
        <v>74</v>
      </c>
    </row>
    <row r="52799" spans="9:9" x14ac:dyDescent="0.2">
      <c r="I52799" s="137" t="s">
        <v>74</v>
      </c>
    </row>
    <row r="52800" spans="9:9" x14ac:dyDescent="0.2">
      <c r="I52800" s="137" t="s">
        <v>74</v>
      </c>
    </row>
    <row r="52801" spans="9:9" x14ac:dyDescent="0.2">
      <c r="I52801" s="137" t="s">
        <v>74</v>
      </c>
    </row>
    <row r="52802" spans="9:9" x14ac:dyDescent="0.2">
      <c r="I52802" s="137" t="s">
        <v>74</v>
      </c>
    </row>
    <row r="52803" spans="9:9" x14ac:dyDescent="0.2">
      <c r="I52803" s="137" t="s">
        <v>74</v>
      </c>
    </row>
    <row r="52804" spans="9:9" x14ac:dyDescent="0.2">
      <c r="I52804" s="137" t="s">
        <v>74</v>
      </c>
    </row>
    <row r="52805" spans="9:9" x14ac:dyDescent="0.2">
      <c r="I52805" s="137" t="s">
        <v>74</v>
      </c>
    </row>
    <row r="52806" spans="9:9" x14ac:dyDescent="0.2">
      <c r="I52806" s="137" t="s">
        <v>74</v>
      </c>
    </row>
    <row r="52807" spans="9:9" x14ac:dyDescent="0.2">
      <c r="I52807" s="137" t="s">
        <v>74</v>
      </c>
    </row>
    <row r="52808" spans="9:9" x14ac:dyDescent="0.2">
      <c r="I52808" s="137" t="s">
        <v>74</v>
      </c>
    </row>
    <row r="52809" spans="9:9" x14ac:dyDescent="0.2">
      <c r="I52809" s="137" t="s">
        <v>74</v>
      </c>
    </row>
    <row r="52810" spans="9:9" x14ac:dyDescent="0.2">
      <c r="I52810" s="137" t="s">
        <v>74</v>
      </c>
    </row>
    <row r="52811" spans="9:9" x14ac:dyDescent="0.2">
      <c r="I52811" s="137" t="s">
        <v>74</v>
      </c>
    </row>
    <row r="52812" spans="9:9" x14ac:dyDescent="0.2">
      <c r="I52812" s="137" t="s">
        <v>74</v>
      </c>
    </row>
    <row r="52813" spans="9:9" x14ac:dyDescent="0.2">
      <c r="I52813" s="137" t="s">
        <v>74</v>
      </c>
    </row>
    <row r="52814" spans="9:9" x14ac:dyDescent="0.2">
      <c r="I52814" s="137" t="s">
        <v>74</v>
      </c>
    </row>
    <row r="52815" spans="9:9" x14ac:dyDescent="0.2">
      <c r="I52815" s="137" t="s">
        <v>74</v>
      </c>
    </row>
    <row r="52816" spans="9:9" x14ac:dyDescent="0.2">
      <c r="I52816" s="137" t="s">
        <v>74</v>
      </c>
    </row>
    <row r="52817" spans="9:9" x14ac:dyDescent="0.2">
      <c r="I52817" s="137" t="s">
        <v>74</v>
      </c>
    </row>
    <row r="52818" spans="9:9" x14ac:dyDescent="0.2">
      <c r="I52818" s="137" t="s">
        <v>74</v>
      </c>
    </row>
    <row r="52819" spans="9:9" x14ac:dyDescent="0.2">
      <c r="I52819" s="137" t="s">
        <v>74</v>
      </c>
    </row>
    <row r="52820" spans="9:9" x14ac:dyDescent="0.2">
      <c r="I52820" s="137" t="s">
        <v>74</v>
      </c>
    </row>
    <row r="52821" spans="9:9" x14ac:dyDescent="0.2">
      <c r="I52821" s="137" t="s">
        <v>74</v>
      </c>
    </row>
    <row r="52822" spans="9:9" x14ac:dyDescent="0.2">
      <c r="I52822" s="137" t="s">
        <v>74</v>
      </c>
    </row>
    <row r="52823" spans="9:9" x14ac:dyDescent="0.2">
      <c r="I52823" s="137" t="s">
        <v>74</v>
      </c>
    </row>
    <row r="52824" spans="9:9" x14ac:dyDescent="0.2">
      <c r="I52824" s="137" t="s">
        <v>74</v>
      </c>
    </row>
    <row r="52825" spans="9:9" x14ac:dyDescent="0.2">
      <c r="I52825" s="137" t="s">
        <v>74</v>
      </c>
    </row>
    <row r="52826" spans="9:9" x14ac:dyDescent="0.2">
      <c r="I52826" s="137" t="s">
        <v>74</v>
      </c>
    </row>
    <row r="52827" spans="9:9" x14ac:dyDescent="0.2">
      <c r="I52827" s="137" t="s">
        <v>74</v>
      </c>
    </row>
    <row r="52828" spans="9:9" x14ac:dyDescent="0.2">
      <c r="I52828" s="137" t="s">
        <v>74</v>
      </c>
    </row>
    <row r="52829" spans="9:9" x14ac:dyDescent="0.2">
      <c r="I52829" s="137" t="s">
        <v>74</v>
      </c>
    </row>
    <row r="52830" spans="9:9" x14ac:dyDescent="0.2">
      <c r="I52830" s="137" t="s">
        <v>74</v>
      </c>
    </row>
    <row r="52831" spans="9:9" x14ac:dyDescent="0.2">
      <c r="I52831" s="137" t="s">
        <v>74</v>
      </c>
    </row>
    <row r="52832" spans="9:9" x14ac:dyDescent="0.2">
      <c r="I52832" s="137" t="s">
        <v>74</v>
      </c>
    </row>
    <row r="52833" spans="9:9" x14ac:dyDescent="0.2">
      <c r="I52833" s="137" t="s">
        <v>74</v>
      </c>
    </row>
    <row r="52834" spans="9:9" x14ac:dyDescent="0.2">
      <c r="I52834" s="137" t="s">
        <v>74</v>
      </c>
    </row>
    <row r="52835" spans="9:9" x14ac:dyDescent="0.2">
      <c r="I52835" s="137" t="s">
        <v>74</v>
      </c>
    </row>
    <row r="52836" spans="9:9" x14ac:dyDescent="0.2">
      <c r="I52836" s="137" t="s">
        <v>74</v>
      </c>
    </row>
    <row r="52837" spans="9:9" x14ac:dyDescent="0.2">
      <c r="I52837" s="137" t="s">
        <v>74</v>
      </c>
    </row>
    <row r="52838" spans="9:9" x14ac:dyDescent="0.2">
      <c r="I52838" s="137" t="s">
        <v>74</v>
      </c>
    </row>
    <row r="52839" spans="9:9" x14ac:dyDescent="0.2">
      <c r="I52839" s="137" t="s">
        <v>74</v>
      </c>
    </row>
    <row r="52840" spans="9:9" x14ac:dyDescent="0.2">
      <c r="I52840" s="137" t="s">
        <v>74</v>
      </c>
    </row>
    <row r="52841" spans="9:9" x14ac:dyDescent="0.2">
      <c r="I52841" s="137" t="s">
        <v>74</v>
      </c>
    </row>
    <row r="52842" spans="9:9" x14ac:dyDescent="0.2">
      <c r="I52842" s="137" t="s">
        <v>74</v>
      </c>
    </row>
    <row r="52843" spans="9:9" x14ac:dyDescent="0.2">
      <c r="I52843" s="137" t="s">
        <v>74</v>
      </c>
    </row>
    <row r="52844" spans="9:9" x14ac:dyDescent="0.2">
      <c r="I52844" s="137" t="s">
        <v>74</v>
      </c>
    </row>
    <row r="52845" spans="9:9" x14ac:dyDescent="0.2">
      <c r="I52845" s="137" t="s">
        <v>74</v>
      </c>
    </row>
    <row r="52846" spans="9:9" x14ac:dyDescent="0.2">
      <c r="I52846" s="137" t="s">
        <v>74</v>
      </c>
    </row>
    <row r="52847" spans="9:9" x14ac:dyDescent="0.2">
      <c r="I52847" s="137" t="s">
        <v>74</v>
      </c>
    </row>
    <row r="52848" spans="9:9" x14ac:dyDescent="0.2">
      <c r="I52848" s="137" t="s">
        <v>74</v>
      </c>
    </row>
    <row r="52849" spans="9:9" x14ac:dyDescent="0.2">
      <c r="I52849" s="137" t="s">
        <v>74</v>
      </c>
    </row>
    <row r="52850" spans="9:9" x14ac:dyDescent="0.2">
      <c r="I52850" s="137" t="s">
        <v>74</v>
      </c>
    </row>
    <row r="52851" spans="9:9" x14ac:dyDescent="0.2">
      <c r="I52851" s="137" t="s">
        <v>74</v>
      </c>
    </row>
    <row r="52852" spans="9:9" x14ac:dyDescent="0.2">
      <c r="I52852" s="137" t="s">
        <v>74</v>
      </c>
    </row>
    <row r="52853" spans="9:9" x14ac:dyDescent="0.2">
      <c r="I52853" s="137" t="s">
        <v>74</v>
      </c>
    </row>
    <row r="52854" spans="9:9" x14ac:dyDescent="0.2">
      <c r="I52854" s="137" t="s">
        <v>74</v>
      </c>
    </row>
    <row r="52855" spans="9:9" x14ac:dyDescent="0.2">
      <c r="I52855" s="137" t="s">
        <v>74</v>
      </c>
    </row>
    <row r="52856" spans="9:9" x14ac:dyDescent="0.2">
      <c r="I52856" s="137" t="s">
        <v>74</v>
      </c>
    </row>
    <row r="52857" spans="9:9" x14ac:dyDescent="0.2">
      <c r="I52857" s="137" t="s">
        <v>74</v>
      </c>
    </row>
    <row r="52858" spans="9:9" x14ac:dyDescent="0.2">
      <c r="I52858" s="137" t="s">
        <v>74</v>
      </c>
    </row>
    <row r="52859" spans="9:9" x14ac:dyDescent="0.2">
      <c r="I52859" s="137" t="s">
        <v>74</v>
      </c>
    </row>
    <row r="52860" spans="9:9" x14ac:dyDescent="0.2">
      <c r="I52860" s="137" t="s">
        <v>74</v>
      </c>
    </row>
    <row r="52861" spans="9:9" x14ac:dyDescent="0.2">
      <c r="I52861" s="137" t="s">
        <v>74</v>
      </c>
    </row>
    <row r="52862" spans="9:9" x14ac:dyDescent="0.2">
      <c r="I52862" s="137" t="s">
        <v>74</v>
      </c>
    </row>
    <row r="52863" spans="9:9" x14ac:dyDescent="0.2">
      <c r="I52863" s="137" t="s">
        <v>74</v>
      </c>
    </row>
    <row r="52864" spans="9:9" x14ac:dyDescent="0.2">
      <c r="I52864" s="137" t="s">
        <v>74</v>
      </c>
    </row>
    <row r="52865" spans="9:9" x14ac:dyDescent="0.2">
      <c r="I52865" s="137" t="s">
        <v>74</v>
      </c>
    </row>
    <row r="52866" spans="9:9" x14ac:dyDescent="0.2">
      <c r="I52866" s="137" t="s">
        <v>74</v>
      </c>
    </row>
    <row r="52867" spans="9:9" x14ac:dyDescent="0.2">
      <c r="I52867" s="137" t="s">
        <v>74</v>
      </c>
    </row>
    <row r="52868" spans="9:9" x14ac:dyDescent="0.2">
      <c r="I52868" s="137" t="s">
        <v>74</v>
      </c>
    </row>
    <row r="52869" spans="9:9" x14ac:dyDescent="0.2">
      <c r="I52869" s="137" t="s">
        <v>74</v>
      </c>
    </row>
    <row r="52870" spans="9:9" x14ac:dyDescent="0.2">
      <c r="I52870" s="137" t="s">
        <v>74</v>
      </c>
    </row>
    <row r="52871" spans="9:9" x14ac:dyDescent="0.2">
      <c r="I52871" s="137" t="s">
        <v>74</v>
      </c>
    </row>
    <row r="52872" spans="9:9" x14ac:dyDescent="0.2">
      <c r="I52872" s="137" t="s">
        <v>74</v>
      </c>
    </row>
    <row r="52873" spans="9:9" x14ac:dyDescent="0.2">
      <c r="I52873" s="137" t="s">
        <v>74</v>
      </c>
    </row>
    <row r="52874" spans="9:9" x14ac:dyDescent="0.2">
      <c r="I52874" s="137" t="s">
        <v>74</v>
      </c>
    </row>
    <row r="52875" spans="9:9" x14ac:dyDescent="0.2">
      <c r="I52875" s="137" t="s">
        <v>74</v>
      </c>
    </row>
    <row r="52876" spans="9:9" x14ac:dyDescent="0.2">
      <c r="I52876" s="137" t="s">
        <v>74</v>
      </c>
    </row>
    <row r="52877" spans="9:9" x14ac:dyDescent="0.2">
      <c r="I52877" s="137" t="s">
        <v>74</v>
      </c>
    </row>
    <row r="52878" spans="9:9" x14ac:dyDescent="0.2">
      <c r="I52878" s="137" t="s">
        <v>74</v>
      </c>
    </row>
    <row r="52879" spans="9:9" x14ac:dyDescent="0.2">
      <c r="I52879" s="137" t="s">
        <v>74</v>
      </c>
    </row>
    <row r="52880" spans="9:9" x14ac:dyDescent="0.2">
      <c r="I52880" s="137" t="s">
        <v>74</v>
      </c>
    </row>
    <row r="52881" spans="9:9" x14ac:dyDescent="0.2">
      <c r="I52881" s="137" t="s">
        <v>74</v>
      </c>
    </row>
    <row r="52882" spans="9:9" x14ac:dyDescent="0.2">
      <c r="I52882" s="137" t="s">
        <v>74</v>
      </c>
    </row>
    <row r="52883" spans="9:9" x14ac:dyDescent="0.2">
      <c r="I52883" s="137" t="s">
        <v>74</v>
      </c>
    </row>
    <row r="52884" spans="9:9" x14ac:dyDescent="0.2">
      <c r="I52884" s="137" t="s">
        <v>74</v>
      </c>
    </row>
    <row r="52885" spans="9:9" x14ac:dyDescent="0.2">
      <c r="I52885" s="137" t="s">
        <v>74</v>
      </c>
    </row>
    <row r="52886" spans="9:9" x14ac:dyDescent="0.2">
      <c r="I52886" s="137" t="s">
        <v>74</v>
      </c>
    </row>
    <row r="52887" spans="9:9" x14ac:dyDescent="0.2">
      <c r="I52887" s="137" t="s">
        <v>74</v>
      </c>
    </row>
    <row r="52888" spans="9:9" x14ac:dyDescent="0.2">
      <c r="I52888" s="137" t="s">
        <v>74</v>
      </c>
    </row>
    <row r="52889" spans="9:9" x14ac:dyDescent="0.2">
      <c r="I52889" s="137" t="s">
        <v>74</v>
      </c>
    </row>
    <row r="52890" spans="9:9" x14ac:dyDescent="0.2">
      <c r="I52890" s="137" t="s">
        <v>74</v>
      </c>
    </row>
    <row r="52891" spans="9:9" x14ac:dyDescent="0.2">
      <c r="I52891" s="137" t="s">
        <v>74</v>
      </c>
    </row>
    <row r="52892" spans="9:9" x14ac:dyDescent="0.2">
      <c r="I52892" s="137" t="s">
        <v>74</v>
      </c>
    </row>
    <row r="52893" spans="9:9" x14ac:dyDescent="0.2">
      <c r="I52893" s="137" t="s">
        <v>74</v>
      </c>
    </row>
    <row r="52894" spans="9:9" x14ac:dyDescent="0.2">
      <c r="I52894" s="137" t="s">
        <v>74</v>
      </c>
    </row>
    <row r="52895" spans="9:9" x14ac:dyDescent="0.2">
      <c r="I52895" s="137" t="s">
        <v>74</v>
      </c>
    </row>
    <row r="52896" spans="9:9" x14ac:dyDescent="0.2">
      <c r="I52896" s="137" t="s">
        <v>74</v>
      </c>
    </row>
    <row r="52897" spans="9:9" x14ac:dyDescent="0.2">
      <c r="I52897" s="137" t="s">
        <v>74</v>
      </c>
    </row>
    <row r="52898" spans="9:9" x14ac:dyDescent="0.2">
      <c r="I52898" s="137" t="s">
        <v>74</v>
      </c>
    </row>
    <row r="52899" spans="9:9" x14ac:dyDescent="0.2">
      <c r="I52899" s="137" t="s">
        <v>74</v>
      </c>
    </row>
    <row r="52900" spans="9:9" x14ac:dyDescent="0.2">
      <c r="I52900" s="137" t="s">
        <v>74</v>
      </c>
    </row>
    <row r="52901" spans="9:9" x14ac:dyDescent="0.2">
      <c r="I52901" s="137" t="s">
        <v>74</v>
      </c>
    </row>
    <row r="52902" spans="9:9" x14ac:dyDescent="0.2">
      <c r="I52902" s="137" t="s">
        <v>74</v>
      </c>
    </row>
    <row r="52903" spans="9:9" x14ac:dyDescent="0.2">
      <c r="I52903" s="137" t="s">
        <v>74</v>
      </c>
    </row>
    <row r="52904" spans="9:9" x14ac:dyDescent="0.2">
      <c r="I52904" s="137" t="s">
        <v>74</v>
      </c>
    </row>
    <row r="52905" spans="9:9" x14ac:dyDescent="0.2">
      <c r="I52905" s="137" t="s">
        <v>74</v>
      </c>
    </row>
    <row r="52906" spans="9:9" x14ac:dyDescent="0.2">
      <c r="I52906" s="137" t="s">
        <v>74</v>
      </c>
    </row>
    <row r="52907" spans="9:9" x14ac:dyDescent="0.2">
      <c r="I52907" s="137" t="s">
        <v>74</v>
      </c>
    </row>
    <row r="52908" spans="9:9" x14ac:dyDescent="0.2">
      <c r="I52908" s="137" t="s">
        <v>74</v>
      </c>
    </row>
    <row r="52909" spans="9:9" x14ac:dyDescent="0.2">
      <c r="I52909" s="137" t="s">
        <v>74</v>
      </c>
    </row>
    <row r="52910" spans="9:9" x14ac:dyDescent="0.2">
      <c r="I52910" s="137" t="s">
        <v>74</v>
      </c>
    </row>
    <row r="52911" spans="9:9" x14ac:dyDescent="0.2">
      <c r="I52911" s="137" t="s">
        <v>74</v>
      </c>
    </row>
    <row r="52912" spans="9:9" x14ac:dyDescent="0.2">
      <c r="I52912" s="137" t="s">
        <v>74</v>
      </c>
    </row>
    <row r="52913" spans="9:9" x14ac:dyDescent="0.2">
      <c r="I52913" s="137" t="s">
        <v>74</v>
      </c>
    </row>
    <row r="52914" spans="9:9" x14ac:dyDescent="0.2">
      <c r="I52914" s="137" t="s">
        <v>74</v>
      </c>
    </row>
    <row r="52915" spans="9:9" x14ac:dyDescent="0.2">
      <c r="I52915" s="137" t="s">
        <v>74</v>
      </c>
    </row>
    <row r="52916" spans="9:9" x14ac:dyDescent="0.2">
      <c r="I52916" s="137" t="s">
        <v>74</v>
      </c>
    </row>
    <row r="52917" spans="9:9" x14ac:dyDescent="0.2">
      <c r="I52917" s="137" t="s">
        <v>74</v>
      </c>
    </row>
    <row r="52918" spans="9:9" x14ac:dyDescent="0.2">
      <c r="I52918" s="137" t="s">
        <v>74</v>
      </c>
    </row>
    <row r="52919" spans="9:9" x14ac:dyDescent="0.2">
      <c r="I52919" s="137" t="s">
        <v>74</v>
      </c>
    </row>
    <row r="52920" spans="9:9" x14ac:dyDescent="0.2">
      <c r="I52920" s="137" t="s">
        <v>74</v>
      </c>
    </row>
    <row r="52921" spans="9:9" x14ac:dyDescent="0.2">
      <c r="I52921" s="137" t="s">
        <v>74</v>
      </c>
    </row>
    <row r="52922" spans="9:9" x14ac:dyDescent="0.2">
      <c r="I52922" s="137" t="s">
        <v>74</v>
      </c>
    </row>
    <row r="52923" spans="9:9" x14ac:dyDescent="0.2">
      <c r="I52923" s="137" t="s">
        <v>74</v>
      </c>
    </row>
    <row r="52924" spans="9:9" x14ac:dyDescent="0.2">
      <c r="I52924" s="137" t="s">
        <v>74</v>
      </c>
    </row>
    <row r="52925" spans="9:9" x14ac:dyDescent="0.2">
      <c r="I52925" s="137" t="s">
        <v>74</v>
      </c>
    </row>
    <row r="52926" spans="9:9" x14ac:dyDescent="0.2">
      <c r="I52926" s="137" t="s">
        <v>74</v>
      </c>
    </row>
    <row r="52927" spans="9:9" x14ac:dyDescent="0.2">
      <c r="I52927" s="137" t="s">
        <v>74</v>
      </c>
    </row>
    <row r="52928" spans="9:9" x14ac:dyDescent="0.2">
      <c r="I52928" s="137" t="s">
        <v>74</v>
      </c>
    </row>
    <row r="52929" spans="9:9" x14ac:dyDescent="0.2">
      <c r="I52929" s="137" t="s">
        <v>74</v>
      </c>
    </row>
    <row r="52930" spans="9:9" x14ac:dyDescent="0.2">
      <c r="I52930" s="137" t="s">
        <v>74</v>
      </c>
    </row>
    <row r="52931" spans="9:9" x14ac:dyDescent="0.2">
      <c r="I52931" s="137" t="s">
        <v>74</v>
      </c>
    </row>
    <row r="52932" spans="9:9" x14ac:dyDescent="0.2">
      <c r="I52932" s="137" t="s">
        <v>74</v>
      </c>
    </row>
    <row r="52933" spans="9:9" x14ac:dyDescent="0.2">
      <c r="I52933" s="137" t="s">
        <v>74</v>
      </c>
    </row>
    <row r="52934" spans="9:9" x14ac:dyDescent="0.2">
      <c r="I52934" s="137" t="s">
        <v>74</v>
      </c>
    </row>
    <row r="52935" spans="9:9" x14ac:dyDescent="0.2">
      <c r="I52935" s="137" t="s">
        <v>74</v>
      </c>
    </row>
    <row r="52936" spans="9:9" x14ac:dyDescent="0.2">
      <c r="I52936" s="137" t="s">
        <v>74</v>
      </c>
    </row>
    <row r="52937" spans="9:9" x14ac:dyDescent="0.2">
      <c r="I52937" s="137" t="s">
        <v>74</v>
      </c>
    </row>
    <row r="52938" spans="9:9" x14ac:dyDescent="0.2">
      <c r="I52938" s="137" t="s">
        <v>74</v>
      </c>
    </row>
    <row r="52939" spans="9:9" x14ac:dyDescent="0.2">
      <c r="I52939" s="137" t="s">
        <v>74</v>
      </c>
    </row>
    <row r="52940" spans="9:9" x14ac:dyDescent="0.2">
      <c r="I52940" s="137" t="s">
        <v>74</v>
      </c>
    </row>
    <row r="52941" spans="9:9" x14ac:dyDescent="0.2">
      <c r="I52941" s="137" t="s">
        <v>74</v>
      </c>
    </row>
    <row r="52942" spans="9:9" x14ac:dyDescent="0.2">
      <c r="I52942" s="137" t="s">
        <v>74</v>
      </c>
    </row>
    <row r="52943" spans="9:9" x14ac:dyDescent="0.2">
      <c r="I52943" s="137" t="s">
        <v>74</v>
      </c>
    </row>
    <row r="52944" spans="9:9" x14ac:dyDescent="0.2">
      <c r="I52944" s="137" t="s">
        <v>74</v>
      </c>
    </row>
    <row r="52945" spans="9:9" x14ac:dyDescent="0.2">
      <c r="I52945" s="137" t="s">
        <v>74</v>
      </c>
    </row>
    <row r="52946" spans="9:9" x14ac:dyDescent="0.2">
      <c r="I52946" s="137" t="s">
        <v>74</v>
      </c>
    </row>
    <row r="52947" spans="9:9" x14ac:dyDescent="0.2">
      <c r="I52947" s="137" t="s">
        <v>74</v>
      </c>
    </row>
    <row r="52948" spans="9:9" x14ac:dyDescent="0.2">
      <c r="I52948" s="137" t="s">
        <v>74</v>
      </c>
    </row>
    <row r="52949" spans="9:9" x14ac:dyDescent="0.2">
      <c r="I52949" s="137" t="s">
        <v>74</v>
      </c>
    </row>
    <row r="52950" spans="9:9" x14ac:dyDescent="0.2">
      <c r="I52950" s="137" t="s">
        <v>74</v>
      </c>
    </row>
    <row r="52951" spans="9:9" x14ac:dyDescent="0.2">
      <c r="I52951" s="137" t="s">
        <v>74</v>
      </c>
    </row>
    <row r="52952" spans="9:9" x14ac:dyDescent="0.2">
      <c r="I52952" s="137" t="s">
        <v>74</v>
      </c>
    </row>
    <row r="52953" spans="9:9" x14ac:dyDescent="0.2">
      <c r="I52953" s="137" t="s">
        <v>74</v>
      </c>
    </row>
    <row r="52954" spans="9:9" x14ac:dyDescent="0.2">
      <c r="I52954" s="137" t="s">
        <v>74</v>
      </c>
    </row>
    <row r="52955" spans="9:9" x14ac:dyDescent="0.2">
      <c r="I52955" s="137" t="s">
        <v>74</v>
      </c>
    </row>
    <row r="52956" spans="9:9" x14ac:dyDescent="0.2">
      <c r="I52956" s="137" t="s">
        <v>74</v>
      </c>
    </row>
    <row r="52957" spans="9:9" x14ac:dyDescent="0.2">
      <c r="I52957" s="137" t="s">
        <v>74</v>
      </c>
    </row>
    <row r="52958" spans="9:9" x14ac:dyDescent="0.2">
      <c r="I52958" s="137" t="s">
        <v>74</v>
      </c>
    </row>
    <row r="52959" spans="9:9" x14ac:dyDescent="0.2">
      <c r="I52959" s="137" t="s">
        <v>74</v>
      </c>
    </row>
    <row r="52960" spans="9:9" x14ac:dyDescent="0.2">
      <c r="I52960" s="137" t="s">
        <v>74</v>
      </c>
    </row>
    <row r="52961" spans="9:9" x14ac:dyDescent="0.2">
      <c r="I52961" s="137" t="s">
        <v>74</v>
      </c>
    </row>
    <row r="52962" spans="9:9" x14ac:dyDescent="0.2">
      <c r="I52962" s="137" t="s">
        <v>74</v>
      </c>
    </row>
    <row r="52963" spans="9:9" x14ac:dyDescent="0.2">
      <c r="I52963" s="137" t="s">
        <v>74</v>
      </c>
    </row>
    <row r="52964" spans="9:9" x14ac:dyDescent="0.2">
      <c r="I52964" s="137" t="s">
        <v>74</v>
      </c>
    </row>
    <row r="52965" spans="9:9" x14ac:dyDescent="0.2">
      <c r="I52965" s="137" t="s">
        <v>74</v>
      </c>
    </row>
    <row r="52966" spans="9:9" x14ac:dyDescent="0.2">
      <c r="I52966" s="137" t="s">
        <v>74</v>
      </c>
    </row>
    <row r="52967" spans="9:9" x14ac:dyDescent="0.2">
      <c r="I52967" s="137" t="s">
        <v>74</v>
      </c>
    </row>
    <row r="52968" spans="9:9" x14ac:dyDescent="0.2">
      <c r="I52968" s="137" t="s">
        <v>74</v>
      </c>
    </row>
    <row r="52969" spans="9:9" x14ac:dyDescent="0.2">
      <c r="I52969" s="137" t="s">
        <v>74</v>
      </c>
    </row>
    <row r="52970" spans="9:9" x14ac:dyDescent="0.2">
      <c r="I52970" s="137" t="s">
        <v>74</v>
      </c>
    </row>
    <row r="52971" spans="9:9" x14ac:dyDescent="0.2">
      <c r="I52971" s="137" t="s">
        <v>74</v>
      </c>
    </row>
    <row r="52972" spans="9:9" x14ac:dyDescent="0.2">
      <c r="I52972" s="137" t="s">
        <v>74</v>
      </c>
    </row>
    <row r="52973" spans="9:9" x14ac:dyDescent="0.2">
      <c r="I52973" s="137" t="s">
        <v>74</v>
      </c>
    </row>
    <row r="52974" spans="9:9" x14ac:dyDescent="0.2">
      <c r="I52974" s="137" t="s">
        <v>74</v>
      </c>
    </row>
    <row r="52975" spans="9:9" x14ac:dyDescent="0.2">
      <c r="I52975" s="137" t="s">
        <v>74</v>
      </c>
    </row>
    <row r="52976" spans="9:9" x14ac:dyDescent="0.2">
      <c r="I52976" s="137" t="s">
        <v>74</v>
      </c>
    </row>
    <row r="52977" spans="9:9" x14ac:dyDescent="0.2">
      <c r="I52977" s="137" t="s">
        <v>74</v>
      </c>
    </row>
    <row r="52978" spans="9:9" x14ac:dyDescent="0.2">
      <c r="I52978" s="137" t="s">
        <v>74</v>
      </c>
    </row>
    <row r="52979" spans="9:9" x14ac:dyDescent="0.2">
      <c r="I52979" s="137" t="s">
        <v>74</v>
      </c>
    </row>
    <row r="52980" spans="9:9" x14ac:dyDescent="0.2">
      <c r="I52980" s="137" t="s">
        <v>74</v>
      </c>
    </row>
    <row r="52981" spans="9:9" x14ac:dyDescent="0.2">
      <c r="I52981" s="137" t="s">
        <v>74</v>
      </c>
    </row>
    <row r="52982" spans="9:9" x14ac:dyDescent="0.2">
      <c r="I52982" s="137" t="s">
        <v>74</v>
      </c>
    </row>
    <row r="52983" spans="9:9" x14ac:dyDescent="0.2">
      <c r="I52983" s="137" t="s">
        <v>74</v>
      </c>
    </row>
    <row r="52984" spans="9:9" x14ac:dyDescent="0.2">
      <c r="I52984" s="137" t="s">
        <v>74</v>
      </c>
    </row>
    <row r="52985" spans="9:9" x14ac:dyDescent="0.2">
      <c r="I52985" s="137" t="s">
        <v>74</v>
      </c>
    </row>
    <row r="52986" spans="9:9" x14ac:dyDescent="0.2">
      <c r="I52986" s="137" t="s">
        <v>74</v>
      </c>
    </row>
    <row r="52987" spans="9:9" x14ac:dyDescent="0.2">
      <c r="I52987" s="137" t="s">
        <v>74</v>
      </c>
    </row>
    <row r="52988" spans="9:9" x14ac:dyDescent="0.2">
      <c r="I52988" s="137" t="s">
        <v>74</v>
      </c>
    </row>
    <row r="52989" spans="9:9" x14ac:dyDescent="0.2">
      <c r="I52989" s="137" t="s">
        <v>74</v>
      </c>
    </row>
    <row r="52990" spans="9:9" x14ac:dyDescent="0.2">
      <c r="I52990" s="137" t="s">
        <v>74</v>
      </c>
    </row>
    <row r="52991" spans="9:9" x14ac:dyDescent="0.2">
      <c r="I52991" s="137" t="s">
        <v>74</v>
      </c>
    </row>
    <row r="52992" spans="9:9" x14ac:dyDescent="0.2">
      <c r="I52992" s="137" t="s">
        <v>74</v>
      </c>
    </row>
    <row r="52993" spans="9:9" x14ac:dyDescent="0.2">
      <c r="I52993" s="137" t="s">
        <v>74</v>
      </c>
    </row>
    <row r="52994" spans="9:9" x14ac:dyDescent="0.2">
      <c r="I52994" s="137" t="s">
        <v>74</v>
      </c>
    </row>
    <row r="52995" spans="9:9" x14ac:dyDescent="0.2">
      <c r="I52995" s="137" t="s">
        <v>74</v>
      </c>
    </row>
    <row r="52996" spans="9:9" x14ac:dyDescent="0.2">
      <c r="I52996" s="137" t="s">
        <v>74</v>
      </c>
    </row>
    <row r="52997" spans="9:9" x14ac:dyDescent="0.2">
      <c r="I52997" s="137" t="s">
        <v>74</v>
      </c>
    </row>
    <row r="52998" spans="9:9" x14ac:dyDescent="0.2">
      <c r="I52998" s="137" t="s">
        <v>74</v>
      </c>
    </row>
    <row r="52999" spans="9:9" x14ac:dyDescent="0.2">
      <c r="I52999" s="137" t="s">
        <v>74</v>
      </c>
    </row>
    <row r="53000" spans="9:9" x14ac:dyDescent="0.2">
      <c r="I53000" s="137" t="s">
        <v>74</v>
      </c>
    </row>
    <row r="53001" spans="9:9" x14ac:dyDescent="0.2">
      <c r="I53001" s="137" t="s">
        <v>74</v>
      </c>
    </row>
    <row r="53002" spans="9:9" x14ac:dyDescent="0.2">
      <c r="I53002" s="137" t="s">
        <v>74</v>
      </c>
    </row>
    <row r="53003" spans="9:9" x14ac:dyDescent="0.2">
      <c r="I53003" s="137" t="s">
        <v>74</v>
      </c>
    </row>
    <row r="53004" spans="9:9" x14ac:dyDescent="0.2">
      <c r="I53004" s="137" t="s">
        <v>74</v>
      </c>
    </row>
    <row r="53005" spans="9:9" x14ac:dyDescent="0.2">
      <c r="I53005" s="137" t="s">
        <v>74</v>
      </c>
    </row>
    <row r="53006" spans="9:9" x14ac:dyDescent="0.2">
      <c r="I53006" s="137" t="s">
        <v>74</v>
      </c>
    </row>
    <row r="53007" spans="9:9" x14ac:dyDescent="0.2">
      <c r="I53007" s="137" t="s">
        <v>74</v>
      </c>
    </row>
    <row r="53008" spans="9:9" x14ac:dyDescent="0.2">
      <c r="I53008" s="137" t="s">
        <v>74</v>
      </c>
    </row>
    <row r="53009" spans="9:9" x14ac:dyDescent="0.2">
      <c r="I53009" s="137" t="s">
        <v>74</v>
      </c>
    </row>
    <row r="53010" spans="9:9" x14ac:dyDescent="0.2">
      <c r="I53010" s="137" t="s">
        <v>74</v>
      </c>
    </row>
    <row r="53011" spans="9:9" x14ac:dyDescent="0.2">
      <c r="I53011" s="137" t="s">
        <v>74</v>
      </c>
    </row>
    <row r="53012" spans="9:9" x14ac:dyDescent="0.2">
      <c r="I53012" s="137" t="s">
        <v>74</v>
      </c>
    </row>
    <row r="53013" spans="9:9" x14ac:dyDescent="0.2">
      <c r="I53013" s="137" t="s">
        <v>74</v>
      </c>
    </row>
    <row r="53014" spans="9:9" x14ac:dyDescent="0.2">
      <c r="I53014" s="137" t="s">
        <v>74</v>
      </c>
    </row>
    <row r="53015" spans="9:9" x14ac:dyDescent="0.2">
      <c r="I53015" s="137" t="s">
        <v>74</v>
      </c>
    </row>
    <row r="53016" spans="9:9" x14ac:dyDescent="0.2">
      <c r="I53016" s="137" t="s">
        <v>74</v>
      </c>
    </row>
    <row r="53017" spans="9:9" x14ac:dyDescent="0.2">
      <c r="I53017" s="137" t="s">
        <v>74</v>
      </c>
    </row>
    <row r="53018" spans="9:9" x14ac:dyDescent="0.2">
      <c r="I53018" s="137" t="s">
        <v>74</v>
      </c>
    </row>
    <row r="53019" spans="9:9" x14ac:dyDescent="0.2">
      <c r="I53019" s="137" t="s">
        <v>74</v>
      </c>
    </row>
    <row r="53020" spans="9:9" x14ac:dyDescent="0.2">
      <c r="I53020" s="137" t="s">
        <v>74</v>
      </c>
    </row>
    <row r="53021" spans="9:9" x14ac:dyDescent="0.2">
      <c r="I53021" s="137" t="s">
        <v>74</v>
      </c>
    </row>
    <row r="53022" spans="9:9" x14ac:dyDescent="0.2">
      <c r="I53022" s="137" t="s">
        <v>74</v>
      </c>
    </row>
    <row r="53023" spans="9:9" x14ac:dyDescent="0.2">
      <c r="I53023" s="137" t="s">
        <v>74</v>
      </c>
    </row>
    <row r="53024" spans="9:9" x14ac:dyDescent="0.2">
      <c r="I53024" s="137" t="s">
        <v>74</v>
      </c>
    </row>
    <row r="53025" spans="9:9" x14ac:dyDescent="0.2">
      <c r="I53025" s="137" t="s">
        <v>74</v>
      </c>
    </row>
    <row r="53026" spans="9:9" x14ac:dyDescent="0.2">
      <c r="I53026" s="137" t="s">
        <v>74</v>
      </c>
    </row>
    <row r="53027" spans="9:9" x14ac:dyDescent="0.2">
      <c r="I53027" s="137" t="s">
        <v>74</v>
      </c>
    </row>
    <row r="53028" spans="9:9" x14ac:dyDescent="0.2">
      <c r="I53028" s="137" t="s">
        <v>74</v>
      </c>
    </row>
    <row r="53029" spans="9:9" x14ac:dyDescent="0.2">
      <c r="I53029" s="137" t="s">
        <v>74</v>
      </c>
    </row>
    <row r="53030" spans="9:9" x14ac:dyDescent="0.2">
      <c r="I53030" s="137" t="s">
        <v>74</v>
      </c>
    </row>
    <row r="53031" spans="9:9" x14ac:dyDescent="0.2">
      <c r="I53031" s="137" t="s">
        <v>74</v>
      </c>
    </row>
    <row r="53032" spans="9:9" x14ac:dyDescent="0.2">
      <c r="I53032" s="137" t="s">
        <v>74</v>
      </c>
    </row>
    <row r="53033" spans="9:9" x14ac:dyDescent="0.2">
      <c r="I53033" s="137" t="s">
        <v>74</v>
      </c>
    </row>
    <row r="53034" spans="9:9" x14ac:dyDescent="0.2">
      <c r="I53034" s="137" t="s">
        <v>74</v>
      </c>
    </row>
    <row r="53035" spans="9:9" x14ac:dyDescent="0.2">
      <c r="I53035" s="137" t="s">
        <v>74</v>
      </c>
    </row>
    <row r="53036" spans="9:9" x14ac:dyDescent="0.2">
      <c r="I53036" s="137" t="s">
        <v>74</v>
      </c>
    </row>
    <row r="53037" spans="9:9" x14ac:dyDescent="0.2">
      <c r="I53037" s="137" t="s">
        <v>74</v>
      </c>
    </row>
    <row r="53038" spans="9:9" x14ac:dyDescent="0.2">
      <c r="I53038" s="137" t="s">
        <v>74</v>
      </c>
    </row>
    <row r="53039" spans="9:9" x14ac:dyDescent="0.2">
      <c r="I53039" s="137" t="s">
        <v>74</v>
      </c>
    </row>
    <row r="53040" spans="9:9" x14ac:dyDescent="0.2">
      <c r="I53040" s="137" t="s">
        <v>74</v>
      </c>
    </row>
    <row r="53041" spans="9:9" x14ac:dyDescent="0.2">
      <c r="I53041" s="137" t="s">
        <v>74</v>
      </c>
    </row>
    <row r="53042" spans="9:9" x14ac:dyDescent="0.2">
      <c r="I53042" s="137" t="s">
        <v>74</v>
      </c>
    </row>
    <row r="53043" spans="9:9" x14ac:dyDescent="0.2">
      <c r="I53043" s="137" t="s">
        <v>74</v>
      </c>
    </row>
    <row r="53044" spans="9:9" x14ac:dyDescent="0.2">
      <c r="I53044" s="137" t="s">
        <v>74</v>
      </c>
    </row>
    <row r="53045" spans="9:9" x14ac:dyDescent="0.2">
      <c r="I53045" s="137" t="s">
        <v>74</v>
      </c>
    </row>
    <row r="53046" spans="9:9" x14ac:dyDescent="0.2">
      <c r="I53046" s="137" t="s">
        <v>74</v>
      </c>
    </row>
    <row r="53047" spans="9:9" x14ac:dyDescent="0.2">
      <c r="I53047" s="137" t="s">
        <v>74</v>
      </c>
    </row>
    <row r="53048" spans="9:9" x14ac:dyDescent="0.2">
      <c r="I53048" s="137" t="s">
        <v>74</v>
      </c>
    </row>
    <row r="53049" spans="9:9" x14ac:dyDescent="0.2">
      <c r="I53049" s="137" t="s">
        <v>74</v>
      </c>
    </row>
    <row r="53050" spans="9:9" x14ac:dyDescent="0.2">
      <c r="I53050" s="137" t="s">
        <v>74</v>
      </c>
    </row>
    <row r="53051" spans="9:9" x14ac:dyDescent="0.2">
      <c r="I53051" s="137" t="s">
        <v>74</v>
      </c>
    </row>
    <row r="53052" spans="9:9" x14ac:dyDescent="0.2">
      <c r="I53052" s="137" t="s">
        <v>74</v>
      </c>
    </row>
    <row r="53053" spans="9:9" x14ac:dyDescent="0.2">
      <c r="I53053" s="137" t="s">
        <v>74</v>
      </c>
    </row>
    <row r="53054" spans="9:9" x14ac:dyDescent="0.2">
      <c r="I53054" s="137" t="s">
        <v>74</v>
      </c>
    </row>
    <row r="53055" spans="9:9" x14ac:dyDescent="0.2">
      <c r="I53055" s="137" t="s">
        <v>74</v>
      </c>
    </row>
    <row r="53056" spans="9:9" x14ac:dyDescent="0.2">
      <c r="I53056" s="137" t="s">
        <v>74</v>
      </c>
    </row>
    <row r="53057" spans="9:9" x14ac:dyDescent="0.2">
      <c r="I53057" s="137" t="s">
        <v>74</v>
      </c>
    </row>
    <row r="53058" spans="9:9" x14ac:dyDescent="0.2">
      <c r="I53058" s="137" t="s">
        <v>74</v>
      </c>
    </row>
    <row r="53059" spans="9:9" x14ac:dyDescent="0.2">
      <c r="I53059" s="137" t="s">
        <v>74</v>
      </c>
    </row>
    <row r="53060" spans="9:9" x14ac:dyDescent="0.2">
      <c r="I53060" s="137" t="s">
        <v>74</v>
      </c>
    </row>
    <row r="53061" spans="9:9" x14ac:dyDescent="0.2">
      <c r="I53061" s="137" t="s">
        <v>74</v>
      </c>
    </row>
    <row r="53062" spans="9:9" x14ac:dyDescent="0.2">
      <c r="I53062" s="137" t="s">
        <v>74</v>
      </c>
    </row>
    <row r="53063" spans="9:9" x14ac:dyDescent="0.2">
      <c r="I53063" s="137" t="s">
        <v>74</v>
      </c>
    </row>
    <row r="53064" spans="9:9" x14ac:dyDescent="0.2">
      <c r="I53064" s="137" t="s">
        <v>74</v>
      </c>
    </row>
    <row r="53065" spans="9:9" x14ac:dyDescent="0.2">
      <c r="I53065" s="137" t="s">
        <v>74</v>
      </c>
    </row>
    <row r="53066" spans="9:9" x14ac:dyDescent="0.2">
      <c r="I53066" s="137" t="s">
        <v>74</v>
      </c>
    </row>
    <row r="53067" spans="9:9" x14ac:dyDescent="0.2">
      <c r="I53067" s="137" t="s">
        <v>74</v>
      </c>
    </row>
    <row r="53068" spans="9:9" x14ac:dyDescent="0.2">
      <c r="I53068" s="137" t="s">
        <v>74</v>
      </c>
    </row>
    <row r="53069" spans="9:9" x14ac:dyDescent="0.2">
      <c r="I53069" s="137" t="s">
        <v>74</v>
      </c>
    </row>
    <row r="53070" spans="9:9" x14ac:dyDescent="0.2">
      <c r="I53070" s="137" t="s">
        <v>74</v>
      </c>
    </row>
    <row r="53071" spans="9:9" x14ac:dyDescent="0.2">
      <c r="I53071" s="137" t="s">
        <v>74</v>
      </c>
    </row>
    <row r="53072" spans="9:9" x14ac:dyDescent="0.2">
      <c r="I53072" s="137" t="s">
        <v>74</v>
      </c>
    </row>
    <row r="53073" spans="9:9" x14ac:dyDescent="0.2">
      <c r="I53073" s="137" t="s">
        <v>74</v>
      </c>
    </row>
    <row r="53074" spans="9:9" x14ac:dyDescent="0.2">
      <c r="I53074" s="137" t="s">
        <v>74</v>
      </c>
    </row>
    <row r="53075" spans="9:9" x14ac:dyDescent="0.2">
      <c r="I53075" s="137" t="s">
        <v>74</v>
      </c>
    </row>
    <row r="53076" spans="9:9" x14ac:dyDescent="0.2">
      <c r="I53076" s="137" t="s">
        <v>74</v>
      </c>
    </row>
    <row r="53077" spans="9:9" x14ac:dyDescent="0.2">
      <c r="I53077" s="137" t="s">
        <v>74</v>
      </c>
    </row>
    <row r="53078" spans="9:9" x14ac:dyDescent="0.2">
      <c r="I53078" s="137" t="s">
        <v>74</v>
      </c>
    </row>
    <row r="53079" spans="9:9" x14ac:dyDescent="0.2">
      <c r="I53079" s="137" t="s">
        <v>74</v>
      </c>
    </row>
    <row r="53080" spans="9:9" x14ac:dyDescent="0.2">
      <c r="I53080" s="137" t="s">
        <v>74</v>
      </c>
    </row>
    <row r="53081" spans="9:9" x14ac:dyDescent="0.2">
      <c r="I53081" s="137" t="s">
        <v>74</v>
      </c>
    </row>
    <row r="53082" spans="9:9" x14ac:dyDescent="0.2">
      <c r="I53082" s="137" t="s">
        <v>74</v>
      </c>
    </row>
    <row r="53083" spans="9:9" x14ac:dyDescent="0.2">
      <c r="I53083" s="137" t="s">
        <v>74</v>
      </c>
    </row>
    <row r="53084" spans="9:9" x14ac:dyDescent="0.2">
      <c r="I53084" s="137" t="s">
        <v>74</v>
      </c>
    </row>
    <row r="53085" spans="9:9" x14ac:dyDescent="0.2">
      <c r="I53085" s="137" t="s">
        <v>74</v>
      </c>
    </row>
    <row r="53086" spans="9:9" x14ac:dyDescent="0.2">
      <c r="I53086" s="137" t="s">
        <v>74</v>
      </c>
    </row>
    <row r="53087" spans="9:9" x14ac:dyDescent="0.2">
      <c r="I53087" s="137" t="s">
        <v>74</v>
      </c>
    </row>
    <row r="53088" spans="9:9" x14ac:dyDescent="0.2">
      <c r="I53088" s="137" t="s">
        <v>74</v>
      </c>
    </row>
    <row r="53089" spans="9:9" x14ac:dyDescent="0.2">
      <c r="I53089" s="137" t="s">
        <v>74</v>
      </c>
    </row>
    <row r="53090" spans="9:9" x14ac:dyDescent="0.2">
      <c r="I53090" s="137" t="s">
        <v>74</v>
      </c>
    </row>
    <row r="53091" spans="9:9" x14ac:dyDescent="0.2">
      <c r="I53091" s="137" t="s">
        <v>74</v>
      </c>
    </row>
    <row r="53092" spans="9:9" x14ac:dyDescent="0.2">
      <c r="I53092" s="137" t="s">
        <v>74</v>
      </c>
    </row>
    <row r="53093" spans="9:9" x14ac:dyDescent="0.2">
      <c r="I53093" s="137" t="s">
        <v>74</v>
      </c>
    </row>
    <row r="53094" spans="9:9" x14ac:dyDescent="0.2">
      <c r="I53094" s="137" t="s">
        <v>74</v>
      </c>
    </row>
    <row r="53095" spans="9:9" x14ac:dyDescent="0.2">
      <c r="I53095" s="137" t="s">
        <v>74</v>
      </c>
    </row>
    <row r="53096" spans="9:9" x14ac:dyDescent="0.2">
      <c r="I53096" s="137" t="s">
        <v>74</v>
      </c>
    </row>
    <row r="53097" spans="9:9" x14ac:dyDescent="0.2">
      <c r="I53097" s="137" t="s">
        <v>74</v>
      </c>
    </row>
    <row r="53098" spans="9:9" x14ac:dyDescent="0.2">
      <c r="I53098" s="137" t="s">
        <v>74</v>
      </c>
    </row>
    <row r="53099" spans="9:9" x14ac:dyDescent="0.2">
      <c r="I53099" s="137" t="s">
        <v>74</v>
      </c>
    </row>
    <row r="53100" spans="9:9" x14ac:dyDescent="0.2">
      <c r="I53100" s="137" t="s">
        <v>74</v>
      </c>
    </row>
    <row r="53101" spans="9:9" x14ac:dyDescent="0.2">
      <c r="I53101" s="137" t="s">
        <v>74</v>
      </c>
    </row>
    <row r="53102" spans="9:9" x14ac:dyDescent="0.2">
      <c r="I53102" s="137" t="s">
        <v>74</v>
      </c>
    </row>
    <row r="53103" spans="9:9" x14ac:dyDescent="0.2">
      <c r="I53103" s="137" t="s">
        <v>74</v>
      </c>
    </row>
    <row r="53104" spans="9:9" x14ac:dyDescent="0.2">
      <c r="I53104" s="137" t="s">
        <v>74</v>
      </c>
    </row>
    <row r="53105" spans="9:9" x14ac:dyDescent="0.2">
      <c r="I53105" s="137" t="s">
        <v>74</v>
      </c>
    </row>
    <row r="53106" spans="9:9" x14ac:dyDescent="0.2">
      <c r="I53106" s="137" t="s">
        <v>74</v>
      </c>
    </row>
    <row r="53107" spans="9:9" x14ac:dyDescent="0.2">
      <c r="I53107" s="137" t="s">
        <v>74</v>
      </c>
    </row>
    <row r="53108" spans="9:9" x14ac:dyDescent="0.2">
      <c r="I53108" s="137" t="s">
        <v>74</v>
      </c>
    </row>
    <row r="53109" spans="9:9" x14ac:dyDescent="0.2">
      <c r="I53109" s="137" t="s">
        <v>74</v>
      </c>
    </row>
    <row r="53110" spans="9:9" x14ac:dyDescent="0.2">
      <c r="I53110" s="137" t="s">
        <v>74</v>
      </c>
    </row>
    <row r="53111" spans="9:9" x14ac:dyDescent="0.2">
      <c r="I53111" s="137" t="s">
        <v>74</v>
      </c>
    </row>
    <row r="53112" spans="9:9" x14ac:dyDescent="0.2">
      <c r="I53112" s="137" t="s">
        <v>74</v>
      </c>
    </row>
    <row r="53113" spans="9:9" x14ac:dyDescent="0.2">
      <c r="I53113" s="137" t="s">
        <v>74</v>
      </c>
    </row>
    <row r="53114" spans="9:9" x14ac:dyDescent="0.2">
      <c r="I53114" s="137" t="s">
        <v>74</v>
      </c>
    </row>
    <row r="53115" spans="9:9" x14ac:dyDescent="0.2">
      <c r="I53115" s="137" t="s">
        <v>74</v>
      </c>
    </row>
    <row r="53116" spans="9:9" x14ac:dyDescent="0.2">
      <c r="I53116" s="137" t="s">
        <v>74</v>
      </c>
    </row>
    <row r="53117" spans="9:9" x14ac:dyDescent="0.2">
      <c r="I53117" s="137" t="s">
        <v>74</v>
      </c>
    </row>
    <row r="53118" spans="9:9" x14ac:dyDescent="0.2">
      <c r="I53118" s="137" t="s">
        <v>74</v>
      </c>
    </row>
    <row r="53119" spans="9:9" x14ac:dyDescent="0.2">
      <c r="I53119" s="137" t="s">
        <v>74</v>
      </c>
    </row>
    <row r="53120" spans="9:9" x14ac:dyDescent="0.2">
      <c r="I53120" s="137" t="s">
        <v>74</v>
      </c>
    </row>
    <row r="53121" spans="9:9" x14ac:dyDescent="0.2">
      <c r="I53121" s="137" t="s">
        <v>74</v>
      </c>
    </row>
    <row r="53122" spans="9:9" x14ac:dyDescent="0.2">
      <c r="I53122" s="137" t="s">
        <v>74</v>
      </c>
    </row>
    <row r="53123" spans="9:9" x14ac:dyDescent="0.2">
      <c r="I53123" s="137" t="s">
        <v>74</v>
      </c>
    </row>
    <row r="53124" spans="9:9" x14ac:dyDescent="0.2">
      <c r="I53124" s="137" t="s">
        <v>74</v>
      </c>
    </row>
    <row r="53125" spans="9:9" x14ac:dyDescent="0.2">
      <c r="I53125" s="137" t="s">
        <v>74</v>
      </c>
    </row>
    <row r="53126" spans="9:9" x14ac:dyDescent="0.2">
      <c r="I53126" s="137" t="s">
        <v>74</v>
      </c>
    </row>
    <row r="53127" spans="9:9" x14ac:dyDescent="0.2">
      <c r="I53127" s="137" t="s">
        <v>74</v>
      </c>
    </row>
    <row r="53128" spans="9:9" x14ac:dyDescent="0.2">
      <c r="I53128" s="137" t="s">
        <v>74</v>
      </c>
    </row>
    <row r="53129" spans="9:9" x14ac:dyDescent="0.2">
      <c r="I53129" s="137" t="s">
        <v>74</v>
      </c>
    </row>
    <row r="53130" spans="9:9" x14ac:dyDescent="0.2">
      <c r="I53130" s="137" t="s">
        <v>74</v>
      </c>
    </row>
    <row r="53131" spans="9:9" x14ac:dyDescent="0.2">
      <c r="I53131" s="137" t="s">
        <v>74</v>
      </c>
    </row>
    <row r="53132" spans="9:9" x14ac:dyDescent="0.2">
      <c r="I53132" s="137" t="s">
        <v>74</v>
      </c>
    </row>
    <row r="53133" spans="9:9" x14ac:dyDescent="0.2">
      <c r="I53133" s="137" t="s">
        <v>74</v>
      </c>
    </row>
    <row r="53134" spans="9:9" x14ac:dyDescent="0.2">
      <c r="I53134" s="137" t="s">
        <v>74</v>
      </c>
    </row>
    <row r="53135" spans="9:9" x14ac:dyDescent="0.2">
      <c r="I53135" s="137" t="s">
        <v>74</v>
      </c>
    </row>
    <row r="53136" spans="9:9" x14ac:dyDescent="0.2">
      <c r="I53136" s="137" t="s">
        <v>74</v>
      </c>
    </row>
    <row r="53137" spans="9:9" x14ac:dyDescent="0.2">
      <c r="I53137" s="137" t="s">
        <v>74</v>
      </c>
    </row>
    <row r="53138" spans="9:9" x14ac:dyDescent="0.2">
      <c r="I53138" s="137" t="s">
        <v>74</v>
      </c>
    </row>
    <row r="53139" spans="9:9" x14ac:dyDescent="0.2">
      <c r="I53139" s="137" t="s">
        <v>74</v>
      </c>
    </row>
    <row r="53140" spans="9:9" x14ac:dyDescent="0.2">
      <c r="I53140" s="137" t="s">
        <v>74</v>
      </c>
    </row>
    <row r="53141" spans="9:9" x14ac:dyDescent="0.2">
      <c r="I53141" s="137" t="s">
        <v>74</v>
      </c>
    </row>
    <row r="53142" spans="9:9" x14ac:dyDescent="0.2">
      <c r="I53142" s="137" t="s">
        <v>74</v>
      </c>
    </row>
    <row r="53143" spans="9:9" x14ac:dyDescent="0.2">
      <c r="I53143" s="137" t="s">
        <v>74</v>
      </c>
    </row>
    <row r="53144" spans="9:9" x14ac:dyDescent="0.2">
      <c r="I53144" s="137" t="s">
        <v>74</v>
      </c>
    </row>
    <row r="53145" spans="9:9" x14ac:dyDescent="0.2">
      <c r="I53145" s="137" t="s">
        <v>74</v>
      </c>
    </row>
    <row r="53146" spans="9:9" x14ac:dyDescent="0.2">
      <c r="I53146" s="137" t="s">
        <v>74</v>
      </c>
    </row>
    <row r="53147" spans="9:9" x14ac:dyDescent="0.2">
      <c r="I53147" s="137" t="s">
        <v>74</v>
      </c>
    </row>
    <row r="53148" spans="9:9" x14ac:dyDescent="0.2">
      <c r="I53148" s="137" t="s">
        <v>74</v>
      </c>
    </row>
    <row r="53149" spans="9:9" x14ac:dyDescent="0.2">
      <c r="I53149" s="137" t="s">
        <v>74</v>
      </c>
    </row>
    <row r="53150" spans="9:9" x14ac:dyDescent="0.2">
      <c r="I53150" s="137" t="s">
        <v>74</v>
      </c>
    </row>
    <row r="53151" spans="9:9" x14ac:dyDescent="0.2">
      <c r="I53151" s="137" t="s">
        <v>74</v>
      </c>
    </row>
    <row r="53152" spans="9:9" x14ac:dyDescent="0.2">
      <c r="I53152" s="137" t="s">
        <v>74</v>
      </c>
    </row>
    <row r="53153" spans="9:9" x14ac:dyDescent="0.2">
      <c r="I53153" s="137" t="s">
        <v>74</v>
      </c>
    </row>
    <row r="53154" spans="9:9" x14ac:dyDescent="0.2">
      <c r="I53154" s="137" t="s">
        <v>74</v>
      </c>
    </row>
    <row r="53155" spans="9:9" x14ac:dyDescent="0.2">
      <c r="I53155" s="137" t="s">
        <v>74</v>
      </c>
    </row>
    <row r="53156" spans="9:9" x14ac:dyDescent="0.2">
      <c r="I53156" s="137" t="s">
        <v>74</v>
      </c>
    </row>
    <row r="53157" spans="9:9" x14ac:dyDescent="0.2">
      <c r="I53157" s="137" t="s">
        <v>74</v>
      </c>
    </row>
    <row r="53158" spans="9:9" x14ac:dyDescent="0.2">
      <c r="I53158" s="137" t="s">
        <v>74</v>
      </c>
    </row>
    <row r="53159" spans="9:9" x14ac:dyDescent="0.2">
      <c r="I53159" s="137" t="s">
        <v>74</v>
      </c>
    </row>
    <row r="53160" spans="9:9" x14ac:dyDescent="0.2">
      <c r="I53160" s="137" t="s">
        <v>74</v>
      </c>
    </row>
    <row r="53161" spans="9:9" x14ac:dyDescent="0.2">
      <c r="I53161" s="137" t="s">
        <v>74</v>
      </c>
    </row>
    <row r="53162" spans="9:9" x14ac:dyDescent="0.2">
      <c r="I53162" s="137" t="s">
        <v>74</v>
      </c>
    </row>
    <row r="53163" spans="9:9" x14ac:dyDescent="0.2">
      <c r="I53163" s="137" t="s">
        <v>74</v>
      </c>
    </row>
    <row r="53164" spans="9:9" x14ac:dyDescent="0.2">
      <c r="I53164" s="137" t="s">
        <v>74</v>
      </c>
    </row>
    <row r="53165" spans="9:9" x14ac:dyDescent="0.2">
      <c r="I53165" s="137" t="s">
        <v>74</v>
      </c>
    </row>
    <row r="53166" spans="9:9" x14ac:dyDescent="0.2">
      <c r="I53166" s="137" t="s">
        <v>74</v>
      </c>
    </row>
    <row r="53167" spans="9:9" x14ac:dyDescent="0.2">
      <c r="I53167" s="137" t="s">
        <v>74</v>
      </c>
    </row>
    <row r="53168" spans="9:9" x14ac:dyDescent="0.2">
      <c r="I53168" s="137" t="s">
        <v>74</v>
      </c>
    </row>
    <row r="53169" spans="9:9" x14ac:dyDescent="0.2">
      <c r="I53169" s="137" t="s">
        <v>74</v>
      </c>
    </row>
    <row r="53170" spans="9:9" x14ac:dyDescent="0.2">
      <c r="I53170" s="137" t="s">
        <v>74</v>
      </c>
    </row>
    <row r="53171" spans="9:9" x14ac:dyDescent="0.2">
      <c r="I53171" s="137" t="s">
        <v>74</v>
      </c>
    </row>
    <row r="53172" spans="9:9" x14ac:dyDescent="0.2">
      <c r="I53172" s="137" t="s">
        <v>74</v>
      </c>
    </row>
    <row r="53173" spans="9:9" x14ac:dyDescent="0.2">
      <c r="I53173" s="137" t="s">
        <v>74</v>
      </c>
    </row>
    <row r="53174" spans="9:9" x14ac:dyDescent="0.2">
      <c r="I53174" s="137" t="s">
        <v>74</v>
      </c>
    </row>
    <row r="53175" spans="9:9" x14ac:dyDescent="0.2">
      <c r="I53175" s="137" t="s">
        <v>74</v>
      </c>
    </row>
    <row r="53176" spans="9:9" x14ac:dyDescent="0.2">
      <c r="I53176" s="137" t="s">
        <v>74</v>
      </c>
    </row>
    <row r="53177" spans="9:9" x14ac:dyDescent="0.2">
      <c r="I53177" s="137" t="s">
        <v>74</v>
      </c>
    </row>
    <row r="53178" spans="9:9" x14ac:dyDescent="0.2">
      <c r="I53178" s="137" t="s">
        <v>74</v>
      </c>
    </row>
    <row r="53179" spans="9:9" x14ac:dyDescent="0.2">
      <c r="I53179" s="137" t="s">
        <v>74</v>
      </c>
    </row>
    <row r="53180" spans="9:9" x14ac:dyDescent="0.2">
      <c r="I53180" s="137" t="s">
        <v>74</v>
      </c>
    </row>
    <row r="53181" spans="9:9" x14ac:dyDescent="0.2">
      <c r="I53181" s="137" t="s">
        <v>74</v>
      </c>
    </row>
    <row r="53182" spans="9:9" x14ac:dyDescent="0.2">
      <c r="I53182" s="137" t="s">
        <v>74</v>
      </c>
    </row>
    <row r="53183" spans="9:9" x14ac:dyDescent="0.2">
      <c r="I53183" s="137" t="s">
        <v>74</v>
      </c>
    </row>
    <row r="53184" spans="9:9" x14ac:dyDescent="0.2">
      <c r="I53184" s="137" t="s">
        <v>74</v>
      </c>
    </row>
    <row r="53185" spans="9:9" x14ac:dyDescent="0.2">
      <c r="I53185" s="137" t="s">
        <v>74</v>
      </c>
    </row>
    <row r="53186" spans="9:9" x14ac:dyDescent="0.2">
      <c r="I53186" s="137" t="s">
        <v>74</v>
      </c>
    </row>
    <row r="53187" spans="9:9" x14ac:dyDescent="0.2">
      <c r="I53187" s="137" t="s">
        <v>74</v>
      </c>
    </row>
    <row r="53188" spans="9:9" x14ac:dyDescent="0.2">
      <c r="I53188" s="137" t="s">
        <v>74</v>
      </c>
    </row>
    <row r="53189" spans="9:9" x14ac:dyDescent="0.2">
      <c r="I53189" s="137" t="s">
        <v>74</v>
      </c>
    </row>
    <row r="53190" spans="9:9" x14ac:dyDescent="0.2">
      <c r="I53190" s="137" t="s">
        <v>74</v>
      </c>
    </row>
    <row r="53191" spans="9:9" x14ac:dyDescent="0.2">
      <c r="I53191" s="137" t="s">
        <v>74</v>
      </c>
    </row>
    <row r="53192" spans="9:9" x14ac:dyDescent="0.2">
      <c r="I53192" s="137" t="s">
        <v>74</v>
      </c>
    </row>
    <row r="53193" spans="9:9" x14ac:dyDescent="0.2">
      <c r="I53193" s="137" t="s">
        <v>74</v>
      </c>
    </row>
    <row r="53194" spans="9:9" x14ac:dyDescent="0.2">
      <c r="I53194" s="137" t="s">
        <v>74</v>
      </c>
    </row>
    <row r="53195" spans="9:9" x14ac:dyDescent="0.2">
      <c r="I53195" s="137" t="s">
        <v>74</v>
      </c>
    </row>
    <row r="53196" spans="9:9" x14ac:dyDescent="0.2">
      <c r="I53196" s="137" t="s">
        <v>74</v>
      </c>
    </row>
    <row r="53197" spans="9:9" x14ac:dyDescent="0.2">
      <c r="I53197" s="137" t="s">
        <v>74</v>
      </c>
    </row>
    <row r="53198" spans="9:9" x14ac:dyDescent="0.2">
      <c r="I53198" s="137" t="s">
        <v>74</v>
      </c>
    </row>
    <row r="53199" spans="9:9" x14ac:dyDescent="0.2">
      <c r="I53199" s="137" t="s">
        <v>74</v>
      </c>
    </row>
    <row r="53200" spans="9:9" x14ac:dyDescent="0.2">
      <c r="I53200" s="137" t="s">
        <v>74</v>
      </c>
    </row>
    <row r="53201" spans="9:9" x14ac:dyDescent="0.2">
      <c r="I53201" s="137" t="s">
        <v>74</v>
      </c>
    </row>
    <row r="53202" spans="9:9" x14ac:dyDescent="0.2">
      <c r="I53202" s="137" t="s">
        <v>74</v>
      </c>
    </row>
    <row r="53203" spans="9:9" x14ac:dyDescent="0.2">
      <c r="I53203" s="137" t="s">
        <v>74</v>
      </c>
    </row>
    <row r="53204" spans="9:9" x14ac:dyDescent="0.2">
      <c r="I53204" s="137" t="s">
        <v>74</v>
      </c>
    </row>
    <row r="53205" spans="9:9" x14ac:dyDescent="0.2">
      <c r="I53205" s="137" t="s">
        <v>74</v>
      </c>
    </row>
    <row r="53206" spans="9:9" x14ac:dyDescent="0.2">
      <c r="I53206" s="137" t="s">
        <v>74</v>
      </c>
    </row>
    <row r="53207" spans="9:9" x14ac:dyDescent="0.2">
      <c r="I53207" s="137" t="s">
        <v>74</v>
      </c>
    </row>
    <row r="53208" spans="9:9" x14ac:dyDescent="0.2">
      <c r="I53208" s="137" t="s">
        <v>74</v>
      </c>
    </row>
    <row r="53209" spans="9:9" x14ac:dyDescent="0.2">
      <c r="I53209" s="137" t="s">
        <v>74</v>
      </c>
    </row>
    <row r="53210" spans="9:9" x14ac:dyDescent="0.2">
      <c r="I53210" s="137" t="s">
        <v>74</v>
      </c>
    </row>
    <row r="53211" spans="9:9" x14ac:dyDescent="0.2">
      <c r="I53211" s="137" t="s">
        <v>74</v>
      </c>
    </row>
    <row r="53212" spans="9:9" x14ac:dyDescent="0.2">
      <c r="I53212" s="137" t="s">
        <v>74</v>
      </c>
    </row>
    <row r="53213" spans="9:9" x14ac:dyDescent="0.2">
      <c r="I53213" s="137" t="s">
        <v>74</v>
      </c>
    </row>
    <row r="53214" spans="9:9" x14ac:dyDescent="0.2">
      <c r="I53214" s="137" t="s">
        <v>74</v>
      </c>
    </row>
    <row r="53215" spans="9:9" x14ac:dyDescent="0.2">
      <c r="I53215" s="137" t="s">
        <v>74</v>
      </c>
    </row>
    <row r="53216" spans="9:9" x14ac:dyDescent="0.2">
      <c r="I53216" s="137" t="s">
        <v>74</v>
      </c>
    </row>
    <row r="53217" spans="9:9" x14ac:dyDescent="0.2">
      <c r="I53217" s="137" t="s">
        <v>74</v>
      </c>
    </row>
    <row r="53218" spans="9:9" x14ac:dyDescent="0.2">
      <c r="I53218" s="137" t="s">
        <v>74</v>
      </c>
    </row>
    <row r="53219" spans="9:9" x14ac:dyDescent="0.2">
      <c r="I53219" s="137" t="s">
        <v>74</v>
      </c>
    </row>
    <row r="53220" spans="9:9" x14ac:dyDescent="0.2">
      <c r="I53220" s="137" t="s">
        <v>74</v>
      </c>
    </row>
    <row r="53221" spans="9:9" x14ac:dyDescent="0.2">
      <c r="I53221" s="137" t="s">
        <v>74</v>
      </c>
    </row>
    <row r="53222" spans="9:9" x14ac:dyDescent="0.2">
      <c r="I53222" s="137" t="s">
        <v>74</v>
      </c>
    </row>
    <row r="53223" spans="9:9" x14ac:dyDescent="0.2">
      <c r="I53223" s="137" t="s">
        <v>74</v>
      </c>
    </row>
    <row r="53224" spans="9:9" x14ac:dyDescent="0.2">
      <c r="I53224" s="137" t="s">
        <v>74</v>
      </c>
    </row>
    <row r="53225" spans="9:9" x14ac:dyDescent="0.2">
      <c r="I53225" s="137" t="s">
        <v>74</v>
      </c>
    </row>
    <row r="53226" spans="9:9" x14ac:dyDescent="0.2">
      <c r="I53226" s="137" t="s">
        <v>74</v>
      </c>
    </row>
    <row r="53227" spans="9:9" x14ac:dyDescent="0.2">
      <c r="I53227" s="137" t="s">
        <v>74</v>
      </c>
    </row>
    <row r="53228" spans="9:9" x14ac:dyDescent="0.2">
      <c r="I53228" s="137" t="s">
        <v>74</v>
      </c>
    </row>
    <row r="53229" spans="9:9" x14ac:dyDescent="0.2">
      <c r="I53229" s="137" t="s">
        <v>74</v>
      </c>
    </row>
    <row r="53230" spans="9:9" x14ac:dyDescent="0.2">
      <c r="I53230" s="137" t="s">
        <v>74</v>
      </c>
    </row>
    <row r="53231" spans="9:9" x14ac:dyDescent="0.2">
      <c r="I53231" s="137" t="s">
        <v>74</v>
      </c>
    </row>
    <row r="53232" spans="9:9" x14ac:dyDescent="0.2">
      <c r="I53232" s="137" t="s">
        <v>74</v>
      </c>
    </row>
    <row r="53233" spans="9:9" x14ac:dyDescent="0.2">
      <c r="I53233" s="137" t="s">
        <v>74</v>
      </c>
    </row>
    <row r="53234" spans="9:9" x14ac:dyDescent="0.2">
      <c r="I53234" s="137" t="s">
        <v>74</v>
      </c>
    </row>
    <row r="53235" spans="9:9" x14ac:dyDescent="0.2">
      <c r="I53235" s="137" t="s">
        <v>74</v>
      </c>
    </row>
    <row r="53236" spans="9:9" x14ac:dyDescent="0.2">
      <c r="I53236" s="137" t="s">
        <v>74</v>
      </c>
    </row>
    <row r="53237" spans="9:9" x14ac:dyDescent="0.2">
      <c r="I53237" s="137" t="s">
        <v>74</v>
      </c>
    </row>
    <row r="53238" spans="9:9" x14ac:dyDescent="0.2">
      <c r="I53238" s="137" t="s">
        <v>74</v>
      </c>
    </row>
    <row r="53239" spans="9:9" x14ac:dyDescent="0.2">
      <c r="I53239" s="137" t="s">
        <v>74</v>
      </c>
    </row>
    <row r="53240" spans="9:9" x14ac:dyDescent="0.2">
      <c r="I53240" s="137" t="s">
        <v>74</v>
      </c>
    </row>
    <row r="53241" spans="9:9" x14ac:dyDescent="0.2">
      <c r="I53241" s="137" t="s">
        <v>74</v>
      </c>
    </row>
    <row r="53242" spans="9:9" x14ac:dyDescent="0.2">
      <c r="I53242" s="137" t="s">
        <v>74</v>
      </c>
    </row>
    <row r="53243" spans="9:9" x14ac:dyDescent="0.2">
      <c r="I53243" s="137" t="s">
        <v>74</v>
      </c>
    </row>
    <row r="53244" spans="9:9" x14ac:dyDescent="0.2">
      <c r="I53244" s="137" t="s">
        <v>74</v>
      </c>
    </row>
    <row r="53245" spans="9:9" x14ac:dyDescent="0.2">
      <c r="I53245" s="137" t="s">
        <v>74</v>
      </c>
    </row>
    <row r="53246" spans="9:9" x14ac:dyDescent="0.2">
      <c r="I53246" s="137" t="s">
        <v>74</v>
      </c>
    </row>
    <row r="53247" spans="9:9" x14ac:dyDescent="0.2">
      <c r="I53247" s="137" t="s">
        <v>74</v>
      </c>
    </row>
    <row r="53248" spans="9:9" x14ac:dyDescent="0.2">
      <c r="I53248" s="137" t="s">
        <v>74</v>
      </c>
    </row>
    <row r="53249" spans="9:9" x14ac:dyDescent="0.2">
      <c r="I53249" s="137" t="s">
        <v>74</v>
      </c>
    </row>
    <row r="53250" spans="9:9" x14ac:dyDescent="0.2">
      <c r="I53250" s="137" t="s">
        <v>74</v>
      </c>
    </row>
    <row r="53251" spans="9:9" x14ac:dyDescent="0.2">
      <c r="I53251" s="137" t="s">
        <v>74</v>
      </c>
    </row>
    <row r="53252" spans="9:9" x14ac:dyDescent="0.2">
      <c r="I53252" s="137" t="s">
        <v>74</v>
      </c>
    </row>
    <row r="53253" spans="9:9" x14ac:dyDescent="0.2">
      <c r="I53253" s="137" t="s">
        <v>74</v>
      </c>
    </row>
    <row r="53254" spans="9:9" x14ac:dyDescent="0.2">
      <c r="I53254" s="137" t="s">
        <v>74</v>
      </c>
    </row>
    <row r="53255" spans="9:9" x14ac:dyDescent="0.2">
      <c r="I53255" s="137" t="s">
        <v>74</v>
      </c>
    </row>
    <row r="53256" spans="9:9" x14ac:dyDescent="0.2">
      <c r="I53256" s="137" t="s">
        <v>74</v>
      </c>
    </row>
    <row r="53257" spans="9:9" x14ac:dyDescent="0.2">
      <c r="I53257" s="137" t="s">
        <v>74</v>
      </c>
    </row>
    <row r="53258" spans="9:9" x14ac:dyDescent="0.2">
      <c r="I53258" s="137" t="s">
        <v>74</v>
      </c>
    </row>
    <row r="53259" spans="9:9" x14ac:dyDescent="0.2">
      <c r="I53259" s="137" t="s">
        <v>74</v>
      </c>
    </row>
    <row r="53260" spans="9:9" x14ac:dyDescent="0.2">
      <c r="I53260" s="137" t="s">
        <v>74</v>
      </c>
    </row>
    <row r="53261" spans="9:9" x14ac:dyDescent="0.2">
      <c r="I53261" s="137" t="s">
        <v>74</v>
      </c>
    </row>
    <row r="53262" spans="9:9" x14ac:dyDescent="0.2">
      <c r="I53262" s="137" t="s">
        <v>74</v>
      </c>
    </row>
    <row r="53263" spans="9:9" x14ac:dyDescent="0.2">
      <c r="I53263" s="137" t="s">
        <v>74</v>
      </c>
    </row>
    <row r="53264" spans="9:9" x14ac:dyDescent="0.2">
      <c r="I53264" s="137" t="s">
        <v>74</v>
      </c>
    </row>
    <row r="53265" spans="9:9" x14ac:dyDescent="0.2">
      <c r="I53265" s="137" t="s">
        <v>74</v>
      </c>
    </row>
    <row r="53266" spans="9:9" x14ac:dyDescent="0.2">
      <c r="I53266" s="137" t="s">
        <v>74</v>
      </c>
    </row>
    <row r="53267" spans="9:9" x14ac:dyDescent="0.2">
      <c r="I53267" s="137" t="s">
        <v>74</v>
      </c>
    </row>
    <row r="53268" spans="9:9" x14ac:dyDescent="0.2">
      <c r="I53268" s="137" t="s">
        <v>74</v>
      </c>
    </row>
    <row r="53269" spans="9:9" x14ac:dyDescent="0.2">
      <c r="I53269" s="137" t="s">
        <v>74</v>
      </c>
    </row>
    <row r="53270" spans="9:9" x14ac:dyDescent="0.2">
      <c r="I53270" s="137" t="s">
        <v>74</v>
      </c>
    </row>
    <row r="53271" spans="9:9" x14ac:dyDescent="0.2">
      <c r="I53271" s="137" t="s">
        <v>74</v>
      </c>
    </row>
    <row r="53272" spans="9:9" x14ac:dyDescent="0.2">
      <c r="I53272" s="137" t="s">
        <v>74</v>
      </c>
    </row>
    <row r="53273" spans="9:9" x14ac:dyDescent="0.2">
      <c r="I53273" s="137" t="s">
        <v>74</v>
      </c>
    </row>
    <row r="53274" spans="9:9" x14ac:dyDescent="0.2">
      <c r="I53274" s="137" t="s">
        <v>74</v>
      </c>
    </row>
    <row r="53275" spans="9:9" x14ac:dyDescent="0.2">
      <c r="I53275" s="137" t="s">
        <v>74</v>
      </c>
    </row>
    <row r="53276" spans="9:9" x14ac:dyDescent="0.2">
      <c r="I53276" s="137" t="s">
        <v>74</v>
      </c>
    </row>
    <row r="53277" spans="9:9" x14ac:dyDescent="0.2">
      <c r="I53277" s="137" t="s">
        <v>74</v>
      </c>
    </row>
    <row r="53278" spans="9:9" x14ac:dyDescent="0.2">
      <c r="I53278" s="137" t="s">
        <v>74</v>
      </c>
    </row>
    <row r="53279" spans="9:9" x14ac:dyDescent="0.2">
      <c r="I53279" s="137" t="s">
        <v>74</v>
      </c>
    </row>
    <row r="53280" spans="9:9" x14ac:dyDescent="0.2">
      <c r="I53280" s="137" t="s">
        <v>74</v>
      </c>
    </row>
    <row r="53281" spans="9:9" x14ac:dyDescent="0.2">
      <c r="I53281" s="137" t="s">
        <v>74</v>
      </c>
    </row>
    <row r="53282" spans="9:9" x14ac:dyDescent="0.2">
      <c r="I53282" s="137" t="s">
        <v>74</v>
      </c>
    </row>
    <row r="53283" spans="9:9" x14ac:dyDescent="0.2">
      <c r="I53283" s="137" t="s">
        <v>74</v>
      </c>
    </row>
    <row r="53284" spans="9:9" x14ac:dyDescent="0.2">
      <c r="I53284" s="137" t="s">
        <v>74</v>
      </c>
    </row>
    <row r="53285" spans="9:9" x14ac:dyDescent="0.2">
      <c r="I53285" s="137" t="s">
        <v>74</v>
      </c>
    </row>
    <row r="53286" spans="9:9" x14ac:dyDescent="0.2">
      <c r="I53286" s="137" t="s">
        <v>74</v>
      </c>
    </row>
    <row r="53287" spans="9:9" x14ac:dyDescent="0.2">
      <c r="I53287" s="137" t="s">
        <v>74</v>
      </c>
    </row>
    <row r="53288" spans="9:9" x14ac:dyDescent="0.2">
      <c r="I53288" s="137" t="s">
        <v>74</v>
      </c>
    </row>
    <row r="53289" spans="9:9" x14ac:dyDescent="0.2">
      <c r="I53289" s="137" t="s">
        <v>74</v>
      </c>
    </row>
    <row r="53290" spans="9:9" x14ac:dyDescent="0.2">
      <c r="I53290" s="137" t="s">
        <v>74</v>
      </c>
    </row>
    <row r="53291" spans="9:9" x14ac:dyDescent="0.2">
      <c r="I53291" s="137" t="s">
        <v>74</v>
      </c>
    </row>
    <row r="53292" spans="9:9" x14ac:dyDescent="0.2">
      <c r="I53292" s="137" t="s">
        <v>74</v>
      </c>
    </row>
    <row r="53293" spans="9:9" x14ac:dyDescent="0.2">
      <c r="I53293" s="137" t="s">
        <v>74</v>
      </c>
    </row>
    <row r="53294" spans="9:9" x14ac:dyDescent="0.2">
      <c r="I53294" s="137" t="s">
        <v>74</v>
      </c>
    </row>
    <row r="53295" spans="9:9" x14ac:dyDescent="0.2">
      <c r="I53295" s="137" t="s">
        <v>74</v>
      </c>
    </row>
    <row r="53296" spans="9:9" x14ac:dyDescent="0.2">
      <c r="I53296" s="137" t="s">
        <v>74</v>
      </c>
    </row>
    <row r="53297" spans="9:9" x14ac:dyDescent="0.2">
      <c r="I53297" s="137" t="s">
        <v>74</v>
      </c>
    </row>
    <row r="53298" spans="9:9" x14ac:dyDescent="0.2">
      <c r="I53298" s="137" t="s">
        <v>74</v>
      </c>
    </row>
    <row r="53299" spans="9:9" x14ac:dyDescent="0.2">
      <c r="I53299" s="137" t="s">
        <v>74</v>
      </c>
    </row>
    <row r="53300" spans="9:9" x14ac:dyDescent="0.2">
      <c r="I53300" s="137" t="s">
        <v>74</v>
      </c>
    </row>
    <row r="53301" spans="9:9" x14ac:dyDescent="0.2">
      <c r="I53301" s="137" t="s">
        <v>74</v>
      </c>
    </row>
    <row r="53302" spans="9:9" x14ac:dyDescent="0.2">
      <c r="I53302" s="137" t="s">
        <v>74</v>
      </c>
    </row>
    <row r="53303" spans="9:9" x14ac:dyDescent="0.2">
      <c r="I53303" s="137" t="s">
        <v>74</v>
      </c>
    </row>
    <row r="53304" spans="9:9" x14ac:dyDescent="0.2">
      <c r="I53304" s="137" t="s">
        <v>74</v>
      </c>
    </row>
    <row r="53305" spans="9:9" x14ac:dyDescent="0.2">
      <c r="I53305" s="137" t="s">
        <v>74</v>
      </c>
    </row>
    <row r="53306" spans="9:9" x14ac:dyDescent="0.2">
      <c r="I53306" s="137" t="s">
        <v>74</v>
      </c>
    </row>
    <row r="53307" spans="9:9" x14ac:dyDescent="0.2">
      <c r="I53307" s="137" t="s">
        <v>74</v>
      </c>
    </row>
    <row r="53308" spans="9:9" x14ac:dyDescent="0.2">
      <c r="I53308" s="137" t="s">
        <v>74</v>
      </c>
    </row>
    <row r="53309" spans="9:9" x14ac:dyDescent="0.2">
      <c r="I53309" s="137" t="s">
        <v>74</v>
      </c>
    </row>
    <row r="53310" spans="9:9" x14ac:dyDescent="0.2">
      <c r="I53310" s="137" t="s">
        <v>74</v>
      </c>
    </row>
    <row r="53311" spans="9:9" x14ac:dyDescent="0.2">
      <c r="I53311" s="137" t="s">
        <v>74</v>
      </c>
    </row>
    <row r="53312" spans="9:9" x14ac:dyDescent="0.2">
      <c r="I53312" s="137" t="s">
        <v>74</v>
      </c>
    </row>
    <row r="53313" spans="9:9" x14ac:dyDescent="0.2">
      <c r="I53313" s="137" t="s">
        <v>74</v>
      </c>
    </row>
    <row r="53314" spans="9:9" x14ac:dyDescent="0.2">
      <c r="I53314" s="137" t="s">
        <v>74</v>
      </c>
    </row>
    <row r="53315" spans="9:9" x14ac:dyDescent="0.2">
      <c r="I53315" s="137" t="s">
        <v>74</v>
      </c>
    </row>
    <row r="53316" spans="9:9" x14ac:dyDescent="0.2">
      <c r="I53316" s="137" t="s">
        <v>74</v>
      </c>
    </row>
    <row r="53317" spans="9:9" x14ac:dyDescent="0.2">
      <c r="I53317" s="137" t="s">
        <v>74</v>
      </c>
    </row>
    <row r="53318" spans="9:9" x14ac:dyDescent="0.2">
      <c r="I53318" s="137" t="s">
        <v>74</v>
      </c>
    </row>
    <row r="53319" spans="9:9" x14ac:dyDescent="0.2">
      <c r="I53319" s="137" t="s">
        <v>74</v>
      </c>
    </row>
    <row r="53320" spans="9:9" x14ac:dyDescent="0.2">
      <c r="I53320" s="137" t="s">
        <v>74</v>
      </c>
    </row>
    <row r="53321" spans="9:9" x14ac:dyDescent="0.2">
      <c r="I53321" s="137" t="s">
        <v>74</v>
      </c>
    </row>
    <row r="53322" spans="9:9" x14ac:dyDescent="0.2">
      <c r="I53322" s="137" t="s">
        <v>74</v>
      </c>
    </row>
    <row r="53323" spans="9:9" x14ac:dyDescent="0.2">
      <c r="I53323" s="137" t="s">
        <v>74</v>
      </c>
    </row>
    <row r="53324" spans="9:9" x14ac:dyDescent="0.2">
      <c r="I53324" s="137" t="s">
        <v>74</v>
      </c>
    </row>
    <row r="53325" spans="9:9" x14ac:dyDescent="0.2">
      <c r="I53325" s="137" t="s">
        <v>74</v>
      </c>
    </row>
    <row r="53326" spans="9:9" x14ac:dyDescent="0.2">
      <c r="I53326" s="137" t="s">
        <v>74</v>
      </c>
    </row>
    <row r="53327" spans="9:9" x14ac:dyDescent="0.2">
      <c r="I53327" s="137" t="s">
        <v>74</v>
      </c>
    </row>
    <row r="53328" spans="9:9" x14ac:dyDescent="0.2">
      <c r="I53328" s="137" t="s">
        <v>74</v>
      </c>
    </row>
    <row r="53329" spans="9:9" x14ac:dyDescent="0.2">
      <c r="I53329" s="137" t="s">
        <v>74</v>
      </c>
    </row>
    <row r="53330" spans="9:9" x14ac:dyDescent="0.2">
      <c r="I53330" s="137" t="s">
        <v>74</v>
      </c>
    </row>
    <row r="53331" spans="9:9" x14ac:dyDescent="0.2">
      <c r="I53331" s="137" t="s">
        <v>74</v>
      </c>
    </row>
    <row r="53332" spans="9:9" x14ac:dyDescent="0.2">
      <c r="I53332" s="137" t="s">
        <v>74</v>
      </c>
    </row>
    <row r="53333" spans="9:9" x14ac:dyDescent="0.2">
      <c r="I53333" s="137" t="s">
        <v>74</v>
      </c>
    </row>
    <row r="53334" spans="9:9" x14ac:dyDescent="0.2">
      <c r="I53334" s="137" t="s">
        <v>74</v>
      </c>
    </row>
    <row r="53335" spans="9:9" x14ac:dyDescent="0.2">
      <c r="I53335" s="137" t="s">
        <v>74</v>
      </c>
    </row>
    <row r="53336" spans="9:9" x14ac:dyDescent="0.2">
      <c r="I53336" s="137" t="s">
        <v>74</v>
      </c>
    </row>
    <row r="53337" spans="9:9" x14ac:dyDescent="0.2">
      <c r="I53337" s="137" t="s">
        <v>74</v>
      </c>
    </row>
    <row r="53338" spans="9:9" x14ac:dyDescent="0.2">
      <c r="I53338" s="137" t="s">
        <v>74</v>
      </c>
    </row>
    <row r="53339" spans="9:9" x14ac:dyDescent="0.2">
      <c r="I53339" s="137" t="s">
        <v>74</v>
      </c>
    </row>
    <row r="53340" spans="9:9" x14ac:dyDescent="0.2">
      <c r="I53340" s="137" t="s">
        <v>74</v>
      </c>
    </row>
    <row r="53341" spans="9:9" x14ac:dyDescent="0.2">
      <c r="I53341" s="137" t="s">
        <v>74</v>
      </c>
    </row>
    <row r="53342" spans="9:9" x14ac:dyDescent="0.2">
      <c r="I53342" s="137" t="s">
        <v>74</v>
      </c>
    </row>
    <row r="53343" spans="9:9" x14ac:dyDescent="0.2">
      <c r="I53343" s="137" t="s">
        <v>74</v>
      </c>
    </row>
    <row r="53344" spans="9:9" x14ac:dyDescent="0.2">
      <c r="I53344" s="137" t="s">
        <v>74</v>
      </c>
    </row>
    <row r="53345" spans="9:9" x14ac:dyDescent="0.2">
      <c r="I53345" s="137" t="s">
        <v>74</v>
      </c>
    </row>
    <row r="53346" spans="9:9" x14ac:dyDescent="0.2">
      <c r="I53346" s="137" t="s">
        <v>74</v>
      </c>
    </row>
    <row r="53347" spans="9:9" x14ac:dyDescent="0.2">
      <c r="I53347" s="137" t="s">
        <v>74</v>
      </c>
    </row>
    <row r="53348" spans="9:9" x14ac:dyDescent="0.2">
      <c r="I53348" s="137" t="s">
        <v>74</v>
      </c>
    </row>
    <row r="53349" spans="9:9" x14ac:dyDescent="0.2">
      <c r="I53349" s="137" t="s">
        <v>74</v>
      </c>
    </row>
    <row r="53350" spans="9:9" x14ac:dyDescent="0.2">
      <c r="I53350" s="137" t="s">
        <v>74</v>
      </c>
    </row>
    <row r="53351" spans="9:9" x14ac:dyDescent="0.2">
      <c r="I53351" s="137" t="s">
        <v>74</v>
      </c>
    </row>
    <row r="53352" spans="9:9" x14ac:dyDescent="0.2">
      <c r="I53352" s="137" t="s">
        <v>74</v>
      </c>
    </row>
    <row r="53353" spans="9:9" x14ac:dyDescent="0.2">
      <c r="I53353" s="137" t="s">
        <v>74</v>
      </c>
    </row>
    <row r="53354" spans="9:9" x14ac:dyDescent="0.2">
      <c r="I53354" s="137" t="s">
        <v>74</v>
      </c>
    </row>
    <row r="53355" spans="9:9" x14ac:dyDescent="0.2">
      <c r="I53355" s="137" t="s">
        <v>74</v>
      </c>
    </row>
    <row r="53356" spans="9:9" x14ac:dyDescent="0.2">
      <c r="I53356" s="137" t="s">
        <v>74</v>
      </c>
    </row>
    <row r="53357" spans="9:9" x14ac:dyDescent="0.2">
      <c r="I53357" s="137" t="s">
        <v>74</v>
      </c>
    </row>
    <row r="53358" spans="9:9" x14ac:dyDescent="0.2">
      <c r="I53358" s="137" t="s">
        <v>74</v>
      </c>
    </row>
    <row r="53359" spans="9:9" x14ac:dyDescent="0.2">
      <c r="I53359" s="137" t="s">
        <v>74</v>
      </c>
    </row>
    <row r="53360" spans="9:9" x14ac:dyDescent="0.2">
      <c r="I53360" s="137" t="s">
        <v>74</v>
      </c>
    </row>
    <row r="53361" spans="9:9" x14ac:dyDescent="0.2">
      <c r="I53361" s="137" t="s">
        <v>74</v>
      </c>
    </row>
    <row r="53362" spans="9:9" x14ac:dyDescent="0.2">
      <c r="I53362" s="137" t="s">
        <v>74</v>
      </c>
    </row>
    <row r="53363" spans="9:9" x14ac:dyDescent="0.2">
      <c r="I53363" s="137" t="s">
        <v>74</v>
      </c>
    </row>
    <row r="53364" spans="9:9" x14ac:dyDescent="0.2">
      <c r="I53364" s="137" t="s">
        <v>74</v>
      </c>
    </row>
    <row r="53365" spans="9:9" x14ac:dyDescent="0.2">
      <c r="I53365" s="137" t="s">
        <v>74</v>
      </c>
    </row>
    <row r="53366" spans="9:9" x14ac:dyDescent="0.2">
      <c r="I53366" s="137" t="s">
        <v>74</v>
      </c>
    </row>
    <row r="53367" spans="9:9" x14ac:dyDescent="0.2">
      <c r="I53367" s="137" t="s">
        <v>74</v>
      </c>
    </row>
    <row r="53368" spans="9:9" x14ac:dyDescent="0.2">
      <c r="I53368" s="137" t="s">
        <v>74</v>
      </c>
    </row>
    <row r="53369" spans="9:9" x14ac:dyDescent="0.2">
      <c r="I53369" s="137" t="s">
        <v>74</v>
      </c>
    </row>
    <row r="53370" spans="9:9" x14ac:dyDescent="0.2">
      <c r="I53370" s="137" t="s">
        <v>74</v>
      </c>
    </row>
    <row r="53371" spans="9:9" x14ac:dyDescent="0.2">
      <c r="I53371" s="137" t="s">
        <v>74</v>
      </c>
    </row>
    <row r="53372" spans="9:9" x14ac:dyDescent="0.2">
      <c r="I53372" s="137" t="s">
        <v>74</v>
      </c>
    </row>
    <row r="53373" spans="9:9" x14ac:dyDescent="0.2">
      <c r="I53373" s="137" t="s">
        <v>74</v>
      </c>
    </row>
    <row r="53374" spans="9:9" x14ac:dyDescent="0.2">
      <c r="I53374" s="137" t="s">
        <v>74</v>
      </c>
    </row>
    <row r="53375" spans="9:9" x14ac:dyDescent="0.2">
      <c r="I53375" s="137" t="s">
        <v>74</v>
      </c>
    </row>
    <row r="53376" spans="9:9" x14ac:dyDescent="0.2">
      <c r="I53376" s="137" t="s">
        <v>74</v>
      </c>
    </row>
    <row r="53377" spans="9:9" x14ac:dyDescent="0.2">
      <c r="I53377" s="137" t="s">
        <v>74</v>
      </c>
    </row>
    <row r="53378" spans="9:9" x14ac:dyDescent="0.2">
      <c r="I53378" s="137" t="s">
        <v>74</v>
      </c>
    </row>
    <row r="53379" spans="9:9" x14ac:dyDescent="0.2">
      <c r="I53379" s="137" t="s">
        <v>74</v>
      </c>
    </row>
    <row r="53380" spans="9:9" x14ac:dyDescent="0.2">
      <c r="I53380" s="137" t="s">
        <v>74</v>
      </c>
    </row>
    <row r="53381" spans="9:9" x14ac:dyDescent="0.2">
      <c r="I53381" s="137" t="s">
        <v>74</v>
      </c>
    </row>
    <row r="53382" spans="9:9" x14ac:dyDescent="0.2">
      <c r="I53382" s="137" t="s">
        <v>74</v>
      </c>
    </row>
    <row r="53383" spans="9:9" x14ac:dyDescent="0.2">
      <c r="I53383" s="137" t="s">
        <v>74</v>
      </c>
    </row>
    <row r="53384" spans="9:9" x14ac:dyDescent="0.2">
      <c r="I53384" s="137" t="s">
        <v>74</v>
      </c>
    </row>
    <row r="53385" spans="9:9" x14ac:dyDescent="0.2">
      <c r="I53385" s="137" t="s">
        <v>74</v>
      </c>
    </row>
    <row r="53386" spans="9:9" x14ac:dyDescent="0.2">
      <c r="I53386" s="137" t="s">
        <v>74</v>
      </c>
    </row>
    <row r="53387" spans="9:9" x14ac:dyDescent="0.2">
      <c r="I53387" s="137" t="s">
        <v>74</v>
      </c>
    </row>
    <row r="53388" spans="9:9" x14ac:dyDescent="0.2">
      <c r="I53388" s="137" t="s">
        <v>74</v>
      </c>
    </row>
    <row r="53389" spans="9:9" x14ac:dyDescent="0.2">
      <c r="I53389" s="137" t="s">
        <v>74</v>
      </c>
    </row>
    <row r="53390" spans="9:9" x14ac:dyDescent="0.2">
      <c r="I53390" s="137" t="s">
        <v>74</v>
      </c>
    </row>
    <row r="53391" spans="9:9" x14ac:dyDescent="0.2">
      <c r="I53391" s="137" t="s">
        <v>74</v>
      </c>
    </row>
    <row r="53392" spans="9:9" x14ac:dyDescent="0.2">
      <c r="I53392" s="137" t="s">
        <v>74</v>
      </c>
    </row>
    <row r="53393" spans="9:9" x14ac:dyDescent="0.2">
      <c r="I53393" s="137" t="s">
        <v>74</v>
      </c>
    </row>
    <row r="53394" spans="9:9" x14ac:dyDescent="0.2">
      <c r="I53394" s="137" t="s">
        <v>74</v>
      </c>
    </row>
    <row r="53395" spans="9:9" x14ac:dyDescent="0.2">
      <c r="I53395" s="137" t="s">
        <v>74</v>
      </c>
    </row>
    <row r="53396" spans="9:9" x14ac:dyDescent="0.2">
      <c r="I53396" s="137" t="s">
        <v>74</v>
      </c>
    </row>
    <row r="53397" spans="9:9" x14ac:dyDescent="0.2">
      <c r="I53397" s="137" t="s">
        <v>74</v>
      </c>
    </row>
    <row r="53398" spans="9:9" x14ac:dyDescent="0.2">
      <c r="I53398" s="137" t="s">
        <v>74</v>
      </c>
    </row>
    <row r="53399" spans="9:9" x14ac:dyDescent="0.2">
      <c r="I53399" s="137" t="s">
        <v>74</v>
      </c>
    </row>
    <row r="53400" spans="9:9" x14ac:dyDescent="0.2">
      <c r="I53400" s="137" t="s">
        <v>74</v>
      </c>
    </row>
    <row r="53401" spans="9:9" x14ac:dyDescent="0.2">
      <c r="I53401" s="137" t="s">
        <v>74</v>
      </c>
    </row>
    <row r="53402" spans="9:9" x14ac:dyDescent="0.2">
      <c r="I53402" s="137" t="s">
        <v>74</v>
      </c>
    </row>
    <row r="53403" spans="9:9" x14ac:dyDescent="0.2">
      <c r="I53403" s="137" t="s">
        <v>74</v>
      </c>
    </row>
    <row r="53404" spans="9:9" x14ac:dyDescent="0.2">
      <c r="I53404" s="137" t="s">
        <v>74</v>
      </c>
    </row>
    <row r="53405" spans="9:9" x14ac:dyDescent="0.2">
      <c r="I53405" s="137" t="s">
        <v>74</v>
      </c>
    </row>
    <row r="53406" spans="9:9" x14ac:dyDescent="0.2">
      <c r="I53406" s="137" t="s">
        <v>74</v>
      </c>
    </row>
    <row r="53407" spans="9:9" x14ac:dyDescent="0.2">
      <c r="I53407" s="137" t="s">
        <v>74</v>
      </c>
    </row>
    <row r="53408" spans="9:9" x14ac:dyDescent="0.2">
      <c r="I53408" s="137" t="s">
        <v>74</v>
      </c>
    </row>
    <row r="53409" spans="9:9" x14ac:dyDescent="0.2">
      <c r="I53409" s="137" t="s">
        <v>74</v>
      </c>
    </row>
    <row r="53410" spans="9:9" x14ac:dyDescent="0.2">
      <c r="I53410" s="137" t="s">
        <v>74</v>
      </c>
    </row>
    <row r="53411" spans="9:9" x14ac:dyDescent="0.2">
      <c r="I53411" s="137" t="s">
        <v>74</v>
      </c>
    </row>
    <row r="53412" spans="9:9" x14ac:dyDescent="0.2">
      <c r="I53412" s="137" t="s">
        <v>74</v>
      </c>
    </row>
    <row r="53413" spans="9:9" x14ac:dyDescent="0.2">
      <c r="I53413" s="137" t="s">
        <v>74</v>
      </c>
    </row>
    <row r="53414" spans="9:9" x14ac:dyDescent="0.2">
      <c r="I53414" s="137" t="s">
        <v>74</v>
      </c>
    </row>
    <row r="53415" spans="9:9" x14ac:dyDescent="0.2">
      <c r="I53415" s="137" t="s">
        <v>74</v>
      </c>
    </row>
    <row r="53416" spans="9:9" x14ac:dyDescent="0.2">
      <c r="I53416" s="137" t="s">
        <v>74</v>
      </c>
    </row>
    <row r="53417" spans="9:9" x14ac:dyDescent="0.2">
      <c r="I53417" s="137" t="s">
        <v>74</v>
      </c>
    </row>
    <row r="53418" spans="9:9" x14ac:dyDescent="0.2">
      <c r="I53418" s="137" t="s">
        <v>74</v>
      </c>
    </row>
    <row r="53419" spans="9:9" x14ac:dyDescent="0.2">
      <c r="I53419" s="137" t="s">
        <v>74</v>
      </c>
    </row>
    <row r="53420" spans="9:9" x14ac:dyDescent="0.2">
      <c r="I53420" s="137" t="s">
        <v>74</v>
      </c>
    </row>
    <row r="53421" spans="9:9" x14ac:dyDescent="0.2">
      <c r="I53421" s="137" t="s">
        <v>74</v>
      </c>
    </row>
    <row r="53422" spans="9:9" x14ac:dyDescent="0.2">
      <c r="I53422" s="137" t="s">
        <v>74</v>
      </c>
    </row>
    <row r="53423" spans="9:9" x14ac:dyDescent="0.2">
      <c r="I53423" s="137" t="s">
        <v>74</v>
      </c>
    </row>
    <row r="53424" spans="9:9" x14ac:dyDescent="0.2">
      <c r="I53424" s="137" t="s">
        <v>74</v>
      </c>
    </row>
    <row r="53425" spans="9:9" x14ac:dyDescent="0.2">
      <c r="I53425" s="137" t="s">
        <v>74</v>
      </c>
    </row>
    <row r="53426" spans="9:9" x14ac:dyDescent="0.2">
      <c r="I53426" s="137" t="s">
        <v>74</v>
      </c>
    </row>
    <row r="53427" spans="9:9" x14ac:dyDescent="0.2">
      <c r="I53427" s="137" t="s">
        <v>74</v>
      </c>
    </row>
    <row r="53428" spans="9:9" x14ac:dyDescent="0.2">
      <c r="I53428" s="137" t="s">
        <v>74</v>
      </c>
    </row>
    <row r="53429" spans="9:9" x14ac:dyDescent="0.2">
      <c r="I53429" s="137" t="s">
        <v>74</v>
      </c>
    </row>
    <row r="53430" spans="9:9" x14ac:dyDescent="0.2">
      <c r="I53430" s="137" t="s">
        <v>74</v>
      </c>
    </row>
    <row r="53431" spans="9:9" x14ac:dyDescent="0.2">
      <c r="I53431" s="137" t="s">
        <v>74</v>
      </c>
    </row>
    <row r="53432" spans="9:9" x14ac:dyDescent="0.2">
      <c r="I53432" s="137" t="s">
        <v>74</v>
      </c>
    </row>
    <row r="53433" spans="9:9" x14ac:dyDescent="0.2">
      <c r="I53433" s="137" t="s">
        <v>74</v>
      </c>
    </row>
    <row r="53434" spans="9:9" x14ac:dyDescent="0.2">
      <c r="I53434" s="137" t="s">
        <v>74</v>
      </c>
    </row>
    <row r="53435" spans="9:9" x14ac:dyDescent="0.2">
      <c r="I53435" s="137" t="s">
        <v>74</v>
      </c>
    </row>
    <row r="53436" spans="9:9" x14ac:dyDescent="0.2">
      <c r="I53436" s="137" t="s">
        <v>74</v>
      </c>
    </row>
    <row r="53437" spans="9:9" x14ac:dyDescent="0.2">
      <c r="I53437" s="137" t="s">
        <v>74</v>
      </c>
    </row>
    <row r="53438" spans="9:9" x14ac:dyDescent="0.2">
      <c r="I53438" s="137" t="s">
        <v>74</v>
      </c>
    </row>
    <row r="53439" spans="9:9" x14ac:dyDescent="0.2">
      <c r="I53439" s="137" t="s">
        <v>74</v>
      </c>
    </row>
    <row r="53440" spans="9:9" x14ac:dyDescent="0.2">
      <c r="I53440" s="137" t="s">
        <v>74</v>
      </c>
    </row>
    <row r="53441" spans="9:9" x14ac:dyDescent="0.2">
      <c r="I53441" s="137" t="s">
        <v>74</v>
      </c>
    </row>
    <row r="53442" spans="9:9" x14ac:dyDescent="0.2">
      <c r="I53442" s="137" t="s">
        <v>74</v>
      </c>
    </row>
    <row r="53443" spans="9:9" x14ac:dyDescent="0.2">
      <c r="I53443" s="137" t="s">
        <v>74</v>
      </c>
    </row>
    <row r="53444" spans="9:9" x14ac:dyDescent="0.2">
      <c r="I53444" s="137" t="s">
        <v>74</v>
      </c>
    </row>
    <row r="53445" spans="9:9" x14ac:dyDescent="0.2">
      <c r="I53445" s="137" t="s">
        <v>74</v>
      </c>
    </row>
    <row r="53446" spans="9:9" x14ac:dyDescent="0.2">
      <c r="I53446" s="137" t="s">
        <v>74</v>
      </c>
    </row>
    <row r="53447" spans="9:9" x14ac:dyDescent="0.2">
      <c r="I53447" s="137" t="s">
        <v>74</v>
      </c>
    </row>
    <row r="53448" spans="9:9" x14ac:dyDescent="0.2">
      <c r="I53448" s="137" t="s">
        <v>74</v>
      </c>
    </row>
    <row r="53449" spans="9:9" x14ac:dyDescent="0.2">
      <c r="I53449" s="137" t="s">
        <v>74</v>
      </c>
    </row>
    <row r="53450" spans="9:9" x14ac:dyDescent="0.2">
      <c r="I53450" s="137" t="s">
        <v>74</v>
      </c>
    </row>
    <row r="53451" spans="9:9" x14ac:dyDescent="0.2">
      <c r="I53451" s="137" t="s">
        <v>74</v>
      </c>
    </row>
    <row r="53452" spans="9:9" x14ac:dyDescent="0.2">
      <c r="I53452" s="137" t="s">
        <v>74</v>
      </c>
    </row>
    <row r="53453" spans="9:9" x14ac:dyDescent="0.2">
      <c r="I53453" s="137" t="s">
        <v>74</v>
      </c>
    </row>
    <row r="53454" spans="9:9" x14ac:dyDescent="0.2">
      <c r="I53454" s="137" t="s">
        <v>74</v>
      </c>
    </row>
    <row r="53455" spans="9:9" x14ac:dyDescent="0.2">
      <c r="I53455" s="137" t="s">
        <v>74</v>
      </c>
    </row>
    <row r="53456" spans="9:9" x14ac:dyDescent="0.2">
      <c r="I53456" s="137" t="s">
        <v>74</v>
      </c>
    </row>
    <row r="53457" spans="9:9" x14ac:dyDescent="0.2">
      <c r="I53457" s="137" t="s">
        <v>74</v>
      </c>
    </row>
    <row r="53458" spans="9:9" x14ac:dyDescent="0.2">
      <c r="I53458" s="137" t="s">
        <v>74</v>
      </c>
    </row>
    <row r="53459" spans="9:9" x14ac:dyDescent="0.2">
      <c r="I53459" s="137" t="s">
        <v>74</v>
      </c>
    </row>
    <row r="53460" spans="9:9" x14ac:dyDescent="0.2">
      <c r="I53460" s="137" t="s">
        <v>74</v>
      </c>
    </row>
    <row r="53461" spans="9:9" x14ac:dyDescent="0.2">
      <c r="I53461" s="137" t="s">
        <v>74</v>
      </c>
    </row>
    <row r="53462" spans="9:9" x14ac:dyDescent="0.2">
      <c r="I53462" s="137" t="s">
        <v>74</v>
      </c>
    </row>
    <row r="53463" spans="9:9" x14ac:dyDescent="0.2">
      <c r="I53463" s="137" t="s">
        <v>74</v>
      </c>
    </row>
    <row r="53464" spans="9:9" x14ac:dyDescent="0.2">
      <c r="I53464" s="137" t="s">
        <v>74</v>
      </c>
    </row>
    <row r="53465" spans="9:9" x14ac:dyDescent="0.2">
      <c r="I53465" s="137" t="s">
        <v>74</v>
      </c>
    </row>
    <row r="53466" spans="9:9" x14ac:dyDescent="0.2">
      <c r="I53466" s="137" t="s">
        <v>74</v>
      </c>
    </row>
    <row r="53467" spans="9:9" x14ac:dyDescent="0.2">
      <c r="I53467" s="137" t="s">
        <v>74</v>
      </c>
    </row>
    <row r="53468" spans="9:9" x14ac:dyDescent="0.2">
      <c r="I53468" s="137" t="s">
        <v>74</v>
      </c>
    </row>
    <row r="53469" spans="9:9" x14ac:dyDescent="0.2">
      <c r="I53469" s="137" t="s">
        <v>74</v>
      </c>
    </row>
    <row r="53470" spans="9:9" x14ac:dyDescent="0.2">
      <c r="I53470" s="137" t="s">
        <v>74</v>
      </c>
    </row>
    <row r="53471" spans="9:9" x14ac:dyDescent="0.2">
      <c r="I53471" s="137" t="s">
        <v>74</v>
      </c>
    </row>
    <row r="53472" spans="9:9" x14ac:dyDescent="0.2">
      <c r="I53472" s="137" t="s">
        <v>74</v>
      </c>
    </row>
    <row r="53473" spans="9:9" x14ac:dyDescent="0.2">
      <c r="I53473" s="137" t="s">
        <v>74</v>
      </c>
    </row>
    <row r="53474" spans="9:9" x14ac:dyDescent="0.2">
      <c r="I53474" s="137" t="s">
        <v>74</v>
      </c>
    </row>
    <row r="53475" spans="9:9" x14ac:dyDescent="0.2">
      <c r="I53475" s="137" t="s">
        <v>74</v>
      </c>
    </row>
    <row r="53476" spans="9:9" x14ac:dyDescent="0.2">
      <c r="I53476" s="137" t="s">
        <v>74</v>
      </c>
    </row>
    <row r="53477" spans="9:9" x14ac:dyDescent="0.2">
      <c r="I53477" s="137" t="s">
        <v>74</v>
      </c>
    </row>
    <row r="53478" spans="9:9" x14ac:dyDescent="0.2">
      <c r="I53478" s="137" t="s">
        <v>74</v>
      </c>
    </row>
    <row r="53479" spans="9:9" x14ac:dyDescent="0.2">
      <c r="I53479" s="137" t="s">
        <v>74</v>
      </c>
    </row>
    <row r="53480" spans="9:9" x14ac:dyDescent="0.2">
      <c r="I53480" s="137" t="s">
        <v>74</v>
      </c>
    </row>
    <row r="53481" spans="9:9" x14ac:dyDescent="0.2">
      <c r="I53481" s="137" t="s">
        <v>74</v>
      </c>
    </row>
    <row r="53482" spans="9:9" x14ac:dyDescent="0.2">
      <c r="I53482" s="137" t="s">
        <v>74</v>
      </c>
    </row>
    <row r="53483" spans="9:9" x14ac:dyDescent="0.2">
      <c r="I53483" s="137" t="s">
        <v>74</v>
      </c>
    </row>
    <row r="53484" spans="9:9" x14ac:dyDescent="0.2">
      <c r="I53484" s="137" t="s">
        <v>74</v>
      </c>
    </row>
    <row r="53485" spans="9:9" x14ac:dyDescent="0.2">
      <c r="I53485" s="137" t="s">
        <v>74</v>
      </c>
    </row>
    <row r="53486" spans="9:9" x14ac:dyDescent="0.2">
      <c r="I53486" s="137" t="s">
        <v>74</v>
      </c>
    </row>
    <row r="53487" spans="9:9" x14ac:dyDescent="0.2">
      <c r="I53487" s="137" t="s">
        <v>74</v>
      </c>
    </row>
    <row r="53488" spans="9:9" x14ac:dyDescent="0.2">
      <c r="I53488" s="137" t="s">
        <v>74</v>
      </c>
    </row>
    <row r="53489" spans="9:9" x14ac:dyDescent="0.2">
      <c r="I53489" s="137" t="s">
        <v>74</v>
      </c>
    </row>
    <row r="53490" spans="9:9" x14ac:dyDescent="0.2">
      <c r="I53490" s="137" t="s">
        <v>74</v>
      </c>
    </row>
    <row r="53491" spans="9:9" x14ac:dyDescent="0.2">
      <c r="I53491" s="137" t="s">
        <v>74</v>
      </c>
    </row>
    <row r="53492" spans="9:9" x14ac:dyDescent="0.2">
      <c r="I53492" s="137" t="s">
        <v>74</v>
      </c>
    </row>
    <row r="53493" spans="9:9" x14ac:dyDescent="0.2">
      <c r="I53493" s="137" t="s">
        <v>74</v>
      </c>
    </row>
    <row r="53494" spans="9:9" x14ac:dyDescent="0.2">
      <c r="I53494" s="137" t="s">
        <v>74</v>
      </c>
    </row>
    <row r="53495" spans="9:9" x14ac:dyDescent="0.2">
      <c r="I53495" s="137" t="s">
        <v>74</v>
      </c>
    </row>
    <row r="53496" spans="9:9" x14ac:dyDescent="0.2">
      <c r="I53496" s="137" t="s">
        <v>74</v>
      </c>
    </row>
    <row r="53497" spans="9:9" x14ac:dyDescent="0.2">
      <c r="I53497" s="137" t="s">
        <v>74</v>
      </c>
    </row>
    <row r="53498" spans="9:9" x14ac:dyDescent="0.2">
      <c r="I53498" s="137" t="s">
        <v>74</v>
      </c>
    </row>
    <row r="53499" spans="9:9" x14ac:dyDescent="0.2">
      <c r="I53499" s="137" t="s">
        <v>74</v>
      </c>
    </row>
    <row r="53500" spans="9:9" x14ac:dyDescent="0.2">
      <c r="I53500" s="137" t="s">
        <v>74</v>
      </c>
    </row>
    <row r="53501" spans="9:9" x14ac:dyDescent="0.2">
      <c r="I53501" s="137" t="s">
        <v>74</v>
      </c>
    </row>
    <row r="53502" spans="9:9" x14ac:dyDescent="0.2">
      <c r="I53502" s="137" t="s">
        <v>74</v>
      </c>
    </row>
    <row r="53503" spans="9:9" x14ac:dyDescent="0.2">
      <c r="I53503" s="137" t="s">
        <v>74</v>
      </c>
    </row>
    <row r="53504" spans="9:9" x14ac:dyDescent="0.2">
      <c r="I53504" s="137" t="s">
        <v>74</v>
      </c>
    </row>
    <row r="53505" spans="9:9" x14ac:dyDescent="0.2">
      <c r="I53505" s="137" t="s">
        <v>74</v>
      </c>
    </row>
    <row r="53506" spans="9:9" x14ac:dyDescent="0.2">
      <c r="I53506" s="137" t="s">
        <v>74</v>
      </c>
    </row>
    <row r="53507" spans="9:9" x14ac:dyDescent="0.2">
      <c r="I53507" s="137" t="s">
        <v>74</v>
      </c>
    </row>
    <row r="53508" spans="9:9" x14ac:dyDescent="0.2">
      <c r="I53508" s="137" t="s">
        <v>74</v>
      </c>
    </row>
    <row r="53509" spans="9:9" x14ac:dyDescent="0.2">
      <c r="I53509" s="137" t="s">
        <v>74</v>
      </c>
    </row>
    <row r="53510" spans="9:9" x14ac:dyDescent="0.2">
      <c r="I53510" s="137" t="s">
        <v>74</v>
      </c>
    </row>
    <row r="53511" spans="9:9" x14ac:dyDescent="0.2">
      <c r="I53511" s="137" t="s">
        <v>74</v>
      </c>
    </row>
    <row r="53512" spans="9:9" x14ac:dyDescent="0.2">
      <c r="I53512" s="137" t="s">
        <v>74</v>
      </c>
    </row>
    <row r="53513" spans="9:9" x14ac:dyDescent="0.2">
      <c r="I53513" s="137" t="s">
        <v>74</v>
      </c>
    </row>
    <row r="53514" spans="9:9" x14ac:dyDescent="0.2">
      <c r="I53514" s="137" t="s">
        <v>74</v>
      </c>
    </row>
    <row r="53515" spans="9:9" x14ac:dyDescent="0.2">
      <c r="I53515" s="137" t="s">
        <v>74</v>
      </c>
    </row>
    <row r="53516" spans="9:9" x14ac:dyDescent="0.2">
      <c r="I53516" s="137" t="s">
        <v>74</v>
      </c>
    </row>
    <row r="53517" spans="9:9" x14ac:dyDescent="0.2">
      <c r="I53517" s="137" t="s">
        <v>74</v>
      </c>
    </row>
    <row r="53518" spans="9:9" x14ac:dyDescent="0.2">
      <c r="I53518" s="137" t="s">
        <v>74</v>
      </c>
    </row>
    <row r="53519" spans="9:9" x14ac:dyDescent="0.2">
      <c r="I53519" s="137" t="s">
        <v>74</v>
      </c>
    </row>
    <row r="53520" spans="9:9" x14ac:dyDescent="0.2">
      <c r="I53520" s="137" t="s">
        <v>74</v>
      </c>
    </row>
    <row r="53521" spans="9:9" x14ac:dyDescent="0.2">
      <c r="I53521" s="137" t="s">
        <v>74</v>
      </c>
    </row>
    <row r="53522" spans="9:9" x14ac:dyDescent="0.2">
      <c r="I53522" s="137" t="s">
        <v>74</v>
      </c>
    </row>
    <row r="53523" spans="9:9" x14ac:dyDescent="0.2">
      <c r="I53523" s="137" t="s">
        <v>74</v>
      </c>
    </row>
    <row r="53524" spans="9:9" x14ac:dyDescent="0.2">
      <c r="I53524" s="137" t="s">
        <v>74</v>
      </c>
    </row>
    <row r="53525" spans="9:9" x14ac:dyDescent="0.2">
      <c r="I53525" s="137" t="s">
        <v>74</v>
      </c>
    </row>
    <row r="53526" spans="9:9" x14ac:dyDescent="0.2">
      <c r="I53526" s="137" t="s">
        <v>74</v>
      </c>
    </row>
    <row r="53527" spans="9:9" x14ac:dyDescent="0.2">
      <c r="I53527" s="137" t="s">
        <v>74</v>
      </c>
    </row>
    <row r="53528" spans="9:9" x14ac:dyDescent="0.2">
      <c r="I53528" s="137" t="s">
        <v>74</v>
      </c>
    </row>
    <row r="53529" spans="9:9" x14ac:dyDescent="0.2">
      <c r="I53529" s="137" t="s">
        <v>74</v>
      </c>
    </row>
    <row r="53530" spans="9:9" x14ac:dyDescent="0.2">
      <c r="I53530" s="137" t="s">
        <v>74</v>
      </c>
    </row>
    <row r="53531" spans="9:9" x14ac:dyDescent="0.2">
      <c r="I53531" s="137" t="s">
        <v>74</v>
      </c>
    </row>
    <row r="53532" spans="9:9" x14ac:dyDescent="0.2">
      <c r="I53532" s="137" t="s">
        <v>74</v>
      </c>
    </row>
    <row r="53533" spans="9:9" x14ac:dyDescent="0.2">
      <c r="I53533" s="137" t="s">
        <v>74</v>
      </c>
    </row>
    <row r="53534" spans="9:9" x14ac:dyDescent="0.2">
      <c r="I53534" s="137" t="s">
        <v>74</v>
      </c>
    </row>
    <row r="53535" spans="9:9" x14ac:dyDescent="0.2">
      <c r="I53535" s="137" t="s">
        <v>74</v>
      </c>
    </row>
    <row r="53536" spans="9:9" x14ac:dyDescent="0.2">
      <c r="I53536" s="137" t="s">
        <v>74</v>
      </c>
    </row>
    <row r="53537" spans="9:9" x14ac:dyDescent="0.2">
      <c r="I53537" s="137" t="s">
        <v>74</v>
      </c>
    </row>
    <row r="53538" spans="9:9" x14ac:dyDescent="0.2">
      <c r="I53538" s="137" t="s">
        <v>74</v>
      </c>
    </row>
    <row r="53539" spans="9:9" x14ac:dyDescent="0.2">
      <c r="I53539" s="137" t="s">
        <v>74</v>
      </c>
    </row>
    <row r="53540" spans="9:9" x14ac:dyDescent="0.2">
      <c r="I53540" s="137" t="s">
        <v>74</v>
      </c>
    </row>
    <row r="53541" spans="9:9" x14ac:dyDescent="0.2">
      <c r="I53541" s="137" t="s">
        <v>74</v>
      </c>
    </row>
    <row r="53542" spans="9:9" x14ac:dyDescent="0.2">
      <c r="I53542" s="137" t="s">
        <v>74</v>
      </c>
    </row>
    <row r="53543" spans="9:9" x14ac:dyDescent="0.2">
      <c r="I53543" s="137" t="s">
        <v>74</v>
      </c>
    </row>
    <row r="53544" spans="9:9" x14ac:dyDescent="0.2">
      <c r="I53544" s="137" t="s">
        <v>74</v>
      </c>
    </row>
    <row r="53545" spans="9:9" x14ac:dyDescent="0.2">
      <c r="I53545" s="137" t="s">
        <v>74</v>
      </c>
    </row>
    <row r="53546" spans="9:9" x14ac:dyDescent="0.2">
      <c r="I53546" s="137" t="s">
        <v>74</v>
      </c>
    </row>
    <row r="53547" spans="9:9" x14ac:dyDescent="0.2">
      <c r="I53547" s="137" t="s">
        <v>74</v>
      </c>
    </row>
    <row r="53548" spans="9:9" x14ac:dyDescent="0.2">
      <c r="I53548" s="137" t="s">
        <v>74</v>
      </c>
    </row>
    <row r="53549" spans="9:9" x14ac:dyDescent="0.2">
      <c r="I53549" s="137" t="s">
        <v>74</v>
      </c>
    </row>
    <row r="53550" spans="9:9" x14ac:dyDescent="0.2">
      <c r="I53550" s="137" t="s">
        <v>74</v>
      </c>
    </row>
    <row r="53551" spans="9:9" x14ac:dyDescent="0.2">
      <c r="I53551" s="137" t="s">
        <v>74</v>
      </c>
    </row>
    <row r="53552" spans="9:9" x14ac:dyDescent="0.2">
      <c r="I53552" s="137" t="s">
        <v>74</v>
      </c>
    </row>
    <row r="53553" spans="9:9" x14ac:dyDescent="0.2">
      <c r="I53553" s="137" t="s">
        <v>74</v>
      </c>
    </row>
    <row r="53554" spans="9:9" x14ac:dyDescent="0.2">
      <c r="I53554" s="137" t="s">
        <v>74</v>
      </c>
    </row>
    <row r="53555" spans="9:9" x14ac:dyDescent="0.2">
      <c r="I53555" s="137" t="s">
        <v>74</v>
      </c>
    </row>
    <row r="53556" spans="9:9" x14ac:dyDescent="0.2">
      <c r="I53556" s="137" t="s">
        <v>74</v>
      </c>
    </row>
    <row r="53557" spans="9:9" x14ac:dyDescent="0.2">
      <c r="I53557" s="137" t="s">
        <v>74</v>
      </c>
    </row>
    <row r="53558" spans="9:9" x14ac:dyDescent="0.2">
      <c r="I53558" s="137" t="s">
        <v>74</v>
      </c>
    </row>
    <row r="53559" spans="9:9" x14ac:dyDescent="0.2">
      <c r="I53559" s="137" t="s">
        <v>74</v>
      </c>
    </row>
    <row r="53560" spans="9:9" x14ac:dyDescent="0.2">
      <c r="I53560" s="137" t="s">
        <v>74</v>
      </c>
    </row>
    <row r="53561" spans="9:9" x14ac:dyDescent="0.2">
      <c r="I53561" s="137" t="s">
        <v>74</v>
      </c>
    </row>
    <row r="53562" spans="9:9" x14ac:dyDescent="0.2">
      <c r="I53562" s="137" t="s">
        <v>74</v>
      </c>
    </row>
    <row r="53563" spans="9:9" x14ac:dyDescent="0.2">
      <c r="I53563" s="137" t="s">
        <v>74</v>
      </c>
    </row>
    <row r="53564" spans="9:9" x14ac:dyDescent="0.2">
      <c r="I53564" s="137" t="s">
        <v>74</v>
      </c>
    </row>
    <row r="53565" spans="9:9" x14ac:dyDescent="0.2">
      <c r="I53565" s="137" t="s">
        <v>74</v>
      </c>
    </row>
    <row r="53566" spans="9:9" x14ac:dyDescent="0.2">
      <c r="I53566" s="137" t="s">
        <v>74</v>
      </c>
    </row>
    <row r="53567" spans="9:9" x14ac:dyDescent="0.2">
      <c r="I53567" s="137" t="s">
        <v>74</v>
      </c>
    </row>
    <row r="53568" spans="9:9" x14ac:dyDescent="0.2">
      <c r="I53568" s="137" t="s">
        <v>74</v>
      </c>
    </row>
    <row r="53569" spans="9:9" x14ac:dyDescent="0.2">
      <c r="I53569" s="137" t="s">
        <v>74</v>
      </c>
    </row>
    <row r="53570" spans="9:9" x14ac:dyDescent="0.2">
      <c r="I53570" s="137" t="s">
        <v>74</v>
      </c>
    </row>
    <row r="53571" spans="9:9" x14ac:dyDescent="0.2">
      <c r="I53571" s="137" t="s">
        <v>74</v>
      </c>
    </row>
    <row r="53572" spans="9:9" x14ac:dyDescent="0.2">
      <c r="I53572" s="137" t="s">
        <v>74</v>
      </c>
    </row>
    <row r="53573" spans="9:9" x14ac:dyDescent="0.2">
      <c r="I53573" s="137" t="s">
        <v>74</v>
      </c>
    </row>
    <row r="53574" spans="9:9" x14ac:dyDescent="0.2">
      <c r="I53574" s="137" t="s">
        <v>74</v>
      </c>
    </row>
    <row r="53575" spans="9:9" x14ac:dyDescent="0.2">
      <c r="I53575" s="137" t="s">
        <v>74</v>
      </c>
    </row>
    <row r="53576" spans="9:9" x14ac:dyDescent="0.2">
      <c r="I53576" s="137" t="s">
        <v>74</v>
      </c>
    </row>
    <row r="53577" spans="9:9" x14ac:dyDescent="0.2">
      <c r="I53577" s="137" t="s">
        <v>74</v>
      </c>
    </row>
    <row r="53578" spans="9:9" x14ac:dyDescent="0.2">
      <c r="I53578" s="137" t="s">
        <v>74</v>
      </c>
    </row>
    <row r="53579" spans="9:9" x14ac:dyDescent="0.2">
      <c r="I53579" s="137" t="s">
        <v>74</v>
      </c>
    </row>
    <row r="53580" spans="9:9" x14ac:dyDescent="0.2">
      <c r="I53580" s="137" t="s">
        <v>74</v>
      </c>
    </row>
    <row r="53581" spans="9:9" x14ac:dyDescent="0.2">
      <c r="I53581" s="137" t="s">
        <v>74</v>
      </c>
    </row>
    <row r="53582" spans="9:9" x14ac:dyDescent="0.2">
      <c r="I53582" s="137" t="s">
        <v>74</v>
      </c>
    </row>
    <row r="53583" spans="9:9" x14ac:dyDescent="0.2">
      <c r="I53583" s="137" t="s">
        <v>74</v>
      </c>
    </row>
    <row r="53584" spans="9:9" x14ac:dyDescent="0.2">
      <c r="I53584" s="137" t="s">
        <v>74</v>
      </c>
    </row>
    <row r="53585" spans="9:9" x14ac:dyDescent="0.2">
      <c r="I53585" s="137" t="s">
        <v>74</v>
      </c>
    </row>
    <row r="53586" spans="9:9" x14ac:dyDescent="0.2">
      <c r="I53586" s="137" t="s">
        <v>74</v>
      </c>
    </row>
    <row r="53587" spans="9:9" x14ac:dyDescent="0.2">
      <c r="I53587" s="137" t="s">
        <v>74</v>
      </c>
    </row>
    <row r="53588" spans="9:9" x14ac:dyDescent="0.2">
      <c r="I53588" s="137" t="s">
        <v>74</v>
      </c>
    </row>
    <row r="53589" spans="9:9" x14ac:dyDescent="0.2">
      <c r="I53589" s="137" t="s">
        <v>74</v>
      </c>
    </row>
    <row r="53590" spans="9:9" x14ac:dyDescent="0.2">
      <c r="I53590" s="137" t="s">
        <v>74</v>
      </c>
    </row>
    <row r="53591" spans="9:9" x14ac:dyDescent="0.2">
      <c r="I53591" s="137" t="s">
        <v>74</v>
      </c>
    </row>
    <row r="53592" spans="9:9" x14ac:dyDescent="0.2">
      <c r="I53592" s="137" t="s">
        <v>74</v>
      </c>
    </row>
    <row r="53593" spans="9:9" x14ac:dyDescent="0.2">
      <c r="I53593" s="137" t="s">
        <v>74</v>
      </c>
    </row>
    <row r="53594" spans="9:9" x14ac:dyDescent="0.2">
      <c r="I53594" s="137" t="s">
        <v>74</v>
      </c>
    </row>
    <row r="53595" spans="9:9" x14ac:dyDescent="0.2">
      <c r="I53595" s="137" t="s">
        <v>74</v>
      </c>
    </row>
    <row r="53596" spans="9:9" x14ac:dyDescent="0.2">
      <c r="I53596" s="137" t="s">
        <v>74</v>
      </c>
    </row>
    <row r="53597" spans="9:9" x14ac:dyDescent="0.2">
      <c r="I53597" s="137" t="s">
        <v>74</v>
      </c>
    </row>
    <row r="53598" spans="9:9" x14ac:dyDescent="0.2">
      <c r="I53598" s="137" t="s">
        <v>74</v>
      </c>
    </row>
    <row r="53599" spans="9:9" x14ac:dyDescent="0.2">
      <c r="I53599" s="137" t="s">
        <v>74</v>
      </c>
    </row>
    <row r="53600" spans="9:9" x14ac:dyDescent="0.2">
      <c r="I53600" s="137" t="s">
        <v>74</v>
      </c>
    </row>
    <row r="53601" spans="9:9" x14ac:dyDescent="0.2">
      <c r="I53601" s="137" t="s">
        <v>74</v>
      </c>
    </row>
    <row r="53602" spans="9:9" x14ac:dyDescent="0.2">
      <c r="I53602" s="137" t="s">
        <v>74</v>
      </c>
    </row>
    <row r="53603" spans="9:9" x14ac:dyDescent="0.2">
      <c r="I53603" s="137" t="s">
        <v>74</v>
      </c>
    </row>
    <row r="53604" spans="9:9" x14ac:dyDescent="0.2">
      <c r="I53604" s="137" t="s">
        <v>74</v>
      </c>
    </row>
    <row r="53605" spans="9:9" x14ac:dyDescent="0.2">
      <c r="I53605" s="137" t="s">
        <v>74</v>
      </c>
    </row>
    <row r="53606" spans="9:9" x14ac:dyDescent="0.2">
      <c r="I53606" s="137" t="s">
        <v>74</v>
      </c>
    </row>
    <row r="53607" spans="9:9" x14ac:dyDescent="0.2">
      <c r="I53607" s="137" t="s">
        <v>74</v>
      </c>
    </row>
    <row r="53608" spans="9:9" x14ac:dyDescent="0.2">
      <c r="I53608" s="137" t="s">
        <v>74</v>
      </c>
    </row>
    <row r="53609" spans="9:9" x14ac:dyDescent="0.2">
      <c r="I53609" s="137" t="s">
        <v>74</v>
      </c>
    </row>
    <row r="53610" spans="9:9" x14ac:dyDescent="0.2">
      <c r="I53610" s="137" t="s">
        <v>74</v>
      </c>
    </row>
    <row r="53611" spans="9:9" x14ac:dyDescent="0.2">
      <c r="I53611" s="137" t="s">
        <v>74</v>
      </c>
    </row>
    <row r="53612" spans="9:9" x14ac:dyDescent="0.2">
      <c r="I53612" s="137" t="s">
        <v>74</v>
      </c>
    </row>
    <row r="53613" spans="9:9" x14ac:dyDescent="0.2">
      <c r="I53613" s="137" t="s">
        <v>74</v>
      </c>
    </row>
    <row r="53614" spans="9:9" x14ac:dyDescent="0.2">
      <c r="I53614" s="137" t="s">
        <v>74</v>
      </c>
    </row>
    <row r="53615" spans="9:9" x14ac:dyDescent="0.2">
      <c r="I53615" s="137" t="s">
        <v>74</v>
      </c>
    </row>
    <row r="53616" spans="9:9" x14ac:dyDescent="0.2">
      <c r="I53616" s="137" t="s">
        <v>74</v>
      </c>
    </row>
    <row r="53617" spans="9:9" x14ac:dyDescent="0.2">
      <c r="I53617" s="137" t="s">
        <v>74</v>
      </c>
    </row>
    <row r="53618" spans="9:9" x14ac:dyDescent="0.2">
      <c r="I53618" s="137" t="s">
        <v>74</v>
      </c>
    </row>
    <row r="53619" spans="9:9" x14ac:dyDescent="0.2">
      <c r="I53619" s="137" t="s">
        <v>74</v>
      </c>
    </row>
    <row r="53620" spans="9:9" x14ac:dyDescent="0.2">
      <c r="I53620" s="137" t="s">
        <v>74</v>
      </c>
    </row>
    <row r="53621" spans="9:9" x14ac:dyDescent="0.2">
      <c r="I53621" s="137" t="s">
        <v>74</v>
      </c>
    </row>
    <row r="53622" spans="9:9" x14ac:dyDescent="0.2">
      <c r="I53622" s="137" t="s">
        <v>74</v>
      </c>
    </row>
    <row r="53623" spans="9:9" x14ac:dyDescent="0.2">
      <c r="I53623" s="137" t="s">
        <v>74</v>
      </c>
    </row>
    <row r="53624" spans="9:9" x14ac:dyDescent="0.2">
      <c r="I53624" s="137" t="s">
        <v>74</v>
      </c>
    </row>
    <row r="53625" spans="9:9" x14ac:dyDescent="0.2">
      <c r="I53625" s="137" t="s">
        <v>74</v>
      </c>
    </row>
    <row r="53626" spans="9:9" x14ac:dyDescent="0.2">
      <c r="I53626" s="137" t="s">
        <v>74</v>
      </c>
    </row>
    <row r="53627" spans="9:9" x14ac:dyDescent="0.2">
      <c r="I53627" s="137" t="s">
        <v>74</v>
      </c>
    </row>
    <row r="53628" spans="9:9" x14ac:dyDescent="0.2">
      <c r="I53628" s="137" t="s">
        <v>74</v>
      </c>
    </row>
    <row r="53629" spans="9:9" x14ac:dyDescent="0.2">
      <c r="I53629" s="137" t="s">
        <v>74</v>
      </c>
    </row>
    <row r="53630" spans="9:9" x14ac:dyDescent="0.2">
      <c r="I53630" s="137" t="s">
        <v>74</v>
      </c>
    </row>
    <row r="53631" spans="9:9" x14ac:dyDescent="0.2">
      <c r="I53631" s="137" t="s">
        <v>74</v>
      </c>
    </row>
    <row r="53632" spans="9:9" x14ac:dyDescent="0.2">
      <c r="I53632" s="137" t="s">
        <v>74</v>
      </c>
    </row>
    <row r="53633" spans="9:9" x14ac:dyDescent="0.2">
      <c r="I53633" s="137" t="s">
        <v>74</v>
      </c>
    </row>
    <row r="53634" spans="9:9" x14ac:dyDescent="0.2">
      <c r="I53634" s="137" t="s">
        <v>74</v>
      </c>
    </row>
    <row r="53635" spans="9:9" x14ac:dyDescent="0.2">
      <c r="I53635" s="137" t="s">
        <v>74</v>
      </c>
    </row>
    <row r="53636" spans="9:9" x14ac:dyDescent="0.2">
      <c r="I53636" s="137" t="s">
        <v>74</v>
      </c>
    </row>
    <row r="53637" spans="9:9" x14ac:dyDescent="0.2">
      <c r="I53637" s="137" t="s">
        <v>74</v>
      </c>
    </row>
    <row r="53638" spans="9:9" x14ac:dyDescent="0.2">
      <c r="I53638" s="137" t="s">
        <v>74</v>
      </c>
    </row>
    <row r="53639" spans="9:9" x14ac:dyDescent="0.2">
      <c r="I53639" s="137" t="s">
        <v>74</v>
      </c>
    </row>
    <row r="53640" spans="9:9" x14ac:dyDescent="0.2">
      <c r="I53640" s="137" t="s">
        <v>74</v>
      </c>
    </row>
    <row r="53641" spans="9:9" x14ac:dyDescent="0.2">
      <c r="I53641" s="137" t="s">
        <v>74</v>
      </c>
    </row>
    <row r="53642" spans="9:9" x14ac:dyDescent="0.2">
      <c r="I53642" s="137" t="s">
        <v>74</v>
      </c>
    </row>
    <row r="53643" spans="9:9" x14ac:dyDescent="0.2">
      <c r="I53643" s="137" t="s">
        <v>74</v>
      </c>
    </row>
    <row r="53644" spans="9:9" x14ac:dyDescent="0.2">
      <c r="I53644" s="137" t="s">
        <v>74</v>
      </c>
    </row>
    <row r="53645" spans="9:9" x14ac:dyDescent="0.2">
      <c r="I53645" s="137" t="s">
        <v>74</v>
      </c>
    </row>
    <row r="53646" spans="9:9" x14ac:dyDescent="0.2">
      <c r="I53646" s="137" t="s">
        <v>74</v>
      </c>
    </row>
    <row r="53647" spans="9:9" x14ac:dyDescent="0.2">
      <c r="I53647" s="137" t="s">
        <v>74</v>
      </c>
    </row>
    <row r="53648" spans="9:9" x14ac:dyDescent="0.2">
      <c r="I53648" s="137" t="s">
        <v>74</v>
      </c>
    </row>
    <row r="53649" spans="9:9" x14ac:dyDescent="0.2">
      <c r="I53649" s="137" t="s">
        <v>74</v>
      </c>
    </row>
    <row r="53650" spans="9:9" x14ac:dyDescent="0.2">
      <c r="I53650" s="137" t="s">
        <v>74</v>
      </c>
    </row>
    <row r="53651" spans="9:9" x14ac:dyDescent="0.2">
      <c r="I53651" s="137" t="s">
        <v>74</v>
      </c>
    </row>
    <row r="53652" spans="9:9" x14ac:dyDescent="0.2">
      <c r="I53652" s="137" t="s">
        <v>74</v>
      </c>
    </row>
    <row r="53653" spans="9:9" x14ac:dyDescent="0.2">
      <c r="I53653" s="137" t="s">
        <v>74</v>
      </c>
    </row>
    <row r="53654" spans="9:9" x14ac:dyDescent="0.2">
      <c r="I53654" s="137" t="s">
        <v>74</v>
      </c>
    </row>
    <row r="53655" spans="9:9" x14ac:dyDescent="0.2">
      <c r="I53655" s="137" t="s">
        <v>74</v>
      </c>
    </row>
    <row r="53656" spans="9:9" x14ac:dyDescent="0.2">
      <c r="I53656" s="137" t="s">
        <v>74</v>
      </c>
    </row>
    <row r="53657" spans="9:9" x14ac:dyDescent="0.2">
      <c r="I53657" s="137" t="s">
        <v>74</v>
      </c>
    </row>
    <row r="53658" spans="9:9" x14ac:dyDescent="0.2">
      <c r="I53658" s="137" t="s">
        <v>74</v>
      </c>
    </row>
    <row r="53659" spans="9:9" x14ac:dyDescent="0.2">
      <c r="I53659" s="137" t="s">
        <v>74</v>
      </c>
    </row>
    <row r="53660" spans="9:9" x14ac:dyDescent="0.2">
      <c r="I53660" s="137" t="s">
        <v>74</v>
      </c>
    </row>
    <row r="53661" spans="9:9" x14ac:dyDescent="0.2">
      <c r="I53661" s="137" t="s">
        <v>74</v>
      </c>
    </row>
    <row r="53662" spans="9:9" x14ac:dyDescent="0.2">
      <c r="I53662" s="137" t="s">
        <v>74</v>
      </c>
    </row>
    <row r="53663" spans="9:9" x14ac:dyDescent="0.2">
      <c r="I53663" s="137" t="s">
        <v>74</v>
      </c>
    </row>
    <row r="53664" spans="9:9" x14ac:dyDescent="0.2">
      <c r="I53664" s="137" t="s">
        <v>74</v>
      </c>
    </row>
    <row r="53665" spans="9:9" x14ac:dyDescent="0.2">
      <c r="I53665" s="137" t="s">
        <v>74</v>
      </c>
    </row>
    <row r="53666" spans="9:9" x14ac:dyDescent="0.2">
      <c r="I53666" s="137" t="s">
        <v>74</v>
      </c>
    </row>
    <row r="53667" spans="9:9" x14ac:dyDescent="0.2">
      <c r="I53667" s="137" t="s">
        <v>74</v>
      </c>
    </row>
    <row r="53668" spans="9:9" x14ac:dyDescent="0.2">
      <c r="I53668" s="137" t="s">
        <v>74</v>
      </c>
    </row>
    <row r="53669" spans="9:9" x14ac:dyDescent="0.2">
      <c r="I53669" s="137" t="s">
        <v>74</v>
      </c>
    </row>
    <row r="53670" spans="9:9" x14ac:dyDescent="0.2">
      <c r="I53670" s="137" t="s">
        <v>74</v>
      </c>
    </row>
    <row r="53671" spans="9:9" x14ac:dyDescent="0.2">
      <c r="I53671" s="137" t="s">
        <v>74</v>
      </c>
    </row>
    <row r="53672" spans="9:9" x14ac:dyDescent="0.2">
      <c r="I53672" s="137" t="s">
        <v>74</v>
      </c>
    </row>
    <row r="53673" spans="9:9" x14ac:dyDescent="0.2">
      <c r="I53673" s="137" t="s">
        <v>74</v>
      </c>
    </row>
    <row r="53674" spans="9:9" x14ac:dyDescent="0.2">
      <c r="I53674" s="137" t="s">
        <v>74</v>
      </c>
    </row>
    <row r="53675" spans="9:9" x14ac:dyDescent="0.2">
      <c r="I53675" s="137" t="s">
        <v>74</v>
      </c>
    </row>
    <row r="53676" spans="9:9" x14ac:dyDescent="0.2">
      <c r="I53676" s="137" t="s">
        <v>74</v>
      </c>
    </row>
    <row r="53677" spans="9:9" x14ac:dyDescent="0.2">
      <c r="I53677" s="137" t="s">
        <v>74</v>
      </c>
    </row>
    <row r="53678" spans="9:9" x14ac:dyDescent="0.2">
      <c r="I53678" s="137" t="s">
        <v>74</v>
      </c>
    </row>
    <row r="53679" spans="9:9" x14ac:dyDescent="0.2">
      <c r="I53679" s="137" t="s">
        <v>74</v>
      </c>
    </row>
    <row r="53680" spans="9:9" x14ac:dyDescent="0.2">
      <c r="I53680" s="137" t="s">
        <v>74</v>
      </c>
    </row>
    <row r="53681" spans="9:9" x14ac:dyDescent="0.2">
      <c r="I53681" s="137" t="s">
        <v>74</v>
      </c>
    </row>
    <row r="53682" spans="9:9" x14ac:dyDescent="0.2">
      <c r="I53682" s="137" t="s">
        <v>74</v>
      </c>
    </row>
    <row r="53683" spans="9:9" x14ac:dyDescent="0.2">
      <c r="I53683" s="137" t="s">
        <v>74</v>
      </c>
    </row>
    <row r="53684" spans="9:9" x14ac:dyDescent="0.2">
      <c r="I53684" s="137" t="s">
        <v>74</v>
      </c>
    </row>
    <row r="53685" spans="9:9" x14ac:dyDescent="0.2">
      <c r="I53685" s="137" t="s">
        <v>74</v>
      </c>
    </row>
    <row r="53686" spans="9:9" x14ac:dyDescent="0.2">
      <c r="I53686" s="137" t="s">
        <v>74</v>
      </c>
    </row>
    <row r="53687" spans="9:9" x14ac:dyDescent="0.2">
      <c r="I53687" s="137" t="s">
        <v>74</v>
      </c>
    </row>
    <row r="53688" spans="9:9" x14ac:dyDescent="0.2">
      <c r="I53688" s="137" t="s">
        <v>74</v>
      </c>
    </row>
    <row r="53689" spans="9:9" x14ac:dyDescent="0.2">
      <c r="I53689" s="137" t="s">
        <v>74</v>
      </c>
    </row>
    <row r="53690" spans="9:9" x14ac:dyDescent="0.2">
      <c r="I53690" s="137" t="s">
        <v>74</v>
      </c>
    </row>
    <row r="53691" spans="9:9" x14ac:dyDescent="0.2">
      <c r="I53691" s="137" t="s">
        <v>74</v>
      </c>
    </row>
    <row r="53692" spans="9:9" x14ac:dyDescent="0.2">
      <c r="I53692" s="137" t="s">
        <v>74</v>
      </c>
    </row>
    <row r="53693" spans="9:9" x14ac:dyDescent="0.2">
      <c r="I53693" s="137" t="s">
        <v>74</v>
      </c>
    </row>
    <row r="53694" spans="9:9" x14ac:dyDescent="0.2">
      <c r="I53694" s="137" t="s">
        <v>74</v>
      </c>
    </row>
    <row r="53695" spans="9:9" x14ac:dyDescent="0.2">
      <c r="I53695" s="137" t="s">
        <v>74</v>
      </c>
    </row>
    <row r="53696" spans="9:9" x14ac:dyDescent="0.2">
      <c r="I53696" s="137" t="s">
        <v>74</v>
      </c>
    </row>
    <row r="53697" spans="9:9" x14ac:dyDescent="0.2">
      <c r="I53697" s="137" t="s">
        <v>74</v>
      </c>
    </row>
    <row r="53698" spans="9:9" x14ac:dyDescent="0.2">
      <c r="I53698" s="137" t="s">
        <v>74</v>
      </c>
    </row>
    <row r="53699" spans="9:9" x14ac:dyDescent="0.2">
      <c r="I53699" s="137" t="s">
        <v>74</v>
      </c>
    </row>
    <row r="53700" spans="9:9" x14ac:dyDescent="0.2">
      <c r="I53700" s="137" t="s">
        <v>74</v>
      </c>
    </row>
    <row r="53701" spans="9:9" x14ac:dyDescent="0.2">
      <c r="I53701" s="137" t="s">
        <v>74</v>
      </c>
    </row>
    <row r="53702" spans="9:9" x14ac:dyDescent="0.2">
      <c r="I53702" s="137" t="s">
        <v>74</v>
      </c>
    </row>
    <row r="53703" spans="9:9" x14ac:dyDescent="0.2">
      <c r="I53703" s="137" t="s">
        <v>74</v>
      </c>
    </row>
    <row r="53704" spans="9:9" x14ac:dyDescent="0.2">
      <c r="I53704" s="137" t="s">
        <v>74</v>
      </c>
    </row>
    <row r="53705" spans="9:9" x14ac:dyDescent="0.2">
      <c r="I53705" s="137" t="s">
        <v>74</v>
      </c>
    </row>
    <row r="53706" spans="9:9" x14ac:dyDescent="0.2">
      <c r="I53706" s="137" t="s">
        <v>74</v>
      </c>
    </row>
    <row r="53707" spans="9:9" x14ac:dyDescent="0.2">
      <c r="I53707" s="137" t="s">
        <v>74</v>
      </c>
    </row>
    <row r="53708" spans="9:9" x14ac:dyDescent="0.2">
      <c r="I53708" s="137" t="s">
        <v>74</v>
      </c>
    </row>
    <row r="53709" spans="9:9" x14ac:dyDescent="0.2">
      <c r="I53709" s="137" t="s">
        <v>74</v>
      </c>
    </row>
    <row r="53710" spans="9:9" x14ac:dyDescent="0.2">
      <c r="I53710" s="137" t="s">
        <v>74</v>
      </c>
    </row>
    <row r="53711" spans="9:9" x14ac:dyDescent="0.2">
      <c r="I53711" s="137" t="s">
        <v>74</v>
      </c>
    </row>
    <row r="53712" spans="9:9" x14ac:dyDescent="0.2">
      <c r="I53712" s="137" t="s">
        <v>74</v>
      </c>
    </row>
    <row r="53713" spans="9:9" x14ac:dyDescent="0.2">
      <c r="I53713" s="137" t="s">
        <v>74</v>
      </c>
    </row>
    <row r="53714" spans="9:9" x14ac:dyDescent="0.2">
      <c r="I53714" s="137" t="s">
        <v>74</v>
      </c>
    </row>
    <row r="53715" spans="9:9" x14ac:dyDescent="0.2">
      <c r="I53715" s="137" t="s">
        <v>74</v>
      </c>
    </row>
    <row r="53716" spans="9:9" x14ac:dyDescent="0.2">
      <c r="I53716" s="137" t="s">
        <v>74</v>
      </c>
    </row>
    <row r="53717" spans="9:9" x14ac:dyDescent="0.2">
      <c r="I53717" s="137" t="s">
        <v>74</v>
      </c>
    </row>
    <row r="53718" spans="9:9" x14ac:dyDescent="0.2">
      <c r="I53718" s="137" t="s">
        <v>74</v>
      </c>
    </row>
    <row r="53719" spans="9:9" x14ac:dyDescent="0.2">
      <c r="I53719" s="137" t="s">
        <v>74</v>
      </c>
    </row>
    <row r="53720" spans="9:9" x14ac:dyDescent="0.2">
      <c r="I53720" s="137" t="s">
        <v>74</v>
      </c>
    </row>
    <row r="53721" spans="9:9" x14ac:dyDescent="0.2">
      <c r="I53721" s="137" t="s">
        <v>74</v>
      </c>
    </row>
    <row r="53722" spans="9:9" x14ac:dyDescent="0.2">
      <c r="I53722" s="137" t="s">
        <v>74</v>
      </c>
    </row>
    <row r="53723" spans="9:9" x14ac:dyDescent="0.2">
      <c r="I53723" s="137" t="s">
        <v>74</v>
      </c>
    </row>
    <row r="53724" spans="9:9" x14ac:dyDescent="0.2">
      <c r="I53724" s="137" t="s">
        <v>74</v>
      </c>
    </row>
    <row r="53725" spans="9:9" x14ac:dyDescent="0.2">
      <c r="I53725" s="137" t="s">
        <v>74</v>
      </c>
    </row>
    <row r="53726" spans="9:9" x14ac:dyDescent="0.2">
      <c r="I53726" s="137" t="s">
        <v>74</v>
      </c>
    </row>
    <row r="53727" spans="9:9" x14ac:dyDescent="0.2">
      <c r="I53727" s="137" t="s">
        <v>74</v>
      </c>
    </row>
    <row r="53728" spans="9:9" x14ac:dyDescent="0.2">
      <c r="I53728" s="137" t="s">
        <v>74</v>
      </c>
    </row>
    <row r="53729" spans="9:9" x14ac:dyDescent="0.2">
      <c r="I53729" s="137" t="s">
        <v>74</v>
      </c>
    </row>
    <row r="53730" spans="9:9" x14ac:dyDescent="0.2">
      <c r="I53730" s="137" t="s">
        <v>74</v>
      </c>
    </row>
    <row r="53731" spans="9:9" x14ac:dyDescent="0.2">
      <c r="I53731" s="137" t="s">
        <v>74</v>
      </c>
    </row>
    <row r="53732" spans="9:9" x14ac:dyDescent="0.2">
      <c r="I53732" s="137" t="s">
        <v>74</v>
      </c>
    </row>
    <row r="53733" spans="9:9" x14ac:dyDescent="0.2">
      <c r="I53733" s="137" t="s">
        <v>74</v>
      </c>
    </row>
    <row r="53734" spans="9:9" x14ac:dyDescent="0.2">
      <c r="I53734" s="137" t="s">
        <v>74</v>
      </c>
    </row>
    <row r="53735" spans="9:9" x14ac:dyDescent="0.2">
      <c r="I53735" s="137" t="s">
        <v>74</v>
      </c>
    </row>
    <row r="53736" spans="9:9" x14ac:dyDescent="0.2">
      <c r="I53736" s="137" t="s">
        <v>74</v>
      </c>
    </row>
    <row r="53737" spans="9:9" x14ac:dyDescent="0.2">
      <c r="I53737" s="137" t="s">
        <v>74</v>
      </c>
    </row>
    <row r="53738" spans="9:9" x14ac:dyDescent="0.2">
      <c r="I53738" s="137" t="s">
        <v>74</v>
      </c>
    </row>
    <row r="53739" spans="9:9" x14ac:dyDescent="0.2">
      <c r="I53739" s="137" t="s">
        <v>74</v>
      </c>
    </row>
    <row r="53740" spans="9:9" x14ac:dyDescent="0.2">
      <c r="I53740" s="137" t="s">
        <v>74</v>
      </c>
    </row>
    <row r="53741" spans="9:9" x14ac:dyDescent="0.2">
      <c r="I53741" s="137" t="s">
        <v>74</v>
      </c>
    </row>
    <row r="53742" spans="9:9" x14ac:dyDescent="0.2">
      <c r="I53742" s="137" t="s">
        <v>74</v>
      </c>
    </row>
    <row r="53743" spans="9:9" x14ac:dyDescent="0.2">
      <c r="I53743" s="137" t="s">
        <v>74</v>
      </c>
    </row>
    <row r="53744" spans="9:9" x14ac:dyDescent="0.2">
      <c r="I53744" s="137" t="s">
        <v>74</v>
      </c>
    </row>
    <row r="53745" spans="9:9" x14ac:dyDescent="0.2">
      <c r="I53745" s="137" t="s">
        <v>74</v>
      </c>
    </row>
    <row r="53746" spans="9:9" x14ac:dyDescent="0.2">
      <c r="I53746" s="137" t="s">
        <v>74</v>
      </c>
    </row>
    <row r="53747" spans="9:9" x14ac:dyDescent="0.2">
      <c r="I53747" s="137" t="s">
        <v>74</v>
      </c>
    </row>
    <row r="53748" spans="9:9" x14ac:dyDescent="0.2">
      <c r="I53748" s="137" t="s">
        <v>74</v>
      </c>
    </row>
    <row r="53749" spans="9:9" x14ac:dyDescent="0.2">
      <c r="I53749" s="137" t="s">
        <v>74</v>
      </c>
    </row>
    <row r="53750" spans="9:9" x14ac:dyDescent="0.2">
      <c r="I53750" s="137" t="s">
        <v>74</v>
      </c>
    </row>
    <row r="53751" spans="9:9" x14ac:dyDescent="0.2">
      <c r="I53751" s="137" t="s">
        <v>74</v>
      </c>
    </row>
    <row r="53752" spans="9:9" x14ac:dyDescent="0.2">
      <c r="I53752" s="137" t="s">
        <v>74</v>
      </c>
    </row>
    <row r="53753" spans="9:9" x14ac:dyDescent="0.2">
      <c r="I53753" s="137" t="s">
        <v>74</v>
      </c>
    </row>
    <row r="53754" spans="9:9" x14ac:dyDescent="0.2">
      <c r="I53754" s="137" t="s">
        <v>74</v>
      </c>
    </row>
    <row r="53755" spans="9:9" x14ac:dyDescent="0.2">
      <c r="I53755" s="137" t="s">
        <v>74</v>
      </c>
    </row>
    <row r="53756" spans="9:9" x14ac:dyDescent="0.2">
      <c r="I53756" s="137" t="s">
        <v>74</v>
      </c>
    </row>
    <row r="53757" spans="9:9" x14ac:dyDescent="0.2">
      <c r="I53757" s="137" t="s">
        <v>74</v>
      </c>
    </row>
    <row r="53758" spans="9:9" x14ac:dyDescent="0.2">
      <c r="I53758" s="137" t="s">
        <v>74</v>
      </c>
    </row>
    <row r="53759" spans="9:9" x14ac:dyDescent="0.2">
      <c r="I53759" s="137" t="s">
        <v>74</v>
      </c>
    </row>
    <row r="53760" spans="9:9" x14ac:dyDescent="0.2">
      <c r="I53760" s="137" t="s">
        <v>74</v>
      </c>
    </row>
    <row r="53761" spans="9:9" x14ac:dyDescent="0.2">
      <c r="I53761" s="137" t="s">
        <v>74</v>
      </c>
    </row>
    <row r="53762" spans="9:9" x14ac:dyDescent="0.2">
      <c r="I53762" s="137" t="s">
        <v>74</v>
      </c>
    </row>
    <row r="53763" spans="9:9" x14ac:dyDescent="0.2">
      <c r="I53763" s="137" t="s">
        <v>74</v>
      </c>
    </row>
    <row r="53764" spans="9:9" x14ac:dyDescent="0.2">
      <c r="I53764" s="137" t="s">
        <v>74</v>
      </c>
    </row>
    <row r="53765" spans="9:9" x14ac:dyDescent="0.2">
      <c r="I53765" s="137" t="s">
        <v>74</v>
      </c>
    </row>
    <row r="53766" spans="9:9" x14ac:dyDescent="0.2">
      <c r="I53766" s="137" t="s">
        <v>74</v>
      </c>
    </row>
    <row r="53767" spans="9:9" x14ac:dyDescent="0.2">
      <c r="I53767" s="137" t="s">
        <v>74</v>
      </c>
    </row>
    <row r="53768" spans="9:9" x14ac:dyDescent="0.2">
      <c r="I53768" s="137" t="s">
        <v>74</v>
      </c>
    </row>
    <row r="53769" spans="9:9" x14ac:dyDescent="0.2">
      <c r="I53769" s="137" t="s">
        <v>74</v>
      </c>
    </row>
    <row r="53770" spans="9:9" x14ac:dyDescent="0.2">
      <c r="I53770" s="137" t="s">
        <v>74</v>
      </c>
    </row>
    <row r="53771" spans="9:9" x14ac:dyDescent="0.2">
      <c r="I53771" s="137" t="s">
        <v>74</v>
      </c>
    </row>
    <row r="53772" spans="9:9" x14ac:dyDescent="0.2">
      <c r="I53772" s="137" t="s">
        <v>74</v>
      </c>
    </row>
    <row r="53773" spans="9:9" x14ac:dyDescent="0.2">
      <c r="I53773" s="137" t="s">
        <v>74</v>
      </c>
    </row>
    <row r="53774" spans="9:9" x14ac:dyDescent="0.2">
      <c r="I53774" s="137" t="s">
        <v>74</v>
      </c>
    </row>
    <row r="53775" spans="9:9" x14ac:dyDescent="0.2">
      <c r="I53775" s="137" t="s">
        <v>74</v>
      </c>
    </row>
    <row r="53776" spans="9:9" x14ac:dyDescent="0.2">
      <c r="I53776" s="137" t="s">
        <v>74</v>
      </c>
    </row>
    <row r="53777" spans="9:9" x14ac:dyDescent="0.2">
      <c r="I53777" s="137" t="s">
        <v>74</v>
      </c>
    </row>
    <row r="53778" spans="9:9" x14ac:dyDescent="0.2">
      <c r="I53778" s="137" t="s">
        <v>74</v>
      </c>
    </row>
    <row r="53779" spans="9:9" x14ac:dyDescent="0.2">
      <c r="I53779" s="137" t="s">
        <v>74</v>
      </c>
    </row>
    <row r="53780" spans="9:9" x14ac:dyDescent="0.2">
      <c r="I53780" s="137" t="s">
        <v>74</v>
      </c>
    </row>
    <row r="53781" spans="9:9" x14ac:dyDescent="0.2">
      <c r="I53781" s="137" t="s">
        <v>74</v>
      </c>
    </row>
    <row r="53782" spans="9:9" x14ac:dyDescent="0.2">
      <c r="I53782" s="137" t="s">
        <v>74</v>
      </c>
    </row>
    <row r="53783" spans="9:9" x14ac:dyDescent="0.2">
      <c r="I53783" s="137" t="s">
        <v>74</v>
      </c>
    </row>
    <row r="53784" spans="9:9" x14ac:dyDescent="0.2">
      <c r="I53784" s="137" t="s">
        <v>74</v>
      </c>
    </row>
    <row r="53785" spans="9:9" x14ac:dyDescent="0.2">
      <c r="I53785" s="137" t="s">
        <v>74</v>
      </c>
    </row>
    <row r="53786" spans="9:9" x14ac:dyDescent="0.2">
      <c r="I53786" s="137" t="s">
        <v>74</v>
      </c>
    </row>
    <row r="53787" spans="9:9" x14ac:dyDescent="0.2">
      <c r="I53787" s="137" t="s">
        <v>74</v>
      </c>
    </row>
    <row r="53788" spans="9:9" x14ac:dyDescent="0.2">
      <c r="I53788" s="137" t="s">
        <v>74</v>
      </c>
    </row>
    <row r="53789" spans="9:9" x14ac:dyDescent="0.2">
      <c r="I53789" s="137" t="s">
        <v>74</v>
      </c>
    </row>
    <row r="53790" spans="9:9" x14ac:dyDescent="0.2">
      <c r="I53790" s="137" t="s">
        <v>74</v>
      </c>
    </row>
    <row r="53791" spans="9:9" x14ac:dyDescent="0.2">
      <c r="I53791" s="137" t="s">
        <v>74</v>
      </c>
    </row>
    <row r="53792" spans="9:9" x14ac:dyDescent="0.2">
      <c r="I53792" s="137" t="s">
        <v>74</v>
      </c>
    </row>
    <row r="53793" spans="9:9" x14ac:dyDescent="0.2">
      <c r="I53793" s="137" t="s">
        <v>74</v>
      </c>
    </row>
    <row r="53794" spans="9:9" x14ac:dyDescent="0.2">
      <c r="I53794" s="137" t="s">
        <v>74</v>
      </c>
    </row>
    <row r="53795" spans="9:9" x14ac:dyDescent="0.2">
      <c r="I53795" s="137" t="s">
        <v>74</v>
      </c>
    </row>
    <row r="53796" spans="9:9" x14ac:dyDescent="0.2">
      <c r="I53796" s="137" t="s">
        <v>74</v>
      </c>
    </row>
    <row r="53797" spans="9:9" x14ac:dyDescent="0.2">
      <c r="I53797" s="137" t="s">
        <v>74</v>
      </c>
    </row>
    <row r="53798" spans="9:9" x14ac:dyDescent="0.2">
      <c r="I53798" s="137" t="s">
        <v>74</v>
      </c>
    </row>
    <row r="53799" spans="9:9" x14ac:dyDescent="0.2">
      <c r="I53799" s="137" t="s">
        <v>74</v>
      </c>
    </row>
    <row r="53800" spans="9:9" x14ac:dyDescent="0.2">
      <c r="I53800" s="137" t="s">
        <v>74</v>
      </c>
    </row>
    <row r="53801" spans="9:9" x14ac:dyDescent="0.2">
      <c r="I53801" s="137" t="s">
        <v>74</v>
      </c>
    </row>
    <row r="53802" spans="9:9" x14ac:dyDescent="0.2">
      <c r="I53802" s="137" t="s">
        <v>74</v>
      </c>
    </row>
    <row r="53803" spans="9:9" x14ac:dyDescent="0.2">
      <c r="I53803" s="137" t="s">
        <v>74</v>
      </c>
    </row>
    <row r="53804" spans="9:9" x14ac:dyDescent="0.2">
      <c r="I53804" s="137" t="s">
        <v>74</v>
      </c>
    </row>
    <row r="53805" spans="9:9" x14ac:dyDescent="0.2">
      <c r="I53805" s="137" t="s">
        <v>74</v>
      </c>
    </row>
    <row r="53806" spans="9:9" x14ac:dyDescent="0.2">
      <c r="I53806" s="137" t="s">
        <v>74</v>
      </c>
    </row>
    <row r="53807" spans="9:9" x14ac:dyDescent="0.2">
      <c r="I53807" s="137" t="s">
        <v>74</v>
      </c>
    </row>
    <row r="53808" spans="9:9" x14ac:dyDescent="0.2">
      <c r="I53808" s="137" t="s">
        <v>74</v>
      </c>
    </row>
    <row r="53809" spans="9:9" x14ac:dyDescent="0.2">
      <c r="I53809" s="137" t="s">
        <v>74</v>
      </c>
    </row>
    <row r="53810" spans="9:9" x14ac:dyDescent="0.2">
      <c r="I53810" s="137" t="s">
        <v>74</v>
      </c>
    </row>
    <row r="53811" spans="9:9" x14ac:dyDescent="0.2">
      <c r="I53811" s="137" t="s">
        <v>74</v>
      </c>
    </row>
    <row r="53812" spans="9:9" x14ac:dyDescent="0.2">
      <c r="I53812" s="137" t="s">
        <v>74</v>
      </c>
    </row>
    <row r="53813" spans="9:9" x14ac:dyDescent="0.2">
      <c r="I53813" s="137" t="s">
        <v>74</v>
      </c>
    </row>
    <row r="53814" spans="9:9" x14ac:dyDescent="0.2">
      <c r="I53814" s="137" t="s">
        <v>74</v>
      </c>
    </row>
    <row r="53815" spans="9:9" x14ac:dyDescent="0.2">
      <c r="I53815" s="137" t="s">
        <v>74</v>
      </c>
    </row>
    <row r="53816" spans="9:9" x14ac:dyDescent="0.2">
      <c r="I53816" s="137" t="s">
        <v>74</v>
      </c>
    </row>
    <row r="53817" spans="9:9" x14ac:dyDescent="0.2">
      <c r="I53817" s="137" t="s">
        <v>74</v>
      </c>
    </row>
    <row r="53818" spans="9:9" x14ac:dyDescent="0.2">
      <c r="I53818" s="137" t="s">
        <v>74</v>
      </c>
    </row>
    <row r="53819" spans="9:9" x14ac:dyDescent="0.2">
      <c r="I53819" s="137" t="s">
        <v>74</v>
      </c>
    </row>
    <row r="53820" spans="9:9" x14ac:dyDescent="0.2">
      <c r="I53820" s="137" t="s">
        <v>74</v>
      </c>
    </row>
    <row r="53821" spans="9:9" x14ac:dyDescent="0.2">
      <c r="I53821" s="137" t="s">
        <v>74</v>
      </c>
    </row>
    <row r="53822" spans="9:9" x14ac:dyDescent="0.2">
      <c r="I53822" s="137" t="s">
        <v>74</v>
      </c>
    </row>
    <row r="53823" spans="9:9" x14ac:dyDescent="0.2">
      <c r="I53823" s="137" t="s">
        <v>74</v>
      </c>
    </row>
    <row r="53824" spans="9:9" x14ac:dyDescent="0.2">
      <c r="I53824" s="137" t="s">
        <v>74</v>
      </c>
    </row>
    <row r="53825" spans="9:9" x14ac:dyDescent="0.2">
      <c r="I53825" s="137" t="s">
        <v>74</v>
      </c>
    </row>
    <row r="53826" spans="9:9" x14ac:dyDescent="0.2">
      <c r="I53826" s="137" t="s">
        <v>74</v>
      </c>
    </row>
    <row r="53827" spans="9:9" x14ac:dyDescent="0.2">
      <c r="I53827" s="137" t="s">
        <v>74</v>
      </c>
    </row>
    <row r="53828" spans="9:9" x14ac:dyDescent="0.2">
      <c r="I53828" s="137" t="s">
        <v>74</v>
      </c>
    </row>
    <row r="53829" spans="9:9" x14ac:dyDescent="0.2">
      <c r="I53829" s="137" t="s">
        <v>74</v>
      </c>
    </row>
    <row r="53830" spans="9:9" x14ac:dyDescent="0.2">
      <c r="I53830" s="137" t="s">
        <v>74</v>
      </c>
    </row>
    <row r="53831" spans="9:9" x14ac:dyDescent="0.2">
      <c r="I53831" s="137" t="s">
        <v>74</v>
      </c>
    </row>
    <row r="53832" spans="9:9" x14ac:dyDescent="0.2">
      <c r="I53832" s="137" t="s">
        <v>74</v>
      </c>
    </row>
    <row r="53833" spans="9:9" x14ac:dyDescent="0.2">
      <c r="I53833" s="137" t="s">
        <v>74</v>
      </c>
    </row>
    <row r="53834" spans="9:9" x14ac:dyDescent="0.2">
      <c r="I53834" s="137" t="s">
        <v>74</v>
      </c>
    </row>
    <row r="53835" spans="9:9" x14ac:dyDescent="0.2">
      <c r="I53835" s="137" t="s">
        <v>74</v>
      </c>
    </row>
    <row r="53836" spans="9:9" x14ac:dyDescent="0.2">
      <c r="I53836" s="137" t="s">
        <v>74</v>
      </c>
    </row>
    <row r="53837" spans="9:9" x14ac:dyDescent="0.2">
      <c r="I53837" s="137" t="s">
        <v>74</v>
      </c>
    </row>
    <row r="53838" spans="9:9" x14ac:dyDescent="0.2">
      <c r="I53838" s="137" t="s">
        <v>74</v>
      </c>
    </row>
    <row r="53839" spans="9:9" x14ac:dyDescent="0.2">
      <c r="I53839" s="137" t="s">
        <v>74</v>
      </c>
    </row>
    <row r="53840" spans="9:9" x14ac:dyDescent="0.2">
      <c r="I53840" s="137" t="s">
        <v>74</v>
      </c>
    </row>
    <row r="53841" spans="9:9" x14ac:dyDescent="0.2">
      <c r="I53841" s="137" t="s">
        <v>74</v>
      </c>
    </row>
    <row r="53842" spans="9:9" x14ac:dyDescent="0.2">
      <c r="I53842" s="137" t="s">
        <v>74</v>
      </c>
    </row>
    <row r="53843" spans="9:9" x14ac:dyDescent="0.2">
      <c r="I53843" s="137" t="s">
        <v>74</v>
      </c>
    </row>
    <row r="53844" spans="9:9" x14ac:dyDescent="0.2">
      <c r="I53844" s="137" t="s">
        <v>74</v>
      </c>
    </row>
    <row r="53845" spans="9:9" x14ac:dyDescent="0.2">
      <c r="I53845" s="137" t="s">
        <v>74</v>
      </c>
    </row>
    <row r="53846" spans="9:9" x14ac:dyDescent="0.2">
      <c r="I53846" s="137" t="s">
        <v>74</v>
      </c>
    </row>
    <row r="53847" spans="9:9" x14ac:dyDescent="0.2">
      <c r="I53847" s="137" t="s">
        <v>74</v>
      </c>
    </row>
    <row r="53848" spans="9:9" x14ac:dyDescent="0.2">
      <c r="I53848" s="137" t="s">
        <v>74</v>
      </c>
    </row>
    <row r="53849" spans="9:9" x14ac:dyDescent="0.2">
      <c r="I53849" s="137" t="s">
        <v>74</v>
      </c>
    </row>
    <row r="53850" spans="9:9" x14ac:dyDescent="0.2">
      <c r="I53850" s="137" t="s">
        <v>74</v>
      </c>
    </row>
    <row r="53851" spans="9:9" x14ac:dyDescent="0.2">
      <c r="I53851" s="137" t="s">
        <v>74</v>
      </c>
    </row>
    <row r="53852" spans="9:9" x14ac:dyDescent="0.2">
      <c r="I53852" s="137" t="s">
        <v>74</v>
      </c>
    </row>
    <row r="53853" spans="9:9" x14ac:dyDescent="0.2">
      <c r="I53853" s="137" t="s">
        <v>74</v>
      </c>
    </row>
    <row r="53854" spans="9:9" x14ac:dyDescent="0.2">
      <c r="I53854" s="137" t="s">
        <v>74</v>
      </c>
    </row>
    <row r="53855" spans="9:9" x14ac:dyDescent="0.2">
      <c r="I53855" s="137" t="s">
        <v>74</v>
      </c>
    </row>
    <row r="53856" spans="9:9" x14ac:dyDescent="0.2">
      <c r="I53856" s="137" t="s">
        <v>74</v>
      </c>
    </row>
    <row r="53857" spans="9:9" x14ac:dyDescent="0.2">
      <c r="I53857" s="137" t="s">
        <v>74</v>
      </c>
    </row>
    <row r="53858" spans="9:9" x14ac:dyDescent="0.2">
      <c r="I53858" s="137" t="s">
        <v>74</v>
      </c>
    </row>
    <row r="53859" spans="9:9" x14ac:dyDescent="0.2">
      <c r="I53859" s="137" t="s">
        <v>74</v>
      </c>
    </row>
    <row r="53860" spans="9:9" x14ac:dyDescent="0.2">
      <c r="I53860" s="137" t="s">
        <v>74</v>
      </c>
    </row>
    <row r="53861" spans="9:9" x14ac:dyDescent="0.2">
      <c r="I53861" s="137" t="s">
        <v>74</v>
      </c>
    </row>
    <row r="53862" spans="9:9" x14ac:dyDescent="0.2">
      <c r="I53862" s="137" t="s">
        <v>74</v>
      </c>
    </row>
    <row r="53863" spans="9:9" x14ac:dyDescent="0.2">
      <c r="I53863" s="137" t="s">
        <v>74</v>
      </c>
    </row>
    <row r="53864" spans="9:9" x14ac:dyDescent="0.2">
      <c r="I53864" s="137" t="s">
        <v>74</v>
      </c>
    </row>
    <row r="53865" spans="9:9" x14ac:dyDescent="0.2">
      <c r="I53865" s="137" t="s">
        <v>74</v>
      </c>
    </row>
    <row r="53866" spans="9:9" x14ac:dyDescent="0.2">
      <c r="I53866" s="137" t="s">
        <v>74</v>
      </c>
    </row>
    <row r="53867" spans="9:9" x14ac:dyDescent="0.2">
      <c r="I53867" s="137" t="s">
        <v>74</v>
      </c>
    </row>
    <row r="53868" spans="9:9" x14ac:dyDescent="0.2">
      <c r="I53868" s="137" t="s">
        <v>74</v>
      </c>
    </row>
    <row r="53869" spans="9:9" x14ac:dyDescent="0.2">
      <c r="I53869" s="137" t="s">
        <v>74</v>
      </c>
    </row>
    <row r="53870" spans="9:9" x14ac:dyDescent="0.2">
      <c r="I53870" s="137" t="s">
        <v>74</v>
      </c>
    </row>
    <row r="53871" spans="9:9" x14ac:dyDescent="0.2">
      <c r="I53871" s="137" t="s">
        <v>74</v>
      </c>
    </row>
    <row r="53872" spans="9:9" x14ac:dyDescent="0.2">
      <c r="I53872" s="137" t="s">
        <v>74</v>
      </c>
    </row>
    <row r="53873" spans="9:9" x14ac:dyDescent="0.2">
      <c r="I53873" s="137" t="s">
        <v>74</v>
      </c>
    </row>
    <row r="53874" spans="9:9" x14ac:dyDescent="0.2">
      <c r="I53874" s="137" t="s">
        <v>74</v>
      </c>
    </row>
    <row r="53875" spans="9:9" x14ac:dyDescent="0.2">
      <c r="I53875" s="137" t="s">
        <v>74</v>
      </c>
    </row>
    <row r="53876" spans="9:9" x14ac:dyDescent="0.2">
      <c r="I53876" s="137" t="s">
        <v>74</v>
      </c>
    </row>
    <row r="53877" spans="9:9" x14ac:dyDescent="0.2">
      <c r="I53877" s="137" t="s">
        <v>74</v>
      </c>
    </row>
    <row r="53878" spans="9:9" x14ac:dyDescent="0.2">
      <c r="I53878" s="137" t="s">
        <v>74</v>
      </c>
    </row>
    <row r="53879" spans="9:9" x14ac:dyDescent="0.2">
      <c r="I53879" s="137" t="s">
        <v>74</v>
      </c>
    </row>
    <row r="53880" spans="9:9" x14ac:dyDescent="0.2">
      <c r="I53880" s="137" t="s">
        <v>74</v>
      </c>
    </row>
    <row r="53881" spans="9:9" x14ac:dyDescent="0.2">
      <c r="I53881" s="137" t="s">
        <v>74</v>
      </c>
    </row>
    <row r="53882" spans="9:9" x14ac:dyDescent="0.2">
      <c r="I53882" s="137" t="s">
        <v>74</v>
      </c>
    </row>
    <row r="53883" spans="9:9" x14ac:dyDescent="0.2">
      <c r="I53883" s="137" t="s">
        <v>74</v>
      </c>
    </row>
    <row r="53884" spans="9:9" x14ac:dyDescent="0.2">
      <c r="I53884" s="137" t="s">
        <v>74</v>
      </c>
    </row>
    <row r="53885" spans="9:9" x14ac:dyDescent="0.2">
      <c r="I53885" s="137" t="s">
        <v>74</v>
      </c>
    </row>
    <row r="53886" spans="9:9" x14ac:dyDescent="0.2">
      <c r="I53886" s="137" t="s">
        <v>74</v>
      </c>
    </row>
    <row r="53887" spans="9:9" x14ac:dyDescent="0.2">
      <c r="I53887" s="137" t="s">
        <v>74</v>
      </c>
    </row>
    <row r="53888" spans="9:9" x14ac:dyDescent="0.2">
      <c r="I53888" s="137" t="s">
        <v>74</v>
      </c>
    </row>
    <row r="53889" spans="9:9" x14ac:dyDescent="0.2">
      <c r="I53889" s="137" t="s">
        <v>74</v>
      </c>
    </row>
    <row r="53890" spans="9:9" x14ac:dyDescent="0.2">
      <c r="I53890" s="137" t="s">
        <v>74</v>
      </c>
    </row>
    <row r="53891" spans="9:9" x14ac:dyDescent="0.2">
      <c r="I53891" s="137" t="s">
        <v>74</v>
      </c>
    </row>
    <row r="53892" spans="9:9" x14ac:dyDescent="0.2">
      <c r="I53892" s="137" t="s">
        <v>74</v>
      </c>
    </row>
    <row r="53893" spans="9:9" x14ac:dyDescent="0.2">
      <c r="I53893" s="137" t="s">
        <v>74</v>
      </c>
    </row>
    <row r="53894" spans="9:9" x14ac:dyDescent="0.2">
      <c r="I53894" s="137" t="s">
        <v>74</v>
      </c>
    </row>
    <row r="53895" spans="9:9" x14ac:dyDescent="0.2">
      <c r="I53895" s="137" t="s">
        <v>74</v>
      </c>
    </row>
    <row r="53896" spans="9:9" x14ac:dyDescent="0.2">
      <c r="I53896" s="137" t="s">
        <v>74</v>
      </c>
    </row>
    <row r="53897" spans="9:9" x14ac:dyDescent="0.2">
      <c r="I53897" s="137" t="s">
        <v>74</v>
      </c>
    </row>
    <row r="53898" spans="9:9" x14ac:dyDescent="0.2">
      <c r="I53898" s="137" t="s">
        <v>74</v>
      </c>
    </row>
    <row r="53899" spans="9:9" x14ac:dyDescent="0.2">
      <c r="I53899" s="137" t="s">
        <v>74</v>
      </c>
    </row>
    <row r="53900" spans="9:9" x14ac:dyDescent="0.2">
      <c r="I53900" s="137" t="s">
        <v>74</v>
      </c>
    </row>
    <row r="53901" spans="9:9" x14ac:dyDescent="0.2">
      <c r="I53901" s="137" t="s">
        <v>74</v>
      </c>
    </row>
    <row r="53902" spans="9:9" x14ac:dyDescent="0.2">
      <c r="I53902" s="137" t="s">
        <v>74</v>
      </c>
    </row>
    <row r="53903" spans="9:9" x14ac:dyDescent="0.2">
      <c r="I53903" s="137" t="s">
        <v>74</v>
      </c>
    </row>
    <row r="53904" spans="9:9" x14ac:dyDescent="0.2">
      <c r="I53904" s="137" t="s">
        <v>74</v>
      </c>
    </row>
    <row r="53905" spans="9:9" x14ac:dyDescent="0.2">
      <c r="I53905" s="137" t="s">
        <v>74</v>
      </c>
    </row>
    <row r="53906" spans="9:9" x14ac:dyDescent="0.2">
      <c r="I53906" s="137" t="s">
        <v>74</v>
      </c>
    </row>
    <row r="53907" spans="9:9" x14ac:dyDescent="0.2">
      <c r="I53907" s="137" t="s">
        <v>74</v>
      </c>
    </row>
    <row r="53908" spans="9:9" x14ac:dyDescent="0.2">
      <c r="I53908" s="137" t="s">
        <v>74</v>
      </c>
    </row>
    <row r="53909" spans="9:9" x14ac:dyDescent="0.2">
      <c r="I53909" s="137" t="s">
        <v>74</v>
      </c>
    </row>
    <row r="53910" spans="9:9" x14ac:dyDescent="0.2">
      <c r="I53910" s="137" t="s">
        <v>74</v>
      </c>
    </row>
    <row r="53911" spans="9:9" x14ac:dyDescent="0.2">
      <c r="I53911" s="137" t="s">
        <v>74</v>
      </c>
    </row>
    <row r="53912" spans="9:9" x14ac:dyDescent="0.2">
      <c r="I53912" s="137" t="s">
        <v>74</v>
      </c>
    </row>
    <row r="53913" spans="9:9" x14ac:dyDescent="0.2">
      <c r="I53913" s="137" t="s">
        <v>74</v>
      </c>
    </row>
    <row r="53914" spans="9:9" x14ac:dyDescent="0.2">
      <c r="I53914" s="137" t="s">
        <v>74</v>
      </c>
    </row>
    <row r="53915" spans="9:9" x14ac:dyDescent="0.2">
      <c r="I53915" s="137" t="s">
        <v>74</v>
      </c>
    </row>
    <row r="53916" spans="9:9" x14ac:dyDescent="0.2">
      <c r="I53916" s="137" t="s">
        <v>74</v>
      </c>
    </row>
    <row r="53917" spans="9:9" x14ac:dyDescent="0.2">
      <c r="I53917" s="137" t="s">
        <v>74</v>
      </c>
    </row>
    <row r="53918" spans="9:9" x14ac:dyDescent="0.2">
      <c r="I53918" s="137" t="s">
        <v>74</v>
      </c>
    </row>
    <row r="53919" spans="9:9" x14ac:dyDescent="0.2">
      <c r="I53919" s="137" t="s">
        <v>74</v>
      </c>
    </row>
    <row r="53920" spans="9:9" x14ac:dyDescent="0.2">
      <c r="I53920" s="137" t="s">
        <v>74</v>
      </c>
    </row>
    <row r="53921" spans="9:9" x14ac:dyDescent="0.2">
      <c r="I53921" s="137" t="s">
        <v>74</v>
      </c>
    </row>
    <row r="53922" spans="9:9" x14ac:dyDescent="0.2">
      <c r="I53922" s="137" t="s">
        <v>74</v>
      </c>
    </row>
    <row r="53923" spans="9:9" x14ac:dyDescent="0.2">
      <c r="I53923" s="137" t="s">
        <v>74</v>
      </c>
    </row>
    <row r="53924" spans="9:9" x14ac:dyDescent="0.2">
      <c r="I53924" s="137" t="s">
        <v>74</v>
      </c>
    </row>
    <row r="53925" spans="9:9" x14ac:dyDescent="0.2">
      <c r="I53925" s="137" t="s">
        <v>74</v>
      </c>
    </row>
    <row r="53926" spans="9:9" x14ac:dyDescent="0.2">
      <c r="I53926" s="137" t="s">
        <v>74</v>
      </c>
    </row>
    <row r="53927" spans="9:9" x14ac:dyDescent="0.2">
      <c r="I53927" s="137" t="s">
        <v>74</v>
      </c>
    </row>
    <row r="53928" spans="9:9" x14ac:dyDescent="0.2">
      <c r="I53928" s="137" t="s">
        <v>74</v>
      </c>
    </row>
    <row r="53929" spans="9:9" x14ac:dyDescent="0.2">
      <c r="I53929" s="137" t="s">
        <v>74</v>
      </c>
    </row>
    <row r="53930" spans="9:9" x14ac:dyDescent="0.2">
      <c r="I53930" s="137" t="s">
        <v>74</v>
      </c>
    </row>
    <row r="53931" spans="9:9" x14ac:dyDescent="0.2">
      <c r="I53931" s="137" t="s">
        <v>74</v>
      </c>
    </row>
    <row r="53932" spans="9:9" x14ac:dyDescent="0.2">
      <c r="I53932" s="137" t="s">
        <v>74</v>
      </c>
    </row>
    <row r="53933" spans="9:9" x14ac:dyDescent="0.2">
      <c r="I53933" s="137" t="s">
        <v>74</v>
      </c>
    </row>
    <row r="53934" spans="9:9" x14ac:dyDescent="0.2">
      <c r="I53934" s="137" t="s">
        <v>74</v>
      </c>
    </row>
    <row r="53935" spans="9:9" x14ac:dyDescent="0.2">
      <c r="I53935" s="137" t="s">
        <v>74</v>
      </c>
    </row>
    <row r="53936" spans="9:9" x14ac:dyDescent="0.2">
      <c r="I53936" s="137" t="s">
        <v>74</v>
      </c>
    </row>
    <row r="53937" spans="9:9" x14ac:dyDescent="0.2">
      <c r="I53937" s="137" t="s">
        <v>74</v>
      </c>
    </row>
    <row r="53938" spans="9:9" x14ac:dyDescent="0.2">
      <c r="I53938" s="137" t="s">
        <v>74</v>
      </c>
    </row>
    <row r="53939" spans="9:9" x14ac:dyDescent="0.2">
      <c r="I53939" s="137" t="s">
        <v>74</v>
      </c>
    </row>
    <row r="53940" spans="9:9" x14ac:dyDescent="0.2">
      <c r="I53940" s="137" t="s">
        <v>74</v>
      </c>
    </row>
    <row r="53941" spans="9:9" x14ac:dyDescent="0.2">
      <c r="I53941" s="137" t="s">
        <v>74</v>
      </c>
    </row>
    <row r="53942" spans="9:9" x14ac:dyDescent="0.2">
      <c r="I53942" s="137" t="s">
        <v>74</v>
      </c>
    </row>
    <row r="53943" spans="9:9" x14ac:dyDescent="0.2">
      <c r="I53943" s="137" t="s">
        <v>74</v>
      </c>
    </row>
    <row r="53944" spans="9:9" x14ac:dyDescent="0.2">
      <c r="I53944" s="137" t="s">
        <v>74</v>
      </c>
    </row>
    <row r="53945" spans="9:9" x14ac:dyDescent="0.2">
      <c r="I53945" s="137" t="s">
        <v>74</v>
      </c>
    </row>
    <row r="53946" spans="9:9" x14ac:dyDescent="0.2">
      <c r="I53946" s="137" t="s">
        <v>74</v>
      </c>
    </row>
    <row r="53947" spans="9:9" x14ac:dyDescent="0.2">
      <c r="I53947" s="137" t="s">
        <v>74</v>
      </c>
    </row>
    <row r="53948" spans="9:9" x14ac:dyDescent="0.2">
      <c r="I53948" s="137" t="s">
        <v>74</v>
      </c>
    </row>
    <row r="53949" spans="9:9" x14ac:dyDescent="0.2">
      <c r="I53949" s="137" t="s">
        <v>74</v>
      </c>
    </row>
    <row r="53950" spans="9:9" x14ac:dyDescent="0.2">
      <c r="I53950" s="137" t="s">
        <v>74</v>
      </c>
    </row>
    <row r="53951" spans="9:9" x14ac:dyDescent="0.2">
      <c r="I53951" s="137" t="s">
        <v>74</v>
      </c>
    </row>
    <row r="53952" spans="9:9" x14ac:dyDescent="0.2">
      <c r="I53952" s="137" t="s">
        <v>74</v>
      </c>
    </row>
    <row r="53953" spans="9:9" x14ac:dyDescent="0.2">
      <c r="I53953" s="137" t="s">
        <v>74</v>
      </c>
    </row>
    <row r="53954" spans="9:9" x14ac:dyDescent="0.2">
      <c r="I53954" s="137" t="s">
        <v>74</v>
      </c>
    </row>
    <row r="53955" spans="9:9" x14ac:dyDescent="0.2">
      <c r="I53955" s="137" t="s">
        <v>74</v>
      </c>
    </row>
    <row r="53956" spans="9:9" x14ac:dyDescent="0.2">
      <c r="I53956" s="137" t="s">
        <v>74</v>
      </c>
    </row>
    <row r="53957" spans="9:9" x14ac:dyDescent="0.2">
      <c r="I53957" s="137" t="s">
        <v>74</v>
      </c>
    </row>
    <row r="53958" spans="9:9" x14ac:dyDescent="0.2">
      <c r="I53958" s="137" t="s">
        <v>74</v>
      </c>
    </row>
    <row r="53959" spans="9:9" x14ac:dyDescent="0.2">
      <c r="I53959" s="137" t="s">
        <v>74</v>
      </c>
    </row>
    <row r="53960" spans="9:9" x14ac:dyDescent="0.2">
      <c r="I53960" s="137" t="s">
        <v>74</v>
      </c>
    </row>
    <row r="53961" spans="9:9" x14ac:dyDescent="0.2">
      <c r="I53961" s="137" t="s">
        <v>74</v>
      </c>
    </row>
    <row r="53962" spans="9:9" x14ac:dyDescent="0.2">
      <c r="I53962" s="137" t="s">
        <v>74</v>
      </c>
    </row>
    <row r="53963" spans="9:9" x14ac:dyDescent="0.2">
      <c r="I53963" s="137" t="s">
        <v>74</v>
      </c>
    </row>
    <row r="53964" spans="9:9" x14ac:dyDescent="0.2">
      <c r="I53964" s="137" t="s">
        <v>74</v>
      </c>
    </row>
    <row r="53965" spans="9:9" x14ac:dyDescent="0.2">
      <c r="I53965" s="137" t="s">
        <v>74</v>
      </c>
    </row>
    <row r="53966" spans="9:9" x14ac:dyDescent="0.2">
      <c r="I53966" s="137" t="s">
        <v>74</v>
      </c>
    </row>
    <row r="53967" spans="9:9" x14ac:dyDescent="0.2">
      <c r="I53967" s="137" t="s">
        <v>74</v>
      </c>
    </row>
    <row r="53968" spans="9:9" x14ac:dyDescent="0.2">
      <c r="I53968" s="137" t="s">
        <v>74</v>
      </c>
    </row>
    <row r="53969" spans="9:9" x14ac:dyDescent="0.2">
      <c r="I53969" s="137" t="s">
        <v>74</v>
      </c>
    </row>
    <row r="53970" spans="9:9" x14ac:dyDescent="0.2">
      <c r="I53970" s="137" t="s">
        <v>74</v>
      </c>
    </row>
    <row r="53971" spans="9:9" x14ac:dyDescent="0.2">
      <c r="I53971" s="137" t="s">
        <v>74</v>
      </c>
    </row>
    <row r="53972" spans="9:9" x14ac:dyDescent="0.2">
      <c r="I53972" s="137" t="s">
        <v>74</v>
      </c>
    </row>
    <row r="53973" spans="9:9" x14ac:dyDescent="0.2">
      <c r="I53973" s="137" t="s">
        <v>74</v>
      </c>
    </row>
    <row r="53974" spans="9:9" x14ac:dyDescent="0.2">
      <c r="I53974" s="137" t="s">
        <v>74</v>
      </c>
    </row>
    <row r="53975" spans="9:9" x14ac:dyDescent="0.2">
      <c r="I53975" s="137" t="s">
        <v>74</v>
      </c>
    </row>
    <row r="53976" spans="9:9" x14ac:dyDescent="0.2">
      <c r="I53976" s="137" t="s">
        <v>74</v>
      </c>
    </row>
    <row r="53977" spans="9:9" x14ac:dyDescent="0.2">
      <c r="I53977" s="137" t="s">
        <v>74</v>
      </c>
    </row>
    <row r="53978" spans="9:9" x14ac:dyDescent="0.2">
      <c r="I53978" s="137" t="s">
        <v>74</v>
      </c>
    </row>
    <row r="53979" spans="9:9" x14ac:dyDescent="0.2">
      <c r="I53979" s="137" t="s">
        <v>74</v>
      </c>
    </row>
    <row r="53980" spans="9:9" x14ac:dyDescent="0.2">
      <c r="I53980" s="137" t="s">
        <v>74</v>
      </c>
    </row>
    <row r="53981" spans="9:9" x14ac:dyDescent="0.2">
      <c r="I53981" s="137" t="s">
        <v>74</v>
      </c>
    </row>
    <row r="53982" spans="9:9" x14ac:dyDescent="0.2">
      <c r="I53982" s="137" t="s">
        <v>74</v>
      </c>
    </row>
    <row r="53983" spans="9:9" x14ac:dyDescent="0.2">
      <c r="I53983" s="137" t="s">
        <v>74</v>
      </c>
    </row>
    <row r="53984" spans="9:9" x14ac:dyDescent="0.2">
      <c r="I53984" s="137" t="s">
        <v>74</v>
      </c>
    </row>
    <row r="53985" spans="9:9" x14ac:dyDescent="0.2">
      <c r="I53985" s="137" t="s">
        <v>74</v>
      </c>
    </row>
    <row r="53986" spans="9:9" x14ac:dyDescent="0.2">
      <c r="I53986" s="137" t="s">
        <v>74</v>
      </c>
    </row>
    <row r="53987" spans="9:9" x14ac:dyDescent="0.2">
      <c r="I53987" s="137" t="s">
        <v>74</v>
      </c>
    </row>
    <row r="53988" spans="9:9" x14ac:dyDescent="0.2">
      <c r="I53988" s="137" t="s">
        <v>74</v>
      </c>
    </row>
    <row r="53989" spans="9:9" x14ac:dyDescent="0.2">
      <c r="I53989" s="137" t="s">
        <v>74</v>
      </c>
    </row>
    <row r="53990" spans="9:9" x14ac:dyDescent="0.2">
      <c r="I53990" s="137" t="s">
        <v>74</v>
      </c>
    </row>
    <row r="53991" spans="9:9" x14ac:dyDescent="0.2">
      <c r="I53991" s="137" t="s">
        <v>74</v>
      </c>
    </row>
    <row r="53992" spans="9:9" x14ac:dyDescent="0.2">
      <c r="I53992" s="137" t="s">
        <v>74</v>
      </c>
    </row>
    <row r="53993" spans="9:9" x14ac:dyDescent="0.2">
      <c r="I53993" s="137" t="s">
        <v>74</v>
      </c>
    </row>
    <row r="53994" spans="9:9" x14ac:dyDescent="0.2">
      <c r="I53994" s="137" t="s">
        <v>74</v>
      </c>
    </row>
    <row r="53995" spans="9:9" x14ac:dyDescent="0.2">
      <c r="I53995" s="137" t="s">
        <v>74</v>
      </c>
    </row>
    <row r="53996" spans="9:9" x14ac:dyDescent="0.2">
      <c r="I53996" s="137" t="s">
        <v>74</v>
      </c>
    </row>
    <row r="53997" spans="9:9" x14ac:dyDescent="0.2">
      <c r="I53997" s="137" t="s">
        <v>74</v>
      </c>
    </row>
    <row r="53998" spans="9:9" x14ac:dyDescent="0.2">
      <c r="I53998" s="137" t="s">
        <v>74</v>
      </c>
    </row>
    <row r="53999" spans="9:9" x14ac:dyDescent="0.2">
      <c r="I53999" s="137" t="s">
        <v>74</v>
      </c>
    </row>
    <row r="54000" spans="9:9" x14ac:dyDescent="0.2">
      <c r="I54000" s="137" t="s">
        <v>74</v>
      </c>
    </row>
    <row r="54001" spans="9:9" x14ac:dyDescent="0.2">
      <c r="I54001" s="137" t="s">
        <v>74</v>
      </c>
    </row>
    <row r="54002" spans="9:9" x14ac:dyDescent="0.2">
      <c r="I54002" s="137" t="s">
        <v>74</v>
      </c>
    </row>
    <row r="54003" spans="9:9" x14ac:dyDescent="0.2">
      <c r="I54003" s="137" t="s">
        <v>74</v>
      </c>
    </row>
    <row r="54004" spans="9:9" x14ac:dyDescent="0.2">
      <c r="I54004" s="137" t="s">
        <v>74</v>
      </c>
    </row>
    <row r="54005" spans="9:9" x14ac:dyDescent="0.2">
      <c r="I54005" s="137" t="s">
        <v>74</v>
      </c>
    </row>
    <row r="54006" spans="9:9" x14ac:dyDescent="0.2">
      <c r="I54006" s="137" t="s">
        <v>74</v>
      </c>
    </row>
    <row r="54007" spans="9:9" x14ac:dyDescent="0.2">
      <c r="I54007" s="137" t="s">
        <v>74</v>
      </c>
    </row>
    <row r="54008" spans="9:9" x14ac:dyDescent="0.2">
      <c r="I54008" s="137" t="s">
        <v>74</v>
      </c>
    </row>
    <row r="54009" spans="9:9" x14ac:dyDescent="0.2">
      <c r="I54009" s="137" t="s">
        <v>74</v>
      </c>
    </row>
    <row r="54010" spans="9:9" x14ac:dyDescent="0.2">
      <c r="I54010" s="137" t="s">
        <v>74</v>
      </c>
    </row>
    <row r="54011" spans="9:9" x14ac:dyDescent="0.2">
      <c r="I54011" s="137" t="s">
        <v>74</v>
      </c>
    </row>
    <row r="54012" spans="9:9" x14ac:dyDescent="0.2">
      <c r="I54012" s="137" t="s">
        <v>74</v>
      </c>
    </row>
    <row r="54013" spans="9:9" x14ac:dyDescent="0.2">
      <c r="I54013" s="137" t="s">
        <v>74</v>
      </c>
    </row>
    <row r="54014" spans="9:9" x14ac:dyDescent="0.2">
      <c r="I54014" s="137" t="s">
        <v>74</v>
      </c>
    </row>
    <row r="54015" spans="9:9" x14ac:dyDescent="0.2">
      <c r="I54015" s="137" t="s">
        <v>74</v>
      </c>
    </row>
    <row r="54016" spans="9:9" x14ac:dyDescent="0.2">
      <c r="I54016" s="137" t="s">
        <v>74</v>
      </c>
    </row>
    <row r="54017" spans="9:9" x14ac:dyDescent="0.2">
      <c r="I54017" s="137" t="s">
        <v>74</v>
      </c>
    </row>
    <row r="54018" spans="9:9" x14ac:dyDescent="0.2">
      <c r="I54018" s="137" t="s">
        <v>74</v>
      </c>
    </row>
    <row r="54019" spans="9:9" x14ac:dyDescent="0.2">
      <c r="I54019" s="137" t="s">
        <v>74</v>
      </c>
    </row>
    <row r="54020" spans="9:9" x14ac:dyDescent="0.2">
      <c r="I54020" s="137" t="s">
        <v>74</v>
      </c>
    </row>
    <row r="54021" spans="9:9" x14ac:dyDescent="0.2">
      <c r="I54021" s="137" t="s">
        <v>74</v>
      </c>
    </row>
    <row r="54022" spans="9:9" x14ac:dyDescent="0.2">
      <c r="I54022" s="137" t="s">
        <v>74</v>
      </c>
    </row>
    <row r="54023" spans="9:9" x14ac:dyDescent="0.2">
      <c r="I54023" s="137" t="s">
        <v>74</v>
      </c>
    </row>
    <row r="54024" spans="9:9" x14ac:dyDescent="0.2">
      <c r="I54024" s="137" t="s">
        <v>74</v>
      </c>
    </row>
    <row r="54025" spans="9:9" x14ac:dyDescent="0.2">
      <c r="I54025" s="137" t="s">
        <v>74</v>
      </c>
    </row>
    <row r="54026" spans="9:9" x14ac:dyDescent="0.2">
      <c r="I54026" s="137" t="s">
        <v>74</v>
      </c>
    </row>
    <row r="54027" spans="9:9" x14ac:dyDescent="0.2">
      <c r="I54027" s="137" t="s">
        <v>74</v>
      </c>
    </row>
    <row r="54028" spans="9:9" x14ac:dyDescent="0.2">
      <c r="I54028" s="137" t="s">
        <v>74</v>
      </c>
    </row>
    <row r="54029" spans="9:9" x14ac:dyDescent="0.2">
      <c r="I54029" s="137" t="s">
        <v>74</v>
      </c>
    </row>
    <row r="54030" spans="9:9" x14ac:dyDescent="0.2">
      <c r="I54030" s="137" t="s">
        <v>74</v>
      </c>
    </row>
    <row r="54031" spans="9:9" x14ac:dyDescent="0.2">
      <c r="I54031" s="137" t="s">
        <v>74</v>
      </c>
    </row>
    <row r="54032" spans="9:9" x14ac:dyDescent="0.2">
      <c r="I54032" s="137" t="s">
        <v>74</v>
      </c>
    </row>
    <row r="54033" spans="9:9" x14ac:dyDescent="0.2">
      <c r="I54033" s="137" t="s">
        <v>74</v>
      </c>
    </row>
    <row r="54034" spans="9:9" x14ac:dyDescent="0.2">
      <c r="I54034" s="137" t="s">
        <v>74</v>
      </c>
    </row>
    <row r="54035" spans="9:9" x14ac:dyDescent="0.2">
      <c r="I54035" s="137" t="s">
        <v>74</v>
      </c>
    </row>
    <row r="54036" spans="9:9" x14ac:dyDescent="0.2">
      <c r="I54036" s="137" t="s">
        <v>74</v>
      </c>
    </row>
    <row r="54037" spans="9:9" x14ac:dyDescent="0.2">
      <c r="I54037" s="137" t="s">
        <v>74</v>
      </c>
    </row>
    <row r="54038" spans="9:9" x14ac:dyDescent="0.2">
      <c r="I54038" s="137" t="s">
        <v>74</v>
      </c>
    </row>
    <row r="54039" spans="9:9" x14ac:dyDescent="0.2">
      <c r="I54039" s="137" t="s">
        <v>74</v>
      </c>
    </row>
    <row r="54040" spans="9:9" x14ac:dyDescent="0.2">
      <c r="I54040" s="137" t="s">
        <v>74</v>
      </c>
    </row>
    <row r="54041" spans="9:9" x14ac:dyDescent="0.2">
      <c r="I54041" s="137" t="s">
        <v>74</v>
      </c>
    </row>
    <row r="54042" spans="9:9" x14ac:dyDescent="0.2">
      <c r="I54042" s="137" t="s">
        <v>74</v>
      </c>
    </row>
    <row r="54043" spans="9:9" x14ac:dyDescent="0.2">
      <c r="I54043" s="137" t="s">
        <v>74</v>
      </c>
    </row>
    <row r="54044" spans="9:9" x14ac:dyDescent="0.2">
      <c r="I54044" s="137" t="s">
        <v>74</v>
      </c>
    </row>
    <row r="54045" spans="9:9" x14ac:dyDescent="0.2">
      <c r="I54045" s="137" t="s">
        <v>74</v>
      </c>
    </row>
    <row r="54046" spans="9:9" x14ac:dyDescent="0.2">
      <c r="I54046" s="137" t="s">
        <v>74</v>
      </c>
    </row>
    <row r="54047" spans="9:9" x14ac:dyDescent="0.2">
      <c r="I54047" s="137" t="s">
        <v>74</v>
      </c>
    </row>
    <row r="54048" spans="9:9" x14ac:dyDescent="0.2">
      <c r="I54048" s="137" t="s">
        <v>74</v>
      </c>
    </row>
    <row r="54049" spans="9:9" x14ac:dyDescent="0.2">
      <c r="I54049" s="137" t="s">
        <v>74</v>
      </c>
    </row>
    <row r="54050" spans="9:9" x14ac:dyDescent="0.2">
      <c r="I54050" s="137" t="s">
        <v>74</v>
      </c>
    </row>
    <row r="54051" spans="9:9" x14ac:dyDescent="0.2">
      <c r="I54051" s="137" t="s">
        <v>74</v>
      </c>
    </row>
    <row r="54052" spans="9:9" x14ac:dyDescent="0.2">
      <c r="I54052" s="137" t="s">
        <v>74</v>
      </c>
    </row>
    <row r="54053" spans="9:9" x14ac:dyDescent="0.2">
      <c r="I54053" s="137" t="s">
        <v>74</v>
      </c>
    </row>
    <row r="54054" spans="9:9" x14ac:dyDescent="0.2">
      <c r="I54054" s="137" t="s">
        <v>74</v>
      </c>
    </row>
    <row r="54055" spans="9:9" x14ac:dyDescent="0.2">
      <c r="I54055" s="137" t="s">
        <v>74</v>
      </c>
    </row>
    <row r="54056" spans="9:9" x14ac:dyDescent="0.2">
      <c r="I54056" s="137" t="s">
        <v>74</v>
      </c>
    </row>
    <row r="54057" spans="9:9" x14ac:dyDescent="0.2">
      <c r="I54057" s="137" t="s">
        <v>74</v>
      </c>
    </row>
    <row r="54058" spans="9:9" x14ac:dyDescent="0.2">
      <c r="I54058" s="137" t="s">
        <v>74</v>
      </c>
    </row>
    <row r="54059" spans="9:9" x14ac:dyDescent="0.2">
      <c r="I54059" s="137" t="s">
        <v>74</v>
      </c>
    </row>
    <row r="54060" spans="9:9" x14ac:dyDescent="0.2">
      <c r="I54060" s="137" t="s">
        <v>74</v>
      </c>
    </row>
    <row r="54061" spans="9:9" x14ac:dyDescent="0.2">
      <c r="I54061" s="137" t="s">
        <v>74</v>
      </c>
    </row>
    <row r="54062" spans="9:9" x14ac:dyDescent="0.2">
      <c r="I54062" s="137" t="s">
        <v>74</v>
      </c>
    </row>
    <row r="54063" spans="9:9" x14ac:dyDescent="0.2">
      <c r="I54063" s="137" t="s">
        <v>74</v>
      </c>
    </row>
    <row r="54064" spans="9:9" x14ac:dyDescent="0.2">
      <c r="I54064" s="137" t="s">
        <v>74</v>
      </c>
    </row>
    <row r="54065" spans="9:9" x14ac:dyDescent="0.2">
      <c r="I54065" s="137" t="s">
        <v>74</v>
      </c>
    </row>
    <row r="54066" spans="9:9" x14ac:dyDescent="0.2">
      <c r="I54066" s="137" t="s">
        <v>74</v>
      </c>
    </row>
    <row r="54067" spans="9:9" x14ac:dyDescent="0.2">
      <c r="I54067" s="137" t="s">
        <v>74</v>
      </c>
    </row>
    <row r="54068" spans="9:9" x14ac:dyDescent="0.2">
      <c r="I54068" s="137" t="s">
        <v>74</v>
      </c>
    </row>
    <row r="54069" spans="9:9" x14ac:dyDescent="0.2">
      <c r="I54069" s="137" t="s">
        <v>74</v>
      </c>
    </row>
    <row r="54070" spans="9:9" x14ac:dyDescent="0.2">
      <c r="I54070" s="137" t="s">
        <v>74</v>
      </c>
    </row>
    <row r="54071" spans="9:9" x14ac:dyDescent="0.2">
      <c r="I54071" s="137" t="s">
        <v>74</v>
      </c>
    </row>
    <row r="54072" spans="9:9" x14ac:dyDescent="0.2">
      <c r="I54072" s="137" t="s">
        <v>74</v>
      </c>
    </row>
    <row r="54073" spans="9:9" x14ac:dyDescent="0.2">
      <c r="I54073" s="137" t="s">
        <v>74</v>
      </c>
    </row>
    <row r="54074" spans="9:9" x14ac:dyDescent="0.2">
      <c r="I54074" s="137" t="s">
        <v>74</v>
      </c>
    </row>
    <row r="54075" spans="9:9" x14ac:dyDescent="0.2">
      <c r="I54075" s="137" t="s">
        <v>74</v>
      </c>
    </row>
    <row r="54076" spans="9:9" x14ac:dyDescent="0.2">
      <c r="I54076" s="137" t="s">
        <v>74</v>
      </c>
    </row>
    <row r="54077" spans="9:9" x14ac:dyDescent="0.2">
      <c r="I54077" s="137" t="s">
        <v>74</v>
      </c>
    </row>
    <row r="54078" spans="9:9" x14ac:dyDescent="0.2">
      <c r="I54078" s="137" t="s">
        <v>74</v>
      </c>
    </row>
    <row r="54079" spans="9:9" x14ac:dyDescent="0.2">
      <c r="I54079" s="137" t="s">
        <v>74</v>
      </c>
    </row>
    <row r="54080" spans="9:9" x14ac:dyDescent="0.2">
      <c r="I54080" s="137" t="s">
        <v>74</v>
      </c>
    </row>
    <row r="54081" spans="9:9" x14ac:dyDescent="0.2">
      <c r="I54081" s="137" t="s">
        <v>74</v>
      </c>
    </row>
    <row r="54082" spans="9:9" x14ac:dyDescent="0.2">
      <c r="I54082" s="137" t="s">
        <v>74</v>
      </c>
    </row>
    <row r="54083" spans="9:9" x14ac:dyDescent="0.2">
      <c r="I54083" s="137" t="s">
        <v>74</v>
      </c>
    </row>
    <row r="54084" spans="9:9" x14ac:dyDescent="0.2">
      <c r="I54084" s="137" t="s">
        <v>74</v>
      </c>
    </row>
    <row r="54085" spans="9:9" x14ac:dyDescent="0.2">
      <c r="I54085" s="137" t="s">
        <v>74</v>
      </c>
    </row>
    <row r="54086" spans="9:9" x14ac:dyDescent="0.2">
      <c r="I54086" s="137" t="s">
        <v>74</v>
      </c>
    </row>
    <row r="54087" spans="9:9" x14ac:dyDescent="0.2">
      <c r="I54087" s="137" t="s">
        <v>74</v>
      </c>
    </row>
    <row r="54088" spans="9:9" x14ac:dyDescent="0.2">
      <c r="I54088" s="137" t="s">
        <v>74</v>
      </c>
    </row>
    <row r="54089" spans="9:9" x14ac:dyDescent="0.2">
      <c r="I54089" s="137" t="s">
        <v>74</v>
      </c>
    </row>
    <row r="54090" spans="9:9" x14ac:dyDescent="0.2">
      <c r="I54090" s="137" t="s">
        <v>74</v>
      </c>
    </row>
    <row r="54091" spans="9:9" x14ac:dyDescent="0.2">
      <c r="I54091" s="137" t="s">
        <v>74</v>
      </c>
    </row>
    <row r="54092" spans="9:9" x14ac:dyDescent="0.2">
      <c r="I54092" s="137" t="s">
        <v>74</v>
      </c>
    </row>
    <row r="54093" spans="9:9" x14ac:dyDescent="0.2">
      <c r="I54093" s="137" t="s">
        <v>74</v>
      </c>
    </row>
    <row r="54094" spans="9:9" x14ac:dyDescent="0.2">
      <c r="I54094" s="137" t="s">
        <v>74</v>
      </c>
    </row>
    <row r="54095" spans="9:9" x14ac:dyDescent="0.2">
      <c r="I54095" s="137" t="s">
        <v>74</v>
      </c>
    </row>
    <row r="54096" spans="9:9" x14ac:dyDescent="0.2">
      <c r="I54096" s="137" t="s">
        <v>74</v>
      </c>
    </row>
    <row r="54097" spans="9:9" x14ac:dyDescent="0.2">
      <c r="I54097" s="137" t="s">
        <v>74</v>
      </c>
    </row>
    <row r="54098" spans="9:9" x14ac:dyDescent="0.2">
      <c r="I54098" s="137" t="s">
        <v>74</v>
      </c>
    </row>
    <row r="54099" spans="9:9" x14ac:dyDescent="0.2">
      <c r="I54099" s="137" t="s">
        <v>74</v>
      </c>
    </row>
    <row r="54100" spans="9:9" x14ac:dyDescent="0.2">
      <c r="I54100" s="137" t="s">
        <v>74</v>
      </c>
    </row>
    <row r="54101" spans="9:9" x14ac:dyDescent="0.2">
      <c r="I54101" s="137" t="s">
        <v>74</v>
      </c>
    </row>
    <row r="54102" spans="9:9" x14ac:dyDescent="0.2">
      <c r="I54102" s="137" t="s">
        <v>74</v>
      </c>
    </row>
    <row r="54103" spans="9:9" x14ac:dyDescent="0.2">
      <c r="I54103" s="137" t="s">
        <v>74</v>
      </c>
    </row>
    <row r="54104" spans="9:9" x14ac:dyDescent="0.2">
      <c r="I54104" s="137" t="s">
        <v>74</v>
      </c>
    </row>
    <row r="54105" spans="9:9" x14ac:dyDescent="0.2">
      <c r="I54105" s="137" t="s">
        <v>74</v>
      </c>
    </row>
    <row r="54106" spans="9:9" x14ac:dyDescent="0.2">
      <c r="I54106" s="137" t="s">
        <v>74</v>
      </c>
    </row>
    <row r="54107" spans="9:9" x14ac:dyDescent="0.2">
      <c r="I54107" s="137" t="s">
        <v>74</v>
      </c>
    </row>
    <row r="54108" spans="9:9" x14ac:dyDescent="0.2">
      <c r="I54108" s="137" t="s">
        <v>74</v>
      </c>
    </row>
    <row r="54109" spans="9:9" x14ac:dyDescent="0.2">
      <c r="I54109" s="137" t="s">
        <v>74</v>
      </c>
    </row>
    <row r="54110" spans="9:9" x14ac:dyDescent="0.2">
      <c r="I54110" s="137" t="s">
        <v>74</v>
      </c>
    </row>
    <row r="54111" spans="9:9" x14ac:dyDescent="0.2">
      <c r="I54111" s="137" t="s">
        <v>74</v>
      </c>
    </row>
    <row r="54112" spans="9:9" x14ac:dyDescent="0.2">
      <c r="I54112" s="137" t="s">
        <v>74</v>
      </c>
    </row>
    <row r="54113" spans="9:9" x14ac:dyDescent="0.2">
      <c r="I54113" s="137" t="s">
        <v>74</v>
      </c>
    </row>
    <row r="54114" spans="9:9" x14ac:dyDescent="0.2">
      <c r="I54114" s="137" t="s">
        <v>74</v>
      </c>
    </row>
    <row r="54115" spans="9:9" x14ac:dyDescent="0.2">
      <c r="I54115" s="137" t="s">
        <v>74</v>
      </c>
    </row>
    <row r="54116" spans="9:9" x14ac:dyDescent="0.2">
      <c r="I54116" s="137" t="s">
        <v>74</v>
      </c>
    </row>
    <row r="54117" spans="9:9" x14ac:dyDescent="0.2">
      <c r="I54117" s="137" t="s">
        <v>74</v>
      </c>
    </row>
    <row r="54118" spans="9:9" x14ac:dyDescent="0.2">
      <c r="I54118" s="137" t="s">
        <v>74</v>
      </c>
    </row>
    <row r="54119" spans="9:9" x14ac:dyDescent="0.2">
      <c r="I54119" s="137" t="s">
        <v>74</v>
      </c>
    </row>
    <row r="54120" spans="9:9" x14ac:dyDescent="0.2">
      <c r="I54120" s="137" t="s">
        <v>74</v>
      </c>
    </row>
    <row r="54121" spans="9:9" x14ac:dyDescent="0.2">
      <c r="I54121" s="137" t="s">
        <v>74</v>
      </c>
    </row>
    <row r="54122" spans="9:9" x14ac:dyDescent="0.2">
      <c r="I54122" s="137" t="s">
        <v>74</v>
      </c>
    </row>
    <row r="54123" spans="9:9" x14ac:dyDescent="0.2">
      <c r="I54123" s="137" t="s">
        <v>74</v>
      </c>
    </row>
    <row r="54124" spans="9:9" x14ac:dyDescent="0.2">
      <c r="I54124" s="137" t="s">
        <v>74</v>
      </c>
    </row>
    <row r="54125" spans="9:9" x14ac:dyDescent="0.2">
      <c r="I54125" s="137" t="s">
        <v>74</v>
      </c>
    </row>
    <row r="54126" spans="9:9" x14ac:dyDescent="0.2">
      <c r="I54126" s="137" t="s">
        <v>74</v>
      </c>
    </row>
    <row r="54127" spans="9:9" x14ac:dyDescent="0.2">
      <c r="I54127" s="137" t="s">
        <v>74</v>
      </c>
    </row>
    <row r="54128" spans="9:9" x14ac:dyDescent="0.2">
      <c r="I54128" s="137" t="s">
        <v>74</v>
      </c>
    </row>
    <row r="54129" spans="9:9" x14ac:dyDescent="0.2">
      <c r="I54129" s="137" t="s">
        <v>74</v>
      </c>
    </row>
    <row r="54130" spans="9:9" x14ac:dyDescent="0.2">
      <c r="I54130" s="137" t="s">
        <v>74</v>
      </c>
    </row>
    <row r="54131" spans="9:9" x14ac:dyDescent="0.2">
      <c r="I54131" s="137" t="s">
        <v>74</v>
      </c>
    </row>
    <row r="54132" spans="9:9" x14ac:dyDescent="0.2">
      <c r="I54132" s="137" t="s">
        <v>74</v>
      </c>
    </row>
    <row r="54133" spans="9:9" x14ac:dyDescent="0.2">
      <c r="I54133" s="137" t="s">
        <v>74</v>
      </c>
    </row>
    <row r="54134" spans="9:9" x14ac:dyDescent="0.2">
      <c r="I54134" s="137" t="s">
        <v>74</v>
      </c>
    </row>
    <row r="54135" spans="9:9" x14ac:dyDescent="0.2">
      <c r="I54135" s="137" t="s">
        <v>74</v>
      </c>
    </row>
    <row r="54136" spans="9:9" x14ac:dyDescent="0.2">
      <c r="I54136" s="137" t="s">
        <v>74</v>
      </c>
    </row>
    <row r="54137" spans="9:9" x14ac:dyDescent="0.2">
      <c r="I54137" s="137" t="s">
        <v>74</v>
      </c>
    </row>
    <row r="54138" spans="9:9" x14ac:dyDescent="0.2">
      <c r="I54138" s="137" t="s">
        <v>74</v>
      </c>
    </row>
    <row r="54139" spans="9:9" x14ac:dyDescent="0.2">
      <c r="I54139" s="137" t="s">
        <v>74</v>
      </c>
    </row>
    <row r="54140" spans="9:9" x14ac:dyDescent="0.2">
      <c r="I54140" s="137" t="s">
        <v>74</v>
      </c>
    </row>
    <row r="54141" spans="9:9" x14ac:dyDescent="0.2">
      <c r="I54141" s="137" t="s">
        <v>74</v>
      </c>
    </row>
    <row r="54142" spans="9:9" x14ac:dyDescent="0.2">
      <c r="I54142" s="137" t="s">
        <v>74</v>
      </c>
    </row>
    <row r="54143" spans="9:9" x14ac:dyDescent="0.2">
      <c r="I54143" s="137" t="s">
        <v>74</v>
      </c>
    </row>
    <row r="54144" spans="9:9" x14ac:dyDescent="0.2">
      <c r="I54144" s="137" t="s">
        <v>74</v>
      </c>
    </row>
    <row r="54145" spans="9:9" x14ac:dyDescent="0.2">
      <c r="I54145" s="137" t="s">
        <v>74</v>
      </c>
    </row>
    <row r="54146" spans="9:9" x14ac:dyDescent="0.2">
      <c r="I54146" s="137" t="s">
        <v>74</v>
      </c>
    </row>
    <row r="54147" spans="9:9" x14ac:dyDescent="0.2">
      <c r="I54147" s="137" t="s">
        <v>74</v>
      </c>
    </row>
    <row r="54148" spans="9:9" x14ac:dyDescent="0.2">
      <c r="I54148" s="137" t="s">
        <v>74</v>
      </c>
    </row>
    <row r="54149" spans="9:9" x14ac:dyDescent="0.2">
      <c r="I54149" s="137" t="s">
        <v>74</v>
      </c>
    </row>
    <row r="54150" spans="9:9" x14ac:dyDescent="0.2">
      <c r="I54150" s="137" t="s">
        <v>74</v>
      </c>
    </row>
    <row r="54151" spans="9:9" x14ac:dyDescent="0.2">
      <c r="I54151" s="137" t="s">
        <v>74</v>
      </c>
    </row>
    <row r="54152" spans="9:9" x14ac:dyDescent="0.2">
      <c r="I54152" s="137" t="s">
        <v>74</v>
      </c>
    </row>
    <row r="54153" spans="9:9" x14ac:dyDescent="0.2">
      <c r="I54153" s="137" t="s">
        <v>74</v>
      </c>
    </row>
    <row r="54154" spans="9:9" x14ac:dyDescent="0.2">
      <c r="I54154" s="137" t="s">
        <v>74</v>
      </c>
    </row>
    <row r="54155" spans="9:9" x14ac:dyDescent="0.2">
      <c r="I54155" s="137" t="s">
        <v>74</v>
      </c>
    </row>
    <row r="54156" spans="9:9" x14ac:dyDescent="0.2">
      <c r="I54156" s="137" t="s">
        <v>74</v>
      </c>
    </row>
    <row r="54157" spans="9:9" x14ac:dyDescent="0.2">
      <c r="I54157" s="137" t="s">
        <v>74</v>
      </c>
    </row>
    <row r="54158" spans="9:9" x14ac:dyDescent="0.2">
      <c r="I54158" s="137" t="s">
        <v>74</v>
      </c>
    </row>
    <row r="54159" spans="9:9" x14ac:dyDescent="0.2">
      <c r="I54159" s="137" t="s">
        <v>74</v>
      </c>
    </row>
    <row r="54160" spans="9:9" x14ac:dyDescent="0.2">
      <c r="I54160" s="137" t="s">
        <v>74</v>
      </c>
    </row>
    <row r="54161" spans="9:9" x14ac:dyDescent="0.2">
      <c r="I54161" s="137" t="s">
        <v>74</v>
      </c>
    </row>
    <row r="54162" spans="9:9" x14ac:dyDescent="0.2">
      <c r="I54162" s="137" t="s">
        <v>74</v>
      </c>
    </row>
    <row r="54163" spans="9:9" x14ac:dyDescent="0.2">
      <c r="I54163" s="137" t="s">
        <v>74</v>
      </c>
    </row>
    <row r="54164" spans="9:9" x14ac:dyDescent="0.2">
      <c r="I54164" s="137" t="s">
        <v>74</v>
      </c>
    </row>
    <row r="54165" spans="9:9" x14ac:dyDescent="0.2">
      <c r="I54165" s="137" t="s">
        <v>74</v>
      </c>
    </row>
    <row r="54166" spans="9:9" x14ac:dyDescent="0.2">
      <c r="I54166" s="137" t="s">
        <v>74</v>
      </c>
    </row>
    <row r="54167" spans="9:9" x14ac:dyDescent="0.2">
      <c r="I54167" s="137" t="s">
        <v>74</v>
      </c>
    </row>
    <row r="54168" spans="9:9" x14ac:dyDescent="0.2">
      <c r="I54168" s="137" t="s">
        <v>74</v>
      </c>
    </row>
    <row r="54169" spans="9:9" x14ac:dyDescent="0.2">
      <c r="I54169" s="137" t="s">
        <v>74</v>
      </c>
    </row>
    <row r="54170" spans="9:9" x14ac:dyDescent="0.2">
      <c r="I54170" s="137" t="s">
        <v>74</v>
      </c>
    </row>
    <row r="54171" spans="9:9" x14ac:dyDescent="0.2">
      <c r="I54171" s="137" t="s">
        <v>74</v>
      </c>
    </row>
    <row r="54172" spans="9:9" x14ac:dyDescent="0.2">
      <c r="I54172" s="137" t="s">
        <v>74</v>
      </c>
    </row>
    <row r="54173" spans="9:9" x14ac:dyDescent="0.2">
      <c r="I54173" s="137" t="s">
        <v>74</v>
      </c>
    </row>
    <row r="54174" spans="9:9" x14ac:dyDescent="0.2">
      <c r="I54174" s="137" t="s">
        <v>74</v>
      </c>
    </row>
    <row r="54175" spans="9:9" x14ac:dyDescent="0.2">
      <c r="I54175" s="137" t="s">
        <v>74</v>
      </c>
    </row>
    <row r="54176" spans="9:9" x14ac:dyDescent="0.2">
      <c r="I54176" s="137" t="s">
        <v>74</v>
      </c>
    </row>
    <row r="54177" spans="9:9" x14ac:dyDescent="0.2">
      <c r="I54177" s="137" t="s">
        <v>74</v>
      </c>
    </row>
    <row r="54178" spans="9:9" x14ac:dyDescent="0.2">
      <c r="I54178" s="137" t="s">
        <v>74</v>
      </c>
    </row>
    <row r="54179" spans="9:9" x14ac:dyDescent="0.2">
      <c r="I54179" s="137" t="s">
        <v>74</v>
      </c>
    </row>
    <row r="54180" spans="9:9" x14ac:dyDescent="0.2">
      <c r="I54180" s="137" t="s">
        <v>74</v>
      </c>
    </row>
    <row r="54181" spans="9:9" x14ac:dyDescent="0.2">
      <c r="I54181" s="137" t="s">
        <v>74</v>
      </c>
    </row>
    <row r="54182" spans="9:9" x14ac:dyDescent="0.2">
      <c r="I54182" s="137" t="s">
        <v>74</v>
      </c>
    </row>
    <row r="54183" spans="9:9" x14ac:dyDescent="0.2">
      <c r="I54183" s="137" t="s">
        <v>74</v>
      </c>
    </row>
    <row r="54184" spans="9:9" x14ac:dyDescent="0.2">
      <c r="I54184" s="137" t="s">
        <v>74</v>
      </c>
    </row>
    <row r="54185" spans="9:9" x14ac:dyDescent="0.2">
      <c r="I54185" s="137" t="s">
        <v>74</v>
      </c>
    </row>
    <row r="54186" spans="9:9" x14ac:dyDescent="0.2">
      <c r="I54186" s="137" t="s">
        <v>74</v>
      </c>
    </row>
    <row r="54187" spans="9:9" x14ac:dyDescent="0.2">
      <c r="I54187" s="137" t="s">
        <v>74</v>
      </c>
    </row>
    <row r="54188" spans="9:9" x14ac:dyDescent="0.2">
      <c r="I54188" s="137" t="s">
        <v>74</v>
      </c>
    </row>
    <row r="54189" spans="9:9" x14ac:dyDescent="0.2">
      <c r="I54189" s="137" t="s">
        <v>74</v>
      </c>
    </row>
    <row r="54190" spans="9:9" x14ac:dyDescent="0.2">
      <c r="I54190" s="137" t="s">
        <v>74</v>
      </c>
    </row>
    <row r="54191" spans="9:9" x14ac:dyDescent="0.2">
      <c r="I54191" s="137" t="s">
        <v>74</v>
      </c>
    </row>
    <row r="54192" spans="9:9" x14ac:dyDescent="0.2">
      <c r="I54192" s="137" t="s">
        <v>74</v>
      </c>
    </row>
    <row r="54193" spans="9:9" x14ac:dyDescent="0.2">
      <c r="I54193" s="137" t="s">
        <v>74</v>
      </c>
    </row>
    <row r="54194" spans="9:9" x14ac:dyDescent="0.2">
      <c r="I54194" s="137" t="s">
        <v>74</v>
      </c>
    </row>
    <row r="54195" spans="9:9" x14ac:dyDescent="0.2">
      <c r="I54195" s="137" t="s">
        <v>74</v>
      </c>
    </row>
    <row r="54196" spans="9:9" x14ac:dyDescent="0.2">
      <c r="I54196" s="137" t="s">
        <v>74</v>
      </c>
    </row>
    <row r="54197" spans="9:9" x14ac:dyDescent="0.2">
      <c r="I54197" s="137" t="s">
        <v>74</v>
      </c>
    </row>
    <row r="54198" spans="9:9" x14ac:dyDescent="0.2">
      <c r="I54198" s="137" t="s">
        <v>74</v>
      </c>
    </row>
    <row r="54199" spans="9:9" x14ac:dyDescent="0.2">
      <c r="I54199" s="137" t="s">
        <v>74</v>
      </c>
    </row>
    <row r="54200" spans="9:9" x14ac:dyDescent="0.2">
      <c r="I54200" s="137" t="s">
        <v>74</v>
      </c>
    </row>
    <row r="54201" spans="9:9" x14ac:dyDescent="0.2">
      <c r="I54201" s="137" t="s">
        <v>74</v>
      </c>
    </row>
    <row r="54202" spans="9:9" x14ac:dyDescent="0.2">
      <c r="I54202" s="137" t="s">
        <v>74</v>
      </c>
    </row>
    <row r="54203" spans="9:9" x14ac:dyDescent="0.2">
      <c r="I54203" s="137" t="s">
        <v>74</v>
      </c>
    </row>
    <row r="54204" spans="9:9" x14ac:dyDescent="0.2">
      <c r="I54204" s="137" t="s">
        <v>74</v>
      </c>
    </row>
    <row r="54205" spans="9:9" x14ac:dyDescent="0.2">
      <c r="I54205" s="137" t="s">
        <v>74</v>
      </c>
    </row>
    <row r="54206" spans="9:9" x14ac:dyDescent="0.2">
      <c r="I54206" s="137" t="s">
        <v>74</v>
      </c>
    </row>
    <row r="54207" spans="9:9" x14ac:dyDescent="0.2">
      <c r="I54207" s="137" t="s">
        <v>74</v>
      </c>
    </row>
    <row r="54208" spans="9:9" x14ac:dyDescent="0.2">
      <c r="I54208" s="137" t="s">
        <v>74</v>
      </c>
    </row>
    <row r="54209" spans="9:9" x14ac:dyDescent="0.2">
      <c r="I54209" s="137" t="s">
        <v>74</v>
      </c>
    </row>
    <row r="54210" spans="9:9" x14ac:dyDescent="0.2">
      <c r="I54210" s="137" t="s">
        <v>74</v>
      </c>
    </row>
    <row r="54211" spans="9:9" x14ac:dyDescent="0.2">
      <c r="I54211" s="137" t="s">
        <v>74</v>
      </c>
    </row>
    <row r="54212" spans="9:9" x14ac:dyDescent="0.2">
      <c r="I54212" s="137" t="s">
        <v>74</v>
      </c>
    </row>
    <row r="54213" spans="9:9" x14ac:dyDescent="0.2">
      <c r="I54213" s="137" t="s">
        <v>74</v>
      </c>
    </row>
    <row r="54214" spans="9:9" x14ac:dyDescent="0.2">
      <c r="I54214" s="137" t="s">
        <v>74</v>
      </c>
    </row>
    <row r="54215" spans="9:9" x14ac:dyDescent="0.2">
      <c r="I54215" s="137" t="s">
        <v>74</v>
      </c>
    </row>
    <row r="54216" spans="9:9" x14ac:dyDescent="0.2">
      <c r="I54216" s="137" t="s">
        <v>74</v>
      </c>
    </row>
    <row r="54217" spans="9:9" x14ac:dyDescent="0.2">
      <c r="I54217" s="137" t="s">
        <v>74</v>
      </c>
    </row>
    <row r="54218" spans="9:9" x14ac:dyDescent="0.2">
      <c r="I54218" s="137" t="s">
        <v>74</v>
      </c>
    </row>
    <row r="54219" spans="9:9" x14ac:dyDescent="0.2">
      <c r="I54219" s="137" t="s">
        <v>74</v>
      </c>
    </row>
    <row r="54220" spans="9:9" x14ac:dyDescent="0.2">
      <c r="I54220" s="137" t="s">
        <v>74</v>
      </c>
    </row>
    <row r="54221" spans="9:9" x14ac:dyDescent="0.2">
      <c r="I54221" s="137" t="s">
        <v>74</v>
      </c>
    </row>
    <row r="54222" spans="9:9" x14ac:dyDescent="0.2">
      <c r="I54222" s="137" t="s">
        <v>74</v>
      </c>
    </row>
    <row r="54223" spans="9:9" x14ac:dyDescent="0.2">
      <c r="I54223" s="137" t="s">
        <v>74</v>
      </c>
    </row>
    <row r="54224" spans="9:9" x14ac:dyDescent="0.2">
      <c r="I54224" s="137" t="s">
        <v>74</v>
      </c>
    </row>
    <row r="54225" spans="9:9" x14ac:dyDescent="0.2">
      <c r="I54225" s="137" t="s">
        <v>74</v>
      </c>
    </row>
    <row r="54226" spans="9:9" x14ac:dyDescent="0.2">
      <c r="I54226" s="137" t="s">
        <v>74</v>
      </c>
    </row>
    <row r="54227" spans="9:9" x14ac:dyDescent="0.2">
      <c r="I54227" s="137" t="s">
        <v>74</v>
      </c>
    </row>
    <row r="54228" spans="9:9" x14ac:dyDescent="0.2">
      <c r="I54228" s="137" t="s">
        <v>74</v>
      </c>
    </row>
    <row r="54229" spans="9:9" x14ac:dyDescent="0.2">
      <c r="I54229" s="137" t="s">
        <v>74</v>
      </c>
    </row>
    <row r="54230" spans="9:9" x14ac:dyDescent="0.2">
      <c r="I54230" s="137" t="s">
        <v>74</v>
      </c>
    </row>
    <row r="54231" spans="9:9" x14ac:dyDescent="0.2">
      <c r="I54231" s="137" t="s">
        <v>74</v>
      </c>
    </row>
    <row r="54232" spans="9:9" x14ac:dyDescent="0.2">
      <c r="I54232" s="137" t="s">
        <v>74</v>
      </c>
    </row>
    <row r="54233" spans="9:9" x14ac:dyDescent="0.2">
      <c r="I54233" s="137" t="s">
        <v>74</v>
      </c>
    </row>
    <row r="54234" spans="9:9" x14ac:dyDescent="0.2">
      <c r="I54234" s="137" t="s">
        <v>74</v>
      </c>
    </row>
    <row r="54235" spans="9:9" x14ac:dyDescent="0.2">
      <c r="I54235" s="137" t="s">
        <v>74</v>
      </c>
    </row>
    <row r="54236" spans="9:9" x14ac:dyDescent="0.2">
      <c r="I54236" s="137" t="s">
        <v>74</v>
      </c>
    </row>
    <row r="54237" spans="9:9" x14ac:dyDescent="0.2">
      <c r="I54237" s="137" t="s">
        <v>74</v>
      </c>
    </row>
    <row r="54238" spans="9:9" x14ac:dyDescent="0.2">
      <c r="I54238" s="137" t="s">
        <v>74</v>
      </c>
    </row>
    <row r="54239" spans="9:9" x14ac:dyDescent="0.2">
      <c r="I54239" s="137" t="s">
        <v>74</v>
      </c>
    </row>
    <row r="54240" spans="9:9" x14ac:dyDescent="0.2">
      <c r="I54240" s="137" t="s">
        <v>74</v>
      </c>
    </row>
    <row r="54241" spans="9:9" x14ac:dyDescent="0.2">
      <c r="I54241" s="137" t="s">
        <v>74</v>
      </c>
    </row>
    <row r="54242" spans="9:9" x14ac:dyDescent="0.2">
      <c r="I54242" s="137" t="s">
        <v>74</v>
      </c>
    </row>
    <row r="54243" spans="9:9" x14ac:dyDescent="0.2">
      <c r="I54243" s="137" t="s">
        <v>74</v>
      </c>
    </row>
    <row r="54244" spans="9:9" x14ac:dyDescent="0.2">
      <c r="I54244" s="137" t="s">
        <v>74</v>
      </c>
    </row>
    <row r="54245" spans="9:9" x14ac:dyDescent="0.2">
      <c r="I54245" s="137" t="s">
        <v>74</v>
      </c>
    </row>
    <row r="54246" spans="9:9" x14ac:dyDescent="0.2">
      <c r="I54246" s="137" t="s">
        <v>74</v>
      </c>
    </row>
    <row r="54247" spans="9:9" x14ac:dyDescent="0.2">
      <c r="I54247" s="137" t="s">
        <v>74</v>
      </c>
    </row>
    <row r="54248" spans="9:9" x14ac:dyDescent="0.2">
      <c r="I54248" s="137" t="s">
        <v>74</v>
      </c>
    </row>
    <row r="54249" spans="9:9" x14ac:dyDescent="0.2">
      <c r="I54249" s="137" t="s">
        <v>74</v>
      </c>
    </row>
    <row r="54250" spans="9:9" x14ac:dyDescent="0.2">
      <c r="I54250" s="137" t="s">
        <v>74</v>
      </c>
    </row>
    <row r="54251" spans="9:9" x14ac:dyDescent="0.2">
      <c r="I54251" s="137" t="s">
        <v>74</v>
      </c>
    </row>
    <row r="54252" spans="9:9" x14ac:dyDescent="0.2">
      <c r="I54252" s="137" t="s">
        <v>74</v>
      </c>
    </row>
    <row r="54253" spans="9:9" x14ac:dyDescent="0.2">
      <c r="I54253" s="137" t="s">
        <v>74</v>
      </c>
    </row>
    <row r="54254" spans="9:9" x14ac:dyDescent="0.2">
      <c r="I54254" s="137" t="s">
        <v>74</v>
      </c>
    </row>
    <row r="54255" spans="9:9" x14ac:dyDescent="0.2">
      <c r="I54255" s="137" t="s">
        <v>74</v>
      </c>
    </row>
    <row r="54256" spans="9:9" x14ac:dyDescent="0.2">
      <c r="I54256" s="137" t="s">
        <v>74</v>
      </c>
    </row>
    <row r="54257" spans="9:9" x14ac:dyDescent="0.2">
      <c r="I54257" s="137" t="s">
        <v>74</v>
      </c>
    </row>
    <row r="54258" spans="9:9" x14ac:dyDescent="0.2">
      <c r="I54258" s="137" t="s">
        <v>74</v>
      </c>
    </row>
    <row r="54259" spans="9:9" x14ac:dyDescent="0.2">
      <c r="I54259" s="137" t="s">
        <v>74</v>
      </c>
    </row>
    <row r="54260" spans="9:9" x14ac:dyDescent="0.2">
      <c r="I54260" s="137" t="s">
        <v>74</v>
      </c>
    </row>
    <row r="54261" spans="9:9" x14ac:dyDescent="0.2">
      <c r="I54261" s="137" t="s">
        <v>74</v>
      </c>
    </row>
    <row r="54262" spans="9:9" x14ac:dyDescent="0.2">
      <c r="I54262" s="137" t="s">
        <v>74</v>
      </c>
    </row>
    <row r="54263" spans="9:9" x14ac:dyDescent="0.2">
      <c r="I54263" s="137" t="s">
        <v>74</v>
      </c>
    </row>
    <row r="54264" spans="9:9" x14ac:dyDescent="0.2">
      <c r="I54264" s="137" t="s">
        <v>74</v>
      </c>
    </row>
    <row r="54265" spans="9:9" x14ac:dyDescent="0.2">
      <c r="I54265" s="137" t="s">
        <v>74</v>
      </c>
    </row>
    <row r="54266" spans="9:9" x14ac:dyDescent="0.2">
      <c r="I54266" s="137" t="s">
        <v>74</v>
      </c>
    </row>
    <row r="54267" spans="9:9" x14ac:dyDescent="0.2">
      <c r="I54267" s="137" t="s">
        <v>74</v>
      </c>
    </row>
    <row r="54268" spans="9:9" x14ac:dyDescent="0.2">
      <c r="I54268" s="137" t="s">
        <v>74</v>
      </c>
    </row>
    <row r="54269" spans="9:9" x14ac:dyDescent="0.2">
      <c r="I54269" s="137" t="s">
        <v>74</v>
      </c>
    </row>
    <row r="54270" spans="9:9" x14ac:dyDescent="0.2">
      <c r="I54270" s="137" t="s">
        <v>74</v>
      </c>
    </row>
    <row r="54271" spans="9:9" x14ac:dyDescent="0.2">
      <c r="I54271" s="137" t="s">
        <v>74</v>
      </c>
    </row>
    <row r="54272" spans="9:9" x14ac:dyDescent="0.2">
      <c r="I54272" s="137" t="s">
        <v>74</v>
      </c>
    </row>
    <row r="54273" spans="9:9" x14ac:dyDescent="0.2">
      <c r="I54273" s="137" t="s">
        <v>74</v>
      </c>
    </row>
    <row r="54274" spans="9:9" x14ac:dyDescent="0.2">
      <c r="I54274" s="137" t="s">
        <v>74</v>
      </c>
    </row>
    <row r="54275" spans="9:9" x14ac:dyDescent="0.2">
      <c r="I54275" s="137" t="s">
        <v>74</v>
      </c>
    </row>
    <row r="54276" spans="9:9" x14ac:dyDescent="0.2">
      <c r="I54276" s="137" t="s">
        <v>74</v>
      </c>
    </row>
    <row r="54277" spans="9:9" x14ac:dyDescent="0.2">
      <c r="I54277" s="137" t="s">
        <v>74</v>
      </c>
    </row>
    <row r="54278" spans="9:9" x14ac:dyDescent="0.2">
      <c r="I54278" s="137" t="s">
        <v>74</v>
      </c>
    </row>
    <row r="54279" spans="9:9" x14ac:dyDescent="0.2">
      <c r="I54279" s="137" t="s">
        <v>74</v>
      </c>
    </row>
    <row r="54280" spans="9:9" x14ac:dyDescent="0.2">
      <c r="I54280" s="137" t="s">
        <v>74</v>
      </c>
    </row>
    <row r="54281" spans="9:9" x14ac:dyDescent="0.2">
      <c r="I54281" s="137" t="s">
        <v>74</v>
      </c>
    </row>
    <row r="54282" spans="9:9" x14ac:dyDescent="0.2">
      <c r="I54282" s="137" t="s">
        <v>74</v>
      </c>
    </row>
    <row r="54283" spans="9:9" x14ac:dyDescent="0.2">
      <c r="I54283" s="137" t="s">
        <v>74</v>
      </c>
    </row>
    <row r="54284" spans="9:9" x14ac:dyDescent="0.2">
      <c r="I54284" s="137" t="s">
        <v>74</v>
      </c>
    </row>
    <row r="54285" spans="9:9" x14ac:dyDescent="0.2">
      <c r="I54285" s="137" t="s">
        <v>74</v>
      </c>
    </row>
    <row r="54286" spans="9:9" x14ac:dyDescent="0.2">
      <c r="I54286" s="137" t="s">
        <v>74</v>
      </c>
    </row>
    <row r="54287" spans="9:9" x14ac:dyDescent="0.2">
      <c r="I54287" s="137" t="s">
        <v>74</v>
      </c>
    </row>
    <row r="54288" spans="9:9" x14ac:dyDescent="0.2">
      <c r="I54288" s="137" t="s">
        <v>74</v>
      </c>
    </row>
    <row r="54289" spans="9:9" x14ac:dyDescent="0.2">
      <c r="I54289" s="137" t="s">
        <v>74</v>
      </c>
    </row>
    <row r="54290" spans="9:9" x14ac:dyDescent="0.2">
      <c r="I54290" s="137" t="s">
        <v>74</v>
      </c>
    </row>
    <row r="54291" spans="9:9" x14ac:dyDescent="0.2">
      <c r="I54291" s="137" t="s">
        <v>74</v>
      </c>
    </row>
    <row r="54292" spans="9:9" x14ac:dyDescent="0.2">
      <c r="I54292" s="137" t="s">
        <v>74</v>
      </c>
    </row>
    <row r="54293" spans="9:9" x14ac:dyDescent="0.2">
      <c r="I54293" s="137" t="s">
        <v>74</v>
      </c>
    </row>
    <row r="54294" spans="9:9" x14ac:dyDescent="0.2">
      <c r="I54294" s="137" t="s">
        <v>74</v>
      </c>
    </row>
    <row r="54295" spans="9:9" x14ac:dyDescent="0.2">
      <c r="I54295" s="137" t="s">
        <v>74</v>
      </c>
    </row>
    <row r="54296" spans="9:9" x14ac:dyDescent="0.2">
      <c r="I54296" s="137" t="s">
        <v>74</v>
      </c>
    </row>
    <row r="54297" spans="9:9" x14ac:dyDescent="0.2">
      <c r="I54297" s="137" t="s">
        <v>74</v>
      </c>
    </row>
    <row r="54298" spans="9:9" x14ac:dyDescent="0.2">
      <c r="I54298" s="137" t="s">
        <v>74</v>
      </c>
    </row>
    <row r="54299" spans="9:9" x14ac:dyDescent="0.2">
      <c r="I54299" s="137" t="s">
        <v>74</v>
      </c>
    </row>
    <row r="54300" spans="9:9" x14ac:dyDescent="0.2">
      <c r="I54300" s="137" t="s">
        <v>74</v>
      </c>
    </row>
    <row r="54301" spans="9:9" x14ac:dyDescent="0.2">
      <c r="I54301" s="137" t="s">
        <v>74</v>
      </c>
    </row>
    <row r="54302" spans="9:9" x14ac:dyDescent="0.2">
      <c r="I54302" s="137" t="s">
        <v>74</v>
      </c>
    </row>
    <row r="54303" spans="9:9" x14ac:dyDescent="0.2">
      <c r="I54303" s="137" t="s">
        <v>74</v>
      </c>
    </row>
    <row r="54304" spans="9:9" x14ac:dyDescent="0.2">
      <c r="I54304" s="137" t="s">
        <v>74</v>
      </c>
    </row>
    <row r="54305" spans="9:9" x14ac:dyDescent="0.2">
      <c r="I54305" s="137" t="s">
        <v>74</v>
      </c>
    </row>
    <row r="54306" spans="9:9" x14ac:dyDescent="0.2">
      <c r="I54306" s="137" t="s">
        <v>74</v>
      </c>
    </row>
    <row r="54307" spans="9:9" x14ac:dyDescent="0.2">
      <c r="I54307" s="137" t="s">
        <v>74</v>
      </c>
    </row>
    <row r="54308" spans="9:9" x14ac:dyDescent="0.2">
      <c r="I54308" s="137" t="s">
        <v>74</v>
      </c>
    </row>
    <row r="54309" spans="9:9" x14ac:dyDescent="0.2">
      <c r="I54309" s="137" t="s">
        <v>74</v>
      </c>
    </row>
    <row r="54310" spans="9:9" x14ac:dyDescent="0.2">
      <c r="I54310" s="137" t="s">
        <v>74</v>
      </c>
    </row>
    <row r="54311" spans="9:9" x14ac:dyDescent="0.2">
      <c r="I54311" s="137" t="s">
        <v>74</v>
      </c>
    </row>
    <row r="54312" spans="9:9" x14ac:dyDescent="0.2">
      <c r="I54312" s="137" t="s">
        <v>74</v>
      </c>
    </row>
    <row r="54313" spans="9:9" x14ac:dyDescent="0.2">
      <c r="I54313" s="137" t="s">
        <v>74</v>
      </c>
    </row>
    <row r="54314" spans="9:9" x14ac:dyDescent="0.2">
      <c r="I54314" s="137" t="s">
        <v>74</v>
      </c>
    </row>
    <row r="54315" spans="9:9" x14ac:dyDescent="0.2">
      <c r="I54315" s="137" t="s">
        <v>74</v>
      </c>
    </row>
    <row r="54316" spans="9:9" x14ac:dyDescent="0.2">
      <c r="I54316" s="137" t="s">
        <v>74</v>
      </c>
    </row>
    <row r="54317" spans="9:9" x14ac:dyDescent="0.2">
      <c r="I54317" s="137" t="s">
        <v>74</v>
      </c>
    </row>
    <row r="54318" spans="9:9" x14ac:dyDescent="0.2">
      <c r="I54318" s="137" t="s">
        <v>74</v>
      </c>
    </row>
    <row r="54319" spans="9:9" x14ac:dyDescent="0.2">
      <c r="I54319" s="137" t="s">
        <v>74</v>
      </c>
    </row>
    <row r="54320" spans="9:9" x14ac:dyDescent="0.2">
      <c r="I54320" s="137" t="s">
        <v>74</v>
      </c>
    </row>
    <row r="54321" spans="9:9" x14ac:dyDescent="0.2">
      <c r="I54321" s="137" t="s">
        <v>74</v>
      </c>
    </row>
    <row r="54322" spans="9:9" x14ac:dyDescent="0.2">
      <c r="I54322" s="137" t="s">
        <v>74</v>
      </c>
    </row>
    <row r="54323" spans="9:9" x14ac:dyDescent="0.2">
      <c r="I54323" s="137" t="s">
        <v>74</v>
      </c>
    </row>
    <row r="54324" spans="9:9" x14ac:dyDescent="0.2">
      <c r="I54324" s="137" t="s">
        <v>74</v>
      </c>
    </row>
    <row r="54325" spans="9:9" x14ac:dyDescent="0.2">
      <c r="I54325" s="137" t="s">
        <v>74</v>
      </c>
    </row>
    <row r="54326" spans="9:9" x14ac:dyDescent="0.2">
      <c r="I54326" s="137" t="s">
        <v>74</v>
      </c>
    </row>
    <row r="54327" spans="9:9" x14ac:dyDescent="0.2">
      <c r="I54327" s="137" t="s">
        <v>74</v>
      </c>
    </row>
    <row r="54328" spans="9:9" x14ac:dyDescent="0.2">
      <c r="I54328" s="137" t="s">
        <v>74</v>
      </c>
    </row>
    <row r="54329" spans="9:9" x14ac:dyDescent="0.2">
      <c r="I54329" s="137" t="s">
        <v>74</v>
      </c>
    </row>
    <row r="54330" spans="9:9" x14ac:dyDescent="0.2">
      <c r="I54330" s="137" t="s">
        <v>74</v>
      </c>
    </row>
    <row r="54331" spans="9:9" x14ac:dyDescent="0.2">
      <c r="I54331" s="137" t="s">
        <v>74</v>
      </c>
    </row>
    <row r="54332" spans="9:9" x14ac:dyDescent="0.2">
      <c r="I54332" s="137" t="s">
        <v>74</v>
      </c>
    </row>
    <row r="54333" spans="9:9" x14ac:dyDescent="0.2">
      <c r="I54333" s="137" t="s">
        <v>74</v>
      </c>
    </row>
    <row r="54334" spans="9:9" x14ac:dyDescent="0.2">
      <c r="I54334" s="137" t="s">
        <v>74</v>
      </c>
    </row>
    <row r="54335" spans="9:9" x14ac:dyDescent="0.2">
      <c r="I54335" s="137" t="s">
        <v>74</v>
      </c>
    </row>
    <row r="54336" spans="9:9" x14ac:dyDescent="0.2">
      <c r="I54336" s="137" t="s">
        <v>74</v>
      </c>
    </row>
    <row r="54337" spans="9:9" x14ac:dyDescent="0.2">
      <c r="I54337" s="137" t="s">
        <v>74</v>
      </c>
    </row>
    <row r="54338" spans="9:9" x14ac:dyDescent="0.2">
      <c r="I54338" s="137" t="s">
        <v>74</v>
      </c>
    </row>
    <row r="54339" spans="9:9" x14ac:dyDescent="0.2">
      <c r="I54339" s="137" t="s">
        <v>74</v>
      </c>
    </row>
    <row r="54340" spans="9:9" x14ac:dyDescent="0.2">
      <c r="I54340" s="137" t="s">
        <v>74</v>
      </c>
    </row>
    <row r="54341" spans="9:9" x14ac:dyDescent="0.2">
      <c r="I54341" s="137" t="s">
        <v>74</v>
      </c>
    </row>
    <row r="54342" spans="9:9" x14ac:dyDescent="0.2">
      <c r="I54342" s="137" t="s">
        <v>74</v>
      </c>
    </row>
    <row r="54343" spans="9:9" x14ac:dyDescent="0.2">
      <c r="I54343" s="137" t="s">
        <v>74</v>
      </c>
    </row>
    <row r="54344" spans="9:9" x14ac:dyDescent="0.2">
      <c r="I54344" s="137" t="s">
        <v>74</v>
      </c>
    </row>
    <row r="54345" spans="9:9" x14ac:dyDescent="0.2">
      <c r="I54345" s="137" t="s">
        <v>74</v>
      </c>
    </row>
    <row r="54346" spans="9:9" x14ac:dyDescent="0.2">
      <c r="I54346" s="137" t="s">
        <v>74</v>
      </c>
    </row>
    <row r="54347" spans="9:9" x14ac:dyDescent="0.2">
      <c r="I54347" s="137" t="s">
        <v>74</v>
      </c>
    </row>
    <row r="54348" spans="9:9" x14ac:dyDescent="0.2">
      <c r="I54348" s="137" t="s">
        <v>74</v>
      </c>
    </row>
    <row r="54349" spans="9:9" x14ac:dyDescent="0.2">
      <c r="I54349" s="137" t="s">
        <v>74</v>
      </c>
    </row>
    <row r="54350" spans="9:9" x14ac:dyDescent="0.2">
      <c r="I54350" s="137" t="s">
        <v>74</v>
      </c>
    </row>
    <row r="54351" spans="9:9" x14ac:dyDescent="0.2">
      <c r="I54351" s="137" t="s">
        <v>74</v>
      </c>
    </row>
    <row r="54352" spans="9:9" x14ac:dyDescent="0.2">
      <c r="I54352" s="137" t="s">
        <v>74</v>
      </c>
    </row>
    <row r="54353" spans="9:9" x14ac:dyDescent="0.2">
      <c r="I54353" s="137" t="s">
        <v>74</v>
      </c>
    </row>
    <row r="54354" spans="9:9" x14ac:dyDescent="0.2">
      <c r="I54354" s="137" t="s">
        <v>74</v>
      </c>
    </row>
    <row r="54355" spans="9:9" x14ac:dyDescent="0.2">
      <c r="I54355" s="137" t="s">
        <v>74</v>
      </c>
    </row>
    <row r="54356" spans="9:9" x14ac:dyDescent="0.2">
      <c r="I54356" s="137" t="s">
        <v>74</v>
      </c>
    </row>
    <row r="54357" spans="9:9" x14ac:dyDescent="0.2">
      <c r="I54357" s="137" t="s">
        <v>74</v>
      </c>
    </row>
    <row r="54358" spans="9:9" x14ac:dyDescent="0.2">
      <c r="I54358" s="137" t="s">
        <v>74</v>
      </c>
    </row>
    <row r="54359" spans="9:9" x14ac:dyDescent="0.2">
      <c r="I54359" s="137" t="s">
        <v>74</v>
      </c>
    </row>
    <row r="54360" spans="9:9" x14ac:dyDescent="0.2">
      <c r="I54360" s="137" t="s">
        <v>74</v>
      </c>
    </row>
    <row r="54361" spans="9:9" x14ac:dyDescent="0.2">
      <c r="I54361" s="137" t="s">
        <v>74</v>
      </c>
    </row>
    <row r="54362" spans="9:9" x14ac:dyDescent="0.2">
      <c r="I54362" s="137" t="s">
        <v>74</v>
      </c>
    </row>
    <row r="54363" spans="9:9" x14ac:dyDescent="0.2">
      <c r="I54363" s="137" t="s">
        <v>74</v>
      </c>
    </row>
    <row r="54364" spans="9:9" x14ac:dyDescent="0.2">
      <c r="I54364" s="137" t="s">
        <v>74</v>
      </c>
    </row>
    <row r="54365" spans="9:9" x14ac:dyDescent="0.2">
      <c r="I54365" s="137" t="s">
        <v>74</v>
      </c>
    </row>
    <row r="54366" spans="9:9" x14ac:dyDescent="0.2">
      <c r="I54366" s="137" t="s">
        <v>74</v>
      </c>
    </row>
    <row r="54367" spans="9:9" x14ac:dyDescent="0.2">
      <c r="I54367" s="137" t="s">
        <v>74</v>
      </c>
    </row>
    <row r="54368" spans="9:9" x14ac:dyDescent="0.2">
      <c r="I54368" s="137" t="s">
        <v>74</v>
      </c>
    </row>
    <row r="54369" spans="9:9" x14ac:dyDescent="0.2">
      <c r="I54369" s="137" t="s">
        <v>74</v>
      </c>
    </row>
    <row r="54370" spans="9:9" x14ac:dyDescent="0.2">
      <c r="I54370" s="137" t="s">
        <v>74</v>
      </c>
    </row>
    <row r="54371" spans="9:9" x14ac:dyDescent="0.2">
      <c r="I54371" s="137" t="s">
        <v>74</v>
      </c>
    </row>
    <row r="54372" spans="9:9" x14ac:dyDescent="0.2">
      <c r="I54372" s="137" t="s">
        <v>74</v>
      </c>
    </row>
    <row r="54373" spans="9:9" x14ac:dyDescent="0.2">
      <c r="I54373" s="137" t="s">
        <v>74</v>
      </c>
    </row>
    <row r="54374" spans="9:9" x14ac:dyDescent="0.2">
      <c r="I54374" s="137" t="s">
        <v>74</v>
      </c>
    </row>
    <row r="54375" spans="9:9" x14ac:dyDescent="0.2">
      <c r="I54375" s="137" t="s">
        <v>74</v>
      </c>
    </row>
    <row r="54376" spans="9:9" x14ac:dyDescent="0.2">
      <c r="I54376" s="137" t="s">
        <v>74</v>
      </c>
    </row>
    <row r="54377" spans="9:9" x14ac:dyDescent="0.2">
      <c r="I54377" s="137" t="s">
        <v>74</v>
      </c>
    </row>
    <row r="54378" spans="9:9" x14ac:dyDescent="0.2">
      <c r="I54378" s="137" t="s">
        <v>74</v>
      </c>
    </row>
    <row r="54379" spans="9:9" x14ac:dyDescent="0.2">
      <c r="I54379" s="137" t="s">
        <v>74</v>
      </c>
    </row>
    <row r="54380" spans="9:9" x14ac:dyDescent="0.2">
      <c r="I54380" s="137" t="s">
        <v>74</v>
      </c>
    </row>
    <row r="54381" spans="9:9" x14ac:dyDescent="0.2">
      <c r="I54381" s="137" t="s">
        <v>74</v>
      </c>
    </row>
    <row r="54382" spans="9:9" x14ac:dyDescent="0.2">
      <c r="I54382" s="137" t="s">
        <v>74</v>
      </c>
    </row>
    <row r="54383" spans="9:9" x14ac:dyDescent="0.2">
      <c r="I54383" s="137" t="s">
        <v>74</v>
      </c>
    </row>
    <row r="54384" spans="9:9" x14ac:dyDescent="0.2">
      <c r="I54384" s="137" t="s">
        <v>74</v>
      </c>
    </row>
    <row r="54385" spans="9:9" x14ac:dyDescent="0.2">
      <c r="I54385" s="137" t="s">
        <v>74</v>
      </c>
    </row>
    <row r="54386" spans="9:9" x14ac:dyDescent="0.2">
      <c r="I54386" s="137" t="s">
        <v>74</v>
      </c>
    </row>
    <row r="54387" spans="9:9" x14ac:dyDescent="0.2">
      <c r="I54387" s="137" t="s">
        <v>74</v>
      </c>
    </row>
    <row r="54388" spans="9:9" x14ac:dyDescent="0.2">
      <c r="I54388" s="137" t="s">
        <v>74</v>
      </c>
    </row>
    <row r="54389" spans="9:9" x14ac:dyDescent="0.2">
      <c r="I54389" s="137" t="s">
        <v>74</v>
      </c>
    </row>
    <row r="54390" spans="9:9" x14ac:dyDescent="0.2">
      <c r="I54390" s="137" t="s">
        <v>74</v>
      </c>
    </row>
    <row r="54391" spans="9:9" x14ac:dyDescent="0.2">
      <c r="I54391" s="137" t="s">
        <v>74</v>
      </c>
    </row>
    <row r="54392" spans="9:9" x14ac:dyDescent="0.2">
      <c r="I54392" s="137" t="s">
        <v>74</v>
      </c>
    </row>
    <row r="54393" spans="9:9" x14ac:dyDescent="0.2">
      <c r="I54393" s="137" t="s">
        <v>74</v>
      </c>
    </row>
    <row r="54394" spans="9:9" x14ac:dyDescent="0.2">
      <c r="I54394" s="137" t="s">
        <v>74</v>
      </c>
    </row>
    <row r="54395" spans="9:9" x14ac:dyDescent="0.2">
      <c r="I54395" s="137" t="s">
        <v>74</v>
      </c>
    </row>
    <row r="54396" spans="9:9" x14ac:dyDescent="0.2">
      <c r="I54396" s="137" t="s">
        <v>74</v>
      </c>
    </row>
    <row r="54397" spans="9:9" x14ac:dyDescent="0.2">
      <c r="I54397" s="137" t="s">
        <v>74</v>
      </c>
    </row>
    <row r="54398" spans="9:9" x14ac:dyDescent="0.2">
      <c r="I54398" s="137" t="s">
        <v>74</v>
      </c>
    </row>
    <row r="54399" spans="9:9" x14ac:dyDescent="0.2">
      <c r="I54399" s="137" t="s">
        <v>74</v>
      </c>
    </row>
    <row r="54400" spans="9:9" x14ac:dyDescent="0.2">
      <c r="I54400" s="137" t="s">
        <v>74</v>
      </c>
    </row>
    <row r="54401" spans="9:9" x14ac:dyDescent="0.2">
      <c r="I54401" s="137" t="s">
        <v>74</v>
      </c>
    </row>
    <row r="54402" spans="9:9" x14ac:dyDescent="0.2">
      <c r="I54402" s="137" t="s">
        <v>74</v>
      </c>
    </row>
    <row r="54403" spans="9:9" x14ac:dyDescent="0.2">
      <c r="I54403" s="137" t="s">
        <v>74</v>
      </c>
    </row>
    <row r="54404" spans="9:9" x14ac:dyDescent="0.2">
      <c r="I54404" s="137" t="s">
        <v>74</v>
      </c>
    </row>
    <row r="54405" spans="9:9" x14ac:dyDescent="0.2">
      <c r="I54405" s="137" t="s">
        <v>74</v>
      </c>
    </row>
    <row r="54406" spans="9:9" x14ac:dyDescent="0.2">
      <c r="I54406" s="137" t="s">
        <v>74</v>
      </c>
    </row>
    <row r="54407" spans="9:9" x14ac:dyDescent="0.2">
      <c r="I54407" s="137" t="s">
        <v>74</v>
      </c>
    </row>
    <row r="54408" spans="9:9" x14ac:dyDescent="0.2">
      <c r="I54408" s="137" t="s">
        <v>74</v>
      </c>
    </row>
    <row r="54409" spans="9:9" x14ac:dyDescent="0.2">
      <c r="I54409" s="137" t="s">
        <v>74</v>
      </c>
    </row>
    <row r="54410" spans="9:9" x14ac:dyDescent="0.2">
      <c r="I54410" s="137" t="s">
        <v>74</v>
      </c>
    </row>
    <row r="54411" spans="9:9" x14ac:dyDescent="0.2">
      <c r="I54411" s="137" t="s">
        <v>74</v>
      </c>
    </row>
    <row r="54412" spans="9:9" x14ac:dyDescent="0.2">
      <c r="I54412" s="137" t="s">
        <v>74</v>
      </c>
    </row>
    <row r="54413" spans="9:9" x14ac:dyDescent="0.2">
      <c r="I54413" s="137" t="s">
        <v>74</v>
      </c>
    </row>
    <row r="54414" spans="9:9" x14ac:dyDescent="0.2">
      <c r="I54414" s="137" t="s">
        <v>74</v>
      </c>
    </row>
    <row r="54415" spans="9:9" x14ac:dyDescent="0.2">
      <c r="I54415" s="137" t="s">
        <v>74</v>
      </c>
    </row>
    <row r="54416" spans="9:9" x14ac:dyDescent="0.2">
      <c r="I54416" s="137" t="s">
        <v>74</v>
      </c>
    </row>
    <row r="54417" spans="9:9" x14ac:dyDescent="0.2">
      <c r="I54417" s="137" t="s">
        <v>74</v>
      </c>
    </row>
    <row r="54418" spans="9:9" x14ac:dyDescent="0.2">
      <c r="I54418" s="137" t="s">
        <v>74</v>
      </c>
    </row>
    <row r="54419" spans="9:9" x14ac:dyDescent="0.2">
      <c r="I54419" s="137" t="s">
        <v>74</v>
      </c>
    </row>
    <row r="54420" spans="9:9" x14ac:dyDescent="0.2">
      <c r="I54420" s="137" t="s">
        <v>74</v>
      </c>
    </row>
    <row r="54421" spans="9:9" x14ac:dyDescent="0.2">
      <c r="I54421" s="137" t="s">
        <v>74</v>
      </c>
    </row>
    <row r="54422" spans="9:9" x14ac:dyDescent="0.2">
      <c r="I54422" s="137" t="s">
        <v>74</v>
      </c>
    </row>
    <row r="54423" spans="9:9" x14ac:dyDescent="0.2">
      <c r="I54423" s="137" t="s">
        <v>74</v>
      </c>
    </row>
    <row r="54424" spans="9:9" x14ac:dyDescent="0.2">
      <c r="I54424" s="137" t="s">
        <v>74</v>
      </c>
    </row>
    <row r="54425" spans="9:9" x14ac:dyDescent="0.2">
      <c r="I54425" s="137" t="s">
        <v>74</v>
      </c>
    </row>
    <row r="54426" spans="9:9" x14ac:dyDescent="0.2">
      <c r="I54426" s="137" t="s">
        <v>74</v>
      </c>
    </row>
    <row r="54427" spans="9:9" x14ac:dyDescent="0.2">
      <c r="I54427" s="137" t="s">
        <v>74</v>
      </c>
    </row>
    <row r="54428" spans="9:9" x14ac:dyDescent="0.2">
      <c r="I54428" s="137" t="s">
        <v>74</v>
      </c>
    </row>
    <row r="54429" spans="9:9" x14ac:dyDescent="0.2">
      <c r="I54429" s="137" t="s">
        <v>74</v>
      </c>
    </row>
    <row r="54430" spans="9:9" x14ac:dyDescent="0.2">
      <c r="I54430" s="137" t="s">
        <v>74</v>
      </c>
    </row>
    <row r="54431" spans="9:9" x14ac:dyDescent="0.2">
      <c r="I54431" s="137" t="s">
        <v>74</v>
      </c>
    </row>
    <row r="54432" spans="9:9" x14ac:dyDescent="0.2">
      <c r="I54432" s="137" t="s">
        <v>74</v>
      </c>
    </row>
    <row r="54433" spans="9:9" x14ac:dyDescent="0.2">
      <c r="I54433" s="137" t="s">
        <v>74</v>
      </c>
    </row>
    <row r="54434" spans="9:9" x14ac:dyDescent="0.2">
      <c r="I54434" s="137" t="s">
        <v>74</v>
      </c>
    </row>
    <row r="54435" spans="9:9" x14ac:dyDescent="0.2">
      <c r="I54435" s="137" t="s">
        <v>74</v>
      </c>
    </row>
    <row r="54436" spans="9:9" x14ac:dyDescent="0.2">
      <c r="I54436" s="137" t="s">
        <v>74</v>
      </c>
    </row>
    <row r="54437" spans="9:9" x14ac:dyDescent="0.2">
      <c r="I54437" s="137" t="s">
        <v>74</v>
      </c>
    </row>
    <row r="54438" spans="9:9" x14ac:dyDescent="0.2">
      <c r="I54438" s="137" t="s">
        <v>74</v>
      </c>
    </row>
    <row r="54439" spans="9:9" x14ac:dyDescent="0.2">
      <c r="I54439" s="137" t="s">
        <v>74</v>
      </c>
    </row>
    <row r="54440" spans="9:9" x14ac:dyDescent="0.2">
      <c r="I54440" s="137" t="s">
        <v>74</v>
      </c>
    </row>
    <row r="54441" spans="9:9" x14ac:dyDescent="0.2">
      <c r="I54441" s="137" t="s">
        <v>74</v>
      </c>
    </row>
    <row r="54442" spans="9:9" x14ac:dyDescent="0.2">
      <c r="I54442" s="137" t="s">
        <v>74</v>
      </c>
    </row>
    <row r="54443" spans="9:9" x14ac:dyDescent="0.2">
      <c r="I54443" s="137" t="s">
        <v>74</v>
      </c>
    </row>
    <row r="54444" spans="9:9" x14ac:dyDescent="0.2">
      <c r="I54444" s="137" t="s">
        <v>74</v>
      </c>
    </row>
    <row r="54445" spans="9:9" x14ac:dyDescent="0.2">
      <c r="I54445" s="137" t="s">
        <v>74</v>
      </c>
    </row>
    <row r="54446" spans="9:9" x14ac:dyDescent="0.2">
      <c r="I54446" s="137" t="s">
        <v>74</v>
      </c>
    </row>
    <row r="54447" spans="9:9" x14ac:dyDescent="0.2">
      <c r="I54447" s="137" t="s">
        <v>74</v>
      </c>
    </row>
    <row r="54448" spans="9:9" x14ac:dyDescent="0.2">
      <c r="I54448" s="137" t="s">
        <v>74</v>
      </c>
    </row>
    <row r="54449" spans="9:9" x14ac:dyDescent="0.2">
      <c r="I54449" s="137" t="s">
        <v>74</v>
      </c>
    </row>
    <row r="54450" spans="9:9" x14ac:dyDescent="0.2">
      <c r="I54450" s="137" t="s">
        <v>74</v>
      </c>
    </row>
    <row r="54451" spans="9:9" x14ac:dyDescent="0.2">
      <c r="I54451" s="137" t="s">
        <v>74</v>
      </c>
    </row>
    <row r="54452" spans="9:9" x14ac:dyDescent="0.2">
      <c r="I54452" s="137" t="s">
        <v>74</v>
      </c>
    </row>
    <row r="54453" spans="9:9" x14ac:dyDescent="0.2">
      <c r="I54453" s="137" t="s">
        <v>74</v>
      </c>
    </row>
    <row r="54454" spans="9:9" x14ac:dyDescent="0.2">
      <c r="I54454" s="137" t="s">
        <v>74</v>
      </c>
    </row>
    <row r="54455" spans="9:9" x14ac:dyDescent="0.2">
      <c r="I54455" s="137" t="s">
        <v>74</v>
      </c>
    </row>
    <row r="54456" spans="9:9" x14ac:dyDescent="0.2">
      <c r="I54456" s="137" t="s">
        <v>74</v>
      </c>
    </row>
    <row r="54457" spans="9:9" x14ac:dyDescent="0.2">
      <c r="I54457" s="137" t="s">
        <v>74</v>
      </c>
    </row>
    <row r="54458" spans="9:9" x14ac:dyDescent="0.2">
      <c r="I54458" s="137" t="s">
        <v>74</v>
      </c>
    </row>
    <row r="54459" spans="9:9" x14ac:dyDescent="0.2">
      <c r="I54459" s="137" t="s">
        <v>74</v>
      </c>
    </row>
    <row r="54460" spans="9:9" x14ac:dyDescent="0.2">
      <c r="I54460" s="137" t="s">
        <v>74</v>
      </c>
    </row>
    <row r="54461" spans="9:9" x14ac:dyDescent="0.2">
      <c r="I54461" s="137" t="s">
        <v>74</v>
      </c>
    </row>
    <row r="54462" spans="9:9" x14ac:dyDescent="0.2">
      <c r="I54462" s="137" t="s">
        <v>74</v>
      </c>
    </row>
    <row r="54463" spans="9:9" x14ac:dyDescent="0.2">
      <c r="I54463" s="137" t="s">
        <v>74</v>
      </c>
    </row>
    <row r="54464" spans="9:9" x14ac:dyDescent="0.2">
      <c r="I54464" s="137" t="s">
        <v>74</v>
      </c>
    </row>
    <row r="54465" spans="9:9" x14ac:dyDescent="0.2">
      <c r="I54465" s="137" t="s">
        <v>74</v>
      </c>
    </row>
    <row r="54466" spans="9:9" x14ac:dyDescent="0.2">
      <c r="I54466" s="137" t="s">
        <v>74</v>
      </c>
    </row>
    <row r="54467" spans="9:9" x14ac:dyDescent="0.2">
      <c r="I54467" s="137" t="s">
        <v>74</v>
      </c>
    </row>
    <row r="54468" spans="9:9" x14ac:dyDescent="0.2">
      <c r="I54468" s="137" t="s">
        <v>74</v>
      </c>
    </row>
    <row r="54469" spans="9:9" x14ac:dyDescent="0.2">
      <c r="I54469" s="137" t="s">
        <v>74</v>
      </c>
    </row>
    <row r="54470" spans="9:9" x14ac:dyDescent="0.2">
      <c r="I54470" s="137" t="s">
        <v>74</v>
      </c>
    </row>
    <row r="54471" spans="9:9" x14ac:dyDescent="0.2">
      <c r="I54471" s="137" t="s">
        <v>74</v>
      </c>
    </row>
    <row r="54472" spans="9:9" x14ac:dyDescent="0.2">
      <c r="I54472" s="137" t="s">
        <v>74</v>
      </c>
    </row>
    <row r="54473" spans="9:9" x14ac:dyDescent="0.2">
      <c r="I54473" s="137" t="s">
        <v>74</v>
      </c>
    </row>
    <row r="54474" spans="9:9" x14ac:dyDescent="0.2">
      <c r="I54474" s="137" t="s">
        <v>74</v>
      </c>
    </row>
    <row r="54475" spans="9:9" x14ac:dyDescent="0.2">
      <c r="I54475" s="137" t="s">
        <v>74</v>
      </c>
    </row>
    <row r="54476" spans="9:9" x14ac:dyDescent="0.2">
      <c r="I54476" s="137" t="s">
        <v>74</v>
      </c>
    </row>
    <row r="54477" spans="9:9" x14ac:dyDescent="0.2">
      <c r="I54477" s="137" t="s">
        <v>74</v>
      </c>
    </row>
    <row r="54478" spans="9:9" x14ac:dyDescent="0.2">
      <c r="I54478" s="137" t="s">
        <v>74</v>
      </c>
    </row>
    <row r="54479" spans="9:9" x14ac:dyDescent="0.2">
      <c r="I54479" s="137" t="s">
        <v>74</v>
      </c>
    </row>
    <row r="54480" spans="9:9" x14ac:dyDescent="0.2">
      <c r="I54480" s="137" t="s">
        <v>74</v>
      </c>
    </row>
    <row r="54481" spans="9:9" x14ac:dyDescent="0.2">
      <c r="I54481" s="137" t="s">
        <v>74</v>
      </c>
    </row>
    <row r="54482" spans="9:9" x14ac:dyDescent="0.2">
      <c r="I54482" s="137" t="s">
        <v>74</v>
      </c>
    </row>
    <row r="54483" spans="9:9" x14ac:dyDescent="0.2">
      <c r="I54483" s="137" t="s">
        <v>74</v>
      </c>
    </row>
    <row r="54484" spans="9:9" x14ac:dyDescent="0.2">
      <c r="I54484" s="137" t="s">
        <v>74</v>
      </c>
    </row>
    <row r="54485" spans="9:9" x14ac:dyDescent="0.2">
      <c r="I54485" s="137" t="s">
        <v>74</v>
      </c>
    </row>
    <row r="54486" spans="9:9" x14ac:dyDescent="0.2">
      <c r="I54486" s="137" t="s">
        <v>74</v>
      </c>
    </row>
    <row r="54487" spans="9:9" x14ac:dyDescent="0.2">
      <c r="I54487" s="137" t="s">
        <v>74</v>
      </c>
    </row>
    <row r="54488" spans="9:9" x14ac:dyDescent="0.2">
      <c r="I54488" s="137" t="s">
        <v>74</v>
      </c>
    </row>
    <row r="54489" spans="9:9" x14ac:dyDescent="0.2">
      <c r="I54489" s="137" t="s">
        <v>74</v>
      </c>
    </row>
    <row r="54490" spans="9:9" x14ac:dyDescent="0.2">
      <c r="I54490" s="137" t="s">
        <v>74</v>
      </c>
    </row>
    <row r="54491" spans="9:9" x14ac:dyDescent="0.2">
      <c r="I54491" s="137" t="s">
        <v>74</v>
      </c>
    </row>
    <row r="54492" spans="9:9" x14ac:dyDescent="0.2">
      <c r="I54492" s="137" t="s">
        <v>74</v>
      </c>
    </row>
    <row r="54493" spans="9:9" x14ac:dyDescent="0.2">
      <c r="I54493" s="137" t="s">
        <v>74</v>
      </c>
    </row>
    <row r="54494" spans="9:9" x14ac:dyDescent="0.2">
      <c r="I54494" s="137" t="s">
        <v>74</v>
      </c>
    </row>
    <row r="54495" spans="9:9" x14ac:dyDescent="0.2">
      <c r="I54495" s="137" t="s">
        <v>74</v>
      </c>
    </row>
    <row r="54496" spans="9:9" x14ac:dyDescent="0.2">
      <c r="I54496" s="137" t="s">
        <v>74</v>
      </c>
    </row>
    <row r="54497" spans="9:9" x14ac:dyDescent="0.2">
      <c r="I54497" s="137" t="s">
        <v>74</v>
      </c>
    </row>
    <row r="54498" spans="9:9" x14ac:dyDescent="0.2">
      <c r="I54498" s="137" t="s">
        <v>74</v>
      </c>
    </row>
    <row r="54499" spans="9:9" x14ac:dyDescent="0.2">
      <c r="I54499" s="137" t="s">
        <v>74</v>
      </c>
    </row>
    <row r="54500" spans="9:9" x14ac:dyDescent="0.2">
      <c r="I54500" s="137" t="s">
        <v>74</v>
      </c>
    </row>
    <row r="54501" spans="9:9" x14ac:dyDescent="0.2">
      <c r="I54501" s="137" t="s">
        <v>74</v>
      </c>
    </row>
    <row r="54502" spans="9:9" x14ac:dyDescent="0.2">
      <c r="I54502" s="137" t="s">
        <v>74</v>
      </c>
    </row>
    <row r="54503" spans="9:9" x14ac:dyDescent="0.2">
      <c r="I54503" s="137" t="s">
        <v>74</v>
      </c>
    </row>
    <row r="54504" spans="9:9" x14ac:dyDescent="0.2">
      <c r="I54504" s="137" t="s">
        <v>74</v>
      </c>
    </row>
    <row r="54505" spans="9:9" x14ac:dyDescent="0.2">
      <c r="I54505" s="137" t="s">
        <v>74</v>
      </c>
    </row>
    <row r="54506" spans="9:9" x14ac:dyDescent="0.2">
      <c r="I54506" s="137" t="s">
        <v>74</v>
      </c>
    </row>
    <row r="54507" spans="9:9" x14ac:dyDescent="0.2">
      <c r="I54507" s="137" t="s">
        <v>74</v>
      </c>
    </row>
    <row r="54508" spans="9:9" x14ac:dyDescent="0.2">
      <c r="I54508" s="137" t="s">
        <v>74</v>
      </c>
    </row>
    <row r="54509" spans="9:9" x14ac:dyDescent="0.2">
      <c r="I54509" s="137" t="s">
        <v>74</v>
      </c>
    </row>
    <row r="54510" spans="9:9" x14ac:dyDescent="0.2">
      <c r="I54510" s="137" t="s">
        <v>74</v>
      </c>
    </row>
    <row r="54511" spans="9:9" x14ac:dyDescent="0.2">
      <c r="I54511" s="137" t="s">
        <v>74</v>
      </c>
    </row>
    <row r="54512" spans="9:9" x14ac:dyDescent="0.2">
      <c r="I54512" s="137" t="s">
        <v>74</v>
      </c>
    </row>
    <row r="54513" spans="9:9" x14ac:dyDescent="0.2">
      <c r="I54513" s="137" t="s">
        <v>74</v>
      </c>
    </row>
    <row r="54514" spans="9:9" x14ac:dyDescent="0.2">
      <c r="I54514" s="137" t="s">
        <v>74</v>
      </c>
    </row>
    <row r="54515" spans="9:9" x14ac:dyDescent="0.2">
      <c r="I54515" s="137" t="s">
        <v>74</v>
      </c>
    </row>
    <row r="54516" spans="9:9" x14ac:dyDescent="0.2">
      <c r="I54516" s="137" t="s">
        <v>74</v>
      </c>
    </row>
    <row r="54517" spans="9:9" x14ac:dyDescent="0.2">
      <c r="I54517" s="137" t="s">
        <v>74</v>
      </c>
    </row>
    <row r="54518" spans="9:9" x14ac:dyDescent="0.2">
      <c r="I54518" s="137" t="s">
        <v>74</v>
      </c>
    </row>
    <row r="54519" spans="9:9" x14ac:dyDescent="0.2">
      <c r="I54519" s="137" t="s">
        <v>74</v>
      </c>
    </row>
    <row r="54520" spans="9:9" x14ac:dyDescent="0.2">
      <c r="I54520" s="137" t="s">
        <v>74</v>
      </c>
    </row>
    <row r="54521" spans="9:9" x14ac:dyDescent="0.2">
      <c r="I54521" s="137" t="s">
        <v>74</v>
      </c>
    </row>
    <row r="54522" spans="9:9" x14ac:dyDescent="0.2">
      <c r="I54522" s="137" t="s">
        <v>74</v>
      </c>
    </row>
    <row r="54523" spans="9:9" x14ac:dyDescent="0.2">
      <c r="I54523" s="137" t="s">
        <v>74</v>
      </c>
    </row>
    <row r="54524" spans="9:9" x14ac:dyDescent="0.2">
      <c r="I54524" s="137" t="s">
        <v>74</v>
      </c>
    </row>
    <row r="54525" spans="9:9" x14ac:dyDescent="0.2">
      <c r="I54525" s="137" t="s">
        <v>74</v>
      </c>
    </row>
    <row r="54526" spans="9:9" x14ac:dyDescent="0.2">
      <c r="I54526" s="137" t="s">
        <v>74</v>
      </c>
    </row>
    <row r="54527" spans="9:9" x14ac:dyDescent="0.2">
      <c r="I54527" s="137" t="s">
        <v>74</v>
      </c>
    </row>
    <row r="54528" spans="9:9" x14ac:dyDescent="0.2">
      <c r="I54528" s="137" t="s">
        <v>74</v>
      </c>
    </row>
    <row r="54529" spans="9:9" x14ac:dyDescent="0.2">
      <c r="I54529" s="137" t="s">
        <v>74</v>
      </c>
    </row>
    <row r="54530" spans="9:9" x14ac:dyDescent="0.2">
      <c r="I54530" s="137" t="s">
        <v>74</v>
      </c>
    </row>
    <row r="54531" spans="9:9" x14ac:dyDescent="0.2">
      <c r="I54531" s="137" t="s">
        <v>74</v>
      </c>
    </row>
    <row r="54532" spans="9:9" x14ac:dyDescent="0.2">
      <c r="I54532" s="137" t="s">
        <v>74</v>
      </c>
    </row>
    <row r="54533" spans="9:9" x14ac:dyDescent="0.2">
      <c r="I54533" s="137" t="s">
        <v>74</v>
      </c>
    </row>
    <row r="54534" spans="9:9" x14ac:dyDescent="0.2">
      <c r="I54534" s="137" t="s">
        <v>74</v>
      </c>
    </row>
    <row r="54535" spans="9:9" x14ac:dyDescent="0.2">
      <c r="I54535" s="137" t="s">
        <v>74</v>
      </c>
    </row>
    <row r="54536" spans="9:9" x14ac:dyDescent="0.2">
      <c r="I54536" s="137" t="s">
        <v>74</v>
      </c>
    </row>
    <row r="54537" spans="9:9" x14ac:dyDescent="0.2">
      <c r="I54537" s="137" t="s">
        <v>74</v>
      </c>
    </row>
    <row r="54538" spans="9:9" x14ac:dyDescent="0.2">
      <c r="I54538" s="137" t="s">
        <v>74</v>
      </c>
    </row>
    <row r="54539" spans="9:9" x14ac:dyDescent="0.2">
      <c r="I54539" s="137" t="s">
        <v>74</v>
      </c>
    </row>
    <row r="54540" spans="9:9" x14ac:dyDescent="0.2">
      <c r="I54540" s="137" t="s">
        <v>74</v>
      </c>
    </row>
    <row r="54541" spans="9:9" x14ac:dyDescent="0.2">
      <c r="I54541" s="137" t="s">
        <v>74</v>
      </c>
    </row>
    <row r="54542" spans="9:9" x14ac:dyDescent="0.2">
      <c r="I54542" s="137" t="s">
        <v>74</v>
      </c>
    </row>
    <row r="54543" spans="9:9" x14ac:dyDescent="0.2">
      <c r="I54543" s="137" t="s">
        <v>74</v>
      </c>
    </row>
    <row r="54544" spans="9:9" x14ac:dyDescent="0.2">
      <c r="I54544" s="137" t="s">
        <v>74</v>
      </c>
    </row>
    <row r="54545" spans="9:9" x14ac:dyDescent="0.2">
      <c r="I54545" s="137" t="s">
        <v>74</v>
      </c>
    </row>
    <row r="54546" spans="9:9" x14ac:dyDescent="0.2">
      <c r="I54546" s="137" t="s">
        <v>74</v>
      </c>
    </row>
    <row r="54547" spans="9:9" x14ac:dyDescent="0.2">
      <c r="I54547" s="137" t="s">
        <v>74</v>
      </c>
    </row>
    <row r="54548" spans="9:9" x14ac:dyDescent="0.2">
      <c r="I54548" s="137" t="s">
        <v>74</v>
      </c>
    </row>
    <row r="54549" spans="9:9" x14ac:dyDescent="0.2">
      <c r="I54549" s="137" t="s">
        <v>74</v>
      </c>
    </row>
    <row r="54550" spans="9:9" x14ac:dyDescent="0.2">
      <c r="I54550" s="137" t="s">
        <v>74</v>
      </c>
    </row>
    <row r="54551" spans="9:9" x14ac:dyDescent="0.2">
      <c r="I54551" s="137" t="s">
        <v>74</v>
      </c>
    </row>
    <row r="54552" spans="9:9" x14ac:dyDescent="0.2">
      <c r="I54552" s="137" t="s">
        <v>74</v>
      </c>
    </row>
    <row r="54553" spans="9:9" x14ac:dyDescent="0.2">
      <c r="I54553" s="137" t="s">
        <v>74</v>
      </c>
    </row>
    <row r="54554" spans="9:9" x14ac:dyDescent="0.2">
      <c r="I54554" s="137" t="s">
        <v>74</v>
      </c>
    </row>
    <row r="54555" spans="9:9" x14ac:dyDescent="0.2">
      <c r="I54555" s="137" t="s">
        <v>74</v>
      </c>
    </row>
    <row r="54556" spans="9:9" x14ac:dyDescent="0.2">
      <c r="I54556" s="137" t="s">
        <v>74</v>
      </c>
    </row>
    <row r="54557" spans="9:9" x14ac:dyDescent="0.2">
      <c r="I54557" s="137" t="s">
        <v>74</v>
      </c>
    </row>
    <row r="54558" spans="9:9" x14ac:dyDescent="0.2">
      <c r="I54558" s="137" t="s">
        <v>74</v>
      </c>
    </row>
    <row r="54559" spans="9:9" x14ac:dyDescent="0.2">
      <c r="I54559" s="137" t="s">
        <v>74</v>
      </c>
    </row>
    <row r="54560" spans="9:9" x14ac:dyDescent="0.2">
      <c r="I54560" s="137" t="s">
        <v>74</v>
      </c>
    </row>
    <row r="54561" spans="9:9" x14ac:dyDescent="0.2">
      <c r="I54561" s="137" t="s">
        <v>74</v>
      </c>
    </row>
    <row r="54562" spans="9:9" x14ac:dyDescent="0.2">
      <c r="I54562" s="137" t="s">
        <v>74</v>
      </c>
    </row>
    <row r="54563" spans="9:9" x14ac:dyDescent="0.2">
      <c r="I54563" s="137" t="s">
        <v>74</v>
      </c>
    </row>
    <row r="54564" spans="9:9" x14ac:dyDescent="0.2">
      <c r="I54564" s="137" t="s">
        <v>74</v>
      </c>
    </row>
    <row r="54565" spans="9:9" x14ac:dyDescent="0.2">
      <c r="I54565" s="137" t="s">
        <v>74</v>
      </c>
    </row>
    <row r="54566" spans="9:9" x14ac:dyDescent="0.2">
      <c r="I54566" s="137" t="s">
        <v>74</v>
      </c>
    </row>
    <row r="54567" spans="9:9" x14ac:dyDescent="0.2">
      <c r="I54567" s="137" t="s">
        <v>74</v>
      </c>
    </row>
    <row r="54568" spans="9:9" x14ac:dyDescent="0.2">
      <c r="I54568" s="137" t="s">
        <v>74</v>
      </c>
    </row>
    <row r="54569" spans="9:9" x14ac:dyDescent="0.2">
      <c r="I54569" s="137" t="s">
        <v>74</v>
      </c>
    </row>
    <row r="54570" spans="9:9" x14ac:dyDescent="0.2">
      <c r="I54570" s="137" t="s">
        <v>74</v>
      </c>
    </row>
    <row r="54571" spans="9:9" x14ac:dyDescent="0.2">
      <c r="I54571" s="137" t="s">
        <v>74</v>
      </c>
    </row>
    <row r="54572" spans="9:9" x14ac:dyDescent="0.2">
      <c r="I54572" s="137" t="s">
        <v>74</v>
      </c>
    </row>
    <row r="54573" spans="9:9" x14ac:dyDescent="0.2">
      <c r="I54573" s="137" t="s">
        <v>74</v>
      </c>
    </row>
    <row r="54574" spans="9:9" x14ac:dyDescent="0.2">
      <c r="I54574" s="137" t="s">
        <v>74</v>
      </c>
    </row>
    <row r="54575" spans="9:9" x14ac:dyDescent="0.2">
      <c r="I54575" s="137" t="s">
        <v>74</v>
      </c>
    </row>
    <row r="54576" spans="9:9" x14ac:dyDescent="0.2">
      <c r="I54576" s="137" t="s">
        <v>74</v>
      </c>
    </row>
    <row r="54577" spans="9:9" x14ac:dyDescent="0.2">
      <c r="I54577" s="137" t="s">
        <v>74</v>
      </c>
    </row>
    <row r="54578" spans="9:9" x14ac:dyDescent="0.2">
      <c r="I54578" s="137" t="s">
        <v>74</v>
      </c>
    </row>
    <row r="54579" spans="9:9" x14ac:dyDescent="0.2">
      <c r="I54579" s="137" t="s">
        <v>74</v>
      </c>
    </row>
    <row r="54580" spans="9:9" x14ac:dyDescent="0.2">
      <c r="I54580" s="137" t="s">
        <v>74</v>
      </c>
    </row>
    <row r="54581" spans="9:9" x14ac:dyDescent="0.2">
      <c r="I54581" s="137" t="s">
        <v>74</v>
      </c>
    </row>
    <row r="54582" spans="9:9" x14ac:dyDescent="0.2">
      <c r="I54582" s="137" t="s">
        <v>74</v>
      </c>
    </row>
    <row r="54583" spans="9:9" x14ac:dyDescent="0.2">
      <c r="I54583" s="137" t="s">
        <v>74</v>
      </c>
    </row>
    <row r="54584" spans="9:9" x14ac:dyDescent="0.2">
      <c r="I54584" s="137" t="s">
        <v>74</v>
      </c>
    </row>
    <row r="54585" spans="9:9" x14ac:dyDescent="0.2">
      <c r="I54585" s="137" t="s">
        <v>74</v>
      </c>
    </row>
    <row r="54586" spans="9:9" x14ac:dyDescent="0.2">
      <c r="I54586" s="137" t="s">
        <v>74</v>
      </c>
    </row>
    <row r="54587" spans="9:9" x14ac:dyDescent="0.2">
      <c r="I54587" s="137" t="s">
        <v>74</v>
      </c>
    </row>
    <row r="54588" spans="9:9" x14ac:dyDescent="0.2">
      <c r="I54588" s="137" t="s">
        <v>74</v>
      </c>
    </row>
    <row r="54589" spans="9:9" x14ac:dyDescent="0.2">
      <c r="I54589" s="137" t="s">
        <v>74</v>
      </c>
    </row>
    <row r="54590" spans="9:9" x14ac:dyDescent="0.2">
      <c r="I54590" s="137" t="s">
        <v>74</v>
      </c>
    </row>
    <row r="54591" spans="9:9" x14ac:dyDescent="0.2">
      <c r="I54591" s="137" t="s">
        <v>74</v>
      </c>
    </row>
    <row r="54592" spans="9:9" x14ac:dyDescent="0.2">
      <c r="I54592" s="137" t="s">
        <v>74</v>
      </c>
    </row>
    <row r="54593" spans="9:9" x14ac:dyDescent="0.2">
      <c r="I54593" s="137" t="s">
        <v>74</v>
      </c>
    </row>
    <row r="54594" spans="9:9" x14ac:dyDescent="0.2">
      <c r="I54594" s="137" t="s">
        <v>74</v>
      </c>
    </row>
    <row r="54595" spans="9:9" x14ac:dyDescent="0.2">
      <c r="I54595" s="137" t="s">
        <v>74</v>
      </c>
    </row>
    <row r="54596" spans="9:9" x14ac:dyDescent="0.2">
      <c r="I54596" s="137" t="s">
        <v>74</v>
      </c>
    </row>
    <row r="54597" spans="9:9" x14ac:dyDescent="0.2">
      <c r="I54597" s="137" t="s">
        <v>74</v>
      </c>
    </row>
    <row r="54598" spans="9:9" x14ac:dyDescent="0.2">
      <c r="I54598" s="137" t="s">
        <v>74</v>
      </c>
    </row>
    <row r="54599" spans="9:9" x14ac:dyDescent="0.2">
      <c r="I54599" s="137" t="s">
        <v>74</v>
      </c>
    </row>
    <row r="54600" spans="9:9" x14ac:dyDescent="0.2">
      <c r="I54600" s="137" t="s">
        <v>74</v>
      </c>
    </row>
    <row r="54601" spans="9:9" x14ac:dyDescent="0.2">
      <c r="I54601" s="137" t="s">
        <v>74</v>
      </c>
    </row>
    <row r="54602" spans="9:9" x14ac:dyDescent="0.2">
      <c r="I54602" s="137" t="s">
        <v>74</v>
      </c>
    </row>
    <row r="54603" spans="9:9" x14ac:dyDescent="0.2">
      <c r="I54603" s="137" t="s">
        <v>74</v>
      </c>
    </row>
    <row r="54604" spans="9:9" x14ac:dyDescent="0.2">
      <c r="I54604" s="137" t="s">
        <v>74</v>
      </c>
    </row>
    <row r="54605" spans="9:9" x14ac:dyDescent="0.2">
      <c r="I54605" s="137" t="s">
        <v>74</v>
      </c>
    </row>
    <row r="54606" spans="9:9" x14ac:dyDescent="0.2">
      <c r="I54606" s="137" t="s">
        <v>74</v>
      </c>
    </row>
    <row r="54607" spans="9:9" x14ac:dyDescent="0.2">
      <c r="I54607" s="137" t="s">
        <v>74</v>
      </c>
    </row>
    <row r="54608" spans="9:9" x14ac:dyDescent="0.2">
      <c r="I54608" s="137" t="s">
        <v>74</v>
      </c>
    </row>
    <row r="54609" spans="9:9" x14ac:dyDescent="0.2">
      <c r="I54609" s="137" t="s">
        <v>74</v>
      </c>
    </row>
    <row r="54610" spans="9:9" x14ac:dyDescent="0.2">
      <c r="I54610" s="137" t="s">
        <v>74</v>
      </c>
    </row>
    <row r="54611" spans="9:9" x14ac:dyDescent="0.2">
      <c r="I54611" s="137" t="s">
        <v>74</v>
      </c>
    </row>
    <row r="54612" spans="9:9" x14ac:dyDescent="0.2">
      <c r="I54612" s="137" t="s">
        <v>74</v>
      </c>
    </row>
    <row r="54613" spans="9:9" x14ac:dyDescent="0.2">
      <c r="I54613" s="137" t="s">
        <v>74</v>
      </c>
    </row>
    <row r="54614" spans="9:9" x14ac:dyDescent="0.2">
      <c r="I54614" s="137" t="s">
        <v>74</v>
      </c>
    </row>
    <row r="54615" spans="9:9" x14ac:dyDescent="0.2">
      <c r="I54615" s="137" t="s">
        <v>74</v>
      </c>
    </row>
    <row r="54616" spans="9:9" x14ac:dyDescent="0.2">
      <c r="I54616" s="137" t="s">
        <v>74</v>
      </c>
    </row>
    <row r="54617" spans="9:9" x14ac:dyDescent="0.2">
      <c r="I54617" s="137" t="s">
        <v>74</v>
      </c>
    </row>
    <row r="54618" spans="9:9" x14ac:dyDescent="0.2">
      <c r="I54618" s="137" t="s">
        <v>74</v>
      </c>
    </row>
    <row r="54619" spans="9:9" x14ac:dyDescent="0.2">
      <c r="I54619" s="137" t="s">
        <v>74</v>
      </c>
    </row>
    <row r="54620" spans="9:9" x14ac:dyDescent="0.2">
      <c r="I54620" s="137" t="s">
        <v>74</v>
      </c>
    </row>
    <row r="54621" spans="9:9" x14ac:dyDescent="0.2">
      <c r="I54621" s="137" t="s">
        <v>74</v>
      </c>
    </row>
    <row r="54622" spans="9:9" x14ac:dyDescent="0.2">
      <c r="I54622" s="137" t="s">
        <v>74</v>
      </c>
    </row>
    <row r="54623" spans="9:9" x14ac:dyDescent="0.2">
      <c r="I54623" s="137" t="s">
        <v>74</v>
      </c>
    </row>
    <row r="54624" spans="9:9" x14ac:dyDescent="0.2">
      <c r="I54624" s="137" t="s">
        <v>74</v>
      </c>
    </row>
    <row r="54625" spans="9:9" x14ac:dyDescent="0.2">
      <c r="I54625" s="137" t="s">
        <v>74</v>
      </c>
    </row>
    <row r="54626" spans="9:9" x14ac:dyDescent="0.2">
      <c r="I54626" s="137" t="s">
        <v>74</v>
      </c>
    </row>
    <row r="54627" spans="9:9" x14ac:dyDescent="0.2">
      <c r="I54627" s="137" t="s">
        <v>74</v>
      </c>
    </row>
    <row r="54628" spans="9:9" x14ac:dyDescent="0.2">
      <c r="I54628" s="137" t="s">
        <v>74</v>
      </c>
    </row>
    <row r="54629" spans="9:9" x14ac:dyDescent="0.2">
      <c r="I54629" s="137" t="s">
        <v>74</v>
      </c>
    </row>
    <row r="54630" spans="9:9" x14ac:dyDescent="0.2">
      <c r="I54630" s="137" t="s">
        <v>74</v>
      </c>
    </row>
    <row r="54631" spans="9:9" x14ac:dyDescent="0.2">
      <c r="I54631" s="137" t="s">
        <v>74</v>
      </c>
    </row>
    <row r="54632" spans="9:9" x14ac:dyDescent="0.2">
      <c r="I54632" s="137" t="s">
        <v>74</v>
      </c>
    </row>
    <row r="54633" spans="9:9" x14ac:dyDescent="0.2">
      <c r="I54633" s="137" t="s">
        <v>74</v>
      </c>
    </row>
    <row r="54634" spans="9:9" x14ac:dyDescent="0.2">
      <c r="I54634" s="137" t="s">
        <v>74</v>
      </c>
    </row>
    <row r="54635" spans="9:9" x14ac:dyDescent="0.2">
      <c r="I54635" s="137" t="s">
        <v>74</v>
      </c>
    </row>
    <row r="54636" spans="9:9" x14ac:dyDescent="0.2">
      <c r="I54636" s="137" t="s">
        <v>74</v>
      </c>
    </row>
    <row r="54637" spans="9:9" x14ac:dyDescent="0.2">
      <c r="I54637" s="137" t="s">
        <v>74</v>
      </c>
    </row>
    <row r="54638" spans="9:9" x14ac:dyDescent="0.2">
      <c r="I54638" s="137" t="s">
        <v>74</v>
      </c>
    </row>
    <row r="54639" spans="9:9" x14ac:dyDescent="0.2">
      <c r="I54639" s="137" t="s">
        <v>74</v>
      </c>
    </row>
    <row r="54640" spans="9:9" x14ac:dyDescent="0.2">
      <c r="I54640" s="137" t="s">
        <v>74</v>
      </c>
    </row>
    <row r="54641" spans="9:9" x14ac:dyDescent="0.2">
      <c r="I54641" s="137" t="s">
        <v>74</v>
      </c>
    </row>
    <row r="54642" spans="9:9" x14ac:dyDescent="0.2">
      <c r="I54642" s="137" t="s">
        <v>74</v>
      </c>
    </row>
    <row r="54643" spans="9:9" x14ac:dyDescent="0.2">
      <c r="I54643" s="137" t="s">
        <v>74</v>
      </c>
    </row>
    <row r="54644" spans="9:9" x14ac:dyDescent="0.2">
      <c r="I54644" s="137" t="s">
        <v>74</v>
      </c>
    </row>
    <row r="54645" spans="9:9" x14ac:dyDescent="0.2">
      <c r="I54645" s="137" t="s">
        <v>74</v>
      </c>
    </row>
    <row r="54646" spans="9:9" x14ac:dyDescent="0.2">
      <c r="I54646" s="137" t="s">
        <v>74</v>
      </c>
    </row>
    <row r="54647" spans="9:9" x14ac:dyDescent="0.2">
      <c r="I54647" s="137" t="s">
        <v>74</v>
      </c>
    </row>
    <row r="54648" spans="9:9" x14ac:dyDescent="0.2">
      <c r="I54648" s="137" t="s">
        <v>74</v>
      </c>
    </row>
    <row r="54649" spans="9:9" x14ac:dyDescent="0.2">
      <c r="I54649" s="137" t="s">
        <v>74</v>
      </c>
    </row>
    <row r="54650" spans="9:9" x14ac:dyDescent="0.2">
      <c r="I54650" s="137" t="s">
        <v>74</v>
      </c>
    </row>
    <row r="54651" spans="9:9" x14ac:dyDescent="0.2">
      <c r="I54651" s="137" t="s">
        <v>74</v>
      </c>
    </row>
    <row r="54652" spans="9:9" x14ac:dyDescent="0.2">
      <c r="I54652" s="137" t="s">
        <v>74</v>
      </c>
    </row>
    <row r="54653" spans="9:9" x14ac:dyDescent="0.2">
      <c r="I54653" s="137" t="s">
        <v>74</v>
      </c>
    </row>
    <row r="54654" spans="9:9" x14ac:dyDescent="0.2">
      <c r="I54654" s="137" t="s">
        <v>74</v>
      </c>
    </row>
    <row r="54655" spans="9:9" x14ac:dyDescent="0.2">
      <c r="I54655" s="137" t="s">
        <v>74</v>
      </c>
    </row>
    <row r="54656" spans="9:9" x14ac:dyDescent="0.2">
      <c r="I54656" s="137" t="s">
        <v>74</v>
      </c>
    </row>
    <row r="54657" spans="9:9" x14ac:dyDescent="0.2">
      <c r="I54657" s="137" t="s">
        <v>74</v>
      </c>
    </row>
    <row r="54658" spans="9:9" x14ac:dyDescent="0.2">
      <c r="I54658" s="137" t="s">
        <v>74</v>
      </c>
    </row>
    <row r="54659" spans="9:9" x14ac:dyDescent="0.2">
      <c r="I54659" s="137" t="s">
        <v>74</v>
      </c>
    </row>
    <row r="54660" spans="9:9" x14ac:dyDescent="0.2">
      <c r="I54660" s="137" t="s">
        <v>74</v>
      </c>
    </row>
    <row r="54661" spans="9:9" x14ac:dyDescent="0.2">
      <c r="I54661" s="137" t="s">
        <v>74</v>
      </c>
    </row>
    <row r="54662" spans="9:9" x14ac:dyDescent="0.2">
      <c r="I54662" s="137" t="s">
        <v>74</v>
      </c>
    </row>
    <row r="54663" spans="9:9" x14ac:dyDescent="0.2">
      <c r="I54663" s="137" t="s">
        <v>74</v>
      </c>
    </row>
    <row r="54664" spans="9:9" x14ac:dyDescent="0.2">
      <c r="I54664" s="137" t="s">
        <v>74</v>
      </c>
    </row>
    <row r="54665" spans="9:9" x14ac:dyDescent="0.2">
      <c r="I54665" s="137" t="s">
        <v>74</v>
      </c>
    </row>
    <row r="54666" spans="9:9" x14ac:dyDescent="0.2">
      <c r="I54666" s="137" t="s">
        <v>74</v>
      </c>
    </row>
    <row r="54667" spans="9:9" x14ac:dyDescent="0.2">
      <c r="I54667" s="137" t="s">
        <v>74</v>
      </c>
    </row>
    <row r="54668" spans="9:9" x14ac:dyDescent="0.2">
      <c r="I54668" s="137" t="s">
        <v>74</v>
      </c>
    </row>
    <row r="54669" spans="9:9" x14ac:dyDescent="0.2">
      <c r="I54669" s="137" t="s">
        <v>74</v>
      </c>
    </row>
    <row r="54670" spans="9:9" x14ac:dyDescent="0.2">
      <c r="I54670" s="137" t="s">
        <v>74</v>
      </c>
    </row>
    <row r="54671" spans="9:9" x14ac:dyDescent="0.2">
      <c r="I54671" s="137" t="s">
        <v>74</v>
      </c>
    </row>
    <row r="54672" spans="9:9" x14ac:dyDescent="0.2">
      <c r="I54672" s="137" t="s">
        <v>74</v>
      </c>
    </row>
    <row r="54673" spans="9:9" x14ac:dyDescent="0.2">
      <c r="I54673" s="137" t="s">
        <v>74</v>
      </c>
    </row>
    <row r="54674" spans="9:9" x14ac:dyDescent="0.2">
      <c r="I54674" s="137" t="s">
        <v>74</v>
      </c>
    </row>
    <row r="54675" spans="9:9" x14ac:dyDescent="0.2">
      <c r="I54675" s="137" t="s">
        <v>74</v>
      </c>
    </row>
    <row r="54676" spans="9:9" x14ac:dyDescent="0.2">
      <c r="I54676" s="137" t="s">
        <v>74</v>
      </c>
    </row>
    <row r="54677" spans="9:9" x14ac:dyDescent="0.2">
      <c r="I54677" s="137" t="s">
        <v>74</v>
      </c>
    </row>
    <row r="54678" spans="9:9" x14ac:dyDescent="0.2">
      <c r="I54678" s="137" t="s">
        <v>74</v>
      </c>
    </row>
    <row r="54679" spans="9:9" x14ac:dyDescent="0.2">
      <c r="I54679" s="137" t="s">
        <v>74</v>
      </c>
    </row>
    <row r="54680" spans="9:9" x14ac:dyDescent="0.2">
      <c r="I54680" s="137" t="s">
        <v>74</v>
      </c>
    </row>
    <row r="54681" spans="9:9" x14ac:dyDescent="0.2">
      <c r="I54681" s="137" t="s">
        <v>74</v>
      </c>
    </row>
    <row r="54682" spans="9:9" x14ac:dyDescent="0.2">
      <c r="I54682" s="137" t="s">
        <v>74</v>
      </c>
    </row>
    <row r="54683" spans="9:9" x14ac:dyDescent="0.2">
      <c r="I54683" s="137" t="s">
        <v>74</v>
      </c>
    </row>
    <row r="54684" spans="9:9" x14ac:dyDescent="0.2">
      <c r="I54684" s="137" t="s">
        <v>74</v>
      </c>
    </row>
    <row r="54685" spans="9:9" x14ac:dyDescent="0.2">
      <c r="I54685" s="137" t="s">
        <v>74</v>
      </c>
    </row>
    <row r="54686" spans="9:9" x14ac:dyDescent="0.2">
      <c r="I54686" s="137" t="s">
        <v>74</v>
      </c>
    </row>
    <row r="54687" spans="9:9" x14ac:dyDescent="0.2">
      <c r="I54687" s="137" t="s">
        <v>74</v>
      </c>
    </row>
    <row r="54688" spans="9:9" x14ac:dyDescent="0.2">
      <c r="I54688" s="137" t="s">
        <v>74</v>
      </c>
    </row>
    <row r="54689" spans="9:9" x14ac:dyDescent="0.2">
      <c r="I54689" s="137" t="s">
        <v>74</v>
      </c>
    </row>
    <row r="54690" spans="9:9" x14ac:dyDescent="0.2">
      <c r="I54690" s="137" t="s">
        <v>74</v>
      </c>
    </row>
    <row r="54691" spans="9:9" x14ac:dyDescent="0.2">
      <c r="I54691" s="137" t="s">
        <v>74</v>
      </c>
    </row>
    <row r="54692" spans="9:9" x14ac:dyDescent="0.2">
      <c r="I54692" s="137" t="s">
        <v>74</v>
      </c>
    </row>
    <row r="54693" spans="9:9" x14ac:dyDescent="0.2">
      <c r="I54693" s="137" t="s">
        <v>74</v>
      </c>
    </row>
    <row r="54694" spans="9:9" x14ac:dyDescent="0.2">
      <c r="I54694" s="137" t="s">
        <v>74</v>
      </c>
    </row>
    <row r="54695" spans="9:9" x14ac:dyDescent="0.2">
      <c r="I54695" s="137" t="s">
        <v>74</v>
      </c>
    </row>
    <row r="54696" spans="9:9" x14ac:dyDescent="0.2">
      <c r="I54696" s="137" t="s">
        <v>74</v>
      </c>
    </row>
    <row r="54697" spans="9:9" x14ac:dyDescent="0.2">
      <c r="I54697" s="137" t="s">
        <v>74</v>
      </c>
    </row>
    <row r="54698" spans="9:9" x14ac:dyDescent="0.2">
      <c r="I54698" s="137" t="s">
        <v>74</v>
      </c>
    </row>
    <row r="54699" spans="9:9" x14ac:dyDescent="0.2">
      <c r="I54699" s="137" t="s">
        <v>74</v>
      </c>
    </row>
    <row r="54700" spans="9:9" x14ac:dyDescent="0.2">
      <c r="I54700" s="137" t="s">
        <v>74</v>
      </c>
    </row>
    <row r="54701" spans="9:9" x14ac:dyDescent="0.2">
      <c r="I54701" s="137" t="s">
        <v>74</v>
      </c>
    </row>
    <row r="54702" spans="9:9" x14ac:dyDescent="0.2">
      <c r="I54702" s="137" t="s">
        <v>74</v>
      </c>
    </row>
    <row r="54703" spans="9:9" x14ac:dyDescent="0.2">
      <c r="I54703" s="137" t="s">
        <v>74</v>
      </c>
    </row>
    <row r="54704" spans="9:9" x14ac:dyDescent="0.2">
      <c r="I54704" s="137" t="s">
        <v>74</v>
      </c>
    </row>
    <row r="54705" spans="9:9" x14ac:dyDescent="0.2">
      <c r="I54705" s="137" t="s">
        <v>74</v>
      </c>
    </row>
    <row r="54706" spans="9:9" x14ac:dyDescent="0.2">
      <c r="I54706" s="137" t="s">
        <v>74</v>
      </c>
    </row>
    <row r="54707" spans="9:9" x14ac:dyDescent="0.2">
      <c r="I54707" s="137" t="s">
        <v>74</v>
      </c>
    </row>
    <row r="54708" spans="9:9" x14ac:dyDescent="0.2">
      <c r="I54708" s="137" t="s">
        <v>74</v>
      </c>
    </row>
    <row r="54709" spans="9:9" x14ac:dyDescent="0.2">
      <c r="I54709" s="137" t="s">
        <v>74</v>
      </c>
    </row>
    <row r="54710" spans="9:9" x14ac:dyDescent="0.2">
      <c r="I54710" s="137" t="s">
        <v>74</v>
      </c>
    </row>
    <row r="54711" spans="9:9" x14ac:dyDescent="0.2">
      <c r="I54711" s="137" t="s">
        <v>74</v>
      </c>
    </row>
    <row r="54712" spans="9:9" x14ac:dyDescent="0.2">
      <c r="I54712" s="137" t="s">
        <v>74</v>
      </c>
    </row>
    <row r="54713" spans="9:9" x14ac:dyDescent="0.2">
      <c r="I54713" s="137" t="s">
        <v>74</v>
      </c>
    </row>
    <row r="54714" spans="9:9" x14ac:dyDescent="0.2">
      <c r="I54714" s="137" t="s">
        <v>74</v>
      </c>
    </row>
    <row r="54715" spans="9:9" x14ac:dyDescent="0.2">
      <c r="I54715" s="137" t="s">
        <v>74</v>
      </c>
    </row>
    <row r="54716" spans="9:9" x14ac:dyDescent="0.2">
      <c r="I54716" s="137" t="s">
        <v>74</v>
      </c>
    </row>
    <row r="54717" spans="9:9" x14ac:dyDescent="0.2">
      <c r="I54717" s="137" t="s">
        <v>74</v>
      </c>
    </row>
    <row r="54718" spans="9:9" x14ac:dyDescent="0.2">
      <c r="I54718" s="137" t="s">
        <v>74</v>
      </c>
    </row>
    <row r="54719" spans="9:9" x14ac:dyDescent="0.2">
      <c r="I54719" s="137" t="s">
        <v>74</v>
      </c>
    </row>
    <row r="54720" spans="9:9" x14ac:dyDescent="0.2">
      <c r="I54720" s="137" t="s">
        <v>74</v>
      </c>
    </row>
    <row r="54721" spans="9:9" x14ac:dyDescent="0.2">
      <c r="I54721" s="137" t="s">
        <v>74</v>
      </c>
    </row>
    <row r="54722" spans="9:9" x14ac:dyDescent="0.2">
      <c r="I54722" s="137" t="s">
        <v>74</v>
      </c>
    </row>
    <row r="54723" spans="9:9" x14ac:dyDescent="0.2">
      <c r="I54723" s="137" t="s">
        <v>74</v>
      </c>
    </row>
    <row r="54724" spans="9:9" x14ac:dyDescent="0.2">
      <c r="I54724" s="137" t="s">
        <v>74</v>
      </c>
    </row>
    <row r="54725" spans="9:9" x14ac:dyDescent="0.2">
      <c r="I54725" s="137" t="s">
        <v>74</v>
      </c>
    </row>
    <row r="54726" spans="9:9" x14ac:dyDescent="0.2">
      <c r="I54726" s="137" t="s">
        <v>74</v>
      </c>
    </row>
    <row r="54727" spans="9:9" x14ac:dyDescent="0.2">
      <c r="I54727" s="137" t="s">
        <v>74</v>
      </c>
    </row>
    <row r="54728" spans="9:9" x14ac:dyDescent="0.2">
      <c r="I54728" s="137" t="s">
        <v>74</v>
      </c>
    </row>
    <row r="54729" spans="9:9" x14ac:dyDescent="0.2">
      <c r="I54729" s="137" t="s">
        <v>74</v>
      </c>
    </row>
    <row r="54730" spans="9:9" x14ac:dyDescent="0.2">
      <c r="I54730" s="137" t="s">
        <v>74</v>
      </c>
    </row>
    <row r="54731" spans="9:9" x14ac:dyDescent="0.2">
      <c r="I54731" s="137" t="s">
        <v>74</v>
      </c>
    </row>
    <row r="54732" spans="9:9" x14ac:dyDescent="0.2">
      <c r="I54732" s="137" t="s">
        <v>74</v>
      </c>
    </row>
    <row r="54733" spans="9:9" x14ac:dyDescent="0.2">
      <c r="I54733" s="137" t="s">
        <v>74</v>
      </c>
    </row>
    <row r="54734" spans="9:9" x14ac:dyDescent="0.2">
      <c r="I54734" s="137" t="s">
        <v>74</v>
      </c>
    </row>
    <row r="54735" spans="9:9" x14ac:dyDescent="0.2">
      <c r="I54735" s="137" t="s">
        <v>74</v>
      </c>
    </row>
    <row r="54736" spans="9:9" x14ac:dyDescent="0.2">
      <c r="I54736" s="137" t="s">
        <v>74</v>
      </c>
    </row>
    <row r="54737" spans="9:9" x14ac:dyDescent="0.2">
      <c r="I54737" s="137" t="s">
        <v>74</v>
      </c>
    </row>
    <row r="54738" spans="9:9" x14ac:dyDescent="0.2">
      <c r="I54738" s="137" t="s">
        <v>74</v>
      </c>
    </row>
    <row r="54739" spans="9:9" x14ac:dyDescent="0.2">
      <c r="I54739" s="137" t="s">
        <v>74</v>
      </c>
    </row>
    <row r="54740" spans="9:9" x14ac:dyDescent="0.2">
      <c r="I54740" s="137" t="s">
        <v>74</v>
      </c>
    </row>
    <row r="54741" spans="9:9" x14ac:dyDescent="0.2">
      <c r="I54741" s="137" t="s">
        <v>74</v>
      </c>
    </row>
    <row r="54742" spans="9:9" x14ac:dyDescent="0.2">
      <c r="I54742" s="137" t="s">
        <v>74</v>
      </c>
    </row>
    <row r="54743" spans="9:9" x14ac:dyDescent="0.2">
      <c r="I54743" s="137" t="s">
        <v>74</v>
      </c>
    </row>
    <row r="54744" spans="9:9" x14ac:dyDescent="0.2">
      <c r="I54744" s="137" t="s">
        <v>74</v>
      </c>
    </row>
    <row r="54745" spans="9:9" x14ac:dyDescent="0.2">
      <c r="I54745" s="137" t="s">
        <v>74</v>
      </c>
    </row>
    <row r="54746" spans="9:9" x14ac:dyDescent="0.2">
      <c r="I54746" s="137" t="s">
        <v>74</v>
      </c>
    </row>
    <row r="54747" spans="9:9" x14ac:dyDescent="0.2">
      <c r="I54747" s="137" t="s">
        <v>74</v>
      </c>
    </row>
    <row r="54748" spans="9:9" x14ac:dyDescent="0.2">
      <c r="I54748" s="137" t="s">
        <v>74</v>
      </c>
    </row>
    <row r="54749" spans="9:9" x14ac:dyDescent="0.2">
      <c r="I54749" s="137" t="s">
        <v>74</v>
      </c>
    </row>
    <row r="54750" spans="9:9" x14ac:dyDescent="0.2">
      <c r="I54750" s="137" t="s">
        <v>74</v>
      </c>
    </row>
    <row r="54751" spans="9:9" x14ac:dyDescent="0.2">
      <c r="I54751" s="137" t="s">
        <v>74</v>
      </c>
    </row>
    <row r="54752" spans="9:9" x14ac:dyDescent="0.2">
      <c r="I54752" s="137" t="s">
        <v>74</v>
      </c>
    </row>
    <row r="54753" spans="9:9" x14ac:dyDescent="0.2">
      <c r="I54753" s="137" t="s">
        <v>74</v>
      </c>
    </row>
    <row r="54754" spans="9:9" x14ac:dyDescent="0.2">
      <c r="I54754" s="137" t="s">
        <v>74</v>
      </c>
    </row>
    <row r="54755" spans="9:9" x14ac:dyDescent="0.2">
      <c r="I54755" s="137" t="s">
        <v>74</v>
      </c>
    </row>
    <row r="54756" spans="9:9" x14ac:dyDescent="0.2">
      <c r="I54756" s="137" t="s">
        <v>74</v>
      </c>
    </row>
    <row r="54757" spans="9:9" x14ac:dyDescent="0.2">
      <c r="I54757" s="137" t="s">
        <v>74</v>
      </c>
    </row>
    <row r="54758" spans="9:9" x14ac:dyDescent="0.2">
      <c r="I54758" s="137" t="s">
        <v>74</v>
      </c>
    </row>
    <row r="54759" spans="9:9" x14ac:dyDescent="0.2">
      <c r="I54759" s="137" t="s">
        <v>74</v>
      </c>
    </row>
    <row r="54760" spans="9:9" x14ac:dyDescent="0.2">
      <c r="I54760" s="137" t="s">
        <v>74</v>
      </c>
    </row>
    <row r="54761" spans="9:9" x14ac:dyDescent="0.2">
      <c r="I54761" s="137" t="s">
        <v>74</v>
      </c>
    </row>
    <row r="54762" spans="9:9" x14ac:dyDescent="0.2">
      <c r="I54762" s="137" t="s">
        <v>74</v>
      </c>
    </row>
    <row r="54763" spans="9:9" x14ac:dyDescent="0.2">
      <c r="I54763" s="137" t="s">
        <v>74</v>
      </c>
    </row>
    <row r="54764" spans="9:9" x14ac:dyDescent="0.2">
      <c r="I54764" s="137" t="s">
        <v>74</v>
      </c>
    </row>
    <row r="54765" spans="9:9" x14ac:dyDescent="0.2">
      <c r="I54765" s="137" t="s">
        <v>74</v>
      </c>
    </row>
    <row r="54766" spans="9:9" x14ac:dyDescent="0.2">
      <c r="I54766" s="137" t="s">
        <v>74</v>
      </c>
    </row>
    <row r="54767" spans="9:9" x14ac:dyDescent="0.2">
      <c r="I54767" s="137" t="s">
        <v>74</v>
      </c>
    </row>
    <row r="54768" spans="9:9" x14ac:dyDescent="0.2">
      <c r="I54768" s="137" t="s">
        <v>74</v>
      </c>
    </row>
    <row r="54769" spans="9:9" x14ac:dyDescent="0.2">
      <c r="I54769" s="137" t="s">
        <v>74</v>
      </c>
    </row>
    <row r="54770" spans="9:9" x14ac:dyDescent="0.2">
      <c r="I54770" s="137" t="s">
        <v>74</v>
      </c>
    </row>
    <row r="54771" spans="9:9" x14ac:dyDescent="0.2">
      <c r="I54771" s="137" t="s">
        <v>74</v>
      </c>
    </row>
    <row r="54772" spans="9:9" x14ac:dyDescent="0.2">
      <c r="I54772" s="137" t="s">
        <v>74</v>
      </c>
    </row>
    <row r="54773" spans="9:9" x14ac:dyDescent="0.2">
      <c r="I54773" s="137" t="s">
        <v>74</v>
      </c>
    </row>
    <row r="54774" spans="9:9" x14ac:dyDescent="0.2">
      <c r="I54774" s="137" t="s">
        <v>74</v>
      </c>
    </row>
    <row r="54775" spans="9:9" x14ac:dyDescent="0.2">
      <c r="I54775" s="137" t="s">
        <v>74</v>
      </c>
    </row>
    <row r="54776" spans="9:9" x14ac:dyDescent="0.2">
      <c r="I54776" s="137" t="s">
        <v>74</v>
      </c>
    </row>
    <row r="54777" spans="9:9" x14ac:dyDescent="0.2">
      <c r="I54777" s="137" t="s">
        <v>74</v>
      </c>
    </row>
    <row r="54778" spans="9:9" x14ac:dyDescent="0.2">
      <c r="I54778" s="137" t="s">
        <v>74</v>
      </c>
    </row>
    <row r="54779" spans="9:9" x14ac:dyDescent="0.2">
      <c r="I54779" s="137" t="s">
        <v>74</v>
      </c>
    </row>
    <row r="54780" spans="9:9" x14ac:dyDescent="0.2">
      <c r="I54780" s="137" t="s">
        <v>74</v>
      </c>
    </row>
    <row r="54781" spans="9:9" x14ac:dyDescent="0.2">
      <c r="I54781" s="137" t="s">
        <v>74</v>
      </c>
    </row>
    <row r="54782" spans="9:9" x14ac:dyDescent="0.2">
      <c r="I54782" s="137" t="s">
        <v>74</v>
      </c>
    </row>
    <row r="54783" spans="9:9" x14ac:dyDescent="0.2">
      <c r="I54783" s="137" t="s">
        <v>74</v>
      </c>
    </row>
    <row r="54784" spans="9:9" x14ac:dyDescent="0.2">
      <c r="I54784" s="137" t="s">
        <v>74</v>
      </c>
    </row>
    <row r="54785" spans="9:9" x14ac:dyDescent="0.2">
      <c r="I54785" s="137" t="s">
        <v>74</v>
      </c>
    </row>
    <row r="54786" spans="9:9" x14ac:dyDescent="0.2">
      <c r="I54786" s="137" t="s">
        <v>74</v>
      </c>
    </row>
    <row r="54787" spans="9:9" x14ac:dyDescent="0.2">
      <c r="I54787" s="137" t="s">
        <v>74</v>
      </c>
    </row>
    <row r="54788" spans="9:9" x14ac:dyDescent="0.2">
      <c r="I54788" s="137" t="s">
        <v>74</v>
      </c>
    </row>
    <row r="54789" spans="9:9" x14ac:dyDescent="0.2">
      <c r="I54789" s="137" t="s">
        <v>74</v>
      </c>
    </row>
    <row r="54790" spans="9:9" x14ac:dyDescent="0.2">
      <c r="I54790" s="137" t="s">
        <v>74</v>
      </c>
    </row>
    <row r="54791" spans="9:9" x14ac:dyDescent="0.2">
      <c r="I54791" s="137" t="s">
        <v>74</v>
      </c>
    </row>
    <row r="54792" spans="9:9" x14ac:dyDescent="0.2">
      <c r="I54792" s="137" t="s">
        <v>74</v>
      </c>
    </row>
    <row r="54793" spans="9:9" x14ac:dyDescent="0.2">
      <c r="I54793" s="137" t="s">
        <v>74</v>
      </c>
    </row>
    <row r="54794" spans="9:9" x14ac:dyDescent="0.2">
      <c r="I54794" s="137" t="s">
        <v>74</v>
      </c>
    </row>
    <row r="54795" spans="9:9" x14ac:dyDescent="0.2">
      <c r="I54795" s="137" t="s">
        <v>74</v>
      </c>
    </row>
    <row r="54796" spans="9:9" x14ac:dyDescent="0.2">
      <c r="I54796" s="137" t="s">
        <v>74</v>
      </c>
    </row>
    <row r="54797" spans="9:9" x14ac:dyDescent="0.2">
      <c r="I54797" s="137" t="s">
        <v>74</v>
      </c>
    </row>
    <row r="54798" spans="9:9" x14ac:dyDescent="0.2">
      <c r="I54798" s="137" t="s">
        <v>74</v>
      </c>
    </row>
    <row r="54799" spans="9:9" x14ac:dyDescent="0.2">
      <c r="I54799" s="137" t="s">
        <v>74</v>
      </c>
    </row>
    <row r="54800" spans="9:9" x14ac:dyDescent="0.2">
      <c r="I54800" s="137" t="s">
        <v>74</v>
      </c>
    </row>
    <row r="54801" spans="9:9" x14ac:dyDescent="0.2">
      <c r="I54801" s="137" t="s">
        <v>74</v>
      </c>
    </row>
    <row r="54802" spans="9:9" x14ac:dyDescent="0.2">
      <c r="I54802" s="137" t="s">
        <v>74</v>
      </c>
    </row>
    <row r="54803" spans="9:9" x14ac:dyDescent="0.2">
      <c r="I54803" s="137" t="s">
        <v>74</v>
      </c>
    </row>
    <row r="54804" spans="9:9" x14ac:dyDescent="0.2">
      <c r="I54804" s="137" t="s">
        <v>74</v>
      </c>
    </row>
    <row r="54805" spans="9:9" x14ac:dyDescent="0.2">
      <c r="I54805" s="137" t="s">
        <v>74</v>
      </c>
    </row>
    <row r="54806" spans="9:9" x14ac:dyDescent="0.2">
      <c r="I54806" s="137" t="s">
        <v>74</v>
      </c>
    </row>
    <row r="54807" spans="9:9" x14ac:dyDescent="0.2">
      <c r="I54807" s="137" t="s">
        <v>74</v>
      </c>
    </row>
    <row r="54808" spans="9:9" x14ac:dyDescent="0.2">
      <c r="I54808" s="137" t="s">
        <v>74</v>
      </c>
    </row>
    <row r="54809" spans="9:9" x14ac:dyDescent="0.2">
      <c r="I54809" s="137" t="s">
        <v>74</v>
      </c>
    </row>
    <row r="54810" spans="9:9" x14ac:dyDescent="0.2">
      <c r="I54810" s="137" t="s">
        <v>74</v>
      </c>
    </row>
    <row r="54811" spans="9:9" x14ac:dyDescent="0.2">
      <c r="I54811" s="137" t="s">
        <v>74</v>
      </c>
    </row>
    <row r="54812" spans="9:9" x14ac:dyDescent="0.2">
      <c r="I54812" s="137" t="s">
        <v>74</v>
      </c>
    </row>
    <row r="54813" spans="9:9" x14ac:dyDescent="0.2">
      <c r="I54813" s="137" t="s">
        <v>74</v>
      </c>
    </row>
    <row r="54814" spans="9:9" x14ac:dyDescent="0.2">
      <c r="I54814" s="137" t="s">
        <v>74</v>
      </c>
    </row>
    <row r="54815" spans="9:9" x14ac:dyDescent="0.2">
      <c r="I54815" s="137" t="s">
        <v>74</v>
      </c>
    </row>
    <row r="54816" spans="9:9" x14ac:dyDescent="0.2">
      <c r="I54816" s="137" t="s">
        <v>74</v>
      </c>
    </row>
    <row r="54817" spans="9:9" x14ac:dyDescent="0.2">
      <c r="I54817" s="137" t="s">
        <v>74</v>
      </c>
    </row>
    <row r="54818" spans="9:9" x14ac:dyDescent="0.2">
      <c r="I54818" s="137" t="s">
        <v>74</v>
      </c>
    </row>
    <row r="54819" spans="9:9" x14ac:dyDescent="0.2">
      <c r="I54819" s="137" t="s">
        <v>74</v>
      </c>
    </row>
    <row r="54820" spans="9:9" x14ac:dyDescent="0.2">
      <c r="I54820" s="137" t="s">
        <v>74</v>
      </c>
    </row>
    <row r="54821" spans="9:9" x14ac:dyDescent="0.2">
      <c r="I54821" s="137" t="s">
        <v>74</v>
      </c>
    </row>
    <row r="54822" spans="9:9" x14ac:dyDescent="0.2">
      <c r="I54822" s="137" t="s">
        <v>74</v>
      </c>
    </row>
    <row r="54823" spans="9:9" x14ac:dyDescent="0.2">
      <c r="I54823" s="137" t="s">
        <v>74</v>
      </c>
    </row>
    <row r="54824" spans="9:9" x14ac:dyDescent="0.2">
      <c r="I54824" s="137" t="s">
        <v>74</v>
      </c>
    </row>
    <row r="54825" spans="9:9" x14ac:dyDescent="0.2">
      <c r="I54825" s="137" t="s">
        <v>74</v>
      </c>
    </row>
    <row r="54826" spans="9:9" x14ac:dyDescent="0.2">
      <c r="I54826" s="137" t="s">
        <v>74</v>
      </c>
    </row>
    <row r="54827" spans="9:9" x14ac:dyDescent="0.2">
      <c r="I54827" s="137" t="s">
        <v>74</v>
      </c>
    </row>
    <row r="54828" spans="9:9" x14ac:dyDescent="0.2">
      <c r="I54828" s="137" t="s">
        <v>74</v>
      </c>
    </row>
    <row r="54829" spans="9:9" x14ac:dyDescent="0.2">
      <c r="I54829" s="137" t="s">
        <v>74</v>
      </c>
    </row>
    <row r="54830" spans="9:9" x14ac:dyDescent="0.2">
      <c r="I54830" s="137" t="s">
        <v>74</v>
      </c>
    </row>
    <row r="54831" spans="9:9" x14ac:dyDescent="0.2">
      <c r="I54831" s="137" t="s">
        <v>74</v>
      </c>
    </row>
    <row r="54832" spans="9:9" x14ac:dyDescent="0.2">
      <c r="I54832" s="137" t="s">
        <v>74</v>
      </c>
    </row>
    <row r="54833" spans="9:9" x14ac:dyDescent="0.2">
      <c r="I54833" s="137" t="s">
        <v>74</v>
      </c>
    </row>
    <row r="54834" spans="9:9" x14ac:dyDescent="0.2">
      <c r="I54834" s="137" t="s">
        <v>74</v>
      </c>
    </row>
    <row r="54835" spans="9:9" x14ac:dyDescent="0.2">
      <c r="I54835" s="137" t="s">
        <v>74</v>
      </c>
    </row>
    <row r="54836" spans="9:9" x14ac:dyDescent="0.2">
      <c r="I54836" s="137" t="s">
        <v>74</v>
      </c>
    </row>
    <row r="54837" spans="9:9" x14ac:dyDescent="0.2">
      <c r="I54837" s="137" t="s">
        <v>74</v>
      </c>
    </row>
    <row r="54838" spans="9:9" x14ac:dyDescent="0.2">
      <c r="I54838" s="137" t="s">
        <v>74</v>
      </c>
    </row>
    <row r="54839" spans="9:9" x14ac:dyDescent="0.2">
      <c r="I54839" s="137" t="s">
        <v>74</v>
      </c>
    </row>
    <row r="54840" spans="9:9" x14ac:dyDescent="0.2">
      <c r="I54840" s="137" t="s">
        <v>74</v>
      </c>
    </row>
    <row r="54841" spans="9:9" x14ac:dyDescent="0.2">
      <c r="I54841" s="137" t="s">
        <v>74</v>
      </c>
    </row>
    <row r="54842" spans="9:9" x14ac:dyDescent="0.2">
      <c r="I54842" s="137" t="s">
        <v>74</v>
      </c>
    </row>
    <row r="54843" spans="9:9" x14ac:dyDescent="0.2">
      <c r="I54843" s="137" t="s">
        <v>74</v>
      </c>
    </row>
    <row r="54844" spans="9:9" x14ac:dyDescent="0.2">
      <c r="I54844" s="137" t="s">
        <v>74</v>
      </c>
    </row>
    <row r="54845" spans="9:9" x14ac:dyDescent="0.2">
      <c r="I54845" s="137" t="s">
        <v>74</v>
      </c>
    </row>
    <row r="54846" spans="9:9" x14ac:dyDescent="0.2">
      <c r="I54846" s="137" t="s">
        <v>74</v>
      </c>
    </row>
    <row r="54847" spans="9:9" x14ac:dyDescent="0.2">
      <c r="I54847" s="137" t="s">
        <v>74</v>
      </c>
    </row>
    <row r="54848" spans="9:9" x14ac:dyDescent="0.2">
      <c r="I54848" s="137" t="s">
        <v>74</v>
      </c>
    </row>
    <row r="54849" spans="9:9" x14ac:dyDescent="0.2">
      <c r="I54849" s="137" t="s">
        <v>74</v>
      </c>
    </row>
    <row r="54850" spans="9:9" x14ac:dyDescent="0.2">
      <c r="I54850" s="137" t="s">
        <v>74</v>
      </c>
    </row>
    <row r="54851" spans="9:9" x14ac:dyDescent="0.2">
      <c r="I54851" s="137" t="s">
        <v>74</v>
      </c>
    </row>
    <row r="54852" spans="9:9" x14ac:dyDescent="0.2">
      <c r="I54852" s="137" t="s">
        <v>74</v>
      </c>
    </row>
    <row r="54853" spans="9:9" x14ac:dyDescent="0.2">
      <c r="I54853" s="137" t="s">
        <v>74</v>
      </c>
    </row>
    <row r="54854" spans="9:9" x14ac:dyDescent="0.2">
      <c r="I54854" s="137" t="s">
        <v>74</v>
      </c>
    </row>
    <row r="54855" spans="9:9" x14ac:dyDescent="0.2">
      <c r="I54855" s="137" t="s">
        <v>74</v>
      </c>
    </row>
    <row r="54856" spans="9:9" x14ac:dyDescent="0.2">
      <c r="I54856" s="137" t="s">
        <v>74</v>
      </c>
    </row>
    <row r="54857" spans="9:9" x14ac:dyDescent="0.2">
      <c r="I54857" s="137" t="s">
        <v>74</v>
      </c>
    </row>
    <row r="54858" spans="9:9" x14ac:dyDescent="0.2">
      <c r="I54858" s="137" t="s">
        <v>74</v>
      </c>
    </row>
    <row r="54859" spans="9:9" x14ac:dyDescent="0.2">
      <c r="I54859" s="137" t="s">
        <v>74</v>
      </c>
    </row>
    <row r="54860" spans="9:9" x14ac:dyDescent="0.2">
      <c r="I54860" s="137" t="s">
        <v>74</v>
      </c>
    </row>
    <row r="54861" spans="9:9" x14ac:dyDescent="0.2">
      <c r="I54861" s="137" t="s">
        <v>74</v>
      </c>
    </row>
    <row r="54862" spans="9:9" x14ac:dyDescent="0.2">
      <c r="I54862" s="137" t="s">
        <v>74</v>
      </c>
    </row>
    <row r="54863" spans="9:9" x14ac:dyDescent="0.2">
      <c r="I54863" s="137" t="s">
        <v>74</v>
      </c>
    </row>
    <row r="54864" spans="9:9" x14ac:dyDescent="0.2">
      <c r="I54864" s="137" t="s">
        <v>74</v>
      </c>
    </row>
    <row r="54865" spans="9:9" x14ac:dyDescent="0.2">
      <c r="I54865" s="137" t="s">
        <v>74</v>
      </c>
    </row>
    <row r="54866" spans="9:9" x14ac:dyDescent="0.2">
      <c r="I54866" s="137" t="s">
        <v>74</v>
      </c>
    </row>
    <row r="54867" spans="9:9" x14ac:dyDescent="0.2">
      <c r="I54867" s="137" t="s">
        <v>74</v>
      </c>
    </row>
    <row r="54868" spans="9:9" x14ac:dyDescent="0.2">
      <c r="I54868" s="137" t="s">
        <v>74</v>
      </c>
    </row>
    <row r="54869" spans="9:9" x14ac:dyDescent="0.2">
      <c r="I54869" s="137" t="s">
        <v>74</v>
      </c>
    </row>
    <row r="54870" spans="9:9" x14ac:dyDescent="0.2">
      <c r="I54870" s="137" t="s">
        <v>74</v>
      </c>
    </row>
    <row r="54871" spans="9:9" x14ac:dyDescent="0.2">
      <c r="I54871" s="137" t="s">
        <v>74</v>
      </c>
    </row>
    <row r="54872" spans="9:9" x14ac:dyDescent="0.2">
      <c r="I54872" s="137" t="s">
        <v>74</v>
      </c>
    </row>
    <row r="54873" spans="9:9" x14ac:dyDescent="0.2">
      <c r="I54873" s="137" t="s">
        <v>74</v>
      </c>
    </row>
    <row r="54874" spans="9:9" x14ac:dyDescent="0.2">
      <c r="I54874" s="137" t="s">
        <v>74</v>
      </c>
    </row>
    <row r="54875" spans="9:9" x14ac:dyDescent="0.2">
      <c r="I54875" s="137" t="s">
        <v>74</v>
      </c>
    </row>
    <row r="54876" spans="9:9" x14ac:dyDescent="0.2">
      <c r="I54876" s="137" t="s">
        <v>74</v>
      </c>
    </row>
    <row r="54877" spans="9:9" x14ac:dyDescent="0.2">
      <c r="I54877" s="137" t="s">
        <v>74</v>
      </c>
    </row>
    <row r="54878" spans="9:9" x14ac:dyDescent="0.2">
      <c r="I54878" s="137" t="s">
        <v>74</v>
      </c>
    </row>
    <row r="54879" spans="9:9" x14ac:dyDescent="0.2">
      <c r="I54879" s="137" t="s">
        <v>74</v>
      </c>
    </row>
    <row r="54880" spans="9:9" x14ac:dyDescent="0.2">
      <c r="I54880" s="137" t="s">
        <v>74</v>
      </c>
    </row>
    <row r="54881" spans="9:9" x14ac:dyDescent="0.2">
      <c r="I54881" s="137" t="s">
        <v>74</v>
      </c>
    </row>
    <row r="54882" spans="9:9" x14ac:dyDescent="0.2">
      <c r="I54882" s="137" t="s">
        <v>74</v>
      </c>
    </row>
    <row r="54883" spans="9:9" x14ac:dyDescent="0.2">
      <c r="I54883" s="137" t="s">
        <v>74</v>
      </c>
    </row>
    <row r="54884" spans="9:9" x14ac:dyDescent="0.2">
      <c r="I54884" s="137" t="s">
        <v>74</v>
      </c>
    </row>
    <row r="54885" spans="9:9" x14ac:dyDescent="0.2">
      <c r="I54885" s="137" t="s">
        <v>74</v>
      </c>
    </row>
    <row r="54886" spans="9:9" x14ac:dyDescent="0.2">
      <c r="I54886" s="137" t="s">
        <v>74</v>
      </c>
    </row>
    <row r="54887" spans="9:9" x14ac:dyDescent="0.2">
      <c r="I54887" s="137" t="s">
        <v>74</v>
      </c>
    </row>
    <row r="54888" spans="9:9" x14ac:dyDescent="0.2">
      <c r="I54888" s="137" t="s">
        <v>74</v>
      </c>
    </row>
    <row r="54889" spans="9:9" x14ac:dyDescent="0.2">
      <c r="I54889" s="137" t="s">
        <v>74</v>
      </c>
    </row>
    <row r="54890" spans="9:9" x14ac:dyDescent="0.2">
      <c r="I54890" s="137" t="s">
        <v>74</v>
      </c>
    </row>
    <row r="54891" spans="9:9" x14ac:dyDescent="0.2">
      <c r="I54891" s="137" t="s">
        <v>74</v>
      </c>
    </row>
    <row r="54892" spans="9:9" x14ac:dyDescent="0.2">
      <c r="I54892" s="137" t="s">
        <v>74</v>
      </c>
    </row>
    <row r="54893" spans="9:9" x14ac:dyDescent="0.2">
      <c r="I54893" s="137" t="s">
        <v>74</v>
      </c>
    </row>
    <row r="54894" spans="9:9" x14ac:dyDescent="0.2">
      <c r="I54894" s="137" t="s">
        <v>74</v>
      </c>
    </row>
    <row r="54895" spans="9:9" x14ac:dyDescent="0.2">
      <c r="I54895" s="137" t="s">
        <v>74</v>
      </c>
    </row>
    <row r="54896" spans="9:9" x14ac:dyDescent="0.2">
      <c r="I54896" s="137" t="s">
        <v>74</v>
      </c>
    </row>
    <row r="54897" spans="9:9" x14ac:dyDescent="0.2">
      <c r="I54897" s="137" t="s">
        <v>74</v>
      </c>
    </row>
    <row r="54898" spans="9:9" x14ac:dyDescent="0.2">
      <c r="I54898" s="137" t="s">
        <v>74</v>
      </c>
    </row>
    <row r="54899" spans="9:9" x14ac:dyDescent="0.2">
      <c r="I54899" s="137" t="s">
        <v>74</v>
      </c>
    </row>
    <row r="54900" spans="9:9" x14ac:dyDescent="0.2">
      <c r="I54900" s="137" t="s">
        <v>74</v>
      </c>
    </row>
    <row r="54901" spans="9:9" x14ac:dyDescent="0.2">
      <c r="I54901" s="137" t="s">
        <v>74</v>
      </c>
    </row>
    <row r="54902" spans="9:9" x14ac:dyDescent="0.2">
      <c r="I54902" s="137" t="s">
        <v>74</v>
      </c>
    </row>
    <row r="54903" spans="9:9" x14ac:dyDescent="0.2">
      <c r="I54903" s="137" t="s">
        <v>74</v>
      </c>
    </row>
    <row r="54904" spans="9:9" x14ac:dyDescent="0.2">
      <c r="I54904" s="137" t="s">
        <v>74</v>
      </c>
    </row>
    <row r="54905" spans="9:9" x14ac:dyDescent="0.2">
      <c r="I54905" s="137" t="s">
        <v>74</v>
      </c>
    </row>
    <row r="54906" spans="9:9" x14ac:dyDescent="0.2">
      <c r="I54906" s="137" t="s">
        <v>74</v>
      </c>
    </row>
    <row r="54907" spans="9:9" x14ac:dyDescent="0.2">
      <c r="I54907" s="137" t="s">
        <v>74</v>
      </c>
    </row>
    <row r="54908" spans="9:9" x14ac:dyDescent="0.2">
      <c r="I54908" s="137" t="s">
        <v>74</v>
      </c>
    </row>
    <row r="54909" spans="9:9" x14ac:dyDescent="0.2">
      <c r="I54909" s="137" t="s">
        <v>74</v>
      </c>
    </row>
    <row r="54910" spans="9:9" x14ac:dyDescent="0.2">
      <c r="I54910" s="137" t="s">
        <v>74</v>
      </c>
    </row>
    <row r="54911" spans="9:9" x14ac:dyDescent="0.2">
      <c r="I54911" s="137" t="s">
        <v>74</v>
      </c>
    </row>
    <row r="54912" spans="9:9" x14ac:dyDescent="0.2">
      <c r="I54912" s="137" t="s">
        <v>74</v>
      </c>
    </row>
    <row r="54913" spans="9:9" x14ac:dyDescent="0.2">
      <c r="I54913" s="137" t="s">
        <v>74</v>
      </c>
    </row>
    <row r="54914" spans="9:9" x14ac:dyDescent="0.2">
      <c r="I54914" s="137" t="s">
        <v>74</v>
      </c>
    </row>
    <row r="54915" spans="9:9" x14ac:dyDescent="0.2">
      <c r="I54915" s="137" t="s">
        <v>74</v>
      </c>
    </row>
    <row r="54916" spans="9:9" x14ac:dyDescent="0.2">
      <c r="I54916" s="137" t="s">
        <v>74</v>
      </c>
    </row>
    <row r="54917" spans="9:9" x14ac:dyDescent="0.2">
      <c r="I54917" s="137" t="s">
        <v>74</v>
      </c>
    </row>
    <row r="54918" spans="9:9" x14ac:dyDescent="0.2">
      <c r="I54918" s="137" t="s">
        <v>74</v>
      </c>
    </row>
    <row r="54919" spans="9:9" x14ac:dyDescent="0.2">
      <c r="I54919" s="137" t="s">
        <v>74</v>
      </c>
    </row>
    <row r="54920" spans="9:9" x14ac:dyDescent="0.2">
      <c r="I54920" s="137" t="s">
        <v>74</v>
      </c>
    </row>
    <row r="54921" spans="9:9" x14ac:dyDescent="0.2">
      <c r="I54921" s="137" t="s">
        <v>74</v>
      </c>
    </row>
    <row r="54922" spans="9:9" x14ac:dyDescent="0.2">
      <c r="I54922" s="137" t="s">
        <v>74</v>
      </c>
    </row>
    <row r="54923" spans="9:9" x14ac:dyDescent="0.2">
      <c r="I54923" s="137" t="s">
        <v>74</v>
      </c>
    </row>
    <row r="54924" spans="9:9" x14ac:dyDescent="0.2">
      <c r="I54924" s="137" t="s">
        <v>74</v>
      </c>
    </row>
    <row r="54925" spans="9:9" x14ac:dyDescent="0.2">
      <c r="I54925" s="137" t="s">
        <v>74</v>
      </c>
    </row>
    <row r="54926" spans="9:9" x14ac:dyDescent="0.2">
      <c r="I54926" s="137" t="s">
        <v>74</v>
      </c>
    </row>
    <row r="54927" spans="9:9" x14ac:dyDescent="0.2">
      <c r="I54927" s="137" t="s">
        <v>74</v>
      </c>
    </row>
    <row r="54928" spans="9:9" x14ac:dyDescent="0.2">
      <c r="I54928" s="137" t="s">
        <v>74</v>
      </c>
    </row>
    <row r="54929" spans="9:9" x14ac:dyDescent="0.2">
      <c r="I54929" s="137" t="s">
        <v>74</v>
      </c>
    </row>
    <row r="54930" spans="9:9" x14ac:dyDescent="0.2">
      <c r="I54930" s="137" t="s">
        <v>74</v>
      </c>
    </row>
    <row r="54931" spans="9:9" x14ac:dyDescent="0.2">
      <c r="I54931" s="137" t="s">
        <v>74</v>
      </c>
    </row>
    <row r="54932" spans="9:9" x14ac:dyDescent="0.2">
      <c r="I54932" s="137" t="s">
        <v>74</v>
      </c>
    </row>
    <row r="54933" spans="9:9" x14ac:dyDescent="0.2">
      <c r="I54933" s="137" t="s">
        <v>74</v>
      </c>
    </row>
    <row r="54934" spans="9:9" x14ac:dyDescent="0.2">
      <c r="I54934" s="137" t="s">
        <v>74</v>
      </c>
    </row>
    <row r="54935" spans="9:9" x14ac:dyDescent="0.2">
      <c r="I54935" s="137" t="s">
        <v>74</v>
      </c>
    </row>
    <row r="54936" spans="9:9" x14ac:dyDescent="0.2">
      <c r="I54936" s="137" t="s">
        <v>74</v>
      </c>
    </row>
    <row r="54937" spans="9:9" x14ac:dyDescent="0.2">
      <c r="I54937" s="137" t="s">
        <v>74</v>
      </c>
    </row>
    <row r="54938" spans="9:9" x14ac:dyDescent="0.2">
      <c r="I54938" s="137" t="s">
        <v>74</v>
      </c>
    </row>
    <row r="54939" spans="9:9" x14ac:dyDescent="0.2">
      <c r="I54939" s="137" t="s">
        <v>74</v>
      </c>
    </row>
    <row r="54940" spans="9:9" x14ac:dyDescent="0.2">
      <c r="I54940" s="137" t="s">
        <v>74</v>
      </c>
    </row>
    <row r="54941" spans="9:9" x14ac:dyDescent="0.2">
      <c r="I54941" s="137" t="s">
        <v>74</v>
      </c>
    </row>
    <row r="54942" spans="9:9" x14ac:dyDescent="0.2">
      <c r="I54942" s="137" t="s">
        <v>74</v>
      </c>
    </row>
    <row r="54943" spans="9:9" x14ac:dyDescent="0.2">
      <c r="I54943" s="137" t="s">
        <v>74</v>
      </c>
    </row>
    <row r="54944" spans="9:9" x14ac:dyDescent="0.2">
      <c r="I54944" s="137" t="s">
        <v>74</v>
      </c>
    </row>
    <row r="54945" spans="9:9" x14ac:dyDescent="0.2">
      <c r="I54945" s="137" t="s">
        <v>74</v>
      </c>
    </row>
    <row r="54946" spans="9:9" x14ac:dyDescent="0.2">
      <c r="I54946" s="137" t="s">
        <v>74</v>
      </c>
    </row>
    <row r="54947" spans="9:9" x14ac:dyDescent="0.2">
      <c r="I54947" s="137" t="s">
        <v>74</v>
      </c>
    </row>
    <row r="54948" spans="9:9" x14ac:dyDescent="0.2">
      <c r="I54948" s="137" t="s">
        <v>74</v>
      </c>
    </row>
    <row r="54949" spans="9:9" x14ac:dyDescent="0.2">
      <c r="I54949" s="137" t="s">
        <v>74</v>
      </c>
    </row>
    <row r="54950" spans="9:9" x14ac:dyDescent="0.2">
      <c r="I54950" s="137" t="s">
        <v>74</v>
      </c>
    </row>
    <row r="54951" spans="9:9" x14ac:dyDescent="0.2">
      <c r="I54951" s="137" t="s">
        <v>74</v>
      </c>
    </row>
    <row r="54952" spans="9:9" x14ac:dyDescent="0.2">
      <c r="I54952" s="137" t="s">
        <v>74</v>
      </c>
    </row>
    <row r="54953" spans="9:9" x14ac:dyDescent="0.2">
      <c r="I54953" s="137" t="s">
        <v>74</v>
      </c>
    </row>
    <row r="54954" spans="9:9" x14ac:dyDescent="0.2">
      <c r="I54954" s="137" t="s">
        <v>74</v>
      </c>
    </row>
    <row r="54955" spans="9:9" x14ac:dyDescent="0.2">
      <c r="I54955" s="137" t="s">
        <v>74</v>
      </c>
    </row>
    <row r="54956" spans="9:9" x14ac:dyDescent="0.2">
      <c r="I54956" s="137" t="s">
        <v>74</v>
      </c>
    </row>
    <row r="54957" spans="9:9" x14ac:dyDescent="0.2">
      <c r="I54957" s="137" t="s">
        <v>74</v>
      </c>
    </row>
    <row r="54958" spans="9:9" x14ac:dyDescent="0.2">
      <c r="I54958" s="137" t="s">
        <v>74</v>
      </c>
    </row>
    <row r="54959" spans="9:9" x14ac:dyDescent="0.2">
      <c r="I54959" s="137" t="s">
        <v>74</v>
      </c>
    </row>
    <row r="54960" spans="9:9" x14ac:dyDescent="0.2">
      <c r="I54960" s="137" t="s">
        <v>74</v>
      </c>
    </row>
    <row r="54961" spans="9:9" x14ac:dyDescent="0.2">
      <c r="I54961" s="137" t="s">
        <v>74</v>
      </c>
    </row>
    <row r="54962" spans="9:9" x14ac:dyDescent="0.2">
      <c r="I54962" s="137" t="s">
        <v>74</v>
      </c>
    </row>
    <row r="54963" spans="9:9" x14ac:dyDescent="0.2">
      <c r="I54963" s="137" t="s">
        <v>74</v>
      </c>
    </row>
    <row r="54964" spans="9:9" x14ac:dyDescent="0.2">
      <c r="I54964" s="137" t="s">
        <v>74</v>
      </c>
    </row>
    <row r="54965" spans="9:9" x14ac:dyDescent="0.2">
      <c r="I54965" s="137" t="s">
        <v>74</v>
      </c>
    </row>
    <row r="54966" spans="9:9" x14ac:dyDescent="0.2">
      <c r="I54966" s="137" t="s">
        <v>74</v>
      </c>
    </row>
    <row r="54967" spans="9:9" x14ac:dyDescent="0.2">
      <c r="I54967" s="137" t="s">
        <v>74</v>
      </c>
    </row>
    <row r="54968" spans="9:9" x14ac:dyDescent="0.2">
      <c r="I54968" s="137" t="s">
        <v>74</v>
      </c>
    </row>
    <row r="54969" spans="9:9" x14ac:dyDescent="0.2">
      <c r="I54969" s="137" t="s">
        <v>74</v>
      </c>
    </row>
    <row r="54970" spans="9:9" x14ac:dyDescent="0.2">
      <c r="I54970" s="137" t="s">
        <v>74</v>
      </c>
    </row>
    <row r="54971" spans="9:9" x14ac:dyDescent="0.2">
      <c r="I54971" s="137" t="s">
        <v>74</v>
      </c>
    </row>
    <row r="54972" spans="9:9" x14ac:dyDescent="0.2">
      <c r="I54972" s="137" t="s">
        <v>74</v>
      </c>
    </row>
    <row r="54973" spans="9:9" x14ac:dyDescent="0.2">
      <c r="I54973" s="137" t="s">
        <v>74</v>
      </c>
    </row>
    <row r="54974" spans="9:9" x14ac:dyDescent="0.2">
      <c r="I54974" s="137" t="s">
        <v>74</v>
      </c>
    </row>
    <row r="54975" spans="9:9" x14ac:dyDescent="0.2">
      <c r="I54975" s="137" t="s">
        <v>74</v>
      </c>
    </row>
    <row r="54976" spans="9:9" x14ac:dyDescent="0.2">
      <c r="I54976" s="137" t="s">
        <v>74</v>
      </c>
    </row>
    <row r="54977" spans="9:9" x14ac:dyDescent="0.2">
      <c r="I54977" s="137" t="s">
        <v>74</v>
      </c>
    </row>
    <row r="54978" spans="9:9" x14ac:dyDescent="0.2">
      <c r="I54978" s="137" t="s">
        <v>74</v>
      </c>
    </row>
    <row r="54979" spans="9:9" x14ac:dyDescent="0.2">
      <c r="I54979" s="137" t="s">
        <v>74</v>
      </c>
    </row>
    <row r="54980" spans="9:9" x14ac:dyDescent="0.2">
      <c r="I54980" s="137" t="s">
        <v>74</v>
      </c>
    </row>
    <row r="54981" spans="9:9" x14ac:dyDescent="0.2">
      <c r="I54981" s="137" t="s">
        <v>74</v>
      </c>
    </row>
    <row r="54982" spans="9:9" x14ac:dyDescent="0.2">
      <c r="I54982" s="137" t="s">
        <v>74</v>
      </c>
    </row>
    <row r="54983" spans="9:9" x14ac:dyDescent="0.2">
      <c r="I54983" s="137" t="s">
        <v>74</v>
      </c>
    </row>
    <row r="54984" spans="9:9" x14ac:dyDescent="0.2">
      <c r="I54984" s="137" t="s">
        <v>74</v>
      </c>
    </row>
    <row r="54985" spans="9:9" x14ac:dyDescent="0.2">
      <c r="I54985" s="137" t="s">
        <v>74</v>
      </c>
    </row>
    <row r="54986" spans="9:9" x14ac:dyDescent="0.2">
      <c r="I54986" s="137" t="s">
        <v>74</v>
      </c>
    </row>
    <row r="54987" spans="9:9" x14ac:dyDescent="0.2">
      <c r="I54987" s="137" t="s">
        <v>74</v>
      </c>
    </row>
    <row r="54988" spans="9:9" x14ac:dyDescent="0.2">
      <c r="I54988" s="137" t="s">
        <v>74</v>
      </c>
    </row>
    <row r="54989" spans="9:9" x14ac:dyDescent="0.2">
      <c r="I54989" s="137" t="s">
        <v>74</v>
      </c>
    </row>
    <row r="54990" spans="9:9" x14ac:dyDescent="0.2">
      <c r="I54990" s="137" t="s">
        <v>74</v>
      </c>
    </row>
    <row r="54991" spans="9:9" x14ac:dyDescent="0.2">
      <c r="I54991" s="137" t="s">
        <v>74</v>
      </c>
    </row>
    <row r="54992" spans="9:9" x14ac:dyDescent="0.2">
      <c r="I54992" s="137" t="s">
        <v>74</v>
      </c>
    </row>
    <row r="54993" spans="9:9" x14ac:dyDescent="0.2">
      <c r="I54993" s="137" t="s">
        <v>74</v>
      </c>
    </row>
    <row r="54994" spans="9:9" x14ac:dyDescent="0.2">
      <c r="I54994" s="137" t="s">
        <v>74</v>
      </c>
    </row>
    <row r="54995" spans="9:9" x14ac:dyDescent="0.2">
      <c r="I54995" s="137" t="s">
        <v>74</v>
      </c>
    </row>
    <row r="54996" spans="9:9" x14ac:dyDescent="0.2">
      <c r="I54996" s="137" t="s">
        <v>74</v>
      </c>
    </row>
    <row r="54997" spans="9:9" x14ac:dyDescent="0.2">
      <c r="I54997" s="137" t="s">
        <v>74</v>
      </c>
    </row>
    <row r="54998" spans="9:9" x14ac:dyDescent="0.2">
      <c r="I54998" s="137" t="s">
        <v>74</v>
      </c>
    </row>
    <row r="54999" spans="9:9" x14ac:dyDescent="0.2">
      <c r="I54999" s="137" t="s">
        <v>74</v>
      </c>
    </row>
    <row r="55000" spans="9:9" x14ac:dyDescent="0.2">
      <c r="I55000" s="137" t="s">
        <v>74</v>
      </c>
    </row>
    <row r="55001" spans="9:9" x14ac:dyDescent="0.2">
      <c r="I55001" s="137" t="s">
        <v>74</v>
      </c>
    </row>
    <row r="55002" spans="9:9" x14ac:dyDescent="0.2">
      <c r="I55002" s="137" t="s">
        <v>74</v>
      </c>
    </row>
    <row r="55003" spans="9:9" x14ac:dyDescent="0.2">
      <c r="I55003" s="137" t="s">
        <v>74</v>
      </c>
    </row>
    <row r="55004" spans="9:9" x14ac:dyDescent="0.2">
      <c r="I55004" s="137" t="s">
        <v>74</v>
      </c>
    </row>
    <row r="55005" spans="9:9" x14ac:dyDescent="0.2">
      <c r="I55005" s="137" t="s">
        <v>74</v>
      </c>
    </row>
    <row r="55006" spans="9:9" x14ac:dyDescent="0.2">
      <c r="I55006" s="137" t="s">
        <v>74</v>
      </c>
    </row>
    <row r="55007" spans="9:9" x14ac:dyDescent="0.2">
      <c r="I55007" s="137" t="s">
        <v>74</v>
      </c>
    </row>
    <row r="55008" spans="9:9" x14ac:dyDescent="0.2">
      <c r="I55008" s="137" t="s">
        <v>74</v>
      </c>
    </row>
    <row r="55009" spans="9:9" x14ac:dyDescent="0.2">
      <c r="I55009" s="137" t="s">
        <v>74</v>
      </c>
    </row>
    <row r="55010" spans="9:9" x14ac:dyDescent="0.2">
      <c r="I55010" s="137" t="s">
        <v>74</v>
      </c>
    </row>
    <row r="55011" spans="9:9" x14ac:dyDescent="0.2">
      <c r="I55011" s="137" t="s">
        <v>74</v>
      </c>
    </row>
    <row r="55012" spans="9:9" x14ac:dyDescent="0.2">
      <c r="I55012" s="137" t="s">
        <v>74</v>
      </c>
    </row>
    <row r="55013" spans="9:9" x14ac:dyDescent="0.2">
      <c r="I55013" s="137" t="s">
        <v>74</v>
      </c>
    </row>
    <row r="55014" spans="9:9" x14ac:dyDescent="0.2">
      <c r="I55014" s="137" t="s">
        <v>74</v>
      </c>
    </row>
    <row r="55015" spans="9:9" x14ac:dyDescent="0.2">
      <c r="I55015" s="137" t="s">
        <v>74</v>
      </c>
    </row>
    <row r="55016" spans="9:9" x14ac:dyDescent="0.2">
      <c r="I55016" s="137" t="s">
        <v>74</v>
      </c>
    </row>
    <row r="55017" spans="9:9" x14ac:dyDescent="0.2">
      <c r="I55017" s="137" t="s">
        <v>74</v>
      </c>
    </row>
    <row r="55018" spans="9:9" x14ac:dyDescent="0.2">
      <c r="I55018" s="137" t="s">
        <v>74</v>
      </c>
    </row>
    <row r="55019" spans="9:9" x14ac:dyDescent="0.2">
      <c r="I55019" s="137" t="s">
        <v>74</v>
      </c>
    </row>
    <row r="55020" spans="9:9" x14ac:dyDescent="0.2">
      <c r="I55020" s="137" t="s">
        <v>74</v>
      </c>
    </row>
    <row r="55021" spans="9:9" x14ac:dyDescent="0.2">
      <c r="I55021" s="137" t="s">
        <v>74</v>
      </c>
    </row>
    <row r="55022" spans="9:9" x14ac:dyDescent="0.2">
      <c r="I55022" s="137" t="s">
        <v>74</v>
      </c>
    </row>
    <row r="55023" spans="9:9" x14ac:dyDescent="0.2">
      <c r="I55023" s="137" t="s">
        <v>74</v>
      </c>
    </row>
    <row r="55024" spans="9:9" x14ac:dyDescent="0.2">
      <c r="I55024" s="137" t="s">
        <v>74</v>
      </c>
    </row>
    <row r="55025" spans="9:9" x14ac:dyDescent="0.2">
      <c r="I55025" s="137" t="s">
        <v>74</v>
      </c>
    </row>
    <row r="55026" spans="9:9" x14ac:dyDescent="0.2">
      <c r="I55026" s="137" t="s">
        <v>74</v>
      </c>
    </row>
    <row r="55027" spans="9:9" x14ac:dyDescent="0.2">
      <c r="I55027" s="137" t="s">
        <v>74</v>
      </c>
    </row>
    <row r="55028" spans="9:9" x14ac:dyDescent="0.2">
      <c r="I55028" s="137" t="s">
        <v>74</v>
      </c>
    </row>
    <row r="55029" spans="9:9" x14ac:dyDescent="0.2">
      <c r="I55029" s="137" t="s">
        <v>74</v>
      </c>
    </row>
    <row r="55030" spans="9:9" x14ac:dyDescent="0.2">
      <c r="I55030" s="137" t="s">
        <v>74</v>
      </c>
    </row>
    <row r="55031" spans="9:9" x14ac:dyDescent="0.2">
      <c r="I55031" s="137" t="s">
        <v>74</v>
      </c>
    </row>
    <row r="55032" spans="9:9" x14ac:dyDescent="0.2">
      <c r="I55032" s="137" t="s">
        <v>74</v>
      </c>
    </row>
    <row r="55033" spans="9:9" x14ac:dyDescent="0.2">
      <c r="I55033" s="137" t="s">
        <v>74</v>
      </c>
    </row>
    <row r="55034" spans="9:9" x14ac:dyDescent="0.2">
      <c r="I55034" s="137" t="s">
        <v>74</v>
      </c>
    </row>
    <row r="55035" spans="9:9" x14ac:dyDescent="0.2">
      <c r="I55035" s="137" t="s">
        <v>74</v>
      </c>
    </row>
    <row r="55036" spans="9:9" x14ac:dyDescent="0.2">
      <c r="I55036" s="137" t="s">
        <v>74</v>
      </c>
    </row>
    <row r="55037" spans="9:9" x14ac:dyDescent="0.2">
      <c r="I55037" s="137" t="s">
        <v>74</v>
      </c>
    </row>
    <row r="55038" spans="9:9" x14ac:dyDescent="0.2">
      <c r="I55038" s="137" t="s">
        <v>74</v>
      </c>
    </row>
    <row r="55039" spans="9:9" x14ac:dyDescent="0.2">
      <c r="I55039" s="137" t="s">
        <v>74</v>
      </c>
    </row>
    <row r="55040" spans="9:9" x14ac:dyDescent="0.2">
      <c r="I55040" s="137" t="s">
        <v>74</v>
      </c>
    </row>
    <row r="55041" spans="9:9" x14ac:dyDescent="0.2">
      <c r="I55041" s="137" t="s">
        <v>74</v>
      </c>
    </row>
    <row r="55042" spans="9:9" x14ac:dyDescent="0.2">
      <c r="I55042" s="137" t="s">
        <v>74</v>
      </c>
    </row>
    <row r="55043" spans="9:9" x14ac:dyDescent="0.2">
      <c r="I55043" s="137" t="s">
        <v>74</v>
      </c>
    </row>
    <row r="55044" spans="9:9" x14ac:dyDescent="0.2">
      <c r="I55044" s="137" t="s">
        <v>74</v>
      </c>
    </row>
    <row r="55045" spans="9:9" x14ac:dyDescent="0.2">
      <c r="I55045" s="137" t="s">
        <v>74</v>
      </c>
    </row>
    <row r="55046" spans="9:9" x14ac:dyDescent="0.2">
      <c r="I55046" s="137" t="s">
        <v>74</v>
      </c>
    </row>
    <row r="55047" spans="9:9" x14ac:dyDescent="0.2">
      <c r="I55047" s="137" t="s">
        <v>74</v>
      </c>
    </row>
    <row r="55048" spans="9:9" x14ac:dyDescent="0.2">
      <c r="I55048" s="137" t="s">
        <v>74</v>
      </c>
    </row>
    <row r="55049" spans="9:9" x14ac:dyDescent="0.2">
      <c r="I55049" s="137" t="s">
        <v>74</v>
      </c>
    </row>
    <row r="55050" spans="9:9" x14ac:dyDescent="0.2">
      <c r="I55050" s="137" t="s">
        <v>74</v>
      </c>
    </row>
    <row r="55051" spans="9:9" x14ac:dyDescent="0.2">
      <c r="I55051" s="137" t="s">
        <v>74</v>
      </c>
    </row>
    <row r="55052" spans="9:9" x14ac:dyDescent="0.2">
      <c r="I55052" s="137" t="s">
        <v>74</v>
      </c>
    </row>
    <row r="55053" spans="9:9" x14ac:dyDescent="0.2">
      <c r="I55053" s="137" t="s">
        <v>74</v>
      </c>
    </row>
    <row r="55054" spans="9:9" x14ac:dyDescent="0.2">
      <c r="I55054" s="137" t="s">
        <v>74</v>
      </c>
    </row>
    <row r="55055" spans="9:9" x14ac:dyDescent="0.2">
      <c r="I55055" s="137" t="s">
        <v>74</v>
      </c>
    </row>
    <row r="55056" spans="9:9" x14ac:dyDescent="0.2">
      <c r="I55056" s="137" t="s">
        <v>74</v>
      </c>
    </row>
    <row r="55057" spans="9:9" x14ac:dyDescent="0.2">
      <c r="I55057" s="137" t="s">
        <v>74</v>
      </c>
    </row>
    <row r="55058" spans="9:9" x14ac:dyDescent="0.2">
      <c r="I55058" s="137" t="s">
        <v>74</v>
      </c>
    </row>
    <row r="55059" spans="9:9" x14ac:dyDescent="0.2">
      <c r="I55059" s="137" t="s">
        <v>74</v>
      </c>
    </row>
    <row r="55060" spans="9:9" x14ac:dyDescent="0.2">
      <c r="I55060" s="137" t="s">
        <v>74</v>
      </c>
    </row>
    <row r="55061" spans="9:9" x14ac:dyDescent="0.2">
      <c r="I55061" s="137" t="s">
        <v>74</v>
      </c>
    </row>
    <row r="55062" spans="9:9" x14ac:dyDescent="0.2">
      <c r="I55062" s="137" t="s">
        <v>74</v>
      </c>
    </row>
    <row r="55063" spans="9:9" x14ac:dyDescent="0.2">
      <c r="I55063" s="137" t="s">
        <v>74</v>
      </c>
    </row>
    <row r="55064" spans="9:9" x14ac:dyDescent="0.2">
      <c r="I55064" s="137" t="s">
        <v>74</v>
      </c>
    </row>
    <row r="55065" spans="9:9" x14ac:dyDescent="0.2">
      <c r="I55065" s="137" t="s">
        <v>74</v>
      </c>
    </row>
    <row r="55066" spans="9:9" x14ac:dyDescent="0.2">
      <c r="I55066" s="137" t="s">
        <v>74</v>
      </c>
    </row>
    <row r="55067" spans="9:9" x14ac:dyDescent="0.2">
      <c r="I55067" s="137" t="s">
        <v>74</v>
      </c>
    </row>
    <row r="55068" spans="9:9" x14ac:dyDescent="0.2">
      <c r="I55068" s="137" t="s">
        <v>74</v>
      </c>
    </row>
    <row r="55069" spans="9:9" x14ac:dyDescent="0.2">
      <c r="I55069" s="137" t="s">
        <v>74</v>
      </c>
    </row>
    <row r="55070" spans="9:9" x14ac:dyDescent="0.2">
      <c r="I55070" s="137" t="s">
        <v>74</v>
      </c>
    </row>
    <row r="55071" spans="9:9" x14ac:dyDescent="0.2">
      <c r="I55071" s="137" t="s">
        <v>74</v>
      </c>
    </row>
    <row r="55072" spans="9:9" x14ac:dyDescent="0.2">
      <c r="I55072" s="137" t="s">
        <v>74</v>
      </c>
    </row>
    <row r="55073" spans="9:9" x14ac:dyDescent="0.2">
      <c r="I55073" s="137" t="s">
        <v>74</v>
      </c>
    </row>
    <row r="55074" spans="9:9" x14ac:dyDescent="0.2">
      <c r="I55074" s="137" t="s">
        <v>74</v>
      </c>
    </row>
    <row r="55075" spans="9:9" x14ac:dyDescent="0.2">
      <c r="I55075" s="137" t="s">
        <v>74</v>
      </c>
    </row>
    <row r="55076" spans="9:9" x14ac:dyDescent="0.2">
      <c r="I55076" s="137" t="s">
        <v>74</v>
      </c>
    </row>
    <row r="55077" spans="9:9" x14ac:dyDescent="0.2">
      <c r="I55077" s="137" t="s">
        <v>74</v>
      </c>
    </row>
    <row r="55078" spans="9:9" x14ac:dyDescent="0.2">
      <c r="I55078" s="137" t="s">
        <v>74</v>
      </c>
    </row>
    <row r="55079" spans="9:9" x14ac:dyDescent="0.2">
      <c r="I55079" s="137" t="s">
        <v>74</v>
      </c>
    </row>
    <row r="55080" spans="9:9" x14ac:dyDescent="0.2">
      <c r="I55080" s="137" t="s">
        <v>74</v>
      </c>
    </row>
    <row r="55081" spans="9:9" x14ac:dyDescent="0.2">
      <c r="I55081" s="137" t="s">
        <v>74</v>
      </c>
    </row>
    <row r="55082" spans="9:9" x14ac:dyDescent="0.2">
      <c r="I55082" s="137" t="s">
        <v>74</v>
      </c>
    </row>
    <row r="55083" spans="9:9" x14ac:dyDescent="0.2">
      <c r="I55083" s="137" t="s">
        <v>74</v>
      </c>
    </row>
    <row r="55084" spans="9:9" x14ac:dyDescent="0.2">
      <c r="I55084" s="137" t="s">
        <v>74</v>
      </c>
    </row>
    <row r="55085" spans="9:9" x14ac:dyDescent="0.2">
      <c r="I55085" s="137" t="s">
        <v>74</v>
      </c>
    </row>
    <row r="55086" spans="9:9" x14ac:dyDescent="0.2">
      <c r="I55086" s="137" t="s">
        <v>74</v>
      </c>
    </row>
    <row r="55087" spans="9:9" x14ac:dyDescent="0.2">
      <c r="I55087" s="137" t="s">
        <v>74</v>
      </c>
    </row>
    <row r="55088" spans="9:9" x14ac:dyDescent="0.2">
      <c r="I55088" s="137" t="s">
        <v>74</v>
      </c>
    </row>
    <row r="55089" spans="9:9" x14ac:dyDescent="0.2">
      <c r="I55089" s="137" t="s">
        <v>74</v>
      </c>
    </row>
    <row r="55090" spans="9:9" x14ac:dyDescent="0.2">
      <c r="I55090" s="137" t="s">
        <v>74</v>
      </c>
    </row>
    <row r="55091" spans="9:9" x14ac:dyDescent="0.2">
      <c r="I55091" s="137" t="s">
        <v>74</v>
      </c>
    </row>
    <row r="55092" spans="9:9" x14ac:dyDescent="0.2">
      <c r="I55092" s="137" t="s">
        <v>74</v>
      </c>
    </row>
    <row r="55093" spans="9:9" x14ac:dyDescent="0.2">
      <c r="I55093" s="137" t="s">
        <v>74</v>
      </c>
    </row>
    <row r="55094" spans="9:9" x14ac:dyDescent="0.2">
      <c r="I55094" s="137" t="s">
        <v>74</v>
      </c>
    </row>
    <row r="55095" spans="9:9" x14ac:dyDescent="0.2">
      <c r="I55095" s="137" t="s">
        <v>74</v>
      </c>
    </row>
    <row r="55096" spans="9:9" x14ac:dyDescent="0.2">
      <c r="I55096" s="137" t="s">
        <v>74</v>
      </c>
    </row>
    <row r="55097" spans="9:9" x14ac:dyDescent="0.2">
      <c r="I55097" s="137" t="s">
        <v>74</v>
      </c>
    </row>
    <row r="55098" spans="9:9" x14ac:dyDescent="0.2">
      <c r="I55098" s="137" t="s">
        <v>74</v>
      </c>
    </row>
    <row r="55099" spans="9:9" x14ac:dyDescent="0.2">
      <c r="I55099" s="137" t="s">
        <v>74</v>
      </c>
    </row>
    <row r="55100" spans="9:9" x14ac:dyDescent="0.2">
      <c r="I55100" s="137" t="s">
        <v>74</v>
      </c>
    </row>
    <row r="55101" spans="9:9" x14ac:dyDescent="0.2">
      <c r="I55101" s="137" t="s">
        <v>74</v>
      </c>
    </row>
    <row r="55102" spans="9:9" x14ac:dyDescent="0.2">
      <c r="I55102" s="137" t="s">
        <v>74</v>
      </c>
    </row>
    <row r="55103" spans="9:9" x14ac:dyDescent="0.2">
      <c r="I55103" s="137" t="s">
        <v>74</v>
      </c>
    </row>
    <row r="55104" spans="9:9" x14ac:dyDescent="0.2">
      <c r="I55104" s="137" t="s">
        <v>74</v>
      </c>
    </row>
    <row r="55105" spans="9:9" x14ac:dyDescent="0.2">
      <c r="I55105" s="137" t="s">
        <v>74</v>
      </c>
    </row>
    <row r="55106" spans="9:9" x14ac:dyDescent="0.2">
      <c r="I55106" s="137" t="s">
        <v>74</v>
      </c>
    </row>
    <row r="55107" spans="9:9" x14ac:dyDescent="0.2">
      <c r="I55107" s="137" t="s">
        <v>74</v>
      </c>
    </row>
    <row r="55108" spans="9:9" x14ac:dyDescent="0.2">
      <c r="I55108" s="137" t="s">
        <v>74</v>
      </c>
    </row>
    <row r="55109" spans="9:9" x14ac:dyDescent="0.2">
      <c r="I55109" s="137" t="s">
        <v>74</v>
      </c>
    </row>
    <row r="55110" spans="9:9" x14ac:dyDescent="0.2">
      <c r="I55110" s="137" t="s">
        <v>74</v>
      </c>
    </row>
    <row r="55111" spans="9:9" x14ac:dyDescent="0.2">
      <c r="I55111" s="137" t="s">
        <v>74</v>
      </c>
    </row>
    <row r="55112" spans="9:9" x14ac:dyDescent="0.2">
      <c r="I55112" s="137" t="s">
        <v>74</v>
      </c>
    </row>
    <row r="55113" spans="9:9" x14ac:dyDescent="0.2">
      <c r="I55113" s="137" t="s">
        <v>74</v>
      </c>
    </row>
    <row r="55114" spans="9:9" x14ac:dyDescent="0.2">
      <c r="I55114" s="137" t="s">
        <v>74</v>
      </c>
    </row>
    <row r="55115" spans="9:9" x14ac:dyDescent="0.2">
      <c r="I55115" s="137" t="s">
        <v>74</v>
      </c>
    </row>
    <row r="55116" spans="9:9" x14ac:dyDescent="0.2">
      <c r="I55116" s="137" t="s">
        <v>74</v>
      </c>
    </row>
    <row r="55117" spans="9:9" x14ac:dyDescent="0.2">
      <c r="I55117" s="137" t="s">
        <v>74</v>
      </c>
    </row>
    <row r="55118" spans="9:9" x14ac:dyDescent="0.2">
      <c r="I55118" s="137" t="s">
        <v>74</v>
      </c>
    </row>
    <row r="55119" spans="9:9" x14ac:dyDescent="0.2">
      <c r="I55119" s="137" t="s">
        <v>74</v>
      </c>
    </row>
    <row r="55120" spans="9:9" x14ac:dyDescent="0.2">
      <c r="I55120" s="137" t="s">
        <v>74</v>
      </c>
    </row>
    <row r="55121" spans="9:9" x14ac:dyDescent="0.2">
      <c r="I55121" s="137" t="s">
        <v>74</v>
      </c>
    </row>
    <row r="55122" spans="9:9" x14ac:dyDescent="0.2">
      <c r="I55122" s="137" t="s">
        <v>74</v>
      </c>
    </row>
    <row r="55123" spans="9:9" x14ac:dyDescent="0.2">
      <c r="I55123" s="137" t="s">
        <v>74</v>
      </c>
    </row>
    <row r="55124" spans="9:9" x14ac:dyDescent="0.2">
      <c r="I55124" s="137" t="s">
        <v>74</v>
      </c>
    </row>
    <row r="55125" spans="9:9" x14ac:dyDescent="0.2">
      <c r="I55125" s="137" t="s">
        <v>74</v>
      </c>
    </row>
    <row r="55126" spans="9:9" x14ac:dyDescent="0.2">
      <c r="I55126" s="137" t="s">
        <v>74</v>
      </c>
    </row>
    <row r="55127" spans="9:9" x14ac:dyDescent="0.2">
      <c r="I55127" s="137" t="s">
        <v>74</v>
      </c>
    </row>
    <row r="55128" spans="9:9" x14ac:dyDescent="0.2">
      <c r="I55128" s="137" t="s">
        <v>74</v>
      </c>
    </row>
    <row r="55129" spans="9:9" x14ac:dyDescent="0.2">
      <c r="I55129" s="137" t="s">
        <v>74</v>
      </c>
    </row>
    <row r="55130" spans="9:9" x14ac:dyDescent="0.2">
      <c r="I55130" s="137" t="s">
        <v>74</v>
      </c>
    </row>
    <row r="55131" spans="9:9" x14ac:dyDescent="0.2">
      <c r="I55131" s="137" t="s">
        <v>74</v>
      </c>
    </row>
    <row r="55132" spans="9:9" x14ac:dyDescent="0.2">
      <c r="I55132" s="137" t="s">
        <v>74</v>
      </c>
    </row>
    <row r="55133" spans="9:9" x14ac:dyDescent="0.2">
      <c r="I55133" s="137" t="s">
        <v>74</v>
      </c>
    </row>
    <row r="55134" spans="9:9" x14ac:dyDescent="0.2">
      <c r="I55134" s="137" t="s">
        <v>74</v>
      </c>
    </row>
    <row r="55135" spans="9:9" x14ac:dyDescent="0.2">
      <c r="I55135" s="137" t="s">
        <v>74</v>
      </c>
    </row>
    <row r="55136" spans="9:9" x14ac:dyDescent="0.2">
      <c r="I55136" s="137" t="s">
        <v>74</v>
      </c>
    </row>
    <row r="55137" spans="9:9" x14ac:dyDescent="0.2">
      <c r="I55137" s="137" t="s">
        <v>74</v>
      </c>
    </row>
    <row r="55138" spans="9:9" x14ac:dyDescent="0.2">
      <c r="I55138" s="137" t="s">
        <v>74</v>
      </c>
    </row>
    <row r="55139" spans="9:9" x14ac:dyDescent="0.2">
      <c r="I55139" s="137" t="s">
        <v>74</v>
      </c>
    </row>
    <row r="55140" spans="9:9" x14ac:dyDescent="0.2">
      <c r="I55140" s="137" t="s">
        <v>74</v>
      </c>
    </row>
    <row r="55141" spans="9:9" x14ac:dyDescent="0.2">
      <c r="I55141" s="137" t="s">
        <v>74</v>
      </c>
    </row>
    <row r="55142" spans="9:9" x14ac:dyDescent="0.2">
      <c r="I55142" s="137" t="s">
        <v>74</v>
      </c>
    </row>
    <row r="55143" spans="9:9" x14ac:dyDescent="0.2">
      <c r="I55143" s="137" t="s">
        <v>74</v>
      </c>
    </row>
    <row r="55144" spans="9:9" x14ac:dyDescent="0.2">
      <c r="I55144" s="137" t="s">
        <v>74</v>
      </c>
    </row>
    <row r="55145" spans="9:9" x14ac:dyDescent="0.2">
      <c r="I55145" s="137" t="s">
        <v>74</v>
      </c>
    </row>
    <row r="55146" spans="9:9" x14ac:dyDescent="0.2">
      <c r="I55146" s="137" t="s">
        <v>74</v>
      </c>
    </row>
    <row r="55147" spans="9:9" x14ac:dyDescent="0.2">
      <c r="I55147" s="137" t="s">
        <v>74</v>
      </c>
    </row>
    <row r="55148" spans="9:9" x14ac:dyDescent="0.2">
      <c r="I55148" s="137" t="s">
        <v>74</v>
      </c>
    </row>
    <row r="55149" spans="9:9" x14ac:dyDescent="0.2">
      <c r="I55149" s="137" t="s">
        <v>74</v>
      </c>
    </row>
    <row r="55150" spans="9:9" x14ac:dyDescent="0.2">
      <c r="I55150" s="137" t="s">
        <v>74</v>
      </c>
    </row>
    <row r="55151" spans="9:9" x14ac:dyDescent="0.2">
      <c r="I55151" s="137" t="s">
        <v>74</v>
      </c>
    </row>
    <row r="55152" spans="9:9" x14ac:dyDescent="0.2">
      <c r="I55152" s="137" t="s">
        <v>74</v>
      </c>
    </row>
    <row r="55153" spans="9:9" x14ac:dyDescent="0.2">
      <c r="I55153" s="137" t="s">
        <v>74</v>
      </c>
    </row>
    <row r="55154" spans="9:9" x14ac:dyDescent="0.2">
      <c r="I55154" s="137" t="s">
        <v>74</v>
      </c>
    </row>
    <row r="55155" spans="9:9" x14ac:dyDescent="0.2">
      <c r="I55155" s="137" t="s">
        <v>74</v>
      </c>
    </row>
    <row r="55156" spans="9:9" x14ac:dyDescent="0.2">
      <c r="I55156" s="137" t="s">
        <v>74</v>
      </c>
    </row>
    <row r="55157" spans="9:9" x14ac:dyDescent="0.2">
      <c r="I55157" s="137" t="s">
        <v>74</v>
      </c>
    </row>
    <row r="55158" spans="9:9" x14ac:dyDescent="0.2">
      <c r="I55158" s="137" t="s">
        <v>74</v>
      </c>
    </row>
    <row r="55159" spans="9:9" x14ac:dyDescent="0.2">
      <c r="I55159" s="137" t="s">
        <v>74</v>
      </c>
    </row>
    <row r="55160" spans="9:9" x14ac:dyDescent="0.2">
      <c r="I55160" s="137" t="s">
        <v>74</v>
      </c>
    </row>
    <row r="55161" spans="9:9" x14ac:dyDescent="0.2">
      <c r="I55161" s="137" t="s">
        <v>74</v>
      </c>
    </row>
    <row r="55162" spans="9:9" x14ac:dyDescent="0.2">
      <c r="I55162" s="137" t="s">
        <v>74</v>
      </c>
    </row>
    <row r="55163" spans="9:9" x14ac:dyDescent="0.2">
      <c r="I55163" s="137" t="s">
        <v>74</v>
      </c>
    </row>
    <row r="55164" spans="9:9" x14ac:dyDescent="0.2">
      <c r="I55164" s="137" t="s">
        <v>74</v>
      </c>
    </row>
    <row r="55165" spans="9:9" x14ac:dyDescent="0.2">
      <c r="I55165" s="137" t="s">
        <v>74</v>
      </c>
    </row>
    <row r="55166" spans="9:9" x14ac:dyDescent="0.2">
      <c r="I55166" s="137" t="s">
        <v>74</v>
      </c>
    </row>
    <row r="55167" spans="9:9" x14ac:dyDescent="0.2">
      <c r="I55167" s="137" t="s">
        <v>74</v>
      </c>
    </row>
    <row r="55168" spans="9:9" x14ac:dyDescent="0.2">
      <c r="I55168" s="137" t="s">
        <v>74</v>
      </c>
    </row>
    <row r="55169" spans="9:9" x14ac:dyDescent="0.2">
      <c r="I55169" s="137" t="s">
        <v>74</v>
      </c>
    </row>
    <row r="55170" spans="9:9" x14ac:dyDescent="0.2">
      <c r="I55170" s="137" t="s">
        <v>74</v>
      </c>
    </row>
    <row r="55171" spans="9:9" x14ac:dyDescent="0.2">
      <c r="I55171" s="137" t="s">
        <v>74</v>
      </c>
    </row>
    <row r="55172" spans="9:9" x14ac:dyDescent="0.2">
      <c r="I55172" s="137" t="s">
        <v>74</v>
      </c>
    </row>
    <row r="55173" spans="9:9" x14ac:dyDescent="0.2">
      <c r="I55173" s="137" t="s">
        <v>74</v>
      </c>
    </row>
    <row r="55174" spans="9:9" x14ac:dyDescent="0.2">
      <c r="I55174" s="137" t="s">
        <v>74</v>
      </c>
    </row>
    <row r="55175" spans="9:9" x14ac:dyDescent="0.2">
      <c r="I55175" s="137" t="s">
        <v>74</v>
      </c>
    </row>
    <row r="55176" spans="9:9" x14ac:dyDescent="0.2">
      <c r="I55176" s="137" t="s">
        <v>74</v>
      </c>
    </row>
    <row r="55177" spans="9:9" x14ac:dyDescent="0.2">
      <c r="I55177" s="137" t="s">
        <v>74</v>
      </c>
    </row>
    <row r="55178" spans="9:9" x14ac:dyDescent="0.2">
      <c r="I55178" s="137" t="s">
        <v>74</v>
      </c>
    </row>
    <row r="55179" spans="9:9" x14ac:dyDescent="0.2">
      <c r="I55179" s="137" t="s">
        <v>74</v>
      </c>
    </row>
    <row r="55180" spans="9:9" x14ac:dyDescent="0.2">
      <c r="I55180" s="137" t="s">
        <v>74</v>
      </c>
    </row>
    <row r="55181" spans="9:9" x14ac:dyDescent="0.2">
      <c r="I55181" s="137" t="s">
        <v>74</v>
      </c>
    </row>
    <row r="55182" spans="9:9" x14ac:dyDescent="0.2">
      <c r="I55182" s="137" t="s">
        <v>74</v>
      </c>
    </row>
    <row r="55183" spans="9:9" x14ac:dyDescent="0.2">
      <c r="I55183" s="137" t="s">
        <v>74</v>
      </c>
    </row>
    <row r="55184" spans="9:9" x14ac:dyDescent="0.2">
      <c r="I55184" s="137" t="s">
        <v>74</v>
      </c>
    </row>
    <row r="55185" spans="9:9" x14ac:dyDescent="0.2">
      <c r="I55185" s="137" t="s">
        <v>74</v>
      </c>
    </row>
    <row r="55186" spans="9:9" x14ac:dyDescent="0.2">
      <c r="I55186" s="137" t="s">
        <v>74</v>
      </c>
    </row>
    <row r="55187" spans="9:9" x14ac:dyDescent="0.2">
      <c r="I55187" s="137" t="s">
        <v>74</v>
      </c>
    </row>
    <row r="55188" spans="9:9" x14ac:dyDescent="0.2">
      <c r="I55188" s="137" t="s">
        <v>74</v>
      </c>
    </row>
    <row r="55189" spans="9:9" x14ac:dyDescent="0.2">
      <c r="I55189" s="137" t="s">
        <v>74</v>
      </c>
    </row>
    <row r="55190" spans="9:9" x14ac:dyDescent="0.2">
      <c r="I55190" s="137" t="s">
        <v>74</v>
      </c>
    </row>
    <row r="55191" spans="9:9" x14ac:dyDescent="0.2">
      <c r="I55191" s="137" t="s">
        <v>74</v>
      </c>
    </row>
    <row r="55192" spans="9:9" x14ac:dyDescent="0.2">
      <c r="I55192" s="137" t="s">
        <v>74</v>
      </c>
    </row>
    <row r="55193" spans="9:9" x14ac:dyDescent="0.2">
      <c r="I55193" s="137" t="s">
        <v>74</v>
      </c>
    </row>
    <row r="55194" spans="9:9" x14ac:dyDescent="0.2">
      <c r="I55194" s="137" t="s">
        <v>74</v>
      </c>
    </row>
    <row r="55195" spans="9:9" x14ac:dyDescent="0.2">
      <c r="I55195" s="137" t="s">
        <v>74</v>
      </c>
    </row>
    <row r="55196" spans="9:9" x14ac:dyDescent="0.2">
      <c r="I55196" s="137" t="s">
        <v>74</v>
      </c>
    </row>
    <row r="55197" spans="9:9" x14ac:dyDescent="0.2">
      <c r="I55197" s="137" t="s">
        <v>74</v>
      </c>
    </row>
    <row r="55198" spans="9:9" x14ac:dyDescent="0.2">
      <c r="I55198" s="137" t="s">
        <v>74</v>
      </c>
    </row>
    <row r="55199" spans="9:9" x14ac:dyDescent="0.2">
      <c r="I55199" s="137" t="s">
        <v>74</v>
      </c>
    </row>
    <row r="55200" spans="9:9" x14ac:dyDescent="0.2">
      <c r="I55200" s="137" t="s">
        <v>74</v>
      </c>
    </row>
    <row r="55201" spans="9:9" x14ac:dyDescent="0.2">
      <c r="I55201" s="137" t="s">
        <v>74</v>
      </c>
    </row>
    <row r="55202" spans="9:9" x14ac:dyDescent="0.2">
      <c r="I55202" s="137" t="s">
        <v>74</v>
      </c>
    </row>
    <row r="55203" spans="9:9" x14ac:dyDescent="0.2">
      <c r="I55203" s="137" t="s">
        <v>74</v>
      </c>
    </row>
    <row r="55204" spans="9:9" x14ac:dyDescent="0.2">
      <c r="I55204" s="137" t="s">
        <v>74</v>
      </c>
    </row>
    <row r="55205" spans="9:9" x14ac:dyDescent="0.2">
      <c r="I55205" s="137" t="s">
        <v>74</v>
      </c>
    </row>
    <row r="55206" spans="9:9" x14ac:dyDescent="0.2">
      <c r="I55206" s="137" t="s">
        <v>74</v>
      </c>
    </row>
    <row r="55207" spans="9:9" x14ac:dyDescent="0.2">
      <c r="I55207" s="137" t="s">
        <v>74</v>
      </c>
    </row>
    <row r="55208" spans="9:9" x14ac:dyDescent="0.2">
      <c r="I55208" s="137" t="s">
        <v>74</v>
      </c>
    </row>
    <row r="55209" spans="9:9" x14ac:dyDescent="0.2">
      <c r="I55209" s="137" t="s">
        <v>74</v>
      </c>
    </row>
    <row r="55210" spans="9:9" x14ac:dyDescent="0.2">
      <c r="I55210" s="137" t="s">
        <v>74</v>
      </c>
    </row>
    <row r="55211" spans="9:9" x14ac:dyDescent="0.2">
      <c r="I55211" s="137" t="s">
        <v>74</v>
      </c>
    </row>
    <row r="55212" spans="9:9" x14ac:dyDescent="0.2">
      <c r="I55212" s="137" t="s">
        <v>74</v>
      </c>
    </row>
    <row r="55213" spans="9:9" x14ac:dyDescent="0.2">
      <c r="I55213" s="137" t="s">
        <v>74</v>
      </c>
    </row>
    <row r="55214" spans="9:9" x14ac:dyDescent="0.2">
      <c r="I55214" s="137" t="s">
        <v>74</v>
      </c>
    </row>
    <row r="55215" spans="9:9" x14ac:dyDescent="0.2">
      <c r="I55215" s="137" t="s">
        <v>74</v>
      </c>
    </row>
    <row r="55216" spans="9:9" x14ac:dyDescent="0.2">
      <c r="I55216" s="137" t="s">
        <v>74</v>
      </c>
    </row>
    <row r="55217" spans="9:9" x14ac:dyDescent="0.2">
      <c r="I55217" s="137" t="s">
        <v>74</v>
      </c>
    </row>
    <row r="55218" spans="9:9" x14ac:dyDescent="0.2">
      <c r="I55218" s="137" t="s">
        <v>74</v>
      </c>
    </row>
    <row r="55219" spans="9:9" x14ac:dyDescent="0.2">
      <c r="I55219" s="137" t="s">
        <v>74</v>
      </c>
    </row>
    <row r="55220" spans="9:9" x14ac:dyDescent="0.2">
      <c r="I55220" s="137" t="s">
        <v>74</v>
      </c>
    </row>
    <row r="55221" spans="9:9" x14ac:dyDescent="0.2">
      <c r="I55221" s="137" t="s">
        <v>74</v>
      </c>
    </row>
    <row r="55222" spans="9:9" x14ac:dyDescent="0.2">
      <c r="I55222" s="137" t="s">
        <v>74</v>
      </c>
    </row>
    <row r="55223" spans="9:9" x14ac:dyDescent="0.2">
      <c r="I55223" s="137" t="s">
        <v>74</v>
      </c>
    </row>
    <row r="55224" spans="9:9" x14ac:dyDescent="0.2">
      <c r="I55224" s="137" t="s">
        <v>74</v>
      </c>
    </row>
    <row r="55225" spans="9:9" x14ac:dyDescent="0.2">
      <c r="I55225" s="137" t="s">
        <v>74</v>
      </c>
    </row>
    <row r="55226" spans="9:9" x14ac:dyDescent="0.2">
      <c r="I55226" s="137" t="s">
        <v>74</v>
      </c>
    </row>
    <row r="55227" spans="9:9" x14ac:dyDescent="0.2">
      <c r="I55227" s="137" t="s">
        <v>74</v>
      </c>
    </row>
    <row r="55228" spans="9:9" x14ac:dyDescent="0.2">
      <c r="I55228" s="137" t="s">
        <v>74</v>
      </c>
    </row>
    <row r="55229" spans="9:9" x14ac:dyDescent="0.2">
      <c r="I55229" s="137" t="s">
        <v>74</v>
      </c>
    </row>
    <row r="55230" spans="9:9" x14ac:dyDescent="0.2">
      <c r="I55230" s="137" t="s">
        <v>74</v>
      </c>
    </row>
    <row r="55231" spans="9:9" x14ac:dyDescent="0.2">
      <c r="I55231" s="137" t="s">
        <v>74</v>
      </c>
    </row>
    <row r="55232" spans="9:9" x14ac:dyDescent="0.2">
      <c r="I55232" s="137" t="s">
        <v>74</v>
      </c>
    </row>
    <row r="55233" spans="9:9" x14ac:dyDescent="0.2">
      <c r="I55233" s="137" t="s">
        <v>74</v>
      </c>
    </row>
    <row r="55234" spans="9:9" x14ac:dyDescent="0.2">
      <c r="I55234" s="137" t="s">
        <v>74</v>
      </c>
    </row>
    <row r="55235" spans="9:9" x14ac:dyDescent="0.2">
      <c r="I55235" s="137" t="s">
        <v>74</v>
      </c>
    </row>
    <row r="55236" spans="9:9" x14ac:dyDescent="0.2">
      <c r="I55236" s="137" t="s">
        <v>74</v>
      </c>
    </row>
    <row r="55237" spans="9:9" x14ac:dyDescent="0.2">
      <c r="I55237" s="137" t="s">
        <v>74</v>
      </c>
    </row>
    <row r="55238" spans="9:9" x14ac:dyDescent="0.2">
      <c r="I55238" s="137" t="s">
        <v>74</v>
      </c>
    </row>
    <row r="55239" spans="9:9" x14ac:dyDescent="0.2">
      <c r="I55239" s="137" t="s">
        <v>74</v>
      </c>
    </row>
    <row r="55240" spans="9:9" x14ac:dyDescent="0.2">
      <c r="I55240" s="137" t="s">
        <v>74</v>
      </c>
    </row>
    <row r="55241" spans="9:9" x14ac:dyDescent="0.2">
      <c r="I55241" s="137" t="s">
        <v>74</v>
      </c>
    </row>
    <row r="55242" spans="9:9" x14ac:dyDescent="0.2">
      <c r="I55242" s="137" t="s">
        <v>74</v>
      </c>
    </row>
    <row r="55243" spans="9:9" x14ac:dyDescent="0.2">
      <c r="I55243" s="137" t="s">
        <v>74</v>
      </c>
    </row>
    <row r="55244" spans="9:9" x14ac:dyDescent="0.2">
      <c r="I55244" s="137" t="s">
        <v>74</v>
      </c>
    </row>
    <row r="55245" spans="9:9" x14ac:dyDescent="0.2">
      <c r="I55245" s="137" t="s">
        <v>74</v>
      </c>
    </row>
    <row r="55246" spans="9:9" x14ac:dyDescent="0.2">
      <c r="I55246" s="137" t="s">
        <v>74</v>
      </c>
    </row>
    <row r="55247" spans="9:9" x14ac:dyDescent="0.2">
      <c r="I55247" s="137" t="s">
        <v>74</v>
      </c>
    </row>
    <row r="55248" spans="9:9" x14ac:dyDescent="0.2">
      <c r="I55248" s="137" t="s">
        <v>74</v>
      </c>
    </row>
    <row r="55249" spans="9:9" x14ac:dyDescent="0.2">
      <c r="I55249" s="137" t="s">
        <v>74</v>
      </c>
    </row>
    <row r="55250" spans="9:9" x14ac:dyDescent="0.2">
      <c r="I55250" s="137" t="s">
        <v>74</v>
      </c>
    </row>
    <row r="55251" spans="9:9" x14ac:dyDescent="0.2">
      <c r="I55251" s="137" t="s">
        <v>74</v>
      </c>
    </row>
    <row r="55252" spans="9:9" x14ac:dyDescent="0.2">
      <c r="I55252" s="137" t="s">
        <v>74</v>
      </c>
    </row>
    <row r="55253" spans="9:9" x14ac:dyDescent="0.2">
      <c r="I55253" s="137" t="s">
        <v>74</v>
      </c>
    </row>
    <row r="55254" spans="9:9" x14ac:dyDescent="0.2">
      <c r="I55254" s="137" t="s">
        <v>74</v>
      </c>
    </row>
    <row r="55255" spans="9:9" x14ac:dyDescent="0.2">
      <c r="I55255" s="137" t="s">
        <v>74</v>
      </c>
    </row>
    <row r="55256" spans="9:9" x14ac:dyDescent="0.2">
      <c r="I55256" s="137" t="s">
        <v>74</v>
      </c>
    </row>
    <row r="55257" spans="9:9" x14ac:dyDescent="0.2">
      <c r="I55257" s="137" t="s">
        <v>74</v>
      </c>
    </row>
    <row r="55258" spans="9:9" x14ac:dyDescent="0.2">
      <c r="I55258" s="137" t="s">
        <v>74</v>
      </c>
    </row>
    <row r="55259" spans="9:9" x14ac:dyDescent="0.2">
      <c r="I55259" s="137" t="s">
        <v>74</v>
      </c>
    </row>
    <row r="55260" spans="9:9" x14ac:dyDescent="0.2">
      <c r="I55260" s="137" t="s">
        <v>74</v>
      </c>
    </row>
    <row r="55261" spans="9:9" x14ac:dyDescent="0.2">
      <c r="I55261" s="137" t="s">
        <v>74</v>
      </c>
    </row>
    <row r="55262" spans="9:9" x14ac:dyDescent="0.2">
      <c r="I55262" s="137" t="s">
        <v>74</v>
      </c>
    </row>
    <row r="55263" spans="9:9" x14ac:dyDescent="0.2">
      <c r="I55263" s="137" t="s">
        <v>74</v>
      </c>
    </row>
    <row r="55264" spans="9:9" x14ac:dyDescent="0.2">
      <c r="I55264" s="137" t="s">
        <v>74</v>
      </c>
    </row>
    <row r="55265" spans="9:9" x14ac:dyDescent="0.2">
      <c r="I55265" s="137" t="s">
        <v>74</v>
      </c>
    </row>
    <row r="55266" spans="9:9" x14ac:dyDescent="0.2">
      <c r="I55266" s="137" t="s">
        <v>74</v>
      </c>
    </row>
    <row r="55267" spans="9:9" x14ac:dyDescent="0.2">
      <c r="I55267" s="137" t="s">
        <v>74</v>
      </c>
    </row>
    <row r="55268" spans="9:9" x14ac:dyDescent="0.2">
      <c r="I55268" s="137" t="s">
        <v>74</v>
      </c>
    </row>
    <row r="55269" spans="9:9" x14ac:dyDescent="0.2">
      <c r="I55269" s="137" t="s">
        <v>74</v>
      </c>
    </row>
    <row r="55270" spans="9:9" x14ac:dyDescent="0.2">
      <c r="I55270" s="137" t="s">
        <v>74</v>
      </c>
    </row>
    <row r="55271" spans="9:9" x14ac:dyDescent="0.2">
      <c r="I55271" s="137" t="s">
        <v>74</v>
      </c>
    </row>
    <row r="55272" spans="9:9" x14ac:dyDescent="0.2">
      <c r="I55272" s="137" t="s">
        <v>74</v>
      </c>
    </row>
    <row r="55273" spans="9:9" x14ac:dyDescent="0.2">
      <c r="I55273" s="137" t="s">
        <v>74</v>
      </c>
    </row>
    <row r="55274" spans="9:9" x14ac:dyDescent="0.2">
      <c r="I55274" s="137" t="s">
        <v>74</v>
      </c>
    </row>
    <row r="55275" spans="9:9" x14ac:dyDescent="0.2">
      <c r="I55275" s="137" t="s">
        <v>74</v>
      </c>
    </row>
    <row r="55276" spans="9:9" x14ac:dyDescent="0.2">
      <c r="I55276" s="137" t="s">
        <v>74</v>
      </c>
    </row>
    <row r="55277" spans="9:9" x14ac:dyDescent="0.2">
      <c r="I55277" s="137" t="s">
        <v>74</v>
      </c>
    </row>
    <row r="55278" spans="9:9" x14ac:dyDescent="0.2">
      <c r="I55278" s="137" t="s">
        <v>74</v>
      </c>
    </row>
    <row r="55279" spans="9:9" x14ac:dyDescent="0.2">
      <c r="I55279" s="137" t="s">
        <v>74</v>
      </c>
    </row>
    <row r="55280" spans="9:9" x14ac:dyDescent="0.2">
      <c r="I55280" s="137" t="s">
        <v>74</v>
      </c>
    </row>
    <row r="55281" spans="9:9" x14ac:dyDescent="0.2">
      <c r="I55281" s="137" t="s">
        <v>74</v>
      </c>
    </row>
    <row r="55282" spans="9:9" x14ac:dyDescent="0.2">
      <c r="I55282" s="137" t="s">
        <v>74</v>
      </c>
    </row>
    <row r="55283" spans="9:9" x14ac:dyDescent="0.2">
      <c r="I55283" s="137" t="s">
        <v>74</v>
      </c>
    </row>
    <row r="55284" spans="9:9" x14ac:dyDescent="0.2">
      <c r="I55284" s="137" t="s">
        <v>74</v>
      </c>
    </row>
    <row r="55285" spans="9:9" x14ac:dyDescent="0.2">
      <c r="I55285" s="137" t="s">
        <v>74</v>
      </c>
    </row>
    <row r="55286" spans="9:9" x14ac:dyDescent="0.2">
      <c r="I55286" s="137" t="s">
        <v>74</v>
      </c>
    </row>
    <row r="55287" spans="9:9" x14ac:dyDescent="0.2">
      <c r="I55287" s="137" t="s">
        <v>74</v>
      </c>
    </row>
    <row r="55288" spans="9:9" x14ac:dyDescent="0.2">
      <c r="I55288" s="137" t="s">
        <v>74</v>
      </c>
    </row>
    <row r="55289" spans="9:9" x14ac:dyDescent="0.2">
      <c r="I55289" s="137" t="s">
        <v>74</v>
      </c>
    </row>
    <row r="55290" spans="9:9" x14ac:dyDescent="0.2">
      <c r="I55290" s="137" t="s">
        <v>74</v>
      </c>
    </row>
    <row r="55291" spans="9:9" x14ac:dyDescent="0.2">
      <c r="I55291" s="137" t="s">
        <v>74</v>
      </c>
    </row>
    <row r="55292" spans="9:9" x14ac:dyDescent="0.2">
      <c r="I55292" s="137" t="s">
        <v>74</v>
      </c>
    </row>
    <row r="55293" spans="9:9" x14ac:dyDescent="0.2">
      <c r="I55293" s="137" t="s">
        <v>74</v>
      </c>
    </row>
    <row r="55294" spans="9:9" x14ac:dyDescent="0.2">
      <c r="I55294" s="137" t="s">
        <v>74</v>
      </c>
    </row>
    <row r="55295" spans="9:9" x14ac:dyDescent="0.2">
      <c r="I55295" s="137" t="s">
        <v>74</v>
      </c>
    </row>
    <row r="55296" spans="9:9" x14ac:dyDescent="0.2">
      <c r="I55296" s="137" t="s">
        <v>74</v>
      </c>
    </row>
    <row r="55297" spans="9:9" x14ac:dyDescent="0.2">
      <c r="I55297" s="137" t="s">
        <v>74</v>
      </c>
    </row>
    <row r="55298" spans="9:9" x14ac:dyDescent="0.2">
      <c r="I55298" s="137" t="s">
        <v>74</v>
      </c>
    </row>
    <row r="55299" spans="9:9" x14ac:dyDescent="0.2">
      <c r="I55299" s="137" t="s">
        <v>74</v>
      </c>
    </row>
    <row r="55300" spans="9:9" x14ac:dyDescent="0.2">
      <c r="I55300" s="137" t="s">
        <v>74</v>
      </c>
    </row>
    <row r="55301" spans="9:9" x14ac:dyDescent="0.2">
      <c r="I55301" s="137" t="s">
        <v>74</v>
      </c>
    </row>
    <row r="55302" spans="9:9" x14ac:dyDescent="0.2">
      <c r="I55302" s="137" t="s">
        <v>74</v>
      </c>
    </row>
    <row r="55303" spans="9:9" x14ac:dyDescent="0.2">
      <c r="I55303" s="137" t="s">
        <v>74</v>
      </c>
    </row>
    <row r="55304" spans="9:9" x14ac:dyDescent="0.2">
      <c r="I55304" s="137" t="s">
        <v>74</v>
      </c>
    </row>
    <row r="55305" spans="9:9" x14ac:dyDescent="0.2">
      <c r="I55305" s="137" t="s">
        <v>74</v>
      </c>
    </row>
    <row r="55306" spans="9:9" x14ac:dyDescent="0.2">
      <c r="I55306" s="137" t="s">
        <v>74</v>
      </c>
    </row>
    <row r="55307" spans="9:9" x14ac:dyDescent="0.2">
      <c r="I55307" s="137" t="s">
        <v>74</v>
      </c>
    </row>
    <row r="55308" spans="9:9" x14ac:dyDescent="0.2">
      <c r="I55308" s="137" t="s">
        <v>74</v>
      </c>
    </row>
    <row r="55309" spans="9:9" x14ac:dyDescent="0.2">
      <c r="I55309" s="137" t="s">
        <v>74</v>
      </c>
    </row>
    <row r="55310" spans="9:9" x14ac:dyDescent="0.2">
      <c r="I55310" s="137" t="s">
        <v>74</v>
      </c>
    </row>
    <row r="55311" spans="9:9" x14ac:dyDescent="0.2">
      <c r="I55311" s="137" t="s">
        <v>74</v>
      </c>
    </row>
    <row r="55312" spans="9:9" x14ac:dyDescent="0.2">
      <c r="I55312" s="137" t="s">
        <v>74</v>
      </c>
    </row>
    <row r="55313" spans="9:9" x14ac:dyDescent="0.2">
      <c r="I55313" s="137" t="s">
        <v>74</v>
      </c>
    </row>
    <row r="55314" spans="9:9" x14ac:dyDescent="0.2">
      <c r="I55314" s="137" t="s">
        <v>74</v>
      </c>
    </row>
    <row r="55315" spans="9:9" x14ac:dyDescent="0.2">
      <c r="I55315" s="137" t="s">
        <v>74</v>
      </c>
    </row>
    <row r="55316" spans="9:9" x14ac:dyDescent="0.2">
      <c r="I55316" s="137" t="s">
        <v>74</v>
      </c>
    </row>
    <row r="55317" spans="9:9" x14ac:dyDescent="0.2">
      <c r="I55317" s="137" t="s">
        <v>74</v>
      </c>
    </row>
    <row r="55318" spans="9:9" x14ac:dyDescent="0.2">
      <c r="I55318" s="137" t="s">
        <v>74</v>
      </c>
    </row>
    <row r="55319" spans="9:9" x14ac:dyDescent="0.2">
      <c r="I55319" s="137" t="s">
        <v>74</v>
      </c>
    </row>
    <row r="55320" spans="9:9" x14ac:dyDescent="0.2">
      <c r="I55320" s="137" t="s">
        <v>74</v>
      </c>
    </row>
    <row r="55321" spans="9:9" x14ac:dyDescent="0.2">
      <c r="I55321" s="137" t="s">
        <v>74</v>
      </c>
    </row>
    <row r="55322" spans="9:9" x14ac:dyDescent="0.2">
      <c r="I55322" s="137" t="s">
        <v>74</v>
      </c>
    </row>
    <row r="55323" spans="9:9" x14ac:dyDescent="0.2">
      <c r="I55323" s="137" t="s">
        <v>74</v>
      </c>
    </row>
    <row r="55324" spans="9:9" x14ac:dyDescent="0.2">
      <c r="I55324" s="137" t="s">
        <v>74</v>
      </c>
    </row>
    <row r="55325" spans="9:9" x14ac:dyDescent="0.2">
      <c r="I55325" s="137" t="s">
        <v>74</v>
      </c>
    </row>
    <row r="55326" spans="9:9" x14ac:dyDescent="0.2">
      <c r="I55326" s="137" t="s">
        <v>74</v>
      </c>
    </row>
    <row r="55327" spans="9:9" x14ac:dyDescent="0.2">
      <c r="I55327" s="137" t="s">
        <v>74</v>
      </c>
    </row>
    <row r="55328" spans="9:9" x14ac:dyDescent="0.2">
      <c r="I55328" s="137" t="s">
        <v>74</v>
      </c>
    </row>
    <row r="55329" spans="9:9" x14ac:dyDescent="0.2">
      <c r="I55329" s="137" t="s">
        <v>74</v>
      </c>
    </row>
    <row r="55330" spans="9:9" x14ac:dyDescent="0.2">
      <c r="I55330" s="137" t="s">
        <v>74</v>
      </c>
    </row>
    <row r="55331" spans="9:9" x14ac:dyDescent="0.2">
      <c r="I55331" s="137" t="s">
        <v>74</v>
      </c>
    </row>
    <row r="55332" spans="9:9" x14ac:dyDescent="0.2">
      <c r="I55332" s="137" t="s">
        <v>74</v>
      </c>
    </row>
    <row r="55333" spans="9:9" x14ac:dyDescent="0.2">
      <c r="I55333" s="137" t="s">
        <v>74</v>
      </c>
    </row>
    <row r="55334" spans="9:9" x14ac:dyDescent="0.2">
      <c r="I55334" s="137" t="s">
        <v>74</v>
      </c>
    </row>
    <row r="55335" spans="9:9" x14ac:dyDescent="0.2">
      <c r="I55335" s="137" t="s">
        <v>74</v>
      </c>
    </row>
    <row r="55336" spans="9:9" x14ac:dyDescent="0.2">
      <c r="I55336" s="137" t="s">
        <v>74</v>
      </c>
    </row>
    <row r="55337" spans="9:9" x14ac:dyDescent="0.2">
      <c r="I55337" s="137" t="s">
        <v>74</v>
      </c>
    </row>
    <row r="55338" spans="9:9" x14ac:dyDescent="0.2">
      <c r="I55338" s="137" t="s">
        <v>74</v>
      </c>
    </row>
    <row r="55339" spans="9:9" x14ac:dyDescent="0.2">
      <c r="I55339" s="137" t="s">
        <v>74</v>
      </c>
    </row>
    <row r="55340" spans="9:9" x14ac:dyDescent="0.2">
      <c r="I55340" s="137" t="s">
        <v>74</v>
      </c>
    </row>
    <row r="55341" spans="9:9" x14ac:dyDescent="0.2">
      <c r="I55341" s="137" t="s">
        <v>74</v>
      </c>
    </row>
    <row r="55342" spans="9:9" x14ac:dyDescent="0.2">
      <c r="I55342" s="137" t="s">
        <v>74</v>
      </c>
    </row>
    <row r="55343" spans="9:9" x14ac:dyDescent="0.2">
      <c r="I55343" s="137" t="s">
        <v>74</v>
      </c>
    </row>
    <row r="55344" spans="9:9" x14ac:dyDescent="0.2">
      <c r="I55344" s="137" t="s">
        <v>74</v>
      </c>
    </row>
    <row r="55345" spans="9:9" x14ac:dyDescent="0.2">
      <c r="I55345" s="137" t="s">
        <v>74</v>
      </c>
    </row>
    <row r="55346" spans="9:9" x14ac:dyDescent="0.2">
      <c r="I55346" s="137" t="s">
        <v>74</v>
      </c>
    </row>
    <row r="55347" spans="9:9" x14ac:dyDescent="0.2">
      <c r="I55347" s="137" t="s">
        <v>74</v>
      </c>
    </row>
    <row r="55348" spans="9:9" x14ac:dyDescent="0.2">
      <c r="I55348" s="137" t="s">
        <v>74</v>
      </c>
    </row>
    <row r="55349" spans="9:9" x14ac:dyDescent="0.2">
      <c r="I55349" s="137" t="s">
        <v>74</v>
      </c>
    </row>
    <row r="55350" spans="9:9" x14ac:dyDescent="0.2">
      <c r="I55350" s="137" t="s">
        <v>74</v>
      </c>
    </row>
    <row r="55351" spans="9:9" x14ac:dyDescent="0.2">
      <c r="I55351" s="137" t="s">
        <v>74</v>
      </c>
    </row>
    <row r="55352" spans="9:9" x14ac:dyDescent="0.2">
      <c r="I55352" s="137" t="s">
        <v>74</v>
      </c>
    </row>
    <row r="55353" spans="9:9" x14ac:dyDescent="0.2">
      <c r="I55353" s="137" t="s">
        <v>74</v>
      </c>
    </row>
    <row r="55354" spans="9:9" x14ac:dyDescent="0.2">
      <c r="I55354" s="137" t="s">
        <v>74</v>
      </c>
    </row>
    <row r="55355" spans="9:9" x14ac:dyDescent="0.2">
      <c r="I55355" s="137" t="s">
        <v>74</v>
      </c>
    </row>
    <row r="55356" spans="9:9" x14ac:dyDescent="0.2">
      <c r="I55356" s="137" t="s">
        <v>74</v>
      </c>
    </row>
    <row r="55357" spans="9:9" x14ac:dyDescent="0.2">
      <c r="I55357" s="137" t="s">
        <v>74</v>
      </c>
    </row>
    <row r="55358" spans="9:9" x14ac:dyDescent="0.2">
      <c r="I55358" s="137" t="s">
        <v>74</v>
      </c>
    </row>
    <row r="55359" spans="9:9" x14ac:dyDescent="0.2">
      <c r="I55359" s="137" t="s">
        <v>74</v>
      </c>
    </row>
    <row r="55360" spans="9:9" x14ac:dyDescent="0.2">
      <c r="I55360" s="137" t="s">
        <v>74</v>
      </c>
    </row>
    <row r="55361" spans="9:9" x14ac:dyDescent="0.2">
      <c r="I55361" s="137" t="s">
        <v>74</v>
      </c>
    </row>
    <row r="55362" spans="9:9" x14ac:dyDescent="0.2">
      <c r="I55362" s="137" t="s">
        <v>74</v>
      </c>
    </row>
    <row r="55363" spans="9:9" x14ac:dyDescent="0.2">
      <c r="I55363" s="137" t="s">
        <v>74</v>
      </c>
    </row>
    <row r="55364" spans="9:9" x14ac:dyDescent="0.2">
      <c r="I55364" s="137" t="s">
        <v>74</v>
      </c>
    </row>
    <row r="55365" spans="9:9" x14ac:dyDescent="0.2">
      <c r="I55365" s="137" t="s">
        <v>74</v>
      </c>
    </row>
    <row r="55366" spans="9:9" x14ac:dyDescent="0.2">
      <c r="I55366" s="137" t="s">
        <v>74</v>
      </c>
    </row>
    <row r="55367" spans="9:9" x14ac:dyDescent="0.2">
      <c r="I55367" s="137" t="s">
        <v>74</v>
      </c>
    </row>
    <row r="55368" spans="9:9" x14ac:dyDescent="0.2">
      <c r="I55368" s="137" t="s">
        <v>74</v>
      </c>
    </row>
    <row r="55369" spans="9:9" x14ac:dyDescent="0.2">
      <c r="I55369" s="137" t="s">
        <v>74</v>
      </c>
    </row>
    <row r="55370" spans="9:9" x14ac:dyDescent="0.2">
      <c r="I55370" s="137" t="s">
        <v>74</v>
      </c>
    </row>
    <row r="55371" spans="9:9" x14ac:dyDescent="0.2">
      <c r="I55371" s="137" t="s">
        <v>74</v>
      </c>
    </row>
    <row r="55372" spans="9:9" x14ac:dyDescent="0.2">
      <c r="I55372" s="137" t="s">
        <v>74</v>
      </c>
    </row>
    <row r="55373" spans="9:9" x14ac:dyDescent="0.2">
      <c r="I55373" s="137" t="s">
        <v>74</v>
      </c>
    </row>
    <row r="55374" spans="9:9" x14ac:dyDescent="0.2">
      <c r="I55374" s="137" t="s">
        <v>74</v>
      </c>
    </row>
    <row r="55375" spans="9:9" x14ac:dyDescent="0.2">
      <c r="I55375" s="137" t="s">
        <v>74</v>
      </c>
    </row>
    <row r="55376" spans="9:9" x14ac:dyDescent="0.2">
      <c r="I55376" s="137" t="s">
        <v>74</v>
      </c>
    </row>
    <row r="55377" spans="9:9" x14ac:dyDescent="0.2">
      <c r="I55377" s="137" t="s">
        <v>74</v>
      </c>
    </row>
    <row r="55378" spans="9:9" x14ac:dyDescent="0.2">
      <c r="I55378" s="137" t="s">
        <v>74</v>
      </c>
    </row>
    <row r="55379" spans="9:9" x14ac:dyDescent="0.2">
      <c r="I55379" s="137" t="s">
        <v>74</v>
      </c>
    </row>
    <row r="55380" spans="9:9" x14ac:dyDescent="0.2">
      <c r="I55380" s="137" t="s">
        <v>74</v>
      </c>
    </row>
    <row r="55381" spans="9:9" x14ac:dyDescent="0.2">
      <c r="I55381" s="137" t="s">
        <v>74</v>
      </c>
    </row>
    <row r="55382" spans="9:9" x14ac:dyDescent="0.2">
      <c r="I55382" s="137" t="s">
        <v>74</v>
      </c>
    </row>
    <row r="55383" spans="9:9" x14ac:dyDescent="0.2">
      <c r="I55383" s="137" t="s">
        <v>74</v>
      </c>
    </row>
    <row r="55384" spans="9:9" x14ac:dyDescent="0.2">
      <c r="I55384" s="137" t="s">
        <v>74</v>
      </c>
    </row>
    <row r="55385" spans="9:9" x14ac:dyDescent="0.2">
      <c r="I55385" s="137" t="s">
        <v>74</v>
      </c>
    </row>
    <row r="55386" spans="9:9" x14ac:dyDescent="0.2">
      <c r="I55386" s="137" t="s">
        <v>74</v>
      </c>
    </row>
    <row r="55387" spans="9:9" x14ac:dyDescent="0.2">
      <c r="I55387" s="137" t="s">
        <v>74</v>
      </c>
    </row>
    <row r="55388" spans="9:9" x14ac:dyDescent="0.2">
      <c r="I55388" s="137" t="s">
        <v>74</v>
      </c>
    </row>
    <row r="55389" spans="9:9" x14ac:dyDescent="0.2">
      <c r="I55389" s="137" t="s">
        <v>74</v>
      </c>
    </row>
    <row r="55390" spans="9:9" x14ac:dyDescent="0.2">
      <c r="I55390" s="137" t="s">
        <v>74</v>
      </c>
    </row>
    <row r="55391" spans="9:9" x14ac:dyDescent="0.2">
      <c r="I55391" s="137" t="s">
        <v>74</v>
      </c>
    </row>
    <row r="55392" spans="9:9" x14ac:dyDescent="0.2">
      <c r="I55392" s="137" t="s">
        <v>74</v>
      </c>
    </row>
    <row r="55393" spans="9:9" x14ac:dyDescent="0.2">
      <c r="I55393" s="137" t="s">
        <v>74</v>
      </c>
    </row>
    <row r="55394" spans="9:9" x14ac:dyDescent="0.2">
      <c r="I55394" s="137" t="s">
        <v>74</v>
      </c>
    </row>
    <row r="55395" spans="9:9" x14ac:dyDescent="0.2">
      <c r="I55395" s="137" t="s">
        <v>74</v>
      </c>
    </row>
    <row r="55396" spans="9:9" x14ac:dyDescent="0.2">
      <c r="I55396" s="137" t="s">
        <v>74</v>
      </c>
    </row>
    <row r="55397" spans="9:9" x14ac:dyDescent="0.2">
      <c r="I55397" s="137" t="s">
        <v>74</v>
      </c>
    </row>
    <row r="55398" spans="9:9" x14ac:dyDescent="0.2">
      <c r="I55398" s="137" t="s">
        <v>74</v>
      </c>
    </row>
    <row r="55399" spans="9:9" x14ac:dyDescent="0.2">
      <c r="I55399" s="137" t="s">
        <v>74</v>
      </c>
    </row>
    <row r="55400" spans="9:9" x14ac:dyDescent="0.2">
      <c r="I55400" s="137" t="s">
        <v>74</v>
      </c>
    </row>
    <row r="55401" spans="9:9" x14ac:dyDescent="0.2">
      <c r="I55401" s="137" t="s">
        <v>74</v>
      </c>
    </row>
    <row r="55402" spans="9:9" x14ac:dyDescent="0.2">
      <c r="I55402" s="137" t="s">
        <v>74</v>
      </c>
    </row>
    <row r="55403" spans="9:9" x14ac:dyDescent="0.2">
      <c r="I55403" s="137" t="s">
        <v>74</v>
      </c>
    </row>
    <row r="55404" spans="9:9" x14ac:dyDescent="0.2">
      <c r="I55404" s="137" t="s">
        <v>74</v>
      </c>
    </row>
    <row r="55405" spans="9:9" x14ac:dyDescent="0.2">
      <c r="I55405" s="137" t="s">
        <v>74</v>
      </c>
    </row>
    <row r="55406" spans="9:9" x14ac:dyDescent="0.2">
      <c r="I55406" s="137" t="s">
        <v>74</v>
      </c>
    </row>
    <row r="55407" spans="9:9" x14ac:dyDescent="0.2">
      <c r="I55407" s="137" t="s">
        <v>74</v>
      </c>
    </row>
    <row r="55408" spans="9:9" x14ac:dyDescent="0.2">
      <c r="I55408" s="137" t="s">
        <v>74</v>
      </c>
    </row>
    <row r="55409" spans="9:9" x14ac:dyDescent="0.2">
      <c r="I55409" s="137" t="s">
        <v>74</v>
      </c>
    </row>
    <row r="55410" spans="9:9" x14ac:dyDescent="0.2">
      <c r="I55410" s="137" t="s">
        <v>74</v>
      </c>
    </row>
    <row r="55411" spans="9:9" x14ac:dyDescent="0.2">
      <c r="I55411" s="137" t="s">
        <v>74</v>
      </c>
    </row>
    <row r="55412" spans="9:9" x14ac:dyDescent="0.2">
      <c r="I55412" s="137" t="s">
        <v>74</v>
      </c>
    </row>
    <row r="55413" spans="9:9" x14ac:dyDescent="0.2">
      <c r="I55413" s="137" t="s">
        <v>74</v>
      </c>
    </row>
    <row r="55414" spans="9:9" x14ac:dyDescent="0.2">
      <c r="I55414" s="137" t="s">
        <v>74</v>
      </c>
    </row>
    <row r="55415" spans="9:9" x14ac:dyDescent="0.2">
      <c r="I55415" s="137" t="s">
        <v>74</v>
      </c>
    </row>
    <row r="55416" spans="9:9" x14ac:dyDescent="0.2">
      <c r="I55416" s="137" t="s">
        <v>74</v>
      </c>
    </row>
    <row r="55417" spans="9:9" x14ac:dyDescent="0.2">
      <c r="I55417" s="137" t="s">
        <v>74</v>
      </c>
    </row>
    <row r="55418" spans="9:9" x14ac:dyDescent="0.2">
      <c r="I55418" s="137" t="s">
        <v>74</v>
      </c>
    </row>
    <row r="55419" spans="9:9" x14ac:dyDescent="0.2">
      <c r="I55419" s="137" t="s">
        <v>74</v>
      </c>
    </row>
    <row r="55420" spans="9:9" x14ac:dyDescent="0.2">
      <c r="I55420" s="137" t="s">
        <v>74</v>
      </c>
    </row>
    <row r="55421" spans="9:9" x14ac:dyDescent="0.2">
      <c r="I55421" s="137" t="s">
        <v>74</v>
      </c>
    </row>
    <row r="55422" spans="9:9" x14ac:dyDescent="0.2">
      <c r="I55422" s="137" t="s">
        <v>74</v>
      </c>
    </row>
    <row r="55423" spans="9:9" x14ac:dyDescent="0.2">
      <c r="I55423" s="137" t="s">
        <v>74</v>
      </c>
    </row>
    <row r="55424" spans="9:9" x14ac:dyDescent="0.2">
      <c r="I55424" s="137" t="s">
        <v>74</v>
      </c>
    </row>
    <row r="55425" spans="9:9" x14ac:dyDescent="0.2">
      <c r="I55425" s="137" t="s">
        <v>74</v>
      </c>
    </row>
    <row r="55426" spans="9:9" x14ac:dyDescent="0.2">
      <c r="I55426" s="137" t="s">
        <v>74</v>
      </c>
    </row>
    <row r="55427" spans="9:9" x14ac:dyDescent="0.2">
      <c r="I55427" s="137" t="s">
        <v>74</v>
      </c>
    </row>
    <row r="55428" spans="9:9" x14ac:dyDescent="0.2">
      <c r="I55428" s="137" t="s">
        <v>74</v>
      </c>
    </row>
    <row r="55429" spans="9:9" x14ac:dyDescent="0.2">
      <c r="I55429" s="137" t="s">
        <v>74</v>
      </c>
    </row>
    <row r="55430" spans="9:9" x14ac:dyDescent="0.2">
      <c r="I55430" s="137" t="s">
        <v>74</v>
      </c>
    </row>
    <row r="55431" spans="9:9" x14ac:dyDescent="0.2">
      <c r="I55431" s="137" t="s">
        <v>74</v>
      </c>
    </row>
    <row r="55432" spans="9:9" x14ac:dyDescent="0.2">
      <c r="I55432" s="137" t="s">
        <v>74</v>
      </c>
    </row>
    <row r="55433" spans="9:9" x14ac:dyDescent="0.2">
      <c r="I55433" s="137" t="s">
        <v>74</v>
      </c>
    </row>
    <row r="55434" spans="9:9" x14ac:dyDescent="0.2">
      <c r="I55434" s="137" t="s">
        <v>74</v>
      </c>
    </row>
    <row r="55435" spans="9:9" x14ac:dyDescent="0.2">
      <c r="I55435" s="137" t="s">
        <v>74</v>
      </c>
    </row>
    <row r="55436" spans="9:9" x14ac:dyDescent="0.2">
      <c r="I55436" s="137" t="s">
        <v>74</v>
      </c>
    </row>
    <row r="55437" spans="9:9" x14ac:dyDescent="0.2">
      <c r="I55437" s="137" t="s">
        <v>74</v>
      </c>
    </row>
    <row r="55438" spans="9:9" x14ac:dyDescent="0.2">
      <c r="I55438" s="137" t="s">
        <v>74</v>
      </c>
    </row>
    <row r="55439" spans="9:9" x14ac:dyDescent="0.2">
      <c r="I55439" s="137" t="s">
        <v>74</v>
      </c>
    </row>
    <row r="55440" spans="9:9" x14ac:dyDescent="0.2">
      <c r="I55440" s="137" t="s">
        <v>74</v>
      </c>
    </row>
    <row r="55441" spans="9:9" x14ac:dyDescent="0.2">
      <c r="I55441" s="137" t="s">
        <v>74</v>
      </c>
    </row>
    <row r="55442" spans="9:9" x14ac:dyDescent="0.2">
      <c r="I55442" s="137" t="s">
        <v>74</v>
      </c>
    </row>
    <row r="55443" spans="9:9" x14ac:dyDescent="0.2">
      <c r="I55443" s="137" t="s">
        <v>74</v>
      </c>
    </row>
    <row r="55444" spans="9:9" x14ac:dyDescent="0.2">
      <c r="I55444" s="137" t="s">
        <v>74</v>
      </c>
    </row>
    <row r="55445" spans="9:9" x14ac:dyDescent="0.2">
      <c r="I55445" s="137" t="s">
        <v>74</v>
      </c>
    </row>
    <row r="55446" spans="9:9" x14ac:dyDescent="0.2">
      <c r="I55446" s="137" t="s">
        <v>74</v>
      </c>
    </row>
    <row r="55447" spans="9:9" x14ac:dyDescent="0.2">
      <c r="I55447" s="137" t="s">
        <v>74</v>
      </c>
    </row>
    <row r="55448" spans="9:9" x14ac:dyDescent="0.2">
      <c r="I55448" s="137" t="s">
        <v>74</v>
      </c>
    </row>
    <row r="55449" spans="9:9" x14ac:dyDescent="0.2">
      <c r="I55449" s="137" t="s">
        <v>74</v>
      </c>
    </row>
    <row r="55450" spans="9:9" x14ac:dyDescent="0.2">
      <c r="I55450" s="137" t="s">
        <v>74</v>
      </c>
    </row>
    <row r="55451" spans="9:9" x14ac:dyDescent="0.2">
      <c r="I55451" s="137" t="s">
        <v>74</v>
      </c>
    </row>
    <row r="55452" spans="9:9" x14ac:dyDescent="0.2">
      <c r="I55452" s="137" t="s">
        <v>74</v>
      </c>
    </row>
    <row r="55453" spans="9:9" x14ac:dyDescent="0.2">
      <c r="I55453" s="137" t="s">
        <v>74</v>
      </c>
    </row>
    <row r="55454" spans="9:9" x14ac:dyDescent="0.2">
      <c r="I55454" s="137" t="s">
        <v>74</v>
      </c>
    </row>
    <row r="55455" spans="9:9" x14ac:dyDescent="0.2">
      <c r="I55455" s="137" t="s">
        <v>74</v>
      </c>
    </row>
    <row r="55456" spans="9:9" x14ac:dyDescent="0.2">
      <c r="I55456" s="137" t="s">
        <v>74</v>
      </c>
    </row>
    <row r="55457" spans="9:9" x14ac:dyDescent="0.2">
      <c r="I55457" s="137" t="s">
        <v>74</v>
      </c>
    </row>
    <row r="55458" spans="9:9" x14ac:dyDescent="0.2">
      <c r="I55458" s="137" t="s">
        <v>74</v>
      </c>
    </row>
    <row r="55459" spans="9:9" x14ac:dyDescent="0.2">
      <c r="I55459" s="137" t="s">
        <v>74</v>
      </c>
    </row>
    <row r="55460" spans="9:9" x14ac:dyDescent="0.2">
      <c r="I55460" s="137" t="s">
        <v>74</v>
      </c>
    </row>
    <row r="55461" spans="9:9" x14ac:dyDescent="0.2">
      <c r="I55461" s="137" t="s">
        <v>74</v>
      </c>
    </row>
    <row r="55462" spans="9:9" x14ac:dyDescent="0.2">
      <c r="I55462" s="137" t="s">
        <v>74</v>
      </c>
    </row>
    <row r="55463" spans="9:9" x14ac:dyDescent="0.2">
      <c r="I55463" s="137" t="s">
        <v>74</v>
      </c>
    </row>
    <row r="55464" spans="9:9" x14ac:dyDescent="0.2">
      <c r="I55464" s="137" t="s">
        <v>74</v>
      </c>
    </row>
    <row r="55465" spans="9:9" x14ac:dyDescent="0.2">
      <c r="I55465" s="137" t="s">
        <v>74</v>
      </c>
    </row>
    <row r="55466" spans="9:9" x14ac:dyDescent="0.2">
      <c r="I55466" s="137" t="s">
        <v>74</v>
      </c>
    </row>
    <row r="55467" spans="9:9" x14ac:dyDescent="0.2">
      <c r="I55467" s="137" t="s">
        <v>74</v>
      </c>
    </row>
    <row r="55468" spans="9:9" x14ac:dyDescent="0.2">
      <c r="I55468" s="137" t="s">
        <v>74</v>
      </c>
    </row>
    <row r="55469" spans="9:9" x14ac:dyDescent="0.2">
      <c r="I55469" s="137" t="s">
        <v>74</v>
      </c>
    </row>
    <row r="55470" spans="9:9" x14ac:dyDescent="0.2">
      <c r="I55470" s="137" t="s">
        <v>74</v>
      </c>
    </row>
    <row r="55471" spans="9:9" x14ac:dyDescent="0.2">
      <c r="I55471" s="137" t="s">
        <v>74</v>
      </c>
    </row>
    <row r="55472" spans="9:9" x14ac:dyDescent="0.2">
      <c r="I55472" s="137" t="s">
        <v>74</v>
      </c>
    </row>
    <row r="55473" spans="9:9" x14ac:dyDescent="0.2">
      <c r="I55473" s="137" t="s">
        <v>74</v>
      </c>
    </row>
    <row r="55474" spans="9:9" x14ac:dyDescent="0.2">
      <c r="I55474" s="137" t="s">
        <v>74</v>
      </c>
    </row>
    <row r="55475" spans="9:9" x14ac:dyDescent="0.2">
      <c r="I55475" s="137" t="s">
        <v>74</v>
      </c>
    </row>
    <row r="55476" spans="9:9" x14ac:dyDescent="0.2">
      <c r="I55476" s="137" t="s">
        <v>74</v>
      </c>
    </row>
    <row r="55477" spans="9:9" x14ac:dyDescent="0.2">
      <c r="I55477" s="137" t="s">
        <v>74</v>
      </c>
    </row>
    <row r="55478" spans="9:9" x14ac:dyDescent="0.2">
      <c r="I55478" s="137" t="s">
        <v>74</v>
      </c>
    </row>
    <row r="55479" spans="9:9" x14ac:dyDescent="0.2">
      <c r="I55479" s="137" t="s">
        <v>74</v>
      </c>
    </row>
    <row r="55480" spans="9:9" x14ac:dyDescent="0.2">
      <c r="I55480" s="137" t="s">
        <v>74</v>
      </c>
    </row>
    <row r="55481" spans="9:9" x14ac:dyDescent="0.2">
      <c r="I55481" s="137" t="s">
        <v>74</v>
      </c>
    </row>
    <row r="55482" spans="9:9" x14ac:dyDescent="0.2">
      <c r="I55482" s="137" t="s">
        <v>74</v>
      </c>
    </row>
    <row r="55483" spans="9:9" x14ac:dyDescent="0.2">
      <c r="I55483" s="137" t="s">
        <v>74</v>
      </c>
    </row>
    <row r="55484" spans="9:9" x14ac:dyDescent="0.2">
      <c r="I55484" s="137" t="s">
        <v>74</v>
      </c>
    </row>
    <row r="55485" spans="9:9" x14ac:dyDescent="0.2">
      <c r="I55485" s="137" t="s">
        <v>74</v>
      </c>
    </row>
    <row r="55486" spans="9:9" x14ac:dyDescent="0.2">
      <c r="I55486" s="137" t="s">
        <v>74</v>
      </c>
    </row>
    <row r="55487" spans="9:9" x14ac:dyDescent="0.2">
      <c r="I55487" s="137" t="s">
        <v>74</v>
      </c>
    </row>
    <row r="55488" spans="9:9" x14ac:dyDescent="0.2">
      <c r="I55488" s="137" t="s">
        <v>74</v>
      </c>
    </row>
    <row r="55489" spans="9:9" x14ac:dyDescent="0.2">
      <c r="I55489" s="137" t="s">
        <v>74</v>
      </c>
    </row>
    <row r="55490" spans="9:9" x14ac:dyDescent="0.2">
      <c r="I55490" s="137" t="s">
        <v>74</v>
      </c>
    </row>
    <row r="55491" spans="9:9" x14ac:dyDescent="0.2">
      <c r="I55491" s="137" t="s">
        <v>74</v>
      </c>
    </row>
    <row r="55492" spans="9:9" x14ac:dyDescent="0.2">
      <c r="I55492" s="137" t="s">
        <v>74</v>
      </c>
    </row>
    <row r="55493" spans="9:9" x14ac:dyDescent="0.2">
      <c r="I55493" s="137" t="s">
        <v>74</v>
      </c>
    </row>
    <row r="55494" spans="9:9" x14ac:dyDescent="0.2">
      <c r="I55494" s="137" t="s">
        <v>74</v>
      </c>
    </row>
    <row r="55495" spans="9:9" x14ac:dyDescent="0.2">
      <c r="I55495" s="137" t="s">
        <v>74</v>
      </c>
    </row>
    <row r="55496" spans="9:9" x14ac:dyDescent="0.2">
      <c r="I55496" s="137" t="s">
        <v>74</v>
      </c>
    </row>
    <row r="55497" spans="9:9" x14ac:dyDescent="0.2">
      <c r="I55497" s="137" t="s">
        <v>74</v>
      </c>
    </row>
    <row r="55498" spans="9:9" x14ac:dyDescent="0.2">
      <c r="I55498" s="137" t="s">
        <v>74</v>
      </c>
    </row>
    <row r="55499" spans="9:9" x14ac:dyDescent="0.2">
      <c r="I55499" s="137" t="s">
        <v>74</v>
      </c>
    </row>
    <row r="55500" spans="9:9" x14ac:dyDescent="0.2">
      <c r="I55500" s="137" t="s">
        <v>74</v>
      </c>
    </row>
    <row r="55501" spans="9:9" x14ac:dyDescent="0.2">
      <c r="I55501" s="137" t="s">
        <v>74</v>
      </c>
    </row>
    <row r="55502" spans="9:9" x14ac:dyDescent="0.2">
      <c r="I55502" s="137" t="s">
        <v>74</v>
      </c>
    </row>
    <row r="55503" spans="9:9" x14ac:dyDescent="0.2">
      <c r="I55503" s="137" t="s">
        <v>74</v>
      </c>
    </row>
    <row r="55504" spans="9:9" x14ac:dyDescent="0.2">
      <c r="I55504" s="137" t="s">
        <v>74</v>
      </c>
    </row>
    <row r="55505" spans="9:9" x14ac:dyDescent="0.2">
      <c r="I55505" s="137" t="s">
        <v>74</v>
      </c>
    </row>
    <row r="55506" spans="9:9" x14ac:dyDescent="0.2">
      <c r="I55506" s="137" t="s">
        <v>74</v>
      </c>
    </row>
    <row r="55507" spans="9:9" x14ac:dyDescent="0.2">
      <c r="I55507" s="137" t="s">
        <v>74</v>
      </c>
    </row>
    <row r="55508" spans="9:9" x14ac:dyDescent="0.2">
      <c r="I55508" s="137" t="s">
        <v>74</v>
      </c>
    </row>
    <row r="55509" spans="9:9" x14ac:dyDescent="0.2">
      <c r="I55509" s="137" t="s">
        <v>74</v>
      </c>
    </row>
    <row r="55510" spans="9:9" x14ac:dyDescent="0.2">
      <c r="I55510" s="137" t="s">
        <v>74</v>
      </c>
    </row>
    <row r="55511" spans="9:9" x14ac:dyDescent="0.2">
      <c r="I55511" s="137" t="s">
        <v>74</v>
      </c>
    </row>
    <row r="55512" spans="9:9" x14ac:dyDescent="0.2">
      <c r="I55512" s="137" t="s">
        <v>74</v>
      </c>
    </row>
    <row r="55513" spans="9:9" x14ac:dyDescent="0.2">
      <c r="I55513" s="137" t="s">
        <v>74</v>
      </c>
    </row>
    <row r="55514" spans="9:9" x14ac:dyDescent="0.2">
      <c r="I55514" s="137" t="s">
        <v>74</v>
      </c>
    </row>
    <row r="55515" spans="9:9" x14ac:dyDescent="0.2">
      <c r="I55515" s="137" t="s">
        <v>74</v>
      </c>
    </row>
    <row r="55516" spans="9:9" x14ac:dyDescent="0.2">
      <c r="I55516" s="137" t="s">
        <v>74</v>
      </c>
    </row>
    <row r="55517" spans="9:9" x14ac:dyDescent="0.2">
      <c r="I55517" s="137" t="s">
        <v>74</v>
      </c>
    </row>
    <row r="55518" spans="9:9" x14ac:dyDescent="0.2">
      <c r="I55518" s="137" t="s">
        <v>74</v>
      </c>
    </row>
    <row r="55519" spans="9:9" x14ac:dyDescent="0.2">
      <c r="I55519" s="137" t="s">
        <v>74</v>
      </c>
    </row>
    <row r="55520" spans="9:9" x14ac:dyDescent="0.2">
      <c r="I55520" s="137" t="s">
        <v>74</v>
      </c>
    </row>
    <row r="55521" spans="9:9" x14ac:dyDescent="0.2">
      <c r="I55521" s="137" t="s">
        <v>74</v>
      </c>
    </row>
    <row r="55522" spans="9:9" x14ac:dyDescent="0.2">
      <c r="I55522" s="137" t="s">
        <v>74</v>
      </c>
    </row>
    <row r="55523" spans="9:9" x14ac:dyDescent="0.2">
      <c r="I55523" s="137" t="s">
        <v>74</v>
      </c>
    </row>
    <row r="55524" spans="9:9" x14ac:dyDescent="0.2">
      <c r="I55524" s="137" t="s">
        <v>74</v>
      </c>
    </row>
    <row r="55525" spans="9:9" x14ac:dyDescent="0.2">
      <c r="I55525" s="137" t="s">
        <v>74</v>
      </c>
    </row>
    <row r="55526" spans="9:9" x14ac:dyDescent="0.2">
      <c r="I55526" s="137" t="s">
        <v>74</v>
      </c>
    </row>
    <row r="55527" spans="9:9" x14ac:dyDescent="0.2">
      <c r="I55527" s="137" t="s">
        <v>74</v>
      </c>
    </row>
    <row r="55528" spans="9:9" x14ac:dyDescent="0.2">
      <c r="I55528" s="137" t="s">
        <v>74</v>
      </c>
    </row>
    <row r="55529" spans="9:9" x14ac:dyDescent="0.2">
      <c r="I55529" s="137" t="s">
        <v>74</v>
      </c>
    </row>
    <row r="55530" spans="9:9" x14ac:dyDescent="0.2">
      <c r="I55530" s="137" t="s">
        <v>74</v>
      </c>
    </row>
    <row r="55531" spans="9:9" x14ac:dyDescent="0.2">
      <c r="I55531" s="137" t="s">
        <v>74</v>
      </c>
    </row>
    <row r="55532" spans="9:9" x14ac:dyDescent="0.2">
      <c r="I55532" s="137" t="s">
        <v>74</v>
      </c>
    </row>
    <row r="55533" spans="9:9" x14ac:dyDescent="0.2">
      <c r="I55533" s="137" t="s">
        <v>74</v>
      </c>
    </row>
    <row r="55534" spans="9:9" x14ac:dyDescent="0.2">
      <c r="I55534" s="137" t="s">
        <v>74</v>
      </c>
    </row>
    <row r="55535" spans="9:9" x14ac:dyDescent="0.2">
      <c r="I55535" s="137" t="s">
        <v>74</v>
      </c>
    </row>
    <row r="55536" spans="9:9" x14ac:dyDescent="0.2">
      <c r="I55536" s="137" t="s">
        <v>74</v>
      </c>
    </row>
    <row r="55537" spans="9:9" x14ac:dyDescent="0.2">
      <c r="I55537" s="137" t="s">
        <v>74</v>
      </c>
    </row>
    <row r="55538" spans="9:9" x14ac:dyDescent="0.2">
      <c r="I55538" s="137" t="s">
        <v>74</v>
      </c>
    </row>
    <row r="55539" spans="9:9" x14ac:dyDescent="0.2">
      <c r="I55539" s="137" t="s">
        <v>74</v>
      </c>
    </row>
    <row r="55540" spans="9:9" x14ac:dyDescent="0.2">
      <c r="I55540" s="137" t="s">
        <v>74</v>
      </c>
    </row>
    <row r="55541" spans="9:9" x14ac:dyDescent="0.2">
      <c r="I55541" s="137" t="s">
        <v>74</v>
      </c>
    </row>
    <row r="55542" spans="9:9" x14ac:dyDescent="0.2">
      <c r="I55542" s="137" t="s">
        <v>74</v>
      </c>
    </row>
    <row r="55543" spans="9:9" x14ac:dyDescent="0.2">
      <c r="I55543" s="137" t="s">
        <v>74</v>
      </c>
    </row>
    <row r="55544" spans="9:9" x14ac:dyDescent="0.2">
      <c r="I55544" s="137" t="s">
        <v>74</v>
      </c>
    </row>
    <row r="55545" spans="9:9" x14ac:dyDescent="0.2">
      <c r="I55545" s="137" t="s">
        <v>74</v>
      </c>
    </row>
    <row r="55546" spans="9:9" x14ac:dyDescent="0.2">
      <c r="I55546" s="137" t="s">
        <v>74</v>
      </c>
    </row>
    <row r="55547" spans="9:9" x14ac:dyDescent="0.2">
      <c r="I55547" s="137" t="s">
        <v>74</v>
      </c>
    </row>
    <row r="55548" spans="9:9" x14ac:dyDescent="0.2">
      <c r="I55548" s="137" t="s">
        <v>74</v>
      </c>
    </row>
    <row r="55549" spans="9:9" x14ac:dyDescent="0.2">
      <c r="I55549" s="137" t="s">
        <v>74</v>
      </c>
    </row>
    <row r="55550" spans="9:9" x14ac:dyDescent="0.2">
      <c r="I55550" s="137" t="s">
        <v>74</v>
      </c>
    </row>
    <row r="55551" spans="9:9" x14ac:dyDescent="0.2">
      <c r="I55551" s="137" t="s">
        <v>74</v>
      </c>
    </row>
    <row r="55552" spans="9:9" x14ac:dyDescent="0.2">
      <c r="I55552" s="137" t="s">
        <v>74</v>
      </c>
    </row>
    <row r="55553" spans="9:9" x14ac:dyDescent="0.2">
      <c r="I55553" s="137" t="s">
        <v>74</v>
      </c>
    </row>
    <row r="55554" spans="9:9" x14ac:dyDescent="0.2">
      <c r="I55554" s="137" t="s">
        <v>74</v>
      </c>
    </row>
    <row r="55555" spans="9:9" x14ac:dyDescent="0.2">
      <c r="I55555" s="137" t="s">
        <v>74</v>
      </c>
    </row>
    <row r="55556" spans="9:9" x14ac:dyDescent="0.2">
      <c r="I55556" s="137" t="s">
        <v>74</v>
      </c>
    </row>
    <row r="55557" spans="9:9" x14ac:dyDescent="0.2">
      <c r="I55557" s="137" t="s">
        <v>74</v>
      </c>
    </row>
    <row r="55558" spans="9:9" x14ac:dyDescent="0.2">
      <c r="I55558" s="137" t="s">
        <v>74</v>
      </c>
    </row>
    <row r="55559" spans="9:9" x14ac:dyDescent="0.2">
      <c r="I55559" s="137" t="s">
        <v>74</v>
      </c>
    </row>
    <row r="55560" spans="9:9" x14ac:dyDescent="0.2">
      <c r="I55560" s="137" t="s">
        <v>74</v>
      </c>
    </row>
    <row r="55561" spans="9:9" x14ac:dyDescent="0.2">
      <c r="I55561" s="137" t="s">
        <v>74</v>
      </c>
    </row>
    <row r="55562" spans="9:9" x14ac:dyDescent="0.2">
      <c r="I55562" s="137" t="s">
        <v>74</v>
      </c>
    </row>
    <row r="55563" spans="9:9" x14ac:dyDescent="0.2">
      <c r="I55563" s="137" t="s">
        <v>74</v>
      </c>
    </row>
    <row r="55564" spans="9:9" x14ac:dyDescent="0.2">
      <c r="I55564" s="137" t="s">
        <v>74</v>
      </c>
    </row>
    <row r="55565" spans="9:9" x14ac:dyDescent="0.2">
      <c r="I55565" s="137" t="s">
        <v>74</v>
      </c>
    </row>
    <row r="55566" spans="9:9" x14ac:dyDescent="0.2">
      <c r="I55566" s="137" t="s">
        <v>74</v>
      </c>
    </row>
    <row r="55567" spans="9:9" x14ac:dyDescent="0.2">
      <c r="I55567" s="137" t="s">
        <v>74</v>
      </c>
    </row>
    <row r="55568" spans="9:9" x14ac:dyDescent="0.2">
      <c r="I55568" s="137" t="s">
        <v>74</v>
      </c>
    </row>
    <row r="55569" spans="9:9" x14ac:dyDescent="0.2">
      <c r="I55569" s="137" t="s">
        <v>74</v>
      </c>
    </row>
    <row r="55570" spans="9:9" x14ac:dyDescent="0.2">
      <c r="I55570" s="137" t="s">
        <v>74</v>
      </c>
    </row>
    <row r="55571" spans="9:9" x14ac:dyDescent="0.2">
      <c r="I55571" s="137" t="s">
        <v>74</v>
      </c>
    </row>
    <row r="55572" spans="9:9" x14ac:dyDescent="0.2">
      <c r="I55572" s="137" t="s">
        <v>74</v>
      </c>
    </row>
    <row r="55573" spans="9:9" x14ac:dyDescent="0.2">
      <c r="I55573" s="137" t="s">
        <v>74</v>
      </c>
    </row>
    <row r="55574" spans="9:9" x14ac:dyDescent="0.2">
      <c r="I55574" s="137" t="s">
        <v>74</v>
      </c>
    </row>
    <row r="55575" spans="9:9" x14ac:dyDescent="0.2">
      <c r="I55575" s="137" t="s">
        <v>74</v>
      </c>
    </row>
    <row r="55576" spans="9:9" x14ac:dyDescent="0.2">
      <c r="I55576" s="137" t="s">
        <v>74</v>
      </c>
    </row>
    <row r="55577" spans="9:9" x14ac:dyDescent="0.2">
      <c r="I55577" s="137" t="s">
        <v>74</v>
      </c>
    </row>
    <row r="55578" spans="9:9" x14ac:dyDescent="0.2">
      <c r="I55578" s="137" t="s">
        <v>74</v>
      </c>
    </row>
    <row r="55579" spans="9:9" x14ac:dyDescent="0.2">
      <c r="I55579" s="137" t="s">
        <v>74</v>
      </c>
    </row>
    <row r="55580" spans="9:9" x14ac:dyDescent="0.2">
      <c r="I55580" s="137" t="s">
        <v>74</v>
      </c>
    </row>
    <row r="55581" spans="9:9" x14ac:dyDescent="0.2">
      <c r="I55581" s="137" t="s">
        <v>74</v>
      </c>
    </row>
    <row r="55582" spans="9:9" x14ac:dyDescent="0.2">
      <c r="I55582" s="137" t="s">
        <v>74</v>
      </c>
    </row>
    <row r="55583" spans="9:9" x14ac:dyDescent="0.2">
      <c r="I55583" s="137" t="s">
        <v>74</v>
      </c>
    </row>
    <row r="55584" spans="9:9" x14ac:dyDescent="0.2">
      <c r="I55584" s="137" t="s">
        <v>74</v>
      </c>
    </row>
    <row r="55585" spans="9:9" x14ac:dyDescent="0.2">
      <c r="I55585" s="137" t="s">
        <v>74</v>
      </c>
    </row>
    <row r="55586" spans="9:9" x14ac:dyDescent="0.2">
      <c r="I55586" s="137" t="s">
        <v>74</v>
      </c>
    </row>
    <row r="55587" spans="9:9" x14ac:dyDescent="0.2">
      <c r="I55587" s="137" t="s">
        <v>74</v>
      </c>
    </row>
    <row r="55588" spans="9:9" x14ac:dyDescent="0.2">
      <c r="I55588" s="137" t="s">
        <v>74</v>
      </c>
    </row>
    <row r="55589" spans="9:9" x14ac:dyDescent="0.2">
      <c r="I55589" s="137" t="s">
        <v>74</v>
      </c>
    </row>
    <row r="55590" spans="9:9" x14ac:dyDescent="0.2">
      <c r="I55590" s="137" t="s">
        <v>74</v>
      </c>
    </row>
    <row r="55591" spans="9:9" x14ac:dyDescent="0.2">
      <c r="I55591" s="137" t="s">
        <v>74</v>
      </c>
    </row>
    <row r="55592" spans="9:9" x14ac:dyDescent="0.2">
      <c r="I55592" s="137" t="s">
        <v>74</v>
      </c>
    </row>
    <row r="55593" spans="9:9" x14ac:dyDescent="0.2">
      <c r="I55593" s="137" t="s">
        <v>74</v>
      </c>
    </row>
    <row r="55594" spans="9:9" x14ac:dyDescent="0.2">
      <c r="I55594" s="137" t="s">
        <v>74</v>
      </c>
    </row>
    <row r="55595" spans="9:9" x14ac:dyDescent="0.2">
      <c r="I55595" s="137" t="s">
        <v>74</v>
      </c>
    </row>
    <row r="55596" spans="9:9" x14ac:dyDescent="0.2">
      <c r="I55596" s="137" t="s">
        <v>74</v>
      </c>
    </row>
    <row r="55597" spans="9:9" x14ac:dyDescent="0.2">
      <c r="I55597" s="137" t="s">
        <v>74</v>
      </c>
    </row>
    <row r="55598" spans="9:9" x14ac:dyDescent="0.2">
      <c r="I55598" s="137" t="s">
        <v>74</v>
      </c>
    </row>
    <row r="55599" spans="9:9" x14ac:dyDescent="0.2">
      <c r="I55599" s="137" t="s">
        <v>74</v>
      </c>
    </row>
    <row r="55600" spans="9:9" x14ac:dyDescent="0.2">
      <c r="I55600" s="137" t="s">
        <v>74</v>
      </c>
    </row>
    <row r="55601" spans="9:9" x14ac:dyDescent="0.2">
      <c r="I55601" s="137" t="s">
        <v>74</v>
      </c>
    </row>
    <row r="55602" spans="9:9" x14ac:dyDescent="0.2">
      <c r="I55602" s="137" t="s">
        <v>74</v>
      </c>
    </row>
    <row r="55603" spans="9:9" x14ac:dyDescent="0.2">
      <c r="I55603" s="137" t="s">
        <v>74</v>
      </c>
    </row>
    <row r="55604" spans="9:9" x14ac:dyDescent="0.2">
      <c r="I55604" s="137" t="s">
        <v>74</v>
      </c>
    </row>
    <row r="55605" spans="9:9" x14ac:dyDescent="0.2">
      <c r="I55605" s="137" t="s">
        <v>74</v>
      </c>
    </row>
    <row r="55606" spans="9:9" x14ac:dyDescent="0.2">
      <c r="I55606" s="137" t="s">
        <v>74</v>
      </c>
    </row>
    <row r="55607" spans="9:9" x14ac:dyDescent="0.2">
      <c r="I55607" s="137" t="s">
        <v>74</v>
      </c>
    </row>
    <row r="55608" spans="9:9" x14ac:dyDescent="0.2">
      <c r="I55608" s="137" t="s">
        <v>74</v>
      </c>
    </row>
    <row r="55609" spans="9:9" x14ac:dyDescent="0.2">
      <c r="I55609" s="137" t="s">
        <v>74</v>
      </c>
    </row>
    <row r="55610" spans="9:9" x14ac:dyDescent="0.2">
      <c r="I55610" s="137" t="s">
        <v>74</v>
      </c>
    </row>
    <row r="55611" spans="9:9" x14ac:dyDescent="0.2">
      <c r="I55611" s="137" t="s">
        <v>74</v>
      </c>
    </row>
    <row r="55612" spans="9:9" x14ac:dyDescent="0.2">
      <c r="I55612" s="137" t="s">
        <v>74</v>
      </c>
    </row>
    <row r="55613" spans="9:9" x14ac:dyDescent="0.2">
      <c r="I55613" s="137" t="s">
        <v>74</v>
      </c>
    </row>
    <row r="55614" spans="9:9" x14ac:dyDescent="0.2">
      <c r="I55614" s="137" t="s">
        <v>74</v>
      </c>
    </row>
    <row r="55615" spans="9:9" x14ac:dyDescent="0.2">
      <c r="I55615" s="137" t="s">
        <v>74</v>
      </c>
    </row>
    <row r="55616" spans="9:9" x14ac:dyDescent="0.2">
      <c r="I55616" s="137" t="s">
        <v>74</v>
      </c>
    </row>
    <row r="55617" spans="9:9" x14ac:dyDescent="0.2">
      <c r="I55617" s="137" t="s">
        <v>74</v>
      </c>
    </row>
    <row r="55618" spans="9:9" x14ac:dyDescent="0.2">
      <c r="I55618" s="137" t="s">
        <v>74</v>
      </c>
    </row>
    <row r="55619" spans="9:9" x14ac:dyDescent="0.2">
      <c r="I55619" s="137" t="s">
        <v>74</v>
      </c>
    </row>
    <row r="55620" spans="9:9" x14ac:dyDescent="0.2">
      <c r="I55620" s="137" t="s">
        <v>74</v>
      </c>
    </row>
    <row r="55621" spans="9:9" x14ac:dyDescent="0.2">
      <c r="I55621" s="137" t="s">
        <v>74</v>
      </c>
    </row>
    <row r="55622" spans="9:9" x14ac:dyDescent="0.2">
      <c r="I55622" s="137" t="s">
        <v>74</v>
      </c>
    </row>
    <row r="55623" spans="9:9" x14ac:dyDescent="0.2">
      <c r="I55623" s="137" t="s">
        <v>74</v>
      </c>
    </row>
    <row r="55624" spans="9:9" x14ac:dyDescent="0.2">
      <c r="I55624" s="137" t="s">
        <v>74</v>
      </c>
    </row>
    <row r="55625" spans="9:9" x14ac:dyDescent="0.2">
      <c r="I55625" s="137" t="s">
        <v>74</v>
      </c>
    </row>
    <row r="55626" spans="9:9" x14ac:dyDescent="0.2">
      <c r="I55626" s="137" t="s">
        <v>74</v>
      </c>
    </row>
    <row r="55627" spans="9:9" x14ac:dyDescent="0.2">
      <c r="I55627" s="137" t="s">
        <v>74</v>
      </c>
    </row>
    <row r="55628" spans="9:9" x14ac:dyDescent="0.2">
      <c r="I55628" s="137" t="s">
        <v>74</v>
      </c>
    </row>
    <row r="55629" spans="9:9" x14ac:dyDescent="0.2">
      <c r="I55629" s="137" t="s">
        <v>74</v>
      </c>
    </row>
    <row r="55630" spans="9:9" x14ac:dyDescent="0.2">
      <c r="I55630" s="137" t="s">
        <v>74</v>
      </c>
    </row>
    <row r="55631" spans="9:9" x14ac:dyDescent="0.2">
      <c r="I55631" s="137" t="s">
        <v>74</v>
      </c>
    </row>
    <row r="55632" spans="9:9" x14ac:dyDescent="0.2">
      <c r="I55632" s="137" t="s">
        <v>74</v>
      </c>
    </row>
    <row r="55633" spans="9:9" x14ac:dyDescent="0.2">
      <c r="I55633" s="137" t="s">
        <v>74</v>
      </c>
    </row>
    <row r="55634" spans="9:9" x14ac:dyDescent="0.2">
      <c r="I55634" s="137" t="s">
        <v>74</v>
      </c>
    </row>
    <row r="55635" spans="9:9" x14ac:dyDescent="0.2">
      <c r="I55635" s="137" t="s">
        <v>74</v>
      </c>
    </row>
    <row r="55636" spans="9:9" x14ac:dyDescent="0.2">
      <c r="I55636" s="137" t="s">
        <v>74</v>
      </c>
    </row>
    <row r="55637" spans="9:9" x14ac:dyDescent="0.2">
      <c r="I55637" s="137" t="s">
        <v>74</v>
      </c>
    </row>
    <row r="55638" spans="9:9" x14ac:dyDescent="0.2">
      <c r="I55638" s="137" t="s">
        <v>74</v>
      </c>
    </row>
    <row r="55639" spans="9:9" x14ac:dyDescent="0.2">
      <c r="I55639" s="137" t="s">
        <v>74</v>
      </c>
    </row>
    <row r="55640" spans="9:9" x14ac:dyDescent="0.2">
      <c r="I55640" s="137" t="s">
        <v>74</v>
      </c>
    </row>
    <row r="55641" spans="9:9" x14ac:dyDescent="0.2">
      <c r="I55641" s="137" t="s">
        <v>74</v>
      </c>
    </row>
    <row r="55642" spans="9:9" x14ac:dyDescent="0.2">
      <c r="I55642" s="137" t="s">
        <v>74</v>
      </c>
    </row>
    <row r="55643" spans="9:9" x14ac:dyDescent="0.2">
      <c r="I55643" s="137" t="s">
        <v>74</v>
      </c>
    </row>
    <row r="55644" spans="9:9" x14ac:dyDescent="0.2">
      <c r="I55644" s="137" t="s">
        <v>74</v>
      </c>
    </row>
    <row r="55645" spans="9:9" x14ac:dyDescent="0.2">
      <c r="I55645" s="137" t="s">
        <v>74</v>
      </c>
    </row>
    <row r="55646" spans="9:9" x14ac:dyDescent="0.2">
      <c r="I55646" s="137" t="s">
        <v>74</v>
      </c>
    </row>
    <row r="55647" spans="9:9" x14ac:dyDescent="0.2">
      <c r="I55647" s="137" t="s">
        <v>74</v>
      </c>
    </row>
    <row r="55648" spans="9:9" x14ac:dyDescent="0.2">
      <c r="I55648" s="137" t="s">
        <v>74</v>
      </c>
    </row>
    <row r="55649" spans="9:9" x14ac:dyDescent="0.2">
      <c r="I55649" s="137" t="s">
        <v>74</v>
      </c>
    </row>
    <row r="55650" spans="9:9" x14ac:dyDescent="0.2">
      <c r="I55650" s="137" t="s">
        <v>74</v>
      </c>
    </row>
    <row r="55651" spans="9:9" x14ac:dyDescent="0.2">
      <c r="I55651" s="137" t="s">
        <v>74</v>
      </c>
    </row>
    <row r="55652" spans="9:9" x14ac:dyDescent="0.2">
      <c r="I55652" s="137" t="s">
        <v>74</v>
      </c>
    </row>
    <row r="55653" spans="9:9" x14ac:dyDescent="0.2">
      <c r="I55653" s="137" t="s">
        <v>74</v>
      </c>
    </row>
    <row r="55654" spans="9:9" x14ac:dyDescent="0.2">
      <c r="I55654" s="137" t="s">
        <v>74</v>
      </c>
    </row>
    <row r="55655" spans="9:9" x14ac:dyDescent="0.2">
      <c r="I55655" s="137" t="s">
        <v>74</v>
      </c>
    </row>
    <row r="55656" spans="9:9" x14ac:dyDescent="0.2">
      <c r="I55656" s="137" t="s">
        <v>74</v>
      </c>
    </row>
    <row r="55657" spans="9:9" x14ac:dyDescent="0.2">
      <c r="I55657" s="137" t="s">
        <v>74</v>
      </c>
    </row>
    <row r="55658" spans="9:9" x14ac:dyDescent="0.2">
      <c r="I55658" s="137" t="s">
        <v>74</v>
      </c>
    </row>
    <row r="55659" spans="9:9" x14ac:dyDescent="0.2">
      <c r="I55659" s="137" t="s">
        <v>74</v>
      </c>
    </row>
    <row r="55660" spans="9:9" x14ac:dyDescent="0.2">
      <c r="I55660" s="137" t="s">
        <v>74</v>
      </c>
    </row>
    <row r="55661" spans="9:9" x14ac:dyDescent="0.2">
      <c r="I55661" s="137" t="s">
        <v>74</v>
      </c>
    </row>
    <row r="55662" spans="9:9" x14ac:dyDescent="0.2">
      <c r="I55662" s="137" t="s">
        <v>74</v>
      </c>
    </row>
    <row r="55663" spans="9:9" x14ac:dyDescent="0.2">
      <c r="I55663" s="137" t="s">
        <v>74</v>
      </c>
    </row>
    <row r="55664" spans="9:9" x14ac:dyDescent="0.2">
      <c r="I55664" s="137" t="s">
        <v>74</v>
      </c>
    </row>
    <row r="55665" spans="9:9" x14ac:dyDescent="0.2">
      <c r="I55665" s="137" t="s">
        <v>74</v>
      </c>
    </row>
    <row r="55666" spans="9:9" x14ac:dyDescent="0.2">
      <c r="I55666" s="137" t="s">
        <v>74</v>
      </c>
    </row>
    <row r="55667" spans="9:9" x14ac:dyDescent="0.2">
      <c r="I55667" s="137" t="s">
        <v>74</v>
      </c>
    </row>
    <row r="55668" spans="9:9" x14ac:dyDescent="0.2">
      <c r="I55668" s="137" t="s">
        <v>74</v>
      </c>
    </row>
    <row r="55669" spans="9:9" x14ac:dyDescent="0.2">
      <c r="I55669" s="137" t="s">
        <v>74</v>
      </c>
    </row>
    <row r="55670" spans="9:9" x14ac:dyDescent="0.2">
      <c r="I55670" s="137" t="s">
        <v>74</v>
      </c>
    </row>
    <row r="55671" spans="9:9" x14ac:dyDescent="0.2">
      <c r="I55671" s="137" t="s">
        <v>74</v>
      </c>
    </row>
    <row r="55672" spans="9:9" x14ac:dyDescent="0.2">
      <c r="I55672" s="137" t="s">
        <v>74</v>
      </c>
    </row>
    <row r="55673" spans="9:9" x14ac:dyDescent="0.2">
      <c r="I55673" s="137" t="s">
        <v>74</v>
      </c>
    </row>
    <row r="55674" spans="9:9" x14ac:dyDescent="0.2">
      <c r="I55674" s="137" t="s">
        <v>74</v>
      </c>
    </row>
    <row r="55675" spans="9:9" x14ac:dyDescent="0.2">
      <c r="I55675" s="137" t="s">
        <v>74</v>
      </c>
    </row>
    <row r="55676" spans="9:9" x14ac:dyDescent="0.2">
      <c r="I55676" s="137" t="s">
        <v>74</v>
      </c>
    </row>
    <row r="55677" spans="9:9" x14ac:dyDescent="0.2">
      <c r="I55677" s="137" t="s">
        <v>74</v>
      </c>
    </row>
    <row r="55678" spans="9:9" x14ac:dyDescent="0.2">
      <c r="I55678" s="137" t="s">
        <v>74</v>
      </c>
    </row>
    <row r="55679" spans="9:9" x14ac:dyDescent="0.2">
      <c r="I55679" s="137" t="s">
        <v>74</v>
      </c>
    </row>
    <row r="55680" spans="9:9" x14ac:dyDescent="0.2">
      <c r="I55680" s="137" t="s">
        <v>74</v>
      </c>
    </row>
    <row r="55681" spans="9:9" x14ac:dyDescent="0.2">
      <c r="I55681" s="137" t="s">
        <v>74</v>
      </c>
    </row>
    <row r="55682" spans="9:9" x14ac:dyDescent="0.2">
      <c r="I55682" s="137" t="s">
        <v>74</v>
      </c>
    </row>
    <row r="55683" spans="9:9" x14ac:dyDescent="0.2">
      <c r="I55683" s="137" t="s">
        <v>74</v>
      </c>
    </row>
    <row r="55684" spans="9:9" x14ac:dyDescent="0.2">
      <c r="I55684" s="137" t="s">
        <v>74</v>
      </c>
    </row>
    <row r="55685" spans="9:9" x14ac:dyDescent="0.2">
      <c r="I55685" s="137" t="s">
        <v>74</v>
      </c>
    </row>
    <row r="55686" spans="9:9" x14ac:dyDescent="0.2">
      <c r="I55686" s="137" t="s">
        <v>74</v>
      </c>
    </row>
    <row r="55687" spans="9:9" x14ac:dyDescent="0.2">
      <c r="I55687" s="137" t="s">
        <v>74</v>
      </c>
    </row>
    <row r="55688" spans="9:9" x14ac:dyDescent="0.2">
      <c r="I55688" s="137" t="s">
        <v>74</v>
      </c>
    </row>
    <row r="55689" spans="9:9" x14ac:dyDescent="0.2">
      <c r="I55689" s="137" t="s">
        <v>74</v>
      </c>
    </row>
    <row r="55690" spans="9:9" x14ac:dyDescent="0.2">
      <c r="I55690" s="137" t="s">
        <v>74</v>
      </c>
    </row>
    <row r="55691" spans="9:9" x14ac:dyDescent="0.2">
      <c r="I55691" s="137" t="s">
        <v>74</v>
      </c>
    </row>
    <row r="55692" spans="9:9" x14ac:dyDescent="0.2">
      <c r="I55692" s="137" t="s">
        <v>74</v>
      </c>
    </row>
    <row r="55693" spans="9:9" x14ac:dyDescent="0.2">
      <c r="I55693" s="137" t="s">
        <v>74</v>
      </c>
    </row>
    <row r="55694" spans="9:9" x14ac:dyDescent="0.2">
      <c r="I55694" s="137" t="s">
        <v>74</v>
      </c>
    </row>
    <row r="55695" spans="9:9" x14ac:dyDescent="0.2">
      <c r="I55695" s="137" t="s">
        <v>74</v>
      </c>
    </row>
    <row r="55696" spans="9:9" x14ac:dyDescent="0.2">
      <c r="I55696" s="137" t="s">
        <v>74</v>
      </c>
    </row>
    <row r="55697" spans="9:9" x14ac:dyDescent="0.2">
      <c r="I55697" s="137" t="s">
        <v>74</v>
      </c>
    </row>
    <row r="55698" spans="9:9" x14ac:dyDescent="0.2">
      <c r="I55698" s="137" t="s">
        <v>74</v>
      </c>
    </row>
    <row r="55699" spans="9:9" x14ac:dyDescent="0.2">
      <c r="I55699" s="137" t="s">
        <v>74</v>
      </c>
    </row>
    <row r="55700" spans="9:9" x14ac:dyDescent="0.2">
      <c r="I55700" s="137" t="s">
        <v>74</v>
      </c>
    </row>
    <row r="55701" spans="9:9" x14ac:dyDescent="0.2">
      <c r="I55701" s="137" t="s">
        <v>74</v>
      </c>
    </row>
    <row r="55702" spans="9:9" x14ac:dyDescent="0.2">
      <c r="I55702" s="137" t="s">
        <v>74</v>
      </c>
    </row>
    <row r="55703" spans="9:9" x14ac:dyDescent="0.2">
      <c r="I55703" s="137" t="s">
        <v>74</v>
      </c>
    </row>
    <row r="55704" spans="9:9" x14ac:dyDescent="0.2">
      <c r="I55704" s="137" t="s">
        <v>74</v>
      </c>
    </row>
    <row r="55705" spans="9:9" x14ac:dyDescent="0.2">
      <c r="I55705" s="137" t="s">
        <v>74</v>
      </c>
    </row>
    <row r="55706" spans="9:9" x14ac:dyDescent="0.2">
      <c r="I55706" s="137" t="s">
        <v>74</v>
      </c>
    </row>
    <row r="55707" spans="9:9" x14ac:dyDescent="0.2">
      <c r="I55707" s="137" t="s">
        <v>74</v>
      </c>
    </row>
    <row r="55708" spans="9:9" x14ac:dyDescent="0.2">
      <c r="I55708" s="137" t="s">
        <v>74</v>
      </c>
    </row>
    <row r="55709" spans="9:9" x14ac:dyDescent="0.2">
      <c r="I55709" s="137" t="s">
        <v>74</v>
      </c>
    </row>
    <row r="55710" spans="9:9" x14ac:dyDescent="0.2">
      <c r="I55710" s="137" t="s">
        <v>74</v>
      </c>
    </row>
    <row r="55711" spans="9:9" x14ac:dyDescent="0.2">
      <c r="I55711" s="137" t="s">
        <v>74</v>
      </c>
    </row>
    <row r="55712" spans="9:9" x14ac:dyDescent="0.2">
      <c r="I55712" s="137" t="s">
        <v>74</v>
      </c>
    </row>
    <row r="55713" spans="9:9" x14ac:dyDescent="0.2">
      <c r="I55713" s="137" t="s">
        <v>74</v>
      </c>
    </row>
    <row r="55714" spans="9:9" x14ac:dyDescent="0.2">
      <c r="I55714" s="137" t="s">
        <v>74</v>
      </c>
    </row>
    <row r="55715" spans="9:9" x14ac:dyDescent="0.2">
      <c r="I55715" s="137" t="s">
        <v>74</v>
      </c>
    </row>
    <row r="55716" spans="9:9" x14ac:dyDescent="0.2">
      <c r="I55716" s="137" t="s">
        <v>74</v>
      </c>
    </row>
    <row r="55717" spans="9:9" x14ac:dyDescent="0.2">
      <c r="I55717" s="137" t="s">
        <v>74</v>
      </c>
    </row>
    <row r="55718" spans="9:9" x14ac:dyDescent="0.2">
      <c r="I55718" s="137" t="s">
        <v>74</v>
      </c>
    </row>
    <row r="55719" spans="9:9" x14ac:dyDescent="0.2">
      <c r="I55719" s="137" t="s">
        <v>74</v>
      </c>
    </row>
    <row r="55720" spans="9:9" x14ac:dyDescent="0.2">
      <c r="I55720" s="137" t="s">
        <v>74</v>
      </c>
    </row>
    <row r="55721" spans="9:9" x14ac:dyDescent="0.2">
      <c r="I55721" s="137" t="s">
        <v>74</v>
      </c>
    </row>
    <row r="55722" spans="9:9" x14ac:dyDescent="0.2">
      <c r="I55722" s="137" t="s">
        <v>74</v>
      </c>
    </row>
    <row r="55723" spans="9:9" x14ac:dyDescent="0.2">
      <c r="I55723" s="137" t="s">
        <v>74</v>
      </c>
    </row>
    <row r="55724" spans="9:9" x14ac:dyDescent="0.2">
      <c r="I55724" s="137" t="s">
        <v>74</v>
      </c>
    </row>
    <row r="55725" spans="9:9" x14ac:dyDescent="0.2">
      <c r="I55725" s="137" t="s">
        <v>74</v>
      </c>
    </row>
    <row r="55726" spans="9:9" x14ac:dyDescent="0.2">
      <c r="I55726" s="137" t="s">
        <v>74</v>
      </c>
    </row>
    <row r="55727" spans="9:9" x14ac:dyDescent="0.2">
      <c r="I55727" s="137" t="s">
        <v>74</v>
      </c>
    </row>
    <row r="55728" spans="9:9" x14ac:dyDescent="0.2">
      <c r="I55728" s="137" t="s">
        <v>74</v>
      </c>
    </row>
    <row r="55729" spans="9:9" x14ac:dyDescent="0.2">
      <c r="I55729" s="137" t="s">
        <v>74</v>
      </c>
    </row>
    <row r="55730" spans="9:9" x14ac:dyDescent="0.2">
      <c r="I55730" s="137" t="s">
        <v>74</v>
      </c>
    </row>
    <row r="55731" spans="9:9" x14ac:dyDescent="0.2">
      <c r="I55731" s="137" t="s">
        <v>74</v>
      </c>
    </row>
    <row r="55732" spans="9:9" x14ac:dyDescent="0.2">
      <c r="I55732" s="137" t="s">
        <v>74</v>
      </c>
    </row>
    <row r="55733" spans="9:9" x14ac:dyDescent="0.2">
      <c r="I55733" s="137" t="s">
        <v>74</v>
      </c>
    </row>
    <row r="55734" spans="9:9" x14ac:dyDescent="0.2">
      <c r="I55734" s="137" t="s">
        <v>74</v>
      </c>
    </row>
    <row r="55735" spans="9:9" x14ac:dyDescent="0.2">
      <c r="I55735" s="137" t="s">
        <v>74</v>
      </c>
    </row>
    <row r="55736" spans="9:9" x14ac:dyDescent="0.2">
      <c r="I55736" s="137" t="s">
        <v>74</v>
      </c>
    </row>
    <row r="55737" spans="9:9" x14ac:dyDescent="0.2">
      <c r="I55737" s="137" t="s">
        <v>74</v>
      </c>
    </row>
    <row r="55738" spans="9:9" x14ac:dyDescent="0.2">
      <c r="I55738" s="137" t="s">
        <v>74</v>
      </c>
    </row>
    <row r="55739" spans="9:9" x14ac:dyDescent="0.2">
      <c r="I55739" s="137" t="s">
        <v>74</v>
      </c>
    </row>
    <row r="55740" spans="9:9" x14ac:dyDescent="0.2">
      <c r="I55740" s="137" t="s">
        <v>74</v>
      </c>
    </row>
    <row r="55741" spans="9:9" x14ac:dyDescent="0.2">
      <c r="I55741" s="137" t="s">
        <v>74</v>
      </c>
    </row>
    <row r="55742" spans="9:9" x14ac:dyDescent="0.2">
      <c r="I55742" s="137" t="s">
        <v>74</v>
      </c>
    </row>
    <row r="55743" spans="9:9" x14ac:dyDescent="0.2">
      <c r="I55743" s="137" t="s">
        <v>74</v>
      </c>
    </row>
    <row r="55744" spans="9:9" x14ac:dyDescent="0.2">
      <c r="I55744" s="137" t="s">
        <v>74</v>
      </c>
    </row>
    <row r="55745" spans="9:9" x14ac:dyDescent="0.2">
      <c r="I55745" s="137" t="s">
        <v>74</v>
      </c>
    </row>
    <row r="55746" spans="9:9" x14ac:dyDescent="0.2">
      <c r="I55746" s="137" t="s">
        <v>74</v>
      </c>
    </row>
    <row r="55747" spans="9:9" x14ac:dyDescent="0.2">
      <c r="I55747" s="137" t="s">
        <v>74</v>
      </c>
    </row>
    <row r="55748" spans="9:9" x14ac:dyDescent="0.2">
      <c r="I55748" s="137" t="s">
        <v>74</v>
      </c>
    </row>
    <row r="55749" spans="9:9" x14ac:dyDescent="0.2">
      <c r="I55749" s="137" t="s">
        <v>74</v>
      </c>
    </row>
    <row r="55750" spans="9:9" x14ac:dyDescent="0.2">
      <c r="I55750" s="137" t="s">
        <v>74</v>
      </c>
    </row>
    <row r="55751" spans="9:9" x14ac:dyDescent="0.2">
      <c r="I55751" s="137" t="s">
        <v>74</v>
      </c>
    </row>
    <row r="55752" spans="9:9" x14ac:dyDescent="0.2">
      <c r="I55752" s="137" t="s">
        <v>74</v>
      </c>
    </row>
    <row r="55753" spans="9:9" x14ac:dyDescent="0.2">
      <c r="I55753" s="137" t="s">
        <v>74</v>
      </c>
    </row>
    <row r="55754" spans="9:9" x14ac:dyDescent="0.2">
      <c r="I55754" s="137" t="s">
        <v>74</v>
      </c>
    </row>
    <row r="55755" spans="9:9" x14ac:dyDescent="0.2">
      <c r="I55755" s="137" t="s">
        <v>74</v>
      </c>
    </row>
    <row r="55756" spans="9:9" x14ac:dyDescent="0.2">
      <c r="I55756" s="137" t="s">
        <v>74</v>
      </c>
    </row>
    <row r="55757" spans="9:9" x14ac:dyDescent="0.2">
      <c r="I55757" s="137" t="s">
        <v>74</v>
      </c>
    </row>
    <row r="55758" spans="9:9" x14ac:dyDescent="0.2">
      <c r="I55758" s="137" t="s">
        <v>74</v>
      </c>
    </row>
    <row r="55759" spans="9:9" x14ac:dyDescent="0.2">
      <c r="I55759" s="137" t="s">
        <v>74</v>
      </c>
    </row>
    <row r="55760" spans="9:9" x14ac:dyDescent="0.2">
      <c r="I55760" s="137" t="s">
        <v>74</v>
      </c>
    </row>
    <row r="55761" spans="9:9" x14ac:dyDescent="0.2">
      <c r="I55761" s="137" t="s">
        <v>74</v>
      </c>
    </row>
    <row r="55762" spans="9:9" x14ac:dyDescent="0.2">
      <c r="I55762" s="137" t="s">
        <v>74</v>
      </c>
    </row>
    <row r="55763" spans="9:9" x14ac:dyDescent="0.2">
      <c r="I55763" s="137" t="s">
        <v>74</v>
      </c>
    </row>
    <row r="55764" spans="9:9" x14ac:dyDescent="0.2">
      <c r="I55764" s="137" t="s">
        <v>74</v>
      </c>
    </row>
    <row r="55765" spans="9:9" x14ac:dyDescent="0.2">
      <c r="I55765" s="137" t="s">
        <v>74</v>
      </c>
    </row>
    <row r="55766" spans="9:9" x14ac:dyDescent="0.2">
      <c r="I55766" s="137" t="s">
        <v>74</v>
      </c>
    </row>
    <row r="55767" spans="9:9" x14ac:dyDescent="0.2">
      <c r="I55767" s="137" t="s">
        <v>74</v>
      </c>
    </row>
    <row r="55768" spans="9:9" x14ac:dyDescent="0.2">
      <c r="I55768" s="137" t="s">
        <v>74</v>
      </c>
    </row>
    <row r="55769" spans="9:9" x14ac:dyDescent="0.2">
      <c r="I55769" s="137" t="s">
        <v>74</v>
      </c>
    </row>
    <row r="55770" spans="9:9" x14ac:dyDescent="0.2">
      <c r="I55770" s="137" t="s">
        <v>74</v>
      </c>
    </row>
    <row r="55771" spans="9:9" x14ac:dyDescent="0.2">
      <c r="I55771" s="137" t="s">
        <v>74</v>
      </c>
    </row>
    <row r="55772" spans="9:9" x14ac:dyDescent="0.2">
      <c r="I55772" s="137" t="s">
        <v>74</v>
      </c>
    </row>
    <row r="55773" spans="9:9" x14ac:dyDescent="0.2">
      <c r="I55773" s="137" t="s">
        <v>74</v>
      </c>
    </row>
    <row r="55774" spans="9:9" x14ac:dyDescent="0.2">
      <c r="I55774" s="137" t="s">
        <v>74</v>
      </c>
    </row>
    <row r="55775" spans="9:9" x14ac:dyDescent="0.2">
      <c r="I55775" s="137" t="s">
        <v>74</v>
      </c>
    </row>
    <row r="55776" spans="9:9" x14ac:dyDescent="0.2">
      <c r="I55776" s="137" t="s">
        <v>74</v>
      </c>
    </row>
    <row r="55777" spans="9:9" x14ac:dyDescent="0.2">
      <c r="I55777" s="137" t="s">
        <v>74</v>
      </c>
    </row>
    <row r="55778" spans="9:9" x14ac:dyDescent="0.2">
      <c r="I55778" s="137" t="s">
        <v>74</v>
      </c>
    </row>
    <row r="55779" spans="9:9" x14ac:dyDescent="0.2">
      <c r="I55779" s="137" t="s">
        <v>74</v>
      </c>
    </row>
    <row r="55780" spans="9:9" x14ac:dyDescent="0.2">
      <c r="I55780" s="137" t="s">
        <v>74</v>
      </c>
    </row>
    <row r="55781" spans="9:9" x14ac:dyDescent="0.2">
      <c r="I55781" s="137" t="s">
        <v>74</v>
      </c>
    </row>
    <row r="55782" spans="9:9" x14ac:dyDescent="0.2">
      <c r="I55782" s="137" t="s">
        <v>74</v>
      </c>
    </row>
    <row r="55783" spans="9:9" x14ac:dyDescent="0.2">
      <c r="I55783" s="137" t="s">
        <v>74</v>
      </c>
    </row>
    <row r="55784" spans="9:9" x14ac:dyDescent="0.2">
      <c r="I55784" s="137" t="s">
        <v>74</v>
      </c>
    </row>
    <row r="55785" spans="9:9" x14ac:dyDescent="0.2">
      <c r="I55785" s="137" t="s">
        <v>74</v>
      </c>
    </row>
    <row r="55786" spans="9:9" x14ac:dyDescent="0.2">
      <c r="I55786" s="137" t="s">
        <v>74</v>
      </c>
    </row>
    <row r="55787" spans="9:9" x14ac:dyDescent="0.2">
      <c r="I55787" s="137" t="s">
        <v>74</v>
      </c>
    </row>
    <row r="55788" spans="9:9" x14ac:dyDescent="0.2">
      <c r="I55788" s="137" t="s">
        <v>74</v>
      </c>
    </row>
    <row r="55789" spans="9:9" x14ac:dyDescent="0.2">
      <c r="I55789" s="137" t="s">
        <v>74</v>
      </c>
    </row>
    <row r="55790" spans="9:9" x14ac:dyDescent="0.2">
      <c r="I55790" s="137" t="s">
        <v>74</v>
      </c>
    </row>
    <row r="55791" spans="9:9" x14ac:dyDescent="0.2">
      <c r="I55791" s="137" t="s">
        <v>74</v>
      </c>
    </row>
    <row r="55792" spans="9:9" x14ac:dyDescent="0.2">
      <c r="I55792" s="137" t="s">
        <v>74</v>
      </c>
    </row>
    <row r="55793" spans="9:9" x14ac:dyDescent="0.2">
      <c r="I55793" s="137" t="s">
        <v>74</v>
      </c>
    </row>
    <row r="55794" spans="9:9" x14ac:dyDescent="0.2">
      <c r="I55794" s="137" t="s">
        <v>74</v>
      </c>
    </row>
    <row r="55795" spans="9:9" x14ac:dyDescent="0.2">
      <c r="I55795" s="137" t="s">
        <v>74</v>
      </c>
    </row>
    <row r="55796" spans="9:9" x14ac:dyDescent="0.2">
      <c r="I55796" s="137" t="s">
        <v>74</v>
      </c>
    </row>
    <row r="55797" spans="9:9" x14ac:dyDescent="0.2">
      <c r="I55797" s="137" t="s">
        <v>74</v>
      </c>
    </row>
    <row r="55798" spans="9:9" x14ac:dyDescent="0.2">
      <c r="I55798" s="137" t="s">
        <v>74</v>
      </c>
    </row>
    <row r="55799" spans="9:9" x14ac:dyDescent="0.2">
      <c r="I55799" s="137" t="s">
        <v>74</v>
      </c>
    </row>
    <row r="55800" spans="9:9" x14ac:dyDescent="0.2">
      <c r="I55800" s="137" t="s">
        <v>74</v>
      </c>
    </row>
    <row r="55801" spans="9:9" x14ac:dyDescent="0.2">
      <c r="I55801" s="137" t="s">
        <v>74</v>
      </c>
    </row>
    <row r="55802" spans="9:9" x14ac:dyDescent="0.2">
      <c r="I55802" s="137" t="s">
        <v>74</v>
      </c>
    </row>
    <row r="55803" spans="9:9" x14ac:dyDescent="0.2">
      <c r="I55803" s="137" t="s">
        <v>74</v>
      </c>
    </row>
    <row r="55804" spans="9:9" x14ac:dyDescent="0.2">
      <c r="I55804" s="137" t="s">
        <v>74</v>
      </c>
    </row>
    <row r="55805" spans="9:9" x14ac:dyDescent="0.2">
      <c r="I55805" s="137" t="s">
        <v>74</v>
      </c>
    </row>
    <row r="55806" spans="9:9" x14ac:dyDescent="0.2">
      <c r="I55806" s="137" t="s">
        <v>74</v>
      </c>
    </row>
    <row r="55807" spans="9:9" x14ac:dyDescent="0.2">
      <c r="I55807" s="137" t="s">
        <v>74</v>
      </c>
    </row>
    <row r="55808" spans="9:9" x14ac:dyDescent="0.2">
      <c r="I55808" s="137" t="s">
        <v>74</v>
      </c>
    </row>
    <row r="55809" spans="9:9" x14ac:dyDescent="0.2">
      <c r="I55809" s="137" t="s">
        <v>74</v>
      </c>
    </row>
    <row r="55810" spans="9:9" x14ac:dyDescent="0.2">
      <c r="I55810" s="137" t="s">
        <v>74</v>
      </c>
    </row>
    <row r="55811" spans="9:9" x14ac:dyDescent="0.2">
      <c r="I55811" s="137" t="s">
        <v>74</v>
      </c>
    </row>
    <row r="55812" spans="9:9" x14ac:dyDescent="0.2">
      <c r="I55812" s="137" t="s">
        <v>74</v>
      </c>
    </row>
    <row r="55813" spans="9:9" x14ac:dyDescent="0.2">
      <c r="I55813" s="137" t="s">
        <v>74</v>
      </c>
    </row>
    <row r="55814" spans="9:9" x14ac:dyDescent="0.2">
      <c r="I55814" s="137" t="s">
        <v>74</v>
      </c>
    </row>
    <row r="55815" spans="9:9" x14ac:dyDescent="0.2">
      <c r="I55815" s="137" t="s">
        <v>74</v>
      </c>
    </row>
    <row r="55816" spans="9:9" x14ac:dyDescent="0.2">
      <c r="I55816" s="137" t="s">
        <v>74</v>
      </c>
    </row>
    <row r="55817" spans="9:9" x14ac:dyDescent="0.2">
      <c r="I55817" s="137" t="s">
        <v>74</v>
      </c>
    </row>
    <row r="55818" spans="9:9" x14ac:dyDescent="0.2">
      <c r="I55818" s="137" t="s">
        <v>74</v>
      </c>
    </row>
    <row r="55819" spans="9:9" x14ac:dyDescent="0.2">
      <c r="I55819" s="137" t="s">
        <v>74</v>
      </c>
    </row>
    <row r="55820" spans="9:9" x14ac:dyDescent="0.2">
      <c r="I55820" s="137" t="s">
        <v>74</v>
      </c>
    </row>
    <row r="55821" spans="9:9" x14ac:dyDescent="0.2">
      <c r="I55821" s="137" t="s">
        <v>74</v>
      </c>
    </row>
    <row r="55822" spans="9:9" x14ac:dyDescent="0.2">
      <c r="I55822" s="137" t="s">
        <v>74</v>
      </c>
    </row>
    <row r="55823" spans="9:9" x14ac:dyDescent="0.2">
      <c r="I55823" s="137" t="s">
        <v>74</v>
      </c>
    </row>
    <row r="55824" spans="9:9" x14ac:dyDescent="0.2">
      <c r="I55824" s="137" t="s">
        <v>74</v>
      </c>
    </row>
    <row r="55825" spans="9:9" x14ac:dyDescent="0.2">
      <c r="I55825" s="137" t="s">
        <v>74</v>
      </c>
    </row>
    <row r="55826" spans="9:9" x14ac:dyDescent="0.2">
      <c r="I55826" s="137" t="s">
        <v>74</v>
      </c>
    </row>
    <row r="55827" spans="9:9" x14ac:dyDescent="0.2">
      <c r="I55827" s="137" t="s">
        <v>74</v>
      </c>
    </row>
    <row r="55828" spans="9:9" x14ac:dyDescent="0.2">
      <c r="I55828" s="137" t="s">
        <v>74</v>
      </c>
    </row>
    <row r="55829" spans="9:9" x14ac:dyDescent="0.2">
      <c r="I55829" s="137" t="s">
        <v>74</v>
      </c>
    </row>
    <row r="55830" spans="9:9" x14ac:dyDescent="0.2">
      <c r="I55830" s="137" t="s">
        <v>74</v>
      </c>
    </row>
    <row r="55831" spans="9:9" x14ac:dyDescent="0.2">
      <c r="I55831" s="137" t="s">
        <v>74</v>
      </c>
    </row>
    <row r="55832" spans="9:9" x14ac:dyDescent="0.2">
      <c r="I55832" s="137" t="s">
        <v>74</v>
      </c>
    </row>
    <row r="55833" spans="9:9" x14ac:dyDescent="0.2">
      <c r="I55833" s="137" t="s">
        <v>74</v>
      </c>
    </row>
    <row r="55834" spans="9:9" x14ac:dyDescent="0.2">
      <c r="I55834" s="137" t="s">
        <v>74</v>
      </c>
    </row>
    <row r="55835" spans="9:9" x14ac:dyDescent="0.2">
      <c r="I55835" s="137" t="s">
        <v>74</v>
      </c>
    </row>
    <row r="55836" spans="9:9" x14ac:dyDescent="0.2">
      <c r="I55836" s="137" t="s">
        <v>74</v>
      </c>
    </row>
    <row r="55837" spans="9:9" x14ac:dyDescent="0.2">
      <c r="I55837" s="137" t="s">
        <v>74</v>
      </c>
    </row>
    <row r="55838" spans="9:9" x14ac:dyDescent="0.2">
      <c r="I55838" s="137" t="s">
        <v>74</v>
      </c>
    </row>
    <row r="55839" spans="9:9" x14ac:dyDescent="0.2">
      <c r="I55839" s="137" t="s">
        <v>74</v>
      </c>
    </row>
    <row r="55840" spans="9:9" x14ac:dyDescent="0.2">
      <c r="I55840" s="137" t="s">
        <v>74</v>
      </c>
    </row>
    <row r="55841" spans="9:9" x14ac:dyDescent="0.2">
      <c r="I55841" s="137" t="s">
        <v>74</v>
      </c>
    </row>
    <row r="55842" spans="9:9" x14ac:dyDescent="0.2">
      <c r="I55842" s="137" t="s">
        <v>74</v>
      </c>
    </row>
    <row r="55843" spans="9:9" x14ac:dyDescent="0.2">
      <c r="I55843" s="137" t="s">
        <v>74</v>
      </c>
    </row>
    <row r="55844" spans="9:9" x14ac:dyDescent="0.2">
      <c r="I55844" s="137" t="s">
        <v>74</v>
      </c>
    </row>
    <row r="55845" spans="9:9" x14ac:dyDescent="0.2">
      <c r="I55845" s="137" t="s">
        <v>74</v>
      </c>
    </row>
    <row r="55846" spans="9:9" x14ac:dyDescent="0.2">
      <c r="I55846" s="137" t="s">
        <v>74</v>
      </c>
    </row>
    <row r="55847" spans="9:9" x14ac:dyDescent="0.2">
      <c r="I55847" s="137" t="s">
        <v>74</v>
      </c>
    </row>
    <row r="55848" spans="9:9" x14ac:dyDescent="0.2">
      <c r="I55848" s="137" t="s">
        <v>74</v>
      </c>
    </row>
    <row r="55849" spans="9:9" x14ac:dyDescent="0.2">
      <c r="I55849" s="137" t="s">
        <v>74</v>
      </c>
    </row>
    <row r="55850" spans="9:9" x14ac:dyDescent="0.2">
      <c r="I55850" s="137" t="s">
        <v>74</v>
      </c>
    </row>
    <row r="55851" spans="9:9" x14ac:dyDescent="0.2">
      <c r="I55851" s="137" t="s">
        <v>74</v>
      </c>
    </row>
    <row r="55852" spans="9:9" x14ac:dyDescent="0.2">
      <c r="I55852" s="137" t="s">
        <v>74</v>
      </c>
    </row>
    <row r="55853" spans="9:9" x14ac:dyDescent="0.2">
      <c r="I55853" s="137" t="s">
        <v>74</v>
      </c>
    </row>
    <row r="55854" spans="9:9" x14ac:dyDescent="0.2">
      <c r="I55854" s="137" t="s">
        <v>74</v>
      </c>
    </row>
    <row r="55855" spans="9:9" x14ac:dyDescent="0.2">
      <c r="I55855" s="137" t="s">
        <v>74</v>
      </c>
    </row>
    <row r="55856" spans="9:9" x14ac:dyDescent="0.2">
      <c r="I55856" s="137" t="s">
        <v>74</v>
      </c>
    </row>
    <row r="55857" spans="9:9" x14ac:dyDescent="0.2">
      <c r="I55857" s="137" t="s">
        <v>74</v>
      </c>
    </row>
    <row r="55858" spans="9:9" x14ac:dyDescent="0.2">
      <c r="I55858" s="137" t="s">
        <v>74</v>
      </c>
    </row>
    <row r="55859" spans="9:9" x14ac:dyDescent="0.2">
      <c r="I55859" s="137" t="s">
        <v>74</v>
      </c>
    </row>
    <row r="55860" spans="9:9" x14ac:dyDescent="0.2">
      <c r="I55860" s="137" t="s">
        <v>74</v>
      </c>
    </row>
    <row r="55861" spans="9:9" x14ac:dyDescent="0.2">
      <c r="I55861" s="137" t="s">
        <v>74</v>
      </c>
    </row>
    <row r="55862" spans="9:9" x14ac:dyDescent="0.2">
      <c r="I55862" s="137" t="s">
        <v>74</v>
      </c>
    </row>
    <row r="55863" spans="9:9" x14ac:dyDescent="0.2">
      <c r="I55863" s="137" t="s">
        <v>74</v>
      </c>
    </row>
    <row r="55864" spans="9:9" x14ac:dyDescent="0.2">
      <c r="I55864" s="137" t="s">
        <v>74</v>
      </c>
    </row>
    <row r="55865" spans="9:9" x14ac:dyDescent="0.2">
      <c r="I55865" s="137" t="s">
        <v>74</v>
      </c>
    </row>
    <row r="55866" spans="9:9" x14ac:dyDescent="0.2">
      <c r="I55866" s="137" t="s">
        <v>74</v>
      </c>
    </row>
    <row r="55867" spans="9:9" x14ac:dyDescent="0.2">
      <c r="I55867" s="137" t="s">
        <v>74</v>
      </c>
    </row>
    <row r="55868" spans="9:9" x14ac:dyDescent="0.2">
      <c r="I55868" s="137" t="s">
        <v>74</v>
      </c>
    </row>
    <row r="55869" spans="9:9" x14ac:dyDescent="0.2">
      <c r="I55869" s="137" t="s">
        <v>74</v>
      </c>
    </row>
    <row r="55870" spans="9:9" x14ac:dyDescent="0.2">
      <c r="I55870" s="137" t="s">
        <v>74</v>
      </c>
    </row>
    <row r="55871" spans="9:9" x14ac:dyDescent="0.2">
      <c r="I55871" s="137" t="s">
        <v>74</v>
      </c>
    </row>
    <row r="55872" spans="9:9" x14ac:dyDescent="0.2">
      <c r="I55872" s="137" t="s">
        <v>74</v>
      </c>
    </row>
    <row r="55873" spans="9:9" x14ac:dyDescent="0.2">
      <c r="I55873" s="137" t="s">
        <v>74</v>
      </c>
    </row>
    <row r="55874" spans="9:9" x14ac:dyDescent="0.2">
      <c r="I55874" s="137" t="s">
        <v>74</v>
      </c>
    </row>
    <row r="55875" spans="9:9" x14ac:dyDescent="0.2">
      <c r="I55875" s="137" t="s">
        <v>74</v>
      </c>
    </row>
    <row r="55876" spans="9:9" x14ac:dyDescent="0.2">
      <c r="I55876" s="137" t="s">
        <v>74</v>
      </c>
    </row>
    <row r="55877" spans="9:9" x14ac:dyDescent="0.2">
      <c r="I55877" s="137" t="s">
        <v>74</v>
      </c>
    </row>
    <row r="55878" spans="9:9" x14ac:dyDescent="0.2">
      <c r="I55878" s="137" t="s">
        <v>74</v>
      </c>
    </row>
    <row r="55879" spans="9:9" x14ac:dyDescent="0.2">
      <c r="I55879" s="137" t="s">
        <v>74</v>
      </c>
    </row>
    <row r="55880" spans="9:9" x14ac:dyDescent="0.2">
      <c r="I55880" s="137" t="s">
        <v>74</v>
      </c>
    </row>
    <row r="55881" spans="9:9" x14ac:dyDescent="0.2">
      <c r="I55881" s="137" t="s">
        <v>74</v>
      </c>
    </row>
    <row r="55882" spans="9:9" x14ac:dyDescent="0.2">
      <c r="I55882" s="137" t="s">
        <v>74</v>
      </c>
    </row>
    <row r="55883" spans="9:9" x14ac:dyDescent="0.2">
      <c r="I55883" s="137" t="s">
        <v>74</v>
      </c>
    </row>
    <row r="55884" spans="9:9" x14ac:dyDescent="0.2">
      <c r="I55884" s="137" t="s">
        <v>74</v>
      </c>
    </row>
    <row r="55885" spans="9:9" x14ac:dyDescent="0.2">
      <c r="I55885" s="137" t="s">
        <v>74</v>
      </c>
    </row>
    <row r="55886" spans="9:9" x14ac:dyDescent="0.2">
      <c r="I55886" s="137" t="s">
        <v>74</v>
      </c>
    </row>
    <row r="55887" spans="9:9" x14ac:dyDescent="0.2">
      <c r="I55887" s="137" t="s">
        <v>74</v>
      </c>
    </row>
    <row r="55888" spans="9:9" x14ac:dyDescent="0.2">
      <c r="I55888" s="137" t="s">
        <v>74</v>
      </c>
    </row>
    <row r="55889" spans="9:9" x14ac:dyDescent="0.2">
      <c r="I55889" s="137" t="s">
        <v>74</v>
      </c>
    </row>
    <row r="55890" spans="9:9" x14ac:dyDescent="0.2">
      <c r="I55890" s="137" t="s">
        <v>74</v>
      </c>
    </row>
    <row r="55891" spans="9:9" x14ac:dyDescent="0.2">
      <c r="I55891" s="137" t="s">
        <v>74</v>
      </c>
    </row>
    <row r="55892" spans="9:9" x14ac:dyDescent="0.2">
      <c r="I55892" s="137" t="s">
        <v>74</v>
      </c>
    </row>
    <row r="55893" spans="9:9" x14ac:dyDescent="0.2">
      <c r="I55893" s="137" t="s">
        <v>74</v>
      </c>
    </row>
    <row r="55894" spans="9:9" x14ac:dyDescent="0.2">
      <c r="I55894" s="137" t="s">
        <v>74</v>
      </c>
    </row>
    <row r="55895" spans="9:9" x14ac:dyDescent="0.2">
      <c r="I55895" s="137" t="s">
        <v>74</v>
      </c>
    </row>
    <row r="55896" spans="9:9" x14ac:dyDescent="0.2">
      <c r="I55896" s="137" t="s">
        <v>74</v>
      </c>
    </row>
    <row r="55897" spans="9:9" x14ac:dyDescent="0.2">
      <c r="I55897" s="137" t="s">
        <v>74</v>
      </c>
    </row>
    <row r="55898" spans="9:9" x14ac:dyDescent="0.2">
      <c r="I55898" s="137" t="s">
        <v>74</v>
      </c>
    </row>
    <row r="55899" spans="9:9" x14ac:dyDescent="0.2">
      <c r="I55899" s="137" t="s">
        <v>74</v>
      </c>
    </row>
    <row r="55900" spans="9:9" x14ac:dyDescent="0.2">
      <c r="I55900" s="137" t="s">
        <v>74</v>
      </c>
    </row>
    <row r="55901" spans="9:9" x14ac:dyDescent="0.2">
      <c r="I55901" s="137" t="s">
        <v>74</v>
      </c>
    </row>
    <row r="55902" spans="9:9" x14ac:dyDescent="0.2">
      <c r="I55902" s="137" t="s">
        <v>74</v>
      </c>
    </row>
    <row r="55903" spans="9:9" x14ac:dyDescent="0.2">
      <c r="I55903" s="137" t="s">
        <v>74</v>
      </c>
    </row>
    <row r="55904" spans="9:9" x14ac:dyDescent="0.2">
      <c r="I55904" s="137" t="s">
        <v>74</v>
      </c>
    </row>
    <row r="55905" spans="9:9" x14ac:dyDescent="0.2">
      <c r="I55905" s="137" t="s">
        <v>74</v>
      </c>
    </row>
    <row r="55906" spans="9:9" x14ac:dyDescent="0.2">
      <c r="I55906" s="137" t="s">
        <v>74</v>
      </c>
    </row>
    <row r="55907" spans="9:9" x14ac:dyDescent="0.2">
      <c r="I55907" s="137" t="s">
        <v>74</v>
      </c>
    </row>
    <row r="55908" spans="9:9" x14ac:dyDescent="0.2">
      <c r="I55908" s="137" t="s">
        <v>74</v>
      </c>
    </row>
    <row r="55909" spans="9:9" x14ac:dyDescent="0.2">
      <c r="I55909" s="137" t="s">
        <v>74</v>
      </c>
    </row>
    <row r="55910" spans="9:9" x14ac:dyDescent="0.2">
      <c r="I55910" s="137" t="s">
        <v>74</v>
      </c>
    </row>
    <row r="55911" spans="9:9" x14ac:dyDescent="0.2">
      <c r="I55911" s="137" t="s">
        <v>74</v>
      </c>
    </row>
    <row r="55912" spans="9:9" x14ac:dyDescent="0.2">
      <c r="I55912" s="137" t="s">
        <v>74</v>
      </c>
    </row>
    <row r="55913" spans="9:9" x14ac:dyDescent="0.2">
      <c r="I55913" s="137" t="s">
        <v>74</v>
      </c>
    </row>
    <row r="55914" spans="9:9" x14ac:dyDescent="0.2">
      <c r="I55914" s="137" t="s">
        <v>74</v>
      </c>
    </row>
    <row r="55915" spans="9:9" x14ac:dyDescent="0.2">
      <c r="I55915" s="137" t="s">
        <v>74</v>
      </c>
    </row>
    <row r="55916" spans="9:9" x14ac:dyDescent="0.2">
      <c r="I55916" s="137" t="s">
        <v>74</v>
      </c>
    </row>
    <row r="55917" spans="9:9" x14ac:dyDescent="0.2">
      <c r="I55917" s="137" t="s">
        <v>74</v>
      </c>
    </row>
    <row r="55918" spans="9:9" x14ac:dyDescent="0.2">
      <c r="I55918" s="137" t="s">
        <v>74</v>
      </c>
    </row>
    <row r="55919" spans="9:9" x14ac:dyDescent="0.2">
      <c r="I55919" s="137" t="s">
        <v>74</v>
      </c>
    </row>
    <row r="55920" spans="9:9" x14ac:dyDescent="0.2">
      <c r="I55920" s="137" t="s">
        <v>74</v>
      </c>
    </row>
    <row r="55921" spans="9:9" x14ac:dyDescent="0.2">
      <c r="I55921" s="137" t="s">
        <v>74</v>
      </c>
    </row>
    <row r="55922" spans="9:9" x14ac:dyDescent="0.2">
      <c r="I55922" s="137" t="s">
        <v>74</v>
      </c>
    </row>
    <row r="55923" spans="9:9" x14ac:dyDescent="0.2">
      <c r="I55923" s="137" t="s">
        <v>74</v>
      </c>
    </row>
    <row r="55924" spans="9:9" x14ac:dyDescent="0.2">
      <c r="I55924" s="137" t="s">
        <v>74</v>
      </c>
    </row>
    <row r="55925" spans="9:9" x14ac:dyDescent="0.2">
      <c r="I55925" s="137" t="s">
        <v>74</v>
      </c>
    </row>
    <row r="55926" spans="9:9" x14ac:dyDescent="0.2">
      <c r="I55926" s="137" t="s">
        <v>74</v>
      </c>
    </row>
    <row r="55927" spans="9:9" x14ac:dyDescent="0.2">
      <c r="I55927" s="137" t="s">
        <v>74</v>
      </c>
    </row>
    <row r="55928" spans="9:9" x14ac:dyDescent="0.2">
      <c r="I55928" s="137" t="s">
        <v>74</v>
      </c>
    </row>
    <row r="55929" spans="9:9" x14ac:dyDescent="0.2">
      <c r="I55929" s="137" t="s">
        <v>74</v>
      </c>
    </row>
    <row r="55930" spans="9:9" x14ac:dyDescent="0.2">
      <c r="I55930" s="137" t="s">
        <v>74</v>
      </c>
    </row>
    <row r="55931" spans="9:9" x14ac:dyDescent="0.2">
      <c r="I55931" s="137" t="s">
        <v>74</v>
      </c>
    </row>
    <row r="55932" spans="9:9" x14ac:dyDescent="0.2">
      <c r="I55932" s="137" t="s">
        <v>74</v>
      </c>
    </row>
    <row r="55933" spans="9:9" x14ac:dyDescent="0.2">
      <c r="I55933" s="137" t="s">
        <v>74</v>
      </c>
    </row>
    <row r="55934" spans="9:9" x14ac:dyDescent="0.2">
      <c r="I55934" s="137" t="s">
        <v>74</v>
      </c>
    </row>
    <row r="55935" spans="9:9" x14ac:dyDescent="0.2">
      <c r="I55935" s="137" t="s">
        <v>74</v>
      </c>
    </row>
    <row r="55936" spans="9:9" x14ac:dyDescent="0.2">
      <c r="I55936" s="137" t="s">
        <v>74</v>
      </c>
    </row>
    <row r="55937" spans="9:9" x14ac:dyDescent="0.2">
      <c r="I55937" s="137" t="s">
        <v>74</v>
      </c>
    </row>
    <row r="55938" spans="9:9" x14ac:dyDescent="0.2">
      <c r="I55938" s="137" t="s">
        <v>74</v>
      </c>
    </row>
    <row r="55939" spans="9:9" x14ac:dyDescent="0.2">
      <c r="I55939" s="137" t="s">
        <v>74</v>
      </c>
    </row>
    <row r="55940" spans="9:9" x14ac:dyDescent="0.2">
      <c r="I55940" s="137" t="s">
        <v>74</v>
      </c>
    </row>
    <row r="55941" spans="9:9" x14ac:dyDescent="0.2">
      <c r="I55941" s="137" t="s">
        <v>74</v>
      </c>
    </row>
    <row r="55942" spans="9:9" x14ac:dyDescent="0.2">
      <c r="I55942" s="137" t="s">
        <v>74</v>
      </c>
    </row>
    <row r="55943" spans="9:9" x14ac:dyDescent="0.2">
      <c r="I55943" s="137" t="s">
        <v>74</v>
      </c>
    </row>
    <row r="55944" spans="9:9" x14ac:dyDescent="0.2">
      <c r="I55944" s="137" t="s">
        <v>74</v>
      </c>
    </row>
    <row r="55945" spans="9:9" x14ac:dyDescent="0.2">
      <c r="I55945" s="137" t="s">
        <v>74</v>
      </c>
    </row>
    <row r="55946" spans="9:9" x14ac:dyDescent="0.2">
      <c r="I55946" s="137" t="s">
        <v>74</v>
      </c>
    </row>
    <row r="55947" spans="9:9" x14ac:dyDescent="0.2">
      <c r="I55947" s="137" t="s">
        <v>74</v>
      </c>
    </row>
    <row r="55948" spans="9:9" x14ac:dyDescent="0.2">
      <c r="I55948" s="137" t="s">
        <v>74</v>
      </c>
    </row>
    <row r="55949" spans="9:9" x14ac:dyDescent="0.2">
      <c r="I55949" s="137" t="s">
        <v>74</v>
      </c>
    </row>
    <row r="55950" spans="9:9" x14ac:dyDescent="0.2">
      <c r="I55950" s="137" t="s">
        <v>74</v>
      </c>
    </row>
    <row r="55951" spans="9:9" x14ac:dyDescent="0.2">
      <c r="I55951" s="137" t="s">
        <v>74</v>
      </c>
    </row>
    <row r="55952" spans="9:9" x14ac:dyDescent="0.2">
      <c r="I55952" s="137" t="s">
        <v>74</v>
      </c>
    </row>
    <row r="55953" spans="9:9" x14ac:dyDescent="0.2">
      <c r="I55953" s="137" t="s">
        <v>74</v>
      </c>
    </row>
    <row r="55954" spans="9:9" x14ac:dyDescent="0.2">
      <c r="I55954" s="137" t="s">
        <v>74</v>
      </c>
    </row>
    <row r="55955" spans="9:9" x14ac:dyDescent="0.2">
      <c r="I55955" s="137" t="s">
        <v>74</v>
      </c>
    </row>
    <row r="55956" spans="9:9" x14ac:dyDescent="0.2">
      <c r="I55956" s="137" t="s">
        <v>74</v>
      </c>
    </row>
    <row r="55957" spans="9:9" x14ac:dyDescent="0.2">
      <c r="I55957" s="137" t="s">
        <v>74</v>
      </c>
    </row>
    <row r="55958" spans="9:9" x14ac:dyDescent="0.2">
      <c r="I55958" s="137" t="s">
        <v>74</v>
      </c>
    </row>
    <row r="55959" spans="9:9" x14ac:dyDescent="0.2">
      <c r="I55959" s="137" t="s">
        <v>74</v>
      </c>
    </row>
    <row r="55960" spans="9:9" x14ac:dyDescent="0.2">
      <c r="I55960" s="137" t="s">
        <v>74</v>
      </c>
    </row>
    <row r="55961" spans="9:9" x14ac:dyDescent="0.2">
      <c r="I55961" s="137" t="s">
        <v>74</v>
      </c>
    </row>
    <row r="55962" spans="9:9" x14ac:dyDescent="0.2">
      <c r="I55962" s="137" t="s">
        <v>74</v>
      </c>
    </row>
    <row r="55963" spans="9:9" x14ac:dyDescent="0.2">
      <c r="I55963" s="137" t="s">
        <v>74</v>
      </c>
    </row>
    <row r="55964" spans="9:9" x14ac:dyDescent="0.2">
      <c r="I55964" s="137" t="s">
        <v>74</v>
      </c>
    </row>
    <row r="55965" spans="9:9" x14ac:dyDescent="0.2">
      <c r="I55965" s="137" t="s">
        <v>74</v>
      </c>
    </row>
    <row r="55966" spans="9:9" x14ac:dyDescent="0.2">
      <c r="I55966" s="137" t="s">
        <v>74</v>
      </c>
    </row>
    <row r="55967" spans="9:9" x14ac:dyDescent="0.2">
      <c r="I55967" s="137" t="s">
        <v>74</v>
      </c>
    </row>
    <row r="55968" spans="9:9" x14ac:dyDescent="0.2">
      <c r="I55968" s="137" t="s">
        <v>74</v>
      </c>
    </row>
    <row r="55969" spans="9:9" x14ac:dyDescent="0.2">
      <c r="I55969" s="137" t="s">
        <v>74</v>
      </c>
    </row>
    <row r="55970" spans="9:9" x14ac:dyDescent="0.2">
      <c r="I55970" s="137" t="s">
        <v>74</v>
      </c>
    </row>
    <row r="55971" spans="9:9" x14ac:dyDescent="0.2">
      <c r="I55971" s="137" t="s">
        <v>74</v>
      </c>
    </row>
    <row r="55972" spans="9:9" x14ac:dyDescent="0.2">
      <c r="I55972" s="137" t="s">
        <v>74</v>
      </c>
    </row>
    <row r="55973" spans="9:9" x14ac:dyDescent="0.2">
      <c r="I55973" s="137" t="s">
        <v>74</v>
      </c>
    </row>
    <row r="55974" spans="9:9" x14ac:dyDescent="0.2">
      <c r="I55974" s="137" t="s">
        <v>74</v>
      </c>
    </row>
    <row r="55975" spans="9:9" x14ac:dyDescent="0.2">
      <c r="I55975" s="137" t="s">
        <v>74</v>
      </c>
    </row>
    <row r="55976" spans="9:9" x14ac:dyDescent="0.2">
      <c r="I55976" s="137" t="s">
        <v>74</v>
      </c>
    </row>
    <row r="55977" spans="9:9" x14ac:dyDescent="0.2">
      <c r="I55977" s="137" t="s">
        <v>74</v>
      </c>
    </row>
    <row r="55978" spans="9:9" x14ac:dyDescent="0.2">
      <c r="I55978" s="137" t="s">
        <v>74</v>
      </c>
    </row>
    <row r="55979" spans="9:9" x14ac:dyDescent="0.2">
      <c r="I55979" s="137" t="s">
        <v>74</v>
      </c>
    </row>
    <row r="55980" spans="9:9" x14ac:dyDescent="0.2">
      <c r="I55980" s="137" t="s">
        <v>74</v>
      </c>
    </row>
    <row r="55981" spans="9:9" x14ac:dyDescent="0.2">
      <c r="I55981" s="137" t="s">
        <v>74</v>
      </c>
    </row>
    <row r="55982" spans="9:9" x14ac:dyDescent="0.2">
      <c r="I55982" s="137" t="s">
        <v>74</v>
      </c>
    </row>
    <row r="55983" spans="9:9" x14ac:dyDescent="0.2">
      <c r="I55983" s="137" t="s">
        <v>74</v>
      </c>
    </row>
    <row r="55984" spans="9:9" x14ac:dyDescent="0.2">
      <c r="I55984" s="137" t="s">
        <v>74</v>
      </c>
    </row>
    <row r="55985" spans="9:9" x14ac:dyDescent="0.2">
      <c r="I55985" s="137" t="s">
        <v>74</v>
      </c>
    </row>
    <row r="55986" spans="9:9" x14ac:dyDescent="0.2">
      <c r="I55986" s="137" t="s">
        <v>74</v>
      </c>
    </row>
    <row r="55987" spans="9:9" x14ac:dyDescent="0.2">
      <c r="I55987" s="137" t="s">
        <v>74</v>
      </c>
    </row>
    <row r="55988" spans="9:9" x14ac:dyDescent="0.2">
      <c r="I55988" s="137" t="s">
        <v>74</v>
      </c>
    </row>
    <row r="55989" spans="9:9" x14ac:dyDescent="0.2">
      <c r="I55989" s="137" t="s">
        <v>74</v>
      </c>
    </row>
    <row r="55990" spans="9:9" x14ac:dyDescent="0.2">
      <c r="I55990" s="137" t="s">
        <v>74</v>
      </c>
    </row>
    <row r="55991" spans="9:9" x14ac:dyDescent="0.2">
      <c r="I55991" s="137" t="s">
        <v>74</v>
      </c>
    </row>
    <row r="55992" spans="9:9" x14ac:dyDescent="0.2">
      <c r="I55992" s="137" t="s">
        <v>74</v>
      </c>
    </row>
    <row r="55993" spans="9:9" x14ac:dyDescent="0.2">
      <c r="I55993" s="137" t="s">
        <v>74</v>
      </c>
    </row>
    <row r="55994" spans="9:9" x14ac:dyDescent="0.2">
      <c r="I55994" s="137" t="s">
        <v>74</v>
      </c>
    </row>
    <row r="55995" spans="9:9" x14ac:dyDescent="0.2">
      <c r="I55995" s="137" t="s">
        <v>74</v>
      </c>
    </row>
    <row r="55996" spans="9:9" x14ac:dyDescent="0.2">
      <c r="I55996" s="137" t="s">
        <v>74</v>
      </c>
    </row>
    <row r="55997" spans="9:9" x14ac:dyDescent="0.2">
      <c r="I55997" s="137" t="s">
        <v>74</v>
      </c>
    </row>
    <row r="55998" spans="9:9" x14ac:dyDescent="0.2">
      <c r="I55998" s="137" t="s">
        <v>74</v>
      </c>
    </row>
    <row r="55999" spans="9:9" x14ac:dyDescent="0.2">
      <c r="I55999" s="137" t="s">
        <v>74</v>
      </c>
    </row>
    <row r="56000" spans="9:9" x14ac:dyDescent="0.2">
      <c r="I56000" s="137" t="s">
        <v>74</v>
      </c>
    </row>
    <row r="56001" spans="9:9" x14ac:dyDescent="0.2">
      <c r="I56001" s="137" t="s">
        <v>74</v>
      </c>
    </row>
    <row r="56002" spans="9:9" x14ac:dyDescent="0.2">
      <c r="I56002" s="137" t="s">
        <v>74</v>
      </c>
    </row>
    <row r="56003" spans="9:9" x14ac:dyDescent="0.2">
      <c r="I56003" s="137" t="s">
        <v>74</v>
      </c>
    </row>
    <row r="56004" spans="9:9" x14ac:dyDescent="0.2">
      <c r="I56004" s="137" t="s">
        <v>74</v>
      </c>
    </row>
    <row r="56005" spans="9:9" x14ac:dyDescent="0.2">
      <c r="I56005" s="137" t="s">
        <v>74</v>
      </c>
    </row>
    <row r="56006" spans="9:9" x14ac:dyDescent="0.2">
      <c r="I56006" s="137" t="s">
        <v>74</v>
      </c>
    </row>
    <row r="56007" spans="9:9" x14ac:dyDescent="0.2">
      <c r="I56007" s="137" t="s">
        <v>74</v>
      </c>
    </row>
    <row r="56008" spans="9:9" x14ac:dyDescent="0.2">
      <c r="I56008" s="137" t="s">
        <v>74</v>
      </c>
    </row>
    <row r="56009" spans="9:9" x14ac:dyDescent="0.2">
      <c r="I56009" s="137" t="s">
        <v>74</v>
      </c>
    </row>
    <row r="56010" spans="9:9" x14ac:dyDescent="0.2">
      <c r="I56010" s="137" t="s">
        <v>74</v>
      </c>
    </row>
    <row r="56011" spans="9:9" x14ac:dyDescent="0.2">
      <c r="I56011" s="137" t="s">
        <v>74</v>
      </c>
    </row>
    <row r="56012" spans="9:9" x14ac:dyDescent="0.2">
      <c r="I56012" s="137" t="s">
        <v>74</v>
      </c>
    </row>
    <row r="56013" spans="9:9" x14ac:dyDescent="0.2">
      <c r="I56013" s="137" t="s">
        <v>74</v>
      </c>
    </row>
    <row r="56014" spans="9:9" x14ac:dyDescent="0.2">
      <c r="I56014" s="137" t="s">
        <v>74</v>
      </c>
    </row>
    <row r="56015" spans="9:9" x14ac:dyDescent="0.2">
      <c r="I56015" s="137" t="s">
        <v>74</v>
      </c>
    </row>
    <row r="56016" spans="9:9" x14ac:dyDescent="0.2">
      <c r="I56016" s="137" t="s">
        <v>74</v>
      </c>
    </row>
    <row r="56017" spans="9:9" x14ac:dyDescent="0.2">
      <c r="I56017" s="137" t="s">
        <v>74</v>
      </c>
    </row>
    <row r="56018" spans="9:9" x14ac:dyDescent="0.2">
      <c r="I56018" s="137" t="s">
        <v>74</v>
      </c>
    </row>
    <row r="56019" spans="9:9" x14ac:dyDescent="0.2">
      <c r="I56019" s="137" t="s">
        <v>74</v>
      </c>
    </row>
    <row r="56020" spans="9:9" x14ac:dyDescent="0.2">
      <c r="I56020" s="137" t="s">
        <v>74</v>
      </c>
    </row>
    <row r="56021" spans="9:9" x14ac:dyDescent="0.2">
      <c r="I56021" s="137" t="s">
        <v>74</v>
      </c>
    </row>
    <row r="56022" spans="9:9" x14ac:dyDescent="0.2">
      <c r="I56022" s="137" t="s">
        <v>74</v>
      </c>
    </row>
    <row r="56023" spans="9:9" x14ac:dyDescent="0.2">
      <c r="I56023" s="137" t="s">
        <v>74</v>
      </c>
    </row>
    <row r="56024" spans="9:9" x14ac:dyDescent="0.2">
      <c r="I56024" s="137" t="s">
        <v>74</v>
      </c>
    </row>
    <row r="56025" spans="9:9" x14ac:dyDescent="0.2">
      <c r="I56025" s="137" t="s">
        <v>74</v>
      </c>
    </row>
    <row r="56026" spans="9:9" x14ac:dyDescent="0.2">
      <c r="I56026" s="137" t="s">
        <v>74</v>
      </c>
    </row>
    <row r="56027" spans="9:9" x14ac:dyDescent="0.2">
      <c r="I56027" s="137" t="s">
        <v>74</v>
      </c>
    </row>
    <row r="56028" spans="9:9" x14ac:dyDescent="0.2">
      <c r="I56028" s="137" t="s">
        <v>74</v>
      </c>
    </row>
    <row r="56029" spans="9:9" x14ac:dyDescent="0.2">
      <c r="I56029" s="137" t="s">
        <v>74</v>
      </c>
    </row>
    <row r="56030" spans="9:9" x14ac:dyDescent="0.2">
      <c r="I56030" s="137" t="s">
        <v>74</v>
      </c>
    </row>
    <row r="56031" spans="9:9" x14ac:dyDescent="0.2">
      <c r="I56031" s="137" t="s">
        <v>74</v>
      </c>
    </row>
    <row r="56032" spans="9:9" x14ac:dyDescent="0.2">
      <c r="I56032" s="137" t="s">
        <v>74</v>
      </c>
    </row>
    <row r="56033" spans="9:9" x14ac:dyDescent="0.2">
      <c r="I56033" s="137" t="s">
        <v>74</v>
      </c>
    </row>
    <row r="56034" spans="9:9" x14ac:dyDescent="0.2">
      <c r="I56034" s="137" t="s">
        <v>74</v>
      </c>
    </row>
    <row r="56035" spans="9:9" x14ac:dyDescent="0.2">
      <c r="I56035" s="137" t="s">
        <v>74</v>
      </c>
    </row>
    <row r="56036" spans="9:9" x14ac:dyDescent="0.2">
      <c r="I56036" s="137" t="s">
        <v>74</v>
      </c>
    </row>
    <row r="56037" spans="9:9" x14ac:dyDescent="0.2">
      <c r="I56037" s="137" t="s">
        <v>74</v>
      </c>
    </row>
    <row r="56038" spans="9:9" x14ac:dyDescent="0.2">
      <c r="I56038" s="137" t="s">
        <v>74</v>
      </c>
    </row>
    <row r="56039" spans="9:9" x14ac:dyDescent="0.2">
      <c r="I56039" s="137" t="s">
        <v>74</v>
      </c>
    </row>
    <row r="56040" spans="9:9" x14ac:dyDescent="0.2">
      <c r="I56040" s="137" t="s">
        <v>74</v>
      </c>
    </row>
    <row r="56041" spans="9:9" x14ac:dyDescent="0.2">
      <c r="I56041" s="137" t="s">
        <v>74</v>
      </c>
    </row>
    <row r="56042" spans="9:9" x14ac:dyDescent="0.2">
      <c r="I56042" s="137" t="s">
        <v>74</v>
      </c>
    </row>
    <row r="56043" spans="9:9" x14ac:dyDescent="0.2">
      <c r="I56043" s="137" t="s">
        <v>74</v>
      </c>
    </row>
    <row r="56044" spans="9:9" x14ac:dyDescent="0.2">
      <c r="I56044" s="137" t="s">
        <v>74</v>
      </c>
    </row>
    <row r="56045" spans="9:9" x14ac:dyDescent="0.2">
      <c r="I56045" s="137" t="s">
        <v>74</v>
      </c>
    </row>
    <row r="56046" spans="9:9" x14ac:dyDescent="0.2">
      <c r="I56046" s="137" t="s">
        <v>74</v>
      </c>
    </row>
    <row r="56047" spans="9:9" x14ac:dyDescent="0.2">
      <c r="I56047" s="137" t="s">
        <v>74</v>
      </c>
    </row>
    <row r="56048" spans="9:9" x14ac:dyDescent="0.2">
      <c r="I56048" s="137" t="s">
        <v>74</v>
      </c>
    </row>
    <row r="56049" spans="9:9" x14ac:dyDescent="0.2">
      <c r="I56049" s="137" t="s">
        <v>74</v>
      </c>
    </row>
    <row r="56050" spans="9:9" x14ac:dyDescent="0.2">
      <c r="I56050" s="137" t="s">
        <v>74</v>
      </c>
    </row>
    <row r="56051" spans="9:9" x14ac:dyDescent="0.2">
      <c r="I56051" s="137" t="s">
        <v>74</v>
      </c>
    </row>
    <row r="56052" spans="9:9" x14ac:dyDescent="0.2">
      <c r="I56052" s="137" t="s">
        <v>74</v>
      </c>
    </row>
    <row r="56053" spans="9:9" x14ac:dyDescent="0.2">
      <c r="I56053" s="137" t="s">
        <v>74</v>
      </c>
    </row>
    <row r="56054" spans="9:9" x14ac:dyDescent="0.2">
      <c r="I56054" s="137" t="s">
        <v>74</v>
      </c>
    </row>
    <row r="56055" spans="9:9" x14ac:dyDescent="0.2">
      <c r="I56055" s="137" t="s">
        <v>74</v>
      </c>
    </row>
    <row r="56056" spans="9:9" x14ac:dyDescent="0.2">
      <c r="I56056" s="137" t="s">
        <v>74</v>
      </c>
    </row>
    <row r="56057" spans="9:9" x14ac:dyDescent="0.2">
      <c r="I56057" s="137" t="s">
        <v>74</v>
      </c>
    </row>
    <row r="56058" spans="9:9" x14ac:dyDescent="0.2">
      <c r="I56058" s="137" t="s">
        <v>74</v>
      </c>
    </row>
    <row r="56059" spans="9:9" x14ac:dyDescent="0.2">
      <c r="I56059" s="137" t="s">
        <v>74</v>
      </c>
    </row>
    <row r="56060" spans="9:9" x14ac:dyDescent="0.2">
      <c r="I56060" s="137" t="s">
        <v>74</v>
      </c>
    </row>
    <row r="56061" spans="9:9" x14ac:dyDescent="0.2">
      <c r="I56061" s="137" t="s">
        <v>74</v>
      </c>
    </row>
    <row r="56062" spans="9:9" x14ac:dyDescent="0.2">
      <c r="I56062" s="137" t="s">
        <v>74</v>
      </c>
    </row>
    <row r="56063" spans="9:9" x14ac:dyDescent="0.2">
      <c r="I56063" s="137" t="s">
        <v>74</v>
      </c>
    </row>
    <row r="56064" spans="9:9" x14ac:dyDescent="0.2">
      <c r="I56064" s="137" t="s">
        <v>74</v>
      </c>
    </row>
    <row r="56065" spans="9:9" x14ac:dyDescent="0.2">
      <c r="I56065" s="137" t="s">
        <v>74</v>
      </c>
    </row>
    <row r="56066" spans="9:9" x14ac:dyDescent="0.2">
      <c r="I56066" s="137" t="s">
        <v>74</v>
      </c>
    </row>
    <row r="56067" spans="9:9" x14ac:dyDescent="0.2">
      <c r="I56067" s="137" t="s">
        <v>74</v>
      </c>
    </row>
    <row r="56068" spans="9:9" x14ac:dyDescent="0.2">
      <c r="I56068" s="137" t="s">
        <v>74</v>
      </c>
    </row>
    <row r="56069" spans="9:9" x14ac:dyDescent="0.2">
      <c r="I56069" s="137" t="s">
        <v>74</v>
      </c>
    </row>
    <row r="56070" spans="9:9" x14ac:dyDescent="0.2">
      <c r="I56070" s="137" t="s">
        <v>74</v>
      </c>
    </row>
    <row r="56071" spans="9:9" x14ac:dyDescent="0.2">
      <c r="I56071" s="137" t="s">
        <v>74</v>
      </c>
    </row>
    <row r="56072" spans="9:9" x14ac:dyDescent="0.2">
      <c r="I56072" s="137" t="s">
        <v>74</v>
      </c>
    </row>
    <row r="56073" spans="9:9" x14ac:dyDescent="0.2">
      <c r="I56073" s="137" t="s">
        <v>74</v>
      </c>
    </row>
    <row r="56074" spans="9:9" x14ac:dyDescent="0.2">
      <c r="I56074" s="137" t="s">
        <v>74</v>
      </c>
    </row>
    <row r="56075" spans="9:9" x14ac:dyDescent="0.2">
      <c r="I56075" s="137" t="s">
        <v>74</v>
      </c>
    </row>
    <row r="56076" spans="9:9" x14ac:dyDescent="0.2">
      <c r="I56076" s="137" t="s">
        <v>74</v>
      </c>
    </row>
    <row r="56077" spans="9:9" x14ac:dyDescent="0.2">
      <c r="I56077" s="137" t="s">
        <v>74</v>
      </c>
    </row>
    <row r="56078" spans="9:9" x14ac:dyDescent="0.2">
      <c r="I56078" s="137" t="s">
        <v>74</v>
      </c>
    </row>
    <row r="56079" spans="9:9" x14ac:dyDescent="0.2">
      <c r="I56079" s="137" t="s">
        <v>74</v>
      </c>
    </row>
    <row r="56080" spans="9:9" x14ac:dyDescent="0.2">
      <c r="I56080" s="137" t="s">
        <v>74</v>
      </c>
    </row>
    <row r="56081" spans="9:9" x14ac:dyDescent="0.2">
      <c r="I56081" s="137" t="s">
        <v>74</v>
      </c>
    </row>
    <row r="56082" spans="9:9" x14ac:dyDescent="0.2">
      <c r="I56082" s="137" t="s">
        <v>74</v>
      </c>
    </row>
    <row r="56083" spans="9:9" x14ac:dyDescent="0.2">
      <c r="I56083" s="137" t="s">
        <v>74</v>
      </c>
    </row>
    <row r="56084" spans="9:9" x14ac:dyDescent="0.2">
      <c r="I56084" s="137" t="s">
        <v>74</v>
      </c>
    </row>
    <row r="56085" spans="9:9" x14ac:dyDescent="0.2">
      <c r="I56085" s="137" t="s">
        <v>74</v>
      </c>
    </row>
    <row r="56086" spans="9:9" x14ac:dyDescent="0.2">
      <c r="I56086" s="137" t="s">
        <v>74</v>
      </c>
    </row>
    <row r="56087" spans="9:9" x14ac:dyDescent="0.2">
      <c r="I56087" s="137" t="s">
        <v>74</v>
      </c>
    </row>
    <row r="56088" spans="9:9" x14ac:dyDescent="0.2">
      <c r="I56088" s="137" t="s">
        <v>74</v>
      </c>
    </row>
    <row r="56089" spans="9:9" x14ac:dyDescent="0.2">
      <c r="I56089" s="137" t="s">
        <v>74</v>
      </c>
    </row>
    <row r="56090" spans="9:9" x14ac:dyDescent="0.2">
      <c r="I56090" s="137" t="s">
        <v>74</v>
      </c>
    </row>
    <row r="56091" spans="9:9" x14ac:dyDescent="0.2">
      <c r="I56091" s="137" t="s">
        <v>74</v>
      </c>
    </row>
    <row r="56092" spans="9:9" x14ac:dyDescent="0.2">
      <c r="I56092" s="137" t="s">
        <v>74</v>
      </c>
    </row>
    <row r="56093" spans="9:9" x14ac:dyDescent="0.2">
      <c r="I56093" s="137" t="s">
        <v>74</v>
      </c>
    </row>
    <row r="56094" spans="9:9" x14ac:dyDescent="0.2">
      <c r="I56094" s="137" t="s">
        <v>74</v>
      </c>
    </row>
    <row r="56095" spans="9:9" x14ac:dyDescent="0.2">
      <c r="I56095" s="137" t="s">
        <v>74</v>
      </c>
    </row>
    <row r="56096" spans="9:9" x14ac:dyDescent="0.2">
      <c r="I56096" s="137" t="s">
        <v>74</v>
      </c>
    </row>
    <row r="56097" spans="9:9" x14ac:dyDescent="0.2">
      <c r="I56097" s="137" t="s">
        <v>74</v>
      </c>
    </row>
    <row r="56098" spans="9:9" x14ac:dyDescent="0.2">
      <c r="I56098" s="137" t="s">
        <v>74</v>
      </c>
    </row>
    <row r="56099" spans="9:9" x14ac:dyDescent="0.2">
      <c r="I56099" s="137" t="s">
        <v>74</v>
      </c>
    </row>
    <row r="56100" spans="9:9" x14ac:dyDescent="0.2">
      <c r="I56100" s="137" t="s">
        <v>74</v>
      </c>
    </row>
    <row r="56101" spans="9:9" x14ac:dyDescent="0.2">
      <c r="I56101" s="137" t="s">
        <v>74</v>
      </c>
    </row>
    <row r="56102" spans="9:9" x14ac:dyDescent="0.2">
      <c r="I56102" s="137" t="s">
        <v>74</v>
      </c>
    </row>
    <row r="56103" spans="9:9" x14ac:dyDescent="0.2">
      <c r="I56103" s="137" t="s">
        <v>74</v>
      </c>
    </row>
    <row r="56104" spans="9:9" x14ac:dyDescent="0.2">
      <c r="I56104" s="137" t="s">
        <v>74</v>
      </c>
    </row>
    <row r="56105" spans="9:9" x14ac:dyDescent="0.2">
      <c r="I56105" s="137" t="s">
        <v>74</v>
      </c>
    </row>
    <row r="56106" spans="9:9" x14ac:dyDescent="0.2">
      <c r="I56106" s="137" t="s">
        <v>74</v>
      </c>
    </row>
    <row r="56107" spans="9:9" x14ac:dyDescent="0.2">
      <c r="I56107" s="137" t="s">
        <v>74</v>
      </c>
    </row>
    <row r="56108" spans="9:9" x14ac:dyDescent="0.2">
      <c r="I56108" s="137" t="s">
        <v>74</v>
      </c>
    </row>
    <row r="56109" spans="9:9" x14ac:dyDescent="0.2">
      <c r="I56109" s="137" t="s">
        <v>74</v>
      </c>
    </row>
    <row r="56110" spans="9:9" x14ac:dyDescent="0.2">
      <c r="I56110" s="137" t="s">
        <v>74</v>
      </c>
    </row>
    <row r="56111" spans="9:9" x14ac:dyDescent="0.2">
      <c r="I56111" s="137" t="s">
        <v>74</v>
      </c>
    </row>
    <row r="56112" spans="9:9" x14ac:dyDescent="0.2">
      <c r="I56112" s="137" t="s">
        <v>74</v>
      </c>
    </row>
    <row r="56113" spans="9:9" x14ac:dyDescent="0.2">
      <c r="I56113" s="137" t="s">
        <v>74</v>
      </c>
    </row>
    <row r="56114" spans="9:9" x14ac:dyDescent="0.2">
      <c r="I56114" s="137" t="s">
        <v>74</v>
      </c>
    </row>
    <row r="56115" spans="9:9" x14ac:dyDescent="0.2">
      <c r="I56115" s="137" t="s">
        <v>74</v>
      </c>
    </row>
    <row r="56116" spans="9:9" x14ac:dyDescent="0.2">
      <c r="I56116" s="137" t="s">
        <v>74</v>
      </c>
    </row>
    <row r="56117" spans="9:9" x14ac:dyDescent="0.2">
      <c r="I56117" s="137" t="s">
        <v>74</v>
      </c>
    </row>
    <row r="56118" spans="9:9" x14ac:dyDescent="0.2">
      <c r="I56118" s="137" t="s">
        <v>74</v>
      </c>
    </row>
    <row r="56119" spans="9:9" x14ac:dyDescent="0.2">
      <c r="I56119" s="137" t="s">
        <v>74</v>
      </c>
    </row>
    <row r="56120" spans="9:9" x14ac:dyDescent="0.2">
      <c r="I56120" s="137" t="s">
        <v>74</v>
      </c>
    </row>
    <row r="56121" spans="9:9" x14ac:dyDescent="0.2">
      <c r="I56121" s="137" t="s">
        <v>74</v>
      </c>
    </row>
    <row r="56122" spans="9:9" x14ac:dyDescent="0.2">
      <c r="I56122" s="137" t="s">
        <v>74</v>
      </c>
    </row>
    <row r="56123" spans="9:9" x14ac:dyDescent="0.2">
      <c r="I56123" s="137" t="s">
        <v>74</v>
      </c>
    </row>
    <row r="56124" spans="9:9" x14ac:dyDescent="0.2">
      <c r="I56124" s="137" t="s">
        <v>74</v>
      </c>
    </row>
    <row r="56125" spans="9:9" x14ac:dyDescent="0.2">
      <c r="I56125" s="137" t="s">
        <v>74</v>
      </c>
    </row>
    <row r="56126" spans="9:9" x14ac:dyDescent="0.2">
      <c r="I56126" s="137" t="s">
        <v>74</v>
      </c>
    </row>
    <row r="56127" spans="9:9" x14ac:dyDescent="0.2">
      <c r="I56127" s="137" t="s">
        <v>74</v>
      </c>
    </row>
    <row r="56128" spans="9:9" x14ac:dyDescent="0.2">
      <c r="I56128" s="137" t="s">
        <v>74</v>
      </c>
    </row>
    <row r="56129" spans="9:9" x14ac:dyDescent="0.2">
      <c r="I56129" s="137" t="s">
        <v>74</v>
      </c>
    </row>
    <row r="56130" spans="9:9" x14ac:dyDescent="0.2">
      <c r="I56130" s="137" t="s">
        <v>74</v>
      </c>
    </row>
    <row r="56131" spans="9:9" x14ac:dyDescent="0.2">
      <c r="I56131" s="137" t="s">
        <v>74</v>
      </c>
    </row>
    <row r="56132" spans="9:9" x14ac:dyDescent="0.2">
      <c r="I56132" s="137" t="s">
        <v>74</v>
      </c>
    </row>
    <row r="56133" spans="9:9" x14ac:dyDescent="0.2">
      <c r="I56133" s="137" t="s">
        <v>74</v>
      </c>
    </row>
    <row r="56134" spans="9:9" x14ac:dyDescent="0.2">
      <c r="I56134" s="137" t="s">
        <v>74</v>
      </c>
    </row>
    <row r="56135" spans="9:9" x14ac:dyDescent="0.2">
      <c r="I56135" s="137" t="s">
        <v>74</v>
      </c>
    </row>
    <row r="56136" spans="9:9" x14ac:dyDescent="0.2">
      <c r="I56136" s="137" t="s">
        <v>74</v>
      </c>
    </row>
    <row r="56137" spans="9:9" x14ac:dyDescent="0.2">
      <c r="I56137" s="137" t="s">
        <v>74</v>
      </c>
    </row>
    <row r="56138" spans="9:9" x14ac:dyDescent="0.2">
      <c r="I56138" s="137" t="s">
        <v>74</v>
      </c>
    </row>
    <row r="56139" spans="9:9" x14ac:dyDescent="0.2">
      <c r="I56139" s="137" t="s">
        <v>74</v>
      </c>
    </row>
    <row r="56140" spans="9:9" x14ac:dyDescent="0.2">
      <c r="I56140" s="137" t="s">
        <v>74</v>
      </c>
    </row>
    <row r="56141" spans="9:9" x14ac:dyDescent="0.2">
      <c r="I56141" s="137" t="s">
        <v>74</v>
      </c>
    </row>
    <row r="56142" spans="9:9" x14ac:dyDescent="0.2">
      <c r="I56142" s="137" t="s">
        <v>74</v>
      </c>
    </row>
    <row r="56143" spans="9:9" x14ac:dyDescent="0.2">
      <c r="I56143" s="137" t="s">
        <v>74</v>
      </c>
    </row>
    <row r="56144" spans="9:9" x14ac:dyDescent="0.2">
      <c r="I56144" s="137" t="s">
        <v>74</v>
      </c>
    </row>
    <row r="56145" spans="9:9" x14ac:dyDescent="0.2">
      <c r="I56145" s="137" t="s">
        <v>74</v>
      </c>
    </row>
    <row r="56146" spans="9:9" x14ac:dyDescent="0.2">
      <c r="I56146" s="137" t="s">
        <v>74</v>
      </c>
    </row>
    <row r="56147" spans="9:9" x14ac:dyDescent="0.2">
      <c r="I56147" s="137" t="s">
        <v>74</v>
      </c>
    </row>
    <row r="56148" spans="9:9" x14ac:dyDescent="0.2">
      <c r="I56148" s="137" t="s">
        <v>74</v>
      </c>
    </row>
    <row r="56149" spans="9:9" x14ac:dyDescent="0.2">
      <c r="I56149" s="137" t="s">
        <v>74</v>
      </c>
    </row>
    <row r="56150" spans="9:9" x14ac:dyDescent="0.2">
      <c r="I56150" s="137" t="s">
        <v>74</v>
      </c>
    </row>
    <row r="56151" spans="9:9" x14ac:dyDescent="0.2">
      <c r="I56151" s="137" t="s">
        <v>74</v>
      </c>
    </row>
    <row r="56152" spans="9:9" x14ac:dyDescent="0.2">
      <c r="I56152" s="137" t="s">
        <v>74</v>
      </c>
    </row>
    <row r="56153" spans="9:9" x14ac:dyDescent="0.2">
      <c r="I56153" s="137" t="s">
        <v>74</v>
      </c>
    </row>
    <row r="56154" spans="9:9" x14ac:dyDescent="0.2">
      <c r="I56154" s="137" t="s">
        <v>74</v>
      </c>
    </row>
    <row r="56155" spans="9:9" x14ac:dyDescent="0.2">
      <c r="I56155" s="137" t="s">
        <v>74</v>
      </c>
    </row>
    <row r="56156" spans="9:9" x14ac:dyDescent="0.2">
      <c r="I56156" s="137" t="s">
        <v>74</v>
      </c>
    </row>
    <row r="56157" spans="9:9" x14ac:dyDescent="0.2">
      <c r="I56157" s="137" t="s">
        <v>74</v>
      </c>
    </row>
    <row r="56158" spans="9:9" x14ac:dyDescent="0.2">
      <c r="I56158" s="137" t="s">
        <v>74</v>
      </c>
    </row>
    <row r="56159" spans="9:9" x14ac:dyDescent="0.2">
      <c r="I56159" s="137" t="s">
        <v>74</v>
      </c>
    </row>
    <row r="56160" spans="9:9" x14ac:dyDescent="0.2">
      <c r="I56160" s="137" t="s">
        <v>74</v>
      </c>
    </row>
    <row r="56161" spans="9:9" x14ac:dyDescent="0.2">
      <c r="I56161" s="137" t="s">
        <v>74</v>
      </c>
    </row>
    <row r="56162" spans="9:9" x14ac:dyDescent="0.2">
      <c r="I56162" s="137" t="s">
        <v>74</v>
      </c>
    </row>
    <row r="56163" spans="9:9" x14ac:dyDescent="0.2">
      <c r="I56163" s="137" t="s">
        <v>74</v>
      </c>
    </row>
    <row r="56164" spans="9:9" x14ac:dyDescent="0.2">
      <c r="I56164" s="137" t="s">
        <v>74</v>
      </c>
    </row>
    <row r="56165" spans="9:9" x14ac:dyDescent="0.2">
      <c r="I56165" s="137" t="s">
        <v>74</v>
      </c>
    </row>
    <row r="56166" spans="9:9" x14ac:dyDescent="0.2">
      <c r="I56166" s="137" t="s">
        <v>74</v>
      </c>
    </row>
    <row r="56167" spans="9:9" x14ac:dyDescent="0.2">
      <c r="I56167" s="137" t="s">
        <v>74</v>
      </c>
    </row>
    <row r="56168" spans="9:9" x14ac:dyDescent="0.2">
      <c r="I56168" s="137" t="s">
        <v>74</v>
      </c>
    </row>
    <row r="56169" spans="9:9" x14ac:dyDescent="0.2">
      <c r="I56169" s="137" t="s">
        <v>74</v>
      </c>
    </row>
    <row r="56170" spans="9:9" x14ac:dyDescent="0.2">
      <c r="I56170" s="137" t="s">
        <v>74</v>
      </c>
    </row>
    <row r="56171" spans="9:9" x14ac:dyDescent="0.2">
      <c r="I56171" s="137" t="s">
        <v>74</v>
      </c>
    </row>
    <row r="56172" spans="9:9" x14ac:dyDescent="0.2">
      <c r="I56172" s="137" t="s">
        <v>74</v>
      </c>
    </row>
    <row r="56173" spans="9:9" x14ac:dyDescent="0.2">
      <c r="I56173" s="137" t="s">
        <v>74</v>
      </c>
    </row>
    <row r="56174" spans="9:9" x14ac:dyDescent="0.2">
      <c r="I56174" s="137" t="s">
        <v>74</v>
      </c>
    </row>
    <row r="56175" spans="9:9" x14ac:dyDescent="0.2">
      <c r="I56175" s="137" t="s">
        <v>74</v>
      </c>
    </row>
    <row r="56176" spans="9:9" x14ac:dyDescent="0.2">
      <c r="I56176" s="137" t="s">
        <v>74</v>
      </c>
    </row>
    <row r="56177" spans="9:9" x14ac:dyDescent="0.2">
      <c r="I56177" s="137" t="s">
        <v>74</v>
      </c>
    </row>
    <row r="56178" spans="9:9" x14ac:dyDescent="0.2">
      <c r="I56178" s="137" t="s">
        <v>74</v>
      </c>
    </row>
    <row r="56179" spans="9:9" x14ac:dyDescent="0.2">
      <c r="I56179" s="137" t="s">
        <v>74</v>
      </c>
    </row>
    <row r="56180" spans="9:9" x14ac:dyDescent="0.2">
      <c r="I56180" s="137" t="s">
        <v>74</v>
      </c>
    </row>
    <row r="56181" spans="9:9" x14ac:dyDescent="0.2">
      <c r="I56181" s="137" t="s">
        <v>74</v>
      </c>
    </row>
    <row r="56182" spans="9:9" x14ac:dyDescent="0.2">
      <c r="I56182" s="137" t="s">
        <v>74</v>
      </c>
    </row>
    <row r="56183" spans="9:9" x14ac:dyDescent="0.2">
      <c r="I56183" s="137" t="s">
        <v>74</v>
      </c>
    </row>
    <row r="56184" spans="9:9" x14ac:dyDescent="0.2">
      <c r="I56184" s="137" t="s">
        <v>74</v>
      </c>
    </row>
    <row r="56185" spans="9:9" x14ac:dyDescent="0.2">
      <c r="I56185" s="137" t="s">
        <v>74</v>
      </c>
    </row>
    <row r="56186" spans="9:9" x14ac:dyDescent="0.2">
      <c r="I56186" s="137" t="s">
        <v>74</v>
      </c>
    </row>
    <row r="56187" spans="9:9" x14ac:dyDescent="0.2">
      <c r="I56187" s="137" t="s">
        <v>74</v>
      </c>
    </row>
    <row r="56188" spans="9:9" x14ac:dyDescent="0.2">
      <c r="I56188" s="137" t="s">
        <v>74</v>
      </c>
    </row>
    <row r="56189" spans="9:9" x14ac:dyDescent="0.2">
      <c r="I56189" s="137" t="s">
        <v>74</v>
      </c>
    </row>
    <row r="56190" spans="9:9" x14ac:dyDescent="0.2">
      <c r="I56190" s="137" t="s">
        <v>74</v>
      </c>
    </row>
    <row r="56191" spans="9:9" x14ac:dyDescent="0.2">
      <c r="I56191" s="137" t="s">
        <v>74</v>
      </c>
    </row>
    <row r="56192" spans="9:9" x14ac:dyDescent="0.2">
      <c r="I56192" s="137" t="s">
        <v>74</v>
      </c>
    </row>
    <row r="56193" spans="9:9" x14ac:dyDescent="0.2">
      <c r="I56193" s="137" t="s">
        <v>74</v>
      </c>
    </row>
    <row r="56194" spans="9:9" x14ac:dyDescent="0.2">
      <c r="I56194" s="137" t="s">
        <v>74</v>
      </c>
    </row>
    <row r="56195" spans="9:9" x14ac:dyDescent="0.2">
      <c r="I56195" s="137" t="s">
        <v>74</v>
      </c>
    </row>
    <row r="56196" spans="9:9" x14ac:dyDescent="0.2">
      <c r="I56196" s="137" t="s">
        <v>74</v>
      </c>
    </row>
    <row r="56197" spans="9:9" x14ac:dyDescent="0.2">
      <c r="I56197" s="137" t="s">
        <v>74</v>
      </c>
    </row>
    <row r="56198" spans="9:9" x14ac:dyDescent="0.2">
      <c r="I56198" s="137" t="s">
        <v>74</v>
      </c>
    </row>
    <row r="56199" spans="9:9" x14ac:dyDescent="0.2">
      <c r="I56199" s="137" t="s">
        <v>74</v>
      </c>
    </row>
    <row r="56200" spans="9:9" x14ac:dyDescent="0.2">
      <c r="I56200" s="137" t="s">
        <v>74</v>
      </c>
    </row>
    <row r="56201" spans="9:9" x14ac:dyDescent="0.2">
      <c r="I56201" s="137" t="s">
        <v>74</v>
      </c>
    </row>
    <row r="56202" spans="9:9" x14ac:dyDescent="0.2">
      <c r="I56202" s="137" t="s">
        <v>74</v>
      </c>
    </row>
    <row r="56203" spans="9:9" x14ac:dyDescent="0.2">
      <c r="I56203" s="137" t="s">
        <v>74</v>
      </c>
    </row>
    <row r="56204" spans="9:9" x14ac:dyDescent="0.2">
      <c r="I56204" s="137" t="s">
        <v>74</v>
      </c>
    </row>
    <row r="56205" spans="9:9" x14ac:dyDescent="0.2">
      <c r="I56205" s="137" t="s">
        <v>74</v>
      </c>
    </row>
    <row r="56206" spans="9:9" x14ac:dyDescent="0.2">
      <c r="I56206" s="137" t="s">
        <v>74</v>
      </c>
    </row>
    <row r="56207" spans="9:9" x14ac:dyDescent="0.2">
      <c r="I56207" s="137" t="s">
        <v>74</v>
      </c>
    </row>
    <row r="56208" spans="9:9" x14ac:dyDescent="0.2">
      <c r="I56208" s="137" t="s">
        <v>74</v>
      </c>
    </row>
    <row r="56209" spans="9:9" x14ac:dyDescent="0.2">
      <c r="I56209" s="137" t="s">
        <v>74</v>
      </c>
    </row>
    <row r="56210" spans="9:9" x14ac:dyDescent="0.2">
      <c r="I56210" s="137" t="s">
        <v>74</v>
      </c>
    </row>
    <row r="56211" spans="9:9" x14ac:dyDescent="0.2">
      <c r="I56211" s="137" t="s">
        <v>74</v>
      </c>
    </row>
    <row r="56212" spans="9:9" x14ac:dyDescent="0.2">
      <c r="I56212" s="137" t="s">
        <v>74</v>
      </c>
    </row>
    <row r="56213" spans="9:9" x14ac:dyDescent="0.2">
      <c r="I56213" s="137" t="s">
        <v>74</v>
      </c>
    </row>
    <row r="56214" spans="9:9" x14ac:dyDescent="0.2">
      <c r="I56214" s="137" t="s">
        <v>74</v>
      </c>
    </row>
    <row r="56215" spans="9:9" x14ac:dyDescent="0.2">
      <c r="I56215" s="137" t="s">
        <v>74</v>
      </c>
    </row>
    <row r="56216" spans="9:9" x14ac:dyDescent="0.2">
      <c r="I56216" s="137" t="s">
        <v>74</v>
      </c>
    </row>
    <row r="56217" spans="9:9" x14ac:dyDescent="0.2">
      <c r="I56217" s="137" t="s">
        <v>74</v>
      </c>
    </row>
    <row r="56218" spans="9:9" x14ac:dyDescent="0.2">
      <c r="I56218" s="137" t="s">
        <v>74</v>
      </c>
    </row>
    <row r="56219" spans="9:9" x14ac:dyDescent="0.2">
      <c r="I56219" s="137" t="s">
        <v>74</v>
      </c>
    </row>
    <row r="56220" spans="9:9" x14ac:dyDescent="0.2">
      <c r="I56220" s="137" t="s">
        <v>74</v>
      </c>
    </row>
    <row r="56221" spans="9:9" x14ac:dyDescent="0.2">
      <c r="I56221" s="137" t="s">
        <v>74</v>
      </c>
    </row>
    <row r="56222" spans="9:9" x14ac:dyDescent="0.2">
      <c r="I56222" s="137" t="s">
        <v>74</v>
      </c>
    </row>
    <row r="56223" spans="9:9" x14ac:dyDescent="0.2">
      <c r="I56223" s="137" t="s">
        <v>74</v>
      </c>
    </row>
    <row r="56224" spans="9:9" x14ac:dyDescent="0.2">
      <c r="I56224" s="137" t="s">
        <v>74</v>
      </c>
    </row>
    <row r="56225" spans="9:9" x14ac:dyDescent="0.2">
      <c r="I56225" s="137" t="s">
        <v>74</v>
      </c>
    </row>
    <row r="56226" spans="9:9" x14ac:dyDescent="0.2">
      <c r="I56226" s="137" t="s">
        <v>74</v>
      </c>
    </row>
    <row r="56227" spans="9:9" x14ac:dyDescent="0.2">
      <c r="I56227" s="137" t="s">
        <v>74</v>
      </c>
    </row>
    <row r="56228" spans="9:9" x14ac:dyDescent="0.2">
      <c r="I56228" s="137" t="s">
        <v>74</v>
      </c>
    </row>
    <row r="56229" spans="9:9" x14ac:dyDescent="0.2">
      <c r="I56229" s="137" t="s">
        <v>74</v>
      </c>
    </row>
    <row r="56230" spans="9:9" x14ac:dyDescent="0.2">
      <c r="I56230" s="137" t="s">
        <v>74</v>
      </c>
    </row>
    <row r="56231" spans="9:9" x14ac:dyDescent="0.2">
      <c r="I56231" s="137" t="s">
        <v>74</v>
      </c>
    </row>
    <row r="56232" spans="9:9" x14ac:dyDescent="0.2">
      <c r="I56232" s="137" t="s">
        <v>74</v>
      </c>
    </row>
    <row r="56233" spans="9:9" x14ac:dyDescent="0.2">
      <c r="I56233" s="137" t="s">
        <v>74</v>
      </c>
    </row>
    <row r="56234" spans="9:9" x14ac:dyDescent="0.2">
      <c r="I56234" s="137" t="s">
        <v>74</v>
      </c>
    </row>
    <row r="56235" spans="9:9" x14ac:dyDescent="0.2">
      <c r="I56235" s="137" t="s">
        <v>74</v>
      </c>
    </row>
    <row r="56236" spans="9:9" x14ac:dyDescent="0.2">
      <c r="I56236" s="137" t="s">
        <v>74</v>
      </c>
    </row>
    <row r="56237" spans="9:9" x14ac:dyDescent="0.2">
      <c r="I56237" s="137" t="s">
        <v>74</v>
      </c>
    </row>
    <row r="56238" spans="9:9" x14ac:dyDescent="0.2">
      <c r="I56238" s="137" t="s">
        <v>74</v>
      </c>
    </row>
    <row r="56239" spans="9:9" x14ac:dyDescent="0.2">
      <c r="I56239" s="137" t="s">
        <v>74</v>
      </c>
    </row>
    <row r="56240" spans="9:9" x14ac:dyDescent="0.2">
      <c r="I56240" s="137" t="s">
        <v>74</v>
      </c>
    </row>
    <row r="56241" spans="9:9" x14ac:dyDescent="0.2">
      <c r="I56241" s="137" t="s">
        <v>74</v>
      </c>
    </row>
    <row r="56242" spans="9:9" x14ac:dyDescent="0.2">
      <c r="I56242" s="137" t="s">
        <v>74</v>
      </c>
    </row>
    <row r="56243" spans="9:9" x14ac:dyDescent="0.2">
      <c r="I56243" s="137" t="s">
        <v>74</v>
      </c>
    </row>
    <row r="56244" spans="9:9" x14ac:dyDescent="0.2">
      <c r="I56244" s="137" t="s">
        <v>74</v>
      </c>
    </row>
    <row r="56245" spans="9:9" x14ac:dyDescent="0.2">
      <c r="I56245" s="137" t="s">
        <v>74</v>
      </c>
    </row>
    <row r="56246" spans="9:9" x14ac:dyDescent="0.2">
      <c r="I56246" s="137" t="s">
        <v>74</v>
      </c>
    </row>
    <row r="56247" spans="9:9" x14ac:dyDescent="0.2">
      <c r="I56247" s="137" t="s">
        <v>74</v>
      </c>
    </row>
    <row r="56248" spans="9:9" x14ac:dyDescent="0.2">
      <c r="I56248" s="137" t="s">
        <v>74</v>
      </c>
    </row>
    <row r="56249" spans="9:9" x14ac:dyDescent="0.2">
      <c r="I56249" s="137" t="s">
        <v>74</v>
      </c>
    </row>
    <row r="56250" spans="9:9" x14ac:dyDescent="0.2">
      <c r="I56250" s="137" t="s">
        <v>74</v>
      </c>
    </row>
    <row r="56251" spans="9:9" x14ac:dyDescent="0.2">
      <c r="I56251" s="137" t="s">
        <v>74</v>
      </c>
    </row>
    <row r="56252" spans="9:9" x14ac:dyDescent="0.2">
      <c r="I56252" s="137" t="s">
        <v>74</v>
      </c>
    </row>
    <row r="56253" spans="9:9" x14ac:dyDescent="0.2">
      <c r="I56253" s="137" t="s">
        <v>74</v>
      </c>
    </row>
    <row r="56254" spans="9:9" x14ac:dyDescent="0.2">
      <c r="I56254" s="137" t="s">
        <v>74</v>
      </c>
    </row>
    <row r="56255" spans="9:9" x14ac:dyDescent="0.2">
      <c r="I56255" s="137" t="s">
        <v>74</v>
      </c>
    </row>
    <row r="56256" spans="9:9" x14ac:dyDescent="0.2">
      <c r="I56256" s="137" t="s">
        <v>74</v>
      </c>
    </row>
    <row r="56257" spans="9:9" x14ac:dyDescent="0.2">
      <c r="I56257" s="137" t="s">
        <v>74</v>
      </c>
    </row>
    <row r="56258" spans="9:9" x14ac:dyDescent="0.2">
      <c r="I56258" s="137" t="s">
        <v>74</v>
      </c>
    </row>
    <row r="56259" spans="9:9" x14ac:dyDescent="0.2">
      <c r="I56259" s="137" t="s">
        <v>74</v>
      </c>
    </row>
    <row r="56260" spans="9:9" x14ac:dyDescent="0.2">
      <c r="I56260" s="137" t="s">
        <v>74</v>
      </c>
    </row>
    <row r="56261" spans="9:9" x14ac:dyDescent="0.2">
      <c r="I56261" s="137" t="s">
        <v>74</v>
      </c>
    </row>
    <row r="56262" spans="9:9" x14ac:dyDescent="0.2">
      <c r="I56262" s="137" t="s">
        <v>74</v>
      </c>
    </row>
    <row r="56263" spans="9:9" x14ac:dyDescent="0.2">
      <c r="I56263" s="137" t="s">
        <v>74</v>
      </c>
    </row>
    <row r="56264" spans="9:9" x14ac:dyDescent="0.2">
      <c r="I56264" s="137" t="s">
        <v>74</v>
      </c>
    </row>
    <row r="56265" spans="9:9" x14ac:dyDescent="0.2">
      <c r="I56265" s="137" t="s">
        <v>74</v>
      </c>
    </row>
    <row r="56266" spans="9:9" x14ac:dyDescent="0.2">
      <c r="I56266" s="137" t="s">
        <v>74</v>
      </c>
    </row>
    <row r="56267" spans="9:9" x14ac:dyDescent="0.2">
      <c r="I56267" s="137" t="s">
        <v>74</v>
      </c>
    </row>
    <row r="56268" spans="9:9" x14ac:dyDescent="0.2">
      <c r="I56268" s="137" t="s">
        <v>74</v>
      </c>
    </row>
    <row r="56269" spans="9:9" x14ac:dyDescent="0.2">
      <c r="I56269" s="137" t="s">
        <v>74</v>
      </c>
    </row>
    <row r="56270" spans="9:9" x14ac:dyDescent="0.2">
      <c r="I56270" s="137" t="s">
        <v>74</v>
      </c>
    </row>
    <row r="56271" spans="9:9" x14ac:dyDescent="0.2">
      <c r="I56271" s="137" t="s">
        <v>74</v>
      </c>
    </row>
    <row r="56272" spans="9:9" x14ac:dyDescent="0.2">
      <c r="I56272" s="137" t="s">
        <v>74</v>
      </c>
    </row>
    <row r="56273" spans="9:9" x14ac:dyDescent="0.2">
      <c r="I56273" s="137" t="s">
        <v>74</v>
      </c>
    </row>
    <row r="56274" spans="9:9" x14ac:dyDescent="0.2">
      <c r="I56274" s="137" t="s">
        <v>74</v>
      </c>
    </row>
    <row r="56275" spans="9:9" x14ac:dyDescent="0.2">
      <c r="I56275" s="137" t="s">
        <v>74</v>
      </c>
    </row>
    <row r="56276" spans="9:9" x14ac:dyDescent="0.2">
      <c r="I56276" s="137" t="s">
        <v>74</v>
      </c>
    </row>
    <row r="56277" spans="9:9" x14ac:dyDescent="0.2">
      <c r="I56277" s="137" t="s">
        <v>74</v>
      </c>
    </row>
    <row r="56278" spans="9:9" x14ac:dyDescent="0.2">
      <c r="I56278" s="137" t="s">
        <v>74</v>
      </c>
    </row>
    <row r="56279" spans="9:9" x14ac:dyDescent="0.2">
      <c r="I56279" s="137" t="s">
        <v>74</v>
      </c>
    </row>
    <row r="56280" spans="9:9" x14ac:dyDescent="0.2">
      <c r="I56280" s="137" t="s">
        <v>74</v>
      </c>
    </row>
    <row r="56281" spans="9:9" x14ac:dyDescent="0.2">
      <c r="I56281" s="137" t="s">
        <v>74</v>
      </c>
    </row>
    <row r="56282" spans="9:9" x14ac:dyDescent="0.2">
      <c r="I56282" s="137" t="s">
        <v>74</v>
      </c>
    </row>
    <row r="56283" spans="9:9" x14ac:dyDescent="0.2">
      <c r="I56283" s="137" t="s">
        <v>74</v>
      </c>
    </row>
    <row r="56284" spans="9:9" x14ac:dyDescent="0.2">
      <c r="I56284" s="137" t="s">
        <v>74</v>
      </c>
    </row>
    <row r="56285" spans="9:9" x14ac:dyDescent="0.2">
      <c r="I56285" s="137" t="s">
        <v>74</v>
      </c>
    </row>
    <row r="56286" spans="9:9" x14ac:dyDescent="0.2">
      <c r="I56286" s="137" t="s">
        <v>74</v>
      </c>
    </row>
    <row r="56287" spans="9:9" x14ac:dyDescent="0.2">
      <c r="I56287" s="137" t="s">
        <v>74</v>
      </c>
    </row>
    <row r="56288" spans="9:9" x14ac:dyDescent="0.2">
      <c r="I56288" s="137" t="s">
        <v>74</v>
      </c>
    </row>
    <row r="56289" spans="9:9" x14ac:dyDescent="0.2">
      <c r="I56289" s="137" t="s">
        <v>74</v>
      </c>
    </row>
    <row r="56290" spans="9:9" x14ac:dyDescent="0.2">
      <c r="I56290" s="137" t="s">
        <v>74</v>
      </c>
    </row>
    <row r="56291" spans="9:9" x14ac:dyDescent="0.2">
      <c r="I56291" s="137" t="s">
        <v>74</v>
      </c>
    </row>
    <row r="56292" spans="9:9" x14ac:dyDescent="0.2">
      <c r="I56292" s="137" t="s">
        <v>74</v>
      </c>
    </row>
    <row r="56293" spans="9:9" x14ac:dyDescent="0.2">
      <c r="I56293" s="137" t="s">
        <v>74</v>
      </c>
    </row>
    <row r="56294" spans="9:9" x14ac:dyDescent="0.2">
      <c r="I56294" s="137" t="s">
        <v>74</v>
      </c>
    </row>
    <row r="56295" spans="9:9" x14ac:dyDescent="0.2">
      <c r="I56295" s="137" t="s">
        <v>74</v>
      </c>
    </row>
    <row r="56296" spans="9:9" x14ac:dyDescent="0.2">
      <c r="I56296" s="137" t="s">
        <v>74</v>
      </c>
    </row>
    <row r="56297" spans="9:9" x14ac:dyDescent="0.2">
      <c r="I56297" s="137" t="s">
        <v>74</v>
      </c>
    </row>
    <row r="56298" spans="9:9" x14ac:dyDescent="0.2">
      <c r="I56298" s="137" t="s">
        <v>74</v>
      </c>
    </row>
    <row r="56299" spans="9:9" x14ac:dyDescent="0.2">
      <c r="I56299" s="137" t="s">
        <v>74</v>
      </c>
    </row>
    <row r="56300" spans="9:9" x14ac:dyDescent="0.2">
      <c r="I56300" s="137" t="s">
        <v>74</v>
      </c>
    </row>
    <row r="56301" spans="9:9" x14ac:dyDescent="0.2">
      <c r="I56301" s="137" t="s">
        <v>74</v>
      </c>
    </row>
    <row r="56302" spans="9:9" x14ac:dyDescent="0.2">
      <c r="I56302" s="137" t="s">
        <v>74</v>
      </c>
    </row>
    <row r="56303" spans="9:9" x14ac:dyDescent="0.2">
      <c r="I56303" s="137" t="s">
        <v>74</v>
      </c>
    </row>
    <row r="56304" spans="9:9" x14ac:dyDescent="0.2">
      <c r="I56304" s="137" t="s">
        <v>74</v>
      </c>
    </row>
    <row r="56305" spans="9:9" x14ac:dyDescent="0.2">
      <c r="I56305" s="137" t="s">
        <v>74</v>
      </c>
    </row>
    <row r="56306" spans="9:9" x14ac:dyDescent="0.2">
      <c r="I56306" s="137" t="s">
        <v>74</v>
      </c>
    </row>
    <row r="56307" spans="9:9" x14ac:dyDescent="0.2">
      <c r="I56307" s="137" t="s">
        <v>74</v>
      </c>
    </row>
    <row r="56308" spans="9:9" x14ac:dyDescent="0.2">
      <c r="I56308" s="137" t="s">
        <v>74</v>
      </c>
    </row>
    <row r="56309" spans="9:9" x14ac:dyDescent="0.2">
      <c r="I56309" s="137" t="s">
        <v>74</v>
      </c>
    </row>
    <row r="56310" spans="9:9" x14ac:dyDescent="0.2">
      <c r="I56310" s="137" t="s">
        <v>74</v>
      </c>
    </row>
    <row r="56311" spans="9:9" x14ac:dyDescent="0.2">
      <c r="I56311" s="137" t="s">
        <v>74</v>
      </c>
    </row>
    <row r="56312" spans="9:9" x14ac:dyDescent="0.2">
      <c r="I56312" s="137" t="s">
        <v>74</v>
      </c>
    </row>
    <row r="56313" spans="9:9" x14ac:dyDescent="0.2">
      <c r="I56313" s="137" t="s">
        <v>74</v>
      </c>
    </row>
    <row r="56314" spans="9:9" x14ac:dyDescent="0.2">
      <c r="I56314" s="137" t="s">
        <v>74</v>
      </c>
    </row>
    <row r="56315" spans="9:9" x14ac:dyDescent="0.2">
      <c r="I56315" s="137" t="s">
        <v>74</v>
      </c>
    </row>
    <row r="56316" spans="9:9" x14ac:dyDescent="0.2">
      <c r="I56316" s="137" t="s">
        <v>74</v>
      </c>
    </row>
    <row r="56317" spans="9:9" x14ac:dyDescent="0.2">
      <c r="I56317" s="137" t="s">
        <v>74</v>
      </c>
    </row>
    <row r="56318" spans="9:9" x14ac:dyDescent="0.2">
      <c r="I56318" s="137" t="s">
        <v>74</v>
      </c>
    </row>
    <row r="56319" spans="9:9" x14ac:dyDescent="0.2">
      <c r="I56319" s="137" t="s">
        <v>74</v>
      </c>
    </row>
    <row r="56320" spans="9:9" x14ac:dyDescent="0.2">
      <c r="I56320" s="137" t="s">
        <v>74</v>
      </c>
    </row>
    <row r="56321" spans="9:9" x14ac:dyDescent="0.2">
      <c r="I56321" s="137" t="s">
        <v>74</v>
      </c>
    </row>
    <row r="56322" spans="9:9" x14ac:dyDescent="0.2">
      <c r="I56322" s="137" t="s">
        <v>74</v>
      </c>
    </row>
    <row r="56323" spans="9:9" x14ac:dyDescent="0.2">
      <c r="I56323" s="137" t="s">
        <v>74</v>
      </c>
    </row>
    <row r="56324" spans="9:9" x14ac:dyDescent="0.2">
      <c r="I56324" s="137" t="s">
        <v>74</v>
      </c>
    </row>
    <row r="56325" spans="9:9" x14ac:dyDescent="0.2">
      <c r="I56325" s="137" t="s">
        <v>74</v>
      </c>
    </row>
    <row r="56326" spans="9:9" x14ac:dyDescent="0.2">
      <c r="I56326" s="137" t="s">
        <v>74</v>
      </c>
    </row>
    <row r="56327" spans="9:9" x14ac:dyDescent="0.2">
      <c r="I56327" s="137" t="s">
        <v>74</v>
      </c>
    </row>
    <row r="56328" spans="9:9" x14ac:dyDescent="0.2">
      <c r="I56328" s="137" t="s">
        <v>74</v>
      </c>
    </row>
    <row r="56329" spans="9:9" x14ac:dyDescent="0.2">
      <c r="I56329" s="137" t="s">
        <v>74</v>
      </c>
    </row>
    <row r="56330" spans="9:9" x14ac:dyDescent="0.2">
      <c r="I56330" s="137" t="s">
        <v>74</v>
      </c>
    </row>
    <row r="56331" spans="9:9" x14ac:dyDescent="0.2">
      <c r="I56331" s="137" t="s">
        <v>74</v>
      </c>
    </row>
    <row r="56332" spans="9:9" x14ac:dyDescent="0.2">
      <c r="I56332" s="137" t="s">
        <v>74</v>
      </c>
    </row>
    <row r="56333" spans="9:9" x14ac:dyDescent="0.2">
      <c r="I56333" s="137" t="s">
        <v>74</v>
      </c>
    </row>
    <row r="56334" spans="9:9" x14ac:dyDescent="0.2">
      <c r="I56334" s="137" t="s">
        <v>74</v>
      </c>
    </row>
    <row r="56335" spans="9:9" x14ac:dyDescent="0.2">
      <c r="I56335" s="137" t="s">
        <v>74</v>
      </c>
    </row>
    <row r="56336" spans="9:9" x14ac:dyDescent="0.2">
      <c r="I56336" s="137" t="s">
        <v>74</v>
      </c>
    </row>
    <row r="56337" spans="9:9" x14ac:dyDescent="0.2">
      <c r="I56337" s="137" t="s">
        <v>74</v>
      </c>
    </row>
    <row r="56338" spans="9:9" x14ac:dyDescent="0.2">
      <c r="I56338" s="137" t="s">
        <v>74</v>
      </c>
    </row>
    <row r="56339" spans="9:9" x14ac:dyDescent="0.2">
      <c r="I56339" s="137" t="s">
        <v>74</v>
      </c>
    </row>
    <row r="56340" spans="9:9" x14ac:dyDescent="0.2">
      <c r="I56340" s="137" t="s">
        <v>74</v>
      </c>
    </row>
    <row r="56341" spans="9:9" x14ac:dyDescent="0.2">
      <c r="I56341" s="137" t="s">
        <v>74</v>
      </c>
    </row>
    <row r="56342" spans="9:9" x14ac:dyDescent="0.2">
      <c r="I56342" s="137" t="s">
        <v>74</v>
      </c>
    </row>
    <row r="56343" spans="9:9" x14ac:dyDescent="0.2">
      <c r="I56343" s="137" t="s">
        <v>74</v>
      </c>
    </row>
    <row r="56344" spans="9:9" x14ac:dyDescent="0.2">
      <c r="I56344" s="137" t="s">
        <v>74</v>
      </c>
    </row>
    <row r="56345" spans="9:9" x14ac:dyDescent="0.2">
      <c r="I56345" s="137" t="s">
        <v>74</v>
      </c>
    </row>
    <row r="56346" spans="9:9" x14ac:dyDescent="0.2">
      <c r="I56346" s="137" t="s">
        <v>74</v>
      </c>
    </row>
    <row r="56347" spans="9:9" x14ac:dyDescent="0.2">
      <c r="I56347" s="137" t="s">
        <v>74</v>
      </c>
    </row>
    <row r="56348" spans="9:9" x14ac:dyDescent="0.2">
      <c r="I56348" s="137" t="s">
        <v>74</v>
      </c>
    </row>
    <row r="56349" spans="9:9" x14ac:dyDescent="0.2">
      <c r="I56349" s="137" t="s">
        <v>74</v>
      </c>
    </row>
    <row r="56350" spans="9:9" x14ac:dyDescent="0.2">
      <c r="I56350" s="137" t="s">
        <v>74</v>
      </c>
    </row>
    <row r="56351" spans="9:9" x14ac:dyDescent="0.2">
      <c r="I56351" s="137" t="s">
        <v>74</v>
      </c>
    </row>
    <row r="56352" spans="9:9" x14ac:dyDescent="0.2">
      <c r="I56352" s="137" t="s">
        <v>74</v>
      </c>
    </row>
    <row r="56353" spans="9:9" x14ac:dyDescent="0.2">
      <c r="I56353" s="137" t="s">
        <v>74</v>
      </c>
    </row>
    <row r="56354" spans="9:9" x14ac:dyDescent="0.2">
      <c r="I56354" s="137" t="s">
        <v>74</v>
      </c>
    </row>
    <row r="56355" spans="9:9" x14ac:dyDescent="0.2">
      <c r="I56355" s="137" t="s">
        <v>74</v>
      </c>
    </row>
    <row r="56356" spans="9:9" x14ac:dyDescent="0.2">
      <c r="I56356" s="137" t="s">
        <v>74</v>
      </c>
    </row>
    <row r="56357" spans="9:9" x14ac:dyDescent="0.2">
      <c r="I56357" s="137" t="s">
        <v>74</v>
      </c>
    </row>
    <row r="56358" spans="9:9" x14ac:dyDescent="0.2">
      <c r="I56358" s="137" t="s">
        <v>74</v>
      </c>
    </row>
    <row r="56359" spans="9:9" x14ac:dyDescent="0.2">
      <c r="I56359" s="137" t="s">
        <v>74</v>
      </c>
    </row>
    <row r="56360" spans="9:9" x14ac:dyDescent="0.2">
      <c r="I56360" s="137" t="s">
        <v>74</v>
      </c>
    </row>
    <row r="56361" spans="9:9" x14ac:dyDescent="0.2">
      <c r="I56361" s="137" t="s">
        <v>74</v>
      </c>
    </row>
    <row r="56362" spans="9:9" x14ac:dyDescent="0.2">
      <c r="I56362" s="137" t="s">
        <v>74</v>
      </c>
    </row>
    <row r="56363" spans="9:9" x14ac:dyDescent="0.2">
      <c r="I56363" s="137" t="s">
        <v>74</v>
      </c>
    </row>
    <row r="56364" spans="9:9" x14ac:dyDescent="0.2">
      <c r="I56364" s="137" t="s">
        <v>74</v>
      </c>
    </row>
    <row r="56365" spans="9:9" x14ac:dyDescent="0.2">
      <c r="I56365" s="137" t="s">
        <v>74</v>
      </c>
    </row>
    <row r="56366" spans="9:9" x14ac:dyDescent="0.2">
      <c r="I56366" s="137" t="s">
        <v>74</v>
      </c>
    </row>
    <row r="56367" spans="9:9" x14ac:dyDescent="0.2">
      <c r="I56367" s="137" t="s">
        <v>74</v>
      </c>
    </row>
    <row r="56368" spans="9:9" x14ac:dyDescent="0.2">
      <c r="I56368" s="137" t="s">
        <v>74</v>
      </c>
    </row>
    <row r="56369" spans="9:9" x14ac:dyDescent="0.2">
      <c r="I56369" s="137" t="s">
        <v>74</v>
      </c>
    </row>
    <row r="56370" spans="9:9" x14ac:dyDescent="0.2">
      <c r="I56370" s="137" t="s">
        <v>74</v>
      </c>
    </row>
    <row r="56371" spans="9:9" x14ac:dyDescent="0.2">
      <c r="I56371" s="137" t="s">
        <v>74</v>
      </c>
    </row>
    <row r="56372" spans="9:9" x14ac:dyDescent="0.2">
      <c r="I56372" s="137" t="s">
        <v>74</v>
      </c>
    </row>
    <row r="56373" spans="9:9" x14ac:dyDescent="0.2">
      <c r="I56373" s="137" t="s">
        <v>74</v>
      </c>
    </row>
    <row r="56374" spans="9:9" x14ac:dyDescent="0.2">
      <c r="I56374" s="137" t="s">
        <v>74</v>
      </c>
    </row>
    <row r="56375" spans="9:9" x14ac:dyDescent="0.2">
      <c r="I56375" s="137" t="s">
        <v>74</v>
      </c>
    </row>
    <row r="56376" spans="9:9" x14ac:dyDescent="0.2">
      <c r="I56376" s="137" t="s">
        <v>74</v>
      </c>
    </row>
    <row r="56377" spans="9:9" x14ac:dyDescent="0.2">
      <c r="I56377" s="137" t="s">
        <v>74</v>
      </c>
    </row>
    <row r="56378" spans="9:9" x14ac:dyDescent="0.2">
      <c r="I56378" s="137" t="s">
        <v>74</v>
      </c>
    </row>
    <row r="56379" spans="9:9" x14ac:dyDescent="0.2">
      <c r="I56379" s="137" t="s">
        <v>74</v>
      </c>
    </row>
    <row r="56380" spans="9:9" x14ac:dyDescent="0.2">
      <c r="I56380" s="137" t="s">
        <v>74</v>
      </c>
    </row>
    <row r="56381" spans="9:9" x14ac:dyDescent="0.2">
      <c r="I56381" s="137" t="s">
        <v>74</v>
      </c>
    </row>
    <row r="56382" spans="9:9" x14ac:dyDescent="0.2">
      <c r="I56382" s="137" t="s">
        <v>74</v>
      </c>
    </row>
    <row r="56383" spans="9:9" x14ac:dyDescent="0.2">
      <c r="I56383" s="137" t="s">
        <v>74</v>
      </c>
    </row>
    <row r="56384" spans="9:9" x14ac:dyDescent="0.2">
      <c r="I56384" s="137" t="s">
        <v>74</v>
      </c>
    </row>
    <row r="56385" spans="9:9" x14ac:dyDescent="0.2">
      <c r="I56385" s="137" t="s">
        <v>74</v>
      </c>
    </row>
    <row r="56386" spans="9:9" x14ac:dyDescent="0.2">
      <c r="I56386" s="137" t="s">
        <v>74</v>
      </c>
    </row>
    <row r="56387" spans="9:9" x14ac:dyDescent="0.2">
      <c r="I56387" s="137" t="s">
        <v>74</v>
      </c>
    </row>
    <row r="56388" spans="9:9" x14ac:dyDescent="0.2">
      <c r="I56388" s="137" t="s">
        <v>74</v>
      </c>
    </row>
    <row r="56389" spans="9:9" x14ac:dyDescent="0.2">
      <c r="I56389" s="137" t="s">
        <v>74</v>
      </c>
    </row>
    <row r="56390" spans="9:9" x14ac:dyDescent="0.2">
      <c r="I56390" s="137" t="s">
        <v>74</v>
      </c>
    </row>
    <row r="56391" spans="9:9" x14ac:dyDescent="0.2">
      <c r="I56391" s="137" t="s">
        <v>74</v>
      </c>
    </row>
    <row r="56392" spans="9:9" x14ac:dyDescent="0.2">
      <c r="I56392" s="137" t="s">
        <v>74</v>
      </c>
    </row>
    <row r="56393" spans="9:9" x14ac:dyDescent="0.2">
      <c r="I56393" s="137" t="s">
        <v>74</v>
      </c>
    </row>
    <row r="56394" spans="9:9" x14ac:dyDescent="0.2">
      <c r="I56394" s="137" t="s">
        <v>74</v>
      </c>
    </row>
    <row r="56395" spans="9:9" x14ac:dyDescent="0.2">
      <c r="I56395" s="137" t="s">
        <v>74</v>
      </c>
    </row>
    <row r="56396" spans="9:9" x14ac:dyDescent="0.2">
      <c r="I56396" s="137" t="s">
        <v>74</v>
      </c>
    </row>
    <row r="56397" spans="9:9" x14ac:dyDescent="0.2">
      <c r="I56397" s="137" t="s">
        <v>74</v>
      </c>
    </row>
    <row r="56398" spans="9:9" x14ac:dyDescent="0.2">
      <c r="I56398" s="137" t="s">
        <v>74</v>
      </c>
    </row>
    <row r="56399" spans="9:9" x14ac:dyDescent="0.2">
      <c r="I56399" s="137" t="s">
        <v>74</v>
      </c>
    </row>
    <row r="56400" spans="9:9" x14ac:dyDescent="0.2">
      <c r="I56400" s="137" t="s">
        <v>74</v>
      </c>
    </row>
    <row r="56401" spans="9:9" x14ac:dyDescent="0.2">
      <c r="I56401" s="137" t="s">
        <v>74</v>
      </c>
    </row>
    <row r="56402" spans="9:9" x14ac:dyDescent="0.2">
      <c r="I56402" s="137" t="s">
        <v>74</v>
      </c>
    </row>
    <row r="56403" spans="9:9" x14ac:dyDescent="0.2">
      <c r="I56403" s="137" t="s">
        <v>74</v>
      </c>
    </row>
    <row r="56404" spans="9:9" x14ac:dyDescent="0.2">
      <c r="I56404" s="137" t="s">
        <v>74</v>
      </c>
    </row>
    <row r="56405" spans="9:9" x14ac:dyDescent="0.2">
      <c r="I56405" s="137" t="s">
        <v>74</v>
      </c>
    </row>
    <row r="56406" spans="9:9" x14ac:dyDescent="0.2">
      <c r="I56406" s="137" t="s">
        <v>74</v>
      </c>
    </row>
    <row r="56407" spans="9:9" x14ac:dyDescent="0.2">
      <c r="I56407" s="137" t="s">
        <v>74</v>
      </c>
    </row>
    <row r="56408" spans="9:9" x14ac:dyDescent="0.2">
      <c r="I56408" s="137" t="s">
        <v>74</v>
      </c>
    </row>
    <row r="56409" spans="9:9" x14ac:dyDescent="0.2">
      <c r="I56409" s="137" t="s">
        <v>74</v>
      </c>
    </row>
    <row r="56410" spans="9:9" x14ac:dyDescent="0.2">
      <c r="I56410" s="137" t="s">
        <v>74</v>
      </c>
    </row>
    <row r="56411" spans="9:9" x14ac:dyDescent="0.2">
      <c r="I56411" s="137" t="s">
        <v>74</v>
      </c>
    </row>
    <row r="56412" spans="9:9" x14ac:dyDescent="0.2">
      <c r="I56412" s="137" t="s">
        <v>74</v>
      </c>
    </row>
    <row r="56413" spans="9:9" x14ac:dyDescent="0.2">
      <c r="I56413" s="137" t="s">
        <v>74</v>
      </c>
    </row>
    <row r="56414" spans="9:9" x14ac:dyDescent="0.2">
      <c r="I56414" s="137" t="s">
        <v>74</v>
      </c>
    </row>
    <row r="56415" spans="9:9" x14ac:dyDescent="0.2">
      <c r="I56415" s="137" t="s">
        <v>74</v>
      </c>
    </row>
    <row r="56416" spans="9:9" x14ac:dyDescent="0.2">
      <c r="I56416" s="137" t="s">
        <v>74</v>
      </c>
    </row>
    <row r="56417" spans="9:9" x14ac:dyDescent="0.2">
      <c r="I56417" s="137" t="s">
        <v>74</v>
      </c>
    </row>
    <row r="56418" spans="9:9" x14ac:dyDescent="0.2">
      <c r="I56418" s="137" t="s">
        <v>74</v>
      </c>
    </row>
    <row r="56419" spans="9:9" x14ac:dyDescent="0.2">
      <c r="I56419" s="137" t="s">
        <v>74</v>
      </c>
    </row>
    <row r="56420" spans="9:9" x14ac:dyDescent="0.2">
      <c r="I56420" s="137" t="s">
        <v>74</v>
      </c>
    </row>
    <row r="56421" spans="9:9" x14ac:dyDescent="0.2">
      <c r="I56421" s="137" t="s">
        <v>74</v>
      </c>
    </row>
    <row r="56422" spans="9:9" x14ac:dyDescent="0.2">
      <c r="I56422" s="137" t="s">
        <v>74</v>
      </c>
    </row>
    <row r="56423" spans="9:9" x14ac:dyDescent="0.2">
      <c r="I56423" s="137" t="s">
        <v>74</v>
      </c>
    </row>
    <row r="56424" spans="9:9" x14ac:dyDescent="0.2">
      <c r="I56424" s="137" t="s">
        <v>74</v>
      </c>
    </row>
    <row r="56425" spans="9:9" x14ac:dyDescent="0.2">
      <c r="I56425" s="137" t="s">
        <v>74</v>
      </c>
    </row>
    <row r="56426" spans="9:9" x14ac:dyDescent="0.2">
      <c r="I56426" s="137" t="s">
        <v>74</v>
      </c>
    </row>
    <row r="56427" spans="9:9" x14ac:dyDescent="0.2">
      <c r="I56427" s="137" t="s">
        <v>74</v>
      </c>
    </row>
    <row r="56428" spans="9:9" x14ac:dyDescent="0.2">
      <c r="I56428" s="137" t="s">
        <v>74</v>
      </c>
    </row>
    <row r="56429" spans="9:9" x14ac:dyDescent="0.2">
      <c r="I56429" s="137" t="s">
        <v>74</v>
      </c>
    </row>
    <row r="56430" spans="9:9" x14ac:dyDescent="0.2">
      <c r="I56430" s="137" t="s">
        <v>74</v>
      </c>
    </row>
    <row r="56431" spans="9:9" x14ac:dyDescent="0.2">
      <c r="I56431" s="137" t="s">
        <v>74</v>
      </c>
    </row>
    <row r="56432" spans="9:9" x14ac:dyDescent="0.2">
      <c r="I56432" s="137" t="s">
        <v>74</v>
      </c>
    </row>
    <row r="56433" spans="9:9" x14ac:dyDescent="0.2">
      <c r="I56433" s="137" t="s">
        <v>74</v>
      </c>
    </row>
    <row r="56434" spans="9:9" x14ac:dyDescent="0.2">
      <c r="I56434" s="137" t="s">
        <v>74</v>
      </c>
    </row>
    <row r="56435" spans="9:9" x14ac:dyDescent="0.2">
      <c r="I56435" s="137" t="s">
        <v>74</v>
      </c>
    </row>
    <row r="56436" spans="9:9" x14ac:dyDescent="0.2">
      <c r="I56436" s="137" t="s">
        <v>74</v>
      </c>
    </row>
    <row r="56437" spans="9:9" x14ac:dyDescent="0.2">
      <c r="I56437" s="137" t="s">
        <v>74</v>
      </c>
    </row>
    <row r="56438" spans="9:9" x14ac:dyDescent="0.2">
      <c r="I56438" s="137" t="s">
        <v>74</v>
      </c>
    </row>
    <row r="56439" spans="9:9" x14ac:dyDescent="0.2">
      <c r="I56439" s="137" t="s">
        <v>74</v>
      </c>
    </row>
    <row r="56440" spans="9:9" x14ac:dyDescent="0.2">
      <c r="I56440" s="137" t="s">
        <v>74</v>
      </c>
    </row>
    <row r="56441" spans="9:9" x14ac:dyDescent="0.2">
      <c r="I56441" s="137" t="s">
        <v>74</v>
      </c>
    </row>
    <row r="56442" spans="9:9" x14ac:dyDescent="0.2">
      <c r="I56442" s="137" t="s">
        <v>74</v>
      </c>
    </row>
    <row r="56443" spans="9:9" x14ac:dyDescent="0.2">
      <c r="I56443" s="137" t="s">
        <v>74</v>
      </c>
    </row>
    <row r="56444" spans="9:9" x14ac:dyDescent="0.2">
      <c r="I56444" s="137" t="s">
        <v>74</v>
      </c>
    </row>
    <row r="56445" spans="9:9" x14ac:dyDescent="0.2">
      <c r="I56445" s="137" t="s">
        <v>74</v>
      </c>
    </row>
    <row r="56446" spans="9:9" x14ac:dyDescent="0.2">
      <c r="I56446" s="137" t="s">
        <v>74</v>
      </c>
    </row>
    <row r="56447" spans="9:9" x14ac:dyDescent="0.2">
      <c r="I56447" s="137" t="s">
        <v>74</v>
      </c>
    </row>
    <row r="56448" spans="9:9" x14ac:dyDescent="0.2">
      <c r="I56448" s="137" t="s">
        <v>74</v>
      </c>
    </row>
    <row r="56449" spans="9:9" x14ac:dyDescent="0.2">
      <c r="I56449" s="137" t="s">
        <v>74</v>
      </c>
    </row>
    <row r="56450" spans="9:9" x14ac:dyDescent="0.2">
      <c r="I56450" s="137" t="s">
        <v>74</v>
      </c>
    </row>
    <row r="56451" spans="9:9" x14ac:dyDescent="0.2">
      <c r="I56451" s="137" t="s">
        <v>74</v>
      </c>
    </row>
    <row r="56452" spans="9:9" x14ac:dyDescent="0.2">
      <c r="I56452" s="137" t="s">
        <v>74</v>
      </c>
    </row>
    <row r="56453" spans="9:9" x14ac:dyDescent="0.2">
      <c r="I56453" s="137" t="s">
        <v>74</v>
      </c>
    </row>
    <row r="56454" spans="9:9" x14ac:dyDescent="0.2">
      <c r="I56454" s="137" t="s">
        <v>74</v>
      </c>
    </row>
    <row r="56455" spans="9:9" x14ac:dyDescent="0.2">
      <c r="I56455" s="137" t="s">
        <v>74</v>
      </c>
    </row>
    <row r="56456" spans="9:9" x14ac:dyDescent="0.2">
      <c r="I56456" s="137" t="s">
        <v>74</v>
      </c>
    </row>
    <row r="56457" spans="9:9" x14ac:dyDescent="0.2">
      <c r="I56457" s="137" t="s">
        <v>74</v>
      </c>
    </row>
    <row r="56458" spans="9:9" x14ac:dyDescent="0.2">
      <c r="I56458" s="137" t="s">
        <v>74</v>
      </c>
    </row>
    <row r="56459" spans="9:9" x14ac:dyDescent="0.2">
      <c r="I56459" s="137" t="s">
        <v>74</v>
      </c>
    </row>
    <row r="56460" spans="9:9" x14ac:dyDescent="0.2">
      <c r="I56460" s="137" t="s">
        <v>74</v>
      </c>
    </row>
    <row r="56461" spans="9:9" x14ac:dyDescent="0.2">
      <c r="I56461" s="137" t="s">
        <v>74</v>
      </c>
    </row>
    <row r="56462" spans="9:9" x14ac:dyDescent="0.2">
      <c r="I56462" s="137" t="s">
        <v>74</v>
      </c>
    </row>
    <row r="56463" spans="9:9" x14ac:dyDescent="0.2">
      <c r="I56463" s="137" t="s">
        <v>74</v>
      </c>
    </row>
    <row r="56464" spans="9:9" x14ac:dyDescent="0.2">
      <c r="I56464" s="137" t="s">
        <v>74</v>
      </c>
    </row>
    <row r="56465" spans="9:9" x14ac:dyDescent="0.2">
      <c r="I56465" s="137" t="s">
        <v>74</v>
      </c>
    </row>
    <row r="56466" spans="9:9" x14ac:dyDescent="0.2">
      <c r="I56466" s="137" t="s">
        <v>74</v>
      </c>
    </row>
    <row r="56467" spans="9:9" x14ac:dyDescent="0.2">
      <c r="I56467" s="137" t="s">
        <v>74</v>
      </c>
    </row>
    <row r="56468" spans="9:9" x14ac:dyDescent="0.2">
      <c r="I56468" s="137" t="s">
        <v>74</v>
      </c>
    </row>
    <row r="56469" spans="9:9" x14ac:dyDescent="0.2">
      <c r="I56469" s="137" t="s">
        <v>74</v>
      </c>
    </row>
    <row r="56470" spans="9:9" x14ac:dyDescent="0.2">
      <c r="I56470" s="137" t="s">
        <v>74</v>
      </c>
    </row>
    <row r="56471" spans="9:9" x14ac:dyDescent="0.2">
      <c r="I56471" s="137" t="s">
        <v>74</v>
      </c>
    </row>
    <row r="56472" spans="9:9" x14ac:dyDescent="0.2">
      <c r="I56472" s="137" t="s">
        <v>74</v>
      </c>
    </row>
    <row r="56473" spans="9:9" x14ac:dyDescent="0.2">
      <c r="I56473" s="137" t="s">
        <v>74</v>
      </c>
    </row>
    <row r="56474" spans="9:9" x14ac:dyDescent="0.2">
      <c r="I56474" s="137" t="s">
        <v>74</v>
      </c>
    </row>
    <row r="56475" spans="9:9" x14ac:dyDescent="0.2">
      <c r="I56475" s="137" t="s">
        <v>74</v>
      </c>
    </row>
    <row r="56476" spans="9:9" x14ac:dyDescent="0.2">
      <c r="I56476" s="137" t="s">
        <v>74</v>
      </c>
    </row>
    <row r="56477" spans="9:9" x14ac:dyDescent="0.2">
      <c r="I56477" s="137" t="s">
        <v>74</v>
      </c>
    </row>
    <row r="56478" spans="9:9" x14ac:dyDescent="0.2">
      <c r="I56478" s="137" t="s">
        <v>74</v>
      </c>
    </row>
    <row r="56479" spans="9:9" x14ac:dyDescent="0.2">
      <c r="I56479" s="137" t="s">
        <v>74</v>
      </c>
    </row>
    <row r="56480" spans="9:9" x14ac:dyDescent="0.2">
      <c r="I56480" s="137" t="s">
        <v>74</v>
      </c>
    </row>
    <row r="56481" spans="9:9" x14ac:dyDescent="0.2">
      <c r="I56481" s="137" t="s">
        <v>74</v>
      </c>
    </row>
    <row r="56482" spans="9:9" x14ac:dyDescent="0.2">
      <c r="I56482" s="137" t="s">
        <v>74</v>
      </c>
    </row>
    <row r="56483" spans="9:9" x14ac:dyDescent="0.2">
      <c r="I56483" s="137" t="s">
        <v>74</v>
      </c>
    </row>
    <row r="56484" spans="9:9" x14ac:dyDescent="0.2">
      <c r="I56484" s="137" t="s">
        <v>74</v>
      </c>
    </row>
    <row r="56485" spans="9:9" x14ac:dyDescent="0.2">
      <c r="I56485" s="137" t="s">
        <v>74</v>
      </c>
    </row>
    <row r="56486" spans="9:9" x14ac:dyDescent="0.2">
      <c r="I56486" s="137" t="s">
        <v>74</v>
      </c>
    </row>
    <row r="56487" spans="9:9" x14ac:dyDescent="0.2">
      <c r="I56487" s="137" t="s">
        <v>74</v>
      </c>
    </row>
    <row r="56488" spans="9:9" x14ac:dyDescent="0.2">
      <c r="I56488" s="137" t="s">
        <v>74</v>
      </c>
    </row>
    <row r="56489" spans="9:9" x14ac:dyDescent="0.2">
      <c r="I56489" s="137" t="s">
        <v>74</v>
      </c>
    </row>
    <row r="56490" spans="9:9" x14ac:dyDescent="0.2">
      <c r="I56490" s="137" t="s">
        <v>74</v>
      </c>
    </row>
    <row r="56491" spans="9:9" x14ac:dyDescent="0.2">
      <c r="I56491" s="137" t="s">
        <v>74</v>
      </c>
    </row>
    <row r="56492" spans="9:9" x14ac:dyDescent="0.2">
      <c r="I56492" s="137" t="s">
        <v>74</v>
      </c>
    </row>
    <row r="56493" spans="9:9" x14ac:dyDescent="0.2">
      <c r="I56493" s="137" t="s">
        <v>74</v>
      </c>
    </row>
    <row r="56494" spans="9:9" x14ac:dyDescent="0.2">
      <c r="I56494" s="137" t="s">
        <v>74</v>
      </c>
    </row>
    <row r="56495" spans="9:9" x14ac:dyDescent="0.2">
      <c r="I56495" s="137" t="s">
        <v>74</v>
      </c>
    </row>
    <row r="56496" spans="9:9" x14ac:dyDescent="0.2">
      <c r="I56496" s="137" t="s">
        <v>74</v>
      </c>
    </row>
    <row r="56497" spans="9:9" x14ac:dyDescent="0.2">
      <c r="I56497" s="137" t="s">
        <v>74</v>
      </c>
    </row>
    <row r="56498" spans="9:9" x14ac:dyDescent="0.2">
      <c r="I56498" s="137" t="s">
        <v>74</v>
      </c>
    </row>
    <row r="56499" spans="9:9" x14ac:dyDescent="0.2">
      <c r="I56499" s="137" t="s">
        <v>74</v>
      </c>
    </row>
    <row r="56500" spans="9:9" x14ac:dyDescent="0.2">
      <c r="I56500" s="137" t="s">
        <v>74</v>
      </c>
    </row>
    <row r="56501" spans="9:9" x14ac:dyDescent="0.2">
      <c r="I56501" s="137" t="s">
        <v>74</v>
      </c>
    </row>
    <row r="56502" spans="9:9" x14ac:dyDescent="0.2">
      <c r="I56502" s="137" t="s">
        <v>74</v>
      </c>
    </row>
    <row r="56503" spans="9:9" x14ac:dyDescent="0.2">
      <c r="I56503" s="137" t="s">
        <v>74</v>
      </c>
    </row>
    <row r="56504" spans="9:9" x14ac:dyDescent="0.2">
      <c r="I56504" s="137" t="s">
        <v>74</v>
      </c>
    </row>
    <row r="56505" spans="9:9" x14ac:dyDescent="0.2">
      <c r="I56505" s="137" t="s">
        <v>74</v>
      </c>
    </row>
    <row r="56506" spans="9:9" x14ac:dyDescent="0.2">
      <c r="I56506" s="137" t="s">
        <v>74</v>
      </c>
    </row>
    <row r="56507" spans="9:9" x14ac:dyDescent="0.2">
      <c r="I56507" s="137" t="s">
        <v>74</v>
      </c>
    </row>
    <row r="56508" spans="9:9" x14ac:dyDescent="0.2">
      <c r="I56508" s="137" t="s">
        <v>74</v>
      </c>
    </row>
    <row r="56509" spans="9:9" x14ac:dyDescent="0.2">
      <c r="I56509" s="137" t="s">
        <v>74</v>
      </c>
    </row>
    <row r="56510" spans="9:9" x14ac:dyDescent="0.2">
      <c r="I56510" s="137" t="s">
        <v>74</v>
      </c>
    </row>
    <row r="56511" spans="9:9" x14ac:dyDescent="0.2">
      <c r="I56511" s="137" t="s">
        <v>74</v>
      </c>
    </row>
    <row r="56512" spans="9:9" x14ac:dyDescent="0.2">
      <c r="I56512" s="137" t="s">
        <v>74</v>
      </c>
    </row>
    <row r="56513" spans="9:9" x14ac:dyDescent="0.2">
      <c r="I56513" s="137" t="s">
        <v>74</v>
      </c>
    </row>
    <row r="56514" spans="9:9" x14ac:dyDescent="0.2">
      <c r="I56514" s="137" t="s">
        <v>74</v>
      </c>
    </row>
    <row r="56515" spans="9:9" x14ac:dyDescent="0.2">
      <c r="I56515" s="137" t="s">
        <v>74</v>
      </c>
    </row>
    <row r="56516" spans="9:9" x14ac:dyDescent="0.2">
      <c r="I56516" s="137" t="s">
        <v>74</v>
      </c>
    </row>
    <row r="56517" spans="9:9" x14ac:dyDescent="0.2">
      <c r="I56517" s="137" t="s">
        <v>74</v>
      </c>
    </row>
    <row r="56518" spans="9:9" x14ac:dyDescent="0.2">
      <c r="I56518" s="137" t="s">
        <v>74</v>
      </c>
    </row>
    <row r="56519" spans="9:9" x14ac:dyDescent="0.2">
      <c r="I56519" s="137" t="s">
        <v>74</v>
      </c>
    </row>
    <row r="56520" spans="9:9" x14ac:dyDescent="0.2">
      <c r="I56520" s="137" t="s">
        <v>74</v>
      </c>
    </row>
    <row r="56521" spans="9:9" x14ac:dyDescent="0.2">
      <c r="I56521" s="137" t="s">
        <v>74</v>
      </c>
    </row>
    <row r="56522" spans="9:9" x14ac:dyDescent="0.2">
      <c r="I56522" s="137" t="s">
        <v>74</v>
      </c>
    </row>
    <row r="56523" spans="9:9" x14ac:dyDescent="0.2">
      <c r="I56523" s="137" t="s">
        <v>74</v>
      </c>
    </row>
    <row r="56524" spans="9:9" x14ac:dyDescent="0.2">
      <c r="I56524" s="137" t="s">
        <v>74</v>
      </c>
    </row>
    <row r="56525" spans="9:9" x14ac:dyDescent="0.2">
      <c r="I56525" s="137" t="s">
        <v>74</v>
      </c>
    </row>
    <row r="56526" spans="9:9" x14ac:dyDescent="0.2">
      <c r="I56526" s="137" t="s">
        <v>74</v>
      </c>
    </row>
    <row r="56527" spans="9:9" x14ac:dyDescent="0.2">
      <c r="I56527" s="137" t="s">
        <v>74</v>
      </c>
    </row>
    <row r="56528" spans="9:9" x14ac:dyDescent="0.2">
      <c r="I56528" s="137" t="s">
        <v>74</v>
      </c>
    </row>
    <row r="56529" spans="9:9" x14ac:dyDescent="0.2">
      <c r="I56529" s="137" t="s">
        <v>74</v>
      </c>
    </row>
    <row r="56530" spans="9:9" x14ac:dyDescent="0.2">
      <c r="I56530" s="137" t="s">
        <v>74</v>
      </c>
    </row>
    <row r="56531" spans="9:9" x14ac:dyDescent="0.2">
      <c r="I56531" s="137" t="s">
        <v>74</v>
      </c>
    </row>
    <row r="56532" spans="9:9" x14ac:dyDescent="0.2">
      <c r="I56532" s="137" t="s">
        <v>74</v>
      </c>
    </row>
    <row r="56533" spans="9:9" x14ac:dyDescent="0.2">
      <c r="I56533" s="137" t="s">
        <v>74</v>
      </c>
    </row>
    <row r="56534" spans="9:9" x14ac:dyDescent="0.2">
      <c r="I56534" s="137" t="s">
        <v>74</v>
      </c>
    </row>
    <row r="56535" spans="9:9" x14ac:dyDescent="0.2">
      <c r="I56535" s="137" t="s">
        <v>74</v>
      </c>
    </row>
    <row r="56536" spans="9:9" x14ac:dyDescent="0.2">
      <c r="I56536" s="137" t="s">
        <v>74</v>
      </c>
    </row>
    <row r="56537" spans="9:9" x14ac:dyDescent="0.2">
      <c r="I56537" s="137" t="s">
        <v>74</v>
      </c>
    </row>
    <row r="56538" spans="9:9" x14ac:dyDescent="0.2">
      <c r="I56538" s="137" t="s">
        <v>74</v>
      </c>
    </row>
    <row r="56539" spans="9:9" x14ac:dyDescent="0.2">
      <c r="I56539" s="137" t="s">
        <v>74</v>
      </c>
    </row>
    <row r="56540" spans="9:9" x14ac:dyDescent="0.2">
      <c r="I56540" s="137" t="s">
        <v>74</v>
      </c>
    </row>
    <row r="56541" spans="9:9" x14ac:dyDescent="0.2">
      <c r="I56541" s="137" t="s">
        <v>74</v>
      </c>
    </row>
    <row r="56542" spans="9:9" x14ac:dyDescent="0.2">
      <c r="I56542" s="137" t="s">
        <v>74</v>
      </c>
    </row>
    <row r="56543" spans="9:9" x14ac:dyDescent="0.2">
      <c r="I56543" s="137" t="s">
        <v>74</v>
      </c>
    </row>
    <row r="56544" spans="9:9" x14ac:dyDescent="0.2">
      <c r="I56544" s="137" t="s">
        <v>74</v>
      </c>
    </row>
    <row r="56545" spans="9:9" x14ac:dyDescent="0.2">
      <c r="I56545" s="137" t="s">
        <v>74</v>
      </c>
    </row>
    <row r="56546" spans="9:9" x14ac:dyDescent="0.2">
      <c r="I56546" s="137" t="s">
        <v>74</v>
      </c>
    </row>
    <row r="56547" spans="9:9" x14ac:dyDescent="0.2">
      <c r="I56547" s="137" t="s">
        <v>74</v>
      </c>
    </row>
    <row r="56548" spans="9:9" x14ac:dyDescent="0.2">
      <c r="I56548" s="137" t="s">
        <v>74</v>
      </c>
    </row>
    <row r="56549" spans="9:9" x14ac:dyDescent="0.2">
      <c r="I56549" s="137" t="s">
        <v>74</v>
      </c>
    </row>
    <row r="56550" spans="9:9" x14ac:dyDescent="0.2">
      <c r="I56550" s="137" t="s">
        <v>74</v>
      </c>
    </row>
    <row r="56551" spans="9:9" x14ac:dyDescent="0.2">
      <c r="I56551" s="137" t="s">
        <v>74</v>
      </c>
    </row>
    <row r="56552" spans="9:9" x14ac:dyDescent="0.2">
      <c r="I56552" s="137" t="s">
        <v>74</v>
      </c>
    </row>
    <row r="56553" spans="9:9" x14ac:dyDescent="0.2">
      <c r="I56553" s="137" t="s">
        <v>74</v>
      </c>
    </row>
    <row r="56554" spans="9:9" x14ac:dyDescent="0.2">
      <c r="I56554" s="137" t="s">
        <v>74</v>
      </c>
    </row>
    <row r="56555" spans="9:9" x14ac:dyDescent="0.2">
      <c r="I56555" s="137" t="s">
        <v>74</v>
      </c>
    </row>
    <row r="56556" spans="9:9" x14ac:dyDescent="0.2">
      <c r="I56556" s="137" t="s">
        <v>74</v>
      </c>
    </row>
    <row r="56557" spans="9:9" x14ac:dyDescent="0.2">
      <c r="I56557" s="137" t="s">
        <v>74</v>
      </c>
    </row>
    <row r="56558" spans="9:9" x14ac:dyDescent="0.2">
      <c r="I56558" s="137" t="s">
        <v>74</v>
      </c>
    </row>
    <row r="56559" spans="9:9" x14ac:dyDescent="0.2">
      <c r="I56559" s="137" t="s">
        <v>74</v>
      </c>
    </row>
    <row r="56560" spans="9:9" x14ac:dyDescent="0.2">
      <c r="I56560" s="137" t="s">
        <v>74</v>
      </c>
    </row>
    <row r="56561" spans="9:9" x14ac:dyDescent="0.2">
      <c r="I56561" s="137" t="s">
        <v>74</v>
      </c>
    </row>
    <row r="56562" spans="9:9" x14ac:dyDescent="0.2">
      <c r="I56562" s="137" t="s">
        <v>74</v>
      </c>
    </row>
    <row r="56563" spans="9:9" x14ac:dyDescent="0.2">
      <c r="I56563" s="137" t="s">
        <v>74</v>
      </c>
    </row>
    <row r="56564" spans="9:9" x14ac:dyDescent="0.2">
      <c r="I56564" s="137" t="s">
        <v>74</v>
      </c>
    </row>
    <row r="56565" spans="9:9" x14ac:dyDescent="0.2">
      <c r="I56565" s="137" t="s">
        <v>74</v>
      </c>
    </row>
    <row r="56566" spans="9:9" x14ac:dyDescent="0.2">
      <c r="I56566" s="137" t="s">
        <v>74</v>
      </c>
    </row>
    <row r="56567" spans="9:9" x14ac:dyDescent="0.2">
      <c r="I56567" s="137" t="s">
        <v>74</v>
      </c>
    </row>
    <row r="56568" spans="9:9" x14ac:dyDescent="0.2">
      <c r="I56568" s="137" t="s">
        <v>74</v>
      </c>
    </row>
    <row r="56569" spans="9:9" x14ac:dyDescent="0.2">
      <c r="I56569" s="137" t="s">
        <v>74</v>
      </c>
    </row>
    <row r="56570" spans="9:9" x14ac:dyDescent="0.2">
      <c r="I56570" s="137" t="s">
        <v>74</v>
      </c>
    </row>
    <row r="56571" spans="9:9" x14ac:dyDescent="0.2">
      <c r="I56571" s="137" t="s">
        <v>74</v>
      </c>
    </row>
    <row r="56572" spans="9:9" x14ac:dyDescent="0.2">
      <c r="I56572" s="137" t="s">
        <v>74</v>
      </c>
    </row>
    <row r="56573" spans="9:9" x14ac:dyDescent="0.2">
      <c r="I56573" s="137" t="s">
        <v>74</v>
      </c>
    </row>
    <row r="56574" spans="9:9" x14ac:dyDescent="0.2">
      <c r="I56574" s="137" t="s">
        <v>74</v>
      </c>
    </row>
    <row r="56575" spans="9:9" x14ac:dyDescent="0.2">
      <c r="I56575" s="137" t="s">
        <v>74</v>
      </c>
    </row>
    <row r="56576" spans="9:9" x14ac:dyDescent="0.2">
      <c r="I56576" s="137" t="s">
        <v>74</v>
      </c>
    </row>
    <row r="56577" spans="9:9" x14ac:dyDescent="0.2">
      <c r="I56577" s="137" t="s">
        <v>74</v>
      </c>
    </row>
    <row r="56578" spans="9:9" x14ac:dyDescent="0.2">
      <c r="I56578" s="137" t="s">
        <v>74</v>
      </c>
    </row>
    <row r="56579" spans="9:9" x14ac:dyDescent="0.2">
      <c r="I56579" s="137" t="s">
        <v>74</v>
      </c>
    </row>
    <row r="56580" spans="9:9" x14ac:dyDescent="0.2">
      <c r="I56580" s="137" t="s">
        <v>74</v>
      </c>
    </row>
    <row r="56581" spans="9:9" x14ac:dyDescent="0.2">
      <c r="I56581" s="137" t="s">
        <v>74</v>
      </c>
    </row>
    <row r="56582" spans="9:9" x14ac:dyDescent="0.2">
      <c r="I56582" s="137" t="s">
        <v>74</v>
      </c>
    </row>
    <row r="56583" spans="9:9" x14ac:dyDescent="0.2">
      <c r="I56583" s="137" t="s">
        <v>74</v>
      </c>
    </row>
    <row r="56584" spans="9:9" x14ac:dyDescent="0.2">
      <c r="I56584" s="137" t="s">
        <v>74</v>
      </c>
    </row>
    <row r="56585" spans="9:9" x14ac:dyDescent="0.2">
      <c r="I56585" s="137" t="s">
        <v>74</v>
      </c>
    </row>
    <row r="56586" spans="9:9" x14ac:dyDescent="0.2">
      <c r="I56586" s="137" t="s">
        <v>74</v>
      </c>
    </row>
    <row r="56587" spans="9:9" x14ac:dyDescent="0.2">
      <c r="I56587" s="137" t="s">
        <v>74</v>
      </c>
    </row>
    <row r="56588" spans="9:9" x14ac:dyDescent="0.2">
      <c r="I56588" s="137" t="s">
        <v>74</v>
      </c>
    </row>
    <row r="56589" spans="9:9" x14ac:dyDescent="0.2">
      <c r="I56589" s="137" t="s">
        <v>74</v>
      </c>
    </row>
    <row r="56590" spans="9:9" x14ac:dyDescent="0.2">
      <c r="I56590" s="137" t="s">
        <v>74</v>
      </c>
    </row>
    <row r="56591" spans="9:9" x14ac:dyDescent="0.2">
      <c r="I56591" s="137" t="s">
        <v>74</v>
      </c>
    </row>
    <row r="56592" spans="9:9" x14ac:dyDescent="0.2">
      <c r="I56592" s="137" t="s">
        <v>74</v>
      </c>
    </row>
    <row r="56593" spans="9:9" x14ac:dyDescent="0.2">
      <c r="I56593" s="137" t="s">
        <v>74</v>
      </c>
    </row>
    <row r="56594" spans="9:9" x14ac:dyDescent="0.2">
      <c r="I56594" s="137" t="s">
        <v>74</v>
      </c>
    </row>
    <row r="56595" spans="9:9" x14ac:dyDescent="0.2">
      <c r="I56595" s="137" t="s">
        <v>74</v>
      </c>
    </row>
    <row r="56596" spans="9:9" x14ac:dyDescent="0.2">
      <c r="I56596" s="137" t="s">
        <v>74</v>
      </c>
    </row>
    <row r="56597" spans="9:9" x14ac:dyDescent="0.2">
      <c r="I56597" s="137" t="s">
        <v>74</v>
      </c>
    </row>
    <row r="56598" spans="9:9" x14ac:dyDescent="0.2">
      <c r="I56598" s="137" t="s">
        <v>74</v>
      </c>
    </row>
    <row r="56599" spans="9:9" x14ac:dyDescent="0.2">
      <c r="I56599" s="137" t="s">
        <v>74</v>
      </c>
    </row>
    <row r="56600" spans="9:9" x14ac:dyDescent="0.2">
      <c r="I56600" s="137" t="s">
        <v>74</v>
      </c>
    </row>
    <row r="56601" spans="9:9" x14ac:dyDescent="0.2">
      <c r="I56601" s="137" t="s">
        <v>74</v>
      </c>
    </row>
    <row r="56602" spans="9:9" x14ac:dyDescent="0.2">
      <c r="I56602" s="137" t="s">
        <v>74</v>
      </c>
    </row>
    <row r="56603" spans="9:9" x14ac:dyDescent="0.2">
      <c r="I56603" s="137" t="s">
        <v>74</v>
      </c>
    </row>
    <row r="56604" spans="9:9" x14ac:dyDescent="0.2">
      <c r="I56604" s="137" t="s">
        <v>74</v>
      </c>
    </row>
    <row r="56605" spans="9:9" x14ac:dyDescent="0.2">
      <c r="I56605" s="137" t="s">
        <v>74</v>
      </c>
    </row>
    <row r="56606" spans="9:9" x14ac:dyDescent="0.2">
      <c r="I56606" s="137" t="s">
        <v>74</v>
      </c>
    </row>
    <row r="56607" spans="9:9" x14ac:dyDescent="0.2">
      <c r="I56607" s="137" t="s">
        <v>74</v>
      </c>
    </row>
    <row r="56608" spans="9:9" x14ac:dyDescent="0.2">
      <c r="I56608" s="137" t="s">
        <v>74</v>
      </c>
    </row>
    <row r="56609" spans="9:9" x14ac:dyDescent="0.2">
      <c r="I56609" s="137" t="s">
        <v>74</v>
      </c>
    </row>
    <row r="56610" spans="9:9" x14ac:dyDescent="0.2">
      <c r="I56610" s="137" t="s">
        <v>74</v>
      </c>
    </row>
    <row r="56611" spans="9:9" x14ac:dyDescent="0.2">
      <c r="I56611" s="137" t="s">
        <v>74</v>
      </c>
    </row>
    <row r="56612" spans="9:9" x14ac:dyDescent="0.2">
      <c r="I56612" s="137" t="s">
        <v>74</v>
      </c>
    </row>
    <row r="56613" spans="9:9" x14ac:dyDescent="0.2">
      <c r="I56613" s="137" t="s">
        <v>74</v>
      </c>
    </row>
    <row r="56614" spans="9:9" x14ac:dyDescent="0.2">
      <c r="I56614" s="137" t="s">
        <v>74</v>
      </c>
    </row>
    <row r="56615" spans="9:9" x14ac:dyDescent="0.2">
      <c r="I56615" s="137" t="s">
        <v>74</v>
      </c>
    </row>
    <row r="56616" spans="9:9" x14ac:dyDescent="0.2">
      <c r="I56616" s="137" t="s">
        <v>74</v>
      </c>
    </row>
    <row r="56617" spans="9:9" x14ac:dyDescent="0.2">
      <c r="I56617" s="137" t="s">
        <v>74</v>
      </c>
    </row>
    <row r="56618" spans="9:9" x14ac:dyDescent="0.2">
      <c r="I56618" s="137" t="s">
        <v>74</v>
      </c>
    </row>
    <row r="56619" spans="9:9" x14ac:dyDescent="0.2">
      <c r="I56619" s="137" t="s">
        <v>74</v>
      </c>
    </row>
    <row r="56620" spans="9:9" x14ac:dyDescent="0.2">
      <c r="I56620" s="137" t="s">
        <v>74</v>
      </c>
    </row>
    <row r="56621" spans="9:9" x14ac:dyDescent="0.2">
      <c r="I56621" s="137" t="s">
        <v>74</v>
      </c>
    </row>
    <row r="56622" spans="9:9" x14ac:dyDescent="0.2">
      <c r="I56622" s="137" t="s">
        <v>74</v>
      </c>
    </row>
    <row r="56623" spans="9:9" x14ac:dyDescent="0.2">
      <c r="I56623" s="137" t="s">
        <v>74</v>
      </c>
    </row>
    <row r="56624" spans="9:9" x14ac:dyDescent="0.2">
      <c r="I56624" s="137" t="s">
        <v>74</v>
      </c>
    </row>
    <row r="56625" spans="9:9" x14ac:dyDescent="0.2">
      <c r="I56625" s="137" t="s">
        <v>74</v>
      </c>
    </row>
    <row r="56626" spans="9:9" x14ac:dyDescent="0.2">
      <c r="I56626" s="137" t="s">
        <v>74</v>
      </c>
    </row>
    <row r="56627" spans="9:9" x14ac:dyDescent="0.2">
      <c r="I56627" s="137" t="s">
        <v>74</v>
      </c>
    </row>
    <row r="56628" spans="9:9" x14ac:dyDescent="0.2">
      <c r="I56628" s="137" t="s">
        <v>74</v>
      </c>
    </row>
    <row r="56629" spans="9:9" x14ac:dyDescent="0.2">
      <c r="I56629" s="137" t="s">
        <v>74</v>
      </c>
    </row>
    <row r="56630" spans="9:9" x14ac:dyDescent="0.2">
      <c r="I56630" s="137" t="s">
        <v>74</v>
      </c>
    </row>
    <row r="56631" spans="9:9" x14ac:dyDescent="0.2">
      <c r="I56631" s="137" t="s">
        <v>74</v>
      </c>
    </row>
    <row r="56632" spans="9:9" x14ac:dyDescent="0.2">
      <c r="I56632" s="137" t="s">
        <v>74</v>
      </c>
    </row>
    <row r="56633" spans="9:9" x14ac:dyDescent="0.2">
      <c r="I56633" s="137" t="s">
        <v>74</v>
      </c>
    </row>
    <row r="56634" spans="9:9" x14ac:dyDescent="0.2">
      <c r="I56634" s="137" t="s">
        <v>74</v>
      </c>
    </row>
    <row r="56635" spans="9:9" x14ac:dyDescent="0.2">
      <c r="I56635" s="137" t="s">
        <v>74</v>
      </c>
    </row>
    <row r="56636" spans="9:9" x14ac:dyDescent="0.2">
      <c r="I56636" s="137" t="s">
        <v>74</v>
      </c>
    </row>
    <row r="56637" spans="9:9" x14ac:dyDescent="0.2">
      <c r="I56637" s="137" t="s">
        <v>74</v>
      </c>
    </row>
    <row r="56638" spans="9:9" x14ac:dyDescent="0.2">
      <c r="I56638" s="137" t="s">
        <v>74</v>
      </c>
    </row>
    <row r="56639" spans="9:9" x14ac:dyDescent="0.2">
      <c r="I56639" s="137" t="s">
        <v>74</v>
      </c>
    </row>
    <row r="56640" spans="9:9" x14ac:dyDescent="0.2">
      <c r="I56640" s="137" t="s">
        <v>74</v>
      </c>
    </row>
    <row r="56641" spans="9:9" x14ac:dyDescent="0.2">
      <c r="I56641" s="137" t="s">
        <v>74</v>
      </c>
    </row>
    <row r="56642" spans="9:9" x14ac:dyDescent="0.2">
      <c r="I56642" s="137" t="s">
        <v>74</v>
      </c>
    </row>
    <row r="56643" spans="9:9" x14ac:dyDescent="0.2">
      <c r="I56643" s="137" t="s">
        <v>74</v>
      </c>
    </row>
    <row r="56644" spans="9:9" x14ac:dyDescent="0.2">
      <c r="I56644" s="137" t="s">
        <v>74</v>
      </c>
    </row>
    <row r="56645" spans="9:9" x14ac:dyDescent="0.2">
      <c r="I56645" s="137" t="s">
        <v>74</v>
      </c>
    </row>
    <row r="56646" spans="9:9" x14ac:dyDescent="0.2">
      <c r="I56646" s="137" t="s">
        <v>74</v>
      </c>
    </row>
    <row r="56647" spans="9:9" x14ac:dyDescent="0.2">
      <c r="I56647" s="137" t="s">
        <v>74</v>
      </c>
    </row>
    <row r="56648" spans="9:9" x14ac:dyDescent="0.2">
      <c r="I56648" s="137" t="s">
        <v>74</v>
      </c>
    </row>
    <row r="56649" spans="9:9" x14ac:dyDescent="0.2">
      <c r="I56649" s="137" t="s">
        <v>74</v>
      </c>
    </row>
    <row r="56650" spans="9:9" x14ac:dyDescent="0.2">
      <c r="I56650" s="137" t="s">
        <v>74</v>
      </c>
    </row>
    <row r="56651" spans="9:9" x14ac:dyDescent="0.2">
      <c r="I56651" s="137" t="s">
        <v>74</v>
      </c>
    </row>
    <row r="56652" spans="9:9" x14ac:dyDescent="0.2">
      <c r="I56652" s="137" t="s">
        <v>74</v>
      </c>
    </row>
    <row r="56653" spans="9:9" x14ac:dyDescent="0.2">
      <c r="I56653" s="137" t="s">
        <v>74</v>
      </c>
    </row>
    <row r="56654" spans="9:9" x14ac:dyDescent="0.2">
      <c r="I56654" s="137" t="s">
        <v>74</v>
      </c>
    </row>
    <row r="56655" spans="9:9" x14ac:dyDescent="0.2">
      <c r="I56655" s="137" t="s">
        <v>74</v>
      </c>
    </row>
    <row r="56656" spans="9:9" x14ac:dyDescent="0.2">
      <c r="I56656" s="137" t="s">
        <v>74</v>
      </c>
    </row>
    <row r="56657" spans="9:9" x14ac:dyDescent="0.2">
      <c r="I56657" s="137" t="s">
        <v>74</v>
      </c>
    </row>
    <row r="56658" spans="9:9" x14ac:dyDescent="0.2">
      <c r="I56658" s="137" t="s">
        <v>74</v>
      </c>
    </row>
    <row r="56659" spans="9:9" x14ac:dyDescent="0.2">
      <c r="I56659" s="137" t="s">
        <v>74</v>
      </c>
    </row>
    <row r="56660" spans="9:9" x14ac:dyDescent="0.2">
      <c r="I56660" s="137" t="s">
        <v>74</v>
      </c>
    </row>
    <row r="56661" spans="9:9" x14ac:dyDescent="0.2">
      <c r="I56661" s="137" t="s">
        <v>74</v>
      </c>
    </row>
    <row r="56662" spans="9:9" x14ac:dyDescent="0.2">
      <c r="I56662" s="137" t="s">
        <v>74</v>
      </c>
    </row>
    <row r="56663" spans="9:9" x14ac:dyDescent="0.2">
      <c r="I56663" s="137" t="s">
        <v>74</v>
      </c>
    </row>
    <row r="56664" spans="9:9" x14ac:dyDescent="0.2">
      <c r="I56664" s="137" t="s">
        <v>74</v>
      </c>
    </row>
    <row r="56665" spans="9:9" x14ac:dyDescent="0.2">
      <c r="I56665" s="137" t="s">
        <v>74</v>
      </c>
    </row>
    <row r="56666" spans="9:9" x14ac:dyDescent="0.2">
      <c r="I56666" s="137" t="s">
        <v>74</v>
      </c>
    </row>
    <row r="56667" spans="9:9" x14ac:dyDescent="0.2">
      <c r="I56667" s="137" t="s">
        <v>74</v>
      </c>
    </row>
    <row r="56668" spans="9:9" x14ac:dyDescent="0.2">
      <c r="I56668" s="137" t="s">
        <v>74</v>
      </c>
    </row>
    <row r="56669" spans="9:9" x14ac:dyDescent="0.2">
      <c r="I56669" s="137" t="s">
        <v>74</v>
      </c>
    </row>
    <row r="56670" spans="9:9" x14ac:dyDescent="0.2">
      <c r="I56670" s="137" t="s">
        <v>74</v>
      </c>
    </row>
    <row r="56671" spans="9:9" x14ac:dyDescent="0.2">
      <c r="I56671" s="137" t="s">
        <v>74</v>
      </c>
    </row>
    <row r="56672" spans="9:9" x14ac:dyDescent="0.2">
      <c r="I56672" s="137" t="s">
        <v>74</v>
      </c>
    </row>
    <row r="56673" spans="9:9" x14ac:dyDescent="0.2">
      <c r="I56673" s="137" t="s">
        <v>74</v>
      </c>
    </row>
    <row r="56674" spans="9:9" x14ac:dyDescent="0.2">
      <c r="I56674" s="137" t="s">
        <v>74</v>
      </c>
    </row>
    <row r="56675" spans="9:9" x14ac:dyDescent="0.2">
      <c r="I56675" s="137" t="s">
        <v>74</v>
      </c>
    </row>
    <row r="56676" spans="9:9" x14ac:dyDescent="0.2">
      <c r="I56676" s="137" t="s">
        <v>74</v>
      </c>
    </row>
    <row r="56677" spans="9:9" x14ac:dyDescent="0.2">
      <c r="I56677" s="137" t="s">
        <v>74</v>
      </c>
    </row>
    <row r="56678" spans="9:9" x14ac:dyDescent="0.2">
      <c r="I56678" s="137" t="s">
        <v>74</v>
      </c>
    </row>
    <row r="56679" spans="9:9" x14ac:dyDescent="0.2">
      <c r="I56679" s="137" t="s">
        <v>74</v>
      </c>
    </row>
    <row r="56680" spans="9:9" x14ac:dyDescent="0.2">
      <c r="I56680" s="137" t="s">
        <v>74</v>
      </c>
    </row>
    <row r="56681" spans="9:9" x14ac:dyDescent="0.2">
      <c r="I56681" s="137" t="s">
        <v>74</v>
      </c>
    </row>
    <row r="56682" spans="9:9" x14ac:dyDescent="0.2">
      <c r="I56682" s="137" t="s">
        <v>74</v>
      </c>
    </row>
    <row r="56683" spans="9:9" x14ac:dyDescent="0.2">
      <c r="I56683" s="137" t="s">
        <v>74</v>
      </c>
    </row>
    <row r="56684" spans="9:9" x14ac:dyDescent="0.2">
      <c r="I56684" s="137" t="s">
        <v>74</v>
      </c>
    </row>
    <row r="56685" spans="9:9" x14ac:dyDescent="0.2">
      <c r="I56685" s="137" t="s">
        <v>74</v>
      </c>
    </row>
    <row r="56686" spans="9:9" x14ac:dyDescent="0.2">
      <c r="I56686" s="137" t="s">
        <v>74</v>
      </c>
    </row>
    <row r="56687" spans="9:9" x14ac:dyDescent="0.2">
      <c r="I56687" s="137" t="s">
        <v>74</v>
      </c>
    </row>
    <row r="56688" spans="9:9" x14ac:dyDescent="0.2">
      <c r="I56688" s="137" t="s">
        <v>74</v>
      </c>
    </row>
    <row r="56689" spans="9:9" x14ac:dyDescent="0.2">
      <c r="I56689" s="137" t="s">
        <v>74</v>
      </c>
    </row>
    <row r="56690" spans="9:9" x14ac:dyDescent="0.2">
      <c r="I56690" s="137" t="s">
        <v>74</v>
      </c>
    </row>
    <row r="56691" spans="9:9" x14ac:dyDescent="0.2">
      <c r="I56691" s="137" t="s">
        <v>74</v>
      </c>
    </row>
    <row r="56692" spans="9:9" x14ac:dyDescent="0.2">
      <c r="I56692" s="137" t="s">
        <v>74</v>
      </c>
    </row>
    <row r="56693" spans="9:9" x14ac:dyDescent="0.2">
      <c r="I56693" s="137" t="s">
        <v>74</v>
      </c>
    </row>
    <row r="56694" spans="9:9" x14ac:dyDescent="0.2">
      <c r="I56694" s="137" t="s">
        <v>74</v>
      </c>
    </row>
    <row r="56695" spans="9:9" x14ac:dyDescent="0.2">
      <c r="I56695" s="137" t="s">
        <v>74</v>
      </c>
    </row>
    <row r="56696" spans="9:9" x14ac:dyDescent="0.2">
      <c r="I56696" s="137" t="s">
        <v>74</v>
      </c>
    </row>
    <row r="56697" spans="9:9" x14ac:dyDescent="0.2">
      <c r="I56697" s="137" t="s">
        <v>74</v>
      </c>
    </row>
    <row r="56698" spans="9:9" x14ac:dyDescent="0.2">
      <c r="I56698" s="137" t="s">
        <v>74</v>
      </c>
    </row>
    <row r="56699" spans="9:9" x14ac:dyDescent="0.2">
      <c r="I56699" s="137" t="s">
        <v>74</v>
      </c>
    </row>
    <row r="56700" spans="9:9" x14ac:dyDescent="0.2">
      <c r="I56700" s="137" t="s">
        <v>74</v>
      </c>
    </row>
    <row r="56701" spans="9:9" x14ac:dyDescent="0.2">
      <c r="I56701" s="137" t="s">
        <v>74</v>
      </c>
    </row>
    <row r="56702" spans="9:9" x14ac:dyDescent="0.2">
      <c r="I56702" s="137" t="s">
        <v>74</v>
      </c>
    </row>
    <row r="56703" spans="9:9" x14ac:dyDescent="0.2">
      <c r="I56703" s="137" t="s">
        <v>74</v>
      </c>
    </row>
    <row r="56704" spans="9:9" x14ac:dyDescent="0.2">
      <c r="I56704" s="137" t="s">
        <v>74</v>
      </c>
    </row>
    <row r="56705" spans="9:9" x14ac:dyDescent="0.2">
      <c r="I56705" s="137" t="s">
        <v>74</v>
      </c>
    </row>
    <row r="56706" spans="9:9" x14ac:dyDescent="0.2">
      <c r="I56706" s="137" t="s">
        <v>74</v>
      </c>
    </row>
    <row r="56707" spans="9:9" x14ac:dyDescent="0.2">
      <c r="I56707" s="137" t="s">
        <v>74</v>
      </c>
    </row>
    <row r="56708" spans="9:9" x14ac:dyDescent="0.2">
      <c r="I56708" s="137" t="s">
        <v>74</v>
      </c>
    </row>
    <row r="56709" spans="9:9" x14ac:dyDescent="0.2">
      <c r="I56709" s="137" t="s">
        <v>74</v>
      </c>
    </row>
    <row r="56710" spans="9:9" x14ac:dyDescent="0.2">
      <c r="I56710" s="137" t="s">
        <v>74</v>
      </c>
    </row>
    <row r="56711" spans="9:9" x14ac:dyDescent="0.2">
      <c r="I56711" s="137" t="s">
        <v>74</v>
      </c>
    </row>
    <row r="56712" spans="9:9" x14ac:dyDescent="0.2">
      <c r="I56712" s="137" t="s">
        <v>74</v>
      </c>
    </row>
    <row r="56713" spans="9:9" x14ac:dyDescent="0.2">
      <c r="I56713" s="137" t="s">
        <v>74</v>
      </c>
    </row>
    <row r="56714" spans="9:9" x14ac:dyDescent="0.2">
      <c r="I56714" s="137" t="s">
        <v>74</v>
      </c>
    </row>
    <row r="56715" spans="9:9" x14ac:dyDescent="0.2">
      <c r="I56715" s="137" t="s">
        <v>74</v>
      </c>
    </row>
    <row r="56716" spans="9:9" x14ac:dyDescent="0.2">
      <c r="I56716" s="137" t="s">
        <v>74</v>
      </c>
    </row>
    <row r="56717" spans="9:9" x14ac:dyDescent="0.2">
      <c r="I56717" s="137" t="s">
        <v>74</v>
      </c>
    </row>
    <row r="56718" spans="9:9" x14ac:dyDescent="0.2">
      <c r="I56718" s="137" t="s">
        <v>74</v>
      </c>
    </row>
    <row r="56719" spans="9:9" x14ac:dyDescent="0.2">
      <c r="I56719" s="137" t="s">
        <v>74</v>
      </c>
    </row>
    <row r="56720" spans="9:9" x14ac:dyDescent="0.2">
      <c r="I56720" s="137" t="s">
        <v>74</v>
      </c>
    </row>
    <row r="56721" spans="9:9" x14ac:dyDescent="0.2">
      <c r="I56721" s="137" t="s">
        <v>74</v>
      </c>
    </row>
    <row r="56722" spans="9:9" x14ac:dyDescent="0.2">
      <c r="I56722" s="137" t="s">
        <v>74</v>
      </c>
    </row>
    <row r="56723" spans="9:9" x14ac:dyDescent="0.2">
      <c r="I56723" s="137" t="s">
        <v>74</v>
      </c>
    </row>
    <row r="56724" spans="9:9" x14ac:dyDescent="0.2">
      <c r="I56724" s="137" t="s">
        <v>74</v>
      </c>
    </row>
    <row r="56725" spans="9:9" x14ac:dyDescent="0.2">
      <c r="I56725" s="137" t="s">
        <v>74</v>
      </c>
    </row>
    <row r="56726" spans="9:9" x14ac:dyDescent="0.2">
      <c r="I56726" s="137" t="s">
        <v>74</v>
      </c>
    </row>
    <row r="56727" spans="9:9" x14ac:dyDescent="0.2">
      <c r="I56727" s="137" t="s">
        <v>74</v>
      </c>
    </row>
    <row r="56728" spans="9:9" x14ac:dyDescent="0.2">
      <c r="I56728" s="137" t="s">
        <v>74</v>
      </c>
    </row>
    <row r="56729" spans="9:9" x14ac:dyDescent="0.2">
      <c r="I56729" s="137" t="s">
        <v>74</v>
      </c>
    </row>
    <row r="56730" spans="9:9" x14ac:dyDescent="0.2">
      <c r="I56730" s="137" t="s">
        <v>74</v>
      </c>
    </row>
    <row r="56731" spans="9:9" x14ac:dyDescent="0.2">
      <c r="I56731" s="137" t="s">
        <v>74</v>
      </c>
    </row>
    <row r="56732" spans="9:9" x14ac:dyDescent="0.2">
      <c r="I56732" s="137" t="s">
        <v>74</v>
      </c>
    </row>
    <row r="56733" spans="9:9" x14ac:dyDescent="0.2">
      <c r="I56733" s="137" t="s">
        <v>74</v>
      </c>
    </row>
    <row r="56734" spans="9:9" x14ac:dyDescent="0.2">
      <c r="I56734" s="137" t="s">
        <v>74</v>
      </c>
    </row>
    <row r="56735" spans="9:9" x14ac:dyDescent="0.2">
      <c r="I56735" s="137" t="s">
        <v>74</v>
      </c>
    </row>
    <row r="56736" spans="9:9" x14ac:dyDescent="0.2">
      <c r="I56736" s="137" t="s">
        <v>74</v>
      </c>
    </row>
    <row r="56737" spans="9:9" x14ac:dyDescent="0.2">
      <c r="I56737" s="137" t="s">
        <v>74</v>
      </c>
    </row>
    <row r="56738" spans="9:9" x14ac:dyDescent="0.2">
      <c r="I56738" s="137" t="s">
        <v>74</v>
      </c>
    </row>
    <row r="56739" spans="9:9" x14ac:dyDescent="0.2">
      <c r="I56739" s="137" t="s">
        <v>74</v>
      </c>
    </row>
    <row r="56740" spans="9:9" x14ac:dyDescent="0.2">
      <c r="I56740" s="137" t="s">
        <v>74</v>
      </c>
    </row>
    <row r="56741" spans="9:9" x14ac:dyDescent="0.2">
      <c r="I56741" s="137" t="s">
        <v>74</v>
      </c>
    </row>
    <row r="56742" spans="9:9" x14ac:dyDescent="0.2">
      <c r="I56742" s="137" t="s">
        <v>74</v>
      </c>
    </row>
    <row r="56743" spans="9:9" x14ac:dyDescent="0.2">
      <c r="I56743" s="137" t="s">
        <v>74</v>
      </c>
    </row>
    <row r="56744" spans="9:9" x14ac:dyDescent="0.2">
      <c r="I56744" s="137" t="s">
        <v>74</v>
      </c>
    </row>
    <row r="56745" spans="9:9" x14ac:dyDescent="0.2">
      <c r="I56745" s="137" t="s">
        <v>74</v>
      </c>
    </row>
    <row r="56746" spans="9:9" x14ac:dyDescent="0.2">
      <c r="I56746" s="137" t="s">
        <v>74</v>
      </c>
    </row>
    <row r="56747" spans="9:9" x14ac:dyDescent="0.2">
      <c r="I56747" s="137" t="s">
        <v>74</v>
      </c>
    </row>
    <row r="56748" spans="9:9" x14ac:dyDescent="0.2">
      <c r="I56748" s="137" t="s">
        <v>74</v>
      </c>
    </row>
    <row r="56749" spans="9:9" x14ac:dyDescent="0.2">
      <c r="I56749" s="137" t="s">
        <v>74</v>
      </c>
    </row>
    <row r="56750" spans="9:9" x14ac:dyDescent="0.2">
      <c r="I56750" s="137" t="s">
        <v>74</v>
      </c>
    </row>
    <row r="56751" spans="9:9" x14ac:dyDescent="0.2">
      <c r="I56751" s="137" t="s">
        <v>74</v>
      </c>
    </row>
    <row r="56752" spans="9:9" x14ac:dyDescent="0.2">
      <c r="I56752" s="137" t="s">
        <v>74</v>
      </c>
    </row>
    <row r="56753" spans="9:9" x14ac:dyDescent="0.2">
      <c r="I56753" s="137" t="s">
        <v>74</v>
      </c>
    </row>
    <row r="56754" spans="9:9" x14ac:dyDescent="0.2">
      <c r="I56754" s="137" t="s">
        <v>74</v>
      </c>
    </row>
    <row r="56755" spans="9:9" x14ac:dyDescent="0.2">
      <c r="I56755" s="137" t="s">
        <v>74</v>
      </c>
    </row>
    <row r="56756" spans="9:9" x14ac:dyDescent="0.2">
      <c r="I56756" s="137" t="s">
        <v>74</v>
      </c>
    </row>
    <row r="56757" spans="9:9" x14ac:dyDescent="0.2">
      <c r="I56757" s="137" t="s">
        <v>74</v>
      </c>
    </row>
    <row r="56758" spans="9:9" x14ac:dyDescent="0.2">
      <c r="I56758" s="137" t="s">
        <v>74</v>
      </c>
    </row>
    <row r="56759" spans="9:9" x14ac:dyDescent="0.2">
      <c r="I56759" s="137" t="s">
        <v>74</v>
      </c>
    </row>
    <row r="56760" spans="9:9" x14ac:dyDescent="0.2">
      <c r="I56760" s="137" t="s">
        <v>74</v>
      </c>
    </row>
    <row r="56761" spans="9:9" x14ac:dyDescent="0.2">
      <c r="I56761" s="137" t="s">
        <v>74</v>
      </c>
    </row>
    <row r="56762" spans="9:9" x14ac:dyDescent="0.2">
      <c r="I56762" s="137" t="s">
        <v>74</v>
      </c>
    </row>
    <row r="56763" spans="9:9" x14ac:dyDescent="0.2">
      <c r="I56763" s="137" t="s">
        <v>74</v>
      </c>
    </row>
    <row r="56764" spans="9:9" x14ac:dyDescent="0.2">
      <c r="I56764" s="137" t="s">
        <v>74</v>
      </c>
    </row>
    <row r="56765" spans="9:9" x14ac:dyDescent="0.2">
      <c r="I56765" s="137" t="s">
        <v>74</v>
      </c>
    </row>
    <row r="56766" spans="9:9" x14ac:dyDescent="0.2">
      <c r="I56766" s="137" t="s">
        <v>74</v>
      </c>
    </row>
    <row r="56767" spans="9:9" x14ac:dyDescent="0.2">
      <c r="I56767" s="137" t="s">
        <v>74</v>
      </c>
    </row>
    <row r="56768" spans="9:9" x14ac:dyDescent="0.2">
      <c r="I56768" s="137" t="s">
        <v>74</v>
      </c>
    </row>
    <row r="56769" spans="9:9" x14ac:dyDescent="0.2">
      <c r="I56769" s="137" t="s">
        <v>74</v>
      </c>
    </row>
    <row r="56770" spans="9:9" x14ac:dyDescent="0.2">
      <c r="I56770" s="137" t="s">
        <v>74</v>
      </c>
    </row>
    <row r="56771" spans="9:9" x14ac:dyDescent="0.2">
      <c r="I56771" s="137" t="s">
        <v>74</v>
      </c>
    </row>
    <row r="56772" spans="9:9" x14ac:dyDescent="0.2">
      <c r="I56772" s="137" t="s">
        <v>74</v>
      </c>
    </row>
    <row r="56773" spans="9:9" x14ac:dyDescent="0.2">
      <c r="I56773" s="137" t="s">
        <v>74</v>
      </c>
    </row>
    <row r="56774" spans="9:9" x14ac:dyDescent="0.2">
      <c r="I56774" s="137" t="s">
        <v>74</v>
      </c>
    </row>
    <row r="56775" spans="9:9" x14ac:dyDescent="0.2">
      <c r="I56775" s="137" t="s">
        <v>74</v>
      </c>
    </row>
    <row r="56776" spans="9:9" x14ac:dyDescent="0.2">
      <c r="I56776" s="137" t="s">
        <v>74</v>
      </c>
    </row>
    <row r="56777" spans="9:9" x14ac:dyDescent="0.2">
      <c r="I56777" s="137" t="s">
        <v>74</v>
      </c>
    </row>
    <row r="56778" spans="9:9" x14ac:dyDescent="0.2">
      <c r="I56778" s="137" t="s">
        <v>74</v>
      </c>
    </row>
    <row r="56779" spans="9:9" x14ac:dyDescent="0.2">
      <c r="I56779" s="137" t="s">
        <v>74</v>
      </c>
    </row>
    <row r="56780" spans="9:9" x14ac:dyDescent="0.2">
      <c r="I56780" s="137" t="s">
        <v>74</v>
      </c>
    </row>
    <row r="56781" spans="9:9" x14ac:dyDescent="0.2">
      <c r="I56781" s="137" t="s">
        <v>74</v>
      </c>
    </row>
    <row r="56782" spans="9:9" x14ac:dyDescent="0.2">
      <c r="I56782" s="137" t="s">
        <v>74</v>
      </c>
    </row>
    <row r="56783" spans="9:9" x14ac:dyDescent="0.2">
      <c r="I56783" s="137" t="s">
        <v>74</v>
      </c>
    </row>
    <row r="56784" spans="9:9" x14ac:dyDescent="0.2">
      <c r="I56784" s="137" t="s">
        <v>74</v>
      </c>
    </row>
    <row r="56785" spans="9:9" x14ac:dyDescent="0.2">
      <c r="I56785" s="137" t="s">
        <v>74</v>
      </c>
    </row>
    <row r="56786" spans="9:9" x14ac:dyDescent="0.2">
      <c r="I56786" s="137" t="s">
        <v>74</v>
      </c>
    </row>
    <row r="56787" spans="9:9" x14ac:dyDescent="0.2">
      <c r="I56787" s="137" t="s">
        <v>74</v>
      </c>
    </row>
    <row r="56788" spans="9:9" x14ac:dyDescent="0.2">
      <c r="I56788" s="137" t="s">
        <v>74</v>
      </c>
    </row>
    <row r="56789" spans="9:9" x14ac:dyDescent="0.2">
      <c r="I56789" s="137" t="s">
        <v>74</v>
      </c>
    </row>
    <row r="56790" spans="9:9" x14ac:dyDescent="0.2">
      <c r="I56790" s="137" t="s">
        <v>74</v>
      </c>
    </row>
    <row r="56791" spans="9:9" x14ac:dyDescent="0.2">
      <c r="I56791" s="137" t="s">
        <v>74</v>
      </c>
    </row>
    <row r="56792" spans="9:9" x14ac:dyDescent="0.2">
      <c r="I56792" s="137" t="s">
        <v>74</v>
      </c>
    </row>
    <row r="56793" spans="9:9" x14ac:dyDescent="0.2">
      <c r="I56793" s="137" t="s">
        <v>74</v>
      </c>
    </row>
    <row r="56794" spans="9:9" x14ac:dyDescent="0.2">
      <c r="I56794" s="137" t="s">
        <v>74</v>
      </c>
    </row>
    <row r="56795" spans="9:9" x14ac:dyDescent="0.2">
      <c r="I56795" s="137" t="s">
        <v>74</v>
      </c>
    </row>
    <row r="56796" spans="9:9" x14ac:dyDescent="0.2">
      <c r="I56796" s="137" t="s">
        <v>74</v>
      </c>
    </row>
    <row r="56797" spans="9:9" x14ac:dyDescent="0.2">
      <c r="I56797" s="137" t="s">
        <v>74</v>
      </c>
    </row>
    <row r="56798" spans="9:9" x14ac:dyDescent="0.2">
      <c r="I56798" s="137" t="s">
        <v>74</v>
      </c>
    </row>
    <row r="56799" spans="9:9" x14ac:dyDescent="0.2">
      <c r="I56799" s="137" t="s">
        <v>74</v>
      </c>
    </row>
    <row r="56800" spans="9:9" x14ac:dyDescent="0.2">
      <c r="I56800" s="137" t="s">
        <v>74</v>
      </c>
    </row>
    <row r="56801" spans="9:9" x14ac:dyDescent="0.2">
      <c r="I56801" s="137" t="s">
        <v>74</v>
      </c>
    </row>
    <row r="56802" spans="9:9" x14ac:dyDescent="0.2">
      <c r="I56802" s="137" t="s">
        <v>74</v>
      </c>
    </row>
    <row r="56803" spans="9:9" x14ac:dyDescent="0.2">
      <c r="I56803" s="137" t="s">
        <v>74</v>
      </c>
    </row>
    <row r="56804" spans="9:9" x14ac:dyDescent="0.2">
      <c r="I56804" s="137" t="s">
        <v>74</v>
      </c>
    </row>
    <row r="56805" spans="9:9" x14ac:dyDescent="0.2">
      <c r="I56805" s="137" t="s">
        <v>74</v>
      </c>
    </row>
    <row r="56806" spans="9:9" x14ac:dyDescent="0.2">
      <c r="I56806" s="137" t="s">
        <v>74</v>
      </c>
    </row>
    <row r="56807" spans="9:9" x14ac:dyDescent="0.2">
      <c r="I56807" s="137" t="s">
        <v>74</v>
      </c>
    </row>
    <row r="56808" spans="9:9" x14ac:dyDescent="0.2">
      <c r="I56808" s="137" t="s">
        <v>74</v>
      </c>
    </row>
    <row r="56809" spans="9:9" x14ac:dyDescent="0.2">
      <c r="I56809" s="137" t="s">
        <v>74</v>
      </c>
    </row>
    <row r="56810" spans="9:9" x14ac:dyDescent="0.2">
      <c r="I56810" s="137" t="s">
        <v>74</v>
      </c>
    </row>
    <row r="56811" spans="9:9" x14ac:dyDescent="0.2">
      <c r="I56811" s="137" t="s">
        <v>74</v>
      </c>
    </row>
    <row r="56812" spans="9:9" x14ac:dyDescent="0.2">
      <c r="I56812" s="137" t="s">
        <v>74</v>
      </c>
    </row>
    <row r="56813" spans="9:9" x14ac:dyDescent="0.2">
      <c r="I56813" s="137" t="s">
        <v>74</v>
      </c>
    </row>
    <row r="56814" spans="9:9" x14ac:dyDescent="0.2">
      <c r="I56814" s="137" t="s">
        <v>74</v>
      </c>
    </row>
    <row r="56815" spans="9:9" x14ac:dyDescent="0.2">
      <c r="I56815" s="137" t="s">
        <v>74</v>
      </c>
    </row>
    <row r="56816" spans="9:9" x14ac:dyDescent="0.2">
      <c r="I56816" s="137" t="s">
        <v>74</v>
      </c>
    </row>
    <row r="56817" spans="9:9" x14ac:dyDescent="0.2">
      <c r="I56817" s="137" t="s">
        <v>74</v>
      </c>
    </row>
    <row r="56818" spans="9:9" x14ac:dyDescent="0.2">
      <c r="I56818" s="137" t="s">
        <v>74</v>
      </c>
    </row>
    <row r="56819" spans="9:9" x14ac:dyDescent="0.2">
      <c r="I56819" s="137" t="s">
        <v>74</v>
      </c>
    </row>
    <row r="56820" spans="9:9" x14ac:dyDescent="0.2">
      <c r="I56820" s="137" t="s">
        <v>74</v>
      </c>
    </row>
    <row r="56821" spans="9:9" x14ac:dyDescent="0.2">
      <c r="I56821" s="137" t="s">
        <v>74</v>
      </c>
    </row>
    <row r="56822" spans="9:9" x14ac:dyDescent="0.2">
      <c r="I56822" s="137" t="s">
        <v>74</v>
      </c>
    </row>
    <row r="56823" spans="9:9" x14ac:dyDescent="0.2">
      <c r="I56823" s="137" t="s">
        <v>74</v>
      </c>
    </row>
    <row r="56824" spans="9:9" x14ac:dyDescent="0.2">
      <c r="I56824" s="137" t="s">
        <v>74</v>
      </c>
    </row>
    <row r="56825" spans="9:9" x14ac:dyDescent="0.2">
      <c r="I56825" s="137" t="s">
        <v>74</v>
      </c>
    </row>
    <row r="56826" spans="9:9" x14ac:dyDescent="0.2">
      <c r="I56826" s="137" t="s">
        <v>74</v>
      </c>
    </row>
    <row r="56827" spans="9:9" x14ac:dyDescent="0.2">
      <c r="I56827" s="137" t="s">
        <v>74</v>
      </c>
    </row>
    <row r="56828" spans="9:9" x14ac:dyDescent="0.2">
      <c r="I56828" s="137" t="s">
        <v>74</v>
      </c>
    </row>
    <row r="56829" spans="9:9" x14ac:dyDescent="0.2">
      <c r="I56829" s="137" t="s">
        <v>74</v>
      </c>
    </row>
    <row r="56830" spans="9:9" x14ac:dyDescent="0.2">
      <c r="I56830" s="137" t="s">
        <v>74</v>
      </c>
    </row>
    <row r="56831" spans="9:9" x14ac:dyDescent="0.2">
      <c r="I56831" s="137" t="s">
        <v>74</v>
      </c>
    </row>
    <row r="56832" spans="9:9" x14ac:dyDescent="0.2">
      <c r="I56832" s="137" t="s">
        <v>74</v>
      </c>
    </row>
    <row r="56833" spans="9:9" x14ac:dyDescent="0.2">
      <c r="I56833" s="137" t="s">
        <v>74</v>
      </c>
    </row>
    <row r="56834" spans="9:9" x14ac:dyDescent="0.2">
      <c r="I56834" s="137" t="s">
        <v>74</v>
      </c>
    </row>
    <row r="56835" spans="9:9" x14ac:dyDescent="0.2">
      <c r="I56835" s="137" t="s">
        <v>74</v>
      </c>
    </row>
    <row r="56836" spans="9:9" x14ac:dyDescent="0.2">
      <c r="I56836" s="137" t="s">
        <v>74</v>
      </c>
    </row>
    <row r="56837" spans="9:9" x14ac:dyDescent="0.2">
      <c r="I56837" s="137" t="s">
        <v>74</v>
      </c>
    </row>
    <row r="56838" spans="9:9" x14ac:dyDescent="0.2">
      <c r="I56838" s="137" t="s">
        <v>74</v>
      </c>
    </row>
    <row r="56839" spans="9:9" x14ac:dyDescent="0.2">
      <c r="I56839" s="137" t="s">
        <v>74</v>
      </c>
    </row>
    <row r="56840" spans="9:9" x14ac:dyDescent="0.2">
      <c r="I56840" s="137" t="s">
        <v>74</v>
      </c>
    </row>
    <row r="56841" spans="9:9" x14ac:dyDescent="0.2">
      <c r="I56841" s="137" t="s">
        <v>74</v>
      </c>
    </row>
    <row r="56842" spans="9:9" x14ac:dyDescent="0.2">
      <c r="I56842" s="137" t="s">
        <v>74</v>
      </c>
    </row>
    <row r="56843" spans="9:9" x14ac:dyDescent="0.2">
      <c r="I56843" s="137" t="s">
        <v>74</v>
      </c>
    </row>
    <row r="56844" spans="9:9" x14ac:dyDescent="0.2">
      <c r="I56844" s="137" t="s">
        <v>74</v>
      </c>
    </row>
    <row r="56845" spans="9:9" x14ac:dyDescent="0.2">
      <c r="I56845" s="137" t="s">
        <v>74</v>
      </c>
    </row>
    <row r="56846" spans="9:9" x14ac:dyDescent="0.2">
      <c r="I56846" s="137" t="s">
        <v>74</v>
      </c>
    </row>
    <row r="56847" spans="9:9" x14ac:dyDescent="0.2">
      <c r="I56847" s="137" t="s">
        <v>74</v>
      </c>
    </row>
    <row r="56848" spans="9:9" x14ac:dyDescent="0.2">
      <c r="I56848" s="137" t="s">
        <v>74</v>
      </c>
    </row>
    <row r="56849" spans="9:9" x14ac:dyDescent="0.2">
      <c r="I56849" s="137" t="s">
        <v>74</v>
      </c>
    </row>
    <row r="56850" spans="9:9" x14ac:dyDescent="0.2">
      <c r="I56850" s="137" t="s">
        <v>74</v>
      </c>
    </row>
    <row r="56851" spans="9:9" x14ac:dyDescent="0.2">
      <c r="I56851" s="137" t="s">
        <v>74</v>
      </c>
    </row>
    <row r="56852" spans="9:9" x14ac:dyDescent="0.2">
      <c r="I56852" s="137" t="s">
        <v>74</v>
      </c>
    </row>
    <row r="56853" spans="9:9" x14ac:dyDescent="0.2">
      <c r="I56853" s="137" t="s">
        <v>74</v>
      </c>
    </row>
    <row r="56854" spans="9:9" x14ac:dyDescent="0.2">
      <c r="I56854" s="137" t="s">
        <v>74</v>
      </c>
    </row>
    <row r="56855" spans="9:9" x14ac:dyDescent="0.2">
      <c r="I56855" s="137" t="s">
        <v>74</v>
      </c>
    </row>
    <row r="56856" spans="9:9" x14ac:dyDescent="0.2">
      <c r="I56856" s="137" t="s">
        <v>74</v>
      </c>
    </row>
    <row r="56857" spans="9:9" x14ac:dyDescent="0.2">
      <c r="I56857" s="137" t="s">
        <v>74</v>
      </c>
    </row>
    <row r="56858" spans="9:9" x14ac:dyDescent="0.2">
      <c r="I56858" s="137" t="s">
        <v>74</v>
      </c>
    </row>
    <row r="56859" spans="9:9" x14ac:dyDescent="0.2">
      <c r="I56859" s="137" t="s">
        <v>74</v>
      </c>
    </row>
    <row r="56860" spans="9:9" x14ac:dyDescent="0.2">
      <c r="I56860" s="137" t="s">
        <v>74</v>
      </c>
    </row>
    <row r="56861" spans="9:9" x14ac:dyDescent="0.2">
      <c r="I56861" s="137" t="s">
        <v>74</v>
      </c>
    </row>
    <row r="56862" spans="9:9" x14ac:dyDescent="0.2">
      <c r="I56862" s="137" t="s">
        <v>74</v>
      </c>
    </row>
    <row r="56863" spans="9:9" x14ac:dyDescent="0.2">
      <c r="I56863" s="137" t="s">
        <v>74</v>
      </c>
    </row>
    <row r="56864" spans="9:9" x14ac:dyDescent="0.2">
      <c r="I56864" s="137" t="s">
        <v>74</v>
      </c>
    </row>
    <row r="56865" spans="9:9" x14ac:dyDescent="0.2">
      <c r="I56865" s="137" t="s">
        <v>74</v>
      </c>
    </row>
    <row r="56866" spans="9:9" x14ac:dyDescent="0.2">
      <c r="I56866" s="137" t="s">
        <v>74</v>
      </c>
    </row>
    <row r="56867" spans="9:9" x14ac:dyDescent="0.2">
      <c r="I56867" s="137" t="s">
        <v>74</v>
      </c>
    </row>
    <row r="56868" spans="9:9" x14ac:dyDescent="0.2">
      <c r="I56868" s="137" t="s">
        <v>74</v>
      </c>
    </row>
    <row r="56869" spans="9:9" x14ac:dyDescent="0.2">
      <c r="I56869" s="137" t="s">
        <v>74</v>
      </c>
    </row>
    <row r="56870" spans="9:9" x14ac:dyDescent="0.2">
      <c r="I56870" s="137" t="s">
        <v>74</v>
      </c>
    </row>
    <row r="56871" spans="9:9" x14ac:dyDescent="0.2">
      <c r="I56871" s="137" t="s">
        <v>74</v>
      </c>
    </row>
    <row r="56872" spans="9:9" x14ac:dyDescent="0.2">
      <c r="I56872" s="137" t="s">
        <v>74</v>
      </c>
    </row>
    <row r="56873" spans="9:9" x14ac:dyDescent="0.2">
      <c r="I56873" s="137" t="s">
        <v>74</v>
      </c>
    </row>
    <row r="56874" spans="9:9" x14ac:dyDescent="0.2">
      <c r="I56874" s="137" t="s">
        <v>74</v>
      </c>
    </row>
    <row r="56875" spans="9:9" x14ac:dyDescent="0.2">
      <c r="I56875" s="137" t="s">
        <v>74</v>
      </c>
    </row>
    <row r="56876" spans="9:9" x14ac:dyDescent="0.2">
      <c r="I56876" s="137" t="s">
        <v>74</v>
      </c>
    </row>
    <row r="56877" spans="9:9" x14ac:dyDescent="0.2">
      <c r="I56877" s="137" t="s">
        <v>74</v>
      </c>
    </row>
    <row r="56878" spans="9:9" x14ac:dyDescent="0.2">
      <c r="I56878" s="137" t="s">
        <v>74</v>
      </c>
    </row>
    <row r="56879" spans="9:9" x14ac:dyDescent="0.2">
      <c r="I56879" s="137" t="s">
        <v>74</v>
      </c>
    </row>
    <row r="56880" spans="9:9" x14ac:dyDescent="0.2">
      <c r="I56880" s="137" t="s">
        <v>74</v>
      </c>
    </row>
    <row r="56881" spans="9:9" x14ac:dyDescent="0.2">
      <c r="I56881" s="137" t="s">
        <v>74</v>
      </c>
    </row>
    <row r="56882" spans="9:9" x14ac:dyDescent="0.2">
      <c r="I56882" s="137" t="s">
        <v>74</v>
      </c>
    </row>
    <row r="56883" spans="9:9" x14ac:dyDescent="0.2">
      <c r="I56883" s="137" t="s">
        <v>74</v>
      </c>
    </row>
    <row r="56884" spans="9:9" x14ac:dyDescent="0.2">
      <c r="I56884" s="137" t="s">
        <v>74</v>
      </c>
    </row>
    <row r="56885" spans="9:9" x14ac:dyDescent="0.2">
      <c r="I56885" s="137" t="s">
        <v>74</v>
      </c>
    </row>
    <row r="56886" spans="9:9" x14ac:dyDescent="0.2">
      <c r="I56886" s="137" t="s">
        <v>74</v>
      </c>
    </row>
    <row r="56887" spans="9:9" x14ac:dyDescent="0.2">
      <c r="I56887" s="137" t="s">
        <v>74</v>
      </c>
    </row>
    <row r="56888" spans="9:9" x14ac:dyDescent="0.2">
      <c r="I56888" s="137" t="s">
        <v>74</v>
      </c>
    </row>
    <row r="56889" spans="9:9" x14ac:dyDescent="0.2">
      <c r="I56889" s="137" t="s">
        <v>74</v>
      </c>
    </row>
    <row r="56890" spans="9:9" x14ac:dyDescent="0.2">
      <c r="I56890" s="137" t="s">
        <v>74</v>
      </c>
    </row>
    <row r="56891" spans="9:9" x14ac:dyDescent="0.2">
      <c r="I56891" s="137" t="s">
        <v>74</v>
      </c>
    </row>
    <row r="56892" spans="9:9" x14ac:dyDescent="0.2">
      <c r="I56892" s="137" t="s">
        <v>74</v>
      </c>
    </row>
    <row r="56893" spans="9:9" x14ac:dyDescent="0.2">
      <c r="I56893" s="137" t="s">
        <v>74</v>
      </c>
    </row>
    <row r="56894" spans="9:9" x14ac:dyDescent="0.2">
      <c r="I56894" s="137" t="s">
        <v>74</v>
      </c>
    </row>
    <row r="56895" spans="9:9" x14ac:dyDescent="0.2">
      <c r="I56895" s="137" t="s">
        <v>74</v>
      </c>
    </row>
    <row r="56896" spans="9:9" x14ac:dyDescent="0.2">
      <c r="I56896" s="137" t="s">
        <v>74</v>
      </c>
    </row>
    <row r="56897" spans="9:9" x14ac:dyDescent="0.2">
      <c r="I56897" s="137" t="s">
        <v>74</v>
      </c>
    </row>
    <row r="56898" spans="9:9" x14ac:dyDescent="0.2">
      <c r="I56898" s="137" t="s">
        <v>74</v>
      </c>
    </row>
    <row r="56899" spans="9:9" x14ac:dyDescent="0.2">
      <c r="I56899" s="137" t="s">
        <v>74</v>
      </c>
    </row>
    <row r="56900" spans="9:9" x14ac:dyDescent="0.2">
      <c r="I56900" s="137" t="s">
        <v>74</v>
      </c>
    </row>
    <row r="56901" spans="9:9" x14ac:dyDescent="0.2">
      <c r="I56901" s="137" t="s">
        <v>74</v>
      </c>
    </row>
    <row r="56902" spans="9:9" x14ac:dyDescent="0.2">
      <c r="I56902" s="137" t="s">
        <v>74</v>
      </c>
    </row>
    <row r="56903" spans="9:9" x14ac:dyDescent="0.2">
      <c r="I56903" s="137" t="s">
        <v>74</v>
      </c>
    </row>
    <row r="56904" spans="9:9" x14ac:dyDescent="0.2">
      <c r="I56904" s="137" t="s">
        <v>74</v>
      </c>
    </row>
    <row r="56905" spans="9:9" x14ac:dyDescent="0.2">
      <c r="I56905" s="137" t="s">
        <v>74</v>
      </c>
    </row>
    <row r="56906" spans="9:9" x14ac:dyDescent="0.2">
      <c r="I56906" s="137" t="s">
        <v>74</v>
      </c>
    </row>
    <row r="56907" spans="9:9" x14ac:dyDescent="0.2">
      <c r="I56907" s="137" t="s">
        <v>74</v>
      </c>
    </row>
    <row r="56908" spans="9:9" x14ac:dyDescent="0.2">
      <c r="I56908" s="137" t="s">
        <v>74</v>
      </c>
    </row>
    <row r="56909" spans="9:9" x14ac:dyDescent="0.2">
      <c r="I56909" s="137" t="s">
        <v>74</v>
      </c>
    </row>
    <row r="56910" spans="9:9" x14ac:dyDescent="0.2">
      <c r="I56910" s="137" t="s">
        <v>74</v>
      </c>
    </row>
    <row r="56911" spans="9:9" x14ac:dyDescent="0.2">
      <c r="I56911" s="137" t="s">
        <v>74</v>
      </c>
    </row>
    <row r="56912" spans="9:9" x14ac:dyDescent="0.2">
      <c r="I56912" s="137" t="s">
        <v>74</v>
      </c>
    </row>
    <row r="56913" spans="9:9" x14ac:dyDescent="0.2">
      <c r="I56913" s="137" t="s">
        <v>74</v>
      </c>
    </row>
    <row r="56914" spans="9:9" x14ac:dyDescent="0.2">
      <c r="I56914" s="137" t="s">
        <v>74</v>
      </c>
    </row>
    <row r="56915" spans="9:9" x14ac:dyDescent="0.2">
      <c r="I56915" s="137" t="s">
        <v>74</v>
      </c>
    </row>
    <row r="56916" spans="9:9" x14ac:dyDescent="0.2">
      <c r="I56916" s="137" t="s">
        <v>74</v>
      </c>
    </row>
    <row r="56917" spans="9:9" x14ac:dyDescent="0.2">
      <c r="I56917" s="137" t="s">
        <v>74</v>
      </c>
    </row>
    <row r="56918" spans="9:9" x14ac:dyDescent="0.2">
      <c r="I56918" s="137" t="s">
        <v>74</v>
      </c>
    </row>
    <row r="56919" spans="9:9" x14ac:dyDescent="0.2">
      <c r="I56919" s="137" t="s">
        <v>74</v>
      </c>
    </row>
    <row r="56920" spans="9:9" x14ac:dyDescent="0.2">
      <c r="I56920" s="137" t="s">
        <v>74</v>
      </c>
    </row>
    <row r="56921" spans="9:9" x14ac:dyDescent="0.2">
      <c r="I56921" s="137" t="s">
        <v>74</v>
      </c>
    </row>
    <row r="56922" spans="9:9" x14ac:dyDescent="0.2">
      <c r="I56922" s="137" t="s">
        <v>74</v>
      </c>
    </row>
    <row r="56923" spans="9:9" x14ac:dyDescent="0.2">
      <c r="I56923" s="137" t="s">
        <v>74</v>
      </c>
    </row>
    <row r="56924" spans="9:9" x14ac:dyDescent="0.2">
      <c r="I56924" s="137" t="s">
        <v>74</v>
      </c>
    </row>
    <row r="56925" spans="9:9" x14ac:dyDescent="0.2">
      <c r="I56925" s="137" t="s">
        <v>74</v>
      </c>
    </row>
    <row r="56926" spans="9:9" x14ac:dyDescent="0.2">
      <c r="I56926" s="137" t="s">
        <v>74</v>
      </c>
    </row>
    <row r="56927" spans="9:9" x14ac:dyDescent="0.2">
      <c r="I56927" s="137" t="s">
        <v>74</v>
      </c>
    </row>
    <row r="56928" spans="9:9" x14ac:dyDescent="0.2">
      <c r="I56928" s="137" t="s">
        <v>74</v>
      </c>
    </row>
    <row r="56929" spans="9:9" x14ac:dyDescent="0.2">
      <c r="I56929" s="137" t="s">
        <v>74</v>
      </c>
    </row>
    <row r="56930" spans="9:9" x14ac:dyDescent="0.2">
      <c r="I56930" s="137" t="s">
        <v>74</v>
      </c>
    </row>
    <row r="56931" spans="9:9" x14ac:dyDescent="0.2">
      <c r="I56931" s="137" t="s">
        <v>74</v>
      </c>
    </row>
    <row r="56932" spans="9:9" x14ac:dyDescent="0.2">
      <c r="I56932" s="137" t="s">
        <v>74</v>
      </c>
    </row>
    <row r="56933" spans="9:9" x14ac:dyDescent="0.2">
      <c r="I56933" s="137" t="s">
        <v>74</v>
      </c>
    </row>
    <row r="56934" spans="9:9" x14ac:dyDescent="0.2">
      <c r="I56934" s="137" t="s">
        <v>74</v>
      </c>
    </row>
    <row r="56935" spans="9:9" x14ac:dyDescent="0.2">
      <c r="I56935" s="137" t="s">
        <v>74</v>
      </c>
    </row>
    <row r="56936" spans="9:9" x14ac:dyDescent="0.2">
      <c r="I56936" s="137" t="s">
        <v>74</v>
      </c>
    </row>
    <row r="56937" spans="9:9" x14ac:dyDescent="0.2">
      <c r="I56937" s="137" t="s">
        <v>74</v>
      </c>
    </row>
    <row r="56938" spans="9:9" x14ac:dyDescent="0.2">
      <c r="I56938" s="137" t="s">
        <v>74</v>
      </c>
    </row>
    <row r="56939" spans="9:9" x14ac:dyDescent="0.2">
      <c r="I56939" s="137" t="s">
        <v>74</v>
      </c>
    </row>
    <row r="56940" spans="9:9" x14ac:dyDescent="0.2">
      <c r="I56940" s="137" t="s">
        <v>74</v>
      </c>
    </row>
    <row r="56941" spans="9:9" x14ac:dyDescent="0.2">
      <c r="I56941" s="137" t="s">
        <v>74</v>
      </c>
    </row>
    <row r="56942" spans="9:9" x14ac:dyDescent="0.2">
      <c r="I56942" s="137" t="s">
        <v>74</v>
      </c>
    </row>
    <row r="56943" spans="9:9" x14ac:dyDescent="0.2">
      <c r="I56943" s="137" t="s">
        <v>74</v>
      </c>
    </row>
    <row r="56944" spans="9:9" x14ac:dyDescent="0.2">
      <c r="I56944" s="137" t="s">
        <v>74</v>
      </c>
    </row>
    <row r="56945" spans="9:9" x14ac:dyDescent="0.2">
      <c r="I56945" s="137" t="s">
        <v>74</v>
      </c>
    </row>
    <row r="56946" spans="9:9" x14ac:dyDescent="0.2">
      <c r="I56946" s="137" t="s">
        <v>74</v>
      </c>
    </row>
    <row r="56947" spans="9:9" x14ac:dyDescent="0.2">
      <c r="I56947" s="137" t="s">
        <v>74</v>
      </c>
    </row>
    <row r="56948" spans="9:9" x14ac:dyDescent="0.2">
      <c r="I56948" s="137" t="s">
        <v>74</v>
      </c>
    </row>
    <row r="56949" spans="9:9" x14ac:dyDescent="0.2">
      <c r="I56949" s="137" t="s">
        <v>74</v>
      </c>
    </row>
    <row r="56950" spans="9:9" x14ac:dyDescent="0.2">
      <c r="I56950" s="137" t="s">
        <v>74</v>
      </c>
    </row>
    <row r="56951" spans="9:9" x14ac:dyDescent="0.2">
      <c r="I56951" s="137" t="s">
        <v>74</v>
      </c>
    </row>
    <row r="56952" spans="9:9" x14ac:dyDescent="0.2">
      <c r="I56952" s="137" t="s">
        <v>74</v>
      </c>
    </row>
    <row r="56953" spans="9:9" x14ac:dyDescent="0.2">
      <c r="I56953" s="137" t="s">
        <v>74</v>
      </c>
    </row>
    <row r="56954" spans="9:9" x14ac:dyDescent="0.2">
      <c r="I56954" s="137" t="s">
        <v>74</v>
      </c>
    </row>
    <row r="56955" spans="9:9" x14ac:dyDescent="0.2">
      <c r="I56955" s="137" t="s">
        <v>74</v>
      </c>
    </row>
    <row r="56956" spans="9:9" x14ac:dyDescent="0.2">
      <c r="I56956" s="137" t="s">
        <v>74</v>
      </c>
    </row>
    <row r="56957" spans="9:9" x14ac:dyDescent="0.2">
      <c r="I56957" s="137" t="s">
        <v>74</v>
      </c>
    </row>
    <row r="56958" spans="9:9" x14ac:dyDescent="0.2">
      <c r="I56958" s="137" t="s">
        <v>74</v>
      </c>
    </row>
    <row r="56959" spans="9:9" x14ac:dyDescent="0.2">
      <c r="I56959" s="137" t="s">
        <v>74</v>
      </c>
    </row>
    <row r="56960" spans="9:9" x14ac:dyDescent="0.2">
      <c r="I56960" s="137" t="s">
        <v>74</v>
      </c>
    </row>
    <row r="56961" spans="9:9" x14ac:dyDescent="0.2">
      <c r="I56961" s="137" t="s">
        <v>74</v>
      </c>
    </row>
    <row r="56962" spans="9:9" x14ac:dyDescent="0.2">
      <c r="I56962" s="137" t="s">
        <v>74</v>
      </c>
    </row>
    <row r="56963" spans="9:9" x14ac:dyDescent="0.2">
      <c r="I56963" s="137" t="s">
        <v>74</v>
      </c>
    </row>
    <row r="56964" spans="9:9" x14ac:dyDescent="0.2">
      <c r="I56964" s="137" t="s">
        <v>74</v>
      </c>
    </row>
    <row r="56965" spans="9:9" x14ac:dyDescent="0.2">
      <c r="I56965" s="137" t="s">
        <v>74</v>
      </c>
    </row>
    <row r="56966" spans="9:9" x14ac:dyDescent="0.2">
      <c r="I56966" s="137" t="s">
        <v>74</v>
      </c>
    </row>
    <row r="56967" spans="9:9" x14ac:dyDescent="0.2">
      <c r="I56967" s="137" t="s">
        <v>74</v>
      </c>
    </row>
    <row r="56968" spans="9:9" x14ac:dyDescent="0.2">
      <c r="I56968" s="137" t="s">
        <v>74</v>
      </c>
    </row>
    <row r="56969" spans="9:9" x14ac:dyDescent="0.2">
      <c r="I56969" s="137" t="s">
        <v>74</v>
      </c>
    </row>
    <row r="56970" spans="9:9" x14ac:dyDescent="0.2">
      <c r="I56970" s="137" t="s">
        <v>74</v>
      </c>
    </row>
    <row r="56971" spans="9:9" x14ac:dyDescent="0.2">
      <c r="I56971" s="137" t="s">
        <v>74</v>
      </c>
    </row>
    <row r="56972" spans="9:9" x14ac:dyDescent="0.2">
      <c r="I56972" s="137" t="s">
        <v>74</v>
      </c>
    </row>
    <row r="56973" spans="9:9" x14ac:dyDescent="0.2">
      <c r="I56973" s="137" t="s">
        <v>74</v>
      </c>
    </row>
    <row r="56974" spans="9:9" x14ac:dyDescent="0.2">
      <c r="I56974" s="137" t="s">
        <v>74</v>
      </c>
    </row>
    <row r="56975" spans="9:9" x14ac:dyDescent="0.2">
      <c r="I56975" s="137" t="s">
        <v>74</v>
      </c>
    </row>
    <row r="56976" spans="9:9" x14ac:dyDescent="0.2">
      <c r="I56976" s="137" t="s">
        <v>74</v>
      </c>
    </row>
    <row r="56977" spans="9:9" x14ac:dyDescent="0.2">
      <c r="I56977" s="137" t="s">
        <v>74</v>
      </c>
    </row>
    <row r="56978" spans="9:9" x14ac:dyDescent="0.2">
      <c r="I56978" s="137" t="s">
        <v>74</v>
      </c>
    </row>
    <row r="56979" spans="9:9" x14ac:dyDescent="0.2">
      <c r="I56979" s="137" t="s">
        <v>74</v>
      </c>
    </row>
    <row r="56980" spans="9:9" x14ac:dyDescent="0.2">
      <c r="I56980" s="137" t="s">
        <v>74</v>
      </c>
    </row>
    <row r="56981" spans="9:9" x14ac:dyDescent="0.2">
      <c r="I56981" s="137" t="s">
        <v>74</v>
      </c>
    </row>
    <row r="56982" spans="9:9" x14ac:dyDescent="0.2">
      <c r="I56982" s="137" t="s">
        <v>74</v>
      </c>
    </row>
    <row r="56983" spans="9:9" x14ac:dyDescent="0.2">
      <c r="I56983" s="137" t="s">
        <v>74</v>
      </c>
    </row>
    <row r="56984" spans="9:9" x14ac:dyDescent="0.2">
      <c r="I56984" s="137" t="s">
        <v>74</v>
      </c>
    </row>
    <row r="56985" spans="9:9" x14ac:dyDescent="0.2">
      <c r="I56985" s="137" t="s">
        <v>74</v>
      </c>
    </row>
    <row r="56986" spans="9:9" x14ac:dyDescent="0.2">
      <c r="I56986" s="137" t="s">
        <v>74</v>
      </c>
    </row>
    <row r="56987" spans="9:9" x14ac:dyDescent="0.2">
      <c r="I56987" s="137" t="s">
        <v>74</v>
      </c>
    </row>
    <row r="56988" spans="9:9" x14ac:dyDescent="0.2">
      <c r="I56988" s="137" t="s">
        <v>74</v>
      </c>
    </row>
    <row r="56989" spans="9:9" x14ac:dyDescent="0.2">
      <c r="I56989" s="137" t="s">
        <v>74</v>
      </c>
    </row>
    <row r="56990" spans="9:9" x14ac:dyDescent="0.2">
      <c r="I56990" s="137" t="s">
        <v>74</v>
      </c>
    </row>
    <row r="56991" spans="9:9" x14ac:dyDescent="0.2">
      <c r="I56991" s="137" t="s">
        <v>74</v>
      </c>
    </row>
    <row r="56992" spans="9:9" x14ac:dyDescent="0.2">
      <c r="I56992" s="137" t="s">
        <v>74</v>
      </c>
    </row>
    <row r="56993" spans="9:9" x14ac:dyDescent="0.2">
      <c r="I56993" s="137" t="s">
        <v>74</v>
      </c>
    </row>
    <row r="56994" spans="9:9" x14ac:dyDescent="0.2">
      <c r="I56994" s="137" t="s">
        <v>74</v>
      </c>
    </row>
    <row r="56995" spans="9:9" x14ac:dyDescent="0.2">
      <c r="I56995" s="137" t="s">
        <v>74</v>
      </c>
    </row>
    <row r="56996" spans="9:9" x14ac:dyDescent="0.2">
      <c r="I56996" s="137" t="s">
        <v>74</v>
      </c>
    </row>
    <row r="56997" spans="9:9" x14ac:dyDescent="0.2">
      <c r="I56997" s="137" t="s">
        <v>74</v>
      </c>
    </row>
    <row r="56998" spans="9:9" x14ac:dyDescent="0.2">
      <c r="I56998" s="137" t="s">
        <v>74</v>
      </c>
    </row>
    <row r="56999" spans="9:9" x14ac:dyDescent="0.2">
      <c r="I56999" s="137" t="s">
        <v>74</v>
      </c>
    </row>
    <row r="57000" spans="9:9" x14ac:dyDescent="0.2">
      <c r="I57000" s="137" t="s">
        <v>74</v>
      </c>
    </row>
    <row r="57001" spans="9:9" x14ac:dyDescent="0.2">
      <c r="I57001" s="137" t="s">
        <v>74</v>
      </c>
    </row>
    <row r="57002" spans="9:9" x14ac:dyDescent="0.2">
      <c r="I57002" s="137" t="s">
        <v>74</v>
      </c>
    </row>
    <row r="57003" spans="9:9" x14ac:dyDescent="0.2">
      <c r="I57003" s="137" t="s">
        <v>74</v>
      </c>
    </row>
    <row r="57004" spans="9:9" x14ac:dyDescent="0.2">
      <c r="I57004" s="137" t="s">
        <v>74</v>
      </c>
    </row>
    <row r="57005" spans="9:9" x14ac:dyDescent="0.2">
      <c r="I57005" s="137" t="s">
        <v>74</v>
      </c>
    </row>
    <row r="57006" spans="9:9" x14ac:dyDescent="0.2">
      <c r="I57006" s="137" t="s">
        <v>74</v>
      </c>
    </row>
    <row r="57007" spans="9:9" x14ac:dyDescent="0.2">
      <c r="I57007" s="137" t="s">
        <v>74</v>
      </c>
    </row>
    <row r="57008" spans="9:9" x14ac:dyDescent="0.2">
      <c r="I57008" s="137" t="s">
        <v>74</v>
      </c>
    </row>
    <row r="57009" spans="9:9" x14ac:dyDescent="0.2">
      <c r="I57009" s="137" t="s">
        <v>74</v>
      </c>
    </row>
    <row r="57010" spans="9:9" x14ac:dyDescent="0.2">
      <c r="I57010" s="137" t="s">
        <v>74</v>
      </c>
    </row>
    <row r="57011" spans="9:9" x14ac:dyDescent="0.2">
      <c r="I57011" s="137" t="s">
        <v>74</v>
      </c>
    </row>
    <row r="57012" spans="9:9" x14ac:dyDescent="0.2">
      <c r="I57012" s="137" t="s">
        <v>74</v>
      </c>
    </row>
    <row r="57013" spans="9:9" x14ac:dyDescent="0.2">
      <c r="I57013" s="137" t="s">
        <v>74</v>
      </c>
    </row>
    <row r="57014" spans="9:9" x14ac:dyDescent="0.2">
      <c r="I57014" s="137" t="s">
        <v>74</v>
      </c>
    </row>
    <row r="57015" spans="9:9" x14ac:dyDescent="0.2">
      <c r="I57015" s="137" t="s">
        <v>74</v>
      </c>
    </row>
    <row r="57016" spans="9:9" x14ac:dyDescent="0.2">
      <c r="I57016" s="137" t="s">
        <v>74</v>
      </c>
    </row>
    <row r="57017" spans="9:9" x14ac:dyDescent="0.2">
      <c r="I57017" s="137" t="s">
        <v>74</v>
      </c>
    </row>
    <row r="57018" spans="9:9" x14ac:dyDescent="0.2">
      <c r="I57018" s="137" t="s">
        <v>74</v>
      </c>
    </row>
    <row r="57019" spans="9:9" x14ac:dyDescent="0.2">
      <c r="I57019" s="137" t="s">
        <v>74</v>
      </c>
    </row>
    <row r="57020" spans="9:9" x14ac:dyDescent="0.2">
      <c r="I57020" s="137" t="s">
        <v>74</v>
      </c>
    </row>
    <row r="57021" spans="9:9" x14ac:dyDescent="0.2">
      <c r="I57021" s="137" t="s">
        <v>74</v>
      </c>
    </row>
    <row r="57022" spans="9:9" x14ac:dyDescent="0.2">
      <c r="I57022" s="137" t="s">
        <v>74</v>
      </c>
    </row>
    <row r="57023" spans="9:9" x14ac:dyDescent="0.2">
      <c r="I57023" s="137" t="s">
        <v>74</v>
      </c>
    </row>
    <row r="57024" spans="9:9" x14ac:dyDescent="0.2">
      <c r="I57024" s="137" t="s">
        <v>74</v>
      </c>
    </row>
    <row r="57025" spans="9:9" x14ac:dyDescent="0.2">
      <c r="I57025" s="137" t="s">
        <v>74</v>
      </c>
    </row>
    <row r="57026" spans="9:9" x14ac:dyDescent="0.2">
      <c r="I57026" s="137" t="s">
        <v>74</v>
      </c>
    </row>
    <row r="57027" spans="9:9" x14ac:dyDescent="0.2">
      <c r="I57027" s="137" t="s">
        <v>74</v>
      </c>
    </row>
    <row r="57028" spans="9:9" x14ac:dyDescent="0.2">
      <c r="I57028" s="137" t="s">
        <v>74</v>
      </c>
    </row>
    <row r="57029" spans="9:9" x14ac:dyDescent="0.2">
      <c r="I57029" s="137" t="s">
        <v>74</v>
      </c>
    </row>
    <row r="57030" spans="9:9" x14ac:dyDescent="0.2">
      <c r="I57030" s="137" t="s">
        <v>74</v>
      </c>
    </row>
    <row r="57031" spans="9:9" x14ac:dyDescent="0.2">
      <c r="I57031" s="137" t="s">
        <v>74</v>
      </c>
    </row>
    <row r="57032" spans="9:9" x14ac:dyDescent="0.2">
      <c r="I57032" s="137" t="s">
        <v>74</v>
      </c>
    </row>
    <row r="57033" spans="9:9" x14ac:dyDescent="0.2">
      <c r="I57033" s="137" t="s">
        <v>74</v>
      </c>
    </row>
    <row r="57034" spans="9:9" x14ac:dyDescent="0.2">
      <c r="I57034" s="137" t="s">
        <v>74</v>
      </c>
    </row>
    <row r="57035" spans="9:9" x14ac:dyDescent="0.2">
      <c r="I57035" s="137" t="s">
        <v>74</v>
      </c>
    </row>
    <row r="57036" spans="9:9" x14ac:dyDescent="0.2">
      <c r="I57036" s="137" t="s">
        <v>74</v>
      </c>
    </row>
    <row r="57037" spans="9:9" x14ac:dyDescent="0.2">
      <c r="I57037" s="137" t="s">
        <v>74</v>
      </c>
    </row>
    <row r="57038" spans="9:9" x14ac:dyDescent="0.2">
      <c r="I57038" s="137" t="s">
        <v>74</v>
      </c>
    </row>
    <row r="57039" spans="9:9" x14ac:dyDescent="0.2">
      <c r="I57039" s="137" t="s">
        <v>74</v>
      </c>
    </row>
    <row r="57040" spans="9:9" x14ac:dyDescent="0.2">
      <c r="I57040" s="137" t="s">
        <v>74</v>
      </c>
    </row>
    <row r="57041" spans="9:9" x14ac:dyDescent="0.2">
      <c r="I57041" s="137" t="s">
        <v>74</v>
      </c>
    </row>
    <row r="57042" spans="9:9" x14ac:dyDescent="0.2">
      <c r="I57042" s="137" t="s">
        <v>74</v>
      </c>
    </row>
    <row r="57043" spans="9:9" x14ac:dyDescent="0.2">
      <c r="I57043" s="137" t="s">
        <v>74</v>
      </c>
    </row>
    <row r="57044" spans="9:9" x14ac:dyDescent="0.2">
      <c r="I57044" s="137" t="s">
        <v>74</v>
      </c>
    </row>
    <row r="57045" spans="9:9" x14ac:dyDescent="0.2">
      <c r="I57045" s="137" t="s">
        <v>74</v>
      </c>
    </row>
    <row r="57046" spans="9:9" x14ac:dyDescent="0.2">
      <c r="I57046" s="137" t="s">
        <v>74</v>
      </c>
    </row>
    <row r="57047" spans="9:9" x14ac:dyDescent="0.2">
      <c r="I57047" s="137" t="s">
        <v>74</v>
      </c>
    </row>
    <row r="57048" spans="9:9" x14ac:dyDescent="0.2">
      <c r="I57048" s="137" t="s">
        <v>74</v>
      </c>
    </row>
    <row r="57049" spans="9:9" x14ac:dyDescent="0.2">
      <c r="I57049" s="137" t="s">
        <v>74</v>
      </c>
    </row>
    <row r="57050" spans="9:9" x14ac:dyDescent="0.2">
      <c r="I57050" s="137" t="s">
        <v>74</v>
      </c>
    </row>
    <row r="57051" spans="9:9" x14ac:dyDescent="0.2">
      <c r="I57051" s="137" t="s">
        <v>74</v>
      </c>
    </row>
    <row r="57052" spans="9:9" x14ac:dyDescent="0.2">
      <c r="I57052" s="137" t="s">
        <v>74</v>
      </c>
    </row>
    <row r="57053" spans="9:9" x14ac:dyDescent="0.2">
      <c r="I57053" s="137" t="s">
        <v>74</v>
      </c>
    </row>
    <row r="57054" spans="9:9" x14ac:dyDescent="0.2">
      <c r="I57054" s="137" t="s">
        <v>74</v>
      </c>
    </row>
    <row r="57055" spans="9:9" x14ac:dyDescent="0.2">
      <c r="I57055" s="137" t="s">
        <v>74</v>
      </c>
    </row>
    <row r="57056" spans="9:9" x14ac:dyDescent="0.2">
      <c r="I57056" s="137" t="s">
        <v>74</v>
      </c>
    </row>
    <row r="57057" spans="9:9" x14ac:dyDescent="0.2">
      <c r="I57057" s="137" t="s">
        <v>74</v>
      </c>
    </row>
    <row r="57058" spans="9:9" x14ac:dyDescent="0.2">
      <c r="I57058" s="137" t="s">
        <v>74</v>
      </c>
    </row>
    <row r="57059" spans="9:9" x14ac:dyDescent="0.2">
      <c r="I57059" s="137" t="s">
        <v>74</v>
      </c>
    </row>
    <row r="57060" spans="9:9" x14ac:dyDescent="0.2">
      <c r="I57060" s="137" t="s">
        <v>74</v>
      </c>
    </row>
    <row r="57061" spans="9:9" x14ac:dyDescent="0.2">
      <c r="I57061" s="137" t="s">
        <v>74</v>
      </c>
    </row>
    <row r="57062" spans="9:9" x14ac:dyDescent="0.2">
      <c r="I57062" s="137" t="s">
        <v>74</v>
      </c>
    </row>
    <row r="57063" spans="9:9" x14ac:dyDescent="0.2">
      <c r="I57063" s="137" t="s">
        <v>74</v>
      </c>
    </row>
    <row r="57064" spans="9:9" x14ac:dyDescent="0.2">
      <c r="I57064" s="137" t="s">
        <v>74</v>
      </c>
    </row>
    <row r="57065" spans="9:9" x14ac:dyDescent="0.2">
      <c r="I57065" s="137" t="s">
        <v>74</v>
      </c>
    </row>
    <row r="57066" spans="9:9" x14ac:dyDescent="0.2">
      <c r="I57066" s="137" t="s">
        <v>74</v>
      </c>
    </row>
    <row r="57067" spans="9:9" x14ac:dyDescent="0.2">
      <c r="I57067" s="137" t="s">
        <v>74</v>
      </c>
    </row>
    <row r="57068" spans="9:9" x14ac:dyDescent="0.2">
      <c r="I57068" s="137" t="s">
        <v>74</v>
      </c>
    </row>
    <row r="57069" spans="9:9" x14ac:dyDescent="0.2">
      <c r="I57069" s="137" t="s">
        <v>74</v>
      </c>
    </row>
    <row r="57070" spans="9:9" x14ac:dyDescent="0.2">
      <c r="I57070" s="137" t="s">
        <v>74</v>
      </c>
    </row>
    <row r="57071" spans="9:9" x14ac:dyDescent="0.2">
      <c r="I57071" s="137" t="s">
        <v>74</v>
      </c>
    </row>
    <row r="57072" spans="9:9" x14ac:dyDescent="0.2">
      <c r="I57072" s="137" t="s">
        <v>74</v>
      </c>
    </row>
    <row r="57073" spans="9:9" x14ac:dyDescent="0.2">
      <c r="I57073" s="137" t="s">
        <v>74</v>
      </c>
    </row>
    <row r="57074" spans="9:9" x14ac:dyDescent="0.2">
      <c r="I57074" s="137" t="s">
        <v>74</v>
      </c>
    </row>
    <row r="57075" spans="9:9" x14ac:dyDescent="0.2">
      <c r="I57075" s="137" t="s">
        <v>74</v>
      </c>
    </row>
    <row r="57076" spans="9:9" x14ac:dyDescent="0.2">
      <c r="I57076" s="137" t="s">
        <v>74</v>
      </c>
    </row>
    <row r="57077" spans="9:9" x14ac:dyDescent="0.2">
      <c r="I57077" s="137" t="s">
        <v>74</v>
      </c>
    </row>
    <row r="57078" spans="9:9" x14ac:dyDescent="0.2">
      <c r="I57078" s="137" t="s">
        <v>74</v>
      </c>
    </row>
    <row r="57079" spans="9:9" x14ac:dyDescent="0.2">
      <c r="I57079" s="137" t="s">
        <v>74</v>
      </c>
    </row>
    <row r="57080" spans="9:9" x14ac:dyDescent="0.2">
      <c r="I57080" s="137" t="s">
        <v>74</v>
      </c>
    </row>
    <row r="57081" spans="9:9" x14ac:dyDescent="0.2">
      <c r="I57081" s="137" t="s">
        <v>74</v>
      </c>
    </row>
    <row r="57082" spans="9:9" x14ac:dyDescent="0.2">
      <c r="I57082" s="137" t="s">
        <v>74</v>
      </c>
    </row>
    <row r="57083" spans="9:9" x14ac:dyDescent="0.2">
      <c r="I57083" s="137" t="s">
        <v>74</v>
      </c>
    </row>
    <row r="57084" spans="9:9" x14ac:dyDescent="0.2">
      <c r="I57084" s="137" t="s">
        <v>74</v>
      </c>
    </row>
    <row r="57085" spans="9:9" x14ac:dyDescent="0.2">
      <c r="I57085" s="137" t="s">
        <v>74</v>
      </c>
    </row>
    <row r="57086" spans="9:9" x14ac:dyDescent="0.2">
      <c r="I57086" s="137" t="s">
        <v>74</v>
      </c>
    </row>
    <row r="57087" spans="9:9" x14ac:dyDescent="0.2">
      <c r="I57087" s="137" t="s">
        <v>74</v>
      </c>
    </row>
    <row r="57088" spans="9:9" x14ac:dyDescent="0.2">
      <c r="I57088" s="137" t="s">
        <v>74</v>
      </c>
    </row>
    <row r="57089" spans="9:9" x14ac:dyDescent="0.2">
      <c r="I57089" s="137" t="s">
        <v>74</v>
      </c>
    </row>
    <row r="57090" spans="9:9" x14ac:dyDescent="0.2">
      <c r="I57090" s="137" t="s">
        <v>74</v>
      </c>
    </row>
    <row r="57091" spans="9:9" x14ac:dyDescent="0.2">
      <c r="I57091" s="137" t="s">
        <v>74</v>
      </c>
    </row>
    <row r="57092" spans="9:9" x14ac:dyDescent="0.2">
      <c r="I57092" s="137" t="s">
        <v>74</v>
      </c>
    </row>
    <row r="57093" spans="9:9" x14ac:dyDescent="0.2">
      <c r="I57093" s="137" t="s">
        <v>74</v>
      </c>
    </row>
    <row r="57094" spans="9:9" x14ac:dyDescent="0.2">
      <c r="I57094" s="137" t="s">
        <v>74</v>
      </c>
    </row>
    <row r="57095" spans="9:9" x14ac:dyDescent="0.2">
      <c r="I57095" s="137" t="s">
        <v>74</v>
      </c>
    </row>
    <row r="57096" spans="9:9" x14ac:dyDescent="0.2">
      <c r="I57096" s="137" t="s">
        <v>74</v>
      </c>
    </row>
    <row r="57097" spans="9:9" x14ac:dyDescent="0.2">
      <c r="I57097" s="137" t="s">
        <v>74</v>
      </c>
    </row>
    <row r="57098" spans="9:9" x14ac:dyDescent="0.2">
      <c r="I57098" s="137" t="s">
        <v>74</v>
      </c>
    </row>
    <row r="57099" spans="9:9" x14ac:dyDescent="0.2">
      <c r="I57099" s="137" t="s">
        <v>74</v>
      </c>
    </row>
    <row r="57100" spans="9:9" x14ac:dyDescent="0.2">
      <c r="I57100" s="137" t="s">
        <v>74</v>
      </c>
    </row>
    <row r="57101" spans="9:9" x14ac:dyDescent="0.2">
      <c r="I57101" s="137" t="s">
        <v>74</v>
      </c>
    </row>
    <row r="57102" spans="9:9" x14ac:dyDescent="0.2">
      <c r="I57102" s="137" t="s">
        <v>74</v>
      </c>
    </row>
    <row r="57103" spans="9:9" x14ac:dyDescent="0.2">
      <c r="I57103" s="137" t="s">
        <v>74</v>
      </c>
    </row>
    <row r="57104" spans="9:9" x14ac:dyDescent="0.2">
      <c r="I57104" s="137" t="s">
        <v>74</v>
      </c>
    </row>
    <row r="57105" spans="9:9" x14ac:dyDescent="0.2">
      <c r="I57105" s="137" t="s">
        <v>74</v>
      </c>
    </row>
    <row r="57106" spans="9:9" x14ac:dyDescent="0.2">
      <c r="I57106" s="137" t="s">
        <v>74</v>
      </c>
    </row>
    <row r="57107" spans="9:9" x14ac:dyDescent="0.2">
      <c r="I57107" s="137" t="s">
        <v>74</v>
      </c>
    </row>
    <row r="57108" spans="9:9" x14ac:dyDescent="0.2">
      <c r="I57108" s="137" t="s">
        <v>74</v>
      </c>
    </row>
    <row r="57109" spans="9:9" x14ac:dyDescent="0.2">
      <c r="I57109" s="137" t="s">
        <v>74</v>
      </c>
    </row>
    <row r="57110" spans="9:9" x14ac:dyDescent="0.2">
      <c r="I57110" s="137" t="s">
        <v>74</v>
      </c>
    </row>
    <row r="57111" spans="9:9" x14ac:dyDescent="0.2">
      <c r="I57111" s="137" t="s">
        <v>74</v>
      </c>
    </row>
    <row r="57112" spans="9:9" x14ac:dyDescent="0.2">
      <c r="I57112" s="137" t="s">
        <v>74</v>
      </c>
    </row>
    <row r="57113" spans="9:9" x14ac:dyDescent="0.2">
      <c r="I57113" s="137" t="s">
        <v>74</v>
      </c>
    </row>
    <row r="57114" spans="9:9" x14ac:dyDescent="0.2">
      <c r="I57114" s="137" t="s">
        <v>74</v>
      </c>
    </row>
    <row r="57115" spans="9:9" x14ac:dyDescent="0.2">
      <c r="I57115" s="137" t="s">
        <v>74</v>
      </c>
    </row>
    <row r="57116" spans="9:9" x14ac:dyDescent="0.2">
      <c r="I57116" s="137" t="s">
        <v>74</v>
      </c>
    </row>
    <row r="57117" spans="9:9" x14ac:dyDescent="0.2">
      <c r="I57117" s="137" t="s">
        <v>74</v>
      </c>
    </row>
    <row r="57118" spans="9:9" x14ac:dyDescent="0.2">
      <c r="I57118" s="137" t="s">
        <v>74</v>
      </c>
    </row>
    <row r="57119" spans="9:9" x14ac:dyDescent="0.2">
      <c r="I57119" s="137" t="s">
        <v>74</v>
      </c>
    </row>
    <row r="57120" spans="9:9" x14ac:dyDescent="0.2">
      <c r="I57120" s="137" t="s">
        <v>74</v>
      </c>
    </row>
    <row r="57121" spans="9:9" x14ac:dyDescent="0.2">
      <c r="I57121" s="137" t="s">
        <v>74</v>
      </c>
    </row>
    <row r="57122" spans="9:9" x14ac:dyDescent="0.2">
      <c r="I57122" s="137" t="s">
        <v>74</v>
      </c>
    </row>
    <row r="57123" spans="9:9" x14ac:dyDescent="0.2">
      <c r="I57123" s="137" t="s">
        <v>74</v>
      </c>
    </row>
    <row r="57124" spans="9:9" x14ac:dyDescent="0.2">
      <c r="I57124" s="137" t="s">
        <v>74</v>
      </c>
    </row>
    <row r="57125" spans="9:9" x14ac:dyDescent="0.2">
      <c r="I57125" s="137" t="s">
        <v>74</v>
      </c>
    </row>
    <row r="57126" spans="9:9" x14ac:dyDescent="0.2">
      <c r="I57126" s="137" t="s">
        <v>74</v>
      </c>
    </row>
    <row r="57127" spans="9:9" x14ac:dyDescent="0.2">
      <c r="I57127" s="137" t="s">
        <v>74</v>
      </c>
    </row>
    <row r="57128" spans="9:9" x14ac:dyDescent="0.2">
      <c r="I57128" s="137" t="s">
        <v>74</v>
      </c>
    </row>
    <row r="57129" spans="9:9" x14ac:dyDescent="0.2">
      <c r="I57129" s="137" t="s">
        <v>74</v>
      </c>
    </row>
    <row r="57130" spans="9:9" x14ac:dyDescent="0.2">
      <c r="I57130" s="137" t="s">
        <v>74</v>
      </c>
    </row>
    <row r="57131" spans="9:9" x14ac:dyDescent="0.2">
      <c r="I57131" s="137" t="s">
        <v>74</v>
      </c>
    </row>
    <row r="57132" spans="9:9" x14ac:dyDescent="0.2">
      <c r="I57132" s="137" t="s">
        <v>74</v>
      </c>
    </row>
    <row r="57133" spans="9:9" x14ac:dyDescent="0.2">
      <c r="I57133" s="137" t="s">
        <v>74</v>
      </c>
    </row>
    <row r="57134" spans="9:9" x14ac:dyDescent="0.2">
      <c r="I57134" s="137" t="s">
        <v>74</v>
      </c>
    </row>
    <row r="57135" spans="9:9" x14ac:dyDescent="0.2">
      <c r="I57135" s="137" t="s">
        <v>74</v>
      </c>
    </row>
    <row r="57136" spans="9:9" x14ac:dyDescent="0.2">
      <c r="I57136" s="137" t="s">
        <v>74</v>
      </c>
    </row>
    <row r="57137" spans="9:9" x14ac:dyDescent="0.2">
      <c r="I57137" s="137" t="s">
        <v>74</v>
      </c>
    </row>
    <row r="57138" spans="9:9" x14ac:dyDescent="0.2">
      <c r="I57138" s="137" t="s">
        <v>74</v>
      </c>
    </row>
    <row r="57139" spans="9:9" x14ac:dyDescent="0.2">
      <c r="I57139" s="137" t="s">
        <v>74</v>
      </c>
    </row>
    <row r="57140" spans="9:9" x14ac:dyDescent="0.2">
      <c r="I57140" s="137" t="s">
        <v>74</v>
      </c>
    </row>
    <row r="57141" spans="9:9" x14ac:dyDescent="0.2">
      <c r="I57141" s="137" t="s">
        <v>74</v>
      </c>
    </row>
    <row r="57142" spans="9:9" x14ac:dyDescent="0.2">
      <c r="I57142" s="137" t="s">
        <v>74</v>
      </c>
    </row>
    <row r="57143" spans="9:9" x14ac:dyDescent="0.2">
      <c r="I57143" s="137" t="s">
        <v>74</v>
      </c>
    </row>
    <row r="57144" spans="9:9" x14ac:dyDescent="0.2">
      <c r="I57144" s="137" t="s">
        <v>74</v>
      </c>
    </row>
    <row r="57145" spans="9:9" x14ac:dyDescent="0.2">
      <c r="I57145" s="137" t="s">
        <v>74</v>
      </c>
    </row>
    <row r="57146" spans="9:9" x14ac:dyDescent="0.2">
      <c r="I57146" s="137" t="s">
        <v>74</v>
      </c>
    </row>
    <row r="57147" spans="9:9" x14ac:dyDescent="0.2">
      <c r="I57147" s="137" t="s">
        <v>74</v>
      </c>
    </row>
    <row r="57148" spans="9:9" x14ac:dyDescent="0.2">
      <c r="I57148" s="137" t="s">
        <v>74</v>
      </c>
    </row>
    <row r="57149" spans="9:9" x14ac:dyDescent="0.2">
      <c r="I57149" s="137" t="s">
        <v>74</v>
      </c>
    </row>
    <row r="57150" spans="9:9" x14ac:dyDescent="0.2">
      <c r="I57150" s="137" t="s">
        <v>74</v>
      </c>
    </row>
    <row r="57151" spans="9:9" x14ac:dyDescent="0.2">
      <c r="I57151" s="137" t="s">
        <v>74</v>
      </c>
    </row>
    <row r="57152" spans="9:9" x14ac:dyDescent="0.2">
      <c r="I57152" s="137" t="s">
        <v>74</v>
      </c>
    </row>
    <row r="57153" spans="9:9" x14ac:dyDescent="0.2">
      <c r="I57153" s="137" t="s">
        <v>74</v>
      </c>
    </row>
    <row r="57154" spans="9:9" x14ac:dyDescent="0.2">
      <c r="I57154" s="137" t="s">
        <v>74</v>
      </c>
    </row>
    <row r="57155" spans="9:9" x14ac:dyDescent="0.2">
      <c r="I57155" s="137" t="s">
        <v>74</v>
      </c>
    </row>
    <row r="57156" spans="9:9" x14ac:dyDescent="0.2">
      <c r="I57156" s="137" t="s">
        <v>74</v>
      </c>
    </row>
    <row r="57157" spans="9:9" x14ac:dyDescent="0.2">
      <c r="I57157" s="137" t="s">
        <v>74</v>
      </c>
    </row>
    <row r="57158" spans="9:9" x14ac:dyDescent="0.2">
      <c r="I57158" s="137" t="s">
        <v>74</v>
      </c>
    </row>
    <row r="57159" spans="9:9" x14ac:dyDescent="0.2">
      <c r="I57159" s="137" t="s">
        <v>74</v>
      </c>
    </row>
    <row r="57160" spans="9:9" x14ac:dyDescent="0.2">
      <c r="I57160" s="137" t="s">
        <v>74</v>
      </c>
    </row>
    <row r="57161" spans="9:9" x14ac:dyDescent="0.2">
      <c r="I57161" s="137" t="s">
        <v>74</v>
      </c>
    </row>
    <row r="57162" spans="9:9" x14ac:dyDescent="0.2">
      <c r="I57162" s="137" t="s">
        <v>74</v>
      </c>
    </row>
    <row r="57163" spans="9:9" x14ac:dyDescent="0.2">
      <c r="I57163" s="137" t="s">
        <v>74</v>
      </c>
    </row>
    <row r="57164" spans="9:9" x14ac:dyDescent="0.2">
      <c r="I57164" s="137" t="s">
        <v>74</v>
      </c>
    </row>
    <row r="57165" spans="9:9" x14ac:dyDescent="0.2">
      <c r="I57165" s="137" t="s">
        <v>74</v>
      </c>
    </row>
    <row r="57166" spans="9:9" x14ac:dyDescent="0.2">
      <c r="I57166" s="137" t="s">
        <v>74</v>
      </c>
    </row>
    <row r="57167" spans="9:9" x14ac:dyDescent="0.2">
      <c r="I57167" s="137" t="s">
        <v>74</v>
      </c>
    </row>
    <row r="57168" spans="9:9" x14ac:dyDescent="0.2">
      <c r="I57168" s="137" t="s">
        <v>74</v>
      </c>
    </row>
    <row r="57169" spans="9:9" x14ac:dyDescent="0.2">
      <c r="I57169" s="137" t="s">
        <v>74</v>
      </c>
    </row>
    <row r="57170" spans="9:9" x14ac:dyDescent="0.2">
      <c r="I57170" s="137" t="s">
        <v>74</v>
      </c>
    </row>
    <row r="57171" spans="9:9" x14ac:dyDescent="0.2">
      <c r="I57171" s="137" t="s">
        <v>74</v>
      </c>
    </row>
    <row r="57172" spans="9:9" x14ac:dyDescent="0.2">
      <c r="I57172" s="137" t="s">
        <v>74</v>
      </c>
    </row>
    <row r="57173" spans="9:9" x14ac:dyDescent="0.2">
      <c r="I57173" s="137" t="s">
        <v>74</v>
      </c>
    </row>
    <row r="57174" spans="9:9" x14ac:dyDescent="0.2">
      <c r="I57174" s="137" t="s">
        <v>74</v>
      </c>
    </row>
    <row r="57175" spans="9:9" x14ac:dyDescent="0.2">
      <c r="I57175" s="137" t="s">
        <v>74</v>
      </c>
    </row>
    <row r="57176" spans="9:9" x14ac:dyDescent="0.2">
      <c r="I57176" s="137" t="s">
        <v>74</v>
      </c>
    </row>
    <row r="57177" spans="9:9" x14ac:dyDescent="0.2">
      <c r="I57177" s="137" t="s">
        <v>74</v>
      </c>
    </row>
    <row r="57178" spans="9:9" x14ac:dyDescent="0.2">
      <c r="I57178" s="137" t="s">
        <v>74</v>
      </c>
    </row>
    <row r="57179" spans="9:9" x14ac:dyDescent="0.2">
      <c r="I57179" s="137" t="s">
        <v>74</v>
      </c>
    </row>
    <row r="57180" spans="9:9" x14ac:dyDescent="0.2">
      <c r="I57180" s="137" t="s">
        <v>74</v>
      </c>
    </row>
    <row r="57181" spans="9:9" x14ac:dyDescent="0.2">
      <c r="I57181" s="137" t="s">
        <v>74</v>
      </c>
    </row>
    <row r="57182" spans="9:9" x14ac:dyDescent="0.2">
      <c r="I57182" s="137" t="s">
        <v>74</v>
      </c>
    </row>
    <row r="57183" spans="9:9" x14ac:dyDescent="0.2">
      <c r="I57183" s="137" t="s">
        <v>74</v>
      </c>
    </row>
    <row r="57184" spans="9:9" x14ac:dyDescent="0.2">
      <c r="I57184" s="137" t="s">
        <v>74</v>
      </c>
    </row>
    <row r="57185" spans="9:9" x14ac:dyDescent="0.2">
      <c r="I57185" s="137" t="s">
        <v>74</v>
      </c>
    </row>
    <row r="57186" spans="9:9" x14ac:dyDescent="0.2">
      <c r="I57186" s="137" t="s">
        <v>74</v>
      </c>
    </row>
    <row r="57187" spans="9:9" x14ac:dyDescent="0.2">
      <c r="I57187" s="137" t="s">
        <v>74</v>
      </c>
    </row>
    <row r="57188" spans="9:9" x14ac:dyDescent="0.2">
      <c r="I57188" s="137" t="s">
        <v>74</v>
      </c>
    </row>
    <row r="57189" spans="9:9" x14ac:dyDescent="0.2">
      <c r="I57189" s="137" t="s">
        <v>74</v>
      </c>
    </row>
    <row r="57190" spans="9:9" x14ac:dyDescent="0.2">
      <c r="I57190" s="137" t="s">
        <v>74</v>
      </c>
    </row>
    <row r="57191" spans="9:9" x14ac:dyDescent="0.2">
      <c r="I57191" s="137" t="s">
        <v>74</v>
      </c>
    </row>
    <row r="57192" spans="9:9" x14ac:dyDescent="0.2">
      <c r="I57192" s="137" t="s">
        <v>74</v>
      </c>
    </row>
    <row r="57193" spans="9:9" x14ac:dyDescent="0.2">
      <c r="I57193" s="137" t="s">
        <v>74</v>
      </c>
    </row>
    <row r="57194" spans="9:9" x14ac:dyDescent="0.2">
      <c r="I57194" s="137" t="s">
        <v>74</v>
      </c>
    </row>
    <row r="57195" spans="9:9" x14ac:dyDescent="0.2">
      <c r="I57195" s="137" t="s">
        <v>74</v>
      </c>
    </row>
    <row r="57196" spans="9:9" x14ac:dyDescent="0.2">
      <c r="I57196" s="137" t="s">
        <v>74</v>
      </c>
    </row>
    <row r="57197" spans="9:9" x14ac:dyDescent="0.2">
      <c r="I57197" s="137" t="s">
        <v>74</v>
      </c>
    </row>
    <row r="57198" spans="9:9" x14ac:dyDescent="0.2">
      <c r="I57198" s="137" t="s">
        <v>74</v>
      </c>
    </row>
    <row r="57199" spans="9:9" x14ac:dyDescent="0.2">
      <c r="I57199" s="137" t="s">
        <v>74</v>
      </c>
    </row>
    <row r="57200" spans="9:9" x14ac:dyDescent="0.2">
      <c r="I57200" s="137" t="s">
        <v>74</v>
      </c>
    </row>
    <row r="57201" spans="9:9" x14ac:dyDescent="0.2">
      <c r="I57201" s="137" t="s">
        <v>74</v>
      </c>
    </row>
    <row r="57202" spans="9:9" x14ac:dyDescent="0.2">
      <c r="I57202" s="137" t="s">
        <v>74</v>
      </c>
    </row>
    <row r="57203" spans="9:9" x14ac:dyDescent="0.2">
      <c r="I57203" s="137" t="s">
        <v>74</v>
      </c>
    </row>
    <row r="57204" spans="9:9" x14ac:dyDescent="0.2">
      <c r="I57204" s="137" t="s">
        <v>74</v>
      </c>
    </row>
    <row r="57205" spans="9:9" x14ac:dyDescent="0.2">
      <c r="I57205" s="137" t="s">
        <v>74</v>
      </c>
    </row>
    <row r="57206" spans="9:9" x14ac:dyDescent="0.2">
      <c r="I57206" s="137" t="s">
        <v>74</v>
      </c>
    </row>
    <row r="57207" spans="9:9" x14ac:dyDescent="0.2">
      <c r="I57207" s="137" t="s">
        <v>74</v>
      </c>
    </row>
    <row r="57208" spans="9:9" x14ac:dyDescent="0.2">
      <c r="I57208" s="137" t="s">
        <v>74</v>
      </c>
    </row>
    <row r="57209" spans="9:9" x14ac:dyDescent="0.2">
      <c r="I57209" s="137" t="s">
        <v>74</v>
      </c>
    </row>
    <row r="57210" spans="9:9" x14ac:dyDescent="0.2">
      <c r="I57210" s="137" t="s">
        <v>74</v>
      </c>
    </row>
    <row r="57211" spans="9:9" x14ac:dyDescent="0.2">
      <c r="I57211" s="137" t="s">
        <v>74</v>
      </c>
    </row>
    <row r="57212" spans="9:9" x14ac:dyDescent="0.2">
      <c r="I57212" s="137" t="s">
        <v>74</v>
      </c>
    </row>
    <row r="57213" spans="9:9" x14ac:dyDescent="0.2">
      <c r="I57213" s="137" t="s">
        <v>74</v>
      </c>
    </row>
    <row r="57214" spans="9:9" x14ac:dyDescent="0.2">
      <c r="I57214" s="137" t="s">
        <v>74</v>
      </c>
    </row>
    <row r="57215" spans="9:9" x14ac:dyDescent="0.2">
      <c r="I57215" s="137" t="s">
        <v>74</v>
      </c>
    </row>
    <row r="57216" spans="9:9" x14ac:dyDescent="0.2">
      <c r="I57216" s="137" t="s">
        <v>74</v>
      </c>
    </row>
    <row r="57217" spans="9:9" x14ac:dyDescent="0.2">
      <c r="I57217" s="137" t="s">
        <v>74</v>
      </c>
    </row>
    <row r="57218" spans="9:9" x14ac:dyDescent="0.2">
      <c r="I57218" s="137" t="s">
        <v>74</v>
      </c>
    </row>
    <row r="57219" spans="9:9" x14ac:dyDescent="0.2">
      <c r="I57219" s="137" t="s">
        <v>74</v>
      </c>
    </row>
    <row r="57220" spans="9:9" x14ac:dyDescent="0.2">
      <c r="I57220" s="137" t="s">
        <v>74</v>
      </c>
    </row>
    <row r="57221" spans="9:9" x14ac:dyDescent="0.2">
      <c r="I57221" s="137" t="s">
        <v>74</v>
      </c>
    </row>
    <row r="57222" spans="9:9" x14ac:dyDescent="0.2">
      <c r="I57222" s="137" t="s">
        <v>74</v>
      </c>
    </row>
    <row r="57223" spans="9:9" x14ac:dyDescent="0.2">
      <c r="I57223" s="137" t="s">
        <v>74</v>
      </c>
    </row>
    <row r="57224" spans="9:9" x14ac:dyDescent="0.2">
      <c r="I57224" s="137" t="s">
        <v>74</v>
      </c>
    </row>
    <row r="57225" spans="9:9" x14ac:dyDescent="0.2">
      <c r="I57225" s="137" t="s">
        <v>74</v>
      </c>
    </row>
    <row r="57226" spans="9:9" x14ac:dyDescent="0.2">
      <c r="I57226" s="137" t="s">
        <v>74</v>
      </c>
    </row>
    <row r="57227" spans="9:9" x14ac:dyDescent="0.2">
      <c r="I57227" s="137" t="s">
        <v>74</v>
      </c>
    </row>
    <row r="57228" spans="9:9" x14ac:dyDescent="0.2">
      <c r="I57228" s="137" t="s">
        <v>74</v>
      </c>
    </row>
    <row r="57229" spans="9:9" x14ac:dyDescent="0.2">
      <c r="I57229" s="137" t="s">
        <v>74</v>
      </c>
    </row>
    <row r="57230" spans="9:9" x14ac:dyDescent="0.2">
      <c r="I57230" s="137" t="s">
        <v>74</v>
      </c>
    </row>
    <row r="57231" spans="9:9" x14ac:dyDescent="0.2">
      <c r="I57231" s="137" t="s">
        <v>74</v>
      </c>
    </row>
    <row r="57232" spans="9:9" x14ac:dyDescent="0.2">
      <c r="I57232" s="137" t="s">
        <v>74</v>
      </c>
    </row>
    <row r="57233" spans="9:9" x14ac:dyDescent="0.2">
      <c r="I57233" s="137" t="s">
        <v>74</v>
      </c>
    </row>
    <row r="57234" spans="9:9" x14ac:dyDescent="0.2">
      <c r="I57234" s="137" t="s">
        <v>74</v>
      </c>
    </row>
    <row r="57235" spans="9:9" x14ac:dyDescent="0.2">
      <c r="I57235" s="137" t="s">
        <v>74</v>
      </c>
    </row>
    <row r="57236" spans="9:9" x14ac:dyDescent="0.2">
      <c r="I57236" s="137" t="s">
        <v>74</v>
      </c>
    </row>
    <row r="57237" spans="9:9" x14ac:dyDescent="0.2">
      <c r="I57237" s="137" t="s">
        <v>74</v>
      </c>
    </row>
    <row r="57238" spans="9:9" x14ac:dyDescent="0.2">
      <c r="I57238" s="137" t="s">
        <v>74</v>
      </c>
    </row>
    <row r="57239" spans="9:9" x14ac:dyDescent="0.2">
      <c r="I57239" s="137" t="s">
        <v>74</v>
      </c>
    </row>
    <row r="57240" spans="9:9" x14ac:dyDescent="0.2">
      <c r="I57240" s="137" t="s">
        <v>74</v>
      </c>
    </row>
    <row r="57241" spans="9:9" x14ac:dyDescent="0.2">
      <c r="I57241" s="137" t="s">
        <v>74</v>
      </c>
    </row>
    <row r="57242" spans="9:9" x14ac:dyDescent="0.2">
      <c r="I57242" s="137" t="s">
        <v>74</v>
      </c>
    </row>
    <row r="57243" spans="9:9" x14ac:dyDescent="0.2">
      <c r="I57243" s="137" t="s">
        <v>74</v>
      </c>
    </row>
    <row r="57244" spans="9:9" x14ac:dyDescent="0.2">
      <c r="I57244" s="137" t="s">
        <v>74</v>
      </c>
    </row>
    <row r="57245" spans="9:9" x14ac:dyDescent="0.2">
      <c r="I57245" s="137" t="s">
        <v>74</v>
      </c>
    </row>
    <row r="57246" spans="9:9" x14ac:dyDescent="0.2">
      <c r="I57246" s="137" t="s">
        <v>74</v>
      </c>
    </row>
    <row r="57247" spans="9:9" x14ac:dyDescent="0.2">
      <c r="I57247" s="137" t="s">
        <v>74</v>
      </c>
    </row>
    <row r="57248" spans="9:9" x14ac:dyDescent="0.2">
      <c r="I57248" s="137" t="s">
        <v>74</v>
      </c>
    </row>
    <row r="57249" spans="9:9" x14ac:dyDescent="0.2">
      <c r="I57249" s="137" t="s">
        <v>74</v>
      </c>
    </row>
    <row r="57250" spans="9:9" x14ac:dyDescent="0.2">
      <c r="I57250" s="137" t="s">
        <v>74</v>
      </c>
    </row>
    <row r="57251" spans="9:9" x14ac:dyDescent="0.2">
      <c r="I57251" s="137" t="s">
        <v>74</v>
      </c>
    </row>
    <row r="57252" spans="9:9" x14ac:dyDescent="0.2">
      <c r="I57252" s="137" t="s">
        <v>74</v>
      </c>
    </row>
    <row r="57253" spans="9:9" x14ac:dyDescent="0.2">
      <c r="I57253" s="137" t="s">
        <v>74</v>
      </c>
    </row>
    <row r="57254" spans="9:9" x14ac:dyDescent="0.2">
      <c r="I57254" s="137" t="s">
        <v>74</v>
      </c>
    </row>
    <row r="57255" spans="9:9" x14ac:dyDescent="0.2">
      <c r="I57255" s="137" t="s">
        <v>74</v>
      </c>
    </row>
    <row r="57256" spans="9:9" x14ac:dyDescent="0.2">
      <c r="I57256" s="137" t="s">
        <v>74</v>
      </c>
    </row>
    <row r="57257" spans="9:9" x14ac:dyDescent="0.2">
      <c r="I57257" s="137" t="s">
        <v>74</v>
      </c>
    </row>
    <row r="57258" spans="9:9" x14ac:dyDescent="0.2">
      <c r="I57258" s="137" t="s">
        <v>74</v>
      </c>
    </row>
    <row r="57259" spans="9:9" x14ac:dyDescent="0.2">
      <c r="I57259" s="137" t="s">
        <v>74</v>
      </c>
    </row>
    <row r="57260" spans="9:9" x14ac:dyDescent="0.2">
      <c r="I57260" s="137" t="s">
        <v>74</v>
      </c>
    </row>
    <row r="57261" spans="9:9" x14ac:dyDescent="0.2">
      <c r="I57261" s="137" t="s">
        <v>74</v>
      </c>
    </row>
    <row r="57262" spans="9:9" x14ac:dyDescent="0.2">
      <c r="I57262" s="137" t="s">
        <v>74</v>
      </c>
    </row>
    <row r="57263" spans="9:9" x14ac:dyDescent="0.2">
      <c r="I57263" s="137" t="s">
        <v>74</v>
      </c>
    </row>
    <row r="57264" spans="9:9" x14ac:dyDescent="0.2">
      <c r="I57264" s="137" t="s">
        <v>74</v>
      </c>
    </row>
    <row r="57265" spans="9:9" x14ac:dyDescent="0.2">
      <c r="I57265" s="137" t="s">
        <v>74</v>
      </c>
    </row>
    <row r="57266" spans="9:9" x14ac:dyDescent="0.2">
      <c r="I57266" s="137" t="s">
        <v>74</v>
      </c>
    </row>
    <row r="57267" spans="9:9" x14ac:dyDescent="0.2">
      <c r="I57267" s="137" t="s">
        <v>74</v>
      </c>
    </row>
    <row r="57268" spans="9:9" x14ac:dyDescent="0.2">
      <c r="I57268" s="137" t="s">
        <v>74</v>
      </c>
    </row>
    <row r="57269" spans="9:9" x14ac:dyDescent="0.2">
      <c r="I57269" s="137" t="s">
        <v>74</v>
      </c>
    </row>
    <row r="57270" spans="9:9" x14ac:dyDescent="0.2">
      <c r="I57270" s="137" t="s">
        <v>74</v>
      </c>
    </row>
    <row r="57271" spans="9:9" x14ac:dyDescent="0.2">
      <c r="I57271" s="137" t="s">
        <v>74</v>
      </c>
    </row>
    <row r="57272" spans="9:9" x14ac:dyDescent="0.2">
      <c r="I57272" s="137" t="s">
        <v>74</v>
      </c>
    </row>
    <row r="57273" spans="9:9" x14ac:dyDescent="0.2">
      <c r="I57273" s="137" t="s">
        <v>74</v>
      </c>
    </row>
    <row r="57274" spans="9:9" x14ac:dyDescent="0.2">
      <c r="I57274" s="137" t="s">
        <v>74</v>
      </c>
    </row>
    <row r="57275" spans="9:9" x14ac:dyDescent="0.2">
      <c r="I57275" s="137" t="s">
        <v>74</v>
      </c>
    </row>
    <row r="57276" spans="9:9" x14ac:dyDescent="0.2">
      <c r="I57276" s="137" t="s">
        <v>74</v>
      </c>
    </row>
    <row r="57277" spans="9:9" x14ac:dyDescent="0.2">
      <c r="I57277" s="137" t="s">
        <v>74</v>
      </c>
    </row>
    <row r="57278" spans="9:9" x14ac:dyDescent="0.2">
      <c r="I57278" s="137" t="s">
        <v>74</v>
      </c>
    </row>
    <row r="57279" spans="9:9" x14ac:dyDescent="0.2">
      <c r="I57279" s="137" t="s">
        <v>74</v>
      </c>
    </row>
    <row r="57280" spans="9:9" x14ac:dyDescent="0.2">
      <c r="I57280" s="137" t="s">
        <v>74</v>
      </c>
    </row>
    <row r="57281" spans="9:9" x14ac:dyDescent="0.2">
      <c r="I57281" s="137" t="s">
        <v>74</v>
      </c>
    </row>
    <row r="57282" spans="9:9" x14ac:dyDescent="0.2">
      <c r="I57282" s="137" t="s">
        <v>74</v>
      </c>
    </row>
    <row r="57283" spans="9:9" x14ac:dyDescent="0.2">
      <c r="I57283" s="137" t="s">
        <v>74</v>
      </c>
    </row>
    <row r="57284" spans="9:9" x14ac:dyDescent="0.2">
      <c r="I57284" s="137" t="s">
        <v>74</v>
      </c>
    </row>
    <row r="57285" spans="9:9" x14ac:dyDescent="0.2">
      <c r="I57285" s="137" t="s">
        <v>74</v>
      </c>
    </row>
    <row r="57286" spans="9:9" x14ac:dyDescent="0.2">
      <c r="I57286" s="137" t="s">
        <v>74</v>
      </c>
    </row>
    <row r="57287" spans="9:9" x14ac:dyDescent="0.2">
      <c r="I57287" s="137" t="s">
        <v>74</v>
      </c>
    </row>
    <row r="57288" spans="9:9" x14ac:dyDescent="0.2">
      <c r="I57288" s="137" t="s">
        <v>74</v>
      </c>
    </row>
    <row r="57289" spans="9:9" x14ac:dyDescent="0.2">
      <c r="I57289" s="137" t="s">
        <v>74</v>
      </c>
    </row>
    <row r="57290" spans="9:9" x14ac:dyDescent="0.2">
      <c r="I57290" s="137" t="s">
        <v>74</v>
      </c>
    </row>
    <row r="57291" spans="9:9" x14ac:dyDescent="0.2">
      <c r="I57291" s="137" t="s">
        <v>74</v>
      </c>
    </row>
    <row r="57292" spans="9:9" x14ac:dyDescent="0.2">
      <c r="I57292" s="137" t="s">
        <v>74</v>
      </c>
    </row>
    <row r="57293" spans="9:9" x14ac:dyDescent="0.2">
      <c r="I57293" s="137" t="s">
        <v>74</v>
      </c>
    </row>
    <row r="57294" spans="9:9" x14ac:dyDescent="0.2">
      <c r="I57294" s="137" t="s">
        <v>74</v>
      </c>
    </row>
    <row r="57295" spans="9:9" x14ac:dyDescent="0.2">
      <c r="I57295" s="137" t="s">
        <v>74</v>
      </c>
    </row>
    <row r="57296" spans="9:9" x14ac:dyDescent="0.2">
      <c r="I57296" s="137" t="s">
        <v>74</v>
      </c>
    </row>
    <row r="57297" spans="9:9" x14ac:dyDescent="0.2">
      <c r="I57297" s="137" t="s">
        <v>74</v>
      </c>
    </row>
    <row r="57298" spans="9:9" x14ac:dyDescent="0.2">
      <c r="I57298" s="137" t="s">
        <v>74</v>
      </c>
    </row>
    <row r="57299" spans="9:9" x14ac:dyDescent="0.2">
      <c r="I57299" s="137" t="s">
        <v>74</v>
      </c>
    </row>
    <row r="57300" spans="9:9" x14ac:dyDescent="0.2">
      <c r="I57300" s="137" t="s">
        <v>74</v>
      </c>
    </row>
    <row r="57301" spans="9:9" x14ac:dyDescent="0.2">
      <c r="I57301" s="137" t="s">
        <v>74</v>
      </c>
    </row>
    <row r="57302" spans="9:9" x14ac:dyDescent="0.2">
      <c r="I57302" s="137" t="s">
        <v>74</v>
      </c>
    </row>
    <row r="57303" spans="9:9" x14ac:dyDescent="0.2">
      <c r="I57303" s="137" t="s">
        <v>74</v>
      </c>
    </row>
    <row r="57304" spans="9:9" x14ac:dyDescent="0.2">
      <c r="I57304" s="137" t="s">
        <v>74</v>
      </c>
    </row>
    <row r="57305" spans="9:9" x14ac:dyDescent="0.2">
      <c r="I57305" s="137" t="s">
        <v>74</v>
      </c>
    </row>
    <row r="57306" spans="9:9" x14ac:dyDescent="0.2">
      <c r="I57306" s="137" t="s">
        <v>74</v>
      </c>
    </row>
    <row r="57307" spans="9:9" x14ac:dyDescent="0.2">
      <c r="I57307" s="137" t="s">
        <v>74</v>
      </c>
    </row>
    <row r="57308" spans="9:9" x14ac:dyDescent="0.2">
      <c r="I57308" s="137" t="s">
        <v>74</v>
      </c>
    </row>
    <row r="57309" spans="9:9" x14ac:dyDescent="0.2">
      <c r="I57309" s="137" t="s">
        <v>74</v>
      </c>
    </row>
    <row r="57310" spans="9:9" x14ac:dyDescent="0.2">
      <c r="I57310" s="137" t="s">
        <v>74</v>
      </c>
    </row>
    <row r="57311" spans="9:9" x14ac:dyDescent="0.2">
      <c r="I57311" s="137" t="s">
        <v>74</v>
      </c>
    </row>
    <row r="57312" spans="9:9" x14ac:dyDescent="0.2">
      <c r="I57312" s="137" t="s">
        <v>74</v>
      </c>
    </row>
    <row r="57313" spans="9:9" x14ac:dyDescent="0.2">
      <c r="I57313" s="137" t="s">
        <v>74</v>
      </c>
    </row>
    <row r="57314" spans="9:9" x14ac:dyDescent="0.2">
      <c r="I57314" s="137" t="s">
        <v>74</v>
      </c>
    </row>
    <row r="57315" spans="9:9" x14ac:dyDescent="0.2">
      <c r="I57315" s="137" t="s">
        <v>74</v>
      </c>
    </row>
    <row r="57316" spans="9:9" x14ac:dyDescent="0.2">
      <c r="I57316" s="137" t="s">
        <v>74</v>
      </c>
    </row>
    <row r="57317" spans="9:9" x14ac:dyDescent="0.2">
      <c r="I57317" s="137" t="s">
        <v>74</v>
      </c>
    </row>
    <row r="57318" spans="9:9" x14ac:dyDescent="0.2">
      <c r="I57318" s="137" t="s">
        <v>74</v>
      </c>
    </row>
    <row r="57319" spans="9:9" x14ac:dyDescent="0.2">
      <c r="I57319" s="137" t="s">
        <v>74</v>
      </c>
    </row>
    <row r="57320" spans="9:9" x14ac:dyDescent="0.2">
      <c r="I57320" s="137" t="s">
        <v>74</v>
      </c>
    </row>
    <row r="57321" spans="9:9" x14ac:dyDescent="0.2">
      <c r="I57321" s="137" t="s">
        <v>74</v>
      </c>
    </row>
    <row r="57322" spans="9:9" x14ac:dyDescent="0.2">
      <c r="I57322" s="137" t="s">
        <v>74</v>
      </c>
    </row>
    <row r="57323" spans="9:9" x14ac:dyDescent="0.2">
      <c r="I57323" s="137" t="s">
        <v>74</v>
      </c>
    </row>
    <row r="57324" spans="9:9" x14ac:dyDescent="0.2">
      <c r="I57324" s="137" t="s">
        <v>74</v>
      </c>
    </row>
    <row r="57325" spans="9:9" x14ac:dyDescent="0.2">
      <c r="I57325" s="137" t="s">
        <v>74</v>
      </c>
    </row>
    <row r="57326" spans="9:9" x14ac:dyDescent="0.2">
      <c r="I57326" s="137" t="s">
        <v>74</v>
      </c>
    </row>
    <row r="57327" spans="9:9" x14ac:dyDescent="0.2">
      <c r="I57327" s="137" t="s">
        <v>74</v>
      </c>
    </row>
    <row r="57328" spans="9:9" x14ac:dyDescent="0.2">
      <c r="I57328" s="137" t="s">
        <v>74</v>
      </c>
    </row>
    <row r="57329" spans="9:9" x14ac:dyDescent="0.2">
      <c r="I57329" s="137" t="s">
        <v>74</v>
      </c>
    </row>
    <row r="57330" spans="9:9" x14ac:dyDescent="0.2">
      <c r="I57330" s="137" t="s">
        <v>74</v>
      </c>
    </row>
    <row r="57331" spans="9:9" x14ac:dyDescent="0.2">
      <c r="I57331" s="137" t="s">
        <v>74</v>
      </c>
    </row>
    <row r="57332" spans="9:9" x14ac:dyDescent="0.2">
      <c r="I57332" s="137" t="s">
        <v>74</v>
      </c>
    </row>
    <row r="57333" spans="9:9" x14ac:dyDescent="0.2">
      <c r="I57333" s="137" t="s">
        <v>74</v>
      </c>
    </row>
    <row r="57334" spans="9:9" x14ac:dyDescent="0.2">
      <c r="I57334" s="137" t="s">
        <v>74</v>
      </c>
    </row>
    <row r="57335" spans="9:9" x14ac:dyDescent="0.2">
      <c r="I57335" s="137" t="s">
        <v>74</v>
      </c>
    </row>
    <row r="57336" spans="9:9" x14ac:dyDescent="0.2">
      <c r="I57336" s="137" t="s">
        <v>74</v>
      </c>
    </row>
    <row r="57337" spans="9:9" x14ac:dyDescent="0.2">
      <c r="I57337" s="137" t="s">
        <v>74</v>
      </c>
    </row>
    <row r="57338" spans="9:9" x14ac:dyDescent="0.2">
      <c r="I57338" s="137" t="s">
        <v>74</v>
      </c>
    </row>
    <row r="57339" spans="9:9" x14ac:dyDescent="0.2">
      <c r="I57339" s="137" t="s">
        <v>74</v>
      </c>
    </row>
    <row r="57340" spans="9:9" x14ac:dyDescent="0.2">
      <c r="I57340" s="137" t="s">
        <v>74</v>
      </c>
    </row>
    <row r="57341" spans="9:9" x14ac:dyDescent="0.2">
      <c r="I57341" s="137" t="s">
        <v>74</v>
      </c>
    </row>
    <row r="57342" spans="9:9" x14ac:dyDescent="0.2">
      <c r="I57342" s="137" t="s">
        <v>74</v>
      </c>
    </row>
    <row r="57343" spans="9:9" x14ac:dyDescent="0.2">
      <c r="I57343" s="137" t="s">
        <v>74</v>
      </c>
    </row>
    <row r="57344" spans="9:9" x14ac:dyDescent="0.2">
      <c r="I57344" s="137" t="s">
        <v>74</v>
      </c>
    </row>
    <row r="57345" spans="9:9" x14ac:dyDescent="0.2">
      <c r="I57345" s="137" t="s">
        <v>74</v>
      </c>
    </row>
    <row r="57346" spans="9:9" x14ac:dyDescent="0.2">
      <c r="I57346" s="137" t="s">
        <v>74</v>
      </c>
    </row>
    <row r="57347" spans="9:9" x14ac:dyDescent="0.2">
      <c r="I57347" s="137" t="s">
        <v>74</v>
      </c>
    </row>
    <row r="57348" spans="9:9" x14ac:dyDescent="0.2">
      <c r="I57348" s="137" t="s">
        <v>74</v>
      </c>
    </row>
    <row r="57349" spans="9:9" x14ac:dyDescent="0.2">
      <c r="I57349" s="137" t="s">
        <v>74</v>
      </c>
    </row>
    <row r="57350" spans="9:9" x14ac:dyDescent="0.2">
      <c r="I57350" s="137" t="s">
        <v>74</v>
      </c>
    </row>
    <row r="57351" spans="9:9" x14ac:dyDescent="0.2">
      <c r="I57351" s="137" t="s">
        <v>74</v>
      </c>
    </row>
    <row r="57352" spans="9:9" x14ac:dyDescent="0.2">
      <c r="I57352" s="137" t="s">
        <v>74</v>
      </c>
    </row>
    <row r="57353" spans="9:9" x14ac:dyDescent="0.2">
      <c r="I57353" s="137" t="s">
        <v>74</v>
      </c>
    </row>
    <row r="57354" spans="9:9" x14ac:dyDescent="0.2">
      <c r="I57354" s="137" t="s">
        <v>74</v>
      </c>
    </row>
    <row r="57355" spans="9:9" x14ac:dyDescent="0.2">
      <c r="I57355" s="137" t="s">
        <v>74</v>
      </c>
    </row>
    <row r="57356" spans="9:9" x14ac:dyDescent="0.2">
      <c r="I57356" s="137" t="s">
        <v>74</v>
      </c>
    </row>
    <row r="57357" spans="9:9" x14ac:dyDescent="0.2">
      <c r="I57357" s="137" t="s">
        <v>74</v>
      </c>
    </row>
    <row r="57358" spans="9:9" x14ac:dyDescent="0.2">
      <c r="I57358" s="137" t="s">
        <v>74</v>
      </c>
    </row>
    <row r="57359" spans="9:9" x14ac:dyDescent="0.2">
      <c r="I57359" s="137" t="s">
        <v>74</v>
      </c>
    </row>
    <row r="57360" spans="9:9" x14ac:dyDescent="0.2">
      <c r="I57360" s="137" t="s">
        <v>74</v>
      </c>
    </row>
    <row r="57361" spans="9:9" x14ac:dyDescent="0.2">
      <c r="I57361" s="137" t="s">
        <v>74</v>
      </c>
    </row>
    <row r="57362" spans="9:9" x14ac:dyDescent="0.2">
      <c r="I57362" s="137" t="s">
        <v>74</v>
      </c>
    </row>
    <row r="57363" spans="9:9" x14ac:dyDescent="0.2">
      <c r="I57363" s="137" t="s">
        <v>74</v>
      </c>
    </row>
    <row r="57364" spans="9:9" x14ac:dyDescent="0.2">
      <c r="I57364" s="137" t="s">
        <v>74</v>
      </c>
    </row>
    <row r="57365" spans="9:9" x14ac:dyDescent="0.2">
      <c r="I57365" s="137" t="s">
        <v>74</v>
      </c>
    </row>
    <row r="57366" spans="9:9" x14ac:dyDescent="0.2">
      <c r="I57366" s="137" t="s">
        <v>74</v>
      </c>
    </row>
    <row r="57367" spans="9:9" x14ac:dyDescent="0.2">
      <c r="I57367" s="137" t="s">
        <v>74</v>
      </c>
    </row>
    <row r="57368" spans="9:9" x14ac:dyDescent="0.2">
      <c r="I57368" s="137" t="s">
        <v>74</v>
      </c>
    </row>
    <row r="57369" spans="9:9" x14ac:dyDescent="0.2">
      <c r="I57369" s="137" t="s">
        <v>74</v>
      </c>
    </row>
    <row r="57370" spans="9:9" x14ac:dyDescent="0.2">
      <c r="I57370" s="137" t="s">
        <v>74</v>
      </c>
    </row>
    <row r="57371" spans="9:9" x14ac:dyDescent="0.2">
      <c r="I57371" s="137" t="s">
        <v>74</v>
      </c>
    </row>
    <row r="57372" spans="9:9" x14ac:dyDescent="0.2">
      <c r="I57372" s="137" t="s">
        <v>74</v>
      </c>
    </row>
    <row r="57373" spans="9:9" x14ac:dyDescent="0.2">
      <c r="I57373" s="137" t="s">
        <v>74</v>
      </c>
    </row>
    <row r="57374" spans="9:9" x14ac:dyDescent="0.2">
      <c r="I57374" s="137" t="s">
        <v>74</v>
      </c>
    </row>
    <row r="57375" spans="9:9" x14ac:dyDescent="0.2">
      <c r="I57375" s="137" t="s">
        <v>74</v>
      </c>
    </row>
    <row r="57376" spans="9:9" x14ac:dyDescent="0.2">
      <c r="I57376" s="137" t="s">
        <v>74</v>
      </c>
    </row>
    <row r="57377" spans="9:9" x14ac:dyDescent="0.2">
      <c r="I57377" s="137" t="s">
        <v>74</v>
      </c>
    </row>
    <row r="57378" spans="9:9" x14ac:dyDescent="0.2">
      <c r="I57378" s="137" t="s">
        <v>74</v>
      </c>
    </row>
    <row r="57379" spans="9:9" x14ac:dyDescent="0.2">
      <c r="I57379" s="137" t="s">
        <v>74</v>
      </c>
    </row>
    <row r="57380" spans="9:9" x14ac:dyDescent="0.2">
      <c r="I57380" s="137" t="s">
        <v>74</v>
      </c>
    </row>
    <row r="57381" spans="9:9" x14ac:dyDescent="0.2">
      <c r="I57381" s="137" t="s">
        <v>74</v>
      </c>
    </row>
    <row r="57382" spans="9:9" x14ac:dyDescent="0.2">
      <c r="I57382" s="137" t="s">
        <v>74</v>
      </c>
    </row>
    <row r="57383" spans="9:9" x14ac:dyDescent="0.2">
      <c r="I57383" s="137" t="s">
        <v>74</v>
      </c>
    </row>
    <row r="57384" spans="9:9" x14ac:dyDescent="0.2">
      <c r="I57384" s="137" t="s">
        <v>74</v>
      </c>
    </row>
    <row r="57385" spans="9:9" x14ac:dyDescent="0.2">
      <c r="I57385" s="137" t="s">
        <v>74</v>
      </c>
    </row>
    <row r="57386" spans="9:9" x14ac:dyDescent="0.2">
      <c r="I57386" s="137" t="s">
        <v>74</v>
      </c>
    </row>
    <row r="57387" spans="9:9" x14ac:dyDescent="0.2">
      <c r="I57387" s="137" t="s">
        <v>74</v>
      </c>
    </row>
    <row r="57388" spans="9:9" x14ac:dyDescent="0.2">
      <c r="I57388" s="137" t="s">
        <v>74</v>
      </c>
    </row>
    <row r="57389" spans="9:9" x14ac:dyDescent="0.2">
      <c r="I57389" s="137" t="s">
        <v>74</v>
      </c>
    </row>
    <row r="57390" spans="9:9" x14ac:dyDescent="0.2">
      <c r="I57390" s="137" t="s">
        <v>74</v>
      </c>
    </row>
    <row r="57391" spans="9:9" x14ac:dyDescent="0.2">
      <c r="I57391" s="137" t="s">
        <v>74</v>
      </c>
    </row>
    <row r="57392" spans="9:9" x14ac:dyDescent="0.2">
      <c r="I57392" s="137" t="s">
        <v>74</v>
      </c>
    </row>
    <row r="57393" spans="9:9" x14ac:dyDescent="0.2">
      <c r="I57393" s="137" t="s">
        <v>74</v>
      </c>
    </row>
    <row r="57394" spans="9:9" x14ac:dyDescent="0.2">
      <c r="I57394" s="137" t="s">
        <v>74</v>
      </c>
    </row>
    <row r="57395" spans="9:9" x14ac:dyDescent="0.2">
      <c r="I57395" s="137" t="s">
        <v>74</v>
      </c>
    </row>
    <row r="57396" spans="9:9" x14ac:dyDescent="0.2">
      <c r="I57396" s="137" t="s">
        <v>74</v>
      </c>
    </row>
    <row r="57397" spans="9:9" x14ac:dyDescent="0.2">
      <c r="I57397" s="137" t="s">
        <v>74</v>
      </c>
    </row>
    <row r="57398" spans="9:9" x14ac:dyDescent="0.2">
      <c r="I57398" s="137" t="s">
        <v>74</v>
      </c>
    </row>
    <row r="57399" spans="9:9" x14ac:dyDescent="0.2">
      <c r="I57399" s="137" t="s">
        <v>74</v>
      </c>
    </row>
    <row r="57400" spans="9:9" x14ac:dyDescent="0.2">
      <c r="I57400" s="137" t="s">
        <v>74</v>
      </c>
    </row>
    <row r="57401" spans="9:9" x14ac:dyDescent="0.2">
      <c r="I57401" s="137" t="s">
        <v>74</v>
      </c>
    </row>
    <row r="57402" spans="9:9" x14ac:dyDescent="0.2">
      <c r="I57402" s="137" t="s">
        <v>74</v>
      </c>
    </row>
    <row r="57403" spans="9:9" x14ac:dyDescent="0.2">
      <c r="I57403" s="137" t="s">
        <v>74</v>
      </c>
    </row>
    <row r="57404" spans="9:9" x14ac:dyDescent="0.2">
      <c r="I57404" s="137" t="s">
        <v>74</v>
      </c>
    </row>
    <row r="57405" spans="9:9" x14ac:dyDescent="0.2">
      <c r="I57405" s="137" t="s">
        <v>74</v>
      </c>
    </row>
    <row r="57406" spans="9:9" x14ac:dyDescent="0.2">
      <c r="I57406" s="137" t="s">
        <v>74</v>
      </c>
    </row>
    <row r="57407" spans="9:9" x14ac:dyDescent="0.2">
      <c r="I57407" s="137" t="s">
        <v>74</v>
      </c>
    </row>
    <row r="57408" spans="9:9" x14ac:dyDescent="0.2">
      <c r="I57408" s="137" t="s">
        <v>74</v>
      </c>
    </row>
    <row r="57409" spans="9:9" x14ac:dyDescent="0.2">
      <c r="I57409" s="137" t="s">
        <v>74</v>
      </c>
    </row>
    <row r="57410" spans="9:9" x14ac:dyDescent="0.2">
      <c r="I57410" s="137" t="s">
        <v>74</v>
      </c>
    </row>
    <row r="57411" spans="9:9" x14ac:dyDescent="0.2">
      <c r="I57411" s="137" t="s">
        <v>74</v>
      </c>
    </row>
    <row r="57412" spans="9:9" x14ac:dyDescent="0.2">
      <c r="I57412" s="137" t="s">
        <v>74</v>
      </c>
    </row>
    <row r="57413" spans="9:9" x14ac:dyDescent="0.2">
      <c r="I57413" s="137" t="s">
        <v>74</v>
      </c>
    </row>
    <row r="57414" spans="9:9" x14ac:dyDescent="0.2">
      <c r="I57414" s="137" t="s">
        <v>74</v>
      </c>
    </row>
    <row r="57415" spans="9:9" x14ac:dyDescent="0.2">
      <c r="I57415" s="137" t="s">
        <v>74</v>
      </c>
    </row>
    <row r="57416" spans="9:9" x14ac:dyDescent="0.2">
      <c r="I57416" s="137" t="s">
        <v>74</v>
      </c>
    </row>
    <row r="57417" spans="9:9" x14ac:dyDescent="0.2">
      <c r="I57417" s="137" t="s">
        <v>74</v>
      </c>
    </row>
    <row r="57418" spans="9:9" x14ac:dyDescent="0.2">
      <c r="I57418" s="137" t="s">
        <v>74</v>
      </c>
    </row>
    <row r="57419" spans="9:9" x14ac:dyDescent="0.2">
      <c r="I57419" s="137" t="s">
        <v>74</v>
      </c>
    </row>
    <row r="57420" spans="9:9" x14ac:dyDescent="0.2">
      <c r="I57420" s="137" t="s">
        <v>74</v>
      </c>
    </row>
    <row r="57421" spans="9:9" x14ac:dyDescent="0.2">
      <c r="I57421" s="137" t="s">
        <v>74</v>
      </c>
    </row>
    <row r="57422" spans="9:9" x14ac:dyDescent="0.2">
      <c r="I57422" s="137" t="s">
        <v>74</v>
      </c>
    </row>
    <row r="57423" spans="9:9" x14ac:dyDescent="0.2">
      <c r="I57423" s="137" t="s">
        <v>74</v>
      </c>
    </row>
    <row r="57424" spans="9:9" x14ac:dyDescent="0.2">
      <c r="I57424" s="137" t="s">
        <v>74</v>
      </c>
    </row>
    <row r="57425" spans="9:9" x14ac:dyDescent="0.2">
      <c r="I57425" s="137" t="s">
        <v>74</v>
      </c>
    </row>
    <row r="57426" spans="9:9" x14ac:dyDescent="0.2">
      <c r="I57426" s="137" t="s">
        <v>74</v>
      </c>
    </row>
    <row r="57427" spans="9:9" x14ac:dyDescent="0.2">
      <c r="I57427" s="137" t="s">
        <v>74</v>
      </c>
    </row>
    <row r="57428" spans="9:9" x14ac:dyDescent="0.2">
      <c r="I57428" s="137" t="s">
        <v>74</v>
      </c>
    </row>
    <row r="57429" spans="9:9" x14ac:dyDescent="0.2">
      <c r="I57429" s="137" t="s">
        <v>74</v>
      </c>
    </row>
    <row r="57430" spans="9:9" x14ac:dyDescent="0.2">
      <c r="I57430" s="137" t="s">
        <v>74</v>
      </c>
    </row>
    <row r="57431" spans="9:9" x14ac:dyDescent="0.2">
      <c r="I57431" s="137" t="s">
        <v>74</v>
      </c>
    </row>
    <row r="57432" spans="9:9" x14ac:dyDescent="0.2">
      <c r="I57432" s="137" t="s">
        <v>74</v>
      </c>
    </row>
    <row r="57433" spans="9:9" x14ac:dyDescent="0.2">
      <c r="I57433" s="137" t="s">
        <v>74</v>
      </c>
    </row>
    <row r="57434" spans="9:9" x14ac:dyDescent="0.2">
      <c r="I57434" s="137" t="s">
        <v>74</v>
      </c>
    </row>
    <row r="57435" spans="9:9" x14ac:dyDescent="0.2">
      <c r="I57435" s="137" t="s">
        <v>74</v>
      </c>
    </row>
    <row r="57436" spans="9:9" x14ac:dyDescent="0.2">
      <c r="I57436" s="137" t="s">
        <v>74</v>
      </c>
    </row>
    <row r="57437" spans="9:9" x14ac:dyDescent="0.2">
      <c r="I57437" s="137" t="s">
        <v>74</v>
      </c>
    </row>
    <row r="57438" spans="9:9" x14ac:dyDescent="0.2">
      <c r="I57438" s="137" t="s">
        <v>74</v>
      </c>
    </row>
    <row r="57439" spans="9:9" x14ac:dyDescent="0.2">
      <c r="I57439" s="137" t="s">
        <v>74</v>
      </c>
    </row>
    <row r="57440" spans="9:9" x14ac:dyDescent="0.2">
      <c r="I57440" s="137" t="s">
        <v>74</v>
      </c>
    </row>
    <row r="57441" spans="9:9" x14ac:dyDescent="0.2">
      <c r="I57441" s="137" t="s">
        <v>74</v>
      </c>
    </row>
    <row r="57442" spans="9:9" x14ac:dyDescent="0.2">
      <c r="I57442" s="137" t="s">
        <v>74</v>
      </c>
    </row>
    <row r="57443" spans="9:9" x14ac:dyDescent="0.2">
      <c r="I57443" s="137" t="s">
        <v>74</v>
      </c>
    </row>
    <row r="57444" spans="9:9" x14ac:dyDescent="0.2">
      <c r="I57444" s="137" t="s">
        <v>74</v>
      </c>
    </row>
    <row r="57445" spans="9:9" x14ac:dyDescent="0.2">
      <c r="I57445" s="137" t="s">
        <v>74</v>
      </c>
    </row>
    <row r="57446" spans="9:9" x14ac:dyDescent="0.2">
      <c r="I57446" s="137" t="s">
        <v>74</v>
      </c>
    </row>
    <row r="57447" spans="9:9" x14ac:dyDescent="0.2">
      <c r="I57447" s="137" t="s">
        <v>74</v>
      </c>
    </row>
    <row r="57448" spans="9:9" x14ac:dyDescent="0.2">
      <c r="I57448" s="137" t="s">
        <v>74</v>
      </c>
    </row>
    <row r="57449" spans="9:9" x14ac:dyDescent="0.2">
      <c r="I57449" s="137" t="s">
        <v>74</v>
      </c>
    </row>
    <row r="57450" spans="9:9" x14ac:dyDescent="0.2">
      <c r="I57450" s="137" t="s">
        <v>74</v>
      </c>
    </row>
    <row r="57451" spans="9:9" x14ac:dyDescent="0.2">
      <c r="I57451" s="137" t="s">
        <v>74</v>
      </c>
    </row>
    <row r="57452" spans="9:9" x14ac:dyDescent="0.2">
      <c r="I57452" s="137" t="s">
        <v>74</v>
      </c>
    </row>
    <row r="57453" spans="9:9" x14ac:dyDescent="0.2">
      <c r="I57453" s="137" t="s">
        <v>74</v>
      </c>
    </row>
    <row r="57454" spans="9:9" x14ac:dyDescent="0.2">
      <c r="I57454" s="137" t="s">
        <v>74</v>
      </c>
    </row>
    <row r="57455" spans="9:9" x14ac:dyDescent="0.2">
      <c r="I57455" s="137" t="s">
        <v>74</v>
      </c>
    </row>
    <row r="57456" spans="9:9" x14ac:dyDescent="0.2">
      <c r="I57456" s="137" t="s">
        <v>74</v>
      </c>
    </row>
    <row r="57457" spans="9:9" x14ac:dyDescent="0.2">
      <c r="I57457" s="137" t="s">
        <v>74</v>
      </c>
    </row>
    <row r="57458" spans="9:9" x14ac:dyDescent="0.2">
      <c r="I57458" s="137" t="s">
        <v>74</v>
      </c>
    </row>
    <row r="57459" spans="9:9" x14ac:dyDescent="0.2">
      <c r="I57459" s="137" t="s">
        <v>74</v>
      </c>
    </row>
    <row r="57460" spans="9:9" x14ac:dyDescent="0.2">
      <c r="I57460" s="137" t="s">
        <v>74</v>
      </c>
    </row>
    <row r="57461" spans="9:9" x14ac:dyDescent="0.2">
      <c r="I57461" s="137" t="s">
        <v>74</v>
      </c>
    </row>
    <row r="57462" spans="9:9" x14ac:dyDescent="0.2">
      <c r="I57462" s="137" t="s">
        <v>74</v>
      </c>
    </row>
    <row r="57463" spans="9:9" x14ac:dyDescent="0.2">
      <c r="I57463" s="137" t="s">
        <v>74</v>
      </c>
    </row>
    <row r="57464" spans="9:9" x14ac:dyDescent="0.2">
      <c r="I57464" s="137" t="s">
        <v>74</v>
      </c>
    </row>
    <row r="57465" spans="9:9" x14ac:dyDescent="0.2">
      <c r="I57465" s="137" t="s">
        <v>74</v>
      </c>
    </row>
    <row r="57466" spans="9:9" x14ac:dyDescent="0.2">
      <c r="I57466" s="137" t="s">
        <v>74</v>
      </c>
    </row>
    <row r="57467" spans="9:9" x14ac:dyDescent="0.2">
      <c r="I57467" s="137" t="s">
        <v>74</v>
      </c>
    </row>
    <row r="57468" spans="9:9" x14ac:dyDescent="0.2">
      <c r="I57468" s="137" t="s">
        <v>74</v>
      </c>
    </row>
    <row r="57469" spans="9:9" x14ac:dyDescent="0.2">
      <c r="I57469" s="137" t="s">
        <v>74</v>
      </c>
    </row>
    <row r="57470" spans="9:9" x14ac:dyDescent="0.2">
      <c r="I57470" s="137" t="s">
        <v>74</v>
      </c>
    </row>
    <row r="57471" spans="9:9" x14ac:dyDescent="0.2">
      <c r="I57471" s="137" t="s">
        <v>74</v>
      </c>
    </row>
    <row r="57472" spans="9:9" x14ac:dyDescent="0.2">
      <c r="I57472" s="137" t="s">
        <v>74</v>
      </c>
    </row>
    <row r="57473" spans="9:9" x14ac:dyDescent="0.2">
      <c r="I57473" s="137" t="s">
        <v>74</v>
      </c>
    </row>
    <row r="57474" spans="9:9" x14ac:dyDescent="0.2">
      <c r="I57474" s="137" t="s">
        <v>74</v>
      </c>
    </row>
    <row r="57475" spans="9:9" x14ac:dyDescent="0.2">
      <c r="I57475" s="137" t="s">
        <v>74</v>
      </c>
    </row>
    <row r="57476" spans="9:9" x14ac:dyDescent="0.2">
      <c r="I57476" s="137" t="s">
        <v>74</v>
      </c>
    </row>
    <row r="57477" spans="9:9" x14ac:dyDescent="0.2">
      <c r="I57477" s="137" t="s">
        <v>74</v>
      </c>
    </row>
    <row r="57478" spans="9:9" x14ac:dyDescent="0.2">
      <c r="I57478" s="137" t="s">
        <v>74</v>
      </c>
    </row>
    <row r="57479" spans="9:9" x14ac:dyDescent="0.2">
      <c r="I57479" s="137" t="s">
        <v>74</v>
      </c>
    </row>
    <row r="57480" spans="9:9" x14ac:dyDescent="0.2">
      <c r="I57480" s="137" t="s">
        <v>74</v>
      </c>
    </row>
    <row r="57481" spans="9:9" x14ac:dyDescent="0.2">
      <c r="I57481" s="137" t="s">
        <v>74</v>
      </c>
    </row>
    <row r="57482" spans="9:9" x14ac:dyDescent="0.2">
      <c r="I57482" s="137" t="s">
        <v>74</v>
      </c>
    </row>
    <row r="57483" spans="9:9" x14ac:dyDescent="0.2">
      <c r="I57483" s="137" t="s">
        <v>74</v>
      </c>
    </row>
    <row r="57484" spans="9:9" x14ac:dyDescent="0.2">
      <c r="I57484" s="137" t="s">
        <v>74</v>
      </c>
    </row>
    <row r="57485" spans="9:9" x14ac:dyDescent="0.2">
      <c r="I57485" s="137" t="s">
        <v>74</v>
      </c>
    </row>
    <row r="57486" spans="9:9" x14ac:dyDescent="0.2">
      <c r="I57486" s="137" t="s">
        <v>74</v>
      </c>
    </row>
    <row r="57487" spans="9:9" x14ac:dyDescent="0.2">
      <c r="I57487" s="137" t="s">
        <v>74</v>
      </c>
    </row>
    <row r="57488" spans="9:9" x14ac:dyDescent="0.2">
      <c r="I57488" s="137" t="s">
        <v>74</v>
      </c>
    </row>
    <row r="57489" spans="9:9" x14ac:dyDescent="0.2">
      <c r="I57489" s="137" t="s">
        <v>74</v>
      </c>
    </row>
    <row r="57490" spans="9:9" x14ac:dyDescent="0.2">
      <c r="I57490" s="137" t="s">
        <v>74</v>
      </c>
    </row>
    <row r="57491" spans="9:9" x14ac:dyDescent="0.2">
      <c r="I57491" s="137" t="s">
        <v>74</v>
      </c>
    </row>
    <row r="57492" spans="9:9" x14ac:dyDescent="0.2">
      <c r="I57492" s="137" t="s">
        <v>74</v>
      </c>
    </row>
    <row r="57493" spans="9:9" x14ac:dyDescent="0.2">
      <c r="I57493" s="137" t="s">
        <v>74</v>
      </c>
    </row>
    <row r="57494" spans="9:9" x14ac:dyDescent="0.2">
      <c r="I57494" s="137" t="s">
        <v>74</v>
      </c>
    </row>
    <row r="57495" spans="9:9" x14ac:dyDescent="0.2">
      <c r="I57495" s="137" t="s">
        <v>74</v>
      </c>
    </row>
    <row r="57496" spans="9:9" x14ac:dyDescent="0.2">
      <c r="I57496" s="137" t="s">
        <v>74</v>
      </c>
    </row>
    <row r="57497" spans="9:9" x14ac:dyDescent="0.2">
      <c r="I57497" s="137" t="s">
        <v>74</v>
      </c>
    </row>
    <row r="57498" spans="9:9" x14ac:dyDescent="0.2">
      <c r="I57498" s="137" t="s">
        <v>74</v>
      </c>
    </row>
    <row r="57499" spans="9:9" x14ac:dyDescent="0.2">
      <c r="I57499" s="137" t="s">
        <v>74</v>
      </c>
    </row>
    <row r="57500" spans="9:9" x14ac:dyDescent="0.2">
      <c r="I57500" s="137" t="s">
        <v>74</v>
      </c>
    </row>
    <row r="57501" spans="9:9" x14ac:dyDescent="0.2">
      <c r="I57501" s="137" t="s">
        <v>74</v>
      </c>
    </row>
    <row r="57502" spans="9:9" x14ac:dyDescent="0.2">
      <c r="I57502" s="137" t="s">
        <v>74</v>
      </c>
    </row>
    <row r="57503" spans="9:9" x14ac:dyDescent="0.2">
      <c r="I57503" s="137" t="s">
        <v>74</v>
      </c>
    </row>
    <row r="57504" spans="9:9" x14ac:dyDescent="0.2">
      <c r="I57504" s="137" t="s">
        <v>74</v>
      </c>
    </row>
    <row r="57505" spans="9:9" x14ac:dyDescent="0.2">
      <c r="I57505" s="137" t="s">
        <v>74</v>
      </c>
    </row>
    <row r="57506" spans="9:9" x14ac:dyDescent="0.2">
      <c r="I57506" s="137" t="s">
        <v>74</v>
      </c>
    </row>
    <row r="57507" spans="9:9" x14ac:dyDescent="0.2">
      <c r="I57507" s="137" t="s">
        <v>74</v>
      </c>
    </row>
    <row r="57508" spans="9:9" x14ac:dyDescent="0.2">
      <c r="I57508" s="137" t="s">
        <v>74</v>
      </c>
    </row>
    <row r="57509" spans="9:9" x14ac:dyDescent="0.2">
      <c r="I57509" s="137" t="s">
        <v>74</v>
      </c>
    </row>
    <row r="57510" spans="9:9" x14ac:dyDescent="0.2">
      <c r="I57510" s="137" t="s">
        <v>74</v>
      </c>
    </row>
    <row r="57511" spans="9:9" x14ac:dyDescent="0.2">
      <c r="I57511" s="137" t="s">
        <v>74</v>
      </c>
    </row>
    <row r="57512" spans="9:9" x14ac:dyDescent="0.2">
      <c r="I57512" s="137" t="s">
        <v>74</v>
      </c>
    </row>
    <row r="57513" spans="9:9" x14ac:dyDescent="0.2">
      <c r="I57513" s="137" t="s">
        <v>74</v>
      </c>
    </row>
    <row r="57514" spans="9:9" x14ac:dyDescent="0.2">
      <c r="I57514" s="137" t="s">
        <v>74</v>
      </c>
    </row>
    <row r="57515" spans="9:9" x14ac:dyDescent="0.2">
      <c r="I57515" s="137" t="s">
        <v>74</v>
      </c>
    </row>
    <row r="57516" spans="9:9" x14ac:dyDescent="0.2">
      <c r="I57516" s="137" t="s">
        <v>74</v>
      </c>
    </row>
    <row r="57517" spans="9:9" x14ac:dyDescent="0.2">
      <c r="I57517" s="137" t="s">
        <v>74</v>
      </c>
    </row>
    <row r="57518" spans="9:9" x14ac:dyDescent="0.2">
      <c r="I57518" s="137" t="s">
        <v>74</v>
      </c>
    </row>
    <row r="57519" spans="9:9" x14ac:dyDescent="0.2">
      <c r="I57519" s="137" t="s">
        <v>74</v>
      </c>
    </row>
    <row r="57520" spans="9:9" x14ac:dyDescent="0.2">
      <c r="I57520" s="137" t="s">
        <v>74</v>
      </c>
    </row>
    <row r="57521" spans="9:9" x14ac:dyDescent="0.2">
      <c r="I57521" s="137" t="s">
        <v>74</v>
      </c>
    </row>
    <row r="57522" spans="9:9" x14ac:dyDescent="0.2">
      <c r="I57522" s="137" t="s">
        <v>74</v>
      </c>
    </row>
    <row r="57523" spans="9:9" x14ac:dyDescent="0.2">
      <c r="I57523" s="137" t="s">
        <v>74</v>
      </c>
    </row>
    <row r="57524" spans="9:9" x14ac:dyDescent="0.2">
      <c r="I57524" s="137" t="s">
        <v>74</v>
      </c>
    </row>
    <row r="57525" spans="9:9" x14ac:dyDescent="0.2">
      <c r="I57525" s="137" t="s">
        <v>74</v>
      </c>
    </row>
    <row r="57526" spans="9:9" x14ac:dyDescent="0.2">
      <c r="I57526" s="137" t="s">
        <v>74</v>
      </c>
    </row>
    <row r="57527" spans="9:9" x14ac:dyDescent="0.2">
      <c r="I57527" s="137" t="s">
        <v>74</v>
      </c>
    </row>
    <row r="57528" spans="9:9" x14ac:dyDescent="0.2">
      <c r="I57528" s="137" t="s">
        <v>74</v>
      </c>
    </row>
    <row r="57529" spans="9:9" x14ac:dyDescent="0.2">
      <c r="I57529" s="137" t="s">
        <v>74</v>
      </c>
    </row>
    <row r="57530" spans="9:9" x14ac:dyDescent="0.2">
      <c r="I57530" s="137" t="s">
        <v>74</v>
      </c>
    </row>
    <row r="57531" spans="9:9" x14ac:dyDescent="0.2">
      <c r="I57531" s="137" t="s">
        <v>74</v>
      </c>
    </row>
    <row r="57532" spans="9:9" x14ac:dyDescent="0.2">
      <c r="I57532" s="137" t="s">
        <v>74</v>
      </c>
    </row>
    <row r="57533" spans="9:9" x14ac:dyDescent="0.2">
      <c r="I57533" s="137" t="s">
        <v>74</v>
      </c>
    </row>
    <row r="57534" spans="9:9" x14ac:dyDescent="0.2">
      <c r="I57534" s="137" t="s">
        <v>74</v>
      </c>
    </row>
    <row r="57535" spans="9:9" x14ac:dyDescent="0.2">
      <c r="I57535" s="137" t="s">
        <v>74</v>
      </c>
    </row>
    <row r="57536" spans="9:9" x14ac:dyDescent="0.2">
      <c r="I57536" s="137" t="s">
        <v>74</v>
      </c>
    </row>
    <row r="57537" spans="9:9" x14ac:dyDescent="0.2">
      <c r="I57537" s="137" t="s">
        <v>74</v>
      </c>
    </row>
    <row r="57538" spans="9:9" x14ac:dyDescent="0.2">
      <c r="I57538" s="137" t="s">
        <v>74</v>
      </c>
    </row>
    <row r="57539" spans="9:9" x14ac:dyDescent="0.2">
      <c r="I57539" s="137" t="s">
        <v>74</v>
      </c>
    </row>
    <row r="57540" spans="9:9" x14ac:dyDescent="0.2">
      <c r="I57540" s="137" t="s">
        <v>74</v>
      </c>
    </row>
    <row r="57541" spans="9:9" x14ac:dyDescent="0.2">
      <c r="I57541" s="137" t="s">
        <v>74</v>
      </c>
    </row>
    <row r="57542" spans="9:9" x14ac:dyDescent="0.2">
      <c r="I57542" s="137" t="s">
        <v>74</v>
      </c>
    </row>
    <row r="57543" spans="9:9" x14ac:dyDescent="0.2">
      <c r="I57543" s="137" t="s">
        <v>74</v>
      </c>
    </row>
    <row r="57544" spans="9:9" x14ac:dyDescent="0.2">
      <c r="I57544" s="137" t="s">
        <v>74</v>
      </c>
    </row>
    <row r="57545" spans="9:9" x14ac:dyDescent="0.2">
      <c r="I57545" s="137" t="s">
        <v>74</v>
      </c>
    </row>
    <row r="57546" spans="9:9" x14ac:dyDescent="0.2">
      <c r="I57546" s="137" t="s">
        <v>74</v>
      </c>
    </row>
    <row r="57547" spans="9:9" x14ac:dyDescent="0.2">
      <c r="I57547" s="137" t="s">
        <v>74</v>
      </c>
    </row>
    <row r="57548" spans="9:9" x14ac:dyDescent="0.2">
      <c r="I57548" s="137" t="s">
        <v>74</v>
      </c>
    </row>
    <row r="57549" spans="9:9" x14ac:dyDescent="0.2">
      <c r="I57549" s="137" t="s">
        <v>74</v>
      </c>
    </row>
    <row r="57550" spans="9:9" x14ac:dyDescent="0.2">
      <c r="I57550" s="137" t="s">
        <v>74</v>
      </c>
    </row>
    <row r="57551" spans="9:9" x14ac:dyDescent="0.2">
      <c r="I57551" s="137" t="s">
        <v>74</v>
      </c>
    </row>
    <row r="57552" spans="9:9" x14ac:dyDescent="0.2">
      <c r="I57552" s="137" t="s">
        <v>74</v>
      </c>
    </row>
    <row r="57553" spans="9:9" x14ac:dyDescent="0.2">
      <c r="I57553" s="137" t="s">
        <v>74</v>
      </c>
    </row>
    <row r="57554" spans="9:9" x14ac:dyDescent="0.2">
      <c r="I57554" s="137" t="s">
        <v>74</v>
      </c>
    </row>
    <row r="57555" spans="9:9" x14ac:dyDescent="0.2">
      <c r="I57555" s="137" t="s">
        <v>74</v>
      </c>
    </row>
    <row r="57556" spans="9:9" x14ac:dyDescent="0.2">
      <c r="I57556" s="137" t="s">
        <v>74</v>
      </c>
    </row>
    <row r="57557" spans="9:9" x14ac:dyDescent="0.2">
      <c r="I57557" s="137" t="s">
        <v>74</v>
      </c>
    </row>
    <row r="57558" spans="9:9" x14ac:dyDescent="0.2">
      <c r="I57558" s="137" t="s">
        <v>74</v>
      </c>
    </row>
    <row r="57559" spans="9:9" x14ac:dyDescent="0.2">
      <c r="I57559" s="137" t="s">
        <v>74</v>
      </c>
    </row>
    <row r="57560" spans="9:9" x14ac:dyDescent="0.2">
      <c r="I57560" s="137" t="s">
        <v>74</v>
      </c>
    </row>
    <row r="57561" spans="9:9" x14ac:dyDescent="0.2">
      <c r="I57561" s="137" t="s">
        <v>74</v>
      </c>
    </row>
    <row r="57562" spans="9:9" x14ac:dyDescent="0.2">
      <c r="I57562" s="137" t="s">
        <v>74</v>
      </c>
    </row>
    <row r="57563" spans="9:9" x14ac:dyDescent="0.2">
      <c r="I57563" s="137" t="s">
        <v>74</v>
      </c>
    </row>
    <row r="57564" spans="9:9" x14ac:dyDescent="0.2">
      <c r="I57564" s="137" t="s">
        <v>74</v>
      </c>
    </row>
    <row r="57565" spans="9:9" x14ac:dyDescent="0.2">
      <c r="I57565" s="137" t="s">
        <v>74</v>
      </c>
    </row>
    <row r="57566" spans="9:9" x14ac:dyDescent="0.2">
      <c r="I57566" s="137" t="s">
        <v>74</v>
      </c>
    </row>
    <row r="57567" spans="9:9" x14ac:dyDescent="0.2">
      <c r="I57567" s="137" t="s">
        <v>74</v>
      </c>
    </row>
    <row r="57568" spans="9:9" x14ac:dyDescent="0.2">
      <c r="I57568" s="137" t="s">
        <v>74</v>
      </c>
    </row>
    <row r="57569" spans="9:9" x14ac:dyDescent="0.2">
      <c r="I57569" s="137" t="s">
        <v>74</v>
      </c>
    </row>
    <row r="57570" spans="9:9" x14ac:dyDescent="0.2">
      <c r="I57570" s="137" t="s">
        <v>74</v>
      </c>
    </row>
    <row r="57571" spans="9:9" x14ac:dyDescent="0.2">
      <c r="I57571" s="137" t="s">
        <v>74</v>
      </c>
    </row>
    <row r="57572" spans="9:9" x14ac:dyDescent="0.2">
      <c r="I57572" s="137" t="s">
        <v>74</v>
      </c>
    </row>
    <row r="57573" spans="9:9" x14ac:dyDescent="0.2">
      <c r="I57573" s="137" t="s">
        <v>74</v>
      </c>
    </row>
    <row r="57574" spans="9:9" x14ac:dyDescent="0.2">
      <c r="I57574" s="137" t="s">
        <v>74</v>
      </c>
    </row>
    <row r="57575" spans="9:9" x14ac:dyDescent="0.2">
      <c r="I57575" s="137" t="s">
        <v>74</v>
      </c>
    </row>
    <row r="57576" spans="9:9" x14ac:dyDescent="0.2">
      <c r="I57576" s="137" t="s">
        <v>74</v>
      </c>
    </row>
    <row r="57577" spans="9:9" x14ac:dyDescent="0.2">
      <c r="I57577" s="137" t="s">
        <v>74</v>
      </c>
    </row>
    <row r="57578" spans="9:9" x14ac:dyDescent="0.2">
      <c r="I57578" s="137" t="s">
        <v>74</v>
      </c>
    </row>
    <row r="57579" spans="9:9" x14ac:dyDescent="0.2">
      <c r="I57579" s="137" t="s">
        <v>74</v>
      </c>
    </row>
    <row r="57580" spans="9:9" x14ac:dyDescent="0.2">
      <c r="I57580" s="137" t="s">
        <v>74</v>
      </c>
    </row>
    <row r="57581" spans="9:9" x14ac:dyDescent="0.2">
      <c r="I57581" s="137" t="s">
        <v>74</v>
      </c>
    </row>
    <row r="57582" spans="9:9" x14ac:dyDescent="0.2">
      <c r="I57582" s="137" t="s">
        <v>74</v>
      </c>
    </row>
    <row r="57583" spans="9:9" x14ac:dyDescent="0.2">
      <c r="I57583" s="137" t="s">
        <v>74</v>
      </c>
    </row>
    <row r="57584" spans="9:9" x14ac:dyDescent="0.2">
      <c r="I57584" s="137" t="s">
        <v>74</v>
      </c>
    </row>
    <row r="57585" spans="9:9" x14ac:dyDescent="0.2">
      <c r="I57585" s="137" t="s">
        <v>74</v>
      </c>
    </row>
    <row r="57586" spans="9:9" x14ac:dyDescent="0.2">
      <c r="I57586" s="137" t="s">
        <v>74</v>
      </c>
    </row>
    <row r="57587" spans="9:9" x14ac:dyDescent="0.2">
      <c r="I57587" s="137" t="s">
        <v>74</v>
      </c>
    </row>
    <row r="57588" spans="9:9" x14ac:dyDescent="0.2">
      <c r="I57588" s="137" t="s">
        <v>74</v>
      </c>
    </row>
    <row r="57589" spans="9:9" x14ac:dyDescent="0.2">
      <c r="I57589" s="137" t="s">
        <v>74</v>
      </c>
    </row>
    <row r="57590" spans="9:9" x14ac:dyDescent="0.2">
      <c r="I57590" s="137" t="s">
        <v>74</v>
      </c>
    </row>
    <row r="57591" spans="9:9" x14ac:dyDescent="0.2">
      <c r="I57591" s="137" t="s">
        <v>74</v>
      </c>
    </row>
    <row r="57592" spans="9:9" x14ac:dyDescent="0.2">
      <c r="I57592" s="137" t="s">
        <v>74</v>
      </c>
    </row>
    <row r="57593" spans="9:9" x14ac:dyDescent="0.2">
      <c r="I57593" s="137" t="s">
        <v>74</v>
      </c>
    </row>
    <row r="57594" spans="9:9" x14ac:dyDescent="0.2">
      <c r="I57594" s="137" t="s">
        <v>74</v>
      </c>
    </row>
    <row r="57595" spans="9:9" x14ac:dyDescent="0.2">
      <c r="I57595" s="137" t="s">
        <v>74</v>
      </c>
    </row>
    <row r="57596" spans="9:9" x14ac:dyDescent="0.2">
      <c r="I57596" s="137" t="s">
        <v>74</v>
      </c>
    </row>
    <row r="57597" spans="9:9" x14ac:dyDescent="0.2">
      <c r="I57597" s="137" t="s">
        <v>74</v>
      </c>
    </row>
    <row r="57598" spans="9:9" x14ac:dyDescent="0.2">
      <c r="I57598" s="137" t="s">
        <v>74</v>
      </c>
    </row>
    <row r="57599" spans="9:9" x14ac:dyDescent="0.2">
      <c r="I57599" s="137" t="s">
        <v>74</v>
      </c>
    </row>
    <row r="57600" spans="9:9" x14ac:dyDescent="0.2">
      <c r="I57600" s="137" t="s">
        <v>74</v>
      </c>
    </row>
    <row r="57601" spans="9:9" x14ac:dyDescent="0.2">
      <c r="I57601" s="137" t="s">
        <v>74</v>
      </c>
    </row>
    <row r="57602" spans="9:9" x14ac:dyDescent="0.2">
      <c r="I57602" s="137" t="s">
        <v>74</v>
      </c>
    </row>
    <row r="57603" spans="9:9" x14ac:dyDescent="0.2">
      <c r="I57603" s="137" t="s">
        <v>74</v>
      </c>
    </row>
    <row r="57604" spans="9:9" x14ac:dyDescent="0.2">
      <c r="I57604" s="137" t="s">
        <v>74</v>
      </c>
    </row>
    <row r="57605" spans="9:9" x14ac:dyDescent="0.2">
      <c r="I57605" s="137" t="s">
        <v>74</v>
      </c>
    </row>
    <row r="57606" spans="9:9" x14ac:dyDescent="0.2">
      <c r="I57606" s="137" t="s">
        <v>74</v>
      </c>
    </row>
    <row r="57607" spans="9:9" x14ac:dyDescent="0.2">
      <c r="I57607" s="137" t="s">
        <v>74</v>
      </c>
    </row>
    <row r="57608" spans="9:9" x14ac:dyDescent="0.2">
      <c r="I57608" s="137" t="s">
        <v>74</v>
      </c>
    </row>
    <row r="57609" spans="9:9" x14ac:dyDescent="0.2">
      <c r="I57609" s="137" t="s">
        <v>74</v>
      </c>
    </row>
    <row r="57610" spans="9:9" x14ac:dyDescent="0.2">
      <c r="I57610" s="137" t="s">
        <v>74</v>
      </c>
    </row>
    <row r="57611" spans="9:9" x14ac:dyDescent="0.2">
      <c r="I57611" s="137" t="s">
        <v>74</v>
      </c>
    </row>
    <row r="57612" spans="9:9" x14ac:dyDescent="0.2">
      <c r="I57612" s="137" t="s">
        <v>74</v>
      </c>
    </row>
    <row r="57613" spans="9:9" x14ac:dyDescent="0.2">
      <c r="I57613" s="137" t="s">
        <v>74</v>
      </c>
    </row>
    <row r="57614" spans="9:9" x14ac:dyDescent="0.2">
      <c r="I57614" s="137" t="s">
        <v>74</v>
      </c>
    </row>
    <row r="57615" spans="9:9" x14ac:dyDescent="0.2">
      <c r="I57615" s="137" t="s">
        <v>74</v>
      </c>
    </row>
    <row r="57616" spans="9:9" x14ac:dyDescent="0.2">
      <c r="I57616" s="137" t="s">
        <v>74</v>
      </c>
    </row>
    <row r="57617" spans="9:9" x14ac:dyDescent="0.2">
      <c r="I57617" s="137" t="s">
        <v>74</v>
      </c>
    </row>
    <row r="57618" spans="9:9" x14ac:dyDescent="0.2">
      <c r="I57618" s="137" t="s">
        <v>74</v>
      </c>
    </row>
    <row r="57619" spans="9:9" x14ac:dyDescent="0.2">
      <c r="I57619" s="137" t="s">
        <v>74</v>
      </c>
    </row>
    <row r="57620" spans="9:9" x14ac:dyDescent="0.2">
      <c r="I57620" s="137" t="s">
        <v>74</v>
      </c>
    </row>
    <row r="57621" spans="9:9" x14ac:dyDescent="0.2">
      <c r="I57621" s="137" t="s">
        <v>74</v>
      </c>
    </row>
    <row r="57622" spans="9:9" x14ac:dyDescent="0.2">
      <c r="I57622" s="137" t="s">
        <v>74</v>
      </c>
    </row>
    <row r="57623" spans="9:9" x14ac:dyDescent="0.2">
      <c r="I57623" s="137" t="s">
        <v>74</v>
      </c>
    </row>
    <row r="57624" spans="9:9" x14ac:dyDescent="0.2">
      <c r="I57624" s="137" t="s">
        <v>74</v>
      </c>
    </row>
    <row r="57625" spans="9:9" x14ac:dyDescent="0.2">
      <c r="I57625" s="137" t="s">
        <v>74</v>
      </c>
    </row>
    <row r="57626" spans="9:9" x14ac:dyDescent="0.2">
      <c r="I57626" s="137" t="s">
        <v>74</v>
      </c>
    </row>
    <row r="57627" spans="9:9" x14ac:dyDescent="0.2">
      <c r="I57627" s="137" t="s">
        <v>74</v>
      </c>
    </row>
    <row r="57628" spans="9:9" x14ac:dyDescent="0.2">
      <c r="I57628" s="137" t="s">
        <v>74</v>
      </c>
    </row>
    <row r="57629" spans="9:9" x14ac:dyDescent="0.2">
      <c r="I57629" s="137" t="s">
        <v>74</v>
      </c>
    </row>
    <row r="57630" spans="9:9" x14ac:dyDescent="0.2">
      <c r="I57630" s="137" t="s">
        <v>74</v>
      </c>
    </row>
    <row r="57631" spans="9:9" x14ac:dyDescent="0.2">
      <c r="I57631" s="137" t="s">
        <v>74</v>
      </c>
    </row>
    <row r="57632" spans="9:9" x14ac:dyDescent="0.2">
      <c r="I57632" s="137" t="s">
        <v>74</v>
      </c>
    </row>
    <row r="57633" spans="9:9" x14ac:dyDescent="0.2">
      <c r="I57633" s="137" t="s">
        <v>74</v>
      </c>
    </row>
    <row r="57634" spans="9:9" x14ac:dyDescent="0.2">
      <c r="I57634" s="137" t="s">
        <v>74</v>
      </c>
    </row>
    <row r="57635" spans="9:9" x14ac:dyDescent="0.2">
      <c r="I57635" s="137" t="s">
        <v>74</v>
      </c>
    </row>
    <row r="57636" spans="9:9" x14ac:dyDescent="0.2">
      <c r="I57636" s="137" t="s">
        <v>74</v>
      </c>
    </row>
    <row r="57637" spans="9:9" x14ac:dyDescent="0.2">
      <c r="I57637" s="137" t="s">
        <v>74</v>
      </c>
    </row>
    <row r="57638" spans="9:9" x14ac:dyDescent="0.2">
      <c r="I57638" s="137" t="s">
        <v>74</v>
      </c>
    </row>
    <row r="57639" spans="9:9" x14ac:dyDescent="0.2">
      <c r="I57639" s="137" t="s">
        <v>74</v>
      </c>
    </row>
    <row r="57640" spans="9:9" x14ac:dyDescent="0.2">
      <c r="I57640" s="137" t="s">
        <v>74</v>
      </c>
    </row>
    <row r="57641" spans="9:9" x14ac:dyDescent="0.2">
      <c r="I57641" s="137" t="s">
        <v>74</v>
      </c>
    </row>
    <row r="57642" spans="9:9" x14ac:dyDescent="0.2">
      <c r="I57642" s="137" t="s">
        <v>74</v>
      </c>
    </row>
    <row r="57643" spans="9:9" x14ac:dyDescent="0.2">
      <c r="I57643" s="137" t="s">
        <v>74</v>
      </c>
    </row>
    <row r="57644" spans="9:9" x14ac:dyDescent="0.2">
      <c r="I57644" s="137" t="s">
        <v>74</v>
      </c>
    </row>
    <row r="57645" spans="9:9" x14ac:dyDescent="0.2">
      <c r="I57645" s="137" t="s">
        <v>74</v>
      </c>
    </row>
    <row r="57646" spans="9:9" x14ac:dyDescent="0.2">
      <c r="I57646" s="137" t="s">
        <v>74</v>
      </c>
    </row>
    <row r="57647" spans="9:9" x14ac:dyDescent="0.2">
      <c r="I57647" s="137" t="s">
        <v>74</v>
      </c>
    </row>
    <row r="57648" spans="9:9" x14ac:dyDescent="0.2">
      <c r="I57648" s="137" t="s">
        <v>74</v>
      </c>
    </row>
    <row r="57649" spans="9:9" x14ac:dyDescent="0.2">
      <c r="I57649" s="137" t="s">
        <v>74</v>
      </c>
    </row>
    <row r="57650" spans="9:9" x14ac:dyDescent="0.2">
      <c r="I57650" s="137" t="s">
        <v>74</v>
      </c>
    </row>
    <row r="57651" spans="9:9" x14ac:dyDescent="0.2">
      <c r="I57651" s="137" t="s">
        <v>74</v>
      </c>
    </row>
    <row r="57652" spans="9:9" x14ac:dyDescent="0.2">
      <c r="I57652" s="137" t="s">
        <v>74</v>
      </c>
    </row>
    <row r="57653" spans="9:9" x14ac:dyDescent="0.2">
      <c r="I57653" s="137" t="s">
        <v>74</v>
      </c>
    </row>
    <row r="57654" spans="9:9" x14ac:dyDescent="0.2">
      <c r="I57654" s="137" t="s">
        <v>74</v>
      </c>
    </row>
    <row r="57655" spans="9:9" x14ac:dyDescent="0.2">
      <c r="I57655" s="137" t="s">
        <v>74</v>
      </c>
    </row>
    <row r="57656" spans="9:9" x14ac:dyDescent="0.2">
      <c r="I57656" s="137" t="s">
        <v>74</v>
      </c>
    </row>
    <row r="57657" spans="9:9" x14ac:dyDescent="0.2">
      <c r="I57657" s="137" t="s">
        <v>74</v>
      </c>
    </row>
    <row r="57658" spans="9:9" x14ac:dyDescent="0.2">
      <c r="I57658" s="137" t="s">
        <v>74</v>
      </c>
    </row>
    <row r="57659" spans="9:9" x14ac:dyDescent="0.2">
      <c r="I57659" s="137" t="s">
        <v>74</v>
      </c>
    </row>
    <row r="57660" spans="9:9" x14ac:dyDescent="0.2">
      <c r="I57660" s="137" t="s">
        <v>74</v>
      </c>
    </row>
    <row r="57661" spans="9:9" x14ac:dyDescent="0.2">
      <c r="I57661" s="137" t="s">
        <v>74</v>
      </c>
    </row>
    <row r="57662" spans="9:9" x14ac:dyDescent="0.2">
      <c r="I57662" s="137" t="s">
        <v>74</v>
      </c>
    </row>
    <row r="57663" spans="9:9" x14ac:dyDescent="0.2">
      <c r="I57663" s="137" t="s">
        <v>74</v>
      </c>
    </row>
    <row r="57664" spans="9:9" x14ac:dyDescent="0.2">
      <c r="I57664" s="137" t="s">
        <v>74</v>
      </c>
    </row>
    <row r="57665" spans="9:9" x14ac:dyDescent="0.2">
      <c r="I57665" s="137" t="s">
        <v>74</v>
      </c>
    </row>
    <row r="57666" spans="9:9" x14ac:dyDescent="0.2">
      <c r="I57666" s="137" t="s">
        <v>74</v>
      </c>
    </row>
    <row r="57667" spans="9:9" x14ac:dyDescent="0.2">
      <c r="I57667" s="137" t="s">
        <v>74</v>
      </c>
    </row>
    <row r="57668" spans="9:9" x14ac:dyDescent="0.2">
      <c r="I57668" s="137" t="s">
        <v>74</v>
      </c>
    </row>
    <row r="57669" spans="9:9" x14ac:dyDescent="0.2">
      <c r="I57669" s="137" t="s">
        <v>74</v>
      </c>
    </row>
    <row r="57670" spans="9:9" x14ac:dyDescent="0.2">
      <c r="I57670" s="137" t="s">
        <v>74</v>
      </c>
    </row>
    <row r="57671" spans="9:9" x14ac:dyDescent="0.2">
      <c r="I57671" s="137" t="s">
        <v>74</v>
      </c>
    </row>
    <row r="57672" spans="9:9" x14ac:dyDescent="0.2">
      <c r="I57672" s="137" t="s">
        <v>74</v>
      </c>
    </row>
    <row r="57673" spans="9:9" x14ac:dyDescent="0.2">
      <c r="I57673" s="137" t="s">
        <v>74</v>
      </c>
    </row>
    <row r="57674" spans="9:9" x14ac:dyDescent="0.2">
      <c r="I57674" s="137" t="s">
        <v>74</v>
      </c>
    </row>
    <row r="57675" spans="9:9" x14ac:dyDescent="0.2">
      <c r="I57675" s="137" t="s">
        <v>74</v>
      </c>
    </row>
    <row r="57676" spans="9:9" x14ac:dyDescent="0.2">
      <c r="I57676" s="137" t="s">
        <v>74</v>
      </c>
    </row>
    <row r="57677" spans="9:9" x14ac:dyDescent="0.2">
      <c r="I57677" s="137" t="s">
        <v>74</v>
      </c>
    </row>
    <row r="57678" spans="9:9" x14ac:dyDescent="0.2">
      <c r="I57678" s="137" t="s">
        <v>74</v>
      </c>
    </row>
    <row r="57679" spans="9:9" x14ac:dyDescent="0.2">
      <c r="I57679" s="137" t="s">
        <v>74</v>
      </c>
    </row>
    <row r="57680" spans="9:9" x14ac:dyDescent="0.2">
      <c r="I57680" s="137" t="s">
        <v>74</v>
      </c>
    </row>
    <row r="57681" spans="9:9" x14ac:dyDescent="0.2">
      <c r="I57681" s="137" t="s">
        <v>74</v>
      </c>
    </row>
    <row r="57682" spans="9:9" x14ac:dyDescent="0.2">
      <c r="I57682" s="137" t="s">
        <v>74</v>
      </c>
    </row>
    <row r="57683" spans="9:9" x14ac:dyDescent="0.2">
      <c r="I57683" s="137" t="s">
        <v>74</v>
      </c>
    </row>
    <row r="57684" spans="9:9" x14ac:dyDescent="0.2">
      <c r="I57684" s="137" t="s">
        <v>74</v>
      </c>
    </row>
    <row r="57685" spans="9:9" x14ac:dyDescent="0.2">
      <c r="I57685" s="137" t="s">
        <v>74</v>
      </c>
    </row>
    <row r="57686" spans="9:9" x14ac:dyDescent="0.2">
      <c r="I57686" s="137" t="s">
        <v>74</v>
      </c>
    </row>
    <row r="57687" spans="9:9" x14ac:dyDescent="0.2">
      <c r="I57687" s="137" t="s">
        <v>74</v>
      </c>
    </row>
    <row r="57688" spans="9:9" x14ac:dyDescent="0.2">
      <c r="I57688" s="137" t="s">
        <v>74</v>
      </c>
    </row>
    <row r="57689" spans="9:9" x14ac:dyDescent="0.2">
      <c r="I57689" s="137" t="s">
        <v>74</v>
      </c>
    </row>
    <row r="57690" spans="9:9" x14ac:dyDescent="0.2">
      <c r="I57690" s="137" t="s">
        <v>74</v>
      </c>
    </row>
    <row r="57691" spans="9:9" x14ac:dyDescent="0.2">
      <c r="I57691" s="137" t="s">
        <v>74</v>
      </c>
    </row>
    <row r="57692" spans="9:9" x14ac:dyDescent="0.2">
      <c r="I57692" s="137" t="s">
        <v>74</v>
      </c>
    </row>
    <row r="57693" spans="9:9" x14ac:dyDescent="0.2">
      <c r="I57693" s="137" t="s">
        <v>74</v>
      </c>
    </row>
    <row r="57694" spans="9:9" x14ac:dyDescent="0.2">
      <c r="I57694" s="137" t="s">
        <v>74</v>
      </c>
    </row>
    <row r="57695" spans="9:9" x14ac:dyDescent="0.2">
      <c r="I57695" s="137" t="s">
        <v>74</v>
      </c>
    </row>
    <row r="57696" spans="9:9" x14ac:dyDescent="0.2">
      <c r="I57696" s="137" t="s">
        <v>74</v>
      </c>
    </row>
    <row r="57697" spans="9:9" x14ac:dyDescent="0.2">
      <c r="I57697" s="137" t="s">
        <v>74</v>
      </c>
    </row>
    <row r="57698" spans="9:9" x14ac:dyDescent="0.2">
      <c r="I57698" s="137" t="s">
        <v>74</v>
      </c>
    </row>
    <row r="57699" spans="9:9" x14ac:dyDescent="0.2">
      <c r="I57699" s="137" t="s">
        <v>74</v>
      </c>
    </row>
    <row r="57700" spans="9:9" x14ac:dyDescent="0.2">
      <c r="I57700" s="137" t="s">
        <v>74</v>
      </c>
    </row>
    <row r="57701" spans="9:9" x14ac:dyDescent="0.2">
      <c r="I57701" s="137" t="s">
        <v>74</v>
      </c>
    </row>
    <row r="57702" spans="9:9" x14ac:dyDescent="0.2">
      <c r="I57702" s="137" t="s">
        <v>74</v>
      </c>
    </row>
    <row r="57703" spans="9:9" x14ac:dyDescent="0.2">
      <c r="I57703" s="137" t="s">
        <v>74</v>
      </c>
    </row>
    <row r="57704" spans="9:9" x14ac:dyDescent="0.2">
      <c r="I57704" s="137" t="s">
        <v>74</v>
      </c>
    </row>
    <row r="57705" spans="9:9" x14ac:dyDescent="0.2">
      <c r="I57705" s="137" t="s">
        <v>74</v>
      </c>
    </row>
    <row r="57706" spans="9:9" x14ac:dyDescent="0.2">
      <c r="I57706" s="137" t="s">
        <v>74</v>
      </c>
    </row>
    <row r="57707" spans="9:9" x14ac:dyDescent="0.2">
      <c r="I57707" s="137" t="s">
        <v>74</v>
      </c>
    </row>
    <row r="57708" spans="9:9" x14ac:dyDescent="0.2">
      <c r="I57708" s="137" t="s">
        <v>74</v>
      </c>
    </row>
    <row r="57709" spans="9:9" x14ac:dyDescent="0.2">
      <c r="I57709" s="137" t="s">
        <v>74</v>
      </c>
    </row>
    <row r="57710" spans="9:9" x14ac:dyDescent="0.2">
      <c r="I57710" s="137" t="s">
        <v>74</v>
      </c>
    </row>
    <row r="57711" spans="9:9" x14ac:dyDescent="0.2">
      <c r="I57711" s="137" t="s">
        <v>74</v>
      </c>
    </row>
    <row r="57712" spans="9:9" x14ac:dyDescent="0.2">
      <c r="I57712" s="137" t="s">
        <v>74</v>
      </c>
    </row>
    <row r="57713" spans="9:9" x14ac:dyDescent="0.2">
      <c r="I57713" s="137" t="s">
        <v>74</v>
      </c>
    </row>
    <row r="57714" spans="9:9" x14ac:dyDescent="0.2">
      <c r="I57714" s="137" t="s">
        <v>74</v>
      </c>
    </row>
    <row r="57715" spans="9:9" x14ac:dyDescent="0.2">
      <c r="I57715" s="137" t="s">
        <v>74</v>
      </c>
    </row>
    <row r="57716" spans="9:9" x14ac:dyDescent="0.2">
      <c r="I57716" s="137" t="s">
        <v>74</v>
      </c>
    </row>
    <row r="57717" spans="9:9" x14ac:dyDescent="0.2">
      <c r="I57717" s="137" t="s">
        <v>74</v>
      </c>
    </row>
    <row r="57718" spans="9:9" x14ac:dyDescent="0.2">
      <c r="I57718" s="137" t="s">
        <v>74</v>
      </c>
    </row>
    <row r="57719" spans="9:9" x14ac:dyDescent="0.2">
      <c r="I57719" s="137" t="s">
        <v>74</v>
      </c>
    </row>
    <row r="57720" spans="9:9" x14ac:dyDescent="0.2">
      <c r="I57720" s="137" t="s">
        <v>74</v>
      </c>
    </row>
    <row r="57721" spans="9:9" x14ac:dyDescent="0.2">
      <c r="I57721" s="137" t="s">
        <v>74</v>
      </c>
    </row>
    <row r="57722" spans="9:9" x14ac:dyDescent="0.2">
      <c r="I57722" s="137" t="s">
        <v>74</v>
      </c>
    </row>
    <row r="57723" spans="9:9" x14ac:dyDescent="0.2">
      <c r="I57723" s="137" t="s">
        <v>74</v>
      </c>
    </row>
    <row r="57724" spans="9:9" x14ac:dyDescent="0.2">
      <c r="I57724" s="137" t="s">
        <v>74</v>
      </c>
    </row>
    <row r="57725" spans="9:9" x14ac:dyDescent="0.2">
      <c r="I57725" s="137" t="s">
        <v>74</v>
      </c>
    </row>
    <row r="57726" spans="9:9" x14ac:dyDescent="0.2">
      <c r="I57726" s="137" t="s">
        <v>74</v>
      </c>
    </row>
    <row r="57727" spans="9:9" x14ac:dyDescent="0.2">
      <c r="I57727" s="137" t="s">
        <v>74</v>
      </c>
    </row>
    <row r="57728" spans="9:9" x14ac:dyDescent="0.2">
      <c r="I57728" s="137" t="s">
        <v>74</v>
      </c>
    </row>
    <row r="57729" spans="9:9" x14ac:dyDescent="0.2">
      <c r="I57729" s="137" t="s">
        <v>74</v>
      </c>
    </row>
    <row r="57730" spans="9:9" x14ac:dyDescent="0.2">
      <c r="I57730" s="137" t="s">
        <v>74</v>
      </c>
    </row>
    <row r="57731" spans="9:9" x14ac:dyDescent="0.2">
      <c r="I57731" s="137" t="s">
        <v>74</v>
      </c>
    </row>
    <row r="57732" spans="9:9" x14ac:dyDescent="0.2">
      <c r="I57732" s="137" t="s">
        <v>74</v>
      </c>
    </row>
    <row r="57733" spans="9:9" x14ac:dyDescent="0.2">
      <c r="I57733" s="137" t="s">
        <v>74</v>
      </c>
    </row>
    <row r="57734" spans="9:9" x14ac:dyDescent="0.2">
      <c r="I57734" s="137" t="s">
        <v>74</v>
      </c>
    </row>
    <row r="57735" spans="9:9" x14ac:dyDescent="0.2">
      <c r="I57735" s="137" t="s">
        <v>74</v>
      </c>
    </row>
    <row r="57736" spans="9:9" x14ac:dyDescent="0.2">
      <c r="I57736" s="137" t="s">
        <v>74</v>
      </c>
    </row>
    <row r="57737" spans="9:9" x14ac:dyDescent="0.2">
      <c r="I57737" s="137" t="s">
        <v>74</v>
      </c>
    </row>
    <row r="57738" spans="9:9" x14ac:dyDescent="0.2">
      <c r="I57738" s="137" t="s">
        <v>74</v>
      </c>
    </row>
    <row r="57739" spans="9:9" x14ac:dyDescent="0.2">
      <c r="I57739" s="137" t="s">
        <v>74</v>
      </c>
    </row>
    <row r="57740" spans="9:9" x14ac:dyDescent="0.2">
      <c r="I57740" s="137" t="s">
        <v>74</v>
      </c>
    </row>
    <row r="57741" spans="9:9" x14ac:dyDescent="0.2">
      <c r="I57741" s="137" t="s">
        <v>74</v>
      </c>
    </row>
    <row r="57742" spans="9:9" x14ac:dyDescent="0.2">
      <c r="I57742" s="137" t="s">
        <v>74</v>
      </c>
    </row>
    <row r="57743" spans="9:9" x14ac:dyDescent="0.2">
      <c r="I57743" s="137" t="s">
        <v>74</v>
      </c>
    </row>
    <row r="57744" spans="9:9" x14ac:dyDescent="0.2">
      <c r="I57744" s="137" t="s">
        <v>74</v>
      </c>
    </row>
    <row r="57745" spans="9:9" x14ac:dyDescent="0.2">
      <c r="I57745" s="137" t="s">
        <v>74</v>
      </c>
    </row>
    <row r="57746" spans="9:9" x14ac:dyDescent="0.2">
      <c r="I57746" s="137" t="s">
        <v>74</v>
      </c>
    </row>
    <row r="57747" spans="9:9" x14ac:dyDescent="0.2">
      <c r="I57747" s="137" t="s">
        <v>74</v>
      </c>
    </row>
    <row r="57748" spans="9:9" x14ac:dyDescent="0.2">
      <c r="I57748" s="137" t="s">
        <v>74</v>
      </c>
    </row>
    <row r="57749" spans="9:9" x14ac:dyDescent="0.2">
      <c r="I57749" s="137" t="s">
        <v>74</v>
      </c>
    </row>
    <row r="57750" spans="9:9" x14ac:dyDescent="0.2">
      <c r="I57750" s="137" t="s">
        <v>74</v>
      </c>
    </row>
    <row r="57751" spans="9:9" x14ac:dyDescent="0.2">
      <c r="I57751" s="137" t="s">
        <v>74</v>
      </c>
    </row>
    <row r="57752" spans="9:9" x14ac:dyDescent="0.2">
      <c r="I57752" s="137" t="s">
        <v>74</v>
      </c>
    </row>
    <row r="57753" spans="9:9" x14ac:dyDescent="0.2">
      <c r="I57753" s="137" t="s">
        <v>74</v>
      </c>
    </row>
    <row r="57754" spans="9:9" x14ac:dyDescent="0.2">
      <c r="I57754" s="137" t="s">
        <v>74</v>
      </c>
    </row>
    <row r="57755" spans="9:9" x14ac:dyDescent="0.2">
      <c r="I57755" s="137" t="s">
        <v>74</v>
      </c>
    </row>
    <row r="57756" spans="9:9" x14ac:dyDescent="0.2">
      <c r="I57756" s="137" t="s">
        <v>74</v>
      </c>
    </row>
    <row r="57757" spans="9:9" x14ac:dyDescent="0.2">
      <c r="I57757" s="137" t="s">
        <v>74</v>
      </c>
    </row>
    <row r="57758" spans="9:9" x14ac:dyDescent="0.2">
      <c r="I57758" s="137" t="s">
        <v>74</v>
      </c>
    </row>
    <row r="57759" spans="9:9" x14ac:dyDescent="0.2">
      <c r="I57759" s="137" t="s">
        <v>74</v>
      </c>
    </row>
    <row r="57760" spans="9:9" x14ac:dyDescent="0.2">
      <c r="I57760" s="137" t="s">
        <v>74</v>
      </c>
    </row>
    <row r="57761" spans="9:9" x14ac:dyDescent="0.2">
      <c r="I57761" s="137" t="s">
        <v>74</v>
      </c>
    </row>
    <row r="57762" spans="9:9" x14ac:dyDescent="0.2">
      <c r="I57762" s="137" t="s">
        <v>74</v>
      </c>
    </row>
    <row r="57763" spans="9:9" x14ac:dyDescent="0.2">
      <c r="I57763" s="137" t="s">
        <v>74</v>
      </c>
    </row>
    <row r="57764" spans="9:9" x14ac:dyDescent="0.2">
      <c r="I57764" s="137" t="s">
        <v>74</v>
      </c>
    </row>
    <row r="57765" spans="9:9" x14ac:dyDescent="0.2">
      <c r="I57765" s="137" t="s">
        <v>74</v>
      </c>
    </row>
    <row r="57766" spans="9:9" x14ac:dyDescent="0.2">
      <c r="I57766" s="137" t="s">
        <v>74</v>
      </c>
    </row>
    <row r="57767" spans="9:9" x14ac:dyDescent="0.2">
      <c r="I57767" s="137" t="s">
        <v>74</v>
      </c>
    </row>
    <row r="57768" spans="9:9" x14ac:dyDescent="0.2">
      <c r="I57768" s="137" t="s">
        <v>74</v>
      </c>
    </row>
    <row r="57769" spans="9:9" x14ac:dyDescent="0.2">
      <c r="I57769" s="137" t="s">
        <v>74</v>
      </c>
    </row>
    <row r="57770" spans="9:9" x14ac:dyDescent="0.2">
      <c r="I57770" s="137" t="s">
        <v>74</v>
      </c>
    </row>
    <row r="57771" spans="9:9" x14ac:dyDescent="0.2">
      <c r="I57771" s="137" t="s">
        <v>74</v>
      </c>
    </row>
    <row r="57772" spans="9:9" x14ac:dyDescent="0.2">
      <c r="I57772" s="137" t="s">
        <v>74</v>
      </c>
    </row>
    <row r="57773" spans="9:9" x14ac:dyDescent="0.2">
      <c r="I57773" s="137" t="s">
        <v>74</v>
      </c>
    </row>
    <row r="57774" spans="9:9" x14ac:dyDescent="0.2">
      <c r="I57774" s="137" t="s">
        <v>74</v>
      </c>
    </row>
    <row r="57775" spans="9:9" x14ac:dyDescent="0.2">
      <c r="I57775" s="137" t="s">
        <v>74</v>
      </c>
    </row>
    <row r="57776" spans="9:9" x14ac:dyDescent="0.2">
      <c r="I57776" s="137" t="s">
        <v>74</v>
      </c>
    </row>
    <row r="57777" spans="9:9" x14ac:dyDescent="0.2">
      <c r="I57777" s="137" t="s">
        <v>74</v>
      </c>
    </row>
    <row r="57778" spans="9:9" x14ac:dyDescent="0.2">
      <c r="I57778" s="137" t="s">
        <v>74</v>
      </c>
    </row>
    <row r="57779" spans="9:9" x14ac:dyDescent="0.2">
      <c r="I57779" s="137" t="s">
        <v>74</v>
      </c>
    </row>
    <row r="57780" spans="9:9" x14ac:dyDescent="0.2">
      <c r="I57780" s="137" t="s">
        <v>74</v>
      </c>
    </row>
    <row r="57781" spans="9:9" x14ac:dyDescent="0.2">
      <c r="I57781" s="137" t="s">
        <v>74</v>
      </c>
    </row>
    <row r="57782" spans="9:9" x14ac:dyDescent="0.2">
      <c r="I57782" s="137" t="s">
        <v>74</v>
      </c>
    </row>
    <row r="57783" spans="9:9" x14ac:dyDescent="0.2">
      <c r="I57783" s="137" t="s">
        <v>74</v>
      </c>
    </row>
    <row r="57784" spans="9:9" x14ac:dyDescent="0.2">
      <c r="I57784" s="137" t="s">
        <v>74</v>
      </c>
    </row>
    <row r="57785" spans="9:9" x14ac:dyDescent="0.2">
      <c r="I57785" s="137" t="s">
        <v>74</v>
      </c>
    </row>
    <row r="57786" spans="9:9" x14ac:dyDescent="0.2">
      <c r="I57786" s="137" t="s">
        <v>74</v>
      </c>
    </row>
    <row r="57787" spans="9:9" x14ac:dyDescent="0.2">
      <c r="I57787" s="137" t="s">
        <v>74</v>
      </c>
    </row>
    <row r="57788" spans="9:9" x14ac:dyDescent="0.2">
      <c r="I57788" s="137" t="s">
        <v>74</v>
      </c>
    </row>
    <row r="57789" spans="9:9" x14ac:dyDescent="0.2">
      <c r="I57789" s="137" t="s">
        <v>74</v>
      </c>
    </row>
    <row r="57790" spans="9:9" x14ac:dyDescent="0.2">
      <c r="I57790" s="137" t="s">
        <v>74</v>
      </c>
    </row>
    <row r="57791" spans="9:9" x14ac:dyDescent="0.2">
      <c r="I57791" s="137" t="s">
        <v>74</v>
      </c>
    </row>
    <row r="57792" spans="9:9" x14ac:dyDescent="0.2">
      <c r="I57792" s="137" t="s">
        <v>74</v>
      </c>
    </row>
    <row r="57793" spans="9:9" x14ac:dyDescent="0.2">
      <c r="I57793" s="137" t="s">
        <v>74</v>
      </c>
    </row>
    <row r="57794" spans="9:9" x14ac:dyDescent="0.2">
      <c r="I57794" s="137" t="s">
        <v>74</v>
      </c>
    </row>
    <row r="57795" spans="9:9" x14ac:dyDescent="0.2">
      <c r="I57795" s="137" t="s">
        <v>74</v>
      </c>
    </row>
    <row r="57796" spans="9:9" x14ac:dyDescent="0.2">
      <c r="I57796" s="137" t="s">
        <v>74</v>
      </c>
    </row>
    <row r="57797" spans="9:9" x14ac:dyDescent="0.2">
      <c r="I57797" s="137" t="s">
        <v>74</v>
      </c>
    </row>
    <row r="57798" spans="9:9" x14ac:dyDescent="0.2">
      <c r="I57798" s="137" t="s">
        <v>74</v>
      </c>
    </row>
    <row r="57799" spans="9:9" x14ac:dyDescent="0.2">
      <c r="I57799" s="137" t="s">
        <v>74</v>
      </c>
    </row>
    <row r="57800" spans="9:9" x14ac:dyDescent="0.2">
      <c r="I57800" s="137" t="s">
        <v>74</v>
      </c>
    </row>
    <row r="57801" spans="9:9" x14ac:dyDescent="0.2">
      <c r="I57801" s="137" t="s">
        <v>74</v>
      </c>
    </row>
    <row r="57802" spans="9:9" x14ac:dyDescent="0.2">
      <c r="I57802" s="137" t="s">
        <v>74</v>
      </c>
    </row>
    <row r="57803" spans="9:9" x14ac:dyDescent="0.2">
      <c r="I57803" s="137" t="s">
        <v>74</v>
      </c>
    </row>
    <row r="57804" spans="9:9" x14ac:dyDescent="0.2">
      <c r="I57804" s="137" t="s">
        <v>74</v>
      </c>
    </row>
    <row r="57805" spans="9:9" x14ac:dyDescent="0.2">
      <c r="I57805" s="137" t="s">
        <v>74</v>
      </c>
    </row>
    <row r="57806" spans="9:9" x14ac:dyDescent="0.2">
      <c r="I57806" s="137" t="s">
        <v>74</v>
      </c>
    </row>
    <row r="57807" spans="9:9" x14ac:dyDescent="0.2">
      <c r="I57807" s="137" t="s">
        <v>74</v>
      </c>
    </row>
    <row r="57808" spans="9:9" x14ac:dyDescent="0.2">
      <c r="I57808" s="137" t="s">
        <v>74</v>
      </c>
    </row>
    <row r="57809" spans="9:9" x14ac:dyDescent="0.2">
      <c r="I57809" s="137" t="s">
        <v>74</v>
      </c>
    </row>
    <row r="57810" spans="9:9" x14ac:dyDescent="0.2">
      <c r="I57810" s="137" t="s">
        <v>74</v>
      </c>
    </row>
    <row r="57811" spans="9:9" x14ac:dyDescent="0.2">
      <c r="I57811" s="137" t="s">
        <v>74</v>
      </c>
    </row>
    <row r="57812" spans="9:9" x14ac:dyDescent="0.2">
      <c r="I57812" s="137" t="s">
        <v>74</v>
      </c>
    </row>
    <row r="57813" spans="9:9" x14ac:dyDescent="0.2">
      <c r="I57813" s="137" t="s">
        <v>74</v>
      </c>
    </row>
    <row r="57814" spans="9:9" x14ac:dyDescent="0.2">
      <c r="I57814" s="137" t="s">
        <v>74</v>
      </c>
    </row>
    <row r="57815" spans="9:9" x14ac:dyDescent="0.2">
      <c r="I57815" s="137" t="s">
        <v>74</v>
      </c>
    </row>
    <row r="57816" spans="9:9" x14ac:dyDescent="0.2">
      <c r="I57816" s="137" t="s">
        <v>74</v>
      </c>
    </row>
    <row r="57817" spans="9:9" x14ac:dyDescent="0.2">
      <c r="I57817" s="137" t="s">
        <v>74</v>
      </c>
    </row>
    <row r="57818" spans="9:9" x14ac:dyDescent="0.2">
      <c r="I57818" s="137" t="s">
        <v>74</v>
      </c>
    </row>
    <row r="57819" spans="9:9" x14ac:dyDescent="0.2">
      <c r="I57819" s="137" t="s">
        <v>74</v>
      </c>
    </row>
    <row r="57820" spans="9:9" x14ac:dyDescent="0.2">
      <c r="I57820" s="137" t="s">
        <v>74</v>
      </c>
    </row>
    <row r="57821" spans="9:9" x14ac:dyDescent="0.2">
      <c r="I57821" s="137" t="s">
        <v>74</v>
      </c>
    </row>
    <row r="57822" spans="9:9" x14ac:dyDescent="0.2">
      <c r="I57822" s="137" t="s">
        <v>74</v>
      </c>
    </row>
    <row r="57823" spans="9:9" x14ac:dyDescent="0.2">
      <c r="I57823" s="137" t="s">
        <v>74</v>
      </c>
    </row>
    <row r="57824" spans="9:9" x14ac:dyDescent="0.2">
      <c r="I57824" s="137" t="s">
        <v>74</v>
      </c>
    </row>
    <row r="57825" spans="9:9" x14ac:dyDescent="0.2">
      <c r="I57825" s="137" t="s">
        <v>74</v>
      </c>
    </row>
    <row r="57826" spans="9:9" x14ac:dyDescent="0.2">
      <c r="I57826" s="137" t="s">
        <v>74</v>
      </c>
    </row>
    <row r="57827" spans="9:9" x14ac:dyDescent="0.2">
      <c r="I57827" s="137" t="s">
        <v>74</v>
      </c>
    </row>
    <row r="57828" spans="9:9" x14ac:dyDescent="0.2">
      <c r="I57828" s="137" t="s">
        <v>74</v>
      </c>
    </row>
    <row r="57829" spans="9:9" x14ac:dyDescent="0.2">
      <c r="I57829" s="137" t="s">
        <v>74</v>
      </c>
    </row>
    <row r="57830" spans="9:9" x14ac:dyDescent="0.2">
      <c r="I57830" s="137" t="s">
        <v>74</v>
      </c>
    </row>
    <row r="57831" spans="9:9" x14ac:dyDescent="0.2">
      <c r="I57831" s="137" t="s">
        <v>74</v>
      </c>
    </row>
    <row r="57832" spans="9:9" x14ac:dyDescent="0.2">
      <c r="I57832" s="137" t="s">
        <v>74</v>
      </c>
    </row>
    <row r="57833" spans="9:9" x14ac:dyDescent="0.2">
      <c r="I57833" s="137" t="s">
        <v>74</v>
      </c>
    </row>
    <row r="57834" spans="9:9" x14ac:dyDescent="0.2">
      <c r="I57834" s="137" t="s">
        <v>74</v>
      </c>
    </row>
    <row r="57835" spans="9:9" x14ac:dyDescent="0.2">
      <c r="I57835" s="137" t="s">
        <v>74</v>
      </c>
    </row>
    <row r="57836" spans="9:9" x14ac:dyDescent="0.2">
      <c r="I57836" s="137" t="s">
        <v>74</v>
      </c>
    </row>
    <row r="57837" spans="9:9" x14ac:dyDescent="0.2">
      <c r="I57837" s="137" t="s">
        <v>74</v>
      </c>
    </row>
    <row r="57838" spans="9:9" x14ac:dyDescent="0.2">
      <c r="I57838" s="137" t="s">
        <v>74</v>
      </c>
    </row>
    <row r="57839" spans="9:9" x14ac:dyDescent="0.2">
      <c r="I57839" s="137" t="s">
        <v>74</v>
      </c>
    </row>
    <row r="57840" spans="9:9" x14ac:dyDescent="0.2">
      <c r="I57840" s="137" t="s">
        <v>74</v>
      </c>
    </row>
    <row r="57841" spans="9:9" x14ac:dyDescent="0.2">
      <c r="I57841" s="137" t="s">
        <v>74</v>
      </c>
    </row>
    <row r="57842" spans="9:9" x14ac:dyDescent="0.2">
      <c r="I57842" s="137" t="s">
        <v>74</v>
      </c>
    </row>
    <row r="57843" spans="9:9" x14ac:dyDescent="0.2">
      <c r="I57843" s="137" t="s">
        <v>74</v>
      </c>
    </row>
    <row r="57844" spans="9:9" x14ac:dyDescent="0.2">
      <c r="I57844" s="137" t="s">
        <v>74</v>
      </c>
    </row>
    <row r="57845" spans="9:9" x14ac:dyDescent="0.2">
      <c r="I57845" s="137" t="s">
        <v>74</v>
      </c>
    </row>
    <row r="57846" spans="9:9" x14ac:dyDescent="0.2">
      <c r="I57846" s="137" t="s">
        <v>74</v>
      </c>
    </row>
    <row r="57847" spans="9:9" x14ac:dyDescent="0.2">
      <c r="I57847" s="137" t="s">
        <v>74</v>
      </c>
    </row>
    <row r="57848" spans="9:9" x14ac:dyDescent="0.2">
      <c r="I57848" s="137" t="s">
        <v>74</v>
      </c>
    </row>
    <row r="57849" spans="9:9" x14ac:dyDescent="0.2">
      <c r="I57849" s="137" t="s">
        <v>74</v>
      </c>
    </row>
    <row r="57850" spans="9:9" x14ac:dyDescent="0.2">
      <c r="I57850" s="137" t="s">
        <v>74</v>
      </c>
    </row>
    <row r="57851" spans="9:9" x14ac:dyDescent="0.2">
      <c r="I57851" s="137" t="s">
        <v>74</v>
      </c>
    </row>
    <row r="57852" spans="9:9" x14ac:dyDescent="0.2">
      <c r="I57852" s="137" t="s">
        <v>74</v>
      </c>
    </row>
    <row r="57853" spans="9:9" x14ac:dyDescent="0.2">
      <c r="I57853" s="137" t="s">
        <v>74</v>
      </c>
    </row>
    <row r="57854" spans="9:9" x14ac:dyDescent="0.2">
      <c r="I57854" s="137" t="s">
        <v>74</v>
      </c>
    </row>
    <row r="57855" spans="9:9" x14ac:dyDescent="0.2">
      <c r="I57855" s="137" t="s">
        <v>74</v>
      </c>
    </row>
    <row r="57856" spans="9:9" x14ac:dyDescent="0.2">
      <c r="I57856" s="137" t="s">
        <v>74</v>
      </c>
    </row>
    <row r="57857" spans="9:9" x14ac:dyDescent="0.2">
      <c r="I57857" s="137" t="s">
        <v>74</v>
      </c>
    </row>
    <row r="57858" spans="9:9" x14ac:dyDescent="0.2">
      <c r="I57858" s="137" t="s">
        <v>74</v>
      </c>
    </row>
    <row r="57859" spans="9:9" x14ac:dyDescent="0.2">
      <c r="I57859" s="137" t="s">
        <v>74</v>
      </c>
    </row>
    <row r="57860" spans="9:9" x14ac:dyDescent="0.2">
      <c r="I57860" s="137" t="s">
        <v>74</v>
      </c>
    </row>
    <row r="57861" spans="9:9" x14ac:dyDescent="0.2">
      <c r="I57861" s="137" t="s">
        <v>74</v>
      </c>
    </row>
    <row r="57862" spans="9:9" x14ac:dyDescent="0.2">
      <c r="I57862" s="137" t="s">
        <v>74</v>
      </c>
    </row>
    <row r="57863" spans="9:9" x14ac:dyDescent="0.2">
      <c r="I57863" s="137" t="s">
        <v>74</v>
      </c>
    </row>
    <row r="57864" spans="9:9" x14ac:dyDescent="0.2">
      <c r="I57864" s="137" t="s">
        <v>74</v>
      </c>
    </row>
    <row r="57865" spans="9:9" x14ac:dyDescent="0.2">
      <c r="I57865" s="137" t="s">
        <v>74</v>
      </c>
    </row>
    <row r="57866" spans="9:9" x14ac:dyDescent="0.2">
      <c r="I57866" s="137" t="s">
        <v>74</v>
      </c>
    </row>
    <row r="57867" spans="9:9" x14ac:dyDescent="0.2">
      <c r="I57867" s="137" t="s">
        <v>74</v>
      </c>
    </row>
    <row r="57868" spans="9:9" x14ac:dyDescent="0.2">
      <c r="I57868" s="137" t="s">
        <v>74</v>
      </c>
    </row>
    <row r="57869" spans="9:9" x14ac:dyDescent="0.2">
      <c r="I57869" s="137" t="s">
        <v>74</v>
      </c>
    </row>
    <row r="57870" spans="9:9" x14ac:dyDescent="0.2">
      <c r="I57870" s="137" t="s">
        <v>74</v>
      </c>
    </row>
    <row r="57871" spans="9:9" x14ac:dyDescent="0.2">
      <c r="I57871" s="137" t="s">
        <v>74</v>
      </c>
    </row>
    <row r="57872" spans="9:9" x14ac:dyDescent="0.2">
      <c r="I57872" s="137" t="s">
        <v>74</v>
      </c>
    </row>
    <row r="57873" spans="9:9" x14ac:dyDescent="0.2">
      <c r="I57873" s="137" t="s">
        <v>74</v>
      </c>
    </row>
    <row r="57874" spans="9:9" x14ac:dyDescent="0.2">
      <c r="I57874" s="137" t="s">
        <v>74</v>
      </c>
    </row>
    <row r="57875" spans="9:9" x14ac:dyDescent="0.2">
      <c r="I57875" s="137" t="s">
        <v>74</v>
      </c>
    </row>
    <row r="57876" spans="9:9" x14ac:dyDescent="0.2">
      <c r="I57876" s="137" t="s">
        <v>74</v>
      </c>
    </row>
    <row r="57877" spans="9:9" x14ac:dyDescent="0.2">
      <c r="I57877" s="137" t="s">
        <v>74</v>
      </c>
    </row>
    <row r="57878" spans="9:9" x14ac:dyDescent="0.2">
      <c r="I57878" s="137" t="s">
        <v>74</v>
      </c>
    </row>
    <row r="57879" spans="9:9" x14ac:dyDescent="0.2">
      <c r="I57879" s="137" t="s">
        <v>74</v>
      </c>
    </row>
    <row r="57880" spans="9:9" x14ac:dyDescent="0.2">
      <c r="I57880" s="137" t="s">
        <v>74</v>
      </c>
    </row>
    <row r="57881" spans="9:9" x14ac:dyDescent="0.2">
      <c r="I57881" s="137" t="s">
        <v>74</v>
      </c>
    </row>
    <row r="57882" spans="9:9" x14ac:dyDescent="0.2">
      <c r="I57882" s="137" t="s">
        <v>74</v>
      </c>
    </row>
    <row r="57883" spans="9:9" x14ac:dyDescent="0.2">
      <c r="I57883" s="137" t="s">
        <v>74</v>
      </c>
    </row>
    <row r="57884" spans="9:9" x14ac:dyDescent="0.2">
      <c r="I57884" s="137" t="s">
        <v>74</v>
      </c>
    </row>
    <row r="57885" spans="9:9" x14ac:dyDescent="0.2">
      <c r="I57885" s="137" t="s">
        <v>74</v>
      </c>
    </row>
    <row r="57886" spans="9:9" x14ac:dyDescent="0.2">
      <c r="I57886" s="137" t="s">
        <v>74</v>
      </c>
    </row>
    <row r="57887" spans="9:9" x14ac:dyDescent="0.2">
      <c r="I57887" s="137" t="s">
        <v>74</v>
      </c>
    </row>
    <row r="57888" spans="9:9" x14ac:dyDescent="0.2">
      <c r="I57888" s="137" t="s">
        <v>74</v>
      </c>
    </row>
    <row r="57889" spans="9:9" x14ac:dyDescent="0.2">
      <c r="I57889" s="137" t="s">
        <v>74</v>
      </c>
    </row>
    <row r="57890" spans="9:9" x14ac:dyDescent="0.2">
      <c r="I57890" s="137" t="s">
        <v>74</v>
      </c>
    </row>
    <row r="57891" spans="9:9" x14ac:dyDescent="0.2">
      <c r="I57891" s="137" t="s">
        <v>74</v>
      </c>
    </row>
    <row r="57892" spans="9:9" x14ac:dyDescent="0.2">
      <c r="I57892" s="137" t="s">
        <v>74</v>
      </c>
    </row>
    <row r="57893" spans="9:9" x14ac:dyDescent="0.2">
      <c r="I57893" s="137" t="s">
        <v>74</v>
      </c>
    </row>
    <row r="57894" spans="9:9" x14ac:dyDescent="0.2">
      <c r="I57894" s="137" t="s">
        <v>74</v>
      </c>
    </row>
    <row r="57895" spans="9:9" x14ac:dyDescent="0.2">
      <c r="I57895" s="137" t="s">
        <v>74</v>
      </c>
    </row>
    <row r="57896" spans="9:9" x14ac:dyDescent="0.2">
      <c r="I57896" s="137" t="s">
        <v>74</v>
      </c>
    </row>
    <row r="57897" spans="9:9" x14ac:dyDescent="0.2">
      <c r="I57897" s="137" t="s">
        <v>74</v>
      </c>
    </row>
    <row r="57898" spans="9:9" x14ac:dyDescent="0.2">
      <c r="I57898" s="137" t="s">
        <v>74</v>
      </c>
    </row>
    <row r="57899" spans="9:9" x14ac:dyDescent="0.2">
      <c r="I57899" s="137" t="s">
        <v>74</v>
      </c>
    </row>
    <row r="57900" spans="9:9" x14ac:dyDescent="0.2">
      <c r="I57900" s="137" t="s">
        <v>74</v>
      </c>
    </row>
    <row r="57901" spans="9:9" x14ac:dyDescent="0.2">
      <c r="I57901" s="137" t="s">
        <v>74</v>
      </c>
    </row>
    <row r="57902" spans="9:9" x14ac:dyDescent="0.2">
      <c r="I57902" s="137" t="s">
        <v>74</v>
      </c>
    </row>
    <row r="57903" spans="9:9" x14ac:dyDescent="0.2">
      <c r="I57903" s="137" t="s">
        <v>74</v>
      </c>
    </row>
    <row r="57904" spans="9:9" x14ac:dyDescent="0.2">
      <c r="I57904" s="137" t="s">
        <v>74</v>
      </c>
    </row>
    <row r="57905" spans="9:9" x14ac:dyDescent="0.2">
      <c r="I57905" s="137" t="s">
        <v>74</v>
      </c>
    </row>
    <row r="57906" spans="9:9" x14ac:dyDescent="0.2">
      <c r="I57906" s="137" t="s">
        <v>74</v>
      </c>
    </row>
    <row r="57907" spans="9:9" x14ac:dyDescent="0.2">
      <c r="I57907" s="137" t="s">
        <v>74</v>
      </c>
    </row>
    <row r="57908" spans="9:9" x14ac:dyDescent="0.2">
      <c r="I57908" s="137" t="s">
        <v>74</v>
      </c>
    </row>
    <row r="57909" spans="9:9" x14ac:dyDescent="0.2">
      <c r="I57909" s="137" t="s">
        <v>74</v>
      </c>
    </row>
    <row r="57910" spans="9:9" x14ac:dyDescent="0.2">
      <c r="I57910" s="137" t="s">
        <v>74</v>
      </c>
    </row>
    <row r="57911" spans="9:9" x14ac:dyDescent="0.2">
      <c r="I57911" s="137" t="s">
        <v>74</v>
      </c>
    </row>
    <row r="57912" spans="9:9" x14ac:dyDescent="0.2">
      <c r="I57912" s="137" t="s">
        <v>74</v>
      </c>
    </row>
    <row r="57913" spans="9:9" x14ac:dyDescent="0.2">
      <c r="I57913" s="137" t="s">
        <v>74</v>
      </c>
    </row>
    <row r="57914" spans="9:9" x14ac:dyDescent="0.2">
      <c r="I57914" s="137" t="s">
        <v>74</v>
      </c>
    </row>
    <row r="57915" spans="9:9" x14ac:dyDescent="0.2">
      <c r="I57915" s="137" t="s">
        <v>74</v>
      </c>
    </row>
    <row r="57916" spans="9:9" x14ac:dyDescent="0.2">
      <c r="I57916" s="137" t="s">
        <v>74</v>
      </c>
    </row>
    <row r="57917" spans="9:9" x14ac:dyDescent="0.2">
      <c r="I57917" s="137" t="s">
        <v>74</v>
      </c>
    </row>
    <row r="57918" spans="9:9" x14ac:dyDescent="0.2">
      <c r="I57918" s="137" t="s">
        <v>74</v>
      </c>
    </row>
    <row r="57919" spans="9:9" x14ac:dyDescent="0.2">
      <c r="I57919" s="137" t="s">
        <v>74</v>
      </c>
    </row>
    <row r="57920" spans="9:9" x14ac:dyDescent="0.2">
      <c r="I57920" s="137" t="s">
        <v>74</v>
      </c>
    </row>
    <row r="57921" spans="9:9" x14ac:dyDescent="0.2">
      <c r="I57921" s="137" t="s">
        <v>74</v>
      </c>
    </row>
    <row r="57922" spans="9:9" x14ac:dyDescent="0.2">
      <c r="I57922" s="137" t="s">
        <v>74</v>
      </c>
    </row>
    <row r="57923" spans="9:9" x14ac:dyDescent="0.2">
      <c r="I57923" s="137" t="s">
        <v>74</v>
      </c>
    </row>
    <row r="57924" spans="9:9" x14ac:dyDescent="0.2">
      <c r="I57924" s="137" t="s">
        <v>74</v>
      </c>
    </row>
    <row r="57925" spans="9:9" x14ac:dyDescent="0.2">
      <c r="I57925" s="137" t="s">
        <v>74</v>
      </c>
    </row>
    <row r="57926" spans="9:9" x14ac:dyDescent="0.2">
      <c r="I57926" s="137" t="s">
        <v>74</v>
      </c>
    </row>
    <row r="57927" spans="9:9" x14ac:dyDescent="0.2">
      <c r="I57927" s="137" t="s">
        <v>74</v>
      </c>
    </row>
    <row r="57928" spans="9:9" x14ac:dyDescent="0.2">
      <c r="I57928" s="137" t="s">
        <v>74</v>
      </c>
    </row>
    <row r="57929" spans="9:9" x14ac:dyDescent="0.2">
      <c r="I57929" s="137" t="s">
        <v>74</v>
      </c>
    </row>
    <row r="57930" spans="9:9" x14ac:dyDescent="0.2">
      <c r="I57930" s="137" t="s">
        <v>74</v>
      </c>
    </row>
    <row r="57931" spans="9:9" x14ac:dyDescent="0.2">
      <c r="I57931" s="137" t="s">
        <v>74</v>
      </c>
    </row>
    <row r="57932" spans="9:9" x14ac:dyDescent="0.2">
      <c r="I57932" s="137" t="s">
        <v>74</v>
      </c>
    </row>
    <row r="57933" spans="9:9" x14ac:dyDescent="0.2">
      <c r="I57933" s="137" t="s">
        <v>74</v>
      </c>
    </row>
    <row r="57934" spans="9:9" x14ac:dyDescent="0.2">
      <c r="I57934" s="137" t="s">
        <v>74</v>
      </c>
    </row>
    <row r="57935" spans="9:9" x14ac:dyDescent="0.2">
      <c r="I57935" s="137" t="s">
        <v>74</v>
      </c>
    </row>
    <row r="57936" spans="9:9" x14ac:dyDescent="0.2">
      <c r="I57936" s="137" t="s">
        <v>74</v>
      </c>
    </row>
    <row r="57937" spans="9:9" x14ac:dyDescent="0.2">
      <c r="I57937" s="137" t="s">
        <v>74</v>
      </c>
    </row>
    <row r="57938" spans="9:9" x14ac:dyDescent="0.2">
      <c r="I57938" s="137" t="s">
        <v>74</v>
      </c>
    </row>
    <row r="57939" spans="9:9" x14ac:dyDescent="0.2">
      <c r="I57939" s="137" t="s">
        <v>74</v>
      </c>
    </row>
    <row r="57940" spans="9:9" x14ac:dyDescent="0.2">
      <c r="I57940" s="137" t="s">
        <v>74</v>
      </c>
    </row>
    <row r="57941" spans="9:9" x14ac:dyDescent="0.2">
      <c r="I57941" s="137" t="s">
        <v>74</v>
      </c>
    </row>
    <row r="57942" spans="9:9" x14ac:dyDescent="0.2">
      <c r="I57942" s="137" t="s">
        <v>74</v>
      </c>
    </row>
    <row r="57943" spans="9:9" x14ac:dyDescent="0.2">
      <c r="I57943" s="137" t="s">
        <v>74</v>
      </c>
    </row>
    <row r="57944" spans="9:9" x14ac:dyDescent="0.2">
      <c r="I57944" s="137" t="s">
        <v>74</v>
      </c>
    </row>
    <row r="57945" spans="9:9" x14ac:dyDescent="0.2">
      <c r="I57945" s="137" t="s">
        <v>74</v>
      </c>
    </row>
    <row r="57946" spans="9:9" x14ac:dyDescent="0.2">
      <c r="I57946" s="137" t="s">
        <v>74</v>
      </c>
    </row>
    <row r="57947" spans="9:9" x14ac:dyDescent="0.2">
      <c r="I57947" s="137" t="s">
        <v>74</v>
      </c>
    </row>
    <row r="57948" spans="9:9" x14ac:dyDescent="0.2">
      <c r="I57948" s="137" t="s">
        <v>74</v>
      </c>
    </row>
    <row r="57949" spans="9:9" x14ac:dyDescent="0.2">
      <c r="I57949" s="137" t="s">
        <v>74</v>
      </c>
    </row>
    <row r="57950" spans="9:9" x14ac:dyDescent="0.2">
      <c r="I57950" s="137" t="s">
        <v>74</v>
      </c>
    </row>
    <row r="57951" spans="9:9" x14ac:dyDescent="0.2">
      <c r="I57951" s="137" t="s">
        <v>74</v>
      </c>
    </row>
    <row r="57952" spans="9:9" x14ac:dyDescent="0.2">
      <c r="I57952" s="137" t="s">
        <v>74</v>
      </c>
    </row>
    <row r="57953" spans="9:9" x14ac:dyDescent="0.2">
      <c r="I57953" s="137" t="s">
        <v>74</v>
      </c>
    </row>
    <row r="57954" spans="9:9" x14ac:dyDescent="0.2">
      <c r="I57954" s="137" t="s">
        <v>74</v>
      </c>
    </row>
    <row r="57955" spans="9:9" x14ac:dyDescent="0.2">
      <c r="I57955" s="137" t="s">
        <v>74</v>
      </c>
    </row>
    <row r="57956" spans="9:9" x14ac:dyDescent="0.2">
      <c r="I57956" s="137" t="s">
        <v>74</v>
      </c>
    </row>
    <row r="57957" spans="9:9" x14ac:dyDescent="0.2">
      <c r="I57957" s="137" t="s">
        <v>74</v>
      </c>
    </row>
    <row r="57958" spans="9:9" x14ac:dyDescent="0.2">
      <c r="I57958" s="137" t="s">
        <v>74</v>
      </c>
    </row>
    <row r="57959" spans="9:9" x14ac:dyDescent="0.2">
      <c r="I57959" s="137" t="s">
        <v>74</v>
      </c>
    </row>
    <row r="57960" spans="9:9" x14ac:dyDescent="0.2">
      <c r="I57960" s="137" t="s">
        <v>74</v>
      </c>
    </row>
    <row r="57961" spans="9:9" x14ac:dyDescent="0.2">
      <c r="I57961" s="137" t="s">
        <v>74</v>
      </c>
    </row>
    <row r="57962" spans="9:9" x14ac:dyDescent="0.2">
      <c r="I57962" s="137" t="s">
        <v>74</v>
      </c>
    </row>
    <row r="57963" spans="9:9" x14ac:dyDescent="0.2">
      <c r="I57963" s="137" t="s">
        <v>74</v>
      </c>
    </row>
    <row r="57964" spans="9:9" x14ac:dyDescent="0.2">
      <c r="I57964" s="137" t="s">
        <v>74</v>
      </c>
    </row>
    <row r="57965" spans="9:9" x14ac:dyDescent="0.2">
      <c r="I57965" s="137" t="s">
        <v>74</v>
      </c>
    </row>
    <row r="57966" spans="9:9" x14ac:dyDescent="0.2">
      <c r="I57966" s="137" t="s">
        <v>74</v>
      </c>
    </row>
    <row r="57967" spans="9:9" x14ac:dyDescent="0.2">
      <c r="I57967" s="137" t="s">
        <v>74</v>
      </c>
    </row>
    <row r="57968" spans="9:9" x14ac:dyDescent="0.2">
      <c r="I57968" s="137" t="s">
        <v>74</v>
      </c>
    </row>
    <row r="57969" spans="9:9" x14ac:dyDescent="0.2">
      <c r="I57969" s="137" t="s">
        <v>74</v>
      </c>
    </row>
    <row r="57970" spans="9:9" x14ac:dyDescent="0.2">
      <c r="I57970" s="137" t="s">
        <v>74</v>
      </c>
    </row>
    <row r="57971" spans="9:9" x14ac:dyDescent="0.2">
      <c r="I57971" s="137" t="s">
        <v>74</v>
      </c>
    </row>
    <row r="57972" spans="9:9" x14ac:dyDescent="0.2">
      <c r="I57972" s="137" t="s">
        <v>74</v>
      </c>
    </row>
    <row r="57973" spans="9:9" x14ac:dyDescent="0.2">
      <c r="I57973" s="137" t="s">
        <v>74</v>
      </c>
    </row>
    <row r="57974" spans="9:9" x14ac:dyDescent="0.2">
      <c r="I57974" s="137" t="s">
        <v>74</v>
      </c>
    </row>
    <row r="57975" spans="9:9" x14ac:dyDescent="0.2">
      <c r="I57975" s="137" t="s">
        <v>74</v>
      </c>
    </row>
    <row r="57976" spans="9:9" x14ac:dyDescent="0.2">
      <c r="I57976" s="137" t="s">
        <v>74</v>
      </c>
    </row>
    <row r="57977" spans="9:9" x14ac:dyDescent="0.2">
      <c r="I57977" s="137" t="s">
        <v>74</v>
      </c>
    </row>
    <row r="57978" spans="9:9" x14ac:dyDescent="0.2">
      <c r="I57978" s="137" t="s">
        <v>74</v>
      </c>
    </row>
    <row r="57979" spans="9:9" x14ac:dyDescent="0.2">
      <c r="I57979" s="137" t="s">
        <v>74</v>
      </c>
    </row>
    <row r="57980" spans="9:9" x14ac:dyDescent="0.2">
      <c r="I57980" s="137" t="s">
        <v>74</v>
      </c>
    </row>
    <row r="57981" spans="9:9" x14ac:dyDescent="0.2">
      <c r="I57981" s="137" t="s">
        <v>74</v>
      </c>
    </row>
    <row r="57982" spans="9:9" x14ac:dyDescent="0.2">
      <c r="I57982" s="137" t="s">
        <v>74</v>
      </c>
    </row>
    <row r="57983" spans="9:9" x14ac:dyDescent="0.2">
      <c r="I57983" s="137" t="s">
        <v>74</v>
      </c>
    </row>
    <row r="57984" spans="9:9" x14ac:dyDescent="0.2">
      <c r="I57984" s="137" t="s">
        <v>74</v>
      </c>
    </row>
    <row r="57985" spans="9:9" x14ac:dyDescent="0.2">
      <c r="I57985" s="137" t="s">
        <v>74</v>
      </c>
    </row>
    <row r="57986" spans="9:9" x14ac:dyDescent="0.2">
      <c r="I57986" s="137" t="s">
        <v>74</v>
      </c>
    </row>
    <row r="57987" spans="9:9" x14ac:dyDescent="0.2">
      <c r="I57987" s="137" t="s">
        <v>74</v>
      </c>
    </row>
    <row r="57988" spans="9:9" x14ac:dyDescent="0.2">
      <c r="I57988" s="137" t="s">
        <v>74</v>
      </c>
    </row>
    <row r="57989" spans="9:9" x14ac:dyDescent="0.2">
      <c r="I57989" s="137" t="s">
        <v>74</v>
      </c>
    </row>
    <row r="57990" spans="9:9" x14ac:dyDescent="0.2">
      <c r="I57990" s="137" t="s">
        <v>74</v>
      </c>
    </row>
    <row r="57991" spans="9:9" x14ac:dyDescent="0.2">
      <c r="I57991" s="137" t="s">
        <v>74</v>
      </c>
    </row>
    <row r="57992" spans="9:9" x14ac:dyDescent="0.2">
      <c r="I57992" s="137" t="s">
        <v>74</v>
      </c>
    </row>
    <row r="57993" spans="9:9" x14ac:dyDescent="0.2">
      <c r="I57993" s="137" t="s">
        <v>74</v>
      </c>
    </row>
    <row r="57994" spans="9:9" x14ac:dyDescent="0.2">
      <c r="I57994" s="137" t="s">
        <v>74</v>
      </c>
    </row>
    <row r="57995" spans="9:9" x14ac:dyDescent="0.2">
      <c r="I57995" s="137" t="s">
        <v>74</v>
      </c>
    </row>
    <row r="57996" spans="9:9" x14ac:dyDescent="0.2">
      <c r="I57996" s="137" t="s">
        <v>74</v>
      </c>
    </row>
    <row r="57997" spans="9:9" x14ac:dyDescent="0.2">
      <c r="I57997" s="137" t="s">
        <v>74</v>
      </c>
    </row>
    <row r="57998" spans="9:9" x14ac:dyDescent="0.2">
      <c r="I57998" s="137" t="s">
        <v>74</v>
      </c>
    </row>
    <row r="57999" spans="9:9" x14ac:dyDescent="0.2">
      <c r="I57999" s="137" t="s">
        <v>74</v>
      </c>
    </row>
    <row r="58000" spans="9:9" x14ac:dyDescent="0.2">
      <c r="I58000" s="137" t="s">
        <v>74</v>
      </c>
    </row>
    <row r="58001" spans="9:9" x14ac:dyDescent="0.2">
      <c r="I58001" s="137" t="s">
        <v>74</v>
      </c>
    </row>
    <row r="58002" spans="9:9" x14ac:dyDescent="0.2">
      <c r="I58002" s="137" t="s">
        <v>74</v>
      </c>
    </row>
    <row r="58003" spans="9:9" x14ac:dyDescent="0.2">
      <c r="I58003" s="137" t="s">
        <v>74</v>
      </c>
    </row>
    <row r="58004" spans="9:9" x14ac:dyDescent="0.2">
      <c r="I58004" s="137" t="s">
        <v>74</v>
      </c>
    </row>
    <row r="58005" spans="9:9" x14ac:dyDescent="0.2">
      <c r="I58005" s="137" t="s">
        <v>74</v>
      </c>
    </row>
    <row r="58006" spans="9:9" x14ac:dyDescent="0.2">
      <c r="I58006" s="137" t="s">
        <v>74</v>
      </c>
    </row>
    <row r="58007" spans="9:9" x14ac:dyDescent="0.2">
      <c r="I58007" s="137" t="s">
        <v>74</v>
      </c>
    </row>
    <row r="58008" spans="9:9" x14ac:dyDescent="0.2">
      <c r="I58008" s="137" t="s">
        <v>74</v>
      </c>
    </row>
    <row r="58009" spans="9:9" x14ac:dyDescent="0.2">
      <c r="I58009" s="137" t="s">
        <v>74</v>
      </c>
    </row>
    <row r="58010" spans="9:9" x14ac:dyDescent="0.2">
      <c r="I58010" s="137" t="s">
        <v>74</v>
      </c>
    </row>
    <row r="58011" spans="9:9" x14ac:dyDescent="0.2">
      <c r="I58011" s="137" t="s">
        <v>74</v>
      </c>
    </row>
    <row r="58012" spans="9:9" x14ac:dyDescent="0.2">
      <c r="I58012" s="137" t="s">
        <v>74</v>
      </c>
    </row>
    <row r="58013" spans="9:9" x14ac:dyDescent="0.2">
      <c r="I58013" s="137" t="s">
        <v>74</v>
      </c>
    </row>
    <row r="58014" spans="9:9" x14ac:dyDescent="0.2">
      <c r="I58014" s="137" t="s">
        <v>74</v>
      </c>
    </row>
    <row r="58015" spans="9:9" x14ac:dyDescent="0.2">
      <c r="I58015" s="137" t="s">
        <v>74</v>
      </c>
    </row>
    <row r="58016" spans="9:9" x14ac:dyDescent="0.2">
      <c r="I58016" s="137" t="s">
        <v>74</v>
      </c>
    </row>
    <row r="58017" spans="9:9" x14ac:dyDescent="0.2">
      <c r="I58017" s="137" t="s">
        <v>74</v>
      </c>
    </row>
    <row r="58018" spans="9:9" x14ac:dyDescent="0.2">
      <c r="I58018" s="137" t="s">
        <v>74</v>
      </c>
    </row>
    <row r="58019" spans="9:9" x14ac:dyDescent="0.2">
      <c r="I58019" s="137" t="s">
        <v>74</v>
      </c>
    </row>
    <row r="58020" spans="9:9" x14ac:dyDescent="0.2">
      <c r="I58020" s="137" t="s">
        <v>74</v>
      </c>
    </row>
    <row r="58021" spans="9:9" x14ac:dyDescent="0.2">
      <c r="I58021" s="137" t="s">
        <v>74</v>
      </c>
    </row>
    <row r="58022" spans="9:9" x14ac:dyDescent="0.2">
      <c r="I58022" s="137" t="s">
        <v>74</v>
      </c>
    </row>
    <row r="58023" spans="9:9" x14ac:dyDescent="0.2">
      <c r="I58023" s="137" t="s">
        <v>74</v>
      </c>
    </row>
    <row r="58024" spans="9:9" x14ac:dyDescent="0.2">
      <c r="I58024" s="137" t="s">
        <v>74</v>
      </c>
    </row>
    <row r="58025" spans="9:9" x14ac:dyDescent="0.2">
      <c r="I58025" s="137" t="s">
        <v>74</v>
      </c>
    </row>
    <row r="58026" spans="9:9" x14ac:dyDescent="0.2">
      <c r="I58026" s="137" t="s">
        <v>74</v>
      </c>
    </row>
    <row r="58027" spans="9:9" x14ac:dyDescent="0.2">
      <c r="I58027" s="137" t="s">
        <v>74</v>
      </c>
    </row>
    <row r="58028" spans="9:9" x14ac:dyDescent="0.2">
      <c r="I58028" s="137" t="s">
        <v>74</v>
      </c>
    </row>
    <row r="58029" spans="9:9" x14ac:dyDescent="0.2">
      <c r="I58029" s="137" t="s">
        <v>74</v>
      </c>
    </row>
    <row r="58030" spans="9:9" x14ac:dyDescent="0.2">
      <c r="I58030" s="137" t="s">
        <v>74</v>
      </c>
    </row>
    <row r="58031" spans="9:9" x14ac:dyDescent="0.2">
      <c r="I58031" s="137" t="s">
        <v>74</v>
      </c>
    </row>
    <row r="58032" spans="9:9" x14ac:dyDescent="0.2">
      <c r="I58032" s="137" t="s">
        <v>74</v>
      </c>
    </row>
    <row r="58033" spans="9:9" x14ac:dyDescent="0.2">
      <c r="I58033" s="137" t="s">
        <v>74</v>
      </c>
    </row>
    <row r="58034" spans="9:9" x14ac:dyDescent="0.2">
      <c r="I58034" s="137" t="s">
        <v>74</v>
      </c>
    </row>
    <row r="58035" spans="9:9" x14ac:dyDescent="0.2">
      <c r="I58035" s="137" t="s">
        <v>74</v>
      </c>
    </row>
    <row r="58036" spans="9:9" x14ac:dyDescent="0.2">
      <c r="I58036" s="137" t="s">
        <v>74</v>
      </c>
    </row>
    <row r="58037" spans="9:9" x14ac:dyDescent="0.2">
      <c r="I58037" s="137" t="s">
        <v>74</v>
      </c>
    </row>
    <row r="58038" spans="9:9" x14ac:dyDescent="0.2">
      <c r="I58038" s="137" t="s">
        <v>74</v>
      </c>
    </row>
    <row r="58039" spans="9:9" x14ac:dyDescent="0.2">
      <c r="I58039" s="137" t="s">
        <v>74</v>
      </c>
    </row>
    <row r="58040" spans="9:9" x14ac:dyDescent="0.2">
      <c r="I58040" s="137" t="s">
        <v>74</v>
      </c>
    </row>
    <row r="58041" spans="9:9" x14ac:dyDescent="0.2">
      <c r="I58041" s="137" t="s">
        <v>74</v>
      </c>
    </row>
    <row r="58042" spans="9:9" x14ac:dyDescent="0.2">
      <c r="I58042" s="137" t="s">
        <v>74</v>
      </c>
    </row>
    <row r="58043" spans="9:9" x14ac:dyDescent="0.2">
      <c r="I58043" s="137" t="s">
        <v>74</v>
      </c>
    </row>
    <row r="58044" spans="9:9" x14ac:dyDescent="0.2">
      <c r="I58044" s="137" t="s">
        <v>74</v>
      </c>
    </row>
    <row r="58045" spans="9:9" x14ac:dyDescent="0.2">
      <c r="I58045" s="137" t="s">
        <v>74</v>
      </c>
    </row>
    <row r="58046" spans="9:9" x14ac:dyDescent="0.2">
      <c r="I58046" s="137" t="s">
        <v>74</v>
      </c>
    </row>
    <row r="58047" spans="9:9" x14ac:dyDescent="0.2">
      <c r="I58047" s="137" t="s">
        <v>74</v>
      </c>
    </row>
    <row r="58048" spans="9:9" x14ac:dyDescent="0.2">
      <c r="I58048" s="137" t="s">
        <v>74</v>
      </c>
    </row>
    <row r="58049" spans="9:9" x14ac:dyDescent="0.2">
      <c r="I58049" s="137" t="s">
        <v>74</v>
      </c>
    </row>
    <row r="58050" spans="9:9" x14ac:dyDescent="0.2">
      <c r="I58050" s="137" t="s">
        <v>74</v>
      </c>
    </row>
    <row r="58051" spans="9:9" x14ac:dyDescent="0.2">
      <c r="I58051" s="137" t="s">
        <v>74</v>
      </c>
    </row>
    <row r="58052" spans="9:9" x14ac:dyDescent="0.2">
      <c r="I58052" s="137" t="s">
        <v>74</v>
      </c>
    </row>
    <row r="58053" spans="9:9" x14ac:dyDescent="0.2">
      <c r="I58053" s="137" t="s">
        <v>74</v>
      </c>
    </row>
    <row r="58054" spans="9:9" x14ac:dyDescent="0.2">
      <c r="I58054" s="137" t="s">
        <v>74</v>
      </c>
    </row>
    <row r="58055" spans="9:9" x14ac:dyDescent="0.2">
      <c r="I58055" s="137" t="s">
        <v>74</v>
      </c>
    </row>
    <row r="58056" spans="9:9" x14ac:dyDescent="0.2">
      <c r="I58056" s="137" t="s">
        <v>74</v>
      </c>
    </row>
    <row r="58057" spans="9:9" x14ac:dyDescent="0.2">
      <c r="I58057" s="137" t="s">
        <v>74</v>
      </c>
    </row>
    <row r="58058" spans="9:9" x14ac:dyDescent="0.2">
      <c r="I58058" s="137" t="s">
        <v>74</v>
      </c>
    </row>
    <row r="58059" spans="9:9" x14ac:dyDescent="0.2">
      <c r="I58059" s="137" t="s">
        <v>74</v>
      </c>
    </row>
    <row r="58060" spans="9:9" x14ac:dyDescent="0.2">
      <c r="I58060" s="137" t="s">
        <v>74</v>
      </c>
    </row>
    <row r="58061" spans="9:9" x14ac:dyDescent="0.2">
      <c r="I58061" s="137" t="s">
        <v>74</v>
      </c>
    </row>
    <row r="58062" spans="9:9" x14ac:dyDescent="0.2">
      <c r="I58062" s="137" t="s">
        <v>74</v>
      </c>
    </row>
    <row r="58063" spans="9:9" x14ac:dyDescent="0.2">
      <c r="I58063" s="137" t="s">
        <v>74</v>
      </c>
    </row>
    <row r="58064" spans="9:9" x14ac:dyDescent="0.2">
      <c r="I58064" s="137" t="s">
        <v>74</v>
      </c>
    </row>
    <row r="58065" spans="9:9" x14ac:dyDescent="0.2">
      <c r="I58065" s="137" t="s">
        <v>74</v>
      </c>
    </row>
    <row r="58066" spans="9:9" x14ac:dyDescent="0.2">
      <c r="I58066" s="137" t="s">
        <v>74</v>
      </c>
    </row>
    <row r="58067" spans="9:9" x14ac:dyDescent="0.2">
      <c r="I58067" s="137" t="s">
        <v>74</v>
      </c>
    </row>
    <row r="58068" spans="9:9" x14ac:dyDescent="0.2">
      <c r="I58068" s="137" t="s">
        <v>74</v>
      </c>
    </row>
    <row r="58069" spans="9:9" x14ac:dyDescent="0.2">
      <c r="I58069" s="137" t="s">
        <v>74</v>
      </c>
    </row>
    <row r="58070" spans="9:9" x14ac:dyDescent="0.2">
      <c r="I58070" s="137" t="s">
        <v>74</v>
      </c>
    </row>
    <row r="58071" spans="9:9" x14ac:dyDescent="0.2">
      <c r="I58071" s="137" t="s">
        <v>74</v>
      </c>
    </row>
    <row r="58072" spans="9:9" x14ac:dyDescent="0.2">
      <c r="I58072" s="137" t="s">
        <v>74</v>
      </c>
    </row>
    <row r="58073" spans="9:9" x14ac:dyDescent="0.2">
      <c r="I58073" s="137" t="s">
        <v>74</v>
      </c>
    </row>
    <row r="58074" spans="9:9" x14ac:dyDescent="0.2">
      <c r="I58074" s="137" t="s">
        <v>74</v>
      </c>
    </row>
    <row r="58075" spans="9:9" x14ac:dyDescent="0.2">
      <c r="I58075" s="137" t="s">
        <v>74</v>
      </c>
    </row>
    <row r="58076" spans="9:9" x14ac:dyDescent="0.2">
      <c r="I58076" s="137" t="s">
        <v>74</v>
      </c>
    </row>
    <row r="58077" spans="9:9" x14ac:dyDescent="0.2">
      <c r="I58077" s="137" t="s">
        <v>74</v>
      </c>
    </row>
    <row r="58078" spans="9:9" x14ac:dyDescent="0.2">
      <c r="I58078" s="137" t="s">
        <v>74</v>
      </c>
    </row>
    <row r="58079" spans="9:9" x14ac:dyDescent="0.2">
      <c r="I58079" s="137" t="s">
        <v>74</v>
      </c>
    </row>
    <row r="58080" spans="9:9" x14ac:dyDescent="0.2">
      <c r="I58080" s="137" t="s">
        <v>74</v>
      </c>
    </row>
    <row r="58081" spans="9:9" x14ac:dyDescent="0.2">
      <c r="I58081" s="137" t="s">
        <v>74</v>
      </c>
    </row>
    <row r="58082" spans="9:9" x14ac:dyDescent="0.2">
      <c r="I58082" s="137" t="s">
        <v>74</v>
      </c>
    </row>
    <row r="58083" spans="9:9" x14ac:dyDescent="0.2">
      <c r="I58083" s="137" t="s">
        <v>74</v>
      </c>
    </row>
    <row r="58084" spans="9:9" x14ac:dyDescent="0.2">
      <c r="I58084" s="137" t="s">
        <v>74</v>
      </c>
    </row>
    <row r="58085" spans="9:9" x14ac:dyDescent="0.2">
      <c r="I58085" s="137" t="s">
        <v>74</v>
      </c>
    </row>
    <row r="58086" spans="9:9" x14ac:dyDescent="0.2">
      <c r="I58086" s="137" t="s">
        <v>74</v>
      </c>
    </row>
    <row r="58087" spans="9:9" x14ac:dyDescent="0.2">
      <c r="I58087" s="137" t="s">
        <v>74</v>
      </c>
    </row>
    <row r="58088" spans="9:9" x14ac:dyDescent="0.2">
      <c r="I58088" s="137" t="s">
        <v>74</v>
      </c>
    </row>
    <row r="58089" spans="9:9" x14ac:dyDescent="0.2">
      <c r="I58089" s="137" t="s">
        <v>74</v>
      </c>
    </row>
    <row r="58090" spans="9:9" x14ac:dyDescent="0.2">
      <c r="I58090" s="137" t="s">
        <v>74</v>
      </c>
    </row>
    <row r="58091" spans="9:9" x14ac:dyDescent="0.2">
      <c r="I58091" s="137" t="s">
        <v>74</v>
      </c>
    </row>
    <row r="58092" spans="9:9" x14ac:dyDescent="0.2">
      <c r="I58092" s="137" t="s">
        <v>74</v>
      </c>
    </row>
    <row r="58093" spans="9:9" x14ac:dyDescent="0.2">
      <c r="I58093" s="137" t="s">
        <v>74</v>
      </c>
    </row>
    <row r="58094" spans="9:9" x14ac:dyDescent="0.2">
      <c r="I58094" s="137" t="s">
        <v>74</v>
      </c>
    </row>
    <row r="58095" spans="9:9" x14ac:dyDescent="0.2">
      <c r="I58095" s="137" t="s">
        <v>74</v>
      </c>
    </row>
    <row r="58096" spans="9:9" x14ac:dyDescent="0.2">
      <c r="I58096" s="137" t="s">
        <v>74</v>
      </c>
    </row>
    <row r="58097" spans="9:9" x14ac:dyDescent="0.2">
      <c r="I58097" s="137" t="s">
        <v>74</v>
      </c>
    </row>
    <row r="58098" spans="9:9" x14ac:dyDescent="0.2">
      <c r="I58098" s="137" t="s">
        <v>74</v>
      </c>
    </row>
    <row r="58099" spans="9:9" x14ac:dyDescent="0.2">
      <c r="I58099" s="137" t="s">
        <v>74</v>
      </c>
    </row>
    <row r="58100" spans="9:9" x14ac:dyDescent="0.2">
      <c r="I58100" s="137" t="s">
        <v>74</v>
      </c>
    </row>
    <row r="58101" spans="9:9" x14ac:dyDescent="0.2">
      <c r="I58101" s="137" t="s">
        <v>74</v>
      </c>
    </row>
    <row r="58102" spans="9:9" x14ac:dyDescent="0.2">
      <c r="I58102" s="137" t="s">
        <v>74</v>
      </c>
    </row>
    <row r="58103" spans="9:9" x14ac:dyDescent="0.2">
      <c r="I58103" s="137" t="s">
        <v>74</v>
      </c>
    </row>
    <row r="58104" spans="9:9" x14ac:dyDescent="0.2">
      <c r="I58104" s="137" t="s">
        <v>74</v>
      </c>
    </row>
    <row r="58105" spans="9:9" x14ac:dyDescent="0.2">
      <c r="I58105" s="137" t="s">
        <v>74</v>
      </c>
    </row>
    <row r="58106" spans="9:9" x14ac:dyDescent="0.2">
      <c r="I58106" s="137" t="s">
        <v>74</v>
      </c>
    </row>
    <row r="58107" spans="9:9" x14ac:dyDescent="0.2">
      <c r="I58107" s="137" t="s">
        <v>74</v>
      </c>
    </row>
    <row r="58108" spans="9:9" x14ac:dyDescent="0.2">
      <c r="I58108" s="137" t="s">
        <v>74</v>
      </c>
    </row>
    <row r="58109" spans="9:9" x14ac:dyDescent="0.2">
      <c r="I58109" s="137" t="s">
        <v>74</v>
      </c>
    </row>
    <row r="58110" spans="9:9" x14ac:dyDescent="0.2">
      <c r="I58110" s="137" t="s">
        <v>74</v>
      </c>
    </row>
    <row r="58111" spans="9:9" x14ac:dyDescent="0.2">
      <c r="I58111" s="137" t="s">
        <v>74</v>
      </c>
    </row>
    <row r="58112" spans="9:9" x14ac:dyDescent="0.2">
      <c r="I58112" s="137" t="s">
        <v>74</v>
      </c>
    </row>
    <row r="58113" spans="9:9" x14ac:dyDescent="0.2">
      <c r="I58113" s="137" t="s">
        <v>74</v>
      </c>
    </row>
    <row r="58114" spans="9:9" x14ac:dyDescent="0.2">
      <c r="I58114" s="137" t="s">
        <v>74</v>
      </c>
    </row>
    <row r="58115" spans="9:9" x14ac:dyDescent="0.2">
      <c r="I58115" s="137" t="s">
        <v>74</v>
      </c>
    </row>
    <row r="58116" spans="9:9" x14ac:dyDescent="0.2">
      <c r="I58116" s="137" t="s">
        <v>74</v>
      </c>
    </row>
    <row r="58117" spans="9:9" x14ac:dyDescent="0.2">
      <c r="I58117" s="137" t="s">
        <v>74</v>
      </c>
    </row>
    <row r="58118" spans="9:9" x14ac:dyDescent="0.2">
      <c r="I58118" s="137" t="s">
        <v>74</v>
      </c>
    </row>
    <row r="58119" spans="9:9" x14ac:dyDescent="0.2">
      <c r="I58119" s="137" t="s">
        <v>74</v>
      </c>
    </row>
    <row r="58120" spans="9:9" x14ac:dyDescent="0.2">
      <c r="I58120" s="137" t="s">
        <v>74</v>
      </c>
    </row>
    <row r="58121" spans="9:9" x14ac:dyDescent="0.2">
      <c r="I58121" s="137" t="s">
        <v>74</v>
      </c>
    </row>
    <row r="58122" spans="9:9" x14ac:dyDescent="0.2">
      <c r="I58122" s="137" t="s">
        <v>74</v>
      </c>
    </row>
    <row r="58123" spans="9:9" x14ac:dyDescent="0.2">
      <c r="I58123" s="137" t="s">
        <v>74</v>
      </c>
    </row>
    <row r="58124" spans="9:9" x14ac:dyDescent="0.2">
      <c r="I58124" s="137" t="s">
        <v>74</v>
      </c>
    </row>
    <row r="58125" spans="9:9" x14ac:dyDescent="0.2">
      <c r="I58125" s="137" t="s">
        <v>74</v>
      </c>
    </row>
    <row r="58126" spans="9:9" x14ac:dyDescent="0.2">
      <c r="I58126" s="137" t="s">
        <v>74</v>
      </c>
    </row>
    <row r="58127" spans="9:9" x14ac:dyDescent="0.2">
      <c r="I58127" s="137" t="s">
        <v>74</v>
      </c>
    </row>
    <row r="58128" spans="9:9" x14ac:dyDescent="0.2">
      <c r="I58128" s="137" t="s">
        <v>74</v>
      </c>
    </row>
    <row r="58129" spans="9:9" x14ac:dyDescent="0.2">
      <c r="I58129" s="137" t="s">
        <v>74</v>
      </c>
    </row>
    <row r="58130" spans="9:9" x14ac:dyDescent="0.2">
      <c r="I58130" s="137" t="s">
        <v>74</v>
      </c>
    </row>
    <row r="58131" spans="9:9" x14ac:dyDescent="0.2">
      <c r="I58131" s="137" t="s">
        <v>74</v>
      </c>
    </row>
    <row r="58132" spans="9:9" x14ac:dyDescent="0.2">
      <c r="I58132" s="137" t="s">
        <v>74</v>
      </c>
    </row>
    <row r="58133" spans="9:9" x14ac:dyDescent="0.2">
      <c r="I58133" s="137" t="s">
        <v>74</v>
      </c>
    </row>
    <row r="58134" spans="9:9" x14ac:dyDescent="0.2">
      <c r="I58134" s="137" t="s">
        <v>74</v>
      </c>
    </row>
    <row r="58135" spans="9:9" x14ac:dyDescent="0.2">
      <c r="I58135" s="137" t="s">
        <v>74</v>
      </c>
    </row>
    <row r="58136" spans="9:9" x14ac:dyDescent="0.2">
      <c r="I58136" s="137" t="s">
        <v>74</v>
      </c>
    </row>
    <row r="58137" spans="9:9" x14ac:dyDescent="0.2">
      <c r="I58137" s="137" t="s">
        <v>74</v>
      </c>
    </row>
    <row r="58138" spans="9:9" x14ac:dyDescent="0.2">
      <c r="I58138" s="137" t="s">
        <v>74</v>
      </c>
    </row>
    <row r="58139" spans="9:9" x14ac:dyDescent="0.2">
      <c r="I58139" s="137" t="s">
        <v>74</v>
      </c>
    </row>
    <row r="58140" spans="9:9" x14ac:dyDescent="0.2">
      <c r="I58140" s="137" t="s">
        <v>74</v>
      </c>
    </row>
    <row r="58141" spans="9:9" x14ac:dyDescent="0.2">
      <c r="I58141" s="137" t="s">
        <v>74</v>
      </c>
    </row>
    <row r="58142" spans="9:9" x14ac:dyDescent="0.2">
      <c r="I58142" s="137" t="s">
        <v>74</v>
      </c>
    </row>
    <row r="58143" spans="9:9" x14ac:dyDescent="0.2">
      <c r="I58143" s="137" t="s">
        <v>74</v>
      </c>
    </row>
    <row r="58144" spans="9:9" x14ac:dyDescent="0.2">
      <c r="I58144" s="137" t="s">
        <v>74</v>
      </c>
    </row>
    <row r="58145" spans="9:9" x14ac:dyDescent="0.2">
      <c r="I58145" s="137" t="s">
        <v>74</v>
      </c>
    </row>
    <row r="58146" spans="9:9" x14ac:dyDescent="0.2">
      <c r="I58146" s="137" t="s">
        <v>74</v>
      </c>
    </row>
    <row r="58147" spans="9:9" x14ac:dyDescent="0.2">
      <c r="I58147" s="137" t="s">
        <v>74</v>
      </c>
    </row>
    <row r="58148" spans="9:9" x14ac:dyDescent="0.2">
      <c r="I58148" s="137" t="s">
        <v>74</v>
      </c>
    </row>
    <row r="58149" spans="9:9" x14ac:dyDescent="0.2">
      <c r="I58149" s="137" t="s">
        <v>74</v>
      </c>
    </row>
    <row r="58150" spans="9:9" x14ac:dyDescent="0.2">
      <c r="I58150" s="137" t="s">
        <v>74</v>
      </c>
    </row>
    <row r="58151" spans="9:9" x14ac:dyDescent="0.2">
      <c r="I58151" s="137" t="s">
        <v>74</v>
      </c>
    </row>
    <row r="58152" spans="9:9" x14ac:dyDescent="0.2">
      <c r="I58152" s="137" t="s">
        <v>74</v>
      </c>
    </row>
    <row r="58153" spans="9:9" x14ac:dyDescent="0.2">
      <c r="I58153" s="137" t="s">
        <v>74</v>
      </c>
    </row>
    <row r="58154" spans="9:9" x14ac:dyDescent="0.2">
      <c r="I58154" s="137" t="s">
        <v>74</v>
      </c>
    </row>
    <row r="58155" spans="9:9" x14ac:dyDescent="0.2">
      <c r="I58155" s="137" t="s">
        <v>74</v>
      </c>
    </row>
    <row r="58156" spans="9:9" x14ac:dyDescent="0.2">
      <c r="I58156" s="137" t="s">
        <v>74</v>
      </c>
    </row>
    <row r="58157" spans="9:9" x14ac:dyDescent="0.2">
      <c r="I58157" s="137" t="s">
        <v>74</v>
      </c>
    </row>
    <row r="58158" spans="9:9" x14ac:dyDescent="0.2">
      <c r="I58158" s="137" t="s">
        <v>74</v>
      </c>
    </row>
    <row r="58159" spans="9:9" x14ac:dyDescent="0.2">
      <c r="I58159" s="137" t="s">
        <v>74</v>
      </c>
    </row>
    <row r="58160" spans="9:9" x14ac:dyDescent="0.2">
      <c r="I58160" s="137" t="s">
        <v>74</v>
      </c>
    </row>
    <row r="58161" spans="9:9" x14ac:dyDescent="0.2">
      <c r="I58161" s="137" t="s">
        <v>74</v>
      </c>
    </row>
    <row r="58162" spans="9:9" x14ac:dyDescent="0.2">
      <c r="I58162" s="137" t="s">
        <v>74</v>
      </c>
    </row>
    <row r="58163" spans="9:9" x14ac:dyDescent="0.2">
      <c r="I58163" s="137" t="s">
        <v>74</v>
      </c>
    </row>
    <row r="58164" spans="9:9" x14ac:dyDescent="0.2">
      <c r="I58164" s="137" t="s">
        <v>74</v>
      </c>
    </row>
    <row r="58165" spans="9:9" x14ac:dyDescent="0.2">
      <c r="I58165" s="137" t="s">
        <v>74</v>
      </c>
    </row>
    <row r="58166" spans="9:9" x14ac:dyDescent="0.2">
      <c r="I58166" s="137" t="s">
        <v>74</v>
      </c>
    </row>
    <row r="58167" spans="9:9" x14ac:dyDescent="0.2">
      <c r="I58167" s="137" t="s">
        <v>74</v>
      </c>
    </row>
    <row r="58168" spans="9:9" x14ac:dyDescent="0.2">
      <c r="I58168" s="137" t="s">
        <v>74</v>
      </c>
    </row>
    <row r="58169" spans="9:9" x14ac:dyDescent="0.2">
      <c r="I58169" s="137" t="s">
        <v>74</v>
      </c>
    </row>
    <row r="58170" spans="9:9" x14ac:dyDescent="0.2">
      <c r="I58170" s="137" t="s">
        <v>74</v>
      </c>
    </row>
    <row r="58171" spans="9:9" x14ac:dyDescent="0.2">
      <c r="I58171" s="137" t="s">
        <v>74</v>
      </c>
    </row>
    <row r="58172" spans="9:9" x14ac:dyDescent="0.2">
      <c r="I58172" s="137" t="s">
        <v>74</v>
      </c>
    </row>
    <row r="58173" spans="9:9" x14ac:dyDescent="0.2">
      <c r="I58173" s="137" t="s">
        <v>74</v>
      </c>
    </row>
    <row r="58174" spans="9:9" x14ac:dyDescent="0.2">
      <c r="I58174" s="137" t="s">
        <v>74</v>
      </c>
    </row>
    <row r="58175" spans="9:9" x14ac:dyDescent="0.2">
      <c r="I58175" s="137" t="s">
        <v>74</v>
      </c>
    </row>
    <row r="58176" spans="9:9" x14ac:dyDescent="0.2">
      <c r="I58176" s="137" t="s">
        <v>74</v>
      </c>
    </row>
    <row r="58177" spans="9:9" x14ac:dyDescent="0.2">
      <c r="I58177" s="137" t="s">
        <v>74</v>
      </c>
    </row>
    <row r="58178" spans="9:9" x14ac:dyDescent="0.2">
      <c r="I58178" s="137" t="s">
        <v>74</v>
      </c>
    </row>
    <row r="58179" spans="9:9" x14ac:dyDescent="0.2">
      <c r="I58179" s="137" t="s">
        <v>74</v>
      </c>
    </row>
    <row r="58180" spans="9:9" x14ac:dyDescent="0.2">
      <c r="I58180" s="137" t="s">
        <v>74</v>
      </c>
    </row>
    <row r="58181" spans="9:9" x14ac:dyDescent="0.2">
      <c r="I58181" s="137" t="s">
        <v>74</v>
      </c>
    </row>
    <row r="58182" spans="9:9" x14ac:dyDescent="0.2">
      <c r="I58182" s="137" t="s">
        <v>74</v>
      </c>
    </row>
    <row r="58183" spans="9:9" x14ac:dyDescent="0.2">
      <c r="I58183" s="137" t="s">
        <v>74</v>
      </c>
    </row>
    <row r="58184" spans="9:9" x14ac:dyDescent="0.2">
      <c r="I58184" s="137" t="s">
        <v>74</v>
      </c>
    </row>
    <row r="58185" spans="9:9" x14ac:dyDescent="0.2">
      <c r="I58185" s="137" t="s">
        <v>74</v>
      </c>
    </row>
    <row r="58186" spans="9:9" x14ac:dyDescent="0.2">
      <c r="I58186" s="137" t="s">
        <v>74</v>
      </c>
    </row>
    <row r="58187" spans="9:9" x14ac:dyDescent="0.2">
      <c r="I58187" s="137" t="s">
        <v>74</v>
      </c>
    </row>
    <row r="58188" spans="9:9" x14ac:dyDescent="0.2">
      <c r="I58188" s="137" t="s">
        <v>74</v>
      </c>
    </row>
    <row r="58189" spans="9:9" x14ac:dyDescent="0.2">
      <c r="I58189" s="137" t="s">
        <v>74</v>
      </c>
    </row>
    <row r="58190" spans="9:9" x14ac:dyDescent="0.2">
      <c r="I58190" s="137" t="s">
        <v>74</v>
      </c>
    </row>
    <row r="58191" spans="9:9" x14ac:dyDescent="0.2">
      <c r="I58191" s="137" t="s">
        <v>74</v>
      </c>
    </row>
    <row r="58192" spans="9:9" x14ac:dyDescent="0.2">
      <c r="I58192" s="137" t="s">
        <v>74</v>
      </c>
    </row>
    <row r="58193" spans="9:9" x14ac:dyDescent="0.2">
      <c r="I58193" s="137" t="s">
        <v>74</v>
      </c>
    </row>
    <row r="58194" spans="9:9" x14ac:dyDescent="0.2">
      <c r="I58194" s="137" t="s">
        <v>74</v>
      </c>
    </row>
    <row r="58195" spans="9:9" x14ac:dyDescent="0.2">
      <c r="I58195" s="137" t="s">
        <v>74</v>
      </c>
    </row>
    <row r="58196" spans="9:9" x14ac:dyDescent="0.2">
      <c r="I58196" s="137" t="s">
        <v>74</v>
      </c>
    </row>
    <row r="58197" spans="9:9" x14ac:dyDescent="0.2">
      <c r="I58197" s="137" t="s">
        <v>74</v>
      </c>
    </row>
    <row r="58198" spans="9:9" x14ac:dyDescent="0.2">
      <c r="I58198" s="137" t="s">
        <v>74</v>
      </c>
    </row>
    <row r="58199" spans="9:9" x14ac:dyDescent="0.2">
      <c r="I58199" s="137" t="s">
        <v>74</v>
      </c>
    </row>
    <row r="58200" spans="9:9" x14ac:dyDescent="0.2">
      <c r="I58200" s="137" t="s">
        <v>74</v>
      </c>
    </row>
    <row r="58201" spans="9:9" x14ac:dyDescent="0.2">
      <c r="I58201" s="137" t="s">
        <v>74</v>
      </c>
    </row>
    <row r="58202" spans="9:9" x14ac:dyDescent="0.2">
      <c r="I58202" s="137" t="s">
        <v>74</v>
      </c>
    </row>
    <row r="58203" spans="9:9" x14ac:dyDescent="0.2">
      <c r="I58203" s="137" t="s">
        <v>74</v>
      </c>
    </row>
    <row r="58204" spans="9:9" x14ac:dyDescent="0.2">
      <c r="I58204" s="137" t="s">
        <v>74</v>
      </c>
    </row>
    <row r="58205" spans="9:9" x14ac:dyDescent="0.2">
      <c r="I58205" s="137" t="s">
        <v>74</v>
      </c>
    </row>
    <row r="58206" spans="9:9" x14ac:dyDescent="0.2">
      <c r="I58206" s="137" t="s">
        <v>74</v>
      </c>
    </row>
    <row r="58207" spans="9:9" x14ac:dyDescent="0.2">
      <c r="I58207" s="137" t="s">
        <v>74</v>
      </c>
    </row>
    <row r="58208" spans="9:9" x14ac:dyDescent="0.2">
      <c r="I58208" s="137" t="s">
        <v>74</v>
      </c>
    </row>
    <row r="58209" spans="9:9" x14ac:dyDescent="0.2">
      <c r="I58209" s="137" t="s">
        <v>74</v>
      </c>
    </row>
    <row r="58210" spans="9:9" x14ac:dyDescent="0.2">
      <c r="I58210" s="137" t="s">
        <v>74</v>
      </c>
    </row>
    <row r="58211" spans="9:9" x14ac:dyDescent="0.2">
      <c r="I58211" s="137" t="s">
        <v>74</v>
      </c>
    </row>
    <row r="58212" spans="9:9" x14ac:dyDescent="0.2">
      <c r="I58212" s="137" t="s">
        <v>74</v>
      </c>
    </row>
    <row r="58213" spans="9:9" x14ac:dyDescent="0.2">
      <c r="I58213" s="137" t="s">
        <v>74</v>
      </c>
    </row>
    <row r="58214" spans="9:9" x14ac:dyDescent="0.2">
      <c r="I58214" s="137" t="s">
        <v>74</v>
      </c>
    </row>
    <row r="58215" spans="9:9" x14ac:dyDescent="0.2">
      <c r="I58215" s="137" t="s">
        <v>74</v>
      </c>
    </row>
    <row r="58216" spans="9:9" x14ac:dyDescent="0.2">
      <c r="I58216" s="137" t="s">
        <v>74</v>
      </c>
    </row>
    <row r="58217" spans="9:9" x14ac:dyDescent="0.2">
      <c r="I58217" s="137" t="s">
        <v>74</v>
      </c>
    </row>
    <row r="58218" spans="9:9" x14ac:dyDescent="0.2">
      <c r="I58218" s="137" t="s">
        <v>74</v>
      </c>
    </row>
    <row r="58219" spans="9:9" x14ac:dyDescent="0.2">
      <c r="I58219" s="137" t="s">
        <v>74</v>
      </c>
    </row>
    <row r="58220" spans="9:9" x14ac:dyDescent="0.2">
      <c r="I58220" s="137" t="s">
        <v>74</v>
      </c>
    </row>
    <row r="58221" spans="9:9" x14ac:dyDescent="0.2">
      <c r="I58221" s="137" t="s">
        <v>74</v>
      </c>
    </row>
    <row r="58222" spans="9:9" x14ac:dyDescent="0.2">
      <c r="I58222" s="137" t="s">
        <v>74</v>
      </c>
    </row>
    <row r="58223" spans="9:9" x14ac:dyDescent="0.2">
      <c r="I58223" s="137" t="s">
        <v>74</v>
      </c>
    </row>
    <row r="58224" spans="9:9" x14ac:dyDescent="0.2">
      <c r="I58224" s="137" t="s">
        <v>74</v>
      </c>
    </row>
    <row r="58225" spans="9:9" x14ac:dyDescent="0.2">
      <c r="I58225" s="137" t="s">
        <v>74</v>
      </c>
    </row>
    <row r="58226" spans="9:9" x14ac:dyDescent="0.2">
      <c r="I58226" s="137" t="s">
        <v>74</v>
      </c>
    </row>
    <row r="58227" spans="9:9" x14ac:dyDescent="0.2">
      <c r="I58227" s="137" t="s">
        <v>74</v>
      </c>
    </row>
    <row r="58228" spans="9:9" x14ac:dyDescent="0.2">
      <c r="I58228" s="137" t="s">
        <v>74</v>
      </c>
    </row>
    <row r="58229" spans="9:9" x14ac:dyDescent="0.2">
      <c r="I58229" s="137" t="s">
        <v>74</v>
      </c>
    </row>
    <row r="58230" spans="9:9" x14ac:dyDescent="0.2">
      <c r="I58230" s="137" t="s">
        <v>74</v>
      </c>
    </row>
    <row r="58231" spans="9:9" x14ac:dyDescent="0.2">
      <c r="I58231" s="137" t="s">
        <v>74</v>
      </c>
    </row>
    <row r="58232" spans="9:9" x14ac:dyDescent="0.2">
      <c r="I58232" s="137" t="s">
        <v>74</v>
      </c>
    </row>
    <row r="58233" spans="9:9" x14ac:dyDescent="0.2">
      <c r="I58233" s="137" t="s">
        <v>74</v>
      </c>
    </row>
    <row r="58234" spans="9:9" x14ac:dyDescent="0.2">
      <c r="I58234" s="137" t="s">
        <v>74</v>
      </c>
    </row>
    <row r="58235" spans="9:9" x14ac:dyDescent="0.2">
      <c r="I58235" s="137" t="s">
        <v>74</v>
      </c>
    </row>
    <row r="58236" spans="9:9" x14ac:dyDescent="0.2">
      <c r="I58236" s="137" t="s">
        <v>74</v>
      </c>
    </row>
    <row r="58237" spans="9:9" x14ac:dyDescent="0.2">
      <c r="I58237" s="137" t="s">
        <v>74</v>
      </c>
    </row>
    <row r="58238" spans="9:9" x14ac:dyDescent="0.2">
      <c r="I58238" s="137" t="s">
        <v>74</v>
      </c>
    </row>
    <row r="58239" spans="9:9" x14ac:dyDescent="0.2">
      <c r="I58239" s="137" t="s">
        <v>74</v>
      </c>
    </row>
    <row r="58240" spans="9:9" x14ac:dyDescent="0.2">
      <c r="I58240" s="137" t="s">
        <v>74</v>
      </c>
    </row>
    <row r="58241" spans="9:9" x14ac:dyDescent="0.2">
      <c r="I58241" s="137" t="s">
        <v>74</v>
      </c>
    </row>
    <row r="58242" spans="9:9" x14ac:dyDescent="0.2">
      <c r="I58242" s="137" t="s">
        <v>74</v>
      </c>
    </row>
    <row r="58243" spans="9:9" x14ac:dyDescent="0.2">
      <c r="I58243" s="137" t="s">
        <v>74</v>
      </c>
    </row>
    <row r="58244" spans="9:9" x14ac:dyDescent="0.2">
      <c r="I58244" s="137" t="s">
        <v>74</v>
      </c>
    </row>
    <row r="58245" spans="9:9" x14ac:dyDescent="0.2">
      <c r="I58245" s="137" t="s">
        <v>74</v>
      </c>
    </row>
    <row r="58246" spans="9:9" x14ac:dyDescent="0.2">
      <c r="I58246" s="137" t="s">
        <v>74</v>
      </c>
    </row>
    <row r="58247" spans="9:9" x14ac:dyDescent="0.2">
      <c r="I58247" s="137" t="s">
        <v>74</v>
      </c>
    </row>
    <row r="58248" spans="9:9" x14ac:dyDescent="0.2">
      <c r="I58248" s="137" t="s">
        <v>74</v>
      </c>
    </row>
    <row r="58249" spans="9:9" x14ac:dyDescent="0.2">
      <c r="I58249" s="137" t="s">
        <v>74</v>
      </c>
    </row>
    <row r="58250" spans="9:9" x14ac:dyDescent="0.2">
      <c r="I58250" s="137" t="s">
        <v>74</v>
      </c>
    </row>
    <row r="58251" spans="9:9" x14ac:dyDescent="0.2">
      <c r="I58251" s="137" t="s">
        <v>74</v>
      </c>
    </row>
    <row r="58252" spans="9:9" x14ac:dyDescent="0.2">
      <c r="I58252" s="137" t="s">
        <v>74</v>
      </c>
    </row>
    <row r="58253" spans="9:9" x14ac:dyDescent="0.2">
      <c r="I58253" s="137" t="s">
        <v>74</v>
      </c>
    </row>
    <row r="58254" spans="9:9" x14ac:dyDescent="0.2">
      <c r="I58254" s="137" t="s">
        <v>74</v>
      </c>
    </row>
    <row r="58255" spans="9:9" x14ac:dyDescent="0.2">
      <c r="I58255" s="137" t="s">
        <v>74</v>
      </c>
    </row>
    <row r="58256" spans="9:9" x14ac:dyDescent="0.2">
      <c r="I58256" s="137" t="s">
        <v>74</v>
      </c>
    </row>
    <row r="58257" spans="9:9" x14ac:dyDescent="0.2">
      <c r="I58257" s="137" t="s">
        <v>74</v>
      </c>
    </row>
    <row r="58258" spans="9:9" x14ac:dyDescent="0.2">
      <c r="I58258" s="137" t="s">
        <v>74</v>
      </c>
    </row>
    <row r="58259" spans="9:9" x14ac:dyDescent="0.2">
      <c r="I58259" s="137" t="s">
        <v>74</v>
      </c>
    </row>
    <row r="58260" spans="9:9" x14ac:dyDescent="0.2">
      <c r="I58260" s="137" t="s">
        <v>74</v>
      </c>
    </row>
    <row r="58261" spans="9:9" x14ac:dyDescent="0.2">
      <c r="I58261" s="137" t="s">
        <v>74</v>
      </c>
    </row>
    <row r="58262" spans="9:9" x14ac:dyDescent="0.2">
      <c r="I58262" s="137" t="s">
        <v>74</v>
      </c>
    </row>
    <row r="58263" spans="9:9" x14ac:dyDescent="0.2">
      <c r="I58263" s="137" t="s">
        <v>74</v>
      </c>
    </row>
    <row r="58264" spans="9:9" x14ac:dyDescent="0.2">
      <c r="I58264" s="137" t="s">
        <v>74</v>
      </c>
    </row>
    <row r="58265" spans="9:9" x14ac:dyDescent="0.2">
      <c r="I58265" s="137" t="s">
        <v>74</v>
      </c>
    </row>
    <row r="58266" spans="9:9" x14ac:dyDescent="0.2">
      <c r="I58266" s="137" t="s">
        <v>74</v>
      </c>
    </row>
    <row r="58267" spans="9:9" x14ac:dyDescent="0.2">
      <c r="I58267" s="137" t="s">
        <v>74</v>
      </c>
    </row>
    <row r="58268" spans="9:9" x14ac:dyDescent="0.2">
      <c r="I58268" s="137" t="s">
        <v>74</v>
      </c>
    </row>
    <row r="58269" spans="9:9" x14ac:dyDescent="0.2">
      <c r="I58269" s="137" t="s">
        <v>74</v>
      </c>
    </row>
    <row r="58270" spans="9:9" x14ac:dyDescent="0.2">
      <c r="I58270" s="137" t="s">
        <v>74</v>
      </c>
    </row>
    <row r="58271" spans="9:9" x14ac:dyDescent="0.2">
      <c r="I58271" s="137" t="s">
        <v>74</v>
      </c>
    </row>
    <row r="58272" spans="9:9" x14ac:dyDescent="0.2">
      <c r="I58272" s="137" t="s">
        <v>74</v>
      </c>
    </row>
    <row r="58273" spans="9:9" x14ac:dyDescent="0.2">
      <c r="I58273" s="137" t="s">
        <v>74</v>
      </c>
    </row>
    <row r="58274" spans="9:9" x14ac:dyDescent="0.2">
      <c r="I58274" s="137" t="s">
        <v>74</v>
      </c>
    </row>
    <row r="58275" spans="9:9" x14ac:dyDescent="0.2">
      <c r="I58275" s="137" t="s">
        <v>74</v>
      </c>
    </row>
    <row r="58276" spans="9:9" x14ac:dyDescent="0.2">
      <c r="I58276" s="137" t="s">
        <v>74</v>
      </c>
    </row>
    <row r="58277" spans="9:9" x14ac:dyDescent="0.2">
      <c r="I58277" s="137" t="s">
        <v>74</v>
      </c>
    </row>
    <row r="58278" spans="9:9" x14ac:dyDescent="0.2">
      <c r="I58278" s="137" t="s">
        <v>74</v>
      </c>
    </row>
    <row r="58279" spans="9:9" x14ac:dyDescent="0.2">
      <c r="I58279" s="137" t="s">
        <v>74</v>
      </c>
    </row>
    <row r="58280" spans="9:9" x14ac:dyDescent="0.2">
      <c r="I58280" s="137" t="s">
        <v>74</v>
      </c>
    </row>
    <row r="58281" spans="9:9" x14ac:dyDescent="0.2">
      <c r="I58281" s="137" t="s">
        <v>74</v>
      </c>
    </row>
    <row r="58282" spans="9:9" x14ac:dyDescent="0.2">
      <c r="I58282" s="137" t="s">
        <v>74</v>
      </c>
    </row>
    <row r="58283" spans="9:9" x14ac:dyDescent="0.2">
      <c r="I58283" s="137" t="s">
        <v>74</v>
      </c>
    </row>
    <row r="58284" spans="9:9" x14ac:dyDescent="0.2">
      <c r="I58284" s="137" t="s">
        <v>74</v>
      </c>
    </row>
    <row r="58285" spans="9:9" x14ac:dyDescent="0.2">
      <c r="I58285" s="137" t="s">
        <v>74</v>
      </c>
    </row>
    <row r="58286" spans="9:9" x14ac:dyDescent="0.2">
      <c r="I58286" s="137" t="s">
        <v>74</v>
      </c>
    </row>
    <row r="58287" spans="9:9" x14ac:dyDescent="0.2">
      <c r="I58287" s="137" t="s">
        <v>74</v>
      </c>
    </row>
    <row r="58288" spans="9:9" x14ac:dyDescent="0.2">
      <c r="I58288" s="137" t="s">
        <v>74</v>
      </c>
    </row>
    <row r="58289" spans="9:9" x14ac:dyDescent="0.2">
      <c r="I58289" s="137" t="s">
        <v>74</v>
      </c>
    </row>
    <row r="58290" spans="9:9" x14ac:dyDescent="0.2">
      <c r="I58290" s="137" t="s">
        <v>74</v>
      </c>
    </row>
    <row r="58291" spans="9:9" x14ac:dyDescent="0.2">
      <c r="I58291" s="137" t="s">
        <v>74</v>
      </c>
    </row>
    <row r="58292" spans="9:9" x14ac:dyDescent="0.2">
      <c r="I58292" s="137" t="s">
        <v>74</v>
      </c>
    </row>
    <row r="58293" spans="9:9" x14ac:dyDescent="0.2">
      <c r="I58293" s="137" t="s">
        <v>74</v>
      </c>
    </row>
    <row r="58294" spans="9:9" x14ac:dyDescent="0.2">
      <c r="I58294" s="137" t="s">
        <v>74</v>
      </c>
    </row>
    <row r="58295" spans="9:9" x14ac:dyDescent="0.2">
      <c r="I58295" s="137" t="s">
        <v>74</v>
      </c>
    </row>
    <row r="58296" spans="9:9" x14ac:dyDescent="0.2">
      <c r="I58296" s="137" t="s">
        <v>74</v>
      </c>
    </row>
    <row r="58297" spans="9:9" x14ac:dyDescent="0.2">
      <c r="I58297" s="137" t="s">
        <v>74</v>
      </c>
    </row>
    <row r="58298" spans="9:9" x14ac:dyDescent="0.2">
      <c r="I58298" s="137" t="s">
        <v>74</v>
      </c>
    </row>
    <row r="58299" spans="9:9" x14ac:dyDescent="0.2">
      <c r="I58299" s="137" t="s">
        <v>74</v>
      </c>
    </row>
    <row r="58300" spans="9:9" x14ac:dyDescent="0.2">
      <c r="I58300" s="137" t="s">
        <v>74</v>
      </c>
    </row>
    <row r="58301" spans="9:9" x14ac:dyDescent="0.2">
      <c r="I58301" s="137" t="s">
        <v>74</v>
      </c>
    </row>
    <row r="58302" spans="9:9" x14ac:dyDescent="0.2">
      <c r="I58302" s="137" t="s">
        <v>74</v>
      </c>
    </row>
    <row r="58303" spans="9:9" x14ac:dyDescent="0.2">
      <c r="I58303" s="137" t="s">
        <v>74</v>
      </c>
    </row>
    <row r="58304" spans="9:9" x14ac:dyDescent="0.2">
      <c r="I58304" s="137" t="s">
        <v>74</v>
      </c>
    </row>
    <row r="58305" spans="9:9" x14ac:dyDescent="0.2">
      <c r="I58305" s="137" t="s">
        <v>74</v>
      </c>
    </row>
    <row r="58306" spans="9:9" x14ac:dyDescent="0.2">
      <c r="I58306" s="137" t="s">
        <v>74</v>
      </c>
    </row>
    <row r="58307" spans="9:9" x14ac:dyDescent="0.2">
      <c r="I58307" s="137" t="s">
        <v>74</v>
      </c>
    </row>
    <row r="58308" spans="9:9" x14ac:dyDescent="0.2">
      <c r="I58308" s="137" t="s">
        <v>74</v>
      </c>
    </row>
    <row r="58309" spans="9:9" x14ac:dyDescent="0.2">
      <c r="I58309" s="137" t="s">
        <v>74</v>
      </c>
    </row>
    <row r="58310" spans="9:9" x14ac:dyDescent="0.2">
      <c r="I58310" s="137" t="s">
        <v>74</v>
      </c>
    </row>
    <row r="58311" spans="9:9" x14ac:dyDescent="0.2">
      <c r="I58311" s="137" t="s">
        <v>74</v>
      </c>
    </row>
    <row r="58312" spans="9:9" x14ac:dyDescent="0.2">
      <c r="I58312" s="137" t="s">
        <v>74</v>
      </c>
    </row>
    <row r="58313" spans="9:9" x14ac:dyDescent="0.2">
      <c r="I58313" s="137" t="s">
        <v>74</v>
      </c>
    </row>
    <row r="58314" spans="9:9" x14ac:dyDescent="0.2">
      <c r="I58314" s="137" t="s">
        <v>74</v>
      </c>
    </row>
    <row r="58315" spans="9:9" x14ac:dyDescent="0.2">
      <c r="I58315" s="137" t="s">
        <v>74</v>
      </c>
    </row>
    <row r="58316" spans="9:9" x14ac:dyDescent="0.2">
      <c r="I58316" s="137" t="s">
        <v>74</v>
      </c>
    </row>
    <row r="58317" spans="9:9" x14ac:dyDescent="0.2">
      <c r="I58317" s="137" t="s">
        <v>74</v>
      </c>
    </row>
    <row r="58318" spans="9:9" x14ac:dyDescent="0.2">
      <c r="I58318" s="137" t="s">
        <v>74</v>
      </c>
    </row>
    <row r="58319" spans="9:9" x14ac:dyDescent="0.2">
      <c r="I58319" s="137" t="s">
        <v>74</v>
      </c>
    </row>
    <row r="58320" spans="9:9" x14ac:dyDescent="0.2">
      <c r="I58320" s="137" t="s">
        <v>74</v>
      </c>
    </row>
    <row r="58321" spans="9:9" x14ac:dyDescent="0.2">
      <c r="I58321" s="137" t="s">
        <v>74</v>
      </c>
    </row>
    <row r="58322" spans="9:9" x14ac:dyDescent="0.2">
      <c r="I58322" s="137" t="s">
        <v>74</v>
      </c>
    </row>
    <row r="58323" spans="9:9" x14ac:dyDescent="0.2">
      <c r="I58323" s="137" t="s">
        <v>74</v>
      </c>
    </row>
    <row r="58324" spans="9:9" x14ac:dyDescent="0.2">
      <c r="I58324" s="137" t="s">
        <v>74</v>
      </c>
    </row>
    <row r="58325" spans="9:9" x14ac:dyDescent="0.2">
      <c r="I58325" s="137" t="s">
        <v>74</v>
      </c>
    </row>
    <row r="58326" spans="9:9" x14ac:dyDescent="0.2">
      <c r="I58326" s="137" t="s">
        <v>74</v>
      </c>
    </row>
    <row r="58327" spans="9:9" x14ac:dyDescent="0.2">
      <c r="I58327" s="137" t="s">
        <v>74</v>
      </c>
    </row>
    <row r="58328" spans="9:9" x14ac:dyDescent="0.2">
      <c r="I58328" s="137" t="s">
        <v>74</v>
      </c>
    </row>
    <row r="58329" spans="9:9" x14ac:dyDescent="0.2">
      <c r="I58329" s="137" t="s">
        <v>74</v>
      </c>
    </row>
    <row r="58330" spans="9:9" x14ac:dyDescent="0.2">
      <c r="I58330" s="137" t="s">
        <v>74</v>
      </c>
    </row>
    <row r="58331" spans="9:9" x14ac:dyDescent="0.2">
      <c r="I58331" s="137" t="s">
        <v>74</v>
      </c>
    </row>
    <row r="58332" spans="9:9" x14ac:dyDescent="0.2">
      <c r="I58332" s="137" t="s">
        <v>74</v>
      </c>
    </row>
    <row r="58333" spans="9:9" x14ac:dyDescent="0.2">
      <c r="I58333" s="137" t="s">
        <v>74</v>
      </c>
    </row>
    <row r="58334" spans="9:9" x14ac:dyDescent="0.2">
      <c r="I58334" s="137" t="s">
        <v>74</v>
      </c>
    </row>
    <row r="58335" spans="9:9" x14ac:dyDescent="0.2">
      <c r="I58335" s="137" t="s">
        <v>74</v>
      </c>
    </row>
    <row r="58336" spans="9:9" x14ac:dyDescent="0.2">
      <c r="I58336" s="137" t="s">
        <v>74</v>
      </c>
    </row>
    <row r="58337" spans="9:9" x14ac:dyDescent="0.2">
      <c r="I58337" s="137" t="s">
        <v>74</v>
      </c>
    </row>
    <row r="58338" spans="9:9" x14ac:dyDescent="0.2">
      <c r="I58338" s="137" t="s">
        <v>74</v>
      </c>
    </row>
    <row r="58339" spans="9:9" x14ac:dyDescent="0.2">
      <c r="I58339" s="137" t="s">
        <v>74</v>
      </c>
    </row>
    <row r="58340" spans="9:9" x14ac:dyDescent="0.2">
      <c r="I58340" s="137" t="s">
        <v>74</v>
      </c>
    </row>
    <row r="58341" spans="9:9" x14ac:dyDescent="0.2">
      <c r="I58341" s="137" t="s">
        <v>74</v>
      </c>
    </row>
    <row r="58342" spans="9:9" x14ac:dyDescent="0.2">
      <c r="I58342" s="137" t="s">
        <v>74</v>
      </c>
    </row>
    <row r="58343" spans="9:9" x14ac:dyDescent="0.2">
      <c r="I58343" s="137" t="s">
        <v>74</v>
      </c>
    </row>
    <row r="58344" spans="9:9" x14ac:dyDescent="0.2">
      <c r="I58344" s="137" t="s">
        <v>74</v>
      </c>
    </row>
    <row r="58345" spans="9:9" x14ac:dyDescent="0.2">
      <c r="I58345" s="137" t="s">
        <v>74</v>
      </c>
    </row>
    <row r="58346" spans="9:9" x14ac:dyDescent="0.2">
      <c r="I58346" s="137" t="s">
        <v>74</v>
      </c>
    </row>
    <row r="58347" spans="9:9" x14ac:dyDescent="0.2">
      <c r="I58347" s="137" t="s">
        <v>74</v>
      </c>
    </row>
    <row r="58348" spans="9:9" x14ac:dyDescent="0.2">
      <c r="I58348" s="137" t="s">
        <v>74</v>
      </c>
    </row>
    <row r="58349" spans="9:9" x14ac:dyDescent="0.2">
      <c r="I58349" s="137" t="s">
        <v>74</v>
      </c>
    </row>
    <row r="58350" spans="9:9" x14ac:dyDescent="0.2">
      <c r="I58350" s="137" t="s">
        <v>74</v>
      </c>
    </row>
    <row r="58351" spans="9:9" x14ac:dyDescent="0.2">
      <c r="I58351" s="137" t="s">
        <v>74</v>
      </c>
    </row>
    <row r="58352" spans="9:9" x14ac:dyDescent="0.2">
      <c r="I58352" s="137" t="s">
        <v>74</v>
      </c>
    </row>
    <row r="58353" spans="9:9" x14ac:dyDescent="0.2">
      <c r="I58353" s="137" t="s">
        <v>74</v>
      </c>
    </row>
    <row r="58354" spans="9:9" x14ac:dyDescent="0.2">
      <c r="I58354" s="137" t="s">
        <v>74</v>
      </c>
    </row>
    <row r="58355" spans="9:9" x14ac:dyDescent="0.2">
      <c r="I58355" s="137" t="s">
        <v>74</v>
      </c>
    </row>
    <row r="58356" spans="9:9" x14ac:dyDescent="0.2">
      <c r="I58356" s="137" t="s">
        <v>74</v>
      </c>
    </row>
    <row r="58357" spans="9:9" x14ac:dyDescent="0.2">
      <c r="I58357" s="137" t="s">
        <v>74</v>
      </c>
    </row>
    <row r="58358" spans="9:9" x14ac:dyDescent="0.2">
      <c r="I58358" s="137" t="s">
        <v>74</v>
      </c>
    </row>
    <row r="58359" spans="9:9" x14ac:dyDescent="0.2">
      <c r="I58359" s="137" t="s">
        <v>74</v>
      </c>
    </row>
    <row r="58360" spans="9:9" x14ac:dyDescent="0.2">
      <c r="I58360" s="137" t="s">
        <v>74</v>
      </c>
    </row>
    <row r="58361" spans="9:9" x14ac:dyDescent="0.2">
      <c r="I58361" s="137" t="s">
        <v>74</v>
      </c>
    </row>
    <row r="58362" spans="9:9" x14ac:dyDescent="0.2">
      <c r="I58362" s="137" t="s">
        <v>74</v>
      </c>
    </row>
    <row r="58363" spans="9:9" x14ac:dyDescent="0.2">
      <c r="I58363" s="137" t="s">
        <v>74</v>
      </c>
    </row>
    <row r="58364" spans="9:9" x14ac:dyDescent="0.2">
      <c r="I58364" s="137" t="s">
        <v>74</v>
      </c>
    </row>
    <row r="58365" spans="9:9" x14ac:dyDescent="0.2">
      <c r="I58365" s="137" t="s">
        <v>74</v>
      </c>
    </row>
    <row r="58366" spans="9:9" x14ac:dyDescent="0.2">
      <c r="I58366" s="137" t="s">
        <v>74</v>
      </c>
    </row>
    <row r="58367" spans="9:9" x14ac:dyDescent="0.2">
      <c r="I58367" s="137" t="s">
        <v>74</v>
      </c>
    </row>
    <row r="58368" spans="9:9" x14ac:dyDescent="0.2">
      <c r="I58368" s="137" t="s">
        <v>74</v>
      </c>
    </row>
    <row r="58369" spans="9:9" x14ac:dyDescent="0.2">
      <c r="I58369" s="137" t="s">
        <v>74</v>
      </c>
    </row>
    <row r="58370" spans="9:9" x14ac:dyDescent="0.2">
      <c r="I58370" s="137" t="s">
        <v>74</v>
      </c>
    </row>
    <row r="58371" spans="9:9" x14ac:dyDescent="0.2">
      <c r="I58371" s="137" t="s">
        <v>74</v>
      </c>
    </row>
    <row r="58372" spans="9:9" x14ac:dyDescent="0.2">
      <c r="I58372" s="137" t="s">
        <v>74</v>
      </c>
    </row>
    <row r="58373" spans="9:9" x14ac:dyDescent="0.2">
      <c r="I58373" s="137" t="s">
        <v>74</v>
      </c>
    </row>
    <row r="58374" spans="9:9" x14ac:dyDescent="0.2">
      <c r="I58374" s="137" t="s">
        <v>74</v>
      </c>
    </row>
    <row r="58375" spans="9:9" x14ac:dyDescent="0.2">
      <c r="I58375" s="137" t="s">
        <v>74</v>
      </c>
    </row>
    <row r="58376" spans="9:9" x14ac:dyDescent="0.2">
      <c r="I58376" s="137" t="s">
        <v>74</v>
      </c>
    </row>
    <row r="58377" spans="9:9" x14ac:dyDescent="0.2">
      <c r="I58377" s="137" t="s">
        <v>74</v>
      </c>
    </row>
    <row r="58378" spans="9:9" x14ac:dyDescent="0.2">
      <c r="I58378" s="137" t="s">
        <v>74</v>
      </c>
    </row>
    <row r="58379" spans="9:9" x14ac:dyDescent="0.2">
      <c r="I58379" s="137" t="s">
        <v>74</v>
      </c>
    </row>
    <row r="58380" spans="9:9" x14ac:dyDescent="0.2">
      <c r="I58380" s="137" t="s">
        <v>74</v>
      </c>
    </row>
    <row r="58381" spans="9:9" x14ac:dyDescent="0.2">
      <c r="I58381" s="137" t="s">
        <v>74</v>
      </c>
    </row>
    <row r="58382" spans="9:9" x14ac:dyDescent="0.2">
      <c r="I58382" s="137" t="s">
        <v>74</v>
      </c>
    </row>
    <row r="58383" spans="9:9" x14ac:dyDescent="0.2">
      <c r="I58383" s="137" t="s">
        <v>74</v>
      </c>
    </row>
    <row r="58384" spans="9:9" x14ac:dyDescent="0.2">
      <c r="I58384" s="137" t="s">
        <v>74</v>
      </c>
    </row>
    <row r="58385" spans="9:9" x14ac:dyDescent="0.2">
      <c r="I58385" s="137" t="s">
        <v>74</v>
      </c>
    </row>
    <row r="58386" spans="9:9" x14ac:dyDescent="0.2">
      <c r="I58386" s="137" t="s">
        <v>74</v>
      </c>
    </row>
    <row r="58387" spans="9:9" x14ac:dyDescent="0.2">
      <c r="I58387" s="137" t="s">
        <v>74</v>
      </c>
    </row>
    <row r="58388" spans="9:9" x14ac:dyDescent="0.2">
      <c r="I58388" s="137" t="s">
        <v>74</v>
      </c>
    </row>
    <row r="58389" spans="9:9" x14ac:dyDescent="0.2">
      <c r="I58389" s="137" t="s">
        <v>74</v>
      </c>
    </row>
    <row r="58390" spans="9:9" x14ac:dyDescent="0.2">
      <c r="I58390" s="137" t="s">
        <v>74</v>
      </c>
    </row>
    <row r="58391" spans="9:9" x14ac:dyDescent="0.2">
      <c r="I58391" s="137" t="s">
        <v>74</v>
      </c>
    </row>
    <row r="58392" spans="9:9" x14ac:dyDescent="0.2">
      <c r="I58392" s="137" t="s">
        <v>74</v>
      </c>
    </row>
    <row r="58393" spans="9:9" x14ac:dyDescent="0.2">
      <c r="I58393" s="137" t="s">
        <v>74</v>
      </c>
    </row>
    <row r="58394" spans="9:9" x14ac:dyDescent="0.2">
      <c r="I58394" s="137" t="s">
        <v>74</v>
      </c>
    </row>
    <row r="58395" spans="9:9" x14ac:dyDescent="0.2">
      <c r="I58395" s="137" t="s">
        <v>74</v>
      </c>
    </row>
    <row r="58396" spans="9:9" x14ac:dyDescent="0.2">
      <c r="I58396" s="137" t="s">
        <v>74</v>
      </c>
    </row>
    <row r="58397" spans="9:9" x14ac:dyDescent="0.2">
      <c r="I58397" s="137" t="s">
        <v>74</v>
      </c>
    </row>
    <row r="58398" spans="9:9" x14ac:dyDescent="0.2">
      <c r="I58398" s="137" t="s">
        <v>74</v>
      </c>
    </row>
    <row r="58399" spans="9:9" x14ac:dyDescent="0.2">
      <c r="I58399" s="137" t="s">
        <v>74</v>
      </c>
    </row>
    <row r="58400" spans="9:9" x14ac:dyDescent="0.2">
      <c r="I58400" s="137" t="s">
        <v>74</v>
      </c>
    </row>
    <row r="58401" spans="9:9" x14ac:dyDescent="0.2">
      <c r="I58401" s="137" t="s">
        <v>74</v>
      </c>
    </row>
    <row r="58402" spans="9:9" x14ac:dyDescent="0.2">
      <c r="I58402" s="137" t="s">
        <v>74</v>
      </c>
    </row>
    <row r="58403" spans="9:9" x14ac:dyDescent="0.2">
      <c r="I58403" s="137" t="s">
        <v>74</v>
      </c>
    </row>
    <row r="58404" spans="9:9" x14ac:dyDescent="0.2">
      <c r="I58404" s="137" t="s">
        <v>74</v>
      </c>
    </row>
    <row r="58405" spans="9:9" x14ac:dyDescent="0.2">
      <c r="I58405" s="137" t="s">
        <v>74</v>
      </c>
    </row>
    <row r="58406" spans="9:9" x14ac:dyDescent="0.2">
      <c r="I58406" s="137" t="s">
        <v>74</v>
      </c>
    </row>
    <row r="58407" spans="9:9" x14ac:dyDescent="0.2">
      <c r="I58407" s="137" t="s">
        <v>74</v>
      </c>
    </row>
    <row r="58408" spans="9:9" x14ac:dyDescent="0.2">
      <c r="I58408" s="137" t="s">
        <v>74</v>
      </c>
    </row>
    <row r="58409" spans="9:9" x14ac:dyDescent="0.2">
      <c r="I58409" s="137" t="s">
        <v>74</v>
      </c>
    </row>
    <row r="58410" spans="9:9" x14ac:dyDescent="0.2">
      <c r="I58410" s="137" t="s">
        <v>74</v>
      </c>
    </row>
    <row r="58411" spans="9:9" x14ac:dyDescent="0.2">
      <c r="I58411" s="137" t="s">
        <v>74</v>
      </c>
    </row>
    <row r="58412" spans="9:9" x14ac:dyDescent="0.2">
      <c r="I58412" s="137" t="s">
        <v>74</v>
      </c>
    </row>
    <row r="58413" spans="9:9" x14ac:dyDescent="0.2">
      <c r="I58413" s="137" t="s">
        <v>74</v>
      </c>
    </row>
    <row r="58414" spans="9:9" x14ac:dyDescent="0.2">
      <c r="I58414" s="137" t="s">
        <v>74</v>
      </c>
    </row>
    <row r="58415" spans="9:9" x14ac:dyDescent="0.2">
      <c r="I58415" s="137" t="s">
        <v>74</v>
      </c>
    </row>
    <row r="58416" spans="9:9" x14ac:dyDescent="0.2">
      <c r="I58416" s="137" t="s">
        <v>74</v>
      </c>
    </row>
    <row r="58417" spans="9:9" x14ac:dyDescent="0.2">
      <c r="I58417" s="137" t="s">
        <v>74</v>
      </c>
    </row>
    <row r="58418" spans="9:9" x14ac:dyDescent="0.2">
      <c r="I58418" s="137" t="s">
        <v>74</v>
      </c>
    </row>
    <row r="58419" spans="9:9" x14ac:dyDescent="0.2">
      <c r="I58419" s="137" t="s">
        <v>74</v>
      </c>
    </row>
    <row r="58420" spans="9:9" x14ac:dyDescent="0.2">
      <c r="I58420" s="137" t="s">
        <v>74</v>
      </c>
    </row>
    <row r="58421" spans="9:9" x14ac:dyDescent="0.2">
      <c r="I58421" s="137" t="s">
        <v>74</v>
      </c>
    </row>
    <row r="58422" spans="9:9" x14ac:dyDescent="0.2">
      <c r="I58422" s="137" t="s">
        <v>74</v>
      </c>
    </row>
    <row r="58423" spans="9:9" x14ac:dyDescent="0.2">
      <c r="I58423" s="137" t="s">
        <v>74</v>
      </c>
    </row>
    <row r="58424" spans="9:9" x14ac:dyDescent="0.2">
      <c r="I58424" s="137" t="s">
        <v>74</v>
      </c>
    </row>
    <row r="58425" spans="9:9" x14ac:dyDescent="0.2">
      <c r="I58425" s="137" t="s">
        <v>74</v>
      </c>
    </row>
    <row r="58426" spans="9:9" x14ac:dyDescent="0.2">
      <c r="I58426" s="137" t="s">
        <v>74</v>
      </c>
    </row>
    <row r="58427" spans="9:9" x14ac:dyDescent="0.2">
      <c r="I58427" s="137" t="s">
        <v>74</v>
      </c>
    </row>
    <row r="58428" spans="9:9" x14ac:dyDescent="0.2">
      <c r="I58428" s="137" t="s">
        <v>74</v>
      </c>
    </row>
    <row r="58429" spans="9:9" x14ac:dyDescent="0.2">
      <c r="I58429" s="137" t="s">
        <v>74</v>
      </c>
    </row>
    <row r="58430" spans="9:9" x14ac:dyDescent="0.2">
      <c r="I58430" s="137" t="s">
        <v>74</v>
      </c>
    </row>
    <row r="58431" spans="9:9" x14ac:dyDescent="0.2">
      <c r="I58431" s="137" t="s">
        <v>74</v>
      </c>
    </row>
    <row r="58432" spans="9:9" x14ac:dyDescent="0.2">
      <c r="I58432" s="137" t="s">
        <v>74</v>
      </c>
    </row>
    <row r="58433" spans="9:9" x14ac:dyDescent="0.2">
      <c r="I58433" s="137" t="s">
        <v>74</v>
      </c>
    </row>
    <row r="58434" spans="9:9" x14ac:dyDescent="0.2">
      <c r="I58434" s="137" t="s">
        <v>74</v>
      </c>
    </row>
    <row r="58435" spans="9:9" x14ac:dyDescent="0.2">
      <c r="I58435" s="137" t="s">
        <v>74</v>
      </c>
    </row>
    <row r="58436" spans="9:9" x14ac:dyDescent="0.2">
      <c r="I58436" s="137" t="s">
        <v>74</v>
      </c>
    </row>
    <row r="58437" spans="9:9" x14ac:dyDescent="0.2">
      <c r="I58437" s="137" t="s">
        <v>74</v>
      </c>
    </row>
    <row r="58438" spans="9:9" x14ac:dyDescent="0.2">
      <c r="I58438" s="137" t="s">
        <v>74</v>
      </c>
    </row>
    <row r="58439" spans="9:9" x14ac:dyDescent="0.2">
      <c r="I58439" s="137" t="s">
        <v>74</v>
      </c>
    </row>
    <row r="58440" spans="9:9" x14ac:dyDescent="0.2">
      <c r="I58440" s="137" t="s">
        <v>74</v>
      </c>
    </row>
    <row r="58441" spans="9:9" x14ac:dyDescent="0.2">
      <c r="I58441" s="137" t="s">
        <v>74</v>
      </c>
    </row>
    <row r="58442" spans="9:9" x14ac:dyDescent="0.2">
      <c r="I58442" s="137" t="s">
        <v>74</v>
      </c>
    </row>
    <row r="58443" spans="9:9" x14ac:dyDescent="0.2">
      <c r="I58443" s="137" t="s">
        <v>74</v>
      </c>
    </row>
    <row r="58444" spans="9:9" x14ac:dyDescent="0.2">
      <c r="I58444" s="137" t="s">
        <v>74</v>
      </c>
    </row>
    <row r="58445" spans="9:9" x14ac:dyDescent="0.2">
      <c r="I58445" s="137" t="s">
        <v>74</v>
      </c>
    </row>
    <row r="58446" spans="9:9" x14ac:dyDescent="0.2">
      <c r="I58446" s="137" t="s">
        <v>74</v>
      </c>
    </row>
    <row r="58447" spans="9:9" x14ac:dyDescent="0.2">
      <c r="I58447" s="137" t="s">
        <v>74</v>
      </c>
    </row>
    <row r="58448" spans="9:9" x14ac:dyDescent="0.2">
      <c r="I58448" s="137" t="s">
        <v>74</v>
      </c>
    </row>
    <row r="58449" spans="9:9" x14ac:dyDescent="0.2">
      <c r="I58449" s="137" t="s">
        <v>74</v>
      </c>
    </row>
    <row r="58450" spans="9:9" x14ac:dyDescent="0.2">
      <c r="I58450" s="137" t="s">
        <v>74</v>
      </c>
    </row>
    <row r="58451" spans="9:9" x14ac:dyDescent="0.2">
      <c r="I58451" s="137" t="s">
        <v>74</v>
      </c>
    </row>
    <row r="58452" spans="9:9" x14ac:dyDescent="0.2">
      <c r="I58452" s="137" t="s">
        <v>74</v>
      </c>
    </row>
    <row r="58453" spans="9:9" x14ac:dyDescent="0.2">
      <c r="I58453" s="137" t="s">
        <v>74</v>
      </c>
    </row>
    <row r="58454" spans="9:9" x14ac:dyDescent="0.2">
      <c r="I58454" s="137" t="s">
        <v>74</v>
      </c>
    </row>
    <row r="58455" spans="9:9" x14ac:dyDescent="0.2">
      <c r="I58455" s="137" t="s">
        <v>74</v>
      </c>
    </row>
    <row r="58456" spans="9:9" x14ac:dyDescent="0.2">
      <c r="I58456" s="137" t="s">
        <v>74</v>
      </c>
    </row>
    <row r="58457" spans="9:9" x14ac:dyDescent="0.2">
      <c r="I58457" s="137" t="s">
        <v>74</v>
      </c>
    </row>
    <row r="58458" spans="9:9" x14ac:dyDescent="0.2">
      <c r="I58458" s="137" t="s">
        <v>74</v>
      </c>
    </row>
    <row r="58459" spans="9:9" x14ac:dyDescent="0.2">
      <c r="I58459" s="137" t="s">
        <v>74</v>
      </c>
    </row>
    <row r="58460" spans="9:9" x14ac:dyDescent="0.2">
      <c r="I58460" s="137" t="s">
        <v>74</v>
      </c>
    </row>
    <row r="58461" spans="9:9" x14ac:dyDescent="0.2">
      <c r="I58461" s="137" t="s">
        <v>74</v>
      </c>
    </row>
    <row r="58462" spans="9:9" x14ac:dyDescent="0.2">
      <c r="I58462" s="137" t="s">
        <v>74</v>
      </c>
    </row>
    <row r="58463" spans="9:9" x14ac:dyDescent="0.2">
      <c r="I58463" s="137" t="s">
        <v>74</v>
      </c>
    </row>
    <row r="58464" spans="9:9" x14ac:dyDescent="0.2">
      <c r="I58464" s="137" t="s">
        <v>74</v>
      </c>
    </row>
    <row r="58465" spans="9:9" x14ac:dyDescent="0.2">
      <c r="I58465" s="137" t="s">
        <v>74</v>
      </c>
    </row>
    <row r="58466" spans="9:9" x14ac:dyDescent="0.2">
      <c r="I58466" s="137" t="s">
        <v>74</v>
      </c>
    </row>
    <row r="58467" spans="9:9" x14ac:dyDescent="0.2">
      <c r="I58467" s="137" t="s">
        <v>74</v>
      </c>
    </row>
    <row r="58468" spans="9:9" x14ac:dyDescent="0.2">
      <c r="I58468" s="137" t="s">
        <v>74</v>
      </c>
    </row>
    <row r="58469" spans="9:9" x14ac:dyDescent="0.2">
      <c r="I58469" s="137" t="s">
        <v>74</v>
      </c>
    </row>
    <row r="58470" spans="9:9" x14ac:dyDescent="0.2">
      <c r="I58470" s="137" t="s">
        <v>74</v>
      </c>
    </row>
    <row r="58471" spans="9:9" x14ac:dyDescent="0.2">
      <c r="I58471" s="137" t="s">
        <v>74</v>
      </c>
    </row>
    <row r="58472" spans="9:9" x14ac:dyDescent="0.2">
      <c r="I58472" s="137" t="s">
        <v>74</v>
      </c>
    </row>
    <row r="58473" spans="9:9" x14ac:dyDescent="0.2">
      <c r="I58473" s="137" t="s">
        <v>74</v>
      </c>
    </row>
    <row r="58474" spans="9:9" x14ac:dyDescent="0.2">
      <c r="I58474" s="137" t="s">
        <v>74</v>
      </c>
    </row>
    <row r="58475" spans="9:9" x14ac:dyDescent="0.2">
      <c r="I58475" s="137" t="s">
        <v>74</v>
      </c>
    </row>
    <row r="58476" spans="9:9" x14ac:dyDescent="0.2">
      <c r="I58476" s="137" t="s">
        <v>74</v>
      </c>
    </row>
    <row r="58477" spans="9:9" x14ac:dyDescent="0.2">
      <c r="I58477" s="137" t="s">
        <v>74</v>
      </c>
    </row>
    <row r="58478" spans="9:9" x14ac:dyDescent="0.2">
      <c r="I58478" s="137" t="s">
        <v>74</v>
      </c>
    </row>
    <row r="58479" spans="9:9" x14ac:dyDescent="0.2">
      <c r="I58479" s="137" t="s">
        <v>74</v>
      </c>
    </row>
    <row r="58480" spans="9:9" x14ac:dyDescent="0.2">
      <c r="I58480" s="137" t="s">
        <v>74</v>
      </c>
    </row>
    <row r="58481" spans="9:9" x14ac:dyDescent="0.2">
      <c r="I58481" s="137" t="s">
        <v>74</v>
      </c>
    </row>
    <row r="58482" spans="9:9" x14ac:dyDescent="0.2">
      <c r="I58482" s="137" t="s">
        <v>74</v>
      </c>
    </row>
    <row r="58483" spans="9:9" x14ac:dyDescent="0.2">
      <c r="I58483" s="137" t="s">
        <v>74</v>
      </c>
    </row>
    <row r="58484" spans="9:9" x14ac:dyDescent="0.2">
      <c r="I58484" s="137" t="s">
        <v>74</v>
      </c>
    </row>
    <row r="58485" spans="9:9" x14ac:dyDescent="0.2">
      <c r="I58485" s="137" t="s">
        <v>74</v>
      </c>
    </row>
    <row r="58486" spans="9:9" x14ac:dyDescent="0.2">
      <c r="I58486" s="137" t="s">
        <v>74</v>
      </c>
    </row>
    <row r="58487" spans="9:9" x14ac:dyDescent="0.2">
      <c r="I58487" s="137" t="s">
        <v>74</v>
      </c>
    </row>
    <row r="58488" spans="9:9" x14ac:dyDescent="0.2">
      <c r="I58488" s="137" t="s">
        <v>74</v>
      </c>
    </row>
    <row r="58489" spans="9:9" x14ac:dyDescent="0.2">
      <c r="I58489" s="137" t="s">
        <v>74</v>
      </c>
    </row>
    <row r="58490" spans="9:9" x14ac:dyDescent="0.2">
      <c r="I58490" s="137" t="s">
        <v>74</v>
      </c>
    </row>
    <row r="58491" spans="9:9" x14ac:dyDescent="0.2">
      <c r="I58491" s="137" t="s">
        <v>74</v>
      </c>
    </row>
    <row r="58492" spans="9:9" x14ac:dyDescent="0.2">
      <c r="I58492" s="137" t="s">
        <v>74</v>
      </c>
    </row>
    <row r="58493" spans="9:9" x14ac:dyDescent="0.2">
      <c r="I58493" s="137" t="s">
        <v>74</v>
      </c>
    </row>
    <row r="58494" spans="9:9" x14ac:dyDescent="0.2">
      <c r="I58494" s="137" t="s">
        <v>74</v>
      </c>
    </row>
    <row r="58495" spans="9:9" x14ac:dyDescent="0.2">
      <c r="I58495" s="137" t="s">
        <v>74</v>
      </c>
    </row>
    <row r="58496" spans="9:9" x14ac:dyDescent="0.2">
      <c r="I58496" s="137" t="s">
        <v>74</v>
      </c>
    </row>
    <row r="58497" spans="9:9" x14ac:dyDescent="0.2">
      <c r="I58497" s="137" t="s">
        <v>74</v>
      </c>
    </row>
    <row r="58498" spans="9:9" x14ac:dyDescent="0.2">
      <c r="I58498" s="137" t="s">
        <v>74</v>
      </c>
    </row>
    <row r="58499" spans="9:9" x14ac:dyDescent="0.2">
      <c r="I58499" s="137" t="s">
        <v>74</v>
      </c>
    </row>
    <row r="58500" spans="9:9" x14ac:dyDescent="0.2">
      <c r="I58500" s="137" t="s">
        <v>74</v>
      </c>
    </row>
    <row r="58501" spans="9:9" x14ac:dyDescent="0.2">
      <c r="I58501" s="137" t="s">
        <v>74</v>
      </c>
    </row>
    <row r="58502" spans="9:9" x14ac:dyDescent="0.2">
      <c r="I58502" s="137" t="s">
        <v>74</v>
      </c>
    </row>
    <row r="58503" spans="9:9" x14ac:dyDescent="0.2">
      <c r="I58503" s="137" t="s">
        <v>74</v>
      </c>
    </row>
    <row r="58504" spans="9:9" x14ac:dyDescent="0.2">
      <c r="I58504" s="137" t="s">
        <v>74</v>
      </c>
    </row>
    <row r="58505" spans="9:9" x14ac:dyDescent="0.2">
      <c r="I58505" s="137" t="s">
        <v>74</v>
      </c>
    </row>
    <row r="58506" spans="9:9" x14ac:dyDescent="0.2">
      <c r="I58506" s="137" t="s">
        <v>74</v>
      </c>
    </row>
    <row r="58507" spans="9:9" x14ac:dyDescent="0.2">
      <c r="I58507" s="137" t="s">
        <v>74</v>
      </c>
    </row>
    <row r="58508" spans="9:9" x14ac:dyDescent="0.2">
      <c r="I58508" s="137" t="s">
        <v>74</v>
      </c>
    </row>
    <row r="58509" spans="9:9" x14ac:dyDescent="0.2">
      <c r="I58509" s="137" t="s">
        <v>74</v>
      </c>
    </row>
    <row r="58510" spans="9:9" x14ac:dyDescent="0.2">
      <c r="I58510" s="137" t="s">
        <v>74</v>
      </c>
    </row>
    <row r="58511" spans="9:9" x14ac:dyDescent="0.2">
      <c r="I58511" s="137" t="s">
        <v>74</v>
      </c>
    </row>
    <row r="58512" spans="9:9" x14ac:dyDescent="0.2">
      <c r="I58512" s="137" t="s">
        <v>74</v>
      </c>
    </row>
    <row r="58513" spans="9:9" x14ac:dyDescent="0.2">
      <c r="I58513" s="137" t="s">
        <v>74</v>
      </c>
    </row>
    <row r="58514" spans="9:9" x14ac:dyDescent="0.2">
      <c r="I58514" s="137" t="s">
        <v>74</v>
      </c>
    </row>
    <row r="58515" spans="9:9" x14ac:dyDescent="0.2">
      <c r="I58515" s="137" t="s">
        <v>74</v>
      </c>
    </row>
    <row r="58516" spans="9:9" x14ac:dyDescent="0.2">
      <c r="I58516" s="137" t="s">
        <v>74</v>
      </c>
    </row>
    <row r="58517" spans="9:9" x14ac:dyDescent="0.2">
      <c r="I58517" s="137" t="s">
        <v>74</v>
      </c>
    </row>
    <row r="58518" spans="9:9" x14ac:dyDescent="0.2">
      <c r="I58518" s="137" t="s">
        <v>74</v>
      </c>
    </row>
    <row r="58519" spans="9:9" x14ac:dyDescent="0.2">
      <c r="I58519" s="137" t="s">
        <v>74</v>
      </c>
    </row>
    <row r="58520" spans="9:9" x14ac:dyDescent="0.2">
      <c r="I58520" s="137" t="s">
        <v>74</v>
      </c>
    </row>
    <row r="58521" spans="9:9" x14ac:dyDescent="0.2">
      <c r="I58521" s="137" t="s">
        <v>74</v>
      </c>
    </row>
    <row r="58522" spans="9:9" x14ac:dyDescent="0.2">
      <c r="I58522" s="137" t="s">
        <v>74</v>
      </c>
    </row>
    <row r="58523" spans="9:9" x14ac:dyDescent="0.2">
      <c r="I58523" s="137" t="s">
        <v>74</v>
      </c>
    </row>
    <row r="58524" spans="9:9" x14ac:dyDescent="0.2">
      <c r="I58524" s="137" t="s">
        <v>74</v>
      </c>
    </row>
    <row r="58525" spans="9:9" x14ac:dyDescent="0.2">
      <c r="I58525" s="137" t="s">
        <v>74</v>
      </c>
    </row>
    <row r="58526" spans="9:9" x14ac:dyDescent="0.2">
      <c r="I58526" s="137" t="s">
        <v>74</v>
      </c>
    </row>
    <row r="58527" spans="9:9" x14ac:dyDescent="0.2">
      <c r="I58527" s="137" t="s">
        <v>74</v>
      </c>
    </row>
    <row r="58528" spans="9:9" x14ac:dyDescent="0.2">
      <c r="I58528" s="137" t="s">
        <v>74</v>
      </c>
    </row>
    <row r="58529" spans="9:9" x14ac:dyDescent="0.2">
      <c r="I58529" s="137" t="s">
        <v>74</v>
      </c>
    </row>
    <row r="58530" spans="9:9" x14ac:dyDescent="0.2">
      <c r="I58530" s="137" t="s">
        <v>74</v>
      </c>
    </row>
    <row r="58531" spans="9:9" x14ac:dyDescent="0.2">
      <c r="I58531" s="137" t="s">
        <v>74</v>
      </c>
    </row>
    <row r="58532" spans="9:9" x14ac:dyDescent="0.2">
      <c r="I58532" s="137" t="s">
        <v>74</v>
      </c>
    </row>
    <row r="58533" spans="9:9" x14ac:dyDescent="0.2">
      <c r="I58533" s="137" t="s">
        <v>74</v>
      </c>
    </row>
    <row r="58534" spans="9:9" x14ac:dyDescent="0.2">
      <c r="I58534" s="137" t="s">
        <v>74</v>
      </c>
    </row>
    <row r="58535" spans="9:9" x14ac:dyDescent="0.2">
      <c r="I58535" s="137" t="s">
        <v>74</v>
      </c>
    </row>
    <row r="58536" spans="9:9" x14ac:dyDescent="0.2">
      <c r="I58536" s="137" t="s">
        <v>74</v>
      </c>
    </row>
    <row r="58537" spans="9:9" x14ac:dyDescent="0.2">
      <c r="I58537" s="137" t="s">
        <v>74</v>
      </c>
    </row>
    <row r="58538" spans="9:9" x14ac:dyDescent="0.2">
      <c r="I58538" s="137" t="s">
        <v>74</v>
      </c>
    </row>
    <row r="58539" spans="9:9" x14ac:dyDescent="0.2">
      <c r="I58539" s="137" t="s">
        <v>74</v>
      </c>
    </row>
    <row r="58540" spans="9:9" x14ac:dyDescent="0.2">
      <c r="I58540" s="137" t="s">
        <v>74</v>
      </c>
    </row>
    <row r="58541" spans="9:9" x14ac:dyDescent="0.2">
      <c r="I58541" s="137" t="s">
        <v>74</v>
      </c>
    </row>
    <row r="58542" spans="9:9" x14ac:dyDescent="0.2">
      <c r="I58542" s="137" t="s">
        <v>74</v>
      </c>
    </row>
    <row r="58543" spans="9:9" x14ac:dyDescent="0.2">
      <c r="I58543" s="137" t="s">
        <v>74</v>
      </c>
    </row>
    <row r="58544" spans="9:9" x14ac:dyDescent="0.2">
      <c r="I58544" s="137" t="s">
        <v>74</v>
      </c>
    </row>
    <row r="58545" spans="9:9" x14ac:dyDescent="0.2">
      <c r="I58545" s="137" t="s">
        <v>74</v>
      </c>
    </row>
    <row r="58546" spans="9:9" x14ac:dyDescent="0.2">
      <c r="I58546" s="137" t="s">
        <v>74</v>
      </c>
    </row>
    <row r="58547" spans="9:9" x14ac:dyDescent="0.2">
      <c r="I58547" s="137" t="s">
        <v>74</v>
      </c>
    </row>
    <row r="58548" spans="9:9" x14ac:dyDescent="0.2">
      <c r="I58548" s="137" t="s">
        <v>74</v>
      </c>
    </row>
    <row r="58549" spans="9:9" x14ac:dyDescent="0.2">
      <c r="I58549" s="137" t="s">
        <v>74</v>
      </c>
    </row>
    <row r="58550" spans="9:9" x14ac:dyDescent="0.2">
      <c r="I58550" s="137" t="s">
        <v>74</v>
      </c>
    </row>
    <row r="58551" spans="9:9" x14ac:dyDescent="0.2">
      <c r="I58551" s="137" t="s">
        <v>74</v>
      </c>
    </row>
    <row r="58552" spans="9:9" x14ac:dyDescent="0.2">
      <c r="I58552" s="137" t="s">
        <v>74</v>
      </c>
    </row>
    <row r="58553" spans="9:9" x14ac:dyDescent="0.2">
      <c r="I58553" s="137" t="s">
        <v>74</v>
      </c>
    </row>
    <row r="58554" spans="9:9" x14ac:dyDescent="0.2">
      <c r="I58554" s="137" t="s">
        <v>74</v>
      </c>
    </row>
    <row r="58555" spans="9:9" x14ac:dyDescent="0.2">
      <c r="I58555" s="137" t="s">
        <v>74</v>
      </c>
    </row>
    <row r="58556" spans="9:9" x14ac:dyDescent="0.2">
      <c r="I58556" s="137" t="s">
        <v>74</v>
      </c>
    </row>
    <row r="58557" spans="9:9" x14ac:dyDescent="0.2">
      <c r="I58557" s="137" t="s">
        <v>74</v>
      </c>
    </row>
    <row r="58558" spans="9:9" x14ac:dyDescent="0.2">
      <c r="I58558" s="137" t="s">
        <v>74</v>
      </c>
    </row>
    <row r="58559" spans="9:9" x14ac:dyDescent="0.2">
      <c r="I58559" s="137" t="s">
        <v>74</v>
      </c>
    </row>
    <row r="58560" spans="9:9" x14ac:dyDescent="0.2">
      <c r="I58560" s="137" t="s">
        <v>74</v>
      </c>
    </row>
    <row r="58561" spans="9:9" x14ac:dyDescent="0.2">
      <c r="I58561" s="137" t="s">
        <v>74</v>
      </c>
    </row>
    <row r="58562" spans="9:9" x14ac:dyDescent="0.2">
      <c r="I58562" s="137" t="s">
        <v>74</v>
      </c>
    </row>
    <row r="58563" spans="9:9" x14ac:dyDescent="0.2">
      <c r="I58563" s="137" t="s">
        <v>74</v>
      </c>
    </row>
    <row r="58564" spans="9:9" x14ac:dyDescent="0.2">
      <c r="I58564" s="137" t="s">
        <v>74</v>
      </c>
    </row>
    <row r="58565" spans="9:9" x14ac:dyDescent="0.2">
      <c r="I58565" s="137" t="s">
        <v>74</v>
      </c>
    </row>
    <row r="58566" spans="9:9" x14ac:dyDescent="0.2">
      <c r="I58566" s="137" t="s">
        <v>74</v>
      </c>
    </row>
    <row r="58567" spans="9:9" x14ac:dyDescent="0.2">
      <c r="I58567" s="137" t="s">
        <v>74</v>
      </c>
    </row>
    <row r="58568" spans="9:9" x14ac:dyDescent="0.2">
      <c r="I58568" s="137" t="s">
        <v>74</v>
      </c>
    </row>
    <row r="58569" spans="9:9" x14ac:dyDescent="0.2">
      <c r="I58569" s="137" t="s">
        <v>74</v>
      </c>
    </row>
    <row r="58570" spans="9:9" x14ac:dyDescent="0.2">
      <c r="I58570" s="137" t="s">
        <v>74</v>
      </c>
    </row>
    <row r="58571" spans="9:9" x14ac:dyDescent="0.2">
      <c r="I58571" s="137" t="s">
        <v>74</v>
      </c>
    </row>
    <row r="58572" spans="9:9" x14ac:dyDescent="0.2">
      <c r="I58572" s="137" t="s">
        <v>74</v>
      </c>
    </row>
    <row r="58573" spans="9:9" x14ac:dyDescent="0.2">
      <c r="I58573" s="137" t="s">
        <v>74</v>
      </c>
    </row>
    <row r="58574" spans="9:9" x14ac:dyDescent="0.2">
      <c r="I58574" s="137" t="s">
        <v>74</v>
      </c>
    </row>
    <row r="58575" spans="9:9" x14ac:dyDescent="0.2">
      <c r="I58575" s="137" t="s">
        <v>74</v>
      </c>
    </row>
    <row r="58576" spans="9:9" x14ac:dyDescent="0.2">
      <c r="I58576" s="137" t="s">
        <v>74</v>
      </c>
    </row>
    <row r="58577" spans="9:9" x14ac:dyDescent="0.2">
      <c r="I58577" s="137" t="s">
        <v>74</v>
      </c>
    </row>
    <row r="58578" spans="9:9" x14ac:dyDescent="0.2">
      <c r="I58578" s="137" t="s">
        <v>74</v>
      </c>
    </row>
    <row r="58579" spans="9:9" x14ac:dyDescent="0.2">
      <c r="I58579" s="137" t="s">
        <v>74</v>
      </c>
    </row>
    <row r="58580" spans="9:9" x14ac:dyDescent="0.2">
      <c r="I58580" s="137" t="s">
        <v>74</v>
      </c>
    </row>
    <row r="58581" spans="9:9" x14ac:dyDescent="0.2">
      <c r="I58581" s="137" t="s">
        <v>74</v>
      </c>
    </row>
    <row r="58582" spans="9:9" x14ac:dyDescent="0.2">
      <c r="I58582" s="137" t="s">
        <v>74</v>
      </c>
    </row>
    <row r="58583" spans="9:9" x14ac:dyDescent="0.2">
      <c r="I58583" s="137" t="s">
        <v>74</v>
      </c>
    </row>
    <row r="58584" spans="9:9" x14ac:dyDescent="0.2">
      <c r="I58584" s="137" t="s">
        <v>74</v>
      </c>
    </row>
    <row r="58585" spans="9:9" x14ac:dyDescent="0.2">
      <c r="I58585" s="137" t="s">
        <v>74</v>
      </c>
    </row>
    <row r="58586" spans="9:9" x14ac:dyDescent="0.2">
      <c r="I58586" s="137" t="s">
        <v>74</v>
      </c>
    </row>
    <row r="58587" spans="9:9" x14ac:dyDescent="0.2">
      <c r="I58587" s="137" t="s">
        <v>74</v>
      </c>
    </row>
    <row r="58588" spans="9:9" x14ac:dyDescent="0.2">
      <c r="I58588" s="137" t="s">
        <v>74</v>
      </c>
    </row>
    <row r="58589" spans="9:9" x14ac:dyDescent="0.2">
      <c r="I58589" s="137" t="s">
        <v>74</v>
      </c>
    </row>
    <row r="58590" spans="9:9" x14ac:dyDescent="0.2">
      <c r="I58590" s="137" t="s">
        <v>74</v>
      </c>
    </row>
    <row r="58591" spans="9:9" x14ac:dyDescent="0.2">
      <c r="I58591" s="137" t="s">
        <v>74</v>
      </c>
    </row>
    <row r="58592" spans="9:9" x14ac:dyDescent="0.2">
      <c r="I58592" s="137" t="s">
        <v>74</v>
      </c>
    </row>
    <row r="58593" spans="9:9" x14ac:dyDescent="0.2">
      <c r="I58593" s="137" t="s">
        <v>74</v>
      </c>
    </row>
    <row r="58594" spans="9:9" x14ac:dyDescent="0.2">
      <c r="I58594" s="137" t="s">
        <v>74</v>
      </c>
    </row>
    <row r="58595" spans="9:9" x14ac:dyDescent="0.2">
      <c r="I58595" s="137" t="s">
        <v>74</v>
      </c>
    </row>
    <row r="58596" spans="9:9" x14ac:dyDescent="0.2">
      <c r="I58596" s="137" t="s">
        <v>74</v>
      </c>
    </row>
    <row r="58597" spans="9:9" x14ac:dyDescent="0.2">
      <c r="I58597" s="137" t="s">
        <v>74</v>
      </c>
    </row>
    <row r="58598" spans="9:9" x14ac:dyDescent="0.2">
      <c r="I58598" s="137" t="s">
        <v>74</v>
      </c>
    </row>
    <row r="58599" spans="9:9" x14ac:dyDescent="0.2">
      <c r="I58599" s="137" t="s">
        <v>74</v>
      </c>
    </row>
    <row r="58600" spans="9:9" x14ac:dyDescent="0.2">
      <c r="I58600" s="137" t="s">
        <v>74</v>
      </c>
    </row>
    <row r="58601" spans="9:9" x14ac:dyDescent="0.2">
      <c r="I58601" s="137" t="s">
        <v>74</v>
      </c>
    </row>
    <row r="58602" spans="9:9" x14ac:dyDescent="0.2">
      <c r="I58602" s="137" t="s">
        <v>74</v>
      </c>
    </row>
    <row r="58603" spans="9:9" x14ac:dyDescent="0.2">
      <c r="I58603" s="137" t="s">
        <v>74</v>
      </c>
    </row>
    <row r="58604" spans="9:9" x14ac:dyDescent="0.2">
      <c r="I58604" s="137" t="s">
        <v>74</v>
      </c>
    </row>
    <row r="58605" spans="9:9" x14ac:dyDescent="0.2">
      <c r="I58605" s="137" t="s">
        <v>74</v>
      </c>
    </row>
    <row r="58606" spans="9:9" x14ac:dyDescent="0.2">
      <c r="I58606" s="137" t="s">
        <v>74</v>
      </c>
    </row>
    <row r="58607" spans="9:9" x14ac:dyDescent="0.2">
      <c r="I58607" s="137" t="s">
        <v>74</v>
      </c>
    </row>
    <row r="58608" spans="9:9" x14ac:dyDescent="0.2">
      <c r="I58608" s="137" t="s">
        <v>74</v>
      </c>
    </row>
    <row r="58609" spans="9:9" x14ac:dyDescent="0.2">
      <c r="I58609" s="137" t="s">
        <v>74</v>
      </c>
    </row>
    <row r="58610" spans="9:9" x14ac:dyDescent="0.2">
      <c r="I58610" s="137" t="s">
        <v>74</v>
      </c>
    </row>
    <row r="58611" spans="9:9" x14ac:dyDescent="0.2">
      <c r="I58611" s="137" t="s">
        <v>74</v>
      </c>
    </row>
    <row r="58612" spans="9:9" x14ac:dyDescent="0.2">
      <c r="I58612" s="137" t="s">
        <v>74</v>
      </c>
    </row>
    <row r="58613" spans="9:9" x14ac:dyDescent="0.2">
      <c r="I58613" s="137" t="s">
        <v>74</v>
      </c>
    </row>
    <row r="58614" spans="9:9" x14ac:dyDescent="0.2">
      <c r="I58614" s="137" t="s">
        <v>74</v>
      </c>
    </row>
    <row r="58615" spans="9:9" x14ac:dyDescent="0.2">
      <c r="I58615" s="137" t="s">
        <v>74</v>
      </c>
    </row>
    <row r="58616" spans="9:9" x14ac:dyDescent="0.2">
      <c r="I58616" s="137" t="s">
        <v>74</v>
      </c>
    </row>
    <row r="58617" spans="9:9" x14ac:dyDescent="0.2">
      <c r="I58617" s="137" t="s">
        <v>74</v>
      </c>
    </row>
    <row r="58618" spans="9:9" x14ac:dyDescent="0.2">
      <c r="I58618" s="137" t="s">
        <v>74</v>
      </c>
    </row>
    <row r="58619" spans="9:9" x14ac:dyDescent="0.2">
      <c r="I58619" s="137" t="s">
        <v>74</v>
      </c>
    </row>
    <row r="58620" spans="9:9" x14ac:dyDescent="0.2">
      <c r="I58620" s="137" t="s">
        <v>74</v>
      </c>
    </row>
    <row r="58621" spans="9:9" x14ac:dyDescent="0.2">
      <c r="I58621" s="137" t="s">
        <v>74</v>
      </c>
    </row>
    <row r="58622" spans="9:9" x14ac:dyDescent="0.2">
      <c r="I58622" s="137" t="s">
        <v>74</v>
      </c>
    </row>
    <row r="58623" spans="9:9" x14ac:dyDescent="0.2">
      <c r="I58623" s="137" t="s">
        <v>74</v>
      </c>
    </row>
    <row r="58624" spans="9:9" x14ac:dyDescent="0.2">
      <c r="I58624" s="137" t="s">
        <v>74</v>
      </c>
    </row>
    <row r="58625" spans="9:9" x14ac:dyDescent="0.2">
      <c r="I58625" s="137" t="s">
        <v>74</v>
      </c>
    </row>
    <row r="58626" spans="9:9" x14ac:dyDescent="0.2">
      <c r="I58626" s="137" t="s">
        <v>74</v>
      </c>
    </row>
    <row r="58627" spans="9:9" x14ac:dyDescent="0.2">
      <c r="I58627" s="137" t="s">
        <v>74</v>
      </c>
    </row>
    <row r="58628" spans="9:9" x14ac:dyDescent="0.2">
      <c r="I58628" s="137" t="s">
        <v>74</v>
      </c>
    </row>
    <row r="58629" spans="9:9" x14ac:dyDescent="0.2">
      <c r="I58629" s="137" t="s">
        <v>74</v>
      </c>
    </row>
    <row r="58630" spans="9:9" x14ac:dyDescent="0.2">
      <c r="I58630" s="137" t="s">
        <v>74</v>
      </c>
    </row>
    <row r="58631" spans="9:9" x14ac:dyDescent="0.2">
      <c r="I58631" s="137" t="s">
        <v>74</v>
      </c>
    </row>
    <row r="58632" spans="9:9" x14ac:dyDescent="0.2">
      <c r="I58632" s="137" t="s">
        <v>74</v>
      </c>
    </row>
    <row r="58633" spans="9:9" x14ac:dyDescent="0.2">
      <c r="I58633" s="137" t="s">
        <v>74</v>
      </c>
    </row>
    <row r="58634" spans="9:9" x14ac:dyDescent="0.2">
      <c r="I58634" s="137" t="s">
        <v>74</v>
      </c>
    </row>
    <row r="58635" spans="9:9" x14ac:dyDescent="0.2">
      <c r="I58635" s="137" t="s">
        <v>74</v>
      </c>
    </row>
    <row r="58636" spans="9:9" x14ac:dyDescent="0.2">
      <c r="I58636" s="137" t="s">
        <v>74</v>
      </c>
    </row>
    <row r="58637" spans="9:9" x14ac:dyDescent="0.2">
      <c r="I58637" s="137" t="s">
        <v>74</v>
      </c>
    </row>
    <row r="58638" spans="9:9" x14ac:dyDescent="0.2">
      <c r="I58638" s="137" t="s">
        <v>74</v>
      </c>
    </row>
    <row r="58639" spans="9:9" x14ac:dyDescent="0.2">
      <c r="I58639" s="137" t="s">
        <v>74</v>
      </c>
    </row>
    <row r="58640" spans="9:9" x14ac:dyDescent="0.2">
      <c r="I58640" s="137" t="s">
        <v>74</v>
      </c>
    </row>
    <row r="58641" spans="9:9" x14ac:dyDescent="0.2">
      <c r="I58641" s="137" t="s">
        <v>74</v>
      </c>
    </row>
    <row r="58642" spans="9:9" x14ac:dyDescent="0.2">
      <c r="I58642" s="137" t="s">
        <v>74</v>
      </c>
    </row>
    <row r="58643" spans="9:9" x14ac:dyDescent="0.2">
      <c r="I58643" s="137" t="s">
        <v>74</v>
      </c>
    </row>
    <row r="58644" spans="9:9" x14ac:dyDescent="0.2">
      <c r="I58644" s="137" t="s">
        <v>74</v>
      </c>
    </row>
    <row r="58645" spans="9:9" x14ac:dyDescent="0.2">
      <c r="I58645" s="137" t="s">
        <v>74</v>
      </c>
    </row>
    <row r="58646" spans="9:9" x14ac:dyDescent="0.2">
      <c r="I58646" s="137" t="s">
        <v>74</v>
      </c>
    </row>
    <row r="58647" spans="9:9" x14ac:dyDescent="0.2">
      <c r="I58647" s="137" t="s">
        <v>74</v>
      </c>
    </row>
    <row r="58648" spans="9:9" x14ac:dyDescent="0.2">
      <c r="I58648" s="137" t="s">
        <v>74</v>
      </c>
    </row>
    <row r="58649" spans="9:9" x14ac:dyDescent="0.2">
      <c r="I58649" s="137" t="s">
        <v>74</v>
      </c>
    </row>
    <row r="58650" spans="9:9" x14ac:dyDescent="0.2">
      <c r="I58650" s="137" t="s">
        <v>74</v>
      </c>
    </row>
    <row r="58651" spans="9:9" x14ac:dyDescent="0.2">
      <c r="I58651" s="137" t="s">
        <v>74</v>
      </c>
    </row>
    <row r="58652" spans="9:9" x14ac:dyDescent="0.2">
      <c r="I58652" s="137" t="s">
        <v>74</v>
      </c>
    </row>
    <row r="58653" spans="9:9" x14ac:dyDescent="0.2">
      <c r="I58653" s="137" t="s">
        <v>74</v>
      </c>
    </row>
    <row r="58654" spans="9:9" x14ac:dyDescent="0.2">
      <c r="I58654" s="137" t="s">
        <v>74</v>
      </c>
    </row>
    <row r="58655" spans="9:9" x14ac:dyDescent="0.2">
      <c r="I58655" s="137" t="s">
        <v>74</v>
      </c>
    </row>
    <row r="58656" spans="9:9" x14ac:dyDescent="0.2">
      <c r="I58656" s="137" t="s">
        <v>74</v>
      </c>
    </row>
    <row r="58657" spans="9:9" x14ac:dyDescent="0.2">
      <c r="I58657" s="137" t="s">
        <v>74</v>
      </c>
    </row>
    <row r="58658" spans="9:9" x14ac:dyDescent="0.2">
      <c r="I58658" s="137" t="s">
        <v>74</v>
      </c>
    </row>
    <row r="58659" spans="9:9" x14ac:dyDescent="0.2">
      <c r="I58659" s="137" t="s">
        <v>74</v>
      </c>
    </row>
    <row r="58660" spans="9:9" x14ac:dyDescent="0.2">
      <c r="I58660" s="137" t="s">
        <v>74</v>
      </c>
    </row>
    <row r="58661" spans="9:9" x14ac:dyDescent="0.2">
      <c r="I58661" s="137" t="s">
        <v>74</v>
      </c>
    </row>
    <row r="58662" spans="9:9" x14ac:dyDescent="0.2">
      <c r="I58662" s="137" t="s">
        <v>74</v>
      </c>
    </row>
    <row r="58663" spans="9:9" x14ac:dyDescent="0.2">
      <c r="I58663" s="137" t="s">
        <v>74</v>
      </c>
    </row>
    <row r="58664" spans="9:9" x14ac:dyDescent="0.2">
      <c r="I58664" s="137" t="s">
        <v>74</v>
      </c>
    </row>
    <row r="58665" spans="9:9" x14ac:dyDescent="0.2">
      <c r="I58665" s="137" t="s">
        <v>74</v>
      </c>
    </row>
    <row r="58666" spans="9:9" x14ac:dyDescent="0.2">
      <c r="I58666" s="137" t="s">
        <v>74</v>
      </c>
    </row>
    <row r="58667" spans="9:9" x14ac:dyDescent="0.2">
      <c r="I58667" s="137" t="s">
        <v>74</v>
      </c>
    </row>
    <row r="58668" spans="9:9" x14ac:dyDescent="0.2">
      <c r="I58668" s="137" t="s">
        <v>74</v>
      </c>
    </row>
    <row r="58669" spans="9:9" x14ac:dyDescent="0.2">
      <c r="I58669" s="137" t="s">
        <v>74</v>
      </c>
    </row>
    <row r="58670" spans="9:9" x14ac:dyDescent="0.2">
      <c r="I58670" s="137" t="s">
        <v>74</v>
      </c>
    </row>
    <row r="58671" spans="9:9" x14ac:dyDescent="0.2">
      <c r="I58671" s="137" t="s">
        <v>74</v>
      </c>
    </row>
    <row r="58672" spans="9:9" x14ac:dyDescent="0.2">
      <c r="I58672" s="137" t="s">
        <v>74</v>
      </c>
    </row>
    <row r="58673" spans="9:9" x14ac:dyDescent="0.2">
      <c r="I58673" s="137" t="s">
        <v>74</v>
      </c>
    </row>
    <row r="58674" spans="9:9" x14ac:dyDescent="0.2">
      <c r="I58674" s="137" t="s">
        <v>74</v>
      </c>
    </row>
    <row r="58675" spans="9:9" x14ac:dyDescent="0.2">
      <c r="I58675" s="137" t="s">
        <v>74</v>
      </c>
    </row>
    <row r="58676" spans="9:9" x14ac:dyDescent="0.2">
      <c r="I58676" s="137" t="s">
        <v>74</v>
      </c>
    </row>
    <row r="58677" spans="9:9" x14ac:dyDescent="0.2">
      <c r="I58677" s="137" t="s">
        <v>74</v>
      </c>
    </row>
    <row r="58678" spans="9:9" x14ac:dyDescent="0.2">
      <c r="I58678" s="137" t="s">
        <v>74</v>
      </c>
    </row>
    <row r="58679" spans="9:9" x14ac:dyDescent="0.2">
      <c r="I58679" s="137" t="s">
        <v>74</v>
      </c>
    </row>
    <row r="58680" spans="9:9" x14ac:dyDescent="0.2">
      <c r="I58680" s="137" t="s">
        <v>74</v>
      </c>
    </row>
    <row r="58681" spans="9:9" x14ac:dyDescent="0.2">
      <c r="I58681" s="137" t="s">
        <v>74</v>
      </c>
    </row>
    <row r="58682" spans="9:9" x14ac:dyDescent="0.2">
      <c r="I58682" s="137" t="s">
        <v>74</v>
      </c>
    </row>
    <row r="58683" spans="9:9" x14ac:dyDescent="0.2">
      <c r="I58683" s="137" t="s">
        <v>74</v>
      </c>
    </row>
    <row r="58684" spans="9:9" x14ac:dyDescent="0.2">
      <c r="I58684" s="137" t="s">
        <v>74</v>
      </c>
    </row>
    <row r="58685" spans="9:9" x14ac:dyDescent="0.2">
      <c r="I58685" s="137" t="s">
        <v>74</v>
      </c>
    </row>
    <row r="58686" spans="9:9" x14ac:dyDescent="0.2">
      <c r="I58686" s="137" t="s">
        <v>74</v>
      </c>
    </row>
    <row r="58687" spans="9:9" x14ac:dyDescent="0.2">
      <c r="I58687" s="137" t="s">
        <v>74</v>
      </c>
    </row>
    <row r="58688" spans="9:9" x14ac:dyDescent="0.2">
      <c r="I58688" s="137" t="s">
        <v>74</v>
      </c>
    </row>
    <row r="58689" spans="9:9" x14ac:dyDescent="0.2">
      <c r="I58689" s="137" t="s">
        <v>74</v>
      </c>
    </row>
    <row r="58690" spans="9:9" x14ac:dyDescent="0.2">
      <c r="I58690" s="137" t="s">
        <v>74</v>
      </c>
    </row>
    <row r="58691" spans="9:9" x14ac:dyDescent="0.2">
      <c r="I58691" s="137" t="s">
        <v>74</v>
      </c>
    </row>
    <row r="58692" spans="9:9" x14ac:dyDescent="0.2">
      <c r="I58692" s="137" t="s">
        <v>74</v>
      </c>
    </row>
    <row r="58693" spans="9:9" x14ac:dyDescent="0.2">
      <c r="I58693" s="137" t="s">
        <v>74</v>
      </c>
    </row>
    <row r="58694" spans="9:9" x14ac:dyDescent="0.2">
      <c r="I58694" s="137" t="s">
        <v>74</v>
      </c>
    </row>
    <row r="58695" spans="9:9" x14ac:dyDescent="0.2">
      <c r="I58695" s="137" t="s">
        <v>74</v>
      </c>
    </row>
    <row r="58696" spans="9:9" x14ac:dyDescent="0.2">
      <c r="I58696" s="137" t="s">
        <v>74</v>
      </c>
    </row>
    <row r="58697" spans="9:9" x14ac:dyDescent="0.2">
      <c r="I58697" s="137" t="s">
        <v>74</v>
      </c>
    </row>
    <row r="58698" spans="9:9" x14ac:dyDescent="0.2">
      <c r="I58698" s="137" t="s">
        <v>74</v>
      </c>
    </row>
    <row r="58699" spans="9:9" x14ac:dyDescent="0.2">
      <c r="I58699" s="137" t="s">
        <v>74</v>
      </c>
    </row>
    <row r="58700" spans="9:9" x14ac:dyDescent="0.2">
      <c r="I58700" s="137" t="s">
        <v>74</v>
      </c>
    </row>
    <row r="58701" spans="9:9" x14ac:dyDescent="0.2">
      <c r="I58701" s="137" t="s">
        <v>74</v>
      </c>
    </row>
    <row r="58702" spans="9:9" x14ac:dyDescent="0.2">
      <c r="I58702" s="137" t="s">
        <v>74</v>
      </c>
    </row>
    <row r="58703" spans="9:9" x14ac:dyDescent="0.2">
      <c r="I58703" s="137" t="s">
        <v>74</v>
      </c>
    </row>
    <row r="58704" spans="9:9" x14ac:dyDescent="0.2">
      <c r="I58704" s="137" t="s">
        <v>74</v>
      </c>
    </row>
    <row r="58705" spans="9:9" x14ac:dyDescent="0.2">
      <c r="I58705" s="137" t="s">
        <v>74</v>
      </c>
    </row>
    <row r="58706" spans="9:9" x14ac:dyDescent="0.2">
      <c r="I58706" s="137" t="s">
        <v>74</v>
      </c>
    </row>
    <row r="58707" spans="9:9" x14ac:dyDescent="0.2">
      <c r="I58707" s="137" t="s">
        <v>74</v>
      </c>
    </row>
    <row r="58708" spans="9:9" x14ac:dyDescent="0.2">
      <c r="I58708" s="137" t="s">
        <v>74</v>
      </c>
    </row>
    <row r="58709" spans="9:9" x14ac:dyDescent="0.2">
      <c r="I58709" s="137" t="s">
        <v>74</v>
      </c>
    </row>
    <row r="58710" spans="9:9" x14ac:dyDescent="0.2">
      <c r="I58710" s="137" t="s">
        <v>74</v>
      </c>
    </row>
    <row r="58711" spans="9:9" x14ac:dyDescent="0.2">
      <c r="I58711" s="137" t="s">
        <v>74</v>
      </c>
    </row>
    <row r="58712" spans="9:9" x14ac:dyDescent="0.2">
      <c r="I58712" s="137" t="s">
        <v>74</v>
      </c>
    </row>
    <row r="58713" spans="9:9" x14ac:dyDescent="0.2">
      <c r="I58713" s="137" t="s">
        <v>74</v>
      </c>
    </row>
    <row r="58714" spans="9:9" x14ac:dyDescent="0.2">
      <c r="I58714" s="137" t="s">
        <v>74</v>
      </c>
    </row>
    <row r="58715" spans="9:9" x14ac:dyDescent="0.2">
      <c r="I58715" s="137" t="s">
        <v>74</v>
      </c>
    </row>
    <row r="58716" spans="9:9" x14ac:dyDescent="0.2">
      <c r="I58716" s="137" t="s">
        <v>74</v>
      </c>
    </row>
    <row r="58717" spans="9:9" x14ac:dyDescent="0.2">
      <c r="I58717" s="137" t="s">
        <v>74</v>
      </c>
    </row>
    <row r="58718" spans="9:9" x14ac:dyDescent="0.2">
      <c r="I58718" s="137" t="s">
        <v>74</v>
      </c>
    </row>
    <row r="58719" spans="9:9" x14ac:dyDescent="0.2">
      <c r="I58719" s="137" t="s">
        <v>74</v>
      </c>
    </row>
    <row r="58720" spans="9:9" x14ac:dyDescent="0.2">
      <c r="I58720" s="137" t="s">
        <v>74</v>
      </c>
    </row>
    <row r="58721" spans="9:9" x14ac:dyDescent="0.2">
      <c r="I58721" s="137" t="s">
        <v>74</v>
      </c>
    </row>
    <row r="58722" spans="9:9" x14ac:dyDescent="0.2">
      <c r="I58722" s="137" t="s">
        <v>74</v>
      </c>
    </row>
    <row r="58723" spans="9:9" x14ac:dyDescent="0.2">
      <c r="I58723" s="137" t="s">
        <v>74</v>
      </c>
    </row>
    <row r="58724" spans="9:9" x14ac:dyDescent="0.2">
      <c r="I58724" s="137" t="s">
        <v>74</v>
      </c>
    </row>
    <row r="58725" spans="9:9" x14ac:dyDescent="0.2">
      <c r="I58725" s="137" t="s">
        <v>74</v>
      </c>
    </row>
    <row r="58726" spans="9:9" x14ac:dyDescent="0.2">
      <c r="I58726" s="137" t="s">
        <v>74</v>
      </c>
    </row>
    <row r="58727" spans="9:9" x14ac:dyDescent="0.2">
      <c r="I58727" s="137" t="s">
        <v>74</v>
      </c>
    </row>
    <row r="58728" spans="9:9" x14ac:dyDescent="0.2">
      <c r="I58728" s="137" t="s">
        <v>74</v>
      </c>
    </row>
    <row r="58729" spans="9:9" x14ac:dyDescent="0.2">
      <c r="I58729" s="137" t="s">
        <v>74</v>
      </c>
    </row>
    <row r="58730" spans="9:9" x14ac:dyDescent="0.2">
      <c r="I58730" s="137" t="s">
        <v>74</v>
      </c>
    </row>
    <row r="58731" spans="9:9" x14ac:dyDescent="0.2">
      <c r="I58731" s="137" t="s">
        <v>74</v>
      </c>
    </row>
    <row r="58732" spans="9:9" x14ac:dyDescent="0.2">
      <c r="I58732" s="137" t="s">
        <v>74</v>
      </c>
    </row>
    <row r="58733" spans="9:9" x14ac:dyDescent="0.2">
      <c r="I58733" s="137" t="s">
        <v>74</v>
      </c>
    </row>
    <row r="58734" spans="9:9" x14ac:dyDescent="0.2">
      <c r="I58734" s="137" t="s">
        <v>74</v>
      </c>
    </row>
    <row r="58735" spans="9:9" x14ac:dyDescent="0.2">
      <c r="I58735" s="137" t="s">
        <v>74</v>
      </c>
    </row>
    <row r="58736" spans="9:9" x14ac:dyDescent="0.2">
      <c r="I58736" s="137" t="s">
        <v>74</v>
      </c>
    </row>
    <row r="58737" spans="9:9" x14ac:dyDescent="0.2">
      <c r="I58737" s="137" t="s">
        <v>74</v>
      </c>
    </row>
    <row r="58738" spans="9:9" x14ac:dyDescent="0.2">
      <c r="I58738" s="137" t="s">
        <v>74</v>
      </c>
    </row>
    <row r="58739" spans="9:9" x14ac:dyDescent="0.2">
      <c r="I58739" s="137" t="s">
        <v>74</v>
      </c>
    </row>
    <row r="58740" spans="9:9" x14ac:dyDescent="0.2">
      <c r="I58740" s="137" t="s">
        <v>74</v>
      </c>
    </row>
    <row r="58741" spans="9:9" x14ac:dyDescent="0.2">
      <c r="I58741" s="137" t="s">
        <v>74</v>
      </c>
    </row>
    <row r="58742" spans="9:9" x14ac:dyDescent="0.2">
      <c r="I58742" s="137" t="s">
        <v>74</v>
      </c>
    </row>
    <row r="58743" spans="9:9" x14ac:dyDescent="0.2">
      <c r="I58743" s="137" t="s">
        <v>74</v>
      </c>
    </row>
    <row r="58744" spans="9:9" x14ac:dyDescent="0.2">
      <c r="I58744" s="137" t="s">
        <v>74</v>
      </c>
    </row>
    <row r="58745" spans="9:9" x14ac:dyDescent="0.2">
      <c r="I58745" s="137" t="s">
        <v>74</v>
      </c>
    </row>
    <row r="58746" spans="9:9" x14ac:dyDescent="0.2">
      <c r="I58746" s="137" t="s">
        <v>74</v>
      </c>
    </row>
    <row r="58747" spans="9:9" x14ac:dyDescent="0.2">
      <c r="I58747" s="137" t="s">
        <v>74</v>
      </c>
    </row>
    <row r="58748" spans="9:9" x14ac:dyDescent="0.2">
      <c r="I58748" s="137" t="s">
        <v>74</v>
      </c>
    </row>
    <row r="58749" spans="9:9" x14ac:dyDescent="0.2">
      <c r="I58749" s="137" t="s">
        <v>74</v>
      </c>
    </row>
    <row r="58750" spans="9:9" x14ac:dyDescent="0.2">
      <c r="I58750" s="137" t="s">
        <v>74</v>
      </c>
    </row>
    <row r="58751" spans="9:9" x14ac:dyDescent="0.2">
      <c r="I58751" s="137" t="s">
        <v>74</v>
      </c>
    </row>
    <row r="58752" spans="9:9" x14ac:dyDescent="0.2">
      <c r="I58752" s="137" t="s">
        <v>74</v>
      </c>
    </row>
    <row r="58753" spans="9:9" x14ac:dyDescent="0.2">
      <c r="I58753" s="137" t="s">
        <v>74</v>
      </c>
    </row>
    <row r="58754" spans="9:9" x14ac:dyDescent="0.2">
      <c r="I58754" s="137" t="s">
        <v>74</v>
      </c>
    </row>
    <row r="58755" spans="9:9" x14ac:dyDescent="0.2">
      <c r="I58755" s="137" t="s">
        <v>74</v>
      </c>
    </row>
    <row r="58756" spans="9:9" x14ac:dyDescent="0.2">
      <c r="I58756" s="137" t="s">
        <v>74</v>
      </c>
    </row>
    <row r="58757" spans="9:9" x14ac:dyDescent="0.2">
      <c r="I58757" s="137" t="s">
        <v>74</v>
      </c>
    </row>
    <row r="58758" spans="9:9" x14ac:dyDescent="0.2">
      <c r="I58758" s="137" t="s">
        <v>74</v>
      </c>
    </row>
    <row r="58759" spans="9:9" x14ac:dyDescent="0.2">
      <c r="I58759" s="137" t="s">
        <v>74</v>
      </c>
    </row>
    <row r="58760" spans="9:9" x14ac:dyDescent="0.2">
      <c r="I58760" s="137" t="s">
        <v>74</v>
      </c>
    </row>
    <row r="58761" spans="9:9" x14ac:dyDescent="0.2">
      <c r="I58761" s="137" t="s">
        <v>74</v>
      </c>
    </row>
    <row r="58762" spans="9:9" x14ac:dyDescent="0.2">
      <c r="I58762" s="137" t="s">
        <v>74</v>
      </c>
    </row>
    <row r="58763" spans="9:9" x14ac:dyDescent="0.2">
      <c r="I58763" s="137" t="s">
        <v>74</v>
      </c>
    </row>
    <row r="58764" spans="9:9" x14ac:dyDescent="0.2">
      <c r="I58764" s="137" t="s">
        <v>74</v>
      </c>
    </row>
    <row r="58765" spans="9:9" x14ac:dyDescent="0.2">
      <c r="I58765" s="137" t="s">
        <v>74</v>
      </c>
    </row>
    <row r="58766" spans="9:9" x14ac:dyDescent="0.2">
      <c r="I58766" s="137" t="s">
        <v>74</v>
      </c>
    </row>
    <row r="58767" spans="9:9" x14ac:dyDescent="0.2">
      <c r="I58767" s="137" t="s">
        <v>74</v>
      </c>
    </row>
    <row r="58768" spans="9:9" x14ac:dyDescent="0.2">
      <c r="I58768" s="137" t="s">
        <v>74</v>
      </c>
    </row>
    <row r="58769" spans="9:9" x14ac:dyDescent="0.2">
      <c r="I58769" s="137" t="s">
        <v>74</v>
      </c>
    </row>
    <row r="58770" spans="9:9" x14ac:dyDescent="0.2">
      <c r="I58770" s="137" t="s">
        <v>74</v>
      </c>
    </row>
    <row r="58771" spans="9:9" x14ac:dyDescent="0.2">
      <c r="I58771" s="137" t="s">
        <v>74</v>
      </c>
    </row>
    <row r="58772" spans="9:9" x14ac:dyDescent="0.2">
      <c r="I58772" s="137" t="s">
        <v>74</v>
      </c>
    </row>
    <row r="58773" spans="9:9" x14ac:dyDescent="0.2">
      <c r="I58773" s="137" t="s">
        <v>74</v>
      </c>
    </row>
    <row r="58774" spans="9:9" x14ac:dyDescent="0.2">
      <c r="I58774" s="137" t="s">
        <v>74</v>
      </c>
    </row>
    <row r="58775" spans="9:9" x14ac:dyDescent="0.2">
      <c r="I58775" s="137" t="s">
        <v>74</v>
      </c>
    </row>
    <row r="58776" spans="9:9" x14ac:dyDescent="0.2">
      <c r="I58776" s="137" t="s">
        <v>74</v>
      </c>
    </row>
    <row r="58777" spans="9:9" x14ac:dyDescent="0.2">
      <c r="I58777" s="137" t="s">
        <v>74</v>
      </c>
    </row>
    <row r="58778" spans="9:9" x14ac:dyDescent="0.2">
      <c r="I58778" s="137" t="s">
        <v>74</v>
      </c>
    </row>
    <row r="58779" spans="9:9" x14ac:dyDescent="0.2">
      <c r="I58779" s="137" t="s">
        <v>74</v>
      </c>
    </row>
    <row r="58780" spans="9:9" x14ac:dyDescent="0.2">
      <c r="I58780" s="137" t="s">
        <v>74</v>
      </c>
    </row>
    <row r="58781" spans="9:9" x14ac:dyDescent="0.2">
      <c r="I58781" s="137" t="s">
        <v>74</v>
      </c>
    </row>
    <row r="58782" spans="9:9" x14ac:dyDescent="0.2">
      <c r="I58782" s="137" t="s">
        <v>74</v>
      </c>
    </row>
    <row r="58783" spans="9:9" x14ac:dyDescent="0.2">
      <c r="I58783" s="137" t="s">
        <v>74</v>
      </c>
    </row>
    <row r="58784" spans="9:9" x14ac:dyDescent="0.2">
      <c r="I58784" s="137" t="s">
        <v>74</v>
      </c>
    </row>
    <row r="58785" spans="9:9" x14ac:dyDescent="0.2">
      <c r="I58785" s="137" t="s">
        <v>74</v>
      </c>
    </row>
    <row r="58786" spans="9:9" x14ac:dyDescent="0.2">
      <c r="I58786" s="137" t="s">
        <v>74</v>
      </c>
    </row>
    <row r="58787" spans="9:9" x14ac:dyDescent="0.2">
      <c r="I58787" s="137" t="s">
        <v>74</v>
      </c>
    </row>
    <row r="58788" spans="9:9" x14ac:dyDescent="0.2">
      <c r="I58788" s="137" t="s">
        <v>74</v>
      </c>
    </row>
    <row r="58789" spans="9:9" x14ac:dyDescent="0.2">
      <c r="I58789" s="137" t="s">
        <v>74</v>
      </c>
    </row>
    <row r="58790" spans="9:9" x14ac:dyDescent="0.2">
      <c r="I58790" s="137" t="s">
        <v>74</v>
      </c>
    </row>
    <row r="58791" spans="9:9" x14ac:dyDescent="0.2">
      <c r="I58791" s="137" t="s">
        <v>74</v>
      </c>
    </row>
    <row r="58792" spans="9:9" x14ac:dyDescent="0.2">
      <c r="I58792" s="137" t="s">
        <v>74</v>
      </c>
    </row>
    <row r="58793" spans="9:9" x14ac:dyDescent="0.2">
      <c r="I58793" s="137" t="s">
        <v>74</v>
      </c>
    </row>
    <row r="58794" spans="9:9" x14ac:dyDescent="0.2">
      <c r="I58794" s="137" t="s">
        <v>74</v>
      </c>
    </row>
    <row r="58795" spans="9:9" x14ac:dyDescent="0.2">
      <c r="I58795" s="137" t="s">
        <v>74</v>
      </c>
    </row>
    <row r="58796" spans="9:9" x14ac:dyDescent="0.2">
      <c r="I58796" s="137" t="s">
        <v>74</v>
      </c>
    </row>
    <row r="58797" spans="9:9" x14ac:dyDescent="0.2">
      <c r="I58797" s="137" t="s">
        <v>74</v>
      </c>
    </row>
    <row r="58798" spans="9:9" x14ac:dyDescent="0.2">
      <c r="I58798" s="137" t="s">
        <v>74</v>
      </c>
    </row>
    <row r="58799" spans="9:9" x14ac:dyDescent="0.2">
      <c r="I58799" s="137" t="s">
        <v>74</v>
      </c>
    </row>
    <row r="58800" spans="9:9" x14ac:dyDescent="0.2">
      <c r="I58800" s="137" t="s">
        <v>74</v>
      </c>
    </row>
    <row r="58801" spans="9:9" x14ac:dyDescent="0.2">
      <c r="I58801" s="137" t="s">
        <v>74</v>
      </c>
    </row>
    <row r="58802" spans="9:9" x14ac:dyDescent="0.2">
      <c r="I58802" s="137" t="s">
        <v>74</v>
      </c>
    </row>
    <row r="58803" spans="9:9" x14ac:dyDescent="0.2">
      <c r="I58803" s="137" t="s">
        <v>74</v>
      </c>
    </row>
    <row r="58804" spans="9:9" x14ac:dyDescent="0.2">
      <c r="I58804" s="137" t="s">
        <v>74</v>
      </c>
    </row>
    <row r="58805" spans="9:9" x14ac:dyDescent="0.2">
      <c r="I58805" s="137" t="s">
        <v>74</v>
      </c>
    </row>
    <row r="58806" spans="9:9" x14ac:dyDescent="0.2">
      <c r="I58806" s="137" t="s">
        <v>74</v>
      </c>
    </row>
    <row r="58807" spans="9:9" x14ac:dyDescent="0.2">
      <c r="I58807" s="137" t="s">
        <v>74</v>
      </c>
    </row>
    <row r="58808" spans="9:9" x14ac:dyDescent="0.2">
      <c r="I58808" s="137" t="s">
        <v>74</v>
      </c>
    </row>
    <row r="58809" spans="9:9" x14ac:dyDescent="0.2">
      <c r="I58809" s="137" t="s">
        <v>74</v>
      </c>
    </row>
    <row r="58810" spans="9:9" x14ac:dyDescent="0.2">
      <c r="I58810" s="137" t="s">
        <v>74</v>
      </c>
    </row>
    <row r="58811" spans="9:9" x14ac:dyDescent="0.2">
      <c r="I58811" s="137" t="s">
        <v>74</v>
      </c>
    </row>
    <row r="58812" spans="9:9" x14ac:dyDescent="0.2">
      <c r="I58812" s="137" t="s">
        <v>74</v>
      </c>
    </row>
    <row r="58813" spans="9:9" x14ac:dyDescent="0.2">
      <c r="I58813" s="137" t="s">
        <v>74</v>
      </c>
    </row>
    <row r="58814" spans="9:9" x14ac:dyDescent="0.2">
      <c r="I58814" s="137" t="s">
        <v>74</v>
      </c>
    </row>
    <row r="58815" spans="9:9" x14ac:dyDescent="0.2">
      <c r="I58815" s="137" t="s">
        <v>74</v>
      </c>
    </row>
    <row r="58816" spans="9:9" x14ac:dyDescent="0.2">
      <c r="I58816" s="137" t="s">
        <v>74</v>
      </c>
    </row>
    <row r="58817" spans="9:9" x14ac:dyDescent="0.2">
      <c r="I58817" s="137" t="s">
        <v>74</v>
      </c>
    </row>
    <row r="58818" spans="9:9" x14ac:dyDescent="0.2">
      <c r="I58818" s="137" t="s">
        <v>74</v>
      </c>
    </row>
    <row r="58819" spans="9:9" x14ac:dyDescent="0.2">
      <c r="I58819" s="137" t="s">
        <v>74</v>
      </c>
    </row>
    <row r="58820" spans="9:9" x14ac:dyDescent="0.2">
      <c r="I58820" s="137" t="s">
        <v>74</v>
      </c>
    </row>
    <row r="58821" spans="9:9" x14ac:dyDescent="0.2">
      <c r="I58821" s="137" t="s">
        <v>74</v>
      </c>
    </row>
    <row r="58822" spans="9:9" x14ac:dyDescent="0.2">
      <c r="I58822" s="137" t="s">
        <v>74</v>
      </c>
    </row>
    <row r="58823" spans="9:9" x14ac:dyDescent="0.2">
      <c r="I58823" s="137" t="s">
        <v>74</v>
      </c>
    </row>
    <row r="58824" spans="9:9" x14ac:dyDescent="0.2">
      <c r="I58824" s="137" t="s">
        <v>74</v>
      </c>
    </row>
    <row r="58825" spans="9:9" x14ac:dyDescent="0.2">
      <c r="I58825" s="137" t="s">
        <v>74</v>
      </c>
    </row>
    <row r="58826" spans="9:9" x14ac:dyDescent="0.2">
      <c r="I58826" s="137" t="s">
        <v>74</v>
      </c>
    </row>
    <row r="58827" spans="9:9" x14ac:dyDescent="0.2">
      <c r="I58827" s="137" t="s">
        <v>74</v>
      </c>
    </row>
    <row r="58828" spans="9:9" x14ac:dyDescent="0.2">
      <c r="I58828" s="137" t="s">
        <v>74</v>
      </c>
    </row>
    <row r="58829" spans="9:9" x14ac:dyDescent="0.2">
      <c r="I58829" s="137" t="s">
        <v>74</v>
      </c>
    </row>
    <row r="58830" spans="9:9" x14ac:dyDescent="0.2">
      <c r="I58830" s="137" t="s">
        <v>74</v>
      </c>
    </row>
    <row r="58831" spans="9:9" x14ac:dyDescent="0.2">
      <c r="I58831" s="137" t="s">
        <v>74</v>
      </c>
    </row>
    <row r="58832" spans="9:9" x14ac:dyDescent="0.2">
      <c r="I58832" s="137" t="s">
        <v>74</v>
      </c>
    </row>
    <row r="58833" spans="9:9" x14ac:dyDescent="0.2">
      <c r="I58833" s="137" t="s">
        <v>74</v>
      </c>
    </row>
    <row r="58834" spans="9:9" x14ac:dyDescent="0.2">
      <c r="I58834" s="137" t="s">
        <v>74</v>
      </c>
    </row>
    <row r="58835" spans="9:9" x14ac:dyDescent="0.2">
      <c r="I58835" s="137" t="s">
        <v>74</v>
      </c>
    </row>
    <row r="58836" spans="9:9" x14ac:dyDescent="0.2">
      <c r="I58836" s="137" t="s">
        <v>74</v>
      </c>
    </row>
    <row r="58837" spans="9:9" x14ac:dyDescent="0.2">
      <c r="I58837" s="137" t="s">
        <v>74</v>
      </c>
    </row>
    <row r="58838" spans="9:9" x14ac:dyDescent="0.2">
      <c r="I58838" s="137" t="s">
        <v>74</v>
      </c>
    </row>
    <row r="58839" spans="9:9" x14ac:dyDescent="0.2">
      <c r="I58839" s="137" t="s">
        <v>74</v>
      </c>
    </row>
    <row r="58840" spans="9:9" x14ac:dyDescent="0.2">
      <c r="I58840" s="137" t="s">
        <v>74</v>
      </c>
    </row>
    <row r="58841" spans="9:9" x14ac:dyDescent="0.2">
      <c r="I58841" s="137" t="s">
        <v>74</v>
      </c>
    </row>
    <row r="58842" spans="9:9" x14ac:dyDescent="0.2">
      <c r="I58842" s="137" t="s">
        <v>74</v>
      </c>
    </row>
    <row r="58843" spans="9:9" x14ac:dyDescent="0.2">
      <c r="I58843" s="137" t="s">
        <v>74</v>
      </c>
    </row>
    <row r="58844" spans="9:9" x14ac:dyDescent="0.2">
      <c r="I58844" s="137" t="s">
        <v>74</v>
      </c>
    </row>
    <row r="58845" spans="9:9" x14ac:dyDescent="0.2">
      <c r="I58845" s="137" t="s">
        <v>74</v>
      </c>
    </row>
    <row r="58846" spans="9:9" x14ac:dyDescent="0.2">
      <c r="I58846" s="137" t="s">
        <v>74</v>
      </c>
    </row>
    <row r="58847" spans="9:9" x14ac:dyDescent="0.2">
      <c r="I58847" s="137" t="s">
        <v>74</v>
      </c>
    </row>
    <row r="58848" spans="9:9" x14ac:dyDescent="0.2">
      <c r="I58848" s="137" t="s">
        <v>74</v>
      </c>
    </row>
    <row r="58849" spans="9:9" x14ac:dyDescent="0.2">
      <c r="I58849" s="137" t="s">
        <v>74</v>
      </c>
    </row>
    <row r="58850" spans="9:9" x14ac:dyDescent="0.2">
      <c r="I58850" s="137" t="s">
        <v>74</v>
      </c>
    </row>
    <row r="58851" spans="9:9" x14ac:dyDescent="0.2">
      <c r="I58851" s="137" t="s">
        <v>74</v>
      </c>
    </row>
    <row r="58852" spans="9:9" x14ac:dyDescent="0.2">
      <c r="I58852" s="137" t="s">
        <v>74</v>
      </c>
    </row>
    <row r="58853" spans="9:9" x14ac:dyDescent="0.2">
      <c r="I58853" s="137" t="s">
        <v>74</v>
      </c>
    </row>
    <row r="58854" spans="9:9" x14ac:dyDescent="0.2">
      <c r="I58854" s="137" t="s">
        <v>74</v>
      </c>
    </row>
    <row r="58855" spans="9:9" x14ac:dyDescent="0.2">
      <c r="I58855" s="137" t="s">
        <v>74</v>
      </c>
    </row>
    <row r="58856" spans="9:9" x14ac:dyDescent="0.2">
      <c r="I58856" s="137" t="s">
        <v>74</v>
      </c>
    </row>
    <row r="58857" spans="9:9" x14ac:dyDescent="0.2">
      <c r="I58857" s="137" t="s">
        <v>74</v>
      </c>
    </row>
    <row r="58858" spans="9:9" x14ac:dyDescent="0.2">
      <c r="I58858" s="137" t="s">
        <v>74</v>
      </c>
    </row>
    <row r="58859" spans="9:9" x14ac:dyDescent="0.2">
      <c r="I58859" s="137" t="s">
        <v>74</v>
      </c>
    </row>
    <row r="58860" spans="9:9" x14ac:dyDescent="0.2">
      <c r="I58860" s="137" t="s">
        <v>74</v>
      </c>
    </row>
    <row r="58861" spans="9:9" x14ac:dyDescent="0.2">
      <c r="I58861" s="137" t="s">
        <v>74</v>
      </c>
    </row>
    <row r="58862" spans="9:9" x14ac:dyDescent="0.2">
      <c r="I58862" s="137" t="s">
        <v>74</v>
      </c>
    </row>
    <row r="58863" spans="9:9" x14ac:dyDescent="0.2">
      <c r="I58863" s="137" t="s">
        <v>74</v>
      </c>
    </row>
    <row r="58864" spans="9:9" x14ac:dyDescent="0.2">
      <c r="I58864" s="137" t="s">
        <v>74</v>
      </c>
    </row>
    <row r="58865" spans="9:9" x14ac:dyDescent="0.2">
      <c r="I58865" s="137" t="s">
        <v>74</v>
      </c>
    </row>
    <row r="58866" spans="9:9" x14ac:dyDescent="0.2">
      <c r="I58866" s="137" t="s">
        <v>74</v>
      </c>
    </row>
    <row r="58867" spans="9:9" x14ac:dyDescent="0.2">
      <c r="I58867" s="137" t="s">
        <v>74</v>
      </c>
    </row>
    <row r="58868" spans="9:9" x14ac:dyDescent="0.2">
      <c r="I58868" s="137" t="s">
        <v>74</v>
      </c>
    </row>
    <row r="58869" spans="9:9" x14ac:dyDescent="0.2">
      <c r="I58869" s="137" t="s">
        <v>74</v>
      </c>
    </row>
    <row r="58870" spans="9:9" x14ac:dyDescent="0.2">
      <c r="I58870" s="137" t="s">
        <v>74</v>
      </c>
    </row>
    <row r="58871" spans="9:9" x14ac:dyDescent="0.2">
      <c r="I58871" s="137" t="s">
        <v>74</v>
      </c>
    </row>
    <row r="58872" spans="9:9" x14ac:dyDescent="0.2">
      <c r="I58872" s="137" t="s">
        <v>74</v>
      </c>
    </row>
    <row r="58873" spans="9:9" x14ac:dyDescent="0.2">
      <c r="I58873" s="137" t="s">
        <v>74</v>
      </c>
    </row>
    <row r="58874" spans="9:9" x14ac:dyDescent="0.2">
      <c r="I58874" s="137" t="s">
        <v>74</v>
      </c>
    </row>
    <row r="58875" spans="9:9" x14ac:dyDescent="0.2">
      <c r="I58875" s="137" t="s">
        <v>74</v>
      </c>
    </row>
    <row r="58876" spans="9:9" x14ac:dyDescent="0.2">
      <c r="I58876" s="137" t="s">
        <v>74</v>
      </c>
    </row>
    <row r="58877" spans="9:9" x14ac:dyDescent="0.2">
      <c r="I58877" s="137" t="s">
        <v>74</v>
      </c>
    </row>
    <row r="58878" spans="9:9" x14ac:dyDescent="0.2">
      <c r="I58878" s="137" t="s">
        <v>74</v>
      </c>
    </row>
    <row r="58879" spans="9:9" x14ac:dyDescent="0.2">
      <c r="I58879" s="137" t="s">
        <v>74</v>
      </c>
    </row>
    <row r="58880" spans="9:9" x14ac:dyDescent="0.2">
      <c r="I58880" s="137" t="s">
        <v>74</v>
      </c>
    </row>
    <row r="58881" spans="9:9" x14ac:dyDescent="0.2">
      <c r="I58881" s="137" t="s">
        <v>74</v>
      </c>
    </row>
    <row r="58882" spans="9:9" x14ac:dyDescent="0.2">
      <c r="I58882" s="137" t="s">
        <v>74</v>
      </c>
    </row>
    <row r="58883" spans="9:9" x14ac:dyDescent="0.2">
      <c r="I58883" s="137" t="s">
        <v>74</v>
      </c>
    </row>
    <row r="58884" spans="9:9" x14ac:dyDescent="0.2">
      <c r="I58884" s="137" t="s">
        <v>74</v>
      </c>
    </row>
    <row r="58885" spans="9:9" x14ac:dyDescent="0.2">
      <c r="I58885" s="137" t="s">
        <v>74</v>
      </c>
    </row>
    <row r="58886" spans="9:9" x14ac:dyDescent="0.2">
      <c r="I58886" s="137" t="s">
        <v>74</v>
      </c>
    </row>
    <row r="58887" spans="9:9" x14ac:dyDescent="0.2">
      <c r="I58887" s="137" t="s">
        <v>74</v>
      </c>
    </row>
    <row r="58888" spans="9:9" x14ac:dyDescent="0.2">
      <c r="I58888" s="137" t="s">
        <v>74</v>
      </c>
    </row>
    <row r="58889" spans="9:9" x14ac:dyDescent="0.2">
      <c r="I58889" s="137" t="s">
        <v>74</v>
      </c>
    </row>
    <row r="58890" spans="9:9" x14ac:dyDescent="0.2">
      <c r="I58890" s="137" t="s">
        <v>74</v>
      </c>
    </row>
    <row r="58891" spans="9:9" x14ac:dyDescent="0.2">
      <c r="I58891" s="137" t="s">
        <v>74</v>
      </c>
    </row>
    <row r="58892" spans="9:9" x14ac:dyDescent="0.2">
      <c r="I58892" s="137" t="s">
        <v>74</v>
      </c>
    </row>
    <row r="58893" spans="9:9" x14ac:dyDescent="0.2">
      <c r="I58893" s="137" t="s">
        <v>74</v>
      </c>
    </row>
    <row r="58894" spans="9:9" x14ac:dyDescent="0.2">
      <c r="I58894" s="137" t="s">
        <v>74</v>
      </c>
    </row>
    <row r="58895" spans="9:9" x14ac:dyDescent="0.2">
      <c r="I58895" s="137" t="s">
        <v>74</v>
      </c>
    </row>
    <row r="58896" spans="9:9" x14ac:dyDescent="0.2">
      <c r="I58896" s="137" t="s">
        <v>74</v>
      </c>
    </row>
    <row r="58897" spans="9:9" x14ac:dyDescent="0.2">
      <c r="I58897" s="137" t="s">
        <v>74</v>
      </c>
    </row>
    <row r="58898" spans="9:9" x14ac:dyDescent="0.2">
      <c r="I58898" s="137" t="s">
        <v>74</v>
      </c>
    </row>
    <row r="58899" spans="9:9" x14ac:dyDescent="0.2">
      <c r="I58899" s="137" t="s">
        <v>74</v>
      </c>
    </row>
    <row r="58900" spans="9:9" x14ac:dyDescent="0.2">
      <c r="I58900" s="137" t="s">
        <v>74</v>
      </c>
    </row>
    <row r="58901" spans="9:9" x14ac:dyDescent="0.2">
      <c r="I58901" s="137" t="s">
        <v>74</v>
      </c>
    </row>
    <row r="58902" spans="9:9" x14ac:dyDescent="0.2">
      <c r="I58902" s="137" t="s">
        <v>74</v>
      </c>
    </row>
    <row r="58903" spans="9:9" x14ac:dyDescent="0.2">
      <c r="I58903" s="137" t="s">
        <v>74</v>
      </c>
    </row>
    <row r="58904" spans="9:9" x14ac:dyDescent="0.2">
      <c r="I58904" s="137" t="s">
        <v>74</v>
      </c>
    </row>
    <row r="58905" spans="9:9" x14ac:dyDescent="0.2">
      <c r="I58905" s="137" t="s">
        <v>74</v>
      </c>
    </row>
    <row r="58906" spans="9:9" x14ac:dyDescent="0.2">
      <c r="I58906" s="137" t="s">
        <v>74</v>
      </c>
    </row>
    <row r="58907" spans="9:9" x14ac:dyDescent="0.2">
      <c r="I58907" s="137" t="s">
        <v>74</v>
      </c>
    </row>
    <row r="58908" spans="9:9" x14ac:dyDescent="0.2">
      <c r="I58908" s="137" t="s">
        <v>74</v>
      </c>
    </row>
    <row r="58909" spans="9:9" x14ac:dyDescent="0.2">
      <c r="I58909" s="137" t="s">
        <v>74</v>
      </c>
    </row>
    <row r="58910" spans="9:9" x14ac:dyDescent="0.2">
      <c r="I58910" s="137" t="s">
        <v>74</v>
      </c>
    </row>
    <row r="58911" spans="9:9" x14ac:dyDescent="0.2">
      <c r="I58911" s="137" t="s">
        <v>74</v>
      </c>
    </row>
    <row r="58912" spans="9:9" x14ac:dyDescent="0.2">
      <c r="I58912" s="137" t="s">
        <v>74</v>
      </c>
    </row>
    <row r="58913" spans="9:9" x14ac:dyDescent="0.2">
      <c r="I58913" s="137" t="s">
        <v>74</v>
      </c>
    </row>
    <row r="58914" spans="9:9" x14ac:dyDescent="0.2">
      <c r="I58914" s="137" t="s">
        <v>74</v>
      </c>
    </row>
    <row r="58915" spans="9:9" x14ac:dyDescent="0.2">
      <c r="I58915" s="137" t="s">
        <v>74</v>
      </c>
    </row>
    <row r="58916" spans="9:9" x14ac:dyDescent="0.2">
      <c r="I58916" s="137" t="s">
        <v>74</v>
      </c>
    </row>
    <row r="58917" spans="9:9" x14ac:dyDescent="0.2">
      <c r="I58917" s="137" t="s">
        <v>74</v>
      </c>
    </row>
    <row r="58918" spans="9:9" x14ac:dyDescent="0.2">
      <c r="I58918" s="137" t="s">
        <v>74</v>
      </c>
    </row>
    <row r="58919" spans="9:9" x14ac:dyDescent="0.2">
      <c r="I58919" s="137" t="s">
        <v>74</v>
      </c>
    </row>
    <row r="58920" spans="9:9" x14ac:dyDescent="0.2">
      <c r="I58920" s="137" t="s">
        <v>74</v>
      </c>
    </row>
    <row r="58921" spans="9:9" x14ac:dyDescent="0.2">
      <c r="I58921" s="137" t="s">
        <v>74</v>
      </c>
    </row>
    <row r="58922" spans="9:9" x14ac:dyDescent="0.2">
      <c r="I58922" s="137" t="s">
        <v>74</v>
      </c>
    </row>
    <row r="58923" spans="9:9" x14ac:dyDescent="0.2">
      <c r="I58923" s="137" t="s">
        <v>74</v>
      </c>
    </row>
    <row r="58924" spans="9:9" x14ac:dyDescent="0.2">
      <c r="I58924" s="137" t="s">
        <v>74</v>
      </c>
    </row>
    <row r="58925" spans="9:9" x14ac:dyDescent="0.2">
      <c r="I58925" s="137" t="s">
        <v>74</v>
      </c>
    </row>
    <row r="58926" spans="9:9" x14ac:dyDescent="0.2">
      <c r="I58926" s="137" t="s">
        <v>74</v>
      </c>
    </row>
    <row r="58927" spans="9:9" x14ac:dyDescent="0.2">
      <c r="I58927" s="137" t="s">
        <v>74</v>
      </c>
    </row>
    <row r="58928" spans="9:9" x14ac:dyDescent="0.2">
      <c r="I58928" s="137" t="s">
        <v>74</v>
      </c>
    </row>
    <row r="58929" spans="9:9" x14ac:dyDescent="0.2">
      <c r="I58929" s="137" t="s">
        <v>74</v>
      </c>
    </row>
    <row r="58930" spans="9:9" x14ac:dyDescent="0.2">
      <c r="I58930" s="137" t="s">
        <v>74</v>
      </c>
    </row>
    <row r="58931" spans="9:9" x14ac:dyDescent="0.2">
      <c r="I58931" s="137" t="s">
        <v>74</v>
      </c>
    </row>
    <row r="58932" spans="9:9" x14ac:dyDescent="0.2">
      <c r="I58932" s="137" t="s">
        <v>74</v>
      </c>
    </row>
    <row r="58933" spans="9:9" x14ac:dyDescent="0.2">
      <c r="I58933" s="137" t="s">
        <v>74</v>
      </c>
    </row>
    <row r="58934" spans="9:9" x14ac:dyDescent="0.2">
      <c r="I58934" s="137" t="s">
        <v>74</v>
      </c>
    </row>
    <row r="58935" spans="9:9" x14ac:dyDescent="0.2">
      <c r="I58935" s="137" t="s">
        <v>74</v>
      </c>
    </row>
    <row r="58936" spans="9:9" x14ac:dyDescent="0.2">
      <c r="I58936" s="137" t="s">
        <v>74</v>
      </c>
    </row>
    <row r="58937" spans="9:9" x14ac:dyDescent="0.2">
      <c r="I58937" s="137" t="s">
        <v>74</v>
      </c>
    </row>
    <row r="58938" spans="9:9" x14ac:dyDescent="0.2">
      <c r="I58938" s="137" t="s">
        <v>74</v>
      </c>
    </row>
    <row r="58939" spans="9:9" x14ac:dyDescent="0.2">
      <c r="I58939" s="137" t="s">
        <v>74</v>
      </c>
    </row>
    <row r="58940" spans="9:9" x14ac:dyDescent="0.2">
      <c r="I58940" s="137" t="s">
        <v>74</v>
      </c>
    </row>
    <row r="58941" spans="9:9" x14ac:dyDescent="0.2">
      <c r="I58941" s="137" t="s">
        <v>74</v>
      </c>
    </row>
    <row r="58942" spans="9:9" x14ac:dyDescent="0.2">
      <c r="I58942" s="137" t="s">
        <v>74</v>
      </c>
    </row>
    <row r="58943" spans="9:9" x14ac:dyDescent="0.2">
      <c r="I58943" s="137" t="s">
        <v>74</v>
      </c>
    </row>
    <row r="58944" spans="9:9" x14ac:dyDescent="0.2">
      <c r="I58944" s="137" t="s">
        <v>74</v>
      </c>
    </row>
    <row r="58945" spans="9:9" x14ac:dyDescent="0.2">
      <c r="I58945" s="137" t="s">
        <v>74</v>
      </c>
    </row>
    <row r="58946" spans="9:9" x14ac:dyDescent="0.2">
      <c r="I58946" s="137" t="s">
        <v>74</v>
      </c>
    </row>
    <row r="58947" spans="9:9" x14ac:dyDescent="0.2">
      <c r="I58947" s="137" t="s">
        <v>74</v>
      </c>
    </row>
    <row r="58948" spans="9:9" x14ac:dyDescent="0.2">
      <c r="I58948" s="137" t="s">
        <v>74</v>
      </c>
    </row>
    <row r="58949" spans="9:9" x14ac:dyDescent="0.2">
      <c r="I58949" s="137" t="s">
        <v>74</v>
      </c>
    </row>
    <row r="58950" spans="9:9" x14ac:dyDescent="0.2">
      <c r="I58950" s="137" t="s">
        <v>74</v>
      </c>
    </row>
    <row r="58951" spans="9:9" x14ac:dyDescent="0.2">
      <c r="I58951" s="137" t="s">
        <v>74</v>
      </c>
    </row>
    <row r="58952" spans="9:9" x14ac:dyDescent="0.2">
      <c r="I58952" s="137" t="s">
        <v>74</v>
      </c>
    </row>
    <row r="58953" spans="9:9" x14ac:dyDescent="0.2">
      <c r="I58953" s="137" t="s">
        <v>74</v>
      </c>
    </row>
    <row r="58954" spans="9:9" x14ac:dyDescent="0.2">
      <c r="I58954" s="137" t="s">
        <v>74</v>
      </c>
    </row>
    <row r="58955" spans="9:9" x14ac:dyDescent="0.2">
      <c r="I58955" s="137" t="s">
        <v>74</v>
      </c>
    </row>
    <row r="58956" spans="9:9" x14ac:dyDescent="0.2">
      <c r="I58956" s="137" t="s">
        <v>74</v>
      </c>
    </row>
    <row r="58957" spans="9:9" x14ac:dyDescent="0.2">
      <c r="I58957" s="137" t="s">
        <v>74</v>
      </c>
    </row>
    <row r="58958" spans="9:9" x14ac:dyDescent="0.2">
      <c r="I58958" s="137" t="s">
        <v>74</v>
      </c>
    </row>
    <row r="58959" spans="9:9" x14ac:dyDescent="0.2">
      <c r="I58959" s="137" t="s">
        <v>74</v>
      </c>
    </row>
    <row r="58960" spans="9:9" x14ac:dyDescent="0.2">
      <c r="I58960" s="137" t="s">
        <v>74</v>
      </c>
    </row>
    <row r="58961" spans="9:9" x14ac:dyDescent="0.2">
      <c r="I58961" s="137" t="s">
        <v>74</v>
      </c>
    </row>
    <row r="58962" spans="9:9" x14ac:dyDescent="0.2">
      <c r="I58962" s="137" t="s">
        <v>74</v>
      </c>
    </row>
    <row r="58963" spans="9:9" x14ac:dyDescent="0.2">
      <c r="I58963" s="137" t="s">
        <v>74</v>
      </c>
    </row>
    <row r="58964" spans="9:9" x14ac:dyDescent="0.2">
      <c r="I58964" s="137" t="s">
        <v>74</v>
      </c>
    </row>
    <row r="58965" spans="9:9" x14ac:dyDescent="0.2">
      <c r="I58965" s="137" t="s">
        <v>74</v>
      </c>
    </row>
    <row r="58966" spans="9:9" x14ac:dyDescent="0.2">
      <c r="I58966" s="137" t="s">
        <v>74</v>
      </c>
    </row>
    <row r="58967" spans="9:9" x14ac:dyDescent="0.2">
      <c r="I58967" s="137" t="s">
        <v>74</v>
      </c>
    </row>
    <row r="58968" spans="9:9" x14ac:dyDescent="0.2">
      <c r="I58968" s="137" t="s">
        <v>74</v>
      </c>
    </row>
    <row r="58969" spans="9:9" x14ac:dyDescent="0.2">
      <c r="I58969" s="137" t="s">
        <v>74</v>
      </c>
    </row>
    <row r="58970" spans="9:9" x14ac:dyDescent="0.2">
      <c r="I58970" s="137" t="s">
        <v>74</v>
      </c>
    </row>
    <row r="58971" spans="9:9" x14ac:dyDescent="0.2">
      <c r="I58971" s="137" t="s">
        <v>74</v>
      </c>
    </row>
    <row r="58972" spans="9:9" x14ac:dyDescent="0.2">
      <c r="I58972" s="137" t="s">
        <v>74</v>
      </c>
    </row>
    <row r="58973" spans="9:9" x14ac:dyDescent="0.2">
      <c r="I58973" s="137" t="s">
        <v>74</v>
      </c>
    </row>
    <row r="58974" spans="9:9" x14ac:dyDescent="0.2">
      <c r="I58974" s="137" t="s">
        <v>74</v>
      </c>
    </row>
    <row r="58975" spans="9:9" x14ac:dyDescent="0.2">
      <c r="I58975" s="137" t="s">
        <v>74</v>
      </c>
    </row>
    <row r="58976" spans="9:9" x14ac:dyDescent="0.2">
      <c r="I58976" s="137" t="s">
        <v>74</v>
      </c>
    </row>
    <row r="58977" spans="9:9" x14ac:dyDescent="0.2">
      <c r="I58977" s="137" t="s">
        <v>74</v>
      </c>
    </row>
    <row r="58978" spans="9:9" x14ac:dyDescent="0.2">
      <c r="I58978" s="137" t="s">
        <v>74</v>
      </c>
    </row>
    <row r="58979" spans="9:9" x14ac:dyDescent="0.2">
      <c r="I58979" s="137" t="s">
        <v>74</v>
      </c>
    </row>
    <row r="58980" spans="9:9" x14ac:dyDescent="0.2">
      <c r="I58980" s="137" t="s">
        <v>74</v>
      </c>
    </row>
    <row r="58981" spans="9:9" x14ac:dyDescent="0.2">
      <c r="I58981" s="137" t="s">
        <v>74</v>
      </c>
    </row>
    <row r="58982" spans="9:9" x14ac:dyDescent="0.2">
      <c r="I58982" s="137" t="s">
        <v>74</v>
      </c>
    </row>
    <row r="58983" spans="9:9" x14ac:dyDescent="0.2">
      <c r="I58983" s="137" t="s">
        <v>74</v>
      </c>
    </row>
    <row r="58984" spans="9:9" x14ac:dyDescent="0.2">
      <c r="I58984" s="137" t="s">
        <v>74</v>
      </c>
    </row>
    <row r="58985" spans="9:9" x14ac:dyDescent="0.2">
      <c r="I58985" s="137" t="s">
        <v>74</v>
      </c>
    </row>
    <row r="58986" spans="9:9" x14ac:dyDescent="0.2">
      <c r="I58986" s="137" t="s">
        <v>74</v>
      </c>
    </row>
    <row r="58987" spans="9:9" x14ac:dyDescent="0.2">
      <c r="I58987" s="137" t="s">
        <v>74</v>
      </c>
    </row>
    <row r="58988" spans="9:9" x14ac:dyDescent="0.2">
      <c r="I58988" s="137" t="s">
        <v>74</v>
      </c>
    </row>
    <row r="58989" spans="9:9" x14ac:dyDescent="0.2">
      <c r="I58989" s="137" t="s">
        <v>74</v>
      </c>
    </row>
    <row r="58990" spans="9:9" x14ac:dyDescent="0.2">
      <c r="I58990" s="137" t="s">
        <v>74</v>
      </c>
    </row>
    <row r="58991" spans="9:9" x14ac:dyDescent="0.2">
      <c r="I58991" s="137" t="s">
        <v>74</v>
      </c>
    </row>
    <row r="58992" spans="9:9" x14ac:dyDescent="0.2">
      <c r="I58992" s="137" t="s">
        <v>74</v>
      </c>
    </row>
    <row r="58993" spans="9:9" x14ac:dyDescent="0.2">
      <c r="I58993" s="137" t="s">
        <v>74</v>
      </c>
    </row>
    <row r="58994" spans="9:9" x14ac:dyDescent="0.2">
      <c r="I58994" s="137" t="s">
        <v>74</v>
      </c>
    </row>
    <row r="58995" spans="9:9" x14ac:dyDescent="0.2">
      <c r="I58995" s="137" t="s">
        <v>74</v>
      </c>
    </row>
    <row r="58996" spans="9:9" x14ac:dyDescent="0.2">
      <c r="I58996" s="137" t="s">
        <v>74</v>
      </c>
    </row>
    <row r="58997" spans="9:9" x14ac:dyDescent="0.2">
      <c r="I58997" s="137" t="s">
        <v>74</v>
      </c>
    </row>
    <row r="58998" spans="9:9" x14ac:dyDescent="0.2">
      <c r="I58998" s="137" t="s">
        <v>74</v>
      </c>
    </row>
    <row r="58999" spans="9:9" x14ac:dyDescent="0.2">
      <c r="I58999" s="137" t="s">
        <v>74</v>
      </c>
    </row>
    <row r="59000" spans="9:9" x14ac:dyDescent="0.2">
      <c r="I59000" s="137" t="s">
        <v>74</v>
      </c>
    </row>
    <row r="59001" spans="9:9" x14ac:dyDescent="0.2">
      <c r="I59001" s="137" t="s">
        <v>74</v>
      </c>
    </row>
    <row r="59002" spans="9:9" x14ac:dyDescent="0.2">
      <c r="I59002" s="137" t="s">
        <v>74</v>
      </c>
    </row>
    <row r="59003" spans="9:9" x14ac:dyDescent="0.2">
      <c r="I59003" s="137" t="s">
        <v>74</v>
      </c>
    </row>
    <row r="59004" spans="9:9" x14ac:dyDescent="0.2">
      <c r="I59004" s="137" t="s">
        <v>74</v>
      </c>
    </row>
    <row r="59005" spans="9:9" x14ac:dyDescent="0.2">
      <c r="I59005" s="137" t="s">
        <v>74</v>
      </c>
    </row>
    <row r="59006" spans="9:9" x14ac:dyDescent="0.2">
      <c r="I59006" s="137" t="s">
        <v>74</v>
      </c>
    </row>
    <row r="59007" spans="9:9" x14ac:dyDescent="0.2">
      <c r="I59007" s="137" t="s">
        <v>74</v>
      </c>
    </row>
    <row r="59008" spans="9:9" x14ac:dyDescent="0.2">
      <c r="I59008" s="137" t="s">
        <v>74</v>
      </c>
    </row>
    <row r="59009" spans="9:9" x14ac:dyDescent="0.2">
      <c r="I59009" s="137" t="s">
        <v>74</v>
      </c>
    </row>
    <row r="59010" spans="9:9" x14ac:dyDescent="0.2">
      <c r="I59010" s="137" t="s">
        <v>74</v>
      </c>
    </row>
    <row r="59011" spans="9:9" x14ac:dyDescent="0.2">
      <c r="I59011" s="137" t="s">
        <v>74</v>
      </c>
    </row>
    <row r="59012" spans="9:9" x14ac:dyDescent="0.2">
      <c r="I59012" s="137" t="s">
        <v>74</v>
      </c>
    </row>
    <row r="59013" spans="9:9" x14ac:dyDescent="0.2">
      <c r="I59013" s="137" t="s">
        <v>74</v>
      </c>
    </row>
    <row r="59014" spans="9:9" x14ac:dyDescent="0.2">
      <c r="I59014" s="137" t="s">
        <v>74</v>
      </c>
    </row>
    <row r="59015" spans="9:9" x14ac:dyDescent="0.2">
      <c r="I59015" s="137" t="s">
        <v>74</v>
      </c>
    </row>
    <row r="59016" spans="9:9" x14ac:dyDescent="0.2">
      <c r="I59016" s="137" t="s">
        <v>74</v>
      </c>
    </row>
    <row r="59017" spans="9:9" x14ac:dyDescent="0.2">
      <c r="I59017" s="137" t="s">
        <v>74</v>
      </c>
    </row>
    <row r="59018" spans="9:9" x14ac:dyDescent="0.2">
      <c r="I59018" s="137" t="s">
        <v>74</v>
      </c>
    </row>
    <row r="59019" spans="9:9" x14ac:dyDescent="0.2">
      <c r="I59019" s="137" t="s">
        <v>74</v>
      </c>
    </row>
    <row r="59020" spans="9:9" x14ac:dyDescent="0.2">
      <c r="I59020" s="137" t="s">
        <v>74</v>
      </c>
    </row>
    <row r="59021" spans="9:9" x14ac:dyDescent="0.2">
      <c r="I59021" s="137" t="s">
        <v>74</v>
      </c>
    </row>
    <row r="59022" spans="9:9" x14ac:dyDescent="0.2">
      <c r="I59022" s="137" t="s">
        <v>74</v>
      </c>
    </row>
    <row r="59023" spans="9:9" x14ac:dyDescent="0.2">
      <c r="I59023" s="137" t="s">
        <v>74</v>
      </c>
    </row>
    <row r="59024" spans="9:9" x14ac:dyDescent="0.2">
      <c r="I59024" s="137" t="s">
        <v>74</v>
      </c>
    </row>
    <row r="59025" spans="9:9" x14ac:dyDescent="0.2">
      <c r="I59025" s="137" t="s">
        <v>74</v>
      </c>
    </row>
    <row r="59026" spans="9:9" x14ac:dyDescent="0.2">
      <c r="I59026" s="137" t="s">
        <v>74</v>
      </c>
    </row>
    <row r="59027" spans="9:9" x14ac:dyDescent="0.2">
      <c r="I59027" s="137" t="s">
        <v>74</v>
      </c>
    </row>
    <row r="59028" spans="9:9" x14ac:dyDescent="0.2">
      <c r="I59028" s="137" t="s">
        <v>74</v>
      </c>
    </row>
    <row r="59029" spans="9:9" x14ac:dyDescent="0.2">
      <c r="I59029" s="137" t="s">
        <v>74</v>
      </c>
    </row>
    <row r="59030" spans="9:9" x14ac:dyDescent="0.2">
      <c r="I59030" s="137" t="s">
        <v>74</v>
      </c>
    </row>
    <row r="59031" spans="9:9" x14ac:dyDescent="0.2">
      <c r="I59031" s="137" t="s">
        <v>74</v>
      </c>
    </row>
    <row r="59032" spans="9:9" x14ac:dyDescent="0.2">
      <c r="I59032" s="137" t="s">
        <v>74</v>
      </c>
    </row>
    <row r="59033" spans="9:9" x14ac:dyDescent="0.2">
      <c r="I59033" s="137" t="s">
        <v>74</v>
      </c>
    </row>
    <row r="59034" spans="9:9" x14ac:dyDescent="0.2">
      <c r="I59034" s="137" t="s">
        <v>74</v>
      </c>
    </row>
    <row r="59035" spans="9:9" x14ac:dyDescent="0.2">
      <c r="I59035" s="137" t="s">
        <v>74</v>
      </c>
    </row>
    <row r="59036" spans="9:9" x14ac:dyDescent="0.2">
      <c r="I59036" s="137" t="s">
        <v>74</v>
      </c>
    </row>
    <row r="59037" spans="9:9" x14ac:dyDescent="0.2">
      <c r="I59037" s="137" t="s">
        <v>74</v>
      </c>
    </row>
    <row r="59038" spans="9:9" x14ac:dyDescent="0.2">
      <c r="I59038" s="137" t="s">
        <v>74</v>
      </c>
    </row>
    <row r="59039" spans="9:9" x14ac:dyDescent="0.2">
      <c r="I59039" s="137" t="s">
        <v>74</v>
      </c>
    </row>
    <row r="59040" spans="9:9" x14ac:dyDescent="0.2">
      <c r="I59040" s="137" t="s">
        <v>74</v>
      </c>
    </row>
    <row r="59041" spans="9:9" x14ac:dyDescent="0.2">
      <c r="I59041" s="137" t="s">
        <v>74</v>
      </c>
    </row>
    <row r="59042" spans="9:9" x14ac:dyDescent="0.2">
      <c r="I59042" s="137" t="s">
        <v>74</v>
      </c>
    </row>
    <row r="59043" spans="9:9" x14ac:dyDescent="0.2">
      <c r="I59043" s="137" t="s">
        <v>74</v>
      </c>
    </row>
    <row r="59044" spans="9:9" x14ac:dyDescent="0.2">
      <c r="I59044" s="137" t="s">
        <v>74</v>
      </c>
    </row>
    <row r="59045" spans="9:9" x14ac:dyDescent="0.2">
      <c r="I59045" s="137" t="s">
        <v>74</v>
      </c>
    </row>
    <row r="59046" spans="9:9" x14ac:dyDescent="0.2">
      <c r="I59046" s="137" t="s">
        <v>74</v>
      </c>
    </row>
    <row r="59047" spans="9:9" x14ac:dyDescent="0.2">
      <c r="I59047" s="137" t="s">
        <v>74</v>
      </c>
    </row>
    <row r="59048" spans="9:9" x14ac:dyDescent="0.2">
      <c r="I59048" s="137" t="s">
        <v>74</v>
      </c>
    </row>
    <row r="59049" spans="9:9" x14ac:dyDescent="0.2">
      <c r="I59049" s="137" t="s">
        <v>74</v>
      </c>
    </row>
    <row r="59050" spans="9:9" x14ac:dyDescent="0.2">
      <c r="I59050" s="137" t="s">
        <v>74</v>
      </c>
    </row>
    <row r="59051" spans="9:9" x14ac:dyDescent="0.2">
      <c r="I59051" s="137" t="s">
        <v>74</v>
      </c>
    </row>
    <row r="59052" spans="9:9" x14ac:dyDescent="0.2">
      <c r="I59052" s="137" t="s">
        <v>74</v>
      </c>
    </row>
    <row r="59053" spans="9:9" x14ac:dyDescent="0.2">
      <c r="I59053" s="137" t="s">
        <v>74</v>
      </c>
    </row>
    <row r="59054" spans="9:9" x14ac:dyDescent="0.2">
      <c r="I59054" s="137" t="s">
        <v>74</v>
      </c>
    </row>
    <row r="59055" spans="9:9" x14ac:dyDescent="0.2">
      <c r="I59055" s="137" t="s">
        <v>74</v>
      </c>
    </row>
    <row r="59056" spans="9:9" x14ac:dyDescent="0.2">
      <c r="I59056" s="137" t="s">
        <v>74</v>
      </c>
    </row>
    <row r="59057" spans="9:9" x14ac:dyDescent="0.2">
      <c r="I59057" s="137" t="s">
        <v>74</v>
      </c>
    </row>
    <row r="59058" spans="9:9" x14ac:dyDescent="0.2">
      <c r="I59058" s="137" t="s">
        <v>74</v>
      </c>
    </row>
    <row r="59059" spans="9:9" x14ac:dyDescent="0.2">
      <c r="I59059" s="137" t="s">
        <v>74</v>
      </c>
    </row>
    <row r="59060" spans="9:9" x14ac:dyDescent="0.2">
      <c r="I59060" s="137" t="s">
        <v>74</v>
      </c>
    </row>
    <row r="59061" spans="9:9" x14ac:dyDescent="0.2">
      <c r="I59061" s="137" t="s">
        <v>74</v>
      </c>
    </row>
    <row r="59062" spans="9:9" x14ac:dyDescent="0.2">
      <c r="I59062" s="137" t="s">
        <v>74</v>
      </c>
    </row>
    <row r="59063" spans="9:9" x14ac:dyDescent="0.2">
      <c r="I59063" s="137" t="s">
        <v>74</v>
      </c>
    </row>
    <row r="59064" spans="9:9" x14ac:dyDescent="0.2">
      <c r="I59064" s="137" t="s">
        <v>74</v>
      </c>
    </row>
    <row r="59065" spans="9:9" x14ac:dyDescent="0.2">
      <c r="I59065" s="137" t="s">
        <v>74</v>
      </c>
    </row>
    <row r="59066" spans="9:9" x14ac:dyDescent="0.2">
      <c r="I59066" s="137" t="s">
        <v>74</v>
      </c>
    </row>
    <row r="59067" spans="9:9" x14ac:dyDescent="0.2">
      <c r="I59067" s="137" t="s">
        <v>74</v>
      </c>
    </row>
    <row r="59068" spans="9:9" x14ac:dyDescent="0.2">
      <c r="I59068" s="137" t="s">
        <v>74</v>
      </c>
    </row>
    <row r="59069" spans="9:9" x14ac:dyDescent="0.2">
      <c r="I59069" s="137" t="s">
        <v>74</v>
      </c>
    </row>
    <row r="59070" spans="9:9" x14ac:dyDescent="0.2">
      <c r="I59070" s="137" t="s">
        <v>74</v>
      </c>
    </row>
    <row r="59071" spans="9:9" x14ac:dyDescent="0.2">
      <c r="I59071" s="137" t="s">
        <v>74</v>
      </c>
    </row>
    <row r="59072" spans="9:9" x14ac:dyDescent="0.2">
      <c r="I59072" s="137" t="s">
        <v>74</v>
      </c>
    </row>
    <row r="59073" spans="9:9" x14ac:dyDescent="0.2">
      <c r="I59073" s="137" t="s">
        <v>74</v>
      </c>
    </row>
    <row r="59074" spans="9:9" x14ac:dyDescent="0.2">
      <c r="I59074" s="137" t="s">
        <v>74</v>
      </c>
    </row>
    <row r="59075" spans="9:9" x14ac:dyDescent="0.2">
      <c r="I59075" s="137" t="s">
        <v>74</v>
      </c>
    </row>
    <row r="59076" spans="9:9" x14ac:dyDescent="0.2">
      <c r="I59076" s="137" t="s">
        <v>74</v>
      </c>
    </row>
    <row r="59077" spans="9:9" x14ac:dyDescent="0.2">
      <c r="I59077" s="137" t="s">
        <v>74</v>
      </c>
    </row>
    <row r="59078" spans="9:9" x14ac:dyDescent="0.2">
      <c r="I59078" s="137" t="s">
        <v>74</v>
      </c>
    </row>
    <row r="59079" spans="9:9" x14ac:dyDescent="0.2">
      <c r="I59079" s="137" t="s">
        <v>74</v>
      </c>
    </row>
    <row r="59080" spans="9:9" x14ac:dyDescent="0.2">
      <c r="I59080" s="137" t="s">
        <v>74</v>
      </c>
    </row>
    <row r="59081" spans="9:9" x14ac:dyDescent="0.2">
      <c r="I59081" s="137" t="s">
        <v>74</v>
      </c>
    </row>
    <row r="59082" spans="9:9" x14ac:dyDescent="0.2">
      <c r="I59082" s="137" t="s">
        <v>74</v>
      </c>
    </row>
    <row r="59083" spans="9:9" x14ac:dyDescent="0.2">
      <c r="I59083" s="137" t="s">
        <v>74</v>
      </c>
    </row>
    <row r="59084" spans="9:9" x14ac:dyDescent="0.2">
      <c r="I59084" s="137" t="s">
        <v>74</v>
      </c>
    </row>
    <row r="59085" spans="9:9" x14ac:dyDescent="0.2">
      <c r="I59085" s="137" t="s">
        <v>74</v>
      </c>
    </row>
    <row r="59086" spans="9:9" x14ac:dyDescent="0.2">
      <c r="I59086" s="137" t="s">
        <v>74</v>
      </c>
    </row>
    <row r="59087" spans="9:9" x14ac:dyDescent="0.2">
      <c r="I59087" s="137" t="s">
        <v>74</v>
      </c>
    </row>
    <row r="59088" spans="9:9" x14ac:dyDescent="0.2">
      <c r="I59088" s="137" t="s">
        <v>74</v>
      </c>
    </row>
    <row r="59089" spans="9:9" x14ac:dyDescent="0.2">
      <c r="I59089" s="137" t="s">
        <v>74</v>
      </c>
    </row>
    <row r="59090" spans="9:9" x14ac:dyDescent="0.2">
      <c r="I59090" s="137" t="s">
        <v>74</v>
      </c>
    </row>
    <row r="59091" spans="9:9" x14ac:dyDescent="0.2">
      <c r="I59091" s="137" t="s">
        <v>74</v>
      </c>
    </row>
    <row r="59092" spans="9:9" x14ac:dyDescent="0.2">
      <c r="I59092" s="137" t="s">
        <v>74</v>
      </c>
    </row>
    <row r="59093" spans="9:9" x14ac:dyDescent="0.2">
      <c r="I59093" s="137" t="s">
        <v>74</v>
      </c>
    </row>
    <row r="59094" spans="9:9" x14ac:dyDescent="0.2">
      <c r="I59094" s="137" t="s">
        <v>74</v>
      </c>
    </row>
    <row r="59095" spans="9:9" x14ac:dyDescent="0.2">
      <c r="I59095" s="137" t="s">
        <v>74</v>
      </c>
    </row>
    <row r="59096" spans="9:9" x14ac:dyDescent="0.2">
      <c r="I59096" s="137" t="s">
        <v>74</v>
      </c>
    </row>
    <row r="59097" spans="9:9" x14ac:dyDescent="0.2">
      <c r="I59097" s="137" t="s">
        <v>74</v>
      </c>
    </row>
    <row r="59098" spans="9:9" x14ac:dyDescent="0.2">
      <c r="I59098" s="137" t="s">
        <v>74</v>
      </c>
    </row>
    <row r="59099" spans="9:9" x14ac:dyDescent="0.2">
      <c r="I59099" s="137" t="s">
        <v>74</v>
      </c>
    </row>
    <row r="59100" spans="9:9" x14ac:dyDescent="0.2">
      <c r="I59100" s="137" t="s">
        <v>74</v>
      </c>
    </row>
    <row r="59101" spans="9:9" x14ac:dyDescent="0.2">
      <c r="I59101" s="137" t="s">
        <v>74</v>
      </c>
    </row>
    <row r="59102" spans="9:9" x14ac:dyDescent="0.2">
      <c r="I59102" s="137" t="s">
        <v>74</v>
      </c>
    </row>
    <row r="59103" spans="9:9" x14ac:dyDescent="0.2">
      <c r="I59103" s="137" t="s">
        <v>74</v>
      </c>
    </row>
    <row r="59104" spans="9:9" x14ac:dyDescent="0.2">
      <c r="I59104" s="137" t="s">
        <v>74</v>
      </c>
    </row>
    <row r="59105" spans="9:9" x14ac:dyDescent="0.2">
      <c r="I59105" s="137" t="s">
        <v>74</v>
      </c>
    </row>
    <row r="59106" spans="9:9" x14ac:dyDescent="0.2">
      <c r="I59106" s="137" t="s">
        <v>74</v>
      </c>
    </row>
    <row r="59107" spans="9:9" x14ac:dyDescent="0.2">
      <c r="I59107" s="137" t="s">
        <v>74</v>
      </c>
    </row>
    <row r="59108" spans="9:9" x14ac:dyDescent="0.2">
      <c r="I59108" s="137" t="s">
        <v>74</v>
      </c>
    </row>
    <row r="59109" spans="9:9" x14ac:dyDescent="0.2">
      <c r="I59109" s="137" t="s">
        <v>74</v>
      </c>
    </row>
    <row r="59110" spans="9:9" x14ac:dyDescent="0.2">
      <c r="I59110" s="137" t="s">
        <v>74</v>
      </c>
    </row>
    <row r="59111" spans="9:9" x14ac:dyDescent="0.2">
      <c r="I59111" s="137" t="s">
        <v>74</v>
      </c>
    </row>
    <row r="59112" spans="9:9" x14ac:dyDescent="0.2">
      <c r="I59112" s="137" t="s">
        <v>74</v>
      </c>
    </row>
    <row r="59113" spans="9:9" x14ac:dyDescent="0.2">
      <c r="I59113" s="137" t="s">
        <v>74</v>
      </c>
    </row>
    <row r="59114" spans="9:9" x14ac:dyDescent="0.2">
      <c r="I59114" s="137" t="s">
        <v>74</v>
      </c>
    </row>
    <row r="59115" spans="9:9" x14ac:dyDescent="0.2">
      <c r="I59115" s="137" t="s">
        <v>74</v>
      </c>
    </row>
    <row r="59116" spans="9:9" x14ac:dyDescent="0.2">
      <c r="I59116" s="137" t="s">
        <v>74</v>
      </c>
    </row>
    <row r="59117" spans="9:9" x14ac:dyDescent="0.2">
      <c r="I59117" s="137" t="s">
        <v>74</v>
      </c>
    </row>
    <row r="59118" spans="9:9" x14ac:dyDescent="0.2">
      <c r="I59118" s="137" t="s">
        <v>74</v>
      </c>
    </row>
    <row r="59119" spans="9:9" x14ac:dyDescent="0.2">
      <c r="I59119" s="137" t="s">
        <v>74</v>
      </c>
    </row>
    <row r="59120" spans="9:9" x14ac:dyDescent="0.2">
      <c r="I59120" s="137" t="s">
        <v>74</v>
      </c>
    </row>
    <row r="59121" spans="9:9" x14ac:dyDescent="0.2">
      <c r="I59121" s="137" t="s">
        <v>74</v>
      </c>
    </row>
    <row r="59122" spans="9:9" x14ac:dyDescent="0.2">
      <c r="I59122" s="137" t="s">
        <v>74</v>
      </c>
    </row>
    <row r="59123" spans="9:9" x14ac:dyDescent="0.2">
      <c r="I59123" s="137" t="s">
        <v>74</v>
      </c>
    </row>
    <row r="59124" spans="9:9" x14ac:dyDescent="0.2">
      <c r="I59124" s="137" t="s">
        <v>74</v>
      </c>
    </row>
    <row r="59125" spans="9:9" x14ac:dyDescent="0.2">
      <c r="I59125" s="137" t="s">
        <v>74</v>
      </c>
    </row>
    <row r="59126" spans="9:9" x14ac:dyDescent="0.2">
      <c r="I59126" s="137" t="s">
        <v>74</v>
      </c>
    </row>
    <row r="59127" spans="9:9" x14ac:dyDescent="0.2">
      <c r="I59127" s="137" t="s">
        <v>74</v>
      </c>
    </row>
    <row r="59128" spans="9:9" x14ac:dyDescent="0.2">
      <c r="I59128" s="137" t="s">
        <v>74</v>
      </c>
    </row>
    <row r="59129" spans="9:9" x14ac:dyDescent="0.2">
      <c r="I59129" s="137" t="s">
        <v>74</v>
      </c>
    </row>
    <row r="59130" spans="9:9" x14ac:dyDescent="0.2">
      <c r="I59130" s="137" t="s">
        <v>74</v>
      </c>
    </row>
    <row r="59131" spans="9:9" x14ac:dyDescent="0.2">
      <c r="I59131" s="137" t="s">
        <v>74</v>
      </c>
    </row>
    <row r="59132" spans="9:9" x14ac:dyDescent="0.2">
      <c r="I59132" s="137" t="s">
        <v>74</v>
      </c>
    </row>
    <row r="59133" spans="9:9" x14ac:dyDescent="0.2">
      <c r="I59133" s="137" t="s">
        <v>74</v>
      </c>
    </row>
    <row r="59134" spans="9:9" x14ac:dyDescent="0.2">
      <c r="I59134" s="137" t="s">
        <v>74</v>
      </c>
    </row>
    <row r="59135" spans="9:9" x14ac:dyDescent="0.2">
      <c r="I59135" s="137" t="s">
        <v>74</v>
      </c>
    </row>
    <row r="59136" spans="9:9" x14ac:dyDescent="0.2">
      <c r="I59136" s="137" t="s">
        <v>74</v>
      </c>
    </row>
    <row r="59137" spans="9:9" x14ac:dyDescent="0.2">
      <c r="I59137" s="137" t="s">
        <v>74</v>
      </c>
    </row>
    <row r="59138" spans="9:9" x14ac:dyDescent="0.2">
      <c r="I59138" s="137" t="s">
        <v>74</v>
      </c>
    </row>
    <row r="59139" spans="9:9" x14ac:dyDescent="0.2">
      <c r="I59139" s="137" t="s">
        <v>74</v>
      </c>
    </row>
    <row r="59140" spans="9:9" x14ac:dyDescent="0.2">
      <c r="I59140" s="137" t="s">
        <v>74</v>
      </c>
    </row>
    <row r="59141" spans="9:9" x14ac:dyDescent="0.2">
      <c r="I59141" s="137" t="s">
        <v>74</v>
      </c>
    </row>
    <row r="59142" spans="9:9" x14ac:dyDescent="0.2">
      <c r="I59142" s="137" t="s">
        <v>74</v>
      </c>
    </row>
    <row r="59143" spans="9:9" x14ac:dyDescent="0.2">
      <c r="I59143" s="137" t="s">
        <v>74</v>
      </c>
    </row>
    <row r="59144" spans="9:9" x14ac:dyDescent="0.2">
      <c r="I59144" s="137" t="s">
        <v>74</v>
      </c>
    </row>
    <row r="59145" spans="9:9" x14ac:dyDescent="0.2">
      <c r="I59145" s="137" t="s">
        <v>74</v>
      </c>
    </row>
    <row r="59146" spans="9:9" x14ac:dyDescent="0.2">
      <c r="I59146" s="137" t="s">
        <v>74</v>
      </c>
    </row>
    <row r="59147" spans="9:9" x14ac:dyDescent="0.2">
      <c r="I59147" s="137" t="s">
        <v>74</v>
      </c>
    </row>
    <row r="59148" spans="9:9" x14ac:dyDescent="0.2">
      <c r="I59148" s="137" t="s">
        <v>74</v>
      </c>
    </row>
    <row r="59149" spans="9:9" x14ac:dyDescent="0.2">
      <c r="I59149" s="137" t="s">
        <v>74</v>
      </c>
    </row>
    <row r="59150" spans="9:9" x14ac:dyDescent="0.2">
      <c r="I59150" s="137" t="s">
        <v>74</v>
      </c>
    </row>
    <row r="59151" spans="9:9" x14ac:dyDescent="0.2">
      <c r="I59151" s="137" t="s">
        <v>74</v>
      </c>
    </row>
    <row r="59152" spans="9:9" x14ac:dyDescent="0.2">
      <c r="I59152" s="137" t="s">
        <v>74</v>
      </c>
    </row>
    <row r="59153" spans="9:9" x14ac:dyDescent="0.2">
      <c r="I59153" s="137" t="s">
        <v>74</v>
      </c>
    </row>
    <row r="59154" spans="9:9" x14ac:dyDescent="0.2">
      <c r="I59154" s="137" t="s">
        <v>74</v>
      </c>
    </row>
    <row r="59155" spans="9:9" x14ac:dyDescent="0.2">
      <c r="I59155" s="137" t="s">
        <v>74</v>
      </c>
    </row>
    <row r="59156" spans="9:9" x14ac:dyDescent="0.2">
      <c r="I59156" s="137" t="s">
        <v>74</v>
      </c>
    </row>
    <row r="59157" spans="9:9" x14ac:dyDescent="0.2">
      <c r="I59157" s="137" t="s">
        <v>74</v>
      </c>
    </row>
    <row r="59158" spans="9:9" x14ac:dyDescent="0.2">
      <c r="I59158" s="137" t="s">
        <v>74</v>
      </c>
    </row>
    <row r="59159" spans="9:9" x14ac:dyDescent="0.2">
      <c r="I59159" s="137" t="s">
        <v>74</v>
      </c>
    </row>
    <row r="59160" spans="9:9" x14ac:dyDescent="0.2">
      <c r="I59160" s="137" t="s">
        <v>74</v>
      </c>
    </row>
    <row r="59161" spans="9:9" x14ac:dyDescent="0.2">
      <c r="I59161" s="137" t="s">
        <v>74</v>
      </c>
    </row>
    <row r="59162" spans="9:9" x14ac:dyDescent="0.2">
      <c r="I59162" s="137" t="s">
        <v>74</v>
      </c>
    </row>
    <row r="59163" spans="9:9" x14ac:dyDescent="0.2">
      <c r="I59163" s="137" t="s">
        <v>74</v>
      </c>
    </row>
    <row r="59164" spans="9:9" x14ac:dyDescent="0.2">
      <c r="I59164" s="137" t="s">
        <v>74</v>
      </c>
    </row>
    <row r="59165" spans="9:9" x14ac:dyDescent="0.2">
      <c r="I59165" s="137" t="s">
        <v>74</v>
      </c>
    </row>
    <row r="59166" spans="9:9" x14ac:dyDescent="0.2">
      <c r="I59166" s="137" t="s">
        <v>74</v>
      </c>
    </row>
    <row r="59167" spans="9:9" x14ac:dyDescent="0.2">
      <c r="I59167" s="137" t="s">
        <v>74</v>
      </c>
    </row>
    <row r="59168" spans="9:9" x14ac:dyDescent="0.2">
      <c r="I59168" s="137" t="s">
        <v>74</v>
      </c>
    </row>
    <row r="59169" spans="9:9" x14ac:dyDescent="0.2">
      <c r="I59169" s="137" t="s">
        <v>74</v>
      </c>
    </row>
    <row r="59170" spans="9:9" x14ac:dyDescent="0.2">
      <c r="I59170" s="137" t="s">
        <v>74</v>
      </c>
    </row>
    <row r="59171" spans="9:9" x14ac:dyDescent="0.2">
      <c r="I59171" s="137" t="s">
        <v>74</v>
      </c>
    </row>
    <row r="59172" spans="9:9" x14ac:dyDescent="0.2">
      <c r="I59172" s="137" t="s">
        <v>74</v>
      </c>
    </row>
    <row r="59173" spans="9:9" x14ac:dyDescent="0.2">
      <c r="I59173" s="137" t="s">
        <v>74</v>
      </c>
    </row>
    <row r="59174" spans="9:9" x14ac:dyDescent="0.2">
      <c r="I59174" s="137" t="s">
        <v>74</v>
      </c>
    </row>
    <row r="59175" spans="9:9" x14ac:dyDescent="0.2">
      <c r="I59175" s="137" t="s">
        <v>74</v>
      </c>
    </row>
    <row r="59176" spans="9:9" x14ac:dyDescent="0.2">
      <c r="I59176" s="137" t="s">
        <v>74</v>
      </c>
    </row>
    <row r="59177" spans="9:9" x14ac:dyDescent="0.2">
      <c r="I59177" s="137" t="s">
        <v>74</v>
      </c>
    </row>
    <row r="59178" spans="9:9" x14ac:dyDescent="0.2">
      <c r="I59178" s="137" t="s">
        <v>74</v>
      </c>
    </row>
    <row r="59179" spans="9:9" x14ac:dyDescent="0.2">
      <c r="I59179" s="137" t="s">
        <v>74</v>
      </c>
    </row>
    <row r="59180" spans="9:9" x14ac:dyDescent="0.2">
      <c r="I59180" s="137" t="s">
        <v>74</v>
      </c>
    </row>
    <row r="59181" spans="9:9" x14ac:dyDescent="0.2">
      <c r="I59181" s="137" t="s">
        <v>74</v>
      </c>
    </row>
    <row r="59182" spans="9:9" x14ac:dyDescent="0.2">
      <c r="I59182" s="137" t="s">
        <v>74</v>
      </c>
    </row>
    <row r="59183" spans="9:9" x14ac:dyDescent="0.2">
      <c r="I59183" s="137" t="s">
        <v>74</v>
      </c>
    </row>
    <row r="59184" spans="9:9" x14ac:dyDescent="0.2">
      <c r="I59184" s="137" t="s">
        <v>74</v>
      </c>
    </row>
    <row r="59185" spans="9:9" x14ac:dyDescent="0.2">
      <c r="I59185" s="137" t="s">
        <v>74</v>
      </c>
    </row>
    <row r="59186" spans="9:9" x14ac:dyDescent="0.2">
      <c r="I59186" s="137" t="s">
        <v>74</v>
      </c>
    </row>
    <row r="59187" spans="9:9" x14ac:dyDescent="0.2">
      <c r="I59187" s="137" t="s">
        <v>74</v>
      </c>
    </row>
    <row r="59188" spans="9:9" x14ac:dyDescent="0.2">
      <c r="I59188" s="137" t="s">
        <v>74</v>
      </c>
    </row>
    <row r="59189" spans="9:9" x14ac:dyDescent="0.2">
      <c r="I59189" s="137" t="s">
        <v>74</v>
      </c>
    </row>
    <row r="59190" spans="9:9" x14ac:dyDescent="0.2">
      <c r="I59190" s="137" t="s">
        <v>74</v>
      </c>
    </row>
    <row r="59191" spans="9:9" x14ac:dyDescent="0.2">
      <c r="I59191" s="137" t="s">
        <v>74</v>
      </c>
    </row>
    <row r="59192" spans="9:9" x14ac:dyDescent="0.2">
      <c r="I59192" s="137" t="s">
        <v>74</v>
      </c>
    </row>
    <row r="59193" spans="9:9" x14ac:dyDescent="0.2">
      <c r="I59193" s="137" t="s">
        <v>74</v>
      </c>
    </row>
    <row r="59194" spans="9:9" x14ac:dyDescent="0.2">
      <c r="I59194" s="137" t="s">
        <v>74</v>
      </c>
    </row>
    <row r="59195" spans="9:9" x14ac:dyDescent="0.2">
      <c r="I59195" s="137" t="s">
        <v>74</v>
      </c>
    </row>
    <row r="59196" spans="9:9" x14ac:dyDescent="0.2">
      <c r="I59196" s="137" t="s">
        <v>74</v>
      </c>
    </row>
    <row r="59197" spans="9:9" x14ac:dyDescent="0.2">
      <c r="I59197" s="137" t="s">
        <v>74</v>
      </c>
    </row>
    <row r="59198" spans="9:9" x14ac:dyDescent="0.2">
      <c r="I59198" s="137" t="s">
        <v>74</v>
      </c>
    </row>
    <row r="59199" spans="9:9" x14ac:dyDescent="0.2">
      <c r="I59199" s="137" t="s">
        <v>74</v>
      </c>
    </row>
    <row r="59200" spans="9:9" x14ac:dyDescent="0.2">
      <c r="I59200" s="137" t="s">
        <v>74</v>
      </c>
    </row>
    <row r="59201" spans="9:9" x14ac:dyDescent="0.2">
      <c r="I59201" s="137" t="s">
        <v>74</v>
      </c>
    </row>
    <row r="59202" spans="9:9" x14ac:dyDescent="0.2">
      <c r="I59202" s="137" t="s">
        <v>74</v>
      </c>
    </row>
    <row r="59203" spans="9:9" x14ac:dyDescent="0.2">
      <c r="I59203" s="137" t="s">
        <v>74</v>
      </c>
    </row>
    <row r="59204" spans="9:9" x14ac:dyDescent="0.2">
      <c r="I59204" s="137" t="s">
        <v>74</v>
      </c>
    </row>
    <row r="59205" spans="9:9" x14ac:dyDescent="0.2">
      <c r="I59205" s="137" t="s">
        <v>74</v>
      </c>
    </row>
    <row r="59206" spans="9:9" x14ac:dyDescent="0.2">
      <c r="I59206" s="137" t="s">
        <v>74</v>
      </c>
    </row>
    <row r="59207" spans="9:9" x14ac:dyDescent="0.2">
      <c r="I59207" s="137" t="s">
        <v>74</v>
      </c>
    </row>
    <row r="59208" spans="9:9" x14ac:dyDescent="0.2">
      <c r="I59208" s="137" t="s">
        <v>74</v>
      </c>
    </row>
    <row r="59209" spans="9:9" x14ac:dyDescent="0.2">
      <c r="I59209" s="137" t="s">
        <v>74</v>
      </c>
    </row>
    <row r="59210" spans="9:9" x14ac:dyDescent="0.2">
      <c r="I59210" s="137" t="s">
        <v>74</v>
      </c>
    </row>
    <row r="59211" spans="9:9" x14ac:dyDescent="0.2">
      <c r="I59211" s="137" t="s">
        <v>74</v>
      </c>
    </row>
    <row r="59212" spans="9:9" x14ac:dyDescent="0.2">
      <c r="I59212" s="137" t="s">
        <v>74</v>
      </c>
    </row>
    <row r="59213" spans="9:9" x14ac:dyDescent="0.2">
      <c r="I59213" s="137" t="s">
        <v>74</v>
      </c>
    </row>
    <row r="59214" spans="9:9" x14ac:dyDescent="0.2">
      <c r="I59214" s="137" t="s">
        <v>74</v>
      </c>
    </row>
    <row r="59215" spans="9:9" x14ac:dyDescent="0.2">
      <c r="I59215" s="137" t="s">
        <v>74</v>
      </c>
    </row>
    <row r="59216" spans="9:9" x14ac:dyDescent="0.2">
      <c r="I59216" s="137" t="s">
        <v>74</v>
      </c>
    </row>
    <row r="59217" spans="9:9" x14ac:dyDescent="0.2">
      <c r="I59217" s="137" t="s">
        <v>74</v>
      </c>
    </row>
    <row r="59218" spans="9:9" x14ac:dyDescent="0.2">
      <c r="I59218" s="137" t="s">
        <v>74</v>
      </c>
    </row>
    <row r="59219" spans="9:9" x14ac:dyDescent="0.2">
      <c r="I59219" s="137" t="s">
        <v>74</v>
      </c>
    </row>
    <row r="59220" spans="9:9" x14ac:dyDescent="0.2">
      <c r="I59220" s="137" t="s">
        <v>74</v>
      </c>
    </row>
    <row r="59221" spans="9:9" x14ac:dyDescent="0.2">
      <c r="I59221" s="137" t="s">
        <v>74</v>
      </c>
    </row>
    <row r="59222" spans="9:9" x14ac:dyDescent="0.2">
      <c r="I59222" s="137" t="s">
        <v>74</v>
      </c>
    </row>
    <row r="59223" spans="9:9" x14ac:dyDescent="0.2">
      <c r="I59223" s="137" t="s">
        <v>74</v>
      </c>
    </row>
    <row r="59224" spans="9:9" x14ac:dyDescent="0.2">
      <c r="I59224" s="137" t="s">
        <v>74</v>
      </c>
    </row>
    <row r="59225" spans="9:9" x14ac:dyDescent="0.2">
      <c r="I59225" s="137" t="s">
        <v>74</v>
      </c>
    </row>
    <row r="59226" spans="9:9" x14ac:dyDescent="0.2">
      <c r="I59226" s="137" t="s">
        <v>74</v>
      </c>
    </row>
    <row r="59227" spans="9:9" x14ac:dyDescent="0.2">
      <c r="I59227" s="137" t="s">
        <v>74</v>
      </c>
    </row>
    <row r="59228" spans="9:9" x14ac:dyDescent="0.2">
      <c r="I59228" s="137" t="s">
        <v>74</v>
      </c>
    </row>
    <row r="59229" spans="9:9" x14ac:dyDescent="0.2">
      <c r="I59229" s="137" t="s">
        <v>74</v>
      </c>
    </row>
    <row r="59230" spans="9:9" x14ac:dyDescent="0.2">
      <c r="I59230" s="137" t="s">
        <v>74</v>
      </c>
    </row>
    <row r="59231" spans="9:9" x14ac:dyDescent="0.2">
      <c r="I59231" s="137" t="s">
        <v>74</v>
      </c>
    </row>
    <row r="59232" spans="9:9" x14ac:dyDescent="0.2">
      <c r="I59232" s="137" t="s">
        <v>74</v>
      </c>
    </row>
    <row r="59233" spans="9:9" x14ac:dyDescent="0.2">
      <c r="I59233" s="137" t="s">
        <v>74</v>
      </c>
    </row>
    <row r="59234" spans="9:9" x14ac:dyDescent="0.2">
      <c r="I59234" s="137" t="s">
        <v>74</v>
      </c>
    </row>
    <row r="59235" spans="9:9" x14ac:dyDescent="0.2">
      <c r="I59235" s="137" t="s">
        <v>74</v>
      </c>
    </row>
    <row r="59236" spans="9:9" x14ac:dyDescent="0.2">
      <c r="I59236" s="137" t="s">
        <v>74</v>
      </c>
    </row>
    <row r="59237" spans="9:9" x14ac:dyDescent="0.2">
      <c r="I59237" s="137" t="s">
        <v>74</v>
      </c>
    </row>
    <row r="59238" spans="9:9" x14ac:dyDescent="0.2">
      <c r="I59238" s="137" t="s">
        <v>74</v>
      </c>
    </row>
    <row r="59239" spans="9:9" x14ac:dyDescent="0.2">
      <c r="I59239" s="137" t="s">
        <v>74</v>
      </c>
    </row>
    <row r="59240" spans="9:9" x14ac:dyDescent="0.2">
      <c r="I59240" s="137" t="s">
        <v>74</v>
      </c>
    </row>
    <row r="59241" spans="9:9" x14ac:dyDescent="0.2">
      <c r="I59241" s="137" t="s">
        <v>74</v>
      </c>
    </row>
    <row r="59242" spans="9:9" x14ac:dyDescent="0.2">
      <c r="I59242" s="137" t="s">
        <v>74</v>
      </c>
    </row>
    <row r="59243" spans="9:9" x14ac:dyDescent="0.2">
      <c r="I59243" s="137" t="s">
        <v>74</v>
      </c>
    </row>
    <row r="59244" spans="9:9" x14ac:dyDescent="0.2">
      <c r="I59244" s="137" t="s">
        <v>74</v>
      </c>
    </row>
    <row r="59245" spans="9:9" x14ac:dyDescent="0.2">
      <c r="I59245" s="137" t="s">
        <v>74</v>
      </c>
    </row>
    <row r="59246" spans="9:9" x14ac:dyDescent="0.2">
      <c r="I59246" s="137" t="s">
        <v>74</v>
      </c>
    </row>
    <row r="59247" spans="9:9" x14ac:dyDescent="0.2">
      <c r="I59247" s="137" t="s">
        <v>74</v>
      </c>
    </row>
    <row r="59248" spans="9:9" x14ac:dyDescent="0.2">
      <c r="I59248" s="137" t="s">
        <v>74</v>
      </c>
    </row>
    <row r="59249" spans="9:9" x14ac:dyDescent="0.2">
      <c r="I59249" s="137" t="s">
        <v>74</v>
      </c>
    </row>
    <row r="59250" spans="9:9" x14ac:dyDescent="0.2">
      <c r="I59250" s="137" t="s">
        <v>74</v>
      </c>
    </row>
    <row r="59251" spans="9:9" x14ac:dyDescent="0.2">
      <c r="I59251" s="137" t="s">
        <v>74</v>
      </c>
    </row>
    <row r="59252" spans="9:9" x14ac:dyDescent="0.2">
      <c r="I59252" s="137" t="s">
        <v>74</v>
      </c>
    </row>
    <row r="59253" spans="9:9" x14ac:dyDescent="0.2">
      <c r="I59253" s="137" t="s">
        <v>74</v>
      </c>
    </row>
    <row r="59254" spans="9:9" x14ac:dyDescent="0.2">
      <c r="I59254" s="137" t="s">
        <v>74</v>
      </c>
    </row>
    <row r="59255" spans="9:9" x14ac:dyDescent="0.2">
      <c r="I59255" s="137" t="s">
        <v>74</v>
      </c>
    </row>
    <row r="59256" spans="9:9" x14ac:dyDescent="0.2">
      <c r="I59256" s="137" t="s">
        <v>74</v>
      </c>
    </row>
    <row r="59257" spans="9:9" x14ac:dyDescent="0.2">
      <c r="I59257" s="137" t="s">
        <v>74</v>
      </c>
    </row>
    <row r="59258" spans="9:9" x14ac:dyDescent="0.2">
      <c r="I59258" s="137" t="s">
        <v>74</v>
      </c>
    </row>
    <row r="59259" spans="9:9" x14ac:dyDescent="0.2">
      <c r="I59259" s="137" t="s">
        <v>74</v>
      </c>
    </row>
    <row r="59260" spans="9:9" x14ac:dyDescent="0.2">
      <c r="I59260" s="137" t="s">
        <v>74</v>
      </c>
    </row>
    <row r="59261" spans="9:9" x14ac:dyDescent="0.2">
      <c r="I59261" s="137" t="s">
        <v>74</v>
      </c>
    </row>
    <row r="59262" spans="9:9" x14ac:dyDescent="0.2">
      <c r="I59262" s="137" t="s">
        <v>74</v>
      </c>
    </row>
    <row r="59263" spans="9:9" x14ac:dyDescent="0.2">
      <c r="I59263" s="137" t="s">
        <v>74</v>
      </c>
    </row>
    <row r="59264" spans="9:9" x14ac:dyDescent="0.2">
      <c r="I59264" s="137" t="s">
        <v>74</v>
      </c>
    </row>
    <row r="59265" spans="9:9" x14ac:dyDescent="0.2">
      <c r="I59265" s="137" t="s">
        <v>74</v>
      </c>
    </row>
    <row r="59266" spans="9:9" x14ac:dyDescent="0.2">
      <c r="I59266" s="137" t="s">
        <v>74</v>
      </c>
    </row>
    <row r="59267" spans="9:9" x14ac:dyDescent="0.2">
      <c r="I59267" s="137" t="s">
        <v>74</v>
      </c>
    </row>
    <row r="59268" spans="9:9" x14ac:dyDescent="0.2">
      <c r="I59268" s="137" t="s">
        <v>74</v>
      </c>
    </row>
    <row r="59269" spans="9:9" x14ac:dyDescent="0.2">
      <c r="I59269" s="137" t="s">
        <v>74</v>
      </c>
    </row>
    <row r="59270" spans="9:9" x14ac:dyDescent="0.2">
      <c r="I59270" s="137" t="s">
        <v>74</v>
      </c>
    </row>
    <row r="59271" spans="9:9" x14ac:dyDescent="0.2">
      <c r="I59271" s="137" t="s">
        <v>74</v>
      </c>
    </row>
    <row r="59272" spans="9:9" x14ac:dyDescent="0.2">
      <c r="I59272" s="137" t="s">
        <v>74</v>
      </c>
    </row>
    <row r="59273" spans="9:9" x14ac:dyDescent="0.2">
      <c r="I59273" s="137" t="s">
        <v>74</v>
      </c>
    </row>
    <row r="59274" spans="9:9" x14ac:dyDescent="0.2">
      <c r="I59274" s="137" t="s">
        <v>74</v>
      </c>
    </row>
    <row r="59275" spans="9:9" x14ac:dyDescent="0.2">
      <c r="I59275" s="137" t="s">
        <v>74</v>
      </c>
    </row>
    <row r="59276" spans="9:9" x14ac:dyDescent="0.2">
      <c r="I59276" s="137" t="s">
        <v>74</v>
      </c>
    </row>
    <row r="59277" spans="9:9" x14ac:dyDescent="0.2">
      <c r="I59277" s="137" t="s">
        <v>74</v>
      </c>
    </row>
    <row r="59278" spans="9:9" x14ac:dyDescent="0.2">
      <c r="I59278" s="137" t="s">
        <v>74</v>
      </c>
    </row>
    <row r="59279" spans="9:9" x14ac:dyDescent="0.2">
      <c r="I59279" s="137" t="s">
        <v>74</v>
      </c>
    </row>
    <row r="59280" spans="9:9" x14ac:dyDescent="0.2">
      <c r="I59280" s="137" t="s">
        <v>74</v>
      </c>
    </row>
    <row r="59281" spans="9:9" x14ac:dyDescent="0.2">
      <c r="I59281" s="137" t="s">
        <v>74</v>
      </c>
    </row>
    <row r="59282" spans="9:9" x14ac:dyDescent="0.2">
      <c r="I59282" s="137" t="s">
        <v>74</v>
      </c>
    </row>
    <row r="59283" spans="9:9" x14ac:dyDescent="0.2">
      <c r="I59283" s="137" t="s">
        <v>74</v>
      </c>
    </row>
    <row r="59284" spans="9:9" x14ac:dyDescent="0.2">
      <c r="I59284" s="137" t="s">
        <v>74</v>
      </c>
    </row>
    <row r="59285" spans="9:9" x14ac:dyDescent="0.2">
      <c r="I59285" s="137" t="s">
        <v>74</v>
      </c>
    </row>
    <row r="59286" spans="9:9" x14ac:dyDescent="0.2">
      <c r="I59286" s="137" t="s">
        <v>74</v>
      </c>
    </row>
    <row r="59287" spans="9:9" x14ac:dyDescent="0.2">
      <c r="I59287" s="137" t="s">
        <v>74</v>
      </c>
    </row>
    <row r="59288" spans="9:9" x14ac:dyDescent="0.2">
      <c r="I59288" s="137" t="s">
        <v>74</v>
      </c>
    </row>
    <row r="59289" spans="9:9" x14ac:dyDescent="0.2">
      <c r="I59289" s="137" t="s">
        <v>74</v>
      </c>
    </row>
    <row r="59290" spans="9:9" x14ac:dyDescent="0.2">
      <c r="I59290" s="137" t="s">
        <v>74</v>
      </c>
    </row>
    <row r="59291" spans="9:9" x14ac:dyDescent="0.2">
      <c r="I59291" s="137" t="s">
        <v>74</v>
      </c>
    </row>
    <row r="59292" spans="9:9" x14ac:dyDescent="0.2">
      <c r="I59292" s="137" t="s">
        <v>74</v>
      </c>
    </row>
    <row r="59293" spans="9:9" x14ac:dyDescent="0.2">
      <c r="I59293" s="137" t="s">
        <v>74</v>
      </c>
    </row>
    <row r="59294" spans="9:9" x14ac:dyDescent="0.2">
      <c r="I59294" s="137" t="s">
        <v>74</v>
      </c>
    </row>
    <row r="59295" spans="9:9" x14ac:dyDescent="0.2">
      <c r="I59295" s="137" t="s">
        <v>74</v>
      </c>
    </row>
    <row r="59296" spans="9:9" x14ac:dyDescent="0.2">
      <c r="I59296" s="137" t="s">
        <v>74</v>
      </c>
    </row>
    <row r="59297" spans="9:9" x14ac:dyDescent="0.2">
      <c r="I59297" s="137" t="s">
        <v>74</v>
      </c>
    </row>
    <row r="59298" spans="9:9" x14ac:dyDescent="0.2">
      <c r="I59298" s="137" t="s">
        <v>74</v>
      </c>
    </row>
    <row r="59299" spans="9:9" x14ac:dyDescent="0.2">
      <c r="I59299" s="137" t="s">
        <v>74</v>
      </c>
    </row>
    <row r="59300" spans="9:9" x14ac:dyDescent="0.2">
      <c r="I59300" s="137" t="s">
        <v>74</v>
      </c>
    </row>
    <row r="59301" spans="9:9" x14ac:dyDescent="0.2">
      <c r="I59301" s="137" t="s">
        <v>74</v>
      </c>
    </row>
    <row r="59302" spans="9:9" x14ac:dyDescent="0.2">
      <c r="I59302" s="137" t="s">
        <v>74</v>
      </c>
    </row>
    <row r="59303" spans="9:9" x14ac:dyDescent="0.2">
      <c r="I59303" s="137" t="s">
        <v>74</v>
      </c>
    </row>
    <row r="59304" spans="9:9" x14ac:dyDescent="0.2">
      <c r="I59304" s="137" t="s">
        <v>74</v>
      </c>
    </row>
    <row r="59305" spans="9:9" x14ac:dyDescent="0.2">
      <c r="I59305" s="137" t="s">
        <v>74</v>
      </c>
    </row>
    <row r="59306" spans="9:9" x14ac:dyDescent="0.2">
      <c r="I59306" s="137" t="s">
        <v>74</v>
      </c>
    </row>
    <row r="59307" spans="9:9" x14ac:dyDescent="0.2">
      <c r="I59307" s="137" t="s">
        <v>74</v>
      </c>
    </row>
    <row r="59308" spans="9:9" x14ac:dyDescent="0.2">
      <c r="I59308" s="137" t="s">
        <v>74</v>
      </c>
    </row>
    <row r="59309" spans="9:9" x14ac:dyDescent="0.2">
      <c r="I59309" s="137" t="s">
        <v>74</v>
      </c>
    </row>
    <row r="59310" spans="9:9" x14ac:dyDescent="0.2">
      <c r="I59310" s="137" t="s">
        <v>74</v>
      </c>
    </row>
    <row r="59311" spans="9:9" x14ac:dyDescent="0.2">
      <c r="I59311" s="137" t="s">
        <v>74</v>
      </c>
    </row>
    <row r="59312" spans="9:9" x14ac:dyDescent="0.2">
      <c r="I59312" s="137" t="s">
        <v>74</v>
      </c>
    </row>
    <row r="59313" spans="9:9" x14ac:dyDescent="0.2">
      <c r="I59313" s="137" t="s">
        <v>74</v>
      </c>
    </row>
    <row r="59314" spans="9:9" x14ac:dyDescent="0.2">
      <c r="I59314" s="137" t="s">
        <v>74</v>
      </c>
    </row>
    <row r="59315" spans="9:9" x14ac:dyDescent="0.2">
      <c r="I59315" s="137" t="s">
        <v>74</v>
      </c>
    </row>
    <row r="59316" spans="9:9" x14ac:dyDescent="0.2">
      <c r="I59316" s="137" t="s">
        <v>74</v>
      </c>
    </row>
    <row r="59317" spans="9:9" x14ac:dyDescent="0.2">
      <c r="I59317" s="137" t="s">
        <v>74</v>
      </c>
    </row>
    <row r="59318" spans="9:9" x14ac:dyDescent="0.2">
      <c r="I59318" s="137" t="s">
        <v>74</v>
      </c>
    </row>
    <row r="59319" spans="9:9" x14ac:dyDescent="0.2">
      <c r="I59319" s="137" t="s">
        <v>74</v>
      </c>
    </row>
    <row r="59320" spans="9:9" x14ac:dyDescent="0.2">
      <c r="I59320" s="137" t="s">
        <v>74</v>
      </c>
    </row>
    <row r="59321" spans="9:9" x14ac:dyDescent="0.2">
      <c r="I59321" s="137" t="s">
        <v>74</v>
      </c>
    </row>
    <row r="59322" spans="9:9" x14ac:dyDescent="0.2">
      <c r="I59322" s="137" t="s">
        <v>74</v>
      </c>
    </row>
    <row r="59323" spans="9:9" x14ac:dyDescent="0.2">
      <c r="I59323" s="137" t="s">
        <v>74</v>
      </c>
    </row>
    <row r="59324" spans="9:9" x14ac:dyDescent="0.2">
      <c r="I59324" s="137" t="s">
        <v>74</v>
      </c>
    </row>
    <row r="59325" spans="9:9" x14ac:dyDescent="0.2">
      <c r="I59325" s="137" t="s">
        <v>74</v>
      </c>
    </row>
    <row r="59326" spans="9:9" x14ac:dyDescent="0.2">
      <c r="I59326" s="137" t="s">
        <v>74</v>
      </c>
    </row>
    <row r="59327" spans="9:9" x14ac:dyDescent="0.2">
      <c r="I59327" s="137" t="s">
        <v>74</v>
      </c>
    </row>
    <row r="59328" spans="9:9" x14ac:dyDescent="0.2">
      <c r="I59328" s="137" t="s">
        <v>74</v>
      </c>
    </row>
    <row r="59329" spans="9:9" x14ac:dyDescent="0.2">
      <c r="I59329" s="137" t="s">
        <v>74</v>
      </c>
    </row>
    <row r="59330" spans="9:9" x14ac:dyDescent="0.2">
      <c r="I59330" s="137" t="s">
        <v>74</v>
      </c>
    </row>
    <row r="59331" spans="9:9" x14ac:dyDescent="0.2">
      <c r="I59331" s="137" t="s">
        <v>74</v>
      </c>
    </row>
    <row r="59332" spans="9:9" x14ac:dyDescent="0.2">
      <c r="I59332" s="137" t="s">
        <v>74</v>
      </c>
    </row>
    <row r="59333" spans="9:9" x14ac:dyDescent="0.2">
      <c r="I59333" s="137" t="s">
        <v>74</v>
      </c>
    </row>
    <row r="59334" spans="9:9" x14ac:dyDescent="0.2">
      <c r="I59334" s="137" t="s">
        <v>74</v>
      </c>
    </row>
    <row r="59335" spans="9:9" x14ac:dyDescent="0.2">
      <c r="I59335" s="137" t="s">
        <v>74</v>
      </c>
    </row>
    <row r="59336" spans="9:9" x14ac:dyDescent="0.2">
      <c r="I59336" s="137" t="s">
        <v>74</v>
      </c>
    </row>
    <row r="59337" spans="9:9" x14ac:dyDescent="0.2">
      <c r="I59337" s="137" t="s">
        <v>74</v>
      </c>
    </row>
    <row r="59338" spans="9:9" x14ac:dyDescent="0.2">
      <c r="I59338" s="137" t="s">
        <v>74</v>
      </c>
    </row>
    <row r="59339" spans="9:9" x14ac:dyDescent="0.2">
      <c r="I59339" s="137" t="s">
        <v>74</v>
      </c>
    </row>
    <row r="59340" spans="9:9" x14ac:dyDescent="0.2">
      <c r="I59340" s="137" t="s">
        <v>74</v>
      </c>
    </row>
    <row r="59341" spans="9:9" x14ac:dyDescent="0.2">
      <c r="I59341" s="137" t="s">
        <v>74</v>
      </c>
    </row>
    <row r="59342" spans="9:9" x14ac:dyDescent="0.2">
      <c r="I59342" s="137" t="s">
        <v>74</v>
      </c>
    </row>
    <row r="59343" spans="9:9" x14ac:dyDescent="0.2">
      <c r="I59343" s="137" t="s">
        <v>74</v>
      </c>
    </row>
    <row r="59344" spans="9:9" x14ac:dyDescent="0.2">
      <c r="I59344" s="137" t="s">
        <v>74</v>
      </c>
    </row>
    <row r="59345" spans="9:9" x14ac:dyDescent="0.2">
      <c r="I59345" s="137" t="s">
        <v>74</v>
      </c>
    </row>
    <row r="59346" spans="9:9" x14ac:dyDescent="0.2">
      <c r="I59346" s="137" t="s">
        <v>74</v>
      </c>
    </row>
    <row r="59347" spans="9:9" x14ac:dyDescent="0.2">
      <c r="I59347" s="137" t="s">
        <v>74</v>
      </c>
    </row>
    <row r="59348" spans="9:9" x14ac:dyDescent="0.2">
      <c r="I59348" s="137" t="s">
        <v>74</v>
      </c>
    </row>
    <row r="59349" spans="9:9" x14ac:dyDescent="0.2">
      <c r="I59349" s="137" t="s">
        <v>74</v>
      </c>
    </row>
    <row r="59350" spans="9:9" x14ac:dyDescent="0.2">
      <c r="I59350" s="137" t="s">
        <v>74</v>
      </c>
    </row>
    <row r="59351" spans="9:9" x14ac:dyDescent="0.2">
      <c r="I59351" s="137" t="s">
        <v>74</v>
      </c>
    </row>
    <row r="59352" spans="9:9" x14ac:dyDescent="0.2">
      <c r="I59352" s="137" t="s">
        <v>74</v>
      </c>
    </row>
    <row r="59353" spans="9:9" x14ac:dyDescent="0.2">
      <c r="I59353" s="137" t="s">
        <v>74</v>
      </c>
    </row>
    <row r="59354" spans="9:9" x14ac:dyDescent="0.2">
      <c r="I59354" s="137" t="s">
        <v>74</v>
      </c>
    </row>
    <row r="59355" spans="9:9" x14ac:dyDescent="0.2">
      <c r="I59355" s="137" t="s">
        <v>74</v>
      </c>
    </row>
    <row r="59356" spans="9:9" x14ac:dyDescent="0.2">
      <c r="I59356" s="137" t="s">
        <v>74</v>
      </c>
    </row>
    <row r="59357" spans="9:9" x14ac:dyDescent="0.2">
      <c r="I59357" s="137" t="s">
        <v>74</v>
      </c>
    </row>
    <row r="59358" spans="9:9" x14ac:dyDescent="0.2">
      <c r="I59358" s="137" t="s">
        <v>74</v>
      </c>
    </row>
    <row r="59359" spans="9:9" x14ac:dyDescent="0.2">
      <c r="I59359" s="137" t="s">
        <v>74</v>
      </c>
    </row>
    <row r="59360" spans="9:9" x14ac:dyDescent="0.2">
      <c r="I59360" s="137" t="s">
        <v>74</v>
      </c>
    </row>
    <row r="59361" spans="9:9" x14ac:dyDescent="0.2">
      <c r="I59361" s="137" t="s">
        <v>74</v>
      </c>
    </row>
    <row r="59362" spans="9:9" x14ac:dyDescent="0.2">
      <c r="I59362" s="137" t="s">
        <v>74</v>
      </c>
    </row>
    <row r="59363" spans="9:9" x14ac:dyDescent="0.2">
      <c r="I59363" s="137" t="s">
        <v>74</v>
      </c>
    </row>
    <row r="59364" spans="9:9" x14ac:dyDescent="0.2">
      <c r="I59364" s="137" t="s">
        <v>74</v>
      </c>
    </row>
    <row r="59365" spans="9:9" x14ac:dyDescent="0.2">
      <c r="I59365" s="137" t="s">
        <v>74</v>
      </c>
    </row>
    <row r="59366" spans="9:9" x14ac:dyDescent="0.2">
      <c r="I59366" s="137" t="s">
        <v>74</v>
      </c>
    </row>
    <row r="59367" spans="9:9" x14ac:dyDescent="0.2">
      <c r="I59367" s="137" t="s">
        <v>74</v>
      </c>
    </row>
    <row r="59368" spans="9:9" x14ac:dyDescent="0.2">
      <c r="I59368" s="137" t="s">
        <v>74</v>
      </c>
    </row>
    <row r="59369" spans="9:9" x14ac:dyDescent="0.2">
      <c r="I59369" s="137" t="s">
        <v>74</v>
      </c>
    </row>
    <row r="59370" spans="9:9" x14ac:dyDescent="0.2">
      <c r="I59370" s="137" t="s">
        <v>74</v>
      </c>
    </row>
    <row r="59371" spans="9:9" x14ac:dyDescent="0.2">
      <c r="I59371" s="137" t="s">
        <v>74</v>
      </c>
    </row>
    <row r="59372" spans="9:9" x14ac:dyDescent="0.2">
      <c r="I59372" s="137" t="s">
        <v>74</v>
      </c>
    </row>
    <row r="59373" spans="9:9" x14ac:dyDescent="0.2">
      <c r="I59373" s="137" t="s">
        <v>74</v>
      </c>
    </row>
    <row r="59374" spans="9:9" x14ac:dyDescent="0.2">
      <c r="I59374" s="137" t="s">
        <v>74</v>
      </c>
    </row>
    <row r="59375" spans="9:9" x14ac:dyDescent="0.2">
      <c r="I59375" s="137" t="s">
        <v>74</v>
      </c>
    </row>
    <row r="59376" spans="9:9" x14ac:dyDescent="0.2">
      <c r="I59376" s="137" t="s">
        <v>74</v>
      </c>
    </row>
    <row r="59377" spans="9:9" x14ac:dyDescent="0.2">
      <c r="I59377" s="137" t="s">
        <v>74</v>
      </c>
    </row>
    <row r="59378" spans="9:9" x14ac:dyDescent="0.2">
      <c r="I59378" s="137" t="s">
        <v>74</v>
      </c>
    </row>
    <row r="59379" spans="9:9" x14ac:dyDescent="0.2">
      <c r="I59379" s="137" t="s">
        <v>74</v>
      </c>
    </row>
    <row r="59380" spans="9:9" x14ac:dyDescent="0.2">
      <c r="I59380" s="137" t="s">
        <v>74</v>
      </c>
    </row>
    <row r="59381" spans="9:9" x14ac:dyDescent="0.2">
      <c r="I59381" s="137" t="s">
        <v>74</v>
      </c>
    </row>
    <row r="59382" spans="9:9" x14ac:dyDescent="0.2">
      <c r="I59382" s="137" t="s">
        <v>74</v>
      </c>
    </row>
    <row r="59383" spans="9:9" x14ac:dyDescent="0.2">
      <c r="I59383" s="137" t="s">
        <v>74</v>
      </c>
    </row>
    <row r="59384" spans="9:9" x14ac:dyDescent="0.2">
      <c r="I59384" s="137" t="s">
        <v>74</v>
      </c>
    </row>
    <row r="59385" spans="9:9" x14ac:dyDescent="0.2">
      <c r="I59385" s="137" t="s">
        <v>74</v>
      </c>
    </row>
    <row r="59386" spans="9:9" x14ac:dyDescent="0.2">
      <c r="I59386" s="137" t="s">
        <v>74</v>
      </c>
    </row>
    <row r="59387" spans="9:9" x14ac:dyDescent="0.2">
      <c r="I59387" s="137" t="s">
        <v>74</v>
      </c>
    </row>
    <row r="59388" spans="9:9" x14ac:dyDescent="0.2">
      <c r="I59388" s="137" t="s">
        <v>74</v>
      </c>
    </row>
    <row r="59389" spans="9:9" x14ac:dyDescent="0.2">
      <c r="I59389" s="137" t="s">
        <v>74</v>
      </c>
    </row>
    <row r="59390" spans="9:9" x14ac:dyDescent="0.2">
      <c r="I59390" s="137" t="s">
        <v>74</v>
      </c>
    </row>
    <row r="59391" spans="9:9" x14ac:dyDescent="0.2">
      <c r="I59391" s="137" t="s">
        <v>74</v>
      </c>
    </row>
    <row r="59392" spans="9:9" x14ac:dyDescent="0.2">
      <c r="I59392" s="137" t="s">
        <v>74</v>
      </c>
    </row>
    <row r="59393" spans="9:9" x14ac:dyDescent="0.2">
      <c r="I59393" s="137" t="s">
        <v>74</v>
      </c>
    </row>
    <row r="59394" spans="9:9" x14ac:dyDescent="0.2">
      <c r="I59394" s="137" t="s">
        <v>74</v>
      </c>
    </row>
    <row r="59395" spans="9:9" x14ac:dyDescent="0.2">
      <c r="I59395" s="137" t="s">
        <v>74</v>
      </c>
    </row>
    <row r="59396" spans="9:9" x14ac:dyDescent="0.2">
      <c r="I59396" s="137" t="s">
        <v>74</v>
      </c>
    </row>
    <row r="59397" spans="9:9" x14ac:dyDescent="0.2">
      <c r="I59397" s="137" t="s">
        <v>74</v>
      </c>
    </row>
    <row r="59398" spans="9:9" x14ac:dyDescent="0.2">
      <c r="I59398" s="137" t="s">
        <v>74</v>
      </c>
    </row>
    <row r="59399" spans="9:9" x14ac:dyDescent="0.2">
      <c r="I59399" s="137" t="s">
        <v>74</v>
      </c>
    </row>
    <row r="59400" spans="9:9" x14ac:dyDescent="0.2">
      <c r="I59400" s="137" t="s">
        <v>74</v>
      </c>
    </row>
    <row r="59401" spans="9:9" x14ac:dyDescent="0.2">
      <c r="I59401" s="137" t="s">
        <v>74</v>
      </c>
    </row>
    <row r="59402" spans="9:9" x14ac:dyDescent="0.2">
      <c r="I59402" s="137" t="s">
        <v>74</v>
      </c>
    </row>
    <row r="59403" spans="9:9" x14ac:dyDescent="0.2">
      <c r="I59403" s="137" t="s">
        <v>74</v>
      </c>
    </row>
    <row r="59404" spans="9:9" x14ac:dyDescent="0.2">
      <c r="I59404" s="137" t="s">
        <v>74</v>
      </c>
    </row>
    <row r="59405" spans="9:9" x14ac:dyDescent="0.2">
      <c r="I59405" s="137" t="s">
        <v>74</v>
      </c>
    </row>
    <row r="59406" spans="9:9" x14ac:dyDescent="0.2">
      <c r="I59406" s="137" t="s">
        <v>74</v>
      </c>
    </row>
    <row r="59407" spans="9:9" x14ac:dyDescent="0.2">
      <c r="I59407" s="137" t="s">
        <v>74</v>
      </c>
    </row>
    <row r="59408" spans="9:9" x14ac:dyDescent="0.2">
      <c r="I59408" s="137" t="s">
        <v>74</v>
      </c>
    </row>
    <row r="59409" spans="9:9" x14ac:dyDescent="0.2">
      <c r="I59409" s="137" t="s">
        <v>74</v>
      </c>
    </row>
    <row r="59410" spans="9:9" x14ac:dyDescent="0.2">
      <c r="I59410" s="137" t="s">
        <v>74</v>
      </c>
    </row>
    <row r="59411" spans="9:9" x14ac:dyDescent="0.2">
      <c r="I59411" s="137" t="s">
        <v>74</v>
      </c>
    </row>
    <row r="59412" spans="9:9" x14ac:dyDescent="0.2">
      <c r="I59412" s="137" t="s">
        <v>74</v>
      </c>
    </row>
    <row r="59413" spans="9:9" x14ac:dyDescent="0.2">
      <c r="I59413" s="137" t="s">
        <v>74</v>
      </c>
    </row>
    <row r="59414" spans="9:9" x14ac:dyDescent="0.2">
      <c r="I59414" s="137" t="s">
        <v>74</v>
      </c>
    </row>
    <row r="59415" spans="9:9" x14ac:dyDescent="0.2">
      <c r="I59415" s="137" t="s">
        <v>74</v>
      </c>
    </row>
    <row r="59416" spans="9:9" x14ac:dyDescent="0.2">
      <c r="I59416" s="137" t="s">
        <v>74</v>
      </c>
    </row>
    <row r="59417" spans="9:9" x14ac:dyDescent="0.2">
      <c r="I59417" s="137" t="s">
        <v>74</v>
      </c>
    </row>
    <row r="59418" spans="9:9" x14ac:dyDescent="0.2">
      <c r="I59418" s="137" t="s">
        <v>74</v>
      </c>
    </row>
    <row r="59419" spans="9:9" x14ac:dyDescent="0.2">
      <c r="I59419" s="137" t="s">
        <v>74</v>
      </c>
    </row>
    <row r="59420" spans="9:9" x14ac:dyDescent="0.2">
      <c r="I59420" s="137" t="s">
        <v>74</v>
      </c>
    </row>
    <row r="59421" spans="9:9" x14ac:dyDescent="0.2">
      <c r="I59421" s="137" t="s">
        <v>74</v>
      </c>
    </row>
    <row r="59422" spans="9:9" x14ac:dyDescent="0.2">
      <c r="I59422" s="137" t="s">
        <v>74</v>
      </c>
    </row>
    <row r="59423" spans="9:9" x14ac:dyDescent="0.2">
      <c r="I59423" s="137" t="s">
        <v>74</v>
      </c>
    </row>
    <row r="59424" spans="9:9" x14ac:dyDescent="0.2">
      <c r="I59424" s="137" t="s">
        <v>74</v>
      </c>
    </row>
    <row r="59425" spans="9:9" x14ac:dyDescent="0.2">
      <c r="I59425" s="137" t="s">
        <v>74</v>
      </c>
    </row>
    <row r="59426" spans="9:9" x14ac:dyDescent="0.2">
      <c r="I59426" s="137" t="s">
        <v>74</v>
      </c>
    </row>
    <row r="59427" spans="9:9" x14ac:dyDescent="0.2">
      <c r="I59427" s="137" t="s">
        <v>74</v>
      </c>
    </row>
    <row r="59428" spans="9:9" x14ac:dyDescent="0.2">
      <c r="I59428" s="137" t="s">
        <v>74</v>
      </c>
    </row>
    <row r="59429" spans="9:9" x14ac:dyDescent="0.2">
      <c r="I59429" s="137" t="s">
        <v>74</v>
      </c>
    </row>
    <row r="59430" spans="9:9" x14ac:dyDescent="0.2">
      <c r="I59430" s="137" t="s">
        <v>74</v>
      </c>
    </row>
    <row r="59431" spans="9:9" x14ac:dyDescent="0.2">
      <c r="I59431" s="137" t="s">
        <v>74</v>
      </c>
    </row>
    <row r="59432" spans="9:9" x14ac:dyDescent="0.2">
      <c r="I59432" s="137" t="s">
        <v>74</v>
      </c>
    </row>
    <row r="59433" spans="9:9" x14ac:dyDescent="0.2">
      <c r="I59433" s="137" t="s">
        <v>74</v>
      </c>
    </row>
    <row r="59434" spans="9:9" x14ac:dyDescent="0.2">
      <c r="I59434" s="137" t="s">
        <v>74</v>
      </c>
    </row>
    <row r="59435" spans="9:9" x14ac:dyDescent="0.2">
      <c r="I59435" s="137" t="s">
        <v>74</v>
      </c>
    </row>
    <row r="59436" spans="9:9" x14ac:dyDescent="0.2">
      <c r="I59436" s="137" t="s">
        <v>74</v>
      </c>
    </row>
    <row r="59437" spans="9:9" x14ac:dyDescent="0.2">
      <c r="I59437" s="137" t="s">
        <v>74</v>
      </c>
    </row>
    <row r="59438" spans="9:9" x14ac:dyDescent="0.2">
      <c r="I59438" s="137" t="s">
        <v>74</v>
      </c>
    </row>
    <row r="59439" spans="9:9" x14ac:dyDescent="0.2">
      <c r="I59439" s="137" t="s">
        <v>74</v>
      </c>
    </row>
    <row r="59440" spans="9:9" x14ac:dyDescent="0.2">
      <c r="I59440" s="137" t="s">
        <v>74</v>
      </c>
    </row>
    <row r="59441" spans="9:9" x14ac:dyDescent="0.2">
      <c r="I59441" s="137" t="s">
        <v>74</v>
      </c>
    </row>
    <row r="59442" spans="9:9" x14ac:dyDescent="0.2">
      <c r="I59442" s="137" t="s">
        <v>74</v>
      </c>
    </row>
    <row r="59443" spans="9:9" x14ac:dyDescent="0.2">
      <c r="I59443" s="137" t="s">
        <v>74</v>
      </c>
    </row>
    <row r="59444" spans="9:9" x14ac:dyDescent="0.2">
      <c r="I59444" s="137" t="s">
        <v>74</v>
      </c>
    </row>
    <row r="59445" spans="9:9" x14ac:dyDescent="0.2">
      <c r="I59445" s="137" t="s">
        <v>74</v>
      </c>
    </row>
    <row r="59446" spans="9:9" x14ac:dyDescent="0.2">
      <c r="I59446" s="137" t="s">
        <v>74</v>
      </c>
    </row>
    <row r="59447" spans="9:9" x14ac:dyDescent="0.2">
      <c r="I59447" s="137" t="s">
        <v>74</v>
      </c>
    </row>
    <row r="59448" spans="9:9" x14ac:dyDescent="0.2">
      <c r="I59448" s="137" t="s">
        <v>74</v>
      </c>
    </row>
    <row r="59449" spans="9:9" x14ac:dyDescent="0.2">
      <c r="I59449" s="137" t="s">
        <v>74</v>
      </c>
    </row>
    <row r="59450" spans="9:9" x14ac:dyDescent="0.2">
      <c r="I59450" s="137" t="s">
        <v>74</v>
      </c>
    </row>
    <row r="59451" spans="9:9" x14ac:dyDescent="0.2">
      <c r="I59451" s="137" t="s">
        <v>74</v>
      </c>
    </row>
    <row r="59452" spans="9:9" x14ac:dyDescent="0.2">
      <c r="I59452" s="137" t="s">
        <v>74</v>
      </c>
    </row>
    <row r="59453" spans="9:9" x14ac:dyDescent="0.2">
      <c r="I59453" s="137" t="s">
        <v>74</v>
      </c>
    </row>
    <row r="59454" spans="9:9" x14ac:dyDescent="0.2">
      <c r="I59454" s="137" t="s">
        <v>74</v>
      </c>
    </row>
    <row r="59455" spans="9:9" x14ac:dyDescent="0.2">
      <c r="I59455" s="137" t="s">
        <v>74</v>
      </c>
    </row>
    <row r="59456" spans="9:9" x14ac:dyDescent="0.2">
      <c r="I59456" s="137" t="s">
        <v>74</v>
      </c>
    </row>
    <row r="59457" spans="9:9" x14ac:dyDescent="0.2">
      <c r="I59457" s="137" t="s">
        <v>74</v>
      </c>
    </row>
    <row r="59458" spans="9:9" x14ac:dyDescent="0.2">
      <c r="I59458" s="137" t="s">
        <v>74</v>
      </c>
    </row>
    <row r="59459" spans="9:9" x14ac:dyDescent="0.2">
      <c r="I59459" s="137" t="s">
        <v>74</v>
      </c>
    </row>
    <row r="59460" spans="9:9" x14ac:dyDescent="0.2">
      <c r="I59460" s="137" t="s">
        <v>74</v>
      </c>
    </row>
    <row r="59461" spans="9:9" x14ac:dyDescent="0.2">
      <c r="I59461" s="137" t="s">
        <v>74</v>
      </c>
    </row>
    <row r="59462" spans="9:9" x14ac:dyDescent="0.2">
      <c r="I59462" s="137" t="s">
        <v>74</v>
      </c>
    </row>
    <row r="59463" spans="9:9" x14ac:dyDescent="0.2">
      <c r="I59463" s="137" t="s">
        <v>74</v>
      </c>
    </row>
    <row r="59464" spans="9:9" x14ac:dyDescent="0.2">
      <c r="I59464" s="137" t="s">
        <v>74</v>
      </c>
    </row>
    <row r="59465" spans="9:9" x14ac:dyDescent="0.2">
      <c r="I59465" s="137" t="s">
        <v>74</v>
      </c>
    </row>
    <row r="59466" spans="9:9" x14ac:dyDescent="0.2">
      <c r="I59466" s="137" t="s">
        <v>74</v>
      </c>
    </row>
    <row r="59467" spans="9:9" x14ac:dyDescent="0.2">
      <c r="I59467" s="137" t="s">
        <v>74</v>
      </c>
    </row>
    <row r="59468" spans="9:9" x14ac:dyDescent="0.2">
      <c r="I59468" s="137" t="s">
        <v>74</v>
      </c>
    </row>
    <row r="59469" spans="9:9" x14ac:dyDescent="0.2">
      <c r="I59469" s="137" t="s">
        <v>74</v>
      </c>
    </row>
    <row r="59470" spans="9:9" x14ac:dyDescent="0.2">
      <c r="I59470" s="137" t="s">
        <v>74</v>
      </c>
    </row>
    <row r="59471" spans="9:9" x14ac:dyDescent="0.2">
      <c r="I59471" s="137" t="s">
        <v>74</v>
      </c>
    </row>
    <row r="59472" spans="9:9" x14ac:dyDescent="0.2">
      <c r="I59472" s="137" t="s">
        <v>74</v>
      </c>
    </row>
    <row r="59473" spans="9:9" x14ac:dyDescent="0.2">
      <c r="I59473" s="137" t="s">
        <v>74</v>
      </c>
    </row>
    <row r="59474" spans="9:9" x14ac:dyDescent="0.2">
      <c r="I59474" s="137" t="s">
        <v>74</v>
      </c>
    </row>
    <row r="59475" spans="9:9" x14ac:dyDescent="0.2">
      <c r="I59475" s="137" t="s">
        <v>74</v>
      </c>
    </row>
    <row r="59476" spans="9:9" x14ac:dyDescent="0.2">
      <c r="I59476" s="137" t="s">
        <v>74</v>
      </c>
    </row>
    <row r="59477" spans="9:9" x14ac:dyDescent="0.2">
      <c r="I59477" s="137" t="s">
        <v>74</v>
      </c>
    </row>
    <row r="59478" spans="9:9" x14ac:dyDescent="0.2">
      <c r="I59478" s="137" t="s">
        <v>74</v>
      </c>
    </row>
    <row r="59479" spans="9:9" x14ac:dyDescent="0.2">
      <c r="I59479" s="137" t="s">
        <v>74</v>
      </c>
    </row>
    <row r="59480" spans="9:9" x14ac:dyDescent="0.2">
      <c r="I59480" s="137" t="s">
        <v>74</v>
      </c>
    </row>
    <row r="59481" spans="9:9" x14ac:dyDescent="0.2">
      <c r="I59481" s="137" t="s">
        <v>74</v>
      </c>
    </row>
    <row r="59482" spans="9:9" x14ac:dyDescent="0.2">
      <c r="I59482" s="137" t="s">
        <v>74</v>
      </c>
    </row>
    <row r="59483" spans="9:9" x14ac:dyDescent="0.2">
      <c r="I59483" s="137" t="s">
        <v>74</v>
      </c>
    </row>
    <row r="59484" spans="9:9" x14ac:dyDescent="0.2">
      <c r="I59484" s="137" t="s">
        <v>74</v>
      </c>
    </row>
    <row r="59485" spans="9:9" x14ac:dyDescent="0.2">
      <c r="I59485" s="137" t="s">
        <v>74</v>
      </c>
    </row>
    <row r="59486" spans="9:9" x14ac:dyDescent="0.2">
      <c r="I59486" s="137" t="s">
        <v>74</v>
      </c>
    </row>
    <row r="59487" spans="9:9" x14ac:dyDescent="0.2">
      <c r="I59487" s="137" t="s">
        <v>74</v>
      </c>
    </row>
    <row r="59488" spans="9:9" x14ac:dyDescent="0.2">
      <c r="I59488" s="137" t="s">
        <v>74</v>
      </c>
    </row>
    <row r="59489" spans="9:9" x14ac:dyDescent="0.2">
      <c r="I59489" s="137" t="s">
        <v>74</v>
      </c>
    </row>
    <row r="59490" spans="9:9" x14ac:dyDescent="0.2">
      <c r="I59490" s="137" t="s">
        <v>74</v>
      </c>
    </row>
    <row r="59491" spans="9:9" x14ac:dyDescent="0.2">
      <c r="I59491" s="137" t="s">
        <v>74</v>
      </c>
    </row>
    <row r="59492" spans="9:9" x14ac:dyDescent="0.2">
      <c r="I59492" s="137" t="s">
        <v>74</v>
      </c>
    </row>
    <row r="59493" spans="9:9" x14ac:dyDescent="0.2">
      <c r="I59493" s="137" t="s">
        <v>74</v>
      </c>
    </row>
    <row r="59494" spans="9:9" x14ac:dyDescent="0.2">
      <c r="I59494" s="137" t="s">
        <v>74</v>
      </c>
    </row>
    <row r="59495" spans="9:9" x14ac:dyDescent="0.2">
      <c r="I59495" s="137" t="s">
        <v>74</v>
      </c>
    </row>
    <row r="59496" spans="9:9" x14ac:dyDescent="0.2">
      <c r="I59496" s="137" t="s">
        <v>74</v>
      </c>
    </row>
    <row r="59497" spans="9:9" x14ac:dyDescent="0.2">
      <c r="I59497" s="137" t="s">
        <v>74</v>
      </c>
    </row>
    <row r="59498" spans="9:9" x14ac:dyDescent="0.2">
      <c r="I59498" s="137" t="s">
        <v>74</v>
      </c>
    </row>
    <row r="59499" spans="9:9" x14ac:dyDescent="0.2">
      <c r="I59499" s="137" t="s">
        <v>74</v>
      </c>
    </row>
    <row r="59500" spans="9:9" x14ac:dyDescent="0.2">
      <c r="I59500" s="137" t="s">
        <v>74</v>
      </c>
    </row>
    <row r="59501" spans="9:9" x14ac:dyDescent="0.2">
      <c r="I59501" s="137" t="s">
        <v>74</v>
      </c>
    </row>
    <row r="59502" spans="9:9" x14ac:dyDescent="0.2">
      <c r="I59502" s="137" t="s">
        <v>74</v>
      </c>
    </row>
    <row r="59503" spans="9:9" x14ac:dyDescent="0.2">
      <c r="I59503" s="137" t="s">
        <v>74</v>
      </c>
    </row>
    <row r="59504" spans="9:9" x14ac:dyDescent="0.2">
      <c r="I59504" s="137" t="s">
        <v>74</v>
      </c>
    </row>
    <row r="59505" spans="9:9" x14ac:dyDescent="0.2">
      <c r="I59505" s="137" t="s">
        <v>74</v>
      </c>
    </row>
    <row r="59506" spans="9:9" x14ac:dyDescent="0.2">
      <c r="I59506" s="137" t="s">
        <v>74</v>
      </c>
    </row>
    <row r="59507" spans="9:9" x14ac:dyDescent="0.2">
      <c r="I59507" s="137" t="s">
        <v>74</v>
      </c>
    </row>
    <row r="59508" spans="9:9" x14ac:dyDescent="0.2">
      <c r="I59508" s="137" t="s">
        <v>74</v>
      </c>
    </row>
    <row r="59509" spans="9:9" x14ac:dyDescent="0.2">
      <c r="I59509" s="137" t="s">
        <v>74</v>
      </c>
    </row>
    <row r="59510" spans="9:9" x14ac:dyDescent="0.2">
      <c r="I59510" s="137" t="s">
        <v>74</v>
      </c>
    </row>
    <row r="59511" spans="9:9" x14ac:dyDescent="0.2">
      <c r="I59511" s="137" t="s">
        <v>74</v>
      </c>
    </row>
    <row r="59512" spans="9:9" x14ac:dyDescent="0.2">
      <c r="I59512" s="137" t="s">
        <v>74</v>
      </c>
    </row>
    <row r="59513" spans="9:9" x14ac:dyDescent="0.2">
      <c r="I59513" s="137" t="s">
        <v>74</v>
      </c>
    </row>
    <row r="59514" spans="9:9" x14ac:dyDescent="0.2">
      <c r="I59514" s="137" t="s">
        <v>74</v>
      </c>
    </row>
    <row r="59515" spans="9:9" x14ac:dyDescent="0.2">
      <c r="I59515" s="137" t="s">
        <v>74</v>
      </c>
    </row>
    <row r="59516" spans="9:9" x14ac:dyDescent="0.2">
      <c r="I59516" s="137" t="s">
        <v>74</v>
      </c>
    </row>
    <row r="59517" spans="9:9" x14ac:dyDescent="0.2">
      <c r="I59517" s="137" t="s">
        <v>74</v>
      </c>
    </row>
    <row r="59518" spans="9:9" x14ac:dyDescent="0.2">
      <c r="I59518" s="137" t="s">
        <v>74</v>
      </c>
    </row>
    <row r="59519" spans="9:9" x14ac:dyDescent="0.2">
      <c r="I59519" s="137" t="s">
        <v>74</v>
      </c>
    </row>
    <row r="59520" spans="9:9" x14ac:dyDescent="0.2">
      <c r="I59520" s="137" t="s">
        <v>74</v>
      </c>
    </row>
    <row r="59521" spans="9:9" x14ac:dyDescent="0.2">
      <c r="I59521" s="137" t="s">
        <v>74</v>
      </c>
    </row>
    <row r="59522" spans="9:9" x14ac:dyDescent="0.2">
      <c r="I59522" s="137" t="s">
        <v>74</v>
      </c>
    </row>
    <row r="59523" spans="9:9" x14ac:dyDescent="0.2">
      <c r="I59523" s="137" t="s">
        <v>74</v>
      </c>
    </row>
    <row r="59524" spans="9:9" x14ac:dyDescent="0.2">
      <c r="I59524" s="137" t="s">
        <v>74</v>
      </c>
    </row>
    <row r="59525" spans="9:9" x14ac:dyDescent="0.2">
      <c r="I59525" s="137" t="s">
        <v>74</v>
      </c>
    </row>
    <row r="59526" spans="9:9" x14ac:dyDescent="0.2">
      <c r="I59526" s="137" t="s">
        <v>74</v>
      </c>
    </row>
    <row r="59527" spans="9:9" x14ac:dyDescent="0.2">
      <c r="I59527" s="137" t="s">
        <v>74</v>
      </c>
    </row>
    <row r="59528" spans="9:9" x14ac:dyDescent="0.2">
      <c r="I59528" s="137" t="s">
        <v>74</v>
      </c>
    </row>
    <row r="59529" spans="9:9" x14ac:dyDescent="0.2">
      <c r="I59529" s="137" t="s">
        <v>74</v>
      </c>
    </row>
    <row r="59530" spans="9:9" x14ac:dyDescent="0.2">
      <c r="I59530" s="137" t="s">
        <v>74</v>
      </c>
    </row>
    <row r="59531" spans="9:9" x14ac:dyDescent="0.2">
      <c r="I59531" s="137" t="s">
        <v>74</v>
      </c>
    </row>
    <row r="59532" spans="9:9" x14ac:dyDescent="0.2">
      <c r="I59532" s="137" t="s">
        <v>74</v>
      </c>
    </row>
    <row r="59533" spans="9:9" x14ac:dyDescent="0.2">
      <c r="I59533" s="137" t="s">
        <v>74</v>
      </c>
    </row>
    <row r="59534" spans="9:9" x14ac:dyDescent="0.2">
      <c r="I59534" s="137" t="s">
        <v>74</v>
      </c>
    </row>
    <row r="59535" spans="9:9" x14ac:dyDescent="0.2">
      <c r="I59535" s="137" t="s">
        <v>74</v>
      </c>
    </row>
    <row r="59536" spans="9:9" x14ac:dyDescent="0.2">
      <c r="I59536" s="137" t="s">
        <v>74</v>
      </c>
    </row>
    <row r="59537" spans="9:9" x14ac:dyDescent="0.2">
      <c r="I59537" s="137" t="s">
        <v>74</v>
      </c>
    </row>
    <row r="59538" spans="9:9" x14ac:dyDescent="0.2">
      <c r="I59538" s="137" t="s">
        <v>74</v>
      </c>
    </row>
    <row r="59539" spans="9:9" x14ac:dyDescent="0.2">
      <c r="I59539" s="137" t="s">
        <v>74</v>
      </c>
    </row>
    <row r="59540" spans="9:9" x14ac:dyDescent="0.2">
      <c r="I59540" s="137" t="s">
        <v>74</v>
      </c>
    </row>
    <row r="59541" spans="9:9" x14ac:dyDescent="0.2">
      <c r="I59541" s="137" t="s">
        <v>74</v>
      </c>
    </row>
    <row r="59542" spans="9:9" x14ac:dyDescent="0.2">
      <c r="I59542" s="137" t="s">
        <v>74</v>
      </c>
    </row>
    <row r="59543" spans="9:9" x14ac:dyDescent="0.2">
      <c r="I59543" s="137" t="s">
        <v>74</v>
      </c>
    </row>
    <row r="59544" spans="9:9" x14ac:dyDescent="0.2">
      <c r="I59544" s="137" t="s">
        <v>74</v>
      </c>
    </row>
    <row r="59545" spans="9:9" x14ac:dyDescent="0.2">
      <c r="I59545" s="137" t="s">
        <v>74</v>
      </c>
    </row>
    <row r="59546" spans="9:9" x14ac:dyDescent="0.2">
      <c r="I59546" s="137" t="s">
        <v>74</v>
      </c>
    </row>
    <row r="59547" spans="9:9" x14ac:dyDescent="0.2">
      <c r="I59547" s="137" t="s">
        <v>74</v>
      </c>
    </row>
    <row r="59548" spans="9:9" x14ac:dyDescent="0.2">
      <c r="I59548" s="137" t="s">
        <v>74</v>
      </c>
    </row>
    <row r="59549" spans="9:9" x14ac:dyDescent="0.2">
      <c r="I59549" s="137" t="s">
        <v>74</v>
      </c>
    </row>
    <row r="59550" spans="9:9" x14ac:dyDescent="0.2">
      <c r="I59550" s="137" t="s">
        <v>74</v>
      </c>
    </row>
    <row r="59551" spans="9:9" x14ac:dyDescent="0.2">
      <c r="I59551" s="137" t="s">
        <v>74</v>
      </c>
    </row>
    <row r="59552" spans="9:9" x14ac:dyDescent="0.2">
      <c r="I59552" s="137" t="s">
        <v>74</v>
      </c>
    </row>
    <row r="59553" spans="9:9" x14ac:dyDescent="0.2">
      <c r="I59553" s="137" t="s">
        <v>74</v>
      </c>
    </row>
    <row r="59554" spans="9:9" x14ac:dyDescent="0.2">
      <c r="I59554" s="137" t="s">
        <v>74</v>
      </c>
    </row>
    <row r="59555" spans="9:9" x14ac:dyDescent="0.2">
      <c r="I59555" s="137" t="s">
        <v>74</v>
      </c>
    </row>
    <row r="59556" spans="9:9" x14ac:dyDescent="0.2">
      <c r="I59556" s="137" t="s">
        <v>74</v>
      </c>
    </row>
    <row r="59557" spans="9:9" x14ac:dyDescent="0.2">
      <c r="I59557" s="137" t="s">
        <v>74</v>
      </c>
    </row>
    <row r="59558" spans="9:9" x14ac:dyDescent="0.2">
      <c r="I59558" s="137" t="s">
        <v>74</v>
      </c>
    </row>
    <row r="59559" spans="9:9" x14ac:dyDescent="0.2">
      <c r="I59559" s="137" t="s">
        <v>74</v>
      </c>
    </row>
    <row r="59560" spans="9:9" x14ac:dyDescent="0.2">
      <c r="I59560" s="137" t="s">
        <v>74</v>
      </c>
    </row>
    <row r="59561" spans="9:9" x14ac:dyDescent="0.2">
      <c r="I59561" s="137" t="s">
        <v>74</v>
      </c>
    </row>
    <row r="59562" spans="9:9" x14ac:dyDescent="0.2">
      <c r="I59562" s="137" t="s">
        <v>74</v>
      </c>
    </row>
    <row r="59563" spans="9:9" x14ac:dyDescent="0.2">
      <c r="I59563" s="137" t="s">
        <v>74</v>
      </c>
    </row>
    <row r="59564" spans="9:9" x14ac:dyDescent="0.2">
      <c r="I59564" s="137" t="s">
        <v>74</v>
      </c>
    </row>
    <row r="59565" spans="9:9" x14ac:dyDescent="0.2">
      <c r="I59565" s="137" t="s">
        <v>74</v>
      </c>
    </row>
    <row r="59566" spans="9:9" x14ac:dyDescent="0.2">
      <c r="I59566" s="137" t="s">
        <v>74</v>
      </c>
    </row>
    <row r="59567" spans="9:9" x14ac:dyDescent="0.2">
      <c r="I59567" s="137" t="s">
        <v>74</v>
      </c>
    </row>
    <row r="59568" spans="9:9" x14ac:dyDescent="0.2">
      <c r="I59568" s="137" t="s">
        <v>74</v>
      </c>
    </row>
    <row r="59569" spans="9:9" x14ac:dyDescent="0.2">
      <c r="I59569" s="137" t="s">
        <v>74</v>
      </c>
    </row>
    <row r="59570" spans="9:9" x14ac:dyDescent="0.2">
      <c r="I59570" s="137" t="s">
        <v>74</v>
      </c>
    </row>
    <row r="59571" spans="9:9" x14ac:dyDescent="0.2">
      <c r="I59571" s="137" t="s">
        <v>74</v>
      </c>
    </row>
    <row r="59572" spans="9:9" x14ac:dyDescent="0.2">
      <c r="I59572" s="137" t="s">
        <v>74</v>
      </c>
    </row>
    <row r="59573" spans="9:9" x14ac:dyDescent="0.2">
      <c r="I59573" s="137" t="s">
        <v>74</v>
      </c>
    </row>
    <row r="59574" spans="9:9" x14ac:dyDescent="0.2">
      <c r="I59574" s="137" t="s">
        <v>74</v>
      </c>
    </row>
    <row r="59575" spans="9:9" x14ac:dyDescent="0.2">
      <c r="I59575" s="137" t="s">
        <v>74</v>
      </c>
    </row>
    <row r="59576" spans="9:9" x14ac:dyDescent="0.2">
      <c r="I59576" s="137" t="s">
        <v>74</v>
      </c>
    </row>
    <row r="59577" spans="9:9" x14ac:dyDescent="0.2">
      <c r="I59577" s="137" t="s">
        <v>74</v>
      </c>
    </row>
    <row r="59578" spans="9:9" x14ac:dyDescent="0.2">
      <c r="I59578" s="137" t="s">
        <v>74</v>
      </c>
    </row>
    <row r="59579" spans="9:9" x14ac:dyDescent="0.2">
      <c r="I59579" s="137" t="s">
        <v>74</v>
      </c>
    </row>
    <row r="59580" spans="9:9" x14ac:dyDescent="0.2">
      <c r="I59580" s="137" t="s">
        <v>74</v>
      </c>
    </row>
    <row r="59581" spans="9:9" x14ac:dyDescent="0.2">
      <c r="I59581" s="137" t="s">
        <v>74</v>
      </c>
    </row>
    <row r="59582" spans="9:9" x14ac:dyDescent="0.2">
      <c r="I59582" s="137" t="s">
        <v>74</v>
      </c>
    </row>
    <row r="59583" spans="9:9" x14ac:dyDescent="0.2">
      <c r="I59583" s="137" t="s">
        <v>74</v>
      </c>
    </row>
    <row r="59584" spans="9:9" x14ac:dyDescent="0.2">
      <c r="I59584" s="137" t="s">
        <v>74</v>
      </c>
    </row>
    <row r="59585" spans="9:9" x14ac:dyDescent="0.2">
      <c r="I59585" s="137" t="s">
        <v>74</v>
      </c>
    </row>
    <row r="59586" spans="9:9" x14ac:dyDescent="0.2">
      <c r="I59586" s="137" t="s">
        <v>74</v>
      </c>
    </row>
    <row r="59587" spans="9:9" x14ac:dyDescent="0.2">
      <c r="I59587" s="137" t="s">
        <v>74</v>
      </c>
    </row>
    <row r="59588" spans="9:9" x14ac:dyDescent="0.2">
      <c r="I59588" s="137" t="s">
        <v>74</v>
      </c>
    </row>
    <row r="59589" spans="9:9" x14ac:dyDescent="0.2">
      <c r="I59589" s="137" t="s">
        <v>74</v>
      </c>
    </row>
    <row r="59590" spans="9:9" x14ac:dyDescent="0.2">
      <c r="I59590" s="137" t="s">
        <v>74</v>
      </c>
    </row>
    <row r="59591" spans="9:9" x14ac:dyDescent="0.2">
      <c r="I59591" s="137" t="s">
        <v>74</v>
      </c>
    </row>
    <row r="59592" spans="9:9" x14ac:dyDescent="0.2">
      <c r="I59592" s="137" t="s">
        <v>74</v>
      </c>
    </row>
    <row r="59593" spans="9:9" x14ac:dyDescent="0.2">
      <c r="I59593" s="137" t="s">
        <v>74</v>
      </c>
    </row>
    <row r="59594" spans="9:9" x14ac:dyDescent="0.2">
      <c r="I59594" s="137" t="s">
        <v>74</v>
      </c>
    </row>
    <row r="59595" spans="9:9" x14ac:dyDescent="0.2">
      <c r="I59595" s="137" t="s">
        <v>74</v>
      </c>
    </row>
    <row r="59596" spans="9:9" x14ac:dyDescent="0.2">
      <c r="I59596" s="137" t="s">
        <v>74</v>
      </c>
    </row>
    <row r="59597" spans="9:9" x14ac:dyDescent="0.2">
      <c r="I59597" s="137" t="s">
        <v>74</v>
      </c>
    </row>
    <row r="59598" spans="9:9" x14ac:dyDescent="0.2">
      <c r="I59598" s="137" t="s">
        <v>74</v>
      </c>
    </row>
    <row r="59599" spans="9:9" x14ac:dyDescent="0.2">
      <c r="I59599" s="137" t="s">
        <v>74</v>
      </c>
    </row>
    <row r="59600" spans="9:9" x14ac:dyDescent="0.2">
      <c r="I59600" s="137" t="s">
        <v>74</v>
      </c>
    </row>
    <row r="59601" spans="9:9" x14ac:dyDescent="0.2">
      <c r="I59601" s="137" t="s">
        <v>74</v>
      </c>
    </row>
    <row r="59602" spans="9:9" x14ac:dyDescent="0.2">
      <c r="I59602" s="137" t="s">
        <v>74</v>
      </c>
    </row>
    <row r="59603" spans="9:9" x14ac:dyDescent="0.2">
      <c r="I59603" s="137" t="s">
        <v>74</v>
      </c>
    </row>
    <row r="59604" spans="9:9" x14ac:dyDescent="0.2">
      <c r="I59604" s="137" t="s">
        <v>74</v>
      </c>
    </row>
    <row r="59605" spans="9:9" x14ac:dyDescent="0.2">
      <c r="I59605" s="137" t="s">
        <v>74</v>
      </c>
    </row>
    <row r="59606" spans="9:9" x14ac:dyDescent="0.2">
      <c r="I59606" s="137" t="s">
        <v>74</v>
      </c>
    </row>
    <row r="59607" spans="9:9" x14ac:dyDescent="0.2">
      <c r="I59607" s="137" t="s">
        <v>74</v>
      </c>
    </row>
    <row r="59608" spans="9:9" x14ac:dyDescent="0.2">
      <c r="I59608" s="137" t="s">
        <v>74</v>
      </c>
    </row>
    <row r="59609" spans="9:9" x14ac:dyDescent="0.2">
      <c r="I59609" s="137" t="s">
        <v>74</v>
      </c>
    </row>
    <row r="59610" spans="9:9" x14ac:dyDescent="0.2">
      <c r="I59610" s="137" t="s">
        <v>74</v>
      </c>
    </row>
    <row r="59611" spans="9:9" x14ac:dyDescent="0.2">
      <c r="I59611" s="137" t="s">
        <v>74</v>
      </c>
    </row>
    <row r="59612" spans="9:9" x14ac:dyDescent="0.2">
      <c r="I59612" s="137" t="s">
        <v>74</v>
      </c>
    </row>
    <row r="59613" spans="9:9" x14ac:dyDescent="0.2">
      <c r="I59613" s="137" t="s">
        <v>74</v>
      </c>
    </row>
    <row r="59614" spans="9:9" x14ac:dyDescent="0.2">
      <c r="I59614" s="137" t="s">
        <v>74</v>
      </c>
    </row>
    <row r="59615" spans="9:9" x14ac:dyDescent="0.2">
      <c r="I59615" s="137" t="s">
        <v>74</v>
      </c>
    </row>
    <row r="59616" spans="9:9" x14ac:dyDescent="0.2">
      <c r="I59616" s="137" t="s">
        <v>74</v>
      </c>
    </row>
    <row r="59617" spans="9:9" x14ac:dyDescent="0.2">
      <c r="I59617" s="137" t="s">
        <v>74</v>
      </c>
    </row>
    <row r="59618" spans="9:9" x14ac:dyDescent="0.2">
      <c r="I59618" s="137" t="s">
        <v>74</v>
      </c>
    </row>
    <row r="59619" spans="9:9" x14ac:dyDescent="0.2">
      <c r="I59619" s="137" t="s">
        <v>74</v>
      </c>
    </row>
    <row r="59620" spans="9:9" x14ac:dyDescent="0.2">
      <c r="I59620" s="137" t="s">
        <v>74</v>
      </c>
    </row>
    <row r="59621" spans="9:9" x14ac:dyDescent="0.2">
      <c r="I59621" s="137" t="s">
        <v>74</v>
      </c>
    </row>
    <row r="59622" spans="9:9" x14ac:dyDescent="0.2">
      <c r="I59622" s="137" t="s">
        <v>74</v>
      </c>
    </row>
    <row r="59623" spans="9:9" x14ac:dyDescent="0.2">
      <c r="I59623" s="137" t="s">
        <v>74</v>
      </c>
    </row>
    <row r="59624" spans="9:9" x14ac:dyDescent="0.2">
      <c r="I59624" s="137" t="s">
        <v>74</v>
      </c>
    </row>
    <row r="59625" spans="9:9" x14ac:dyDescent="0.2">
      <c r="I59625" s="137" t="s">
        <v>74</v>
      </c>
    </row>
    <row r="59626" spans="9:9" x14ac:dyDescent="0.2">
      <c r="I59626" s="137" t="s">
        <v>74</v>
      </c>
    </row>
    <row r="59627" spans="9:9" x14ac:dyDescent="0.2">
      <c r="I59627" s="137" t="s">
        <v>74</v>
      </c>
    </row>
    <row r="59628" spans="9:9" x14ac:dyDescent="0.2">
      <c r="I59628" s="137" t="s">
        <v>74</v>
      </c>
    </row>
    <row r="59629" spans="9:9" x14ac:dyDescent="0.2">
      <c r="I59629" s="137" t="s">
        <v>74</v>
      </c>
    </row>
    <row r="59630" spans="9:9" x14ac:dyDescent="0.2">
      <c r="I59630" s="137" t="s">
        <v>74</v>
      </c>
    </row>
    <row r="59631" spans="9:9" x14ac:dyDescent="0.2">
      <c r="I59631" s="137" t="s">
        <v>74</v>
      </c>
    </row>
    <row r="59632" spans="9:9" x14ac:dyDescent="0.2">
      <c r="I59632" s="137" t="s">
        <v>74</v>
      </c>
    </row>
    <row r="59633" spans="9:9" x14ac:dyDescent="0.2">
      <c r="I59633" s="137" t="s">
        <v>74</v>
      </c>
    </row>
    <row r="59634" spans="9:9" x14ac:dyDescent="0.2">
      <c r="I59634" s="137" t="s">
        <v>74</v>
      </c>
    </row>
    <row r="59635" spans="9:9" x14ac:dyDescent="0.2">
      <c r="I59635" s="137" t="s">
        <v>74</v>
      </c>
    </row>
    <row r="59636" spans="9:9" x14ac:dyDescent="0.2">
      <c r="I59636" s="137" t="s">
        <v>74</v>
      </c>
    </row>
    <row r="59637" spans="9:9" x14ac:dyDescent="0.2">
      <c r="I59637" s="137" t="s">
        <v>74</v>
      </c>
    </row>
    <row r="59638" spans="9:9" x14ac:dyDescent="0.2">
      <c r="I59638" s="137" t="s">
        <v>74</v>
      </c>
    </row>
    <row r="59639" spans="9:9" x14ac:dyDescent="0.2">
      <c r="I59639" s="137" t="s">
        <v>74</v>
      </c>
    </row>
    <row r="59640" spans="9:9" x14ac:dyDescent="0.2">
      <c r="I59640" s="137" t="s">
        <v>74</v>
      </c>
    </row>
    <row r="59641" spans="9:9" x14ac:dyDescent="0.2">
      <c r="I59641" s="137" t="s">
        <v>74</v>
      </c>
    </row>
    <row r="59642" spans="9:9" x14ac:dyDescent="0.2">
      <c r="I59642" s="137" t="s">
        <v>74</v>
      </c>
    </row>
    <row r="59643" spans="9:9" x14ac:dyDescent="0.2">
      <c r="I59643" s="137" t="s">
        <v>74</v>
      </c>
    </row>
    <row r="59644" spans="9:9" x14ac:dyDescent="0.2">
      <c r="I59644" s="137" t="s">
        <v>74</v>
      </c>
    </row>
    <row r="59645" spans="9:9" x14ac:dyDescent="0.2">
      <c r="I59645" s="137" t="s">
        <v>74</v>
      </c>
    </row>
    <row r="59646" spans="9:9" x14ac:dyDescent="0.2">
      <c r="I59646" s="137" t="s">
        <v>74</v>
      </c>
    </row>
    <row r="59647" spans="9:9" x14ac:dyDescent="0.2">
      <c r="I59647" s="137" t="s">
        <v>74</v>
      </c>
    </row>
    <row r="59648" spans="9:9" x14ac:dyDescent="0.2">
      <c r="I59648" s="137" t="s">
        <v>74</v>
      </c>
    </row>
    <row r="59649" spans="9:9" x14ac:dyDescent="0.2">
      <c r="I59649" s="137" t="s">
        <v>74</v>
      </c>
    </row>
    <row r="59650" spans="9:9" x14ac:dyDescent="0.2">
      <c r="I59650" s="137" t="s">
        <v>74</v>
      </c>
    </row>
    <row r="59651" spans="9:9" x14ac:dyDescent="0.2">
      <c r="I59651" s="137" t="s">
        <v>74</v>
      </c>
    </row>
    <row r="59652" spans="9:9" x14ac:dyDescent="0.2">
      <c r="I59652" s="137" t="s">
        <v>74</v>
      </c>
    </row>
    <row r="59653" spans="9:9" x14ac:dyDescent="0.2">
      <c r="I59653" s="137" t="s">
        <v>74</v>
      </c>
    </row>
    <row r="59654" spans="9:9" x14ac:dyDescent="0.2">
      <c r="I59654" s="137" t="s">
        <v>74</v>
      </c>
    </row>
    <row r="59655" spans="9:9" x14ac:dyDescent="0.2">
      <c r="I59655" s="137" t="s">
        <v>74</v>
      </c>
    </row>
    <row r="59656" spans="9:9" x14ac:dyDescent="0.2">
      <c r="I59656" s="137" t="s">
        <v>74</v>
      </c>
    </row>
    <row r="59657" spans="9:9" x14ac:dyDescent="0.2">
      <c r="I59657" s="137" t="s">
        <v>74</v>
      </c>
    </row>
    <row r="59658" spans="9:9" x14ac:dyDescent="0.2">
      <c r="I59658" s="137" t="s">
        <v>74</v>
      </c>
    </row>
    <row r="59659" spans="9:9" x14ac:dyDescent="0.2">
      <c r="I59659" s="137" t="s">
        <v>74</v>
      </c>
    </row>
    <row r="59660" spans="9:9" x14ac:dyDescent="0.2">
      <c r="I59660" s="137" t="s">
        <v>74</v>
      </c>
    </row>
    <row r="59661" spans="9:9" x14ac:dyDescent="0.2">
      <c r="I59661" s="137" t="s">
        <v>74</v>
      </c>
    </row>
    <row r="59662" spans="9:9" x14ac:dyDescent="0.2">
      <c r="I59662" s="137" t="s">
        <v>74</v>
      </c>
    </row>
    <row r="59663" spans="9:9" x14ac:dyDescent="0.2">
      <c r="I59663" s="137" t="s">
        <v>74</v>
      </c>
    </row>
    <row r="59664" spans="9:9" x14ac:dyDescent="0.2">
      <c r="I59664" s="137" t="s">
        <v>74</v>
      </c>
    </row>
    <row r="59665" spans="9:9" x14ac:dyDescent="0.2">
      <c r="I59665" s="137" t="s">
        <v>74</v>
      </c>
    </row>
    <row r="59666" spans="9:9" x14ac:dyDescent="0.2">
      <c r="I59666" s="137" t="s">
        <v>74</v>
      </c>
    </row>
    <row r="59667" spans="9:9" x14ac:dyDescent="0.2">
      <c r="I59667" s="137" t="s">
        <v>74</v>
      </c>
    </row>
    <row r="59668" spans="9:9" x14ac:dyDescent="0.2">
      <c r="I59668" s="137" t="s">
        <v>74</v>
      </c>
    </row>
    <row r="59669" spans="9:9" x14ac:dyDescent="0.2">
      <c r="I59669" s="137" t="s">
        <v>74</v>
      </c>
    </row>
    <row r="59670" spans="9:9" x14ac:dyDescent="0.2">
      <c r="I59670" s="137" t="s">
        <v>74</v>
      </c>
    </row>
    <row r="59671" spans="9:9" x14ac:dyDescent="0.2">
      <c r="I59671" s="137" t="s">
        <v>74</v>
      </c>
    </row>
    <row r="59672" spans="9:9" x14ac:dyDescent="0.2">
      <c r="I59672" s="137" t="s">
        <v>74</v>
      </c>
    </row>
    <row r="59673" spans="9:9" x14ac:dyDescent="0.2">
      <c r="I59673" s="137" t="s">
        <v>74</v>
      </c>
    </row>
    <row r="59674" spans="9:9" x14ac:dyDescent="0.2">
      <c r="I59674" s="137" t="s">
        <v>74</v>
      </c>
    </row>
    <row r="59675" spans="9:9" x14ac:dyDescent="0.2">
      <c r="I59675" s="137" t="s">
        <v>74</v>
      </c>
    </row>
    <row r="59676" spans="9:9" x14ac:dyDescent="0.2">
      <c r="I59676" s="137" t="s">
        <v>74</v>
      </c>
    </row>
    <row r="59677" spans="9:9" x14ac:dyDescent="0.2">
      <c r="I59677" s="137" t="s">
        <v>74</v>
      </c>
    </row>
    <row r="59678" spans="9:9" x14ac:dyDescent="0.2">
      <c r="I59678" s="137" t="s">
        <v>74</v>
      </c>
    </row>
    <row r="59679" spans="9:9" x14ac:dyDescent="0.2">
      <c r="I59679" s="137" t="s">
        <v>74</v>
      </c>
    </row>
    <row r="59680" spans="9:9" x14ac:dyDescent="0.2">
      <c r="I59680" s="137" t="s">
        <v>74</v>
      </c>
    </row>
    <row r="59681" spans="9:9" x14ac:dyDescent="0.2">
      <c r="I59681" s="137" t="s">
        <v>74</v>
      </c>
    </row>
    <row r="59682" spans="9:9" x14ac:dyDescent="0.2">
      <c r="I59682" s="137" t="s">
        <v>74</v>
      </c>
    </row>
    <row r="59683" spans="9:9" x14ac:dyDescent="0.2">
      <c r="I59683" s="137" t="s">
        <v>74</v>
      </c>
    </row>
    <row r="59684" spans="9:9" x14ac:dyDescent="0.2">
      <c r="I59684" s="137" t="s">
        <v>74</v>
      </c>
    </row>
    <row r="59685" spans="9:9" x14ac:dyDescent="0.2">
      <c r="I59685" s="137" t="s">
        <v>74</v>
      </c>
    </row>
    <row r="59686" spans="9:9" x14ac:dyDescent="0.2">
      <c r="I59686" s="137" t="s">
        <v>74</v>
      </c>
    </row>
    <row r="59687" spans="9:9" x14ac:dyDescent="0.2">
      <c r="I59687" s="137" t="s">
        <v>74</v>
      </c>
    </row>
    <row r="59688" spans="9:9" x14ac:dyDescent="0.2">
      <c r="I59688" s="137" t="s">
        <v>74</v>
      </c>
    </row>
    <row r="59689" spans="9:9" x14ac:dyDescent="0.2">
      <c r="I59689" s="137" t="s">
        <v>74</v>
      </c>
    </row>
    <row r="59690" spans="9:9" x14ac:dyDescent="0.2">
      <c r="I59690" s="137" t="s">
        <v>74</v>
      </c>
    </row>
    <row r="59691" spans="9:9" x14ac:dyDescent="0.2">
      <c r="I59691" s="137" t="s">
        <v>74</v>
      </c>
    </row>
    <row r="59692" spans="9:9" x14ac:dyDescent="0.2">
      <c r="I59692" s="137" t="s">
        <v>74</v>
      </c>
    </row>
    <row r="59693" spans="9:9" x14ac:dyDescent="0.2">
      <c r="I59693" s="137" t="s">
        <v>74</v>
      </c>
    </row>
    <row r="59694" spans="9:9" x14ac:dyDescent="0.2">
      <c r="I59694" s="137" t="s">
        <v>74</v>
      </c>
    </row>
    <row r="59695" spans="9:9" x14ac:dyDescent="0.2">
      <c r="I59695" s="137" t="s">
        <v>74</v>
      </c>
    </row>
    <row r="59696" spans="9:9" x14ac:dyDescent="0.2">
      <c r="I59696" s="137" t="s">
        <v>74</v>
      </c>
    </row>
    <row r="59697" spans="9:9" x14ac:dyDescent="0.2">
      <c r="I59697" s="137" t="s">
        <v>74</v>
      </c>
    </row>
    <row r="59698" spans="9:9" x14ac:dyDescent="0.2">
      <c r="I59698" s="137" t="s">
        <v>74</v>
      </c>
    </row>
    <row r="59699" spans="9:9" x14ac:dyDescent="0.2">
      <c r="I59699" s="137" t="s">
        <v>74</v>
      </c>
    </row>
    <row r="59700" spans="9:9" x14ac:dyDescent="0.2">
      <c r="I59700" s="137" t="s">
        <v>74</v>
      </c>
    </row>
    <row r="59701" spans="9:9" x14ac:dyDescent="0.2">
      <c r="I59701" s="137" t="s">
        <v>74</v>
      </c>
    </row>
    <row r="59702" spans="9:9" x14ac:dyDescent="0.2">
      <c r="I59702" s="137" t="s">
        <v>74</v>
      </c>
    </row>
    <row r="59703" spans="9:9" x14ac:dyDescent="0.2">
      <c r="I59703" s="137" t="s">
        <v>74</v>
      </c>
    </row>
    <row r="59704" spans="9:9" x14ac:dyDescent="0.2">
      <c r="I59704" s="137" t="s">
        <v>74</v>
      </c>
    </row>
    <row r="59705" spans="9:9" x14ac:dyDescent="0.2">
      <c r="I59705" s="137" t="s">
        <v>74</v>
      </c>
    </row>
    <row r="59706" spans="9:9" x14ac:dyDescent="0.2">
      <c r="I59706" s="137" t="s">
        <v>74</v>
      </c>
    </row>
    <row r="59707" spans="9:9" x14ac:dyDescent="0.2">
      <c r="I59707" s="137" t="s">
        <v>74</v>
      </c>
    </row>
    <row r="59708" spans="9:9" x14ac:dyDescent="0.2">
      <c r="I59708" s="137" t="s">
        <v>74</v>
      </c>
    </row>
    <row r="59709" spans="9:9" x14ac:dyDescent="0.2">
      <c r="I59709" s="137" t="s">
        <v>74</v>
      </c>
    </row>
    <row r="59710" spans="9:9" x14ac:dyDescent="0.2">
      <c r="I59710" s="137" t="s">
        <v>74</v>
      </c>
    </row>
    <row r="59711" spans="9:9" x14ac:dyDescent="0.2">
      <c r="I59711" s="137" t="s">
        <v>74</v>
      </c>
    </row>
    <row r="59712" spans="9:9" x14ac:dyDescent="0.2">
      <c r="I59712" s="137" t="s">
        <v>74</v>
      </c>
    </row>
    <row r="59713" spans="9:9" x14ac:dyDescent="0.2">
      <c r="I59713" s="137" t="s">
        <v>74</v>
      </c>
    </row>
    <row r="59714" spans="9:9" x14ac:dyDescent="0.2">
      <c r="I59714" s="137" t="s">
        <v>74</v>
      </c>
    </row>
    <row r="59715" spans="9:9" x14ac:dyDescent="0.2">
      <c r="I59715" s="137" t="s">
        <v>74</v>
      </c>
    </row>
    <row r="59716" spans="9:9" x14ac:dyDescent="0.2">
      <c r="I59716" s="137" t="s">
        <v>74</v>
      </c>
    </row>
    <row r="59717" spans="9:9" x14ac:dyDescent="0.2">
      <c r="I59717" s="137" t="s">
        <v>74</v>
      </c>
    </row>
    <row r="59718" spans="9:9" x14ac:dyDescent="0.2">
      <c r="I59718" s="137" t="s">
        <v>74</v>
      </c>
    </row>
    <row r="59719" spans="9:9" x14ac:dyDescent="0.2">
      <c r="I59719" s="137" t="s">
        <v>74</v>
      </c>
    </row>
    <row r="59720" spans="9:9" x14ac:dyDescent="0.2">
      <c r="I59720" s="137" t="s">
        <v>74</v>
      </c>
    </row>
    <row r="59721" spans="9:9" x14ac:dyDescent="0.2">
      <c r="I59721" s="137" t="s">
        <v>74</v>
      </c>
    </row>
    <row r="59722" spans="9:9" x14ac:dyDescent="0.2">
      <c r="I59722" s="137" t="s">
        <v>74</v>
      </c>
    </row>
    <row r="59723" spans="9:9" x14ac:dyDescent="0.2">
      <c r="I59723" s="137" t="s">
        <v>74</v>
      </c>
    </row>
    <row r="59724" spans="9:9" x14ac:dyDescent="0.2">
      <c r="I59724" s="137" t="s">
        <v>74</v>
      </c>
    </row>
    <row r="59725" spans="9:9" x14ac:dyDescent="0.2">
      <c r="I59725" s="137" t="s">
        <v>74</v>
      </c>
    </row>
    <row r="59726" spans="9:9" x14ac:dyDescent="0.2">
      <c r="I59726" s="137" t="s">
        <v>74</v>
      </c>
    </row>
    <row r="59727" spans="9:9" x14ac:dyDescent="0.2">
      <c r="I59727" s="137" t="s">
        <v>74</v>
      </c>
    </row>
    <row r="59728" spans="9:9" x14ac:dyDescent="0.2">
      <c r="I59728" s="137" t="s">
        <v>74</v>
      </c>
    </row>
    <row r="59729" spans="9:9" x14ac:dyDescent="0.2">
      <c r="I59729" s="137" t="s">
        <v>74</v>
      </c>
    </row>
    <row r="59730" spans="9:9" x14ac:dyDescent="0.2">
      <c r="I59730" s="137" t="s">
        <v>74</v>
      </c>
    </row>
    <row r="59731" spans="9:9" x14ac:dyDescent="0.2">
      <c r="I59731" s="137" t="s">
        <v>74</v>
      </c>
    </row>
    <row r="59732" spans="9:9" x14ac:dyDescent="0.2">
      <c r="I59732" s="137" t="s">
        <v>74</v>
      </c>
    </row>
    <row r="59733" spans="9:9" x14ac:dyDescent="0.2">
      <c r="I59733" s="137" t="s">
        <v>74</v>
      </c>
    </row>
    <row r="59734" spans="9:9" x14ac:dyDescent="0.2">
      <c r="I59734" s="137" t="s">
        <v>74</v>
      </c>
    </row>
    <row r="59735" spans="9:9" x14ac:dyDescent="0.2">
      <c r="I59735" s="137" t="s">
        <v>74</v>
      </c>
    </row>
    <row r="59736" spans="9:9" x14ac:dyDescent="0.2">
      <c r="I59736" s="137" t="s">
        <v>74</v>
      </c>
    </row>
    <row r="59737" spans="9:9" x14ac:dyDescent="0.2">
      <c r="I59737" s="137" t="s">
        <v>74</v>
      </c>
    </row>
    <row r="59738" spans="9:9" x14ac:dyDescent="0.2">
      <c r="I59738" s="137" t="s">
        <v>74</v>
      </c>
    </row>
    <row r="59739" spans="9:9" x14ac:dyDescent="0.2">
      <c r="I59739" s="137" t="s">
        <v>74</v>
      </c>
    </row>
    <row r="59740" spans="9:9" x14ac:dyDescent="0.2">
      <c r="I59740" s="137" t="s">
        <v>74</v>
      </c>
    </row>
    <row r="59741" spans="9:9" x14ac:dyDescent="0.2">
      <c r="I59741" s="137" t="s">
        <v>74</v>
      </c>
    </row>
    <row r="59742" spans="9:9" x14ac:dyDescent="0.2">
      <c r="I59742" s="137" t="s">
        <v>74</v>
      </c>
    </row>
    <row r="59743" spans="9:9" x14ac:dyDescent="0.2">
      <c r="I59743" s="137" t="s">
        <v>74</v>
      </c>
    </row>
    <row r="59744" spans="9:9" x14ac:dyDescent="0.2">
      <c r="I59744" s="137" t="s">
        <v>74</v>
      </c>
    </row>
    <row r="59745" spans="9:9" x14ac:dyDescent="0.2">
      <c r="I59745" s="137" t="s">
        <v>74</v>
      </c>
    </row>
    <row r="59746" spans="9:9" x14ac:dyDescent="0.2">
      <c r="I59746" s="137" t="s">
        <v>74</v>
      </c>
    </row>
    <row r="59747" spans="9:9" x14ac:dyDescent="0.2">
      <c r="I59747" s="137" t="s">
        <v>74</v>
      </c>
    </row>
    <row r="59748" spans="9:9" x14ac:dyDescent="0.2">
      <c r="I59748" s="137" t="s">
        <v>74</v>
      </c>
    </row>
    <row r="59749" spans="9:9" x14ac:dyDescent="0.2">
      <c r="I59749" s="137" t="s">
        <v>74</v>
      </c>
    </row>
    <row r="59750" spans="9:9" x14ac:dyDescent="0.2">
      <c r="I59750" s="137" t="s">
        <v>74</v>
      </c>
    </row>
    <row r="59751" spans="9:9" x14ac:dyDescent="0.2">
      <c r="I59751" s="137" t="s">
        <v>74</v>
      </c>
    </row>
    <row r="59752" spans="9:9" x14ac:dyDescent="0.2">
      <c r="I59752" s="137" t="s">
        <v>74</v>
      </c>
    </row>
    <row r="59753" spans="9:9" x14ac:dyDescent="0.2">
      <c r="I59753" s="137" t="s">
        <v>74</v>
      </c>
    </row>
    <row r="59754" spans="9:9" x14ac:dyDescent="0.2">
      <c r="I59754" s="137" t="s">
        <v>74</v>
      </c>
    </row>
    <row r="59755" spans="9:9" x14ac:dyDescent="0.2">
      <c r="I59755" s="137" t="s">
        <v>74</v>
      </c>
    </row>
    <row r="59756" spans="9:9" x14ac:dyDescent="0.2">
      <c r="I59756" s="137" t="s">
        <v>74</v>
      </c>
    </row>
    <row r="59757" spans="9:9" x14ac:dyDescent="0.2">
      <c r="I59757" s="137" t="s">
        <v>74</v>
      </c>
    </row>
    <row r="59758" spans="9:9" x14ac:dyDescent="0.2">
      <c r="I59758" s="137" t="s">
        <v>74</v>
      </c>
    </row>
    <row r="59759" spans="9:9" x14ac:dyDescent="0.2">
      <c r="I59759" s="137" t="s">
        <v>74</v>
      </c>
    </row>
    <row r="59760" spans="9:9" x14ac:dyDescent="0.2">
      <c r="I59760" s="137" t="s">
        <v>74</v>
      </c>
    </row>
    <row r="59761" spans="9:9" x14ac:dyDescent="0.2">
      <c r="I59761" s="137" t="s">
        <v>74</v>
      </c>
    </row>
    <row r="59762" spans="9:9" x14ac:dyDescent="0.2">
      <c r="I59762" s="137" t="s">
        <v>74</v>
      </c>
    </row>
    <row r="59763" spans="9:9" x14ac:dyDescent="0.2">
      <c r="I59763" s="137" t="s">
        <v>74</v>
      </c>
    </row>
    <row r="59764" spans="9:9" x14ac:dyDescent="0.2">
      <c r="I59764" s="137" t="s">
        <v>74</v>
      </c>
    </row>
    <row r="59765" spans="9:9" x14ac:dyDescent="0.2">
      <c r="I59765" s="137" t="s">
        <v>74</v>
      </c>
    </row>
    <row r="59766" spans="9:9" x14ac:dyDescent="0.2">
      <c r="I59766" s="137" t="s">
        <v>74</v>
      </c>
    </row>
    <row r="59767" spans="9:9" x14ac:dyDescent="0.2">
      <c r="I59767" s="137" t="s">
        <v>74</v>
      </c>
    </row>
    <row r="59768" spans="9:9" x14ac:dyDescent="0.2">
      <c r="I59768" s="137" t="s">
        <v>74</v>
      </c>
    </row>
    <row r="59769" spans="9:9" x14ac:dyDescent="0.2">
      <c r="I59769" s="137" t="s">
        <v>74</v>
      </c>
    </row>
    <row r="59770" spans="9:9" x14ac:dyDescent="0.2">
      <c r="I59770" s="137" t="s">
        <v>74</v>
      </c>
    </row>
    <row r="59771" spans="9:9" x14ac:dyDescent="0.2">
      <c r="I59771" s="137" t="s">
        <v>74</v>
      </c>
    </row>
    <row r="59772" spans="9:9" x14ac:dyDescent="0.2">
      <c r="I59772" s="137" t="s">
        <v>74</v>
      </c>
    </row>
    <row r="59773" spans="9:9" x14ac:dyDescent="0.2">
      <c r="I59773" s="137" t="s">
        <v>74</v>
      </c>
    </row>
    <row r="59774" spans="9:9" x14ac:dyDescent="0.2">
      <c r="I59774" s="137" t="s">
        <v>74</v>
      </c>
    </row>
    <row r="59775" spans="9:9" x14ac:dyDescent="0.2">
      <c r="I59775" s="137" t="s">
        <v>74</v>
      </c>
    </row>
    <row r="59776" spans="9:9" x14ac:dyDescent="0.2">
      <c r="I59776" s="137" t="s">
        <v>74</v>
      </c>
    </row>
    <row r="59777" spans="9:9" x14ac:dyDescent="0.2">
      <c r="I59777" s="137" t="s">
        <v>74</v>
      </c>
    </row>
    <row r="59778" spans="9:9" x14ac:dyDescent="0.2">
      <c r="I59778" s="137" t="s">
        <v>74</v>
      </c>
    </row>
    <row r="59779" spans="9:9" x14ac:dyDescent="0.2">
      <c r="I59779" s="137" t="s">
        <v>74</v>
      </c>
    </row>
    <row r="59780" spans="9:9" x14ac:dyDescent="0.2">
      <c r="I59780" s="137" t="s">
        <v>74</v>
      </c>
    </row>
    <row r="59781" spans="9:9" x14ac:dyDescent="0.2">
      <c r="I59781" s="137" t="s">
        <v>74</v>
      </c>
    </row>
    <row r="59782" spans="9:9" x14ac:dyDescent="0.2">
      <c r="I59782" s="137" t="s">
        <v>74</v>
      </c>
    </row>
    <row r="59783" spans="9:9" x14ac:dyDescent="0.2">
      <c r="I59783" s="137" t="s">
        <v>74</v>
      </c>
    </row>
    <row r="59784" spans="9:9" x14ac:dyDescent="0.2">
      <c r="I59784" s="137" t="s">
        <v>74</v>
      </c>
    </row>
    <row r="59785" spans="9:9" x14ac:dyDescent="0.2">
      <c r="I59785" s="137" t="s">
        <v>74</v>
      </c>
    </row>
    <row r="59786" spans="9:9" x14ac:dyDescent="0.2">
      <c r="I59786" s="137" t="s">
        <v>74</v>
      </c>
    </row>
    <row r="59787" spans="9:9" x14ac:dyDescent="0.2">
      <c r="I59787" s="137" t="s">
        <v>74</v>
      </c>
    </row>
    <row r="59788" spans="9:9" x14ac:dyDescent="0.2">
      <c r="I59788" s="137" t="s">
        <v>74</v>
      </c>
    </row>
    <row r="59789" spans="9:9" x14ac:dyDescent="0.2">
      <c r="I59789" s="137" t="s">
        <v>74</v>
      </c>
    </row>
    <row r="59790" spans="9:9" x14ac:dyDescent="0.2">
      <c r="I59790" s="137" t="s">
        <v>74</v>
      </c>
    </row>
    <row r="59791" spans="9:9" x14ac:dyDescent="0.2">
      <c r="I59791" s="137" t="s">
        <v>74</v>
      </c>
    </row>
    <row r="59792" spans="9:9" x14ac:dyDescent="0.2">
      <c r="I59792" s="137" t="s">
        <v>74</v>
      </c>
    </row>
    <row r="59793" spans="9:9" x14ac:dyDescent="0.2">
      <c r="I59793" s="137" t="s">
        <v>74</v>
      </c>
    </row>
    <row r="59794" spans="9:9" x14ac:dyDescent="0.2">
      <c r="I59794" s="137" t="s">
        <v>74</v>
      </c>
    </row>
    <row r="59795" spans="9:9" x14ac:dyDescent="0.2">
      <c r="I59795" s="137" t="s">
        <v>74</v>
      </c>
    </row>
    <row r="59796" spans="9:9" x14ac:dyDescent="0.2">
      <c r="I59796" s="137" t="s">
        <v>74</v>
      </c>
    </row>
    <row r="59797" spans="9:9" x14ac:dyDescent="0.2">
      <c r="I59797" s="137" t="s">
        <v>74</v>
      </c>
    </row>
    <row r="59798" spans="9:9" x14ac:dyDescent="0.2">
      <c r="I59798" s="137" t="s">
        <v>74</v>
      </c>
    </row>
    <row r="59799" spans="9:9" x14ac:dyDescent="0.2">
      <c r="I59799" s="137" t="s">
        <v>74</v>
      </c>
    </row>
    <row r="59800" spans="9:9" x14ac:dyDescent="0.2">
      <c r="I59800" s="137" t="s">
        <v>74</v>
      </c>
    </row>
    <row r="59801" spans="9:9" x14ac:dyDescent="0.2">
      <c r="I59801" s="137" t="s">
        <v>74</v>
      </c>
    </row>
    <row r="59802" spans="9:9" x14ac:dyDescent="0.2">
      <c r="I59802" s="137" t="s">
        <v>74</v>
      </c>
    </row>
    <row r="59803" spans="9:9" x14ac:dyDescent="0.2">
      <c r="I59803" s="137" t="s">
        <v>74</v>
      </c>
    </row>
    <row r="59804" spans="9:9" x14ac:dyDescent="0.2">
      <c r="I59804" s="137" t="s">
        <v>74</v>
      </c>
    </row>
    <row r="59805" spans="9:9" x14ac:dyDescent="0.2">
      <c r="I59805" s="137" t="s">
        <v>74</v>
      </c>
    </row>
    <row r="59806" spans="9:9" x14ac:dyDescent="0.2">
      <c r="I59806" s="137" t="s">
        <v>74</v>
      </c>
    </row>
    <row r="59807" spans="9:9" x14ac:dyDescent="0.2">
      <c r="I59807" s="137" t="s">
        <v>74</v>
      </c>
    </row>
    <row r="59808" spans="9:9" x14ac:dyDescent="0.2">
      <c r="I59808" s="137" t="s">
        <v>74</v>
      </c>
    </row>
    <row r="59809" spans="9:9" x14ac:dyDescent="0.2">
      <c r="I59809" s="137" t="s">
        <v>74</v>
      </c>
    </row>
    <row r="59810" spans="9:9" x14ac:dyDescent="0.2">
      <c r="I59810" s="137" t="s">
        <v>74</v>
      </c>
    </row>
    <row r="59811" spans="9:9" x14ac:dyDescent="0.2">
      <c r="I59811" s="137" t="s">
        <v>74</v>
      </c>
    </row>
    <row r="59812" spans="9:9" x14ac:dyDescent="0.2">
      <c r="I59812" s="137" t="s">
        <v>74</v>
      </c>
    </row>
    <row r="59813" spans="9:9" x14ac:dyDescent="0.2">
      <c r="I59813" s="137" t="s">
        <v>74</v>
      </c>
    </row>
    <row r="59814" spans="9:9" x14ac:dyDescent="0.2">
      <c r="I59814" s="137" t="s">
        <v>74</v>
      </c>
    </row>
    <row r="59815" spans="9:9" x14ac:dyDescent="0.2">
      <c r="I59815" s="137" t="s">
        <v>74</v>
      </c>
    </row>
    <row r="59816" spans="9:9" x14ac:dyDescent="0.2">
      <c r="I59816" s="137" t="s">
        <v>74</v>
      </c>
    </row>
    <row r="59817" spans="9:9" x14ac:dyDescent="0.2">
      <c r="I59817" s="137" t="s">
        <v>74</v>
      </c>
    </row>
    <row r="59818" spans="9:9" x14ac:dyDescent="0.2">
      <c r="I59818" s="137" t="s">
        <v>74</v>
      </c>
    </row>
    <row r="59819" spans="9:9" x14ac:dyDescent="0.2">
      <c r="I59819" s="137" t="s">
        <v>74</v>
      </c>
    </row>
    <row r="59820" spans="9:9" x14ac:dyDescent="0.2">
      <c r="I59820" s="137" t="s">
        <v>74</v>
      </c>
    </row>
    <row r="59821" spans="9:9" x14ac:dyDescent="0.2">
      <c r="I59821" s="137" t="s">
        <v>74</v>
      </c>
    </row>
    <row r="59822" spans="9:9" x14ac:dyDescent="0.2">
      <c r="I59822" s="137" t="s">
        <v>74</v>
      </c>
    </row>
    <row r="59823" spans="9:9" x14ac:dyDescent="0.2">
      <c r="I59823" s="137" t="s">
        <v>74</v>
      </c>
    </row>
    <row r="59824" spans="9:9" x14ac:dyDescent="0.2">
      <c r="I59824" s="137" t="s">
        <v>74</v>
      </c>
    </row>
    <row r="59825" spans="9:9" x14ac:dyDescent="0.2">
      <c r="I59825" s="137" t="s">
        <v>74</v>
      </c>
    </row>
    <row r="59826" spans="9:9" x14ac:dyDescent="0.2">
      <c r="I59826" s="137" t="s">
        <v>74</v>
      </c>
    </row>
    <row r="59827" spans="9:9" x14ac:dyDescent="0.2">
      <c r="I59827" s="137" t="s">
        <v>74</v>
      </c>
    </row>
    <row r="59828" spans="9:9" x14ac:dyDescent="0.2">
      <c r="I59828" s="137" t="s">
        <v>74</v>
      </c>
    </row>
    <row r="59829" spans="9:9" x14ac:dyDescent="0.2">
      <c r="I59829" s="137" t="s">
        <v>74</v>
      </c>
    </row>
    <row r="59830" spans="9:9" x14ac:dyDescent="0.2">
      <c r="I59830" s="137" t="s">
        <v>74</v>
      </c>
    </row>
    <row r="59831" spans="9:9" x14ac:dyDescent="0.2">
      <c r="I59831" s="137" t="s">
        <v>74</v>
      </c>
    </row>
    <row r="59832" spans="9:9" x14ac:dyDescent="0.2">
      <c r="I59832" s="137" t="s">
        <v>74</v>
      </c>
    </row>
    <row r="59833" spans="9:9" x14ac:dyDescent="0.2">
      <c r="I59833" s="137" t="s">
        <v>74</v>
      </c>
    </row>
    <row r="59834" spans="9:9" x14ac:dyDescent="0.2">
      <c r="I59834" s="137" t="s">
        <v>74</v>
      </c>
    </row>
    <row r="59835" spans="9:9" x14ac:dyDescent="0.2">
      <c r="I59835" s="137" t="s">
        <v>74</v>
      </c>
    </row>
    <row r="59836" spans="9:9" x14ac:dyDescent="0.2">
      <c r="I59836" s="137" t="s">
        <v>74</v>
      </c>
    </row>
    <row r="59837" spans="9:9" x14ac:dyDescent="0.2">
      <c r="I59837" s="137" t="s">
        <v>74</v>
      </c>
    </row>
    <row r="59838" spans="9:9" x14ac:dyDescent="0.2">
      <c r="I59838" s="137" t="s">
        <v>74</v>
      </c>
    </row>
    <row r="59839" spans="9:9" x14ac:dyDescent="0.2">
      <c r="I59839" s="137" t="s">
        <v>74</v>
      </c>
    </row>
    <row r="59840" spans="9:9" x14ac:dyDescent="0.2">
      <c r="I59840" s="137" t="s">
        <v>74</v>
      </c>
    </row>
    <row r="59841" spans="9:9" x14ac:dyDescent="0.2">
      <c r="I59841" s="137" t="s">
        <v>74</v>
      </c>
    </row>
    <row r="59842" spans="9:9" x14ac:dyDescent="0.2">
      <c r="I59842" s="137" t="s">
        <v>74</v>
      </c>
    </row>
    <row r="59843" spans="9:9" x14ac:dyDescent="0.2">
      <c r="I59843" s="137" t="s">
        <v>74</v>
      </c>
    </row>
    <row r="59844" spans="9:9" x14ac:dyDescent="0.2">
      <c r="I59844" s="137" t="s">
        <v>74</v>
      </c>
    </row>
    <row r="59845" spans="9:9" x14ac:dyDescent="0.2">
      <c r="I59845" s="137" t="s">
        <v>74</v>
      </c>
    </row>
    <row r="59846" spans="9:9" x14ac:dyDescent="0.2">
      <c r="I59846" s="137" t="s">
        <v>74</v>
      </c>
    </row>
    <row r="59847" spans="9:9" x14ac:dyDescent="0.2">
      <c r="I59847" s="137" t="s">
        <v>74</v>
      </c>
    </row>
    <row r="59848" spans="9:9" x14ac:dyDescent="0.2">
      <c r="I59848" s="137" t="s">
        <v>74</v>
      </c>
    </row>
    <row r="59849" spans="9:9" x14ac:dyDescent="0.2">
      <c r="I59849" s="137" t="s">
        <v>74</v>
      </c>
    </row>
    <row r="59850" spans="9:9" x14ac:dyDescent="0.2">
      <c r="I59850" s="137" t="s">
        <v>74</v>
      </c>
    </row>
    <row r="59851" spans="9:9" x14ac:dyDescent="0.2">
      <c r="I59851" s="137" t="s">
        <v>74</v>
      </c>
    </row>
    <row r="59852" spans="9:9" x14ac:dyDescent="0.2">
      <c r="I59852" s="137" t="s">
        <v>74</v>
      </c>
    </row>
    <row r="59853" spans="9:9" x14ac:dyDescent="0.2">
      <c r="I59853" s="137" t="s">
        <v>74</v>
      </c>
    </row>
    <row r="59854" spans="9:9" x14ac:dyDescent="0.2">
      <c r="I59854" s="137" t="s">
        <v>74</v>
      </c>
    </row>
    <row r="59855" spans="9:9" x14ac:dyDescent="0.2">
      <c r="I59855" s="137" t="s">
        <v>74</v>
      </c>
    </row>
    <row r="59856" spans="9:9" x14ac:dyDescent="0.2">
      <c r="I59856" s="137" t="s">
        <v>74</v>
      </c>
    </row>
    <row r="59857" spans="9:9" x14ac:dyDescent="0.2">
      <c r="I59857" s="137" t="s">
        <v>74</v>
      </c>
    </row>
    <row r="59858" spans="9:9" x14ac:dyDescent="0.2">
      <c r="I59858" s="137" t="s">
        <v>74</v>
      </c>
    </row>
    <row r="59859" spans="9:9" x14ac:dyDescent="0.2">
      <c r="I59859" s="137" t="s">
        <v>74</v>
      </c>
    </row>
    <row r="59860" spans="9:9" x14ac:dyDescent="0.2">
      <c r="I59860" s="137" t="s">
        <v>74</v>
      </c>
    </row>
    <row r="59861" spans="9:9" x14ac:dyDescent="0.2">
      <c r="I59861" s="137" t="s">
        <v>74</v>
      </c>
    </row>
    <row r="59862" spans="9:9" x14ac:dyDescent="0.2">
      <c r="I59862" s="137" t="s">
        <v>74</v>
      </c>
    </row>
    <row r="59863" spans="9:9" x14ac:dyDescent="0.2">
      <c r="I59863" s="137" t="s">
        <v>74</v>
      </c>
    </row>
    <row r="59864" spans="9:9" x14ac:dyDescent="0.2">
      <c r="I59864" s="137" t="s">
        <v>74</v>
      </c>
    </row>
    <row r="59865" spans="9:9" x14ac:dyDescent="0.2">
      <c r="I59865" s="137" t="s">
        <v>74</v>
      </c>
    </row>
    <row r="59866" spans="9:9" x14ac:dyDescent="0.2">
      <c r="I59866" s="137" t="s">
        <v>74</v>
      </c>
    </row>
    <row r="59867" spans="9:9" x14ac:dyDescent="0.2">
      <c r="I59867" s="137" t="s">
        <v>74</v>
      </c>
    </row>
    <row r="59868" spans="9:9" x14ac:dyDescent="0.2">
      <c r="I59868" s="137" t="s">
        <v>74</v>
      </c>
    </row>
    <row r="59869" spans="9:9" x14ac:dyDescent="0.2">
      <c r="I59869" s="137" t="s">
        <v>74</v>
      </c>
    </row>
    <row r="59870" spans="9:9" x14ac:dyDescent="0.2">
      <c r="I59870" s="137" t="s">
        <v>74</v>
      </c>
    </row>
    <row r="59871" spans="9:9" x14ac:dyDescent="0.2">
      <c r="I59871" s="137" t="s">
        <v>74</v>
      </c>
    </row>
    <row r="59872" spans="9:9" x14ac:dyDescent="0.2">
      <c r="I59872" s="137" t="s">
        <v>74</v>
      </c>
    </row>
    <row r="59873" spans="9:9" x14ac:dyDescent="0.2">
      <c r="I59873" s="137" t="s">
        <v>74</v>
      </c>
    </row>
    <row r="59874" spans="9:9" x14ac:dyDescent="0.2">
      <c r="I59874" s="137" t="s">
        <v>74</v>
      </c>
    </row>
    <row r="59875" spans="9:9" x14ac:dyDescent="0.2">
      <c r="I59875" s="137" t="s">
        <v>74</v>
      </c>
    </row>
    <row r="59876" spans="9:9" x14ac:dyDescent="0.2">
      <c r="I59876" s="137" t="s">
        <v>74</v>
      </c>
    </row>
    <row r="59877" spans="9:9" x14ac:dyDescent="0.2">
      <c r="I59877" s="137" t="s">
        <v>74</v>
      </c>
    </row>
    <row r="59878" spans="9:9" x14ac:dyDescent="0.2">
      <c r="I59878" s="137" t="s">
        <v>74</v>
      </c>
    </row>
    <row r="59879" spans="9:9" x14ac:dyDescent="0.2">
      <c r="I59879" s="137" t="s">
        <v>74</v>
      </c>
    </row>
    <row r="59880" spans="9:9" x14ac:dyDescent="0.2">
      <c r="I59880" s="137" t="s">
        <v>74</v>
      </c>
    </row>
    <row r="59881" spans="9:9" x14ac:dyDescent="0.2">
      <c r="I59881" s="137" t="s">
        <v>74</v>
      </c>
    </row>
    <row r="59882" spans="9:9" x14ac:dyDescent="0.2">
      <c r="I59882" s="137" t="s">
        <v>74</v>
      </c>
    </row>
    <row r="59883" spans="9:9" x14ac:dyDescent="0.2">
      <c r="I59883" s="137" t="s">
        <v>74</v>
      </c>
    </row>
    <row r="59884" spans="9:9" x14ac:dyDescent="0.2">
      <c r="I59884" s="137" t="s">
        <v>74</v>
      </c>
    </row>
    <row r="59885" spans="9:9" x14ac:dyDescent="0.2">
      <c r="I59885" s="137" t="s">
        <v>74</v>
      </c>
    </row>
    <row r="59886" spans="9:9" x14ac:dyDescent="0.2">
      <c r="I59886" s="137" t="s">
        <v>74</v>
      </c>
    </row>
    <row r="59887" spans="9:9" x14ac:dyDescent="0.2">
      <c r="I59887" s="137" t="s">
        <v>74</v>
      </c>
    </row>
    <row r="59888" spans="9:9" x14ac:dyDescent="0.2">
      <c r="I59888" s="137" t="s">
        <v>74</v>
      </c>
    </row>
    <row r="59889" spans="9:9" x14ac:dyDescent="0.2">
      <c r="I59889" s="137" t="s">
        <v>74</v>
      </c>
    </row>
    <row r="59890" spans="9:9" x14ac:dyDescent="0.2">
      <c r="I59890" s="137" t="s">
        <v>74</v>
      </c>
    </row>
    <row r="59891" spans="9:9" x14ac:dyDescent="0.2">
      <c r="I59891" s="137" t="s">
        <v>74</v>
      </c>
    </row>
    <row r="59892" spans="9:9" x14ac:dyDescent="0.2">
      <c r="I59892" s="137" t="s">
        <v>74</v>
      </c>
    </row>
    <row r="59893" spans="9:9" x14ac:dyDescent="0.2">
      <c r="I59893" s="137" t="s">
        <v>74</v>
      </c>
    </row>
    <row r="59894" spans="9:9" x14ac:dyDescent="0.2">
      <c r="I59894" s="137" t="s">
        <v>74</v>
      </c>
    </row>
    <row r="59895" spans="9:9" x14ac:dyDescent="0.2">
      <c r="I59895" s="137" t="s">
        <v>74</v>
      </c>
    </row>
    <row r="59896" spans="9:9" x14ac:dyDescent="0.2">
      <c r="I59896" s="137" t="s">
        <v>74</v>
      </c>
    </row>
    <row r="59897" spans="9:9" x14ac:dyDescent="0.2">
      <c r="I59897" s="137" t="s">
        <v>74</v>
      </c>
    </row>
    <row r="59898" spans="9:9" x14ac:dyDescent="0.2">
      <c r="I59898" s="137" t="s">
        <v>74</v>
      </c>
    </row>
    <row r="59899" spans="9:9" x14ac:dyDescent="0.2">
      <c r="I59899" s="137" t="s">
        <v>74</v>
      </c>
    </row>
    <row r="59900" spans="9:9" x14ac:dyDescent="0.2">
      <c r="I59900" s="137" t="s">
        <v>74</v>
      </c>
    </row>
    <row r="59901" spans="9:9" x14ac:dyDescent="0.2">
      <c r="I59901" s="137" t="s">
        <v>74</v>
      </c>
    </row>
    <row r="59902" spans="9:9" x14ac:dyDescent="0.2">
      <c r="I59902" s="137" t="s">
        <v>74</v>
      </c>
    </row>
    <row r="59903" spans="9:9" x14ac:dyDescent="0.2">
      <c r="I59903" s="137" t="s">
        <v>74</v>
      </c>
    </row>
    <row r="59904" spans="9:9" x14ac:dyDescent="0.2">
      <c r="I59904" s="137" t="s">
        <v>74</v>
      </c>
    </row>
    <row r="59905" spans="9:9" x14ac:dyDescent="0.2">
      <c r="I59905" s="137" t="s">
        <v>74</v>
      </c>
    </row>
    <row r="59906" spans="9:9" x14ac:dyDescent="0.2">
      <c r="I59906" s="137" t="s">
        <v>74</v>
      </c>
    </row>
    <row r="59907" spans="9:9" x14ac:dyDescent="0.2">
      <c r="I59907" s="137" t="s">
        <v>74</v>
      </c>
    </row>
    <row r="59908" spans="9:9" x14ac:dyDescent="0.2">
      <c r="I59908" s="137" t="s">
        <v>74</v>
      </c>
    </row>
    <row r="59909" spans="9:9" x14ac:dyDescent="0.2">
      <c r="I59909" s="137" t="s">
        <v>74</v>
      </c>
    </row>
    <row r="59910" spans="9:9" x14ac:dyDescent="0.2">
      <c r="I59910" s="137" t="s">
        <v>74</v>
      </c>
    </row>
    <row r="59911" spans="9:9" x14ac:dyDescent="0.2">
      <c r="I59911" s="137" t="s">
        <v>74</v>
      </c>
    </row>
    <row r="59912" spans="9:9" x14ac:dyDescent="0.2">
      <c r="I59912" s="137" t="s">
        <v>74</v>
      </c>
    </row>
    <row r="59913" spans="9:9" x14ac:dyDescent="0.2">
      <c r="I59913" s="137" t="s">
        <v>74</v>
      </c>
    </row>
    <row r="59914" spans="9:9" x14ac:dyDescent="0.2">
      <c r="I59914" s="137" t="s">
        <v>74</v>
      </c>
    </row>
    <row r="59915" spans="9:9" x14ac:dyDescent="0.2">
      <c r="I59915" s="137" t="s">
        <v>74</v>
      </c>
    </row>
    <row r="59916" spans="9:9" x14ac:dyDescent="0.2">
      <c r="I59916" s="137" t="s">
        <v>74</v>
      </c>
    </row>
    <row r="59917" spans="9:9" x14ac:dyDescent="0.2">
      <c r="I59917" s="137" t="s">
        <v>74</v>
      </c>
    </row>
    <row r="59918" spans="9:9" x14ac:dyDescent="0.2">
      <c r="I59918" s="137" t="s">
        <v>74</v>
      </c>
    </row>
    <row r="59919" spans="9:9" x14ac:dyDescent="0.2">
      <c r="I59919" s="137" t="s">
        <v>74</v>
      </c>
    </row>
    <row r="59920" spans="9:9" x14ac:dyDescent="0.2">
      <c r="I59920" s="137" t="s">
        <v>74</v>
      </c>
    </row>
    <row r="59921" spans="9:9" x14ac:dyDescent="0.2">
      <c r="I59921" s="137" t="s">
        <v>74</v>
      </c>
    </row>
    <row r="59922" spans="9:9" x14ac:dyDescent="0.2">
      <c r="I59922" s="137" t="s">
        <v>74</v>
      </c>
    </row>
    <row r="59923" spans="9:9" x14ac:dyDescent="0.2">
      <c r="I59923" s="137" t="s">
        <v>74</v>
      </c>
    </row>
    <row r="59924" spans="9:9" x14ac:dyDescent="0.2">
      <c r="I59924" s="137" t="s">
        <v>74</v>
      </c>
    </row>
    <row r="59925" spans="9:9" x14ac:dyDescent="0.2">
      <c r="I59925" s="137" t="s">
        <v>74</v>
      </c>
    </row>
    <row r="59926" spans="9:9" x14ac:dyDescent="0.2">
      <c r="I59926" s="137" t="s">
        <v>74</v>
      </c>
    </row>
    <row r="59927" spans="9:9" x14ac:dyDescent="0.2">
      <c r="I59927" s="137" t="s">
        <v>74</v>
      </c>
    </row>
    <row r="59928" spans="9:9" x14ac:dyDescent="0.2">
      <c r="I59928" s="137" t="s">
        <v>74</v>
      </c>
    </row>
    <row r="59929" spans="9:9" x14ac:dyDescent="0.2">
      <c r="I59929" s="137" t="s">
        <v>74</v>
      </c>
    </row>
    <row r="59930" spans="9:9" x14ac:dyDescent="0.2">
      <c r="I59930" s="137" t="s">
        <v>74</v>
      </c>
    </row>
    <row r="59931" spans="9:9" x14ac:dyDescent="0.2">
      <c r="I59931" s="137" t="s">
        <v>74</v>
      </c>
    </row>
    <row r="59932" spans="9:9" x14ac:dyDescent="0.2">
      <c r="I59932" s="137" t="s">
        <v>74</v>
      </c>
    </row>
    <row r="59933" spans="9:9" x14ac:dyDescent="0.2">
      <c r="I59933" s="137" t="s">
        <v>74</v>
      </c>
    </row>
    <row r="59934" spans="9:9" x14ac:dyDescent="0.2">
      <c r="I59934" s="137" t="s">
        <v>74</v>
      </c>
    </row>
    <row r="59935" spans="9:9" x14ac:dyDescent="0.2">
      <c r="I59935" s="137" t="s">
        <v>74</v>
      </c>
    </row>
    <row r="59936" spans="9:9" x14ac:dyDescent="0.2">
      <c r="I59936" s="137" t="s">
        <v>74</v>
      </c>
    </row>
    <row r="59937" spans="9:9" x14ac:dyDescent="0.2">
      <c r="I59937" s="137" t="s">
        <v>74</v>
      </c>
    </row>
    <row r="59938" spans="9:9" x14ac:dyDescent="0.2">
      <c r="I59938" s="137" t="s">
        <v>74</v>
      </c>
    </row>
    <row r="59939" spans="9:9" x14ac:dyDescent="0.2">
      <c r="I59939" s="137" t="s">
        <v>74</v>
      </c>
    </row>
    <row r="59940" spans="9:9" x14ac:dyDescent="0.2">
      <c r="I59940" s="137" t="s">
        <v>74</v>
      </c>
    </row>
    <row r="59941" spans="9:9" x14ac:dyDescent="0.2">
      <c r="I59941" s="137" t="s">
        <v>74</v>
      </c>
    </row>
    <row r="59942" spans="9:9" x14ac:dyDescent="0.2">
      <c r="I59942" s="137" t="s">
        <v>74</v>
      </c>
    </row>
    <row r="59943" spans="9:9" x14ac:dyDescent="0.2">
      <c r="I59943" s="137" t="s">
        <v>74</v>
      </c>
    </row>
    <row r="59944" spans="9:9" x14ac:dyDescent="0.2">
      <c r="I59944" s="137" t="s">
        <v>74</v>
      </c>
    </row>
    <row r="59945" spans="9:9" x14ac:dyDescent="0.2">
      <c r="I59945" s="137" t="s">
        <v>74</v>
      </c>
    </row>
    <row r="59946" spans="9:9" x14ac:dyDescent="0.2">
      <c r="I59946" s="137" t="s">
        <v>74</v>
      </c>
    </row>
    <row r="59947" spans="9:9" x14ac:dyDescent="0.2">
      <c r="I59947" s="137" t="s">
        <v>74</v>
      </c>
    </row>
    <row r="59948" spans="9:9" x14ac:dyDescent="0.2">
      <c r="I59948" s="137" t="s">
        <v>74</v>
      </c>
    </row>
    <row r="59949" spans="9:9" x14ac:dyDescent="0.2">
      <c r="I59949" s="137" t="s">
        <v>74</v>
      </c>
    </row>
    <row r="59950" spans="9:9" x14ac:dyDescent="0.2">
      <c r="I59950" s="137" t="s">
        <v>74</v>
      </c>
    </row>
    <row r="59951" spans="9:9" x14ac:dyDescent="0.2">
      <c r="I59951" s="137" t="s">
        <v>74</v>
      </c>
    </row>
    <row r="59952" spans="9:9" x14ac:dyDescent="0.2">
      <c r="I59952" s="137" t="s">
        <v>74</v>
      </c>
    </row>
    <row r="59953" spans="9:9" x14ac:dyDescent="0.2">
      <c r="I59953" s="137" t="s">
        <v>74</v>
      </c>
    </row>
    <row r="59954" spans="9:9" x14ac:dyDescent="0.2">
      <c r="I59954" s="137" t="s">
        <v>74</v>
      </c>
    </row>
    <row r="59955" spans="9:9" x14ac:dyDescent="0.2">
      <c r="I59955" s="137" t="s">
        <v>74</v>
      </c>
    </row>
    <row r="59956" spans="9:9" x14ac:dyDescent="0.2">
      <c r="I59956" s="137" t="s">
        <v>74</v>
      </c>
    </row>
    <row r="59957" spans="9:9" x14ac:dyDescent="0.2">
      <c r="I59957" s="137" t="s">
        <v>74</v>
      </c>
    </row>
    <row r="59958" spans="9:9" x14ac:dyDescent="0.2">
      <c r="I59958" s="137" t="s">
        <v>74</v>
      </c>
    </row>
    <row r="59959" spans="9:9" x14ac:dyDescent="0.2">
      <c r="I59959" s="137" t="s">
        <v>74</v>
      </c>
    </row>
    <row r="59960" spans="9:9" x14ac:dyDescent="0.2">
      <c r="I59960" s="137" t="s">
        <v>74</v>
      </c>
    </row>
    <row r="59961" spans="9:9" x14ac:dyDescent="0.2">
      <c r="I59961" s="137" t="s">
        <v>74</v>
      </c>
    </row>
    <row r="59962" spans="9:9" x14ac:dyDescent="0.2">
      <c r="I59962" s="137" t="s">
        <v>74</v>
      </c>
    </row>
    <row r="59963" spans="9:9" x14ac:dyDescent="0.2">
      <c r="I59963" s="137" t="s">
        <v>74</v>
      </c>
    </row>
    <row r="59964" spans="9:9" x14ac:dyDescent="0.2">
      <c r="I59964" s="137" t="s">
        <v>74</v>
      </c>
    </row>
    <row r="59965" spans="9:9" x14ac:dyDescent="0.2">
      <c r="I59965" s="137" t="s">
        <v>74</v>
      </c>
    </row>
    <row r="59966" spans="9:9" x14ac:dyDescent="0.2">
      <c r="I59966" s="137" t="s">
        <v>74</v>
      </c>
    </row>
    <row r="59967" spans="9:9" x14ac:dyDescent="0.2">
      <c r="I59967" s="137" t="s">
        <v>74</v>
      </c>
    </row>
    <row r="59968" spans="9:9" x14ac:dyDescent="0.2">
      <c r="I59968" s="137" t="s">
        <v>74</v>
      </c>
    </row>
    <row r="59969" spans="9:9" x14ac:dyDescent="0.2">
      <c r="I59969" s="137" t="s">
        <v>74</v>
      </c>
    </row>
    <row r="59970" spans="9:9" x14ac:dyDescent="0.2">
      <c r="I59970" s="137" t="s">
        <v>74</v>
      </c>
    </row>
    <row r="59971" spans="9:9" x14ac:dyDescent="0.2">
      <c r="I59971" s="137" t="s">
        <v>74</v>
      </c>
    </row>
    <row r="59972" spans="9:9" x14ac:dyDescent="0.2">
      <c r="I59972" s="137" t="s">
        <v>74</v>
      </c>
    </row>
    <row r="59973" spans="9:9" x14ac:dyDescent="0.2">
      <c r="I59973" s="137" t="s">
        <v>74</v>
      </c>
    </row>
    <row r="59974" spans="9:9" x14ac:dyDescent="0.2">
      <c r="I59974" s="137" t="s">
        <v>74</v>
      </c>
    </row>
    <row r="59975" spans="9:9" x14ac:dyDescent="0.2">
      <c r="I59975" s="137" t="s">
        <v>74</v>
      </c>
    </row>
    <row r="59976" spans="9:9" x14ac:dyDescent="0.2">
      <c r="I59976" s="137" t="s">
        <v>74</v>
      </c>
    </row>
    <row r="59977" spans="9:9" x14ac:dyDescent="0.2">
      <c r="I59977" s="137" t="s">
        <v>74</v>
      </c>
    </row>
    <row r="59978" spans="9:9" x14ac:dyDescent="0.2">
      <c r="I59978" s="137" t="s">
        <v>74</v>
      </c>
    </row>
    <row r="59979" spans="9:9" x14ac:dyDescent="0.2">
      <c r="I59979" s="137" t="s">
        <v>74</v>
      </c>
    </row>
    <row r="59980" spans="9:9" x14ac:dyDescent="0.2">
      <c r="I59980" s="137" t="s">
        <v>74</v>
      </c>
    </row>
    <row r="59981" spans="9:9" x14ac:dyDescent="0.2">
      <c r="I59981" s="137" t="s">
        <v>74</v>
      </c>
    </row>
    <row r="59982" spans="9:9" x14ac:dyDescent="0.2">
      <c r="I59982" s="137" t="s">
        <v>74</v>
      </c>
    </row>
    <row r="59983" spans="9:9" x14ac:dyDescent="0.2">
      <c r="I59983" s="137" t="s">
        <v>74</v>
      </c>
    </row>
    <row r="59984" spans="9:9" x14ac:dyDescent="0.2">
      <c r="I59984" s="137" t="s">
        <v>74</v>
      </c>
    </row>
    <row r="59985" spans="9:9" x14ac:dyDescent="0.2">
      <c r="I59985" s="137" t="s">
        <v>74</v>
      </c>
    </row>
    <row r="59986" spans="9:9" x14ac:dyDescent="0.2">
      <c r="I59986" s="137" t="s">
        <v>74</v>
      </c>
    </row>
    <row r="59987" spans="9:9" x14ac:dyDescent="0.2">
      <c r="I59987" s="137" t="s">
        <v>74</v>
      </c>
    </row>
    <row r="59988" spans="9:9" x14ac:dyDescent="0.2">
      <c r="I59988" s="137" t="s">
        <v>74</v>
      </c>
    </row>
    <row r="59989" spans="9:9" x14ac:dyDescent="0.2">
      <c r="I59989" s="137" t="s">
        <v>74</v>
      </c>
    </row>
    <row r="59990" spans="9:9" x14ac:dyDescent="0.2">
      <c r="I59990" s="137" t="s">
        <v>74</v>
      </c>
    </row>
    <row r="59991" spans="9:9" x14ac:dyDescent="0.2">
      <c r="I59991" s="137" t="s">
        <v>74</v>
      </c>
    </row>
    <row r="59992" spans="9:9" x14ac:dyDescent="0.2">
      <c r="I59992" s="137" t="s">
        <v>74</v>
      </c>
    </row>
    <row r="59993" spans="9:9" x14ac:dyDescent="0.2">
      <c r="I59993" s="137" t="s">
        <v>74</v>
      </c>
    </row>
    <row r="59994" spans="9:9" x14ac:dyDescent="0.2">
      <c r="I59994" s="137" t="s">
        <v>74</v>
      </c>
    </row>
    <row r="59995" spans="9:9" x14ac:dyDescent="0.2">
      <c r="I59995" s="137" t="s">
        <v>74</v>
      </c>
    </row>
    <row r="59996" spans="9:9" x14ac:dyDescent="0.2">
      <c r="I59996" s="137" t="s">
        <v>74</v>
      </c>
    </row>
    <row r="59997" spans="9:9" x14ac:dyDescent="0.2">
      <c r="I59997" s="137" t="s">
        <v>74</v>
      </c>
    </row>
    <row r="59998" spans="9:9" x14ac:dyDescent="0.2">
      <c r="I59998" s="137" t="s">
        <v>74</v>
      </c>
    </row>
    <row r="59999" spans="9:9" x14ac:dyDescent="0.2">
      <c r="I59999" s="137" t="s">
        <v>74</v>
      </c>
    </row>
    <row r="60000" spans="9:9" x14ac:dyDescent="0.2">
      <c r="I60000" s="137" t="s">
        <v>74</v>
      </c>
    </row>
    <row r="60001" spans="9:9" x14ac:dyDescent="0.2">
      <c r="I60001" s="137" t="s">
        <v>74</v>
      </c>
    </row>
    <row r="60002" spans="9:9" x14ac:dyDescent="0.2">
      <c r="I60002" s="137" t="s">
        <v>74</v>
      </c>
    </row>
    <row r="60003" spans="9:9" x14ac:dyDescent="0.2">
      <c r="I60003" s="137" t="s">
        <v>74</v>
      </c>
    </row>
    <row r="60004" spans="9:9" x14ac:dyDescent="0.2">
      <c r="I60004" s="137" t="s">
        <v>74</v>
      </c>
    </row>
    <row r="60005" spans="9:9" x14ac:dyDescent="0.2">
      <c r="I60005" s="137" t="s">
        <v>74</v>
      </c>
    </row>
    <row r="60006" spans="9:9" x14ac:dyDescent="0.2">
      <c r="I60006" s="137" t="s">
        <v>74</v>
      </c>
    </row>
    <row r="60007" spans="9:9" x14ac:dyDescent="0.2">
      <c r="I60007" s="137" t="s">
        <v>74</v>
      </c>
    </row>
    <row r="60008" spans="9:9" x14ac:dyDescent="0.2">
      <c r="I60008" s="137" t="s">
        <v>74</v>
      </c>
    </row>
    <row r="60009" spans="9:9" x14ac:dyDescent="0.2">
      <c r="I60009" s="137" t="s">
        <v>74</v>
      </c>
    </row>
    <row r="60010" spans="9:9" x14ac:dyDescent="0.2">
      <c r="I60010" s="137" t="s">
        <v>74</v>
      </c>
    </row>
    <row r="60011" spans="9:9" x14ac:dyDescent="0.2">
      <c r="I60011" s="137" t="s">
        <v>74</v>
      </c>
    </row>
    <row r="60012" spans="9:9" x14ac:dyDescent="0.2">
      <c r="I60012" s="137" t="s">
        <v>74</v>
      </c>
    </row>
    <row r="60013" spans="9:9" x14ac:dyDescent="0.2">
      <c r="I60013" s="137" t="s">
        <v>74</v>
      </c>
    </row>
    <row r="60014" spans="9:9" x14ac:dyDescent="0.2">
      <c r="I60014" s="137" t="s">
        <v>74</v>
      </c>
    </row>
    <row r="60015" spans="9:9" x14ac:dyDescent="0.2">
      <c r="I60015" s="137" t="s">
        <v>74</v>
      </c>
    </row>
    <row r="60016" spans="9:9" x14ac:dyDescent="0.2">
      <c r="I60016" s="137" t="s">
        <v>74</v>
      </c>
    </row>
    <row r="60017" spans="9:9" x14ac:dyDescent="0.2">
      <c r="I60017" s="137" t="s">
        <v>74</v>
      </c>
    </row>
    <row r="60018" spans="9:9" x14ac:dyDescent="0.2">
      <c r="I60018" s="137" t="s">
        <v>74</v>
      </c>
    </row>
    <row r="60019" spans="9:9" x14ac:dyDescent="0.2">
      <c r="I60019" s="137" t="s">
        <v>74</v>
      </c>
    </row>
    <row r="60020" spans="9:9" x14ac:dyDescent="0.2">
      <c r="I60020" s="137" t="s">
        <v>74</v>
      </c>
    </row>
    <row r="60021" spans="9:9" x14ac:dyDescent="0.2">
      <c r="I60021" s="137" t="s">
        <v>74</v>
      </c>
    </row>
    <row r="60022" spans="9:9" x14ac:dyDescent="0.2">
      <c r="I60022" s="137" t="s">
        <v>74</v>
      </c>
    </row>
    <row r="60023" spans="9:9" x14ac:dyDescent="0.2">
      <c r="I60023" s="137" t="s">
        <v>74</v>
      </c>
    </row>
    <row r="60024" spans="9:9" x14ac:dyDescent="0.2">
      <c r="I60024" s="137" t="s">
        <v>74</v>
      </c>
    </row>
    <row r="60025" spans="9:9" x14ac:dyDescent="0.2">
      <c r="I60025" s="137" t="s">
        <v>74</v>
      </c>
    </row>
    <row r="60026" spans="9:9" x14ac:dyDescent="0.2">
      <c r="I60026" s="137" t="s">
        <v>74</v>
      </c>
    </row>
    <row r="60027" spans="9:9" x14ac:dyDescent="0.2">
      <c r="I60027" s="137" t="s">
        <v>74</v>
      </c>
    </row>
    <row r="60028" spans="9:9" x14ac:dyDescent="0.2">
      <c r="I60028" s="137" t="s">
        <v>74</v>
      </c>
    </row>
    <row r="60029" spans="9:9" x14ac:dyDescent="0.2">
      <c r="I60029" s="137" t="s">
        <v>74</v>
      </c>
    </row>
    <row r="60030" spans="9:9" x14ac:dyDescent="0.2">
      <c r="I60030" s="137" t="s">
        <v>74</v>
      </c>
    </row>
    <row r="60031" spans="9:9" x14ac:dyDescent="0.2">
      <c r="I60031" s="137" t="s">
        <v>74</v>
      </c>
    </row>
    <row r="60032" spans="9:9" x14ac:dyDescent="0.2">
      <c r="I60032" s="137" t="s">
        <v>74</v>
      </c>
    </row>
    <row r="60033" spans="9:9" x14ac:dyDescent="0.2">
      <c r="I60033" s="137" t="s">
        <v>74</v>
      </c>
    </row>
    <row r="60034" spans="9:9" x14ac:dyDescent="0.2">
      <c r="I60034" s="137" t="s">
        <v>74</v>
      </c>
    </row>
    <row r="60035" spans="9:9" x14ac:dyDescent="0.2">
      <c r="I60035" s="137" t="s">
        <v>74</v>
      </c>
    </row>
    <row r="60036" spans="9:9" x14ac:dyDescent="0.2">
      <c r="I60036" s="137" t="s">
        <v>74</v>
      </c>
    </row>
    <row r="60037" spans="9:9" x14ac:dyDescent="0.2">
      <c r="I60037" s="137" t="s">
        <v>74</v>
      </c>
    </row>
    <row r="60038" spans="9:9" x14ac:dyDescent="0.2">
      <c r="I60038" s="137" t="s">
        <v>74</v>
      </c>
    </row>
    <row r="60039" spans="9:9" x14ac:dyDescent="0.2">
      <c r="I60039" s="137" t="s">
        <v>74</v>
      </c>
    </row>
    <row r="60040" spans="9:9" x14ac:dyDescent="0.2">
      <c r="I60040" s="137" t="s">
        <v>74</v>
      </c>
    </row>
    <row r="60041" spans="9:9" x14ac:dyDescent="0.2">
      <c r="I60041" s="137" t="s">
        <v>74</v>
      </c>
    </row>
    <row r="60042" spans="9:9" x14ac:dyDescent="0.2">
      <c r="I60042" s="137" t="s">
        <v>74</v>
      </c>
    </row>
    <row r="60043" spans="9:9" x14ac:dyDescent="0.2">
      <c r="I60043" s="137" t="s">
        <v>74</v>
      </c>
    </row>
    <row r="60044" spans="9:9" x14ac:dyDescent="0.2">
      <c r="I60044" s="137" t="s">
        <v>74</v>
      </c>
    </row>
    <row r="60045" spans="9:9" x14ac:dyDescent="0.2">
      <c r="I60045" s="137" t="s">
        <v>74</v>
      </c>
    </row>
    <row r="60046" spans="9:9" x14ac:dyDescent="0.2">
      <c r="I60046" s="137" t="s">
        <v>74</v>
      </c>
    </row>
    <row r="60047" spans="9:9" x14ac:dyDescent="0.2">
      <c r="I60047" s="137" t="s">
        <v>74</v>
      </c>
    </row>
    <row r="60048" spans="9:9" x14ac:dyDescent="0.2">
      <c r="I60048" s="137" t="s">
        <v>74</v>
      </c>
    </row>
    <row r="60049" spans="9:9" x14ac:dyDescent="0.2">
      <c r="I60049" s="137" t="s">
        <v>74</v>
      </c>
    </row>
    <row r="60050" spans="9:9" x14ac:dyDescent="0.2">
      <c r="I60050" s="137" t="s">
        <v>74</v>
      </c>
    </row>
    <row r="60051" spans="9:9" x14ac:dyDescent="0.2">
      <c r="I60051" s="137" t="s">
        <v>74</v>
      </c>
    </row>
    <row r="60052" spans="9:9" x14ac:dyDescent="0.2">
      <c r="I60052" s="137" t="s">
        <v>74</v>
      </c>
    </row>
    <row r="60053" spans="9:9" x14ac:dyDescent="0.2">
      <c r="I60053" s="137" t="s">
        <v>74</v>
      </c>
    </row>
    <row r="60054" spans="9:9" x14ac:dyDescent="0.2">
      <c r="I60054" s="137" t="s">
        <v>74</v>
      </c>
    </row>
    <row r="60055" spans="9:9" x14ac:dyDescent="0.2">
      <c r="I60055" s="137" t="s">
        <v>74</v>
      </c>
    </row>
    <row r="60056" spans="9:9" x14ac:dyDescent="0.2">
      <c r="I60056" s="137" t="s">
        <v>74</v>
      </c>
    </row>
    <row r="60057" spans="9:9" x14ac:dyDescent="0.2">
      <c r="I60057" s="137" t="s">
        <v>74</v>
      </c>
    </row>
    <row r="60058" spans="9:9" x14ac:dyDescent="0.2">
      <c r="I60058" s="137" t="s">
        <v>74</v>
      </c>
    </row>
    <row r="60059" spans="9:9" x14ac:dyDescent="0.2">
      <c r="I60059" s="137" t="s">
        <v>74</v>
      </c>
    </row>
    <row r="60060" spans="9:9" x14ac:dyDescent="0.2">
      <c r="I60060" s="137" t="s">
        <v>74</v>
      </c>
    </row>
    <row r="60061" spans="9:9" x14ac:dyDescent="0.2">
      <c r="I60061" s="137" t="s">
        <v>74</v>
      </c>
    </row>
    <row r="60062" spans="9:9" x14ac:dyDescent="0.2">
      <c r="I60062" s="137" t="s">
        <v>74</v>
      </c>
    </row>
    <row r="60063" spans="9:9" x14ac:dyDescent="0.2">
      <c r="I60063" s="137" t="s">
        <v>74</v>
      </c>
    </row>
    <row r="60064" spans="9:9" x14ac:dyDescent="0.2">
      <c r="I60064" s="137" t="s">
        <v>74</v>
      </c>
    </row>
    <row r="60065" spans="9:9" x14ac:dyDescent="0.2">
      <c r="I60065" s="137" t="s">
        <v>74</v>
      </c>
    </row>
    <row r="60066" spans="9:9" x14ac:dyDescent="0.2">
      <c r="I60066" s="137" t="s">
        <v>74</v>
      </c>
    </row>
    <row r="60067" spans="9:9" x14ac:dyDescent="0.2">
      <c r="I60067" s="137" t="s">
        <v>74</v>
      </c>
    </row>
    <row r="60068" spans="9:9" x14ac:dyDescent="0.2">
      <c r="I60068" s="137" t="s">
        <v>74</v>
      </c>
    </row>
    <row r="60069" spans="9:9" x14ac:dyDescent="0.2">
      <c r="I60069" s="137" t="s">
        <v>74</v>
      </c>
    </row>
    <row r="60070" spans="9:9" x14ac:dyDescent="0.2">
      <c r="I60070" s="137" t="s">
        <v>74</v>
      </c>
    </row>
    <row r="60071" spans="9:9" x14ac:dyDescent="0.2">
      <c r="I60071" s="137" t="s">
        <v>74</v>
      </c>
    </row>
    <row r="60072" spans="9:9" x14ac:dyDescent="0.2">
      <c r="I60072" s="137" t="s">
        <v>74</v>
      </c>
    </row>
    <row r="60073" spans="9:9" x14ac:dyDescent="0.2">
      <c r="I60073" s="137" t="s">
        <v>74</v>
      </c>
    </row>
    <row r="60074" spans="9:9" x14ac:dyDescent="0.2">
      <c r="I60074" s="137" t="s">
        <v>74</v>
      </c>
    </row>
    <row r="60075" spans="9:9" x14ac:dyDescent="0.2">
      <c r="I60075" s="137" t="s">
        <v>74</v>
      </c>
    </row>
    <row r="60076" spans="9:9" x14ac:dyDescent="0.2">
      <c r="I60076" s="137" t="s">
        <v>74</v>
      </c>
    </row>
    <row r="60077" spans="9:9" x14ac:dyDescent="0.2">
      <c r="I60077" s="137" t="s">
        <v>74</v>
      </c>
    </row>
    <row r="60078" spans="9:9" x14ac:dyDescent="0.2">
      <c r="I60078" s="137" t="s">
        <v>74</v>
      </c>
    </row>
    <row r="60079" spans="9:9" x14ac:dyDescent="0.2">
      <c r="I60079" s="137" t="s">
        <v>74</v>
      </c>
    </row>
    <row r="60080" spans="9:9" x14ac:dyDescent="0.2">
      <c r="I60080" s="137" t="s">
        <v>74</v>
      </c>
    </row>
    <row r="60081" spans="9:9" x14ac:dyDescent="0.2">
      <c r="I60081" s="137" t="s">
        <v>74</v>
      </c>
    </row>
    <row r="60082" spans="9:9" x14ac:dyDescent="0.2">
      <c r="I60082" s="137" t="s">
        <v>74</v>
      </c>
    </row>
    <row r="60083" spans="9:9" x14ac:dyDescent="0.2">
      <c r="I60083" s="137" t="s">
        <v>74</v>
      </c>
    </row>
    <row r="60084" spans="9:9" x14ac:dyDescent="0.2">
      <c r="I60084" s="137" t="s">
        <v>74</v>
      </c>
    </row>
    <row r="60085" spans="9:9" x14ac:dyDescent="0.2">
      <c r="I60085" s="137" t="s">
        <v>74</v>
      </c>
    </row>
    <row r="60086" spans="9:9" x14ac:dyDescent="0.2">
      <c r="I60086" s="137" t="s">
        <v>74</v>
      </c>
    </row>
    <row r="60087" spans="9:9" x14ac:dyDescent="0.2">
      <c r="I60087" s="137" t="s">
        <v>74</v>
      </c>
    </row>
    <row r="60088" spans="9:9" x14ac:dyDescent="0.2">
      <c r="I60088" s="137" t="s">
        <v>74</v>
      </c>
    </row>
    <row r="60089" spans="9:9" x14ac:dyDescent="0.2">
      <c r="I60089" s="137" t="s">
        <v>74</v>
      </c>
    </row>
    <row r="60090" spans="9:9" x14ac:dyDescent="0.2">
      <c r="I60090" s="137" t="s">
        <v>74</v>
      </c>
    </row>
    <row r="60091" spans="9:9" x14ac:dyDescent="0.2">
      <c r="I60091" s="137" t="s">
        <v>74</v>
      </c>
    </row>
    <row r="60092" spans="9:9" x14ac:dyDescent="0.2">
      <c r="I60092" s="137" t="s">
        <v>74</v>
      </c>
    </row>
    <row r="60093" spans="9:9" x14ac:dyDescent="0.2">
      <c r="I60093" s="137" t="s">
        <v>74</v>
      </c>
    </row>
    <row r="60094" spans="9:9" x14ac:dyDescent="0.2">
      <c r="I60094" s="137" t="s">
        <v>74</v>
      </c>
    </row>
    <row r="60095" spans="9:9" x14ac:dyDescent="0.2">
      <c r="I60095" s="137" t="s">
        <v>74</v>
      </c>
    </row>
    <row r="60096" spans="9:9" x14ac:dyDescent="0.2">
      <c r="I60096" s="137" t="s">
        <v>74</v>
      </c>
    </row>
    <row r="60097" spans="9:9" x14ac:dyDescent="0.2">
      <c r="I60097" s="137" t="s">
        <v>74</v>
      </c>
    </row>
    <row r="60098" spans="9:9" x14ac:dyDescent="0.2">
      <c r="I60098" s="137" t="s">
        <v>74</v>
      </c>
    </row>
    <row r="60099" spans="9:9" x14ac:dyDescent="0.2">
      <c r="I60099" s="137" t="s">
        <v>74</v>
      </c>
    </row>
    <row r="60100" spans="9:9" x14ac:dyDescent="0.2">
      <c r="I60100" s="137" t="s">
        <v>74</v>
      </c>
    </row>
    <row r="60101" spans="9:9" x14ac:dyDescent="0.2">
      <c r="I60101" s="137" t="s">
        <v>74</v>
      </c>
    </row>
    <row r="60102" spans="9:9" x14ac:dyDescent="0.2">
      <c r="I60102" s="137" t="s">
        <v>74</v>
      </c>
    </row>
    <row r="60103" spans="9:9" x14ac:dyDescent="0.2">
      <c r="I60103" s="137" t="s">
        <v>74</v>
      </c>
    </row>
    <row r="60104" spans="9:9" x14ac:dyDescent="0.2">
      <c r="I60104" s="137" t="s">
        <v>74</v>
      </c>
    </row>
    <row r="60105" spans="9:9" x14ac:dyDescent="0.2">
      <c r="I60105" s="137" t="s">
        <v>74</v>
      </c>
    </row>
    <row r="60106" spans="9:9" x14ac:dyDescent="0.2">
      <c r="I60106" s="137" t="s">
        <v>74</v>
      </c>
    </row>
    <row r="60107" spans="9:9" x14ac:dyDescent="0.2">
      <c r="I60107" s="137" t="s">
        <v>74</v>
      </c>
    </row>
    <row r="60108" spans="9:9" x14ac:dyDescent="0.2">
      <c r="I60108" s="137" t="s">
        <v>74</v>
      </c>
    </row>
    <row r="60109" spans="9:9" x14ac:dyDescent="0.2">
      <c r="I60109" s="137" t="s">
        <v>74</v>
      </c>
    </row>
    <row r="60110" spans="9:9" x14ac:dyDescent="0.2">
      <c r="I60110" s="137" t="s">
        <v>74</v>
      </c>
    </row>
    <row r="60111" spans="9:9" x14ac:dyDescent="0.2">
      <c r="I60111" s="137" t="s">
        <v>74</v>
      </c>
    </row>
    <row r="60112" spans="9:9" x14ac:dyDescent="0.2">
      <c r="I60112" s="137" t="s">
        <v>74</v>
      </c>
    </row>
    <row r="60113" spans="9:9" x14ac:dyDescent="0.2">
      <c r="I60113" s="137" t="s">
        <v>74</v>
      </c>
    </row>
    <row r="60114" spans="9:9" x14ac:dyDescent="0.2">
      <c r="I60114" s="137" t="s">
        <v>74</v>
      </c>
    </row>
    <row r="60115" spans="9:9" x14ac:dyDescent="0.2">
      <c r="I60115" s="137" t="s">
        <v>74</v>
      </c>
    </row>
    <row r="60116" spans="9:9" x14ac:dyDescent="0.2">
      <c r="I60116" s="137" t="s">
        <v>74</v>
      </c>
    </row>
    <row r="60117" spans="9:9" x14ac:dyDescent="0.2">
      <c r="I60117" s="137" t="s">
        <v>74</v>
      </c>
    </row>
    <row r="60118" spans="9:9" x14ac:dyDescent="0.2">
      <c r="I60118" s="137" t="s">
        <v>74</v>
      </c>
    </row>
    <row r="60119" spans="9:9" x14ac:dyDescent="0.2">
      <c r="I60119" s="137" t="s">
        <v>74</v>
      </c>
    </row>
    <row r="60120" spans="9:9" x14ac:dyDescent="0.2">
      <c r="I60120" s="137" t="s">
        <v>74</v>
      </c>
    </row>
    <row r="60121" spans="9:9" x14ac:dyDescent="0.2">
      <c r="I60121" s="137" t="s">
        <v>74</v>
      </c>
    </row>
    <row r="60122" spans="9:9" x14ac:dyDescent="0.2">
      <c r="I60122" s="137" t="s">
        <v>74</v>
      </c>
    </row>
    <row r="60123" spans="9:9" x14ac:dyDescent="0.2">
      <c r="I60123" s="137" t="s">
        <v>74</v>
      </c>
    </row>
    <row r="60124" spans="9:9" x14ac:dyDescent="0.2">
      <c r="I60124" s="137" t="s">
        <v>74</v>
      </c>
    </row>
    <row r="60125" spans="9:9" x14ac:dyDescent="0.2">
      <c r="I60125" s="137" t="s">
        <v>74</v>
      </c>
    </row>
    <row r="60126" spans="9:9" x14ac:dyDescent="0.2">
      <c r="I60126" s="137" t="s">
        <v>74</v>
      </c>
    </row>
    <row r="60127" spans="9:9" x14ac:dyDescent="0.2">
      <c r="I60127" s="137" t="s">
        <v>74</v>
      </c>
    </row>
    <row r="60128" spans="9:9" x14ac:dyDescent="0.2">
      <c r="I60128" s="137" t="s">
        <v>74</v>
      </c>
    </row>
    <row r="60129" spans="9:9" x14ac:dyDescent="0.2">
      <c r="I60129" s="137" t="s">
        <v>74</v>
      </c>
    </row>
    <row r="60130" spans="9:9" x14ac:dyDescent="0.2">
      <c r="I60130" s="137" t="s">
        <v>74</v>
      </c>
    </row>
    <row r="60131" spans="9:9" x14ac:dyDescent="0.2">
      <c r="I60131" s="137" t="s">
        <v>74</v>
      </c>
    </row>
    <row r="60132" spans="9:9" x14ac:dyDescent="0.2">
      <c r="I60132" s="137" t="s">
        <v>74</v>
      </c>
    </row>
    <row r="60133" spans="9:9" x14ac:dyDescent="0.2">
      <c r="I60133" s="137" t="s">
        <v>74</v>
      </c>
    </row>
    <row r="60134" spans="9:9" x14ac:dyDescent="0.2">
      <c r="I60134" s="137" t="s">
        <v>74</v>
      </c>
    </row>
    <row r="60135" spans="9:9" x14ac:dyDescent="0.2">
      <c r="I60135" s="137" t="s">
        <v>74</v>
      </c>
    </row>
    <row r="60136" spans="9:9" x14ac:dyDescent="0.2">
      <c r="I60136" s="137" t="s">
        <v>74</v>
      </c>
    </row>
    <row r="60137" spans="9:9" x14ac:dyDescent="0.2">
      <c r="I60137" s="137" t="s">
        <v>74</v>
      </c>
    </row>
    <row r="60138" spans="9:9" x14ac:dyDescent="0.2">
      <c r="I60138" s="137" t="s">
        <v>74</v>
      </c>
    </row>
    <row r="60139" spans="9:9" x14ac:dyDescent="0.2">
      <c r="I60139" s="137" t="s">
        <v>74</v>
      </c>
    </row>
    <row r="60140" spans="9:9" x14ac:dyDescent="0.2">
      <c r="I60140" s="137" t="s">
        <v>74</v>
      </c>
    </row>
    <row r="60141" spans="9:9" x14ac:dyDescent="0.2">
      <c r="I60141" s="137" t="s">
        <v>74</v>
      </c>
    </row>
    <row r="60142" spans="9:9" x14ac:dyDescent="0.2">
      <c r="I60142" s="137" t="s">
        <v>74</v>
      </c>
    </row>
    <row r="60143" spans="9:9" x14ac:dyDescent="0.2">
      <c r="I60143" s="137" t="s">
        <v>74</v>
      </c>
    </row>
    <row r="60144" spans="9:9" x14ac:dyDescent="0.2">
      <c r="I60144" s="137" t="s">
        <v>74</v>
      </c>
    </row>
    <row r="60145" spans="9:9" x14ac:dyDescent="0.2">
      <c r="I60145" s="137" t="s">
        <v>74</v>
      </c>
    </row>
    <row r="60146" spans="9:9" x14ac:dyDescent="0.2">
      <c r="I60146" s="137" t="s">
        <v>74</v>
      </c>
    </row>
    <row r="60147" spans="9:9" x14ac:dyDescent="0.2">
      <c r="I60147" s="137" t="s">
        <v>74</v>
      </c>
    </row>
    <row r="60148" spans="9:9" x14ac:dyDescent="0.2">
      <c r="I60148" s="137" t="s">
        <v>74</v>
      </c>
    </row>
    <row r="60149" spans="9:9" x14ac:dyDescent="0.2">
      <c r="I60149" s="137" t="s">
        <v>74</v>
      </c>
    </row>
    <row r="60150" spans="9:9" x14ac:dyDescent="0.2">
      <c r="I60150" s="137" t="s">
        <v>74</v>
      </c>
    </row>
    <row r="60151" spans="9:9" x14ac:dyDescent="0.2">
      <c r="I60151" s="137" t="s">
        <v>74</v>
      </c>
    </row>
    <row r="60152" spans="9:9" x14ac:dyDescent="0.2">
      <c r="I60152" s="137" t="s">
        <v>74</v>
      </c>
    </row>
    <row r="60153" spans="9:9" x14ac:dyDescent="0.2">
      <c r="I60153" s="137" t="s">
        <v>74</v>
      </c>
    </row>
    <row r="60154" spans="9:9" x14ac:dyDescent="0.2">
      <c r="I60154" s="137" t="s">
        <v>74</v>
      </c>
    </row>
    <row r="60155" spans="9:9" x14ac:dyDescent="0.2">
      <c r="I60155" s="137" t="s">
        <v>74</v>
      </c>
    </row>
    <row r="60156" spans="9:9" x14ac:dyDescent="0.2">
      <c r="I60156" s="137" t="s">
        <v>74</v>
      </c>
    </row>
    <row r="60157" spans="9:9" x14ac:dyDescent="0.2">
      <c r="I60157" s="137" t="s">
        <v>74</v>
      </c>
    </row>
    <row r="60158" spans="9:9" x14ac:dyDescent="0.2">
      <c r="I60158" s="137" t="s">
        <v>74</v>
      </c>
    </row>
    <row r="60159" spans="9:9" x14ac:dyDescent="0.2">
      <c r="I60159" s="137" t="s">
        <v>74</v>
      </c>
    </row>
    <row r="60160" spans="9:9" x14ac:dyDescent="0.2">
      <c r="I60160" s="137" t="s">
        <v>74</v>
      </c>
    </row>
    <row r="60161" spans="9:9" x14ac:dyDescent="0.2">
      <c r="I60161" s="137" t="s">
        <v>74</v>
      </c>
    </row>
    <row r="60162" spans="9:9" x14ac:dyDescent="0.2">
      <c r="I60162" s="137" t="s">
        <v>74</v>
      </c>
    </row>
    <row r="60163" spans="9:9" x14ac:dyDescent="0.2">
      <c r="I60163" s="137" t="s">
        <v>74</v>
      </c>
    </row>
    <row r="60164" spans="9:9" x14ac:dyDescent="0.2">
      <c r="I60164" s="137" t="s">
        <v>74</v>
      </c>
    </row>
    <row r="60165" spans="9:9" x14ac:dyDescent="0.2">
      <c r="I60165" s="137" t="s">
        <v>74</v>
      </c>
    </row>
    <row r="60166" spans="9:9" x14ac:dyDescent="0.2">
      <c r="I60166" s="137" t="s">
        <v>74</v>
      </c>
    </row>
    <row r="60167" spans="9:9" x14ac:dyDescent="0.2">
      <c r="I60167" s="137" t="s">
        <v>74</v>
      </c>
    </row>
    <row r="60168" spans="9:9" x14ac:dyDescent="0.2">
      <c r="I60168" s="137" t="s">
        <v>74</v>
      </c>
    </row>
    <row r="60169" spans="9:9" x14ac:dyDescent="0.2">
      <c r="I60169" s="137" t="s">
        <v>74</v>
      </c>
    </row>
    <row r="60170" spans="9:9" x14ac:dyDescent="0.2">
      <c r="I60170" s="137" t="s">
        <v>74</v>
      </c>
    </row>
    <row r="60171" spans="9:9" x14ac:dyDescent="0.2">
      <c r="I60171" s="137" t="s">
        <v>74</v>
      </c>
    </row>
    <row r="60172" spans="9:9" x14ac:dyDescent="0.2">
      <c r="I60172" s="137" t="s">
        <v>74</v>
      </c>
    </row>
    <row r="60173" spans="9:9" x14ac:dyDescent="0.2">
      <c r="I60173" s="137" t="s">
        <v>74</v>
      </c>
    </row>
    <row r="60174" spans="9:9" x14ac:dyDescent="0.2">
      <c r="I60174" s="137" t="s">
        <v>74</v>
      </c>
    </row>
    <row r="60175" spans="9:9" x14ac:dyDescent="0.2">
      <c r="I60175" s="137" t="s">
        <v>74</v>
      </c>
    </row>
    <row r="60176" spans="9:9" x14ac:dyDescent="0.2">
      <c r="I60176" s="137" t="s">
        <v>74</v>
      </c>
    </row>
    <row r="60177" spans="9:9" x14ac:dyDescent="0.2">
      <c r="I60177" s="137" t="s">
        <v>74</v>
      </c>
    </row>
    <row r="60178" spans="9:9" x14ac:dyDescent="0.2">
      <c r="I60178" s="137" t="s">
        <v>74</v>
      </c>
    </row>
    <row r="60179" spans="9:9" x14ac:dyDescent="0.2">
      <c r="I60179" s="137" t="s">
        <v>74</v>
      </c>
    </row>
    <row r="60180" spans="9:9" x14ac:dyDescent="0.2">
      <c r="I60180" s="137" t="s">
        <v>74</v>
      </c>
    </row>
    <row r="60181" spans="9:9" x14ac:dyDescent="0.2">
      <c r="I60181" s="137" t="s">
        <v>74</v>
      </c>
    </row>
    <row r="60182" spans="9:9" x14ac:dyDescent="0.2">
      <c r="I60182" s="137" t="s">
        <v>74</v>
      </c>
    </row>
    <row r="60183" spans="9:9" x14ac:dyDescent="0.2">
      <c r="I60183" s="137" t="s">
        <v>74</v>
      </c>
    </row>
    <row r="60184" spans="9:9" x14ac:dyDescent="0.2">
      <c r="I60184" s="137" t="s">
        <v>74</v>
      </c>
    </row>
    <row r="60185" spans="9:9" x14ac:dyDescent="0.2">
      <c r="I60185" s="137" t="s">
        <v>74</v>
      </c>
    </row>
    <row r="60186" spans="9:9" x14ac:dyDescent="0.2">
      <c r="I60186" s="137" t="s">
        <v>74</v>
      </c>
    </row>
    <row r="60187" spans="9:9" x14ac:dyDescent="0.2">
      <c r="I60187" s="137" t="s">
        <v>74</v>
      </c>
    </row>
    <row r="60188" spans="9:9" x14ac:dyDescent="0.2">
      <c r="I60188" s="137" t="s">
        <v>74</v>
      </c>
    </row>
    <row r="60189" spans="9:9" x14ac:dyDescent="0.2">
      <c r="I60189" s="137" t="s">
        <v>74</v>
      </c>
    </row>
    <row r="60190" spans="9:9" x14ac:dyDescent="0.2">
      <c r="I60190" s="137" t="s">
        <v>74</v>
      </c>
    </row>
    <row r="60191" spans="9:9" x14ac:dyDescent="0.2">
      <c r="I60191" s="137" t="s">
        <v>74</v>
      </c>
    </row>
    <row r="60192" spans="9:9" x14ac:dyDescent="0.2">
      <c r="I60192" s="137" t="s">
        <v>74</v>
      </c>
    </row>
    <row r="60193" spans="9:9" x14ac:dyDescent="0.2">
      <c r="I60193" s="137" t="s">
        <v>74</v>
      </c>
    </row>
    <row r="60194" spans="9:9" x14ac:dyDescent="0.2">
      <c r="I60194" s="137" t="s">
        <v>74</v>
      </c>
    </row>
    <row r="60195" spans="9:9" x14ac:dyDescent="0.2">
      <c r="I60195" s="137" t="s">
        <v>74</v>
      </c>
    </row>
    <row r="60196" spans="9:9" x14ac:dyDescent="0.2">
      <c r="I60196" s="137" t="s">
        <v>74</v>
      </c>
    </row>
    <row r="60197" spans="9:9" x14ac:dyDescent="0.2">
      <c r="I60197" s="137" t="s">
        <v>74</v>
      </c>
    </row>
    <row r="60198" spans="9:9" x14ac:dyDescent="0.2">
      <c r="I60198" s="137" t="s">
        <v>74</v>
      </c>
    </row>
    <row r="60199" spans="9:9" x14ac:dyDescent="0.2">
      <c r="I60199" s="137" t="s">
        <v>74</v>
      </c>
    </row>
    <row r="60200" spans="9:9" x14ac:dyDescent="0.2">
      <c r="I60200" s="137" t="s">
        <v>74</v>
      </c>
    </row>
    <row r="60201" spans="9:9" x14ac:dyDescent="0.2">
      <c r="I60201" s="137" t="s">
        <v>74</v>
      </c>
    </row>
    <row r="60202" spans="9:9" x14ac:dyDescent="0.2">
      <c r="I60202" s="137" t="s">
        <v>74</v>
      </c>
    </row>
    <row r="60203" spans="9:9" x14ac:dyDescent="0.2">
      <c r="I60203" s="137" t="s">
        <v>74</v>
      </c>
    </row>
    <row r="60204" spans="9:9" x14ac:dyDescent="0.2">
      <c r="I60204" s="137" t="s">
        <v>74</v>
      </c>
    </row>
    <row r="60205" spans="9:9" x14ac:dyDescent="0.2">
      <c r="I60205" s="137" t="s">
        <v>74</v>
      </c>
    </row>
    <row r="60206" spans="9:9" x14ac:dyDescent="0.2">
      <c r="I60206" s="137" t="s">
        <v>74</v>
      </c>
    </row>
    <row r="60207" spans="9:9" x14ac:dyDescent="0.2">
      <c r="I60207" s="137" t="s">
        <v>74</v>
      </c>
    </row>
    <row r="60208" spans="9:9" x14ac:dyDescent="0.2">
      <c r="I60208" s="137" t="s">
        <v>74</v>
      </c>
    </row>
    <row r="60209" spans="9:9" x14ac:dyDescent="0.2">
      <c r="I60209" s="137" t="s">
        <v>74</v>
      </c>
    </row>
    <row r="60210" spans="9:9" x14ac:dyDescent="0.2">
      <c r="I60210" s="137" t="s">
        <v>74</v>
      </c>
    </row>
    <row r="60211" spans="9:9" x14ac:dyDescent="0.2">
      <c r="I60211" s="137" t="s">
        <v>74</v>
      </c>
    </row>
    <row r="60212" spans="9:9" x14ac:dyDescent="0.2">
      <c r="I60212" s="137" t="s">
        <v>74</v>
      </c>
    </row>
    <row r="60213" spans="9:9" x14ac:dyDescent="0.2">
      <c r="I60213" s="137" t="s">
        <v>74</v>
      </c>
    </row>
    <row r="60214" spans="9:9" x14ac:dyDescent="0.2">
      <c r="I60214" s="137" t="s">
        <v>74</v>
      </c>
    </row>
    <row r="60215" spans="9:9" x14ac:dyDescent="0.2">
      <c r="I60215" s="137" t="s">
        <v>74</v>
      </c>
    </row>
    <row r="60216" spans="9:9" x14ac:dyDescent="0.2">
      <c r="I60216" s="137" t="s">
        <v>74</v>
      </c>
    </row>
    <row r="60217" spans="9:9" x14ac:dyDescent="0.2">
      <c r="I60217" s="137" t="s">
        <v>74</v>
      </c>
    </row>
    <row r="60218" spans="9:9" x14ac:dyDescent="0.2">
      <c r="I60218" s="137" t="s">
        <v>74</v>
      </c>
    </row>
    <row r="60219" spans="9:9" x14ac:dyDescent="0.2">
      <c r="I60219" s="137" t="s">
        <v>74</v>
      </c>
    </row>
    <row r="60220" spans="9:9" x14ac:dyDescent="0.2">
      <c r="I60220" s="137" t="s">
        <v>74</v>
      </c>
    </row>
    <row r="60221" spans="9:9" x14ac:dyDescent="0.2">
      <c r="I60221" s="137" t="s">
        <v>74</v>
      </c>
    </row>
    <row r="60222" spans="9:9" x14ac:dyDescent="0.2">
      <c r="I60222" s="137" t="s">
        <v>74</v>
      </c>
    </row>
    <row r="60223" spans="9:9" x14ac:dyDescent="0.2">
      <c r="I60223" s="137" t="s">
        <v>74</v>
      </c>
    </row>
    <row r="60224" spans="9:9" x14ac:dyDescent="0.2">
      <c r="I60224" s="137" t="s">
        <v>74</v>
      </c>
    </row>
    <row r="60225" spans="9:9" x14ac:dyDescent="0.2">
      <c r="I60225" s="137" t="s">
        <v>74</v>
      </c>
    </row>
    <row r="60226" spans="9:9" x14ac:dyDescent="0.2">
      <c r="I60226" s="137" t="s">
        <v>74</v>
      </c>
    </row>
    <row r="60227" spans="9:9" x14ac:dyDescent="0.2">
      <c r="I60227" s="137" t="s">
        <v>74</v>
      </c>
    </row>
    <row r="60228" spans="9:9" x14ac:dyDescent="0.2">
      <c r="I60228" s="137" t="s">
        <v>74</v>
      </c>
    </row>
    <row r="60229" spans="9:9" x14ac:dyDescent="0.2">
      <c r="I60229" s="137" t="s">
        <v>74</v>
      </c>
    </row>
    <row r="60230" spans="9:9" x14ac:dyDescent="0.2">
      <c r="I60230" s="137" t="s">
        <v>74</v>
      </c>
    </row>
    <row r="60231" spans="9:9" x14ac:dyDescent="0.2">
      <c r="I60231" s="137" t="s">
        <v>74</v>
      </c>
    </row>
    <row r="60232" spans="9:9" x14ac:dyDescent="0.2">
      <c r="I60232" s="137" t="s">
        <v>74</v>
      </c>
    </row>
    <row r="60233" spans="9:9" x14ac:dyDescent="0.2">
      <c r="I60233" s="137" t="s">
        <v>74</v>
      </c>
    </row>
    <row r="60234" spans="9:9" x14ac:dyDescent="0.2">
      <c r="I60234" s="137" t="s">
        <v>74</v>
      </c>
    </row>
    <row r="60235" spans="9:9" x14ac:dyDescent="0.2">
      <c r="I60235" s="137" t="s">
        <v>74</v>
      </c>
    </row>
    <row r="60236" spans="9:9" x14ac:dyDescent="0.2">
      <c r="I60236" s="137" t="s">
        <v>74</v>
      </c>
    </row>
    <row r="60237" spans="9:9" x14ac:dyDescent="0.2">
      <c r="I60237" s="137" t="s">
        <v>74</v>
      </c>
    </row>
    <row r="60238" spans="9:9" x14ac:dyDescent="0.2">
      <c r="I60238" s="137" t="s">
        <v>74</v>
      </c>
    </row>
    <row r="60239" spans="9:9" x14ac:dyDescent="0.2">
      <c r="I60239" s="137" t="s">
        <v>74</v>
      </c>
    </row>
    <row r="60240" spans="9:9" x14ac:dyDescent="0.2">
      <c r="I60240" s="137" t="s">
        <v>74</v>
      </c>
    </row>
    <row r="60241" spans="9:9" x14ac:dyDescent="0.2">
      <c r="I60241" s="137" t="s">
        <v>74</v>
      </c>
    </row>
    <row r="60242" spans="9:9" x14ac:dyDescent="0.2">
      <c r="I60242" s="137" t="s">
        <v>74</v>
      </c>
    </row>
    <row r="60243" spans="9:9" x14ac:dyDescent="0.2">
      <c r="I60243" s="137" t="s">
        <v>74</v>
      </c>
    </row>
    <row r="60244" spans="9:9" x14ac:dyDescent="0.2">
      <c r="I60244" s="137" t="s">
        <v>74</v>
      </c>
    </row>
    <row r="60245" spans="9:9" x14ac:dyDescent="0.2">
      <c r="I60245" s="137" t="s">
        <v>74</v>
      </c>
    </row>
    <row r="60246" spans="9:9" x14ac:dyDescent="0.2">
      <c r="I60246" s="137" t="s">
        <v>74</v>
      </c>
    </row>
    <row r="60247" spans="9:9" x14ac:dyDescent="0.2">
      <c r="I60247" s="137" t="s">
        <v>74</v>
      </c>
    </row>
    <row r="60248" spans="9:9" x14ac:dyDescent="0.2">
      <c r="I60248" s="137" t="s">
        <v>74</v>
      </c>
    </row>
    <row r="60249" spans="9:9" x14ac:dyDescent="0.2">
      <c r="I60249" s="137" t="s">
        <v>74</v>
      </c>
    </row>
    <row r="60250" spans="9:9" x14ac:dyDescent="0.2">
      <c r="I60250" s="137" t="s">
        <v>74</v>
      </c>
    </row>
    <row r="60251" spans="9:9" x14ac:dyDescent="0.2">
      <c r="I60251" s="137" t="s">
        <v>74</v>
      </c>
    </row>
    <row r="60252" spans="9:9" x14ac:dyDescent="0.2">
      <c r="I60252" s="137" t="s">
        <v>74</v>
      </c>
    </row>
    <row r="60253" spans="9:9" x14ac:dyDescent="0.2">
      <c r="I60253" s="137" t="s">
        <v>74</v>
      </c>
    </row>
    <row r="60254" spans="9:9" x14ac:dyDescent="0.2">
      <c r="I60254" s="137" t="s">
        <v>74</v>
      </c>
    </row>
    <row r="60255" spans="9:9" x14ac:dyDescent="0.2">
      <c r="I60255" s="137" t="s">
        <v>74</v>
      </c>
    </row>
    <row r="60256" spans="9:9" x14ac:dyDescent="0.2">
      <c r="I60256" s="137" t="s">
        <v>74</v>
      </c>
    </row>
    <row r="60257" spans="9:9" x14ac:dyDescent="0.2">
      <c r="I60257" s="137" t="s">
        <v>74</v>
      </c>
    </row>
    <row r="60258" spans="9:9" x14ac:dyDescent="0.2">
      <c r="I60258" s="137" t="s">
        <v>74</v>
      </c>
    </row>
    <row r="60259" spans="9:9" x14ac:dyDescent="0.2">
      <c r="I60259" s="137" t="s">
        <v>74</v>
      </c>
    </row>
    <row r="60260" spans="9:9" x14ac:dyDescent="0.2">
      <c r="I60260" s="137" t="s">
        <v>74</v>
      </c>
    </row>
    <row r="60261" spans="9:9" x14ac:dyDescent="0.2">
      <c r="I60261" s="137" t="s">
        <v>74</v>
      </c>
    </row>
    <row r="60262" spans="9:9" x14ac:dyDescent="0.2">
      <c r="I60262" s="137" t="s">
        <v>74</v>
      </c>
    </row>
    <row r="60263" spans="9:9" x14ac:dyDescent="0.2">
      <c r="I60263" s="137" t="s">
        <v>74</v>
      </c>
    </row>
    <row r="60264" spans="9:9" x14ac:dyDescent="0.2">
      <c r="I60264" s="137" t="s">
        <v>74</v>
      </c>
    </row>
    <row r="60265" spans="9:9" x14ac:dyDescent="0.2">
      <c r="I60265" s="137" t="s">
        <v>74</v>
      </c>
    </row>
    <row r="60266" spans="9:9" x14ac:dyDescent="0.2">
      <c r="I60266" s="137" t="s">
        <v>74</v>
      </c>
    </row>
    <row r="60267" spans="9:9" x14ac:dyDescent="0.2">
      <c r="I60267" s="137" t="s">
        <v>74</v>
      </c>
    </row>
    <row r="60268" spans="9:9" x14ac:dyDescent="0.2">
      <c r="I60268" s="137" t="s">
        <v>74</v>
      </c>
    </row>
    <row r="60269" spans="9:9" x14ac:dyDescent="0.2">
      <c r="I60269" s="137" t="s">
        <v>74</v>
      </c>
    </row>
    <row r="60270" spans="9:9" x14ac:dyDescent="0.2">
      <c r="I60270" s="137" t="s">
        <v>74</v>
      </c>
    </row>
    <row r="60271" spans="9:9" x14ac:dyDescent="0.2">
      <c r="I60271" s="137" t="s">
        <v>74</v>
      </c>
    </row>
    <row r="60272" spans="9:9" x14ac:dyDescent="0.2">
      <c r="I60272" s="137" t="s">
        <v>74</v>
      </c>
    </row>
    <row r="60273" spans="9:9" x14ac:dyDescent="0.2">
      <c r="I60273" s="137" t="s">
        <v>74</v>
      </c>
    </row>
    <row r="60274" spans="9:9" x14ac:dyDescent="0.2">
      <c r="I60274" s="137" t="s">
        <v>74</v>
      </c>
    </row>
    <row r="60275" spans="9:9" x14ac:dyDescent="0.2">
      <c r="I60275" s="137" t="s">
        <v>74</v>
      </c>
    </row>
    <row r="60276" spans="9:9" x14ac:dyDescent="0.2">
      <c r="I60276" s="137" t="s">
        <v>74</v>
      </c>
    </row>
    <row r="60277" spans="9:9" x14ac:dyDescent="0.2">
      <c r="I60277" s="137" t="s">
        <v>74</v>
      </c>
    </row>
    <row r="60278" spans="9:9" x14ac:dyDescent="0.2">
      <c r="I60278" s="137" t="s">
        <v>74</v>
      </c>
    </row>
    <row r="60279" spans="9:9" x14ac:dyDescent="0.2">
      <c r="I60279" s="137" t="s">
        <v>74</v>
      </c>
    </row>
    <row r="60280" spans="9:9" x14ac:dyDescent="0.2">
      <c r="I60280" s="137" t="s">
        <v>74</v>
      </c>
    </row>
    <row r="60281" spans="9:9" x14ac:dyDescent="0.2">
      <c r="I60281" s="137" t="s">
        <v>74</v>
      </c>
    </row>
    <row r="60282" spans="9:9" x14ac:dyDescent="0.2">
      <c r="I60282" s="137" t="s">
        <v>74</v>
      </c>
    </row>
    <row r="60283" spans="9:9" x14ac:dyDescent="0.2">
      <c r="I60283" s="137" t="s">
        <v>74</v>
      </c>
    </row>
    <row r="60284" spans="9:9" x14ac:dyDescent="0.2">
      <c r="I60284" s="137" t="s">
        <v>74</v>
      </c>
    </row>
    <row r="60285" spans="9:9" x14ac:dyDescent="0.2">
      <c r="I60285" s="137" t="s">
        <v>74</v>
      </c>
    </row>
    <row r="60286" spans="9:9" x14ac:dyDescent="0.2">
      <c r="I60286" s="137" t="s">
        <v>74</v>
      </c>
    </row>
    <row r="60287" spans="9:9" x14ac:dyDescent="0.2">
      <c r="I60287" s="137" t="s">
        <v>74</v>
      </c>
    </row>
    <row r="60288" spans="9:9" x14ac:dyDescent="0.2">
      <c r="I60288" s="137" t="s">
        <v>74</v>
      </c>
    </row>
    <row r="60289" spans="9:9" x14ac:dyDescent="0.2">
      <c r="I60289" s="137" t="s">
        <v>74</v>
      </c>
    </row>
    <row r="60290" spans="9:9" x14ac:dyDescent="0.2">
      <c r="I60290" s="137" t="s">
        <v>74</v>
      </c>
    </row>
    <row r="60291" spans="9:9" x14ac:dyDescent="0.2">
      <c r="I60291" s="137" t="s">
        <v>74</v>
      </c>
    </row>
    <row r="60292" spans="9:9" x14ac:dyDescent="0.2">
      <c r="I60292" s="137" t="s">
        <v>74</v>
      </c>
    </row>
    <row r="60293" spans="9:9" x14ac:dyDescent="0.2">
      <c r="I60293" s="137" t="s">
        <v>74</v>
      </c>
    </row>
    <row r="60294" spans="9:9" x14ac:dyDescent="0.2">
      <c r="I60294" s="137" t="s">
        <v>74</v>
      </c>
    </row>
    <row r="60295" spans="9:9" x14ac:dyDescent="0.2">
      <c r="I60295" s="137" t="s">
        <v>74</v>
      </c>
    </row>
    <row r="60296" spans="9:9" x14ac:dyDescent="0.2">
      <c r="I60296" s="137" t="s">
        <v>74</v>
      </c>
    </row>
    <row r="60297" spans="9:9" x14ac:dyDescent="0.2">
      <c r="I60297" s="137" t="s">
        <v>74</v>
      </c>
    </row>
    <row r="60298" spans="9:9" x14ac:dyDescent="0.2">
      <c r="I60298" s="137" t="s">
        <v>74</v>
      </c>
    </row>
    <row r="60299" spans="9:9" x14ac:dyDescent="0.2">
      <c r="I60299" s="137" t="s">
        <v>74</v>
      </c>
    </row>
    <row r="60300" spans="9:9" x14ac:dyDescent="0.2">
      <c r="I60300" s="137" t="s">
        <v>74</v>
      </c>
    </row>
    <row r="60301" spans="9:9" x14ac:dyDescent="0.2">
      <c r="I60301" s="137" t="s">
        <v>74</v>
      </c>
    </row>
    <row r="60302" spans="9:9" x14ac:dyDescent="0.2">
      <c r="I60302" s="137" t="s">
        <v>74</v>
      </c>
    </row>
    <row r="60303" spans="9:9" x14ac:dyDescent="0.2">
      <c r="I60303" s="137" t="s">
        <v>74</v>
      </c>
    </row>
    <row r="60304" spans="9:9" x14ac:dyDescent="0.2">
      <c r="I60304" s="137" t="s">
        <v>74</v>
      </c>
    </row>
    <row r="60305" spans="9:9" x14ac:dyDescent="0.2">
      <c r="I60305" s="137" t="s">
        <v>74</v>
      </c>
    </row>
    <row r="60306" spans="9:9" x14ac:dyDescent="0.2">
      <c r="I60306" s="137" t="s">
        <v>74</v>
      </c>
    </row>
    <row r="60307" spans="9:9" x14ac:dyDescent="0.2">
      <c r="I60307" s="137" t="s">
        <v>74</v>
      </c>
    </row>
    <row r="60308" spans="9:9" x14ac:dyDescent="0.2">
      <c r="I60308" s="137" t="s">
        <v>74</v>
      </c>
    </row>
    <row r="60309" spans="9:9" x14ac:dyDescent="0.2">
      <c r="I60309" s="137" t="s">
        <v>74</v>
      </c>
    </row>
    <row r="60310" spans="9:9" x14ac:dyDescent="0.2">
      <c r="I60310" s="137" t="s">
        <v>74</v>
      </c>
    </row>
    <row r="60311" spans="9:9" x14ac:dyDescent="0.2">
      <c r="I60311" s="137" t="s">
        <v>74</v>
      </c>
    </row>
    <row r="60312" spans="9:9" x14ac:dyDescent="0.2">
      <c r="I60312" s="137" t="s">
        <v>74</v>
      </c>
    </row>
    <row r="60313" spans="9:9" x14ac:dyDescent="0.2">
      <c r="I60313" s="137" t="s">
        <v>74</v>
      </c>
    </row>
    <row r="60314" spans="9:9" x14ac:dyDescent="0.2">
      <c r="I60314" s="137" t="s">
        <v>74</v>
      </c>
    </row>
    <row r="60315" spans="9:9" x14ac:dyDescent="0.2">
      <c r="I60315" s="137" t="s">
        <v>74</v>
      </c>
    </row>
    <row r="60316" spans="9:9" x14ac:dyDescent="0.2">
      <c r="I60316" s="137" t="s">
        <v>74</v>
      </c>
    </row>
    <row r="60317" spans="9:9" x14ac:dyDescent="0.2">
      <c r="I60317" s="137" t="s">
        <v>74</v>
      </c>
    </row>
    <row r="60318" spans="9:9" x14ac:dyDescent="0.2">
      <c r="I60318" s="137" t="s">
        <v>74</v>
      </c>
    </row>
    <row r="60319" spans="9:9" x14ac:dyDescent="0.2">
      <c r="I60319" s="137" t="s">
        <v>74</v>
      </c>
    </row>
    <row r="60320" spans="9:9" x14ac:dyDescent="0.2">
      <c r="I60320" s="137" t="s">
        <v>74</v>
      </c>
    </row>
    <row r="60321" spans="9:9" x14ac:dyDescent="0.2">
      <c r="I60321" s="137" t="s">
        <v>74</v>
      </c>
    </row>
    <row r="60322" spans="9:9" x14ac:dyDescent="0.2">
      <c r="I60322" s="137" t="s">
        <v>74</v>
      </c>
    </row>
    <row r="60323" spans="9:9" x14ac:dyDescent="0.2">
      <c r="I60323" s="137" t="s">
        <v>74</v>
      </c>
    </row>
    <row r="60324" spans="9:9" x14ac:dyDescent="0.2">
      <c r="I60324" s="137" t="s">
        <v>74</v>
      </c>
    </row>
    <row r="60325" spans="9:9" x14ac:dyDescent="0.2">
      <c r="I60325" s="137" t="s">
        <v>74</v>
      </c>
    </row>
    <row r="60326" spans="9:9" x14ac:dyDescent="0.2">
      <c r="I60326" s="137" t="s">
        <v>74</v>
      </c>
    </row>
    <row r="60327" spans="9:9" x14ac:dyDescent="0.2">
      <c r="I60327" s="137" t="s">
        <v>74</v>
      </c>
    </row>
    <row r="60328" spans="9:9" x14ac:dyDescent="0.2">
      <c r="I60328" s="137" t="s">
        <v>74</v>
      </c>
    </row>
    <row r="60329" spans="9:9" x14ac:dyDescent="0.2">
      <c r="I60329" s="137" t="s">
        <v>74</v>
      </c>
    </row>
    <row r="60330" spans="9:9" x14ac:dyDescent="0.2">
      <c r="I60330" s="137" t="s">
        <v>74</v>
      </c>
    </row>
    <row r="60331" spans="9:9" x14ac:dyDescent="0.2">
      <c r="I60331" s="137" t="s">
        <v>74</v>
      </c>
    </row>
    <row r="60332" spans="9:9" x14ac:dyDescent="0.2">
      <c r="I60332" s="137" t="s">
        <v>74</v>
      </c>
    </row>
    <row r="60333" spans="9:9" x14ac:dyDescent="0.2">
      <c r="I60333" s="137" t="s">
        <v>74</v>
      </c>
    </row>
    <row r="60334" spans="9:9" x14ac:dyDescent="0.2">
      <c r="I60334" s="137" t="s">
        <v>74</v>
      </c>
    </row>
    <row r="60335" spans="9:9" x14ac:dyDescent="0.2">
      <c r="I60335" s="137" t="s">
        <v>74</v>
      </c>
    </row>
    <row r="60336" spans="9:9" x14ac:dyDescent="0.2">
      <c r="I60336" s="137" t="s">
        <v>74</v>
      </c>
    </row>
    <row r="60337" spans="9:9" x14ac:dyDescent="0.2">
      <c r="I60337" s="137" t="s">
        <v>74</v>
      </c>
    </row>
    <row r="60338" spans="9:9" x14ac:dyDescent="0.2">
      <c r="I60338" s="137" t="s">
        <v>74</v>
      </c>
    </row>
    <row r="60339" spans="9:9" x14ac:dyDescent="0.2">
      <c r="I60339" s="137" t="s">
        <v>74</v>
      </c>
    </row>
    <row r="60340" spans="9:9" x14ac:dyDescent="0.2">
      <c r="I60340" s="137" t="s">
        <v>74</v>
      </c>
    </row>
    <row r="60341" spans="9:9" x14ac:dyDescent="0.2">
      <c r="I60341" s="137" t="s">
        <v>74</v>
      </c>
    </row>
    <row r="60342" spans="9:9" x14ac:dyDescent="0.2">
      <c r="I60342" s="137" t="s">
        <v>74</v>
      </c>
    </row>
    <row r="60343" spans="9:9" x14ac:dyDescent="0.2">
      <c r="I60343" s="137" t="s">
        <v>74</v>
      </c>
    </row>
    <row r="60344" spans="9:9" x14ac:dyDescent="0.2">
      <c r="I60344" s="137" t="s">
        <v>74</v>
      </c>
    </row>
    <row r="60345" spans="9:9" x14ac:dyDescent="0.2">
      <c r="I60345" s="137" t="s">
        <v>74</v>
      </c>
    </row>
    <row r="60346" spans="9:9" x14ac:dyDescent="0.2">
      <c r="I60346" s="137" t="s">
        <v>74</v>
      </c>
    </row>
    <row r="60347" spans="9:9" x14ac:dyDescent="0.2">
      <c r="I60347" s="137" t="s">
        <v>74</v>
      </c>
    </row>
    <row r="60348" spans="9:9" x14ac:dyDescent="0.2">
      <c r="I60348" s="137" t="s">
        <v>74</v>
      </c>
    </row>
    <row r="60349" spans="9:9" x14ac:dyDescent="0.2">
      <c r="I60349" s="137" t="s">
        <v>74</v>
      </c>
    </row>
    <row r="60350" spans="9:9" x14ac:dyDescent="0.2">
      <c r="I60350" s="137" t="s">
        <v>74</v>
      </c>
    </row>
    <row r="60351" spans="9:9" x14ac:dyDescent="0.2">
      <c r="I60351" s="137" t="s">
        <v>74</v>
      </c>
    </row>
    <row r="60352" spans="9:9" x14ac:dyDescent="0.2">
      <c r="I60352" s="137" t="s">
        <v>74</v>
      </c>
    </row>
    <row r="60353" spans="9:9" x14ac:dyDescent="0.2">
      <c r="I60353" s="137" t="s">
        <v>74</v>
      </c>
    </row>
    <row r="60354" spans="9:9" x14ac:dyDescent="0.2">
      <c r="I60354" s="137" t="s">
        <v>74</v>
      </c>
    </row>
    <row r="60355" spans="9:9" x14ac:dyDescent="0.2">
      <c r="I60355" s="137" t="s">
        <v>74</v>
      </c>
    </row>
    <row r="60356" spans="9:9" x14ac:dyDescent="0.2">
      <c r="I60356" s="137" t="s">
        <v>74</v>
      </c>
    </row>
    <row r="60357" spans="9:9" x14ac:dyDescent="0.2">
      <c r="I60357" s="137" t="s">
        <v>74</v>
      </c>
    </row>
    <row r="60358" spans="9:9" x14ac:dyDescent="0.2">
      <c r="I60358" s="137" t="s">
        <v>74</v>
      </c>
    </row>
    <row r="60359" spans="9:9" x14ac:dyDescent="0.2">
      <c r="I60359" s="137" t="s">
        <v>74</v>
      </c>
    </row>
    <row r="60360" spans="9:9" x14ac:dyDescent="0.2">
      <c r="I60360" s="137" t="s">
        <v>74</v>
      </c>
    </row>
    <row r="60361" spans="9:9" x14ac:dyDescent="0.2">
      <c r="I60361" s="137" t="s">
        <v>74</v>
      </c>
    </row>
    <row r="60362" spans="9:9" x14ac:dyDescent="0.2">
      <c r="I60362" s="137" t="s">
        <v>74</v>
      </c>
    </row>
    <row r="60363" spans="9:9" x14ac:dyDescent="0.2">
      <c r="I60363" s="137" t="s">
        <v>74</v>
      </c>
    </row>
    <row r="60364" spans="9:9" x14ac:dyDescent="0.2">
      <c r="I60364" s="137" t="s">
        <v>74</v>
      </c>
    </row>
    <row r="60365" spans="9:9" x14ac:dyDescent="0.2">
      <c r="I60365" s="137" t="s">
        <v>74</v>
      </c>
    </row>
    <row r="60366" spans="9:9" x14ac:dyDescent="0.2">
      <c r="I60366" s="137" t="s">
        <v>74</v>
      </c>
    </row>
    <row r="60367" spans="9:9" x14ac:dyDescent="0.2">
      <c r="I60367" s="137" t="s">
        <v>74</v>
      </c>
    </row>
    <row r="60368" spans="9:9" x14ac:dyDescent="0.2">
      <c r="I60368" s="137" t="s">
        <v>74</v>
      </c>
    </row>
    <row r="60369" spans="9:9" x14ac:dyDescent="0.2">
      <c r="I60369" s="137" t="s">
        <v>74</v>
      </c>
    </row>
    <row r="60370" spans="9:9" x14ac:dyDescent="0.2">
      <c r="I60370" s="137" t="s">
        <v>74</v>
      </c>
    </row>
    <row r="60371" spans="9:9" x14ac:dyDescent="0.2">
      <c r="I60371" s="137" t="s">
        <v>74</v>
      </c>
    </row>
    <row r="60372" spans="9:9" x14ac:dyDescent="0.2">
      <c r="I60372" s="137" t="s">
        <v>74</v>
      </c>
    </row>
    <row r="60373" spans="9:9" x14ac:dyDescent="0.2">
      <c r="I60373" s="137" t="s">
        <v>74</v>
      </c>
    </row>
    <row r="60374" spans="9:9" x14ac:dyDescent="0.2">
      <c r="I60374" s="137" t="s">
        <v>74</v>
      </c>
    </row>
    <row r="60375" spans="9:9" x14ac:dyDescent="0.2">
      <c r="I60375" s="137" t="s">
        <v>74</v>
      </c>
    </row>
    <row r="60376" spans="9:9" x14ac:dyDescent="0.2">
      <c r="I60376" s="137" t="s">
        <v>74</v>
      </c>
    </row>
    <row r="60377" spans="9:9" x14ac:dyDescent="0.2">
      <c r="I60377" s="137" t="s">
        <v>74</v>
      </c>
    </row>
    <row r="60378" spans="9:9" x14ac:dyDescent="0.2">
      <c r="I60378" s="137" t="s">
        <v>74</v>
      </c>
    </row>
    <row r="60379" spans="9:9" x14ac:dyDescent="0.2">
      <c r="I60379" s="137" t="s">
        <v>74</v>
      </c>
    </row>
    <row r="60380" spans="9:9" x14ac:dyDescent="0.2">
      <c r="I60380" s="137" t="s">
        <v>74</v>
      </c>
    </row>
    <row r="60381" spans="9:9" x14ac:dyDescent="0.2">
      <c r="I60381" s="137" t="s">
        <v>74</v>
      </c>
    </row>
    <row r="60382" spans="9:9" x14ac:dyDescent="0.2">
      <c r="I60382" s="137" t="s">
        <v>74</v>
      </c>
    </row>
    <row r="60383" spans="9:9" x14ac:dyDescent="0.2">
      <c r="I60383" s="137" t="s">
        <v>74</v>
      </c>
    </row>
    <row r="60384" spans="9:9" x14ac:dyDescent="0.2">
      <c r="I60384" s="137" t="s">
        <v>74</v>
      </c>
    </row>
    <row r="60385" spans="9:9" x14ac:dyDescent="0.2">
      <c r="I60385" s="137" t="s">
        <v>74</v>
      </c>
    </row>
    <row r="60386" spans="9:9" x14ac:dyDescent="0.2">
      <c r="I60386" s="137" t="s">
        <v>74</v>
      </c>
    </row>
    <row r="60387" spans="9:9" x14ac:dyDescent="0.2">
      <c r="I60387" s="137" t="s">
        <v>74</v>
      </c>
    </row>
    <row r="60388" spans="9:9" x14ac:dyDescent="0.2">
      <c r="I60388" s="137" t="s">
        <v>74</v>
      </c>
    </row>
    <row r="60389" spans="9:9" x14ac:dyDescent="0.2">
      <c r="I60389" s="137" t="s">
        <v>74</v>
      </c>
    </row>
    <row r="60390" spans="9:9" x14ac:dyDescent="0.2">
      <c r="I60390" s="137" t="s">
        <v>74</v>
      </c>
    </row>
    <row r="60391" spans="9:9" x14ac:dyDescent="0.2">
      <c r="I60391" s="137" t="s">
        <v>74</v>
      </c>
    </row>
    <row r="60392" spans="9:9" x14ac:dyDescent="0.2">
      <c r="I60392" s="137" t="s">
        <v>74</v>
      </c>
    </row>
    <row r="60393" spans="9:9" x14ac:dyDescent="0.2">
      <c r="I60393" s="137" t="s">
        <v>74</v>
      </c>
    </row>
    <row r="60394" spans="9:9" x14ac:dyDescent="0.2">
      <c r="I60394" s="137" t="s">
        <v>74</v>
      </c>
    </row>
    <row r="60395" spans="9:9" x14ac:dyDescent="0.2">
      <c r="I60395" s="137" t="s">
        <v>74</v>
      </c>
    </row>
    <row r="60396" spans="9:9" x14ac:dyDescent="0.2">
      <c r="I60396" s="137" t="s">
        <v>74</v>
      </c>
    </row>
    <row r="60397" spans="9:9" x14ac:dyDescent="0.2">
      <c r="I60397" s="137" t="s">
        <v>74</v>
      </c>
    </row>
    <row r="60398" spans="9:9" x14ac:dyDescent="0.2">
      <c r="I60398" s="137" t="s">
        <v>74</v>
      </c>
    </row>
    <row r="60399" spans="9:9" x14ac:dyDescent="0.2">
      <c r="I60399" s="137" t="s">
        <v>74</v>
      </c>
    </row>
    <row r="60400" spans="9:9" x14ac:dyDescent="0.2">
      <c r="I60400" s="137" t="s">
        <v>74</v>
      </c>
    </row>
    <row r="60401" spans="9:9" x14ac:dyDescent="0.2">
      <c r="I60401" s="137" t="s">
        <v>74</v>
      </c>
    </row>
    <row r="60402" spans="9:9" x14ac:dyDescent="0.2">
      <c r="I60402" s="137" t="s">
        <v>74</v>
      </c>
    </row>
    <row r="60403" spans="9:9" x14ac:dyDescent="0.2">
      <c r="I60403" s="137" t="s">
        <v>74</v>
      </c>
    </row>
    <row r="60404" spans="9:9" x14ac:dyDescent="0.2">
      <c r="I60404" s="137" t="s">
        <v>74</v>
      </c>
    </row>
    <row r="60405" spans="9:9" x14ac:dyDescent="0.2">
      <c r="I60405" s="137" t="s">
        <v>74</v>
      </c>
    </row>
    <row r="60406" spans="9:9" x14ac:dyDescent="0.2">
      <c r="I60406" s="137" t="s">
        <v>74</v>
      </c>
    </row>
    <row r="60407" spans="9:9" x14ac:dyDescent="0.2">
      <c r="I60407" s="137" t="s">
        <v>74</v>
      </c>
    </row>
    <row r="60408" spans="9:9" x14ac:dyDescent="0.2">
      <c r="I60408" s="137" t="s">
        <v>74</v>
      </c>
    </row>
    <row r="60409" spans="9:9" x14ac:dyDescent="0.2">
      <c r="I60409" s="137" t="s">
        <v>74</v>
      </c>
    </row>
    <row r="60410" spans="9:9" x14ac:dyDescent="0.2">
      <c r="I60410" s="137" t="s">
        <v>74</v>
      </c>
    </row>
    <row r="60411" spans="9:9" x14ac:dyDescent="0.2">
      <c r="I60411" s="137" t="s">
        <v>74</v>
      </c>
    </row>
    <row r="60412" spans="9:9" x14ac:dyDescent="0.2">
      <c r="I60412" s="137" t="s">
        <v>74</v>
      </c>
    </row>
    <row r="60413" spans="9:9" x14ac:dyDescent="0.2">
      <c r="I60413" s="137" t="s">
        <v>74</v>
      </c>
    </row>
    <row r="60414" spans="9:9" x14ac:dyDescent="0.2">
      <c r="I60414" s="137" t="s">
        <v>74</v>
      </c>
    </row>
    <row r="60415" spans="9:9" x14ac:dyDescent="0.2">
      <c r="I60415" s="137" t="s">
        <v>74</v>
      </c>
    </row>
    <row r="60416" spans="9:9" x14ac:dyDescent="0.2">
      <c r="I60416" s="137" t="s">
        <v>74</v>
      </c>
    </row>
    <row r="60417" spans="9:9" x14ac:dyDescent="0.2">
      <c r="I60417" s="137" t="s">
        <v>74</v>
      </c>
    </row>
    <row r="60418" spans="9:9" x14ac:dyDescent="0.2">
      <c r="I60418" s="137" t="s">
        <v>74</v>
      </c>
    </row>
    <row r="60419" spans="9:9" x14ac:dyDescent="0.2">
      <c r="I60419" s="137" t="s">
        <v>74</v>
      </c>
    </row>
    <row r="60420" spans="9:9" x14ac:dyDescent="0.2">
      <c r="I60420" s="137" t="s">
        <v>74</v>
      </c>
    </row>
    <row r="60421" spans="9:9" x14ac:dyDescent="0.2">
      <c r="I60421" s="137" t="s">
        <v>74</v>
      </c>
    </row>
    <row r="60422" spans="9:9" x14ac:dyDescent="0.2">
      <c r="I60422" s="137" t="s">
        <v>74</v>
      </c>
    </row>
    <row r="60423" spans="9:9" x14ac:dyDescent="0.2">
      <c r="I60423" s="137" t="s">
        <v>74</v>
      </c>
    </row>
    <row r="60424" spans="9:9" x14ac:dyDescent="0.2">
      <c r="I60424" s="137" t="s">
        <v>74</v>
      </c>
    </row>
    <row r="60425" spans="9:9" x14ac:dyDescent="0.2">
      <c r="I60425" s="137" t="s">
        <v>74</v>
      </c>
    </row>
    <row r="60426" spans="9:9" x14ac:dyDescent="0.2">
      <c r="I60426" s="137" t="s">
        <v>74</v>
      </c>
    </row>
    <row r="60427" spans="9:9" x14ac:dyDescent="0.2">
      <c r="I60427" s="137" t="s">
        <v>74</v>
      </c>
    </row>
    <row r="60428" spans="9:9" x14ac:dyDescent="0.2">
      <c r="I60428" s="137" t="s">
        <v>74</v>
      </c>
    </row>
    <row r="60429" spans="9:9" x14ac:dyDescent="0.2">
      <c r="I60429" s="137" t="s">
        <v>74</v>
      </c>
    </row>
    <row r="60430" spans="9:9" x14ac:dyDescent="0.2">
      <c r="I60430" s="137" t="s">
        <v>74</v>
      </c>
    </row>
    <row r="60431" spans="9:9" x14ac:dyDescent="0.2">
      <c r="I60431" s="137" t="s">
        <v>74</v>
      </c>
    </row>
    <row r="60432" spans="9:9" x14ac:dyDescent="0.2">
      <c r="I60432" s="137" t="s">
        <v>74</v>
      </c>
    </row>
    <row r="60433" spans="9:9" x14ac:dyDescent="0.2">
      <c r="I60433" s="137" t="s">
        <v>74</v>
      </c>
    </row>
    <row r="60434" spans="9:9" x14ac:dyDescent="0.2">
      <c r="I60434" s="137" t="s">
        <v>74</v>
      </c>
    </row>
    <row r="60435" spans="9:9" x14ac:dyDescent="0.2">
      <c r="I60435" s="137" t="s">
        <v>74</v>
      </c>
    </row>
    <row r="60436" spans="9:9" x14ac:dyDescent="0.2">
      <c r="I60436" s="137" t="s">
        <v>74</v>
      </c>
    </row>
    <row r="60437" spans="9:9" x14ac:dyDescent="0.2">
      <c r="I60437" s="137" t="s">
        <v>74</v>
      </c>
    </row>
    <row r="60438" spans="9:9" x14ac:dyDescent="0.2">
      <c r="I60438" s="137" t="s">
        <v>74</v>
      </c>
    </row>
    <row r="60439" spans="9:9" x14ac:dyDescent="0.2">
      <c r="I60439" s="137" t="s">
        <v>74</v>
      </c>
    </row>
    <row r="60440" spans="9:9" x14ac:dyDescent="0.2">
      <c r="I60440" s="137" t="s">
        <v>74</v>
      </c>
    </row>
    <row r="60441" spans="9:9" x14ac:dyDescent="0.2">
      <c r="I60441" s="137" t="s">
        <v>74</v>
      </c>
    </row>
    <row r="60442" spans="9:9" x14ac:dyDescent="0.2">
      <c r="I60442" s="137" t="s">
        <v>74</v>
      </c>
    </row>
    <row r="60443" spans="9:9" x14ac:dyDescent="0.2">
      <c r="I60443" s="137" t="s">
        <v>74</v>
      </c>
    </row>
    <row r="60444" spans="9:9" x14ac:dyDescent="0.2">
      <c r="I60444" s="137" t="s">
        <v>74</v>
      </c>
    </row>
    <row r="60445" spans="9:9" x14ac:dyDescent="0.2">
      <c r="I60445" s="137" t="s">
        <v>74</v>
      </c>
    </row>
    <row r="60446" spans="9:9" x14ac:dyDescent="0.2">
      <c r="I60446" s="137" t="s">
        <v>74</v>
      </c>
    </row>
    <row r="60447" spans="9:9" x14ac:dyDescent="0.2">
      <c r="I60447" s="137" t="s">
        <v>74</v>
      </c>
    </row>
    <row r="60448" spans="9:9" x14ac:dyDescent="0.2">
      <c r="I60448" s="137" t="s">
        <v>74</v>
      </c>
    </row>
    <row r="60449" spans="9:9" x14ac:dyDescent="0.2">
      <c r="I60449" s="137" t="s">
        <v>74</v>
      </c>
    </row>
    <row r="60450" spans="9:9" x14ac:dyDescent="0.2">
      <c r="I60450" s="137" t="s">
        <v>74</v>
      </c>
    </row>
    <row r="60451" spans="9:9" x14ac:dyDescent="0.2">
      <c r="I60451" s="137" t="s">
        <v>74</v>
      </c>
    </row>
    <row r="60452" spans="9:9" x14ac:dyDescent="0.2">
      <c r="I60452" s="137" t="s">
        <v>74</v>
      </c>
    </row>
    <row r="60453" spans="9:9" x14ac:dyDescent="0.2">
      <c r="I60453" s="137" t="s">
        <v>74</v>
      </c>
    </row>
    <row r="60454" spans="9:9" x14ac:dyDescent="0.2">
      <c r="I60454" s="137" t="s">
        <v>74</v>
      </c>
    </row>
    <row r="60455" spans="9:9" x14ac:dyDescent="0.2">
      <c r="I60455" s="137" t="s">
        <v>74</v>
      </c>
    </row>
    <row r="60456" spans="9:9" x14ac:dyDescent="0.2">
      <c r="I60456" s="137" t="s">
        <v>74</v>
      </c>
    </row>
    <row r="60457" spans="9:9" x14ac:dyDescent="0.2">
      <c r="I60457" s="137" t="s">
        <v>74</v>
      </c>
    </row>
    <row r="60458" spans="9:9" x14ac:dyDescent="0.2">
      <c r="I60458" s="137" t="s">
        <v>74</v>
      </c>
    </row>
    <row r="60459" spans="9:9" x14ac:dyDescent="0.2">
      <c r="I60459" s="137" t="s">
        <v>74</v>
      </c>
    </row>
    <row r="60460" spans="9:9" x14ac:dyDescent="0.2">
      <c r="I60460" s="137" t="s">
        <v>74</v>
      </c>
    </row>
    <row r="60461" spans="9:9" x14ac:dyDescent="0.2">
      <c r="I60461" s="137" t="s">
        <v>74</v>
      </c>
    </row>
    <row r="60462" spans="9:9" x14ac:dyDescent="0.2">
      <c r="I60462" s="137" t="s">
        <v>74</v>
      </c>
    </row>
    <row r="60463" spans="9:9" x14ac:dyDescent="0.2">
      <c r="I60463" s="137" t="s">
        <v>74</v>
      </c>
    </row>
    <row r="60464" spans="9:9" x14ac:dyDescent="0.2">
      <c r="I60464" s="137" t="s">
        <v>74</v>
      </c>
    </row>
    <row r="60465" spans="9:9" x14ac:dyDescent="0.2">
      <c r="I60465" s="137" t="s">
        <v>74</v>
      </c>
    </row>
    <row r="60466" spans="9:9" x14ac:dyDescent="0.2">
      <c r="I60466" s="137" t="s">
        <v>74</v>
      </c>
    </row>
    <row r="60467" spans="9:9" x14ac:dyDescent="0.2">
      <c r="I60467" s="137" t="s">
        <v>74</v>
      </c>
    </row>
    <row r="60468" spans="9:9" x14ac:dyDescent="0.2">
      <c r="I60468" s="137" t="s">
        <v>74</v>
      </c>
    </row>
    <row r="60469" spans="9:9" x14ac:dyDescent="0.2">
      <c r="I60469" s="137" t="s">
        <v>74</v>
      </c>
    </row>
    <row r="60470" spans="9:9" x14ac:dyDescent="0.2">
      <c r="I60470" s="137" t="s">
        <v>74</v>
      </c>
    </row>
    <row r="60471" spans="9:9" x14ac:dyDescent="0.2">
      <c r="I60471" s="137" t="s">
        <v>74</v>
      </c>
    </row>
    <row r="60472" spans="9:9" x14ac:dyDescent="0.2">
      <c r="I60472" s="137" t="s">
        <v>74</v>
      </c>
    </row>
    <row r="60473" spans="9:9" x14ac:dyDescent="0.2">
      <c r="I60473" s="137" t="s">
        <v>74</v>
      </c>
    </row>
    <row r="60474" spans="9:9" x14ac:dyDescent="0.2">
      <c r="I60474" s="137" t="s">
        <v>74</v>
      </c>
    </row>
    <row r="60475" spans="9:9" x14ac:dyDescent="0.2">
      <c r="I60475" s="137" t="s">
        <v>74</v>
      </c>
    </row>
    <row r="60476" spans="9:9" x14ac:dyDescent="0.2">
      <c r="I60476" s="137" t="s">
        <v>74</v>
      </c>
    </row>
    <row r="60477" spans="9:9" x14ac:dyDescent="0.2">
      <c r="I60477" s="137" t="s">
        <v>74</v>
      </c>
    </row>
    <row r="60478" spans="9:9" x14ac:dyDescent="0.2">
      <c r="I60478" s="137" t="s">
        <v>74</v>
      </c>
    </row>
    <row r="60479" spans="9:9" x14ac:dyDescent="0.2">
      <c r="I60479" s="137" t="s">
        <v>74</v>
      </c>
    </row>
    <row r="60480" spans="9:9" x14ac:dyDescent="0.2">
      <c r="I60480" s="137" t="s">
        <v>74</v>
      </c>
    </row>
    <row r="60481" spans="9:9" x14ac:dyDescent="0.2">
      <c r="I60481" s="137" t="s">
        <v>74</v>
      </c>
    </row>
    <row r="60482" spans="9:9" x14ac:dyDescent="0.2">
      <c r="I60482" s="137" t="s">
        <v>74</v>
      </c>
    </row>
    <row r="60483" spans="9:9" x14ac:dyDescent="0.2">
      <c r="I60483" s="137" t="s">
        <v>74</v>
      </c>
    </row>
    <row r="60484" spans="9:9" x14ac:dyDescent="0.2">
      <c r="I60484" s="137" t="s">
        <v>74</v>
      </c>
    </row>
    <row r="60485" spans="9:9" x14ac:dyDescent="0.2">
      <c r="I60485" s="137" t="s">
        <v>74</v>
      </c>
    </row>
    <row r="60486" spans="9:9" x14ac:dyDescent="0.2">
      <c r="I60486" s="137" t="s">
        <v>74</v>
      </c>
    </row>
    <row r="60487" spans="9:9" x14ac:dyDescent="0.2">
      <c r="I60487" s="137" t="s">
        <v>74</v>
      </c>
    </row>
    <row r="60488" spans="9:9" x14ac:dyDescent="0.2">
      <c r="I60488" s="137" t="s">
        <v>74</v>
      </c>
    </row>
    <row r="60489" spans="9:9" x14ac:dyDescent="0.2">
      <c r="I60489" s="137" t="s">
        <v>74</v>
      </c>
    </row>
    <row r="60490" spans="9:9" x14ac:dyDescent="0.2">
      <c r="I60490" s="137" t="s">
        <v>74</v>
      </c>
    </row>
    <row r="60491" spans="9:9" x14ac:dyDescent="0.2">
      <c r="I60491" s="137" t="s">
        <v>74</v>
      </c>
    </row>
    <row r="60492" spans="9:9" x14ac:dyDescent="0.2">
      <c r="I60492" s="137" t="s">
        <v>74</v>
      </c>
    </row>
    <row r="60493" spans="9:9" x14ac:dyDescent="0.2">
      <c r="I60493" s="137" t="s">
        <v>74</v>
      </c>
    </row>
    <row r="60494" spans="9:9" x14ac:dyDescent="0.2">
      <c r="I60494" s="137" t="s">
        <v>74</v>
      </c>
    </row>
    <row r="60495" spans="9:9" x14ac:dyDescent="0.2">
      <c r="I60495" s="137" t="s">
        <v>74</v>
      </c>
    </row>
    <row r="60496" spans="9:9" x14ac:dyDescent="0.2">
      <c r="I60496" s="137" t="s">
        <v>74</v>
      </c>
    </row>
    <row r="60497" spans="9:9" x14ac:dyDescent="0.2">
      <c r="I60497" s="137" t="s">
        <v>74</v>
      </c>
    </row>
    <row r="60498" spans="9:9" x14ac:dyDescent="0.2">
      <c r="I60498" s="137" t="s">
        <v>74</v>
      </c>
    </row>
    <row r="60499" spans="9:9" x14ac:dyDescent="0.2">
      <c r="I60499" s="137" t="s">
        <v>74</v>
      </c>
    </row>
    <row r="60500" spans="9:9" x14ac:dyDescent="0.2">
      <c r="I60500" s="137" t="s">
        <v>74</v>
      </c>
    </row>
    <row r="60501" spans="9:9" x14ac:dyDescent="0.2">
      <c r="I60501" s="137" t="s">
        <v>74</v>
      </c>
    </row>
    <row r="60502" spans="9:9" x14ac:dyDescent="0.2">
      <c r="I60502" s="137" t="s">
        <v>74</v>
      </c>
    </row>
    <row r="60503" spans="9:9" x14ac:dyDescent="0.2">
      <c r="I60503" s="137" t="s">
        <v>74</v>
      </c>
    </row>
    <row r="60504" spans="9:9" x14ac:dyDescent="0.2">
      <c r="I60504" s="137" t="s">
        <v>74</v>
      </c>
    </row>
    <row r="60505" spans="9:9" x14ac:dyDescent="0.2">
      <c r="I60505" s="137" t="s">
        <v>74</v>
      </c>
    </row>
    <row r="60506" spans="9:9" x14ac:dyDescent="0.2">
      <c r="I60506" s="137" t="s">
        <v>74</v>
      </c>
    </row>
    <row r="60507" spans="9:9" x14ac:dyDescent="0.2">
      <c r="I60507" s="137" t="s">
        <v>74</v>
      </c>
    </row>
    <row r="60508" spans="9:9" x14ac:dyDescent="0.2">
      <c r="I60508" s="137" t="s">
        <v>74</v>
      </c>
    </row>
    <row r="60509" spans="9:9" x14ac:dyDescent="0.2">
      <c r="I60509" s="137" t="s">
        <v>74</v>
      </c>
    </row>
    <row r="60510" spans="9:9" x14ac:dyDescent="0.2">
      <c r="I60510" s="137" t="s">
        <v>74</v>
      </c>
    </row>
    <row r="60511" spans="9:9" x14ac:dyDescent="0.2">
      <c r="I60511" s="137" t="s">
        <v>74</v>
      </c>
    </row>
    <row r="60512" spans="9:9" x14ac:dyDescent="0.2">
      <c r="I60512" s="137" t="s">
        <v>74</v>
      </c>
    </row>
    <row r="60513" spans="9:9" x14ac:dyDescent="0.2">
      <c r="I60513" s="137" t="s">
        <v>74</v>
      </c>
    </row>
    <row r="60514" spans="9:9" x14ac:dyDescent="0.2">
      <c r="I60514" s="137" t="s">
        <v>74</v>
      </c>
    </row>
    <row r="60515" spans="9:9" x14ac:dyDescent="0.2">
      <c r="I60515" s="137" t="s">
        <v>74</v>
      </c>
    </row>
    <row r="60516" spans="9:9" x14ac:dyDescent="0.2">
      <c r="I60516" s="137" t="s">
        <v>74</v>
      </c>
    </row>
    <row r="60517" spans="9:9" x14ac:dyDescent="0.2">
      <c r="I60517" s="137" t="s">
        <v>74</v>
      </c>
    </row>
    <row r="60518" spans="9:9" x14ac:dyDescent="0.2">
      <c r="I60518" s="137" t="s">
        <v>74</v>
      </c>
    </row>
    <row r="60519" spans="9:9" x14ac:dyDescent="0.2">
      <c r="I60519" s="137" t="s">
        <v>74</v>
      </c>
    </row>
    <row r="60520" spans="9:9" x14ac:dyDescent="0.2">
      <c r="I60520" s="137" t="s">
        <v>74</v>
      </c>
    </row>
    <row r="60521" spans="9:9" x14ac:dyDescent="0.2">
      <c r="I60521" s="137" t="s">
        <v>74</v>
      </c>
    </row>
    <row r="60522" spans="9:9" x14ac:dyDescent="0.2">
      <c r="I60522" s="137" t="s">
        <v>74</v>
      </c>
    </row>
    <row r="60523" spans="9:9" x14ac:dyDescent="0.2">
      <c r="I60523" s="137" t="s">
        <v>74</v>
      </c>
    </row>
    <row r="60524" spans="9:9" x14ac:dyDescent="0.2">
      <c r="I60524" s="137" t="s">
        <v>74</v>
      </c>
    </row>
    <row r="60525" spans="9:9" x14ac:dyDescent="0.2">
      <c r="I60525" s="137" t="s">
        <v>74</v>
      </c>
    </row>
    <row r="60526" spans="9:9" x14ac:dyDescent="0.2">
      <c r="I60526" s="137" t="s">
        <v>74</v>
      </c>
    </row>
    <row r="60527" spans="9:9" x14ac:dyDescent="0.2">
      <c r="I60527" s="137" t="s">
        <v>74</v>
      </c>
    </row>
    <row r="60528" spans="9:9" x14ac:dyDescent="0.2">
      <c r="I60528" s="137" t="s">
        <v>74</v>
      </c>
    </row>
    <row r="60529" spans="9:9" x14ac:dyDescent="0.2">
      <c r="I60529" s="137" t="s">
        <v>74</v>
      </c>
    </row>
    <row r="60530" spans="9:9" x14ac:dyDescent="0.2">
      <c r="I60530" s="137" t="s">
        <v>74</v>
      </c>
    </row>
    <row r="60531" spans="9:9" x14ac:dyDescent="0.2">
      <c r="I60531" s="137" t="s">
        <v>74</v>
      </c>
    </row>
    <row r="60532" spans="9:9" x14ac:dyDescent="0.2">
      <c r="I60532" s="137" t="s">
        <v>74</v>
      </c>
    </row>
    <row r="60533" spans="9:9" x14ac:dyDescent="0.2">
      <c r="I60533" s="137" t="s">
        <v>74</v>
      </c>
    </row>
    <row r="60534" spans="9:9" x14ac:dyDescent="0.2">
      <c r="I60534" s="137" t="s">
        <v>74</v>
      </c>
    </row>
    <row r="60535" spans="9:9" x14ac:dyDescent="0.2">
      <c r="I60535" s="137" t="s">
        <v>74</v>
      </c>
    </row>
    <row r="60536" spans="9:9" x14ac:dyDescent="0.2">
      <c r="I60536" s="137" t="s">
        <v>74</v>
      </c>
    </row>
    <row r="60537" spans="9:9" x14ac:dyDescent="0.2">
      <c r="I60537" s="137" t="s">
        <v>74</v>
      </c>
    </row>
    <row r="60538" spans="9:9" x14ac:dyDescent="0.2">
      <c r="I60538" s="137" t="s">
        <v>74</v>
      </c>
    </row>
    <row r="60539" spans="9:9" x14ac:dyDescent="0.2">
      <c r="I60539" s="137" t="s">
        <v>74</v>
      </c>
    </row>
    <row r="60540" spans="9:9" x14ac:dyDescent="0.2">
      <c r="I60540" s="137" t="s">
        <v>74</v>
      </c>
    </row>
    <row r="60541" spans="9:9" x14ac:dyDescent="0.2">
      <c r="I60541" s="137" t="s">
        <v>74</v>
      </c>
    </row>
    <row r="60542" spans="9:9" x14ac:dyDescent="0.2">
      <c r="I60542" s="137" t="s">
        <v>74</v>
      </c>
    </row>
    <row r="60543" spans="9:9" x14ac:dyDescent="0.2">
      <c r="I60543" s="137" t="s">
        <v>74</v>
      </c>
    </row>
    <row r="60544" spans="9:9" x14ac:dyDescent="0.2">
      <c r="I60544" s="137" t="s">
        <v>74</v>
      </c>
    </row>
    <row r="60545" spans="9:9" x14ac:dyDescent="0.2">
      <c r="I60545" s="137" t="s">
        <v>74</v>
      </c>
    </row>
    <row r="60546" spans="9:9" x14ac:dyDescent="0.2">
      <c r="I60546" s="137" t="s">
        <v>74</v>
      </c>
    </row>
    <row r="60547" spans="9:9" x14ac:dyDescent="0.2">
      <c r="I60547" s="137" t="s">
        <v>74</v>
      </c>
    </row>
    <row r="60548" spans="9:9" x14ac:dyDescent="0.2">
      <c r="I60548" s="137" t="s">
        <v>74</v>
      </c>
    </row>
    <row r="60549" spans="9:9" x14ac:dyDescent="0.2">
      <c r="I60549" s="137" t="s">
        <v>74</v>
      </c>
    </row>
    <row r="60550" spans="9:9" x14ac:dyDescent="0.2">
      <c r="I60550" s="137" t="s">
        <v>74</v>
      </c>
    </row>
    <row r="60551" spans="9:9" x14ac:dyDescent="0.2">
      <c r="I60551" s="137" t="s">
        <v>74</v>
      </c>
    </row>
    <row r="60552" spans="9:9" x14ac:dyDescent="0.2">
      <c r="I60552" s="137" t="s">
        <v>74</v>
      </c>
    </row>
    <row r="60553" spans="9:9" x14ac:dyDescent="0.2">
      <c r="I60553" s="137" t="s">
        <v>74</v>
      </c>
    </row>
    <row r="60554" spans="9:9" x14ac:dyDescent="0.2">
      <c r="I60554" s="137" t="s">
        <v>74</v>
      </c>
    </row>
    <row r="60555" spans="9:9" x14ac:dyDescent="0.2">
      <c r="I60555" s="137" t="s">
        <v>74</v>
      </c>
    </row>
    <row r="60556" spans="9:9" x14ac:dyDescent="0.2">
      <c r="I60556" s="137" t="s">
        <v>74</v>
      </c>
    </row>
    <row r="60557" spans="9:9" x14ac:dyDescent="0.2">
      <c r="I60557" s="137" t="s">
        <v>74</v>
      </c>
    </row>
    <row r="60558" spans="9:9" x14ac:dyDescent="0.2">
      <c r="I60558" s="137" t="s">
        <v>74</v>
      </c>
    </row>
    <row r="60559" spans="9:9" x14ac:dyDescent="0.2">
      <c r="I60559" s="137" t="s">
        <v>74</v>
      </c>
    </row>
    <row r="60560" spans="9:9" x14ac:dyDescent="0.2">
      <c r="I60560" s="137" t="s">
        <v>74</v>
      </c>
    </row>
    <row r="60561" spans="9:9" x14ac:dyDescent="0.2">
      <c r="I60561" s="137" t="s">
        <v>74</v>
      </c>
    </row>
    <row r="60562" spans="9:9" x14ac:dyDescent="0.2">
      <c r="I60562" s="137" t="s">
        <v>74</v>
      </c>
    </row>
    <row r="60563" spans="9:9" x14ac:dyDescent="0.2">
      <c r="I60563" s="137" t="s">
        <v>74</v>
      </c>
    </row>
    <row r="60564" spans="9:9" x14ac:dyDescent="0.2">
      <c r="I60564" s="137" t="s">
        <v>74</v>
      </c>
    </row>
    <row r="60565" spans="9:9" x14ac:dyDescent="0.2">
      <c r="I60565" s="137" t="s">
        <v>74</v>
      </c>
    </row>
    <row r="60566" spans="9:9" x14ac:dyDescent="0.2">
      <c r="I60566" s="137" t="s">
        <v>74</v>
      </c>
    </row>
    <row r="60567" spans="9:9" x14ac:dyDescent="0.2">
      <c r="I60567" s="137" t="s">
        <v>74</v>
      </c>
    </row>
    <row r="60568" spans="9:9" x14ac:dyDescent="0.2">
      <c r="I60568" s="137" t="s">
        <v>74</v>
      </c>
    </row>
    <row r="60569" spans="9:9" x14ac:dyDescent="0.2">
      <c r="I60569" s="137" t="s">
        <v>74</v>
      </c>
    </row>
    <row r="60570" spans="9:9" x14ac:dyDescent="0.2">
      <c r="I60570" s="137" t="s">
        <v>74</v>
      </c>
    </row>
    <row r="60571" spans="9:9" x14ac:dyDescent="0.2">
      <c r="I60571" s="137" t="s">
        <v>74</v>
      </c>
    </row>
    <row r="60572" spans="9:9" x14ac:dyDescent="0.2">
      <c r="I60572" s="137" t="s">
        <v>74</v>
      </c>
    </row>
    <row r="60573" spans="9:9" x14ac:dyDescent="0.2">
      <c r="I60573" s="137" t="s">
        <v>74</v>
      </c>
    </row>
    <row r="60574" spans="9:9" x14ac:dyDescent="0.2">
      <c r="I60574" s="137" t="s">
        <v>74</v>
      </c>
    </row>
    <row r="60575" spans="9:9" x14ac:dyDescent="0.2">
      <c r="I60575" s="137" t="s">
        <v>74</v>
      </c>
    </row>
    <row r="60576" spans="9:9" x14ac:dyDescent="0.2">
      <c r="I60576" s="137" t="s">
        <v>74</v>
      </c>
    </row>
    <row r="60577" spans="9:9" x14ac:dyDescent="0.2">
      <c r="I60577" s="137" t="s">
        <v>74</v>
      </c>
    </row>
    <row r="60578" spans="9:9" x14ac:dyDescent="0.2">
      <c r="I60578" s="137" t="s">
        <v>74</v>
      </c>
    </row>
    <row r="60579" spans="9:9" x14ac:dyDescent="0.2">
      <c r="I60579" s="137" t="s">
        <v>74</v>
      </c>
    </row>
    <row r="60580" spans="9:9" x14ac:dyDescent="0.2">
      <c r="I60580" s="137" t="s">
        <v>74</v>
      </c>
    </row>
    <row r="60581" spans="9:9" x14ac:dyDescent="0.2">
      <c r="I60581" s="137" t="s">
        <v>74</v>
      </c>
    </row>
    <row r="60582" spans="9:9" x14ac:dyDescent="0.2">
      <c r="I60582" s="137" t="s">
        <v>74</v>
      </c>
    </row>
    <row r="60583" spans="9:9" x14ac:dyDescent="0.2">
      <c r="I60583" s="137" t="s">
        <v>74</v>
      </c>
    </row>
    <row r="60584" spans="9:9" x14ac:dyDescent="0.2">
      <c r="I60584" s="137" t="s">
        <v>74</v>
      </c>
    </row>
    <row r="60585" spans="9:9" x14ac:dyDescent="0.2">
      <c r="I60585" s="137" t="s">
        <v>74</v>
      </c>
    </row>
    <row r="60586" spans="9:9" x14ac:dyDescent="0.2">
      <c r="I60586" s="137" t="s">
        <v>74</v>
      </c>
    </row>
    <row r="60587" spans="9:9" x14ac:dyDescent="0.2">
      <c r="I60587" s="137" t="s">
        <v>74</v>
      </c>
    </row>
    <row r="60588" spans="9:9" x14ac:dyDescent="0.2">
      <c r="I60588" s="137" t="s">
        <v>74</v>
      </c>
    </row>
    <row r="60589" spans="9:9" x14ac:dyDescent="0.2">
      <c r="I60589" s="137" t="s">
        <v>74</v>
      </c>
    </row>
    <row r="60590" spans="9:9" x14ac:dyDescent="0.2">
      <c r="I60590" s="137" t="s">
        <v>74</v>
      </c>
    </row>
    <row r="60591" spans="9:9" x14ac:dyDescent="0.2">
      <c r="I60591" s="137" t="s">
        <v>74</v>
      </c>
    </row>
    <row r="60592" spans="9:9" x14ac:dyDescent="0.2">
      <c r="I60592" s="137" t="s">
        <v>74</v>
      </c>
    </row>
    <row r="60593" spans="9:9" x14ac:dyDescent="0.2">
      <c r="I60593" s="137" t="s">
        <v>74</v>
      </c>
    </row>
    <row r="60594" spans="9:9" x14ac:dyDescent="0.2">
      <c r="I60594" s="137" t="s">
        <v>74</v>
      </c>
    </row>
    <row r="60595" spans="9:9" x14ac:dyDescent="0.2">
      <c r="I60595" s="137" t="s">
        <v>74</v>
      </c>
    </row>
    <row r="60596" spans="9:9" x14ac:dyDescent="0.2">
      <c r="I60596" s="137" t="s">
        <v>74</v>
      </c>
    </row>
    <row r="60597" spans="9:9" x14ac:dyDescent="0.2">
      <c r="I60597" s="137" t="s">
        <v>74</v>
      </c>
    </row>
    <row r="60598" spans="9:9" x14ac:dyDescent="0.2">
      <c r="I60598" s="137" t="s">
        <v>74</v>
      </c>
    </row>
    <row r="60599" spans="9:9" x14ac:dyDescent="0.2">
      <c r="I60599" s="137" t="s">
        <v>74</v>
      </c>
    </row>
    <row r="60600" spans="9:9" x14ac:dyDescent="0.2">
      <c r="I60600" s="137" t="s">
        <v>74</v>
      </c>
    </row>
    <row r="60601" spans="9:9" x14ac:dyDescent="0.2">
      <c r="I60601" s="137" t="s">
        <v>74</v>
      </c>
    </row>
    <row r="60602" spans="9:9" x14ac:dyDescent="0.2">
      <c r="I60602" s="137" t="s">
        <v>74</v>
      </c>
    </row>
    <row r="60603" spans="9:9" x14ac:dyDescent="0.2">
      <c r="I60603" s="137" t="s">
        <v>74</v>
      </c>
    </row>
    <row r="60604" spans="9:9" x14ac:dyDescent="0.2">
      <c r="I60604" s="137" t="s">
        <v>74</v>
      </c>
    </row>
    <row r="60605" spans="9:9" x14ac:dyDescent="0.2">
      <c r="I60605" s="137" t="s">
        <v>74</v>
      </c>
    </row>
    <row r="60606" spans="9:9" x14ac:dyDescent="0.2">
      <c r="I60606" s="137" t="s">
        <v>74</v>
      </c>
    </row>
    <row r="60607" spans="9:9" x14ac:dyDescent="0.2">
      <c r="I60607" s="137" t="s">
        <v>74</v>
      </c>
    </row>
    <row r="60608" spans="9:9" x14ac:dyDescent="0.2">
      <c r="I60608" s="137" t="s">
        <v>74</v>
      </c>
    </row>
    <row r="60609" spans="9:9" x14ac:dyDescent="0.2">
      <c r="I60609" s="137" t="s">
        <v>74</v>
      </c>
    </row>
    <row r="60610" spans="9:9" x14ac:dyDescent="0.2">
      <c r="I60610" s="137" t="s">
        <v>74</v>
      </c>
    </row>
    <row r="60611" spans="9:9" x14ac:dyDescent="0.2">
      <c r="I60611" s="137" t="s">
        <v>74</v>
      </c>
    </row>
    <row r="60612" spans="9:9" x14ac:dyDescent="0.2">
      <c r="I60612" s="137" t="s">
        <v>74</v>
      </c>
    </row>
    <row r="60613" spans="9:9" x14ac:dyDescent="0.2">
      <c r="I60613" s="137" t="s">
        <v>74</v>
      </c>
    </row>
    <row r="60614" spans="9:9" x14ac:dyDescent="0.2">
      <c r="I60614" s="137" t="s">
        <v>74</v>
      </c>
    </row>
    <row r="60615" spans="9:9" x14ac:dyDescent="0.2">
      <c r="I60615" s="137" t="s">
        <v>74</v>
      </c>
    </row>
    <row r="60616" spans="9:9" x14ac:dyDescent="0.2">
      <c r="I60616" s="137" t="s">
        <v>74</v>
      </c>
    </row>
    <row r="60617" spans="9:9" x14ac:dyDescent="0.2">
      <c r="I60617" s="137" t="s">
        <v>74</v>
      </c>
    </row>
    <row r="60618" spans="9:9" x14ac:dyDescent="0.2">
      <c r="I60618" s="137" t="s">
        <v>74</v>
      </c>
    </row>
    <row r="60619" spans="9:9" x14ac:dyDescent="0.2">
      <c r="I60619" s="137" t="s">
        <v>74</v>
      </c>
    </row>
    <row r="60620" spans="9:9" x14ac:dyDescent="0.2">
      <c r="I60620" s="137" t="s">
        <v>74</v>
      </c>
    </row>
    <row r="60621" spans="9:9" x14ac:dyDescent="0.2">
      <c r="I60621" s="137" t="s">
        <v>74</v>
      </c>
    </row>
    <row r="60622" spans="9:9" x14ac:dyDescent="0.2">
      <c r="I60622" s="137" t="s">
        <v>74</v>
      </c>
    </row>
    <row r="60623" spans="9:9" x14ac:dyDescent="0.2">
      <c r="I60623" s="137" t="s">
        <v>74</v>
      </c>
    </row>
    <row r="60624" spans="9:9" x14ac:dyDescent="0.2">
      <c r="I60624" s="137" t="s">
        <v>74</v>
      </c>
    </row>
    <row r="60625" spans="9:9" x14ac:dyDescent="0.2">
      <c r="I60625" s="137" t="s">
        <v>74</v>
      </c>
    </row>
    <row r="60626" spans="9:9" x14ac:dyDescent="0.2">
      <c r="I60626" s="137" t="s">
        <v>74</v>
      </c>
    </row>
    <row r="60627" spans="9:9" x14ac:dyDescent="0.2">
      <c r="I60627" s="137" t="s">
        <v>74</v>
      </c>
    </row>
    <row r="60628" spans="9:9" x14ac:dyDescent="0.2">
      <c r="I60628" s="137" t="s">
        <v>74</v>
      </c>
    </row>
    <row r="60629" spans="9:9" x14ac:dyDescent="0.2">
      <c r="I60629" s="137" t="s">
        <v>74</v>
      </c>
    </row>
    <row r="60630" spans="9:9" x14ac:dyDescent="0.2">
      <c r="I60630" s="137" t="s">
        <v>74</v>
      </c>
    </row>
    <row r="60631" spans="9:9" x14ac:dyDescent="0.2">
      <c r="I60631" s="137" t="s">
        <v>74</v>
      </c>
    </row>
    <row r="60632" spans="9:9" x14ac:dyDescent="0.2">
      <c r="I60632" s="137" t="s">
        <v>74</v>
      </c>
    </row>
    <row r="60633" spans="9:9" x14ac:dyDescent="0.2">
      <c r="I60633" s="137" t="s">
        <v>74</v>
      </c>
    </row>
    <row r="60634" spans="9:9" x14ac:dyDescent="0.2">
      <c r="I60634" s="137" t="s">
        <v>74</v>
      </c>
    </row>
    <row r="60635" spans="9:9" x14ac:dyDescent="0.2">
      <c r="I60635" s="137" t="s">
        <v>74</v>
      </c>
    </row>
    <row r="60636" spans="9:9" x14ac:dyDescent="0.2">
      <c r="I60636" s="137" t="s">
        <v>74</v>
      </c>
    </row>
    <row r="60637" spans="9:9" x14ac:dyDescent="0.2">
      <c r="I60637" s="137" t="s">
        <v>74</v>
      </c>
    </row>
    <row r="60638" spans="9:9" x14ac:dyDescent="0.2">
      <c r="I60638" s="137" t="s">
        <v>74</v>
      </c>
    </row>
    <row r="60639" spans="9:9" x14ac:dyDescent="0.2">
      <c r="I60639" s="137" t="s">
        <v>74</v>
      </c>
    </row>
    <row r="60640" spans="9:9" x14ac:dyDescent="0.2">
      <c r="I60640" s="137" t="s">
        <v>74</v>
      </c>
    </row>
    <row r="60641" spans="9:9" x14ac:dyDescent="0.2">
      <c r="I60641" s="137" t="s">
        <v>74</v>
      </c>
    </row>
    <row r="60642" spans="9:9" x14ac:dyDescent="0.2">
      <c r="I60642" s="137" t="s">
        <v>74</v>
      </c>
    </row>
    <row r="60643" spans="9:9" x14ac:dyDescent="0.2">
      <c r="I60643" s="137" t="s">
        <v>74</v>
      </c>
    </row>
    <row r="60644" spans="9:9" x14ac:dyDescent="0.2">
      <c r="I60644" s="137" t="s">
        <v>74</v>
      </c>
    </row>
    <row r="60645" spans="9:9" x14ac:dyDescent="0.2">
      <c r="I60645" s="137" t="s">
        <v>74</v>
      </c>
    </row>
    <row r="60646" spans="9:9" x14ac:dyDescent="0.2">
      <c r="I60646" s="137" t="s">
        <v>74</v>
      </c>
    </row>
    <row r="60647" spans="9:9" x14ac:dyDescent="0.2">
      <c r="I60647" s="137" t="s">
        <v>74</v>
      </c>
    </row>
    <row r="60648" spans="9:9" x14ac:dyDescent="0.2">
      <c r="I60648" s="137" t="s">
        <v>74</v>
      </c>
    </row>
    <row r="60649" spans="9:9" x14ac:dyDescent="0.2">
      <c r="I60649" s="137" t="s">
        <v>74</v>
      </c>
    </row>
    <row r="60650" spans="9:9" x14ac:dyDescent="0.2">
      <c r="I60650" s="137" t="s">
        <v>74</v>
      </c>
    </row>
    <row r="60651" spans="9:9" x14ac:dyDescent="0.2">
      <c r="I60651" s="137" t="s">
        <v>74</v>
      </c>
    </row>
    <row r="60652" spans="9:9" x14ac:dyDescent="0.2">
      <c r="I60652" s="137" t="s">
        <v>74</v>
      </c>
    </row>
    <row r="60653" spans="9:9" x14ac:dyDescent="0.2">
      <c r="I60653" s="137" t="s">
        <v>74</v>
      </c>
    </row>
    <row r="60654" spans="9:9" x14ac:dyDescent="0.2">
      <c r="I60654" s="137" t="s">
        <v>74</v>
      </c>
    </row>
    <row r="60655" spans="9:9" x14ac:dyDescent="0.2">
      <c r="I60655" s="137" t="s">
        <v>74</v>
      </c>
    </row>
    <row r="60656" spans="9:9" x14ac:dyDescent="0.2">
      <c r="I60656" s="137" t="s">
        <v>74</v>
      </c>
    </row>
    <row r="60657" spans="9:9" x14ac:dyDescent="0.2">
      <c r="I60657" s="137" t="s">
        <v>74</v>
      </c>
    </row>
    <row r="60658" spans="9:9" x14ac:dyDescent="0.2">
      <c r="I60658" s="137" t="s">
        <v>74</v>
      </c>
    </row>
    <row r="60659" spans="9:9" x14ac:dyDescent="0.2">
      <c r="I60659" s="137" t="s">
        <v>74</v>
      </c>
    </row>
    <row r="60660" spans="9:9" x14ac:dyDescent="0.2">
      <c r="I60660" s="137" t="s">
        <v>74</v>
      </c>
    </row>
    <row r="60661" spans="9:9" x14ac:dyDescent="0.2">
      <c r="I60661" s="137" t="s">
        <v>74</v>
      </c>
    </row>
    <row r="60662" spans="9:9" x14ac:dyDescent="0.2">
      <c r="I60662" s="137" t="s">
        <v>74</v>
      </c>
    </row>
    <row r="60663" spans="9:9" x14ac:dyDescent="0.2">
      <c r="I60663" s="137" t="s">
        <v>74</v>
      </c>
    </row>
    <row r="60664" spans="9:9" x14ac:dyDescent="0.2">
      <c r="I60664" s="137" t="s">
        <v>74</v>
      </c>
    </row>
    <row r="60665" spans="9:9" x14ac:dyDescent="0.2">
      <c r="I60665" s="137" t="s">
        <v>74</v>
      </c>
    </row>
    <row r="60666" spans="9:9" x14ac:dyDescent="0.2">
      <c r="I60666" s="137" t="s">
        <v>74</v>
      </c>
    </row>
    <row r="60667" spans="9:9" x14ac:dyDescent="0.2">
      <c r="I60667" s="137" t="s">
        <v>74</v>
      </c>
    </row>
    <row r="60668" spans="9:9" x14ac:dyDescent="0.2">
      <c r="I60668" s="137" t="s">
        <v>74</v>
      </c>
    </row>
    <row r="60669" spans="9:9" x14ac:dyDescent="0.2">
      <c r="I60669" s="137" t="s">
        <v>74</v>
      </c>
    </row>
    <row r="60670" spans="9:9" x14ac:dyDescent="0.2">
      <c r="I60670" s="137" t="s">
        <v>74</v>
      </c>
    </row>
    <row r="60671" spans="9:9" x14ac:dyDescent="0.2">
      <c r="I60671" s="137" t="s">
        <v>74</v>
      </c>
    </row>
    <row r="60672" spans="9:9" x14ac:dyDescent="0.2">
      <c r="I60672" s="137" t="s">
        <v>74</v>
      </c>
    </row>
    <row r="60673" spans="9:9" x14ac:dyDescent="0.2">
      <c r="I60673" s="137" t="s">
        <v>74</v>
      </c>
    </row>
    <row r="60674" spans="9:9" x14ac:dyDescent="0.2">
      <c r="I60674" s="137" t="s">
        <v>74</v>
      </c>
    </row>
    <row r="60675" spans="9:9" x14ac:dyDescent="0.2">
      <c r="I60675" s="137" t="s">
        <v>74</v>
      </c>
    </row>
    <row r="60676" spans="9:9" x14ac:dyDescent="0.2">
      <c r="I60676" s="137" t="s">
        <v>74</v>
      </c>
    </row>
    <row r="60677" spans="9:9" x14ac:dyDescent="0.2">
      <c r="I60677" s="137" t="s">
        <v>74</v>
      </c>
    </row>
    <row r="60678" spans="9:9" x14ac:dyDescent="0.2">
      <c r="I60678" s="137" t="s">
        <v>74</v>
      </c>
    </row>
    <row r="60679" spans="9:9" x14ac:dyDescent="0.2">
      <c r="I60679" s="137" t="s">
        <v>74</v>
      </c>
    </row>
    <row r="60680" spans="9:9" x14ac:dyDescent="0.2">
      <c r="I60680" s="137" t="s">
        <v>74</v>
      </c>
    </row>
    <row r="60681" spans="9:9" x14ac:dyDescent="0.2">
      <c r="I60681" s="137" t="s">
        <v>74</v>
      </c>
    </row>
    <row r="60682" spans="9:9" x14ac:dyDescent="0.2">
      <c r="I60682" s="137" t="s">
        <v>74</v>
      </c>
    </row>
    <row r="60683" spans="9:9" x14ac:dyDescent="0.2">
      <c r="I60683" s="137" t="s">
        <v>74</v>
      </c>
    </row>
    <row r="60684" spans="9:9" x14ac:dyDescent="0.2">
      <c r="I60684" s="137" t="s">
        <v>74</v>
      </c>
    </row>
    <row r="60685" spans="9:9" x14ac:dyDescent="0.2">
      <c r="I60685" s="137" t="s">
        <v>74</v>
      </c>
    </row>
    <row r="60686" spans="9:9" x14ac:dyDescent="0.2">
      <c r="I60686" s="137" t="s">
        <v>74</v>
      </c>
    </row>
    <row r="60687" spans="9:9" x14ac:dyDescent="0.2">
      <c r="I60687" s="137" t="s">
        <v>74</v>
      </c>
    </row>
    <row r="60688" spans="9:9" x14ac:dyDescent="0.2">
      <c r="I60688" s="137" t="s">
        <v>74</v>
      </c>
    </row>
    <row r="60689" spans="9:9" x14ac:dyDescent="0.2">
      <c r="I60689" s="137" t="s">
        <v>74</v>
      </c>
    </row>
    <row r="60690" spans="9:9" x14ac:dyDescent="0.2">
      <c r="I60690" s="137" t="s">
        <v>74</v>
      </c>
    </row>
    <row r="60691" spans="9:9" x14ac:dyDescent="0.2">
      <c r="I60691" s="137" t="s">
        <v>74</v>
      </c>
    </row>
    <row r="60692" spans="9:9" x14ac:dyDescent="0.2">
      <c r="I60692" s="137" t="s">
        <v>74</v>
      </c>
    </row>
    <row r="60693" spans="9:9" x14ac:dyDescent="0.2">
      <c r="I60693" s="137" t="s">
        <v>74</v>
      </c>
    </row>
    <row r="60694" spans="9:9" x14ac:dyDescent="0.2">
      <c r="I60694" s="137" t="s">
        <v>74</v>
      </c>
    </row>
    <row r="60695" spans="9:9" x14ac:dyDescent="0.2">
      <c r="I60695" s="137" t="s">
        <v>74</v>
      </c>
    </row>
    <row r="60696" spans="9:9" x14ac:dyDescent="0.2">
      <c r="I60696" s="137" t="s">
        <v>74</v>
      </c>
    </row>
    <row r="60697" spans="9:9" x14ac:dyDescent="0.2">
      <c r="I60697" s="137" t="s">
        <v>74</v>
      </c>
    </row>
    <row r="60698" spans="9:9" x14ac:dyDescent="0.2">
      <c r="I60698" s="137" t="s">
        <v>74</v>
      </c>
    </row>
    <row r="60699" spans="9:9" x14ac:dyDescent="0.2">
      <c r="I60699" s="137" t="s">
        <v>74</v>
      </c>
    </row>
    <row r="60700" spans="9:9" x14ac:dyDescent="0.2">
      <c r="I60700" s="137" t="s">
        <v>74</v>
      </c>
    </row>
    <row r="60701" spans="9:9" x14ac:dyDescent="0.2">
      <c r="I60701" s="137" t="s">
        <v>74</v>
      </c>
    </row>
    <row r="60702" spans="9:9" x14ac:dyDescent="0.2">
      <c r="I60702" s="137" t="s">
        <v>74</v>
      </c>
    </row>
    <row r="60703" spans="9:9" x14ac:dyDescent="0.2">
      <c r="I60703" s="137" t="s">
        <v>74</v>
      </c>
    </row>
    <row r="60704" spans="9:9" x14ac:dyDescent="0.2">
      <c r="I60704" s="137" t="s">
        <v>74</v>
      </c>
    </row>
    <row r="60705" spans="9:9" x14ac:dyDescent="0.2">
      <c r="I60705" s="137" t="s">
        <v>74</v>
      </c>
    </row>
    <row r="60706" spans="9:9" x14ac:dyDescent="0.2">
      <c r="I60706" s="137" t="s">
        <v>74</v>
      </c>
    </row>
    <row r="60707" spans="9:9" x14ac:dyDescent="0.2">
      <c r="I60707" s="137" t="s">
        <v>74</v>
      </c>
    </row>
    <row r="60708" spans="9:9" x14ac:dyDescent="0.2">
      <c r="I60708" s="137" t="s">
        <v>74</v>
      </c>
    </row>
    <row r="60709" spans="9:9" x14ac:dyDescent="0.2">
      <c r="I60709" s="137" t="s">
        <v>74</v>
      </c>
    </row>
    <row r="60710" spans="9:9" x14ac:dyDescent="0.2">
      <c r="I60710" s="137" t="s">
        <v>74</v>
      </c>
    </row>
    <row r="60711" spans="9:9" x14ac:dyDescent="0.2">
      <c r="I60711" s="137" t="s">
        <v>74</v>
      </c>
    </row>
    <row r="60712" spans="9:9" x14ac:dyDescent="0.2">
      <c r="I60712" s="137" t="s">
        <v>74</v>
      </c>
    </row>
    <row r="60713" spans="9:9" x14ac:dyDescent="0.2">
      <c r="I60713" s="137" t="s">
        <v>74</v>
      </c>
    </row>
    <row r="60714" spans="9:9" x14ac:dyDescent="0.2">
      <c r="I60714" s="137" t="s">
        <v>74</v>
      </c>
    </row>
    <row r="60715" spans="9:9" x14ac:dyDescent="0.2">
      <c r="I60715" s="137" t="s">
        <v>74</v>
      </c>
    </row>
    <row r="60716" spans="9:9" x14ac:dyDescent="0.2">
      <c r="I60716" s="137" t="s">
        <v>74</v>
      </c>
    </row>
    <row r="60717" spans="9:9" x14ac:dyDescent="0.2">
      <c r="I60717" s="137" t="s">
        <v>74</v>
      </c>
    </row>
    <row r="60718" spans="9:9" x14ac:dyDescent="0.2">
      <c r="I60718" s="137" t="s">
        <v>74</v>
      </c>
    </row>
    <row r="60719" spans="9:9" x14ac:dyDescent="0.2">
      <c r="I60719" s="137" t="s">
        <v>74</v>
      </c>
    </row>
    <row r="60720" spans="9:9" x14ac:dyDescent="0.2">
      <c r="I60720" s="137" t="s">
        <v>74</v>
      </c>
    </row>
    <row r="60721" spans="9:9" x14ac:dyDescent="0.2">
      <c r="I60721" s="137" t="s">
        <v>74</v>
      </c>
    </row>
    <row r="60722" spans="9:9" x14ac:dyDescent="0.2">
      <c r="I60722" s="137" t="s">
        <v>74</v>
      </c>
    </row>
    <row r="60723" spans="9:9" x14ac:dyDescent="0.2">
      <c r="I60723" s="137" t="s">
        <v>74</v>
      </c>
    </row>
    <row r="60724" spans="9:9" x14ac:dyDescent="0.2">
      <c r="I60724" s="137" t="s">
        <v>74</v>
      </c>
    </row>
    <row r="60725" spans="9:9" x14ac:dyDescent="0.2">
      <c r="I60725" s="137" t="s">
        <v>74</v>
      </c>
    </row>
    <row r="60726" spans="9:9" x14ac:dyDescent="0.2">
      <c r="I60726" s="137" t="s">
        <v>74</v>
      </c>
    </row>
    <row r="60727" spans="9:9" x14ac:dyDescent="0.2">
      <c r="I60727" s="137" t="s">
        <v>74</v>
      </c>
    </row>
    <row r="60728" spans="9:9" x14ac:dyDescent="0.2">
      <c r="I60728" s="137" t="s">
        <v>74</v>
      </c>
    </row>
    <row r="60729" spans="9:9" x14ac:dyDescent="0.2">
      <c r="I60729" s="137" t="s">
        <v>74</v>
      </c>
    </row>
    <row r="60730" spans="9:9" x14ac:dyDescent="0.2">
      <c r="I60730" s="137" t="s">
        <v>74</v>
      </c>
    </row>
    <row r="60731" spans="9:9" x14ac:dyDescent="0.2">
      <c r="I60731" s="137" t="s">
        <v>74</v>
      </c>
    </row>
    <row r="60732" spans="9:9" x14ac:dyDescent="0.2">
      <c r="I60732" s="137" t="s">
        <v>74</v>
      </c>
    </row>
    <row r="60733" spans="9:9" x14ac:dyDescent="0.2">
      <c r="I60733" s="137" t="s">
        <v>74</v>
      </c>
    </row>
    <row r="60734" spans="9:9" x14ac:dyDescent="0.2">
      <c r="I60734" s="137" t="s">
        <v>74</v>
      </c>
    </row>
    <row r="60735" spans="9:9" x14ac:dyDescent="0.2">
      <c r="I60735" s="137" t="s">
        <v>74</v>
      </c>
    </row>
    <row r="60736" spans="9:9" x14ac:dyDescent="0.2">
      <c r="I60736" s="137" t="s">
        <v>74</v>
      </c>
    </row>
    <row r="60737" spans="9:9" x14ac:dyDescent="0.2">
      <c r="I60737" s="137" t="s">
        <v>74</v>
      </c>
    </row>
    <row r="60738" spans="9:9" x14ac:dyDescent="0.2">
      <c r="I60738" s="137" t="s">
        <v>74</v>
      </c>
    </row>
    <row r="60739" spans="9:9" x14ac:dyDescent="0.2">
      <c r="I60739" s="137" t="s">
        <v>74</v>
      </c>
    </row>
    <row r="60740" spans="9:9" x14ac:dyDescent="0.2">
      <c r="I60740" s="137" t="s">
        <v>74</v>
      </c>
    </row>
    <row r="60741" spans="9:9" x14ac:dyDescent="0.2">
      <c r="I60741" s="137" t="s">
        <v>74</v>
      </c>
    </row>
    <row r="60742" spans="9:9" x14ac:dyDescent="0.2">
      <c r="I60742" s="137" t="s">
        <v>74</v>
      </c>
    </row>
    <row r="60743" spans="9:9" x14ac:dyDescent="0.2">
      <c r="I60743" s="137" t="s">
        <v>74</v>
      </c>
    </row>
    <row r="60744" spans="9:9" x14ac:dyDescent="0.2">
      <c r="I60744" s="137" t="s">
        <v>74</v>
      </c>
    </row>
    <row r="60745" spans="9:9" x14ac:dyDescent="0.2">
      <c r="I60745" s="137" t="s">
        <v>74</v>
      </c>
    </row>
    <row r="60746" spans="9:9" x14ac:dyDescent="0.2">
      <c r="I60746" s="137" t="s">
        <v>74</v>
      </c>
    </row>
    <row r="60747" spans="9:9" x14ac:dyDescent="0.2">
      <c r="I60747" s="137" t="s">
        <v>74</v>
      </c>
    </row>
    <row r="60748" spans="9:9" x14ac:dyDescent="0.2">
      <c r="I60748" s="137" t="s">
        <v>74</v>
      </c>
    </row>
    <row r="60749" spans="9:9" x14ac:dyDescent="0.2">
      <c r="I60749" s="137" t="s">
        <v>74</v>
      </c>
    </row>
    <row r="60750" spans="9:9" x14ac:dyDescent="0.2">
      <c r="I60750" s="137" t="s">
        <v>74</v>
      </c>
    </row>
    <row r="60751" spans="9:9" x14ac:dyDescent="0.2">
      <c r="I60751" s="137" t="s">
        <v>74</v>
      </c>
    </row>
    <row r="60752" spans="9:9" x14ac:dyDescent="0.2">
      <c r="I60752" s="137" t="s">
        <v>74</v>
      </c>
    </row>
    <row r="60753" spans="9:9" x14ac:dyDescent="0.2">
      <c r="I60753" s="137" t="s">
        <v>74</v>
      </c>
    </row>
    <row r="60754" spans="9:9" x14ac:dyDescent="0.2">
      <c r="I60754" s="137" t="s">
        <v>74</v>
      </c>
    </row>
    <row r="60755" spans="9:9" x14ac:dyDescent="0.2">
      <c r="I60755" s="137" t="s">
        <v>74</v>
      </c>
    </row>
    <row r="60756" spans="9:9" x14ac:dyDescent="0.2">
      <c r="I60756" s="137" t="s">
        <v>74</v>
      </c>
    </row>
    <row r="60757" spans="9:9" x14ac:dyDescent="0.2">
      <c r="I60757" s="137" t="s">
        <v>74</v>
      </c>
    </row>
    <row r="60758" spans="9:9" x14ac:dyDescent="0.2">
      <c r="I60758" s="137" t="s">
        <v>74</v>
      </c>
    </row>
    <row r="60759" spans="9:9" x14ac:dyDescent="0.2">
      <c r="I60759" s="137" t="s">
        <v>74</v>
      </c>
    </row>
    <row r="60760" spans="9:9" x14ac:dyDescent="0.2">
      <c r="I60760" s="137" t="s">
        <v>74</v>
      </c>
    </row>
    <row r="60761" spans="9:9" x14ac:dyDescent="0.2">
      <c r="I60761" s="137" t="s">
        <v>74</v>
      </c>
    </row>
    <row r="60762" spans="9:9" x14ac:dyDescent="0.2">
      <c r="I60762" s="137" t="s">
        <v>74</v>
      </c>
    </row>
    <row r="60763" spans="9:9" x14ac:dyDescent="0.2">
      <c r="I60763" s="137" t="s">
        <v>74</v>
      </c>
    </row>
    <row r="60764" spans="9:9" x14ac:dyDescent="0.2">
      <c r="I60764" s="137" t="s">
        <v>74</v>
      </c>
    </row>
    <row r="60765" spans="9:9" x14ac:dyDescent="0.2">
      <c r="I60765" s="137" t="s">
        <v>74</v>
      </c>
    </row>
    <row r="60766" spans="9:9" x14ac:dyDescent="0.2">
      <c r="I60766" s="137" t="s">
        <v>74</v>
      </c>
    </row>
    <row r="60767" spans="9:9" x14ac:dyDescent="0.2">
      <c r="I60767" s="137" t="s">
        <v>74</v>
      </c>
    </row>
    <row r="60768" spans="9:9" x14ac:dyDescent="0.2">
      <c r="I60768" s="137" t="s">
        <v>74</v>
      </c>
    </row>
    <row r="60769" spans="9:9" x14ac:dyDescent="0.2">
      <c r="I60769" s="137" t="s">
        <v>74</v>
      </c>
    </row>
    <row r="60770" spans="9:9" x14ac:dyDescent="0.2">
      <c r="I60770" s="137" t="s">
        <v>74</v>
      </c>
    </row>
    <row r="60771" spans="9:9" x14ac:dyDescent="0.2">
      <c r="I60771" s="137" t="s">
        <v>74</v>
      </c>
    </row>
    <row r="60772" spans="9:9" x14ac:dyDescent="0.2">
      <c r="I60772" s="137" t="s">
        <v>74</v>
      </c>
    </row>
    <row r="60773" spans="9:9" x14ac:dyDescent="0.2">
      <c r="I60773" s="137" t="s">
        <v>74</v>
      </c>
    </row>
    <row r="60774" spans="9:9" x14ac:dyDescent="0.2">
      <c r="I60774" s="137" t="s">
        <v>74</v>
      </c>
    </row>
    <row r="60775" spans="9:9" x14ac:dyDescent="0.2">
      <c r="I60775" s="137" t="s">
        <v>74</v>
      </c>
    </row>
    <row r="60776" spans="9:9" x14ac:dyDescent="0.2">
      <c r="I60776" s="137" t="s">
        <v>74</v>
      </c>
    </row>
    <row r="60777" spans="9:9" x14ac:dyDescent="0.2">
      <c r="I60777" s="137" t="s">
        <v>74</v>
      </c>
    </row>
    <row r="60778" spans="9:9" x14ac:dyDescent="0.2">
      <c r="I60778" s="137" t="s">
        <v>74</v>
      </c>
    </row>
    <row r="60779" spans="9:9" x14ac:dyDescent="0.2">
      <c r="I60779" s="137" t="s">
        <v>74</v>
      </c>
    </row>
    <row r="60780" spans="9:9" x14ac:dyDescent="0.2">
      <c r="I60780" s="137" t="s">
        <v>74</v>
      </c>
    </row>
    <row r="60781" spans="9:9" x14ac:dyDescent="0.2">
      <c r="I60781" s="137" t="s">
        <v>74</v>
      </c>
    </row>
    <row r="60782" spans="9:9" x14ac:dyDescent="0.2">
      <c r="I60782" s="137" t="s">
        <v>74</v>
      </c>
    </row>
    <row r="60783" spans="9:9" x14ac:dyDescent="0.2">
      <c r="I60783" s="137" t="s">
        <v>74</v>
      </c>
    </row>
    <row r="60784" spans="9:9" x14ac:dyDescent="0.2">
      <c r="I60784" s="137" t="s">
        <v>74</v>
      </c>
    </row>
    <row r="60785" spans="9:9" x14ac:dyDescent="0.2">
      <c r="I60785" s="137" t="s">
        <v>74</v>
      </c>
    </row>
    <row r="60786" spans="9:9" x14ac:dyDescent="0.2">
      <c r="I60786" s="137" t="s">
        <v>74</v>
      </c>
    </row>
    <row r="60787" spans="9:9" x14ac:dyDescent="0.2">
      <c r="I60787" s="137" t="s">
        <v>74</v>
      </c>
    </row>
    <row r="60788" spans="9:9" x14ac:dyDescent="0.2">
      <c r="I60788" s="137" t="s">
        <v>74</v>
      </c>
    </row>
    <row r="60789" spans="9:9" x14ac:dyDescent="0.2">
      <c r="I60789" s="137" t="s">
        <v>74</v>
      </c>
    </row>
    <row r="60790" spans="9:9" x14ac:dyDescent="0.2">
      <c r="I60790" s="137" t="s">
        <v>74</v>
      </c>
    </row>
    <row r="60791" spans="9:9" x14ac:dyDescent="0.2">
      <c r="I60791" s="137" t="s">
        <v>74</v>
      </c>
    </row>
    <row r="60792" spans="9:9" x14ac:dyDescent="0.2">
      <c r="I60792" s="137" t="s">
        <v>74</v>
      </c>
    </row>
    <row r="60793" spans="9:9" x14ac:dyDescent="0.2">
      <c r="I60793" s="137" t="s">
        <v>74</v>
      </c>
    </row>
    <row r="60794" spans="9:9" x14ac:dyDescent="0.2">
      <c r="I60794" s="137" t="s">
        <v>74</v>
      </c>
    </row>
    <row r="60795" spans="9:9" x14ac:dyDescent="0.2">
      <c r="I60795" s="137" t="s">
        <v>74</v>
      </c>
    </row>
    <row r="60796" spans="9:9" x14ac:dyDescent="0.2">
      <c r="I60796" s="137" t="s">
        <v>74</v>
      </c>
    </row>
    <row r="60797" spans="9:9" x14ac:dyDescent="0.2">
      <c r="I60797" s="137" t="s">
        <v>74</v>
      </c>
    </row>
    <row r="60798" spans="9:9" x14ac:dyDescent="0.2">
      <c r="I60798" s="137" t="s">
        <v>74</v>
      </c>
    </row>
    <row r="60799" spans="9:9" x14ac:dyDescent="0.2">
      <c r="I60799" s="137" t="s">
        <v>74</v>
      </c>
    </row>
    <row r="60800" spans="9:9" x14ac:dyDescent="0.2">
      <c r="I60800" s="137" t="s">
        <v>74</v>
      </c>
    </row>
    <row r="60801" spans="9:9" x14ac:dyDescent="0.2">
      <c r="I60801" s="137" t="s">
        <v>74</v>
      </c>
    </row>
    <row r="60802" spans="9:9" x14ac:dyDescent="0.2">
      <c r="I60802" s="137" t="s">
        <v>74</v>
      </c>
    </row>
    <row r="60803" spans="9:9" x14ac:dyDescent="0.2">
      <c r="I60803" s="137" t="s">
        <v>74</v>
      </c>
    </row>
    <row r="60804" spans="9:9" x14ac:dyDescent="0.2">
      <c r="I60804" s="137" t="s">
        <v>74</v>
      </c>
    </row>
    <row r="60805" spans="9:9" x14ac:dyDescent="0.2">
      <c r="I60805" s="137" t="s">
        <v>74</v>
      </c>
    </row>
    <row r="60806" spans="9:9" x14ac:dyDescent="0.2">
      <c r="I60806" s="137" t="s">
        <v>74</v>
      </c>
    </row>
    <row r="60807" spans="9:9" x14ac:dyDescent="0.2">
      <c r="I60807" s="137" t="s">
        <v>74</v>
      </c>
    </row>
    <row r="60808" spans="9:9" x14ac:dyDescent="0.2">
      <c r="I60808" s="137" t="s">
        <v>74</v>
      </c>
    </row>
    <row r="60809" spans="9:9" x14ac:dyDescent="0.2">
      <c r="I60809" s="137" t="s">
        <v>74</v>
      </c>
    </row>
    <row r="60810" spans="9:9" x14ac:dyDescent="0.2">
      <c r="I60810" s="137" t="s">
        <v>74</v>
      </c>
    </row>
    <row r="60811" spans="9:9" x14ac:dyDescent="0.2">
      <c r="I60811" s="137" t="s">
        <v>74</v>
      </c>
    </row>
    <row r="60812" spans="9:9" x14ac:dyDescent="0.2">
      <c r="I60812" s="137" t="s">
        <v>74</v>
      </c>
    </row>
    <row r="60813" spans="9:9" x14ac:dyDescent="0.2">
      <c r="I60813" s="137" t="s">
        <v>74</v>
      </c>
    </row>
    <row r="60814" spans="9:9" x14ac:dyDescent="0.2">
      <c r="I60814" s="137" t="s">
        <v>74</v>
      </c>
    </row>
    <row r="60815" spans="9:9" x14ac:dyDescent="0.2">
      <c r="I60815" s="137" t="s">
        <v>74</v>
      </c>
    </row>
    <row r="60816" spans="9:9" x14ac:dyDescent="0.2">
      <c r="I60816" s="137" t="s">
        <v>74</v>
      </c>
    </row>
    <row r="60817" spans="9:9" x14ac:dyDescent="0.2">
      <c r="I60817" s="137" t="s">
        <v>74</v>
      </c>
    </row>
    <row r="60818" spans="9:9" x14ac:dyDescent="0.2">
      <c r="I60818" s="137" t="s">
        <v>74</v>
      </c>
    </row>
    <row r="60819" spans="9:9" x14ac:dyDescent="0.2">
      <c r="I60819" s="137" t="s">
        <v>74</v>
      </c>
    </row>
    <row r="60820" spans="9:9" x14ac:dyDescent="0.2">
      <c r="I60820" s="137" t="s">
        <v>74</v>
      </c>
    </row>
    <row r="60821" spans="9:9" x14ac:dyDescent="0.2">
      <c r="I60821" s="137" t="s">
        <v>74</v>
      </c>
    </row>
    <row r="60822" spans="9:9" x14ac:dyDescent="0.2">
      <c r="I60822" s="137" t="s">
        <v>74</v>
      </c>
    </row>
    <row r="60823" spans="9:9" x14ac:dyDescent="0.2">
      <c r="I60823" s="137" t="s">
        <v>74</v>
      </c>
    </row>
    <row r="60824" spans="9:9" x14ac:dyDescent="0.2">
      <c r="I60824" s="137" t="s">
        <v>74</v>
      </c>
    </row>
    <row r="60825" spans="9:9" x14ac:dyDescent="0.2">
      <c r="I60825" s="137" t="s">
        <v>74</v>
      </c>
    </row>
    <row r="60826" spans="9:9" x14ac:dyDescent="0.2">
      <c r="I60826" s="137" t="s">
        <v>74</v>
      </c>
    </row>
    <row r="60827" spans="9:9" x14ac:dyDescent="0.2">
      <c r="I60827" s="137" t="s">
        <v>74</v>
      </c>
    </row>
    <row r="60828" spans="9:9" x14ac:dyDescent="0.2">
      <c r="I60828" s="137" t="s">
        <v>74</v>
      </c>
    </row>
    <row r="60829" spans="9:9" x14ac:dyDescent="0.2">
      <c r="I60829" s="137" t="s">
        <v>74</v>
      </c>
    </row>
    <row r="60830" spans="9:9" x14ac:dyDescent="0.2">
      <c r="I60830" s="137" t="s">
        <v>74</v>
      </c>
    </row>
    <row r="60831" spans="9:9" x14ac:dyDescent="0.2">
      <c r="I60831" s="137" t="s">
        <v>74</v>
      </c>
    </row>
    <row r="60832" spans="9:9" x14ac:dyDescent="0.2">
      <c r="I60832" s="137" t="s">
        <v>74</v>
      </c>
    </row>
    <row r="60833" spans="9:9" x14ac:dyDescent="0.2">
      <c r="I60833" s="137" t="s">
        <v>74</v>
      </c>
    </row>
    <row r="60834" spans="9:9" x14ac:dyDescent="0.2">
      <c r="I60834" s="137" t="s">
        <v>74</v>
      </c>
    </row>
    <row r="60835" spans="9:9" x14ac:dyDescent="0.2">
      <c r="I60835" s="137" t="s">
        <v>74</v>
      </c>
    </row>
    <row r="60836" spans="9:9" x14ac:dyDescent="0.2">
      <c r="I60836" s="137" t="s">
        <v>74</v>
      </c>
    </row>
    <row r="60837" spans="9:9" x14ac:dyDescent="0.2">
      <c r="I60837" s="137" t="s">
        <v>74</v>
      </c>
    </row>
    <row r="60838" spans="9:9" x14ac:dyDescent="0.2">
      <c r="I60838" s="137" t="s">
        <v>74</v>
      </c>
    </row>
    <row r="60839" spans="9:9" x14ac:dyDescent="0.2">
      <c r="I60839" s="137" t="s">
        <v>74</v>
      </c>
    </row>
    <row r="60840" spans="9:9" x14ac:dyDescent="0.2">
      <c r="I60840" s="137" t="s">
        <v>74</v>
      </c>
    </row>
    <row r="60841" spans="9:9" x14ac:dyDescent="0.2">
      <c r="I60841" s="137" t="s">
        <v>74</v>
      </c>
    </row>
    <row r="60842" spans="9:9" x14ac:dyDescent="0.2">
      <c r="I60842" s="137" t="s">
        <v>74</v>
      </c>
    </row>
    <row r="60843" spans="9:9" x14ac:dyDescent="0.2">
      <c r="I60843" s="137" t="s">
        <v>74</v>
      </c>
    </row>
    <row r="60844" spans="9:9" x14ac:dyDescent="0.2">
      <c r="I60844" s="137" t="s">
        <v>74</v>
      </c>
    </row>
    <row r="60845" spans="9:9" x14ac:dyDescent="0.2">
      <c r="I60845" s="137" t="s">
        <v>74</v>
      </c>
    </row>
    <row r="60846" spans="9:9" x14ac:dyDescent="0.2">
      <c r="I60846" s="137" t="s">
        <v>74</v>
      </c>
    </row>
    <row r="60847" spans="9:9" x14ac:dyDescent="0.2">
      <c r="I60847" s="137" t="s">
        <v>74</v>
      </c>
    </row>
    <row r="60848" spans="9:9" x14ac:dyDescent="0.2">
      <c r="I60848" s="137" t="s">
        <v>74</v>
      </c>
    </row>
    <row r="60849" spans="9:9" x14ac:dyDescent="0.2">
      <c r="I60849" s="137" t="s">
        <v>74</v>
      </c>
    </row>
    <row r="60850" spans="9:9" x14ac:dyDescent="0.2">
      <c r="I60850" s="137" t="s">
        <v>74</v>
      </c>
    </row>
    <row r="60851" spans="9:9" x14ac:dyDescent="0.2">
      <c r="I60851" s="137" t="s">
        <v>74</v>
      </c>
    </row>
    <row r="60852" spans="9:9" x14ac:dyDescent="0.2">
      <c r="I60852" s="137" t="s">
        <v>74</v>
      </c>
    </row>
    <row r="60853" spans="9:9" x14ac:dyDescent="0.2">
      <c r="I60853" s="137" t="s">
        <v>74</v>
      </c>
    </row>
    <row r="60854" spans="9:9" x14ac:dyDescent="0.2">
      <c r="I60854" s="137" t="s">
        <v>74</v>
      </c>
    </row>
    <row r="60855" spans="9:9" x14ac:dyDescent="0.2">
      <c r="I60855" s="137" t="s">
        <v>74</v>
      </c>
    </row>
    <row r="60856" spans="9:9" x14ac:dyDescent="0.2">
      <c r="I60856" s="137" t="s">
        <v>74</v>
      </c>
    </row>
    <row r="60857" spans="9:9" x14ac:dyDescent="0.2">
      <c r="I60857" s="137" t="s">
        <v>74</v>
      </c>
    </row>
    <row r="60858" spans="9:9" x14ac:dyDescent="0.2">
      <c r="I60858" s="137" t="s">
        <v>74</v>
      </c>
    </row>
    <row r="60859" spans="9:9" x14ac:dyDescent="0.2">
      <c r="I60859" s="137" t="s">
        <v>74</v>
      </c>
    </row>
    <row r="60860" spans="9:9" x14ac:dyDescent="0.2">
      <c r="I60860" s="137" t="s">
        <v>74</v>
      </c>
    </row>
    <row r="60861" spans="9:9" x14ac:dyDescent="0.2">
      <c r="I60861" s="137" t="s">
        <v>74</v>
      </c>
    </row>
    <row r="60862" spans="9:9" x14ac:dyDescent="0.2">
      <c r="I60862" s="137" t="s">
        <v>74</v>
      </c>
    </row>
    <row r="60863" spans="9:9" x14ac:dyDescent="0.2">
      <c r="I60863" s="137" t="s">
        <v>74</v>
      </c>
    </row>
    <row r="60864" spans="9:9" x14ac:dyDescent="0.2">
      <c r="I60864" s="137" t="s">
        <v>74</v>
      </c>
    </row>
    <row r="60865" spans="9:9" x14ac:dyDescent="0.2">
      <c r="I60865" s="137" t="s">
        <v>74</v>
      </c>
    </row>
    <row r="60866" spans="9:9" x14ac:dyDescent="0.2">
      <c r="I60866" s="137" t="s">
        <v>74</v>
      </c>
    </row>
    <row r="60867" spans="9:9" x14ac:dyDescent="0.2">
      <c r="I60867" s="137" t="s">
        <v>74</v>
      </c>
    </row>
    <row r="60868" spans="9:9" x14ac:dyDescent="0.2">
      <c r="I60868" s="137" t="s">
        <v>74</v>
      </c>
    </row>
    <row r="60869" spans="9:9" x14ac:dyDescent="0.2">
      <c r="I60869" s="137" t="s">
        <v>74</v>
      </c>
    </row>
    <row r="60870" spans="9:9" x14ac:dyDescent="0.2">
      <c r="I60870" s="137" t="s">
        <v>74</v>
      </c>
    </row>
    <row r="60871" spans="9:9" x14ac:dyDescent="0.2">
      <c r="I60871" s="137" t="s">
        <v>74</v>
      </c>
    </row>
    <row r="60872" spans="9:9" x14ac:dyDescent="0.2">
      <c r="I60872" s="137" t="s">
        <v>74</v>
      </c>
    </row>
    <row r="60873" spans="9:9" x14ac:dyDescent="0.2">
      <c r="I60873" s="137" t="s">
        <v>74</v>
      </c>
    </row>
    <row r="60874" spans="9:9" x14ac:dyDescent="0.2">
      <c r="I60874" s="137" t="s">
        <v>74</v>
      </c>
    </row>
    <row r="60875" spans="9:9" x14ac:dyDescent="0.2">
      <c r="I60875" s="137" t="s">
        <v>74</v>
      </c>
    </row>
    <row r="60876" spans="9:9" x14ac:dyDescent="0.2">
      <c r="I60876" s="137" t="s">
        <v>74</v>
      </c>
    </row>
    <row r="60877" spans="9:9" x14ac:dyDescent="0.2">
      <c r="I60877" s="137" t="s">
        <v>74</v>
      </c>
    </row>
    <row r="60878" spans="9:9" x14ac:dyDescent="0.2">
      <c r="I60878" s="137" t="s">
        <v>74</v>
      </c>
    </row>
    <row r="60879" spans="9:9" x14ac:dyDescent="0.2">
      <c r="I60879" s="137" t="s">
        <v>74</v>
      </c>
    </row>
    <row r="60880" spans="9:9" x14ac:dyDescent="0.2">
      <c r="I60880" s="137" t="s">
        <v>74</v>
      </c>
    </row>
    <row r="60881" spans="9:9" x14ac:dyDescent="0.2">
      <c r="I60881" s="137" t="s">
        <v>74</v>
      </c>
    </row>
    <row r="60882" spans="9:9" x14ac:dyDescent="0.2">
      <c r="I60882" s="137" t="s">
        <v>74</v>
      </c>
    </row>
    <row r="60883" spans="9:9" x14ac:dyDescent="0.2">
      <c r="I60883" s="137" t="s">
        <v>74</v>
      </c>
    </row>
    <row r="60884" spans="9:9" x14ac:dyDescent="0.2">
      <c r="I60884" s="137" t="s">
        <v>74</v>
      </c>
    </row>
    <row r="60885" spans="9:9" x14ac:dyDescent="0.2">
      <c r="I60885" s="137" t="s">
        <v>74</v>
      </c>
    </row>
    <row r="60886" spans="9:9" x14ac:dyDescent="0.2">
      <c r="I60886" s="137" t="s">
        <v>74</v>
      </c>
    </row>
    <row r="60887" spans="9:9" x14ac:dyDescent="0.2">
      <c r="I60887" s="137" t="s">
        <v>74</v>
      </c>
    </row>
    <row r="60888" spans="9:9" x14ac:dyDescent="0.2">
      <c r="I60888" s="137" t="s">
        <v>74</v>
      </c>
    </row>
    <row r="60889" spans="9:9" x14ac:dyDescent="0.2">
      <c r="I60889" s="137" t="s">
        <v>74</v>
      </c>
    </row>
    <row r="60890" spans="9:9" x14ac:dyDescent="0.2">
      <c r="I60890" s="137" t="s">
        <v>74</v>
      </c>
    </row>
    <row r="60891" spans="9:9" x14ac:dyDescent="0.2">
      <c r="I60891" s="137" t="s">
        <v>74</v>
      </c>
    </row>
    <row r="60892" spans="9:9" x14ac:dyDescent="0.2">
      <c r="I60892" s="137" t="s">
        <v>74</v>
      </c>
    </row>
    <row r="60893" spans="9:9" x14ac:dyDescent="0.2">
      <c r="I60893" s="137" t="s">
        <v>74</v>
      </c>
    </row>
    <row r="60894" spans="9:9" x14ac:dyDescent="0.2">
      <c r="I60894" s="137" t="s">
        <v>74</v>
      </c>
    </row>
    <row r="60895" spans="9:9" x14ac:dyDescent="0.2">
      <c r="I60895" s="137" t="s">
        <v>74</v>
      </c>
    </row>
    <row r="60896" spans="9:9" x14ac:dyDescent="0.2">
      <c r="I60896" s="137" t="s">
        <v>74</v>
      </c>
    </row>
    <row r="60897" spans="9:9" x14ac:dyDescent="0.2">
      <c r="I60897" s="137" t="s">
        <v>74</v>
      </c>
    </row>
    <row r="60898" spans="9:9" x14ac:dyDescent="0.2">
      <c r="I60898" s="137" t="s">
        <v>74</v>
      </c>
    </row>
    <row r="60899" spans="9:9" x14ac:dyDescent="0.2">
      <c r="I60899" s="137" t="s">
        <v>74</v>
      </c>
    </row>
    <row r="60900" spans="9:9" x14ac:dyDescent="0.2">
      <c r="I60900" s="137" t="s">
        <v>74</v>
      </c>
    </row>
    <row r="60901" spans="9:9" x14ac:dyDescent="0.2">
      <c r="I60901" s="137" t="s">
        <v>74</v>
      </c>
    </row>
    <row r="60902" spans="9:9" x14ac:dyDescent="0.2">
      <c r="I60902" s="137" t="s">
        <v>74</v>
      </c>
    </row>
    <row r="60903" spans="9:9" x14ac:dyDescent="0.2">
      <c r="I60903" s="137" t="s">
        <v>74</v>
      </c>
    </row>
    <row r="60904" spans="9:9" x14ac:dyDescent="0.2">
      <c r="I60904" s="137" t="s">
        <v>74</v>
      </c>
    </row>
    <row r="60905" spans="9:9" x14ac:dyDescent="0.2">
      <c r="I60905" s="137" t="s">
        <v>74</v>
      </c>
    </row>
    <row r="60906" spans="9:9" x14ac:dyDescent="0.2">
      <c r="I60906" s="137" t="s">
        <v>74</v>
      </c>
    </row>
    <row r="60907" spans="9:9" x14ac:dyDescent="0.2">
      <c r="I60907" s="137" t="s">
        <v>74</v>
      </c>
    </row>
    <row r="60908" spans="9:9" x14ac:dyDescent="0.2">
      <c r="I60908" s="137" t="s">
        <v>74</v>
      </c>
    </row>
    <row r="60909" spans="9:9" x14ac:dyDescent="0.2">
      <c r="I60909" s="137" t="s">
        <v>74</v>
      </c>
    </row>
    <row r="60910" spans="9:9" x14ac:dyDescent="0.2">
      <c r="I60910" s="137" t="s">
        <v>74</v>
      </c>
    </row>
    <row r="60911" spans="9:9" x14ac:dyDescent="0.2">
      <c r="I60911" s="137" t="s">
        <v>74</v>
      </c>
    </row>
    <row r="60912" spans="9:9" x14ac:dyDescent="0.2">
      <c r="I60912" s="137" t="s">
        <v>74</v>
      </c>
    </row>
    <row r="60913" spans="9:9" x14ac:dyDescent="0.2">
      <c r="I60913" s="137" t="s">
        <v>74</v>
      </c>
    </row>
    <row r="60914" spans="9:9" x14ac:dyDescent="0.2">
      <c r="I60914" s="137" t="s">
        <v>74</v>
      </c>
    </row>
    <row r="60915" spans="9:9" x14ac:dyDescent="0.2">
      <c r="I60915" s="137" t="s">
        <v>74</v>
      </c>
    </row>
    <row r="60916" spans="9:9" x14ac:dyDescent="0.2">
      <c r="I60916" s="137" t="s">
        <v>74</v>
      </c>
    </row>
    <row r="60917" spans="9:9" x14ac:dyDescent="0.2">
      <c r="I60917" s="137" t="s">
        <v>74</v>
      </c>
    </row>
    <row r="60918" spans="9:9" x14ac:dyDescent="0.2">
      <c r="I60918" s="137" t="s">
        <v>74</v>
      </c>
    </row>
    <row r="60919" spans="9:9" x14ac:dyDescent="0.2">
      <c r="I60919" s="137" t="s">
        <v>74</v>
      </c>
    </row>
    <row r="60920" spans="9:9" x14ac:dyDescent="0.2">
      <c r="I60920" s="137" t="s">
        <v>74</v>
      </c>
    </row>
    <row r="60921" spans="9:9" x14ac:dyDescent="0.2">
      <c r="I60921" s="137" t="s">
        <v>74</v>
      </c>
    </row>
    <row r="60922" spans="9:9" x14ac:dyDescent="0.2">
      <c r="I60922" s="137" t="s">
        <v>74</v>
      </c>
    </row>
    <row r="60923" spans="9:9" x14ac:dyDescent="0.2">
      <c r="I60923" s="137" t="s">
        <v>74</v>
      </c>
    </row>
    <row r="60924" spans="9:9" x14ac:dyDescent="0.2">
      <c r="I60924" s="137" t="s">
        <v>74</v>
      </c>
    </row>
    <row r="60925" spans="9:9" x14ac:dyDescent="0.2">
      <c r="I60925" s="137" t="s">
        <v>74</v>
      </c>
    </row>
    <row r="60926" spans="9:9" x14ac:dyDescent="0.2">
      <c r="I60926" s="137" t="s">
        <v>74</v>
      </c>
    </row>
    <row r="60927" spans="9:9" x14ac:dyDescent="0.2">
      <c r="I60927" s="137" t="s">
        <v>74</v>
      </c>
    </row>
    <row r="60928" spans="9:9" x14ac:dyDescent="0.2">
      <c r="I60928" s="137" t="s">
        <v>74</v>
      </c>
    </row>
    <row r="60929" spans="9:9" x14ac:dyDescent="0.2">
      <c r="I60929" s="137" t="s">
        <v>74</v>
      </c>
    </row>
    <row r="60930" spans="9:9" x14ac:dyDescent="0.2">
      <c r="I60930" s="137" t="s">
        <v>74</v>
      </c>
    </row>
    <row r="60931" spans="9:9" x14ac:dyDescent="0.2">
      <c r="I60931" s="137" t="s">
        <v>74</v>
      </c>
    </row>
    <row r="60932" spans="9:9" x14ac:dyDescent="0.2">
      <c r="I60932" s="137" t="s">
        <v>74</v>
      </c>
    </row>
    <row r="60933" spans="9:9" x14ac:dyDescent="0.2">
      <c r="I60933" s="137" t="s">
        <v>74</v>
      </c>
    </row>
    <row r="60934" spans="9:9" x14ac:dyDescent="0.2">
      <c r="I60934" s="137" t="s">
        <v>74</v>
      </c>
    </row>
    <row r="60935" spans="9:9" x14ac:dyDescent="0.2">
      <c r="I60935" s="137" t="s">
        <v>74</v>
      </c>
    </row>
    <row r="60936" spans="9:9" x14ac:dyDescent="0.2">
      <c r="I60936" s="137" t="s">
        <v>74</v>
      </c>
    </row>
    <row r="60937" spans="9:9" x14ac:dyDescent="0.2">
      <c r="I60937" s="137" t="s">
        <v>74</v>
      </c>
    </row>
    <row r="60938" spans="9:9" x14ac:dyDescent="0.2">
      <c r="I60938" s="137" t="s">
        <v>74</v>
      </c>
    </row>
    <row r="60939" spans="9:9" x14ac:dyDescent="0.2">
      <c r="I60939" s="137" t="s">
        <v>74</v>
      </c>
    </row>
    <row r="60940" spans="9:9" x14ac:dyDescent="0.2">
      <c r="I60940" s="137" t="s">
        <v>74</v>
      </c>
    </row>
    <row r="60941" spans="9:9" x14ac:dyDescent="0.2">
      <c r="I60941" s="137" t="s">
        <v>74</v>
      </c>
    </row>
    <row r="60942" spans="9:9" x14ac:dyDescent="0.2">
      <c r="I60942" s="137" t="s">
        <v>74</v>
      </c>
    </row>
    <row r="60943" spans="9:9" x14ac:dyDescent="0.2">
      <c r="I60943" s="137" t="s">
        <v>74</v>
      </c>
    </row>
    <row r="60944" spans="9:9" x14ac:dyDescent="0.2">
      <c r="I60944" s="137" t="s">
        <v>74</v>
      </c>
    </row>
    <row r="60945" spans="9:9" x14ac:dyDescent="0.2">
      <c r="I60945" s="137" t="s">
        <v>74</v>
      </c>
    </row>
    <row r="60946" spans="9:9" x14ac:dyDescent="0.2">
      <c r="I60946" s="137" t="s">
        <v>74</v>
      </c>
    </row>
    <row r="60947" spans="9:9" x14ac:dyDescent="0.2">
      <c r="I60947" s="137" t="s">
        <v>74</v>
      </c>
    </row>
    <row r="60948" spans="9:9" x14ac:dyDescent="0.2">
      <c r="I60948" s="137" t="s">
        <v>74</v>
      </c>
    </row>
    <row r="60949" spans="9:9" x14ac:dyDescent="0.2">
      <c r="I60949" s="137" t="s">
        <v>74</v>
      </c>
    </row>
    <row r="60950" spans="9:9" x14ac:dyDescent="0.2">
      <c r="I60950" s="137" t="s">
        <v>74</v>
      </c>
    </row>
    <row r="60951" spans="9:9" x14ac:dyDescent="0.2">
      <c r="I60951" s="137" t="s">
        <v>74</v>
      </c>
    </row>
    <row r="60952" spans="9:9" x14ac:dyDescent="0.2">
      <c r="I60952" s="137" t="s">
        <v>74</v>
      </c>
    </row>
    <row r="60953" spans="9:9" x14ac:dyDescent="0.2">
      <c r="I60953" s="137" t="s">
        <v>74</v>
      </c>
    </row>
    <row r="60954" spans="9:9" x14ac:dyDescent="0.2">
      <c r="I60954" s="137" t="s">
        <v>74</v>
      </c>
    </row>
    <row r="60955" spans="9:9" x14ac:dyDescent="0.2">
      <c r="I60955" s="137" t="s">
        <v>74</v>
      </c>
    </row>
    <row r="60956" spans="9:9" x14ac:dyDescent="0.2">
      <c r="I60956" s="137" t="s">
        <v>74</v>
      </c>
    </row>
    <row r="60957" spans="9:9" x14ac:dyDescent="0.2">
      <c r="I60957" s="137" t="s">
        <v>74</v>
      </c>
    </row>
    <row r="60958" spans="9:9" x14ac:dyDescent="0.2">
      <c r="I60958" s="137" t="s">
        <v>74</v>
      </c>
    </row>
    <row r="60959" spans="9:9" x14ac:dyDescent="0.2">
      <c r="I60959" s="137" t="s">
        <v>74</v>
      </c>
    </row>
    <row r="60960" spans="9:9" x14ac:dyDescent="0.2">
      <c r="I60960" s="137" t="s">
        <v>74</v>
      </c>
    </row>
    <row r="60961" spans="9:9" x14ac:dyDescent="0.2">
      <c r="I60961" s="137" t="s">
        <v>74</v>
      </c>
    </row>
    <row r="60962" spans="9:9" x14ac:dyDescent="0.2">
      <c r="I60962" s="137" t="s">
        <v>74</v>
      </c>
    </row>
    <row r="60963" spans="9:9" x14ac:dyDescent="0.2">
      <c r="I60963" s="137" t="s">
        <v>74</v>
      </c>
    </row>
    <row r="60964" spans="9:9" x14ac:dyDescent="0.2">
      <c r="I60964" s="137" t="s">
        <v>74</v>
      </c>
    </row>
    <row r="60965" spans="9:9" x14ac:dyDescent="0.2">
      <c r="I60965" s="137" t="s">
        <v>74</v>
      </c>
    </row>
    <row r="60966" spans="9:9" x14ac:dyDescent="0.2">
      <c r="I60966" s="137" t="s">
        <v>74</v>
      </c>
    </row>
    <row r="60967" spans="9:9" x14ac:dyDescent="0.2">
      <c r="I60967" s="137" t="s">
        <v>74</v>
      </c>
    </row>
    <row r="60968" spans="9:9" x14ac:dyDescent="0.2">
      <c r="I60968" s="137" t="s">
        <v>74</v>
      </c>
    </row>
    <row r="60969" spans="9:9" x14ac:dyDescent="0.2">
      <c r="I60969" s="137" t="s">
        <v>74</v>
      </c>
    </row>
    <row r="60970" spans="9:9" x14ac:dyDescent="0.2">
      <c r="I60970" s="137" t="s">
        <v>74</v>
      </c>
    </row>
    <row r="60971" spans="9:9" x14ac:dyDescent="0.2">
      <c r="I60971" s="137" t="s">
        <v>74</v>
      </c>
    </row>
    <row r="60972" spans="9:9" x14ac:dyDescent="0.2">
      <c r="I60972" s="137" t="s">
        <v>74</v>
      </c>
    </row>
    <row r="60973" spans="9:9" x14ac:dyDescent="0.2">
      <c r="I60973" s="137" t="s">
        <v>74</v>
      </c>
    </row>
    <row r="60974" spans="9:9" x14ac:dyDescent="0.2">
      <c r="I60974" s="137" t="s">
        <v>74</v>
      </c>
    </row>
    <row r="60975" spans="9:9" x14ac:dyDescent="0.2">
      <c r="I60975" s="137" t="s">
        <v>74</v>
      </c>
    </row>
    <row r="60976" spans="9:9" x14ac:dyDescent="0.2">
      <c r="I60976" s="137" t="s">
        <v>74</v>
      </c>
    </row>
    <row r="60977" spans="9:9" x14ac:dyDescent="0.2">
      <c r="I60977" s="137" t="s">
        <v>74</v>
      </c>
    </row>
    <row r="60978" spans="9:9" x14ac:dyDescent="0.2">
      <c r="I60978" s="137" t="s">
        <v>74</v>
      </c>
    </row>
    <row r="60979" spans="9:9" x14ac:dyDescent="0.2">
      <c r="I60979" s="137" t="s">
        <v>74</v>
      </c>
    </row>
    <row r="60980" spans="9:9" x14ac:dyDescent="0.2">
      <c r="I60980" s="137" t="s">
        <v>74</v>
      </c>
    </row>
    <row r="60981" spans="9:9" x14ac:dyDescent="0.2">
      <c r="I60981" s="137" t="s">
        <v>74</v>
      </c>
    </row>
    <row r="60982" spans="9:9" x14ac:dyDescent="0.2">
      <c r="I60982" s="137" t="s">
        <v>74</v>
      </c>
    </row>
    <row r="60983" spans="9:9" x14ac:dyDescent="0.2">
      <c r="I60983" s="137" t="s">
        <v>74</v>
      </c>
    </row>
    <row r="60984" spans="9:9" x14ac:dyDescent="0.2">
      <c r="I60984" s="137" t="s">
        <v>74</v>
      </c>
    </row>
    <row r="60985" spans="9:9" x14ac:dyDescent="0.2">
      <c r="I60985" s="137" t="s">
        <v>74</v>
      </c>
    </row>
    <row r="60986" spans="9:9" x14ac:dyDescent="0.2">
      <c r="I60986" s="137" t="s">
        <v>74</v>
      </c>
    </row>
    <row r="60987" spans="9:9" x14ac:dyDescent="0.2">
      <c r="I60987" s="137" t="s">
        <v>74</v>
      </c>
    </row>
    <row r="60988" spans="9:9" x14ac:dyDescent="0.2">
      <c r="I60988" s="137" t="s">
        <v>74</v>
      </c>
    </row>
    <row r="60989" spans="9:9" x14ac:dyDescent="0.2">
      <c r="I60989" s="137" t="s">
        <v>74</v>
      </c>
    </row>
    <row r="60990" spans="9:9" x14ac:dyDescent="0.2">
      <c r="I60990" s="137" t="s">
        <v>74</v>
      </c>
    </row>
    <row r="60991" spans="9:9" x14ac:dyDescent="0.2">
      <c r="I60991" s="137" t="s">
        <v>74</v>
      </c>
    </row>
    <row r="60992" spans="9:9" x14ac:dyDescent="0.2">
      <c r="I60992" s="137" t="s">
        <v>74</v>
      </c>
    </row>
    <row r="60993" spans="9:9" x14ac:dyDescent="0.2">
      <c r="I60993" s="137" t="s">
        <v>74</v>
      </c>
    </row>
    <row r="60994" spans="9:9" x14ac:dyDescent="0.2">
      <c r="I60994" s="137" t="s">
        <v>74</v>
      </c>
    </row>
    <row r="60995" spans="9:9" x14ac:dyDescent="0.2">
      <c r="I60995" s="137" t="s">
        <v>74</v>
      </c>
    </row>
    <row r="60996" spans="9:9" x14ac:dyDescent="0.2">
      <c r="I60996" s="137" t="s">
        <v>74</v>
      </c>
    </row>
    <row r="60997" spans="9:9" x14ac:dyDescent="0.2">
      <c r="I60997" s="137" t="s">
        <v>74</v>
      </c>
    </row>
    <row r="60998" spans="9:9" x14ac:dyDescent="0.2">
      <c r="I60998" s="137" t="s">
        <v>74</v>
      </c>
    </row>
    <row r="60999" spans="9:9" x14ac:dyDescent="0.2">
      <c r="I60999" s="137" t="s">
        <v>74</v>
      </c>
    </row>
    <row r="61000" spans="9:9" x14ac:dyDescent="0.2">
      <c r="I61000" s="137" t="s">
        <v>74</v>
      </c>
    </row>
    <row r="61001" spans="9:9" x14ac:dyDescent="0.2">
      <c r="I61001" s="137" t="s">
        <v>74</v>
      </c>
    </row>
    <row r="61002" spans="9:9" x14ac:dyDescent="0.2">
      <c r="I61002" s="137" t="s">
        <v>74</v>
      </c>
    </row>
    <row r="61003" spans="9:9" x14ac:dyDescent="0.2">
      <c r="I61003" s="137" t="s">
        <v>74</v>
      </c>
    </row>
    <row r="61004" spans="9:9" x14ac:dyDescent="0.2">
      <c r="I61004" s="137" t="s">
        <v>74</v>
      </c>
    </row>
    <row r="61005" spans="9:9" x14ac:dyDescent="0.2">
      <c r="I61005" s="137" t="s">
        <v>74</v>
      </c>
    </row>
    <row r="61006" spans="9:9" x14ac:dyDescent="0.2">
      <c r="I61006" s="137" t="s">
        <v>74</v>
      </c>
    </row>
    <row r="61007" spans="9:9" x14ac:dyDescent="0.2">
      <c r="I61007" s="137" t="s">
        <v>74</v>
      </c>
    </row>
    <row r="61008" spans="9:9" x14ac:dyDescent="0.2">
      <c r="I61008" s="137" t="s">
        <v>74</v>
      </c>
    </row>
    <row r="61009" spans="9:9" x14ac:dyDescent="0.2">
      <c r="I61009" s="137" t="s">
        <v>74</v>
      </c>
    </row>
    <row r="61010" spans="9:9" x14ac:dyDescent="0.2">
      <c r="I61010" s="137" t="s">
        <v>74</v>
      </c>
    </row>
    <row r="61011" spans="9:9" x14ac:dyDescent="0.2">
      <c r="I61011" s="137" t="s">
        <v>74</v>
      </c>
    </row>
    <row r="61012" spans="9:9" x14ac:dyDescent="0.2">
      <c r="I61012" s="137" t="s">
        <v>74</v>
      </c>
    </row>
    <row r="61013" spans="9:9" x14ac:dyDescent="0.2">
      <c r="I61013" s="137" t="s">
        <v>74</v>
      </c>
    </row>
    <row r="61014" spans="9:9" x14ac:dyDescent="0.2">
      <c r="I61014" s="137" t="s">
        <v>74</v>
      </c>
    </row>
    <row r="61015" spans="9:9" x14ac:dyDescent="0.2">
      <c r="I61015" s="137" t="s">
        <v>74</v>
      </c>
    </row>
    <row r="61016" spans="9:9" x14ac:dyDescent="0.2">
      <c r="I61016" s="137" t="s">
        <v>74</v>
      </c>
    </row>
    <row r="61017" spans="9:9" x14ac:dyDescent="0.2">
      <c r="I61017" s="137" t="s">
        <v>74</v>
      </c>
    </row>
    <row r="61018" spans="9:9" x14ac:dyDescent="0.2">
      <c r="I61018" s="137" t="s">
        <v>74</v>
      </c>
    </row>
    <row r="61019" spans="9:9" x14ac:dyDescent="0.2">
      <c r="I61019" s="137" t="s">
        <v>74</v>
      </c>
    </row>
    <row r="61020" spans="9:9" x14ac:dyDescent="0.2">
      <c r="I61020" s="137" t="s">
        <v>74</v>
      </c>
    </row>
    <row r="61021" spans="9:9" x14ac:dyDescent="0.2">
      <c r="I61021" s="137" t="s">
        <v>74</v>
      </c>
    </row>
    <row r="61022" spans="9:9" x14ac:dyDescent="0.2">
      <c r="I61022" s="137" t="s">
        <v>74</v>
      </c>
    </row>
    <row r="61023" spans="9:9" x14ac:dyDescent="0.2">
      <c r="I61023" s="137" t="s">
        <v>74</v>
      </c>
    </row>
    <row r="61024" spans="9:9" x14ac:dyDescent="0.2">
      <c r="I61024" s="137" t="s">
        <v>74</v>
      </c>
    </row>
    <row r="61025" spans="9:9" x14ac:dyDescent="0.2">
      <c r="I61025" s="137" t="s">
        <v>74</v>
      </c>
    </row>
    <row r="61026" spans="9:9" x14ac:dyDescent="0.2">
      <c r="I61026" s="137" t="s">
        <v>74</v>
      </c>
    </row>
    <row r="61027" spans="9:9" x14ac:dyDescent="0.2">
      <c r="I61027" s="137" t="s">
        <v>74</v>
      </c>
    </row>
    <row r="61028" spans="9:9" x14ac:dyDescent="0.2">
      <c r="I61028" s="137" t="s">
        <v>74</v>
      </c>
    </row>
    <row r="61029" spans="9:9" x14ac:dyDescent="0.2">
      <c r="I61029" s="137" t="s">
        <v>74</v>
      </c>
    </row>
    <row r="61030" spans="9:9" x14ac:dyDescent="0.2">
      <c r="I61030" s="137" t="s">
        <v>74</v>
      </c>
    </row>
    <row r="61031" spans="9:9" x14ac:dyDescent="0.2">
      <c r="I61031" s="137" t="s">
        <v>74</v>
      </c>
    </row>
    <row r="61032" spans="9:9" x14ac:dyDescent="0.2">
      <c r="I61032" s="137" t="s">
        <v>74</v>
      </c>
    </row>
    <row r="61033" spans="9:9" x14ac:dyDescent="0.2">
      <c r="I61033" s="137" t="s">
        <v>74</v>
      </c>
    </row>
    <row r="61034" spans="9:9" x14ac:dyDescent="0.2">
      <c r="I61034" s="137" t="s">
        <v>74</v>
      </c>
    </row>
    <row r="61035" spans="9:9" x14ac:dyDescent="0.2">
      <c r="I61035" s="137" t="s">
        <v>74</v>
      </c>
    </row>
    <row r="61036" spans="9:9" x14ac:dyDescent="0.2">
      <c r="I61036" s="137" t="s">
        <v>74</v>
      </c>
    </row>
    <row r="61037" spans="9:9" x14ac:dyDescent="0.2">
      <c r="I61037" s="137" t="s">
        <v>74</v>
      </c>
    </row>
    <row r="61038" spans="9:9" x14ac:dyDescent="0.2">
      <c r="I61038" s="137" t="s">
        <v>74</v>
      </c>
    </row>
    <row r="61039" spans="9:9" x14ac:dyDescent="0.2">
      <c r="I61039" s="137" t="s">
        <v>74</v>
      </c>
    </row>
    <row r="61040" spans="9:9" x14ac:dyDescent="0.2">
      <c r="I61040" s="137" t="s">
        <v>74</v>
      </c>
    </row>
    <row r="61041" spans="9:9" x14ac:dyDescent="0.2">
      <c r="I61041" s="137" t="s">
        <v>74</v>
      </c>
    </row>
    <row r="61042" spans="9:9" x14ac:dyDescent="0.2">
      <c r="I61042" s="137" t="s">
        <v>74</v>
      </c>
    </row>
    <row r="61043" spans="9:9" x14ac:dyDescent="0.2">
      <c r="I61043" s="137" t="s">
        <v>74</v>
      </c>
    </row>
    <row r="61044" spans="9:9" x14ac:dyDescent="0.2">
      <c r="I61044" s="137" t="s">
        <v>74</v>
      </c>
    </row>
    <row r="61045" spans="9:9" x14ac:dyDescent="0.2">
      <c r="I61045" s="137" t="s">
        <v>74</v>
      </c>
    </row>
    <row r="61046" spans="9:9" x14ac:dyDescent="0.2">
      <c r="I61046" s="137" t="s">
        <v>74</v>
      </c>
    </row>
    <row r="61047" spans="9:9" x14ac:dyDescent="0.2">
      <c r="I61047" s="137" t="s">
        <v>74</v>
      </c>
    </row>
    <row r="61048" spans="9:9" x14ac:dyDescent="0.2">
      <c r="I61048" s="137" t="s">
        <v>74</v>
      </c>
    </row>
    <row r="61049" spans="9:9" x14ac:dyDescent="0.2">
      <c r="I61049" s="137" t="s">
        <v>74</v>
      </c>
    </row>
    <row r="61050" spans="9:9" x14ac:dyDescent="0.2">
      <c r="I61050" s="137" t="s">
        <v>74</v>
      </c>
    </row>
    <row r="61051" spans="9:9" x14ac:dyDescent="0.2">
      <c r="I61051" s="137" t="s">
        <v>74</v>
      </c>
    </row>
    <row r="61052" spans="9:9" x14ac:dyDescent="0.2">
      <c r="I61052" s="137" t="s">
        <v>74</v>
      </c>
    </row>
    <row r="61053" spans="9:9" x14ac:dyDescent="0.2">
      <c r="I61053" s="137" t="s">
        <v>74</v>
      </c>
    </row>
    <row r="61054" spans="9:9" x14ac:dyDescent="0.2">
      <c r="I61054" s="137" t="s">
        <v>74</v>
      </c>
    </row>
    <row r="61055" spans="9:9" x14ac:dyDescent="0.2">
      <c r="I61055" s="137" t="s">
        <v>74</v>
      </c>
    </row>
    <row r="61056" spans="9:9" x14ac:dyDescent="0.2">
      <c r="I61056" s="137" t="s">
        <v>74</v>
      </c>
    </row>
    <row r="61057" spans="9:9" x14ac:dyDescent="0.2">
      <c r="I61057" s="137" t="s">
        <v>74</v>
      </c>
    </row>
    <row r="61058" spans="9:9" x14ac:dyDescent="0.2">
      <c r="I61058" s="137" t="s">
        <v>74</v>
      </c>
    </row>
    <row r="61059" spans="9:9" x14ac:dyDescent="0.2">
      <c r="I61059" s="137" t="s">
        <v>74</v>
      </c>
    </row>
    <row r="61060" spans="9:9" x14ac:dyDescent="0.2">
      <c r="I61060" s="137" t="s">
        <v>74</v>
      </c>
    </row>
    <row r="61061" spans="9:9" x14ac:dyDescent="0.2">
      <c r="I61061" s="137" t="s">
        <v>74</v>
      </c>
    </row>
    <row r="61062" spans="9:9" x14ac:dyDescent="0.2">
      <c r="I61062" s="137" t="s">
        <v>74</v>
      </c>
    </row>
    <row r="61063" spans="9:9" x14ac:dyDescent="0.2">
      <c r="I61063" s="137" t="s">
        <v>74</v>
      </c>
    </row>
    <row r="61064" spans="9:9" x14ac:dyDescent="0.2">
      <c r="I61064" s="137" t="s">
        <v>74</v>
      </c>
    </row>
    <row r="61065" spans="9:9" x14ac:dyDescent="0.2">
      <c r="I61065" s="137" t="s">
        <v>74</v>
      </c>
    </row>
    <row r="61066" spans="9:9" x14ac:dyDescent="0.2">
      <c r="I61066" s="137" t="s">
        <v>74</v>
      </c>
    </row>
    <row r="61067" spans="9:9" x14ac:dyDescent="0.2">
      <c r="I61067" s="137" t="s">
        <v>74</v>
      </c>
    </row>
    <row r="61068" spans="9:9" x14ac:dyDescent="0.2">
      <c r="I61068" s="137" t="s">
        <v>74</v>
      </c>
    </row>
    <row r="61069" spans="9:9" x14ac:dyDescent="0.2">
      <c r="I61069" s="137" t="s">
        <v>74</v>
      </c>
    </row>
    <row r="61070" spans="9:9" x14ac:dyDescent="0.2">
      <c r="I61070" s="137" t="s">
        <v>74</v>
      </c>
    </row>
    <row r="61071" spans="9:9" x14ac:dyDescent="0.2">
      <c r="I61071" s="137" t="s">
        <v>74</v>
      </c>
    </row>
    <row r="61072" spans="9:9" x14ac:dyDescent="0.2">
      <c r="I61072" s="137" t="s">
        <v>74</v>
      </c>
    </row>
    <row r="61073" spans="9:9" x14ac:dyDescent="0.2">
      <c r="I61073" s="137" t="s">
        <v>74</v>
      </c>
    </row>
    <row r="61074" spans="9:9" x14ac:dyDescent="0.2">
      <c r="I61074" s="137" t="s">
        <v>74</v>
      </c>
    </row>
    <row r="61075" spans="9:9" x14ac:dyDescent="0.2">
      <c r="I61075" s="137" t="s">
        <v>74</v>
      </c>
    </row>
    <row r="61076" spans="9:9" x14ac:dyDescent="0.2">
      <c r="I61076" s="137" t="s">
        <v>74</v>
      </c>
    </row>
    <row r="61077" spans="9:9" x14ac:dyDescent="0.2">
      <c r="I61077" s="137" t="s">
        <v>74</v>
      </c>
    </row>
    <row r="61078" spans="9:9" x14ac:dyDescent="0.2">
      <c r="I61078" s="137" t="s">
        <v>74</v>
      </c>
    </row>
    <row r="61079" spans="9:9" x14ac:dyDescent="0.2">
      <c r="I61079" s="137" t="s">
        <v>74</v>
      </c>
    </row>
    <row r="61080" spans="9:9" x14ac:dyDescent="0.2">
      <c r="I61080" s="137" t="s">
        <v>74</v>
      </c>
    </row>
    <row r="61081" spans="9:9" x14ac:dyDescent="0.2">
      <c r="I61081" s="137" t="s">
        <v>74</v>
      </c>
    </row>
    <row r="61082" spans="9:9" x14ac:dyDescent="0.2">
      <c r="I61082" s="137" t="s">
        <v>74</v>
      </c>
    </row>
    <row r="61083" spans="9:9" x14ac:dyDescent="0.2">
      <c r="I61083" s="137" t="s">
        <v>74</v>
      </c>
    </row>
    <row r="61084" spans="9:9" x14ac:dyDescent="0.2">
      <c r="I61084" s="137" t="s">
        <v>74</v>
      </c>
    </row>
    <row r="61085" spans="9:9" x14ac:dyDescent="0.2">
      <c r="I61085" s="137" t="s">
        <v>74</v>
      </c>
    </row>
    <row r="61086" spans="9:9" x14ac:dyDescent="0.2">
      <c r="I61086" s="137" t="s">
        <v>74</v>
      </c>
    </row>
    <row r="61087" spans="9:9" x14ac:dyDescent="0.2">
      <c r="I61087" s="137" t="s">
        <v>74</v>
      </c>
    </row>
    <row r="61088" spans="9:9" x14ac:dyDescent="0.2">
      <c r="I61088" s="137" t="s">
        <v>74</v>
      </c>
    </row>
    <row r="61089" spans="9:9" x14ac:dyDescent="0.2">
      <c r="I61089" s="137" t="s">
        <v>74</v>
      </c>
    </row>
    <row r="61090" spans="9:9" x14ac:dyDescent="0.2">
      <c r="I61090" s="137" t="s">
        <v>74</v>
      </c>
    </row>
    <row r="61091" spans="9:9" x14ac:dyDescent="0.2">
      <c r="I61091" s="137" t="s">
        <v>74</v>
      </c>
    </row>
    <row r="61092" spans="9:9" x14ac:dyDescent="0.2">
      <c r="I61092" s="137" t="s">
        <v>74</v>
      </c>
    </row>
    <row r="61093" spans="9:9" x14ac:dyDescent="0.2">
      <c r="I61093" s="137" t="s">
        <v>74</v>
      </c>
    </row>
    <row r="61094" spans="9:9" x14ac:dyDescent="0.2">
      <c r="I61094" s="137" t="s">
        <v>74</v>
      </c>
    </row>
    <row r="61095" spans="9:9" x14ac:dyDescent="0.2">
      <c r="I61095" s="137" t="s">
        <v>74</v>
      </c>
    </row>
    <row r="61096" spans="9:9" x14ac:dyDescent="0.2">
      <c r="I61096" s="137" t="s">
        <v>74</v>
      </c>
    </row>
    <row r="61097" spans="9:9" x14ac:dyDescent="0.2">
      <c r="I61097" s="137" t="s">
        <v>74</v>
      </c>
    </row>
    <row r="61098" spans="9:9" x14ac:dyDescent="0.2">
      <c r="I61098" s="137" t="s">
        <v>74</v>
      </c>
    </row>
    <row r="61099" spans="9:9" x14ac:dyDescent="0.2">
      <c r="I61099" s="137" t="s">
        <v>74</v>
      </c>
    </row>
    <row r="61100" spans="9:9" x14ac:dyDescent="0.2">
      <c r="I61100" s="137" t="s">
        <v>74</v>
      </c>
    </row>
    <row r="61101" spans="9:9" x14ac:dyDescent="0.2">
      <c r="I61101" s="137" t="s">
        <v>74</v>
      </c>
    </row>
    <row r="61102" spans="9:9" x14ac:dyDescent="0.2">
      <c r="I61102" s="137" t="s">
        <v>74</v>
      </c>
    </row>
    <row r="61103" spans="9:9" x14ac:dyDescent="0.2">
      <c r="I61103" s="137" t="s">
        <v>74</v>
      </c>
    </row>
    <row r="61104" spans="9:9" x14ac:dyDescent="0.2">
      <c r="I61104" s="137" t="s">
        <v>74</v>
      </c>
    </row>
    <row r="61105" spans="9:9" x14ac:dyDescent="0.2">
      <c r="I61105" s="137" t="s">
        <v>74</v>
      </c>
    </row>
    <row r="61106" spans="9:9" x14ac:dyDescent="0.2">
      <c r="I61106" s="137" t="s">
        <v>74</v>
      </c>
    </row>
    <row r="61107" spans="9:9" x14ac:dyDescent="0.2">
      <c r="I61107" s="137" t="s">
        <v>74</v>
      </c>
    </row>
    <row r="61108" spans="9:9" x14ac:dyDescent="0.2">
      <c r="I61108" s="137" t="s">
        <v>74</v>
      </c>
    </row>
    <row r="61109" spans="9:9" x14ac:dyDescent="0.2">
      <c r="I61109" s="137" t="s">
        <v>74</v>
      </c>
    </row>
    <row r="61110" spans="9:9" x14ac:dyDescent="0.2">
      <c r="I61110" s="137" t="s">
        <v>74</v>
      </c>
    </row>
    <row r="61111" spans="9:9" x14ac:dyDescent="0.2">
      <c r="I61111" s="137" t="s">
        <v>74</v>
      </c>
    </row>
    <row r="61112" spans="9:9" x14ac:dyDescent="0.2">
      <c r="I61112" s="137" t="s">
        <v>74</v>
      </c>
    </row>
    <row r="61113" spans="9:9" x14ac:dyDescent="0.2">
      <c r="I61113" s="137" t="s">
        <v>74</v>
      </c>
    </row>
    <row r="61114" spans="9:9" x14ac:dyDescent="0.2">
      <c r="I61114" s="137" t="s">
        <v>74</v>
      </c>
    </row>
    <row r="61115" spans="9:9" x14ac:dyDescent="0.2">
      <c r="I61115" s="137" t="s">
        <v>74</v>
      </c>
    </row>
    <row r="61116" spans="9:9" x14ac:dyDescent="0.2">
      <c r="I61116" s="137" t="s">
        <v>74</v>
      </c>
    </row>
    <row r="61117" spans="9:9" x14ac:dyDescent="0.2">
      <c r="I61117" s="137" t="s">
        <v>74</v>
      </c>
    </row>
    <row r="61118" spans="9:9" x14ac:dyDescent="0.2">
      <c r="I61118" s="137" t="s">
        <v>74</v>
      </c>
    </row>
    <row r="61119" spans="9:9" x14ac:dyDescent="0.2">
      <c r="I61119" s="137" t="s">
        <v>74</v>
      </c>
    </row>
    <row r="61120" spans="9:9" x14ac:dyDescent="0.2">
      <c r="I61120" s="137" t="s">
        <v>74</v>
      </c>
    </row>
    <row r="61121" spans="9:9" x14ac:dyDescent="0.2">
      <c r="I61121" s="137" t="s">
        <v>74</v>
      </c>
    </row>
    <row r="61122" spans="9:9" x14ac:dyDescent="0.2">
      <c r="I61122" s="137" t="s">
        <v>74</v>
      </c>
    </row>
    <row r="61123" spans="9:9" x14ac:dyDescent="0.2">
      <c r="I61123" s="137" t="s">
        <v>74</v>
      </c>
    </row>
    <row r="61124" spans="9:9" x14ac:dyDescent="0.2">
      <c r="I61124" s="137" t="s">
        <v>74</v>
      </c>
    </row>
    <row r="61125" spans="9:9" x14ac:dyDescent="0.2">
      <c r="I61125" s="137" t="s">
        <v>74</v>
      </c>
    </row>
    <row r="61126" spans="9:9" x14ac:dyDescent="0.2">
      <c r="I61126" s="137" t="s">
        <v>74</v>
      </c>
    </row>
    <row r="61127" spans="9:9" x14ac:dyDescent="0.2">
      <c r="I61127" s="137" t="s">
        <v>74</v>
      </c>
    </row>
    <row r="61128" spans="9:9" x14ac:dyDescent="0.2">
      <c r="I61128" s="137" t="s">
        <v>74</v>
      </c>
    </row>
    <row r="61129" spans="9:9" x14ac:dyDescent="0.2">
      <c r="I61129" s="137" t="s">
        <v>74</v>
      </c>
    </row>
    <row r="61130" spans="9:9" x14ac:dyDescent="0.2">
      <c r="I61130" s="137" t="s">
        <v>74</v>
      </c>
    </row>
    <row r="61131" spans="9:9" x14ac:dyDescent="0.2">
      <c r="I61131" s="137" t="s">
        <v>74</v>
      </c>
    </row>
    <row r="61132" spans="9:9" x14ac:dyDescent="0.2">
      <c r="I61132" s="137" t="s">
        <v>74</v>
      </c>
    </row>
    <row r="61133" spans="9:9" x14ac:dyDescent="0.2">
      <c r="I61133" s="137" t="s">
        <v>74</v>
      </c>
    </row>
    <row r="61134" spans="9:9" x14ac:dyDescent="0.2">
      <c r="I61134" s="137" t="s">
        <v>74</v>
      </c>
    </row>
    <row r="61135" spans="9:9" x14ac:dyDescent="0.2">
      <c r="I61135" s="137" t="s">
        <v>74</v>
      </c>
    </row>
    <row r="61136" spans="9:9" x14ac:dyDescent="0.2">
      <c r="I61136" s="137" t="s">
        <v>74</v>
      </c>
    </row>
    <row r="61137" spans="9:9" x14ac:dyDescent="0.2">
      <c r="I61137" s="137" t="s">
        <v>74</v>
      </c>
    </row>
    <row r="61138" spans="9:9" x14ac:dyDescent="0.2">
      <c r="I61138" s="137" t="s">
        <v>74</v>
      </c>
    </row>
    <row r="61139" spans="9:9" x14ac:dyDescent="0.2">
      <c r="I61139" s="137" t="s">
        <v>74</v>
      </c>
    </row>
    <row r="61140" spans="9:9" x14ac:dyDescent="0.2">
      <c r="I61140" s="137" t="s">
        <v>74</v>
      </c>
    </row>
    <row r="61141" spans="9:9" x14ac:dyDescent="0.2">
      <c r="I61141" s="137" t="s">
        <v>74</v>
      </c>
    </row>
    <row r="61142" spans="9:9" x14ac:dyDescent="0.2">
      <c r="I61142" s="137" t="s">
        <v>74</v>
      </c>
    </row>
    <row r="61143" spans="9:9" x14ac:dyDescent="0.2">
      <c r="I61143" s="137" t="s">
        <v>74</v>
      </c>
    </row>
    <row r="61144" spans="9:9" x14ac:dyDescent="0.2">
      <c r="I61144" s="137" t="s">
        <v>74</v>
      </c>
    </row>
    <row r="61145" spans="9:9" x14ac:dyDescent="0.2">
      <c r="I61145" s="137" t="s">
        <v>74</v>
      </c>
    </row>
    <row r="61146" spans="9:9" x14ac:dyDescent="0.2">
      <c r="I61146" s="137" t="s">
        <v>74</v>
      </c>
    </row>
    <row r="61147" spans="9:9" x14ac:dyDescent="0.2">
      <c r="I61147" s="137" t="s">
        <v>74</v>
      </c>
    </row>
    <row r="61148" spans="9:9" x14ac:dyDescent="0.2">
      <c r="I61148" s="137" t="s">
        <v>74</v>
      </c>
    </row>
    <row r="61149" spans="9:9" x14ac:dyDescent="0.2">
      <c r="I61149" s="137" t="s">
        <v>74</v>
      </c>
    </row>
    <row r="61150" spans="9:9" x14ac:dyDescent="0.2">
      <c r="I61150" s="137" t="s">
        <v>74</v>
      </c>
    </row>
    <row r="61151" spans="9:9" x14ac:dyDescent="0.2">
      <c r="I61151" s="137" t="s">
        <v>74</v>
      </c>
    </row>
    <row r="61152" spans="9:9" x14ac:dyDescent="0.2">
      <c r="I61152" s="137" t="s">
        <v>74</v>
      </c>
    </row>
    <row r="61153" spans="9:9" x14ac:dyDescent="0.2">
      <c r="I61153" s="137" t="s">
        <v>74</v>
      </c>
    </row>
    <row r="61154" spans="9:9" x14ac:dyDescent="0.2">
      <c r="I61154" s="137" t="s">
        <v>74</v>
      </c>
    </row>
    <row r="61155" spans="9:9" x14ac:dyDescent="0.2">
      <c r="I61155" s="137" t="s">
        <v>74</v>
      </c>
    </row>
    <row r="61156" spans="9:9" x14ac:dyDescent="0.2">
      <c r="I61156" s="137" t="s">
        <v>74</v>
      </c>
    </row>
    <row r="61157" spans="9:9" x14ac:dyDescent="0.2">
      <c r="I61157" s="137" t="s">
        <v>74</v>
      </c>
    </row>
    <row r="61158" spans="9:9" x14ac:dyDescent="0.2">
      <c r="I61158" s="137" t="s">
        <v>74</v>
      </c>
    </row>
    <row r="61159" spans="9:9" x14ac:dyDescent="0.2">
      <c r="I61159" s="137" t="s">
        <v>74</v>
      </c>
    </row>
    <row r="61160" spans="9:9" x14ac:dyDescent="0.2">
      <c r="I61160" s="137" t="s">
        <v>74</v>
      </c>
    </row>
    <row r="61161" spans="9:9" x14ac:dyDescent="0.2">
      <c r="I61161" s="137" t="s">
        <v>74</v>
      </c>
    </row>
    <row r="61162" spans="9:9" x14ac:dyDescent="0.2">
      <c r="I61162" s="137" t="s">
        <v>74</v>
      </c>
    </row>
    <row r="61163" spans="9:9" x14ac:dyDescent="0.2">
      <c r="I61163" s="137" t="s">
        <v>74</v>
      </c>
    </row>
    <row r="61164" spans="9:9" x14ac:dyDescent="0.2">
      <c r="I61164" s="137" t="s">
        <v>74</v>
      </c>
    </row>
    <row r="61165" spans="9:9" x14ac:dyDescent="0.2">
      <c r="I61165" s="137" t="s">
        <v>74</v>
      </c>
    </row>
    <row r="61166" spans="9:9" x14ac:dyDescent="0.2">
      <c r="I61166" s="137" t="s">
        <v>74</v>
      </c>
    </row>
    <row r="61167" spans="9:9" x14ac:dyDescent="0.2">
      <c r="I61167" s="137" t="s">
        <v>74</v>
      </c>
    </row>
    <row r="61168" spans="9:9" x14ac:dyDescent="0.2">
      <c r="I61168" s="137" t="s">
        <v>74</v>
      </c>
    </row>
    <row r="61169" spans="9:9" x14ac:dyDescent="0.2">
      <c r="I61169" s="137" t="s">
        <v>74</v>
      </c>
    </row>
    <row r="61170" spans="9:9" x14ac:dyDescent="0.2">
      <c r="I61170" s="137" t="s">
        <v>74</v>
      </c>
    </row>
    <row r="61171" spans="9:9" x14ac:dyDescent="0.2">
      <c r="I61171" s="137" t="s">
        <v>74</v>
      </c>
    </row>
    <row r="61172" spans="9:9" x14ac:dyDescent="0.2">
      <c r="I61172" s="137" t="s">
        <v>74</v>
      </c>
    </row>
    <row r="61173" spans="9:9" x14ac:dyDescent="0.2">
      <c r="I61173" s="137" t="s">
        <v>74</v>
      </c>
    </row>
    <row r="61174" spans="9:9" x14ac:dyDescent="0.2">
      <c r="I61174" s="137" t="s">
        <v>74</v>
      </c>
    </row>
    <row r="61175" spans="9:9" x14ac:dyDescent="0.2">
      <c r="I61175" s="137" t="s">
        <v>74</v>
      </c>
    </row>
    <row r="61176" spans="9:9" x14ac:dyDescent="0.2">
      <c r="I61176" s="137" t="s">
        <v>74</v>
      </c>
    </row>
    <row r="61177" spans="9:9" x14ac:dyDescent="0.2">
      <c r="I61177" s="137" t="s">
        <v>74</v>
      </c>
    </row>
    <row r="61178" spans="9:9" x14ac:dyDescent="0.2">
      <c r="I61178" s="137" t="s">
        <v>74</v>
      </c>
    </row>
    <row r="61179" spans="9:9" x14ac:dyDescent="0.2">
      <c r="I61179" s="137" t="s">
        <v>74</v>
      </c>
    </row>
    <row r="61180" spans="9:9" x14ac:dyDescent="0.2">
      <c r="I61180" s="137" t="s">
        <v>74</v>
      </c>
    </row>
    <row r="61181" spans="9:9" x14ac:dyDescent="0.2">
      <c r="I61181" s="137" t="s">
        <v>74</v>
      </c>
    </row>
    <row r="61182" spans="9:9" x14ac:dyDescent="0.2">
      <c r="I61182" s="137" t="s">
        <v>74</v>
      </c>
    </row>
    <row r="61183" spans="9:9" x14ac:dyDescent="0.2">
      <c r="I61183" s="137" t="s">
        <v>74</v>
      </c>
    </row>
    <row r="61184" spans="9:9" x14ac:dyDescent="0.2">
      <c r="I61184" s="137" t="s">
        <v>74</v>
      </c>
    </row>
    <row r="61185" spans="9:9" x14ac:dyDescent="0.2">
      <c r="I61185" s="137" t="s">
        <v>74</v>
      </c>
    </row>
    <row r="61186" spans="9:9" x14ac:dyDescent="0.2">
      <c r="I61186" s="137" t="s">
        <v>74</v>
      </c>
    </row>
    <row r="61187" spans="9:9" x14ac:dyDescent="0.2">
      <c r="I61187" s="137" t="s">
        <v>74</v>
      </c>
    </row>
    <row r="61188" spans="9:9" x14ac:dyDescent="0.2">
      <c r="I61188" s="137" t="s">
        <v>74</v>
      </c>
    </row>
    <row r="61189" spans="9:9" x14ac:dyDescent="0.2">
      <c r="I61189" s="137" t="s">
        <v>74</v>
      </c>
    </row>
    <row r="61190" spans="9:9" x14ac:dyDescent="0.2">
      <c r="I61190" s="137" t="s">
        <v>74</v>
      </c>
    </row>
    <row r="61191" spans="9:9" x14ac:dyDescent="0.2">
      <c r="I61191" s="137" t="s">
        <v>74</v>
      </c>
    </row>
    <row r="61192" spans="9:9" x14ac:dyDescent="0.2">
      <c r="I61192" s="137" t="s">
        <v>74</v>
      </c>
    </row>
    <row r="61193" spans="9:9" x14ac:dyDescent="0.2">
      <c r="I61193" s="137" t="s">
        <v>74</v>
      </c>
    </row>
    <row r="61194" spans="9:9" x14ac:dyDescent="0.2">
      <c r="I61194" s="137" t="s">
        <v>74</v>
      </c>
    </row>
    <row r="61195" spans="9:9" x14ac:dyDescent="0.2">
      <c r="I61195" s="137" t="s">
        <v>74</v>
      </c>
    </row>
    <row r="61196" spans="9:9" x14ac:dyDescent="0.2">
      <c r="I61196" s="137" t="s">
        <v>74</v>
      </c>
    </row>
    <row r="61197" spans="9:9" x14ac:dyDescent="0.2">
      <c r="I61197" s="137" t="s">
        <v>74</v>
      </c>
    </row>
    <row r="61198" spans="9:9" x14ac:dyDescent="0.2">
      <c r="I61198" s="137" t="s">
        <v>74</v>
      </c>
    </row>
    <row r="61199" spans="9:9" x14ac:dyDescent="0.2">
      <c r="I61199" s="137" t="s">
        <v>74</v>
      </c>
    </row>
    <row r="61200" spans="9:9" x14ac:dyDescent="0.2">
      <c r="I61200" s="137" t="s">
        <v>74</v>
      </c>
    </row>
    <row r="61201" spans="9:9" x14ac:dyDescent="0.2">
      <c r="I61201" s="137" t="s">
        <v>74</v>
      </c>
    </row>
    <row r="61202" spans="9:9" x14ac:dyDescent="0.2">
      <c r="I61202" s="137" t="s">
        <v>74</v>
      </c>
    </row>
    <row r="61203" spans="9:9" x14ac:dyDescent="0.2">
      <c r="I61203" s="137" t="s">
        <v>74</v>
      </c>
    </row>
    <row r="61204" spans="9:9" x14ac:dyDescent="0.2">
      <c r="I61204" s="137" t="s">
        <v>74</v>
      </c>
    </row>
    <row r="61205" spans="9:9" x14ac:dyDescent="0.2">
      <c r="I61205" s="137" t="s">
        <v>74</v>
      </c>
    </row>
    <row r="61206" spans="9:9" x14ac:dyDescent="0.2">
      <c r="I61206" s="137" t="s">
        <v>74</v>
      </c>
    </row>
    <row r="61207" spans="9:9" x14ac:dyDescent="0.2">
      <c r="I61207" s="137" t="s">
        <v>74</v>
      </c>
    </row>
    <row r="61208" spans="9:9" x14ac:dyDescent="0.2">
      <c r="I61208" s="137" t="s">
        <v>74</v>
      </c>
    </row>
    <row r="61209" spans="9:9" x14ac:dyDescent="0.2">
      <c r="I61209" s="137" t="s">
        <v>74</v>
      </c>
    </row>
    <row r="61210" spans="9:9" x14ac:dyDescent="0.2">
      <c r="I61210" s="137" t="s">
        <v>74</v>
      </c>
    </row>
    <row r="61211" spans="9:9" x14ac:dyDescent="0.2">
      <c r="I61211" s="137" t="s">
        <v>74</v>
      </c>
    </row>
    <row r="61212" spans="9:9" x14ac:dyDescent="0.2">
      <c r="I61212" s="137" t="s">
        <v>74</v>
      </c>
    </row>
    <row r="61213" spans="9:9" x14ac:dyDescent="0.2">
      <c r="I61213" s="137" t="s">
        <v>74</v>
      </c>
    </row>
    <row r="61214" spans="9:9" x14ac:dyDescent="0.2">
      <c r="I61214" s="137" t="s">
        <v>74</v>
      </c>
    </row>
    <row r="61215" spans="9:9" x14ac:dyDescent="0.2">
      <c r="I61215" s="137" t="s">
        <v>74</v>
      </c>
    </row>
    <row r="61216" spans="9:9" x14ac:dyDescent="0.2">
      <c r="I61216" s="137" t="s">
        <v>74</v>
      </c>
    </row>
    <row r="61217" spans="9:9" x14ac:dyDescent="0.2">
      <c r="I61217" s="137" t="s">
        <v>74</v>
      </c>
    </row>
    <row r="61218" spans="9:9" x14ac:dyDescent="0.2">
      <c r="I61218" s="137" t="s">
        <v>74</v>
      </c>
    </row>
    <row r="61219" spans="9:9" x14ac:dyDescent="0.2">
      <c r="I61219" s="137" t="s">
        <v>74</v>
      </c>
    </row>
    <row r="61220" spans="9:9" x14ac:dyDescent="0.2">
      <c r="I61220" s="137" t="s">
        <v>74</v>
      </c>
    </row>
    <row r="61221" spans="9:9" x14ac:dyDescent="0.2">
      <c r="I61221" s="137" t="s">
        <v>74</v>
      </c>
    </row>
    <row r="61222" spans="9:9" x14ac:dyDescent="0.2">
      <c r="I61222" s="137" t="s">
        <v>74</v>
      </c>
    </row>
    <row r="61223" spans="9:9" x14ac:dyDescent="0.2">
      <c r="I61223" s="137" t="s">
        <v>74</v>
      </c>
    </row>
    <row r="61224" spans="9:9" x14ac:dyDescent="0.2">
      <c r="I61224" s="137" t="s">
        <v>74</v>
      </c>
    </row>
    <row r="61225" spans="9:9" x14ac:dyDescent="0.2">
      <c r="I61225" s="137" t="s">
        <v>74</v>
      </c>
    </row>
    <row r="61226" spans="9:9" x14ac:dyDescent="0.2">
      <c r="I61226" s="137" t="s">
        <v>74</v>
      </c>
    </row>
    <row r="61227" spans="9:9" x14ac:dyDescent="0.2">
      <c r="I61227" s="137" t="s">
        <v>74</v>
      </c>
    </row>
    <row r="61228" spans="9:9" x14ac:dyDescent="0.2">
      <c r="I61228" s="137" t="s">
        <v>74</v>
      </c>
    </row>
    <row r="61229" spans="9:9" x14ac:dyDescent="0.2">
      <c r="I61229" s="137" t="s">
        <v>74</v>
      </c>
    </row>
    <row r="61230" spans="9:9" x14ac:dyDescent="0.2">
      <c r="I61230" s="137" t="s">
        <v>74</v>
      </c>
    </row>
    <row r="61231" spans="9:9" x14ac:dyDescent="0.2">
      <c r="I61231" s="137" t="s">
        <v>74</v>
      </c>
    </row>
    <row r="61232" spans="9:9" x14ac:dyDescent="0.2">
      <c r="I61232" s="137" t="s">
        <v>74</v>
      </c>
    </row>
    <row r="61233" spans="9:9" x14ac:dyDescent="0.2">
      <c r="I61233" s="137" t="s">
        <v>74</v>
      </c>
    </row>
    <row r="61234" spans="9:9" x14ac:dyDescent="0.2">
      <c r="I61234" s="137" t="s">
        <v>74</v>
      </c>
    </row>
    <row r="61235" spans="9:9" x14ac:dyDescent="0.2">
      <c r="I61235" s="137" t="s">
        <v>74</v>
      </c>
    </row>
    <row r="61236" spans="9:9" x14ac:dyDescent="0.2">
      <c r="I61236" s="137" t="s">
        <v>74</v>
      </c>
    </row>
    <row r="61237" spans="9:9" x14ac:dyDescent="0.2">
      <c r="I61237" s="137" t="s">
        <v>74</v>
      </c>
    </row>
    <row r="61238" spans="9:9" x14ac:dyDescent="0.2">
      <c r="I61238" s="137" t="s">
        <v>74</v>
      </c>
    </row>
    <row r="61239" spans="9:9" x14ac:dyDescent="0.2">
      <c r="I61239" s="137" t="s">
        <v>74</v>
      </c>
    </row>
    <row r="61240" spans="9:9" x14ac:dyDescent="0.2">
      <c r="I61240" s="137" t="s">
        <v>74</v>
      </c>
    </row>
    <row r="61241" spans="9:9" x14ac:dyDescent="0.2">
      <c r="I61241" s="137" t="s">
        <v>74</v>
      </c>
    </row>
    <row r="61242" spans="9:9" x14ac:dyDescent="0.2">
      <c r="I61242" s="137" t="s">
        <v>74</v>
      </c>
    </row>
    <row r="61243" spans="9:9" x14ac:dyDescent="0.2">
      <c r="I61243" s="137" t="s">
        <v>74</v>
      </c>
    </row>
    <row r="61244" spans="9:9" x14ac:dyDescent="0.2">
      <c r="I61244" s="137" t="s">
        <v>74</v>
      </c>
    </row>
    <row r="61245" spans="9:9" x14ac:dyDescent="0.2">
      <c r="I61245" s="137" t="s">
        <v>74</v>
      </c>
    </row>
    <row r="61246" spans="9:9" x14ac:dyDescent="0.2">
      <c r="I61246" s="137" t="s">
        <v>74</v>
      </c>
    </row>
    <row r="61247" spans="9:9" x14ac:dyDescent="0.2">
      <c r="I61247" s="137" t="s">
        <v>74</v>
      </c>
    </row>
    <row r="61248" spans="9:9" x14ac:dyDescent="0.2">
      <c r="I61248" s="137" t="s">
        <v>74</v>
      </c>
    </row>
    <row r="61249" spans="9:9" x14ac:dyDescent="0.2">
      <c r="I61249" s="137" t="s">
        <v>74</v>
      </c>
    </row>
    <row r="61250" spans="9:9" x14ac:dyDescent="0.2">
      <c r="I61250" s="137" t="s">
        <v>74</v>
      </c>
    </row>
    <row r="61251" spans="9:9" x14ac:dyDescent="0.2">
      <c r="I61251" s="137" t="s">
        <v>74</v>
      </c>
    </row>
    <row r="61252" spans="9:9" x14ac:dyDescent="0.2">
      <c r="I61252" s="137" t="s">
        <v>74</v>
      </c>
    </row>
    <row r="61253" spans="9:9" x14ac:dyDescent="0.2">
      <c r="I61253" s="137" t="s">
        <v>74</v>
      </c>
    </row>
    <row r="61254" spans="9:9" x14ac:dyDescent="0.2">
      <c r="I61254" s="137" t="s">
        <v>74</v>
      </c>
    </row>
    <row r="61255" spans="9:9" x14ac:dyDescent="0.2">
      <c r="I61255" s="137" t="s">
        <v>74</v>
      </c>
    </row>
    <row r="61256" spans="9:9" x14ac:dyDescent="0.2">
      <c r="I61256" s="137" t="s">
        <v>74</v>
      </c>
    </row>
    <row r="61257" spans="9:9" x14ac:dyDescent="0.2">
      <c r="I61257" s="137" t="s">
        <v>74</v>
      </c>
    </row>
    <row r="61258" spans="9:9" x14ac:dyDescent="0.2">
      <c r="I61258" s="137" t="s">
        <v>74</v>
      </c>
    </row>
    <row r="61259" spans="9:9" x14ac:dyDescent="0.2">
      <c r="I61259" s="137" t="s">
        <v>74</v>
      </c>
    </row>
    <row r="61260" spans="9:9" x14ac:dyDescent="0.2">
      <c r="I61260" s="137" t="s">
        <v>74</v>
      </c>
    </row>
    <row r="61261" spans="9:9" x14ac:dyDescent="0.2">
      <c r="I61261" s="137" t="s">
        <v>74</v>
      </c>
    </row>
    <row r="61262" spans="9:9" x14ac:dyDescent="0.2">
      <c r="I61262" s="137" t="s">
        <v>74</v>
      </c>
    </row>
    <row r="61263" spans="9:9" x14ac:dyDescent="0.2">
      <c r="I61263" s="137" t="s">
        <v>74</v>
      </c>
    </row>
    <row r="61264" spans="9:9" x14ac:dyDescent="0.2">
      <c r="I61264" s="137" t="s">
        <v>74</v>
      </c>
    </row>
    <row r="61265" spans="9:9" x14ac:dyDescent="0.2">
      <c r="I61265" s="137" t="s">
        <v>74</v>
      </c>
    </row>
    <row r="61266" spans="9:9" x14ac:dyDescent="0.2">
      <c r="I61266" s="137" t="s">
        <v>74</v>
      </c>
    </row>
    <row r="61267" spans="9:9" x14ac:dyDescent="0.2">
      <c r="I61267" s="137" t="s">
        <v>74</v>
      </c>
    </row>
    <row r="61268" spans="9:9" x14ac:dyDescent="0.2">
      <c r="I61268" s="137" t="s">
        <v>74</v>
      </c>
    </row>
    <row r="61269" spans="9:9" x14ac:dyDescent="0.2">
      <c r="I61269" s="137" t="s">
        <v>74</v>
      </c>
    </row>
    <row r="61270" spans="9:9" x14ac:dyDescent="0.2">
      <c r="I61270" s="137" t="s">
        <v>74</v>
      </c>
    </row>
    <row r="61271" spans="9:9" x14ac:dyDescent="0.2">
      <c r="I61271" s="137" t="s">
        <v>74</v>
      </c>
    </row>
    <row r="61272" spans="9:9" x14ac:dyDescent="0.2">
      <c r="I61272" s="137" t="s">
        <v>74</v>
      </c>
    </row>
    <row r="61273" spans="9:9" x14ac:dyDescent="0.2">
      <c r="I61273" s="137" t="s">
        <v>74</v>
      </c>
    </row>
    <row r="61274" spans="9:9" x14ac:dyDescent="0.2">
      <c r="I61274" s="137" t="s">
        <v>74</v>
      </c>
    </row>
    <row r="61275" spans="9:9" x14ac:dyDescent="0.2">
      <c r="I61275" s="137" t="s">
        <v>74</v>
      </c>
    </row>
    <row r="61276" spans="9:9" x14ac:dyDescent="0.2">
      <c r="I61276" s="137" t="s">
        <v>74</v>
      </c>
    </row>
    <row r="61277" spans="9:9" x14ac:dyDescent="0.2">
      <c r="I61277" s="137" t="s">
        <v>74</v>
      </c>
    </row>
    <row r="61278" spans="9:9" x14ac:dyDescent="0.2">
      <c r="I61278" s="137" t="s">
        <v>74</v>
      </c>
    </row>
    <row r="61279" spans="9:9" x14ac:dyDescent="0.2">
      <c r="I61279" s="137" t="s">
        <v>74</v>
      </c>
    </row>
    <row r="61280" spans="9:9" x14ac:dyDescent="0.2">
      <c r="I61280" s="137" t="s">
        <v>74</v>
      </c>
    </row>
    <row r="61281" spans="9:9" x14ac:dyDescent="0.2">
      <c r="I61281" s="137" t="s">
        <v>74</v>
      </c>
    </row>
    <row r="61282" spans="9:9" x14ac:dyDescent="0.2">
      <c r="I61282" s="137" t="s">
        <v>74</v>
      </c>
    </row>
    <row r="61283" spans="9:9" x14ac:dyDescent="0.2">
      <c r="I61283" s="137" t="s">
        <v>74</v>
      </c>
    </row>
    <row r="61284" spans="9:9" x14ac:dyDescent="0.2">
      <c r="I61284" s="137" t="s">
        <v>74</v>
      </c>
    </row>
    <row r="61285" spans="9:9" x14ac:dyDescent="0.2">
      <c r="I61285" s="137" t="s">
        <v>74</v>
      </c>
    </row>
    <row r="61286" spans="9:9" x14ac:dyDescent="0.2">
      <c r="I61286" s="137" t="s">
        <v>74</v>
      </c>
    </row>
    <row r="61287" spans="9:9" x14ac:dyDescent="0.2">
      <c r="I61287" s="137" t="s">
        <v>74</v>
      </c>
    </row>
    <row r="61288" spans="9:9" x14ac:dyDescent="0.2">
      <c r="I61288" s="137" t="s">
        <v>74</v>
      </c>
    </row>
    <row r="61289" spans="9:9" x14ac:dyDescent="0.2">
      <c r="I61289" s="137" t="s">
        <v>74</v>
      </c>
    </row>
    <row r="61290" spans="9:9" x14ac:dyDescent="0.2">
      <c r="I61290" s="137" t="s">
        <v>74</v>
      </c>
    </row>
    <row r="61291" spans="9:9" x14ac:dyDescent="0.2">
      <c r="I61291" s="137" t="s">
        <v>74</v>
      </c>
    </row>
    <row r="61292" spans="9:9" x14ac:dyDescent="0.2">
      <c r="I61292" s="137" t="s">
        <v>74</v>
      </c>
    </row>
    <row r="61293" spans="9:9" x14ac:dyDescent="0.2">
      <c r="I61293" s="137" t="s">
        <v>74</v>
      </c>
    </row>
    <row r="61294" spans="9:9" x14ac:dyDescent="0.2">
      <c r="I61294" s="137" t="s">
        <v>74</v>
      </c>
    </row>
    <row r="61295" spans="9:9" x14ac:dyDescent="0.2">
      <c r="I61295" s="137" t="s">
        <v>74</v>
      </c>
    </row>
    <row r="61296" spans="9:9" x14ac:dyDescent="0.2">
      <c r="I61296" s="137" t="s">
        <v>74</v>
      </c>
    </row>
    <row r="61297" spans="9:9" x14ac:dyDescent="0.2">
      <c r="I61297" s="137" t="s">
        <v>74</v>
      </c>
    </row>
    <row r="61298" spans="9:9" x14ac:dyDescent="0.2">
      <c r="I61298" s="137" t="s">
        <v>74</v>
      </c>
    </row>
    <row r="61299" spans="9:9" x14ac:dyDescent="0.2">
      <c r="I61299" s="137" t="s">
        <v>74</v>
      </c>
    </row>
    <row r="61300" spans="9:9" x14ac:dyDescent="0.2">
      <c r="I61300" s="137" t="s">
        <v>74</v>
      </c>
    </row>
    <row r="61301" spans="9:9" x14ac:dyDescent="0.2">
      <c r="I61301" s="137" t="s">
        <v>74</v>
      </c>
    </row>
    <row r="61302" spans="9:9" x14ac:dyDescent="0.2">
      <c r="I61302" s="137" t="s">
        <v>74</v>
      </c>
    </row>
    <row r="61303" spans="9:9" x14ac:dyDescent="0.2">
      <c r="I61303" s="137" t="s">
        <v>74</v>
      </c>
    </row>
    <row r="61304" spans="9:9" x14ac:dyDescent="0.2">
      <c r="I61304" s="137" t="s">
        <v>74</v>
      </c>
    </row>
    <row r="61305" spans="9:9" x14ac:dyDescent="0.2">
      <c r="I61305" s="137" t="s">
        <v>74</v>
      </c>
    </row>
    <row r="61306" spans="9:9" x14ac:dyDescent="0.2">
      <c r="I61306" s="137" t="s">
        <v>74</v>
      </c>
    </row>
    <row r="61307" spans="9:9" x14ac:dyDescent="0.2">
      <c r="I61307" s="137" t="s">
        <v>74</v>
      </c>
    </row>
    <row r="61308" spans="9:9" x14ac:dyDescent="0.2">
      <c r="I61308" s="137" t="s">
        <v>74</v>
      </c>
    </row>
    <row r="61309" spans="9:9" x14ac:dyDescent="0.2">
      <c r="I61309" s="137" t="s">
        <v>74</v>
      </c>
    </row>
    <row r="61310" spans="9:9" x14ac:dyDescent="0.2">
      <c r="I61310" s="137" t="s">
        <v>74</v>
      </c>
    </row>
    <row r="61311" spans="9:9" x14ac:dyDescent="0.2">
      <c r="I61311" s="137" t="s">
        <v>74</v>
      </c>
    </row>
    <row r="61312" spans="9:9" x14ac:dyDescent="0.2">
      <c r="I61312" s="137" t="s">
        <v>74</v>
      </c>
    </row>
    <row r="61313" spans="9:9" x14ac:dyDescent="0.2">
      <c r="I61313" s="137" t="s">
        <v>74</v>
      </c>
    </row>
    <row r="61314" spans="9:9" x14ac:dyDescent="0.2">
      <c r="I61314" s="137" t="s">
        <v>74</v>
      </c>
    </row>
    <row r="61315" spans="9:9" x14ac:dyDescent="0.2">
      <c r="I61315" s="137" t="s">
        <v>74</v>
      </c>
    </row>
    <row r="61316" spans="9:9" x14ac:dyDescent="0.2">
      <c r="I61316" s="137" t="s">
        <v>74</v>
      </c>
    </row>
    <row r="61317" spans="9:9" x14ac:dyDescent="0.2">
      <c r="I61317" s="137" t="s">
        <v>74</v>
      </c>
    </row>
    <row r="61318" spans="9:9" x14ac:dyDescent="0.2">
      <c r="I61318" s="137" t="s">
        <v>74</v>
      </c>
    </row>
    <row r="61319" spans="9:9" x14ac:dyDescent="0.2">
      <c r="I61319" s="137" t="s">
        <v>74</v>
      </c>
    </row>
    <row r="61320" spans="9:9" x14ac:dyDescent="0.2">
      <c r="I61320" s="137" t="s">
        <v>74</v>
      </c>
    </row>
    <row r="61321" spans="9:9" x14ac:dyDescent="0.2">
      <c r="I61321" s="137" t="s">
        <v>74</v>
      </c>
    </row>
    <row r="61322" spans="9:9" x14ac:dyDescent="0.2">
      <c r="I61322" s="137" t="s">
        <v>74</v>
      </c>
    </row>
    <row r="61323" spans="9:9" x14ac:dyDescent="0.2">
      <c r="I61323" s="137" t="s">
        <v>74</v>
      </c>
    </row>
    <row r="61324" spans="9:9" x14ac:dyDescent="0.2">
      <c r="I61324" s="137" t="s">
        <v>74</v>
      </c>
    </row>
    <row r="61325" spans="9:9" x14ac:dyDescent="0.2">
      <c r="I61325" s="137" t="s">
        <v>74</v>
      </c>
    </row>
    <row r="61326" spans="9:9" x14ac:dyDescent="0.2">
      <c r="I61326" s="137" t="s">
        <v>74</v>
      </c>
    </row>
    <row r="61327" spans="9:9" x14ac:dyDescent="0.2">
      <c r="I61327" s="137" t="s">
        <v>74</v>
      </c>
    </row>
    <row r="61328" spans="9:9" x14ac:dyDescent="0.2">
      <c r="I61328" s="137" t="s">
        <v>74</v>
      </c>
    </row>
    <row r="61329" spans="9:9" x14ac:dyDescent="0.2">
      <c r="I61329" s="137" t="s">
        <v>74</v>
      </c>
    </row>
    <row r="61330" spans="9:9" x14ac:dyDescent="0.2">
      <c r="I61330" s="137" t="s">
        <v>74</v>
      </c>
    </row>
    <row r="61331" spans="9:9" x14ac:dyDescent="0.2">
      <c r="I61331" s="137" t="s">
        <v>74</v>
      </c>
    </row>
    <row r="61332" spans="9:9" x14ac:dyDescent="0.2">
      <c r="I61332" s="137" t="s">
        <v>74</v>
      </c>
    </row>
    <row r="61333" spans="9:9" x14ac:dyDescent="0.2">
      <c r="I61333" s="137" t="s">
        <v>74</v>
      </c>
    </row>
    <row r="61334" spans="9:9" x14ac:dyDescent="0.2">
      <c r="I61334" s="137" t="s">
        <v>74</v>
      </c>
    </row>
    <row r="61335" spans="9:9" x14ac:dyDescent="0.2">
      <c r="I61335" s="137" t="s">
        <v>74</v>
      </c>
    </row>
    <row r="61336" spans="9:9" x14ac:dyDescent="0.2">
      <c r="I61336" s="137" t="s">
        <v>74</v>
      </c>
    </row>
    <row r="61337" spans="9:9" x14ac:dyDescent="0.2">
      <c r="I61337" s="137" t="s">
        <v>74</v>
      </c>
    </row>
    <row r="61338" spans="9:9" x14ac:dyDescent="0.2">
      <c r="I61338" s="137" t="s">
        <v>74</v>
      </c>
    </row>
    <row r="61339" spans="9:9" x14ac:dyDescent="0.2">
      <c r="I61339" s="137" t="s">
        <v>74</v>
      </c>
    </row>
    <row r="61340" spans="9:9" x14ac:dyDescent="0.2">
      <c r="I61340" s="137" t="s">
        <v>74</v>
      </c>
    </row>
    <row r="61341" spans="9:9" x14ac:dyDescent="0.2">
      <c r="I61341" s="137" t="s">
        <v>74</v>
      </c>
    </row>
    <row r="61342" spans="9:9" x14ac:dyDescent="0.2">
      <c r="I61342" s="137" t="s">
        <v>74</v>
      </c>
    </row>
    <row r="61343" spans="9:9" x14ac:dyDescent="0.2">
      <c r="I61343" s="137" t="s">
        <v>74</v>
      </c>
    </row>
    <row r="61344" spans="9:9" x14ac:dyDescent="0.2">
      <c r="I61344" s="137" t="s">
        <v>74</v>
      </c>
    </row>
    <row r="61345" spans="9:9" x14ac:dyDescent="0.2">
      <c r="I61345" s="137" t="s">
        <v>74</v>
      </c>
    </row>
    <row r="61346" spans="9:9" x14ac:dyDescent="0.2">
      <c r="I61346" s="137" t="s">
        <v>74</v>
      </c>
    </row>
    <row r="61347" spans="9:9" x14ac:dyDescent="0.2">
      <c r="I61347" s="137" t="s">
        <v>74</v>
      </c>
    </row>
    <row r="61348" spans="9:9" x14ac:dyDescent="0.2">
      <c r="I61348" s="137" t="s">
        <v>74</v>
      </c>
    </row>
    <row r="61349" spans="9:9" x14ac:dyDescent="0.2">
      <c r="I61349" s="137" t="s">
        <v>74</v>
      </c>
    </row>
    <row r="61350" spans="9:9" x14ac:dyDescent="0.2">
      <c r="I61350" s="137" t="s">
        <v>74</v>
      </c>
    </row>
    <row r="61351" spans="9:9" x14ac:dyDescent="0.2">
      <c r="I61351" s="137" t="s">
        <v>74</v>
      </c>
    </row>
    <row r="61352" spans="9:9" x14ac:dyDescent="0.2">
      <c r="I61352" s="137" t="s">
        <v>74</v>
      </c>
    </row>
    <row r="61353" spans="9:9" x14ac:dyDescent="0.2">
      <c r="I61353" s="137" t="s">
        <v>74</v>
      </c>
    </row>
    <row r="61354" spans="9:9" x14ac:dyDescent="0.2">
      <c r="I61354" s="137" t="s">
        <v>74</v>
      </c>
    </row>
    <row r="61355" spans="9:9" x14ac:dyDescent="0.2">
      <c r="I61355" s="137" t="s">
        <v>74</v>
      </c>
    </row>
    <row r="61356" spans="9:9" x14ac:dyDescent="0.2">
      <c r="I61356" s="137" t="s">
        <v>74</v>
      </c>
    </row>
    <row r="61357" spans="9:9" x14ac:dyDescent="0.2">
      <c r="I61357" s="137" t="s">
        <v>74</v>
      </c>
    </row>
    <row r="61358" spans="9:9" x14ac:dyDescent="0.2">
      <c r="I61358" s="137" t="s">
        <v>74</v>
      </c>
    </row>
    <row r="61359" spans="9:9" x14ac:dyDescent="0.2">
      <c r="I61359" s="137" t="s">
        <v>74</v>
      </c>
    </row>
    <row r="61360" spans="9:9" x14ac:dyDescent="0.2">
      <c r="I61360" s="137" t="s">
        <v>74</v>
      </c>
    </row>
    <row r="61361" spans="9:9" x14ac:dyDescent="0.2">
      <c r="I61361" s="137" t="s">
        <v>74</v>
      </c>
    </row>
    <row r="61362" spans="9:9" x14ac:dyDescent="0.2">
      <c r="I61362" s="137" t="s">
        <v>74</v>
      </c>
    </row>
    <row r="61363" spans="9:9" x14ac:dyDescent="0.2">
      <c r="I61363" s="137" t="s">
        <v>74</v>
      </c>
    </row>
    <row r="61364" spans="9:9" x14ac:dyDescent="0.2">
      <c r="I61364" s="137" t="s">
        <v>74</v>
      </c>
    </row>
    <row r="61365" spans="9:9" x14ac:dyDescent="0.2">
      <c r="I61365" s="137" t="s">
        <v>74</v>
      </c>
    </row>
    <row r="61366" spans="9:9" x14ac:dyDescent="0.2">
      <c r="I61366" s="137" t="s">
        <v>74</v>
      </c>
    </row>
    <row r="61367" spans="9:9" x14ac:dyDescent="0.2">
      <c r="I61367" s="137" t="s">
        <v>74</v>
      </c>
    </row>
    <row r="61368" spans="9:9" x14ac:dyDescent="0.2">
      <c r="I61368" s="137" t="s">
        <v>74</v>
      </c>
    </row>
    <row r="61369" spans="9:9" x14ac:dyDescent="0.2">
      <c r="I61369" s="137" t="s">
        <v>74</v>
      </c>
    </row>
    <row r="61370" spans="9:9" x14ac:dyDescent="0.2">
      <c r="I61370" s="137" t="s">
        <v>74</v>
      </c>
    </row>
    <row r="61371" spans="9:9" x14ac:dyDescent="0.2">
      <c r="I61371" s="137" t="s">
        <v>74</v>
      </c>
    </row>
    <row r="61372" spans="9:9" x14ac:dyDescent="0.2">
      <c r="I61372" s="137" t="s">
        <v>74</v>
      </c>
    </row>
    <row r="61373" spans="9:9" x14ac:dyDescent="0.2">
      <c r="I61373" s="137" t="s">
        <v>74</v>
      </c>
    </row>
    <row r="61374" spans="9:9" x14ac:dyDescent="0.2">
      <c r="I61374" s="137" t="s">
        <v>74</v>
      </c>
    </row>
    <row r="61375" spans="9:9" x14ac:dyDescent="0.2">
      <c r="I61375" s="137" t="s">
        <v>74</v>
      </c>
    </row>
    <row r="61376" spans="9:9" x14ac:dyDescent="0.2">
      <c r="I61376" s="137" t="s">
        <v>74</v>
      </c>
    </row>
    <row r="61377" spans="9:9" x14ac:dyDescent="0.2">
      <c r="I61377" s="137" t="s">
        <v>74</v>
      </c>
    </row>
    <row r="61378" spans="9:9" x14ac:dyDescent="0.2">
      <c r="I61378" s="137" t="s">
        <v>74</v>
      </c>
    </row>
    <row r="61379" spans="9:9" x14ac:dyDescent="0.2">
      <c r="I61379" s="137" t="s">
        <v>74</v>
      </c>
    </row>
    <row r="61380" spans="9:9" x14ac:dyDescent="0.2">
      <c r="I61380" s="137" t="s">
        <v>74</v>
      </c>
    </row>
    <row r="61381" spans="9:9" x14ac:dyDescent="0.2">
      <c r="I61381" s="137" t="s">
        <v>74</v>
      </c>
    </row>
    <row r="61382" spans="9:9" x14ac:dyDescent="0.2">
      <c r="I61382" s="137" t="s">
        <v>74</v>
      </c>
    </row>
    <row r="61383" spans="9:9" x14ac:dyDescent="0.2">
      <c r="I61383" s="137" t="s">
        <v>74</v>
      </c>
    </row>
    <row r="61384" spans="9:9" x14ac:dyDescent="0.2">
      <c r="I61384" s="137" t="s">
        <v>74</v>
      </c>
    </row>
    <row r="61385" spans="9:9" x14ac:dyDescent="0.2">
      <c r="I61385" s="137" t="s">
        <v>74</v>
      </c>
    </row>
    <row r="61386" spans="9:9" x14ac:dyDescent="0.2">
      <c r="I61386" s="137" t="s">
        <v>74</v>
      </c>
    </row>
    <row r="61387" spans="9:9" x14ac:dyDescent="0.2">
      <c r="I61387" s="137" t="s">
        <v>74</v>
      </c>
    </row>
    <row r="61388" spans="9:9" x14ac:dyDescent="0.2">
      <c r="I61388" s="137" t="s">
        <v>74</v>
      </c>
    </row>
    <row r="61389" spans="9:9" x14ac:dyDescent="0.2">
      <c r="I61389" s="137" t="s">
        <v>74</v>
      </c>
    </row>
    <row r="61390" spans="9:9" x14ac:dyDescent="0.2">
      <c r="I61390" s="137" t="s">
        <v>74</v>
      </c>
    </row>
    <row r="61391" spans="9:9" x14ac:dyDescent="0.2">
      <c r="I61391" s="137" t="s">
        <v>74</v>
      </c>
    </row>
    <row r="61392" spans="9:9" x14ac:dyDescent="0.2">
      <c r="I61392" s="137" t="s">
        <v>74</v>
      </c>
    </row>
    <row r="61393" spans="9:9" x14ac:dyDescent="0.2">
      <c r="I61393" s="137" t="s">
        <v>74</v>
      </c>
    </row>
    <row r="61394" spans="9:9" x14ac:dyDescent="0.2">
      <c r="I61394" s="137" t="s">
        <v>74</v>
      </c>
    </row>
    <row r="61395" spans="9:9" x14ac:dyDescent="0.2">
      <c r="I61395" s="137" t="s">
        <v>74</v>
      </c>
    </row>
    <row r="61396" spans="9:9" x14ac:dyDescent="0.2">
      <c r="I61396" s="137" t="s">
        <v>74</v>
      </c>
    </row>
    <row r="61397" spans="9:9" x14ac:dyDescent="0.2">
      <c r="I61397" s="137" t="s">
        <v>74</v>
      </c>
    </row>
    <row r="61398" spans="9:9" x14ac:dyDescent="0.2">
      <c r="I61398" s="137" t="s">
        <v>74</v>
      </c>
    </row>
    <row r="61399" spans="9:9" x14ac:dyDescent="0.2">
      <c r="I61399" s="137" t="s">
        <v>74</v>
      </c>
    </row>
    <row r="61400" spans="9:9" x14ac:dyDescent="0.2">
      <c r="I61400" s="137" t="s">
        <v>74</v>
      </c>
    </row>
    <row r="61401" spans="9:9" x14ac:dyDescent="0.2">
      <c r="I61401" s="137" t="s">
        <v>74</v>
      </c>
    </row>
    <row r="61402" spans="9:9" x14ac:dyDescent="0.2">
      <c r="I61402" s="137" t="s">
        <v>74</v>
      </c>
    </row>
    <row r="61403" spans="9:9" x14ac:dyDescent="0.2">
      <c r="I61403" s="137" t="s">
        <v>74</v>
      </c>
    </row>
    <row r="61404" spans="9:9" x14ac:dyDescent="0.2">
      <c r="I61404" s="137" t="s">
        <v>74</v>
      </c>
    </row>
    <row r="61405" spans="9:9" x14ac:dyDescent="0.2">
      <c r="I61405" s="137" t="s">
        <v>74</v>
      </c>
    </row>
    <row r="61406" spans="9:9" x14ac:dyDescent="0.2">
      <c r="I61406" s="137" t="s">
        <v>74</v>
      </c>
    </row>
    <row r="61407" spans="9:9" x14ac:dyDescent="0.2">
      <c r="I61407" s="137" t="s">
        <v>74</v>
      </c>
    </row>
    <row r="61408" spans="9:9" x14ac:dyDescent="0.2">
      <c r="I61408" s="137" t="s">
        <v>74</v>
      </c>
    </row>
    <row r="61409" spans="9:9" x14ac:dyDescent="0.2">
      <c r="I61409" s="137" t="s">
        <v>74</v>
      </c>
    </row>
    <row r="61410" spans="9:9" x14ac:dyDescent="0.2">
      <c r="I61410" s="137" t="s">
        <v>74</v>
      </c>
    </row>
    <row r="61411" spans="9:9" x14ac:dyDescent="0.2">
      <c r="I61411" s="137" t="s">
        <v>74</v>
      </c>
    </row>
    <row r="61412" spans="9:9" x14ac:dyDescent="0.2">
      <c r="I61412" s="137" t="s">
        <v>74</v>
      </c>
    </row>
    <row r="61413" spans="9:9" x14ac:dyDescent="0.2">
      <c r="I61413" s="137" t="s">
        <v>74</v>
      </c>
    </row>
    <row r="61414" spans="9:9" x14ac:dyDescent="0.2">
      <c r="I61414" s="137" t="s">
        <v>74</v>
      </c>
    </row>
    <row r="61415" spans="9:9" x14ac:dyDescent="0.2">
      <c r="I61415" s="137" t="s">
        <v>74</v>
      </c>
    </row>
    <row r="61416" spans="9:9" x14ac:dyDescent="0.2">
      <c r="I61416" s="137" t="s">
        <v>74</v>
      </c>
    </row>
    <row r="61417" spans="9:9" x14ac:dyDescent="0.2">
      <c r="I61417" s="137" t="s">
        <v>74</v>
      </c>
    </row>
    <row r="61418" spans="9:9" x14ac:dyDescent="0.2">
      <c r="I61418" s="137" t="s">
        <v>74</v>
      </c>
    </row>
    <row r="61419" spans="9:9" x14ac:dyDescent="0.2">
      <c r="I61419" s="137" t="s">
        <v>74</v>
      </c>
    </row>
    <row r="61420" spans="9:9" x14ac:dyDescent="0.2">
      <c r="I61420" s="137" t="s">
        <v>74</v>
      </c>
    </row>
    <row r="61421" spans="9:9" x14ac:dyDescent="0.2">
      <c r="I61421" s="137" t="s">
        <v>74</v>
      </c>
    </row>
    <row r="61422" spans="9:9" x14ac:dyDescent="0.2">
      <c r="I61422" s="137" t="s">
        <v>74</v>
      </c>
    </row>
    <row r="61423" spans="9:9" x14ac:dyDescent="0.2">
      <c r="I61423" s="137" t="s">
        <v>74</v>
      </c>
    </row>
    <row r="61424" spans="9:9" x14ac:dyDescent="0.2">
      <c r="I61424" s="137" t="s">
        <v>74</v>
      </c>
    </row>
    <row r="61425" spans="9:9" x14ac:dyDescent="0.2">
      <c r="I61425" s="137" t="s">
        <v>74</v>
      </c>
    </row>
    <row r="61426" spans="9:9" x14ac:dyDescent="0.2">
      <c r="I61426" s="137" t="s">
        <v>74</v>
      </c>
    </row>
    <row r="61427" spans="9:9" x14ac:dyDescent="0.2">
      <c r="I61427" s="137" t="s">
        <v>74</v>
      </c>
    </row>
    <row r="61428" spans="9:9" x14ac:dyDescent="0.2">
      <c r="I61428" s="137" t="s">
        <v>74</v>
      </c>
    </row>
    <row r="61429" spans="9:9" x14ac:dyDescent="0.2">
      <c r="I61429" s="137" t="s">
        <v>74</v>
      </c>
    </row>
    <row r="61430" spans="9:9" x14ac:dyDescent="0.2">
      <c r="I61430" s="137" t="s">
        <v>74</v>
      </c>
    </row>
    <row r="61431" spans="9:9" x14ac:dyDescent="0.2">
      <c r="I61431" s="137" t="s">
        <v>74</v>
      </c>
    </row>
    <row r="61432" spans="9:9" x14ac:dyDescent="0.2">
      <c r="I61432" s="137" t="s">
        <v>74</v>
      </c>
    </row>
    <row r="61433" spans="9:9" x14ac:dyDescent="0.2">
      <c r="I61433" s="137" t="s">
        <v>74</v>
      </c>
    </row>
    <row r="61434" spans="9:9" x14ac:dyDescent="0.2">
      <c r="I61434" s="137" t="s">
        <v>74</v>
      </c>
    </row>
    <row r="61435" spans="9:9" x14ac:dyDescent="0.2">
      <c r="I61435" s="137" t="s">
        <v>74</v>
      </c>
    </row>
    <row r="61436" spans="9:9" x14ac:dyDescent="0.2">
      <c r="I61436" s="137" t="s">
        <v>74</v>
      </c>
    </row>
    <row r="61437" spans="9:9" x14ac:dyDescent="0.2">
      <c r="I61437" s="137" t="s">
        <v>74</v>
      </c>
    </row>
    <row r="61438" spans="9:9" x14ac:dyDescent="0.2">
      <c r="I61438" s="137" t="s">
        <v>74</v>
      </c>
    </row>
    <row r="61439" spans="9:9" x14ac:dyDescent="0.2">
      <c r="I61439" s="137" t="s">
        <v>74</v>
      </c>
    </row>
    <row r="61440" spans="9:9" x14ac:dyDescent="0.2">
      <c r="I61440" s="137" t="s">
        <v>74</v>
      </c>
    </row>
    <row r="61441" spans="9:9" x14ac:dyDescent="0.2">
      <c r="I61441" s="137" t="s">
        <v>74</v>
      </c>
    </row>
    <row r="61442" spans="9:9" x14ac:dyDescent="0.2">
      <c r="I61442" s="137" t="s">
        <v>74</v>
      </c>
    </row>
    <row r="61443" spans="9:9" x14ac:dyDescent="0.2">
      <c r="I61443" s="137" t="s">
        <v>74</v>
      </c>
    </row>
    <row r="61444" spans="9:9" x14ac:dyDescent="0.2">
      <c r="I61444" s="137" t="s">
        <v>74</v>
      </c>
    </row>
    <row r="61445" spans="9:9" x14ac:dyDescent="0.2">
      <c r="I61445" s="137" t="s">
        <v>74</v>
      </c>
    </row>
    <row r="61446" spans="9:9" x14ac:dyDescent="0.2">
      <c r="I61446" s="137" t="s">
        <v>74</v>
      </c>
    </row>
    <row r="61447" spans="9:9" x14ac:dyDescent="0.2">
      <c r="I61447" s="137" t="s">
        <v>74</v>
      </c>
    </row>
    <row r="61448" spans="9:9" x14ac:dyDescent="0.2">
      <c r="I61448" s="137" t="s">
        <v>74</v>
      </c>
    </row>
    <row r="61449" spans="9:9" x14ac:dyDescent="0.2">
      <c r="I61449" s="137" t="s">
        <v>74</v>
      </c>
    </row>
    <row r="61450" spans="9:9" x14ac:dyDescent="0.2">
      <c r="I61450" s="137" t="s">
        <v>74</v>
      </c>
    </row>
    <row r="61451" spans="9:9" x14ac:dyDescent="0.2">
      <c r="I61451" s="137" t="s">
        <v>74</v>
      </c>
    </row>
    <row r="61452" spans="9:9" x14ac:dyDescent="0.2">
      <c r="I61452" s="137" t="s">
        <v>74</v>
      </c>
    </row>
    <row r="61453" spans="9:9" x14ac:dyDescent="0.2">
      <c r="I61453" s="137" t="s">
        <v>74</v>
      </c>
    </row>
    <row r="61454" spans="9:9" x14ac:dyDescent="0.2">
      <c r="I61454" s="137" t="s">
        <v>74</v>
      </c>
    </row>
    <row r="61455" spans="9:9" x14ac:dyDescent="0.2">
      <c r="I61455" s="137" t="s">
        <v>74</v>
      </c>
    </row>
    <row r="61456" spans="9:9" x14ac:dyDescent="0.2">
      <c r="I61456" s="137" t="s">
        <v>74</v>
      </c>
    </row>
    <row r="61457" spans="9:9" x14ac:dyDescent="0.2">
      <c r="I61457" s="137" t="s">
        <v>74</v>
      </c>
    </row>
    <row r="61458" spans="9:9" x14ac:dyDescent="0.2">
      <c r="I61458" s="137" t="s">
        <v>74</v>
      </c>
    </row>
    <row r="61459" spans="9:9" x14ac:dyDescent="0.2">
      <c r="I61459" s="137" t="s">
        <v>74</v>
      </c>
    </row>
    <row r="61460" spans="9:9" x14ac:dyDescent="0.2">
      <c r="I61460" s="137" t="s">
        <v>74</v>
      </c>
    </row>
    <row r="61461" spans="9:9" x14ac:dyDescent="0.2">
      <c r="I61461" s="137" t="s">
        <v>74</v>
      </c>
    </row>
    <row r="61462" spans="9:9" x14ac:dyDescent="0.2">
      <c r="I61462" s="137" t="s">
        <v>74</v>
      </c>
    </row>
    <row r="61463" spans="9:9" x14ac:dyDescent="0.2">
      <c r="I61463" s="137" t="s">
        <v>74</v>
      </c>
    </row>
    <row r="61464" spans="9:9" x14ac:dyDescent="0.2">
      <c r="I61464" s="137" t="s">
        <v>74</v>
      </c>
    </row>
    <row r="61465" spans="9:9" x14ac:dyDescent="0.2">
      <c r="I61465" s="137" t="s">
        <v>74</v>
      </c>
    </row>
    <row r="61466" spans="9:9" x14ac:dyDescent="0.2">
      <c r="I61466" s="137" t="s">
        <v>74</v>
      </c>
    </row>
    <row r="61467" spans="9:9" x14ac:dyDescent="0.2">
      <c r="I61467" s="137" t="s">
        <v>74</v>
      </c>
    </row>
    <row r="61468" spans="9:9" x14ac:dyDescent="0.2">
      <c r="I61468" s="137" t="s">
        <v>74</v>
      </c>
    </row>
    <row r="61469" spans="9:9" x14ac:dyDescent="0.2">
      <c r="I61469" s="137" t="s">
        <v>74</v>
      </c>
    </row>
    <row r="61470" spans="9:9" x14ac:dyDescent="0.2">
      <c r="I61470" s="137" t="s">
        <v>74</v>
      </c>
    </row>
    <row r="61471" spans="9:9" x14ac:dyDescent="0.2">
      <c r="I61471" s="137" t="s">
        <v>74</v>
      </c>
    </row>
    <row r="61472" spans="9:9" x14ac:dyDescent="0.2">
      <c r="I61472" s="137" t="s">
        <v>74</v>
      </c>
    </row>
    <row r="61473" spans="9:9" x14ac:dyDescent="0.2">
      <c r="I61473" s="137" t="s">
        <v>74</v>
      </c>
    </row>
    <row r="61474" spans="9:9" x14ac:dyDescent="0.2">
      <c r="I61474" s="137" t="s">
        <v>74</v>
      </c>
    </row>
    <row r="61475" spans="9:9" x14ac:dyDescent="0.2">
      <c r="I61475" s="137" t="s">
        <v>74</v>
      </c>
    </row>
    <row r="61476" spans="9:9" x14ac:dyDescent="0.2">
      <c r="I61476" s="137" t="s">
        <v>74</v>
      </c>
    </row>
    <row r="61477" spans="9:9" x14ac:dyDescent="0.2">
      <c r="I61477" s="137" t="s">
        <v>74</v>
      </c>
    </row>
    <row r="61478" spans="9:9" x14ac:dyDescent="0.2">
      <c r="I61478" s="137" t="s">
        <v>74</v>
      </c>
    </row>
    <row r="61479" spans="9:9" x14ac:dyDescent="0.2">
      <c r="I61479" s="137" t="s">
        <v>74</v>
      </c>
    </row>
    <row r="61480" spans="9:9" x14ac:dyDescent="0.2">
      <c r="I61480" s="137" t="s">
        <v>74</v>
      </c>
    </row>
    <row r="61481" spans="9:9" x14ac:dyDescent="0.2">
      <c r="I61481" s="137" t="s">
        <v>74</v>
      </c>
    </row>
    <row r="61482" spans="9:9" x14ac:dyDescent="0.2">
      <c r="I61482" s="137" t="s">
        <v>74</v>
      </c>
    </row>
    <row r="61483" spans="9:9" x14ac:dyDescent="0.2">
      <c r="I61483" s="137" t="s">
        <v>74</v>
      </c>
    </row>
    <row r="61484" spans="9:9" x14ac:dyDescent="0.2">
      <c r="I61484" s="137" t="s">
        <v>74</v>
      </c>
    </row>
    <row r="61485" spans="9:9" x14ac:dyDescent="0.2">
      <c r="I61485" s="137" t="s">
        <v>74</v>
      </c>
    </row>
    <row r="61486" spans="9:9" x14ac:dyDescent="0.2">
      <c r="I61486" s="137" t="s">
        <v>74</v>
      </c>
    </row>
    <row r="61487" spans="9:9" x14ac:dyDescent="0.2">
      <c r="I61487" s="137" t="s">
        <v>74</v>
      </c>
    </row>
    <row r="61488" spans="9:9" x14ac:dyDescent="0.2">
      <c r="I61488" s="137" t="s">
        <v>74</v>
      </c>
    </row>
    <row r="61489" spans="9:9" x14ac:dyDescent="0.2">
      <c r="I61489" s="137" t="s">
        <v>74</v>
      </c>
    </row>
    <row r="61490" spans="9:9" x14ac:dyDescent="0.2">
      <c r="I61490" s="137" t="s">
        <v>74</v>
      </c>
    </row>
    <row r="61491" spans="9:9" x14ac:dyDescent="0.2">
      <c r="I61491" s="137" t="s">
        <v>74</v>
      </c>
    </row>
    <row r="61492" spans="9:9" x14ac:dyDescent="0.2">
      <c r="I61492" s="137" t="s">
        <v>74</v>
      </c>
    </row>
    <row r="61493" spans="9:9" x14ac:dyDescent="0.2">
      <c r="I61493" s="137" t="s">
        <v>74</v>
      </c>
    </row>
    <row r="61494" spans="9:9" x14ac:dyDescent="0.2">
      <c r="I61494" s="137" t="s">
        <v>74</v>
      </c>
    </row>
    <row r="61495" spans="9:9" x14ac:dyDescent="0.2">
      <c r="I61495" s="137" t="s">
        <v>74</v>
      </c>
    </row>
    <row r="61496" spans="9:9" x14ac:dyDescent="0.2">
      <c r="I61496" s="137" t="s">
        <v>74</v>
      </c>
    </row>
    <row r="61497" spans="9:9" x14ac:dyDescent="0.2">
      <c r="I61497" s="137" t="s">
        <v>74</v>
      </c>
    </row>
    <row r="61498" spans="9:9" x14ac:dyDescent="0.2">
      <c r="I61498" s="137" t="s">
        <v>74</v>
      </c>
    </row>
    <row r="61499" spans="9:9" x14ac:dyDescent="0.2">
      <c r="I61499" s="137" t="s">
        <v>74</v>
      </c>
    </row>
    <row r="61500" spans="9:9" x14ac:dyDescent="0.2">
      <c r="I61500" s="137" t="s">
        <v>74</v>
      </c>
    </row>
    <row r="61501" spans="9:9" x14ac:dyDescent="0.2">
      <c r="I61501" s="137" t="s">
        <v>74</v>
      </c>
    </row>
    <row r="61502" spans="9:9" x14ac:dyDescent="0.2">
      <c r="I61502" s="137" t="s">
        <v>74</v>
      </c>
    </row>
    <row r="61503" spans="9:9" x14ac:dyDescent="0.2">
      <c r="I61503" s="137" t="s">
        <v>74</v>
      </c>
    </row>
    <row r="61504" spans="9:9" x14ac:dyDescent="0.2">
      <c r="I61504" s="137" t="s">
        <v>74</v>
      </c>
    </row>
    <row r="61505" spans="9:9" x14ac:dyDescent="0.2">
      <c r="I61505" s="137" t="s">
        <v>74</v>
      </c>
    </row>
    <row r="61506" spans="9:9" x14ac:dyDescent="0.2">
      <c r="I61506" s="137" t="s">
        <v>74</v>
      </c>
    </row>
    <row r="61507" spans="9:9" x14ac:dyDescent="0.2">
      <c r="I61507" s="137" t="s">
        <v>74</v>
      </c>
    </row>
    <row r="61508" spans="9:9" x14ac:dyDescent="0.2">
      <c r="I61508" s="137" t="s">
        <v>74</v>
      </c>
    </row>
    <row r="61509" spans="9:9" x14ac:dyDescent="0.2">
      <c r="I61509" s="137" t="s">
        <v>74</v>
      </c>
    </row>
    <row r="61510" spans="9:9" x14ac:dyDescent="0.2">
      <c r="I61510" s="137" t="s">
        <v>74</v>
      </c>
    </row>
    <row r="61511" spans="9:9" x14ac:dyDescent="0.2">
      <c r="I61511" s="137" t="s">
        <v>74</v>
      </c>
    </row>
    <row r="61512" spans="9:9" x14ac:dyDescent="0.2">
      <c r="I61512" s="137" t="s">
        <v>74</v>
      </c>
    </row>
    <row r="61513" spans="9:9" x14ac:dyDescent="0.2">
      <c r="I61513" s="137" t="s">
        <v>74</v>
      </c>
    </row>
    <row r="61514" spans="9:9" x14ac:dyDescent="0.2">
      <c r="I61514" s="137" t="s">
        <v>74</v>
      </c>
    </row>
    <row r="61515" spans="9:9" x14ac:dyDescent="0.2">
      <c r="I61515" s="137" t="s">
        <v>74</v>
      </c>
    </row>
    <row r="61516" spans="9:9" x14ac:dyDescent="0.2">
      <c r="I61516" s="137" t="s">
        <v>74</v>
      </c>
    </row>
    <row r="61517" spans="9:9" x14ac:dyDescent="0.2">
      <c r="I61517" s="137" t="s">
        <v>74</v>
      </c>
    </row>
    <row r="61518" spans="9:9" x14ac:dyDescent="0.2">
      <c r="I61518" s="137" t="s">
        <v>74</v>
      </c>
    </row>
    <row r="61519" spans="9:9" x14ac:dyDescent="0.2">
      <c r="I61519" s="137" t="s">
        <v>74</v>
      </c>
    </row>
    <row r="61520" spans="9:9" x14ac:dyDescent="0.2">
      <c r="I61520" s="137" t="s">
        <v>74</v>
      </c>
    </row>
    <row r="61521" spans="9:9" x14ac:dyDescent="0.2">
      <c r="I61521" s="137" t="s">
        <v>74</v>
      </c>
    </row>
    <row r="61522" spans="9:9" x14ac:dyDescent="0.2">
      <c r="I61522" s="137" t="s">
        <v>74</v>
      </c>
    </row>
    <row r="61523" spans="9:9" x14ac:dyDescent="0.2">
      <c r="I61523" s="137" t="s">
        <v>74</v>
      </c>
    </row>
    <row r="61524" spans="9:9" x14ac:dyDescent="0.2">
      <c r="I61524" s="137" t="s">
        <v>74</v>
      </c>
    </row>
    <row r="61525" spans="9:9" x14ac:dyDescent="0.2">
      <c r="I61525" s="137" t="s">
        <v>74</v>
      </c>
    </row>
    <row r="61526" spans="9:9" x14ac:dyDescent="0.2">
      <c r="I61526" s="137" t="s">
        <v>74</v>
      </c>
    </row>
    <row r="61527" spans="9:9" x14ac:dyDescent="0.2">
      <c r="I61527" s="137" t="s">
        <v>74</v>
      </c>
    </row>
    <row r="61528" spans="9:9" x14ac:dyDescent="0.2">
      <c r="I61528" s="137" t="s">
        <v>74</v>
      </c>
    </row>
    <row r="61529" spans="9:9" x14ac:dyDescent="0.2">
      <c r="I61529" s="137" t="s">
        <v>74</v>
      </c>
    </row>
    <row r="61530" spans="9:9" x14ac:dyDescent="0.2">
      <c r="I61530" s="137" t="s">
        <v>74</v>
      </c>
    </row>
    <row r="61531" spans="9:9" x14ac:dyDescent="0.2">
      <c r="I61531" s="137" t="s">
        <v>74</v>
      </c>
    </row>
    <row r="61532" spans="9:9" x14ac:dyDescent="0.2">
      <c r="I61532" s="137" t="s">
        <v>74</v>
      </c>
    </row>
    <row r="61533" spans="9:9" x14ac:dyDescent="0.2">
      <c r="I61533" s="137" t="s">
        <v>74</v>
      </c>
    </row>
    <row r="61534" spans="9:9" x14ac:dyDescent="0.2">
      <c r="I61534" s="137" t="s">
        <v>74</v>
      </c>
    </row>
    <row r="61535" spans="9:9" x14ac:dyDescent="0.2">
      <c r="I61535" s="137" t="s">
        <v>74</v>
      </c>
    </row>
    <row r="61536" spans="9:9" x14ac:dyDescent="0.2">
      <c r="I61536" s="137" t="s">
        <v>74</v>
      </c>
    </row>
    <row r="61537" spans="9:9" x14ac:dyDescent="0.2">
      <c r="I61537" s="137" t="s">
        <v>74</v>
      </c>
    </row>
    <row r="61538" spans="9:9" x14ac:dyDescent="0.2">
      <c r="I61538" s="137" t="s">
        <v>74</v>
      </c>
    </row>
    <row r="61539" spans="9:9" x14ac:dyDescent="0.2">
      <c r="I61539" s="137" t="s">
        <v>74</v>
      </c>
    </row>
    <row r="61540" spans="9:9" x14ac:dyDescent="0.2">
      <c r="I61540" s="137" t="s">
        <v>74</v>
      </c>
    </row>
    <row r="61541" spans="9:9" x14ac:dyDescent="0.2">
      <c r="I61541" s="137" t="s">
        <v>74</v>
      </c>
    </row>
    <row r="61542" spans="9:9" x14ac:dyDescent="0.2">
      <c r="I61542" s="137" t="s">
        <v>74</v>
      </c>
    </row>
    <row r="61543" spans="9:9" x14ac:dyDescent="0.2">
      <c r="I61543" s="137" t="s">
        <v>74</v>
      </c>
    </row>
    <row r="61544" spans="9:9" x14ac:dyDescent="0.2">
      <c r="I61544" s="137" t="s">
        <v>74</v>
      </c>
    </row>
    <row r="61545" spans="9:9" x14ac:dyDescent="0.2">
      <c r="I61545" s="137" t="s">
        <v>74</v>
      </c>
    </row>
    <row r="61546" spans="9:9" x14ac:dyDescent="0.2">
      <c r="I61546" s="137" t="s">
        <v>74</v>
      </c>
    </row>
    <row r="61547" spans="9:9" x14ac:dyDescent="0.2">
      <c r="I61547" s="137" t="s">
        <v>74</v>
      </c>
    </row>
    <row r="61548" spans="9:9" x14ac:dyDescent="0.2">
      <c r="I61548" s="137" t="s">
        <v>74</v>
      </c>
    </row>
    <row r="61549" spans="9:9" x14ac:dyDescent="0.2">
      <c r="I61549" s="137" t="s">
        <v>74</v>
      </c>
    </row>
    <row r="61550" spans="9:9" x14ac:dyDescent="0.2">
      <c r="I61550" s="137" t="s">
        <v>74</v>
      </c>
    </row>
    <row r="61551" spans="9:9" x14ac:dyDescent="0.2">
      <c r="I61551" s="137" t="s">
        <v>74</v>
      </c>
    </row>
    <row r="61552" spans="9:9" x14ac:dyDescent="0.2">
      <c r="I61552" s="137" t="s">
        <v>74</v>
      </c>
    </row>
    <row r="61553" spans="9:9" x14ac:dyDescent="0.2">
      <c r="I61553" s="137" t="s">
        <v>74</v>
      </c>
    </row>
    <row r="61554" spans="9:9" x14ac:dyDescent="0.2">
      <c r="I61554" s="137" t="s">
        <v>74</v>
      </c>
    </row>
    <row r="61555" spans="9:9" x14ac:dyDescent="0.2">
      <c r="I61555" s="137" t="s">
        <v>74</v>
      </c>
    </row>
    <row r="61556" spans="9:9" x14ac:dyDescent="0.2">
      <c r="I61556" s="137" t="s">
        <v>74</v>
      </c>
    </row>
    <row r="61557" spans="9:9" x14ac:dyDescent="0.2">
      <c r="I61557" s="137" t="s">
        <v>74</v>
      </c>
    </row>
    <row r="61558" spans="9:9" x14ac:dyDescent="0.2">
      <c r="I61558" s="137" t="s">
        <v>74</v>
      </c>
    </row>
    <row r="61559" spans="9:9" x14ac:dyDescent="0.2">
      <c r="I61559" s="137" t="s">
        <v>74</v>
      </c>
    </row>
    <row r="61560" spans="9:9" x14ac:dyDescent="0.2">
      <c r="I61560" s="137" t="s">
        <v>74</v>
      </c>
    </row>
    <row r="61561" spans="9:9" x14ac:dyDescent="0.2">
      <c r="I61561" s="137" t="s">
        <v>74</v>
      </c>
    </row>
    <row r="61562" spans="9:9" x14ac:dyDescent="0.2">
      <c r="I61562" s="137" t="s">
        <v>74</v>
      </c>
    </row>
    <row r="61563" spans="9:9" x14ac:dyDescent="0.2">
      <c r="I61563" s="137" t="s">
        <v>74</v>
      </c>
    </row>
    <row r="61564" spans="9:9" x14ac:dyDescent="0.2">
      <c r="I61564" s="137" t="s">
        <v>74</v>
      </c>
    </row>
    <row r="61565" spans="9:9" x14ac:dyDescent="0.2">
      <c r="I61565" s="137" t="s">
        <v>74</v>
      </c>
    </row>
    <row r="61566" spans="9:9" x14ac:dyDescent="0.2">
      <c r="I61566" s="137" t="s">
        <v>74</v>
      </c>
    </row>
    <row r="61567" spans="9:9" x14ac:dyDescent="0.2">
      <c r="I61567" s="137" t="s">
        <v>74</v>
      </c>
    </row>
    <row r="61568" spans="9:9" x14ac:dyDescent="0.2">
      <c r="I61568" s="137" t="s">
        <v>74</v>
      </c>
    </row>
    <row r="61569" spans="9:9" x14ac:dyDescent="0.2">
      <c r="I61569" s="137" t="s">
        <v>74</v>
      </c>
    </row>
    <row r="61570" spans="9:9" x14ac:dyDescent="0.2">
      <c r="I61570" s="137" t="s">
        <v>74</v>
      </c>
    </row>
    <row r="61571" spans="9:9" x14ac:dyDescent="0.2">
      <c r="I61571" s="137" t="s">
        <v>74</v>
      </c>
    </row>
    <row r="61572" spans="9:9" x14ac:dyDescent="0.2">
      <c r="I61572" s="137" t="s">
        <v>74</v>
      </c>
    </row>
    <row r="61573" spans="9:9" x14ac:dyDescent="0.2">
      <c r="I61573" s="137" t="s">
        <v>74</v>
      </c>
    </row>
    <row r="61574" spans="9:9" x14ac:dyDescent="0.2">
      <c r="I61574" s="137" t="s">
        <v>74</v>
      </c>
    </row>
    <row r="61575" spans="9:9" x14ac:dyDescent="0.2">
      <c r="I61575" s="137" t="s">
        <v>74</v>
      </c>
    </row>
    <row r="61576" spans="9:9" x14ac:dyDescent="0.2">
      <c r="I61576" s="137" t="s">
        <v>74</v>
      </c>
    </row>
    <row r="61577" spans="9:9" x14ac:dyDescent="0.2">
      <c r="I61577" s="137" t="s">
        <v>74</v>
      </c>
    </row>
    <row r="61578" spans="9:9" x14ac:dyDescent="0.2">
      <c r="I61578" s="137" t="s">
        <v>74</v>
      </c>
    </row>
    <row r="61579" spans="9:9" x14ac:dyDescent="0.2">
      <c r="I61579" s="137" t="s">
        <v>74</v>
      </c>
    </row>
    <row r="61580" spans="9:9" x14ac:dyDescent="0.2">
      <c r="I61580" s="137" t="s">
        <v>74</v>
      </c>
    </row>
    <row r="61581" spans="9:9" x14ac:dyDescent="0.2">
      <c r="I61581" s="137" t="s">
        <v>74</v>
      </c>
    </row>
    <row r="61582" spans="9:9" x14ac:dyDescent="0.2">
      <c r="I61582" s="137" t="s">
        <v>74</v>
      </c>
    </row>
    <row r="61583" spans="9:9" x14ac:dyDescent="0.2">
      <c r="I61583" s="137" t="s">
        <v>74</v>
      </c>
    </row>
    <row r="61584" spans="9:9" x14ac:dyDescent="0.2">
      <c r="I61584" s="137" t="s">
        <v>74</v>
      </c>
    </row>
    <row r="61585" spans="9:9" x14ac:dyDescent="0.2">
      <c r="I61585" s="137" t="s">
        <v>74</v>
      </c>
    </row>
    <row r="61586" spans="9:9" x14ac:dyDescent="0.2">
      <c r="I61586" s="137" t="s">
        <v>74</v>
      </c>
    </row>
    <row r="61587" spans="9:9" x14ac:dyDescent="0.2">
      <c r="I61587" s="137" t="s">
        <v>74</v>
      </c>
    </row>
    <row r="61588" spans="9:9" x14ac:dyDescent="0.2">
      <c r="I61588" s="137" t="s">
        <v>74</v>
      </c>
    </row>
    <row r="61589" spans="9:9" x14ac:dyDescent="0.2">
      <c r="I61589" s="137" t="s">
        <v>74</v>
      </c>
    </row>
    <row r="61590" spans="9:9" x14ac:dyDescent="0.2">
      <c r="I61590" s="137" t="s">
        <v>74</v>
      </c>
    </row>
    <row r="61591" spans="9:9" x14ac:dyDescent="0.2">
      <c r="I61591" s="137" t="s">
        <v>74</v>
      </c>
    </row>
    <row r="61592" spans="9:9" x14ac:dyDescent="0.2">
      <c r="I61592" s="137" t="s">
        <v>74</v>
      </c>
    </row>
    <row r="61593" spans="9:9" x14ac:dyDescent="0.2">
      <c r="I61593" s="137" t="s">
        <v>74</v>
      </c>
    </row>
    <row r="61594" spans="9:9" x14ac:dyDescent="0.2">
      <c r="I61594" s="137" t="s">
        <v>74</v>
      </c>
    </row>
    <row r="61595" spans="9:9" x14ac:dyDescent="0.2">
      <c r="I61595" s="137" t="s">
        <v>74</v>
      </c>
    </row>
    <row r="61596" spans="9:9" x14ac:dyDescent="0.2">
      <c r="I61596" s="137" t="s">
        <v>74</v>
      </c>
    </row>
    <row r="61597" spans="9:9" x14ac:dyDescent="0.2">
      <c r="I61597" s="137" t="s">
        <v>74</v>
      </c>
    </row>
    <row r="61598" spans="9:9" x14ac:dyDescent="0.2">
      <c r="I61598" s="137" t="s">
        <v>74</v>
      </c>
    </row>
    <row r="61599" spans="9:9" x14ac:dyDescent="0.2">
      <c r="I61599" s="137" t="s">
        <v>74</v>
      </c>
    </row>
    <row r="61600" spans="9:9" x14ac:dyDescent="0.2">
      <c r="I61600" s="137" t="s">
        <v>74</v>
      </c>
    </row>
    <row r="61601" spans="9:9" x14ac:dyDescent="0.2">
      <c r="I61601" s="137" t="s">
        <v>74</v>
      </c>
    </row>
    <row r="61602" spans="9:9" x14ac:dyDescent="0.2">
      <c r="I61602" s="137" t="s">
        <v>74</v>
      </c>
    </row>
    <row r="61603" spans="9:9" x14ac:dyDescent="0.2">
      <c r="I61603" s="137" t="s">
        <v>74</v>
      </c>
    </row>
    <row r="61604" spans="9:9" x14ac:dyDescent="0.2">
      <c r="I61604" s="137" t="s">
        <v>74</v>
      </c>
    </row>
    <row r="61605" spans="9:9" x14ac:dyDescent="0.2">
      <c r="I61605" s="137" t="s">
        <v>74</v>
      </c>
    </row>
    <row r="61606" spans="9:9" x14ac:dyDescent="0.2">
      <c r="I61606" s="137" t="s">
        <v>74</v>
      </c>
    </row>
    <row r="61607" spans="9:9" x14ac:dyDescent="0.2">
      <c r="I61607" s="137" t="s">
        <v>74</v>
      </c>
    </row>
    <row r="61608" spans="9:9" x14ac:dyDescent="0.2">
      <c r="I61608" s="137" t="s">
        <v>74</v>
      </c>
    </row>
    <row r="61609" spans="9:9" x14ac:dyDescent="0.2">
      <c r="I61609" s="137" t="s">
        <v>74</v>
      </c>
    </row>
    <row r="61610" spans="9:9" x14ac:dyDescent="0.2">
      <c r="I61610" s="137" t="s">
        <v>74</v>
      </c>
    </row>
    <row r="61611" spans="9:9" x14ac:dyDescent="0.2">
      <c r="I61611" s="137" t="s">
        <v>74</v>
      </c>
    </row>
    <row r="61612" spans="9:9" x14ac:dyDescent="0.2">
      <c r="I61612" s="137" t="s">
        <v>74</v>
      </c>
    </row>
    <row r="61613" spans="9:9" x14ac:dyDescent="0.2">
      <c r="I61613" s="137" t="s">
        <v>74</v>
      </c>
    </row>
    <row r="61614" spans="9:9" x14ac:dyDescent="0.2">
      <c r="I61614" s="137" t="s">
        <v>74</v>
      </c>
    </row>
    <row r="61615" spans="9:9" x14ac:dyDescent="0.2">
      <c r="I61615" s="137" t="s">
        <v>74</v>
      </c>
    </row>
    <row r="61616" spans="9:9" x14ac:dyDescent="0.2">
      <c r="I61616" s="137" t="s">
        <v>74</v>
      </c>
    </row>
    <row r="61617" spans="9:9" x14ac:dyDescent="0.2">
      <c r="I61617" s="137" t="s">
        <v>74</v>
      </c>
    </row>
    <row r="61618" spans="9:9" x14ac:dyDescent="0.2">
      <c r="I61618" s="137" t="s">
        <v>74</v>
      </c>
    </row>
    <row r="61619" spans="9:9" x14ac:dyDescent="0.2">
      <c r="I61619" s="137" t="s">
        <v>74</v>
      </c>
    </row>
    <row r="61620" spans="9:9" x14ac:dyDescent="0.2">
      <c r="I61620" s="137" t="s">
        <v>74</v>
      </c>
    </row>
    <row r="61621" spans="9:9" x14ac:dyDescent="0.2">
      <c r="I61621" s="137" t="s">
        <v>74</v>
      </c>
    </row>
    <row r="61622" spans="9:9" x14ac:dyDescent="0.2">
      <c r="I61622" s="137" t="s">
        <v>74</v>
      </c>
    </row>
    <row r="61623" spans="9:9" x14ac:dyDescent="0.2">
      <c r="I61623" s="137" t="s">
        <v>74</v>
      </c>
    </row>
    <row r="61624" spans="9:9" x14ac:dyDescent="0.2">
      <c r="I61624" s="137" t="s">
        <v>74</v>
      </c>
    </row>
    <row r="61625" spans="9:9" x14ac:dyDescent="0.2">
      <c r="I61625" s="137" t="s">
        <v>74</v>
      </c>
    </row>
    <row r="61626" spans="9:9" x14ac:dyDescent="0.2">
      <c r="I61626" s="137" t="s">
        <v>74</v>
      </c>
    </row>
    <row r="61627" spans="9:9" x14ac:dyDescent="0.2">
      <c r="I61627" s="137" t="s">
        <v>74</v>
      </c>
    </row>
    <row r="61628" spans="9:9" x14ac:dyDescent="0.2">
      <c r="I61628" s="137" t="s">
        <v>74</v>
      </c>
    </row>
    <row r="61629" spans="9:9" x14ac:dyDescent="0.2">
      <c r="I61629" s="137" t="s">
        <v>74</v>
      </c>
    </row>
    <row r="61630" spans="9:9" x14ac:dyDescent="0.2">
      <c r="I61630" s="137" t="s">
        <v>74</v>
      </c>
    </row>
    <row r="61631" spans="9:9" x14ac:dyDescent="0.2">
      <c r="I61631" s="137" t="s">
        <v>74</v>
      </c>
    </row>
    <row r="61632" spans="9:9" x14ac:dyDescent="0.2">
      <c r="I61632" s="137" t="s">
        <v>74</v>
      </c>
    </row>
    <row r="61633" spans="9:9" x14ac:dyDescent="0.2">
      <c r="I61633" s="137" t="s">
        <v>74</v>
      </c>
    </row>
    <row r="61634" spans="9:9" x14ac:dyDescent="0.2">
      <c r="I61634" s="137" t="s">
        <v>74</v>
      </c>
    </row>
    <row r="61635" spans="9:9" x14ac:dyDescent="0.2">
      <c r="I61635" s="137" t="s">
        <v>74</v>
      </c>
    </row>
    <row r="61636" spans="9:9" x14ac:dyDescent="0.2">
      <c r="I61636" s="137" t="s">
        <v>74</v>
      </c>
    </row>
    <row r="61637" spans="9:9" x14ac:dyDescent="0.2">
      <c r="I61637" s="137" t="s">
        <v>74</v>
      </c>
    </row>
    <row r="61638" spans="9:9" x14ac:dyDescent="0.2">
      <c r="I61638" s="137" t="s">
        <v>74</v>
      </c>
    </row>
    <row r="61639" spans="9:9" x14ac:dyDescent="0.2">
      <c r="I61639" s="137" t="s">
        <v>74</v>
      </c>
    </row>
    <row r="61640" spans="9:9" x14ac:dyDescent="0.2">
      <c r="I61640" s="137" t="s">
        <v>74</v>
      </c>
    </row>
    <row r="61641" spans="9:9" x14ac:dyDescent="0.2">
      <c r="I61641" s="137" t="s">
        <v>74</v>
      </c>
    </row>
    <row r="61642" spans="9:9" x14ac:dyDescent="0.2">
      <c r="I61642" s="137" t="s">
        <v>74</v>
      </c>
    </row>
    <row r="61643" spans="9:9" x14ac:dyDescent="0.2">
      <c r="I61643" s="137" t="s">
        <v>74</v>
      </c>
    </row>
    <row r="61644" spans="9:9" x14ac:dyDescent="0.2">
      <c r="I61644" s="137" t="s">
        <v>74</v>
      </c>
    </row>
    <row r="61645" spans="9:9" x14ac:dyDescent="0.2">
      <c r="I61645" s="137" t="s">
        <v>74</v>
      </c>
    </row>
    <row r="61646" spans="9:9" x14ac:dyDescent="0.2">
      <c r="I61646" s="137" t="s">
        <v>74</v>
      </c>
    </row>
    <row r="61647" spans="9:9" x14ac:dyDescent="0.2">
      <c r="I61647" s="137" t="s">
        <v>74</v>
      </c>
    </row>
    <row r="61648" spans="9:9" x14ac:dyDescent="0.2">
      <c r="I61648" s="137" t="s">
        <v>74</v>
      </c>
    </row>
    <row r="61649" spans="9:9" x14ac:dyDescent="0.2">
      <c r="I61649" s="137" t="s">
        <v>74</v>
      </c>
    </row>
    <row r="61650" spans="9:9" x14ac:dyDescent="0.2">
      <c r="I61650" s="137" t="s">
        <v>74</v>
      </c>
    </row>
    <row r="61651" spans="9:9" x14ac:dyDescent="0.2">
      <c r="I61651" s="137" t="s">
        <v>74</v>
      </c>
    </row>
    <row r="61652" spans="9:9" x14ac:dyDescent="0.2">
      <c r="I61652" s="137" t="s">
        <v>74</v>
      </c>
    </row>
    <row r="61653" spans="9:9" x14ac:dyDescent="0.2">
      <c r="I61653" s="137" t="s">
        <v>74</v>
      </c>
    </row>
    <row r="61654" spans="9:9" x14ac:dyDescent="0.2">
      <c r="I61654" s="137" t="s">
        <v>74</v>
      </c>
    </row>
    <row r="61655" spans="9:9" x14ac:dyDescent="0.2">
      <c r="I61655" s="137" t="s">
        <v>74</v>
      </c>
    </row>
    <row r="61656" spans="9:9" x14ac:dyDescent="0.2">
      <c r="I61656" s="137" t="s">
        <v>74</v>
      </c>
    </row>
    <row r="61657" spans="9:9" x14ac:dyDescent="0.2">
      <c r="I61657" s="137" t="s">
        <v>74</v>
      </c>
    </row>
    <row r="61658" spans="9:9" x14ac:dyDescent="0.2">
      <c r="I61658" s="137" t="s">
        <v>74</v>
      </c>
    </row>
    <row r="61659" spans="9:9" x14ac:dyDescent="0.2">
      <c r="I61659" s="137" t="s">
        <v>74</v>
      </c>
    </row>
    <row r="61660" spans="9:9" x14ac:dyDescent="0.2">
      <c r="I61660" s="137" t="s">
        <v>74</v>
      </c>
    </row>
    <row r="61661" spans="9:9" x14ac:dyDescent="0.2">
      <c r="I61661" s="137" t="s">
        <v>74</v>
      </c>
    </row>
    <row r="61662" spans="9:9" x14ac:dyDescent="0.2">
      <c r="I61662" s="137" t="s">
        <v>74</v>
      </c>
    </row>
    <row r="61663" spans="9:9" x14ac:dyDescent="0.2">
      <c r="I61663" s="137" t="s">
        <v>74</v>
      </c>
    </row>
    <row r="61664" spans="9:9" x14ac:dyDescent="0.2">
      <c r="I61664" s="137" t="s">
        <v>74</v>
      </c>
    </row>
    <row r="61665" spans="9:9" x14ac:dyDescent="0.2">
      <c r="I61665" s="137" t="s">
        <v>74</v>
      </c>
    </row>
    <row r="61666" spans="9:9" x14ac:dyDescent="0.2">
      <c r="I61666" s="137" t="s">
        <v>74</v>
      </c>
    </row>
    <row r="61667" spans="9:9" x14ac:dyDescent="0.2">
      <c r="I61667" s="137" t="s">
        <v>74</v>
      </c>
    </row>
    <row r="61668" spans="9:9" x14ac:dyDescent="0.2">
      <c r="I61668" s="137" t="s">
        <v>74</v>
      </c>
    </row>
    <row r="61669" spans="9:9" x14ac:dyDescent="0.2">
      <c r="I61669" s="137" t="s">
        <v>74</v>
      </c>
    </row>
    <row r="61670" spans="9:9" x14ac:dyDescent="0.2">
      <c r="I61670" s="137" t="s">
        <v>74</v>
      </c>
    </row>
    <row r="61671" spans="9:9" x14ac:dyDescent="0.2">
      <c r="I61671" s="137" t="s">
        <v>74</v>
      </c>
    </row>
    <row r="61672" spans="9:9" x14ac:dyDescent="0.2">
      <c r="I61672" s="137" t="s">
        <v>74</v>
      </c>
    </row>
    <row r="61673" spans="9:9" x14ac:dyDescent="0.2">
      <c r="I61673" s="137" t="s">
        <v>74</v>
      </c>
    </row>
    <row r="61674" spans="9:9" x14ac:dyDescent="0.2">
      <c r="I61674" s="137" t="s">
        <v>74</v>
      </c>
    </row>
    <row r="61675" spans="9:9" x14ac:dyDescent="0.2">
      <c r="I61675" s="137" t="s">
        <v>74</v>
      </c>
    </row>
    <row r="61676" spans="9:9" x14ac:dyDescent="0.2">
      <c r="I61676" s="137" t="s">
        <v>74</v>
      </c>
    </row>
    <row r="61677" spans="9:9" x14ac:dyDescent="0.2">
      <c r="I61677" s="137" t="s">
        <v>74</v>
      </c>
    </row>
    <row r="61678" spans="9:9" x14ac:dyDescent="0.2">
      <c r="I61678" s="137" t="s">
        <v>74</v>
      </c>
    </row>
    <row r="61679" spans="9:9" x14ac:dyDescent="0.2">
      <c r="I61679" s="137" t="s">
        <v>74</v>
      </c>
    </row>
    <row r="61680" spans="9:9" x14ac:dyDescent="0.2">
      <c r="I61680" s="137" t="s">
        <v>74</v>
      </c>
    </row>
    <row r="61681" spans="9:9" x14ac:dyDescent="0.2">
      <c r="I61681" s="137" t="s">
        <v>74</v>
      </c>
    </row>
    <row r="61682" spans="9:9" x14ac:dyDescent="0.2">
      <c r="I61682" s="137" t="s">
        <v>74</v>
      </c>
    </row>
    <row r="61683" spans="9:9" x14ac:dyDescent="0.2">
      <c r="I61683" s="137" t="s">
        <v>74</v>
      </c>
    </row>
    <row r="61684" spans="9:9" x14ac:dyDescent="0.2">
      <c r="I61684" s="137" t="s">
        <v>74</v>
      </c>
    </row>
    <row r="61685" spans="9:9" x14ac:dyDescent="0.2">
      <c r="I61685" s="137" t="s">
        <v>74</v>
      </c>
    </row>
    <row r="61686" spans="9:9" x14ac:dyDescent="0.2">
      <c r="I61686" s="137" t="s">
        <v>74</v>
      </c>
    </row>
    <row r="61687" spans="9:9" x14ac:dyDescent="0.2">
      <c r="I61687" s="137" t="s">
        <v>74</v>
      </c>
    </row>
    <row r="61688" spans="9:9" x14ac:dyDescent="0.2">
      <c r="I61688" s="137" t="s">
        <v>74</v>
      </c>
    </row>
    <row r="61689" spans="9:9" x14ac:dyDescent="0.2">
      <c r="I61689" s="137" t="s">
        <v>74</v>
      </c>
    </row>
    <row r="61690" spans="9:9" x14ac:dyDescent="0.2">
      <c r="I61690" s="137" t="s">
        <v>74</v>
      </c>
    </row>
    <row r="61691" spans="9:9" x14ac:dyDescent="0.2">
      <c r="I61691" s="137" t="s">
        <v>74</v>
      </c>
    </row>
    <row r="61692" spans="9:9" x14ac:dyDescent="0.2">
      <c r="I61692" s="137" t="s">
        <v>74</v>
      </c>
    </row>
    <row r="61693" spans="9:9" x14ac:dyDescent="0.2">
      <c r="I61693" s="137" t="s">
        <v>74</v>
      </c>
    </row>
    <row r="61694" spans="9:9" x14ac:dyDescent="0.2">
      <c r="I61694" s="137" t="s">
        <v>74</v>
      </c>
    </row>
    <row r="61695" spans="9:9" x14ac:dyDescent="0.2">
      <c r="I61695" s="137" t="s">
        <v>74</v>
      </c>
    </row>
    <row r="61696" spans="9:9" x14ac:dyDescent="0.2">
      <c r="I61696" s="137" t="s">
        <v>74</v>
      </c>
    </row>
    <row r="61697" spans="9:9" x14ac:dyDescent="0.2">
      <c r="I61697" s="137" t="s">
        <v>74</v>
      </c>
    </row>
    <row r="61698" spans="9:9" x14ac:dyDescent="0.2">
      <c r="I61698" s="137" t="s">
        <v>74</v>
      </c>
    </row>
    <row r="61699" spans="9:9" x14ac:dyDescent="0.2">
      <c r="I61699" s="137" t="s">
        <v>74</v>
      </c>
    </row>
    <row r="61700" spans="9:9" x14ac:dyDescent="0.2">
      <c r="I61700" s="137" t="s">
        <v>74</v>
      </c>
    </row>
    <row r="61701" spans="9:9" x14ac:dyDescent="0.2">
      <c r="I61701" s="137" t="s">
        <v>74</v>
      </c>
    </row>
    <row r="61702" spans="9:9" x14ac:dyDescent="0.2">
      <c r="I61702" s="137" t="s">
        <v>74</v>
      </c>
    </row>
    <row r="61703" spans="9:9" x14ac:dyDescent="0.2">
      <c r="I61703" s="137" t="s">
        <v>74</v>
      </c>
    </row>
    <row r="61704" spans="9:9" x14ac:dyDescent="0.2">
      <c r="I61704" s="137" t="s">
        <v>74</v>
      </c>
    </row>
    <row r="61705" spans="9:9" x14ac:dyDescent="0.2">
      <c r="I61705" s="137" t="s">
        <v>74</v>
      </c>
    </row>
    <row r="61706" spans="9:9" x14ac:dyDescent="0.2">
      <c r="I61706" s="137" t="s">
        <v>74</v>
      </c>
    </row>
    <row r="61707" spans="9:9" x14ac:dyDescent="0.2">
      <c r="I61707" s="137" t="s">
        <v>74</v>
      </c>
    </row>
    <row r="61708" spans="9:9" x14ac:dyDescent="0.2">
      <c r="I61708" s="137" t="s">
        <v>74</v>
      </c>
    </row>
    <row r="61709" spans="9:9" x14ac:dyDescent="0.2">
      <c r="I61709" s="137" t="s">
        <v>74</v>
      </c>
    </row>
    <row r="61710" spans="9:9" x14ac:dyDescent="0.2">
      <c r="I61710" s="137" t="s">
        <v>74</v>
      </c>
    </row>
    <row r="61711" spans="9:9" x14ac:dyDescent="0.2">
      <c r="I61711" s="137" t="s">
        <v>74</v>
      </c>
    </row>
    <row r="61712" spans="9:9" x14ac:dyDescent="0.2">
      <c r="I61712" s="137" t="s">
        <v>74</v>
      </c>
    </row>
    <row r="61713" spans="9:9" x14ac:dyDescent="0.2">
      <c r="I61713" s="137" t="s">
        <v>74</v>
      </c>
    </row>
    <row r="61714" spans="9:9" x14ac:dyDescent="0.2">
      <c r="I61714" s="137" t="s">
        <v>74</v>
      </c>
    </row>
    <row r="61715" spans="9:9" x14ac:dyDescent="0.2">
      <c r="I61715" s="137" t="s">
        <v>74</v>
      </c>
    </row>
    <row r="61716" spans="9:9" x14ac:dyDescent="0.2">
      <c r="I61716" s="137" t="s">
        <v>74</v>
      </c>
    </row>
    <row r="61717" spans="9:9" x14ac:dyDescent="0.2">
      <c r="I61717" s="137" t="s">
        <v>74</v>
      </c>
    </row>
    <row r="61718" spans="9:9" x14ac:dyDescent="0.2">
      <c r="I61718" s="137" t="s">
        <v>74</v>
      </c>
    </row>
    <row r="61719" spans="9:9" x14ac:dyDescent="0.2">
      <c r="I61719" s="137" t="s">
        <v>74</v>
      </c>
    </row>
    <row r="61720" spans="9:9" x14ac:dyDescent="0.2">
      <c r="I61720" s="137" t="s">
        <v>74</v>
      </c>
    </row>
    <row r="61721" spans="9:9" x14ac:dyDescent="0.2">
      <c r="I61721" s="137" t="s">
        <v>74</v>
      </c>
    </row>
    <row r="61722" spans="9:9" x14ac:dyDescent="0.2">
      <c r="I61722" s="137" t="s">
        <v>74</v>
      </c>
    </row>
    <row r="61723" spans="9:9" x14ac:dyDescent="0.2">
      <c r="I61723" s="137" t="s">
        <v>74</v>
      </c>
    </row>
    <row r="61724" spans="9:9" x14ac:dyDescent="0.2">
      <c r="I61724" s="137" t="s">
        <v>74</v>
      </c>
    </row>
    <row r="61725" spans="9:9" x14ac:dyDescent="0.2">
      <c r="I61725" s="137" t="s">
        <v>74</v>
      </c>
    </row>
    <row r="61726" spans="9:9" x14ac:dyDescent="0.2">
      <c r="I61726" s="137" t="s">
        <v>74</v>
      </c>
    </row>
    <row r="61727" spans="9:9" x14ac:dyDescent="0.2">
      <c r="I61727" s="137" t="s">
        <v>74</v>
      </c>
    </row>
    <row r="61728" spans="9:9" x14ac:dyDescent="0.2">
      <c r="I61728" s="137" t="s">
        <v>74</v>
      </c>
    </row>
    <row r="61729" spans="9:9" x14ac:dyDescent="0.2">
      <c r="I61729" s="137" t="s">
        <v>74</v>
      </c>
    </row>
    <row r="61730" spans="9:9" x14ac:dyDescent="0.2">
      <c r="I61730" s="137" t="s">
        <v>74</v>
      </c>
    </row>
    <row r="61731" spans="9:9" x14ac:dyDescent="0.2">
      <c r="I61731" s="137" t="s">
        <v>74</v>
      </c>
    </row>
    <row r="61732" spans="9:9" x14ac:dyDescent="0.2">
      <c r="I61732" s="137" t="s">
        <v>74</v>
      </c>
    </row>
    <row r="61733" spans="9:9" x14ac:dyDescent="0.2">
      <c r="I61733" s="137" t="s">
        <v>74</v>
      </c>
    </row>
    <row r="61734" spans="9:9" x14ac:dyDescent="0.2">
      <c r="I61734" s="137" t="s">
        <v>74</v>
      </c>
    </row>
    <row r="61735" spans="9:9" x14ac:dyDescent="0.2">
      <c r="I61735" s="137" t="s">
        <v>74</v>
      </c>
    </row>
    <row r="61736" spans="9:9" x14ac:dyDescent="0.2">
      <c r="I61736" s="137" t="s">
        <v>74</v>
      </c>
    </row>
    <row r="61737" spans="9:9" x14ac:dyDescent="0.2">
      <c r="I61737" s="137" t="s">
        <v>74</v>
      </c>
    </row>
    <row r="61738" spans="9:9" x14ac:dyDescent="0.2">
      <c r="I61738" s="137" t="s">
        <v>74</v>
      </c>
    </row>
    <row r="61739" spans="9:9" x14ac:dyDescent="0.2">
      <c r="I61739" s="137" t="s">
        <v>74</v>
      </c>
    </row>
    <row r="61740" spans="9:9" x14ac:dyDescent="0.2">
      <c r="I61740" s="137" t="s">
        <v>74</v>
      </c>
    </row>
    <row r="61741" spans="9:9" x14ac:dyDescent="0.2">
      <c r="I61741" s="137" t="s">
        <v>74</v>
      </c>
    </row>
    <row r="61742" spans="9:9" x14ac:dyDescent="0.2">
      <c r="I61742" s="137" t="s">
        <v>74</v>
      </c>
    </row>
    <row r="61743" spans="9:9" x14ac:dyDescent="0.2">
      <c r="I61743" s="137" t="s">
        <v>74</v>
      </c>
    </row>
    <row r="61744" spans="9:9" x14ac:dyDescent="0.2">
      <c r="I61744" s="137" t="s">
        <v>74</v>
      </c>
    </row>
    <row r="61745" spans="9:9" x14ac:dyDescent="0.2">
      <c r="I61745" s="137" t="s">
        <v>74</v>
      </c>
    </row>
    <row r="61746" spans="9:9" x14ac:dyDescent="0.2">
      <c r="I61746" s="137" t="s">
        <v>74</v>
      </c>
    </row>
    <row r="61747" spans="9:9" x14ac:dyDescent="0.2">
      <c r="I61747" s="137" t="s">
        <v>74</v>
      </c>
    </row>
    <row r="61748" spans="9:9" x14ac:dyDescent="0.2">
      <c r="I61748" s="137" t="s">
        <v>74</v>
      </c>
    </row>
    <row r="61749" spans="9:9" x14ac:dyDescent="0.2">
      <c r="I61749" s="137" t="s">
        <v>74</v>
      </c>
    </row>
    <row r="61750" spans="9:9" x14ac:dyDescent="0.2">
      <c r="I61750" s="137" t="s">
        <v>74</v>
      </c>
    </row>
    <row r="61751" spans="9:9" x14ac:dyDescent="0.2">
      <c r="I61751" s="137" t="s">
        <v>74</v>
      </c>
    </row>
    <row r="61752" spans="9:9" x14ac:dyDescent="0.2">
      <c r="I61752" s="137" t="s">
        <v>74</v>
      </c>
    </row>
    <row r="61753" spans="9:9" x14ac:dyDescent="0.2">
      <c r="I61753" s="137" t="s">
        <v>74</v>
      </c>
    </row>
    <row r="61754" spans="9:9" x14ac:dyDescent="0.2">
      <c r="I61754" s="137" t="s">
        <v>74</v>
      </c>
    </row>
    <row r="61755" spans="9:9" x14ac:dyDescent="0.2">
      <c r="I61755" s="137" t="s">
        <v>74</v>
      </c>
    </row>
    <row r="61756" spans="9:9" x14ac:dyDescent="0.2">
      <c r="I61756" s="137" t="s">
        <v>74</v>
      </c>
    </row>
    <row r="61757" spans="9:9" x14ac:dyDescent="0.2">
      <c r="I61757" s="137" t="s">
        <v>74</v>
      </c>
    </row>
    <row r="61758" spans="9:9" x14ac:dyDescent="0.2">
      <c r="I61758" s="137" t="s">
        <v>74</v>
      </c>
    </row>
    <row r="61759" spans="9:9" x14ac:dyDescent="0.2">
      <c r="I61759" s="137" t="s">
        <v>74</v>
      </c>
    </row>
    <row r="61760" spans="9:9" x14ac:dyDescent="0.2">
      <c r="I61760" s="137" t="s">
        <v>74</v>
      </c>
    </row>
    <row r="61761" spans="9:9" x14ac:dyDescent="0.2">
      <c r="I61761" s="137" t="s">
        <v>74</v>
      </c>
    </row>
    <row r="61762" spans="9:9" x14ac:dyDescent="0.2">
      <c r="I61762" s="137" t="s">
        <v>74</v>
      </c>
    </row>
    <row r="61763" spans="9:9" x14ac:dyDescent="0.2">
      <c r="I61763" s="137" t="s">
        <v>74</v>
      </c>
    </row>
    <row r="61764" spans="9:9" x14ac:dyDescent="0.2">
      <c r="I61764" s="137" t="s">
        <v>74</v>
      </c>
    </row>
    <row r="61765" spans="9:9" x14ac:dyDescent="0.2">
      <c r="I61765" s="137" t="s">
        <v>74</v>
      </c>
    </row>
    <row r="61766" spans="9:9" x14ac:dyDescent="0.2">
      <c r="I61766" s="137" t="s">
        <v>74</v>
      </c>
    </row>
    <row r="61767" spans="9:9" x14ac:dyDescent="0.2">
      <c r="I61767" s="137" t="s">
        <v>74</v>
      </c>
    </row>
    <row r="61768" spans="9:9" x14ac:dyDescent="0.2">
      <c r="I61768" s="137" t="s">
        <v>74</v>
      </c>
    </row>
    <row r="61769" spans="9:9" x14ac:dyDescent="0.2">
      <c r="I61769" s="137" t="s">
        <v>74</v>
      </c>
    </row>
    <row r="61770" spans="9:9" x14ac:dyDescent="0.2">
      <c r="I61770" s="137" t="s">
        <v>74</v>
      </c>
    </row>
    <row r="61771" spans="9:9" x14ac:dyDescent="0.2">
      <c r="I61771" s="137" t="s">
        <v>74</v>
      </c>
    </row>
    <row r="61772" spans="9:9" x14ac:dyDescent="0.2">
      <c r="I61772" s="137" t="s">
        <v>74</v>
      </c>
    </row>
    <row r="61773" spans="9:9" x14ac:dyDescent="0.2">
      <c r="I61773" s="137" t="s">
        <v>74</v>
      </c>
    </row>
    <row r="61774" spans="9:9" x14ac:dyDescent="0.2">
      <c r="I61774" s="137" t="s">
        <v>74</v>
      </c>
    </row>
    <row r="61775" spans="9:9" x14ac:dyDescent="0.2">
      <c r="I61775" s="137" t="s">
        <v>74</v>
      </c>
    </row>
    <row r="61776" spans="9:9" x14ac:dyDescent="0.2">
      <c r="I61776" s="137" t="s">
        <v>74</v>
      </c>
    </row>
    <row r="61777" spans="9:9" x14ac:dyDescent="0.2">
      <c r="I61777" s="137" t="s">
        <v>74</v>
      </c>
    </row>
    <row r="61778" spans="9:9" x14ac:dyDescent="0.2">
      <c r="I61778" s="137" t="s">
        <v>74</v>
      </c>
    </row>
    <row r="61779" spans="9:9" x14ac:dyDescent="0.2">
      <c r="I61779" s="137" t="s">
        <v>74</v>
      </c>
    </row>
    <row r="61780" spans="9:9" x14ac:dyDescent="0.2">
      <c r="I61780" s="137" t="s">
        <v>74</v>
      </c>
    </row>
    <row r="61781" spans="9:9" x14ac:dyDescent="0.2">
      <c r="I61781" s="137" t="s">
        <v>74</v>
      </c>
    </row>
    <row r="61782" spans="9:9" x14ac:dyDescent="0.2">
      <c r="I61782" s="137" t="s">
        <v>74</v>
      </c>
    </row>
    <row r="61783" spans="9:9" x14ac:dyDescent="0.2">
      <c r="I61783" s="137" t="s">
        <v>74</v>
      </c>
    </row>
    <row r="61784" spans="9:9" x14ac:dyDescent="0.2">
      <c r="I61784" s="137" t="s">
        <v>74</v>
      </c>
    </row>
    <row r="61785" spans="9:9" x14ac:dyDescent="0.2">
      <c r="I61785" s="137" t="s">
        <v>74</v>
      </c>
    </row>
    <row r="61786" spans="9:9" x14ac:dyDescent="0.2">
      <c r="I61786" s="137" t="s">
        <v>74</v>
      </c>
    </row>
    <row r="61787" spans="9:9" x14ac:dyDescent="0.2">
      <c r="I61787" s="137" t="s">
        <v>74</v>
      </c>
    </row>
    <row r="61788" spans="9:9" x14ac:dyDescent="0.2">
      <c r="I61788" s="137" t="s">
        <v>74</v>
      </c>
    </row>
    <row r="61789" spans="9:9" x14ac:dyDescent="0.2">
      <c r="I61789" s="137" t="s">
        <v>74</v>
      </c>
    </row>
    <row r="61790" spans="9:9" x14ac:dyDescent="0.2">
      <c r="I61790" s="137" t="s">
        <v>74</v>
      </c>
    </row>
    <row r="61791" spans="9:9" x14ac:dyDescent="0.2">
      <c r="I61791" s="137" t="s">
        <v>74</v>
      </c>
    </row>
    <row r="61792" spans="9:9" x14ac:dyDescent="0.2">
      <c r="I61792" s="137" t="s">
        <v>74</v>
      </c>
    </row>
    <row r="61793" spans="9:9" x14ac:dyDescent="0.2">
      <c r="I61793" s="137" t="s">
        <v>74</v>
      </c>
    </row>
    <row r="61794" spans="9:9" x14ac:dyDescent="0.2">
      <c r="I61794" s="137" t="s">
        <v>74</v>
      </c>
    </row>
    <row r="61795" spans="9:9" x14ac:dyDescent="0.2">
      <c r="I61795" s="137" t="s">
        <v>74</v>
      </c>
    </row>
    <row r="61796" spans="9:9" x14ac:dyDescent="0.2">
      <c r="I61796" s="137" t="s">
        <v>74</v>
      </c>
    </row>
    <row r="61797" spans="9:9" x14ac:dyDescent="0.2">
      <c r="I61797" s="137" t="s">
        <v>74</v>
      </c>
    </row>
    <row r="61798" spans="9:9" x14ac:dyDescent="0.2">
      <c r="I61798" s="137" t="s">
        <v>74</v>
      </c>
    </row>
    <row r="61799" spans="9:9" x14ac:dyDescent="0.2">
      <c r="I61799" s="137" t="s">
        <v>74</v>
      </c>
    </row>
    <row r="61800" spans="9:9" x14ac:dyDescent="0.2">
      <c r="I61800" s="137" t="s">
        <v>74</v>
      </c>
    </row>
    <row r="61801" spans="9:9" x14ac:dyDescent="0.2">
      <c r="I61801" s="137" t="s">
        <v>74</v>
      </c>
    </row>
    <row r="61802" spans="9:9" x14ac:dyDescent="0.2">
      <c r="I61802" s="137" t="s">
        <v>74</v>
      </c>
    </row>
    <row r="61803" spans="9:9" x14ac:dyDescent="0.2">
      <c r="I61803" s="137" t="s">
        <v>74</v>
      </c>
    </row>
    <row r="61804" spans="9:9" x14ac:dyDescent="0.2">
      <c r="I61804" s="137" t="s">
        <v>74</v>
      </c>
    </row>
    <row r="61805" spans="9:9" x14ac:dyDescent="0.2">
      <c r="I61805" s="137" t="s">
        <v>74</v>
      </c>
    </row>
    <row r="61806" spans="9:9" x14ac:dyDescent="0.2">
      <c r="I61806" s="137" t="s">
        <v>74</v>
      </c>
    </row>
    <row r="61807" spans="9:9" x14ac:dyDescent="0.2">
      <c r="I61807" s="137" t="s">
        <v>74</v>
      </c>
    </row>
    <row r="61808" spans="9:9" x14ac:dyDescent="0.2">
      <c r="I61808" s="137" t="s">
        <v>74</v>
      </c>
    </row>
    <row r="61809" spans="9:9" x14ac:dyDescent="0.2">
      <c r="I61809" s="137" t="s">
        <v>74</v>
      </c>
    </row>
    <row r="61810" spans="9:9" x14ac:dyDescent="0.2">
      <c r="I61810" s="137" t="s">
        <v>74</v>
      </c>
    </row>
    <row r="61811" spans="9:9" x14ac:dyDescent="0.2">
      <c r="I61811" s="137" t="s">
        <v>74</v>
      </c>
    </row>
    <row r="61812" spans="9:9" x14ac:dyDescent="0.2">
      <c r="I61812" s="137" t="s">
        <v>74</v>
      </c>
    </row>
    <row r="61813" spans="9:9" x14ac:dyDescent="0.2">
      <c r="I61813" s="137" t="s">
        <v>74</v>
      </c>
    </row>
    <row r="61814" spans="9:9" x14ac:dyDescent="0.2">
      <c r="I61814" s="137" t="s">
        <v>74</v>
      </c>
    </row>
    <row r="61815" spans="9:9" x14ac:dyDescent="0.2">
      <c r="I61815" s="137" t="s">
        <v>74</v>
      </c>
    </row>
    <row r="61816" spans="9:9" x14ac:dyDescent="0.2">
      <c r="I61816" s="137" t="s">
        <v>74</v>
      </c>
    </row>
    <row r="61817" spans="9:9" x14ac:dyDescent="0.2">
      <c r="I61817" s="137" t="s">
        <v>74</v>
      </c>
    </row>
    <row r="61818" spans="9:9" x14ac:dyDescent="0.2">
      <c r="I61818" s="137" t="s">
        <v>74</v>
      </c>
    </row>
    <row r="61819" spans="9:9" x14ac:dyDescent="0.2">
      <c r="I61819" s="137" t="s">
        <v>74</v>
      </c>
    </row>
    <row r="61820" spans="9:9" x14ac:dyDescent="0.2">
      <c r="I61820" s="137" t="s">
        <v>74</v>
      </c>
    </row>
    <row r="61821" spans="9:9" x14ac:dyDescent="0.2">
      <c r="I61821" s="137" t="s">
        <v>74</v>
      </c>
    </row>
    <row r="61822" spans="9:9" x14ac:dyDescent="0.2">
      <c r="I61822" s="137" t="s">
        <v>74</v>
      </c>
    </row>
    <row r="61823" spans="9:9" x14ac:dyDescent="0.2">
      <c r="I61823" s="137" t="s">
        <v>74</v>
      </c>
    </row>
    <row r="61824" spans="9:9" x14ac:dyDescent="0.2">
      <c r="I61824" s="137" t="s">
        <v>74</v>
      </c>
    </row>
    <row r="61825" spans="9:9" x14ac:dyDescent="0.2">
      <c r="I61825" s="137" t="s">
        <v>74</v>
      </c>
    </row>
    <row r="61826" spans="9:9" x14ac:dyDescent="0.2">
      <c r="I61826" s="137" t="s">
        <v>74</v>
      </c>
    </row>
    <row r="61827" spans="9:9" x14ac:dyDescent="0.2">
      <c r="I61827" s="137" t="s">
        <v>74</v>
      </c>
    </row>
    <row r="61828" spans="9:9" x14ac:dyDescent="0.2">
      <c r="I61828" s="137" t="s">
        <v>74</v>
      </c>
    </row>
    <row r="61829" spans="9:9" x14ac:dyDescent="0.2">
      <c r="I61829" s="137" t="s">
        <v>74</v>
      </c>
    </row>
    <row r="61830" spans="9:9" x14ac:dyDescent="0.2">
      <c r="I61830" s="137" t="s">
        <v>74</v>
      </c>
    </row>
    <row r="61831" spans="9:9" x14ac:dyDescent="0.2">
      <c r="I61831" s="137" t="s">
        <v>74</v>
      </c>
    </row>
    <row r="61832" spans="9:9" x14ac:dyDescent="0.2">
      <c r="I61832" s="137" t="s">
        <v>74</v>
      </c>
    </row>
    <row r="61833" spans="9:9" x14ac:dyDescent="0.2">
      <c r="I61833" s="137" t="s">
        <v>74</v>
      </c>
    </row>
    <row r="61834" spans="9:9" x14ac:dyDescent="0.2">
      <c r="I61834" s="137" t="s">
        <v>74</v>
      </c>
    </row>
    <row r="61835" spans="9:9" x14ac:dyDescent="0.2">
      <c r="I61835" s="137" t="s">
        <v>74</v>
      </c>
    </row>
    <row r="61836" spans="9:9" x14ac:dyDescent="0.2">
      <c r="I61836" s="137" t="s">
        <v>74</v>
      </c>
    </row>
    <row r="61837" spans="9:9" x14ac:dyDescent="0.2">
      <c r="I61837" s="137" t="s">
        <v>74</v>
      </c>
    </row>
    <row r="61838" spans="9:9" x14ac:dyDescent="0.2">
      <c r="I61838" s="137" t="s">
        <v>74</v>
      </c>
    </row>
    <row r="61839" spans="9:9" x14ac:dyDescent="0.2">
      <c r="I61839" s="137" t="s">
        <v>74</v>
      </c>
    </row>
    <row r="61840" spans="9:9" x14ac:dyDescent="0.2">
      <c r="I61840" s="137" t="s">
        <v>74</v>
      </c>
    </row>
    <row r="61841" spans="9:9" x14ac:dyDescent="0.2">
      <c r="I61841" s="137" t="s">
        <v>74</v>
      </c>
    </row>
    <row r="61842" spans="9:9" x14ac:dyDescent="0.2">
      <c r="I61842" s="137" t="s">
        <v>74</v>
      </c>
    </row>
    <row r="61843" spans="9:9" x14ac:dyDescent="0.2">
      <c r="I61843" s="137" t="s">
        <v>74</v>
      </c>
    </row>
    <row r="61844" spans="9:9" x14ac:dyDescent="0.2">
      <c r="I61844" s="137" t="s">
        <v>74</v>
      </c>
    </row>
    <row r="61845" spans="9:9" x14ac:dyDescent="0.2">
      <c r="I61845" s="137" t="s">
        <v>74</v>
      </c>
    </row>
    <row r="61846" spans="9:9" x14ac:dyDescent="0.2">
      <c r="I61846" s="137" t="s">
        <v>74</v>
      </c>
    </row>
    <row r="61847" spans="9:9" x14ac:dyDescent="0.2">
      <c r="I61847" s="137" t="s">
        <v>74</v>
      </c>
    </row>
    <row r="61848" spans="9:9" x14ac:dyDescent="0.2">
      <c r="I61848" s="137" t="s">
        <v>74</v>
      </c>
    </row>
    <row r="61849" spans="9:9" x14ac:dyDescent="0.2">
      <c r="I61849" s="137" t="s">
        <v>74</v>
      </c>
    </row>
    <row r="61850" spans="9:9" x14ac:dyDescent="0.2">
      <c r="I61850" s="137" t="s">
        <v>74</v>
      </c>
    </row>
    <row r="61851" spans="9:9" x14ac:dyDescent="0.2">
      <c r="I61851" s="137" t="s">
        <v>74</v>
      </c>
    </row>
    <row r="61852" spans="9:9" x14ac:dyDescent="0.2">
      <c r="I61852" s="137" t="s">
        <v>74</v>
      </c>
    </row>
    <row r="61853" spans="9:9" x14ac:dyDescent="0.2">
      <c r="I61853" s="137" t="s">
        <v>74</v>
      </c>
    </row>
    <row r="61854" spans="9:9" x14ac:dyDescent="0.2">
      <c r="I61854" s="137" t="s">
        <v>74</v>
      </c>
    </row>
    <row r="61855" spans="9:9" x14ac:dyDescent="0.2">
      <c r="I61855" s="137" t="s">
        <v>74</v>
      </c>
    </row>
    <row r="61856" spans="9:9" x14ac:dyDescent="0.2">
      <c r="I61856" s="137" t="s">
        <v>74</v>
      </c>
    </row>
    <row r="61857" spans="9:9" x14ac:dyDescent="0.2">
      <c r="I61857" s="137" t="s">
        <v>74</v>
      </c>
    </row>
    <row r="61858" spans="9:9" x14ac:dyDescent="0.2">
      <c r="I61858" s="137" t="s">
        <v>74</v>
      </c>
    </row>
    <row r="61859" spans="9:9" x14ac:dyDescent="0.2">
      <c r="I61859" s="137" t="s">
        <v>74</v>
      </c>
    </row>
    <row r="61860" spans="9:9" x14ac:dyDescent="0.2">
      <c r="I61860" s="137" t="s">
        <v>74</v>
      </c>
    </row>
    <row r="61861" spans="9:9" x14ac:dyDescent="0.2">
      <c r="I61861" s="137" t="s">
        <v>74</v>
      </c>
    </row>
    <row r="61862" spans="9:9" x14ac:dyDescent="0.2">
      <c r="I61862" s="137" t="s">
        <v>74</v>
      </c>
    </row>
    <row r="61863" spans="9:9" x14ac:dyDescent="0.2">
      <c r="I61863" s="137" t="s">
        <v>74</v>
      </c>
    </row>
    <row r="61864" spans="9:9" x14ac:dyDescent="0.2">
      <c r="I61864" s="137" t="s">
        <v>74</v>
      </c>
    </row>
    <row r="61865" spans="9:9" x14ac:dyDescent="0.2">
      <c r="I61865" s="137" t="s">
        <v>74</v>
      </c>
    </row>
    <row r="61866" spans="9:9" x14ac:dyDescent="0.2">
      <c r="I61866" s="137" t="s">
        <v>74</v>
      </c>
    </row>
    <row r="61867" spans="9:9" x14ac:dyDescent="0.2">
      <c r="I61867" s="137" t="s">
        <v>74</v>
      </c>
    </row>
    <row r="61868" spans="9:9" x14ac:dyDescent="0.2">
      <c r="I61868" s="137" t="s">
        <v>74</v>
      </c>
    </row>
    <row r="61869" spans="9:9" x14ac:dyDescent="0.2">
      <c r="I61869" s="137" t="s">
        <v>74</v>
      </c>
    </row>
    <row r="61870" spans="9:9" x14ac:dyDescent="0.2">
      <c r="I61870" s="137" t="s">
        <v>74</v>
      </c>
    </row>
    <row r="61871" spans="9:9" x14ac:dyDescent="0.2">
      <c r="I61871" s="137" t="s">
        <v>74</v>
      </c>
    </row>
    <row r="61872" spans="9:9" x14ac:dyDescent="0.2">
      <c r="I61872" s="137" t="s">
        <v>74</v>
      </c>
    </row>
    <row r="61873" spans="9:9" x14ac:dyDescent="0.2">
      <c r="I61873" s="137" t="s">
        <v>74</v>
      </c>
    </row>
    <row r="61874" spans="9:9" x14ac:dyDescent="0.2">
      <c r="I61874" s="137" t="s">
        <v>74</v>
      </c>
    </row>
    <row r="61875" spans="9:9" x14ac:dyDescent="0.2">
      <c r="I61875" s="137" t="s">
        <v>74</v>
      </c>
    </row>
    <row r="61876" spans="9:9" x14ac:dyDescent="0.2">
      <c r="I61876" s="137" t="s">
        <v>74</v>
      </c>
    </row>
    <row r="61877" spans="9:9" x14ac:dyDescent="0.2">
      <c r="I61877" s="137" t="s">
        <v>74</v>
      </c>
    </row>
    <row r="61878" spans="9:9" x14ac:dyDescent="0.2">
      <c r="I61878" s="137" t="s">
        <v>74</v>
      </c>
    </row>
    <row r="61879" spans="9:9" x14ac:dyDescent="0.2">
      <c r="I61879" s="137" t="s">
        <v>74</v>
      </c>
    </row>
    <row r="61880" spans="9:9" x14ac:dyDescent="0.2">
      <c r="I61880" s="137" t="s">
        <v>74</v>
      </c>
    </row>
    <row r="61881" spans="9:9" x14ac:dyDescent="0.2">
      <c r="I61881" s="137" t="s">
        <v>74</v>
      </c>
    </row>
    <row r="61882" spans="9:9" x14ac:dyDescent="0.2">
      <c r="I61882" s="137" t="s">
        <v>74</v>
      </c>
    </row>
    <row r="61883" spans="9:9" x14ac:dyDescent="0.2">
      <c r="I61883" s="137" t="s">
        <v>74</v>
      </c>
    </row>
    <row r="61884" spans="9:9" x14ac:dyDescent="0.2">
      <c r="I61884" s="137" t="s">
        <v>74</v>
      </c>
    </row>
    <row r="61885" spans="9:9" x14ac:dyDescent="0.2">
      <c r="I61885" s="137" t="s">
        <v>74</v>
      </c>
    </row>
    <row r="61886" spans="9:9" x14ac:dyDescent="0.2">
      <c r="I61886" s="137" t="s">
        <v>74</v>
      </c>
    </row>
    <row r="61887" spans="9:9" x14ac:dyDescent="0.2">
      <c r="I61887" s="137" t="s">
        <v>74</v>
      </c>
    </row>
    <row r="61888" spans="9:9" x14ac:dyDescent="0.2">
      <c r="I61888" s="137" t="s">
        <v>74</v>
      </c>
    </row>
    <row r="61889" spans="9:9" x14ac:dyDescent="0.2">
      <c r="I61889" s="137" t="s">
        <v>74</v>
      </c>
    </row>
    <row r="61890" spans="9:9" x14ac:dyDescent="0.2">
      <c r="I61890" s="137" t="s">
        <v>74</v>
      </c>
    </row>
    <row r="61891" spans="9:9" x14ac:dyDescent="0.2">
      <c r="I61891" s="137" t="s">
        <v>74</v>
      </c>
    </row>
    <row r="61892" spans="9:9" x14ac:dyDescent="0.2">
      <c r="I61892" s="137" t="s">
        <v>74</v>
      </c>
    </row>
    <row r="61893" spans="9:9" x14ac:dyDescent="0.2">
      <c r="I61893" s="137" t="s">
        <v>74</v>
      </c>
    </row>
    <row r="61894" spans="9:9" x14ac:dyDescent="0.2">
      <c r="I61894" s="137" t="s">
        <v>74</v>
      </c>
    </row>
    <row r="61895" spans="9:9" x14ac:dyDescent="0.2">
      <c r="I61895" s="137" t="s">
        <v>74</v>
      </c>
    </row>
    <row r="61896" spans="9:9" x14ac:dyDescent="0.2">
      <c r="I61896" s="137" t="s">
        <v>74</v>
      </c>
    </row>
    <row r="61897" spans="9:9" x14ac:dyDescent="0.2">
      <c r="I61897" s="137" t="s">
        <v>74</v>
      </c>
    </row>
    <row r="61898" spans="9:9" x14ac:dyDescent="0.2">
      <c r="I61898" s="137" t="s">
        <v>74</v>
      </c>
    </row>
    <row r="61899" spans="9:9" x14ac:dyDescent="0.2">
      <c r="I61899" s="137" t="s">
        <v>74</v>
      </c>
    </row>
    <row r="61900" spans="9:9" x14ac:dyDescent="0.2">
      <c r="I61900" s="137" t="s">
        <v>74</v>
      </c>
    </row>
    <row r="61901" spans="9:9" x14ac:dyDescent="0.2">
      <c r="I61901" s="137" t="s">
        <v>74</v>
      </c>
    </row>
    <row r="61902" spans="9:9" x14ac:dyDescent="0.2">
      <c r="I61902" s="137" t="s">
        <v>74</v>
      </c>
    </row>
    <row r="61903" spans="9:9" x14ac:dyDescent="0.2">
      <c r="I61903" s="137" t="s">
        <v>74</v>
      </c>
    </row>
    <row r="61904" spans="9:9" x14ac:dyDescent="0.2">
      <c r="I61904" s="137" t="s">
        <v>74</v>
      </c>
    </row>
    <row r="61905" spans="9:9" x14ac:dyDescent="0.2">
      <c r="I61905" s="137" t="s">
        <v>74</v>
      </c>
    </row>
    <row r="61906" spans="9:9" x14ac:dyDescent="0.2">
      <c r="I61906" s="137" t="s">
        <v>74</v>
      </c>
    </row>
    <row r="61907" spans="9:9" x14ac:dyDescent="0.2">
      <c r="I61907" s="137" t="s">
        <v>74</v>
      </c>
    </row>
    <row r="61908" spans="9:9" x14ac:dyDescent="0.2">
      <c r="I61908" s="137" t="s">
        <v>74</v>
      </c>
    </row>
    <row r="61909" spans="9:9" x14ac:dyDescent="0.2">
      <c r="I61909" s="137" t="s">
        <v>74</v>
      </c>
    </row>
    <row r="61910" spans="9:9" x14ac:dyDescent="0.2">
      <c r="I61910" s="137" t="s">
        <v>74</v>
      </c>
    </row>
    <row r="61911" spans="9:9" x14ac:dyDescent="0.2">
      <c r="I61911" s="137" t="s">
        <v>74</v>
      </c>
    </row>
    <row r="61912" spans="9:9" x14ac:dyDescent="0.2">
      <c r="I61912" s="137" t="s">
        <v>74</v>
      </c>
    </row>
    <row r="61913" spans="9:9" x14ac:dyDescent="0.2">
      <c r="I61913" s="137" t="s">
        <v>74</v>
      </c>
    </row>
    <row r="61914" spans="9:9" x14ac:dyDescent="0.2">
      <c r="I61914" s="137" t="s">
        <v>74</v>
      </c>
    </row>
    <row r="61915" spans="9:9" x14ac:dyDescent="0.2">
      <c r="I61915" s="137" t="s">
        <v>74</v>
      </c>
    </row>
    <row r="61916" spans="9:9" x14ac:dyDescent="0.2">
      <c r="I61916" s="137" t="s">
        <v>74</v>
      </c>
    </row>
    <row r="61917" spans="9:9" x14ac:dyDescent="0.2">
      <c r="I61917" s="137" t="s">
        <v>74</v>
      </c>
    </row>
    <row r="61918" spans="9:9" x14ac:dyDescent="0.2">
      <c r="I61918" s="137" t="s">
        <v>74</v>
      </c>
    </row>
    <row r="61919" spans="9:9" x14ac:dyDescent="0.2">
      <c r="I61919" s="137" t="s">
        <v>74</v>
      </c>
    </row>
    <row r="61920" spans="9:9" x14ac:dyDescent="0.2">
      <c r="I61920" s="137" t="s">
        <v>74</v>
      </c>
    </row>
    <row r="61921" spans="9:9" x14ac:dyDescent="0.2">
      <c r="I61921" s="137" t="s">
        <v>74</v>
      </c>
    </row>
    <row r="61922" spans="9:9" x14ac:dyDescent="0.2">
      <c r="I61922" s="137" t="s">
        <v>74</v>
      </c>
    </row>
    <row r="61923" spans="9:9" x14ac:dyDescent="0.2">
      <c r="I61923" s="137" t="s">
        <v>74</v>
      </c>
    </row>
    <row r="61924" spans="9:9" x14ac:dyDescent="0.2">
      <c r="I61924" s="137" t="s">
        <v>74</v>
      </c>
    </row>
    <row r="61925" spans="9:9" x14ac:dyDescent="0.2">
      <c r="I61925" s="137" t="s">
        <v>74</v>
      </c>
    </row>
    <row r="61926" spans="9:9" x14ac:dyDescent="0.2">
      <c r="I61926" s="137" t="s">
        <v>74</v>
      </c>
    </row>
    <row r="61927" spans="9:9" x14ac:dyDescent="0.2">
      <c r="I61927" s="137" t="s">
        <v>74</v>
      </c>
    </row>
    <row r="61928" spans="9:9" x14ac:dyDescent="0.2">
      <c r="I61928" s="137" t="s">
        <v>74</v>
      </c>
    </row>
    <row r="61929" spans="9:9" x14ac:dyDescent="0.2">
      <c r="I61929" s="137" t="s">
        <v>74</v>
      </c>
    </row>
    <row r="61930" spans="9:9" x14ac:dyDescent="0.2">
      <c r="I61930" s="137" t="s">
        <v>74</v>
      </c>
    </row>
    <row r="61931" spans="9:9" x14ac:dyDescent="0.2">
      <c r="I61931" s="137" t="s">
        <v>74</v>
      </c>
    </row>
    <row r="61932" spans="9:9" x14ac:dyDescent="0.2">
      <c r="I61932" s="137" t="s">
        <v>74</v>
      </c>
    </row>
    <row r="61933" spans="9:9" x14ac:dyDescent="0.2">
      <c r="I61933" s="137" t="s">
        <v>74</v>
      </c>
    </row>
    <row r="61934" spans="9:9" x14ac:dyDescent="0.2">
      <c r="I61934" s="137" t="s">
        <v>74</v>
      </c>
    </row>
    <row r="61935" spans="9:9" x14ac:dyDescent="0.2">
      <c r="I61935" s="137" t="s">
        <v>74</v>
      </c>
    </row>
    <row r="61936" spans="9:9" x14ac:dyDescent="0.2">
      <c r="I61936" s="137" t="s">
        <v>74</v>
      </c>
    </row>
    <row r="61937" spans="9:9" x14ac:dyDescent="0.2">
      <c r="I61937" s="137" t="s">
        <v>74</v>
      </c>
    </row>
    <row r="61938" spans="9:9" x14ac:dyDescent="0.2">
      <c r="I61938" s="137" t="s">
        <v>74</v>
      </c>
    </row>
    <row r="61939" spans="9:9" x14ac:dyDescent="0.2">
      <c r="I61939" s="137" t="s">
        <v>74</v>
      </c>
    </row>
    <row r="61940" spans="9:9" x14ac:dyDescent="0.2">
      <c r="I61940" s="137" t="s">
        <v>74</v>
      </c>
    </row>
    <row r="61941" spans="9:9" x14ac:dyDescent="0.2">
      <c r="I61941" s="137" t="s">
        <v>74</v>
      </c>
    </row>
    <row r="61942" spans="9:9" x14ac:dyDescent="0.2">
      <c r="I61942" s="137" t="s">
        <v>74</v>
      </c>
    </row>
    <row r="61943" spans="9:9" x14ac:dyDescent="0.2">
      <c r="I61943" s="137" t="s">
        <v>74</v>
      </c>
    </row>
    <row r="61944" spans="9:9" x14ac:dyDescent="0.2">
      <c r="I61944" s="137" t="s">
        <v>74</v>
      </c>
    </row>
    <row r="61945" spans="9:9" x14ac:dyDescent="0.2">
      <c r="I61945" s="137" t="s">
        <v>74</v>
      </c>
    </row>
    <row r="61946" spans="9:9" x14ac:dyDescent="0.2">
      <c r="I61946" s="137" t="s">
        <v>74</v>
      </c>
    </row>
    <row r="61947" spans="9:9" x14ac:dyDescent="0.2">
      <c r="I61947" s="137" t="s">
        <v>74</v>
      </c>
    </row>
    <row r="61948" spans="9:9" x14ac:dyDescent="0.2">
      <c r="I61948" s="137" t="s">
        <v>74</v>
      </c>
    </row>
    <row r="61949" spans="9:9" x14ac:dyDescent="0.2">
      <c r="I61949" s="137" t="s">
        <v>74</v>
      </c>
    </row>
    <row r="61950" spans="9:9" x14ac:dyDescent="0.2">
      <c r="I61950" s="137" t="s">
        <v>74</v>
      </c>
    </row>
    <row r="61951" spans="9:9" x14ac:dyDescent="0.2">
      <c r="I61951" s="137" t="s">
        <v>74</v>
      </c>
    </row>
    <row r="61952" spans="9:9" x14ac:dyDescent="0.2">
      <c r="I61952" s="137" t="s">
        <v>74</v>
      </c>
    </row>
    <row r="61953" spans="9:9" x14ac:dyDescent="0.2">
      <c r="I61953" s="137" t="s">
        <v>74</v>
      </c>
    </row>
    <row r="61954" spans="9:9" x14ac:dyDescent="0.2">
      <c r="I61954" s="137" t="s">
        <v>74</v>
      </c>
    </row>
    <row r="61955" spans="9:9" x14ac:dyDescent="0.2">
      <c r="I61955" s="137" t="s">
        <v>74</v>
      </c>
    </row>
    <row r="61956" spans="9:9" x14ac:dyDescent="0.2">
      <c r="I61956" s="137" t="s">
        <v>74</v>
      </c>
    </row>
    <row r="61957" spans="9:9" x14ac:dyDescent="0.2">
      <c r="I61957" s="137" t="s">
        <v>74</v>
      </c>
    </row>
    <row r="61958" spans="9:9" x14ac:dyDescent="0.2">
      <c r="I61958" s="137" t="s">
        <v>74</v>
      </c>
    </row>
    <row r="61959" spans="9:9" x14ac:dyDescent="0.2">
      <c r="I61959" s="137" t="s">
        <v>74</v>
      </c>
    </row>
    <row r="61960" spans="9:9" x14ac:dyDescent="0.2">
      <c r="I61960" s="137" t="s">
        <v>74</v>
      </c>
    </row>
    <row r="61961" spans="9:9" x14ac:dyDescent="0.2">
      <c r="I61961" s="137" t="s">
        <v>74</v>
      </c>
    </row>
    <row r="61962" spans="9:9" x14ac:dyDescent="0.2">
      <c r="I61962" s="137" t="s">
        <v>74</v>
      </c>
    </row>
    <row r="61963" spans="9:9" x14ac:dyDescent="0.2">
      <c r="I61963" s="137" t="s">
        <v>74</v>
      </c>
    </row>
    <row r="61964" spans="9:9" x14ac:dyDescent="0.2">
      <c r="I61964" s="137" t="s">
        <v>74</v>
      </c>
    </row>
    <row r="61965" spans="9:9" x14ac:dyDescent="0.2">
      <c r="I61965" s="137" t="s">
        <v>74</v>
      </c>
    </row>
    <row r="61966" spans="9:9" x14ac:dyDescent="0.2">
      <c r="I61966" s="137" t="s">
        <v>74</v>
      </c>
    </row>
    <row r="61967" spans="9:9" x14ac:dyDescent="0.2">
      <c r="I61967" s="137" t="s">
        <v>74</v>
      </c>
    </row>
    <row r="61968" spans="9:9" x14ac:dyDescent="0.2">
      <c r="I61968" s="137" t="s">
        <v>74</v>
      </c>
    </row>
    <row r="61969" spans="9:9" x14ac:dyDescent="0.2">
      <c r="I61969" s="137" t="s">
        <v>74</v>
      </c>
    </row>
    <row r="61970" spans="9:9" x14ac:dyDescent="0.2">
      <c r="I61970" s="137" t="s">
        <v>74</v>
      </c>
    </row>
    <row r="61971" spans="9:9" x14ac:dyDescent="0.2">
      <c r="I61971" s="137" t="s">
        <v>74</v>
      </c>
    </row>
    <row r="61972" spans="9:9" x14ac:dyDescent="0.2">
      <c r="I61972" s="137" t="s">
        <v>74</v>
      </c>
    </row>
    <row r="61973" spans="9:9" x14ac:dyDescent="0.2">
      <c r="I61973" s="137" t="s">
        <v>74</v>
      </c>
    </row>
    <row r="61974" spans="9:9" x14ac:dyDescent="0.2">
      <c r="I61974" s="137" t="s">
        <v>74</v>
      </c>
    </row>
    <row r="61975" spans="9:9" x14ac:dyDescent="0.2">
      <c r="I61975" s="137" t="s">
        <v>74</v>
      </c>
    </row>
    <row r="61976" spans="9:9" x14ac:dyDescent="0.2">
      <c r="I61976" s="137" t="s">
        <v>74</v>
      </c>
    </row>
    <row r="61977" spans="9:9" x14ac:dyDescent="0.2">
      <c r="I61977" s="137" t="s">
        <v>74</v>
      </c>
    </row>
    <row r="61978" spans="9:9" x14ac:dyDescent="0.2">
      <c r="I61978" s="137" t="s">
        <v>74</v>
      </c>
    </row>
    <row r="61979" spans="9:9" x14ac:dyDescent="0.2">
      <c r="I61979" s="137" t="s">
        <v>74</v>
      </c>
    </row>
    <row r="61980" spans="9:9" x14ac:dyDescent="0.2">
      <c r="I61980" s="137" t="s">
        <v>74</v>
      </c>
    </row>
    <row r="61981" spans="9:9" x14ac:dyDescent="0.2">
      <c r="I61981" s="137" t="s">
        <v>74</v>
      </c>
    </row>
    <row r="61982" spans="9:9" x14ac:dyDescent="0.2">
      <c r="I61982" s="137" t="s">
        <v>74</v>
      </c>
    </row>
    <row r="61983" spans="9:9" x14ac:dyDescent="0.2">
      <c r="I61983" s="137" t="s">
        <v>74</v>
      </c>
    </row>
    <row r="61984" spans="9:9" x14ac:dyDescent="0.2">
      <c r="I61984" s="137" t="s">
        <v>74</v>
      </c>
    </row>
    <row r="61985" spans="9:9" x14ac:dyDescent="0.2">
      <c r="I61985" s="137" t="s">
        <v>74</v>
      </c>
    </row>
    <row r="61986" spans="9:9" x14ac:dyDescent="0.2">
      <c r="I61986" s="137" t="s">
        <v>74</v>
      </c>
    </row>
    <row r="61987" spans="9:9" x14ac:dyDescent="0.2">
      <c r="I61987" s="137" t="s">
        <v>74</v>
      </c>
    </row>
    <row r="61988" spans="9:9" x14ac:dyDescent="0.2">
      <c r="I61988" s="137" t="s">
        <v>74</v>
      </c>
    </row>
    <row r="61989" spans="9:9" x14ac:dyDescent="0.2">
      <c r="I61989" s="137" t="s">
        <v>74</v>
      </c>
    </row>
    <row r="61990" spans="9:9" x14ac:dyDescent="0.2">
      <c r="I61990" s="137" t="s">
        <v>74</v>
      </c>
    </row>
    <row r="61991" spans="9:9" x14ac:dyDescent="0.2">
      <c r="I61991" s="137" t="s">
        <v>74</v>
      </c>
    </row>
    <row r="61992" spans="9:9" x14ac:dyDescent="0.2">
      <c r="I61992" s="137" t="s">
        <v>74</v>
      </c>
    </row>
    <row r="61993" spans="9:9" x14ac:dyDescent="0.2">
      <c r="I61993" s="137" t="s">
        <v>74</v>
      </c>
    </row>
    <row r="61994" spans="9:9" x14ac:dyDescent="0.2">
      <c r="I61994" s="137" t="s">
        <v>74</v>
      </c>
    </row>
    <row r="61995" spans="9:9" x14ac:dyDescent="0.2">
      <c r="I61995" s="137" t="s">
        <v>74</v>
      </c>
    </row>
    <row r="61996" spans="9:9" x14ac:dyDescent="0.2">
      <c r="I61996" s="137" t="s">
        <v>74</v>
      </c>
    </row>
    <row r="61997" spans="9:9" x14ac:dyDescent="0.2">
      <c r="I61997" s="137" t="s">
        <v>74</v>
      </c>
    </row>
    <row r="61998" spans="9:9" x14ac:dyDescent="0.2">
      <c r="I61998" s="137" t="s">
        <v>74</v>
      </c>
    </row>
    <row r="61999" spans="9:9" x14ac:dyDescent="0.2">
      <c r="I61999" s="137" t="s">
        <v>74</v>
      </c>
    </row>
    <row r="62000" spans="9:9" x14ac:dyDescent="0.2">
      <c r="I62000" s="137" t="s">
        <v>74</v>
      </c>
    </row>
    <row r="62001" spans="9:9" x14ac:dyDescent="0.2">
      <c r="I62001" s="137" t="s">
        <v>74</v>
      </c>
    </row>
    <row r="62002" spans="9:9" x14ac:dyDescent="0.2">
      <c r="I62002" s="137" t="s">
        <v>74</v>
      </c>
    </row>
    <row r="62003" spans="9:9" x14ac:dyDescent="0.2">
      <c r="I62003" s="137" t="s">
        <v>74</v>
      </c>
    </row>
    <row r="62004" spans="9:9" x14ac:dyDescent="0.2">
      <c r="I62004" s="137" t="s">
        <v>74</v>
      </c>
    </row>
    <row r="62005" spans="9:9" x14ac:dyDescent="0.2">
      <c r="I62005" s="137" t="s">
        <v>74</v>
      </c>
    </row>
    <row r="62006" spans="9:9" x14ac:dyDescent="0.2">
      <c r="I62006" s="137" t="s">
        <v>74</v>
      </c>
    </row>
    <row r="62007" spans="9:9" x14ac:dyDescent="0.2">
      <c r="I62007" s="137" t="s">
        <v>74</v>
      </c>
    </row>
    <row r="62008" spans="9:9" x14ac:dyDescent="0.2">
      <c r="I62008" s="137" t="s">
        <v>74</v>
      </c>
    </row>
    <row r="62009" spans="9:9" x14ac:dyDescent="0.2">
      <c r="I62009" s="137" t="s">
        <v>74</v>
      </c>
    </row>
    <row r="62010" spans="9:9" x14ac:dyDescent="0.2">
      <c r="I62010" s="137" t="s">
        <v>74</v>
      </c>
    </row>
    <row r="62011" spans="9:9" x14ac:dyDescent="0.2">
      <c r="I62011" s="137" t="s">
        <v>74</v>
      </c>
    </row>
    <row r="62012" spans="9:9" x14ac:dyDescent="0.2">
      <c r="I62012" s="137" t="s">
        <v>74</v>
      </c>
    </row>
    <row r="62013" spans="9:9" x14ac:dyDescent="0.2">
      <c r="I62013" s="137" t="s">
        <v>74</v>
      </c>
    </row>
    <row r="62014" spans="9:9" x14ac:dyDescent="0.2">
      <c r="I62014" s="137" t="s">
        <v>74</v>
      </c>
    </row>
    <row r="62015" spans="9:9" x14ac:dyDescent="0.2">
      <c r="I62015" s="137" t="s">
        <v>74</v>
      </c>
    </row>
    <row r="62016" spans="9:9" x14ac:dyDescent="0.2">
      <c r="I62016" s="137" t="s">
        <v>74</v>
      </c>
    </row>
    <row r="62017" spans="9:9" x14ac:dyDescent="0.2">
      <c r="I62017" s="137" t="s">
        <v>74</v>
      </c>
    </row>
    <row r="62018" spans="9:9" x14ac:dyDescent="0.2">
      <c r="I62018" s="137" t="s">
        <v>74</v>
      </c>
    </row>
    <row r="62019" spans="9:9" x14ac:dyDescent="0.2">
      <c r="I62019" s="137" t="s">
        <v>74</v>
      </c>
    </row>
    <row r="62020" spans="9:9" x14ac:dyDescent="0.2">
      <c r="I62020" s="137" t="s">
        <v>74</v>
      </c>
    </row>
    <row r="62021" spans="9:9" x14ac:dyDescent="0.2">
      <c r="I62021" s="137" t="s">
        <v>74</v>
      </c>
    </row>
    <row r="62022" spans="9:9" x14ac:dyDescent="0.2">
      <c r="I62022" s="137" t="s">
        <v>74</v>
      </c>
    </row>
    <row r="62023" spans="9:9" x14ac:dyDescent="0.2">
      <c r="I62023" s="137" t="s">
        <v>74</v>
      </c>
    </row>
    <row r="62024" spans="9:9" x14ac:dyDescent="0.2">
      <c r="I62024" s="137" t="s">
        <v>74</v>
      </c>
    </row>
    <row r="62025" spans="9:9" x14ac:dyDescent="0.2">
      <c r="I62025" s="137" t="s">
        <v>74</v>
      </c>
    </row>
    <row r="62026" spans="9:9" x14ac:dyDescent="0.2">
      <c r="I62026" s="137" t="s">
        <v>74</v>
      </c>
    </row>
    <row r="62027" spans="9:9" x14ac:dyDescent="0.2">
      <c r="I62027" s="137" t="s">
        <v>74</v>
      </c>
    </row>
    <row r="62028" spans="9:9" x14ac:dyDescent="0.2">
      <c r="I62028" s="137" t="s">
        <v>74</v>
      </c>
    </row>
    <row r="62029" spans="9:9" x14ac:dyDescent="0.2">
      <c r="I62029" s="137" t="s">
        <v>74</v>
      </c>
    </row>
    <row r="62030" spans="9:9" x14ac:dyDescent="0.2">
      <c r="I62030" s="137" t="s">
        <v>74</v>
      </c>
    </row>
    <row r="62031" spans="9:9" x14ac:dyDescent="0.2">
      <c r="I62031" s="137" t="s">
        <v>74</v>
      </c>
    </row>
    <row r="62032" spans="9:9" x14ac:dyDescent="0.2">
      <c r="I62032" s="137" t="s">
        <v>74</v>
      </c>
    </row>
    <row r="62033" spans="9:9" x14ac:dyDescent="0.2">
      <c r="I62033" s="137" t="s">
        <v>74</v>
      </c>
    </row>
    <row r="62034" spans="9:9" x14ac:dyDescent="0.2">
      <c r="I62034" s="137" t="s">
        <v>74</v>
      </c>
    </row>
    <row r="62035" spans="9:9" x14ac:dyDescent="0.2">
      <c r="I62035" s="137" t="s">
        <v>74</v>
      </c>
    </row>
    <row r="62036" spans="9:9" x14ac:dyDescent="0.2">
      <c r="I62036" s="137" t="s">
        <v>74</v>
      </c>
    </row>
    <row r="62037" spans="9:9" x14ac:dyDescent="0.2">
      <c r="I62037" s="137" t="s">
        <v>74</v>
      </c>
    </row>
    <row r="62038" spans="9:9" x14ac:dyDescent="0.2">
      <c r="I62038" s="137" t="s">
        <v>74</v>
      </c>
    </row>
    <row r="62039" spans="9:9" x14ac:dyDescent="0.2">
      <c r="I62039" s="137" t="s">
        <v>74</v>
      </c>
    </row>
    <row r="62040" spans="9:9" x14ac:dyDescent="0.2">
      <c r="I62040" s="137" t="s">
        <v>74</v>
      </c>
    </row>
    <row r="62041" spans="9:9" x14ac:dyDescent="0.2">
      <c r="I62041" s="137" t="s">
        <v>74</v>
      </c>
    </row>
    <row r="62042" spans="9:9" x14ac:dyDescent="0.2">
      <c r="I62042" s="137" t="s">
        <v>74</v>
      </c>
    </row>
    <row r="62043" spans="9:9" x14ac:dyDescent="0.2">
      <c r="I62043" s="137" t="s">
        <v>74</v>
      </c>
    </row>
    <row r="62044" spans="9:9" x14ac:dyDescent="0.2">
      <c r="I62044" s="137" t="s">
        <v>74</v>
      </c>
    </row>
    <row r="62045" spans="9:9" x14ac:dyDescent="0.2">
      <c r="I62045" s="137" t="s">
        <v>74</v>
      </c>
    </row>
    <row r="62046" spans="9:9" x14ac:dyDescent="0.2">
      <c r="I62046" s="137" t="s">
        <v>74</v>
      </c>
    </row>
    <row r="62047" spans="9:9" x14ac:dyDescent="0.2">
      <c r="I62047" s="137" t="s">
        <v>74</v>
      </c>
    </row>
    <row r="62048" spans="9:9" x14ac:dyDescent="0.2">
      <c r="I62048" s="137" t="s">
        <v>74</v>
      </c>
    </row>
    <row r="62049" spans="9:9" x14ac:dyDescent="0.2">
      <c r="I62049" s="137" t="s">
        <v>74</v>
      </c>
    </row>
    <row r="62050" spans="9:9" x14ac:dyDescent="0.2">
      <c r="I62050" s="137" t="s">
        <v>74</v>
      </c>
    </row>
    <row r="62051" spans="9:9" x14ac:dyDescent="0.2">
      <c r="I62051" s="137" t="s">
        <v>74</v>
      </c>
    </row>
    <row r="62052" spans="9:9" x14ac:dyDescent="0.2">
      <c r="I62052" s="137" t="s">
        <v>74</v>
      </c>
    </row>
    <row r="62053" spans="9:9" x14ac:dyDescent="0.2">
      <c r="I62053" s="137" t="s">
        <v>74</v>
      </c>
    </row>
    <row r="62054" spans="9:9" x14ac:dyDescent="0.2">
      <c r="I62054" s="137" t="s">
        <v>74</v>
      </c>
    </row>
    <row r="62055" spans="9:9" x14ac:dyDescent="0.2">
      <c r="I62055" s="137" t="s">
        <v>74</v>
      </c>
    </row>
    <row r="62056" spans="9:9" x14ac:dyDescent="0.2">
      <c r="I62056" s="137" t="s">
        <v>74</v>
      </c>
    </row>
    <row r="62057" spans="9:9" x14ac:dyDescent="0.2">
      <c r="I62057" s="137" t="s">
        <v>74</v>
      </c>
    </row>
    <row r="62058" spans="9:9" x14ac:dyDescent="0.2">
      <c r="I62058" s="137" t="s">
        <v>74</v>
      </c>
    </row>
    <row r="62059" spans="9:9" x14ac:dyDescent="0.2">
      <c r="I62059" s="137" t="s">
        <v>74</v>
      </c>
    </row>
    <row r="62060" spans="9:9" x14ac:dyDescent="0.2">
      <c r="I62060" s="137" t="s">
        <v>74</v>
      </c>
    </row>
    <row r="62061" spans="9:9" x14ac:dyDescent="0.2">
      <c r="I62061" s="137" t="s">
        <v>74</v>
      </c>
    </row>
    <row r="62062" spans="9:9" x14ac:dyDescent="0.2">
      <c r="I62062" s="137" t="s">
        <v>74</v>
      </c>
    </row>
    <row r="62063" spans="9:9" x14ac:dyDescent="0.2">
      <c r="I62063" s="137" t="s">
        <v>74</v>
      </c>
    </row>
    <row r="62064" spans="9:9" x14ac:dyDescent="0.2">
      <c r="I62064" s="137" t="s">
        <v>74</v>
      </c>
    </row>
    <row r="62065" spans="9:9" x14ac:dyDescent="0.2">
      <c r="I62065" s="137" t="s">
        <v>74</v>
      </c>
    </row>
    <row r="62066" spans="9:9" x14ac:dyDescent="0.2">
      <c r="I62066" s="137" t="s">
        <v>74</v>
      </c>
    </row>
    <row r="62067" spans="9:9" x14ac:dyDescent="0.2">
      <c r="I62067" s="137" t="s">
        <v>74</v>
      </c>
    </row>
    <row r="62068" spans="9:9" x14ac:dyDescent="0.2">
      <c r="I62068" s="137" t="s">
        <v>74</v>
      </c>
    </row>
    <row r="62069" spans="9:9" x14ac:dyDescent="0.2">
      <c r="I62069" s="137" t="s">
        <v>74</v>
      </c>
    </row>
    <row r="62070" spans="9:9" x14ac:dyDescent="0.2">
      <c r="I62070" s="137" t="s">
        <v>74</v>
      </c>
    </row>
    <row r="62071" spans="9:9" x14ac:dyDescent="0.2">
      <c r="I62071" s="137" t="s">
        <v>74</v>
      </c>
    </row>
    <row r="62072" spans="9:9" x14ac:dyDescent="0.2">
      <c r="I62072" s="137" t="s">
        <v>74</v>
      </c>
    </row>
    <row r="62073" spans="9:9" x14ac:dyDescent="0.2">
      <c r="I62073" s="137" t="s">
        <v>74</v>
      </c>
    </row>
    <row r="62074" spans="9:9" x14ac:dyDescent="0.2">
      <c r="I62074" s="137" t="s">
        <v>74</v>
      </c>
    </row>
    <row r="62075" spans="9:9" x14ac:dyDescent="0.2">
      <c r="I62075" s="137" t="s">
        <v>74</v>
      </c>
    </row>
    <row r="62076" spans="9:9" x14ac:dyDescent="0.2">
      <c r="I62076" s="137" t="s">
        <v>74</v>
      </c>
    </row>
    <row r="62077" spans="9:9" x14ac:dyDescent="0.2">
      <c r="I62077" s="137" t="s">
        <v>74</v>
      </c>
    </row>
    <row r="62078" spans="9:9" x14ac:dyDescent="0.2">
      <c r="I62078" s="137" t="s">
        <v>74</v>
      </c>
    </row>
    <row r="62079" spans="9:9" x14ac:dyDescent="0.2">
      <c r="I62079" s="137" t="s">
        <v>74</v>
      </c>
    </row>
    <row r="62080" spans="9:9" x14ac:dyDescent="0.2">
      <c r="I62080" s="137" t="s">
        <v>74</v>
      </c>
    </row>
    <row r="62081" spans="9:9" x14ac:dyDescent="0.2">
      <c r="I62081" s="137" t="s">
        <v>74</v>
      </c>
    </row>
    <row r="62082" spans="9:9" x14ac:dyDescent="0.2">
      <c r="I62082" s="137" t="s">
        <v>74</v>
      </c>
    </row>
    <row r="62083" spans="9:9" x14ac:dyDescent="0.2">
      <c r="I62083" s="137" t="s">
        <v>74</v>
      </c>
    </row>
    <row r="62084" spans="9:9" x14ac:dyDescent="0.2">
      <c r="I62084" s="137" t="s">
        <v>74</v>
      </c>
    </row>
    <row r="62085" spans="9:9" x14ac:dyDescent="0.2">
      <c r="I62085" s="137" t="s">
        <v>74</v>
      </c>
    </row>
    <row r="62086" spans="9:9" x14ac:dyDescent="0.2">
      <c r="I62086" s="137" t="s">
        <v>74</v>
      </c>
    </row>
    <row r="62087" spans="9:9" x14ac:dyDescent="0.2">
      <c r="I62087" s="137" t="s">
        <v>74</v>
      </c>
    </row>
    <row r="62088" spans="9:9" x14ac:dyDescent="0.2">
      <c r="I62088" s="137" t="s">
        <v>74</v>
      </c>
    </row>
    <row r="62089" spans="9:9" x14ac:dyDescent="0.2">
      <c r="I62089" s="137" t="s">
        <v>74</v>
      </c>
    </row>
    <row r="62090" spans="9:9" x14ac:dyDescent="0.2">
      <c r="I62090" s="137" t="s">
        <v>74</v>
      </c>
    </row>
    <row r="62091" spans="9:9" x14ac:dyDescent="0.2">
      <c r="I62091" s="137" t="s">
        <v>74</v>
      </c>
    </row>
    <row r="62092" spans="9:9" x14ac:dyDescent="0.2">
      <c r="I62092" s="137" t="s">
        <v>74</v>
      </c>
    </row>
    <row r="62093" spans="9:9" x14ac:dyDescent="0.2">
      <c r="I62093" s="137" t="s">
        <v>74</v>
      </c>
    </row>
    <row r="62094" spans="9:9" x14ac:dyDescent="0.2">
      <c r="I62094" s="137" t="s">
        <v>74</v>
      </c>
    </row>
    <row r="62095" spans="9:9" x14ac:dyDescent="0.2">
      <c r="I62095" s="137" t="s">
        <v>74</v>
      </c>
    </row>
    <row r="62096" spans="9:9" x14ac:dyDescent="0.2">
      <c r="I62096" s="137" t="s">
        <v>74</v>
      </c>
    </row>
    <row r="62097" spans="9:9" x14ac:dyDescent="0.2">
      <c r="I62097" s="137" t="s">
        <v>74</v>
      </c>
    </row>
    <row r="62098" spans="9:9" x14ac:dyDescent="0.2">
      <c r="I62098" s="137" t="s">
        <v>74</v>
      </c>
    </row>
    <row r="62099" spans="9:9" x14ac:dyDescent="0.2">
      <c r="I62099" s="137" t="s">
        <v>74</v>
      </c>
    </row>
    <row r="62100" spans="9:9" x14ac:dyDescent="0.2">
      <c r="I62100" s="137" t="s">
        <v>74</v>
      </c>
    </row>
    <row r="62101" spans="9:9" x14ac:dyDescent="0.2">
      <c r="I62101" s="137" t="s">
        <v>74</v>
      </c>
    </row>
    <row r="62102" spans="9:9" x14ac:dyDescent="0.2">
      <c r="I62102" s="137" t="s">
        <v>74</v>
      </c>
    </row>
    <row r="62103" spans="9:9" x14ac:dyDescent="0.2">
      <c r="I62103" s="137" t="s">
        <v>74</v>
      </c>
    </row>
    <row r="62104" spans="9:9" x14ac:dyDescent="0.2">
      <c r="I62104" s="137" t="s">
        <v>74</v>
      </c>
    </row>
    <row r="62105" spans="9:9" x14ac:dyDescent="0.2">
      <c r="I62105" s="137" t="s">
        <v>74</v>
      </c>
    </row>
    <row r="62106" spans="9:9" x14ac:dyDescent="0.2">
      <c r="I62106" s="137" t="s">
        <v>74</v>
      </c>
    </row>
    <row r="62107" spans="9:9" x14ac:dyDescent="0.2">
      <c r="I62107" s="137" t="s">
        <v>74</v>
      </c>
    </row>
    <row r="62108" spans="9:9" x14ac:dyDescent="0.2">
      <c r="I62108" s="137" t="s">
        <v>74</v>
      </c>
    </row>
    <row r="62109" spans="9:9" x14ac:dyDescent="0.2">
      <c r="I62109" s="137" t="s">
        <v>74</v>
      </c>
    </row>
    <row r="62110" spans="9:9" x14ac:dyDescent="0.2">
      <c r="I62110" s="137" t="s">
        <v>74</v>
      </c>
    </row>
    <row r="62111" spans="9:9" x14ac:dyDescent="0.2">
      <c r="I62111" s="137" t="s">
        <v>74</v>
      </c>
    </row>
    <row r="62112" spans="9:9" x14ac:dyDescent="0.2">
      <c r="I62112" s="137" t="s">
        <v>74</v>
      </c>
    </row>
    <row r="62113" spans="9:9" x14ac:dyDescent="0.2">
      <c r="I62113" s="137" t="s">
        <v>74</v>
      </c>
    </row>
    <row r="62114" spans="9:9" x14ac:dyDescent="0.2">
      <c r="I62114" s="137" t="s">
        <v>74</v>
      </c>
    </row>
    <row r="62115" spans="9:9" x14ac:dyDescent="0.2">
      <c r="I62115" s="137" t="s">
        <v>74</v>
      </c>
    </row>
    <row r="62116" spans="9:9" x14ac:dyDescent="0.2">
      <c r="I62116" s="137" t="s">
        <v>74</v>
      </c>
    </row>
    <row r="62117" spans="9:9" x14ac:dyDescent="0.2">
      <c r="I62117" s="137" t="s">
        <v>74</v>
      </c>
    </row>
    <row r="62118" spans="9:9" x14ac:dyDescent="0.2">
      <c r="I62118" s="137" t="s">
        <v>74</v>
      </c>
    </row>
    <row r="62119" spans="9:9" x14ac:dyDescent="0.2">
      <c r="I62119" s="137" t="s">
        <v>74</v>
      </c>
    </row>
    <row r="62120" spans="9:9" x14ac:dyDescent="0.2">
      <c r="I62120" s="137" t="s">
        <v>74</v>
      </c>
    </row>
    <row r="62121" spans="9:9" x14ac:dyDescent="0.2">
      <c r="I62121" s="137" t="s">
        <v>74</v>
      </c>
    </row>
    <row r="62122" spans="9:9" x14ac:dyDescent="0.2">
      <c r="I62122" s="137" t="s">
        <v>74</v>
      </c>
    </row>
    <row r="62123" spans="9:9" x14ac:dyDescent="0.2">
      <c r="I62123" s="137" t="s">
        <v>74</v>
      </c>
    </row>
    <row r="62124" spans="9:9" x14ac:dyDescent="0.2">
      <c r="I62124" s="137" t="s">
        <v>74</v>
      </c>
    </row>
    <row r="62125" spans="9:9" x14ac:dyDescent="0.2">
      <c r="I62125" s="137" t="s">
        <v>74</v>
      </c>
    </row>
    <row r="62126" spans="9:9" x14ac:dyDescent="0.2">
      <c r="I62126" s="137" t="s">
        <v>74</v>
      </c>
    </row>
    <row r="62127" spans="9:9" x14ac:dyDescent="0.2">
      <c r="I62127" s="137" t="s">
        <v>74</v>
      </c>
    </row>
    <row r="62128" spans="9:9" x14ac:dyDescent="0.2">
      <c r="I62128" s="137" t="s">
        <v>74</v>
      </c>
    </row>
    <row r="62129" spans="9:9" x14ac:dyDescent="0.2">
      <c r="I62129" s="137" t="s">
        <v>74</v>
      </c>
    </row>
    <row r="62130" spans="9:9" x14ac:dyDescent="0.2">
      <c r="I62130" s="137" t="s">
        <v>74</v>
      </c>
    </row>
    <row r="62131" spans="9:9" x14ac:dyDescent="0.2">
      <c r="I62131" s="137" t="s">
        <v>74</v>
      </c>
    </row>
    <row r="62132" spans="9:9" x14ac:dyDescent="0.2">
      <c r="I62132" s="137" t="s">
        <v>74</v>
      </c>
    </row>
    <row r="62133" spans="9:9" x14ac:dyDescent="0.2">
      <c r="I62133" s="137" t="s">
        <v>74</v>
      </c>
    </row>
    <row r="62134" spans="9:9" x14ac:dyDescent="0.2">
      <c r="I62134" s="137" t="s">
        <v>74</v>
      </c>
    </row>
    <row r="62135" spans="9:9" x14ac:dyDescent="0.2">
      <c r="I62135" s="137" t="s">
        <v>74</v>
      </c>
    </row>
    <row r="62136" spans="9:9" x14ac:dyDescent="0.2">
      <c r="I62136" s="137" t="s">
        <v>74</v>
      </c>
    </row>
    <row r="62137" spans="9:9" x14ac:dyDescent="0.2">
      <c r="I62137" s="137" t="s">
        <v>74</v>
      </c>
    </row>
    <row r="62138" spans="9:9" x14ac:dyDescent="0.2">
      <c r="I62138" s="137" t="s">
        <v>74</v>
      </c>
    </row>
    <row r="62139" spans="9:9" x14ac:dyDescent="0.2">
      <c r="I62139" s="137" t="s">
        <v>74</v>
      </c>
    </row>
    <row r="62140" spans="9:9" x14ac:dyDescent="0.2">
      <c r="I62140" s="137" t="s">
        <v>74</v>
      </c>
    </row>
    <row r="62141" spans="9:9" x14ac:dyDescent="0.2">
      <c r="I62141" s="137" t="s">
        <v>74</v>
      </c>
    </row>
    <row r="62142" spans="9:9" x14ac:dyDescent="0.2">
      <c r="I62142" s="137" t="s">
        <v>74</v>
      </c>
    </row>
    <row r="62143" spans="9:9" x14ac:dyDescent="0.2">
      <c r="I62143" s="137" t="s">
        <v>74</v>
      </c>
    </row>
    <row r="62144" spans="9:9" x14ac:dyDescent="0.2">
      <c r="I62144" s="137" t="s">
        <v>74</v>
      </c>
    </row>
    <row r="62145" spans="9:9" x14ac:dyDescent="0.2">
      <c r="I62145" s="137" t="s">
        <v>74</v>
      </c>
    </row>
    <row r="62146" spans="9:9" x14ac:dyDescent="0.2">
      <c r="I62146" s="137" t="s">
        <v>74</v>
      </c>
    </row>
    <row r="62147" spans="9:9" x14ac:dyDescent="0.2">
      <c r="I62147" s="137" t="s">
        <v>74</v>
      </c>
    </row>
    <row r="62148" spans="9:9" x14ac:dyDescent="0.2">
      <c r="I62148" s="137" t="s">
        <v>74</v>
      </c>
    </row>
    <row r="62149" spans="9:9" x14ac:dyDescent="0.2">
      <c r="I62149" s="137" t="s">
        <v>74</v>
      </c>
    </row>
    <row r="62150" spans="9:9" x14ac:dyDescent="0.2">
      <c r="I62150" s="137" t="s">
        <v>74</v>
      </c>
    </row>
    <row r="62151" spans="9:9" x14ac:dyDescent="0.2">
      <c r="I62151" s="137" t="s">
        <v>74</v>
      </c>
    </row>
    <row r="62152" spans="9:9" x14ac:dyDescent="0.2">
      <c r="I62152" s="137" t="s">
        <v>74</v>
      </c>
    </row>
    <row r="62153" spans="9:9" x14ac:dyDescent="0.2">
      <c r="I62153" s="137" t="s">
        <v>74</v>
      </c>
    </row>
    <row r="62154" spans="9:9" x14ac:dyDescent="0.2">
      <c r="I62154" s="137" t="s">
        <v>74</v>
      </c>
    </row>
    <row r="62155" spans="9:9" x14ac:dyDescent="0.2">
      <c r="I62155" s="137" t="s">
        <v>74</v>
      </c>
    </row>
    <row r="62156" spans="9:9" x14ac:dyDescent="0.2">
      <c r="I62156" s="137" t="s">
        <v>74</v>
      </c>
    </row>
    <row r="62157" spans="9:9" x14ac:dyDescent="0.2">
      <c r="I62157" s="137" t="s">
        <v>74</v>
      </c>
    </row>
    <row r="62158" spans="9:9" x14ac:dyDescent="0.2">
      <c r="I62158" s="137" t="s">
        <v>74</v>
      </c>
    </row>
    <row r="62159" spans="9:9" x14ac:dyDescent="0.2">
      <c r="I62159" s="137" t="s">
        <v>74</v>
      </c>
    </row>
    <row r="62160" spans="9:9" x14ac:dyDescent="0.2">
      <c r="I62160" s="137" t="s">
        <v>74</v>
      </c>
    </row>
    <row r="62161" spans="9:9" x14ac:dyDescent="0.2">
      <c r="I62161" s="137" t="s">
        <v>74</v>
      </c>
    </row>
    <row r="62162" spans="9:9" x14ac:dyDescent="0.2">
      <c r="I62162" s="137" t="s">
        <v>74</v>
      </c>
    </row>
    <row r="62163" spans="9:9" x14ac:dyDescent="0.2">
      <c r="I62163" s="137" t="s">
        <v>74</v>
      </c>
    </row>
    <row r="62164" spans="9:9" x14ac:dyDescent="0.2">
      <c r="I62164" s="137" t="s">
        <v>74</v>
      </c>
    </row>
    <row r="62165" spans="9:9" x14ac:dyDescent="0.2">
      <c r="I62165" s="137" t="s">
        <v>74</v>
      </c>
    </row>
    <row r="62166" spans="9:9" x14ac:dyDescent="0.2">
      <c r="I62166" s="137" t="s">
        <v>74</v>
      </c>
    </row>
    <row r="62167" spans="9:9" x14ac:dyDescent="0.2">
      <c r="I62167" s="137" t="s">
        <v>74</v>
      </c>
    </row>
    <row r="62168" spans="9:9" x14ac:dyDescent="0.2">
      <c r="I62168" s="137" t="s">
        <v>74</v>
      </c>
    </row>
    <row r="62169" spans="9:9" x14ac:dyDescent="0.2">
      <c r="I62169" s="137" t="s">
        <v>74</v>
      </c>
    </row>
    <row r="62170" spans="9:9" x14ac:dyDescent="0.2">
      <c r="I62170" s="137" t="s">
        <v>74</v>
      </c>
    </row>
    <row r="62171" spans="9:9" x14ac:dyDescent="0.2">
      <c r="I62171" s="137" t="s">
        <v>74</v>
      </c>
    </row>
    <row r="62172" spans="9:9" x14ac:dyDescent="0.2">
      <c r="I62172" s="137" t="s">
        <v>74</v>
      </c>
    </row>
    <row r="62173" spans="9:9" x14ac:dyDescent="0.2">
      <c r="I62173" s="137" t="s">
        <v>74</v>
      </c>
    </row>
    <row r="62174" spans="9:9" x14ac:dyDescent="0.2">
      <c r="I62174" s="137" t="s">
        <v>74</v>
      </c>
    </row>
    <row r="62175" spans="9:9" x14ac:dyDescent="0.2">
      <c r="I62175" s="137" t="s">
        <v>74</v>
      </c>
    </row>
    <row r="62176" spans="9:9" x14ac:dyDescent="0.2">
      <c r="I62176" s="137" t="s">
        <v>74</v>
      </c>
    </row>
    <row r="62177" spans="9:9" x14ac:dyDescent="0.2">
      <c r="I62177" s="137" t="s">
        <v>74</v>
      </c>
    </row>
    <row r="62178" spans="9:9" x14ac:dyDescent="0.2">
      <c r="I62178" s="137" t="s">
        <v>74</v>
      </c>
    </row>
    <row r="62179" spans="9:9" x14ac:dyDescent="0.2">
      <c r="I62179" s="137" t="s">
        <v>74</v>
      </c>
    </row>
    <row r="62180" spans="9:9" x14ac:dyDescent="0.2">
      <c r="I62180" s="137" t="s">
        <v>74</v>
      </c>
    </row>
    <row r="62181" spans="9:9" x14ac:dyDescent="0.2">
      <c r="I62181" s="137" t="s">
        <v>74</v>
      </c>
    </row>
    <row r="62182" spans="9:9" x14ac:dyDescent="0.2">
      <c r="I62182" s="137" t="s">
        <v>74</v>
      </c>
    </row>
    <row r="62183" spans="9:9" x14ac:dyDescent="0.2">
      <c r="I62183" s="137" t="s">
        <v>74</v>
      </c>
    </row>
    <row r="62184" spans="9:9" x14ac:dyDescent="0.2">
      <c r="I62184" s="137" t="s">
        <v>74</v>
      </c>
    </row>
    <row r="62185" spans="9:9" x14ac:dyDescent="0.2">
      <c r="I62185" s="137" t="s">
        <v>74</v>
      </c>
    </row>
    <row r="62186" spans="9:9" x14ac:dyDescent="0.2">
      <c r="I62186" s="137" t="s">
        <v>74</v>
      </c>
    </row>
    <row r="62187" spans="9:9" x14ac:dyDescent="0.2">
      <c r="I62187" s="137" t="s">
        <v>74</v>
      </c>
    </row>
    <row r="62188" spans="9:9" x14ac:dyDescent="0.2">
      <c r="I62188" s="137" t="s">
        <v>74</v>
      </c>
    </row>
    <row r="62189" spans="9:9" x14ac:dyDescent="0.2">
      <c r="I62189" s="137" t="s">
        <v>74</v>
      </c>
    </row>
    <row r="62190" spans="9:9" x14ac:dyDescent="0.2">
      <c r="I62190" s="137" t="s">
        <v>74</v>
      </c>
    </row>
    <row r="62191" spans="9:9" x14ac:dyDescent="0.2">
      <c r="I62191" s="137" t="s">
        <v>74</v>
      </c>
    </row>
    <row r="62192" spans="9:9" x14ac:dyDescent="0.2">
      <c r="I62192" s="137" t="s">
        <v>74</v>
      </c>
    </row>
    <row r="62193" spans="9:9" x14ac:dyDescent="0.2">
      <c r="I62193" s="137" t="s">
        <v>74</v>
      </c>
    </row>
    <row r="62194" spans="9:9" x14ac:dyDescent="0.2">
      <c r="I62194" s="137" t="s">
        <v>74</v>
      </c>
    </row>
    <row r="62195" spans="9:9" x14ac:dyDescent="0.2">
      <c r="I62195" s="137" t="s">
        <v>74</v>
      </c>
    </row>
    <row r="62196" spans="9:9" x14ac:dyDescent="0.2">
      <c r="I62196" s="137" t="s">
        <v>74</v>
      </c>
    </row>
    <row r="62197" spans="9:9" x14ac:dyDescent="0.2">
      <c r="I62197" s="137" t="s">
        <v>74</v>
      </c>
    </row>
    <row r="62198" spans="9:9" x14ac:dyDescent="0.2">
      <c r="I62198" s="137" t="s">
        <v>74</v>
      </c>
    </row>
    <row r="62199" spans="9:9" x14ac:dyDescent="0.2">
      <c r="I62199" s="137" t="s">
        <v>74</v>
      </c>
    </row>
    <row r="62200" spans="9:9" x14ac:dyDescent="0.2">
      <c r="I62200" s="137" t="s">
        <v>74</v>
      </c>
    </row>
    <row r="62201" spans="9:9" x14ac:dyDescent="0.2">
      <c r="I62201" s="137" t="s">
        <v>74</v>
      </c>
    </row>
    <row r="62202" spans="9:9" x14ac:dyDescent="0.2">
      <c r="I62202" s="137" t="s">
        <v>74</v>
      </c>
    </row>
    <row r="62203" spans="9:9" x14ac:dyDescent="0.2">
      <c r="I62203" s="137" t="s">
        <v>74</v>
      </c>
    </row>
    <row r="62204" spans="9:9" x14ac:dyDescent="0.2">
      <c r="I62204" s="137" t="s">
        <v>74</v>
      </c>
    </row>
    <row r="62205" spans="9:9" x14ac:dyDescent="0.2">
      <c r="I62205" s="137" t="s">
        <v>74</v>
      </c>
    </row>
    <row r="62206" spans="9:9" x14ac:dyDescent="0.2">
      <c r="I62206" s="137" t="s">
        <v>74</v>
      </c>
    </row>
    <row r="62207" spans="9:9" x14ac:dyDescent="0.2">
      <c r="I62207" s="137" t="s">
        <v>74</v>
      </c>
    </row>
    <row r="62208" spans="9:9" x14ac:dyDescent="0.2">
      <c r="I62208" s="137" t="s">
        <v>74</v>
      </c>
    </row>
    <row r="62209" spans="9:9" x14ac:dyDescent="0.2">
      <c r="I62209" s="137" t="s">
        <v>74</v>
      </c>
    </row>
    <row r="62210" spans="9:9" x14ac:dyDescent="0.2">
      <c r="I62210" s="137" t="s">
        <v>74</v>
      </c>
    </row>
    <row r="62211" spans="9:9" x14ac:dyDescent="0.2">
      <c r="I62211" s="137" t="s">
        <v>74</v>
      </c>
    </row>
    <row r="62212" spans="9:9" x14ac:dyDescent="0.2">
      <c r="I62212" s="137" t="s">
        <v>74</v>
      </c>
    </row>
    <row r="62213" spans="9:9" x14ac:dyDescent="0.2">
      <c r="I62213" s="137" t="s">
        <v>74</v>
      </c>
    </row>
    <row r="62214" spans="9:9" x14ac:dyDescent="0.2">
      <c r="I62214" s="137" t="s">
        <v>74</v>
      </c>
    </row>
    <row r="62215" spans="9:9" x14ac:dyDescent="0.2">
      <c r="I62215" s="137" t="s">
        <v>74</v>
      </c>
    </row>
    <row r="62216" spans="9:9" x14ac:dyDescent="0.2">
      <c r="I62216" s="137" t="s">
        <v>74</v>
      </c>
    </row>
    <row r="62217" spans="9:9" x14ac:dyDescent="0.2">
      <c r="I62217" s="137" t="s">
        <v>74</v>
      </c>
    </row>
    <row r="62218" spans="9:9" x14ac:dyDescent="0.2">
      <c r="I62218" s="137" t="s">
        <v>74</v>
      </c>
    </row>
    <row r="62219" spans="9:9" x14ac:dyDescent="0.2">
      <c r="I62219" s="137" t="s">
        <v>74</v>
      </c>
    </row>
    <row r="62220" spans="9:9" x14ac:dyDescent="0.2">
      <c r="I62220" s="137" t="s">
        <v>74</v>
      </c>
    </row>
    <row r="62221" spans="9:9" x14ac:dyDescent="0.2">
      <c r="I62221" s="137" t="s">
        <v>74</v>
      </c>
    </row>
    <row r="62222" spans="9:9" x14ac:dyDescent="0.2">
      <c r="I62222" s="137" t="s">
        <v>74</v>
      </c>
    </row>
    <row r="62223" spans="9:9" x14ac:dyDescent="0.2">
      <c r="I62223" s="137" t="s">
        <v>74</v>
      </c>
    </row>
    <row r="62224" spans="9:9" x14ac:dyDescent="0.2">
      <c r="I62224" s="137" t="s">
        <v>74</v>
      </c>
    </row>
    <row r="62225" spans="9:9" x14ac:dyDescent="0.2">
      <c r="I62225" s="137" t="s">
        <v>74</v>
      </c>
    </row>
    <row r="62226" spans="9:9" x14ac:dyDescent="0.2">
      <c r="I62226" s="137" t="s">
        <v>74</v>
      </c>
    </row>
    <row r="62227" spans="9:9" x14ac:dyDescent="0.2">
      <c r="I62227" s="137" t="s">
        <v>74</v>
      </c>
    </row>
    <row r="62228" spans="9:9" x14ac:dyDescent="0.2">
      <c r="I62228" s="137" t="s">
        <v>74</v>
      </c>
    </row>
    <row r="62229" spans="9:9" x14ac:dyDescent="0.2">
      <c r="I62229" s="137" t="s">
        <v>74</v>
      </c>
    </row>
    <row r="62230" spans="9:9" x14ac:dyDescent="0.2">
      <c r="I62230" s="137" t="s">
        <v>74</v>
      </c>
    </row>
    <row r="62231" spans="9:9" x14ac:dyDescent="0.2">
      <c r="I62231" s="137" t="s">
        <v>74</v>
      </c>
    </row>
    <row r="62232" spans="9:9" x14ac:dyDescent="0.2">
      <c r="I62232" s="137" t="s">
        <v>74</v>
      </c>
    </row>
    <row r="62233" spans="9:9" x14ac:dyDescent="0.2">
      <c r="I62233" s="137" t="s">
        <v>74</v>
      </c>
    </row>
    <row r="62234" spans="9:9" x14ac:dyDescent="0.2">
      <c r="I62234" s="137" t="s">
        <v>74</v>
      </c>
    </row>
    <row r="62235" spans="9:9" x14ac:dyDescent="0.2">
      <c r="I62235" s="137" t="s">
        <v>74</v>
      </c>
    </row>
    <row r="62236" spans="9:9" x14ac:dyDescent="0.2">
      <c r="I62236" s="137" t="s">
        <v>74</v>
      </c>
    </row>
    <row r="62237" spans="9:9" x14ac:dyDescent="0.2">
      <c r="I62237" s="137" t="s">
        <v>74</v>
      </c>
    </row>
    <row r="62238" spans="9:9" x14ac:dyDescent="0.2">
      <c r="I62238" s="137" t="s">
        <v>74</v>
      </c>
    </row>
    <row r="62239" spans="9:9" x14ac:dyDescent="0.2">
      <c r="I62239" s="137" t="s">
        <v>74</v>
      </c>
    </row>
    <row r="62240" spans="9:9" x14ac:dyDescent="0.2">
      <c r="I62240" s="137" t="s">
        <v>74</v>
      </c>
    </row>
    <row r="62241" spans="9:9" x14ac:dyDescent="0.2">
      <c r="I62241" s="137" t="s">
        <v>74</v>
      </c>
    </row>
    <row r="62242" spans="9:9" x14ac:dyDescent="0.2">
      <c r="I62242" s="137" t="s">
        <v>74</v>
      </c>
    </row>
    <row r="62243" spans="9:9" x14ac:dyDescent="0.2">
      <c r="I62243" s="137" t="s">
        <v>74</v>
      </c>
    </row>
    <row r="62244" spans="9:9" x14ac:dyDescent="0.2">
      <c r="I62244" s="137" t="s">
        <v>74</v>
      </c>
    </row>
    <row r="62245" spans="9:9" x14ac:dyDescent="0.2">
      <c r="I62245" s="137" t="s">
        <v>74</v>
      </c>
    </row>
    <row r="62246" spans="9:9" x14ac:dyDescent="0.2">
      <c r="I62246" s="137" t="s">
        <v>74</v>
      </c>
    </row>
    <row r="62247" spans="9:9" x14ac:dyDescent="0.2">
      <c r="I62247" s="137" t="s">
        <v>74</v>
      </c>
    </row>
    <row r="62248" spans="9:9" x14ac:dyDescent="0.2">
      <c r="I62248" s="137" t="s">
        <v>74</v>
      </c>
    </row>
    <row r="62249" spans="9:9" x14ac:dyDescent="0.2">
      <c r="I62249" s="137" t="s">
        <v>74</v>
      </c>
    </row>
    <row r="62250" spans="9:9" x14ac:dyDescent="0.2">
      <c r="I62250" s="137" t="s">
        <v>74</v>
      </c>
    </row>
    <row r="62251" spans="9:9" x14ac:dyDescent="0.2">
      <c r="I62251" s="137" t="s">
        <v>74</v>
      </c>
    </row>
    <row r="62252" spans="9:9" x14ac:dyDescent="0.2">
      <c r="I62252" s="137" t="s">
        <v>74</v>
      </c>
    </row>
    <row r="62253" spans="9:9" x14ac:dyDescent="0.2">
      <c r="I62253" s="137" t="s">
        <v>74</v>
      </c>
    </row>
    <row r="62254" spans="9:9" x14ac:dyDescent="0.2">
      <c r="I62254" s="137" t="s">
        <v>74</v>
      </c>
    </row>
    <row r="62255" spans="9:9" x14ac:dyDescent="0.2">
      <c r="I62255" s="137" t="s">
        <v>74</v>
      </c>
    </row>
    <row r="62256" spans="9:9" x14ac:dyDescent="0.2">
      <c r="I62256" s="137" t="s">
        <v>74</v>
      </c>
    </row>
    <row r="62257" spans="9:9" x14ac:dyDescent="0.2">
      <c r="I62257" s="137" t="s">
        <v>74</v>
      </c>
    </row>
    <row r="62258" spans="9:9" x14ac:dyDescent="0.2">
      <c r="I62258" s="137" t="s">
        <v>74</v>
      </c>
    </row>
    <row r="62259" spans="9:9" x14ac:dyDescent="0.2">
      <c r="I62259" s="137" t="s">
        <v>74</v>
      </c>
    </row>
    <row r="62260" spans="9:9" x14ac:dyDescent="0.2">
      <c r="I62260" s="137" t="s">
        <v>74</v>
      </c>
    </row>
    <row r="62261" spans="9:9" x14ac:dyDescent="0.2">
      <c r="I62261" s="137" t="s">
        <v>74</v>
      </c>
    </row>
    <row r="62262" spans="9:9" x14ac:dyDescent="0.2">
      <c r="I62262" s="137" t="s">
        <v>74</v>
      </c>
    </row>
    <row r="62263" spans="9:9" x14ac:dyDescent="0.2">
      <c r="I62263" s="137" t="s">
        <v>74</v>
      </c>
    </row>
    <row r="62264" spans="9:9" x14ac:dyDescent="0.2">
      <c r="I62264" s="137" t="s">
        <v>74</v>
      </c>
    </row>
    <row r="62265" spans="9:9" x14ac:dyDescent="0.2">
      <c r="I62265" s="137" t="s">
        <v>74</v>
      </c>
    </row>
    <row r="62266" spans="9:9" x14ac:dyDescent="0.2">
      <c r="I62266" s="137" t="s">
        <v>74</v>
      </c>
    </row>
    <row r="62267" spans="9:9" x14ac:dyDescent="0.2">
      <c r="I62267" s="137" t="s">
        <v>74</v>
      </c>
    </row>
    <row r="62268" spans="9:9" x14ac:dyDescent="0.2">
      <c r="I62268" s="137" t="s">
        <v>74</v>
      </c>
    </row>
    <row r="62269" spans="9:9" x14ac:dyDescent="0.2">
      <c r="I62269" s="137" t="s">
        <v>74</v>
      </c>
    </row>
    <row r="62270" spans="9:9" x14ac:dyDescent="0.2">
      <c r="I62270" s="137" t="s">
        <v>74</v>
      </c>
    </row>
    <row r="62271" spans="9:9" x14ac:dyDescent="0.2">
      <c r="I62271" s="137" t="s">
        <v>74</v>
      </c>
    </row>
    <row r="62272" spans="9:9" x14ac:dyDescent="0.2">
      <c r="I62272" s="137" t="s">
        <v>74</v>
      </c>
    </row>
    <row r="62273" spans="9:9" x14ac:dyDescent="0.2">
      <c r="I62273" s="137" t="s">
        <v>74</v>
      </c>
    </row>
    <row r="62274" spans="9:9" x14ac:dyDescent="0.2">
      <c r="I62274" s="137" t="s">
        <v>74</v>
      </c>
    </row>
    <row r="62275" spans="9:9" x14ac:dyDescent="0.2">
      <c r="I62275" s="137" t="s">
        <v>74</v>
      </c>
    </row>
    <row r="62276" spans="9:9" x14ac:dyDescent="0.2">
      <c r="I62276" s="137" t="s">
        <v>74</v>
      </c>
    </row>
    <row r="62277" spans="9:9" x14ac:dyDescent="0.2">
      <c r="I62277" s="137" t="s">
        <v>74</v>
      </c>
    </row>
    <row r="62278" spans="9:9" x14ac:dyDescent="0.2">
      <c r="I62278" s="137" t="s">
        <v>74</v>
      </c>
    </row>
    <row r="62279" spans="9:9" x14ac:dyDescent="0.2">
      <c r="I62279" s="137" t="s">
        <v>74</v>
      </c>
    </row>
    <row r="62280" spans="9:9" x14ac:dyDescent="0.2">
      <c r="I62280" s="137" t="s">
        <v>74</v>
      </c>
    </row>
    <row r="62281" spans="9:9" x14ac:dyDescent="0.2">
      <c r="I62281" s="137" t="s">
        <v>74</v>
      </c>
    </row>
    <row r="62282" spans="9:9" x14ac:dyDescent="0.2">
      <c r="I62282" s="137" t="s">
        <v>74</v>
      </c>
    </row>
    <row r="62283" spans="9:9" x14ac:dyDescent="0.2">
      <c r="I62283" s="137" t="s">
        <v>74</v>
      </c>
    </row>
    <row r="62284" spans="9:9" x14ac:dyDescent="0.2">
      <c r="I62284" s="137" t="s">
        <v>74</v>
      </c>
    </row>
    <row r="62285" spans="9:9" x14ac:dyDescent="0.2">
      <c r="I62285" s="137" t="s">
        <v>74</v>
      </c>
    </row>
    <row r="62286" spans="9:9" x14ac:dyDescent="0.2">
      <c r="I62286" s="137" t="s">
        <v>74</v>
      </c>
    </row>
    <row r="62287" spans="9:9" x14ac:dyDescent="0.2">
      <c r="I62287" s="137" t="s">
        <v>74</v>
      </c>
    </row>
    <row r="62288" spans="9:9" x14ac:dyDescent="0.2">
      <c r="I62288" s="137" t="s">
        <v>74</v>
      </c>
    </row>
    <row r="62289" spans="9:9" x14ac:dyDescent="0.2">
      <c r="I62289" s="137" t="s">
        <v>74</v>
      </c>
    </row>
    <row r="62290" spans="9:9" x14ac:dyDescent="0.2">
      <c r="I62290" s="137" t="s">
        <v>74</v>
      </c>
    </row>
    <row r="62291" spans="9:9" x14ac:dyDescent="0.2">
      <c r="I62291" s="137" t="s">
        <v>74</v>
      </c>
    </row>
    <row r="62292" spans="9:9" x14ac:dyDescent="0.2">
      <c r="I62292" s="137" t="s">
        <v>74</v>
      </c>
    </row>
    <row r="62293" spans="9:9" x14ac:dyDescent="0.2">
      <c r="I62293" s="137" t="s">
        <v>74</v>
      </c>
    </row>
    <row r="62294" spans="9:9" x14ac:dyDescent="0.2">
      <c r="I62294" s="137" t="s">
        <v>74</v>
      </c>
    </row>
    <row r="62295" spans="9:9" x14ac:dyDescent="0.2">
      <c r="I62295" s="137" t="s">
        <v>74</v>
      </c>
    </row>
    <row r="62296" spans="9:9" x14ac:dyDescent="0.2">
      <c r="I62296" s="137" t="s">
        <v>74</v>
      </c>
    </row>
    <row r="62297" spans="9:9" x14ac:dyDescent="0.2">
      <c r="I62297" s="137" t="s">
        <v>74</v>
      </c>
    </row>
    <row r="62298" spans="9:9" x14ac:dyDescent="0.2">
      <c r="I62298" s="137" t="s">
        <v>74</v>
      </c>
    </row>
    <row r="62299" spans="9:9" x14ac:dyDescent="0.2">
      <c r="I62299" s="137" t="s">
        <v>74</v>
      </c>
    </row>
    <row r="62300" spans="9:9" x14ac:dyDescent="0.2">
      <c r="I62300" s="137" t="s">
        <v>74</v>
      </c>
    </row>
    <row r="62301" spans="9:9" x14ac:dyDescent="0.2">
      <c r="I62301" s="137" t="s">
        <v>74</v>
      </c>
    </row>
    <row r="62302" spans="9:9" x14ac:dyDescent="0.2">
      <c r="I62302" s="137" t="s">
        <v>74</v>
      </c>
    </row>
    <row r="62303" spans="9:9" x14ac:dyDescent="0.2">
      <c r="I62303" s="137" t="s">
        <v>74</v>
      </c>
    </row>
    <row r="62304" spans="9:9" x14ac:dyDescent="0.2">
      <c r="I62304" s="137" t="s">
        <v>74</v>
      </c>
    </row>
    <row r="62305" spans="9:9" x14ac:dyDescent="0.2">
      <c r="I62305" s="137" t="s">
        <v>74</v>
      </c>
    </row>
    <row r="62306" spans="9:9" x14ac:dyDescent="0.2">
      <c r="I62306" s="137" t="s">
        <v>74</v>
      </c>
    </row>
    <row r="62307" spans="9:9" x14ac:dyDescent="0.2">
      <c r="I62307" s="137" t="s">
        <v>74</v>
      </c>
    </row>
    <row r="62308" spans="9:9" x14ac:dyDescent="0.2">
      <c r="I62308" s="137" t="s">
        <v>74</v>
      </c>
    </row>
    <row r="62309" spans="9:9" x14ac:dyDescent="0.2">
      <c r="I62309" s="137" t="s">
        <v>74</v>
      </c>
    </row>
    <row r="62310" spans="9:9" x14ac:dyDescent="0.2">
      <c r="I62310" s="137" t="s">
        <v>74</v>
      </c>
    </row>
    <row r="62311" spans="9:9" x14ac:dyDescent="0.2">
      <c r="I62311" s="137" t="s">
        <v>74</v>
      </c>
    </row>
    <row r="62312" spans="9:9" x14ac:dyDescent="0.2">
      <c r="I62312" s="137" t="s">
        <v>74</v>
      </c>
    </row>
    <row r="62313" spans="9:9" x14ac:dyDescent="0.2">
      <c r="I62313" s="137" t="s">
        <v>74</v>
      </c>
    </row>
    <row r="62314" spans="9:9" x14ac:dyDescent="0.2">
      <c r="I62314" s="137" t="s">
        <v>74</v>
      </c>
    </row>
    <row r="62315" spans="9:9" x14ac:dyDescent="0.2">
      <c r="I62315" s="137" t="s">
        <v>74</v>
      </c>
    </row>
    <row r="62316" spans="9:9" x14ac:dyDescent="0.2">
      <c r="I62316" s="137" t="s">
        <v>74</v>
      </c>
    </row>
    <row r="62317" spans="9:9" x14ac:dyDescent="0.2">
      <c r="I62317" s="137" t="s">
        <v>74</v>
      </c>
    </row>
    <row r="62318" spans="9:9" x14ac:dyDescent="0.2">
      <c r="I62318" s="137" t="s">
        <v>74</v>
      </c>
    </row>
    <row r="62319" spans="9:9" x14ac:dyDescent="0.2">
      <c r="I62319" s="137" t="s">
        <v>74</v>
      </c>
    </row>
    <row r="62320" spans="9:9" x14ac:dyDescent="0.2">
      <c r="I62320" s="137" t="s">
        <v>74</v>
      </c>
    </row>
    <row r="62321" spans="9:9" x14ac:dyDescent="0.2">
      <c r="I62321" s="137" t="s">
        <v>74</v>
      </c>
    </row>
    <row r="62322" spans="9:9" x14ac:dyDescent="0.2">
      <c r="I62322" s="137" t="s">
        <v>74</v>
      </c>
    </row>
    <row r="62323" spans="9:9" x14ac:dyDescent="0.2">
      <c r="I62323" s="137" t="s">
        <v>74</v>
      </c>
    </row>
    <row r="62324" spans="9:9" x14ac:dyDescent="0.2">
      <c r="I62324" s="137" t="s">
        <v>74</v>
      </c>
    </row>
    <row r="62325" spans="9:9" x14ac:dyDescent="0.2">
      <c r="I62325" s="137" t="s">
        <v>74</v>
      </c>
    </row>
    <row r="62326" spans="9:9" x14ac:dyDescent="0.2">
      <c r="I62326" s="137" t="s">
        <v>74</v>
      </c>
    </row>
    <row r="62327" spans="9:9" x14ac:dyDescent="0.2">
      <c r="I62327" s="137" t="s">
        <v>74</v>
      </c>
    </row>
    <row r="62328" spans="9:9" x14ac:dyDescent="0.2">
      <c r="I62328" s="137" t="s">
        <v>74</v>
      </c>
    </row>
    <row r="62329" spans="9:9" x14ac:dyDescent="0.2">
      <c r="I62329" s="137" t="s">
        <v>74</v>
      </c>
    </row>
    <row r="62330" spans="9:9" x14ac:dyDescent="0.2">
      <c r="I62330" s="137" t="s">
        <v>74</v>
      </c>
    </row>
    <row r="62331" spans="9:9" x14ac:dyDescent="0.2">
      <c r="I62331" s="137" t="s">
        <v>74</v>
      </c>
    </row>
    <row r="62332" spans="9:9" x14ac:dyDescent="0.2">
      <c r="I62332" s="137" t="s">
        <v>74</v>
      </c>
    </row>
    <row r="62333" spans="9:9" x14ac:dyDescent="0.2">
      <c r="I62333" s="137" t="s">
        <v>74</v>
      </c>
    </row>
    <row r="62334" spans="9:9" x14ac:dyDescent="0.2">
      <c r="I62334" s="137" t="s">
        <v>74</v>
      </c>
    </row>
    <row r="62335" spans="9:9" x14ac:dyDescent="0.2">
      <c r="I62335" s="137" t="s">
        <v>74</v>
      </c>
    </row>
    <row r="62336" spans="9:9" x14ac:dyDescent="0.2">
      <c r="I62336" s="137" t="s">
        <v>74</v>
      </c>
    </row>
    <row r="62337" spans="9:9" x14ac:dyDescent="0.2">
      <c r="I62337" s="137" t="s">
        <v>74</v>
      </c>
    </row>
    <row r="62338" spans="9:9" x14ac:dyDescent="0.2">
      <c r="I62338" s="137" t="s">
        <v>74</v>
      </c>
    </row>
    <row r="62339" spans="9:9" x14ac:dyDescent="0.2">
      <c r="I62339" s="137" t="s">
        <v>74</v>
      </c>
    </row>
    <row r="62340" spans="9:9" x14ac:dyDescent="0.2">
      <c r="I62340" s="137" t="s">
        <v>74</v>
      </c>
    </row>
    <row r="62341" spans="9:9" x14ac:dyDescent="0.2">
      <c r="I62341" s="137" t="s">
        <v>74</v>
      </c>
    </row>
    <row r="62342" spans="9:9" x14ac:dyDescent="0.2">
      <c r="I62342" s="137" t="s">
        <v>74</v>
      </c>
    </row>
    <row r="62343" spans="9:9" x14ac:dyDescent="0.2">
      <c r="I62343" s="137" t="s">
        <v>74</v>
      </c>
    </row>
    <row r="62344" spans="9:9" x14ac:dyDescent="0.2">
      <c r="I62344" s="137" t="s">
        <v>74</v>
      </c>
    </row>
    <row r="62345" spans="9:9" x14ac:dyDescent="0.2">
      <c r="I62345" s="137" t="s">
        <v>74</v>
      </c>
    </row>
    <row r="62346" spans="9:9" x14ac:dyDescent="0.2">
      <c r="I62346" s="137" t="s">
        <v>74</v>
      </c>
    </row>
    <row r="62347" spans="9:9" x14ac:dyDescent="0.2">
      <c r="I62347" s="137" t="s">
        <v>74</v>
      </c>
    </row>
    <row r="62348" spans="9:9" x14ac:dyDescent="0.2">
      <c r="I62348" s="137" t="s">
        <v>74</v>
      </c>
    </row>
    <row r="62349" spans="9:9" x14ac:dyDescent="0.2">
      <c r="I62349" s="137" t="s">
        <v>74</v>
      </c>
    </row>
    <row r="62350" spans="9:9" x14ac:dyDescent="0.2">
      <c r="I62350" s="137" t="s">
        <v>74</v>
      </c>
    </row>
    <row r="62351" spans="9:9" x14ac:dyDescent="0.2">
      <c r="I62351" s="137" t="s">
        <v>74</v>
      </c>
    </row>
    <row r="62352" spans="9:9" x14ac:dyDescent="0.2">
      <c r="I62352" s="137" t="s">
        <v>74</v>
      </c>
    </row>
    <row r="62353" spans="9:9" x14ac:dyDescent="0.2">
      <c r="I62353" s="137" t="s">
        <v>74</v>
      </c>
    </row>
    <row r="62354" spans="9:9" x14ac:dyDescent="0.2">
      <c r="I62354" s="137" t="s">
        <v>74</v>
      </c>
    </row>
    <row r="62355" spans="9:9" x14ac:dyDescent="0.2">
      <c r="I62355" s="137" t="s">
        <v>74</v>
      </c>
    </row>
    <row r="62356" spans="9:9" x14ac:dyDescent="0.2">
      <c r="I62356" s="137" t="s">
        <v>74</v>
      </c>
    </row>
    <row r="62357" spans="9:9" x14ac:dyDescent="0.2">
      <c r="I62357" s="137" t="s">
        <v>74</v>
      </c>
    </row>
    <row r="62358" spans="9:9" x14ac:dyDescent="0.2">
      <c r="I62358" s="137" t="s">
        <v>74</v>
      </c>
    </row>
    <row r="62359" spans="9:9" x14ac:dyDescent="0.2">
      <c r="I62359" s="137" t="s">
        <v>74</v>
      </c>
    </row>
    <row r="62360" spans="9:9" x14ac:dyDescent="0.2">
      <c r="I62360" s="137" t="s">
        <v>74</v>
      </c>
    </row>
    <row r="62361" spans="9:9" x14ac:dyDescent="0.2">
      <c r="I62361" s="137" t="s">
        <v>74</v>
      </c>
    </row>
    <row r="62362" spans="9:9" x14ac:dyDescent="0.2">
      <c r="I62362" s="137" t="s">
        <v>74</v>
      </c>
    </row>
    <row r="62363" spans="9:9" x14ac:dyDescent="0.2">
      <c r="I62363" s="137" t="s">
        <v>74</v>
      </c>
    </row>
    <row r="62364" spans="9:9" x14ac:dyDescent="0.2">
      <c r="I62364" s="137" t="s">
        <v>74</v>
      </c>
    </row>
    <row r="62365" spans="9:9" x14ac:dyDescent="0.2">
      <c r="I62365" s="137" t="s">
        <v>74</v>
      </c>
    </row>
    <row r="62366" spans="9:9" x14ac:dyDescent="0.2">
      <c r="I62366" s="137" t="s">
        <v>74</v>
      </c>
    </row>
    <row r="62367" spans="9:9" x14ac:dyDescent="0.2">
      <c r="I62367" s="137" t="s">
        <v>74</v>
      </c>
    </row>
    <row r="62368" spans="9:9" x14ac:dyDescent="0.2">
      <c r="I62368" s="137" t="s">
        <v>74</v>
      </c>
    </row>
    <row r="62369" spans="9:9" x14ac:dyDescent="0.2">
      <c r="I62369" s="137" t="s">
        <v>74</v>
      </c>
    </row>
    <row r="62370" spans="9:9" x14ac:dyDescent="0.2">
      <c r="I62370" s="137" t="s">
        <v>74</v>
      </c>
    </row>
    <row r="62371" spans="9:9" x14ac:dyDescent="0.2">
      <c r="I62371" s="137" t="s">
        <v>74</v>
      </c>
    </row>
    <row r="62372" spans="9:9" x14ac:dyDescent="0.2">
      <c r="I62372" s="137" t="s">
        <v>74</v>
      </c>
    </row>
    <row r="62373" spans="9:9" x14ac:dyDescent="0.2">
      <c r="I62373" s="137" t="s">
        <v>74</v>
      </c>
    </row>
    <row r="62374" spans="9:9" x14ac:dyDescent="0.2">
      <c r="I62374" s="137" t="s">
        <v>74</v>
      </c>
    </row>
    <row r="62375" spans="9:9" x14ac:dyDescent="0.2">
      <c r="I62375" s="137" t="s">
        <v>74</v>
      </c>
    </row>
    <row r="62376" spans="9:9" x14ac:dyDescent="0.2">
      <c r="I62376" s="137" t="s">
        <v>74</v>
      </c>
    </row>
    <row r="62377" spans="9:9" x14ac:dyDescent="0.2">
      <c r="I62377" s="137" t="s">
        <v>74</v>
      </c>
    </row>
    <row r="62378" spans="9:9" x14ac:dyDescent="0.2">
      <c r="I62378" s="137" t="s">
        <v>74</v>
      </c>
    </row>
    <row r="62379" spans="9:9" x14ac:dyDescent="0.2">
      <c r="I62379" s="137" t="s">
        <v>74</v>
      </c>
    </row>
    <row r="62380" spans="9:9" x14ac:dyDescent="0.2">
      <c r="I62380" s="137" t="s">
        <v>74</v>
      </c>
    </row>
    <row r="62381" spans="9:9" x14ac:dyDescent="0.2">
      <c r="I62381" s="137" t="s">
        <v>74</v>
      </c>
    </row>
    <row r="62382" spans="9:9" x14ac:dyDescent="0.2">
      <c r="I62382" s="137" t="s">
        <v>74</v>
      </c>
    </row>
    <row r="62383" spans="9:9" x14ac:dyDescent="0.2">
      <c r="I62383" s="137" t="s">
        <v>74</v>
      </c>
    </row>
    <row r="62384" spans="9:9" x14ac:dyDescent="0.2">
      <c r="I62384" s="137" t="s">
        <v>74</v>
      </c>
    </row>
    <row r="62385" spans="9:9" x14ac:dyDescent="0.2">
      <c r="I62385" s="137" t="s">
        <v>74</v>
      </c>
    </row>
    <row r="62386" spans="9:9" x14ac:dyDescent="0.2">
      <c r="I62386" s="137" t="s">
        <v>74</v>
      </c>
    </row>
    <row r="62387" spans="9:9" x14ac:dyDescent="0.2">
      <c r="I62387" s="137" t="s">
        <v>74</v>
      </c>
    </row>
    <row r="62388" spans="9:9" x14ac:dyDescent="0.2">
      <c r="I62388" s="137" t="s">
        <v>74</v>
      </c>
    </row>
    <row r="62389" spans="9:9" x14ac:dyDescent="0.2">
      <c r="I62389" s="137" t="s">
        <v>74</v>
      </c>
    </row>
    <row r="62390" spans="9:9" x14ac:dyDescent="0.2">
      <c r="I62390" s="137" t="s">
        <v>74</v>
      </c>
    </row>
    <row r="62391" spans="9:9" x14ac:dyDescent="0.2">
      <c r="I62391" s="137" t="s">
        <v>74</v>
      </c>
    </row>
    <row r="62392" spans="9:9" x14ac:dyDescent="0.2">
      <c r="I62392" s="137" t="s">
        <v>74</v>
      </c>
    </row>
    <row r="62393" spans="9:9" x14ac:dyDescent="0.2">
      <c r="I62393" s="137" t="s">
        <v>74</v>
      </c>
    </row>
    <row r="62394" spans="9:9" x14ac:dyDescent="0.2">
      <c r="I62394" s="137" t="s">
        <v>74</v>
      </c>
    </row>
    <row r="62395" spans="9:9" x14ac:dyDescent="0.2">
      <c r="I62395" s="137" t="s">
        <v>74</v>
      </c>
    </row>
    <row r="62396" spans="9:9" x14ac:dyDescent="0.2">
      <c r="I62396" s="137" t="s">
        <v>74</v>
      </c>
    </row>
    <row r="62397" spans="9:9" x14ac:dyDescent="0.2">
      <c r="I62397" s="137" t="s">
        <v>74</v>
      </c>
    </row>
    <row r="62398" spans="9:9" x14ac:dyDescent="0.2">
      <c r="I62398" s="137" t="s">
        <v>74</v>
      </c>
    </row>
    <row r="62399" spans="9:9" x14ac:dyDescent="0.2">
      <c r="I62399" s="137" t="s">
        <v>74</v>
      </c>
    </row>
    <row r="62400" spans="9:9" x14ac:dyDescent="0.2">
      <c r="I62400" s="137" t="s">
        <v>74</v>
      </c>
    </row>
    <row r="62401" spans="9:9" x14ac:dyDescent="0.2">
      <c r="I62401" s="137" t="s">
        <v>74</v>
      </c>
    </row>
    <row r="62402" spans="9:9" x14ac:dyDescent="0.2">
      <c r="I62402" s="137" t="s">
        <v>74</v>
      </c>
    </row>
    <row r="62403" spans="9:9" x14ac:dyDescent="0.2">
      <c r="I62403" s="137" t="s">
        <v>74</v>
      </c>
    </row>
    <row r="62404" spans="9:9" x14ac:dyDescent="0.2">
      <c r="I62404" s="137" t="s">
        <v>74</v>
      </c>
    </row>
    <row r="62405" spans="9:9" x14ac:dyDescent="0.2">
      <c r="I62405" s="137" t="s">
        <v>74</v>
      </c>
    </row>
    <row r="62406" spans="9:9" x14ac:dyDescent="0.2">
      <c r="I62406" s="137" t="s">
        <v>74</v>
      </c>
    </row>
    <row r="62407" spans="9:9" x14ac:dyDescent="0.2">
      <c r="I62407" s="137" t="s">
        <v>74</v>
      </c>
    </row>
    <row r="62408" spans="9:9" x14ac:dyDescent="0.2">
      <c r="I62408" s="137" t="s">
        <v>74</v>
      </c>
    </row>
    <row r="62409" spans="9:9" x14ac:dyDescent="0.2">
      <c r="I62409" s="137" t="s">
        <v>74</v>
      </c>
    </row>
    <row r="62410" spans="9:9" x14ac:dyDescent="0.2">
      <c r="I62410" s="137" t="s">
        <v>74</v>
      </c>
    </row>
    <row r="62411" spans="9:9" x14ac:dyDescent="0.2">
      <c r="I62411" s="137" t="s">
        <v>74</v>
      </c>
    </row>
    <row r="62412" spans="9:9" x14ac:dyDescent="0.2">
      <c r="I62412" s="137" t="s">
        <v>74</v>
      </c>
    </row>
    <row r="62413" spans="9:9" x14ac:dyDescent="0.2">
      <c r="I62413" s="137" t="s">
        <v>74</v>
      </c>
    </row>
    <row r="62414" spans="9:9" x14ac:dyDescent="0.2">
      <c r="I62414" s="137" t="s">
        <v>74</v>
      </c>
    </row>
    <row r="62415" spans="9:9" x14ac:dyDescent="0.2">
      <c r="I62415" s="137" t="s">
        <v>74</v>
      </c>
    </row>
    <row r="62416" spans="9:9" x14ac:dyDescent="0.2">
      <c r="I62416" s="137" t="s">
        <v>74</v>
      </c>
    </row>
    <row r="62417" spans="9:9" x14ac:dyDescent="0.2">
      <c r="I62417" s="137" t="s">
        <v>74</v>
      </c>
    </row>
    <row r="62418" spans="9:9" x14ac:dyDescent="0.2">
      <c r="I62418" s="137" t="s">
        <v>74</v>
      </c>
    </row>
    <row r="62419" spans="9:9" x14ac:dyDescent="0.2">
      <c r="I62419" s="137" t="s">
        <v>74</v>
      </c>
    </row>
    <row r="62420" spans="9:9" x14ac:dyDescent="0.2">
      <c r="I62420" s="137" t="s">
        <v>74</v>
      </c>
    </row>
    <row r="62421" spans="9:9" x14ac:dyDescent="0.2">
      <c r="I62421" s="137" t="s">
        <v>74</v>
      </c>
    </row>
    <row r="62422" spans="9:9" x14ac:dyDescent="0.2">
      <c r="I62422" s="137" t="s">
        <v>74</v>
      </c>
    </row>
    <row r="62423" spans="9:9" x14ac:dyDescent="0.2">
      <c r="I62423" s="137" t="s">
        <v>74</v>
      </c>
    </row>
    <row r="62424" spans="9:9" x14ac:dyDescent="0.2">
      <c r="I62424" s="137" t="s">
        <v>74</v>
      </c>
    </row>
    <row r="62425" spans="9:9" x14ac:dyDescent="0.2">
      <c r="I62425" s="137" t="s">
        <v>74</v>
      </c>
    </row>
    <row r="62426" spans="9:9" x14ac:dyDescent="0.2">
      <c r="I62426" s="137" t="s">
        <v>74</v>
      </c>
    </row>
    <row r="62427" spans="9:9" x14ac:dyDescent="0.2">
      <c r="I62427" s="137" t="s">
        <v>74</v>
      </c>
    </row>
    <row r="62428" spans="9:9" x14ac:dyDescent="0.2">
      <c r="I62428" s="137" t="s">
        <v>74</v>
      </c>
    </row>
    <row r="62429" spans="9:9" x14ac:dyDescent="0.2">
      <c r="I62429" s="137" t="s">
        <v>74</v>
      </c>
    </row>
    <row r="62430" spans="9:9" x14ac:dyDescent="0.2">
      <c r="I62430" s="137" t="s">
        <v>74</v>
      </c>
    </row>
    <row r="62431" spans="9:9" x14ac:dyDescent="0.2">
      <c r="I62431" s="137" t="s">
        <v>74</v>
      </c>
    </row>
    <row r="62432" spans="9:9" x14ac:dyDescent="0.2">
      <c r="I62432" s="137" t="s">
        <v>74</v>
      </c>
    </row>
    <row r="62433" spans="9:9" x14ac:dyDescent="0.2">
      <c r="I62433" s="137" t="s">
        <v>74</v>
      </c>
    </row>
    <row r="62434" spans="9:9" x14ac:dyDescent="0.2">
      <c r="I62434" s="137" t="s">
        <v>74</v>
      </c>
    </row>
    <row r="62435" spans="9:9" x14ac:dyDescent="0.2">
      <c r="I62435" s="137" t="s">
        <v>74</v>
      </c>
    </row>
    <row r="62436" spans="9:9" x14ac:dyDescent="0.2">
      <c r="I62436" s="137" t="s">
        <v>74</v>
      </c>
    </row>
    <row r="62437" spans="9:9" x14ac:dyDescent="0.2">
      <c r="I62437" s="137" t="s">
        <v>74</v>
      </c>
    </row>
    <row r="62438" spans="9:9" x14ac:dyDescent="0.2">
      <c r="I62438" s="137" t="s">
        <v>74</v>
      </c>
    </row>
    <row r="62439" spans="9:9" x14ac:dyDescent="0.2">
      <c r="I62439" s="137" t="s">
        <v>74</v>
      </c>
    </row>
    <row r="62440" spans="9:9" x14ac:dyDescent="0.2">
      <c r="I62440" s="137" t="s">
        <v>74</v>
      </c>
    </row>
    <row r="62441" spans="9:9" x14ac:dyDescent="0.2">
      <c r="I62441" s="137" t="s">
        <v>74</v>
      </c>
    </row>
    <row r="62442" spans="9:9" x14ac:dyDescent="0.2">
      <c r="I62442" s="137" t="s">
        <v>74</v>
      </c>
    </row>
    <row r="62443" spans="9:9" x14ac:dyDescent="0.2">
      <c r="I62443" s="137" t="s">
        <v>74</v>
      </c>
    </row>
    <row r="62444" spans="9:9" x14ac:dyDescent="0.2">
      <c r="I62444" s="137" t="s">
        <v>74</v>
      </c>
    </row>
    <row r="62445" spans="9:9" x14ac:dyDescent="0.2">
      <c r="I62445" s="137" t="s">
        <v>74</v>
      </c>
    </row>
    <row r="62446" spans="9:9" x14ac:dyDescent="0.2">
      <c r="I62446" s="137" t="s">
        <v>74</v>
      </c>
    </row>
    <row r="62447" spans="9:9" x14ac:dyDescent="0.2">
      <c r="I62447" s="137" t="s">
        <v>74</v>
      </c>
    </row>
    <row r="62448" spans="9:9" x14ac:dyDescent="0.2">
      <c r="I62448" s="137" t="s">
        <v>74</v>
      </c>
    </row>
    <row r="62449" spans="9:9" x14ac:dyDescent="0.2">
      <c r="I62449" s="137" t="s">
        <v>74</v>
      </c>
    </row>
    <row r="62450" spans="9:9" x14ac:dyDescent="0.2">
      <c r="I62450" s="137" t="s">
        <v>74</v>
      </c>
    </row>
    <row r="62451" spans="9:9" x14ac:dyDescent="0.2">
      <c r="I62451" s="137" t="s">
        <v>74</v>
      </c>
    </row>
    <row r="62452" spans="9:9" x14ac:dyDescent="0.2">
      <c r="I62452" s="137" t="s">
        <v>74</v>
      </c>
    </row>
    <row r="62453" spans="9:9" x14ac:dyDescent="0.2">
      <c r="I62453" s="137" t="s">
        <v>74</v>
      </c>
    </row>
    <row r="62454" spans="9:9" x14ac:dyDescent="0.2">
      <c r="I62454" s="137" t="s">
        <v>74</v>
      </c>
    </row>
    <row r="62455" spans="9:9" x14ac:dyDescent="0.2">
      <c r="I62455" s="137" t="s">
        <v>74</v>
      </c>
    </row>
    <row r="62456" spans="9:9" x14ac:dyDescent="0.2">
      <c r="I62456" s="137" t="s">
        <v>74</v>
      </c>
    </row>
    <row r="62457" spans="9:9" x14ac:dyDescent="0.2">
      <c r="I62457" s="137" t="s">
        <v>74</v>
      </c>
    </row>
    <row r="62458" spans="9:9" x14ac:dyDescent="0.2">
      <c r="I62458" s="137" t="s">
        <v>74</v>
      </c>
    </row>
    <row r="62459" spans="9:9" x14ac:dyDescent="0.2">
      <c r="I62459" s="137" t="s">
        <v>74</v>
      </c>
    </row>
    <row r="62460" spans="9:9" x14ac:dyDescent="0.2">
      <c r="I62460" s="137" t="s">
        <v>74</v>
      </c>
    </row>
    <row r="62461" spans="9:9" x14ac:dyDescent="0.2">
      <c r="I62461" s="137" t="s">
        <v>74</v>
      </c>
    </row>
    <row r="62462" spans="9:9" x14ac:dyDescent="0.2">
      <c r="I62462" s="137" t="s">
        <v>74</v>
      </c>
    </row>
    <row r="62463" spans="9:9" x14ac:dyDescent="0.2">
      <c r="I62463" s="137" t="s">
        <v>74</v>
      </c>
    </row>
    <row r="62464" spans="9:9" x14ac:dyDescent="0.2">
      <c r="I62464" s="137" t="s">
        <v>74</v>
      </c>
    </row>
    <row r="62465" spans="9:9" x14ac:dyDescent="0.2">
      <c r="I62465" s="137" t="s">
        <v>74</v>
      </c>
    </row>
    <row r="62466" spans="9:9" x14ac:dyDescent="0.2">
      <c r="I62466" s="137" t="s">
        <v>74</v>
      </c>
    </row>
    <row r="62467" spans="9:9" x14ac:dyDescent="0.2">
      <c r="I62467" s="137" t="s">
        <v>74</v>
      </c>
    </row>
    <row r="62468" spans="9:9" x14ac:dyDescent="0.2">
      <c r="I62468" s="137" t="s">
        <v>74</v>
      </c>
    </row>
    <row r="62469" spans="9:9" x14ac:dyDescent="0.2">
      <c r="I62469" s="137" t="s">
        <v>74</v>
      </c>
    </row>
    <row r="62470" spans="9:9" x14ac:dyDescent="0.2">
      <c r="I62470" s="137" t="s">
        <v>74</v>
      </c>
    </row>
    <row r="62471" spans="9:9" x14ac:dyDescent="0.2">
      <c r="I62471" s="137" t="s">
        <v>74</v>
      </c>
    </row>
    <row r="62472" spans="9:9" x14ac:dyDescent="0.2">
      <c r="I62472" s="137" t="s">
        <v>74</v>
      </c>
    </row>
    <row r="62473" spans="9:9" x14ac:dyDescent="0.2">
      <c r="I62473" s="137" t="s">
        <v>74</v>
      </c>
    </row>
    <row r="62474" spans="9:9" x14ac:dyDescent="0.2">
      <c r="I62474" s="137" t="s">
        <v>74</v>
      </c>
    </row>
    <row r="62475" spans="9:9" x14ac:dyDescent="0.2">
      <c r="I62475" s="137" t="s">
        <v>74</v>
      </c>
    </row>
    <row r="62476" spans="9:9" x14ac:dyDescent="0.2">
      <c r="I62476" s="137" t="s">
        <v>74</v>
      </c>
    </row>
    <row r="62477" spans="9:9" x14ac:dyDescent="0.2">
      <c r="I62477" s="137" t="s">
        <v>74</v>
      </c>
    </row>
    <row r="62478" spans="9:9" x14ac:dyDescent="0.2">
      <c r="I62478" s="137" t="s">
        <v>74</v>
      </c>
    </row>
    <row r="62479" spans="9:9" x14ac:dyDescent="0.2">
      <c r="I62479" s="137" t="s">
        <v>74</v>
      </c>
    </row>
    <row r="62480" spans="9:9" x14ac:dyDescent="0.2">
      <c r="I62480" s="137" t="s">
        <v>74</v>
      </c>
    </row>
    <row r="62481" spans="9:9" x14ac:dyDescent="0.2">
      <c r="I62481" s="137" t="s">
        <v>74</v>
      </c>
    </row>
    <row r="62482" spans="9:9" x14ac:dyDescent="0.2">
      <c r="I62482" s="137" t="s">
        <v>74</v>
      </c>
    </row>
    <row r="62483" spans="9:9" x14ac:dyDescent="0.2">
      <c r="I62483" s="137" t="s">
        <v>74</v>
      </c>
    </row>
    <row r="62484" spans="9:9" x14ac:dyDescent="0.2">
      <c r="I62484" s="137" t="s">
        <v>74</v>
      </c>
    </row>
    <row r="62485" spans="9:9" x14ac:dyDescent="0.2">
      <c r="I62485" s="137" t="s">
        <v>74</v>
      </c>
    </row>
    <row r="62486" spans="9:9" x14ac:dyDescent="0.2">
      <c r="I62486" s="137" t="s">
        <v>74</v>
      </c>
    </row>
    <row r="62487" spans="9:9" x14ac:dyDescent="0.2">
      <c r="I62487" s="137" t="s">
        <v>74</v>
      </c>
    </row>
    <row r="62488" spans="9:9" x14ac:dyDescent="0.2">
      <c r="I62488" s="137" t="s">
        <v>74</v>
      </c>
    </row>
    <row r="62489" spans="9:9" x14ac:dyDescent="0.2">
      <c r="I62489" s="137" t="s">
        <v>74</v>
      </c>
    </row>
    <row r="62490" spans="9:9" x14ac:dyDescent="0.2">
      <c r="I62490" s="137" t="s">
        <v>74</v>
      </c>
    </row>
    <row r="62491" spans="9:9" x14ac:dyDescent="0.2">
      <c r="I62491" s="137" t="s">
        <v>74</v>
      </c>
    </row>
    <row r="62492" spans="9:9" x14ac:dyDescent="0.2">
      <c r="I62492" s="137" t="s">
        <v>74</v>
      </c>
    </row>
    <row r="62493" spans="9:9" x14ac:dyDescent="0.2">
      <c r="I62493" s="137" t="s">
        <v>74</v>
      </c>
    </row>
    <row r="62494" spans="9:9" x14ac:dyDescent="0.2">
      <c r="I62494" s="137" t="s">
        <v>74</v>
      </c>
    </row>
    <row r="62495" spans="9:9" x14ac:dyDescent="0.2">
      <c r="I62495" s="137" t="s">
        <v>74</v>
      </c>
    </row>
    <row r="62496" spans="9:9" x14ac:dyDescent="0.2">
      <c r="I62496" s="137" t="s">
        <v>74</v>
      </c>
    </row>
    <row r="62497" spans="9:9" x14ac:dyDescent="0.2">
      <c r="I62497" s="137" t="s">
        <v>74</v>
      </c>
    </row>
    <row r="62498" spans="9:9" x14ac:dyDescent="0.2">
      <c r="I62498" s="137" t="s">
        <v>74</v>
      </c>
    </row>
    <row r="62499" spans="9:9" x14ac:dyDescent="0.2">
      <c r="I62499" s="137" t="s">
        <v>74</v>
      </c>
    </row>
    <row r="62500" spans="9:9" x14ac:dyDescent="0.2">
      <c r="I62500" s="137" t="s">
        <v>74</v>
      </c>
    </row>
    <row r="62501" spans="9:9" x14ac:dyDescent="0.2">
      <c r="I62501" s="137" t="s">
        <v>74</v>
      </c>
    </row>
    <row r="62502" spans="9:9" x14ac:dyDescent="0.2">
      <c r="I62502" s="137" t="s">
        <v>74</v>
      </c>
    </row>
    <row r="62503" spans="9:9" x14ac:dyDescent="0.2">
      <c r="I62503" s="137" t="s">
        <v>74</v>
      </c>
    </row>
    <row r="62504" spans="9:9" x14ac:dyDescent="0.2">
      <c r="I62504" s="137" t="s">
        <v>74</v>
      </c>
    </row>
    <row r="62505" spans="9:9" x14ac:dyDescent="0.2">
      <c r="I62505" s="137" t="s">
        <v>74</v>
      </c>
    </row>
    <row r="62506" spans="9:9" x14ac:dyDescent="0.2">
      <c r="I62506" s="137" t="s">
        <v>74</v>
      </c>
    </row>
    <row r="62507" spans="9:9" x14ac:dyDescent="0.2">
      <c r="I62507" s="137" t="s">
        <v>74</v>
      </c>
    </row>
    <row r="62508" spans="9:9" x14ac:dyDescent="0.2">
      <c r="I62508" s="137" t="s">
        <v>74</v>
      </c>
    </row>
    <row r="62509" spans="9:9" x14ac:dyDescent="0.2">
      <c r="I62509" s="137" t="s">
        <v>74</v>
      </c>
    </row>
    <row r="62510" spans="9:9" x14ac:dyDescent="0.2">
      <c r="I62510" s="137" t="s">
        <v>74</v>
      </c>
    </row>
    <row r="62511" spans="9:9" x14ac:dyDescent="0.2">
      <c r="I62511" s="137" t="s">
        <v>74</v>
      </c>
    </row>
    <row r="62512" spans="9:9" x14ac:dyDescent="0.2">
      <c r="I62512" s="137" t="s">
        <v>74</v>
      </c>
    </row>
    <row r="62513" spans="9:9" x14ac:dyDescent="0.2">
      <c r="I62513" s="137" t="s">
        <v>74</v>
      </c>
    </row>
    <row r="62514" spans="9:9" x14ac:dyDescent="0.2">
      <c r="I62514" s="137" t="s">
        <v>74</v>
      </c>
    </row>
    <row r="62515" spans="9:9" x14ac:dyDescent="0.2">
      <c r="I62515" s="137" t="s">
        <v>74</v>
      </c>
    </row>
    <row r="62516" spans="9:9" x14ac:dyDescent="0.2">
      <c r="I62516" s="137" t="s">
        <v>74</v>
      </c>
    </row>
    <row r="62517" spans="9:9" x14ac:dyDescent="0.2">
      <c r="I62517" s="137" t="s">
        <v>74</v>
      </c>
    </row>
    <row r="62518" spans="9:9" x14ac:dyDescent="0.2">
      <c r="I62518" s="137" t="s">
        <v>74</v>
      </c>
    </row>
    <row r="62519" spans="9:9" x14ac:dyDescent="0.2">
      <c r="I62519" s="137" t="s">
        <v>74</v>
      </c>
    </row>
    <row r="62520" spans="9:9" x14ac:dyDescent="0.2">
      <c r="I62520" s="137" t="s">
        <v>74</v>
      </c>
    </row>
    <row r="62521" spans="9:9" x14ac:dyDescent="0.2">
      <c r="I62521" s="137" t="s">
        <v>74</v>
      </c>
    </row>
    <row r="62522" spans="9:9" x14ac:dyDescent="0.2">
      <c r="I62522" s="137" t="s">
        <v>74</v>
      </c>
    </row>
    <row r="62523" spans="9:9" x14ac:dyDescent="0.2">
      <c r="I62523" s="137" t="s">
        <v>74</v>
      </c>
    </row>
    <row r="62524" spans="9:9" x14ac:dyDescent="0.2">
      <c r="I62524" s="137" t="s">
        <v>74</v>
      </c>
    </row>
    <row r="62525" spans="9:9" x14ac:dyDescent="0.2">
      <c r="I62525" s="137" t="s">
        <v>74</v>
      </c>
    </row>
    <row r="62526" spans="9:9" x14ac:dyDescent="0.2">
      <c r="I62526" s="137" t="s">
        <v>74</v>
      </c>
    </row>
    <row r="62527" spans="9:9" x14ac:dyDescent="0.2">
      <c r="I62527" s="137" t="s">
        <v>74</v>
      </c>
    </row>
    <row r="62528" spans="9:9" x14ac:dyDescent="0.2">
      <c r="I62528" s="137" t="s">
        <v>74</v>
      </c>
    </row>
    <row r="62529" spans="9:9" x14ac:dyDescent="0.2">
      <c r="I62529" s="137" t="s">
        <v>74</v>
      </c>
    </row>
    <row r="62530" spans="9:9" x14ac:dyDescent="0.2">
      <c r="I62530" s="137" t="s">
        <v>74</v>
      </c>
    </row>
    <row r="62531" spans="9:9" x14ac:dyDescent="0.2">
      <c r="I62531" s="137" t="s">
        <v>74</v>
      </c>
    </row>
    <row r="62532" spans="9:9" x14ac:dyDescent="0.2">
      <c r="I62532" s="137" t="s">
        <v>74</v>
      </c>
    </row>
    <row r="62533" spans="9:9" x14ac:dyDescent="0.2">
      <c r="I62533" s="137" t="s">
        <v>74</v>
      </c>
    </row>
    <row r="62534" spans="9:9" x14ac:dyDescent="0.2">
      <c r="I62534" s="137" t="s">
        <v>74</v>
      </c>
    </row>
    <row r="62535" spans="9:9" x14ac:dyDescent="0.2">
      <c r="I62535" s="137" t="s">
        <v>74</v>
      </c>
    </row>
    <row r="62536" spans="9:9" x14ac:dyDescent="0.2">
      <c r="I62536" s="137" t="s">
        <v>74</v>
      </c>
    </row>
    <row r="62537" spans="9:9" x14ac:dyDescent="0.2">
      <c r="I62537" s="137" t="s">
        <v>74</v>
      </c>
    </row>
    <row r="62538" spans="9:9" x14ac:dyDescent="0.2">
      <c r="I62538" s="137" t="s">
        <v>74</v>
      </c>
    </row>
    <row r="62539" spans="9:9" x14ac:dyDescent="0.2">
      <c r="I62539" s="137" t="s">
        <v>74</v>
      </c>
    </row>
    <row r="62540" spans="9:9" x14ac:dyDescent="0.2">
      <c r="I62540" s="137" t="s">
        <v>74</v>
      </c>
    </row>
    <row r="62541" spans="9:9" x14ac:dyDescent="0.2">
      <c r="I62541" s="137" t="s">
        <v>74</v>
      </c>
    </row>
    <row r="62542" spans="9:9" x14ac:dyDescent="0.2">
      <c r="I62542" s="137" t="s">
        <v>74</v>
      </c>
    </row>
    <row r="62543" spans="9:9" x14ac:dyDescent="0.2">
      <c r="I62543" s="137" t="s">
        <v>74</v>
      </c>
    </row>
    <row r="62544" spans="9:9" x14ac:dyDescent="0.2">
      <c r="I62544" s="137" t="s">
        <v>74</v>
      </c>
    </row>
    <row r="62545" spans="9:9" x14ac:dyDescent="0.2">
      <c r="I62545" s="137" t="s">
        <v>74</v>
      </c>
    </row>
    <row r="62546" spans="9:9" x14ac:dyDescent="0.2">
      <c r="I62546" s="137" t="s">
        <v>74</v>
      </c>
    </row>
    <row r="62547" spans="9:9" x14ac:dyDescent="0.2">
      <c r="I62547" s="137" t="s">
        <v>74</v>
      </c>
    </row>
    <row r="62548" spans="9:9" x14ac:dyDescent="0.2">
      <c r="I62548" s="137" t="s">
        <v>74</v>
      </c>
    </row>
    <row r="62549" spans="9:9" x14ac:dyDescent="0.2">
      <c r="I62549" s="137" t="s">
        <v>74</v>
      </c>
    </row>
    <row r="62550" spans="9:9" x14ac:dyDescent="0.2">
      <c r="I62550" s="137" t="s">
        <v>74</v>
      </c>
    </row>
    <row r="62551" spans="9:9" x14ac:dyDescent="0.2">
      <c r="I62551" s="137" t="s">
        <v>74</v>
      </c>
    </row>
    <row r="62552" spans="9:9" x14ac:dyDescent="0.2">
      <c r="I62552" s="137" t="s">
        <v>74</v>
      </c>
    </row>
    <row r="62553" spans="9:9" x14ac:dyDescent="0.2">
      <c r="I62553" s="137" t="s">
        <v>74</v>
      </c>
    </row>
    <row r="62554" spans="9:9" x14ac:dyDescent="0.2">
      <c r="I62554" s="137" t="s">
        <v>74</v>
      </c>
    </row>
    <row r="62555" spans="9:9" x14ac:dyDescent="0.2">
      <c r="I62555" s="137" t="s">
        <v>74</v>
      </c>
    </row>
    <row r="62556" spans="9:9" x14ac:dyDescent="0.2">
      <c r="I62556" s="137" t="s">
        <v>74</v>
      </c>
    </row>
    <row r="62557" spans="9:9" x14ac:dyDescent="0.2">
      <c r="I62557" s="137" t="s">
        <v>74</v>
      </c>
    </row>
    <row r="62558" spans="9:9" x14ac:dyDescent="0.2">
      <c r="I62558" s="137" t="s">
        <v>74</v>
      </c>
    </row>
    <row r="62559" spans="9:9" x14ac:dyDescent="0.2">
      <c r="I62559" s="137" t="s">
        <v>74</v>
      </c>
    </row>
    <row r="62560" spans="9:9" x14ac:dyDescent="0.2">
      <c r="I62560" s="137" t="s">
        <v>74</v>
      </c>
    </row>
    <row r="62561" spans="9:9" x14ac:dyDescent="0.2">
      <c r="I62561" s="137" t="s">
        <v>74</v>
      </c>
    </row>
    <row r="62562" spans="9:9" x14ac:dyDescent="0.2">
      <c r="I62562" s="137" t="s">
        <v>74</v>
      </c>
    </row>
    <row r="62563" spans="9:9" x14ac:dyDescent="0.2">
      <c r="I62563" s="137" t="s">
        <v>74</v>
      </c>
    </row>
    <row r="62564" spans="9:9" x14ac:dyDescent="0.2">
      <c r="I62564" s="137" t="s">
        <v>74</v>
      </c>
    </row>
    <row r="62565" spans="9:9" x14ac:dyDescent="0.2">
      <c r="I62565" s="137" t="s">
        <v>74</v>
      </c>
    </row>
    <row r="62566" spans="9:9" x14ac:dyDescent="0.2">
      <c r="I62566" s="137" t="s">
        <v>74</v>
      </c>
    </row>
    <row r="62567" spans="9:9" x14ac:dyDescent="0.2">
      <c r="I62567" s="137" t="s">
        <v>74</v>
      </c>
    </row>
    <row r="62568" spans="9:9" x14ac:dyDescent="0.2">
      <c r="I62568" s="137" t="s">
        <v>74</v>
      </c>
    </row>
    <row r="62569" spans="9:9" x14ac:dyDescent="0.2">
      <c r="I62569" s="137" t="s">
        <v>74</v>
      </c>
    </row>
    <row r="62570" spans="9:9" x14ac:dyDescent="0.2">
      <c r="I62570" s="137" t="s">
        <v>74</v>
      </c>
    </row>
    <row r="62571" spans="9:9" x14ac:dyDescent="0.2">
      <c r="I62571" s="137" t="s">
        <v>74</v>
      </c>
    </row>
    <row r="62572" spans="9:9" x14ac:dyDescent="0.2">
      <c r="I62572" s="137" t="s">
        <v>74</v>
      </c>
    </row>
    <row r="62573" spans="9:9" x14ac:dyDescent="0.2">
      <c r="I62573" s="137" t="s">
        <v>74</v>
      </c>
    </row>
    <row r="62574" spans="9:9" x14ac:dyDescent="0.2">
      <c r="I62574" s="137" t="s">
        <v>74</v>
      </c>
    </row>
    <row r="62575" spans="9:9" x14ac:dyDescent="0.2">
      <c r="I62575" s="137" t="s">
        <v>74</v>
      </c>
    </row>
    <row r="62576" spans="9:9" x14ac:dyDescent="0.2">
      <c r="I62576" s="137" t="s">
        <v>74</v>
      </c>
    </row>
    <row r="62577" spans="9:9" x14ac:dyDescent="0.2">
      <c r="I62577" s="137" t="s">
        <v>74</v>
      </c>
    </row>
    <row r="62578" spans="9:9" x14ac:dyDescent="0.2">
      <c r="I62578" s="137" t="s">
        <v>74</v>
      </c>
    </row>
    <row r="62579" spans="9:9" x14ac:dyDescent="0.2">
      <c r="I62579" s="137" t="s">
        <v>74</v>
      </c>
    </row>
    <row r="62580" spans="9:9" x14ac:dyDescent="0.2">
      <c r="I62580" s="137" t="s">
        <v>74</v>
      </c>
    </row>
    <row r="62581" spans="9:9" x14ac:dyDescent="0.2">
      <c r="I62581" s="137" t="s">
        <v>74</v>
      </c>
    </row>
    <row r="62582" spans="9:9" x14ac:dyDescent="0.2">
      <c r="I62582" s="137" t="s">
        <v>74</v>
      </c>
    </row>
    <row r="62583" spans="9:9" x14ac:dyDescent="0.2">
      <c r="I62583" s="137" t="s">
        <v>74</v>
      </c>
    </row>
    <row r="62584" spans="9:9" x14ac:dyDescent="0.2">
      <c r="I62584" s="137" t="s">
        <v>74</v>
      </c>
    </row>
    <row r="62585" spans="9:9" x14ac:dyDescent="0.2">
      <c r="I62585" s="137" t="s">
        <v>74</v>
      </c>
    </row>
    <row r="62586" spans="9:9" x14ac:dyDescent="0.2">
      <c r="I62586" s="137" t="s">
        <v>74</v>
      </c>
    </row>
    <row r="62587" spans="9:9" x14ac:dyDescent="0.2">
      <c r="I62587" s="137" t="s">
        <v>74</v>
      </c>
    </row>
    <row r="62588" spans="9:9" x14ac:dyDescent="0.2">
      <c r="I62588" s="137" t="s">
        <v>74</v>
      </c>
    </row>
    <row r="62589" spans="9:9" x14ac:dyDescent="0.2">
      <c r="I62589" s="137" t="s">
        <v>74</v>
      </c>
    </row>
    <row r="62590" spans="9:9" x14ac:dyDescent="0.2">
      <c r="I62590" s="137" t="s">
        <v>74</v>
      </c>
    </row>
    <row r="62591" spans="9:9" x14ac:dyDescent="0.2">
      <c r="I62591" s="137" t="s">
        <v>74</v>
      </c>
    </row>
    <row r="62592" spans="9:9" x14ac:dyDescent="0.2">
      <c r="I62592" s="137" t="s">
        <v>74</v>
      </c>
    </row>
    <row r="62593" spans="9:9" x14ac:dyDescent="0.2">
      <c r="I62593" s="137" t="s">
        <v>74</v>
      </c>
    </row>
    <row r="62594" spans="9:9" x14ac:dyDescent="0.2">
      <c r="I62594" s="137" t="s">
        <v>74</v>
      </c>
    </row>
    <row r="62595" spans="9:9" x14ac:dyDescent="0.2">
      <c r="I62595" s="137" t="s">
        <v>74</v>
      </c>
    </row>
    <row r="62596" spans="9:9" x14ac:dyDescent="0.2">
      <c r="I62596" s="137" t="s">
        <v>74</v>
      </c>
    </row>
    <row r="62597" spans="9:9" x14ac:dyDescent="0.2">
      <c r="I62597" s="137" t="s">
        <v>74</v>
      </c>
    </row>
    <row r="62598" spans="9:9" x14ac:dyDescent="0.2">
      <c r="I62598" s="137" t="s">
        <v>74</v>
      </c>
    </row>
    <row r="62599" spans="9:9" x14ac:dyDescent="0.2">
      <c r="I62599" s="137" t="s">
        <v>74</v>
      </c>
    </row>
    <row r="62600" spans="9:9" x14ac:dyDescent="0.2">
      <c r="I62600" s="137" t="s">
        <v>74</v>
      </c>
    </row>
    <row r="62601" spans="9:9" x14ac:dyDescent="0.2">
      <c r="I62601" s="137" t="s">
        <v>74</v>
      </c>
    </row>
    <row r="62602" spans="9:9" x14ac:dyDescent="0.2">
      <c r="I62602" s="137" t="s">
        <v>74</v>
      </c>
    </row>
    <row r="62603" spans="9:9" x14ac:dyDescent="0.2">
      <c r="I62603" s="137" t="s">
        <v>74</v>
      </c>
    </row>
    <row r="62604" spans="9:9" x14ac:dyDescent="0.2">
      <c r="I62604" s="137" t="s">
        <v>74</v>
      </c>
    </row>
    <row r="62605" spans="9:9" x14ac:dyDescent="0.2">
      <c r="I62605" s="137" t="s">
        <v>74</v>
      </c>
    </row>
    <row r="62606" spans="9:9" x14ac:dyDescent="0.2">
      <c r="I62606" s="137" t="s">
        <v>74</v>
      </c>
    </row>
    <row r="62607" spans="9:9" x14ac:dyDescent="0.2">
      <c r="I62607" s="137" t="s">
        <v>74</v>
      </c>
    </row>
    <row r="62608" spans="9:9" x14ac:dyDescent="0.2">
      <c r="I62608" s="137" t="s">
        <v>74</v>
      </c>
    </row>
    <row r="62609" spans="9:9" x14ac:dyDescent="0.2">
      <c r="I62609" s="137" t="s">
        <v>74</v>
      </c>
    </row>
    <row r="62610" spans="9:9" x14ac:dyDescent="0.2">
      <c r="I62610" s="137" t="s">
        <v>74</v>
      </c>
    </row>
    <row r="62611" spans="9:9" x14ac:dyDescent="0.2">
      <c r="I62611" s="137" t="s">
        <v>74</v>
      </c>
    </row>
    <row r="62612" spans="9:9" x14ac:dyDescent="0.2">
      <c r="I62612" s="137" t="s">
        <v>74</v>
      </c>
    </row>
    <row r="62613" spans="9:9" x14ac:dyDescent="0.2">
      <c r="I62613" s="137" t="s">
        <v>74</v>
      </c>
    </row>
    <row r="62614" spans="9:9" x14ac:dyDescent="0.2">
      <c r="I62614" s="137" t="s">
        <v>74</v>
      </c>
    </row>
    <row r="62615" spans="9:9" x14ac:dyDescent="0.2">
      <c r="I62615" s="137" t="s">
        <v>74</v>
      </c>
    </row>
    <row r="62616" spans="9:9" x14ac:dyDescent="0.2">
      <c r="I62616" s="137" t="s">
        <v>74</v>
      </c>
    </row>
    <row r="62617" spans="9:9" x14ac:dyDescent="0.2">
      <c r="I62617" s="137" t="s">
        <v>74</v>
      </c>
    </row>
    <row r="62618" spans="9:9" x14ac:dyDescent="0.2">
      <c r="I62618" s="137" t="s">
        <v>74</v>
      </c>
    </row>
    <row r="62619" spans="9:9" x14ac:dyDescent="0.2">
      <c r="I62619" s="137" t="s">
        <v>74</v>
      </c>
    </row>
    <row r="62620" spans="9:9" x14ac:dyDescent="0.2">
      <c r="I62620" s="137" t="s">
        <v>74</v>
      </c>
    </row>
    <row r="62621" spans="9:9" x14ac:dyDescent="0.2">
      <c r="I62621" s="137" t="s">
        <v>74</v>
      </c>
    </row>
    <row r="62622" spans="9:9" x14ac:dyDescent="0.2">
      <c r="I62622" s="137" t="s">
        <v>74</v>
      </c>
    </row>
    <row r="62623" spans="9:9" x14ac:dyDescent="0.2">
      <c r="I62623" s="137" t="s">
        <v>74</v>
      </c>
    </row>
    <row r="62624" spans="9:9" x14ac:dyDescent="0.2">
      <c r="I62624" s="137" t="s">
        <v>74</v>
      </c>
    </row>
    <row r="62625" spans="9:9" x14ac:dyDescent="0.2">
      <c r="I62625" s="137" t="s">
        <v>74</v>
      </c>
    </row>
    <row r="62626" spans="9:9" x14ac:dyDescent="0.2">
      <c r="I62626" s="137" t="s">
        <v>74</v>
      </c>
    </row>
    <row r="62627" spans="9:9" x14ac:dyDescent="0.2">
      <c r="I62627" s="137" t="s">
        <v>74</v>
      </c>
    </row>
    <row r="62628" spans="9:9" x14ac:dyDescent="0.2">
      <c r="I62628" s="137" t="s">
        <v>74</v>
      </c>
    </row>
    <row r="62629" spans="9:9" x14ac:dyDescent="0.2">
      <c r="I62629" s="137" t="s">
        <v>74</v>
      </c>
    </row>
    <row r="62630" spans="9:9" x14ac:dyDescent="0.2">
      <c r="I62630" s="137" t="s">
        <v>74</v>
      </c>
    </row>
    <row r="62631" spans="9:9" x14ac:dyDescent="0.2">
      <c r="I62631" s="137" t="s">
        <v>74</v>
      </c>
    </row>
    <row r="62632" spans="9:9" x14ac:dyDescent="0.2">
      <c r="I62632" s="137" t="s">
        <v>74</v>
      </c>
    </row>
    <row r="62633" spans="9:9" x14ac:dyDescent="0.2">
      <c r="I62633" s="137" t="s">
        <v>74</v>
      </c>
    </row>
    <row r="62634" spans="9:9" x14ac:dyDescent="0.2">
      <c r="I62634" s="137" t="s">
        <v>74</v>
      </c>
    </row>
    <row r="62635" spans="9:9" x14ac:dyDescent="0.2">
      <c r="I62635" s="137" t="s">
        <v>74</v>
      </c>
    </row>
    <row r="62636" spans="9:9" x14ac:dyDescent="0.2">
      <c r="I62636" s="137" t="s">
        <v>74</v>
      </c>
    </row>
    <row r="62637" spans="9:9" x14ac:dyDescent="0.2">
      <c r="I62637" s="137" t="s">
        <v>74</v>
      </c>
    </row>
    <row r="62638" spans="9:9" x14ac:dyDescent="0.2">
      <c r="I62638" s="137" t="s">
        <v>74</v>
      </c>
    </row>
    <row r="62639" spans="9:9" x14ac:dyDescent="0.2">
      <c r="I62639" s="137" t="s">
        <v>74</v>
      </c>
    </row>
    <row r="62640" spans="9:9" x14ac:dyDescent="0.2">
      <c r="I62640" s="137" t="s">
        <v>74</v>
      </c>
    </row>
    <row r="62641" spans="9:9" x14ac:dyDescent="0.2">
      <c r="I62641" s="137" t="s">
        <v>74</v>
      </c>
    </row>
    <row r="62642" spans="9:9" x14ac:dyDescent="0.2">
      <c r="I62642" s="137" t="s">
        <v>74</v>
      </c>
    </row>
    <row r="62643" spans="9:9" x14ac:dyDescent="0.2">
      <c r="I62643" s="137" t="s">
        <v>74</v>
      </c>
    </row>
    <row r="62644" spans="9:9" x14ac:dyDescent="0.2">
      <c r="I62644" s="137" t="s">
        <v>74</v>
      </c>
    </row>
    <row r="62645" spans="9:9" x14ac:dyDescent="0.2">
      <c r="I62645" s="137" t="s">
        <v>74</v>
      </c>
    </row>
    <row r="62646" spans="9:9" x14ac:dyDescent="0.2">
      <c r="I62646" s="137" t="s">
        <v>74</v>
      </c>
    </row>
    <row r="62647" spans="9:9" x14ac:dyDescent="0.2">
      <c r="I62647" s="137" t="s">
        <v>74</v>
      </c>
    </row>
    <row r="62648" spans="9:9" x14ac:dyDescent="0.2">
      <c r="I62648" s="137" t="s">
        <v>74</v>
      </c>
    </row>
    <row r="62649" spans="9:9" x14ac:dyDescent="0.2">
      <c r="I62649" s="137" t="s">
        <v>74</v>
      </c>
    </row>
    <row r="62650" spans="9:9" x14ac:dyDescent="0.2">
      <c r="I62650" s="137" t="s">
        <v>74</v>
      </c>
    </row>
    <row r="62651" spans="9:9" x14ac:dyDescent="0.2">
      <c r="I62651" s="137" t="s">
        <v>74</v>
      </c>
    </row>
    <row r="62652" spans="9:9" x14ac:dyDescent="0.2">
      <c r="I62652" s="137" t="s">
        <v>74</v>
      </c>
    </row>
    <row r="62653" spans="9:9" x14ac:dyDescent="0.2">
      <c r="I62653" s="137" t="s">
        <v>74</v>
      </c>
    </row>
    <row r="62654" spans="9:9" x14ac:dyDescent="0.2">
      <c r="I62654" s="137" t="s">
        <v>74</v>
      </c>
    </row>
    <row r="62655" spans="9:9" x14ac:dyDescent="0.2">
      <c r="I62655" s="137" t="s">
        <v>74</v>
      </c>
    </row>
    <row r="62656" spans="9:9" x14ac:dyDescent="0.2">
      <c r="I62656" s="137" t="s">
        <v>74</v>
      </c>
    </row>
    <row r="62657" spans="9:9" x14ac:dyDescent="0.2">
      <c r="I62657" s="137" t="s">
        <v>74</v>
      </c>
    </row>
    <row r="62658" spans="9:9" x14ac:dyDescent="0.2">
      <c r="I62658" s="137" t="s">
        <v>74</v>
      </c>
    </row>
    <row r="62659" spans="9:9" x14ac:dyDescent="0.2">
      <c r="I62659" s="137" t="s">
        <v>74</v>
      </c>
    </row>
    <row r="62660" spans="9:9" x14ac:dyDescent="0.2">
      <c r="I62660" s="137" t="s">
        <v>74</v>
      </c>
    </row>
    <row r="62661" spans="9:9" x14ac:dyDescent="0.2">
      <c r="I62661" s="137" t="s">
        <v>74</v>
      </c>
    </row>
    <row r="62662" spans="9:9" x14ac:dyDescent="0.2">
      <c r="I62662" s="137" t="s">
        <v>74</v>
      </c>
    </row>
    <row r="62663" spans="9:9" x14ac:dyDescent="0.2">
      <c r="I62663" s="137" t="s">
        <v>74</v>
      </c>
    </row>
    <row r="62664" spans="9:9" x14ac:dyDescent="0.2">
      <c r="I62664" s="137" t="s">
        <v>74</v>
      </c>
    </row>
    <row r="62665" spans="9:9" x14ac:dyDescent="0.2">
      <c r="I62665" s="137" t="s">
        <v>74</v>
      </c>
    </row>
    <row r="62666" spans="9:9" x14ac:dyDescent="0.2">
      <c r="I62666" s="137" t="s">
        <v>74</v>
      </c>
    </row>
    <row r="62667" spans="9:9" x14ac:dyDescent="0.2">
      <c r="I62667" s="137" t="s">
        <v>74</v>
      </c>
    </row>
    <row r="62668" spans="9:9" x14ac:dyDescent="0.2">
      <c r="I62668" s="137" t="s">
        <v>74</v>
      </c>
    </row>
    <row r="62669" spans="9:9" x14ac:dyDescent="0.2">
      <c r="I62669" s="137" t="s">
        <v>74</v>
      </c>
    </row>
    <row r="62670" spans="9:9" x14ac:dyDescent="0.2">
      <c r="I62670" s="137" t="s">
        <v>74</v>
      </c>
    </row>
    <row r="62671" spans="9:9" x14ac:dyDescent="0.2">
      <c r="I62671" s="137" t="s">
        <v>74</v>
      </c>
    </row>
    <row r="62672" spans="9:9" x14ac:dyDescent="0.2">
      <c r="I62672" s="137" t="s">
        <v>74</v>
      </c>
    </row>
    <row r="62673" spans="9:9" x14ac:dyDescent="0.2">
      <c r="I62673" s="137" t="s">
        <v>74</v>
      </c>
    </row>
    <row r="62674" spans="9:9" x14ac:dyDescent="0.2">
      <c r="I62674" s="137" t="s">
        <v>74</v>
      </c>
    </row>
    <row r="62675" spans="9:9" x14ac:dyDescent="0.2">
      <c r="I62675" s="137" t="s">
        <v>74</v>
      </c>
    </row>
    <row r="62676" spans="9:9" x14ac:dyDescent="0.2">
      <c r="I62676" s="137" t="s">
        <v>74</v>
      </c>
    </row>
    <row r="62677" spans="9:9" x14ac:dyDescent="0.2">
      <c r="I62677" s="137" t="s">
        <v>74</v>
      </c>
    </row>
    <row r="62678" spans="9:9" x14ac:dyDescent="0.2">
      <c r="I62678" s="137" t="s">
        <v>74</v>
      </c>
    </row>
    <row r="62679" spans="9:9" x14ac:dyDescent="0.2">
      <c r="I62679" s="137" t="s">
        <v>74</v>
      </c>
    </row>
    <row r="62680" spans="9:9" x14ac:dyDescent="0.2">
      <c r="I62680" s="137" t="s">
        <v>74</v>
      </c>
    </row>
    <row r="62681" spans="9:9" x14ac:dyDescent="0.2">
      <c r="I62681" s="137" t="s">
        <v>74</v>
      </c>
    </row>
    <row r="62682" spans="9:9" x14ac:dyDescent="0.2">
      <c r="I62682" s="137" t="s">
        <v>74</v>
      </c>
    </row>
    <row r="62683" spans="9:9" x14ac:dyDescent="0.2">
      <c r="I62683" s="137" t="s">
        <v>74</v>
      </c>
    </row>
    <row r="62684" spans="9:9" x14ac:dyDescent="0.2">
      <c r="I62684" s="137" t="s">
        <v>74</v>
      </c>
    </row>
    <row r="62685" spans="9:9" x14ac:dyDescent="0.2">
      <c r="I62685" s="137" t="s">
        <v>74</v>
      </c>
    </row>
    <row r="62686" spans="9:9" x14ac:dyDescent="0.2">
      <c r="I62686" s="137" t="s">
        <v>74</v>
      </c>
    </row>
    <row r="62687" spans="9:9" x14ac:dyDescent="0.2">
      <c r="I62687" s="137" t="s">
        <v>74</v>
      </c>
    </row>
    <row r="62688" spans="9:9" x14ac:dyDescent="0.2">
      <c r="I62688" s="137" t="s">
        <v>74</v>
      </c>
    </row>
    <row r="62689" spans="9:9" x14ac:dyDescent="0.2">
      <c r="I62689" s="137" t="s">
        <v>74</v>
      </c>
    </row>
    <row r="62690" spans="9:9" x14ac:dyDescent="0.2">
      <c r="I62690" s="137" t="s">
        <v>74</v>
      </c>
    </row>
    <row r="62691" spans="9:9" x14ac:dyDescent="0.2">
      <c r="I62691" s="137" t="s">
        <v>74</v>
      </c>
    </row>
    <row r="62692" spans="9:9" x14ac:dyDescent="0.2">
      <c r="I62692" s="137" t="s">
        <v>74</v>
      </c>
    </row>
    <row r="62693" spans="9:9" x14ac:dyDescent="0.2">
      <c r="I62693" s="137" t="s">
        <v>74</v>
      </c>
    </row>
    <row r="62694" spans="9:9" x14ac:dyDescent="0.2">
      <c r="I62694" s="137" t="s">
        <v>74</v>
      </c>
    </row>
    <row r="62695" spans="9:9" x14ac:dyDescent="0.2">
      <c r="I62695" s="137" t="s">
        <v>74</v>
      </c>
    </row>
    <row r="62696" spans="9:9" x14ac:dyDescent="0.2">
      <c r="I62696" s="137" t="s">
        <v>74</v>
      </c>
    </row>
    <row r="62697" spans="9:9" x14ac:dyDescent="0.2">
      <c r="I62697" s="137" t="s">
        <v>74</v>
      </c>
    </row>
    <row r="62698" spans="9:9" x14ac:dyDescent="0.2">
      <c r="I62698" s="137" t="s">
        <v>74</v>
      </c>
    </row>
    <row r="62699" spans="9:9" x14ac:dyDescent="0.2">
      <c r="I62699" s="137" t="s">
        <v>74</v>
      </c>
    </row>
    <row r="62700" spans="9:9" x14ac:dyDescent="0.2">
      <c r="I62700" s="137" t="s">
        <v>74</v>
      </c>
    </row>
    <row r="62701" spans="9:9" x14ac:dyDescent="0.2">
      <c r="I62701" s="137" t="s">
        <v>74</v>
      </c>
    </row>
    <row r="62702" spans="9:9" x14ac:dyDescent="0.2">
      <c r="I62702" s="137" t="s">
        <v>74</v>
      </c>
    </row>
    <row r="62703" spans="9:9" x14ac:dyDescent="0.2">
      <c r="I62703" s="137" t="s">
        <v>74</v>
      </c>
    </row>
    <row r="62704" spans="9:9" x14ac:dyDescent="0.2">
      <c r="I62704" s="137" t="s">
        <v>74</v>
      </c>
    </row>
    <row r="62705" spans="9:9" x14ac:dyDescent="0.2">
      <c r="I62705" s="137" t="s">
        <v>74</v>
      </c>
    </row>
    <row r="62706" spans="9:9" x14ac:dyDescent="0.2">
      <c r="I62706" s="137" t="s">
        <v>74</v>
      </c>
    </row>
    <row r="62707" spans="9:9" x14ac:dyDescent="0.2">
      <c r="I62707" s="137" t="s">
        <v>74</v>
      </c>
    </row>
    <row r="62708" spans="9:9" x14ac:dyDescent="0.2">
      <c r="I62708" s="137" t="s">
        <v>74</v>
      </c>
    </row>
    <row r="62709" spans="9:9" x14ac:dyDescent="0.2">
      <c r="I62709" s="137" t="s">
        <v>74</v>
      </c>
    </row>
    <row r="62710" spans="9:9" x14ac:dyDescent="0.2">
      <c r="I62710" s="137" t="s">
        <v>74</v>
      </c>
    </row>
    <row r="62711" spans="9:9" x14ac:dyDescent="0.2">
      <c r="I62711" s="137" t="s">
        <v>74</v>
      </c>
    </row>
    <row r="62712" spans="9:9" x14ac:dyDescent="0.2">
      <c r="I62712" s="137" t="s">
        <v>74</v>
      </c>
    </row>
    <row r="62713" spans="9:9" x14ac:dyDescent="0.2">
      <c r="I62713" s="137" t="s">
        <v>74</v>
      </c>
    </row>
    <row r="62714" spans="9:9" x14ac:dyDescent="0.2">
      <c r="I62714" s="137" t="s">
        <v>74</v>
      </c>
    </row>
    <row r="62715" spans="9:9" x14ac:dyDescent="0.2">
      <c r="I62715" s="137" t="s">
        <v>74</v>
      </c>
    </row>
    <row r="62716" spans="9:9" x14ac:dyDescent="0.2">
      <c r="I62716" s="137" t="s">
        <v>74</v>
      </c>
    </row>
    <row r="62717" spans="9:9" x14ac:dyDescent="0.2">
      <c r="I62717" s="137" t="s">
        <v>74</v>
      </c>
    </row>
    <row r="62718" spans="9:9" x14ac:dyDescent="0.2">
      <c r="I62718" s="137" t="s">
        <v>74</v>
      </c>
    </row>
    <row r="62719" spans="9:9" x14ac:dyDescent="0.2">
      <c r="I62719" s="137" t="s">
        <v>74</v>
      </c>
    </row>
    <row r="62720" spans="9:9" x14ac:dyDescent="0.2">
      <c r="I62720" s="137" t="s">
        <v>74</v>
      </c>
    </row>
    <row r="62721" spans="9:9" x14ac:dyDescent="0.2">
      <c r="I62721" s="137" t="s">
        <v>74</v>
      </c>
    </row>
    <row r="62722" spans="9:9" x14ac:dyDescent="0.2">
      <c r="I62722" s="137" t="s">
        <v>74</v>
      </c>
    </row>
    <row r="62723" spans="9:9" x14ac:dyDescent="0.2">
      <c r="I62723" s="137" t="s">
        <v>74</v>
      </c>
    </row>
    <row r="62724" spans="9:9" x14ac:dyDescent="0.2">
      <c r="I62724" s="137" t="s">
        <v>74</v>
      </c>
    </row>
    <row r="62725" spans="9:9" x14ac:dyDescent="0.2">
      <c r="I62725" s="137" t="s">
        <v>74</v>
      </c>
    </row>
    <row r="62726" spans="9:9" x14ac:dyDescent="0.2">
      <c r="I62726" s="137" t="s">
        <v>74</v>
      </c>
    </row>
    <row r="62727" spans="9:9" x14ac:dyDescent="0.2">
      <c r="I62727" s="137" t="s">
        <v>74</v>
      </c>
    </row>
    <row r="62728" spans="9:9" x14ac:dyDescent="0.2">
      <c r="I62728" s="137" t="s">
        <v>74</v>
      </c>
    </row>
    <row r="62729" spans="9:9" x14ac:dyDescent="0.2">
      <c r="I62729" s="137" t="s">
        <v>74</v>
      </c>
    </row>
    <row r="62730" spans="9:9" x14ac:dyDescent="0.2">
      <c r="I62730" s="137" t="s">
        <v>74</v>
      </c>
    </row>
    <row r="62731" spans="9:9" x14ac:dyDescent="0.2">
      <c r="I62731" s="137" t="s">
        <v>74</v>
      </c>
    </row>
    <row r="62732" spans="9:9" x14ac:dyDescent="0.2">
      <c r="I62732" s="137" t="s">
        <v>74</v>
      </c>
    </row>
    <row r="62733" spans="9:9" x14ac:dyDescent="0.2">
      <c r="I62733" s="137" t="s">
        <v>74</v>
      </c>
    </row>
    <row r="62734" spans="9:9" x14ac:dyDescent="0.2">
      <c r="I62734" s="137" t="s">
        <v>74</v>
      </c>
    </row>
    <row r="62735" spans="9:9" x14ac:dyDescent="0.2">
      <c r="I62735" s="137" t="s">
        <v>74</v>
      </c>
    </row>
    <row r="62736" spans="9:9" x14ac:dyDescent="0.2">
      <c r="I62736" s="137" t="s">
        <v>74</v>
      </c>
    </row>
    <row r="62737" spans="9:9" x14ac:dyDescent="0.2">
      <c r="I62737" s="137" t="s">
        <v>74</v>
      </c>
    </row>
    <row r="62738" spans="9:9" x14ac:dyDescent="0.2">
      <c r="I62738" s="137" t="s">
        <v>74</v>
      </c>
    </row>
    <row r="62739" spans="9:9" x14ac:dyDescent="0.2">
      <c r="I62739" s="137" t="s">
        <v>74</v>
      </c>
    </row>
    <row r="62740" spans="9:9" x14ac:dyDescent="0.2">
      <c r="I62740" s="137" t="s">
        <v>74</v>
      </c>
    </row>
    <row r="62741" spans="9:9" x14ac:dyDescent="0.2">
      <c r="I62741" s="137" t="s">
        <v>74</v>
      </c>
    </row>
    <row r="62742" spans="9:9" x14ac:dyDescent="0.2">
      <c r="I62742" s="137" t="s">
        <v>74</v>
      </c>
    </row>
    <row r="62743" spans="9:9" x14ac:dyDescent="0.2">
      <c r="I62743" s="137" t="s">
        <v>74</v>
      </c>
    </row>
    <row r="62744" spans="9:9" x14ac:dyDescent="0.2">
      <c r="I62744" s="137" t="s">
        <v>74</v>
      </c>
    </row>
    <row r="62745" spans="9:9" x14ac:dyDescent="0.2">
      <c r="I62745" s="137" t="s">
        <v>74</v>
      </c>
    </row>
    <row r="62746" spans="9:9" x14ac:dyDescent="0.2">
      <c r="I62746" s="137" t="s">
        <v>74</v>
      </c>
    </row>
    <row r="62747" spans="9:9" x14ac:dyDescent="0.2">
      <c r="I62747" s="137" t="s">
        <v>74</v>
      </c>
    </row>
    <row r="62748" spans="9:9" x14ac:dyDescent="0.2">
      <c r="I62748" s="137" t="s">
        <v>74</v>
      </c>
    </row>
    <row r="62749" spans="9:9" x14ac:dyDescent="0.2">
      <c r="I62749" s="137" t="s">
        <v>74</v>
      </c>
    </row>
    <row r="62750" spans="9:9" x14ac:dyDescent="0.2">
      <c r="I62750" s="137" t="s">
        <v>74</v>
      </c>
    </row>
    <row r="62751" spans="9:9" x14ac:dyDescent="0.2">
      <c r="I62751" s="137" t="s">
        <v>74</v>
      </c>
    </row>
    <row r="62752" spans="9:9" x14ac:dyDescent="0.2">
      <c r="I62752" s="137" t="s">
        <v>74</v>
      </c>
    </row>
    <row r="62753" spans="9:9" x14ac:dyDescent="0.2">
      <c r="I62753" s="137" t="s">
        <v>74</v>
      </c>
    </row>
    <row r="62754" spans="9:9" x14ac:dyDescent="0.2">
      <c r="I62754" s="137" t="s">
        <v>74</v>
      </c>
    </row>
    <row r="62755" spans="9:9" x14ac:dyDescent="0.2">
      <c r="I62755" s="137" t="s">
        <v>74</v>
      </c>
    </row>
    <row r="62756" spans="9:9" x14ac:dyDescent="0.2">
      <c r="I62756" s="137" t="s">
        <v>74</v>
      </c>
    </row>
    <row r="62757" spans="9:9" x14ac:dyDescent="0.2">
      <c r="I62757" s="137" t="s">
        <v>74</v>
      </c>
    </row>
    <row r="62758" spans="9:9" x14ac:dyDescent="0.2">
      <c r="I62758" s="137" t="s">
        <v>74</v>
      </c>
    </row>
    <row r="62759" spans="9:9" x14ac:dyDescent="0.2">
      <c r="I62759" s="137" t="s">
        <v>74</v>
      </c>
    </row>
    <row r="62760" spans="9:9" x14ac:dyDescent="0.2">
      <c r="I62760" s="137" t="s">
        <v>74</v>
      </c>
    </row>
    <row r="62761" spans="9:9" x14ac:dyDescent="0.2">
      <c r="I62761" s="137" t="s">
        <v>74</v>
      </c>
    </row>
    <row r="62762" spans="9:9" x14ac:dyDescent="0.2">
      <c r="I62762" s="137" t="s">
        <v>74</v>
      </c>
    </row>
    <row r="62763" spans="9:9" x14ac:dyDescent="0.2">
      <c r="I62763" s="137" t="s">
        <v>74</v>
      </c>
    </row>
    <row r="62764" spans="9:9" x14ac:dyDescent="0.2">
      <c r="I62764" s="137" t="s">
        <v>74</v>
      </c>
    </row>
    <row r="62765" spans="9:9" x14ac:dyDescent="0.2">
      <c r="I62765" s="137" t="s">
        <v>74</v>
      </c>
    </row>
    <row r="62766" spans="9:9" x14ac:dyDescent="0.2">
      <c r="I62766" s="137" t="s">
        <v>74</v>
      </c>
    </row>
    <row r="62767" spans="9:9" x14ac:dyDescent="0.2">
      <c r="I62767" s="137" t="s">
        <v>74</v>
      </c>
    </row>
    <row r="62768" spans="9:9" x14ac:dyDescent="0.2">
      <c r="I62768" s="137" t="s">
        <v>74</v>
      </c>
    </row>
    <row r="62769" spans="9:9" x14ac:dyDescent="0.2">
      <c r="I62769" s="137" t="s">
        <v>74</v>
      </c>
    </row>
    <row r="62770" spans="9:9" x14ac:dyDescent="0.2">
      <c r="I62770" s="137" t="s">
        <v>74</v>
      </c>
    </row>
    <row r="62771" spans="9:9" x14ac:dyDescent="0.2">
      <c r="I62771" s="137" t="s">
        <v>74</v>
      </c>
    </row>
    <row r="62772" spans="9:9" x14ac:dyDescent="0.2">
      <c r="I62772" s="137" t="s">
        <v>74</v>
      </c>
    </row>
    <row r="62773" spans="9:9" x14ac:dyDescent="0.2">
      <c r="I62773" s="137" t="s">
        <v>74</v>
      </c>
    </row>
    <row r="62774" spans="9:9" x14ac:dyDescent="0.2">
      <c r="I62774" s="137" t="s">
        <v>74</v>
      </c>
    </row>
    <row r="62775" spans="9:9" x14ac:dyDescent="0.2">
      <c r="I62775" s="137" t="s">
        <v>74</v>
      </c>
    </row>
    <row r="62776" spans="9:9" x14ac:dyDescent="0.2">
      <c r="I62776" s="137" t="s">
        <v>74</v>
      </c>
    </row>
    <row r="62777" spans="9:9" x14ac:dyDescent="0.2">
      <c r="I62777" s="137" t="s">
        <v>74</v>
      </c>
    </row>
    <row r="62778" spans="9:9" x14ac:dyDescent="0.2">
      <c r="I62778" s="137" t="s">
        <v>74</v>
      </c>
    </row>
    <row r="62779" spans="9:9" x14ac:dyDescent="0.2">
      <c r="I62779" s="137" t="s">
        <v>74</v>
      </c>
    </row>
    <row r="62780" spans="9:9" x14ac:dyDescent="0.2">
      <c r="I62780" s="137" t="s">
        <v>74</v>
      </c>
    </row>
    <row r="62781" spans="9:9" x14ac:dyDescent="0.2">
      <c r="I62781" s="137" t="s">
        <v>74</v>
      </c>
    </row>
    <row r="62782" spans="9:9" x14ac:dyDescent="0.2">
      <c r="I62782" s="137" t="s">
        <v>74</v>
      </c>
    </row>
    <row r="62783" spans="9:9" x14ac:dyDescent="0.2">
      <c r="I62783" s="137" t="s">
        <v>74</v>
      </c>
    </row>
    <row r="62784" spans="9:9" x14ac:dyDescent="0.2">
      <c r="I62784" s="137" t="s">
        <v>74</v>
      </c>
    </row>
    <row r="62785" spans="9:9" x14ac:dyDescent="0.2">
      <c r="I62785" s="137" t="s">
        <v>74</v>
      </c>
    </row>
    <row r="62786" spans="9:9" x14ac:dyDescent="0.2">
      <c r="I62786" s="137" t="s">
        <v>74</v>
      </c>
    </row>
    <row r="62787" spans="9:9" x14ac:dyDescent="0.2">
      <c r="I62787" s="137" t="s">
        <v>74</v>
      </c>
    </row>
    <row r="62788" spans="9:9" x14ac:dyDescent="0.2">
      <c r="I62788" s="137" t="s">
        <v>74</v>
      </c>
    </row>
    <row r="62789" spans="9:9" x14ac:dyDescent="0.2">
      <c r="I62789" s="137" t="s">
        <v>74</v>
      </c>
    </row>
    <row r="62790" spans="9:9" x14ac:dyDescent="0.2">
      <c r="I62790" s="137" t="s">
        <v>74</v>
      </c>
    </row>
    <row r="62791" spans="9:9" x14ac:dyDescent="0.2">
      <c r="I62791" s="137" t="s">
        <v>74</v>
      </c>
    </row>
    <row r="62792" spans="9:9" x14ac:dyDescent="0.2">
      <c r="I62792" s="137" t="s">
        <v>74</v>
      </c>
    </row>
    <row r="62793" spans="9:9" x14ac:dyDescent="0.2">
      <c r="I62793" s="137" t="s">
        <v>74</v>
      </c>
    </row>
    <row r="62794" spans="9:9" x14ac:dyDescent="0.2">
      <c r="I62794" s="137" t="s">
        <v>74</v>
      </c>
    </row>
    <row r="62795" spans="9:9" x14ac:dyDescent="0.2">
      <c r="I62795" s="137" t="s">
        <v>74</v>
      </c>
    </row>
    <row r="62796" spans="9:9" x14ac:dyDescent="0.2">
      <c r="I62796" s="137" t="s">
        <v>74</v>
      </c>
    </row>
    <row r="62797" spans="9:9" x14ac:dyDescent="0.2">
      <c r="I62797" s="137" t="s">
        <v>74</v>
      </c>
    </row>
    <row r="62798" spans="9:9" x14ac:dyDescent="0.2">
      <c r="I62798" s="137" t="s">
        <v>74</v>
      </c>
    </row>
    <row r="62799" spans="9:9" x14ac:dyDescent="0.2">
      <c r="I62799" s="137" t="s">
        <v>74</v>
      </c>
    </row>
    <row r="62800" spans="9:9" x14ac:dyDescent="0.2">
      <c r="I62800" s="137" t="s">
        <v>74</v>
      </c>
    </row>
    <row r="62801" spans="9:9" x14ac:dyDescent="0.2">
      <c r="I62801" s="137" t="s">
        <v>74</v>
      </c>
    </row>
    <row r="62802" spans="9:9" x14ac:dyDescent="0.2">
      <c r="I62802" s="137" t="s">
        <v>74</v>
      </c>
    </row>
    <row r="62803" spans="9:9" x14ac:dyDescent="0.2">
      <c r="I62803" s="137" t="s">
        <v>74</v>
      </c>
    </row>
    <row r="62804" spans="9:9" x14ac:dyDescent="0.2">
      <c r="I62804" s="137" t="s">
        <v>74</v>
      </c>
    </row>
    <row r="62805" spans="9:9" x14ac:dyDescent="0.2">
      <c r="I62805" s="137" t="s">
        <v>74</v>
      </c>
    </row>
    <row r="62806" spans="9:9" x14ac:dyDescent="0.2">
      <c r="I62806" s="137" t="s">
        <v>74</v>
      </c>
    </row>
    <row r="62807" spans="9:9" x14ac:dyDescent="0.2">
      <c r="I62807" s="137" t="s">
        <v>74</v>
      </c>
    </row>
    <row r="62808" spans="9:9" x14ac:dyDescent="0.2">
      <c r="I62808" s="137" t="s">
        <v>74</v>
      </c>
    </row>
    <row r="62809" spans="9:9" x14ac:dyDescent="0.2">
      <c r="I62809" s="137" t="s">
        <v>74</v>
      </c>
    </row>
    <row r="62810" spans="9:9" x14ac:dyDescent="0.2">
      <c r="I62810" s="137" t="s">
        <v>74</v>
      </c>
    </row>
    <row r="62811" spans="9:9" x14ac:dyDescent="0.2">
      <c r="I62811" s="137" t="s">
        <v>74</v>
      </c>
    </row>
    <row r="62812" spans="9:9" x14ac:dyDescent="0.2">
      <c r="I62812" s="137" t="s">
        <v>74</v>
      </c>
    </row>
    <row r="62813" spans="9:9" x14ac:dyDescent="0.2">
      <c r="I62813" s="137" t="s">
        <v>74</v>
      </c>
    </row>
    <row r="62814" spans="9:9" x14ac:dyDescent="0.2">
      <c r="I62814" s="137" t="s">
        <v>74</v>
      </c>
    </row>
    <row r="62815" spans="9:9" x14ac:dyDescent="0.2">
      <c r="I62815" s="137" t="s">
        <v>74</v>
      </c>
    </row>
    <row r="62816" spans="9:9" x14ac:dyDescent="0.2">
      <c r="I62816" s="137" t="s">
        <v>74</v>
      </c>
    </row>
    <row r="62817" spans="9:9" x14ac:dyDescent="0.2">
      <c r="I62817" s="137" t="s">
        <v>74</v>
      </c>
    </row>
    <row r="62818" spans="9:9" x14ac:dyDescent="0.2">
      <c r="I62818" s="137" t="s">
        <v>74</v>
      </c>
    </row>
    <row r="62819" spans="9:9" x14ac:dyDescent="0.2">
      <c r="I62819" s="137" t="s">
        <v>74</v>
      </c>
    </row>
    <row r="62820" spans="9:9" x14ac:dyDescent="0.2">
      <c r="I62820" s="137" t="s">
        <v>74</v>
      </c>
    </row>
    <row r="62821" spans="9:9" x14ac:dyDescent="0.2">
      <c r="I62821" s="137" t="s">
        <v>74</v>
      </c>
    </row>
    <row r="62822" spans="9:9" x14ac:dyDescent="0.2">
      <c r="I62822" s="137" t="s">
        <v>74</v>
      </c>
    </row>
    <row r="62823" spans="9:9" x14ac:dyDescent="0.2">
      <c r="I62823" s="137" t="s">
        <v>74</v>
      </c>
    </row>
    <row r="62824" spans="9:9" x14ac:dyDescent="0.2">
      <c r="I62824" s="137" t="s">
        <v>74</v>
      </c>
    </row>
    <row r="62825" spans="9:9" x14ac:dyDescent="0.2">
      <c r="I62825" s="137" t="s">
        <v>74</v>
      </c>
    </row>
    <row r="62826" spans="9:9" x14ac:dyDescent="0.2">
      <c r="I62826" s="137" t="s">
        <v>74</v>
      </c>
    </row>
    <row r="62827" spans="9:9" x14ac:dyDescent="0.2">
      <c r="I62827" s="137" t="s">
        <v>74</v>
      </c>
    </row>
    <row r="62828" spans="9:9" x14ac:dyDescent="0.2">
      <c r="I62828" s="137" t="s">
        <v>74</v>
      </c>
    </row>
    <row r="62829" spans="9:9" x14ac:dyDescent="0.2">
      <c r="I62829" s="137" t="s">
        <v>74</v>
      </c>
    </row>
    <row r="62830" spans="9:9" x14ac:dyDescent="0.2">
      <c r="I62830" s="137" t="s">
        <v>74</v>
      </c>
    </row>
    <row r="62831" spans="9:9" x14ac:dyDescent="0.2">
      <c r="I62831" s="137" t="s">
        <v>74</v>
      </c>
    </row>
    <row r="62832" spans="9:9" x14ac:dyDescent="0.2">
      <c r="I62832" s="137" t="s">
        <v>74</v>
      </c>
    </row>
    <row r="62833" spans="9:9" x14ac:dyDescent="0.2">
      <c r="I62833" s="137" t="s">
        <v>74</v>
      </c>
    </row>
    <row r="62834" spans="9:9" x14ac:dyDescent="0.2">
      <c r="I62834" s="137" t="s">
        <v>74</v>
      </c>
    </row>
    <row r="62835" spans="9:9" x14ac:dyDescent="0.2">
      <c r="I62835" s="137" t="s">
        <v>74</v>
      </c>
    </row>
    <row r="62836" spans="9:9" x14ac:dyDescent="0.2">
      <c r="I62836" s="137" t="s">
        <v>74</v>
      </c>
    </row>
    <row r="62837" spans="9:9" x14ac:dyDescent="0.2">
      <c r="I62837" s="137" t="s">
        <v>74</v>
      </c>
    </row>
    <row r="62838" spans="9:9" x14ac:dyDescent="0.2">
      <c r="I62838" s="137" t="s">
        <v>74</v>
      </c>
    </row>
    <row r="62839" spans="9:9" x14ac:dyDescent="0.2">
      <c r="I62839" s="137" t="s">
        <v>74</v>
      </c>
    </row>
    <row r="62840" spans="9:9" x14ac:dyDescent="0.2">
      <c r="I62840" s="137" t="s">
        <v>74</v>
      </c>
    </row>
    <row r="62841" spans="9:9" x14ac:dyDescent="0.2">
      <c r="I62841" s="137" t="s">
        <v>74</v>
      </c>
    </row>
    <row r="62842" spans="9:9" x14ac:dyDescent="0.2">
      <c r="I62842" s="137" t="s">
        <v>74</v>
      </c>
    </row>
    <row r="62843" spans="9:9" x14ac:dyDescent="0.2">
      <c r="I62843" s="137" t="s">
        <v>74</v>
      </c>
    </row>
    <row r="62844" spans="9:9" x14ac:dyDescent="0.2">
      <c r="I62844" s="137" t="s">
        <v>74</v>
      </c>
    </row>
    <row r="62845" spans="9:9" x14ac:dyDescent="0.2">
      <c r="I62845" s="137" t="s">
        <v>74</v>
      </c>
    </row>
    <row r="62846" spans="9:9" x14ac:dyDescent="0.2">
      <c r="I62846" s="137" t="s">
        <v>74</v>
      </c>
    </row>
    <row r="62847" spans="9:9" x14ac:dyDescent="0.2">
      <c r="I62847" s="137" t="s">
        <v>74</v>
      </c>
    </row>
    <row r="62848" spans="9:9" x14ac:dyDescent="0.2">
      <c r="I62848" s="137" t="s">
        <v>74</v>
      </c>
    </row>
    <row r="62849" spans="9:9" x14ac:dyDescent="0.2">
      <c r="I62849" s="137" t="s">
        <v>74</v>
      </c>
    </row>
    <row r="62850" spans="9:9" x14ac:dyDescent="0.2">
      <c r="I62850" s="137" t="s">
        <v>74</v>
      </c>
    </row>
    <row r="62851" spans="9:9" x14ac:dyDescent="0.2">
      <c r="I62851" s="137" t="s">
        <v>74</v>
      </c>
    </row>
    <row r="62852" spans="9:9" x14ac:dyDescent="0.2">
      <c r="I62852" s="137" t="s">
        <v>74</v>
      </c>
    </row>
    <row r="62853" spans="9:9" x14ac:dyDescent="0.2">
      <c r="I62853" s="137" t="s">
        <v>74</v>
      </c>
    </row>
    <row r="62854" spans="9:9" x14ac:dyDescent="0.2">
      <c r="I62854" s="137" t="s">
        <v>74</v>
      </c>
    </row>
    <row r="62855" spans="9:9" x14ac:dyDescent="0.2">
      <c r="I62855" s="137" t="s">
        <v>74</v>
      </c>
    </row>
    <row r="62856" spans="9:9" x14ac:dyDescent="0.2">
      <c r="I62856" s="137" t="s">
        <v>74</v>
      </c>
    </row>
    <row r="62857" spans="9:9" x14ac:dyDescent="0.2">
      <c r="I62857" s="137" t="s">
        <v>74</v>
      </c>
    </row>
    <row r="62858" spans="9:9" x14ac:dyDescent="0.2">
      <c r="I62858" s="137" t="s">
        <v>74</v>
      </c>
    </row>
    <row r="62859" spans="9:9" x14ac:dyDescent="0.2">
      <c r="I62859" s="137" t="s">
        <v>74</v>
      </c>
    </row>
    <row r="62860" spans="9:9" x14ac:dyDescent="0.2">
      <c r="I62860" s="137" t="s">
        <v>74</v>
      </c>
    </row>
    <row r="62861" spans="9:9" x14ac:dyDescent="0.2">
      <c r="I62861" s="137" t="s">
        <v>74</v>
      </c>
    </row>
    <row r="62862" spans="9:9" x14ac:dyDescent="0.2">
      <c r="I62862" s="137" t="s">
        <v>74</v>
      </c>
    </row>
    <row r="62863" spans="9:9" x14ac:dyDescent="0.2">
      <c r="I62863" s="137" t="s">
        <v>74</v>
      </c>
    </row>
    <row r="62864" spans="9:9" x14ac:dyDescent="0.2">
      <c r="I62864" s="137" t="s">
        <v>74</v>
      </c>
    </row>
    <row r="62865" spans="9:9" x14ac:dyDescent="0.2">
      <c r="I62865" s="137" t="s">
        <v>74</v>
      </c>
    </row>
    <row r="62866" spans="9:9" x14ac:dyDescent="0.2">
      <c r="I62866" s="137" t="s">
        <v>74</v>
      </c>
    </row>
    <row r="62867" spans="9:9" x14ac:dyDescent="0.2">
      <c r="I62867" s="137" t="s">
        <v>74</v>
      </c>
    </row>
    <row r="62868" spans="9:9" x14ac:dyDescent="0.2">
      <c r="I62868" s="137" t="s">
        <v>74</v>
      </c>
    </row>
    <row r="62869" spans="9:9" x14ac:dyDescent="0.2">
      <c r="I62869" s="137" t="s">
        <v>74</v>
      </c>
    </row>
    <row r="62870" spans="9:9" x14ac:dyDescent="0.2">
      <c r="I62870" s="137" t="s">
        <v>74</v>
      </c>
    </row>
    <row r="62871" spans="9:9" x14ac:dyDescent="0.2">
      <c r="I62871" s="137" t="s">
        <v>74</v>
      </c>
    </row>
    <row r="62872" spans="9:9" x14ac:dyDescent="0.2">
      <c r="I62872" s="137" t="s">
        <v>74</v>
      </c>
    </row>
    <row r="62873" spans="9:9" x14ac:dyDescent="0.2">
      <c r="I62873" s="137" t="s">
        <v>74</v>
      </c>
    </row>
    <row r="62874" spans="9:9" x14ac:dyDescent="0.2">
      <c r="I62874" s="137" t="s">
        <v>74</v>
      </c>
    </row>
    <row r="62875" spans="9:9" x14ac:dyDescent="0.2">
      <c r="I62875" s="137" t="s">
        <v>74</v>
      </c>
    </row>
    <row r="62876" spans="9:9" x14ac:dyDescent="0.2">
      <c r="I62876" s="137" t="s">
        <v>74</v>
      </c>
    </row>
    <row r="62877" spans="9:9" x14ac:dyDescent="0.2">
      <c r="I62877" s="137" t="s">
        <v>74</v>
      </c>
    </row>
    <row r="62878" spans="9:9" x14ac:dyDescent="0.2">
      <c r="I62878" s="137" t="s">
        <v>74</v>
      </c>
    </row>
    <row r="62879" spans="9:9" x14ac:dyDescent="0.2">
      <c r="I62879" s="137" t="s">
        <v>74</v>
      </c>
    </row>
    <row r="62880" spans="9:9" x14ac:dyDescent="0.2">
      <c r="I62880" s="137" t="s">
        <v>74</v>
      </c>
    </row>
    <row r="62881" spans="9:9" x14ac:dyDescent="0.2">
      <c r="I62881" s="137" t="s">
        <v>74</v>
      </c>
    </row>
    <row r="62882" spans="9:9" x14ac:dyDescent="0.2">
      <c r="I62882" s="137" t="s">
        <v>74</v>
      </c>
    </row>
    <row r="62883" spans="9:9" x14ac:dyDescent="0.2">
      <c r="I62883" s="137" t="s">
        <v>74</v>
      </c>
    </row>
    <row r="62884" spans="9:9" x14ac:dyDescent="0.2">
      <c r="I62884" s="137" t="s">
        <v>74</v>
      </c>
    </row>
    <row r="62885" spans="9:9" x14ac:dyDescent="0.2">
      <c r="I62885" s="137" t="s">
        <v>74</v>
      </c>
    </row>
    <row r="62886" spans="9:9" x14ac:dyDescent="0.2">
      <c r="I62886" s="137" t="s">
        <v>74</v>
      </c>
    </row>
    <row r="62887" spans="9:9" x14ac:dyDescent="0.2">
      <c r="I62887" s="137" t="s">
        <v>74</v>
      </c>
    </row>
    <row r="62888" spans="9:9" x14ac:dyDescent="0.2">
      <c r="I62888" s="137" t="s">
        <v>74</v>
      </c>
    </row>
    <row r="62889" spans="9:9" x14ac:dyDescent="0.2">
      <c r="I62889" s="137" t="s">
        <v>74</v>
      </c>
    </row>
    <row r="62890" spans="9:9" x14ac:dyDescent="0.2">
      <c r="I62890" s="137" t="s">
        <v>74</v>
      </c>
    </row>
    <row r="62891" spans="9:9" x14ac:dyDescent="0.2">
      <c r="I62891" s="137" t="s">
        <v>74</v>
      </c>
    </row>
    <row r="62892" spans="9:9" x14ac:dyDescent="0.2">
      <c r="I62892" s="137" t="s">
        <v>74</v>
      </c>
    </row>
    <row r="62893" spans="9:9" x14ac:dyDescent="0.2">
      <c r="I62893" s="137" t="s">
        <v>74</v>
      </c>
    </row>
    <row r="62894" spans="9:9" x14ac:dyDescent="0.2">
      <c r="I62894" s="137" t="s">
        <v>74</v>
      </c>
    </row>
    <row r="62895" spans="9:9" x14ac:dyDescent="0.2">
      <c r="I62895" s="137" t="s">
        <v>74</v>
      </c>
    </row>
    <row r="62896" spans="9:9" x14ac:dyDescent="0.2">
      <c r="I62896" s="137" t="s">
        <v>74</v>
      </c>
    </row>
    <row r="62897" spans="9:9" x14ac:dyDescent="0.2">
      <c r="I62897" s="137" t="s">
        <v>74</v>
      </c>
    </row>
    <row r="62898" spans="9:9" x14ac:dyDescent="0.2">
      <c r="I62898" s="137" t="s">
        <v>74</v>
      </c>
    </row>
    <row r="62899" spans="9:9" x14ac:dyDescent="0.2">
      <c r="I62899" s="137" t="s">
        <v>74</v>
      </c>
    </row>
    <row r="62900" spans="9:9" x14ac:dyDescent="0.2">
      <c r="I62900" s="137" t="s">
        <v>74</v>
      </c>
    </row>
    <row r="62901" spans="9:9" x14ac:dyDescent="0.2">
      <c r="I62901" s="137" t="s">
        <v>74</v>
      </c>
    </row>
    <row r="62902" spans="9:9" x14ac:dyDescent="0.2">
      <c r="I62902" s="137" t="s">
        <v>74</v>
      </c>
    </row>
    <row r="62903" spans="9:9" x14ac:dyDescent="0.2">
      <c r="I62903" s="137" t="s">
        <v>74</v>
      </c>
    </row>
    <row r="62904" spans="9:9" x14ac:dyDescent="0.2">
      <c r="I62904" s="137" t="s">
        <v>74</v>
      </c>
    </row>
    <row r="62905" spans="9:9" x14ac:dyDescent="0.2">
      <c r="I62905" s="137" t="s">
        <v>74</v>
      </c>
    </row>
    <row r="62906" spans="9:9" x14ac:dyDescent="0.2">
      <c r="I62906" s="137" t="s">
        <v>74</v>
      </c>
    </row>
    <row r="62907" spans="9:9" x14ac:dyDescent="0.2">
      <c r="I62907" s="137" t="s">
        <v>74</v>
      </c>
    </row>
    <row r="62908" spans="9:9" x14ac:dyDescent="0.2">
      <c r="I62908" s="137" t="s">
        <v>74</v>
      </c>
    </row>
    <row r="62909" spans="9:9" x14ac:dyDescent="0.2">
      <c r="I62909" s="137" t="s">
        <v>74</v>
      </c>
    </row>
    <row r="62910" spans="9:9" x14ac:dyDescent="0.2">
      <c r="I62910" s="137" t="s">
        <v>74</v>
      </c>
    </row>
    <row r="62911" spans="9:9" x14ac:dyDescent="0.2">
      <c r="I62911" s="137" t="s">
        <v>74</v>
      </c>
    </row>
    <row r="62912" spans="9:9" x14ac:dyDescent="0.2">
      <c r="I62912" s="137" t="s">
        <v>74</v>
      </c>
    </row>
    <row r="62913" spans="9:9" x14ac:dyDescent="0.2">
      <c r="I62913" s="137" t="s">
        <v>74</v>
      </c>
    </row>
    <row r="62914" spans="9:9" x14ac:dyDescent="0.2">
      <c r="I62914" s="137" t="s">
        <v>74</v>
      </c>
    </row>
    <row r="62915" spans="9:9" x14ac:dyDescent="0.2">
      <c r="I62915" s="137" t="s">
        <v>74</v>
      </c>
    </row>
    <row r="62916" spans="9:9" x14ac:dyDescent="0.2">
      <c r="I62916" s="137" t="s">
        <v>74</v>
      </c>
    </row>
    <row r="62917" spans="9:9" x14ac:dyDescent="0.2">
      <c r="I62917" s="137" t="s">
        <v>74</v>
      </c>
    </row>
    <row r="62918" spans="9:9" x14ac:dyDescent="0.2">
      <c r="I62918" s="137" t="s">
        <v>74</v>
      </c>
    </row>
    <row r="62919" spans="9:9" x14ac:dyDescent="0.2">
      <c r="I62919" s="137" t="s">
        <v>74</v>
      </c>
    </row>
    <row r="62920" spans="9:9" x14ac:dyDescent="0.2">
      <c r="I62920" s="137" t="s">
        <v>74</v>
      </c>
    </row>
    <row r="62921" spans="9:9" x14ac:dyDescent="0.2">
      <c r="I62921" s="137" t="s">
        <v>74</v>
      </c>
    </row>
    <row r="62922" spans="9:9" x14ac:dyDescent="0.2">
      <c r="I62922" s="137" t="s">
        <v>74</v>
      </c>
    </row>
    <row r="62923" spans="9:9" x14ac:dyDescent="0.2">
      <c r="I62923" s="137" t="s">
        <v>74</v>
      </c>
    </row>
    <row r="62924" spans="9:9" x14ac:dyDescent="0.2">
      <c r="I62924" s="137" t="s">
        <v>74</v>
      </c>
    </row>
    <row r="62925" spans="9:9" x14ac:dyDescent="0.2">
      <c r="I62925" s="137" t="s">
        <v>74</v>
      </c>
    </row>
    <row r="62926" spans="9:9" x14ac:dyDescent="0.2">
      <c r="I62926" s="137" t="s">
        <v>74</v>
      </c>
    </row>
    <row r="62927" spans="9:9" x14ac:dyDescent="0.2">
      <c r="I62927" s="137" t="s">
        <v>74</v>
      </c>
    </row>
    <row r="62928" spans="9:9" x14ac:dyDescent="0.2">
      <c r="I62928" s="137" t="s">
        <v>74</v>
      </c>
    </row>
    <row r="62929" spans="9:9" x14ac:dyDescent="0.2">
      <c r="I62929" s="137" t="s">
        <v>74</v>
      </c>
    </row>
    <row r="62930" spans="9:9" x14ac:dyDescent="0.2">
      <c r="I62930" s="137" t="s">
        <v>74</v>
      </c>
    </row>
    <row r="62931" spans="9:9" x14ac:dyDescent="0.2">
      <c r="I62931" s="137" t="s">
        <v>74</v>
      </c>
    </row>
    <row r="62932" spans="9:9" x14ac:dyDescent="0.2">
      <c r="I62932" s="137" t="s">
        <v>74</v>
      </c>
    </row>
    <row r="62933" spans="9:9" x14ac:dyDescent="0.2">
      <c r="I62933" s="137" t="s">
        <v>74</v>
      </c>
    </row>
    <row r="62934" spans="9:9" x14ac:dyDescent="0.2">
      <c r="I62934" s="137" t="s">
        <v>74</v>
      </c>
    </row>
    <row r="62935" spans="9:9" x14ac:dyDescent="0.2">
      <c r="I62935" s="137" t="s">
        <v>74</v>
      </c>
    </row>
    <row r="62936" spans="9:9" x14ac:dyDescent="0.2">
      <c r="I62936" s="137" t="s">
        <v>74</v>
      </c>
    </row>
    <row r="62937" spans="9:9" x14ac:dyDescent="0.2">
      <c r="I62937" s="137" t="s">
        <v>74</v>
      </c>
    </row>
    <row r="62938" spans="9:9" x14ac:dyDescent="0.2">
      <c r="I62938" s="137" t="s">
        <v>74</v>
      </c>
    </row>
    <row r="62939" spans="9:9" x14ac:dyDescent="0.2">
      <c r="I62939" s="137" t="s">
        <v>74</v>
      </c>
    </row>
    <row r="62940" spans="9:9" x14ac:dyDescent="0.2">
      <c r="I62940" s="137" t="s">
        <v>74</v>
      </c>
    </row>
    <row r="62941" spans="9:9" x14ac:dyDescent="0.2">
      <c r="I62941" s="137" t="s">
        <v>74</v>
      </c>
    </row>
    <row r="62942" spans="9:9" x14ac:dyDescent="0.2">
      <c r="I62942" s="137" t="s">
        <v>74</v>
      </c>
    </row>
    <row r="62943" spans="9:9" x14ac:dyDescent="0.2">
      <c r="I62943" s="137" t="s">
        <v>74</v>
      </c>
    </row>
    <row r="62944" spans="9:9" x14ac:dyDescent="0.2">
      <c r="I62944" s="137" t="s">
        <v>74</v>
      </c>
    </row>
    <row r="62945" spans="9:9" x14ac:dyDescent="0.2">
      <c r="I62945" s="137" t="s">
        <v>74</v>
      </c>
    </row>
    <row r="62946" spans="9:9" x14ac:dyDescent="0.2">
      <c r="I62946" s="137" t="s">
        <v>74</v>
      </c>
    </row>
    <row r="62947" spans="9:9" x14ac:dyDescent="0.2">
      <c r="I62947" s="137" t="s">
        <v>74</v>
      </c>
    </row>
    <row r="62948" spans="9:9" x14ac:dyDescent="0.2">
      <c r="I62948" s="137" t="s">
        <v>74</v>
      </c>
    </row>
    <row r="62949" spans="9:9" x14ac:dyDescent="0.2">
      <c r="I62949" s="137" t="s">
        <v>74</v>
      </c>
    </row>
    <row r="62950" spans="9:9" x14ac:dyDescent="0.2">
      <c r="I62950" s="137" t="s">
        <v>74</v>
      </c>
    </row>
    <row r="62951" spans="9:9" x14ac:dyDescent="0.2">
      <c r="I62951" s="137" t="s">
        <v>74</v>
      </c>
    </row>
    <row r="62952" spans="9:9" x14ac:dyDescent="0.2">
      <c r="I62952" s="137" t="s">
        <v>74</v>
      </c>
    </row>
    <row r="62953" spans="9:9" x14ac:dyDescent="0.2">
      <c r="I62953" s="137" t="s">
        <v>74</v>
      </c>
    </row>
    <row r="62954" spans="9:9" x14ac:dyDescent="0.2">
      <c r="I62954" s="137" t="s">
        <v>74</v>
      </c>
    </row>
    <row r="62955" spans="9:9" x14ac:dyDescent="0.2">
      <c r="I62955" s="137" t="s">
        <v>74</v>
      </c>
    </row>
    <row r="62956" spans="9:9" x14ac:dyDescent="0.2">
      <c r="I62956" s="137" t="s">
        <v>74</v>
      </c>
    </row>
    <row r="62957" spans="9:9" x14ac:dyDescent="0.2">
      <c r="I62957" s="137" t="s">
        <v>74</v>
      </c>
    </row>
    <row r="62958" spans="9:9" x14ac:dyDescent="0.2">
      <c r="I62958" s="137" t="s">
        <v>74</v>
      </c>
    </row>
    <row r="62959" spans="9:9" x14ac:dyDescent="0.2">
      <c r="I62959" s="137" t="s">
        <v>74</v>
      </c>
    </row>
    <row r="62960" spans="9:9" x14ac:dyDescent="0.2">
      <c r="I62960" s="137" t="s">
        <v>74</v>
      </c>
    </row>
    <row r="62961" spans="9:9" x14ac:dyDescent="0.2">
      <c r="I62961" s="137" t="s">
        <v>74</v>
      </c>
    </row>
    <row r="62962" spans="9:9" x14ac:dyDescent="0.2">
      <c r="I62962" s="137" t="s">
        <v>74</v>
      </c>
    </row>
    <row r="62963" spans="9:9" x14ac:dyDescent="0.2">
      <c r="I62963" s="137" t="s">
        <v>74</v>
      </c>
    </row>
    <row r="62964" spans="9:9" x14ac:dyDescent="0.2">
      <c r="I62964" s="137" t="s">
        <v>74</v>
      </c>
    </row>
    <row r="62965" spans="9:9" x14ac:dyDescent="0.2">
      <c r="I62965" s="137" t="s">
        <v>74</v>
      </c>
    </row>
    <row r="62966" spans="9:9" x14ac:dyDescent="0.2">
      <c r="I62966" s="137" t="s">
        <v>74</v>
      </c>
    </row>
    <row r="62967" spans="9:9" x14ac:dyDescent="0.2">
      <c r="I62967" s="137" t="s">
        <v>74</v>
      </c>
    </row>
    <row r="62968" spans="9:9" x14ac:dyDescent="0.2">
      <c r="I62968" s="137" t="s">
        <v>74</v>
      </c>
    </row>
    <row r="62969" spans="9:9" x14ac:dyDescent="0.2">
      <c r="I62969" s="137" t="s">
        <v>74</v>
      </c>
    </row>
    <row r="62970" spans="9:9" x14ac:dyDescent="0.2">
      <c r="I62970" s="137" t="s">
        <v>74</v>
      </c>
    </row>
    <row r="62971" spans="9:9" x14ac:dyDescent="0.2">
      <c r="I62971" s="137" t="s">
        <v>74</v>
      </c>
    </row>
    <row r="62972" spans="9:9" x14ac:dyDescent="0.2">
      <c r="I62972" s="137" t="s">
        <v>74</v>
      </c>
    </row>
    <row r="62973" spans="9:9" x14ac:dyDescent="0.2">
      <c r="I62973" s="137" t="s">
        <v>74</v>
      </c>
    </row>
    <row r="62974" spans="9:9" x14ac:dyDescent="0.2">
      <c r="I62974" s="137" t="s">
        <v>74</v>
      </c>
    </row>
    <row r="62975" spans="9:9" x14ac:dyDescent="0.2">
      <c r="I62975" s="137" t="s">
        <v>74</v>
      </c>
    </row>
    <row r="62976" spans="9:9" x14ac:dyDescent="0.2">
      <c r="I62976" s="137" t="s">
        <v>74</v>
      </c>
    </row>
    <row r="62977" spans="9:9" x14ac:dyDescent="0.2">
      <c r="I62977" s="137" t="s">
        <v>74</v>
      </c>
    </row>
    <row r="62978" spans="9:9" x14ac:dyDescent="0.2">
      <c r="I62978" s="137" t="s">
        <v>74</v>
      </c>
    </row>
    <row r="62979" spans="9:9" x14ac:dyDescent="0.2">
      <c r="I62979" s="137" t="s">
        <v>74</v>
      </c>
    </row>
    <row r="62980" spans="9:9" x14ac:dyDescent="0.2">
      <c r="I62980" s="137" t="s">
        <v>74</v>
      </c>
    </row>
    <row r="62981" spans="9:9" x14ac:dyDescent="0.2">
      <c r="I62981" s="137" t="s">
        <v>74</v>
      </c>
    </row>
    <row r="62982" spans="9:9" x14ac:dyDescent="0.2">
      <c r="I62982" s="137" t="s">
        <v>74</v>
      </c>
    </row>
    <row r="62983" spans="9:9" x14ac:dyDescent="0.2">
      <c r="I62983" s="137" t="s">
        <v>74</v>
      </c>
    </row>
    <row r="62984" spans="9:9" x14ac:dyDescent="0.2">
      <c r="I62984" s="137" t="s">
        <v>74</v>
      </c>
    </row>
    <row r="62985" spans="9:9" x14ac:dyDescent="0.2">
      <c r="I62985" s="137" t="s">
        <v>74</v>
      </c>
    </row>
    <row r="62986" spans="9:9" x14ac:dyDescent="0.2">
      <c r="I62986" s="137" t="s">
        <v>74</v>
      </c>
    </row>
    <row r="62987" spans="9:9" x14ac:dyDescent="0.2">
      <c r="I62987" s="137" t="s">
        <v>74</v>
      </c>
    </row>
    <row r="62988" spans="9:9" x14ac:dyDescent="0.2">
      <c r="I62988" s="137" t="s">
        <v>74</v>
      </c>
    </row>
    <row r="62989" spans="9:9" x14ac:dyDescent="0.2">
      <c r="I62989" s="137" t="s">
        <v>74</v>
      </c>
    </row>
    <row r="62990" spans="9:9" x14ac:dyDescent="0.2">
      <c r="I62990" s="137" t="s">
        <v>74</v>
      </c>
    </row>
    <row r="62991" spans="9:9" x14ac:dyDescent="0.2">
      <c r="I62991" s="137" t="s">
        <v>74</v>
      </c>
    </row>
    <row r="62992" spans="9:9" x14ac:dyDescent="0.2">
      <c r="I62992" s="137" t="s">
        <v>74</v>
      </c>
    </row>
    <row r="62993" spans="9:9" x14ac:dyDescent="0.2">
      <c r="I62993" s="137" t="s">
        <v>74</v>
      </c>
    </row>
    <row r="62994" spans="9:9" x14ac:dyDescent="0.2">
      <c r="I62994" s="137" t="s">
        <v>74</v>
      </c>
    </row>
    <row r="62995" spans="9:9" x14ac:dyDescent="0.2">
      <c r="I62995" s="137" t="s">
        <v>74</v>
      </c>
    </row>
    <row r="62996" spans="9:9" x14ac:dyDescent="0.2">
      <c r="I62996" s="137" t="s">
        <v>74</v>
      </c>
    </row>
    <row r="62997" spans="9:9" x14ac:dyDescent="0.2">
      <c r="I62997" s="137" t="s">
        <v>74</v>
      </c>
    </row>
    <row r="62998" spans="9:9" x14ac:dyDescent="0.2">
      <c r="I62998" s="137" t="s">
        <v>74</v>
      </c>
    </row>
    <row r="62999" spans="9:9" x14ac:dyDescent="0.2">
      <c r="I62999" s="137" t="s">
        <v>74</v>
      </c>
    </row>
    <row r="63000" spans="9:9" x14ac:dyDescent="0.2">
      <c r="I63000" s="137" t="s">
        <v>74</v>
      </c>
    </row>
    <row r="63001" spans="9:9" x14ac:dyDescent="0.2">
      <c r="I63001" s="137" t="s">
        <v>74</v>
      </c>
    </row>
    <row r="63002" spans="9:9" x14ac:dyDescent="0.2">
      <c r="I63002" s="137" t="s">
        <v>74</v>
      </c>
    </row>
    <row r="63003" spans="9:9" x14ac:dyDescent="0.2">
      <c r="I63003" s="137" t="s">
        <v>74</v>
      </c>
    </row>
    <row r="63004" spans="9:9" x14ac:dyDescent="0.2">
      <c r="I63004" s="137" t="s">
        <v>74</v>
      </c>
    </row>
    <row r="63005" spans="9:9" x14ac:dyDescent="0.2">
      <c r="I63005" s="137" t="s">
        <v>74</v>
      </c>
    </row>
    <row r="63006" spans="9:9" x14ac:dyDescent="0.2">
      <c r="I63006" s="137" t="s">
        <v>74</v>
      </c>
    </row>
    <row r="63007" spans="9:9" x14ac:dyDescent="0.2">
      <c r="I63007" s="137" t="s">
        <v>74</v>
      </c>
    </row>
    <row r="63008" spans="9:9" x14ac:dyDescent="0.2">
      <c r="I63008" s="137" t="s">
        <v>74</v>
      </c>
    </row>
    <row r="63009" spans="9:9" x14ac:dyDescent="0.2">
      <c r="I63009" s="137" t="s">
        <v>74</v>
      </c>
    </row>
    <row r="63010" spans="9:9" x14ac:dyDescent="0.2">
      <c r="I63010" s="137" t="s">
        <v>74</v>
      </c>
    </row>
    <row r="63011" spans="9:9" x14ac:dyDescent="0.2">
      <c r="I63011" s="137" t="s">
        <v>74</v>
      </c>
    </row>
    <row r="63012" spans="9:9" x14ac:dyDescent="0.2">
      <c r="I63012" s="137" t="s">
        <v>74</v>
      </c>
    </row>
    <row r="63013" spans="9:9" x14ac:dyDescent="0.2">
      <c r="I63013" s="137" t="s">
        <v>74</v>
      </c>
    </row>
    <row r="63014" spans="9:9" x14ac:dyDescent="0.2">
      <c r="I63014" s="137" t="s">
        <v>74</v>
      </c>
    </row>
    <row r="63015" spans="9:9" x14ac:dyDescent="0.2">
      <c r="I63015" s="137" t="s">
        <v>74</v>
      </c>
    </row>
    <row r="63016" spans="9:9" x14ac:dyDescent="0.2">
      <c r="I63016" s="137" t="s">
        <v>74</v>
      </c>
    </row>
    <row r="63017" spans="9:9" x14ac:dyDescent="0.2">
      <c r="I63017" s="137" t="s">
        <v>74</v>
      </c>
    </row>
    <row r="63018" spans="9:9" x14ac:dyDescent="0.2">
      <c r="I63018" s="137" t="s">
        <v>74</v>
      </c>
    </row>
    <row r="63019" spans="9:9" x14ac:dyDescent="0.2">
      <c r="I63019" s="137" t="s">
        <v>74</v>
      </c>
    </row>
    <row r="63020" spans="9:9" x14ac:dyDescent="0.2">
      <c r="I63020" s="137" t="s">
        <v>74</v>
      </c>
    </row>
    <row r="63021" spans="9:9" x14ac:dyDescent="0.2">
      <c r="I63021" s="137" t="s">
        <v>74</v>
      </c>
    </row>
    <row r="63022" spans="9:9" x14ac:dyDescent="0.2">
      <c r="I63022" s="137" t="s">
        <v>74</v>
      </c>
    </row>
    <row r="63023" spans="9:9" x14ac:dyDescent="0.2">
      <c r="I63023" s="137" t="s">
        <v>74</v>
      </c>
    </row>
    <row r="63024" spans="9:9" x14ac:dyDescent="0.2">
      <c r="I63024" s="137" t="s">
        <v>74</v>
      </c>
    </row>
    <row r="63025" spans="9:9" x14ac:dyDescent="0.2">
      <c r="I63025" s="137" t="s">
        <v>74</v>
      </c>
    </row>
    <row r="63026" spans="9:9" x14ac:dyDescent="0.2">
      <c r="I63026" s="137" t="s">
        <v>74</v>
      </c>
    </row>
    <row r="63027" spans="9:9" x14ac:dyDescent="0.2">
      <c r="I63027" s="137" t="s">
        <v>74</v>
      </c>
    </row>
    <row r="63028" spans="9:9" x14ac:dyDescent="0.2">
      <c r="I63028" s="137" t="s">
        <v>74</v>
      </c>
    </row>
    <row r="63029" spans="9:9" x14ac:dyDescent="0.2">
      <c r="I63029" s="137" t="s">
        <v>74</v>
      </c>
    </row>
    <row r="63030" spans="9:9" x14ac:dyDescent="0.2">
      <c r="I63030" s="137" t="s">
        <v>74</v>
      </c>
    </row>
    <row r="63031" spans="9:9" x14ac:dyDescent="0.2">
      <c r="I63031" s="137" t="s">
        <v>74</v>
      </c>
    </row>
    <row r="63032" spans="9:9" x14ac:dyDescent="0.2">
      <c r="I63032" s="137" t="s">
        <v>74</v>
      </c>
    </row>
    <row r="63033" spans="9:9" x14ac:dyDescent="0.2">
      <c r="I63033" s="137" t="s">
        <v>74</v>
      </c>
    </row>
    <row r="63034" spans="9:9" x14ac:dyDescent="0.2">
      <c r="I63034" s="137" t="s">
        <v>74</v>
      </c>
    </row>
    <row r="63035" spans="9:9" x14ac:dyDescent="0.2">
      <c r="I63035" s="137" t="s">
        <v>74</v>
      </c>
    </row>
    <row r="63036" spans="9:9" x14ac:dyDescent="0.2">
      <c r="I63036" s="137" t="s">
        <v>74</v>
      </c>
    </row>
    <row r="63037" spans="9:9" x14ac:dyDescent="0.2">
      <c r="I63037" s="137" t="s">
        <v>74</v>
      </c>
    </row>
    <row r="63038" spans="9:9" x14ac:dyDescent="0.2">
      <c r="I63038" s="137" t="s">
        <v>74</v>
      </c>
    </row>
    <row r="63039" spans="9:9" x14ac:dyDescent="0.2">
      <c r="I63039" s="137" t="s">
        <v>74</v>
      </c>
    </row>
    <row r="63040" spans="9:9" x14ac:dyDescent="0.2">
      <c r="I63040" s="137" t="s">
        <v>74</v>
      </c>
    </row>
    <row r="63041" spans="9:9" x14ac:dyDescent="0.2">
      <c r="I63041" s="137" t="s">
        <v>74</v>
      </c>
    </row>
    <row r="63042" spans="9:9" x14ac:dyDescent="0.2">
      <c r="I63042" s="137" t="s">
        <v>74</v>
      </c>
    </row>
    <row r="63043" spans="9:9" x14ac:dyDescent="0.2">
      <c r="I63043" s="137" t="s">
        <v>74</v>
      </c>
    </row>
    <row r="63044" spans="9:9" x14ac:dyDescent="0.2">
      <c r="I63044" s="137" t="s">
        <v>74</v>
      </c>
    </row>
    <row r="63045" spans="9:9" x14ac:dyDescent="0.2">
      <c r="I63045" s="137" t="s">
        <v>74</v>
      </c>
    </row>
    <row r="63046" spans="9:9" x14ac:dyDescent="0.2">
      <c r="I63046" s="137" t="s">
        <v>74</v>
      </c>
    </row>
    <row r="63047" spans="9:9" x14ac:dyDescent="0.2">
      <c r="I63047" s="137" t="s">
        <v>74</v>
      </c>
    </row>
    <row r="63048" spans="9:9" x14ac:dyDescent="0.2">
      <c r="I63048" s="137" t="s">
        <v>74</v>
      </c>
    </row>
    <row r="63049" spans="9:9" x14ac:dyDescent="0.2">
      <c r="I63049" s="137" t="s">
        <v>74</v>
      </c>
    </row>
    <row r="63050" spans="9:9" x14ac:dyDescent="0.2">
      <c r="I63050" s="137" t="s">
        <v>74</v>
      </c>
    </row>
    <row r="63051" spans="9:9" x14ac:dyDescent="0.2">
      <c r="I63051" s="137" t="s">
        <v>74</v>
      </c>
    </row>
    <row r="63052" spans="9:9" x14ac:dyDescent="0.2">
      <c r="I63052" s="137" t="s">
        <v>74</v>
      </c>
    </row>
    <row r="63053" spans="9:9" x14ac:dyDescent="0.2">
      <c r="I63053" s="137" t="s">
        <v>74</v>
      </c>
    </row>
    <row r="63054" spans="9:9" x14ac:dyDescent="0.2">
      <c r="I63054" s="137" t="s">
        <v>74</v>
      </c>
    </row>
    <row r="63055" spans="9:9" x14ac:dyDescent="0.2">
      <c r="I63055" s="137" t="s">
        <v>74</v>
      </c>
    </row>
    <row r="63056" spans="9:9" x14ac:dyDescent="0.2">
      <c r="I63056" s="137" t="s">
        <v>74</v>
      </c>
    </row>
    <row r="63057" spans="9:9" x14ac:dyDescent="0.2">
      <c r="I63057" s="137" t="s">
        <v>74</v>
      </c>
    </row>
    <row r="63058" spans="9:9" x14ac:dyDescent="0.2">
      <c r="I63058" s="137" t="s">
        <v>74</v>
      </c>
    </row>
    <row r="63059" spans="9:9" x14ac:dyDescent="0.2">
      <c r="I63059" s="137" t="s">
        <v>74</v>
      </c>
    </row>
    <row r="63060" spans="9:9" x14ac:dyDescent="0.2">
      <c r="I63060" s="137" t="s">
        <v>74</v>
      </c>
    </row>
    <row r="63061" spans="9:9" x14ac:dyDescent="0.2">
      <c r="I63061" s="137" t="s">
        <v>74</v>
      </c>
    </row>
    <row r="63062" spans="9:9" x14ac:dyDescent="0.2">
      <c r="I63062" s="137" t="s">
        <v>74</v>
      </c>
    </row>
    <row r="63063" spans="9:9" x14ac:dyDescent="0.2">
      <c r="I63063" s="137" t="s">
        <v>74</v>
      </c>
    </row>
    <row r="63064" spans="9:9" x14ac:dyDescent="0.2">
      <c r="I63064" s="137" t="s">
        <v>74</v>
      </c>
    </row>
    <row r="63065" spans="9:9" x14ac:dyDescent="0.2">
      <c r="I63065" s="137" t="s">
        <v>74</v>
      </c>
    </row>
    <row r="63066" spans="9:9" x14ac:dyDescent="0.2">
      <c r="I63066" s="137" t="s">
        <v>74</v>
      </c>
    </row>
    <row r="63067" spans="9:9" x14ac:dyDescent="0.2">
      <c r="I63067" s="137" t="s">
        <v>74</v>
      </c>
    </row>
    <row r="63068" spans="9:9" x14ac:dyDescent="0.2">
      <c r="I63068" s="137" t="s">
        <v>74</v>
      </c>
    </row>
    <row r="63069" spans="9:9" x14ac:dyDescent="0.2">
      <c r="I63069" s="137" t="s">
        <v>74</v>
      </c>
    </row>
    <row r="63070" spans="9:9" x14ac:dyDescent="0.2">
      <c r="I63070" s="137" t="s">
        <v>74</v>
      </c>
    </row>
    <row r="63071" spans="9:9" x14ac:dyDescent="0.2">
      <c r="I63071" s="137" t="s">
        <v>74</v>
      </c>
    </row>
    <row r="63072" spans="9:9" x14ac:dyDescent="0.2">
      <c r="I63072" s="137" t="s">
        <v>74</v>
      </c>
    </row>
    <row r="63073" spans="9:9" x14ac:dyDescent="0.2">
      <c r="I63073" s="137" t="s">
        <v>74</v>
      </c>
    </row>
    <row r="63074" spans="9:9" x14ac:dyDescent="0.2">
      <c r="I63074" s="137" t="s">
        <v>74</v>
      </c>
    </row>
    <row r="63075" spans="9:9" x14ac:dyDescent="0.2">
      <c r="I63075" s="137" t="s">
        <v>74</v>
      </c>
    </row>
    <row r="63076" spans="9:9" x14ac:dyDescent="0.2">
      <c r="I63076" s="137" t="s">
        <v>74</v>
      </c>
    </row>
    <row r="63077" spans="9:9" x14ac:dyDescent="0.2">
      <c r="I63077" s="137" t="s">
        <v>74</v>
      </c>
    </row>
    <row r="63078" spans="9:9" x14ac:dyDescent="0.2">
      <c r="I63078" s="137" t="s">
        <v>74</v>
      </c>
    </row>
    <row r="63079" spans="9:9" x14ac:dyDescent="0.2">
      <c r="I63079" s="137" t="s">
        <v>74</v>
      </c>
    </row>
    <row r="63080" spans="9:9" x14ac:dyDescent="0.2">
      <c r="I63080" s="137" t="s">
        <v>74</v>
      </c>
    </row>
    <row r="63081" spans="9:9" x14ac:dyDescent="0.2">
      <c r="I63081" s="137" t="s">
        <v>74</v>
      </c>
    </row>
    <row r="63082" spans="9:9" x14ac:dyDescent="0.2">
      <c r="I63082" s="137" t="s">
        <v>74</v>
      </c>
    </row>
    <row r="63083" spans="9:9" x14ac:dyDescent="0.2">
      <c r="I63083" s="137" t="s">
        <v>74</v>
      </c>
    </row>
    <row r="63084" spans="9:9" x14ac:dyDescent="0.2">
      <c r="I63084" s="137" t="s">
        <v>74</v>
      </c>
    </row>
    <row r="63085" spans="9:9" x14ac:dyDescent="0.2">
      <c r="I63085" s="137" t="s">
        <v>74</v>
      </c>
    </row>
    <row r="63086" spans="9:9" x14ac:dyDescent="0.2">
      <c r="I63086" s="137" t="s">
        <v>74</v>
      </c>
    </row>
    <row r="63087" spans="9:9" x14ac:dyDescent="0.2">
      <c r="I63087" s="137" t="s">
        <v>74</v>
      </c>
    </row>
    <row r="63088" spans="9:9" x14ac:dyDescent="0.2">
      <c r="I63088" s="137" t="s">
        <v>74</v>
      </c>
    </row>
    <row r="63089" spans="9:9" x14ac:dyDescent="0.2">
      <c r="I63089" s="137" t="s">
        <v>74</v>
      </c>
    </row>
    <row r="63090" spans="9:9" x14ac:dyDescent="0.2">
      <c r="I63090" s="137" t="s">
        <v>74</v>
      </c>
    </row>
    <row r="63091" spans="9:9" x14ac:dyDescent="0.2">
      <c r="I63091" s="137" t="s">
        <v>74</v>
      </c>
    </row>
    <row r="63092" spans="9:9" x14ac:dyDescent="0.2">
      <c r="I63092" s="137" t="s">
        <v>74</v>
      </c>
    </row>
    <row r="63093" spans="9:9" x14ac:dyDescent="0.2">
      <c r="I63093" s="137" t="s">
        <v>74</v>
      </c>
    </row>
    <row r="63094" spans="9:9" x14ac:dyDescent="0.2">
      <c r="I63094" s="137" t="s">
        <v>74</v>
      </c>
    </row>
    <row r="63095" spans="9:9" x14ac:dyDescent="0.2">
      <c r="I63095" s="137" t="s">
        <v>74</v>
      </c>
    </row>
    <row r="63096" spans="9:9" x14ac:dyDescent="0.2">
      <c r="I63096" s="137" t="s">
        <v>74</v>
      </c>
    </row>
    <row r="63097" spans="9:9" x14ac:dyDescent="0.2">
      <c r="I63097" s="137" t="s">
        <v>74</v>
      </c>
    </row>
    <row r="63098" spans="9:9" x14ac:dyDescent="0.2">
      <c r="I63098" s="137" t="s">
        <v>74</v>
      </c>
    </row>
    <row r="63099" spans="9:9" x14ac:dyDescent="0.2">
      <c r="I63099" s="137" t="s">
        <v>74</v>
      </c>
    </row>
    <row r="63100" spans="9:9" x14ac:dyDescent="0.2">
      <c r="I63100" s="137" t="s">
        <v>74</v>
      </c>
    </row>
    <row r="63101" spans="9:9" x14ac:dyDescent="0.2">
      <c r="I63101" s="137" t="s">
        <v>74</v>
      </c>
    </row>
    <row r="63102" spans="9:9" x14ac:dyDescent="0.2">
      <c r="I63102" s="137" t="s">
        <v>74</v>
      </c>
    </row>
    <row r="63103" spans="9:9" x14ac:dyDescent="0.2">
      <c r="I63103" s="137" t="s">
        <v>74</v>
      </c>
    </row>
    <row r="63104" spans="9:9" x14ac:dyDescent="0.2">
      <c r="I63104" s="137" t="s">
        <v>74</v>
      </c>
    </row>
    <row r="63105" spans="9:9" x14ac:dyDescent="0.2">
      <c r="I63105" s="137" t="s">
        <v>74</v>
      </c>
    </row>
    <row r="63106" spans="9:9" x14ac:dyDescent="0.2">
      <c r="I63106" s="137" t="s">
        <v>74</v>
      </c>
    </row>
    <row r="63107" spans="9:9" x14ac:dyDescent="0.2">
      <c r="I63107" s="137" t="s">
        <v>74</v>
      </c>
    </row>
    <row r="63108" spans="9:9" x14ac:dyDescent="0.2">
      <c r="I63108" s="137" t="s">
        <v>74</v>
      </c>
    </row>
    <row r="63109" spans="9:9" x14ac:dyDescent="0.2">
      <c r="I63109" s="137" t="s">
        <v>74</v>
      </c>
    </row>
    <row r="63110" spans="9:9" x14ac:dyDescent="0.2">
      <c r="I63110" s="137" t="s">
        <v>74</v>
      </c>
    </row>
    <row r="63111" spans="9:9" x14ac:dyDescent="0.2">
      <c r="I63111" s="137" t="s">
        <v>74</v>
      </c>
    </row>
    <row r="63112" spans="9:9" x14ac:dyDescent="0.2">
      <c r="I63112" s="137" t="s">
        <v>74</v>
      </c>
    </row>
    <row r="63113" spans="9:9" x14ac:dyDescent="0.2">
      <c r="I63113" s="137" t="s">
        <v>74</v>
      </c>
    </row>
    <row r="63114" spans="9:9" x14ac:dyDescent="0.2">
      <c r="I63114" s="137" t="s">
        <v>74</v>
      </c>
    </row>
    <row r="63115" spans="9:9" x14ac:dyDescent="0.2">
      <c r="I63115" s="137" t="s">
        <v>74</v>
      </c>
    </row>
    <row r="63116" spans="9:9" x14ac:dyDescent="0.2">
      <c r="I63116" s="137" t="s">
        <v>74</v>
      </c>
    </row>
    <row r="63117" spans="9:9" x14ac:dyDescent="0.2">
      <c r="I63117" s="137" t="s">
        <v>74</v>
      </c>
    </row>
    <row r="63118" spans="9:9" x14ac:dyDescent="0.2">
      <c r="I63118" s="137" t="s">
        <v>74</v>
      </c>
    </row>
    <row r="63119" spans="9:9" x14ac:dyDescent="0.2">
      <c r="I63119" s="137" t="s">
        <v>74</v>
      </c>
    </row>
    <row r="63120" spans="9:9" x14ac:dyDescent="0.2">
      <c r="I63120" s="137" t="s">
        <v>74</v>
      </c>
    </row>
    <row r="63121" spans="9:9" x14ac:dyDescent="0.2">
      <c r="I63121" s="137" t="s">
        <v>74</v>
      </c>
    </row>
    <row r="63122" spans="9:9" x14ac:dyDescent="0.2">
      <c r="I63122" s="137" t="s">
        <v>74</v>
      </c>
    </row>
    <row r="63123" spans="9:9" x14ac:dyDescent="0.2">
      <c r="I63123" s="137" t="s">
        <v>74</v>
      </c>
    </row>
    <row r="63124" spans="9:9" x14ac:dyDescent="0.2">
      <c r="I63124" s="137" t="s">
        <v>74</v>
      </c>
    </row>
    <row r="63125" spans="9:9" x14ac:dyDescent="0.2">
      <c r="I63125" s="137" t="s">
        <v>74</v>
      </c>
    </row>
    <row r="63126" spans="9:9" x14ac:dyDescent="0.2">
      <c r="I63126" s="137" t="s">
        <v>74</v>
      </c>
    </row>
    <row r="63127" spans="9:9" x14ac:dyDescent="0.2">
      <c r="I63127" s="137" t="s">
        <v>74</v>
      </c>
    </row>
    <row r="63128" spans="9:9" x14ac:dyDescent="0.2">
      <c r="I63128" s="137" t="s">
        <v>74</v>
      </c>
    </row>
    <row r="63129" spans="9:9" x14ac:dyDescent="0.2">
      <c r="I63129" s="137" t="s">
        <v>74</v>
      </c>
    </row>
    <row r="63130" spans="9:9" x14ac:dyDescent="0.2">
      <c r="I63130" s="137" t="s">
        <v>74</v>
      </c>
    </row>
    <row r="63131" spans="9:9" x14ac:dyDescent="0.2">
      <c r="I63131" s="137" t="s">
        <v>74</v>
      </c>
    </row>
    <row r="63132" spans="9:9" x14ac:dyDescent="0.2">
      <c r="I63132" s="137" t="s">
        <v>74</v>
      </c>
    </row>
    <row r="63133" spans="9:9" x14ac:dyDescent="0.2">
      <c r="I63133" s="137" t="s">
        <v>74</v>
      </c>
    </row>
    <row r="63134" spans="9:9" x14ac:dyDescent="0.2">
      <c r="I63134" s="137" t="s">
        <v>74</v>
      </c>
    </row>
    <row r="63135" spans="9:9" x14ac:dyDescent="0.2">
      <c r="I63135" s="137" t="s">
        <v>74</v>
      </c>
    </row>
    <row r="63136" spans="9:9" x14ac:dyDescent="0.2">
      <c r="I63136" s="137" t="s">
        <v>74</v>
      </c>
    </row>
    <row r="63137" spans="9:9" x14ac:dyDescent="0.2">
      <c r="I63137" s="137" t="s">
        <v>74</v>
      </c>
    </row>
    <row r="63138" spans="9:9" x14ac:dyDescent="0.2">
      <c r="I63138" s="137" t="s">
        <v>74</v>
      </c>
    </row>
    <row r="63139" spans="9:9" x14ac:dyDescent="0.2">
      <c r="I63139" s="137" t="s">
        <v>74</v>
      </c>
    </row>
    <row r="63140" spans="9:9" x14ac:dyDescent="0.2">
      <c r="I63140" s="137" t="s">
        <v>74</v>
      </c>
    </row>
    <row r="63141" spans="9:9" x14ac:dyDescent="0.2">
      <c r="I63141" s="137" t="s">
        <v>74</v>
      </c>
    </row>
    <row r="63142" spans="9:9" x14ac:dyDescent="0.2">
      <c r="I63142" s="137" t="s">
        <v>74</v>
      </c>
    </row>
    <row r="63143" spans="9:9" x14ac:dyDescent="0.2">
      <c r="I63143" s="137" t="s">
        <v>74</v>
      </c>
    </row>
    <row r="63144" spans="9:9" x14ac:dyDescent="0.2">
      <c r="I63144" s="137" t="s">
        <v>74</v>
      </c>
    </row>
    <row r="63145" spans="9:9" x14ac:dyDescent="0.2">
      <c r="I63145" s="137" t="s">
        <v>74</v>
      </c>
    </row>
    <row r="63146" spans="9:9" x14ac:dyDescent="0.2">
      <c r="I63146" s="137" t="s">
        <v>74</v>
      </c>
    </row>
    <row r="63147" spans="9:9" x14ac:dyDescent="0.2">
      <c r="I63147" s="137" t="s">
        <v>74</v>
      </c>
    </row>
    <row r="63148" spans="9:9" x14ac:dyDescent="0.2">
      <c r="I63148" s="137" t="s">
        <v>74</v>
      </c>
    </row>
    <row r="63149" spans="9:9" x14ac:dyDescent="0.2">
      <c r="I63149" s="137" t="s">
        <v>74</v>
      </c>
    </row>
    <row r="63150" spans="9:9" x14ac:dyDescent="0.2">
      <c r="I63150" s="137" t="s">
        <v>74</v>
      </c>
    </row>
    <row r="63151" spans="9:9" x14ac:dyDescent="0.2">
      <c r="I63151" s="137" t="s">
        <v>74</v>
      </c>
    </row>
    <row r="63152" spans="9:9" x14ac:dyDescent="0.2">
      <c r="I63152" s="137" t="s">
        <v>74</v>
      </c>
    </row>
    <row r="63153" spans="9:9" x14ac:dyDescent="0.2">
      <c r="I63153" s="137" t="s">
        <v>74</v>
      </c>
    </row>
    <row r="63154" spans="9:9" x14ac:dyDescent="0.2">
      <c r="I63154" s="137" t="s">
        <v>74</v>
      </c>
    </row>
    <row r="63155" spans="9:9" x14ac:dyDescent="0.2">
      <c r="I63155" s="137" t="s">
        <v>74</v>
      </c>
    </row>
    <row r="63156" spans="9:9" x14ac:dyDescent="0.2">
      <c r="I63156" s="137" t="s">
        <v>74</v>
      </c>
    </row>
    <row r="63157" spans="9:9" x14ac:dyDescent="0.2">
      <c r="I63157" s="137" t="s">
        <v>74</v>
      </c>
    </row>
    <row r="63158" spans="9:9" x14ac:dyDescent="0.2">
      <c r="I63158" s="137" t="s">
        <v>74</v>
      </c>
    </row>
    <row r="63159" spans="9:9" x14ac:dyDescent="0.2">
      <c r="I63159" s="137" t="s">
        <v>74</v>
      </c>
    </row>
    <row r="63160" spans="9:9" x14ac:dyDescent="0.2">
      <c r="I63160" s="137" t="s">
        <v>74</v>
      </c>
    </row>
    <row r="63161" spans="9:9" x14ac:dyDescent="0.2">
      <c r="I63161" s="137" t="s">
        <v>74</v>
      </c>
    </row>
    <row r="63162" spans="9:9" x14ac:dyDescent="0.2">
      <c r="I63162" s="137" t="s">
        <v>74</v>
      </c>
    </row>
    <row r="63163" spans="9:9" x14ac:dyDescent="0.2">
      <c r="I63163" s="137" t="s">
        <v>74</v>
      </c>
    </row>
    <row r="63164" spans="9:9" x14ac:dyDescent="0.2">
      <c r="I63164" s="137" t="s">
        <v>74</v>
      </c>
    </row>
    <row r="63165" spans="9:9" x14ac:dyDescent="0.2">
      <c r="I63165" s="137" t="s">
        <v>74</v>
      </c>
    </row>
    <row r="63166" spans="9:9" x14ac:dyDescent="0.2">
      <c r="I63166" s="137" t="s">
        <v>74</v>
      </c>
    </row>
    <row r="63167" spans="9:9" x14ac:dyDescent="0.2">
      <c r="I63167" s="137" t="s">
        <v>74</v>
      </c>
    </row>
    <row r="63168" spans="9:9" x14ac:dyDescent="0.2">
      <c r="I63168" s="137" t="s">
        <v>74</v>
      </c>
    </row>
    <row r="63169" spans="9:9" x14ac:dyDescent="0.2">
      <c r="I63169" s="137" t="s">
        <v>74</v>
      </c>
    </row>
    <row r="63170" spans="9:9" x14ac:dyDescent="0.2">
      <c r="I63170" s="137" t="s">
        <v>74</v>
      </c>
    </row>
    <row r="63171" spans="9:9" x14ac:dyDescent="0.2">
      <c r="I63171" s="137" t="s">
        <v>74</v>
      </c>
    </row>
    <row r="63172" spans="9:9" x14ac:dyDescent="0.2">
      <c r="I63172" s="137" t="s">
        <v>74</v>
      </c>
    </row>
    <row r="63173" spans="9:9" x14ac:dyDescent="0.2">
      <c r="I63173" s="137" t="s">
        <v>74</v>
      </c>
    </row>
    <row r="63174" spans="9:9" x14ac:dyDescent="0.2">
      <c r="I63174" s="137" t="s">
        <v>74</v>
      </c>
    </row>
    <row r="63175" spans="9:9" x14ac:dyDescent="0.2">
      <c r="I63175" s="137" t="s">
        <v>74</v>
      </c>
    </row>
    <row r="63176" spans="9:9" x14ac:dyDescent="0.2">
      <c r="I63176" s="137" t="s">
        <v>74</v>
      </c>
    </row>
    <row r="63177" spans="9:9" x14ac:dyDescent="0.2">
      <c r="I63177" s="137" t="s">
        <v>74</v>
      </c>
    </row>
    <row r="63178" spans="9:9" x14ac:dyDescent="0.2">
      <c r="I63178" s="137" t="s">
        <v>74</v>
      </c>
    </row>
    <row r="63179" spans="9:9" x14ac:dyDescent="0.2">
      <c r="I63179" s="137" t="s">
        <v>74</v>
      </c>
    </row>
    <row r="63180" spans="9:9" x14ac:dyDescent="0.2">
      <c r="I63180" s="137" t="s">
        <v>74</v>
      </c>
    </row>
    <row r="63181" spans="9:9" x14ac:dyDescent="0.2">
      <c r="I63181" s="137" t="s">
        <v>74</v>
      </c>
    </row>
    <row r="63182" spans="9:9" x14ac:dyDescent="0.2">
      <c r="I63182" s="137" t="s">
        <v>74</v>
      </c>
    </row>
    <row r="63183" spans="9:9" x14ac:dyDescent="0.2">
      <c r="I63183" s="137" t="s">
        <v>74</v>
      </c>
    </row>
    <row r="63184" spans="9:9" x14ac:dyDescent="0.2">
      <c r="I63184" s="137" t="s">
        <v>74</v>
      </c>
    </row>
    <row r="63185" spans="9:9" x14ac:dyDescent="0.2">
      <c r="I63185" s="137" t="s">
        <v>74</v>
      </c>
    </row>
    <row r="63186" spans="9:9" x14ac:dyDescent="0.2">
      <c r="I63186" s="137" t="s">
        <v>74</v>
      </c>
    </row>
    <row r="63187" spans="9:9" x14ac:dyDescent="0.2">
      <c r="I63187" s="137" t="s">
        <v>74</v>
      </c>
    </row>
    <row r="63188" spans="9:9" x14ac:dyDescent="0.2">
      <c r="I63188" s="137" t="s">
        <v>74</v>
      </c>
    </row>
    <row r="63189" spans="9:9" x14ac:dyDescent="0.2">
      <c r="I63189" s="137" t="s">
        <v>74</v>
      </c>
    </row>
    <row r="63190" spans="9:9" x14ac:dyDescent="0.2">
      <c r="I63190" s="137" t="s">
        <v>74</v>
      </c>
    </row>
    <row r="63191" spans="9:9" x14ac:dyDescent="0.2">
      <c r="I63191" s="137" t="s">
        <v>74</v>
      </c>
    </row>
    <row r="63192" spans="9:9" x14ac:dyDescent="0.2">
      <c r="I63192" s="137" t="s">
        <v>74</v>
      </c>
    </row>
    <row r="63193" spans="9:9" x14ac:dyDescent="0.2">
      <c r="I63193" s="137" t="s">
        <v>74</v>
      </c>
    </row>
    <row r="63194" spans="9:9" x14ac:dyDescent="0.2">
      <c r="I63194" s="137" t="s">
        <v>74</v>
      </c>
    </row>
    <row r="63195" spans="9:9" x14ac:dyDescent="0.2">
      <c r="I63195" s="137" t="s">
        <v>74</v>
      </c>
    </row>
    <row r="63196" spans="9:9" x14ac:dyDescent="0.2">
      <c r="I63196" s="137" t="s">
        <v>74</v>
      </c>
    </row>
    <row r="63197" spans="9:9" x14ac:dyDescent="0.2">
      <c r="I63197" s="137" t="s">
        <v>74</v>
      </c>
    </row>
    <row r="63198" spans="9:9" x14ac:dyDescent="0.2">
      <c r="I63198" s="137" t="s">
        <v>74</v>
      </c>
    </row>
    <row r="63199" spans="9:9" x14ac:dyDescent="0.2">
      <c r="I63199" s="137" t="s">
        <v>74</v>
      </c>
    </row>
    <row r="63200" spans="9:9" x14ac:dyDescent="0.2">
      <c r="I63200" s="137" t="s">
        <v>74</v>
      </c>
    </row>
    <row r="63201" spans="9:9" x14ac:dyDescent="0.2">
      <c r="I63201" s="137" t="s">
        <v>74</v>
      </c>
    </row>
    <row r="63202" spans="9:9" x14ac:dyDescent="0.2">
      <c r="I63202" s="137" t="s">
        <v>74</v>
      </c>
    </row>
    <row r="63203" spans="9:9" x14ac:dyDescent="0.2">
      <c r="I63203" s="137" t="s">
        <v>74</v>
      </c>
    </row>
    <row r="63204" spans="9:9" x14ac:dyDescent="0.2">
      <c r="I63204" s="137" t="s">
        <v>74</v>
      </c>
    </row>
    <row r="63205" spans="9:9" x14ac:dyDescent="0.2">
      <c r="I63205" s="137" t="s">
        <v>74</v>
      </c>
    </row>
    <row r="63206" spans="9:9" x14ac:dyDescent="0.2">
      <c r="I63206" s="137" t="s">
        <v>74</v>
      </c>
    </row>
    <row r="63207" spans="9:9" x14ac:dyDescent="0.2">
      <c r="I63207" s="137" t="s">
        <v>74</v>
      </c>
    </row>
    <row r="63208" spans="9:9" x14ac:dyDescent="0.2">
      <c r="I63208" s="137" t="s">
        <v>74</v>
      </c>
    </row>
    <row r="63209" spans="9:9" x14ac:dyDescent="0.2">
      <c r="I63209" s="137" t="s">
        <v>74</v>
      </c>
    </row>
    <row r="63210" spans="9:9" x14ac:dyDescent="0.2">
      <c r="I63210" s="137" t="s">
        <v>74</v>
      </c>
    </row>
    <row r="63211" spans="9:9" x14ac:dyDescent="0.2">
      <c r="I63211" s="137" t="s">
        <v>74</v>
      </c>
    </row>
    <row r="63212" spans="9:9" x14ac:dyDescent="0.2">
      <c r="I63212" s="137" t="s">
        <v>74</v>
      </c>
    </row>
    <row r="63213" spans="9:9" x14ac:dyDescent="0.2">
      <c r="I63213" s="137" t="s">
        <v>74</v>
      </c>
    </row>
    <row r="63214" spans="9:9" x14ac:dyDescent="0.2">
      <c r="I63214" s="137" t="s">
        <v>74</v>
      </c>
    </row>
    <row r="63215" spans="9:9" x14ac:dyDescent="0.2">
      <c r="I63215" s="137" t="s">
        <v>74</v>
      </c>
    </row>
    <row r="63216" spans="9:9" x14ac:dyDescent="0.2">
      <c r="I63216" s="137" t="s">
        <v>74</v>
      </c>
    </row>
    <row r="63217" spans="9:9" x14ac:dyDescent="0.2">
      <c r="I63217" s="137" t="s">
        <v>74</v>
      </c>
    </row>
    <row r="63218" spans="9:9" x14ac:dyDescent="0.2">
      <c r="I63218" s="137" t="s">
        <v>74</v>
      </c>
    </row>
    <row r="63219" spans="9:9" x14ac:dyDescent="0.2">
      <c r="I63219" s="137" t="s">
        <v>74</v>
      </c>
    </row>
    <row r="63220" spans="9:9" x14ac:dyDescent="0.2">
      <c r="I63220" s="137" t="s">
        <v>74</v>
      </c>
    </row>
    <row r="63221" spans="9:9" x14ac:dyDescent="0.2">
      <c r="I63221" s="137" t="s">
        <v>74</v>
      </c>
    </row>
    <row r="63222" spans="9:9" x14ac:dyDescent="0.2">
      <c r="I63222" s="137" t="s">
        <v>74</v>
      </c>
    </row>
    <row r="63223" spans="9:9" x14ac:dyDescent="0.2">
      <c r="I63223" s="137" t="s">
        <v>74</v>
      </c>
    </row>
    <row r="63224" spans="9:9" x14ac:dyDescent="0.2">
      <c r="I63224" s="137" t="s">
        <v>74</v>
      </c>
    </row>
    <row r="63225" spans="9:9" x14ac:dyDescent="0.2">
      <c r="I63225" s="137" t="s">
        <v>74</v>
      </c>
    </row>
    <row r="63226" spans="9:9" x14ac:dyDescent="0.2">
      <c r="I63226" s="137" t="s">
        <v>74</v>
      </c>
    </row>
    <row r="63227" spans="9:9" x14ac:dyDescent="0.2">
      <c r="I63227" s="137" t="s">
        <v>74</v>
      </c>
    </row>
    <row r="63228" spans="9:9" x14ac:dyDescent="0.2">
      <c r="I63228" s="137" t="s">
        <v>74</v>
      </c>
    </row>
    <row r="63229" spans="9:9" x14ac:dyDescent="0.2">
      <c r="I63229" s="137" t="s">
        <v>74</v>
      </c>
    </row>
    <row r="63230" spans="9:9" x14ac:dyDescent="0.2">
      <c r="I63230" s="137" t="s">
        <v>74</v>
      </c>
    </row>
    <row r="63231" spans="9:9" x14ac:dyDescent="0.2">
      <c r="I63231" s="137" t="s">
        <v>74</v>
      </c>
    </row>
    <row r="63232" spans="9:9" x14ac:dyDescent="0.2">
      <c r="I63232" s="137" t="s">
        <v>74</v>
      </c>
    </row>
    <row r="63233" spans="9:9" x14ac:dyDescent="0.2">
      <c r="I63233" s="137" t="s">
        <v>74</v>
      </c>
    </row>
    <row r="63234" spans="9:9" x14ac:dyDescent="0.2">
      <c r="I63234" s="137" t="s">
        <v>74</v>
      </c>
    </row>
    <row r="63235" spans="9:9" x14ac:dyDescent="0.2">
      <c r="I63235" s="137" t="s">
        <v>74</v>
      </c>
    </row>
    <row r="63236" spans="9:9" x14ac:dyDescent="0.2">
      <c r="I63236" s="137" t="s">
        <v>74</v>
      </c>
    </row>
    <row r="63237" spans="9:9" x14ac:dyDescent="0.2">
      <c r="I63237" s="137" t="s">
        <v>74</v>
      </c>
    </row>
    <row r="63238" spans="9:9" x14ac:dyDescent="0.2">
      <c r="I63238" s="137" t="s">
        <v>74</v>
      </c>
    </row>
    <row r="63239" spans="9:9" x14ac:dyDescent="0.2">
      <c r="I63239" s="137" t="s">
        <v>74</v>
      </c>
    </row>
    <row r="63240" spans="9:9" x14ac:dyDescent="0.2">
      <c r="I63240" s="137" t="s">
        <v>74</v>
      </c>
    </row>
    <row r="63241" spans="9:9" x14ac:dyDescent="0.2">
      <c r="I63241" s="137" t="s">
        <v>74</v>
      </c>
    </row>
    <row r="63242" spans="9:9" x14ac:dyDescent="0.2">
      <c r="I63242" s="137" t="s">
        <v>74</v>
      </c>
    </row>
    <row r="63243" spans="9:9" x14ac:dyDescent="0.2">
      <c r="I63243" s="137" t="s">
        <v>74</v>
      </c>
    </row>
    <row r="63244" spans="9:9" x14ac:dyDescent="0.2">
      <c r="I63244" s="137" t="s">
        <v>74</v>
      </c>
    </row>
    <row r="63245" spans="9:9" x14ac:dyDescent="0.2">
      <c r="I63245" s="137" t="s">
        <v>74</v>
      </c>
    </row>
    <row r="63246" spans="9:9" x14ac:dyDescent="0.2">
      <c r="I63246" s="137" t="s">
        <v>74</v>
      </c>
    </row>
    <row r="63247" spans="9:9" x14ac:dyDescent="0.2">
      <c r="I63247" s="137" t="s">
        <v>74</v>
      </c>
    </row>
    <row r="63248" spans="9:9" x14ac:dyDescent="0.2">
      <c r="I63248" s="137" t="s">
        <v>74</v>
      </c>
    </row>
    <row r="63249" spans="9:9" x14ac:dyDescent="0.2">
      <c r="I63249" s="137" t="s">
        <v>74</v>
      </c>
    </row>
    <row r="63250" spans="9:9" x14ac:dyDescent="0.2">
      <c r="I63250" s="137" t="s">
        <v>74</v>
      </c>
    </row>
    <row r="63251" spans="9:9" x14ac:dyDescent="0.2">
      <c r="I63251" s="137" t="s">
        <v>74</v>
      </c>
    </row>
    <row r="63252" spans="9:9" x14ac:dyDescent="0.2">
      <c r="I63252" s="137" t="s">
        <v>74</v>
      </c>
    </row>
    <row r="63253" spans="9:9" x14ac:dyDescent="0.2">
      <c r="I63253" s="137" t="s">
        <v>74</v>
      </c>
    </row>
    <row r="63254" spans="9:9" x14ac:dyDescent="0.2">
      <c r="I63254" s="137" t="s">
        <v>74</v>
      </c>
    </row>
    <row r="63255" spans="9:9" x14ac:dyDescent="0.2">
      <c r="I63255" s="137" t="s">
        <v>74</v>
      </c>
    </row>
    <row r="63256" spans="9:9" x14ac:dyDescent="0.2">
      <c r="I63256" s="137" t="s">
        <v>74</v>
      </c>
    </row>
    <row r="63257" spans="9:9" x14ac:dyDescent="0.2">
      <c r="I63257" s="137" t="s">
        <v>74</v>
      </c>
    </row>
    <row r="63258" spans="9:9" x14ac:dyDescent="0.2">
      <c r="I63258" s="137" t="s">
        <v>74</v>
      </c>
    </row>
    <row r="63259" spans="9:9" x14ac:dyDescent="0.2">
      <c r="I63259" s="137" t="s">
        <v>74</v>
      </c>
    </row>
    <row r="63260" spans="9:9" x14ac:dyDescent="0.2">
      <c r="I63260" s="137" t="s">
        <v>74</v>
      </c>
    </row>
    <row r="63261" spans="9:9" x14ac:dyDescent="0.2">
      <c r="I63261" s="137" t="s">
        <v>74</v>
      </c>
    </row>
    <row r="63262" spans="9:9" x14ac:dyDescent="0.2">
      <c r="I63262" s="137" t="s">
        <v>74</v>
      </c>
    </row>
    <row r="63263" spans="9:9" x14ac:dyDescent="0.2">
      <c r="I63263" s="137" t="s">
        <v>74</v>
      </c>
    </row>
    <row r="63264" spans="9:9" x14ac:dyDescent="0.2">
      <c r="I63264" s="137" t="s">
        <v>74</v>
      </c>
    </row>
    <row r="63265" spans="9:9" x14ac:dyDescent="0.2">
      <c r="I63265" s="137" t="s">
        <v>74</v>
      </c>
    </row>
    <row r="63266" spans="9:9" x14ac:dyDescent="0.2">
      <c r="I63266" s="137" t="s">
        <v>74</v>
      </c>
    </row>
    <row r="63267" spans="9:9" x14ac:dyDescent="0.2">
      <c r="I63267" s="137" t="s">
        <v>74</v>
      </c>
    </row>
    <row r="63268" spans="9:9" x14ac:dyDescent="0.2">
      <c r="I63268" s="137" t="s">
        <v>74</v>
      </c>
    </row>
    <row r="63269" spans="9:9" x14ac:dyDescent="0.2">
      <c r="I63269" s="137" t="s">
        <v>74</v>
      </c>
    </row>
    <row r="63270" spans="9:9" x14ac:dyDescent="0.2">
      <c r="I63270" s="137" t="s">
        <v>74</v>
      </c>
    </row>
    <row r="63271" spans="9:9" x14ac:dyDescent="0.2">
      <c r="I63271" s="137" t="s">
        <v>74</v>
      </c>
    </row>
    <row r="63272" spans="9:9" x14ac:dyDescent="0.2">
      <c r="I63272" s="137" t="s">
        <v>74</v>
      </c>
    </row>
    <row r="63273" spans="9:9" x14ac:dyDescent="0.2">
      <c r="I63273" s="137" t="s">
        <v>74</v>
      </c>
    </row>
    <row r="63274" spans="9:9" x14ac:dyDescent="0.2">
      <c r="I63274" s="137" t="s">
        <v>74</v>
      </c>
    </row>
    <row r="63275" spans="9:9" x14ac:dyDescent="0.2">
      <c r="I63275" s="137" t="s">
        <v>74</v>
      </c>
    </row>
    <row r="63276" spans="9:9" x14ac:dyDescent="0.2">
      <c r="I63276" s="137" t="s">
        <v>74</v>
      </c>
    </row>
    <row r="63277" spans="9:9" x14ac:dyDescent="0.2">
      <c r="I63277" s="137" t="s">
        <v>74</v>
      </c>
    </row>
    <row r="63278" spans="9:9" x14ac:dyDescent="0.2">
      <c r="I63278" s="137" t="s">
        <v>74</v>
      </c>
    </row>
    <row r="63279" spans="9:9" x14ac:dyDescent="0.2">
      <c r="I63279" s="137" t="s">
        <v>74</v>
      </c>
    </row>
    <row r="63280" spans="9:9" x14ac:dyDescent="0.2">
      <c r="I63280" s="137" t="s">
        <v>74</v>
      </c>
    </row>
    <row r="63281" spans="9:9" x14ac:dyDescent="0.2">
      <c r="I63281" s="137" t="s">
        <v>74</v>
      </c>
    </row>
    <row r="63282" spans="9:9" x14ac:dyDescent="0.2">
      <c r="I63282" s="137" t="s">
        <v>74</v>
      </c>
    </row>
    <row r="63283" spans="9:9" x14ac:dyDescent="0.2">
      <c r="I63283" s="137" t="s">
        <v>74</v>
      </c>
    </row>
    <row r="63284" spans="9:9" x14ac:dyDescent="0.2">
      <c r="I63284" s="137" t="s">
        <v>74</v>
      </c>
    </row>
    <row r="63285" spans="9:9" x14ac:dyDescent="0.2">
      <c r="I63285" s="137" t="s">
        <v>74</v>
      </c>
    </row>
    <row r="63286" spans="9:9" x14ac:dyDescent="0.2">
      <c r="I63286" s="137" t="s">
        <v>74</v>
      </c>
    </row>
    <row r="63287" spans="9:9" x14ac:dyDescent="0.2">
      <c r="I63287" s="137" t="s">
        <v>74</v>
      </c>
    </row>
    <row r="63288" spans="9:9" x14ac:dyDescent="0.2">
      <c r="I63288" s="137" t="s">
        <v>74</v>
      </c>
    </row>
    <row r="63289" spans="9:9" x14ac:dyDescent="0.2">
      <c r="I63289" s="137" t="s">
        <v>74</v>
      </c>
    </row>
    <row r="63290" spans="9:9" x14ac:dyDescent="0.2">
      <c r="I63290" s="137" t="s">
        <v>74</v>
      </c>
    </row>
    <row r="63291" spans="9:9" x14ac:dyDescent="0.2">
      <c r="I63291" s="137" t="s">
        <v>74</v>
      </c>
    </row>
    <row r="63292" spans="9:9" x14ac:dyDescent="0.2">
      <c r="I63292" s="137" t="s">
        <v>74</v>
      </c>
    </row>
    <row r="63293" spans="9:9" x14ac:dyDescent="0.2">
      <c r="I63293" s="137" t="s">
        <v>74</v>
      </c>
    </row>
    <row r="63294" spans="9:9" x14ac:dyDescent="0.2">
      <c r="I63294" s="137" t="s">
        <v>74</v>
      </c>
    </row>
    <row r="63295" spans="9:9" x14ac:dyDescent="0.2">
      <c r="I63295" s="137" t="s">
        <v>74</v>
      </c>
    </row>
    <row r="63296" spans="9:9" x14ac:dyDescent="0.2">
      <c r="I63296" s="137" t="s">
        <v>74</v>
      </c>
    </row>
    <row r="63297" spans="9:9" x14ac:dyDescent="0.2">
      <c r="I63297" s="137" t="s">
        <v>74</v>
      </c>
    </row>
    <row r="63298" spans="9:9" x14ac:dyDescent="0.2">
      <c r="I63298" s="137" t="s">
        <v>74</v>
      </c>
    </row>
    <row r="63299" spans="9:9" x14ac:dyDescent="0.2">
      <c r="I63299" s="137" t="s">
        <v>74</v>
      </c>
    </row>
    <row r="63300" spans="9:9" x14ac:dyDescent="0.2">
      <c r="I63300" s="137" t="s">
        <v>74</v>
      </c>
    </row>
    <row r="63301" spans="9:9" x14ac:dyDescent="0.2">
      <c r="I63301" s="137" t="s">
        <v>74</v>
      </c>
    </row>
    <row r="63302" spans="9:9" x14ac:dyDescent="0.2">
      <c r="I63302" s="137" t="s">
        <v>74</v>
      </c>
    </row>
    <row r="63303" spans="9:9" x14ac:dyDescent="0.2">
      <c r="I63303" s="137" t="s">
        <v>74</v>
      </c>
    </row>
    <row r="63304" spans="9:9" x14ac:dyDescent="0.2">
      <c r="I63304" s="137" t="s">
        <v>74</v>
      </c>
    </row>
    <row r="63305" spans="9:9" x14ac:dyDescent="0.2">
      <c r="I63305" s="137" t="s">
        <v>74</v>
      </c>
    </row>
    <row r="63306" spans="9:9" x14ac:dyDescent="0.2">
      <c r="I63306" s="137" t="s">
        <v>74</v>
      </c>
    </row>
    <row r="63307" spans="9:9" x14ac:dyDescent="0.2">
      <c r="I63307" s="137" t="s">
        <v>74</v>
      </c>
    </row>
    <row r="63308" spans="9:9" x14ac:dyDescent="0.2">
      <c r="I63308" s="137" t="s">
        <v>74</v>
      </c>
    </row>
    <row r="63309" spans="9:9" x14ac:dyDescent="0.2">
      <c r="I63309" s="137" t="s">
        <v>74</v>
      </c>
    </row>
    <row r="63310" spans="9:9" x14ac:dyDescent="0.2">
      <c r="I63310" s="137" t="s">
        <v>74</v>
      </c>
    </row>
    <row r="63311" spans="9:9" x14ac:dyDescent="0.2">
      <c r="I63311" s="137" t="s">
        <v>74</v>
      </c>
    </row>
    <row r="63312" spans="9:9" x14ac:dyDescent="0.2">
      <c r="I63312" s="137" t="s">
        <v>74</v>
      </c>
    </row>
    <row r="63313" spans="9:9" x14ac:dyDescent="0.2">
      <c r="I63313" s="137" t="s">
        <v>74</v>
      </c>
    </row>
    <row r="63314" spans="9:9" x14ac:dyDescent="0.2">
      <c r="I63314" s="137" t="s">
        <v>74</v>
      </c>
    </row>
    <row r="63315" spans="9:9" x14ac:dyDescent="0.2">
      <c r="I63315" s="137" t="s">
        <v>74</v>
      </c>
    </row>
    <row r="63316" spans="9:9" x14ac:dyDescent="0.2">
      <c r="I63316" s="137" t="s">
        <v>74</v>
      </c>
    </row>
    <row r="63317" spans="9:9" x14ac:dyDescent="0.2">
      <c r="I63317" s="137" t="s">
        <v>74</v>
      </c>
    </row>
    <row r="63318" spans="9:9" x14ac:dyDescent="0.2">
      <c r="I63318" s="137" t="s">
        <v>74</v>
      </c>
    </row>
    <row r="63319" spans="9:9" x14ac:dyDescent="0.2">
      <c r="I63319" s="137" t="s">
        <v>74</v>
      </c>
    </row>
    <row r="63320" spans="9:9" x14ac:dyDescent="0.2">
      <c r="I63320" s="137" t="s">
        <v>74</v>
      </c>
    </row>
    <row r="63321" spans="9:9" x14ac:dyDescent="0.2">
      <c r="I63321" s="137" t="s">
        <v>74</v>
      </c>
    </row>
    <row r="63322" spans="9:9" x14ac:dyDescent="0.2">
      <c r="I63322" s="137" t="s">
        <v>74</v>
      </c>
    </row>
    <row r="63323" spans="9:9" x14ac:dyDescent="0.2">
      <c r="I63323" s="137" t="s">
        <v>74</v>
      </c>
    </row>
    <row r="63324" spans="9:9" x14ac:dyDescent="0.2">
      <c r="I63324" s="137" t="s">
        <v>74</v>
      </c>
    </row>
    <row r="63325" spans="9:9" x14ac:dyDescent="0.2">
      <c r="I63325" s="137" t="s">
        <v>74</v>
      </c>
    </row>
    <row r="63326" spans="9:9" x14ac:dyDescent="0.2">
      <c r="I63326" s="137" t="s">
        <v>74</v>
      </c>
    </row>
    <row r="63327" spans="9:9" x14ac:dyDescent="0.2">
      <c r="I63327" s="137" t="s">
        <v>74</v>
      </c>
    </row>
    <row r="63328" spans="9:9" x14ac:dyDescent="0.2">
      <c r="I63328" s="137" t="s">
        <v>74</v>
      </c>
    </row>
    <row r="63329" spans="9:9" x14ac:dyDescent="0.2">
      <c r="I63329" s="137" t="s">
        <v>74</v>
      </c>
    </row>
    <row r="63330" spans="9:9" x14ac:dyDescent="0.2">
      <c r="I63330" s="137" t="s">
        <v>74</v>
      </c>
    </row>
    <row r="63331" spans="9:9" x14ac:dyDescent="0.2">
      <c r="I63331" s="137" t="s">
        <v>74</v>
      </c>
    </row>
    <row r="63332" spans="9:9" x14ac:dyDescent="0.2">
      <c r="I63332" s="137" t="s">
        <v>74</v>
      </c>
    </row>
    <row r="63333" spans="9:9" x14ac:dyDescent="0.2">
      <c r="I63333" s="137" t="s">
        <v>74</v>
      </c>
    </row>
    <row r="63334" spans="9:9" x14ac:dyDescent="0.2">
      <c r="I63334" s="137" t="s">
        <v>74</v>
      </c>
    </row>
    <row r="63335" spans="9:9" x14ac:dyDescent="0.2">
      <c r="I63335" s="137" t="s">
        <v>74</v>
      </c>
    </row>
    <row r="63336" spans="9:9" x14ac:dyDescent="0.2">
      <c r="I63336" s="137" t="s">
        <v>74</v>
      </c>
    </row>
    <row r="63337" spans="9:9" x14ac:dyDescent="0.2">
      <c r="I63337" s="137" t="s">
        <v>74</v>
      </c>
    </row>
    <row r="63338" spans="9:9" x14ac:dyDescent="0.2">
      <c r="I63338" s="137" t="s">
        <v>74</v>
      </c>
    </row>
    <row r="63339" spans="9:9" x14ac:dyDescent="0.2">
      <c r="I63339" s="137" t="s">
        <v>74</v>
      </c>
    </row>
    <row r="63340" spans="9:9" x14ac:dyDescent="0.2">
      <c r="I63340" s="137" t="s">
        <v>74</v>
      </c>
    </row>
    <row r="63341" spans="9:9" x14ac:dyDescent="0.2">
      <c r="I63341" s="137" t="s">
        <v>74</v>
      </c>
    </row>
    <row r="63342" spans="9:9" x14ac:dyDescent="0.2">
      <c r="I63342" s="137" t="s">
        <v>74</v>
      </c>
    </row>
    <row r="63343" spans="9:9" x14ac:dyDescent="0.2">
      <c r="I63343" s="137" t="s">
        <v>74</v>
      </c>
    </row>
    <row r="63344" spans="9:9" x14ac:dyDescent="0.2">
      <c r="I63344" s="137" t="s">
        <v>74</v>
      </c>
    </row>
    <row r="63345" spans="9:9" x14ac:dyDescent="0.2">
      <c r="I63345" s="137" t="s">
        <v>74</v>
      </c>
    </row>
    <row r="63346" spans="9:9" x14ac:dyDescent="0.2">
      <c r="I63346" s="137" t="s">
        <v>74</v>
      </c>
    </row>
    <row r="63347" spans="9:9" x14ac:dyDescent="0.2">
      <c r="I63347" s="137" t="s">
        <v>74</v>
      </c>
    </row>
    <row r="63348" spans="9:9" x14ac:dyDescent="0.2">
      <c r="I63348" s="137" t="s">
        <v>74</v>
      </c>
    </row>
    <row r="63349" spans="9:9" x14ac:dyDescent="0.2">
      <c r="I63349" s="137" t="s">
        <v>74</v>
      </c>
    </row>
    <row r="63350" spans="9:9" x14ac:dyDescent="0.2">
      <c r="I63350" s="137" t="s">
        <v>74</v>
      </c>
    </row>
    <row r="63351" spans="9:9" x14ac:dyDescent="0.2">
      <c r="I63351" s="137" t="s">
        <v>74</v>
      </c>
    </row>
    <row r="63352" spans="9:9" x14ac:dyDescent="0.2">
      <c r="I63352" s="137" t="s">
        <v>74</v>
      </c>
    </row>
    <row r="63353" spans="9:9" x14ac:dyDescent="0.2">
      <c r="I63353" s="137" t="s">
        <v>74</v>
      </c>
    </row>
    <row r="63354" spans="9:9" x14ac:dyDescent="0.2">
      <c r="I63354" s="137" t="s">
        <v>74</v>
      </c>
    </row>
    <row r="63355" spans="9:9" x14ac:dyDescent="0.2">
      <c r="I63355" s="137" t="s">
        <v>74</v>
      </c>
    </row>
    <row r="63356" spans="9:9" x14ac:dyDescent="0.2">
      <c r="I63356" s="137" t="s">
        <v>74</v>
      </c>
    </row>
    <row r="63357" spans="9:9" x14ac:dyDescent="0.2">
      <c r="I63357" s="137" t="s">
        <v>74</v>
      </c>
    </row>
    <row r="63358" spans="9:9" x14ac:dyDescent="0.2">
      <c r="I63358" s="137" t="s">
        <v>74</v>
      </c>
    </row>
    <row r="63359" spans="9:9" x14ac:dyDescent="0.2">
      <c r="I63359" s="137" t="s">
        <v>74</v>
      </c>
    </row>
    <row r="63360" spans="9:9" x14ac:dyDescent="0.2">
      <c r="I63360" s="137" t="s">
        <v>74</v>
      </c>
    </row>
    <row r="63361" spans="9:9" x14ac:dyDescent="0.2">
      <c r="I63361" s="137" t="s">
        <v>74</v>
      </c>
    </row>
    <row r="63362" spans="9:9" x14ac:dyDescent="0.2">
      <c r="I63362" s="137" t="s">
        <v>74</v>
      </c>
    </row>
    <row r="63363" spans="9:9" x14ac:dyDescent="0.2">
      <c r="I63363" s="137" t="s">
        <v>74</v>
      </c>
    </row>
    <row r="63364" spans="9:9" x14ac:dyDescent="0.2">
      <c r="I63364" s="137" t="s">
        <v>74</v>
      </c>
    </row>
    <row r="63365" spans="9:9" x14ac:dyDescent="0.2">
      <c r="I63365" s="137" t="s">
        <v>74</v>
      </c>
    </row>
    <row r="63366" spans="9:9" x14ac:dyDescent="0.2">
      <c r="I63366" s="137" t="s">
        <v>74</v>
      </c>
    </row>
    <row r="63367" spans="9:9" x14ac:dyDescent="0.2">
      <c r="I63367" s="137" t="s">
        <v>74</v>
      </c>
    </row>
    <row r="63368" spans="9:9" x14ac:dyDescent="0.2">
      <c r="I63368" s="137" t="s">
        <v>74</v>
      </c>
    </row>
    <row r="63369" spans="9:9" x14ac:dyDescent="0.2">
      <c r="I63369" s="137" t="s">
        <v>74</v>
      </c>
    </row>
    <row r="63370" spans="9:9" x14ac:dyDescent="0.2">
      <c r="I63370" s="137" t="s">
        <v>74</v>
      </c>
    </row>
    <row r="63371" spans="9:9" x14ac:dyDescent="0.2">
      <c r="I63371" s="137" t="s">
        <v>74</v>
      </c>
    </row>
    <row r="63372" spans="9:9" x14ac:dyDescent="0.2">
      <c r="I63372" s="137" t="s">
        <v>74</v>
      </c>
    </row>
    <row r="63373" spans="9:9" x14ac:dyDescent="0.2">
      <c r="I63373" s="137" t="s">
        <v>74</v>
      </c>
    </row>
    <row r="63374" spans="9:9" x14ac:dyDescent="0.2">
      <c r="I63374" s="137" t="s">
        <v>74</v>
      </c>
    </row>
    <row r="63375" spans="9:9" x14ac:dyDescent="0.2">
      <c r="I63375" s="137" t="s">
        <v>74</v>
      </c>
    </row>
    <row r="63376" spans="9:9" x14ac:dyDescent="0.2">
      <c r="I63376" s="137" t="s">
        <v>74</v>
      </c>
    </row>
    <row r="63377" spans="9:9" x14ac:dyDescent="0.2">
      <c r="I63377" s="137" t="s">
        <v>74</v>
      </c>
    </row>
    <row r="63378" spans="9:9" x14ac:dyDescent="0.2">
      <c r="I63378" s="137" t="s">
        <v>74</v>
      </c>
    </row>
    <row r="63379" spans="9:9" x14ac:dyDescent="0.2">
      <c r="I63379" s="137" t="s">
        <v>74</v>
      </c>
    </row>
    <row r="63380" spans="9:9" x14ac:dyDescent="0.2">
      <c r="I63380" s="137" t="s">
        <v>74</v>
      </c>
    </row>
    <row r="63381" spans="9:9" x14ac:dyDescent="0.2">
      <c r="I63381" s="137" t="s">
        <v>74</v>
      </c>
    </row>
    <row r="63382" spans="9:9" x14ac:dyDescent="0.2">
      <c r="I63382" s="137" t="s">
        <v>74</v>
      </c>
    </row>
    <row r="63383" spans="9:9" x14ac:dyDescent="0.2">
      <c r="I63383" s="137" t="s">
        <v>74</v>
      </c>
    </row>
    <row r="63384" spans="9:9" x14ac:dyDescent="0.2">
      <c r="I63384" s="137" t="s">
        <v>74</v>
      </c>
    </row>
    <row r="63385" spans="9:9" x14ac:dyDescent="0.2">
      <c r="I63385" s="137" t="s">
        <v>74</v>
      </c>
    </row>
    <row r="63386" spans="9:9" x14ac:dyDescent="0.2">
      <c r="I63386" s="137" t="s">
        <v>74</v>
      </c>
    </row>
    <row r="63387" spans="9:9" x14ac:dyDescent="0.2">
      <c r="I63387" s="137" t="s">
        <v>74</v>
      </c>
    </row>
    <row r="63388" spans="9:9" x14ac:dyDescent="0.2">
      <c r="I63388" s="137" t="s">
        <v>74</v>
      </c>
    </row>
    <row r="63389" spans="9:9" x14ac:dyDescent="0.2">
      <c r="I63389" s="137" t="s">
        <v>74</v>
      </c>
    </row>
    <row r="63390" spans="9:9" x14ac:dyDescent="0.2">
      <c r="I63390" s="137" t="s">
        <v>74</v>
      </c>
    </row>
    <row r="63391" spans="9:9" x14ac:dyDescent="0.2">
      <c r="I63391" s="137" t="s">
        <v>74</v>
      </c>
    </row>
    <row r="63392" spans="9:9" x14ac:dyDescent="0.2">
      <c r="I63392" s="137" t="s">
        <v>74</v>
      </c>
    </row>
    <row r="63393" spans="9:9" x14ac:dyDescent="0.2">
      <c r="I63393" s="137" t="s">
        <v>74</v>
      </c>
    </row>
    <row r="63394" spans="9:9" x14ac:dyDescent="0.2">
      <c r="I63394" s="137" t="s">
        <v>74</v>
      </c>
    </row>
    <row r="63395" spans="9:9" x14ac:dyDescent="0.2">
      <c r="I63395" s="137" t="s">
        <v>74</v>
      </c>
    </row>
    <row r="63396" spans="9:9" x14ac:dyDescent="0.2">
      <c r="I63396" s="137" t="s">
        <v>74</v>
      </c>
    </row>
    <row r="63397" spans="9:9" x14ac:dyDescent="0.2">
      <c r="I63397" s="137" t="s">
        <v>74</v>
      </c>
    </row>
    <row r="63398" spans="9:9" x14ac:dyDescent="0.2">
      <c r="I63398" s="137" t="s">
        <v>74</v>
      </c>
    </row>
    <row r="63399" spans="9:9" x14ac:dyDescent="0.2">
      <c r="I63399" s="137" t="s">
        <v>74</v>
      </c>
    </row>
    <row r="63400" spans="9:9" x14ac:dyDescent="0.2">
      <c r="I63400" s="137" t="s">
        <v>74</v>
      </c>
    </row>
    <row r="63401" spans="9:9" x14ac:dyDescent="0.2">
      <c r="I63401" s="137" t="s">
        <v>74</v>
      </c>
    </row>
    <row r="63402" spans="9:9" x14ac:dyDescent="0.2">
      <c r="I63402" s="137" t="s">
        <v>74</v>
      </c>
    </row>
    <row r="63403" spans="9:9" x14ac:dyDescent="0.2">
      <c r="I63403" s="137" t="s">
        <v>74</v>
      </c>
    </row>
    <row r="63404" spans="9:9" x14ac:dyDescent="0.2">
      <c r="I63404" s="137" t="s">
        <v>74</v>
      </c>
    </row>
    <row r="63405" spans="9:9" x14ac:dyDescent="0.2">
      <c r="I63405" s="137" t="s">
        <v>74</v>
      </c>
    </row>
    <row r="63406" spans="9:9" x14ac:dyDescent="0.2">
      <c r="I63406" s="137" t="s">
        <v>74</v>
      </c>
    </row>
    <row r="63407" spans="9:9" x14ac:dyDescent="0.2">
      <c r="I63407" s="137" t="s">
        <v>74</v>
      </c>
    </row>
    <row r="63408" spans="9:9" x14ac:dyDescent="0.2">
      <c r="I63408" s="137" t="s">
        <v>74</v>
      </c>
    </row>
    <row r="63409" spans="9:9" x14ac:dyDescent="0.2">
      <c r="I63409" s="137" t="s">
        <v>74</v>
      </c>
    </row>
    <row r="63410" spans="9:9" x14ac:dyDescent="0.2">
      <c r="I63410" s="137" t="s">
        <v>74</v>
      </c>
    </row>
    <row r="63411" spans="9:9" x14ac:dyDescent="0.2">
      <c r="I63411" s="137" t="s">
        <v>74</v>
      </c>
    </row>
    <row r="63412" spans="9:9" x14ac:dyDescent="0.2">
      <c r="I63412" s="137" t="s">
        <v>74</v>
      </c>
    </row>
    <row r="63413" spans="9:9" x14ac:dyDescent="0.2">
      <c r="I63413" s="137" t="s">
        <v>74</v>
      </c>
    </row>
    <row r="63414" spans="9:9" x14ac:dyDescent="0.2">
      <c r="I63414" s="137" t="s">
        <v>74</v>
      </c>
    </row>
    <row r="63415" spans="9:9" x14ac:dyDescent="0.2">
      <c r="I63415" s="137" t="s">
        <v>74</v>
      </c>
    </row>
    <row r="63416" spans="9:9" x14ac:dyDescent="0.2">
      <c r="I63416" s="137" t="s">
        <v>74</v>
      </c>
    </row>
    <row r="63417" spans="9:9" x14ac:dyDescent="0.2">
      <c r="I63417" s="137" t="s">
        <v>74</v>
      </c>
    </row>
    <row r="63418" spans="9:9" x14ac:dyDescent="0.2">
      <c r="I63418" s="137" t="s">
        <v>74</v>
      </c>
    </row>
    <row r="63419" spans="9:9" x14ac:dyDescent="0.2">
      <c r="I63419" s="137" t="s">
        <v>74</v>
      </c>
    </row>
    <row r="63420" spans="9:9" x14ac:dyDescent="0.2">
      <c r="I63420" s="137" t="s">
        <v>74</v>
      </c>
    </row>
    <row r="63421" spans="9:9" x14ac:dyDescent="0.2">
      <c r="I63421" s="137" t="s">
        <v>74</v>
      </c>
    </row>
    <row r="63422" spans="9:9" x14ac:dyDescent="0.2">
      <c r="I63422" s="137" t="s">
        <v>74</v>
      </c>
    </row>
    <row r="63423" spans="9:9" x14ac:dyDescent="0.2">
      <c r="I63423" s="137" t="s">
        <v>74</v>
      </c>
    </row>
    <row r="63424" spans="9:9" x14ac:dyDescent="0.2">
      <c r="I63424" s="137" t="s">
        <v>74</v>
      </c>
    </row>
    <row r="63425" spans="9:9" x14ac:dyDescent="0.2">
      <c r="I63425" s="137" t="s">
        <v>74</v>
      </c>
    </row>
    <row r="63426" spans="9:9" x14ac:dyDescent="0.2">
      <c r="I63426" s="137" t="s">
        <v>74</v>
      </c>
    </row>
    <row r="63427" spans="9:9" x14ac:dyDescent="0.2">
      <c r="I63427" s="137" t="s">
        <v>74</v>
      </c>
    </row>
    <row r="63428" spans="9:9" x14ac:dyDescent="0.2">
      <c r="I63428" s="137" t="s">
        <v>74</v>
      </c>
    </row>
    <row r="63429" spans="9:9" x14ac:dyDescent="0.2">
      <c r="I63429" s="137" t="s">
        <v>74</v>
      </c>
    </row>
    <row r="63430" spans="9:9" x14ac:dyDescent="0.2">
      <c r="I63430" s="137" t="s">
        <v>74</v>
      </c>
    </row>
    <row r="63431" spans="9:9" x14ac:dyDescent="0.2">
      <c r="I63431" s="137" t="s">
        <v>74</v>
      </c>
    </row>
    <row r="63432" spans="9:9" x14ac:dyDescent="0.2">
      <c r="I63432" s="137" t="s">
        <v>74</v>
      </c>
    </row>
    <row r="63433" spans="9:9" x14ac:dyDescent="0.2">
      <c r="I63433" s="137" t="s">
        <v>74</v>
      </c>
    </row>
    <row r="63434" spans="9:9" x14ac:dyDescent="0.2">
      <c r="I63434" s="137" t="s">
        <v>74</v>
      </c>
    </row>
    <row r="63435" spans="9:9" x14ac:dyDescent="0.2">
      <c r="I63435" s="137" t="s">
        <v>74</v>
      </c>
    </row>
    <row r="63436" spans="9:9" x14ac:dyDescent="0.2">
      <c r="I63436" s="137" t="s">
        <v>74</v>
      </c>
    </row>
    <row r="63437" spans="9:9" x14ac:dyDescent="0.2">
      <c r="I63437" s="137" t="s">
        <v>74</v>
      </c>
    </row>
    <row r="63438" spans="9:9" x14ac:dyDescent="0.2">
      <c r="I63438" s="137" t="s">
        <v>74</v>
      </c>
    </row>
    <row r="63439" spans="9:9" x14ac:dyDescent="0.2">
      <c r="I63439" s="137" t="s">
        <v>74</v>
      </c>
    </row>
    <row r="63440" spans="9:9" x14ac:dyDescent="0.2">
      <c r="I63440" s="137" t="s">
        <v>74</v>
      </c>
    </row>
    <row r="63441" spans="9:9" x14ac:dyDescent="0.2">
      <c r="I63441" s="137" t="s">
        <v>74</v>
      </c>
    </row>
    <row r="63442" spans="9:9" x14ac:dyDescent="0.2">
      <c r="I63442" s="137" t="s">
        <v>74</v>
      </c>
    </row>
    <row r="63443" spans="9:9" x14ac:dyDescent="0.2">
      <c r="I63443" s="137" t="s">
        <v>74</v>
      </c>
    </row>
    <row r="63444" spans="9:9" x14ac:dyDescent="0.2">
      <c r="I63444" s="137" t="s">
        <v>74</v>
      </c>
    </row>
    <row r="63445" spans="9:9" x14ac:dyDescent="0.2">
      <c r="I63445" s="137" t="s">
        <v>74</v>
      </c>
    </row>
    <row r="63446" spans="9:9" x14ac:dyDescent="0.2">
      <c r="I63446" s="137" t="s">
        <v>74</v>
      </c>
    </row>
    <row r="63447" spans="9:9" x14ac:dyDescent="0.2">
      <c r="I63447" s="137" t="s">
        <v>74</v>
      </c>
    </row>
    <row r="63448" spans="9:9" x14ac:dyDescent="0.2">
      <c r="I63448" s="137" t="s">
        <v>74</v>
      </c>
    </row>
    <row r="63449" spans="9:9" x14ac:dyDescent="0.2">
      <c r="I63449" s="137" t="s">
        <v>74</v>
      </c>
    </row>
    <row r="63450" spans="9:9" x14ac:dyDescent="0.2">
      <c r="I63450" s="137" t="s">
        <v>74</v>
      </c>
    </row>
    <row r="63451" spans="9:9" x14ac:dyDescent="0.2">
      <c r="I63451" s="137" t="s">
        <v>74</v>
      </c>
    </row>
    <row r="63452" spans="9:9" x14ac:dyDescent="0.2">
      <c r="I63452" s="137" t="s">
        <v>74</v>
      </c>
    </row>
    <row r="63453" spans="9:9" x14ac:dyDescent="0.2">
      <c r="I63453" s="137" t="s">
        <v>74</v>
      </c>
    </row>
    <row r="63454" spans="9:9" x14ac:dyDescent="0.2">
      <c r="I63454" s="137" t="s">
        <v>74</v>
      </c>
    </row>
    <row r="63455" spans="9:9" x14ac:dyDescent="0.2">
      <c r="I63455" s="137" t="s">
        <v>74</v>
      </c>
    </row>
    <row r="63456" spans="9:9" x14ac:dyDescent="0.2">
      <c r="I63456" s="137" t="s">
        <v>74</v>
      </c>
    </row>
    <row r="63457" spans="9:9" x14ac:dyDescent="0.2">
      <c r="I63457" s="137" t="s">
        <v>74</v>
      </c>
    </row>
    <row r="63458" spans="9:9" x14ac:dyDescent="0.2">
      <c r="I63458" s="137" t="s">
        <v>74</v>
      </c>
    </row>
    <row r="63459" spans="9:9" x14ac:dyDescent="0.2">
      <c r="I63459" s="137" t="s">
        <v>74</v>
      </c>
    </row>
    <row r="63460" spans="9:9" x14ac:dyDescent="0.2">
      <c r="I63460" s="137" t="s">
        <v>74</v>
      </c>
    </row>
    <row r="63461" spans="9:9" x14ac:dyDescent="0.2">
      <c r="I63461" s="137" t="s">
        <v>74</v>
      </c>
    </row>
    <row r="63462" spans="9:9" x14ac:dyDescent="0.2">
      <c r="I63462" s="137" t="s">
        <v>74</v>
      </c>
    </row>
    <row r="63463" spans="9:9" x14ac:dyDescent="0.2">
      <c r="I63463" s="137" t="s">
        <v>74</v>
      </c>
    </row>
    <row r="63464" spans="9:9" x14ac:dyDescent="0.2">
      <c r="I63464" s="137" t="s">
        <v>74</v>
      </c>
    </row>
    <row r="63465" spans="9:9" x14ac:dyDescent="0.2">
      <c r="I63465" s="137" t="s">
        <v>74</v>
      </c>
    </row>
    <row r="63466" spans="9:9" x14ac:dyDescent="0.2">
      <c r="I63466" s="137" t="s">
        <v>74</v>
      </c>
    </row>
    <row r="63467" spans="9:9" x14ac:dyDescent="0.2">
      <c r="I63467" s="137" t="s">
        <v>74</v>
      </c>
    </row>
    <row r="63468" spans="9:9" x14ac:dyDescent="0.2">
      <c r="I63468" s="137" t="s">
        <v>74</v>
      </c>
    </row>
    <row r="63469" spans="9:9" x14ac:dyDescent="0.2">
      <c r="I63469" s="137" t="s">
        <v>74</v>
      </c>
    </row>
    <row r="63470" spans="9:9" x14ac:dyDescent="0.2">
      <c r="I63470" s="137" t="s">
        <v>74</v>
      </c>
    </row>
    <row r="63471" spans="9:9" x14ac:dyDescent="0.2">
      <c r="I63471" s="137" t="s">
        <v>74</v>
      </c>
    </row>
    <row r="63472" spans="9:9" x14ac:dyDescent="0.2">
      <c r="I63472" s="137" t="s">
        <v>74</v>
      </c>
    </row>
    <row r="63473" spans="9:9" x14ac:dyDescent="0.2">
      <c r="I63473" s="137" t="s">
        <v>74</v>
      </c>
    </row>
    <row r="63474" spans="9:9" x14ac:dyDescent="0.2">
      <c r="I63474" s="137" t="s">
        <v>74</v>
      </c>
    </row>
    <row r="63475" spans="9:9" x14ac:dyDescent="0.2">
      <c r="I63475" s="137" t="s">
        <v>74</v>
      </c>
    </row>
    <row r="63476" spans="9:9" x14ac:dyDescent="0.2">
      <c r="I63476" s="137" t="s">
        <v>74</v>
      </c>
    </row>
    <row r="63477" spans="9:9" x14ac:dyDescent="0.2">
      <c r="I63477" s="137" t="s">
        <v>74</v>
      </c>
    </row>
    <row r="63478" spans="9:9" x14ac:dyDescent="0.2">
      <c r="I63478" s="137" t="s">
        <v>74</v>
      </c>
    </row>
    <row r="63479" spans="9:9" x14ac:dyDescent="0.2">
      <c r="I63479" s="137" t="s">
        <v>74</v>
      </c>
    </row>
    <row r="63480" spans="9:9" x14ac:dyDescent="0.2">
      <c r="I63480" s="137" t="s">
        <v>74</v>
      </c>
    </row>
    <row r="63481" spans="9:9" x14ac:dyDescent="0.2">
      <c r="I63481" s="137" t="s">
        <v>74</v>
      </c>
    </row>
    <row r="63482" spans="9:9" x14ac:dyDescent="0.2">
      <c r="I63482" s="137" t="s">
        <v>74</v>
      </c>
    </row>
    <row r="63483" spans="9:9" x14ac:dyDescent="0.2">
      <c r="I63483" s="137" t="s">
        <v>74</v>
      </c>
    </row>
    <row r="63484" spans="9:9" x14ac:dyDescent="0.2">
      <c r="I63484" s="137" t="s">
        <v>74</v>
      </c>
    </row>
    <row r="63485" spans="9:9" x14ac:dyDescent="0.2">
      <c r="I63485" s="137" t="s">
        <v>74</v>
      </c>
    </row>
    <row r="63486" spans="9:9" x14ac:dyDescent="0.2">
      <c r="I63486" s="137" t="s">
        <v>74</v>
      </c>
    </row>
    <row r="63487" spans="9:9" x14ac:dyDescent="0.2">
      <c r="I63487" s="137" t="s">
        <v>74</v>
      </c>
    </row>
    <row r="63488" spans="9:9" x14ac:dyDescent="0.2">
      <c r="I63488" s="137" t="s">
        <v>74</v>
      </c>
    </row>
    <row r="63489" spans="9:9" x14ac:dyDescent="0.2">
      <c r="I63489" s="137" t="s">
        <v>74</v>
      </c>
    </row>
    <row r="63490" spans="9:9" x14ac:dyDescent="0.2">
      <c r="I63490" s="137" t="s">
        <v>74</v>
      </c>
    </row>
    <row r="63491" spans="9:9" x14ac:dyDescent="0.2">
      <c r="I63491" s="137" t="s">
        <v>74</v>
      </c>
    </row>
    <row r="63492" spans="9:9" x14ac:dyDescent="0.2">
      <c r="I63492" s="137" t="s">
        <v>74</v>
      </c>
    </row>
    <row r="63493" spans="9:9" x14ac:dyDescent="0.2">
      <c r="I63493" s="137" t="s">
        <v>74</v>
      </c>
    </row>
    <row r="63494" spans="9:9" x14ac:dyDescent="0.2">
      <c r="I63494" s="137" t="s">
        <v>74</v>
      </c>
    </row>
    <row r="63495" spans="9:9" x14ac:dyDescent="0.2">
      <c r="I63495" s="137" t="s">
        <v>74</v>
      </c>
    </row>
    <row r="63496" spans="9:9" x14ac:dyDescent="0.2">
      <c r="I63496" s="137" t="s">
        <v>74</v>
      </c>
    </row>
    <row r="63497" spans="9:9" x14ac:dyDescent="0.2">
      <c r="I63497" s="137" t="s">
        <v>74</v>
      </c>
    </row>
    <row r="63498" spans="9:9" x14ac:dyDescent="0.2">
      <c r="I63498" s="137" t="s">
        <v>74</v>
      </c>
    </row>
    <row r="63499" spans="9:9" x14ac:dyDescent="0.2">
      <c r="I63499" s="137" t="s">
        <v>74</v>
      </c>
    </row>
    <row r="63500" spans="9:9" x14ac:dyDescent="0.2">
      <c r="I63500" s="137" t="s">
        <v>74</v>
      </c>
    </row>
    <row r="63501" spans="9:9" x14ac:dyDescent="0.2">
      <c r="I63501" s="137" t="s">
        <v>74</v>
      </c>
    </row>
    <row r="63502" spans="9:9" x14ac:dyDescent="0.2">
      <c r="I63502" s="137" t="s">
        <v>74</v>
      </c>
    </row>
    <row r="63503" spans="9:9" x14ac:dyDescent="0.2">
      <c r="I63503" s="137" t="s">
        <v>74</v>
      </c>
    </row>
    <row r="63504" spans="9:9" x14ac:dyDescent="0.2">
      <c r="I63504" s="137" t="s">
        <v>74</v>
      </c>
    </row>
    <row r="63505" spans="9:9" x14ac:dyDescent="0.2">
      <c r="I63505" s="137" t="s">
        <v>74</v>
      </c>
    </row>
    <row r="63506" spans="9:9" x14ac:dyDescent="0.2">
      <c r="I63506" s="137" t="s">
        <v>74</v>
      </c>
    </row>
    <row r="63507" spans="9:9" x14ac:dyDescent="0.2">
      <c r="I63507" s="137" t="s">
        <v>74</v>
      </c>
    </row>
    <row r="63508" spans="9:9" x14ac:dyDescent="0.2">
      <c r="I63508" s="137" t="s">
        <v>74</v>
      </c>
    </row>
    <row r="63509" spans="9:9" x14ac:dyDescent="0.2">
      <c r="I63509" s="137" t="s">
        <v>74</v>
      </c>
    </row>
    <row r="63510" spans="9:9" x14ac:dyDescent="0.2">
      <c r="I63510" s="137" t="s">
        <v>74</v>
      </c>
    </row>
    <row r="63511" spans="9:9" x14ac:dyDescent="0.2">
      <c r="I63511" s="137" t="s">
        <v>74</v>
      </c>
    </row>
    <row r="63512" spans="9:9" x14ac:dyDescent="0.2">
      <c r="I63512" s="137" t="s">
        <v>74</v>
      </c>
    </row>
    <row r="63513" spans="9:9" x14ac:dyDescent="0.2">
      <c r="I63513" s="137" t="s">
        <v>74</v>
      </c>
    </row>
    <row r="63514" spans="9:9" x14ac:dyDescent="0.2">
      <c r="I63514" s="137" t="s">
        <v>74</v>
      </c>
    </row>
    <row r="63515" spans="9:9" x14ac:dyDescent="0.2">
      <c r="I63515" s="137" t="s">
        <v>74</v>
      </c>
    </row>
    <row r="63516" spans="9:9" x14ac:dyDescent="0.2">
      <c r="I63516" s="137" t="s">
        <v>74</v>
      </c>
    </row>
    <row r="63517" spans="9:9" x14ac:dyDescent="0.2">
      <c r="I63517" s="137" t="s">
        <v>74</v>
      </c>
    </row>
    <row r="63518" spans="9:9" x14ac:dyDescent="0.2">
      <c r="I63518" s="137" t="s">
        <v>74</v>
      </c>
    </row>
    <row r="63519" spans="9:9" x14ac:dyDescent="0.2">
      <c r="I63519" s="137" t="s">
        <v>74</v>
      </c>
    </row>
    <row r="63520" spans="9:9" x14ac:dyDescent="0.2">
      <c r="I63520" s="137" t="s">
        <v>74</v>
      </c>
    </row>
    <row r="63521" spans="9:9" x14ac:dyDescent="0.2">
      <c r="I63521" s="137" t="s">
        <v>74</v>
      </c>
    </row>
    <row r="63522" spans="9:9" x14ac:dyDescent="0.2">
      <c r="I63522" s="137" t="s">
        <v>74</v>
      </c>
    </row>
    <row r="63523" spans="9:9" x14ac:dyDescent="0.2">
      <c r="I63523" s="137" t="s">
        <v>74</v>
      </c>
    </row>
    <row r="63524" spans="9:9" x14ac:dyDescent="0.2">
      <c r="I63524" s="137" t="s">
        <v>74</v>
      </c>
    </row>
    <row r="63525" spans="9:9" x14ac:dyDescent="0.2">
      <c r="I63525" s="137" t="s">
        <v>74</v>
      </c>
    </row>
    <row r="63526" spans="9:9" x14ac:dyDescent="0.2">
      <c r="I63526" s="137" t="s">
        <v>74</v>
      </c>
    </row>
    <row r="63527" spans="9:9" x14ac:dyDescent="0.2">
      <c r="I63527" s="137" t="s">
        <v>74</v>
      </c>
    </row>
    <row r="63528" spans="9:9" x14ac:dyDescent="0.2">
      <c r="I63528" s="137" t="s">
        <v>74</v>
      </c>
    </row>
    <row r="63529" spans="9:9" x14ac:dyDescent="0.2">
      <c r="I63529" s="137" t="s">
        <v>74</v>
      </c>
    </row>
    <row r="63530" spans="9:9" x14ac:dyDescent="0.2">
      <c r="I63530" s="137" t="s">
        <v>74</v>
      </c>
    </row>
    <row r="63531" spans="9:9" x14ac:dyDescent="0.2">
      <c r="I63531" s="137" t="s">
        <v>74</v>
      </c>
    </row>
    <row r="63532" spans="9:9" x14ac:dyDescent="0.2">
      <c r="I63532" s="137" t="s">
        <v>74</v>
      </c>
    </row>
    <row r="63533" spans="9:9" x14ac:dyDescent="0.2">
      <c r="I63533" s="137" t="s">
        <v>74</v>
      </c>
    </row>
    <row r="63534" spans="9:9" x14ac:dyDescent="0.2">
      <c r="I63534" s="137" t="s">
        <v>74</v>
      </c>
    </row>
    <row r="63535" spans="9:9" x14ac:dyDescent="0.2">
      <c r="I63535" s="137" t="s">
        <v>74</v>
      </c>
    </row>
    <row r="63536" spans="9:9" x14ac:dyDescent="0.2">
      <c r="I63536" s="137" t="s">
        <v>74</v>
      </c>
    </row>
    <row r="63537" spans="9:9" x14ac:dyDescent="0.2">
      <c r="I63537" s="137" t="s">
        <v>74</v>
      </c>
    </row>
    <row r="63538" spans="9:9" x14ac:dyDescent="0.2">
      <c r="I63538" s="137" t="s">
        <v>74</v>
      </c>
    </row>
    <row r="63539" spans="9:9" x14ac:dyDescent="0.2">
      <c r="I63539" s="137" t="s">
        <v>74</v>
      </c>
    </row>
    <row r="63540" spans="9:9" x14ac:dyDescent="0.2">
      <c r="I63540" s="137" t="s">
        <v>74</v>
      </c>
    </row>
    <row r="63541" spans="9:9" x14ac:dyDescent="0.2">
      <c r="I63541" s="137" t="s">
        <v>74</v>
      </c>
    </row>
    <row r="63542" spans="9:9" x14ac:dyDescent="0.2">
      <c r="I63542" s="137" t="s">
        <v>74</v>
      </c>
    </row>
    <row r="63543" spans="9:9" x14ac:dyDescent="0.2">
      <c r="I63543" s="137" t="s">
        <v>74</v>
      </c>
    </row>
    <row r="63544" spans="9:9" x14ac:dyDescent="0.2">
      <c r="I63544" s="137" t="s">
        <v>74</v>
      </c>
    </row>
    <row r="63545" spans="9:9" x14ac:dyDescent="0.2">
      <c r="I63545" s="137" t="s">
        <v>74</v>
      </c>
    </row>
    <row r="63546" spans="9:9" x14ac:dyDescent="0.2">
      <c r="I63546" s="137" t="s">
        <v>74</v>
      </c>
    </row>
    <row r="63547" spans="9:9" x14ac:dyDescent="0.2">
      <c r="I63547" s="137" t="s">
        <v>74</v>
      </c>
    </row>
    <row r="63548" spans="9:9" x14ac:dyDescent="0.2">
      <c r="I63548" s="137" t="s">
        <v>74</v>
      </c>
    </row>
    <row r="63549" spans="9:9" x14ac:dyDescent="0.2">
      <c r="I63549" s="137" t="s">
        <v>74</v>
      </c>
    </row>
    <row r="63550" spans="9:9" x14ac:dyDescent="0.2">
      <c r="I63550" s="137" t="s">
        <v>74</v>
      </c>
    </row>
    <row r="63551" spans="9:9" x14ac:dyDescent="0.2">
      <c r="I63551" s="137" t="s">
        <v>74</v>
      </c>
    </row>
    <row r="63552" spans="9:9" x14ac:dyDescent="0.2">
      <c r="I63552" s="137" t="s">
        <v>74</v>
      </c>
    </row>
    <row r="63553" spans="9:9" x14ac:dyDescent="0.2">
      <c r="I63553" s="137" t="s">
        <v>74</v>
      </c>
    </row>
    <row r="63554" spans="9:9" x14ac:dyDescent="0.2">
      <c r="I63554" s="137" t="s">
        <v>74</v>
      </c>
    </row>
    <row r="63555" spans="9:9" x14ac:dyDescent="0.2">
      <c r="I63555" s="137" t="s">
        <v>74</v>
      </c>
    </row>
    <row r="63556" spans="9:9" x14ac:dyDescent="0.2">
      <c r="I63556" s="137" t="s">
        <v>74</v>
      </c>
    </row>
    <row r="63557" spans="9:9" x14ac:dyDescent="0.2">
      <c r="I63557" s="137" t="s">
        <v>74</v>
      </c>
    </row>
    <row r="63558" spans="9:9" x14ac:dyDescent="0.2">
      <c r="I63558" s="137" t="s">
        <v>74</v>
      </c>
    </row>
    <row r="63559" spans="9:9" x14ac:dyDescent="0.2">
      <c r="I63559" s="137" t="s">
        <v>74</v>
      </c>
    </row>
    <row r="63560" spans="9:9" x14ac:dyDescent="0.2">
      <c r="I63560" s="137" t="s">
        <v>74</v>
      </c>
    </row>
    <row r="63561" spans="9:9" x14ac:dyDescent="0.2">
      <c r="I63561" s="137" t="s">
        <v>74</v>
      </c>
    </row>
    <row r="63562" spans="9:9" x14ac:dyDescent="0.2">
      <c r="I63562" s="137" t="s">
        <v>74</v>
      </c>
    </row>
    <row r="63563" spans="9:9" x14ac:dyDescent="0.2">
      <c r="I63563" s="137" t="s">
        <v>74</v>
      </c>
    </row>
    <row r="63564" spans="9:9" x14ac:dyDescent="0.2">
      <c r="I63564" s="137" t="s">
        <v>74</v>
      </c>
    </row>
    <row r="63565" spans="9:9" x14ac:dyDescent="0.2">
      <c r="I63565" s="137" t="s">
        <v>74</v>
      </c>
    </row>
    <row r="63566" spans="9:9" x14ac:dyDescent="0.2">
      <c r="I63566" s="137" t="s">
        <v>74</v>
      </c>
    </row>
    <row r="63567" spans="9:9" x14ac:dyDescent="0.2">
      <c r="I63567" s="137" t="s">
        <v>74</v>
      </c>
    </row>
    <row r="63568" spans="9:9" x14ac:dyDescent="0.2">
      <c r="I63568" s="137" t="s">
        <v>74</v>
      </c>
    </row>
    <row r="63569" spans="9:9" x14ac:dyDescent="0.2">
      <c r="I63569" s="137" t="s">
        <v>74</v>
      </c>
    </row>
    <row r="63570" spans="9:9" x14ac:dyDescent="0.2">
      <c r="I63570" s="137" t="s">
        <v>74</v>
      </c>
    </row>
    <row r="63571" spans="9:9" x14ac:dyDescent="0.2">
      <c r="I63571" s="137" t="s">
        <v>74</v>
      </c>
    </row>
    <row r="63572" spans="9:9" x14ac:dyDescent="0.2">
      <c r="I63572" s="137" t="s">
        <v>74</v>
      </c>
    </row>
    <row r="63573" spans="9:9" x14ac:dyDescent="0.2">
      <c r="I63573" s="137" t="s">
        <v>74</v>
      </c>
    </row>
    <row r="63574" spans="9:9" x14ac:dyDescent="0.2">
      <c r="I63574" s="137" t="s">
        <v>74</v>
      </c>
    </row>
    <row r="63575" spans="9:9" x14ac:dyDescent="0.2">
      <c r="I63575" s="137" t="s">
        <v>74</v>
      </c>
    </row>
    <row r="63576" spans="9:9" x14ac:dyDescent="0.2">
      <c r="I63576" s="137" t="s">
        <v>74</v>
      </c>
    </row>
    <row r="63577" spans="9:9" x14ac:dyDescent="0.2">
      <c r="I63577" s="137" t="s">
        <v>74</v>
      </c>
    </row>
    <row r="63578" spans="9:9" x14ac:dyDescent="0.2">
      <c r="I63578" s="137" t="s">
        <v>74</v>
      </c>
    </row>
    <row r="63579" spans="9:9" x14ac:dyDescent="0.2">
      <c r="I63579" s="137" t="s">
        <v>74</v>
      </c>
    </row>
    <row r="63580" spans="9:9" x14ac:dyDescent="0.2">
      <c r="I63580" s="137" t="s">
        <v>74</v>
      </c>
    </row>
    <row r="63581" spans="9:9" x14ac:dyDescent="0.2">
      <c r="I63581" s="137" t="s">
        <v>74</v>
      </c>
    </row>
    <row r="63582" spans="9:9" x14ac:dyDescent="0.2">
      <c r="I63582" s="137" t="s">
        <v>74</v>
      </c>
    </row>
    <row r="63583" spans="9:9" x14ac:dyDescent="0.2">
      <c r="I63583" s="137" t="s">
        <v>74</v>
      </c>
    </row>
    <row r="63584" spans="9:9" x14ac:dyDescent="0.2">
      <c r="I63584" s="137" t="s">
        <v>74</v>
      </c>
    </row>
    <row r="63585" spans="9:9" x14ac:dyDescent="0.2">
      <c r="I63585" s="137" t="s">
        <v>74</v>
      </c>
    </row>
    <row r="63586" spans="9:9" x14ac:dyDescent="0.2">
      <c r="I63586" s="137" t="s">
        <v>74</v>
      </c>
    </row>
    <row r="63587" spans="9:9" x14ac:dyDescent="0.2">
      <c r="I63587" s="137" t="s">
        <v>74</v>
      </c>
    </row>
    <row r="63588" spans="9:9" x14ac:dyDescent="0.2">
      <c r="I63588" s="137" t="s">
        <v>74</v>
      </c>
    </row>
    <row r="63589" spans="9:9" x14ac:dyDescent="0.2">
      <c r="I63589" s="137" t="s">
        <v>74</v>
      </c>
    </row>
    <row r="63590" spans="9:9" x14ac:dyDescent="0.2">
      <c r="I63590" s="137" t="s">
        <v>74</v>
      </c>
    </row>
    <row r="63591" spans="9:9" x14ac:dyDescent="0.2">
      <c r="I63591" s="137" t="s">
        <v>74</v>
      </c>
    </row>
    <row r="63592" spans="9:9" x14ac:dyDescent="0.2">
      <c r="I63592" s="137" t="s">
        <v>74</v>
      </c>
    </row>
    <row r="63593" spans="9:9" x14ac:dyDescent="0.2">
      <c r="I63593" s="137" t="s">
        <v>74</v>
      </c>
    </row>
    <row r="63594" spans="9:9" x14ac:dyDescent="0.2">
      <c r="I63594" s="137" t="s">
        <v>74</v>
      </c>
    </row>
    <row r="63595" spans="9:9" x14ac:dyDescent="0.2">
      <c r="I63595" s="137" t="s">
        <v>74</v>
      </c>
    </row>
    <row r="63596" spans="9:9" x14ac:dyDescent="0.2">
      <c r="I63596" s="137" t="s">
        <v>74</v>
      </c>
    </row>
    <row r="63597" spans="9:9" x14ac:dyDescent="0.2">
      <c r="I63597" s="137" t="s">
        <v>74</v>
      </c>
    </row>
    <row r="63598" spans="9:9" x14ac:dyDescent="0.2">
      <c r="I63598" s="137" t="s">
        <v>74</v>
      </c>
    </row>
    <row r="63599" spans="9:9" x14ac:dyDescent="0.2">
      <c r="I63599" s="137" t="s">
        <v>74</v>
      </c>
    </row>
    <row r="63600" spans="9:9" x14ac:dyDescent="0.2">
      <c r="I63600" s="137" t="s">
        <v>74</v>
      </c>
    </row>
    <row r="63601" spans="9:9" x14ac:dyDescent="0.2">
      <c r="I63601" s="137" t="s">
        <v>74</v>
      </c>
    </row>
    <row r="63602" spans="9:9" x14ac:dyDescent="0.2">
      <c r="I63602" s="137" t="s">
        <v>74</v>
      </c>
    </row>
    <row r="63603" spans="9:9" x14ac:dyDescent="0.2">
      <c r="I63603" s="137" t="s">
        <v>74</v>
      </c>
    </row>
    <row r="63604" spans="9:9" x14ac:dyDescent="0.2">
      <c r="I63604" s="137" t="s">
        <v>74</v>
      </c>
    </row>
    <row r="63605" spans="9:9" x14ac:dyDescent="0.2">
      <c r="I63605" s="137" t="s">
        <v>74</v>
      </c>
    </row>
    <row r="63606" spans="9:9" x14ac:dyDescent="0.2">
      <c r="I63606" s="137" t="s">
        <v>74</v>
      </c>
    </row>
    <row r="63607" spans="9:9" x14ac:dyDescent="0.2">
      <c r="I63607" s="137" t="s">
        <v>74</v>
      </c>
    </row>
    <row r="63608" spans="9:9" x14ac:dyDescent="0.2">
      <c r="I63608" s="137" t="s">
        <v>74</v>
      </c>
    </row>
    <row r="63609" spans="9:9" x14ac:dyDescent="0.2">
      <c r="I63609" s="137" t="s">
        <v>74</v>
      </c>
    </row>
    <row r="63610" spans="9:9" x14ac:dyDescent="0.2">
      <c r="I63610" s="137" t="s">
        <v>74</v>
      </c>
    </row>
    <row r="63611" spans="9:9" x14ac:dyDescent="0.2">
      <c r="I63611" s="137" t="s">
        <v>74</v>
      </c>
    </row>
    <row r="63612" spans="9:9" x14ac:dyDescent="0.2">
      <c r="I63612" s="137" t="s">
        <v>74</v>
      </c>
    </row>
    <row r="63613" spans="9:9" x14ac:dyDescent="0.2">
      <c r="I63613" s="137" t="s">
        <v>74</v>
      </c>
    </row>
    <row r="63614" spans="9:9" x14ac:dyDescent="0.2">
      <c r="I63614" s="137" t="s">
        <v>74</v>
      </c>
    </row>
    <row r="63615" spans="9:9" x14ac:dyDescent="0.2">
      <c r="I63615" s="137" t="s">
        <v>74</v>
      </c>
    </row>
    <row r="63616" spans="9:9" x14ac:dyDescent="0.2">
      <c r="I63616" s="137" t="s">
        <v>74</v>
      </c>
    </row>
    <row r="63617" spans="9:9" x14ac:dyDescent="0.2">
      <c r="I63617" s="137" t="s">
        <v>74</v>
      </c>
    </row>
    <row r="63618" spans="9:9" x14ac:dyDescent="0.2">
      <c r="I63618" s="137" t="s">
        <v>74</v>
      </c>
    </row>
    <row r="63619" spans="9:9" x14ac:dyDescent="0.2">
      <c r="I63619" s="137" t="s">
        <v>74</v>
      </c>
    </row>
    <row r="63620" spans="9:9" x14ac:dyDescent="0.2">
      <c r="I63620" s="137" t="s">
        <v>74</v>
      </c>
    </row>
    <row r="63621" spans="9:9" x14ac:dyDescent="0.2">
      <c r="I63621" s="137" t="s">
        <v>74</v>
      </c>
    </row>
    <row r="63622" spans="9:9" x14ac:dyDescent="0.2">
      <c r="I63622" s="137" t="s">
        <v>74</v>
      </c>
    </row>
    <row r="63623" spans="9:9" x14ac:dyDescent="0.2">
      <c r="I63623" s="137" t="s">
        <v>74</v>
      </c>
    </row>
    <row r="63624" spans="9:9" x14ac:dyDescent="0.2">
      <c r="I63624" s="137" t="s">
        <v>74</v>
      </c>
    </row>
    <row r="63625" spans="9:9" x14ac:dyDescent="0.2">
      <c r="I63625" s="137" t="s">
        <v>74</v>
      </c>
    </row>
    <row r="63626" spans="9:9" x14ac:dyDescent="0.2">
      <c r="I63626" s="137" t="s">
        <v>74</v>
      </c>
    </row>
    <row r="63627" spans="9:9" x14ac:dyDescent="0.2">
      <c r="I63627" s="137" t="s">
        <v>74</v>
      </c>
    </row>
    <row r="63628" spans="9:9" x14ac:dyDescent="0.2">
      <c r="I63628" s="137" t="s">
        <v>74</v>
      </c>
    </row>
    <row r="63629" spans="9:9" x14ac:dyDescent="0.2">
      <c r="I63629" s="137" t="s">
        <v>74</v>
      </c>
    </row>
    <row r="63630" spans="9:9" x14ac:dyDescent="0.2">
      <c r="I63630" s="137" t="s">
        <v>74</v>
      </c>
    </row>
    <row r="63631" spans="9:9" x14ac:dyDescent="0.2">
      <c r="I63631" s="137" t="s">
        <v>74</v>
      </c>
    </row>
    <row r="63632" spans="9:9" x14ac:dyDescent="0.2">
      <c r="I63632" s="137" t="s">
        <v>74</v>
      </c>
    </row>
    <row r="63633" spans="9:9" x14ac:dyDescent="0.2">
      <c r="I63633" s="137" t="s">
        <v>74</v>
      </c>
    </row>
    <row r="63634" spans="9:9" x14ac:dyDescent="0.2">
      <c r="I63634" s="137" t="s">
        <v>74</v>
      </c>
    </row>
    <row r="63635" spans="9:9" x14ac:dyDescent="0.2">
      <c r="I63635" s="137" t="s">
        <v>74</v>
      </c>
    </row>
    <row r="63636" spans="9:9" x14ac:dyDescent="0.2">
      <c r="I63636" s="137" t="s">
        <v>74</v>
      </c>
    </row>
    <row r="63637" spans="9:9" x14ac:dyDescent="0.2">
      <c r="I63637" s="137" t="s">
        <v>74</v>
      </c>
    </row>
    <row r="63638" spans="9:9" x14ac:dyDescent="0.2">
      <c r="I63638" s="137" t="s">
        <v>74</v>
      </c>
    </row>
    <row r="63639" spans="9:9" x14ac:dyDescent="0.2">
      <c r="I63639" s="137" t="s">
        <v>74</v>
      </c>
    </row>
    <row r="63640" spans="9:9" x14ac:dyDescent="0.2">
      <c r="I63640" s="137" t="s">
        <v>74</v>
      </c>
    </row>
    <row r="63641" spans="9:9" x14ac:dyDescent="0.2">
      <c r="I63641" s="137" t="s">
        <v>74</v>
      </c>
    </row>
    <row r="63642" spans="9:9" x14ac:dyDescent="0.2">
      <c r="I63642" s="137" t="s">
        <v>74</v>
      </c>
    </row>
    <row r="63643" spans="9:9" x14ac:dyDescent="0.2">
      <c r="I63643" s="137" t="s">
        <v>74</v>
      </c>
    </row>
    <row r="63644" spans="9:9" x14ac:dyDescent="0.2">
      <c r="I63644" s="137" t="s">
        <v>74</v>
      </c>
    </row>
    <row r="63645" spans="9:9" x14ac:dyDescent="0.2">
      <c r="I63645" s="137" t="s">
        <v>74</v>
      </c>
    </row>
    <row r="63646" spans="9:9" x14ac:dyDescent="0.2">
      <c r="I63646" s="137" t="s">
        <v>74</v>
      </c>
    </row>
    <row r="63647" spans="9:9" x14ac:dyDescent="0.2">
      <c r="I63647" s="137" t="s">
        <v>74</v>
      </c>
    </row>
    <row r="63648" spans="9:9" x14ac:dyDescent="0.2">
      <c r="I63648" s="137" t="s">
        <v>74</v>
      </c>
    </row>
    <row r="63649" spans="9:9" x14ac:dyDescent="0.2">
      <c r="I63649" s="137" t="s">
        <v>74</v>
      </c>
    </row>
    <row r="63650" spans="9:9" x14ac:dyDescent="0.2">
      <c r="I63650" s="137" t="s">
        <v>74</v>
      </c>
    </row>
    <row r="63651" spans="9:9" x14ac:dyDescent="0.2">
      <c r="I63651" s="137" t="s">
        <v>74</v>
      </c>
    </row>
    <row r="63652" spans="9:9" x14ac:dyDescent="0.2">
      <c r="I63652" s="137" t="s">
        <v>74</v>
      </c>
    </row>
    <row r="63653" spans="9:9" x14ac:dyDescent="0.2">
      <c r="I63653" s="137" t="s">
        <v>74</v>
      </c>
    </row>
    <row r="63654" spans="9:9" x14ac:dyDescent="0.2">
      <c r="I63654" s="137" t="s">
        <v>74</v>
      </c>
    </row>
    <row r="63655" spans="9:9" x14ac:dyDescent="0.2">
      <c r="I63655" s="137" t="s">
        <v>74</v>
      </c>
    </row>
    <row r="63656" spans="9:9" x14ac:dyDescent="0.2">
      <c r="I63656" s="137" t="s">
        <v>74</v>
      </c>
    </row>
    <row r="63657" spans="9:9" x14ac:dyDescent="0.2">
      <c r="I63657" s="137" t="s">
        <v>74</v>
      </c>
    </row>
    <row r="63658" spans="9:9" x14ac:dyDescent="0.2">
      <c r="I63658" s="137" t="s">
        <v>74</v>
      </c>
    </row>
    <row r="63659" spans="9:9" x14ac:dyDescent="0.2">
      <c r="I63659" s="137" t="s">
        <v>74</v>
      </c>
    </row>
    <row r="63660" spans="9:9" x14ac:dyDescent="0.2">
      <c r="I63660" s="137" t="s">
        <v>74</v>
      </c>
    </row>
    <row r="63661" spans="9:9" x14ac:dyDescent="0.2">
      <c r="I63661" s="137" t="s">
        <v>74</v>
      </c>
    </row>
    <row r="63662" spans="9:9" x14ac:dyDescent="0.2">
      <c r="I63662" s="137" t="s">
        <v>74</v>
      </c>
    </row>
    <row r="63663" spans="9:9" x14ac:dyDescent="0.2">
      <c r="I63663" s="137" t="s">
        <v>74</v>
      </c>
    </row>
    <row r="63664" spans="9:9" x14ac:dyDescent="0.2">
      <c r="I63664" s="137" t="s">
        <v>74</v>
      </c>
    </row>
    <row r="63665" spans="9:9" x14ac:dyDescent="0.2">
      <c r="I63665" s="137" t="s">
        <v>74</v>
      </c>
    </row>
    <row r="63666" spans="9:9" x14ac:dyDescent="0.2">
      <c r="I63666" s="137" t="s">
        <v>74</v>
      </c>
    </row>
    <row r="63667" spans="9:9" x14ac:dyDescent="0.2">
      <c r="I63667" s="137" t="s">
        <v>74</v>
      </c>
    </row>
    <row r="63668" spans="9:9" x14ac:dyDescent="0.2">
      <c r="I63668" s="137" t="s">
        <v>74</v>
      </c>
    </row>
    <row r="63669" spans="9:9" x14ac:dyDescent="0.2">
      <c r="I63669" s="137" t="s">
        <v>74</v>
      </c>
    </row>
    <row r="63670" spans="9:9" x14ac:dyDescent="0.2">
      <c r="I63670" s="137" t="s">
        <v>74</v>
      </c>
    </row>
    <row r="63671" spans="9:9" x14ac:dyDescent="0.2">
      <c r="I63671" s="137" t="s">
        <v>74</v>
      </c>
    </row>
    <row r="63672" spans="9:9" x14ac:dyDescent="0.2">
      <c r="I63672" s="137" t="s">
        <v>74</v>
      </c>
    </row>
    <row r="63673" spans="9:9" x14ac:dyDescent="0.2">
      <c r="I63673" s="137" t="s">
        <v>74</v>
      </c>
    </row>
    <row r="63674" spans="9:9" x14ac:dyDescent="0.2">
      <c r="I63674" s="137" t="s">
        <v>74</v>
      </c>
    </row>
    <row r="63675" spans="9:9" x14ac:dyDescent="0.2">
      <c r="I63675" s="137" t="s">
        <v>74</v>
      </c>
    </row>
    <row r="63676" spans="9:9" x14ac:dyDescent="0.2">
      <c r="I63676" s="137" t="s">
        <v>74</v>
      </c>
    </row>
    <row r="63677" spans="9:9" x14ac:dyDescent="0.2">
      <c r="I63677" s="137" t="s">
        <v>74</v>
      </c>
    </row>
    <row r="63678" spans="9:9" x14ac:dyDescent="0.2">
      <c r="I63678" s="137" t="s">
        <v>74</v>
      </c>
    </row>
    <row r="63679" spans="9:9" x14ac:dyDescent="0.2">
      <c r="I63679" s="137" t="s">
        <v>74</v>
      </c>
    </row>
    <row r="63680" spans="9:9" x14ac:dyDescent="0.2">
      <c r="I63680" s="137" t="s">
        <v>74</v>
      </c>
    </row>
    <row r="63681" spans="9:9" x14ac:dyDescent="0.2">
      <c r="I63681" s="137" t="s">
        <v>74</v>
      </c>
    </row>
    <row r="63682" spans="9:9" x14ac:dyDescent="0.2">
      <c r="I63682" s="137" t="s">
        <v>74</v>
      </c>
    </row>
    <row r="63683" spans="9:9" x14ac:dyDescent="0.2">
      <c r="I63683" s="137" t="s">
        <v>74</v>
      </c>
    </row>
    <row r="63684" spans="9:9" x14ac:dyDescent="0.2">
      <c r="I63684" s="137" t="s">
        <v>74</v>
      </c>
    </row>
    <row r="63685" spans="9:9" x14ac:dyDescent="0.2">
      <c r="I63685" s="137" t="s">
        <v>74</v>
      </c>
    </row>
    <row r="63686" spans="9:9" x14ac:dyDescent="0.2">
      <c r="I63686" s="137" t="s">
        <v>74</v>
      </c>
    </row>
    <row r="63687" spans="9:9" x14ac:dyDescent="0.2">
      <c r="I63687" s="137" t="s">
        <v>74</v>
      </c>
    </row>
    <row r="63688" spans="9:9" x14ac:dyDescent="0.2">
      <c r="I63688" s="137" t="s">
        <v>74</v>
      </c>
    </row>
    <row r="63689" spans="9:9" x14ac:dyDescent="0.2">
      <c r="I63689" s="137" t="s">
        <v>74</v>
      </c>
    </row>
    <row r="63690" spans="9:9" x14ac:dyDescent="0.2">
      <c r="I63690" s="137" t="s">
        <v>74</v>
      </c>
    </row>
    <row r="63691" spans="9:9" x14ac:dyDescent="0.2">
      <c r="I63691" s="137" t="s">
        <v>74</v>
      </c>
    </row>
    <row r="63692" spans="9:9" x14ac:dyDescent="0.2">
      <c r="I63692" s="137" t="s">
        <v>74</v>
      </c>
    </row>
    <row r="63693" spans="9:9" x14ac:dyDescent="0.2">
      <c r="I63693" s="137" t="s">
        <v>74</v>
      </c>
    </row>
    <row r="63694" spans="9:9" x14ac:dyDescent="0.2">
      <c r="I63694" s="137" t="s">
        <v>74</v>
      </c>
    </row>
    <row r="63695" spans="9:9" x14ac:dyDescent="0.2">
      <c r="I63695" s="137" t="s">
        <v>74</v>
      </c>
    </row>
    <row r="63696" spans="9:9" x14ac:dyDescent="0.2">
      <c r="I63696" s="137" t="s">
        <v>74</v>
      </c>
    </row>
    <row r="63697" spans="9:9" x14ac:dyDescent="0.2">
      <c r="I63697" s="137" t="s">
        <v>74</v>
      </c>
    </row>
    <row r="63698" spans="9:9" x14ac:dyDescent="0.2">
      <c r="I63698" s="137" t="s">
        <v>74</v>
      </c>
    </row>
    <row r="63699" spans="9:9" x14ac:dyDescent="0.2">
      <c r="I63699" s="137" t="s">
        <v>74</v>
      </c>
    </row>
    <row r="63700" spans="9:9" x14ac:dyDescent="0.2">
      <c r="I63700" s="137" t="s">
        <v>74</v>
      </c>
    </row>
    <row r="63701" spans="9:9" x14ac:dyDescent="0.2">
      <c r="I63701" s="137" t="s">
        <v>74</v>
      </c>
    </row>
    <row r="63702" spans="9:9" x14ac:dyDescent="0.2">
      <c r="I63702" s="137" t="s">
        <v>74</v>
      </c>
    </row>
    <row r="63703" spans="9:9" x14ac:dyDescent="0.2">
      <c r="I63703" s="137" t="s">
        <v>74</v>
      </c>
    </row>
    <row r="63704" spans="9:9" x14ac:dyDescent="0.2">
      <c r="I63704" s="137" t="s">
        <v>74</v>
      </c>
    </row>
    <row r="63705" spans="9:9" x14ac:dyDescent="0.2">
      <c r="I63705" s="137" t="s">
        <v>74</v>
      </c>
    </row>
    <row r="63706" spans="9:9" x14ac:dyDescent="0.2">
      <c r="I63706" s="137" t="s">
        <v>74</v>
      </c>
    </row>
    <row r="63707" spans="9:9" x14ac:dyDescent="0.2">
      <c r="I63707" s="137" t="s">
        <v>74</v>
      </c>
    </row>
    <row r="63708" spans="9:9" x14ac:dyDescent="0.2">
      <c r="I63708" s="137" t="s">
        <v>74</v>
      </c>
    </row>
    <row r="63709" spans="9:9" x14ac:dyDescent="0.2">
      <c r="I63709" s="137" t="s">
        <v>74</v>
      </c>
    </row>
    <row r="63710" spans="9:9" x14ac:dyDescent="0.2">
      <c r="I63710" s="137" t="s">
        <v>74</v>
      </c>
    </row>
    <row r="63711" spans="9:9" x14ac:dyDescent="0.2">
      <c r="I63711" s="137" t="s">
        <v>74</v>
      </c>
    </row>
    <row r="63712" spans="9:9" x14ac:dyDescent="0.2">
      <c r="I63712" s="137" t="s">
        <v>74</v>
      </c>
    </row>
    <row r="63713" spans="9:9" x14ac:dyDescent="0.2">
      <c r="I63713" s="137" t="s">
        <v>74</v>
      </c>
    </row>
    <row r="63714" spans="9:9" x14ac:dyDescent="0.2">
      <c r="I63714" s="137" t="s">
        <v>74</v>
      </c>
    </row>
    <row r="63715" spans="9:9" x14ac:dyDescent="0.2">
      <c r="I63715" s="137" t="s">
        <v>74</v>
      </c>
    </row>
    <row r="63716" spans="9:9" x14ac:dyDescent="0.2">
      <c r="I63716" s="137" t="s">
        <v>74</v>
      </c>
    </row>
    <row r="63717" spans="9:9" x14ac:dyDescent="0.2">
      <c r="I63717" s="137" t="s">
        <v>74</v>
      </c>
    </row>
    <row r="63718" spans="9:9" x14ac:dyDescent="0.2">
      <c r="I63718" s="137" t="s">
        <v>74</v>
      </c>
    </row>
    <row r="63719" spans="9:9" x14ac:dyDescent="0.2">
      <c r="I63719" s="137" t="s">
        <v>74</v>
      </c>
    </row>
    <row r="63720" spans="9:9" x14ac:dyDescent="0.2">
      <c r="I63720" s="137" t="s">
        <v>74</v>
      </c>
    </row>
    <row r="63721" spans="9:9" x14ac:dyDescent="0.2">
      <c r="I63721" s="137" t="s">
        <v>74</v>
      </c>
    </row>
    <row r="63722" spans="9:9" x14ac:dyDescent="0.2">
      <c r="I63722" s="137" t="s">
        <v>74</v>
      </c>
    </row>
    <row r="63723" spans="9:9" x14ac:dyDescent="0.2">
      <c r="I63723" s="137" t="s">
        <v>74</v>
      </c>
    </row>
    <row r="63724" spans="9:9" x14ac:dyDescent="0.2">
      <c r="I63724" s="137" t="s">
        <v>74</v>
      </c>
    </row>
    <row r="63725" spans="9:9" x14ac:dyDescent="0.2">
      <c r="I63725" s="137" t="s">
        <v>74</v>
      </c>
    </row>
    <row r="63726" spans="9:9" x14ac:dyDescent="0.2">
      <c r="I63726" s="137" t="s">
        <v>74</v>
      </c>
    </row>
    <row r="63727" spans="9:9" x14ac:dyDescent="0.2">
      <c r="I63727" s="137" t="s">
        <v>74</v>
      </c>
    </row>
    <row r="63728" spans="9:9" x14ac:dyDescent="0.2">
      <c r="I63728" s="137" t="s">
        <v>74</v>
      </c>
    </row>
    <row r="63729" spans="9:9" x14ac:dyDescent="0.2">
      <c r="I63729" s="137" t="s">
        <v>74</v>
      </c>
    </row>
    <row r="63730" spans="9:9" x14ac:dyDescent="0.2">
      <c r="I63730" s="137" t="s">
        <v>74</v>
      </c>
    </row>
    <row r="63731" spans="9:9" x14ac:dyDescent="0.2">
      <c r="I63731" s="137" t="s">
        <v>74</v>
      </c>
    </row>
    <row r="63732" spans="9:9" x14ac:dyDescent="0.2">
      <c r="I63732" s="137" t="s">
        <v>74</v>
      </c>
    </row>
    <row r="63733" spans="9:9" x14ac:dyDescent="0.2">
      <c r="I63733" s="137" t="s">
        <v>74</v>
      </c>
    </row>
    <row r="63734" spans="9:9" x14ac:dyDescent="0.2">
      <c r="I63734" s="137" t="s">
        <v>74</v>
      </c>
    </row>
    <row r="63735" spans="9:9" x14ac:dyDescent="0.2">
      <c r="I63735" s="137" t="s">
        <v>74</v>
      </c>
    </row>
    <row r="63736" spans="9:9" x14ac:dyDescent="0.2">
      <c r="I63736" s="137" t="s">
        <v>74</v>
      </c>
    </row>
    <row r="63737" spans="9:9" x14ac:dyDescent="0.2">
      <c r="I63737" s="137" t="s">
        <v>74</v>
      </c>
    </row>
    <row r="63738" spans="9:9" x14ac:dyDescent="0.2">
      <c r="I63738" s="137" t="s">
        <v>74</v>
      </c>
    </row>
    <row r="63739" spans="9:9" x14ac:dyDescent="0.2">
      <c r="I63739" s="137" t="s">
        <v>74</v>
      </c>
    </row>
    <row r="63740" spans="9:9" x14ac:dyDescent="0.2">
      <c r="I63740" s="137" t="s">
        <v>74</v>
      </c>
    </row>
    <row r="63741" spans="9:9" x14ac:dyDescent="0.2">
      <c r="I63741" s="137" t="s">
        <v>74</v>
      </c>
    </row>
    <row r="63742" spans="9:9" x14ac:dyDescent="0.2">
      <c r="I63742" s="137" t="s">
        <v>74</v>
      </c>
    </row>
    <row r="63743" spans="9:9" x14ac:dyDescent="0.2">
      <c r="I63743" s="137" t="s">
        <v>74</v>
      </c>
    </row>
    <row r="63744" spans="9:9" x14ac:dyDescent="0.2">
      <c r="I63744" s="137" t="s">
        <v>74</v>
      </c>
    </row>
    <row r="63745" spans="9:9" x14ac:dyDescent="0.2">
      <c r="I63745" s="137" t="s">
        <v>74</v>
      </c>
    </row>
    <row r="63746" spans="9:9" x14ac:dyDescent="0.2">
      <c r="I63746" s="137" t="s">
        <v>74</v>
      </c>
    </row>
    <row r="63747" spans="9:9" x14ac:dyDescent="0.2">
      <c r="I63747" s="137" t="s">
        <v>74</v>
      </c>
    </row>
    <row r="63748" spans="9:9" x14ac:dyDescent="0.2">
      <c r="I63748" s="137" t="s">
        <v>74</v>
      </c>
    </row>
    <row r="63749" spans="9:9" x14ac:dyDescent="0.2">
      <c r="I63749" s="137" t="s">
        <v>74</v>
      </c>
    </row>
    <row r="63750" spans="9:9" x14ac:dyDescent="0.2">
      <c r="I63750" s="137" t="s">
        <v>74</v>
      </c>
    </row>
    <row r="63751" spans="9:9" x14ac:dyDescent="0.2">
      <c r="I63751" s="137" t="s">
        <v>74</v>
      </c>
    </row>
    <row r="63752" spans="9:9" x14ac:dyDescent="0.2">
      <c r="I63752" s="137" t="s">
        <v>74</v>
      </c>
    </row>
    <row r="63753" spans="9:9" x14ac:dyDescent="0.2">
      <c r="I63753" s="137" t="s">
        <v>74</v>
      </c>
    </row>
    <row r="63754" spans="9:9" x14ac:dyDescent="0.2">
      <c r="I63754" s="137" t="s">
        <v>74</v>
      </c>
    </row>
    <row r="63755" spans="9:9" x14ac:dyDescent="0.2">
      <c r="I63755" s="137" t="s">
        <v>74</v>
      </c>
    </row>
    <row r="63756" spans="9:9" x14ac:dyDescent="0.2">
      <c r="I63756" s="137" t="s">
        <v>74</v>
      </c>
    </row>
    <row r="63757" spans="9:9" x14ac:dyDescent="0.2">
      <c r="I63757" s="137" t="s">
        <v>74</v>
      </c>
    </row>
    <row r="63758" spans="9:9" x14ac:dyDescent="0.2">
      <c r="I63758" s="137" t="s">
        <v>74</v>
      </c>
    </row>
    <row r="63759" spans="9:9" x14ac:dyDescent="0.2">
      <c r="I63759" s="137" t="s">
        <v>74</v>
      </c>
    </row>
    <row r="63760" spans="9:9" x14ac:dyDescent="0.2">
      <c r="I63760" s="137" t="s">
        <v>74</v>
      </c>
    </row>
    <row r="63761" spans="9:9" x14ac:dyDescent="0.2">
      <c r="I63761" s="137" t="s">
        <v>74</v>
      </c>
    </row>
    <row r="63762" spans="9:9" x14ac:dyDescent="0.2">
      <c r="I63762" s="137" t="s">
        <v>74</v>
      </c>
    </row>
    <row r="63763" spans="9:9" x14ac:dyDescent="0.2">
      <c r="I63763" s="137" t="s">
        <v>74</v>
      </c>
    </row>
    <row r="63764" spans="9:9" x14ac:dyDescent="0.2">
      <c r="I63764" s="137" t="s">
        <v>74</v>
      </c>
    </row>
    <row r="63765" spans="9:9" x14ac:dyDescent="0.2">
      <c r="I63765" s="137" t="s">
        <v>74</v>
      </c>
    </row>
    <row r="63766" spans="9:9" x14ac:dyDescent="0.2">
      <c r="I63766" s="137" t="s">
        <v>74</v>
      </c>
    </row>
    <row r="63767" spans="9:9" x14ac:dyDescent="0.2">
      <c r="I63767" s="137" t="s">
        <v>74</v>
      </c>
    </row>
    <row r="63768" spans="9:9" x14ac:dyDescent="0.2">
      <c r="I63768" s="137" t="s">
        <v>74</v>
      </c>
    </row>
    <row r="63769" spans="9:9" x14ac:dyDescent="0.2">
      <c r="I63769" s="137" t="s">
        <v>74</v>
      </c>
    </row>
    <row r="63770" spans="9:9" x14ac:dyDescent="0.2">
      <c r="I63770" s="137" t="s">
        <v>74</v>
      </c>
    </row>
    <row r="63771" spans="9:9" x14ac:dyDescent="0.2">
      <c r="I63771" s="137" t="s">
        <v>74</v>
      </c>
    </row>
    <row r="63772" spans="9:9" x14ac:dyDescent="0.2">
      <c r="I63772" s="137" t="s">
        <v>74</v>
      </c>
    </row>
    <row r="63773" spans="9:9" x14ac:dyDescent="0.2">
      <c r="I63773" s="137" t="s">
        <v>74</v>
      </c>
    </row>
    <row r="63774" spans="9:9" x14ac:dyDescent="0.2">
      <c r="I63774" s="137" t="s">
        <v>74</v>
      </c>
    </row>
    <row r="63775" spans="9:9" x14ac:dyDescent="0.2">
      <c r="I63775" s="137" t="s">
        <v>74</v>
      </c>
    </row>
    <row r="63776" spans="9:9" x14ac:dyDescent="0.2">
      <c r="I63776" s="137" t="s">
        <v>74</v>
      </c>
    </row>
    <row r="63777" spans="9:9" x14ac:dyDescent="0.2">
      <c r="I63777" s="137" t="s">
        <v>74</v>
      </c>
    </row>
    <row r="63778" spans="9:9" x14ac:dyDescent="0.2">
      <c r="I63778" s="137" t="s">
        <v>74</v>
      </c>
    </row>
    <row r="63779" spans="9:9" x14ac:dyDescent="0.2">
      <c r="I63779" s="137" t="s">
        <v>74</v>
      </c>
    </row>
    <row r="63780" spans="9:9" x14ac:dyDescent="0.2">
      <c r="I63780" s="137" t="s">
        <v>74</v>
      </c>
    </row>
    <row r="63781" spans="9:9" x14ac:dyDescent="0.2">
      <c r="I63781" s="137" t="s">
        <v>74</v>
      </c>
    </row>
    <row r="63782" spans="9:9" x14ac:dyDescent="0.2">
      <c r="I63782" s="137" t="s">
        <v>74</v>
      </c>
    </row>
    <row r="63783" spans="9:9" x14ac:dyDescent="0.2">
      <c r="I63783" s="137" t="s">
        <v>74</v>
      </c>
    </row>
    <row r="63784" spans="9:9" x14ac:dyDescent="0.2">
      <c r="I63784" s="137" t="s">
        <v>74</v>
      </c>
    </row>
    <row r="63785" spans="9:9" x14ac:dyDescent="0.2">
      <c r="I63785" s="137" t="s">
        <v>74</v>
      </c>
    </row>
    <row r="63786" spans="9:9" x14ac:dyDescent="0.2">
      <c r="I63786" s="137" t="s">
        <v>74</v>
      </c>
    </row>
    <row r="63787" spans="9:9" x14ac:dyDescent="0.2">
      <c r="I63787" s="137" t="s">
        <v>74</v>
      </c>
    </row>
    <row r="63788" spans="9:9" x14ac:dyDescent="0.2">
      <c r="I63788" s="137" t="s">
        <v>74</v>
      </c>
    </row>
    <row r="63789" spans="9:9" x14ac:dyDescent="0.2">
      <c r="I63789" s="137" t="s">
        <v>74</v>
      </c>
    </row>
    <row r="63790" spans="9:9" x14ac:dyDescent="0.2">
      <c r="I63790" s="137" t="s">
        <v>74</v>
      </c>
    </row>
    <row r="63791" spans="9:9" x14ac:dyDescent="0.2">
      <c r="I63791" s="137" t="s">
        <v>74</v>
      </c>
    </row>
    <row r="63792" spans="9:9" x14ac:dyDescent="0.2">
      <c r="I63792" s="137" t="s">
        <v>74</v>
      </c>
    </row>
    <row r="63793" spans="9:9" x14ac:dyDescent="0.2">
      <c r="I63793" s="137" t="s">
        <v>74</v>
      </c>
    </row>
    <row r="63794" spans="9:9" x14ac:dyDescent="0.2">
      <c r="I63794" s="137" t="s">
        <v>74</v>
      </c>
    </row>
    <row r="63795" spans="9:9" x14ac:dyDescent="0.2">
      <c r="I63795" s="137" t="s">
        <v>74</v>
      </c>
    </row>
    <row r="63796" spans="9:9" x14ac:dyDescent="0.2">
      <c r="I63796" s="137" t="s">
        <v>74</v>
      </c>
    </row>
    <row r="63797" spans="9:9" x14ac:dyDescent="0.2">
      <c r="I63797" s="137" t="s">
        <v>74</v>
      </c>
    </row>
    <row r="63798" spans="9:9" x14ac:dyDescent="0.2">
      <c r="I63798" s="137" t="s">
        <v>74</v>
      </c>
    </row>
    <row r="63799" spans="9:9" x14ac:dyDescent="0.2">
      <c r="I63799" s="137" t="s">
        <v>74</v>
      </c>
    </row>
    <row r="63800" spans="9:9" x14ac:dyDescent="0.2">
      <c r="I63800" s="137" t="s">
        <v>74</v>
      </c>
    </row>
    <row r="63801" spans="9:9" x14ac:dyDescent="0.2">
      <c r="I63801" s="137" t="s">
        <v>74</v>
      </c>
    </row>
    <row r="63802" spans="9:9" x14ac:dyDescent="0.2">
      <c r="I63802" s="137" t="s">
        <v>74</v>
      </c>
    </row>
    <row r="63803" spans="9:9" x14ac:dyDescent="0.2">
      <c r="I63803" s="137" t="s">
        <v>74</v>
      </c>
    </row>
    <row r="63804" spans="9:9" x14ac:dyDescent="0.2">
      <c r="I63804" s="137" t="s">
        <v>74</v>
      </c>
    </row>
    <row r="63805" spans="9:9" x14ac:dyDescent="0.2">
      <c r="I63805" s="137" t="s">
        <v>74</v>
      </c>
    </row>
    <row r="63806" spans="9:9" x14ac:dyDescent="0.2">
      <c r="I63806" s="137" t="s">
        <v>74</v>
      </c>
    </row>
    <row r="63807" spans="9:9" x14ac:dyDescent="0.2">
      <c r="I63807" s="137" t="s">
        <v>74</v>
      </c>
    </row>
    <row r="63808" spans="9:9" x14ac:dyDescent="0.2">
      <c r="I63808" s="137" t="s">
        <v>74</v>
      </c>
    </row>
    <row r="63809" spans="9:9" x14ac:dyDescent="0.2">
      <c r="I63809" s="137" t="s">
        <v>74</v>
      </c>
    </row>
    <row r="63810" spans="9:9" x14ac:dyDescent="0.2">
      <c r="I63810" s="137" t="s">
        <v>74</v>
      </c>
    </row>
    <row r="63811" spans="9:9" x14ac:dyDescent="0.2">
      <c r="I63811" s="137" t="s">
        <v>74</v>
      </c>
    </row>
    <row r="63812" spans="9:9" x14ac:dyDescent="0.2">
      <c r="I63812" s="137" t="s">
        <v>74</v>
      </c>
    </row>
    <row r="63813" spans="9:9" x14ac:dyDescent="0.2">
      <c r="I63813" s="137" t="s">
        <v>74</v>
      </c>
    </row>
    <row r="63814" spans="9:9" x14ac:dyDescent="0.2">
      <c r="I63814" s="137" t="s">
        <v>74</v>
      </c>
    </row>
    <row r="63815" spans="9:9" x14ac:dyDescent="0.2">
      <c r="I63815" s="137" t="s">
        <v>74</v>
      </c>
    </row>
    <row r="63816" spans="9:9" x14ac:dyDescent="0.2">
      <c r="I63816" s="137" t="s">
        <v>74</v>
      </c>
    </row>
    <row r="63817" spans="9:9" x14ac:dyDescent="0.2">
      <c r="I63817" s="137" t="s">
        <v>74</v>
      </c>
    </row>
    <row r="63818" spans="9:9" x14ac:dyDescent="0.2">
      <c r="I63818" s="137" t="s">
        <v>74</v>
      </c>
    </row>
    <row r="63819" spans="9:9" x14ac:dyDescent="0.2">
      <c r="I63819" s="137" t="s">
        <v>74</v>
      </c>
    </row>
    <row r="63820" spans="9:9" x14ac:dyDescent="0.2">
      <c r="I63820" s="137" t="s">
        <v>74</v>
      </c>
    </row>
    <row r="63821" spans="9:9" x14ac:dyDescent="0.2">
      <c r="I63821" s="137" t="s">
        <v>74</v>
      </c>
    </row>
    <row r="63822" spans="9:9" x14ac:dyDescent="0.2">
      <c r="I63822" s="137" t="s">
        <v>74</v>
      </c>
    </row>
    <row r="63823" spans="9:9" x14ac:dyDescent="0.2">
      <c r="I63823" s="137" t="s">
        <v>74</v>
      </c>
    </row>
    <row r="63824" spans="9:9" x14ac:dyDescent="0.2">
      <c r="I63824" s="137" t="s">
        <v>74</v>
      </c>
    </row>
    <row r="63825" spans="9:9" x14ac:dyDescent="0.2">
      <c r="I63825" s="137" t="s">
        <v>74</v>
      </c>
    </row>
    <row r="63826" spans="9:9" x14ac:dyDescent="0.2">
      <c r="I63826" s="137" t="s">
        <v>74</v>
      </c>
    </row>
    <row r="63827" spans="9:9" x14ac:dyDescent="0.2">
      <c r="I63827" s="137" t="s">
        <v>74</v>
      </c>
    </row>
    <row r="63828" spans="9:9" x14ac:dyDescent="0.2">
      <c r="I63828" s="137" t="s">
        <v>74</v>
      </c>
    </row>
    <row r="63829" spans="9:9" x14ac:dyDescent="0.2">
      <c r="I63829" s="137" t="s">
        <v>74</v>
      </c>
    </row>
    <row r="63830" spans="9:9" x14ac:dyDescent="0.2">
      <c r="I63830" s="137" t="s">
        <v>74</v>
      </c>
    </row>
    <row r="63831" spans="9:9" x14ac:dyDescent="0.2">
      <c r="I63831" s="137" t="s">
        <v>74</v>
      </c>
    </row>
    <row r="63832" spans="9:9" x14ac:dyDescent="0.2">
      <c r="I63832" s="137" t="s">
        <v>74</v>
      </c>
    </row>
    <row r="63833" spans="9:9" x14ac:dyDescent="0.2">
      <c r="I63833" s="137" t="s">
        <v>74</v>
      </c>
    </row>
    <row r="63834" spans="9:9" x14ac:dyDescent="0.2">
      <c r="I63834" s="137" t="s">
        <v>74</v>
      </c>
    </row>
    <row r="63835" spans="9:9" x14ac:dyDescent="0.2">
      <c r="I63835" s="137" t="s">
        <v>74</v>
      </c>
    </row>
    <row r="63836" spans="9:9" x14ac:dyDescent="0.2">
      <c r="I63836" s="137" t="s">
        <v>74</v>
      </c>
    </row>
    <row r="63837" spans="9:9" x14ac:dyDescent="0.2">
      <c r="I63837" s="137" t="s">
        <v>74</v>
      </c>
    </row>
    <row r="63838" spans="9:9" x14ac:dyDescent="0.2">
      <c r="I63838" s="137" t="s">
        <v>74</v>
      </c>
    </row>
    <row r="63839" spans="9:9" x14ac:dyDescent="0.2">
      <c r="I63839" s="137" t="s">
        <v>74</v>
      </c>
    </row>
    <row r="63840" spans="9:9" x14ac:dyDescent="0.2">
      <c r="I63840" s="137" t="s">
        <v>74</v>
      </c>
    </row>
    <row r="63841" spans="9:9" x14ac:dyDescent="0.2">
      <c r="I63841" s="137" t="s">
        <v>74</v>
      </c>
    </row>
    <row r="63842" spans="9:9" x14ac:dyDescent="0.2">
      <c r="I63842" s="137" t="s">
        <v>74</v>
      </c>
    </row>
    <row r="63843" spans="9:9" x14ac:dyDescent="0.2">
      <c r="I63843" s="137" t="s">
        <v>74</v>
      </c>
    </row>
    <row r="63844" spans="9:9" x14ac:dyDescent="0.2">
      <c r="I63844" s="137" t="s">
        <v>74</v>
      </c>
    </row>
    <row r="63845" spans="9:9" x14ac:dyDescent="0.2">
      <c r="I63845" s="137" t="s">
        <v>74</v>
      </c>
    </row>
    <row r="63846" spans="9:9" x14ac:dyDescent="0.2">
      <c r="I63846" s="137" t="s">
        <v>74</v>
      </c>
    </row>
    <row r="63847" spans="9:9" x14ac:dyDescent="0.2">
      <c r="I63847" s="137" t="s">
        <v>74</v>
      </c>
    </row>
    <row r="63848" spans="9:9" x14ac:dyDescent="0.2">
      <c r="I63848" s="137" t="s">
        <v>74</v>
      </c>
    </row>
    <row r="63849" spans="9:9" x14ac:dyDescent="0.2">
      <c r="I63849" s="137" t="s">
        <v>74</v>
      </c>
    </row>
    <row r="63850" spans="9:9" x14ac:dyDescent="0.2">
      <c r="I63850" s="137" t="s">
        <v>74</v>
      </c>
    </row>
    <row r="63851" spans="9:9" x14ac:dyDescent="0.2">
      <c r="I63851" s="137" t="s">
        <v>74</v>
      </c>
    </row>
    <row r="63852" spans="9:9" x14ac:dyDescent="0.2">
      <c r="I63852" s="137" t="s">
        <v>74</v>
      </c>
    </row>
    <row r="63853" spans="9:9" x14ac:dyDescent="0.2">
      <c r="I63853" s="137" t="s">
        <v>74</v>
      </c>
    </row>
    <row r="63854" spans="9:9" x14ac:dyDescent="0.2">
      <c r="I63854" s="137" t="s">
        <v>74</v>
      </c>
    </row>
    <row r="63855" spans="9:9" x14ac:dyDescent="0.2">
      <c r="I63855" s="137" t="s">
        <v>74</v>
      </c>
    </row>
    <row r="63856" spans="9:9" x14ac:dyDescent="0.2">
      <c r="I63856" s="137" t="s">
        <v>74</v>
      </c>
    </row>
    <row r="63857" spans="9:9" x14ac:dyDescent="0.2">
      <c r="I63857" s="137" t="s">
        <v>74</v>
      </c>
    </row>
    <row r="63858" spans="9:9" x14ac:dyDescent="0.2">
      <c r="I63858" s="137" t="s">
        <v>74</v>
      </c>
    </row>
    <row r="63859" spans="9:9" x14ac:dyDescent="0.2">
      <c r="I63859" s="137" t="s">
        <v>74</v>
      </c>
    </row>
    <row r="63860" spans="9:9" x14ac:dyDescent="0.2">
      <c r="I63860" s="137" t="s">
        <v>74</v>
      </c>
    </row>
    <row r="63861" spans="9:9" x14ac:dyDescent="0.2">
      <c r="I63861" s="137" t="s">
        <v>74</v>
      </c>
    </row>
    <row r="63862" spans="9:9" x14ac:dyDescent="0.2">
      <c r="I63862" s="137" t="s">
        <v>74</v>
      </c>
    </row>
    <row r="63863" spans="9:9" x14ac:dyDescent="0.2">
      <c r="I63863" s="137" t="s">
        <v>74</v>
      </c>
    </row>
    <row r="63864" spans="9:9" x14ac:dyDescent="0.2">
      <c r="I63864" s="137" t="s">
        <v>74</v>
      </c>
    </row>
    <row r="63865" spans="9:9" x14ac:dyDescent="0.2">
      <c r="I63865" s="137" t="s">
        <v>74</v>
      </c>
    </row>
    <row r="63866" spans="9:9" x14ac:dyDescent="0.2">
      <c r="I63866" s="137" t="s">
        <v>74</v>
      </c>
    </row>
    <row r="63867" spans="9:9" x14ac:dyDescent="0.2">
      <c r="I63867" s="137" t="s">
        <v>74</v>
      </c>
    </row>
    <row r="63868" spans="9:9" x14ac:dyDescent="0.2">
      <c r="I63868" s="137" t="s">
        <v>74</v>
      </c>
    </row>
    <row r="63869" spans="9:9" x14ac:dyDescent="0.2">
      <c r="I63869" s="137" t="s">
        <v>74</v>
      </c>
    </row>
    <row r="63870" spans="9:9" x14ac:dyDescent="0.2">
      <c r="I63870" s="137" t="s">
        <v>74</v>
      </c>
    </row>
    <row r="63871" spans="9:9" x14ac:dyDescent="0.2">
      <c r="I63871" s="137" t="s">
        <v>74</v>
      </c>
    </row>
    <row r="63872" spans="9:9" x14ac:dyDescent="0.2">
      <c r="I63872" s="137" t="s">
        <v>74</v>
      </c>
    </row>
    <row r="63873" spans="9:9" x14ac:dyDescent="0.2">
      <c r="I63873" s="137" t="s">
        <v>74</v>
      </c>
    </row>
    <row r="63874" spans="9:9" x14ac:dyDescent="0.2">
      <c r="I63874" s="137" t="s">
        <v>74</v>
      </c>
    </row>
    <row r="63875" spans="9:9" x14ac:dyDescent="0.2">
      <c r="I63875" s="137" t="s">
        <v>74</v>
      </c>
    </row>
    <row r="63876" spans="9:9" x14ac:dyDescent="0.2">
      <c r="I63876" s="137" t="s">
        <v>74</v>
      </c>
    </row>
    <row r="63877" spans="9:9" x14ac:dyDescent="0.2">
      <c r="I63877" s="137" t="s">
        <v>74</v>
      </c>
    </row>
    <row r="63878" spans="9:9" x14ac:dyDescent="0.2">
      <c r="I63878" s="137" t="s">
        <v>74</v>
      </c>
    </row>
    <row r="63879" spans="9:9" x14ac:dyDescent="0.2">
      <c r="I63879" s="137" t="s">
        <v>74</v>
      </c>
    </row>
    <row r="63880" spans="9:9" x14ac:dyDescent="0.2">
      <c r="I63880" s="137" t="s">
        <v>74</v>
      </c>
    </row>
    <row r="63881" spans="9:9" x14ac:dyDescent="0.2">
      <c r="I63881" s="137" t="s">
        <v>74</v>
      </c>
    </row>
    <row r="63882" spans="9:9" x14ac:dyDescent="0.2">
      <c r="I63882" s="137" t="s">
        <v>74</v>
      </c>
    </row>
    <row r="63883" spans="9:9" x14ac:dyDescent="0.2">
      <c r="I63883" s="137" t="s">
        <v>74</v>
      </c>
    </row>
    <row r="63884" spans="9:9" x14ac:dyDescent="0.2">
      <c r="I63884" s="137" t="s">
        <v>74</v>
      </c>
    </row>
    <row r="63885" spans="9:9" x14ac:dyDescent="0.2">
      <c r="I63885" s="137" t="s">
        <v>74</v>
      </c>
    </row>
    <row r="63886" spans="9:9" x14ac:dyDescent="0.2">
      <c r="I63886" s="137" t="s">
        <v>74</v>
      </c>
    </row>
    <row r="63887" spans="9:9" x14ac:dyDescent="0.2">
      <c r="I63887" s="137" t="s">
        <v>74</v>
      </c>
    </row>
    <row r="63888" spans="9:9" x14ac:dyDescent="0.2">
      <c r="I63888" s="137" t="s">
        <v>74</v>
      </c>
    </row>
    <row r="63889" spans="9:9" x14ac:dyDescent="0.2">
      <c r="I63889" s="137" t="s">
        <v>74</v>
      </c>
    </row>
    <row r="63890" spans="9:9" x14ac:dyDescent="0.2">
      <c r="I63890" s="137" t="s">
        <v>74</v>
      </c>
    </row>
    <row r="63891" spans="9:9" x14ac:dyDescent="0.2">
      <c r="I63891" s="137" t="s">
        <v>74</v>
      </c>
    </row>
    <row r="63892" spans="9:9" x14ac:dyDescent="0.2">
      <c r="I63892" s="137" t="s">
        <v>74</v>
      </c>
    </row>
    <row r="63893" spans="9:9" x14ac:dyDescent="0.2">
      <c r="I63893" s="137" t="s">
        <v>74</v>
      </c>
    </row>
    <row r="63894" spans="9:9" x14ac:dyDescent="0.2">
      <c r="I63894" s="137" t="s">
        <v>74</v>
      </c>
    </row>
    <row r="63895" spans="9:9" x14ac:dyDescent="0.2">
      <c r="I63895" s="137" t="s">
        <v>74</v>
      </c>
    </row>
    <row r="63896" spans="9:9" x14ac:dyDescent="0.2">
      <c r="I63896" s="137" t="s">
        <v>74</v>
      </c>
    </row>
    <row r="63897" spans="9:9" x14ac:dyDescent="0.2">
      <c r="I63897" s="137" t="s">
        <v>74</v>
      </c>
    </row>
    <row r="63898" spans="9:9" x14ac:dyDescent="0.2">
      <c r="I63898" s="137" t="s">
        <v>74</v>
      </c>
    </row>
    <row r="63899" spans="9:9" x14ac:dyDescent="0.2">
      <c r="I63899" s="137" t="s">
        <v>74</v>
      </c>
    </row>
    <row r="63900" spans="9:9" x14ac:dyDescent="0.2">
      <c r="I63900" s="137" t="s">
        <v>74</v>
      </c>
    </row>
    <row r="63901" spans="9:9" x14ac:dyDescent="0.2">
      <c r="I63901" s="137" t="s">
        <v>74</v>
      </c>
    </row>
    <row r="63902" spans="9:9" x14ac:dyDescent="0.2">
      <c r="I63902" s="137" t="s">
        <v>74</v>
      </c>
    </row>
    <row r="63903" spans="9:9" x14ac:dyDescent="0.2">
      <c r="I63903" s="137" t="s">
        <v>74</v>
      </c>
    </row>
    <row r="63904" spans="9:9" x14ac:dyDescent="0.2">
      <c r="I63904" s="137" t="s">
        <v>74</v>
      </c>
    </row>
    <row r="63905" spans="9:9" x14ac:dyDescent="0.2">
      <c r="I63905" s="137" t="s">
        <v>74</v>
      </c>
    </row>
    <row r="63906" spans="9:9" x14ac:dyDescent="0.2">
      <c r="I63906" s="137" t="s">
        <v>74</v>
      </c>
    </row>
    <row r="63907" spans="9:9" x14ac:dyDescent="0.2">
      <c r="I63907" s="137" t="s">
        <v>74</v>
      </c>
    </row>
    <row r="63908" spans="9:9" x14ac:dyDescent="0.2">
      <c r="I63908" s="137" t="s">
        <v>74</v>
      </c>
    </row>
    <row r="63909" spans="9:9" x14ac:dyDescent="0.2">
      <c r="I63909" s="137" t="s">
        <v>74</v>
      </c>
    </row>
    <row r="63910" spans="9:9" x14ac:dyDescent="0.2">
      <c r="I63910" s="137" t="s">
        <v>74</v>
      </c>
    </row>
    <row r="63911" spans="9:9" x14ac:dyDescent="0.2">
      <c r="I63911" s="137" t="s">
        <v>74</v>
      </c>
    </row>
    <row r="63912" spans="9:9" x14ac:dyDescent="0.2">
      <c r="I63912" s="137" t="s">
        <v>74</v>
      </c>
    </row>
    <row r="63913" spans="9:9" x14ac:dyDescent="0.2">
      <c r="I63913" s="137" t="s">
        <v>74</v>
      </c>
    </row>
    <row r="63914" spans="9:9" x14ac:dyDescent="0.2">
      <c r="I63914" s="137" t="s">
        <v>74</v>
      </c>
    </row>
    <row r="63915" spans="9:9" x14ac:dyDescent="0.2">
      <c r="I63915" s="137" t="s">
        <v>74</v>
      </c>
    </row>
    <row r="63916" spans="9:9" x14ac:dyDescent="0.2">
      <c r="I63916" s="137" t="s">
        <v>74</v>
      </c>
    </row>
    <row r="63917" spans="9:9" x14ac:dyDescent="0.2">
      <c r="I63917" s="137" t="s">
        <v>74</v>
      </c>
    </row>
    <row r="63918" spans="9:9" x14ac:dyDescent="0.2">
      <c r="I63918" s="137" t="s">
        <v>74</v>
      </c>
    </row>
    <row r="63919" spans="9:9" x14ac:dyDescent="0.2">
      <c r="I63919" s="137" t="s">
        <v>74</v>
      </c>
    </row>
    <row r="63920" spans="9:9" x14ac:dyDescent="0.2">
      <c r="I63920" s="137" t="s">
        <v>74</v>
      </c>
    </row>
    <row r="63921" spans="9:9" x14ac:dyDescent="0.2">
      <c r="I63921" s="137" t="s">
        <v>74</v>
      </c>
    </row>
    <row r="63922" spans="9:9" x14ac:dyDescent="0.2">
      <c r="I63922" s="137" t="s">
        <v>74</v>
      </c>
    </row>
    <row r="63923" spans="9:9" x14ac:dyDescent="0.2">
      <c r="I63923" s="137" t="s">
        <v>74</v>
      </c>
    </row>
    <row r="63924" spans="9:9" x14ac:dyDescent="0.2">
      <c r="I63924" s="137" t="s">
        <v>74</v>
      </c>
    </row>
    <row r="63925" spans="9:9" x14ac:dyDescent="0.2">
      <c r="I63925" s="137" t="s">
        <v>74</v>
      </c>
    </row>
    <row r="63926" spans="9:9" x14ac:dyDescent="0.2">
      <c r="I63926" s="137" t="s">
        <v>74</v>
      </c>
    </row>
    <row r="63927" spans="9:9" x14ac:dyDescent="0.2">
      <c r="I63927" s="137" t="s">
        <v>74</v>
      </c>
    </row>
    <row r="63928" spans="9:9" x14ac:dyDescent="0.2">
      <c r="I63928" s="137" t="s">
        <v>74</v>
      </c>
    </row>
    <row r="63929" spans="9:9" x14ac:dyDescent="0.2">
      <c r="I63929" s="137" t="s">
        <v>74</v>
      </c>
    </row>
    <row r="63930" spans="9:9" x14ac:dyDescent="0.2">
      <c r="I63930" s="137" t="s">
        <v>74</v>
      </c>
    </row>
    <row r="63931" spans="9:9" x14ac:dyDescent="0.2">
      <c r="I63931" s="137" t="s">
        <v>74</v>
      </c>
    </row>
    <row r="63932" spans="9:9" x14ac:dyDescent="0.2">
      <c r="I63932" s="137" t="s">
        <v>74</v>
      </c>
    </row>
    <row r="63933" spans="9:9" x14ac:dyDescent="0.2">
      <c r="I63933" s="137" t="s">
        <v>74</v>
      </c>
    </row>
    <row r="63934" spans="9:9" x14ac:dyDescent="0.2">
      <c r="I63934" s="137" t="s">
        <v>74</v>
      </c>
    </row>
    <row r="63935" spans="9:9" x14ac:dyDescent="0.2">
      <c r="I63935" s="137" t="s">
        <v>74</v>
      </c>
    </row>
    <row r="63936" spans="9:9" x14ac:dyDescent="0.2">
      <c r="I63936" s="137" t="s">
        <v>74</v>
      </c>
    </row>
    <row r="63937" spans="9:9" x14ac:dyDescent="0.2">
      <c r="I63937" s="137" t="s">
        <v>74</v>
      </c>
    </row>
    <row r="63938" spans="9:9" x14ac:dyDescent="0.2">
      <c r="I63938" s="137" t="s">
        <v>74</v>
      </c>
    </row>
    <row r="63939" spans="9:9" x14ac:dyDescent="0.2">
      <c r="I63939" s="137" t="s">
        <v>74</v>
      </c>
    </row>
    <row r="63940" spans="9:9" x14ac:dyDescent="0.2">
      <c r="I63940" s="137" t="s">
        <v>74</v>
      </c>
    </row>
    <row r="63941" spans="9:9" x14ac:dyDescent="0.2">
      <c r="I63941" s="137" t="s">
        <v>74</v>
      </c>
    </row>
    <row r="63942" spans="9:9" x14ac:dyDescent="0.2">
      <c r="I63942" s="137" t="s">
        <v>74</v>
      </c>
    </row>
    <row r="63943" spans="9:9" x14ac:dyDescent="0.2">
      <c r="I63943" s="137" t="s">
        <v>74</v>
      </c>
    </row>
    <row r="63944" spans="9:9" x14ac:dyDescent="0.2">
      <c r="I63944" s="137" t="s">
        <v>74</v>
      </c>
    </row>
    <row r="63945" spans="9:9" x14ac:dyDescent="0.2">
      <c r="I63945" s="137" t="s">
        <v>74</v>
      </c>
    </row>
    <row r="63946" spans="9:9" x14ac:dyDescent="0.2">
      <c r="I63946" s="137" t="s">
        <v>74</v>
      </c>
    </row>
    <row r="63947" spans="9:9" x14ac:dyDescent="0.2">
      <c r="I63947" s="137" t="s">
        <v>74</v>
      </c>
    </row>
    <row r="63948" spans="9:9" x14ac:dyDescent="0.2">
      <c r="I63948" s="137" t="s">
        <v>74</v>
      </c>
    </row>
    <row r="63949" spans="9:9" x14ac:dyDescent="0.2">
      <c r="I63949" s="137" t="s">
        <v>74</v>
      </c>
    </row>
    <row r="63950" spans="9:9" x14ac:dyDescent="0.2">
      <c r="I63950" s="137" t="s">
        <v>74</v>
      </c>
    </row>
    <row r="63951" spans="9:9" x14ac:dyDescent="0.2">
      <c r="I63951" s="137" t="s">
        <v>74</v>
      </c>
    </row>
    <row r="63952" spans="9:9" x14ac:dyDescent="0.2">
      <c r="I63952" s="137" t="s">
        <v>74</v>
      </c>
    </row>
    <row r="63953" spans="9:9" x14ac:dyDescent="0.2">
      <c r="I63953" s="137" t="s">
        <v>74</v>
      </c>
    </row>
    <row r="63954" spans="9:9" x14ac:dyDescent="0.2">
      <c r="I63954" s="137" t="s">
        <v>74</v>
      </c>
    </row>
    <row r="63955" spans="9:9" x14ac:dyDescent="0.2">
      <c r="I63955" s="137" t="s">
        <v>74</v>
      </c>
    </row>
    <row r="63956" spans="9:9" x14ac:dyDescent="0.2">
      <c r="I63956" s="137" t="s">
        <v>74</v>
      </c>
    </row>
    <row r="63957" spans="9:9" x14ac:dyDescent="0.2">
      <c r="I63957" s="137" t="s">
        <v>74</v>
      </c>
    </row>
    <row r="63958" spans="9:9" x14ac:dyDescent="0.2">
      <c r="I63958" s="137" t="s">
        <v>74</v>
      </c>
    </row>
    <row r="63959" spans="9:9" x14ac:dyDescent="0.2">
      <c r="I63959" s="137" t="s">
        <v>74</v>
      </c>
    </row>
    <row r="63960" spans="9:9" x14ac:dyDescent="0.2">
      <c r="I63960" s="137" t="s">
        <v>74</v>
      </c>
    </row>
    <row r="63961" spans="9:9" x14ac:dyDescent="0.2">
      <c r="I63961" s="137" t="s">
        <v>74</v>
      </c>
    </row>
    <row r="63962" spans="9:9" x14ac:dyDescent="0.2">
      <c r="I63962" s="137" t="s">
        <v>74</v>
      </c>
    </row>
    <row r="63963" spans="9:9" x14ac:dyDescent="0.2">
      <c r="I63963" s="137" t="s">
        <v>74</v>
      </c>
    </row>
    <row r="63964" spans="9:9" x14ac:dyDescent="0.2">
      <c r="I63964" s="137" t="s">
        <v>74</v>
      </c>
    </row>
    <row r="63965" spans="9:9" x14ac:dyDescent="0.2">
      <c r="I63965" s="137" t="s">
        <v>74</v>
      </c>
    </row>
    <row r="63966" spans="9:9" x14ac:dyDescent="0.2">
      <c r="I63966" s="137" t="s">
        <v>74</v>
      </c>
    </row>
    <row r="63967" spans="9:9" x14ac:dyDescent="0.2">
      <c r="I63967" s="137" t="s">
        <v>74</v>
      </c>
    </row>
    <row r="63968" spans="9:9" x14ac:dyDescent="0.2">
      <c r="I63968" s="137" t="s">
        <v>74</v>
      </c>
    </row>
    <row r="63969" spans="9:9" x14ac:dyDescent="0.2">
      <c r="I63969" s="137" t="s">
        <v>74</v>
      </c>
    </row>
    <row r="63970" spans="9:9" x14ac:dyDescent="0.2">
      <c r="I63970" s="137" t="s">
        <v>74</v>
      </c>
    </row>
    <row r="63971" spans="9:9" x14ac:dyDescent="0.2">
      <c r="I63971" s="137" t="s">
        <v>74</v>
      </c>
    </row>
    <row r="63972" spans="9:9" x14ac:dyDescent="0.2">
      <c r="I63972" s="137" t="s">
        <v>74</v>
      </c>
    </row>
    <row r="63973" spans="9:9" x14ac:dyDescent="0.2">
      <c r="I63973" s="137" t="s">
        <v>74</v>
      </c>
    </row>
    <row r="63974" spans="9:9" x14ac:dyDescent="0.2">
      <c r="I63974" s="137" t="s">
        <v>74</v>
      </c>
    </row>
    <row r="63975" spans="9:9" x14ac:dyDescent="0.2">
      <c r="I63975" s="137" t="s">
        <v>74</v>
      </c>
    </row>
    <row r="63976" spans="9:9" x14ac:dyDescent="0.2">
      <c r="I63976" s="137" t="s">
        <v>74</v>
      </c>
    </row>
    <row r="63977" spans="9:9" x14ac:dyDescent="0.2">
      <c r="I63977" s="137" t="s">
        <v>74</v>
      </c>
    </row>
    <row r="63978" spans="9:9" x14ac:dyDescent="0.2">
      <c r="I63978" s="137" t="s">
        <v>74</v>
      </c>
    </row>
    <row r="63979" spans="9:9" x14ac:dyDescent="0.2">
      <c r="I63979" s="137" t="s">
        <v>74</v>
      </c>
    </row>
    <row r="63980" spans="9:9" x14ac:dyDescent="0.2">
      <c r="I63980" s="137" t="s">
        <v>74</v>
      </c>
    </row>
    <row r="63981" spans="9:9" x14ac:dyDescent="0.2">
      <c r="I63981" s="137" t="s">
        <v>74</v>
      </c>
    </row>
    <row r="63982" spans="9:9" x14ac:dyDescent="0.2">
      <c r="I63982" s="137" t="s">
        <v>74</v>
      </c>
    </row>
    <row r="63983" spans="9:9" x14ac:dyDescent="0.2">
      <c r="I63983" s="137" t="s">
        <v>74</v>
      </c>
    </row>
    <row r="63984" spans="9:9" x14ac:dyDescent="0.2">
      <c r="I63984" s="137" t="s">
        <v>74</v>
      </c>
    </row>
    <row r="63985" spans="9:9" x14ac:dyDescent="0.2">
      <c r="I63985" s="137" t="s">
        <v>74</v>
      </c>
    </row>
    <row r="63986" spans="9:9" x14ac:dyDescent="0.2">
      <c r="I63986" s="137" t="s">
        <v>74</v>
      </c>
    </row>
    <row r="63987" spans="9:9" x14ac:dyDescent="0.2">
      <c r="I63987" s="137" t="s">
        <v>74</v>
      </c>
    </row>
    <row r="63988" spans="9:9" x14ac:dyDescent="0.2">
      <c r="I63988" s="137" t="s">
        <v>74</v>
      </c>
    </row>
    <row r="63989" spans="9:9" x14ac:dyDescent="0.2">
      <c r="I63989" s="137" t="s">
        <v>74</v>
      </c>
    </row>
    <row r="63990" spans="9:9" x14ac:dyDescent="0.2">
      <c r="I63990" s="137" t="s">
        <v>74</v>
      </c>
    </row>
    <row r="63991" spans="9:9" x14ac:dyDescent="0.2">
      <c r="I63991" s="137" t="s">
        <v>74</v>
      </c>
    </row>
    <row r="63992" spans="9:9" x14ac:dyDescent="0.2">
      <c r="I63992" s="137" t="s">
        <v>74</v>
      </c>
    </row>
    <row r="63993" spans="9:9" x14ac:dyDescent="0.2">
      <c r="I63993" s="137" t="s">
        <v>74</v>
      </c>
    </row>
    <row r="63994" spans="9:9" x14ac:dyDescent="0.2">
      <c r="I63994" s="137" t="s">
        <v>74</v>
      </c>
    </row>
    <row r="63995" spans="9:9" x14ac:dyDescent="0.2">
      <c r="I63995" s="137" t="s">
        <v>74</v>
      </c>
    </row>
    <row r="63996" spans="9:9" x14ac:dyDescent="0.2">
      <c r="I63996" s="137" t="s">
        <v>74</v>
      </c>
    </row>
    <row r="63997" spans="9:9" x14ac:dyDescent="0.2">
      <c r="I63997" s="137" t="s">
        <v>74</v>
      </c>
    </row>
    <row r="63998" spans="9:9" x14ac:dyDescent="0.2">
      <c r="I63998" s="137" t="s">
        <v>74</v>
      </c>
    </row>
    <row r="63999" spans="9:9" x14ac:dyDescent="0.2">
      <c r="I63999" s="137" t="s">
        <v>74</v>
      </c>
    </row>
    <row r="64000" spans="9:9" x14ac:dyDescent="0.2">
      <c r="I64000" s="137" t="s">
        <v>74</v>
      </c>
    </row>
    <row r="64001" spans="9:9" x14ac:dyDescent="0.2">
      <c r="I64001" s="137" t="s">
        <v>74</v>
      </c>
    </row>
    <row r="64002" spans="9:9" x14ac:dyDescent="0.2">
      <c r="I64002" s="137" t="s">
        <v>74</v>
      </c>
    </row>
    <row r="64003" spans="9:9" x14ac:dyDescent="0.2">
      <c r="I64003" s="137" t="s">
        <v>74</v>
      </c>
    </row>
    <row r="64004" spans="9:9" x14ac:dyDescent="0.2">
      <c r="I64004" s="137" t="s">
        <v>74</v>
      </c>
    </row>
    <row r="64005" spans="9:9" x14ac:dyDescent="0.2">
      <c r="I64005" s="137" t="s">
        <v>74</v>
      </c>
    </row>
    <row r="64006" spans="9:9" x14ac:dyDescent="0.2">
      <c r="I64006" s="137" t="s">
        <v>74</v>
      </c>
    </row>
    <row r="64007" spans="9:9" x14ac:dyDescent="0.2">
      <c r="I64007" s="137" t="s">
        <v>74</v>
      </c>
    </row>
    <row r="64008" spans="9:9" x14ac:dyDescent="0.2">
      <c r="I64008" s="137" t="s">
        <v>74</v>
      </c>
    </row>
    <row r="64009" spans="9:9" x14ac:dyDescent="0.2">
      <c r="I64009" s="137" t="s">
        <v>74</v>
      </c>
    </row>
    <row r="64010" spans="9:9" x14ac:dyDescent="0.2">
      <c r="I64010" s="137" t="s">
        <v>74</v>
      </c>
    </row>
    <row r="64011" spans="9:9" x14ac:dyDescent="0.2">
      <c r="I64011" s="137" t="s">
        <v>74</v>
      </c>
    </row>
    <row r="64012" spans="9:9" x14ac:dyDescent="0.2">
      <c r="I64012" s="137" t="s">
        <v>74</v>
      </c>
    </row>
    <row r="64013" spans="9:9" x14ac:dyDescent="0.2">
      <c r="I64013" s="137" t="s">
        <v>74</v>
      </c>
    </row>
    <row r="64014" spans="9:9" x14ac:dyDescent="0.2">
      <c r="I64014" s="137" t="s">
        <v>74</v>
      </c>
    </row>
    <row r="64015" spans="9:9" x14ac:dyDescent="0.2">
      <c r="I64015" s="137" t="s">
        <v>74</v>
      </c>
    </row>
    <row r="64016" spans="9:9" x14ac:dyDescent="0.2">
      <c r="I64016" s="137" t="s">
        <v>74</v>
      </c>
    </row>
    <row r="64017" spans="9:9" x14ac:dyDescent="0.2">
      <c r="I64017" s="137" t="s">
        <v>74</v>
      </c>
    </row>
    <row r="64018" spans="9:9" x14ac:dyDescent="0.2">
      <c r="I64018" s="137" t="s">
        <v>74</v>
      </c>
    </row>
    <row r="64019" spans="9:9" x14ac:dyDescent="0.2">
      <c r="I64019" s="137" t="s">
        <v>74</v>
      </c>
    </row>
    <row r="64020" spans="9:9" x14ac:dyDescent="0.2">
      <c r="I64020" s="137" t="s">
        <v>74</v>
      </c>
    </row>
    <row r="64021" spans="9:9" x14ac:dyDescent="0.2">
      <c r="I64021" s="137" t="s">
        <v>74</v>
      </c>
    </row>
    <row r="64022" spans="9:9" x14ac:dyDescent="0.2">
      <c r="I64022" s="137" t="s">
        <v>74</v>
      </c>
    </row>
    <row r="64023" spans="9:9" x14ac:dyDescent="0.2">
      <c r="I64023" s="137" t="s">
        <v>74</v>
      </c>
    </row>
    <row r="64024" spans="9:9" x14ac:dyDescent="0.2">
      <c r="I64024" s="137" t="s">
        <v>74</v>
      </c>
    </row>
    <row r="64025" spans="9:9" x14ac:dyDescent="0.2">
      <c r="I64025" s="137" t="s">
        <v>74</v>
      </c>
    </row>
    <row r="64026" spans="9:9" x14ac:dyDescent="0.2">
      <c r="I64026" s="137" t="s">
        <v>74</v>
      </c>
    </row>
    <row r="64027" spans="9:9" x14ac:dyDescent="0.2">
      <c r="I64027" s="137" t="s">
        <v>74</v>
      </c>
    </row>
    <row r="64028" spans="9:9" x14ac:dyDescent="0.2">
      <c r="I64028" s="137" t="s">
        <v>74</v>
      </c>
    </row>
    <row r="64029" spans="9:9" x14ac:dyDescent="0.2">
      <c r="I64029" s="137" t="s">
        <v>74</v>
      </c>
    </row>
    <row r="64030" spans="9:9" x14ac:dyDescent="0.2">
      <c r="I64030" s="137" t="s">
        <v>74</v>
      </c>
    </row>
    <row r="64031" spans="9:9" x14ac:dyDescent="0.2">
      <c r="I64031" s="137" t="s">
        <v>74</v>
      </c>
    </row>
    <row r="64032" spans="9:9" x14ac:dyDescent="0.2">
      <c r="I64032" s="137" t="s">
        <v>74</v>
      </c>
    </row>
    <row r="64033" spans="9:9" x14ac:dyDescent="0.2">
      <c r="I64033" s="137" t="s">
        <v>74</v>
      </c>
    </row>
    <row r="64034" spans="9:9" x14ac:dyDescent="0.2">
      <c r="I64034" s="137" t="s">
        <v>74</v>
      </c>
    </row>
    <row r="64035" spans="9:9" x14ac:dyDescent="0.2">
      <c r="I64035" s="137" t="s">
        <v>74</v>
      </c>
    </row>
    <row r="64036" spans="9:9" x14ac:dyDescent="0.2">
      <c r="I64036" s="137" t="s">
        <v>74</v>
      </c>
    </row>
    <row r="64037" spans="9:9" x14ac:dyDescent="0.2">
      <c r="I64037" s="137" t="s">
        <v>74</v>
      </c>
    </row>
    <row r="64038" spans="9:9" x14ac:dyDescent="0.2">
      <c r="I64038" s="137" t="s">
        <v>74</v>
      </c>
    </row>
    <row r="64039" spans="9:9" x14ac:dyDescent="0.2">
      <c r="I64039" s="137" t="s">
        <v>74</v>
      </c>
    </row>
    <row r="64040" spans="9:9" x14ac:dyDescent="0.2">
      <c r="I64040" s="137" t="s">
        <v>74</v>
      </c>
    </row>
    <row r="64041" spans="9:9" x14ac:dyDescent="0.2">
      <c r="I64041" s="137" t="s">
        <v>74</v>
      </c>
    </row>
    <row r="64042" spans="9:9" x14ac:dyDescent="0.2">
      <c r="I64042" s="137" t="s">
        <v>74</v>
      </c>
    </row>
    <row r="64043" spans="9:9" x14ac:dyDescent="0.2">
      <c r="I64043" s="137" t="s">
        <v>74</v>
      </c>
    </row>
    <row r="64044" spans="9:9" x14ac:dyDescent="0.2">
      <c r="I64044" s="137" t="s">
        <v>74</v>
      </c>
    </row>
    <row r="64045" spans="9:9" x14ac:dyDescent="0.2">
      <c r="I64045" s="137" t="s">
        <v>74</v>
      </c>
    </row>
    <row r="64046" spans="9:9" x14ac:dyDescent="0.2">
      <c r="I64046" s="137" t="s">
        <v>74</v>
      </c>
    </row>
    <row r="64047" spans="9:9" x14ac:dyDescent="0.2">
      <c r="I64047" s="137" t="s">
        <v>74</v>
      </c>
    </row>
    <row r="64048" spans="9:9" x14ac:dyDescent="0.2">
      <c r="I64048" s="137" t="s">
        <v>74</v>
      </c>
    </row>
    <row r="64049" spans="9:9" x14ac:dyDescent="0.2">
      <c r="I64049" s="137" t="s">
        <v>74</v>
      </c>
    </row>
    <row r="64050" spans="9:9" x14ac:dyDescent="0.2">
      <c r="I64050" s="137" t="s">
        <v>74</v>
      </c>
    </row>
    <row r="64051" spans="9:9" x14ac:dyDescent="0.2">
      <c r="I64051" s="137" t="s">
        <v>74</v>
      </c>
    </row>
    <row r="64052" spans="9:9" x14ac:dyDescent="0.2">
      <c r="I64052" s="137" t="s">
        <v>74</v>
      </c>
    </row>
    <row r="64053" spans="9:9" x14ac:dyDescent="0.2">
      <c r="I64053" s="137" t="s">
        <v>74</v>
      </c>
    </row>
    <row r="64054" spans="9:9" x14ac:dyDescent="0.2">
      <c r="I64054" s="137" t="s">
        <v>74</v>
      </c>
    </row>
    <row r="64055" spans="9:9" x14ac:dyDescent="0.2">
      <c r="I64055" s="137" t="s">
        <v>74</v>
      </c>
    </row>
    <row r="64056" spans="9:9" x14ac:dyDescent="0.2">
      <c r="I64056" s="137" t="s">
        <v>74</v>
      </c>
    </row>
    <row r="64057" spans="9:9" x14ac:dyDescent="0.2">
      <c r="I64057" s="137" t="s">
        <v>74</v>
      </c>
    </row>
    <row r="64058" spans="9:9" x14ac:dyDescent="0.2">
      <c r="I64058" s="137" t="s">
        <v>74</v>
      </c>
    </row>
    <row r="64059" spans="9:9" x14ac:dyDescent="0.2">
      <c r="I64059" s="137" t="s">
        <v>74</v>
      </c>
    </row>
    <row r="64060" spans="9:9" x14ac:dyDescent="0.2">
      <c r="I64060" s="137" t="s">
        <v>74</v>
      </c>
    </row>
    <row r="64061" spans="9:9" x14ac:dyDescent="0.2">
      <c r="I64061" s="137" t="s">
        <v>74</v>
      </c>
    </row>
    <row r="64062" spans="9:9" x14ac:dyDescent="0.2">
      <c r="I64062" s="137" t="s">
        <v>74</v>
      </c>
    </row>
    <row r="64063" spans="9:9" x14ac:dyDescent="0.2">
      <c r="I64063" s="137" t="s">
        <v>74</v>
      </c>
    </row>
    <row r="64064" spans="9:9" x14ac:dyDescent="0.2">
      <c r="I64064" s="137" t="s">
        <v>74</v>
      </c>
    </row>
    <row r="64065" spans="9:9" x14ac:dyDescent="0.2">
      <c r="I64065" s="137" t="s">
        <v>74</v>
      </c>
    </row>
    <row r="64066" spans="9:9" x14ac:dyDescent="0.2">
      <c r="I64066" s="137" t="s">
        <v>74</v>
      </c>
    </row>
    <row r="64067" spans="9:9" x14ac:dyDescent="0.2">
      <c r="I64067" s="137" t="s">
        <v>74</v>
      </c>
    </row>
    <row r="64068" spans="9:9" x14ac:dyDescent="0.2">
      <c r="I64068" s="137" t="s">
        <v>74</v>
      </c>
    </row>
    <row r="64069" spans="9:9" x14ac:dyDescent="0.2">
      <c r="I64069" s="137" t="s">
        <v>74</v>
      </c>
    </row>
    <row r="64070" spans="9:9" x14ac:dyDescent="0.2">
      <c r="I64070" s="137" t="s">
        <v>74</v>
      </c>
    </row>
    <row r="64071" spans="9:9" x14ac:dyDescent="0.2">
      <c r="I64071" s="137" t="s">
        <v>74</v>
      </c>
    </row>
    <row r="64072" spans="9:9" x14ac:dyDescent="0.2">
      <c r="I64072" s="137" t="s">
        <v>74</v>
      </c>
    </row>
    <row r="64073" spans="9:9" x14ac:dyDescent="0.2">
      <c r="I64073" s="137" t="s">
        <v>74</v>
      </c>
    </row>
    <row r="64074" spans="9:9" x14ac:dyDescent="0.2">
      <c r="I64074" s="137" t="s">
        <v>74</v>
      </c>
    </row>
    <row r="64075" spans="9:9" x14ac:dyDescent="0.2">
      <c r="I64075" s="137" t="s">
        <v>74</v>
      </c>
    </row>
    <row r="64076" spans="9:9" x14ac:dyDescent="0.2">
      <c r="I64076" s="137" t="s">
        <v>74</v>
      </c>
    </row>
    <row r="64077" spans="9:9" x14ac:dyDescent="0.2">
      <c r="I64077" s="137" t="s">
        <v>74</v>
      </c>
    </row>
    <row r="64078" spans="9:9" x14ac:dyDescent="0.2">
      <c r="I64078" s="137" t="s">
        <v>74</v>
      </c>
    </row>
    <row r="64079" spans="9:9" x14ac:dyDescent="0.2">
      <c r="I64079" s="137" t="s">
        <v>74</v>
      </c>
    </row>
    <row r="64080" spans="9:9" x14ac:dyDescent="0.2">
      <c r="I64080" s="137" t="s">
        <v>74</v>
      </c>
    </row>
    <row r="64081" spans="9:9" x14ac:dyDescent="0.2">
      <c r="I64081" s="137" t="s">
        <v>74</v>
      </c>
    </row>
    <row r="64082" spans="9:9" x14ac:dyDescent="0.2">
      <c r="I64082" s="137" t="s">
        <v>74</v>
      </c>
    </row>
    <row r="64083" spans="9:9" x14ac:dyDescent="0.2">
      <c r="I64083" s="137" t="s">
        <v>74</v>
      </c>
    </row>
    <row r="64084" spans="9:9" x14ac:dyDescent="0.2">
      <c r="I64084" s="137" t="s">
        <v>74</v>
      </c>
    </row>
    <row r="64085" spans="9:9" x14ac:dyDescent="0.2">
      <c r="I64085" s="137" t="s">
        <v>74</v>
      </c>
    </row>
    <row r="64086" spans="9:9" x14ac:dyDescent="0.2">
      <c r="I64086" s="137" t="s">
        <v>74</v>
      </c>
    </row>
    <row r="64087" spans="9:9" x14ac:dyDescent="0.2">
      <c r="I64087" s="137" t="s">
        <v>74</v>
      </c>
    </row>
    <row r="64088" spans="9:9" x14ac:dyDescent="0.2">
      <c r="I64088" s="137" t="s">
        <v>74</v>
      </c>
    </row>
    <row r="64089" spans="9:9" x14ac:dyDescent="0.2">
      <c r="I64089" s="137" t="s">
        <v>74</v>
      </c>
    </row>
    <row r="64090" spans="9:9" x14ac:dyDescent="0.2">
      <c r="I64090" s="137" t="s">
        <v>74</v>
      </c>
    </row>
    <row r="64091" spans="9:9" x14ac:dyDescent="0.2">
      <c r="I64091" s="137" t="s">
        <v>74</v>
      </c>
    </row>
    <row r="64092" spans="9:9" x14ac:dyDescent="0.2">
      <c r="I64092" s="137" t="s">
        <v>74</v>
      </c>
    </row>
    <row r="64093" spans="9:9" x14ac:dyDescent="0.2">
      <c r="I64093" s="137" t="s">
        <v>74</v>
      </c>
    </row>
    <row r="64094" spans="9:9" x14ac:dyDescent="0.2">
      <c r="I64094" s="137" t="s">
        <v>74</v>
      </c>
    </row>
    <row r="64095" spans="9:9" x14ac:dyDescent="0.2">
      <c r="I64095" s="137" t="s">
        <v>74</v>
      </c>
    </row>
    <row r="64096" spans="9:9" x14ac:dyDescent="0.2">
      <c r="I64096" s="137" t="s">
        <v>74</v>
      </c>
    </row>
    <row r="64097" spans="9:9" x14ac:dyDescent="0.2">
      <c r="I64097" s="137" t="s">
        <v>74</v>
      </c>
    </row>
    <row r="64098" spans="9:9" x14ac:dyDescent="0.2">
      <c r="I64098" s="137" t="s">
        <v>74</v>
      </c>
    </row>
    <row r="64099" spans="9:9" x14ac:dyDescent="0.2">
      <c r="I64099" s="137" t="s">
        <v>74</v>
      </c>
    </row>
    <row r="64100" spans="9:9" x14ac:dyDescent="0.2">
      <c r="I64100" s="137" t="s">
        <v>74</v>
      </c>
    </row>
    <row r="64101" spans="9:9" x14ac:dyDescent="0.2">
      <c r="I64101" s="137" t="s">
        <v>74</v>
      </c>
    </row>
    <row r="64102" spans="9:9" x14ac:dyDescent="0.2">
      <c r="I64102" s="137" t="s">
        <v>74</v>
      </c>
    </row>
    <row r="64103" spans="9:9" x14ac:dyDescent="0.2">
      <c r="I64103" s="137" t="s">
        <v>74</v>
      </c>
    </row>
    <row r="64104" spans="9:9" x14ac:dyDescent="0.2">
      <c r="I64104" s="137" t="s">
        <v>74</v>
      </c>
    </row>
    <row r="64105" spans="9:9" x14ac:dyDescent="0.2">
      <c r="I64105" s="137" t="s">
        <v>74</v>
      </c>
    </row>
    <row r="64106" spans="9:9" x14ac:dyDescent="0.2">
      <c r="I64106" s="137" t="s">
        <v>74</v>
      </c>
    </row>
    <row r="64107" spans="9:9" x14ac:dyDescent="0.2">
      <c r="I64107" s="137" t="s">
        <v>74</v>
      </c>
    </row>
    <row r="64108" spans="9:9" x14ac:dyDescent="0.2">
      <c r="I64108" s="137" t="s">
        <v>74</v>
      </c>
    </row>
    <row r="64109" spans="9:9" x14ac:dyDescent="0.2">
      <c r="I64109" s="137" t="s">
        <v>74</v>
      </c>
    </row>
    <row r="64110" spans="9:9" x14ac:dyDescent="0.2">
      <c r="I64110" s="137" t="s">
        <v>74</v>
      </c>
    </row>
    <row r="64111" spans="9:9" x14ac:dyDescent="0.2">
      <c r="I64111" s="137" t="s">
        <v>74</v>
      </c>
    </row>
    <row r="64112" spans="9:9" x14ac:dyDescent="0.2">
      <c r="I64112" s="137" t="s">
        <v>74</v>
      </c>
    </row>
    <row r="64113" spans="9:9" x14ac:dyDescent="0.2">
      <c r="I64113" s="137" t="s">
        <v>74</v>
      </c>
    </row>
    <row r="64114" spans="9:9" x14ac:dyDescent="0.2">
      <c r="I64114" s="137" t="s">
        <v>74</v>
      </c>
    </row>
    <row r="64115" spans="9:9" x14ac:dyDescent="0.2">
      <c r="I64115" s="137" t="s">
        <v>74</v>
      </c>
    </row>
    <row r="64116" spans="9:9" x14ac:dyDescent="0.2">
      <c r="I64116" s="137" t="s">
        <v>74</v>
      </c>
    </row>
    <row r="64117" spans="9:9" x14ac:dyDescent="0.2">
      <c r="I64117" s="137" t="s">
        <v>74</v>
      </c>
    </row>
    <row r="64118" spans="9:9" x14ac:dyDescent="0.2">
      <c r="I64118" s="137" t="s">
        <v>74</v>
      </c>
    </row>
    <row r="64119" spans="9:9" x14ac:dyDescent="0.2">
      <c r="I64119" s="137" t="s">
        <v>74</v>
      </c>
    </row>
    <row r="64120" spans="9:9" x14ac:dyDescent="0.2">
      <c r="I64120" s="137" t="s">
        <v>74</v>
      </c>
    </row>
    <row r="64121" spans="9:9" x14ac:dyDescent="0.2">
      <c r="I64121" s="137" t="s">
        <v>74</v>
      </c>
    </row>
    <row r="64122" spans="9:9" x14ac:dyDescent="0.2">
      <c r="I64122" s="137" t="s">
        <v>74</v>
      </c>
    </row>
    <row r="64123" spans="9:9" x14ac:dyDescent="0.2">
      <c r="I64123" s="137" t="s">
        <v>74</v>
      </c>
    </row>
    <row r="64124" spans="9:9" x14ac:dyDescent="0.2">
      <c r="I64124" s="137" t="s">
        <v>74</v>
      </c>
    </row>
    <row r="64125" spans="9:9" x14ac:dyDescent="0.2">
      <c r="I64125" s="137" t="s">
        <v>74</v>
      </c>
    </row>
    <row r="64126" spans="9:9" x14ac:dyDescent="0.2">
      <c r="I64126" s="137" t="s">
        <v>74</v>
      </c>
    </row>
    <row r="64127" spans="9:9" x14ac:dyDescent="0.2">
      <c r="I64127" s="137" t="s">
        <v>74</v>
      </c>
    </row>
    <row r="64128" spans="9:9" x14ac:dyDescent="0.2">
      <c r="I64128" s="137" t="s">
        <v>74</v>
      </c>
    </row>
    <row r="64129" spans="9:9" x14ac:dyDescent="0.2">
      <c r="I64129" s="137" t="s">
        <v>74</v>
      </c>
    </row>
    <row r="64130" spans="9:9" x14ac:dyDescent="0.2">
      <c r="I64130" s="137" t="s">
        <v>74</v>
      </c>
    </row>
    <row r="64131" spans="9:9" x14ac:dyDescent="0.2">
      <c r="I64131" s="137" t="s">
        <v>74</v>
      </c>
    </row>
    <row r="64132" spans="9:9" x14ac:dyDescent="0.2">
      <c r="I64132" s="137" t="s">
        <v>74</v>
      </c>
    </row>
    <row r="64133" spans="9:9" x14ac:dyDescent="0.2">
      <c r="I64133" s="137" t="s">
        <v>74</v>
      </c>
    </row>
    <row r="64134" spans="9:9" x14ac:dyDescent="0.2">
      <c r="I64134" s="137" t="s">
        <v>74</v>
      </c>
    </row>
    <row r="64135" spans="9:9" x14ac:dyDescent="0.2">
      <c r="I64135" s="137" t="s">
        <v>74</v>
      </c>
    </row>
    <row r="64136" spans="9:9" x14ac:dyDescent="0.2">
      <c r="I64136" s="137" t="s">
        <v>74</v>
      </c>
    </row>
    <row r="64137" spans="9:9" x14ac:dyDescent="0.2">
      <c r="I64137" s="137" t="s">
        <v>74</v>
      </c>
    </row>
    <row r="64138" spans="9:9" x14ac:dyDescent="0.2">
      <c r="I64138" s="137" t="s">
        <v>74</v>
      </c>
    </row>
    <row r="64139" spans="9:9" x14ac:dyDescent="0.2">
      <c r="I64139" s="137" t="s">
        <v>74</v>
      </c>
    </row>
    <row r="64140" spans="9:9" x14ac:dyDescent="0.2">
      <c r="I64140" s="137" t="s">
        <v>74</v>
      </c>
    </row>
    <row r="64141" spans="9:9" x14ac:dyDescent="0.2">
      <c r="I64141" s="137" t="s">
        <v>74</v>
      </c>
    </row>
    <row r="64142" spans="9:9" x14ac:dyDescent="0.2">
      <c r="I64142" s="137" t="s">
        <v>74</v>
      </c>
    </row>
    <row r="64143" spans="9:9" x14ac:dyDescent="0.2">
      <c r="I64143" s="137" t="s">
        <v>74</v>
      </c>
    </row>
    <row r="64144" spans="9:9" x14ac:dyDescent="0.2">
      <c r="I64144" s="137" t="s">
        <v>74</v>
      </c>
    </row>
    <row r="64145" spans="9:9" x14ac:dyDescent="0.2">
      <c r="I64145" s="137" t="s">
        <v>74</v>
      </c>
    </row>
    <row r="64146" spans="9:9" x14ac:dyDescent="0.2">
      <c r="I64146" s="137" t="s">
        <v>74</v>
      </c>
    </row>
    <row r="64147" spans="9:9" x14ac:dyDescent="0.2">
      <c r="I64147" s="137" t="s">
        <v>74</v>
      </c>
    </row>
    <row r="64148" spans="9:9" x14ac:dyDescent="0.2">
      <c r="I64148" s="137" t="s">
        <v>74</v>
      </c>
    </row>
    <row r="64149" spans="9:9" x14ac:dyDescent="0.2">
      <c r="I64149" s="137" t="s">
        <v>74</v>
      </c>
    </row>
    <row r="64150" spans="9:9" x14ac:dyDescent="0.2">
      <c r="I64150" s="137" t="s">
        <v>74</v>
      </c>
    </row>
    <row r="64151" spans="9:9" x14ac:dyDescent="0.2">
      <c r="I64151" s="137" t="s">
        <v>74</v>
      </c>
    </row>
    <row r="64152" spans="9:9" x14ac:dyDescent="0.2">
      <c r="I64152" s="137" t="s">
        <v>74</v>
      </c>
    </row>
    <row r="64153" spans="9:9" x14ac:dyDescent="0.2">
      <c r="I64153" s="137" t="s">
        <v>74</v>
      </c>
    </row>
    <row r="64154" spans="9:9" x14ac:dyDescent="0.2">
      <c r="I64154" s="137" t="s">
        <v>74</v>
      </c>
    </row>
    <row r="64155" spans="9:9" x14ac:dyDescent="0.2">
      <c r="I64155" s="137" t="s">
        <v>74</v>
      </c>
    </row>
    <row r="64156" spans="9:9" x14ac:dyDescent="0.2">
      <c r="I64156" s="137" t="s">
        <v>74</v>
      </c>
    </row>
    <row r="64157" spans="9:9" x14ac:dyDescent="0.2">
      <c r="I64157" s="137" t="s">
        <v>74</v>
      </c>
    </row>
    <row r="64158" spans="9:9" x14ac:dyDescent="0.2">
      <c r="I64158" s="137" t="s">
        <v>74</v>
      </c>
    </row>
    <row r="64159" spans="9:9" x14ac:dyDescent="0.2">
      <c r="I64159" s="137" t="s">
        <v>74</v>
      </c>
    </row>
    <row r="64160" spans="9:9" x14ac:dyDescent="0.2">
      <c r="I64160" s="137" t="s">
        <v>74</v>
      </c>
    </row>
    <row r="64161" spans="9:9" x14ac:dyDescent="0.2">
      <c r="I64161" s="137" t="s">
        <v>74</v>
      </c>
    </row>
    <row r="64162" spans="9:9" x14ac:dyDescent="0.2">
      <c r="I64162" s="137" t="s">
        <v>74</v>
      </c>
    </row>
    <row r="64163" spans="9:9" x14ac:dyDescent="0.2">
      <c r="I64163" s="137" t="s">
        <v>74</v>
      </c>
    </row>
    <row r="64164" spans="9:9" x14ac:dyDescent="0.2">
      <c r="I64164" s="137" t="s">
        <v>74</v>
      </c>
    </row>
    <row r="64165" spans="9:9" x14ac:dyDescent="0.2">
      <c r="I64165" s="137" t="s">
        <v>74</v>
      </c>
    </row>
    <row r="64166" spans="9:9" x14ac:dyDescent="0.2">
      <c r="I64166" s="137" t="s">
        <v>74</v>
      </c>
    </row>
    <row r="64167" spans="9:9" x14ac:dyDescent="0.2">
      <c r="I64167" s="137" t="s">
        <v>74</v>
      </c>
    </row>
    <row r="64168" spans="9:9" x14ac:dyDescent="0.2">
      <c r="I64168" s="137" t="s">
        <v>74</v>
      </c>
    </row>
    <row r="64169" spans="9:9" x14ac:dyDescent="0.2">
      <c r="I64169" s="137" t="s">
        <v>74</v>
      </c>
    </row>
    <row r="64170" spans="9:9" x14ac:dyDescent="0.2">
      <c r="I64170" s="137" t="s">
        <v>74</v>
      </c>
    </row>
    <row r="64171" spans="9:9" x14ac:dyDescent="0.2">
      <c r="I64171" s="137" t="s">
        <v>74</v>
      </c>
    </row>
    <row r="64172" spans="9:9" x14ac:dyDescent="0.2">
      <c r="I64172" s="137" t="s">
        <v>74</v>
      </c>
    </row>
    <row r="64173" spans="9:9" x14ac:dyDescent="0.2">
      <c r="I64173" s="137" t="s">
        <v>74</v>
      </c>
    </row>
    <row r="64174" spans="9:9" x14ac:dyDescent="0.2">
      <c r="I64174" s="137" t="s">
        <v>74</v>
      </c>
    </row>
    <row r="64175" spans="9:9" x14ac:dyDescent="0.2">
      <c r="I64175" s="137" t="s">
        <v>74</v>
      </c>
    </row>
    <row r="64176" spans="9:9" x14ac:dyDescent="0.2">
      <c r="I64176" s="137" t="s">
        <v>74</v>
      </c>
    </row>
    <row r="64177" spans="9:9" x14ac:dyDescent="0.2">
      <c r="I64177" s="137" t="s">
        <v>74</v>
      </c>
    </row>
    <row r="64178" spans="9:9" x14ac:dyDescent="0.2">
      <c r="I64178" s="137" t="s">
        <v>74</v>
      </c>
    </row>
    <row r="64179" spans="9:9" x14ac:dyDescent="0.2">
      <c r="I64179" s="137" t="s">
        <v>74</v>
      </c>
    </row>
    <row r="64180" spans="9:9" x14ac:dyDescent="0.2">
      <c r="I64180" s="137" t="s">
        <v>74</v>
      </c>
    </row>
    <row r="64181" spans="9:9" x14ac:dyDescent="0.2">
      <c r="I64181" s="137" t="s">
        <v>74</v>
      </c>
    </row>
    <row r="64182" spans="9:9" x14ac:dyDescent="0.2">
      <c r="I64182" s="137" t="s">
        <v>74</v>
      </c>
    </row>
    <row r="64183" spans="9:9" x14ac:dyDescent="0.2">
      <c r="I64183" s="137" t="s">
        <v>74</v>
      </c>
    </row>
    <row r="64184" spans="9:9" x14ac:dyDescent="0.2">
      <c r="I64184" s="137" t="s">
        <v>74</v>
      </c>
    </row>
    <row r="64185" spans="9:9" x14ac:dyDescent="0.2">
      <c r="I64185" s="137" t="s">
        <v>74</v>
      </c>
    </row>
    <row r="64186" spans="9:9" x14ac:dyDescent="0.2">
      <c r="I64186" s="137" t="s">
        <v>74</v>
      </c>
    </row>
    <row r="64187" spans="9:9" x14ac:dyDescent="0.2">
      <c r="I64187" s="137" t="s">
        <v>74</v>
      </c>
    </row>
    <row r="64188" spans="9:9" x14ac:dyDescent="0.2">
      <c r="I64188" s="137" t="s">
        <v>74</v>
      </c>
    </row>
    <row r="64189" spans="9:9" x14ac:dyDescent="0.2">
      <c r="I64189" s="137" t="s">
        <v>74</v>
      </c>
    </row>
    <row r="64190" spans="9:9" x14ac:dyDescent="0.2">
      <c r="I64190" s="137" t="s">
        <v>74</v>
      </c>
    </row>
    <row r="64191" spans="9:9" x14ac:dyDescent="0.2">
      <c r="I64191" s="137" t="s">
        <v>74</v>
      </c>
    </row>
    <row r="64192" spans="9:9" x14ac:dyDescent="0.2">
      <c r="I64192" s="137" t="s">
        <v>74</v>
      </c>
    </row>
    <row r="64193" spans="9:9" x14ac:dyDescent="0.2">
      <c r="I64193" s="137" t="s">
        <v>74</v>
      </c>
    </row>
    <row r="64194" spans="9:9" x14ac:dyDescent="0.2">
      <c r="I64194" s="137" t="s">
        <v>74</v>
      </c>
    </row>
    <row r="64195" spans="9:9" x14ac:dyDescent="0.2">
      <c r="I64195" s="137" t="s">
        <v>74</v>
      </c>
    </row>
    <row r="64196" spans="9:9" x14ac:dyDescent="0.2">
      <c r="I64196" s="137" t="s">
        <v>74</v>
      </c>
    </row>
    <row r="64197" spans="9:9" x14ac:dyDescent="0.2">
      <c r="I64197" s="137" t="s">
        <v>74</v>
      </c>
    </row>
    <row r="64198" spans="9:9" x14ac:dyDescent="0.2">
      <c r="I64198" s="137" t="s">
        <v>74</v>
      </c>
    </row>
    <row r="64199" spans="9:9" x14ac:dyDescent="0.2">
      <c r="I64199" s="137" t="s">
        <v>74</v>
      </c>
    </row>
    <row r="64200" spans="9:9" x14ac:dyDescent="0.2">
      <c r="I64200" s="137" t="s">
        <v>74</v>
      </c>
    </row>
    <row r="64201" spans="9:9" x14ac:dyDescent="0.2">
      <c r="I64201" s="137" t="s">
        <v>74</v>
      </c>
    </row>
    <row r="64202" spans="9:9" x14ac:dyDescent="0.2">
      <c r="I64202" s="137" t="s">
        <v>74</v>
      </c>
    </row>
    <row r="64203" spans="9:9" x14ac:dyDescent="0.2">
      <c r="I64203" s="137" t="s">
        <v>74</v>
      </c>
    </row>
    <row r="64204" spans="9:9" x14ac:dyDescent="0.2">
      <c r="I64204" s="137" t="s">
        <v>74</v>
      </c>
    </row>
    <row r="64205" spans="9:9" x14ac:dyDescent="0.2">
      <c r="I64205" s="137" t="s">
        <v>74</v>
      </c>
    </row>
    <row r="64206" spans="9:9" x14ac:dyDescent="0.2">
      <c r="I64206" s="137" t="s">
        <v>74</v>
      </c>
    </row>
    <row r="64207" spans="9:9" x14ac:dyDescent="0.2">
      <c r="I64207" s="137" t="s">
        <v>74</v>
      </c>
    </row>
    <row r="64208" spans="9:9" x14ac:dyDescent="0.2">
      <c r="I64208" s="137" t="s">
        <v>74</v>
      </c>
    </row>
    <row r="64209" spans="9:9" x14ac:dyDescent="0.2">
      <c r="I64209" s="137" t="s">
        <v>74</v>
      </c>
    </row>
    <row r="64210" spans="9:9" x14ac:dyDescent="0.2">
      <c r="I64210" s="137" t="s">
        <v>74</v>
      </c>
    </row>
    <row r="64211" spans="9:9" x14ac:dyDescent="0.2">
      <c r="I64211" s="137" t="s">
        <v>74</v>
      </c>
    </row>
    <row r="64212" spans="9:9" x14ac:dyDescent="0.2">
      <c r="I64212" s="137" t="s">
        <v>74</v>
      </c>
    </row>
    <row r="64213" spans="9:9" x14ac:dyDescent="0.2">
      <c r="I64213" s="137" t="s">
        <v>74</v>
      </c>
    </row>
    <row r="64214" spans="9:9" x14ac:dyDescent="0.2">
      <c r="I64214" s="137" t="s">
        <v>74</v>
      </c>
    </row>
    <row r="64215" spans="9:9" x14ac:dyDescent="0.2">
      <c r="I64215" s="137" t="s">
        <v>74</v>
      </c>
    </row>
    <row r="64216" spans="9:9" x14ac:dyDescent="0.2">
      <c r="I64216" s="137" t="s">
        <v>74</v>
      </c>
    </row>
    <row r="64217" spans="9:9" x14ac:dyDescent="0.2">
      <c r="I64217" s="137" t="s">
        <v>74</v>
      </c>
    </row>
    <row r="64218" spans="9:9" x14ac:dyDescent="0.2">
      <c r="I64218" s="137" t="s">
        <v>74</v>
      </c>
    </row>
    <row r="64219" spans="9:9" x14ac:dyDescent="0.2">
      <c r="I64219" s="137" t="s">
        <v>74</v>
      </c>
    </row>
    <row r="64220" spans="9:9" x14ac:dyDescent="0.2">
      <c r="I64220" s="137" t="s">
        <v>74</v>
      </c>
    </row>
    <row r="64221" spans="9:9" x14ac:dyDescent="0.2">
      <c r="I64221" s="137" t="s">
        <v>74</v>
      </c>
    </row>
    <row r="64222" spans="9:9" x14ac:dyDescent="0.2">
      <c r="I64222" s="137" t="s">
        <v>74</v>
      </c>
    </row>
    <row r="64223" spans="9:9" x14ac:dyDescent="0.2">
      <c r="I64223" s="137" t="s">
        <v>74</v>
      </c>
    </row>
    <row r="64224" spans="9:9" x14ac:dyDescent="0.2">
      <c r="I64224" s="137" t="s">
        <v>74</v>
      </c>
    </row>
    <row r="64225" spans="9:9" x14ac:dyDescent="0.2">
      <c r="I64225" s="137" t="s">
        <v>74</v>
      </c>
    </row>
    <row r="64226" spans="9:9" x14ac:dyDescent="0.2">
      <c r="I64226" s="137" t="s">
        <v>74</v>
      </c>
    </row>
    <row r="64227" spans="9:9" x14ac:dyDescent="0.2">
      <c r="I64227" s="137" t="s">
        <v>74</v>
      </c>
    </row>
    <row r="64228" spans="9:9" x14ac:dyDescent="0.2">
      <c r="I64228" s="137" t="s">
        <v>74</v>
      </c>
    </row>
    <row r="64229" spans="9:9" x14ac:dyDescent="0.2">
      <c r="I64229" s="137" t="s">
        <v>74</v>
      </c>
    </row>
    <row r="64230" spans="9:9" x14ac:dyDescent="0.2">
      <c r="I64230" s="137" t="s">
        <v>74</v>
      </c>
    </row>
    <row r="64231" spans="9:9" x14ac:dyDescent="0.2">
      <c r="I64231" s="137" t="s">
        <v>74</v>
      </c>
    </row>
    <row r="64232" spans="9:9" x14ac:dyDescent="0.2">
      <c r="I64232" s="137" t="s">
        <v>74</v>
      </c>
    </row>
    <row r="64233" spans="9:9" x14ac:dyDescent="0.2">
      <c r="I64233" s="137" t="s">
        <v>74</v>
      </c>
    </row>
    <row r="64234" spans="9:9" x14ac:dyDescent="0.2">
      <c r="I64234" s="137" t="s">
        <v>74</v>
      </c>
    </row>
    <row r="64235" spans="9:9" x14ac:dyDescent="0.2">
      <c r="I64235" s="137" t="s">
        <v>74</v>
      </c>
    </row>
    <row r="64236" spans="9:9" x14ac:dyDescent="0.2">
      <c r="I64236" s="137" t="s">
        <v>74</v>
      </c>
    </row>
    <row r="64237" spans="9:9" x14ac:dyDescent="0.2">
      <c r="I64237" s="137" t="s">
        <v>74</v>
      </c>
    </row>
    <row r="64238" spans="9:9" x14ac:dyDescent="0.2">
      <c r="I64238" s="137" t="s">
        <v>74</v>
      </c>
    </row>
    <row r="64239" spans="9:9" x14ac:dyDescent="0.2">
      <c r="I64239" s="137" t="s">
        <v>74</v>
      </c>
    </row>
    <row r="64240" spans="9:9" x14ac:dyDescent="0.2">
      <c r="I64240" s="137" t="s">
        <v>74</v>
      </c>
    </row>
    <row r="64241" spans="9:9" x14ac:dyDescent="0.2">
      <c r="I64241" s="137" t="s">
        <v>74</v>
      </c>
    </row>
    <row r="64242" spans="9:9" x14ac:dyDescent="0.2">
      <c r="I64242" s="137" t="s">
        <v>74</v>
      </c>
    </row>
    <row r="64243" spans="9:9" x14ac:dyDescent="0.2">
      <c r="I64243" s="137" t="s">
        <v>74</v>
      </c>
    </row>
    <row r="64244" spans="9:9" x14ac:dyDescent="0.2">
      <c r="I64244" s="137" t="s">
        <v>74</v>
      </c>
    </row>
    <row r="64245" spans="9:9" x14ac:dyDescent="0.2">
      <c r="I64245" s="137" t="s">
        <v>74</v>
      </c>
    </row>
    <row r="64246" spans="9:9" x14ac:dyDescent="0.2">
      <c r="I64246" s="137" t="s">
        <v>74</v>
      </c>
    </row>
    <row r="64247" spans="9:9" x14ac:dyDescent="0.2">
      <c r="I64247" s="137" t="s">
        <v>74</v>
      </c>
    </row>
    <row r="64248" spans="9:9" x14ac:dyDescent="0.2">
      <c r="I64248" s="137" t="s">
        <v>74</v>
      </c>
    </row>
    <row r="64249" spans="9:9" x14ac:dyDescent="0.2">
      <c r="I64249" s="137" t="s">
        <v>74</v>
      </c>
    </row>
    <row r="64250" spans="9:9" x14ac:dyDescent="0.2">
      <c r="I64250" s="137" t="s">
        <v>74</v>
      </c>
    </row>
    <row r="64251" spans="9:9" x14ac:dyDescent="0.2">
      <c r="I64251" s="137" t="s">
        <v>74</v>
      </c>
    </row>
    <row r="64252" spans="9:9" x14ac:dyDescent="0.2">
      <c r="I64252" s="137" t="s">
        <v>74</v>
      </c>
    </row>
    <row r="64253" spans="9:9" x14ac:dyDescent="0.2">
      <c r="I64253" s="137" t="s">
        <v>74</v>
      </c>
    </row>
    <row r="64254" spans="9:9" x14ac:dyDescent="0.2">
      <c r="I64254" s="137" t="s">
        <v>74</v>
      </c>
    </row>
    <row r="64255" spans="9:9" x14ac:dyDescent="0.2">
      <c r="I64255" s="137" t="s">
        <v>74</v>
      </c>
    </row>
    <row r="64256" spans="9:9" x14ac:dyDescent="0.2">
      <c r="I64256" s="137" t="s">
        <v>74</v>
      </c>
    </row>
    <row r="64257" spans="9:9" x14ac:dyDescent="0.2">
      <c r="I64257" s="137" t="s">
        <v>74</v>
      </c>
    </row>
    <row r="64258" spans="9:9" x14ac:dyDescent="0.2">
      <c r="I64258" s="137" t="s">
        <v>74</v>
      </c>
    </row>
    <row r="64259" spans="9:9" x14ac:dyDescent="0.2">
      <c r="I64259" s="137" t="s">
        <v>74</v>
      </c>
    </row>
    <row r="64260" spans="9:9" x14ac:dyDescent="0.2">
      <c r="I64260" s="137" t="s">
        <v>74</v>
      </c>
    </row>
    <row r="64261" spans="9:9" x14ac:dyDescent="0.2">
      <c r="I64261" s="137" t="s">
        <v>74</v>
      </c>
    </row>
    <row r="64262" spans="9:9" x14ac:dyDescent="0.2">
      <c r="I64262" s="137" t="s">
        <v>74</v>
      </c>
    </row>
    <row r="64263" spans="9:9" x14ac:dyDescent="0.2">
      <c r="I64263" s="137" t="s">
        <v>74</v>
      </c>
    </row>
    <row r="64264" spans="9:9" x14ac:dyDescent="0.2">
      <c r="I64264" s="137" t="s">
        <v>74</v>
      </c>
    </row>
    <row r="64265" spans="9:9" x14ac:dyDescent="0.2">
      <c r="I64265" s="137" t="s">
        <v>74</v>
      </c>
    </row>
    <row r="64266" spans="9:9" x14ac:dyDescent="0.2">
      <c r="I64266" s="137" t="s">
        <v>74</v>
      </c>
    </row>
    <row r="64267" spans="9:9" x14ac:dyDescent="0.2">
      <c r="I64267" s="137" t="s">
        <v>74</v>
      </c>
    </row>
    <row r="64268" spans="9:9" x14ac:dyDescent="0.2">
      <c r="I64268" s="137" t="s">
        <v>74</v>
      </c>
    </row>
    <row r="64269" spans="9:9" x14ac:dyDescent="0.2">
      <c r="I64269" s="137" t="s">
        <v>74</v>
      </c>
    </row>
    <row r="64270" spans="9:9" x14ac:dyDescent="0.2">
      <c r="I64270" s="137" t="s">
        <v>74</v>
      </c>
    </row>
    <row r="64271" spans="9:9" x14ac:dyDescent="0.2">
      <c r="I64271" s="137" t="s">
        <v>74</v>
      </c>
    </row>
    <row r="64272" spans="9:9" x14ac:dyDescent="0.2">
      <c r="I64272" s="137" t="s">
        <v>74</v>
      </c>
    </row>
    <row r="64273" spans="9:9" x14ac:dyDescent="0.2">
      <c r="I64273" s="137" t="s">
        <v>74</v>
      </c>
    </row>
    <row r="64274" spans="9:9" x14ac:dyDescent="0.2">
      <c r="I64274" s="137" t="s">
        <v>74</v>
      </c>
    </row>
    <row r="64275" spans="9:9" x14ac:dyDescent="0.2">
      <c r="I64275" s="137" t="s">
        <v>74</v>
      </c>
    </row>
    <row r="64276" spans="9:9" x14ac:dyDescent="0.2">
      <c r="I64276" s="137" t="s">
        <v>74</v>
      </c>
    </row>
    <row r="64277" spans="9:9" x14ac:dyDescent="0.2">
      <c r="I64277" s="137" t="s">
        <v>74</v>
      </c>
    </row>
    <row r="64278" spans="9:9" x14ac:dyDescent="0.2">
      <c r="I64278" s="137" t="s">
        <v>74</v>
      </c>
    </row>
    <row r="64279" spans="9:9" x14ac:dyDescent="0.2">
      <c r="I64279" s="137" t="s">
        <v>74</v>
      </c>
    </row>
    <row r="64280" spans="9:9" x14ac:dyDescent="0.2">
      <c r="I64280" s="137" t="s">
        <v>74</v>
      </c>
    </row>
    <row r="64281" spans="9:9" x14ac:dyDescent="0.2">
      <c r="I64281" s="137" t="s">
        <v>74</v>
      </c>
    </row>
    <row r="64282" spans="9:9" x14ac:dyDescent="0.2">
      <c r="I64282" s="137" t="s">
        <v>74</v>
      </c>
    </row>
    <row r="64283" spans="9:9" x14ac:dyDescent="0.2">
      <c r="I64283" s="137" t="s">
        <v>74</v>
      </c>
    </row>
    <row r="64284" spans="9:9" x14ac:dyDescent="0.2">
      <c r="I64284" s="137" t="s">
        <v>74</v>
      </c>
    </row>
    <row r="64285" spans="9:9" x14ac:dyDescent="0.2">
      <c r="I64285" s="137" t="s">
        <v>74</v>
      </c>
    </row>
    <row r="64286" spans="9:9" x14ac:dyDescent="0.2">
      <c r="I64286" s="137" t="s">
        <v>74</v>
      </c>
    </row>
    <row r="64287" spans="9:9" x14ac:dyDescent="0.2">
      <c r="I64287" s="137" t="s">
        <v>74</v>
      </c>
    </row>
    <row r="64288" spans="9:9" x14ac:dyDescent="0.2">
      <c r="I64288" s="137" t="s">
        <v>74</v>
      </c>
    </row>
    <row r="64289" spans="9:9" x14ac:dyDescent="0.2">
      <c r="I64289" s="137" t="s">
        <v>74</v>
      </c>
    </row>
    <row r="64290" spans="9:9" x14ac:dyDescent="0.2">
      <c r="I64290" s="137" t="s">
        <v>74</v>
      </c>
    </row>
    <row r="64291" spans="9:9" x14ac:dyDescent="0.2">
      <c r="I64291" s="137" t="s">
        <v>74</v>
      </c>
    </row>
    <row r="64292" spans="9:9" x14ac:dyDescent="0.2">
      <c r="I64292" s="137" t="s">
        <v>74</v>
      </c>
    </row>
    <row r="64293" spans="9:9" x14ac:dyDescent="0.2">
      <c r="I64293" s="137" t="s">
        <v>74</v>
      </c>
    </row>
    <row r="64294" spans="9:9" x14ac:dyDescent="0.2">
      <c r="I64294" s="137" t="s">
        <v>74</v>
      </c>
    </row>
    <row r="64295" spans="9:9" x14ac:dyDescent="0.2">
      <c r="I64295" s="137" t="s">
        <v>74</v>
      </c>
    </row>
    <row r="64296" spans="9:9" x14ac:dyDescent="0.2">
      <c r="I64296" s="137" t="s">
        <v>74</v>
      </c>
    </row>
    <row r="64297" spans="9:9" x14ac:dyDescent="0.2">
      <c r="I64297" s="137" t="s">
        <v>74</v>
      </c>
    </row>
    <row r="64298" spans="9:9" x14ac:dyDescent="0.2">
      <c r="I64298" s="137" t="s">
        <v>74</v>
      </c>
    </row>
    <row r="64299" spans="9:9" x14ac:dyDescent="0.2">
      <c r="I64299" s="137" t="s">
        <v>74</v>
      </c>
    </row>
    <row r="64300" spans="9:9" x14ac:dyDescent="0.2">
      <c r="I64300" s="137" t="s">
        <v>74</v>
      </c>
    </row>
    <row r="64301" spans="9:9" x14ac:dyDescent="0.2">
      <c r="I64301" s="137" t="s">
        <v>74</v>
      </c>
    </row>
    <row r="64302" spans="9:9" x14ac:dyDescent="0.2">
      <c r="I64302" s="137" t="s">
        <v>74</v>
      </c>
    </row>
    <row r="64303" spans="9:9" x14ac:dyDescent="0.2">
      <c r="I64303" s="137" t="s">
        <v>74</v>
      </c>
    </row>
    <row r="64304" spans="9:9" x14ac:dyDescent="0.2">
      <c r="I64304" s="137" t="s">
        <v>74</v>
      </c>
    </row>
    <row r="64305" spans="9:9" x14ac:dyDescent="0.2">
      <c r="I64305" s="137" t="s">
        <v>74</v>
      </c>
    </row>
    <row r="64306" spans="9:9" x14ac:dyDescent="0.2">
      <c r="I64306" s="137" t="s">
        <v>74</v>
      </c>
    </row>
    <row r="64307" spans="9:9" x14ac:dyDescent="0.2">
      <c r="I64307" s="137" t="s">
        <v>74</v>
      </c>
    </row>
    <row r="64308" spans="9:9" x14ac:dyDescent="0.2">
      <c r="I64308" s="137" t="s">
        <v>74</v>
      </c>
    </row>
    <row r="64309" spans="9:9" x14ac:dyDescent="0.2">
      <c r="I64309" s="137" t="s">
        <v>74</v>
      </c>
    </row>
    <row r="64310" spans="9:9" x14ac:dyDescent="0.2">
      <c r="I64310" s="137" t="s">
        <v>74</v>
      </c>
    </row>
    <row r="64311" spans="9:9" x14ac:dyDescent="0.2">
      <c r="I64311" s="137" t="s">
        <v>74</v>
      </c>
    </row>
    <row r="64312" spans="9:9" x14ac:dyDescent="0.2">
      <c r="I64312" s="137" t="s">
        <v>74</v>
      </c>
    </row>
    <row r="64313" spans="9:9" x14ac:dyDescent="0.2">
      <c r="I64313" s="137" t="s">
        <v>74</v>
      </c>
    </row>
    <row r="64314" spans="9:9" x14ac:dyDescent="0.2">
      <c r="I64314" s="137" t="s">
        <v>74</v>
      </c>
    </row>
    <row r="64315" spans="9:9" x14ac:dyDescent="0.2">
      <c r="I64315" s="137" t="s">
        <v>74</v>
      </c>
    </row>
    <row r="64316" spans="9:9" x14ac:dyDescent="0.2">
      <c r="I64316" s="137" t="s">
        <v>74</v>
      </c>
    </row>
    <row r="64317" spans="9:9" x14ac:dyDescent="0.2">
      <c r="I64317" s="137" t="s">
        <v>74</v>
      </c>
    </row>
    <row r="64318" spans="9:9" x14ac:dyDescent="0.2">
      <c r="I64318" s="137" t="s">
        <v>74</v>
      </c>
    </row>
    <row r="64319" spans="9:9" x14ac:dyDescent="0.2">
      <c r="I64319" s="137" t="s">
        <v>74</v>
      </c>
    </row>
    <row r="64320" spans="9:9" x14ac:dyDescent="0.2">
      <c r="I64320" s="137" t="s">
        <v>74</v>
      </c>
    </row>
    <row r="64321" spans="9:9" x14ac:dyDescent="0.2">
      <c r="I64321" s="137" t="s">
        <v>74</v>
      </c>
    </row>
    <row r="64322" spans="9:9" x14ac:dyDescent="0.2">
      <c r="I64322" s="137" t="s">
        <v>74</v>
      </c>
    </row>
    <row r="64323" spans="9:9" x14ac:dyDescent="0.2">
      <c r="I64323" s="137" t="s">
        <v>74</v>
      </c>
    </row>
    <row r="64324" spans="9:9" x14ac:dyDescent="0.2">
      <c r="I64324" s="137" t="s">
        <v>74</v>
      </c>
    </row>
    <row r="64325" spans="9:9" x14ac:dyDescent="0.2">
      <c r="I64325" s="137" t="s">
        <v>74</v>
      </c>
    </row>
    <row r="64326" spans="9:9" x14ac:dyDescent="0.2">
      <c r="I64326" s="137" t="s">
        <v>74</v>
      </c>
    </row>
    <row r="64327" spans="9:9" x14ac:dyDescent="0.2">
      <c r="I64327" s="137" t="s">
        <v>74</v>
      </c>
    </row>
    <row r="64328" spans="9:9" x14ac:dyDescent="0.2">
      <c r="I64328" s="137" t="s">
        <v>74</v>
      </c>
    </row>
    <row r="64329" spans="9:9" x14ac:dyDescent="0.2">
      <c r="I64329" s="137" t="s">
        <v>74</v>
      </c>
    </row>
    <row r="64330" spans="9:9" x14ac:dyDescent="0.2">
      <c r="I64330" s="137" t="s">
        <v>74</v>
      </c>
    </row>
    <row r="64331" spans="9:9" x14ac:dyDescent="0.2">
      <c r="I64331" s="137" t="s">
        <v>74</v>
      </c>
    </row>
    <row r="64332" spans="9:9" x14ac:dyDescent="0.2">
      <c r="I64332" s="137" t="s">
        <v>74</v>
      </c>
    </row>
    <row r="64333" spans="9:9" x14ac:dyDescent="0.2">
      <c r="I64333" s="137" t="s">
        <v>74</v>
      </c>
    </row>
    <row r="64334" spans="9:9" x14ac:dyDescent="0.2">
      <c r="I64334" s="137" t="s">
        <v>74</v>
      </c>
    </row>
    <row r="64335" spans="9:9" x14ac:dyDescent="0.2">
      <c r="I64335" s="137" t="s">
        <v>74</v>
      </c>
    </row>
    <row r="64336" spans="9:9" x14ac:dyDescent="0.2">
      <c r="I64336" s="137" t="s">
        <v>74</v>
      </c>
    </row>
    <row r="64337" spans="9:9" x14ac:dyDescent="0.2">
      <c r="I64337" s="137" t="s">
        <v>74</v>
      </c>
    </row>
    <row r="64338" spans="9:9" x14ac:dyDescent="0.2">
      <c r="I64338" s="137" t="s">
        <v>74</v>
      </c>
    </row>
    <row r="64339" spans="9:9" x14ac:dyDescent="0.2">
      <c r="I64339" s="137" t="s">
        <v>74</v>
      </c>
    </row>
    <row r="64340" spans="9:9" x14ac:dyDescent="0.2">
      <c r="I64340" s="137" t="s">
        <v>74</v>
      </c>
    </row>
    <row r="64341" spans="9:9" x14ac:dyDescent="0.2">
      <c r="I64341" s="137" t="s">
        <v>74</v>
      </c>
    </row>
    <row r="64342" spans="9:9" x14ac:dyDescent="0.2">
      <c r="I64342" s="137" t="s">
        <v>74</v>
      </c>
    </row>
    <row r="64343" spans="9:9" x14ac:dyDescent="0.2">
      <c r="I64343" s="137" t="s">
        <v>74</v>
      </c>
    </row>
    <row r="64344" spans="9:9" x14ac:dyDescent="0.2">
      <c r="I64344" s="137" t="s">
        <v>74</v>
      </c>
    </row>
    <row r="64345" spans="9:9" x14ac:dyDescent="0.2">
      <c r="I64345" s="137" t="s">
        <v>74</v>
      </c>
    </row>
    <row r="64346" spans="9:9" x14ac:dyDescent="0.2">
      <c r="I64346" s="137" t="s">
        <v>74</v>
      </c>
    </row>
    <row r="64347" spans="9:9" x14ac:dyDescent="0.2">
      <c r="I64347" s="137" t="s">
        <v>74</v>
      </c>
    </row>
    <row r="64348" spans="9:9" x14ac:dyDescent="0.2">
      <c r="I64348" s="137" t="s">
        <v>74</v>
      </c>
    </row>
    <row r="64349" spans="9:9" x14ac:dyDescent="0.2">
      <c r="I64349" s="137" t="s">
        <v>74</v>
      </c>
    </row>
    <row r="64350" spans="9:9" x14ac:dyDescent="0.2">
      <c r="I64350" s="137" t="s">
        <v>74</v>
      </c>
    </row>
    <row r="64351" spans="9:9" x14ac:dyDescent="0.2">
      <c r="I64351" s="137" t="s">
        <v>74</v>
      </c>
    </row>
    <row r="64352" spans="9:9" x14ac:dyDescent="0.2">
      <c r="I64352" s="137" t="s">
        <v>74</v>
      </c>
    </row>
    <row r="64353" spans="9:9" x14ac:dyDescent="0.2">
      <c r="I64353" s="137" t="s">
        <v>74</v>
      </c>
    </row>
    <row r="64354" spans="9:9" x14ac:dyDescent="0.2">
      <c r="I64354" s="137" t="s">
        <v>74</v>
      </c>
    </row>
    <row r="64355" spans="9:9" x14ac:dyDescent="0.2">
      <c r="I64355" s="137" t="s">
        <v>74</v>
      </c>
    </row>
    <row r="64356" spans="9:9" x14ac:dyDescent="0.2">
      <c r="I64356" s="137" t="s">
        <v>74</v>
      </c>
    </row>
    <row r="64357" spans="9:9" x14ac:dyDescent="0.2">
      <c r="I64357" s="137" t="s">
        <v>74</v>
      </c>
    </row>
    <row r="64358" spans="9:9" x14ac:dyDescent="0.2">
      <c r="I64358" s="137" t="s">
        <v>74</v>
      </c>
    </row>
    <row r="64359" spans="9:9" x14ac:dyDescent="0.2">
      <c r="I64359" s="137" t="s">
        <v>74</v>
      </c>
    </row>
    <row r="64360" spans="9:9" x14ac:dyDescent="0.2">
      <c r="I64360" s="137" t="s">
        <v>74</v>
      </c>
    </row>
    <row r="64361" spans="9:9" x14ac:dyDescent="0.2">
      <c r="I64361" s="137" t="s">
        <v>74</v>
      </c>
    </row>
    <row r="64362" spans="9:9" x14ac:dyDescent="0.2">
      <c r="I64362" s="137" t="s">
        <v>74</v>
      </c>
    </row>
    <row r="64363" spans="9:9" x14ac:dyDescent="0.2">
      <c r="I64363" s="137" t="s">
        <v>74</v>
      </c>
    </row>
    <row r="64364" spans="9:9" x14ac:dyDescent="0.2">
      <c r="I64364" s="137" t="s">
        <v>74</v>
      </c>
    </row>
    <row r="64365" spans="9:9" x14ac:dyDescent="0.2">
      <c r="I64365" s="137" t="s">
        <v>74</v>
      </c>
    </row>
    <row r="64366" spans="9:9" x14ac:dyDescent="0.2">
      <c r="I64366" s="137" t="s">
        <v>74</v>
      </c>
    </row>
    <row r="64367" spans="9:9" x14ac:dyDescent="0.2">
      <c r="I64367" s="137" t="s">
        <v>74</v>
      </c>
    </row>
    <row r="64368" spans="9:9" x14ac:dyDescent="0.2">
      <c r="I64368" s="137" t="s">
        <v>74</v>
      </c>
    </row>
    <row r="64369" spans="9:9" x14ac:dyDescent="0.2">
      <c r="I64369" s="137" t="s">
        <v>74</v>
      </c>
    </row>
    <row r="64370" spans="9:9" x14ac:dyDescent="0.2">
      <c r="I64370" s="137" t="s">
        <v>74</v>
      </c>
    </row>
    <row r="64371" spans="9:9" x14ac:dyDescent="0.2">
      <c r="I64371" s="137" t="s">
        <v>74</v>
      </c>
    </row>
    <row r="64372" spans="9:9" x14ac:dyDescent="0.2">
      <c r="I64372" s="137" t="s">
        <v>74</v>
      </c>
    </row>
    <row r="64373" spans="9:9" x14ac:dyDescent="0.2">
      <c r="I64373" s="137" t="s">
        <v>74</v>
      </c>
    </row>
    <row r="64374" spans="9:9" x14ac:dyDescent="0.2">
      <c r="I64374" s="137" t="s">
        <v>74</v>
      </c>
    </row>
    <row r="64375" spans="9:9" x14ac:dyDescent="0.2">
      <c r="I64375" s="137" t="s">
        <v>74</v>
      </c>
    </row>
    <row r="64376" spans="9:9" x14ac:dyDescent="0.2">
      <c r="I64376" s="137" t="s">
        <v>74</v>
      </c>
    </row>
    <row r="64377" spans="9:9" x14ac:dyDescent="0.2">
      <c r="I64377" s="137" t="s">
        <v>74</v>
      </c>
    </row>
    <row r="64378" spans="9:9" x14ac:dyDescent="0.2">
      <c r="I64378" s="137" t="s">
        <v>74</v>
      </c>
    </row>
    <row r="64379" spans="9:9" x14ac:dyDescent="0.2">
      <c r="I64379" s="137" t="s">
        <v>74</v>
      </c>
    </row>
    <row r="64380" spans="9:9" x14ac:dyDescent="0.2">
      <c r="I64380" s="137" t="s">
        <v>74</v>
      </c>
    </row>
    <row r="64381" spans="9:9" x14ac:dyDescent="0.2">
      <c r="I64381" s="137" t="s">
        <v>74</v>
      </c>
    </row>
    <row r="64382" spans="9:9" x14ac:dyDescent="0.2">
      <c r="I64382" s="137" t="s">
        <v>74</v>
      </c>
    </row>
    <row r="64383" spans="9:9" x14ac:dyDescent="0.2">
      <c r="I64383" s="137" t="s">
        <v>74</v>
      </c>
    </row>
    <row r="64384" spans="9:9" x14ac:dyDescent="0.2">
      <c r="I64384" s="137" t="s">
        <v>74</v>
      </c>
    </row>
    <row r="64385" spans="9:9" x14ac:dyDescent="0.2">
      <c r="I64385" s="137" t="s">
        <v>74</v>
      </c>
    </row>
    <row r="64386" spans="9:9" x14ac:dyDescent="0.2">
      <c r="I64386" s="137" t="s">
        <v>74</v>
      </c>
    </row>
    <row r="64387" spans="9:9" x14ac:dyDescent="0.2">
      <c r="I64387" s="137" t="s">
        <v>74</v>
      </c>
    </row>
    <row r="64388" spans="9:9" x14ac:dyDescent="0.2">
      <c r="I64388" s="137" t="s">
        <v>74</v>
      </c>
    </row>
    <row r="64389" spans="9:9" x14ac:dyDescent="0.2">
      <c r="I64389" s="137" t="s">
        <v>74</v>
      </c>
    </row>
    <row r="64390" spans="9:9" x14ac:dyDescent="0.2">
      <c r="I64390" s="137" t="s">
        <v>74</v>
      </c>
    </row>
    <row r="64391" spans="9:9" x14ac:dyDescent="0.2">
      <c r="I64391" s="137" t="s">
        <v>74</v>
      </c>
    </row>
    <row r="64392" spans="9:9" x14ac:dyDescent="0.2">
      <c r="I64392" s="137" t="s">
        <v>74</v>
      </c>
    </row>
    <row r="64393" spans="9:9" x14ac:dyDescent="0.2">
      <c r="I64393" s="137" t="s">
        <v>74</v>
      </c>
    </row>
    <row r="64394" spans="9:9" x14ac:dyDescent="0.2">
      <c r="I64394" s="137" t="s">
        <v>74</v>
      </c>
    </row>
    <row r="64395" spans="9:9" x14ac:dyDescent="0.2">
      <c r="I64395" s="137" t="s">
        <v>74</v>
      </c>
    </row>
    <row r="64396" spans="9:9" x14ac:dyDescent="0.2">
      <c r="I64396" s="137" t="s">
        <v>74</v>
      </c>
    </row>
    <row r="64397" spans="9:9" x14ac:dyDescent="0.2">
      <c r="I64397" s="137" t="s">
        <v>74</v>
      </c>
    </row>
    <row r="64398" spans="9:9" x14ac:dyDescent="0.2">
      <c r="I64398" s="137" t="s">
        <v>74</v>
      </c>
    </row>
    <row r="64399" spans="9:9" x14ac:dyDescent="0.2">
      <c r="I64399" s="137" t="s">
        <v>74</v>
      </c>
    </row>
    <row r="64400" spans="9:9" x14ac:dyDescent="0.2">
      <c r="I64400" s="137" t="s">
        <v>74</v>
      </c>
    </row>
    <row r="64401" spans="9:9" x14ac:dyDescent="0.2">
      <c r="I64401" s="137" t="s">
        <v>74</v>
      </c>
    </row>
    <row r="64402" spans="9:9" x14ac:dyDescent="0.2">
      <c r="I64402" s="137" t="s">
        <v>74</v>
      </c>
    </row>
    <row r="64403" spans="9:9" x14ac:dyDescent="0.2">
      <c r="I64403" s="137" t="s">
        <v>74</v>
      </c>
    </row>
    <row r="64404" spans="9:9" x14ac:dyDescent="0.2">
      <c r="I64404" s="137" t="s">
        <v>74</v>
      </c>
    </row>
    <row r="64405" spans="9:9" x14ac:dyDescent="0.2">
      <c r="I64405" s="137" t="s">
        <v>74</v>
      </c>
    </row>
    <row r="64406" spans="9:9" x14ac:dyDescent="0.2">
      <c r="I64406" s="137" t="s">
        <v>74</v>
      </c>
    </row>
    <row r="64407" spans="9:9" x14ac:dyDescent="0.2">
      <c r="I64407" s="137" t="s">
        <v>74</v>
      </c>
    </row>
    <row r="64408" spans="9:9" x14ac:dyDescent="0.2">
      <c r="I64408" s="137" t="s">
        <v>74</v>
      </c>
    </row>
    <row r="64409" spans="9:9" x14ac:dyDescent="0.2">
      <c r="I64409" s="137" t="s">
        <v>74</v>
      </c>
    </row>
    <row r="64410" spans="9:9" x14ac:dyDescent="0.2">
      <c r="I64410" s="137" t="s">
        <v>74</v>
      </c>
    </row>
    <row r="64411" spans="9:9" x14ac:dyDescent="0.2">
      <c r="I64411" s="137" t="s">
        <v>74</v>
      </c>
    </row>
    <row r="64412" spans="9:9" x14ac:dyDescent="0.2">
      <c r="I64412" s="137" t="s">
        <v>74</v>
      </c>
    </row>
    <row r="64413" spans="9:9" x14ac:dyDescent="0.2">
      <c r="I64413" s="137" t="s">
        <v>74</v>
      </c>
    </row>
    <row r="64414" spans="9:9" x14ac:dyDescent="0.2">
      <c r="I64414" s="137" t="s">
        <v>74</v>
      </c>
    </row>
    <row r="64415" spans="9:9" x14ac:dyDescent="0.2">
      <c r="I64415" s="137" t="s">
        <v>74</v>
      </c>
    </row>
    <row r="64416" spans="9:9" x14ac:dyDescent="0.2">
      <c r="I64416" s="137" t="s">
        <v>74</v>
      </c>
    </row>
    <row r="64417" spans="9:9" x14ac:dyDescent="0.2">
      <c r="I64417" s="137" t="s">
        <v>74</v>
      </c>
    </row>
    <row r="64418" spans="9:9" x14ac:dyDescent="0.2">
      <c r="I64418" s="137" t="s">
        <v>74</v>
      </c>
    </row>
    <row r="64419" spans="9:9" x14ac:dyDescent="0.2">
      <c r="I64419" s="137" t="s">
        <v>74</v>
      </c>
    </row>
    <row r="64420" spans="9:9" x14ac:dyDescent="0.2">
      <c r="I64420" s="137" t="s">
        <v>74</v>
      </c>
    </row>
    <row r="64421" spans="9:9" x14ac:dyDescent="0.2">
      <c r="I64421" s="137" t="s">
        <v>74</v>
      </c>
    </row>
    <row r="64422" spans="9:9" x14ac:dyDescent="0.2">
      <c r="I64422" s="137" t="s">
        <v>74</v>
      </c>
    </row>
    <row r="64423" spans="9:9" x14ac:dyDescent="0.2">
      <c r="I64423" s="137" t="s">
        <v>74</v>
      </c>
    </row>
    <row r="64424" spans="9:9" x14ac:dyDescent="0.2">
      <c r="I64424" s="137" t="s">
        <v>74</v>
      </c>
    </row>
    <row r="64425" spans="9:9" x14ac:dyDescent="0.2">
      <c r="I64425" s="137" t="s">
        <v>74</v>
      </c>
    </row>
    <row r="64426" spans="9:9" x14ac:dyDescent="0.2">
      <c r="I64426" s="137" t="s">
        <v>74</v>
      </c>
    </row>
    <row r="64427" spans="9:9" x14ac:dyDescent="0.2">
      <c r="I64427" s="137" t="s">
        <v>74</v>
      </c>
    </row>
    <row r="64428" spans="9:9" x14ac:dyDescent="0.2">
      <c r="I64428" s="137" t="s">
        <v>74</v>
      </c>
    </row>
    <row r="64429" spans="9:9" x14ac:dyDescent="0.2">
      <c r="I64429" s="137" t="s">
        <v>74</v>
      </c>
    </row>
    <row r="64430" spans="9:9" x14ac:dyDescent="0.2">
      <c r="I64430" s="137" t="s">
        <v>74</v>
      </c>
    </row>
    <row r="64431" spans="9:9" x14ac:dyDescent="0.2">
      <c r="I64431" s="137" t="s">
        <v>74</v>
      </c>
    </row>
    <row r="64432" spans="9:9" x14ac:dyDescent="0.2">
      <c r="I64432" s="137" t="s">
        <v>74</v>
      </c>
    </row>
    <row r="64433" spans="9:9" x14ac:dyDescent="0.2">
      <c r="I64433" s="137" t="s">
        <v>74</v>
      </c>
    </row>
    <row r="64434" spans="9:9" x14ac:dyDescent="0.2">
      <c r="I64434" s="137" t="s">
        <v>74</v>
      </c>
    </row>
    <row r="64435" spans="9:9" x14ac:dyDescent="0.2">
      <c r="I64435" s="137" t="s">
        <v>74</v>
      </c>
    </row>
    <row r="64436" spans="9:9" x14ac:dyDescent="0.2">
      <c r="I64436" s="137" t="s">
        <v>74</v>
      </c>
    </row>
    <row r="64437" spans="9:9" x14ac:dyDescent="0.2">
      <c r="I64437" s="137" t="s">
        <v>74</v>
      </c>
    </row>
    <row r="64438" spans="9:9" x14ac:dyDescent="0.2">
      <c r="I64438" s="137" t="s">
        <v>74</v>
      </c>
    </row>
    <row r="64439" spans="9:9" x14ac:dyDescent="0.2">
      <c r="I64439" s="137" t="s">
        <v>74</v>
      </c>
    </row>
    <row r="64440" spans="9:9" x14ac:dyDescent="0.2">
      <c r="I64440" s="137" t="s">
        <v>74</v>
      </c>
    </row>
    <row r="64441" spans="9:9" x14ac:dyDescent="0.2">
      <c r="I64441" s="137" t="s">
        <v>74</v>
      </c>
    </row>
    <row r="64442" spans="9:9" x14ac:dyDescent="0.2">
      <c r="I64442" s="137" t="s">
        <v>74</v>
      </c>
    </row>
    <row r="64443" spans="9:9" x14ac:dyDescent="0.2">
      <c r="I64443" s="137" t="s">
        <v>74</v>
      </c>
    </row>
    <row r="64444" spans="9:9" x14ac:dyDescent="0.2">
      <c r="I64444" s="137" t="s">
        <v>74</v>
      </c>
    </row>
    <row r="64445" spans="9:9" x14ac:dyDescent="0.2">
      <c r="I64445" s="137" t="s">
        <v>74</v>
      </c>
    </row>
    <row r="64446" spans="9:9" x14ac:dyDescent="0.2">
      <c r="I64446" s="137" t="s">
        <v>74</v>
      </c>
    </row>
    <row r="64447" spans="9:9" x14ac:dyDescent="0.2">
      <c r="I64447" s="137" t="s">
        <v>74</v>
      </c>
    </row>
    <row r="64448" spans="9:9" x14ac:dyDescent="0.2">
      <c r="I64448" s="137" t="s">
        <v>74</v>
      </c>
    </row>
    <row r="64449" spans="9:9" x14ac:dyDescent="0.2">
      <c r="I64449" s="137" t="s">
        <v>74</v>
      </c>
    </row>
    <row r="64450" spans="9:9" x14ac:dyDescent="0.2">
      <c r="I64450" s="137" t="s">
        <v>74</v>
      </c>
    </row>
    <row r="64451" spans="9:9" x14ac:dyDescent="0.2">
      <c r="I64451" s="137" t="s">
        <v>74</v>
      </c>
    </row>
    <row r="64452" spans="9:9" x14ac:dyDescent="0.2">
      <c r="I64452" s="137" t="s">
        <v>74</v>
      </c>
    </row>
    <row r="64453" spans="9:9" x14ac:dyDescent="0.2">
      <c r="I64453" s="137" t="s">
        <v>74</v>
      </c>
    </row>
    <row r="64454" spans="9:9" x14ac:dyDescent="0.2">
      <c r="I64454" s="137" t="s">
        <v>74</v>
      </c>
    </row>
    <row r="64455" spans="9:9" x14ac:dyDescent="0.2">
      <c r="I64455" s="137" t="s">
        <v>74</v>
      </c>
    </row>
    <row r="64456" spans="9:9" x14ac:dyDescent="0.2">
      <c r="I64456" s="137" t="s">
        <v>74</v>
      </c>
    </row>
    <row r="64457" spans="9:9" x14ac:dyDescent="0.2">
      <c r="I64457" s="137" t="s">
        <v>74</v>
      </c>
    </row>
    <row r="64458" spans="9:9" x14ac:dyDescent="0.2">
      <c r="I64458" s="137" t="s">
        <v>74</v>
      </c>
    </row>
    <row r="64459" spans="9:9" x14ac:dyDescent="0.2">
      <c r="I64459" s="137" t="s">
        <v>74</v>
      </c>
    </row>
    <row r="64460" spans="9:9" x14ac:dyDescent="0.2">
      <c r="I64460" s="137" t="s">
        <v>74</v>
      </c>
    </row>
    <row r="64461" spans="9:9" x14ac:dyDescent="0.2">
      <c r="I64461" s="137" t="s">
        <v>74</v>
      </c>
    </row>
    <row r="64462" spans="9:9" x14ac:dyDescent="0.2">
      <c r="I64462" s="137" t="s">
        <v>74</v>
      </c>
    </row>
    <row r="64463" spans="9:9" x14ac:dyDescent="0.2">
      <c r="I64463" s="137" t="s">
        <v>74</v>
      </c>
    </row>
    <row r="64464" spans="9:9" x14ac:dyDescent="0.2">
      <c r="I64464" s="137" t="s">
        <v>74</v>
      </c>
    </row>
    <row r="64465" spans="9:9" x14ac:dyDescent="0.2">
      <c r="I64465" s="137" t="s">
        <v>74</v>
      </c>
    </row>
    <row r="64466" spans="9:9" x14ac:dyDescent="0.2">
      <c r="I64466" s="137" t="s">
        <v>74</v>
      </c>
    </row>
    <row r="64467" spans="9:9" x14ac:dyDescent="0.2">
      <c r="I64467" s="137" t="s">
        <v>74</v>
      </c>
    </row>
    <row r="64468" spans="9:9" x14ac:dyDescent="0.2">
      <c r="I64468" s="137" t="s">
        <v>74</v>
      </c>
    </row>
    <row r="64469" spans="9:9" x14ac:dyDescent="0.2">
      <c r="I64469" s="137" t="s">
        <v>74</v>
      </c>
    </row>
    <row r="64470" spans="9:9" x14ac:dyDescent="0.2">
      <c r="I64470" s="137" t="s">
        <v>74</v>
      </c>
    </row>
    <row r="64471" spans="9:9" x14ac:dyDescent="0.2">
      <c r="I64471" s="137" t="s">
        <v>74</v>
      </c>
    </row>
    <row r="64472" spans="9:9" x14ac:dyDescent="0.2">
      <c r="I64472" s="137" t="s">
        <v>74</v>
      </c>
    </row>
    <row r="64473" spans="9:9" x14ac:dyDescent="0.2">
      <c r="I64473" s="137" t="s">
        <v>74</v>
      </c>
    </row>
    <row r="64474" spans="9:9" x14ac:dyDescent="0.2">
      <c r="I64474" s="137" t="s">
        <v>74</v>
      </c>
    </row>
    <row r="64475" spans="9:9" x14ac:dyDescent="0.2">
      <c r="I64475" s="137" t="s">
        <v>74</v>
      </c>
    </row>
    <row r="64476" spans="9:9" x14ac:dyDescent="0.2">
      <c r="I64476" s="137" t="s">
        <v>74</v>
      </c>
    </row>
    <row r="64477" spans="9:9" x14ac:dyDescent="0.2">
      <c r="I64477" s="137" t="s">
        <v>74</v>
      </c>
    </row>
    <row r="64478" spans="9:9" x14ac:dyDescent="0.2">
      <c r="I64478" s="137" t="s">
        <v>74</v>
      </c>
    </row>
    <row r="64479" spans="9:9" x14ac:dyDescent="0.2">
      <c r="I64479" s="137" t="s">
        <v>74</v>
      </c>
    </row>
    <row r="64480" spans="9:9" x14ac:dyDescent="0.2">
      <c r="I64480" s="137" t="s">
        <v>74</v>
      </c>
    </row>
    <row r="64481" spans="9:9" x14ac:dyDescent="0.2">
      <c r="I64481" s="137" t="s">
        <v>74</v>
      </c>
    </row>
    <row r="64482" spans="9:9" x14ac:dyDescent="0.2">
      <c r="I64482" s="137" t="s">
        <v>74</v>
      </c>
    </row>
    <row r="64483" spans="9:9" x14ac:dyDescent="0.2">
      <c r="I64483" s="137" t="s">
        <v>74</v>
      </c>
    </row>
    <row r="64484" spans="9:9" x14ac:dyDescent="0.2">
      <c r="I64484" s="137" t="s">
        <v>74</v>
      </c>
    </row>
    <row r="64485" spans="9:9" x14ac:dyDescent="0.2">
      <c r="I64485" s="137" t="s">
        <v>74</v>
      </c>
    </row>
    <row r="64486" spans="9:9" x14ac:dyDescent="0.2">
      <c r="I64486" s="137" t="s">
        <v>74</v>
      </c>
    </row>
    <row r="64487" spans="9:9" x14ac:dyDescent="0.2">
      <c r="I64487" s="137" t="s">
        <v>74</v>
      </c>
    </row>
    <row r="64488" spans="9:9" x14ac:dyDescent="0.2">
      <c r="I64488" s="137" t="s">
        <v>74</v>
      </c>
    </row>
    <row r="64489" spans="9:9" x14ac:dyDescent="0.2">
      <c r="I64489" s="137" t="s">
        <v>74</v>
      </c>
    </row>
    <row r="64490" spans="9:9" x14ac:dyDescent="0.2">
      <c r="I64490" s="137" t="s">
        <v>74</v>
      </c>
    </row>
    <row r="64491" spans="9:9" x14ac:dyDescent="0.2">
      <c r="I64491" s="137" t="s">
        <v>74</v>
      </c>
    </row>
    <row r="64492" spans="9:9" x14ac:dyDescent="0.2">
      <c r="I64492" s="137" t="s">
        <v>74</v>
      </c>
    </row>
    <row r="64493" spans="9:9" x14ac:dyDescent="0.2">
      <c r="I64493" s="137" t="s">
        <v>74</v>
      </c>
    </row>
    <row r="64494" spans="9:9" x14ac:dyDescent="0.2">
      <c r="I64494" s="137" t="s">
        <v>74</v>
      </c>
    </row>
    <row r="64495" spans="9:9" x14ac:dyDescent="0.2">
      <c r="I64495" s="137" t="s">
        <v>74</v>
      </c>
    </row>
    <row r="64496" spans="9:9" x14ac:dyDescent="0.2">
      <c r="I64496" s="137" t="s">
        <v>74</v>
      </c>
    </row>
    <row r="64497" spans="9:9" x14ac:dyDescent="0.2">
      <c r="I64497" s="137" t="s">
        <v>74</v>
      </c>
    </row>
    <row r="64498" spans="9:9" x14ac:dyDescent="0.2">
      <c r="I64498" s="137" t="s">
        <v>74</v>
      </c>
    </row>
    <row r="64499" spans="9:9" x14ac:dyDescent="0.2">
      <c r="I64499" s="137" t="s">
        <v>74</v>
      </c>
    </row>
    <row r="64500" spans="9:9" x14ac:dyDescent="0.2">
      <c r="I64500" s="137" t="s">
        <v>74</v>
      </c>
    </row>
    <row r="64501" spans="9:9" x14ac:dyDescent="0.2">
      <c r="I64501" s="137" t="s">
        <v>74</v>
      </c>
    </row>
    <row r="64502" spans="9:9" x14ac:dyDescent="0.2">
      <c r="I64502" s="137" t="s">
        <v>74</v>
      </c>
    </row>
    <row r="64503" spans="9:9" x14ac:dyDescent="0.2">
      <c r="I64503" s="137" t="s">
        <v>74</v>
      </c>
    </row>
    <row r="64504" spans="9:9" x14ac:dyDescent="0.2">
      <c r="I64504" s="137" t="s">
        <v>74</v>
      </c>
    </row>
    <row r="64505" spans="9:9" x14ac:dyDescent="0.2">
      <c r="I64505" s="137" t="s">
        <v>74</v>
      </c>
    </row>
    <row r="64506" spans="9:9" x14ac:dyDescent="0.2">
      <c r="I64506" s="137" t="s">
        <v>74</v>
      </c>
    </row>
    <row r="64507" spans="9:9" x14ac:dyDescent="0.2">
      <c r="I64507" s="137" t="s">
        <v>74</v>
      </c>
    </row>
    <row r="64508" spans="9:9" x14ac:dyDescent="0.2">
      <c r="I64508" s="137" t="s">
        <v>74</v>
      </c>
    </row>
    <row r="64509" spans="9:9" x14ac:dyDescent="0.2">
      <c r="I64509" s="137" t="s">
        <v>74</v>
      </c>
    </row>
    <row r="64510" spans="9:9" x14ac:dyDescent="0.2">
      <c r="I64510" s="137" t="s">
        <v>74</v>
      </c>
    </row>
    <row r="64511" spans="9:9" x14ac:dyDescent="0.2">
      <c r="I64511" s="137" t="s">
        <v>74</v>
      </c>
    </row>
    <row r="64512" spans="9:9" x14ac:dyDescent="0.2">
      <c r="I64512" s="137" t="s">
        <v>74</v>
      </c>
    </row>
    <row r="64513" spans="9:9" x14ac:dyDescent="0.2">
      <c r="I64513" s="137" t="s">
        <v>74</v>
      </c>
    </row>
    <row r="64514" spans="9:9" x14ac:dyDescent="0.2">
      <c r="I64514" s="137" t="s">
        <v>74</v>
      </c>
    </row>
    <row r="64515" spans="9:9" x14ac:dyDescent="0.2">
      <c r="I64515" s="137" t="s">
        <v>74</v>
      </c>
    </row>
    <row r="64516" spans="9:9" x14ac:dyDescent="0.2">
      <c r="I64516" s="137" t="s">
        <v>74</v>
      </c>
    </row>
    <row r="64517" spans="9:9" x14ac:dyDescent="0.2">
      <c r="I64517" s="137" t="s">
        <v>74</v>
      </c>
    </row>
    <row r="64518" spans="9:9" x14ac:dyDescent="0.2">
      <c r="I64518" s="137" t="s">
        <v>74</v>
      </c>
    </row>
    <row r="64519" spans="9:9" x14ac:dyDescent="0.2">
      <c r="I64519" s="137" t="s">
        <v>74</v>
      </c>
    </row>
    <row r="64520" spans="9:9" x14ac:dyDescent="0.2">
      <c r="I64520" s="137" t="s">
        <v>74</v>
      </c>
    </row>
    <row r="64521" spans="9:9" x14ac:dyDescent="0.2">
      <c r="I64521" s="137" t="s">
        <v>74</v>
      </c>
    </row>
    <row r="64522" spans="9:9" x14ac:dyDescent="0.2">
      <c r="I64522" s="137" t="s">
        <v>74</v>
      </c>
    </row>
    <row r="64523" spans="9:9" x14ac:dyDescent="0.2">
      <c r="I64523" s="137" t="s">
        <v>74</v>
      </c>
    </row>
    <row r="64524" spans="9:9" x14ac:dyDescent="0.2">
      <c r="I64524" s="137" t="s">
        <v>74</v>
      </c>
    </row>
    <row r="64525" spans="9:9" x14ac:dyDescent="0.2">
      <c r="I64525" s="137" t="s">
        <v>74</v>
      </c>
    </row>
    <row r="64526" spans="9:9" x14ac:dyDescent="0.2">
      <c r="I64526" s="137" t="s">
        <v>74</v>
      </c>
    </row>
    <row r="64527" spans="9:9" x14ac:dyDescent="0.2">
      <c r="I64527" s="137" t="s">
        <v>74</v>
      </c>
    </row>
    <row r="64528" spans="9:9" x14ac:dyDescent="0.2">
      <c r="I64528" s="137" t="s">
        <v>74</v>
      </c>
    </row>
    <row r="64529" spans="9:9" x14ac:dyDescent="0.2">
      <c r="I64529" s="137" t="s">
        <v>74</v>
      </c>
    </row>
    <row r="64530" spans="9:9" x14ac:dyDescent="0.2">
      <c r="I64530" s="137" t="s">
        <v>74</v>
      </c>
    </row>
    <row r="64531" spans="9:9" x14ac:dyDescent="0.2">
      <c r="I64531" s="137" t="s">
        <v>74</v>
      </c>
    </row>
    <row r="64532" spans="9:9" x14ac:dyDescent="0.2">
      <c r="I64532" s="137" t="s">
        <v>74</v>
      </c>
    </row>
    <row r="64533" spans="9:9" x14ac:dyDescent="0.2">
      <c r="I64533" s="137" t="s">
        <v>74</v>
      </c>
    </row>
    <row r="64534" spans="9:9" x14ac:dyDescent="0.2">
      <c r="I64534" s="137" t="s">
        <v>74</v>
      </c>
    </row>
    <row r="64535" spans="9:9" x14ac:dyDescent="0.2">
      <c r="I64535" s="137" t="s">
        <v>74</v>
      </c>
    </row>
    <row r="64536" spans="9:9" x14ac:dyDescent="0.2">
      <c r="I64536" s="137" t="s">
        <v>74</v>
      </c>
    </row>
    <row r="64537" spans="9:9" x14ac:dyDescent="0.2">
      <c r="I64537" s="137" t="s">
        <v>74</v>
      </c>
    </row>
    <row r="64538" spans="9:9" x14ac:dyDescent="0.2">
      <c r="I64538" s="137" t="s">
        <v>74</v>
      </c>
    </row>
    <row r="64539" spans="9:9" x14ac:dyDescent="0.2">
      <c r="I64539" s="137" t="s">
        <v>74</v>
      </c>
    </row>
    <row r="64540" spans="9:9" x14ac:dyDescent="0.2">
      <c r="I64540" s="137" t="s">
        <v>74</v>
      </c>
    </row>
    <row r="64541" spans="9:9" x14ac:dyDescent="0.2">
      <c r="I64541" s="137" t="s">
        <v>74</v>
      </c>
    </row>
    <row r="64542" spans="9:9" x14ac:dyDescent="0.2">
      <c r="I64542" s="137" t="s">
        <v>74</v>
      </c>
    </row>
    <row r="64543" spans="9:9" x14ac:dyDescent="0.2">
      <c r="I64543" s="137" t="s">
        <v>74</v>
      </c>
    </row>
    <row r="64544" spans="9:9" x14ac:dyDescent="0.2">
      <c r="I64544" s="137" t="s">
        <v>74</v>
      </c>
    </row>
    <row r="64545" spans="9:9" x14ac:dyDescent="0.2">
      <c r="I64545" s="137" t="s">
        <v>74</v>
      </c>
    </row>
    <row r="64546" spans="9:9" x14ac:dyDescent="0.2">
      <c r="I64546" s="137" t="s">
        <v>74</v>
      </c>
    </row>
    <row r="64547" spans="9:9" x14ac:dyDescent="0.2">
      <c r="I64547" s="137" t="s">
        <v>74</v>
      </c>
    </row>
    <row r="64548" spans="9:9" x14ac:dyDescent="0.2">
      <c r="I64548" s="137" t="s">
        <v>74</v>
      </c>
    </row>
    <row r="64549" spans="9:9" x14ac:dyDescent="0.2">
      <c r="I64549" s="137" t="s">
        <v>74</v>
      </c>
    </row>
    <row r="64550" spans="9:9" x14ac:dyDescent="0.2">
      <c r="I64550" s="137" t="s">
        <v>74</v>
      </c>
    </row>
    <row r="64551" spans="9:9" x14ac:dyDescent="0.2">
      <c r="I64551" s="137" t="s">
        <v>74</v>
      </c>
    </row>
    <row r="64552" spans="9:9" x14ac:dyDescent="0.2">
      <c r="I64552" s="137" t="s">
        <v>74</v>
      </c>
    </row>
    <row r="64553" spans="9:9" x14ac:dyDescent="0.2">
      <c r="I64553" s="137" t="s">
        <v>74</v>
      </c>
    </row>
    <row r="64554" spans="9:9" x14ac:dyDescent="0.2">
      <c r="I64554" s="137" t="s">
        <v>74</v>
      </c>
    </row>
    <row r="64555" spans="9:9" x14ac:dyDescent="0.2">
      <c r="I64555" s="137" t="s">
        <v>74</v>
      </c>
    </row>
    <row r="64556" spans="9:9" x14ac:dyDescent="0.2">
      <c r="I64556" s="137" t="s">
        <v>74</v>
      </c>
    </row>
    <row r="64557" spans="9:9" x14ac:dyDescent="0.2">
      <c r="I64557" s="137" t="s">
        <v>74</v>
      </c>
    </row>
    <row r="64558" spans="9:9" x14ac:dyDescent="0.2">
      <c r="I64558" s="137" t="s">
        <v>74</v>
      </c>
    </row>
    <row r="64559" spans="9:9" x14ac:dyDescent="0.2">
      <c r="I64559" s="137" t="s">
        <v>74</v>
      </c>
    </row>
    <row r="64560" spans="9:9" x14ac:dyDescent="0.2">
      <c r="I64560" s="137" t="s">
        <v>74</v>
      </c>
    </row>
    <row r="64561" spans="9:9" x14ac:dyDescent="0.2">
      <c r="I64561" s="137" t="s">
        <v>74</v>
      </c>
    </row>
    <row r="64562" spans="9:9" x14ac:dyDescent="0.2">
      <c r="I64562" s="137" t="s">
        <v>74</v>
      </c>
    </row>
    <row r="64563" spans="9:9" x14ac:dyDescent="0.2">
      <c r="I64563" s="137" t="s">
        <v>74</v>
      </c>
    </row>
    <row r="64564" spans="9:9" x14ac:dyDescent="0.2">
      <c r="I64564" s="137" t="s">
        <v>74</v>
      </c>
    </row>
    <row r="64565" spans="9:9" x14ac:dyDescent="0.2">
      <c r="I64565" s="137" t="s">
        <v>74</v>
      </c>
    </row>
    <row r="64566" spans="9:9" x14ac:dyDescent="0.2">
      <c r="I64566" s="137" t="s">
        <v>74</v>
      </c>
    </row>
    <row r="64567" spans="9:9" x14ac:dyDescent="0.2">
      <c r="I64567" s="137" t="s">
        <v>74</v>
      </c>
    </row>
    <row r="64568" spans="9:9" x14ac:dyDescent="0.2">
      <c r="I64568" s="137" t="s">
        <v>74</v>
      </c>
    </row>
    <row r="64569" spans="9:9" x14ac:dyDescent="0.2">
      <c r="I64569" s="137" t="s">
        <v>74</v>
      </c>
    </row>
    <row r="64570" spans="9:9" x14ac:dyDescent="0.2">
      <c r="I64570" s="137" t="s">
        <v>74</v>
      </c>
    </row>
    <row r="64571" spans="9:9" x14ac:dyDescent="0.2">
      <c r="I64571" s="137" t="s">
        <v>74</v>
      </c>
    </row>
    <row r="64572" spans="9:9" x14ac:dyDescent="0.2">
      <c r="I64572" s="137" t="s">
        <v>74</v>
      </c>
    </row>
    <row r="64573" spans="9:9" x14ac:dyDescent="0.2">
      <c r="I64573" s="137" t="s">
        <v>74</v>
      </c>
    </row>
    <row r="64574" spans="9:9" x14ac:dyDescent="0.2">
      <c r="I64574" s="137" t="s">
        <v>74</v>
      </c>
    </row>
    <row r="64575" spans="9:9" x14ac:dyDescent="0.2">
      <c r="I64575" s="137" t="s">
        <v>74</v>
      </c>
    </row>
    <row r="64576" spans="9:9" x14ac:dyDescent="0.2">
      <c r="I64576" s="137" t="s">
        <v>74</v>
      </c>
    </row>
    <row r="64577" spans="9:9" x14ac:dyDescent="0.2">
      <c r="I64577" s="137" t="s">
        <v>74</v>
      </c>
    </row>
    <row r="64578" spans="9:9" x14ac:dyDescent="0.2">
      <c r="I64578" s="137" t="s">
        <v>74</v>
      </c>
    </row>
    <row r="64579" spans="9:9" x14ac:dyDescent="0.2">
      <c r="I64579" s="137" t="s">
        <v>74</v>
      </c>
    </row>
    <row r="64580" spans="9:9" x14ac:dyDescent="0.2">
      <c r="I64580" s="137" t="s">
        <v>74</v>
      </c>
    </row>
    <row r="64581" spans="9:9" x14ac:dyDescent="0.2">
      <c r="I64581" s="137" t="s">
        <v>74</v>
      </c>
    </row>
    <row r="64582" spans="9:9" x14ac:dyDescent="0.2">
      <c r="I64582" s="137" t="s">
        <v>74</v>
      </c>
    </row>
    <row r="64583" spans="9:9" x14ac:dyDescent="0.2">
      <c r="I64583" s="137" t="s">
        <v>74</v>
      </c>
    </row>
    <row r="64584" spans="9:9" x14ac:dyDescent="0.2">
      <c r="I64584" s="137" t="s">
        <v>74</v>
      </c>
    </row>
    <row r="64585" spans="9:9" x14ac:dyDescent="0.2">
      <c r="I64585" s="137" t="s">
        <v>74</v>
      </c>
    </row>
    <row r="64586" spans="9:9" x14ac:dyDescent="0.2">
      <c r="I64586" s="137" t="s">
        <v>74</v>
      </c>
    </row>
    <row r="64587" spans="9:9" x14ac:dyDescent="0.2">
      <c r="I64587" s="137" t="s">
        <v>74</v>
      </c>
    </row>
    <row r="64588" spans="9:9" x14ac:dyDescent="0.2">
      <c r="I64588" s="137" t="s">
        <v>74</v>
      </c>
    </row>
    <row r="64589" spans="9:9" x14ac:dyDescent="0.2">
      <c r="I64589" s="137" t="s">
        <v>74</v>
      </c>
    </row>
    <row r="64590" spans="9:9" x14ac:dyDescent="0.2">
      <c r="I64590" s="137" t="s">
        <v>74</v>
      </c>
    </row>
    <row r="64591" spans="9:9" x14ac:dyDescent="0.2">
      <c r="I64591" s="137" t="s">
        <v>74</v>
      </c>
    </row>
    <row r="64592" spans="9:9" x14ac:dyDescent="0.2">
      <c r="I64592" s="137" t="s">
        <v>74</v>
      </c>
    </row>
    <row r="64593" spans="9:9" x14ac:dyDescent="0.2">
      <c r="I64593" s="137" t="s">
        <v>74</v>
      </c>
    </row>
    <row r="64594" spans="9:9" x14ac:dyDescent="0.2">
      <c r="I64594" s="137" t="s">
        <v>74</v>
      </c>
    </row>
    <row r="64595" spans="9:9" x14ac:dyDescent="0.2">
      <c r="I64595" s="137" t="s">
        <v>74</v>
      </c>
    </row>
    <row r="64596" spans="9:9" x14ac:dyDescent="0.2">
      <c r="I64596" s="137" t="s">
        <v>74</v>
      </c>
    </row>
    <row r="64597" spans="9:9" x14ac:dyDescent="0.2">
      <c r="I64597" s="137" t="s">
        <v>74</v>
      </c>
    </row>
    <row r="64598" spans="9:9" x14ac:dyDescent="0.2">
      <c r="I64598" s="137" t="s">
        <v>74</v>
      </c>
    </row>
    <row r="64599" spans="9:9" x14ac:dyDescent="0.2">
      <c r="I64599" s="137" t="s">
        <v>74</v>
      </c>
    </row>
    <row r="64600" spans="9:9" x14ac:dyDescent="0.2">
      <c r="I64600" s="137" t="s">
        <v>74</v>
      </c>
    </row>
    <row r="64601" spans="9:9" x14ac:dyDescent="0.2">
      <c r="I64601" s="137" t="s">
        <v>74</v>
      </c>
    </row>
    <row r="64602" spans="9:9" x14ac:dyDescent="0.2">
      <c r="I64602" s="137" t="s">
        <v>74</v>
      </c>
    </row>
    <row r="64603" spans="9:9" x14ac:dyDescent="0.2">
      <c r="I64603" s="137" t="s">
        <v>74</v>
      </c>
    </row>
    <row r="64604" spans="9:9" x14ac:dyDescent="0.2">
      <c r="I64604" s="137" t="s">
        <v>74</v>
      </c>
    </row>
    <row r="64605" spans="9:9" x14ac:dyDescent="0.2">
      <c r="I64605" s="137" t="s">
        <v>74</v>
      </c>
    </row>
    <row r="64606" spans="9:9" x14ac:dyDescent="0.2">
      <c r="I64606" s="137" t="s">
        <v>74</v>
      </c>
    </row>
    <row r="64607" spans="9:9" x14ac:dyDescent="0.2">
      <c r="I64607" s="137" t="s">
        <v>74</v>
      </c>
    </row>
    <row r="64608" spans="9:9" x14ac:dyDescent="0.2">
      <c r="I64608" s="137" t="s">
        <v>74</v>
      </c>
    </row>
    <row r="64609" spans="9:9" x14ac:dyDescent="0.2">
      <c r="I64609" s="137" t="s">
        <v>74</v>
      </c>
    </row>
    <row r="64610" spans="9:9" x14ac:dyDescent="0.2">
      <c r="I64610" s="137" t="s">
        <v>74</v>
      </c>
    </row>
    <row r="64611" spans="9:9" x14ac:dyDescent="0.2">
      <c r="I64611" s="137" t="s">
        <v>74</v>
      </c>
    </row>
    <row r="64612" spans="9:9" x14ac:dyDescent="0.2">
      <c r="I64612" s="137" t="s">
        <v>74</v>
      </c>
    </row>
    <row r="64613" spans="9:9" x14ac:dyDescent="0.2">
      <c r="I64613" s="137" t="s">
        <v>74</v>
      </c>
    </row>
    <row r="64614" spans="9:9" x14ac:dyDescent="0.2">
      <c r="I64614" s="137" t="s">
        <v>74</v>
      </c>
    </row>
    <row r="64615" spans="9:9" x14ac:dyDescent="0.2">
      <c r="I64615" s="137" t="s">
        <v>74</v>
      </c>
    </row>
    <row r="64616" spans="9:9" x14ac:dyDescent="0.2">
      <c r="I64616" s="137" t="s">
        <v>74</v>
      </c>
    </row>
    <row r="64617" spans="9:9" x14ac:dyDescent="0.2">
      <c r="I64617" s="137" t="s">
        <v>74</v>
      </c>
    </row>
    <row r="64618" spans="9:9" x14ac:dyDescent="0.2">
      <c r="I64618" s="137" t="s">
        <v>74</v>
      </c>
    </row>
    <row r="64619" spans="9:9" x14ac:dyDescent="0.2">
      <c r="I64619" s="137" t="s">
        <v>74</v>
      </c>
    </row>
    <row r="64620" spans="9:9" x14ac:dyDescent="0.2">
      <c r="I64620" s="137" t="s">
        <v>74</v>
      </c>
    </row>
    <row r="64621" spans="9:9" x14ac:dyDescent="0.2">
      <c r="I64621" s="137" t="s">
        <v>74</v>
      </c>
    </row>
    <row r="64622" spans="9:9" x14ac:dyDescent="0.2">
      <c r="I64622" s="137" t="s">
        <v>74</v>
      </c>
    </row>
    <row r="64623" spans="9:9" x14ac:dyDescent="0.2">
      <c r="I64623" s="137" t="s">
        <v>74</v>
      </c>
    </row>
    <row r="64624" spans="9:9" x14ac:dyDescent="0.2">
      <c r="I64624" s="137" t="s">
        <v>74</v>
      </c>
    </row>
    <row r="64625" spans="9:9" x14ac:dyDescent="0.2">
      <c r="I64625" s="137" t="s">
        <v>74</v>
      </c>
    </row>
    <row r="64626" spans="9:9" x14ac:dyDescent="0.2">
      <c r="I64626" s="137" t="s">
        <v>74</v>
      </c>
    </row>
    <row r="64627" spans="9:9" x14ac:dyDescent="0.2">
      <c r="I64627" s="137" t="s">
        <v>74</v>
      </c>
    </row>
    <row r="64628" spans="9:9" x14ac:dyDescent="0.2">
      <c r="I64628" s="137" t="s">
        <v>74</v>
      </c>
    </row>
    <row r="64629" spans="9:9" x14ac:dyDescent="0.2">
      <c r="I64629" s="137" t="s">
        <v>74</v>
      </c>
    </row>
    <row r="64630" spans="9:9" x14ac:dyDescent="0.2">
      <c r="I64630" s="137" t="s">
        <v>74</v>
      </c>
    </row>
    <row r="64631" spans="9:9" x14ac:dyDescent="0.2">
      <c r="I64631" s="137" t="s">
        <v>74</v>
      </c>
    </row>
    <row r="64632" spans="9:9" x14ac:dyDescent="0.2">
      <c r="I64632" s="137" t="s">
        <v>74</v>
      </c>
    </row>
    <row r="64633" spans="9:9" x14ac:dyDescent="0.2">
      <c r="I64633" s="137" t="s">
        <v>74</v>
      </c>
    </row>
    <row r="64634" spans="9:9" x14ac:dyDescent="0.2">
      <c r="I64634" s="137" t="s">
        <v>74</v>
      </c>
    </row>
    <row r="64635" spans="9:9" x14ac:dyDescent="0.2">
      <c r="I64635" s="137" t="s">
        <v>74</v>
      </c>
    </row>
    <row r="64636" spans="9:9" x14ac:dyDescent="0.2">
      <c r="I64636" s="137" t="s">
        <v>74</v>
      </c>
    </row>
    <row r="64637" spans="9:9" x14ac:dyDescent="0.2">
      <c r="I64637" s="137" t="s">
        <v>74</v>
      </c>
    </row>
    <row r="64638" spans="9:9" x14ac:dyDescent="0.2">
      <c r="I64638" s="137" t="s">
        <v>74</v>
      </c>
    </row>
    <row r="64639" spans="9:9" x14ac:dyDescent="0.2">
      <c r="I64639" s="137" t="s">
        <v>74</v>
      </c>
    </row>
    <row r="64640" spans="9:9" x14ac:dyDescent="0.2">
      <c r="I64640" s="137" t="s">
        <v>74</v>
      </c>
    </row>
    <row r="64641" spans="9:9" x14ac:dyDescent="0.2">
      <c r="I64641" s="137" t="s">
        <v>74</v>
      </c>
    </row>
    <row r="64642" spans="9:9" x14ac:dyDescent="0.2">
      <c r="I64642" s="137" t="s">
        <v>74</v>
      </c>
    </row>
    <row r="64643" spans="9:9" x14ac:dyDescent="0.2">
      <c r="I64643" s="137" t="s">
        <v>74</v>
      </c>
    </row>
    <row r="64644" spans="9:9" x14ac:dyDescent="0.2">
      <c r="I64644" s="137" t="s">
        <v>74</v>
      </c>
    </row>
    <row r="64645" spans="9:9" x14ac:dyDescent="0.2">
      <c r="I64645" s="137" t="s">
        <v>74</v>
      </c>
    </row>
    <row r="64646" spans="9:9" x14ac:dyDescent="0.2">
      <c r="I64646" s="137" t="s">
        <v>74</v>
      </c>
    </row>
    <row r="64647" spans="9:9" x14ac:dyDescent="0.2">
      <c r="I64647" s="137" t="s">
        <v>74</v>
      </c>
    </row>
    <row r="64648" spans="9:9" x14ac:dyDescent="0.2">
      <c r="I64648" s="137" t="s">
        <v>74</v>
      </c>
    </row>
    <row r="64649" spans="9:9" x14ac:dyDescent="0.2">
      <c r="I64649" s="137" t="s">
        <v>74</v>
      </c>
    </row>
    <row r="64650" spans="9:9" x14ac:dyDescent="0.2">
      <c r="I64650" s="137" t="s">
        <v>74</v>
      </c>
    </row>
    <row r="64651" spans="9:9" x14ac:dyDescent="0.2">
      <c r="I64651" s="137" t="s">
        <v>74</v>
      </c>
    </row>
    <row r="64652" spans="9:9" x14ac:dyDescent="0.2">
      <c r="I64652" s="137" t="s">
        <v>74</v>
      </c>
    </row>
    <row r="64653" spans="9:9" x14ac:dyDescent="0.2">
      <c r="I64653" s="137" t="s">
        <v>74</v>
      </c>
    </row>
    <row r="64654" spans="9:9" x14ac:dyDescent="0.2">
      <c r="I64654" s="137" t="s">
        <v>74</v>
      </c>
    </row>
    <row r="64655" spans="9:9" x14ac:dyDescent="0.2">
      <c r="I64655" s="137" t="s">
        <v>74</v>
      </c>
    </row>
    <row r="64656" spans="9:9" x14ac:dyDescent="0.2">
      <c r="I64656" s="137" t="s">
        <v>74</v>
      </c>
    </row>
    <row r="64657" spans="9:9" x14ac:dyDescent="0.2">
      <c r="I64657" s="137" t="s">
        <v>74</v>
      </c>
    </row>
    <row r="64658" spans="9:9" x14ac:dyDescent="0.2">
      <c r="I64658" s="137" t="s">
        <v>74</v>
      </c>
    </row>
    <row r="64659" spans="9:9" x14ac:dyDescent="0.2">
      <c r="I64659" s="137" t="s">
        <v>74</v>
      </c>
    </row>
    <row r="64660" spans="9:9" x14ac:dyDescent="0.2">
      <c r="I64660" s="137" t="s">
        <v>74</v>
      </c>
    </row>
    <row r="64661" spans="9:9" x14ac:dyDescent="0.2">
      <c r="I64661" s="137" t="s">
        <v>74</v>
      </c>
    </row>
    <row r="64662" spans="9:9" x14ac:dyDescent="0.2">
      <c r="I64662" s="137" t="s">
        <v>74</v>
      </c>
    </row>
    <row r="64663" spans="9:9" x14ac:dyDescent="0.2">
      <c r="I64663" s="137" t="s">
        <v>74</v>
      </c>
    </row>
    <row r="64664" spans="9:9" x14ac:dyDescent="0.2">
      <c r="I64664" s="137" t="s">
        <v>74</v>
      </c>
    </row>
    <row r="64665" spans="9:9" x14ac:dyDescent="0.2">
      <c r="I64665" s="137" t="s">
        <v>74</v>
      </c>
    </row>
    <row r="64666" spans="9:9" x14ac:dyDescent="0.2">
      <c r="I64666" s="137" t="s">
        <v>74</v>
      </c>
    </row>
    <row r="64667" spans="9:9" x14ac:dyDescent="0.2">
      <c r="I64667" s="137" t="s">
        <v>74</v>
      </c>
    </row>
    <row r="64668" spans="9:9" x14ac:dyDescent="0.2">
      <c r="I64668" s="137" t="s">
        <v>74</v>
      </c>
    </row>
    <row r="64669" spans="9:9" x14ac:dyDescent="0.2">
      <c r="I64669" s="137" t="s">
        <v>74</v>
      </c>
    </row>
    <row r="64670" spans="9:9" x14ac:dyDescent="0.2">
      <c r="I64670" s="137" t="s">
        <v>74</v>
      </c>
    </row>
    <row r="64671" spans="9:9" x14ac:dyDescent="0.2">
      <c r="I64671" s="137" t="s">
        <v>74</v>
      </c>
    </row>
    <row r="64672" spans="9:9" x14ac:dyDescent="0.2">
      <c r="I64672" s="137" t="s">
        <v>74</v>
      </c>
    </row>
    <row r="64673" spans="9:9" x14ac:dyDescent="0.2">
      <c r="I64673" s="137" t="s">
        <v>74</v>
      </c>
    </row>
    <row r="64674" spans="9:9" x14ac:dyDescent="0.2">
      <c r="I64674" s="137" t="s">
        <v>74</v>
      </c>
    </row>
    <row r="64675" spans="9:9" x14ac:dyDescent="0.2">
      <c r="I64675" s="137" t="s">
        <v>74</v>
      </c>
    </row>
    <row r="64676" spans="9:9" x14ac:dyDescent="0.2">
      <c r="I64676" s="137" t="s">
        <v>74</v>
      </c>
    </row>
    <row r="64677" spans="9:9" x14ac:dyDescent="0.2">
      <c r="I64677" s="137" t="s">
        <v>74</v>
      </c>
    </row>
    <row r="64678" spans="9:9" x14ac:dyDescent="0.2">
      <c r="I64678" s="137" t="s">
        <v>74</v>
      </c>
    </row>
    <row r="64679" spans="9:9" x14ac:dyDescent="0.2">
      <c r="I64679" s="137" t="s">
        <v>74</v>
      </c>
    </row>
    <row r="64680" spans="9:9" x14ac:dyDescent="0.2">
      <c r="I64680" s="137" t="s">
        <v>74</v>
      </c>
    </row>
    <row r="64681" spans="9:9" x14ac:dyDescent="0.2">
      <c r="I64681" s="137" t="s">
        <v>74</v>
      </c>
    </row>
    <row r="64682" spans="9:9" x14ac:dyDescent="0.2">
      <c r="I64682" s="137" t="s">
        <v>74</v>
      </c>
    </row>
    <row r="64683" spans="9:9" x14ac:dyDescent="0.2">
      <c r="I64683" s="137" t="s">
        <v>74</v>
      </c>
    </row>
    <row r="64684" spans="9:9" x14ac:dyDescent="0.2">
      <c r="I64684" s="137" t="s">
        <v>74</v>
      </c>
    </row>
    <row r="64685" spans="9:9" x14ac:dyDescent="0.2">
      <c r="I64685" s="137" t="s">
        <v>74</v>
      </c>
    </row>
    <row r="64686" spans="9:9" x14ac:dyDescent="0.2">
      <c r="I64686" s="137" t="s">
        <v>74</v>
      </c>
    </row>
    <row r="64687" spans="9:9" x14ac:dyDescent="0.2">
      <c r="I64687" s="137" t="s">
        <v>74</v>
      </c>
    </row>
    <row r="64688" spans="9:9" x14ac:dyDescent="0.2">
      <c r="I64688" s="137" t="s">
        <v>74</v>
      </c>
    </row>
    <row r="64689" spans="9:9" x14ac:dyDescent="0.2">
      <c r="I64689" s="137" t="s">
        <v>74</v>
      </c>
    </row>
    <row r="64690" spans="9:9" x14ac:dyDescent="0.2">
      <c r="I64690" s="137" t="s">
        <v>74</v>
      </c>
    </row>
    <row r="64691" spans="9:9" x14ac:dyDescent="0.2">
      <c r="I64691" s="137" t="s">
        <v>74</v>
      </c>
    </row>
    <row r="64692" spans="9:9" x14ac:dyDescent="0.2">
      <c r="I64692" s="137" t="s">
        <v>74</v>
      </c>
    </row>
    <row r="64693" spans="9:9" x14ac:dyDescent="0.2">
      <c r="I64693" s="137" t="s">
        <v>74</v>
      </c>
    </row>
    <row r="64694" spans="9:9" x14ac:dyDescent="0.2">
      <c r="I64694" s="137" t="s">
        <v>74</v>
      </c>
    </row>
    <row r="64695" spans="9:9" x14ac:dyDescent="0.2">
      <c r="I64695" s="137" t="s">
        <v>74</v>
      </c>
    </row>
    <row r="64696" spans="9:9" x14ac:dyDescent="0.2">
      <c r="I64696" s="137" t="s">
        <v>74</v>
      </c>
    </row>
    <row r="64697" spans="9:9" x14ac:dyDescent="0.2">
      <c r="I64697" s="137" t="s">
        <v>74</v>
      </c>
    </row>
    <row r="64698" spans="9:9" x14ac:dyDescent="0.2">
      <c r="I64698" s="137" t="s">
        <v>74</v>
      </c>
    </row>
    <row r="64699" spans="9:9" x14ac:dyDescent="0.2">
      <c r="I64699" s="137" t="s">
        <v>74</v>
      </c>
    </row>
    <row r="64700" spans="9:9" x14ac:dyDescent="0.2">
      <c r="I64700" s="137" t="s">
        <v>74</v>
      </c>
    </row>
    <row r="64701" spans="9:9" x14ac:dyDescent="0.2">
      <c r="I64701" s="137" t="s">
        <v>74</v>
      </c>
    </row>
    <row r="64702" spans="9:9" x14ac:dyDescent="0.2">
      <c r="I64702" s="137" t="s">
        <v>74</v>
      </c>
    </row>
    <row r="64703" spans="9:9" x14ac:dyDescent="0.2">
      <c r="I64703" s="137" t="s">
        <v>74</v>
      </c>
    </row>
    <row r="64704" spans="9:9" x14ac:dyDescent="0.2">
      <c r="I64704" s="137" t="s">
        <v>74</v>
      </c>
    </row>
    <row r="64705" spans="9:9" x14ac:dyDescent="0.2">
      <c r="I64705" s="137" t="s">
        <v>74</v>
      </c>
    </row>
    <row r="64706" spans="9:9" x14ac:dyDescent="0.2">
      <c r="I64706" s="137" t="s">
        <v>74</v>
      </c>
    </row>
    <row r="64707" spans="9:9" x14ac:dyDescent="0.2">
      <c r="I64707" s="137" t="s">
        <v>74</v>
      </c>
    </row>
    <row r="64708" spans="9:9" x14ac:dyDescent="0.2">
      <c r="I64708" s="137" t="s">
        <v>74</v>
      </c>
    </row>
    <row r="64709" spans="9:9" x14ac:dyDescent="0.2">
      <c r="I64709" s="137" t="s">
        <v>74</v>
      </c>
    </row>
    <row r="64710" spans="9:9" x14ac:dyDescent="0.2">
      <c r="I64710" s="137" t="s">
        <v>74</v>
      </c>
    </row>
    <row r="64711" spans="9:9" x14ac:dyDescent="0.2">
      <c r="I64711" s="137" t="s">
        <v>74</v>
      </c>
    </row>
    <row r="64712" spans="9:9" x14ac:dyDescent="0.2">
      <c r="I64712" s="137" t="s">
        <v>74</v>
      </c>
    </row>
    <row r="64713" spans="9:9" x14ac:dyDescent="0.2">
      <c r="I64713" s="137" t="s">
        <v>74</v>
      </c>
    </row>
    <row r="64714" spans="9:9" x14ac:dyDescent="0.2">
      <c r="I64714" s="137" t="s">
        <v>74</v>
      </c>
    </row>
    <row r="64715" spans="9:9" x14ac:dyDescent="0.2">
      <c r="I64715" s="137" t="s">
        <v>74</v>
      </c>
    </row>
    <row r="64716" spans="9:9" x14ac:dyDescent="0.2">
      <c r="I64716" s="137" t="s">
        <v>74</v>
      </c>
    </row>
    <row r="64717" spans="9:9" x14ac:dyDescent="0.2">
      <c r="I64717" s="137" t="s">
        <v>74</v>
      </c>
    </row>
    <row r="64718" spans="9:9" x14ac:dyDescent="0.2">
      <c r="I64718" s="137" t="s">
        <v>74</v>
      </c>
    </row>
    <row r="64719" spans="9:9" x14ac:dyDescent="0.2">
      <c r="I64719" s="137" t="s">
        <v>74</v>
      </c>
    </row>
    <row r="64720" spans="9:9" x14ac:dyDescent="0.2">
      <c r="I64720" s="137" t="s">
        <v>74</v>
      </c>
    </row>
    <row r="64721" spans="9:9" x14ac:dyDescent="0.2">
      <c r="I64721" s="137" t="s">
        <v>74</v>
      </c>
    </row>
    <row r="64722" spans="9:9" x14ac:dyDescent="0.2">
      <c r="I64722" s="137" t="s">
        <v>74</v>
      </c>
    </row>
    <row r="64723" spans="9:9" x14ac:dyDescent="0.2">
      <c r="I64723" s="137" t="s">
        <v>74</v>
      </c>
    </row>
    <row r="64724" spans="9:9" x14ac:dyDescent="0.2">
      <c r="I64724" s="137" t="s">
        <v>74</v>
      </c>
    </row>
    <row r="64725" spans="9:9" x14ac:dyDescent="0.2">
      <c r="I64725" s="137" t="s">
        <v>74</v>
      </c>
    </row>
    <row r="64726" spans="9:9" x14ac:dyDescent="0.2">
      <c r="I64726" s="137" t="s">
        <v>74</v>
      </c>
    </row>
    <row r="64727" spans="9:9" x14ac:dyDescent="0.2">
      <c r="I64727" s="137" t="s">
        <v>74</v>
      </c>
    </row>
    <row r="64728" spans="9:9" x14ac:dyDescent="0.2">
      <c r="I64728" s="137" t="s">
        <v>74</v>
      </c>
    </row>
    <row r="64729" spans="9:9" x14ac:dyDescent="0.2">
      <c r="I64729" s="137" t="s">
        <v>74</v>
      </c>
    </row>
    <row r="64730" spans="9:9" x14ac:dyDescent="0.2">
      <c r="I64730" s="137" t="s">
        <v>74</v>
      </c>
    </row>
    <row r="64731" spans="9:9" x14ac:dyDescent="0.2">
      <c r="I64731" s="137" t="s">
        <v>74</v>
      </c>
    </row>
    <row r="64732" spans="9:9" x14ac:dyDescent="0.2">
      <c r="I64732" s="137" t="s">
        <v>74</v>
      </c>
    </row>
    <row r="64733" spans="9:9" x14ac:dyDescent="0.2">
      <c r="I64733" s="137" t="s">
        <v>74</v>
      </c>
    </row>
    <row r="64734" spans="9:9" x14ac:dyDescent="0.2">
      <c r="I64734" s="137" t="s">
        <v>74</v>
      </c>
    </row>
    <row r="64735" spans="9:9" x14ac:dyDescent="0.2">
      <c r="I64735" s="137" t="s">
        <v>74</v>
      </c>
    </row>
    <row r="64736" spans="9:9" x14ac:dyDescent="0.2">
      <c r="I64736" s="137" t="s">
        <v>74</v>
      </c>
    </row>
    <row r="64737" spans="9:9" x14ac:dyDescent="0.2">
      <c r="I64737" s="137" t="s">
        <v>74</v>
      </c>
    </row>
    <row r="64738" spans="9:9" x14ac:dyDescent="0.2">
      <c r="I64738" s="137" t="s">
        <v>74</v>
      </c>
    </row>
    <row r="64739" spans="9:9" x14ac:dyDescent="0.2">
      <c r="I64739" s="137" t="s">
        <v>74</v>
      </c>
    </row>
    <row r="64740" spans="9:9" x14ac:dyDescent="0.2">
      <c r="I64740" s="137" t="s">
        <v>74</v>
      </c>
    </row>
    <row r="64741" spans="9:9" x14ac:dyDescent="0.2">
      <c r="I64741" s="137" t="s">
        <v>74</v>
      </c>
    </row>
    <row r="64742" spans="9:9" x14ac:dyDescent="0.2">
      <c r="I64742" s="137" t="s">
        <v>74</v>
      </c>
    </row>
    <row r="64743" spans="9:9" x14ac:dyDescent="0.2">
      <c r="I64743" s="137" t="s">
        <v>74</v>
      </c>
    </row>
    <row r="64744" spans="9:9" x14ac:dyDescent="0.2">
      <c r="I64744" s="137" t="s">
        <v>74</v>
      </c>
    </row>
    <row r="64745" spans="9:9" x14ac:dyDescent="0.2">
      <c r="I64745" s="137" t="s">
        <v>74</v>
      </c>
    </row>
    <row r="64746" spans="9:9" x14ac:dyDescent="0.2">
      <c r="I64746" s="137" t="s">
        <v>74</v>
      </c>
    </row>
    <row r="64747" spans="9:9" x14ac:dyDescent="0.2">
      <c r="I64747" s="137" t="s">
        <v>74</v>
      </c>
    </row>
    <row r="64748" spans="9:9" x14ac:dyDescent="0.2">
      <c r="I64748" s="137" t="s">
        <v>74</v>
      </c>
    </row>
    <row r="64749" spans="9:9" x14ac:dyDescent="0.2">
      <c r="I64749" s="137" t="s">
        <v>74</v>
      </c>
    </row>
    <row r="64750" spans="9:9" x14ac:dyDescent="0.2">
      <c r="I64750" s="137" t="s">
        <v>74</v>
      </c>
    </row>
    <row r="64751" spans="9:9" x14ac:dyDescent="0.2">
      <c r="I64751" s="137" t="s">
        <v>74</v>
      </c>
    </row>
    <row r="64752" spans="9:9" x14ac:dyDescent="0.2">
      <c r="I64752" s="137" t="s">
        <v>74</v>
      </c>
    </row>
    <row r="64753" spans="9:9" x14ac:dyDescent="0.2">
      <c r="I64753" s="137" t="s">
        <v>74</v>
      </c>
    </row>
    <row r="64754" spans="9:9" x14ac:dyDescent="0.2">
      <c r="I64754" s="137" t="s">
        <v>74</v>
      </c>
    </row>
    <row r="64755" spans="9:9" x14ac:dyDescent="0.2">
      <c r="I64755" s="137" t="s">
        <v>74</v>
      </c>
    </row>
    <row r="64756" spans="9:9" x14ac:dyDescent="0.2">
      <c r="I64756" s="137" t="s">
        <v>74</v>
      </c>
    </row>
    <row r="64757" spans="9:9" x14ac:dyDescent="0.2">
      <c r="I64757" s="137" t="s">
        <v>74</v>
      </c>
    </row>
    <row r="64758" spans="9:9" x14ac:dyDescent="0.2">
      <c r="I64758" s="137" t="s">
        <v>74</v>
      </c>
    </row>
    <row r="64759" spans="9:9" x14ac:dyDescent="0.2">
      <c r="I64759" s="137" t="s">
        <v>74</v>
      </c>
    </row>
    <row r="64760" spans="9:9" x14ac:dyDescent="0.2">
      <c r="I64760" s="137" t="s">
        <v>74</v>
      </c>
    </row>
    <row r="64761" spans="9:9" x14ac:dyDescent="0.2">
      <c r="I64761" s="137" t="s">
        <v>74</v>
      </c>
    </row>
    <row r="64762" spans="9:9" x14ac:dyDescent="0.2">
      <c r="I64762" s="137" t="s">
        <v>74</v>
      </c>
    </row>
    <row r="64763" spans="9:9" x14ac:dyDescent="0.2">
      <c r="I64763" s="137" t="s">
        <v>74</v>
      </c>
    </row>
    <row r="64764" spans="9:9" x14ac:dyDescent="0.2">
      <c r="I64764" s="137" t="s">
        <v>74</v>
      </c>
    </row>
    <row r="64765" spans="9:9" x14ac:dyDescent="0.2">
      <c r="I64765" s="137" t="s">
        <v>74</v>
      </c>
    </row>
    <row r="64766" spans="9:9" x14ac:dyDescent="0.2">
      <c r="I64766" s="137" t="s">
        <v>74</v>
      </c>
    </row>
    <row r="64767" spans="9:9" x14ac:dyDescent="0.2">
      <c r="I64767" s="137" t="s">
        <v>74</v>
      </c>
    </row>
    <row r="64768" spans="9:9" x14ac:dyDescent="0.2">
      <c r="I64768" s="137" t="s">
        <v>74</v>
      </c>
    </row>
    <row r="64769" spans="9:9" x14ac:dyDescent="0.2">
      <c r="I64769" s="137" t="s">
        <v>74</v>
      </c>
    </row>
    <row r="64770" spans="9:9" x14ac:dyDescent="0.2">
      <c r="I64770" s="137" t="s">
        <v>74</v>
      </c>
    </row>
    <row r="64771" spans="9:9" x14ac:dyDescent="0.2">
      <c r="I64771" s="137" t="s">
        <v>74</v>
      </c>
    </row>
    <row r="64772" spans="9:9" x14ac:dyDescent="0.2">
      <c r="I64772" s="137" t="s">
        <v>74</v>
      </c>
    </row>
    <row r="64773" spans="9:9" x14ac:dyDescent="0.2">
      <c r="I64773" s="137" t="s">
        <v>74</v>
      </c>
    </row>
    <row r="64774" spans="9:9" x14ac:dyDescent="0.2">
      <c r="I64774" s="137" t="s">
        <v>74</v>
      </c>
    </row>
    <row r="64775" spans="9:9" x14ac:dyDescent="0.2">
      <c r="I64775" s="137" t="s">
        <v>74</v>
      </c>
    </row>
    <row r="64776" spans="9:9" x14ac:dyDescent="0.2">
      <c r="I64776" s="137" t="s">
        <v>74</v>
      </c>
    </row>
    <row r="64777" spans="9:9" x14ac:dyDescent="0.2">
      <c r="I64777" s="137" t="s">
        <v>74</v>
      </c>
    </row>
    <row r="64778" spans="9:9" x14ac:dyDescent="0.2">
      <c r="I64778" s="137" t="s">
        <v>74</v>
      </c>
    </row>
    <row r="64779" spans="9:9" x14ac:dyDescent="0.2">
      <c r="I64779" s="137" t="s">
        <v>74</v>
      </c>
    </row>
    <row r="64780" spans="9:9" x14ac:dyDescent="0.2">
      <c r="I64780" s="137" t="s">
        <v>74</v>
      </c>
    </row>
    <row r="64781" spans="9:9" x14ac:dyDescent="0.2">
      <c r="I64781" s="137" t="s">
        <v>74</v>
      </c>
    </row>
    <row r="64782" spans="9:9" x14ac:dyDescent="0.2">
      <c r="I64782" s="137" t="s">
        <v>74</v>
      </c>
    </row>
    <row r="64783" spans="9:9" x14ac:dyDescent="0.2">
      <c r="I64783" s="137" t="s">
        <v>74</v>
      </c>
    </row>
    <row r="64784" spans="9:9" x14ac:dyDescent="0.2">
      <c r="I64784" s="137" t="s">
        <v>74</v>
      </c>
    </row>
    <row r="64785" spans="9:9" x14ac:dyDescent="0.2">
      <c r="I64785" s="137" t="s">
        <v>74</v>
      </c>
    </row>
    <row r="64786" spans="9:9" x14ac:dyDescent="0.2">
      <c r="I64786" s="137" t="s">
        <v>74</v>
      </c>
    </row>
    <row r="64787" spans="9:9" x14ac:dyDescent="0.2">
      <c r="I64787" s="137" t="s">
        <v>74</v>
      </c>
    </row>
    <row r="64788" spans="9:9" x14ac:dyDescent="0.2">
      <c r="I64788" s="137" t="s">
        <v>74</v>
      </c>
    </row>
    <row r="64789" spans="9:9" x14ac:dyDescent="0.2">
      <c r="I64789" s="137" t="s">
        <v>74</v>
      </c>
    </row>
    <row r="64790" spans="9:9" x14ac:dyDescent="0.2">
      <c r="I64790" s="137" t="s">
        <v>74</v>
      </c>
    </row>
    <row r="64791" spans="9:9" x14ac:dyDescent="0.2">
      <c r="I64791" s="137" t="s">
        <v>74</v>
      </c>
    </row>
    <row r="64792" spans="9:9" x14ac:dyDescent="0.2">
      <c r="I64792" s="137" t="s">
        <v>74</v>
      </c>
    </row>
    <row r="64793" spans="9:9" x14ac:dyDescent="0.2">
      <c r="I64793" s="137" t="s">
        <v>74</v>
      </c>
    </row>
    <row r="64794" spans="9:9" x14ac:dyDescent="0.2">
      <c r="I64794" s="137" t="s">
        <v>74</v>
      </c>
    </row>
    <row r="64795" spans="9:9" x14ac:dyDescent="0.2">
      <c r="I64795" s="137" t="s">
        <v>74</v>
      </c>
    </row>
    <row r="64796" spans="9:9" x14ac:dyDescent="0.2">
      <c r="I64796" s="137" t="s">
        <v>74</v>
      </c>
    </row>
    <row r="64797" spans="9:9" x14ac:dyDescent="0.2">
      <c r="I64797" s="137" t="s">
        <v>74</v>
      </c>
    </row>
    <row r="64798" spans="9:9" x14ac:dyDescent="0.2">
      <c r="I64798" s="137" t="s">
        <v>74</v>
      </c>
    </row>
    <row r="64799" spans="9:9" x14ac:dyDescent="0.2">
      <c r="I64799" s="137" t="s">
        <v>74</v>
      </c>
    </row>
    <row r="64800" spans="9:9" x14ac:dyDescent="0.2">
      <c r="I64800" s="137" t="s">
        <v>74</v>
      </c>
    </row>
    <row r="64801" spans="9:9" x14ac:dyDescent="0.2">
      <c r="I64801" s="137" t="s">
        <v>74</v>
      </c>
    </row>
    <row r="64802" spans="9:9" x14ac:dyDescent="0.2">
      <c r="I64802" s="137" t="s">
        <v>74</v>
      </c>
    </row>
    <row r="64803" spans="9:9" x14ac:dyDescent="0.2">
      <c r="I64803" s="137" t="s">
        <v>74</v>
      </c>
    </row>
    <row r="64804" spans="9:9" x14ac:dyDescent="0.2">
      <c r="I64804" s="137" t="s">
        <v>74</v>
      </c>
    </row>
    <row r="64805" spans="9:9" x14ac:dyDescent="0.2">
      <c r="I64805" s="137" t="s">
        <v>74</v>
      </c>
    </row>
    <row r="64806" spans="9:9" x14ac:dyDescent="0.2">
      <c r="I64806" s="137" t="s">
        <v>74</v>
      </c>
    </row>
    <row r="64807" spans="9:9" x14ac:dyDescent="0.2">
      <c r="I64807" s="137" t="s">
        <v>74</v>
      </c>
    </row>
    <row r="64808" spans="9:9" x14ac:dyDescent="0.2">
      <c r="I64808" s="137" t="s">
        <v>74</v>
      </c>
    </row>
    <row r="64809" spans="9:9" x14ac:dyDescent="0.2">
      <c r="I64809" s="137" t="s">
        <v>74</v>
      </c>
    </row>
    <row r="64810" spans="9:9" x14ac:dyDescent="0.2">
      <c r="I64810" s="137" t="s">
        <v>74</v>
      </c>
    </row>
    <row r="64811" spans="9:9" x14ac:dyDescent="0.2">
      <c r="I64811" s="137" t="s">
        <v>74</v>
      </c>
    </row>
    <row r="64812" spans="9:9" x14ac:dyDescent="0.2">
      <c r="I64812" s="137" t="s">
        <v>74</v>
      </c>
    </row>
    <row r="64813" spans="9:9" x14ac:dyDescent="0.2">
      <c r="I64813" s="137" t="s">
        <v>74</v>
      </c>
    </row>
    <row r="64814" spans="9:9" x14ac:dyDescent="0.2">
      <c r="I64814" s="137" t="s">
        <v>74</v>
      </c>
    </row>
    <row r="64815" spans="9:9" x14ac:dyDescent="0.2">
      <c r="I64815" s="137" t="s">
        <v>74</v>
      </c>
    </row>
    <row r="64816" spans="9:9" x14ac:dyDescent="0.2">
      <c r="I64816" s="137" t="s">
        <v>74</v>
      </c>
    </row>
    <row r="64817" spans="9:9" x14ac:dyDescent="0.2">
      <c r="I64817" s="137" t="s">
        <v>74</v>
      </c>
    </row>
    <row r="64818" spans="9:9" x14ac:dyDescent="0.2">
      <c r="I64818" s="137" t="s">
        <v>74</v>
      </c>
    </row>
    <row r="64819" spans="9:9" x14ac:dyDescent="0.2">
      <c r="I64819" s="137" t="s">
        <v>74</v>
      </c>
    </row>
    <row r="64820" spans="9:9" x14ac:dyDescent="0.2">
      <c r="I64820" s="137" t="s">
        <v>74</v>
      </c>
    </row>
    <row r="64821" spans="9:9" x14ac:dyDescent="0.2">
      <c r="I64821" s="137" t="s">
        <v>74</v>
      </c>
    </row>
    <row r="64822" spans="9:9" x14ac:dyDescent="0.2">
      <c r="I64822" s="137" t="s">
        <v>74</v>
      </c>
    </row>
    <row r="64823" spans="9:9" x14ac:dyDescent="0.2">
      <c r="I64823" s="137" t="s">
        <v>74</v>
      </c>
    </row>
    <row r="64824" spans="9:9" x14ac:dyDescent="0.2">
      <c r="I64824" s="137" t="s">
        <v>74</v>
      </c>
    </row>
    <row r="64825" spans="9:9" x14ac:dyDescent="0.2">
      <c r="I64825" s="137" t="s">
        <v>74</v>
      </c>
    </row>
    <row r="64826" spans="9:9" x14ac:dyDescent="0.2">
      <c r="I64826" s="137" t="s">
        <v>74</v>
      </c>
    </row>
    <row r="64827" spans="9:9" x14ac:dyDescent="0.2">
      <c r="I64827" s="137" t="s">
        <v>74</v>
      </c>
    </row>
    <row r="64828" spans="9:9" x14ac:dyDescent="0.2">
      <c r="I64828" s="137" t="s">
        <v>74</v>
      </c>
    </row>
    <row r="64829" spans="9:9" x14ac:dyDescent="0.2">
      <c r="I64829" s="137" t="s">
        <v>74</v>
      </c>
    </row>
    <row r="64830" spans="9:9" x14ac:dyDescent="0.2">
      <c r="I64830" s="137" t="s">
        <v>74</v>
      </c>
    </row>
    <row r="64831" spans="9:9" x14ac:dyDescent="0.2">
      <c r="I64831" s="137" t="s">
        <v>74</v>
      </c>
    </row>
    <row r="64832" spans="9:9" x14ac:dyDescent="0.2">
      <c r="I64832" s="137" t="s">
        <v>74</v>
      </c>
    </row>
    <row r="64833" spans="9:9" x14ac:dyDescent="0.2">
      <c r="I64833" s="137" t="s">
        <v>74</v>
      </c>
    </row>
    <row r="64834" spans="9:9" x14ac:dyDescent="0.2">
      <c r="I64834" s="137" t="s">
        <v>74</v>
      </c>
    </row>
    <row r="64835" spans="9:9" x14ac:dyDescent="0.2">
      <c r="I64835" s="137" t="s">
        <v>74</v>
      </c>
    </row>
    <row r="64836" spans="9:9" x14ac:dyDescent="0.2">
      <c r="I64836" s="137" t="s">
        <v>74</v>
      </c>
    </row>
    <row r="64837" spans="9:9" x14ac:dyDescent="0.2">
      <c r="I64837" s="137" t="s">
        <v>74</v>
      </c>
    </row>
    <row r="64838" spans="9:9" x14ac:dyDescent="0.2">
      <c r="I64838" s="137" t="s">
        <v>74</v>
      </c>
    </row>
    <row r="64839" spans="9:9" x14ac:dyDescent="0.2">
      <c r="I64839" s="137" t="s">
        <v>74</v>
      </c>
    </row>
    <row r="64840" spans="9:9" x14ac:dyDescent="0.2">
      <c r="I64840" s="137" t="s">
        <v>74</v>
      </c>
    </row>
    <row r="64841" spans="9:9" x14ac:dyDescent="0.2">
      <c r="I64841" s="137" t="s">
        <v>74</v>
      </c>
    </row>
    <row r="64842" spans="9:9" x14ac:dyDescent="0.2">
      <c r="I64842" s="137" t="s">
        <v>74</v>
      </c>
    </row>
    <row r="64843" spans="9:9" x14ac:dyDescent="0.2">
      <c r="I64843" s="137" t="s">
        <v>74</v>
      </c>
    </row>
    <row r="64844" spans="9:9" x14ac:dyDescent="0.2">
      <c r="I64844" s="137" t="s">
        <v>74</v>
      </c>
    </row>
    <row r="64845" spans="9:9" x14ac:dyDescent="0.2">
      <c r="I64845" s="137" t="s">
        <v>74</v>
      </c>
    </row>
    <row r="64846" spans="9:9" x14ac:dyDescent="0.2">
      <c r="I64846" s="137" t="s">
        <v>74</v>
      </c>
    </row>
    <row r="64847" spans="9:9" x14ac:dyDescent="0.2">
      <c r="I64847" s="137" t="s">
        <v>74</v>
      </c>
    </row>
    <row r="64848" spans="9:9" x14ac:dyDescent="0.2">
      <c r="I64848" s="137" t="s">
        <v>74</v>
      </c>
    </row>
    <row r="64849" spans="9:9" x14ac:dyDescent="0.2">
      <c r="I64849" s="137" t="s">
        <v>74</v>
      </c>
    </row>
    <row r="64850" spans="9:9" x14ac:dyDescent="0.2">
      <c r="I64850" s="137" t="s">
        <v>74</v>
      </c>
    </row>
    <row r="64851" spans="9:9" x14ac:dyDescent="0.2">
      <c r="I64851" s="137" t="s">
        <v>74</v>
      </c>
    </row>
    <row r="64852" spans="9:9" x14ac:dyDescent="0.2">
      <c r="I64852" s="137" t="s">
        <v>74</v>
      </c>
    </row>
    <row r="64853" spans="9:9" x14ac:dyDescent="0.2">
      <c r="I64853" s="137" t="s">
        <v>74</v>
      </c>
    </row>
    <row r="64854" spans="9:9" x14ac:dyDescent="0.2">
      <c r="I64854" s="137" t="s">
        <v>74</v>
      </c>
    </row>
    <row r="64855" spans="9:9" x14ac:dyDescent="0.2">
      <c r="I64855" s="137" t="s">
        <v>74</v>
      </c>
    </row>
    <row r="64856" spans="9:9" x14ac:dyDescent="0.2">
      <c r="I64856" s="137" t="s">
        <v>74</v>
      </c>
    </row>
    <row r="64857" spans="9:9" x14ac:dyDescent="0.2">
      <c r="I64857" s="137" t="s">
        <v>74</v>
      </c>
    </row>
    <row r="64858" spans="9:9" x14ac:dyDescent="0.2">
      <c r="I64858" s="137" t="s">
        <v>74</v>
      </c>
    </row>
    <row r="64859" spans="9:9" x14ac:dyDescent="0.2">
      <c r="I64859" s="137" t="s">
        <v>74</v>
      </c>
    </row>
    <row r="64860" spans="9:9" x14ac:dyDescent="0.2">
      <c r="I64860" s="137" t="s">
        <v>74</v>
      </c>
    </row>
    <row r="64861" spans="9:9" x14ac:dyDescent="0.2">
      <c r="I64861" s="137" t="s">
        <v>74</v>
      </c>
    </row>
    <row r="64862" spans="9:9" x14ac:dyDescent="0.2">
      <c r="I64862" s="137" t="s">
        <v>74</v>
      </c>
    </row>
    <row r="64863" spans="9:9" x14ac:dyDescent="0.2">
      <c r="I64863" s="137" t="s">
        <v>74</v>
      </c>
    </row>
    <row r="64864" spans="9:9" x14ac:dyDescent="0.2">
      <c r="I64864" s="137" t="s">
        <v>74</v>
      </c>
    </row>
    <row r="64865" spans="9:9" x14ac:dyDescent="0.2">
      <c r="I64865" s="137" t="s">
        <v>74</v>
      </c>
    </row>
    <row r="64866" spans="9:9" x14ac:dyDescent="0.2">
      <c r="I64866" s="137" t="s">
        <v>74</v>
      </c>
    </row>
    <row r="64867" spans="9:9" x14ac:dyDescent="0.2">
      <c r="I64867" s="137" t="s">
        <v>74</v>
      </c>
    </row>
    <row r="64868" spans="9:9" x14ac:dyDescent="0.2">
      <c r="I64868" s="137" t="s">
        <v>74</v>
      </c>
    </row>
    <row r="64869" spans="9:9" x14ac:dyDescent="0.2">
      <c r="I64869" s="137" t="s">
        <v>74</v>
      </c>
    </row>
    <row r="64870" spans="9:9" x14ac:dyDescent="0.2">
      <c r="I64870" s="137" t="s">
        <v>74</v>
      </c>
    </row>
    <row r="64871" spans="9:9" x14ac:dyDescent="0.2">
      <c r="I64871" s="137" t="s">
        <v>74</v>
      </c>
    </row>
    <row r="64872" spans="9:9" x14ac:dyDescent="0.2">
      <c r="I64872" s="137" t="s">
        <v>74</v>
      </c>
    </row>
    <row r="64873" spans="9:9" x14ac:dyDescent="0.2">
      <c r="I64873" s="137" t="s">
        <v>74</v>
      </c>
    </row>
    <row r="64874" spans="9:9" x14ac:dyDescent="0.2">
      <c r="I64874" s="137" t="s">
        <v>74</v>
      </c>
    </row>
    <row r="64875" spans="9:9" x14ac:dyDescent="0.2">
      <c r="I64875" s="137" t="s">
        <v>74</v>
      </c>
    </row>
    <row r="64876" spans="9:9" x14ac:dyDescent="0.2">
      <c r="I64876" s="137" t="s">
        <v>74</v>
      </c>
    </row>
    <row r="64877" spans="9:9" x14ac:dyDescent="0.2">
      <c r="I64877" s="137" t="s">
        <v>74</v>
      </c>
    </row>
    <row r="64878" spans="9:9" x14ac:dyDescent="0.2">
      <c r="I64878" s="137" t="s">
        <v>74</v>
      </c>
    </row>
    <row r="64879" spans="9:9" x14ac:dyDescent="0.2">
      <c r="I64879" s="137" t="s">
        <v>74</v>
      </c>
    </row>
    <row r="64880" spans="9:9" x14ac:dyDescent="0.2">
      <c r="I64880" s="137" t="s">
        <v>74</v>
      </c>
    </row>
    <row r="64881" spans="9:9" x14ac:dyDescent="0.2">
      <c r="I64881" s="137" t="s">
        <v>74</v>
      </c>
    </row>
    <row r="64882" spans="9:9" x14ac:dyDescent="0.2">
      <c r="I64882" s="137" t="s">
        <v>74</v>
      </c>
    </row>
    <row r="64883" spans="9:9" x14ac:dyDescent="0.2">
      <c r="I64883" s="137" t="s">
        <v>74</v>
      </c>
    </row>
    <row r="64884" spans="9:9" x14ac:dyDescent="0.2">
      <c r="I64884" s="137" t="s">
        <v>74</v>
      </c>
    </row>
    <row r="64885" spans="9:9" x14ac:dyDescent="0.2">
      <c r="I64885" s="137" t="s">
        <v>74</v>
      </c>
    </row>
    <row r="64886" spans="9:9" x14ac:dyDescent="0.2">
      <c r="I64886" s="137" t="s">
        <v>74</v>
      </c>
    </row>
    <row r="64887" spans="9:9" x14ac:dyDescent="0.2">
      <c r="I64887" s="137" t="s">
        <v>74</v>
      </c>
    </row>
    <row r="64888" spans="9:9" x14ac:dyDescent="0.2">
      <c r="I64888" s="137" t="s">
        <v>74</v>
      </c>
    </row>
    <row r="64889" spans="9:9" x14ac:dyDescent="0.2">
      <c r="I64889" s="137" t="s">
        <v>74</v>
      </c>
    </row>
    <row r="64890" spans="9:9" x14ac:dyDescent="0.2">
      <c r="I64890" s="137" t="s">
        <v>74</v>
      </c>
    </row>
    <row r="64891" spans="9:9" x14ac:dyDescent="0.2">
      <c r="I64891" s="137" t="s">
        <v>74</v>
      </c>
    </row>
    <row r="64892" spans="9:9" x14ac:dyDescent="0.2">
      <c r="I64892" s="137" t="s">
        <v>74</v>
      </c>
    </row>
    <row r="64893" spans="9:9" x14ac:dyDescent="0.2">
      <c r="I64893" s="137" t="s">
        <v>74</v>
      </c>
    </row>
    <row r="64894" spans="9:9" x14ac:dyDescent="0.2">
      <c r="I64894" s="137" t="s">
        <v>74</v>
      </c>
    </row>
    <row r="64895" spans="9:9" x14ac:dyDescent="0.2">
      <c r="I64895" s="137" t="s">
        <v>74</v>
      </c>
    </row>
    <row r="64896" spans="9:9" x14ac:dyDescent="0.2">
      <c r="I64896" s="137" t="s">
        <v>74</v>
      </c>
    </row>
    <row r="64897" spans="9:9" x14ac:dyDescent="0.2">
      <c r="I64897" s="137" t="s">
        <v>74</v>
      </c>
    </row>
    <row r="64898" spans="9:9" x14ac:dyDescent="0.2">
      <c r="I64898" s="137" t="s">
        <v>74</v>
      </c>
    </row>
    <row r="64899" spans="9:9" x14ac:dyDescent="0.2">
      <c r="I64899" s="137" t="s">
        <v>74</v>
      </c>
    </row>
    <row r="64900" spans="9:9" x14ac:dyDescent="0.2">
      <c r="I64900" s="137" t="s">
        <v>74</v>
      </c>
    </row>
    <row r="64901" spans="9:9" x14ac:dyDescent="0.2">
      <c r="I64901" s="137" t="s">
        <v>74</v>
      </c>
    </row>
    <row r="64902" spans="9:9" x14ac:dyDescent="0.2">
      <c r="I64902" s="137" t="s">
        <v>74</v>
      </c>
    </row>
    <row r="64903" spans="9:9" x14ac:dyDescent="0.2">
      <c r="I64903" s="137" t="s">
        <v>74</v>
      </c>
    </row>
    <row r="64904" spans="9:9" x14ac:dyDescent="0.2">
      <c r="I64904" s="137" t="s">
        <v>74</v>
      </c>
    </row>
    <row r="64905" spans="9:9" x14ac:dyDescent="0.2">
      <c r="I64905" s="137" t="s">
        <v>74</v>
      </c>
    </row>
    <row r="64906" spans="9:9" x14ac:dyDescent="0.2">
      <c r="I64906" s="137" t="s">
        <v>74</v>
      </c>
    </row>
    <row r="64907" spans="9:9" x14ac:dyDescent="0.2">
      <c r="I64907" s="137" t="s">
        <v>74</v>
      </c>
    </row>
    <row r="64908" spans="9:9" x14ac:dyDescent="0.2">
      <c r="I64908" s="137" t="s">
        <v>74</v>
      </c>
    </row>
    <row r="64909" spans="9:9" x14ac:dyDescent="0.2">
      <c r="I64909" s="137" t="s">
        <v>74</v>
      </c>
    </row>
    <row r="64910" spans="9:9" x14ac:dyDescent="0.2">
      <c r="I64910" s="137" t="s">
        <v>74</v>
      </c>
    </row>
    <row r="64911" spans="9:9" x14ac:dyDescent="0.2">
      <c r="I64911" s="137" t="s">
        <v>74</v>
      </c>
    </row>
    <row r="64912" spans="9:9" x14ac:dyDescent="0.2">
      <c r="I64912" s="137" t="s">
        <v>74</v>
      </c>
    </row>
    <row r="64913" spans="9:9" x14ac:dyDescent="0.2">
      <c r="I64913" s="137" t="s">
        <v>74</v>
      </c>
    </row>
    <row r="64914" spans="9:9" x14ac:dyDescent="0.2">
      <c r="I64914" s="137" t="s">
        <v>74</v>
      </c>
    </row>
    <row r="64915" spans="9:9" x14ac:dyDescent="0.2">
      <c r="I64915" s="137" t="s">
        <v>74</v>
      </c>
    </row>
    <row r="64916" spans="9:9" x14ac:dyDescent="0.2">
      <c r="I64916" s="137" t="s">
        <v>74</v>
      </c>
    </row>
    <row r="64917" spans="9:9" x14ac:dyDescent="0.2">
      <c r="I64917" s="137" t="s">
        <v>74</v>
      </c>
    </row>
    <row r="64918" spans="9:9" x14ac:dyDescent="0.2">
      <c r="I64918" s="137" t="s">
        <v>74</v>
      </c>
    </row>
    <row r="64919" spans="9:9" x14ac:dyDescent="0.2">
      <c r="I64919" s="137" t="s">
        <v>74</v>
      </c>
    </row>
    <row r="64920" spans="9:9" x14ac:dyDescent="0.2">
      <c r="I64920" s="137" t="s">
        <v>74</v>
      </c>
    </row>
    <row r="64921" spans="9:9" x14ac:dyDescent="0.2">
      <c r="I64921" s="137" t="s">
        <v>74</v>
      </c>
    </row>
    <row r="64922" spans="9:9" x14ac:dyDescent="0.2">
      <c r="I64922" s="137" t="s">
        <v>74</v>
      </c>
    </row>
    <row r="64923" spans="9:9" x14ac:dyDescent="0.2">
      <c r="I64923" s="137" t="s">
        <v>74</v>
      </c>
    </row>
    <row r="64924" spans="9:9" x14ac:dyDescent="0.2">
      <c r="I64924" s="137" t="s">
        <v>74</v>
      </c>
    </row>
    <row r="64925" spans="9:9" x14ac:dyDescent="0.2">
      <c r="I64925" s="137" t="s">
        <v>74</v>
      </c>
    </row>
    <row r="64926" spans="9:9" x14ac:dyDescent="0.2">
      <c r="I64926" s="137" t="s">
        <v>74</v>
      </c>
    </row>
    <row r="64927" spans="9:9" x14ac:dyDescent="0.2">
      <c r="I64927" s="137" t="s">
        <v>74</v>
      </c>
    </row>
    <row r="64928" spans="9:9" x14ac:dyDescent="0.2">
      <c r="I64928" s="137" t="s">
        <v>74</v>
      </c>
    </row>
    <row r="64929" spans="9:9" x14ac:dyDescent="0.2">
      <c r="I64929" s="137" t="s">
        <v>74</v>
      </c>
    </row>
    <row r="64930" spans="9:9" x14ac:dyDescent="0.2">
      <c r="I64930" s="137" t="s">
        <v>74</v>
      </c>
    </row>
    <row r="64931" spans="9:9" x14ac:dyDescent="0.2">
      <c r="I64931" s="137" t="s">
        <v>74</v>
      </c>
    </row>
    <row r="64932" spans="9:9" x14ac:dyDescent="0.2">
      <c r="I64932" s="137" t="s">
        <v>74</v>
      </c>
    </row>
    <row r="64933" spans="9:9" x14ac:dyDescent="0.2">
      <c r="I64933" s="137" t="s">
        <v>74</v>
      </c>
    </row>
    <row r="64934" spans="9:9" x14ac:dyDescent="0.2">
      <c r="I64934" s="137" t="s">
        <v>74</v>
      </c>
    </row>
    <row r="64935" spans="9:9" x14ac:dyDescent="0.2">
      <c r="I64935" s="137" t="s">
        <v>74</v>
      </c>
    </row>
    <row r="64936" spans="9:9" x14ac:dyDescent="0.2">
      <c r="I64936" s="137" t="s">
        <v>74</v>
      </c>
    </row>
    <row r="64937" spans="9:9" x14ac:dyDescent="0.2">
      <c r="I64937" s="137" t="s">
        <v>74</v>
      </c>
    </row>
    <row r="64938" spans="9:9" x14ac:dyDescent="0.2">
      <c r="I64938" s="137" t="s">
        <v>74</v>
      </c>
    </row>
    <row r="64939" spans="9:9" x14ac:dyDescent="0.2">
      <c r="I64939" s="137" t="s">
        <v>74</v>
      </c>
    </row>
    <row r="64940" spans="9:9" x14ac:dyDescent="0.2">
      <c r="I64940" s="137" t="s">
        <v>74</v>
      </c>
    </row>
    <row r="64941" spans="9:9" x14ac:dyDescent="0.2">
      <c r="I64941" s="137" t="s">
        <v>74</v>
      </c>
    </row>
    <row r="64942" spans="9:9" x14ac:dyDescent="0.2">
      <c r="I64942" s="137" t="s">
        <v>74</v>
      </c>
    </row>
    <row r="64943" spans="9:9" x14ac:dyDescent="0.2">
      <c r="I64943" s="137" t="s">
        <v>74</v>
      </c>
    </row>
    <row r="64944" spans="9:9" x14ac:dyDescent="0.2">
      <c r="I64944" s="137" t="s">
        <v>74</v>
      </c>
    </row>
    <row r="64945" spans="9:9" x14ac:dyDescent="0.2">
      <c r="I64945" s="137" t="s">
        <v>74</v>
      </c>
    </row>
    <row r="64946" spans="9:9" x14ac:dyDescent="0.2">
      <c r="I64946" s="137" t="s">
        <v>74</v>
      </c>
    </row>
    <row r="64947" spans="9:9" x14ac:dyDescent="0.2">
      <c r="I64947" s="137" t="s">
        <v>74</v>
      </c>
    </row>
    <row r="64948" spans="9:9" x14ac:dyDescent="0.2">
      <c r="I64948" s="137" t="s">
        <v>74</v>
      </c>
    </row>
    <row r="64949" spans="9:9" x14ac:dyDescent="0.2">
      <c r="I64949" s="137" t="s">
        <v>74</v>
      </c>
    </row>
    <row r="64950" spans="9:9" x14ac:dyDescent="0.2">
      <c r="I64950" s="137" t="s">
        <v>74</v>
      </c>
    </row>
    <row r="64951" spans="9:9" x14ac:dyDescent="0.2">
      <c r="I64951" s="137" t="s">
        <v>74</v>
      </c>
    </row>
    <row r="64952" spans="9:9" x14ac:dyDescent="0.2">
      <c r="I64952" s="137" t="s">
        <v>74</v>
      </c>
    </row>
    <row r="64953" spans="9:9" x14ac:dyDescent="0.2">
      <c r="I64953" s="137" t="s">
        <v>74</v>
      </c>
    </row>
    <row r="64954" spans="9:9" x14ac:dyDescent="0.2">
      <c r="I64954" s="137" t="s">
        <v>74</v>
      </c>
    </row>
    <row r="64955" spans="9:9" x14ac:dyDescent="0.2">
      <c r="I64955" s="137" t="s">
        <v>74</v>
      </c>
    </row>
    <row r="64956" spans="9:9" x14ac:dyDescent="0.2">
      <c r="I64956" s="137" t="s">
        <v>74</v>
      </c>
    </row>
    <row r="64957" spans="9:9" x14ac:dyDescent="0.2">
      <c r="I64957" s="137" t="s">
        <v>74</v>
      </c>
    </row>
    <row r="64958" spans="9:9" x14ac:dyDescent="0.2">
      <c r="I64958" s="137" t="s">
        <v>74</v>
      </c>
    </row>
    <row r="64959" spans="9:9" x14ac:dyDescent="0.2">
      <c r="I64959" s="137" t="s">
        <v>74</v>
      </c>
    </row>
    <row r="64960" spans="9:9" x14ac:dyDescent="0.2">
      <c r="I64960" s="137" t="s">
        <v>74</v>
      </c>
    </row>
    <row r="64961" spans="9:9" x14ac:dyDescent="0.2">
      <c r="I64961" s="137" t="s">
        <v>74</v>
      </c>
    </row>
    <row r="64962" spans="9:9" x14ac:dyDescent="0.2">
      <c r="I64962" s="137" t="s">
        <v>74</v>
      </c>
    </row>
    <row r="64963" spans="9:9" x14ac:dyDescent="0.2">
      <c r="I64963" s="137" t="s">
        <v>74</v>
      </c>
    </row>
    <row r="64964" spans="9:9" x14ac:dyDescent="0.2">
      <c r="I64964" s="137" t="s">
        <v>74</v>
      </c>
    </row>
    <row r="64965" spans="9:9" x14ac:dyDescent="0.2">
      <c r="I64965" s="137" t="s">
        <v>74</v>
      </c>
    </row>
    <row r="64966" spans="9:9" x14ac:dyDescent="0.2">
      <c r="I64966" s="137" t="s">
        <v>74</v>
      </c>
    </row>
    <row r="64967" spans="9:9" x14ac:dyDescent="0.2">
      <c r="I64967" s="137" t="s">
        <v>74</v>
      </c>
    </row>
    <row r="64968" spans="9:9" x14ac:dyDescent="0.2">
      <c r="I64968" s="137" t="s">
        <v>74</v>
      </c>
    </row>
    <row r="64969" spans="9:9" x14ac:dyDescent="0.2">
      <c r="I64969" s="137" t="s">
        <v>74</v>
      </c>
    </row>
    <row r="64970" spans="9:9" x14ac:dyDescent="0.2">
      <c r="I64970" s="137" t="s">
        <v>74</v>
      </c>
    </row>
    <row r="64971" spans="9:9" x14ac:dyDescent="0.2">
      <c r="I64971" s="137" t="s">
        <v>74</v>
      </c>
    </row>
    <row r="64972" spans="9:9" x14ac:dyDescent="0.2">
      <c r="I64972" s="137" t="s">
        <v>74</v>
      </c>
    </row>
    <row r="64973" spans="9:9" x14ac:dyDescent="0.2">
      <c r="I64973" s="137" t="s">
        <v>74</v>
      </c>
    </row>
    <row r="64974" spans="9:9" x14ac:dyDescent="0.2">
      <c r="I64974" s="137" t="s">
        <v>74</v>
      </c>
    </row>
    <row r="64975" spans="9:9" x14ac:dyDescent="0.2">
      <c r="I64975" s="137" t="s">
        <v>74</v>
      </c>
    </row>
    <row r="64976" spans="9:9" x14ac:dyDescent="0.2">
      <c r="I64976" s="137" t="s">
        <v>74</v>
      </c>
    </row>
    <row r="64977" spans="9:9" x14ac:dyDescent="0.2">
      <c r="I64977" s="137" t="s">
        <v>74</v>
      </c>
    </row>
    <row r="64978" spans="9:9" x14ac:dyDescent="0.2">
      <c r="I64978" s="137" t="s">
        <v>74</v>
      </c>
    </row>
    <row r="64979" spans="9:9" x14ac:dyDescent="0.2">
      <c r="I64979" s="137" t="s">
        <v>74</v>
      </c>
    </row>
    <row r="64980" spans="9:9" x14ac:dyDescent="0.2">
      <c r="I64980" s="137" t="s">
        <v>74</v>
      </c>
    </row>
    <row r="64981" spans="9:9" x14ac:dyDescent="0.2">
      <c r="I64981" s="137" t="s">
        <v>74</v>
      </c>
    </row>
    <row r="64982" spans="9:9" x14ac:dyDescent="0.2">
      <c r="I64982" s="137" t="s">
        <v>74</v>
      </c>
    </row>
    <row r="64983" spans="9:9" x14ac:dyDescent="0.2">
      <c r="I64983" s="137" t="s">
        <v>74</v>
      </c>
    </row>
    <row r="64984" spans="9:9" x14ac:dyDescent="0.2">
      <c r="I64984" s="137" t="s">
        <v>74</v>
      </c>
    </row>
    <row r="64985" spans="9:9" x14ac:dyDescent="0.2">
      <c r="I64985" s="137" t="s">
        <v>74</v>
      </c>
    </row>
    <row r="64986" spans="9:9" x14ac:dyDescent="0.2">
      <c r="I64986" s="137" t="s">
        <v>74</v>
      </c>
    </row>
    <row r="64987" spans="9:9" x14ac:dyDescent="0.2">
      <c r="I64987" s="137" t="s">
        <v>74</v>
      </c>
    </row>
    <row r="64988" spans="9:9" x14ac:dyDescent="0.2">
      <c r="I64988" s="137" t="s">
        <v>74</v>
      </c>
    </row>
    <row r="64989" spans="9:9" x14ac:dyDescent="0.2">
      <c r="I64989" s="137" t="s">
        <v>74</v>
      </c>
    </row>
    <row r="64990" spans="9:9" x14ac:dyDescent="0.2">
      <c r="I64990" s="137" t="s">
        <v>74</v>
      </c>
    </row>
    <row r="64991" spans="9:9" x14ac:dyDescent="0.2">
      <c r="I64991" s="137" t="s">
        <v>74</v>
      </c>
    </row>
    <row r="64992" spans="9:9" x14ac:dyDescent="0.2">
      <c r="I64992" s="137" t="s">
        <v>74</v>
      </c>
    </row>
    <row r="64993" spans="9:9" x14ac:dyDescent="0.2">
      <c r="I64993" s="137" t="s">
        <v>74</v>
      </c>
    </row>
    <row r="64994" spans="9:9" x14ac:dyDescent="0.2">
      <c r="I64994" s="137" t="s">
        <v>74</v>
      </c>
    </row>
    <row r="64995" spans="9:9" x14ac:dyDescent="0.2">
      <c r="I64995" s="137" t="s">
        <v>74</v>
      </c>
    </row>
    <row r="64996" spans="9:9" x14ac:dyDescent="0.2">
      <c r="I64996" s="137" t="s">
        <v>74</v>
      </c>
    </row>
    <row r="64997" spans="9:9" x14ac:dyDescent="0.2">
      <c r="I64997" s="137" t="s">
        <v>74</v>
      </c>
    </row>
    <row r="64998" spans="9:9" x14ac:dyDescent="0.2">
      <c r="I64998" s="137" t="s">
        <v>74</v>
      </c>
    </row>
    <row r="64999" spans="9:9" x14ac:dyDescent="0.2">
      <c r="I64999" s="137" t="s">
        <v>74</v>
      </c>
    </row>
    <row r="65000" spans="9:9" x14ac:dyDescent="0.2">
      <c r="I65000" s="137" t="s">
        <v>74</v>
      </c>
    </row>
    <row r="65001" spans="9:9" x14ac:dyDescent="0.2">
      <c r="I65001" s="137" t="s">
        <v>74</v>
      </c>
    </row>
    <row r="65002" spans="9:9" x14ac:dyDescent="0.2">
      <c r="I65002" s="137" t="s">
        <v>74</v>
      </c>
    </row>
    <row r="65003" spans="9:9" x14ac:dyDescent="0.2">
      <c r="I65003" s="137" t="s">
        <v>74</v>
      </c>
    </row>
    <row r="65004" spans="9:9" x14ac:dyDescent="0.2">
      <c r="I65004" s="137" t="s">
        <v>74</v>
      </c>
    </row>
    <row r="65005" spans="9:9" x14ac:dyDescent="0.2">
      <c r="I65005" s="137" t="s">
        <v>74</v>
      </c>
    </row>
    <row r="65006" spans="9:9" x14ac:dyDescent="0.2">
      <c r="I65006" s="137" t="s">
        <v>74</v>
      </c>
    </row>
    <row r="65007" spans="9:9" x14ac:dyDescent="0.2">
      <c r="I65007" s="137" t="s">
        <v>74</v>
      </c>
    </row>
    <row r="65008" spans="9:9" x14ac:dyDescent="0.2">
      <c r="I65008" s="137" t="s">
        <v>74</v>
      </c>
    </row>
    <row r="65009" spans="9:9" x14ac:dyDescent="0.2">
      <c r="I65009" s="137" t="s">
        <v>74</v>
      </c>
    </row>
    <row r="65010" spans="9:9" x14ac:dyDescent="0.2">
      <c r="I65010" s="137" t="s">
        <v>74</v>
      </c>
    </row>
    <row r="65011" spans="9:9" x14ac:dyDescent="0.2">
      <c r="I65011" s="137" t="s">
        <v>74</v>
      </c>
    </row>
    <row r="65012" spans="9:9" x14ac:dyDescent="0.2">
      <c r="I65012" s="137" t="s">
        <v>74</v>
      </c>
    </row>
    <row r="65013" spans="9:9" x14ac:dyDescent="0.2">
      <c r="I65013" s="137" t="s">
        <v>74</v>
      </c>
    </row>
    <row r="65014" spans="9:9" x14ac:dyDescent="0.2">
      <c r="I65014" s="137" t="s">
        <v>74</v>
      </c>
    </row>
    <row r="65015" spans="9:9" x14ac:dyDescent="0.2">
      <c r="I65015" s="137" t="s">
        <v>74</v>
      </c>
    </row>
    <row r="65016" spans="9:9" x14ac:dyDescent="0.2">
      <c r="I65016" s="137" t="s">
        <v>74</v>
      </c>
    </row>
    <row r="65017" spans="9:9" x14ac:dyDescent="0.2">
      <c r="I65017" s="137" t="s">
        <v>74</v>
      </c>
    </row>
    <row r="65018" spans="9:9" x14ac:dyDescent="0.2">
      <c r="I65018" s="137" t="s">
        <v>74</v>
      </c>
    </row>
    <row r="65019" spans="9:9" x14ac:dyDescent="0.2">
      <c r="I65019" s="137" t="s">
        <v>74</v>
      </c>
    </row>
    <row r="65020" spans="9:9" x14ac:dyDescent="0.2">
      <c r="I65020" s="137" t="s">
        <v>74</v>
      </c>
    </row>
    <row r="65021" spans="9:9" x14ac:dyDescent="0.2">
      <c r="I65021" s="137" t="s">
        <v>74</v>
      </c>
    </row>
    <row r="65022" spans="9:9" x14ac:dyDescent="0.2">
      <c r="I65022" s="137" t="s">
        <v>74</v>
      </c>
    </row>
    <row r="65023" spans="9:9" x14ac:dyDescent="0.2">
      <c r="I65023" s="137" t="s">
        <v>74</v>
      </c>
    </row>
    <row r="65024" spans="9:9" x14ac:dyDescent="0.2">
      <c r="I65024" s="137" t="s">
        <v>74</v>
      </c>
    </row>
    <row r="65025" spans="9:9" x14ac:dyDescent="0.2">
      <c r="I65025" s="137" t="s">
        <v>74</v>
      </c>
    </row>
    <row r="65026" spans="9:9" x14ac:dyDescent="0.2">
      <c r="I65026" s="137" t="s">
        <v>74</v>
      </c>
    </row>
    <row r="65027" spans="9:9" x14ac:dyDescent="0.2">
      <c r="I65027" s="137" t="s">
        <v>74</v>
      </c>
    </row>
    <row r="65028" spans="9:9" x14ac:dyDescent="0.2">
      <c r="I65028" s="137" t="s">
        <v>74</v>
      </c>
    </row>
    <row r="65029" spans="9:9" x14ac:dyDescent="0.2">
      <c r="I65029" s="137" t="s">
        <v>74</v>
      </c>
    </row>
    <row r="65030" spans="9:9" x14ac:dyDescent="0.2">
      <c r="I65030" s="137" t="s">
        <v>74</v>
      </c>
    </row>
    <row r="65031" spans="9:9" x14ac:dyDescent="0.2">
      <c r="I65031" s="137" t="s">
        <v>74</v>
      </c>
    </row>
    <row r="65032" spans="9:9" x14ac:dyDescent="0.2">
      <c r="I65032" s="137" t="s">
        <v>74</v>
      </c>
    </row>
    <row r="65033" spans="9:9" x14ac:dyDescent="0.2">
      <c r="I65033" s="137" t="s">
        <v>74</v>
      </c>
    </row>
    <row r="65034" spans="9:9" x14ac:dyDescent="0.2">
      <c r="I65034" s="137" t="s">
        <v>74</v>
      </c>
    </row>
    <row r="65035" spans="9:9" x14ac:dyDescent="0.2">
      <c r="I65035" s="137" t="s">
        <v>74</v>
      </c>
    </row>
    <row r="65036" spans="9:9" x14ac:dyDescent="0.2">
      <c r="I65036" s="137" t="s">
        <v>74</v>
      </c>
    </row>
    <row r="65037" spans="9:9" x14ac:dyDescent="0.2">
      <c r="I65037" s="137" t="s">
        <v>74</v>
      </c>
    </row>
    <row r="65038" spans="9:9" x14ac:dyDescent="0.2">
      <c r="I65038" s="137" t="s">
        <v>74</v>
      </c>
    </row>
    <row r="65039" spans="9:9" x14ac:dyDescent="0.2">
      <c r="I65039" s="137" t="s">
        <v>74</v>
      </c>
    </row>
    <row r="65040" spans="9:9" x14ac:dyDescent="0.2">
      <c r="I65040" s="137" t="s">
        <v>74</v>
      </c>
    </row>
    <row r="65041" spans="9:9" x14ac:dyDescent="0.2">
      <c r="I65041" s="137" t="s">
        <v>74</v>
      </c>
    </row>
    <row r="65042" spans="9:9" x14ac:dyDescent="0.2">
      <c r="I65042" s="137" t="s">
        <v>74</v>
      </c>
    </row>
    <row r="65043" spans="9:9" x14ac:dyDescent="0.2">
      <c r="I65043" s="137" t="s">
        <v>74</v>
      </c>
    </row>
    <row r="65044" spans="9:9" x14ac:dyDescent="0.2">
      <c r="I65044" s="137" t="s">
        <v>74</v>
      </c>
    </row>
    <row r="65045" spans="9:9" x14ac:dyDescent="0.2">
      <c r="I65045" s="137" t="s">
        <v>74</v>
      </c>
    </row>
    <row r="65046" spans="9:9" x14ac:dyDescent="0.2">
      <c r="I65046" s="137" t="s">
        <v>74</v>
      </c>
    </row>
    <row r="65047" spans="9:9" x14ac:dyDescent="0.2">
      <c r="I65047" s="137" t="s">
        <v>74</v>
      </c>
    </row>
    <row r="65048" spans="9:9" x14ac:dyDescent="0.2">
      <c r="I65048" s="137" t="s">
        <v>74</v>
      </c>
    </row>
    <row r="65049" spans="9:9" x14ac:dyDescent="0.2">
      <c r="I65049" s="137" t="s">
        <v>74</v>
      </c>
    </row>
    <row r="65050" spans="9:9" x14ac:dyDescent="0.2">
      <c r="I65050" s="137" t="s">
        <v>74</v>
      </c>
    </row>
    <row r="65051" spans="9:9" x14ac:dyDescent="0.2">
      <c r="I65051" s="137" t="s">
        <v>74</v>
      </c>
    </row>
    <row r="65052" spans="9:9" x14ac:dyDescent="0.2">
      <c r="I65052" s="137" t="s">
        <v>74</v>
      </c>
    </row>
    <row r="65053" spans="9:9" x14ac:dyDescent="0.2">
      <c r="I65053" s="137" t="s">
        <v>74</v>
      </c>
    </row>
    <row r="65054" spans="9:9" x14ac:dyDescent="0.2">
      <c r="I65054" s="137" t="s">
        <v>74</v>
      </c>
    </row>
    <row r="65055" spans="9:9" x14ac:dyDescent="0.2">
      <c r="I65055" s="137" t="s">
        <v>74</v>
      </c>
    </row>
    <row r="65056" spans="9:9" x14ac:dyDescent="0.2">
      <c r="I65056" s="137" t="s">
        <v>74</v>
      </c>
    </row>
    <row r="65057" spans="9:9" x14ac:dyDescent="0.2">
      <c r="I65057" s="137" t="s">
        <v>74</v>
      </c>
    </row>
    <row r="65058" spans="9:9" x14ac:dyDescent="0.2">
      <c r="I65058" s="137" t="s">
        <v>74</v>
      </c>
    </row>
    <row r="65059" spans="9:9" x14ac:dyDescent="0.2">
      <c r="I65059" s="137" t="s">
        <v>74</v>
      </c>
    </row>
    <row r="65060" spans="9:9" x14ac:dyDescent="0.2">
      <c r="I65060" s="137" t="s">
        <v>74</v>
      </c>
    </row>
    <row r="65061" spans="9:9" x14ac:dyDescent="0.2">
      <c r="I65061" s="137" t="s">
        <v>74</v>
      </c>
    </row>
    <row r="65062" spans="9:9" x14ac:dyDescent="0.2">
      <c r="I65062" s="137" t="s">
        <v>74</v>
      </c>
    </row>
    <row r="65063" spans="9:9" x14ac:dyDescent="0.2">
      <c r="I65063" s="137" t="s">
        <v>74</v>
      </c>
    </row>
    <row r="65064" spans="9:9" x14ac:dyDescent="0.2">
      <c r="I65064" s="137" t="s">
        <v>74</v>
      </c>
    </row>
    <row r="65065" spans="9:9" x14ac:dyDescent="0.2">
      <c r="I65065" s="137" t="s">
        <v>74</v>
      </c>
    </row>
    <row r="65066" spans="9:9" x14ac:dyDescent="0.2">
      <c r="I65066" s="137" t="s">
        <v>74</v>
      </c>
    </row>
    <row r="65067" spans="9:9" x14ac:dyDescent="0.2">
      <c r="I65067" s="137" t="s">
        <v>74</v>
      </c>
    </row>
    <row r="65068" spans="9:9" x14ac:dyDescent="0.2">
      <c r="I65068" s="137" t="s">
        <v>74</v>
      </c>
    </row>
    <row r="65069" spans="9:9" x14ac:dyDescent="0.2">
      <c r="I65069" s="137" t="s">
        <v>74</v>
      </c>
    </row>
    <row r="65070" spans="9:9" x14ac:dyDescent="0.2">
      <c r="I65070" s="137" t="s">
        <v>74</v>
      </c>
    </row>
    <row r="65071" spans="9:9" x14ac:dyDescent="0.2">
      <c r="I65071" s="137" t="s">
        <v>74</v>
      </c>
    </row>
    <row r="65072" spans="9:9" x14ac:dyDescent="0.2">
      <c r="I65072" s="137" t="s">
        <v>74</v>
      </c>
    </row>
    <row r="65073" spans="9:9" x14ac:dyDescent="0.2">
      <c r="I65073" s="137" t="s">
        <v>74</v>
      </c>
    </row>
    <row r="65074" spans="9:9" x14ac:dyDescent="0.2">
      <c r="I65074" s="137" t="s">
        <v>74</v>
      </c>
    </row>
    <row r="65075" spans="9:9" x14ac:dyDescent="0.2">
      <c r="I65075" s="137" t="s">
        <v>74</v>
      </c>
    </row>
    <row r="65076" spans="9:9" x14ac:dyDescent="0.2">
      <c r="I65076" s="137" t="s">
        <v>74</v>
      </c>
    </row>
    <row r="65077" spans="9:9" x14ac:dyDescent="0.2">
      <c r="I65077" s="137" t="s">
        <v>74</v>
      </c>
    </row>
    <row r="65078" spans="9:9" x14ac:dyDescent="0.2">
      <c r="I65078" s="137" t="s">
        <v>74</v>
      </c>
    </row>
    <row r="65079" spans="9:9" x14ac:dyDescent="0.2">
      <c r="I65079" s="137" t="s">
        <v>74</v>
      </c>
    </row>
    <row r="65080" spans="9:9" x14ac:dyDescent="0.2">
      <c r="I65080" s="137" t="s">
        <v>74</v>
      </c>
    </row>
    <row r="65081" spans="9:9" x14ac:dyDescent="0.2">
      <c r="I65081" s="137" t="s">
        <v>74</v>
      </c>
    </row>
    <row r="65082" spans="9:9" x14ac:dyDescent="0.2">
      <c r="I65082" s="137" t="s">
        <v>74</v>
      </c>
    </row>
    <row r="65083" spans="9:9" x14ac:dyDescent="0.2">
      <c r="I65083" s="137" t="s">
        <v>74</v>
      </c>
    </row>
    <row r="65084" spans="9:9" x14ac:dyDescent="0.2">
      <c r="I65084" s="137" t="s">
        <v>74</v>
      </c>
    </row>
    <row r="65085" spans="9:9" x14ac:dyDescent="0.2">
      <c r="I65085" s="137" t="s">
        <v>74</v>
      </c>
    </row>
    <row r="65086" spans="9:9" x14ac:dyDescent="0.2">
      <c r="I65086" s="137" t="s">
        <v>74</v>
      </c>
    </row>
    <row r="65087" spans="9:9" x14ac:dyDescent="0.2">
      <c r="I65087" s="137" t="s">
        <v>74</v>
      </c>
    </row>
    <row r="65088" spans="9:9" x14ac:dyDescent="0.2">
      <c r="I65088" s="137" t="s">
        <v>74</v>
      </c>
    </row>
    <row r="65089" spans="9:9" x14ac:dyDescent="0.2">
      <c r="I65089" s="137" t="s">
        <v>74</v>
      </c>
    </row>
    <row r="65090" spans="9:9" x14ac:dyDescent="0.2">
      <c r="I65090" s="137" t="s">
        <v>74</v>
      </c>
    </row>
    <row r="65091" spans="9:9" x14ac:dyDescent="0.2">
      <c r="I65091" s="137" t="s">
        <v>74</v>
      </c>
    </row>
    <row r="65092" spans="9:9" x14ac:dyDescent="0.2">
      <c r="I65092" s="137" t="s">
        <v>74</v>
      </c>
    </row>
    <row r="65093" spans="9:9" x14ac:dyDescent="0.2">
      <c r="I65093" s="137" t="s">
        <v>74</v>
      </c>
    </row>
    <row r="65094" spans="9:9" x14ac:dyDescent="0.2">
      <c r="I65094" s="137" t="s">
        <v>74</v>
      </c>
    </row>
    <row r="65095" spans="9:9" x14ac:dyDescent="0.2">
      <c r="I65095" s="137" t="s">
        <v>74</v>
      </c>
    </row>
    <row r="65096" spans="9:9" x14ac:dyDescent="0.2">
      <c r="I65096" s="137" t="s">
        <v>74</v>
      </c>
    </row>
    <row r="65097" spans="9:9" x14ac:dyDescent="0.2">
      <c r="I65097" s="137" t="s">
        <v>74</v>
      </c>
    </row>
    <row r="65098" spans="9:9" x14ac:dyDescent="0.2">
      <c r="I65098" s="137" t="s">
        <v>74</v>
      </c>
    </row>
    <row r="65099" spans="9:9" x14ac:dyDescent="0.2">
      <c r="I65099" s="137" t="s">
        <v>74</v>
      </c>
    </row>
    <row r="65100" spans="9:9" x14ac:dyDescent="0.2">
      <c r="I65100" s="137" t="s">
        <v>74</v>
      </c>
    </row>
    <row r="65101" spans="9:9" x14ac:dyDescent="0.2">
      <c r="I65101" s="137" t="s">
        <v>74</v>
      </c>
    </row>
    <row r="65102" spans="9:9" x14ac:dyDescent="0.2">
      <c r="I65102" s="137" t="s">
        <v>74</v>
      </c>
    </row>
    <row r="65103" spans="9:9" x14ac:dyDescent="0.2">
      <c r="I65103" s="137" t="s">
        <v>74</v>
      </c>
    </row>
    <row r="65104" spans="9:9" x14ac:dyDescent="0.2">
      <c r="I65104" s="137" t="s">
        <v>74</v>
      </c>
    </row>
    <row r="65105" spans="9:9" x14ac:dyDescent="0.2">
      <c r="I65105" s="137" t="s">
        <v>74</v>
      </c>
    </row>
    <row r="65106" spans="9:9" x14ac:dyDescent="0.2">
      <c r="I65106" s="137" t="s">
        <v>74</v>
      </c>
    </row>
    <row r="65107" spans="9:9" x14ac:dyDescent="0.2">
      <c r="I65107" s="137" t="s">
        <v>74</v>
      </c>
    </row>
    <row r="65108" spans="9:9" x14ac:dyDescent="0.2">
      <c r="I65108" s="137" t="s">
        <v>74</v>
      </c>
    </row>
    <row r="65109" spans="9:9" x14ac:dyDescent="0.2">
      <c r="I65109" s="137" t="s">
        <v>74</v>
      </c>
    </row>
    <row r="65110" spans="9:9" x14ac:dyDescent="0.2">
      <c r="I65110" s="137" t="s">
        <v>74</v>
      </c>
    </row>
    <row r="65111" spans="9:9" x14ac:dyDescent="0.2">
      <c r="I65111" s="137" t="s">
        <v>74</v>
      </c>
    </row>
    <row r="65112" spans="9:9" x14ac:dyDescent="0.2">
      <c r="I65112" s="137" t="s">
        <v>74</v>
      </c>
    </row>
    <row r="65113" spans="9:9" x14ac:dyDescent="0.2">
      <c r="I65113" s="137" t="s">
        <v>74</v>
      </c>
    </row>
    <row r="65114" spans="9:9" x14ac:dyDescent="0.2">
      <c r="I65114" s="137" t="s">
        <v>74</v>
      </c>
    </row>
    <row r="65115" spans="9:9" x14ac:dyDescent="0.2">
      <c r="I65115" s="137" t="s">
        <v>74</v>
      </c>
    </row>
    <row r="65116" spans="9:9" x14ac:dyDescent="0.2">
      <c r="I65116" s="137" t="s">
        <v>74</v>
      </c>
    </row>
    <row r="65117" spans="9:9" x14ac:dyDescent="0.2">
      <c r="I65117" s="137" t="s">
        <v>74</v>
      </c>
    </row>
    <row r="65118" spans="9:9" x14ac:dyDescent="0.2">
      <c r="I65118" s="137" t="s">
        <v>74</v>
      </c>
    </row>
    <row r="65119" spans="9:9" x14ac:dyDescent="0.2">
      <c r="I65119" s="137" t="s">
        <v>74</v>
      </c>
    </row>
    <row r="65120" spans="9:9" x14ac:dyDescent="0.2">
      <c r="I65120" s="137" t="s">
        <v>74</v>
      </c>
    </row>
    <row r="65121" spans="9:9" x14ac:dyDescent="0.2">
      <c r="I65121" s="137" t="s">
        <v>74</v>
      </c>
    </row>
    <row r="65122" spans="9:9" x14ac:dyDescent="0.2">
      <c r="I65122" s="137" t="s">
        <v>74</v>
      </c>
    </row>
    <row r="65123" spans="9:9" x14ac:dyDescent="0.2">
      <c r="I65123" s="137" t="s">
        <v>74</v>
      </c>
    </row>
    <row r="65124" spans="9:9" x14ac:dyDescent="0.2">
      <c r="I65124" s="137" t="s">
        <v>74</v>
      </c>
    </row>
    <row r="65125" spans="9:9" x14ac:dyDescent="0.2">
      <c r="I65125" s="137" t="s">
        <v>74</v>
      </c>
    </row>
    <row r="65126" spans="9:9" x14ac:dyDescent="0.2">
      <c r="I65126" s="137" t="s">
        <v>74</v>
      </c>
    </row>
    <row r="65127" spans="9:9" x14ac:dyDescent="0.2">
      <c r="I65127" s="137" t="s">
        <v>74</v>
      </c>
    </row>
    <row r="65128" spans="9:9" x14ac:dyDescent="0.2">
      <c r="I65128" s="137" t="s">
        <v>74</v>
      </c>
    </row>
    <row r="65129" spans="9:9" x14ac:dyDescent="0.2">
      <c r="I65129" s="137" t="s">
        <v>74</v>
      </c>
    </row>
    <row r="65130" spans="9:9" x14ac:dyDescent="0.2">
      <c r="I65130" s="137" t="s">
        <v>74</v>
      </c>
    </row>
    <row r="65131" spans="9:9" x14ac:dyDescent="0.2">
      <c r="I65131" s="137" t="s">
        <v>74</v>
      </c>
    </row>
    <row r="65132" spans="9:9" x14ac:dyDescent="0.2">
      <c r="I65132" s="137" t="s">
        <v>74</v>
      </c>
    </row>
    <row r="65133" spans="9:9" x14ac:dyDescent="0.2">
      <c r="I65133" s="137" t="s">
        <v>74</v>
      </c>
    </row>
    <row r="65134" spans="9:9" x14ac:dyDescent="0.2">
      <c r="I65134" s="137" t="s">
        <v>74</v>
      </c>
    </row>
    <row r="65135" spans="9:9" x14ac:dyDescent="0.2">
      <c r="I65135" s="137" t="s">
        <v>74</v>
      </c>
    </row>
    <row r="65136" spans="9:9" x14ac:dyDescent="0.2">
      <c r="I65136" s="137" t="s">
        <v>74</v>
      </c>
    </row>
    <row r="65137" spans="9:9" x14ac:dyDescent="0.2">
      <c r="I65137" s="137" t="s">
        <v>74</v>
      </c>
    </row>
    <row r="65138" spans="9:9" x14ac:dyDescent="0.2">
      <c r="I65138" s="137" t="s">
        <v>74</v>
      </c>
    </row>
    <row r="65139" spans="9:9" x14ac:dyDescent="0.2">
      <c r="I65139" s="137" t="s">
        <v>74</v>
      </c>
    </row>
    <row r="65140" spans="9:9" x14ac:dyDescent="0.2">
      <c r="I65140" s="137" t="s">
        <v>74</v>
      </c>
    </row>
    <row r="65141" spans="9:9" x14ac:dyDescent="0.2">
      <c r="I65141" s="137" t="s">
        <v>74</v>
      </c>
    </row>
    <row r="65142" spans="9:9" x14ac:dyDescent="0.2">
      <c r="I65142" s="137" t="s">
        <v>74</v>
      </c>
    </row>
    <row r="65143" spans="9:9" x14ac:dyDescent="0.2">
      <c r="I65143" s="137" t="s">
        <v>74</v>
      </c>
    </row>
    <row r="65144" spans="9:9" x14ac:dyDescent="0.2">
      <c r="I65144" s="137" t="s">
        <v>74</v>
      </c>
    </row>
    <row r="65145" spans="9:9" x14ac:dyDescent="0.2">
      <c r="I65145" s="137" t="s">
        <v>74</v>
      </c>
    </row>
    <row r="65146" spans="9:9" x14ac:dyDescent="0.2">
      <c r="I65146" s="137" t="s">
        <v>74</v>
      </c>
    </row>
    <row r="65147" spans="9:9" x14ac:dyDescent="0.2">
      <c r="I65147" s="137" t="s">
        <v>74</v>
      </c>
    </row>
    <row r="65148" spans="9:9" x14ac:dyDescent="0.2">
      <c r="I65148" s="137" t="s">
        <v>74</v>
      </c>
    </row>
    <row r="65149" spans="9:9" x14ac:dyDescent="0.2">
      <c r="I65149" s="137" t="s">
        <v>74</v>
      </c>
    </row>
    <row r="65150" spans="9:9" x14ac:dyDescent="0.2">
      <c r="I65150" s="137" t="s">
        <v>74</v>
      </c>
    </row>
    <row r="65151" spans="9:9" x14ac:dyDescent="0.2">
      <c r="I65151" s="137" t="s">
        <v>74</v>
      </c>
    </row>
    <row r="65152" spans="9:9" x14ac:dyDescent="0.2">
      <c r="I65152" s="137" t="s">
        <v>74</v>
      </c>
    </row>
    <row r="65153" spans="9:9" x14ac:dyDescent="0.2">
      <c r="I65153" s="137" t="s">
        <v>74</v>
      </c>
    </row>
    <row r="65154" spans="9:9" x14ac:dyDescent="0.2">
      <c r="I65154" s="137" t="s">
        <v>74</v>
      </c>
    </row>
    <row r="65155" spans="9:9" x14ac:dyDescent="0.2">
      <c r="I65155" s="137" t="s">
        <v>74</v>
      </c>
    </row>
    <row r="65156" spans="9:9" x14ac:dyDescent="0.2">
      <c r="I65156" s="137" t="s">
        <v>74</v>
      </c>
    </row>
    <row r="65157" spans="9:9" x14ac:dyDescent="0.2">
      <c r="I65157" s="137" t="s">
        <v>74</v>
      </c>
    </row>
    <row r="65158" spans="9:9" x14ac:dyDescent="0.2">
      <c r="I65158" s="137" t="s">
        <v>74</v>
      </c>
    </row>
    <row r="65159" spans="9:9" x14ac:dyDescent="0.2">
      <c r="I65159" s="137" t="s">
        <v>74</v>
      </c>
    </row>
    <row r="65160" spans="9:9" x14ac:dyDescent="0.2">
      <c r="I65160" s="137" t="s">
        <v>74</v>
      </c>
    </row>
    <row r="65161" spans="9:9" x14ac:dyDescent="0.2">
      <c r="I65161" s="137" t="s">
        <v>74</v>
      </c>
    </row>
    <row r="65162" spans="9:9" x14ac:dyDescent="0.2">
      <c r="I65162" s="137" t="s">
        <v>74</v>
      </c>
    </row>
    <row r="65163" spans="9:9" x14ac:dyDescent="0.2">
      <c r="I65163" s="137" t="s">
        <v>74</v>
      </c>
    </row>
    <row r="65164" spans="9:9" x14ac:dyDescent="0.2">
      <c r="I65164" s="137" t="s">
        <v>74</v>
      </c>
    </row>
    <row r="65165" spans="9:9" x14ac:dyDescent="0.2">
      <c r="I65165" s="137" t="s">
        <v>74</v>
      </c>
    </row>
    <row r="65166" spans="9:9" x14ac:dyDescent="0.2">
      <c r="I65166" s="137" t="s">
        <v>74</v>
      </c>
    </row>
    <row r="65167" spans="9:9" x14ac:dyDescent="0.2">
      <c r="I65167" s="137" t="s">
        <v>74</v>
      </c>
    </row>
    <row r="65168" spans="9:9" x14ac:dyDescent="0.2">
      <c r="I65168" s="137" t="s">
        <v>74</v>
      </c>
    </row>
    <row r="65169" spans="9:9" x14ac:dyDescent="0.2">
      <c r="I65169" s="137" t="s">
        <v>74</v>
      </c>
    </row>
    <row r="65170" spans="9:9" x14ac:dyDescent="0.2">
      <c r="I65170" s="137" t="s">
        <v>74</v>
      </c>
    </row>
    <row r="65171" spans="9:9" x14ac:dyDescent="0.2">
      <c r="I65171" s="137" t="s">
        <v>74</v>
      </c>
    </row>
    <row r="65172" spans="9:9" x14ac:dyDescent="0.2">
      <c r="I65172" s="137" t="s">
        <v>74</v>
      </c>
    </row>
    <row r="65173" spans="9:9" x14ac:dyDescent="0.2">
      <c r="I65173" s="137" t="s">
        <v>74</v>
      </c>
    </row>
    <row r="65174" spans="9:9" x14ac:dyDescent="0.2">
      <c r="I65174" s="137" t="s">
        <v>74</v>
      </c>
    </row>
    <row r="65175" spans="9:9" x14ac:dyDescent="0.2">
      <c r="I65175" s="137" t="s">
        <v>74</v>
      </c>
    </row>
    <row r="65176" spans="9:9" x14ac:dyDescent="0.2">
      <c r="I65176" s="137" t="s">
        <v>74</v>
      </c>
    </row>
    <row r="65177" spans="9:9" x14ac:dyDescent="0.2">
      <c r="I65177" s="137" t="s">
        <v>74</v>
      </c>
    </row>
    <row r="65178" spans="9:9" x14ac:dyDescent="0.2">
      <c r="I65178" s="137" t="s">
        <v>74</v>
      </c>
    </row>
    <row r="65179" spans="9:9" x14ac:dyDescent="0.2">
      <c r="I65179" s="137" t="s">
        <v>74</v>
      </c>
    </row>
    <row r="65180" spans="9:9" x14ac:dyDescent="0.2">
      <c r="I65180" s="137" t="s">
        <v>74</v>
      </c>
    </row>
    <row r="65181" spans="9:9" x14ac:dyDescent="0.2">
      <c r="I65181" s="137" t="s">
        <v>74</v>
      </c>
    </row>
    <row r="65182" spans="9:9" x14ac:dyDescent="0.2">
      <c r="I65182" s="137" t="s">
        <v>74</v>
      </c>
    </row>
    <row r="65183" spans="9:9" x14ac:dyDescent="0.2">
      <c r="I65183" s="137" t="s">
        <v>74</v>
      </c>
    </row>
    <row r="65184" spans="9:9" x14ac:dyDescent="0.2">
      <c r="I65184" s="137" t="s">
        <v>74</v>
      </c>
    </row>
    <row r="65185" spans="9:9" x14ac:dyDescent="0.2">
      <c r="I65185" s="137" t="s">
        <v>74</v>
      </c>
    </row>
    <row r="65186" spans="9:9" x14ac:dyDescent="0.2">
      <c r="I65186" s="137" t="s">
        <v>74</v>
      </c>
    </row>
    <row r="65187" spans="9:9" x14ac:dyDescent="0.2">
      <c r="I65187" s="137" t="s">
        <v>74</v>
      </c>
    </row>
    <row r="65188" spans="9:9" x14ac:dyDescent="0.2">
      <c r="I65188" s="137" t="s">
        <v>74</v>
      </c>
    </row>
    <row r="65189" spans="9:9" x14ac:dyDescent="0.2">
      <c r="I65189" s="137" t="s">
        <v>74</v>
      </c>
    </row>
    <row r="65190" spans="9:9" x14ac:dyDescent="0.2">
      <c r="I65190" s="137" t="s">
        <v>74</v>
      </c>
    </row>
    <row r="65191" spans="9:9" x14ac:dyDescent="0.2">
      <c r="I65191" s="137" t="s">
        <v>74</v>
      </c>
    </row>
    <row r="65192" spans="9:9" x14ac:dyDescent="0.2">
      <c r="I65192" s="137" t="s">
        <v>74</v>
      </c>
    </row>
    <row r="65193" spans="9:9" x14ac:dyDescent="0.2">
      <c r="I65193" s="137" t="s">
        <v>74</v>
      </c>
    </row>
    <row r="65194" spans="9:9" x14ac:dyDescent="0.2">
      <c r="I65194" s="137" t="s">
        <v>74</v>
      </c>
    </row>
    <row r="65195" spans="9:9" x14ac:dyDescent="0.2">
      <c r="I65195" s="137" t="s">
        <v>74</v>
      </c>
    </row>
    <row r="65196" spans="9:9" x14ac:dyDescent="0.2">
      <c r="I65196" s="137" t="s">
        <v>74</v>
      </c>
    </row>
    <row r="65197" spans="9:9" x14ac:dyDescent="0.2">
      <c r="I65197" s="137" t="s">
        <v>74</v>
      </c>
    </row>
    <row r="65198" spans="9:9" x14ac:dyDescent="0.2">
      <c r="I65198" s="137" t="s">
        <v>74</v>
      </c>
    </row>
    <row r="65199" spans="9:9" x14ac:dyDescent="0.2">
      <c r="I65199" s="137" t="s">
        <v>74</v>
      </c>
    </row>
    <row r="65200" spans="9:9" x14ac:dyDescent="0.2">
      <c r="I65200" s="137" t="s">
        <v>74</v>
      </c>
    </row>
    <row r="65201" spans="9:9" x14ac:dyDescent="0.2">
      <c r="I65201" s="137" t="s">
        <v>74</v>
      </c>
    </row>
    <row r="65202" spans="9:9" x14ac:dyDescent="0.2">
      <c r="I65202" s="137" t="s">
        <v>74</v>
      </c>
    </row>
    <row r="65203" spans="9:9" x14ac:dyDescent="0.2">
      <c r="I65203" s="137" t="s">
        <v>74</v>
      </c>
    </row>
    <row r="65204" spans="9:9" x14ac:dyDescent="0.2">
      <c r="I65204" s="137" t="s">
        <v>74</v>
      </c>
    </row>
    <row r="65205" spans="9:9" x14ac:dyDescent="0.2">
      <c r="I65205" s="137" t="s">
        <v>74</v>
      </c>
    </row>
    <row r="65206" spans="9:9" x14ac:dyDescent="0.2">
      <c r="I65206" s="137" t="s">
        <v>74</v>
      </c>
    </row>
    <row r="65207" spans="9:9" x14ac:dyDescent="0.2">
      <c r="I65207" s="137" t="s">
        <v>74</v>
      </c>
    </row>
    <row r="65208" spans="9:9" x14ac:dyDescent="0.2">
      <c r="I65208" s="137" t="s">
        <v>74</v>
      </c>
    </row>
    <row r="65209" spans="9:9" x14ac:dyDescent="0.2">
      <c r="I65209" s="137" t="s">
        <v>74</v>
      </c>
    </row>
    <row r="65210" spans="9:9" x14ac:dyDescent="0.2">
      <c r="I65210" s="137" t="s">
        <v>74</v>
      </c>
    </row>
    <row r="65211" spans="9:9" x14ac:dyDescent="0.2">
      <c r="I65211" s="137" t="s">
        <v>74</v>
      </c>
    </row>
    <row r="65212" spans="9:9" x14ac:dyDescent="0.2">
      <c r="I65212" s="137" t="s">
        <v>74</v>
      </c>
    </row>
    <row r="65213" spans="9:9" x14ac:dyDescent="0.2">
      <c r="I65213" s="137" t="s">
        <v>74</v>
      </c>
    </row>
    <row r="65214" spans="9:9" x14ac:dyDescent="0.2">
      <c r="I65214" s="137" t="s">
        <v>74</v>
      </c>
    </row>
    <row r="65215" spans="9:9" x14ac:dyDescent="0.2">
      <c r="I65215" s="137" t="s">
        <v>74</v>
      </c>
    </row>
    <row r="65216" spans="9:9" x14ac:dyDescent="0.2">
      <c r="I65216" s="137" t="s">
        <v>74</v>
      </c>
    </row>
    <row r="65217" spans="9:9" x14ac:dyDescent="0.2">
      <c r="I65217" s="137" t="s">
        <v>74</v>
      </c>
    </row>
    <row r="65218" spans="9:9" x14ac:dyDescent="0.2">
      <c r="I65218" s="137" t="s">
        <v>74</v>
      </c>
    </row>
    <row r="65219" spans="9:9" x14ac:dyDescent="0.2">
      <c r="I65219" s="137" t="s">
        <v>74</v>
      </c>
    </row>
    <row r="65220" spans="9:9" x14ac:dyDescent="0.2">
      <c r="I65220" s="137" t="s">
        <v>74</v>
      </c>
    </row>
    <row r="65221" spans="9:9" x14ac:dyDescent="0.2">
      <c r="I65221" s="137" t="s">
        <v>74</v>
      </c>
    </row>
    <row r="65222" spans="9:9" x14ac:dyDescent="0.2">
      <c r="I65222" s="137" t="s">
        <v>74</v>
      </c>
    </row>
    <row r="65223" spans="9:9" x14ac:dyDescent="0.2">
      <c r="I65223" s="137" t="s">
        <v>74</v>
      </c>
    </row>
    <row r="65224" spans="9:9" x14ac:dyDescent="0.2">
      <c r="I65224" s="137" t="s">
        <v>74</v>
      </c>
    </row>
    <row r="65225" spans="9:9" x14ac:dyDescent="0.2">
      <c r="I65225" s="137" t="s">
        <v>74</v>
      </c>
    </row>
    <row r="65226" spans="9:9" x14ac:dyDescent="0.2">
      <c r="I65226" s="137" t="s">
        <v>74</v>
      </c>
    </row>
    <row r="65227" spans="9:9" x14ac:dyDescent="0.2">
      <c r="I65227" s="137" t="s">
        <v>74</v>
      </c>
    </row>
    <row r="65228" spans="9:9" x14ac:dyDescent="0.2">
      <c r="I65228" s="137" t="s">
        <v>74</v>
      </c>
    </row>
    <row r="65229" spans="9:9" x14ac:dyDescent="0.2">
      <c r="I65229" s="137" t="s">
        <v>74</v>
      </c>
    </row>
    <row r="65230" spans="9:9" x14ac:dyDescent="0.2">
      <c r="I65230" s="137" t="s">
        <v>74</v>
      </c>
    </row>
    <row r="65231" spans="9:9" x14ac:dyDescent="0.2">
      <c r="I65231" s="137" t="s">
        <v>74</v>
      </c>
    </row>
    <row r="65232" spans="9:9" x14ac:dyDescent="0.2">
      <c r="I65232" s="137" t="s">
        <v>74</v>
      </c>
    </row>
    <row r="65233" spans="9:9" x14ac:dyDescent="0.2">
      <c r="I65233" s="137" t="s">
        <v>74</v>
      </c>
    </row>
    <row r="65234" spans="9:9" x14ac:dyDescent="0.2">
      <c r="I65234" s="137" t="s">
        <v>74</v>
      </c>
    </row>
    <row r="65235" spans="9:9" x14ac:dyDescent="0.2">
      <c r="I65235" s="137" t="s">
        <v>74</v>
      </c>
    </row>
    <row r="65236" spans="9:9" x14ac:dyDescent="0.2">
      <c r="I65236" s="137" t="s">
        <v>74</v>
      </c>
    </row>
    <row r="65237" spans="9:9" x14ac:dyDescent="0.2">
      <c r="I65237" s="137" t="s">
        <v>74</v>
      </c>
    </row>
    <row r="65238" spans="9:9" x14ac:dyDescent="0.2">
      <c r="I65238" s="137" t="s">
        <v>74</v>
      </c>
    </row>
    <row r="65239" spans="9:9" x14ac:dyDescent="0.2">
      <c r="I65239" s="137" t="s">
        <v>74</v>
      </c>
    </row>
    <row r="65240" spans="9:9" x14ac:dyDescent="0.2">
      <c r="I65240" s="137" t="s">
        <v>74</v>
      </c>
    </row>
    <row r="65241" spans="9:9" x14ac:dyDescent="0.2">
      <c r="I65241" s="137" t="s">
        <v>74</v>
      </c>
    </row>
    <row r="65242" spans="9:9" x14ac:dyDescent="0.2">
      <c r="I65242" s="137" t="s">
        <v>74</v>
      </c>
    </row>
    <row r="65243" spans="9:9" x14ac:dyDescent="0.2">
      <c r="I65243" s="137" t="s">
        <v>74</v>
      </c>
    </row>
    <row r="65244" spans="9:9" x14ac:dyDescent="0.2">
      <c r="I65244" s="137" t="s">
        <v>74</v>
      </c>
    </row>
    <row r="65245" spans="9:9" x14ac:dyDescent="0.2">
      <c r="I65245" s="137" t="s">
        <v>74</v>
      </c>
    </row>
    <row r="65246" spans="9:9" x14ac:dyDescent="0.2">
      <c r="I65246" s="137" t="s">
        <v>74</v>
      </c>
    </row>
    <row r="65247" spans="9:9" x14ac:dyDescent="0.2">
      <c r="I65247" s="137" t="s">
        <v>74</v>
      </c>
    </row>
    <row r="65248" spans="9:9" x14ac:dyDescent="0.2">
      <c r="I65248" s="137" t="s">
        <v>74</v>
      </c>
    </row>
    <row r="65249" spans="9:9" x14ac:dyDescent="0.2">
      <c r="I65249" s="137" t="s">
        <v>74</v>
      </c>
    </row>
    <row r="65250" spans="9:9" x14ac:dyDescent="0.2">
      <c r="I65250" s="137" t="s">
        <v>74</v>
      </c>
    </row>
    <row r="65251" spans="9:9" x14ac:dyDescent="0.2">
      <c r="I65251" s="137" t="s">
        <v>74</v>
      </c>
    </row>
    <row r="65252" spans="9:9" x14ac:dyDescent="0.2">
      <c r="I65252" s="137" t="s">
        <v>74</v>
      </c>
    </row>
    <row r="65253" spans="9:9" x14ac:dyDescent="0.2">
      <c r="I65253" s="137" t="s">
        <v>74</v>
      </c>
    </row>
    <row r="65254" spans="9:9" x14ac:dyDescent="0.2">
      <c r="I65254" s="137" t="s">
        <v>74</v>
      </c>
    </row>
    <row r="65255" spans="9:9" x14ac:dyDescent="0.2">
      <c r="I65255" s="137" t="s">
        <v>74</v>
      </c>
    </row>
    <row r="65256" spans="9:9" x14ac:dyDescent="0.2">
      <c r="I65256" s="137" t="s">
        <v>74</v>
      </c>
    </row>
    <row r="65257" spans="9:9" x14ac:dyDescent="0.2">
      <c r="I65257" s="137" t="s">
        <v>74</v>
      </c>
    </row>
    <row r="65258" spans="9:9" x14ac:dyDescent="0.2">
      <c r="I65258" s="137" t="s">
        <v>74</v>
      </c>
    </row>
    <row r="65259" spans="9:9" x14ac:dyDescent="0.2">
      <c r="I65259" s="137" t="s">
        <v>74</v>
      </c>
    </row>
    <row r="65260" spans="9:9" x14ac:dyDescent="0.2">
      <c r="I65260" s="137" t="s">
        <v>74</v>
      </c>
    </row>
    <row r="65261" spans="9:9" x14ac:dyDescent="0.2">
      <c r="I65261" s="137" t="s">
        <v>74</v>
      </c>
    </row>
    <row r="65262" spans="9:9" x14ac:dyDescent="0.2">
      <c r="I65262" s="137" t="s">
        <v>74</v>
      </c>
    </row>
    <row r="65263" spans="9:9" x14ac:dyDescent="0.2">
      <c r="I65263" s="137" t="s">
        <v>74</v>
      </c>
    </row>
    <row r="65264" spans="9:9" x14ac:dyDescent="0.2">
      <c r="I65264" s="137" t="s">
        <v>74</v>
      </c>
    </row>
    <row r="65265" spans="9:9" x14ac:dyDescent="0.2">
      <c r="I65265" s="137" t="s">
        <v>74</v>
      </c>
    </row>
    <row r="65266" spans="9:9" x14ac:dyDescent="0.2">
      <c r="I65266" s="137" t="s">
        <v>74</v>
      </c>
    </row>
    <row r="65267" spans="9:9" x14ac:dyDescent="0.2">
      <c r="I65267" s="137" t="s">
        <v>74</v>
      </c>
    </row>
    <row r="65268" spans="9:9" x14ac:dyDescent="0.2">
      <c r="I65268" s="137" t="s">
        <v>74</v>
      </c>
    </row>
    <row r="65269" spans="9:9" x14ac:dyDescent="0.2">
      <c r="I65269" s="137" t="s">
        <v>74</v>
      </c>
    </row>
    <row r="65270" spans="9:9" x14ac:dyDescent="0.2">
      <c r="I65270" s="137" t="s">
        <v>74</v>
      </c>
    </row>
    <row r="65271" spans="9:9" x14ac:dyDescent="0.2">
      <c r="I65271" s="137" t="s">
        <v>74</v>
      </c>
    </row>
    <row r="65272" spans="9:9" x14ac:dyDescent="0.2">
      <c r="I65272" s="137" t="s">
        <v>74</v>
      </c>
    </row>
    <row r="65273" spans="9:9" x14ac:dyDescent="0.2">
      <c r="I65273" s="137" t="s">
        <v>74</v>
      </c>
    </row>
    <row r="65274" spans="9:9" x14ac:dyDescent="0.2">
      <c r="I65274" s="137" t="s">
        <v>74</v>
      </c>
    </row>
    <row r="65275" spans="9:9" x14ac:dyDescent="0.2">
      <c r="I65275" s="137" t="s">
        <v>74</v>
      </c>
    </row>
    <row r="65276" spans="9:9" x14ac:dyDescent="0.2">
      <c r="I65276" s="137" t="s">
        <v>74</v>
      </c>
    </row>
    <row r="65277" spans="9:9" x14ac:dyDescent="0.2">
      <c r="I65277" s="137" t="s">
        <v>74</v>
      </c>
    </row>
    <row r="65278" spans="9:9" x14ac:dyDescent="0.2">
      <c r="I65278" s="137" t="s">
        <v>74</v>
      </c>
    </row>
    <row r="65279" spans="9:9" x14ac:dyDescent="0.2">
      <c r="I65279" s="137" t="s">
        <v>74</v>
      </c>
    </row>
    <row r="65280" spans="9:9" x14ac:dyDescent="0.2">
      <c r="I65280" s="137" t="s">
        <v>74</v>
      </c>
    </row>
    <row r="65281" spans="9:9" x14ac:dyDescent="0.2">
      <c r="I65281" s="137" t="s">
        <v>74</v>
      </c>
    </row>
    <row r="65282" spans="9:9" x14ac:dyDescent="0.2">
      <c r="I65282" s="137" t="s">
        <v>74</v>
      </c>
    </row>
    <row r="65283" spans="9:9" x14ac:dyDescent="0.2">
      <c r="I65283" s="137" t="s">
        <v>74</v>
      </c>
    </row>
    <row r="65284" spans="9:9" x14ac:dyDescent="0.2">
      <c r="I65284" s="137" t="s">
        <v>74</v>
      </c>
    </row>
    <row r="65285" spans="9:9" x14ac:dyDescent="0.2">
      <c r="I65285" s="137" t="s">
        <v>74</v>
      </c>
    </row>
    <row r="65286" spans="9:9" x14ac:dyDescent="0.2">
      <c r="I65286" s="137" t="s">
        <v>74</v>
      </c>
    </row>
    <row r="65287" spans="9:9" x14ac:dyDescent="0.2">
      <c r="I65287" s="137" t="s">
        <v>74</v>
      </c>
    </row>
    <row r="65288" spans="9:9" x14ac:dyDescent="0.2">
      <c r="I65288" s="137" t="s">
        <v>74</v>
      </c>
    </row>
    <row r="65289" spans="9:9" x14ac:dyDescent="0.2">
      <c r="I65289" s="137" t="s">
        <v>74</v>
      </c>
    </row>
    <row r="65290" spans="9:9" x14ac:dyDescent="0.2">
      <c r="I65290" s="137" t="s">
        <v>74</v>
      </c>
    </row>
    <row r="65291" spans="9:9" x14ac:dyDescent="0.2">
      <c r="I65291" s="137" t="s">
        <v>74</v>
      </c>
    </row>
    <row r="65292" spans="9:9" x14ac:dyDescent="0.2">
      <c r="I65292" s="137" t="s">
        <v>74</v>
      </c>
    </row>
    <row r="65293" spans="9:9" x14ac:dyDescent="0.2">
      <c r="I65293" s="137" t="s">
        <v>74</v>
      </c>
    </row>
    <row r="65294" spans="9:9" x14ac:dyDescent="0.2">
      <c r="I65294" s="137" t="s">
        <v>74</v>
      </c>
    </row>
    <row r="65295" spans="9:9" x14ac:dyDescent="0.2">
      <c r="I65295" s="137" t="s">
        <v>74</v>
      </c>
    </row>
    <row r="65296" spans="9:9" x14ac:dyDescent="0.2">
      <c r="I65296" s="137" t="s">
        <v>74</v>
      </c>
    </row>
    <row r="65297" spans="9:9" x14ac:dyDescent="0.2">
      <c r="I65297" s="137" t="s">
        <v>74</v>
      </c>
    </row>
    <row r="65298" spans="9:9" x14ac:dyDescent="0.2">
      <c r="I65298" s="137" t="s">
        <v>74</v>
      </c>
    </row>
    <row r="65299" spans="9:9" x14ac:dyDescent="0.2">
      <c r="I65299" s="137" t="s">
        <v>74</v>
      </c>
    </row>
    <row r="65300" spans="9:9" x14ac:dyDescent="0.2">
      <c r="I65300" s="137" t="s">
        <v>74</v>
      </c>
    </row>
    <row r="65301" spans="9:9" x14ac:dyDescent="0.2">
      <c r="I65301" s="137" t="s">
        <v>74</v>
      </c>
    </row>
    <row r="65302" spans="9:9" x14ac:dyDescent="0.2">
      <c r="I65302" s="137" t="s">
        <v>74</v>
      </c>
    </row>
    <row r="65303" spans="9:9" x14ac:dyDescent="0.2">
      <c r="I65303" s="137" t="s">
        <v>74</v>
      </c>
    </row>
    <row r="65304" spans="9:9" x14ac:dyDescent="0.2">
      <c r="I65304" s="137" t="s">
        <v>74</v>
      </c>
    </row>
    <row r="65305" spans="9:9" x14ac:dyDescent="0.2">
      <c r="I65305" s="137" t="s">
        <v>74</v>
      </c>
    </row>
    <row r="65306" spans="9:9" x14ac:dyDescent="0.2">
      <c r="I65306" s="137" t="s">
        <v>74</v>
      </c>
    </row>
    <row r="65307" spans="9:9" x14ac:dyDescent="0.2">
      <c r="I65307" s="137" t="s">
        <v>74</v>
      </c>
    </row>
    <row r="65308" spans="9:9" x14ac:dyDescent="0.2">
      <c r="I65308" s="137" t="s">
        <v>74</v>
      </c>
    </row>
    <row r="65309" spans="9:9" x14ac:dyDescent="0.2">
      <c r="I65309" s="137" t="s">
        <v>74</v>
      </c>
    </row>
    <row r="65310" spans="9:9" x14ac:dyDescent="0.2">
      <c r="I65310" s="137" t="s">
        <v>74</v>
      </c>
    </row>
    <row r="65311" spans="9:9" x14ac:dyDescent="0.2">
      <c r="I65311" s="137" t="s">
        <v>74</v>
      </c>
    </row>
    <row r="65312" spans="9:9" x14ac:dyDescent="0.2">
      <c r="I65312" s="137" t="s">
        <v>74</v>
      </c>
    </row>
    <row r="65313" spans="9:9" x14ac:dyDescent="0.2">
      <c r="I65313" s="137" t="s">
        <v>74</v>
      </c>
    </row>
    <row r="65314" spans="9:9" x14ac:dyDescent="0.2">
      <c r="I65314" s="137" t="s">
        <v>74</v>
      </c>
    </row>
    <row r="65315" spans="9:9" x14ac:dyDescent="0.2">
      <c r="I65315" s="137" t="s">
        <v>74</v>
      </c>
    </row>
    <row r="65316" spans="9:9" x14ac:dyDescent="0.2">
      <c r="I65316" s="137" t="s">
        <v>74</v>
      </c>
    </row>
    <row r="65317" spans="9:9" x14ac:dyDescent="0.2">
      <c r="I65317" s="137" t="s">
        <v>74</v>
      </c>
    </row>
    <row r="65318" spans="9:9" x14ac:dyDescent="0.2">
      <c r="I65318" s="137" t="s">
        <v>74</v>
      </c>
    </row>
    <row r="65319" spans="9:9" x14ac:dyDescent="0.2">
      <c r="I65319" s="137" t="s">
        <v>74</v>
      </c>
    </row>
    <row r="65320" spans="9:9" x14ac:dyDescent="0.2">
      <c r="I65320" s="137" t="s">
        <v>74</v>
      </c>
    </row>
    <row r="65321" spans="9:9" x14ac:dyDescent="0.2">
      <c r="I65321" s="137" t="s">
        <v>74</v>
      </c>
    </row>
    <row r="65322" spans="9:9" x14ac:dyDescent="0.2">
      <c r="I65322" s="137" t="s">
        <v>74</v>
      </c>
    </row>
    <row r="65323" spans="9:9" x14ac:dyDescent="0.2">
      <c r="I65323" s="137" t="s">
        <v>74</v>
      </c>
    </row>
    <row r="65324" spans="9:9" x14ac:dyDescent="0.2">
      <c r="I65324" s="137" t="s">
        <v>74</v>
      </c>
    </row>
    <row r="65325" spans="9:9" x14ac:dyDescent="0.2">
      <c r="I65325" s="137" t="s">
        <v>74</v>
      </c>
    </row>
    <row r="65326" spans="9:9" x14ac:dyDescent="0.2">
      <c r="I65326" s="137" t="s">
        <v>74</v>
      </c>
    </row>
    <row r="65327" spans="9:9" x14ac:dyDescent="0.2">
      <c r="I65327" s="137" t="s">
        <v>74</v>
      </c>
    </row>
    <row r="65328" spans="9:9" x14ac:dyDescent="0.2">
      <c r="I65328" s="137" t="s">
        <v>74</v>
      </c>
    </row>
    <row r="65329" spans="9:9" x14ac:dyDescent="0.2">
      <c r="I65329" s="137" t="s">
        <v>74</v>
      </c>
    </row>
    <row r="65330" spans="9:9" x14ac:dyDescent="0.2">
      <c r="I65330" s="137" t="s">
        <v>74</v>
      </c>
    </row>
    <row r="65331" spans="9:9" x14ac:dyDescent="0.2">
      <c r="I65331" s="137" t="s">
        <v>74</v>
      </c>
    </row>
    <row r="65332" spans="9:9" x14ac:dyDescent="0.2">
      <c r="I65332" s="137" t="s">
        <v>74</v>
      </c>
    </row>
    <row r="65333" spans="9:9" x14ac:dyDescent="0.2">
      <c r="I65333" s="137" t="s">
        <v>74</v>
      </c>
    </row>
    <row r="65334" spans="9:9" x14ac:dyDescent="0.2">
      <c r="I65334" s="137" t="s">
        <v>74</v>
      </c>
    </row>
    <row r="65335" spans="9:9" x14ac:dyDescent="0.2">
      <c r="I65335" s="137" t="s">
        <v>74</v>
      </c>
    </row>
    <row r="65336" spans="9:9" x14ac:dyDescent="0.2">
      <c r="I65336" s="137" t="s">
        <v>74</v>
      </c>
    </row>
    <row r="65337" spans="9:9" x14ac:dyDescent="0.2">
      <c r="I65337" s="137" t="s">
        <v>74</v>
      </c>
    </row>
    <row r="65338" spans="9:9" x14ac:dyDescent="0.2">
      <c r="I65338" s="137" t="s">
        <v>74</v>
      </c>
    </row>
    <row r="65339" spans="9:9" x14ac:dyDescent="0.2">
      <c r="I65339" s="137" t="s">
        <v>74</v>
      </c>
    </row>
    <row r="65340" spans="9:9" x14ac:dyDescent="0.2">
      <c r="I65340" s="137" t="s">
        <v>74</v>
      </c>
    </row>
    <row r="65341" spans="9:9" x14ac:dyDescent="0.2">
      <c r="I65341" s="137" t="s">
        <v>74</v>
      </c>
    </row>
    <row r="65342" spans="9:9" x14ac:dyDescent="0.2">
      <c r="I65342" s="137" t="s">
        <v>74</v>
      </c>
    </row>
    <row r="65343" spans="9:9" x14ac:dyDescent="0.2">
      <c r="I65343" s="137" t="s">
        <v>74</v>
      </c>
    </row>
    <row r="65344" spans="9:9" x14ac:dyDescent="0.2">
      <c r="I65344" s="137" t="s">
        <v>74</v>
      </c>
    </row>
    <row r="65345" spans="9:9" x14ac:dyDescent="0.2">
      <c r="I65345" s="137" t="s">
        <v>74</v>
      </c>
    </row>
    <row r="65346" spans="9:9" x14ac:dyDescent="0.2">
      <c r="I65346" s="137" t="s">
        <v>74</v>
      </c>
    </row>
    <row r="65347" spans="9:9" x14ac:dyDescent="0.2">
      <c r="I65347" s="137" t="s">
        <v>74</v>
      </c>
    </row>
    <row r="65348" spans="9:9" x14ac:dyDescent="0.2">
      <c r="I65348" s="137" t="s">
        <v>74</v>
      </c>
    </row>
    <row r="65349" spans="9:9" x14ac:dyDescent="0.2">
      <c r="I65349" s="137" t="s">
        <v>74</v>
      </c>
    </row>
    <row r="65350" spans="9:9" x14ac:dyDescent="0.2">
      <c r="I65350" s="137" t="s">
        <v>74</v>
      </c>
    </row>
    <row r="65351" spans="9:9" x14ac:dyDescent="0.2">
      <c r="I65351" s="137" t="s">
        <v>74</v>
      </c>
    </row>
    <row r="65352" spans="9:9" x14ac:dyDescent="0.2">
      <c r="I65352" s="137" t="s">
        <v>74</v>
      </c>
    </row>
    <row r="65353" spans="9:9" x14ac:dyDescent="0.2">
      <c r="I65353" s="137" t="s">
        <v>74</v>
      </c>
    </row>
    <row r="65354" spans="9:9" x14ac:dyDescent="0.2">
      <c r="I65354" s="137" t="s">
        <v>74</v>
      </c>
    </row>
    <row r="65355" spans="9:9" x14ac:dyDescent="0.2">
      <c r="I65355" s="137" t="s">
        <v>74</v>
      </c>
    </row>
    <row r="65356" spans="9:9" x14ac:dyDescent="0.2">
      <c r="I65356" s="137" t="s">
        <v>74</v>
      </c>
    </row>
    <row r="65357" spans="9:9" x14ac:dyDescent="0.2">
      <c r="I65357" s="137" t="s">
        <v>74</v>
      </c>
    </row>
    <row r="65358" spans="9:9" x14ac:dyDescent="0.2">
      <c r="I65358" s="137" t="s">
        <v>74</v>
      </c>
    </row>
    <row r="65359" spans="9:9" x14ac:dyDescent="0.2">
      <c r="I65359" s="137" t="s">
        <v>74</v>
      </c>
    </row>
    <row r="65360" spans="9:9" x14ac:dyDescent="0.2">
      <c r="I65360" s="137" t="s">
        <v>74</v>
      </c>
    </row>
    <row r="65361" spans="9:9" x14ac:dyDescent="0.2">
      <c r="I65361" s="137" t="s">
        <v>74</v>
      </c>
    </row>
    <row r="65362" spans="9:9" x14ac:dyDescent="0.2">
      <c r="I65362" s="137" t="s">
        <v>74</v>
      </c>
    </row>
    <row r="65363" spans="9:9" x14ac:dyDescent="0.2">
      <c r="I65363" s="137" t="s">
        <v>74</v>
      </c>
    </row>
    <row r="65364" spans="9:9" x14ac:dyDescent="0.2">
      <c r="I65364" s="137" t="s">
        <v>74</v>
      </c>
    </row>
    <row r="65365" spans="9:9" x14ac:dyDescent="0.2">
      <c r="I65365" s="137" t="s">
        <v>74</v>
      </c>
    </row>
    <row r="65366" spans="9:9" x14ac:dyDescent="0.2">
      <c r="I65366" s="137" t="s">
        <v>74</v>
      </c>
    </row>
    <row r="65367" spans="9:9" x14ac:dyDescent="0.2">
      <c r="I65367" s="137" t="s">
        <v>74</v>
      </c>
    </row>
    <row r="65368" spans="9:9" x14ac:dyDescent="0.2">
      <c r="I65368" s="137" t="s">
        <v>74</v>
      </c>
    </row>
    <row r="65369" spans="9:9" x14ac:dyDescent="0.2">
      <c r="I65369" s="137" t="s">
        <v>74</v>
      </c>
    </row>
    <row r="65370" spans="9:9" x14ac:dyDescent="0.2">
      <c r="I65370" s="137" t="s">
        <v>74</v>
      </c>
    </row>
    <row r="65371" spans="9:9" x14ac:dyDescent="0.2">
      <c r="I65371" s="137" t="s">
        <v>74</v>
      </c>
    </row>
    <row r="65372" spans="9:9" x14ac:dyDescent="0.2">
      <c r="I65372" s="137" t="s">
        <v>74</v>
      </c>
    </row>
    <row r="65373" spans="9:9" x14ac:dyDescent="0.2">
      <c r="I65373" s="137" t="s">
        <v>74</v>
      </c>
    </row>
    <row r="65374" spans="9:9" x14ac:dyDescent="0.2">
      <c r="I65374" s="137" t="s">
        <v>74</v>
      </c>
    </row>
    <row r="65375" spans="9:9" x14ac:dyDescent="0.2">
      <c r="I65375" s="137" t="s">
        <v>74</v>
      </c>
    </row>
    <row r="65376" spans="9:9" x14ac:dyDescent="0.2">
      <c r="I65376" s="137" t="s">
        <v>74</v>
      </c>
    </row>
    <row r="65377" spans="9:9" x14ac:dyDescent="0.2">
      <c r="I65377" s="137" t="s">
        <v>74</v>
      </c>
    </row>
    <row r="65378" spans="9:9" x14ac:dyDescent="0.2">
      <c r="I65378" s="137" t="s">
        <v>74</v>
      </c>
    </row>
    <row r="65379" spans="9:9" x14ac:dyDescent="0.2">
      <c r="I65379" s="137" t="s">
        <v>74</v>
      </c>
    </row>
    <row r="65380" spans="9:9" x14ac:dyDescent="0.2">
      <c r="I65380" s="137" t="s">
        <v>74</v>
      </c>
    </row>
    <row r="65381" spans="9:9" x14ac:dyDescent="0.2">
      <c r="I65381" s="137" t="s">
        <v>74</v>
      </c>
    </row>
    <row r="65382" spans="9:9" x14ac:dyDescent="0.2">
      <c r="I65382" s="137" t="s">
        <v>74</v>
      </c>
    </row>
    <row r="65383" spans="9:9" x14ac:dyDescent="0.2">
      <c r="I65383" s="137" t="s">
        <v>74</v>
      </c>
    </row>
    <row r="65384" spans="9:9" x14ac:dyDescent="0.2">
      <c r="I65384" s="137" t="s">
        <v>74</v>
      </c>
    </row>
    <row r="65385" spans="9:9" x14ac:dyDescent="0.2">
      <c r="I65385" s="137" t="s">
        <v>74</v>
      </c>
    </row>
    <row r="65386" spans="9:9" x14ac:dyDescent="0.2">
      <c r="I65386" s="137" t="s">
        <v>74</v>
      </c>
    </row>
    <row r="65387" spans="9:9" x14ac:dyDescent="0.2">
      <c r="I65387" s="137" t="s">
        <v>74</v>
      </c>
    </row>
    <row r="65388" spans="9:9" x14ac:dyDescent="0.2">
      <c r="I65388" s="137" t="s">
        <v>74</v>
      </c>
    </row>
    <row r="65389" spans="9:9" x14ac:dyDescent="0.2">
      <c r="I65389" s="137" t="s">
        <v>74</v>
      </c>
    </row>
    <row r="65390" spans="9:9" x14ac:dyDescent="0.2">
      <c r="I65390" s="137" t="s">
        <v>74</v>
      </c>
    </row>
    <row r="65391" spans="9:9" x14ac:dyDescent="0.2">
      <c r="I65391" s="137" t="s">
        <v>74</v>
      </c>
    </row>
    <row r="65392" spans="9:9" x14ac:dyDescent="0.2">
      <c r="I65392" s="137" t="s">
        <v>74</v>
      </c>
    </row>
    <row r="65393" spans="9:9" x14ac:dyDescent="0.2">
      <c r="I65393" s="137" t="s">
        <v>74</v>
      </c>
    </row>
    <row r="65394" spans="9:9" x14ac:dyDescent="0.2">
      <c r="I65394" s="137" t="s">
        <v>74</v>
      </c>
    </row>
    <row r="65395" spans="9:9" x14ac:dyDescent="0.2">
      <c r="I65395" s="137" t="s">
        <v>74</v>
      </c>
    </row>
    <row r="65396" spans="9:9" x14ac:dyDescent="0.2">
      <c r="I65396" s="137" t="s">
        <v>74</v>
      </c>
    </row>
    <row r="65397" spans="9:9" x14ac:dyDescent="0.2">
      <c r="I65397" s="137" t="s">
        <v>74</v>
      </c>
    </row>
    <row r="65398" spans="9:9" x14ac:dyDescent="0.2">
      <c r="I65398" s="137" t="s">
        <v>74</v>
      </c>
    </row>
    <row r="65399" spans="9:9" x14ac:dyDescent="0.2">
      <c r="I65399" s="137" t="s">
        <v>74</v>
      </c>
    </row>
    <row r="65400" spans="9:9" x14ac:dyDescent="0.2">
      <c r="I65400" s="137" t="s">
        <v>74</v>
      </c>
    </row>
    <row r="65401" spans="9:9" x14ac:dyDescent="0.2">
      <c r="I65401" s="137" t="s">
        <v>74</v>
      </c>
    </row>
    <row r="65402" spans="9:9" x14ac:dyDescent="0.2">
      <c r="I65402" s="137" t="s">
        <v>74</v>
      </c>
    </row>
    <row r="65403" spans="9:9" x14ac:dyDescent="0.2">
      <c r="I65403" s="137" t="s">
        <v>74</v>
      </c>
    </row>
    <row r="65404" spans="9:9" x14ac:dyDescent="0.2">
      <c r="I65404" s="137" t="s">
        <v>74</v>
      </c>
    </row>
    <row r="65405" spans="9:9" x14ac:dyDescent="0.2">
      <c r="I65405" s="137" t="s">
        <v>74</v>
      </c>
    </row>
    <row r="65406" spans="9:9" x14ac:dyDescent="0.2">
      <c r="I65406" s="137" t="s">
        <v>74</v>
      </c>
    </row>
    <row r="65407" spans="9:9" x14ac:dyDescent="0.2">
      <c r="I65407" s="137" t="s">
        <v>74</v>
      </c>
    </row>
    <row r="65408" spans="9:9" x14ac:dyDescent="0.2">
      <c r="I65408" s="137" t="s">
        <v>74</v>
      </c>
    </row>
    <row r="65409" spans="9:9" x14ac:dyDescent="0.2">
      <c r="I65409" s="137" t="s">
        <v>74</v>
      </c>
    </row>
    <row r="65410" spans="9:9" x14ac:dyDescent="0.2">
      <c r="I65410" s="137" t="s">
        <v>74</v>
      </c>
    </row>
    <row r="65411" spans="9:9" x14ac:dyDescent="0.2">
      <c r="I65411" s="137" t="s">
        <v>74</v>
      </c>
    </row>
    <row r="65412" spans="9:9" x14ac:dyDescent="0.2">
      <c r="I65412" s="137" t="s">
        <v>74</v>
      </c>
    </row>
    <row r="65413" spans="9:9" x14ac:dyDescent="0.2">
      <c r="I65413" s="137" t="s">
        <v>74</v>
      </c>
    </row>
    <row r="65414" spans="9:9" x14ac:dyDescent="0.2">
      <c r="I65414" s="137" t="s">
        <v>74</v>
      </c>
    </row>
    <row r="65415" spans="9:9" x14ac:dyDescent="0.2">
      <c r="I65415" s="137" t="s">
        <v>74</v>
      </c>
    </row>
    <row r="65416" spans="9:9" x14ac:dyDescent="0.2">
      <c r="I65416" s="137" t="s">
        <v>74</v>
      </c>
    </row>
    <row r="65417" spans="9:9" x14ac:dyDescent="0.2">
      <c r="I65417" s="137" t="s">
        <v>74</v>
      </c>
    </row>
    <row r="65418" spans="9:9" x14ac:dyDescent="0.2">
      <c r="I65418" s="137" t="s">
        <v>74</v>
      </c>
    </row>
    <row r="65419" spans="9:9" x14ac:dyDescent="0.2">
      <c r="I65419" s="137" t="s">
        <v>74</v>
      </c>
    </row>
    <row r="65420" spans="9:9" x14ac:dyDescent="0.2">
      <c r="I65420" s="137" t="s">
        <v>74</v>
      </c>
    </row>
    <row r="65421" spans="9:9" x14ac:dyDescent="0.2">
      <c r="I65421" s="137" t="s">
        <v>74</v>
      </c>
    </row>
    <row r="65422" spans="9:9" x14ac:dyDescent="0.2">
      <c r="I65422" s="137" t="s">
        <v>74</v>
      </c>
    </row>
    <row r="65423" spans="9:9" x14ac:dyDescent="0.2">
      <c r="I65423" s="137" t="s">
        <v>74</v>
      </c>
    </row>
    <row r="65424" spans="9:9" x14ac:dyDescent="0.2">
      <c r="I65424" s="137" t="s">
        <v>74</v>
      </c>
    </row>
    <row r="65425" spans="9:9" x14ac:dyDescent="0.2">
      <c r="I65425" s="137" t="s">
        <v>74</v>
      </c>
    </row>
    <row r="65426" spans="9:9" x14ac:dyDescent="0.2">
      <c r="I65426" s="137" t="s">
        <v>74</v>
      </c>
    </row>
    <row r="65427" spans="9:9" x14ac:dyDescent="0.2">
      <c r="I65427" s="137" t="s">
        <v>74</v>
      </c>
    </row>
    <row r="65428" spans="9:9" x14ac:dyDescent="0.2">
      <c r="I65428" s="137" t="s">
        <v>74</v>
      </c>
    </row>
    <row r="65429" spans="9:9" x14ac:dyDescent="0.2">
      <c r="I65429" s="137" t="s">
        <v>74</v>
      </c>
    </row>
    <row r="65430" spans="9:9" x14ac:dyDescent="0.2">
      <c r="I65430" s="137" t="s">
        <v>74</v>
      </c>
    </row>
    <row r="65431" spans="9:9" x14ac:dyDescent="0.2">
      <c r="I65431" s="137" t="s">
        <v>74</v>
      </c>
    </row>
    <row r="65432" spans="9:9" x14ac:dyDescent="0.2">
      <c r="I65432" s="137" t="s">
        <v>74</v>
      </c>
    </row>
    <row r="65433" spans="9:9" x14ac:dyDescent="0.2">
      <c r="I65433" s="137" t="s">
        <v>74</v>
      </c>
    </row>
    <row r="65434" spans="9:9" x14ac:dyDescent="0.2">
      <c r="I65434" s="137" t="s">
        <v>74</v>
      </c>
    </row>
    <row r="65435" spans="9:9" x14ac:dyDescent="0.2">
      <c r="I65435" s="137" t="s">
        <v>74</v>
      </c>
    </row>
    <row r="65436" spans="9:9" x14ac:dyDescent="0.2">
      <c r="I65436" s="137" t="s">
        <v>74</v>
      </c>
    </row>
    <row r="65437" spans="9:9" x14ac:dyDescent="0.2">
      <c r="I65437" s="137" t="s">
        <v>74</v>
      </c>
    </row>
    <row r="65438" spans="9:9" x14ac:dyDescent="0.2">
      <c r="I65438" s="137" t="s">
        <v>74</v>
      </c>
    </row>
    <row r="65439" spans="9:9" x14ac:dyDescent="0.2">
      <c r="I65439" s="137" t="s">
        <v>74</v>
      </c>
    </row>
    <row r="65440" spans="9:9" x14ac:dyDescent="0.2">
      <c r="I65440" s="137" t="s">
        <v>74</v>
      </c>
    </row>
    <row r="65441" spans="9:9" x14ac:dyDescent="0.2">
      <c r="I65441" s="137" t="s">
        <v>74</v>
      </c>
    </row>
    <row r="65442" spans="9:9" x14ac:dyDescent="0.2">
      <c r="I65442" s="137" t="s">
        <v>74</v>
      </c>
    </row>
    <row r="65443" spans="9:9" x14ac:dyDescent="0.2">
      <c r="I65443" s="137" t="s">
        <v>74</v>
      </c>
    </row>
    <row r="65444" spans="9:9" x14ac:dyDescent="0.2">
      <c r="I65444" s="137" t="s">
        <v>74</v>
      </c>
    </row>
    <row r="65445" spans="9:9" x14ac:dyDescent="0.2">
      <c r="I65445" s="137" t="s">
        <v>74</v>
      </c>
    </row>
    <row r="65446" spans="9:9" x14ac:dyDescent="0.2">
      <c r="I65446" s="137" t="s">
        <v>74</v>
      </c>
    </row>
    <row r="65447" spans="9:9" x14ac:dyDescent="0.2">
      <c r="I65447" s="137" t="s">
        <v>74</v>
      </c>
    </row>
    <row r="65448" spans="9:9" x14ac:dyDescent="0.2">
      <c r="I65448" s="137" t="s">
        <v>74</v>
      </c>
    </row>
    <row r="65449" spans="9:9" x14ac:dyDescent="0.2">
      <c r="I65449" s="137" t="s">
        <v>74</v>
      </c>
    </row>
    <row r="65450" spans="9:9" x14ac:dyDescent="0.2">
      <c r="I65450" s="137" t="s">
        <v>74</v>
      </c>
    </row>
    <row r="65451" spans="9:9" x14ac:dyDescent="0.2">
      <c r="I65451" s="137" t="s">
        <v>74</v>
      </c>
    </row>
    <row r="65452" spans="9:9" x14ac:dyDescent="0.2">
      <c r="I65452" s="137" t="s">
        <v>74</v>
      </c>
    </row>
    <row r="65453" spans="9:9" x14ac:dyDescent="0.2">
      <c r="I65453" s="137" t="s">
        <v>74</v>
      </c>
    </row>
    <row r="65454" spans="9:9" x14ac:dyDescent="0.2">
      <c r="I65454" s="137" t="s">
        <v>74</v>
      </c>
    </row>
    <row r="65455" spans="9:9" x14ac:dyDescent="0.2">
      <c r="I65455" s="137" t="s">
        <v>74</v>
      </c>
    </row>
    <row r="65456" spans="9:9" x14ac:dyDescent="0.2">
      <c r="I65456" s="137" t="s">
        <v>74</v>
      </c>
    </row>
    <row r="65457" spans="9:9" x14ac:dyDescent="0.2">
      <c r="I65457" s="137" t="s">
        <v>74</v>
      </c>
    </row>
    <row r="65458" spans="9:9" x14ac:dyDescent="0.2">
      <c r="I65458" s="137" t="s">
        <v>74</v>
      </c>
    </row>
    <row r="65459" spans="9:9" x14ac:dyDescent="0.2">
      <c r="I65459" s="137" t="s">
        <v>74</v>
      </c>
    </row>
    <row r="65460" spans="9:9" x14ac:dyDescent="0.2">
      <c r="I65460" s="137" t="s">
        <v>74</v>
      </c>
    </row>
    <row r="65461" spans="9:9" x14ac:dyDescent="0.2">
      <c r="I65461" s="137" t="s">
        <v>74</v>
      </c>
    </row>
    <row r="65462" spans="9:9" x14ac:dyDescent="0.2">
      <c r="I65462" s="137" t="s">
        <v>74</v>
      </c>
    </row>
    <row r="65463" spans="9:9" x14ac:dyDescent="0.2">
      <c r="I65463" s="137" t="s">
        <v>74</v>
      </c>
    </row>
    <row r="65464" spans="9:9" x14ac:dyDescent="0.2">
      <c r="I65464" s="137" t="s">
        <v>74</v>
      </c>
    </row>
    <row r="65465" spans="9:9" x14ac:dyDescent="0.2">
      <c r="I65465" s="137" t="s">
        <v>74</v>
      </c>
    </row>
    <row r="65466" spans="9:9" x14ac:dyDescent="0.2">
      <c r="I65466" s="137" t="s">
        <v>74</v>
      </c>
    </row>
    <row r="65467" spans="9:9" x14ac:dyDescent="0.2">
      <c r="I65467" s="137" t="s">
        <v>74</v>
      </c>
    </row>
    <row r="65468" spans="9:9" x14ac:dyDescent="0.2">
      <c r="I65468" s="137" t="s">
        <v>74</v>
      </c>
    </row>
    <row r="65469" spans="9:9" x14ac:dyDescent="0.2">
      <c r="I65469" s="137" t="s">
        <v>74</v>
      </c>
    </row>
    <row r="65470" spans="9:9" x14ac:dyDescent="0.2">
      <c r="I65470" s="137" t="s">
        <v>74</v>
      </c>
    </row>
    <row r="65471" spans="9:9" x14ac:dyDescent="0.2">
      <c r="I65471" s="137" t="s">
        <v>74</v>
      </c>
    </row>
    <row r="65472" spans="9:9" x14ac:dyDescent="0.2">
      <c r="I65472" s="137" t="s">
        <v>74</v>
      </c>
    </row>
    <row r="65473" spans="9:9" x14ac:dyDescent="0.2">
      <c r="I65473" s="137" t="s">
        <v>74</v>
      </c>
    </row>
    <row r="65474" spans="9:9" x14ac:dyDescent="0.2">
      <c r="I65474" s="137" t="s">
        <v>74</v>
      </c>
    </row>
    <row r="65475" spans="9:9" x14ac:dyDescent="0.2">
      <c r="I65475" s="137" t="s">
        <v>74</v>
      </c>
    </row>
    <row r="65476" spans="9:9" x14ac:dyDescent="0.2">
      <c r="I65476" s="137" t="s">
        <v>74</v>
      </c>
    </row>
    <row r="65477" spans="9:9" x14ac:dyDescent="0.2">
      <c r="I65477" s="137" t="s">
        <v>74</v>
      </c>
    </row>
    <row r="65478" spans="9:9" x14ac:dyDescent="0.2">
      <c r="I65478" s="137" t="s">
        <v>74</v>
      </c>
    </row>
    <row r="65479" spans="9:9" x14ac:dyDescent="0.2">
      <c r="I65479" s="137" t="s">
        <v>74</v>
      </c>
    </row>
    <row r="65480" spans="9:9" x14ac:dyDescent="0.2">
      <c r="I65480" s="137" t="s">
        <v>74</v>
      </c>
    </row>
    <row r="65481" spans="9:9" x14ac:dyDescent="0.2">
      <c r="I65481" s="137" t="s">
        <v>74</v>
      </c>
    </row>
    <row r="65482" spans="9:9" x14ac:dyDescent="0.2">
      <c r="I65482" s="137" t="s">
        <v>74</v>
      </c>
    </row>
    <row r="65483" spans="9:9" x14ac:dyDescent="0.2">
      <c r="I65483" s="137" t="s">
        <v>74</v>
      </c>
    </row>
    <row r="65484" spans="9:9" x14ac:dyDescent="0.2">
      <c r="I65484" s="137" t="s">
        <v>74</v>
      </c>
    </row>
    <row r="65485" spans="9:9" x14ac:dyDescent="0.2">
      <c r="I65485" s="137" t="s">
        <v>74</v>
      </c>
    </row>
    <row r="65486" spans="9:9" x14ac:dyDescent="0.2">
      <c r="I65486" s="137" t="s">
        <v>74</v>
      </c>
    </row>
    <row r="65487" spans="9:9" x14ac:dyDescent="0.2">
      <c r="I65487" s="137" t="s">
        <v>74</v>
      </c>
    </row>
    <row r="65488" spans="9:9" x14ac:dyDescent="0.2">
      <c r="I65488" s="137" t="s">
        <v>74</v>
      </c>
    </row>
    <row r="65489" spans="9:9" x14ac:dyDescent="0.2">
      <c r="I65489" s="137" t="s">
        <v>74</v>
      </c>
    </row>
    <row r="65490" spans="9:9" x14ac:dyDescent="0.2">
      <c r="I65490" s="137" t="s">
        <v>74</v>
      </c>
    </row>
    <row r="65491" spans="9:9" x14ac:dyDescent="0.2">
      <c r="I65491" s="137" t="s">
        <v>74</v>
      </c>
    </row>
    <row r="65492" spans="9:9" x14ac:dyDescent="0.2">
      <c r="I65492" s="137" t="s">
        <v>74</v>
      </c>
    </row>
    <row r="65493" spans="9:9" x14ac:dyDescent="0.2">
      <c r="I65493" s="137" t="s">
        <v>74</v>
      </c>
    </row>
    <row r="65494" spans="9:9" x14ac:dyDescent="0.2">
      <c r="I65494" s="137" t="s">
        <v>74</v>
      </c>
    </row>
    <row r="65495" spans="9:9" x14ac:dyDescent="0.2">
      <c r="I65495" s="137" t="s">
        <v>74</v>
      </c>
    </row>
    <row r="65496" spans="9:9" x14ac:dyDescent="0.2">
      <c r="I65496" s="137" t="s">
        <v>74</v>
      </c>
    </row>
    <row r="65497" spans="9:9" x14ac:dyDescent="0.2">
      <c r="I65497" s="137" t="s">
        <v>74</v>
      </c>
    </row>
    <row r="65498" spans="9:9" x14ac:dyDescent="0.2">
      <c r="I65498" s="137" t="s">
        <v>74</v>
      </c>
    </row>
    <row r="65499" spans="9:9" x14ac:dyDescent="0.2">
      <c r="I65499" s="137" t="s">
        <v>74</v>
      </c>
    </row>
    <row r="65500" spans="9:9" x14ac:dyDescent="0.2">
      <c r="I65500" s="137" t="s">
        <v>74</v>
      </c>
    </row>
    <row r="65501" spans="9:9" x14ac:dyDescent="0.2">
      <c r="I65501" s="137" t="s">
        <v>74</v>
      </c>
    </row>
    <row r="65502" spans="9:9" x14ac:dyDescent="0.2">
      <c r="I65502" s="137" t="s">
        <v>74</v>
      </c>
    </row>
    <row r="65503" spans="9:9" x14ac:dyDescent="0.2">
      <c r="I65503" s="137" t="s">
        <v>74</v>
      </c>
    </row>
    <row r="65504" spans="9:9" x14ac:dyDescent="0.2">
      <c r="I65504" s="137" t="s">
        <v>74</v>
      </c>
    </row>
    <row r="65505" spans="9:9" x14ac:dyDescent="0.2">
      <c r="I65505" s="137" t="s">
        <v>74</v>
      </c>
    </row>
    <row r="65506" spans="9:9" x14ac:dyDescent="0.2">
      <c r="I65506" s="137" t="s">
        <v>74</v>
      </c>
    </row>
    <row r="65507" spans="9:9" x14ac:dyDescent="0.2">
      <c r="I65507" s="137" t="s">
        <v>74</v>
      </c>
    </row>
    <row r="65508" spans="9:9" x14ac:dyDescent="0.2">
      <c r="I65508" s="137" t="s">
        <v>74</v>
      </c>
    </row>
    <row r="65509" spans="9:9" x14ac:dyDescent="0.2">
      <c r="I65509" s="137" t="s">
        <v>74</v>
      </c>
    </row>
    <row r="65510" spans="9:9" x14ac:dyDescent="0.2">
      <c r="I65510" s="137" t="s">
        <v>74</v>
      </c>
    </row>
    <row r="65511" spans="9:9" x14ac:dyDescent="0.2">
      <c r="I65511" s="137" t="s">
        <v>74</v>
      </c>
    </row>
    <row r="65512" spans="9:9" x14ac:dyDescent="0.2">
      <c r="I65512" s="137" t="s">
        <v>74</v>
      </c>
    </row>
    <row r="65513" spans="9:9" x14ac:dyDescent="0.2">
      <c r="I65513" s="137" t="s">
        <v>74</v>
      </c>
    </row>
    <row r="65514" spans="9:9" x14ac:dyDescent="0.2">
      <c r="I65514" s="137" t="s">
        <v>74</v>
      </c>
    </row>
    <row r="65515" spans="9:9" x14ac:dyDescent="0.2">
      <c r="I65515" s="137" t="s">
        <v>74</v>
      </c>
    </row>
    <row r="65516" spans="9:9" x14ac:dyDescent="0.2">
      <c r="I65516" s="137" t="s">
        <v>74</v>
      </c>
    </row>
    <row r="65517" spans="9:9" x14ac:dyDescent="0.2">
      <c r="I65517" s="137" t="s">
        <v>74</v>
      </c>
    </row>
    <row r="65518" spans="9:9" x14ac:dyDescent="0.2">
      <c r="I65518" s="137" t="s">
        <v>74</v>
      </c>
    </row>
    <row r="65519" spans="9:9" x14ac:dyDescent="0.2">
      <c r="I65519" s="137" t="s">
        <v>74</v>
      </c>
    </row>
    <row r="65520" spans="9:9" x14ac:dyDescent="0.2">
      <c r="I65520" s="137" t="s">
        <v>74</v>
      </c>
    </row>
    <row r="65521" spans="9:9" x14ac:dyDescent="0.2">
      <c r="I65521" s="137" t="s">
        <v>74</v>
      </c>
    </row>
    <row r="65522" spans="9:9" x14ac:dyDescent="0.2">
      <c r="I65522" s="137" t="s">
        <v>74</v>
      </c>
    </row>
    <row r="65523" spans="9:9" x14ac:dyDescent="0.2">
      <c r="I65523" s="137" t="s">
        <v>74</v>
      </c>
    </row>
    <row r="65524" spans="9:9" x14ac:dyDescent="0.2">
      <c r="I65524" s="137" t="s">
        <v>74</v>
      </c>
    </row>
    <row r="65525" spans="9:9" x14ac:dyDescent="0.2">
      <c r="I65525" s="137" t="s">
        <v>74</v>
      </c>
    </row>
    <row r="65526" spans="9:9" x14ac:dyDescent="0.2">
      <c r="I65526" s="137" t="s">
        <v>74</v>
      </c>
    </row>
    <row r="65527" spans="9:9" x14ac:dyDescent="0.2">
      <c r="I65527" s="137" t="s">
        <v>74</v>
      </c>
    </row>
  </sheetData>
  <mergeCells count="7">
    <mergeCell ref="G2:H2"/>
    <mergeCell ref="D2:D3"/>
    <mergeCell ref="E2:E3"/>
    <mergeCell ref="F2:F3"/>
    <mergeCell ref="A2:A3"/>
    <mergeCell ref="B2:B3"/>
    <mergeCell ref="C2:C3"/>
  </mergeCells>
  <conditionalFormatting sqref="A212:A217">
    <cfRule type="duplicateValues" dxfId="113" priority="14"/>
  </conditionalFormatting>
  <conditionalFormatting sqref="A212:A217">
    <cfRule type="duplicateValues" dxfId="112" priority="13"/>
  </conditionalFormatting>
  <conditionalFormatting sqref="A218 H218:H219">
    <cfRule type="duplicateValues" dxfId="111" priority="10"/>
  </conditionalFormatting>
  <conditionalFormatting sqref="A218">
    <cfRule type="duplicateValues" dxfId="110" priority="9"/>
  </conditionalFormatting>
  <conditionalFormatting sqref="A219">
    <cfRule type="duplicateValues" dxfId="109" priority="8"/>
  </conditionalFormatting>
  <conditionalFormatting sqref="A219">
    <cfRule type="duplicateValues" dxfId="108" priority="7"/>
  </conditionalFormatting>
  <conditionalFormatting sqref="H220:H241">
    <cfRule type="duplicateValues" dxfId="107" priority="6"/>
  </conditionalFormatting>
  <conditionalFormatting sqref="A220:A245">
    <cfRule type="duplicateValues" dxfId="106" priority="5"/>
  </conditionalFormatting>
  <conditionalFormatting sqref="A220:A245">
    <cfRule type="duplicateValues" dxfId="105" priority="4"/>
  </conditionalFormatting>
  <conditionalFormatting sqref="A244:A245">
    <cfRule type="duplicateValues" dxfId="104" priority="2"/>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E337"/>
  <sheetViews>
    <sheetView topLeftCell="A307" zoomScaleNormal="100" workbookViewId="0">
      <selection activeCell="A327" sqref="A327"/>
    </sheetView>
  </sheetViews>
  <sheetFormatPr baseColWidth="10" defaultRowHeight="15" x14ac:dyDescent="0.2"/>
  <cols>
    <col min="1" max="1" width="17.140625" style="84" customWidth="1"/>
    <col min="2" max="2" width="17.7109375" style="84" bestFit="1" customWidth="1"/>
    <col min="3" max="3" width="11.42578125" style="84"/>
  </cols>
  <sheetData>
    <row r="1" spans="1:5" x14ac:dyDescent="0.2">
      <c r="A1" s="86" t="s">
        <v>6</v>
      </c>
      <c r="B1" s="86" t="s">
        <v>87</v>
      </c>
      <c r="E1" s="3" t="s">
        <v>251</v>
      </c>
    </row>
    <row r="2" spans="1:5" x14ac:dyDescent="0.2">
      <c r="A2" s="87">
        <v>64972</v>
      </c>
      <c r="B2" s="88" t="s">
        <v>87</v>
      </c>
      <c r="C2" s="85" t="s">
        <v>74</v>
      </c>
      <c r="E2" s="92" t="s">
        <v>356</v>
      </c>
    </row>
    <row r="3" spans="1:5" x14ac:dyDescent="0.2">
      <c r="A3" s="87">
        <v>71312</v>
      </c>
      <c r="B3" s="88" t="s">
        <v>87</v>
      </c>
      <c r="C3" s="85" t="s">
        <v>74</v>
      </c>
      <c r="E3" s="3"/>
    </row>
    <row r="4" spans="1:5" x14ac:dyDescent="0.2">
      <c r="A4" s="87">
        <v>71313</v>
      </c>
      <c r="B4" s="88" t="s">
        <v>87</v>
      </c>
      <c r="C4" s="85" t="s">
        <v>74</v>
      </c>
    </row>
    <row r="5" spans="1:5" x14ac:dyDescent="0.2">
      <c r="A5" s="87">
        <v>77705</v>
      </c>
      <c r="B5" s="88" t="s">
        <v>87</v>
      </c>
      <c r="C5" s="85" t="s">
        <v>74</v>
      </c>
    </row>
    <row r="6" spans="1:5" x14ac:dyDescent="0.2">
      <c r="A6" s="87">
        <v>78665</v>
      </c>
      <c r="B6" s="88" t="s">
        <v>87</v>
      </c>
      <c r="C6" s="85" t="s">
        <v>74</v>
      </c>
    </row>
    <row r="7" spans="1:5" x14ac:dyDescent="0.2">
      <c r="A7" s="87">
        <v>78666</v>
      </c>
      <c r="B7" s="88" t="s">
        <v>87</v>
      </c>
      <c r="C7" s="85" t="s">
        <v>74</v>
      </c>
    </row>
    <row r="8" spans="1:5" x14ac:dyDescent="0.2">
      <c r="A8" s="87">
        <v>79424</v>
      </c>
      <c r="B8" s="88" t="s">
        <v>87</v>
      </c>
      <c r="C8" s="85" t="s">
        <v>74</v>
      </c>
    </row>
    <row r="9" spans="1:5" ht="15.75" x14ac:dyDescent="0.25">
      <c r="A9" s="166" t="s">
        <v>466</v>
      </c>
      <c r="B9" s="88" t="s">
        <v>87</v>
      </c>
      <c r="C9" s="85" t="s">
        <v>74</v>
      </c>
    </row>
    <row r="10" spans="1:5" x14ac:dyDescent="0.2">
      <c r="A10" s="87">
        <v>80862</v>
      </c>
      <c r="B10" s="88" t="s">
        <v>87</v>
      </c>
      <c r="C10" s="85" t="s">
        <v>74</v>
      </c>
    </row>
    <row r="11" spans="1:5" x14ac:dyDescent="0.2">
      <c r="A11" s="87">
        <v>147309</v>
      </c>
      <c r="B11" s="88" t="s">
        <v>87</v>
      </c>
      <c r="C11" s="85" t="s">
        <v>74</v>
      </c>
    </row>
    <row r="12" spans="1:5" x14ac:dyDescent="0.2">
      <c r="A12" s="87">
        <v>147310</v>
      </c>
      <c r="B12" s="88" t="s">
        <v>87</v>
      </c>
      <c r="C12" s="85" t="s">
        <v>74</v>
      </c>
    </row>
    <row r="13" spans="1:5" x14ac:dyDescent="0.2">
      <c r="A13" s="87">
        <v>147311</v>
      </c>
      <c r="B13" s="88" t="s">
        <v>87</v>
      </c>
      <c r="C13" s="85" t="s">
        <v>74</v>
      </c>
    </row>
    <row r="14" spans="1:5" x14ac:dyDescent="0.2">
      <c r="A14" s="87">
        <v>147312</v>
      </c>
      <c r="B14" s="88" t="s">
        <v>87</v>
      </c>
      <c r="C14" s="85" t="s">
        <v>74</v>
      </c>
    </row>
    <row r="15" spans="1:5" x14ac:dyDescent="0.2">
      <c r="A15" s="87">
        <v>147313</v>
      </c>
      <c r="B15" s="88" t="s">
        <v>87</v>
      </c>
      <c r="C15" s="85" t="s">
        <v>74</v>
      </c>
    </row>
    <row r="16" spans="1:5" x14ac:dyDescent="0.2">
      <c r="A16" s="87">
        <v>147314</v>
      </c>
      <c r="B16" s="88" t="s">
        <v>87</v>
      </c>
      <c r="C16" s="85" t="s">
        <v>74</v>
      </c>
    </row>
    <row r="17" spans="1:3" x14ac:dyDescent="0.2">
      <c r="A17" s="87">
        <v>147491</v>
      </c>
      <c r="B17" s="88" t="s">
        <v>87</v>
      </c>
      <c r="C17" s="85" t="s">
        <v>74</v>
      </c>
    </row>
    <row r="18" spans="1:3" x14ac:dyDescent="0.2">
      <c r="A18" s="87">
        <v>147492</v>
      </c>
      <c r="B18" s="88" t="s">
        <v>87</v>
      </c>
      <c r="C18" s="85" t="s">
        <v>74</v>
      </c>
    </row>
    <row r="19" spans="1:3" x14ac:dyDescent="0.2">
      <c r="A19" s="87">
        <v>152971</v>
      </c>
      <c r="B19" s="88" t="s">
        <v>87</v>
      </c>
      <c r="C19" s="85" t="s">
        <v>74</v>
      </c>
    </row>
    <row r="20" spans="1:3" x14ac:dyDescent="0.2">
      <c r="A20" s="87">
        <v>152974</v>
      </c>
      <c r="B20" s="88" t="s">
        <v>87</v>
      </c>
      <c r="C20" s="85" t="s">
        <v>74</v>
      </c>
    </row>
    <row r="21" spans="1:3" x14ac:dyDescent="0.2">
      <c r="A21" s="87">
        <v>152976</v>
      </c>
      <c r="B21" s="88" t="s">
        <v>87</v>
      </c>
      <c r="C21" s="85" t="s">
        <v>74</v>
      </c>
    </row>
    <row r="22" spans="1:3" x14ac:dyDescent="0.2">
      <c r="A22" s="87">
        <v>152979</v>
      </c>
      <c r="B22" s="88" t="s">
        <v>87</v>
      </c>
      <c r="C22" s="85" t="s">
        <v>74</v>
      </c>
    </row>
    <row r="23" spans="1:3" x14ac:dyDescent="0.2">
      <c r="A23" s="87">
        <v>152981</v>
      </c>
      <c r="B23" s="88" t="s">
        <v>87</v>
      </c>
      <c r="C23" s="85" t="s">
        <v>74</v>
      </c>
    </row>
    <row r="24" spans="1:3" x14ac:dyDescent="0.2">
      <c r="A24" s="87">
        <v>152983</v>
      </c>
      <c r="B24" s="88" t="s">
        <v>87</v>
      </c>
      <c r="C24" s="85" t="s">
        <v>74</v>
      </c>
    </row>
    <row r="25" spans="1:3" x14ac:dyDescent="0.2">
      <c r="A25" s="87">
        <v>153030</v>
      </c>
      <c r="B25" s="88"/>
      <c r="C25" s="85" t="s">
        <v>74</v>
      </c>
    </row>
    <row r="26" spans="1:3" x14ac:dyDescent="0.2">
      <c r="A26" s="87">
        <v>153032</v>
      </c>
      <c r="B26" s="88"/>
      <c r="C26" s="85" t="s">
        <v>74</v>
      </c>
    </row>
    <row r="27" spans="1:3" x14ac:dyDescent="0.2">
      <c r="A27" s="87">
        <v>153035</v>
      </c>
      <c r="B27" s="88"/>
      <c r="C27" s="85" t="s">
        <v>74</v>
      </c>
    </row>
    <row r="28" spans="1:3" x14ac:dyDescent="0.2">
      <c r="A28" s="87">
        <v>153037</v>
      </c>
      <c r="B28" s="88"/>
      <c r="C28" s="85" t="s">
        <v>74</v>
      </c>
    </row>
    <row r="29" spans="1:3" x14ac:dyDescent="0.2">
      <c r="A29" s="87">
        <v>153039</v>
      </c>
      <c r="B29" s="88"/>
      <c r="C29" s="85" t="s">
        <v>74</v>
      </c>
    </row>
    <row r="30" spans="1:3" x14ac:dyDescent="0.2">
      <c r="A30" s="87">
        <v>154701</v>
      </c>
      <c r="B30" s="88"/>
      <c r="C30" s="85" t="s">
        <v>74</v>
      </c>
    </row>
    <row r="31" spans="1:3" x14ac:dyDescent="0.2">
      <c r="A31" s="87">
        <v>154702</v>
      </c>
      <c r="B31" s="88" t="s">
        <v>87</v>
      </c>
      <c r="C31" s="85" t="s">
        <v>74</v>
      </c>
    </row>
    <row r="32" spans="1:3" x14ac:dyDescent="0.2">
      <c r="A32" s="87">
        <v>156622</v>
      </c>
      <c r="B32" s="88" t="s">
        <v>87</v>
      </c>
      <c r="C32" s="85" t="s">
        <v>74</v>
      </c>
    </row>
    <row r="33" spans="1:3" x14ac:dyDescent="0.2">
      <c r="A33" s="87">
        <v>157508</v>
      </c>
      <c r="B33" s="88"/>
      <c r="C33" s="85" t="s">
        <v>74</v>
      </c>
    </row>
    <row r="34" spans="1:3" x14ac:dyDescent="0.2">
      <c r="A34" s="87">
        <v>159246</v>
      </c>
      <c r="B34" s="88" t="s">
        <v>87</v>
      </c>
      <c r="C34" s="85" t="s">
        <v>74</v>
      </c>
    </row>
    <row r="35" spans="1:3" x14ac:dyDescent="0.2">
      <c r="A35" s="87">
        <v>234192</v>
      </c>
      <c r="B35" s="88"/>
      <c r="C35" s="85" t="s">
        <v>74</v>
      </c>
    </row>
    <row r="36" spans="1:3" x14ac:dyDescent="0.2">
      <c r="A36" s="87">
        <v>420310</v>
      </c>
      <c r="B36" s="88"/>
      <c r="C36" s="85" t="s">
        <v>74</v>
      </c>
    </row>
    <row r="37" spans="1:3" x14ac:dyDescent="0.2">
      <c r="A37" s="87">
        <v>503967</v>
      </c>
      <c r="B37" s="88" t="s">
        <v>87</v>
      </c>
      <c r="C37" s="85" t="s">
        <v>74</v>
      </c>
    </row>
    <row r="38" spans="1:3" x14ac:dyDescent="0.2">
      <c r="A38" s="87">
        <v>512117</v>
      </c>
      <c r="B38" s="88"/>
      <c r="C38" s="85" t="s">
        <v>74</v>
      </c>
    </row>
    <row r="39" spans="1:3" x14ac:dyDescent="0.2">
      <c r="A39" s="87">
        <v>536741</v>
      </c>
      <c r="B39" s="88"/>
      <c r="C39" s="85" t="s">
        <v>74</v>
      </c>
    </row>
    <row r="40" spans="1:3" x14ac:dyDescent="0.2">
      <c r="A40" s="87">
        <v>541079</v>
      </c>
      <c r="B40" s="88"/>
      <c r="C40" s="85" t="s">
        <v>74</v>
      </c>
    </row>
    <row r="41" spans="1:3" x14ac:dyDescent="0.2">
      <c r="A41" s="87">
        <v>544000</v>
      </c>
      <c r="B41" s="88" t="s">
        <v>87</v>
      </c>
      <c r="C41" s="85" t="s">
        <v>74</v>
      </c>
    </row>
    <row r="42" spans="1:3" x14ac:dyDescent="0.2">
      <c r="A42" s="87">
        <v>1000236</v>
      </c>
      <c r="B42" s="88"/>
      <c r="C42" s="85" t="s">
        <v>74</v>
      </c>
    </row>
    <row r="43" spans="1:3" x14ac:dyDescent="0.2">
      <c r="A43" s="87">
        <v>1002299</v>
      </c>
      <c r="B43" s="88"/>
      <c r="C43" s="85" t="s">
        <v>74</v>
      </c>
    </row>
    <row r="44" spans="1:3" x14ac:dyDescent="0.2">
      <c r="A44" s="87">
        <v>1003681</v>
      </c>
      <c r="B44" s="88"/>
      <c r="C44" s="85" t="s">
        <v>74</v>
      </c>
    </row>
    <row r="45" spans="1:3" x14ac:dyDescent="0.2">
      <c r="A45" s="87">
        <v>1005494</v>
      </c>
      <c r="B45" s="88"/>
      <c r="C45" s="85" t="s">
        <v>74</v>
      </c>
    </row>
    <row r="46" spans="1:3" x14ac:dyDescent="0.2">
      <c r="A46" s="87">
        <v>1006088</v>
      </c>
      <c r="B46" s="88"/>
      <c r="C46" s="85" t="s">
        <v>74</v>
      </c>
    </row>
    <row r="47" spans="1:3" x14ac:dyDescent="0.2">
      <c r="A47" s="87">
        <v>1006090</v>
      </c>
      <c r="B47" s="88"/>
      <c r="C47" s="85" t="s">
        <v>74</v>
      </c>
    </row>
    <row r="48" spans="1:3" x14ac:dyDescent="0.2">
      <c r="A48" s="87">
        <v>1008773</v>
      </c>
      <c r="B48" s="88"/>
      <c r="C48" s="85" t="s">
        <v>74</v>
      </c>
    </row>
    <row r="49" spans="1:3" x14ac:dyDescent="0.2">
      <c r="A49" s="87">
        <v>1008774</v>
      </c>
      <c r="B49" s="88"/>
      <c r="C49" s="85" t="s">
        <v>74</v>
      </c>
    </row>
    <row r="50" spans="1:3" x14ac:dyDescent="0.2">
      <c r="A50" s="87">
        <v>1008775</v>
      </c>
      <c r="B50" s="88"/>
      <c r="C50" s="85" t="s">
        <v>74</v>
      </c>
    </row>
    <row r="51" spans="1:3" x14ac:dyDescent="0.2">
      <c r="A51" s="87">
        <v>1008776</v>
      </c>
      <c r="B51" s="88"/>
      <c r="C51" s="85" t="s">
        <v>74</v>
      </c>
    </row>
    <row r="52" spans="1:3" x14ac:dyDescent="0.2">
      <c r="A52" s="87">
        <v>1008777</v>
      </c>
      <c r="B52" s="88"/>
      <c r="C52" s="85" t="s">
        <v>74</v>
      </c>
    </row>
    <row r="53" spans="1:3" x14ac:dyDescent="0.2">
      <c r="A53" s="87">
        <v>1008778</v>
      </c>
      <c r="B53" s="88"/>
      <c r="C53" s="85" t="s">
        <v>74</v>
      </c>
    </row>
    <row r="54" spans="1:3" x14ac:dyDescent="0.2">
      <c r="A54" s="87">
        <v>1010322</v>
      </c>
      <c r="B54" s="88"/>
      <c r="C54" s="85" t="s">
        <v>74</v>
      </c>
    </row>
    <row r="55" spans="1:3" x14ac:dyDescent="0.2">
      <c r="A55" s="87">
        <v>1010401</v>
      </c>
      <c r="B55" s="88" t="s">
        <v>87</v>
      </c>
      <c r="C55" s="85" t="s">
        <v>74</v>
      </c>
    </row>
    <row r="56" spans="1:3" x14ac:dyDescent="0.2">
      <c r="A56" s="87">
        <v>1010576</v>
      </c>
      <c r="B56" s="88"/>
      <c r="C56" s="85" t="s">
        <v>74</v>
      </c>
    </row>
    <row r="57" spans="1:3" x14ac:dyDescent="0.2">
      <c r="A57" s="87">
        <v>1012259</v>
      </c>
      <c r="B57" s="88" t="s">
        <v>87</v>
      </c>
      <c r="C57" s="85" t="s">
        <v>74</v>
      </c>
    </row>
    <row r="58" spans="1:3" x14ac:dyDescent="0.2">
      <c r="A58" s="87">
        <v>1012260</v>
      </c>
      <c r="B58" s="88" t="s">
        <v>87</v>
      </c>
      <c r="C58" s="85" t="s">
        <v>74</v>
      </c>
    </row>
    <row r="59" spans="1:3" x14ac:dyDescent="0.2">
      <c r="A59" s="87">
        <v>1012617</v>
      </c>
      <c r="B59" s="88" t="s">
        <v>87</v>
      </c>
      <c r="C59" s="85" t="s">
        <v>74</v>
      </c>
    </row>
    <row r="60" spans="1:3" x14ac:dyDescent="0.2">
      <c r="A60" s="87">
        <v>1013187</v>
      </c>
      <c r="B60" s="88" t="s">
        <v>87</v>
      </c>
      <c r="C60" s="85" t="s">
        <v>74</v>
      </c>
    </row>
    <row r="61" spans="1:3" x14ac:dyDescent="0.2">
      <c r="A61" s="87">
        <v>1013407</v>
      </c>
      <c r="B61" s="88" t="s">
        <v>87</v>
      </c>
      <c r="C61" s="85" t="s">
        <v>74</v>
      </c>
    </row>
    <row r="62" spans="1:3" x14ac:dyDescent="0.2">
      <c r="A62" s="87">
        <v>1014057</v>
      </c>
      <c r="B62" s="88"/>
      <c r="C62" s="85" t="s">
        <v>74</v>
      </c>
    </row>
    <row r="63" spans="1:3" x14ac:dyDescent="0.2">
      <c r="A63" s="87">
        <v>1014088</v>
      </c>
      <c r="B63" s="88"/>
      <c r="C63" s="85" t="s">
        <v>74</v>
      </c>
    </row>
    <row r="64" spans="1:3" x14ac:dyDescent="0.2">
      <c r="A64" s="87">
        <v>1015031</v>
      </c>
      <c r="B64" s="88"/>
      <c r="C64" s="85" t="s">
        <v>74</v>
      </c>
    </row>
    <row r="65" spans="1:3" x14ac:dyDescent="0.2">
      <c r="A65" s="87">
        <v>1015460</v>
      </c>
      <c r="B65" s="88"/>
      <c r="C65" s="85" t="s">
        <v>74</v>
      </c>
    </row>
    <row r="66" spans="1:3" x14ac:dyDescent="0.2">
      <c r="A66" s="87">
        <v>1016131</v>
      </c>
      <c r="B66" s="88"/>
      <c r="C66" s="85" t="s">
        <v>74</v>
      </c>
    </row>
    <row r="67" spans="1:3" x14ac:dyDescent="0.2">
      <c r="A67" s="87">
        <v>1018867</v>
      </c>
      <c r="B67" s="88" t="s">
        <v>87</v>
      </c>
      <c r="C67" s="85" t="s">
        <v>74</v>
      </c>
    </row>
    <row r="68" spans="1:3" x14ac:dyDescent="0.2">
      <c r="A68" s="87">
        <v>1031341</v>
      </c>
      <c r="B68" s="88" t="s">
        <v>87</v>
      </c>
      <c r="C68" s="85" t="s">
        <v>74</v>
      </c>
    </row>
    <row r="69" spans="1:3" x14ac:dyDescent="0.2">
      <c r="A69" s="87">
        <v>2000123</v>
      </c>
      <c r="B69" s="88"/>
      <c r="C69" s="85" t="s">
        <v>74</v>
      </c>
    </row>
    <row r="70" spans="1:3" x14ac:dyDescent="0.2">
      <c r="A70" s="87">
        <v>2000146</v>
      </c>
      <c r="B70" s="88"/>
      <c r="C70" s="85" t="s">
        <v>74</v>
      </c>
    </row>
    <row r="71" spans="1:3" x14ac:dyDescent="0.2">
      <c r="A71" s="87">
        <v>2000151</v>
      </c>
      <c r="B71" s="88" t="s">
        <v>87</v>
      </c>
      <c r="C71" s="85" t="s">
        <v>74</v>
      </c>
    </row>
    <row r="72" spans="1:3" x14ac:dyDescent="0.2">
      <c r="A72" s="87">
        <v>2000152</v>
      </c>
      <c r="B72" s="88" t="s">
        <v>87</v>
      </c>
      <c r="C72" s="85" t="s">
        <v>74</v>
      </c>
    </row>
    <row r="73" spans="1:3" x14ac:dyDescent="0.2">
      <c r="A73" s="87">
        <v>2000182</v>
      </c>
      <c r="B73" s="88" t="s">
        <v>87</v>
      </c>
      <c r="C73" s="85" t="s">
        <v>74</v>
      </c>
    </row>
    <row r="74" spans="1:3" x14ac:dyDescent="0.2">
      <c r="A74" s="87">
        <v>2000183</v>
      </c>
      <c r="B74" s="88" t="s">
        <v>87</v>
      </c>
      <c r="C74" s="85" t="s">
        <v>74</v>
      </c>
    </row>
    <row r="75" spans="1:3" x14ac:dyDescent="0.2">
      <c r="A75" s="87">
        <v>2000213</v>
      </c>
      <c r="B75" s="88"/>
      <c r="C75" s="85" t="s">
        <v>74</v>
      </c>
    </row>
    <row r="76" spans="1:3" x14ac:dyDescent="0.2">
      <c r="A76" s="87">
        <v>2000216</v>
      </c>
      <c r="B76" s="88" t="s">
        <v>87</v>
      </c>
      <c r="C76" s="85" t="s">
        <v>74</v>
      </c>
    </row>
    <row r="77" spans="1:3" x14ac:dyDescent="0.2">
      <c r="A77" s="87">
        <v>2000217</v>
      </c>
      <c r="B77" s="88" t="s">
        <v>87</v>
      </c>
      <c r="C77" s="85" t="s">
        <v>74</v>
      </c>
    </row>
    <row r="78" spans="1:3" x14ac:dyDescent="0.2">
      <c r="A78" s="87">
        <v>2000218</v>
      </c>
      <c r="B78" s="88" t="s">
        <v>87</v>
      </c>
      <c r="C78" s="85" t="s">
        <v>74</v>
      </c>
    </row>
    <row r="79" spans="1:3" x14ac:dyDescent="0.2">
      <c r="A79" s="87">
        <v>2000219</v>
      </c>
      <c r="B79" s="88" t="s">
        <v>87</v>
      </c>
      <c r="C79" s="85" t="s">
        <v>74</v>
      </c>
    </row>
    <row r="80" spans="1:3" x14ac:dyDescent="0.2">
      <c r="A80" s="87">
        <v>2000220</v>
      </c>
      <c r="B80" s="88" t="s">
        <v>87</v>
      </c>
      <c r="C80" s="85" t="s">
        <v>74</v>
      </c>
    </row>
    <row r="81" spans="1:3" x14ac:dyDescent="0.2">
      <c r="A81" s="87">
        <v>2000221</v>
      </c>
      <c r="B81" s="88" t="s">
        <v>87</v>
      </c>
      <c r="C81" s="85" t="s">
        <v>74</v>
      </c>
    </row>
    <row r="82" spans="1:3" x14ac:dyDescent="0.2">
      <c r="A82" s="87">
        <v>2000238</v>
      </c>
      <c r="B82" s="88" t="s">
        <v>87</v>
      </c>
      <c r="C82" s="85" t="s">
        <v>74</v>
      </c>
    </row>
    <row r="83" spans="1:3" x14ac:dyDescent="0.2">
      <c r="A83" s="87">
        <v>2000239</v>
      </c>
      <c r="B83" s="88" t="s">
        <v>87</v>
      </c>
      <c r="C83" s="85" t="s">
        <v>74</v>
      </c>
    </row>
    <row r="84" spans="1:3" x14ac:dyDescent="0.2">
      <c r="A84" s="87">
        <v>2000240</v>
      </c>
      <c r="B84" s="88" t="s">
        <v>87</v>
      </c>
      <c r="C84" s="85" t="s">
        <v>74</v>
      </c>
    </row>
    <row r="85" spans="1:3" x14ac:dyDescent="0.2">
      <c r="A85" s="87">
        <v>2000241</v>
      </c>
      <c r="B85" s="88" t="s">
        <v>87</v>
      </c>
      <c r="C85" s="85" t="s">
        <v>74</v>
      </c>
    </row>
    <row r="86" spans="1:3" x14ac:dyDescent="0.2">
      <c r="A86" s="87">
        <v>2000301</v>
      </c>
      <c r="B86" s="88"/>
      <c r="C86" s="85" t="s">
        <v>74</v>
      </c>
    </row>
    <row r="87" spans="1:3" x14ac:dyDescent="0.2">
      <c r="A87" s="87">
        <v>2000302</v>
      </c>
      <c r="B87" s="88"/>
      <c r="C87" s="85" t="s">
        <v>74</v>
      </c>
    </row>
    <row r="88" spans="1:3" x14ac:dyDescent="0.2">
      <c r="A88" s="87">
        <v>2000402</v>
      </c>
      <c r="B88" s="88"/>
      <c r="C88" s="85" t="s">
        <v>74</v>
      </c>
    </row>
    <row r="89" spans="1:3" x14ac:dyDescent="0.2">
      <c r="A89" s="87">
        <v>2000423</v>
      </c>
      <c r="B89" s="88" t="s">
        <v>87</v>
      </c>
      <c r="C89" s="85" t="s">
        <v>74</v>
      </c>
    </row>
    <row r="90" spans="1:3" x14ac:dyDescent="0.2">
      <c r="A90" s="87">
        <v>2000424</v>
      </c>
      <c r="B90" s="88" t="s">
        <v>87</v>
      </c>
      <c r="C90" s="85" t="s">
        <v>74</v>
      </c>
    </row>
    <row r="91" spans="1:3" x14ac:dyDescent="0.2">
      <c r="A91" s="87">
        <v>2000465</v>
      </c>
      <c r="B91" s="88" t="s">
        <v>87</v>
      </c>
      <c r="C91" s="85" t="s">
        <v>74</v>
      </c>
    </row>
    <row r="92" spans="1:3" x14ac:dyDescent="0.2">
      <c r="A92" s="87">
        <v>2000466</v>
      </c>
      <c r="B92" s="88" t="s">
        <v>87</v>
      </c>
      <c r="C92" s="85" t="s">
        <v>74</v>
      </c>
    </row>
    <row r="93" spans="1:3" x14ac:dyDescent="0.2">
      <c r="A93" s="87">
        <v>2000467</v>
      </c>
      <c r="B93" s="88" t="s">
        <v>87</v>
      </c>
      <c r="C93" s="85" t="s">
        <v>74</v>
      </c>
    </row>
    <row r="94" spans="1:3" x14ac:dyDescent="0.2">
      <c r="A94" s="87">
        <v>2000469</v>
      </c>
      <c r="B94" s="88" t="s">
        <v>87</v>
      </c>
      <c r="C94" s="85" t="s">
        <v>74</v>
      </c>
    </row>
    <row r="95" spans="1:3" x14ac:dyDescent="0.2">
      <c r="A95" s="87">
        <v>2000470</v>
      </c>
      <c r="B95" s="88" t="s">
        <v>87</v>
      </c>
      <c r="C95" s="85" t="s">
        <v>74</v>
      </c>
    </row>
    <row r="96" spans="1:3" x14ac:dyDescent="0.2">
      <c r="A96" s="87">
        <v>2000471</v>
      </c>
      <c r="B96" s="88"/>
      <c r="C96" s="85" t="s">
        <v>74</v>
      </c>
    </row>
    <row r="97" spans="1:3" x14ac:dyDescent="0.2">
      <c r="A97" s="87">
        <v>2000473</v>
      </c>
      <c r="B97" s="88"/>
      <c r="C97" s="85" t="s">
        <v>74</v>
      </c>
    </row>
    <row r="98" spans="1:3" x14ac:dyDescent="0.2">
      <c r="A98" s="87">
        <v>2000478</v>
      </c>
      <c r="B98" s="88"/>
      <c r="C98" s="85" t="s">
        <v>74</v>
      </c>
    </row>
    <row r="99" spans="1:3" x14ac:dyDescent="0.2">
      <c r="A99" s="87">
        <v>2000480</v>
      </c>
      <c r="B99" s="88" t="s">
        <v>87</v>
      </c>
      <c r="C99" s="85" t="s">
        <v>74</v>
      </c>
    </row>
    <row r="100" spans="1:3" x14ac:dyDescent="0.2">
      <c r="A100" s="87">
        <v>2000481</v>
      </c>
      <c r="B100" s="88"/>
      <c r="C100" s="85" t="s">
        <v>74</v>
      </c>
    </row>
    <row r="101" spans="1:3" x14ac:dyDescent="0.2">
      <c r="A101" s="87">
        <v>2000485</v>
      </c>
      <c r="B101" s="88"/>
      <c r="C101" s="85" t="s">
        <v>74</v>
      </c>
    </row>
    <row r="102" spans="1:3" x14ac:dyDescent="0.2">
      <c r="A102" s="87">
        <v>2000486</v>
      </c>
      <c r="B102" s="88" t="s">
        <v>87</v>
      </c>
      <c r="C102" s="85" t="s">
        <v>74</v>
      </c>
    </row>
    <row r="103" spans="1:3" x14ac:dyDescent="0.2">
      <c r="A103" s="87">
        <v>2000487</v>
      </c>
      <c r="B103" s="88"/>
      <c r="C103" s="85" t="s">
        <v>74</v>
      </c>
    </row>
    <row r="104" spans="1:3" x14ac:dyDescent="0.2">
      <c r="A104" s="87">
        <v>2000511</v>
      </c>
      <c r="B104" s="88"/>
      <c r="C104" s="85" t="s">
        <v>74</v>
      </c>
    </row>
    <row r="105" spans="1:3" x14ac:dyDescent="0.2">
      <c r="A105" s="87">
        <v>2000512</v>
      </c>
      <c r="B105" s="88"/>
      <c r="C105" s="85" t="s">
        <v>74</v>
      </c>
    </row>
    <row r="106" spans="1:3" x14ac:dyDescent="0.2">
      <c r="A106" s="87">
        <v>2000522</v>
      </c>
      <c r="B106" s="88" t="s">
        <v>87</v>
      </c>
      <c r="C106" s="85" t="s">
        <v>74</v>
      </c>
    </row>
    <row r="107" spans="1:3" x14ac:dyDescent="0.2">
      <c r="A107" s="87">
        <v>2000534</v>
      </c>
      <c r="B107" s="88" t="s">
        <v>87</v>
      </c>
      <c r="C107" s="85" t="s">
        <v>74</v>
      </c>
    </row>
    <row r="108" spans="1:3" x14ac:dyDescent="0.2">
      <c r="A108" s="87">
        <v>2000554</v>
      </c>
      <c r="B108" s="88"/>
      <c r="C108" s="85" t="s">
        <v>74</v>
      </c>
    </row>
    <row r="109" spans="1:3" x14ac:dyDescent="0.2">
      <c r="A109" s="87">
        <v>2000569</v>
      </c>
      <c r="B109" s="88" t="s">
        <v>87</v>
      </c>
      <c r="C109" s="85" t="s">
        <v>74</v>
      </c>
    </row>
    <row r="110" spans="1:3" x14ac:dyDescent="0.2">
      <c r="A110" s="87">
        <v>2000570</v>
      </c>
      <c r="B110" s="88" t="s">
        <v>87</v>
      </c>
      <c r="C110" s="85" t="s">
        <v>74</v>
      </c>
    </row>
    <row r="111" spans="1:3" x14ac:dyDescent="0.2">
      <c r="A111" s="87">
        <v>2000571</v>
      </c>
      <c r="B111" s="88" t="s">
        <v>87</v>
      </c>
      <c r="C111" s="85" t="s">
        <v>74</v>
      </c>
    </row>
    <row r="112" spans="1:3" x14ac:dyDescent="0.2">
      <c r="A112" s="87">
        <v>2000572</v>
      </c>
      <c r="B112" s="88" t="s">
        <v>87</v>
      </c>
      <c r="C112" s="85" t="s">
        <v>74</v>
      </c>
    </row>
    <row r="113" spans="1:3" x14ac:dyDescent="0.2">
      <c r="A113" s="87">
        <v>2000573</v>
      </c>
      <c r="B113" s="88" t="s">
        <v>87</v>
      </c>
      <c r="C113" s="85" t="s">
        <v>74</v>
      </c>
    </row>
    <row r="114" spans="1:3" x14ac:dyDescent="0.2">
      <c r="A114" s="87">
        <v>2000574</v>
      </c>
      <c r="B114" s="88" t="s">
        <v>87</v>
      </c>
      <c r="C114" s="85" t="s">
        <v>74</v>
      </c>
    </row>
    <row r="115" spans="1:3" x14ac:dyDescent="0.2">
      <c r="A115" s="87">
        <v>2000575</v>
      </c>
      <c r="B115" s="88" t="s">
        <v>87</v>
      </c>
      <c r="C115" s="85" t="s">
        <v>74</v>
      </c>
    </row>
    <row r="116" spans="1:3" x14ac:dyDescent="0.2">
      <c r="A116" s="87">
        <v>2000576</v>
      </c>
      <c r="B116" s="88" t="s">
        <v>87</v>
      </c>
      <c r="C116" s="85" t="s">
        <v>74</v>
      </c>
    </row>
    <row r="117" spans="1:3" x14ac:dyDescent="0.2">
      <c r="A117" s="87">
        <v>2000577</v>
      </c>
      <c r="B117" s="88" t="s">
        <v>87</v>
      </c>
      <c r="C117" s="85" t="s">
        <v>74</v>
      </c>
    </row>
    <row r="118" spans="1:3" x14ac:dyDescent="0.2">
      <c r="A118" s="87">
        <v>2000578</v>
      </c>
      <c r="B118" s="88"/>
      <c r="C118" s="85" t="s">
        <v>74</v>
      </c>
    </row>
    <row r="119" spans="1:3" x14ac:dyDescent="0.2">
      <c r="A119" s="87">
        <v>2000579</v>
      </c>
      <c r="B119" s="88"/>
      <c r="C119" s="85" t="s">
        <v>74</v>
      </c>
    </row>
    <row r="120" spans="1:3" x14ac:dyDescent="0.2">
      <c r="A120" s="87">
        <v>2000580</v>
      </c>
      <c r="B120" s="88"/>
      <c r="C120" s="85" t="s">
        <v>74</v>
      </c>
    </row>
    <row r="121" spans="1:3" x14ac:dyDescent="0.2">
      <c r="A121" s="87">
        <v>2000580</v>
      </c>
      <c r="B121" s="88" t="s">
        <v>87</v>
      </c>
      <c r="C121" s="85" t="s">
        <v>74</v>
      </c>
    </row>
    <row r="122" spans="1:3" x14ac:dyDescent="0.2">
      <c r="A122" s="87">
        <v>2000581</v>
      </c>
      <c r="B122" s="88" t="s">
        <v>87</v>
      </c>
      <c r="C122" s="85" t="s">
        <v>74</v>
      </c>
    </row>
    <row r="123" spans="1:3" x14ac:dyDescent="0.2">
      <c r="A123" s="87">
        <v>2000585</v>
      </c>
      <c r="B123" s="88"/>
      <c r="C123" s="85" t="s">
        <v>74</v>
      </c>
    </row>
    <row r="124" spans="1:3" x14ac:dyDescent="0.2">
      <c r="A124" s="87">
        <v>2000586</v>
      </c>
      <c r="B124" s="88"/>
      <c r="C124" s="85" t="s">
        <v>74</v>
      </c>
    </row>
    <row r="125" spans="1:3" x14ac:dyDescent="0.2">
      <c r="A125" s="87">
        <v>2000597</v>
      </c>
      <c r="B125" s="88" t="s">
        <v>87</v>
      </c>
      <c r="C125" s="85" t="s">
        <v>74</v>
      </c>
    </row>
    <row r="126" spans="1:3" x14ac:dyDescent="0.2">
      <c r="A126" s="87">
        <v>2000598</v>
      </c>
      <c r="B126" s="88"/>
      <c r="C126" s="85" t="s">
        <v>74</v>
      </c>
    </row>
    <row r="127" spans="1:3" x14ac:dyDescent="0.2">
      <c r="A127" s="87">
        <v>2000606</v>
      </c>
      <c r="B127" s="88"/>
      <c r="C127" s="85" t="s">
        <v>74</v>
      </c>
    </row>
    <row r="128" spans="1:3" x14ac:dyDescent="0.2">
      <c r="A128" s="87">
        <v>2000607</v>
      </c>
      <c r="B128" s="88"/>
      <c r="C128" s="85" t="s">
        <v>74</v>
      </c>
    </row>
    <row r="129" spans="1:3" x14ac:dyDescent="0.2">
      <c r="A129" s="87">
        <v>2000641</v>
      </c>
      <c r="B129" s="88" t="s">
        <v>87</v>
      </c>
      <c r="C129" s="85" t="s">
        <v>74</v>
      </c>
    </row>
    <row r="130" spans="1:3" x14ac:dyDescent="0.2">
      <c r="A130" s="87">
        <v>2000642</v>
      </c>
      <c r="B130" s="88" t="s">
        <v>87</v>
      </c>
      <c r="C130" s="85" t="s">
        <v>74</v>
      </c>
    </row>
    <row r="131" spans="1:3" x14ac:dyDescent="0.2">
      <c r="A131" s="87">
        <v>2000722</v>
      </c>
      <c r="B131" s="88" t="s">
        <v>87</v>
      </c>
      <c r="C131" s="85" t="s">
        <v>74</v>
      </c>
    </row>
    <row r="132" spans="1:3" x14ac:dyDescent="0.2">
      <c r="A132" s="87">
        <v>2000730</v>
      </c>
      <c r="B132" s="88" t="s">
        <v>87</v>
      </c>
      <c r="C132" s="85" t="s">
        <v>74</v>
      </c>
    </row>
    <row r="133" spans="1:3" x14ac:dyDescent="0.2">
      <c r="A133" s="87">
        <v>9977801</v>
      </c>
      <c r="B133" s="88"/>
      <c r="C133" s="85" t="s">
        <v>74</v>
      </c>
    </row>
    <row r="134" spans="1:3" x14ac:dyDescent="0.2">
      <c r="A134" s="87">
        <v>9977802</v>
      </c>
      <c r="B134" s="88"/>
      <c r="C134" s="85" t="s">
        <v>74</v>
      </c>
    </row>
    <row r="135" spans="1:3" x14ac:dyDescent="0.2">
      <c r="A135" s="87">
        <v>9977941</v>
      </c>
      <c r="B135" s="88"/>
      <c r="C135" s="85" t="s">
        <v>74</v>
      </c>
    </row>
    <row r="136" spans="1:3" x14ac:dyDescent="0.2">
      <c r="A136" s="87">
        <v>9979424</v>
      </c>
      <c r="B136" s="88"/>
      <c r="C136" s="85" t="s">
        <v>74</v>
      </c>
    </row>
    <row r="137" spans="1:3" x14ac:dyDescent="0.2">
      <c r="A137" s="87">
        <v>992000123</v>
      </c>
      <c r="B137" s="88"/>
      <c r="C137" s="85" t="s">
        <v>74</v>
      </c>
    </row>
    <row r="138" spans="1:3" x14ac:dyDescent="0.2">
      <c r="A138" s="87">
        <v>65501387259</v>
      </c>
      <c r="B138" s="88" t="s">
        <v>87</v>
      </c>
      <c r="C138" s="85" t="s">
        <v>74</v>
      </c>
    </row>
    <row r="139" spans="1:3" x14ac:dyDescent="0.2">
      <c r="A139" s="87">
        <v>65502128888</v>
      </c>
      <c r="B139" s="88"/>
      <c r="C139" s="85" t="s">
        <v>74</v>
      </c>
    </row>
    <row r="140" spans="1:3" x14ac:dyDescent="0.2">
      <c r="A140" s="87">
        <v>65502334887</v>
      </c>
      <c r="B140" s="88"/>
      <c r="C140" s="85" t="s">
        <v>74</v>
      </c>
    </row>
    <row r="141" spans="1:3" x14ac:dyDescent="0.2">
      <c r="A141" s="87">
        <v>65502898380</v>
      </c>
      <c r="B141" s="88"/>
      <c r="C141" s="85" t="s">
        <v>74</v>
      </c>
    </row>
    <row r="142" spans="1:3" x14ac:dyDescent="0.2">
      <c r="A142" s="87">
        <v>65502898437</v>
      </c>
      <c r="B142" s="88"/>
      <c r="C142" s="85" t="s">
        <v>74</v>
      </c>
    </row>
    <row r="143" spans="1:3" x14ac:dyDescent="0.2">
      <c r="A143" s="87">
        <v>65503025101</v>
      </c>
      <c r="B143" s="88"/>
      <c r="C143" s="85" t="s">
        <v>74</v>
      </c>
    </row>
    <row r="144" spans="1:3" x14ac:dyDescent="0.2">
      <c r="A144" s="87">
        <v>65503057072</v>
      </c>
      <c r="B144" s="88"/>
      <c r="C144" s="85" t="s">
        <v>74</v>
      </c>
    </row>
    <row r="145" spans="1:3" x14ac:dyDescent="0.2">
      <c r="A145" s="87">
        <v>65503456716</v>
      </c>
      <c r="B145" s="88"/>
      <c r="C145" s="85" t="s">
        <v>74</v>
      </c>
    </row>
    <row r="146" spans="1:3" x14ac:dyDescent="0.2">
      <c r="A146" s="87">
        <v>65503523505</v>
      </c>
      <c r="B146" s="88" t="s">
        <v>87</v>
      </c>
      <c r="C146" s="85" t="s">
        <v>74</v>
      </c>
    </row>
    <row r="147" spans="1:3" x14ac:dyDescent="0.2">
      <c r="A147" s="87">
        <v>65503525966</v>
      </c>
      <c r="B147" s="88"/>
      <c r="C147" s="85" t="s">
        <v>74</v>
      </c>
    </row>
    <row r="148" spans="1:3" x14ac:dyDescent="0.2">
      <c r="A148" s="87">
        <v>65503562246</v>
      </c>
      <c r="B148" s="88" t="s">
        <v>87</v>
      </c>
      <c r="C148" s="85" t="s">
        <v>74</v>
      </c>
    </row>
    <row r="149" spans="1:3" x14ac:dyDescent="0.2">
      <c r="A149" s="87">
        <v>65503594570</v>
      </c>
      <c r="B149" s="88" t="s">
        <v>87</v>
      </c>
      <c r="C149" s="85" t="s">
        <v>74</v>
      </c>
    </row>
    <row r="150" spans="1:3" x14ac:dyDescent="0.2">
      <c r="A150" s="87">
        <v>65503624801</v>
      </c>
      <c r="B150" s="88"/>
      <c r="C150" s="85" t="s">
        <v>74</v>
      </c>
    </row>
    <row r="151" spans="1:3" x14ac:dyDescent="0.2">
      <c r="A151" s="87">
        <v>65503691935</v>
      </c>
      <c r="B151" s="88" t="s">
        <v>87</v>
      </c>
      <c r="C151" s="85" t="s">
        <v>74</v>
      </c>
    </row>
    <row r="152" spans="1:3" x14ac:dyDescent="0.2">
      <c r="A152" s="87">
        <v>65503725852</v>
      </c>
      <c r="B152" s="88" t="s">
        <v>87</v>
      </c>
      <c r="C152" s="85" t="s">
        <v>74</v>
      </c>
    </row>
    <row r="153" spans="1:3" x14ac:dyDescent="0.2">
      <c r="A153" s="87">
        <v>65503726020</v>
      </c>
      <c r="B153" s="88" t="s">
        <v>87</v>
      </c>
      <c r="C153" s="85" t="s">
        <v>74</v>
      </c>
    </row>
    <row r="154" spans="1:3" x14ac:dyDescent="0.2">
      <c r="A154" s="87">
        <v>65503726051</v>
      </c>
      <c r="B154" s="88" t="s">
        <v>87</v>
      </c>
      <c r="C154" s="85" t="s">
        <v>74</v>
      </c>
    </row>
    <row r="155" spans="1:3" x14ac:dyDescent="0.2">
      <c r="A155" s="87">
        <v>65503726079</v>
      </c>
      <c r="B155" s="88" t="s">
        <v>87</v>
      </c>
      <c r="C155" s="85" t="s">
        <v>74</v>
      </c>
    </row>
    <row r="156" spans="1:3" x14ac:dyDescent="0.2">
      <c r="A156" s="87">
        <v>65503726096</v>
      </c>
      <c r="B156" s="88" t="s">
        <v>87</v>
      </c>
      <c r="C156" s="85" t="s">
        <v>74</v>
      </c>
    </row>
    <row r="157" spans="1:3" x14ac:dyDescent="0.2">
      <c r="A157" s="87">
        <v>65503726108</v>
      </c>
      <c r="B157" s="88" t="s">
        <v>87</v>
      </c>
      <c r="C157" s="85" t="s">
        <v>74</v>
      </c>
    </row>
    <row r="158" spans="1:3" x14ac:dyDescent="0.2">
      <c r="A158" s="87">
        <v>65503843618</v>
      </c>
      <c r="B158" s="88" t="s">
        <v>87</v>
      </c>
      <c r="C158" s="85" t="s">
        <v>74</v>
      </c>
    </row>
    <row r="159" spans="1:3" x14ac:dyDescent="0.2">
      <c r="A159" s="87">
        <v>65503851337</v>
      </c>
      <c r="B159" s="88" t="s">
        <v>87</v>
      </c>
      <c r="C159" s="85" t="s">
        <v>74</v>
      </c>
    </row>
    <row r="160" spans="1:3" x14ac:dyDescent="0.2">
      <c r="A160" s="87">
        <v>65503863610</v>
      </c>
      <c r="B160" s="88" t="s">
        <v>87</v>
      </c>
      <c r="C160" s="85" t="s">
        <v>74</v>
      </c>
    </row>
    <row r="161" spans="1:3" x14ac:dyDescent="0.2">
      <c r="A161" s="87">
        <v>65503863624</v>
      </c>
      <c r="B161" s="88" t="s">
        <v>87</v>
      </c>
      <c r="C161" s="85" t="s">
        <v>74</v>
      </c>
    </row>
    <row r="162" spans="1:3" x14ac:dyDescent="0.2">
      <c r="A162" s="87">
        <v>65503863638</v>
      </c>
      <c r="B162" s="88" t="s">
        <v>87</v>
      </c>
      <c r="C162" s="85" t="s">
        <v>74</v>
      </c>
    </row>
    <row r="163" spans="1:3" x14ac:dyDescent="0.2">
      <c r="A163" s="87">
        <v>65504039719</v>
      </c>
      <c r="B163" s="88" t="s">
        <v>87</v>
      </c>
      <c r="C163" s="85" t="s">
        <v>74</v>
      </c>
    </row>
    <row r="164" spans="1:3" x14ac:dyDescent="0.2">
      <c r="A164" s="87">
        <v>65504052011</v>
      </c>
      <c r="B164" s="88" t="s">
        <v>87</v>
      </c>
      <c r="C164" s="85" t="s">
        <v>74</v>
      </c>
    </row>
    <row r="165" spans="1:3" x14ac:dyDescent="0.2">
      <c r="A165" s="89">
        <v>1036525</v>
      </c>
      <c r="B165" s="88" t="s">
        <v>87</v>
      </c>
      <c r="C165" s="85" t="s">
        <v>74</v>
      </c>
    </row>
    <row r="166" spans="1:3" x14ac:dyDescent="0.2">
      <c r="A166" s="89">
        <v>1036526</v>
      </c>
      <c r="B166" s="88" t="s">
        <v>87</v>
      </c>
      <c r="C166" s="85" t="s">
        <v>74</v>
      </c>
    </row>
    <row r="167" spans="1:3" x14ac:dyDescent="0.2">
      <c r="A167" s="89">
        <v>1036527</v>
      </c>
      <c r="B167" s="88" t="s">
        <v>87</v>
      </c>
      <c r="C167" s="85" t="s">
        <v>74</v>
      </c>
    </row>
    <row r="168" spans="1:3" x14ac:dyDescent="0.2">
      <c r="A168" s="89">
        <v>1036528</v>
      </c>
      <c r="B168" s="88" t="s">
        <v>87</v>
      </c>
      <c r="C168" s="85" t="s">
        <v>74</v>
      </c>
    </row>
    <row r="169" spans="1:3" x14ac:dyDescent="0.2">
      <c r="A169" s="89">
        <v>1036529</v>
      </c>
      <c r="B169" s="88" t="s">
        <v>87</v>
      </c>
      <c r="C169" s="85" t="s">
        <v>74</v>
      </c>
    </row>
    <row r="170" spans="1:3" x14ac:dyDescent="0.2">
      <c r="A170" s="89">
        <v>1036530</v>
      </c>
      <c r="B170" s="88" t="s">
        <v>87</v>
      </c>
      <c r="C170" s="85" t="s">
        <v>74</v>
      </c>
    </row>
    <row r="171" spans="1:3" x14ac:dyDescent="0.2">
      <c r="A171" s="87">
        <v>65504667724</v>
      </c>
      <c r="B171" s="88" t="s">
        <v>87</v>
      </c>
      <c r="C171" s="85" t="s">
        <v>74</v>
      </c>
    </row>
    <row r="172" spans="1:3" x14ac:dyDescent="0.2">
      <c r="A172" s="87">
        <v>1020473</v>
      </c>
      <c r="B172" s="88" t="s">
        <v>87</v>
      </c>
      <c r="C172" s="85" t="s">
        <v>74</v>
      </c>
    </row>
    <row r="173" spans="1:3" x14ac:dyDescent="0.2">
      <c r="A173" s="87">
        <v>1033543</v>
      </c>
      <c r="B173" s="88" t="s">
        <v>87</v>
      </c>
      <c r="C173" s="85" t="s">
        <v>74</v>
      </c>
    </row>
    <row r="174" spans="1:3" x14ac:dyDescent="0.2">
      <c r="A174" s="87">
        <v>1033544</v>
      </c>
      <c r="B174" s="88" t="s">
        <v>87</v>
      </c>
      <c r="C174" s="85" t="s">
        <v>74</v>
      </c>
    </row>
    <row r="175" spans="1:3" x14ac:dyDescent="0.2">
      <c r="A175" s="87">
        <v>1033545</v>
      </c>
      <c r="B175" s="88" t="s">
        <v>87</v>
      </c>
      <c r="C175" s="85" t="s">
        <v>74</v>
      </c>
    </row>
    <row r="176" spans="1:3" x14ac:dyDescent="0.2">
      <c r="A176" s="87">
        <v>1033546</v>
      </c>
      <c r="B176" s="88" t="s">
        <v>87</v>
      </c>
      <c r="C176" s="85" t="s">
        <v>74</v>
      </c>
    </row>
    <row r="177" spans="1:3" x14ac:dyDescent="0.2">
      <c r="A177" s="87">
        <v>77703</v>
      </c>
      <c r="B177" s="88" t="s">
        <v>87</v>
      </c>
      <c r="C177" s="85" t="s">
        <v>74</v>
      </c>
    </row>
    <row r="178" spans="1:3" x14ac:dyDescent="0.2">
      <c r="A178" s="87">
        <v>561886</v>
      </c>
      <c r="B178" s="88" t="s">
        <v>87</v>
      </c>
      <c r="C178" s="85" t="s">
        <v>74</v>
      </c>
    </row>
    <row r="179" spans="1:3" x14ac:dyDescent="0.2">
      <c r="A179" s="87">
        <v>65507408917</v>
      </c>
      <c r="B179" s="88" t="s">
        <v>87</v>
      </c>
      <c r="C179" s="85" t="s">
        <v>74</v>
      </c>
    </row>
    <row r="180" spans="1:3" x14ac:dyDescent="0.2">
      <c r="A180" s="87">
        <v>156331</v>
      </c>
      <c r="B180" s="88" t="s">
        <v>87</v>
      </c>
      <c r="C180" s="85" t="s">
        <v>74</v>
      </c>
    </row>
    <row r="181" spans="1:3" x14ac:dyDescent="0.2">
      <c r="A181" s="87">
        <v>65502222299</v>
      </c>
      <c r="B181" s="88" t="s">
        <v>87</v>
      </c>
      <c r="C181" s="85" t="s">
        <v>74</v>
      </c>
    </row>
    <row r="182" spans="1:3" x14ac:dyDescent="0.2">
      <c r="A182" s="87">
        <v>1037124</v>
      </c>
      <c r="B182" s="88" t="s">
        <v>87</v>
      </c>
      <c r="C182" s="85" t="s">
        <v>74</v>
      </c>
    </row>
    <row r="183" spans="1:3" x14ac:dyDescent="0.2">
      <c r="A183" s="87">
        <v>1033811</v>
      </c>
      <c r="B183" s="88" t="s">
        <v>87</v>
      </c>
      <c r="C183" s="85" t="s">
        <v>74</v>
      </c>
    </row>
    <row r="184" spans="1:3" x14ac:dyDescent="0.2">
      <c r="A184" s="87">
        <v>566691</v>
      </c>
      <c r="B184" s="88" t="s">
        <v>87</v>
      </c>
      <c r="C184" s="85" t="s">
        <v>74</v>
      </c>
    </row>
    <row r="185" spans="1:3" x14ac:dyDescent="0.2">
      <c r="A185" s="87">
        <v>69902</v>
      </c>
      <c r="B185" s="88" t="s">
        <v>87</v>
      </c>
      <c r="C185" s="85" t="s">
        <v>74</v>
      </c>
    </row>
    <row r="186" spans="1:3" x14ac:dyDescent="0.2">
      <c r="A186" s="87">
        <v>157862</v>
      </c>
      <c r="B186" s="88" t="s">
        <v>87</v>
      </c>
      <c r="C186" s="85" t="s">
        <v>74</v>
      </c>
    </row>
    <row r="187" spans="1:3" x14ac:dyDescent="0.2">
      <c r="A187" s="87">
        <v>556424</v>
      </c>
      <c r="B187" s="88" t="s">
        <v>87</v>
      </c>
      <c r="C187" s="85" t="s">
        <v>74</v>
      </c>
    </row>
    <row r="188" spans="1:3" x14ac:dyDescent="0.2">
      <c r="A188" s="87">
        <v>531448</v>
      </c>
      <c r="B188" s="88" t="s">
        <v>87</v>
      </c>
      <c r="C188" s="85" t="s">
        <v>74</v>
      </c>
    </row>
    <row r="189" spans="1:3" x14ac:dyDescent="0.2">
      <c r="A189" s="87">
        <v>65502313952</v>
      </c>
      <c r="B189" s="88" t="s">
        <v>87</v>
      </c>
      <c r="C189" s="85" t="s">
        <v>74</v>
      </c>
    </row>
    <row r="190" spans="1:3" x14ac:dyDescent="0.2">
      <c r="A190" s="87">
        <v>65502425394</v>
      </c>
      <c r="B190" s="88" t="s">
        <v>87</v>
      </c>
      <c r="C190" s="85" t="s">
        <v>74</v>
      </c>
    </row>
    <row r="191" spans="1:3" x14ac:dyDescent="0.2">
      <c r="A191" s="87">
        <v>1002455</v>
      </c>
      <c r="B191" s="88" t="s">
        <v>87</v>
      </c>
      <c r="C191" s="85" t="s">
        <v>74</v>
      </c>
    </row>
    <row r="192" spans="1:3" x14ac:dyDescent="0.2">
      <c r="A192" s="87">
        <v>152965</v>
      </c>
      <c r="B192" s="88" t="s">
        <v>87</v>
      </c>
      <c r="C192" s="85" t="s">
        <v>74</v>
      </c>
    </row>
    <row r="193" spans="1:3" x14ac:dyDescent="0.2">
      <c r="A193" s="87">
        <v>1005849</v>
      </c>
      <c r="B193" s="88" t="s">
        <v>87</v>
      </c>
      <c r="C193" s="85" t="s">
        <v>74</v>
      </c>
    </row>
    <row r="194" spans="1:3" x14ac:dyDescent="0.2">
      <c r="A194" s="87">
        <v>1008496</v>
      </c>
      <c r="B194" s="88" t="s">
        <v>87</v>
      </c>
      <c r="C194" s="85" t="s">
        <v>74</v>
      </c>
    </row>
    <row r="195" spans="1:3" x14ac:dyDescent="0.2">
      <c r="A195" s="87">
        <v>1032128</v>
      </c>
      <c r="B195" s="88" t="s">
        <v>87</v>
      </c>
      <c r="C195" s="85" t="s">
        <v>74</v>
      </c>
    </row>
    <row r="196" spans="1:3" x14ac:dyDescent="0.2">
      <c r="A196" s="87">
        <v>67715</v>
      </c>
      <c r="B196" s="88" t="s">
        <v>87</v>
      </c>
      <c r="C196" s="85" t="s">
        <v>74</v>
      </c>
    </row>
    <row r="197" spans="1:3" x14ac:dyDescent="0.2">
      <c r="A197" s="87">
        <v>71535</v>
      </c>
      <c r="B197" s="88" t="s">
        <v>87</v>
      </c>
      <c r="C197" s="85" t="s">
        <v>74</v>
      </c>
    </row>
    <row r="198" spans="1:3" x14ac:dyDescent="0.2">
      <c r="A198" s="87">
        <v>71532</v>
      </c>
      <c r="B198" s="88" t="s">
        <v>87</v>
      </c>
      <c r="C198" s="85" t="s">
        <v>74</v>
      </c>
    </row>
    <row r="199" spans="1:3" x14ac:dyDescent="0.2">
      <c r="A199" s="87">
        <v>1031629</v>
      </c>
      <c r="B199" s="88" t="s">
        <v>87</v>
      </c>
      <c r="C199" s="85" t="s">
        <v>74</v>
      </c>
    </row>
    <row r="200" spans="1:3" x14ac:dyDescent="0.2">
      <c r="A200" s="87">
        <v>1031627</v>
      </c>
      <c r="B200" s="88" t="s">
        <v>87</v>
      </c>
      <c r="C200" s="85" t="s">
        <v>74</v>
      </c>
    </row>
    <row r="201" spans="1:3" x14ac:dyDescent="0.2">
      <c r="A201" s="87">
        <v>74391</v>
      </c>
      <c r="B201" s="88" t="s">
        <v>87</v>
      </c>
      <c r="C201" s="85" t="s">
        <v>74</v>
      </c>
    </row>
    <row r="202" spans="1:3" x14ac:dyDescent="0.2">
      <c r="A202" s="87">
        <v>74390</v>
      </c>
      <c r="B202" s="88" t="s">
        <v>87</v>
      </c>
      <c r="C202" s="85" t="s">
        <v>74</v>
      </c>
    </row>
    <row r="203" spans="1:3" x14ac:dyDescent="0.2">
      <c r="A203" s="87">
        <v>152869</v>
      </c>
      <c r="B203" s="88" t="s">
        <v>87</v>
      </c>
      <c r="C203" s="85" t="s">
        <v>74</v>
      </c>
    </row>
    <row r="204" spans="1:3" x14ac:dyDescent="0.2">
      <c r="A204" s="87">
        <v>152869</v>
      </c>
      <c r="B204" s="88" t="s">
        <v>87</v>
      </c>
      <c r="C204" s="85" t="s">
        <v>74</v>
      </c>
    </row>
    <row r="205" spans="1:3" x14ac:dyDescent="0.2">
      <c r="A205" s="87">
        <v>142481</v>
      </c>
      <c r="B205" s="88" t="s">
        <v>87</v>
      </c>
      <c r="C205" s="85" t="s">
        <v>74</v>
      </c>
    </row>
    <row r="206" spans="1:3" x14ac:dyDescent="0.2">
      <c r="A206" s="87">
        <v>142482</v>
      </c>
      <c r="B206" s="88" t="s">
        <v>87</v>
      </c>
      <c r="C206" s="85" t="s">
        <v>74</v>
      </c>
    </row>
    <row r="207" spans="1:3" x14ac:dyDescent="0.2">
      <c r="A207" s="87">
        <v>65507665273</v>
      </c>
      <c r="B207" s="88" t="s">
        <v>87</v>
      </c>
      <c r="C207" s="85" t="s">
        <v>74</v>
      </c>
    </row>
    <row r="208" spans="1:3" x14ac:dyDescent="0.2">
      <c r="A208" s="87">
        <v>75655</v>
      </c>
      <c r="B208" s="88" t="s">
        <v>87</v>
      </c>
      <c r="C208" s="85" t="s">
        <v>74</v>
      </c>
    </row>
    <row r="209" spans="1:3" x14ac:dyDescent="0.2">
      <c r="A209" s="87">
        <v>75145</v>
      </c>
      <c r="B209" s="88" t="s">
        <v>87</v>
      </c>
      <c r="C209" s="85" t="s">
        <v>74</v>
      </c>
    </row>
    <row r="210" spans="1:3" x14ac:dyDescent="0.2">
      <c r="A210" s="87">
        <v>75146</v>
      </c>
      <c r="B210" s="88" t="s">
        <v>87</v>
      </c>
      <c r="C210" s="85" t="s">
        <v>74</v>
      </c>
    </row>
    <row r="211" spans="1:3" x14ac:dyDescent="0.2">
      <c r="A211" s="87">
        <v>1002140</v>
      </c>
      <c r="B211" s="88" t="s">
        <v>87</v>
      </c>
      <c r="C211" s="85" t="s">
        <v>74</v>
      </c>
    </row>
    <row r="212" spans="1:3" x14ac:dyDescent="0.2">
      <c r="A212" s="87">
        <v>2000385</v>
      </c>
      <c r="B212" s="88" t="s">
        <v>87</v>
      </c>
      <c r="C212" s="85" t="s">
        <v>74</v>
      </c>
    </row>
    <row r="213" spans="1:3" x14ac:dyDescent="0.2">
      <c r="A213" s="87">
        <v>566810</v>
      </c>
      <c r="B213" s="88" t="s">
        <v>87</v>
      </c>
      <c r="C213" s="85" t="s">
        <v>74</v>
      </c>
    </row>
    <row r="214" spans="1:3" x14ac:dyDescent="0.2">
      <c r="A214" s="87">
        <v>142518</v>
      </c>
      <c r="B214" s="88" t="s">
        <v>87</v>
      </c>
      <c r="C214" s="85" t="s">
        <v>74</v>
      </c>
    </row>
    <row r="215" spans="1:3" x14ac:dyDescent="0.2">
      <c r="A215" s="87">
        <v>1014710</v>
      </c>
      <c r="B215" s="88" t="s">
        <v>87</v>
      </c>
      <c r="C215" s="85" t="s">
        <v>74</v>
      </c>
    </row>
    <row r="216" spans="1:3" x14ac:dyDescent="0.2">
      <c r="A216" s="87">
        <v>1018014</v>
      </c>
      <c r="B216" s="88" t="s">
        <v>87</v>
      </c>
      <c r="C216" s="85" t="s">
        <v>74</v>
      </c>
    </row>
    <row r="217" spans="1:3" x14ac:dyDescent="0.2">
      <c r="A217" s="87">
        <v>1018122</v>
      </c>
      <c r="B217" s="88" t="s">
        <v>87</v>
      </c>
      <c r="C217" s="85" t="s">
        <v>74</v>
      </c>
    </row>
    <row r="218" spans="1:3" x14ac:dyDescent="0.2">
      <c r="A218" s="87">
        <v>1018302</v>
      </c>
      <c r="B218" s="88" t="s">
        <v>87</v>
      </c>
      <c r="C218" s="85" t="s">
        <v>74</v>
      </c>
    </row>
    <row r="219" spans="1:3" x14ac:dyDescent="0.2">
      <c r="A219" s="87">
        <v>1018811</v>
      </c>
      <c r="B219" s="88" t="s">
        <v>87</v>
      </c>
      <c r="C219" s="85" t="s">
        <v>74</v>
      </c>
    </row>
    <row r="220" spans="1:3" x14ac:dyDescent="0.2">
      <c r="A220" s="87">
        <v>1018991</v>
      </c>
      <c r="B220" s="88" t="s">
        <v>87</v>
      </c>
      <c r="C220" s="85" t="s">
        <v>74</v>
      </c>
    </row>
    <row r="221" spans="1:3" x14ac:dyDescent="0.2">
      <c r="A221" s="87">
        <v>1020416</v>
      </c>
      <c r="B221" s="88" t="s">
        <v>87</v>
      </c>
      <c r="C221" s="85" t="s">
        <v>74</v>
      </c>
    </row>
    <row r="222" spans="1:3" x14ac:dyDescent="0.2">
      <c r="A222" s="87">
        <v>2000697</v>
      </c>
      <c r="B222" s="88" t="s">
        <v>87</v>
      </c>
      <c r="C222" s="85" t="s">
        <v>74</v>
      </c>
    </row>
    <row r="223" spans="1:3" x14ac:dyDescent="0.2">
      <c r="A223" s="87">
        <v>2000698</v>
      </c>
      <c r="B223" s="88" t="s">
        <v>87</v>
      </c>
      <c r="C223" s="85" t="s">
        <v>74</v>
      </c>
    </row>
    <row r="224" spans="1:3" x14ac:dyDescent="0.2">
      <c r="A224" s="87">
        <v>2000732</v>
      </c>
      <c r="B224" s="88" t="s">
        <v>87</v>
      </c>
      <c r="C224" s="85" t="s">
        <v>74</v>
      </c>
    </row>
    <row r="225" spans="1:3" x14ac:dyDescent="0.2">
      <c r="A225" s="87">
        <v>2000733</v>
      </c>
      <c r="B225" s="88" t="s">
        <v>87</v>
      </c>
      <c r="C225" s="85" t="s">
        <v>74</v>
      </c>
    </row>
    <row r="226" spans="1:3" x14ac:dyDescent="0.2">
      <c r="A226" s="87">
        <v>2000204</v>
      </c>
      <c r="B226" s="88" t="s">
        <v>87</v>
      </c>
      <c r="C226" s="85" t="s">
        <v>74</v>
      </c>
    </row>
    <row r="227" spans="1:3" x14ac:dyDescent="0.2">
      <c r="A227" s="87">
        <v>2000736</v>
      </c>
      <c r="B227" s="88" t="s">
        <v>87</v>
      </c>
      <c r="C227" s="85" t="s">
        <v>74</v>
      </c>
    </row>
    <row r="228" spans="1:3" x14ac:dyDescent="0.2">
      <c r="A228" s="90">
        <v>2000727</v>
      </c>
      <c r="B228" s="91" t="s">
        <v>87</v>
      </c>
      <c r="C228" s="85" t="s">
        <v>74</v>
      </c>
    </row>
    <row r="229" spans="1:3" x14ac:dyDescent="0.2">
      <c r="A229" s="90">
        <v>2000725</v>
      </c>
      <c r="B229" s="91" t="s">
        <v>87</v>
      </c>
      <c r="C229" s="85" t="s">
        <v>74</v>
      </c>
    </row>
    <row r="230" spans="1:3" x14ac:dyDescent="0.2">
      <c r="A230" s="90">
        <v>2000135</v>
      </c>
      <c r="B230" s="91" t="s">
        <v>87</v>
      </c>
      <c r="C230" s="85" t="s">
        <v>74</v>
      </c>
    </row>
    <row r="231" spans="1:3" x14ac:dyDescent="0.2">
      <c r="A231" s="90">
        <v>1021441</v>
      </c>
      <c r="B231" s="91" t="s">
        <v>87</v>
      </c>
      <c r="C231" s="85" t="s">
        <v>74</v>
      </c>
    </row>
    <row r="232" spans="1:3" x14ac:dyDescent="0.2">
      <c r="A232" s="90">
        <v>2000803</v>
      </c>
      <c r="B232" s="91" t="s">
        <v>87</v>
      </c>
      <c r="C232" s="85" t="s">
        <v>74</v>
      </c>
    </row>
    <row r="233" spans="1:3" x14ac:dyDescent="0.2">
      <c r="A233" s="90">
        <v>1031547</v>
      </c>
      <c r="B233" s="91" t="s">
        <v>87</v>
      </c>
      <c r="C233" s="85" t="s">
        <v>74</v>
      </c>
    </row>
    <row r="234" spans="1:3" x14ac:dyDescent="0.2">
      <c r="A234" s="90">
        <v>1031548</v>
      </c>
      <c r="B234" s="91" t="s">
        <v>87</v>
      </c>
      <c r="C234" s="85" t="s">
        <v>74</v>
      </c>
    </row>
    <row r="235" spans="1:3" x14ac:dyDescent="0.2">
      <c r="A235" s="90">
        <v>1031549</v>
      </c>
      <c r="B235" s="91" t="s">
        <v>87</v>
      </c>
      <c r="C235" s="85" t="s">
        <v>74</v>
      </c>
    </row>
    <row r="236" spans="1:3" x14ac:dyDescent="0.2">
      <c r="A236" s="90">
        <v>1031550</v>
      </c>
      <c r="B236" s="91" t="s">
        <v>87</v>
      </c>
      <c r="C236" s="85" t="s">
        <v>74</v>
      </c>
    </row>
    <row r="237" spans="1:3" x14ac:dyDescent="0.2">
      <c r="A237" s="90">
        <v>1031551</v>
      </c>
      <c r="B237" s="91" t="s">
        <v>87</v>
      </c>
      <c r="C237" s="85" t="s">
        <v>74</v>
      </c>
    </row>
    <row r="238" spans="1:3" x14ac:dyDescent="0.2">
      <c r="A238" s="90">
        <v>2000819</v>
      </c>
      <c r="B238" s="91" t="s">
        <v>87</v>
      </c>
      <c r="C238" s="85" t="s">
        <v>74</v>
      </c>
    </row>
    <row r="239" spans="1:3" x14ac:dyDescent="0.2">
      <c r="A239" s="90">
        <v>2000820</v>
      </c>
      <c r="B239" s="91" t="s">
        <v>87</v>
      </c>
      <c r="C239" s="85" t="s">
        <v>74</v>
      </c>
    </row>
    <row r="240" spans="1:3" x14ac:dyDescent="0.2">
      <c r="A240" s="90">
        <v>2000821</v>
      </c>
      <c r="B240" s="91" t="s">
        <v>87</v>
      </c>
      <c r="C240" s="85" t="s">
        <v>74</v>
      </c>
    </row>
    <row r="241" spans="1:3" x14ac:dyDescent="0.2">
      <c r="A241" s="90">
        <v>2000822</v>
      </c>
      <c r="B241" s="91" t="s">
        <v>87</v>
      </c>
      <c r="C241" s="85" t="s">
        <v>74</v>
      </c>
    </row>
    <row r="242" spans="1:3" x14ac:dyDescent="0.2">
      <c r="A242" s="90">
        <v>2000823</v>
      </c>
      <c r="B242" s="91" t="s">
        <v>87</v>
      </c>
      <c r="C242" s="85" t="s">
        <v>74</v>
      </c>
    </row>
    <row r="243" spans="1:3" x14ac:dyDescent="0.2">
      <c r="A243" s="90">
        <v>2000824</v>
      </c>
      <c r="B243" s="91" t="s">
        <v>87</v>
      </c>
      <c r="C243" s="85" t="s">
        <v>74</v>
      </c>
    </row>
    <row r="244" spans="1:3" x14ac:dyDescent="0.2">
      <c r="A244" s="90">
        <v>2000825</v>
      </c>
      <c r="B244" s="91" t="s">
        <v>87</v>
      </c>
      <c r="C244" s="85" t="s">
        <v>74</v>
      </c>
    </row>
    <row r="245" spans="1:3" x14ac:dyDescent="0.2">
      <c r="A245" s="90">
        <v>2000826</v>
      </c>
      <c r="B245" s="91" t="s">
        <v>87</v>
      </c>
      <c r="C245" s="85" t="s">
        <v>74</v>
      </c>
    </row>
    <row r="246" spans="1:3" x14ac:dyDescent="0.2">
      <c r="A246" s="90">
        <v>2000827</v>
      </c>
      <c r="B246" s="91" t="s">
        <v>87</v>
      </c>
      <c r="C246" s="85" t="s">
        <v>74</v>
      </c>
    </row>
    <row r="247" spans="1:3" x14ac:dyDescent="0.2">
      <c r="A247" s="90">
        <v>2000828</v>
      </c>
      <c r="B247" s="91" t="s">
        <v>87</v>
      </c>
      <c r="C247" s="85" t="s">
        <v>74</v>
      </c>
    </row>
    <row r="248" spans="1:3" x14ac:dyDescent="0.2">
      <c r="A248" s="90">
        <v>2000830</v>
      </c>
      <c r="B248" s="91" t="s">
        <v>87</v>
      </c>
      <c r="C248" s="85" t="s">
        <v>74</v>
      </c>
    </row>
    <row r="249" spans="1:3" x14ac:dyDescent="0.2">
      <c r="A249" s="90">
        <v>2000831</v>
      </c>
      <c r="B249" s="91" t="s">
        <v>87</v>
      </c>
      <c r="C249" s="85" t="s">
        <v>74</v>
      </c>
    </row>
    <row r="250" spans="1:3" x14ac:dyDescent="0.2">
      <c r="A250" s="90">
        <v>2001012</v>
      </c>
      <c r="B250" s="91" t="s">
        <v>87</v>
      </c>
      <c r="C250" s="85" t="s">
        <v>74</v>
      </c>
    </row>
    <row r="251" spans="1:3" x14ac:dyDescent="0.2">
      <c r="A251" s="90">
        <v>65501293805</v>
      </c>
      <c r="B251" s="91" t="s">
        <v>87</v>
      </c>
      <c r="C251" s="85" t="s">
        <v>74</v>
      </c>
    </row>
    <row r="252" spans="1:3" x14ac:dyDescent="0.2">
      <c r="A252" s="90">
        <v>65501372909</v>
      </c>
      <c r="B252" s="91" t="s">
        <v>87</v>
      </c>
      <c r="C252" s="85" t="s">
        <v>74</v>
      </c>
    </row>
    <row r="253" spans="1:3" x14ac:dyDescent="0.2">
      <c r="A253" s="90">
        <v>1022367</v>
      </c>
      <c r="B253" s="91" t="s">
        <v>87</v>
      </c>
      <c r="C253" s="85" t="s">
        <v>74</v>
      </c>
    </row>
    <row r="254" spans="1:3" x14ac:dyDescent="0.2">
      <c r="A254" s="90">
        <v>65507430562</v>
      </c>
      <c r="B254" s="91" t="s">
        <v>87</v>
      </c>
      <c r="C254" s="85" t="s">
        <v>74</v>
      </c>
    </row>
    <row r="255" spans="1:3" x14ac:dyDescent="0.2">
      <c r="A255" s="90">
        <v>65505283309</v>
      </c>
      <c r="B255" s="91" t="s">
        <v>87</v>
      </c>
      <c r="C255" s="85" t="s">
        <v>74</v>
      </c>
    </row>
    <row r="256" spans="1:3" x14ac:dyDescent="0.2">
      <c r="A256" s="90">
        <v>65505283360</v>
      </c>
      <c r="B256" s="91" t="s">
        <v>87</v>
      </c>
      <c r="C256" s="85" t="s">
        <v>74</v>
      </c>
    </row>
    <row r="257" spans="1:3" x14ac:dyDescent="0.2">
      <c r="A257" s="90">
        <v>65505283448</v>
      </c>
      <c r="B257" s="91" t="s">
        <v>87</v>
      </c>
      <c r="C257" s="85" t="s">
        <v>74</v>
      </c>
    </row>
    <row r="258" spans="1:3" x14ac:dyDescent="0.2">
      <c r="A258" s="90">
        <v>65505285253</v>
      </c>
      <c r="B258" s="91" t="s">
        <v>87</v>
      </c>
      <c r="C258" s="85" t="s">
        <v>74</v>
      </c>
    </row>
    <row r="259" spans="1:3" x14ac:dyDescent="0.2">
      <c r="A259" s="90">
        <v>2000848</v>
      </c>
      <c r="B259" s="91" t="s">
        <v>87</v>
      </c>
      <c r="C259" s="85" t="s">
        <v>74</v>
      </c>
    </row>
    <row r="260" spans="1:3" x14ac:dyDescent="0.2">
      <c r="A260" s="90">
        <v>2000849</v>
      </c>
      <c r="B260" s="91" t="s">
        <v>87</v>
      </c>
      <c r="C260" s="85" t="s">
        <v>74</v>
      </c>
    </row>
    <row r="261" spans="1:3" x14ac:dyDescent="0.2">
      <c r="A261" s="90">
        <v>2000795</v>
      </c>
      <c r="B261" s="91" t="s">
        <v>87</v>
      </c>
      <c r="C261" s="85" t="s">
        <v>74</v>
      </c>
    </row>
    <row r="262" spans="1:3" x14ac:dyDescent="0.2">
      <c r="A262" s="90">
        <v>1032873</v>
      </c>
      <c r="B262" s="91" t="s">
        <v>87</v>
      </c>
      <c r="C262" s="85" t="s">
        <v>74</v>
      </c>
    </row>
    <row r="263" spans="1:3" x14ac:dyDescent="0.2">
      <c r="A263" s="90">
        <v>2000927</v>
      </c>
      <c r="B263" s="91" t="s">
        <v>87</v>
      </c>
      <c r="C263" s="85" t="s">
        <v>74</v>
      </c>
    </row>
    <row r="264" spans="1:3" x14ac:dyDescent="0.2">
      <c r="A264" s="90">
        <v>2000928</v>
      </c>
      <c r="B264" s="91" t="s">
        <v>87</v>
      </c>
      <c r="C264" s="85" t="s">
        <v>74</v>
      </c>
    </row>
    <row r="265" spans="1:3" x14ac:dyDescent="0.2">
      <c r="A265" s="90">
        <v>2000926</v>
      </c>
      <c r="B265" s="91" t="s">
        <v>87</v>
      </c>
      <c r="C265" s="85" t="s">
        <v>74</v>
      </c>
    </row>
    <row r="266" spans="1:3" x14ac:dyDescent="0.2">
      <c r="A266" s="90">
        <v>2000905</v>
      </c>
      <c r="B266" s="91" t="s">
        <v>87</v>
      </c>
      <c r="C266" s="85" t="s">
        <v>74</v>
      </c>
    </row>
    <row r="267" spans="1:3" x14ac:dyDescent="0.2">
      <c r="A267" s="90">
        <v>65505843310</v>
      </c>
      <c r="B267" s="91" t="s">
        <v>87</v>
      </c>
      <c r="C267" s="85" t="s">
        <v>74</v>
      </c>
    </row>
    <row r="268" spans="1:3" x14ac:dyDescent="0.2">
      <c r="A268" s="90">
        <v>1033795</v>
      </c>
      <c r="B268" s="91" t="s">
        <v>87</v>
      </c>
      <c r="C268" s="85" t="s">
        <v>74</v>
      </c>
    </row>
    <row r="269" spans="1:3" x14ac:dyDescent="0.2">
      <c r="A269" s="90">
        <v>1033796</v>
      </c>
      <c r="B269" s="91" t="s">
        <v>87</v>
      </c>
      <c r="C269" s="85" t="s">
        <v>74</v>
      </c>
    </row>
    <row r="270" spans="1:3" x14ac:dyDescent="0.2">
      <c r="A270" s="90">
        <v>1033797</v>
      </c>
      <c r="B270" s="91" t="s">
        <v>87</v>
      </c>
      <c r="C270" s="85" t="s">
        <v>74</v>
      </c>
    </row>
    <row r="271" spans="1:3" x14ac:dyDescent="0.2">
      <c r="A271" s="90">
        <v>1033798</v>
      </c>
      <c r="B271" s="91" t="s">
        <v>87</v>
      </c>
      <c r="C271" s="85" t="s">
        <v>74</v>
      </c>
    </row>
    <row r="272" spans="1:3" x14ac:dyDescent="0.2">
      <c r="A272" s="90">
        <v>1026370</v>
      </c>
      <c r="B272" s="91" t="s">
        <v>87</v>
      </c>
      <c r="C272" s="85" t="s">
        <v>74</v>
      </c>
    </row>
    <row r="273" spans="1:3" x14ac:dyDescent="0.2">
      <c r="A273" s="90">
        <v>1032901</v>
      </c>
      <c r="B273" s="91" t="s">
        <v>87</v>
      </c>
      <c r="C273" s="85" t="s">
        <v>74</v>
      </c>
    </row>
    <row r="274" spans="1:3" x14ac:dyDescent="0.2">
      <c r="A274" s="90">
        <v>65505569851</v>
      </c>
      <c r="B274" s="91" t="s">
        <v>87</v>
      </c>
      <c r="C274" s="85" t="s">
        <v>74</v>
      </c>
    </row>
    <row r="275" spans="1:3" x14ac:dyDescent="0.2">
      <c r="A275" s="90">
        <v>1032382</v>
      </c>
      <c r="B275" s="91" t="s">
        <v>87</v>
      </c>
      <c r="C275" s="85" t="s">
        <v>74</v>
      </c>
    </row>
    <row r="276" spans="1:3" x14ac:dyDescent="0.2">
      <c r="A276" s="90">
        <v>2001004</v>
      </c>
      <c r="B276" s="91" t="s">
        <v>87</v>
      </c>
      <c r="C276" s="85" t="s">
        <v>74</v>
      </c>
    </row>
    <row r="277" spans="1:3" x14ac:dyDescent="0.2">
      <c r="A277" s="90">
        <v>65507052215</v>
      </c>
      <c r="B277" s="91" t="s">
        <v>87</v>
      </c>
      <c r="C277" s="85" t="s">
        <v>74</v>
      </c>
    </row>
    <row r="278" spans="1:3" x14ac:dyDescent="0.2">
      <c r="A278" s="90">
        <v>65507052277</v>
      </c>
      <c r="B278" s="91" t="s">
        <v>87</v>
      </c>
      <c r="C278" s="85" t="s">
        <v>74</v>
      </c>
    </row>
    <row r="279" spans="1:3" x14ac:dyDescent="0.2">
      <c r="A279" s="90">
        <v>65507052294</v>
      </c>
      <c r="B279" s="91" t="s">
        <v>87</v>
      </c>
      <c r="C279" s="85" t="s">
        <v>74</v>
      </c>
    </row>
    <row r="280" spans="1:3" x14ac:dyDescent="0.2">
      <c r="A280" s="90">
        <v>2001049</v>
      </c>
      <c r="B280" s="91" t="s">
        <v>87</v>
      </c>
      <c r="C280" s="85" t="s">
        <v>74</v>
      </c>
    </row>
    <row r="281" spans="1:3" x14ac:dyDescent="0.2">
      <c r="A281" s="90">
        <v>2001050</v>
      </c>
      <c r="B281" s="91" t="s">
        <v>87</v>
      </c>
      <c r="C281" s="85" t="s">
        <v>74</v>
      </c>
    </row>
    <row r="282" spans="1:3" x14ac:dyDescent="0.2">
      <c r="A282" s="90">
        <v>1036691</v>
      </c>
      <c r="B282" s="91" t="s">
        <v>87</v>
      </c>
      <c r="C282" s="85" t="s">
        <v>74</v>
      </c>
    </row>
    <row r="283" spans="1:3" x14ac:dyDescent="0.2">
      <c r="A283" s="90">
        <v>2001047</v>
      </c>
      <c r="B283" s="91" t="s">
        <v>87</v>
      </c>
      <c r="C283" s="85" t="s">
        <v>74</v>
      </c>
    </row>
    <row r="284" spans="1:3" x14ac:dyDescent="0.2">
      <c r="A284" s="90">
        <v>2001046</v>
      </c>
      <c r="B284" s="91" t="s">
        <v>87</v>
      </c>
      <c r="C284" s="85" t="s">
        <v>74</v>
      </c>
    </row>
    <row r="285" spans="1:3" x14ac:dyDescent="0.2">
      <c r="A285" s="90">
        <v>4031</v>
      </c>
      <c r="B285" s="91" t="s">
        <v>87</v>
      </c>
      <c r="C285" s="85" t="s">
        <v>74</v>
      </c>
    </row>
    <row r="286" spans="1:3" x14ac:dyDescent="0.2">
      <c r="A286" s="90">
        <v>1031340</v>
      </c>
      <c r="B286" s="91" t="s">
        <v>87</v>
      </c>
      <c r="C286" s="85" t="s">
        <v>74</v>
      </c>
    </row>
    <row r="287" spans="1:3" x14ac:dyDescent="0.2">
      <c r="A287" s="90">
        <v>65507671187</v>
      </c>
      <c r="B287" s="91" t="s">
        <v>87</v>
      </c>
      <c r="C287" s="85" t="s">
        <v>74</v>
      </c>
    </row>
    <row r="288" spans="1:3" x14ac:dyDescent="0.2">
      <c r="A288" s="90">
        <v>65507684389</v>
      </c>
      <c r="B288" s="91" t="s">
        <v>87</v>
      </c>
      <c r="C288" s="85" t="s">
        <v>74</v>
      </c>
    </row>
    <row r="289" spans="1:3" x14ac:dyDescent="0.2">
      <c r="A289" s="90">
        <v>65507528400</v>
      </c>
      <c r="B289" s="91" t="s">
        <v>87</v>
      </c>
      <c r="C289" s="85" t="s">
        <v>74</v>
      </c>
    </row>
    <row r="290" spans="1:3" x14ac:dyDescent="0.2">
      <c r="A290" s="90">
        <v>2001022</v>
      </c>
      <c r="B290" s="91" t="s">
        <v>87</v>
      </c>
      <c r="C290" s="85" t="s">
        <v>74</v>
      </c>
    </row>
    <row r="291" spans="1:3" x14ac:dyDescent="0.2">
      <c r="A291" s="90">
        <v>65507143699</v>
      </c>
      <c r="B291" s="91" t="s">
        <v>87</v>
      </c>
      <c r="C291" s="85" t="s">
        <v>74</v>
      </c>
    </row>
    <row r="292" spans="1:3" x14ac:dyDescent="0.2">
      <c r="A292" s="90">
        <v>65507143745</v>
      </c>
      <c r="B292" s="91" t="s">
        <v>87</v>
      </c>
      <c r="C292" s="85" t="s">
        <v>74</v>
      </c>
    </row>
    <row r="293" spans="1:3" x14ac:dyDescent="0.2">
      <c r="A293" s="90">
        <v>65507142173</v>
      </c>
      <c r="B293" s="91" t="s">
        <v>87</v>
      </c>
      <c r="C293" s="85" t="s">
        <v>74</v>
      </c>
    </row>
    <row r="294" spans="1:3" x14ac:dyDescent="0.2">
      <c r="A294" s="90">
        <v>1037090</v>
      </c>
      <c r="B294" s="91" t="s">
        <v>87</v>
      </c>
      <c r="C294" s="85" t="s">
        <v>74</v>
      </c>
    </row>
    <row r="295" spans="1:3" x14ac:dyDescent="0.2">
      <c r="A295" s="90">
        <v>65501902345</v>
      </c>
      <c r="B295" s="91" t="s">
        <v>87</v>
      </c>
      <c r="C295" s="85" t="s">
        <v>74</v>
      </c>
    </row>
    <row r="296" spans="1:3" x14ac:dyDescent="0.2">
      <c r="A296" s="90">
        <v>1037087</v>
      </c>
      <c r="B296" s="91" t="s">
        <v>87</v>
      </c>
      <c r="C296" s="85" t="s">
        <v>74</v>
      </c>
    </row>
    <row r="297" spans="1:3" x14ac:dyDescent="0.2">
      <c r="A297" s="90">
        <v>1036724</v>
      </c>
      <c r="B297" s="91" t="s">
        <v>87</v>
      </c>
      <c r="C297" s="85" t="s">
        <v>74</v>
      </c>
    </row>
    <row r="298" spans="1:3" x14ac:dyDescent="0.2">
      <c r="A298" s="90">
        <v>1036723</v>
      </c>
      <c r="B298" s="91" t="s">
        <v>87</v>
      </c>
      <c r="C298" s="85" t="s">
        <v>74</v>
      </c>
    </row>
    <row r="299" spans="1:3" x14ac:dyDescent="0.2">
      <c r="A299" s="84">
        <v>65508989338</v>
      </c>
      <c r="B299" s="91" t="s">
        <v>87</v>
      </c>
      <c r="C299" s="85" t="s">
        <v>74</v>
      </c>
    </row>
    <row r="300" spans="1:3" x14ac:dyDescent="0.2">
      <c r="A300" s="84">
        <v>1037923</v>
      </c>
      <c r="B300" s="91" t="s">
        <v>87</v>
      </c>
      <c r="C300" s="85" t="s">
        <v>74</v>
      </c>
    </row>
    <row r="301" spans="1:3" x14ac:dyDescent="0.2">
      <c r="A301" s="84">
        <v>1037925</v>
      </c>
      <c r="B301" s="91" t="s">
        <v>87</v>
      </c>
      <c r="C301" s="85" t="s">
        <v>74</v>
      </c>
    </row>
    <row r="302" spans="1:3" x14ac:dyDescent="0.2">
      <c r="A302" s="84">
        <v>1037924</v>
      </c>
      <c r="B302" s="91" t="s">
        <v>87</v>
      </c>
      <c r="C302" s="85" t="s">
        <v>74</v>
      </c>
    </row>
    <row r="303" spans="1:3" x14ac:dyDescent="0.2">
      <c r="A303" s="84">
        <v>1037117</v>
      </c>
      <c r="B303" s="91" t="s">
        <v>87</v>
      </c>
      <c r="C303" s="85" t="s">
        <v>74</v>
      </c>
    </row>
    <row r="304" spans="1:3" x14ac:dyDescent="0.2">
      <c r="A304" s="84">
        <v>1037085</v>
      </c>
      <c r="B304" s="91" t="s">
        <v>87</v>
      </c>
      <c r="C304" s="85" t="s">
        <v>74</v>
      </c>
    </row>
    <row r="305" spans="1:3" x14ac:dyDescent="0.2">
      <c r="A305" s="84">
        <v>1037086</v>
      </c>
      <c r="B305" s="91" t="s">
        <v>87</v>
      </c>
      <c r="C305" s="85" t="s">
        <v>74</v>
      </c>
    </row>
    <row r="306" spans="1:3" x14ac:dyDescent="0.2">
      <c r="A306" s="84">
        <v>1037118</v>
      </c>
      <c r="B306" s="91" t="s">
        <v>87</v>
      </c>
      <c r="C306" s="85" t="s">
        <v>74</v>
      </c>
    </row>
    <row r="307" spans="1:3" x14ac:dyDescent="0.2">
      <c r="A307" s="84">
        <v>1037113</v>
      </c>
      <c r="B307" s="91" t="s">
        <v>87</v>
      </c>
      <c r="C307" s="85" t="s">
        <v>74</v>
      </c>
    </row>
    <row r="308" spans="1:3" x14ac:dyDescent="0.2">
      <c r="A308" s="84">
        <v>1037115</v>
      </c>
      <c r="B308" s="91" t="s">
        <v>87</v>
      </c>
      <c r="C308" s="85" t="s">
        <v>74</v>
      </c>
    </row>
    <row r="309" spans="1:3" x14ac:dyDescent="0.2">
      <c r="A309" s="84">
        <v>65502397418</v>
      </c>
      <c r="B309" s="91" t="s">
        <v>87</v>
      </c>
      <c r="C309" s="85" t="s">
        <v>74</v>
      </c>
    </row>
    <row r="310" spans="1:3" x14ac:dyDescent="0.2">
      <c r="A310" s="84">
        <v>65501285111</v>
      </c>
      <c r="B310" s="91" t="s">
        <v>87</v>
      </c>
      <c r="C310" s="85" t="s">
        <v>74</v>
      </c>
    </row>
    <row r="311" spans="1:3" x14ac:dyDescent="0.2">
      <c r="B311" s="91" t="s">
        <v>87</v>
      </c>
      <c r="C311" s="85" t="s">
        <v>74</v>
      </c>
    </row>
    <row r="312" spans="1:3" x14ac:dyDescent="0.2">
      <c r="A312" s="84">
        <v>65509560409</v>
      </c>
      <c r="B312" s="91" t="s">
        <v>87</v>
      </c>
      <c r="C312" s="85" t="s">
        <v>74</v>
      </c>
    </row>
    <row r="313" spans="1:3" x14ac:dyDescent="0.2">
      <c r="A313" s="84">
        <v>65509560426</v>
      </c>
      <c r="B313" s="91" t="s">
        <v>87</v>
      </c>
      <c r="C313" s="85" t="s">
        <v>74</v>
      </c>
    </row>
    <row r="314" spans="1:3" x14ac:dyDescent="0.2">
      <c r="A314" s="84">
        <v>65509560457</v>
      </c>
      <c r="B314" s="91" t="s">
        <v>87</v>
      </c>
      <c r="C314" s="85" t="s">
        <v>74</v>
      </c>
    </row>
    <row r="315" spans="1:3" x14ac:dyDescent="0.2">
      <c r="A315" s="84">
        <v>65509560443</v>
      </c>
      <c r="B315" s="91" t="s">
        <v>87</v>
      </c>
      <c r="C315" s="85" t="s">
        <v>74</v>
      </c>
    </row>
    <row r="316" spans="1:3" x14ac:dyDescent="0.2">
      <c r="A316" s="84">
        <v>65508881201</v>
      </c>
      <c r="B316" s="91" t="s">
        <v>87</v>
      </c>
      <c r="C316" s="85" t="s">
        <v>74</v>
      </c>
    </row>
    <row r="317" spans="1:3" x14ac:dyDescent="0.2">
      <c r="A317" s="84">
        <v>65508886089</v>
      </c>
      <c r="B317" s="91" t="s">
        <v>87</v>
      </c>
      <c r="C317" s="85" t="s">
        <v>74</v>
      </c>
    </row>
    <row r="318" spans="1:3" x14ac:dyDescent="0.2">
      <c r="A318" s="84">
        <v>1000003291</v>
      </c>
      <c r="B318" s="91" t="s">
        <v>87</v>
      </c>
      <c r="C318" s="85" t="s">
        <v>74</v>
      </c>
    </row>
    <row r="319" spans="1:3" x14ac:dyDescent="0.2">
      <c r="A319" s="174">
        <v>1000003292</v>
      </c>
      <c r="B319" s="175" t="s">
        <v>87</v>
      </c>
      <c r="C319" s="176" t="s">
        <v>74</v>
      </c>
    </row>
    <row r="320" spans="1:3" x14ac:dyDescent="0.2">
      <c r="A320" s="174">
        <v>1000003293</v>
      </c>
      <c r="B320" s="175" t="s">
        <v>87</v>
      </c>
      <c r="C320" s="176" t="s">
        <v>74</v>
      </c>
    </row>
    <row r="321" spans="1:3" x14ac:dyDescent="0.2">
      <c r="A321" s="174">
        <v>1000003294</v>
      </c>
      <c r="B321" s="175" t="s">
        <v>87</v>
      </c>
      <c r="C321" s="176" t="s">
        <v>74</v>
      </c>
    </row>
    <row r="322" spans="1:3" x14ac:dyDescent="0.2">
      <c r="A322" s="174">
        <v>1000003295</v>
      </c>
      <c r="B322" s="175" t="s">
        <v>87</v>
      </c>
      <c r="C322" s="176" t="s">
        <v>74</v>
      </c>
    </row>
    <row r="323" spans="1:3" x14ac:dyDescent="0.2">
      <c r="A323" s="174">
        <v>1000003296</v>
      </c>
      <c r="B323" s="175" t="s">
        <v>87</v>
      </c>
      <c r="C323" s="176" t="s">
        <v>74</v>
      </c>
    </row>
    <row r="324" spans="1:3" x14ac:dyDescent="0.2">
      <c r="A324" s="174">
        <v>1000003297</v>
      </c>
      <c r="B324" s="175" t="s">
        <v>87</v>
      </c>
      <c r="C324" s="176" t="s">
        <v>74</v>
      </c>
    </row>
    <row r="325" spans="1:3" x14ac:dyDescent="0.2">
      <c r="A325" s="174">
        <v>1000003298</v>
      </c>
      <c r="B325" s="175" t="s">
        <v>87</v>
      </c>
      <c r="C325" s="176" t="s">
        <v>74</v>
      </c>
    </row>
    <row r="326" spans="1:3" x14ac:dyDescent="0.2">
      <c r="A326" s="174">
        <v>1000003299</v>
      </c>
      <c r="B326" s="175" t="s">
        <v>87</v>
      </c>
      <c r="C326" s="176" t="s">
        <v>74</v>
      </c>
    </row>
    <row r="327" spans="1:3" x14ac:dyDescent="0.2">
      <c r="A327" s="174">
        <v>1000003300</v>
      </c>
      <c r="B327" s="175" t="s">
        <v>87</v>
      </c>
      <c r="C327" s="176" t="s">
        <v>74</v>
      </c>
    </row>
    <row r="328" spans="1:3" x14ac:dyDescent="0.2">
      <c r="A328" s="174">
        <v>1000003301</v>
      </c>
      <c r="B328" s="175" t="s">
        <v>87</v>
      </c>
      <c r="C328" s="176" t="s">
        <v>74</v>
      </c>
    </row>
    <row r="329" spans="1:3" x14ac:dyDescent="0.2">
      <c r="A329" s="174">
        <v>1000003302</v>
      </c>
      <c r="B329" s="175" t="s">
        <v>87</v>
      </c>
      <c r="C329" s="176" t="s">
        <v>74</v>
      </c>
    </row>
    <row r="330" spans="1:3" x14ac:dyDescent="0.2">
      <c r="A330" s="174">
        <v>1000003305</v>
      </c>
      <c r="B330" s="175" t="s">
        <v>87</v>
      </c>
      <c r="C330" s="176" t="s">
        <v>74</v>
      </c>
    </row>
    <row r="331" spans="1:3" x14ac:dyDescent="0.2">
      <c r="A331" s="174">
        <v>1000002861</v>
      </c>
      <c r="B331" s="175" t="s">
        <v>87</v>
      </c>
      <c r="C331" s="176" t="s">
        <v>74</v>
      </c>
    </row>
    <row r="332" spans="1:3" x14ac:dyDescent="0.2">
      <c r="A332" s="181">
        <v>1000003307</v>
      </c>
      <c r="B332" s="175" t="s">
        <v>87</v>
      </c>
      <c r="C332" s="176" t="s">
        <v>74</v>
      </c>
    </row>
    <row r="333" spans="1:3" x14ac:dyDescent="0.2">
      <c r="A333" s="181">
        <v>1000002677</v>
      </c>
      <c r="B333" s="84" t="s">
        <v>87</v>
      </c>
      <c r="C333" s="84" t="s">
        <v>74</v>
      </c>
    </row>
    <row r="334" spans="1:3" x14ac:dyDescent="0.2">
      <c r="A334" s="181">
        <v>1000001249</v>
      </c>
      <c r="B334" s="84" t="s">
        <v>87</v>
      </c>
      <c r="C334" s="84" t="s">
        <v>74</v>
      </c>
    </row>
    <row r="335" spans="1:3" x14ac:dyDescent="0.2">
      <c r="A335" s="188">
        <v>1000003633</v>
      </c>
      <c r="B335" s="84" t="s">
        <v>87</v>
      </c>
      <c r="C335" s="84" t="s">
        <v>74</v>
      </c>
    </row>
    <row r="336" spans="1:3" x14ac:dyDescent="0.2">
      <c r="A336" s="188" t="s">
        <v>505</v>
      </c>
      <c r="B336" s="84" t="s">
        <v>87</v>
      </c>
      <c r="C336" s="84" t="s">
        <v>74</v>
      </c>
    </row>
    <row r="337" spans="1:3" x14ac:dyDescent="0.2">
      <c r="A337" s="188" t="s">
        <v>553</v>
      </c>
      <c r="B337" s="84" t="s">
        <v>87</v>
      </c>
      <c r="C337" s="84" t="s">
        <v>74</v>
      </c>
    </row>
  </sheetData>
  <conditionalFormatting sqref="A336">
    <cfRule type="duplicateValues" dxfId="103" priority="4"/>
  </conditionalFormatting>
  <conditionalFormatting sqref="A337">
    <cfRule type="duplicateValues" dxfId="102" priority="3"/>
  </conditionalFormatting>
  <conditionalFormatting sqref="A337">
    <cfRule type="duplicateValues" dxfId="101" priority="2"/>
  </conditionalFormatting>
  <conditionalFormatting sqref="A337">
    <cfRule type="duplicateValues" dxfId="100" priority="1"/>
  </conditionalFormatting>
  <hyperlinks>
    <hyperlink ref="E2" r:id="rId1" display="\\180.2.159.233\Operaciones\Operativa\CONTRATOS DEFINITIVOS.xlsx" xr:uid="{00000000-0004-0000-0200-000000000000}"/>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1"/>
  <dimension ref="A1:G4"/>
  <sheetViews>
    <sheetView workbookViewId="0">
      <selection sqref="A1:G4"/>
    </sheetView>
  </sheetViews>
  <sheetFormatPr baseColWidth="10" defaultRowHeight="12.75" x14ac:dyDescent="0.2"/>
  <cols>
    <col min="1" max="1" width="11.5703125" bestFit="1" customWidth="1"/>
    <col min="2" max="2" width="13" bestFit="1" customWidth="1"/>
    <col min="3" max="3" width="10.140625" bestFit="1" customWidth="1"/>
    <col min="4" max="4" width="8.7109375" bestFit="1" customWidth="1"/>
    <col min="5" max="5" width="11" bestFit="1" customWidth="1"/>
    <col min="6" max="6" width="8" bestFit="1" customWidth="1"/>
    <col min="7" max="7" width="11" bestFit="1" customWidth="1"/>
  </cols>
  <sheetData>
    <row r="1" spans="1:7" ht="13.5" thickBot="1" x14ac:dyDescent="0.25">
      <c r="A1" s="51" t="s">
        <v>29</v>
      </c>
      <c r="B1" s="51" t="s">
        <v>30</v>
      </c>
      <c r="C1" s="51" t="s">
        <v>31</v>
      </c>
      <c r="D1" s="51" t="s">
        <v>32</v>
      </c>
      <c r="E1" s="51" t="s">
        <v>3</v>
      </c>
      <c r="F1" s="51" t="s">
        <v>33</v>
      </c>
      <c r="G1" s="51" t="s">
        <v>75</v>
      </c>
    </row>
    <row r="2" spans="1:7" x14ac:dyDescent="0.2">
      <c r="A2" s="46" t="s">
        <v>100</v>
      </c>
      <c r="B2" s="46" t="s">
        <v>100</v>
      </c>
      <c r="C2" s="46" t="s">
        <v>100</v>
      </c>
      <c r="D2" s="46" t="s">
        <v>246</v>
      </c>
      <c r="E2" s="46">
        <v>-217299</v>
      </c>
      <c r="F2" s="46">
        <v>1018867</v>
      </c>
      <c r="G2" s="46">
        <v>-217299</v>
      </c>
    </row>
    <row r="3" spans="1:7" x14ac:dyDescent="0.2">
      <c r="A3" s="46" t="s">
        <v>100</v>
      </c>
      <c r="B3" s="46" t="s">
        <v>100</v>
      </c>
      <c r="C3" s="46" t="s">
        <v>100</v>
      </c>
      <c r="D3" s="46" t="s">
        <v>247</v>
      </c>
      <c r="E3" s="46">
        <v>12585.720000000001</v>
      </c>
      <c r="F3" s="46">
        <v>1018867</v>
      </c>
      <c r="G3" s="46">
        <v>12585.720000000001</v>
      </c>
    </row>
    <row r="4" spans="1:7" ht="13.5" thickBot="1" x14ac:dyDescent="0.25">
      <c r="A4" s="47" t="s">
        <v>100</v>
      </c>
      <c r="B4" s="47" t="s">
        <v>100</v>
      </c>
      <c r="C4" s="47" t="s">
        <v>100</v>
      </c>
      <c r="D4" s="47" t="s">
        <v>245</v>
      </c>
      <c r="E4" s="47">
        <v>3351514.5800000322</v>
      </c>
      <c r="F4" s="47">
        <v>1018867</v>
      </c>
      <c r="G4" s="47">
        <v>3351514.5800000322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tabColor rgb="FF00B050"/>
    <pageSetUpPr fitToPage="1"/>
  </sheetPr>
  <dimension ref="A1:T231"/>
  <sheetViews>
    <sheetView showGridLines="0" tabSelected="1" zoomScale="80" zoomScaleNormal="80" workbookViewId="0">
      <pane xSplit="4" ySplit="5" topLeftCell="E203" activePane="bottomRight" state="frozen"/>
      <selection pane="topRight" activeCell="E1" sqref="E1"/>
      <selection pane="bottomLeft" activeCell="A6" sqref="A6"/>
      <selection pane="bottomRight" activeCell="A211" sqref="A211:XFD211"/>
    </sheetView>
  </sheetViews>
  <sheetFormatPr baseColWidth="10" defaultColWidth="11.42578125" defaultRowHeight="14.25" x14ac:dyDescent="0.2"/>
  <cols>
    <col min="1" max="1" width="13.140625" style="52" customWidth="1"/>
    <col min="2" max="2" width="12.7109375" style="52" bestFit="1" customWidth="1"/>
    <col min="3" max="3" width="16.140625" style="52" customWidth="1"/>
    <col min="4" max="4" width="75.5703125" style="81" bestFit="1" customWidth="1"/>
    <col min="5" max="5" width="21.7109375" style="52" customWidth="1"/>
    <col min="6" max="6" width="16.28515625" style="52" customWidth="1"/>
    <col min="7" max="7" width="19.140625" style="52" bestFit="1" customWidth="1"/>
    <col min="8" max="8" width="37.42578125" style="156" customWidth="1"/>
    <col min="9" max="9" width="38.5703125" style="52" bestFit="1" customWidth="1"/>
    <col min="10" max="10" width="7" style="52" bestFit="1" customWidth="1"/>
    <col min="11" max="11" width="19.5703125" style="52" bestFit="1" customWidth="1"/>
    <col min="12" max="12" width="11.42578125" style="52"/>
    <col min="13" max="13" width="14.28515625" style="52" customWidth="1"/>
    <col min="14" max="16384" width="11.42578125" style="52"/>
  </cols>
  <sheetData>
    <row r="1" spans="1:20" ht="15" x14ac:dyDescent="0.25">
      <c r="A1" s="206" t="s">
        <v>200</v>
      </c>
      <c r="B1" s="207"/>
      <c r="C1" s="207"/>
      <c r="D1" s="207"/>
      <c r="E1" s="207"/>
      <c r="F1" s="207"/>
      <c r="G1" s="207"/>
      <c r="H1" s="208"/>
      <c r="I1" s="5"/>
      <c r="J1" s="5"/>
      <c r="K1" s="5"/>
      <c r="L1" s="5"/>
      <c r="M1" s="5"/>
      <c r="N1" s="5"/>
      <c r="O1" s="5"/>
      <c r="P1" s="5"/>
      <c r="Q1" s="5"/>
      <c r="R1" s="5"/>
      <c r="S1" s="5"/>
      <c r="T1" s="5"/>
    </row>
    <row r="2" spans="1:20" ht="24.75" customHeight="1" x14ac:dyDescent="0.25">
      <c r="A2" s="209" t="s">
        <v>199</v>
      </c>
      <c r="B2" s="210"/>
      <c r="C2" s="210"/>
      <c r="D2" s="210"/>
      <c r="E2" s="210"/>
      <c r="F2" s="210"/>
      <c r="G2" s="210"/>
      <c r="H2" s="211"/>
      <c r="I2" s="5"/>
      <c r="J2" s="5"/>
      <c r="K2" s="5"/>
      <c r="L2" s="5"/>
      <c r="M2" s="5"/>
      <c r="N2" s="5"/>
      <c r="O2" s="5"/>
      <c r="P2" s="5"/>
      <c r="Q2" s="5"/>
      <c r="R2" s="5"/>
      <c r="S2" s="5"/>
      <c r="T2" s="5"/>
    </row>
    <row r="3" spans="1:20" ht="53.25" customHeight="1" thickBot="1" x14ac:dyDescent="0.3">
      <c r="A3" s="212">
        <f ca="1">TODAY()</f>
        <v>45397</v>
      </c>
      <c r="B3" s="213"/>
      <c r="C3" s="213"/>
      <c r="D3" s="213"/>
      <c r="E3" s="213"/>
      <c r="F3" s="213"/>
      <c r="G3" s="108"/>
      <c r="H3" s="151"/>
      <c r="I3" s="5"/>
      <c r="J3" s="5"/>
      <c r="K3" s="5"/>
      <c r="L3" s="5"/>
      <c r="M3" s="5"/>
      <c r="N3" s="5"/>
      <c r="O3" s="5"/>
      <c r="P3" s="5"/>
      <c r="Q3" s="5"/>
      <c r="R3" s="5"/>
      <c r="S3" s="5"/>
      <c r="T3" s="5"/>
    </row>
    <row r="4" spans="1:20" ht="22.5" customHeight="1" x14ac:dyDescent="0.25">
      <c r="A4" s="5"/>
      <c r="B4" s="5"/>
      <c r="C4" s="53"/>
      <c r="D4" s="22"/>
      <c r="E4" s="5"/>
      <c r="F4" s="5"/>
      <c r="G4" s="5"/>
      <c r="H4" s="152"/>
      <c r="I4" s="5"/>
      <c r="J4" s="5"/>
      <c r="K4" s="5"/>
      <c r="L4" s="5"/>
      <c r="M4" s="5"/>
      <c r="N4" s="5"/>
      <c r="O4" s="5"/>
      <c r="P4" s="5"/>
      <c r="Q4" s="5"/>
      <c r="R4" s="5"/>
      <c r="S4" s="5"/>
      <c r="T4" s="5"/>
    </row>
    <row r="5" spans="1:20" s="56" customFormat="1" ht="15" x14ac:dyDescent="0.25">
      <c r="A5" s="54" t="s">
        <v>78</v>
      </c>
      <c r="B5" s="54" t="s">
        <v>28</v>
      </c>
      <c r="C5" s="54" t="s">
        <v>6</v>
      </c>
      <c r="D5" s="55" t="s">
        <v>2</v>
      </c>
      <c r="E5" s="54" t="s">
        <v>97</v>
      </c>
      <c r="F5" s="54" t="s">
        <v>5</v>
      </c>
      <c r="G5" s="54" t="s">
        <v>7</v>
      </c>
      <c r="H5" s="153"/>
      <c r="I5" s="53"/>
      <c r="J5" s="53"/>
      <c r="K5" s="53"/>
      <c r="L5" s="53"/>
      <c r="M5" s="53"/>
      <c r="N5" s="53"/>
      <c r="O5" s="53"/>
      <c r="P5" s="53"/>
      <c r="Q5" s="53"/>
      <c r="R5" s="53"/>
      <c r="S5" s="53"/>
      <c r="T5" s="53"/>
    </row>
    <row r="6" spans="1:20" ht="15.75" x14ac:dyDescent="0.25">
      <c r="A6" s="57" t="str">
        <f>IF(ISERROR(VLOOKUP(C6,ListaContratos!$A$3:$I$236,6,0)),0,(VLOOKUP(C6,ListaContratos!$A$3:$I$236,6,0)))</f>
        <v>PENSIONES</v>
      </c>
      <c r="B6" s="58" t="str">
        <f>IF(ISERROR(VLOOKUP(C6,ListaContratos!$A$4:$I$233,9,0)),0,(VLOOKUP(C6,ListaContratos!$A$4:$I$233,9,0)))</f>
        <v>Gestion</v>
      </c>
      <c r="C6">
        <v>147309</v>
      </c>
      <c r="D6" s="59" t="str">
        <f>+IFERROR(VLOOKUP(C6,ListaContratos!$A$1:$I$281,4,0),0)</f>
        <v>UADY-1002461</v>
      </c>
      <c r="E6" s="49">
        <f>IF(ISERROR(VLOOKUP(C6,FRONT!$P$5:$Q$68,2,0)),0,(VLOOKUP(C6,FRONT!$P$5:$Q$68,2,0)))</f>
        <v>-277927.62</v>
      </c>
      <c r="F6" s="60">
        <f>IF(ISERROR(VLOOKUP(C6,RK!$J$5:$K$70,2,0)),0,(VLOOKUP(C6,RK!$J$5:$K$70,2,0)))</f>
        <v>-277927.62</v>
      </c>
      <c r="G6" s="61">
        <f t="shared" ref="G6:G67" si="0">+E6-F6</f>
        <v>0</v>
      </c>
      <c r="H6" s="154"/>
      <c r="I6" s="164"/>
      <c r="J6" s="157"/>
      <c r="K6" s="5" t="s">
        <v>150</v>
      </c>
      <c r="L6" s="5"/>
      <c r="M6" s="5"/>
      <c r="N6" s="5"/>
      <c r="O6" s="5"/>
      <c r="P6" s="5"/>
      <c r="Q6" s="5"/>
      <c r="R6" s="5"/>
      <c r="S6" s="5"/>
      <c r="T6" s="5"/>
    </row>
    <row r="7" spans="1:20" ht="15" x14ac:dyDescent="0.25">
      <c r="A7" s="57" t="str">
        <f>IF(ISERROR(VLOOKUP(C7,ListaContratos!$A$3:$I$236,6,0)),0,(VLOOKUP(C7,ListaContratos!$A$3:$I$236,6,0)))</f>
        <v>PENSIONES</v>
      </c>
      <c r="B7" s="58" t="str">
        <f>IF(ISERROR(VLOOKUP(C7,ListaContratos!$A$4:$I$233,9,0)),0,(VLOOKUP(C7,ListaContratos!$A$4:$I$233,9,0)))</f>
        <v>Gestion</v>
      </c>
      <c r="C7">
        <v>147311</v>
      </c>
      <c r="D7" s="59" t="str">
        <f>+IFERROR(VLOOKUP(C7,ListaContratos!$A$1:$I$281,4,0),0)</f>
        <v>UADY-112720</v>
      </c>
      <c r="E7" s="49">
        <f>IF(ISERROR(VLOOKUP(C7,FRONT!$P$5:$Q$68,2,0)),0,(VLOOKUP(C7,FRONT!$P$5:$Q$68,2,0)))</f>
        <v>-174262.89</v>
      </c>
      <c r="F7" s="60">
        <f>IF(ISERROR(VLOOKUP(C7,RK!$J$5:$K$70,2,0)),0,(VLOOKUP(C7,RK!$J$5:$K$70,2,0)))</f>
        <v>-174262.89</v>
      </c>
      <c r="G7" s="61">
        <f t="shared" si="0"/>
        <v>0</v>
      </c>
      <c r="H7" s="154"/>
      <c r="I7" s="50"/>
      <c r="J7" s="157"/>
      <c r="K7" s="5" t="s">
        <v>234</v>
      </c>
      <c r="L7" s="5"/>
      <c r="M7" s="5"/>
      <c r="N7" s="5"/>
      <c r="O7" s="5"/>
      <c r="P7" s="5"/>
      <c r="Q7" s="5"/>
      <c r="R7" s="5"/>
      <c r="S7" s="5"/>
      <c r="T7" s="5"/>
    </row>
    <row r="8" spans="1:20" ht="15.75" x14ac:dyDescent="0.25">
      <c r="A8" s="57" t="str">
        <f>IF(ISERROR(VLOOKUP(C8,ListaContratos!$A$3:$I$236,6,0)),0,(VLOOKUP(C8,ListaContratos!$A$3:$I$236,6,0)))</f>
        <v>PENSIONES</v>
      </c>
      <c r="B8" s="58" t="str">
        <f>IF(ISERROR(VLOOKUP(C8,ListaContratos!$A$4:$I$233,9,0)),0,(VLOOKUP(C8,ListaContratos!$A$4:$I$233,9,0)))</f>
        <v>Gestion</v>
      </c>
      <c r="C8">
        <v>147314</v>
      </c>
      <c r="D8" s="59" t="str">
        <f>+IFERROR(VLOOKUP(C8,ListaContratos!$A$1:$I$281,4,0),0)</f>
        <v>UADY-204410</v>
      </c>
      <c r="E8" s="49">
        <f>IF(ISERROR(VLOOKUP(C8,FRONT!$P$5:$Q$68,2,0)),0,(VLOOKUP(C8,FRONT!$P$5:$Q$68,2,0)))</f>
        <v>-842181.34</v>
      </c>
      <c r="F8" s="60">
        <f>IF(ISERROR(VLOOKUP(C8,RK!$J$5:$K$70,2,0)),0,(VLOOKUP(C8,RK!$J$5:$K$70,2,0)))</f>
        <v>-842181.34</v>
      </c>
      <c r="G8" s="61">
        <f t="shared" si="0"/>
        <v>0</v>
      </c>
      <c r="H8" s="154"/>
      <c r="I8" s="164"/>
      <c r="J8" s="157"/>
      <c r="K8" s="5" t="s">
        <v>433</v>
      </c>
      <c r="L8" s="5"/>
      <c r="M8" s="5"/>
      <c r="N8" s="5"/>
      <c r="O8" s="5"/>
      <c r="P8" s="5"/>
      <c r="Q8" s="5"/>
      <c r="R8" s="5"/>
      <c r="S8" s="5"/>
      <c r="T8" s="5"/>
    </row>
    <row r="9" spans="1:20" ht="15" x14ac:dyDescent="0.25">
      <c r="A9" s="57" t="str">
        <f>IF(ISERROR(VLOOKUP(C9,ListaContratos!$A$3:$I$236,6,0)),0,(VLOOKUP(C9,ListaContratos!$A$3:$I$236,6,0)))</f>
        <v>PENSIONES</v>
      </c>
      <c r="B9" s="58" t="str">
        <f>IF(ISERROR(VLOOKUP(C9,ListaContratos!$A$4:$I$233,9,0)),0,(VLOOKUP(C9,ListaContratos!$A$4:$I$233,9,0)))</f>
        <v>Gestion</v>
      </c>
      <c r="C9">
        <v>152971</v>
      </c>
      <c r="D9" s="59" t="str">
        <f>+IFERROR(VLOOKUP(C9,ListaContratos!$A$1:$I$281,4,0),0)</f>
        <v>JOHNSON-1-(152971)</v>
      </c>
      <c r="E9" s="49">
        <f>IF(ISERROR(VLOOKUP(C9,FRONT!$P$5:$Q$68,2,0)),0,(VLOOKUP(C9,FRONT!$P$5:$Q$68,2,0)))</f>
        <v>46749.73</v>
      </c>
      <c r="F9" s="60">
        <f>IF(ISERROR(VLOOKUP(C9,RK!$J$5:$K$70,2,0)),0,(VLOOKUP(C9,RK!$J$5:$K$70,2,0)))</f>
        <v>46749.729999999996</v>
      </c>
      <c r="G9" s="61">
        <f t="shared" si="0"/>
        <v>0</v>
      </c>
      <c r="H9" s="154"/>
      <c r="I9" s="77"/>
      <c r="J9" s="157"/>
      <c r="K9" s="5" t="s">
        <v>536</v>
      </c>
      <c r="L9" s="5"/>
      <c r="M9" s="5"/>
      <c r="N9" s="5"/>
      <c r="O9" s="5"/>
      <c r="P9" s="5"/>
      <c r="Q9" s="5"/>
      <c r="R9" s="5"/>
      <c r="S9" s="5"/>
      <c r="T9" s="5"/>
    </row>
    <row r="10" spans="1:20" ht="15" x14ac:dyDescent="0.25">
      <c r="A10" s="57" t="str">
        <f>IF(ISERROR(VLOOKUP(C10,ListaContratos!$A$3:$I$236,6,0)),0,(VLOOKUP(C10,ListaContratos!$A$3:$I$236,6,0)))</f>
        <v>PENSIONES</v>
      </c>
      <c r="B10" s="58" t="str">
        <f>IF(ISERROR(VLOOKUP(C10,ListaContratos!$A$4:$I$233,9,0)),0,(VLOOKUP(C10,ListaContratos!$A$4:$I$233,9,0)))</f>
        <v>Gestion</v>
      </c>
      <c r="C10">
        <v>152974</v>
      </c>
      <c r="D10" s="59" t="str">
        <f>+IFERROR(VLOOKUP(C10,ListaContratos!$A$1:$I$281,4,0),0)</f>
        <v>JOHNSON-1-(152974)</v>
      </c>
      <c r="E10" s="49">
        <f>IF(ISERROR(VLOOKUP(C10,FRONT!$P$5:$Q$68,2,0)),0,(VLOOKUP(C10,FRONT!$P$5:$Q$68,2,0)))</f>
        <v>54907.85</v>
      </c>
      <c r="F10" s="60">
        <f>IF(ISERROR(VLOOKUP(C10,RK!$J$5:$K$70,2,0)),0,(VLOOKUP(C10,RK!$J$5:$K$70,2,0)))</f>
        <v>54907.849999999991</v>
      </c>
      <c r="G10" s="61">
        <f t="shared" si="0"/>
        <v>0</v>
      </c>
      <c r="H10" s="154"/>
      <c r="I10" s="50"/>
      <c r="J10" s="50"/>
      <c r="K10" s="5" t="s">
        <v>504</v>
      </c>
      <c r="L10" s="5"/>
      <c r="M10" s="5"/>
      <c r="N10" s="5"/>
      <c r="O10" s="5"/>
      <c r="P10" s="5"/>
      <c r="Q10" s="5"/>
      <c r="R10" s="5"/>
      <c r="S10" s="5"/>
      <c r="T10" s="5"/>
    </row>
    <row r="11" spans="1:20" ht="15" x14ac:dyDescent="0.25">
      <c r="A11" s="57" t="str">
        <f>IF(ISERROR(VLOOKUP(C11,ListaContratos!$A$3:$I$236,6,0)),0,(VLOOKUP(C11,ListaContratos!$A$3:$I$236,6,0)))</f>
        <v>PENSIONES</v>
      </c>
      <c r="B11" s="58" t="str">
        <f>IF(ISERROR(VLOOKUP(C11,ListaContratos!$A$4:$I$233,9,0)),0,(VLOOKUP(C11,ListaContratos!$A$4:$I$233,9,0)))</f>
        <v>Gestion</v>
      </c>
      <c r="C11">
        <v>152976</v>
      </c>
      <c r="D11" s="59" t="str">
        <f>+IFERROR(VLOOKUP(C11,ListaContratos!$A$1:$I$281,4,0),0)</f>
        <v>JOHNSON-1-(152976)</v>
      </c>
      <c r="E11" s="49">
        <f>IF(ISERROR(VLOOKUP(C11,FRONT!$P$5:$Q$68,2,0)),0,(VLOOKUP(C11,FRONT!$P$5:$Q$68,2,0)))</f>
        <v>18647.599999999999</v>
      </c>
      <c r="F11" s="60">
        <f>IF(ISERROR(VLOOKUP(C11,RK!$J$5:$K$70,2,0)),0,(VLOOKUP(C11,RK!$J$5:$K$70,2,0)))</f>
        <v>18647.599999999988</v>
      </c>
      <c r="G11" s="61">
        <f t="shared" si="0"/>
        <v>0</v>
      </c>
      <c r="H11" s="154"/>
      <c r="I11" s="50"/>
      <c r="J11" s="50"/>
      <c r="K11" s="5" t="s">
        <v>423</v>
      </c>
      <c r="L11" s="5"/>
      <c r="M11" s="5"/>
      <c r="N11" s="5"/>
      <c r="O11" s="5"/>
      <c r="P11" s="5"/>
      <c r="Q11" s="5"/>
      <c r="R11" s="5"/>
      <c r="S11" s="5"/>
      <c r="T11" s="5"/>
    </row>
    <row r="12" spans="1:20" ht="15" x14ac:dyDescent="0.25">
      <c r="A12" s="57" t="str">
        <f>IF(ISERROR(VLOOKUP(C12,ListaContratos!$A$3:$I$236,6,0)),0,(VLOOKUP(C12,ListaContratos!$A$3:$I$236,6,0)))</f>
        <v>PENSIONES</v>
      </c>
      <c r="B12" s="58" t="str">
        <f>IF(ISERROR(VLOOKUP(C12,ListaContratos!$A$4:$I$233,9,0)),0,(VLOOKUP(C12,ListaContratos!$A$4:$I$233,9,0)))</f>
        <v>Gestion</v>
      </c>
      <c r="C12">
        <v>152979</v>
      </c>
      <c r="D12" s="59" t="str">
        <f>+IFERROR(VLOOKUP(C12,ListaContratos!$A$1:$I$281,4,0),0)</f>
        <v>JOHNSON-1-(152979)</v>
      </c>
      <c r="E12" s="49">
        <f>IF(ISERROR(VLOOKUP(C12,FRONT!$P$5:$Q$68,2,0)),0,(VLOOKUP(C12,FRONT!$P$5:$Q$68,2,0)))</f>
        <v>15940.96</v>
      </c>
      <c r="F12" s="60">
        <f>IF(ISERROR(VLOOKUP(C12,RK!$J$5:$K$70,2,0)),0,(VLOOKUP(C12,RK!$J$5:$K$70,2,0)))</f>
        <v>15940.959999999986</v>
      </c>
      <c r="G12" s="61">
        <f t="shared" si="0"/>
        <v>0</v>
      </c>
      <c r="H12" s="154"/>
      <c r="I12" s="63"/>
      <c r="J12" s="64"/>
      <c r="K12" s="5" t="s">
        <v>508</v>
      </c>
      <c r="L12" s="5"/>
      <c r="M12" s="5"/>
      <c r="N12" s="5"/>
      <c r="O12" s="5"/>
      <c r="P12" s="5"/>
      <c r="Q12" s="5"/>
      <c r="R12" s="5"/>
      <c r="S12" s="5"/>
      <c r="T12" s="5"/>
    </row>
    <row r="13" spans="1:20" ht="15" x14ac:dyDescent="0.25">
      <c r="A13" s="57" t="str">
        <f>IF(ISERROR(VLOOKUP(C13,ListaContratos!$A$3:$I$236,6,0)),0,(VLOOKUP(C13,ListaContratos!$A$3:$I$236,6,0)))</f>
        <v>PENSIONES</v>
      </c>
      <c r="B13" s="58" t="str">
        <f>IF(ISERROR(VLOOKUP(C13,ListaContratos!$A$4:$I$233,9,0)),0,(VLOOKUP(C13,ListaContratos!$A$4:$I$233,9,0)))</f>
        <v>Gestion</v>
      </c>
      <c r="C13">
        <v>152981</v>
      </c>
      <c r="D13" s="59" t="str">
        <f>+IFERROR(VLOOKUP(C13,ListaContratos!$A$1:$I$281,4,0),0)</f>
        <v>JOHNSON-1-(152981)</v>
      </c>
      <c r="E13" s="49">
        <f>IF(ISERROR(VLOOKUP(C13,FRONT!$P$5:$Q$68,2,0)),0,(VLOOKUP(C13,FRONT!$P$5:$Q$68,2,0)))</f>
        <v>420.98</v>
      </c>
      <c r="F13" s="60">
        <f>IF(ISERROR(VLOOKUP(C13,RK!$J$5:$K$70,2,0)),0,(VLOOKUP(C13,RK!$J$5:$K$70,2,0)))</f>
        <v>420.97999999999985</v>
      </c>
      <c r="G13" s="61">
        <f t="shared" si="0"/>
        <v>0</v>
      </c>
      <c r="H13" s="154"/>
      <c r="I13" s="44"/>
      <c r="J13" s="65"/>
      <c r="K13" s="5" t="s">
        <v>464</v>
      </c>
      <c r="L13" s="5"/>
      <c r="M13" s="5"/>
      <c r="N13" s="5"/>
      <c r="O13" s="5"/>
      <c r="P13" s="5"/>
      <c r="Q13" s="5"/>
      <c r="R13" s="5"/>
      <c r="S13" s="5"/>
      <c r="T13" s="5"/>
    </row>
    <row r="14" spans="1:20" ht="15" x14ac:dyDescent="0.25">
      <c r="A14" s="57" t="str">
        <f>IF(ISERROR(VLOOKUP(C14,ListaContratos!$A$3:$I$236,6,0)),0,(VLOOKUP(C14,ListaContratos!$A$3:$I$236,6,0)))</f>
        <v>PENSIONES</v>
      </c>
      <c r="B14" s="58" t="str">
        <f>IF(ISERROR(VLOOKUP(C14,ListaContratos!$A$4:$I$233,9,0)),0,(VLOOKUP(C14,ListaContratos!$A$4:$I$233,9,0)))</f>
        <v>Gestion</v>
      </c>
      <c r="C14">
        <v>152983</v>
      </c>
      <c r="D14" s="59" t="str">
        <f>+IFERROR(VLOOKUP(C14,ListaContratos!$A$1:$I$281,4,0),0)</f>
        <v>JOHNSON-1-(152983)</v>
      </c>
      <c r="E14" s="49">
        <f>IF(ISERROR(VLOOKUP(C14,FRONT!$P$5:$Q$68,2,0)),0,(VLOOKUP(C14,FRONT!$P$5:$Q$68,2,0)))</f>
        <v>157.57</v>
      </c>
      <c r="F14" s="60">
        <f>IF(ISERROR(VLOOKUP(C14,RK!$J$5:$K$70,2,0)),0,(VLOOKUP(C14,RK!$J$5:$K$70,2,0)))</f>
        <v>157.57000000000002</v>
      </c>
      <c r="G14" s="61">
        <f t="shared" si="0"/>
        <v>0</v>
      </c>
      <c r="H14" s="154"/>
      <c r="I14" s="44"/>
      <c r="J14" s="66"/>
      <c r="K14" s="9" t="s">
        <v>203</v>
      </c>
      <c r="L14" s="5"/>
      <c r="M14" s="5"/>
      <c r="N14" s="5"/>
      <c r="O14" s="5"/>
      <c r="P14" s="5"/>
      <c r="Q14" s="5"/>
      <c r="R14" s="5"/>
      <c r="S14" s="5"/>
      <c r="T14" s="5"/>
    </row>
    <row r="15" spans="1:20" ht="15" x14ac:dyDescent="0.25">
      <c r="A15" s="57" t="str">
        <f>IF(ISERROR(VLOOKUP(C15,ListaContratos!$A$3:$I$236,6,0)),0,(VLOOKUP(C15,ListaContratos!$A$3:$I$236,6,0)))</f>
        <v>F AHORRO</v>
      </c>
      <c r="B15" s="58" t="str">
        <f>IF(ISERROR(VLOOKUP(C15,ListaContratos!$A$4:$I$233,9,0)),0,(VLOOKUP(C15,ListaContratos!$A$4:$I$233,9,0)))</f>
        <v>Gestion</v>
      </c>
      <c r="C15">
        <v>1018867</v>
      </c>
      <c r="D15" s="59" t="str">
        <f>+IFERROR(VLOOKUP(C15,ListaContratos!$A$1:$I$281,4,0),0)</f>
        <v>ANAHUAC - INVESTIGACIONES Y ESTUDIOS SUPERIORES SC</v>
      </c>
      <c r="E15" s="49">
        <f>IF(ISERROR(VLOOKUP(C15,FRONT!$P$5:$Q$68,2,0)),0,(VLOOKUP(C15,FRONT!$P$5:$Q$68,2,0)))</f>
        <v>4222900.04</v>
      </c>
      <c r="F15" s="60">
        <f>IF(ISERROR(VLOOKUP(C15,RK!$J$5:$K$70,2,0)),0,(VLOOKUP(C15,RK!$J$5:$K$70,2,0)))</f>
        <v>4222900.0400000103</v>
      </c>
      <c r="G15" s="61">
        <f t="shared" si="0"/>
        <v>-1.0244548320770264E-8</v>
      </c>
      <c r="H15" s="154"/>
      <c r="I15" s="44"/>
      <c r="J15" s="66"/>
      <c r="K15" s="9" t="s">
        <v>397</v>
      </c>
      <c r="L15" s="5"/>
      <c r="M15" s="5"/>
      <c r="N15" s="5"/>
      <c r="O15" s="5"/>
      <c r="P15" s="5"/>
      <c r="Q15" s="5"/>
      <c r="R15" s="5"/>
      <c r="S15" s="5"/>
      <c r="T15" s="5"/>
    </row>
    <row r="16" spans="1:20" ht="30" x14ac:dyDescent="0.25">
      <c r="A16" s="57" t="str">
        <f>IF(ISERROR(VLOOKUP(C16,ListaContratos!$A$3:$I$236,6,0)),0,(VLOOKUP(C16,ListaContratos!$A$3:$I$236,6,0)))</f>
        <v>F AHORRO</v>
      </c>
      <c r="B16" s="58" t="str">
        <f>IF(ISERROR(VLOOKUP(C16,ListaContratos!$A$4:$I$233,9,0)),0,(VLOOKUP(C16,ListaContratos!$A$4:$I$233,9,0)))</f>
        <v>Gestion</v>
      </c>
      <c r="C16">
        <v>1037085</v>
      </c>
      <c r="D16" s="59" t="str">
        <f>+IFERROR(VLOOKUP(C16,ListaContratos!$A$1:$I$281,4,0),0)</f>
        <v>DANONE DE MEXICO SEMANAL</v>
      </c>
      <c r="E16" s="49">
        <f>IF(ISERROR(VLOOKUP(C16,FRONT!$P$5:$Q$68,2,0)),0,(VLOOKUP(C16,FRONT!$P$5:$Q$68,2,0)))</f>
        <v>2064207.96</v>
      </c>
      <c r="F16" s="60">
        <f>IF(ISERROR(VLOOKUP(C16,RK!$J$5:$K$70,2,0)),0,(VLOOKUP(C16,RK!$J$5:$K$70,2,0)))</f>
        <v>0</v>
      </c>
      <c r="G16" s="61">
        <f t="shared" si="0"/>
        <v>2064207.96</v>
      </c>
      <c r="H16" s="154" t="s">
        <v>150</v>
      </c>
      <c r="I16" s="44"/>
      <c r="J16" s="66"/>
      <c r="K16" s="9" t="s">
        <v>539</v>
      </c>
      <c r="L16" s="5"/>
      <c r="M16" s="5"/>
      <c r="N16" s="5"/>
      <c r="O16" s="5"/>
      <c r="P16" s="5"/>
      <c r="Q16" s="5"/>
      <c r="R16" s="5"/>
      <c r="S16" s="5"/>
      <c r="T16" s="5"/>
    </row>
    <row r="17" spans="1:20" s="67" customFormat="1" ht="30" x14ac:dyDescent="0.25">
      <c r="A17" s="57" t="str">
        <f>IF(ISERROR(VLOOKUP(C17,ListaContratos!$A$3:$I$236,6,0)),0,(VLOOKUP(C17,ListaContratos!$A$3:$I$236,6,0)))</f>
        <v>F AHORRO</v>
      </c>
      <c r="B17" s="58" t="str">
        <f>IF(ISERROR(VLOOKUP(C17,ListaContratos!$A$4:$I$233,9,0)),0,(VLOOKUP(C17,ListaContratos!$A$4:$I$233,9,0)))</f>
        <v>Gestion</v>
      </c>
      <c r="C17">
        <v>1037086</v>
      </c>
      <c r="D17" s="59" t="str">
        <f>+IFERROR(VLOOKUP(C17,ListaContratos!$A$1:$I$281,4,0),0)</f>
        <v>DANONE DE MEXICO QUINCENAL</v>
      </c>
      <c r="E17" s="49">
        <f>IF(ISERROR(VLOOKUP(C17,FRONT!$P$5:$Q$68,2,0)),0,(VLOOKUP(C17,FRONT!$P$5:$Q$68,2,0)))</f>
        <v>4812430.88</v>
      </c>
      <c r="F17" s="60">
        <f>IF(ISERROR(VLOOKUP(C17,RK!$J$5:$K$70,2,0)),0,(VLOOKUP(C17,RK!$J$5:$K$70,2,0)))</f>
        <v>0</v>
      </c>
      <c r="G17" s="61">
        <f t="shared" si="0"/>
        <v>4812430.88</v>
      </c>
      <c r="H17" s="154" t="s">
        <v>150</v>
      </c>
      <c r="I17" s="44"/>
      <c r="J17" s="66"/>
      <c r="K17" s="5" t="s">
        <v>537</v>
      </c>
      <c r="L17" s="9"/>
      <c r="M17" s="9"/>
      <c r="N17" s="9"/>
      <c r="O17" s="9"/>
      <c r="P17" s="9"/>
      <c r="Q17" s="9"/>
      <c r="R17" s="9"/>
      <c r="S17" s="9"/>
      <c r="T17" s="9"/>
    </row>
    <row r="18" spans="1:20" s="67" customFormat="1" ht="30" x14ac:dyDescent="0.25">
      <c r="A18" s="57" t="str">
        <f>IF(ISERROR(VLOOKUP(C18,ListaContratos!$A$3:$I$236,6,0)),0,(VLOOKUP(C18,ListaContratos!$A$3:$I$236,6,0)))</f>
        <v>F.AHORRO</v>
      </c>
      <c r="B18" s="58" t="str">
        <f>IF(ISERROR(VLOOKUP(C18,ListaContratos!$A$4:$I$233,9,0)),0,(VLOOKUP(C18,ListaContratos!$A$4:$I$233,9,0)))</f>
        <v>Gestion</v>
      </c>
      <c r="C18">
        <v>1037090</v>
      </c>
      <c r="D18" s="59" t="str">
        <f>+IFERROR(VLOOKUP(C18,ListaContratos!$A$1:$I$281,4,0),0)</f>
        <v>EAMSIND - Envasadoras de Aguas en México Sind</v>
      </c>
      <c r="E18" s="49">
        <f>IF(ISERROR(VLOOKUP(C18,FRONT!$P$5:$Q$68,2,0)),0,(VLOOKUP(C18,FRONT!$P$5:$Q$68,2,0)))</f>
        <v>719603.28</v>
      </c>
      <c r="F18" s="60">
        <f>IF(ISERROR(VLOOKUP(C18,RK!$J$5:$K$70,2,0)),0,(VLOOKUP(C18,RK!$J$5:$K$70,2,0)))</f>
        <v>0</v>
      </c>
      <c r="G18" s="61">
        <f t="shared" si="0"/>
        <v>719603.28</v>
      </c>
      <c r="H18" s="154" t="s">
        <v>150</v>
      </c>
      <c r="I18" s="44"/>
      <c r="J18" s="68"/>
      <c r="K18" s="5" t="s">
        <v>509</v>
      </c>
      <c r="L18" s="9"/>
      <c r="M18" s="9"/>
      <c r="N18" s="9"/>
      <c r="O18" s="9"/>
      <c r="P18" s="9"/>
      <c r="Q18" s="9"/>
      <c r="R18" s="9"/>
      <c r="S18" s="9"/>
      <c r="T18" s="9"/>
    </row>
    <row r="19" spans="1:20" s="67" customFormat="1" ht="15" customHeight="1" x14ac:dyDescent="0.25">
      <c r="A19" s="57" t="str">
        <f>IF(ISERROR(VLOOKUP(C19,ListaContratos!$A$3:$I$236,6,0)),0,(VLOOKUP(C19,ListaContratos!$A$3:$I$236,6,0)))</f>
        <v>F AHORRO</v>
      </c>
      <c r="B19" s="58" t="str">
        <f>IF(ISERROR(VLOOKUP(C19,ListaContratos!$A$4:$I$233,9,0)),0,(VLOOKUP(C19,ListaContratos!$A$4:$I$233,9,0)))</f>
        <v>Gestion</v>
      </c>
      <c r="C19">
        <v>1037113</v>
      </c>
      <c r="D19" s="59" t="str">
        <f>+IFERROR(VLOOKUP(C19,ListaContratos!$A$1:$I$281,4,0),0)</f>
        <v>SUPREMA</v>
      </c>
      <c r="E19" s="49">
        <f>IF(ISERROR(VLOOKUP(C19,FRONT!$P$5:$Q$68,2,0)),0,(VLOOKUP(C19,FRONT!$P$5:$Q$68,2,0)))</f>
        <v>2494079.54</v>
      </c>
      <c r="F19" s="60">
        <f>IF(ISERROR(VLOOKUP(C19,RK!$J$5:$K$70,2,0)),0,(VLOOKUP(C19,RK!$J$5:$K$70,2,0)))</f>
        <v>0</v>
      </c>
      <c r="G19" s="61">
        <f t="shared" si="0"/>
        <v>2494079.54</v>
      </c>
      <c r="H19" s="154" t="s">
        <v>150</v>
      </c>
      <c r="I19" s="69"/>
      <c r="J19" s="9"/>
      <c r="K19" s="68" t="s">
        <v>534</v>
      </c>
      <c r="L19" s="9"/>
      <c r="M19" s="68"/>
      <c r="N19" s="9"/>
      <c r="O19" s="9"/>
      <c r="P19" s="9"/>
      <c r="Q19" s="9"/>
      <c r="R19" s="9"/>
      <c r="S19" s="9"/>
      <c r="T19" s="9"/>
    </row>
    <row r="20" spans="1:20" s="67" customFormat="1" ht="30" x14ac:dyDescent="0.25">
      <c r="A20" s="57" t="str">
        <f>IF(ISERROR(VLOOKUP(C20,ListaContratos!$A$3:$I$236,6,0)),0,(VLOOKUP(C20,ListaContratos!$A$3:$I$236,6,0)))</f>
        <v>F AHORRO</v>
      </c>
      <c r="B20" s="58" t="str">
        <f>IF(ISERROR(VLOOKUP(C20,ListaContratos!$A$4:$I$233,9,0)),0,(VLOOKUP(C20,ListaContratos!$A$4:$I$233,9,0)))</f>
        <v>Gestion</v>
      </c>
      <c r="C20">
        <v>1037117</v>
      </c>
      <c r="D20" s="59" t="str">
        <f>+IFERROR(VLOOKUP(C20,ListaContratos!$A$1:$I$281,4,0),0)</f>
        <v>BONAFONT SEMANAL</v>
      </c>
      <c r="E20" s="49">
        <f>IF(ISERROR(VLOOKUP(C20,FRONT!$P$5:$Q$68,2,0)),0,(VLOOKUP(C20,FRONT!$P$5:$Q$68,2,0)))</f>
        <v>411634.52</v>
      </c>
      <c r="F20" s="60">
        <f>IF(ISERROR(VLOOKUP(C20,RK!$J$5:$K$70,2,0)),0,(VLOOKUP(C20,RK!$J$5:$K$70,2,0)))</f>
        <v>0</v>
      </c>
      <c r="G20" s="61">
        <f t="shared" si="0"/>
        <v>411634.52</v>
      </c>
      <c r="H20" s="154" t="s">
        <v>150</v>
      </c>
      <c r="I20" s="9"/>
      <c r="J20" s="9"/>
      <c r="K20" s="68" t="s">
        <v>535</v>
      </c>
      <c r="L20" s="9"/>
      <c r="M20" s="68"/>
      <c r="N20" s="9"/>
      <c r="O20" s="9"/>
      <c r="P20" s="9"/>
      <c r="Q20" s="9"/>
      <c r="R20" s="9"/>
      <c r="S20" s="9"/>
      <c r="T20" s="9"/>
    </row>
    <row r="21" spans="1:20" s="67" customFormat="1" ht="30" x14ac:dyDescent="0.25">
      <c r="A21" s="57" t="str">
        <f>IF(ISERROR(VLOOKUP(C21,ListaContratos!$A$3:$I$236,6,0)),0,(VLOOKUP(C21,ListaContratos!$A$3:$I$236,6,0)))</f>
        <v>F AHORRO</v>
      </c>
      <c r="B21" s="58" t="str">
        <f>IF(ISERROR(VLOOKUP(C21,ListaContratos!$A$4:$I$233,9,0)),0,(VLOOKUP(C21,ListaContratos!$A$4:$I$233,9,0)))</f>
        <v>Gestion</v>
      </c>
      <c r="C21">
        <v>1037118</v>
      </c>
      <c r="D21" s="59" t="str">
        <f>+IFERROR(VLOOKUP(C21,ListaContratos!$A$1:$I$281,4,0),0)</f>
        <v>BONAFONT QUINENAL</v>
      </c>
      <c r="E21" s="49">
        <f>IF(ISERROR(VLOOKUP(C21,FRONT!$P$5:$Q$68,2,0)),0,(VLOOKUP(C21,FRONT!$P$5:$Q$68,2,0)))</f>
        <v>1349158.58</v>
      </c>
      <c r="F21" s="60">
        <f>IF(ISERROR(VLOOKUP(C21,RK!$J$5:$K$70,2,0)),0,(VLOOKUP(C21,RK!$J$5:$K$70,2,0)))</f>
        <v>0</v>
      </c>
      <c r="G21" s="61">
        <f t="shared" si="0"/>
        <v>1349158.58</v>
      </c>
      <c r="H21" s="154" t="s">
        <v>150</v>
      </c>
      <c r="I21" s="69"/>
      <c r="J21" s="9"/>
      <c r="K21" s="68"/>
      <c r="L21" s="9"/>
      <c r="M21" s="68"/>
      <c r="N21" s="9"/>
      <c r="O21" s="9"/>
      <c r="P21" s="9"/>
      <c r="Q21" s="9"/>
      <c r="R21" s="9"/>
      <c r="S21" s="9"/>
      <c r="T21" s="9"/>
    </row>
    <row r="22" spans="1:20" s="67" customFormat="1" ht="15" x14ac:dyDescent="0.25">
      <c r="A22" s="57" t="str">
        <f>IF(ISERROR(VLOOKUP(C22,ListaContratos!$A$3:$I$236,6,0)),0,(VLOOKUP(C22,ListaContratos!$A$3:$I$236,6,0)))</f>
        <v>PENSIONES</v>
      </c>
      <c r="B22" s="58" t="str">
        <f>IF(ISERROR(VLOOKUP(C22,ListaContratos!$A$4:$I$233,9,0)),0,(VLOOKUP(C22,ListaContratos!$A$4:$I$233,9,0)))</f>
        <v>Gestion</v>
      </c>
      <c r="C22">
        <v>2000217</v>
      </c>
      <c r="D22" s="59" t="str">
        <f>+IFERROR(VLOOKUP(C22,ListaContratos!$A$1:$I$281,4,0),0)</f>
        <v>SANTEMP50</v>
      </c>
      <c r="E22" s="49">
        <f>IF(ISERROR(VLOOKUP(C22,FRONT!$P$5:$Q$68,2,0)),0,(VLOOKUP(C22,FRONT!$P$5:$Q$68,2,0)))</f>
        <v>-30149.45</v>
      </c>
      <c r="F22" s="60">
        <f>IF(ISERROR(VLOOKUP(C22,RK!$J$5:$K$70,2,0)),0,(VLOOKUP(C22,RK!$J$5:$K$70,2,0)))</f>
        <v>0</v>
      </c>
      <c r="G22" s="61">
        <f t="shared" si="0"/>
        <v>-30149.45</v>
      </c>
      <c r="H22" s="154" t="s">
        <v>504</v>
      </c>
      <c r="I22" s="69"/>
      <c r="J22" s="9"/>
      <c r="K22" s="68"/>
      <c r="L22" s="9"/>
      <c r="M22" s="68"/>
      <c r="N22" s="9"/>
      <c r="O22" s="9"/>
      <c r="P22" s="9"/>
      <c r="Q22" s="9"/>
      <c r="R22" s="9"/>
      <c r="S22" s="9"/>
      <c r="T22" s="9"/>
    </row>
    <row r="23" spans="1:20" s="67" customFormat="1" ht="15" x14ac:dyDescent="0.25">
      <c r="A23" s="57" t="str">
        <f>IF(ISERROR(VLOOKUP(C23,ListaContratos!$A$3:$I$236,6,0)),0,(VLOOKUP(C23,ListaContratos!$A$3:$I$236,6,0)))</f>
        <v>PENSIONES</v>
      </c>
      <c r="B23" s="58" t="str">
        <f>IF(ISERROR(VLOOKUP(C23,ListaContratos!$A$4:$I$233,9,0)),0,(VLOOKUP(C23,ListaContratos!$A$4:$I$233,9,0)))</f>
        <v>Gestion</v>
      </c>
      <c r="C23">
        <v>2000218</v>
      </c>
      <c r="D23" s="59" t="str">
        <f>+IFERROR(VLOOKUP(C23,ListaContratos!$A$1:$I$281,4,0),0)</f>
        <v>SANTEMP60</v>
      </c>
      <c r="E23" s="49">
        <f>IF(ISERROR(VLOOKUP(C23,FRONT!$P$5:$Q$68,2,0)),0,(VLOOKUP(C23,FRONT!$P$5:$Q$68,2,0)))</f>
        <v>-4939.75</v>
      </c>
      <c r="F23" s="60">
        <f>IF(ISERROR(VLOOKUP(C23,RK!$J$5:$K$70,2,0)),0,(VLOOKUP(C23,RK!$J$5:$K$70,2,0)))</f>
        <v>0</v>
      </c>
      <c r="G23" s="61">
        <f t="shared" si="0"/>
        <v>-4939.75</v>
      </c>
      <c r="H23" s="154" t="s">
        <v>504</v>
      </c>
      <c r="I23" s="69"/>
      <c r="J23" s="9"/>
      <c r="K23" s="68"/>
      <c r="L23" s="9"/>
      <c r="M23" s="68"/>
      <c r="N23" s="9"/>
      <c r="O23" s="9"/>
      <c r="P23" s="9"/>
      <c r="Q23" s="9"/>
      <c r="R23" s="9"/>
      <c r="S23" s="9"/>
      <c r="T23" s="9"/>
    </row>
    <row r="24" spans="1:20" s="67" customFormat="1" ht="15" x14ac:dyDescent="0.25">
      <c r="A24" s="57" t="str">
        <f>IF(ISERROR(VLOOKUP(C24,ListaContratos!$A$3:$I$236,6,0)),0,(VLOOKUP(C24,ListaContratos!$A$3:$I$236,6,0)))</f>
        <v>PENSIONES</v>
      </c>
      <c r="B24" s="58" t="str">
        <f>IF(ISERROR(VLOOKUP(C24,ListaContratos!$A$4:$I$233,9,0)),0,(VLOOKUP(C24,ListaContratos!$A$4:$I$233,9,0)))</f>
        <v>Gestion</v>
      </c>
      <c r="C24">
        <v>2000220</v>
      </c>
      <c r="D24" s="59" t="str">
        <f>+IFERROR(VLOOKUP(C24,ListaContratos!$A$1:$I$281,4,0),0)</f>
        <v>SANTCIA50</v>
      </c>
      <c r="E24" s="49">
        <f>IF(ISERROR(VLOOKUP(C24,FRONT!$P$5:$Q$68,2,0)),0,(VLOOKUP(C24,FRONT!$P$5:$Q$68,2,0)))</f>
        <v>-90283.26</v>
      </c>
      <c r="F24" s="60">
        <f>IF(ISERROR(VLOOKUP(C24,RK!$J$5:$K$70,2,0)),0,(VLOOKUP(C24,RK!$J$5:$K$70,2,0)))</f>
        <v>0</v>
      </c>
      <c r="G24" s="61">
        <f t="shared" si="0"/>
        <v>-90283.26</v>
      </c>
      <c r="H24" s="154" t="s">
        <v>504</v>
      </c>
      <c r="I24" s="69"/>
      <c r="J24" s="9"/>
      <c r="K24" s="68"/>
      <c r="L24" s="9"/>
      <c r="M24" s="68"/>
      <c r="N24" s="9"/>
      <c r="O24" s="9"/>
      <c r="P24" s="9"/>
      <c r="Q24" s="9"/>
      <c r="R24" s="9"/>
      <c r="S24" s="9"/>
      <c r="T24" s="9"/>
    </row>
    <row r="25" spans="1:20" s="67" customFormat="1" ht="15" x14ac:dyDescent="0.25">
      <c r="A25" s="57" t="str">
        <f>IF(ISERROR(VLOOKUP(C25,ListaContratos!$A$3:$I$236,6,0)),0,(VLOOKUP(C25,ListaContratos!$A$3:$I$236,6,0)))</f>
        <v>PENSIONES</v>
      </c>
      <c r="B25" s="58" t="str">
        <f>IF(ISERROR(VLOOKUP(C25,ListaContratos!$A$4:$I$233,9,0)),0,(VLOOKUP(C25,ListaContratos!$A$4:$I$233,9,0)))</f>
        <v>Gestion</v>
      </c>
      <c r="C25">
        <v>2000221</v>
      </c>
      <c r="D25" s="59" t="str">
        <f>+IFERROR(VLOOKUP(C25,ListaContratos!$A$1:$I$281,4,0),0)</f>
        <v>SANTCIA60</v>
      </c>
      <c r="E25" s="49">
        <f>IF(ISERROR(VLOOKUP(C25,FRONT!$P$5:$Q$68,2,0)),0,(VLOOKUP(C25,FRONT!$P$5:$Q$68,2,0)))</f>
        <v>-14813.16</v>
      </c>
      <c r="F25" s="60">
        <f>IF(ISERROR(VLOOKUP(C25,RK!$J$5:$K$70,2,0)),0,(VLOOKUP(C25,RK!$J$5:$K$70,2,0)))</f>
        <v>0</v>
      </c>
      <c r="G25" s="61">
        <f t="shared" si="0"/>
        <v>-14813.16</v>
      </c>
      <c r="H25" s="154" t="s">
        <v>504</v>
      </c>
      <c r="I25" s="9"/>
      <c r="J25" s="9"/>
      <c r="K25" s="68"/>
      <c r="L25" s="9"/>
      <c r="M25" s="68"/>
      <c r="N25" s="9"/>
      <c r="O25" s="9"/>
      <c r="P25" s="9"/>
      <c r="Q25" s="9"/>
      <c r="R25" s="9"/>
      <c r="S25" s="9"/>
      <c r="T25" s="9"/>
    </row>
    <row r="26" spans="1:20" s="67" customFormat="1" ht="15" x14ac:dyDescent="0.25">
      <c r="A26" s="57" t="str">
        <f>IF(ISERROR(VLOOKUP(C26,ListaContratos!$A$3:$I$236,6,0)),0,(VLOOKUP(C26,ListaContratos!$A$3:$I$236,6,0)))</f>
        <v>PENSIONES</v>
      </c>
      <c r="B26" s="58" t="str">
        <f>IF(ISERROR(VLOOKUP(C26,ListaContratos!$A$4:$I$233,9,0)),0,(VLOOKUP(C26,ListaContratos!$A$4:$I$233,9,0)))</f>
        <v>Gestion</v>
      </c>
      <c r="C26">
        <v>2000905</v>
      </c>
      <c r="D26" s="59" t="str">
        <f>+IFERROR(VLOOKUP(C26,ListaContratos!$A$1:$I$281,4,0),0)</f>
        <v>FABRICA DE JABON LA CORONA</v>
      </c>
      <c r="E26" s="49">
        <f>IF(ISERROR(VLOOKUP(C26,FRONT!$P$5:$Q$68,2,0)),0,(VLOOKUP(C26,FRONT!$P$5:$Q$68,2,0)))</f>
        <v>2718867.31</v>
      </c>
      <c r="F26" s="60">
        <f>IF(ISERROR(VLOOKUP(C26,RK!$J$5:$K$70,2,0)),0,(VLOOKUP(C26,RK!$J$5:$K$70,2,0)))</f>
        <v>2718867.3099999996</v>
      </c>
      <c r="G26" s="61">
        <f t="shared" si="0"/>
        <v>0</v>
      </c>
      <c r="H26" s="154"/>
      <c r="I26" s="9"/>
      <c r="J26" s="9"/>
      <c r="K26" s="68"/>
      <c r="L26" s="9"/>
      <c r="M26" s="68"/>
      <c r="N26" s="9"/>
      <c r="O26" s="9"/>
      <c r="P26" s="9"/>
      <c r="Q26" s="9"/>
      <c r="R26" s="9"/>
      <c r="S26" s="9"/>
      <c r="T26" s="9"/>
    </row>
    <row r="27" spans="1:20" s="67" customFormat="1" ht="30" x14ac:dyDescent="0.25">
      <c r="A27" s="57" t="str">
        <f>IF(ISERROR(VLOOKUP(C27,ListaContratos!$A$3:$I$236,6,0)),0,(VLOOKUP(C27,ListaContratos!$A$3:$I$236,6,0)))</f>
        <v>F AHORRO</v>
      </c>
      <c r="B27" s="58" t="str">
        <f>IF(ISERROR(VLOOKUP(C27,ListaContratos!$A$4:$I$233,9,0)),0,(VLOOKUP(C27,ListaContratos!$A$4:$I$233,9,0)))</f>
        <v>Gestion</v>
      </c>
      <c r="C27">
        <v>2001049</v>
      </c>
      <c r="D27" s="59" t="str">
        <f>+IFERROR(VLOOKUP(C27,ListaContratos!$A$1:$I$281,4,0),0)</f>
        <v>Elevadores OTIS Fondo de Ahorro Sindicalizados</v>
      </c>
      <c r="E27" s="49">
        <f>IF(ISERROR(VLOOKUP(C27,FRONT!$P$5:$Q$68,2,0)),0,(VLOOKUP(C27,FRONT!$P$5:$Q$68,2,0)))</f>
        <v>992471.08</v>
      </c>
      <c r="F27" s="60">
        <f>IF(ISERROR(VLOOKUP(C27,RK!$J$5:$K$70,2,0)),0,(VLOOKUP(C27,RK!$J$5:$K$70,2,0)))</f>
        <v>0</v>
      </c>
      <c r="G27" s="61">
        <f t="shared" si="0"/>
        <v>992471.08</v>
      </c>
      <c r="H27" s="154" t="s">
        <v>150</v>
      </c>
      <c r="I27" s="9"/>
      <c r="J27" s="9"/>
      <c r="K27" s="68"/>
      <c r="L27" s="9"/>
      <c r="M27" s="68"/>
      <c r="N27" s="9"/>
      <c r="O27" s="9"/>
      <c r="P27" s="9"/>
      <c r="Q27" s="9"/>
      <c r="R27" s="9"/>
      <c r="S27" s="9"/>
      <c r="T27" s="9"/>
    </row>
    <row r="28" spans="1:20" s="67" customFormat="1" ht="30" x14ac:dyDescent="0.25">
      <c r="A28" s="57" t="str">
        <f>IF(ISERROR(VLOOKUP(C28,ListaContratos!$A$3:$I$236,6,0)),0,(VLOOKUP(C28,ListaContratos!$A$3:$I$236,6,0)))</f>
        <v>F AHORRO</v>
      </c>
      <c r="B28" s="58" t="str">
        <f>IF(ISERROR(VLOOKUP(C28,ListaContratos!$A$4:$I$233,9,0)),0,(VLOOKUP(C28,ListaContratos!$A$4:$I$233,9,0)))</f>
        <v>Gestion</v>
      </c>
      <c r="C28">
        <v>2001050</v>
      </c>
      <c r="D28" s="59" t="str">
        <f>+IFERROR(VLOOKUP(C28,ListaContratos!$A$1:$I$281,4,0),0)</f>
        <v>Elevadores OTIS Fondo de Ahorro Empleados</v>
      </c>
      <c r="E28" s="49">
        <f>IF(ISERROR(VLOOKUP(C28,FRONT!$P$5:$Q$68,2,0)),0,(VLOOKUP(C28,FRONT!$P$5:$Q$68,2,0)))</f>
        <v>1342934.68</v>
      </c>
      <c r="F28" s="60">
        <f>IF(ISERROR(VLOOKUP(C28,RK!$J$5:$K$70,2,0)),0,(VLOOKUP(C28,RK!$J$5:$K$70,2,0)))</f>
        <v>0</v>
      </c>
      <c r="G28" s="61">
        <f t="shared" si="0"/>
        <v>1342934.68</v>
      </c>
      <c r="H28" s="154" t="s">
        <v>150</v>
      </c>
      <c r="I28" s="9"/>
      <c r="J28" s="69"/>
      <c r="K28" s="68"/>
      <c r="L28" s="9"/>
      <c r="M28" s="68"/>
      <c r="N28" s="9"/>
      <c r="O28" s="9"/>
      <c r="P28" s="9"/>
      <c r="Q28" s="9"/>
      <c r="R28" s="9"/>
      <c r="S28" s="9"/>
      <c r="T28" s="9"/>
    </row>
    <row r="29" spans="1:20" s="67" customFormat="1" ht="14.25" customHeight="1" x14ac:dyDescent="0.25">
      <c r="A29" s="57" t="str">
        <f>IF(ISERROR(VLOOKUP(C29,ListaContratos!$A$3:$I$236,6,0)),0,(VLOOKUP(C29,ListaContratos!$A$3:$I$236,6,0)))</f>
        <v>F.AHORRO</v>
      </c>
      <c r="B29" s="58" t="str">
        <f>IF(ISERROR(VLOOKUP(C29,ListaContratos!$A$4:$I$233,9,0)),0,(VLOOKUP(C29,ListaContratos!$A$4:$I$233,9,0)))</f>
        <v>Gestion</v>
      </c>
      <c r="C29">
        <v>1000003291</v>
      </c>
      <c r="D29" s="59" t="str">
        <f>+IFERROR(VLOOKUP(C29,ListaContratos!$A$1:$I$281,4,0),0)</f>
        <v>Robert Bosch México Sistemas Automotrices, S.A. de C.V. (Fondo de Ahorro 61A0)</v>
      </c>
      <c r="E29" s="49">
        <f>IF(ISERROR(VLOOKUP(C29,FRONT!$P$5:$Q$68,2,0)),0,(VLOOKUP(C29,FRONT!$P$5:$Q$68,2,0)))</f>
        <v>1472872.78</v>
      </c>
      <c r="F29" s="60">
        <f>IF(ISERROR(VLOOKUP(C29,RK!$J$5:$K$70,2,0)),0,(VLOOKUP(C29,RK!$J$5:$K$70,2,0)))</f>
        <v>0</v>
      </c>
      <c r="G29" s="61">
        <f t="shared" si="0"/>
        <v>1472872.78</v>
      </c>
      <c r="H29" s="154" t="s">
        <v>150</v>
      </c>
      <c r="I29" s="9"/>
      <c r="J29" s="69"/>
      <c r="K29" s="68"/>
      <c r="L29" s="9"/>
      <c r="M29" s="68"/>
      <c r="N29" s="9"/>
      <c r="O29" s="9"/>
      <c r="P29" s="9"/>
      <c r="Q29" s="9"/>
      <c r="R29" s="9"/>
      <c r="S29" s="9"/>
      <c r="T29" s="9"/>
    </row>
    <row r="30" spans="1:20" s="67" customFormat="1" ht="30" x14ac:dyDescent="0.25">
      <c r="A30" s="57" t="str">
        <f>IF(ISERROR(VLOOKUP(C30,ListaContratos!$A$3:$I$236,6,0)),0,(VLOOKUP(C30,ListaContratos!$A$3:$I$236,6,0)))</f>
        <v>F.AHORRO</v>
      </c>
      <c r="B30" s="58" t="str">
        <f>IF(ISERROR(VLOOKUP(C30,ListaContratos!$A$4:$I$233,9,0)),0,(VLOOKUP(C30,ListaContratos!$A$4:$I$233,9,0)))</f>
        <v>Gestion</v>
      </c>
      <c r="C30">
        <v>1000003292</v>
      </c>
      <c r="D30" s="59" t="str">
        <f>+IFERROR(VLOOKUP(C30,ListaContratos!$A$1:$I$281,4,0),0)</f>
        <v>Robert Bosch México Sistemas Automotrices, S.A. de C.V. (Fondo de Ahorro 61A2)</v>
      </c>
      <c r="E30" s="49">
        <f>IF(ISERROR(VLOOKUP(C30,FRONT!$P$5:$Q$68,2,0)),0,(VLOOKUP(C30,FRONT!$P$5:$Q$68,2,0)))</f>
        <v>235415.54</v>
      </c>
      <c r="F30" s="60">
        <f>IF(ISERROR(VLOOKUP(C30,RK!$J$5:$K$70,2,0)),0,(VLOOKUP(C30,RK!$J$5:$K$70,2,0)))</f>
        <v>0</v>
      </c>
      <c r="G30" s="61">
        <f t="shared" si="0"/>
        <v>235415.54</v>
      </c>
      <c r="H30" s="154" t="s">
        <v>150</v>
      </c>
      <c r="I30" s="9"/>
      <c r="J30" s="69"/>
      <c r="K30" s="68"/>
      <c r="L30" s="9"/>
      <c r="M30" s="68"/>
      <c r="N30" s="9"/>
      <c r="O30" s="9"/>
      <c r="P30" s="9"/>
      <c r="Q30" s="9"/>
      <c r="R30" s="9"/>
      <c r="S30" s="9"/>
      <c r="T30" s="9"/>
    </row>
    <row r="31" spans="1:20" s="67" customFormat="1" ht="30" x14ac:dyDescent="0.25">
      <c r="A31" s="57" t="str">
        <f>IF(ISERROR(VLOOKUP(C31,ListaContratos!$A$3:$I$236,6,0)),0,(VLOOKUP(C31,ListaContratos!$A$3:$I$236,6,0)))</f>
        <v>F.AHORRO</v>
      </c>
      <c r="B31" s="58" t="str">
        <f>IF(ISERROR(VLOOKUP(C31,ListaContratos!$A$4:$I$233,9,0)),0,(VLOOKUP(C31,ListaContratos!$A$4:$I$233,9,0)))</f>
        <v>Gestion</v>
      </c>
      <c r="C31">
        <v>1000003293</v>
      </c>
      <c r="D31" s="59" t="str">
        <f>+IFERROR(VLOOKUP(C31,ListaContratos!$A$1:$I$281,4,0),0)</f>
        <v>Robert Bosch México Sistemas Automotrices, S.A. de C.V. (Fondo de Ahorro 61C0)</v>
      </c>
      <c r="E31" s="49">
        <f>IF(ISERROR(VLOOKUP(C31,FRONT!$P$5:$Q$68,2,0)),0,(VLOOKUP(C31,FRONT!$P$5:$Q$68,2,0)))</f>
        <v>1691448.94</v>
      </c>
      <c r="F31" s="60">
        <f>IF(ISERROR(VLOOKUP(C31,RK!$J$5:$K$70,2,0)),0,(VLOOKUP(C31,RK!$J$5:$K$70,2,0)))</f>
        <v>0</v>
      </c>
      <c r="G31" s="61">
        <f t="shared" si="0"/>
        <v>1691448.94</v>
      </c>
      <c r="H31" s="154" t="s">
        <v>150</v>
      </c>
      <c r="I31" s="9"/>
      <c r="J31" s="69"/>
      <c r="K31" s="68"/>
      <c r="L31" s="9"/>
      <c r="M31" s="68"/>
      <c r="N31" s="9"/>
      <c r="O31" s="9"/>
      <c r="P31" s="9"/>
      <c r="Q31" s="9"/>
      <c r="R31" s="9"/>
      <c r="S31" s="9"/>
      <c r="T31" s="9"/>
    </row>
    <row r="32" spans="1:20" s="67" customFormat="1" ht="30" x14ac:dyDescent="0.25">
      <c r="A32" s="57" t="str">
        <f>IF(ISERROR(VLOOKUP(C32,ListaContratos!$A$3:$I$236,6,0)),0,(VLOOKUP(C32,ListaContratos!$A$3:$I$236,6,0)))</f>
        <v>F.AHORRO</v>
      </c>
      <c r="B32" s="58" t="str">
        <f>IF(ISERROR(VLOOKUP(C32,ListaContratos!$A$4:$I$233,9,0)),0,(VLOOKUP(C32,ListaContratos!$A$4:$I$233,9,0)))</f>
        <v>Gestion</v>
      </c>
      <c r="C32">
        <v>1000003294</v>
      </c>
      <c r="D32" s="59" t="str">
        <f>+IFERROR(VLOOKUP(C32,ListaContratos!$A$1:$I$281,4,0),0)</f>
        <v>Robert Bosch México Sistemas de Seguridad, S.A. de C.V. (Fondo de Ahorro 1528)</v>
      </c>
      <c r="E32" s="49">
        <f>IF(ISERROR(VLOOKUP(C32,FRONT!$P$5:$Q$68,2,0)),0,(VLOOKUP(C32,FRONT!$P$5:$Q$68,2,0)))</f>
        <v>125643.36</v>
      </c>
      <c r="F32" s="60">
        <f>IF(ISERROR(VLOOKUP(C32,RK!$J$5:$K$70,2,0)),0,(VLOOKUP(C32,RK!$J$5:$K$70,2,0)))</f>
        <v>0</v>
      </c>
      <c r="G32" s="61">
        <f t="shared" si="0"/>
        <v>125643.36</v>
      </c>
      <c r="H32" s="154" t="s">
        <v>150</v>
      </c>
      <c r="I32" s="9"/>
      <c r="J32" s="69"/>
      <c r="K32" s="68"/>
      <c r="L32" s="9"/>
      <c r="M32" s="68"/>
      <c r="N32" s="9"/>
      <c r="O32" s="9"/>
      <c r="P32" s="9"/>
      <c r="Q32" s="9"/>
      <c r="R32" s="9"/>
      <c r="S32" s="9"/>
      <c r="T32" s="9"/>
    </row>
    <row r="33" spans="1:20" s="67" customFormat="1" ht="30" x14ac:dyDescent="0.25">
      <c r="A33" s="57" t="str">
        <f>IF(ISERROR(VLOOKUP(C33,ListaContratos!$A$3:$I$236,6,0)),0,(VLOOKUP(C33,ListaContratos!$A$3:$I$236,6,0)))</f>
        <v>F.AHORRO</v>
      </c>
      <c r="B33" s="58" t="str">
        <f>IF(ISERROR(VLOOKUP(C33,ListaContratos!$A$4:$I$233,9,0)),0,(VLOOKUP(C33,ListaContratos!$A$4:$I$233,9,0)))</f>
        <v>Gestion</v>
      </c>
      <c r="C33">
        <v>1000003295</v>
      </c>
      <c r="D33" s="59" t="str">
        <f>+IFERROR(VLOOKUP(C33,ListaContratos!$A$1:$I$281,4,0),0)</f>
        <v>Robert Bosch México, S.A. de C.V. (Fondo de Ahorro 25D0)</v>
      </c>
      <c r="E33" s="49">
        <f>IF(ISERROR(VLOOKUP(C33,FRONT!$P$5:$Q$68,2,0)),0,(VLOOKUP(C33,FRONT!$P$5:$Q$68,2,0)))</f>
        <v>127747.52</v>
      </c>
      <c r="F33" s="60">
        <f>IF(ISERROR(VLOOKUP(C33,RK!$J$5:$K$70,2,0)),0,(VLOOKUP(C33,RK!$J$5:$K$70,2,0)))</f>
        <v>0</v>
      </c>
      <c r="G33" s="61">
        <f t="shared" si="0"/>
        <v>127747.52</v>
      </c>
      <c r="H33" s="154" t="s">
        <v>150</v>
      </c>
      <c r="I33" s="9"/>
      <c r="J33" s="69"/>
      <c r="K33" s="68"/>
      <c r="L33" s="9"/>
      <c r="M33" s="68"/>
      <c r="N33" s="9"/>
      <c r="O33" s="9"/>
      <c r="P33" s="9"/>
      <c r="Q33" s="9"/>
      <c r="R33" s="9"/>
      <c r="S33" s="9"/>
      <c r="T33" s="9"/>
    </row>
    <row r="34" spans="1:20" s="67" customFormat="1" ht="30" x14ac:dyDescent="0.25">
      <c r="A34" s="57" t="str">
        <f>IF(ISERROR(VLOOKUP(C34,ListaContratos!$A$3:$I$236,6,0)),0,(VLOOKUP(C34,ListaContratos!$A$3:$I$236,6,0)))</f>
        <v>F.AHORRO</v>
      </c>
      <c r="B34" s="58" t="str">
        <f>IF(ISERROR(VLOOKUP(C34,ListaContratos!$A$4:$I$233,9,0)),0,(VLOOKUP(C34,ListaContratos!$A$4:$I$233,9,0)))</f>
        <v>Gestion</v>
      </c>
      <c r="C34">
        <v>1000003297</v>
      </c>
      <c r="D34" s="59" t="str">
        <f>+IFERROR(VLOOKUP(C34,ListaContratos!$A$1:$I$281,4,0),0)</f>
        <v>Robert Bosch Tool de México, S.A de C.V. (Fondo de Ahorro 41D0)</v>
      </c>
      <c r="E34" s="49">
        <f>IF(ISERROR(VLOOKUP(C34,FRONT!$P$5:$Q$68,2,0)),0,(VLOOKUP(C34,FRONT!$P$5:$Q$68,2,0)))</f>
        <v>495640.24</v>
      </c>
      <c r="F34" s="60">
        <f>IF(ISERROR(VLOOKUP(C34,RK!$J$5:$K$70,2,0)),0,(VLOOKUP(C34,RK!$J$5:$K$70,2,0)))</f>
        <v>0</v>
      </c>
      <c r="G34" s="61">
        <f t="shared" si="0"/>
        <v>495640.24</v>
      </c>
      <c r="H34" s="154" t="s">
        <v>150</v>
      </c>
      <c r="I34" s="9"/>
      <c r="J34" s="69"/>
      <c r="K34" s="68"/>
      <c r="L34" s="9"/>
      <c r="M34" s="68"/>
      <c r="N34" s="9"/>
      <c r="O34" s="9"/>
      <c r="P34" s="9"/>
      <c r="Q34" s="9"/>
      <c r="R34" s="9"/>
      <c r="S34" s="9"/>
      <c r="T34" s="9"/>
    </row>
    <row r="35" spans="1:20" s="67" customFormat="1" ht="30" x14ac:dyDescent="0.25">
      <c r="A35" s="57" t="str">
        <f>IF(ISERROR(VLOOKUP(C35,ListaContratos!$A$3:$I$236,6,0)),0,(VLOOKUP(C35,ListaContratos!$A$3:$I$236,6,0)))</f>
        <v>F.AHORRO</v>
      </c>
      <c r="B35" s="58" t="str">
        <f>IF(ISERROR(VLOOKUP(C35,ListaContratos!$A$4:$I$233,9,0)),0,(VLOOKUP(C35,ListaContratos!$A$4:$I$233,9,0)))</f>
        <v>Gestion</v>
      </c>
      <c r="C35">
        <v>1000003298</v>
      </c>
      <c r="D35" s="59" t="str">
        <f>+IFERROR(VLOOKUP(C35,ListaContratos!$A$1:$I$281,4,0),0)</f>
        <v>Robert Bosch México Sistemas de Frenos, S. de R.L. de C.V. (Fondo de Ahorro 61A1)</v>
      </c>
      <c r="E35" s="49">
        <f>IF(ISERROR(VLOOKUP(C35,FRONT!$P$5:$Q$68,2,0)),0,(VLOOKUP(C35,FRONT!$P$5:$Q$68,2,0)))</f>
        <v>1287842.92</v>
      </c>
      <c r="F35" s="60">
        <f>IF(ISERROR(VLOOKUP(C35,RK!$J$5:$K$70,2,0)),0,(VLOOKUP(C35,RK!$J$5:$K$70,2,0)))</f>
        <v>0</v>
      </c>
      <c r="G35" s="61">
        <f t="shared" si="0"/>
        <v>1287842.92</v>
      </c>
      <c r="H35" s="154" t="s">
        <v>150</v>
      </c>
      <c r="I35" s="9"/>
      <c r="J35" s="69"/>
      <c r="K35" s="68"/>
      <c r="L35" s="9"/>
      <c r="M35" s="68"/>
      <c r="N35" s="9"/>
      <c r="O35" s="9"/>
      <c r="P35" s="9"/>
      <c r="Q35" s="9"/>
      <c r="R35" s="9"/>
      <c r="S35" s="9"/>
      <c r="T35" s="9"/>
    </row>
    <row r="36" spans="1:20" s="67" customFormat="1" ht="30" x14ac:dyDescent="0.25">
      <c r="A36" s="57" t="str">
        <f>IF(ISERROR(VLOOKUP(C36,ListaContratos!$A$3:$I$236,6,0)),0,(VLOOKUP(C36,ListaContratos!$A$3:$I$236,6,0)))</f>
        <v>F.AHORRO</v>
      </c>
      <c r="B36" s="58">
        <f>IF(ISERROR(VLOOKUP(C36,ListaContratos!$A$4:$I$233,9,0)),0,(VLOOKUP(C36,ListaContratos!$A$4:$I$233,9,0)))</f>
        <v>0</v>
      </c>
      <c r="C36">
        <v>1000003299</v>
      </c>
      <c r="D36" s="59" t="str">
        <f>+IFERROR(VLOOKUP(C36,ListaContratos!$A$1:$I$281,4,0),0)</f>
        <v>Robert Bosch Sistemas Automotrices S.A de C.V (Fondo de Ahorro 6981)</v>
      </c>
      <c r="E36" s="49">
        <f>IF(ISERROR(VLOOKUP(C36,FRONT!$P$5:$Q$68,2,0)),0,(VLOOKUP(C36,FRONT!$P$5:$Q$68,2,0)))</f>
        <v>4306110.5199999996</v>
      </c>
      <c r="F36" s="60">
        <f>IF(ISERROR(VLOOKUP(C36,RK!$J$5:$K$70,2,0)),0,(VLOOKUP(C36,RK!$J$5:$K$70,2,0)))</f>
        <v>0</v>
      </c>
      <c r="G36" s="61">
        <f t="shared" si="0"/>
        <v>4306110.5199999996</v>
      </c>
      <c r="H36" s="154" t="s">
        <v>150</v>
      </c>
      <c r="I36" s="45"/>
      <c r="J36" s="69"/>
      <c r="K36" s="68"/>
      <c r="L36" s="9"/>
      <c r="M36" s="68"/>
      <c r="N36" s="9"/>
      <c r="O36" s="9"/>
      <c r="P36" s="9"/>
      <c r="Q36" s="9"/>
      <c r="R36" s="9"/>
      <c r="S36" s="9"/>
      <c r="T36" s="9"/>
    </row>
    <row r="37" spans="1:20" s="67" customFormat="1" ht="30" x14ac:dyDescent="0.25">
      <c r="A37" s="57" t="str">
        <f>IF(ISERROR(VLOOKUP(C37,ListaContratos!$A$3:$I$236,6,0)),0,(VLOOKUP(C37,ListaContratos!$A$3:$I$236,6,0)))</f>
        <v>F.AHORRO</v>
      </c>
      <c r="B37" s="58">
        <f>IF(ISERROR(VLOOKUP(C37,ListaContratos!$A$4:$I$233,9,0)),0,(VLOOKUP(C37,ListaContratos!$A$4:$I$233,9,0)))</f>
        <v>0</v>
      </c>
      <c r="C37">
        <v>1000003300</v>
      </c>
      <c r="D37" s="59" t="str">
        <f>+IFERROR(VLOOKUP(C37,ListaContratos!$A$1:$I$281,4,0),0)</f>
        <v>Robert Bosch Sistemas Automotrices S.A. de C.V. (Fondo de Ahorro 698W)</v>
      </c>
      <c r="E37" s="49">
        <f>IF(ISERROR(VLOOKUP(C37,FRONT!$P$5:$Q$68,2,0)),0,(VLOOKUP(C37,FRONT!$P$5:$Q$68,2,0)))</f>
        <v>79478.38</v>
      </c>
      <c r="F37" s="60">
        <f>IF(ISERROR(VLOOKUP(C37,RK!$J$5:$K$70,2,0)),0,(VLOOKUP(C37,RK!$J$5:$K$70,2,0)))</f>
        <v>0</v>
      </c>
      <c r="G37" s="61">
        <f t="shared" si="0"/>
        <v>79478.38</v>
      </c>
      <c r="H37" s="154" t="s">
        <v>150</v>
      </c>
      <c r="I37" s="9"/>
      <c r="J37" s="69"/>
      <c r="K37" s="68"/>
      <c r="L37" s="9"/>
      <c r="M37" s="68"/>
      <c r="N37" s="9"/>
      <c r="O37" s="9"/>
      <c r="P37" s="9"/>
      <c r="Q37" s="9"/>
      <c r="R37" s="9"/>
      <c r="S37" s="9"/>
      <c r="T37" s="9"/>
    </row>
    <row r="38" spans="1:20" s="67" customFormat="1" ht="30" x14ac:dyDescent="0.25">
      <c r="A38" s="57" t="str">
        <f>IF(ISERROR(VLOOKUP(C38,ListaContratos!$A$3:$I$236,6,0)),0,(VLOOKUP(C38,ListaContratos!$A$3:$I$236,6,0)))</f>
        <v>F.AHORRO</v>
      </c>
      <c r="B38" s="58">
        <f>IF(ISERROR(VLOOKUP(C38,ListaContratos!$A$4:$I$233,9,0)),0,(VLOOKUP(C38,ListaContratos!$A$4:$I$233,9,0)))</f>
        <v>0</v>
      </c>
      <c r="C38">
        <v>1000003301</v>
      </c>
      <c r="D38" s="59" t="str">
        <f>+IFERROR(VLOOKUP(C38,ListaContratos!$A$1:$I$281,4,0),0)</f>
        <v>Frenados Mexicanos, S.A. de C.V. (Fondo de Ahorro 86F0)</v>
      </c>
      <c r="E38" s="49">
        <f>IF(ISERROR(VLOOKUP(C38,FRONT!$P$5:$Q$68,2,0)),0,(VLOOKUP(C38,FRONT!$P$5:$Q$68,2,0)))</f>
        <v>282407.12</v>
      </c>
      <c r="F38" s="60">
        <f>IF(ISERROR(VLOOKUP(C38,RK!$J$5:$K$70,2,0)),0,(VLOOKUP(C38,RK!$J$5:$K$70,2,0)))</f>
        <v>0</v>
      </c>
      <c r="G38" s="61">
        <f t="shared" si="0"/>
        <v>282407.12</v>
      </c>
      <c r="H38" s="154" t="s">
        <v>150</v>
      </c>
      <c r="I38" s="135"/>
      <c r="J38" s="69"/>
      <c r="K38" s="68"/>
      <c r="L38" s="9"/>
      <c r="M38" s="68"/>
      <c r="N38" s="9"/>
      <c r="O38" s="9"/>
      <c r="P38" s="9"/>
      <c r="Q38" s="9"/>
      <c r="R38" s="9"/>
      <c r="S38" s="9"/>
      <c r="T38" s="9"/>
    </row>
    <row r="39" spans="1:20" s="67" customFormat="1" ht="15" customHeight="1" x14ac:dyDescent="0.25">
      <c r="A39" s="57">
        <f>IF(ISERROR(VLOOKUP(C39,ListaContratos!$A$3:$I$236,6,0)),0,(VLOOKUP(C39,ListaContratos!$A$3:$I$236,6,0)))</f>
        <v>0</v>
      </c>
      <c r="B39" s="58">
        <f>IF(ISERROR(VLOOKUP(C39,ListaContratos!$A$4:$I$233,9,0)),0,(VLOOKUP(C39,ListaContratos!$A$4:$I$233,9,0)))</f>
        <v>0</v>
      </c>
      <c r="C39">
        <v>1000003302</v>
      </c>
      <c r="D39" s="59" t="str">
        <f>+IFERROR(VLOOKUP(C39,ListaContratos!$A$1:$I$281,4,0),0)</f>
        <v>Robert Bosch S de RL de CV (Fondo de Ahorro 904W)</v>
      </c>
      <c r="E39" s="49">
        <f>IF(ISERROR(VLOOKUP(C39,FRONT!$P$5:$Q$68,2,0)),0,(VLOOKUP(C39,FRONT!$P$5:$Q$68,2,0)))</f>
        <v>6110.72</v>
      </c>
      <c r="F39" s="60">
        <f>IF(ISERROR(VLOOKUP(C39,RK!$J$5:$K$70,2,0)),0,(VLOOKUP(C39,RK!$J$5:$K$70,2,0)))</f>
        <v>0</v>
      </c>
      <c r="G39" s="61">
        <f t="shared" si="0"/>
        <v>6110.72</v>
      </c>
      <c r="H39" s="154" t="s">
        <v>150</v>
      </c>
      <c r="I39" s="9"/>
      <c r="J39" s="69"/>
      <c r="K39" s="68"/>
      <c r="L39" s="9"/>
      <c r="M39" s="68"/>
      <c r="N39" s="9"/>
      <c r="O39" s="9"/>
      <c r="P39" s="9"/>
      <c r="Q39" s="9"/>
      <c r="R39" s="9"/>
      <c r="S39" s="9"/>
      <c r="T39" s="9"/>
    </row>
    <row r="40" spans="1:20" s="67" customFormat="1" ht="30" x14ac:dyDescent="0.25">
      <c r="A40" s="57">
        <f>IF(ISERROR(VLOOKUP(C40,ListaContratos!$A$3:$I$236,6,0)),0,(VLOOKUP(C40,ListaContratos!$A$3:$I$236,6,0)))</f>
        <v>0</v>
      </c>
      <c r="B40" s="58">
        <f>IF(ISERROR(VLOOKUP(C40,ListaContratos!$A$4:$I$233,9,0)),0,(VLOOKUP(C40,ListaContratos!$A$4:$I$233,9,0)))</f>
        <v>0</v>
      </c>
      <c r="C40">
        <v>1000003305</v>
      </c>
      <c r="D40" s="59" t="str">
        <f>+IFERROR(VLOOKUP(C40,ListaContratos!$A$1:$I$281,4,0),0)</f>
        <v>Bosch Rexroth S.A. de C.V. (Fondo de Ahorro MX10)</v>
      </c>
      <c r="E40" s="49">
        <f>IF(ISERROR(VLOOKUP(C40,FRONT!$P$5:$Q$68,2,0)),0,(VLOOKUP(C40,FRONT!$P$5:$Q$68,2,0)))</f>
        <v>7164.8</v>
      </c>
      <c r="F40" s="60">
        <f>IF(ISERROR(VLOOKUP(C40,RK!$J$5:$K$70,2,0)),0,(VLOOKUP(C40,RK!$J$5:$K$70,2,0)))</f>
        <v>0</v>
      </c>
      <c r="G40" s="61">
        <f t="shared" si="0"/>
        <v>7164.8</v>
      </c>
      <c r="H40" s="154" t="s">
        <v>150</v>
      </c>
      <c r="I40" s="9"/>
      <c r="J40" s="69"/>
      <c r="K40" s="68"/>
      <c r="L40" s="9"/>
      <c r="M40" s="68"/>
      <c r="N40" s="9"/>
      <c r="O40" s="9"/>
      <c r="P40" s="9"/>
      <c r="Q40" s="9"/>
      <c r="R40" s="9"/>
      <c r="S40" s="9"/>
      <c r="T40" s="9"/>
    </row>
    <row r="41" spans="1:20" s="67" customFormat="1" ht="15" x14ac:dyDescent="0.25">
      <c r="A41" s="57">
        <f>IF(ISERROR(VLOOKUP(C41,ListaContratos!$A$3:$I$236,6,0)),0,(VLOOKUP(C41,ListaContratos!$A$3:$I$236,6,0)))</f>
        <v>0</v>
      </c>
      <c r="B41" s="58">
        <f>IF(ISERROR(VLOOKUP(C41,ListaContratos!$A$4:$I$233,9,0)),0,(VLOOKUP(C41,ListaContratos!$A$4:$I$233,9,0)))</f>
        <v>0</v>
      </c>
      <c r="C41">
        <v>1000003633</v>
      </c>
      <c r="D41" s="59" t="str">
        <f>+IFERROR(VLOOKUP(C41,ListaContratos!$A$1:$I$281,4,0),0)</f>
        <v>AUDI</v>
      </c>
      <c r="E41" s="49">
        <f>IF(ISERROR(VLOOKUP(C41,FRONT!$P$5:$Q$68,2,0)),0,(VLOOKUP(C41,FRONT!$P$5:$Q$68,2,0)))</f>
        <v>2814976.57</v>
      </c>
      <c r="F41" s="60">
        <f>IF(ISERROR(VLOOKUP(C41,RK!$J$5:$K$70,2,0)),0,(VLOOKUP(C41,RK!$J$5:$K$70,2,0)))</f>
        <v>0</v>
      </c>
      <c r="G41" s="61">
        <f t="shared" si="0"/>
        <v>2814976.57</v>
      </c>
      <c r="H41" s="154" t="s">
        <v>504</v>
      </c>
      <c r="I41" s="9"/>
      <c r="J41" s="69"/>
      <c r="K41" s="68"/>
      <c r="L41" s="9"/>
      <c r="M41" s="68"/>
      <c r="N41" s="9"/>
      <c r="O41" s="9"/>
      <c r="P41" s="9"/>
      <c r="Q41" s="9"/>
      <c r="R41" s="9"/>
      <c r="S41" s="9"/>
      <c r="T41" s="9"/>
    </row>
    <row r="42" spans="1:20" s="67" customFormat="1" ht="15" x14ac:dyDescent="0.25">
      <c r="A42" s="57" t="str">
        <f>IF(ISERROR(VLOOKUP(C42,ListaContratos!$A$3:$I$236,6,0)),0,(VLOOKUP(C42,ListaContratos!$A$3:$I$236,6,0)))</f>
        <v>PENSIONES</v>
      </c>
      <c r="B42" s="58" t="str">
        <f>IF(ISERROR(VLOOKUP(C42,ListaContratos!$A$4:$I$233,9,0)),0,(VLOOKUP(C42,ListaContratos!$A$4:$I$233,9,0)))</f>
        <v>Gestion</v>
      </c>
      <c r="C42">
        <v>65502313952</v>
      </c>
      <c r="D42" s="59" t="str">
        <f>+IFERROR(VLOOKUP(C42,ListaContratos!$A$1:$I$281,4,0),0)</f>
        <v>U.J.A.T UNIV TABASCO /BCO SANTANDER (MEXICO) FIDEICOMISO F/2001447-1</v>
      </c>
      <c r="E42" s="49">
        <f>IF(ISERROR(VLOOKUP(C42,FRONT!$P$5:$Q$68,2,0)),0,(VLOOKUP(C42,FRONT!$P$5:$Q$68,2,0)))</f>
        <v>-6607267.21</v>
      </c>
      <c r="F42" s="60">
        <f>IF(ISERROR(VLOOKUP(C42,RK!$J$5:$K$70,2,0)),0,(VLOOKUP(C42,RK!$J$5:$K$70,2,0)))</f>
        <v>-6607267.2099999962</v>
      </c>
      <c r="G42" s="61">
        <f t="shared" si="0"/>
        <v>0</v>
      </c>
      <c r="H42" s="154"/>
      <c r="I42" s="9"/>
      <c r="J42" s="69"/>
      <c r="K42" s="68"/>
      <c r="L42" s="9"/>
      <c r="M42" s="68"/>
      <c r="N42" s="9"/>
      <c r="O42" s="9"/>
      <c r="P42" s="9"/>
      <c r="Q42" s="9"/>
      <c r="R42" s="9"/>
      <c r="S42" s="9"/>
      <c r="T42" s="9"/>
    </row>
    <row r="43" spans="1:20" s="67" customFormat="1" ht="15" x14ac:dyDescent="0.25">
      <c r="A43" s="57" t="str">
        <f>IF(ISERROR(VLOOKUP(C43,ListaContratos!$A$3:$I$236,6,0)),0,(VLOOKUP(C43,ListaContratos!$A$3:$I$236,6,0)))</f>
        <v>F.AHORRO</v>
      </c>
      <c r="B43" s="58" t="str">
        <f>IF(ISERROR(VLOOKUP(C43,ListaContratos!$A$4:$I$233,9,0)),0,(VLOOKUP(C43,ListaContratos!$A$4:$I$233,9,0)))</f>
        <v>Gestion</v>
      </c>
      <c r="C43">
        <v>65509560409</v>
      </c>
      <c r="D43" s="59" t="str">
        <f>+IFERROR(VLOOKUP(C43,ListaContratos!$A$1:$I$281,4,0),0)</f>
        <v>Arcelor Mittal México</v>
      </c>
      <c r="E43" s="49">
        <f>IF(ISERROR(VLOOKUP(C43,FRONT!$P$5:$Q$68,2,0)),0,(VLOOKUP(C43,FRONT!$P$5:$Q$68,2,0)))</f>
        <v>-328774.36</v>
      </c>
      <c r="F43" s="60">
        <f>IF(ISERROR(VLOOKUP(C43,RK!$J$5:$K$70,2,0)),0,(VLOOKUP(C43,RK!$J$5:$K$70,2,0)))</f>
        <v>-328774.35999999993</v>
      </c>
      <c r="G43" s="61">
        <f t="shared" si="0"/>
        <v>0</v>
      </c>
      <c r="H43" s="154"/>
      <c r="I43" s="9"/>
      <c r="J43" s="69"/>
      <c r="K43" s="68"/>
      <c r="L43" s="9"/>
      <c r="M43" s="68"/>
      <c r="N43" s="9"/>
      <c r="O43" s="9"/>
      <c r="P43" s="9"/>
      <c r="Q43" s="9"/>
      <c r="R43" s="9"/>
      <c r="S43" s="9"/>
      <c r="T43" s="9"/>
    </row>
    <row r="44" spans="1:20" s="67" customFormat="1" ht="15" x14ac:dyDescent="0.25">
      <c r="A44" s="57">
        <f>IF(ISERROR(VLOOKUP(C44,ListaContratos!$A$3:$I$236,6,0)),0,(VLOOKUP(C44,ListaContratos!$A$3:$I$236,6,0)))</f>
        <v>0</v>
      </c>
      <c r="B44" s="58">
        <f>IF(ISERROR(VLOOKUP(C44,ListaContratos!$A$4:$I$233,9,0)),0,(VLOOKUP(C44,ListaContratos!$A$4:$I$233,9,0)))</f>
        <v>0</v>
      </c>
      <c r="C44" t="s">
        <v>1</v>
      </c>
      <c r="D44" s="59">
        <f>+IFERROR(VLOOKUP(C44,ListaContratos!$A$1:$I$281,4,0),0)</f>
        <v>0</v>
      </c>
      <c r="E44" s="49">
        <f>IF(ISERROR(VLOOKUP(C44,FRONT!$P$5:$Q$68,2,0)),0,(VLOOKUP(C44,FRONT!$P$5:$Q$68,2,0)))</f>
        <v>25827372.929999992</v>
      </c>
      <c r="F44" s="60">
        <f>IF(ISERROR(VLOOKUP(C44,RK!$J$5:$K$70,2,0)),0,(VLOOKUP(C44,RK!$J$5:$K$70,2,0)))</f>
        <v>47355749.459999815</v>
      </c>
      <c r="G44" s="61">
        <f t="shared" si="0"/>
        <v>-21528376.529999822</v>
      </c>
      <c r="H44" s="154"/>
      <c r="I44" s="9"/>
      <c r="J44" s="69"/>
      <c r="K44" s="68"/>
      <c r="L44" s="9"/>
      <c r="M44" s="68"/>
      <c r="N44" s="9"/>
      <c r="O44" s="9"/>
      <c r="P44" s="9"/>
      <c r="Q44" s="9"/>
      <c r="R44" s="9"/>
      <c r="S44" s="9"/>
      <c r="T44" s="9"/>
    </row>
    <row r="45" spans="1:20" s="67" customFormat="1" ht="15" x14ac:dyDescent="0.25">
      <c r="A45" s="57">
        <f>IF(ISERROR(VLOOKUP(C45,ListaContratos!$A$3:$I$236,6,0)),0,(VLOOKUP(C45,ListaContratos!$A$3:$I$236,6,0)))</f>
        <v>0</v>
      </c>
      <c r="B45" s="58">
        <f>IF(ISERROR(VLOOKUP(C45,ListaContratos!$A$4:$I$233,9,0)),0,(VLOOKUP(C45,ListaContratos!$A$4:$I$233,9,0)))</f>
        <v>0</v>
      </c>
      <c r="C45"/>
      <c r="D45" s="59">
        <f>+IFERROR(VLOOKUP(C45,ListaContratos!$A$1:$I$281,4,0),0)</f>
        <v>0</v>
      </c>
      <c r="E45" s="49">
        <f>IF(ISERROR(VLOOKUP(C45,FRONT!$P$5:$Q$68,2,0)),0,(VLOOKUP(C45,FRONT!$P$5:$Q$68,2,0)))</f>
        <v>0</v>
      </c>
      <c r="F45" s="60">
        <f>IF(ISERROR(VLOOKUP(C45,RK!$J$5:$K$70,2,0)),0,(VLOOKUP(C45,RK!$J$5:$K$70,2,0)))</f>
        <v>0</v>
      </c>
      <c r="G45" s="61">
        <f t="shared" si="0"/>
        <v>0</v>
      </c>
      <c r="H45" s="154"/>
      <c r="I45" s="9"/>
      <c r="J45" s="69"/>
      <c r="K45" s="68"/>
      <c r="L45" s="9"/>
      <c r="M45" s="68"/>
      <c r="N45" s="9"/>
      <c r="O45" s="9"/>
      <c r="P45" s="9"/>
      <c r="Q45" s="9"/>
      <c r="R45" s="9"/>
      <c r="S45" s="9"/>
      <c r="T45" s="9"/>
    </row>
    <row r="46" spans="1:20" s="67" customFormat="1" ht="15" x14ac:dyDescent="0.25">
      <c r="A46" s="57">
        <f>IF(ISERROR(VLOOKUP(C46,ListaContratos!$A$3:$I$236,6,0)),0,(VLOOKUP(C46,ListaContratos!$A$3:$I$236,6,0)))</f>
        <v>0</v>
      </c>
      <c r="B46" s="58">
        <f>IF(ISERROR(VLOOKUP(C46,ListaContratos!$A$4:$I$233,9,0)),0,(VLOOKUP(C46,ListaContratos!$A$4:$I$233,9,0)))</f>
        <v>0</v>
      </c>
      <c r="C46"/>
      <c r="D46" s="59">
        <f>+IFERROR(VLOOKUP(C46,ListaContratos!$A$1:$I$281,4,0),0)</f>
        <v>0</v>
      </c>
      <c r="E46" s="49">
        <f>IF(ISERROR(VLOOKUP(C46,FRONT!$P$5:$Q$68,2,0)),0,(VLOOKUP(C46,FRONT!$P$5:$Q$68,2,0)))</f>
        <v>0</v>
      </c>
      <c r="F46" s="60">
        <f>IF(ISERROR(VLOOKUP(C46,RK!$J$5:$K$70,2,0)),0,(VLOOKUP(C46,RK!$J$5:$K$70,2,0)))</f>
        <v>0</v>
      </c>
      <c r="G46" s="61">
        <f t="shared" si="0"/>
        <v>0</v>
      </c>
      <c r="H46" s="154"/>
      <c r="I46" s="9"/>
      <c r="J46" s="69"/>
      <c r="K46" s="68"/>
      <c r="L46" s="9"/>
      <c r="M46" s="68"/>
      <c r="N46" s="9"/>
      <c r="O46" s="9"/>
      <c r="P46" s="9"/>
      <c r="Q46" s="9"/>
      <c r="R46" s="9"/>
      <c r="S46" s="9"/>
      <c r="T46" s="9"/>
    </row>
    <row r="47" spans="1:20" s="67" customFormat="1" ht="15" x14ac:dyDescent="0.25">
      <c r="A47" s="57">
        <f>IF(ISERROR(VLOOKUP(C47,ListaContratos!$A$3:$I$236,6,0)),0,(VLOOKUP(C47,ListaContratos!$A$3:$I$236,6,0)))</f>
        <v>0</v>
      </c>
      <c r="B47" s="58">
        <f>IF(ISERROR(VLOOKUP(C47,ListaContratos!$A$4:$I$233,9,0)),0,(VLOOKUP(C47,ListaContratos!$A$4:$I$233,9,0)))</f>
        <v>0</v>
      </c>
      <c r="C47"/>
      <c r="D47" s="59">
        <f>+IFERROR(VLOOKUP(C47,ListaContratos!$A$1:$I$281,4,0),0)</f>
        <v>0</v>
      </c>
      <c r="E47" s="49">
        <f>IF(ISERROR(VLOOKUP(C47,FRONT!$P$5:$Q$68,2,0)),0,(VLOOKUP(C47,FRONT!$P$5:$Q$68,2,0)))</f>
        <v>0</v>
      </c>
      <c r="F47" s="60">
        <f>IF(ISERROR(VLOOKUP(C47,RK!$J$5:$K$70,2,0)),0,(VLOOKUP(C47,RK!$J$5:$K$70,2,0)))</f>
        <v>0</v>
      </c>
      <c r="G47" s="61">
        <f t="shared" si="0"/>
        <v>0</v>
      </c>
      <c r="H47" s="154"/>
      <c r="I47" s="9"/>
      <c r="J47" s="69"/>
      <c r="K47" s="68"/>
      <c r="L47" s="9"/>
      <c r="M47" s="68"/>
      <c r="N47" s="9"/>
      <c r="O47" s="9"/>
      <c r="P47" s="9"/>
      <c r="Q47" s="9"/>
      <c r="R47" s="9"/>
      <c r="S47" s="9"/>
      <c r="T47" s="9"/>
    </row>
    <row r="48" spans="1:20" s="67" customFormat="1" ht="15" x14ac:dyDescent="0.25">
      <c r="A48" s="57">
        <f>IF(ISERROR(VLOOKUP(C48,ListaContratos!$A$3:$I$236,6,0)),0,(VLOOKUP(C48,ListaContratos!$A$3:$I$236,6,0)))</f>
        <v>0</v>
      </c>
      <c r="B48" s="58">
        <f>IF(ISERROR(VLOOKUP(C48,ListaContratos!$A$4:$I$233,9,0)),0,(VLOOKUP(C48,ListaContratos!$A$4:$I$233,9,0)))</f>
        <v>0</v>
      </c>
      <c r="C48"/>
      <c r="D48" s="59">
        <f>+IFERROR(VLOOKUP(C48,ListaContratos!$A$1:$I$281,4,0),0)</f>
        <v>0</v>
      </c>
      <c r="E48" s="49">
        <f>IF(ISERROR(VLOOKUP(C48,FRONT!$P$5:$Q$68,2,0)),0,(VLOOKUP(C48,FRONT!$P$5:$Q$68,2,0)))</f>
        <v>0</v>
      </c>
      <c r="F48" s="60">
        <f>IF(ISERROR(VLOOKUP(C48,RK!$J$5:$K$70,2,0)),0,(VLOOKUP(C48,RK!$J$5:$K$70,2,0)))</f>
        <v>0</v>
      </c>
      <c r="G48" s="61">
        <f t="shared" si="0"/>
        <v>0</v>
      </c>
      <c r="H48" s="154"/>
      <c r="I48" s="9"/>
      <c r="J48" s="69"/>
      <c r="K48" s="68"/>
      <c r="L48" s="9"/>
      <c r="M48" s="68"/>
      <c r="N48" s="9"/>
      <c r="O48" s="9"/>
      <c r="P48" s="9"/>
      <c r="Q48" s="9"/>
      <c r="R48" s="9"/>
      <c r="S48" s="9"/>
      <c r="T48" s="9"/>
    </row>
    <row r="49" spans="1:20" s="67" customFormat="1" ht="15" x14ac:dyDescent="0.25">
      <c r="A49" s="57">
        <f>IF(ISERROR(VLOOKUP(C49,ListaContratos!$A$3:$I$236,6,0)),0,(VLOOKUP(C49,ListaContratos!$A$3:$I$236,6,0)))</f>
        <v>0</v>
      </c>
      <c r="B49" s="58">
        <f>IF(ISERROR(VLOOKUP(C49,ListaContratos!$A$4:$I$233,9,0)),0,(VLOOKUP(C49,ListaContratos!$A$4:$I$233,9,0)))</f>
        <v>0</v>
      </c>
      <c r="C49"/>
      <c r="D49" s="59">
        <f>+IFERROR(VLOOKUP(C49,ListaContratos!$A$1:$I$281,4,0),0)</f>
        <v>0</v>
      </c>
      <c r="E49" s="49">
        <f>IF(ISERROR(VLOOKUP(C49,FRONT!$P$5:$Q$68,2,0)),0,(VLOOKUP(C49,FRONT!$P$5:$Q$68,2,0)))</f>
        <v>0</v>
      </c>
      <c r="F49" s="60">
        <f>IF(ISERROR(VLOOKUP(C49,RK!$J$5:$K$70,2,0)),0,(VLOOKUP(C49,RK!$J$5:$K$70,2,0)))</f>
        <v>0</v>
      </c>
      <c r="G49" s="61">
        <f t="shared" si="0"/>
        <v>0</v>
      </c>
      <c r="H49" s="154"/>
      <c r="I49" s="9"/>
      <c r="J49" s="69"/>
      <c r="K49" s="68"/>
      <c r="L49" s="9"/>
      <c r="M49" s="68"/>
      <c r="N49" s="9"/>
      <c r="O49" s="9"/>
      <c r="P49" s="9"/>
      <c r="Q49" s="9"/>
      <c r="R49" s="9"/>
      <c r="S49" s="9"/>
      <c r="T49" s="9"/>
    </row>
    <row r="50" spans="1:20" s="67" customFormat="1" ht="15" x14ac:dyDescent="0.25">
      <c r="A50" s="57">
        <f>IF(ISERROR(VLOOKUP(C50,ListaContratos!$A$3:$I$236,6,0)),0,(VLOOKUP(C50,ListaContratos!$A$3:$I$236,6,0)))</f>
        <v>0</v>
      </c>
      <c r="B50" s="58">
        <f>IF(ISERROR(VLOOKUP(C50,ListaContratos!$A$4:$I$233,9,0)),0,(VLOOKUP(C50,ListaContratos!$A$4:$I$233,9,0)))</f>
        <v>0</v>
      </c>
      <c r="C50"/>
      <c r="D50" s="59">
        <f>+IFERROR(VLOOKUP(C50,ListaContratos!$A$1:$I$281,4,0),0)</f>
        <v>0</v>
      </c>
      <c r="E50" s="49">
        <f>IF(ISERROR(VLOOKUP(C50,FRONT!$P$5:$Q$68,2,0)),0,(VLOOKUP(C50,FRONT!$P$5:$Q$68,2,0)))</f>
        <v>0</v>
      </c>
      <c r="F50" s="60">
        <f>IF(ISERROR(VLOOKUP(C50,RK!$J$5:$K$70,2,0)),0,(VLOOKUP(C50,RK!$J$5:$K$70,2,0)))</f>
        <v>0</v>
      </c>
      <c r="G50" s="61">
        <f t="shared" si="0"/>
        <v>0</v>
      </c>
      <c r="H50" s="154"/>
      <c r="I50" s="9"/>
      <c r="J50" s="69"/>
      <c r="K50" s="68"/>
      <c r="L50" s="9"/>
      <c r="M50" s="68"/>
      <c r="N50" s="9"/>
      <c r="O50" s="9"/>
      <c r="P50" s="9"/>
      <c r="Q50" s="9"/>
      <c r="R50" s="9"/>
      <c r="S50" s="9"/>
      <c r="T50" s="9"/>
    </row>
    <row r="51" spans="1:20" s="67" customFormat="1" ht="15" x14ac:dyDescent="0.25">
      <c r="A51" s="57">
        <f>IF(ISERROR(VLOOKUP(C51,ListaContratos!$A$3:$I$236,6,0)),0,(VLOOKUP(C51,ListaContratos!$A$3:$I$236,6,0)))</f>
        <v>0</v>
      </c>
      <c r="B51" s="58">
        <f>IF(ISERROR(VLOOKUP(C51,ListaContratos!$A$4:$I$233,9,0)),0,(VLOOKUP(C51,ListaContratos!$A$4:$I$233,9,0)))</f>
        <v>0</v>
      </c>
      <c r="C51"/>
      <c r="D51" s="59">
        <f>+IFERROR(VLOOKUP(C51,ListaContratos!$A$1:$I$281,4,0),0)</f>
        <v>0</v>
      </c>
      <c r="E51" s="49">
        <f>IF(ISERROR(VLOOKUP(C51,FRONT!$P$5:$Q$68,2,0)),0,(VLOOKUP(C51,FRONT!$P$5:$Q$68,2,0)))</f>
        <v>0</v>
      </c>
      <c r="F51" s="60">
        <f>IF(ISERROR(VLOOKUP(C51,RK!$J$5:$K$70,2,0)),0,(VLOOKUP(C51,RK!$J$5:$K$70,2,0)))</f>
        <v>0</v>
      </c>
      <c r="G51" s="61">
        <f t="shared" si="0"/>
        <v>0</v>
      </c>
      <c r="H51" s="154"/>
      <c r="I51" s="9"/>
      <c r="J51" s="9"/>
      <c r="K51" s="68"/>
      <c r="L51" s="9"/>
      <c r="M51" s="68"/>
      <c r="N51" s="9"/>
      <c r="O51" s="9"/>
      <c r="P51" s="9"/>
      <c r="Q51" s="9"/>
      <c r="R51" s="9"/>
      <c r="S51" s="9"/>
      <c r="T51" s="9"/>
    </row>
    <row r="52" spans="1:20" s="67" customFormat="1" ht="15" x14ac:dyDescent="0.25">
      <c r="A52" s="57">
        <f>IF(ISERROR(VLOOKUP(C52,ListaContratos!$A$3:$I$236,6,0)),0,(VLOOKUP(C52,ListaContratos!$A$3:$I$236,6,0)))</f>
        <v>0</v>
      </c>
      <c r="B52" s="58">
        <f>IF(ISERROR(VLOOKUP(C52,ListaContratos!$A$4:$I$233,9,0)),0,(VLOOKUP(C52,ListaContratos!$A$4:$I$233,9,0)))</f>
        <v>0</v>
      </c>
      <c r="C52"/>
      <c r="D52" s="59">
        <f>+IFERROR(VLOOKUP(C52,ListaContratos!$A$1:$I$281,4,0),0)</f>
        <v>0</v>
      </c>
      <c r="E52" s="49">
        <f>IF(ISERROR(VLOOKUP(C52,FRONT!$P$5:$Q$68,2,0)),0,(VLOOKUP(C52,FRONT!$P$5:$Q$68,2,0)))</f>
        <v>0</v>
      </c>
      <c r="F52" s="60">
        <f>IF(ISERROR(VLOOKUP(C52,RK!$J$5:$K$70,2,0)),0,(VLOOKUP(C52,RK!$J$5:$K$70,2,0)))</f>
        <v>0</v>
      </c>
      <c r="G52" s="61">
        <f t="shared" si="0"/>
        <v>0</v>
      </c>
      <c r="H52" s="154"/>
      <c r="I52" s="9"/>
      <c r="J52" s="9"/>
      <c r="K52" s="68"/>
      <c r="L52" s="9"/>
      <c r="M52" s="68"/>
      <c r="N52" s="9"/>
      <c r="O52" s="9"/>
      <c r="P52" s="9"/>
      <c r="Q52" s="9"/>
      <c r="R52" s="9"/>
      <c r="S52" s="9"/>
      <c r="T52" s="9"/>
    </row>
    <row r="53" spans="1:20" s="67" customFormat="1" ht="15" x14ac:dyDescent="0.25">
      <c r="A53" s="57">
        <f>IF(ISERROR(VLOOKUP(C53,ListaContratos!$A$3:$I$236,6,0)),0,(VLOOKUP(C53,ListaContratos!$A$3:$I$236,6,0)))</f>
        <v>0</v>
      </c>
      <c r="B53" s="58">
        <f>IF(ISERROR(VLOOKUP(C53,ListaContratos!$A$4:$I$233,9,0)),0,(VLOOKUP(C53,ListaContratos!$A$4:$I$233,9,0)))</f>
        <v>0</v>
      </c>
      <c r="C53"/>
      <c r="D53" s="59">
        <f>+IFERROR(VLOOKUP(C53,ListaContratos!$A$1:$I$281,4,0),0)</f>
        <v>0</v>
      </c>
      <c r="E53" s="49">
        <f>IF(ISERROR(VLOOKUP(C53,FRONT!$P$5:$Q$68,2,0)),0,(VLOOKUP(C53,FRONT!$P$5:$Q$68,2,0)))</f>
        <v>0</v>
      </c>
      <c r="F53" s="60">
        <f>IF(ISERROR(VLOOKUP(C53,RK!$J$5:$K$70,2,0)),0,(VLOOKUP(C53,RK!$J$5:$K$70,2,0)))</f>
        <v>0</v>
      </c>
      <c r="G53" s="61">
        <f t="shared" si="0"/>
        <v>0</v>
      </c>
      <c r="H53" s="154"/>
      <c r="I53" s="9"/>
      <c r="J53" s="9"/>
      <c r="K53" s="68"/>
      <c r="L53" s="9"/>
      <c r="M53" s="68"/>
      <c r="N53" s="9"/>
      <c r="O53" s="9"/>
      <c r="P53" s="9"/>
      <c r="Q53" s="9"/>
      <c r="R53" s="9"/>
      <c r="S53" s="9"/>
      <c r="T53" s="9"/>
    </row>
    <row r="54" spans="1:20" s="67" customFormat="1" ht="15" x14ac:dyDescent="0.25">
      <c r="A54" s="57">
        <f>IF(ISERROR(VLOOKUP(C54,ListaContratos!$A$3:$I$236,6,0)),0,(VLOOKUP(C54,ListaContratos!$A$3:$I$236,6,0)))</f>
        <v>0</v>
      </c>
      <c r="B54" s="58">
        <f>IF(ISERROR(VLOOKUP(C54,ListaContratos!$A$4:$I$233,9,0)),0,(VLOOKUP(C54,ListaContratos!$A$4:$I$233,9,0)))</f>
        <v>0</v>
      </c>
      <c r="C54"/>
      <c r="D54" s="59">
        <f>+IFERROR(VLOOKUP(C54,ListaContratos!$A$1:$I$281,4,0),0)</f>
        <v>0</v>
      </c>
      <c r="E54" s="49">
        <f>IF(ISERROR(VLOOKUP(C54,FRONT!$P$5:$Q$68,2,0)),0,(VLOOKUP(C54,FRONT!$P$5:$Q$68,2,0)))</f>
        <v>0</v>
      </c>
      <c r="F54" s="60">
        <f>IF(ISERROR(VLOOKUP(C54,RK!$J$5:$K$70,2,0)),0,(VLOOKUP(C54,RK!$J$5:$K$70,2,0)))</f>
        <v>0</v>
      </c>
      <c r="G54" s="61">
        <f t="shared" si="0"/>
        <v>0</v>
      </c>
      <c r="H54" s="154"/>
      <c r="I54" s="9"/>
      <c r="J54" s="9"/>
      <c r="K54" s="68"/>
      <c r="L54" s="9"/>
      <c r="M54" s="68"/>
      <c r="N54" s="9"/>
      <c r="O54" s="9"/>
      <c r="P54" s="9"/>
      <c r="Q54" s="9"/>
      <c r="R54" s="9"/>
      <c r="S54" s="9"/>
      <c r="T54" s="9"/>
    </row>
    <row r="55" spans="1:20" s="67" customFormat="1" ht="15" x14ac:dyDescent="0.25">
      <c r="A55" s="57">
        <f>IF(ISERROR(VLOOKUP(C55,ListaContratos!$A$3:$I$236,6,0)),0,(VLOOKUP(C55,ListaContratos!$A$3:$I$236,6,0)))</f>
        <v>0</v>
      </c>
      <c r="B55" s="58">
        <f>IF(ISERROR(VLOOKUP(C55,ListaContratos!$A$4:$I$233,9,0)),0,(VLOOKUP(C55,ListaContratos!$A$4:$I$233,9,0)))</f>
        <v>0</v>
      </c>
      <c r="C55"/>
      <c r="D55" s="59">
        <f>+IFERROR(VLOOKUP(C55,ListaContratos!$A$1:$I$281,4,0),0)</f>
        <v>0</v>
      </c>
      <c r="E55" s="49">
        <f>IF(ISERROR(VLOOKUP(C55,FRONT!$P$5:$Q$68,2,0)),0,(VLOOKUP(C55,FRONT!$P$5:$Q$68,2,0)))</f>
        <v>0</v>
      </c>
      <c r="F55" s="60">
        <f>IF(ISERROR(VLOOKUP(C55,RK!$J$5:$K$70,2,0)),0,(VLOOKUP(C55,RK!$J$5:$K$70,2,0)))</f>
        <v>0</v>
      </c>
      <c r="G55" s="61">
        <f t="shared" si="0"/>
        <v>0</v>
      </c>
      <c r="H55" s="154"/>
      <c r="I55" s="9"/>
      <c r="J55" s="9"/>
      <c r="K55" s="68"/>
      <c r="L55" s="9"/>
      <c r="M55" s="68"/>
      <c r="N55" s="9"/>
      <c r="O55" s="9"/>
      <c r="P55" s="9"/>
      <c r="Q55" s="9"/>
      <c r="R55" s="9"/>
      <c r="S55" s="9"/>
      <c r="T55" s="9"/>
    </row>
    <row r="56" spans="1:20" s="67" customFormat="1" ht="15" x14ac:dyDescent="0.25">
      <c r="A56" s="57">
        <f>IF(ISERROR(VLOOKUP(C56,ListaContratos!$A$3:$I$236,6,0)),0,(VLOOKUP(C56,ListaContratos!$A$3:$I$236,6,0)))</f>
        <v>0</v>
      </c>
      <c r="B56" s="58">
        <f>IF(ISERROR(VLOOKUP(C56,ListaContratos!$A$4:$I$233,9,0)),0,(VLOOKUP(C56,ListaContratos!$A$4:$I$233,9,0)))</f>
        <v>0</v>
      </c>
      <c r="C56"/>
      <c r="D56" s="59">
        <f>+IFERROR(VLOOKUP(C56,ListaContratos!$A$1:$I$281,4,0),0)</f>
        <v>0</v>
      </c>
      <c r="E56" s="49">
        <f>IF(ISERROR(VLOOKUP(C56,FRONT!$P$5:$Q$68,2,0)),0,(VLOOKUP(C56,FRONT!$P$5:$Q$68,2,0)))</f>
        <v>0</v>
      </c>
      <c r="F56" s="60">
        <f>IF(ISERROR(VLOOKUP(C56,RK!$J$5:$K$70,2,0)),0,(VLOOKUP(C56,RK!$J$5:$K$70,2,0)))</f>
        <v>0</v>
      </c>
      <c r="G56" s="61">
        <f t="shared" si="0"/>
        <v>0</v>
      </c>
      <c r="H56" s="154"/>
      <c r="I56" s="9"/>
      <c r="J56" s="9"/>
      <c r="K56" s="68"/>
      <c r="L56" s="9"/>
      <c r="M56" s="68"/>
      <c r="N56" s="9"/>
      <c r="O56" s="9"/>
      <c r="P56" s="9"/>
      <c r="Q56" s="9"/>
      <c r="R56" s="9"/>
      <c r="S56" s="9"/>
      <c r="T56" s="9"/>
    </row>
    <row r="57" spans="1:20" s="67" customFormat="1" ht="15" x14ac:dyDescent="0.25">
      <c r="A57" s="57">
        <f>IF(ISERROR(VLOOKUP(C57,ListaContratos!$A$3:$I$236,6,0)),0,(VLOOKUP(C57,ListaContratos!$A$3:$I$236,6,0)))</f>
        <v>0</v>
      </c>
      <c r="B57" s="58">
        <f>IF(ISERROR(VLOOKUP(C57,ListaContratos!$A$4:$I$233,9,0)),0,(VLOOKUP(C57,ListaContratos!$A$4:$I$233,9,0)))</f>
        <v>0</v>
      </c>
      <c r="C57"/>
      <c r="D57" s="59">
        <f>+IFERROR(VLOOKUP(C57,ListaContratos!$A$1:$I$281,4,0),0)</f>
        <v>0</v>
      </c>
      <c r="E57" s="49">
        <f>IF(ISERROR(VLOOKUP(C57,FRONT!$P$5:$Q$68,2,0)),0,(VLOOKUP(C57,FRONT!$P$5:$Q$68,2,0)))</f>
        <v>0</v>
      </c>
      <c r="F57" s="60">
        <f>IF(ISERROR(VLOOKUP(C57,RK!$J$5:$K$70,2,0)),0,(VLOOKUP(C57,RK!$J$5:$K$70,2,0)))</f>
        <v>0</v>
      </c>
      <c r="G57" s="61">
        <f t="shared" si="0"/>
        <v>0</v>
      </c>
      <c r="H57" s="154"/>
      <c r="I57" s="9"/>
      <c r="J57" s="9"/>
      <c r="K57" s="68"/>
      <c r="L57" s="9"/>
      <c r="M57" s="68"/>
      <c r="N57" s="9"/>
      <c r="O57" s="9"/>
      <c r="P57" s="9"/>
      <c r="Q57" s="9"/>
      <c r="R57" s="9"/>
      <c r="S57" s="9"/>
      <c r="T57" s="9"/>
    </row>
    <row r="58" spans="1:20" s="67" customFormat="1" ht="15" x14ac:dyDescent="0.25">
      <c r="A58" s="57">
        <f>IF(ISERROR(VLOOKUP(C58,ListaContratos!$A$3:$I$236,6,0)),0,(VLOOKUP(C58,ListaContratos!$A$3:$I$236,6,0)))</f>
        <v>0</v>
      </c>
      <c r="B58" s="58">
        <f>IF(ISERROR(VLOOKUP(C58,ListaContratos!$A$4:$I$233,9,0)),0,(VLOOKUP(C58,ListaContratos!$A$4:$I$233,9,0)))</f>
        <v>0</v>
      </c>
      <c r="C58"/>
      <c r="D58" s="59">
        <f>+IFERROR(VLOOKUP(C58,ListaContratos!$A$1:$I$281,4,0),0)</f>
        <v>0</v>
      </c>
      <c r="E58" s="49">
        <f>IF(ISERROR(VLOOKUP(C58,FRONT!$P$5:$Q$68,2,0)),0,(VLOOKUP(C58,FRONT!$P$5:$Q$68,2,0)))</f>
        <v>0</v>
      </c>
      <c r="F58" s="60">
        <f>IF(ISERROR(VLOOKUP(C58,RK!$J$5:$K$70,2,0)),0,(VLOOKUP(C58,RK!$J$5:$K$70,2,0)))</f>
        <v>0</v>
      </c>
      <c r="G58" s="61">
        <f t="shared" si="0"/>
        <v>0</v>
      </c>
      <c r="H58" s="154"/>
      <c r="I58" s="9"/>
      <c r="J58" s="9"/>
      <c r="K58" s="68"/>
      <c r="L58" s="9"/>
      <c r="M58" s="68"/>
      <c r="N58" s="9"/>
      <c r="O58" s="9"/>
      <c r="P58" s="9"/>
      <c r="Q58" s="9"/>
      <c r="R58" s="9"/>
      <c r="S58" s="9"/>
      <c r="T58" s="9"/>
    </row>
    <row r="59" spans="1:20" s="67" customFormat="1" ht="15" x14ac:dyDescent="0.25">
      <c r="A59" s="57">
        <f>IF(ISERROR(VLOOKUP(C59,ListaContratos!$A$3:$I$236,6,0)),0,(VLOOKUP(C59,ListaContratos!$A$3:$I$236,6,0)))</f>
        <v>0</v>
      </c>
      <c r="B59" s="58">
        <f>IF(ISERROR(VLOOKUP(C59,ListaContratos!$A$4:$I$233,9,0)),0,(VLOOKUP(C59,ListaContratos!$A$4:$I$233,9,0)))</f>
        <v>0</v>
      </c>
      <c r="C59"/>
      <c r="D59" s="59">
        <f>+IFERROR(VLOOKUP(C59,ListaContratos!$A$1:$I$281,4,0),0)</f>
        <v>0</v>
      </c>
      <c r="E59" s="49">
        <f>IF(ISERROR(VLOOKUP(C59,FRONT!$P$5:$Q$68,2,0)),0,(VLOOKUP(C59,FRONT!$P$5:$Q$68,2,0)))</f>
        <v>0</v>
      </c>
      <c r="F59" s="60">
        <f>IF(ISERROR(VLOOKUP(C59,RK!$J$5:$K$70,2,0)),0,(VLOOKUP(C59,RK!$J$5:$K$70,2,0)))</f>
        <v>0</v>
      </c>
      <c r="G59" s="61">
        <f t="shared" si="0"/>
        <v>0</v>
      </c>
      <c r="H59" s="154"/>
      <c r="I59" s="9"/>
      <c r="J59" s="9"/>
      <c r="K59" s="68"/>
      <c r="L59" s="9"/>
      <c r="M59" s="68"/>
      <c r="N59" s="9"/>
      <c r="O59" s="9"/>
      <c r="P59" s="9"/>
      <c r="Q59" s="9"/>
      <c r="R59" s="9"/>
      <c r="S59" s="9"/>
      <c r="T59" s="9"/>
    </row>
    <row r="60" spans="1:20" s="67" customFormat="1" ht="15" x14ac:dyDescent="0.25">
      <c r="A60" s="57">
        <f>IF(ISERROR(VLOOKUP(C60,ListaContratos!$A$3:$I$236,6,0)),0,(VLOOKUP(C60,ListaContratos!$A$3:$I$236,6,0)))</f>
        <v>0</v>
      </c>
      <c r="B60" s="58">
        <f>IF(ISERROR(VLOOKUP(C60,ListaContratos!$A$4:$I$233,9,0)),0,(VLOOKUP(C60,ListaContratos!$A$4:$I$233,9,0)))</f>
        <v>0</v>
      </c>
      <c r="C60"/>
      <c r="D60" s="59">
        <f>+IFERROR(VLOOKUP(C60,ListaContratos!$A$1:$I$281,4,0),0)</f>
        <v>0</v>
      </c>
      <c r="E60" s="49">
        <f>IF(ISERROR(VLOOKUP(C60,FRONT!$P$5:$Q$68,2,0)),0,(VLOOKUP(C60,FRONT!$P$5:$Q$68,2,0)))</f>
        <v>0</v>
      </c>
      <c r="F60" s="60">
        <f>IF(ISERROR(VLOOKUP(C60,RK!$J$5:$K$70,2,0)),0,(VLOOKUP(C60,RK!$J$5:$K$70,2,0)))</f>
        <v>0</v>
      </c>
      <c r="G60" s="61">
        <f t="shared" si="0"/>
        <v>0</v>
      </c>
      <c r="H60" s="154"/>
      <c r="I60" s="9"/>
      <c r="J60" s="9"/>
      <c r="K60" s="68"/>
      <c r="L60" s="9"/>
      <c r="M60" s="68"/>
      <c r="N60" s="9"/>
      <c r="O60" s="9"/>
      <c r="P60" s="9"/>
      <c r="Q60" s="9"/>
      <c r="R60" s="9"/>
      <c r="S60" s="9"/>
      <c r="T60" s="9"/>
    </row>
    <row r="61" spans="1:20" s="67" customFormat="1" ht="14.25" customHeight="1" x14ac:dyDescent="0.25">
      <c r="A61" s="57">
        <f>IF(ISERROR(VLOOKUP(C61,ListaContratos!$A$3:$I$236,6,0)),0,(VLOOKUP(C61,ListaContratos!$A$3:$I$236,6,0)))</f>
        <v>0</v>
      </c>
      <c r="B61" s="58">
        <f>IF(ISERROR(VLOOKUP(C61,ListaContratos!$A$4:$I$233,9,0)),0,(VLOOKUP(C61,ListaContratos!$A$4:$I$233,9,0)))</f>
        <v>0</v>
      </c>
      <c r="C61"/>
      <c r="D61" s="59">
        <f>+IFERROR(VLOOKUP(C61,ListaContratos!$A$1:$I$281,4,0),0)</f>
        <v>0</v>
      </c>
      <c r="E61" s="49">
        <f>IF(ISERROR(VLOOKUP(C61,FRONT!$P$5:$Q$68,2,0)),0,(VLOOKUP(C61,FRONT!$P$5:$Q$68,2,0)))</f>
        <v>0</v>
      </c>
      <c r="F61" s="60">
        <f>IF(ISERROR(VLOOKUP(C61,RK!$J$5:$K$70,2,0)),0,(VLOOKUP(C61,RK!$J$5:$K$70,2,0)))</f>
        <v>0</v>
      </c>
      <c r="G61" s="61">
        <f t="shared" si="0"/>
        <v>0</v>
      </c>
      <c r="H61" s="154"/>
      <c r="I61" s="9"/>
      <c r="J61" s="9"/>
      <c r="K61" s="68"/>
      <c r="L61" s="9"/>
      <c r="M61" s="68"/>
      <c r="N61" s="9"/>
      <c r="O61" s="9"/>
      <c r="P61" s="9"/>
      <c r="Q61" s="9"/>
      <c r="R61" s="9"/>
      <c r="S61" s="9"/>
      <c r="T61" s="9"/>
    </row>
    <row r="62" spans="1:20" s="67" customFormat="1" ht="14.25" customHeight="1" x14ac:dyDescent="0.25">
      <c r="A62" s="57">
        <f>IF(ISERROR(VLOOKUP(C62,ListaContratos!$A$3:$I$236,6,0)),0,(VLOOKUP(C62,ListaContratos!$A$3:$I$236,6,0)))</f>
        <v>0</v>
      </c>
      <c r="B62" s="58">
        <f>IF(ISERROR(VLOOKUP(C62,ListaContratos!$A$4:$I$233,9,0)),0,(VLOOKUP(C62,ListaContratos!$A$4:$I$233,9,0)))</f>
        <v>0</v>
      </c>
      <c r="C62"/>
      <c r="D62" s="59">
        <f>+IFERROR(VLOOKUP(C62,ListaContratos!$A$1:$I$281,4,0),0)</f>
        <v>0</v>
      </c>
      <c r="E62" s="49">
        <f>IF(ISERROR(VLOOKUP(C62,FRONT!$P$5:$Q$68,2,0)),0,(VLOOKUP(C62,FRONT!$P$5:$Q$68,2,0)))</f>
        <v>0</v>
      </c>
      <c r="F62" s="60">
        <f>IF(ISERROR(VLOOKUP(C62,RK!$J$5:$K$70,2,0)),0,(VLOOKUP(C62,RK!$J$5:$K$70,2,0)))</f>
        <v>0</v>
      </c>
      <c r="G62" s="61">
        <f t="shared" si="0"/>
        <v>0</v>
      </c>
      <c r="H62" s="154"/>
      <c r="I62" s="9"/>
      <c r="J62" s="9"/>
      <c r="K62" s="68"/>
      <c r="L62" s="9"/>
      <c r="M62" s="68"/>
      <c r="N62" s="9"/>
      <c r="O62" s="9"/>
      <c r="P62" s="9"/>
      <c r="Q62" s="9"/>
      <c r="R62" s="9"/>
      <c r="S62" s="9"/>
      <c r="T62" s="9"/>
    </row>
    <row r="63" spans="1:20" s="67" customFormat="1" ht="14.25" customHeight="1" x14ac:dyDescent="0.25">
      <c r="A63" s="57">
        <f>IF(ISERROR(VLOOKUP(C63,ListaContratos!$A$3:$I$236,6,0)),0,(VLOOKUP(C63,ListaContratos!$A$3:$I$236,6,0)))</f>
        <v>0</v>
      </c>
      <c r="B63" s="58">
        <f>IF(ISERROR(VLOOKUP(C63,ListaContratos!$A$4:$I$233,9,0)),0,(VLOOKUP(C63,ListaContratos!$A$4:$I$233,9,0)))</f>
        <v>0</v>
      </c>
      <c r="C63"/>
      <c r="D63" s="59">
        <f>+IFERROR(VLOOKUP(C63,ListaContratos!$A$1:$I$281,4,0),0)</f>
        <v>0</v>
      </c>
      <c r="E63" s="49">
        <f>IF(ISERROR(VLOOKUP(C63,FRONT!$P$5:$Q$68,2,0)),0,(VLOOKUP(C63,FRONT!$P$5:$Q$68,2,0)))</f>
        <v>0</v>
      </c>
      <c r="F63" s="60">
        <f>IF(ISERROR(VLOOKUP(C63,RK!$J$5:$K$70,2,0)),0,(VLOOKUP(C63,RK!$J$5:$K$70,2,0)))</f>
        <v>0</v>
      </c>
      <c r="G63" s="61">
        <f t="shared" si="0"/>
        <v>0</v>
      </c>
      <c r="H63" s="154"/>
      <c r="I63" s="9"/>
      <c r="J63" s="9"/>
      <c r="K63" s="68"/>
      <c r="L63" s="9"/>
      <c r="M63" s="68"/>
      <c r="N63" s="9"/>
      <c r="O63" s="9"/>
      <c r="P63" s="9"/>
      <c r="Q63" s="9"/>
      <c r="R63" s="9"/>
      <c r="S63" s="9"/>
      <c r="T63" s="9"/>
    </row>
    <row r="64" spans="1:20" s="67" customFormat="1" ht="14.25" customHeight="1" x14ac:dyDescent="0.25">
      <c r="A64" s="57">
        <f>IF(ISERROR(VLOOKUP(C64,ListaContratos!$A$3:$I$236,6,0)),0,(VLOOKUP(C64,ListaContratos!$A$3:$I$236,6,0)))</f>
        <v>0</v>
      </c>
      <c r="B64" s="58">
        <f>IF(ISERROR(VLOOKUP(C64,ListaContratos!$A$4:$I$233,9,0)),0,(VLOOKUP(C64,ListaContratos!$A$4:$I$233,9,0)))</f>
        <v>0</v>
      </c>
      <c r="C64"/>
      <c r="D64" s="59">
        <f>+IFERROR(VLOOKUP(C64,ListaContratos!$A$1:$I$281,4,0),0)</f>
        <v>0</v>
      </c>
      <c r="E64" s="49">
        <f>IF(ISERROR(VLOOKUP(C64,FRONT!$P$5:$Q$68,2,0)),0,(VLOOKUP(C64,FRONT!$P$5:$Q$68,2,0)))</f>
        <v>0</v>
      </c>
      <c r="F64" s="60">
        <f>IF(ISERROR(VLOOKUP(C64,RK!$J$5:$K$70,2,0)),0,(VLOOKUP(C64,RK!$J$5:$K$70,2,0)))</f>
        <v>0</v>
      </c>
      <c r="G64" s="61">
        <f t="shared" si="0"/>
        <v>0</v>
      </c>
      <c r="H64" s="154"/>
      <c r="I64" s="9"/>
      <c r="J64" s="9"/>
      <c r="K64" s="68"/>
      <c r="L64" s="9"/>
      <c r="M64" s="68"/>
      <c r="N64" s="9"/>
      <c r="O64" s="9"/>
      <c r="P64" s="9"/>
      <c r="Q64" s="9"/>
      <c r="R64" s="9"/>
      <c r="S64" s="9"/>
      <c r="T64" s="9"/>
    </row>
    <row r="65" spans="1:20" s="67" customFormat="1" ht="14.25" customHeight="1" x14ac:dyDescent="0.25">
      <c r="A65" s="57">
        <f>IF(ISERROR(VLOOKUP(C65,ListaContratos!$A$3:$I$236,6,0)),0,(VLOOKUP(C65,ListaContratos!$A$3:$I$236,6,0)))</f>
        <v>0</v>
      </c>
      <c r="B65" s="58">
        <f>IF(ISERROR(VLOOKUP(C65,ListaContratos!$A$4:$I$233,9,0)),0,(VLOOKUP(C65,ListaContratos!$A$4:$I$233,9,0)))</f>
        <v>0</v>
      </c>
      <c r="C65"/>
      <c r="D65" s="59">
        <f>+IFERROR(VLOOKUP(C65,ListaContratos!$A$1:$I$281,4,0),0)</f>
        <v>0</v>
      </c>
      <c r="E65" s="49">
        <f>IF(ISERROR(VLOOKUP(C65,FRONT!$P$5:$Q$68,2,0)),0,(VLOOKUP(C65,FRONT!$P$5:$Q$68,2,0)))</f>
        <v>0</v>
      </c>
      <c r="F65" s="60">
        <f>IF(ISERROR(VLOOKUP(C65,RK!$J$5:$K$70,2,0)),0,(VLOOKUP(C65,RK!$J$5:$K$70,2,0)))</f>
        <v>0</v>
      </c>
      <c r="G65" s="61">
        <f t="shared" si="0"/>
        <v>0</v>
      </c>
      <c r="H65" s="154"/>
      <c r="I65" s="9"/>
      <c r="J65" s="9"/>
      <c r="K65" s="68"/>
      <c r="L65" s="9"/>
      <c r="M65" s="68"/>
      <c r="N65" s="9"/>
      <c r="O65" s="9"/>
      <c r="P65" s="9"/>
      <c r="Q65" s="9"/>
      <c r="R65" s="9"/>
      <c r="S65" s="9"/>
      <c r="T65" s="9"/>
    </row>
    <row r="66" spans="1:20" s="67" customFormat="1" ht="14.25" customHeight="1" x14ac:dyDescent="0.25">
      <c r="A66" s="57">
        <f>IF(ISERROR(VLOOKUP(C66,ListaContratos!$A$3:$I$236,6,0)),0,(VLOOKUP(C66,ListaContratos!$A$3:$I$236,6,0)))</f>
        <v>0</v>
      </c>
      <c r="B66" s="58">
        <f>IF(ISERROR(VLOOKUP(C66,ListaContratos!$A$4:$I$233,9,0)),0,(VLOOKUP(C66,ListaContratos!$A$4:$I$233,9,0)))</f>
        <v>0</v>
      </c>
      <c r="C66"/>
      <c r="D66" s="59">
        <f>+IFERROR(VLOOKUP(C66,ListaContratos!$A$1:$I$281,4,0),0)</f>
        <v>0</v>
      </c>
      <c r="E66" s="49">
        <f>IF(ISERROR(VLOOKUP(C66,FRONT!$P$5:$Q$68,2,0)),0,(VLOOKUP(C66,FRONT!$P$5:$Q$68,2,0)))</f>
        <v>0</v>
      </c>
      <c r="F66" s="60">
        <f>IF(ISERROR(VLOOKUP(C66,RK!$J$5:$K$70,2,0)),0,(VLOOKUP(C66,RK!$J$5:$K$70,2,0)))</f>
        <v>0</v>
      </c>
      <c r="G66" s="61">
        <f t="shared" si="0"/>
        <v>0</v>
      </c>
      <c r="H66" s="154"/>
      <c r="I66" s="9"/>
      <c r="J66" s="9"/>
      <c r="K66" s="68"/>
      <c r="L66" s="9"/>
      <c r="M66" s="68"/>
      <c r="N66" s="9"/>
      <c r="O66" s="9"/>
      <c r="P66" s="9"/>
      <c r="Q66" s="9"/>
      <c r="R66" s="9"/>
      <c r="S66" s="9"/>
      <c r="T66" s="9"/>
    </row>
    <row r="67" spans="1:20" s="67" customFormat="1" ht="14.25" customHeight="1" x14ac:dyDescent="0.25">
      <c r="A67" s="57">
        <f>IF(ISERROR(VLOOKUP(C67,ListaContratos!$A$3:$I$236,6,0)),0,(VLOOKUP(C67,ListaContratos!$A$3:$I$236,6,0)))</f>
        <v>0</v>
      </c>
      <c r="B67" s="58">
        <f>IF(ISERROR(VLOOKUP(C67,ListaContratos!$A$4:$I$233,9,0)),0,(VLOOKUP(C67,ListaContratos!$A$4:$I$233,9,0)))</f>
        <v>0</v>
      </c>
      <c r="C67"/>
      <c r="D67" s="59">
        <f>+IFERROR(VLOOKUP(C67,ListaContratos!$A$1:$I$281,4,0),0)</f>
        <v>0</v>
      </c>
      <c r="E67" s="49">
        <f>IF(ISERROR(VLOOKUP(C67,FRONT!$P$5:$Q$68,2,0)),0,(VLOOKUP(C67,FRONT!$P$5:$Q$68,2,0)))</f>
        <v>0</v>
      </c>
      <c r="F67" s="60">
        <f>IF(ISERROR(VLOOKUP(C67,RK!$J$5:$K$70,2,0)),0,(VLOOKUP(C67,RK!$J$5:$K$70,2,0)))</f>
        <v>0</v>
      </c>
      <c r="G67" s="61">
        <f t="shared" si="0"/>
        <v>0</v>
      </c>
      <c r="H67" s="154"/>
      <c r="I67" s="9"/>
      <c r="J67" s="9"/>
      <c r="K67" s="68"/>
      <c r="L67" s="9"/>
      <c r="M67" s="68"/>
      <c r="N67" s="9"/>
      <c r="O67" s="9"/>
      <c r="P67" s="9"/>
      <c r="Q67" s="9"/>
      <c r="R67" s="9"/>
      <c r="S67" s="9"/>
      <c r="T67" s="9"/>
    </row>
    <row r="68" spans="1:20" s="67" customFormat="1" ht="14.25" customHeight="1" x14ac:dyDescent="0.25">
      <c r="A68" s="57">
        <f>IF(ISERROR(VLOOKUP(C68,ListaContratos!$A$3:$I$236,6,0)),0,(VLOOKUP(C68,ListaContratos!$A$3:$I$236,6,0)))</f>
        <v>0</v>
      </c>
      <c r="B68" s="58">
        <f>IF(ISERROR(VLOOKUP(C68,ListaContratos!$A$4:$I$233,9,0)),0,(VLOOKUP(C68,ListaContratos!$A$4:$I$233,9,0)))</f>
        <v>0</v>
      </c>
      <c r="C68"/>
      <c r="D68" s="59">
        <f>+IFERROR(VLOOKUP(C68,ListaContratos!$A$1:$I$281,4,0),0)</f>
        <v>0</v>
      </c>
      <c r="E68" s="49">
        <f>IF(ISERROR(VLOOKUP(C68,FRONT!$P$5:$Q$68,2,0)),0,(VLOOKUP(C68,FRONT!$P$5:$Q$68,2,0)))</f>
        <v>0</v>
      </c>
      <c r="F68" s="60">
        <f>IF(ISERROR(VLOOKUP(C68,RK!$J$5:$K$70,2,0)),0,(VLOOKUP(C68,RK!$J$5:$K$70,2,0)))</f>
        <v>0</v>
      </c>
      <c r="G68" s="61">
        <f t="shared" ref="G68:G80" si="1">+E68-F68</f>
        <v>0</v>
      </c>
      <c r="H68" s="154"/>
      <c r="I68" s="9"/>
      <c r="J68" s="9"/>
      <c r="K68" s="68"/>
      <c r="L68" s="9"/>
      <c r="M68" s="68"/>
      <c r="N68" s="9"/>
      <c r="O68" s="9"/>
      <c r="P68" s="9"/>
      <c r="Q68" s="9"/>
      <c r="R68" s="9"/>
      <c r="S68" s="9"/>
      <c r="T68" s="9"/>
    </row>
    <row r="69" spans="1:20" s="67" customFormat="1" ht="14.25" customHeight="1" x14ac:dyDescent="0.25">
      <c r="A69" s="57">
        <f>IF(ISERROR(VLOOKUP(C69,ListaContratos!$A$3:$I$236,6,0)),0,(VLOOKUP(C69,ListaContratos!$A$3:$I$236,6,0)))</f>
        <v>0</v>
      </c>
      <c r="B69" s="58">
        <f>IF(ISERROR(VLOOKUP(C69,ListaContratos!$A$4:$I$233,9,0)),0,(VLOOKUP(C69,ListaContratos!$A$4:$I$233,9,0)))</f>
        <v>0</v>
      </c>
      <c r="C69"/>
      <c r="D69" s="59">
        <f>+IFERROR(VLOOKUP(C69,ListaContratos!$A$1:$I$281,4,0),0)</f>
        <v>0</v>
      </c>
      <c r="E69" s="49">
        <f>IF(ISERROR(VLOOKUP(C69,FRONT!$P$5:$Q$68,2,0)),0,(VLOOKUP(C69,FRONT!$P$5:$Q$68,2,0)))</f>
        <v>0</v>
      </c>
      <c r="F69" s="60">
        <f>IF(ISERROR(VLOOKUP(C69,RK!$J$5:$K$70,2,0)),0,(VLOOKUP(C69,RK!$J$5:$K$70,2,0)))</f>
        <v>0</v>
      </c>
      <c r="G69" s="61">
        <f t="shared" si="1"/>
        <v>0</v>
      </c>
      <c r="H69" s="154"/>
      <c r="I69" s="9"/>
      <c r="J69" s="9"/>
      <c r="K69" s="68"/>
      <c r="L69" s="9"/>
      <c r="M69" s="68"/>
      <c r="N69" s="9"/>
      <c r="O69" s="9"/>
      <c r="P69" s="9"/>
      <c r="Q69" s="9"/>
      <c r="R69" s="9"/>
      <c r="S69" s="9"/>
      <c r="T69" s="9"/>
    </row>
    <row r="70" spans="1:20" s="67" customFormat="1" ht="14.25" customHeight="1" x14ac:dyDescent="0.25">
      <c r="A70" s="57">
        <f>IF(ISERROR(VLOOKUP(C70,ListaContratos!$A$3:$I$236,6,0)),0,(VLOOKUP(C70,ListaContratos!$A$3:$I$236,6,0)))</f>
        <v>0</v>
      </c>
      <c r="B70" s="58">
        <f>IF(ISERROR(VLOOKUP(C70,ListaContratos!$A$4:$I$233,9,0)),0,(VLOOKUP(C70,ListaContratos!$A$4:$I$233,9,0)))</f>
        <v>0</v>
      </c>
      <c r="C70"/>
      <c r="D70" s="59">
        <f>+IFERROR(VLOOKUP(C70,ListaContratos!$A$1:$I$281,4,0),0)</f>
        <v>0</v>
      </c>
      <c r="E70" s="49">
        <f>IF(ISERROR(VLOOKUP(C70,FRONT!$P$5:$Q$68,2,0)),0,(VLOOKUP(C70,FRONT!$P$5:$Q$68,2,0)))</f>
        <v>0</v>
      </c>
      <c r="F70" s="60">
        <f>IF(ISERROR(VLOOKUP(C70,RK!$J$5:$K$70,2,0)),0,(VLOOKUP(C70,RK!$J$5:$K$70,2,0)))</f>
        <v>0</v>
      </c>
      <c r="G70" s="61">
        <f t="shared" si="1"/>
        <v>0</v>
      </c>
      <c r="H70" s="154"/>
      <c r="I70" s="9"/>
      <c r="J70" s="9"/>
      <c r="K70" s="68"/>
      <c r="L70" s="9"/>
      <c r="M70" s="68"/>
      <c r="N70" s="9"/>
      <c r="O70" s="9"/>
      <c r="P70" s="9"/>
      <c r="Q70" s="9"/>
      <c r="R70" s="9"/>
      <c r="S70" s="9"/>
      <c r="T70" s="9"/>
    </row>
    <row r="71" spans="1:20" s="67" customFormat="1" ht="14.25" customHeight="1" x14ac:dyDescent="0.25">
      <c r="A71" s="57">
        <f>IF(ISERROR(VLOOKUP(C71,ListaContratos!$A$3:$I$236,6,0)),0,(VLOOKUP(C71,ListaContratos!$A$3:$I$236,6,0)))</f>
        <v>0</v>
      </c>
      <c r="B71" s="58">
        <f>IF(ISERROR(VLOOKUP(C71,ListaContratos!$A$4:$I$233,9,0)),0,(VLOOKUP(C71,ListaContratos!$A$4:$I$233,9,0)))</f>
        <v>0</v>
      </c>
      <c r="C71"/>
      <c r="D71" s="59">
        <f>+IFERROR(VLOOKUP(C71,ListaContratos!$A$1:$I$281,4,0),0)</f>
        <v>0</v>
      </c>
      <c r="E71" s="49">
        <f>IF(ISERROR(VLOOKUP(C71,FRONT!$P$5:$Q$68,2,0)),0,(VLOOKUP(C71,FRONT!$P$5:$Q$68,2,0)))</f>
        <v>0</v>
      </c>
      <c r="F71" s="60">
        <f>IF(ISERROR(VLOOKUP(C71,RK!$J$5:$K$70,2,0)),0,(VLOOKUP(C71,RK!$J$5:$K$70,2,0)))</f>
        <v>0</v>
      </c>
      <c r="G71" s="61">
        <f t="shared" si="1"/>
        <v>0</v>
      </c>
      <c r="H71" s="154"/>
      <c r="I71" s="9"/>
      <c r="J71" s="9"/>
      <c r="K71" s="68"/>
      <c r="L71" s="9"/>
      <c r="M71" s="68"/>
      <c r="N71" s="9"/>
      <c r="O71" s="9"/>
      <c r="P71" s="9"/>
      <c r="Q71" s="9"/>
      <c r="R71" s="9"/>
      <c r="S71" s="9"/>
      <c r="T71" s="9"/>
    </row>
    <row r="72" spans="1:20" s="67" customFormat="1" ht="14.25" customHeight="1" x14ac:dyDescent="0.25">
      <c r="A72" s="57">
        <f>IF(ISERROR(VLOOKUP(C72,ListaContratos!$A$3:$I$236,6,0)),0,(VLOOKUP(C72,ListaContratos!$A$3:$I$236,6,0)))</f>
        <v>0</v>
      </c>
      <c r="B72" s="58">
        <f>IF(ISERROR(VLOOKUP(C72,ListaContratos!$A$4:$I$233,9,0)),0,(VLOOKUP(C72,ListaContratos!$A$4:$I$233,9,0)))</f>
        <v>0</v>
      </c>
      <c r="C72"/>
      <c r="D72" s="59">
        <f>+IFERROR(VLOOKUP(C72,ListaContratos!$A$1:$I$281,4,0),0)</f>
        <v>0</v>
      </c>
      <c r="E72" s="49">
        <f>IF(ISERROR(VLOOKUP(C72,FRONT!$P$5:$Q$68,2,0)),0,(VLOOKUP(C72,FRONT!$P$5:$Q$68,2,0)))</f>
        <v>0</v>
      </c>
      <c r="F72" s="60">
        <f>IF(ISERROR(VLOOKUP(C72,RK!$J$5:$K$70,2,0)),0,(VLOOKUP(C72,RK!$J$5:$K$70,2,0)))</f>
        <v>0</v>
      </c>
      <c r="G72" s="61">
        <f t="shared" si="1"/>
        <v>0</v>
      </c>
      <c r="H72" s="154"/>
      <c r="I72" s="9"/>
      <c r="J72" s="9"/>
      <c r="K72" s="68"/>
      <c r="L72" s="9"/>
      <c r="M72" s="68"/>
      <c r="N72" s="9"/>
      <c r="O72" s="9"/>
      <c r="P72" s="9"/>
      <c r="Q72" s="9"/>
      <c r="R72" s="9"/>
      <c r="S72" s="9"/>
      <c r="T72" s="9"/>
    </row>
    <row r="73" spans="1:20" s="67" customFormat="1" ht="14.25" customHeight="1" x14ac:dyDescent="0.25">
      <c r="A73" s="57">
        <f>IF(ISERROR(VLOOKUP(C73,ListaContratos!$A$3:$I$236,6,0)),0,(VLOOKUP(C73,ListaContratos!$A$3:$I$236,6,0)))</f>
        <v>0</v>
      </c>
      <c r="B73" s="58">
        <f>IF(ISERROR(VLOOKUP(C73,ListaContratos!$A$4:$I$233,9,0)),0,(VLOOKUP(C73,ListaContratos!$A$4:$I$233,9,0)))</f>
        <v>0</v>
      </c>
      <c r="C73"/>
      <c r="D73" s="59">
        <f>+IFERROR(VLOOKUP(C73,ListaContratos!$A$1:$I$281,4,0),0)</f>
        <v>0</v>
      </c>
      <c r="E73" s="49">
        <f>IF(ISERROR(VLOOKUP(C73,FRONT!$P$5:$Q$68,2,0)),0,(VLOOKUP(C73,FRONT!$P$5:$Q$68,2,0)))</f>
        <v>0</v>
      </c>
      <c r="F73" s="60">
        <f>IF(ISERROR(VLOOKUP(C73,RK!$J$5:$K$70,2,0)),0,(VLOOKUP(C73,RK!$J$5:$K$70,2,0)))</f>
        <v>0</v>
      </c>
      <c r="G73" s="61">
        <f t="shared" si="1"/>
        <v>0</v>
      </c>
      <c r="H73" s="154"/>
      <c r="I73" s="9"/>
      <c r="J73" s="9"/>
      <c r="K73" s="68"/>
      <c r="L73" s="9"/>
      <c r="M73" s="68"/>
      <c r="N73" s="9"/>
      <c r="O73" s="9"/>
      <c r="P73" s="9"/>
      <c r="Q73" s="9"/>
      <c r="R73" s="9"/>
      <c r="S73" s="9"/>
      <c r="T73" s="9"/>
    </row>
    <row r="74" spans="1:20" s="67" customFormat="1" ht="14.25" customHeight="1" x14ac:dyDescent="0.25">
      <c r="A74" s="57">
        <f>IF(ISERROR(VLOOKUP(C74,ListaContratos!$A$3:$I$236,6,0)),0,(VLOOKUP(C74,ListaContratos!$A$3:$I$236,6,0)))</f>
        <v>0</v>
      </c>
      <c r="B74" s="58">
        <f>IF(ISERROR(VLOOKUP(C74,ListaContratos!$A$4:$I$233,9,0)),0,(VLOOKUP(C74,ListaContratos!$A$4:$I$233,9,0)))</f>
        <v>0</v>
      </c>
      <c r="C74"/>
      <c r="D74" s="59">
        <f>+IFERROR(VLOOKUP(C74,ListaContratos!$A$1:$I$281,4,0),0)</f>
        <v>0</v>
      </c>
      <c r="E74" s="49">
        <f>IF(ISERROR(VLOOKUP(C74,FRONT!$P$5:$Q$68,2,0)),0,(VLOOKUP(C74,FRONT!$P$5:$Q$68,2,0)))</f>
        <v>0</v>
      </c>
      <c r="F74" s="60">
        <f>IF(ISERROR(VLOOKUP(C74,RK!$J$5:$K$70,2,0)),0,(VLOOKUP(C74,RK!$J$5:$K$70,2,0)))</f>
        <v>0</v>
      </c>
      <c r="G74" s="61">
        <f t="shared" si="1"/>
        <v>0</v>
      </c>
      <c r="H74" s="154"/>
      <c r="I74" s="9"/>
      <c r="J74" s="9"/>
      <c r="K74" s="68"/>
      <c r="L74" s="9"/>
      <c r="M74" s="68"/>
      <c r="N74" s="9"/>
      <c r="O74" s="9"/>
      <c r="P74" s="9"/>
      <c r="Q74" s="9"/>
      <c r="R74" s="9"/>
      <c r="S74" s="9"/>
      <c r="T74" s="9"/>
    </row>
    <row r="75" spans="1:20" s="67" customFormat="1" ht="14.25" customHeight="1" x14ac:dyDescent="0.25">
      <c r="A75" s="57">
        <f>IF(ISERROR(VLOOKUP(C75,ListaContratos!$A$3:$I$236,6,0)),0,(VLOOKUP(C75,ListaContratos!$A$3:$I$236,6,0)))</f>
        <v>0</v>
      </c>
      <c r="B75" s="58">
        <f>IF(ISERROR(VLOOKUP(C75,ListaContratos!$A$4:$I$233,9,0)),0,(VLOOKUP(C75,ListaContratos!$A$4:$I$233,9,0)))</f>
        <v>0</v>
      </c>
      <c r="C75"/>
      <c r="D75" s="59">
        <f>+IFERROR(VLOOKUP(C75,ListaContratos!$A$1:$I$281,4,0),0)</f>
        <v>0</v>
      </c>
      <c r="E75" s="49">
        <f>IF(ISERROR(VLOOKUP(C75,FRONT!$P$5:$Q$68,2,0)),0,(VLOOKUP(C75,FRONT!$P$5:$Q$68,2,0)))</f>
        <v>0</v>
      </c>
      <c r="F75" s="60">
        <f>IF(ISERROR(VLOOKUP(C75,RK!$J$5:$K$70,2,0)),0,(VLOOKUP(C75,RK!$J$5:$K$70,2,0)))</f>
        <v>0</v>
      </c>
      <c r="G75" s="61">
        <f t="shared" si="1"/>
        <v>0</v>
      </c>
      <c r="H75" s="154"/>
      <c r="I75" s="9"/>
      <c r="J75" s="9"/>
      <c r="K75" s="68"/>
      <c r="L75" s="9"/>
      <c r="M75" s="68"/>
      <c r="N75" s="9"/>
      <c r="O75" s="9"/>
      <c r="P75" s="9"/>
      <c r="Q75" s="9"/>
      <c r="R75" s="9"/>
      <c r="S75" s="9"/>
      <c r="T75" s="9"/>
    </row>
    <row r="76" spans="1:20" s="67" customFormat="1" ht="14.25" customHeight="1" x14ac:dyDescent="0.25">
      <c r="A76" s="57">
        <f>IF(ISERROR(VLOOKUP(C76,ListaContratos!$A$3:$I$236,6,0)),0,(VLOOKUP(C76,ListaContratos!$A$3:$I$236,6,0)))</f>
        <v>0</v>
      </c>
      <c r="B76" s="58">
        <f>IF(ISERROR(VLOOKUP(C76,ListaContratos!$A$4:$I$233,9,0)),0,(VLOOKUP(C76,ListaContratos!$A$4:$I$233,9,0)))</f>
        <v>0</v>
      </c>
      <c r="C76"/>
      <c r="D76" s="59">
        <f>+IFERROR(VLOOKUP(C76,ListaContratos!$A$1:$I$281,4,0),0)</f>
        <v>0</v>
      </c>
      <c r="E76" s="49">
        <f>IF(ISERROR(VLOOKUP(C76,FRONT!$P$5:$Q$68,2,0)),0,(VLOOKUP(C76,FRONT!$P$5:$Q$68,2,0)))</f>
        <v>0</v>
      </c>
      <c r="F76" s="60">
        <f>IF(ISERROR(VLOOKUP(C76,RK!$J$5:$K$70,2,0)),0,(VLOOKUP(C76,RK!$J$5:$K$70,2,0)))</f>
        <v>0</v>
      </c>
      <c r="G76" s="61">
        <f t="shared" si="1"/>
        <v>0</v>
      </c>
      <c r="H76" s="154"/>
      <c r="I76" s="9"/>
      <c r="J76" s="9"/>
      <c r="K76" s="68"/>
      <c r="L76" s="9"/>
      <c r="M76" s="68"/>
      <c r="N76" s="9"/>
      <c r="O76" s="9"/>
      <c r="P76" s="9"/>
      <c r="Q76" s="9"/>
      <c r="R76" s="9"/>
      <c r="S76" s="9"/>
      <c r="T76" s="9"/>
    </row>
    <row r="77" spans="1:20" s="67" customFormat="1" ht="14.25" customHeight="1" x14ac:dyDescent="0.25">
      <c r="A77" s="57">
        <f>IF(ISERROR(VLOOKUP(C77,ListaContratos!$A$3:$I$236,6,0)),0,(VLOOKUP(C77,ListaContratos!$A$3:$I$236,6,0)))</f>
        <v>0</v>
      </c>
      <c r="B77" s="58">
        <f>IF(ISERROR(VLOOKUP(C77,ListaContratos!$A$4:$I$233,9,0)),0,(VLOOKUP(C77,ListaContratos!$A$4:$I$233,9,0)))</f>
        <v>0</v>
      </c>
      <c r="C77"/>
      <c r="D77" s="59">
        <f>+IFERROR(VLOOKUP(C77,ListaContratos!$A$1:$I$281,4,0),0)</f>
        <v>0</v>
      </c>
      <c r="E77" s="49">
        <f>IF(ISERROR(VLOOKUP(C77,FRONT!$P$5:$Q$68,2,0)),0,(VLOOKUP(C77,FRONT!$P$5:$Q$68,2,0)))</f>
        <v>0</v>
      </c>
      <c r="F77" s="60">
        <f>IF(ISERROR(VLOOKUP(C77,RK!$J$5:$K$70,2,0)),0,(VLOOKUP(C77,RK!$J$5:$K$70,2,0)))</f>
        <v>0</v>
      </c>
      <c r="G77" s="61">
        <f t="shared" si="1"/>
        <v>0</v>
      </c>
      <c r="H77" s="154"/>
      <c r="I77" s="9"/>
      <c r="J77" s="9"/>
      <c r="K77" s="68"/>
      <c r="L77" s="9"/>
      <c r="M77" s="68"/>
      <c r="N77" s="9"/>
      <c r="O77" s="9"/>
      <c r="P77" s="9"/>
      <c r="Q77" s="9"/>
      <c r="R77" s="9"/>
      <c r="S77" s="9"/>
      <c r="T77" s="9"/>
    </row>
    <row r="78" spans="1:20" s="67" customFormat="1" ht="14.25" customHeight="1" x14ac:dyDescent="0.25">
      <c r="A78" s="57">
        <f>IF(ISERROR(VLOOKUP(C78,ListaContratos!$A$3:$I$236,6,0)),0,(VLOOKUP(C78,ListaContratos!$A$3:$I$236,6,0)))</f>
        <v>0</v>
      </c>
      <c r="B78" s="58">
        <f>IF(ISERROR(VLOOKUP(C78,ListaContratos!$A$4:$I$233,9,0)),0,(VLOOKUP(C78,ListaContratos!$A$4:$I$233,9,0)))</f>
        <v>0</v>
      </c>
      <c r="C78"/>
      <c r="D78" s="59">
        <f>+IFERROR(VLOOKUP(C78,ListaContratos!$A$1:$I$281,4,0),0)</f>
        <v>0</v>
      </c>
      <c r="E78" s="49">
        <f>IF(ISERROR(VLOOKUP(C78,FRONT!$P$5:$Q$68,2,0)),0,(VLOOKUP(C78,FRONT!$P$5:$Q$68,2,0)))</f>
        <v>0</v>
      </c>
      <c r="F78" s="60">
        <f>IF(ISERROR(VLOOKUP(C78,RK!$J$5:$K$70,2,0)),0,(VLOOKUP(C78,RK!$J$5:$K$70,2,0)))</f>
        <v>0</v>
      </c>
      <c r="G78" s="61">
        <f t="shared" si="1"/>
        <v>0</v>
      </c>
      <c r="H78" s="154"/>
      <c r="I78" s="9"/>
      <c r="J78" s="9"/>
      <c r="K78" s="68"/>
      <c r="L78" s="9"/>
      <c r="M78" s="68"/>
      <c r="N78" s="9"/>
      <c r="O78" s="9"/>
      <c r="P78" s="9"/>
      <c r="Q78" s="9"/>
      <c r="R78" s="9"/>
      <c r="S78" s="9"/>
      <c r="T78" s="9"/>
    </row>
    <row r="79" spans="1:20" s="67" customFormat="1" ht="15" x14ac:dyDescent="0.25">
      <c r="A79" s="57">
        <f>IF(ISERROR(VLOOKUP(C79,ListaContratos!$A$3:$I$236,6,0)),0,(VLOOKUP(C79,ListaContratos!$A$3:$I$236,6,0)))</f>
        <v>0</v>
      </c>
      <c r="B79" s="58">
        <f>IF(ISERROR(VLOOKUP(C79,ListaContratos!$A$4:$I$233,9,0)),0,(VLOOKUP(C79,ListaContratos!$A$4:$I$233,9,0)))</f>
        <v>0</v>
      </c>
      <c r="C79"/>
      <c r="D79" s="59">
        <f>+IFERROR(VLOOKUP(C79,ListaContratos!$A$1:$I$281,4,0),0)</f>
        <v>0</v>
      </c>
      <c r="E79" s="49">
        <f>IF(ISERROR(VLOOKUP(C79,FRONT!$P$5:$Q$68,2,0)),0,(VLOOKUP(C79,FRONT!$P$5:$Q$68,2,0)))</f>
        <v>0</v>
      </c>
      <c r="F79" s="60">
        <f>IF(ISERROR(VLOOKUP(C79,RK!$J$5:$K$70,2,0)),0,(VLOOKUP(C79,RK!$J$5:$K$70,2,0)))</f>
        <v>0</v>
      </c>
      <c r="G79" s="61">
        <f t="shared" si="1"/>
        <v>0</v>
      </c>
      <c r="H79" s="154"/>
      <c r="I79" s="9"/>
      <c r="J79" s="9"/>
      <c r="K79" s="9"/>
      <c r="L79" s="9"/>
      <c r="M79" s="9"/>
      <c r="N79" s="9"/>
      <c r="O79" s="9"/>
      <c r="P79" s="9"/>
      <c r="Q79" s="9"/>
      <c r="R79" s="9"/>
      <c r="S79" s="9"/>
      <c r="T79" s="9"/>
    </row>
    <row r="80" spans="1:20" s="67" customFormat="1" ht="14.25" customHeight="1" x14ac:dyDescent="0.25">
      <c r="A80" s="57">
        <f>IF(ISERROR(VLOOKUP(C80,ListaContratos!$A$3:$I$236,6,0)),0,(VLOOKUP(C80,ListaContratos!$A$3:$I$236,6,0)))</f>
        <v>0</v>
      </c>
      <c r="B80" s="58">
        <f>IF(ISERROR(VLOOKUP(C80,ListaContratos!$A$4:$I$233,9,0)),0,(VLOOKUP(C80,ListaContratos!$A$4:$I$233,9,0)))</f>
        <v>0</v>
      </c>
      <c r="C80"/>
      <c r="D80" s="59">
        <f>+IFERROR(VLOOKUP(C80,ListaContratos!$A$1:$I$281,4,0),0)</f>
        <v>0</v>
      </c>
      <c r="E80" s="49">
        <f>IF(ISERROR(VLOOKUP(C80,FRONT!$P$5:$Q$68,2,0)),0,(VLOOKUP(C80,FRONT!$P$5:$Q$68,2,0)))</f>
        <v>0</v>
      </c>
      <c r="F80" s="60">
        <f>IF(ISERROR(VLOOKUP(C80,RK!$J$5:$K$70,2,0)),0,(VLOOKUP(C80,RK!$J$5:$K$70,2,0)))</f>
        <v>0</v>
      </c>
      <c r="G80" s="61">
        <f t="shared" si="1"/>
        <v>0</v>
      </c>
      <c r="H80" s="154"/>
      <c r="I80" s="9"/>
      <c r="J80" s="9"/>
      <c r="K80" s="9"/>
      <c r="L80" s="9"/>
      <c r="M80" s="9"/>
      <c r="N80" s="9"/>
      <c r="O80" s="9"/>
      <c r="P80" s="9"/>
      <c r="Q80" s="9"/>
      <c r="R80" s="9"/>
      <c r="S80" s="9"/>
      <c r="T80" s="9"/>
    </row>
    <row r="81" spans="1:20" s="74" customFormat="1" ht="14.25" customHeight="1" x14ac:dyDescent="0.25">
      <c r="A81" s="70"/>
      <c r="B81" s="70"/>
      <c r="C81"/>
      <c r="D81" s="71"/>
      <c r="E81" s="72"/>
      <c r="F81" s="73"/>
      <c r="G81" s="72"/>
      <c r="H81" s="155"/>
      <c r="I81" s="43"/>
      <c r="J81" s="7"/>
      <c r="K81" s="7"/>
      <c r="L81" s="7"/>
      <c r="M81" s="7"/>
      <c r="N81" s="7"/>
      <c r="O81" s="7"/>
      <c r="P81" s="7"/>
      <c r="Q81" s="7"/>
      <c r="R81" s="7"/>
      <c r="S81" s="7"/>
      <c r="T81" s="7"/>
    </row>
    <row r="82" spans="1:20" ht="15" x14ac:dyDescent="0.25">
      <c r="A82" s="70"/>
      <c r="B82" s="70"/>
      <c r="C82" s="75"/>
      <c r="D82" s="76" t="s">
        <v>77</v>
      </c>
      <c r="E82" s="72"/>
      <c r="F82" s="73"/>
      <c r="G82" s="72"/>
      <c r="H82" s="155"/>
      <c r="I82" s="77"/>
      <c r="J82" s="5"/>
      <c r="K82" s="62"/>
      <c r="L82" s="5"/>
      <c r="M82" s="5"/>
      <c r="N82" s="5"/>
      <c r="O82" s="5"/>
      <c r="P82" s="5"/>
      <c r="Q82" s="5"/>
      <c r="R82" s="5"/>
      <c r="S82" s="5"/>
      <c r="T82" s="5"/>
    </row>
    <row r="83" spans="1:20" s="67" customFormat="1" ht="15" x14ac:dyDescent="0.25">
      <c r="A83" s="5"/>
      <c r="B83" s="70"/>
      <c r="C83" s="78"/>
      <c r="D83" s="22"/>
      <c r="E83" s="5"/>
      <c r="F83" s="5"/>
      <c r="G83" s="63"/>
      <c r="H83" s="152"/>
      <c r="I83" s="69"/>
      <c r="J83" s="9"/>
      <c r="K83" s="9"/>
      <c r="L83" s="9"/>
      <c r="M83" s="9"/>
      <c r="N83" s="9"/>
      <c r="O83" s="9"/>
      <c r="P83" s="9"/>
      <c r="Q83" s="9"/>
      <c r="R83" s="9"/>
      <c r="S83" s="9"/>
      <c r="T83" s="9"/>
    </row>
    <row r="84" spans="1:20" s="67" customFormat="1" ht="15" x14ac:dyDescent="0.25">
      <c r="A84" s="5"/>
      <c r="B84" s="70"/>
      <c r="C84" s="78"/>
      <c r="D84" s="22"/>
      <c r="E84" s="5"/>
      <c r="F84" s="5"/>
      <c r="G84" s="5"/>
      <c r="H84" s="152"/>
      <c r="I84" s="9"/>
      <c r="J84" s="9"/>
      <c r="K84" s="9"/>
      <c r="L84" s="9"/>
      <c r="M84" s="9"/>
      <c r="N84" s="9"/>
      <c r="O84" s="9"/>
      <c r="P84" s="9"/>
      <c r="Q84" s="9"/>
      <c r="R84" s="9"/>
      <c r="S84" s="9"/>
      <c r="T84" s="9"/>
    </row>
    <row r="85" spans="1:20" s="67" customFormat="1" ht="15" x14ac:dyDescent="0.25">
      <c r="A85" s="5"/>
      <c r="B85" s="70"/>
      <c r="C85" s="78"/>
      <c r="D85" s="22"/>
      <c r="E85" s="5"/>
      <c r="F85" s="5"/>
      <c r="G85" s="5"/>
      <c r="H85" s="152"/>
      <c r="I85" s="9"/>
      <c r="J85" s="9"/>
      <c r="K85" s="9"/>
      <c r="L85" s="9"/>
      <c r="M85" s="9"/>
      <c r="N85" s="9"/>
      <c r="O85" s="9"/>
      <c r="P85" s="9"/>
      <c r="Q85" s="9"/>
      <c r="R85" s="9"/>
      <c r="S85" s="9"/>
      <c r="T85" s="9"/>
    </row>
    <row r="86" spans="1:20" s="67" customFormat="1" ht="15" customHeight="1" x14ac:dyDescent="0.25">
      <c r="A86" s="54" t="s">
        <v>78</v>
      </c>
      <c r="B86" s="54" t="s">
        <v>28</v>
      </c>
      <c r="C86" s="54"/>
      <c r="D86" s="54" t="s">
        <v>2</v>
      </c>
      <c r="E86" s="54" t="s">
        <v>201</v>
      </c>
      <c r="F86" s="54" t="s">
        <v>5</v>
      </c>
      <c r="G86" s="54" t="s">
        <v>7</v>
      </c>
      <c r="H86" s="153" t="s">
        <v>190</v>
      </c>
      <c r="I86" s="54" t="s">
        <v>202</v>
      </c>
      <c r="J86" s="9"/>
      <c r="K86" s="9"/>
      <c r="L86" s="9"/>
      <c r="M86" s="9"/>
      <c r="N86" s="9"/>
      <c r="O86" s="9"/>
      <c r="P86" s="9"/>
      <c r="Q86" s="9"/>
      <c r="R86" s="9"/>
      <c r="S86" s="9"/>
      <c r="T86" s="9"/>
    </row>
    <row r="87" spans="1:20" ht="25.5" x14ac:dyDescent="0.2">
      <c r="A87" s="160" t="s">
        <v>10</v>
      </c>
      <c r="B87" s="159" t="s">
        <v>74</v>
      </c>
      <c r="C87" s="159">
        <v>65501387259</v>
      </c>
      <c r="D87" s="161" t="s">
        <v>21</v>
      </c>
      <c r="E87" s="162">
        <v>31054.78</v>
      </c>
      <c r="F87" s="163">
        <v>0</v>
      </c>
      <c r="G87" s="163">
        <v>31054.78</v>
      </c>
      <c r="H87" s="165" t="s">
        <v>150</v>
      </c>
      <c r="I87" s="158">
        <v>44960.684398148151</v>
      </c>
    </row>
    <row r="88" spans="1:20" x14ac:dyDescent="0.2">
      <c r="A88" s="160"/>
      <c r="B88" s="159"/>
      <c r="C88" s="159"/>
      <c r="D88" s="161"/>
      <c r="E88" s="162"/>
      <c r="F88" s="163"/>
      <c r="G88" s="163"/>
      <c r="H88" s="165"/>
      <c r="I88" s="158"/>
    </row>
    <row r="89" spans="1:20" x14ac:dyDescent="0.2">
      <c r="A89" s="160" t="s">
        <v>10</v>
      </c>
      <c r="B89" s="159" t="s">
        <v>74</v>
      </c>
      <c r="C89" s="159">
        <v>1033796</v>
      </c>
      <c r="D89" s="161" t="s">
        <v>241</v>
      </c>
      <c r="E89" s="162">
        <v>-647.04999999999995</v>
      </c>
      <c r="F89" s="163">
        <v>0</v>
      </c>
      <c r="G89" s="163">
        <v>-647.04999999999995</v>
      </c>
      <c r="H89" s="165" t="s">
        <v>463</v>
      </c>
      <c r="I89" s="158">
        <v>44970.614108796297</v>
      </c>
    </row>
    <row r="90" spans="1:20" x14ac:dyDescent="0.2">
      <c r="A90" s="160" t="s">
        <v>10</v>
      </c>
      <c r="B90" s="159" t="s">
        <v>74</v>
      </c>
      <c r="C90" s="159">
        <v>80820</v>
      </c>
      <c r="D90" s="161" t="s">
        <v>51</v>
      </c>
      <c r="E90" s="162">
        <v>-18704512.940000001</v>
      </c>
      <c r="F90" s="163">
        <v>0</v>
      </c>
      <c r="G90" s="163">
        <v>-18704512.940000001</v>
      </c>
      <c r="H90" s="165" t="s">
        <v>465</v>
      </c>
      <c r="I90" s="158">
        <v>45169</v>
      </c>
    </row>
    <row r="91" spans="1:20" x14ac:dyDescent="0.2">
      <c r="A91" s="160" t="s">
        <v>10</v>
      </c>
      <c r="B91" s="159" t="s">
        <v>74</v>
      </c>
      <c r="C91" s="159">
        <v>154702</v>
      </c>
      <c r="D91" s="161" t="s">
        <v>52</v>
      </c>
      <c r="E91" s="162">
        <v>-103140348.26000001</v>
      </c>
      <c r="F91" s="163">
        <v>0</v>
      </c>
      <c r="G91" s="163">
        <v>-103140348.26000001</v>
      </c>
      <c r="H91" s="165" t="s">
        <v>465</v>
      </c>
      <c r="I91" s="158">
        <v>45169</v>
      </c>
    </row>
    <row r="92" spans="1:20" ht="25.5" x14ac:dyDescent="0.2">
      <c r="A92" s="160" t="s">
        <v>261</v>
      </c>
      <c r="B92" s="159" t="s">
        <v>74</v>
      </c>
      <c r="C92" s="159">
        <v>2000569</v>
      </c>
      <c r="D92" s="161" t="s">
        <v>348</v>
      </c>
      <c r="E92" s="162">
        <v>2069057.89</v>
      </c>
      <c r="F92" s="163">
        <v>0</v>
      </c>
      <c r="G92" s="163">
        <v>2069057.89</v>
      </c>
      <c r="H92" s="165" t="s">
        <v>150</v>
      </c>
      <c r="I92" s="158">
        <v>45274.764606481483</v>
      </c>
    </row>
    <row r="93" spans="1:20" ht="25.5" x14ac:dyDescent="0.2">
      <c r="A93" s="160" t="s">
        <v>10</v>
      </c>
      <c r="B93" s="159" t="s">
        <v>74</v>
      </c>
      <c r="C93" s="159">
        <v>65501387259</v>
      </c>
      <c r="D93" s="161" t="s">
        <v>21</v>
      </c>
      <c r="E93" s="162">
        <v>-604601.4</v>
      </c>
      <c r="F93" s="163">
        <v>0</v>
      </c>
      <c r="G93" s="163">
        <v>-604601.4</v>
      </c>
      <c r="H93" s="165" t="s">
        <v>150</v>
      </c>
      <c r="I93" s="158">
        <v>45224.769814814812</v>
      </c>
    </row>
    <row r="94" spans="1:20" ht="25.5" customHeight="1" x14ac:dyDescent="0.25">
      <c r="A94" s="160" t="s">
        <v>261</v>
      </c>
      <c r="B94" s="159" t="s">
        <v>74</v>
      </c>
      <c r="C94" s="107">
        <v>2000569</v>
      </c>
      <c r="D94" s="103" t="s">
        <v>348</v>
      </c>
      <c r="E94" s="49">
        <v>2061277.72</v>
      </c>
      <c r="F94" s="49">
        <v>0</v>
      </c>
      <c r="G94" s="49">
        <v>2061277.72</v>
      </c>
      <c r="H94" s="154" t="s">
        <v>150</v>
      </c>
      <c r="I94" s="158">
        <v>45282.33556712963</v>
      </c>
    </row>
    <row r="95" spans="1:20" ht="25.5" customHeight="1" x14ac:dyDescent="0.25">
      <c r="A95" s="160" t="s">
        <v>261</v>
      </c>
      <c r="B95" s="159" t="s">
        <v>74</v>
      </c>
      <c r="C95" s="107">
        <v>2000569</v>
      </c>
      <c r="D95" s="103" t="s">
        <v>348</v>
      </c>
      <c r="E95" s="49">
        <v>2038359.8</v>
      </c>
      <c r="F95" s="49">
        <v>0</v>
      </c>
      <c r="G95" s="49">
        <v>2038359.8</v>
      </c>
      <c r="H95" s="154" t="s">
        <v>150</v>
      </c>
      <c r="I95" s="158">
        <v>45294.744791666664</v>
      </c>
    </row>
    <row r="96" spans="1:20" ht="25.5" customHeight="1" x14ac:dyDescent="0.25">
      <c r="A96" s="160" t="s">
        <v>261</v>
      </c>
      <c r="B96" s="159" t="s">
        <v>74</v>
      </c>
      <c r="C96" s="107">
        <v>2000569</v>
      </c>
      <c r="D96" s="103" t="s">
        <v>348</v>
      </c>
      <c r="E96" s="49">
        <v>1960623.51</v>
      </c>
      <c r="F96" s="49">
        <v>0</v>
      </c>
      <c r="G96" s="49">
        <v>1960623.51</v>
      </c>
      <c r="H96" s="154" t="s">
        <v>150</v>
      </c>
      <c r="I96" s="158">
        <v>45303</v>
      </c>
    </row>
    <row r="97" spans="1:9" ht="25.5" customHeight="1" x14ac:dyDescent="0.25">
      <c r="A97" s="160" t="s">
        <v>261</v>
      </c>
      <c r="B97" s="159" t="s">
        <v>74</v>
      </c>
      <c r="C97" s="107">
        <v>2000569</v>
      </c>
      <c r="D97" s="103" t="s">
        <v>348</v>
      </c>
      <c r="E97" s="49">
        <v>2170433.7200000002</v>
      </c>
      <c r="F97" s="49">
        <v>0</v>
      </c>
      <c r="G97" s="49">
        <v>2170433.7200000002</v>
      </c>
      <c r="H97" s="154" t="s">
        <v>150</v>
      </c>
      <c r="I97" s="158">
        <v>45313.723194444443</v>
      </c>
    </row>
    <row r="98" spans="1:9" ht="25.5" customHeight="1" x14ac:dyDescent="0.25">
      <c r="A98" s="160" t="s">
        <v>261</v>
      </c>
      <c r="B98" s="159" t="s">
        <v>74</v>
      </c>
      <c r="C98" s="107">
        <v>2000569</v>
      </c>
      <c r="D98" s="103" t="s">
        <v>348</v>
      </c>
      <c r="E98" s="49">
        <v>1942702.82</v>
      </c>
      <c r="F98" s="49">
        <v>0</v>
      </c>
      <c r="G98" s="49">
        <v>1942702.82</v>
      </c>
      <c r="H98" s="154" t="s">
        <v>150</v>
      </c>
      <c r="I98" s="158">
        <v>45324.64267361111</v>
      </c>
    </row>
    <row r="99" spans="1:9" ht="25.5" customHeight="1" x14ac:dyDescent="0.25">
      <c r="A99" s="160" t="s">
        <v>261</v>
      </c>
      <c r="B99" s="159" t="s">
        <v>74</v>
      </c>
      <c r="C99" s="107">
        <v>2000569</v>
      </c>
      <c r="D99" s="103" t="s">
        <v>348</v>
      </c>
      <c r="E99" s="49">
        <v>-2419615.39</v>
      </c>
      <c r="F99" s="49">
        <v>0</v>
      </c>
      <c r="G99" s="49">
        <v>-2419615.39</v>
      </c>
      <c r="H99" s="154" t="s">
        <v>150</v>
      </c>
      <c r="I99" s="158">
        <v>45335.711076388892</v>
      </c>
    </row>
    <row r="100" spans="1:9" ht="25.5" x14ac:dyDescent="0.2">
      <c r="A100" s="160" t="s">
        <v>325</v>
      </c>
      <c r="B100" s="159" t="s">
        <v>74</v>
      </c>
      <c r="C100" s="159">
        <v>2000722</v>
      </c>
      <c r="D100" s="161" t="s">
        <v>351</v>
      </c>
      <c r="E100" s="162">
        <v>55020.52</v>
      </c>
      <c r="F100" s="163">
        <v>0</v>
      </c>
      <c r="G100" s="163">
        <v>55020.52</v>
      </c>
      <c r="H100" s="165" t="s">
        <v>150</v>
      </c>
      <c r="I100" s="158">
        <v>45222.748171296298</v>
      </c>
    </row>
    <row r="101" spans="1:9" ht="25.5" x14ac:dyDescent="0.2">
      <c r="A101" s="160" t="s">
        <v>325</v>
      </c>
      <c r="B101" s="159" t="s">
        <v>74</v>
      </c>
      <c r="C101" s="159">
        <v>2000722</v>
      </c>
      <c r="D101" s="161" t="s">
        <v>351</v>
      </c>
      <c r="E101" s="162">
        <v>-661842.36</v>
      </c>
      <c r="F101" s="163">
        <v>0</v>
      </c>
      <c r="G101" s="163">
        <v>-661842.36</v>
      </c>
      <c r="H101" s="165" t="s">
        <v>150</v>
      </c>
      <c r="I101" s="158">
        <v>45239.722141203703</v>
      </c>
    </row>
    <row r="102" spans="1:9" ht="25.5" x14ac:dyDescent="0.2">
      <c r="A102" s="160" t="s">
        <v>10</v>
      </c>
      <c r="B102" s="159" t="s">
        <v>74</v>
      </c>
      <c r="C102" s="159">
        <v>65501387259</v>
      </c>
      <c r="D102" s="161" t="s">
        <v>21</v>
      </c>
      <c r="E102" s="162">
        <v>331073.77</v>
      </c>
      <c r="F102" s="163">
        <v>0</v>
      </c>
      <c r="G102" s="163">
        <v>331073.77</v>
      </c>
      <c r="H102" s="165" t="s">
        <v>150</v>
      </c>
      <c r="I102" s="158">
        <v>45268.34815972222</v>
      </c>
    </row>
    <row r="103" spans="1:9" ht="25.5" x14ac:dyDescent="0.2">
      <c r="A103" s="160" t="s">
        <v>10</v>
      </c>
      <c r="B103" s="159" t="s">
        <v>74</v>
      </c>
      <c r="C103" s="159">
        <v>65501387259</v>
      </c>
      <c r="D103" s="161" t="s">
        <v>21</v>
      </c>
      <c r="E103" s="162">
        <v>298356.01</v>
      </c>
      <c r="F103" s="163">
        <v>0</v>
      </c>
      <c r="G103" s="163">
        <v>298356.01</v>
      </c>
      <c r="H103" s="165" t="s">
        <v>150</v>
      </c>
      <c r="I103" s="158">
        <v>45273.259189814817</v>
      </c>
    </row>
    <row r="104" spans="1:9" ht="25.5" x14ac:dyDescent="0.2">
      <c r="A104" s="160" t="s">
        <v>325</v>
      </c>
      <c r="B104" s="159" t="s">
        <v>74</v>
      </c>
      <c r="C104" s="159">
        <v>2000722</v>
      </c>
      <c r="D104" s="161" t="s">
        <v>351</v>
      </c>
      <c r="E104" s="162">
        <v>18000</v>
      </c>
      <c r="F104" s="163">
        <v>0</v>
      </c>
      <c r="G104" s="163">
        <v>18000</v>
      </c>
      <c r="H104" s="165" t="s">
        <v>150</v>
      </c>
      <c r="I104" s="158">
        <v>45243.346273148149</v>
      </c>
    </row>
    <row r="105" spans="1:9" ht="25.5" x14ac:dyDescent="0.2">
      <c r="A105" s="160" t="s">
        <v>325</v>
      </c>
      <c r="B105" s="159" t="s">
        <v>74</v>
      </c>
      <c r="C105" s="159">
        <v>2000722</v>
      </c>
      <c r="D105" s="161" t="s">
        <v>351</v>
      </c>
      <c r="E105" s="162">
        <v>66863.91</v>
      </c>
      <c r="F105" s="163">
        <v>0</v>
      </c>
      <c r="G105" s="163">
        <v>66863.91</v>
      </c>
      <c r="H105" s="165" t="s">
        <v>150</v>
      </c>
      <c r="I105" s="158">
        <v>45244.735717592594</v>
      </c>
    </row>
    <row r="106" spans="1:9" ht="25.5" x14ac:dyDescent="0.2">
      <c r="A106" s="160" t="s">
        <v>325</v>
      </c>
      <c r="B106" s="159" t="s">
        <v>74</v>
      </c>
      <c r="C106" s="159">
        <v>2000722</v>
      </c>
      <c r="D106" s="161" t="s">
        <v>351</v>
      </c>
      <c r="E106" s="162">
        <v>11670</v>
      </c>
      <c r="F106" s="163">
        <v>0</v>
      </c>
      <c r="G106" s="163">
        <v>11670</v>
      </c>
      <c r="H106" s="165" t="s">
        <v>150</v>
      </c>
      <c r="I106" s="158">
        <v>45251.771122685182</v>
      </c>
    </row>
    <row r="107" spans="1:9" ht="30" customHeight="1" x14ac:dyDescent="0.2">
      <c r="A107" s="160" t="s">
        <v>325</v>
      </c>
      <c r="B107" s="159" t="s">
        <v>74</v>
      </c>
      <c r="C107" s="159">
        <v>2000722</v>
      </c>
      <c r="D107" s="161" t="s">
        <v>351</v>
      </c>
      <c r="E107" s="162">
        <v>82784.75</v>
      </c>
      <c r="F107" s="163">
        <v>0</v>
      </c>
      <c r="G107" s="163">
        <v>82784.75</v>
      </c>
      <c r="H107" s="165" t="s">
        <v>150</v>
      </c>
      <c r="I107" s="158">
        <v>45257.732708333337</v>
      </c>
    </row>
    <row r="108" spans="1:9" ht="30" customHeight="1" x14ac:dyDescent="0.2">
      <c r="A108" s="160" t="s">
        <v>325</v>
      </c>
      <c r="B108" s="159" t="s">
        <v>74</v>
      </c>
      <c r="C108" s="159">
        <v>2000722</v>
      </c>
      <c r="D108" s="161" t="s">
        <v>351</v>
      </c>
      <c r="E108" s="162">
        <v>82784.75</v>
      </c>
      <c r="F108" s="163">
        <v>0</v>
      </c>
      <c r="G108" s="163">
        <v>82784.75</v>
      </c>
      <c r="H108" s="165" t="s">
        <v>150</v>
      </c>
      <c r="I108" s="158">
        <v>45257.734050925923</v>
      </c>
    </row>
    <row r="109" spans="1:9" ht="30" customHeight="1" x14ac:dyDescent="0.2">
      <c r="A109" s="160" t="s">
        <v>325</v>
      </c>
      <c r="B109" s="159" t="s">
        <v>74</v>
      </c>
      <c r="C109" s="159">
        <v>2000722</v>
      </c>
      <c r="D109" s="161" t="s">
        <v>351</v>
      </c>
      <c r="E109" s="162">
        <v>4230.76</v>
      </c>
      <c r="F109" s="163">
        <v>0</v>
      </c>
      <c r="G109" s="163">
        <v>4230.76</v>
      </c>
      <c r="H109" s="165" t="s">
        <v>150</v>
      </c>
      <c r="I109" s="158">
        <v>45261.521643518521</v>
      </c>
    </row>
    <row r="110" spans="1:9" ht="30" x14ac:dyDescent="0.25">
      <c r="A110" s="160" t="s">
        <v>10</v>
      </c>
      <c r="B110" s="159" t="s">
        <v>74</v>
      </c>
      <c r="C110" s="107">
        <v>65501387259</v>
      </c>
      <c r="D110" s="103" t="s">
        <v>21</v>
      </c>
      <c r="E110" s="49">
        <v>434948.02</v>
      </c>
      <c r="F110" s="49">
        <v>0</v>
      </c>
      <c r="G110" s="49">
        <v>434948.02</v>
      </c>
      <c r="H110" s="154" t="s">
        <v>150</v>
      </c>
      <c r="I110" s="158">
        <v>45295.720613425925</v>
      </c>
    </row>
    <row r="111" spans="1:9" ht="30" customHeight="1" x14ac:dyDescent="0.2">
      <c r="A111" s="171" t="s">
        <v>325</v>
      </c>
      <c r="B111" s="172" t="s">
        <v>74</v>
      </c>
      <c r="C111" s="172">
        <v>2000722</v>
      </c>
      <c r="D111" s="182" t="s">
        <v>351</v>
      </c>
      <c r="E111" s="183">
        <v>48482.13</v>
      </c>
      <c r="F111" s="184">
        <v>0</v>
      </c>
      <c r="G111" s="184">
        <v>48482.13</v>
      </c>
      <c r="H111" s="185" t="s">
        <v>150</v>
      </c>
      <c r="I111" s="173">
        <v>45268.34815972222</v>
      </c>
    </row>
    <row r="112" spans="1:9" ht="30" customHeight="1" x14ac:dyDescent="0.2">
      <c r="A112" s="171" t="s">
        <v>325</v>
      </c>
      <c r="B112" s="172" t="s">
        <v>74</v>
      </c>
      <c r="C112" s="172">
        <v>2000722</v>
      </c>
      <c r="D112" s="182" t="s">
        <v>351</v>
      </c>
      <c r="E112" s="183">
        <v>141692.41</v>
      </c>
      <c r="F112" s="184">
        <v>0</v>
      </c>
      <c r="G112" s="184">
        <v>141692.41</v>
      </c>
      <c r="H112" s="185" t="s">
        <v>150</v>
      </c>
      <c r="I112" s="173">
        <v>45279.307141203702</v>
      </c>
    </row>
    <row r="113" spans="1:9" ht="30" customHeight="1" x14ac:dyDescent="0.2">
      <c r="A113" s="171" t="s">
        <v>325</v>
      </c>
      <c r="B113" s="172" t="s">
        <v>74</v>
      </c>
      <c r="C113" s="172">
        <v>2000722</v>
      </c>
      <c r="D113" s="182" t="s">
        <v>351</v>
      </c>
      <c r="E113" s="183">
        <v>-350095.95</v>
      </c>
      <c r="F113" s="184">
        <v>0</v>
      </c>
      <c r="G113" s="184">
        <v>-350095.95</v>
      </c>
      <c r="H113" s="185" t="s">
        <v>150</v>
      </c>
      <c r="I113" s="173">
        <v>45280.642743055556</v>
      </c>
    </row>
    <row r="114" spans="1:9" ht="30" x14ac:dyDescent="0.25">
      <c r="A114" s="160" t="s">
        <v>325</v>
      </c>
      <c r="B114" s="159" t="s">
        <v>74</v>
      </c>
      <c r="C114" s="107">
        <v>2000722</v>
      </c>
      <c r="D114" s="103" t="s">
        <v>351</v>
      </c>
      <c r="E114" s="49">
        <v>62651.09</v>
      </c>
      <c r="F114" s="49">
        <v>0</v>
      </c>
      <c r="G114" s="49">
        <v>62651.09</v>
      </c>
      <c r="H114" s="154" t="s">
        <v>150</v>
      </c>
      <c r="I114" s="158">
        <v>45294.744791666664</v>
      </c>
    </row>
    <row r="115" spans="1:9" ht="30" x14ac:dyDescent="0.25">
      <c r="A115" s="160" t="s">
        <v>10</v>
      </c>
      <c r="B115" s="159" t="s">
        <v>74</v>
      </c>
      <c r="C115" s="107">
        <v>65501387259</v>
      </c>
      <c r="D115" s="103" t="s">
        <v>21</v>
      </c>
      <c r="E115" s="49">
        <v>1817831.03</v>
      </c>
      <c r="F115" s="49">
        <v>0</v>
      </c>
      <c r="G115" s="49">
        <v>1817831.03</v>
      </c>
      <c r="H115" s="154" t="s">
        <v>150</v>
      </c>
      <c r="I115" s="158">
        <v>45303</v>
      </c>
    </row>
    <row r="116" spans="1:9" ht="30" x14ac:dyDescent="0.25">
      <c r="A116" s="160" t="s">
        <v>325</v>
      </c>
      <c r="B116" s="159" t="s">
        <v>74</v>
      </c>
      <c r="C116" s="107">
        <v>2000722</v>
      </c>
      <c r="D116" s="103" t="s">
        <v>351</v>
      </c>
      <c r="E116" s="49">
        <v>-87534.38</v>
      </c>
      <c r="F116" s="49">
        <v>0</v>
      </c>
      <c r="G116" s="49">
        <v>-87534.38</v>
      </c>
      <c r="H116" s="154" t="s">
        <v>150</v>
      </c>
      <c r="I116" s="158">
        <v>45299.7497337963</v>
      </c>
    </row>
    <row r="117" spans="1:9" ht="30" x14ac:dyDescent="0.25">
      <c r="A117" s="160" t="s">
        <v>10</v>
      </c>
      <c r="B117" s="159" t="s">
        <v>74</v>
      </c>
      <c r="C117" s="107">
        <v>65501387259</v>
      </c>
      <c r="D117" s="103" t="s">
        <v>21</v>
      </c>
      <c r="E117" s="49">
        <v>51199.7</v>
      </c>
      <c r="F117" s="49">
        <v>0</v>
      </c>
      <c r="G117" s="49">
        <v>51199.7</v>
      </c>
      <c r="H117" s="154" t="s">
        <v>150</v>
      </c>
      <c r="I117" s="158">
        <v>45307.751886574071</v>
      </c>
    </row>
    <row r="118" spans="1:9" ht="30" x14ac:dyDescent="0.25">
      <c r="A118" s="160" t="s">
        <v>325</v>
      </c>
      <c r="B118" s="159" t="s">
        <v>74</v>
      </c>
      <c r="C118" s="107">
        <v>2000722</v>
      </c>
      <c r="D118" s="103" t="s">
        <v>351</v>
      </c>
      <c r="E118" s="49">
        <v>-623994.22</v>
      </c>
      <c r="F118" s="49">
        <v>0</v>
      </c>
      <c r="G118" s="49">
        <v>-623994.22</v>
      </c>
      <c r="H118" s="154" t="s">
        <v>150</v>
      </c>
      <c r="I118" s="158">
        <v>45300.750601851854</v>
      </c>
    </row>
    <row r="119" spans="1:9" ht="30" x14ac:dyDescent="0.25">
      <c r="A119" s="160" t="s">
        <v>325</v>
      </c>
      <c r="B119" s="159" t="s">
        <v>74</v>
      </c>
      <c r="C119" s="107">
        <v>2000722</v>
      </c>
      <c r="D119" s="103" t="s">
        <v>351</v>
      </c>
      <c r="E119" s="49">
        <v>-208800</v>
      </c>
      <c r="F119" s="49">
        <v>0</v>
      </c>
      <c r="G119" s="49">
        <v>-208800</v>
      </c>
      <c r="H119" s="154" t="s">
        <v>150</v>
      </c>
      <c r="I119" s="158">
        <v>45301.738877314812</v>
      </c>
    </row>
    <row r="120" spans="1:9" ht="30" x14ac:dyDescent="0.25">
      <c r="A120" s="160" t="s">
        <v>325</v>
      </c>
      <c r="B120" s="159" t="s">
        <v>74</v>
      </c>
      <c r="C120" s="107">
        <v>2000722</v>
      </c>
      <c r="D120" s="103" t="s">
        <v>351</v>
      </c>
      <c r="E120" s="49">
        <v>6156.73</v>
      </c>
      <c r="F120" s="49">
        <v>0</v>
      </c>
      <c r="G120" s="49">
        <v>6156.73</v>
      </c>
      <c r="H120" s="154" t="s">
        <v>150</v>
      </c>
      <c r="I120" s="158">
        <v>45306.745381944442</v>
      </c>
    </row>
    <row r="121" spans="1:9" ht="30" x14ac:dyDescent="0.25">
      <c r="A121" s="160" t="s">
        <v>325</v>
      </c>
      <c r="B121" s="159" t="s">
        <v>74</v>
      </c>
      <c r="C121" s="107">
        <v>2000722</v>
      </c>
      <c r="D121" s="103" t="s">
        <v>351</v>
      </c>
      <c r="E121" s="49">
        <v>3639.06</v>
      </c>
      <c r="F121" s="49">
        <v>0</v>
      </c>
      <c r="G121" s="49">
        <v>3639.06</v>
      </c>
      <c r="H121" s="154" t="s">
        <v>150</v>
      </c>
      <c r="I121" s="158">
        <v>45308</v>
      </c>
    </row>
    <row r="122" spans="1:9" ht="30" x14ac:dyDescent="0.25">
      <c r="A122" s="160" t="s">
        <v>325</v>
      </c>
      <c r="B122" s="159" t="s">
        <v>74</v>
      </c>
      <c r="C122" s="107">
        <v>2000722</v>
      </c>
      <c r="D122" s="103" t="s">
        <v>351</v>
      </c>
      <c r="E122" s="49">
        <v>-658792.95999999996</v>
      </c>
      <c r="F122" s="49">
        <v>0</v>
      </c>
      <c r="G122" s="49">
        <v>-658792.95999999996</v>
      </c>
      <c r="H122" s="154" t="s">
        <v>150</v>
      </c>
      <c r="I122" s="158">
        <v>45313.723194444443</v>
      </c>
    </row>
    <row r="123" spans="1:9" ht="30" x14ac:dyDescent="0.25">
      <c r="A123" s="160" t="s">
        <v>325</v>
      </c>
      <c r="B123" s="159" t="s">
        <v>74</v>
      </c>
      <c r="C123" s="107">
        <v>2000722</v>
      </c>
      <c r="D123" s="103" t="s">
        <v>351</v>
      </c>
      <c r="E123" s="49">
        <v>90000</v>
      </c>
      <c r="F123" s="49">
        <v>0</v>
      </c>
      <c r="G123" s="49">
        <v>90000</v>
      </c>
      <c r="H123" s="154" t="s">
        <v>150</v>
      </c>
      <c r="I123" s="158">
        <v>45315.72724537037</v>
      </c>
    </row>
    <row r="124" spans="1:9" ht="30" x14ac:dyDescent="0.25">
      <c r="A124" s="160" t="s">
        <v>325</v>
      </c>
      <c r="B124" s="159" t="s">
        <v>74</v>
      </c>
      <c r="C124" s="107">
        <v>2000722</v>
      </c>
      <c r="D124" s="103" t="s">
        <v>351</v>
      </c>
      <c r="E124" s="49">
        <v>70000</v>
      </c>
      <c r="F124" s="49">
        <v>0</v>
      </c>
      <c r="G124" s="49">
        <v>70000</v>
      </c>
      <c r="H124" s="154" t="s">
        <v>150</v>
      </c>
      <c r="I124" s="158">
        <v>45320.753587962965</v>
      </c>
    </row>
    <row r="125" spans="1:9" ht="30" x14ac:dyDescent="0.25">
      <c r="A125" s="160" t="s">
        <v>10</v>
      </c>
      <c r="B125" s="159" t="s">
        <v>74</v>
      </c>
      <c r="C125" s="107">
        <v>65501387259</v>
      </c>
      <c r="D125" s="103" t="s">
        <v>21</v>
      </c>
      <c r="E125" s="49">
        <v>109453.71</v>
      </c>
      <c r="F125" s="49">
        <v>0</v>
      </c>
      <c r="G125" s="49">
        <v>109453.71</v>
      </c>
      <c r="H125" s="154" t="s">
        <v>150</v>
      </c>
      <c r="I125" s="158">
        <v>45330.726481481484</v>
      </c>
    </row>
    <row r="126" spans="1:9" ht="30" x14ac:dyDescent="0.25">
      <c r="A126" s="160" t="s">
        <v>325</v>
      </c>
      <c r="B126" s="159" t="s">
        <v>74</v>
      </c>
      <c r="C126" s="107">
        <v>2000722</v>
      </c>
      <c r="D126" s="103" t="s">
        <v>351</v>
      </c>
      <c r="E126" s="49">
        <v>13461.52</v>
      </c>
      <c r="F126" s="49">
        <v>0</v>
      </c>
      <c r="G126" s="49">
        <v>13461.52</v>
      </c>
      <c r="H126" s="154" t="s">
        <v>150</v>
      </c>
      <c r="I126" s="158">
        <v>45323.720520833333</v>
      </c>
    </row>
    <row r="127" spans="1:9" ht="30" x14ac:dyDescent="0.25">
      <c r="A127" s="160" t="s">
        <v>325</v>
      </c>
      <c r="B127" s="159" t="s">
        <v>74</v>
      </c>
      <c r="C127" s="107">
        <v>2000722</v>
      </c>
      <c r="D127" s="103" t="s">
        <v>351</v>
      </c>
      <c r="E127" s="49">
        <v>18999.98</v>
      </c>
      <c r="F127" s="49">
        <v>0</v>
      </c>
      <c r="G127" s="49">
        <v>18999.98</v>
      </c>
      <c r="H127" s="154" t="s">
        <v>150</v>
      </c>
      <c r="I127" s="158">
        <v>45331.661909722221</v>
      </c>
    </row>
    <row r="128" spans="1:9" ht="30" x14ac:dyDescent="0.25">
      <c r="A128" s="160" t="s">
        <v>325</v>
      </c>
      <c r="B128" s="159" t="s">
        <v>74</v>
      </c>
      <c r="C128" s="107">
        <v>2000722</v>
      </c>
      <c r="D128" s="103" t="s">
        <v>351</v>
      </c>
      <c r="E128" s="49">
        <v>176286.21</v>
      </c>
      <c r="F128" s="49">
        <v>0</v>
      </c>
      <c r="G128" s="49">
        <v>176286.21</v>
      </c>
      <c r="H128" s="154" t="s">
        <v>150</v>
      </c>
      <c r="I128" s="158">
        <v>45334.70952546296</v>
      </c>
    </row>
    <row r="129" spans="1:9" ht="30" x14ac:dyDescent="0.25">
      <c r="A129" s="160" t="s">
        <v>325</v>
      </c>
      <c r="B129" s="159" t="s">
        <v>74</v>
      </c>
      <c r="C129" s="107">
        <v>2000722</v>
      </c>
      <c r="D129" s="103" t="s">
        <v>351</v>
      </c>
      <c r="E129" s="49">
        <v>10616</v>
      </c>
      <c r="F129" s="49">
        <v>0</v>
      </c>
      <c r="G129" s="49">
        <v>10616</v>
      </c>
      <c r="H129" s="154" t="s">
        <v>150</v>
      </c>
      <c r="I129" s="158">
        <v>45337.761238425926</v>
      </c>
    </row>
    <row r="130" spans="1:9" ht="30" x14ac:dyDescent="0.25">
      <c r="A130" s="160" t="s">
        <v>325</v>
      </c>
      <c r="B130" s="159" t="s">
        <v>74</v>
      </c>
      <c r="C130" s="107">
        <v>2000722</v>
      </c>
      <c r="D130" s="103" t="s">
        <v>351</v>
      </c>
      <c r="E130" s="49">
        <v>-389115.65</v>
      </c>
      <c r="F130" s="49">
        <v>0</v>
      </c>
      <c r="G130" s="49">
        <v>-389115.65</v>
      </c>
      <c r="H130" s="154" t="s">
        <v>150</v>
      </c>
      <c r="I130" s="158">
        <v>45349.769456018519</v>
      </c>
    </row>
    <row r="131" spans="1:9" ht="30" x14ac:dyDescent="0.25">
      <c r="A131" s="160" t="s">
        <v>325</v>
      </c>
      <c r="B131" s="159" t="s">
        <v>74</v>
      </c>
      <c r="C131" s="107">
        <v>2000722</v>
      </c>
      <c r="D131" s="103" t="s">
        <v>351</v>
      </c>
      <c r="E131" s="49">
        <v>4281</v>
      </c>
      <c r="F131" s="49">
        <v>0</v>
      </c>
      <c r="G131" s="49">
        <v>4281</v>
      </c>
      <c r="H131" s="154" t="s">
        <v>150</v>
      </c>
      <c r="I131" s="158">
        <v>45350.716168981482</v>
      </c>
    </row>
    <row r="132" spans="1:9" ht="30" x14ac:dyDescent="0.25">
      <c r="A132" s="160" t="s">
        <v>325</v>
      </c>
      <c r="B132" s="159" t="s">
        <v>74</v>
      </c>
      <c r="C132" s="107">
        <v>2000722</v>
      </c>
      <c r="D132" s="103" t="s">
        <v>351</v>
      </c>
      <c r="E132" s="49">
        <v>4292.3599999999997</v>
      </c>
      <c r="F132" s="49">
        <v>0</v>
      </c>
      <c r="G132" s="49">
        <v>4292.3599999999997</v>
      </c>
      <c r="H132" s="154" t="s">
        <v>150</v>
      </c>
      <c r="I132" s="158">
        <v>45355.362986111111</v>
      </c>
    </row>
    <row r="133" spans="1:9" ht="30" customHeight="1" x14ac:dyDescent="0.2">
      <c r="A133" s="160" t="s">
        <v>261</v>
      </c>
      <c r="B133" s="159" t="s">
        <v>74</v>
      </c>
      <c r="C133" s="159">
        <v>2000469</v>
      </c>
      <c r="D133" s="161" t="s">
        <v>331</v>
      </c>
      <c r="E133" s="162">
        <v>-3446505.38</v>
      </c>
      <c r="F133" s="163">
        <v>0</v>
      </c>
      <c r="G133" s="163">
        <v>-3446505.38</v>
      </c>
      <c r="H133" s="165" t="s">
        <v>462</v>
      </c>
      <c r="I133" s="158">
        <v>44922.697824074072</v>
      </c>
    </row>
    <row r="134" spans="1:9" ht="30" x14ac:dyDescent="0.25">
      <c r="A134" s="160" t="s">
        <v>10</v>
      </c>
      <c r="B134" s="159" t="s">
        <v>74</v>
      </c>
      <c r="C134" s="107">
        <v>65501387259</v>
      </c>
      <c r="D134" s="103" t="s">
        <v>21</v>
      </c>
      <c r="E134" s="49">
        <v>268564.27</v>
      </c>
      <c r="F134" s="49">
        <v>0</v>
      </c>
      <c r="G134" s="49">
        <v>268564.27</v>
      </c>
      <c r="H134" s="154" t="s">
        <v>150</v>
      </c>
      <c r="I134" s="158">
        <v>45357.686388888891</v>
      </c>
    </row>
    <row r="135" spans="1:9" ht="30" x14ac:dyDescent="0.25">
      <c r="A135" s="160" t="s">
        <v>261</v>
      </c>
      <c r="B135" s="159" t="s">
        <v>74</v>
      </c>
      <c r="C135" s="107">
        <v>2000569</v>
      </c>
      <c r="D135" s="103" t="s">
        <v>348</v>
      </c>
      <c r="E135" s="49">
        <v>1967081.69</v>
      </c>
      <c r="F135" s="49">
        <v>0</v>
      </c>
      <c r="G135" s="49">
        <v>1967081.69</v>
      </c>
      <c r="H135" s="154" t="s">
        <v>150</v>
      </c>
      <c r="I135" s="158">
        <v>45359.314803240741</v>
      </c>
    </row>
    <row r="136" spans="1:9" ht="30" x14ac:dyDescent="0.25">
      <c r="A136" s="160" t="s">
        <v>325</v>
      </c>
      <c r="B136" s="159" t="s">
        <v>74</v>
      </c>
      <c r="C136" s="107">
        <v>2000722</v>
      </c>
      <c r="D136" s="103" t="s">
        <v>351</v>
      </c>
      <c r="E136" s="49">
        <v>119241.17</v>
      </c>
      <c r="F136" s="49">
        <v>0</v>
      </c>
      <c r="G136" s="49">
        <v>119241.17</v>
      </c>
      <c r="H136" s="154" t="s">
        <v>150</v>
      </c>
      <c r="I136" s="158">
        <v>45359.314803240741</v>
      </c>
    </row>
    <row r="137" spans="1:9" ht="30" x14ac:dyDescent="0.25">
      <c r="A137" s="160" t="s">
        <v>261</v>
      </c>
      <c r="B137" s="159" t="s">
        <v>74</v>
      </c>
      <c r="C137" s="107">
        <v>2001049</v>
      </c>
      <c r="D137" s="103" t="s">
        <v>339</v>
      </c>
      <c r="E137" s="49">
        <v>508146.72</v>
      </c>
      <c r="F137" s="49">
        <v>0</v>
      </c>
      <c r="G137" s="49">
        <v>508146.72</v>
      </c>
      <c r="H137" s="154" t="s">
        <v>150</v>
      </c>
      <c r="I137" s="158">
        <v>45359.314803240741</v>
      </c>
    </row>
    <row r="138" spans="1:9" ht="30" x14ac:dyDescent="0.25">
      <c r="A138" s="160" t="s">
        <v>10</v>
      </c>
      <c r="B138" s="159" t="s">
        <v>74</v>
      </c>
      <c r="C138" s="107">
        <v>65507528400</v>
      </c>
      <c r="D138" s="103" t="s">
        <v>244</v>
      </c>
      <c r="E138" s="49">
        <v>873686.84</v>
      </c>
      <c r="F138" s="49">
        <v>855777.31</v>
      </c>
      <c r="G138" s="49">
        <v>17909.529999999799</v>
      </c>
      <c r="H138" s="154" t="s">
        <v>150</v>
      </c>
      <c r="I138" s="158">
        <v>45359.314803240741</v>
      </c>
    </row>
    <row r="139" spans="1:9" ht="30" x14ac:dyDescent="0.25">
      <c r="A139" s="160" t="s">
        <v>10</v>
      </c>
      <c r="B139" s="159" t="s">
        <v>74</v>
      </c>
      <c r="C139" s="107">
        <v>65507671187</v>
      </c>
      <c r="D139" s="103" t="s">
        <v>244</v>
      </c>
      <c r="E139" s="49">
        <v>351097.05</v>
      </c>
      <c r="F139" s="49">
        <v>318240.8</v>
      </c>
      <c r="G139" s="49">
        <v>32856.250000000298</v>
      </c>
      <c r="H139" s="154" t="s">
        <v>150</v>
      </c>
      <c r="I139" s="158">
        <v>45359.314803240741</v>
      </c>
    </row>
    <row r="140" spans="1:9" ht="30" x14ac:dyDescent="0.25">
      <c r="A140" s="160" t="s">
        <v>10</v>
      </c>
      <c r="B140" s="159" t="s">
        <v>74</v>
      </c>
      <c r="C140" s="107">
        <v>65507684389</v>
      </c>
      <c r="D140" s="103" t="s">
        <v>244</v>
      </c>
      <c r="E140" s="49">
        <v>2831914.35</v>
      </c>
      <c r="F140" s="49">
        <v>1828029.32</v>
      </c>
      <c r="G140" s="49">
        <v>1003885.03</v>
      </c>
      <c r="H140" s="154" t="s">
        <v>150</v>
      </c>
      <c r="I140" s="158">
        <v>45359.314803240741</v>
      </c>
    </row>
    <row r="141" spans="1:9" ht="15" x14ac:dyDescent="0.25">
      <c r="A141" s="160" t="s">
        <v>10</v>
      </c>
      <c r="B141" s="159" t="s">
        <v>74</v>
      </c>
      <c r="C141" s="107">
        <v>2000216</v>
      </c>
      <c r="D141" s="103" t="s">
        <v>58</v>
      </c>
      <c r="E141" s="49">
        <v>-28432.35</v>
      </c>
      <c r="F141" s="49">
        <v>0</v>
      </c>
      <c r="G141" s="49">
        <v>-28432.35</v>
      </c>
      <c r="H141" s="154" t="s">
        <v>504</v>
      </c>
      <c r="I141" s="158">
        <v>45364.317013888889</v>
      </c>
    </row>
    <row r="142" spans="1:9" ht="15" x14ac:dyDescent="0.25">
      <c r="A142" s="160" t="s">
        <v>10</v>
      </c>
      <c r="B142" s="159" t="s">
        <v>74</v>
      </c>
      <c r="C142" s="107">
        <v>2000219</v>
      </c>
      <c r="D142" s="103" t="s">
        <v>61</v>
      </c>
      <c r="E142" s="49">
        <v>-58311.03</v>
      </c>
      <c r="F142" s="49">
        <v>0</v>
      </c>
      <c r="G142" s="49">
        <v>-58311.03</v>
      </c>
      <c r="H142" s="154" t="s">
        <v>504</v>
      </c>
      <c r="I142" s="158">
        <v>45364.317013888889</v>
      </c>
    </row>
    <row r="143" spans="1:9" ht="30" x14ac:dyDescent="0.25">
      <c r="A143" s="160" t="s">
        <v>10</v>
      </c>
      <c r="B143" s="159" t="s">
        <v>74</v>
      </c>
      <c r="C143" s="107">
        <v>65501387259</v>
      </c>
      <c r="D143" s="103" t="s">
        <v>21</v>
      </c>
      <c r="E143" s="49">
        <v>327759.62</v>
      </c>
      <c r="F143" s="49">
        <v>0</v>
      </c>
      <c r="G143" s="49">
        <v>327759.62</v>
      </c>
      <c r="H143" s="154" t="s">
        <v>150</v>
      </c>
      <c r="I143" s="158">
        <v>45364.317013888889</v>
      </c>
    </row>
    <row r="144" spans="1:9" ht="30" x14ac:dyDescent="0.25">
      <c r="A144" s="160" t="s">
        <v>261</v>
      </c>
      <c r="B144" s="159" t="s">
        <v>74</v>
      </c>
      <c r="C144" s="107">
        <v>2000569</v>
      </c>
      <c r="D144" s="103" t="s">
        <v>348</v>
      </c>
      <c r="E144" s="49">
        <v>1872439.43</v>
      </c>
      <c r="F144" s="49">
        <v>0</v>
      </c>
      <c r="G144" s="49">
        <v>1872439.43</v>
      </c>
      <c r="H144" s="154" t="s">
        <v>150</v>
      </c>
      <c r="I144" s="158">
        <v>45366.626747685186</v>
      </c>
    </row>
    <row r="145" spans="1:9" ht="30" x14ac:dyDescent="0.25">
      <c r="A145" s="160" t="s">
        <v>325</v>
      </c>
      <c r="B145" s="159" t="s">
        <v>74</v>
      </c>
      <c r="C145" s="107">
        <v>2000722</v>
      </c>
      <c r="D145" s="103" t="s">
        <v>351</v>
      </c>
      <c r="E145" s="49">
        <v>-294867.21999999997</v>
      </c>
      <c r="F145" s="49">
        <v>0</v>
      </c>
      <c r="G145" s="49">
        <v>-294867.21999999997</v>
      </c>
      <c r="H145" s="154" t="s">
        <v>150</v>
      </c>
      <c r="I145" s="158">
        <v>45366.626747685186</v>
      </c>
    </row>
    <row r="146" spans="1:9" ht="30" x14ac:dyDescent="0.25">
      <c r="A146" s="160" t="s">
        <v>261</v>
      </c>
      <c r="B146" s="159" t="s">
        <v>74</v>
      </c>
      <c r="C146" s="107">
        <v>2001049</v>
      </c>
      <c r="D146" s="103" t="s">
        <v>339</v>
      </c>
      <c r="E146" s="49">
        <v>517259.28</v>
      </c>
      <c r="F146" s="49">
        <v>0</v>
      </c>
      <c r="G146" s="49">
        <v>517259.28</v>
      </c>
      <c r="H146" s="154" t="s">
        <v>150</v>
      </c>
      <c r="I146" s="158">
        <v>45366.626747685186</v>
      </c>
    </row>
    <row r="147" spans="1:9" ht="30" x14ac:dyDescent="0.25">
      <c r="A147" s="160" t="s">
        <v>10</v>
      </c>
      <c r="B147" s="159" t="s">
        <v>74</v>
      </c>
      <c r="C147" s="107">
        <v>65501387259</v>
      </c>
      <c r="D147" s="103" t="s">
        <v>21</v>
      </c>
      <c r="E147" s="49">
        <v>184746</v>
      </c>
      <c r="F147" s="49">
        <v>0</v>
      </c>
      <c r="G147" s="49">
        <v>184746</v>
      </c>
      <c r="H147" s="154" t="s">
        <v>150</v>
      </c>
      <c r="I147" s="158">
        <v>45370.329386574071</v>
      </c>
    </row>
    <row r="148" spans="1:9" ht="30" x14ac:dyDescent="0.25">
      <c r="A148" s="160" t="s">
        <v>261</v>
      </c>
      <c r="B148" s="159" t="s">
        <v>74</v>
      </c>
      <c r="C148" s="107">
        <v>2001049</v>
      </c>
      <c r="D148" s="103" t="s">
        <v>339</v>
      </c>
      <c r="E148" s="49">
        <v>497664.44</v>
      </c>
      <c r="F148" s="49">
        <v>0</v>
      </c>
      <c r="G148" s="49">
        <v>497664.44</v>
      </c>
      <c r="H148" s="154" t="s">
        <v>150</v>
      </c>
      <c r="I148" s="158">
        <v>45372.721863425926</v>
      </c>
    </row>
    <row r="149" spans="1:9" ht="15" x14ac:dyDescent="0.25">
      <c r="A149" s="160" t="s">
        <v>10</v>
      </c>
      <c r="B149" s="159" t="s">
        <v>74</v>
      </c>
      <c r="C149" s="107">
        <v>78665</v>
      </c>
      <c r="D149" s="103" t="s">
        <v>298</v>
      </c>
      <c r="E149" s="49">
        <v>3390671.97</v>
      </c>
      <c r="F149" s="49">
        <v>0</v>
      </c>
      <c r="G149" s="49">
        <v>3390671.97</v>
      </c>
      <c r="H149" s="154" t="s">
        <v>504</v>
      </c>
      <c r="I149" s="158">
        <v>45373.32236111111</v>
      </c>
    </row>
    <row r="150" spans="1:9" ht="15" x14ac:dyDescent="0.25">
      <c r="A150" s="160" t="s">
        <v>10</v>
      </c>
      <c r="B150" s="159" t="s">
        <v>74</v>
      </c>
      <c r="C150" s="107">
        <v>1012259</v>
      </c>
      <c r="D150" s="103" t="s">
        <v>54</v>
      </c>
      <c r="E150" s="49">
        <v>115985.68</v>
      </c>
      <c r="F150" s="49">
        <v>0</v>
      </c>
      <c r="G150" s="49">
        <v>115985.68</v>
      </c>
      <c r="H150" s="154" t="s">
        <v>504</v>
      </c>
      <c r="I150" s="158">
        <v>45373.32236111111</v>
      </c>
    </row>
    <row r="151" spans="1:9" ht="15" x14ac:dyDescent="0.25">
      <c r="A151" s="160" t="s">
        <v>10</v>
      </c>
      <c r="B151" s="159" t="s">
        <v>74</v>
      </c>
      <c r="C151" s="107">
        <v>1012260</v>
      </c>
      <c r="D151" s="103" t="s">
        <v>55</v>
      </c>
      <c r="E151" s="49">
        <v>242424.47</v>
      </c>
      <c r="F151" s="49">
        <v>0</v>
      </c>
      <c r="G151" s="49">
        <v>242424.47</v>
      </c>
      <c r="H151" s="154" t="s">
        <v>504</v>
      </c>
      <c r="I151" s="158">
        <v>45373.32236111111</v>
      </c>
    </row>
    <row r="152" spans="1:9" ht="15" x14ac:dyDescent="0.25">
      <c r="A152" s="160" t="s">
        <v>10</v>
      </c>
      <c r="B152" s="159" t="s">
        <v>74</v>
      </c>
      <c r="C152" s="107">
        <v>1033545</v>
      </c>
      <c r="D152" s="103" t="s">
        <v>236</v>
      </c>
      <c r="E152" s="49">
        <v>44711.37</v>
      </c>
      <c r="F152" s="49">
        <v>0</v>
      </c>
      <c r="G152" s="49">
        <v>44711.37</v>
      </c>
      <c r="H152" s="154" t="s">
        <v>504</v>
      </c>
      <c r="I152" s="158">
        <v>45373.32236111111</v>
      </c>
    </row>
    <row r="153" spans="1:9" ht="15" x14ac:dyDescent="0.25">
      <c r="A153" s="160" t="s">
        <v>10</v>
      </c>
      <c r="B153" s="159" t="s">
        <v>74</v>
      </c>
      <c r="C153" s="107">
        <v>1033546</v>
      </c>
      <c r="D153" s="103" t="s">
        <v>236</v>
      </c>
      <c r="E153" s="49">
        <v>19029.52</v>
      </c>
      <c r="F153" s="49">
        <v>0</v>
      </c>
      <c r="G153" s="49">
        <v>19029.52</v>
      </c>
      <c r="H153" s="154" t="s">
        <v>504</v>
      </c>
      <c r="I153" s="158">
        <v>45373.32236111111</v>
      </c>
    </row>
    <row r="154" spans="1:9" ht="15" x14ac:dyDescent="0.25">
      <c r="A154" s="160" t="s">
        <v>10</v>
      </c>
      <c r="B154" s="159" t="s">
        <v>74</v>
      </c>
      <c r="C154" s="107">
        <v>2000182</v>
      </c>
      <c r="D154" s="103" t="s">
        <v>56</v>
      </c>
      <c r="E154" s="49">
        <v>74306.69</v>
      </c>
      <c r="F154" s="49">
        <v>0</v>
      </c>
      <c r="G154" s="49">
        <v>74306.69</v>
      </c>
      <c r="H154" s="154" t="s">
        <v>504</v>
      </c>
      <c r="I154" s="158">
        <v>45373.32236111111</v>
      </c>
    </row>
    <row r="155" spans="1:9" ht="15" x14ac:dyDescent="0.25">
      <c r="A155" s="160" t="s">
        <v>10</v>
      </c>
      <c r="B155" s="159" t="s">
        <v>74</v>
      </c>
      <c r="C155" s="107">
        <v>2000183</v>
      </c>
      <c r="D155" s="103" t="s">
        <v>309</v>
      </c>
      <c r="E155" s="49">
        <v>159827.01</v>
      </c>
      <c r="F155" s="49">
        <v>0</v>
      </c>
      <c r="G155" s="49">
        <v>159827.01</v>
      </c>
      <c r="H155" s="154" t="s">
        <v>504</v>
      </c>
      <c r="I155" s="158">
        <v>45373.32236111111</v>
      </c>
    </row>
    <row r="156" spans="1:9" ht="15" x14ac:dyDescent="0.25">
      <c r="A156" s="160" t="s">
        <v>10</v>
      </c>
      <c r="B156" s="159" t="s">
        <v>74</v>
      </c>
      <c r="C156" s="107">
        <v>2000216</v>
      </c>
      <c r="D156" s="103" t="s">
        <v>58</v>
      </c>
      <c r="E156" s="49">
        <v>4328510.0999999996</v>
      </c>
      <c r="F156" s="49">
        <v>0</v>
      </c>
      <c r="G156" s="49">
        <v>4328510.0999999996</v>
      </c>
      <c r="H156" s="154" t="s">
        <v>504</v>
      </c>
      <c r="I156" s="158">
        <v>45373.32236111111</v>
      </c>
    </row>
    <row r="157" spans="1:9" ht="15" x14ac:dyDescent="0.25">
      <c r="A157" s="160" t="s">
        <v>10</v>
      </c>
      <c r="B157" s="159" t="s">
        <v>74</v>
      </c>
      <c r="C157" s="107">
        <v>2000217</v>
      </c>
      <c r="D157" s="103" t="s">
        <v>59</v>
      </c>
      <c r="E157" s="49">
        <v>1309456.73</v>
      </c>
      <c r="F157" s="49">
        <v>0</v>
      </c>
      <c r="G157" s="49">
        <v>1309456.73</v>
      </c>
      <c r="H157" s="154" t="s">
        <v>504</v>
      </c>
      <c r="I157" s="158">
        <v>45373.32236111111</v>
      </c>
    </row>
    <row r="158" spans="1:9" ht="15" x14ac:dyDescent="0.25">
      <c r="A158" s="160" t="s">
        <v>10</v>
      </c>
      <c r="B158" s="159" t="s">
        <v>74</v>
      </c>
      <c r="C158" s="107">
        <v>2000218</v>
      </c>
      <c r="D158" s="103" t="s">
        <v>60</v>
      </c>
      <c r="E158" s="49">
        <v>1298922.24</v>
      </c>
      <c r="F158" s="49">
        <v>0</v>
      </c>
      <c r="G158" s="49">
        <v>1298922.24</v>
      </c>
      <c r="H158" s="154" t="s">
        <v>504</v>
      </c>
      <c r="I158" s="158">
        <v>45373.32236111111</v>
      </c>
    </row>
    <row r="159" spans="1:9" ht="15" x14ac:dyDescent="0.25">
      <c r="A159" s="160" t="s">
        <v>10</v>
      </c>
      <c r="B159" s="159" t="s">
        <v>74</v>
      </c>
      <c r="C159" s="107">
        <v>2000423</v>
      </c>
      <c r="D159" s="103" t="s">
        <v>64</v>
      </c>
      <c r="E159" s="49">
        <v>23167.33</v>
      </c>
      <c r="F159" s="49">
        <v>0</v>
      </c>
      <c r="G159" s="49">
        <v>23167.33</v>
      </c>
      <c r="H159" s="154" t="s">
        <v>504</v>
      </c>
      <c r="I159" s="158">
        <v>45373.32236111111</v>
      </c>
    </row>
    <row r="160" spans="1:9" ht="15" x14ac:dyDescent="0.25">
      <c r="A160" s="160" t="s">
        <v>10</v>
      </c>
      <c r="B160" s="159" t="s">
        <v>74</v>
      </c>
      <c r="C160" s="107">
        <v>2000424</v>
      </c>
      <c r="D160" s="103" t="s">
        <v>65</v>
      </c>
      <c r="E160" s="49">
        <v>50859.16</v>
      </c>
      <c r="F160" s="49">
        <v>0</v>
      </c>
      <c r="G160" s="49">
        <v>50859.16</v>
      </c>
      <c r="H160" s="154" t="s">
        <v>504</v>
      </c>
      <c r="I160" s="158">
        <v>45373.32236111111</v>
      </c>
    </row>
    <row r="161" spans="1:9" ht="30" x14ac:dyDescent="0.25">
      <c r="A161" s="160" t="s">
        <v>325</v>
      </c>
      <c r="B161" s="159" t="s">
        <v>74</v>
      </c>
      <c r="C161" s="107">
        <v>2000722</v>
      </c>
      <c r="D161" s="103" t="s">
        <v>351</v>
      </c>
      <c r="E161" s="49">
        <v>121332.75</v>
      </c>
      <c r="F161" s="49">
        <v>0</v>
      </c>
      <c r="G161" s="49">
        <v>121332.75</v>
      </c>
      <c r="H161" s="154" t="s">
        <v>150</v>
      </c>
      <c r="I161" s="158">
        <v>45373.32236111111</v>
      </c>
    </row>
    <row r="162" spans="1:9" ht="15" x14ac:dyDescent="0.25">
      <c r="A162" s="160" t="s">
        <v>10</v>
      </c>
      <c r="B162" s="159" t="s">
        <v>74</v>
      </c>
      <c r="C162" s="107">
        <v>2001046</v>
      </c>
      <c r="D162" s="103" t="s">
        <v>227</v>
      </c>
      <c r="E162" s="49">
        <v>120471.67</v>
      </c>
      <c r="F162" s="49">
        <v>0</v>
      </c>
      <c r="G162" s="49">
        <v>120471.67</v>
      </c>
      <c r="H162" s="154" t="s">
        <v>504</v>
      </c>
      <c r="I162" s="158">
        <v>45373.32236111111</v>
      </c>
    </row>
    <row r="163" spans="1:9" ht="15" x14ac:dyDescent="0.25">
      <c r="A163" s="160" t="s">
        <v>10</v>
      </c>
      <c r="B163" s="159" t="s">
        <v>74</v>
      </c>
      <c r="C163" s="107">
        <v>2001047</v>
      </c>
      <c r="D163" s="103" t="s">
        <v>228</v>
      </c>
      <c r="E163" s="49">
        <v>56551.03</v>
      </c>
      <c r="F163" s="49">
        <v>0</v>
      </c>
      <c r="G163" s="49">
        <v>56551.03</v>
      </c>
      <c r="H163" s="154" t="s">
        <v>504</v>
      </c>
      <c r="I163" s="158">
        <v>45373.32236111111</v>
      </c>
    </row>
    <row r="164" spans="1:9" ht="15" x14ac:dyDescent="0.25">
      <c r="A164" s="160" t="s">
        <v>10</v>
      </c>
      <c r="B164" s="159" t="s">
        <v>74</v>
      </c>
      <c r="C164" s="107">
        <v>2001047</v>
      </c>
      <c r="D164" s="103" t="s">
        <v>228</v>
      </c>
      <c r="E164" s="49">
        <v>-7023.91</v>
      </c>
      <c r="F164" s="49">
        <v>0</v>
      </c>
      <c r="G164" s="49">
        <v>-7023.91</v>
      </c>
      <c r="H164" s="154" t="s">
        <v>543</v>
      </c>
      <c r="I164" s="158">
        <v>45377.326365740744</v>
      </c>
    </row>
    <row r="165" spans="1:9" ht="15" x14ac:dyDescent="0.25">
      <c r="A165" s="160" t="s">
        <v>10</v>
      </c>
      <c r="B165" s="159" t="s">
        <v>74</v>
      </c>
      <c r="C165" s="107">
        <v>1012259</v>
      </c>
      <c r="D165" s="103" t="s">
        <v>54</v>
      </c>
      <c r="E165" s="49">
        <v>-210603.38</v>
      </c>
      <c r="F165" s="49">
        <v>0</v>
      </c>
      <c r="G165" s="49">
        <v>-210603.38</v>
      </c>
      <c r="H165" s="154" t="s">
        <v>504</v>
      </c>
      <c r="I165" s="158">
        <v>45378.686643518522</v>
      </c>
    </row>
    <row r="166" spans="1:9" ht="15" x14ac:dyDescent="0.25">
      <c r="A166" s="160" t="s">
        <v>10</v>
      </c>
      <c r="B166" s="159" t="s">
        <v>74</v>
      </c>
      <c r="C166" s="107">
        <v>1012260</v>
      </c>
      <c r="D166" s="103" t="s">
        <v>55</v>
      </c>
      <c r="E166" s="49">
        <v>-225952.55</v>
      </c>
      <c r="F166" s="49">
        <v>0</v>
      </c>
      <c r="G166" s="49">
        <v>-225952.55</v>
      </c>
      <c r="H166" s="154" t="s">
        <v>504</v>
      </c>
      <c r="I166" s="158">
        <v>45378.686643518522</v>
      </c>
    </row>
    <row r="167" spans="1:9" ht="30" x14ac:dyDescent="0.25">
      <c r="A167" s="160" t="s">
        <v>261</v>
      </c>
      <c r="B167" s="159" t="s">
        <v>74</v>
      </c>
      <c r="C167" s="107">
        <v>2001049</v>
      </c>
      <c r="D167" s="103" t="s">
        <v>339</v>
      </c>
      <c r="E167" s="49">
        <v>542109.96</v>
      </c>
      <c r="F167" s="49">
        <v>0</v>
      </c>
      <c r="G167" s="49">
        <v>542109.96</v>
      </c>
      <c r="H167" s="154" t="s">
        <v>150</v>
      </c>
      <c r="I167" s="158">
        <v>45383.729710648149</v>
      </c>
    </row>
    <row r="168" spans="1:9" ht="30" x14ac:dyDescent="0.25">
      <c r="A168" s="160" t="s">
        <v>325</v>
      </c>
      <c r="B168" s="159" t="s">
        <v>74</v>
      </c>
      <c r="C168" s="107">
        <v>2000722</v>
      </c>
      <c r="D168" s="103" t="s">
        <v>351</v>
      </c>
      <c r="E168" s="49">
        <v>37515.54</v>
      </c>
      <c r="F168" s="49">
        <v>0</v>
      </c>
      <c r="G168" s="49">
        <v>37515.54</v>
      </c>
      <c r="H168" s="154" t="s">
        <v>150</v>
      </c>
      <c r="I168" s="158">
        <v>45384.758553240739</v>
      </c>
    </row>
    <row r="169" spans="1:9" ht="15" x14ac:dyDescent="0.25">
      <c r="A169" s="160" t="s">
        <v>10</v>
      </c>
      <c r="B169" s="159" t="s">
        <v>74</v>
      </c>
      <c r="C169" s="107">
        <v>78665</v>
      </c>
      <c r="D169" s="103" t="s">
        <v>298</v>
      </c>
      <c r="E169" s="49">
        <v>-3906939.16</v>
      </c>
      <c r="F169" s="49">
        <v>0</v>
      </c>
      <c r="G169" s="49">
        <v>-3906939.16</v>
      </c>
      <c r="H169" s="154" t="s">
        <v>504</v>
      </c>
      <c r="I169" s="158">
        <v>45385.396909722222</v>
      </c>
    </row>
    <row r="170" spans="1:9" ht="15" x14ac:dyDescent="0.25">
      <c r="A170" s="160" t="s">
        <v>10</v>
      </c>
      <c r="B170" s="159" t="s">
        <v>74</v>
      </c>
      <c r="C170" s="107">
        <v>2000216</v>
      </c>
      <c r="D170" s="103" t="s">
        <v>58</v>
      </c>
      <c r="E170" s="49">
        <v>-9039171.5600000005</v>
      </c>
      <c r="F170" s="49">
        <v>0</v>
      </c>
      <c r="G170" s="49">
        <v>-9039171.5600000005</v>
      </c>
      <c r="H170" s="154" t="s">
        <v>504</v>
      </c>
      <c r="I170" s="158">
        <v>45385.396909722222</v>
      </c>
    </row>
    <row r="171" spans="1:9" ht="15" x14ac:dyDescent="0.25">
      <c r="A171" s="160" t="s">
        <v>10</v>
      </c>
      <c r="B171" s="159" t="s">
        <v>74</v>
      </c>
      <c r="C171" s="107">
        <v>2000217</v>
      </c>
      <c r="D171" s="103" t="s">
        <v>59</v>
      </c>
      <c r="E171" s="49">
        <v>-4414481.1500000004</v>
      </c>
      <c r="F171" s="49">
        <v>0</v>
      </c>
      <c r="G171" s="49">
        <v>-4414481.1500000004</v>
      </c>
      <c r="H171" s="154" t="s">
        <v>504</v>
      </c>
      <c r="I171" s="158">
        <v>45385</v>
      </c>
    </row>
    <row r="172" spans="1:9" ht="15" x14ac:dyDescent="0.25">
      <c r="A172" s="160" t="s">
        <v>10</v>
      </c>
      <c r="B172" s="159" t="s">
        <v>74</v>
      </c>
      <c r="C172" s="107">
        <v>2000218</v>
      </c>
      <c r="D172" s="103" t="s">
        <v>60</v>
      </c>
      <c r="E172" s="49">
        <v>3602034.32</v>
      </c>
      <c r="F172" s="49">
        <v>0</v>
      </c>
      <c r="G172" s="49">
        <v>3602034.32</v>
      </c>
      <c r="H172" s="154" t="s">
        <v>504</v>
      </c>
      <c r="I172" s="158">
        <v>45385</v>
      </c>
    </row>
    <row r="173" spans="1:9" ht="30" x14ac:dyDescent="0.25">
      <c r="A173" s="160">
        <v>0</v>
      </c>
      <c r="B173" s="159">
        <v>0</v>
      </c>
      <c r="C173" s="107">
        <v>1000002861</v>
      </c>
      <c r="D173" s="103" t="s">
        <v>467</v>
      </c>
      <c r="E173" s="49">
        <v>1741792</v>
      </c>
      <c r="F173" s="49">
        <v>0</v>
      </c>
      <c r="G173" s="49">
        <v>1741792</v>
      </c>
      <c r="H173" s="154" t="s">
        <v>150</v>
      </c>
      <c r="I173" s="158">
        <v>45386.739224537036</v>
      </c>
    </row>
    <row r="174" spans="1:9" ht="15" x14ac:dyDescent="0.25">
      <c r="A174" s="160" t="s">
        <v>10</v>
      </c>
      <c r="B174" s="159" t="s">
        <v>74</v>
      </c>
      <c r="C174" s="107">
        <v>78665</v>
      </c>
      <c r="D174" s="103" t="s">
        <v>298</v>
      </c>
      <c r="E174" s="49">
        <v>3529258.74</v>
      </c>
      <c r="F174" s="49">
        <v>0</v>
      </c>
      <c r="G174" s="49">
        <v>3529258.74</v>
      </c>
      <c r="H174" s="154" t="s">
        <v>504</v>
      </c>
      <c r="I174" s="158">
        <v>45387.664479166669</v>
      </c>
    </row>
    <row r="175" spans="1:9" ht="15" x14ac:dyDescent="0.25">
      <c r="A175" s="160" t="s">
        <v>10</v>
      </c>
      <c r="B175" s="159" t="s">
        <v>74</v>
      </c>
      <c r="C175" s="107">
        <v>1012259</v>
      </c>
      <c r="D175" s="103" t="s">
        <v>54</v>
      </c>
      <c r="E175" s="49">
        <v>122330.12</v>
      </c>
      <c r="F175" s="49">
        <v>0</v>
      </c>
      <c r="G175" s="49">
        <v>122330.12</v>
      </c>
      <c r="H175" s="154" t="s">
        <v>504</v>
      </c>
      <c r="I175" s="158">
        <v>45387.664479166669</v>
      </c>
    </row>
    <row r="176" spans="1:9" ht="15" x14ac:dyDescent="0.25">
      <c r="A176" s="160" t="s">
        <v>10</v>
      </c>
      <c r="B176" s="159" t="s">
        <v>74</v>
      </c>
      <c r="C176" s="107">
        <v>1012260</v>
      </c>
      <c r="D176" s="103" t="s">
        <v>55</v>
      </c>
      <c r="E176" s="49">
        <v>257539.06</v>
      </c>
      <c r="F176" s="49">
        <v>0</v>
      </c>
      <c r="G176" s="49">
        <v>257539.06</v>
      </c>
      <c r="H176" s="154" t="s">
        <v>504</v>
      </c>
      <c r="I176" s="158">
        <v>45387.664479166669</v>
      </c>
    </row>
    <row r="177" spans="1:9" ht="15" x14ac:dyDescent="0.25">
      <c r="A177" s="160" t="s">
        <v>10</v>
      </c>
      <c r="B177" s="159" t="s">
        <v>74</v>
      </c>
      <c r="C177" s="107">
        <v>1033545</v>
      </c>
      <c r="D177" s="103" t="s">
        <v>236</v>
      </c>
      <c r="E177" s="49">
        <v>46706.37</v>
      </c>
      <c r="F177" s="49">
        <v>0</v>
      </c>
      <c r="G177" s="49">
        <v>46706.37</v>
      </c>
      <c r="H177" s="154" t="s">
        <v>504</v>
      </c>
      <c r="I177" s="158">
        <v>45387.664479166669</v>
      </c>
    </row>
    <row r="178" spans="1:9" ht="15" x14ac:dyDescent="0.25">
      <c r="A178" s="160" t="s">
        <v>10</v>
      </c>
      <c r="B178" s="159" t="s">
        <v>74</v>
      </c>
      <c r="C178" s="107">
        <v>1033546</v>
      </c>
      <c r="D178" s="103" t="s">
        <v>236</v>
      </c>
      <c r="E178" s="49">
        <v>19694.52</v>
      </c>
      <c r="F178" s="49">
        <v>0</v>
      </c>
      <c r="G178" s="49">
        <v>19694.52</v>
      </c>
      <c r="H178" s="154" t="s">
        <v>504</v>
      </c>
      <c r="I178" s="158">
        <v>45387.664479166669</v>
      </c>
    </row>
    <row r="179" spans="1:9" ht="15" x14ac:dyDescent="0.25">
      <c r="A179" s="160" t="s">
        <v>10</v>
      </c>
      <c r="B179" s="159" t="s">
        <v>74</v>
      </c>
      <c r="C179" s="107">
        <v>2000182</v>
      </c>
      <c r="D179" s="103" t="s">
        <v>56</v>
      </c>
      <c r="E179" s="49">
        <v>75086.67</v>
      </c>
      <c r="F179" s="49">
        <v>0</v>
      </c>
      <c r="G179" s="49">
        <v>75086.67</v>
      </c>
      <c r="H179" s="154" t="s">
        <v>504</v>
      </c>
      <c r="I179" s="158">
        <v>45387.664479166669</v>
      </c>
    </row>
    <row r="180" spans="1:9" ht="15" x14ac:dyDescent="0.25">
      <c r="A180" s="160" t="s">
        <v>10</v>
      </c>
      <c r="B180" s="159" t="s">
        <v>74</v>
      </c>
      <c r="C180" s="107">
        <v>2000183</v>
      </c>
      <c r="D180" s="103" t="s">
        <v>309</v>
      </c>
      <c r="E180" s="49">
        <v>162362.76999999999</v>
      </c>
      <c r="F180" s="49">
        <v>0</v>
      </c>
      <c r="G180" s="49">
        <v>162362.76999999999</v>
      </c>
      <c r="H180" s="154" t="s">
        <v>504</v>
      </c>
      <c r="I180" s="158">
        <v>45387.664479166669</v>
      </c>
    </row>
    <row r="181" spans="1:9" ht="15" x14ac:dyDescent="0.25">
      <c r="A181" s="160" t="s">
        <v>10</v>
      </c>
      <c r="B181" s="159" t="s">
        <v>74</v>
      </c>
      <c r="C181" s="107">
        <v>2000216</v>
      </c>
      <c r="D181" s="103" t="s">
        <v>58</v>
      </c>
      <c r="E181" s="49">
        <v>4306948.6900000004</v>
      </c>
      <c r="F181" s="49">
        <v>0</v>
      </c>
      <c r="G181" s="49">
        <v>4306948.6900000004</v>
      </c>
      <c r="H181" s="154" t="s">
        <v>504</v>
      </c>
      <c r="I181" s="158">
        <v>45387.664479166669</v>
      </c>
    </row>
    <row r="182" spans="1:9" ht="15" x14ac:dyDescent="0.25">
      <c r="A182" s="160" t="s">
        <v>10</v>
      </c>
      <c r="B182" s="159" t="s">
        <v>74</v>
      </c>
      <c r="C182" s="107">
        <v>2000217</v>
      </c>
      <c r="D182" s="103" t="s">
        <v>59</v>
      </c>
      <c r="E182" s="49">
        <v>1349325.79</v>
      </c>
      <c r="F182" s="49">
        <v>0</v>
      </c>
      <c r="G182" s="49">
        <v>1349325.79</v>
      </c>
      <c r="H182" s="154" t="s">
        <v>504</v>
      </c>
      <c r="I182" s="158">
        <v>45387.664479166669</v>
      </c>
    </row>
    <row r="183" spans="1:9" ht="15" x14ac:dyDescent="0.25">
      <c r="A183" s="160" t="s">
        <v>10</v>
      </c>
      <c r="B183" s="159" t="s">
        <v>74</v>
      </c>
      <c r="C183" s="107">
        <v>2000218</v>
      </c>
      <c r="D183" s="103" t="s">
        <v>60</v>
      </c>
      <c r="E183" s="49">
        <v>1333999.6499999999</v>
      </c>
      <c r="F183" s="49">
        <v>0</v>
      </c>
      <c r="G183" s="49">
        <v>1333999.6499999999</v>
      </c>
      <c r="H183" s="154" t="s">
        <v>504</v>
      </c>
      <c r="I183" s="158">
        <v>45387.664479166669</v>
      </c>
    </row>
    <row r="184" spans="1:9" ht="15" x14ac:dyDescent="0.25">
      <c r="A184" s="160" t="s">
        <v>10</v>
      </c>
      <c r="B184" s="159" t="s">
        <v>74</v>
      </c>
      <c r="C184" s="107">
        <v>2000423</v>
      </c>
      <c r="D184" s="103" t="s">
        <v>64</v>
      </c>
      <c r="E184" s="49">
        <v>20030.91</v>
      </c>
      <c r="F184" s="49">
        <v>0</v>
      </c>
      <c r="G184" s="49">
        <v>20030.91</v>
      </c>
      <c r="H184" s="154" t="s">
        <v>504</v>
      </c>
      <c r="I184" s="158">
        <v>45387.664479166669</v>
      </c>
    </row>
    <row r="185" spans="1:9" ht="15" x14ac:dyDescent="0.25">
      <c r="A185" s="160" t="s">
        <v>10</v>
      </c>
      <c r="B185" s="159" t="s">
        <v>74</v>
      </c>
      <c r="C185" s="107">
        <v>2000424</v>
      </c>
      <c r="D185" s="103" t="s">
        <v>65</v>
      </c>
      <c r="E185" s="49">
        <v>45351.11</v>
      </c>
      <c r="F185" s="49">
        <v>0</v>
      </c>
      <c r="G185" s="49">
        <v>45351.11</v>
      </c>
      <c r="H185" s="154" t="s">
        <v>504</v>
      </c>
      <c r="I185" s="158">
        <v>45387.664479166669</v>
      </c>
    </row>
    <row r="186" spans="1:9" ht="15" x14ac:dyDescent="0.25">
      <c r="A186" s="160" t="s">
        <v>10</v>
      </c>
      <c r="B186" s="159" t="s">
        <v>74</v>
      </c>
      <c r="C186" s="107">
        <v>2001046</v>
      </c>
      <c r="D186" s="103" t="s">
        <v>227</v>
      </c>
      <c r="E186" s="49">
        <v>124027.91</v>
      </c>
      <c r="F186" s="49">
        <v>0</v>
      </c>
      <c r="G186" s="49">
        <v>124027.91</v>
      </c>
      <c r="H186" s="154" t="s">
        <v>504</v>
      </c>
      <c r="I186" s="158">
        <v>45387.664479166669</v>
      </c>
    </row>
    <row r="187" spans="1:9" ht="15" x14ac:dyDescent="0.25">
      <c r="A187" s="160" t="s">
        <v>10</v>
      </c>
      <c r="B187" s="159" t="s">
        <v>74</v>
      </c>
      <c r="C187" s="107">
        <v>2001047</v>
      </c>
      <c r="D187" s="103" t="s">
        <v>228</v>
      </c>
      <c r="E187" s="49">
        <v>57654.1</v>
      </c>
      <c r="F187" s="49">
        <v>0</v>
      </c>
      <c r="G187" s="49">
        <v>57654.1</v>
      </c>
      <c r="H187" s="154" t="s">
        <v>504</v>
      </c>
      <c r="I187" s="158">
        <v>45387.664479166669</v>
      </c>
    </row>
    <row r="188" spans="1:9" ht="30" x14ac:dyDescent="0.25">
      <c r="A188" s="160" t="s">
        <v>261</v>
      </c>
      <c r="B188" s="159" t="s">
        <v>74</v>
      </c>
      <c r="C188" s="107">
        <v>2001049</v>
      </c>
      <c r="D188" s="103" t="s">
        <v>339</v>
      </c>
      <c r="E188" s="49">
        <v>488879.84</v>
      </c>
      <c r="F188" s="49">
        <v>0</v>
      </c>
      <c r="G188" s="49">
        <v>488879.84</v>
      </c>
      <c r="H188" s="154" t="s">
        <v>150</v>
      </c>
      <c r="I188" s="158">
        <v>45387.664479166669</v>
      </c>
    </row>
    <row r="189" spans="1:9" ht="30" x14ac:dyDescent="0.25">
      <c r="A189" s="160" t="s">
        <v>325</v>
      </c>
      <c r="B189" s="159" t="s">
        <v>74</v>
      </c>
      <c r="C189" s="107">
        <v>2000722</v>
      </c>
      <c r="D189" s="103" t="s">
        <v>351</v>
      </c>
      <c r="E189" s="49">
        <v>13846.16</v>
      </c>
      <c r="F189" s="49">
        <v>0</v>
      </c>
      <c r="G189" s="49">
        <v>13846.16</v>
      </c>
      <c r="H189" s="154" t="s">
        <v>150</v>
      </c>
      <c r="I189" s="158">
        <v>45391.73065972222</v>
      </c>
    </row>
    <row r="190" spans="1:9" ht="30" x14ac:dyDescent="0.25">
      <c r="A190" s="160" t="s">
        <v>261</v>
      </c>
      <c r="B190" s="159" t="s">
        <v>74</v>
      </c>
      <c r="C190" s="107">
        <v>2000569</v>
      </c>
      <c r="D190" s="103" t="s">
        <v>348</v>
      </c>
      <c r="E190" s="49">
        <v>1972975.65</v>
      </c>
      <c r="F190" s="49">
        <v>0</v>
      </c>
      <c r="G190" s="49">
        <v>1972975.65</v>
      </c>
      <c r="H190" s="154" t="s">
        <v>150</v>
      </c>
      <c r="I190" s="158">
        <v>45392.746111111112</v>
      </c>
    </row>
    <row r="191" spans="1:9" ht="30" x14ac:dyDescent="0.25">
      <c r="A191" s="160" t="s">
        <v>261</v>
      </c>
      <c r="B191" s="159" t="s">
        <v>74</v>
      </c>
      <c r="C191" s="107">
        <v>1037124</v>
      </c>
      <c r="D191" s="103" t="s">
        <v>118</v>
      </c>
      <c r="E191" s="49">
        <v>353633.8</v>
      </c>
      <c r="F191" s="49">
        <v>0</v>
      </c>
      <c r="G191" s="49">
        <v>353633.8</v>
      </c>
      <c r="H191" s="154" t="s">
        <v>150</v>
      </c>
      <c r="I191" s="158">
        <v>45393.722083333334</v>
      </c>
    </row>
    <row r="192" spans="1:9" ht="15" x14ac:dyDescent="0.25">
      <c r="A192" s="160" t="s">
        <v>10</v>
      </c>
      <c r="B192" s="159" t="s">
        <v>74</v>
      </c>
      <c r="C192" s="107">
        <v>2000182</v>
      </c>
      <c r="D192" s="103" t="s">
        <v>56</v>
      </c>
      <c r="E192" s="49">
        <v>4939.75</v>
      </c>
      <c r="F192" s="49">
        <v>0</v>
      </c>
      <c r="G192" s="49">
        <v>4939.75</v>
      </c>
      <c r="H192" s="154" t="s">
        <v>504</v>
      </c>
      <c r="I192" s="158">
        <v>45393.722083333334</v>
      </c>
    </row>
    <row r="193" spans="1:9" ht="15" x14ac:dyDescent="0.25">
      <c r="A193" s="160" t="s">
        <v>10</v>
      </c>
      <c r="B193" s="159" t="s">
        <v>74</v>
      </c>
      <c r="C193" s="107">
        <v>2000183</v>
      </c>
      <c r="D193" s="103" t="s">
        <v>309</v>
      </c>
      <c r="E193" s="49">
        <v>14813.16</v>
      </c>
      <c r="F193" s="49">
        <v>0</v>
      </c>
      <c r="G193" s="49">
        <v>14813.16</v>
      </c>
      <c r="H193" s="154" t="s">
        <v>504</v>
      </c>
      <c r="I193" s="158">
        <v>45393.722083333334</v>
      </c>
    </row>
    <row r="194" spans="1:9" ht="15" x14ac:dyDescent="0.25">
      <c r="A194" s="160" t="s">
        <v>10</v>
      </c>
      <c r="B194" s="159" t="s">
        <v>74</v>
      </c>
      <c r="C194" s="107">
        <v>2000423</v>
      </c>
      <c r="D194" s="103" t="s">
        <v>64</v>
      </c>
      <c r="E194" s="49">
        <v>-517001.14</v>
      </c>
      <c r="F194" s="49">
        <v>0</v>
      </c>
      <c r="G194" s="49">
        <v>-517001.14</v>
      </c>
      <c r="H194" s="154" t="s">
        <v>504</v>
      </c>
      <c r="I194" s="158">
        <v>45393.722083333334</v>
      </c>
    </row>
    <row r="195" spans="1:9" ht="15" x14ac:dyDescent="0.25">
      <c r="A195" s="160" t="s">
        <v>10</v>
      </c>
      <c r="B195" s="159" t="s">
        <v>74</v>
      </c>
      <c r="C195" s="107">
        <v>2000424</v>
      </c>
      <c r="D195" s="103" t="s">
        <v>65</v>
      </c>
      <c r="E195" s="49">
        <v>-1027544.14</v>
      </c>
      <c r="F195" s="49">
        <v>0</v>
      </c>
      <c r="G195" s="49">
        <v>-1027544.14</v>
      </c>
      <c r="H195" s="154" t="s">
        <v>504</v>
      </c>
      <c r="I195" s="158">
        <v>45393.722083333334</v>
      </c>
    </row>
    <row r="196" spans="1:9" ht="30" x14ac:dyDescent="0.25">
      <c r="A196" s="160" t="s">
        <v>261</v>
      </c>
      <c r="B196" s="159" t="s">
        <v>74</v>
      </c>
      <c r="C196" s="107">
        <v>1037085</v>
      </c>
      <c r="D196" s="103" t="s">
        <v>392</v>
      </c>
      <c r="E196" s="49">
        <v>2064207.96</v>
      </c>
      <c r="F196" s="49">
        <v>0</v>
      </c>
      <c r="G196" s="49">
        <v>2064207.96</v>
      </c>
      <c r="H196" s="154" t="s">
        <v>150</v>
      </c>
      <c r="I196" s="158">
        <v>45394.65042824074</v>
      </c>
    </row>
    <row r="197" spans="1:9" ht="30" x14ac:dyDescent="0.25">
      <c r="A197" s="160" t="s">
        <v>261</v>
      </c>
      <c r="B197" s="159" t="s">
        <v>74</v>
      </c>
      <c r="C197" s="107">
        <v>1037086</v>
      </c>
      <c r="D197" s="103" t="s">
        <v>384</v>
      </c>
      <c r="E197" s="49">
        <v>4812430.88</v>
      </c>
      <c r="F197" s="49">
        <v>0</v>
      </c>
      <c r="G197" s="49">
        <v>4812430.88</v>
      </c>
      <c r="H197" s="154" t="s">
        <v>150</v>
      </c>
      <c r="I197" s="158">
        <v>45394.65042824074</v>
      </c>
    </row>
    <row r="198" spans="1:9" ht="30" x14ac:dyDescent="0.25">
      <c r="A198" s="160" t="s">
        <v>355</v>
      </c>
      <c r="B198" s="159" t="s">
        <v>74</v>
      </c>
      <c r="C198" s="107">
        <v>1037090</v>
      </c>
      <c r="D198" s="103" t="s">
        <v>369</v>
      </c>
      <c r="E198" s="49">
        <v>719603.28</v>
      </c>
      <c r="F198" s="49">
        <v>0</v>
      </c>
      <c r="G198" s="49">
        <v>719603.28</v>
      </c>
      <c r="H198" s="154" t="s">
        <v>150</v>
      </c>
      <c r="I198" s="158">
        <v>45394.65042824074</v>
      </c>
    </row>
    <row r="199" spans="1:9" ht="30" x14ac:dyDescent="0.25">
      <c r="A199" s="160" t="s">
        <v>261</v>
      </c>
      <c r="B199" s="159" t="s">
        <v>74</v>
      </c>
      <c r="C199" s="107">
        <v>1037113</v>
      </c>
      <c r="D199" s="103" t="s">
        <v>388</v>
      </c>
      <c r="E199" s="49">
        <v>2494079.54</v>
      </c>
      <c r="F199" s="49">
        <v>0</v>
      </c>
      <c r="G199" s="49">
        <v>2494079.54</v>
      </c>
      <c r="H199" s="154" t="s">
        <v>150</v>
      </c>
      <c r="I199" s="158">
        <v>45394.65042824074</v>
      </c>
    </row>
    <row r="200" spans="1:9" ht="30" x14ac:dyDescent="0.25">
      <c r="A200" s="160" t="s">
        <v>261</v>
      </c>
      <c r="B200" s="159" t="s">
        <v>74</v>
      </c>
      <c r="C200" s="107">
        <v>1037117</v>
      </c>
      <c r="D200" s="103" t="s">
        <v>390</v>
      </c>
      <c r="E200" s="49">
        <v>411634.52</v>
      </c>
      <c r="F200" s="49">
        <v>0</v>
      </c>
      <c r="G200" s="49">
        <v>411634.52</v>
      </c>
      <c r="H200" s="154" t="s">
        <v>150</v>
      </c>
      <c r="I200" s="158">
        <v>45394.650439814817</v>
      </c>
    </row>
    <row r="201" spans="1:9" ht="30" x14ac:dyDescent="0.25">
      <c r="A201" s="160" t="s">
        <v>261</v>
      </c>
      <c r="B201" s="159" t="s">
        <v>74</v>
      </c>
      <c r="C201" s="107">
        <v>1037118</v>
      </c>
      <c r="D201" s="103" t="s">
        <v>386</v>
      </c>
      <c r="E201" s="49">
        <v>1349158.58</v>
      </c>
      <c r="F201" s="49">
        <v>0</v>
      </c>
      <c r="G201" s="49">
        <v>1349158.58</v>
      </c>
      <c r="H201" s="154" t="s">
        <v>150</v>
      </c>
      <c r="I201" s="158">
        <v>45394.650439814817</v>
      </c>
    </row>
    <row r="202" spans="1:9" ht="15" x14ac:dyDescent="0.25">
      <c r="A202" s="160" t="s">
        <v>10</v>
      </c>
      <c r="B202" s="159" t="s">
        <v>74</v>
      </c>
      <c r="C202" s="107">
        <v>2000217</v>
      </c>
      <c r="D202" s="103" t="s">
        <v>59</v>
      </c>
      <c r="E202" s="49">
        <v>-30149.45</v>
      </c>
      <c r="F202" s="49">
        <v>0</v>
      </c>
      <c r="G202" s="49">
        <v>-30149.45</v>
      </c>
      <c r="H202" s="154" t="s">
        <v>504</v>
      </c>
      <c r="I202" s="158">
        <v>45394.650439814817</v>
      </c>
    </row>
    <row r="203" spans="1:9" ht="15" x14ac:dyDescent="0.25">
      <c r="A203" s="160" t="s">
        <v>10</v>
      </c>
      <c r="B203" s="159" t="s">
        <v>74</v>
      </c>
      <c r="C203" s="107">
        <v>2000218</v>
      </c>
      <c r="D203" s="103" t="s">
        <v>60</v>
      </c>
      <c r="E203" s="49">
        <v>-4939.75</v>
      </c>
      <c r="F203" s="49">
        <v>0</v>
      </c>
      <c r="G203" s="49">
        <v>-4939.75</v>
      </c>
      <c r="H203" s="154" t="s">
        <v>504</v>
      </c>
      <c r="I203" s="158">
        <v>45394.650439814817</v>
      </c>
    </row>
    <row r="204" spans="1:9" ht="15" x14ac:dyDescent="0.25">
      <c r="A204" s="160" t="s">
        <v>10</v>
      </c>
      <c r="B204" s="159" t="s">
        <v>74</v>
      </c>
      <c r="C204" s="107">
        <v>2000220</v>
      </c>
      <c r="D204" s="103" t="s">
        <v>62</v>
      </c>
      <c r="E204" s="49">
        <v>-90283.26</v>
      </c>
      <c r="F204" s="49">
        <v>0</v>
      </c>
      <c r="G204" s="49">
        <v>-90283.26</v>
      </c>
      <c r="H204" s="154" t="s">
        <v>504</v>
      </c>
      <c r="I204" s="158">
        <v>45394.650439814817</v>
      </c>
    </row>
    <row r="205" spans="1:9" ht="15" x14ac:dyDescent="0.25">
      <c r="A205" s="160" t="s">
        <v>10</v>
      </c>
      <c r="B205" s="159" t="s">
        <v>74</v>
      </c>
      <c r="C205" s="107">
        <v>2000221</v>
      </c>
      <c r="D205" s="103" t="s">
        <v>63</v>
      </c>
      <c r="E205" s="49">
        <v>-14813.16</v>
      </c>
      <c r="F205" s="49">
        <v>0</v>
      </c>
      <c r="G205" s="49">
        <v>-14813.16</v>
      </c>
      <c r="H205" s="154" t="s">
        <v>504</v>
      </c>
      <c r="I205" s="158">
        <v>45394.650439814817</v>
      </c>
    </row>
    <row r="206" spans="1:9" ht="30" x14ac:dyDescent="0.25">
      <c r="A206" s="160" t="s">
        <v>261</v>
      </c>
      <c r="B206" s="159" t="s">
        <v>74</v>
      </c>
      <c r="C206" s="107">
        <v>2001049</v>
      </c>
      <c r="D206" s="103" t="s">
        <v>339</v>
      </c>
      <c r="E206" s="49">
        <v>992471.08</v>
      </c>
      <c r="F206" s="49">
        <v>0</v>
      </c>
      <c r="G206" s="49">
        <v>992471.08</v>
      </c>
      <c r="H206" s="154" t="s">
        <v>150</v>
      </c>
      <c r="I206" s="158">
        <v>45394.650439814817</v>
      </c>
    </row>
    <row r="207" spans="1:9" ht="30" x14ac:dyDescent="0.25">
      <c r="A207" s="160" t="s">
        <v>261</v>
      </c>
      <c r="B207" s="159" t="s">
        <v>74</v>
      </c>
      <c r="C207" s="107">
        <v>2001050</v>
      </c>
      <c r="D207" s="103" t="s">
        <v>337</v>
      </c>
      <c r="E207" s="49">
        <v>1342934.68</v>
      </c>
      <c r="F207" s="49">
        <v>0</v>
      </c>
      <c r="G207" s="49">
        <v>1342934.68</v>
      </c>
      <c r="H207" s="154" t="s">
        <v>150</v>
      </c>
      <c r="I207" s="158">
        <v>45394.650439814817</v>
      </c>
    </row>
    <row r="208" spans="1:9" ht="30" x14ac:dyDescent="0.25">
      <c r="A208" s="160" t="s">
        <v>355</v>
      </c>
      <c r="B208" s="159" t="s">
        <v>74</v>
      </c>
      <c r="C208" s="107">
        <v>1000003291</v>
      </c>
      <c r="D208" s="103" t="s">
        <v>479</v>
      </c>
      <c r="E208" s="49">
        <v>1472872.78</v>
      </c>
      <c r="F208" s="49">
        <v>0</v>
      </c>
      <c r="G208" s="49">
        <v>1472872.78</v>
      </c>
      <c r="H208" s="154" t="s">
        <v>150</v>
      </c>
      <c r="I208" s="158">
        <v>45394.650439814817</v>
      </c>
    </row>
    <row r="209" spans="1:9" ht="30" x14ac:dyDescent="0.25">
      <c r="A209" s="160" t="s">
        <v>355</v>
      </c>
      <c r="B209" s="159" t="s">
        <v>74</v>
      </c>
      <c r="C209" s="107">
        <v>1000003292</v>
      </c>
      <c r="D209" s="103" t="s">
        <v>480</v>
      </c>
      <c r="E209" s="49">
        <v>235415.54</v>
      </c>
      <c r="F209" s="49">
        <v>0</v>
      </c>
      <c r="G209" s="49">
        <v>235415.54</v>
      </c>
      <c r="H209" s="154" t="s">
        <v>150</v>
      </c>
      <c r="I209" s="158">
        <v>45394.650439814817</v>
      </c>
    </row>
    <row r="210" spans="1:9" ht="30" x14ac:dyDescent="0.25">
      <c r="A210" s="160" t="s">
        <v>355</v>
      </c>
      <c r="B210" s="159" t="s">
        <v>74</v>
      </c>
      <c r="C210" s="107">
        <v>1000003293</v>
      </c>
      <c r="D210" s="103" t="s">
        <v>481</v>
      </c>
      <c r="E210" s="49">
        <v>1691448.94</v>
      </c>
      <c r="F210" s="49">
        <v>0</v>
      </c>
      <c r="G210" s="49">
        <v>1691448.94</v>
      </c>
      <c r="H210" s="154" t="s">
        <v>150</v>
      </c>
      <c r="I210" s="158">
        <v>45394.650439814817</v>
      </c>
    </row>
    <row r="211" spans="1:9" ht="30" x14ac:dyDescent="0.25">
      <c r="A211" s="160" t="s">
        <v>355</v>
      </c>
      <c r="B211" s="159" t="s">
        <v>74</v>
      </c>
      <c r="C211" s="107">
        <v>1000003295</v>
      </c>
      <c r="D211" s="103" t="s">
        <v>483</v>
      </c>
      <c r="E211" s="49">
        <v>127747.52</v>
      </c>
      <c r="F211" s="49">
        <v>0</v>
      </c>
      <c r="G211" s="49">
        <v>127747.52</v>
      </c>
      <c r="H211" s="154" t="s">
        <v>150</v>
      </c>
      <c r="I211" s="158">
        <v>45394.650439814817</v>
      </c>
    </row>
    <row r="212" spans="1:9" ht="30" x14ac:dyDescent="0.25">
      <c r="A212" s="160" t="s">
        <v>355</v>
      </c>
      <c r="B212" s="159" t="s">
        <v>74</v>
      </c>
      <c r="C212" s="107">
        <v>1000003297</v>
      </c>
      <c r="D212" s="103" t="s">
        <v>484</v>
      </c>
      <c r="E212" s="49">
        <v>495640.24</v>
      </c>
      <c r="F212" s="49">
        <v>0</v>
      </c>
      <c r="G212" s="49">
        <v>495640.24</v>
      </c>
      <c r="H212" s="154" t="s">
        <v>150</v>
      </c>
      <c r="I212" s="158">
        <v>45394.650439814817</v>
      </c>
    </row>
    <row r="213" spans="1:9" ht="30" x14ac:dyDescent="0.25">
      <c r="A213" s="160" t="s">
        <v>355</v>
      </c>
      <c r="B213" s="159" t="s">
        <v>74</v>
      </c>
      <c r="C213" s="107">
        <v>1000003298</v>
      </c>
      <c r="D213" s="103" t="s">
        <v>485</v>
      </c>
      <c r="E213" s="49">
        <v>1287842.92</v>
      </c>
      <c r="F213" s="49">
        <v>0</v>
      </c>
      <c r="G213" s="49">
        <v>1287842.92</v>
      </c>
      <c r="H213" s="154" t="s">
        <v>150</v>
      </c>
      <c r="I213" s="158">
        <v>45394.650439814817</v>
      </c>
    </row>
    <row r="214" spans="1:9" ht="30" x14ac:dyDescent="0.25">
      <c r="A214" s="160" t="s">
        <v>355</v>
      </c>
      <c r="B214" s="159">
        <v>0</v>
      </c>
      <c r="C214" s="107">
        <v>1000003299</v>
      </c>
      <c r="D214" s="103" t="s">
        <v>486</v>
      </c>
      <c r="E214" s="49">
        <v>4306110.5199999996</v>
      </c>
      <c r="F214" s="49">
        <v>0</v>
      </c>
      <c r="G214" s="49">
        <v>4306110.5199999996</v>
      </c>
      <c r="H214" s="154" t="s">
        <v>150</v>
      </c>
      <c r="I214" s="158">
        <v>45394.650439814817</v>
      </c>
    </row>
    <row r="215" spans="1:9" ht="30" x14ac:dyDescent="0.25">
      <c r="A215" s="160">
        <v>0</v>
      </c>
      <c r="B215" s="159">
        <v>0</v>
      </c>
      <c r="C215" s="107">
        <v>1000003302</v>
      </c>
      <c r="D215" s="103" t="s">
        <v>489</v>
      </c>
      <c r="E215" s="49">
        <v>6110.72</v>
      </c>
      <c r="F215" s="49">
        <v>0</v>
      </c>
      <c r="G215" s="49">
        <v>6110.72</v>
      </c>
      <c r="H215" s="154" t="s">
        <v>150</v>
      </c>
      <c r="I215" s="158">
        <v>45394.650439814817</v>
      </c>
    </row>
    <row r="216" spans="1:9" ht="15" x14ac:dyDescent="0.25">
      <c r="A216" s="160"/>
      <c r="B216" s="159"/>
      <c r="C216" s="107"/>
      <c r="D216" s="103"/>
      <c r="E216" s="49"/>
      <c r="F216" s="49"/>
      <c r="G216" s="49"/>
      <c r="H216" s="154"/>
      <c r="I216" s="158"/>
    </row>
    <row r="217" spans="1:9" ht="15" x14ac:dyDescent="0.25">
      <c r="A217" s="160"/>
      <c r="B217" s="159"/>
      <c r="C217" s="107"/>
      <c r="D217" s="103"/>
      <c r="E217" s="49"/>
      <c r="F217" s="49"/>
      <c r="G217" s="49"/>
      <c r="H217" s="154"/>
      <c r="I217" s="158"/>
    </row>
    <row r="218" spans="1:9" ht="15" x14ac:dyDescent="0.25">
      <c r="A218" s="160"/>
      <c r="B218" s="159"/>
      <c r="C218" s="107"/>
      <c r="D218" s="103"/>
      <c r="E218" s="49"/>
      <c r="F218" s="49"/>
      <c r="G218" s="49"/>
      <c r="H218" s="154"/>
      <c r="I218" s="158"/>
    </row>
    <row r="219" spans="1:9" ht="15" x14ac:dyDescent="0.25">
      <c r="A219" s="160"/>
      <c r="B219" s="159"/>
      <c r="C219" s="107"/>
      <c r="D219" s="103"/>
      <c r="E219" s="49"/>
      <c r="F219" s="49"/>
      <c r="G219" s="49"/>
      <c r="H219" s="154"/>
      <c r="I219" s="158"/>
    </row>
    <row r="220" spans="1:9" ht="15" x14ac:dyDescent="0.25">
      <c r="A220" s="160"/>
      <c r="B220" s="159"/>
      <c r="C220" s="107"/>
      <c r="D220" s="103"/>
      <c r="E220" s="49"/>
      <c r="F220" s="49"/>
      <c r="G220" s="49"/>
      <c r="H220" s="154"/>
      <c r="I220" s="158"/>
    </row>
    <row r="221" spans="1:9" ht="15" x14ac:dyDescent="0.25">
      <c r="A221" s="160"/>
      <c r="B221" s="159"/>
      <c r="C221" s="107"/>
      <c r="D221" s="103"/>
      <c r="E221" s="49"/>
      <c r="F221" s="49"/>
      <c r="G221" s="49"/>
      <c r="H221" s="154"/>
      <c r="I221" s="158"/>
    </row>
    <row r="222" spans="1:9" ht="15" x14ac:dyDescent="0.25">
      <c r="A222" s="160"/>
      <c r="B222" s="159"/>
      <c r="C222" s="107"/>
      <c r="D222" s="103"/>
      <c r="E222" s="49"/>
      <c r="F222" s="49"/>
      <c r="G222" s="49"/>
      <c r="H222" s="154"/>
      <c r="I222" s="158"/>
    </row>
    <row r="223" spans="1:9" ht="15" x14ac:dyDescent="0.25">
      <c r="A223" s="160"/>
      <c r="B223" s="159"/>
      <c r="C223" s="107"/>
      <c r="D223" s="103"/>
      <c r="E223" s="49"/>
      <c r="F223" s="49"/>
      <c r="G223" s="49"/>
      <c r="H223" s="154"/>
      <c r="I223" s="158"/>
    </row>
    <row r="224" spans="1:9" x14ac:dyDescent="0.2">
      <c r="A224" s="177"/>
      <c r="B224" s="177"/>
      <c r="C224" s="107"/>
      <c r="D224" s="115"/>
      <c r="E224" s="177"/>
      <c r="F224" s="177"/>
      <c r="G224" s="177"/>
      <c r="H224" s="178"/>
      <c r="I224" s="177"/>
    </row>
    <row r="225" spans="1:9" x14ac:dyDescent="0.2">
      <c r="A225" s="177"/>
      <c r="B225" s="177"/>
      <c r="C225" s="177"/>
      <c r="D225" s="115"/>
      <c r="E225" s="177"/>
      <c r="F225" s="177"/>
      <c r="G225" s="177"/>
      <c r="H225" s="178"/>
      <c r="I225" s="177"/>
    </row>
    <row r="226" spans="1:9" x14ac:dyDescent="0.2">
      <c r="A226" s="177"/>
      <c r="B226" s="177"/>
      <c r="C226" s="177"/>
      <c r="D226" s="115"/>
      <c r="E226" s="177"/>
      <c r="F226" s="177"/>
      <c r="G226" s="177"/>
      <c r="H226" s="178"/>
      <c r="I226" s="177"/>
    </row>
    <row r="227" spans="1:9" x14ac:dyDescent="0.2">
      <c r="A227" s="177"/>
      <c r="B227" s="177"/>
      <c r="C227" s="177"/>
      <c r="D227" s="115"/>
      <c r="E227" s="177"/>
      <c r="F227" s="177"/>
      <c r="G227" s="177"/>
      <c r="H227" s="178"/>
      <c r="I227" s="177"/>
    </row>
    <row r="228" spans="1:9" x14ac:dyDescent="0.2">
      <c r="A228" s="177"/>
      <c r="B228" s="177"/>
      <c r="C228" s="177"/>
      <c r="D228" s="115"/>
      <c r="E228" s="177"/>
      <c r="F228" s="177"/>
      <c r="G228" s="177"/>
      <c r="H228" s="178"/>
      <c r="I228" s="177"/>
    </row>
    <row r="229" spans="1:9" x14ac:dyDescent="0.2">
      <c r="A229" s="177"/>
      <c r="B229" s="177"/>
      <c r="C229" s="177"/>
      <c r="D229" s="115"/>
      <c r="E229" s="177"/>
      <c r="F229" s="177"/>
      <c r="G229" s="177"/>
      <c r="H229" s="178"/>
      <c r="I229" s="177"/>
    </row>
    <row r="230" spans="1:9" x14ac:dyDescent="0.2">
      <c r="A230" s="177"/>
      <c r="B230" s="177"/>
      <c r="C230" s="177"/>
      <c r="D230" s="115"/>
      <c r="E230" s="177"/>
      <c r="F230" s="177"/>
      <c r="G230" s="177"/>
      <c r="H230" s="178"/>
      <c r="I230" s="177"/>
    </row>
    <row r="231" spans="1:9" x14ac:dyDescent="0.2">
      <c r="A231" s="177"/>
      <c r="B231" s="177"/>
      <c r="C231" s="177"/>
      <c r="D231" s="115"/>
      <c r="E231" s="177"/>
      <c r="F231" s="177"/>
      <c r="G231" s="177"/>
      <c r="H231" s="178"/>
      <c r="I231" s="177"/>
    </row>
  </sheetData>
  <autoFilter ref="A86:T215" xr:uid="{00000000-0001-0000-0300-000000000000}">
    <sortState xmlns:xlrd2="http://schemas.microsoft.com/office/spreadsheetml/2017/richdata2" ref="A87:T140">
      <sortCondition ref="C86:C143"/>
    </sortState>
  </autoFilter>
  <customSheetViews>
    <customSheetView guid="{FCDC5774-C688-49A7-887C-2F5AAD39761C}" scale="85" showGridLines="0" fitToPage="1" printArea="1" filter="1" showAutoFilter="1" hiddenRows="1">
      <pane xSplit="4" ySplit="5" topLeftCell="E33" activePane="bottomRight" state="frozen"/>
      <selection pane="bottomRight" activeCell="H256" sqref="H256"/>
      <pageMargins left="0.19685039370078741" right="0.19685039370078741" top="0.19685039370078741" bottom="0.19685039370078741" header="0" footer="0"/>
      <printOptions horizontalCentered="1" verticalCentered="1"/>
      <pageSetup paperSize="9" scale="46" fitToHeight="100" orientation="portrait" r:id="rId1"/>
      <headerFooter alignWithMargins="0"/>
      <autoFilter ref="B1:J1" xr:uid="{1B0FB21F-094F-434E-9021-C636F2FB5EC0}">
        <filterColumn colId="1">
          <filters>
            <filter val="GESTION"/>
          </filters>
        </filterColumn>
        <filterColumn colId="3">
          <filters>
            <filter val="UADY-1002461"/>
            <filter val="UADY-112720"/>
            <filter val="UADY-112800"/>
            <filter val="UADY-113610"/>
            <filter val="UADY-204410"/>
            <filter val="UADY-208750"/>
          </filters>
        </filterColumn>
      </autoFilter>
    </customSheetView>
    <customSheetView guid="{A92C6C20-72AA-4220-B3AA-00E51E3C498A}" scale="85" showPageBreaks="1" showGridLines="0" fitToPage="1" printArea="1" showAutoFilter="1" hiddenRows="1">
      <pane xSplit="4" ySplit="5" topLeftCell="E222" activePane="bottomRight" state="frozen"/>
      <selection pane="bottomRight" activeCell="D248" sqref="D248"/>
      <pageMargins left="0.19685039370078741" right="0.19685039370078741" top="0.19685039370078741" bottom="0.19685039370078741" header="0" footer="0"/>
      <printOptions horizontalCentered="1" verticalCentered="1"/>
      <pageSetup paperSize="9" scale="45" fitToHeight="100" orientation="portrait" r:id="rId2"/>
      <headerFooter alignWithMargins="0"/>
      <autoFilter ref="B1:J1" xr:uid="{F80C9520-69EA-475F-9B22-F56E07187C9A}"/>
    </customSheetView>
  </customSheetViews>
  <mergeCells count="3">
    <mergeCell ref="A1:H1"/>
    <mergeCell ref="A2:H2"/>
    <mergeCell ref="A3:F3"/>
  </mergeCells>
  <phoneticPr fontId="7" type="noConversion"/>
  <conditionalFormatting sqref="G4 G6:G82 G107:G65356">
    <cfRule type="cellIs" dxfId="99" priority="4713" stopIfTrue="1" operator="notBetween">
      <formula>0</formula>
      <formula>0</formula>
    </cfRule>
  </conditionalFormatting>
  <conditionalFormatting sqref="C4">
    <cfRule type="cellIs" dxfId="98" priority="4714" stopIfTrue="1" operator="equal">
      <formula>"""Error Contratos"""</formula>
    </cfRule>
    <cfRule type="cellIs" dxfId="97" priority="4715" stopIfTrue="1" operator="equal">
      <formula>"""Ok"""</formula>
    </cfRule>
  </conditionalFormatting>
  <conditionalFormatting sqref="D4">
    <cfRule type="cellIs" dxfId="96" priority="4720" stopIfTrue="1" operator="equal">
      <formula>"OK"</formula>
    </cfRule>
    <cfRule type="cellIs" dxfId="95" priority="4721" stopIfTrue="1" operator="equal">
      <formula>"Validar Mov RK"</formula>
    </cfRule>
  </conditionalFormatting>
  <conditionalFormatting sqref="G84:G85">
    <cfRule type="cellIs" dxfId="94" priority="3676" stopIfTrue="1" operator="notBetween">
      <formula>0</formula>
      <formula>0</formula>
    </cfRule>
  </conditionalFormatting>
  <conditionalFormatting sqref="B6:B85 B87:B65356">
    <cfRule type="cellIs" dxfId="93" priority="3629" stopIfTrue="1" operator="equal">
      <formula>"INSTITUCIONAL"</formula>
    </cfRule>
  </conditionalFormatting>
  <conditionalFormatting sqref="B4 B6:B85 B87:B65356">
    <cfRule type="cellIs" dxfId="92" priority="3628" stopIfTrue="1" operator="equal">
      <formula>"GESTION"</formula>
    </cfRule>
  </conditionalFormatting>
  <conditionalFormatting sqref="I13:I18">
    <cfRule type="cellIs" dxfId="91" priority="2324" stopIfTrue="1" operator="notBetween">
      <formula>0</formula>
      <formula>0</formula>
    </cfRule>
  </conditionalFormatting>
  <dataValidations count="1">
    <dataValidation type="list" allowBlank="1" showInputMessage="1" showErrorMessage="1" sqref="H6:H80 H92:H223" xr:uid="{00000000-0002-0000-0300-000000000000}">
      <formula1>$K$6:$K$17</formula1>
    </dataValidation>
  </dataValidations>
  <printOptions horizontalCentered="1" verticalCentered="1"/>
  <pageMargins left="0.19685039370078741" right="0.19685039370078741" top="0.19685039370078741" bottom="0.19685039370078741" header="0" footer="0"/>
  <pageSetup paperSize="9" scale="49" fitToHeight="100"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027" r:id="rId6" name="Button 3">
              <controlPr defaultSize="0" print="0" autoFill="0" autoPict="0" macro="[0]!MOVRK">
                <anchor moveWithCells="1" sizeWithCells="1">
                  <from>
                    <xdr:col>0</xdr:col>
                    <xdr:colOff>0</xdr:colOff>
                    <xdr:row>0</xdr:row>
                    <xdr:rowOff>0</xdr:rowOff>
                  </from>
                  <to>
                    <xdr:col>0</xdr:col>
                    <xdr:colOff>0</xdr:colOff>
                    <xdr:row>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F1697-92B8-44EB-A151-D5C92160620F}">
  <dimension ref="A1:G2"/>
  <sheetViews>
    <sheetView workbookViewId="0">
      <selection sqref="A1:G2"/>
    </sheetView>
  </sheetViews>
  <sheetFormatPr baseColWidth="10" defaultRowHeight="12.75" x14ac:dyDescent="0.2"/>
  <cols>
    <col min="1" max="1" width="13.7109375" customWidth="1"/>
    <col min="2" max="2" width="15.140625" customWidth="1"/>
    <col min="3" max="3" width="12.28515625" customWidth="1"/>
  </cols>
  <sheetData>
    <row r="1" spans="1:7" x14ac:dyDescent="0.2">
      <c r="A1" t="s">
        <v>29</v>
      </c>
      <c r="B1" t="s">
        <v>30</v>
      </c>
      <c r="C1" t="s">
        <v>31</v>
      </c>
      <c r="D1" t="s">
        <v>32</v>
      </c>
      <c r="E1" t="s">
        <v>3</v>
      </c>
      <c r="F1" t="s">
        <v>33</v>
      </c>
      <c r="G1" t="s">
        <v>75</v>
      </c>
    </row>
    <row r="2" spans="1:7" x14ac:dyDescent="0.2">
      <c r="A2">
        <v>2046</v>
      </c>
      <c r="B2" t="s">
        <v>460</v>
      </c>
      <c r="C2" t="s">
        <v>461</v>
      </c>
      <c r="D2" t="s">
        <v>435</v>
      </c>
      <c r="E2">
        <v>-102030.76999999996</v>
      </c>
      <c r="F2">
        <v>204</v>
      </c>
      <c r="G2">
        <v>-102030.76999999996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
  <dimension ref="A1:P902"/>
  <sheetViews>
    <sheetView zoomScaleNormal="100" workbookViewId="0">
      <selection activeCell="P5" sqref="P5:P80"/>
    </sheetView>
  </sheetViews>
  <sheetFormatPr baseColWidth="10" defaultRowHeight="12.75" x14ac:dyDescent="0.2"/>
  <cols>
    <col min="2" max="2" width="14.140625" customWidth="1"/>
    <col min="3" max="3" width="17.7109375" customWidth="1"/>
    <col min="4" max="4" width="28.5703125" customWidth="1"/>
    <col min="5" max="5" width="15.28515625" bestFit="1" customWidth="1"/>
    <col min="6" max="6" width="13.7109375" bestFit="1" customWidth="1"/>
    <col min="7" max="7" width="13.7109375" customWidth="1"/>
    <col min="8" max="8" width="16" bestFit="1" customWidth="1"/>
    <col min="10" max="10" width="15.42578125" bestFit="1" customWidth="1"/>
    <col min="11" max="11" width="13.28515625" bestFit="1" customWidth="1"/>
  </cols>
  <sheetData>
    <row r="1" spans="1:16" s="1" customFormat="1" x14ac:dyDescent="0.2">
      <c r="A1" s="12" t="s">
        <v>99</v>
      </c>
      <c r="B1" s="18" t="s">
        <v>29</v>
      </c>
      <c r="C1" s="4" t="s">
        <v>30</v>
      </c>
      <c r="D1" s="4" t="s">
        <v>31</v>
      </c>
      <c r="E1" s="4" t="s">
        <v>32</v>
      </c>
      <c r="F1" s="4" t="s">
        <v>3</v>
      </c>
      <c r="G1" s="4" t="s">
        <v>33</v>
      </c>
      <c r="H1" s="8" t="s">
        <v>75</v>
      </c>
      <c r="I1" s="4"/>
      <c r="K1" s="1">
        <f>COUNTA(J5:J24)</f>
        <v>20</v>
      </c>
    </row>
    <row r="2" spans="1:16" x14ac:dyDescent="0.2">
      <c r="A2" s="3" t="s">
        <v>74</v>
      </c>
      <c r="B2" s="194">
        <v>1096</v>
      </c>
      <c r="C2" s="192" t="s">
        <v>824</v>
      </c>
      <c r="D2" s="192" t="s">
        <v>26</v>
      </c>
      <c r="E2" s="192" t="s">
        <v>245</v>
      </c>
      <c r="F2" s="193">
        <v>420.97999999999985</v>
      </c>
      <c r="G2" s="194">
        <v>152981</v>
      </c>
      <c r="H2" s="2">
        <f t="shared" ref="H2:H65" si="0">IF(A29="Gestion",F2*1,0)</f>
        <v>420.97999999999985</v>
      </c>
      <c r="I2" s="2"/>
    </row>
    <row r="3" spans="1:16" x14ac:dyDescent="0.2">
      <c r="A3" s="3" t="s">
        <v>74</v>
      </c>
      <c r="B3" s="194">
        <v>1096</v>
      </c>
      <c r="C3" s="192" t="s">
        <v>824</v>
      </c>
      <c r="D3" s="192" t="s">
        <v>825</v>
      </c>
      <c r="E3" s="192" t="s">
        <v>245</v>
      </c>
      <c r="F3" s="193">
        <v>46749.729999999996</v>
      </c>
      <c r="G3" s="194">
        <v>152971</v>
      </c>
      <c r="H3" s="2">
        <f t="shared" si="0"/>
        <v>46749.729999999996</v>
      </c>
      <c r="I3" s="2"/>
      <c r="J3" s="96" t="s">
        <v>76</v>
      </c>
      <c r="K3" s="97"/>
    </row>
    <row r="4" spans="1:16" x14ac:dyDescent="0.2">
      <c r="A4" s="3" t="s">
        <v>74</v>
      </c>
      <c r="B4" s="194">
        <v>1096</v>
      </c>
      <c r="C4" s="192" t="s">
        <v>824</v>
      </c>
      <c r="D4" s="192" t="s">
        <v>826</v>
      </c>
      <c r="E4" s="192" t="s">
        <v>245</v>
      </c>
      <c r="F4" s="193">
        <v>54907.849999999991</v>
      </c>
      <c r="G4" s="194">
        <v>152974</v>
      </c>
      <c r="H4" s="2">
        <f t="shared" si="0"/>
        <v>54907.849999999991</v>
      </c>
      <c r="I4" s="2"/>
      <c r="J4" s="96" t="s">
        <v>33</v>
      </c>
      <c r="K4" s="97" t="s">
        <v>0</v>
      </c>
    </row>
    <row r="5" spans="1:16" x14ac:dyDescent="0.2">
      <c r="A5" s="3" t="s">
        <v>74</v>
      </c>
      <c r="B5" s="194">
        <v>1096</v>
      </c>
      <c r="C5" s="192" t="s">
        <v>824</v>
      </c>
      <c r="D5" s="192" t="s">
        <v>827</v>
      </c>
      <c r="E5" s="192" t="s">
        <v>245</v>
      </c>
      <c r="F5" s="193">
        <v>157.57000000000002</v>
      </c>
      <c r="G5" s="194">
        <v>152983</v>
      </c>
      <c r="H5" s="2">
        <f t="shared" si="0"/>
        <v>157.57000000000002</v>
      </c>
      <c r="I5" s="2"/>
      <c r="J5" s="101">
        <v>220</v>
      </c>
      <c r="K5" s="98">
        <v>-28462.759999999918</v>
      </c>
      <c r="P5" s="3" t="s">
        <v>426</v>
      </c>
    </row>
    <row r="6" spans="1:16" x14ac:dyDescent="0.2">
      <c r="A6" s="3" t="s">
        <v>74</v>
      </c>
      <c r="B6" s="194">
        <v>1096</v>
      </c>
      <c r="C6" s="192" t="s">
        <v>824</v>
      </c>
      <c r="D6" s="192" t="s">
        <v>828</v>
      </c>
      <c r="E6" s="192" t="s">
        <v>245</v>
      </c>
      <c r="F6" s="193">
        <v>18647.599999999988</v>
      </c>
      <c r="G6" s="194">
        <v>152976</v>
      </c>
      <c r="H6" s="2">
        <f t="shared" si="0"/>
        <v>18647.599999999988</v>
      </c>
      <c r="I6" s="2"/>
      <c r="J6" s="121">
        <v>224</v>
      </c>
      <c r="K6" s="120">
        <v>534231.8199999996</v>
      </c>
    </row>
    <row r="7" spans="1:16" x14ac:dyDescent="0.2">
      <c r="A7" s="3" t="s">
        <v>74</v>
      </c>
      <c r="B7" s="194">
        <v>1096</v>
      </c>
      <c r="C7" s="192" t="s">
        <v>824</v>
      </c>
      <c r="D7" s="192" t="s">
        <v>829</v>
      </c>
      <c r="E7" s="192" t="s">
        <v>245</v>
      </c>
      <c r="F7" s="193">
        <v>15940.959999999986</v>
      </c>
      <c r="G7" s="194">
        <v>152979</v>
      </c>
      <c r="H7" s="2">
        <f t="shared" si="0"/>
        <v>15940.959999999986</v>
      </c>
      <c r="I7" s="2"/>
      <c r="J7" s="121">
        <v>226</v>
      </c>
      <c r="K7" s="120">
        <v>75500</v>
      </c>
    </row>
    <row r="8" spans="1:16" x14ac:dyDescent="0.2">
      <c r="A8" s="3" t="s">
        <v>74</v>
      </c>
      <c r="B8" s="194">
        <v>119</v>
      </c>
      <c r="C8" s="192" t="s">
        <v>830</v>
      </c>
      <c r="D8" s="192" t="s">
        <v>831</v>
      </c>
      <c r="E8" s="192" t="s">
        <v>432</v>
      </c>
      <c r="F8" s="193">
        <v>-33846.47</v>
      </c>
      <c r="G8" s="194">
        <v>1008496</v>
      </c>
      <c r="H8" s="2">
        <f t="shared" si="0"/>
        <v>-33846.47</v>
      </c>
      <c r="I8" s="2"/>
      <c r="J8" s="121">
        <v>227</v>
      </c>
      <c r="K8" s="120">
        <v>13000</v>
      </c>
    </row>
    <row r="9" spans="1:16" x14ac:dyDescent="0.2">
      <c r="A9" s="3" t="s">
        <v>74</v>
      </c>
      <c r="B9" s="194">
        <v>1932</v>
      </c>
      <c r="C9" s="192" t="s">
        <v>832</v>
      </c>
      <c r="D9" s="192" t="s">
        <v>833</v>
      </c>
      <c r="E9" s="192" t="s">
        <v>245</v>
      </c>
      <c r="F9" s="193">
        <v>68467.999999999854</v>
      </c>
      <c r="G9" s="194">
        <v>2257</v>
      </c>
      <c r="H9" s="2">
        <f t="shared" si="0"/>
        <v>68467.999999999854</v>
      </c>
      <c r="I9" s="2"/>
      <c r="J9" s="121">
        <v>2017</v>
      </c>
      <c r="K9" s="120">
        <v>-37668.880000000005</v>
      </c>
    </row>
    <row r="10" spans="1:16" x14ac:dyDescent="0.2">
      <c r="A10" s="3" t="s">
        <v>74</v>
      </c>
      <c r="B10" s="194">
        <v>1934</v>
      </c>
      <c r="C10" s="192" t="s">
        <v>834</v>
      </c>
      <c r="D10" s="192" t="s">
        <v>835</v>
      </c>
      <c r="E10" s="192" t="s">
        <v>245</v>
      </c>
      <c r="F10" s="193">
        <v>437215.25999999949</v>
      </c>
      <c r="G10" s="194">
        <v>2258</v>
      </c>
      <c r="H10" s="2">
        <f t="shared" si="0"/>
        <v>437215.25999999949</v>
      </c>
      <c r="I10" s="2"/>
      <c r="J10" s="121">
        <v>2018</v>
      </c>
      <c r="K10" s="120">
        <v>935125.32000001939</v>
      </c>
    </row>
    <row r="11" spans="1:16" x14ac:dyDescent="0.2">
      <c r="A11" s="3" t="s">
        <v>74</v>
      </c>
      <c r="B11" s="194">
        <v>2000905</v>
      </c>
      <c r="C11" s="192" t="s">
        <v>836</v>
      </c>
      <c r="D11" s="192" t="s">
        <v>837</v>
      </c>
      <c r="E11" s="192" t="s">
        <v>557</v>
      </c>
      <c r="F11" s="193">
        <v>0</v>
      </c>
      <c r="G11" s="194">
        <v>2000905</v>
      </c>
      <c r="H11" s="2">
        <f t="shared" si="0"/>
        <v>0</v>
      </c>
      <c r="I11" s="2"/>
      <c r="J11" s="121">
        <v>2038</v>
      </c>
      <c r="K11" s="120">
        <v>2408971.7799999993</v>
      </c>
      <c r="P11" s="3" t="s">
        <v>426</v>
      </c>
    </row>
    <row r="12" spans="1:16" x14ac:dyDescent="0.2">
      <c r="A12" s="3" t="s">
        <v>74</v>
      </c>
      <c r="B12" s="194">
        <v>2000905</v>
      </c>
      <c r="C12" s="192" t="s">
        <v>836</v>
      </c>
      <c r="D12" s="192" t="s">
        <v>837</v>
      </c>
      <c r="E12" s="192" t="s">
        <v>245</v>
      </c>
      <c r="F12" s="193">
        <v>2718867.3099999996</v>
      </c>
      <c r="G12" s="194">
        <v>2000905</v>
      </c>
      <c r="H12" s="2">
        <f t="shared" si="0"/>
        <v>2718867.3099999996</v>
      </c>
      <c r="I12" s="2"/>
      <c r="J12" s="121">
        <v>2039</v>
      </c>
      <c r="K12" s="120">
        <v>28120541.359999809</v>
      </c>
    </row>
    <row r="13" spans="1:16" x14ac:dyDescent="0.2">
      <c r="A13" s="3" t="s">
        <v>74</v>
      </c>
      <c r="B13" s="194">
        <v>2017</v>
      </c>
      <c r="C13" s="192" t="s">
        <v>838</v>
      </c>
      <c r="D13" s="192" t="s">
        <v>839</v>
      </c>
      <c r="E13" s="192" t="s">
        <v>840</v>
      </c>
      <c r="F13" s="193">
        <v>-18834.439999999999</v>
      </c>
      <c r="G13" s="194">
        <v>2017</v>
      </c>
      <c r="H13" s="2">
        <f t="shared" si="0"/>
        <v>-18834.439999999999</v>
      </c>
      <c r="I13" s="2"/>
      <c r="J13" s="121">
        <v>2040</v>
      </c>
      <c r="K13" s="120">
        <v>792633.17999999726</v>
      </c>
    </row>
    <row r="14" spans="1:16" x14ac:dyDescent="0.2">
      <c r="A14" s="3" t="s">
        <v>74</v>
      </c>
      <c r="B14" s="194">
        <v>2017</v>
      </c>
      <c r="C14" s="192" t="s">
        <v>838</v>
      </c>
      <c r="D14" s="192" t="s">
        <v>839</v>
      </c>
      <c r="E14" s="192" t="s">
        <v>246</v>
      </c>
      <c r="F14" s="193">
        <v>-18834.440000000002</v>
      </c>
      <c r="G14" s="194">
        <v>2017</v>
      </c>
      <c r="H14" s="2">
        <f t="shared" si="0"/>
        <v>-18834.440000000002</v>
      </c>
      <c r="I14" s="2"/>
      <c r="J14" s="121">
        <v>2041</v>
      </c>
      <c r="K14" s="120">
        <v>23664</v>
      </c>
    </row>
    <row r="15" spans="1:16" x14ac:dyDescent="0.2">
      <c r="A15" s="3" t="s">
        <v>74</v>
      </c>
      <c r="B15" s="194">
        <v>2018</v>
      </c>
      <c r="C15" s="192" t="s">
        <v>841</v>
      </c>
      <c r="D15" s="192" t="s">
        <v>842</v>
      </c>
      <c r="E15" s="192" t="s">
        <v>245</v>
      </c>
      <c r="F15" s="193">
        <v>948557.80000001937</v>
      </c>
      <c r="G15" s="194">
        <v>2018</v>
      </c>
      <c r="H15" s="2">
        <f t="shared" si="0"/>
        <v>948557.80000001937</v>
      </c>
      <c r="I15" s="2"/>
      <c r="J15" s="121">
        <v>2052</v>
      </c>
      <c r="K15" s="120">
        <v>80944.44000000009</v>
      </c>
    </row>
    <row r="16" spans="1:16" x14ac:dyDescent="0.2">
      <c r="A16" s="3" t="s">
        <v>74</v>
      </c>
      <c r="B16" s="194">
        <v>2018</v>
      </c>
      <c r="C16" s="192" t="s">
        <v>841</v>
      </c>
      <c r="D16" s="192" t="s">
        <v>842</v>
      </c>
      <c r="E16" s="192" t="s">
        <v>586</v>
      </c>
      <c r="F16" s="193">
        <v>-13432.48</v>
      </c>
      <c r="G16" s="194">
        <v>2018</v>
      </c>
      <c r="H16" s="2">
        <f t="shared" si="0"/>
        <v>-13432.48</v>
      </c>
      <c r="I16" s="2"/>
      <c r="J16" s="121">
        <v>2053</v>
      </c>
      <c r="K16" s="120">
        <v>39654.320000000051</v>
      </c>
    </row>
    <row r="17" spans="1:11" x14ac:dyDescent="0.2">
      <c r="A17" s="3" t="s">
        <v>74</v>
      </c>
      <c r="B17" s="194">
        <v>2038</v>
      </c>
      <c r="C17" s="192" t="s">
        <v>892</v>
      </c>
      <c r="D17" s="192" t="s">
        <v>893</v>
      </c>
      <c r="E17" s="192" t="s">
        <v>245</v>
      </c>
      <c r="F17" s="193">
        <v>2408971.7799999993</v>
      </c>
      <c r="G17" s="194">
        <v>2038</v>
      </c>
      <c r="H17" s="2">
        <f t="shared" si="0"/>
        <v>2408971.7799999993</v>
      </c>
      <c r="I17" s="2"/>
      <c r="J17" s="121">
        <v>2100</v>
      </c>
      <c r="K17" s="120">
        <v>889578.79999999795</v>
      </c>
    </row>
    <row r="18" spans="1:11" x14ac:dyDescent="0.2">
      <c r="A18" s="3" t="s">
        <v>74</v>
      </c>
      <c r="B18" s="194">
        <v>2039</v>
      </c>
      <c r="C18" s="192" t="s">
        <v>843</v>
      </c>
      <c r="D18" s="192" t="s">
        <v>843</v>
      </c>
      <c r="E18" s="192" t="s">
        <v>245</v>
      </c>
      <c r="F18" s="193">
        <v>28601197.559999809</v>
      </c>
      <c r="G18" s="194">
        <v>2039</v>
      </c>
      <c r="H18" s="2">
        <f t="shared" si="0"/>
        <v>28601197.559999809</v>
      </c>
      <c r="I18" s="2"/>
      <c r="J18" s="121">
        <v>2131</v>
      </c>
      <c r="K18" s="120">
        <v>1357357.7799999982</v>
      </c>
    </row>
    <row r="19" spans="1:11" x14ac:dyDescent="0.2">
      <c r="A19" s="3" t="s">
        <v>74</v>
      </c>
      <c r="B19" s="194">
        <v>2039</v>
      </c>
      <c r="C19" s="192" t="s">
        <v>843</v>
      </c>
      <c r="D19" s="192" t="s">
        <v>843</v>
      </c>
      <c r="E19" s="192" t="s">
        <v>432</v>
      </c>
      <c r="F19" s="193">
        <v>-480656.2</v>
      </c>
      <c r="G19" s="194">
        <v>2039</v>
      </c>
      <c r="H19" s="2">
        <f t="shared" si="0"/>
        <v>-480656.2</v>
      </c>
      <c r="I19" s="2"/>
      <c r="J19" s="121">
        <v>2153</v>
      </c>
      <c r="K19" s="120">
        <v>1676507.8999999801</v>
      </c>
    </row>
    <row r="20" spans="1:11" x14ac:dyDescent="0.2">
      <c r="A20" s="3" t="s">
        <v>74</v>
      </c>
      <c r="B20" s="194">
        <v>2040</v>
      </c>
      <c r="C20" s="192" t="s">
        <v>844</v>
      </c>
      <c r="D20" s="192" t="s">
        <v>845</v>
      </c>
      <c r="E20" s="192" t="s">
        <v>557</v>
      </c>
      <c r="F20" s="193">
        <v>0</v>
      </c>
      <c r="G20" s="194">
        <v>2040</v>
      </c>
      <c r="H20" s="2">
        <f t="shared" si="0"/>
        <v>0</v>
      </c>
      <c r="I20" s="2"/>
      <c r="J20" s="121">
        <v>2170</v>
      </c>
      <c r="K20" s="120">
        <v>809915.8399999995</v>
      </c>
    </row>
    <row r="21" spans="1:11" x14ac:dyDescent="0.2">
      <c r="A21" s="3" t="s">
        <v>74</v>
      </c>
      <c r="B21" s="194">
        <v>2040</v>
      </c>
      <c r="C21" s="192" t="s">
        <v>844</v>
      </c>
      <c r="D21" s="192" t="s">
        <v>845</v>
      </c>
      <c r="E21" s="192" t="s">
        <v>245</v>
      </c>
      <c r="F21" s="193">
        <v>792633.17999999726</v>
      </c>
      <c r="G21" s="194">
        <v>2040</v>
      </c>
      <c r="H21" s="2">
        <f t="shared" si="0"/>
        <v>792633.17999999726</v>
      </c>
      <c r="I21" s="2"/>
      <c r="J21" s="121">
        <v>2173</v>
      </c>
      <c r="K21" s="120">
        <v>534326.16000000213</v>
      </c>
    </row>
    <row r="22" spans="1:11" x14ac:dyDescent="0.2">
      <c r="A22" s="3" t="s">
        <v>74</v>
      </c>
      <c r="B22" s="194">
        <v>2041</v>
      </c>
      <c r="C22" s="192" t="s">
        <v>846</v>
      </c>
      <c r="D22" s="192" t="s">
        <v>847</v>
      </c>
      <c r="E22" s="192" t="s">
        <v>245</v>
      </c>
      <c r="F22" s="193">
        <v>23664</v>
      </c>
      <c r="G22" s="194">
        <v>2041</v>
      </c>
      <c r="H22" s="2">
        <f t="shared" si="0"/>
        <v>23664</v>
      </c>
      <c r="I22" s="2"/>
      <c r="J22" s="121">
        <v>2201</v>
      </c>
      <c r="K22" s="120">
        <v>143011.73999999996</v>
      </c>
    </row>
    <row r="23" spans="1:11" x14ac:dyDescent="0.2">
      <c r="A23" s="3" t="s">
        <v>74</v>
      </c>
      <c r="B23" s="194">
        <v>2052</v>
      </c>
      <c r="C23" s="194">
        <v>2052</v>
      </c>
      <c r="D23" s="192" t="s">
        <v>848</v>
      </c>
      <c r="E23" s="192" t="s">
        <v>245</v>
      </c>
      <c r="F23" s="193">
        <v>80944.44000000009</v>
      </c>
      <c r="G23" s="194">
        <v>2052</v>
      </c>
      <c r="H23" s="2">
        <f t="shared" si="0"/>
        <v>80944.44000000009</v>
      </c>
      <c r="I23" s="2"/>
      <c r="J23" s="121">
        <v>2202</v>
      </c>
      <c r="K23" s="120">
        <v>1505942.0600000028</v>
      </c>
    </row>
    <row r="24" spans="1:11" x14ac:dyDescent="0.2">
      <c r="A24" s="3" t="s">
        <v>74</v>
      </c>
      <c r="B24" s="194">
        <v>2053</v>
      </c>
      <c r="C24" s="194">
        <v>2053</v>
      </c>
      <c r="D24" s="192" t="s">
        <v>849</v>
      </c>
      <c r="E24" s="192" t="s">
        <v>245</v>
      </c>
      <c r="F24" s="193">
        <v>39654.320000000051</v>
      </c>
      <c r="G24" s="194">
        <v>2053</v>
      </c>
      <c r="H24" s="2">
        <f t="shared" si="0"/>
        <v>39654.320000000051</v>
      </c>
      <c r="I24" s="2"/>
      <c r="J24" s="121">
        <v>2203</v>
      </c>
      <c r="K24" s="120">
        <v>79463.119999999966</v>
      </c>
    </row>
    <row r="25" spans="1:11" x14ac:dyDescent="0.2">
      <c r="A25" s="3" t="s">
        <v>74</v>
      </c>
      <c r="B25" s="194">
        <v>21</v>
      </c>
      <c r="C25" s="192" t="s">
        <v>850</v>
      </c>
      <c r="D25" s="192" t="s">
        <v>851</v>
      </c>
      <c r="E25" s="192" t="s">
        <v>852</v>
      </c>
      <c r="F25" s="193">
        <v>-180378.87</v>
      </c>
      <c r="G25" s="194">
        <v>147309</v>
      </c>
      <c r="H25" s="2">
        <f t="shared" si="0"/>
        <v>-180378.87</v>
      </c>
      <c r="I25" s="2"/>
      <c r="J25" s="121">
        <v>2204</v>
      </c>
      <c r="K25" s="120">
        <v>778725.65000001702</v>
      </c>
    </row>
    <row r="26" spans="1:11" x14ac:dyDescent="0.2">
      <c r="A26" s="3" t="s">
        <v>74</v>
      </c>
      <c r="B26" s="194">
        <v>21</v>
      </c>
      <c r="C26" s="192" t="s">
        <v>850</v>
      </c>
      <c r="D26" s="192" t="s">
        <v>851</v>
      </c>
      <c r="E26" s="192" t="s">
        <v>432</v>
      </c>
      <c r="F26" s="193">
        <v>-97548.75</v>
      </c>
      <c r="G26" s="194">
        <v>147309</v>
      </c>
      <c r="H26" s="2">
        <f t="shared" si="0"/>
        <v>-97548.75</v>
      </c>
      <c r="I26" s="2"/>
      <c r="J26" s="121">
        <v>2205</v>
      </c>
      <c r="K26" s="120">
        <v>758207.41999999806</v>
      </c>
    </row>
    <row r="27" spans="1:11" x14ac:dyDescent="0.2">
      <c r="A27" s="3" t="s">
        <v>74</v>
      </c>
      <c r="B27" s="194">
        <v>2100</v>
      </c>
      <c r="C27" s="194">
        <v>2100</v>
      </c>
      <c r="D27" s="192" t="s">
        <v>853</v>
      </c>
      <c r="E27" s="192" t="s">
        <v>245</v>
      </c>
      <c r="F27" s="193">
        <v>889578.79999999795</v>
      </c>
      <c r="G27" s="194">
        <v>2100</v>
      </c>
      <c r="H27" s="2">
        <f t="shared" si="0"/>
        <v>889578.79999999795</v>
      </c>
      <c r="I27" s="2"/>
      <c r="J27" s="121">
        <v>2206</v>
      </c>
      <c r="K27" s="120">
        <v>153218.08000000005</v>
      </c>
    </row>
    <row r="28" spans="1:11" x14ac:dyDescent="0.2">
      <c r="A28" s="3" t="s">
        <v>74</v>
      </c>
      <c r="B28" s="194">
        <v>2131</v>
      </c>
      <c r="C28" s="192" t="s">
        <v>894</v>
      </c>
      <c r="D28" s="192" t="s">
        <v>894</v>
      </c>
      <c r="E28" s="192" t="s">
        <v>245</v>
      </c>
      <c r="F28" s="193">
        <v>1357357.7799999982</v>
      </c>
      <c r="G28" s="194">
        <v>2131</v>
      </c>
      <c r="H28" s="2">
        <f t="shared" si="0"/>
        <v>1357357.7799999982</v>
      </c>
      <c r="I28" s="2"/>
      <c r="J28" s="121">
        <v>2219</v>
      </c>
      <c r="K28" s="120">
        <v>-404735.34</v>
      </c>
    </row>
    <row r="29" spans="1:11" x14ac:dyDescent="0.2">
      <c r="A29" s="3" t="s">
        <v>74</v>
      </c>
      <c r="B29" s="194">
        <v>2153</v>
      </c>
      <c r="C29" s="194">
        <v>2153</v>
      </c>
      <c r="D29" s="192" t="s">
        <v>854</v>
      </c>
      <c r="E29" s="192" t="s">
        <v>245</v>
      </c>
      <c r="F29" s="193">
        <v>1676507.8999999801</v>
      </c>
      <c r="G29" s="194">
        <v>2153</v>
      </c>
      <c r="H29" s="2">
        <f t="shared" si="0"/>
        <v>1676507.8999999801</v>
      </c>
      <c r="I29" s="2"/>
      <c r="J29" s="121">
        <v>2241</v>
      </c>
      <c r="K29" s="120">
        <v>-34314.26</v>
      </c>
    </row>
    <row r="30" spans="1:11" x14ac:dyDescent="0.2">
      <c r="A30" s="3" t="s">
        <v>74</v>
      </c>
      <c r="B30" s="194">
        <v>2170</v>
      </c>
      <c r="C30" s="194">
        <v>2170</v>
      </c>
      <c r="D30" s="192" t="s">
        <v>855</v>
      </c>
      <c r="E30" s="192" t="s">
        <v>557</v>
      </c>
      <c r="F30" s="193">
        <v>0</v>
      </c>
      <c r="G30" s="194">
        <v>2170</v>
      </c>
      <c r="H30" s="2">
        <f>IF(A57="Gestion",F30*1,0)</f>
        <v>0</v>
      </c>
      <c r="I30" s="2"/>
      <c r="J30" s="121">
        <v>2242</v>
      </c>
      <c r="K30" s="120">
        <v>-564882.63999999955</v>
      </c>
    </row>
    <row r="31" spans="1:11" x14ac:dyDescent="0.2">
      <c r="A31" s="3" t="s">
        <v>74</v>
      </c>
      <c r="B31" s="194">
        <v>2170</v>
      </c>
      <c r="C31" s="194">
        <v>2170</v>
      </c>
      <c r="D31" s="192" t="s">
        <v>855</v>
      </c>
      <c r="E31" s="192" t="s">
        <v>245</v>
      </c>
      <c r="F31" s="193">
        <v>809915.8399999995</v>
      </c>
      <c r="G31" s="194">
        <v>2170</v>
      </c>
      <c r="H31" s="2">
        <f>IF(A58="Gestion",F31*1,0)</f>
        <v>809915.8399999995</v>
      </c>
      <c r="I31" s="6"/>
      <c r="J31" s="121">
        <v>2244</v>
      </c>
      <c r="K31" s="120">
        <v>478242.43999999727</v>
      </c>
    </row>
    <row r="32" spans="1:11" x14ac:dyDescent="0.2">
      <c r="A32" s="3" t="s">
        <v>74</v>
      </c>
      <c r="B32" s="194">
        <v>2173</v>
      </c>
      <c r="C32" s="194">
        <v>2173</v>
      </c>
      <c r="D32" s="192" t="s">
        <v>856</v>
      </c>
      <c r="E32" s="192" t="s">
        <v>245</v>
      </c>
      <c r="F32" s="193">
        <v>600459.80000000214</v>
      </c>
      <c r="G32" s="194">
        <v>2173</v>
      </c>
      <c r="H32" s="2">
        <f>IF(A59="Gestion",F32*1,0)</f>
        <v>600459.80000000214</v>
      </c>
      <c r="I32" s="6"/>
      <c r="J32" s="121">
        <v>2248</v>
      </c>
      <c r="K32" s="120">
        <v>-81000</v>
      </c>
    </row>
    <row r="33" spans="1:11" x14ac:dyDescent="0.2">
      <c r="A33" s="3" t="s">
        <v>74</v>
      </c>
      <c r="B33" s="194">
        <v>2173</v>
      </c>
      <c r="C33" s="194">
        <v>2173</v>
      </c>
      <c r="D33" s="192" t="s">
        <v>856</v>
      </c>
      <c r="E33" s="192" t="s">
        <v>432</v>
      </c>
      <c r="F33" s="193">
        <v>-66133.64</v>
      </c>
      <c r="G33" s="194">
        <v>2173</v>
      </c>
      <c r="H33" s="2">
        <f t="shared" si="0"/>
        <v>-66133.64</v>
      </c>
      <c r="I33" s="6"/>
      <c r="J33" s="121">
        <v>2257</v>
      </c>
      <c r="K33" s="120">
        <v>68467.999999999854</v>
      </c>
    </row>
    <row r="34" spans="1:11" x14ac:dyDescent="0.2">
      <c r="A34" s="3" t="s">
        <v>74</v>
      </c>
      <c r="B34" s="194">
        <v>2201</v>
      </c>
      <c r="C34" s="194">
        <v>2201</v>
      </c>
      <c r="D34" s="192" t="s">
        <v>857</v>
      </c>
      <c r="E34" s="192" t="s">
        <v>538</v>
      </c>
      <c r="F34" s="193">
        <v>3547.7800000000007</v>
      </c>
      <c r="G34" s="194">
        <v>2201</v>
      </c>
      <c r="H34" s="2">
        <f t="shared" si="0"/>
        <v>3547.7800000000007</v>
      </c>
      <c r="I34" s="6"/>
      <c r="J34" s="121">
        <v>2258</v>
      </c>
      <c r="K34" s="120">
        <v>437215.25999999949</v>
      </c>
    </row>
    <row r="35" spans="1:11" x14ac:dyDescent="0.2">
      <c r="A35" s="3" t="s">
        <v>74</v>
      </c>
      <c r="B35" s="194">
        <v>2201</v>
      </c>
      <c r="C35" s="194">
        <v>2201</v>
      </c>
      <c r="D35" s="192" t="s">
        <v>858</v>
      </c>
      <c r="E35" s="192" t="s">
        <v>435</v>
      </c>
      <c r="F35" s="193">
        <v>-2615.38</v>
      </c>
      <c r="G35" s="192">
        <v>220</v>
      </c>
      <c r="H35" s="2">
        <f t="shared" si="0"/>
        <v>-2615.38</v>
      </c>
      <c r="I35" s="2"/>
      <c r="J35" s="121">
        <v>2263</v>
      </c>
      <c r="K35" s="120">
        <v>-21674.200000000033</v>
      </c>
    </row>
    <row r="36" spans="1:11" x14ac:dyDescent="0.2">
      <c r="A36" s="3" t="s">
        <v>74</v>
      </c>
      <c r="B36" s="194">
        <v>2201</v>
      </c>
      <c r="C36" s="194">
        <v>2201</v>
      </c>
      <c r="D36" s="192" t="s">
        <v>857</v>
      </c>
      <c r="E36" s="192" t="s">
        <v>245</v>
      </c>
      <c r="F36" s="193">
        <v>139463.95999999996</v>
      </c>
      <c r="G36" s="194">
        <v>2201</v>
      </c>
      <c r="H36" s="2">
        <f t="shared" si="0"/>
        <v>139463.95999999996</v>
      </c>
      <c r="I36" s="2"/>
      <c r="J36" s="121">
        <v>2270</v>
      </c>
      <c r="K36" s="120">
        <v>55809.520000000004</v>
      </c>
    </row>
    <row r="37" spans="1:11" x14ac:dyDescent="0.2">
      <c r="A37" s="3" t="s">
        <v>74</v>
      </c>
      <c r="B37" s="194">
        <v>2202</v>
      </c>
      <c r="C37" s="194">
        <v>2202</v>
      </c>
      <c r="D37" s="192" t="s">
        <v>859</v>
      </c>
      <c r="E37" s="192" t="s">
        <v>538</v>
      </c>
      <c r="F37" s="193">
        <v>207825.8000000001</v>
      </c>
      <c r="G37" s="194">
        <v>2202</v>
      </c>
      <c r="H37" s="2">
        <f t="shared" si="0"/>
        <v>207825.8000000001</v>
      </c>
      <c r="J37" s="121">
        <v>2272</v>
      </c>
      <c r="K37" s="120">
        <v>277269.08</v>
      </c>
    </row>
    <row r="38" spans="1:11" x14ac:dyDescent="0.2">
      <c r="A38" s="3" t="s">
        <v>74</v>
      </c>
      <c r="B38" s="194">
        <v>2202</v>
      </c>
      <c r="C38" s="194">
        <v>2202</v>
      </c>
      <c r="D38" s="192" t="s">
        <v>860</v>
      </c>
      <c r="E38" s="192" t="s">
        <v>538</v>
      </c>
      <c r="F38" s="193">
        <v>125000</v>
      </c>
      <c r="G38" s="192" t="s">
        <v>861</v>
      </c>
      <c r="H38" s="2">
        <f t="shared" si="0"/>
        <v>125000</v>
      </c>
      <c r="J38" s="121">
        <v>2277</v>
      </c>
      <c r="K38" s="120">
        <v>26991.919999999933</v>
      </c>
    </row>
    <row r="39" spans="1:11" x14ac:dyDescent="0.2">
      <c r="A39" s="3" t="s">
        <v>74</v>
      </c>
      <c r="B39" s="194">
        <v>2202</v>
      </c>
      <c r="C39" s="194">
        <v>2202</v>
      </c>
      <c r="D39" s="192" t="s">
        <v>859</v>
      </c>
      <c r="E39" s="192" t="s">
        <v>45</v>
      </c>
      <c r="F39" s="193">
        <v>-125000</v>
      </c>
      <c r="G39" s="194">
        <v>2202</v>
      </c>
      <c r="H39" s="2">
        <f t="shared" si="0"/>
        <v>-125000</v>
      </c>
      <c r="J39" s="121">
        <v>2279</v>
      </c>
      <c r="K39" s="120">
        <v>-13000</v>
      </c>
    </row>
    <row r="40" spans="1:11" x14ac:dyDescent="0.2">
      <c r="A40" s="3" t="s">
        <v>74</v>
      </c>
      <c r="B40" s="194">
        <v>2202</v>
      </c>
      <c r="C40" s="194">
        <v>2202</v>
      </c>
      <c r="D40" s="192" t="s">
        <v>860</v>
      </c>
      <c r="E40" s="192" t="s">
        <v>435</v>
      </c>
      <c r="F40" s="193">
        <v>-181241.49000000014</v>
      </c>
      <c r="G40" s="192" t="s">
        <v>861</v>
      </c>
      <c r="H40" s="2">
        <f t="shared" si="0"/>
        <v>-181241.49000000014</v>
      </c>
      <c r="J40" s="121">
        <v>147309</v>
      </c>
      <c r="K40" s="120">
        <v>-277927.62</v>
      </c>
    </row>
    <row r="41" spans="1:11" x14ac:dyDescent="0.2">
      <c r="A41" s="3" t="s">
        <v>74</v>
      </c>
      <c r="B41" s="194">
        <v>2202</v>
      </c>
      <c r="C41" s="194">
        <v>2202</v>
      </c>
      <c r="D41" s="192" t="s">
        <v>859</v>
      </c>
      <c r="E41" s="192" t="s">
        <v>245</v>
      </c>
      <c r="F41" s="193">
        <v>1423116.2600000028</v>
      </c>
      <c r="G41" s="194">
        <v>2202</v>
      </c>
      <c r="H41" s="2">
        <f t="shared" si="0"/>
        <v>1423116.2600000028</v>
      </c>
      <c r="J41" s="121">
        <v>147311</v>
      </c>
      <c r="K41" s="120">
        <v>-174262.89</v>
      </c>
    </row>
    <row r="42" spans="1:11" x14ac:dyDescent="0.2">
      <c r="A42" s="3" t="s">
        <v>74</v>
      </c>
      <c r="B42" s="194">
        <v>2203</v>
      </c>
      <c r="C42" s="194">
        <v>2203</v>
      </c>
      <c r="D42" s="192" t="s">
        <v>587</v>
      </c>
      <c r="E42" s="192" t="s">
        <v>245</v>
      </c>
      <c r="F42" s="193">
        <v>79463.119999999966</v>
      </c>
      <c r="G42" s="194">
        <v>2203</v>
      </c>
      <c r="H42" s="2">
        <f t="shared" si="0"/>
        <v>79463.119999999966</v>
      </c>
      <c r="J42" s="121">
        <v>147314</v>
      </c>
      <c r="K42" s="120">
        <v>-842181.34</v>
      </c>
    </row>
    <row r="43" spans="1:11" x14ac:dyDescent="0.2">
      <c r="A43" s="3" t="s">
        <v>74</v>
      </c>
      <c r="B43" s="194">
        <v>2204</v>
      </c>
      <c r="C43" s="194">
        <v>2204</v>
      </c>
      <c r="D43" s="192" t="s">
        <v>588</v>
      </c>
      <c r="E43" s="192" t="s">
        <v>538</v>
      </c>
      <c r="F43" s="193">
        <v>27265.669999999915</v>
      </c>
      <c r="G43" s="194">
        <v>2204</v>
      </c>
      <c r="H43" s="2">
        <f t="shared" si="0"/>
        <v>27265.669999999915</v>
      </c>
      <c r="J43" s="121">
        <v>152971</v>
      </c>
      <c r="K43" s="120">
        <v>46749.729999999996</v>
      </c>
    </row>
    <row r="44" spans="1:11" x14ac:dyDescent="0.2">
      <c r="A44" s="3" t="s">
        <v>74</v>
      </c>
      <c r="B44" s="194">
        <v>2204</v>
      </c>
      <c r="C44" s="194">
        <v>2204</v>
      </c>
      <c r="D44" s="192" t="s">
        <v>588</v>
      </c>
      <c r="E44" s="192" t="s">
        <v>435</v>
      </c>
      <c r="F44" s="193">
        <v>-25847.379999999917</v>
      </c>
      <c r="G44" s="192">
        <v>220</v>
      </c>
      <c r="H44" s="2">
        <f t="shared" si="0"/>
        <v>-25847.379999999917</v>
      </c>
      <c r="J44" s="121">
        <v>152974</v>
      </c>
      <c r="K44" s="120">
        <v>54907.849999999991</v>
      </c>
    </row>
    <row r="45" spans="1:11" x14ac:dyDescent="0.2">
      <c r="A45" s="3" t="s">
        <v>74</v>
      </c>
      <c r="B45" s="194">
        <v>2204</v>
      </c>
      <c r="C45" s="194">
        <v>2204</v>
      </c>
      <c r="D45" s="192" t="s">
        <v>588</v>
      </c>
      <c r="E45" s="192" t="s">
        <v>245</v>
      </c>
      <c r="F45" s="193">
        <v>751459.98000001709</v>
      </c>
      <c r="G45" s="194">
        <v>2204</v>
      </c>
      <c r="H45" s="2">
        <f t="shared" si="0"/>
        <v>751459.98000001709</v>
      </c>
      <c r="J45" s="121">
        <v>152976</v>
      </c>
      <c r="K45" s="120">
        <v>18647.599999999988</v>
      </c>
    </row>
    <row r="46" spans="1:11" x14ac:dyDescent="0.2">
      <c r="A46" s="3" t="s">
        <v>74</v>
      </c>
      <c r="B46" s="194">
        <v>2205</v>
      </c>
      <c r="C46" s="194">
        <v>2205</v>
      </c>
      <c r="D46" s="192" t="s">
        <v>862</v>
      </c>
      <c r="E46" s="192" t="s">
        <v>245</v>
      </c>
      <c r="F46" s="193">
        <v>758207.41999999806</v>
      </c>
      <c r="G46" s="194">
        <v>2205</v>
      </c>
      <c r="H46" s="2">
        <f t="shared" si="0"/>
        <v>758207.41999999806</v>
      </c>
      <c r="J46" s="121">
        <v>152979</v>
      </c>
      <c r="K46" s="120">
        <v>15940.959999999986</v>
      </c>
    </row>
    <row r="47" spans="1:11" x14ac:dyDescent="0.2">
      <c r="A47" s="3" t="s">
        <v>74</v>
      </c>
      <c r="B47" s="194">
        <v>2206</v>
      </c>
      <c r="C47" s="194">
        <v>2206</v>
      </c>
      <c r="D47" s="192" t="s">
        <v>863</v>
      </c>
      <c r="E47" s="192" t="s">
        <v>245</v>
      </c>
      <c r="F47" s="193">
        <v>153218.08000000005</v>
      </c>
      <c r="G47" s="194">
        <v>2206</v>
      </c>
      <c r="H47" s="2">
        <f t="shared" si="0"/>
        <v>153218.08000000005</v>
      </c>
      <c r="J47" s="121">
        <v>152981</v>
      </c>
      <c r="K47" s="120">
        <v>420.97999999999985</v>
      </c>
    </row>
    <row r="48" spans="1:11" x14ac:dyDescent="0.2">
      <c r="A48" s="3" t="s">
        <v>74</v>
      </c>
      <c r="B48" s="194">
        <v>2219</v>
      </c>
      <c r="C48" s="194">
        <v>2219</v>
      </c>
      <c r="D48" s="192" t="s">
        <v>864</v>
      </c>
      <c r="E48" s="192" t="s">
        <v>533</v>
      </c>
      <c r="F48" s="193">
        <v>-19000</v>
      </c>
      <c r="G48" s="194">
        <v>2219</v>
      </c>
      <c r="H48" s="2">
        <f t="shared" si="0"/>
        <v>-19000</v>
      </c>
      <c r="J48" s="121">
        <v>152983</v>
      </c>
      <c r="K48" s="120">
        <v>157.57000000000002</v>
      </c>
    </row>
    <row r="49" spans="1:11" x14ac:dyDescent="0.2">
      <c r="A49" s="3" t="s">
        <v>74</v>
      </c>
      <c r="B49" s="194">
        <v>2219</v>
      </c>
      <c r="C49" s="194">
        <v>2219</v>
      </c>
      <c r="D49" s="192" t="s">
        <v>864</v>
      </c>
      <c r="E49" s="192" t="s">
        <v>432</v>
      </c>
      <c r="F49" s="193">
        <v>-385735.34</v>
      </c>
      <c r="G49" s="194">
        <v>2219</v>
      </c>
      <c r="H49" s="2">
        <f t="shared" si="0"/>
        <v>-385735.34</v>
      </c>
      <c r="J49" s="121">
        <v>1008496</v>
      </c>
      <c r="K49" s="120">
        <v>-33846.47</v>
      </c>
    </row>
    <row r="50" spans="1:11" x14ac:dyDescent="0.2">
      <c r="A50" s="3" t="s">
        <v>74</v>
      </c>
      <c r="B50" s="194">
        <v>2241</v>
      </c>
      <c r="C50" s="194">
        <v>2241</v>
      </c>
      <c r="D50" s="192" t="s">
        <v>865</v>
      </c>
      <c r="E50" s="192" t="s">
        <v>533</v>
      </c>
      <c r="F50" s="193">
        <v>-34314.26</v>
      </c>
      <c r="G50" s="194">
        <v>2241</v>
      </c>
      <c r="H50" s="2">
        <f t="shared" si="0"/>
        <v>-34314.26</v>
      </c>
      <c r="J50" s="121">
        <v>1018867</v>
      </c>
      <c r="K50" s="120">
        <v>4222900.0400000103</v>
      </c>
    </row>
    <row r="51" spans="1:11" x14ac:dyDescent="0.2">
      <c r="A51" s="3" t="s">
        <v>74</v>
      </c>
      <c r="B51" s="194">
        <v>2242</v>
      </c>
      <c r="C51" s="194">
        <v>2242</v>
      </c>
      <c r="D51" s="192" t="s">
        <v>866</v>
      </c>
      <c r="E51" s="192" t="s">
        <v>538</v>
      </c>
      <c r="F51" s="193">
        <v>262059.68</v>
      </c>
      <c r="G51" s="194">
        <v>2242</v>
      </c>
      <c r="H51" s="2">
        <f t="shared" si="0"/>
        <v>262059.68</v>
      </c>
      <c r="J51" s="121">
        <v>2000905</v>
      </c>
      <c r="K51" s="120">
        <v>2718867.3099999996</v>
      </c>
    </row>
    <row r="52" spans="1:11" x14ac:dyDescent="0.2">
      <c r="A52" s="3" t="s">
        <v>74</v>
      </c>
      <c r="B52" s="194">
        <v>2242</v>
      </c>
      <c r="C52" s="194">
        <v>2242</v>
      </c>
      <c r="D52" s="192" t="s">
        <v>867</v>
      </c>
      <c r="E52" s="192" t="s">
        <v>538</v>
      </c>
      <c r="F52" s="193">
        <v>796291.49999999953</v>
      </c>
      <c r="G52" s="192">
        <v>224</v>
      </c>
      <c r="H52" s="2">
        <f t="shared" si="0"/>
        <v>796291.49999999953</v>
      </c>
      <c r="J52" s="121">
        <v>65502313952</v>
      </c>
      <c r="K52" s="120">
        <v>-6607267.2099999962</v>
      </c>
    </row>
    <row r="53" spans="1:11" x14ac:dyDescent="0.2">
      <c r="A53" s="3" t="s">
        <v>74</v>
      </c>
      <c r="B53" s="194">
        <v>2242</v>
      </c>
      <c r="C53" s="194">
        <v>2242</v>
      </c>
      <c r="D53" s="192" t="s">
        <v>866</v>
      </c>
      <c r="E53" s="192" t="s">
        <v>533</v>
      </c>
      <c r="F53" s="193">
        <v>-84463.319999999992</v>
      </c>
      <c r="G53" s="194">
        <v>2242</v>
      </c>
      <c r="H53" s="2">
        <f t="shared" si="0"/>
        <v>-84463.319999999992</v>
      </c>
      <c r="J53" s="121">
        <v>65509560409</v>
      </c>
      <c r="K53" s="120">
        <v>-328774.35999999993</v>
      </c>
    </row>
    <row r="54" spans="1:11" x14ac:dyDescent="0.2">
      <c r="A54" s="3" t="s">
        <v>74</v>
      </c>
      <c r="B54" s="194">
        <v>2242</v>
      </c>
      <c r="C54" s="194">
        <v>2242</v>
      </c>
      <c r="D54" s="192" t="s">
        <v>866</v>
      </c>
      <c r="E54" s="192" t="s">
        <v>45</v>
      </c>
      <c r="F54" s="193">
        <v>-796291.49999999953</v>
      </c>
      <c r="G54" s="194">
        <v>2242</v>
      </c>
      <c r="H54" s="2">
        <f t="shared" si="0"/>
        <v>-796291.49999999953</v>
      </c>
      <c r="J54" s="121" t="s">
        <v>861</v>
      </c>
      <c r="K54" s="120">
        <v>-56241.490000000136</v>
      </c>
    </row>
    <row r="55" spans="1:11" x14ac:dyDescent="0.2">
      <c r="A55" s="3" t="s">
        <v>74</v>
      </c>
      <c r="B55" s="194">
        <v>2242</v>
      </c>
      <c r="C55" s="194">
        <v>2242</v>
      </c>
      <c r="D55" s="192" t="s">
        <v>867</v>
      </c>
      <c r="E55" s="192" t="s">
        <v>435</v>
      </c>
      <c r="F55" s="193">
        <v>-262059.68</v>
      </c>
      <c r="G55" s="192">
        <v>224</v>
      </c>
      <c r="H55" s="2">
        <f t="shared" si="0"/>
        <v>-262059.68</v>
      </c>
      <c r="J55" s="121" t="s">
        <v>872</v>
      </c>
      <c r="K55" s="120">
        <v>81000</v>
      </c>
    </row>
    <row r="56" spans="1:11" x14ac:dyDescent="0.2">
      <c r="A56" s="3" t="s">
        <v>74</v>
      </c>
      <c r="B56" s="194">
        <v>2242</v>
      </c>
      <c r="C56" s="194">
        <v>2242</v>
      </c>
      <c r="D56" s="192" t="s">
        <v>866</v>
      </c>
      <c r="E56" s="192" t="s">
        <v>868</v>
      </c>
      <c r="F56" s="193">
        <v>53812.5</v>
      </c>
      <c r="G56" s="194">
        <v>2242</v>
      </c>
      <c r="H56" s="2">
        <f t="shared" si="0"/>
        <v>53812.5</v>
      </c>
      <c r="J56" s="121" t="s">
        <v>878</v>
      </c>
      <c r="K56" s="120">
        <v>36000</v>
      </c>
    </row>
    <row r="57" spans="1:11" x14ac:dyDescent="0.2">
      <c r="A57" s="3" t="s">
        <v>74</v>
      </c>
      <c r="B57" s="194">
        <v>2244</v>
      </c>
      <c r="C57" s="194">
        <v>2244</v>
      </c>
      <c r="D57" s="192" t="s">
        <v>869</v>
      </c>
      <c r="E57" s="192" t="s">
        <v>245</v>
      </c>
      <c r="F57" s="193">
        <v>478242.43999999727</v>
      </c>
      <c r="G57" s="194">
        <v>2244</v>
      </c>
      <c r="H57" s="2">
        <f t="shared" si="0"/>
        <v>478242.43999999727</v>
      </c>
      <c r="J57" s="121" t="s">
        <v>888</v>
      </c>
      <c r="K57" s="120">
        <v>6607267.2099999962</v>
      </c>
    </row>
    <row r="58" spans="1:11" x14ac:dyDescent="0.2">
      <c r="A58" s="3" t="s">
        <v>74</v>
      </c>
      <c r="B58" s="194">
        <v>2248</v>
      </c>
      <c r="C58" s="192" t="s">
        <v>870</v>
      </c>
      <c r="D58" s="192" t="s">
        <v>871</v>
      </c>
      <c r="E58" s="192" t="s">
        <v>538</v>
      </c>
      <c r="F58" s="193">
        <v>81000</v>
      </c>
      <c r="G58" s="192" t="s">
        <v>872</v>
      </c>
      <c r="H58" s="2">
        <f t="shared" si="0"/>
        <v>81000</v>
      </c>
      <c r="J58" s="121" t="s">
        <v>564</v>
      </c>
      <c r="K58" s="120">
        <v>391.82</v>
      </c>
    </row>
    <row r="59" spans="1:11" x14ac:dyDescent="0.2">
      <c r="A59" s="3" t="s">
        <v>74</v>
      </c>
      <c r="B59" s="194">
        <v>2248</v>
      </c>
      <c r="C59" s="192" t="s">
        <v>870</v>
      </c>
      <c r="D59" s="192" t="s">
        <v>873</v>
      </c>
      <c r="E59" s="192" t="s">
        <v>45</v>
      </c>
      <c r="F59" s="193">
        <v>-81000</v>
      </c>
      <c r="G59" s="194">
        <v>2248</v>
      </c>
      <c r="H59" s="2">
        <f t="shared" si="0"/>
        <v>-81000</v>
      </c>
      <c r="J59" s="121" t="s">
        <v>566</v>
      </c>
      <c r="K59" s="120">
        <v>2493.9599999999996</v>
      </c>
    </row>
    <row r="60" spans="1:11" x14ac:dyDescent="0.2">
      <c r="A60" s="3" t="s">
        <v>74</v>
      </c>
      <c r="B60" s="194">
        <v>2263</v>
      </c>
      <c r="C60" s="194">
        <v>2263</v>
      </c>
      <c r="D60" s="192" t="s">
        <v>874</v>
      </c>
      <c r="E60" s="192" t="s">
        <v>538</v>
      </c>
      <c r="F60" s="193">
        <v>75500</v>
      </c>
      <c r="G60" s="192">
        <v>226</v>
      </c>
      <c r="H60" s="2">
        <f t="shared" si="0"/>
        <v>75500</v>
      </c>
      <c r="J60" s="121" t="s">
        <v>891</v>
      </c>
      <c r="K60" s="120">
        <v>1726.9</v>
      </c>
    </row>
    <row r="61" spans="1:11" x14ac:dyDescent="0.2">
      <c r="A61" s="3" t="s">
        <v>74</v>
      </c>
      <c r="B61" s="194">
        <v>2263</v>
      </c>
      <c r="C61" s="194">
        <v>2263</v>
      </c>
      <c r="D61" s="192" t="s">
        <v>875</v>
      </c>
      <c r="E61" s="192" t="s">
        <v>45</v>
      </c>
      <c r="F61" s="193">
        <v>-75500</v>
      </c>
      <c r="G61" s="194">
        <v>2263</v>
      </c>
      <c r="H61" s="2">
        <f t="shared" si="0"/>
        <v>-75500</v>
      </c>
      <c r="J61" s="121" t="s">
        <v>222</v>
      </c>
      <c r="K61" s="120">
        <v>0</v>
      </c>
    </row>
    <row r="62" spans="1:11" x14ac:dyDescent="0.2">
      <c r="A62" s="3" t="s">
        <v>74</v>
      </c>
      <c r="B62" s="194">
        <v>2263</v>
      </c>
      <c r="C62" s="194">
        <v>2263</v>
      </c>
      <c r="D62" s="192" t="s">
        <v>875</v>
      </c>
      <c r="E62" s="192" t="s">
        <v>245</v>
      </c>
      <c r="F62" s="193">
        <v>53825.799999999967</v>
      </c>
      <c r="G62" s="194">
        <v>2263</v>
      </c>
      <c r="H62" s="2">
        <f t="shared" si="0"/>
        <v>53825.799999999967</v>
      </c>
      <c r="J62" s="99" t="s">
        <v>1</v>
      </c>
      <c r="K62" s="100">
        <v>47355749.459999815</v>
      </c>
    </row>
    <row r="63" spans="1:11" x14ac:dyDescent="0.2">
      <c r="A63" s="3" t="s">
        <v>74</v>
      </c>
      <c r="B63" s="194">
        <v>2270</v>
      </c>
      <c r="C63" s="194">
        <v>2270</v>
      </c>
      <c r="D63" s="192" t="s">
        <v>589</v>
      </c>
      <c r="E63" s="192" t="s">
        <v>245</v>
      </c>
      <c r="F63" s="193">
        <v>55809.520000000004</v>
      </c>
      <c r="G63" s="194">
        <v>2270</v>
      </c>
      <c r="H63" s="2">
        <f t="shared" si="0"/>
        <v>55809.520000000004</v>
      </c>
    </row>
    <row r="64" spans="1:11" x14ac:dyDescent="0.2">
      <c r="A64" s="3" t="s">
        <v>74</v>
      </c>
      <c r="B64" s="194">
        <v>2272</v>
      </c>
      <c r="C64" s="194">
        <v>2272</v>
      </c>
      <c r="D64" s="192" t="s">
        <v>876</v>
      </c>
      <c r="E64" s="192" t="s">
        <v>560</v>
      </c>
      <c r="F64" s="193">
        <v>277269.08</v>
      </c>
      <c r="G64" s="194">
        <v>2272</v>
      </c>
      <c r="H64" s="2">
        <f t="shared" si="0"/>
        <v>277269.08</v>
      </c>
    </row>
    <row r="65" spans="1:8" x14ac:dyDescent="0.2">
      <c r="A65" s="3" t="s">
        <v>74</v>
      </c>
      <c r="B65" s="194">
        <v>2277</v>
      </c>
      <c r="C65" s="194">
        <v>2277</v>
      </c>
      <c r="D65" s="192" t="s">
        <v>877</v>
      </c>
      <c r="E65" s="192" t="s">
        <v>538</v>
      </c>
      <c r="F65" s="193">
        <v>36000</v>
      </c>
      <c r="G65" s="192" t="s">
        <v>878</v>
      </c>
      <c r="H65" s="2">
        <f t="shared" si="0"/>
        <v>36000</v>
      </c>
    </row>
    <row r="66" spans="1:8" x14ac:dyDescent="0.2">
      <c r="A66" s="3" t="s">
        <v>74</v>
      </c>
      <c r="B66" s="194">
        <v>2277</v>
      </c>
      <c r="C66" s="194">
        <v>2277</v>
      </c>
      <c r="D66" s="192" t="s">
        <v>879</v>
      </c>
      <c r="E66" s="192" t="s">
        <v>45</v>
      </c>
      <c r="F66" s="193">
        <v>-36000</v>
      </c>
      <c r="G66" s="194">
        <v>2277</v>
      </c>
      <c r="H66" s="2">
        <f t="shared" ref="H66:H129" si="1">IF(A93="Gestion",F66*1,0)</f>
        <v>-36000</v>
      </c>
    </row>
    <row r="67" spans="1:8" x14ac:dyDescent="0.2">
      <c r="A67" s="3" t="s">
        <v>74</v>
      </c>
      <c r="B67" s="194">
        <v>2277</v>
      </c>
      <c r="C67" s="194">
        <v>2277</v>
      </c>
      <c r="D67" s="192" t="s">
        <v>879</v>
      </c>
      <c r="E67" s="192" t="s">
        <v>245</v>
      </c>
      <c r="F67" s="193">
        <v>62991.919999999933</v>
      </c>
      <c r="G67" s="194">
        <v>2277</v>
      </c>
      <c r="H67" s="2">
        <f t="shared" si="1"/>
        <v>62991.919999999933</v>
      </c>
    </row>
    <row r="68" spans="1:8" x14ac:dyDescent="0.2">
      <c r="A68" s="3" t="s">
        <v>74</v>
      </c>
      <c r="B68" s="194">
        <v>2279</v>
      </c>
      <c r="C68" s="194">
        <v>2279</v>
      </c>
      <c r="D68" s="192" t="s">
        <v>880</v>
      </c>
      <c r="E68" s="192" t="s">
        <v>538</v>
      </c>
      <c r="F68" s="193">
        <v>13000</v>
      </c>
      <c r="G68" s="192">
        <v>227</v>
      </c>
      <c r="H68" s="2">
        <f t="shared" si="1"/>
        <v>13000</v>
      </c>
    </row>
    <row r="69" spans="1:8" x14ac:dyDescent="0.2">
      <c r="A69" s="3" t="s">
        <v>74</v>
      </c>
      <c r="B69" s="194">
        <v>2279</v>
      </c>
      <c r="C69" s="194">
        <v>2279</v>
      </c>
      <c r="D69" s="192" t="s">
        <v>881</v>
      </c>
      <c r="E69" s="192" t="s">
        <v>45</v>
      </c>
      <c r="F69" s="193">
        <v>-13000</v>
      </c>
      <c r="G69" s="194">
        <v>2279</v>
      </c>
      <c r="H69" s="2">
        <f t="shared" si="1"/>
        <v>-13000</v>
      </c>
    </row>
    <row r="70" spans="1:8" x14ac:dyDescent="0.2">
      <c r="A70" s="3" t="s">
        <v>74</v>
      </c>
      <c r="B70" s="194">
        <v>23</v>
      </c>
      <c r="C70" s="192" t="s">
        <v>882</v>
      </c>
      <c r="D70" s="192" t="s">
        <v>883</v>
      </c>
      <c r="E70" s="192" t="s">
        <v>852</v>
      </c>
      <c r="F70" s="193">
        <v>-174262.89</v>
      </c>
      <c r="G70" s="194">
        <v>147311</v>
      </c>
      <c r="H70" s="2">
        <f t="shared" si="1"/>
        <v>-174262.89</v>
      </c>
    </row>
    <row r="71" spans="1:8" x14ac:dyDescent="0.2">
      <c r="A71" s="3" t="s">
        <v>74</v>
      </c>
      <c r="B71" s="194">
        <v>25</v>
      </c>
      <c r="C71" s="192" t="s">
        <v>884</v>
      </c>
      <c r="D71" s="192" t="s">
        <v>885</v>
      </c>
      <c r="E71" s="192" t="s">
        <v>852</v>
      </c>
      <c r="F71" s="193">
        <v>-842181.34</v>
      </c>
      <c r="G71" s="194">
        <v>147314</v>
      </c>
      <c r="H71" s="2">
        <f t="shared" si="1"/>
        <v>-842181.34</v>
      </c>
    </row>
    <row r="72" spans="1:8" x14ac:dyDescent="0.2">
      <c r="A72" s="3" t="s">
        <v>74</v>
      </c>
      <c r="B72" s="194">
        <v>92</v>
      </c>
      <c r="C72" s="192" t="s">
        <v>886</v>
      </c>
      <c r="D72" s="192" t="s">
        <v>887</v>
      </c>
      <c r="E72" s="192" t="s">
        <v>538</v>
      </c>
      <c r="F72" s="193">
        <v>6607267.2099999962</v>
      </c>
      <c r="G72" s="192" t="s">
        <v>888</v>
      </c>
      <c r="H72" s="2">
        <f t="shared" si="1"/>
        <v>6607267.2099999962</v>
      </c>
    </row>
    <row r="73" spans="1:8" x14ac:dyDescent="0.2">
      <c r="A73" s="3" t="s">
        <v>74</v>
      </c>
      <c r="B73" s="194">
        <v>92</v>
      </c>
      <c r="C73" s="192" t="s">
        <v>886</v>
      </c>
      <c r="D73" s="192" t="s">
        <v>886</v>
      </c>
      <c r="E73" s="192" t="s">
        <v>45</v>
      </c>
      <c r="F73" s="193">
        <v>-6607267.2099999962</v>
      </c>
      <c r="G73" s="194">
        <v>65502313952</v>
      </c>
      <c r="H73" s="2">
        <f t="shared" si="1"/>
        <v>-6607267.2099999962</v>
      </c>
    </row>
    <row r="74" spans="1:8" x14ac:dyDescent="0.2">
      <c r="A74" s="3" t="s">
        <v>74</v>
      </c>
      <c r="B74" s="192" t="s">
        <v>590</v>
      </c>
      <c r="C74" s="192" t="s">
        <v>590</v>
      </c>
      <c r="D74" s="192" t="s">
        <v>591</v>
      </c>
      <c r="E74" s="192" t="s">
        <v>533</v>
      </c>
      <c r="F74" s="193">
        <v>-328774.35999999993</v>
      </c>
      <c r="G74" s="194">
        <v>65509560409</v>
      </c>
      <c r="H74" s="2">
        <f t="shared" si="1"/>
        <v>-328774.35999999993</v>
      </c>
    </row>
    <row r="75" spans="1:8" x14ac:dyDescent="0.2">
      <c r="A75" s="3" t="s">
        <v>74</v>
      </c>
      <c r="B75" s="192" t="s">
        <v>889</v>
      </c>
      <c r="C75" s="192" t="s">
        <v>889</v>
      </c>
      <c r="D75" s="192" t="s">
        <v>100</v>
      </c>
      <c r="E75" s="192" t="s">
        <v>245</v>
      </c>
      <c r="F75" s="193">
        <v>4222900.0400000103</v>
      </c>
      <c r="G75" s="194">
        <v>1018867</v>
      </c>
      <c r="H75" s="2">
        <f t="shared" si="1"/>
        <v>4222900.0400000103</v>
      </c>
    </row>
    <row r="76" spans="1:8" x14ac:dyDescent="0.2">
      <c r="A76" s="3" t="s">
        <v>74</v>
      </c>
      <c r="B76" s="192" t="s">
        <v>561</v>
      </c>
      <c r="C76" s="192" t="s">
        <v>562</v>
      </c>
      <c r="D76" s="192" t="s">
        <v>565</v>
      </c>
      <c r="E76" s="192" t="s">
        <v>557</v>
      </c>
      <c r="F76" s="193">
        <v>0</v>
      </c>
      <c r="G76" s="192" t="s">
        <v>566</v>
      </c>
      <c r="H76" s="2">
        <f t="shared" si="1"/>
        <v>0</v>
      </c>
    </row>
    <row r="77" spans="1:8" x14ac:dyDescent="0.2">
      <c r="A77" s="3" t="s">
        <v>74</v>
      </c>
      <c r="B77" s="192" t="s">
        <v>561</v>
      </c>
      <c r="C77" s="192" t="s">
        <v>562</v>
      </c>
      <c r="D77" s="192" t="s">
        <v>563</v>
      </c>
      <c r="E77" s="192" t="s">
        <v>245</v>
      </c>
      <c r="F77" s="193">
        <v>391.82</v>
      </c>
      <c r="G77" s="192" t="s">
        <v>564</v>
      </c>
      <c r="H77" s="2">
        <f t="shared" si="1"/>
        <v>391.82</v>
      </c>
    </row>
    <row r="78" spans="1:8" x14ac:dyDescent="0.2">
      <c r="A78" s="3" t="s">
        <v>74</v>
      </c>
      <c r="B78" s="192" t="s">
        <v>561</v>
      </c>
      <c r="C78" s="192" t="s">
        <v>562</v>
      </c>
      <c r="D78" s="192" t="s">
        <v>565</v>
      </c>
      <c r="E78" s="192" t="s">
        <v>245</v>
      </c>
      <c r="F78" s="193">
        <v>2493.9599999999996</v>
      </c>
      <c r="G78" s="192" t="s">
        <v>566</v>
      </c>
      <c r="H78" s="2">
        <f t="shared" si="1"/>
        <v>2493.9599999999996</v>
      </c>
    </row>
    <row r="79" spans="1:8" x14ac:dyDescent="0.2">
      <c r="A79" s="3" t="s">
        <v>74</v>
      </c>
      <c r="B79" s="192" t="s">
        <v>561</v>
      </c>
      <c r="C79" s="192" t="s">
        <v>562</v>
      </c>
      <c r="D79" s="192" t="s">
        <v>890</v>
      </c>
      <c r="E79" s="192" t="s">
        <v>245</v>
      </c>
      <c r="F79" s="193">
        <v>1726.9</v>
      </c>
      <c r="G79" s="192" t="s">
        <v>891</v>
      </c>
      <c r="H79" s="2">
        <f t="shared" si="1"/>
        <v>1726.9</v>
      </c>
    </row>
    <row r="80" spans="1:8" x14ac:dyDescent="0.2">
      <c r="A80" s="3" t="s">
        <v>74</v>
      </c>
      <c r="H80" s="2">
        <f t="shared" si="1"/>
        <v>0</v>
      </c>
    </row>
    <row r="81" spans="1:8" x14ac:dyDescent="0.2">
      <c r="A81" s="3" t="s">
        <v>74</v>
      </c>
      <c r="H81" s="2">
        <f t="shared" si="1"/>
        <v>0</v>
      </c>
    </row>
    <row r="82" spans="1:8" x14ac:dyDescent="0.2">
      <c r="A82" s="3" t="s">
        <v>74</v>
      </c>
      <c r="H82" s="2">
        <f t="shared" si="1"/>
        <v>0</v>
      </c>
    </row>
    <row r="83" spans="1:8" x14ac:dyDescent="0.2">
      <c r="A83" s="3" t="s">
        <v>74</v>
      </c>
      <c r="H83" s="2">
        <f t="shared" si="1"/>
        <v>0</v>
      </c>
    </row>
    <row r="84" spans="1:8" x14ac:dyDescent="0.2">
      <c r="A84" s="3" t="s">
        <v>74</v>
      </c>
      <c r="H84" s="2">
        <f t="shared" si="1"/>
        <v>0</v>
      </c>
    </row>
    <row r="85" spans="1:8" x14ac:dyDescent="0.2">
      <c r="A85" s="3" t="s">
        <v>74</v>
      </c>
      <c r="H85" s="2">
        <f t="shared" si="1"/>
        <v>0</v>
      </c>
    </row>
    <row r="86" spans="1:8" x14ac:dyDescent="0.2">
      <c r="A86" s="3" t="s">
        <v>74</v>
      </c>
      <c r="H86" s="2">
        <f t="shared" si="1"/>
        <v>0</v>
      </c>
    </row>
    <row r="87" spans="1:8" x14ac:dyDescent="0.2">
      <c r="A87" s="3" t="s">
        <v>74</v>
      </c>
      <c r="H87" s="2">
        <f t="shared" si="1"/>
        <v>0</v>
      </c>
    </row>
    <row r="88" spans="1:8" x14ac:dyDescent="0.2">
      <c r="A88" s="3" t="s">
        <v>74</v>
      </c>
      <c r="H88" s="2">
        <f t="shared" si="1"/>
        <v>0</v>
      </c>
    </row>
    <row r="89" spans="1:8" x14ac:dyDescent="0.2">
      <c r="A89" s="3" t="s">
        <v>74</v>
      </c>
      <c r="H89" s="2">
        <f t="shared" si="1"/>
        <v>0</v>
      </c>
    </row>
    <row r="90" spans="1:8" x14ac:dyDescent="0.2">
      <c r="A90" s="3" t="s">
        <v>74</v>
      </c>
      <c r="H90" s="2">
        <f t="shared" si="1"/>
        <v>0</v>
      </c>
    </row>
    <row r="91" spans="1:8" x14ac:dyDescent="0.2">
      <c r="A91" s="3" t="s">
        <v>74</v>
      </c>
      <c r="H91" s="2">
        <f t="shared" si="1"/>
        <v>0</v>
      </c>
    </row>
    <row r="92" spans="1:8" x14ac:dyDescent="0.2">
      <c r="A92" s="3" t="s">
        <v>74</v>
      </c>
      <c r="H92" s="2">
        <f t="shared" si="1"/>
        <v>0</v>
      </c>
    </row>
    <row r="93" spans="1:8" x14ac:dyDescent="0.2">
      <c r="A93" s="3" t="s">
        <v>74</v>
      </c>
      <c r="H93" s="2">
        <f t="shared" si="1"/>
        <v>0</v>
      </c>
    </row>
    <row r="94" spans="1:8" x14ac:dyDescent="0.2">
      <c r="A94" s="3" t="s">
        <v>74</v>
      </c>
      <c r="H94" s="2">
        <f t="shared" si="1"/>
        <v>0</v>
      </c>
    </row>
    <row r="95" spans="1:8" x14ac:dyDescent="0.2">
      <c r="A95" s="3" t="s">
        <v>74</v>
      </c>
      <c r="H95" s="2">
        <f t="shared" si="1"/>
        <v>0</v>
      </c>
    </row>
    <row r="96" spans="1:8" x14ac:dyDescent="0.2">
      <c r="A96" s="3" t="s">
        <v>74</v>
      </c>
      <c r="H96" s="2">
        <f t="shared" si="1"/>
        <v>0</v>
      </c>
    </row>
    <row r="97" spans="1:8" x14ac:dyDescent="0.2">
      <c r="A97" s="3" t="s">
        <v>74</v>
      </c>
      <c r="H97" s="2">
        <f t="shared" si="1"/>
        <v>0</v>
      </c>
    </row>
    <row r="98" spans="1:8" x14ac:dyDescent="0.2">
      <c r="A98" s="3" t="s">
        <v>74</v>
      </c>
      <c r="H98" s="2">
        <f t="shared" si="1"/>
        <v>0</v>
      </c>
    </row>
    <row r="99" spans="1:8" x14ac:dyDescent="0.2">
      <c r="A99" s="3" t="s">
        <v>74</v>
      </c>
      <c r="H99" s="2">
        <f t="shared" si="1"/>
        <v>0</v>
      </c>
    </row>
    <row r="100" spans="1:8" x14ac:dyDescent="0.2">
      <c r="A100" s="3" t="s">
        <v>74</v>
      </c>
      <c r="H100" s="2">
        <f t="shared" si="1"/>
        <v>0</v>
      </c>
    </row>
    <row r="101" spans="1:8" x14ac:dyDescent="0.2">
      <c r="A101" s="3" t="s">
        <v>74</v>
      </c>
      <c r="H101" s="2">
        <f t="shared" si="1"/>
        <v>0</v>
      </c>
    </row>
    <row r="102" spans="1:8" x14ac:dyDescent="0.2">
      <c r="A102" s="3" t="s">
        <v>74</v>
      </c>
      <c r="H102" s="2">
        <f t="shared" si="1"/>
        <v>0</v>
      </c>
    </row>
    <row r="103" spans="1:8" x14ac:dyDescent="0.2">
      <c r="A103" s="3" t="s">
        <v>74</v>
      </c>
      <c r="H103" s="2">
        <f t="shared" si="1"/>
        <v>0</v>
      </c>
    </row>
    <row r="104" spans="1:8" x14ac:dyDescent="0.2">
      <c r="A104" s="3" t="s">
        <v>74</v>
      </c>
      <c r="H104" s="2">
        <f t="shared" si="1"/>
        <v>0</v>
      </c>
    </row>
    <row r="105" spans="1:8" x14ac:dyDescent="0.2">
      <c r="A105" s="3" t="s">
        <v>74</v>
      </c>
      <c r="H105" s="2">
        <f t="shared" si="1"/>
        <v>0</v>
      </c>
    </row>
    <row r="106" spans="1:8" x14ac:dyDescent="0.2">
      <c r="A106" s="3" t="s">
        <v>74</v>
      </c>
      <c r="H106" s="2">
        <f t="shared" si="1"/>
        <v>0</v>
      </c>
    </row>
    <row r="107" spans="1:8" x14ac:dyDescent="0.2">
      <c r="A107" s="3" t="s">
        <v>74</v>
      </c>
      <c r="H107" s="2">
        <f t="shared" si="1"/>
        <v>0</v>
      </c>
    </row>
    <row r="108" spans="1:8" x14ac:dyDescent="0.2">
      <c r="A108" s="3" t="s">
        <v>74</v>
      </c>
      <c r="H108" s="2">
        <f t="shared" si="1"/>
        <v>0</v>
      </c>
    </row>
    <row r="109" spans="1:8" x14ac:dyDescent="0.2">
      <c r="A109" s="3" t="s">
        <v>74</v>
      </c>
      <c r="H109" s="2">
        <f t="shared" si="1"/>
        <v>0</v>
      </c>
    </row>
    <row r="110" spans="1:8" x14ac:dyDescent="0.2">
      <c r="A110" s="3" t="s">
        <v>74</v>
      </c>
      <c r="H110" s="2">
        <f t="shared" si="1"/>
        <v>0</v>
      </c>
    </row>
    <row r="111" spans="1:8" x14ac:dyDescent="0.2">
      <c r="A111" s="3" t="s">
        <v>74</v>
      </c>
      <c r="H111" s="2">
        <f t="shared" si="1"/>
        <v>0</v>
      </c>
    </row>
    <row r="112" spans="1:8" x14ac:dyDescent="0.2">
      <c r="A112" s="3" t="s">
        <v>74</v>
      </c>
      <c r="H112" s="2">
        <f t="shared" si="1"/>
        <v>0</v>
      </c>
    </row>
    <row r="113" spans="1:8" x14ac:dyDescent="0.2">
      <c r="A113" s="3" t="s">
        <v>74</v>
      </c>
      <c r="H113" s="2">
        <f t="shared" si="1"/>
        <v>0</v>
      </c>
    </row>
    <row r="114" spans="1:8" x14ac:dyDescent="0.2">
      <c r="A114" s="3" t="s">
        <v>74</v>
      </c>
      <c r="H114" s="2">
        <f t="shared" si="1"/>
        <v>0</v>
      </c>
    </row>
    <row r="115" spans="1:8" x14ac:dyDescent="0.2">
      <c r="A115" s="3" t="s">
        <v>74</v>
      </c>
      <c r="H115" s="2">
        <f t="shared" si="1"/>
        <v>0</v>
      </c>
    </row>
    <row r="116" spans="1:8" x14ac:dyDescent="0.2">
      <c r="A116" s="3" t="s">
        <v>74</v>
      </c>
      <c r="H116" s="2">
        <f t="shared" si="1"/>
        <v>0</v>
      </c>
    </row>
    <row r="117" spans="1:8" x14ac:dyDescent="0.2">
      <c r="A117" s="3" t="s">
        <v>74</v>
      </c>
      <c r="H117" s="2">
        <f t="shared" si="1"/>
        <v>0</v>
      </c>
    </row>
    <row r="118" spans="1:8" x14ac:dyDescent="0.2">
      <c r="A118" s="3" t="s">
        <v>74</v>
      </c>
      <c r="H118" s="2">
        <f t="shared" si="1"/>
        <v>0</v>
      </c>
    </row>
    <row r="119" spans="1:8" x14ac:dyDescent="0.2">
      <c r="A119" s="3" t="s">
        <v>74</v>
      </c>
      <c r="H119" s="2">
        <f t="shared" si="1"/>
        <v>0</v>
      </c>
    </row>
    <row r="120" spans="1:8" x14ac:dyDescent="0.2">
      <c r="A120" s="3" t="s">
        <v>74</v>
      </c>
      <c r="H120" s="2">
        <f t="shared" si="1"/>
        <v>0</v>
      </c>
    </row>
    <row r="121" spans="1:8" x14ac:dyDescent="0.2">
      <c r="A121" s="3" t="s">
        <v>74</v>
      </c>
      <c r="H121" s="2">
        <f t="shared" si="1"/>
        <v>0</v>
      </c>
    </row>
    <row r="122" spans="1:8" x14ac:dyDescent="0.2">
      <c r="A122" s="3" t="s">
        <v>74</v>
      </c>
      <c r="H122" s="2">
        <f t="shared" si="1"/>
        <v>0</v>
      </c>
    </row>
    <row r="123" spans="1:8" x14ac:dyDescent="0.2">
      <c r="A123" s="3" t="s">
        <v>74</v>
      </c>
      <c r="H123" s="2">
        <f t="shared" si="1"/>
        <v>0</v>
      </c>
    </row>
    <row r="124" spans="1:8" x14ac:dyDescent="0.2">
      <c r="A124" s="3" t="s">
        <v>74</v>
      </c>
      <c r="H124" s="2">
        <f t="shared" si="1"/>
        <v>0</v>
      </c>
    </row>
    <row r="125" spans="1:8" x14ac:dyDescent="0.2">
      <c r="A125" s="3" t="s">
        <v>74</v>
      </c>
      <c r="H125" s="2">
        <f t="shared" si="1"/>
        <v>0</v>
      </c>
    </row>
    <row r="126" spans="1:8" x14ac:dyDescent="0.2">
      <c r="A126" s="3" t="s">
        <v>74</v>
      </c>
      <c r="H126" s="2">
        <f t="shared" si="1"/>
        <v>0</v>
      </c>
    </row>
    <row r="127" spans="1:8" x14ac:dyDescent="0.2">
      <c r="A127" s="3" t="s">
        <v>74</v>
      </c>
      <c r="H127" s="2">
        <f t="shared" si="1"/>
        <v>0</v>
      </c>
    </row>
    <row r="128" spans="1:8" x14ac:dyDescent="0.2">
      <c r="A128" s="3" t="s">
        <v>74</v>
      </c>
      <c r="H128" s="2">
        <f t="shared" si="1"/>
        <v>0</v>
      </c>
    </row>
    <row r="129" spans="1:8" x14ac:dyDescent="0.2">
      <c r="A129" s="3" t="s">
        <v>74</v>
      </c>
      <c r="H129" s="2">
        <f t="shared" si="1"/>
        <v>0</v>
      </c>
    </row>
    <row r="130" spans="1:8" x14ac:dyDescent="0.2">
      <c r="A130" s="3" t="s">
        <v>74</v>
      </c>
      <c r="H130" s="2">
        <f t="shared" ref="H130:H193" si="2">IF(A157="Gestion",F130*1,0)</f>
        <v>0</v>
      </c>
    </row>
    <row r="131" spans="1:8" x14ac:dyDescent="0.2">
      <c r="A131" s="3" t="s">
        <v>74</v>
      </c>
      <c r="H131" s="2">
        <f t="shared" si="2"/>
        <v>0</v>
      </c>
    </row>
    <row r="132" spans="1:8" x14ac:dyDescent="0.2">
      <c r="A132" s="3" t="s">
        <v>74</v>
      </c>
      <c r="H132" s="2">
        <f t="shared" si="2"/>
        <v>0</v>
      </c>
    </row>
    <row r="133" spans="1:8" x14ac:dyDescent="0.2">
      <c r="A133" s="3" t="s">
        <v>74</v>
      </c>
      <c r="H133" s="2">
        <f t="shared" si="2"/>
        <v>0</v>
      </c>
    </row>
    <row r="134" spans="1:8" x14ac:dyDescent="0.2">
      <c r="A134" s="3" t="s">
        <v>74</v>
      </c>
      <c r="H134" s="2">
        <f t="shared" si="2"/>
        <v>0</v>
      </c>
    </row>
    <row r="135" spans="1:8" x14ac:dyDescent="0.2">
      <c r="A135" s="3" t="s">
        <v>74</v>
      </c>
      <c r="H135" s="2">
        <f t="shared" si="2"/>
        <v>0</v>
      </c>
    </row>
    <row r="136" spans="1:8" x14ac:dyDescent="0.2">
      <c r="A136" s="3" t="s">
        <v>74</v>
      </c>
      <c r="H136" s="2">
        <f t="shared" si="2"/>
        <v>0</v>
      </c>
    </row>
    <row r="137" spans="1:8" x14ac:dyDescent="0.2">
      <c r="A137" s="3" t="s">
        <v>74</v>
      </c>
      <c r="H137" s="2">
        <f t="shared" si="2"/>
        <v>0</v>
      </c>
    </row>
    <row r="138" spans="1:8" x14ac:dyDescent="0.2">
      <c r="A138" s="3" t="s">
        <v>74</v>
      </c>
      <c r="H138" s="2">
        <f t="shared" si="2"/>
        <v>0</v>
      </c>
    </row>
    <row r="139" spans="1:8" x14ac:dyDescent="0.2">
      <c r="A139" s="3" t="s">
        <v>74</v>
      </c>
      <c r="H139" s="2">
        <f t="shared" si="2"/>
        <v>0</v>
      </c>
    </row>
    <row r="140" spans="1:8" x14ac:dyDescent="0.2">
      <c r="A140" s="3" t="s">
        <v>74</v>
      </c>
      <c r="H140" s="2">
        <f t="shared" si="2"/>
        <v>0</v>
      </c>
    </row>
    <row r="141" spans="1:8" x14ac:dyDescent="0.2">
      <c r="A141" s="3" t="s">
        <v>74</v>
      </c>
      <c r="H141" s="2">
        <f t="shared" si="2"/>
        <v>0</v>
      </c>
    </row>
    <row r="142" spans="1:8" x14ac:dyDescent="0.2">
      <c r="A142" s="3" t="s">
        <v>74</v>
      </c>
      <c r="H142" s="2">
        <f t="shared" si="2"/>
        <v>0</v>
      </c>
    </row>
    <row r="143" spans="1:8" x14ac:dyDescent="0.2">
      <c r="A143" s="3" t="s">
        <v>74</v>
      </c>
      <c r="H143" s="2">
        <f t="shared" si="2"/>
        <v>0</v>
      </c>
    </row>
    <row r="144" spans="1:8" x14ac:dyDescent="0.2">
      <c r="A144" s="3" t="s">
        <v>74</v>
      </c>
      <c r="H144" s="2">
        <f t="shared" si="2"/>
        <v>0</v>
      </c>
    </row>
    <row r="145" spans="1:8" x14ac:dyDescent="0.2">
      <c r="A145" s="3" t="s">
        <v>74</v>
      </c>
      <c r="H145" s="2">
        <f t="shared" si="2"/>
        <v>0</v>
      </c>
    </row>
    <row r="146" spans="1:8" x14ac:dyDescent="0.2">
      <c r="A146" s="3" t="s">
        <v>74</v>
      </c>
      <c r="H146" s="2">
        <f t="shared" si="2"/>
        <v>0</v>
      </c>
    </row>
    <row r="147" spans="1:8" x14ac:dyDescent="0.2">
      <c r="A147" s="3" t="s">
        <v>74</v>
      </c>
      <c r="H147" s="2">
        <f t="shared" si="2"/>
        <v>0</v>
      </c>
    </row>
    <row r="148" spans="1:8" x14ac:dyDescent="0.2">
      <c r="A148" s="3" t="s">
        <v>74</v>
      </c>
      <c r="H148" s="2">
        <f t="shared" si="2"/>
        <v>0</v>
      </c>
    </row>
    <row r="149" spans="1:8" x14ac:dyDescent="0.2">
      <c r="A149" s="3" t="s">
        <v>74</v>
      </c>
      <c r="H149" s="2">
        <f t="shared" si="2"/>
        <v>0</v>
      </c>
    </row>
    <row r="150" spans="1:8" x14ac:dyDescent="0.2">
      <c r="A150" s="3" t="s">
        <v>74</v>
      </c>
      <c r="H150" s="2">
        <f t="shared" si="2"/>
        <v>0</v>
      </c>
    </row>
    <row r="151" spans="1:8" x14ac:dyDescent="0.2">
      <c r="A151" s="3" t="s">
        <v>74</v>
      </c>
      <c r="H151" s="2">
        <f t="shared" si="2"/>
        <v>0</v>
      </c>
    </row>
    <row r="152" spans="1:8" x14ac:dyDescent="0.2">
      <c r="A152" s="3" t="s">
        <v>74</v>
      </c>
      <c r="H152" s="2">
        <f t="shared" si="2"/>
        <v>0</v>
      </c>
    </row>
    <row r="153" spans="1:8" x14ac:dyDescent="0.2">
      <c r="A153" s="3" t="s">
        <v>74</v>
      </c>
      <c r="H153" s="2">
        <f t="shared" si="2"/>
        <v>0</v>
      </c>
    </row>
    <row r="154" spans="1:8" x14ac:dyDescent="0.2">
      <c r="A154" s="3" t="s">
        <v>74</v>
      </c>
      <c r="H154" s="2">
        <f t="shared" si="2"/>
        <v>0</v>
      </c>
    </row>
    <row r="155" spans="1:8" x14ac:dyDescent="0.2">
      <c r="A155" s="3" t="s">
        <v>74</v>
      </c>
      <c r="H155" s="2">
        <f t="shared" si="2"/>
        <v>0</v>
      </c>
    </row>
    <row r="156" spans="1:8" x14ac:dyDescent="0.2">
      <c r="A156" s="3" t="s">
        <v>74</v>
      </c>
      <c r="H156" s="2">
        <f t="shared" si="2"/>
        <v>0</v>
      </c>
    </row>
    <row r="157" spans="1:8" x14ac:dyDescent="0.2">
      <c r="A157" s="3" t="s">
        <v>74</v>
      </c>
      <c r="H157" s="2">
        <f t="shared" si="2"/>
        <v>0</v>
      </c>
    </row>
    <row r="158" spans="1:8" x14ac:dyDescent="0.2">
      <c r="A158" s="3" t="s">
        <v>74</v>
      </c>
      <c r="H158" s="2">
        <f t="shared" si="2"/>
        <v>0</v>
      </c>
    </row>
    <row r="159" spans="1:8" x14ac:dyDescent="0.2">
      <c r="A159" s="3" t="s">
        <v>74</v>
      </c>
      <c r="H159" s="2">
        <f t="shared" si="2"/>
        <v>0</v>
      </c>
    </row>
    <row r="160" spans="1:8" x14ac:dyDescent="0.2">
      <c r="A160" s="3" t="s">
        <v>74</v>
      </c>
      <c r="H160" s="2">
        <f t="shared" si="2"/>
        <v>0</v>
      </c>
    </row>
    <row r="161" spans="1:8" x14ac:dyDescent="0.2">
      <c r="A161" s="3" t="s">
        <v>74</v>
      </c>
      <c r="H161" s="2">
        <f t="shared" si="2"/>
        <v>0</v>
      </c>
    </row>
    <row r="162" spans="1:8" x14ac:dyDescent="0.2">
      <c r="A162" s="3" t="s">
        <v>74</v>
      </c>
      <c r="H162" s="2">
        <f t="shared" si="2"/>
        <v>0</v>
      </c>
    </row>
    <row r="163" spans="1:8" x14ac:dyDescent="0.2">
      <c r="A163" s="3" t="s">
        <v>74</v>
      </c>
      <c r="H163" s="2">
        <f t="shared" si="2"/>
        <v>0</v>
      </c>
    </row>
    <row r="164" spans="1:8" x14ac:dyDescent="0.2">
      <c r="A164" s="3" t="s">
        <v>74</v>
      </c>
      <c r="H164" s="2">
        <f t="shared" si="2"/>
        <v>0</v>
      </c>
    </row>
    <row r="165" spans="1:8" x14ac:dyDescent="0.2">
      <c r="A165" s="3" t="s">
        <v>74</v>
      </c>
      <c r="H165" s="2">
        <f t="shared" si="2"/>
        <v>0</v>
      </c>
    </row>
    <row r="166" spans="1:8" x14ac:dyDescent="0.2">
      <c r="A166" s="3" t="s">
        <v>74</v>
      </c>
      <c r="H166" s="2">
        <f t="shared" si="2"/>
        <v>0</v>
      </c>
    </row>
    <row r="167" spans="1:8" x14ac:dyDescent="0.2">
      <c r="A167" s="3" t="s">
        <v>74</v>
      </c>
      <c r="H167" s="2">
        <f t="shared" si="2"/>
        <v>0</v>
      </c>
    </row>
    <row r="168" spans="1:8" x14ac:dyDescent="0.2">
      <c r="A168" s="3" t="s">
        <v>74</v>
      </c>
      <c r="H168" s="2">
        <f t="shared" si="2"/>
        <v>0</v>
      </c>
    </row>
    <row r="169" spans="1:8" x14ac:dyDescent="0.2">
      <c r="A169" s="3" t="s">
        <v>74</v>
      </c>
      <c r="H169" s="2">
        <f t="shared" si="2"/>
        <v>0</v>
      </c>
    </row>
    <row r="170" spans="1:8" x14ac:dyDescent="0.2">
      <c r="A170" s="3" t="s">
        <v>74</v>
      </c>
      <c r="H170" s="2">
        <f t="shared" si="2"/>
        <v>0</v>
      </c>
    </row>
    <row r="171" spans="1:8" x14ac:dyDescent="0.2">
      <c r="A171" s="3" t="s">
        <v>74</v>
      </c>
      <c r="H171" s="2">
        <f t="shared" si="2"/>
        <v>0</v>
      </c>
    </row>
    <row r="172" spans="1:8" x14ac:dyDescent="0.2">
      <c r="A172" s="3" t="s">
        <v>74</v>
      </c>
      <c r="H172" s="2">
        <f t="shared" si="2"/>
        <v>0</v>
      </c>
    </row>
    <row r="173" spans="1:8" x14ac:dyDescent="0.2">
      <c r="A173" s="3" t="s">
        <v>74</v>
      </c>
      <c r="H173" s="2">
        <f t="shared" si="2"/>
        <v>0</v>
      </c>
    </row>
    <row r="174" spans="1:8" x14ac:dyDescent="0.2">
      <c r="A174" s="3" t="s">
        <v>74</v>
      </c>
      <c r="H174" s="2">
        <f t="shared" si="2"/>
        <v>0</v>
      </c>
    </row>
    <row r="175" spans="1:8" x14ac:dyDescent="0.2">
      <c r="A175" s="3" t="s">
        <v>74</v>
      </c>
      <c r="H175" s="2">
        <f t="shared" si="2"/>
        <v>0</v>
      </c>
    </row>
    <row r="176" spans="1:8" x14ac:dyDescent="0.2">
      <c r="A176" s="3" t="s">
        <v>74</v>
      </c>
      <c r="H176" s="2">
        <f t="shared" si="2"/>
        <v>0</v>
      </c>
    </row>
    <row r="177" spans="1:8" x14ac:dyDescent="0.2">
      <c r="A177" s="3" t="s">
        <v>74</v>
      </c>
      <c r="H177" s="2">
        <f t="shared" si="2"/>
        <v>0</v>
      </c>
    </row>
    <row r="178" spans="1:8" x14ac:dyDescent="0.2">
      <c r="A178" s="3" t="s">
        <v>74</v>
      </c>
      <c r="H178" s="2">
        <f t="shared" si="2"/>
        <v>0</v>
      </c>
    </row>
    <row r="179" spans="1:8" x14ac:dyDescent="0.2">
      <c r="A179" s="3" t="s">
        <v>74</v>
      </c>
      <c r="H179" s="2">
        <f t="shared" si="2"/>
        <v>0</v>
      </c>
    </row>
    <row r="180" spans="1:8" x14ac:dyDescent="0.2">
      <c r="A180" s="3" t="s">
        <v>74</v>
      </c>
      <c r="H180" s="2">
        <f t="shared" si="2"/>
        <v>0</v>
      </c>
    </row>
    <row r="181" spans="1:8" x14ac:dyDescent="0.2">
      <c r="A181" s="3" t="s">
        <v>74</v>
      </c>
      <c r="H181" s="2">
        <f t="shared" si="2"/>
        <v>0</v>
      </c>
    </row>
    <row r="182" spans="1:8" x14ac:dyDescent="0.2">
      <c r="A182" s="3" t="s">
        <v>74</v>
      </c>
      <c r="H182" s="2">
        <f t="shared" si="2"/>
        <v>0</v>
      </c>
    </row>
    <row r="183" spans="1:8" x14ac:dyDescent="0.2">
      <c r="A183" s="3" t="s">
        <v>74</v>
      </c>
      <c r="H183" s="2">
        <f t="shared" si="2"/>
        <v>0</v>
      </c>
    </row>
    <row r="184" spans="1:8" x14ac:dyDescent="0.2">
      <c r="A184" s="3" t="s">
        <v>74</v>
      </c>
      <c r="H184" s="2">
        <f t="shared" si="2"/>
        <v>0</v>
      </c>
    </row>
    <row r="185" spans="1:8" x14ac:dyDescent="0.2">
      <c r="A185" s="3" t="s">
        <v>74</v>
      </c>
      <c r="H185" s="2">
        <f t="shared" si="2"/>
        <v>0</v>
      </c>
    </row>
    <row r="186" spans="1:8" x14ac:dyDescent="0.2">
      <c r="A186" s="3" t="s">
        <v>74</v>
      </c>
      <c r="H186" s="2">
        <f t="shared" si="2"/>
        <v>0</v>
      </c>
    </row>
    <row r="187" spans="1:8" x14ac:dyDescent="0.2">
      <c r="A187" s="3" t="s">
        <v>74</v>
      </c>
      <c r="H187" s="2">
        <f t="shared" si="2"/>
        <v>0</v>
      </c>
    </row>
    <row r="188" spans="1:8" x14ac:dyDescent="0.2">
      <c r="A188" s="3" t="s">
        <v>74</v>
      </c>
      <c r="H188" s="2">
        <f t="shared" si="2"/>
        <v>0</v>
      </c>
    </row>
    <row r="189" spans="1:8" x14ac:dyDescent="0.2">
      <c r="A189" s="3" t="s">
        <v>74</v>
      </c>
      <c r="H189" s="2">
        <f t="shared" si="2"/>
        <v>0</v>
      </c>
    </row>
    <row r="190" spans="1:8" x14ac:dyDescent="0.2">
      <c r="A190" s="3" t="s">
        <v>74</v>
      </c>
      <c r="H190" s="2">
        <f t="shared" si="2"/>
        <v>0</v>
      </c>
    </row>
    <row r="191" spans="1:8" x14ac:dyDescent="0.2">
      <c r="A191" s="3" t="s">
        <v>74</v>
      </c>
      <c r="H191" s="2">
        <f t="shared" si="2"/>
        <v>0</v>
      </c>
    </row>
    <row r="192" spans="1:8" x14ac:dyDescent="0.2">
      <c r="A192" s="3" t="s">
        <v>74</v>
      </c>
      <c r="H192" s="2">
        <f t="shared" si="2"/>
        <v>0</v>
      </c>
    </row>
    <row r="193" spans="1:8" x14ac:dyDescent="0.2">
      <c r="A193" s="3" t="s">
        <v>74</v>
      </c>
      <c r="H193" s="2">
        <f t="shared" si="2"/>
        <v>0</v>
      </c>
    </row>
    <row r="194" spans="1:8" x14ac:dyDescent="0.2">
      <c r="A194" s="3" t="s">
        <v>74</v>
      </c>
      <c r="H194" s="2">
        <f t="shared" ref="H194:H257" si="3">IF(A221="Gestion",F194*1,0)</f>
        <v>0</v>
      </c>
    </row>
    <row r="195" spans="1:8" x14ac:dyDescent="0.2">
      <c r="A195" s="3" t="s">
        <v>74</v>
      </c>
      <c r="H195" s="2">
        <f t="shared" si="3"/>
        <v>0</v>
      </c>
    </row>
    <row r="196" spans="1:8" x14ac:dyDescent="0.2">
      <c r="A196" s="3" t="s">
        <v>74</v>
      </c>
      <c r="H196" s="2">
        <f t="shared" si="3"/>
        <v>0</v>
      </c>
    </row>
    <row r="197" spans="1:8" x14ac:dyDescent="0.2">
      <c r="A197" s="3" t="s">
        <v>74</v>
      </c>
      <c r="H197" s="2">
        <f t="shared" si="3"/>
        <v>0</v>
      </c>
    </row>
    <row r="198" spans="1:8" x14ac:dyDescent="0.2">
      <c r="A198" s="3" t="s">
        <v>74</v>
      </c>
      <c r="H198" s="2">
        <f t="shared" si="3"/>
        <v>0</v>
      </c>
    </row>
    <row r="199" spans="1:8" x14ac:dyDescent="0.2">
      <c r="A199" s="3" t="s">
        <v>74</v>
      </c>
      <c r="H199" s="2">
        <f t="shared" si="3"/>
        <v>0</v>
      </c>
    </row>
    <row r="200" spans="1:8" x14ac:dyDescent="0.2">
      <c r="A200" s="3" t="s">
        <v>74</v>
      </c>
      <c r="H200" s="2">
        <f t="shared" si="3"/>
        <v>0</v>
      </c>
    </row>
    <row r="201" spans="1:8" x14ac:dyDescent="0.2">
      <c r="A201" s="3" t="s">
        <v>74</v>
      </c>
      <c r="H201" s="2">
        <f t="shared" si="3"/>
        <v>0</v>
      </c>
    </row>
    <row r="202" spans="1:8" x14ac:dyDescent="0.2">
      <c r="A202" s="3" t="s">
        <v>74</v>
      </c>
      <c r="H202" s="2">
        <f t="shared" si="3"/>
        <v>0</v>
      </c>
    </row>
    <row r="203" spans="1:8" x14ac:dyDescent="0.2">
      <c r="A203" s="3" t="s">
        <v>74</v>
      </c>
      <c r="H203" s="2">
        <f t="shared" si="3"/>
        <v>0</v>
      </c>
    </row>
    <row r="204" spans="1:8" x14ac:dyDescent="0.2">
      <c r="A204" s="3" t="s">
        <v>74</v>
      </c>
      <c r="H204" s="2">
        <f t="shared" si="3"/>
        <v>0</v>
      </c>
    </row>
    <row r="205" spans="1:8" x14ac:dyDescent="0.2">
      <c r="A205" s="3" t="s">
        <v>74</v>
      </c>
      <c r="H205" s="2">
        <f t="shared" si="3"/>
        <v>0</v>
      </c>
    </row>
    <row r="206" spans="1:8" x14ac:dyDescent="0.2">
      <c r="A206" s="3" t="s">
        <v>74</v>
      </c>
      <c r="H206" s="2">
        <f t="shared" si="3"/>
        <v>0</v>
      </c>
    </row>
    <row r="207" spans="1:8" x14ac:dyDescent="0.2">
      <c r="A207" s="3" t="s">
        <v>74</v>
      </c>
      <c r="H207" s="2">
        <f t="shared" si="3"/>
        <v>0</v>
      </c>
    </row>
    <row r="208" spans="1:8" x14ac:dyDescent="0.2">
      <c r="A208" s="3" t="s">
        <v>74</v>
      </c>
      <c r="H208" s="2">
        <f t="shared" si="3"/>
        <v>0</v>
      </c>
    </row>
    <row r="209" spans="1:8" x14ac:dyDescent="0.2">
      <c r="A209" s="3" t="s">
        <v>74</v>
      </c>
      <c r="H209" s="2">
        <f t="shared" si="3"/>
        <v>0</v>
      </c>
    </row>
    <row r="210" spans="1:8" x14ac:dyDescent="0.2">
      <c r="A210" s="3" t="s">
        <v>74</v>
      </c>
      <c r="H210" s="2">
        <f t="shared" si="3"/>
        <v>0</v>
      </c>
    </row>
    <row r="211" spans="1:8" x14ac:dyDescent="0.2">
      <c r="A211" s="3" t="s">
        <v>74</v>
      </c>
      <c r="H211" s="2">
        <f t="shared" si="3"/>
        <v>0</v>
      </c>
    </row>
    <row r="212" spans="1:8" x14ac:dyDescent="0.2">
      <c r="A212" s="3" t="s">
        <v>74</v>
      </c>
      <c r="H212" s="2">
        <f t="shared" si="3"/>
        <v>0</v>
      </c>
    </row>
    <row r="213" spans="1:8" x14ac:dyDescent="0.2">
      <c r="A213" s="3" t="s">
        <v>74</v>
      </c>
      <c r="H213" s="2">
        <f t="shared" si="3"/>
        <v>0</v>
      </c>
    </row>
    <row r="214" spans="1:8" x14ac:dyDescent="0.2">
      <c r="A214" s="3" t="s">
        <v>74</v>
      </c>
      <c r="H214" s="2">
        <f t="shared" si="3"/>
        <v>0</v>
      </c>
    </row>
    <row r="215" spans="1:8" x14ac:dyDescent="0.2">
      <c r="A215" s="3" t="s">
        <v>74</v>
      </c>
      <c r="H215" s="2">
        <f t="shared" si="3"/>
        <v>0</v>
      </c>
    </row>
    <row r="216" spans="1:8" x14ac:dyDescent="0.2">
      <c r="A216" s="3" t="s">
        <v>74</v>
      </c>
      <c r="H216" s="2">
        <f t="shared" si="3"/>
        <v>0</v>
      </c>
    </row>
    <row r="217" spans="1:8" x14ac:dyDescent="0.2">
      <c r="A217" s="3" t="s">
        <v>74</v>
      </c>
      <c r="H217" s="2">
        <f t="shared" si="3"/>
        <v>0</v>
      </c>
    </row>
    <row r="218" spans="1:8" x14ac:dyDescent="0.2">
      <c r="A218" s="3" t="s">
        <v>74</v>
      </c>
      <c r="H218" s="2">
        <f t="shared" si="3"/>
        <v>0</v>
      </c>
    </row>
    <row r="219" spans="1:8" x14ac:dyDescent="0.2">
      <c r="A219" s="3" t="s">
        <v>74</v>
      </c>
      <c r="H219" s="2">
        <f t="shared" si="3"/>
        <v>0</v>
      </c>
    </row>
    <row r="220" spans="1:8" x14ac:dyDescent="0.2">
      <c r="A220" s="3" t="s">
        <v>74</v>
      </c>
      <c r="H220" s="2">
        <f t="shared" si="3"/>
        <v>0</v>
      </c>
    </row>
    <row r="221" spans="1:8" x14ac:dyDescent="0.2">
      <c r="A221" s="3" t="s">
        <v>74</v>
      </c>
      <c r="H221" s="2">
        <f t="shared" si="3"/>
        <v>0</v>
      </c>
    </row>
    <row r="222" spans="1:8" x14ac:dyDescent="0.2">
      <c r="A222" s="3" t="s">
        <v>74</v>
      </c>
      <c r="H222" s="2">
        <f t="shared" si="3"/>
        <v>0</v>
      </c>
    </row>
    <row r="223" spans="1:8" x14ac:dyDescent="0.2">
      <c r="A223" s="3" t="s">
        <v>74</v>
      </c>
      <c r="H223" s="2">
        <f t="shared" si="3"/>
        <v>0</v>
      </c>
    </row>
    <row r="224" spans="1:8" x14ac:dyDescent="0.2">
      <c r="A224" s="3" t="s">
        <v>74</v>
      </c>
      <c r="H224" s="2">
        <f t="shared" si="3"/>
        <v>0</v>
      </c>
    </row>
    <row r="225" spans="1:8" x14ac:dyDescent="0.2">
      <c r="A225" s="3" t="s">
        <v>74</v>
      </c>
      <c r="H225" s="2">
        <f t="shared" si="3"/>
        <v>0</v>
      </c>
    </row>
    <row r="226" spans="1:8" x14ac:dyDescent="0.2">
      <c r="A226" s="3" t="s">
        <v>74</v>
      </c>
      <c r="H226" s="2">
        <f t="shared" si="3"/>
        <v>0</v>
      </c>
    </row>
    <row r="227" spans="1:8" x14ac:dyDescent="0.2">
      <c r="A227" s="3" t="s">
        <v>74</v>
      </c>
      <c r="H227" s="2">
        <f t="shared" si="3"/>
        <v>0</v>
      </c>
    </row>
    <row r="228" spans="1:8" x14ac:dyDescent="0.2">
      <c r="A228" s="3" t="s">
        <v>74</v>
      </c>
      <c r="H228" s="2">
        <f t="shared" si="3"/>
        <v>0</v>
      </c>
    </row>
    <row r="229" spans="1:8" x14ac:dyDescent="0.2">
      <c r="A229" s="3" t="s">
        <v>74</v>
      </c>
      <c r="H229" s="2">
        <f t="shared" si="3"/>
        <v>0</v>
      </c>
    </row>
    <row r="230" spans="1:8" x14ac:dyDescent="0.2">
      <c r="A230" s="3" t="s">
        <v>74</v>
      </c>
      <c r="H230" s="2">
        <f t="shared" si="3"/>
        <v>0</v>
      </c>
    </row>
    <row r="231" spans="1:8" x14ac:dyDescent="0.2">
      <c r="A231" s="3" t="s">
        <v>74</v>
      </c>
      <c r="H231" s="2">
        <f t="shared" si="3"/>
        <v>0</v>
      </c>
    </row>
    <row r="232" spans="1:8" x14ac:dyDescent="0.2">
      <c r="A232" s="3" t="s">
        <v>74</v>
      </c>
      <c r="H232" s="2">
        <f t="shared" si="3"/>
        <v>0</v>
      </c>
    </row>
    <row r="233" spans="1:8" x14ac:dyDescent="0.2">
      <c r="A233" s="3" t="s">
        <v>74</v>
      </c>
      <c r="H233" s="2">
        <f t="shared" si="3"/>
        <v>0</v>
      </c>
    </row>
    <row r="234" spans="1:8" x14ac:dyDescent="0.2">
      <c r="A234" s="3" t="s">
        <v>74</v>
      </c>
      <c r="H234" s="2">
        <f t="shared" si="3"/>
        <v>0</v>
      </c>
    </row>
    <row r="235" spans="1:8" x14ac:dyDescent="0.2">
      <c r="A235" s="3" t="s">
        <v>74</v>
      </c>
      <c r="H235" s="2">
        <f t="shared" si="3"/>
        <v>0</v>
      </c>
    </row>
    <row r="236" spans="1:8" x14ac:dyDescent="0.2">
      <c r="A236" s="3" t="s">
        <v>74</v>
      </c>
      <c r="H236" s="2">
        <f t="shared" si="3"/>
        <v>0</v>
      </c>
    </row>
    <row r="237" spans="1:8" x14ac:dyDescent="0.2">
      <c r="A237" s="3" t="s">
        <v>74</v>
      </c>
      <c r="H237" s="2">
        <f t="shared" si="3"/>
        <v>0</v>
      </c>
    </row>
    <row r="238" spans="1:8" x14ac:dyDescent="0.2">
      <c r="A238" s="3" t="s">
        <v>74</v>
      </c>
      <c r="H238" s="2">
        <f t="shared" si="3"/>
        <v>0</v>
      </c>
    </row>
    <row r="239" spans="1:8" x14ac:dyDescent="0.2">
      <c r="A239" s="3" t="s">
        <v>74</v>
      </c>
      <c r="H239" s="2">
        <f t="shared" si="3"/>
        <v>0</v>
      </c>
    </row>
    <row r="240" spans="1:8" x14ac:dyDescent="0.2">
      <c r="A240" s="3" t="s">
        <v>74</v>
      </c>
      <c r="H240" s="2">
        <f t="shared" si="3"/>
        <v>0</v>
      </c>
    </row>
    <row r="241" spans="1:8" x14ac:dyDescent="0.2">
      <c r="A241" s="3" t="s">
        <v>74</v>
      </c>
      <c r="H241" s="2">
        <f t="shared" si="3"/>
        <v>0</v>
      </c>
    </row>
    <row r="242" spans="1:8" x14ac:dyDescent="0.2">
      <c r="A242" s="3" t="s">
        <v>74</v>
      </c>
      <c r="H242" s="2">
        <f t="shared" si="3"/>
        <v>0</v>
      </c>
    </row>
    <row r="243" spans="1:8" x14ac:dyDescent="0.2">
      <c r="A243" s="3" t="s">
        <v>74</v>
      </c>
      <c r="H243" s="2">
        <f t="shared" si="3"/>
        <v>0</v>
      </c>
    </row>
    <row r="244" spans="1:8" x14ac:dyDescent="0.2">
      <c r="A244" s="3" t="s">
        <v>74</v>
      </c>
      <c r="H244" s="2">
        <f t="shared" si="3"/>
        <v>0</v>
      </c>
    </row>
    <row r="245" spans="1:8" x14ac:dyDescent="0.2">
      <c r="A245" s="3" t="s">
        <v>74</v>
      </c>
      <c r="H245" s="2">
        <f t="shared" si="3"/>
        <v>0</v>
      </c>
    </row>
    <row r="246" spans="1:8" x14ac:dyDescent="0.2">
      <c r="A246" s="3" t="s">
        <v>74</v>
      </c>
      <c r="H246" s="2">
        <f t="shared" si="3"/>
        <v>0</v>
      </c>
    </row>
    <row r="247" spans="1:8" x14ac:dyDescent="0.2">
      <c r="A247" s="3" t="s">
        <v>74</v>
      </c>
      <c r="H247" s="2">
        <f t="shared" si="3"/>
        <v>0</v>
      </c>
    </row>
    <row r="248" spans="1:8" x14ac:dyDescent="0.2">
      <c r="A248" s="3" t="s">
        <v>74</v>
      </c>
      <c r="H248" s="2">
        <f t="shared" si="3"/>
        <v>0</v>
      </c>
    </row>
    <row r="249" spans="1:8" x14ac:dyDescent="0.2">
      <c r="A249" s="3" t="s">
        <v>74</v>
      </c>
      <c r="H249" s="2">
        <f t="shared" si="3"/>
        <v>0</v>
      </c>
    </row>
    <row r="250" spans="1:8" x14ac:dyDescent="0.2">
      <c r="A250" s="3" t="s">
        <v>74</v>
      </c>
      <c r="H250" s="2">
        <f t="shared" si="3"/>
        <v>0</v>
      </c>
    </row>
    <row r="251" spans="1:8" x14ac:dyDescent="0.2">
      <c r="A251" s="3" t="s">
        <v>74</v>
      </c>
      <c r="H251" s="2">
        <f t="shared" si="3"/>
        <v>0</v>
      </c>
    </row>
    <row r="252" spans="1:8" x14ac:dyDescent="0.2">
      <c r="A252" s="3" t="s">
        <v>74</v>
      </c>
      <c r="H252" s="2">
        <f t="shared" si="3"/>
        <v>0</v>
      </c>
    </row>
    <row r="253" spans="1:8" x14ac:dyDescent="0.2">
      <c r="A253" s="3" t="s">
        <v>74</v>
      </c>
      <c r="H253" s="2">
        <f t="shared" si="3"/>
        <v>0</v>
      </c>
    </row>
    <row r="254" spans="1:8" x14ac:dyDescent="0.2">
      <c r="A254" s="3" t="s">
        <v>74</v>
      </c>
      <c r="H254" s="2">
        <f t="shared" si="3"/>
        <v>0</v>
      </c>
    </row>
    <row r="255" spans="1:8" x14ac:dyDescent="0.2">
      <c r="A255" s="3" t="s">
        <v>74</v>
      </c>
      <c r="H255" s="2">
        <f t="shared" si="3"/>
        <v>0</v>
      </c>
    </row>
    <row r="256" spans="1:8" x14ac:dyDescent="0.2">
      <c r="A256" s="3" t="s">
        <v>74</v>
      </c>
      <c r="H256" s="2">
        <f t="shared" si="3"/>
        <v>0</v>
      </c>
    </row>
    <row r="257" spans="1:8" x14ac:dyDescent="0.2">
      <c r="A257" s="3" t="s">
        <v>74</v>
      </c>
      <c r="H257" s="2">
        <f t="shared" si="3"/>
        <v>0</v>
      </c>
    </row>
    <row r="258" spans="1:8" x14ac:dyDescent="0.2">
      <c r="A258" s="3" t="s">
        <v>74</v>
      </c>
      <c r="H258" s="2">
        <f t="shared" ref="H258:H321" si="4">IF(A285="Gestion",F258*1,0)</f>
        <v>0</v>
      </c>
    </row>
    <row r="259" spans="1:8" x14ac:dyDescent="0.2">
      <c r="A259" s="3" t="s">
        <v>74</v>
      </c>
      <c r="H259" s="2">
        <f t="shared" si="4"/>
        <v>0</v>
      </c>
    </row>
    <row r="260" spans="1:8" x14ac:dyDescent="0.2">
      <c r="A260" s="3" t="s">
        <v>74</v>
      </c>
      <c r="H260" s="2">
        <f t="shared" si="4"/>
        <v>0</v>
      </c>
    </row>
    <row r="261" spans="1:8" x14ac:dyDescent="0.2">
      <c r="A261" s="3" t="s">
        <v>74</v>
      </c>
      <c r="H261" s="2">
        <f t="shared" si="4"/>
        <v>0</v>
      </c>
    </row>
    <row r="262" spans="1:8" x14ac:dyDescent="0.2">
      <c r="A262" s="3" t="s">
        <v>74</v>
      </c>
      <c r="H262" s="2">
        <f t="shared" si="4"/>
        <v>0</v>
      </c>
    </row>
    <row r="263" spans="1:8" x14ac:dyDescent="0.2">
      <c r="A263" s="3" t="s">
        <v>74</v>
      </c>
      <c r="H263" s="2">
        <f t="shared" si="4"/>
        <v>0</v>
      </c>
    </row>
    <row r="264" spans="1:8" x14ac:dyDescent="0.2">
      <c r="A264" s="3" t="s">
        <v>74</v>
      </c>
      <c r="H264" s="2">
        <f t="shared" si="4"/>
        <v>0</v>
      </c>
    </row>
    <row r="265" spans="1:8" x14ac:dyDescent="0.2">
      <c r="A265" s="3" t="s">
        <v>74</v>
      </c>
      <c r="H265" s="2">
        <f t="shared" si="4"/>
        <v>0</v>
      </c>
    </row>
    <row r="266" spans="1:8" x14ac:dyDescent="0.2">
      <c r="A266" s="3" t="s">
        <v>74</v>
      </c>
      <c r="H266" s="2">
        <f t="shared" si="4"/>
        <v>0</v>
      </c>
    </row>
    <row r="267" spans="1:8" x14ac:dyDescent="0.2">
      <c r="A267" s="3" t="s">
        <v>74</v>
      </c>
      <c r="H267" s="2">
        <f t="shared" si="4"/>
        <v>0</v>
      </c>
    </row>
    <row r="268" spans="1:8" x14ac:dyDescent="0.2">
      <c r="A268" s="3" t="s">
        <v>74</v>
      </c>
      <c r="H268" s="2">
        <f t="shared" si="4"/>
        <v>0</v>
      </c>
    </row>
    <row r="269" spans="1:8" x14ac:dyDescent="0.2">
      <c r="A269" s="3" t="s">
        <v>74</v>
      </c>
      <c r="H269" s="2">
        <f t="shared" si="4"/>
        <v>0</v>
      </c>
    </row>
    <row r="270" spans="1:8" x14ac:dyDescent="0.2">
      <c r="A270" s="3" t="s">
        <v>74</v>
      </c>
      <c r="H270" s="2">
        <f t="shared" si="4"/>
        <v>0</v>
      </c>
    </row>
    <row r="271" spans="1:8" x14ac:dyDescent="0.2">
      <c r="A271" s="3" t="s">
        <v>74</v>
      </c>
      <c r="H271" s="2">
        <f t="shared" si="4"/>
        <v>0</v>
      </c>
    </row>
    <row r="272" spans="1:8" x14ac:dyDescent="0.2">
      <c r="A272" s="3" t="s">
        <v>74</v>
      </c>
      <c r="H272" s="2">
        <f t="shared" si="4"/>
        <v>0</v>
      </c>
    </row>
    <row r="273" spans="1:8" x14ac:dyDescent="0.2">
      <c r="A273" s="3" t="s">
        <v>74</v>
      </c>
      <c r="H273" s="2">
        <f t="shared" si="4"/>
        <v>0</v>
      </c>
    </row>
    <row r="274" spans="1:8" x14ac:dyDescent="0.2">
      <c r="A274" s="3" t="s">
        <v>74</v>
      </c>
      <c r="H274" s="2">
        <f t="shared" si="4"/>
        <v>0</v>
      </c>
    </row>
    <row r="275" spans="1:8" x14ac:dyDescent="0.2">
      <c r="A275" s="3" t="s">
        <v>74</v>
      </c>
      <c r="H275" s="2">
        <f t="shared" si="4"/>
        <v>0</v>
      </c>
    </row>
    <row r="276" spans="1:8" x14ac:dyDescent="0.2">
      <c r="A276" s="3" t="s">
        <v>74</v>
      </c>
      <c r="H276" s="2">
        <f t="shared" si="4"/>
        <v>0</v>
      </c>
    </row>
    <row r="277" spans="1:8" x14ac:dyDescent="0.2">
      <c r="A277" s="3" t="s">
        <v>74</v>
      </c>
      <c r="H277" s="2">
        <f t="shared" si="4"/>
        <v>0</v>
      </c>
    </row>
    <row r="278" spans="1:8" x14ac:dyDescent="0.2">
      <c r="A278" s="3" t="s">
        <v>74</v>
      </c>
      <c r="H278" s="2">
        <f t="shared" si="4"/>
        <v>0</v>
      </c>
    </row>
    <row r="279" spans="1:8" x14ac:dyDescent="0.2">
      <c r="A279" s="3" t="s">
        <v>74</v>
      </c>
      <c r="H279" s="2">
        <f t="shared" si="4"/>
        <v>0</v>
      </c>
    </row>
    <row r="280" spans="1:8" x14ac:dyDescent="0.2">
      <c r="A280" s="3" t="s">
        <v>74</v>
      </c>
      <c r="H280" s="2">
        <f t="shared" si="4"/>
        <v>0</v>
      </c>
    </row>
    <row r="281" spans="1:8" x14ac:dyDescent="0.2">
      <c r="A281" s="3" t="s">
        <v>74</v>
      </c>
      <c r="H281" s="2">
        <f t="shared" si="4"/>
        <v>0</v>
      </c>
    </row>
    <row r="282" spans="1:8" x14ac:dyDescent="0.2">
      <c r="A282" s="3" t="s">
        <v>74</v>
      </c>
      <c r="H282" s="2">
        <f t="shared" si="4"/>
        <v>0</v>
      </c>
    </row>
    <row r="283" spans="1:8" x14ac:dyDescent="0.2">
      <c r="A283" s="3" t="s">
        <v>74</v>
      </c>
      <c r="H283" s="2">
        <f t="shared" si="4"/>
        <v>0</v>
      </c>
    </row>
    <row r="284" spans="1:8" x14ac:dyDescent="0.2">
      <c r="A284" s="3" t="s">
        <v>74</v>
      </c>
      <c r="H284" s="2">
        <f t="shared" si="4"/>
        <v>0</v>
      </c>
    </row>
    <row r="285" spans="1:8" x14ac:dyDescent="0.2">
      <c r="A285" s="3" t="s">
        <v>74</v>
      </c>
      <c r="H285" s="2">
        <f t="shared" si="4"/>
        <v>0</v>
      </c>
    </row>
    <row r="286" spans="1:8" x14ac:dyDescent="0.2">
      <c r="A286" s="3" t="s">
        <v>74</v>
      </c>
      <c r="H286" s="2">
        <f t="shared" si="4"/>
        <v>0</v>
      </c>
    </row>
    <row r="287" spans="1:8" x14ac:dyDescent="0.2">
      <c r="A287" s="3" t="s">
        <v>74</v>
      </c>
      <c r="H287" s="2">
        <f t="shared" si="4"/>
        <v>0</v>
      </c>
    </row>
    <row r="288" spans="1:8" x14ac:dyDescent="0.2">
      <c r="A288" s="3" t="s">
        <v>74</v>
      </c>
      <c r="H288" s="2">
        <f t="shared" si="4"/>
        <v>0</v>
      </c>
    </row>
    <row r="289" spans="1:8" x14ac:dyDescent="0.2">
      <c r="A289" s="3" t="s">
        <v>74</v>
      </c>
      <c r="H289" s="2">
        <f t="shared" si="4"/>
        <v>0</v>
      </c>
    </row>
    <row r="290" spans="1:8" x14ac:dyDescent="0.2">
      <c r="A290" s="3" t="s">
        <v>74</v>
      </c>
      <c r="H290" s="2">
        <f t="shared" si="4"/>
        <v>0</v>
      </c>
    </row>
    <row r="291" spans="1:8" x14ac:dyDescent="0.2">
      <c r="A291" s="3" t="s">
        <v>74</v>
      </c>
      <c r="H291" s="2">
        <f t="shared" si="4"/>
        <v>0</v>
      </c>
    </row>
    <row r="292" spans="1:8" x14ac:dyDescent="0.2">
      <c r="A292" s="3" t="s">
        <v>74</v>
      </c>
      <c r="H292" s="2">
        <f t="shared" si="4"/>
        <v>0</v>
      </c>
    </row>
    <row r="293" spans="1:8" x14ac:dyDescent="0.2">
      <c r="A293" s="3" t="s">
        <v>74</v>
      </c>
      <c r="H293" s="2">
        <f t="shared" si="4"/>
        <v>0</v>
      </c>
    </row>
    <row r="294" spans="1:8" x14ac:dyDescent="0.2">
      <c r="A294" s="3" t="s">
        <v>74</v>
      </c>
      <c r="H294" s="2">
        <f t="shared" si="4"/>
        <v>0</v>
      </c>
    </row>
    <row r="295" spans="1:8" x14ac:dyDescent="0.2">
      <c r="A295" s="3" t="s">
        <v>74</v>
      </c>
      <c r="H295" s="2">
        <f t="shared" si="4"/>
        <v>0</v>
      </c>
    </row>
    <row r="296" spans="1:8" x14ac:dyDescent="0.2">
      <c r="A296" s="3" t="s">
        <v>74</v>
      </c>
      <c r="H296" s="2">
        <f t="shared" si="4"/>
        <v>0</v>
      </c>
    </row>
    <row r="297" spans="1:8" x14ac:dyDescent="0.2">
      <c r="A297" s="3" t="s">
        <v>74</v>
      </c>
      <c r="H297" s="2">
        <f t="shared" si="4"/>
        <v>0</v>
      </c>
    </row>
    <row r="298" spans="1:8" x14ac:dyDescent="0.2">
      <c r="A298" s="3" t="s">
        <v>74</v>
      </c>
      <c r="H298" s="2">
        <f t="shared" si="4"/>
        <v>0</v>
      </c>
    </row>
    <row r="299" spans="1:8" x14ac:dyDescent="0.2">
      <c r="A299" s="3" t="s">
        <v>74</v>
      </c>
      <c r="H299" s="2">
        <f t="shared" si="4"/>
        <v>0</v>
      </c>
    </row>
    <row r="300" spans="1:8" x14ac:dyDescent="0.2">
      <c r="A300" s="3" t="s">
        <v>74</v>
      </c>
      <c r="H300" s="2">
        <f t="shared" si="4"/>
        <v>0</v>
      </c>
    </row>
    <row r="301" spans="1:8" x14ac:dyDescent="0.2">
      <c r="A301" s="3" t="s">
        <v>74</v>
      </c>
      <c r="H301" s="2">
        <f t="shared" si="4"/>
        <v>0</v>
      </c>
    </row>
    <row r="302" spans="1:8" x14ac:dyDescent="0.2">
      <c r="A302" s="3" t="s">
        <v>74</v>
      </c>
      <c r="H302" s="2">
        <f t="shared" si="4"/>
        <v>0</v>
      </c>
    </row>
    <row r="303" spans="1:8" x14ac:dyDescent="0.2">
      <c r="A303" s="3" t="s">
        <v>74</v>
      </c>
      <c r="H303" s="2">
        <f t="shared" si="4"/>
        <v>0</v>
      </c>
    </row>
    <row r="304" spans="1:8" x14ac:dyDescent="0.2">
      <c r="A304" s="3" t="s">
        <v>74</v>
      </c>
      <c r="H304" s="2">
        <f t="shared" si="4"/>
        <v>0</v>
      </c>
    </row>
    <row r="305" spans="1:8" x14ac:dyDescent="0.2">
      <c r="A305" s="3" t="s">
        <v>74</v>
      </c>
      <c r="H305" s="2">
        <f t="shared" si="4"/>
        <v>0</v>
      </c>
    </row>
    <row r="306" spans="1:8" x14ac:dyDescent="0.2">
      <c r="A306" s="3" t="s">
        <v>74</v>
      </c>
      <c r="H306" s="2">
        <f t="shared" si="4"/>
        <v>0</v>
      </c>
    </row>
    <row r="307" spans="1:8" x14ac:dyDescent="0.2">
      <c r="A307" s="3" t="s">
        <v>74</v>
      </c>
      <c r="H307" s="2">
        <f t="shared" si="4"/>
        <v>0</v>
      </c>
    </row>
    <row r="308" spans="1:8" x14ac:dyDescent="0.2">
      <c r="A308" s="3" t="s">
        <v>74</v>
      </c>
      <c r="H308" s="2">
        <f t="shared" si="4"/>
        <v>0</v>
      </c>
    </row>
    <row r="309" spans="1:8" x14ac:dyDescent="0.2">
      <c r="A309" s="3" t="s">
        <v>74</v>
      </c>
      <c r="H309" s="2">
        <f t="shared" si="4"/>
        <v>0</v>
      </c>
    </row>
    <row r="310" spans="1:8" x14ac:dyDescent="0.2">
      <c r="A310" s="3" t="s">
        <v>74</v>
      </c>
      <c r="H310" s="2">
        <f t="shared" si="4"/>
        <v>0</v>
      </c>
    </row>
    <row r="311" spans="1:8" x14ac:dyDescent="0.2">
      <c r="A311" s="3" t="s">
        <v>74</v>
      </c>
      <c r="H311" s="2">
        <f t="shared" si="4"/>
        <v>0</v>
      </c>
    </row>
    <row r="312" spans="1:8" x14ac:dyDescent="0.2">
      <c r="A312" s="3" t="s">
        <v>74</v>
      </c>
      <c r="H312" s="2">
        <f t="shared" si="4"/>
        <v>0</v>
      </c>
    </row>
    <row r="313" spans="1:8" x14ac:dyDescent="0.2">
      <c r="A313" s="3" t="s">
        <v>74</v>
      </c>
      <c r="H313" s="2">
        <f t="shared" si="4"/>
        <v>0</v>
      </c>
    </row>
    <row r="314" spans="1:8" x14ac:dyDescent="0.2">
      <c r="A314" s="3" t="s">
        <v>74</v>
      </c>
      <c r="H314" s="2">
        <f t="shared" si="4"/>
        <v>0</v>
      </c>
    </row>
    <row r="315" spans="1:8" x14ac:dyDescent="0.2">
      <c r="A315" s="3" t="s">
        <v>74</v>
      </c>
      <c r="H315" s="2">
        <f t="shared" si="4"/>
        <v>0</v>
      </c>
    </row>
    <row r="316" spans="1:8" x14ac:dyDescent="0.2">
      <c r="A316" s="3" t="s">
        <v>74</v>
      </c>
      <c r="H316" s="2">
        <f t="shared" si="4"/>
        <v>0</v>
      </c>
    </row>
    <row r="317" spans="1:8" x14ac:dyDescent="0.2">
      <c r="A317" s="3" t="s">
        <v>74</v>
      </c>
      <c r="H317" s="2">
        <f t="shared" si="4"/>
        <v>0</v>
      </c>
    </row>
    <row r="318" spans="1:8" x14ac:dyDescent="0.2">
      <c r="A318" s="3" t="s">
        <v>74</v>
      </c>
      <c r="H318" s="2">
        <f t="shared" si="4"/>
        <v>0</v>
      </c>
    </row>
    <row r="319" spans="1:8" x14ac:dyDescent="0.2">
      <c r="A319" s="3" t="s">
        <v>74</v>
      </c>
      <c r="H319" s="2">
        <f t="shared" si="4"/>
        <v>0</v>
      </c>
    </row>
    <row r="320" spans="1:8" x14ac:dyDescent="0.2">
      <c r="A320" s="3" t="s">
        <v>74</v>
      </c>
      <c r="H320" s="2">
        <f t="shared" si="4"/>
        <v>0</v>
      </c>
    </row>
    <row r="321" spans="1:8" x14ac:dyDescent="0.2">
      <c r="A321" s="3" t="s">
        <v>74</v>
      </c>
      <c r="H321" s="2">
        <f t="shared" si="4"/>
        <v>0</v>
      </c>
    </row>
    <row r="322" spans="1:8" x14ac:dyDescent="0.2">
      <c r="A322" s="3" t="s">
        <v>74</v>
      </c>
      <c r="H322" s="2">
        <f t="shared" ref="H322:H385" si="5">IF(A349="Gestion",F322*1,0)</f>
        <v>0</v>
      </c>
    </row>
    <row r="323" spans="1:8" x14ac:dyDescent="0.2">
      <c r="A323" s="3" t="s">
        <v>74</v>
      </c>
      <c r="H323" s="2">
        <f t="shared" si="5"/>
        <v>0</v>
      </c>
    </row>
    <row r="324" spans="1:8" x14ac:dyDescent="0.2">
      <c r="A324" s="3" t="s">
        <v>74</v>
      </c>
      <c r="H324" s="2">
        <f t="shared" si="5"/>
        <v>0</v>
      </c>
    </row>
    <row r="325" spans="1:8" x14ac:dyDescent="0.2">
      <c r="A325" s="3" t="s">
        <v>74</v>
      </c>
      <c r="H325" s="2">
        <f t="shared" si="5"/>
        <v>0</v>
      </c>
    </row>
    <row r="326" spans="1:8" x14ac:dyDescent="0.2">
      <c r="A326" s="3" t="s">
        <v>74</v>
      </c>
      <c r="H326" s="2">
        <f t="shared" si="5"/>
        <v>0</v>
      </c>
    </row>
    <row r="327" spans="1:8" x14ac:dyDescent="0.2">
      <c r="A327" s="3" t="s">
        <v>74</v>
      </c>
      <c r="H327" s="2">
        <f t="shared" si="5"/>
        <v>0</v>
      </c>
    </row>
    <row r="328" spans="1:8" x14ac:dyDescent="0.2">
      <c r="A328" s="3" t="s">
        <v>74</v>
      </c>
      <c r="H328" s="2">
        <f t="shared" si="5"/>
        <v>0</v>
      </c>
    </row>
    <row r="329" spans="1:8" x14ac:dyDescent="0.2">
      <c r="A329" s="3" t="s">
        <v>74</v>
      </c>
      <c r="H329" s="2">
        <f t="shared" si="5"/>
        <v>0</v>
      </c>
    </row>
    <row r="330" spans="1:8" x14ac:dyDescent="0.2">
      <c r="A330" s="3" t="s">
        <v>74</v>
      </c>
      <c r="H330" s="2">
        <f t="shared" si="5"/>
        <v>0</v>
      </c>
    </row>
    <row r="331" spans="1:8" x14ac:dyDescent="0.2">
      <c r="A331" s="3" t="s">
        <v>74</v>
      </c>
      <c r="H331" s="2">
        <f t="shared" si="5"/>
        <v>0</v>
      </c>
    </row>
    <row r="332" spans="1:8" x14ac:dyDescent="0.2">
      <c r="A332" s="3" t="s">
        <v>74</v>
      </c>
      <c r="H332" s="2">
        <f t="shared" si="5"/>
        <v>0</v>
      </c>
    </row>
    <row r="333" spans="1:8" x14ac:dyDescent="0.2">
      <c r="A333" s="3" t="s">
        <v>74</v>
      </c>
      <c r="H333" s="2">
        <f t="shared" si="5"/>
        <v>0</v>
      </c>
    </row>
    <row r="334" spans="1:8" x14ac:dyDescent="0.2">
      <c r="A334" s="3" t="s">
        <v>74</v>
      </c>
      <c r="H334" s="2">
        <f t="shared" si="5"/>
        <v>0</v>
      </c>
    </row>
    <row r="335" spans="1:8" x14ac:dyDescent="0.2">
      <c r="A335" s="3" t="s">
        <v>74</v>
      </c>
      <c r="H335" s="2">
        <f t="shared" si="5"/>
        <v>0</v>
      </c>
    </row>
    <row r="336" spans="1:8" x14ac:dyDescent="0.2">
      <c r="A336" s="3" t="s">
        <v>74</v>
      </c>
      <c r="H336" s="2">
        <f t="shared" si="5"/>
        <v>0</v>
      </c>
    </row>
    <row r="337" spans="1:8" x14ac:dyDescent="0.2">
      <c r="A337" s="3" t="s">
        <v>74</v>
      </c>
      <c r="H337" s="2">
        <f t="shared" si="5"/>
        <v>0</v>
      </c>
    </row>
    <row r="338" spans="1:8" x14ac:dyDescent="0.2">
      <c r="A338" s="3" t="s">
        <v>74</v>
      </c>
      <c r="H338" s="2">
        <f t="shared" si="5"/>
        <v>0</v>
      </c>
    </row>
    <row r="339" spans="1:8" x14ac:dyDescent="0.2">
      <c r="A339" s="3" t="s">
        <v>74</v>
      </c>
      <c r="H339" s="2">
        <f t="shared" si="5"/>
        <v>0</v>
      </c>
    </row>
    <row r="340" spans="1:8" x14ac:dyDescent="0.2">
      <c r="A340" s="3" t="s">
        <v>74</v>
      </c>
      <c r="H340" s="2">
        <f t="shared" si="5"/>
        <v>0</v>
      </c>
    </row>
    <row r="341" spans="1:8" x14ac:dyDescent="0.2">
      <c r="A341" s="3" t="s">
        <v>74</v>
      </c>
      <c r="H341" s="2">
        <f t="shared" si="5"/>
        <v>0</v>
      </c>
    </row>
    <row r="342" spans="1:8" x14ac:dyDescent="0.2">
      <c r="A342" s="3" t="s">
        <v>74</v>
      </c>
      <c r="H342" s="2">
        <f t="shared" si="5"/>
        <v>0</v>
      </c>
    </row>
    <row r="343" spans="1:8" x14ac:dyDescent="0.2">
      <c r="A343" s="3" t="s">
        <v>74</v>
      </c>
      <c r="H343" s="2">
        <f t="shared" si="5"/>
        <v>0</v>
      </c>
    </row>
    <row r="344" spans="1:8" x14ac:dyDescent="0.2">
      <c r="A344" s="3" t="s">
        <v>74</v>
      </c>
      <c r="H344" s="2">
        <f t="shared" si="5"/>
        <v>0</v>
      </c>
    </row>
    <row r="345" spans="1:8" x14ac:dyDescent="0.2">
      <c r="A345" s="3" t="s">
        <v>74</v>
      </c>
      <c r="H345" s="2">
        <f t="shared" si="5"/>
        <v>0</v>
      </c>
    </row>
    <row r="346" spans="1:8" x14ac:dyDescent="0.2">
      <c r="A346" s="3" t="s">
        <v>74</v>
      </c>
      <c r="H346" s="2">
        <f t="shared" si="5"/>
        <v>0</v>
      </c>
    </row>
    <row r="347" spans="1:8" x14ac:dyDescent="0.2">
      <c r="A347" s="3" t="s">
        <v>74</v>
      </c>
      <c r="H347" s="2">
        <f t="shared" si="5"/>
        <v>0</v>
      </c>
    </row>
    <row r="348" spans="1:8" x14ac:dyDescent="0.2">
      <c r="A348" s="3" t="s">
        <v>74</v>
      </c>
      <c r="H348" s="2">
        <f t="shared" si="5"/>
        <v>0</v>
      </c>
    </row>
    <row r="349" spans="1:8" x14ac:dyDescent="0.2">
      <c r="A349" s="3" t="s">
        <v>74</v>
      </c>
      <c r="H349" s="2">
        <f t="shared" si="5"/>
        <v>0</v>
      </c>
    </row>
    <row r="350" spans="1:8" x14ac:dyDescent="0.2">
      <c r="A350" s="3" t="s">
        <v>74</v>
      </c>
      <c r="H350" s="2">
        <f t="shared" si="5"/>
        <v>0</v>
      </c>
    </row>
    <row r="351" spans="1:8" x14ac:dyDescent="0.2">
      <c r="A351" s="3" t="s">
        <v>74</v>
      </c>
      <c r="H351" s="2">
        <f t="shared" si="5"/>
        <v>0</v>
      </c>
    </row>
    <row r="352" spans="1:8" x14ac:dyDescent="0.2">
      <c r="A352" s="3" t="s">
        <v>74</v>
      </c>
      <c r="H352" s="2">
        <f t="shared" si="5"/>
        <v>0</v>
      </c>
    </row>
    <row r="353" spans="1:8" x14ac:dyDescent="0.2">
      <c r="A353" s="3" t="s">
        <v>74</v>
      </c>
      <c r="H353" s="2">
        <f t="shared" si="5"/>
        <v>0</v>
      </c>
    </row>
    <row r="354" spans="1:8" x14ac:dyDescent="0.2">
      <c r="A354" s="3" t="s">
        <v>74</v>
      </c>
      <c r="H354" s="2">
        <f t="shared" si="5"/>
        <v>0</v>
      </c>
    </row>
    <row r="355" spans="1:8" x14ac:dyDescent="0.2">
      <c r="A355" s="3" t="s">
        <v>74</v>
      </c>
      <c r="H355" s="2">
        <f t="shared" si="5"/>
        <v>0</v>
      </c>
    </row>
    <row r="356" spans="1:8" x14ac:dyDescent="0.2">
      <c r="A356" s="3" t="s">
        <v>74</v>
      </c>
      <c r="H356" s="2">
        <f t="shared" si="5"/>
        <v>0</v>
      </c>
    </row>
    <row r="357" spans="1:8" x14ac:dyDescent="0.2">
      <c r="A357" s="3" t="s">
        <v>74</v>
      </c>
      <c r="H357" s="2">
        <f t="shared" si="5"/>
        <v>0</v>
      </c>
    </row>
    <row r="358" spans="1:8" x14ac:dyDescent="0.2">
      <c r="A358" s="3" t="s">
        <v>74</v>
      </c>
      <c r="H358" s="2">
        <f t="shared" si="5"/>
        <v>0</v>
      </c>
    </row>
    <row r="359" spans="1:8" x14ac:dyDescent="0.2">
      <c r="A359" s="3" t="s">
        <v>74</v>
      </c>
      <c r="H359" s="2">
        <f t="shared" si="5"/>
        <v>0</v>
      </c>
    </row>
    <row r="360" spans="1:8" x14ac:dyDescent="0.2">
      <c r="A360" s="3" t="s">
        <v>74</v>
      </c>
      <c r="H360" s="2">
        <f t="shared" si="5"/>
        <v>0</v>
      </c>
    </row>
    <row r="361" spans="1:8" x14ac:dyDescent="0.2">
      <c r="A361" s="3" t="s">
        <v>74</v>
      </c>
      <c r="H361" s="2">
        <f t="shared" si="5"/>
        <v>0</v>
      </c>
    </row>
    <row r="362" spans="1:8" x14ac:dyDescent="0.2">
      <c r="A362" s="3" t="s">
        <v>74</v>
      </c>
      <c r="H362" s="2">
        <f t="shared" si="5"/>
        <v>0</v>
      </c>
    </row>
    <row r="363" spans="1:8" x14ac:dyDescent="0.2">
      <c r="A363" s="3" t="s">
        <v>74</v>
      </c>
      <c r="H363" s="2">
        <f t="shared" si="5"/>
        <v>0</v>
      </c>
    </row>
    <row r="364" spans="1:8" x14ac:dyDescent="0.2">
      <c r="A364" s="3" t="s">
        <v>74</v>
      </c>
      <c r="H364" s="2">
        <f t="shared" si="5"/>
        <v>0</v>
      </c>
    </row>
    <row r="365" spans="1:8" x14ac:dyDescent="0.2">
      <c r="A365" s="3" t="s">
        <v>74</v>
      </c>
      <c r="H365" s="2">
        <f t="shared" si="5"/>
        <v>0</v>
      </c>
    </row>
    <row r="366" spans="1:8" x14ac:dyDescent="0.2">
      <c r="A366" s="3" t="s">
        <v>74</v>
      </c>
      <c r="H366" s="2">
        <f t="shared" si="5"/>
        <v>0</v>
      </c>
    </row>
    <row r="367" spans="1:8" x14ac:dyDescent="0.2">
      <c r="A367" s="3" t="s">
        <v>74</v>
      </c>
      <c r="H367" s="2">
        <f t="shared" si="5"/>
        <v>0</v>
      </c>
    </row>
    <row r="368" spans="1:8" x14ac:dyDescent="0.2">
      <c r="A368" s="3" t="s">
        <v>74</v>
      </c>
      <c r="H368" s="2">
        <f t="shared" si="5"/>
        <v>0</v>
      </c>
    </row>
    <row r="369" spans="1:8" x14ac:dyDescent="0.2">
      <c r="A369" s="3" t="s">
        <v>74</v>
      </c>
      <c r="H369" s="2">
        <f t="shared" si="5"/>
        <v>0</v>
      </c>
    </row>
    <row r="370" spans="1:8" x14ac:dyDescent="0.2">
      <c r="A370" s="3" t="s">
        <v>74</v>
      </c>
      <c r="H370" s="2">
        <f t="shared" si="5"/>
        <v>0</v>
      </c>
    </row>
    <row r="371" spans="1:8" x14ac:dyDescent="0.2">
      <c r="A371" s="3" t="s">
        <v>74</v>
      </c>
      <c r="H371" s="2">
        <f t="shared" si="5"/>
        <v>0</v>
      </c>
    </row>
    <row r="372" spans="1:8" x14ac:dyDescent="0.2">
      <c r="A372" s="3" t="s">
        <v>74</v>
      </c>
      <c r="H372" s="2">
        <f t="shared" si="5"/>
        <v>0</v>
      </c>
    </row>
    <row r="373" spans="1:8" x14ac:dyDescent="0.2">
      <c r="A373" s="3" t="s">
        <v>74</v>
      </c>
      <c r="H373" s="2">
        <f t="shared" si="5"/>
        <v>0</v>
      </c>
    </row>
    <row r="374" spans="1:8" x14ac:dyDescent="0.2">
      <c r="A374" s="3" t="s">
        <v>74</v>
      </c>
      <c r="H374" s="2">
        <f t="shared" si="5"/>
        <v>0</v>
      </c>
    </row>
    <row r="375" spans="1:8" x14ac:dyDescent="0.2">
      <c r="A375" s="3" t="s">
        <v>74</v>
      </c>
      <c r="H375" s="2">
        <f t="shared" si="5"/>
        <v>0</v>
      </c>
    </row>
    <row r="376" spans="1:8" x14ac:dyDescent="0.2">
      <c r="A376" s="3" t="s">
        <v>74</v>
      </c>
      <c r="H376" s="2">
        <f t="shared" si="5"/>
        <v>0</v>
      </c>
    </row>
    <row r="377" spans="1:8" x14ac:dyDescent="0.2">
      <c r="A377" s="3" t="s">
        <v>74</v>
      </c>
      <c r="H377" s="2">
        <f t="shared" si="5"/>
        <v>0</v>
      </c>
    </row>
    <row r="378" spans="1:8" x14ac:dyDescent="0.2">
      <c r="A378" s="3" t="s">
        <v>74</v>
      </c>
      <c r="H378" s="2">
        <f t="shared" si="5"/>
        <v>0</v>
      </c>
    </row>
    <row r="379" spans="1:8" x14ac:dyDescent="0.2">
      <c r="A379" s="3" t="s">
        <v>74</v>
      </c>
      <c r="H379" s="2">
        <f t="shared" si="5"/>
        <v>0</v>
      </c>
    </row>
    <row r="380" spans="1:8" x14ac:dyDescent="0.2">
      <c r="A380" s="3" t="s">
        <v>74</v>
      </c>
      <c r="H380" s="2">
        <f t="shared" si="5"/>
        <v>0</v>
      </c>
    </row>
    <row r="381" spans="1:8" x14ac:dyDescent="0.2">
      <c r="A381" s="3" t="s">
        <v>74</v>
      </c>
      <c r="H381" s="2">
        <f t="shared" si="5"/>
        <v>0</v>
      </c>
    </row>
    <row r="382" spans="1:8" x14ac:dyDescent="0.2">
      <c r="A382" s="3" t="s">
        <v>74</v>
      </c>
      <c r="H382" s="2">
        <f t="shared" si="5"/>
        <v>0</v>
      </c>
    </row>
    <row r="383" spans="1:8" x14ac:dyDescent="0.2">
      <c r="A383" s="3" t="s">
        <v>74</v>
      </c>
      <c r="H383" s="2">
        <f t="shared" si="5"/>
        <v>0</v>
      </c>
    </row>
    <row r="384" spans="1:8" x14ac:dyDescent="0.2">
      <c r="A384" s="3" t="s">
        <v>74</v>
      </c>
      <c r="H384" s="2">
        <f t="shared" si="5"/>
        <v>0</v>
      </c>
    </row>
    <row r="385" spans="1:8" x14ac:dyDescent="0.2">
      <c r="A385" s="3" t="s">
        <v>74</v>
      </c>
      <c r="H385" s="2">
        <f t="shared" si="5"/>
        <v>0</v>
      </c>
    </row>
    <row r="386" spans="1:8" x14ac:dyDescent="0.2">
      <c r="A386" s="3" t="s">
        <v>74</v>
      </c>
      <c r="H386" s="2">
        <f t="shared" ref="H386:H449" si="6">IF(A413="Gestion",F386*1,0)</f>
        <v>0</v>
      </c>
    </row>
    <row r="387" spans="1:8" x14ac:dyDescent="0.2">
      <c r="A387" s="3" t="s">
        <v>74</v>
      </c>
      <c r="H387" s="2">
        <f t="shared" si="6"/>
        <v>0</v>
      </c>
    </row>
    <row r="388" spans="1:8" x14ac:dyDescent="0.2">
      <c r="A388" s="3" t="s">
        <v>74</v>
      </c>
      <c r="H388" s="2">
        <f t="shared" si="6"/>
        <v>0</v>
      </c>
    </row>
    <row r="389" spans="1:8" x14ac:dyDescent="0.2">
      <c r="A389" s="3" t="s">
        <v>74</v>
      </c>
      <c r="H389" s="2">
        <f t="shared" si="6"/>
        <v>0</v>
      </c>
    </row>
    <row r="390" spans="1:8" x14ac:dyDescent="0.2">
      <c r="A390" s="3" t="s">
        <v>74</v>
      </c>
      <c r="H390" s="2">
        <f t="shared" si="6"/>
        <v>0</v>
      </c>
    </row>
    <row r="391" spans="1:8" x14ac:dyDescent="0.2">
      <c r="A391" s="3" t="s">
        <v>74</v>
      </c>
      <c r="H391" s="2">
        <f t="shared" si="6"/>
        <v>0</v>
      </c>
    </row>
    <row r="392" spans="1:8" x14ac:dyDescent="0.2">
      <c r="A392" s="3" t="s">
        <v>74</v>
      </c>
      <c r="H392" s="2">
        <f t="shared" si="6"/>
        <v>0</v>
      </c>
    </row>
    <row r="393" spans="1:8" x14ac:dyDescent="0.2">
      <c r="A393" s="3" t="s">
        <v>74</v>
      </c>
      <c r="H393" s="2">
        <f t="shared" si="6"/>
        <v>0</v>
      </c>
    </row>
    <row r="394" spans="1:8" x14ac:dyDescent="0.2">
      <c r="A394" s="3" t="s">
        <v>74</v>
      </c>
      <c r="H394" s="2">
        <f t="shared" si="6"/>
        <v>0</v>
      </c>
    </row>
    <row r="395" spans="1:8" x14ac:dyDescent="0.2">
      <c r="A395" s="3" t="s">
        <v>74</v>
      </c>
      <c r="H395" s="2">
        <f t="shared" si="6"/>
        <v>0</v>
      </c>
    </row>
    <row r="396" spans="1:8" x14ac:dyDescent="0.2">
      <c r="A396" s="3" t="s">
        <v>74</v>
      </c>
      <c r="H396" s="2">
        <f t="shared" si="6"/>
        <v>0</v>
      </c>
    </row>
    <row r="397" spans="1:8" x14ac:dyDescent="0.2">
      <c r="A397" s="3" t="s">
        <v>74</v>
      </c>
      <c r="H397" s="2">
        <f t="shared" si="6"/>
        <v>0</v>
      </c>
    </row>
    <row r="398" spans="1:8" x14ac:dyDescent="0.2">
      <c r="A398" s="3" t="s">
        <v>74</v>
      </c>
      <c r="H398" s="2">
        <f t="shared" si="6"/>
        <v>0</v>
      </c>
    </row>
    <row r="399" spans="1:8" x14ac:dyDescent="0.2">
      <c r="A399" s="3" t="s">
        <v>74</v>
      </c>
      <c r="H399" s="2">
        <f t="shared" si="6"/>
        <v>0</v>
      </c>
    </row>
    <row r="400" spans="1:8" x14ac:dyDescent="0.2">
      <c r="A400" s="3" t="s">
        <v>74</v>
      </c>
      <c r="H400" s="2">
        <f t="shared" si="6"/>
        <v>0</v>
      </c>
    </row>
    <row r="401" spans="1:8" x14ac:dyDescent="0.2">
      <c r="A401" s="3" t="s">
        <v>74</v>
      </c>
      <c r="H401" s="2">
        <f t="shared" si="6"/>
        <v>0</v>
      </c>
    </row>
    <row r="402" spans="1:8" x14ac:dyDescent="0.2">
      <c r="A402" s="3" t="s">
        <v>74</v>
      </c>
      <c r="H402" s="2">
        <f t="shared" si="6"/>
        <v>0</v>
      </c>
    </row>
    <row r="403" spans="1:8" x14ac:dyDescent="0.2">
      <c r="A403" s="3" t="s">
        <v>74</v>
      </c>
      <c r="H403" s="2">
        <f t="shared" si="6"/>
        <v>0</v>
      </c>
    </row>
    <row r="404" spans="1:8" x14ac:dyDescent="0.2">
      <c r="A404" s="3" t="s">
        <v>74</v>
      </c>
      <c r="H404" s="2">
        <f t="shared" si="6"/>
        <v>0</v>
      </c>
    </row>
    <row r="405" spans="1:8" x14ac:dyDescent="0.2">
      <c r="A405" s="3" t="s">
        <v>74</v>
      </c>
      <c r="H405" s="2">
        <f t="shared" si="6"/>
        <v>0</v>
      </c>
    </row>
    <row r="406" spans="1:8" x14ac:dyDescent="0.2">
      <c r="A406" s="3" t="s">
        <v>74</v>
      </c>
      <c r="H406" s="2">
        <f t="shared" si="6"/>
        <v>0</v>
      </c>
    </row>
    <row r="407" spans="1:8" x14ac:dyDescent="0.2">
      <c r="A407" s="3" t="s">
        <v>74</v>
      </c>
      <c r="H407" s="2">
        <f t="shared" si="6"/>
        <v>0</v>
      </c>
    </row>
    <row r="408" spans="1:8" x14ac:dyDescent="0.2">
      <c r="A408" s="3" t="s">
        <v>74</v>
      </c>
      <c r="H408" s="2">
        <f t="shared" si="6"/>
        <v>0</v>
      </c>
    </row>
    <row r="409" spans="1:8" x14ac:dyDescent="0.2">
      <c r="A409" s="3" t="s">
        <v>74</v>
      </c>
      <c r="H409" s="2">
        <f t="shared" si="6"/>
        <v>0</v>
      </c>
    </row>
    <row r="410" spans="1:8" x14ac:dyDescent="0.2">
      <c r="A410" s="3" t="s">
        <v>74</v>
      </c>
      <c r="H410" s="2">
        <f t="shared" si="6"/>
        <v>0</v>
      </c>
    </row>
    <row r="411" spans="1:8" x14ac:dyDescent="0.2">
      <c r="A411" s="3" t="s">
        <v>74</v>
      </c>
      <c r="H411" s="2">
        <f t="shared" si="6"/>
        <v>0</v>
      </c>
    </row>
    <row r="412" spans="1:8" x14ac:dyDescent="0.2">
      <c r="A412" s="3" t="s">
        <v>74</v>
      </c>
      <c r="H412" s="2">
        <f t="shared" si="6"/>
        <v>0</v>
      </c>
    </row>
    <row r="413" spans="1:8" x14ac:dyDescent="0.2">
      <c r="A413" s="3" t="s">
        <v>74</v>
      </c>
      <c r="H413" s="2">
        <f t="shared" si="6"/>
        <v>0</v>
      </c>
    </row>
    <row r="414" spans="1:8" x14ac:dyDescent="0.2">
      <c r="A414" s="3" t="s">
        <v>74</v>
      </c>
      <c r="H414" s="2">
        <f t="shared" si="6"/>
        <v>0</v>
      </c>
    </row>
    <row r="415" spans="1:8" x14ac:dyDescent="0.2">
      <c r="A415" s="3" t="s">
        <v>74</v>
      </c>
      <c r="H415" s="2">
        <f t="shared" si="6"/>
        <v>0</v>
      </c>
    </row>
    <row r="416" spans="1:8" x14ac:dyDescent="0.2">
      <c r="A416" s="3" t="s">
        <v>74</v>
      </c>
      <c r="H416" s="2">
        <f t="shared" si="6"/>
        <v>0</v>
      </c>
    </row>
    <row r="417" spans="1:8" x14ac:dyDescent="0.2">
      <c r="A417" s="3" t="s">
        <v>74</v>
      </c>
      <c r="H417" s="2">
        <f t="shared" si="6"/>
        <v>0</v>
      </c>
    </row>
    <row r="418" spans="1:8" x14ac:dyDescent="0.2">
      <c r="A418" s="3" t="s">
        <v>74</v>
      </c>
      <c r="H418" s="2">
        <f t="shared" si="6"/>
        <v>0</v>
      </c>
    </row>
    <row r="419" spans="1:8" x14ac:dyDescent="0.2">
      <c r="A419" s="3" t="s">
        <v>74</v>
      </c>
      <c r="H419" s="2">
        <f t="shared" si="6"/>
        <v>0</v>
      </c>
    </row>
    <row r="420" spans="1:8" x14ac:dyDescent="0.2">
      <c r="A420" s="3" t="s">
        <v>74</v>
      </c>
      <c r="H420" s="2">
        <f t="shared" si="6"/>
        <v>0</v>
      </c>
    </row>
    <row r="421" spans="1:8" x14ac:dyDescent="0.2">
      <c r="A421" s="3" t="s">
        <v>74</v>
      </c>
      <c r="H421" s="2">
        <f t="shared" si="6"/>
        <v>0</v>
      </c>
    </row>
    <row r="422" spans="1:8" x14ac:dyDescent="0.2">
      <c r="A422" s="3" t="s">
        <v>74</v>
      </c>
      <c r="H422" s="2">
        <f t="shared" si="6"/>
        <v>0</v>
      </c>
    </row>
    <row r="423" spans="1:8" x14ac:dyDescent="0.2">
      <c r="A423" s="3" t="s">
        <v>74</v>
      </c>
      <c r="H423" s="2">
        <f t="shared" si="6"/>
        <v>0</v>
      </c>
    </row>
    <row r="424" spans="1:8" x14ac:dyDescent="0.2">
      <c r="A424" s="3" t="s">
        <v>74</v>
      </c>
      <c r="H424" s="2">
        <f t="shared" si="6"/>
        <v>0</v>
      </c>
    </row>
    <row r="425" spans="1:8" x14ac:dyDescent="0.2">
      <c r="A425" s="3" t="s">
        <v>74</v>
      </c>
      <c r="H425" s="2">
        <f t="shared" si="6"/>
        <v>0</v>
      </c>
    </row>
    <row r="426" spans="1:8" x14ac:dyDescent="0.2">
      <c r="A426" s="3" t="s">
        <v>74</v>
      </c>
      <c r="H426" s="2">
        <f t="shared" si="6"/>
        <v>0</v>
      </c>
    </row>
    <row r="427" spans="1:8" x14ac:dyDescent="0.2">
      <c r="A427" s="3" t="s">
        <v>74</v>
      </c>
      <c r="H427" s="2">
        <f t="shared" si="6"/>
        <v>0</v>
      </c>
    </row>
    <row r="428" spans="1:8" x14ac:dyDescent="0.2">
      <c r="A428" s="3" t="s">
        <v>74</v>
      </c>
      <c r="H428" s="2">
        <f t="shared" si="6"/>
        <v>0</v>
      </c>
    </row>
    <row r="429" spans="1:8" x14ac:dyDescent="0.2">
      <c r="A429" s="3" t="s">
        <v>74</v>
      </c>
      <c r="H429" s="2">
        <f t="shared" si="6"/>
        <v>0</v>
      </c>
    </row>
    <row r="430" spans="1:8" x14ac:dyDescent="0.2">
      <c r="A430" s="3" t="s">
        <v>74</v>
      </c>
      <c r="H430" s="2">
        <f t="shared" si="6"/>
        <v>0</v>
      </c>
    </row>
    <row r="431" spans="1:8" x14ac:dyDescent="0.2">
      <c r="A431" s="3" t="s">
        <v>74</v>
      </c>
      <c r="H431" s="2">
        <f t="shared" si="6"/>
        <v>0</v>
      </c>
    </row>
    <row r="432" spans="1:8" x14ac:dyDescent="0.2">
      <c r="A432" s="3" t="s">
        <v>74</v>
      </c>
      <c r="H432" s="2">
        <f t="shared" si="6"/>
        <v>0</v>
      </c>
    </row>
    <row r="433" spans="1:8" x14ac:dyDescent="0.2">
      <c r="A433" s="3" t="s">
        <v>74</v>
      </c>
      <c r="H433" s="2">
        <f t="shared" si="6"/>
        <v>0</v>
      </c>
    </row>
    <row r="434" spans="1:8" x14ac:dyDescent="0.2">
      <c r="A434" s="3" t="s">
        <v>74</v>
      </c>
      <c r="H434" s="2">
        <f t="shared" si="6"/>
        <v>0</v>
      </c>
    </row>
    <row r="435" spans="1:8" x14ac:dyDescent="0.2">
      <c r="A435" s="3" t="s">
        <v>74</v>
      </c>
      <c r="H435" s="2">
        <f t="shared" si="6"/>
        <v>0</v>
      </c>
    </row>
    <row r="436" spans="1:8" x14ac:dyDescent="0.2">
      <c r="A436" s="3" t="s">
        <v>74</v>
      </c>
      <c r="H436" s="2">
        <f t="shared" si="6"/>
        <v>0</v>
      </c>
    </row>
    <row r="437" spans="1:8" x14ac:dyDescent="0.2">
      <c r="A437" s="3" t="s">
        <v>74</v>
      </c>
      <c r="H437" s="2">
        <f t="shared" si="6"/>
        <v>0</v>
      </c>
    </row>
    <row r="438" spans="1:8" x14ac:dyDescent="0.2">
      <c r="A438" s="3" t="s">
        <v>74</v>
      </c>
      <c r="H438" s="2">
        <f t="shared" si="6"/>
        <v>0</v>
      </c>
    </row>
    <row r="439" spans="1:8" x14ac:dyDescent="0.2">
      <c r="A439" s="3" t="s">
        <v>74</v>
      </c>
      <c r="H439" s="2">
        <f t="shared" si="6"/>
        <v>0</v>
      </c>
    </row>
    <row r="440" spans="1:8" x14ac:dyDescent="0.2">
      <c r="A440" s="3" t="s">
        <v>74</v>
      </c>
      <c r="H440" s="2">
        <f t="shared" si="6"/>
        <v>0</v>
      </c>
    </row>
    <row r="441" spans="1:8" x14ac:dyDescent="0.2">
      <c r="A441" s="3" t="s">
        <v>74</v>
      </c>
      <c r="H441" s="2">
        <f t="shared" si="6"/>
        <v>0</v>
      </c>
    </row>
    <row r="442" spans="1:8" x14ac:dyDescent="0.2">
      <c r="A442" s="3" t="s">
        <v>74</v>
      </c>
      <c r="H442" s="2">
        <f t="shared" si="6"/>
        <v>0</v>
      </c>
    </row>
    <row r="443" spans="1:8" x14ac:dyDescent="0.2">
      <c r="A443" s="3" t="s">
        <v>74</v>
      </c>
      <c r="H443" s="2">
        <f t="shared" si="6"/>
        <v>0</v>
      </c>
    </row>
    <row r="444" spans="1:8" x14ac:dyDescent="0.2">
      <c r="A444" s="3" t="s">
        <v>74</v>
      </c>
      <c r="H444" s="2">
        <f t="shared" si="6"/>
        <v>0</v>
      </c>
    </row>
    <row r="445" spans="1:8" x14ac:dyDescent="0.2">
      <c r="A445" s="3" t="s">
        <v>74</v>
      </c>
      <c r="H445" s="2">
        <f t="shared" si="6"/>
        <v>0</v>
      </c>
    </row>
    <row r="446" spans="1:8" x14ac:dyDescent="0.2">
      <c r="A446" s="3" t="s">
        <v>74</v>
      </c>
      <c r="H446" s="2">
        <f t="shared" si="6"/>
        <v>0</v>
      </c>
    </row>
    <row r="447" spans="1:8" x14ac:dyDescent="0.2">
      <c r="A447" s="3" t="s">
        <v>74</v>
      </c>
      <c r="H447" s="2">
        <f t="shared" si="6"/>
        <v>0</v>
      </c>
    </row>
    <row r="448" spans="1:8" x14ac:dyDescent="0.2">
      <c r="A448" s="3" t="s">
        <v>74</v>
      </c>
      <c r="H448" s="2">
        <f t="shared" si="6"/>
        <v>0</v>
      </c>
    </row>
    <row r="449" spans="1:8" x14ac:dyDescent="0.2">
      <c r="A449" s="3" t="s">
        <v>74</v>
      </c>
      <c r="H449" s="2">
        <f t="shared" si="6"/>
        <v>0</v>
      </c>
    </row>
    <row r="450" spans="1:8" x14ac:dyDescent="0.2">
      <c r="A450" s="3" t="s">
        <v>74</v>
      </c>
      <c r="H450" s="2">
        <f t="shared" ref="H450:H513" si="7">IF(A477="Gestion",F450*1,0)</f>
        <v>0</v>
      </c>
    </row>
    <row r="451" spans="1:8" x14ac:dyDescent="0.2">
      <c r="A451" s="3" t="s">
        <v>74</v>
      </c>
      <c r="H451" s="2">
        <f t="shared" si="7"/>
        <v>0</v>
      </c>
    </row>
    <row r="452" spans="1:8" x14ac:dyDescent="0.2">
      <c r="A452" s="3" t="s">
        <v>74</v>
      </c>
      <c r="H452" s="2">
        <f t="shared" si="7"/>
        <v>0</v>
      </c>
    </row>
    <row r="453" spans="1:8" x14ac:dyDescent="0.2">
      <c r="A453" s="3" t="s">
        <v>74</v>
      </c>
      <c r="H453" s="2">
        <f t="shared" si="7"/>
        <v>0</v>
      </c>
    </row>
    <row r="454" spans="1:8" x14ac:dyDescent="0.2">
      <c r="A454" s="3" t="s">
        <v>74</v>
      </c>
      <c r="H454" s="2">
        <f t="shared" si="7"/>
        <v>0</v>
      </c>
    </row>
    <row r="455" spans="1:8" x14ac:dyDescent="0.2">
      <c r="A455" s="3" t="s">
        <v>74</v>
      </c>
      <c r="H455" s="2">
        <f t="shared" si="7"/>
        <v>0</v>
      </c>
    </row>
    <row r="456" spans="1:8" x14ac:dyDescent="0.2">
      <c r="A456" s="3" t="s">
        <v>74</v>
      </c>
      <c r="H456" s="2">
        <f t="shared" si="7"/>
        <v>0</v>
      </c>
    </row>
    <row r="457" spans="1:8" x14ac:dyDescent="0.2">
      <c r="A457" s="3" t="s">
        <v>74</v>
      </c>
      <c r="H457" s="2">
        <f t="shared" si="7"/>
        <v>0</v>
      </c>
    </row>
    <row r="458" spans="1:8" x14ac:dyDescent="0.2">
      <c r="A458" s="3" t="s">
        <v>74</v>
      </c>
      <c r="H458" s="2">
        <f t="shared" si="7"/>
        <v>0</v>
      </c>
    </row>
    <row r="459" spans="1:8" x14ac:dyDescent="0.2">
      <c r="A459" s="3" t="s">
        <v>74</v>
      </c>
      <c r="H459" s="2">
        <f t="shared" si="7"/>
        <v>0</v>
      </c>
    </row>
    <row r="460" spans="1:8" x14ac:dyDescent="0.2">
      <c r="A460" s="3" t="s">
        <v>74</v>
      </c>
      <c r="H460" s="2">
        <f t="shared" si="7"/>
        <v>0</v>
      </c>
    </row>
    <row r="461" spans="1:8" x14ac:dyDescent="0.2">
      <c r="A461" s="3" t="s">
        <v>74</v>
      </c>
      <c r="H461" s="2">
        <f t="shared" si="7"/>
        <v>0</v>
      </c>
    </row>
    <row r="462" spans="1:8" x14ac:dyDescent="0.2">
      <c r="A462" s="3" t="s">
        <v>74</v>
      </c>
      <c r="H462" s="2">
        <f t="shared" si="7"/>
        <v>0</v>
      </c>
    </row>
    <row r="463" spans="1:8" x14ac:dyDescent="0.2">
      <c r="A463" s="3" t="s">
        <v>74</v>
      </c>
      <c r="H463" s="2">
        <f t="shared" si="7"/>
        <v>0</v>
      </c>
    </row>
    <row r="464" spans="1:8" x14ac:dyDescent="0.2">
      <c r="A464" s="3" t="s">
        <v>74</v>
      </c>
      <c r="H464" s="2">
        <f t="shared" si="7"/>
        <v>0</v>
      </c>
    </row>
    <row r="465" spans="1:8" x14ac:dyDescent="0.2">
      <c r="A465" s="3" t="s">
        <v>74</v>
      </c>
      <c r="H465" s="2">
        <f t="shared" si="7"/>
        <v>0</v>
      </c>
    </row>
    <row r="466" spans="1:8" x14ac:dyDescent="0.2">
      <c r="A466" s="3" t="s">
        <v>74</v>
      </c>
      <c r="H466" s="2">
        <f t="shared" si="7"/>
        <v>0</v>
      </c>
    </row>
    <row r="467" spans="1:8" x14ac:dyDescent="0.2">
      <c r="A467" s="3" t="s">
        <v>74</v>
      </c>
      <c r="H467" s="2">
        <f t="shared" si="7"/>
        <v>0</v>
      </c>
    </row>
    <row r="468" spans="1:8" x14ac:dyDescent="0.2">
      <c r="A468" s="3" t="s">
        <v>74</v>
      </c>
      <c r="H468" s="2">
        <f t="shared" si="7"/>
        <v>0</v>
      </c>
    </row>
    <row r="469" spans="1:8" x14ac:dyDescent="0.2">
      <c r="A469" s="3" t="s">
        <v>74</v>
      </c>
      <c r="H469" s="2">
        <f t="shared" si="7"/>
        <v>0</v>
      </c>
    </row>
    <row r="470" spans="1:8" x14ac:dyDescent="0.2">
      <c r="A470" s="3" t="s">
        <v>74</v>
      </c>
      <c r="H470" s="2">
        <f t="shared" si="7"/>
        <v>0</v>
      </c>
    </row>
    <row r="471" spans="1:8" x14ac:dyDescent="0.2">
      <c r="A471" s="3" t="s">
        <v>74</v>
      </c>
      <c r="H471" s="2">
        <f t="shared" si="7"/>
        <v>0</v>
      </c>
    </row>
    <row r="472" spans="1:8" x14ac:dyDescent="0.2">
      <c r="A472" s="3" t="s">
        <v>74</v>
      </c>
      <c r="H472" s="2">
        <f t="shared" si="7"/>
        <v>0</v>
      </c>
    </row>
    <row r="473" spans="1:8" x14ac:dyDescent="0.2">
      <c r="A473" s="3" t="s">
        <v>74</v>
      </c>
      <c r="H473" s="2">
        <f t="shared" si="7"/>
        <v>0</v>
      </c>
    </row>
    <row r="474" spans="1:8" x14ac:dyDescent="0.2">
      <c r="A474" s="3" t="s">
        <v>74</v>
      </c>
      <c r="H474" s="2">
        <f t="shared" si="7"/>
        <v>0</v>
      </c>
    </row>
    <row r="475" spans="1:8" x14ac:dyDescent="0.2">
      <c r="A475" s="3" t="s">
        <v>74</v>
      </c>
      <c r="H475" s="2">
        <f t="shared" si="7"/>
        <v>0</v>
      </c>
    </row>
    <row r="476" spans="1:8" x14ac:dyDescent="0.2">
      <c r="A476" s="3" t="s">
        <v>74</v>
      </c>
      <c r="H476" s="2">
        <f t="shared" si="7"/>
        <v>0</v>
      </c>
    </row>
    <row r="477" spans="1:8" x14ac:dyDescent="0.2">
      <c r="A477" s="3" t="s">
        <v>74</v>
      </c>
      <c r="H477" s="2">
        <f t="shared" si="7"/>
        <v>0</v>
      </c>
    </row>
    <row r="478" spans="1:8" x14ac:dyDescent="0.2">
      <c r="A478" s="3" t="s">
        <v>74</v>
      </c>
      <c r="H478" s="2">
        <f t="shared" si="7"/>
        <v>0</v>
      </c>
    </row>
    <row r="479" spans="1:8" x14ac:dyDescent="0.2">
      <c r="A479" s="3" t="s">
        <v>74</v>
      </c>
      <c r="H479" s="2">
        <f t="shared" si="7"/>
        <v>0</v>
      </c>
    </row>
    <row r="480" spans="1:8" x14ac:dyDescent="0.2">
      <c r="A480" s="3" t="s">
        <v>74</v>
      </c>
      <c r="H480" s="2">
        <f t="shared" si="7"/>
        <v>0</v>
      </c>
    </row>
    <row r="481" spans="1:8" x14ac:dyDescent="0.2">
      <c r="A481" s="3" t="s">
        <v>74</v>
      </c>
      <c r="H481" s="2">
        <f t="shared" si="7"/>
        <v>0</v>
      </c>
    </row>
    <row r="482" spans="1:8" x14ac:dyDescent="0.2">
      <c r="A482" s="3" t="s">
        <v>74</v>
      </c>
      <c r="H482" s="2">
        <f t="shared" si="7"/>
        <v>0</v>
      </c>
    </row>
    <row r="483" spans="1:8" x14ac:dyDescent="0.2">
      <c r="A483" s="3" t="s">
        <v>74</v>
      </c>
      <c r="H483" s="2">
        <f t="shared" si="7"/>
        <v>0</v>
      </c>
    </row>
    <row r="484" spans="1:8" x14ac:dyDescent="0.2">
      <c r="A484" s="3" t="s">
        <v>74</v>
      </c>
      <c r="H484" s="2">
        <f t="shared" si="7"/>
        <v>0</v>
      </c>
    </row>
    <row r="485" spans="1:8" x14ac:dyDescent="0.2">
      <c r="A485" s="3" t="s">
        <v>74</v>
      </c>
      <c r="H485" s="2">
        <f t="shared" si="7"/>
        <v>0</v>
      </c>
    </row>
    <row r="486" spans="1:8" x14ac:dyDescent="0.2">
      <c r="A486" s="3" t="s">
        <v>74</v>
      </c>
      <c r="H486" s="2">
        <f t="shared" si="7"/>
        <v>0</v>
      </c>
    </row>
    <row r="487" spans="1:8" x14ac:dyDescent="0.2">
      <c r="A487" s="3" t="s">
        <v>74</v>
      </c>
      <c r="H487" s="2">
        <f t="shared" si="7"/>
        <v>0</v>
      </c>
    </row>
    <row r="488" spans="1:8" x14ac:dyDescent="0.2">
      <c r="A488" s="3" t="s">
        <v>74</v>
      </c>
      <c r="H488" s="2">
        <f t="shared" si="7"/>
        <v>0</v>
      </c>
    </row>
    <row r="489" spans="1:8" x14ac:dyDescent="0.2">
      <c r="A489" s="3" t="s">
        <v>74</v>
      </c>
      <c r="H489" s="2">
        <f t="shared" si="7"/>
        <v>0</v>
      </c>
    </row>
    <row r="490" spans="1:8" x14ac:dyDescent="0.2">
      <c r="A490" s="3" t="s">
        <v>74</v>
      </c>
      <c r="H490" s="2">
        <f t="shared" si="7"/>
        <v>0</v>
      </c>
    </row>
    <row r="491" spans="1:8" x14ac:dyDescent="0.2">
      <c r="A491" s="3" t="s">
        <v>74</v>
      </c>
      <c r="H491" s="2">
        <f t="shared" si="7"/>
        <v>0</v>
      </c>
    </row>
    <row r="492" spans="1:8" x14ac:dyDescent="0.2">
      <c r="A492" s="3" t="s">
        <v>74</v>
      </c>
      <c r="H492" s="2">
        <f t="shared" si="7"/>
        <v>0</v>
      </c>
    </row>
    <row r="493" spans="1:8" x14ac:dyDescent="0.2">
      <c r="A493" s="3" t="s">
        <v>74</v>
      </c>
      <c r="H493" s="2">
        <f t="shared" si="7"/>
        <v>0</v>
      </c>
    </row>
    <row r="494" spans="1:8" x14ac:dyDescent="0.2">
      <c r="A494" s="3" t="s">
        <v>74</v>
      </c>
      <c r="H494" s="2">
        <f t="shared" si="7"/>
        <v>0</v>
      </c>
    </row>
    <row r="495" spans="1:8" x14ac:dyDescent="0.2">
      <c r="A495" s="3" t="s">
        <v>74</v>
      </c>
      <c r="H495" s="2">
        <f t="shared" si="7"/>
        <v>0</v>
      </c>
    </row>
    <row r="496" spans="1:8" x14ac:dyDescent="0.2">
      <c r="A496" s="3" t="s">
        <v>74</v>
      </c>
      <c r="H496" s="2">
        <f t="shared" si="7"/>
        <v>0</v>
      </c>
    </row>
    <row r="497" spans="1:8" x14ac:dyDescent="0.2">
      <c r="A497" s="3" t="s">
        <v>74</v>
      </c>
      <c r="H497" s="2">
        <f t="shared" si="7"/>
        <v>0</v>
      </c>
    </row>
    <row r="498" spans="1:8" x14ac:dyDescent="0.2">
      <c r="A498" s="3" t="s">
        <v>74</v>
      </c>
      <c r="H498" s="2">
        <f t="shared" si="7"/>
        <v>0</v>
      </c>
    </row>
    <row r="499" spans="1:8" x14ac:dyDescent="0.2">
      <c r="A499" s="3" t="s">
        <v>74</v>
      </c>
      <c r="H499" s="2">
        <f t="shared" si="7"/>
        <v>0</v>
      </c>
    </row>
    <row r="500" spans="1:8" x14ac:dyDescent="0.2">
      <c r="A500" s="3" t="s">
        <v>74</v>
      </c>
      <c r="H500" s="2">
        <f t="shared" si="7"/>
        <v>0</v>
      </c>
    </row>
    <row r="501" spans="1:8" x14ac:dyDescent="0.2">
      <c r="A501" s="3" t="s">
        <v>74</v>
      </c>
      <c r="H501" s="2">
        <f t="shared" si="7"/>
        <v>0</v>
      </c>
    </row>
    <row r="502" spans="1:8" x14ac:dyDescent="0.2">
      <c r="A502" s="3" t="s">
        <v>74</v>
      </c>
      <c r="H502" s="2">
        <f t="shared" si="7"/>
        <v>0</v>
      </c>
    </row>
    <row r="503" spans="1:8" x14ac:dyDescent="0.2">
      <c r="A503" s="3" t="s">
        <v>74</v>
      </c>
      <c r="H503" s="2">
        <f t="shared" si="7"/>
        <v>0</v>
      </c>
    </row>
    <row r="504" spans="1:8" x14ac:dyDescent="0.2">
      <c r="A504" s="3" t="s">
        <v>74</v>
      </c>
      <c r="H504" s="2">
        <f t="shared" si="7"/>
        <v>0</v>
      </c>
    </row>
    <row r="505" spans="1:8" x14ac:dyDescent="0.2">
      <c r="A505" s="3" t="s">
        <v>74</v>
      </c>
      <c r="H505" s="2">
        <f t="shared" si="7"/>
        <v>0</v>
      </c>
    </row>
    <row r="506" spans="1:8" x14ac:dyDescent="0.2">
      <c r="A506" s="3" t="s">
        <v>74</v>
      </c>
      <c r="H506" s="2">
        <f t="shared" si="7"/>
        <v>0</v>
      </c>
    </row>
    <row r="507" spans="1:8" x14ac:dyDescent="0.2">
      <c r="A507" s="3" t="s">
        <v>74</v>
      </c>
      <c r="H507" s="2">
        <f t="shared" si="7"/>
        <v>0</v>
      </c>
    </row>
    <row r="508" spans="1:8" x14ac:dyDescent="0.2">
      <c r="A508" s="3" t="s">
        <v>74</v>
      </c>
      <c r="H508" s="2">
        <f t="shared" si="7"/>
        <v>0</v>
      </c>
    </row>
    <row r="509" spans="1:8" x14ac:dyDescent="0.2">
      <c r="A509" s="3" t="s">
        <v>74</v>
      </c>
      <c r="H509" s="2">
        <f t="shared" si="7"/>
        <v>0</v>
      </c>
    </row>
    <row r="510" spans="1:8" x14ac:dyDescent="0.2">
      <c r="A510" s="3" t="s">
        <v>74</v>
      </c>
      <c r="H510" s="2">
        <f t="shared" si="7"/>
        <v>0</v>
      </c>
    </row>
    <row r="511" spans="1:8" x14ac:dyDescent="0.2">
      <c r="A511" s="3" t="s">
        <v>74</v>
      </c>
      <c r="H511" s="2">
        <f t="shared" si="7"/>
        <v>0</v>
      </c>
    </row>
    <row r="512" spans="1:8" x14ac:dyDescent="0.2">
      <c r="A512" s="3" t="s">
        <v>74</v>
      </c>
      <c r="H512" s="2">
        <f t="shared" si="7"/>
        <v>0</v>
      </c>
    </row>
    <row r="513" spans="1:8" x14ac:dyDescent="0.2">
      <c r="A513" s="3" t="s">
        <v>74</v>
      </c>
      <c r="H513" s="2">
        <f t="shared" si="7"/>
        <v>0</v>
      </c>
    </row>
    <row r="514" spans="1:8" x14ac:dyDescent="0.2">
      <c r="A514" s="3" t="s">
        <v>74</v>
      </c>
      <c r="H514" s="2">
        <f t="shared" ref="H514:H577" si="8">IF(A541="Gestion",F514*1,0)</f>
        <v>0</v>
      </c>
    </row>
    <row r="515" spans="1:8" x14ac:dyDescent="0.2">
      <c r="A515" s="3" t="s">
        <v>74</v>
      </c>
      <c r="H515" s="2">
        <f t="shared" si="8"/>
        <v>0</v>
      </c>
    </row>
    <row r="516" spans="1:8" x14ac:dyDescent="0.2">
      <c r="A516" s="3" t="s">
        <v>74</v>
      </c>
      <c r="H516" s="2">
        <f t="shared" si="8"/>
        <v>0</v>
      </c>
    </row>
    <row r="517" spans="1:8" x14ac:dyDescent="0.2">
      <c r="A517" s="3" t="s">
        <v>74</v>
      </c>
      <c r="H517" s="2">
        <f t="shared" si="8"/>
        <v>0</v>
      </c>
    </row>
    <row r="518" spans="1:8" x14ac:dyDescent="0.2">
      <c r="A518" s="3" t="s">
        <v>74</v>
      </c>
      <c r="H518" s="2">
        <f t="shared" si="8"/>
        <v>0</v>
      </c>
    </row>
    <row r="519" spans="1:8" x14ac:dyDescent="0.2">
      <c r="A519" s="3" t="s">
        <v>74</v>
      </c>
      <c r="H519" s="2">
        <f t="shared" si="8"/>
        <v>0</v>
      </c>
    </row>
    <row r="520" spans="1:8" x14ac:dyDescent="0.2">
      <c r="A520" s="3" t="s">
        <v>74</v>
      </c>
      <c r="H520" s="2">
        <f t="shared" si="8"/>
        <v>0</v>
      </c>
    </row>
    <row r="521" spans="1:8" x14ac:dyDescent="0.2">
      <c r="A521" s="3" t="s">
        <v>74</v>
      </c>
      <c r="H521" s="2">
        <f t="shared" si="8"/>
        <v>0</v>
      </c>
    </row>
    <row r="522" spans="1:8" x14ac:dyDescent="0.2">
      <c r="A522" s="3" t="s">
        <v>74</v>
      </c>
      <c r="H522" s="2">
        <f t="shared" si="8"/>
        <v>0</v>
      </c>
    </row>
    <row r="523" spans="1:8" x14ac:dyDescent="0.2">
      <c r="A523" s="3" t="s">
        <v>74</v>
      </c>
      <c r="H523" s="2">
        <f t="shared" si="8"/>
        <v>0</v>
      </c>
    </row>
    <row r="524" spans="1:8" x14ac:dyDescent="0.2">
      <c r="A524" s="3" t="s">
        <v>74</v>
      </c>
      <c r="H524" s="2">
        <f t="shared" si="8"/>
        <v>0</v>
      </c>
    </row>
    <row r="525" spans="1:8" x14ac:dyDescent="0.2">
      <c r="A525" s="3" t="s">
        <v>74</v>
      </c>
      <c r="H525" s="2">
        <f t="shared" si="8"/>
        <v>0</v>
      </c>
    </row>
    <row r="526" spans="1:8" x14ac:dyDescent="0.2">
      <c r="A526" s="3" t="s">
        <v>74</v>
      </c>
      <c r="H526" s="2">
        <f t="shared" si="8"/>
        <v>0</v>
      </c>
    </row>
    <row r="527" spans="1:8" x14ac:dyDescent="0.2">
      <c r="A527" s="3" t="s">
        <v>74</v>
      </c>
      <c r="H527" s="2">
        <f t="shared" si="8"/>
        <v>0</v>
      </c>
    </row>
    <row r="528" spans="1:8" x14ac:dyDescent="0.2">
      <c r="A528" s="3" t="s">
        <v>74</v>
      </c>
      <c r="H528" s="2">
        <f t="shared" si="8"/>
        <v>0</v>
      </c>
    </row>
    <row r="529" spans="1:8" x14ac:dyDescent="0.2">
      <c r="A529" s="3" t="s">
        <v>74</v>
      </c>
      <c r="H529" s="2">
        <f t="shared" si="8"/>
        <v>0</v>
      </c>
    </row>
    <row r="530" spans="1:8" x14ac:dyDescent="0.2">
      <c r="A530" s="3" t="s">
        <v>74</v>
      </c>
      <c r="H530" s="2">
        <f t="shared" si="8"/>
        <v>0</v>
      </c>
    </row>
    <row r="531" spans="1:8" x14ac:dyDescent="0.2">
      <c r="A531" s="3" t="s">
        <v>74</v>
      </c>
      <c r="H531" s="2">
        <f t="shared" si="8"/>
        <v>0</v>
      </c>
    </row>
    <row r="532" spans="1:8" x14ac:dyDescent="0.2">
      <c r="A532" s="3" t="s">
        <v>74</v>
      </c>
      <c r="H532" s="2">
        <f t="shared" si="8"/>
        <v>0</v>
      </c>
    </row>
    <row r="533" spans="1:8" x14ac:dyDescent="0.2">
      <c r="A533" s="3" t="s">
        <v>74</v>
      </c>
      <c r="H533" s="2">
        <f t="shared" si="8"/>
        <v>0</v>
      </c>
    </row>
    <row r="534" spans="1:8" x14ac:dyDescent="0.2">
      <c r="A534" s="3" t="s">
        <v>74</v>
      </c>
      <c r="H534" s="2">
        <f t="shared" si="8"/>
        <v>0</v>
      </c>
    </row>
    <row r="535" spans="1:8" x14ac:dyDescent="0.2">
      <c r="A535" s="3" t="s">
        <v>74</v>
      </c>
      <c r="H535" s="2">
        <f t="shared" si="8"/>
        <v>0</v>
      </c>
    </row>
    <row r="536" spans="1:8" x14ac:dyDescent="0.2">
      <c r="A536" s="3" t="s">
        <v>74</v>
      </c>
      <c r="H536" s="2">
        <f t="shared" si="8"/>
        <v>0</v>
      </c>
    </row>
    <row r="537" spans="1:8" x14ac:dyDescent="0.2">
      <c r="A537" s="3" t="s">
        <v>74</v>
      </c>
      <c r="H537" s="2">
        <f t="shared" si="8"/>
        <v>0</v>
      </c>
    </row>
    <row r="538" spans="1:8" x14ac:dyDescent="0.2">
      <c r="A538" s="3" t="s">
        <v>74</v>
      </c>
      <c r="H538" s="2">
        <f t="shared" si="8"/>
        <v>0</v>
      </c>
    </row>
    <row r="539" spans="1:8" x14ac:dyDescent="0.2">
      <c r="A539" s="3" t="s">
        <v>74</v>
      </c>
      <c r="H539" s="2">
        <f t="shared" si="8"/>
        <v>0</v>
      </c>
    </row>
    <row r="540" spans="1:8" x14ac:dyDescent="0.2">
      <c r="A540" s="3" t="s">
        <v>74</v>
      </c>
      <c r="H540" s="2">
        <f t="shared" si="8"/>
        <v>0</v>
      </c>
    </row>
    <row r="541" spans="1:8" x14ac:dyDescent="0.2">
      <c r="A541" s="3" t="s">
        <v>74</v>
      </c>
      <c r="H541" s="2">
        <f t="shared" si="8"/>
        <v>0</v>
      </c>
    </row>
    <row r="542" spans="1:8" x14ac:dyDescent="0.2">
      <c r="A542" s="3" t="s">
        <v>74</v>
      </c>
      <c r="H542" s="2">
        <f t="shared" si="8"/>
        <v>0</v>
      </c>
    </row>
    <row r="543" spans="1:8" x14ac:dyDescent="0.2">
      <c r="A543" s="3" t="s">
        <v>74</v>
      </c>
      <c r="H543" s="2">
        <f t="shared" si="8"/>
        <v>0</v>
      </c>
    </row>
    <row r="544" spans="1:8" x14ac:dyDescent="0.2">
      <c r="A544" s="3" t="s">
        <v>74</v>
      </c>
      <c r="H544" s="2">
        <f t="shared" si="8"/>
        <v>0</v>
      </c>
    </row>
    <row r="545" spans="1:8" x14ac:dyDescent="0.2">
      <c r="A545" s="3" t="s">
        <v>74</v>
      </c>
      <c r="H545" s="2">
        <f t="shared" si="8"/>
        <v>0</v>
      </c>
    </row>
    <row r="546" spans="1:8" x14ac:dyDescent="0.2">
      <c r="A546" s="3" t="s">
        <v>74</v>
      </c>
      <c r="H546" s="2">
        <f t="shared" si="8"/>
        <v>0</v>
      </c>
    </row>
    <row r="547" spans="1:8" x14ac:dyDescent="0.2">
      <c r="A547" s="3" t="s">
        <v>74</v>
      </c>
      <c r="H547" s="2">
        <f t="shared" si="8"/>
        <v>0</v>
      </c>
    </row>
    <row r="548" spans="1:8" x14ac:dyDescent="0.2">
      <c r="A548" s="3" t="s">
        <v>74</v>
      </c>
      <c r="H548" s="2">
        <f t="shared" si="8"/>
        <v>0</v>
      </c>
    </row>
    <row r="549" spans="1:8" x14ac:dyDescent="0.2">
      <c r="A549" s="3" t="s">
        <v>74</v>
      </c>
      <c r="H549" s="2">
        <f t="shared" si="8"/>
        <v>0</v>
      </c>
    </row>
    <row r="550" spans="1:8" x14ac:dyDescent="0.2">
      <c r="A550" s="3" t="s">
        <v>74</v>
      </c>
      <c r="H550" s="2">
        <f t="shared" si="8"/>
        <v>0</v>
      </c>
    </row>
    <row r="551" spans="1:8" x14ac:dyDescent="0.2">
      <c r="A551" s="3" t="s">
        <v>74</v>
      </c>
      <c r="H551" s="2">
        <f t="shared" si="8"/>
        <v>0</v>
      </c>
    </row>
    <row r="552" spans="1:8" x14ac:dyDescent="0.2">
      <c r="A552" s="3" t="s">
        <v>74</v>
      </c>
      <c r="H552" s="2">
        <f t="shared" si="8"/>
        <v>0</v>
      </c>
    </row>
    <row r="553" spans="1:8" x14ac:dyDescent="0.2">
      <c r="A553" s="3" t="s">
        <v>74</v>
      </c>
      <c r="H553" s="2">
        <f t="shared" si="8"/>
        <v>0</v>
      </c>
    </row>
    <row r="554" spans="1:8" x14ac:dyDescent="0.2">
      <c r="A554" s="3" t="s">
        <v>74</v>
      </c>
      <c r="H554" s="2">
        <f t="shared" si="8"/>
        <v>0</v>
      </c>
    </row>
    <row r="555" spans="1:8" x14ac:dyDescent="0.2">
      <c r="A555" s="3" t="s">
        <v>74</v>
      </c>
      <c r="H555" s="2">
        <f t="shared" si="8"/>
        <v>0</v>
      </c>
    </row>
    <row r="556" spans="1:8" x14ac:dyDescent="0.2">
      <c r="A556" s="3" t="s">
        <v>74</v>
      </c>
      <c r="H556" s="2">
        <f t="shared" si="8"/>
        <v>0</v>
      </c>
    </row>
    <row r="557" spans="1:8" x14ac:dyDescent="0.2">
      <c r="A557" s="3" t="s">
        <v>74</v>
      </c>
      <c r="H557" s="2">
        <f t="shared" si="8"/>
        <v>0</v>
      </c>
    </row>
    <row r="558" spans="1:8" x14ac:dyDescent="0.2">
      <c r="A558" s="3" t="s">
        <v>74</v>
      </c>
      <c r="H558" s="2">
        <f t="shared" si="8"/>
        <v>0</v>
      </c>
    </row>
    <row r="559" spans="1:8" x14ac:dyDescent="0.2">
      <c r="A559" s="3" t="s">
        <v>74</v>
      </c>
      <c r="H559" s="2">
        <f t="shared" si="8"/>
        <v>0</v>
      </c>
    </row>
    <row r="560" spans="1:8" x14ac:dyDescent="0.2">
      <c r="A560" s="3" t="s">
        <v>74</v>
      </c>
      <c r="H560" s="2">
        <f t="shared" si="8"/>
        <v>0</v>
      </c>
    </row>
    <row r="561" spans="1:8" x14ac:dyDescent="0.2">
      <c r="A561" s="3" t="s">
        <v>74</v>
      </c>
      <c r="H561" s="2">
        <f t="shared" si="8"/>
        <v>0</v>
      </c>
    </row>
    <row r="562" spans="1:8" x14ac:dyDescent="0.2">
      <c r="A562" s="3" t="s">
        <v>74</v>
      </c>
      <c r="H562" s="2">
        <f t="shared" si="8"/>
        <v>0</v>
      </c>
    </row>
    <row r="563" spans="1:8" x14ac:dyDescent="0.2">
      <c r="A563" s="3" t="s">
        <v>74</v>
      </c>
      <c r="H563" s="2">
        <f t="shared" si="8"/>
        <v>0</v>
      </c>
    </row>
    <row r="564" spans="1:8" x14ac:dyDescent="0.2">
      <c r="A564" s="3" t="s">
        <v>74</v>
      </c>
      <c r="H564" s="2">
        <f t="shared" si="8"/>
        <v>0</v>
      </c>
    </row>
    <row r="565" spans="1:8" x14ac:dyDescent="0.2">
      <c r="A565" s="3" t="s">
        <v>74</v>
      </c>
      <c r="H565" s="2">
        <f t="shared" si="8"/>
        <v>0</v>
      </c>
    </row>
    <row r="566" spans="1:8" x14ac:dyDescent="0.2">
      <c r="A566" s="3" t="s">
        <v>74</v>
      </c>
      <c r="H566" s="2">
        <f t="shared" si="8"/>
        <v>0</v>
      </c>
    </row>
    <row r="567" spans="1:8" x14ac:dyDescent="0.2">
      <c r="A567" s="3" t="s">
        <v>74</v>
      </c>
      <c r="H567" s="2">
        <f t="shared" si="8"/>
        <v>0</v>
      </c>
    </row>
    <row r="568" spans="1:8" x14ac:dyDescent="0.2">
      <c r="A568" s="3" t="s">
        <v>74</v>
      </c>
      <c r="H568" s="2">
        <f t="shared" si="8"/>
        <v>0</v>
      </c>
    </row>
    <row r="569" spans="1:8" x14ac:dyDescent="0.2">
      <c r="A569" s="3" t="s">
        <v>74</v>
      </c>
      <c r="H569" s="2">
        <f t="shared" si="8"/>
        <v>0</v>
      </c>
    </row>
    <row r="570" spans="1:8" x14ac:dyDescent="0.2">
      <c r="A570" s="3" t="s">
        <v>74</v>
      </c>
      <c r="H570" s="2">
        <f t="shared" si="8"/>
        <v>0</v>
      </c>
    </row>
    <row r="571" spans="1:8" x14ac:dyDescent="0.2">
      <c r="A571" s="3" t="s">
        <v>74</v>
      </c>
      <c r="H571" s="2">
        <f t="shared" si="8"/>
        <v>0</v>
      </c>
    </row>
    <row r="572" spans="1:8" x14ac:dyDescent="0.2">
      <c r="A572" s="3" t="s">
        <v>74</v>
      </c>
      <c r="H572" s="2">
        <f t="shared" si="8"/>
        <v>0</v>
      </c>
    </row>
    <row r="573" spans="1:8" x14ac:dyDescent="0.2">
      <c r="A573" s="3" t="s">
        <v>74</v>
      </c>
      <c r="H573" s="2">
        <f t="shared" si="8"/>
        <v>0</v>
      </c>
    </row>
    <row r="574" spans="1:8" x14ac:dyDescent="0.2">
      <c r="A574" s="3" t="s">
        <v>74</v>
      </c>
      <c r="H574" s="2">
        <f t="shared" si="8"/>
        <v>0</v>
      </c>
    </row>
    <row r="575" spans="1:8" x14ac:dyDescent="0.2">
      <c r="A575" s="3" t="s">
        <v>74</v>
      </c>
      <c r="H575" s="2">
        <f t="shared" si="8"/>
        <v>0</v>
      </c>
    </row>
    <row r="576" spans="1:8" x14ac:dyDescent="0.2">
      <c r="A576" s="3" t="s">
        <v>74</v>
      </c>
      <c r="H576" s="2">
        <f t="shared" si="8"/>
        <v>0</v>
      </c>
    </row>
    <row r="577" spans="1:8" x14ac:dyDescent="0.2">
      <c r="A577" s="3" t="s">
        <v>74</v>
      </c>
      <c r="H577" s="2">
        <f t="shared" si="8"/>
        <v>0</v>
      </c>
    </row>
    <row r="578" spans="1:8" x14ac:dyDescent="0.2">
      <c r="A578" s="3" t="s">
        <v>74</v>
      </c>
      <c r="H578" s="2">
        <f t="shared" ref="H578:H641" si="9">IF(A605="Gestion",F578*1,0)</f>
        <v>0</v>
      </c>
    </row>
    <row r="579" spans="1:8" x14ac:dyDescent="0.2">
      <c r="A579" s="3" t="s">
        <v>74</v>
      </c>
      <c r="H579" s="2">
        <f t="shared" si="9"/>
        <v>0</v>
      </c>
    </row>
    <row r="580" spans="1:8" x14ac:dyDescent="0.2">
      <c r="A580" s="3" t="s">
        <v>74</v>
      </c>
      <c r="H580" s="2">
        <f t="shared" si="9"/>
        <v>0</v>
      </c>
    </row>
    <row r="581" spans="1:8" x14ac:dyDescent="0.2">
      <c r="A581" s="3" t="s">
        <v>74</v>
      </c>
      <c r="H581" s="2">
        <f t="shared" si="9"/>
        <v>0</v>
      </c>
    </row>
    <row r="582" spans="1:8" x14ac:dyDescent="0.2">
      <c r="A582" s="3" t="s">
        <v>74</v>
      </c>
      <c r="H582" s="2">
        <f t="shared" si="9"/>
        <v>0</v>
      </c>
    </row>
    <row r="583" spans="1:8" x14ac:dyDescent="0.2">
      <c r="A583" s="3" t="s">
        <v>74</v>
      </c>
      <c r="H583" s="2">
        <f t="shared" si="9"/>
        <v>0</v>
      </c>
    </row>
    <row r="584" spans="1:8" x14ac:dyDescent="0.2">
      <c r="A584" s="3" t="s">
        <v>74</v>
      </c>
      <c r="H584" s="2">
        <f t="shared" si="9"/>
        <v>0</v>
      </c>
    </row>
    <row r="585" spans="1:8" x14ac:dyDescent="0.2">
      <c r="A585" s="3" t="s">
        <v>74</v>
      </c>
      <c r="H585" s="2">
        <f t="shared" si="9"/>
        <v>0</v>
      </c>
    </row>
    <row r="586" spans="1:8" x14ac:dyDescent="0.2">
      <c r="A586" s="3" t="s">
        <v>74</v>
      </c>
      <c r="H586" s="2">
        <f t="shared" si="9"/>
        <v>0</v>
      </c>
    </row>
    <row r="587" spans="1:8" x14ac:dyDescent="0.2">
      <c r="A587" s="3" t="s">
        <v>74</v>
      </c>
      <c r="H587" s="2">
        <f t="shared" si="9"/>
        <v>0</v>
      </c>
    </row>
    <row r="588" spans="1:8" x14ac:dyDescent="0.2">
      <c r="A588" s="3" t="s">
        <v>74</v>
      </c>
      <c r="H588" s="2">
        <f t="shared" si="9"/>
        <v>0</v>
      </c>
    </row>
    <row r="589" spans="1:8" x14ac:dyDescent="0.2">
      <c r="A589" s="3" t="s">
        <v>74</v>
      </c>
      <c r="H589" s="2">
        <f t="shared" si="9"/>
        <v>0</v>
      </c>
    </row>
    <row r="590" spans="1:8" x14ac:dyDescent="0.2">
      <c r="A590" s="3" t="s">
        <v>74</v>
      </c>
      <c r="H590" s="2">
        <f t="shared" si="9"/>
        <v>0</v>
      </c>
    </row>
    <row r="591" spans="1:8" x14ac:dyDescent="0.2">
      <c r="A591" s="3" t="s">
        <v>74</v>
      </c>
      <c r="H591" s="2">
        <f t="shared" si="9"/>
        <v>0</v>
      </c>
    </row>
    <row r="592" spans="1:8" x14ac:dyDescent="0.2">
      <c r="A592" s="3" t="s">
        <v>74</v>
      </c>
      <c r="H592" s="2">
        <f t="shared" si="9"/>
        <v>0</v>
      </c>
    </row>
    <row r="593" spans="1:8" x14ac:dyDescent="0.2">
      <c r="A593" s="3" t="s">
        <v>74</v>
      </c>
      <c r="H593" s="2">
        <f t="shared" si="9"/>
        <v>0</v>
      </c>
    </row>
    <row r="594" spans="1:8" x14ac:dyDescent="0.2">
      <c r="A594" s="3" t="s">
        <v>74</v>
      </c>
      <c r="H594" s="2">
        <f t="shared" si="9"/>
        <v>0</v>
      </c>
    </row>
    <row r="595" spans="1:8" x14ac:dyDescent="0.2">
      <c r="A595" s="3" t="s">
        <v>74</v>
      </c>
      <c r="H595" s="2">
        <f t="shared" si="9"/>
        <v>0</v>
      </c>
    </row>
    <row r="596" spans="1:8" x14ac:dyDescent="0.2">
      <c r="A596" s="3" t="s">
        <v>74</v>
      </c>
      <c r="H596" s="2">
        <f t="shared" si="9"/>
        <v>0</v>
      </c>
    </row>
    <row r="597" spans="1:8" x14ac:dyDescent="0.2">
      <c r="A597" s="3" t="s">
        <v>74</v>
      </c>
      <c r="H597" s="2">
        <f t="shared" si="9"/>
        <v>0</v>
      </c>
    </row>
    <row r="598" spans="1:8" x14ac:dyDescent="0.2">
      <c r="A598" s="3" t="s">
        <v>74</v>
      </c>
      <c r="H598" s="2">
        <f t="shared" si="9"/>
        <v>0</v>
      </c>
    </row>
    <row r="599" spans="1:8" x14ac:dyDescent="0.2">
      <c r="A599" s="3" t="s">
        <v>74</v>
      </c>
      <c r="H599" s="2">
        <f t="shared" si="9"/>
        <v>0</v>
      </c>
    </row>
    <row r="600" spans="1:8" x14ac:dyDescent="0.2">
      <c r="A600" s="3" t="s">
        <v>74</v>
      </c>
      <c r="H600" s="2">
        <f t="shared" si="9"/>
        <v>0</v>
      </c>
    </row>
    <row r="601" spans="1:8" x14ac:dyDescent="0.2">
      <c r="A601" s="3" t="s">
        <v>74</v>
      </c>
      <c r="H601" s="2">
        <f t="shared" si="9"/>
        <v>0</v>
      </c>
    </row>
    <row r="602" spans="1:8" x14ac:dyDescent="0.2">
      <c r="A602" s="3" t="s">
        <v>74</v>
      </c>
      <c r="H602" s="2">
        <f t="shared" si="9"/>
        <v>0</v>
      </c>
    </row>
    <row r="603" spans="1:8" x14ac:dyDescent="0.2">
      <c r="A603" s="3" t="s">
        <v>74</v>
      </c>
      <c r="H603" s="2">
        <f t="shared" si="9"/>
        <v>0</v>
      </c>
    </row>
    <row r="604" spans="1:8" x14ac:dyDescent="0.2">
      <c r="A604" s="3" t="s">
        <v>74</v>
      </c>
      <c r="H604" s="2">
        <f t="shared" si="9"/>
        <v>0</v>
      </c>
    </row>
    <row r="605" spans="1:8" x14ac:dyDescent="0.2">
      <c r="A605" s="3" t="s">
        <v>74</v>
      </c>
      <c r="H605" s="2">
        <f t="shared" si="9"/>
        <v>0</v>
      </c>
    </row>
    <row r="606" spans="1:8" x14ac:dyDescent="0.2">
      <c r="A606" s="3" t="s">
        <v>74</v>
      </c>
      <c r="H606" s="2">
        <f t="shared" si="9"/>
        <v>0</v>
      </c>
    </row>
    <row r="607" spans="1:8" x14ac:dyDescent="0.2">
      <c r="A607" s="3" t="s">
        <v>74</v>
      </c>
      <c r="H607" s="2">
        <f t="shared" si="9"/>
        <v>0</v>
      </c>
    </row>
    <row r="608" spans="1:8" x14ac:dyDescent="0.2">
      <c r="A608" s="3" t="s">
        <v>74</v>
      </c>
      <c r="H608" s="2">
        <f t="shared" si="9"/>
        <v>0</v>
      </c>
    </row>
    <row r="609" spans="1:8" x14ac:dyDescent="0.2">
      <c r="A609" s="3" t="s">
        <v>74</v>
      </c>
      <c r="H609" s="2">
        <f t="shared" si="9"/>
        <v>0</v>
      </c>
    </row>
    <row r="610" spans="1:8" x14ac:dyDescent="0.2">
      <c r="A610" s="3" t="s">
        <v>74</v>
      </c>
      <c r="H610" s="2">
        <f t="shared" si="9"/>
        <v>0</v>
      </c>
    </row>
    <row r="611" spans="1:8" x14ac:dyDescent="0.2">
      <c r="A611" s="3" t="s">
        <v>74</v>
      </c>
      <c r="H611" s="2">
        <f t="shared" si="9"/>
        <v>0</v>
      </c>
    </row>
    <row r="612" spans="1:8" x14ac:dyDescent="0.2">
      <c r="A612" s="3" t="s">
        <v>74</v>
      </c>
      <c r="H612" s="2">
        <f t="shared" si="9"/>
        <v>0</v>
      </c>
    </row>
    <row r="613" spans="1:8" x14ac:dyDescent="0.2">
      <c r="A613" s="3" t="s">
        <v>74</v>
      </c>
      <c r="H613" s="2">
        <f t="shared" si="9"/>
        <v>0</v>
      </c>
    </row>
    <row r="614" spans="1:8" x14ac:dyDescent="0.2">
      <c r="A614" s="3" t="s">
        <v>74</v>
      </c>
      <c r="H614" s="2">
        <f t="shared" si="9"/>
        <v>0</v>
      </c>
    </row>
    <row r="615" spans="1:8" x14ac:dyDescent="0.2">
      <c r="A615" s="3" t="s">
        <v>74</v>
      </c>
      <c r="H615" s="2">
        <f t="shared" si="9"/>
        <v>0</v>
      </c>
    </row>
    <row r="616" spans="1:8" x14ac:dyDescent="0.2">
      <c r="A616" s="3" t="s">
        <v>74</v>
      </c>
      <c r="H616" s="2">
        <f t="shared" si="9"/>
        <v>0</v>
      </c>
    </row>
    <row r="617" spans="1:8" x14ac:dyDescent="0.2">
      <c r="A617" s="3" t="s">
        <v>74</v>
      </c>
      <c r="H617" s="2">
        <f t="shared" si="9"/>
        <v>0</v>
      </c>
    </row>
    <row r="618" spans="1:8" x14ac:dyDescent="0.2">
      <c r="A618" s="3" t="s">
        <v>74</v>
      </c>
      <c r="H618" s="2">
        <f t="shared" si="9"/>
        <v>0</v>
      </c>
    </row>
    <row r="619" spans="1:8" x14ac:dyDescent="0.2">
      <c r="A619" s="3" t="s">
        <v>74</v>
      </c>
      <c r="H619" s="2">
        <f t="shared" si="9"/>
        <v>0</v>
      </c>
    </row>
    <row r="620" spans="1:8" x14ac:dyDescent="0.2">
      <c r="A620" s="3" t="s">
        <v>74</v>
      </c>
      <c r="H620" s="2">
        <f t="shared" si="9"/>
        <v>0</v>
      </c>
    </row>
    <row r="621" spans="1:8" x14ac:dyDescent="0.2">
      <c r="A621" s="3" t="s">
        <v>74</v>
      </c>
      <c r="H621" s="2">
        <f t="shared" si="9"/>
        <v>0</v>
      </c>
    </row>
    <row r="622" spans="1:8" x14ac:dyDescent="0.2">
      <c r="A622" s="3" t="s">
        <v>74</v>
      </c>
      <c r="H622" s="2">
        <f t="shared" si="9"/>
        <v>0</v>
      </c>
    </row>
    <row r="623" spans="1:8" x14ac:dyDescent="0.2">
      <c r="A623" s="3" t="s">
        <v>74</v>
      </c>
      <c r="H623" s="2">
        <f t="shared" si="9"/>
        <v>0</v>
      </c>
    </row>
    <row r="624" spans="1:8" x14ac:dyDescent="0.2">
      <c r="A624" s="3" t="s">
        <v>74</v>
      </c>
      <c r="H624" s="2">
        <f t="shared" si="9"/>
        <v>0</v>
      </c>
    </row>
    <row r="625" spans="1:8" x14ac:dyDescent="0.2">
      <c r="A625" s="3" t="s">
        <v>74</v>
      </c>
      <c r="H625" s="2">
        <f t="shared" si="9"/>
        <v>0</v>
      </c>
    </row>
    <row r="626" spans="1:8" x14ac:dyDescent="0.2">
      <c r="A626" s="3" t="s">
        <v>74</v>
      </c>
      <c r="H626" s="2">
        <f t="shared" si="9"/>
        <v>0</v>
      </c>
    </row>
    <row r="627" spans="1:8" x14ac:dyDescent="0.2">
      <c r="A627" s="3" t="s">
        <v>74</v>
      </c>
      <c r="H627" s="2">
        <f t="shared" si="9"/>
        <v>0</v>
      </c>
    </row>
    <row r="628" spans="1:8" x14ac:dyDescent="0.2">
      <c r="A628" s="3" t="s">
        <v>74</v>
      </c>
      <c r="H628" s="2">
        <f t="shared" si="9"/>
        <v>0</v>
      </c>
    </row>
    <row r="629" spans="1:8" x14ac:dyDescent="0.2">
      <c r="A629" s="3" t="s">
        <v>74</v>
      </c>
      <c r="H629" s="2">
        <f t="shared" si="9"/>
        <v>0</v>
      </c>
    </row>
    <row r="630" spans="1:8" x14ac:dyDescent="0.2">
      <c r="A630" s="3" t="s">
        <v>74</v>
      </c>
      <c r="H630" s="2">
        <f t="shared" si="9"/>
        <v>0</v>
      </c>
    </row>
    <row r="631" spans="1:8" x14ac:dyDescent="0.2">
      <c r="A631" s="3" t="s">
        <v>74</v>
      </c>
      <c r="H631" s="2">
        <f t="shared" si="9"/>
        <v>0</v>
      </c>
    </row>
    <row r="632" spans="1:8" x14ac:dyDescent="0.2">
      <c r="A632" s="3" t="s">
        <v>74</v>
      </c>
      <c r="H632" s="2">
        <f t="shared" si="9"/>
        <v>0</v>
      </c>
    </row>
    <row r="633" spans="1:8" x14ac:dyDescent="0.2">
      <c r="A633" s="3" t="s">
        <v>74</v>
      </c>
      <c r="H633" s="2">
        <f t="shared" si="9"/>
        <v>0</v>
      </c>
    </row>
    <row r="634" spans="1:8" x14ac:dyDescent="0.2">
      <c r="A634" s="3" t="s">
        <v>74</v>
      </c>
      <c r="H634" s="2">
        <f t="shared" si="9"/>
        <v>0</v>
      </c>
    </row>
    <row r="635" spans="1:8" x14ac:dyDescent="0.2">
      <c r="A635" s="3" t="s">
        <v>74</v>
      </c>
      <c r="H635" s="2">
        <f t="shared" si="9"/>
        <v>0</v>
      </c>
    </row>
    <row r="636" spans="1:8" x14ac:dyDescent="0.2">
      <c r="A636" s="3" t="s">
        <v>74</v>
      </c>
      <c r="H636" s="2">
        <f t="shared" si="9"/>
        <v>0</v>
      </c>
    </row>
    <row r="637" spans="1:8" x14ac:dyDescent="0.2">
      <c r="A637" s="3" t="s">
        <v>74</v>
      </c>
      <c r="H637" s="2">
        <f t="shared" si="9"/>
        <v>0</v>
      </c>
    </row>
    <row r="638" spans="1:8" x14ac:dyDescent="0.2">
      <c r="A638" s="3" t="s">
        <v>74</v>
      </c>
      <c r="H638" s="2">
        <f t="shared" si="9"/>
        <v>0</v>
      </c>
    </row>
    <row r="639" spans="1:8" x14ac:dyDescent="0.2">
      <c r="A639" s="3" t="s">
        <v>74</v>
      </c>
      <c r="H639" s="2">
        <f t="shared" si="9"/>
        <v>0</v>
      </c>
    </row>
    <row r="640" spans="1:8" x14ac:dyDescent="0.2">
      <c r="A640" s="3" t="s">
        <v>74</v>
      </c>
      <c r="H640" s="2">
        <f t="shared" si="9"/>
        <v>0</v>
      </c>
    </row>
    <row r="641" spans="1:8" x14ac:dyDescent="0.2">
      <c r="A641" s="3" t="s">
        <v>74</v>
      </c>
      <c r="H641" s="2">
        <f t="shared" si="9"/>
        <v>0</v>
      </c>
    </row>
    <row r="642" spans="1:8" x14ac:dyDescent="0.2">
      <c r="A642" s="3" t="s">
        <v>74</v>
      </c>
      <c r="H642" s="2">
        <f t="shared" ref="H642:H705" si="10">IF(A669="Gestion",F642*1,0)</f>
        <v>0</v>
      </c>
    </row>
    <row r="643" spans="1:8" x14ac:dyDescent="0.2">
      <c r="A643" s="3" t="s">
        <v>74</v>
      </c>
      <c r="H643" s="2">
        <f t="shared" si="10"/>
        <v>0</v>
      </c>
    </row>
    <row r="644" spans="1:8" x14ac:dyDescent="0.2">
      <c r="A644" s="3" t="s">
        <v>74</v>
      </c>
      <c r="H644" s="2">
        <f t="shared" si="10"/>
        <v>0</v>
      </c>
    </row>
    <row r="645" spans="1:8" x14ac:dyDescent="0.2">
      <c r="A645" s="3" t="s">
        <v>74</v>
      </c>
      <c r="H645" s="2">
        <f t="shared" si="10"/>
        <v>0</v>
      </c>
    </row>
    <row r="646" spans="1:8" x14ac:dyDescent="0.2">
      <c r="A646" s="3" t="s">
        <v>74</v>
      </c>
      <c r="H646" s="2">
        <f t="shared" si="10"/>
        <v>0</v>
      </c>
    </row>
    <row r="647" spans="1:8" x14ac:dyDescent="0.2">
      <c r="A647" s="3" t="s">
        <v>74</v>
      </c>
      <c r="H647" s="2">
        <f t="shared" si="10"/>
        <v>0</v>
      </c>
    </row>
    <row r="648" spans="1:8" x14ac:dyDescent="0.2">
      <c r="A648" s="3" t="s">
        <v>74</v>
      </c>
      <c r="H648" s="2">
        <f t="shared" si="10"/>
        <v>0</v>
      </c>
    </row>
    <row r="649" spans="1:8" x14ac:dyDescent="0.2">
      <c r="A649" s="3" t="s">
        <v>74</v>
      </c>
      <c r="H649" s="2">
        <f t="shared" si="10"/>
        <v>0</v>
      </c>
    </row>
    <row r="650" spans="1:8" x14ac:dyDescent="0.2">
      <c r="A650" s="3" t="s">
        <v>74</v>
      </c>
      <c r="H650" s="2">
        <f t="shared" si="10"/>
        <v>0</v>
      </c>
    </row>
    <row r="651" spans="1:8" x14ac:dyDescent="0.2">
      <c r="A651" s="3" t="s">
        <v>74</v>
      </c>
      <c r="H651" s="2">
        <f t="shared" si="10"/>
        <v>0</v>
      </c>
    </row>
    <row r="652" spans="1:8" x14ac:dyDescent="0.2">
      <c r="A652" s="3" t="s">
        <v>74</v>
      </c>
      <c r="H652" s="2">
        <f t="shared" si="10"/>
        <v>0</v>
      </c>
    </row>
    <row r="653" spans="1:8" x14ac:dyDescent="0.2">
      <c r="A653" s="3" t="s">
        <v>74</v>
      </c>
      <c r="H653" s="2">
        <f t="shared" si="10"/>
        <v>0</v>
      </c>
    </row>
    <row r="654" spans="1:8" x14ac:dyDescent="0.2">
      <c r="A654" s="3" t="s">
        <v>74</v>
      </c>
      <c r="H654" s="2">
        <f t="shared" si="10"/>
        <v>0</v>
      </c>
    </row>
    <row r="655" spans="1:8" x14ac:dyDescent="0.2">
      <c r="A655" s="3" t="s">
        <v>74</v>
      </c>
      <c r="H655" s="2">
        <f t="shared" si="10"/>
        <v>0</v>
      </c>
    </row>
    <row r="656" spans="1:8" x14ac:dyDescent="0.2">
      <c r="A656" s="3" t="s">
        <v>74</v>
      </c>
      <c r="H656" s="2">
        <f t="shared" si="10"/>
        <v>0</v>
      </c>
    </row>
    <row r="657" spans="1:8" x14ac:dyDescent="0.2">
      <c r="A657" s="3" t="s">
        <v>74</v>
      </c>
      <c r="H657" s="2">
        <f t="shared" si="10"/>
        <v>0</v>
      </c>
    </row>
    <row r="658" spans="1:8" x14ac:dyDescent="0.2">
      <c r="A658" s="3" t="s">
        <v>74</v>
      </c>
      <c r="H658" s="2">
        <f t="shared" si="10"/>
        <v>0</v>
      </c>
    </row>
    <row r="659" spans="1:8" x14ac:dyDescent="0.2">
      <c r="A659" s="3" t="s">
        <v>74</v>
      </c>
      <c r="H659" s="2">
        <f t="shared" si="10"/>
        <v>0</v>
      </c>
    </row>
    <row r="660" spans="1:8" x14ac:dyDescent="0.2">
      <c r="A660" s="3" t="s">
        <v>74</v>
      </c>
      <c r="H660" s="2">
        <f t="shared" si="10"/>
        <v>0</v>
      </c>
    </row>
    <row r="661" spans="1:8" x14ac:dyDescent="0.2">
      <c r="A661" s="3" t="s">
        <v>74</v>
      </c>
      <c r="H661" s="2">
        <f t="shared" si="10"/>
        <v>0</v>
      </c>
    </row>
    <row r="662" spans="1:8" x14ac:dyDescent="0.2">
      <c r="A662" s="3" t="s">
        <v>74</v>
      </c>
      <c r="H662" s="2">
        <f t="shared" si="10"/>
        <v>0</v>
      </c>
    </row>
    <row r="663" spans="1:8" x14ac:dyDescent="0.2">
      <c r="A663" s="3" t="s">
        <v>74</v>
      </c>
      <c r="H663" s="2">
        <f t="shared" si="10"/>
        <v>0</v>
      </c>
    </row>
    <row r="664" spans="1:8" x14ac:dyDescent="0.2">
      <c r="A664" s="3" t="s">
        <v>74</v>
      </c>
      <c r="H664" s="2">
        <f t="shared" si="10"/>
        <v>0</v>
      </c>
    </row>
    <row r="665" spans="1:8" x14ac:dyDescent="0.2">
      <c r="A665" s="3" t="s">
        <v>74</v>
      </c>
      <c r="H665" s="2">
        <f t="shared" si="10"/>
        <v>0</v>
      </c>
    </row>
    <row r="666" spans="1:8" x14ac:dyDescent="0.2">
      <c r="A666" s="3" t="s">
        <v>74</v>
      </c>
      <c r="H666" s="2">
        <f t="shared" si="10"/>
        <v>0</v>
      </c>
    </row>
    <row r="667" spans="1:8" x14ac:dyDescent="0.2">
      <c r="A667" s="3" t="s">
        <v>74</v>
      </c>
      <c r="H667" s="2">
        <f t="shared" si="10"/>
        <v>0</v>
      </c>
    </row>
    <row r="668" spans="1:8" x14ac:dyDescent="0.2">
      <c r="A668" s="3" t="s">
        <v>74</v>
      </c>
      <c r="H668" s="2">
        <f t="shared" si="10"/>
        <v>0</v>
      </c>
    </row>
    <row r="669" spans="1:8" x14ac:dyDescent="0.2">
      <c r="A669" s="3" t="s">
        <v>74</v>
      </c>
      <c r="H669" s="2">
        <f t="shared" si="10"/>
        <v>0</v>
      </c>
    </row>
    <row r="670" spans="1:8" x14ac:dyDescent="0.2">
      <c r="A670" s="3" t="s">
        <v>74</v>
      </c>
      <c r="H670" s="2">
        <f t="shared" si="10"/>
        <v>0</v>
      </c>
    </row>
    <row r="671" spans="1:8" x14ac:dyDescent="0.2">
      <c r="A671" s="3" t="s">
        <v>74</v>
      </c>
      <c r="H671" s="2">
        <f t="shared" si="10"/>
        <v>0</v>
      </c>
    </row>
    <row r="672" spans="1:8" x14ac:dyDescent="0.2">
      <c r="A672" s="3" t="s">
        <v>74</v>
      </c>
      <c r="H672" s="2">
        <f t="shared" si="10"/>
        <v>0</v>
      </c>
    </row>
    <row r="673" spans="1:8" x14ac:dyDescent="0.2">
      <c r="A673" s="3" t="s">
        <v>74</v>
      </c>
      <c r="H673" s="2">
        <f t="shared" si="10"/>
        <v>0</v>
      </c>
    </row>
    <row r="674" spans="1:8" x14ac:dyDescent="0.2">
      <c r="A674" s="3" t="s">
        <v>74</v>
      </c>
      <c r="H674" s="2">
        <f t="shared" si="10"/>
        <v>0</v>
      </c>
    </row>
    <row r="675" spans="1:8" x14ac:dyDescent="0.2">
      <c r="A675" s="3" t="s">
        <v>74</v>
      </c>
      <c r="H675" s="2">
        <f t="shared" si="10"/>
        <v>0</v>
      </c>
    </row>
    <row r="676" spans="1:8" x14ac:dyDescent="0.2">
      <c r="A676" s="3" t="s">
        <v>74</v>
      </c>
      <c r="H676" s="2">
        <f t="shared" si="10"/>
        <v>0</v>
      </c>
    </row>
    <row r="677" spans="1:8" x14ac:dyDescent="0.2">
      <c r="A677" s="3" t="s">
        <v>74</v>
      </c>
      <c r="H677" s="2">
        <f t="shared" si="10"/>
        <v>0</v>
      </c>
    </row>
    <row r="678" spans="1:8" x14ac:dyDescent="0.2">
      <c r="A678" s="3" t="s">
        <v>74</v>
      </c>
      <c r="H678" s="2">
        <f t="shared" si="10"/>
        <v>0</v>
      </c>
    </row>
    <row r="679" spans="1:8" x14ac:dyDescent="0.2">
      <c r="A679" s="3" t="s">
        <v>74</v>
      </c>
      <c r="H679" s="2">
        <f t="shared" si="10"/>
        <v>0</v>
      </c>
    </row>
    <row r="680" spans="1:8" x14ac:dyDescent="0.2">
      <c r="A680" s="3" t="s">
        <v>74</v>
      </c>
      <c r="H680" s="2">
        <f t="shared" si="10"/>
        <v>0</v>
      </c>
    </row>
    <row r="681" spans="1:8" x14ac:dyDescent="0.2">
      <c r="A681" s="3" t="s">
        <v>74</v>
      </c>
      <c r="H681" s="2">
        <f t="shared" si="10"/>
        <v>0</v>
      </c>
    </row>
    <row r="682" spans="1:8" x14ac:dyDescent="0.2">
      <c r="A682" s="3" t="s">
        <v>74</v>
      </c>
      <c r="H682" s="2">
        <f t="shared" si="10"/>
        <v>0</v>
      </c>
    </row>
    <row r="683" spans="1:8" x14ac:dyDescent="0.2">
      <c r="A683" s="3" t="s">
        <v>74</v>
      </c>
      <c r="H683" s="2">
        <f t="shared" si="10"/>
        <v>0</v>
      </c>
    </row>
    <row r="684" spans="1:8" x14ac:dyDescent="0.2">
      <c r="A684" s="3" t="s">
        <v>74</v>
      </c>
      <c r="H684" s="2">
        <f t="shared" si="10"/>
        <v>0</v>
      </c>
    </row>
    <row r="685" spans="1:8" x14ac:dyDescent="0.2">
      <c r="A685" s="3" t="s">
        <v>74</v>
      </c>
      <c r="H685" s="2">
        <f t="shared" si="10"/>
        <v>0</v>
      </c>
    </row>
    <row r="686" spans="1:8" x14ac:dyDescent="0.2">
      <c r="A686" s="3" t="s">
        <v>74</v>
      </c>
      <c r="H686" s="2">
        <f t="shared" si="10"/>
        <v>0</v>
      </c>
    </row>
    <row r="687" spans="1:8" x14ac:dyDescent="0.2">
      <c r="A687" s="3" t="s">
        <v>74</v>
      </c>
      <c r="H687" s="2">
        <f t="shared" si="10"/>
        <v>0</v>
      </c>
    </row>
    <row r="688" spans="1:8" x14ac:dyDescent="0.2">
      <c r="A688" s="3" t="s">
        <v>74</v>
      </c>
      <c r="H688" s="2">
        <f t="shared" si="10"/>
        <v>0</v>
      </c>
    </row>
    <row r="689" spans="1:8" x14ac:dyDescent="0.2">
      <c r="A689" s="3" t="s">
        <v>74</v>
      </c>
      <c r="H689" s="2">
        <f t="shared" si="10"/>
        <v>0</v>
      </c>
    </row>
    <row r="690" spans="1:8" x14ac:dyDescent="0.2">
      <c r="A690" s="3" t="s">
        <v>74</v>
      </c>
      <c r="H690" s="2">
        <f t="shared" si="10"/>
        <v>0</v>
      </c>
    </row>
    <row r="691" spans="1:8" x14ac:dyDescent="0.2">
      <c r="A691" s="3" t="s">
        <v>74</v>
      </c>
      <c r="H691" s="2">
        <f t="shared" si="10"/>
        <v>0</v>
      </c>
    </row>
    <row r="692" spans="1:8" x14ac:dyDescent="0.2">
      <c r="A692" s="3" t="s">
        <v>74</v>
      </c>
      <c r="H692" s="2">
        <f t="shared" si="10"/>
        <v>0</v>
      </c>
    </row>
    <row r="693" spans="1:8" x14ac:dyDescent="0.2">
      <c r="A693" s="3" t="s">
        <v>74</v>
      </c>
      <c r="H693" s="2">
        <f t="shared" si="10"/>
        <v>0</v>
      </c>
    </row>
    <row r="694" spans="1:8" x14ac:dyDescent="0.2">
      <c r="A694" s="3" t="s">
        <v>74</v>
      </c>
      <c r="H694" s="2">
        <f t="shared" si="10"/>
        <v>0</v>
      </c>
    </row>
    <row r="695" spans="1:8" x14ac:dyDescent="0.2">
      <c r="A695" s="3" t="s">
        <v>74</v>
      </c>
      <c r="H695" s="2">
        <f t="shared" si="10"/>
        <v>0</v>
      </c>
    </row>
    <row r="696" spans="1:8" x14ac:dyDescent="0.2">
      <c r="A696" s="3" t="s">
        <v>74</v>
      </c>
      <c r="H696" s="2">
        <f t="shared" si="10"/>
        <v>0</v>
      </c>
    </row>
    <row r="697" spans="1:8" x14ac:dyDescent="0.2">
      <c r="A697" s="3" t="s">
        <v>74</v>
      </c>
      <c r="H697" s="2">
        <f t="shared" si="10"/>
        <v>0</v>
      </c>
    </row>
    <row r="698" spans="1:8" x14ac:dyDescent="0.2">
      <c r="A698" s="3" t="s">
        <v>74</v>
      </c>
      <c r="H698" s="2">
        <f t="shared" si="10"/>
        <v>0</v>
      </c>
    </row>
    <row r="699" spans="1:8" x14ac:dyDescent="0.2">
      <c r="A699" s="3" t="s">
        <v>74</v>
      </c>
      <c r="H699" s="2">
        <f t="shared" si="10"/>
        <v>0</v>
      </c>
    </row>
    <row r="700" spans="1:8" x14ac:dyDescent="0.2">
      <c r="A700" s="3" t="s">
        <v>74</v>
      </c>
      <c r="H700" s="2">
        <f t="shared" si="10"/>
        <v>0</v>
      </c>
    </row>
    <row r="701" spans="1:8" x14ac:dyDescent="0.2">
      <c r="A701" s="3" t="s">
        <v>74</v>
      </c>
      <c r="H701" s="2">
        <f t="shared" si="10"/>
        <v>0</v>
      </c>
    </row>
    <row r="702" spans="1:8" x14ac:dyDescent="0.2">
      <c r="A702" s="3" t="s">
        <v>74</v>
      </c>
      <c r="H702" s="2">
        <f t="shared" si="10"/>
        <v>0</v>
      </c>
    </row>
    <row r="703" spans="1:8" x14ac:dyDescent="0.2">
      <c r="A703" s="3" t="s">
        <v>74</v>
      </c>
      <c r="H703" s="2">
        <f t="shared" si="10"/>
        <v>0</v>
      </c>
    </row>
    <row r="704" spans="1:8" x14ac:dyDescent="0.2">
      <c r="A704" s="3" t="s">
        <v>74</v>
      </c>
      <c r="H704" s="2">
        <f t="shared" si="10"/>
        <v>0</v>
      </c>
    </row>
    <row r="705" spans="1:8" x14ac:dyDescent="0.2">
      <c r="A705" s="3" t="s">
        <v>74</v>
      </c>
      <c r="H705" s="2">
        <f t="shared" si="10"/>
        <v>0</v>
      </c>
    </row>
    <row r="706" spans="1:8" x14ac:dyDescent="0.2">
      <c r="A706" s="3" t="s">
        <v>74</v>
      </c>
      <c r="H706" s="2">
        <f t="shared" ref="H706:H769" si="11">IF(A733="Gestion",F706*1,0)</f>
        <v>0</v>
      </c>
    </row>
    <row r="707" spans="1:8" x14ac:dyDescent="0.2">
      <c r="A707" s="3" t="s">
        <v>74</v>
      </c>
      <c r="H707" s="2">
        <f t="shared" si="11"/>
        <v>0</v>
      </c>
    </row>
    <row r="708" spans="1:8" x14ac:dyDescent="0.2">
      <c r="A708" s="3" t="s">
        <v>74</v>
      </c>
      <c r="H708" s="2">
        <f t="shared" si="11"/>
        <v>0</v>
      </c>
    </row>
    <row r="709" spans="1:8" x14ac:dyDescent="0.2">
      <c r="A709" s="3" t="s">
        <v>74</v>
      </c>
      <c r="H709" s="2">
        <f t="shared" si="11"/>
        <v>0</v>
      </c>
    </row>
    <row r="710" spans="1:8" x14ac:dyDescent="0.2">
      <c r="A710" s="3" t="s">
        <v>74</v>
      </c>
      <c r="H710" s="2">
        <f t="shared" si="11"/>
        <v>0</v>
      </c>
    </row>
    <row r="711" spans="1:8" x14ac:dyDescent="0.2">
      <c r="A711" s="3" t="s">
        <v>74</v>
      </c>
      <c r="H711" s="2">
        <f t="shared" si="11"/>
        <v>0</v>
      </c>
    </row>
    <row r="712" spans="1:8" x14ac:dyDescent="0.2">
      <c r="A712" s="3" t="s">
        <v>74</v>
      </c>
      <c r="H712" s="2">
        <f t="shared" si="11"/>
        <v>0</v>
      </c>
    </row>
    <row r="713" spans="1:8" x14ac:dyDescent="0.2">
      <c r="A713" s="3" t="s">
        <v>74</v>
      </c>
      <c r="H713" s="2">
        <f t="shared" si="11"/>
        <v>0</v>
      </c>
    </row>
    <row r="714" spans="1:8" x14ac:dyDescent="0.2">
      <c r="A714" s="3" t="s">
        <v>74</v>
      </c>
      <c r="H714" s="2">
        <f t="shared" si="11"/>
        <v>0</v>
      </c>
    </row>
    <row r="715" spans="1:8" x14ac:dyDescent="0.2">
      <c r="A715" s="3" t="s">
        <v>74</v>
      </c>
      <c r="H715" s="2">
        <f t="shared" si="11"/>
        <v>0</v>
      </c>
    </row>
    <row r="716" spans="1:8" x14ac:dyDescent="0.2">
      <c r="A716" s="3" t="s">
        <v>74</v>
      </c>
      <c r="H716" s="2">
        <f t="shared" si="11"/>
        <v>0</v>
      </c>
    </row>
    <row r="717" spans="1:8" x14ac:dyDescent="0.2">
      <c r="A717" s="3" t="s">
        <v>74</v>
      </c>
      <c r="H717" s="2">
        <f t="shared" si="11"/>
        <v>0</v>
      </c>
    </row>
    <row r="718" spans="1:8" x14ac:dyDescent="0.2">
      <c r="A718" s="3" t="s">
        <v>74</v>
      </c>
      <c r="H718" s="2">
        <f t="shared" si="11"/>
        <v>0</v>
      </c>
    </row>
    <row r="719" spans="1:8" x14ac:dyDescent="0.2">
      <c r="A719" s="3" t="s">
        <v>74</v>
      </c>
      <c r="H719" s="2">
        <f t="shared" si="11"/>
        <v>0</v>
      </c>
    </row>
    <row r="720" spans="1:8" x14ac:dyDescent="0.2">
      <c r="A720" s="3" t="s">
        <v>74</v>
      </c>
      <c r="H720" s="2">
        <f t="shared" si="11"/>
        <v>0</v>
      </c>
    </row>
    <row r="721" spans="1:8" x14ac:dyDescent="0.2">
      <c r="A721" s="3" t="s">
        <v>74</v>
      </c>
      <c r="H721" s="2">
        <f t="shared" si="11"/>
        <v>0</v>
      </c>
    </row>
    <row r="722" spans="1:8" x14ac:dyDescent="0.2">
      <c r="A722" s="3" t="s">
        <v>74</v>
      </c>
      <c r="H722" s="2">
        <f t="shared" si="11"/>
        <v>0</v>
      </c>
    </row>
    <row r="723" spans="1:8" x14ac:dyDescent="0.2">
      <c r="A723" s="3" t="s">
        <v>74</v>
      </c>
      <c r="H723" s="2">
        <f t="shared" si="11"/>
        <v>0</v>
      </c>
    </row>
    <row r="724" spans="1:8" x14ac:dyDescent="0.2">
      <c r="A724" s="3" t="s">
        <v>74</v>
      </c>
      <c r="H724" s="2">
        <f t="shared" si="11"/>
        <v>0</v>
      </c>
    </row>
    <row r="725" spans="1:8" x14ac:dyDescent="0.2">
      <c r="A725" s="3" t="s">
        <v>74</v>
      </c>
      <c r="H725" s="2">
        <f t="shared" si="11"/>
        <v>0</v>
      </c>
    </row>
    <row r="726" spans="1:8" x14ac:dyDescent="0.2">
      <c r="A726" s="3" t="s">
        <v>74</v>
      </c>
      <c r="H726" s="2">
        <f t="shared" si="11"/>
        <v>0</v>
      </c>
    </row>
    <row r="727" spans="1:8" x14ac:dyDescent="0.2">
      <c r="A727" s="3" t="s">
        <v>74</v>
      </c>
      <c r="H727" s="2">
        <f t="shared" si="11"/>
        <v>0</v>
      </c>
    </row>
    <row r="728" spans="1:8" x14ac:dyDescent="0.2">
      <c r="A728" s="3" t="s">
        <v>74</v>
      </c>
      <c r="H728" s="2">
        <f t="shared" si="11"/>
        <v>0</v>
      </c>
    </row>
    <row r="729" spans="1:8" x14ac:dyDescent="0.2">
      <c r="A729" s="3" t="s">
        <v>74</v>
      </c>
      <c r="H729" s="2">
        <f t="shared" si="11"/>
        <v>0</v>
      </c>
    </row>
    <row r="730" spans="1:8" x14ac:dyDescent="0.2">
      <c r="A730" s="3" t="s">
        <v>74</v>
      </c>
      <c r="H730" s="2">
        <f t="shared" si="11"/>
        <v>0</v>
      </c>
    </row>
    <row r="731" spans="1:8" x14ac:dyDescent="0.2">
      <c r="A731" s="3" t="s">
        <v>74</v>
      </c>
      <c r="H731" s="2">
        <f t="shared" si="11"/>
        <v>0</v>
      </c>
    </row>
    <row r="732" spans="1:8" x14ac:dyDescent="0.2">
      <c r="A732" s="3" t="s">
        <v>74</v>
      </c>
      <c r="H732" s="2">
        <f t="shared" si="11"/>
        <v>0</v>
      </c>
    </row>
    <row r="733" spans="1:8" x14ac:dyDescent="0.2">
      <c r="A733" s="3" t="s">
        <v>74</v>
      </c>
      <c r="H733" s="2">
        <f t="shared" si="11"/>
        <v>0</v>
      </c>
    </row>
    <row r="734" spans="1:8" x14ac:dyDescent="0.2">
      <c r="A734" s="3" t="s">
        <v>74</v>
      </c>
      <c r="H734" s="2">
        <f t="shared" si="11"/>
        <v>0</v>
      </c>
    </row>
    <row r="735" spans="1:8" x14ac:dyDescent="0.2">
      <c r="A735" s="3" t="s">
        <v>74</v>
      </c>
      <c r="H735" s="2">
        <f t="shared" si="11"/>
        <v>0</v>
      </c>
    </row>
    <row r="736" spans="1:8" x14ac:dyDescent="0.2">
      <c r="A736" s="3" t="s">
        <v>74</v>
      </c>
      <c r="H736" s="2">
        <f t="shared" si="11"/>
        <v>0</v>
      </c>
    </row>
    <row r="737" spans="1:8" x14ac:dyDescent="0.2">
      <c r="A737" s="3" t="s">
        <v>74</v>
      </c>
      <c r="H737" s="2">
        <f t="shared" si="11"/>
        <v>0</v>
      </c>
    </row>
    <row r="738" spans="1:8" x14ac:dyDescent="0.2">
      <c r="A738" s="3" t="s">
        <v>74</v>
      </c>
      <c r="H738" s="2">
        <f t="shared" si="11"/>
        <v>0</v>
      </c>
    </row>
    <row r="739" spans="1:8" x14ac:dyDescent="0.2">
      <c r="A739" s="3" t="s">
        <v>74</v>
      </c>
      <c r="H739" s="2">
        <f t="shared" si="11"/>
        <v>0</v>
      </c>
    </row>
    <row r="740" spans="1:8" x14ac:dyDescent="0.2">
      <c r="A740" s="3" t="s">
        <v>74</v>
      </c>
      <c r="H740" s="2">
        <f t="shared" si="11"/>
        <v>0</v>
      </c>
    </row>
    <row r="741" spans="1:8" x14ac:dyDescent="0.2">
      <c r="A741" s="3" t="s">
        <v>74</v>
      </c>
      <c r="H741" s="2">
        <f t="shared" si="11"/>
        <v>0</v>
      </c>
    </row>
    <row r="742" spans="1:8" x14ac:dyDescent="0.2">
      <c r="A742" s="3" t="s">
        <v>74</v>
      </c>
      <c r="H742" s="2">
        <f t="shared" si="11"/>
        <v>0</v>
      </c>
    </row>
    <row r="743" spans="1:8" x14ac:dyDescent="0.2">
      <c r="A743" s="3" t="s">
        <v>74</v>
      </c>
      <c r="H743" s="2">
        <f t="shared" si="11"/>
        <v>0</v>
      </c>
    </row>
    <row r="744" spans="1:8" x14ac:dyDescent="0.2">
      <c r="A744" s="3" t="s">
        <v>74</v>
      </c>
      <c r="H744" s="2">
        <f t="shared" si="11"/>
        <v>0</v>
      </c>
    </row>
    <row r="745" spans="1:8" x14ac:dyDescent="0.2">
      <c r="A745" s="3" t="s">
        <v>74</v>
      </c>
      <c r="H745" s="2">
        <f t="shared" si="11"/>
        <v>0</v>
      </c>
    </row>
    <row r="746" spans="1:8" x14ac:dyDescent="0.2">
      <c r="A746" s="3" t="s">
        <v>74</v>
      </c>
      <c r="H746" s="2">
        <f t="shared" si="11"/>
        <v>0</v>
      </c>
    </row>
    <row r="747" spans="1:8" x14ac:dyDescent="0.2">
      <c r="A747" s="3" t="s">
        <v>74</v>
      </c>
      <c r="H747" s="2">
        <f t="shared" si="11"/>
        <v>0</v>
      </c>
    </row>
    <row r="748" spans="1:8" x14ac:dyDescent="0.2">
      <c r="A748" s="3" t="s">
        <v>74</v>
      </c>
      <c r="H748" s="2">
        <f t="shared" si="11"/>
        <v>0</v>
      </c>
    </row>
    <row r="749" spans="1:8" x14ac:dyDescent="0.2">
      <c r="A749" s="3" t="s">
        <v>74</v>
      </c>
      <c r="H749" s="2">
        <f t="shared" si="11"/>
        <v>0</v>
      </c>
    </row>
    <row r="750" spans="1:8" x14ac:dyDescent="0.2">
      <c r="A750" s="3" t="s">
        <v>74</v>
      </c>
      <c r="H750" s="2">
        <f t="shared" si="11"/>
        <v>0</v>
      </c>
    </row>
    <row r="751" spans="1:8" x14ac:dyDescent="0.2">
      <c r="A751" s="3" t="s">
        <v>74</v>
      </c>
      <c r="H751" s="2">
        <f t="shared" si="11"/>
        <v>0</v>
      </c>
    </row>
    <row r="752" spans="1:8" x14ac:dyDescent="0.2">
      <c r="A752" s="3" t="s">
        <v>74</v>
      </c>
      <c r="H752" s="2">
        <f t="shared" si="11"/>
        <v>0</v>
      </c>
    </row>
    <row r="753" spans="1:8" x14ac:dyDescent="0.2">
      <c r="A753" s="3" t="s">
        <v>74</v>
      </c>
      <c r="H753" s="2">
        <f t="shared" si="11"/>
        <v>0</v>
      </c>
    </row>
    <row r="754" spans="1:8" x14ac:dyDescent="0.2">
      <c r="A754" s="3" t="s">
        <v>74</v>
      </c>
      <c r="H754" s="2">
        <f t="shared" si="11"/>
        <v>0</v>
      </c>
    </row>
    <row r="755" spans="1:8" x14ac:dyDescent="0.2">
      <c r="A755" s="3" t="s">
        <v>74</v>
      </c>
      <c r="H755" s="2">
        <f t="shared" si="11"/>
        <v>0</v>
      </c>
    </row>
    <row r="756" spans="1:8" x14ac:dyDescent="0.2">
      <c r="A756" s="3" t="s">
        <v>74</v>
      </c>
      <c r="H756" s="2">
        <f t="shared" si="11"/>
        <v>0</v>
      </c>
    </row>
    <row r="757" spans="1:8" x14ac:dyDescent="0.2">
      <c r="A757" s="3" t="s">
        <v>74</v>
      </c>
      <c r="H757" s="2">
        <f t="shared" si="11"/>
        <v>0</v>
      </c>
    </row>
    <row r="758" spans="1:8" x14ac:dyDescent="0.2">
      <c r="A758" s="3" t="s">
        <v>74</v>
      </c>
      <c r="H758" s="2">
        <f t="shared" si="11"/>
        <v>0</v>
      </c>
    </row>
    <row r="759" spans="1:8" x14ac:dyDescent="0.2">
      <c r="A759" s="3" t="s">
        <v>74</v>
      </c>
      <c r="H759" s="2">
        <f t="shared" si="11"/>
        <v>0</v>
      </c>
    </row>
    <row r="760" spans="1:8" x14ac:dyDescent="0.2">
      <c r="A760" s="3" t="s">
        <v>74</v>
      </c>
      <c r="H760" s="2">
        <f t="shared" si="11"/>
        <v>0</v>
      </c>
    </row>
    <row r="761" spans="1:8" x14ac:dyDescent="0.2">
      <c r="A761" s="3" t="s">
        <v>74</v>
      </c>
      <c r="H761" s="2">
        <f t="shared" si="11"/>
        <v>0</v>
      </c>
    </row>
    <row r="762" spans="1:8" x14ac:dyDescent="0.2">
      <c r="A762" s="3" t="s">
        <v>74</v>
      </c>
      <c r="H762" s="2">
        <f t="shared" si="11"/>
        <v>0</v>
      </c>
    </row>
    <row r="763" spans="1:8" x14ac:dyDescent="0.2">
      <c r="A763" s="3" t="s">
        <v>74</v>
      </c>
      <c r="H763" s="2">
        <f t="shared" si="11"/>
        <v>0</v>
      </c>
    </row>
    <row r="764" spans="1:8" x14ac:dyDescent="0.2">
      <c r="A764" s="3" t="s">
        <v>74</v>
      </c>
      <c r="H764" s="2">
        <f t="shared" si="11"/>
        <v>0</v>
      </c>
    </row>
    <row r="765" spans="1:8" x14ac:dyDescent="0.2">
      <c r="A765" s="3" t="s">
        <v>74</v>
      </c>
      <c r="H765" s="2">
        <f t="shared" si="11"/>
        <v>0</v>
      </c>
    </row>
    <row r="766" spans="1:8" x14ac:dyDescent="0.2">
      <c r="A766" s="3" t="s">
        <v>74</v>
      </c>
      <c r="H766" s="2">
        <f t="shared" si="11"/>
        <v>0</v>
      </c>
    </row>
    <row r="767" spans="1:8" x14ac:dyDescent="0.2">
      <c r="A767" s="3" t="s">
        <v>74</v>
      </c>
      <c r="H767" s="2">
        <f t="shared" si="11"/>
        <v>0</v>
      </c>
    </row>
    <row r="768" spans="1:8" x14ac:dyDescent="0.2">
      <c r="A768" s="3" t="s">
        <v>74</v>
      </c>
      <c r="H768" s="2">
        <f t="shared" si="11"/>
        <v>0</v>
      </c>
    </row>
    <row r="769" spans="1:8" x14ac:dyDescent="0.2">
      <c r="A769" s="3" t="s">
        <v>74</v>
      </c>
      <c r="H769" s="2">
        <f t="shared" si="11"/>
        <v>0</v>
      </c>
    </row>
    <row r="770" spans="1:8" x14ac:dyDescent="0.2">
      <c r="A770" s="3" t="s">
        <v>74</v>
      </c>
      <c r="H770" s="2">
        <f t="shared" ref="H770:H833" si="12">IF(A797="Gestion",F770*1,0)</f>
        <v>0</v>
      </c>
    </row>
    <row r="771" spans="1:8" x14ac:dyDescent="0.2">
      <c r="A771" s="3" t="s">
        <v>74</v>
      </c>
      <c r="H771" s="2">
        <f t="shared" si="12"/>
        <v>0</v>
      </c>
    </row>
    <row r="772" spans="1:8" x14ac:dyDescent="0.2">
      <c r="A772" s="3" t="s">
        <v>74</v>
      </c>
      <c r="H772" s="2">
        <f t="shared" si="12"/>
        <v>0</v>
      </c>
    </row>
    <row r="773" spans="1:8" x14ac:dyDescent="0.2">
      <c r="A773" s="3" t="s">
        <v>74</v>
      </c>
      <c r="H773" s="2">
        <f t="shared" si="12"/>
        <v>0</v>
      </c>
    </row>
    <row r="774" spans="1:8" x14ac:dyDescent="0.2">
      <c r="A774" s="3" t="s">
        <v>74</v>
      </c>
      <c r="H774" s="2">
        <f t="shared" si="12"/>
        <v>0</v>
      </c>
    </row>
    <row r="775" spans="1:8" x14ac:dyDescent="0.2">
      <c r="A775" s="3" t="s">
        <v>74</v>
      </c>
      <c r="H775" s="2">
        <f t="shared" si="12"/>
        <v>0</v>
      </c>
    </row>
    <row r="776" spans="1:8" x14ac:dyDescent="0.2">
      <c r="A776" s="3" t="s">
        <v>74</v>
      </c>
      <c r="H776" s="2">
        <f t="shared" si="12"/>
        <v>0</v>
      </c>
    </row>
    <row r="777" spans="1:8" x14ac:dyDescent="0.2">
      <c r="A777" s="3" t="s">
        <v>74</v>
      </c>
      <c r="H777" s="2">
        <f t="shared" si="12"/>
        <v>0</v>
      </c>
    </row>
    <row r="778" spans="1:8" x14ac:dyDescent="0.2">
      <c r="A778" s="3" t="s">
        <v>74</v>
      </c>
      <c r="H778" s="2">
        <f t="shared" si="12"/>
        <v>0</v>
      </c>
    </row>
    <row r="779" spans="1:8" x14ac:dyDescent="0.2">
      <c r="A779" s="3" t="s">
        <v>74</v>
      </c>
      <c r="H779" s="2">
        <f t="shared" si="12"/>
        <v>0</v>
      </c>
    </row>
    <row r="780" spans="1:8" x14ac:dyDescent="0.2">
      <c r="A780" s="3" t="s">
        <v>74</v>
      </c>
      <c r="H780" s="2">
        <f t="shared" si="12"/>
        <v>0</v>
      </c>
    </row>
    <row r="781" spans="1:8" x14ac:dyDescent="0.2">
      <c r="A781" s="3" t="s">
        <v>74</v>
      </c>
      <c r="H781" s="2">
        <f t="shared" si="12"/>
        <v>0</v>
      </c>
    </row>
    <row r="782" spans="1:8" x14ac:dyDescent="0.2">
      <c r="A782" s="3" t="s">
        <v>74</v>
      </c>
      <c r="H782" s="2">
        <f t="shared" si="12"/>
        <v>0</v>
      </c>
    </row>
    <row r="783" spans="1:8" x14ac:dyDescent="0.2">
      <c r="A783" s="3" t="s">
        <v>74</v>
      </c>
      <c r="H783" s="2">
        <f t="shared" si="12"/>
        <v>0</v>
      </c>
    </row>
    <row r="784" spans="1:8" x14ac:dyDescent="0.2">
      <c r="A784" s="3" t="s">
        <v>74</v>
      </c>
      <c r="H784" s="2">
        <f t="shared" si="12"/>
        <v>0</v>
      </c>
    </row>
    <row r="785" spans="1:8" x14ac:dyDescent="0.2">
      <c r="A785" s="3" t="s">
        <v>74</v>
      </c>
      <c r="H785" s="2">
        <f t="shared" si="12"/>
        <v>0</v>
      </c>
    </row>
    <row r="786" spans="1:8" x14ac:dyDescent="0.2">
      <c r="A786" s="3" t="s">
        <v>74</v>
      </c>
      <c r="H786" s="2">
        <f t="shared" si="12"/>
        <v>0</v>
      </c>
    </row>
    <row r="787" spans="1:8" x14ac:dyDescent="0.2">
      <c r="A787" s="3" t="s">
        <v>74</v>
      </c>
      <c r="H787" s="2">
        <f t="shared" si="12"/>
        <v>0</v>
      </c>
    </row>
    <row r="788" spans="1:8" x14ac:dyDescent="0.2">
      <c r="A788" s="3" t="s">
        <v>74</v>
      </c>
      <c r="H788" s="2">
        <f t="shared" si="12"/>
        <v>0</v>
      </c>
    </row>
    <row r="789" spans="1:8" x14ac:dyDescent="0.2">
      <c r="A789" s="3" t="s">
        <v>74</v>
      </c>
      <c r="H789" s="2">
        <f t="shared" si="12"/>
        <v>0</v>
      </c>
    </row>
    <row r="790" spans="1:8" x14ac:dyDescent="0.2">
      <c r="A790" s="3" t="s">
        <v>74</v>
      </c>
      <c r="H790" s="2">
        <f t="shared" si="12"/>
        <v>0</v>
      </c>
    </row>
    <row r="791" spans="1:8" x14ac:dyDescent="0.2">
      <c r="A791" s="3" t="s">
        <v>74</v>
      </c>
      <c r="H791" s="2">
        <f t="shared" si="12"/>
        <v>0</v>
      </c>
    </row>
    <row r="792" spans="1:8" x14ac:dyDescent="0.2">
      <c r="A792" s="3" t="s">
        <v>74</v>
      </c>
      <c r="H792" s="2">
        <f t="shared" si="12"/>
        <v>0</v>
      </c>
    </row>
    <row r="793" spans="1:8" x14ac:dyDescent="0.2">
      <c r="A793" s="3" t="s">
        <v>74</v>
      </c>
      <c r="H793" s="2">
        <f t="shared" si="12"/>
        <v>0</v>
      </c>
    </row>
    <row r="794" spans="1:8" x14ac:dyDescent="0.2">
      <c r="A794" s="3" t="s">
        <v>74</v>
      </c>
      <c r="H794" s="2">
        <f t="shared" si="12"/>
        <v>0</v>
      </c>
    </row>
    <row r="795" spans="1:8" x14ac:dyDescent="0.2">
      <c r="A795" s="3" t="s">
        <v>74</v>
      </c>
      <c r="H795" s="2">
        <f t="shared" si="12"/>
        <v>0</v>
      </c>
    </row>
    <row r="796" spans="1:8" x14ac:dyDescent="0.2">
      <c r="A796" s="3" t="s">
        <v>74</v>
      </c>
      <c r="H796" s="2">
        <f t="shared" si="12"/>
        <v>0</v>
      </c>
    </row>
    <row r="797" spans="1:8" x14ac:dyDescent="0.2">
      <c r="A797" s="3" t="s">
        <v>74</v>
      </c>
      <c r="H797" s="2">
        <f t="shared" si="12"/>
        <v>0</v>
      </c>
    </row>
    <row r="798" spans="1:8" x14ac:dyDescent="0.2">
      <c r="A798" s="3" t="s">
        <v>74</v>
      </c>
      <c r="H798" s="2">
        <f t="shared" si="12"/>
        <v>0</v>
      </c>
    </row>
    <row r="799" spans="1:8" x14ac:dyDescent="0.2">
      <c r="A799" s="3" t="s">
        <v>74</v>
      </c>
      <c r="H799" s="2">
        <f t="shared" si="12"/>
        <v>0</v>
      </c>
    </row>
    <row r="800" spans="1:8" x14ac:dyDescent="0.2">
      <c r="A800" s="3" t="s">
        <v>74</v>
      </c>
      <c r="H800" s="2">
        <f t="shared" si="12"/>
        <v>0</v>
      </c>
    </row>
    <row r="801" spans="1:8" x14ac:dyDescent="0.2">
      <c r="A801" s="3" t="s">
        <v>74</v>
      </c>
      <c r="H801" s="2">
        <f t="shared" si="12"/>
        <v>0</v>
      </c>
    </row>
    <row r="802" spans="1:8" x14ac:dyDescent="0.2">
      <c r="A802" s="3" t="s">
        <v>74</v>
      </c>
      <c r="H802" s="2">
        <f t="shared" si="12"/>
        <v>0</v>
      </c>
    </row>
    <row r="803" spans="1:8" x14ac:dyDescent="0.2">
      <c r="A803" s="3" t="s">
        <v>74</v>
      </c>
      <c r="H803" s="2">
        <f t="shared" si="12"/>
        <v>0</v>
      </c>
    </row>
    <row r="804" spans="1:8" x14ac:dyDescent="0.2">
      <c r="A804" s="3" t="s">
        <v>74</v>
      </c>
      <c r="H804" s="2">
        <f t="shared" si="12"/>
        <v>0</v>
      </c>
    </row>
    <row r="805" spans="1:8" x14ac:dyDescent="0.2">
      <c r="A805" s="3" t="s">
        <v>74</v>
      </c>
      <c r="H805" s="2">
        <f t="shared" si="12"/>
        <v>0</v>
      </c>
    </row>
    <row r="806" spans="1:8" x14ac:dyDescent="0.2">
      <c r="A806" s="3" t="s">
        <v>74</v>
      </c>
      <c r="H806" s="2">
        <f t="shared" si="12"/>
        <v>0</v>
      </c>
    </row>
    <row r="807" spans="1:8" x14ac:dyDescent="0.2">
      <c r="A807" s="3" t="s">
        <v>74</v>
      </c>
      <c r="H807" s="2">
        <f t="shared" si="12"/>
        <v>0</v>
      </c>
    </row>
    <row r="808" spans="1:8" x14ac:dyDescent="0.2">
      <c r="A808" s="3" t="s">
        <v>74</v>
      </c>
      <c r="H808" s="2">
        <f t="shared" si="12"/>
        <v>0</v>
      </c>
    </row>
    <row r="809" spans="1:8" x14ac:dyDescent="0.2">
      <c r="A809" s="3" t="s">
        <v>74</v>
      </c>
      <c r="H809" s="2">
        <f t="shared" si="12"/>
        <v>0</v>
      </c>
    </row>
    <row r="810" spans="1:8" x14ac:dyDescent="0.2">
      <c r="A810" s="3" t="s">
        <v>74</v>
      </c>
      <c r="H810" s="2">
        <f t="shared" si="12"/>
        <v>0</v>
      </c>
    </row>
    <row r="811" spans="1:8" x14ac:dyDescent="0.2">
      <c r="A811" s="3" t="s">
        <v>74</v>
      </c>
      <c r="H811" s="2">
        <f t="shared" si="12"/>
        <v>0</v>
      </c>
    </row>
    <row r="812" spans="1:8" x14ac:dyDescent="0.2">
      <c r="A812" s="3" t="s">
        <v>74</v>
      </c>
      <c r="H812" s="2">
        <f t="shared" si="12"/>
        <v>0</v>
      </c>
    </row>
    <row r="813" spans="1:8" x14ac:dyDescent="0.2">
      <c r="A813" s="3" t="s">
        <v>74</v>
      </c>
      <c r="H813" s="2">
        <f t="shared" si="12"/>
        <v>0</v>
      </c>
    </row>
    <row r="814" spans="1:8" x14ac:dyDescent="0.2">
      <c r="A814" s="3" t="s">
        <v>74</v>
      </c>
      <c r="H814" s="2">
        <f t="shared" si="12"/>
        <v>0</v>
      </c>
    </row>
    <row r="815" spans="1:8" x14ac:dyDescent="0.2">
      <c r="A815" s="3" t="s">
        <v>74</v>
      </c>
      <c r="H815" s="2">
        <f t="shared" si="12"/>
        <v>0</v>
      </c>
    </row>
    <row r="816" spans="1:8" x14ac:dyDescent="0.2">
      <c r="A816" s="3" t="s">
        <v>74</v>
      </c>
      <c r="H816" s="2">
        <f t="shared" si="12"/>
        <v>0</v>
      </c>
    </row>
    <row r="817" spans="1:8" x14ac:dyDescent="0.2">
      <c r="A817" s="3" t="s">
        <v>74</v>
      </c>
      <c r="H817" s="2">
        <f t="shared" si="12"/>
        <v>0</v>
      </c>
    </row>
    <row r="818" spans="1:8" x14ac:dyDescent="0.2">
      <c r="A818" s="3" t="s">
        <v>74</v>
      </c>
      <c r="H818" s="2">
        <f t="shared" si="12"/>
        <v>0</v>
      </c>
    </row>
    <row r="819" spans="1:8" x14ac:dyDescent="0.2">
      <c r="A819" s="3" t="s">
        <v>74</v>
      </c>
      <c r="H819" s="2">
        <f t="shared" si="12"/>
        <v>0</v>
      </c>
    </row>
    <row r="820" spans="1:8" x14ac:dyDescent="0.2">
      <c r="A820" s="3" t="s">
        <v>74</v>
      </c>
      <c r="H820" s="2">
        <f t="shared" si="12"/>
        <v>0</v>
      </c>
    </row>
    <row r="821" spans="1:8" x14ac:dyDescent="0.2">
      <c r="A821" s="3" t="s">
        <v>74</v>
      </c>
      <c r="H821" s="2">
        <f t="shared" si="12"/>
        <v>0</v>
      </c>
    </row>
    <row r="822" spans="1:8" x14ac:dyDescent="0.2">
      <c r="A822" s="3" t="s">
        <v>74</v>
      </c>
      <c r="H822" s="2">
        <f t="shared" si="12"/>
        <v>0</v>
      </c>
    </row>
    <row r="823" spans="1:8" x14ac:dyDescent="0.2">
      <c r="A823" s="3" t="s">
        <v>74</v>
      </c>
      <c r="H823" s="2">
        <f t="shared" si="12"/>
        <v>0</v>
      </c>
    </row>
    <row r="824" spans="1:8" x14ac:dyDescent="0.2">
      <c r="A824" s="3" t="s">
        <v>74</v>
      </c>
      <c r="H824" s="2">
        <f t="shared" si="12"/>
        <v>0</v>
      </c>
    </row>
    <row r="825" spans="1:8" x14ac:dyDescent="0.2">
      <c r="A825" s="3" t="s">
        <v>74</v>
      </c>
      <c r="H825" s="2">
        <f t="shared" si="12"/>
        <v>0</v>
      </c>
    </row>
    <row r="826" spans="1:8" x14ac:dyDescent="0.2">
      <c r="A826" s="3" t="s">
        <v>74</v>
      </c>
      <c r="H826" s="2">
        <f t="shared" si="12"/>
        <v>0</v>
      </c>
    </row>
    <row r="827" spans="1:8" x14ac:dyDescent="0.2">
      <c r="A827" s="3" t="s">
        <v>74</v>
      </c>
      <c r="H827" s="2">
        <f t="shared" si="12"/>
        <v>0</v>
      </c>
    </row>
    <row r="828" spans="1:8" x14ac:dyDescent="0.2">
      <c r="A828" s="3" t="s">
        <v>74</v>
      </c>
      <c r="H828" s="2">
        <f t="shared" si="12"/>
        <v>0</v>
      </c>
    </row>
    <row r="829" spans="1:8" x14ac:dyDescent="0.2">
      <c r="A829" s="3" t="s">
        <v>74</v>
      </c>
      <c r="H829" s="2">
        <f t="shared" si="12"/>
        <v>0</v>
      </c>
    </row>
    <row r="830" spans="1:8" x14ac:dyDescent="0.2">
      <c r="A830" s="3" t="s">
        <v>74</v>
      </c>
      <c r="H830" s="2">
        <f t="shared" si="12"/>
        <v>0</v>
      </c>
    </row>
    <row r="831" spans="1:8" x14ac:dyDescent="0.2">
      <c r="A831" s="3" t="s">
        <v>74</v>
      </c>
      <c r="H831" s="2">
        <f t="shared" si="12"/>
        <v>0</v>
      </c>
    </row>
    <row r="832" spans="1:8" x14ac:dyDescent="0.2">
      <c r="A832" s="3" t="s">
        <v>74</v>
      </c>
      <c r="H832" s="2">
        <f t="shared" si="12"/>
        <v>0</v>
      </c>
    </row>
    <row r="833" spans="1:8" x14ac:dyDescent="0.2">
      <c r="A833" s="3" t="s">
        <v>74</v>
      </c>
      <c r="H833" s="2">
        <f t="shared" si="12"/>
        <v>0</v>
      </c>
    </row>
    <row r="834" spans="1:8" x14ac:dyDescent="0.2">
      <c r="A834" s="3" t="s">
        <v>74</v>
      </c>
      <c r="H834" s="2">
        <f t="shared" ref="H834:H875" si="13">IF(A861="Gestion",F834*1,0)</f>
        <v>0</v>
      </c>
    </row>
    <row r="835" spans="1:8" x14ac:dyDescent="0.2">
      <c r="A835" s="3" t="s">
        <v>74</v>
      </c>
      <c r="H835" s="2">
        <f t="shared" si="13"/>
        <v>0</v>
      </c>
    </row>
    <row r="836" spans="1:8" x14ac:dyDescent="0.2">
      <c r="A836" s="3" t="s">
        <v>74</v>
      </c>
      <c r="H836" s="2">
        <f t="shared" si="13"/>
        <v>0</v>
      </c>
    </row>
    <row r="837" spans="1:8" x14ac:dyDescent="0.2">
      <c r="A837" s="3" t="s">
        <v>74</v>
      </c>
      <c r="H837" s="2">
        <f t="shared" si="13"/>
        <v>0</v>
      </c>
    </row>
    <row r="838" spans="1:8" x14ac:dyDescent="0.2">
      <c r="A838" s="3" t="s">
        <v>74</v>
      </c>
      <c r="H838" s="2">
        <f t="shared" si="13"/>
        <v>0</v>
      </c>
    </row>
    <row r="839" spans="1:8" x14ac:dyDescent="0.2">
      <c r="A839" s="3" t="s">
        <v>74</v>
      </c>
      <c r="H839" s="2">
        <f t="shared" si="13"/>
        <v>0</v>
      </c>
    </row>
    <row r="840" spans="1:8" x14ac:dyDescent="0.2">
      <c r="A840" s="3" t="s">
        <v>74</v>
      </c>
      <c r="H840" s="2">
        <f t="shared" si="13"/>
        <v>0</v>
      </c>
    </row>
    <row r="841" spans="1:8" x14ac:dyDescent="0.2">
      <c r="A841" s="3" t="s">
        <v>74</v>
      </c>
      <c r="H841" s="2">
        <f t="shared" si="13"/>
        <v>0</v>
      </c>
    </row>
    <row r="842" spans="1:8" x14ac:dyDescent="0.2">
      <c r="A842" s="3" t="s">
        <v>74</v>
      </c>
      <c r="H842" s="2">
        <f t="shared" si="13"/>
        <v>0</v>
      </c>
    </row>
    <row r="843" spans="1:8" x14ac:dyDescent="0.2">
      <c r="A843" s="3" t="s">
        <v>74</v>
      </c>
      <c r="H843" s="2">
        <f t="shared" si="13"/>
        <v>0</v>
      </c>
    </row>
    <row r="844" spans="1:8" x14ac:dyDescent="0.2">
      <c r="A844" s="3" t="s">
        <v>74</v>
      </c>
      <c r="H844" s="2">
        <f t="shared" si="13"/>
        <v>0</v>
      </c>
    </row>
    <row r="845" spans="1:8" x14ac:dyDescent="0.2">
      <c r="A845" s="3" t="s">
        <v>74</v>
      </c>
      <c r="H845" s="2">
        <f t="shared" si="13"/>
        <v>0</v>
      </c>
    </row>
    <row r="846" spans="1:8" x14ac:dyDescent="0.2">
      <c r="A846" s="3" t="s">
        <v>74</v>
      </c>
      <c r="H846" s="2">
        <f t="shared" si="13"/>
        <v>0</v>
      </c>
    </row>
    <row r="847" spans="1:8" x14ac:dyDescent="0.2">
      <c r="A847" s="3" t="s">
        <v>74</v>
      </c>
      <c r="H847" s="2">
        <f t="shared" si="13"/>
        <v>0</v>
      </c>
    </row>
    <row r="848" spans="1:8" x14ac:dyDescent="0.2">
      <c r="A848" s="3" t="s">
        <v>74</v>
      </c>
      <c r="H848" s="2">
        <f t="shared" si="13"/>
        <v>0</v>
      </c>
    </row>
    <row r="849" spans="1:8" x14ac:dyDescent="0.2">
      <c r="A849" s="3" t="s">
        <v>74</v>
      </c>
      <c r="H849" s="2">
        <f t="shared" si="13"/>
        <v>0</v>
      </c>
    </row>
    <row r="850" spans="1:8" x14ac:dyDescent="0.2">
      <c r="A850" s="3" t="s">
        <v>74</v>
      </c>
      <c r="H850" s="2">
        <f t="shared" si="13"/>
        <v>0</v>
      </c>
    </row>
    <row r="851" spans="1:8" x14ac:dyDescent="0.2">
      <c r="A851" s="3" t="s">
        <v>74</v>
      </c>
      <c r="H851" s="2">
        <f t="shared" si="13"/>
        <v>0</v>
      </c>
    </row>
    <row r="852" spans="1:8" x14ac:dyDescent="0.2">
      <c r="A852" s="3" t="s">
        <v>74</v>
      </c>
      <c r="H852" s="2">
        <f t="shared" si="13"/>
        <v>0</v>
      </c>
    </row>
    <row r="853" spans="1:8" x14ac:dyDescent="0.2">
      <c r="A853" s="3" t="s">
        <v>74</v>
      </c>
      <c r="H853" s="2">
        <f t="shared" si="13"/>
        <v>0</v>
      </c>
    </row>
    <row r="854" spans="1:8" x14ac:dyDescent="0.2">
      <c r="A854" s="3" t="s">
        <v>74</v>
      </c>
      <c r="H854" s="2">
        <f t="shared" si="13"/>
        <v>0</v>
      </c>
    </row>
    <row r="855" spans="1:8" x14ac:dyDescent="0.2">
      <c r="A855" s="3" t="s">
        <v>74</v>
      </c>
      <c r="H855" s="2">
        <f t="shared" si="13"/>
        <v>0</v>
      </c>
    </row>
    <row r="856" spans="1:8" x14ac:dyDescent="0.2">
      <c r="A856" s="3" t="s">
        <v>74</v>
      </c>
      <c r="H856" s="2">
        <f t="shared" si="13"/>
        <v>0</v>
      </c>
    </row>
    <row r="857" spans="1:8" x14ac:dyDescent="0.2">
      <c r="A857" s="3" t="s">
        <v>74</v>
      </c>
      <c r="H857" s="2">
        <f t="shared" si="13"/>
        <v>0</v>
      </c>
    </row>
    <row r="858" spans="1:8" x14ac:dyDescent="0.2">
      <c r="A858" s="3" t="s">
        <v>74</v>
      </c>
      <c r="H858" s="2">
        <f t="shared" si="13"/>
        <v>0</v>
      </c>
    </row>
    <row r="859" spans="1:8" x14ac:dyDescent="0.2">
      <c r="A859" s="3" t="s">
        <v>74</v>
      </c>
      <c r="H859" s="2">
        <f t="shared" si="13"/>
        <v>0</v>
      </c>
    </row>
    <row r="860" spans="1:8" x14ac:dyDescent="0.2">
      <c r="A860" s="3" t="s">
        <v>74</v>
      </c>
      <c r="H860" s="2">
        <f t="shared" si="13"/>
        <v>0</v>
      </c>
    </row>
    <row r="861" spans="1:8" x14ac:dyDescent="0.2">
      <c r="A861" s="3" t="s">
        <v>74</v>
      </c>
      <c r="H861" s="2">
        <f t="shared" si="13"/>
        <v>0</v>
      </c>
    </row>
    <row r="862" spans="1:8" x14ac:dyDescent="0.2">
      <c r="A862" s="3" t="s">
        <v>74</v>
      </c>
      <c r="H862" s="2">
        <f t="shared" si="13"/>
        <v>0</v>
      </c>
    </row>
    <row r="863" spans="1:8" x14ac:dyDescent="0.2">
      <c r="A863" s="3" t="s">
        <v>74</v>
      </c>
      <c r="H863" s="2">
        <f t="shared" si="13"/>
        <v>0</v>
      </c>
    </row>
    <row r="864" spans="1:8" x14ac:dyDescent="0.2">
      <c r="A864" s="3" t="s">
        <v>74</v>
      </c>
      <c r="H864" s="2">
        <f t="shared" si="13"/>
        <v>0</v>
      </c>
    </row>
    <row r="865" spans="1:8" x14ac:dyDescent="0.2">
      <c r="A865" s="3" t="s">
        <v>74</v>
      </c>
      <c r="H865" s="2">
        <f t="shared" si="13"/>
        <v>0</v>
      </c>
    </row>
    <row r="866" spans="1:8" x14ac:dyDescent="0.2">
      <c r="A866" s="3" t="s">
        <v>74</v>
      </c>
      <c r="H866" s="2">
        <f t="shared" si="13"/>
        <v>0</v>
      </c>
    </row>
    <row r="867" spans="1:8" x14ac:dyDescent="0.2">
      <c r="A867" s="3" t="s">
        <v>74</v>
      </c>
      <c r="H867" s="2">
        <f t="shared" si="13"/>
        <v>0</v>
      </c>
    </row>
    <row r="868" spans="1:8" x14ac:dyDescent="0.2">
      <c r="A868" s="3" t="s">
        <v>74</v>
      </c>
      <c r="H868" s="2">
        <f t="shared" si="13"/>
        <v>0</v>
      </c>
    </row>
    <row r="869" spans="1:8" x14ac:dyDescent="0.2">
      <c r="A869" s="3" t="s">
        <v>74</v>
      </c>
      <c r="H869" s="2">
        <f t="shared" si="13"/>
        <v>0</v>
      </c>
    </row>
    <row r="870" spans="1:8" x14ac:dyDescent="0.2">
      <c r="A870" s="3" t="s">
        <v>74</v>
      </c>
      <c r="H870" s="2">
        <f t="shared" si="13"/>
        <v>0</v>
      </c>
    </row>
    <row r="871" spans="1:8" x14ac:dyDescent="0.2">
      <c r="A871" s="3" t="s">
        <v>74</v>
      </c>
      <c r="H871" s="2">
        <f t="shared" si="13"/>
        <v>0</v>
      </c>
    </row>
    <row r="872" spans="1:8" x14ac:dyDescent="0.2">
      <c r="A872" s="3" t="s">
        <v>74</v>
      </c>
      <c r="H872" s="2">
        <f t="shared" si="13"/>
        <v>0</v>
      </c>
    </row>
    <row r="873" spans="1:8" x14ac:dyDescent="0.2">
      <c r="A873" s="3" t="s">
        <v>74</v>
      </c>
      <c r="H873" s="2">
        <f t="shared" si="13"/>
        <v>0</v>
      </c>
    </row>
    <row r="874" spans="1:8" x14ac:dyDescent="0.2">
      <c r="A874" s="3" t="s">
        <v>74</v>
      </c>
      <c r="H874" s="2">
        <f t="shared" si="13"/>
        <v>0</v>
      </c>
    </row>
    <row r="875" spans="1:8" x14ac:dyDescent="0.2">
      <c r="A875" s="3" t="s">
        <v>74</v>
      </c>
      <c r="H875" s="2">
        <f t="shared" si="13"/>
        <v>0</v>
      </c>
    </row>
    <row r="876" spans="1:8" x14ac:dyDescent="0.2">
      <c r="A876" s="3" t="s">
        <v>74</v>
      </c>
    </row>
    <row r="877" spans="1:8" x14ac:dyDescent="0.2">
      <c r="A877" s="3" t="s">
        <v>74</v>
      </c>
    </row>
    <row r="878" spans="1:8" x14ac:dyDescent="0.2">
      <c r="A878" s="3" t="s">
        <v>74</v>
      </c>
    </row>
    <row r="879" spans="1:8" x14ac:dyDescent="0.2">
      <c r="A879" s="3" t="s">
        <v>74</v>
      </c>
    </row>
    <row r="880" spans="1:8" x14ac:dyDescent="0.2">
      <c r="A880" s="3" t="s">
        <v>74</v>
      </c>
    </row>
    <row r="881" spans="1:1" x14ac:dyDescent="0.2">
      <c r="A881" s="3" t="s">
        <v>74</v>
      </c>
    </row>
    <row r="882" spans="1:1" x14ac:dyDescent="0.2">
      <c r="A882" s="3" t="s">
        <v>74</v>
      </c>
    </row>
    <row r="883" spans="1:1" x14ac:dyDescent="0.2">
      <c r="A883" s="3" t="s">
        <v>74</v>
      </c>
    </row>
    <row r="884" spans="1:1" x14ac:dyDescent="0.2">
      <c r="A884" s="3" t="s">
        <v>74</v>
      </c>
    </row>
    <row r="885" spans="1:1" x14ac:dyDescent="0.2">
      <c r="A885" s="3" t="s">
        <v>74</v>
      </c>
    </row>
    <row r="886" spans="1:1" x14ac:dyDescent="0.2">
      <c r="A886" s="3" t="s">
        <v>74</v>
      </c>
    </row>
    <row r="887" spans="1:1" x14ac:dyDescent="0.2">
      <c r="A887" s="3" t="s">
        <v>74</v>
      </c>
    </row>
    <row r="888" spans="1:1" x14ac:dyDescent="0.2">
      <c r="A888" s="3" t="s">
        <v>74</v>
      </c>
    </row>
    <row r="889" spans="1:1" x14ac:dyDescent="0.2">
      <c r="A889" s="3" t="s">
        <v>74</v>
      </c>
    </row>
    <row r="890" spans="1:1" x14ac:dyDescent="0.2">
      <c r="A890" s="3" t="s">
        <v>74</v>
      </c>
    </row>
    <row r="891" spans="1:1" x14ac:dyDescent="0.2">
      <c r="A891" s="3" t="s">
        <v>74</v>
      </c>
    </row>
    <row r="892" spans="1:1" x14ac:dyDescent="0.2">
      <c r="A892" s="3" t="s">
        <v>74</v>
      </c>
    </row>
    <row r="893" spans="1:1" x14ac:dyDescent="0.2">
      <c r="A893" s="3" t="s">
        <v>74</v>
      </c>
    </row>
    <row r="894" spans="1:1" x14ac:dyDescent="0.2">
      <c r="A894" s="3" t="s">
        <v>74</v>
      </c>
    </row>
    <row r="895" spans="1:1" x14ac:dyDescent="0.2">
      <c r="A895" s="3" t="s">
        <v>74</v>
      </c>
    </row>
    <row r="896" spans="1:1" x14ac:dyDescent="0.2">
      <c r="A896" s="3" t="s">
        <v>74</v>
      </c>
    </row>
    <row r="897" spans="1:1" x14ac:dyDescent="0.2">
      <c r="A897" s="3" t="s">
        <v>74</v>
      </c>
    </row>
    <row r="898" spans="1:1" x14ac:dyDescent="0.2">
      <c r="A898" s="3" t="s">
        <v>74</v>
      </c>
    </row>
    <row r="899" spans="1:1" x14ac:dyDescent="0.2">
      <c r="A899" s="3" t="s">
        <v>74</v>
      </c>
    </row>
    <row r="900" spans="1:1" x14ac:dyDescent="0.2">
      <c r="A900" s="3" t="s">
        <v>74</v>
      </c>
    </row>
    <row r="901" spans="1:1" x14ac:dyDescent="0.2">
      <c r="A901" s="3" t="s">
        <v>74</v>
      </c>
    </row>
    <row r="902" spans="1:1" x14ac:dyDescent="0.2">
      <c r="A902" s="3" t="s">
        <v>74</v>
      </c>
    </row>
  </sheetData>
  <customSheetViews>
    <customSheetView guid="{FCDC5774-C688-49A7-887C-2F5AAD39761C}" scale="72">
      <selection activeCell="J5" sqref="J5:J100"/>
      <pageMargins left="0.75" right="0.75" top="1" bottom="1" header="0" footer="0"/>
      <pageSetup orientation="portrait" verticalDpi="599" r:id="rId2"/>
      <headerFooter alignWithMargins="0"/>
    </customSheetView>
    <customSheetView guid="{A92C6C20-72AA-4220-B3AA-00E51E3C498A}" scale="72">
      <selection activeCell="J5" sqref="J5:J100"/>
      <pageMargins left="0.75" right="0.75" top="1" bottom="1" header="0" footer="0"/>
      <pageSetup orientation="portrait" verticalDpi="599" r:id="rId3"/>
      <headerFooter alignWithMargins="0"/>
    </customSheetView>
  </customSheetViews>
  <phoneticPr fontId="7" type="noConversion"/>
  <pageMargins left="0.75" right="0.75" top="1" bottom="1" header="0" footer="0"/>
  <pageSetup orientation="portrait" verticalDpi="599" r:id="rId4"/>
  <headerFooter alignWithMargins="0"/>
  <cellWatches>
    <cellWatch r="B17"/>
    <cellWatch r="C17"/>
    <cellWatch r="D17"/>
    <cellWatch r="E17"/>
    <cellWatch r="F17"/>
    <cellWatch r="G17"/>
    <cellWatch r="A6"/>
    <cellWatch r="A7"/>
    <cellWatch r="A8"/>
    <cellWatch r="A9"/>
    <cellWatch r="A10"/>
    <cellWatch r="A11"/>
    <cellWatch r="A12"/>
    <cellWatch r="A13"/>
    <cellWatch r="A14"/>
    <cellWatch r="A15"/>
    <cellWatch r="A16"/>
    <cellWatch r="A17"/>
    <cellWatch r="A18"/>
    <cellWatch r="A19"/>
    <cellWatch r="A20"/>
    <cellWatch r="A21"/>
    <cellWatch r="A22"/>
    <cellWatch r="A23"/>
    <cellWatch r="A24"/>
    <cellWatch r="A25"/>
    <cellWatch r="A26"/>
    <cellWatch r="A27"/>
    <cellWatch r="A28"/>
    <cellWatch r="A29"/>
    <cellWatch r="H2"/>
    <cellWatch r="A30"/>
    <cellWatch r="H3"/>
    <cellWatch r="A31"/>
    <cellWatch r="H4"/>
    <cellWatch r="A32"/>
    <cellWatch r="H5"/>
    <cellWatch r="A33"/>
    <cellWatch r="H6"/>
    <cellWatch r="A34"/>
    <cellWatch r="H7"/>
    <cellWatch r="A35"/>
    <cellWatch r="H8"/>
    <cellWatch r="A36"/>
    <cellWatch r="H9"/>
    <cellWatch r="A37"/>
    <cellWatch r="H10"/>
    <cellWatch r="A38"/>
    <cellWatch r="H11"/>
    <cellWatch r="A39"/>
    <cellWatch r="H12"/>
    <cellWatch r="A40"/>
    <cellWatch r="H13"/>
    <cellWatch r="A41"/>
    <cellWatch r="H14"/>
    <cellWatch r="A42"/>
    <cellWatch r="H15"/>
    <cellWatch r="A43"/>
    <cellWatch r="H16"/>
    <cellWatch r="A44"/>
    <cellWatch r="A45"/>
    <cellWatch r="A46"/>
    <cellWatch r="A47"/>
    <cellWatch r="A48"/>
    <cellWatch r="A49"/>
    <cellWatch r="A50"/>
    <cellWatch r="A51"/>
    <cellWatch r="A52"/>
    <cellWatch r="A53"/>
    <cellWatch r="A54"/>
    <cellWatch r="H27"/>
    <cellWatch r="A55"/>
    <cellWatch r="H17"/>
    <cellWatch r="A56"/>
    <cellWatch r="H18"/>
    <cellWatch r="A57"/>
    <cellWatch r="H19"/>
    <cellWatch r="A58"/>
    <cellWatch r="H20"/>
    <cellWatch r="A59"/>
    <cellWatch r="B21"/>
    <cellWatch r="C21"/>
    <cellWatch r="D21"/>
    <cellWatch r="E21"/>
    <cellWatch r="F21"/>
    <cellWatch r="G21"/>
    <cellWatch r="H21"/>
    <cellWatch r="A60"/>
    <cellWatch r="H22"/>
    <cellWatch r="A61"/>
    <cellWatch r="H23"/>
    <cellWatch r="A62"/>
    <cellWatch r="A63"/>
    <cellWatch r="B36"/>
    <cellWatch r="C36"/>
    <cellWatch r="D36"/>
    <cellWatch r="E36"/>
    <cellWatch r="F36"/>
    <cellWatch r="G36"/>
    <cellWatch r="H36"/>
    <cellWatch r="A64"/>
    <cellWatch r="B37"/>
    <cellWatch r="C37"/>
    <cellWatch r="D37"/>
    <cellWatch r="E37"/>
    <cellWatch r="F37"/>
    <cellWatch r="G37"/>
    <cellWatch r="H37"/>
    <cellWatch r="A65"/>
    <cellWatch r="B38"/>
    <cellWatch r="C38"/>
    <cellWatch r="D38"/>
    <cellWatch r="E38"/>
    <cellWatch r="F38"/>
    <cellWatch r="G38"/>
    <cellWatch r="H38"/>
    <cellWatch r="A66"/>
    <cellWatch r="B39"/>
    <cellWatch r="C39"/>
    <cellWatch r="D39"/>
    <cellWatch r="E39"/>
    <cellWatch r="F39"/>
    <cellWatch r="G39"/>
    <cellWatch r="H39"/>
    <cellWatch r="A67"/>
    <cellWatch r="B40"/>
    <cellWatch r="C40"/>
    <cellWatch r="D40"/>
    <cellWatch r="E40"/>
    <cellWatch r="F40"/>
    <cellWatch r="G40"/>
    <cellWatch r="H40"/>
    <cellWatch r="A68"/>
    <cellWatch r="B41"/>
    <cellWatch r="C41"/>
    <cellWatch r="D41"/>
    <cellWatch r="E41"/>
    <cellWatch r="F41"/>
    <cellWatch r="G41"/>
    <cellWatch r="H41"/>
    <cellWatch r="A69"/>
    <cellWatch r="H42"/>
    <cellWatch r="A70"/>
    <cellWatch r="H43"/>
    <cellWatch r="A71"/>
    <cellWatch r="H44"/>
    <cellWatch r="A72"/>
    <cellWatch r="B45"/>
    <cellWatch r="C45"/>
    <cellWatch r="D45"/>
    <cellWatch r="E45"/>
    <cellWatch r="F45"/>
    <cellWatch r="G45"/>
    <cellWatch r="H45"/>
    <cellWatch r="A73"/>
    <cellWatch r="B46"/>
    <cellWatch r="C46"/>
    <cellWatch r="D46"/>
    <cellWatch r="E46"/>
    <cellWatch r="F46"/>
    <cellWatch r="G46"/>
    <cellWatch r="H46"/>
    <cellWatch r="A74"/>
    <cellWatch r="B47"/>
    <cellWatch r="C47"/>
    <cellWatch r="D47"/>
    <cellWatch r="E47"/>
    <cellWatch r="F47"/>
    <cellWatch r="G47"/>
    <cellWatch r="H47"/>
    <cellWatch r="A75"/>
    <cellWatch r="B48"/>
    <cellWatch r="C48"/>
    <cellWatch r="D48"/>
    <cellWatch r="E48"/>
    <cellWatch r="F48"/>
    <cellWatch r="G48"/>
    <cellWatch r="H48"/>
    <cellWatch r="A76"/>
    <cellWatch r="B49"/>
    <cellWatch r="C49"/>
    <cellWatch r="D49"/>
    <cellWatch r="E49"/>
    <cellWatch r="F49"/>
    <cellWatch r="G49"/>
    <cellWatch r="H49"/>
    <cellWatch r="A77"/>
    <cellWatch r="B50"/>
    <cellWatch r="C50"/>
    <cellWatch r="D50"/>
    <cellWatch r="E50"/>
    <cellWatch r="F50"/>
    <cellWatch r="G50"/>
    <cellWatch r="H50"/>
    <cellWatch r="A78"/>
    <cellWatch r="B51"/>
    <cellWatch r="C51"/>
    <cellWatch r="D51"/>
    <cellWatch r="E51"/>
    <cellWatch r="F51"/>
    <cellWatch r="G51"/>
    <cellWatch r="H51"/>
    <cellWatch r="A79"/>
    <cellWatch r="B52"/>
    <cellWatch r="C52"/>
    <cellWatch r="D52"/>
    <cellWatch r="E52"/>
    <cellWatch r="F52"/>
    <cellWatch r="G52"/>
    <cellWatch r="H52"/>
    <cellWatch r="A80"/>
    <cellWatch r="B53"/>
    <cellWatch r="C53"/>
    <cellWatch r="D53"/>
    <cellWatch r="E53"/>
    <cellWatch r="F53"/>
    <cellWatch r="G53"/>
    <cellWatch r="H53"/>
    <cellWatch r="A81"/>
    <cellWatch r="B54"/>
    <cellWatch r="C54"/>
    <cellWatch r="D54"/>
    <cellWatch r="E54"/>
    <cellWatch r="F54"/>
    <cellWatch r="G54"/>
    <cellWatch r="H54"/>
    <cellWatch r="A82"/>
    <cellWatch r="B55"/>
    <cellWatch r="C55"/>
    <cellWatch r="D55"/>
    <cellWatch r="E55"/>
    <cellWatch r="F55"/>
    <cellWatch r="G55"/>
    <cellWatch r="H55"/>
    <cellWatch r="A83"/>
    <cellWatch r="B56"/>
    <cellWatch r="C56"/>
    <cellWatch r="D56"/>
    <cellWatch r="E56"/>
    <cellWatch r="F56"/>
    <cellWatch r="G56"/>
    <cellWatch r="H56"/>
    <cellWatch r="A84"/>
    <cellWatch r="B57"/>
    <cellWatch r="C57"/>
    <cellWatch r="D57"/>
    <cellWatch r="E57"/>
    <cellWatch r="F57"/>
    <cellWatch r="G57"/>
    <cellWatch r="H57"/>
    <cellWatch r="A85"/>
    <cellWatch r="B58"/>
    <cellWatch r="C58"/>
    <cellWatch r="D58"/>
    <cellWatch r="E58"/>
    <cellWatch r="F58"/>
    <cellWatch r="G58"/>
    <cellWatch r="H58"/>
    <cellWatch r="A86"/>
    <cellWatch r="B59"/>
    <cellWatch r="C59"/>
    <cellWatch r="D59"/>
    <cellWatch r="E59"/>
    <cellWatch r="F59"/>
    <cellWatch r="G59"/>
    <cellWatch r="H59"/>
    <cellWatch r="A87"/>
    <cellWatch r="B60"/>
    <cellWatch r="C60"/>
    <cellWatch r="D60"/>
    <cellWatch r="E60"/>
    <cellWatch r="F60"/>
    <cellWatch r="G60"/>
    <cellWatch r="H60"/>
    <cellWatch r="A88"/>
    <cellWatch r="B61"/>
    <cellWatch r="C61"/>
    <cellWatch r="D61"/>
    <cellWatch r="E61"/>
    <cellWatch r="F61"/>
    <cellWatch r="G61"/>
    <cellWatch r="H61"/>
    <cellWatch r="A89"/>
    <cellWatch r="B62"/>
    <cellWatch r="C62"/>
    <cellWatch r="D62"/>
    <cellWatch r="E62"/>
    <cellWatch r="F62"/>
    <cellWatch r="G62"/>
    <cellWatch r="H62"/>
    <cellWatch r="A90"/>
    <cellWatch r="B63"/>
    <cellWatch r="C63"/>
    <cellWatch r="D63"/>
    <cellWatch r="E63"/>
    <cellWatch r="F63"/>
    <cellWatch r="G63"/>
    <cellWatch r="H63"/>
    <cellWatch r="A91"/>
    <cellWatch r="B64"/>
    <cellWatch r="C64"/>
    <cellWatch r="D64"/>
    <cellWatch r="E64"/>
    <cellWatch r="F64"/>
    <cellWatch r="G64"/>
    <cellWatch r="H64"/>
    <cellWatch r="A92"/>
    <cellWatch r="B65"/>
    <cellWatch r="C65"/>
    <cellWatch r="D65"/>
    <cellWatch r="E65"/>
    <cellWatch r="F65"/>
    <cellWatch r="G65"/>
    <cellWatch r="H65"/>
    <cellWatch r="A93"/>
    <cellWatch r="H66"/>
    <cellWatch r="A94"/>
    <cellWatch r="H67"/>
    <cellWatch r="A95"/>
    <cellWatch r="H68"/>
    <cellWatch r="A96"/>
    <cellWatch r="H69"/>
    <cellWatch r="A97"/>
    <cellWatch r="H70"/>
    <cellWatch r="A98"/>
    <cellWatch r="B71"/>
    <cellWatch r="C71"/>
    <cellWatch r="D71"/>
    <cellWatch r="E71"/>
    <cellWatch r="F71"/>
    <cellWatch r="G71"/>
    <cellWatch r="H71"/>
    <cellWatch r="A99"/>
    <cellWatch r="B72"/>
    <cellWatch r="C72"/>
    <cellWatch r="D72"/>
    <cellWatch r="E72"/>
    <cellWatch r="F72"/>
    <cellWatch r="G72"/>
    <cellWatch r="H72"/>
    <cellWatch r="A100"/>
    <cellWatch r="B73"/>
    <cellWatch r="C73"/>
    <cellWatch r="D73"/>
    <cellWatch r="E73"/>
    <cellWatch r="F73"/>
    <cellWatch r="G73"/>
    <cellWatch r="H73"/>
    <cellWatch r="A101"/>
    <cellWatch r="B74"/>
    <cellWatch r="C74"/>
    <cellWatch r="D74"/>
    <cellWatch r="E74"/>
    <cellWatch r="F74"/>
    <cellWatch r="G74"/>
    <cellWatch r="H74"/>
    <cellWatch r="A102"/>
    <cellWatch r="B75"/>
    <cellWatch r="C75"/>
    <cellWatch r="D75"/>
    <cellWatch r="E75"/>
    <cellWatch r="F75"/>
    <cellWatch r="G75"/>
    <cellWatch r="H75"/>
    <cellWatch r="A103"/>
    <cellWatch r="B76"/>
    <cellWatch r="C76"/>
    <cellWatch r="D76"/>
    <cellWatch r="E76"/>
    <cellWatch r="F76"/>
    <cellWatch r="G76"/>
    <cellWatch r="H76"/>
    <cellWatch r="A104"/>
    <cellWatch r="B77"/>
    <cellWatch r="C77"/>
    <cellWatch r="D77"/>
    <cellWatch r="E77"/>
    <cellWatch r="F77"/>
    <cellWatch r="G77"/>
    <cellWatch r="H77"/>
    <cellWatch r="A105"/>
    <cellWatch r="B78"/>
    <cellWatch r="C78"/>
    <cellWatch r="D78"/>
    <cellWatch r="E78"/>
    <cellWatch r="F78"/>
    <cellWatch r="G78"/>
    <cellWatch r="H78"/>
    <cellWatch r="A106"/>
    <cellWatch r="B79"/>
    <cellWatch r="C79"/>
    <cellWatch r="D79"/>
    <cellWatch r="E79"/>
    <cellWatch r="F79"/>
    <cellWatch r="G79"/>
    <cellWatch r="H79"/>
    <cellWatch r="A107"/>
    <cellWatch r="B80"/>
    <cellWatch r="C80"/>
    <cellWatch r="D80"/>
    <cellWatch r="E80"/>
    <cellWatch r="F80"/>
    <cellWatch r="G80"/>
    <cellWatch r="H80"/>
    <cellWatch r="A108"/>
    <cellWatch r="B81"/>
    <cellWatch r="C81"/>
    <cellWatch r="D81"/>
    <cellWatch r="E81"/>
    <cellWatch r="F81"/>
    <cellWatch r="G81"/>
    <cellWatch r="H81"/>
  </cellWatch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R9296"/>
  <sheetViews>
    <sheetView showGridLines="0" zoomScale="115" zoomScaleNormal="115" workbookViewId="0">
      <pane xSplit="5" ySplit="1" topLeftCell="K2" activePane="bottomRight" state="frozen"/>
      <selection pane="topRight" activeCell="F1" sqref="F1"/>
      <selection pane="bottomLeft" activeCell="A2" sqref="A2"/>
      <selection pane="bottomRight" activeCell="P5" sqref="P5:P80"/>
    </sheetView>
  </sheetViews>
  <sheetFormatPr baseColWidth="10" defaultColWidth="14.7109375" defaultRowHeight="12.75" x14ac:dyDescent="0.2"/>
  <cols>
    <col min="1" max="1" width="21.140625" style="3" customWidth="1"/>
    <col min="2" max="2" width="12" style="170" bestFit="1" customWidth="1"/>
    <col min="3" max="3" width="22.42578125" style="3" customWidth="1"/>
    <col min="4" max="4" width="10" style="3" bestFit="1" customWidth="1"/>
    <col min="5" max="5" width="4.140625" style="3" bestFit="1" customWidth="1"/>
    <col min="6" max="6" width="14.85546875" style="3" bestFit="1" customWidth="1"/>
    <col min="7" max="7" width="12.28515625" style="3" bestFit="1" customWidth="1"/>
    <col min="8" max="8" width="15" style="3" bestFit="1" customWidth="1"/>
    <col min="9" max="9" width="16.85546875" style="3" bestFit="1" customWidth="1"/>
    <col min="10" max="10" width="8.85546875" style="3" bestFit="1" customWidth="1"/>
    <col min="11" max="11" width="18" style="3" bestFit="1" customWidth="1"/>
    <col min="12" max="12" width="18" style="3" customWidth="1"/>
    <col min="13" max="13" width="18" style="3" hidden="1" customWidth="1"/>
    <col min="14" max="14" width="20" style="3" customWidth="1"/>
    <col min="15" max="15" width="9" style="3" customWidth="1"/>
    <col min="16" max="16" width="16.42578125" style="3" bestFit="1" customWidth="1"/>
    <col min="17" max="17" width="13.28515625" style="3" bestFit="1" customWidth="1"/>
    <col min="18" max="16384" width="14.7109375" style="3"/>
  </cols>
  <sheetData>
    <row r="1" spans="1:18" s="11" customFormat="1" ht="25.5" x14ac:dyDescent="0.2">
      <c r="A1" s="10" t="s">
        <v>86</v>
      </c>
      <c r="B1" s="169" t="s">
        <v>431</v>
      </c>
      <c r="C1" s="13" t="s">
        <v>9</v>
      </c>
      <c r="D1" s="13" t="s">
        <v>79</v>
      </c>
      <c r="E1" s="13" t="s">
        <v>80</v>
      </c>
      <c r="F1" s="13" t="s">
        <v>3</v>
      </c>
      <c r="G1" s="13" t="s">
        <v>81</v>
      </c>
      <c r="H1" s="13" t="s">
        <v>82</v>
      </c>
      <c r="I1" s="13" t="s">
        <v>83</v>
      </c>
      <c r="J1" s="13" t="s">
        <v>84</v>
      </c>
      <c r="K1" s="13" t="s">
        <v>85</v>
      </c>
      <c r="L1" s="14" t="s">
        <v>95</v>
      </c>
      <c r="M1" s="14" t="s">
        <v>96</v>
      </c>
      <c r="N1" s="15" t="s">
        <v>4</v>
      </c>
    </row>
    <row r="2" spans="1:18" x14ac:dyDescent="0.2">
      <c r="A2" s="19">
        <f>IF(ISERROR(VLOOKUP(B2,Catalogo!$A$2:$C$410,2,0)),0,(VLOOKUP(B2,Catalogo!$A$2:$C$410,2,0)))</f>
        <v>0</v>
      </c>
      <c r="B2">
        <v>65506131264</v>
      </c>
      <c r="C2"/>
      <c r="D2"/>
      <c r="E2"/>
      <c r="F2">
        <v>2306.34</v>
      </c>
      <c r="G2"/>
      <c r="H2"/>
      <c r="I2"/>
      <c r="J2"/>
      <c r="K2"/>
      <c r="L2" s="16">
        <f t="shared" ref="L2:L65" si="0">IF(A2="Record Keeping",B2,0)</f>
        <v>0</v>
      </c>
      <c r="M2" s="16" t="str">
        <f t="shared" ref="M2:M16" si="1">LEFT(E2,1)</f>
        <v/>
      </c>
      <c r="N2" s="17">
        <f t="shared" ref="N2:N65" si="2">IF(G2="CAN",F2*0,IF(M2="R",F2*-1,F2*1)*AND(A2="Record Keeping"))</f>
        <v>0</v>
      </c>
    </row>
    <row r="3" spans="1:18" x14ac:dyDescent="0.2">
      <c r="A3" s="19" t="str">
        <f>IF(ISERROR(VLOOKUP(B3,Catalogo!$A$2:$C$410,2,0)),0,(VLOOKUP(B3,Catalogo!$A$2:$C$410,2,0)))</f>
        <v>Record Keeping</v>
      </c>
      <c r="B3">
        <v>1000003633</v>
      </c>
      <c r="C3"/>
      <c r="D3"/>
      <c r="E3"/>
      <c r="F3">
        <v>2814976.57</v>
      </c>
      <c r="G3"/>
      <c r="H3"/>
      <c r="I3"/>
      <c r="J3"/>
      <c r="K3"/>
      <c r="L3" s="16">
        <f t="shared" si="0"/>
        <v>1000003633</v>
      </c>
      <c r="M3" s="16" t="str">
        <f t="shared" si="1"/>
        <v/>
      </c>
      <c r="N3" s="17">
        <f t="shared" si="2"/>
        <v>2814976.57</v>
      </c>
      <c r="P3" s="195" t="s">
        <v>47</v>
      </c>
      <c r="Q3" s="196"/>
    </row>
    <row r="4" spans="1:18" x14ac:dyDescent="0.2">
      <c r="A4" s="19">
        <f>IF(ISERROR(VLOOKUP(B4,Catalogo!$A$2:$C$410,2,0)),0,(VLOOKUP(B4,Catalogo!$A$2:$C$410,2,0)))</f>
        <v>0</v>
      </c>
      <c r="B4">
        <v>1036613</v>
      </c>
      <c r="C4"/>
      <c r="D4"/>
      <c r="E4"/>
      <c r="F4">
        <v>136602034.25</v>
      </c>
      <c r="G4"/>
      <c r="H4"/>
      <c r="I4"/>
      <c r="J4"/>
      <c r="K4"/>
      <c r="L4" s="16">
        <f t="shared" si="0"/>
        <v>0</v>
      </c>
      <c r="M4" s="16" t="str">
        <f t="shared" si="1"/>
        <v/>
      </c>
      <c r="N4" s="17">
        <f t="shared" si="2"/>
        <v>0</v>
      </c>
      <c r="P4" s="195" t="s">
        <v>95</v>
      </c>
      <c r="Q4" s="196" t="s">
        <v>0</v>
      </c>
    </row>
    <row r="5" spans="1:18" x14ac:dyDescent="0.2">
      <c r="A5" s="19">
        <f>IF(ISERROR(VLOOKUP(B5,Catalogo!$A$2:$C$410,2,0)),0,(VLOOKUP(B5,Catalogo!$A$2:$C$410,2,0)))</f>
        <v>0</v>
      </c>
      <c r="B5">
        <v>1036613</v>
      </c>
      <c r="C5"/>
      <c r="D5"/>
      <c r="E5"/>
      <c r="F5">
        <v>703.62</v>
      </c>
      <c r="G5"/>
      <c r="H5"/>
      <c r="I5"/>
      <c r="J5"/>
      <c r="K5"/>
      <c r="L5" s="16">
        <f t="shared" si="0"/>
        <v>0</v>
      </c>
      <c r="M5" s="16" t="str">
        <f t="shared" si="1"/>
        <v/>
      </c>
      <c r="N5" s="17">
        <f t="shared" si="2"/>
        <v>0</v>
      </c>
      <c r="P5" s="197">
        <v>147309</v>
      </c>
      <c r="Q5" s="198">
        <v>-277927.62</v>
      </c>
      <c r="R5" s="82">
        <v>152971</v>
      </c>
    </row>
    <row r="6" spans="1:18" x14ac:dyDescent="0.2">
      <c r="A6" s="19" t="str">
        <f>IF(ISERROR(VLOOKUP(B6,Catalogo!$A$2:$C$410,2,0)),0,(VLOOKUP(B6,Catalogo!$A$2:$C$410,2,0)))</f>
        <v>Record Keeping</v>
      </c>
      <c r="B6">
        <v>152971</v>
      </c>
      <c r="C6"/>
      <c r="D6"/>
      <c r="E6"/>
      <c r="F6">
        <v>46749.73</v>
      </c>
      <c r="G6"/>
      <c r="H6"/>
      <c r="I6"/>
      <c r="J6"/>
      <c r="K6"/>
      <c r="L6" s="16">
        <f t="shared" si="0"/>
        <v>152971</v>
      </c>
      <c r="M6" s="16" t="str">
        <f t="shared" si="1"/>
        <v/>
      </c>
      <c r="N6" s="17">
        <f t="shared" si="2"/>
        <v>46749.73</v>
      </c>
      <c r="P6" s="199">
        <v>147311</v>
      </c>
      <c r="Q6" s="200">
        <v>-174262.89</v>
      </c>
      <c r="R6" s="83">
        <v>152974</v>
      </c>
    </row>
    <row r="7" spans="1:18" x14ac:dyDescent="0.2">
      <c r="A7" s="19" t="str">
        <f>IF(ISERROR(VLOOKUP(B7,Catalogo!$A$2:$C$410,2,0)),0,(VLOOKUP(B7,Catalogo!$A$2:$C$410,2,0)))</f>
        <v>Record Keeping</v>
      </c>
      <c r="B7">
        <v>1037085</v>
      </c>
      <c r="C7"/>
      <c r="D7"/>
      <c r="E7"/>
      <c r="F7">
        <v>2064207.96</v>
      </c>
      <c r="G7"/>
      <c r="H7"/>
      <c r="I7"/>
      <c r="J7"/>
      <c r="K7"/>
      <c r="L7" s="16">
        <f t="shared" si="0"/>
        <v>1037085</v>
      </c>
      <c r="M7" s="16" t="str">
        <f t="shared" si="1"/>
        <v/>
      </c>
      <c r="N7" s="17">
        <f t="shared" si="2"/>
        <v>2064207.96</v>
      </c>
      <c r="P7" s="199">
        <v>147314</v>
      </c>
      <c r="Q7" s="200">
        <v>-842181.34</v>
      </c>
      <c r="R7" s="83">
        <v>152976</v>
      </c>
    </row>
    <row r="8" spans="1:18" x14ac:dyDescent="0.2">
      <c r="A8" s="19">
        <f>IF(ISERROR(VLOOKUP(B8,Catalogo!$A$2:$C$410,2,0)),0,(VLOOKUP(B8,Catalogo!$A$2:$C$410,2,0)))</f>
        <v>0</v>
      </c>
      <c r="B8">
        <v>65509890080</v>
      </c>
      <c r="C8"/>
      <c r="D8"/>
      <c r="E8"/>
      <c r="F8">
        <v>14468000</v>
      </c>
      <c r="G8"/>
      <c r="H8"/>
      <c r="I8"/>
      <c r="J8"/>
      <c r="K8"/>
      <c r="L8" s="16">
        <f t="shared" si="0"/>
        <v>0</v>
      </c>
      <c r="M8" s="16" t="str">
        <f t="shared" si="1"/>
        <v/>
      </c>
      <c r="N8" s="17">
        <f t="shared" si="2"/>
        <v>0</v>
      </c>
      <c r="P8" s="199">
        <v>152971</v>
      </c>
      <c r="Q8" s="200">
        <v>46749.73</v>
      </c>
      <c r="R8" s="83">
        <v>152979</v>
      </c>
    </row>
    <row r="9" spans="1:18" x14ac:dyDescent="0.2">
      <c r="A9" s="19" t="str">
        <f>IF(ISERROR(VLOOKUP(B9,Catalogo!$A$2:$C$410,2,0)),0,(VLOOKUP(B9,Catalogo!$A$2:$C$410,2,0)))</f>
        <v>Record Keeping</v>
      </c>
      <c r="B9">
        <v>1000003299</v>
      </c>
      <c r="C9"/>
      <c r="D9"/>
      <c r="E9"/>
      <c r="F9">
        <v>4306110.5199999996</v>
      </c>
      <c r="G9"/>
      <c r="H9"/>
      <c r="I9"/>
      <c r="J9"/>
      <c r="K9"/>
      <c r="L9" s="16">
        <f>IF(A9="Record Keeping",B9,0)</f>
        <v>1000003299</v>
      </c>
      <c r="M9" s="16" t="str">
        <f t="shared" si="1"/>
        <v/>
      </c>
      <c r="N9" s="17">
        <f t="shared" si="2"/>
        <v>4306110.5199999996</v>
      </c>
      <c r="P9" s="199">
        <v>152974</v>
      </c>
      <c r="Q9" s="200">
        <v>54907.85</v>
      </c>
      <c r="R9" s="83">
        <v>152981</v>
      </c>
    </row>
    <row r="10" spans="1:18" x14ac:dyDescent="0.2">
      <c r="A10" s="19" t="str">
        <f>IF(ISERROR(VLOOKUP(B10,Catalogo!$A$2:$C$410,2,0)),0,(VLOOKUP(B10,Catalogo!$A$2:$C$410,2,0)))</f>
        <v>Record Keeping</v>
      </c>
      <c r="B10">
        <v>65502313952</v>
      </c>
      <c r="C10"/>
      <c r="D10"/>
      <c r="E10"/>
      <c r="F10">
        <v>-6380852.9100000001</v>
      </c>
      <c r="G10"/>
      <c r="H10"/>
      <c r="I10"/>
      <c r="J10"/>
      <c r="K10"/>
      <c r="L10" s="16">
        <f t="shared" si="0"/>
        <v>65502313952</v>
      </c>
      <c r="M10" s="16" t="str">
        <f t="shared" si="1"/>
        <v/>
      </c>
      <c r="N10" s="17">
        <f t="shared" si="2"/>
        <v>-6380852.9100000001</v>
      </c>
      <c r="P10" s="199">
        <v>152976</v>
      </c>
      <c r="Q10" s="200">
        <v>18647.599999999999</v>
      </c>
      <c r="R10" s="83">
        <v>152983</v>
      </c>
    </row>
    <row r="11" spans="1:18" x14ac:dyDescent="0.2">
      <c r="A11" s="19">
        <f>IF(ISERROR(VLOOKUP(B11,Catalogo!$A$2:$C$410,2,0)),0,(VLOOKUP(B11,Catalogo!$A$2:$C$410,2,0)))</f>
        <v>0</v>
      </c>
      <c r="B11">
        <v>1008776</v>
      </c>
      <c r="C11"/>
      <c r="D11"/>
      <c r="E11"/>
      <c r="F11">
        <v>-213945.08</v>
      </c>
      <c r="G11"/>
      <c r="H11"/>
      <c r="I11"/>
      <c r="J11"/>
      <c r="K11"/>
      <c r="L11" s="16">
        <f t="shared" si="0"/>
        <v>0</v>
      </c>
      <c r="M11" s="16" t="str">
        <f t="shared" si="1"/>
        <v/>
      </c>
      <c r="N11" s="17">
        <f t="shared" si="2"/>
        <v>0</v>
      </c>
      <c r="P11" s="199">
        <v>152979</v>
      </c>
      <c r="Q11" s="200">
        <v>15940.96</v>
      </c>
      <c r="R11" s="83">
        <v>1013407</v>
      </c>
    </row>
    <row r="12" spans="1:18" x14ac:dyDescent="0.2">
      <c r="A12" s="19" t="str">
        <f>IF(ISERROR(VLOOKUP(B12,Catalogo!$A$2:$C$410,2,0)),0,(VLOOKUP(B12,Catalogo!$A$2:$C$410,2,0)))</f>
        <v>Record Keeping</v>
      </c>
      <c r="B12">
        <v>147311</v>
      </c>
      <c r="C12"/>
      <c r="D12"/>
      <c r="E12"/>
      <c r="F12">
        <v>-174262.89</v>
      </c>
      <c r="G12"/>
      <c r="H12"/>
      <c r="I12"/>
      <c r="J12"/>
      <c r="K12"/>
      <c r="L12" s="16">
        <f t="shared" si="0"/>
        <v>147311</v>
      </c>
      <c r="M12" s="16" t="str">
        <f t="shared" si="1"/>
        <v/>
      </c>
      <c r="N12" s="17">
        <f t="shared" si="2"/>
        <v>-174262.89</v>
      </c>
      <c r="P12" s="199">
        <v>152981</v>
      </c>
      <c r="Q12" s="200">
        <v>420.98</v>
      </c>
      <c r="R12" s="83">
        <v>1036525</v>
      </c>
    </row>
    <row r="13" spans="1:18" x14ac:dyDescent="0.2">
      <c r="A13" s="19" t="str">
        <f>IF(ISERROR(VLOOKUP(B13,Catalogo!$A$2:$C$410,2,0)),0,(VLOOKUP(B13,Catalogo!$A$2:$C$410,2,0)))</f>
        <v>Record Keeping</v>
      </c>
      <c r="B13">
        <v>1000003300</v>
      </c>
      <c r="C13"/>
      <c r="D13"/>
      <c r="E13"/>
      <c r="F13">
        <v>79478.38</v>
      </c>
      <c r="G13"/>
      <c r="H13"/>
      <c r="I13"/>
      <c r="J13"/>
      <c r="K13"/>
      <c r="L13" s="16">
        <f t="shared" si="0"/>
        <v>1000003300</v>
      </c>
      <c r="M13" s="16" t="str">
        <f t="shared" si="1"/>
        <v/>
      </c>
      <c r="N13" s="17">
        <f t="shared" si="2"/>
        <v>79478.38</v>
      </c>
      <c r="P13" s="199">
        <v>152983</v>
      </c>
      <c r="Q13" s="200">
        <v>157.57</v>
      </c>
      <c r="R13" s="83">
        <v>2000569</v>
      </c>
    </row>
    <row r="14" spans="1:18" x14ac:dyDescent="0.2">
      <c r="A14" s="19">
        <f>IF(ISERROR(VLOOKUP(B14,Catalogo!$A$2:$C$410,2,0)),0,(VLOOKUP(B14,Catalogo!$A$2:$C$410,2,0)))</f>
        <v>0</v>
      </c>
      <c r="B14">
        <v>1024556</v>
      </c>
      <c r="C14"/>
      <c r="D14"/>
      <c r="E14"/>
      <c r="F14">
        <v>-3086864.87</v>
      </c>
      <c r="G14"/>
      <c r="H14"/>
      <c r="I14"/>
      <c r="J14"/>
      <c r="K14"/>
      <c r="L14" s="16">
        <f t="shared" si="0"/>
        <v>0</v>
      </c>
      <c r="M14" s="16" t="str">
        <f t="shared" si="1"/>
        <v/>
      </c>
      <c r="N14" s="17">
        <f t="shared" si="2"/>
        <v>0</v>
      </c>
      <c r="P14" s="199">
        <v>1018867</v>
      </c>
      <c r="Q14" s="200">
        <v>4222900.04</v>
      </c>
      <c r="R14" s="83">
        <v>2000722</v>
      </c>
    </row>
    <row r="15" spans="1:18" x14ac:dyDescent="0.2">
      <c r="A15" s="19">
        <f>IF(ISERROR(VLOOKUP(B15,Catalogo!$A$2:$C$410,2,0)),0,(VLOOKUP(B15,Catalogo!$A$2:$C$410,2,0)))</f>
        <v>0</v>
      </c>
      <c r="B15">
        <v>1036613</v>
      </c>
      <c r="C15"/>
      <c r="D15"/>
      <c r="E15"/>
      <c r="F15">
        <v>136161770.91</v>
      </c>
      <c r="G15"/>
      <c r="H15"/>
      <c r="I15"/>
      <c r="J15"/>
      <c r="K15"/>
      <c r="L15" s="16">
        <f t="shared" si="0"/>
        <v>0</v>
      </c>
      <c r="M15" s="16" t="str">
        <f t="shared" si="1"/>
        <v/>
      </c>
      <c r="N15" s="17">
        <f t="shared" si="2"/>
        <v>0</v>
      </c>
      <c r="P15" s="199">
        <v>1037085</v>
      </c>
      <c r="Q15" s="200">
        <v>2064207.96</v>
      </c>
      <c r="R15" s="83">
        <v>2000730</v>
      </c>
    </row>
    <row r="16" spans="1:18" x14ac:dyDescent="0.2">
      <c r="A16" s="19" t="str">
        <f>IF(ISERROR(VLOOKUP(B16,Catalogo!$A$2:$C$410,2,0)),0,(VLOOKUP(B16,Catalogo!$A$2:$C$410,2,0)))</f>
        <v>Record Keeping</v>
      </c>
      <c r="B16">
        <v>1037118</v>
      </c>
      <c r="C16"/>
      <c r="D16"/>
      <c r="E16"/>
      <c r="F16">
        <v>1349158.58</v>
      </c>
      <c r="G16"/>
      <c r="H16"/>
      <c r="I16"/>
      <c r="J16"/>
      <c r="K16"/>
      <c r="L16" s="16">
        <f t="shared" si="0"/>
        <v>1037118</v>
      </c>
      <c r="M16" s="16" t="str">
        <f t="shared" si="1"/>
        <v/>
      </c>
      <c r="N16" s="17">
        <f t="shared" si="2"/>
        <v>1349158.58</v>
      </c>
      <c r="P16" s="199">
        <v>1037086</v>
      </c>
      <c r="Q16" s="200">
        <v>4812430.88</v>
      </c>
      <c r="R16" s="83">
        <v>2000926</v>
      </c>
    </row>
    <row r="17" spans="1:17" x14ac:dyDescent="0.2">
      <c r="A17" s="19">
        <f>IF(ISERROR(VLOOKUP(B17,Catalogo!$A$2:$C$410,2,0)),0,(VLOOKUP(B17,Catalogo!$A$2:$C$410,2,0)))</f>
        <v>0</v>
      </c>
      <c r="B17">
        <v>65509890276</v>
      </c>
      <c r="C17"/>
      <c r="D17"/>
      <c r="E17"/>
      <c r="F17">
        <v>489000</v>
      </c>
      <c r="G17"/>
      <c r="H17"/>
      <c r="I17"/>
      <c r="J17"/>
      <c r="K17"/>
      <c r="L17" s="16">
        <f t="shared" si="0"/>
        <v>0</v>
      </c>
      <c r="M17" s="16" t="str">
        <f t="shared" ref="M17:M32" si="3">LEFT(E17,1)</f>
        <v/>
      </c>
      <c r="N17" s="17">
        <f t="shared" si="2"/>
        <v>0</v>
      </c>
      <c r="P17" s="199">
        <v>1037090</v>
      </c>
      <c r="Q17" s="200">
        <v>719603.28</v>
      </c>
    </row>
    <row r="18" spans="1:17" x14ac:dyDescent="0.2">
      <c r="A18" s="19" t="str">
        <f>IF(ISERROR(VLOOKUP(B18,Catalogo!$A$2:$C$410,2,0)),0,(VLOOKUP(B18,Catalogo!$A$2:$C$410,2,0)))</f>
        <v>Record Keeping</v>
      </c>
      <c r="B18">
        <v>152974</v>
      </c>
      <c r="C18"/>
      <c r="D18"/>
      <c r="E18"/>
      <c r="F18">
        <v>54907.85</v>
      </c>
      <c r="G18"/>
      <c r="H18"/>
      <c r="I18"/>
      <c r="J18"/>
      <c r="K18"/>
      <c r="L18" s="16">
        <f t="shared" si="0"/>
        <v>152974</v>
      </c>
      <c r="M18" s="16" t="str">
        <f t="shared" si="3"/>
        <v/>
      </c>
      <c r="N18" s="17">
        <f t="shared" si="2"/>
        <v>54907.85</v>
      </c>
      <c r="P18" s="199">
        <v>1037113</v>
      </c>
      <c r="Q18" s="200">
        <v>2494079.54</v>
      </c>
    </row>
    <row r="19" spans="1:17" x14ac:dyDescent="0.2">
      <c r="A19" s="19" t="str">
        <f>IF(ISERROR(VLOOKUP(B19,Catalogo!$A$2:$C$410,2,0)),0,(VLOOKUP(B19,Catalogo!$A$2:$C$410,2,0)))</f>
        <v>Record Keeping</v>
      </c>
      <c r="B19">
        <v>152981</v>
      </c>
      <c r="C19"/>
      <c r="D19"/>
      <c r="E19"/>
      <c r="F19">
        <v>420.98</v>
      </c>
      <c r="G19"/>
      <c r="H19"/>
      <c r="I19"/>
      <c r="J19"/>
      <c r="K19"/>
      <c r="L19" s="16">
        <f t="shared" si="0"/>
        <v>152981</v>
      </c>
      <c r="M19" s="16" t="str">
        <f t="shared" si="3"/>
        <v/>
      </c>
      <c r="N19" s="17">
        <f t="shared" si="2"/>
        <v>420.98</v>
      </c>
      <c r="P19" s="199">
        <v>1037117</v>
      </c>
      <c r="Q19" s="200">
        <v>411634.52</v>
      </c>
    </row>
    <row r="20" spans="1:17" x14ac:dyDescent="0.2">
      <c r="A20" s="19" t="str">
        <f>IF(ISERROR(VLOOKUP(B20,Catalogo!$A$2:$C$410,2,0)),0,(VLOOKUP(B20,Catalogo!$A$2:$C$410,2,0)))</f>
        <v>Record Keeping</v>
      </c>
      <c r="B20">
        <v>147309</v>
      </c>
      <c r="C20"/>
      <c r="D20"/>
      <c r="E20"/>
      <c r="F20">
        <v>-97548.75</v>
      </c>
      <c r="G20"/>
      <c r="H20"/>
      <c r="I20"/>
      <c r="J20"/>
      <c r="K20"/>
      <c r="L20" s="16">
        <f t="shared" si="0"/>
        <v>147309</v>
      </c>
      <c r="M20" s="16" t="str">
        <f t="shared" si="3"/>
        <v/>
      </c>
      <c r="N20" s="17">
        <f t="shared" si="2"/>
        <v>-97548.75</v>
      </c>
      <c r="P20" s="199">
        <v>1037118</v>
      </c>
      <c r="Q20" s="200">
        <v>1349158.58</v>
      </c>
    </row>
    <row r="21" spans="1:17" x14ac:dyDescent="0.2">
      <c r="A21" s="19" t="str">
        <f>IF(ISERROR(VLOOKUP(B21,Catalogo!$A$2:$C$410,2,0)),0,(VLOOKUP(B21,Catalogo!$A$2:$C$410,2,0)))</f>
        <v>Record Keeping</v>
      </c>
      <c r="B21">
        <v>1000003298</v>
      </c>
      <c r="C21"/>
      <c r="D21"/>
      <c r="E21"/>
      <c r="F21">
        <v>1287842.92</v>
      </c>
      <c r="G21"/>
      <c r="H21"/>
      <c r="I21"/>
      <c r="J21"/>
      <c r="K21"/>
      <c r="L21" s="16">
        <f t="shared" si="0"/>
        <v>1000003298</v>
      </c>
      <c r="M21" s="16" t="str">
        <f t="shared" si="3"/>
        <v/>
      </c>
      <c r="N21" s="17">
        <f t="shared" si="2"/>
        <v>1287842.92</v>
      </c>
      <c r="P21" s="199">
        <v>2000217</v>
      </c>
      <c r="Q21" s="200">
        <v>-30149.45</v>
      </c>
    </row>
    <row r="22" spans="1:17" x14ac:dyDescent="0.2">
      <c r="A22" s="19" t="str">
        <f>IF(ISERROR(VLOOKUP(B22,Catalogo!$A$2:$C$410,2,0)),0,(VLOOKUP(B22,Catalogo!$A$2:$C$410,2,0)))</f>
        <v>Record Keeping</v>
      </c>
      <c r="B22">
        <v>1000003302</v>
      </c>
      <c r="C22"/>
      <c r="D22"/>
      <c r="E22"/>
      <c r="F22">
        <v>6110.72</v>
      </c>
      <c r="G22"/>
      <c r="H22"/>
      <c r="I22"/>
      <c r="J22"/>
      <c r="K22"/>
      <c r="L22" s="16">
        <f t="shared" si="0"/>
        <v>1000003302</v>
      </c>
      <c r="M22" s="16" t="str">
        <f t="shared" si="3"/>
        <v/>
      </c>
      <c r="N22" s="17">
        <f t="shared" si="2"/>
        <v>6110.72</v>
      </c>
      <c r="P22" s="199">
        <v>2000218</v>
      </c>
      <c r="Q22" s="200">
        <v>-4939.75</v>
      </c>
    </row>
    <row r="23" spans="1:17" x14ac:dyDescent="0.2">
      <c r="A23" s="19" t="str">
        <f>IF(ISERROR(VLOOKUP(B23,Catalogo!$A$2:$C$410,2,0)),0,(VLOOKUP(B23,Catalogo!$A$2:$C$410,2,0)))</f>
        <v>Record Keeping</v>
      </c>
      <c r="B23">
        <v>65502313952</v>
      </c>
      <c r="C23"/>
      <c r="D23"/>
      <c r="E23"/>
      <c r="F23">
        <v>-226414.3</v>
      </c>
      <c r="G23"/>
      <c r="H23"/>
      <c r="I23"/>
      <c r="J23"/>
      <c r="K23"/>
      <c r="L23" s="16">
        <f t="shared" si="0"/>
        <v>65502313952</v>
      </c>
      <c r="M23" s="16" t="str">
        <f t="shared" si="3"/>
        <v/>
      </c>
      <c r="N23" s="17">
        <f t="shared" si="2"/>
        <v>-226414.3</v>
      </c>
      <c r="P23" s="199">
        <v>2000220</v>
      </c>
      <c r="Q23" s="200">
        <v>-90283.26</v>
      </c>
    </row>
    <row r="24" spans="1:17" x14ac:dyDescent="0.2">
      <c r="A24" s="19">
        <f>IF(ISERROR(VLOOKUP(B24,Catalogo!$A$2:$C$410,2,0)),0,(VLOOKUP(B24,Catalogo!$A$2:$C$410,2,0)))</f>
        <v>0</v>
      </c>
      <c r="B24">
        <v>1008774</v>
      </c>
      <c r="C24"/>
      <c r="D24"/>
      <c r="E24"/>
      <c r="F24">
        <v>-7345060.6799999997</v>
      </c>
      <c r="G24"/>
      <c r="H24"/>
      <c r="I24"/>
      <c r="J24"/>
      <c r="K24"/>
      <c r="L24" s="16">
        <f t="shared" si="0"/>
        <v>0</v>
      </c>
      <c r="M24" s="16" t="str">
        <f t="shared" si="3"/>
        <v/>
      </c>
      <c r="N24" s="17">
        <f t="shared" si="2"/>
        <v>0</v>
      </c>
      <c r="P24" s="199">
        <v>2000221</v>
      </c>
      <c r="Q24" s="200">
        <v>-14813.16</v>
      </c>
    </row>
    <row r="25" spans="1:17" x14ac:dyDescent="0.2">
      <c r="A25" s="19" t="str">
        <f>IF(ISERROR(VLOOKUP(B25,Catalogo!$A$2:$C$410,2,0)),0,(VLOOKUP(B25,Catalogo!$A$2:$C$410,2,0)))</f>
        <v>Record Keeping</v>
      </c>
      <c r="B25">
        <v>1000003305</v>
      </c>
      <c r="C25"/>
      <c r="D25"/>
      <c r="E25"/>
      <c r="F25">
        <v>7164.8</v>
      </c>
      <c r="G25"/>
      <c r="H25"/>
      <c r="I25"/>
      <c r="J25"/>
      <c r="K25"/>
      <c r="L25" s="16">
        <f t="shared" si="0"/>
        <v>1000003305</v>
      </c>
      <c r="M25" s="16" t="str">
        <f t="shared" si="3"/>
        <v/>
      </c>
      <c r="N25" s="17">
        <f t="shared" si="2"/>
        <v>7164.8</v>
      </c>
      <c r="P25" s="199">
        <v>2000905</v>
      </c>
      <c r="Q25" s="200">
        <v>2718867.31</v>
      </c>
    </row>
    <row r="26" spans="1:17" x14ac:dyDescent="0.2">
      <c r="A26" s="19" t="str">
        <f>IF(ISERROR(VLOOKUP(B26,Catalogo!$A$2:$C$410,2,0)),0,(VLOOKUP(B26,Catalogo!$A$2:$C$410,2,0)))</f>
        <v>Record Keeping</v>
      </c>
      <c r="B26">
        <v>147309</v>
      </c>
      <c r="C26"/>
      <c r="D26"/>
      <c r="E26"/>
      <c r="F26">
        <v>-180378.87</v>
      </c>
      <c r="G26"/>
      <c r="H26"/>
      <c r="I26"/>
      <c r="J26"/>
      <c r="K26"/>
      <c r="L26" s="16">
        <f t="shared" si="0"/>
        <v>147309</v>
      </c>
      <c r="M26" s="16" t="str">
        <f t="shared" si="3"/>
        <v/>
      </c>
      <c r="N26" s="17">
        <f t="shared" si="2"/>
        <v>-180378.87</v>
      </c>
      <c r="P26" s="199">
        <v>2001049</v>
      </c>
      <c r="Q26" s="200">
        <v>992471.08</v>
      </c>
    </row>
    <row r="27" spans="1:17" x14ac:dyDescent="0.2">
      <c r="A27" s="19" t="str">
        <f>IF(ISERROR(VLOOKUP(B27,Catalogo!$A$2:$C$410,2,0)),0,(VLOOKUP(B27,Catalogo!$A$2:$C$410,2,0)))</f>
        <v>Record Keeping</v>
      </c>
      <c r="B27">
        <v>1037113</v>
      </c>
      <c r="C27"/>
      <c r="D27"/>
      <c r="E27"/>
      <c r="F27">
        <v>1855358.5</v>
      </c>
      <c r="G27"/>
      <c r="H27"/>
      <c r="I27"/>
      <c r="J27"/>
      <c r="K27"/>
      <c r="L27" s="16">
        <f t="shared" si="0"/>
        <v>1037113</v>
      </c>
      <c r="M27" s="16" t="str">
        <f t="shared" si="3"/>
        <v/>
      </c>
      <c r="N27" s="17">
        <f t="shared" si="2"/>
        <v>1855358.5</v>
      </c>
      <c r="P27" s="199">
        <v>2001050</v>
      </c>
      <c r="Q27" s="200">
        <v>1342934.68</v>
      </c>
    </row>
    <row r="28" spans="1:17" x14ac:dyDescent="0.2">
      <c r="A28" s="19">
        <f>IF(ISERROR(VLOOKUP(B28,Catalogo!$A$2:$C$410,2,0)),0,(VLOOKUP(B28,Catalogo!$A$2:$C$410,2,0)))</f>
        <v>0</v>
      </c>
      <c r="B28">
        <v>65509890154</v>
      </c>
      <c r="C28"/>
      <c r="D28"/>
      <c r="E28"/>
      <c r="F28">
        <v>620000</v>
      </c>
      <c r="G28"/>
      <c r="H28"/>
      <c r="I28"/>
      <c r="J28"/>
      <c r="K28"/>
      <c r="L28" s="16">
        <f t="shared" si="0"/>
        <v>0</v>
      </c>
      <c r="M28" s="16" t="str">
        <f t="shared" si="3"/>
        <v/>
      </c>
      <c r="N28" s="17">
        <f t="shared" si="2"/>
        <v>0</v>
      </c>
      <c r="P28" s="199">
        <v>1000003291</v>
      </c>
      <c r="Q28" s="200">
        <v>1472872.78</v>
      </c>
    </row>
    <row r="29" spans="1:17" x14ac:dyDescent="0.2">
      <c r="A29" s="19" t="str">
        <f>IF(ISERROR(VLOOKUP(B29,Catalogo!$A$2:$C$410,2,0)),0,(VLOOKUP(B29,Catalogo!$A$2:$C$410,2,0)))</f>
        <v>Record Keeping</v>
      </c>
      <c r="B29">
        <v>1000003292</v>
      </c>
      <c r="C29"/>
      <c r="D29"/>
      <c r="E29"/>
      <c r="F29">
        <v>235415.54</v>
      </c>
      <c r="G29"/>
      <c r="H29"/>
      <c r="I29"/>
      <c r="J29"/>
      <c r="K29"/>
      <c r="L29" s="16">
        <f t="shared" si="0"/>
        <v>1000003292</v>
      </c>
      <c r="M29" s="16" t="str">
        <f t="shared" si="3"/>
        <v/>
      </c>
      <c r="N29" s="17">
        <f t="shared" si="2"/>
        <v>235415.54</v>
      </c>
      <c r="P29" s="199">
        <v>1000003292</v>
      </c>
      <c r="Q29" s="200">
        <v>235415.54</v>
      </c>
    </row>
    <row r="30" spans="1:17" x14ac:dyDescent="0.2">
      <c r="A30" s="19" t="str">
        <f>IF(ISERROR(VLOOKUP(B30,Catalogo!$A$2:$C$410,2,0)),0,(VLOOKUP(B30,Catalogo!$A$2:$C$410,2,0)))</f>
        <v>Record Keeping</v>
      </c>
      <c r="B30">
        <v>147314</v>
      </c>
      <c r="C30"/>
      <c r="D30"/>
      <c r="E30"/>
      <c r="F30">
        <v>-842181.34</v>
      </c>
      <c r="G30"/>
      <c r="H30"/>
      <c r="I30"/>
      <c r="J30"/>
      <c r="K30"/>
      <c r="L30" s="16">
        <f t="shared" si="0"/>
        <v>147314</v>
      </c>
      <c r="M30" s="16" t="str">
        <f t="shared" si="3"/>
        <v/>
      </c>
      <c r="N30" s="17">
        <f t="shared" si="2"/>
        <v>-842181.34</v>
      </c>
      <c r="P30" s="199">
        <v>1000003293</v>
      </c>
      <c r="Q30" s="200">
        <v>1691448.94</v>
      </c>
    </row>
    <row r="31" spans="1:17" x14ac:dyDescent="0.2">
      <c r="A31" s="19" t="str">
        <f>IF(ISERROR(VLOOKUP(B31,Catalogo!$A$2:$C$410,2,0)),0,(VLOOKUP(B31,Catalogo!$A$2:$C$410,2,0)))</f>
        <v>Record Keeping</v>
      </c>
      <c r="B31">
        <v>1000003291</v>
      </c>
      <c r="C31"/>
      <c r="D31"/>
      <c r="E31"/>
      <c r="F31">
        <v>1472872.78</v>
      </c>
      <c r="G31"/>
      <c r="H31"/>
      <c r="I31"/>
      <c r="J31"/>
      <c r="K31"/>
      <c r="L31" s="16">
        <f t="shared" si="0"/>
        <v>1000003291</v>
      </c>
      <c r="M31" s="16" t="str">
        <f t="shared" si="3"/>
        <v/>
      </c>
      <c r="N31" s="17">
        <f t="shared" si="2"/>
        <v>1472872.78</v>
      </c>
      <c r="P31" s="199">
        <v>1000003294</v>
      </c>
      <c r="Q31" s="200">
        <v>125643.36</v>
      </c>
    </row>
    <row r="32" spans="1:17" x14ac:dyDescent="0.2">
      <c r="A32" s="19" t="str">
        <f>IF(ISERROR(VLOOKUP(B32,Catalogo!$A$2:$C$410,2,0)),0,(VLOOKUP(B32,Catalogo!$A$2:$C$410,2,0)))</f>
        <v>Record Keeping</v>
      </c>
      <c r="B32">
        <v>1000003295</v>
      </c>
      <c r="C32"/>
      <c r="D32"/>
      <c r="E32"/>
      <c r="F32">
        <v>127747.52</v>
      </c>
      <c r="G32"/>
      <c r="H32"/>
      <c r="I32"/>
      <c r="J32"/>
      <c r="K32"/>
      <c r="L32" s="16">
        <f t="shared" si="0"/>
        <v>1000003295</v>
      </c>
      <c r="M32" s="16" t="str">
        <f t="shared" si="3"/>
        <v/>
      </c>
      <c r="N32" s="17">
        <f t="shared" si="2"/>
        <v>127747.52</v>
      </c>
      <c r="P32" s="199">
        <v>1000003295</v>
      </c>
      <c r="Q32" s="200">
        <v>127747.52</v>
      </c>
    </row>
    <row r="33" spans="1:17" x14ac:dyDescent="0.2">
      <c r="A33" s="19" t="str">
        <f>IF(ISERROR(VLOOKUP(B33,Catalogo!$A$2:$C$410,2,0)),0,(VLOOKUP(B33,Catalogo!$A$2:$C$410,2,0)))</f>
        <v>Record Keeping</v>
      </c>
      <c r="B33">
        <v>65509560409</v>
      </c>
      <c r="C33"/>
      <c r="D33"/>
      <c r="E33"/>
      <c r="F33">
        <v>-328774.36</v>
      </c>
      <c r="G33"/>
      <c r="H33"/>
      <c r="I33"/>
      <c r="J33"/>
      <c r="K33"/>
      <c r="L33" s="16">
        <f t="shared" si="0"/>
        <v>65509560409</v>
      </c>
      <c r="M33" s="16" t="str">
        <f t="shared" ref="M33:M62" si="4">LEFT(E33,1)</f>
        <v/>
      </c>
      <c r="N33" s="17">
        <f t="shared" si="2"/>
        <v>-328774.36</v>
      </c>
      <c r="P33" s="199">
        <v>1000003297</v>
      </c>
      <c r="Q33" s="200">
        <v>495640.24</v>
      </c>
    </row>
    <row r="34" spans="1:17" x14ac:dyDescent="0.2">
      <c r="A34" s="19">
        <f>IF(ISERROR(VLOOKUP(B34,Catalogo!$A$2:$C$410,2,0)),0,(VLOOKUP(B34,Catalogo!$A$2:$C$410,2,0)))</f>
        <v>0</v>
      </c>
      <c r="B34">
        <v>1024556</v>
      </c>
      <c r="C34"/>
      <c r="D34"/>
      <c r="E34"/>
      <c r="F34">
        <v>536432.4</v>
      </c>
      <c r="G34"/>
      <c r="H34"/>
      <c r="I34"/>
      <c r="J34"/>
      <c r="K34"/>
      <c r="L34" s="16">
        <f t="shared" si="0"/>
        <v>0</v>
      </c>
      <c r="M34" s="16" t="str">
        <f t="shared" si="4"/>
        <v/>
      </c>
      <c r="N34" s="17">
        <f t="shared" si="2"/>
        <v>0</v>
      </c>
      <c r="P34" s="199">
        <v>1000003298</v>
      </c>
      <c r="Q34" s="200">
        <v>1287842.92</v>
      </c>
    </row>
    <row r="35" spans="1:17" x14ac:dyDescent="0.2">
      <c r="A35" s="19">
        <f>IF(ISERROR(VLOOKUP(B35,Catalogo!$A$2:$C$410,2,0)),0,(VLOOKUP(B35,Catalogo!$A$2:$C$410,2,0)))</f>
        <v>0</v>
      </c>
      <c r="B35">
        <v>1008774</v>
      </c>
      <c r="C35"/>
      <c r="D35"/>
      <c r="E35"/>
      <c r="F35">
        <v>8449019.1400000006</v>
      </c>
      <c r="G35"/>
      <c r="H35"/>
      <c r="I35"/>
      <c r="J35"/>
      <c r="K35"/>
      <c r="L35" s="16">
        <f t="shared" si="0"/>
        <v>0</v>
      </c>
      <c r="M35" s="16" t="str">
        <f t="shared" si="4"/>
        <v/>
      </c>
      <c r="N35" s="17">
        <f t="shared" si="2"/>
        <v>0</v>
      </c>
      <c r="P35" s="199">
        <v>1000003299</v>
      </c>
      <c r="Q35" s="200">
        <v>4306110.5199999996</v>
      </c>
    </row>
    <row r="36" spans="1:17" x14ac:dyDescent="0.2">
      <c r="A36" s="19" t="str">
        <f>IF(ISERROR(VLOOKUP(B36,Catalogo!$A$2:$C$410,2,0)),0,(VLOOKUP(B36,Catalogo!$A$2:$C$410,2,0)))</f>
        <v>Record Keeping</v>
      </c>
      <c r="B36">
        <v>1000003293</v>
      </c>
      <c r="C36"/>
      <c r="D36"/>
      <c r="E36"/>
      <c r="F36">
        <v>1691448.94</v>
      </c>
      <c r="G36"/>
      <c r="H36"/>
      <c r="I36"/>
      <c r="J36"/>
      <c r="K36"/>
      <c r="L36" s="16">
        <f t="shared" si="0"/>
        <v>1000003293</v>
      </c>
      <c r="M36" s="16" t="str">
        <f t="shared" si="4"/>
        <v/>
      </c>
      <c r="N36" s="17">
        <f t="shared" si="2"/>
        <v>1691448.94</v>
      </c>
      <c r="P36" s="199">
        <v>1000003300</v>
      </c>
      <c r="Q36" s="200">
        <v>79478.38</v>
      </c>
    </row>
    <row r="37" spans="1:17" x14ac:dyDescent="0.2">
      <c r="A37" s="19" t="str">
        <f>IF(ISERROR(VLOOKUP(B37,Catalogo!$A$2:$C$410,2,0)),0,(VLOOKUP(B37,Catalogo!$A$2:$C$410,2,0)))</f>
        <v>Record Keeping</v>
      </c>
      <c r="B37">
        <v>152979</v>
      </c>
      <c r="C37"/>
      <c r="D37"/>
      <c r="E37"/>
      <c r="F37">
        <v>15940.96</v>
      </c>
      <c r="G37"/>
      <c r="H37"/>
      <c r="I37"/>
      <c r="J37"/>
      <c r="K37"/>
      <c r="L37" s="16">
        <f t="shared" si="0"/>
        <v>152979</v>
      </c>
      <c r="M37" s="16" t="str">
        <f t="shared" si="4"/>
        <v/>
      </c>
      <c r="N37" s="17">
        <f t="shared" si="2"/>
        <v>15940.96</v>
      </c>
      <c r="P37" s="199">
        <v>1000003301</v>
      </c>
      <c r="Q37" s="200">
        <v>282407.12</v>
      </c>
    </row>
    <row r="38" spans="1:17" x14ac:dyDescent="0.2">
      <c r="A38" s="19" t="str">
        <f>IF(ISERROR(VLOOKUP(B38,Catalogo!$A$2:$C$410,2,0)),0,(VLOOKUP(B38,Catalogo!$A$2:$C$410,2,0)))</f>
        <v>Record Keeping</v>
      </c>
      <c r="B38">
        <v>1037117</v>
      </c>
      <c r="C38"/>
      <c r="D38"/>
      <c r="E38"/>
      <c r="F38">
        <v>411634.52</v>
      </c>
      <c r="G38"/>
      <c r="H38"/>
      <c r="I38"/>
      <c r="J38"/>
      <c r="K38"/>
      <c r="L38" s="16">
        <f t="shared" si="0"/>
        <v>1037117</v>
      </c>
      <c r="M38" s="16" t="str">
        <f t="shared" si="4"/>
        <v/>
      </c>
      <c r="N38" s="17">
        <f t="shared" si="2"/>
        <v>411634.52</v>
      </c>
      <c r="P38" s="199">
        <v>1000003302</v>
      </c>
      <c r="Q38" s="200">
        <v>6110.72</v>
      </c>
    </row>
    <row r="39" spans="1:17" x14ac:dyDescent="0.2">
      <c r="A39" s="19">
        <f>IF(ISERROR(VLOOKUP(B39,Catalogo!$A$2:$C$410,2,0)),0,(VLOOKUP(B39,Catalogo!$A$2:$C$410,2,0)))</f>
        <v>0</v>
      </c>
      <c r="B39">
        <v>65503040718</v>
      </c>
      <c r="C39"/>
      <c r="D39"/>
      <c r="E39"/>
      <c r="F39">
        <v>70000</v>
      </c>
      <c r="G39"/>
      <c r="H39"/>
      <c r="I39"/>
      <c r="J39"/>
      <c r="K39"/>
      <c r="L39" s="16">
        <f t="shared" si="0"/>
        <v>0</v>
      </c>
      <c r="M39" s="16" t="str">
        <f t="shared" si="4"/>
        <v/>
      </c>
      <c r="N39" s="17">
        <f t="shared" si="2"/>
        <v>0</v>
      </c>
      <c r="P39" s="199">
        <v>1000003305</v>
      </c>
      <c r="Q39" s="200">
        <v>7164.8</v>
      </c>
    </row>
    <row r="40" spans="1:17" x14ac:dyDescent="0.2">
      <c r="A40" s="19">
        <f>IF(ISERROR(VLOOKUP(B40,Catalogo!$A$2:$C$410,2,0)),0,(VLOOKUP(B40,Catalogo!$A$2:$C$410,2,0)))</f>
        <v>0</v>
      </c>
      <c r="B40">
        <v>65509889998</v>
      </c>
      <c r="C40"/>
      <c r="D40"/>
      <c r="E40"/>
      <c r="F40">
        <v>1075000</v>
      </c>
      <c r="G40"/>
      <c r="H40"/>
      <c r="I40"/>
      <c r="J40"/>
      <c r="K40"/>
      <c r="L40" s="16">
        <f t="shared" si="0"/>
        <v>0</v>
      </c>
      <c r="M40" s="16" t="str">
        <f t="shared" si="4"/>
        <v/>
      </c>
      <c r="N40" s="17">
        <f t="shared" si="2"/>
        <v>0</v>
      </c>
      <c r="P40" s="199">
        <v>1000003633</v>
      </c>
      <c r="Q40" s="200">
        <v>2814976.57</v>
      </c>
    </row>
    <row r="41" spans="1:17" x14ac:dyDescent="0.2">
      <c r="A41" s="19" t="str">
        <f>IF(ISERROR(VLOOKUP(B41,Catalogo!$A$2:$C$410,2,0)),0,(VLOOKUP(B41,Catalogo!$A$2:$C$410,2,0)))</f>
        <v>Record Keeping</v>
      </c>
      <c r="B41">
        <v>1000003301</v>
      </c>
      <c r="C41"/>
      <c r="D41"/>
      <c r="E41"/>
      <c r="F41">
        <v>282407.12</v>
      </c>
      <c r="G41"/>
      <c r="H41"/>
      <c r="I41"/>
      <c r="J41"/>
      <c r="K41"/>
      <c r="L41" s="16">
        <f t="shared" si="0"/>
        <v>1000003301</v>
      </c>
      <c r="M41" s="16" t="str">
        <f t="shared" si="4"/>
        <v/>
      </c>
      <c r="N41" s="17">
        <f t="shared" si="2"/>
        <v>282407.12</v>
      </c>
      <c r="P41" s="199">
        <v>65502313952</v>
      </c>
      <c r="Q41" s="200">
        <v>-6607267.21</v>
      </c>
    </row>
    <row r="42" spans="1:17" x14ac:dyDescent="0.2">
      <c r="A42" s="19">
        <f>IF(ISERROR(VLOOKUP(B42,Catalogo!$A$2:$C$410,2,0)),0,(VLOOKUP(B42,Catalogo!$A$2:$C$410,2,0)))</f>
        <v>0</v>
      </c>
      <c r="B42">
        <v>65500498081</v>
      </c>
      <c r="C42"/>
      <c r="D42"/>
      <c r="E42"/>
      <c r="F42">
        <v>-41593.43</v>
      </c>
      <c r="G42"/>
      <c r="H42"/>
      <c r="I42"/>
      <c r="J42"/>
      <c r="K42"/>
      <c r="L42" s="16">
        <f t="shared" si="0"/>
        <v>0</v>
      </c>
      <c r="M42" s="16" t="str">
        <f t="shared" si="4"/>
        <v/>
      </c>
      <c r="N42" s="17">
        <f t="shared" si="2"/>
        <v>0</v>
      </c>
      <c r="P42" s="199">
        <v>65509560409</v>
      </c>
      <c r="Q42" s="200">
        <v>-328774.36</v>
      </c>
    </row>
    <row r="43" spans="1:17" x14ac:dyDescent="0.2">
      <c r="A43" s="19" t="str">
        <f>IF(ISERROR(VLOOKUP(B43,Catalogo!$A$2:$C$410,2,0)),0,(VLOOKUP(B43,Catalogo!$A$2:$C$410,2,0)))</f>
        <v>Record Keeping</v>
      </c>
      <c r="B43">
        <v>1018867</v>
      </c>
      <c r="C43"/>
      <c r="D43"/>
      <c r="E43"/>
      <c r="F43">
        <v>4222900.04</v>
      </c>
      <c r="G43"/>
      <c r="H43"/>
      <c r="I43"/>
      <c r="J43"/>
      <c r="K43"/>
      <c r="L43" s="16">
        <f t="shared" si="0"/>
        <v>1018867</v>
      </c>
      <c r="M43" s="16" t="str">
        <f t="shared" si="4"/>
        <v/>
      </c>
      <c r="N43" s="17">
        <f t="shared" si="2"/>
        <v>4222900.04</v>
      </c>
      <c r="P43" s="201" t="s">
        <v>1</v>
      </c>
      <c r="Q43" s="202">
        <v>25827372.929999992</v>
      </c>
    </row>
    <row r="44" spans="1:17" x14ac:dyDescent="0.2">
      <c r="A44" s="19">
        <f>IF(ISERROR(VLOOKUP(B44,Catalogo!$A$2:$C$410,2,0)),0,(VLOOKUP(B44,Catalogo!$A$2:$C$410,2,0)))</f>
        <v>0</v>
      </c>
      <c r="B44">
        <v>65502334887</v>
      </c>
      <c r="C44"/>
      <c r="D44"/>
      <c r="E44"/>
      <c r="F44">
        <v>-138000</v>
      </c>
      <c r="G44"/>
      <c r="H44"/>
      <c r="I44"/>
      <c r="J44"/>
      <c r="K44"/>
      <c r="L44" s="16">
        <f t="shared" si="0"/>
        <v>0</v>
      </c>
      <c r="M44" s="16" t="str">
        <f t="shared" si="4"/>
        <v/>
      </c>
      <c r="N44" s="17">
        <f t="shared" si="2"/>
        <v>0</v>
      </c>
      <c r="P44"/>
      <c r="Q44"/>
    </row>
    <row r="45" spans="1:17" x14ac:dyDescent="0.2">
      <c r="A45" s="19" t="str">
        <f>IF(ISERROR(VLOOKUP(B45,Catalogo!$A$2:$C$410,2,0)),0,(VLOOKUP(B45,Catalogo!$A$2:$C$410,2,0)))</f>
        <v>Record Keeping</v>
      </c>
      <c r="B45">
        <v>1000003294</v>
      </c>
      <c r="C45"/>
      <c r="D45"/>
      <c r="E45"/>
      <c r="F45">
        <v>125643.36</v>
      </c>
      <c r="G45"/>
      <c r="H45"/>
      <c r="I45"/>
      <c r="J45"/>
      <c r="K45"/>
      <c r="L45" s="16">
        <f t="shared" si="0"/>
        <v>1000003294</v>
      </c>
      <c r="M45" s="16" t="str">
        <f t="shared" si="4"/>
        <v/>
      </c>
      <c r="N45" s="17">
        <f t="shared" si="2"/>
        <v>125643.36</v>
      </c>
      <c r="P45"/>
      <c r="Q45"/>
    </row>
    <row r="46" spans="1:17" x14ac:dyDescent="0.2">
      <c r="A46" s="19" t="str">
        <f>IF(ISERROR(VLOOKUP(B46,Catalogo!$A$2:$C$410,2,0)),0,(VLOOKUP(B46,Catalogo!$A$2:$C$410,2,0)))</f>
        <v>Record Keeping</v>
      </c>
      <c r="B46">
        <v>1000003297</v>
      </c>
      <c r="C46"/>
      <c r="D46"/>
      <c r="E46"/>
      <c r="F46">
        <v>495640.24</v>
      </c>
      <c r="G46"/>
      <c r="H46"/>
      <c r="I46"/>
      <c r="J46"/>
      <c r="K46"/>
      <c r="L46" s="16">
        <f t="shared" si="0"/>
        <v>1000003297</v>
      </c>
      <c r="M46" s="16" t="str">
        <f t="shared" si="4"/>
        <v/>
      </c>
      <c r="N46" s="17">
        <f t="shared" si="2"/>
        <v>495640.24</v>
      </c>
      <c r="P46"/>
      <c r="Q46"/>
    </row>
    <row r="47" spans="1:17" x14ac:dyDescent="0.2">
      <c r="A47" s="19" t="str">
        <f>IF(ISERROR(VLOOKUP(B47,Catalogo!$A$2:$C$410,2,0)),0,(VLOOKUP(B47,Catalogo!$A$2:$C$410,2,0)))</f>
        <v>Record Keeping</v>
      </c>
      <c r="B47">
        <v>152976</v>
      </c>
      <c r="C47"/>
      <c r="D47"/>
      <c r="E47"/>
      <c r="F47">
        <v>18647.599999999999</v>
      </c>
      <c r="G47"/>
      <c r="H47"/>
      <c r="I47"/>
      <c r="J47"/>
      <c r="K47"/>
      <c r="L47" s="16">
        <f t="shared" si="0"/>
        <v>152976</v>
      </c>
      <c r="M47" s="16" t="str">
        <f t="shared" si="4"/>
        <v/>
      </c>
      <c r="N47" s="17">
        <f t="shared" si="2"/>
        <v>18647.599999999999</v>
      </c>
      <c r="P47"/>
      <c r="Q47"/>
    </row>
    <row r="48" spans="1:17" x14ac:dyDescent="0.2">
      <c r="A48" s="19" t="str">
        <f>IF(ISERROR(VLOOKUP(B48,Catalogo!$A$2:$C$410,2,0)),0,(VLOOKUP(B48,Catalogo!$A$2:$C$410,2,0)))</f>
        <v>Record Keeping</v>
      </c>
      <c r="B48">
        <v>152983</v>
      </c>
      <c r="C48"/>
      <c r="D48"/>
      <c r="E48"/>
      <c r="F48">
        <v>157.57</v>
      </c>
      <c r="G48"/>
      <c r="H48"/>
      <c r="I48"/>
      <c r="J48"/>
      <c r="K48"/>
      <c r="L48" s="16">
        <f t="shared" si="0"/>
        <v>152983</v>
      </c>
      <c r="M48" s="16" t="str">
        <f t="shared" si="4"/>
        <v/>
      </c>
      <c r="N48" s="17">
        <f t="shared" si="2"/>
        <v>157.57</v>
      </c>
      <c r="P48"/>
      <c r="Q48"/>
    </row>
    <row r="49" spans="1:17" x14ac:dyDescent="0.2">
      <c r="A49" s="19" t="str">
        <f>IF(ISERROR(VLOOKUP(B49,Catalogo!$A$2:$C$410,2,0)),0,(VLOOKUP(B49,Catalogo!$A$2:$C$410,2,0)))</f>
        <v>Record Keeping</v>
      </c>
      <c r="B49">
        <v>1037086</v>
      </c>
      <c r="C49"/>
      <c r="D49"/>
      <c r="E49"/>
      <c r="F49">
        <v>4812430.88</v>
      </c>
      <c r="G49"/>
      <c r="H49"/>
      <c r="I49"/>
      <c r="J49"/>
      <c r="K49"/>
      <c r="L49" s="16">
        <f t="shared" si="0"/>
        <v>1037086</v>
      </c>
      <c r="M49" s="16" t="str">
        <f t="shared" si="4"/>
        <v/>
      </c>
      <c r="N49" s="17">
        <f t="shared" si="2"/>
        <v>4812430.88</v>
      </c>
      <c r="P49"/>
      <c r="Q49"/>
    </row>
    <row r="50" spans="1:17" x14ac:dyDescent="0.2">
      <c r="A50" s="19" t="str">
        <f>IF(ISERROR(VLOOKUP(B50,Catalogo!$A$2:$C$410,2,0)),0,(VLOOKUP(B50,Catalogo!$A$2:$C$410,2,0)))</f>
        <v>Record Keeping</v>
      </c>
      <c r="B50">
        <v>1037113</v>
      </c>
      <c r="C50"/>
      <c r="D50"/>
      <c r="E50"/>
      <c r="F50">
        <v>638721.04</v>
      </c>
      <c r="G50"/>
      <c r="H50"/>
      <c r="I50"/>
      <c r="J50"/>
      <c r="K50"/>
      <c r="L50" s="16">
        <f t="shared" si="0"/>
        <v>1037113</v>
      </c>
      <c r="M50" s="16" t="str">
        <f t="shared" si="4"/>
        <v/>
      </c>
      <c r="N50" s="17">
        <f t="shared" si="2"/>
        <v>638721.04</v>
      </c>
      <c r="P50"/>
      <c r="Q50"/>
    </row>
    <row r="51" spans="1:17" x14ac:dyDescent="0.2">
      <c r="A51" s="19" t="str">
        <f>IF(ISERROR(VLOOKUP(B51,Catalogo!$A$2:$C$410,2,0)),0,(VLOOKUP(B51,Catalogo!$A$2:$C$410,2,0)))</f>
        <v>Record Keeping</v>
      </c>
      <c r="B51">
        <v>1037090</v>
      </c>
      <c r="C51"/>
      <c r="D51"/>
      <c r="E51"/>
      <c r="F51">
        <v>719603.28</v>
      </c>
      <c r="G51"/>
      <c r="H51"/>
      <c r="I51"/>
      <c r="J51"/>
      <c r="K51"/>
      <c r="L51" s="16">
        <f t="shared" si="0"/>
        <v>1037090</v>
      </c>
      <c r="M51" s="16" t="str">
        <f t="shared" si="4"/>
        <v/>
      </c>
      <c r="N51" s="17">
        <f t="shared" si="2"/>
        <v>719603.28</v>
      </c>
      <c r="P51"/>
      <c r="Q51"/>
    </row>
    <row r="52" spans="1:17" x14ac:dyDescent="0.2">
      <c r="A52" s="19">
        <f>IF(ISERROR(VLOOKUP(B52,Catalogo!$A$2:$C$410,2,0)),0,(VLOOKUP(B52,Catalogo!$A$2:$C$410,2,0)))</f>
        <v>0</v>
      </c>
      <c r="B52">
        <v>2001140</v>
      </c>
      <c r="C52"/>
      <c r="D52"/>
      <c r="E52"/>
      <c r="F52">
        <v>369071308.61000001</v>
      </c>
      <c r="G52"/>
      <c r="H52"/>
      <c r="I52"/>
      <c r="J52"/>
      <c r="K52"/>
      <c r="L52" s="16">
        <f t="shared" si="0"/>
        <v>0</v>
      </c>
      <c r="M52" s="16" t="str">
        <f t="shared" si="4"/>
        <v/>
      </c>
      <c r="N52" s="17">
        <f t="shared" si="2"/>
        <v>0</v>
      </c>
      <c r="P52"/>
      <c r="Q52"/>
    </row>
    <row r="53" spans="1:17" x14ac:dyDescent="0.2">
      <c r="A53" s="19">
        <f>IF(ISERROR(VLOOKUP(B53,Catalogo!$A$2:$C$410,2,0)),0,(VLOOKUP(B53,Catalogo!$A$2:$C$410,2,0)))</f>
        <v>0</v>
      </c>
      <c r="B53">
        <v>2001141</v>
      </c>
      <c r="C53"/>
      <c r="D53"/>
      <c r="E53"/>
      <c r="F53">
        <v>21090517.010000002</v>
      </c>
      <c r="G53"/>
      <c r="H53"/>
      <c r="I53"/>
      <c r="J53"/>
      <c r="K53"/>
      <c r="L53" s="16">
        <f t="shared" si="0"/>
        <v>0</v>
      </c>
      <c r="M53" s="16" t="str">
        <f t="shared" si="4"/>
        <v/>
      </c>
      <c r="N53" s="17">
        <f t="shared" si="2"/>
        <v>0</v>
      </c>
      <c r="P53"/>
      <c r="Q53"/>
    </row>
    <row r="54" spans="1:17" x14ac:dyDescent="0.2">
      <c r="A54" s="19">
        <f>IF(ISERROR(VLOOKUP(B54,Catalogo!$A$2:$C$410,2,0)),0,(VLOOKUP(B54,Catalogo!$A$2:$C$410,2,0)))</f>
        <v>0</v>
      </c>
      <c r="B54">
        <v>2001140</v>
      </c>
      <c r="C54"/>
      <c r="D54"/>
      <c r="E54"/>
      <c r="F54">
        <v>29581692.440000001</v>
      </c>
      <c r="G54"/>
      <c r="H54"/>
      <c r="I54"/>
      <c r="J54"/>
      <c r="K54"/>
      <c r="L54" s="16">
        <f t="shared" si="0"/>
        <v>0</v>
      </c>
      <c r="M54" s="16" t="str">
        <f t="shared" si="4"/>
        <v/>
      </c>
      <c r="N54" s="17">
        <f t="shared" si="2"/>
        <v>0</v>
      </c>
      <c r="P54"/>
      <c r="Q54"/>
    </row>
    <row r="55" spans="1:17" x14ac:dyDescent="0.2">
      <c r="A55" s="19">
        <f>IF(ISERROR(VLOOKUP(B55,Catalogo!$A$2:$C$410,2,0)),0,(VLOOKUP(B55,Catalogo!$A$2:$C$410,2,0)))</f>
        <v>0</v>
      </c>
      <c r="B55">
        <v>2001140</v>
      </c>
      <c r="C55"/>
      <c r="D55"/>
      <c r="E55"/>
      <c r="F55">
        <v>29587263.059999999</v>
      </c>
      <c r="G55"/>
      <c r="H55"/>
      <c r="I55"/>
      <c r="J55"/>
      <c r="K55"/>
      <c r="L55" s="16">
        <f t="shared" si="0"/>
        <v>0</v>
      </c>
      <c r="M55" s="16" t="str">
        <f t="shared" si="4"/>
        <v/>
      </c>
      <c r="N55" s="17">
        <f t="shared" si="2"/>
        <v>0</v>
      </c>
      <c r="P55"/>
      <c r="Q55"/>
    </row>
    <row r="56" spans="1:17" x14ac:dyDescent="0.2">
      <c r="A56" s="19" t="str">
        <f>IF(ISERROR(VLOOKUP(B56,Catalogo!$A$2:$C$410,2,0)),0,(VLOOKUP(B56,Catalogo!$A$2:$C$410,2,0)))</f>
        <v>Record Keeping</v>
      </c>
      <c r="B56">
        <v>2001050</v>
      </c>
      <c r="C56"/>
      <c r="D56"/>
      <c r="E56"/>
      <c r="F56">
        <v>1342934.68</v>
      </c>
      <c r="G56"/>
      <c r="H56"/>
      <c r="I56"/>
      <c r="J56"/>
      <c r="K56"/>
      <c r="L56" s="16">
        <f t="shared" si="0"/>
        <v>2001050</v>
      </c>
      <c r="M56" s="16" t="str">
        <f t="shared" si="4"/>
        <v/>
      </c>
      <c r="N56" s="17">
        <f t="shared" si="2"/>
        <v>1342934.68</v>
      </c>
      <c r="P56"/>
      <c r="Q56"/>
    </row>
    <row r="57" spans="1:17" x14ac:dyDescent="0.2">
      <c r="A57" s="19">
        <f>IF(ISERROR(VLOOKUP(B57,Catalogo!$A$2:$C$410,2,0)),0,(VLOOKUP(B57,Catalogo!$A$2:$C$410,2,0)))</f>
        <v>0</v>
      </c>
      <c r="B57">
        <v>2001140</v>
      </c>
      <c r="C57"/>
      <c r="D57"/>
      <c r="E57"/>
      <c r="F57">
        <v>13461679.68</v>
      </c>
      <c r="G57"/>
      <c r="H57"/>
      <c r="I57"/>
      <c r="J57"/>
      <c r="K57"/>
      <c r="L57" s="16">
        <f t="shared" si="0"/>
        <v>0</v>
      </c>
      <c r="M57" s="16" t="str">
        <f t="shared" si="4"/>
        <v/>
      </c>
      <c r="N57" s="17">
        <f t="shared" si="2"/>
        <v>0</v>
      </c>
      <c r="P57"/>
      <c r="Q57"/>
    </row>
    <row r="58" spans="1:17" x14ac:dyDescent="0.2">
      <c r="A58" s="19">
        <f>IF(ISERROR(VLOOKUP(B58,Catalogo!$A$2:$C$410,2,0)),0,(VLOOKUP(B58,Catalogo!$A$2:$C$410,2,0)))</f>
        <v>0</v>
      </c>
      <c r="B58">
        <v>2001140</v>
      </c>
      <c r="C58"/>
      <c r="D58"/>
      <c r="E58"/>
      <c r="F58">
        <v>24499661.579999998</v>
      </c>
      <c r="G58"/>
      <c r="H58"/>
      <c r="I58"/>
      <c r="J58"/>
      <c r="K58"/>
      <c r="L58" s="16">
        <f t="shared" si="0"/>
        <v>0</v>
      </c>
      <c r="M58" s="16" t="str">
        <f t="shared" si="4"/>
        <v/>
      </c>
      <c r="N58" s="17">
        <f t="shared" si="2"/>
        <v>0</v>
      </c>
      <c r="P58"/>
      <c r="Q58"/>
    </row>
    <row r="59" spans="1:17" x14ac:dyDescent="0.2">
      <c r="A59" s="19">
        <f>IF(ISERROR(VLOOKUP(B59,Catalogo!$A$2:$C$410,2,0)),0,(VLOOKUP(B59,Catalogo!$A$2:$C$410,2,0)))</f>
        <v>0</v>
      </c>
      <c r="B59">
        <v>2001140</v>
      </c>
      <c r="C59"/>
      <c r="D59"/>
      <c r="E59"/>
      <c r="F59">
        <v>516517886.82999998</v>
      </c>
      <c r="G59"/>
      <c r="H59"/>
      <c r="I59"/>
      <c r="J59"/>
      <c r="K59"/>
      <c r="L59" s="16">
        <f t="shared" si="0"/>
        <v>0</v>
      </c>
      <c r="M59" s="16" t="str">
        <f t="shared" si="4"/>
        <v/>
      </c>
      <c r="N59" s="17">
        <f t="shared" si="2"/>
        <v>0</v>
      </c>
      <c r="P59"/>
      <c r="Q59"/>
    </row>
    <row r="60" spans="1:17" x14ac:dyDescent="0.2">
      <c r="A60" s="19">
        <f>IF(ISERROR(VLOOKUP(B60,Catalogo!$A$2:$C$410,2,0)),0,(VLOOKUP(B60,Catalogo!$A$2:$C$410,2,0)))</f>
        <v>0</v>
      </c>
      <c r="B60">
        <v>2001140</v>
      </c>
      <c r="C60"/>
      <c r="D60"/>
      <c r="E60"/>
      <c r="F60">
        <v>414978184.04000002</v>
      </c>
      <c r="G60"/>
      <c r="H60"/>
      <c r="I60"/>
      <c r="J60"/>
      <c r="K60"/>
      <c r="L60" s="16">
        <f t="shared" si="0"/>
        <v>0</v>
      </c>
      <c r="M60" s="16" t="str">
        <f t="shared" si="4"/>
        <v/>
      </c>
      <c r="N60" s="17">
        <f t="shared" si="2"/>
        <v>0</v>
      </c>
      <c r="P60"/>
      <c r="Q60"/>
    </row>
    <row r="61" spans="1:17" x14ac:dyDescent="0.2">
      <c r="A61" s="19">
        <f>IF(ISERROR(VLOOKUP(B61,Catalogo!$A$2:$C$410,2,0)),0,(VLOOKUP(B61,Catalogo!$A$2:$C$410,2,0)))</f>
        <v>0</v>
      </c>
      <c r="B61">
        <v>2001140</v>
      </c>
      <c r="C61"/>
      <c r="D61"/>
      <c r="E61"/>
      <c r="F61">
        <v>293244321.48000002</v>
      </c>
      <c r="G61"/>
      <c r="H61"/>
      <c r="I61"/>
      <c r="J61"/>
      <c r="K61"/>
      <c r="L61" s="16">
        <f t="shared" si="0"/>
        <v>0</v>
      </c>
      <c r="M61" s="16" t="str">
        <f t="shared" si="4"/>
        <v/>
      </c>
      <c r="N61" s="17">
        <f t="shared" si="2"/>
        <v>0</v>
      </c>
      <c r="P61"/>
      <c r="Q61"/>
    </row>
    <row r="62" spans="1:17" x14ac:dyDescent="0.2">
      <c r="A62" s="19">
        <f>IF(ISERROR(VLOOKUP(B62,Catalogo!$A$2:$C$410,2,0)),0,(VLOOKUP(B62,Catalogo!$A$2:$C$410,2,0)))</f>
        <v>0</v>
      </c>
      <c r="B62">
        <v>2001142</v>
      </c>
      <c r="C62"/>
      <c r="D62"/>
      <c r="E62"/>
      <c r="F62">
        <v>6878433.9900000002</v>
      </c>
      <c r="G62"/>
      <c r="H62"/>
      <c r="I62"/>
      <c r="J62"/>
      <c r="K62"/>
      <c r="L62" s="16">
        <f t="shared" si="0"/>
        <v>0</v>
      </c>
      <c r="M62" s="16" t="str">
        <f t="shared" si="4"/>
        <v/>
      </c>
      <c r="N62" s="17">
        <f t="shared" si="2"/>
        <v>0</v>
      </c>
      <c r="P62"/>
      <c r="Q62"/>
    </row>
    <row r="63" spans="1:17" x14ac:dyDescent="0.2">
      <c r="A63" s="19" t="str">
        <f>IF(ISERROR(VLOOKUP(B63,Catalogo!$A$2:$C$410,2,0)),0,(VLOOKUP(B63,Catalogo!$A$2:$C$410,2,0)))</f>
        <v>Record Keeping</v>
      </c>
      <c r="B63">
        <v>2000221</v>
      </c>
      <c r="C63"/>
      <c r="D63"/>
      <c r="E63"/>
      <c r="F63">
        <v>-14813.16</v>
      </c>
      <c r="G63"/>
      <c r="H63"/>
      <c r="I63"/>
      <c r="J63"/>
      <c r="K63"/>
      <c r="L63" s="16">
        <f t="shared" si="0"/>
        <v>2000221</v>
      </c>
      <c r="M63" s="16" t="str">
        <f>LEFT(E63,1)</f>
        <v/>
      </c>
      <c r="N63" s="17">
        <f t="shared" si="2"/>
        <v>-14813.16</v>
      </c>
      <c r="P63"/>
      <c r="Q63"/>
    </row>
    <row r="64" spans="1:17" x14ac:dyDescent="0.2">
      <c r="A64" s="19" t="str">
        <f>IF(ISERROR(VLOOKUP(B64,Catalogo!$A$2:$C$410,2,0)),0,(VLOOKUP(B64,Catalogo!$A$2:$C$410,2,0)))</f>
        <v>Record Keeping</v>
      </c>
      <c r="B64">
        <v>2000220</v>
      </c>
      <c r="C64"/>
      <c r="D64"/>
      <c r="E64"/>
      <c r="F64">
        <v>-90283.26</v>
      </c>
      <c r="G64"/>
      <c r="H64"/>
      <c r="I64"/>
      <c r="J64"/>
      <c r="K64"/>
      <c r="L64" s="16">
        <f t="shared" si="0"/>
        <v>2000220</v>
      </c>
      <c r="M64" s="16" t="str">
        <f t="shared" ref="M64:M93" si="5">LEFT(E64,1)</f>
        <v/>
      </c>
      <c r="N64" s="17">
        <f t="shared" si="2"/>
        <v>-90283.26</v>
      </c>
      <c r="P64"/>
      <c r="Q64"/>
    </row>
    <row r="65" spans="1:17" x14ac:dyDescent="0.2">
      <c r="A65" s="19" t="str">
        <f>IF(ISERROR(VLOOKUP(B65,Catalogo!$A$2:$C$410,2,0)),0,(VLOOKUP(B65,Catalogo!$A$2:$C$410,2,0)))</f>
        <v>Record Keeping</v>
      </c>
      <c r="B65">
        <v>2000218</v>
      </c>
      <c r="C65"/>
      <c r="D65"/>
      <c r="E65"/>
      <c r="F65">
        <v>-4939.75</v>
      </c>
      <c r="G65"/>
      <c r="H65"/>
      <c r="I65"/>
      <c r="J65"/>
      <c r="K65"/>
      <c r="L65" s="16">
        <f t="shared" si="0"/>
        <v>2000218</v>
      </c>
      <c r="M65" s="16" t="str">
        <f t="shared" si="5"/>
        <v/>
      </c>
      <c r="N65" s="17">
        <f t="shared" si="2"/>
        <v>-4939.75</v>
      </c>
      <c r="P65"/>
      <c r="Q65"/>
    </row>
    <row r="66" spans="1:17" x14ac:dyDescent="0.2">
      <c r="A66" s="19">
        <f>IF(ISERROR(VLOOKUP(B66,Catalogo!$A$2:$C$410,2,0)),0,(VLOOKUP(B66,Catalogo!$A$2:$C$410,2,0)))</f>
        <v>0</v>
      </c>
      <c r="B66">
        <v>2001141</v>
      </c>
      <c r="C66"/>
      <c r="D66"/>
      <c r="E66"/>
      <c r="F66">
        <v>3570657.46</v>
      </c>
      <c r="G66"/>
      <c r="H66"/>
      <c r="I66"/>
      <c r="J66"/>
      <c r="K66"/>
      <c r="L66" s="16">
        <f t="shared" ref="L66:L129" si="6">IF(A66="Record Keeping",B66,0)</f>
        <v>0</v>
      </c>
      <c r="M66" s="16" t="str">
        <f t="shared" si="5"/>
        <v/>
      </c>
      <c r="N66" s="17">
        <f t="shared" ref="N66:N129" si="7">IF(G66="CAN",F66*0,IF(M66="R",F66*-1,F66*1)*AND(A66="Record Keeping"))</f>
        <v>0</v>
      </c>
      <c r="P66"/>
      <c r="Q66"/>
    </row>
    <row r="67" spans="1:17" x14ac:dyDescent="0.2">
      <c r="A67" s="19">
        <f>IF(ISERROR(VLOOKUP(B67,Catalogo!$A$2:$C$410,2,0)),0,(VLOOKUP(B67,Catalogo!$A$2:$C$410,2,0)))</f>
        <v>0</v>
      </c>
      <c r="B67">
        <v>2001142</v>
      </c>
      <c r="C67"/>
      <c r="D67"/>
      <c r="E67"/>
      <c r="F67">
        <v>3795586.91</v>
      </c>
      <c r="G67"/>
      <c r="H67"/>
      <c r="I67"/>
      <c r="J67"/>
      <c r="K67"/>
      <c r="L67" s="16">
        <f t="shared" si="6"/>
        <v>0</v>
      </c>
      <c r="M67" s="16" t="str">
        <f t="shared" si="5"/>
        <v/>
      </c>
      <c r="N67" s="17">
        <f t="shared" si="7"/>
        <v>0</v>
      </c>
      <c r="P67"/>
      <c r="Q67"/>
    </row>
    <row r="68" spans="1:17" x14ac:dyDescent="0.2">
      <c r="A68" s="19">
        <f>IF(ISERROR(VLOOKUP(B68,Catalogo!$A$2:$C$410,2,0)),0,(VLOOKUP(B68,Catalogo!$A$2:$C$410,2,0)))</f>
        <v>0</v>
      </c>
      <c r="B68">
        <v>2001140</v>
      </c>
      <c r="C68"/>
      <c r="D68"/>
      <c r="E68"/>
      <c r="F68">
        <v>167546411.99000001</v>
      </c>
      <c r="G68"/>
      <c r="H68"/>
      <c r="I68"/>
      <c r="J68"/>
      <c r="K68"/>
      <c r="L68" s="16">
        <f t="shared" si="6"/>
        <v>0</v>
      </c>
      <c r="M68" s="16" t="str">
        <f t="shared" si="5"/>
        <v/>
      </c>
      <c r="N68" s="17">
        <f t="shared" si="7"/>
        <v>0</v>
      </c>
      <c r="P68"/>
      <c r="Q68"/>
    </row>
    <row r="69" spans="1:17" x14ac:dyDescent="0.2">
      <c r="A69" s="19">
        <f>IF(ISERROR(VLOOKUP(B69,Catalogo!$A$2:$C$410,2,0)),0,(VLOOKUP(B69,Catalogo!$A$2:$C$410,2,0)))</f>
        <v>0</v>
      </c>
      <c r="B69">
        <v>2001141</v>
      </c>
      <c r="C69"/>
      <c r="D69"/>
      <c r="E69"/>
      <c r="F69">
        <v>3226920.89</v>
      </c>
      <c r="G69"/>
      <c r="H69"/>
      <c r="I69"/>
      <c r="J69"/>
      <c r="K69"/>
      <c r="L69" s="16">
        <f t="shared" si="6"/>
        <v>0</v>
      </c>
      <c r="M69" s="16" t="str">
        <f t="shared" si="5"/>
        <v/>
      </c>
      <c r="N69" s="17">
        <f t="shared" si="7"/>
        <v>0</v>
      </c>
      <c r="P69"/>
      <c r="Q69"/>
    </row>
    <row r="70" spans="1:17" x14ac:dyDescent="0.2">
      <c r="A70" s="19" t="str">
        <f>IF(ISERROR(VLOOKUP(B70,Catalogo!$A$2:$C$410,2,0)),0,(VLOOKUP(B70,Catalogo!$A$2:$C$410,2,0)))</f>
        <v>Record Keeping</v>
      </c>
      <c r="B70">
        <v>2000217</v>
      </c>
      <c r="C70"/>
      <c r="D70"/>
      <c r="E70"/>
      <c r="F70">
        <v>-30149.45</v>
      </c>
      <c r="G70"/>
      <c r="H70"/>
      <c r="I70"/>
      <c r="J70"/>
      <c r="K70"/>
      <c r="L70" s="16">
        <f t="shared" si="6"/>
        <v>2000217</v>
      </c>
      <c r="M70" s="16" t="str">
        <f t="shared" si="5"/>
        <v/>
      </c>
      <c r="N70" s="17">
        <f t="shared" si="7"/>
        <v>-30149.45</v>
      </c>
      <c r="P70"/>
      <c r="Q70"/>
    </row>
    <row r="71" spans="1:17" x14ac:dyDescent="0.2">
      <c r="A71" s="19" t="str">
        <f>IF(ISERROR(VLOOKUP(B71,Catalogo!$A$2:$C$410,2,0)),0,(VLOOKUP(B71,Catalogo!$A$2:$C$410,2,0)))</f>
        <v>Record Keeping</v>
      </c>
      <c r="B71">
        <v>2000905</v>
      </c>
      <c r="C71"/>
      <c r="D71"/>
      <c r="E71"/>
      <c r="F71">
        <v>2718867.31</v>
      </c>
      <c r="G71"/>
      <c r="H71"/>
      <c r="I71"/>
      <c r="J71"/>
      <c r="K71"/>
      <c r="L71" s="16">
        <f t="shared" si="6"/>
        <v>2000905</v>
      </c>
      <c r="M71" s="16" t="str">
        <f t="shared" si="5"/>
        <v/>
      </c>
      <c r="N71" s="17">
        <f t="shared" si="7"/>
        <v>2718867.31</v>
      </c>
      <c r="P71"/>
      <c r="Q71"/>
    </row>
    <row r="72" spans="1:17" x14ac:dyDescent="0.2">
      <c r="A72" s="19">
        <f>IF(ISERROR(VLOOKUP(B72,Catalogo!$A$2:$C$410,2,0)),0,(VLOOKUP(B72,Catalogo!$A$2:$C$410,2,0)))</f>
        <v>0</v>
      </c>
      <c r="B72">
        <v>2001140</v>
      </c>
      <c r="C72"/>
      <c r="D72"/>
      <c r="E72"/>
      <c r="F72">
        <v>10288030.32</v>
      </c>
      <c r="G72"/>
      <c r="H72"/>
      <c r="I72"/>
      <c r="J72"/>
      <c r="K72"/>
      <c r="L72" s="16">
        <f t="shared" si="6"/>
        <v>0</v>
      </c>
      <c r="M72" s="16" t="str">
        <f t="shared" si="5"/>
        <v/>
      </c>
      <c r="N72" s="17">
        <f t="shared" si="7"/>
        <v>0</v>
      </c>
      <c r="P72"/>
      <c r="Q72"/>
    </row>
    <row r="73" spans="1:17" x14ac:dyDescent="0.2">
      <c r="A73" s="19">
        <f>IF(ISERROR(VLOOKUP(B73,Catalogo!$A$2:$C$410,2,0)),0,(VLOOKUP(B73,Catalogo!$A$2:$C$410,2,0)))</f>
        <v>0</v>
      </c>
      <c r="B73">
        <v>2001141</v>
      </c>
      <c r="C73"/>
      <c r="D73"/>
      <c r="E73"/>
      <c r="F73">
        <v>1277563.33</v>
      </c>
      <c r="G73"/>
      <c r="H73"/>
      <c r="I73"/>
      <c r="J73"/>
      <c r="K73"/>
      <c r="L73" s="16">
        <f t="shared" si="6"/>
        <v>0</v>
      </c>
      <c r="M73" s="16" t="str">
        <f t="shared" si="5"/>
        <v/>
      </c>
      <c r="N73" s="17">
        <f t="shared" si="7"/>
        <v>0</v>
      </c>
      <c r="P73"/>
      <c r="Q73"/>
    </row>
    <row r="74" spans="1:17" x14ac:dyDescent="0.2">
      <c r="A74" s="19" t="str">
        <f>IF(ISERROR(VLOOKUP(B74,Catalogo!$A$2:$C$410,2,0)),0,(VLOOKUP(B74,Catalogo!$A$2:$C$410,2,0)))</f>
        <v>Record Keeping</v>
      </c>
      <c r="B74">
        <v>2001049</v>
      </c>
      <c r="C74"/>
      <c r="D74"/>
      <c r="E74"/>
      <c r="F74">
        <v>496235.54</v>
      </c>
      <c r="G74"/>
      <c r="H74"/>
      <c r="I74"/>
      <c r="J74"/>
      <c r="K74"/>
      <c r="L74" s="16">
        <f t="shared" si="6"/>
        <v>2001049</v>
      </c>
      <c r="M74" s="16" t="str">
        <f t="shared" si="5"/>
        <v/>
      </c>
      <c r="N74" s="17">
        <f t="shared" si="7"/>
        <v>496235.54</v>
      </c>
      <c r="P74"/>
      <c r="Q74"/>
    </row>
    <row r="75" spans="1:17" x14ac:dyDescent="0.2">
      <c r="A75" s="19">
        <f>IF(ISERROR(VLOOKUP(B75,Catalogo!$A$2:$C$410,2,0)),0,(VLOOKUP(B75,Catalogo!$A$2:$C$410,2,0)))</f>
        <v>0</v>
      </c>
      <c r="B75">
        <v>2001141</v>
      </c>
      <c r="C75"/>
      <c r="D75"/>
      <c r="E75"/>
      <c r="F75">
        <v>1277563.33</v>
      </c>
      <c r="G75"/>
      <c r="H75"/>
      <c r="I75"/>
      <c r="J75"/>
      <c r="K75"/>
      <c r="L75" s="16">
        <f t="shared" si="6"/>
        <v>0</v>
      </c>
      <c r="M75" s="16" t="str">
        <f t="shared" si="5"/>
        <v/>
      </c>
      <c r="N75" s="17">
        <f t="shared" si="7"/>
        <v>0</v>
      </c>
      <c r="P75"/>
      <c r="Q75"/>
    </row>
    <row r="76" spans="1:17" x14ac:dyDescent="0.2">
      <c r="A76" s="19" t="str">
        <f>IF(ISERROR(VLOOKUP(B76,Catalogo!$A$2:$C$410,2,0)),0,(VLOOKUP(B76,Catalogo!$A$2:$C$410,2,0)))</f>
        <v>Record Keeping</v>
      </c>
      <c r="B76">
        <v>2001049</v>
      </c>
      <c r="C76"/>
      <c r="D76"/>
      <c r="E76"/>
      <c r="F76">
        <v>496235.54</v>
      </c>
      <c r="G76"/>
      <c r="H76"/>
      <c r="I76"/>
      <c r="J76"/>
      <c r="K76"/>
      <c r="L76" s="16">
        <f t="shared" si="6"/>
        <v>2001049</v>
      </c>
      <c r="M76" s="16" t="str">
        <f t="shared" si="5"/>
        <v/>
      </c>
      <c r="N76" s="17">
        <f t="shared" si="7"/>
        <v>496235.54</v>
      </c>
      <c r="P76"/>
      <c r="Q76"/>
    </row>
    <row r="77" spans="1:17" x14ac:dyDescent="0.2">
      <c r="A77" s="19">
        <f>IF(ISERROR(VLOOKUP(B77,Catalogo!$A$2:$C$410,2,0)),0,(VLOOKUP(B77,Catalogo!$A$2:$C$410,2,0)))</f>
        <v>0</v>
      </c>
      <c r="B77"/>
      <c r="C77"/>
      <c r="D77"/>
      <c r="E77"/>
      <c r="F77"/>
      <c r="G77"/>
      <c r="H77"/>
      <c r="I77"/>
      <c r="J77"/>
      <c r="K77"/>
      <c r="L77" s="16">
        <f t="shared" si="6"/>
        <v>0</v>
      </c>
      <c r="M77" s="16" t="str">
        <f t="shared" si="5"/>
        <v/>
      </c>
      <c r="N77" s="17">
        <f t="shared" si="7"/>
        <v>0</v>
      </c>
      <c r="P77"/>
      <c r="Q77"/>
    </row>
    <row r="78" spans="1:17" x14ac:dyDescent="0.2">
      <c r="A78" s="19">
        <f>IF(ISERROR(VLOOKUP(B78,Catalogo!$A$2:$C$410,2,0)),0,(VLOOKUP(B78,Catalogo!$A$2:$C$410,2,0)))</f>
        <v>0</v>
      </c>
      <c r="B78"/>
      <c r="C78"/>
      <c r="D78"/>
      <c r="E78"/>
      <c r="F78"/>
      <c r="G78"/>
      <c r="H78"/>
      <c r="I78"/>
      <c r="J78"/>
      <c r="K78"/>
      <c r="L78" s="16">
        <f t="shared" si="6"/>
        <v>0</v>
      </c>
      <c r="M78" s="16" t="str">
        <f t="shared" si="5"/>
        <v/>
      </c>
      <c r="N78" s="17">
        <f t="shared" si="7"/>
        <v>0</v>
      </c>
      <c r="P78"/>
      <c r="Q78"/>
    </row>
    <row r="79" spans="1:17" x14ac:dyDescent="0.2">
      <c r="A79" s="19">
        <f>IF(ISERROR(VLOOKUP(B79,Catalogo!$A$2:$C$410,2,0)),0,(VLOOKUP(B79,Catalogo!$A$2:$C$410,2,0)))</f>
        <v>0</v>
      </c>
      <c r="B79"/>
      <c r="C79"/>
      <c r="D79"/>
      <c r="E79"/>
      <c r="F79"/>
      <c r="G79"/>
      <c r="H79"/>
      <c r="I79"/>
      <c r="J79"/>
      <c r="K79"/>
      <c r="L79" s="16">
        <f t="shared" si="6"/>
        <v>0</v>
      </c>
      <c r="M79" s="16" t="str">
        <f t="shared" si="5"/>
        <v/>
      </c>
      <c r="N79" s="17">
        <f t="shared" si="7"/>
        <v>0</v>
      </c>
      <c r="P79"/>
      <c r="Q79"/>
    </row>
    <row r="80" spans="1:17" x14ac:dyDescent="0.2">
      <c r="A80" s="19">
        <f>IF(ISERROR(VLOOKUP(B80,Catalogo!$A$2:$C$410,2,0)),0,(VLOOKUP(B80,Catalogo!$A$2:$C$410,2,0)))</f>
        <v>0</v>
      </c>
      <c r="B80"/>
      <c r="C80"/>
      <c r="D80"/>
      <c r="E80"/>
      <c r="F80"/>
      <c r="G80"/>
      <c r="H80"/>
      <c r="I80"/>
      <c r="J80"/>
      <c r="K80"/>
      <c r="L80" s="16">
        <f t="shared" si="6"/>
        <v>0</v>
      </c>
      <c r="M80" s="16" t="str">
        <f t="shared" si="5"/>
        <v/>
      </c>
      <c r="N80" s="17">
        <f t="shared" si="7"/>
        <v>0</v>
      </c>
      <c r="P80"/>
      <c r="Q80"/>
    </row>
    <row r="81" spans="1:17" x14ac:dyDescent="0.2">
      <c r="A81" s="19">
        <f>IF(ISERROR(VLOOKUP(B81,Catalogo!$A$2:$C$410,2,0)),0,(VLOOKUP(B81,Catalogo!$A$2:$C$410,2,0)))</f>
        <v>0</v>
      </c>
      <c r="B81"/>
      <c r="C81"/>
      <c r="D81"/>
      <c r="E81"/>
      <c r="F81"/>
      <c r="G81"/>
      <c r="H81"/>
      <c r="I81"/>
      <c r="J81"/>
      <c r="K81"/>
      <c r="L81" s="16">
        <f t="shared" si="6"/>
        <v>0</v>
      </c>
      <c r="M81" s="16" t="str">
        <f t="shared" si="5"/>
        <v/>
      </c>
      <c r="N81" s="17">
        <f t="shared" si="7"/>
        <v>0</v>
      </c>
      <c r="P81"/>
      <c r="Q81"/>
    </row>
    <row r="82" spans="1:17" x14ac:dyDescent="0.2">
      <c r="A82" s="19">
        <f>IF(ISERROR(VLOOKUP(B82,Catalogo!$A$2:$C$410,2,0)),0,(VLOOKUP(B82,Catalogo!$A$2:$C$410,2,0)))</f>
        <v>0</v>
      </c>
      <c r="B82"/>
      <c r="C82"/>
      <c r="D82"/>
      <c r="E82"/>
      <c r="F82"/>
      <c r="G82"/>
      <c r="H82"/>
      <c r="I82"/>
      <c r="J82"/>
      <c r="K82"/>
      <c r="L82" s="16">
        <f t="shared" si="6"/>
        <v>0</v>
      </c>
      <c r="M82" s="16" t="str">
        <f t="shared" si="5"/>
        <v/>
      </c>
      <c r="N82" s="17">
        <f t="shared" si="7"/>
        <v>0</v>
      </c>
      <c r="P82"/>
      <c r="Q82"/>
    </row>
    <row r="83" spans="1:17" x14ac:dyDescent="0.2">
      <c r="A83" s="19">
        <f>IF(ISERROR(VLOOKUP(B83,Catalogo!$A$2:$C$410,2,0)),0,(VLOOKUP(B83,Catalogo!$A$2:$C$410,2,0)))</f>
        <v>0</v>
      </c>
      <c r="B83"/>
      <c r="C83"/>
      <c r="D83"/>
      <c r="E83"/>
      <c r="F83"/>
      <c r="G83"/>
      <c r="H83"/>
      <c r="I83"/>
      <c r="J83"/>
      <c r="K83"/>
      <c r="L83" s="16">
        <f t="shared" si="6"/>
        <v>0</v>
      </c>
      <c r="M83" s="16" t="str">
        <f t="shared" si="5"/>
        <v/>
      </c>
      <c r="N83" s="17">
        <f t="shared" si="7"/>
        <v>0</v>
      </c>
      <c r="P83"/>
      <c r="Q83"/>
    </row>
    <row r="84" spans="1:17" x14ac:dyDescent="0.2">
      <c r="A84" s="19">
        <f>IF(ISERROR(VLOOKUP(B84,Catalogo!$A$2:$C$410,2,0)),0,(VLOOKUP(B84,Catalogo!$A$2:$C$410,2,0)))</f>
        <v>0</v>
      </c>
      <c r="B84"/>
      <c r="C84"/>
      <c r="D84"/>
      <c r="E84"/>
      <c r="F84"/>
      <c r="G84"/>
      <c r="H84"/>
      <c r="I84"/>
      <c r="J84"/>
      <c r="K84"/>
      <c r="L84" s="16">
        <f t="shared" si="6"/>
        <v>0</v>
      </c>
      <c r="M84" s="16" t="str">
        <f t="shared" si="5"/>
        <v/>
      </c>
      <c r="N84" s="17">
        <f t="shared" si="7"/>
        <v>0</v>
      </c>
      <c r="P84"/>
      <c r="Q84"/>
    </row>
    <row r="85" spans="1:17" x14ac:dyDescent="0.2">
      <c r="A85" s="19">
        <f>IF(ISERROR(VLOOKUP(B85,Catalogo!$A$2:$C$410,2,0)),0,(VLOOKUP(B85,Catalogo!$A$2:$C$410,2,0)))</f>
        <v>0</v>
      </c>
      <c r="B85"/>
      <c r="C85"/>
      <c r="D85"/>
      <c r="E85"/>
      <c r="F85"/>
      <c r="G85"/>
      <c r="H85"/>
      <c r="I85"/>
      <c r="J85"/>
      <c r="K85"/>
      <c r="L85" s="16">
        <f t="shared" si="6"/>
        <v>0</v>
      </c>
      <c r="M85" s="16" t="str">
        <f t="shared" si="5"/>
        <v/>
      </c>
      <c r="N85" s="17">
        <f t="shared" si="7"/>
        <v>0</v>
      </c>
      <c r="P85"/>
      <c r="Q85"/>
    </row>
    <row r="86" spans="1:17" x14ac:dyDescent="0.2">
      <c r="A86" s="19">
        <f>IF(ISERROR(VLOOKUP(B86,Catalogo!$A$2:$C$410,2,0)),0,(VLOOKUP(B86,Catalogo!$A$2:$C$410,2,0)))</f>
        <v>0</v>
      </c>
      <c r="B86"/>
      <c r="C86"/>
      <c r="D86"/>
      <c r="E86"/>
      <c r="F86"/>
      <c r="G86"/>
      <c r="H86"/>
      <c r="I86"/>
      <c r="J86"/>
      <c r="K86"/>
      <c r="L86" s="16">
        <f t="shared" si="6"/>
        <v>0</v>
      </c>
      <c r="M86" s="16" t="str">
        <f t="shared" si="5"/>
        <v/>
      </c>
      <c r="N86" s="17">
        <f t="shared" si="7"/>
        <v>0</v>
      </c>
      <c r="P86"/>
      <c r="Q86"/>
    </row>
    <row r="87" spans="1:17" x14ac:dyDescent="0.2">
      <c r="A87" s="19">
        <f>IF(ISERROR(VLOOKUP(B87,Catalogo!$A$2:$C$410,2,0)),0,(VLOOKUP(B87,Catalogo!$A$2:$C$410,2,0)))</f>
        <v>0</v>
      </c>
      <c r="B87"/>
      <c r="C87"/>
      <c r="D87"/>
      <c r="E87"/>
      <c r="F87"/>
      <c r="G87"/>
      <c r="H87"/>
      <c r="I87"/>
      <c r="J87"/>
      <c r="K87"/>
      <c r="L87" s="16">
        <f t="shared" si="6"/>
        <v>0</v>
      </c>
      <c r="M87" s="16" t="str">
        <f t="shared" si="5"/>
        <v/>
      </c>
      <c r="N87" s="17">
        <f t="shared" si="7"/>
        <v>0</v>
      </c>
      <c r="P87"/>
      <c r="Q87"/>
    </row>
    <row r="88" spans="1:17" x14ac:dyDescent="0.2">
      <c r="A88" s="19">
        <f>IF(ISERROR(VLOOKUP(B88,Catalogo!$A$2:$C$410,2,0)),0,(VLOOKUP(B88,Catalogo!$A$2:$C$410,2,0)))</f>
        <v>0</v>
      </c>
      <c r="B88"/>
      <c r="C88"/>
      <c r="D88"/>
      <c r="E88"/>
      <c r="F88"/>
      <c r="G88"/>
      <c r="H88"/>
      <c r="I88"/>
      <c r="J88"/>
      <c r="K88"/>
      <c r="L88" s="16">
        <f t="shared" si="6"/>
        <v>0</v>
      </c>
      <c r="M88" s="16" t="str">
        <f t="shared" si="5"/>
        <v/>
      </c>
      <c r="N88" s="17">
        <f t="shared" si="7"/>
        <v>0</v>
      </c>
      <c r="P88"/>
      <c r="Q88"/>
    </row>
    <row r="89" spans="1:17" x14ac:dyDescent="0.2">
      <c r="A89" s="19">
        <f>IF(ISERROR(VLOOKUP(B89,Catalogo!$A$2:$C$410,2,0)),0,(VLOOKUP(B89,Catalogo!$A$2:$C$410,2,0)))</f>
        <v>0</v>
      </c>
      <c r="B89"/>
      <c r="C89"/>
      <c r="D89"/>
      <c r="E89"/>
      <c r="F89"/>
      <c r="G89"/>
      <c r="H89"/>
      <c r="I89"/>
      <c r="J89"/>
      <c r="K89"/>
      <c r="L89" s="16">
        <f t="shared" si="6"/>
        <v>0</v>
      </c>
      <c r="M89" s="16" t="str">
        <f t="shared" si="5"/>
        <v/>
      </c>
      <c r="N89" s="17">
        <f t="shared" si="7"/>
        <v>0</v>
      </c>
      <c r="P89"/>
      <c r="Q89"/>
    </row>
    <row r="90" spans="1:17" x14ac:dyDescent="0.2">
      <c r="A90" s="19">
        <f>IF(ISERROR(VLOOKUP(B90,Catalogo!$A$2:$C$410,2,0)),0,(VLOOKUP(B90,Catalogo!$A$2:$C$410,2,0)))</f>
        <v>0</v>
      </c>
      <c r="B90"/>
      <c r="C90"/>
      <c r="D90"/>
      <c r="E90"/>
      <c r="F90"/>
      <c r="G90"/>
      <c r="H90"/>
      <c r="I90"/>
      <c r="J90"/>
      <c r="K90"/>
      <c r="L90" s="16">
        <f t="shared" si="6"/>
        <v>0</v>
      </c>
      <c r="M90" s="16" t="str">
        <f t="shared" si="5"/>
        <v/>
      </c>
      <c r="N90" s="17">
        <f t="shared" si="7"/>
        <v>0</v>
      </c>
      <c r="P90"/>
      <c r="Q90"/>
    </row>
    <row r="91" spans="1:17" x14ac:dyDescent="0.2">
      <c r="A91" s="19">
        <f>IF(ISERROR(VLOOKUP(B91,Catalogo!$A$2:$C$410,2,0)),0,(VLOOKUP(B91,Catalogo!$A$2:$C$410,2,0)))</f>
        <v>0</v>
      </c>
      <c r="B91"/>
      <c r="C91"/>
      <c r="D91"/>
      <c r="E91"/>
      <c r="F91"/>
      <c r="G91"/>
      <c r="H91"/>
      <c r="I91"/>
      <c r="J91"/>
      <c r="K91"/>
      <c r="L91" s="16">
        <f t="shared" si="6"/>
        <v>0</v>
      </c>
      <c r="M91" s="16" t="str">
        <f t="shared" si="5"/>
        <v/>
      </c>
      <c r="N91" s="17">
        <f t="shared" si="7"/>
        <v>0</v>
      </c>
      <c r="P91"/>
      <c r="Q91"/>
    </row>
    <row r="92" spans="1:17" x14ac:dyDescent="0.2">
      <c r="A92" s="19">
        <f>IF(ISERROR(VLOOKUP(B92,Catalogo!$A$2:$C$410,2,0)),0,(VLOOKUP(B92,Catalogo!$A$2:$C$410,2,0)))</f>
        <v>0</v>
      </c>
      <c r="B92"/>
      <c r="C92"/>
      <c r="D92"/>
      <c r="E92"/>
      <c r="F92"/>
      <c r="G92"/>
      <c r="H92"/>
      <c r="I92"/>
      <c r="J92"/>
      <c r="K92"/>
      <c r="L92" s="16">
        <f t="shared" si="6"/>
        <v>0</v>
      </c>
      <c r="M92" s="16" t="str">
        <f t="shared" si="5"/>
        <v/>
      </c>
      <c r="N92" s="17">
        <f t="shared" si="7"/>
        <v>0</v>
      </c>
      <c r="P92"/>
      <c r="Q92"/>
    </row>
    <row r="93" spans="1:17" x14ac:dyDescent="0.2">
      <c r="A93" s="19">
        <f>IF(ISERROR(VLOOKUP(B93,Catalogo!$A$2:$C$410,2,0)),0,(VLOOKUP(B93,Catalogo!$A$2:$C$410,2,0)))</f>
        <v>0</v>
      </c>
      <c r="B93"/>
      <c r="C93"/>
      <c r="D93"/>
      <c r="E93"/>
      <c r="F93"/>
      <c r="G93"/>
      <c r="H93"/>
      <c r="I93"/>
      <c r="J93"/>
      <c r="K93"/>
      <c r="L93" s="16">
        <f t="shared" si="6"/>
        <v>0</v>
      </c>
      <c r="M93" s="16" t="str">
        <f t="shared" si="5"/>
        <v/>
      </c>
      <c r="N93" s="17">
        <f t="shared" si="7"/>
        <v>0</v>
      </c>
      <c r="P93"/>
      <c r="Q93"/>
    </row>
    <row r="94" spans="1:17" x14ac:dyDescent="0.2">
      <c r="A94" s="19">
        <f>IF(ISERROR(VLOOKUP(B94,Catalogo!$A$2:$C$410,2,0)),0,(VLOOKUP(B94,Catalogo!$A$2:$C$410,2,0)))</f>
        <v>0</v>
      </c>
      <c r="B94"/>
      <c r="C94"/>
      <c r="D94"/>
      <c r="E94"/>
      <c r="F94"/>
      <c r="G94"/>
      <c r="H94"/>
      <c r="I94"/>
      <c r="J94"/>
      <c r="K94"/>
      <c r="L94" s="16">
        <f t="shared" si="6"/>
        <v>0</v>
      </c>
      <c r="M94" s="16" t="str">
        <f t="shared" ref="M94:M128" si="8">LEFT(E94,1)</f>
        <v/>
      </c>
      <c r="N94" s="17">
        <f t="shared" si="7"/>
        <v>0</v>
      </c>
      <c r="P94"/>
      <c r="Q94"/>
    </row>
    <row r="95" spans="1:17" x14ac:dyDescent="0.2">
      <c r="A95" s="19">
        <f>IF(ISERROR(VLOOKUP(B95,Catalogo!$A$2:$C$410,2,0)),0,(VLOOKUP(B95,Catalogo!$A$2:$C$410,2,0)))</f>
        <v>0</v>
      </c>
      <c r="B95"/>
      <c r="C95"/>
      <c r="D95"/>
      <c r="E95"/>
      <c r="F95"/>
      <c r="G95"/>
      <c r="H95"/>
      <c r="I95"/>
      <c r="J95"/>
      <c r="K95"/>
      <c r="L95" s="16">
        <f t="shared" si="6"/>
        <v>0</v>
      </c>
      <c r="M95" s="16" t="str">
        <f t="shared" si="8"/>
        <v/>
      </c>
      <c r="N95" s="17">
        <f t="shared" si="7"/>
        <v>0</v>
      </c>
      <c r="P95"/>
      <c r="Q95"/>
    </row>
    <row r="96" spans="1:17" x14ac:dyDescent="0.2">
      <c r="A96" s="19">
        <f>IF(ISERROR(VLOOKUP(B96,Catalogo!$A$2:$C$410,2,0)),0,(VLOOKUP(B96,Catalogo!$A$2:$C$410,2,0)))</f>
        <v>0</v>
      </c>
      <c r="B96"/>
      <c r="C96"/>
      <c r="D96"/>
      <c r="E96"/>
      <c r="F96"/>
      <c r="G96"/>
      <c r="H96"/>
      <c r="I96"/>
      <c r="J96"/>
      <c r="K96"/>
      <c r="L96" s="16">
        <f t="shared" si="6"/>
        <v>0</v>
      </c>
      <c r="M96" s="16" t="str">
        <f t="shared" si="8"/>
        <v/>
      </c>
      <c r="N96" s="17">
        <f t="shared" si="7"/>
        <v>0</v>
      </c>
      <c r="P96"/>
      <c r="Q96"/>
    </row>
    <row r="97" spans="1:17" x14ac:dyDescent="0.2">
      <c r="A97" s="19">
        <f>IF(ISERROR(VLOOKUP(B97,Catalogo!$A$2:$C$410,2,0)),0,(VLOOKUP(B97,Catalogo!$A$2:$C$410,2,0)))</f>
        <v>0</v>
      </c>
      <c r="B97"/>
      <c r="C97"/>
      <c r="D97"/>
      <c r="E97"/>
      <c r="F97"/>
      <c r="G97"/>
      <c r="H97"/>
      <c r="I97"/>
      <c r="J97"/>
      <c r="K97"/>
      <c r="L97" s="16">
        <f t="shared" si="6"/>
        <v>0</v>
      </c>
      <c r="M97" s="16" t="str">
        <f t="shared" si="8"/>
        <v/>
      </c>
      <c r="N97" s="17">
        <f t="shared" si="7"/>
        <v>0</v>
      </c>
      <c r="P97"/>
      <c r="Q97"/>
    </row>
    <row r="98" spans="1:17" x14ac:dyDescent="0.2">
      <c r="A98" s="19">
        <f>IF(ISERROR(VLOOKUP(B98,Catalogo!$A$2:$C$410,2,0)),0,(VLOOKUP(B98,Catalogo!$A$2:$C$410,2,0)))</f>
        <v>0</v>
      </c>
      <c r="B98"/>
      <c r="C98"/>
      <c r="D98"/>
      <c r="E98"/>
      <c r="F98"/>
      <c r="G98"/>
      <c r="H98"/>
      <c r="I98"/>
      <c r="J98"/>
      <c r="K98"/>
      <c r="L98" s="16">
        <f t="shared" si="6"/>
        <v>0</v>
      </c>
      <c r="M98" s="16" t="str">
        <f t="shared" si="8"/>
        <v/>
      </c>
      <c r="N98" s="17">
        <f t="shared" si="7"/>
        <v>0</v>
      </c>
      <c r="P98"/>
      <c r="Q98"/>
    </row>
    <row r="99" spans="1:17" x14ac:dyDescent="0.2">
      <c r="A99" s="19">
        <f>IF(ISERROR(VLOOKUP(B99,Catalogo!$A$2:$C$410,2,0)),0,(VLOOKUP(B99,Catalogo!$A$2:$C$410,2,0)))</f>
        <v>0</v>
      </c>
      <c r="B99"/>
      <c r="C99"/>
      <c r="D99"/>
      <c r="E99"/>
      <c r="F99"/>
      <c r="G99"/>
      <c r="H99"/>
      <c r="I99"/>
      <c r="J99"/>
      <c r="K99"/>
      <c r="L99" s="16">
        <f t="shared" si="6"/>
        <v>0</v>
      </c>
      <c r="M99" s="16" t="str">
        <f t="shared" si="8"/>
        <v/>
      </c>
      <c r="N99" s="17">
        <f t="shared" si="7"/>
        <v>0</v>
      </c>
      <c r="P99"/>
      <c r="Q99"/>
    </row>
    <row r="100" spans="1:17" x14ac:dyDescent="0.2">
      <c r="A100" s="19">
        <f>IF(ISERROR(VLOOKUP(B100,Catalogo!$A$2:$C$410,2,0)),0,(VLOOKUP(B100,Catalogo!$A$2:$C$410,2,0)))</f>
        <v>0</v>
      </c>
      <c r="B100"/>
      <c r="C100"/>
      <c r="D100"/>
      <c r="E100"/>
      <c r="F100"/>
      <c r="G100"/>
      <c r="H100"/>
      <c r="I100"/>
      <c r="J100"/>
      <c r="K100"/>
      <c r="L100" s="16">
        <f t="shared" si="6"/>
        <v>0</v>
      </c>
      <c r="M100" s="16" t="str">
        <f t="shared" si="8"/>
        <v/>
      </c>
      <c r="N100" s="17">
        <f t="shared" si="7"/>
        <v>0</v>
      </c>
      <c r="P100"/>
      <c r="Q100"/>
    </row>
    <row r="101" spans="1:17" x14ac:dyDescent="0.2">
      <c r="A101" s="19">
        <f>IF(ISERROR(VLOOKUP(B101,Catalogo!$A$2:$C$410,2,0)),0,(VLOOKUP(B101,Catalogo!$A$2:$C$410,2,0)))</f>
        <v>0</v>
      </c>
      <c r="B101"/>
      <c r="C101"/>
      <c r="D101"/>
      <c r="E101"/>
      <c r="F101"/>
      <c r="G101"/>
      <c r="H101"/>
      <c r="I101"/>
      <c r="J101"/>
      <c r="K101"/>
      <c r="L101" s="16">
        <f t="shared" si="6"/>
        <v>0</v>
      </c>
      <c r="M101" s="16" t="str">
        <f t="shared" si="8"/>
        <v/>
      </c>
      <c r="N101" s="17">
        <f t="shared" si="7"/>
        <v>0</v>
      </c>
      <c r="P101"/>
      <c r="Q101"/>
    </row>
    <row r="102" spans="1:17" x14ac:dyDescent="0.2">
      <c r="A102" s="19">
        <f>IF(ISERROR(VLOOKUP(B102,Catalogo!$A$2:$C$410,2,0)),0,(VLOOKUP(B102,Catalogo!$A$2:$C$410,2,0)))</f>
        <v>0</v>
      </c>
      <c r="B102"/>
      <c r="C102"/>
      <c r="D102"/>
      <c r="E102"/>
      <c r="F102"/>
      <c r="G102"/>
      <c r="H102"/>
      <c r="I102"/>
      <c r="J102"/>
      <c r="K102"/>
      <c r="L102" s="16">
        <f t="shared" si="6"/>
        <v>0</v>
      </c>
      <c r="M102" s="16" t="str">
        <f t="shared" si="8"/>
        <v/>
      </c>
      <c r="N102" s="17">
        <f t="shared" si="7"/>
        <v>0</v>
      </c>
      <c r="P102"/>
      <c r="Q102"/>
    </row>
    <row r="103" spans="1:17" x14ac:dyDescent="0.2">
      <c r="A103" s="19">
        <f>IF(ISERROR(VLOOKUP(B103,Catalogo!$A$2:$C$410,2,0)),0,(VLOOKUP(B103,Catalogo!$A$2:$C$410,2,0)))</f>
        <v>0</v>
      </c>
      <c r="B103"/>
      <c r="C103"/>
      <c r="D103"/>
      <c r="E103"/>
      <c r="F103"/>
      <c r="G103"/>
      <c r="H103"/>
      <c r="I103"/>
      <c r="J103"/>
      <c r="K103"/>
      <c r="L103" s="16">
        <f t="shared" si="6"/>
        <v>0</v>
      </c>
      <c r="M103" s="16" t="str">
        <f t="shared" si="8"/>
        <v/>
      </c>
      <c r="N103" s="17">
        <f t="shared" si="7"/>
        <v>0</v>
      </c>
      <c r="P103"/>
      <c r="Q103"/>
    </row>
    <row r="104" spans="1:17" x14ac:dyDescent="0.2">
      <c r="A104" s="19">
        <f>IF(ISERROR(VLOOKUP(B104,Catalogo!$A$2:$C$410,2,0)),0,(VLOOKUP(B104,Catalogo!$A$2:$C$410,2,0)))</f>
        <v>0</v>
      </c>
      <c r="B104"/>
      <c r="C104"/>
      <c r="D104"/>
      <c r="E104"/>
      <c r="F104"/>
      <c r="G104"/>
      <c r="H104"/>
      <c r="I104"/>
      <c r="J104"/>
      <c r="K104"/>
      <c r="L104" s="16">
        <f t="shared" si="6"/>
        <v>0</v>
      </c>
      <c r="M104" s="16" t="str">
        <f t="shared" si="8"/>
        <v/>
      </c>
      <c r="N104" s="17">
        <f t="shared" si="7"/>
        <v>0</v>
      </c>
      <c r="P104"/>
      <c r="Q104"/>
    </row>
    <row r="105" spans="1:17" x14ac:dyDescent="0.2">
      <c r="A105" s="19">
        <f>IF(ISERROR(VLOOKUP(B105,Catalogo!$A$2:$C$410,2,0)),0,(VLOOKUP(B105,Catalogo!$A$2:$C$410,2,0)))</f>
        <v>0</v>
      </c>
      <c r="B105"/>
      <c r="C105"/>
      <c r="D105"/>
      <c r="E105"/>
      <c r="F105"/>
      <c r="G105"/>
      <c r="H105"/>
      <c r="I105"/>
      <c r="J105"/>
      <c r="K105"/>
      <c r="L105" s="16">
        <f t="shared" si="6"/>
        <v>0</v>
      </c>
      <c r="M105" s="16" t="str">
        <f t="shared" si="8"/>
        <v/>
      </c>
      <c r="N105" s="17">
        <f t="shared" si="7"/>
        <v>0</v>
      </c>
      <c r="P105"/>
      <c r="Q105"/>
    </row>
    <row r="106" spans="1:17" x14ac:dyDescent="0.2">
      <c r="A106" s="19">
        <f>IF(ISERROR(VLOOKUP(B106,Catalogo!$A$2:$C$410,2,0)),0,(VLOOKUP(B106,Catalogo!$A$2:$C$410,2,0)))</f>
        <v>0</v>
      </c>
      <c r="B106"/>
      <c r="C106"/>
      <c r="D106"/>
      <c r="E106"/>
      <c r="F106"/>
      <c r="G106"/>
      <c r="H106"/>
      <c r="I106"/>
      <c r="J106"/>
      <c r="K106"/>
      <c r="L106" s="16">
        <f t="shared" si="6"/>
        <v>0</v>
      </c>
      <c r="M106" s="16" t="str">
        <f t="shared" si="8"/>
        <v/>
      </c>
      <c r="N106" s="17">
        <f t="shared" si="7"/>
        <v>0</v>
      </c>
      <c r="P106"/>
      <c r="Q106"/>
    </row>
    <row r="107" spans="1:17" x14ac:dyDescent="0.2">
      <c r="A107" s="19">
        <f>IF(ISERROR(VLOOKUP(B107,Catalogo!$A$2:$C$410,2,0)),0,(VLOOKUP(B107,Catalogo!$A$2:$C$410,2,0)))</f>
        <v>0</v>
      </c>
      <c r="B107"/>
      <c r="C107"/>
      <c r="D107"/>
      <c r="E107"/>
      <c r="F107"/>
      <c r="G107"/>
      <c r="H107"/>
      <c r="I107"/>
      <c r="J107"/>
      <c r="K107"/>
      <c r="L107" s="16">
        <f t="shared" si="6"/>
        <v>0</v>
      </c>
      <c r="M107" s="16" t="str">
        <f t="shared" si="8"/>
        <v/>
      </c>
      <c r="N107" s="17">
        <f t="shared" si="7"/>
        <v>0</v>
      </c>
      <c r="P107"/>
      <c r="Q107"/>
    </row>
    <row r="108" spans="1:17" x14ac:dyDescent="0.2">
      <c r="A108" s="19">
        <f>IF(ISERROR(VLOOKUP(B108,Catalogo!$A$2:$C$410,2,0)),0,(VLOOKUP(B108,Catalogo!$A$2:$C$410,2,0)))</f>
        <v>0</v>
      </c>
      <c r="B108"/>
      <c r="C108"/>
      <c r="D108"/>
      <c r="E108"/>
      <c r="F108"/>
      <c r="G108"/>
      <c r="H108"/>
      <c r="I108"/>
      <c r="J108"/>
      <c r="K108"/>
      <c r="L108" s="16">
        <f t="shared" si="6"/>
        <v>0</v>
      </c>
      <c r="M108" s="16" t="str">
        <f t="shared" si="8"/>
        <v/>
      </c>
      <c r="N108" s="17">
        <f t="shared" si="7"/>
        <v>0</v>
      </c>
      <c r="P108"/>
      <c r="Q108"/>
    </row>
    <row r="109" spans="1:17" x14ac:dyDescent="0.2">
      <c r="A109" s="19">
        <f>IF(ISERROR(VLOOKUP(B109,Catalogo!$A$2:$C$410,2,0)),0,(VLOOKUP(B109,Catalogo!$A$2:$C$410,2,0)))</f>
        <v>0</v>
      </c>
      <c r="B109"/>
      <c r="C109"/>
      <c r="D109"/>
      <c r="E109"/>
      <c r="F109"/>
      <c r="G109"/>
      <c r="H109"/>
      <c r="I109"/>
      <c r="J109"/>
      <c r="K109"/>
      <c r="L109" s="16">
        <f t="shared" si="6"/>
        <v>0</v>
      </c>
      <c r="M109" s="16" t="str">
        <f t="shared" si="8"/>
        <v/>
      </c>
      <c r="N109" s="17">
        <f t="shared" si="7"/>
        <v>0</v>
      </c>
      <c r="P109"/>
      <c r="Q109"/>
    </row>
    <row r="110" spans="1:17" x14ac:dyDescent="0.2">
      <c r="A110" s="19">
        <f>IF(ISERROR(VLOOKUP(B110,Catalogo!$A$2:$C$410,2,0)),0,(VLOOKUP(B110,Catalogo!$A$2:$C$410,2,0)))</f>
        <v>0</v>
      </c>
      <c r="B110"/>
      <c r="C110"/>
      <c r="D110"/>
      <c r="E110"/>
      <c r="F110"/>
      <c r="G110"/>
      <c r="H110"/>
      <c r="I110"/>
      <c r="J110"/>
      <c r="K110"/>
      <c r="L110" s="16">
        <f t="shared" si="6"/>
        <v>0</v>
      </c>
      <c r="M110" s="16" t="str">
        <f t="shared" si="8"/>
        <v/>
      </c>
      <c r="N110" s="17">
        <f t="shared" si="7"/>
        <v>0</v>
      </c>
      <c r="P110"/>
      <c r="Q110"/>
    </row>
    <row r="111" spans="1:17" x14ac:dyDescent="0.2">
      <c r="A111" s="19">
        <f>IF(ISERROR(VLOOKUP(B111,Catalogo!$A$2:$C$410,2,0)),0,(VLOOKUP(B111,Catalogo!$A$2:$C$410,2,0)))</f>
        <v>0</v>
      </c>
      <c r="B111"/>
      <c r="C111"/>
      <c r="D111"/>
      <c r="E111"/>
      <c r="F111"/>
      <c r="G111"/>
      <c r="H111"/>
      <c r="I111"/>
      <c r="J111"/>
      <c r="K111"/>
      <c r="L111" s="16">
        <f t="shared" si="6"/>
        <v>0</v>
      </c>
      <c r="M111" s="16" t="str">
        <f t="shared" si="8"/>
        <v/>
      </c>
      <c r="N111" s="17">
        <f t="shared" si="7"/>
        <v>0</v>
      </c>
    </row>
    <row r="112" spans="1:17" x14ac:dyDescent="0.2">
      <c r="A112" s="19">
        <f>IF(ISERROR(VLOOKUP(B112,Catalogo!$A$2:$C$410,2,0)),0,(VLOOKUP(B112,Catalogo!$A$2:$C$410,2,0)))</f>
        <v>0</v>
      </c>
      <c r="B112"/>
      <c r="C112"/>
      <c r="D112"/>
      <c r="E112"/>
      <c r="F112"/>
      <c r="G112"/>
      <c r="H112"/>
      <c r="I112"/>
      <c r="J112"/>
      <c r="K112"/>
      <c r="L112" s="16">
        <f t="shared" si="6"/>
        <v>0</v>
      </c>
      <c r="M112" s="16" t="str">
        <f t="shared" si="8"/>
        <v/>
      </c>
      <c r="N112" s="17">
        <f t="shared" si="7"/>
        <v>0</v>
      </c>
    </row>
    <row r="113" spans="1:14" x14ac:dyDescent="0.2">
      <c r="A113" s="19">
        <f>IF(ISERROR(VLOOKUP(B113,Catalogo!$A$2:$C$410,2,0)),0,(VLOOKUP(B113,Catalogo!$A$2:$C$410,2,0)))</f>
        <v>0</v>
      </c>
      <c r="B113"/>
      <c r="C113"/>
      <c r="D113"/>
      <c r="E113"/>
      <c r="F113"/>
      <c r="G113"/>
      <c r="H113"/>
      <c r="I113"/>
      <c r="J113"/>
      <c r="K113"/>
      <c r="L113" s="16">
        <f t="shared" si="6"/>
        <v>0</v>
      </c>
      <c r="M113" s="16" t="str">
        <f t="shared" si="8"/>
        <v/>
      </c>
      <c r="N113" s="17">
        <f t="shared" si="7"/>
        <v>0</v>
      </c>
    </row>
    <row r="114" spans="1:14" x14ac:dyDescent="0.2">
      <c r="A114" s="19">
        <f>IF(ISERROR(VLOOKUP(B114,Catalogo!$A$2:$C$410,2,0)),0,(VLOOKUP(B114,Catalogo!$A$2:$C$410,2,0)))</f>
        <v>0</v>
      </c>
      <c r="B114"/>
      <c r="C114"/>
      <c r="D114"/>
      <c r="E114"/>
      <c r="F114"/>
      <c r="G114"/>
      <c r="H114"/>
      <c r="I114"/>
      <c r="J114"/>
      <c r="K114"/>
      <c r="L114" s="16">
        <f t="shared" si="6"/>
        <v>0</v>
      </c>
      <c r="M114" s="16" t="str">
        <f t="shared" si="8"/>
        <v/>
      </c>
      <c r="N114" s="17">
        <f t="shared" si="7"/>
        <v>0</v>
      </c>
    </row>
    <row r="115" spans="1:14" x14ac:dyDescent="0.2">
      <c r="A115" s="19">
        <f>IF(ISERROR(VLOOKUP(B115,Catalogo!$A$2:$C$410,2,0)),0,(VLOOKUP(B115,Catalogo!$A$2:$C$410,2,0)))</f>
        <v>0</v>
      </c>
      <c r="B115"/>
      <c r="C115"/>
      <c r="D115"/>
      <c r="E115"/>
      <c r="F115"/>
      <c r="G115"/>
      <c r="H115"/>
      <c r="I115"/>
      <c r="J115"/>
      <c r="K115"/>
      <c r="L115" s="16">
        <f t="shared" si="6"/>
        <v>0</v>
      </c>
      <c r="M115" s="16" t="str">
        <f t="shared" si="8"/>
        <v/>
      </c>
      <c r="N115" s="17">
        <f t="shared" si="7"/>
        <v>0</v>
      </c>
    </row>
    <row r="116" spans="1:14" x14ac:dyDescent="0.2">
      <c r="A116" s="19">
        <f>IF(ISERROR(VLOOKUP(B116,Catalogo!$A$2:$C$410,2,0)),0,(VLOOKUP(B116,Catalogo!$A$2:$C$410,2,0)))</f>
        <v>0</v>
      </c>
      <c r="B116"/>
      <c r="C116"/>
      <c r="D116"/>
      <c r="E116"/>
      <c r="F116"/>
      <c r="G116"/>
      <c r="H116"/>
      <c r="I116"/>
      <c r="J116"/>
      <c r="K116"/>
      <c r="L116" s="16">
        <f t="shared" si="6"/>
        <v>0</v>
      </c>
      <c r="M116" s="16" t="str">
        <f t="shared" si="8"/>
        <v/>
      </c>
      <c r="N116" s="17">
        <f t="shared" si="7"/>
        <v>0</v>
      </c>
    </row>
    <row r="117" spans="1:14" x14ac:dyDescent="0.2">
      <c r="A117" s="19">
        <f>IF(ISERROR(VLOOKUP(B117,Catalogo!$A$2:$C$410,2,0)),0,(VLOOKUP(B117,Catalogo!$A$2:$C$410,2,0)))</f>
        <v>0</v>
      </c>
      <c r="B117"/>
      <c r="C117"/>
      <c r="D117"/>
      <c r="E117"/>
      <c r="F117"/>
      <c r="G117"/>
      <c r="H117"/>
      <c r="I117"/>
      <c r="J117"/>
      <c r="K117"/>
      <c r="L117" s="16">
        <f t="shared" si="6"/>
        <v>0</v>
      </c>
      <c r="M117" s="16" t="str">
        <f t="shared" si="8"/>
        <v/>
      </c>
      <c r="N117" s="17">
        <f t="shared" si="7"/>
        <v>0</v>
      </c>
    </row>
    <row r="118" spans="1:14" x14ac:dyDescent="0.2">
      <c r="A118" s="19">
        <f>IF(ISERROR(VLOOKUP(B118,Catalogo!$A$2:$C$410,2,0)),0,(VLOOKUP(B118,Catalogo!$A$2:$C$410,2,0)))</f>
        <v>0</v>
      </c>
      <c r="B118"/>
      <c r="C118"/>
      <c r="D118"/>
      <c r="E118"/>
      <c r="F118"/>
      <c r="G118"/>
      <c r="H118"/>
      <c r="I118"/>
      <c r="J118"/>
      <c r="K118"/>
      <c r="L118" s="16">
        <f t="shared" si="6"/>
        <v>0</v>
      </c>
      <c r="M118" s="16" t="str">
        <f t="shared" si="8"/>
        <v/>
      </c>
      <c r="N118" s="17">
        <f t="shared" si="7"/>
        <v>0</v>
      </c>
    </row>
    <row r="119" spans="1:14" x14ac:dyDescent="0.2">
      <c r="A119" s="19">
        <f>IF(ISERROR(VLOOKUP(B119,Catalogo!$A$2:$C$410,2,0)),0,(VLOOKUP(B119,Catalogo!$A$2:$C$410,2,0)))</f>
        <v>0</v>
      </c>
      <c r="B119"/>
      <c r="C119"/>
      <c r="D119"/>
      <c r="E119"/>
      <c r="F119"/>
      <c r="G119"/>
      <c r="H119"/>
      <c r="I119"/>
      <c r="J119"/>
      <c r="K119"/>
      <c r="L119" s="16">
        <f t="shared" si="6"/>
        <v>0</v>
      </c>
      <c r="M119" s="16" t="str">
        <f t="shared" si="8"/>
        <v/>
      </c>
      <c r="N119" s="17">
        <f t="shared" si="7"/>
        <v>0</v>
      </c>
    </row>
    <row r="120" spans="1:14" x14ac:dyDescent="0.2">
      <c r="A120" s="19">
        <f>IF(ISERROR(VLOOKUP(B120,Catalogo!$A$2:$C$410,2,0)),0,(VLOOKUP(B120,Catalogo!$A$2:$C$410,2,0)))</f>
        <v>0</v>
      </c>
      <c r="B120"/>
      <c r="C120"/>
      <c r="D120"/>
      <c r="E120"/>
      <c r="F120"/>
      <c r="G120"/>
      <c r="H120"/>
      <c r="I120"/>
      <c r="J120"/>
      <c r="K120"/>
      <c r="L120" s="16">
        <f t="shared" si="6"/>
        <v>0</v>
      </c>
      <c r="M120" s="16" t="str">
        <f t="shared" si="8"/>
        <v/>
      </c>
      <c r="N120" s="17">
        <f t="shared" si="7"/>
        <v>0</v>
      </c>
    </row>
    <row r="121" spans="1:14" x14ac:dyDescent="0.2">
      <c r="A121" s="19">
        <f>IF(ISERROR(VLOOKUP(B121,Catalogo!$A$2:$C$410,2,0)),0,(VLOOKUP(B121,Catalogo!$A$2:$C$410,2,0)))</f>
        <v>0</v>
      </c>
      <c r="B121"/>
      <c r="C121"/>
      <c r="D121"/>
      <c r="E121"/>
      <c r="F121"/>
      <c r="G121"/>
      <c r="H121"/>
      <c r="I121"/>
      <c r="J121"/>
      <c r="K121"/>
      <c r="L121" s="16">
        <f t="shared" si="6"/>
        <v>0</v>
      </c>
      <c r="M121" s="16" t="str">
        <f t="shared" si="8"/>
        <v/>
      </c>
      <c r="N121" s="17">
        <f t="shared" si="7"/>
        <v>0</v>
      </c>
    </row>
    <row r="122" spans="1:14" x14ac:dyDescent="0.2">
      <c r="A122" s="19">
        <f>IF(ISERROR(VLOOKUP(B122,Catalogo!$A$2:$C$410,2,0)),0,(VLOOKUP(B122,Catalogo!$A$2:$C$410,2,0)))</f>
        <v>0</v>
      </c>
      <c r="B122"/>
      <c r="C122"/>
      <c r="D122"/>
      <c r="E122"/>
      <c r="F122"/>
      <c r="G122"/>
      <c r="H122"/>
      <c r="I122"/>
      <c r="J122"/>
      <c r="K122"/>
      <c r="L122" s="16">
        <f t="shared" si="6"/>
        <v>0</v>
      </c>
      <c r="M122" s="16" t="str">
        <f t="shared" si="8"/>
        <v/>
      </c>
      <c r="N122" s="17">
        <f t="shared" si="7"/>
        <v>0</v>
      </c>
    </row>
    <row r="123" spans="1:14" x14ac:dyDescent="0.2">
      <c r="A123" s="19">
        <f>IF(ISERROR(VLOOKUP(B123,Catalogo!$A$2:$C$410,2,0)),0,(VLOOKUP(B123,Catalogo!$A$2:$C$410,2,0)))</f>
        <v>0</v>
      </c>
      <c r="B123"/>
      <c r="C123"/>
      <c r="D123"/>
      <c r="E123"/>
      <c r="F123"/>
      <c r="G123"/>
      <c r="H123"/>
      <c r="I123"/>
      <c r="J123"/>
      <c r="K123"/>
      <c r="L123" s="16">
        <f t="shared" si="6"/>
        <v>0</v>
      </c>
      <c r="M123" s="16" t="str">
        <f t="shared" si="8"/>
        <v/>
      </c>
      <c r="N123" s="17">
        <f t="shared" si="7"/>
        <v>0</v>
      </c>
    </row>
    <row r="124" spans="1:14" x14ac:dyDescent="0.2">
      <c r="A124" s="19">
        <f>IF(ISERROR(VLOOKUP(B124,Catalogo!$A$2:$C$410,2,0)),0,(VLOOKUP(B124,Catalogo!$A$2:$C$410,2,0)))</f>
        <v>0</v>
      </c>
      <c r="B124"/>
      <c r="C124"/>
      <c r="D124"/>
      <c r="E124"/>
      <c r="F124"/>
      <c r="G124"/>
      <c r="H124"/>
      <c r="I124"/>
      <c r="J124"/>
      <c r="K124"/>
      <c r="L124" s="16">
        <f t="shared" si="6"/>
        <v>0</v>
      </c>
      <c r="M124" s="16" t="str">
        <f t="shared" si="8"/>
        <v/>
      </c>
      <c r="N124" s="17">
        <f t="shared" si="7"/>
        <v>0</v>
      </c>
    </row>
    <row r="125" spans="1:14" x14ac:dyDescent="0.2">
      <c r="A125" s="19">
        <f>IF(ISERROR(VLOOKUP(B125,Catalogo!$A$2:$C$410,2,0)),0,(VLOOKUP(B125,Catalogo!$A$2:$C$410,2,0)))</f>
        <v>0</v>
      </c>
      <c r="B125"/>
      <c r="C125"/>
      <c r="D125"/>
      <c r="E125"/>
      <c r="F125"/>
      <c r="G125"/>
      <c r="H125"/>
      <c r="I125"/>
      <c r="J125"/>
      <c r="K125"/>
      <c r="L125" s="16">
        <f t="shared" si="6"/>
        <v>0</v>
      </c>
      <c r="M125" s="16" t="str">
        <f t="shared" si="8"/>
        <v/>
      </c>
      <c r="N125" s="17">
        <f t="shared" si="7"/>
        <v>0</v>
      </c>
    </row>
    <row r="126" spans="1:14" x14ac:dyDescent="0.2">
      <c r="A126" s="19">
        <f>IF(ISERROR(VLOOKUP(B126,Catalogo!$A$2:$C$410,2,0)),0,(VLOOKUP(B126,Catalogo!$A$2:$C$410,2,0)))</f>
        <v>0</v>
      </c>
      <c r="B126"/>
      <c r="C126"/>
      <c r="D126"/>
      <c r="E126"/>
      <c r="F126"/>
      <c r="G126"/>
      <c r="H126"/>
      <c r="I126"/>
      <c r="J126"/>
      <c r="K126"/>
      <c r="L126" s="16">
        <f t="shared" si="6"/>
        <v>0</v>
      </c>
      <c r="M126" s="16" t="str">
        <f t="shared" si="8"/>
        <v/>
      </c>
      <c r="N126" s="17">
        <f t="shared" si="7"/>
        <v>0</v>
      </c>
    </row>
    <row r="127" spans="1:14" x14ac:dyDescent="0.2">
      <c r="A127" s="19">
        <f>IF(ISERROR(VLOOKUP(B127,Catalogo!$A$2:$C$410,2,0)),0,(VLOOKUP(B127,Catalogo!$A$2:$C$410,2,0)))</f>
        <v>0</v>
      </c>
      <c r="B127"/>
      <c r="C127"/>
      <c r="D127"/>
      <c r="E127"/>
      <c r="F127"/>
      <c r="G127"/>
      <c r="H127"/>
      <c r="I127"/>
      <c r="J127"/>
      <c r="K127"/>
      <c r="L127" s="16">
        <f t="shared" si="6"/>
        <v>0</v>
      </c>
      <c r="M127" s="16" t="str">
        <f t="shared" si="8"/>
        <v/>
      </c>
      <c r="N127" s="17">
        <f t="shared" si="7"/>
        <v>0</v>
      </c>
    </row>
    <row r="128" spans="1:14" x14ac:dyDescent="0.2">
      <c r="A128" s="19">
        <f>IF(ISERROR(VLOOKUP(B128,Catalogo!$A$2:$C$410,2,0)),0,(VLOOKUP(B128,Catalogo!$A$2:$C$410,2,0)))</f>
        <v>0</v>
      </c>
      <c r="B128"/>
      <c r="C128"/>
      <c r="D128"/>
      <c r="E128"/>
      <c r="F128"/>
      <c r="G128"/>
      <c r="H128"/>
      <c r="I128"/>
      <c r="J128"/>
      <c r="K128"/>
      <c r="L128" s="16">
        <f t="shared" si="6"/>
        <v>0</v>
      </c>
      <c r="M128" s="16" t="str">
        <f t="shared" si="8"/>
        <v/>
      </c>
      <c r="N128" s="17">
        <f t="shared" si="7"/>
        <v>0</v>
      </c>
    </row>
    <row r="129" spans="1:14" x14ac:dyDescent="0.2">
      <c r="A129" s="19">
        <f>IF(ISERROR(VLOOKUP(B129,Catalogo!$A$2:$C$410,2,0)),0,(VLOOKUP(B129,Catalogo!$A$2:$C$410,2,0)))</f>
        <v>0</v>
      </c>
      <c r="B129"/>
      <c r="C129"/>
      <c r="D129"/>
      <c r="E129"/>
      <c r="F129"/>
      <c r="G129"/>
      <c r="H129"/>
      <c r="I129"/>
      <c r="J129"/>
      <c r="K129"/>
      <c r="L129" s="16">
        <f t="shared" si="6"/>
        <v>0</v>
      </c>
      <c r="M129" s="16" t="str">
        <f t="shared" ref="M129:M192" si="9">LEFT(E129,1)</f>
        <v/>
      </c>
      <c r="N129" s="17">
        <f t="shared" si="7"/>
        <v>0</v>
      </c>
    </row>
    <row r="130" spans="1:14" x14ac:dyDescent="0.2">
      <c r="A130" s="19">
        <f>IF(ISERROR(VLOOKUP(B130,Catalogo!$A$2:$C$410,2,0)),0,(VLOOKUP(B130,Catalogo!$A$2:$C$410,2,0)))</f>
        <v>0</v>
      </c>
      <c r="B130"/>
      <c r="C130"/>
      <c r="D130"/>
      <c r="E130"/>
      <c r="F130"/>
      <c r="G130"/>
      <c r="H130"/>
      <c r="I130"/>
      <c r="J130"/>
      <c r="K130"/>
      <c r="L130" s="16">
        <f t="shared" ref="L130:L193" si="10">IF(A130="Record Keeping",B130,0)</f>
        <v>0</v>
      </c>
      <c r="M130" s="16" t="str">
        <f t="shared" si="9"/>
        <v/>
      </c>
      <c r="N130" s="17">
        <f t="shared" ref="N130:N193" si="11">IF(G130="CAN",F130*0,IF(M130="R",F130*-1,F130*1)*AND(A130="Record Keeping"))</f>
        <v>0</v>
      </c>
    </row>
    <row r="131" spans="1:14" x14ac:dyDescent="0.2">
      <c r="A131" s="19">
        <f>IF(ISERROR(VLOOKUP(B131,Catalogo!$A$2:$C$410,2,0)),0,(VLOOKUP(B131,Catalogo!$A$2:$C$410,2,0)))</f>
        <v>0</v>
      </c>
      <c r="B131"/>
      <c r="C131"/>
      <c r="D131"/>
      <c r="E131"/>
      <c r="F131"/>
      <c r="G131"/>
      <c r="H131"/>
      <c r="I131"/>
      <c r="J131"/>
      <c r="K131"/>
      <c r="L131" s="16">
        <f t="shared" si="10"/>
        <v>0</v>
      </c>
      <c r="M131" s="16" t="str">
        <f t="shared" si="9"/>
        <v/>
      </c>
      <c r="N131" s="17">
        <f t="shared" si="11"/>
        <v>0</v>
      </c>
    </row>
    <row r="132" spans="1:14" x14ac:dyDescent="0.2">
      <c r="A132" s="19">
        <f>IF(ISERROR(VLOOKUP(B132,Catalogo!$A$2:$C$410,2,0)),0,(VLOOKUP(B132,Catalogo!$A$2:$C$410,2,0)))</f>
        <v>0</v>
      </c>
      <c r="B132"/>
      <c r="C132"/>
      <c r="D132"/>
      <c r="E132"/>
      <c r="F132"/>
      <c r="G132"/>
      <c r="H132"/>
      <c r="I132"/>
      <c r="J132"/>
      <c r="K132"/>
      <c r="L132" s="16">
        <f t="shared" si="10"/>
        <v>0</v>
      </c>
      <c r="M132" s="16" t="str">
        <f t="shared" si="9"/>
        <v/>
      </c>
      <c r="N132" s="17">
        <f t="shared" si="11"/>
        <v>0</v>
      </c>
    </row>
    <row r="133" spans="1:14" x14ac:dyDescent="0.2">
      <c r="A133" s="19">
        <f>IF(ISERROR(VLOOKUP(B133,Catalogo!$A$2:$C$410,2,0)),0,(VLOOKUP(B133,Catalogo!$A$2:$C$410,2,0)))</f>
        <v>0</v>
      </c>
      <c r="B133"/>
      <c r="C133"/>
      <c r="D133"/>
      <c r="E133"/>
      <c r="F133"/>
      <c r="G133"/>
      <c r="H133"/>
      <c r="I133"/>
      <c r="J133"/>
      <c r="K133"/>
      <c r="L133" s="16">
        <f t="shared" si="10"/>
        <v>0</v>
      </c>
      <c r="M133" s="16" t="str">
        <f t="shared" si="9"/>
        <v/>
      </c>
      <c r="N133" s="17">
        <f t="shared" si="11"/>
        <v>0</v>
      </c>
    </row>
    <row r="134" spans="1:14" x14ac:dyDescent="0.2">
      <c r="A134" s="19">
        <f>IF(ISERROR(VLOOKUP(B134,Catalogo!$A$2:$C$410,2,0)),0,(VLOOKUP(B134,Catalogo!$A$2:$C$410,2,0)))</f>
        <v>0</v>
      </c>
      <c r="B134"/>
      <c r="C134"/>
      <c r="D134"/>
      <c r="E134"/>
      <c r="F134"/>
      <c r="G134"/>
      <c r="H134"/>
      <c r="I134"/>
      <c r="J134"/>
      <c r="K134"/>
      <c r="L134" s="16">
        <f t="shared" si="10"/>
        <v>0</v>
      </c>
      <c r="M134" s="16" t="str">
        <f t="shared" si="9"/>
        <v/>
      </c>
      <c r="N134" s="17">
        <f t="shared" si="11"/>
        <v>0</v>
      </c>
    </row>
    <row r="135" spans="1:14" x14ac:dyDescent="0.2">
      <c r="A135" s="19">
        <f>IF(ISERROR(VLOOKUP(B135,Catalogo!$A$2:$C$410,2,0)),0,(VLOOKUP(B135,Catalogo!$A$2:$C$410,2,0)))</f>
        <v>0</v>
      </c>
      <c r="B135"/>
      <c r="C135"/>
      <c r="D135"/>
      <c r="E135"/>
      <c r="F135"/>
      <c r="G135"/>
      <c r="H135"/>
      <c r="I135"/>
      <c r="J135"/>
      <c r="K135"/>
      <c r="L135" s="16">
        <f t="shared" si="10"/>
        <v>0</v>
      </c>
      <c r="M135" s="16" t="str">
        <f t="shared" si="9"/>
        <v/>
      </c>
      <c r="N135" s="17">
        <f t="shared" si="11"/>
        <v>0</v>
      </c>
    </row>
    <row r="136" spans="1:14" x14ac:dyDescent="0.2">
      <c r="A136" s="19">
        <f>IF(ISERROR(VLOOKUP(B136,Catalogo!$A$2:$C$410,2,0)),0,(VLOOKUP(B136,Catalogo!$A$2:$C$410,2,0)))</f>
        <v>0</v>
      </c>
      <c r="B136"/>
      <c r="C136"/>
      <c r="D136"/>
      <c r="E136"/>
      <c r="F136"/>
      <c r="G136"/>
      <c r="H136"/>
      <c r="I136"/>
      <c r="J136"/>
      <c r="K136"/>
      <c r="L136" s="16">
        <f t="shared" si="10"/>
        <v>0</v>
      </c>
      <c r="M136" s="16" t="str">
        <f t="shared" si="9"/>
        <v/>
      </c>
      <c r="N136" s="17">
        <f t="shared" si="11"/>
        <v>0</v>
      </c>
    </row>
    <row r="137" spans="1:14" x14ac:dyDescent="0.2">
      <c r="A137" s="19">
        <f>IF(ISERROR(VLOOKUP(B137,Catalogo!$A$2:$C$410,2,0)),0,(VLOOKUP(B137,Catalogo!$A$2:$C$410,2,0)))</f>
        <v>0</v>
      </c>
      <c r="B137"/>
      <c r="C137"/>
      <c r="D137"/>
      <c r="E137"/>
      <c r="F137"/>
      <c r="G137"/>
      <c r="H137"/>
      <c r="I137"/>
      <c r="J137"/>
      <c r="K137"/>
      <c r="L137" s="16">
        <f t="shared" si="10"/>
        <v>0</v>
      </c>
      <c r="M137" s="16" t="str">
        <f t="shared" si="9"/>
        <v/>
      </c>
      <c r="N137" s="17">
        <f t="shared" si="11"/>
        <v>0</v>
      </c>
    </row>
    <row r="138" spans="1:14" x14ac:dyDescent="0.2">
      <c r="A138" s="19">
        <f>IF(ISERROR(VLOOKUP(B138,Catalogo!$A$2:$C$410,2,0)),0,(VLOOKUP(B138,Catalogo!$A$2:$C$410,2,0)))</f>
        <v>0</v>
      </c>
      <c r="B138"/>
      <c r="C138"/>
      <c r="D138"/>
      <c r="E138"/>
      <c r="F138"/>
      <c r="G138"/>
      <c r="H138"/>
      <c r="I138"/>
      <c r="J138"/>
      <c r="K138"/>
      <c r="L138" s="16">
        <f t="shared" si="10"/>
        <v>0</v>
      </c>
      <c r="M138" s="16" t="str">
        <f t="shared" si="9"/>
        <v/>
      </c>
      <c r="N138" s="17">
        <f t="shared" si="11"/>
        <v>0</v>
      </c>
    </row>
    <row r="139" spans="1:14" x14ac:dyDescent="0.2">
      <c r="A139" s="19">
        <f>IF(ISERROR(VLOOKUP(B139,Catalogo!$A$2:$C$410,2,0)),0,(VLOOKUP(B139,Catalogo!$A$2:$C$410,2,0)))</f>
        <v>0</v>
      </c>
      <c r="B139"/>
      <c r="C139"/>
      <c r="D139"/>
      <c r="E139"/>
      <c r="F139"/>
      <c r="G139"/>
      <c r="H139"/>
      <c r="I139"/>
      <c r="J139"/>
      <c r="K139"/>
      <c r="L139" s="16">
        <f t="shared" si="10"/>
        <v>0</v>
      </c>
      <c r="M139" s="16" t="str">
        <f t="shared" si="9"/>
        <v/>
      </c>
      <c r="N139" s="17">
        <f t="shared" si="11"/>
        <v>0</v>
      </c>
    </row>
    <row r="140" spans="1:14" x14ac:dyDescent="0.2">
      <c r="A140" s="19">
        <f>IF(ISERROR(VLOOKUP(B140,Catalogo!$A$2:$C$410,2,0)),0,(VLOOKUP(B140,Catalogo!$A$2:$C$410,2,0)))</f>
        <v>0</v>
      </c>
      <c r="B140"/>
      <c r="C140"/>
      <c r="D140"/>
      <c r="E140"/>
      <c r="F140"/>
      <c r="G140"/>
      <c r="H140"/>
      <c r="I140"/>
      <c r="J140"/>
      <c r="K140"/>
      <c r="L140" s="16">
        <f t="shared" si="10"/>
        <v>0</v>
      </c>
      <c r="M140" s="16" t="str">
        <f t="shared" si="9"/>
        <v/>
      </c>
      <c r="N140" s="17">
        <f t="shared" si="11"/>
        <v>0</v>
      </c>
    </row>
    <row r="141" spans="1:14" x14ac:dyDescent="0.2">
      <c r="A141" s="19">
        <f>IF(ISERROR(VLOOKUP(B141,Catalogo!$A$2:$C$410,2,0)),0,(VLOOKUP(B141,Catalogo!$A$2:$C$410,2,0)))</f>
        <v>0</v>
      </c>
      <c r="B141"/>
      <c r="C141"/>
      <c r="D141"/>
      <c r="E141"/>
      <c r="F141"/>
      <c r="G141"/>
      <c r="H141"/>
      <c r="I141"/>
      <c r="J141"/>
      <c r="K141"/>
      <c r="L141" s="16">
        <f t="shared" si="10"/>
        <v>0</v>
      </c>
      <c r="M141" s="16" t="str">
        <f t="shared" si="9"/>
        <v/>
      </c>
      <c r="N141" s="17">
        <f t="shared" si="11"/>
        <v>0</v>
      </c>
    </row>
    <row r="142" spans="1:14" x14ac:dyDescent="0.2">
      <c r="A142" s="19">
        <f>IF(ISERROR(VLOOKUP(B142,Catalogo!$A$2:$C$410,2,0)),0,(VLOOKUP(B142,Catalogo!$A$2:$C$410,2,0)))</f>
        <v>0</v>
      </c>
      <c r="B142"/>
      <c r="C142"/>
      <c r="D142"/>
      <c r="E142"/>
      <c r="F142"/>
      <c r="G142"/>
      <c r="H142"/>
      <c r="I142"/>
      <c r="J142"/>
      <c r="K142"/>
      <c r="L142" s="16">
        <f t="shared" si="10"/>
        <v>0</v>
      </c>
      <c r="M142" s="16" t="str">
        <f t="shared" si="9"/>
        <v/>
      </c>
      <c r="N142" s="17">
        <f t="shared" si="11"/>
        <v>0</v>
      </c>
    </row>
    <row r="143" spans="1:14" x14ac:dyDescent="0.2">
      <c r="A143" s="19">
        <f>IF(ISERROR(VLOOKUP(B143,Catalogo!$A$2:$C$410,2,0)),0,(VLOOKUP(B143,Catalogo!$A$2:$C$410,2,0)))</f>
        <v>0</v>
      </c>
      <c r="B143"/>
      <c r="C143"/>
      <c r="D143"/>
      <c r="E143"/>
      <c r="F143"/>
      <c r="G143"/>
      <c r="H143"/>
      <c r="I143"/>
      <c r="J143"/>
      <c r="K143"/>
      <c r="L143" s="16">
        <f t="shared" si="10"/>
        <v>0</v>
      </c>
      <c r="M143" s="16" t="str">
        <f t="shared" si="9"/>
        <v/>
      </c>
      <c r="N143" s="17">
        <f t="shared" si="11"/>
        <v>0</v>
      </c>
    </row>
    <row r="144" spans="1:14" x14ac:dyDescent="0.2">
      <c r="A144" s="19">
        <f>IF(ISERROR(VLOOKUP(B144,Catalogo!$A$2:$C$410,2,0)),0,(VLOOKUP(B144,Catalogo!$A$2:$C$410,2,0)))</f>
        <v>0</v>
      </c>
      <c r="B144"/>
      <c r="C144"/>
      <c r="D144"/>
      <c r="E144"/>
      <c r="F144"/>
      <c r="G144"/>
      <c r="H144"/>
      <c r="I144"/>
      <c r="J144"/>
      <c r="K144"/>
      <c r="L144" s="16">
        <f t="shared" si="10"/>
        <v>0</v>
      </c>
      <c r="M144" s="16" t="str">
        <f t="shared" si="9"/>
        <v/>
      </c>
      <c r="N144" s="17">
        <f t="shared" si="11"/>
        <v>0</v>
      </c>
    </row>
    <row r="145" spans="1:14" x14ac:dyDescent="0.2">
      <c r="A145" s="19">
        <f>IF(ISERROR(VLOOKUP(B145,Catalogo!$A$2:$C$410,2,0)),0,(VLOOKUP(B145,Catalogo!$A$2:$C$410,2,0)))</f>
        <v>0</v>
      </c>
      <c r="B145"/>
      <c r="C145"/>
      <c r="D145"/>
      <c r="E145"/>
      <c r="F145"/>
      <c r="G145"/>
      <c r="H145"/>
      <c r="I145"/>
      <c r="J145"/>
      <c r="K145"/>
      <c r="L145" s="16">
        <f t="shared" si="10"/>
        <v>0</v>
      </c>
      <c r="M145" s="16" t="str">
        <f t="shared" si="9"/>
        <v/>
      </c>
      <c r="N145" s="17">
        <f t="shared" si="11"/>
        <v>0</v>
      </c>
    </row>
    <row r="146" spans="1:14" x14ac:dyDescent="0.2">
      <c r="A146" s="19">
        <f>IF(ISERROR(VLOOKUP(B146,Catalogo!$A$2:$C$410,2,0)),0,(VLOOKUP(B146,Catalogo!$A$2:$C$410,2,0)))</f>
        <v>0</v>
      </c>
      <c r="B146"/>
      <c r="C146"/>
      <c r="D146"/>
      <c r="E146"/>
      <c r="F146"/>
      <c r="G146"/>
      <c r="H146"/>
      <c r="I146"/>
      <c r="J146"/>
      <c r="K146"/>
      <c r="L146" s="16">
        <f t="shared" si="10"/>
        <v>0</v>
      </c>
      <c r="M146" s="16" t="str">
        <f t="shared" si="9"/>
        <v/>
      </c>
      <c r="N146" s="17">
        <f t="shared" si="11"/>
        <v>0</v>
      </c>
    </row>
    <row r="147" spans="1:14" x14ac:dyDescent="0.2">
      <c r="A147" s="19">
        <f>IF(ISERROR(VLOOKUP(B147,Catalogo!$A$2:$C$410,2,0)),0,(VLOOKUP(B147,Catalogo!$A$2:$C$410,2,0)))</f>
        <v>0</v>
      </c>
      <c r="B147"/>
      <c r="C147"/>
      <c r="D147"/>
      <c r="E147"/>
      <c r="F147"/>
      <c r="G147"/>
      <c r="H147"/>
      <c r="I147"/>
      <c r="J147"/>
      <c r="K147"/>
      <c r="L147" s="16">
        <f t="shared" si="10"/>
        <v>0</v>
      </c>
      <c r="M147" s="16" t="str">
        <f t="shared" si="9"/>
        <v/>
      </c>
      <c r="N147" s="17">
        <f t="shared" si="11"/>
        <v>0</v>
      </c>
    </row>
    <row r="148" spans="1:14" x14ac:dyDescent="0.2">
      <c r="A148" s="19">
        <f>IF(ISERROR(VLOOKUP(B148,Catalogo!$A$2:$C$410,2,0)),0,(VLOOKUP(B148,Catalogo!$A$2:$C$410,2,0)))</f>
        <v>0</v>
      </c>
      <c r="B148"/>
      <c r="C148"/>
      <c r="D148"/>
      <c r="E148"/>
      <c r="F148"/>
      <c r="G148"/>
      <c r="H148"/>
      <c r="I148"/>
      <c r="J148"/>
      <c r="K148"/>
      <c r="L148" s="16">
        <f t="shared" si="10"/>
        <v>0</v>
      </c>
      <c r="M148" s="16" t="str">
        <f t="shared" si="9"/>
        <v/>
      </c>
      <c r="N148" s="17">
        <f t="shared" si="11"/>
        <v>0</v>
      </c>
    </row>
    <row r="149" spans="1:14" x14ac:dyDescent="0.2">
      <c r="A149" s="19">
        <f>IF(ISERROR(VLOOKUP(B149,Catalogo!$A$2:$C$410,2,0)),0,(VLOOKUP(B149,Catalogo!$A$2:$C$410,2,0)))</f>
        <v>0</v>
      </c>
      <c r="B149"/>
      <c r="C149"/>
      <c r="D149"/>
      <c r="E149"/>
      <c r="F149"/>
      <c r="G149"/>
      <c r="H149"/>
      <c r="I149"/>
      <c r="J149"/>
      <c r="K149"/>
      <c r="L149" s="16">
        <f t="shared" si="10"/>
        <v>0</v>
      </c>
      <c r="M149" s="16" t="str">
        <f t="shared" si="9"/>
        <v/>
      </c>
      <c r="N149" s="17">
        <f t="shared" si="11"/>
        <v>0</v>
      </c>
    </row>
    <row r="150" spans="1:14" x14ac:dyDescent="0.2">
      <c r="A150" s="19">
        <f>IF(ISERROR(VLOOKUP(B150,Catalogo!$A$2:$C$410,2,0)),0,(VLOOKUP(B150,Catalogo!$A$2:$C$410,2,0)))</f>
        <v>0</v>
      </c>
      <c r="B150"/>
      <c r="C150"/>
      <c r="D150"/>
      <c r="E150"/>
      <c r="F150"/>
      <c r="G150"/>
      <c r="H150"/>
      <c r="I150"/>
      <c r="J150"/>
      <c r="K150"/>
      <c r="L150" s="16">
        <f t="shared" si="10"/>
        <v>0</v>
      </c>
      <c r="M150" s="16" t="str">
        <f t="shared" si="9"/>
        <v/>
      </c>
      <c r="N150" s="17">
        <f t="shared" si="11"/>
        <v>0</v>
      </c>
    </row>
    <row r="151" spans="1:14" x14ac:dyDescent="0.2">
      <c r="A151" s="19">
        <f>IF(ISERROR(VLOOKUP(B151,Catalogo!$A$2:$C$410,2,0)),0,(VLOOKUP(B151,Catalogo!$A$2:$C$410,2,0)))</f>
        <v>0</v>
      </c>
      <c r="B151"/>
      <c r="C151"/>
      <c r="D151"/>
      <c r="E151"/>
      <c r="F151"/>
      <c r="G151"/>
      <c r="H151"/>
      <c r="I151"/>
      <c r="J151"/>
      <c r="K151"/>
      <c r="L151" s="16">
        <f t="shared" si="10"/>
        <v>0</v>
      </c>
      <c r="M151" s="16" t="str">
        <f t="shared" si="9"/>
        <v/>
      </c>
      <c r="N151" s="17">
        <f t="shared" si="11"/>
        <v>0</v>
      </c>
    </row>
    <row r="152" spans="1:14" x14ac:dyDescent="0.2">
      <c r="A152" s="19">
        <f>IF(ISERROR(VLOOKUP(B152,Catalogo!$A$2:$C$410,2,0)),0,(VLOOKUP(B152,Catalogo!$A$2:$C$410,2,0)))</f>
        <v>0</v>
      </c>
      <c r="B152"/>
      <c r="C152"/>
      <c r="D152"/>
      <c r="E152"/>
      <c r="F152"/>
      <c r="G152"/>
      <c r="H152"/>
      <c r="I152"/>
      <c r="J152"/>
      <c r="K152"/>
      <c r="L152" s="16">
        <f t="shared" si="10"/>
        <v>0</v>
      </c>
      <c r="M152" s="16" t="str">
        <f t="shared" si="9"/>
        <v/>
      </c>
      <c r="N152" s="17">
        <f t="shared" si="11"/>
        <v>0</v>
      </c>
    </row>
    <row r="153" spans="1:14" x14ac:dyDescent="0.2">
      <c r="A153" s="19">
        <f>IF(ISERROR(VLOOKUP(B153,Catalogo!$A$2:$C$410,2,0)),0,(VLOOKUP(B153,Catalogo!$A$2:$C$410,2,0)))</f>
        <v>0</v>
      </c>
      <c r="B153"/>
      <c r="C153"/>
      <c r="D153"/>
      <c r="E153"/>
      <c r="F153"/>
      <c r="G153"/>
      <c r="H153"/>
      <c r="I153"/>
      <c r="J153"/>
      <c r="K153"/>
      <c r="L153" s="16">
        <f t="shared" si="10"/>
        <v>0</v>
      </c>
      <c r="M153" s="16" t="str">
        <f t="shared" si="9"/>
        <v/>
      </c>
      <c r="N153" s="17">
        <f t="shared" si="11"/>
        <v>0</v>
      </c>
    </row>
    <row r="154" spans="1:14" x14ac:dyDescent="0.2">
      <c r="A154" s="19">
        <f>IF(ISERROR(VLOOKUP(B154,Catalogo!$A$2:$C$410,2,0)),0,(VLOOKUP(B154,Catalogo!$A$2:$C$410,2,0)))</f>
        <v>0</v>
      </c>
      <c r="B154"/>
      <c r="C154"/>
      <c r="D154"/>
      <c r="E154"/>
      <c r="F154"/>
      <c r="G154"/>
      <c r="H154"/>
      <c r="I154"/>
      <c r="J154"/>
      <c r="K154"/>
      <c r="L154" s="16">
        <f t="shared" si="10"/>
        <v>0</v>
      </c>
      <c r="M154" s="16" t="str">
        <f t="shared" si="9"/>
        <v/>
      </c>
      <c r="N154" s="17">
        <f t="shared" si="11"/>
        <v>0</v>
      </c>
    </row>
    <row r="155" spans="1:14" x14ac:dyDescent="0.2">
      <c r="A155" s="19">
        <f>IF(ISERROR(VLOOKUP(B155,Catalogo!$A$2:$C$410,2,0)),0,(VLOOKUP(B155,Catalogo!$A$2:$C$410,2,0)))</f>
        <v>0</v>
      </c>
      <c r="B155"/>
      <c r="C155"/>
      <c r="D155"/>
      <c r="E155"/>
      <c r="F155"/>
      <c r="G155"/>
      <c r="H155"/>
      <c r="I155"/>
      <c r="J155"/>
      <c r="K155"/>
      <c r="L155" s="16">
        <f t="shared" si="10"/>
        <v>0</v>
      </c>
      <c r="M155" s="16" t="str">
        <f t="shared" si="9"/>
        <v/>
      </c>
      <c r="N155" s="17">
        <f t="shared" si="11"/>
        <v>0</v>
      </c>
    </row>
    <row r="156" spans="1:14" x14ac:dyDescent="0.2">
      <c r="A156" s="19">
        <f>IF(ISERROR(VLOOKUP(B156,Catalogo!$A$2:$C$410,2,0)),0,(VLOOKUP(B156,Catalogo!$A$2:$C$410,2,0)))</f>
        <v>0</v>
      </c>
      <c r="B156"/>
      <c r="C156"/>
      <c r="D156"/>
      <c r="E156"/>
      <c r="F156"/>
      <c r="G156"/>
      <c r="H156"/>
      <c r="I156"/>
      <c r="J156"/>
      <c r="K156"/>
      <c r="L156" s="16">
        <f t="shared" si="10"/>
        <v>0</v>
      </c>
      <c r="M156" s="16" t="str">
        <f t="shared" si="9"/>
        <v/>
      </c>
      <c r="N156" s="17">
        <f t="shared" si="11"/>
        <v>0</v>
      </c>
    </row>
    <row r="157" spans="1:14" x14ac:dyDescent="0.2">
      <c r="A157" s="19">
        <f>IF(ISERROR(VLOOKUP(B157,Catalogo!$A$2:$C$410,2,0)),0,(VLOOKUP(B157,Catalogo!$A$2:$C$410,2,0)))</f>
        <v>0</v>
      </c>
      <c r="B157"/>
      <c r="C157"/>
      <c r="D157"/>
      <c r="E157"/>
      <c r="F157"/>
      <c r="G157"/>
      <c r="H157"/>
      <c r="I157"/>
      <c r="J157"/>
      <c r="K157"/>
      <c r="L157" s="16">
        <f t="shared" si="10"/>
        <v>0</v>
      </c>
      <c r="M157" s="16" t="str">
        <f t="shared" si="9"/>
        <v/>
      </c>
      <c r="N157" s="17">
        <f t="shared" si="11"/>
        <v>0</v>
      </c>
    </row>
    <row r="158" spans="1:14" x14ac:dyDescent="0.2">
      <c r="A158" s="19">
        <f>IF(ISERROR(VLOOKUP(B158,Catalogo!$A$2:$C$410,2,0)),0,(VLOOKUP(B158,Catalogo!$A$2:$C$410,2,0)))</f>
        <v>0</v>
      </c>
      <c r="B158"/>
      <c r="C158"/>
      <c r="D158"/>
      <c r="E158"/>
      <c r="F158"/>
      <c r="G158"/>
      <c r="H158"/>
      <c r="I158"/>
      <c r="J158"/>
      <c r="K158"/>
      <c r="L158" s="16">
        <f t="shared" si="10"/>
        <v>0</v>
      </c>
      <c r="M158" s="16" t="str">
        <f t="shared" si="9"/>
        <v/>
      </c>
      <c r="N158" s="17">
        <f t="shared" si="11"/>
        <v>0</v>
      </c>
    </row>
    <row r="159" spans="1:14" x14ac:dyDescent="0.2">
      <c r="A159" s="19">
        <f>IF(ISERROR(VLOOKUP(B159,Catalogo!$A$2:$C$410,2,0)),0,(VLOOKUP(B159,Catalogo!$A$2:$C$410,2,0)))</f>
        <v>0</v>
      </c>
      <c r="B159"/>
      <c r="C159"/>
      <c r="D159"/>
      <c r="E159"/>
      <c r="F159"/>
      <c r="G159"/>
      <c r="H159"/>
      <c r="I159"/>
      <c r="J159"/>
      <c r="K159"/>
      <c r="L159" s="16">
        <f t="shared" si="10"/>
        <v>0</v>
      </c>
      <c r="M159" s="16" t="str">
        <f t="shared" si="9"/>
        <v/>
      </c>
      <c r="N159" s="17">
        <f t="shared" si="11"/>
        <v>0</v>
      </c>
    </row>
    <row r="160" spans="1:14" x14ac:dyDescent="0.2">
      <c r="A160" s="19">
        <f>IF(ISERROR(VLOOKUP(B160,Catalogo!$A$2:$C$410,2,0)),0,(VLOOKUP(B160,Catalogo!$A$2:$C$410,2,0)))</f>
        <v>0</v>
      </c>
      <c r="B160"/>
      <c r="C160"/>
      <c r="D160"/>
      <c r="E160"/>
      <c r="F160"/>
      <c r="G160"/>
      <c r="H160"/>
      <c r="I160"/>
      <c r="J160"/>
      <c r="K160"/>
      <c r="L160" s="16">
        <f t="shared" si="10"/>
        <v>0</v>
      </c>
      <c r="M160" s="16" t="str">
        <f t="shared" si="9"/>
        <v/>
      </c>
      <c r="N160" s="17">
        <f t="shared" si="11"/>
        <v>0</v>
      </c>
    </row>
    <row r="161" spans="1:14" x14ac:dyDescent="0.2">
      <c r="A161" s="19">
        <f>IF(ISERROR(VLOOKUP(B161,Catalogo!$A$2:$C$410,2,0)),0,(VLOOKUP(B161,Catalogo!$A$2:$C$410,2,0)))</f>
        <v>0</v>
      </c>
      <c r="B161"/>
      <c r="C161"/>
      <c r="D161"/>
      <c r="E161"/>
      <c r="F161"/>
      <c r="G161"/>
      <c r="H161"/>
      <c r="I161"/>
      <c r="J161"/>
      <c r="K161"/>
      <c r="L161" s="16">
        <f t="shared" si="10"/>
        <v>0</v>
      </c>
      <c r="M161" s="16" t="str">
        <f t="shared" si="9"/>
        <v/>
      </c>
      <c r="N161" s="17">
        <f t="shared" si="11"/>
        <v>0</v>
      </c>
    </row>
    <row r="162" spans="1:14" x14ac:dyDescent="0.2">
      <c r="A162" s="19">
        <f>IF(ISERROR(VLOOKUP(B162,Catalogo!$A$2:$C$410,2,0)),0,(VLOOKUP(B162,Catalogo!$A$2:$C$410,2,0)))</f>
        <v>0</v>
      </c>
      <c r="B162"/>
      <c r="C162"/>
      <c r="D162"/>
      <c r="E162"/>
      <c r="F162"/>
      <c r="G162"/>
      <c r="H162"/>
      <c r="I162"/>
      <c r="J162"/>
      <c r="K162"/>
      <c r="L162" s="16">
        <f t="shared" si="10"/>
        <v>0</v>
      </c>
      <c r="M162" s="16" t="str">
        <f t="shared" si="9"/>
        <v/>
      </c>
      <c r="N162" s="17">
        <f t="shared" si="11"/>
        <v>0</v>
      </c>
    </row>
    <row r="163" spans="1:14" x14ac:dyDescent="0.2">
      <c r="A163" s="19">
        <f>IF(ISERROR(VLOOKUP(B163,Catalogo!$A$2:$C$410,2,0)),0,(VLOOKUP(B163,Catalogo!$A$2:$C$410,2,0)))</f>
        <v>0</v>
      </c>
      <c r="B163"/>
      <c r="C163"/>
      <c r="D163"/>
      <c r="E163"/>
      <c r="F163"/>
      <c r="G163"/>
      <c r="H163"/>
      <c r="I163"/>
      <c r="J163"/>
      <c r="K163"/>
      <c r="L163" s="16">
        <f t="shared" si="10"/>
        <v>0</v>
      </c>
      <c r="M163" s="16" t="str">
        <f t="shared" si="9"/>
        <v/>
      </c>
      <c r="N163" s="17">
        <f t="shared" si="11"/>
        <v>0</v>
      </c>
    </row>
    <row r="164" spans="1:14" x14ac:dyDescent="0.2">
      <c r="A164" s="19">
        <f>IF(ISERROR(VLOOKUP(B164,Catalogo!$A$2:$C$410,2,0)),0,(VLOOKUP(B164,Catalogo!$A$2:$C$410,2,0)))</f>
        <v>0</v>
      </c>
      <c r="B164"/>
      <c r="C164"/>
      <c r="D164"/>
      <c r="E164"/>
      <c r="F164"/>
      <c r="G164"/>
      <c r="H164"/>
      <c r="I164"/>
      <c r="J164"/>
      <c r="K164"/>
      <c r="L164" s="16">
        <f t="shared" si="10"/>
        <v>0</v>
      </c>
      <c r="M164" s="16" t="str">
        <f t="shared" si="9"/>
        <v/>
      </c>
      <c r="N164" s="17">
        <f t="shared" si="11"/>
        <v>0</v>
      </c>
    </row>
    <row r="165" spans="1:14" x14ac:dyDescent="0.2">
      <c r="A165" s="19">
        <f>IF(ISERROR(VLOOKUP(B165,Catalogo!$A$2:$C$410,2,0)),0,(VLOOKUP(B165,Catalogo!$A$2:$C$410,2,0)))</f>
        <v>0</v>
      </c>
      <c r="B165"/>
      <c r="C165"/>
      <c r="D165"/>
      <c r="E165"/>
      <c r="F165"/>
      <c r="G165"/>
      <c r="H165"/>
      <c r="I165"/>
      <c r="J165"/>
      <c r="K165"/>
      <c r="L165" s="16">
        <f t="shared" si="10"/>
        <v>0</v>
      </c>
      <c r="M165" s="16" t="str">
        <f t="shared" si="9"/>
        <v/>
      </c>
      <c r="N165" s="17">
        <f t="shared" si="11"/>
        <v>0</v>
      </c>
    </row>
    <row r="166" spans="1:14" x14ac:dyDescent="0.2">
      <c r="A166" s="19">
        <f>IF(ISERROR(VLOOKUP(B166,Catalogo!$A$2:$C$410,2,0)),0,(VLOOKUP(B166,Catalogo!$A$2:$C$410,2,0)))</f>
        <v>0</v>
      </c>
      <c r="B166"/>
      <c r="C166"/>
      <c r="D166"/>
      <c r="E166"/>
      <c r="F166"/>
      <c r="G166"/>
      <c r="H166"/>
      <c r="I166"/>
      <c r="J166"/>
      <c r="K166"/>
      <c r="L166" s="16">
        <f t="shared" si="10"/>
        <v>0</v>
      </c>
      <c r="M166" s="16" t="str">
        <f t="shared" si="9"/>
        <v/>
      </c>
      <c r="N166" s="17">
        <f t="shared" si="11"/>
        <v>0</v>
      </c>
    </row>
    <row r="167" spans="1:14" x14ac:dyDescent="0.2">
      <c r="A167" s="19">
        <f>IF(ISERROR(VLOOKUP(B167,Catalogo!$A$2:$C$410,2,0)),0,(VLOOKUP(B167,Catalogo!$A$2:$C$410,2,0)))</f>
        <v>0</v>
      </c>
      <c r="B167"/>
      <c r="C167"/>
      <c r="D167"/>
      <c r="E167"/>
      <c r="F167"/>
      <c r="G167"/>
      <c r="H167"/>
      <c r="I167"/>
      <c r="J167"/>
      <c r="K167"/>
      <c r="L167" s="16">
        <f t="shared" si="10"/>
        <v>0</v>
      </c>
      <c r="M167" s="16" t="str">
        <f t="shared" si="9"/>
        <v/>
      </c>
      <c r="N167" s="17">
        <f t="shared" si="11"/>
        <v>0</v>
      </c>
    </row>
    <row r="168" spans="1:14" x14ac:dyDescent="0.2">
      <c r="A168" s="19">
        <f>IF(ISERROR(VLOOKUP(B168,Catalogo!$A$2:$C$410,2,0)),0,(VLOOKUP(B168,Catalogo!$A$2:$C$410,2,0)))</f>
        <v>0</v>
      </c>
      <c r="B168"/>
      <c r="C168"/>
      <c r="D168"/>
      <c r="E168"/>
      <c r="F168"/>
      <c r="G168"/>
      <c r="H168"/>
      <c r="I168"/>
      <c r="J168"/>
      <c r="K168"/>
      <c r="L168" s="16">
        <f t="shared" si="10"/>
        <v>0</v>
      </c>
      <c r="M168" s="16" t="str">
        <f t="shared" si="9"/>
        <v/>
      </c>
      <c r="N168" s="17">
        <f t="shared" si="11"/>
        <v>0</v>
      </c>
    </row>
    <row r="169" spans="1:14" x14ac:dyDescent="0.2">
      <c r="A169" s="19">
        <f>IF(ISERROR(VLOOKUP(B169,Catalogo!$A$2:$C$410,2,0)),0,(VLOOKUP(B169,Catalogo!$A$2:$C$410,2,0)))</f>
        <v>0</v>
      </c>
      <c r="B169"/>
      <c r="C169"/>
      <c r="D169"/>
      <c r="E169"/>
      <c r="F169"/>
      <c r="G169"/>
      <c r="H169"/>
      <c r="I169"/>
      <c r="J169"/>
      <c r="K169"/>
      <c r="L169" s="16">
        <f t="shared" si="10"/>
        <v>0</v>
      </c>
      <c r="M169" s="16" t="str">
        <f t="shared" si="9"/>
        <v/>
      </c>
      <c r="N169" s="17">
        <f t="shared" si="11"/>
        <v>0</v>
      </c>
    </row>
    <row r="170" spans="1:14" x14ac:dyDescent="0.2">
      <c r="A170" s="19">
        <f>IF(ISERROR(VLOOKUP(B170,Catalogo!$A$2:$C$410,2,0)),0,(VLOOKUP(B170,Catalogo!$A$2:$C$410,2,0)))</f>
        <v>0</v>
      </c>
      <c r="B170"/>
      <c r="C170"/>
      <c r="D170"/>
      <c r="E170"/>
      <c r="F170"/>
      <c r="G170"/>
      <c r="H170"/>
      <c r="I170"/>
      <c r="J170"/>
      <c r="K170"/>
      <c r="L170" s="16">
        <f t="shared" si="10"/>
        <v>0</v>
      </c>
      <c r="M170" s="16" t="str">
        <f t="shared" si="9"/>
        <v/>
      </c>
      <c r="N170" s="17">
        <f t="shared" si="11"/>
        <v>0</v>
      </c>
    </row>
    <row r="171" spans="1:14" x14ac:dyDescent="0.2">
      <c r="A171" s="19">
        <f>IF(ISERROR(VLOOKUP(B171,Catalogo!$A$2:$C$410,2,0)),0,(VLOOKUP(B171,Catalogo!$A$2:$C$410,2,0)))</f>
        <v>0</v>
      </c>
      <c r="B171"/>
      <c r="C171"/>
      <c r="D171"/>
      <c r="E171"/>
      <c r="F171"/>
      <c r="G171"/>
      <c r="H171"/>
      <c r="I171"/>
      <c r="J171"/>
      <c r="K171"/>
      <c r="L171" s="16">
        <f t="shared" si="10"/>
        <v>0</v>
      </c>
      <c r="M171" s="16" t="str">
        <f t="shared" si="9"/>
        <v/>
      </c>
      <c r="N171" s="17">
        <f t="shared" si="11"/>
        <v>0</v>
      </c>
    </row>
    <row r="172" spans="1:14" x14ac:dyDescent="0.2">
      <c r="A172" s="19">
        <f>IF(ISERROR(VLOOKUP(B172,Catalogo!$A$2:$C$410,2,0)),0,(VLOOKUP(B172,Catalogo!$A$2:$C$410,2,0)))</f>
        <v>0</v>
      </c>
      <c r="B172"/>
      <c r="C172"/>
      <c r="D172"/>
      <c r="E172"/>
      <c r="F172"/>
      <c r="G172"/>
      <c r="H172"/>
      <c r="I172"/>
      <c r="J172"/>
      <c r="K172"/>
      <c r="L172" s="16">
        <f t="shared" si="10"/>
        <v>0</v>
      </c>
      <c r="M172" s="16" t="str">
        <f t="shared" si="9"/>
        <v/>
      </c>
      <c r="N172" s="17">
        <f t="shared" si="11"/>
        <v>0</v>
      </c>
    </row>
    <row r="173" spans="1:14" x14ac:dyDescent="0.2">
      <c r="A173" s="19">
        <f>IF(ISERROR(VLOOKUP(B173,Catalogo!$A$2:$C$410,2,0)),0,(VLOOKUP(B173,Catalogo!$A$2:$C$410,2,0)))</f>
        <v>0</v>
      </c>
      <c r="B173"/>
      <c r="C173"/>
      <c r="D173"/>
      <c r="E173"/>
      <c r="F173"/>
      <c r="G173"/>
      <c r="H173"/>
      <c r="I173"/>
      <c r="J173"/>
      <c r="K173"/>
      <c r="L173" s="16">
        <f t="shared" si="10"/>
        <v>0</v>
      </c>
      <c r="M173" s="16" t="str">
        <f t="shared" si="9"/>
        <v/>
      </c>
      <c r="N173" s="17">
        <f t="shared" si="11"/>
        <v>0</v>
      </c>
    </row>
    <row r="174" spans="1:14" x14ac:dyDescent="0.2">
      <c r="A174" s="19">
        <f>IF(ISERROR(VLOOKUP(B174,Catalogo!$A$2:$C$410,2,0)),0,(VLOOKUP(B174,Catalogo!$A$2:$C$410,2,0)))</f>
        <v>0</v>
      </c>
      <c r="B174"/>
      <c r="C174"/>
      <c r="D174"/>
      <c r="E174"/>
      <c r="F174"/>
      <c r="G174"/>
      <c r="H174"/>
      <c r="I174"/>
      <c r="J174"/>
      <c r="K174"/>
      <c r="L174" s="16">
        <f t="shared" si="10"/>
        <v>0</v>
      </c>
      <c r="M174" s="16" t="str">
        <f t="shared" si="9"/>
        <v/>
      </c>
      <c r="N174" s="17">
        <f t="shared" si="11"/>
        <v>0</v>
      </c>
    </row>
    <row r="175" spans="1:14" x14ac:dyDescent="0.2">
      <c r="A175" s="19">
        <f>IF(ISERROR(VLOOKUP(B175,Catalogo!$A$2:$C$410,2,0)),0,(VLOOKUP(B175,Catalogo!$A$2:$C$410,2,0)))</f>
        <v>0</v>
      </c>
      <c r="B175"/>
      <c r="C175"/>
      <c r="D175"/>
      <c r="E175"/>
      <c r="F175"/>
      <c r="G175"/>
      <c r="H175"/>
      <c r="I175"/>
      <c r="J175"/>
      <c r="K175"/>
      <c r="L175" s="16">
        <f t="shared" si="10"/>
        <v>0</v>
      </c>
      <c r="M175" s="16" t="str">
        <f t="shared" si="9"/>
        <v/>
      </c>
      <c r="N175" s="17">
        <f t="shared" si="11"/>
        <v>0</v>
      </c>
    </row>
    <row r="176" spans="1:14" x14ac:dyDescent="0.2">
      <c r="A176" s="19">
        <f>IF(ISERROR(VLOOKUP(B176,Catalogo!$A$2:$C$410,2,0)),0,(VLOOKUP(B176,Catalogo!$A$2:$C$410,2,0)))</f>
        <v>0</v>
      </c>
      <c r="B176"/>
      <c r="C176"/>
      <c r="D176"/>
      <c r="E176"/>
      <c r="F176"/>
      <c r="G176"/>
      <c r="H176"/>
      <c r="I176"/>
      <c r="J176"/>
      <c r="K176"/>
      <c r="L176" s="16">
        <f t="shared" si="10"/>
        <v>0</v>
      </c>
      <c r="M176" s="16" t="str">
        <f t="shared" si="9"/>
        <v/>
      </c>
      <c r="N176" s="17">
        <f t="shared" si="11"/>
        <v>0</v>
      </c>
    </row>
    <row r="177" spans="1:14" x14ac:dyDescent="0.2">
      <c r="A177" s="19">
        <f>IF(ISERROR(VLOOKUP(B177,Catalogo!$A$2:$C$410,2,0)),0,(VLOOKUP(B177,Catalogo!$A$2:$C$410,2,0)))</f>
        <v>0</v>
      </c>
      <c r="B177"/>
      <c r="C177"/>
      <c r="D177"/>
      <c r="E177"/>
      <c r="F177"/>
      <c r="G177"/>
      <c r="H177"/>
      <c r="I177"/>
      <c r="J177"/>
      <c r="K177"/>
      <c r="L177" s="16">
        <f t="shared" si="10"/>
        <v>0</v>
      </c>
      <c r="M177" s="16" t="str">
        <f t="shared" si="9"/>
        <v/>
      </c>
      <c r="N177" s="17">
        <f t="shared" si="11"/>
        <v>0</v>
      </c>
    </row>
    <row r="178" spans="1:14" x14ac:dyDescent="0.2">
      <c r="A178" s="19">
        <f>IF(ISERROR(VLOOKUP(B178,Catalogo!$A$2:$C$410,2,0)),0,(VLOOKUP(B178,Catalogo!$A$2:$C$410,2,0)))</f>
        <v>0</v>
      </c>
      <c r="B178"/>
      <c r="C178"/>
      <c r="D178"/>
      <c r="E178"/>
      <c r="F178"/>
      <c r="G178"/>
      <c r="H178"/>
      <c r="I178"/>
      <c r="J178"/>
      <c r="K178"/>
      <c r="L178" s="16">
        <f t="shared" si="10"/>
        <v>0</v>
      </c>
      <c r="M178" s="16" t="str">
        <f t="shared" si="9"/>
        <v/>
      </c>
      <c r="N178" s="17">
        <f t="shared" si="11"/>
        <v>0</v>
      </c>
    </row>
    <row r="179" spans="1:14" x14ac:dyDescent="0.2">
      <c r="A179" s="19">
        <f>IF(ISERROR(VLOOKUP(B179,Catalogo!$A$2:$C$410,2,0)),0,(VLOOKUP(B179,Catalogo!$A$2:$C$410,2,0)))</f>
        <v>0</v>
      </c>
      <c r="B179"/>
      <c r="C179"/>
      <c r="D179"/>
      <c r="E179"/>
      <c r="F179"/>
      <c r="G179"/>
      <c r="H179"/>
      <c r="I179"/>
      <c r="J179"/>
      <c r="K179"/>
      <c r="L179" s="16">
        <f t="shared" si="10"/>
        <v>0</v>
      </c>
      <c r="M179" s="16" t="str">
        <f t="shared" si="9"/>
        <v/>
      </c>
      <c r="N179" s="17">
        <f t="shared" si="11"/>
        <v>0</v>
      </c>
    </row>
    <row r="180" spans="1:14" x14ac:dyDescent="0.2">
      <c r="A180" s="19">
        <f>IF(ISERROR(VLOOKUP(B180,Catalogo!$A$2:$C$410,2,0)),0,(VLOOKUP(B180,Catalogo!$A$2:$C$410,2,0)))</f>
        <v>0</v>
      </c>
      <c r="B180"/>
      <c r="C180"/>
      <c r="D180"/>
      <c r="E180"/>
      <c r="F180"/>
      <c r="G180"/>
      <c r="H180"/>
      <c r="I180"/>
      <c r="J180"/>
      <c r="K180"/>
      <c r="L180" s="16">
        <f t="shared" si="10"/>
        <v>0</v>
      </c>
      <c r="M180" s="16" t="str">
        <f t="shared" si="9"/>
        <v/>
      </c>
      <c r="N180" s="17">
        <f t="shared" si="11"/>
        <v>0</v>
      </c>
    </row>
    <row r="181" spans="1:14" x14ac:dyDescent="0.2">
      <c r="A181" s="19">
        <f>IF(ISERROR(VLOOKUP(B181,Catalogo!$A$2:$C$410,2,0)),0,(VLOOKUP(B181,Catalogo!$A$2:$C$410,2,0)))</f>
        <v>0</v>
      </c>
      <c r="B181"/>
      <c r="C181"/>
      <c r="D181"/>
      <c r="E181"/>
      <c r="F181"/>
      <c r="G181"/>
      <c r="H181"/>
      <c r="I181"/>
      <c r="J181"/>
      <c r="K181"/>
      <c r="L181" s="16">
        <f t="shared" si="10"/>
        <v>0</v>
      </c>
      <c r="M181" s="16" t="str">
        <f t="shared" si="9"/>
        <v/>
      </c>
      <c r="N181" s="17">
        <f t="shared" si="11"/>
        <v>0</v>
      </c>
    </row>
    <row r="182" spans="1:14" x14ac:dyDescent="0.2">
      <c r="A182" s="19">
        <f>IF(ISERROR(VLOOKUP(B182,Catalogo!$A$2:$C$410,2,0)),0,(VLOOKUP(B182,Catalogo!$A$2:$C$410,2,0)))</f>
        <v>0</v>
      </c>
      <c r="B182"/>
      <c r="C182"/>
      <c r="D182"/>
      <c r="E182"/>
      <c r="F182"/>
      <c r="G182"/>
      <c r="H182"/>
      <c r="I182"/>
      <c r="J182"/>
      <c r="K182"/>
      <c r="L182" s="16">
        <f t="shared" si="10"/>
        <v>0</v>
      </c>
      <c r="M182" s="16" t="str">
        <f t="shared" si="9"/>
        <v/>
      </c>
      <c r="N182" s="17">
        <f t="shared" si="11"/>
        <v>0</v>
      </c>
    </row>
    <row r="183" spans="1:14" x14ac:dyDescent="0.2">
      <c r="A183" s="19">
        <f>IF(ISERROR(VLOOKUP(B183,Catalogo!$A$2:$C$410,2,0)),0,(VLOOKUP(B183,Catalogo!$A$2:$C$410,2,0)))</f>
        <v>0</v>
      </c>
      <c r="B183"/>
      <c r="C183"/>
      <c r="D183"/>
      <c r="E183"/>
      <c r="F183"/>
      <c r="G183"/>
      <c r="H183"/>
      <c r="I183"/>
      <c r="J183"/>
      <c r="K183"/>
      <c r="L183" s="16">
        <f t="shared" si="10"/>
        <v>0</v>
      </c>
      <c r="M183" s="16" t="str">
        <f t="shared" si="9"/>
        <v/>
      </c>
      <c r="N183" s="17">
        <f t="shared" si="11"/>
        <v>0</v>
      </c>
    </row>
    <row r="184" spans="1:14" x14ac:dyDescent="0.2">
      <c r="A184" s="19">
        <f>IF(ISERROR(VLOOKUP(B184,Catalogo!$A$2:$C$410,2,0)),0,(VLOOKUP(B184,Catalogo!$A$2:$C$410,2,0)))</f>
        <v>0</v>
      </c>
      <c r="B184"/>
      <c r="C184"/>
      <c r="D184"/>
      <c r="E184"/>
      <c r="F184"/>
      <c r="G184"/>
      <c r="H184"/>
      <c r="I184"/>
      <c r="J184"/>
      <c r="K184"/>
      <c r="L184" s="16">
        <f t="shared" si="10"/>
        <v>0</v>
      </c>
      <c r="M184" s="16" t="str">
        <f t="shared" si="9"/>
        <v/>
      </c>
      <c r="N184" s="17">
        <f t="shared" si="11"/>
        <v>0</v>
      </c>
    </row>
    <row r="185" spans="1:14" x14ac:dyDescent="0.2">
      <c r="A185" s="19">
        <f>IF(ISERROR(VLOOKUP(B185,Catalogo!$A$2:$C$410,2,0)),0,(VLOOKUP(B185,Catalogo!$A$2:$C$410,2,0)))</f>
        <v>0</v>
      </c>
      <c r="B185"/>
      <c r="C185"/>
      <c r="D185"/>
      <c r="E185"/>
      <c r="F185"/>
      <c r="G185"/>
      <c r="H185"/>
      <c r="I185"/>
      <c r="J185"/>
      <c r="K185"/>
      <c r="L185" s="16">
        <f t="shared" si="10"/>
        <v>0</v>
      </c>
      <c r="M185" s="16" t="str">
        <f t="shared" si="9"/>
        <v/>
      </c>
      <c r="N185" s="17">
        <f t="shared" si="11"/>
        <v>0</v>
      </c>
    </row>
    <row r="186" spans="1:14" x14ac:dyDescent="0.2">
      <c r="A186" s="19">
        <f>IF(ISERROR(VLOOKUP(B186,Catalogo!$A$2:$C$410,2,0)),0,(VLOOKUP(B186,Catalogo!$A$2:$C$410,2,0)))</f>
        <v>0</v>
      </c>
      <c r="B186"/>
      <c r="C186"/>
      <c r="D186"/>
      <c r="E186"/>
      <c r="F186"/>
      <c r="G186"/>
      <c r="H186"/>
      <c r="I186"/>
      <c r="J186"/>
      <c r="K186"/>
      <c r="L186" s="16">
        <f t="shared" si="10"/>
        <v>0</v>
      </c>
      <c r="M186" s="16" t="str">
        <f t="shared" si="9"/>
        <v/>
      </c>
      <c r="N186" s="17">
        <f t="shared" si="11"/>
        <v>0</v>
      </c>
    </row>
    <row r="187" spans="1:14" x14ac:dyDescent="0.2">
      <c r="A187" s="19">
        <f>IF(ISERROR(VLOOKUP(B187,Catalogo!$A$2:$C$410,2,0)),0,(VLOOKUP(B187,Catalogo!$A$2:$C$410,2,0)))</f>
        <v>0</v>
      </c>
      <c r="B187"/>
      <c r="C187"/>
      <c r="D187"/>
      <c r="E187"/>
      <c r="F187"/>
      <c r="G187"/>
      <c r="H187"/>
      <c r="I187"/>
      <c r="J187"/>
      <c r="K187"/>
      <c r="L187" s="16">
        <f t="shared" si="10"/>
        <v>0</v>
      </c>
      <c r="M187" s="16" t="str">
        <f t="shared" si="9"/>
        <v/>
      </c>
      <c r="N187" s="17">
        <f t="shared" si="11"/>
        <v>0</v>
      </c>
    </row>
    <row r="188" spans="1:14" x14ac:dyDescent="0.2">
      <c r="A188" s="19">
        <f>IF(ISERROR(VLOOKUP(B188,Catalogo!$A$2:$C$410,2,0)),0,(VLOOKUP(B188,Catalogo!$A$2:$C$410,2,0)))</f>
        <v>0</v>
      </c>
      <c r="B188"/>
      <c r="C188"/>
      <c r="D188"/>
      <c r="E188"/>
      <c r="F188"/>
      <c r="G188"/>
      <c r="H188"/>
      <c r="I188"/>
      <c r="J188"/>
      <c r="K188"/>
      <c r="L188" s="16">
        <f t="shared" si="10"/>
        <v>0</v>
      </c>
      <c r="M188" s="16" t="str">
        <f t="shared" si="9"/>
        <v/>
      </c>
      <c r="N188" s="17">
        <f t="shared" si="11"/>
        <v>0</v>
      </c>
    </row>
    <row r="189" spans="1:14" x14ac:dyDescent="0.2">
      <c r="A189" s="19">
        <f>IF(ISERROR(VLOOKUP(B189,Catalogo!$A$2:$C$410,2,0)),0,(VLOOKUP(B189,Catalogo!$A$2:$C$410,2,0)))</f>
        <v>0</v>
      </c>
      <c r="B189"/>
      <c r="C189"/>
      <c r="D189"/>
      <c r="E189"/>
      <c r="F189"/>
      <c r="G189"/>
      <c r="H189"/>
      <c r="I189"/>
      <c r="J189"/>
      <c r="K189"/>
      <c r="L189" s="16">
        <f t="shared" si="10"/>
        <v>0</v>
      </c>
      <c r="M189" s="16" t="str">
        <f t="shared" si="9"/>
        <v/>
      </c>
      <c r="N189" s="17">
        <f t="shared" si="11"/>
        <v>0</v>
      </c>
    </row>
    <row r="190" spans="1:14" x14ac:dyDescent="0.2">
      <c r="A190" s="19">
        <f>IF(ISERROR(VLOOKUP(B190,Catalogo!$A$2:$C$410,2,0)),0,(VLOOKUP(B190,Catalogo!$A$2:$C$410,2,0)))</f>
        <v>0</v>
      </c>
      <c r="B190"/>
      <c r="C190"/>
      <c r="D190"/>
      <c r="E190"/>
      <c r="F190"/>
      <c r="G190"/>
      <c r="H190"/>
      <c r="I190"/>
      <c r="J190"/>
      <c r="K190"/>
      <c r="L190" s="16">
        <f t="shared" si="10"/>
        <v>0</v>
      </c>
      <c r="M190" s="16" t="str">
        <f t="shared" si="9"/>
        <v/>
      </c>
      <c r="N190" s="17">
        <f t="shared" si="11"/>
        <v>0</v>
      </c>
    </row>
    <row r="191" spans="1:14" x14ac:dyDescent="0.2">
      <c r="A191" s="19">
        <f>IF(ISERROR(VLOOKUP(B191,Catalogo!$A$2:$C$410,2,0)),0,(VLOOKUP(B191,Catalogo!$A$2:$C$410,2,0)))</f>
        <v>0</v>
      </c>
      <c r="B191"/>
      <c r="C191"/>
      <c r="D191"/>
      <c r="E191"/>
      <c r="F191"/>
      <c r="G191"/>
      <c r="H191"/>
      <c r="I191"/>
      <c r="J191"/>
      <c r="K191"/>
      <c r="L191" s="16">
        <f t="shared" si="10"/>
        <v>0</v>
      </c>
      <c r="M191" s="16" t="str">
        <f t="shared" si="9"/>
        <v/>
      </c>
      <c r="N191" s="17">
        <f t="shared" si="11"/>
        <v>0</v>
      </c>
    </row>
    <row r="192" spans="1:14" x14ac:dyDescent="0.2">
      <c r="A192" s="19">
        <f>IF(ISERROR(VLOOKUP(B192,Catalogo!$A$2:$C$410,2,0)),0,(VLOOKUP(B192,Catalogo!$A$2:$C$410,2,0)))</f>
        <v>0</v>
      </c>
      <c r="B192"/>
      <c r="C192"/>
      <c r="D192"/>
      <c r="E192"/>
      <c r="F192"/>
      <c r="G192"/>
      <c r="H192"/>
      <c r="I192"/>
      <c r="J192"/>
      <c r="K192"/>
      <c r="L192" s="16">
        <f t="shared" si="10"/>
        <v>0</v>
      </c>
      <c r="M192" s="16" t="str">
        <f t="shared" si="9"/>
        <v/>
      </c>
      <c r="N192" s="17">
        <f t="shared" si="11"/>
        <v>0</v>
      </c>
    </row>
    <row r="193" spans="1:14" x14ac:dyDescent="0.2">
      <c r="A193" s="19">
        <f>IF(ISERROR(VLOOKUP(B193,Catalogo!$A$2:$C$410,2,0)),0,(VLOOKUP(B193,Catalogo!$A$2:$C$410,2,0)))</f>
        <v>0</v>
      </c>
      <c r="B193"/>
      <c r="C193"/>
      <c r="D193"/>
      <c r="E193"/>
      <c r="F193"/>
      <c r="G193"/>
      <c r="H193"/>
      <c r="I193"/>
      <c r="J193"/>
      <c r="K193"/>
      <c r="L193" s="16">
        <f t="shared" si="10"/>
        <v>0</v>
      </c>
      <c r="M193" s="16" t="str">
        <f t="shared" ref="M193:M198" si="12">LEFT(E193,1)</f>
        <v/>
      </c>
      <c r="N193" s="17">
        <f t="shared" si="11"/>
        <v>0</v>
      </c>
    </row>
    <row r="194" spans="1:14" x14ac:dyDescent="0.2">
      <c r="A194" s="19">
        <f>IF(ISERROR(VLOOKUP(B194,Catalogo!$A$2:$C$410,2,0)),0,(VLOOKUP(B194,Catalogo!$A$2:$C$410,2,0)))</f>
        <v>0</v>
      </c>
      <c r="B194"/>
      <c r="C194"/>
      <c r="D194"/>
      <c r="E194"/>
      <c r="F194"/>
      <c r="G194"/>
      <c r="H194"/>
      <c r="I194"/>
      <c r="J194"/>
      <c r="K194"/>
      <c r="L194" s="16">
        <f t="shared" ref="L194:L257" si="13">IF(A194="Record Keeping",B194,0)</f>
        <v>0</v>
      </c>
      <c r="M194" s="16" t="str">
        <f t="shared" si="12"/>
        <v/>
      </c>
      <c r="N194" s="17">
        <f t="shared" ref="N194:N257" si="14">IF(G194="CAN",F194*0,IF(M194="R",F194*-1,F194*1)*AND(A194="Record Keeping"))</f>
        <v>0</v>
      </c>
    </row>
    <row r="195" spans="1:14" x14ac:dyDescent="0.2">
      <c r="A195" s="19">
        <f>IF(ISERROR(VLOOKUP(B195,Catalogo!$A$2:$C$410,2,0)),0,(VLOOKUP(B195,Catalogo!$A$2:$C$410,2,0)))</f>
        <v>0</v>
      </c>
      <c r="B195"/>
      <c r="C195"/>
      <c r="D195"/>
      <c r="E195"/>
      <c r="F195"/>
      <c r="G195"/>
      <c r="H195"/>
      <c r="I195"/>
      <c r="J195"/>
      <c r="K195"/>
      <c r="L195" s="16">
        <f t="shared" si="13"/>
        <v>0</v>
      </c>
      <c r="M195" s="16" t="str">
        <f t="shared" si="12"/>
        <v/>
      </c>
      <c r="N195" s="17">
        <f t="shared" si="14"/>
        <v>0</v>
      </c>
    </row>
    <row r="196" spans="1:14" x14ac:dyDescent="0.2">
      <c r="A196" s="19">
        <f>IF(ISERROR(VLOOKUP(B196,Catalogo!$A$2:$C$410,2,0)),0,(VLOOKUP(B196,Catalogo!$A$2:$C$410,2,0)))</f>
        <v>0</v>
      </c>
      <c r="B196"/>
      <c r="C196"/>
      <c r="D196"/>
      <c r="E196"/>
      <c r="F196"/>
      <c r="G196"/>
      <c r="H196"/>
      <c r="I196"/>
      <c r="J196"/>
      <c r="K196"/>
      <c r="L196" s="16">
        <f t="shared" si="13"/>
        <v>0</v>
      </c>
      <c r="M196" s="16" t="str">
        <f t="shared" si="12"/>
        <v/>
      </c>
      <c r="N196" s="17">
        <f t="shared" si="14"/>
        <v>0</v>
      </c>
    </row>
    <row r="197" spans="1:14" x14ac:dyDescent="0.2">
      <c r="A197" s="19">
        <f>IF(ISERROR(VLOOKUP(B197,Catalogo!$A$2:$C$410,2,0)),0,(VLOOKUP(B197,Catalogo!$A$2:$C$410,2,0)))</f>
        <v>0</v>
      </c>
      <c r="B197"/>
      <c r="C197"/>
      <c r="D197"/>
      <c r="E197"/>
      <c r="F197"/>
      <c r="G197"/>
      <c r="H197"/>
      <c r="I197"/>
      <c r="J197"/>
      <c r="K197"/>
      <c r="L197" s="16">
        <f t="shared" si="13"/>
        <v>0</v>
      </c>
      <c r="M197" s="16" t="str">
        <f t="shared" si="12"/>
        <v/>
      </c>
      <c r="N197" s="17">
        <f t="shared" si="14"/>
        <v>0</v>
      </c>
    </row>
    <row r="198" spans="1:14" x14ac:dyDescent="0.2">
      <c r="A198" s="19">
        <f>IF(ISERROR(VLOOKUP(B198,Catalogo!$A$2:$C$410,2,0)),0,(VLOOKUP(B198,Catalogo!$A$2:$C$410,2,0)))</f>
        <v>0</v>
      </c>
      <c r="B198"/>
      <c r="C198"/>
      <c r="D198"/>
      <c r="E198"/>
      <c r="F198"/>
      <c r="G198"/>
      <c r="H198"/>
      <c r="I198"/>
      <c r="J198"/>
      <c r="K198"/>
      <c r="L198" s="16">
        <f t="shared" si="13"/>
        <v>0</v>
      </c>
      <c r="M198" s="16" t="str">
        <f t="shared" si="12"/>
        <v/>
      </c>
      <c r="N198" s="17">
        <f t="shared" si="14"/>
        <v>0</v>
      </c>
    </row>
    <row r="199" spans="1:14" x14ac:dyDescent="0.2">
      <c r="A199" s="19">
        <f>IF(ISERROR(VLOOKUP(B199,Catalogo!$A$2:$C$410,2,0)),0,(VLOOKUP(B199,Catalogo!$A$2:$C$410,2,0)))</f>
        <v>0</v>
      </c>
      <c r="B199"/>
      <c r="C199"/>
      <c r="D199"/>
      <c r="E199"/>
      <c r="F199"/>
      <c r="G199"/>
      <c r="H199"/>
      <c r="I199"/>
      <c r="J199"/>
      <c r="K199"/>
      <c r="L199" s="16">
        <f t="shared" si="13"/>
        <v>0</v>
      </c>
      <c r="M199" s="16" t="str">
        <f t="shared" ref="M199:M262" si="15">LEFT(E199,1)</f>
        <v/>
      </c>
      <c r="N199" s="17">
        <f t="shared" si="14"/>
        <v>0</v>
      </c>
    </row>
    <row r="200" spans="1:14" x14ac:dyDescent="0.2">
      <c r="A200" s="19">
        <f>IF(ISERROR(VLOOKUP(B200,Catalogo!$A$2:$C$410,2,0)),0,(VLOOKUP(B200,Catalogo!$A$2:$C$410,2,0)))</f>
        <v>0</v>
      </c>
      <c r="B200"/>
      <c r="C200"/>
      <c r="D200"/>
      <c r="E200"/>
      <c r="F200"/>
      <c r="G200"/>
      <c r="H200"/>
      <c r="I200"/>
      <c r="J200"/>
      <c r="K200"/>
      <c r="L200" s="16">
        <f t="shared" si="13"/>
        <v>0</v>
      </c>
      <c r="M200" s="16" t="str">
        <f t="shared" si="15"/>
        <v/>
      </c>
      <c r="N200" s="17">
        <f t="shared" si="14"/>
        <v>0</v>
      </c>
    </row>
    <row r="201" spans="1:14" x14ac:dyDescent="0.2">
      <c r="A201" s="19">
        <f>IF(ISERROR(VLOOKUP(B201,Catalogo!$A$2:$C$410,2,0)),0,(VLOOKUP(B201,Catalogo!$A$2:$C$410,2,0)))</f>
        <v>0</v>
      </c>
      <c r="B201"/>
      <c r="C201"/>
      <c r="D201"/>
      <c r="E201"/>
      <c r="F201"/>
      <c r="G201"/>
      <c r="H201"/>
      <c r="I201"/>
      <c r="J201"/>
      <c r="K201"/>
      <c r="L201" s="16">
        <f t="shared" si="13"/>
        <v>0</v>
      </c>
      <c r="M201" s="16" t="str">
        <f t="shared" si="15"/>
        <v/>
      </c>
      <c r="N201" s="17">
        <f t="shared" si="14"/>
        <v>0</v>
      </c>
    </row>
    <row r="202" spans="1:14" x14ac:dyDescent="0.2">
      <c r="A202" s="19">
        <f>IF(ISERROR(VLOOKUP(B202,Catalogo!$A$2:$C$410,2,0)),0,(VLOOKUP(B202,Catalogo!$A$2:$C$410,2,0)))</f>
        <v>0</v>
      </c>
      <c r="B202"/>
      <c r="C202"/>
      <c r="D202"/>
      <c r="E202"/>
      <c r="F202"/>
      <c r="G202"/>
      <c r="H202"/>
      <c r="I202"/>
      <c r="J202"/>
      <c r="K202"/>
      <c r="L202" s="16">
        <f t="shared" si="13"/>
        <v>0</v>
      </c>
      <c r="M202" s="16" t="str">
        <f t="shared" si="15"/>
        <v/>
      </c>
      <c r="N202" s="17">
        <f t="shared" si="14"/>
        <v>0</v>
      </c>
    </row>
    <row r="203" spans="1:14" x14ac:dyDescent="0.2">
      <c r="A203" s="19">
        <f>IF(ISERROR(VLOOKUP(B203,Catalogo!$A$2:$C$410,2,0)),0,(VLOOKUP(B203,Catalogo!$A$2:$C$410,2,0)))</f>
        <v>0</v>
      </c>
      <c r="B203"/>
      <c r="C203"/>
      <c r="D203"/>
      <c r="E203"/>
      <c r="F203"/>
      <c r="G203"/>
      <c r="H203"/>
      <c r="I203"/>
      <c r="J203"/>
      <c r="K203"/>
      <c r="L203" s="16">
        <f t="shared" si="13"/>
        <v>0</v>
      </c>
      <c r="M203" s="16" t="str">
        <f t="shared" si="15"/>
        <v/>
      </c>
      <c r="N203" s="17">
        <f t="shared" si="14"/>
        <v>0</v>
      </c>
    </row>
    <row r="204" spans="1:14" x14ac:dyDescent="0.2">
      <c r="A204" s="19">
        <f>IF(ISERROR(VLOOKUP(B204,Catalogo!$A$2:$C$410,2,0)),0,(VLOOKUP(B204,Catalogo!$A$2:$C$410,2,0)))</f>
        <v>0</v>
      </c>
      <c r="B204"/>
      <c r="C204"/>
      <c r="D204"/>
      <c r="E204"/>
      <c r="F204"/>
      <c r="G204"/>
      <c r="H204"/>
      <c r="I204"/>
      <c r="J204"/>
      <c r="K204"/>
      <c r="L204" s="16">
        <f t="shared" si="13"/>
        <v>0</v>
      </c>
      <c r="M204" s="16" t="str">
        <f t="shared" si="15"/>
        <v/>
      </c>
      <c r="N204" s="17">
        <f t="shared" si="14"/>
        <v>0</v>
      </c>
    </row>
    <row r="205" spans="1:14" x14ac:dyDescent="0.2">
      <c r="A205" s="19">
        <f>IF(ISERROR(VLOOKUP(B205,Catalogo!$A$2:$C$410,2,0)),0,(VLOOKUP(B205,Catalogo!$A$2:$C$410,2,0)))</f>
        <v>0</v>
      </c>
      <c r="B205"/>
      <c r="C205"/>
      <c r="D205"/>
      <c r="E205"/>
      <c r="F205"/>
      <c r="G205"/>
      <c r="H205"/>
      <c r="I205"/>
      <c r="J205"/>
      <c r="K205"/>
      <c r="L205" s="16">
        <f t="shared" si="13"/>
        <v>0</v>
      </c>
      <c r="M205" s="16" t="str">
        <f t="shared" si="15"/>
        <v/>
      </c>
      <c r="N205" s="17">
        <f t="shared" si="14"/>
        <v>0</v>
      </c>
    </row>
    <row r="206" spans="1:14" x14ac:dyDescent="0.2">
      <c r="A206" s="19">
        <f>IF(ISERROR(VLOOKUP(B206,Catalogo!$A$2:$C$410,2,0)),0,(VLOOKUP(B206,Catalogo!$A$2:$C$410,2,0)))</f>
        <v>0</v>
      </c>
      <c r="B206"/>
      <c r="C206"/>
      <c r="D206"/>
      <c r="E206"/>
      <c r="F206"/>
      <c r="G206"/>
      <c r="H206"/>
      <c r="I206"/>
      <c r="J206"/>
      <c r="K206"/>
      <c r="L206" s="16">
        <f t="shared" si="13"/>
        <v>0</v>
      </c>
      <c r="M206" s="16" t="str">
        <f t="shared" si="15"/>
        <v/>
      </c>
      <c r="N206" s="17">
        <f t="shared" si="14"/>
        <v>0</v>
      </c>
    </row>
    <row r="207" spans="1:14" x14ac:dyDescent="0.2">
      <c r="A207" s="19">
        <f>IF(ISERROR(VLOOKUP(B207,Catalogo!$A$2:$C$410,2,0)),0,(VLOOKUP(B207,Catalogo!$A$2:$C$410,2,0)))</f>
        <v>0</v>
      </c>
      <c r="B207"/>
      <c r="C207"/>
      <c r="D207"/>
      <c r="E207"/>
      <c r="F207"/>
      <c r="G207"/>
      <c r="H207"/>
      <c r="I207"/>
      <c r="J207"/>
      <c r="K207"/>
      <c r="L207" s="16">
        <f t="shared" si="13"/>
        <v>0</v>
      </c>
      <c r="M207" s="16" t="str">
        <f t="shared" si="15"/>
        <v/>
      </c>
      <c r="N207" s="17">
        <f t="shared" si="14"/>
        <v>0</v>
      </c>
    </row>
    <row r="208" spans="1:14" x14ac:dyDescent="0.2">
      <c r="A208" s="19">
        <f>IF(ISERROR(VLOOKUP(B208,Catalogo!$A$2:$C$410,2,0)),0,(VLOOKUP(B208,Catalogo!$A$2:$C$410,2,0)))</f>
        <v>0</v>
      </c>
      <c r="B208"/>
      <c r="C208"/>
      <c r="D208"/>
      <c r="E208"/>
      <c r="F208"/>
      <c r="G208"/>
      <c r="H208"/>
      <c r="I208"/>
      <c r="J208"/>
      <c r="K208"/>
      <c r="L208" s="16">
        <f t="shared" si="13"/>
        <v>0</v>
      </c>
      <c r="M208" s="16" t="str">
        <f t="shared" si="15"/>
        <v/>
      </c>
      <c r="N208" s="17">
        <f t="shared" si="14"/>
        <v>0</v>
      </c>
    </row>
    <row r="209" spans="1:14" x14ac:dyDescent="0.2">
      <c r="A209" s="19">
        <f>IF(ISERROR(VLOOKUP(B209,Catalogo!$A$2:$C$410,2,0)),0,(VLOOKUP(B209,Catalogo!$A$2:$C$410,2,0)))</f>
        <v>0</v>
      </c>
      <c r="B209"/>
      <c r="C209"/>
      <c r="D209"/>
      <c r="E209"/>
      <c r="F209"/>
      <c r="G209"/>
      <c r="H209"/>
      <c r="I209"/>
      <c r="J209"/>
      <c r="K209"/>
      <c r="L209" s="16">
        <f t="shared" si="13"/>
        <v>0</v>
      </c>
      <c r="M209" s="16" t="str">
        <f t="shared" si="15"/>
        <v/>
      </c>
      <c r="N209" s="17">
        <f t="shared" si="14"/>
        <v>0</v>
      </c>
    </row>
    <row r="210" spans="1:14" x14ac:dyDescent="0.2">
      <c r="A210" s="19">
        <f>IF(ISERROR(VLOOKUP(B210,Catalogo!$A$2:$C$410,2,0)),0,(VLOOKUP(B210,Catalogo!$A$2:$C$410,2,0)))</f>
        <v>0</v>
      </c>
      <c r="B210"/>
      <c r="C210"/>
      <c r="D210"/>
      <c r="E210"/>
      <c r="F210"/>
      <c r="G210"/>
      <c r="H210"/>
      <c r="I210"/>
      <c r="J210"/>
      <c r="K210"/>
      <c r="L210" s="16">
        <f t="shared" si="13"/>
        <v>0</v>
      </c>
      <c r="M210" s="16" t="str">
        <f t="shared" si="15"/>
        <v/>
      </c>
      <c r="N210" s="17">
        <f t="shared" si="14"/>
        <v>0</v>
      </c>
    </row>
    <row r="211" spans="1:14" x14ac:dyDescent="0.2">
      <c r="A211" s="19">
        <f>IF(ISERROR(VLOOKUP(B211,Catalogo!$A$2:$C$410,2,0)),0,(VLOOKUP(B211,Catalogo!$A$2:$C$410,2,0)))</f>
        <v>0</v>
      </c>
      <c r="B211"/>
      <c r="C211"/>
      <c r="D211"/>
      <c r="E211"/>
      <c r="F211"/>
      <c r="G211"/>
      <c r="H211"/>
      <c r="I211"/>
      <c r="J211"/>
      <c r="K211"/>
      <c r="L211" s="16">
        <f t="shared" si="13"/>
        <v>0</v>
      </c>
      <c r="M211" s="16" t="str">
        <f t="shared" si="15"/>
        <v/>
      </c>
      <c r="N211" s="17">
        <f t="shared" si="14"/>
        <v>0</v>
      </c>
    </row>
    <row r="212" spans="1:14" x14ac:dyDescent="0.2">
      <c r="A212" s="19">
        <f>IF(ISERROR(VLOOKUP(B212,Catalogo!$A$2:$C$410,2,0)),0,(VLOOKUP(B212,Catalogo!$A$2:$C$410,2,0)))</f>
        <v>0</v>
      </c>
      <c r="B212"/>
      <c r="C212"/>
      <c r="D212"/>
      <c r="E212"/>
      <c r="F212"/>
      <c r="G212"/>
      <c r="H212"/>
      <c r="I212"/>
      <c r="J212"/>
      <c r="K212"/>
      <c r="L212" s="16">
        <f t="shared" si="13"/>
        <v>0</v>
      </c>
      <c r="M212" s="16" t="str">
        <f t="shared" si="15"/>
        <v/>
      </c>
      <c r="N212" s="17">
        <f t="shared" si="14"/>
        <v>0</v>
      </c>
    </row>
    <row r="213" spans="1:14" x14ac:dyDescent="0.2">
      <c r="A213" s="19">
        <f>IF(ISERROR(VLOOKUP(B213,Catalogo!$A$2:$C$410,2,0)),0,(VLOOKUP(B213,Catalogo!$A$2:$C$410,2,0)))</f>
        <v>0</v>
      </c>
      <c r="B213"/>
      <c r="C213"/>
      <c r="D213"/>
      <c r="E213"/>
      <c r="F213"/>
      <c r="G213"/>
      <c r="H213"/>
      <c r="I213"/>
      <c r="J213"/>
      <c r="K213"/>
      <c r="L213" s="16">
        <f t="shared" si="13"/>
        <v>0</v>
      </c>
      <c r="M213" s="16" t="str">
        <f t="shared" si="15"/>
        <v/>
      </c>
      <c r="N213" s="17">
        <f t="shared" si="14"/>
        <v>0</v>
      </c>
    </row>
    <row r="214" spans="1:14" x14ac:dyDescent="0.2">
      <c r="A214" s="19">
        <f>IF(ISERROR(VLOOKUP(B214,Catalogo!$A$2:$C$410,2,0)),0,(VLOOKUP(B214,Catalogo!$A$2:$C$410,2,0)))</f>
        <v>0</v>
      </c>
      <c r="B214"/>
      <c r="C214"/>
      <c r="D214"/>
      <c r="E214"/>
      <c r="F214"/>
      <c r="G214"/>
      <c r="H214"/>
      <c r="I214"/>
      <c r="J214"/>
      <c r="K214"/>
      <c r="L214" s="16">
        <f t="shared" si="13"/>
        <v>0</v>
      </c>
      <c r="M214" s="16" t="str">
        <f t="shared" si="15"/>
        <v/>
      </c>
      <c r="N214" s="17">
        <f t="shared" si="14"/>
        <v>0</v>
      </c>
    </row>
    <row r="215" spans="1:14" x14ac:dyDescent="0.2">
      <c r="A215" s="19">
        <f>IF(ISERROR(VLOOKUP(B215,Catalogo!$A$2:$C$410,2,0)),0,(VLOOKUP(B215,Catalogo!$A$2:$C$410,2,0)))</f>
        <v>0</v>
      </c>
      <c r="B215"/>
      <c r="C215"/>
      <c r="D215"/>
      <c r="E215"/>
      <c r="F215"/>
      <c r="G215"/>
      <c r="H215"/>
      <c r="I215"/>
      <c r="J215"/>
      <c r="K215"/>
      <c r="L215" s="16">
        <f t="shared" si="13"/>
        <v>0</v>
      </c>
      <c r="M215" s="16" t="str">
        <f t="shared" si="15"/>
        <v/>
      </c>
      <c r="N215" s="17">
        <f t="shared" si="14"/>
        <v>0</v>
      </c>
    </row>
    <row r="216" spans="1:14" x14ac:dyDescent="0.2">
      <c r="A216" s="19">
        <f>IF(ISERROR(VLOOKUP(B216,Catalogo!$A$2:$C$410,2,0)),0,(VLOOKUP(B216,Catalogo!$A$2:$C$410,2,0)))</f>
        <v>0</v>
      </c>
      <c r="B216"/>
      <c r="C216"/>
      <c r="D216"/>
      <c r="E216"/>
      <c r="F216"/>
      <c r="G216"/>
      <c r="H216"/>
      <c r="I216"/>
      <c r="J216"/>
      <c r="K216"/>
      <c r="L216" s="16">
        <f t="shared" si="13"/>
        <v>0</v>
      </c>
      <c r="M216" s="16" t="str">
        <f t="shared" si="15"/>
        <v/>
      </c>
      <c r="N216" s="17">
        <f t="shared" si="14"/>
        <v>0</v>
      </c>
    </row>
    <row r="217" spans="1:14" x14ac:dyDescent="0.2">
      <c r="A217" s="19">
        <f>IF(ISERROR(VLOOKUP(B217,Catalogo!$A$2:$C$410,2,0)),0,(VLOOKUP(B217,Catalogo!$A$2:$C$410,2,0)))</f>
        <v>0</v>
      </c>
      <c r="B217"/>
      <c r="C217"/>
      <c r="D217"/>
      <c r="E217"/>
      <c r="F217"/>
      <c r="G217"/>
      <c r="H217"/>
      <c r="I217"/>
      <c r="J217"/>
      <c r="K217"/>
      <c r="L217" s="16">
        <f t="shared" si="13"/>
        <v>0</v>
      </c>
      <c r="M217" s="16" t="str">
        <f t="shared" si="15"/>
        <v/>
      </c>
      <c r="N217" s="17">
        <f t="shared" si="14"/>
        <v>0</v>
      </c>
    </row>
    <row r="218" spans="1:14" x14ac:dyDescent="0.2">
      <c r="A218" s="19">
        <f>IF(ISERROR(VLOOKUP(B218,Catalogo!$A$2:$C$410,2,0)),0,(VLOOKUP(B218,Catalogo!$A$2:$C$410,2,0)))</f>
        <v>0</v>
      </c>
      <c r="B218"/>
      <c r="C218"/>
      <c r="D218"/>
      <c r="E218"/>
      <c r="F218"/>
      <c r="G218"/>
      <c r="H218"/>
      <c r="I218"/>
      <c r="J218"/>
      <c r="K218"/>
      <c r="L218" s="16">
        <f t="shared" si="13"/>
        <v>0</v>
      </c>
      <c r="M218" s="16" t="str">
        <f t="shared" si="15"/>
        <v/>
      </c>
      <c r="N218" s="17">
        <f t="shared" si="14"/>
        <v>0</v>
      </c>
    </row>
    <row r="219" spans="1:14" x14ac:dyDescent="0.2">
      <c r="A219" s="19">
        <f>IF(ISERROR(VLOOKUP(B219,Catalogo!$A$2:$C$410,2,0)),0,(VLOOKUP(B219,Catalogo!$A$2:$C$410,2,0)))</f>
        <v>0</v>
      </c>
      <c r="B219"/>
      <c r="C219"/>
      <c r="D219"/>
      <c r="E219"/>
      <c r="F219"/>
      <c r="G219"/>
      <c r="H219"/>
      <c r="I219"/>
      <c r="J219"/>
      <c r="K219"/>
      <c r="L219" s="16">
        <f t="shared" si="13"/>
        <v>0</v>
      </c>
      <c r="M219" s="16" t="str">
        <f t="shared" si="15"/>
        <v/>
      </c>
      <c r="N219" s="17">
        <f t="shared" si="14"/>
        <v>0</v>
      </c>
    </row>
    <row r="220" spans="1:14" x14ac:dyDescent="0.2">
      <c r="A220" s="19">
        <f>IF(ISERROR(VLOOKUP(B220,Catalogo!$A$2:$C$410,2,0)),0,(VLOOKUP(B220,Catalogo!$A$2:$C$410,2,0)))</f>
        <v>0</v>
      </c>
      <c r="B220"/>
      <c r="C220"/>
      <c r="D220"/>
      <c r="E220"/>
      <c r="F220"/>
      <c r="G220"/>
      <c r="H220"/>
      <c r="I220"/>
      <c r="J220"/>
      <c r="K220"/>
      <c r="L220" s="16">
        <f t="shared" si="13"/>
        <v>0</v>
      </c>
      <c r="M220" s="16" t="str">
        <f t="shared" si="15"/>
        <v/>
      </c>
      <c r="N220" s="17">
        <f t="shared" si="14"/>
        <v>0</v>
      </c>
    </row>
    <row r="221" spans="1:14" x14ac:dyDescent="0.2">
      <c r="A221" s="19">
        <f>IF(ISERROR(VLOOKUP(B221,Catalogo!$A$2:$C$410,2,0)),0,(VLOOKUP(B221,Catalogo!$A$2:$C$410,2,0)))</f>
        <v>0</v>
      </c>
      <c r="B221"/>
      <c r="C221"/>
      <c r="D221"/>
      <c r="E221"/>
      <c r="F221"/>
      <c r="G221"/>
      <c r="H221"/>
      <c r="I221"/>
      <c r="J221"/>
      <c r="K221"/>
      <c r="L221" s="16">
        <f t="shared" si="13"/>
        <v>0</v>
      </c>
      <c r="M221" s="16" t="str">
        <f t="shared" si="15"/>
        <v/>
      </c>
      <c r="N221" s="17">
        <f t="shared" si="14"/>
        <v>0</v>
      </c>
    </row>
    <row r="222" spans="1:14" x14ac:dyDescent="0.2">
      <c r="A222" s="19">
        <f>IF(ISERROR(VLOOKUP(B222,Catalogo!$A$2:$C$410,2,0)),0,(VLOOKUP(B222,Catalogo!$A$2:$C$410,2,0)))</f>
        <v>0</v>
      </c>
      <c r="B222"/>
      <c r="C222"/>
      <c r="D222"/>
      <c r="E222"/>
      <c r="F222"/>
      <c r="G222"/>
      <c r="H222"/>
      <c r="I222"/>
      <c r="J222"/>
      <c r="K222"/>
      <c r="L222" s="16">
        <f t="shared" si="13"/>
        <v>0</v>
      </c>
      <c r="M222" s="16" t="str">
        <f t="shared" si="15"/>
        <v/>
      </c>
      <c r="N222" s="17">
        <f t="shared" si="14"/>
        <v>0</v>
      </c>
    </row>
    <row r="223" spans="1:14" x14ac:dyDescent="0.2">
      <c r="A223" s="19">
        <f>IF(ISERROR(VLOOKUP(B223,Catalogo!$A$2:$C$410,2,0)),0,(VLOOKUP(B223,Catalogo!$A$2:$C$410,2,0)))</f>
        <v>0</v>
      </c>
      <c r="B223"/>
      <c r="C223"/>
      <c r="D223"/>
      <c r="E223"/>
      <c r="F223"/>
      <c r="G223"/>
      <c r="H223"/>
      <c r="I223"/>
      <c r="J223"/>
      <c r="K223"/>
      <c r="L223" s="16">
        <f t="shared" si="13"/>
        <v>0</v>
      </c>
      <c r="M223" s="16" t="str">
        <f t="shared" si="15"/>
        <v/>
      </c>
      <c r="N223" s="17">
        <f t="shared" si="14"/>
        <v>0</v>
      </c>
    </row>
    <row r="224" spans="1:14" x14ac:dyDescent="0.2">
      <c r="A224" s="19">
        <f>IF(ISERROR(VLOOKUP(B224,Catalogo!$A$2:$C$410,2,0)),0,(VLOOKUP(B224,Catalogo!$A$2:$C$410,2,0)))</f>
        <v>0</v>
      </c>
      <c r="B224"/>
      <c r="C224"/>
      <c r="D224"/>
      <c r="E224"/>
      <c r="F224"/>
      <c r="G224"/>
      <c r="H224"/>
      <c r="I224"/>
      <c r="J224"/>
      <c r="K224"/>
      <c r="L224" s="16">
        <f t="shared" si="13"/>
        <v>0</v>
      </c>
      <c r="M224" s="16" t="str">
        <f t="shared" si="15"/>
        <v/>
      </c>
      <c r="N224" s="17">
        <f t="shared" si="14"/>
        <v>0</v>
      </c>
    </row>
    <row r="225" spans="1:14" x14ac:dyDescent="0.2">
      <c r="A225" s="19">
        <f>IF(ISERROR(VLOOKUP(B225,Catalogo!$A$2:$C$410,2,0)),0,(VLOOKUP(B225,Catalogo!$A$2:$C$410,2,0)))</f>
        <v>0</v>
      </c>
      <c r="B225"/>
      <c r="C225"/>
      <c r="D225"/>
      <c r="E225"/>
      <c r="F225"/>
      <c r="G225"/>
      <c r="H225"/>
      <c r="I225"/>
      <c r="J225"/>
      <c r="K225"/>
      <c r="L225" s="16">
        <f t="shared" si="13"/>
        <v>0</v>
      </c>
      <c r="M225" s="16" t="str">
        <f t="shared" si="15"/>
        <v/>
      </c>
      <c r="N225" s="17">
        <f t="shared" si="14"/>
        <v>0</v>
      </c>
    </row>
    <row r="226" spans="1:14" x14ac:dyDescent="0.2">
      <c r="A226" s="19">
        <f>IF(ISERROR(VLOOKUP(B226,Catalogo!$A$2:$C$410,2,0)),0,(VLOOKUP(B226,Catalogo!$A$2:$C$410,2,0)))</f>
        <v>0</v>
      </c>
      <c r="B226"/>
      <c r="C226"/>
      <c r="D226"/>
      <c r="E226"/>
      <c r="F226"/>
      <c r="G226"/>
      <c r="H226"/>
      <c r="I226"/>
      <c r="J226"/>
      <c r="K226"/>
      <c r="L226" s="16">
        <f t="shared" si="13"/>
        <v>0</v>
      </c>
      <c r="M226" s="16" t="str">
        <f t="shared" si="15"/>
        <v/>
      </c>
      <c r="N226" s="17">
        <f t="shared" si="14"/>
        <v>0</v>
      </c>
    </row>
    <row r="227" spans="1:14" x14ac:dyDescent="0.2">
      <c r="A227" s="19">
        <f>IF(ISERROR(VLOOKUP(B227,Catalogo!$A$2:$C$410,2,0)),0,(VLOOKUP(B227,Catalogo!$A$2:$C$410,2,0)))</f>
        <v>0</v>
      </c>
      <c r="B227"/>
      <c r="C227"/>
      <c r="D227"/>
      <c r="E227"/>
      <c r="F227"/>
      <c r="G227"/>
      <c r="H227"/>
      <c r="I227"/>
      <c r="J227"/>
      <c r="K227"/>
      <c r="L227" s="16">
        <f t="shared" si="13"/>
        <v>0</v>
      </c>
      <c r="M227" s="16" t="str">
        <f t="shared" si="15"/>
        <v/>
      </c>
      <c r="N227" s="17">
        <f t="shared" si="14"/>
        <v>0</v>
      </c>
    </row>
    <row r="228" spans="1:14" x14ac:dyDescent="0.2">
      <c r="A228" s="19">
        <f>IF(ISERROR(VLOOKUP(B228,Catalogo!$A$2:$C$410,2,0)),0,(VLOOKUP(B228,Catalogo!$A$2:$C$410,2,0)))</f>
        <v>0</v>
      </c>
      <c r="B228"/>
      <c r="C228"/>
      <c r="D228"/>
      <c r="E228"/>
      <c r="F228"/>
      <c r="G228"/>
      <c r="H228"/>
      <c r="I228"/>
      <c r="J228"/>
      <c r="K228"/>
      <c r="L228" s="16">
        <f t="shared" si="13"/>
        <v>0</v>
      </c>
      <c r="M228" s="16" t="str">
        <f t="shared" si="15"/>
        <v/>
      </c>
      <c r="N228" s="17">
        <f t="shared" si="14"/>
        <v>0</v>
      </c>
    </row>
    <row r="229" spans="1:14" x14ac:dyDescent="0.2">
      <c r="A229" s="19">
        <f>IF(ISERROR(VLOOKUP(B229,Catalogo!$A$2:$C$410,2,0)),0,(VLOOKUP(B229,Catalogo!$A$2:$C$410,2,0)))</f>
        <v>0</v>
      </c>
      <c r="B229"/>
      <c r="C229"/>
      <c r="D229"/>
      <c r="E229"/>
      <c r="F229"/>
      <c r="G229"/>
      <c r="H229"/>
      <c r="I229"/>
      <c r="J229"/>
      <c r="K229"/>
      <c r="L229" s="16">
        <f t="shared" si="13"/>
        <v>0</v>
      </c>
      <c r="M229" s="16" t="str">
        <f t="shared" si="15"/>
        <v/>
      </c>
      <c r="N229" s="17">
        <f t="shared" si="14"/>
        <v>0</v>
      </c>
    </row>
    <row r="230" spans="1:14" x14ac:dyDescent="0.2">
      <c r="A230" s="19">
        <f>IF(ISERROR(VLOOKUP(B230,Catalogo!$A$2:$C$410,2,0)),0,(VLOOKUP(B230,Catalogo!$A$2:$C$410,2,0)))</f>
        <v>0</v>
      </c>
      <c r="B230"/>
      <c r="C230"/>
      <c r="D230"/>
      <c r="E230"/>
      <c r="F230"/>
      <c r="G230"/>
      <c r="H230"/>
      <c r="I230"/>
      <c r="J230"/>
      <c r="K230"/>
      <c r="L230" s="16">
        <f t="shared" si="13"/>
        <v>0</v>
      </c>
      <c r="M230" s="16" t="str">
        <f t="shared" si="15"/>
        <v/>
      </c>
      <c r="N230" s="17">
        <f t="shared" si="14"/>
        <v>0</v>
      </c>
    </row>
    <row r="231" spans="1:14" x14ac:dyDescent="0.2">
      <c r="A231" s="19">
        <f>IF(ISERROR(VLOOKUP(B231,Catalogo!$A$2:$C$410,2,0)),0,(VLOOKUP(B231,Catalogo!$A$2:$C$410,2,0)))</f>
        <v>0</v>
      </c>
      <c r="B231"/>
      <c r="C231"/>
      <c r="D231"/>
      <c r="E231"/>
      <c r="F231"/>
      <c r="G231"/>
      <c r="H231"/>
      <c r="I231"/>
      <c r="J231"/>
      <c r="K231"/>
      <c r="L231" s="16">
        <f t="shared" si="13"/>
        <v>0</v>
      </c>
      <c r="M231" s="16" t="str">
        <f t="shared" si="15"/>
        <v/>
      </c>
      <c r="N231" s="17">
        <f t="shared" si="14"/>
        <v>0</v>
      </c>
    </row>
    <row r="232" spans="1:14" x14ac:dyDescent="0.2">
      <c r="A232" s="19">
        <f>IF(ISERROR(VLOOKUP(B232,Catalogo!$A$2:$C$410,2,0)),0,(VLOOKUP(B232,Catalogo!$A$2:$C$410,2,0)))</f>
        <v>0</v>
      </c>
      <c r="B232"/>
      <c r="C232"/>
      <c r="D232"/>
      <c r="E232"/>
      <c r="F232"/>
      <c r="G232"/>
      <c r="H232"/>
      <c r="I232"/>
      <c r="J232"/>
      <c r="K232"/>
      <c r="L232" s="16">
        <f t="shared" si="13"/>
        <v>0</v>
      </c>
      <c r="M232" s="16" t="str">
        <f t="shared" si="15"/>
        <v/>
      </c>
      <c r="N232" s="17">
        <f t="shared" si="14"/>
        <v>0</v>
      </c>
    </row>
    <row r="233" spans="1:14" x14ac:dyDescent="0.2">
      <c r="A233" s="19">
        <f>IF(ISERROR(VLOOKUP(B233,Catalogo!$A$2:$C$410,2,0)),0,(VLOOKUP(B233,Catalogo!$A$2:$C$410,2,0)))</f>
        <v>0</v>
      </c>
      <c r="B233"/>
      <c r="C233"/>
      <c r="D233"/>
      <c r="E233"/>
      <c r="F233"/>
      <c r="G233"/>
      <c r="H233"/>
      <c r="I233"/>
      <c r="J233"/>
      <c r="K233"/>
      <c r="L233" s="16">
        <f t="shared" si="13"/>
        <v>0</v>
      </c>
      <c r="M233" s="16" t="str">
        <f t="shared" si="15"/>
        <v/>
      </c>
      <c r="N233" s="17">
        <f t="shared" si="14"/>
        <v>0</v>
      </c>
    </row>
    <row r="234" spans="1:14" x14ac:dyDescent="0.2">
      <c r="A234" s="19">
        <f>IF(ISERROR(VLOOKUP(B234,Catalogo!$A$2:$C$410,2,0)),0,(VLOOKUP(B234,Catalogo!$A$2:$C$410,2,0)))</f>
        <v>0</v>
      </c>
      <c r="B234"/>
      <c r="C234"/>
      <c r="D234"/>
      <c r="E234"/>
      <c r="F234"/>
      <c r="G234"/>
      <c r="H234"/>
      <c r="I234"/>
      <c r="J234"/>
      <c r="K234"/>
      <c r="L234" s="16">
        <f t="shared" si="13"/>
        <v>0</v>
      </c>
      <c r="M234" s="16" t="str">
        <f t="shared" si="15"/>
        <v/>
      </c>
      <c r="N234" s="17">
        <f t="shared" si="14"/>
        <v>0</v>
      </c>
    </row>
    <row r="235" spans="1:14" x14ac:dyDescent="0.2">
      <c r="A235" s="19">
        <f>IF(ISERROR(VLOOKUP(B235,Catalogo!$A$2:$C$410,2,0)),0,(VLOOKUP(B235,Catalogo!$A$2:$C$410,2,0)))</f>
        <v>0</v>
      </c>
      <c r="B235"/>
      <c r="C235"/>
      <c r="D235"/>
      <c r="E235"/>
      <c r="F235"/>
      <c r="G235"/>
      <c r="H235"/>
      <c r="I235"/>
      <c r="J235"/>
      <c r="K235"/>
      <c r="L235" s="16">
        <f t="shared" si="13"/>
        <v>0</v>
      </c>
      <c r="M235" s="16" t="str">
        <f t="shared" si="15"/>
        <v/>
      </c>
      <c r="N235" s="17">
        <f t="shared" si="14"/>
        <v>0</v>
      </c>
    </row>
    <row r="236" spans="1:14" x14ac:dyDescent="0.2">
      <c r="A236" s="19">
        <f>IF(ISERROR(VLOOKUP(B236,Catalogo!$A$2:$C$410,2,0)),0,(VLOOKUP(B236,Catalogo!$A$2:$C$410,2,0)))</f>
        <v>0</v>
      </c>
      <c r="B236"/>
      <c r="C236"/>
      <c r="D236"/>
      <c r="E236"/>
      <c r="F236"/>
      <c r="G236"/>
      <c r="H236"/>
      <c r="I236"/>
      <c r="J236"/>
      <c r="K236"/>
      <c r="L236" s="16">
        <f t="shared" si="13"/>
        <v>0</v>
      </c>
      <c r="M236" s="16" t="str">
        <f t="shared" si="15"/>
        <v/>
      </c>
      <c r="N236" s="17">
        <f t="shared" si="14"/>
        <v>0</v>
      </c>
    </row>
    <row r="237" spans="1:14" x14ac:dyDescent="0.2">
      <c r="A237" s="19">
        <f>IF(ISERROR(VLOOKUP(B237,Catalogo!$A$2:$C$410,2,0)),0,(VLOOKUP(B237,Catalogo!$A$2:$C$410,2,0)))</f>
        <v>0</v>
      </c>
      <c r="B237"/>
      <c r="C237"/>
      <c r="D237"/>
      <c r="E237"/>
      <c r="F237"/>
      <c r="G237"/>
      <c r="H237"/>
      <c r="I237"/>
      <c r="J237"/>
      <c r="K237"/>
      <c r="L237" s="16">
        <f t="shared" si="13"/>
        <v>0</v>
      </c>
      <c r="M237" s="16" t="str">
        <f t="shared" si="15"/>
        <v/>
      </c>
      <c r="N237" s="17">
        <f t="shared" si="14"/>
        <v>0</v>
      </c>
    </row>
    <row r="238" spans="1:14" x14ac:dyDescent="0.2">
      <c r="A238" s="19">
        <f>IF(ISERROR(VLOOKUP(B238,Catalogo!$A$2:$C$410,2,0)),0,(VLOOKUP(B238,Catalogo!$A$2:$C$410,2,0)))</f>
        <v>0</v>
      </c>
      <c r="B238"/>
      <c r="C238"/>
      <c r="D238"/>
      <c r="E238"/>
      <c r="F238"/>
      <c r="G238"/>
      <c r="H238"/>
      <c r="I238"/>
      <c r="J238"/>
      <c r="K238"/>
      <c r="L238" s="16">
        <f t="shared" si="13"/>
        <v>0</v>
      </c>
      <c r="M238" s="16" t="str">
        <f t="shared" si="15"/>
        <v/>
      </c>
      <c r="N238" s="17">
        <f t="shared" si="14"/>
        <v>0</v>
      </c>
    </row>
    <row r="239" spans="1:14" x14ac:dyDescent="0.2">
      <c r="A239" s="19">
        <f>IF(ISERROR(VLOOKUP(B239,Catalogo!$A$2:$C$410,2,0)),0,(VLOOKUP(B239,Catalogo!$A$2:$C$410,2,0)))</f>
        <v>0</v>
      </c>
      <c r="B239"/>
      <c r="C239"/>
      <c r="D239"/>
      <c r="E239"/>
      <c r="F239"/>
      <c r="G239"/>
      <c r="H239"/>
      <c r="I239"/>
      <c r="J239"/>
      <c r="K239"/>
      <c r="L239" s="16">
        <f t="shared" si="13"/>
        <v>0</v>
      </c>
      <c r="M239" s="16" t="str">
        <f t="shared" si="15"/>
        <v/>
      </c>
      <c r="N239" s="17">
        <f t="shared" si="14"/>
        <v>0</v>
      </c>
    </row>
    <row r="240" spans="1:14" x14ac:dyDescent="0.2">
      <c r="A240" s="19">
        <f>IF(ISERROR(VLOOKUP(B240,Catalogo!$A$2:$C$410,2,0)),0,(VLOOKUP(B240,Catalogo!$A$2:$C$410,2,0)))</f>
        <v>0</v>
      </c>
      <c r="B240"/>
      <c r="C240"/>
      <c r="D240"/>
      <c r="E240"/>
      <c r="F240"/>
      <c r="G240"/>
      <c r="H240"/>
      <c r="I240"/>
      <c r="J240"/>
      <c r="K240"/>
      <c r="L240" s="16">
        <f t="shared" si="13"/>
        <v>0</v>
      </c>
      <c r="M240" s="16" t="str">
        <f t="shared" si="15"/>
        <v/>
      </c>
      <c r="N240" s="17">
        <f t="shared" si="14"/>
        <v>0</v>
      </c>
    </row>
    <row r="241" spans="1:14" x14ac:dyDescent="0.2">
      <c r="A241" s="19">
        <f>IF(ISERROR(VLOOKUP(B241,Catalogo!$A$2:$C$410,2,0)),0,(VLOOKUP(B241,Catalogo!$A$2:$C$410,2,0)))</f>
        <v>0</v>
      </c>
      <c r="B241"/>
      <c r="C241"/>
      <c r="D241"/>
      <c r="E241"/>
      <c r="F241"/>
      <c r="G241"/>
      <c r="H241"/>
      <c r="I241"/>
      <c r="J241"/>
      <c r="K241"/>
      <c r="L241" s="16">
        <f t="shared" si="13"/>
        <v>0</v>
      </c>
      <c r="M241" s="16" t="str">
        <f t="shared" si="15"/>
        <v/>
      </c>
      <c r="N241" s="17">
        <f t="shared" si="14"/>
        <v>0</v>
      </c>
    </row>
    <row r="242" spans="1:14" x14ac:dyDescent="0.2">
      <c r="A242" s="19">
        <f>IF(ISERROR(VLOOKUP(B242,Catalogo!$A$2:$C$410,2,0)),0,(VLOOKUP(B242,Catalogo!$A$2:$C$410,2,0)))</f>
        <v>0</v>
      </c>
      <c r="B242"/>
      <c r="C242"/>
      <c r="D242"/>
      <c r="E242"/>
      <c r="F242"/>
      <c r="G242"/>
      <c r="H242"/>
      <c r="I242"/>
      <c r="J242"/>
      <c r="K242"/>
      <c r="L242" s="16">
        <f t="shared" si="13"/>
        <v>0</v>
      </c>
      <c r="M242" s="16" t="str">
        <f t="shared" si="15"/>
        <v/>
      </c>
      <c r="N242" s="17">
        <f t="shared" si="14"/>
        <v>0</v>
      </c>
    </row>
    <row r="243" spans="1:14" x14ac:dyDescent="0.2">
      <c r="A243" s="19">
        <f>IF(ISERROR(VLOOKUP(B243,Catalogo!$A$2:$C$410,2,0)),0,(VLOOKUP(B243,Catalogo!$A$2:$C$410,2,0)))</f>
        <v>0</v>
      </c>
      <c r="B243"/>
      <c r="C243"/>
      <c r="D243"/>
      <c r="E243"/>
      <c r="F243"/>
      <c r="G243"/>
      <c r="H243"/>
      <c r="I243"/>
      <c r="J243"/>
      <c r="K243"/>
      <c r="L243" s="16">
        <f t="shared" si="13"/>
        <v>0</v>
      </c>
      <c r="M243" s="16" t="str">
        <f t="shared" si="15"/>
        <v/>
      </c>
      <c r="N243" s="17">
        <f t="shared" si="14"/>
        <v>0</v>
      </c>
    </row>
    <row r="244" spans="1:14" x14ac:dyDescent="0.2">
      <c r="A244" s="19">
        <f>IF(ISERROR(VLOOKUP(B244,Catalogo!$A$2:$C$410,2,0)),0,(VLOOKUP(B244,Catalogo!$A$2:$C$410,2,0)))</f>
        <v>0</v>
      </c>
      <c r="B244"/>
      <c r="C244"/>
      <c r="D244"/>
      <c r="E244"/>
      <c r="F244"/>
      <c r="G244"/>
      <c r="H244"/>
      <c r="I244"/>
      <c r="J244"/>
      <c r="K244"/>
      <c r="L244" s="16">
        <f t="shared" si="13"/>
        <v>0</v>
      </c>
      <c r="M244" s="16" t="str">
        <f t="shared" si="15"/>
        <v/>
      </c>
      <c r="N244" s="17">
        <f t="shared" si="14"/>
        <v>0</v>
      </c>
    </row>
    <row r="245" spans="1:14" x14ac:dyDescent="0.2">
      <c r="A245" s="19">
        <f>IF(ISERROR(VLOOKUP(B245,Catalogo!$A$2:$C$410,2,0)),0,(VLOOKUP(B245,Catalogo!$A$2:$C$410,2,0)))</f>
        <v>0</v>
      </c>
      <c r="B245"/>
      <c r="C245"/>
      <c r="D245"/>
      <c r="E245"/>
      <c r="F245"/>
      <c r="G245"/>
      <c r="H245"/>
      <c r="I245"/>
      <c r="J245"/>
      <c r="K245"/>
      <c r="L245" s="16">
        <f t="shared" si="13"/>
        <v>0</v>
      </c>
      <c r="M245" s="16" t="str">
        <f t="shared" si="15"/>
        <v/>
      </c>
      <c r="N245" s="17">
        <f t="shared" si="14"/>
        <v>0</v>
      </c>
    </row>
    <row r="246" spans="1:14" x14ac:dyDescent="0.2">
      <c r="A246" s="19">
        <f>IF(ISERROR(VLOOKUP(B246,Catalogo!$A$2:$C$410,2,0)),0,(VLOOKUP(B246,Catalogo!$A$2:$C$410,2,0)))</f>
        <v>0</v>
      </c>
      <c r="B246"/>
      <c r="C246"/>
      <c r="D246"/>
      <c r="E246"/>
      <c r="F246"/>
      <c r="G246"/>
      <c r="H246"/>
      <c r="I246"/>
      <c r="J246"/>
      <c r="K246"/>
      <c r="L246" s="16">
        <f t="shared" si="13"/>
        <v>0</v>
      </c>
      <c r="M246" s="16" t="str">
        <f t="shared" si="15"/>
        <v/>
      </c>
      <c r="N246" s="17">
        <f t="shared" si="14"/>
        <v>0</v>
      </c>
    </row>
    <row r="247" spans="1:14" x14ac:dyDescent="0.2">
      <c r="A247" s="19">
        <f>IF(ISERROR(VLOOKUP(B247,Catalogo!$A$2:$C$410,2,0)),0,(VLOOKUP(B247,Catalogo!$A$2:$C$410,2,0)))</f>
        <v>0</v>
      </c>
      <c r="B247"/>
      <c r="C247"/>
      <c r="D247"/>
      <c r="E247"/>
      <c r="F247"/>
      <c r="G247"/>
      <c r="H247"/>
      <c r="I247"/>
      <c r="J247"/>
      <c r="K247"/>
      <c r="L247" s="16">
        <f t="shared" si="13"/>
        <v>0</v>
      </c>
      <c r="M247" s="16" t="str">
        <f t="shared" si="15"/>
        <v/>
      </c>
      <c r="N247" s="17">
        <f t="shared" si="14"/>
        <v>0</v>
      </c>
    </row>
    <row r="248" spans="1:14" x14ac:dyDescent="0.2">
      <c r="A248" s="19">
        <f>IF(ISERROR(VLOOKUP(B248,Catalogo!$A$2:$C$410,2,0)),0,(VLOOKUP(B248,Catalogo!$A$2:$C$410,2,0)))</f>
        <v>0</v>
      </c>
      <c r="B248"/>
      <c r="C248"/>
      <c r="D248"/>
      <c r="E248"/>
      <c r="F248"/>
      <c r="G248"/>
      <c r="H248"/>
      <c r="I248"/>
      <c r="J248"/>
      <c r="K248"/>
      <c r="L248" s="16">
        <f t="shared" si="13"/>
        <v>0</v>
      </c>
      <c r="M248" s="16" t="str">
        <f t="shared" si="15"/>
        <v/>
      </c>
      <c r="N248" s="17">
        <f t="shared" si="14"/>
        <v>0</v>
      </c>
    </row>
    <row r="249" spans="1:14" x14ac:dyDescent="0.2">
      <c r="A249" s="19">
        <f>IF(ISERROR(VLOOKUP(B249,Catalogo!$A$2:$C$410,2,0)),0,(VLOOKUP(B249,Catalogo!$A$2:$C$410,2,0)))</f>
        <v>0</v>
      </c>
      <c r="B249"/>
      <c r="C249"/>
      <c r="D249"/>
      <c r="E249"/>
      <c r="F249"/>
      <c r="G249"/>
      <c r="H249"/>
      <c r="I249"/>
      <c r="J249"/>
      <c r="K249"/>
      <c r="L249" s="16">
        <f t="shared" si="13"/>
        <v>0</v>
      </c>
      <c r="M249" s="16" t="str">
        <f t="shared" si="15"/>
        <v/>
      </c>
      <c r="N249" s="17">
        <f t="shared" si="14"/>
        <v>0</v>
      </c>
    </row>
    <row r="250" spans="1:14" x14ac:dyDescent="0.2">
      <c r="A250" s="19">
        <f>IF(ISERROR(VLOOKUP(B250,Catalogo!$A$2:$C$410,2,0)),0,(VLOOKUP(B250,Catalogo!$A$2:$C$410,2,0)))</f>
        <v>0</v>
      </c>
      <c r="B250"/>
      <c r="C250"/>
      <c r="D250"/>
      <c r="E250"/>
      <c r="F250"/>
      <c r="G250"/>
      <c r="H250"/>
      <c r="I250"/>
      <c r="J250"/>
      <c r="K250"/>
      <c r="L250" s="16">
        <f t="shared" si="13"/>
        <v>0</v>
      </c>
      <c r="M250" s="16" t="str">
        <f t="shared" si="15"/>
        <v/>
      </c>
      <c r="N250" s="17">
        <f t="shared" si="14"/>
        <v>0</v>
      </c>
    </row>
    <row r="251" spans="1:14" x14ac:dyDescent="0.2">
      <c r="A251" s="19">
        <f>IF(ISERROR(VLOOKUP(B251,Catalogo!$A$2:$C$410,2,0)),0,(VLOOKUP(B251,Catalogo!$A$2:$C$410,2,0)))</f>
        <v>0</v>
      </c>
      <c r="B251"/>
      <c r="C251"/>
      <c r="D251"/>
      <c r="E251"/>
      <c r="F251"/>
      <c r="G251"/>
      <c r="H251"/>
      <c r="I251"/>
      <c r="J251"/>
      <c r="K251"/>
      <c r="L251" s="16">
        <f t="shared" si="13"/>
        <v>0</v>
      </c>
      <c r="M251" s="16" t="str">
        <f t="shared" si="15"/>
        <v/>
      </c>
      <c r="N251" s="17">
        <f t="shared" si="14"/>
        <v>0</v>
      </c>
    </row>
    <row r="252" spans="1:14" x14ac:dyDescent="0.2">
      <c r="A252" s="19">
        <f>IF(ISERROR(VLOOKUP(B252,Catalogo!$A$2:$C$410,2,0)),0,(VLOOKUP(B252,Catalogo!$A$2:$C$410,2,0)))</f>
        <v>0</v>
      </c>
      <c r="B252"/>
      <c r="C252"/>
      <c r="D252"/>
      <c r="E252"/>
      <c r="F252"/>
      <c r="G252"/>
      <c r="H252"/>
      <c r="I252"/>
      <c r="J252"/>
      <c r="K252"/>
      <c r="L252" s="16">
        <f t="shared" si="13"/>
        <v>0</v>
      </c>
      <c r="M252" s="16" t="str">
        <f t="shared" si="15"/>
        <v/>
      </c>
      <c r="N252" s="17">
        <f t="shared" si="14"/>
        <v>0</v>
      </c>
    </row>
    <row r="253" spans="1:14" x14ac:dyDescent="0.2">
      <c r="A253" s="19">
        <f>IF(ISERROR(VLOOKUP(B253,Catalogo!$A$2:$C$410,2,0)),0,(VLOOKUP(B253,Catalogo!$A$2:$C$410,2,0)))</f>
        <v>0</v>
      </c>
      <c r="B253"/>
      <c r="C253"/>
      <c r="D253"/>
      <c r="E253"/>
      <c r="F253"/>
      <c r="G253"/>
      <c r="H253"/>
      <c r="I253"/>
      <c r="J253"/>
      <c r="K253"/>
      <c r="L253" s="16">
        <f t="shared" si="13"/>
        <v>0</v>
      </c>
      <c r="M253" s="16" t="str">
        <f t="shared" si="15"/>
        <v/>
      </c>
      <c r="N253" s="17">
        <f t="shared" si="14"/>
        <v>0</v>
      </c>
    </row>
    <row r="254" spans="1:14" x14ac:dyDescent="0.2">
      <c r="A254" s="19">
        <f>IF(ISERROR(VLOOKUP(B254,Catalogo!$A$2:$C$410,2,0)),0,(VLOOKUP(B254,Catalogo!$A$2:$C$410,2,0)))</f>
        <v>0</v>
      </c>
      <c r="B254"/>
      <c r="C254"/>
      <c r="D254"/>
      <c r="E254"/>
      <c r="F254"/>
      <c r="G254"/>
      <c r="H254"/>
      <c r="I254"/>
      <c r="J254"/>
      <c r="K254"/>
      <c r="L254" s="16">
        <f t="shared" si="13"/>
        <v>0</v>
      </c>
      <c r="M254" s="16" t="str">
        <f t="shared" si="15"/>
        <v/>
      </c>
      <c r="N254" s="17">
        <f t="shared" si="14"/>
        <v>0</v>
      </c>
    </row>
    <row r="255" spans="1:14" x14ac:dyDescent="0.2">
      <c r="A255" s="19">
        <f>IF(ISERROR(VLOOKUP(B255,Catalogo!$A$2:$C$410,2,0)),0,(VLOOKUP(B255,Catalogo!$A$2:$C$410,2,0)))</f>
        <v>0</v>
      </c>
      <c r="B255"/>
      <c r="C255"/>
      <c r="D255"/>
      <c r="E255"/>
      <c r="F255"/>
      <c r="G255"/>
      <c r="H255"/>
      <c r="I255"/>
      <c r="J255"/>
      <c r="K255"/>
      <c r="L255" s="16">
        <f t="shared" si="13"/>
        <v>0</v>
      </c>
      <c r="M255" s="16" t="str">
        <f t="shared" si="15"/>
        <v/>
      </c>
      <c r="N255" s="17">
        <f t="shared" si="14"/>
        <v>0</v>
      </c>
    </row>
    <row r="256" spans="1:14" x14ac:dyDescent="0.2">
      <c r="A256" s="19">
        <f>IF(ISERROR(VLOOKUP(B256,Catalogo!$A$2:$C$410,2,0)),0,(VLOOKUP(B256,Catalogo!$A$2:$C$410,2,0)))</f>
        <v>0</v>
      </c>
      <c r="B256"/>
      <c r="C256"/>
      <c r="D256"/>
      <c r="E256"/>
      <c r="F256"/>
      <c r="G256"/>
      <c r="H256"/>
      <c r="I256"/>
      <c r="J256"/>
      <c r="K256"/>
      <c r="L256" s="16">
        <f t="shared" si="13"/>
        <v>0</v>
      </c>
      <c r="M256" s="16" t="str">
        <f t="shared" si="15"/>
        <v/>
      </c>
      <c r="N256" s="17">
        <f t="shared" si="14"/>
        <v>0</v>
      </c>
    </row>
    <row r="257" spans="1:14" x14ac:dyDescent="0.2">
      <c r="A257" s="19">
        <f>IF(ISERROR(VLOOKUP(B257,Catalogo!$A$2:$C$410,2,0)),0,(VLOOKUP(B257,Catalogo!$A$2:$C$410,2,0)))</f>
        <v>0</v>
      </c>
      <c r="B257"/>
      <c r="C257"/>
      <c r="D257"/>
      <c r="E257"/>
      <c r="F257"/>
      <c r="G257"/>
      <c r="H257"/>
      <c r="I257"/>
      <c r="J257"/>
      <c r="K257"/>
      <c r="L257" s="16">
        <f t="shared" si="13"/>
        <v>0</v>
      </c>
      <c r="M257" s="16" t="str">
        <f t="shared" si="15"/>
        <v/>
      </c>
      <c r="N257" s="17">
        <f t="shared" si="14"/>
        <v>0</v>
      </c>
    </row>
    <row r="258" spans="1:14" x14ac:dyDescent="0.2">
      <c r="A258" s="19">
        <f>IF(ISERROR(VLOOKUP(B258,Catalogo!$A$2:$C$410,2,0)),0,(VLOOKUP(B258,Catalogo!$A$2:$C$410,2,0)))</f>
        <v>0</v>
      </c>
      <c r="B258"/>
      <c r="C258"/>
      <c r="D258"/>
      <c r="E258"/>
      <c r="F258"/>
      <c r="G258"/>
      <c r="H258"/>
      <c r="I258"/>
      <c r="J258"/>
      <c r="K258"/>
      <c r="L258" s="16">
        <f t="shared" ref="L258:L321" si="16">IF(A258="Record Keeping",B258,0)</f>
        <v>0</v>
      </c>
      <c r="M258" s="16" t="str">
        <f t="shared" si="15"/>
        <v/>
      </c>
      <c r="N258" s="17">
        <f t="shared" ref="N258:N321" si="17">IF(G258="CAN",F258*0,IF(M258="R",F258*-1,F258*1)*AND(A258="Record Keeping"))</f>
        <v>0</v>
      </c>
    </row>
    <row r="259" spans="1:14" x14ac:dyDescent="0.2">
      <c r="A259" s="19">
        <f>IF(ISERROR(VLOOKUP(B259,Catalogo!$A$2:$C$410,2,0)),0,(VLOOKUP(B259,Catalogo!$A$2:$C$410,2,0)))</f>
        <v>0</v>
      </c>
      <c r="B259"/>
      <c r="C259"/>
      <c r="D259"/>
      <c r="E259"/>
      <c r="F259"/>
      <c r="G259"/>
      <c r="H259"/>
      <c r="I259"/>
      <c r="J259"/>
      <c r="K259"/>
      <c r="L259" s="16">
        <f t="shared" si="16"/>
        <v>0</v>
      </c>
      <c r="M259" s="16" t="str">
        <f t="shared" si="15"/>
        <v/>
      </c>
      <c r="N259" s="17">
        <f t="shared" si="17"/>
        <v>0</v>
      </c>
    </row>
    <row r="260" spans="1:14" x14ac:dyDescent="0.2">
      <c r="A260" s="19">
        <f>IF(ISERROR(VLOOKUP(B260,Catalogo!$A$2:$C$410,2,0)),0,(VLOOKUP(B260,Catalogo!$A$2:$C$410,2,0)))</f>
        <v>0</v>
      </c>
      <c r="B260"/>
      <c r="C260"/>
      <c r="D260"/>
      <c r="E260"/>
      <c r="F260"/>
      <c r="G260"/>
      <c r="H260"/>
      <c r="I260"/>
      <c r="J260"/>
      <c r="K260"/>
      <c r="L260" s="16">
        <f t="shared" si="16"/>
        <v>0</v>
      </c>
      <c r="M260" s="16" t="str">
        <f t="shared" si="15"/>
        <v/>
      </c>
      <c r="N260" s="17">
        <f t="shared" si="17"/>
        <v>0</v>
      </c>
    </row>
    <row r="261" spans="1:14" x14ac:dyDescent="0.2">
      <c r="A261" s="19">
        <f>IF(ISERROR(VLOOKUP(B261,Catalogo!$A$2:$C$410,2,0)),0,(VLOOKUP(B261,Catalogo!$A$2:$C$410,2,0)))</f>
        <v>0</v>
      </c>
      <c r="B261"/>
      <c r="C261"/>
      <c r="D261"/>
      <c r="E261"/>
      <c r="F261"/>
      <c r="G261"/>
      <c r="H261"/>
      <c r="I261"/>
      <c r="J261"/>
      <c r="K261"/>
      <c r="L261" s="16">
        <f t="shared" si="16"/>
        <v>0</v>
      </c>
      <c r="M261" s="16" t="str">
        <f t="shared" si="15"/>
        <v/>
      </c>
      <c r="N261" s="17">
        <f t="shared" si="17"/>
        <v>0</v>
      </c>
    </row>
    <row r="262" spans="1:14" x14ac:dyDescent="0.2">
      <c r="A262" s="19">
        <f>IF(ISERROR(VLOOKUP(B262,Catalogo!$A$2:$C$410,2,0)),0,(VLOOKUP(B262,Catalogo!$A$2:$C$410,2,0)))</f>
        <v>0</v>
      </c>
      <c r="B262"/>
      <c r="C262"/>
      <c r="D262"/>
      <c r="E262"/>
      <c r="F262"/>
      <c r="G262"/>
      <c r="H262"/>
      <c r="I262"/>
      <c r="J262"/>
      <c r="K262"/>
      <c r="L262" s="16">
        <f t="shared" si="16"/>
        <v>0</v>
      </c>
      <c r="M262" s="16" t="str">
        <f t="shared" si="15"/>
        <v/>
      </c>
      <c r="N262" s="17">
        <f t="shared" si="17"/>
        <v>0</v>
      </c>
    </row>
    <row r="263" spans="1:14" x14ac:dyDescent="0.2">
      <c r="A263" s="19">
        <f>IF(ISERROR(VLOOKUP(B263,Catalogo!$A$2:$C$410,2,0)),0,(VLOOKUP(B263,Catalogo!$A$2:$C$410,2,0)))</f>
        <v>0</v>
      </c>
      <c r="B263"/>
      <c r="C263"/>
      <c r="D263"/>
      <c r="E263"/>
      <c r="F263"/>
      <c r="G263"/>
      <c r="H263"/>
      <c r="I263"/>
      <c r="J263"/>
      <c r="K263"/>
      <c r="L263" s="16">
        <f t="shared" si="16"/>
        <v>0</v>
      </c>
      <c r="M263" s="16" t="str">
        <f t="shared" ref="M263:M326" si="18">LEFT(E263,1)</f>
        <v/>
      </c>
      <c r="N263" s="17">
        <f t="shared" si="17"/>
        <v>0</v>
      </c>
    </row>
    <row r="264" spans="1:14" x14ac:dyDescent="0.2">
      <c r="A264" s="19">
        <f>IF(ISERROR(VLOOKUP(B264,Catalogo!$A$2:$C$410,2,0)),0,(VLOOKUP(B264,Catalogo!$A$2:$C$410,2,0)))</f>
        <v>0</v>
      </c>
      <c r="B264"/>
      <c r="C264"/>
      <c r="D264"/>
      <c r="E264"/>
      <c r="F264"/>
      <c r="G264"/>
      <c r="H264"/>
      <c r="I264"/>
      <c r="J264"/>
      <c r="K264"/>
      <c r="L264" s="16">
        <f t="shared" si="16"/>
        <v>0</v>
      </c>
      <c r="M264" s="16" t="str">
        <f t="shared" si="18"/>
        <v/>
      </c>
      <c r="N264" s="17">
        <f t="shared" si="17"/>
        <v>0</v>
      </c>
    </row>
    <row r="265" spans="1:14" x14ac:dyDescent="0.2">
      <c r="A265" s="19">
        <f>IF(ISERROR(VLOOKUP(B265,Catalogo!$A$2:$C$410,2,0)),0,(VLOOKUP(B265,Catalogo!$A$2:$C$410,2,0)))</f>
        <v>0</v>
      </c>
      <c r="B265"/>
      <c r="C265"/>
      <c r="D265"/>
      <c r="E265"/>
      <c r="F265"/>
      <c r="G265"/>
      <c r="H265"/>
      <c r="I265"/>
      <c r="J265"/>
      <c r="K265"/>
      <c r="L265" s="16">
        <f t="shared" si="16"/>
        <v>0</v>
      </c>
      <c r="M265" s="16" t="str">
        <f t="shared" si="18"/>
        <v/>
      </c>
      <c r="N265" s="17">
        <f t="shared" si="17"/>
        <v>0</v>
      </c>
    </row>
    <row r="266" spans="1:14" x14ac:dyDescent="0.2">
      <c r="A266" s="19">
        <f>IF(ISERROR(VLOOKUP(B266,Catalogo!$A$2:$C$410,2,0)),0,(VLOOKUP(B266,Catalogo!$A$2:$C$410,2,0)))</f>
        <v>0</v>
      </c>
      <c r="B266"/>
      <c r="C266"/>
      <c r="D266"/>
      <c r="E266"/>
      <c r="F266"/>
      <c r="G266"/>
      <c r="H266"/>
      <c r="I266"/>
      <c r="J266"/>
      <c r="K266"/>
      <c r="L266" s="16">
        <f t="shared" si="16"/>
        <v>0</v>
      </c>
      <c r="M266" s="16" t="str">
        <f t="shared" si="18"/>
        <v/>
      </c>
      <c r="N266" s="17">
        <f t="shared" si="17"/>
        <v>0</v>
      </c>
    </row>
    <row r="267" spans="1:14" x14ac:dyDescent="0.2">
      <c r="A267" s="19">
        <f>IF(ISERROR(VLOOKUP(B267,Catalogo!$A$2:$C$410,2,0)),0,(VLOOKUP(B267,Catalogo!$A$2:$C$410,2,0)))</f>
        <v>0</v>
      </c>
      <c r="B267"/>
      <c r="C267"/>
      <c r="D267"/>
      <c r="E267"/>
      <c r="F267"/>
      <c r="G267"/>
      <c r="H267"/>
      <c r="I267"/>
      <c r="J267"/>
      <c r="K267"/>
      <c r="L267" s="16">
        <f t="shared" si="16"/>
        <v>0</v>
      </c>
      <c r="M267" s="16" t="str">
        <f t="shared" si="18"/>
        <v/>
      </c>
      <c r="N267" s="17">
        <f t="shared" si="17"/>
        <v>0</v>
      </c>
    </row>
    <row r="268" spans="1:14" x14ac:dyDescent="0.2">
      <c r="A268" s="19">
        <f>IF(ISERROR(VLOOKUP(B268,Catalogo!$A$2:$C$410,2,0)),0,(VLOOKUP(B268,Catalogo!$A$2:$C$410,2,0)))</f>
        <v>0</v>
      </c>
      <c r="B268"/>
      <c r="C268"/>
      <c r="D268"/>
      <c r="E268"/>
      <c r="F268"/>
      <c r="G268"/>
      <c r="H268"/>
      <c r="I268"/>
      <c r="J268"/>
      <c r="K268"/>
      <c r="L268" s="16">
        <f t="shared" si="16"/>
        <v>0</v>
      </c>
      <c r="M268" s="16" t="str">
        <f t="shared" si="18"/>
        <v/>
      </c>
      <c r="N268" s="17">
        <f t="shared" si="17"/>
        <v>0</v>
      </c>
    </row>
    <row r="269" spans="1:14" x14ac:dyDescent="0.2">
      <c r="A269" s="19">
        <f>IF(ISERROR(VLOOKUP(B269,Catalogo!$A$2:$C$410,2,0)),0,(VLOOKUP(B269,Catalogo!$A$2:$C$410,2,0)))</f>
        <v>0</v>
      </c>
      <c r="B269"/>
      <c r="C269"/>
      <c r="D269"/>
      <c r="E269"/>
      <c r="F269"/>
      <c r="G269"/>
      <c r="H269"/>
      <c r="I269"/>
      <c r="J269"/>
      <c r="K269"/>
      <c r="L269" s="16">
        <f t="shared" si="16"/>
        <v>0</v>
      </c>
      <c r="M269" s="16" t="str">
        <f t="shared" si="18"/>
        <v/>
      </c>
      <c r="N269" s="17">
        <f t="shared" si="17"/>
        <v>0</v>
      </c>
    </row>
    <row r="270" spans="1:14" x14ac:dyDescent="0.2">
      <c r="A270" s="19">
        <f>IF(ISERROR(VLOOKUP(B270,Catalogo!$A$2:$C$410,2,0)),0,(VLOOKUP(B270,Catalogo!$A$2:$C$410,2,0)))</f>
        <v>0</v>
      </c>
      <c r="B270"/>
      <c r="C270"/>
      <c r="D270"/>
      <c r="E270"/>
      <c r="F270"/>
      <c r="G270"/>
      <c r="H270"/>
      <c r="I270"/>
      <c r="J270"/>
      <c r="K270"/>
      <c r="L270" s="16">
        <f t="shared" si="16"/>
        <v>0</v>
      </c>
      <c r="M270" s="16" t="str">
        <f t="shared" si="18"/>
        <v/>
      </c>
      <c r="N270" s="17">
        <f t="shared" si="17"/>
        <v>0</v>
      </c>
    </row>
    <row r="271" spans="1:14" x14ac:dyDescent="0.2">
      <c r="A271" s="19">
        <f>IF(ISERROR(VLOOKUP(B271,Catalogo!$A$2:$C$410,2,0)),0,(VLOOKUP(B271,Catalogo!$A$2:$C$410,2,0)))</f>
        <v>0</v>
      </c>
      <c r="B271"/>
      <c r="C271"/>
      <c r="D271"/>
      <c r="E271"/>
      <c r="F271"/>
      <c r="G271"/>
      <c r="H271"/>
      <c r="I271"/>
      <c r="J271"/>
      <c r="K271"/>
      <c r="L271" s="16">
        <f t="shared" si="16"/>
        <v>0</v>
      </c>
      <c r="M271" s="16" t="str">
        <f t="shared" si="18"/>
        <v/>
      </c>
      <c r="N271" s="17">
        <f t="shared" si="17"/>
        <v>0</v>
      </c>
    </row>
    <row r="272" spans="1:14" x14ac:dyDescent="0.2">
      <c r="A272" s="19">
        <f>IF(ISERROR(VLOOKUP(B272,Catalogo!$A$2:$C$410,2,0)),0,(VLOOKUP(B272,Catalogo!$A$2:$C$410,2,0)))</f>
        <v>0</v>
      </c>
      <c r="B272"/>
      <c r="C272"/>
      <c r="D272"/>
      <c r="E272"/>
      <c r="F272"/>
      <c r="G272"/>
      <c r="H272"/>
      <c r="I272"/>
      <c r="J272"/>
      <c r="K272"/>
      <c r="L272" s="16">
        <f t="shared" si="16"/>
        <v>0</v>
      </c>
      <c r="M272" s="16" t="str">
        <f t="shared" si="18"/>
        <v/>
      </c>
      <c r="N272" s="17">
        <f t="shared" si="17"/>
        <v>0</v>
      </c>
    </row>
    <row r="273" spans="1:14" x14ac:dyDescent="0.2">
      <c r="A273" s="19">
        <f>IF(ISERROR(VLOOKUP(B273,Catalogo!$A$2:$C$410,2,0)),0,(VLOOKUP(B273,Catalogo!$A$2:$C$410,2,0)))</f>
        <v>0</v>
      </c>
      <c r="B273"/>
      <c r="C273"/>
      <c r="D273"/>
      <c r="E273"/>
      <c r="F273"/>
      <c r="G273"/>
      <c r="H273"/>
      <c r="I273"/>
      <c r="J273"/>
      <c r="K273"/>
      <c r="L273" s="16">
        <f t="shared" si="16"/>
        <v>0</v>
      </c>
      <c r="M273" s="16" t="str">
        <f t="shared" si="18"/>
        <v/>
      </c>
      <c r="N273" s="17">
        <f t="shared" si="17"/>
        <v>0</v>
      </c>
    </row>
    <row r="274" spans="1:14" x14ac:dyDescent="0.2">
      <c r="A274" s="19">
        <f>IF(ISERROR(VLOOKUP(B274,Catalogo!$A$2:$C$410,2,0)),0,(VLOOKUP(B274,Catalogo!$A$2:$C$410,2,0)))</f>
        <v>0</v>
      </c>
      <c r="B274"/>
      <c r="C274"/>
      <c r="D274"/>
      <c r="E274"/>
      <c r="F274"/>
      <c r="G274"/>
      <c r="H274"/>
      <c r="I274"/>
      <c r="J274"/>
      <c r="K274"/>
      <c r="L274" s="16">
        <f t="shared" si="16"/>
        <v>0</v>
      </c>
      <c r="M274" s="16" t="str">
        <f t="shared" si="18"/>
        <v/>
      </c>
      <c r="N274" s="17">
        <f t="shared" si="17"/>
        <v>0</v>
      </c>
    </row>
    <row r="275" spans="1:14" x14ac:dyDescent="0.2">
      <c r="A275" s="19">
        <f>IF(ISERROR(VLOOKUP(B275,Catalogo!$A$2:$C$410,2,0)),0,(VLOOKUP(B275,Catalogo!$A$2:$C$410,2,0)))</f>
        <v>0</v>
      </c>
      <c r="B275"/>
      <c r="C275"/>
      <c r="D275"/>
      <c r="E275"/>
      <c r="F275"/>
      <c r="G275"/>
      <c r="H275"/>
      <c r="I275"/>
      <c r="J275"/>
      <c r="K275"/>
      <c r="L275" s="16">
        <f t="shared" si="16"/>
        <v>0</v>
      </c>
      <c r="M275" s="16" t="str">
        <f t="shared" si="18"/>
        <v/>
      </c>
      <c r="N275" s="17">
        <f t="shared" si="17"/>
        <v>0</v>
      </c>
    </row>
    <row r="276" spans="1:14" x14ac:dyDescent="0.2">
      <c r="A276" s="19">
        <f>IF(ISERROR(VLOOKUP(B276,Catalogo!$A$2:$C$410,2,0)),0,(VLOOKUP(B276,Catalogo!$A$2:$C$410,2,0)))</f>
        <v>0</v>
      </c>
      <c r="B276"/>
      <c r="C276"/>
      <c r="D276"/>
      <c r="E276"/>
      <c r="F276"/>
      <c r="G276"/>
      <c r="H276"/>
      <c r="I276"/>
      <c r="J276"/>
      <c r="K276"/>
      <c r="L276" s="16">
        <f t="shared" si="16"/>
        <v>0</v>
      </c>
      <c r="M276" s="16" t="str">
        <f t="shared" si="18"/>
        <v/>
      </c>
      <c r="N276" s="17">
        <f t="shared" si="17"/>
        <v>0</v>
      </c>
    </row>
    <row r="277" spans="1:14" x14ac:dyDescent="0.2">
      <c r="A277" s="19">
        <f>IF(ISERROR(VLOOKUP(B277,Catalogo!$A$2:$C$410,2,0)),0,(VLOOKUP(B277,Catalogo!$A$2:$C$410,2,0)))</f>
        <v>0</v>
      </c>
      <c r="B277"/>
      <c r="C277"/>
      <c r="D277"/>
      <c r="E277"/>
      <c r="F277"/>
      <c r="G277"/>
      <c r="H277"/>
      <c r="I277"/>
      <c r="J277"/>
      <c r="K277"/>
      <c r="L277" s="16">
        <f t="shared" si="16"/>
        <v>0</v>
      </c>
      <c r="M277" s="16" t="str">
        <f t="shared" si="18"/>
        <v/>
      </c>
      <c r="N277" s="17">
        <f t="shared" si="17"/>
        <v>0</v>
      </c>
    </row>
    <row r="278" spans="1:14" x14ac:dyDescent="0.2">
      <c r="A278" s="19">
        <f>IF(ISERROR(VLOOKUP(B278,Catalogo!$A$2:$C$410,2,0)),0,(VLOOKUP(B278,Catalogo!$A$2:$C$410,2,0)))</f>
        <v>0</v>
      </c>
      <c r="B278"/>
      <c r="C278"/>
      <c r="D278"/>
      <c r="E278"/>
      <c r="F278"/>
      <c r="G278"/>
      <c r="H278"/>
      <c r="I278"/>
      <c r="J278"/>
      <c r="K278"/>
      <c r="L278" s="16">
        <f t="shared" si="16"/>
        <v>0</v>
      </c>
      <c r="M278" s="16" t="str">
        <f t="shared" si="18"/>
        <v/>
      </c>
      <c r="N278" s="17">
        <f t="shared" si="17"/>
        <v>0</v>
      </c>
    </row>
    <row r="279" spans="1:14" x14ac:dyDescent="0.2">
      <c r="A279" s="19">
        <f>IF(ISERROR(VLOOKUP(B279,Catalogo!$A$2:$C$410,2,0)),0,(VLOOKUP(B279,Catalogo!$A$2:$C$410,2,0)))</f>
        <v>0</v>
      </c>
      <c r="B279"/>
      <c r="C279"/>
      <c r="D279"/>
      <c r="E279"/>
      <c r="F279"/>
      <c r="G279"/>
      <c r="H279"/>
      <c r="I279"/>
      <c r="J279"/>
      <c r="K279"/>
      <c r="L279" s="16">
        <f t="shared" si="16"/>
        <v>0</v>
      </c>
      <c r="M279" s="16" t="str">
        <f t="shared" si="18"/>
        <v/>
      </c>
      <c r="N279" s="17">
        <f t="shared" si="17"/>
        <v>0</v>
      </c>
    </row>
    <row r="280" spans="1:14" x14ac:dyDescent="0.2">
      <c r="A280" s="19">
        <f>IF(ISERROR(VLOOKUP(B280,Catalogo!$A$2:$C$410,2,0)),0,(VLOOKUP(B280,Catalogo!$A$2:$C$410,2,0)))</f>
        <v>0</v>
      </c>
      <c r="B280"/>
      <c r="C280"/>
      <c r="D280"/>
      <c r="E280"/>
      <c r="F280"/>
      <c r="G280"/>
      <c r="H280"/>
      <c r="I280"/>
      <c r="J280"/>
      <c r="K280"/>
      <c r="L280" s="16">
        <f t="shared" si="16"/>
        <v>0</v>
      </c>
      <c r="M280" s="16" t="str">
        <f t="shared" si="18"/>
        <v/>
      </c>
      <c r="N280" s="17">
        <f t="shared" si="17"/>
        <v>0</v>
      </c>
    </row>
    <row r="281" spans="1:14" x14ac:dyDescent="0.2">
      <c r="A281" s="19">
        <f>IF(ISERROR(VLOOKUP(B281,Catalogo!$A$2:$C$410,2,0)),0,(VLOOKUP(B281,Catalogo!$A$2:$C$410,2,0)))</f>
        <v>0</v>
      </c>
      <c r="B281"/>
      <c r="C281"/>
      <c r="D281"/>
      <c r="E281"/>
      <c r="F281"/>
      <c r="G281"/>
      <c r="H281"/>
      <c r="I281"/>
      <c r="J281"/>
      <c r="K281"/>
      <c r="L281" s="16">
        <f t="shared" si="16"/>
        <v>0</v>
      </c>
      <c r="M281" s="16" t="str">
        <f t="shared" si="18"/>
        <v/>
      </c>
      <c r="N281" s="17">
        <f t="shared" si="17"/>
        <v>0</v>
      </c>
    </row>
    <row r="282" spans="1:14" x14ac:dyDescent="0.2">
      <c r="A282" s="19">
        <f>IF(ISERROR(VLOOKUP(B282,Catalogo!$A$2:$C$410,2,0)),0,(VLOOKUP(B282,Catalogo!$A$2:$C$410,2,0)))</f>
        <v>0</v>
      </c>
      <c r="B282"/>
      <c r="C282"/>
      <c r="D282"/>
      <c r="E282"/>
      <c r="F282"/>
      <c r="G282"/>
      <c r="H282"/>
      <c r="I282"/>
      <c r="J282"/>
      <c r="K282"/>
      <c r="L282" s="16">
        <f t="shared" si="16"/>
        <v>0</v>
      </c>
      <c r="M282" s="16" t="str">
        <f t="shared" si="18"/>
        <v/>
      </c>
      <c r="N282" s="17">
        <f t="shared" si="17"/>
        <v>0</v>
      </c>
    </row>
    <row r="283" spans="1:14" x14ac:dyDescent="0.2">
      <c r="A283" s="19">
        <f>IF(ISERROR(VLOOKUP(B283,Catalogo!$A$2:$C$410,2,0)),0,(VLOOKUP(B283,Catalogo!$A$2:$C$410,2,0)))</f>
        <v>0</v>
      </c>
      <c r="B283"/>
      <c r="C283"/>
      <c r="D283"/>
      <c r="E283"/>
      <c r="F283"/>
      <c r="G283"/>
      <c r="H283"/>
      <c r="I283"/>
      <c r="J283"/>
      <c r="K283"/>
      <c r="L283" s="16">
        <f t="shared" si="16"/>
        <v>0</v>
      </c>
      <c r="M283" s="16" t="str">
        <f t="shared" si="18"/>
        <v/>
      </c>
      <c r="N283" s="17">
        <f t="shared" si="17"/>
        <v>0</v>
      </c>
    </row>
    <row r="284" spans="1:14" x14ac:dyDescent="0.2">
      <c r="A284" s="19">
        <f>IF(ISERROR(VLOOKUP(B284,Catalogo!$A$2:$C$410,2,0)),0,(VLOOKUP(B284,Catalogo!$A$2:$C$410,2,0)))</f>
        <v>0</v>
      </c>
      <c r="B284"/>
      <c r="C284"/>
      <c r="D284"/>
      <c r="E284"/>
      <c r="F284"/>
      <c r="G284"/>
      <c r="H284"/>
      <c r="I284"/>
      <c r="J284"/>
      <c r="K284"/>
      <c r="L284" s="16">
        <f t="shared" si="16"/>
        <v>0</v>
      </c>
      <c r="M284" s="16" t="str">
        <f t="shared" si="18"/>
        <v/>
      </c>
      <c r="N284" s="17">
        <f t="shared" si="17"/>
        <v>0</v>
      </c>
    </row>
    <row r="285" spans="1:14" x14ac:dyDescent="0.2">
      <c r="A285" s="19">
        <f>IF(ISERROR(VLOOKUP(B285,Catalogo!$A$2:$C$410,2,0)),0,(VLOOKUP(B285,Catalogo!$A$2:$C$410,2,0)))</f>
        <v>0</v>
      </c>
      <c r="B285"/>
      <c r="C285"/>
      <c r="D285"/>
      <c r="E285"/>
      <c r="F285"/>
      <c r="G285"/>
      <c r="H285"/>
      <c r="I285"/>
      <c r="J285"/>
      <c r="K285"/>
      <c r="L285" s="16">
        <f t="shared" si="16"/>
        <v>0</v>
      </c>
      <c r="M285" s="16" t="str">
        <f t="shared" si="18"/>
        <v/>
      </c>
      <c r="N285" s="17">
        <f t="shared" si="17"/>
        <v>0</v>
      </c>
    </row>
    <row r="286" spans="1:14" x14ac:dyDescent="0.2">
      <c r="A286" s="19">
        <f>IF(ISERROR(VLOOKUP(B286,Catalogo!$A$2:$C$410,2,0)),0,(VLOOKUP(B286,Catalogo!$A$2:$C$410,2,0)))</f>
        <v>0</v>
      </c>
      <c r="B286"/>
      <c r="C286"/>
      <c r="D286"/>
      <c r="E286"/>
      <c r="F286"/>
      <c r="G286"/>
      <c r="H286"/>
      <c r="I286"/>
      <c r="J286"/>
      <c r="K286"/>
      <c r="L286" s="16">
        <f t="shared" si="16"/>
        <v>0</v>
      </c>
      <c r="M286" s="16" t="str">
        <f t="shared" si="18"/>
        <v/>
      </c>
      <c r="N286" s="17">
        <f t="shared" si="17"/>
        <v>0</v>
      </c>
    </row>
    <row r="287" spans="1:14" x14ac:dyDescent="0.2">
      <c r="A287" s="19">
        <f>IF(ISERROR(VLOOKUP(B287,Catalogo!$A$2:$C$410,2,0)),0,(VLOOKUP(B287,Catalogo!$A$2:$C$410,2,0)))</f>
        <v>0</v>
      </c>
      <c r="B287"/>
      <c r="C287"/>
      <c r="D287"/>
      <c r="E287"/>
      <c r="F287"/>
      <c r="G287"/>
      <c r="H287"/>
      <c r="I287"/>
      <c r="J287"/>
      <c r="K287"/>
      <c r="L287" s="16">
        <f t="shared" si="16"/>
        <v>0</v>
      </c>
      <c r="M287" s="16" t="str">
        <f t="shared" si="18"/>
        <v/>
      </c>
      <c r="N287" s="17">
        <f t="shared" si="17"/>
        <v>0</v>
      </c>
    </row>
    <row r="288" spans="1:14" x14ac:dyDescent="0.2">
      <c r="A288" s="19">
        <f>IF(ISERROR(VLOOKUP(B288,Catalogo!$A$2:$C$410,2,0)),0,(VLOOKUP(B288,Catalogo!$A$2:$C$410,2,0)))</f>
        <v>0</v>
      </c>
      <c r="B288"/>
      <c r="C288"/>
      <c r="D288"/>
      <c r="E288"/>
      <c r="F288"/>
      <c r="G288"/>
      <c r="H288"/>
      <c r="I288"/>
      <c r="J288"/>
      <c r="K288"/>
      <c r="L288" s="16">
        <f t="shared" si="16"/>
        <v>0</v>
      </c>
      <c r="M288" s="16" t="str">
        <f t="shared" si="18"/>
        <v/>
      </c>
      <c r="N288" s="17">
        <f t="shared" si="17"/>
        <v>0</v>
      </c>
    </row>
    <row r="289" spans="1:14" x14ac:dyDescent="0.2">
      <c r="A289" s="19">
        <f>IF(ISERROR(VLOOKUP(B289,Catalogo!$A$2:$C$410,2,0)),0,(VLOOKUP(B289,Catalogo!$A$2:$C$410,2,0)))</f>
        <v>0</v>
      </c>
      <c r="B289"/>
      <c r="C289"/>
      <c r="D289"/>
      <c r="E289"/>
      <c r="F289"/>
      <c r="G289"/>
      <c r="H289"/>
      <c r="I289"/>
      <c r="J289"/>
      <c r="K289"/>
      <c r="L289" s="16">
        <f t="shared" si="16"/>
        <v>0</v>
      </c>
      <c r="M289" s="16" t="str">
        <f t="shared" si="18"/>
        <v/>
      </c>
      <c r="N289" s="17">
        <f t="shared" si="17"/>
        <v>0</v>
      </c>
    </row>
    <row r="290" spans="1:14" x14ac:dyDescent="0.2">
      <c r="A290" s="19">
        <f>IF(ISERROR(VLOOKUP(B290,Catalogo!$A$2:$C$410,2,0)),0,(VLOOKUP(B290,Catalogo!$A$2:$C$410,2,0)))</f>
        <v>0</v>
      </c>
      <c r="B290"/>
      <c r="C290"/>
      <c r="D290"/>
      <c r="E290"/>
      <c r="F290"/>
      <c r="G290"/>
      <c r="H290"/>
      <c r="I290"/>
      <c r="J290"/>
      <c r="K290"/>
      <c r="L290" s="16">
        <f t="shared" si="16"/>
        <v>0</v>
      </c>
      <c r="M290" s="16" t="str">
        <f t="shared" si="18"/>
        <v/>
      </c>
      <c r="N290" s="17">
        <f t="shared" si="17"/>
        <v>0</v>
      </c>
    </row>
    <row r="291" spans="1:14" x14ac:dyDescent="0.2">
      <c r="A291" s="19">
        <f>IF(ISERROR(VLOOKUP(B291,Catalogo!$A$2:$C$410,2,0)),0,(VLOOKUP(B291,Catalogo!$A$2:$C$410,2,0)))</f>
        <v>0</v>
      </c>
      <c r="B291"/>
      <c r="C291"/>
      <c r="D291"/>
      <c r="E291"/>
      <c r="F291"/>
      <c r="G291"/>
      <c r="H291"/>
      <c r="I291"/>
      <c r="J291"/>
      <c r="K291"/>
      <c r="L291" s="16">
        <f t="shared" si="16"/>
        <v>0</v>
      </c>
      <c r="M291" s="16" t="str">
        <f t="shared" si="18"/>
        <v/>
      </c>
      <c r="N291" s="17">
        <f t="shared" si="17"/>
        <v>0</v>
      </c>
    </row>
    <row r="292" spans="1:14" x14ac:dyDescent="0.2">
      <c r="A292" s="19">
        <f>IF(ISERROR(VLOOKUP(B292,Catalogo!$A$2:$C$410,2,0)),0,(VLOOKUP(B292,Catalogo!$A$2:$C$410,2,0)))</f>
        <v>0</v>
      </c>
      <c r="B292"/>
      <c r="C292"/>
      <c r="D292"/>
      <c r="E292"/>
      <c r="F292"/>
      <c r="G292"/>
      <c r="H292"/>
      <c r="I292"/>
      <c r="J292"/>
      <c r="K292"/>
      <c r="L292" s="16">
        <f t="shared" si="16"/>
        <v>0</v>
      </c>
      <c r="M292" s="16" t="str">
        <f t="shared" si="18"/>
        <v/>
      </c>
      <c r="N292" s="17">
        <f t="shared" si="17"/>
        <v>0</v>
      </c>
    </row>
    <row r="293" spans="1:14" x14ac:dyDescent="0.2">
      <c r="A293" s="19">
        <f>IF(ISERROR(VLOOKUP(B293,Catalogo!$A$2:$C$410,2,0)),0,(VLOOKUP(B293,Catalogo!$A$2:$C$410,2,0)))</f>
        <v>0</v>
      </c>
      <c r="B293"/>
      <c r="C293"/>
      <c r="D293"/>
      <c r="E293"/>
      <c r="F293"/>
      <c r="G293"/>
      <c r="H293"/>
      <c r="I293"/>
      <c r="J293"/>
      <c r="K293"/>
      <c r="L293" s="16">
        <f t="shared" si="16"/>
        <v>0</v>
      </c>
      <c r="M293" s="16" t="str">
        <f t="shared" si="18"/>
        <v/>
      </c>
      <c r="N293" s="17">
        <f t="shared" si="17"/>
        <v>0</v>
      </c>
    </row>
    <row r="294" spans="1:14" x14ac:dyDescent="0.2">
      <c r="A294" s="19">
        <f>IF(ISERROR(VLOOKUP(B294,Catalogo!$A$2:$C$410,2,0)),0,(VLOOKUP(B294,Catalogo!$A$2:$C$410,2,0)))</f>
        <v>0</v>
      </c>
      <c r="B294"/>
      <c r="C294"/>
      <c r="D294"/>
      <c r="E294"/>
      <c r="F294"/>
      <c r="G294"/>
      <c r="H294"/>
      <c r="I294"/>
      <c r="J294"/>
      <c r="K294"/>
      <c r="L294" s="16">
        <f t="shared" si="16"/>
        <v>0</v>
      </c>
      <c r="M294" s="16" t="str">
        <f t="shared" si="18"/>
        <v/>
      </c>
      <c r="N294" s="17">
        <f t="shared" si="17"/>
        <v>0</v>
      </c>
    </row>
    <row r="295" spans="1:14" x14ac:dyDescent="0.2">
      <c r="A295" s="19">
        <f>IF(ISERROR(VLOOKUP(B295,Catalogo!$A$2:$C$410,2,0)),0,(VLOOKUP(B295,Catalogo!$A$2:$C$410,2,0)))</f>
        <v>0</v>
      </c>
      <c r="B295"/>
      <c r="C295"/>
      <c r="D295"/>
      <c r="E295"/>
      <c r="F295"/>
      <c r="G295"/>
      <c r="H295"/>
      <c r="I295"/>
      <c r="J295"/>
      <c r="K295"/>
      <c r="L295" s="16">
        <f t="shared" si="16"/>
        <v>0</v>
      </c>
      <c r="M295" s="16" t="str">
        <f t="shared" si="18"/>
        <v/>
      </c>
      <c r="N295" s="17">
        <f t="shared" si="17"/>
        <v>0</v>
      </c>
    </row>
    <row r="296" spans="1:14" x14ac:dyDescent="0.2">
      <c r="A296" s="19">
        <f>IF(ISERROR(VLOOKUP(B296,Catalogo!$A$2:$C$410,2,0)),0,(VLOOKUP(B296,Catalogo!$A$2:$C$410,2,0)))</f>
        <v>0</v>
      </c>
      <c r="B296"/>
      <c r="C296"/>
      <c r="D296"/>
      <c r="E296"/>
      <c r="F296"/>
      <c r="G296"/>
      <c r="H296"/>
      <c r="I296"/>
      <c r="J296"/>
      <c r="K296"/>
      <c r="L296" s="16">
        <f t="shared" si="16"/>
        <v>0</v>
      </c>
      <c r="M296" s="16" t="str">
        <f t="shared" si="18"/>
        <v/>
      </c>
      <c r="N296" s="17">
        <f t="shared" si="17"/>
        <v>0</v>
      </c>
    </row>
    <row r="297" spans="1:14" x14ac:dyDescent="0.2">
      <c r="A297" s="19">
        <f>IF(ISERROR(VLOOKUP(B297,Catalogo!$A$2:$C$410,2,0)),0,(VLOOKUP(B297,Catalogo!$A$2:$C$410,2,0)))</f>
        <v>0</v>
      </c>
      <c r="B297"/>
      <c r="C297"/>
      <c r="D297"/>
      <c r="E297"/>
      <c r="F297"/>
      <c r="G297"/>
      <c r="H297"/>
      <c r="I297"/>
      <c r="J297"/>
      <c r="K297"/>
      <c r="L297" s="16">
        <f t="shared" si="16"/>
        <v>0</v>
      </c>
      <c r="M297" s="16" t="str">
        <f t="shared" si="18"/>
        <v/>
      </c>
      <c r="N297" s="17">
        <f t="shared" si="17"/>
        <v>0</v>
      </c>
    </row>
    <row r="298" spans="1:14" x14ac:dyDescent="0.2">
      <c r="A298" s="19">
        <f>IF(ISERROR(VLOOKUP(B298,Catalogo!$A$2:$C$410,2,0)),0,(VLOOKUP(B298,Catalogo!$A$2:$C$410,2,0)))</f>
        <v>0</v>
      </c>
      <c r="B298"/>
      <c r="C298"/>
      <c r="D298"/>
      <c r="E298"/>
      <c r="F298"/>
      <c r="G298"/>
      <c r="H298"/>
      <c r="I298"/>
      <c r="J298"/>
      <c r="K298"/>
      <c r="L298" s="16">
        <f t="shared" si="16"/>
        <v>0</v>
      </c>
      <c r="M298" s="16" t="str">
        <f t="shared" si="18"/>
        <v/>
      </c>
      <c r="N298" s="17">
        <f t="shared" si="17"/>
        <v>0</v>
      </c>
    </row>
    <row r="299" spans="1:14" x14ac:dyDescent="0.2">
      <c r="A299" s="19">
        <f>IF(ISERROR(VLOOKUP(B299,Catalogo!$A$2:$C$410,2,0)),0,(VLOOKUP(B299,Catalogo!$A$2:$C$410,2,0)))</f>
        <v>0</v>
      </c>
      <c r="B299"/>
      <c r="C299"/>
      <c r="D299"/>
      <c r="E299"/>
      <c r="F299"/>
      <c r="G299"/>
      <c r="H299"/>
      <c r="I299"/>
      <c r="J299"/>
      <c r="K299"/>
      <c r="L299" s="16">
        <f t="shared" si="16"/>
        <v>0</v>
      </c>
      <c r="M299" s="16" t="str">
        <f t="shared" si="18"/>
        <v/>
      </c>
      <c r="N299" s="17">
        <f t="shared" si="17"/>
        <v>0</v>
      </c>
    </row>
    <row r="300" spans="1:14" x14ac:dyDescent="0.2">
      <c r="A300" s="19">
        <f>IF(ISERROR(VLOOKUP(B300,Catalogo!$A$2:$C$410,2,0)),0,(VLOOKUP(B300,Catalogo!$A$2:$C$410,2,0)))</f>
        <v>0</v>
      </c>
      <c r="B300"/>
      <c r="C300"/>
      <c r="D300"/>
      <c r="E300"/>
      <c r="F300"/>
      <c r="G300"/>
      <c r="H300"/>
      <c r="I300"/>
      <c r="J300"/>
      <c r="K300"/>
      <c r="L300" s="16">
        <f t="shared" si="16"/>
        <v>0</v>
      </c>
      <c r="M300" s="16" t="str">
        <f t="shared" si="18"/>
        <v/>
      </c>
      <c r="N300" s="17">
        <f t="shared" si="17"/>
        <v>0</v>
      </c>
    </row>
    <row r="301" spans="1:14" x14ac:dyDescent="0.2">
      <c r="A301" s="19">
        <f>IF(ISERROR(VLOOKUP(B301,Catalogo!$A$2:$C$410,2,0)),0,(VLOOKUP(B301,Catalogo!$A$2:$C$410,2,0)))</f>
        <v>0</v>
      </c>
      <c r="B301"/>
      <c r="C301"/>
      <c r="D301"/>
      <c r="E301"/>
      <c r="F301"/>
      <c r="G301"/>
      <c r="H301"/>
      <c r="I301"/>
      <c r="J301"/>
      <c r="K301"/>
      <c r="L301" s="16">
        <f t="shared" si="16"/>
        <v>0</v>
      </c>
      <c r="M301" s="16" t="str">
        <f t="shared" si="18"/>
        <v/>
      </c>
      <c r="N301" s="17">
        <f t="shared" si="17"/>
        <v>0</v>
      </c>
    </row>
    <row r="302" spans="1:14" x14ac:dyDescent="0.2">
      <c r="A302" s="19">
        <f>IF(ISERROR(VLOOKUP(B302,Catalogo!$A$2:$C$410,2,0)),0,(VLOOKUP(B302,Catalogo!$A$2:$C$410,2,0)))</f>
        <v>0</v>
      </c>
      <c r="B302"/>
      <c r="C302"/>
      <c r="D302"/>
      <c r="E302"/>
      <c r="F302"/>
      <c r="G302"/>
      <c r="H302"/>
      <c r="I302"/>
      <c r="J302"/>
      <c r="K302"/>
      <c r="L302" s="16">
        <f t="shared" si="16"/>
        <v>0</v>
      </c>
      <c r="M302" s="16" t="str">
        <f t="shared" si="18"/>
        <v/>
      </c>
      <c r="N302" s="17">
        <f t="shared" si="17"/>
        <v>0</v>
      </c>
    </row>
    <row r="303" spans="1:14" x14ac:dyDescent="0.2">
      <c r="A303" s="19">
        <f>IF(ISERROR(VLOOKUP(B303,Catalogo!$A$2:$C$410,2,0)),0,(VLOOKUP(B303,Catalogo!$A$2:$C$410,2,0)))</f>
        <v>0</v>
      </c>
      <c r="B303"/>
      <c r="C303"/>
      <c r="D303"/>
      <c r="E303"/>
      <c r="F303"/>
      <c r="G303"/>
      <c r="H303"/>
      <c r="I303"/>
      <c r="J303"/>
      <c r="K303"/>
      <c r="L303" s="16">
        <f t="shared" si="16"/>
        <v>0</v>
      </c>
      <c r="M303" s="16" t="str">
        <f t="shared" si="18"/>
        <v/>
      </c>
      <c r="N303" s="17">
        <f t="shared" si="17"/>
        <v>0</v>
      </c>
    </row>
    <row r="304" spans="1:14" x14ac:dyDescent="0.2">
      <c r="A304" s="19">
        <f>IF(ISERROR(VLOOKUP(B304,Catalogo!$A$2:$C$410,2,0)),0,(VLOOKUP(B304,Catalogo!$A$2:$C$410,2,0)))</f>
        <v>0</v>
      </c>
      <c r="B304"/>
      <c r="C304"/>
      <c r="D304"/>
      <c r="E304"/>
      <c r="F304"/>
      <c r="G304"/>
      <c r="H304"/>
      <c r="I304"/>
      <c r="J304"/>
      <c r="K304"/>
      <c r="L304" s="16">
        <f t="shared" si="16"/>
        <v>0</v>
      </c>
      <c r="M304" s="16" t="str">
        <f t="shared" si="18"/>
        <v/>
      </c>
      <c r="N304" s="17">
        <f t="shared" si="17"/>
        <v>0</v>
      </c>
    </row>
    <row r="305" spans="1:14" x14ac:dyDescent="0.2">
      <c r="A305" s="19">
        <f>IF(ISERROR(VLOOKUP(B305,Catalogo!$A$2:$C$410,2,0)),0,(VLOOKUP(B305,Catalogo!$A$2:$C$410,2,0)))</f>
        <v>0</v>
      </c>
      <c r="B305"/>
      <c r="C305"/>
      <c r="D305"/>
      <c r="E305"/>
      <c r="F305"/>
      <c r="G305"/>
      <c r="H305"/>
      <c r="I305"/>
      <c r="J305"/>
      <c r="K305"/>
      <c r="L305" s="16">
        <f t="shared" si="16"/>
        <v>0</v>
      </c>
      <c r="M305" s="16" t="str">
        <f t="shared" si="18"/>
        <v/>
      </c>
      <c r="N305" s="17">
        <f t="shared" si="17"/>
        <v>0</v>
      </c>
    </row>
    <row r="306" spans="1:14" x14ac:dyDescent="0.2">
      <c r="A306" s="19">
        <f>IF(ISERROR(VLOOKUP(B306,Catalogo!$A$2:$C$410,2,0)),0,(VLOOKUP(B306,Catalogo!$A$2:$C$410,2,0)))</f>
        <v>0</v>
      </c>
      <c r="B306"/>
      <c r="C306"/>
      <c r="D306"/>
      <c r="E306"/>
      <c r="F306"/>
      <c r="G306"/>
      <c r="H306"/>
      <c r="I306"/>
      <c r="J306"/>
      <c r="K306"/>
      <c r="L306" s="16">
        <f t="shared" si="16"/>
        <v>0</v>
      </c>
      <c r="M306" s="16" t="str">
        <f t="shared" si="18"/>
        <v/>
      </c>
      <c r="N306" s="17">
        <f t="shared" si="17"/>
        <v>0</v>
      </c>
    </row>
    <row r="307" spans="1:14" x14ac:dyDescent="0.2">
      <c r="A307" s="19">
        <f>IF(ISERROR(VLOOKUP(B307,Catalogo!$A$2:$C$410,2,0)),0,(VLOOKUP(B307,Catalogo!$A$2:$C$410,2,0)))</f>
        <v>0</v>
      </c>
      <c r="B307"/>
      <c r="C307"/>
      <c r="D307"/>
      <c r="E307"/>
      <c r="F307"/>
      <c r="G307"/>
      <c r="H307"/>
      <c r="I307"/>
      <c r="J307"/>
      <c r="K307"/>
      <c r="L307" s="16">
        <f t="shared" si="16"/>
        <v>0</v>
      </c>
      <c r="M307" s="16" t="str">
        <f t="shared" si="18"/>
        <v/>
      </c>
      <c r="N307" s="17">
        <f t="shared" si="17"/>
        <v>0</v>
      </c>
    </row>
    <row r="308" spans="1:14" x14ac:dyDescent="0.2">
      <c r="A308" s="19">
        <f>IF(ISERROR(VLOOKUP(B308,Catalogo!$A$2:$C$410,2,0)),0,(VLOOKUP(B308,Catalogo!$A$2:$C$410,2,0)))</f>
        <v>0</v>
      </c>
      <c r="B308"/>
      <c r="C308"/>
      <c r="D308"/>
      <c r="E308"/>
      <c r="F308"/>
      <c r="G308"/>
      <c r="H308"/>
      <c r="I308"/>
      <c r="J308"/>
      <c r="K308"/>
      <c r="L308" s="16">
        <f t="shared" si="16"/>
        <v>0</v>
      </c>
      <c r="M308" s="16" t="str">
        <f t="shared" si="18"/>
        <v/>
      </c>
      <c r="N308" s="17">
        <f t="shared" si="17"/>
        <v>0</v>
      </c>
    </row>
    <row r="309" spans="1:14" x14ac:dyDescent="0.2">
      <c r="A309" s="19">
        <f>IF(ISERROR(VLOOKUP(B309,Catalogo!$A$2:$C$410,2,0)),0,(VLOOKUP(B309,Catalogo!$A$2:$C$410,2,0)))</f>
        <v>0</v>
      </c>
      <c r="B309"/>
      <c r="C309"/>
      <c r="D309"/>
      <c r="E309"/>
      <c r="F309"/>
      <c r="G309"/>
      <c r="H309"/>
      <c r="I309"/>
      <c r="J309"/>
      <c r="K309"/>
      <c r="L309" s="16">
        <f t="shared" si="16"/>
        <v>0</v>
      </c>
      <c r="M309" s="16" t="str">
        <f t="shared" si="18"/>
        <v/>
      </c>
      <c r="N309" s="17">
        <f t="shared" si="17"/>
        <v>0</v>
      </c>
    </row>
    <row r="310" spans="1:14" x14ac:dyDescent="0.2">
      <c r="A310" s="19">
        <f>IF(ISERROR(VLOOKUP(B310,Catalogo!$A$2:$C$410,2,0)),0,(VLOOKUP(B310,Catalogo!$A$2:$C$410,2,0)))</f>
        <v>0</v>
      </c>
      <c r="B310"/>
      <c r="C310"/>
      <c r="D310"/>
      <c r="E310"/>
      <c r="F310"/>
      <c r="G310"/>
      <c r="H310"/>
      <c r="I310"/>
      <c r="J310"/>
      <c r="K310"/>
      <c r="L310" s="16">
        <f t="shared" si="16"/>
        <v>0</v>
      </c>
      <c r="M310" s="16" t="str">
        <f t="shared" si="18"/>
        <v/>
      </c>
      <c r="N310" s="17">
        <f t="shared" si="17"/>
        <v>0</v>
      </c>
    </row>
    <row r="311" spans="1:14" x14ac:dyDescent="0.2">
      <c r="A311" s="19">
        <f>IF(ISERROR(VLOOKUP(B311,Catalogo!$A$2:$C$410,2,0)),0,(VLOOKUP(B311,Catalogo!$A$2:$C$410,2,0)))</f>
        <v>0</v>
      </c>
      <c r="B311"/>
      <c r="C311"/>
      <c r="D311"/>
      <c r="E311"/>
      <c r="F311"/>
      <c r="G311"/>
      <c r="H311"/>
      <c r="I311"/>
      <c r="J311"/>
      <c r="K311"/>
      <c r="L311" s="16">
        <f t="shared" si="16"/>
        <v>0</v>
      </c>
      <c r="M311" s="16" t="str">
        <f t="shared" si="18"/>
        <v/>
      </c>
      <c r="N311" s="17">
        <f t="shared" si="17"/>
        <v>0</v>
      </c>
    </row>
    <row r="312" spans="1:14" x14ac:dyDescent="0.2">
      <c r="A312" s="19">
        <f>IF(ISERROR(VLOOKUP(B312,Catalogo!$A$2:$C$410,2,0)),0,(VLOOKUP(B312,Catalogo!$A$2:$C$410,2,0)))</f>
        <v>0</v>
      </c>
      <c r="B312"/>
      <c r="C312"/>
      <c r="D312"/>
      <c r="E312"/>
      <c r="F312"/>
      <c r="G312"/>
      <c r="H312"/>
      <c r="I312"/>
      <c r="J312"/>
      <c r="K312"/>
      <c r="L312" s="16">
        <f t="shared" si="16"/>
        <v>0</v>
      </c>
      <c r="M312" s="16" t="str">
        <f t="shared" si="18"/>
        <v/>
      </c>
      <c r="N312" s="17">
        <f t="shared" si="17"/>
        <v>0</v>
      </c>
    </row>
    <row r="313" spans="1:14" x14ac:dyDescent="0.2">
      <c r="A313" s="19">
        <f>IF(ISERROR(VLOOKUP(B313,Catalogo!$A$2:$C$410,2,0)),0,(VLOOKUP(B313,Catalogo!$A$2:$C$410,2,0)))</f>
        <v>0</v>
      </c>
      <c r="B313"/>
      <c r="C313"/>
      <c r="D313"/>
      <c r="E313"/>
      <c r="F313"/>
      <c r="G313"/>
      <c r="H313"/>
      <c r="I313"/>
      <c r="J313"/>
      <c r="K313"/>
      <c r="L313" s="16">
        <f t="shared" si="16"/>
        <v>0</v>
      </c>
      <c r="M313" s="16" t="str">
        <f t="shared" si="18"/>
        <v/>
      </c>
      <c r="N313" s="17">
        <f t="shared" si="17"/>
        <v>0</v>
      </c>
    </row>
    <row r="314" spans="1:14" x14ac:dyDescent="0.2">
      <c r="A314" s="19">
        <f>IF(ISERROR(VLOOKUP(B314,Catalogo!$A$2:$C$410,2,0)),0,(VLOOKUP(B314,Catalogo!$A$2:$C$410,2,0)))</f>
        <v>0</v>
      </c>
      <c r="B314"/>
      <c r="C314"/>
      <c r="D314"/>
      <c r="E314"/>
      <c r="F314"/>
      <c r="G314"/>
      <c r="H314"/>
      <c r="I314"/>
      <c r="J314"/>
      <c r="K314"/>
      <c r="L314" s="16">
        <f t="shared" si="16"/>
        <v>0</v>
      </c>
      <c r="M314" s="16" t="str">
        <f t="shared" si="18"/>
        <v/>
      </c>
      <c r="N314" s="17">
        <f t="shared" si="17"/>
        <v>0</v>
      </c>
    </row>
    <row r="315" spans="1:14" x14ac:dyDescent="0.2">
      <c r="A315" s="19">
        <f>IF(ISERROR(VLOOKUP(B315,Catalogo!$A$2:$C$410,2,0)),0,(VLOOKUP(B315,Catalogo!$A$2:$C$410,2,0)))</f>
        <v>0</v>
      </c>
      <c r="B315"/>
      <c r="C315"/>
      <c r="D315"/>
      <c r="E315"/>
      <c r="F315"/>
      <c r="G315"/>
      <c r="H315"/>
      <c r="I315"/>
      <c r="J315"/>
      <c r="K315"/>
      <c r="L315" s="16">
        <f t="shared" si="16"/>
        <v>0</v>
      </c>
      <c r="M315" s="16" t="str">
        <f t="shared" si="18"/>
        <v/>
      </c>
      <c r="N315" s="17">
        <f t="shared" si="17"/>
        <v>0</v>
      </c>
    </row>
    <row r="316" spans="1:14" x14ac:dyDescent="0.2">
      <c r="A316" s="19">
        <f>IF(ISERROR(VLOOKUP(B316,Catalogo!$A$2:$C$410,2,0)),0,(VLOOKUP(B316,Catalogo!$A$2:$C$410,2,0)))</f>
        <v>0</v>
      </c>
      <c r="B316"/>
      <c r="C316"/>
      <c r="D316"/>
      <c r="E316"/>
      <c r="F316"/>
      <c r="G316"/>
      <c r="H316"/>
      <c r="I316"/>
      <c r="J316"/>
      <c r="K316"/>
      <c r="L316" s="16">
        <f t="shared" si="16"/>
        <v>0</v>
      </c>
      <c r="M316" s="16" t="str">
        <f t="shared" si="18"/>
        <v/>
      </c>
      <c r="N316" s="17">
        <f t="shared" si="17"/>
        <v>0</v>
      </c>
    </row>
    <row r="317" spans="1:14" x14ac:dyDescent="0.2">
      <c r="A317" s="19">
        <f>IF(ISERROR(VLOOKUP(B317,Catalogo!$A$2:$C$410,2,0)),0,(VLOOKUP(B317,Catalogo!$A$2:$C$410,2,0)))</f>
        <v>0</v>
      </c>
      <c r="B317"/>
      <c r="C317"/>
      <c r="D317"/>
      <c r="E317"/>
      <c r="F317"/>
      <c r="G317"/>
      <c r="H317"/>
      <c r="I317"/>
      <c r="J317"/>
      <c r="K317"/>
      <c r="L317" s="16">
        <f t="shared" si="16"/>
        <v>0</v>
      </c>
      <c r="M317" s="16" t="str">
        <f t="shared" si="18"/>
        <v/>
      </c>
      <c r="N317" s="17">
        <f t="shared" si="17"/>
        <v>0</v>
      </c>
    </row>
    <row r="318" spans="1:14" x14ac:dyDescent="0.2">
      <c r="A318" s="19">
        <f>IF(ISERROR(VLOOKUP(B318,Catalogo!$A$2:$C$410,2,0)),0,(VLOOKUP(B318,Catalogo!$A$2:$C$410,2,0)))</f>
        <v>0</v>
      </c>
      <c r="B318"/>
      <c r="C318"/>
      <c r="D318"/>
      <c r="E318"/>
      <c r="F318"/>
      <c r="G318"/>
      <c r="H318"/>
      <c r="I318"/>
      <c r="J318"/>
      <c r="K318"/>
      <c r="L318" s="16">
        <f t="shared" si="16"/>
        <v>0</v>
      </c>
      <c r="M318" s="16" t="str">
        <f t="shared" si="18"/>
        <v/>
      </c>
      <c r="N318" s="17">
        <f t="shared" si="17"/>
        <v>0</v>
      </c>
    </row>
    <row r="319" spans="1:14" x14ac:dyDescent="0.2">
      <c r="A319" s="19">
        <f>IF(ISERROR(VLOOKUP(B319,Catalogo!$A$2:$C$410,2,0)),0,(VLOOKUP(B319,Catalogo!$A$2:$C$410,2,0)))</f>
        <v>0</v>
      </c>
      <c r="B319"/>
      <c r="C319"/>
      <c r="D319"/>
      <c r="E319"/>
      <c r="F319"/>
      <c r="G319"/>
      <c r="H319"/>
      <c r="I319"/>
      <c r="J319"/>
      <c r="K319"/>
      <c r="L319" s="16">
        <f t="shared" si="16"/>
        <v>0</v>
      </c>
      <c r="M319" s="16" t="str">
        <f t="shared" si="18"/>
        <v/>
      </c>
      <c r="N319" s="17">
        <f t="shared" si="17"/>
        <v>0</v>
      </c>
    </row>
    <row r="320" spans="1:14" x14ac:dyDescent="0.2">
      <c r="A320" s="19">
        <f>IF(ISERROR(VLOOKUP(B320,Catalogo!$A$2:$C$410,2,0)),0,(VLOOKUP(B320,Catalogo!$A$2:$C$410,2,0)))</f>
        <v>0</v>
      </c>
      <c r="B320"/>
      <c r="C320"/>
      <c r="D320"/>
      <c r="E320"/>
      <c r="F320"/>
      <c r="G320"/>
      <c r="H320"/>
      <c r="I320"/>
      <c r="J320"/>
      <c r="K320"/>
      <c r="L320" s="16">
        <f t="shared" si="16"/>
        <v>0</v>
      </c>
      <c r="M320" s="16" t="str">
        <f t="shared" si="18"/>
        <v/>
      </c>
      <c r="N320" s="17">
        <f t="shared" si="17"/>
        <v>0</v>
      </c>
    </row>
    <row r="321" spans="1:14" x14ac:dyDescent="0.2">
      <c r="A321" s="19">
        <f>IF(ISERROR(VLOOKUP(B321,Catalogo!$A$2:$C$410,2,0)),0,(VLOOKUP(B321,Catalogo!$A$2:$C$410,2,0)))</f>
        <v>0</v>
      </c>
      <c r="B321"/>
      <c r="C321"/>
      <c r="D321"/>
      <c r="E321"/>
      <c r="F321"/>
      <c r="G321"/>
      <c r="H321"/>
      <c r="I321"/>
      <c r="J321"/>
      <c r="K321"/>
      <c r="L321" s="16">
        <f t="shared" si="16"/>
        <v>0</v>
      </c>
      <c r="M321" s="16" t="str">
        <f t="shared" si="18"/>
        <v/>
      </c>
      <c r="N321" s="17">
        <f t="shared" si="17"/>
        <v>0</v>
      </c>
    </row>
    <row r="322" spans="1:14" x14ac:dyDescent="0.2">
      <c r="A322" s="19">
        <f>IF(ISERROR(VLOOKUP(B322,Catalogo!$A$2:$C$410,2,0)),0,(VLOOKUP(B322,Catalogo!$A$2:$C$410,2,0)))</f>
        <v>0</v>
      </c>
      <c r="B322"/>
      <c r="C322"/>
      <c r="D322"/>
      <c r="E322"/>
      <c r="F322"/>
      <c r="G322"/>
      <c r="H322"/>
      <c r="I322"/>
      <c r="J322"/>
      <c r="K322"/>
      <c r="L322" s="16">
        <f t="shared" ref="L322:L385" si="19">IF(A322="Record Keeping",B322,0)</f>
        <v>0</v>
      </c>
      <c r="M322" s="16" t="str">
        <f t="shared" si="18"/>
        <v/>
      </c>
      <c r="N322" s="17">
        <f t="shared" ref="N322:N385" si="20">IF(G322="CAN",F322*0,IF(M322="R",F322*-1,F322*1)*AND(A322="Record Keeping"))</f>
        <v>0</v>
      </c>
    </row>
    <row r="323" spans="1:14" x14ac:dyDescent="0.2">
      <c r="A323" s="19">
        <f>IF(ISERROR(VLOOKUP(B323,Catalogo!$A$2:$C$410,2,0)),0,(VLOOKUP(B323,Catalogo!$A$2:$C$410,2,0)))</f>
        <v>0</v>
      </c>
      <c r="B323"/>
      <c r="C323"/>
      <c r="D323"/>
      <c r="E323"/>
      <c r="F323"/>
      <c r="G323"/>
      <c r="H323"/>
      <c r="I323"/>
      <c r="J323"/>
      <c r="K323"/>
      <c r="L323" s="16">
        <f t="shared" si="19"/>
        <v>0</v>
      </c>
      <c r="M323" s="16" t="str">
        <f t="shared" si="18"/>
        <v/>
      </c>
      <c r="N323" s="17">
        <f t="shared" si="20"/>
        <v>0</v>
      </c>
    </row>
    <row r="324" spans="1:14" x14ac:dyDescent="0.2">
      <c r="A324" s="19">
        <f>IF(ISERROR(VLOOKUP(B324,Catalogo!$A$2:$C$410,2,0)),0,(VLOOKUP(B324,Catalogo!$A$2:$C$410,2,0)))</f>
        <v>0</v>
      </c>
      <c r="B324"/>
      <c r="C324"/>
      <c r="D324"/>
      <c r="E324"/>
      <c r="F324"/>
      <c r="G324"/>
      <c r="H324"/>
      <c r="I324"/>
      <c r="J324"/>
      <c r="K324"/>
      <c r="L324" s="16">
        <f t="shared" si="19"/>
        <v>0</v>
      </c>
      <c r="M324" s="16" t="str">
        <f t="shared" si="18"/>
        <v/>
      </c>
      <c r="N324" s="17">
        <f t="shared" si="20"/>
        <v>0</v>
      </c>
    </row>
    <row r="325" spans="1:14" x14ac:dyDescent="0.2">
      <c r="A325" s="19">
        <f>IF(ISERROR(VLOOKUP(B325,Catalogo!$A$2:$C$410,2,0)),0,(VLOOKUP(B325,Catalogo!$A$2:$C$410,2,0)))</f>
        <v>0</v>
      </c>
      <c r="B325"/>
      <c r="C325"/>
      <c r="D325"/>
      <c r="E325"/>
      <c r="F325"/>
      <c r="G325"/>
      <c r="H325"/>
      <c r="I325"/>
      <c r="J325"/>
      <c r="K325"/>
      <c r="L325" s="16">
        <f t="shared" si="19"/>
        <v>0</v>
      </c>
      <c r="M325" s="16" t="str">
        <f t="shared" si="18"/>
        <v/>
      </c>
      <c r="N325" s="17">
        <f t="shared" si="20"/>
        <v>0</v>
      </c>
    </row>
    <row r="326" spans="1:14" x14ac:dyDescent="0.2">
      <c r="A326" s="19">
        <f>IF(ISERROR(VLOOKUP(B326,Catalogo!$A$2:$C$410,2,0)),0,(VLOOKUP(B326,Catalogo!$A$2:$C$410,2,0)))</f>
        <v>0</v>
      </c>
      <c r="B326"/>
      <c r="C326"/>
      <c r="D326"/>
      <c r="E326"/>
      <c r="F326"/>
      <c r="G326"/>
      <c r="H326"/>
      <c r="I326"/>
      <c r="J326"/>
      <c r="K326"/>
      <c r="L326" s="16">
        <f t="shared" si="19"/>
        <v>0</v>
      </c>
      <c r="M326" s="16" t="str">
        <f t="shared" si="18"/>
        <v/>
      </c>
      <c r="N326" s="17">
        <f t="shared" si="20"/>
        <v>0</v>
      </c>
    </row>
    <row r="327" spans="1:14" x14ac:dyDescent="0.2">
      <c r="A327" s="19">
        <f>IF(ISERROR(VLOOKUP(B327,Catalogo!$A$2:$C$410,2,0)),0,(VLOOKUP(B327,Catalogo!$A$2:$C$410,2,0)))</f>
        <v>0</v>
      </c>
      <c r="B327"/>
      <c r="C327"/>
      <c r="D327"/>
      <c r="E327"/>
      <c r="F327"/>
      <c r="G327"/>
      <c r="H327"/>
      <c r="I327"/>
      <c r="J327"/>
      <c r="K327"/>
      <c r="L327" s="16">
        <f t="shared" si="19"/>
        <v>0</v>
      </c>
      <c r="M327" s="16" t="str">
        <f t="shared" ref="M327:M390" si="21">LEFT(E327,1)</f>
        <v/>
      </c>
      <c r="N327" s="17">
        <f t="shared" si="20"/>
        <v>0</v>
      </c>
    </row>
    <row r="328" spans="1:14" x14ac:dyDescent="0.2">
      <c r="A328" s="19">
        <f>IF(ISERROR(VLOOKUP(B328,Catalogo!$A$2:$C$410,2,0)),0,(VLOOKUP(B328,Catalogo!$A$2:$C$410,2,0)))</f>
        <v>0</v>
      </c>
      <c r="B328"/>
      <c r="C328"/>
      <c r="D328"/>
      <c r="E328"/>
      <c r="F328"/>
      <c r="G328"/>
      <c r="H328"/>
      <c r="I328"/>
      <c r="J328"/>
      <c r="K328"/>
      <c r="L328" s="16">
        <f t="shared" si="19"/>
        <v>0</v>
      </c>
      <c r="M328" s="16" t="str">
        <f t="shared" si="21"/>
        <v/>
      </c>
      <c r="N328" s="17">
        <f t="shared" si="20"/>
        <v>0</v>
      </c>
    </row>
    <row r="329" spans="1:14" x14ac:dyDescent="0.2">
      <c r="A329" s="19">
        <f>IF(ISERROR(VLOOKUP(B329,Catalogo!$A$2:$C$410,2,0)),0,(VLOOKUP(B329,Catalogo!$A$2:$C$410,2,0)))</f>
        <v>0</v>
      </c>
      <c r="B329"/>
      <c r="C329"/>
      <c r="D329"/>
      <c r="E329"/>
      <c r="F329"/>
      <c r="G329"/>
      <c r="H329"/>
      <c r="I329"/>
      <c r="J329"/>
      <c r="K329"/>
      <c r="L329" s="16">
        <f t="shared" si="19"/>
        <v>0</v>
      </c>
      <c r="M329" s="16" t="str">
        <f t="shared" si="21"/>
        <v/>
      </c>
      <c r="N329" s="17">
        <f t="shared" si="20"/>
        <v>0</v>
      </c>
    </row>
    <row r="330" spans="1:14" x14ac:dyDescent="0.2">
      <c r="A330" s="19">
        <f>IF(ISERROR(VLOOKUP(B330,Catalogo!$A$2:$C$410,2,0)),0,(VLOOKUP(B330,Catalogo!$A$2:$C$410,2,0)))</f>
        <v>0</v>
      </c>
      <c r="B330"/>
      <c r="C330"/>
      <c r="D330"/>
      <c r="E330"/>
      <c r="F330"/>
      <c r="G330"/>
      <c r="H330"/>
      <c r="I330"/>
      <c r="J330"/>
      <c r="K330"/>
      <c r="L330" s="16">
        <f t="shared" si="19"/>
        <v>0</v>
      </c>
      <c r="M330" s="16" t="str">
        <f t="shared" si="21"/>
        <v/>
      </c>
      <c r="N330" s="17">
        <f t="shared" si="20"/>
        <v>0</v>
      </c>
    </row>
    <row r="331" spans="1:14" x14ac:dyDescent="0.2">
      <c r="A331" s="19">
        <f>IF(ISERROR(VLOOKUP(B331,Catalogo!$A$2:$C$410,2,0)),0,(VLOOKUP(B331,Catalogo!$A$2:$C$410,2,0)))</f>
        <v>0</v>
      </c>
      <c r="B331"/>
      <c r="C331"/>
      <c r="D331"/>
      <c r="E331"/>
      <c r="F331"/>
      <c r="G331"/>
      <c r="H331"/>
      <c r="I331"/>
      <c r="J331"/>
      <c r="K331"/>
      <c r="L331" s="16">
        <f t="shared" si="19"/>
        <v>0</v>
      </c>
      <c r="M331" s="16" t="str">
        <f t="shared" si="21"/>
        <v/>
      </c>
      <c r="N331" s="17">
        <f t="shared" si="20"/>
        <v>0</v>
      </c>
    </row>
    <row r="332" spans="1:14" x14ac:dyDescent="0.2">
      <c r="A332" s="19">
        <f>IF(ISERROR(VLOOKUP(B332,Catalogo!$A$2:$C$410,2,0)),0,(VLOOKUP(B332,Catalogo!$A$2:$C$410,2,0)))</f>
        <v>0</v>
      </c>
      <c r="B332"/>
      <c r="C332"/>
      <c r="D332"/>
      <c r="E332"/>
      <c r="F332"/>
      <c r="G332"/>
      <c r="H332"/>
      <c r="I332"/>
      <c r="J332"/>
      <c r="K332"/>
      <c r="L332" s="16">
        <f t="shared" si="19"/>
        <v>0</v>
      </c>
      <c r="M332" s="16" t="str">
        <f t="shared" si="21"/>
        <v/>
      </c>
      <c r="N332" s="17">
        <f t="shared" si="20"/>
        <v>0</v>
      </c>
    </row>
    <row r="333" spans="1:14" x14ac:dyDescent="0.2">
      <c r="A333" s="19">
        <f>IF(ISERROR(VLOOKUP(B333,Catalogo!$A$2:$C$410,2,0)),0,(VLOOKUP(B333,Catalogo!$A$2:$C$410,2,0)))</f>
        <v>0</v>
      </c>
      <c r="B333"/>
      <c r="C333"/>
      <c r="D333"/>
      <c r="E333"/>
      <c r="F333"/>
      <c r="G333"/>
      <c r="H333"/>
      <c r="I333"/>
      <c r="J333"/>
      <c r="K333"/>
      <c r="L333" s="16">
        <f t="shared" si="19"/>
        <v>0</v>
      </c>
      <c r="M333" s="16" t="str">
        <f t="shared" si="21"/>
        <v/>
      </c>
      <c r="N333" s="17">
        <f t="shared" si="20"/>
        <v>0</v>
      </c>
    </row>
    <row r="334" spans="1:14" x14ac:dyDescent="0.2">
      <c r="A334" s="19">
        <f>IF(ISERROR(VLOOKUP(B334,Catalogo!$A$2:$C$410,2,0)),0,(VLOOKUP(B334,Catalogo!$A$2:$C$410,2,0)))</f>
        <v>0</v>
      </c>
      <c r="B334"/>
      <c r="C334"/>
      <c r="D334"/>
      <c r="E334"/>
      <c r="F334"/>
      <c r="G334"/>
      <c r="H334"/>
      <c r="I334"/>
      <c r="J334"/>
      <c r="K334"/>
      <c r="L334" s="16">
        <f t="shared" si="19"/>
        <v>0</v>
      </c>
      <c r="M334" s="16" t="str">
        <f t="shared" si="21"/>
        <v/>
      </c>
      <c r="N334" s="17">
        <f t="shared" si="20"/>
        <v>0</v>
      </c>
    </row>
    <row r="335" spans="1:14" x14ac:dyDescent="0.2">
      <c r="A335" s="19">
        <f>IF(ISERROR(VLOOKUP(B335,Catalogo!$A$2:$C$410,2,0)),0,(VLOOKUP(B335,Catalogo!$A$2:$C$410,2,0)))</f>
        <v>0</v>
      </c>
      <c r="B335"/>
      <c r="C335"/>
      <c r="D335"/>
      <c r="E335"/>
      <c r="F335"/>
      <c r="G335"/>
      <c r="H335"/>
      <c r="I335"/>
      <c r="J335"/>
      <c r="K335"/>
      <c r="L335" s="16">
        <f t="shared" si="19"/>
        <v>0</v>
      </c>
      <c r="M335" s="16" t="str">
        <f t="shared" si="21"/>
        <v/>
      </c>
      <c r="N335" s="17">
        <f t="shared" si="20"/>
        <v>0</v>
      </c>
    </row>
    <row r="336" spans="1:14" x14ac:dyDescent="0.2">
      <c r="A336" s="19">
        <f>IF(ISERROR(VLOOKUP(B336,Catalogo!$A$2:$C$410,2,0)),0,(VLOOKUP(B336,Catalogo!$A$2:$C$410,2,0)))</f>
        <v>0</v>
      </c>
      <c r="B336"/>
      <c r="C336"/>
      <c r="D336"/>
      <c r="E336"/>
      <c r="F336"/>
      <c r="G336"/>
      <c r="H336"/>
      <c r="I336"/>
      <c r="J336"/>
      <c r="K336"/>
      <c r="L336" s="16">
        <f t="shared" si="19"/>
        <v>0</v>
      </c>
      <c r="M336" s="16" t="str">
        <f t="shared" si="21"/>
        <v/>
      </c>
      <c r="N336" s="17">
        <f t="shared" si="20"/>
        <v>0</v>
      </c>
    </row>
    <row r="337" spans="1:14" x14ac:dyDescent="0.2">
      <c r="A337" s="19">
        <f>IF(ISERROR(VLOOKUP(B337,Catalogo!$A$2:$C$410,2,0)),0,(VLOOKUP(B337,Catalogo!$A$2:$C$410,2,0)))</f>
        <v>0</v>
      </c>
      <c r="B337"/>
      <c r="C337"/>
      <c r="D337"/>
      <c r="E337"/>
      <c r="F337"/>
      <c r="G337"/>
      <c r="H337"/>
      <c r="I337"/>
      <c r="J337"/>
      <c r="K337"/>
      <c r="L337" s="16">
        <f t="shared" si="19"/>
        <v>0</v>
      </c>
      <c r="M337" s="16" t="str">
        <f t="shared" si="21"/>
        <v/>
      </c>
      <c r="N337" s="17">
        <f t="shared" si="20"/>
        <v>0</v>
      </c>
    </row>
    <row r="338" spans="1:14" x14ac:dyDescent="0.2">
      <c r="A338" s="19">
        <f>IF(ISERROR(VLOOKUP(B338,Catalogo!$A$2:$C$410,2,0)),0,(VLOOKUP(B338,Catalogo!$A$2:$C$410,2,0)))</f>
        <v>0</v>
      </c>
      <c r="B338"/>
      <c r="C338"/>
      <c r="D338"/>
      <c r="E338"/>
      <c r="F338"/>
      <c r="G338"/>
      <c r="H338"/>
      <c r="I338"/>
      <c r="J338"/>
      <c r="K338"/>
      <c r="L338" s="16">
        <f t="shared" si="19"/>
        <v>0</v>
      </c>
      <c r="M338" s="16" t="str">
        <f t="shared" si="21"/>
        <v/>
      </c>
      <c r="N338" s="17">
        <f t="shared" si="20"/>
        <v>0</v>
      </c>
    </row>
    <row r="339" spans="1:14" x14ac:dyDescent="0.2">
      <c r="A339" s="19">
        <f>IF(ISERROR(VLOOKUP(B339,Catalogo!$A$2:$C$410,2,0)),0,(VLOOKUP(B339,Catalogo!$A$2:$C$410,2,0)))</f>
        <v>0</v>
      </c>
      <c r="B339"/>
      <c r="C339"/>
      <c r="D339"/>
      <c r="E339"/>
      <c r="F339"/>
      <c r="G339"/>
      <c r="H339"/>
      <c r="I339"/>
      <c r="J339"/>
      <c r="K339"/>
      <c r="L339" s="16">
        <f t="shared" si="19"/>
        <v>0</v>
      </c>
      <c r="M339" s="16" t="str">
        <f t="shared" si="21"/>
        <v/>
      </c>
      <c r="N339" s="17">
        <f t="shared" si="20"/>
        <v>0</v>
      </c>
    </row>
    <row r="340" spans="1:14" x14ac:dyDescent="0.2">
      <c r="A340" s="19">
        <f>IF(ISERROR(VLOOKUP(B340,Catalogo!$A$2:$C$410,2,0)),0,(VLOOKUP(B340,Catalogo!$A$2:$C$410,2,0)))</f>
        <v>0</v>
      </c>
      <c r="B340"/>
      <c r="C340"/>
      <c r="D340"/>
      <c r="E340"/>
      <c r="F340"/>
      <c r="G340"/>
      <c r="H340"/>
      <c r="I340"/>
      <c r="J340"/>
      <c r="K340"/>
      <c r="L340" s="16">
        <f t="shared" si="19"/>
        <v>0</v>
      </c>
      <c r="M340" s="16" t="str">
        <f t="shared" si="21"/>
        <v/>
      </c>
      <c r="N340" s="17">
        <f t="shared" si="20"/>
        <v>0</v>
      </c>
    </row>
    <row r="341" spans="1:14" x14ac:dyDescent="0.2">
      <c r="A341" s="19">
        <f>IF(ISERROR(VLOOKUP(B341,Catalogo!$A$2:$C$410,2,0)),0,(VLOOKUP(B341,Catalogo!$A$2:$C$410,2,0)))</f>
        <v>0</v>
      </c>
      <c r="B341"/>
      <c r="C341"/>
      <c r="D341"/>
      <c r="E341"/>
      <c r="F341"/>
      <c r="G341"/>
      <c r="H341"/>
      <c r="I341"/>
      <c r="J341"/>
      <c r="K341"/>
      <c r="L341" s="16">
        <f t="shared" si="19"/>
        <v>0</v>
      </c>
      <c r="M341" s="16" t="str">
        <f t="shared" si="21"/>
        <v/>
      </c>
      <c r="N341" s="17">
        <f t="shared" si="20"/>
        <v>0</v>
      </c>
    </row>
    <row r="342" spans="1:14" x14ac:dyDescent="0.2">
      <c r="A342" s="19">
        <f>IF(ISERROR(VLOOKUP(B342,Catalogo!$A$2:$C$410,2,0)),0,(VLOOKUP(B342,Catalogo!$A$2:$C$410,2,0)))</f>
        <v>0</v>
      </c>
      <c r="B342"/>
      <c r="C342"/>
      <c r="D342"/>
      <c r="E342"/>
      <c r="F342"/>
      <c r="G342"/>
      <c r="H342"/>
      <c r="I342"/>
      <c r="J342"/>
      <c r="K342"/>
      <c r="L342" s="16">
        <f t="shared" si="19"/>
        <v>0</v>
      </c>
      <c r="M342" s="16" t="str">
        <f t="shared" si="21"/>
        <v/>
      </c>
      <c r="N342" s="17">
        <f t="shared" si="20"/>
        <v>0</v>
      </c>
    </row>
    <row r="343" spans="1:14" x14ac:dyDescent="0.2">
      <c r="A343" s="19">
        <f>IF(ISERROR(VLOOKUP(B343,Catalogo!$A$2:$C$410,2,0)),0,(VLOOKUP(B343,Catalogo!$A$2:$C$410,2,0)))</f>
        <v>0</v>
      </c>
      <c r="B343"/>
      <c r="C343"/>
      <c r="D343"/>
      <c r="E343"/>
      <c r="F343"/>
      <c r="G343"/>
      <c r="H343"/>
      <c r="I343"/>
      <c r="J343"/>
      <c r="K343"/>
      <c r="L343" s="16">
        <f t="shared" si="19"/>
        <v>0</v>
      </c>
      <c r="M343" s="16" t="str">
        <f t="shared" si="21"/>
        <v/>
      </c>
      <c r="N343" s="17">
        <f t="shared" si="20"/>
        <v>0</v>
      </c>
    </row>
    <row r="344" spans="1:14" x14ac:dyDescent="0.2">
      <c r="A344" s="19">
        <f>IF(ISERROR(VLOOKUP(B344,Catalogo!$A$2:$C$410,2,0)),0,(VLOOKUP(B344,Catalogo!$A$2:$C$410,2,0)))</f>
        <v>0</v>
      </c>
      <c r="B344"/>
      <c r="C344"/>
      <c r="D344"/>
      <c r="E344"/>
      <c r="F344"/>
      <c r="G344"/>
      <c r="H344"/>
      <c r="I344"/>
      <c r="J344"/>
      <c r="K344"/>
      <c r="L344" s="16">
        <f t="shared" si="19"/>
        <v>0</v>
      </c>
      <c r="M344" s="16" t="str">
        <f t="shared" si="21"/>
        <v/>
      </c>
      <c r="N344" s="17">
        <f t="shared" si="20"/>
        <v>0</v>
      </c>
    </row>
    <row r="345" spans="1:14" x14ac:dyDescent="0.2">
      <c r="A345" s="19">
        <f>IF(ISERROR(VLOOKUP(B345,Catalogo!$A$2:$C$410,2,0)),0,(VLOOKUP(B345,Catalogo!$A$2:$C$410,2,0)))</f>
        <v>0</v>
      </c>
      <c r="B345"/>
      <c r="C345"/>
      <c r="D345"/>
      <c r="E345"/>
      <c r="F345"/>
      <c r="G345"/>
      <c r="H345"/>
      <c r="I345"/>
      <c r="J345"/>
      <c r="K345"/>
      <c r="L345" s="16">
        <f t="shared" si="19"/>
        <v>0</v>
      </c>
      <c r="M345" s="16" t="str">
        <f t="shared" si="21"/>
        <v/>
      </c>
      <c r="N345" s="17">
        <f t="shared" si="20"/>
        <v>0</v>
      </c>
    </row>
    <row r="346" spans="1:14" x14ac:dyDescent="0.2">
      <c r="A346" s="19">
        <f>IF(ISERROR(VLOOKUP(B346,Catalogo!$A$2:$C$410,2,0)),0,(VLOOKUP(B346,Catalogo!$A$2:$C$410,2,0)))</f>
        <v>0</v>
      </c>
      <c r="B346"/>
      <c r="C346"/>
      <c r="D346"/>
      <c r="E346"/>
      <c r="F346"/>
      <c r="G346"/>
      <c r="H346"/>
      <c r="I346"/>
      <c r="J346"/>
      <c r="K346"/>
      <c r="L346" s="16">
        <f t="shared" si="19"/>
        <v>0</v>
      </c>
      <c r="M346" s="16" t="str">
        <f t="shared" si="21"/>
        <v/>
      </c>
      <c r="N346" s="17">
        <f t="shared" si="20"/>
        <v>0</v>
      </c>
    </row>
    <row r="347" spans="1:14" x14ac:dyDescent="0.2">
      <c r="A347" s="19">
        <f>IF(ISERROR(VLOOKUP(B347,Catalogo!$A$2:$C$410,2,0)),0,(VLOOKUP(B347,Catalogo!$A$2:$C$410,2,0)))</f>
        <v>0</v>
      </c>
      <c r="B347"/>
      <c r="C347"/>
      <c r="D347"/>
      <c r="E347"/>
      <c r="F347"/>
      <c r="G347"/>
      <c r="H347"/>
      <c r="I347"/>
      <c r="J347"/>
      <c r="K347"/>
      <c r="L347" s="16">
        <f t="shared" si="19"/>
        <v>0</v>
      </c>
      <c r="M347" s="16" t="str">
        <f t="shared" si="21"/>
        <v/>
      </c>
      <c r="N347" s="17">
        <f t="shared" si="20"/>
        <v>0</v>
      </c>
    </row>
    <row r="348" spans="1:14" x14ac:dyDescent="0.2">
      <c r="A348" s="19">
        <f>IF(ISERROR(VLOOKUP(B348,Catalogo!$A$2:$C$410,2,0)),0,(VLOOKUP(B348,Catalogo!$A$2:$C$410,2,0)))</f>
        <v>0</v>
      </c>
      <c r="B348"/>
      <c r="C348"/>
      <c r="D348"/>
      <c r="E348"/>
      <c r="F348"/>
      <c r="G348"/>
      <c r="H348"/>
      <c r="I348"/>
      <c r="J348"/>
      <c r="K348"/>
      <c r="L348" s="16">
        <f t="shared" si="19"/>
        <v>0</v>
      </c>
      <c r="M348" s="16" t="str">
        <f t="shared" si="21"/>
        <v/>
      </c>
      <c r="N348" s="17">
        <f t="shared" si="20"/>
        <v>0</v>
      </c>
    </row>
    <row r="349" spans="1:14" x14ac:dyDescent="0.2">
      <c r="A349" s="19">
        <f>IF(ISERROR(VLOOKUP(B349,Catalogo!$A$2:$C$410,2,0)),0,(VLOOKUP(B349,Catalogo!$A$2:$C$410,2,0)))</f>
        <v>0</v>
      </c>
      <c r="B349"/>
      <c r="C349"/>
      <c r="D349"/>
      <c r="E349"/>
      <c r="F349"/>
      <c r="G349"/>
      <c r="H349"/>
      <c r="I349"/>
      <c r="J349"/>
      <c r="K349"/>
      <c r="L349" s="16">
        <f t="shared" si="19"/>
        <v>0</v>
      </c>
      <c r="M349" s="16" t="str">
        <f t="shared" si="21"/>
        <v/>
      </c>
      <c r="N349" s="17">
        <f t="shared" si="20"/>
        <v>0</v>
      </c>
    </row>
    <row r="350" spans="1:14" x14ac:dyDescent="0.2">
      <c r="A350" s="19">
        <f>IF(ISERROR(VLOOKUP(B350,Catalogo!$A$2:$C$410,2,0)),0,(VLOOKUP(B350,Catalogo!$A$2:$C$410,2,0)))</f>
        <v>0</v>
      </c>
      <c r="B350"/>
      <c r="C350"/>
      <c r="D350"/>
      <c r="E350"/>
      <c r="F350"/>
      <c r="G350"/>
      <c r="H350"/>
      <c r="I350"/>
      <c r="J350"/>
      <c r="K350"/>
      <c r="L350" s="16">
        <f t="shared" si="19"/>
        <v>0</v>
      </c>
      <c r="M350" s="16" t="str">
        <f t="shared" si="21"/>
        <v/>
      </c>
      <c r="N350" s="17">
        <f t="shared" si="20"/>
        <v>0</v>
      </c>
    </row>
    <row r="351" spans="1:14" x14ac:dyDescent="0.2">
      <c r="A351" s="19">
        <f>IF(ISERROR(VLOOKUP(B351,Catalogo!$A$2:$C$410,2,0)),0,(VLOOKUP(B351,Catalogo!$A$2:$C$410,2,0)))</f>
        <v>0</v>
      </c>
      <c r="B351"/>
      <c r="C351"/>
      <c r="D351"/>
      <c r="E351"/>
      <c r="F351"/>
      <c r="G351"/>
      <c r="H351"/>
      <c r="I351"/>
      <c r="J351"/>
      <c r="K351"/>
      <c r="L351" s="16">
        <f t="shared" si="19"/>
        <v>0</v>
      </c>
      <c r="M351" s="16" t="str">
        <f t="shared" si="21"/>
        <v/>
      </c>
      <c r="N351" s="17">
        <f t="shared" si="20"/>
        <v>0</v>
      </c>
    </row>
    <row r="352" spans="1:14" x14ac:dyDescent="0.2">
      <c r="A352" s="19">
        <f>IF(ISERROR(VLOOKUP(B352,Catalogo!$A$2:$C$410,2,0)),0,(VLOOKUP(B352,Catalogo!$A$2:$C$410,2,0)))</f>
        <v>0</v>
      </c>
      <c r="B352"/>
      <c r="C352"/>
      <c r="D352"/>
      <c r="E352"/>
      <c r="F352"/>
      <c r="G352"/>
      <c r="H352"/>
      <c r="I352"/>
      <c r="J352"/>
      <c r="K352"/>
      <c r="L352" s="16">
        <f t="shared" si="19"/>
        <v>0</v>
      </c>
      <c r="M352" s="16" t="str">
        <f t="shared" si="21"/>
        <v/>
      </c>
      <c r="N352" s="17">
        <f t="shared" si="20"/>
        <v>0</v>
      </c>
    </row>
    <row r="353" spans="1:14" x14ac:dyDescent="0.2">
      <c r="A353" s="19">
        <f>IF(ISERROR(VLOOKUP(B353,Catalogo!$A$2:$C$410,2,0)),0,(VLOOKUP(B353,Catalogo!$A$2:$C$410,2,0)))</f>
        <v>0</v>
      </c>
      <c r="B353"/>
      <c r="C353"/>
      <c r="D353"/>
      <c r="E353"/>
      <c r="F353"/>
      <c r="G353"/>
      <c r="H353"/>
      <c r="I353"/>
      <c r="J353"/>
      <c r="K353"/>
      <c r="L353" s="16">
        <f t="shared" si="19"/>
        <v>0</v>
      </c>
      <c r="M353" s="16" t="str">
        <f t="shared" si="21"/>
        <v/>
      </c>
      <c r="N353" s="17">
        <f t="shared" si="20"/>
        <v>0</v>
      </c>
    </row>
    <row r="354" spans="1:14" x14ac:dyDescent="0.2">
      <c r="A354" s="19">
        <f>IF(ISERROR(VLOOKUP(B354,Catalogo!$A$2:$C$410,2,0)),0,(VLOOKUP(B354,Catalogo!$A$2:$C$410,2,0)))</f>
        <v>0</v>
      </c>
      <c r="B354"/>
      <c r="C354"/>
      <c r="D354"/>
      <c r="E354"/>
      <c r="F354"/>
      <c r="G354"/>
      <c r="H354"/>
      <c r="I354"/>
      <c r="J354"/>
      <c r="K354"/>
      <c r="L354" s="16">
        <f t="shared" si="19"/>
        <v>0</v>
      </c>
      <c r="M354" s="16" t="str">
        <f t="shared" si="21"/>
        <v/>
      </c>
      <c r="N354" s="17">
        <f t="shared" si="20"/>
        <v>0</v>
      </c>
    </row>
    <row r="355" spans="1:14" x14ac:dyDescent="0.2">
      <c r="A355" s="19">
        <f>IF(ISERROR(VLOOKUP(B355,Catalogo!$A$2:$C$410,2,0)),0,(VLOOKUP(B355,Catalogo!$A$2:$C$410,2,0)))</f>
        <v>0</v>
      </c>
      <c r="B355"/>
      <c r="C355"/>
      <c r="D355"/>
      <c r="E355"/>
      <c r="F355"/>
      <c r="G355"/>
      <c r="H355"/>
      <c r="I355"/>
      <c r="J355"/>
      <c r="K355"/>
      <c r="L355" s="16">
        <f t="shared" si="19"/>
        <v>0</v>
      </c>
      <c r="M355" s="16" t="str">
        <f t="shared" si="21"/>
        <v/>
      </c>
      <c r="N355" s="17">
        <f t="shared" si="20"/>
        <v>0</v>
      </c>
    </row>
    <row r="356" spans="1:14" x14ac:dyDescent="0.2">
      <c r="A356" s="19">
        <f>IF(ISERROR(VLOOKUP(B356,Catalogo!$A$2:$C$410,2,0)),0,(VLOOKUP(B356,Catalogo!$A$2:$C$410,2,0)))</f>
        <v>0</v>
      </c>
      <c r="B356"/>
      <c r="C356"/>
      <c r="D356"/>
      <c r="E356"/>
      <c r="F356"/>
      <c r="G356"/>
      <c r="H356"/>
      <c r="I356"/>
      <c r="J356"/>
      <c r="K356"/>
      <c r="L356" s="16">
        <f t="shared" si="19"/>
        <v>0</v>
      </c>
      <c r="M356" s="16" t="str">
        <f t="shared" si="21"/>
        <v/>
      </c>
      <c r="N356" s="17">
        <f t="shared" si="20"/>
        <v>0</v>
      </c>
    </row>
    <row r="357" spans="1:14" x14ac:dyDescent="0.2">
      <c r="A357" s="19">
        <f>IF(ISERROR(VLOOKUP(B357,Catalogo!$A$2:$C$410,2,0)),0,(VLOOKUP(B357,Catalogo!$A$2:$C$410,2,0)))</f>
        <v>0</v>
      </c>
      <c r="B357"/>
      <c r="C357"/>
      <c r="D357"/>
      <c r="E357"/>
      <c r="F357"/>
      <c r="G357"/>
      <c r="H357"/>
      <c r="I357"/>
      <c r="J357"/>
      <c r="K357"/>
      <c r="L357" s="16">
        <f t="shared" si="19"/>
        <v>0</v>
      </c>
      <c r="M357" s="16" t="str">
        <f t="shared" si="21"/>
        <v/>
      </c>
      <c r="N357" s="17">
        <f t="shared" si="20"/>
        <v>0</v>
      </c>
    </row>
    <row r="358" spans="1:14" x14ac:dyDescent="0.2">
      <c r="A358" s="19">
        <f>IF(ISERROR(VLOOKUP(B358,Catalogo!$A$2:$C$410,2,0)),0,(VLOOKUP(B358,Catalogo!$A$2:$C$410,2,0)))</f>
        <v>0</v>
      </c>
      <c r="B358"/>
      <c r="C358"/>
      <c r="D358"/>
      <c r="E358"/>
      <c r="F358"/>
      <c r="G358"/>
      <c r="H358"/>
      <c r="I358"/>
      <c r="J358"/>
      <c r="K358"/>
      <c r="L358" s="16">
        <f t="shared" si="19"/>
        <v>0</v>
      </c>
      <c r="M358" s="16" t="str">
        <f t="shared" si="21"/>
        <v/>
      </c>
      <c r="N358" s="17">
        <f t="shared" si="20"/>
        <v>0</v>
      </c>
    </row>
    <row r="359" spans="1:14" x14ac:dyDescent="0.2">
      <c r="A359" s="19">
        <f>IF(ISERROR(VLOOKUP(B359,Catalogo!$A$2:$C$410,2,0)),0,(VLOOKUP(B359,Catalogo!$A$2:$C$410,2,0)))</f>
        <v>0</v>
      </c>
      <c r="B359"/>
      <c r="C359"/>
      <c r="D359"/>
      <c r="E359"/>
      <c r="F359"/>
      <c r="G359"/>
      <c r="H359"/>
      <c r="I359"/>
      <c r="J359"/>
      <c r="K359"/>
      <c r="L359" s="16">
        <f t="shared" si="19"/>
        <v>0</v>
      </c>
      <c r="M359" s="16" t="str">
        <f t="shared" si="21"/>
        <v/>
      </c>
      <c r="N359" s="17">
        <f t="shared" si="20"/>
        <v>0</v>
      </c>
    </row>
    <row r="360" spans="1:14" x14ac:dyDescent="0.2">
      <c r="A360" s="19">
        <f>IF(ISERROR(VLOOKUP(B360,Catalogo!$A$2:$C$410,2,0)),0,(VLOOKUP(B360,Catalogo!$A$2:$C$410,2,0)))</f>
        <v>0</v>
      </c>
      <c r="B360"/>
      <c r="C360"/>
      <c r="D360"/>
      <c r="E360"/>
      <c r="F360"/>
      <c r="G360"/>
      <c r="H360"/>
      <c r="I360"/>
      <c r="J360"/>
      <c r="K360"/>
      <c r="L360" s="16">
        <f t="shared" si="19"/>
        <v>0</v>
      </c>
      <c r="M360" s="16" t="str">
        <f t="shared" si="21"/>
        <v/>
      </c>
      <c r="N360" s="17">
        <f t="shared" si="20"/>
        <v>0</v>
      </c>
    </row>
    <row r="361" spans="1:14" x14ac:dyDescent="0.2">
      <c r="A361" s="19">
        <f>IF(ISERROR(VLOOKUP(B361,Catalogo!$A$2:$C$410,2,0)),0,(VLOOKUP(B361,Catalogo!$A$2:$C$410,2,0)))</f>
        <v>0</v>
      </c>
      <c r="B361"/>
      <c r="C361"/>
      <c r="D361"/>
      <c r="E361"/>
      <c r="F361"/>
      <c r="G361"/>
      <c r="H361"/>
      <c r="I361"/>
      <c r="J361"/>
      <c r="K361"/>
      <c r="L361" s="16">
        <f t="shared" si="19"/>
        <v>0</v>
      </c>
      <c r="M361" s="16" t="str">
        <f t="shared" si="21"/>
        <v/>
      </c>
      <c r="N361" s="17">
        <f t="shared" si="20"/>
        <v>0</v>
      </c>
    </row>
    <row r="362" spans="1:14" x14ac:dyDescent="0.2">
      <c r="A362" s="19">
        <f>IF(ISERROR(VLOOKUP(B362,Catalogo!$A$2:$C$410,2,0)),0,(VLOOKUP(B362,Catalogo!$A$2:$C$410,2,0)))</f>
        <v>0</v>
      </c>
      <c r="B362"/>
      <c r="C362"/>
      <c r="D362"/>
      <c r="E362"/>
      <c r="F362"/>
      <c r="G362"/>
      <c r="H362"/>
      <c r="I362"/>
      <c r="J362"/>
      <c r="K362"/>
      <c r="L362" s="16">
        <f t="shared" si="19"/>
        <v>0</v>
      </c>
      <c r="M362" s="16" t="str">
        <f t="shared" si="21"/>
        <v/>
      </c>
      <c r="N362" s="17">
        <f t="shared" si="20"/>
        <v>0</v>
      </c>
    </row>
    <row r="363" spans="1:14" x14ac:dyDescent="0.2">
      <c r="A363" s="19">
        <f>IF(ISERROR(VLOOKUP(B363,Catalogo!$A$2:$C$410,2,0)),0,(VLOOKUP(B363,Catalogo!$A$2:$C$410,2,0)))</f>
        <v>0</v>
      </c>
      <c r="B363"/>
      <c r="C363"/>
      <c r="D363"/>
      <c r="E363"/>
      <c r="F363"/>
      <c r="G363"/>
      <c r="H363"/>
      <c r="I363"/>
      <c r="J363"/>
      <c r="K363"/>
      <c r="L363" s="16">
        <f t="shared" si="19"/>
        <v>0</v>
      </c>
      <c r="M363" s="16" t="str">
        <f t="shared" si="21"/>
        <v/>
      </c>
      <c r="N363" s="17">
        <f t="shared" si="20"/>
        <v>0</v>
      </c>
    </row>
    <row r="364" spans="1:14" x14ac:dyDescent="0.2">
      <c r="A364" s="19">
        <f>IF(ISERROR(VLOOKUP(B364,Catalogo!$A$2:$C$410,2,0)),0,(VLOOKUP(B364,Catalogo!$A$2:$C$410,2,0)))</f>
        <v>0</v>
      </c>
      <c r="B364"/>
      <c r="C364"/>
      <c r="D364"/>
      <c r="E364"/>
      <c r="F364"/>
      <c r="G364"/>
      <c r="H364"/>
      <c r="I364"/>
      <c r="J364"/>
      <c r="K364"/>
      <c r="L364" s="16">
        <f t="shared" si="19"/>
        <v>0</v>
      </c>
      <c r="M364" s="16" t="str">
        <f t="shared" si="21"/>
        <v/>
      </c>
      <c r="N364" s="17">
        <f t="shared" si="20"/>
        <v>0</v>
      </c>
    </row>
    <row r="365" spans="1:14" x14ac:dyDescent="0.2">
      <c r="A365" s="19">
        <f>IF(ISERROR(VLOOKUP(B365,Catalogo!$A$2:$C$410,2,0)),0,(VLOOKUP(B365,Catalogo!$A$2:$C$410,2,0)))</f>
        <v>0</v>
      </c>
      <c r="B365"/>
      <c r="C365"/>
      <c r="D365"/>
      <c r="E365"/>
      <c r="F365"/>
      <c r="G365"/>
      <c r="H365"/>
      <c r="I365"/>
      <c r="J365"/>
      <c r="K365"/>
      <c r="L365" s="16">
        <f t="shared" si="19"/>
        <v>0</v>
      </c>
      <c r="M365" s="16" t="str">
        <f t="shared" si="21"/>
        <v/>
      </c>
      <c r="N365" s="17">
        <f t="shared" si="20"/>
        <v>0</v>
      </c>
    </row>
    <row r="366" spans="1:14" x14ac:dyDescent="0.2">
      <c r="A366" s="19">
        <f>IF(ISERROR(VLOOKUP(B366,Catalogo!$A$2:$C$410,2,0)),0,(VLOOKUP(B366,Catalogo!$A$2:$C$410,2,0)))</f>
        <v>0</v>
      </c>
      <c r="B366"/>
      <c r="C366"/>
      <c r="D366"/>
      <c r="E366"/>
      <c r="F366"/>
      <c r="G366"/>
      <c r="H366"/>
      <c r="I366"/>
      <c r="J366"/>
      <c r="K366"/>
      <c r="L366" s="16">
        <f t="shared" si="19"/>
        <v>0</v>
      </c>
      <c r="M366" s="16" t="str">
        <f t="shared" si="21"/>
        <v/>
      </c>
      <c r="N366" s="17">
        <f t="shared" si="20"/>
        <v>0</v>
      </c>
    </row>
    <row r="367" spans="1:14" x14ac:dyDescent="0.2">
      <c r="A367" s="19">
        <f>IF(ISERROR(VLOOKUP(B367,Catalogo!$A$2:$C$410,2,0)),0,(VLOOKUP(B367,Catalogo!$A$2:$C$410,2,0)))</f>
        <v>0</v>
      </c>
      <c r="B367"/>
      <c r="C367"/>
      <c r="D367"/>
      <c r="E367"/>
      <c r="F367"/>
      <c r="G367"/>
      <c r="H367"/>
      <c r="I367"/>
      <c r="J367"/>
      <c r="K367"/>
      <c r="L367" s="16">
        <f t="shared" si="19"/>
        <v>0</v>
      </c>
      <c r="M367" s="16" t="str">
        <f t="shared" si="21"/>
        <v/>
      </c>
      <c r="N367" s="17">
        <f t="shared" si="20"/>
        <v>0</v>
      </c>
    </row>
    <row r="368" spans="1:14" x14ac:dyDescent="0.2">
      <c r="A368" s="19">
        <f>IF(ISERROR(VLOOKUP(B368,Catalogo!$A$2:$C$410,2,0)),0,(VLOOKUP(B368,Catalogo!$A$2:$C$410,2,0)))</f>
        <v>0</v>
      </c>
      <c r="B368"/>
      <c r="C368"/>
      <c r="D368"/>
      <c r="E368"/>
      <c r="F368"/>
      <c r="G368"/>
      <c r="H368"/>
      <c r="I368"/>
      <c r="J368"/>
      <c r="K368"/>
      <c r="L368" s="16">
        <f t="shared" si="19"/>
        <v>0</v>
      </c>
      <c r="M368" s="16" t="str">
        <f t="shared" si="21"/>
        <v/>
      </c>
      <c r="N368" s="17">
        <f t="shared" si="20"/>
        <v>0</v>
      </c>
    </row>
    <row r="369" spans="1:14" x14ac:dyDescent="0.2">
      <c r="A369" s="19">
        <f>IF(ISERROR(VLOOKUP(B369,Catalogo!$A$2:$C$410,2,0)),0,(VLOOKUP(B369,Catalogo!$A$2:$C$410,2,0)))</f>
        <v>0</v>
      </c>
      <c r="B369"/>
      <c r="C369"/>
      <c r="D369"/>
      <c r="E369"/>
      <c r="F369"/>
      <c r="G369"/>
      <c r="H369"/>
      <c r="I369"/>
      <c r="J369"/>
      <c r="K369"/>
      <c r="L369" s="16">
        <f t="shared" si="19"/>
        <v>0</v>
      </c>
      <c r="M369" s="16" t="str">
        <f t="shared" si="21"/>
        <v/>
      </c>
      <c r="N369" s="17">
        <f t="shared" si="20"/>
        <v>0</v>
      </c>
    </row>
    <row r="370" spans="1:14" x14ac:dyDescent="0.2">
      <c r="A370" s="19">
        <f>IF(ISERROR(VLOOKUP(B370,Catalogo!$A$2:$C$410,2,0)),0,(VLOOKUP(B370,Catalogo!$A$2:$C$410,2,0)))</f>
        <v>0</v>
      </c>
      <c r="B370"/>
      <c r="C370"/>
      <c r="D370"/>
      <c r="E370"/>
      <c r="F370"/>
      <c r="G370"/>
      <c r="H370"/>
      <c r="I370"/>
      <c r="J370"/>
      <c r="K370"/>
      <c r="L370" s="16">
        <f t="shared" si="19"/>
        <v>0</v>
      </c>
      <c r="M370" s="16" t="str">
        <f t="shared" si="21"/>
        <v/>
      </c>
      <c r="N370" s="17">
        <f t="shared" si="20"/>
        <v>0</v>
      </c>
    </row>
    <row r="371" spans="1:14" x14ac:dyDescent="0.2">
      <c r="A371" s="19">
        <f>IF(ISERROR(VLOOKUP(B371,Catalogo!$A$2:$C$410,2,0)),0,(VLOOKUP(B371,Catalogo!$A$2:$C$410,2,0)))</f>
        <v>0</v>
      </c>
      <c r="B371"/>
      <c r="C371"/>
      <c r="D371"/>
      <c r="E371"/>
      <c r="F371"/>
      <c r="G371"/>
      <c r="H371"/>
      <c r="I371"/>
      <c r="J371"/>
      <c r="K371"/>
      <c r="L371" s="16">
        <f t="shared" si="19"/>
        <v>0</v>
      </c>
      <c r="M371" s="16" t="str">
        <f t="shared" si="21"/>
        <v/>
      </c>
      <c r="N371" s="17">
        <f t="shared" si="20"/>
        <v>0</v>
      </c>
    </row>
    <row r="372" spans="1:14" x14ac:dyDescent="0.2">
      <c r="A372" s="19">
        <f>IF(ISERROR(VLOOKUP(B372,Catalogo!$A$2:$C$410,2,0)),0,(VLOOKUP(B372,Catalogo!$A$2:$C$410,2,0)))</f>
        <v>0</v>
      </c>
      <c r="B372"/>
      <c r="C372"/>
      <c r="D372"/>
      <c r="E372"/>
      <c r="F372"/>
      <c r="G372"/>
      <c r="H372"/>
      <c r="I372"/>
      <c r="J372"/>
      <c r="K372"/>
      <c r="L372" s="16">
        <f t="shared" si="19"/>
        <v>0</v>
      </c>
      <c r="M372" s="16" t="str">
        <f t="shared" si="21"/>
        <v/>
      </c>
      <c r="N372" s="17">
        <f t="shared" si="20"/>
        <v>0</v>
      </c>
    </row>
    <row r="373" spans="1:14" x14ac:dyDescent="0.2">
      <c r="A373" s="19">
        <f>IF(ISERROR(VLOOKUP(B373,Catalogo!$A$2:$C$410,2,0)),0,(VLOOKUP(B373,Catalogo!$A$2:$C$410,2,0)))</f>
        <v>0</v>
      </c>
      <c r="B373"/>
      <c r="C373"/>
      <c r="D373"/>
      <c r="E373"/>
      <c r="F373"/>
      <c r="G373"/>
      <c r="H373"/>
      <c r="I373"/>
      <c r="J373"/>
      <c r="K373"/>
      <c r="L373" s="16">
        <f t="shared" si="19"/>
        <v>0</v>
      </c>
      <c r="M373" s="16" t="str">
        <f t="shared" si="21"/>
        <v/>
      </c>
      <c r="N373" s="17">
        <f t="shared" si="20"/>
        <v>0</v>
      </c>
    </row>
    <row r="374" spans="1:14" x14ac:dyDescent="0.2">
      <c r="A374" s="19">
        <f>IF(ISERROR(VLOOKUP(B374,Catalogo!$A$2:$C$410,2,0)),0,(VLOOKUP(B374,Catalogo!$A$2:$C$410,2,0)))</f>
        <v>0</v>
      </c>
      <c r="B374"/>
      <c r="C374"/>
      <c r="D374"/>
      <c r="E374"/>
      <c r="F374"/>
      <c r="G374"/>
      <c r="H374"/>
      <c r="I374"/>
      <c r="J374"/>
      <c r="K374"/>
      <c r="L374" s="16">
        <f t="shared" si="19"/>
        <v>0</v>
      </c>
      <c r="M374" s="16" t="str">
        <f t="shared" si="21"/>
        <v/>
      </c>
      <c r="N374" s="17">
        <f t="shared" si="20"/>
        <v>0</v>
      </c>
    </row>
    <row r="375" spans="1:14" x14ac:dyDescent="0.2">
      <c r="A375" s="19">
        <f>IF(ISERROR(VLOOKUP(B375,Catalogo!$A$2:$C$410,2,0)),0,(VLOOKUP(B375,Catalogo!$A$2:$C$410,2,0)))</f>
        <v>0</v>
      </c>
      <c r="B375"/>
      <c r="C375"/>
      <c r="D375"/>
      <c r="E375"/>
      <c r="F375"/>
      <c r="G375"/>
      <c r="H375"/>
      <c r="I375"/>
      <c r="J375"/>
      <c r="K375"/>
      <c r="L375" s="16">
        <f t="shared" si="19"/>
        <v>0</v>
      </c>
      <c r="M375" s="16" t="str">
        <f t="shared" si="21"/>
        <v/>
      </c>
      <c r="N375" s="17">
        <f t="shared" si="20"/>
        <v>0</v>
      </c>
    </row>
    <row r="376" spans="1:14" x14ac:dyDescent="0.2">
      <c r="A376" s="19">
        <f>IF(ISERROR(VLOOKUP(B376,Catalogo!$A$2:$C$410,2,0)),0,(VLOOKUP(B376,Catalogo!$A$2:$C$410,2,0)))</f>
        <v>0</v>
      </c>
      <c r="B376"/>
      <c r="C376"/>
      <c r="D376"/>
      <c r="E376"/>
      <c r="F376"/>
      <c r="G376"/>
      <c r="H376"/>
      <c r="I376"/>
      <c r="J376"/>
      <c r="K376"/>
      <c r="L376" s="16">
        <f t="shared" si="19"/>
        <v>0</v>
      </c>
      <c r="M376" s="16" t="str">
        <f t="shared" si="21"/>
        <v/>
      </c>
      <c r="N376" s="17">
        <f t="shared" si="20"/>
        <v>0</v>
      </c>
    </row>
    <row r="377" spans="1:14" x14ac:dyDescent="0.2">
      <c r="A377" s="19">
        <f>IF(ISERROR(VLOOKUP(B377,Catalogo!$A$2:$C$410,2,0)),0,(VLOOKUP(B377,Catalogo!$A$2:$C$410,2,0)))</f>
        <v>0</v>
      </c>
      <c r="B377"/>
      <c r="C377"/>
      <c r="D377"/>
      <c r="E377"/>
      <c r="F377"/>
      <c r="G377"/>
      <c r="H377"/>
      <c r="I377"/>
      <c r="J377"/>
      <c r="K377"/>
      <c r="L377" s="16">
        <f t="shared" si="19"/>
        <v>0</v>
      </c>
      <c r="M377" s="16" t="str">
        <f t="shared" si="21"/>
        <v/>
      </c>
      <c r="N377" s="17">
        <f t="shared" si="20"/>
        <v>0</v>
      </c>
    </row>
    <row r="378" spans="1:14" x14ac:dyDescent="0.2">
      <c r="A378" s="19">
        <f>IF(ISERROR(VLOOKUP(B378,Catalogo!$A$2:$C$410,2,0)),0,(VLOOKUP(B378,Catalogo!$A$2:$C$410,2,0)))</f>
        <v>0</v>
      </c>
      <c r="B378"/>
      <c r="C378"/>
      <c r="D378"/>
      <c r="E378"/>
      <c r="F378"/>
      <c r="G378"/>
      <c r="H378"/>
      <c r="I378"/>
      <c r="J378"/>
      <c r="K378"/>
      <c r="L378" s="16">
        <f t="shared" si="19"/>
        <v>0</v>
      </c>
      <c r="M378" s="16" t="str">
        <f t="shared" si="21"/>
        <v/>
      </c>
      <c r="N378" s="17">
        <f t="shared" si="20"/>
        <v>0</v>
      </c>
    </row>
    <row r="379" spans="1:14" x14ac:dyDescent="0.2">
      <c r="A379" s="19">
        <f>IF(ISERROR(VLOOKUP(B379,Catalogo!$A$2:$C$410,2,0)),0,(VLOOKUP(B379,Catalogo!$A$2:$C$410,2,0)))</f>
        <v>0</v>
      </c>
      <c r="B379"/>
      <c r="C379"/>
      <c r="D379"/>
      <c r="E379"/>
      <c r="F379"/>
      <c r="G379"/>
      <c r="H379"/>
      <c r="I379"/>
      <c r="J379"/>
      <c r="K379"/>
      <c r="L379" s="16">
        <f t="shared" si="19"/>
        <v>0</v>
      </c>
      <c r="M379" s="16" t="str">
        <f t="shared" si="21"/>
        <v/>
      </c>
      <c r="N379" s="17">
        <f t="shared" si="20"/>
        <v>0</v>
      </c>
    </row>
    <row r="380" spans="1:14" x14ac:dyDescent="0.2">
      <c r="A380" s="19">
        <f>IF(ISERROR(VLOOKUP(B380,Catalogo!$A$2:$C$410,2,0)),0,(VLOOKUP(B380,Catalogo!$A$2:$C$410,2,0)))</f>
        <v>0</v>
      </c>
      <c r="B380"/>
      <c r="C380"/>
      <c r="D380"/>
      <c r="E380"/>
      <c r="F380"/>
      <c r="G380"/>
      <c r="H380"/>
      <c r="I380"/>
      <c r="J380"/>
      <c r="K380"/>
      <c r="L380" s="16">
        <f t="shared" si="19"/>
        <v>0</v>
      </c>
      <c r="M380" s="16" t="str">
        <f t="shared" si="21"/>
        <v/>
      </c>
      <c r="N380" s="17">
        <f t="shared" si="20"/>
        <v>0</v>
      </c>
    </row>
    <row r="381" spans="1:14" x14ac:dyDescent="0.2">
      <c r="A381" s="19">
        <f>IF(ISERROR(VLOOKUP(B381,Catalogo!$A$2:$C$410,2,0)),0,(VLOOKUP(B381,Catalogo!$A$2:$C$410,2,0)))</f>
        <v>0</v>
      </c>
      <c r="B381"/>
      <c r="C381"/>
      <c r="D381"/>
      <c r="E381"/>
      <c r="F381"/>
      <c r="G381"/>
      <c r="H381"/>
      <c r="I381"/>
      <c r="J381"/>
      <c r="K381"/>
      <c r="L381" s="16">
        <f t="shared" si="19"/>
        <v>0</v>
      </c>
      <c r="M381" s="16" t="str">
        <f t="shared" si="21"/>
        <v/>
      </c>
      <c r="N381" s="17">
        <f t="shared" si="20"/>
        <v>0</v>
      </c>
    </row>
    <row r="382" spans="1:14" x14ac:dyDescent="0.2">
      <c r="A382" s="19">
        <f>IF(ISERROR(VLOOKUP(B382,Catalogo!$A$2:$C$410,2,0)),0,(VLOOKUP(B382,Catalogo!$A$2:$C$410,2,0)))</f>
        <v>0</v>
      </c>
      <c r="B382"/>
      <c r="C382"/>
      <c r="D382"/>
      <c r="E382"/>
      <c r="F382"/>
      <c r="G382"/>
      <c r="H382"/>
      <c r="I382"/>
      <c r="J382"/>
      <c r="K382"/>
      <c r="L382" s="16">
        <f t="shared" si="19"/>
        <v>0</v>
      </c>
      <c r="M382" s="16" t="str">
        <f t="shared" si="21"/>
        <v/>
      </c>
      <c r="N382" s="17">
        <f t="shared" si="20"/>
        <v>0</v>
      </c>
    </row>
    <row r="383" spans="1:14" x14ac:dyDescent="0.2">
      <c r="A383" s="19">
        <f>IF(ISERROR(VLOOKUP(B383,Catalogo!$A$2:$C$410,2,0)),0,(VLOOKUP(B383,Catalogo!$A$2:$C$410,2,0)))</f>
        <v>0</v>
      </c>
      <c r="B383"/>
      <c r="C383"/>
      <c r="D383"/>
      <c r="E383"/>
      <c r="F383"/>
      <c r="G383"/>
      <c r="H383"/>
      <c r="I383"/>
      <c r="J383"/>
      <c r="K383"/>
      <c r="L383" s="16">
        <f t="shared" si="19"/>
        <v>0</v>
      </c>
      <c r="M383" s="16" t="str">
        <f t="shared" si="21"/>
        <v/>
      </c>
      <c r="N383" s="17">
        <f t="shared" si="20"/>
        <v>0</v>
      </c>
    </row>
    <row r="384" spans="1:14" x14ac:dyDescent="0.2">
      <c r="A384" s="19">
        <f>IF(ISERROR(VLOOKUP(B384,Catalogo!$A$2:$C$410,2,0)),0,(VLOOKUP(B384,Catalogo!$A$2:$C$410,2,0)))</f>
        <v>0</v>
      </c>
      <c r="B384"/>
      <c r="C384"/>
      <c r="D384"/>
      <c r="E384"/>
      <c r="F384"/>
      <c r="G384"/>
      <c r="H384"/>
      <c r="I384"/>
      <c r="J384"/>
      <c r="K384"/>
      <c r="L384" s="16">
        <f t="shared" si="19"/>
        <v>0</v>
      </c>
      <c r="M384" s="16" t="str">
        <f t="shared" si="21"/>
        <v/>
      </c>
      <c r="N384" s="17">
        <f t="shared" si="20"/>
        <v>0</v>
      </c>
    </row>
    <row r="385" spans="1:14" x14ac:dyDescent="0.2">
      <c r="A385" s="19">
        <f>IF(ISERROR(VLOOKUP(B385,Catalogo!$A$2:$C$410,2,0)),0,(VLOOKUP(B385,Catalogo!$A$2:$C$410,2,0)))</f>
        <v>0</v>
      </c>
      <c r="B385"/>
      <c r="C385"/>
      <c r="D385"/>
      <c r="E385"/>
      <c r="F385"/>
      <c r="G385"/>
      <c r="H385"/>
      <c r="I385"/>
      <c r="J385"/>
      <c r="K385"/>
      <c r="L385" s="16">
        <f t="shared" si="19"/>
        <v>0</v>
      </c>
      <c r="M385" s="16" t="str">
        <f t="shared" si="21"/>
        <v/>
      </c>
      <c r="N385" s="17">
        <f t="shared" si="20"/>
        <v>0</v>
      </c>
    </row>
    <row r="386" spans="1:14" x14ac:dyDescent="0.2">
      <c r="A386" s="19">
        <f>IF(ISERROR(VLOOKUP(B386,Catalogo!$A$2:$C$410,2,0)),0,(VLOOKUP(B386,Catalogo!$A$2:$C$410,2,0)))</f>
        <v>0</v>
      </c>
      <c r="B386"/>
      <c r="C386"/>
      <c r="D386"/>
      <c r="E386"/>
      <c r="F386"/>
      <c r="G386"/>
      <c r="H386"/>
      <c r="I386"/>
      <c r="J386"/>
      <c r="K386"/>
      <c r="L386" s="16">
        <f t="shared" ref="L386:L449" si="22">IF(A386="Record Keeping",B386,0)</f>
        <v>0</v>
      </c>
      <c r="M386" s="16" t="str">
        <f t="shared" si="21"/>
        <v/>
      </c>
      <c r="N386" s="17">
        <f t="shared" ref="N386:N449" si="23">IF(G386="CAN",F386*0,IF(M386="R",F386*-1,F386*1)*AND(A386="Record Keeping"))</f>
        <v>0</v>
      </c>
    </row>
    <row r="387" spans="1:14" x14ac:dyDescent="0.2">
      <c r="A387" s="19">
        <f>IF(ISERROR(VLOOKUP(B387,Catalogo!$A$2:$C$410,2,0)),0,(VLOOKUP(B387,Catalogo!$A$2:$C$410,2,0)))</f>
        <v>0</v>
      </c>
      <c r="B387"/>
      <c r="C387"/>
      <c r="D387"/>
      <c r="E387"/>
      <c r="F387"/>
      <c r="G387"/>
      <c r="H387"/>
      <c r="I387"/>
      <c r="J387"/>
      <c r="K387"/>
      <c r="L387" s="16">
        <f t="shared" si="22"/>
        <v>0</v>
      </c>
      <c r="M387" s="16" t="str">
        <f t="shared" si="21"/>
        <v/>
      </c>
      <c r="N387" s="17">
        <f t="shared" si="23"/>
        <v>0</v>
      </c>
    </row>
    <row r="388" spans="1:14" x14ac:dyDescent="0.2">
      <c r="A388" s="19">
        <f>IF(ISERROR(VLOOKUP(B388,Catalogo!$A$2:$C$410,2,0)),0,(VLOOKUP(B388,Catalogo!$A$2:$C$410,2,0)))</f>
        <v>0</v>
      </c>
      <c r="B388"/>
      <c r="C388"/>
      <c r="D388"/>
      <c r="E388"/>
      <c r="F388"/>
      <c r="G388"/>
      <c r="H388"/>
      <c r="I388"/>
      <c r="J388"/>
      <c r="K388"/>
      <c r="L388" s="16">
        <f t="shared" si="22"/>
        <v>0</v>
      </c>
      <c r="M388" s="16" t="str">
        <f t="shared" si="21"/>
        <v/>
      </c>
      <c r="N388" s="17">
        <f t="shared" si="23"/>
        <v>0</v>
      </c>
    </row>
    <row r="389" spans="1:14" x14ac:dyDescent="0.2">
      <c r="A389" s="19">
        <f>IF(ISERROR(VLOOKUP(B389,Catalogo!$A$2:$C$410,2,0)),0,(VLOOKUP(B389,Catalogo!$A$2:$C$410,2,0)))</f>
        <v>0</v>
      </c>
      <c r="B389"/>
      <c r="C389"/>
      <c r="D389"/>
      <c r="E389"/>
      <c r="F389"/>
      <c r="G389"/>
      <c r="H389"/>
      <c r="I389"/>
      <c r="J389"/>
      <c r="K389"/>
      <c r="L389" s="16">
        <f t="shared" si="22"/>
        <v>0</v>
      </c>
      <c r="M389" s="16" t="str">
        <f t="shared" si="21"/>
        <v/>
      </c>
      <c r="N389" s="17">
        <f t="shared" si="23"/>
        <v>0</v>
      </c>
    </row>
    <row r="390" spans="1:14" x14ac:dyDescent="0.2">
      <c r="A390" s="19">
        <f>IF(ISERROR(VLOOKUP(B390,Catalogo!$A$2:$C$410,2,0)),0,(VLOOKUP(B390,Catalogo!$A$2:$C$410,2,0)))</f>
        <v>0</v>
      </c>
      <c r="B390"/>
      <c r="C390"/>
      <c r="D390"/>
      <c r="E390"/>
      <c r="F390"/>
      <c r="G390"/>
      <c r="H390"/>
      <c r="I390"/>
      <c r="J390"/>
      <c r="K390"/>
      <c r="L390" s="16">
        <f t="shared" si="22"/>
        <v>0</v>
      </c>
      <c r="M390" s="16" t="str">
        <f t="shared" si="21"/>
        <v/>
      </c>
      <c r="N390" s="17">
        <f t="shared" si="23"/>
        <v>0</v>
      </c>
    </row>
    <row r="391" spans="1:14" x14ac:dyDescent="0.2">
      <c r="A391" s="19">
        <f>IF(ISERROR(VLOOKUP(B391,Catalogo!$A$2:$C$410,2,0)),0,(VLOOKUP(B391,Catalogo!$A$2:$C$410,2,0)))</f>
        <v>0</v>
      </c>
      <c r="B391"/>
      <c r="C391"/>
      <c r="D391"/>
      <c r="E391"/>
      <c r="F391"/>
      <c r="G391"/>
      <c r="H391"/>
      <c r="I391"/>
      <c r="J391"/>
      <c r="K391"/>
      <c r="L391" s="16">
        <f t="shared" si="22"/>
        <v>0</v>
      </c>
      <c r="M391" s="16" t="str">
        <f t="shared" ref="M391:M454" si="24">LEFT(E391,1)</f>
        <v/>
      </c>
      <c r="N391" s="17">
        <f t="shared" si="23"/>
        <v>0</v>
      </c>
    </row>
    <row r="392" spans="1:14" x14ac:dyDescent="0.2">
      <c r="A392" s="19">
        <f>IF(ISERROR(VLOOKUP(B392,Catalogo!$A$2:$C$410,2,0)),0,(VLOOKUP(B392,Catalogo!$A$2:$C$410,2,0)))</f>
        <v>0</v>
      </c>
      <c r="B392"/>
      <c r="C392"/>
      <c r="D392"/>
      <c r="E392"/>
      <c r="F392"/>
      <c r="G392"/>
      <c r="H392"/>
      <c r="I392"/>
      <c r="J392"/>
      <c r="K392"/>
      <c r="L392" s="16">
        <f t="shared" si="22"/>
        <v>0</v>
      </c>
      <c r="M392" s="16" t="str">
        <f t="shared" si="24"/>
        <v/>
      </c>
      <c r="N392" s="17">
        <f t="shared" si="23"/>
        <v>0</v>
      </c>
    </row>
    <row r="393" spans="1:14" x14ac:dyDescent="0.2">
      <c r="A393" s="19">
        <f>IF(ISERROR(VLOOKUP(B393,Catalogo!$A$2:$C$410,2,0)),0,(VLOOKUP(B393,Catalogo!$A$2:$C$410,2,0)))</f>
        <v>0</v>
      </c>
      <c r="B393"/>
      <c r="C393"/>
      <c r="D393"/>
      <c r="E393"/>
      <c r="F393"/>
      <c r="G393"/>
      <c r="H393"/>
      <c r="I393"/>
      <c r="J393"/>
      <c r="K393"/>
      <c r="L393" s="16">
        <f t="shared" si="22"/>
        <v>0</v>
      </c>
      <c r="M393" s="16" t="str">
        <f t="shared" si="24"/>
        <v/>
      </c>
      <c r="N393" s="17">
        <f t="shared" si="23"/>
        <v>0</v>
      </c>
    </row>
    <row r="394" spans="1:14" x14ac:dyDescent="0.2">
      <c r="A394" s="19">
        <f>IF(ISERROR(VLOOKUP(B394,Catalogo!$A$2:$C$410,2,0)),0,(VLOOKUP(B394,Catalogo!$A$2:$C$410,2,0)))</f>
        <v>0</v>
      </c>
      <c r="B394"/>
      <c r="C394"/>
      <c r="D394"/>
      <c r="E394"/>
      <c r="F394"/>
      <c r="G394"/>
      <c r="H394"/>
      <c r="I394"/>
      <c r="J394"/>
      <c r="K394"/>
      <c r="L394" s="16">
        <f t="shared" si="22"/>
        <v>0</v>
      </c>
      <c r="M394" s="16" t="str">
        <f t="shared" si="24"/>
        <v/>
      </c>
      <c r="N394" s="17">
        <f t="shared" si="23"/>
        <v>0</v>
      </c>
    </row>
    <row r="395" spans="1:14" x14ac:dyDescent="0.2">
      <c r="A395" s="19">
        <f>IF(ISERROR(VLOOKUP(B395,Catalogo!$A$2:$C$410,2,0)),0,(VLOOKUP(B395,Catalogo!$A$2:$C$410,2,0)))</f>
        <v>0</v>
      </c>
      <c r="B395"/>
      <c r="C395"/>
      <c r="D395"/>
      <c r="E395"/>
      <c r="F395"/>
      <c r="G395"/>
      <c r="H395"/>
      <c r="I395"/>
      <c r="J395"/>
      <c r="K395"/>
      <c r="L395" s="16">
        <f t="shared" si="22"/>
        <v>0</v>
      </c>
      <c r="M395" s="16" t="str">
        <f t="shared" si="24"/>
        <v/>
      </c>
      <c r="N395" s="17">
        <f t="shared" si="23"/>
        <v>0</v>
      </c>
    </row>
    <row r="396" spans="1:14" x14ac:dyDescent="0.2">
      <c r="A396" s="19">
        <f>IF(ISERROR(VLOOKUP(B396,Catalogo!$A$2:$C$410,2,0)),0,(VLOOKUP(B396,Catalogo!$A$2:$C$410,2,0)))</f>
        <v>0</v>
      </c>
      <c r="B396"/>
      <c r="C396"/>
      <c r="D396"/>
      <c r="E396"/>
      <c r="F396"/>
      <c r="G396"/>
      <c r="H396"/>
      <c r="I396"/>
      <c r="J396"/>
      <c r="K396"/>
      <c r="L396" s="16">
        <f t="shared" si="22"/>
        <v>0</v>
      </c>
      <c r="M396" s="16" t="str">
        <f t="shared" si="24"/>
        <v/>
      </c>
      <c r="N396" s="17">
        <f t="shared" si="23"/>
        <v>0</v>
      </c>
    </row>
    <row r="397" spans="1:14" x14ac:dyDescent="0.2">
      <c r="A397" s="19">
        <f>IF(ISERROR(VLOOKUP(B397,Catalogo!$A$2:$C$410,2,0)),0,(VLOOKUP(B397,Catalogo!$A$2:$C$410,2,0)))</f>
        <v>0</v>
      </c>
      <c r="B397"/>
      <c r="C397"/>
      <c r="D397"/>
      <c r="E397"/>
      <c r="F397"/>
      <c r="G397"/>
      <c r="H397"/>
      <c r="I397"/>
      <c r="J397"/>
      <c r="K397"/>
      <c r="L397" s="16">
        <f t="shared" si="22"/>
        <v>0</v>
      </c>
      <c r="M397" s="16" t="str">
        <f t="shared" si="24"/>
        <v/>
      </c>
      <c r="N397" s="17">
        <f t="shared" si="23"/>
        <v>0</v>
      </c>
    </row>
    <row r="398" spans="1:14" x14ac:dyDescent="0.2">
      <c r="A398" s="19">
        <f>IF(ISERROR(VLOOKUP(B398,Catalogo!$A$2:$C$410,2,0)),0,(VLOOKUP(B398,Catalogo!$A$2:$C$410,2,0)))</f>
        <v>0</v>
      </c>
      <c r="B398"/>
      <c r="C398"/>
      <c r="D398"/>
      <c r="E398"/>
      <c r="F398"/>
      <c r="G398"/>
      <c r="H398"/>
      <c r="I398"/>
      <c r="J398"/>
      <c r="K398"/>
      <c r="L398" s="16">
        <f t="shared" si="22"/>
        <v>0</v>
      </c>
      <c r="M398" s="16" t="str">
        <f t="shared" si="24"/>
        <v/>
      </c>
      <c r="N398" s="17">
        <f t="shared" si="23"/>
        <v>0</v>
      </c>
    </row>
    <row r="399" spans="1:14" x14ac:dyDescent="0.2">
      <c r="A399" s="19">
        <f>IF(ISERROR(VLOOKUP(B399,Catalogo!$A$2:$C$410,2,0)),0,(VLOOKUP(B399,Catalogo!$A$2:$C$410,2,0)))</f>
        <v>0</v>
      </c>
      <c r="B399"/>
      <c r="C399"/>
      <c r="D399"/>
      <c r="E399"/>
      <c r="F399"/>
      <c r="G399"/>
      <c r="H399"/>
      <c r="I399"/>
      <c r="J399"/>
      <c r="K399"/>
      <c r="L399" s="16">
        <f t="shared" si="22"/>
        <v>0</v>
      </c>
      <c r="M399" s="16" t="str">
        <f t="shared" si="24"/>
        <v/>
      </c>
      <c r="N399" s="17">
        <f t="shared" si="23"/>
        <v>0</v>
      </c>
    </row>
    <row r="400" spans="1:14" x14ac:dyDescent="0.2">
      <c r="A400" s="19">
        <f>IF(ISERROR(VLOOKUP(B400,Catalogo!$A$2:$C$410,2,0)),0,(VLOOKUP(B400,Catalogo!$A$2:$C$410,2,0)))</f>
        <v>0</v>
      </c>
      <c r="B400"/>
      <c r="C400"/>
      <c r="D400"/>
      <c r="E400"/>
      <c r="F400"/>
      <c r="G400"/>
      <c r="H400"/>
      <c r="I400"/>
      <c r="J400"/>
      <c r="K400"/>
      <c r="L400" s="16">
        <f t="shared" si="22"/>
        <v>0</v>
      </c>
      <c r="M400" s="16" t="str">
        <f t="shared" si="24"/>
        <v/>
      </c>
      <c r="N400" s="17">
        <f t="shared" si="23"/>
        <v>0</v>
      </c>
    </row>
    <row r="401" spans="1:14" x14ac:dyDescent="0.2">
      <c r="A401" s="19">
        <f>IF(ISERROR(VLOOKUP(B401,Catalogo!$A$2:$C$410,2,0)),0,(VLOOKUP(B401,Catalogo!$A$2:$C$410,2,0)))</f>
        <v>0</v>
      </c>
      <c r="B401"/>
      <c r="C401"/>
      <c r="D401"/>
      <c r="E401"/>
      <c r="F401"/>
      <c r="G401"/>
      <c r="H401"/>
      <c r="I401"/>
      <c r="J401"/>
      <c r="K401"/>
      <c r="L401" s="16">
        <f t="shared" si="22"/>
        <v>0</v>
      </c>
      <c r="M401" s="16" t="str">
        <f t="shared" si="24"/>
        <v/>
      </c>
      <c r="N401" s="17">
        <f t="shared" si="23"/>
        <v>0</v>
      </c>
    </row>
    <row r="402" spans="1:14" x14ac:dyDescent="0.2">
      <c r="A402" s="19">
        <f>IF(ISERROR(VLOOKUP(B402,Catalogo!$A$2:$C$410,2,0)),0,(VLOOKUP(B402,Catalogo!$A$2:$C$410,2,0)))</f>
        <v>0</v>
      </c>
      <c r="B402"/>
      <c r="C402"/>
      <c r="D402"/>
      <c r="E402"/>
      <c r="F402"/>
      <c r="G402"/>
      <c r="H402"/>
      <c r="I402"/>
      <c r="J402"/>
      <c r="K402"/>
      <c r="L402" s="16">
        <f t="shared" si="22"/>
        <v>0</v>
      </c>
      <c r="M402" s="16" t="str">
        <f t="shared" si="24"/>
        <v/>
      </c>
      <c r="N402" s="17">
        <f t="shared" si="23"/>
        <v>0</v>
      </c>
    </row>
    <row r="403" spans="1:14" x14ac:dyDescent="0.2">
      <c r="A403" s="19">
        <f>IF(ISERROR(VLOOKUP(B403,Catalogo!$A$2:$C$410,2,0)),0,(VLOOKUP(B403,Catalogo!$A$2:$C$410,2,0)))</f>
        <v>0</v>
      </c>
      <c r="B403"/>
      <c r="C403"/>
      <c r="D403"/>
      <c r="E403"/>
      <c r="F403"/>
      <c r="G403"/>
      <c r="H403"/>
      <c r="I403"/>
      <c r="J403"/>
      <c r="K403"/>
      <c r="L403" s="16">
        <f t="shared" si="22"/>
        <v>0</v>
      </c>
      <c r="M403" s="16" t="str">
        <f t="shared" si="24"/>
        <v/>
      </c>
      <c r="N403" s="17">
        <f t="shared" si="23"/>
        <v>0</v>
      </c>
    </row>
    <row r="404" spans="1:14" x14ac:dyDescent="0.2">
      <c r="A404" s="19">
        <f>IF(ISERROR(VLOOKUP(B404,Catalogo!$A$2:$C$410,2,0)),0,(VLOOKUP(B404,Catalogo!$A$2:$C$410,2,0)))</f>
        <v>0</v>
      </c>
      <c r="B404"/>
      <c r="C404"/>
      <c r="D404"/>
      <c r="E404"/>
      <c r="F404"/>
      <c r="G404"/>
      <c r="H404"/>
      <c r="I404"/>
      <c r="J404"/>
      <c r="K404"/>
      <c r="L404" s="16">
        <f t="shared" si="22"/>
        <v>0</v>
      </c>
      <c r="M404" s="16" t="str">
        <f t="shared" si="24"/>
        <v/>
      </c>
      <c r="N404" s="17">
        <f t="shared" si="23"/>
        <v>0</v>
      </c>
    </row>
    <row r="405" spans="1:14" x14ac:dyDescent="0.2">
      <c r="A405" s="19">
        <f>IF(ISERROR(VLOOKUP(B405,Catalogo!$A$2:$C$410,2,0)),0,(VLOOKUP(B405,Catalogo!$A$2:$C$410,2,0)))</f>
        <v>0</v>
      </c>
      <c r="B405"/>
      <c r="C405"/>
      <c r="D405"/>
      <c r="E405"/>
      <c r="F405"/>
      <c r="G405"/>
      <c r="H405"/>
      <c r="I405"/>
      <c r="J405"/>
      <c r="K405"/>
      <c r="L405" s="16">
        <f t="shared" si="22"/>
        <v>0</v>
      </c>
      <c r="M405" s="16" t="str">
        <f t="shared" si="24"/>
        <v/>
      </c>
      <c r="N405" s="17">
        <f t="shared" si="23"/>
        <v>0</v>
      </c>
    </row>
    <row r="406" spans="1:14" x14ac:dyDescent="0.2">
      <c r="A406" s="19">
        <f>IF(ISERROR(VLOOKUP(B406,Catalogo!$A$2:$C$410,2,0)),0,(VLOOKUP(B406,Catalogo!$A$2:$C$410,2,0)))</f>
        <v>0</v>
      </c>
      <c r="B406"/>
      <c r="C406"/>
      <c r="D406"/>
      <c r="E406"/>
      <c r="F406"/>
      <c r="G406"/>
      <c r="H406"/>
      <c r="I406"/>
      <c r="J406"/>
      <c r="K406"/>
      <c r="L406" s="16">
        <f t="shared" si="22"/>
        <v>0</v>
      </c>
      <c r="M406" s="16" t="str">
        <f t="shared" si="24"/>
        <v/>
      </c>
      <c r="N406" s="17">
        <f t="shared" si="23"/>
        <v>0</v>
      </c>
    </row>
    <row r="407" spans="1:14" x14ac:dyDescent="0.2">
      <c r="A407" s="19">
        <f>IF(ISERROR(VLOOKUP(B407,Catalogo!$A$2:$C$410,2,0)),0,(VLOOKUP(B407,Catalogo!$A$2:$C$410,2,0)))</f>
        <v>0</v>
      </c>
      <c r="B407"/>
      <c r="C407"/>
      <c r="D407"/>
      <c r="E407"/>
      <c r="F407"/>
      <c r="G407"/>
      <c r="H407"/>
      <c r="I407"/>
      <c r="J407"/>
      <c r="K407"/>
      <c r="L407" s="16">
        <f t="shared" si="22"/>
        <v>0</v>
      </c>
      <c r="M407" s="16" t="str">
        <f t="shared" si="24"/>
        <v/>
      </c>
      <c r="N407" s="17">
        <f t="shared" si="23"/>
        <v>0</v>
      </c>
    </row>
    <row r="408" spans="1:14" x14ac:dyDescent="0.2">
      <c r="A408" s="19">
        <f>IF(ISERROR(VLOOKUP(B408,Catalogo!$A$2:$C$410,2,0)),0,(VLOOKUP(B408,Catalogo!$A$2:$C$410,2,0)))</f>
        <v>0</v>
      </c>
      <c r="B408"/>
      <c r="C408"/>
      <c r="D408"/>
      <c r="E408"/>
      <c r="F408"/>
      <c r="G408"/>
      <c r="H408"/>
      <c r="I408"/>
      <c r="J408"/>
      <c r="K408"/>
      <c r="L408" s="16">
        <f t="shared" si="22"/>
        <v>0</v>
      </c>
      <c r="M408" s="16" t="str">
        <f t="shared" si="24"/>
        <v/>
      </c>
      <c r="N408" s="17">
        <f t="shared" si="23"/>
        <v>0</v>
      </c>
    </row>
    <row r="409" spans="1:14" x14ac:dyDescent="0.2">
      <c r="A409" s="19">
        <f>IF(ISERROR(VLOOKUP(B409,Catalogo!$A$2:$C$410,2,0)),0,(VLOOKUP(B409,Catalogo!$A$2:$C$410,2,0)))</f>
        <v>0</v>
      </c>
      <c r="B409"/>
      <c r="C409"/>
      <c r="D409"/>
      <c r="E409"/>
      <c r="F409"/>
      <c r="G409"/>
      <c r="H409"/>
      <c r="I409"/>
      <c r="J409"/>
      <c r="K409"/>
      <c r="L409" s="16">
        <f t="shared" si="22"/>
        <v>0</v>
      </c>
      <c r="M409" s="16" t="str">
        <f t="shared" si="24"/>
        <v/>
      </c>
      <c r="N409" s="17">
        <f t="shared" si="23"/>
        <v>0</v>
      </c>
    </row>
    <row r="410" spans="1:14" x14ac:dyDescent="0.2">
      <c r="A410" s="19">
        <f>IF(ISERROR(VLOOKUP(B410,Catalogo!$A$2:$C$410,2,0)),0,(VLOOKUP(B410,Catalogo!$A$2:$C$410,2,0)))</f>
        <v>0</v>
      </c>
      <c r="B410"/>
      <c r="C410"/>
      <c r="D410"/>
      <c r="E410"/>
      <c r="F410"/>
      <c r="G410"/>
      <c r="H410"/>
      <c r="I410"/>
      <c r="J410"/>
      <c r="K410"/>
      <c r="L410" s="16">
        <f t="shared" si="22"/>
        <v>0</v>
      </c>
      <c r="M410" s="16" t="str">
        <f t="shared" si="24"/>
        <v/>
      </c>
      <c r="N410" s="17">
        <f t="shared" si="23"/>
        <v>0</v>
      </c>
    </row>
    <row r="411" spans="1:14" x14ac:dyDescent="0.2">
      <c r="A411" s="19">
        <f>IF(ISERROR(VLOOKUP(B411,Catalogo!$A$2:$C$410,2,0)),0,(VLOOKUP(B411,Catalogo!$A$2:$C$410,2,0)))</f>
        <v>0</v>
      </c>
      <c r="B411"/>
      <c r="C411"/>
      <c r="D411"/>
      <c r="E411"/>
      <c r="F411"/>
      <c r="G411"/>
      <c r="H411"/>
      <c r="I411"/>
      <c r="J411"/>
      <c r="K411"/>
      <c r="L411" s="16">
        <f t="shared" si="22"/>
        <v>0</v>
      </c>
      <c r="M411" s="16" t="str">
        <f t="shared" si="24"/>
        <v/>
      </c>
      <c r="N411" s="17">
        <f t="shared" si="23"/>
        <v>0</v>
      </c>
    </row>
    <row r="412" spans="1:14" x14ac:dyDescent="0.2">
      <c r="A412" s="19">
        <f>IF(ISERROR(VLOOKUP(B412,Catalogo!$A$2:$C$410,2,0)),0,(VLOOKUP(B412,Catalogo!$A$2:$C$410,2,0)))</f>
        <v>0</v>
      </c>
      <c r="B412"/>
      <c r="C412"/>
      <c r="D412"/>
      <c r="E412"/>
      <c r="F412"/>
      <c r="G412"/>
      <c r="H412"/>
      <c r="I412"/>
      <c r="J412"/>
      <c r="K412"/>
      <c r="L412" s="16">
        <f t="shared" si="22"/>
        <v>0</v>
      </c>
      <c r="M412" s="16" t="str">
        <f t="shared" si="24"/>
        <v/>
      </c>
      <c r="N412" s="17">
        <f t="shared" si="23"/>
        <v>0</v>
      </c>
    </row>
    <row r="413" spans="1:14" x14ac:dyDescent="0.2">
      <c r="A413" s="19">
        <f>IF(ISERROR(VLOOKUP(B413,Catalogo!$A$2:$C$410,2,0)),0,(VLOOKUP(B413,Catalogo!$A$2:$C$410,2,0)))</f>
        <v>0</v>
      </c>
      <c r="B413"/>
      <c r="C413"/>
      <c r="D413"/>
      <c r="E413"/>
      <c r="F413"/>
      <c r="G413"/>
      <c r="H413"/>
      <c r="I413"/>
      <c r="J413"/>
      <c r="K413"/>
      <c r="L413" s="16">
        <f t="shared" si="22"/>
        <v>0</v>
      </c>
      <c r="M413" s="16" t="str">
        <f t="shared" si="24"/>
        <v/>
      </c>
      <c r="N413" s="17">
        <f t="shared" si="23"/>
        <v>0</v>
      </c>
    </row>
    <row r="414" spans="1:14" x14ac:dyDescent="0.2">
      <c r="A414" s="19">
        <f>IF(ISERROR(VLOOKUP(B414,Catalogo!$A$2:$C$410,2,0)),0,(VLOOKUP(B414,Catalogo!$A$2:$C$410,2,0)))</f>
        <v>0</v>
      </c>
      <c r="B414"/>
      <c r="C414"/>
      <c r="D414"/>
      <c r="E414"/>
      <c r="F414"/>
      <c r="G414"/>
      <c r="H414"/>
      <c r="I414"/>
      <c r="J414"/>
      <c r="K414"/>
      <c r="L414" s="16">
        <f t="shared" si="22"/>
        <v>0</v>
      </c>
      <c r="M414" s="16" t="str">
        <f t="shared" si="24"/>
        <v/>
      </c>
      <c r="N414" s="17">
        <f t="shared" si="23"/>
        <v>0</v>
      </c>
    </row>
    <row r="415" spans="1:14" x14ac:dyDescent="0.2">
      <c r="A415" s="19">
        <f>IF(ISERROR(VLOOKUP(B415,Catalogo!$A$2:$C$410,2,0)),0,(VLOOKUP(B415,Catalogo!$A$2:$C$410,2,0)))</f>
        <v>0</v>
      </c>
      <c r="B415"/>
      <c r="C415"/>
      <c r="D415"/>
      <c r="E415"/>
      <c r="F415"/>
      <c r="G415"/>
      <c r="H415"/>
      <c r="I415"/>
      <c r="J415"/>
      <c r="K415"/>
      <c r="L415" s="16">
        <f t="shared" si="22"/>
        <v>0</v>
      </c>
      <c r="M415" s="16" t="str">
        <f t="shared" si="24"/>
        <v/>
      </c>
      <c r="N415" s="17">
        <f t="shared" si="23"/>
        <v>0</v>
      </c>
    </row>
    <row r="416" spans="1:14" x14ac:dyDescent="0.2">
      <c r="A416" s="19">
        <f>IF(ISERROR(VLOOKUP(B416,Catalogo!$A$2:$C$410,2,0)),0,(VLOOKUP(B416,Catalogo!$A$2:$C$410,2,0)))</f>
        <v>0</v>
      </c>
      <c r="B416"/>
      <c r="C416"/>
      <c r="D416"/>
      <c r="E416"/>
      <c r="F416"/>
      <c r="G416"/>
      <c r="H416"/>
      <c r="I416"/>
      <c r="J416"/>
      <c r="K416"/>
      <c r="L416" s="16">
        <f t="shared" si="22"/>
        <v>0</v>
      </c>
      <c r="M416" s="16" t="str">
        <f t="shared" si="24"/>
        <v/>
      </c>
      <c r="N416" s="17">
        <f t="shared" si="23"/>
        <v>0</v>
      </c>
    </row>
    <row r="417" spans="1:14" x14ac:dyDescent="0.2">
      <c r="A417" s="19">
        <f>IF(ISERROR(VLOOKUP(B417,Catalogo!$A$2:$C$410,2,0)),0,(VLOOKUP(B417,Catalogo!$A$2:$C$410,2,0)))</f>
        <v>0</v>
      </c>
      <c r="B417"/>
      <c r="C417"/>
      <c r="D417"/>
      <c r="E417"/>
      <c r="F417"/>
      <c r="G417"/>
      <c r="H417"/>
      <c r="I417"/>
      <c r="J417"/>
      <c r="K417"/>
      <c r="L417" s="16">
        <f t="shared" si="22"/>
        <v>0</v>
      </c>
      <c r="M417" s="16" t="str">
        <f t="shared" si="24"/>
        <v/>
      </c>
      <c r="N417" s="17">
        <f t="shared" si="23"/>
        <v>0</v>
      </c>
    </row>
    <row r="418" spans="1:14" x14ac:dyDescent="0.2">
      <c r="A418" s="19">
        <f>IF(ISERROR(VLOOKUP(B418,Catalogo!$A$2:$C$410,2,0)),0,(VLOOKUP(B418,Catalogo!$A$2:$C$410,2,0)))</f>
        <v>0</v>
      </c>
      <c r="B418"/>
      <c r="C418"/>
      <c r="D418"/>
      <c r="E418"/>
      <c r="F418"/>
      <c r="G418"/>
      <c r="H418"/>
      <c r="I418"/>
      <c r="J418"/>
      <c r="K418"/>
      <c r="L418" s="16">
        <f t="shared" si="22"/>
        <v>0</v>
      </c>
      <c r="M418" s="16" t="str">
        <f t="shared" si="24"/>
        <v/>
      </c>
      <c r="N418" s="17">
        <f t="shared" si="23"/>
        <v>0</v>
      </c>
    </row>
    <row r="419" spans="1:14" x14ac:dyDescent="0.2">
      <c r="A419" s="19">
        <f>IF(ISERROR(VLOOKUP(B419,Catalogo!$A$2:$C$410,2,0)),0,(VLOOKUP(B419,Catalogo!$A$2:$C$410,2,0)))</f>
        <v>0</v>
      </c>
      <c r="B419"/>
      <c r="C419"/>
      <c r="D419"/>
      <c r="E419"/>
      <c r="F419"/>
      <c r="G419"/>
      <c r="H419"/>
      <c r="I419"/>
      <c r="J419"/>
      <c r="K419"/>
      <c r="L419" s="16">
        <f t="shared" si="22"/>
        <v>0</v>
      </c>
      <c r="M419" s="16" t="str">
        <f t="shared" si="24"/>
        <v/>
      </c>
      <c r="N419" s="17">
        <f t="shared" si="23"/>
        <v>0</v>
      </c>
    </row>
    <row r="420" spans="1:14" x14ac:dyDescent="0.2">
      <c r="A420" s="19">
        <f>IF(ISERROR(VLOOKUP(B420,Catalogo!$A$2:$C$410,2,0)),0,(VLOOKUP(B420,Catalogo!$A$2:$C$410,2,0)))</f>
        <v>0</v>
      </c>
      <c r="B420"/>
      <c r="C420"/>
      <c r="D420"/>
      <c r="E420"/>
      <c r="F420"/>
      <c r="G420"/>
      <c r="H420"/>
      <c r="I420"/>
      <c r="J420"/>
      <c r="K420"/>
      <c r="L420" s="16">
        <f t="shared" si="22"/>
        <v>0</v>
      </c>
      <c r="M420" s="16" t="str">
        <f t="shared" si="24"/>
        <v/>
      </c>
      <c r="N420" s="17">
        <f t="shared" si="23"/>
        <v>0</v>
      </c>
    </row>
    <row r="421" spans="1:14" x14ac:dyDescent="0.2">
      <c r="A421" s="19">
        <f>IF(ISERROR(VLOOKUP(B421,Catalogo!$A$2:$C$410,2,0)),0,(VLOOKUP(B421,Catalogo!$A$2:$C$410,2,0)))</f>
        <v>0</v>
      </c>
      <c r="B421"/>
      <c r="C421"/>
      <c r="D421"/>
      <c r="E421"/>
      <c r="F421"/>
      <c r="G421"/>
      <c r="H421"/>
      <c r="I421"/>
      <c r="J421"/>
      <c r="K421"/>
      <c r="L421" s="16">
        <f t="shared" si="22"/>
        <v>0</v>
      </c>
      <c r="M421" s="16" t="str">
        <f t="shared" si="24"/>
        <v/>
      </c>
      <c r="N421" s="17">
        <f t="shared" si="23"/>
        <v>0</v>
      </c>
    </row>
    <row r="422" spans="1:14" x14ac:dyDescent="0.2">
      <c r="A422" s="19">
        <f>IF(ISERROR(VLOOKUP(B422,Catalogo!$A$2:$C$410,2,0)),0,(VLOOKUP(B422,Catalogo!$A$2:$C$410,2,0)))</f>
        <v>0</v>
      </c>
      <c r="B422"/>
      <c r="C422"/>
      <c r="D422"/>
      <c r="E422"/>
      <c r="F422"/>
      <c r="G422"/>
      <c r="H422"/>
      <c r="I422"/>
      <c r="J422"/>
      <c r="K422"/>
      <c r="L422" s="16">
        <f t="shared" si="22"/>
        <v>0</v>
      </c>
      <c r="M422" s="16" t="str">
        <f t="shared" si="24"/>
        <v/>
      </c>
      <c r="N422" s="17">
        <f t="shared" si="23"/>
        <v>0</v>
      </c>
    </row>
    <row r="423" spans="1:14" x14ac:dyDescent="0.2">
      <c r="A423" s="19">
        <f>IF(ISERROR(VLOOKUP(B423,Catalogo!$A$2:$C$410,2,0)),0,(VLOOKUP(B423,Catalogo!$A$2:$C$410,2,0)))</f>
        <v>0</v>
      </c>
      <c r="B423"/>
      <c r="C423"/>
      <c r="D423"/>
      <c r="E423"/>
      <c r="F423"/>
      <c r="G423"/>
      <c r="H423"/>
      <c r="I423"/>
      <c r="J423"/>
      <c r="K423"/>
      <c r="L423" s="16">
        <f t="shared" si="22"/>
        <v>0</v>
      </c>
      <c r="M423" s="16" t="str">
        <f t="shared" si="24"/>
        <v/>
      </c>
      <c r="N423" s="17">
        <f t="shared" si="23"/>
        <v>0</v>
      </c>
    </row>
    <row r="424" spans="1:14" x14ac:dyDescent="0.2">
      <c r="A424" s="19">
        <f>IF(ISERROR(VLOOKUP(B424,Catalogo!$A$2:$C$410,2,0)),0,(VLOOKUP(B424,Catalogo!$A$2:$C$410,2,0)))</f>
        <v>0</v>
      </c>
      <c r="B424"/>
      <c r="C424"/>
      <c r="D424"/>
      <c r="E424"/>
      <c r="F424"/>
      <c r="G424"/>
      <c r="H424"/>
      <c r="I424"/>
      <c r="J424"/>
      <c r="K424"/>
      <c r="L424" s="16">
        <f t="shared" si="22"/>
        <v>0</v>
      </c>
      <c r="M424" s="16" t="str">
        <f t="shared" si="24"/>
        <v/>
      </c>
      <c r="N424" s="17">
        <f t="shared" si="23"/>
        <v>0</v>
      </c>
    </row>
    <row r="425" spans="1:14" x14ac:dyDescent="0.2">
      <c r="A425" s="19">
        <f>IF(ISERROR(VLOOKUP(B425,Catalogo!$A$2:$C$410,2,0)),0,(VLOOKUP(B425,Catalogo!$A$2:$C$410,2,0)))</f>
        <v>0</v>
      </c>
      <c r="B425"/>
      <c r="C425"/>
      <c r="D425"/>
      <c r="E425"/>
      <c r="F425"/>
      <c r="G425"/>
      <c r="H425"/>
      <c r="I425"/>
      <c r="J425"/>
      <c r="K425"/>
      <c r="L425" s="16">
        <f t="shared" si="22"/>
        <v>0</v>
      </c>
      <c r="M425" s="16" t="str">
        <f t="shared" si="24"/>
        <v/>
      </c>
      <c r="N425" s="17">
        <f t="shared" si="23"/>
        <v>0</v>
      </c>
    </row>
    <row r="426" spans="1:14" x14ac:dyDescent="0.2">
      <c r="A426" s="19">
        <f>IF(ISERROR(VLOOKUP(B426,Catalogo!$A$2:$C$410,2,0)),0,(VLOOKUP(B426,Catalogo!$A$2:$C$410,2,0)))</f>
        <v>0</v>
      </c>
      <c r="B426"/>
      <c r="C426"/>
      <c r="D426"/>
      <c r="E426"/>
      <c r="F426"/>
      <c r="G426"/>
      <c r="H426"/>
      <c r="I426"/>
      <c r="J426"/>
      <c r="K426"/>
      <c r="L426" s="16">
        <f t="shared" si="22"/>
        <v>0</v>
      </c>
      <c r="M426" s="16" t="str">
        <f t="shared" si="24"/>
        <v/>
      </c>
      <c r="N426" s="17">
        <f t="shared" si="23"/>
        <v>0</v>
      </c>
    </row>
    <row r="427" spans="1:14" x14ac:dyDescent="0.2">
      <c r="A427" s="19">
        <f>IF(ISERROR(VLOOKUP(B427,Catalogo!$A$2:$C$410,2,0)),0,(VLOOKUP(B427,Catalogo!$A$2:$C$410,2,0)))</f>
        <v>0</v>
      </c>
      <c r="B427"/>
      <c r="C427"/>
      <c r="D427"/>
      <c r="E427"/>
      <c r="F427"/>
      <c r="G427"/>
      <c r="H427"/>
      <c r="I427"/>
      <c r="J427"/>
      <c r="K427"/>
      <c r="L427" s="16">
        <f t="shared" si="22"/>
        <v>0</v>
      </c>
      <c r="M427" s="16" t="str">
        <f t="shared" si="24"/>
        <v/>
      </c>
      <c r="N427" s="17">
        <f t="shared" si="23"/>
        <v>0</v>
      </c>
    </row>
    <row r="428" spans="1:14" x14ac:dyDescent="0.2">
      <c r="A428" s="19">
        <f>IF(ISERROR(VLOOKUP(B428,Catalogo!$A$2:$C$410,2,0)),0,(VLOOKUP(B428,Catalogo!$A$2:$C$410,2,0)))</f>
        <v>0</v>
      </c>
      <c r="B428"/>
      <c r="C428"/>
      <c r="D428"/>
      <c r="E428"/>
      <c r="F428"/>
      <c r="G428"/>
      <c r="H428"/>
      <c r="I428"/>
      <c r="J428"/>
      <c r="K428"/>
      <c r="L428" s="16">
        <f t="shared" si="22"/>
        <v>0</v>
      </c>
      <c r="M428" s="16" t="str">
        <f t="shared" si="24"/>
        <v/>
      </c>
      <c r="N428" s="17">
        <f t="shared" si="23"/>
        <v>0</v>
      </c>
    </row>
    <row r="429" spans="1:14" x14ac:dyDescent="0.2">
      <c r="A429" s="19">
        <f>IF(ISERROR(VLOOKUP(B429,Catalogo!$A$2:$C$410,2,0)),0,(VLOOKUP(B429,Catalogo!$A$2:$C$410,2,0)))</f>
        <v>0</v>
      </c>
      <c r="B429"/>
      <c r="C429"/>
      <c r="D429"/>
      <c r="E429"/>
      <c r="F429"/>
      <c r="G429"/>
      <c r="H429"/>
      <c r="I429"/>
      <c r="J429"/>
      <c r="K429"/>
      <c r="L429" s="16">
        <f t="shared" si="22"/>
        <v>0</v>
      </c>
      <c r="M429" s="16" t="str">
        <f t="shared" si="24"/>
        <v/>
      </c>
      <c r="N429" s="17">
        <f t="shared" si="23"/>
        <v>0</v>
      </c>
    </row>
    <row r="430" spans="1:14" x14ac:dyDescent="0.2">
      <c r="A430" s="19">
        <f>IF(ISERROR(VLOOKUP(B430,Catalogo!$A$2:$C$410,2,0)),0,(VLOOKUP(B430,Catalogo!$A$2:$C$410,2,0)))</f>
        <v>0</v>
      </c>
      <c r="B430"/>
      <c r="C430"/>
      <c r="D430"/>
      <c r="E430"/>
      <c r="F430"/>
      <c r="G430"/>
      <c r="H430"/>
      <c r="I430"/>
      <c r="J430"/>
      <c r="K430"/>
      <c r="L430" s="16">
        <f t="shared" si="22"/>
        <v>0</v>
      </c>
      <c r="M430" s="16" t="str">
        <f t="shared" si="24"/>
        <v/>
      </c>
      <c r="N430" s="17">
        <f t="shared" si="23"/>
        <v>0</v>
      </c>
    </row>
    <row r="431" spans="1:14" x14ac:dyDescent="0.2">
      <c r="A431" s="19">
        <f>IF(ISERROR(VLOOKUP(B431,Catalogo!$A$2:$C$410,2,0)),0,(VLOOKUP(B431,Catalogo!$A$2:$C$410,2,0)))</f>
        <v>0</v>
      </c>
      <c r="B431"/>
      <c r="C431"/>
      <c r="D431"/>
      <c r="E431"/>
      <c r="F431"/>
      <c r="G431"/>
      <c r="H431"/>
      <c r="I431"/>
      <c r="J431"/>
      <c r="K431"/>
      <c r="L431" s="16">
        <f t="shared" si="22"/>
        <v>0</v>
      </c>
      <c r="M431" s="16" t="str">
        <f t="shared" si="24"/>
        <v/>
      </c>
      <c r="N431" s="17">
        <f t="shared" si="23"/>
        <v>0</v>
      </c>
    </row>
    <row r="432" spans="1:14" x14ac:dyDescent="0.2">
      <c r="A432" s="19">
        <f>IF(ISERROR(VLOOKUP(B432,Catalogo!$A$2:$C$410,2,0)),0,(VLOOKUP(B432,Catalogo!$A$2:$C$410,2,0)))</f>
        <v>0</v>
      </c>
      <c r="B432"/>
      <c r="C432"/>
      <c r="D432"/>
      <c r="E432"/>
      <c r="F432"/>
      <c r="G432"/>
      <c r="H432"/>
      <c r="I432"/>
      <c r="J432"/>
      <c r="K432"/>
      <c r="L432" s="16">
        <f t="shared" si="22"/>
        <v>0</v>
      </c>
      <c r="M432" s="16" t="str">
        <f t="shared" si="24"/>
        <v/>
      </c>
      <c r="N432" s="17">
        <f t="shared" si="23"/>
        <v>0</v>
      </c>
    </row>
    <row r="433" spans="1:14" x14ac:dyDescent="0.2">
      <c r="A433" s="19">
        <f>IF(ISERROR(VLOOKUP(B433,Catalogo!$A$2:$C$410,2,0)),0,(VLOOKUP(B433,Catalogo!$A$2:$C$410,2,0)))</f>
        <v>0</v>
      </c>
      <c r="B433"/>
      <c r="C433"/>
      <c r="D433"/>
      <c r="E433"/>
      <c r="F433"/>
      <c r="G433"/>
      <c r="H433"/>
      <c r="I433"/>
      <c r="J433"/>
      <c r="K433"/>
      <c r="L433" s="16">
        <f t="shared" si="22"/>
        <v>0</v>
      </c>
      <c r="M433" s="16" t="str">
        <f t="shared" si="24"/>
        <v/>
      </c>
      <c r="N433" s="17">
        <f t="shared" si="23"/>
        <v>0</v>
      </c>
    </row>
    <row r="434" spans="1:14" x14ac:dyDescent="0.2">
      <c r="A434" s="19">
        <f>IF(ISERROR(VLOOKUP(B434,Catalogo!$A$2:$C$410,2,0)),0,(VLOOKUP(B434,Catalogo!$A$2:$C$410,2,0)))</f>
        <v>0</v>
      </c>
      <c r="B434"/>
      <c r="C434"/>
      <c r="D434"/>
      <c r="E434"/>
      <c r="F434"/>
      <c r="G434"/>
      <c r="H434"/>
      <c r="I434"/>
      <c r="J434"/>
      <c r="K434"/>
      <c r="L434" s="16">
        <f t="shared" si="22"/>
        <v>0</v>
      </c>
      <c r="M434" s="16" t="str">
        <f t="shared" si="24"/>
        <v/>
      </c>
      <c r="N434" s="17">
        <f t="shared" si="23"/>
        <v>0</v>
      </c>
    </row>
    <row r="435" spans="1:14" x14ac:dyDescent="0.2">
      <c r="A435" s="19">
        <f>IF(ISERROR(VLOOKUP(B435,Catalogo!$A$2:$C$410,2,0)),0,(VLOOKUP(B435,Catalogo!$A$2:$C$410,2,0)))</f>
        <v>0</v>
      </c>
      <c r="B435"/>
      <c r="C435"/>
      <c r="D435"/>
      <c r="E435"/>
      <c r="F435"/>
      <c r="G435"/>
      <c r="H435"/>
      <c r="I435"/>
      <c r="J435"/>
      <c r="K435"/>
      <c r="L435" s="16">
        <f t="shared" si="22"/>
        <v>0</v>
      </c>
      <c r="M435" s="16" t="str">
        <f t="shared" si="24"/>
        <v/>
      </c>
      <c r="N435" s="17">
        <f t="shared" si="23"/>
        <v>0</v>
      </c>
    </row>
    <row r="436" spans="1:14" x14ac:dyDescent="0.2">
      <c r="A436" s="19">
        <f>IF(ISERROR(VLOOKUP(B436,Catalogo!$A$2:$C$410,2,0)),0,(VLOOKUP(B436,Catalogo!$A$2:$C$410,2,0)))</f>
        <v>0</v>
      </c>
      <c r="B436"/>
      <c r="C436"/>
      <c r="D436"/>
      <c r="E436"/>
      <c r="F436"/>
      <c r="G436"/>
      <c r="H436"/>
      <c r="I436"/>
      <c r="J436"/>
      <c r="K436"/>
      <c r="L436" s="16">
        <f t="shared" si="22"/>
        <v>0</v>
      </c>
      <c r="M436" s="16" t="str">
        <f t="shared" si="24"/>
        <v/>
      </c>
      <c r="N436" s="17">
        <f t="shared" si="23"/>
        <v>0</v>
      </c>
    </row>
    <row r="437" spans="1:14" x14ac:dyDescent="0.2">
      <c r="A437" s="19">
        <f>IF(ISERROR(VLOOKUP(B437,Catalogo!$A$2:$C$410,2,0)),0,(VLOOKUP(B437,Catalogo!$A$2:$C$410,2,0)))</f>
        <v>0</v>
      </c>
      <c r="B437"/>
      <c r="C437"/>
      <c r="D437"/>
      <c r="E437"/>
      <c r="F437"/>
      <c r="G437"/>
      <c r="H437"/>
      <c r="I437"/>
      <c r="J437"/>
      <c r="K437"/>
      <c r="L437" s="16">
        <f t="shared" si="22"/>
        <v>0</v>
      </c>
      <c r="M437" s="16" t="str">
        <f t="shared" si="24"/>
        <v/>
      </c>
      <c r="N437" s="17">
        <f t="shared" si="23"/>
        <v>0</v>
      </c>
    </row>
    <row r="438" spans="1:14" x14ac:dyDescent="0.2">
      <c r="A438" s="19">
        <f>IF(ISERROR(VLOOKUP(B438,Catalogo!$A$2:$C$410,2,0)),0,(VLOOKUP(B438,Catalogo!$A$2:$C$410,2,0)))</f>
        <v>0</v>
      </c>
      <c r="B438"/>
      <c r="C438"/>
      <c r="D438"/>
      <c r="E438"/>
      <c r="F438"/>
      <c r="G438"/>
      <c r="H438"/>
      <c r="I438"/>
      <c r="J438"/>
      <c r="K438"/>
      <c r="L438" s="16">
        <f t="shared" si="22"/>
        <v>0</v>
      </c>
      <c r="M438" s="16" t="str">
        <f t="shared" si="24"/>
        <v/>
      </c>
      <c r="N438" s="17">
        <f t="shared" si="23"/>
        <v>0</v>
      </c>
    </row>
    <row r="439" spans="1:14" x14ac:dyDescent="0.2">
      <c r="A439" s="19">
        <f>IF(ISERROR(VLOOKUP(B439,Catalogo!$A$2:$C$410,2,0)),0,(VLOOKUP(B439,Catalogo!$A$2:$C$410,2,0)))</f>
        <v>0</v>
      </c>
      <c r="B439"/>
      <c r="C439"/>
      <c r="D439"/>
      <c r="E439"/>
      <c r="F439"/>
      <c r="G439"/>
      <c r="H439"/>
      <c r="I439"/>
      <c r="J439"/>
      <c r="K439"/>
      <c r="L439" s="16">
        <f t="shared" si="22"/>
        <v>0</v>
      </c>
      <c r="M439" s="16" t="str">
        <f t="shared" si="24"/>
        <v/>
      </c>
      <c r="N439" s="17">
        <f t="shared" si="23"/>
        <v>0</v>
      </c>
    </row>
    <row r="440" spans="1:14" x14ac:dyDescent="0.2">
      <c r="A440" s="19">
        <f>IF(ISERROR(VLOOKUP(B440,Catalogo!$A$2:$C$410,2,0)),0,(VLOOKUP(B440,Catalogo!$A$2:$C$410,2,0)))</f>
        <v>0</v>
      </c>
      <c r="B440"/>
      <c r="C440"/>
      <c r="D440"/>
      <c r="E440"/>
      <c r="F440"/>
      <c r="G440"/>
      <c r="H440"/>
      <c r="I440"/>
      <c r="J440"/>
      <c r="K440"/>
      <c r="L440" s="16">
        <f t="shared" si="22"/>
        <v>0</v>
      </c>
      <c r="M440" s="16" t="str">
        <f t="shared" si="24"/>
        <v/>
      </c>
      <c r="N440" s="17">
        <f t="shared" si="23"/>
        <v>0</v>
      </c>
    </row>
    <row r="441" spans="1:14" x14ac:dyDescent="0.2">
      <c r="A441" s="19">
        <f>IF(ISERROR(VLOOKUP(B441,Catalogo!$A$2:$C$410,2,0)),0,(VLOOKUP(B441,Catalogo!$A$2:$C$410,2,0)))</f>
        <v>0</v>
      </c>
      <c r="B441"/>
      <c r="C441"/>
      <c r="D441"/>
      <c r="E441"/>
      <c r="F441"/>
      <c r="G441"/>
      <c r="H441"/>
      <c r="I441"/>
      <c r="J441"/>
      <c r="K441"/>
      <c r="L441" s="16">
        <f t="shared" si="22"/>
        <v>0</v>
      </c>
      <c r="M441" s="16" t="str">
        <f t="shared" si="24"/>
        <v/>
      </c>
      <c r="N441" s="17">
        <f t="shared" si="23"/>
        <v>0</v>
      </c>
    </row>
    <row r="442" spans="1:14" x14ac:dyDescent="0.2">
      <c r="A442" s="19">
        <f>IF(ISERROR(VLOOKUP(B442,Catalogo!$A$2:$C$410,2,0)),0,(VLOOKUP(B442,Catalogo!$A$2:$C$410,2,0)))</f>
        <v>0</v>
      </c>
      <c r="B442"/>
      <c r="C442"/>
      <c r="D442"/>
      <c r="E442"/>
      <c r="F442"/>
      <c r="G442"/>
      <c r="H442"/>
      <c r="I442"/>
      <c r="J442"/>
      <c r="K442"/>
      <c r="L442" s="16">
        <f t="shared" si="22"/>
        <v>0</v>
      </c>
      <c r="M442" s="16" t="str">
        <f t="shared" si="24"/>
        <v/>
      </c>
      <c r="N442" s="17">
        <f t="shared" si="23"/>
        <v>0</v>
      </c>
    </row>
    <row r="443" spans="1:14" x14ac:dyDescent="0.2">
      <c r="A443" s="19">
        <f>IF(ISERROR(VLOOKUP(B443,Catalogo!$A$2:$C$410,2,0)),0,(VLOOKUP(B443,Catalogo!$A$2:$C$410,2,0)))</f>
        <v>0</v>
      </c>
      <c r="B443"/>
      <c r="C443"/>
      <c r="D443"/>
      <c r="E443"/>
      <c r="F443"/>
      <c r="G443"/>
      <c r="H443"/>
      <c r="I443"/>
      <c r="J443"/>
      <c r="K443"/>
      <c r="L443" s="16">
        <f t="shared" si="22"/>
        <v>0</v>
      </c>
      <c r="M443" s="16" t="str">
        <f t="shared" si="24"/>
        <v/>
      </c>
      <c r="N443" s="17">
        <f t="shared" si="23"/>
        <v>0</v>
      </c>
    </row>
    <row r="444" spans="1:14" x14ac:dyDescent="0.2">
      <c r="A444" s="19">
        <f>IF(ISERROR(VLOOKUP(B444,Catalogo!$A$2:$C$410,2,0)),0,(VLOOKUP(B444,Catalogo!$A$2:$C$410,2,0)))</f>
        <v>0</v>
      </c>
      <c r="B444"/>
      <c r="C444"/>
      <c r="D444"/>
      <c r="E444"/>
      <c r="F444"/>
      <c r="G444"/>
      <c r="H444"/>
      <c r="I444"/>
      <c r="J444"/>
      <c r="K444"/>
      <c r="L444" s="16">
        <f t="shared" si="22"/>
        <v>0</v>
      </c>
      <c r="M444" s="16" t="str">
        <f t="shared" si="24"/>
        <v/>
      </c>
      <c r="N444" s="17">
        <f t="shared" si="23"/>
        <v>0</v>
      </c>
    </row>
    <row r="445" spans="1:14" x14ac:dyDescent="0.2">
      <c r="A445" s="19">
        <f>IF(ISERROR(VLOOKUP(B445,Catalogo!$A$2:$C$410,2,0)),0,(VLOOKUP(B445,Catalogo!$A$2:$C$410,2,0)))</f>
        <v>0</v>
      </c>
      <c r="B445"/>
      <c r="C445"/>
      <c r="D445"/>
      <c r="E445"/>
      <c r="F445"/>
      <c r="G445"/>
      <c r="H445"/>
      <c r="I445"/>
      <c r="J445"/>
      <c r="K445"/>
      <c r="L445" s="16">
        <f t="shared" si="22"/>
        <v>0</v>
      </c>
      <c r="M445" s="16" t="str">
        <f t="shared" si="24"/>
        <v/>
      </c>
      <c r="N445" s="17">
        <f t="shared" si="23"/>
        <v>0</v>
      </c>
    </row>
    <row r="446" spans="1:14" x14ac:dyDescent="0.2">
      <c r="A446" s="19">
        <f>IF(ISERROR(VLOOKUP(B446,Catalogo!$A$2:$C$410,2,0)),0,(VLOOKUP(B446,Catalogo!$A$2:$C$410,2,0)))</f>
        <v>0</v>
      </c>
      <c r="B446"/>
      <c r="C446"/>
      <c r="D446"/>
      <c r="E446"/>
      <c r="F446"/>
      <c r="G446"/>
      <c r="H446"/>
      <c r="I446"/>
      <c r="J446"/>
      <c r="K446"/>
      <c r="L446" s="16">
        <f t="shared" si="22"/>
        <v>0</v>
      </c>
      <c r="M446" s="16" t="str">
        <f t="shared" si="24"/>
        <v/>
      </c>
      <c r="N446" s="17">
        <f t="shared" si="23"/>
        <v>0</v>
      </c>
    </row>
    <row r="447" spans="1:14" x14ac:dyDescent="0.2">
      <c r="A447" s="19">
        <f>IF(ISERROR(VLOOKUP(B447,Catalogo!$A$2:$C$410,2,0)),0,(VLOOKUP(B447,Catalogo!$A$2:$C$410,2,0)))</f>
        <v>0</v>
      </c>
      <c r="B447"/>
      <c r="C447"/>
      <c r="D447"/>
      <c r="E447"/>
      <c r="F447"/>
      <c r="G447"/>
      <c r="H447"/>
      <c r="I447"/>
      <c r="J447"/>
      <c r="K447"/>
      <c r="L447" s="16">
        <f t="shared" si="22"/>
        <v>0</v>
      </c>
      <c r="M447" s="16" t="str">
        <f t="shared" si="24"/>
        <v/>
      </c>
      <c r="N447" s="17">
        <f t="shared" si="23"/>
        <v>0</v>
      </c>
    </row>
    <row r="448" spans="1:14" x14ac:dyDescent="0.2">
      <c r="A448" s="19">
        <f>IF(ISERROR(VLOOKUP(B448,Catalogo!$A$2:$C$410,2,0)),0,(VLOOKUP(B448,Catalogo!$A$2:$C$410,2,0)))</f>
        <v>0</v>
      </c>
      <c r="B448"/>
      <c r="C448"/>
      <c r="D448"/>
      <c r="E448"/>
      <c r="F448"/>
      <c r="G448"/>
      <c r="H448"/>
      <c r="I448"/>
      <c r="J448"/>
      <c r="K448"/>
      <c r="L448" s="16">
        <f t="shared" si="22"/>
        <v>0</v>
      </c>
      <c r="M448" s="16" t="str">
        <f t="shared" si="24"/>
        <v/>
      </c>
      <c r="N448" s="17">
        <f t="shared" si="23"/>
        <v>0</v>
      </c>
    </row>
    <row r="449" spans="1:14" x14ac:dyDescent="0.2">
      <c r="A449" s="19">
        <f>IF(ISERROR(VLOOKUP(B449,Catalogo!$A$2:$C$410,2,0)),0,(VLOOKUP(B449,Catalogo!$A$2:$C$410,2,0)))</f>
        <v>0</v>
      </c>
      <c r="B449"/>
      <c r="C449"/>
      <c r="D449"/>
      <c r="E449"/>
      <c r="F449"/>
      <c r="G449"/>
      <c r="H449"/>
      <c r="I449"/>
      <c r="J449"/>
      <c r="K449"/>
      <c r="L449" s="16">
        <f t="shared" si="22"/>
        <v>0</v>
      </c>
      <c r="M449" s="16" t="str">
        <f t="shared" si="24"/>
        <v/>
      </c>
      <c r="N449" s="17">
        <f t="shared" si="23"/>
        <v>0</v>
      </c>
    </row>
    <row r="450" spans="1:14" x14ac:dyDescent="0.2">
      <c r="A450" s="19">
        <f>IF(ISERROR(VLOOKUP(B450,Catalogo!$A$2:$C$410,2,0)),0,(VLOOKUP(B450,Catalogo!$A$2:$C$410,2,0)))</f>
        <v>0</v>
      </c>
      <c r="B450"/>
      <c r="C450"/>
      <c r="D450"/>
      <c r="E450"/>
      <c r="F450"/>
      <c r="G450"/>
      <c r="H450"/>
      <c r="I450"/>
      <c r="J450"/>
      <c r="K450"/>
      <c r="L450" s="16">
        <f t="shared" ref="L450:L513" si="25">IF(A450="Record Keeping",B450,0)</f>
        <v>0</v>
      </c>
      <c r="M450" s="16" t="str">
        <f t="shared" si="24"/>
        <v/>
      </c>
      <c r="N450" s="17">
        <f t="shared" ref="N450:N513" si="26">IF(G450="CAN",F450*0,IF(M450="R",F450*-1,F450*1)*AND(A450="Record Keeping"))</f>
        <v>0</v>
      </c>
    </row>
    <row r="451" spans="1:14" x14ac:dyDescent="0.2">
      <c r="A451" s="19">
        <f>IF(ISERROR(VLOOKUP(B451,Catalogo!$A$2:$C$410,2,0)),0,(VLOOKUP(B451,Catalogo!$A$2:$C$410,2,0)))</f>
        <v>0</v>
      </c>
      <c r="B451"/>
      <c r="C451"/>
      <c r="D451"/>
      <c r="E451"/>
      <c r="F451"/>
      <c r="G451"/>
      <c r="H451"/>
      <c r="I451"/>
      <c r="J451"/>
      <c r="K451"/>
      <c r="L451" s="16">
        <f t="shared" si="25"/>
        <v>0</v>
      </c>
      <c r="M451" s="16" t="str">
        <f t="shared" si="24"/>
        <v/>
      </c>
      <c r="N451" s="17">
        <f t="shared" si="26"/>
        <v>0</v>
      </c>
    </row>
    <row r="452" spans="1:14" x14ac:dyDescent="0.2">
      <c r="A452" s="19">
        <f>IF(ISERROR(VLOOKUP(B452,Catalogo!$A$2:$C$410,2,0)),0,(VLOOKUP(B452,Catalogo!$A$2:$C$410,2,0)))</f>
        <v>0</v>
      </c>
      <c r="B452"/>
      <c r="C452"/>
      <c r="D452"/>
      <c r="E452"/>
      <c r="F452"/>
      <c r="G452"/>
      <c r="H452"/>
      <c r="I452"/>
      <c r="J452"/>
      <c r="K452"/>
      <c r="L452" s="16">
        <f t="shared" si="25"/>
        <v>0</v>
      </c>
      <c r="M452" s="16" t="str">
        <f t="shared" si="24"/>
        <v/>
      </c>
      <c r="N452" s="17">
        <f t="shared" si="26"/>
        <v>0</v>
      </c>
    </row>
    <row r="453" spans="1:14" x14ac:dyDescent="0.2">
      <c r="A453" s="19">
        <f>IF(ISERROR(VLOOKUP(B453,Catalogo!$A$2:$C$410,2,0)),0,(VLOOKUP(B453,Catalogo!$A$2:$C$410,2,0)))</f>
        <v>0</v>
      </c>
      <c r="B453"/>
      <c r="C453"/>
      <c r="D453"/>
      <c r="E453"/>
      <c r="F453"/>
      <c r="G453"/>
      <c r="H453"/>
      <c r="I453"/>
      <c r="J453"/>
      <c r="K453"/>
      <c r="L453" s="16">
        <f t="shared" si="25"/>
        <v>0</v>
      </c>
      <c r="M453" s="16" t="str">
        <f t="shared" si="24"/>
        <v/>
      </c>
      <c r="N453" s="17">
        <f t="shared" si="26"/>
        <v>0</v>
      </c>
    </row>
    <row r="454" spans="1:14" x14ac:dyDescent="0.2">
      <c r="A454" s="19">
        <f>IF(ISERROR(VLOOKUP(B454,Catalogo!$A$2:$C$410,2,0)),0,(VLOOKUP(B454,Catalogo!$A$2:$C$410,2,0)))</f>
        <v>0</v>
      </c>
      <c r="B454"/>
      <c r="C454"/>
      <c r="D454"/>
      <c r="E454"/>
      <c r="F454"/>
      <c r="G454"/>
      <c r="H454"/>
      <c r="I454"/>
      <c r="J454"/>
      <c r="K454"/>
      <c r="L454" s="16">
        <f t="shared" si="25"/>
        <v>0</v>
      </c>
      <c r="M454" s="16" t="str">
        <f t="shared" si="24"/>
        <v/>
      </c>
      <c r="N454" s="17">
        <f t="shared" si="26"/>
        <v>0</v>
      </c>
    </row>
    <row r="455" spans="1:14" x14ac:dyDescent="0.2">
      <c r="A455" s="19">
        <f>IF(ISERROR(VLOOKUP(B455,Catalogo!$A$2:$C$410,2,0)),0,(VLOOKUP(B455,Catalogo!$A$2:$C$410,2,0)))</f>
        <v>0</v>
      </c>
      <c r="B455"/>
      <c r="C455"/>
      <c r="D455"/>
      <c r="E455"/>
      <c r="F455"/>
      <c r="G455"/>
      <c r="H455"/>
      <c r="I455"/>
      <c r="J455"/>
      <c r="K455"/>
      <c r="L455" s="16">
        <f t="shared" si="25"/>
        <v>0</v>
      </c>
      <c r="M455" s="16" t="str">
        <f t="shared" ref="M455:M518" si="27">LEFT(E455,1)</f>
        <v/>
      </c>
      <c r="N455" s="17">
        <f t="shared" si="26"/>
        <v>0</v>
      </c>
    </row>
    <row r="456" spans="1:14" x14ac:dyDescent="0.2">
      <c r="A456" s="19">
        <f>IF(ISERROR(VLOOKUP(B456,Catalogo!$A$2:$C$410,2,0)),0,(VLOOKUP(B456,Catalogo!$A$2:$C$410,2,0)))</f>
        <v>0</v>
      </c>
      <c r="B456"/>
      <c r="C456"/>
      <c r="D456"/>
      <c r="E456"/>
      <c r="F456"/>
      <c r="G456"/>
      <c r="H456"/>
      <c r="I456"/>
      <c r="J456"/>
      <c r="K456"/>
      <c r="L456" s="16">
        <f t="shared" si="25"/>
        <v>0</v>
      </c>
      <c r="M456" s="16" t="str">
        <f t="shared" si="27"/>
        <v/>
      </c>
      <c r="N456" s="17">
        <f t="shared" si="26"/>
        <v>0</v>
      </c>
    </row>
    <row r="457" spans="1:14" x14ac:dyDescent="0.2">
      <c r="A457" s="19">
        <f>IF(ISERROR(VLOOKUP(B457,Catalogo!$A$2:$C$410,2,0)),0,(VLOOKUP(B457,Catalogo!$A$2:$C$410,2,0)))</f>
        <v>0</v>
      </c>
      <c r="B457"/>
      <c r="C457"/>
      <c r="D457"/>
      <c r="E457"/>
      <c r="F457"/>
      <c r="G457"/>
      <c r="H457"/>
      <c r="I457"/>
      <c r="J457"/>
      <c r="K457"/>
      <c r="L457" s="16">
        <f t="shared" si="25"/>
        <v>0</v>
      </c>
      <c r="M457" s="16" t="str">
        <f t="shared" si="27"/>
        <v/>
      </c>
      <c r="N457" s="17">
        <f t="shared" si="26"/>
        <v>0</v>
      </c>
    </row>
    <row r="458" spans="1:14" x14ac:dyDescent="0.2">
      <c r="A458" s="19">
        <f>IF(ISERROR(VLOOKUP(B458,Catalogo!$A$2:$C$410,2,0)),0,(VLOOKUP(B458,Catalogo!$A$2:$C$410,2,0)))</f>
        <v>0</v>
      </c>
      <c r="B458"/>
      <c r="C458"/>
      <c r="D458"/>
      <c r="E458"/>
      <c r="F458"/>
      <c r="G458"/>
      <c r="H458"/>
      <c r="I458"/>
      <c r="J458"/>
      <c r="K458"/>
      <c r="L458" s="16">
        <f t="shared" si="25"/>
        <v>0</v>
      </c>
      <c r="M458" s="16" t="str">
        <f t="shared" si="27"/>
        <v/>
      </c>
      <c r="N458" s="17">
        <f t="shared" si="26"/>
        <v>0</v>
      </c>
    </row>
    <row r="459" spans="1:14" x14ac:dyDescent="0.2">
      <c r="A459" s="19">
        <f>IF(ISERROR(VLOOKUP(B459,Catalogo!$A$2:$C$410,2,0)),0,(VLOOKUP(B459,Catalogo!$A$2:$C$410,2,0)))</f>
        <v>0</v>
      </c>
      <c r="B459"/>
      <c r="C459"/>
      <c r="D459"/>
      <c r="E459"/>
      <c r="F459"/>
      <c r="G459"/>
      <c r="H459"/>
      <c r="I459"/>
      <c r="J459"/>
      <c r="K459"/>
      <c r="L459" s="16">
        <f t="shared" si="25"/>
        <v>0</v>
      </c>
      <c r="M459" s="16" t="str">
        <f t="shared" si="27"/>
        <v/>
      </c>
      <c r="N459" s="17">
        <f t="shared" si="26"/>
        <v>0</v>
      </c>
    </row>
    <row r="460" spans="1:14" x14ac:dyDescent="0.2">
      <c r="A460" s="19">
        <f>IF(ISERROR(VLOOKUP(B460,Catalogo!$A$2:$C$410,2,0)),0,(VLOOKUP(B460,Catalogo!$A$2:$C$410,2,0)))</f>
        <v>0</v>
      </c>
      <c r="B460"/>
      <c r="C460"/>
      <c r="D460"/>
      <c r="E460"/>
      <c r="F460"/>
      <c r="G460"/>
      <c r="H460"/>
      <c r="I460"/>
      <c r="J460"/>
      <c r="K460"/>
      <c r="L460" s="16">
        <f t="shared" si="25"/>
        <v>0</v>
      </c>
      <c r="M460" s="16" t="str">
        <f t="shared" si="27"/>
        <v/>
      </c>
      <c r="N460" s="17">
        <f t="shared" si="26"/>
        <v>0</v>
      </c>
    </row>
    <row r="461" spans="1:14" x14ac:dyDescent="0.2">
      <c r="A461" s="19">
        <f>IF(ISERROR(VLOOKUP(B461,Catalogo!$A$2:$C$410,2,0)),0,(VLOOKUP(B461,Catalogo!$A$2:$C$410,2,0)))</f>
        <v>0</v>
      </c>
      <c r="B461"/>
      <c r="C461"/>
      <c r="D461"/>
      <c r="E461"/>
      <c r="F461"/>
      <c r="G461"/>
      <c r="H461"/>
      <c r="I461"/>
      <c r="J461"/>
      <c r="K461"/>
      <c r="L461" s="16">
        <f t="shared" si="25"/>
        <v>0</v>
      </c>
      <c r="M461" s="16" t="str">
        <f t="shared" si="27"/>
        <v/>
      </c>
      <c r="N461" s="17">
        <f t="shared" si="26"/>
        <v>0</v>
      </c>
    </row>
    <row r="462" spans="1:14" x14ac:dyDescent="0.2">
      <c r="A462" s="19">
        <f>IF(ISERROR(VLOOKUP(B462,Catalogo!$A$2:$C$410,2,0)),0,(VLOOKUP(B462,Catalogo!$A$2:$C$410,2,0)))</f>
        <v>0</v>
      </c>
      <c r="B462"/>
      <c r="C462"/>
      <c r="D462"/>
      <c r="E462"/>
      <c r="F462"/>
      <c r="G462"/>
      <c r="H462"/>
      <c r="I462"/>
      <c r="J462"/>
      <c r="K462"/>
      <c r="L462" s="16">
        <f t="shared" si="25"/>
        <v>0</v>
      </c>
      <c r="M462" s="16" t="str">
        <f t="shared" si="27"/>
        <v/>
      </c>
      <c r="N462" s="17">
        <f t="shared" si="26"/>
        <v>0</v>
      </c>
    </row>
    <row r="463" spans="1:14" x14ac:dyDescent="0.2">
      <c r="A463" s="19">
        <f>IF(ISERROR(VLOOKUP(B463,Catalogo!$A$2:$C$410,2,0)),0,(VLOOKUP(B463,Catalogo!$A$2:$C$410,2,0)))</f>
        <v>0</v>
      </c>
      <c r="B463"/>
      <c r="C463"/>
      <c r="D463"/>
      <c r="E463"/>
      <c r="F463"/>
      <c r="G463"/>
      <c r="H463"/>
      <c r="I463"/>
      <c r="J463"/>
      <c r="K463"/>
      <c r="L463" s="16">
        <f t="shared" si="25"/>
        <v>0</v>
      </c>
      <c r="M463" s="16" t="str">
        <f t="shared" si="27"/>
        <v/>
      </c>
      <c r="N463" s="17">
        <f t="shared" si="26"/>
        <v>0</v>
      </c>
    </row>
    <row r="464" spans="1:14" x14ac:dyDescent="0.2">
      <c r="A464" s="19">
        <f>IF(ISERROR(VLOOKUP(B464,Catalogo!$A$2:$C$410,2,0)),0,(VLOOKUP(B464,Catalogo!$A$2:$C$410,2,0)))</f>
        <v>0</v>
      </c>
      <c r="B464"/>
      <c r="C464"/>
      <c r="D464"/>
      <c r="E464"/>
      <c r="F464"/>
      <c r="G464"/>
      <c r="H464"/>
      <c r="I464"/>
      <c r="J464"/>
      <c r="K464"/>
      <c r="L464" s="16">
        <f t="shared" si="25"/>
        <v>0</v>
      </c>
      <c r="M464" s="16" t="str">
        <f t="shared" si="27"/>
        <v/>
      </c>
      <c r="N464" s="17">
        <f t="shared" si="26"/>
        <v>0</v>
      </c>
    </row>
    <row r="465" spans="1:14" x14ac:dyDescent="0.2">
      <c r="A465" s="19">
        <f>IF(ISERROR(VLOOKUP(B465,Catalogo!$A$2:$C$410,2,0)),0,(VLOOKUP(B465,Catalogo!$A$2:$C$410,2,0)))</f>
        <v>0</v>
      </c>
      <c r="B465"/>
      <c r="C465"/>
      <c r="D465"/>
      <c r="E465"/>
      <c r="F465"/>
      <c r="G465"/>
      <c r="H465"/>
      <c r="I465"/>
      <c r="J465"/>
      <c r="K465"/>
      <c r="L465" s="16">
        <f t="shared" si="25"/>
        <v>0</v>
      </c>
      <c r="M465" s="16" t="str">
        <f t="shared" si="27"/>
        <v/>
      </c>
      <c r="N465" s="17">
        <f t="shared" si="26"/>
        <v>0</v>
      </c>
    </row>
    <row r="466" spans="1:14" x14ac:dyDescent="0.2">
      <c r="A466" s="19">
        <f>IF(ISERROR(VLOOKUP(B466,Catalogo!$A$2:$C$410,2,0)),0,(VLOOKUP(B466,Catalogo!$A$2:$C$410,2,0)))</f>
        <v>0</v>
      </c>
      <c r="B466"/>
      <c r="C466"/>
      <c r="D466"/>
      <c r="E466"/>
      <c r="F466"/>
      <c r="G466"/>
      <c r="H466"/>
      <c r="I466"/>
      <c r="J466"/>
      <c r="K466"/>
      <c r="L466" s="16">
        <f t="shared" si="25"/>
        <v>0</v>
      </c>
      <c r="M466" s="16" t="str">
        <f t="shared" si="27"/>
        <v/>
      </c>
      <c r="N466" s="17">
        <f t="shared" si="26"/>
        <v>0</v>
      </c>
    </row>
    <row r="467" spans="1:14" x14ac:dyDescent="0.2">
      <c r="A467" s="19">
        <f>IF(ISERROR(VLOOKUP(B467,Catalogo!$A$2:$C$410,2,0)),0,(VLOOKUP(B467,Catalogo!$A$2:$C$410,2,0)))</f>
        <v>0</v>
      </c>
      <c r="B467"/>
      <c r="C467"/>
      <c r="D467"/>
      <c r="E467"/>
      <c r="F467"/>
      <c r="G467"/>
      <c r="H467"/>
      <c r="I467"/>
      <c r="J467"/>
      <c r="K467"/>
      <c r="L467" s="16">
        <f t="shared" si="25"/>
        <v>0</v>
      </c>
      <c r="M467" s="16" t="str">
        <f t="shared" si="27"/>
        <v/>
      </c>
      <c r="N467" s="17">
        <f t="shared" si="26"/>
        <v>0</v>
      </c>
    </row>
    <row r="468" spans="1:14" x14ac:dyDescent="0.2">
      <c r="A468" s="19">
        <f>IF(ISERROR(VLOOKUP(B468,Catalogo!$A$2:$C$410,2,0)),0,(VLOOKUP(B468,Catalogo!$A$2:$C$410,2,0)))</f>
        <v>0</v>
      </c>
      <c r="B468"/>
      <c r="C468"/>
      <c r="D468"/>
      <c r="E468"/>
      <c r="F468"/>
      <c r="G468"/>
      <c r="H468"/>
      <c r="I468"/>
      <c r="J468"/>
      <c r="K468"/>
      <c r="L468" s="16">
        <f t="shared" si="25"/>
        <v>0</v>
      </c>
      <c r="M468" s="16" t="str">
        <f t="shared" si="27"/>
        <v/>
      </c>
      <c r="N468" s="17">
        <f t="shared" si="26"/>
        <v>0</v>
      </c>
    </row>
    <row r="469" spans="1:14" x14ac:dyDescent="0.2">
      <c r="A469" s="19">
        <f>IF(ISERROR(VLOOKUP(B469,Catalogo!$A$2:$C$410,2,0)),0,(VLOOKUP(B469,Catalogo!$A$2:$C$410,2,0)))</f>
        <v>0</v>
      </c>
      <c r="B469"/>
      <c r="C469"/>
      <c r="D469"/>
      <c r="E469"/>
      <c r="F469"/>
      <c r="G469"/>
      <c r="H469"/>
      <c r="I469"/>
      <c r="J469"/>
      <c r="K469"/>
      <c r="L469" s="16">
        <f t="shared" si="25"/>
        <v>0</v>
      </c>
      <c r="M469" s="16" t="str">
        <f t="shared" si="27"/>
        <v/>
      </c>
      <c r="N469" s="17">
        <f t="shared" si="26"/>
        <v>0</v>
      </c>
    </row>
    <row r="470" spans="1:14" x14ac:dyDescent="0.2">
      <c r="A470" s="19">
        <f>IF(ISERROR(VLOOKUP(B470,Catalogo!$A$2:$C$410,2,0)),0,(VLOOKUP(B470,Catalogo!$A$2:$C$410,2,0)))</f>
        <v>0</v>
      </c>
      <c r="B470"/>
      <c r="C470"/>
      <c r="D470"/>
      <c r="E470"/>
      <c r="F470"/>
      <c r="G470"/>
      <c r="H470"/>
      <c r="I470"/>
      <c r="J470"/>
      <c r="K470"/>
      <c r="L470" s="16">
        <f t="shared" si="25"/>
        <v>0</v>
      </c>
      <c r="M470" s="16" t="str">
        <f t="shared" si="27"/>
        <v/>
      </c>
      <c r="N470" s="17">
        <f t="shared" si="26"/>
        <v>0</v>
      </c>
    </row>
    <row r="471" spans="1:14" x14ac:dyDescent="0.2">
      <c r="A471" s="19">
        <f>IF(ISERROR(VLOOKUP(B471,Catalogo!$A$2:$C$410,2,0)),0,(VLOOKUP(B471,Catalogo!$A$2:$C$410,2,0)))</f>
        <v>0</v>
      </c>
      <c r="B471"/>
      <c r="C471"/>
      <c r="D471"/>
      <c r="E471"/>
      <c r="F471"/>
      <c r="G471"/>
      <c r="H471"/>
      <c r="I471"/>
      <c r="J471"/>
      <c r="K471"/>
      <c r="L471" s="16">
        <f t="shared" si="25"/>
        <v>0</v>
      </c>
      <c r="M471" s="16" t="str">
        <f t="shared" si="27"/>
        <v/>
      </c>
      <c r="N471" s="17">
        <f t="shared" si="26"/>
        <v>0</v>
      </c>
    </row>
    <row r="472" spans="1:14" x14ac:dyDescent="0.2">
      <c r="A472" s="19">
        <f>IF(ISERROR(VLOOKUP(B472,Catalogo!$A$2:$C$410,2,0)),0,(VLOOKUP(B472,Catalogo!$A$2:$C$410,2,0)))</f>
        <v>0</v>
      </c>
      <c r="B472"/>
      <c r="C472"/>
      <c r="D472"/>
      <c r="E472"/>
      <c r="F472"/>
      <c r="G472"/>
      <c r="H472"/>
      <c r="I472"/>
      <c r="J472"/>
      <c r="K472"/>
      <c r="L472" s="16">
        <f t="shared" si="25"/>
        <v>0</v>
      </c>
      <c r="M472" s="16" t="str">
        <f t="shared" si="27"/>
        <v/>
      </c>
      <c r="N472" s="17">
        <f t="shared" si="26"/>
        <v>0</v>
      </c>
    </row>
    <row r="473" spans="1:14" x14ac:dyDescent="0.2">
      <c r="A473" s="19">
        <f>IF(ISERROR(VLOOKUP(B473,Catalogo!$A$2:$C$410,2,0)),0,(VLOOKUP(B473,Catalogo!$A$2:$C$410,2,0)))</f>
        <v>0</v>
      </c>
      <c r="B473"/>
      <c r="C473"/>
      <c r="D473"/>
      <c r="E473"/>
      <c r="F473"/>
      <c r="G473"/>
      <c r="H473"/>
      <c r="I473"/>
      <c r="J473"/>
      <c r="K473"/>
      <c r="L473" s="16">
        <f t="shared" si="25"/>
        <v>0</v>
      </c>
      <c r="M473" s="16" t="str">
        <f t="shared" si="27"/>
        <v/>
      </c>
      <c r="N473" s="17">
        <f t="shared" si="26"/>
        <v>0</v>
      </c>
    </row>
    <row r="474" spans="1:14" x14ac:dyDescent="0.2">
      <c r="A474" s="19">
        <f>IF(ISERROR(VLOOKUP(B474,Catalogo!$A$2:$C$410,2,0)),0,(VLOOKUP(B474,Catalogo!$A$2:$C$410,2,0)))</f>
        <v>0</v>
      </c>
      <c r="B474"/>
      <c r="C474"/>
      <c r="D474"/>
      <c r="E474"/>
      <c r="F474"/>
      <c r="G474"/>
      <c r="H474"/>
      <c r="I474"/>
      <c r="J474"/>
      <c r="K474"/>
      <c r="L474" s="16">
        <f t="shared" si="25"/>
        <v>0</v>
      </c>
      <c r="M474" s="16" t="str">
        <f t="shared" si="27"/>
        <v/>
      </c>
      <c r="N474" s="17">
        <f t="shared" si="26"/>
        <v>0</v>
      </c>
    </row>
    <row r="475" spans="1:14" x14ac:dyDescent="0.2">
      <c r="A475" s="19">
        <f>IF(ISERROR(VLOOKUP(B475,Catalogo!$A$2:$C$410,2,0)),0,(VLOOKUP(B475,Catalogo!$A$2:$C$410,2,0)))</f>
        <v>0</v>
      </c>
      <c r="B475"/>
      <c r="C475"/>
      <c r="D475"/>
      <c r="E475"/>
      <c r="F475"/>
      <c r="G475"/>
      <c r="H475"/>
      <c r="I475"/>
      <c r="J475"/>
      <c r="K475"/>
      <c r="L475" s="16">
        <f t="shared" si="25"/>
        <v>0</v>
      </c>
      <c r="M475" s="16" t="str">
        <f t="shared" si="27"/>
        <v/>
      </c>
      <c r="N475" s="17">
        <f t="shared" si="26"/>
        <v>0</v>
      </c>
    </row>
    <row r="476" spans="1:14" x14ac:dyDescent="0.2">
      <c r="A476" s="19">
        <f>IF(ISERROR(VLOOKUP(B476,Catalogo!$A$2:$C$410,2,0)),0,(VLOOKUP(B476,Catalogo!$A$2:$C$410,2,0)))</f>
        <v>0</v>
      </c>
      <c r="B476"/>
      <c r="C476"/>
      <c r="D476"/>
      <c r="E476"/>
      <c r="F476"/>
      <c r="G476"/>
      <c r="H476"/>
      <c r="I476"/>
      <c r="J476"/>
      <c r="K476"/>
      <c r="L476" s="16">
        <f t="shared" si="25"/>
        <v>0</v>
      </c>
      <c r="M476" s="16" t="str">
        <f t="shared" si="27"/>
        <v/>
      </c>
      <c r="N476" s="17">
        <f t="shared" si="26"/>
        <v>0</v>
      </c>
    </row>
    <row r="477" spans="1:14" x14ac:dyDescent="0.2">
      <c r="A477" s="19">
        <f>IF(ISERROR(VLOOKUP(B477,Catalogo!$A$2:$C$410,2,0)),0,(VLOOKUP(B477,Catalogo!$A$2:$C$410,2,0)))</f>
        <v>0</v>
      </c>
      <c r="B477"/>
      <c r="C477"/>
      <c r="D477"/>
      <c r="E477"/>
      <c r="F477"/>
      <c r="G477"/>
      <c r="H477"/>
      <c r="I477"/>
      <c r="J477"/>
      <c r="K477"/>
      <c r="L477" s="16">
        <f t="shared" si="25"/>
        <v>0</v>
      </c>
      <c r="M477" s="16" t="str">
        <f t="shared" si="27"/>
        <v/>
      </c>
      <c r="N477" s="17">
        <f t="shared" si="26"/>
        <v>0</v>
      </c>
    </row>
    <row r="478" spans="1:14" x14ac:dyDescent="0.2">
      <c r="A478" s="19">
        <f>IF(ISERROR(VLOOKUP(B478,Catalogo!$A$2:$C$410,2,0)),0,(VLOOKUP(B478,Catalogo!$A$2:$C$410,2,0)))</f>
        <v>0</v>
      </c>
      <c r="B478"/>
      <c r="C478"/>
      <c r="D478"/>
      <c r="E478"/>
      <c r="F478"/>
      <c r="G478"/>
      <c r="H478"/>
      <c r="I478"/>
      <c r="J478"/>
      <c r="K478"/>
      <c r="L478" s="16">
        <f t="shared" si="25"/>
        <v>0</v>
      </c>
      <c r="M478" s="16" t="str">
        <f t="shared" si="27"/>
        <v/>
      </c>
      <c r="N478" s="17">
        <f t="shared" si="26"/>
        <v>0</v>
      </c>
    </row>
    <row r="479" spans="1:14" x14ac:dyDescent="0.2">
      <c r="A479" s="19">
        <f>IF(ISERROR(VLOOKUP(B479,Catalogo!$A$2:$C$410,2,0)),0,(VLOOKUP(B479,Catalogo!$A$2:$C$410,2,0)))</f>
        <v>0</v>
      </c>
      <c r="B479"/>
      <c r="C479"/>
      <c r="D479"/>
      <c r="E479"/>
      <c r="F479"/>
      <c r="G479"/>
      <c r="H479"/>
      <c r="I479"/>
      <c r="J479"/>
      <c r="K479"/>
      <c r="L479" s="16">
        <f t="shared" si="25"/>
        <v>0</v>
      </c>
      <c r="M479" s="16" t="str">
        <f t="shared" si="27"/>
        <v/>
      </c>
      <c r="N479" s="17">
        <f t="shared" si="26"/>
        <v>0</v>
      </c>
    </row>
    <row r="480" spans="1:14" x14ac:dyDescent="0.2">
      <c r="A480" s="19">
        <f>IF(ISERROR(VLOOKUP(B480,Catalogo!$A$2:$C$410,2,0)),0,(VLOOKUP(B480,Catalogo!$A$2:$C$410,2,0)))</f>
        <v>0</v>
      </c>
      <c r="B480"/>
      <c r="C480"/>
      <c r="D480"/>
      <c r="E480"/>
      <c r="F480"/>
      <c r="G480"/>
      <c r="H480"/>
      <c r="I480"/>
      <c r="J480"/>
      <c r="K480"/>
      <c r="L480" s="16">
        <f t="shared" si="25"/>
        <v>0</v>
      </c>
      <c r="M480" s="16" t="str">
        <f t="shared" si="27"/>
        <v/>
      </c>
      <c r="N480" s="17">
        <f t="shared" si="26"/>
        <v>0</v>
      </c>
    </row>
    <row r="481" spans="1:14" x14ac:dyDescent="0.2">
      <c r="A481" s="19">
        <f>IF(ISERROR(VLOOKUP(B481,Catalogo!$A$2:$C$410,2,0)),0,(VLOOKUP(B481,Catalogo!$A$2:$C$410,2,0)))</f>
        <v>0</v>
      </c>
      <c r="B481"/>
      <c r="C481"/>
      <c r="D481"/>
      <c r="E481"/>
      <c r="F481"/>
      <c r="G481"/>
      <c r="H481"/>
      <c r="I481"/>
      <c r="J481"/>
      <c r="K481"/>
      <c r="L481" s="16">
        <f t="shared" si="25"/>
        <v>0</v>
      </c>
      <c r="M481" s="16" t="str">
        <f t="shared" si="27"/>
        <v/>
      </c>
      <c r="N481" s="17">
        <f t="shared" si="26"/>
        <v>0</v>
      </c>
    </row>
    <row r="482" spans="1:14" x14ac:dyDescent="0.2">
      <c r="A482" s="19">
        <f>IF(ISERROR(VLOOKUP(B482,Catalogo!$A$2:$C$410,2,0)),0,(VLOOKUP(B482,Catalogo!$A$2:$C$410,2,0)))</f>
        <v>0</v>
      </c>
      <c r="B482"/>
      <c r="C482"/>
      <c r="D482"/>
      <c r="E482"/>
      <c r="F482"/>
      <c r="G482"/>
      <c r="H482"/>
      <c r="I482"/>
      <c r="J482"/>
      <c r="K482"/>
      <c r="L482" s="16">
        <f t="shared" si="25"/>
        <v>0</v>
      </c>
      <c r="M482" s="16" t="str">
        <f t="shared" si="27"/>
        <v/>
      </c>
      <c r="N482" s="17">
        <f t="shared" si="26"/>
        <v>0</v>
      </c>
    </row>
    <row r="483" spans="1:14" x14ac:dyDescent="0.2">
      <c r="A483" s="19">
        <f>IF(ISERROR(VLOOKUP(B483,Catalogo!$A$2:$C$410,2,0)),0,(VLOOKUP(B483,Catalogo!$A$2:$C$410,2,0)))</f>
        <v>0</v>
      </c>
      <c r="B483"/>
      <c r="C483"/>
      <c r="D483"/>
      <c r="E483"/>
      <c r="F483"/>
      <c r="G483"/>
      <c r="H483"/>
      <c r="I483"/>
      <c r="J483"/>
      <c r="K483"/>
      <c r="L483" s="16">
        <f t="shared" si="25"/>
        <v>0</v>
      </c>
      <c r="M483" s="16" t="str">
        <f t="shared" si="27"/>
        <v/>
      </c>
      <c r="N483" s="17">
        <f t="shared" si="26"/>
        <v>0</v>
      </c>
    </row>
    <row r="484" spans="1:14" x14ac:dyDescent="0.2">
      <c r="A484" s="19">
        <f>IF(ISERROR(VLOOKUP(B484,Catalogo!$A$2:$C$410,2,0)),0,(VLOOKUP(B484,Catalogo!$A$2:$C$410,2,0)))</f>
        <v>0</v>
      </c>
      <c r="B484"/>
      <c r="C484"/>
      <c r="D484"/>
      <c r="E484"/>
      <c r="F484"/>
      <c r="G484"/>
      <c r="H484"/>
      <c r="I484"/>
      <c r="J484"/>
      <c r="K484"/>
      <c r="L484" s="16">
        <f t="shared" si="25"/>
        <v>0</v>
      </c>
      <c r="M484" s="16" t="str">
        <f t="shared" si="27"/>
        <v/>
      </c>
      <c r="N484" s="17">
        <f t="shared" si="26"/>
        <v>0</v>
      </c>
    </row>
    <row r="485" spans="1:14" x14ac:dyDescent="0.2">
      <c r="A485" s="19">
        <f>IF(ISERROR(VLOOKUP(B485,Catalogo!$A$2:$C$410,2,0)),0,(VLOOKUP(B485,Catalogo!$A$2:$C$410,2,0)))</f>
        <v>0</v>
      </c>
      <c r="B485"/>
      <c r="C485"/>
      <c r="D485"/>
      <c r="E485"/>
      <c r="F485"/>
      <c r="G485"/>
      <c r="H485"/>
      <c r="I485"/>
      <c r="J485"/>
      <c r="K485"/>
      <c r="L485" s="16">
        <f t="shared" si="25"/>
        <v>0</v>
      </c>
      <c r="M485" s="16" t="str">
        <f t="shared" si="27"/>
        <v/>
      </c>
      <c r="N485" s="17">
        <f t="shared" si="26"/>
        <v>0</v>
      </c>
    </row>
    <row r="486" spans="1:14" x14ac:dyDescent="0.2">
      <c r="A486" s="19">
        <f>IF(ISERROR(VLOOKUP(B486,Catalogo!$A$2:$C$410,2,0)),0,(VLOOKUP(B486,Catalogo!$A$2:$C$410,2,0)))</f>
        <v>0</v>
      </c>
      <c r="B486"/>
      <c r="C486"/>
      <c r="D486"/>
      <c r="E486"/>
      <c r="F486"/>
      <c r="G486"/>
      <c r="H486"/>
      <c r="I486"/>
      <c r="J486"/>
      <c r="K486"/>
      <c r="L486" s="16">
        <f t="shared" si="25"/>
        <v>0</v>
      </c>
      <c r="M486" s="16" t="str">
        <f t="shared" si="27"/>
        <v/>
      </c>
      <c r="N486" s="17">
        <f t="shared" si="26"/>
        <v>0</v>
      </c>
    </row>
    <row r="487" spans="1:14" x14ac:dyDescent="0.2">
      <c r="A487" s="19">
        <f>IF(ISERROR(VLOOKUP(B487,Catalogo!$A$2:$C$410,2,0)),0,(VLOOKUP(B487,Catalogo!$A$2:$C$410,2,0)))</f>
        <v>0</v>
      </c>
      <c r="B487"/>
      <c r="C487"/>
      <c r="D487"/>
      <c r="E487"/>
      <c r="F487"/>
      <c r="G487"/>
      <c r="H487"/>
      <c r="I487"/>
      <c r="J487"/>
      <c r="K487"/>
      <c r="L487" s="16">
        <f t="shared" si="25"/>
        <v>0</v>
      </c>
      <c r="M487" s="16" t="str">
        <f t="shared" si="27"/>
        <v/>
      </c>
      <c r="N487" s="17">
        <f t="shared" si="26"/>
        <v>0</v>
      </c>
    </row>
    <row r="488" spans="1:14" x14ac:dyDescent="0.2">
      <c r="A488" s="19">
        <f>IF(ISERROR(VLOOKUP(B488,Catalogo!$A$2:$C$410,2,0)),0,(VLOOKUP(B488,Catalogo!$A$2:$C$410,2,0)))</f>
        <v>0</v>
      </c>
      <c r="B488"/>
      <c r="C488"/>
      <c r="D488"/>
      <c r="E488"/>
      <c r="F488"/>
      <c r="G488"/>
      <c r="H488"/>
      <c r="I488"/>
      <c r="J488"/>
      <c r="K488"/>
      <c r="L488" s="16">
        <f t="shared" si="25"/>
        <v>0</v>
      </c>
      <c r="M488" s="16" t="str">
        <f t="shared" si="27"/>
        <v/>
      </c>
      <c r="N488" s="17">
        <f t="shared" si="26"/>
        <v>0</v>
      </c>
    </row>
    <row r="489" spans="1:14" x14ac:dyDescent="0.2">
      <c r="A489" s="19">
        <f>IF(ISERROR(VLOOKUP(B489,Catalogo!$A$2:$C$410,2,0)),0,(VLOOKUP(B489,Catalogo!$A$2:$C$410,2,0)))</f>
        <v>0</v>
      </c>
      <c r="B489"/>
      <c r="C489"/>
      <c r="D489"/>
      <c r="E489"/>
      <c r="F489"/>
      <c r="G489"/>
      <c r="H489"/>
      <c r="I489"/>
      <c r="J489"/>
      <c r="K489"/>
      <c r="L489" s="16">
        <f t="shared" si="25"/>
        <v>0</v>
      </c>
      <c r="M489" s="16" t="str">
        <f t="shared" si="27"/>
        <v/>
      </c>
      <c r="N489" s="17">
        <f t="shared" si="26"/>
        <v>0</v>
      </c>
    </row>
    <row r="490" spans="1:14" x14ac:dyDescent="0.2">
      <c r="A490" s="19">
        <f>IF(ISERROR(VLOOKUP(B490,Catalogo!$A$2:$C$410,2,0)),0,(VLOOKUP(B490,Catalogo!$A$2:$C$410,2,0)))</f>
        <v>0</v>
      </c>
      <c r="B490"/>
      <c r="C490"/>
      <c r="D490"/>
      <c r="E490"/>
      <c r="F490"/>
      <c r="G490"/>
      <c r="H490"/>
      <c r="I490"/>
      <c r="J490"/>
      <c r="K490"/>
      <c r="L490" s="16">
        <f t="shared" si="25"/>
        <v>0</v>
      </c>
      <c r="M490" s="16" t="str">
        <f t="shared" si="27"/>
        <v/>
      </c>
      <c r="N490" s="17">
        <f t="shared" si="26"/>
        <v>0</v>
      </c>
    </row>
    <row r="491" spans="1:14" x14ac:dyDescent="0.2">
      <c r="A491" s="19">
        <f>IF(ISERROR(VLOOKUP(B491,Catalogo!$A$2:$C$410,2,0)),0,(VLOOKUP(B491,Catalogo!$A$2:$C$410,2,0)))</f>
        <v>0</v>
      </c>
      <c r="B491"/>
      <c r="C491"/>
      <c r="D491"/>
      <c r="E491"/>
      <c r="F491"/>
      <c r="G491"/>
      <c r="H491"/>
      <c r="I491"/>
      <c r="J491"/>
      <c r="K491"/>
      <c r="L491" s="16">
        <f t="shared" si="25"/>
        <v>0</v>
      </c>
      <c r="M491" s="16" t="str">
        <f t="shared" si="27"/>
        <v/>
      </c>
      <c r="N491" s="17">
        <f t="shared" si="26"/>
        <v>0</v>
      </c>
    </row>
    <row r="492" spans="1:14" x14ac:dyDescent="0.2">
      <c r="A492" s="19">
        <f>IF(ISERROR(VLOOKUP(B492,Catalogo!$A$2:$C$410,2,0)),0,(VLOOKUP(B492,Catalogo!$A$2:$C$410,2,0)))</f>
        <v>0</v>
      </c>
      <c r="B492"/>
      <c r="C492"/>
      <c r="D492"/>
      <c r="E492"/>
      <c r="F492"/>
      <c r="G492"/>
      <c r="H492"/>
      <c r="I492"/>
      <c r="J492"/>
      <c r="K492"/>
      <c r="L492" s="16">
        <f t="shared" si="25"/>
        <v>0</v>
      </c>
      <c r="M492" s="16" t="str">
        <f t="shared" si="27"/>
        <v/>
      </c>
      <c r="N492" s="17">
        <f t="shared" si="26"/>
        <v>0</v>
      </c>
    </row>
    <row r="493" spans="1:14" x14ac:dyDescent="0.2">
      <c r="A493" s="19">
        <f>IF(ISERROR(VLOOKUP(B493,Catalogo!$A$2:$C$410,2,0)),0,(VLOOKUP(B493,Catalogo!$A$2:$C$410,2,0)))</f>
        <v>0</v>
      </c>
      <c r="B493"/>
      <c r="C493"/>
      <c r="D493"/>
      <c r="E493"/>
      <c r="F493"/>
      <c r="G493"/>
      <c r="H493"/>
      <c r="I493"/>
      <c r="J493"/>
      <c r="K493"/>
      <c r="L493" s="16">
        <f t="shared" si="25"/>
        <v>0</v>
      </c>
      <c r="M493" s="16" t="str">
        <f t="shared" si="27"/>
        <v/>
      </c>
      <c r="N493" s="17">
        <f t="shared" si="26"/>
        <v>0</v>
      </c>
    </row>
    <row r="494" spans="1:14" x14ac:dyDescent="0.2">
      <c r="A494" s="19">
        <f>IF(ISERROR(VLOOKUP(B494,Catalogo!$A$2:$C$410,2,0)),0,(VLOOKUP(B494,Catalogo!$A$2:$C$410,2,0)))</f>
        <v>0</v>
      </c>
      <c r="B494"/>
      <c r="C494"/>
      <c r="D494"/>
      <c r="E494"/>
      <c r="F494"/>
      <c r="G494"/>
      <c r="H494"/>
      <c r="I494"/>
      <c r="J494"/>
      <c r="K494"/>
      <c r="L494" s="16">
        <f t="shared" si="25"/>
        <v>0</v>
      </c>
      <c r="M494" s="16" t="str">
        <f t="shared" si="27"/>
        <v/>
      </c>
      <c r="N494" s="17">
        <f t="shared" si="26"/>
        <v>0</v>
      </c>
    </row>
    <row r="495" spans="1:14" x14ac:dyDescent="0.2">
      <c r="A495" s="19">
        <f>IF(ISERROR(VLOOKUP(B495,Catalogo!$A$2:$C$410,2,0)),0,(VLOOKUP(B495,Catalogo!$A$2:$C$410,2,0)))</f>
        <v>0</v>
      </c>
      <c r="B495"/>
      <c r="C495"/>
      <c r="D495"/>
      <c r="E495"/>
      <c r="F495"/>
      <c r="G495"/>
      <c r="H495"/>
      <c r="I495"/>
      <c r="J495"/>
      <c r="K495"/>
      <c r="L495" s="16">
        <f t="shared" si="25"/>
        <v>0</v>
      </c>
      <c r="M495" s="16" t="str">
        <f t="shared" si="27"/>
        <v/>
      </c>
      <c r="N495" s="17">
        <f t="shared" si="26"/>
        <v>0</v>
      </c>
    </row>
    <row r="496" spans="1:14" x14ac:dyDescent="0.2">
      <c r="A496" s="19">
        <f>IF(ISERROR(VLOOKUP(B496,Catalogo!$A$2:$C$410,2,0)),0,(VLOOKUP(B496,Catalogo!$A$2:$C$410,2,0)))</f>
        <v>0</v>
      </c>
      <c r="B496"/>
      <c r="C496"/>
      <c r="D496"/>
      <c r="E496"/>
      <c r="F496"/>
      <c r="G496"/>
      <c r="H496"/>
      <c r="I496"/>
      <c r="J496"/>
      <c r="K496"/>
      <c r="L496" s="16">
        <f t="shared" si="25"/>
        <v>0</v>
      </c>
      <c r="M496" s="16" t="str">
        <f t="shared" si="27"/>
        <v/>
      </c>
      <c r="N496" s="17">
        <f t="shared" si="26"/>
        <v>0</v>
      </c>
    </row>
    <row r="497" spans="1:14" x14ac:dyDescent="0.2">
      <c r="A497" s="19">
        <f>IF(ISERROR(VLOOKUP(B497,Catalogo!$A$2:$C$410,2,0)),0,(VLOOKUP(B497,Catalogo!$A$2:$C$410,2,0)))</f>
        <v>0</v>
      </c>
      <c r="B497"/>
      <c r="C497"/>
      <c r="D497"/>
      <c r="E497"/>
      <c r="F497"/>
      <c r="G497"/>
      <c r="H497"/>
      <c r="I497"/>
      <c r="J497"/>
      <c r="K497"/>
      <c r="L497" s="16">
        <f t="shared" si="25"/>
        <v>0</v>
      </c>
      <c r="M497" s="16" t="str">
        <f t="shared" si="27"/>
        <v/>
      </c>
      <c r="N497" s="17">
        <f t="shared" si="26"/>
        <v>0</v>
      </c>
    </row>
    <row r="498" spans="1:14" x14ac:dyDescent="0.2">
      <c r="A498" s="19">
        <f>IF(ISERROR(VLOOKUP(B498,Catalogo!$A$2:$C$410,2,0)),0,(VLOOKUP(B498,Catalogo!$A$2:$C$410,2,0)))</f>
        <v>0</v>
      </c>
      <c r="B498"/>
      <c r="C498"/>
      <c r="D498"/>
      <c r="E498"/>
      <c r="F498"/>
      <c r="G498"/>
      <c r="H498"/>
      <c r="I498"/>
      <c r="J498"/>
      <c r="K498"/>
      <c r="L498" s="16">
        <f t="shared" si="25"/>
        <v>0</v>
      </c>
      <c r="M498" s="16" t="str">
        <f t="shared" si="27"/>
        <v/>
      </c>
      <c r="N498" s="17">
        <f t="shared" si="26"/>
        <v>0</v>
      </c>
    </row>
    <row r="499" spans="1:14" x14ac:dyDescent="0.2">
      <c r="A499" s="19">
        <f>IF(ISERROR(VLOOKUP(B499,Catalogo!$A$2:$C$410,2,0)),0,(VLOOKUP(B499,Catalogo!$A$2:$C$410,2,0)))</f>
        <v>0</v>
      </c>
      <c r="B499"/>
      <c r="C499"/>
      <c r="D499"/>
      <c r="E499"/>
      <c r="F499"/>
      <c r="G499"/>
      <c r="H499"/>
      <c r="I499"/>
      <c r="J499"/>
      <c r="K499"/>
      <c r="L499" s="16">
        <f t="shared" si="25"/>
        <v>0</v>
      </c>
      <c r="M499" s="16" t="str">
        <f t="shared" si="27"/>
        <v/>
      </c>
      <c r="N499" s="17">
        <f t="shared" si="26"/>
        <v>0</v>
      </c>
    </row>
    <row r="500" spans="1:14" x14ac:dyDescent="0.2">
      <c r="A500" s="19">
        <f>IF(ISERROR(VLOOKUP(B500,Catalogo!$A$2:$C$410,2,0)),0,(VLOOKUP(B500,Catalogo!$A$2:$C$410,2,0)))</f>
        <v>0</v>
      </c>
      <c r="B500"/>
      <c r="C500"/>
      <c r="D500"/>
      <c r="E500"/>
      <c r="F500"/>
      <c r="G500"/>
      <c r="H500"/>
      <c r="I500"/>
      <c r="J500"/>
      <c r="K500"/>
      <c r="L500" s="16">
        <f t="shared" si="25"/>
        <v>0</v>
      </c>
      <c r="M500" s="16" t="str">
        <f t="shared" si="27"/>
        <v/>
      </c>
      <c r="N500" s="17">
        <f t="shared" si="26"/>
        <v>0</v>
      </c>
    </row>
    <row r="501" spans="1:14" x14ac:dyDescent="0.2">
      <c r="A501" s="19">
        <f>IF(ISERROR(VLOOKUP(B501,Catalogo!$A$2:$C$410,2,0)),0,(VLOOKUP(B501,Catalogo!$A$2:$C$410,2,0)))</f>
        <v>0</v>
      </c>
      <c r="B501"/>
      <c r="C501"/>
      <c r="D501"/>
      <c r="E501"/>
      <c r="F501"/>
      <c r="G501"/>
      <c r="H501"/>
      <c r="I501"/>
      <c r="J501"/>
      <c r="K501"/>
      <c r="L501" s="16">
        <f t="shared" si="25"/>
        <v>0</v>
      </c>
      <c r="M501" s="16" t="str">
        <f t="shared" si="27"/>
        <v/>
      </c>
      <c r="N501" s="17">
        <f t="shared" si="26"/>
        <v>0</v>
      </c>
    </row>
    <row r="502" spans="1:14" x14ac:dyDescent="0.2">
      <c r="A502" s="19">
        <f>IF(ISERROR(VLOOKUP(B502,Catalogo!$A$2:$C$410,2,0)),0,(VLOOKUP(B502,Catalogo!$A$2:$C$410,2,0)))</f>
        <v>0</v>
      </c>
      <c r="B502"/>
      <c r="C502"/>
      <c r="D502"/>
      <c r="E502"/>
      <c r="F502"/>
      <c r="G502"/>
      <c r="H502"/>
      <c r="I502"/>
      <c r="J502"/>
      <c r="K502"/>
      <c r="L502" s="16">
        <f t="shared" si="25"/>
        <v>0</v>
      </c>
      <c r="M502" s="16" t="str">
        <f t="shared" si="27"/>
        <v/>
      </c>
      <c r="N502" s="17">
        <f t="shared" si="26"/>
        <v>0</v>
      </c>
    </row>
    <row r="503" spans="1:14" x14ac:dyDescent="0.2">
      <c r="A503" s="19">
        <f>IF(ISERROR(VLOOKUP(B503,Catalogo!$A$2:$C$410,2,0)),0,(VLOOKUP(B503,Catalogo!$A$2:$C$410,2,0)))</f>
        <v>0</v>
      </c>
      <c r="B503"/>
      <c r="C503"/>
      <c r="D503"/>
      <c r="E503"/>
      <c r="F503"/>
      <c r="G503"/>
      <c r="H503"/>
      <c r="I503"/>
      <c r="J503"/>
      <c r="K503"/>
      <c r="L503" s="16">
        <f t="shared" si="25"/>
        <v>0</v>
      </c>
      <c r="M503" s="16" t="str">
        <f t="shared" si="27"/>
        <v/>
      </c>
      <c r="N503" s="17">
        <f t="shared" si="26"/>
        <v>0</v>
      </c>
    </row>
    <row r="504" spans="1:14" x14ac:dyDescent="0.2">
      <c r="A504" s="19">
        <f>IF(ISERROR(VLOOKUP(B504,Catalogo!$A$2:$C$410,2,0)),0,(VLOOKUP(B504,Catalogo!$A$2:$C$410,2,0)))</f>
        <v>0</v>
      </c>
      <c r="B504"/>
      <c r="C504"/>
      <c r="D504"/>
      <c r="E504"/>
      <c r="F504"/>
      <c r="G504"/>
      <c r="H504"/>
      <c r="I504"/>
      <c r="J504"/>
      <c r="K504"/>
      <c r="L504" s="16">
        <f t="shared" si="25"/>
        <v>0</v>
      </c>
      <c r="M504" s="16" t="str">
        <f t="shared" si="27"/>
        <v/>
      </c>
      <c r="N504" s="17">
        <f t="shared" si="26"/>
        <v>0</v>
      </c>
    </row>
    <row r="505" spans="1:14" x14ac:dyDescent="0.2">
      <c r="A505" s="19">
        <f>IF(ISERROR(VLOOKUP(B505,Catalogo!$A$2:$C$410,2,0)),0,(VLOOKUP(B505,Catalogo!$A$2:$C$410,2,0)))</f>
        <v>0</v>
      </c>
      <c r="B505"/>
      <c r="C505"/>
      <c r="D505"/>
      <c r="E505"/>
      <c r="F505"/>
      <c r="G505"/>
      <c r="H505"/>
      <c r="I505"/>
      <c r="J505"/>
      <c r="K505"/>
      <c r="L505" s="16">
        <f t="shared" si="25"/>
        <v>0</v>
      </c>
      <c r="M505" s="16" t="str">
        <f t="shared" si="27"/>
        <v/>
      </c>
      <c r="N505" s="17">
        <f t="shared" si="26"/>
        <v>0</v>
      </c>
    </row>
    <row r="506" spans="1:14" x14ac:dyDescent="0.2">
      <c r="A506" s="19">
        <f>IF(ISERROR(VLOOKUP(B506,Catalogo!$A$2:$C$410,2,0)),0,(VLOOKUP(B506,Catalogo!$A$2:$C$410,2,0)))</f>
        <v>0</v>
      </c>
      <c r="B506"/>
      <c r="C506"/>
      <c r="D506"/>
      <c r="E506"/>
      <c r="F506"/>
      <c r="G506"/>
      <c r="H506"/>
      <c r="I506"/>
      <c r="J506"/>
      <c r="K506"/>
      <c r="L506" s="16">
        <f t="shared" si="25"/>
        <v>0</v>
      </c>
      <c r="M506" s="16" t="str">
        <f t="shared" si="27"/>
        <v/>
      </c>
      <c r="N506" s="17">
        <f t="shared" si="26"/>
        <v>0</v>
      </c>
    </row>
    <row r="507" spans="1:14" x14ac:dyDescent="0.2">
      <c r="A507" s="19">
        <f>IF(ISERROR(VLOOKUP(B507,Catalogo!$A$2:$C$410,2,0)),0,(VLOOKUP(B507,Catalogo!$A$2:$C$410,2,0)))</f>
        <v>0</v>
      </c>
      <c r="B507"/>
      <c r="C507"/>
      <c r="D507"/>
      <c r="E507"/>
      <c r="F507"/>
      <c r="G507"/>
      <c r="H507"/>
      <c r="I507"/>
      <c r="J507"/>
      <c r="K507"/>
      <c r="L507" s="16">
        <f t="shared" si="25"/>
        <v>0</v>
      </c>
      <c r="M507" s="16" t="str">
        <f t="shared" si="27"/>
        <v/>
      </c>
      <c r="N507" s="17">
        <f t="shared" si="26"/>
        <v>0</v>
      </c>
    </row>
    <row r="508" spans="1:14" x14ac:dyDescent="0.2">
      <c r="A508" s="19">
        <f>IF(ISERROR(VLOOKUP(B508,Catalogo!$A$2:$C$410,2,0)),0,(VLOOKUP(B508,Catalogo!$A$2:$C$410,2,0)))</f>
        <v>0</v>
      </c>
      <c r="B508"/>
      <c r="C508"/>
      <c r="D508"/>
      <c r="E508"/>
      <c r="F508"/>
      <c r="G508"/>
      <c r="H508"/>
      <c r="I508"/>
      <c r="J508"/>
      <c r="K508"/>
      <c r="L508" s="16">
        <f t="shared" si="25"/>
        <v>0</v>
      </c>
      <c r="M508" s="16" t="str">
        <f t="shared" si="27"/>
        <v/>
      </c>
      <c r="N508" s="17">
        <f t="shared" si="26"/>
        <v>0</v>
      </c>
    </row>
    <row r="509" spans="1:14" x14ac:dyDescent="0.2">
      <c r="A509" s="19">
        <f>IF(ISERROR(VLOOKUP(B509,Catalogo!$A$2:$C$410,2,0)),0,(VLOOKUP(B509,Catalogo!$A$2:$C$410,2,0)))</f>
        <v>0</v>
      </c>
      <c r="B509"/>
      <c r="C509"/>
      <c r="D509"/>
      <c r="E509"/>
      <c r="F509"/>
      <c r="G509"/>
      <c r="H509"/>
      <c r="I509"/>
      <c r="J509"/>
      <c r="K509"/>
      <c r="L509" s="16">
        <f t="shared" si="25"/>
        <v>0</v>
      </c>
      <c r="M509" s="16" t="str">
        <f t="shared" si="27"/>
        <v/>
      </c>
      <c r="N509" s="17">
        <f t="shared" si="26"/>
        <v>0</v>
      </c>
    </row>
    <row r="510" spans="1:14" x14ac:dyDescent="0.2">
      <c r="A510" s="19">
        <f>IF(ISERROR(VLOOKUP(B510,Catalogo!$A$2:$C$410,2,0)),0,(VLOOKUP(B510,Catalogo!$A$2:$C$410,2,0)))</f>
        <v>0</v>
      </c>
      <c r="B510"/>
      <c r="C510"/>
      <c r="D510"/>
      <c r="E510"/>
      <c r="F510"/>
      <c r="G510"/>
      <c r="H510"/>
      <c r="I510"/>
      <c r="J510"/>
      <c r="K510"/>
      <c r="L510" s="16">
        <f t="shared" si="25"/>
        <v>0</v>
      </c>
      <c r="M510" s="16" t="str">
        <f t="shared" si="27"/>
        <v/>
      </c>
      <c r="N510" s="17">
        <f t="shared" si="26"/>
        <v>0</v>
      </c>
    </row>
    <row r="511" spans="1:14" x14ac:dyDescent="0.2">
      <c r="A511" s="19">
        <f>IF(ISERROR(VLOOKUP(B511,Catalogo!$A$2:$C$410,2,0)),0,(VLOOKUP(B511,Catalogo!$A$2:$C$410,2,0)))</f>
        <v>0</v>
      </c>
      <c r="B511"/>
      <c r="C511"/>
      <c r="D511"/>
      <c r="E511"/>
      <c r="F511"/>
      <c r="G511"/>
      <c r="H511"/>
      <c r="I511"/>
      <c r="J511"/>
      <c r="K511"/>
      <c r="L511" s="16">
        <f t="shared" si="25"/>
        <v>0</v>
      </c>
      <c r="M511" s="16" t="str">
        <f t="shared" si="27"/>
        <v/>
      </c>
      <c r="N511" s="17">
        <f t="shared" si="26"/>
        <v>0</v>
      </c>
    </row>
    <row r="512" spans="1:14" x14ac:dyDescent="0.2">
      <c r="A512" s="19">
        <f>IF(ISERROR(VLOOKUP(B512,Catalogo!$A$2:$C$410,2,0)),0,(VLOOKUP(B512,Catalogo!$A$2:$C$410,2,0)))</f>
        <v>0</v>
      </c>
      <c r="B512"/>
      <c r="C512"/>
      <c r="D512"/>
      <c r="E512"/>
      <c r="F512"/>
      <c r="G512"/>
      <c r="H512"/>
      <c r="I512"/>
      <c r="J512"/>
      <c r="K512"/>
      <c r="L512" s="16">
        <f t="shared" si="25"/>
        <v>0</v>
      </c>
      <c r="M512" s="16" t="str">
        <f t="shared" si="27"/>
        <v/>
      </c>
      <c r="N512" s="17">
        <f t="shared" si="26"/>
        <v>0</v>
      </c>
    </row>
    <row r="513" spans="1:14" x14ac:dyDescent="0.2">
      <c r="A513" s="19">
        <f>IF(ISERROR(VLOOKUP(B513,Catalogo!$A$2:$C$410,2,0)),0,(VLOOKUP(B513,Catalogo!$A$2:$C$410,2,0)))</f>
        <v>0</v>
      </c>
      <c r="B513"/>
      <c r="C513"/>
      <c r="D513"/>
      <c r="E513"/>
      <c r="F513"/>
      <c r="G513"/>
      <c r="H513"/>
      <c r="I513"/>
      <c r="J513"/>
      <c r="K513"/>
      <c r="L513" s="16">
        <f t="shared" si="25"/>
        <v>0</v>
      </c>
      <c r="M513" s="16" t="str">
        <f t="shared" si="27"/>
        <v/>
      </c>
      <c r="N513" s="17">
        <f t="shared" si="26"/>
        <v>0</v>
      </c>
    </row>
    <row r="514" spans="1:14" x14ac:dyDescent="0.2">
      <c r="A514" s="19">
        <f>IF(ISERROR(VLOOKUP(B514,Catalogo!$A$2:$C$410,2,0)),0,(VLOOKUP(B514,Catalogo!$A$2:$C$410,2,0)))</f>
        <v>0</v>
      </c>
      <c r="B514"/>
      <c r="C514"/>
      <c r="D514"/>
      <c r="E514"/>
      <c r="F514"/>
      <c r="G514"/>
      <c r="H514"/>
      <c r="I514"/>
      <c r="J514"/>
      <c r="K514"/>
      <c r="L514" s="16">
        <f t="shared" ref="L514:L577" si="28">IF(A514="Record Keeping",B514,0)</f>
        <v>0</v>
      </c>
      <c r="M514" s="16" t="str">
        <f t="shared" si="27"/>
        <v/>
      </c>
      <c r="N514" s="17">
        <f t="shared" ref="N514:N577" si="29">IF(G514="CAN",F514*0,IF(M514="R",F514*-1,F514*1)*AND(A514="Record Keeping"))</f>
        <v>0</v>
      </c>
    </row>
    <row r="515" spans="1:14" x14ac:dyDescent="0.2">
      <c r="A515" s="19">
        <f>IF(ISERROR(VLOOKUP(B515,Catalogo!$A$2:$C$410,2,0)),0,(VLOOKUP(B515,Catalogo!$A$2:$C$410,2,0)))</f>
        <v>0</v>
      </c>
      <c r="B515"/>
      <c r="C515"/>
      <c r="D515"/>
      <c r="E515"/>
      <c r="F515"/>
      <c r="G515"/>
      <c r="H515"/>
      <c r="I515"/>
      <c r="J515"/>
      <c r="K515"/>
      <c r="L515" s="16">
        <f t="shared" si="28"/>
        <v>0</v>
      </c>
      <c r="M515" s="16" t="str">
        <f t="shared" si="27"/>
        <v/>
      </c>
      <c r="N515" s="17">
        <f t="shared" si="29"/>
        <v>0</v>
      </c>
    </row>
    <row r="516" spans="1:14" x14ac:dyDescent="0.2">
      <c r="A516" s="19">
        <f>IF(ISERROR(VLOOKUP(B516,Catalogo!$A$2:$C$410,2,0)),0,(VLOOKUP(B516,Catalogo!$A$2:$C$410,2,0)))</f>
        <v>0</v>
      </c>
      <c r="B516"/>
      <c r="C516"/>
      <c r="D516"/>
      <c r="E516"/>
      <c r="F516"/>
      <c r="G516"/>
      <c r="H516"/>
      <c r="I516"/>
      <c r="J516"/>
      <c r="K516"/>
      <c r="L516" s="16">
        <f t="shared" si="28"/>
        <v>0</v>
      </c>
      <c r="M516" s="16" t="str">
        <f t="shared" si="27"/>
        <v/>
      </c>
      <c r="N516" s="17">
        <f t="shared" si="29"/>
        <v>0</v>
      </c>
    </row>
    <row r="517" spans="1:14" x14ac:dyDescent="0.2">
      <c r="A517" s="19">
        <f>IF(ISERROR(VLOOKUP(B517,Catalogo!$A$2:$C$410,2,0)),0,(VLOOKUP(B517,Catalogo!$A$2:$C$410,2,0)))</f>
        <v>0</v>
      </c>
      <c r="B517"/>
      <c r="C517"/>
      <c r="D517"/>
      <c r="E517"/>
      <c r="F517"/>
      <c r="G517"/>
      <c r="H517"/>
      <c r="I517"/>
      <c r="J517"/>
      <c r="K517"/>
      <c r="L517" s="16">
        <f t="shared" si="28"/>
        <v>0</v>
      </c>
      <c r="M517" s="16" t="str">
        <f t="shared" si="27"/>
        <v/>
      </c>
      <c r="N517" s="17">
        <f t="shared" si="29"/>
        <v>0</v>
      </c>
    </row>
    <row r="518" spans="1:14" x14ac:dyDescent="0.2">
      <c r="A518" s="19">
        <f>IF(ISERROR(VLOOKUP(B518,Catalogo!$A$2:$C$410,2,0)),0,(VLOOKUP(B518,Catalogo!$A$2:$C$410,2,0)))</f>
        <v>0</v>
      </c>
      <c r="B518"/>
      <c r="C518"/>
      <c r="D518"/>
      <c r="E518"/>
      <c r="F518"/>
      <c r="G518"/>
      <c r="H518"/>
      <c r="I518"/>
      <c r="J518"/>
      <c r="K518"/>
      <c r="L518" s="16">
        <f t="shared" si="28"/>
        <v>0</v>
      </c>
      <c r="M518" s="16" t="str">
        <f t="shared" si="27"/>
        <v/>
      </c>
      <c r="N518" s="17">
        <f t="shared" si="29"/>
        <v>0</v>
      </c>
    </row>
    <row r="519" spans="1:14" x14ac:dyDescent="0.2">
      <c r="A519" s="19">
        <f>IF(ISERROR(VLOOKUP(B519,Catalogo!$A$2:$C$410,2,0)),0,(VLOOKUP(B519,Catalogo!$A$2:$C$410,2,0)))</f>
        <v>0</v>
      </c>
      <c r="B519"/>
      <c r="C519"/>
      <c r="D519"/>
      <c r="E519"/>
      <c r="F519"/>
      <c r="G519"/>
      <c r="H519"/>
      <c r="I519"/>
      <c r="J519"/>
      <c r="K519"/>
      <c r="L519" s="16">
        <f t="shared" si="28"/>
        <v>0</v>
      </c>
      <c r="M519" s="16" t="str">
        <f t="shared" ref="M519:M582" si="30">LEFT(E519,1)</f>
        <v/>
      </c>
      <c r="N519" s="17">
        <f t="shared" si="29"/>
        <v>0</v>
      </c>
    </row>
    <row r="520" spans="1:14" x14ac:dyDescent="0.2">
      <c r="A520" s="19">
        <f>IF(ISERROR(VLOOKUP(B520,Catalogo!$A$2:$C$410,2,0)),0,(VLOOKUP(B520,Catalogo!$A$2:$C$410,2,0)))</f>
        <v>0</v>
      </c>
      <c r="B520"/>
      <c r="C520"/>
      <c r="D520"/>
      <c r="E520"/>
      <c r="F520"/>
      <c r="G520"/>
      <c r="H520"/>
      <c r="I520"/>
      <c r="J520"/>
      <c r="K520"/>
      <c r="L520" s="16">
        <f t="shared" si="28"/>
        <v>0</v>
      </c>
      <c r="M520" s="16" t="str">
        <f t="shared" si="30"/>
        <v/>
      </c>
      <c r="N520" s="17">
        <f t="shared" si="29"/>
        <v>0</v>
      </c>
    </row>
    <row r="521" spans="1:14" x14ac:dyDescent="0.2">
      <c r="A521" s="19">
        <f>IF(ISERROR(VLOOKUP(B521,Catalogo!$A$2:$C$410,2,0)),0,(VLOOKUP(B521,Catalogo!$A$2:$C$410,2,0)))</f>
        <v>0</v>
      </c>
      <c r="B521"/>
      <c r="C521"/>
      <c r="D521"/>
      <c r="E521"/>
      <c r="F521"/>
      <c r="G521"/>
      <c r="H521"/>
      <c r="I521"/>
      <c r="J521"/>
      <c r="K521"/>
      <c r="L521" s="16">
        <f t="shared" si="28"/>
        <v>0</v>
      </c>
      <c r="M521" s="16" t="str">
        <f t="shared" si="30"/>
        <v/>
      </c>
      <c r="N521" s="17">
        <f t="shared" si="29"/>
        <v>0</v>
      </c>
    </row>
    <row r="522" spans="1:14" x14ac:dyDescent="0.2">
      <c r="A522" s="19">
        <f>IF(ISERROR(VLOOKUP(B522,Catalogo!$A$2:$C$410,2,0)),0,(VLOOKUP(B522,Catalogo!$A$2:$C$410,2,0)))</f>
        <v>0</v>
      </c>
      <c r="B522"/>
      <c r="C522"/>
      <c r="D522"/>
      <c r="E522"/>
      <c r="F522"/>
      <c r="G522"/>
      <c r="H522"/>
      <c r="I522"/>
      <c r="J522"/>
      <c r="K522"/>
      <c r="L522" s="16">
        <f t="shared" si="28"/>
        <v>0</v>
      </c>
      <c r="M522" s="16" t="str">
        <f t="shared" si="30"/>
        <v/>
      </c>
      <c r="N522" s="17">
        <f t="shared" si="29"/>
        <v>0</v>
      </c>
    </row>
    <row r="523" spans="1:14" x14ac:dyDescent="0.2">
      <c r="A523" s="19">
        <f>IF(ISERROR(VLOOKUP(B523,Catalogo!$A$2:$C$410,2,0)),0,(VLOOKUP(B523,Catalogo!$A$2:$C$410,2,0)))</f>
        <v>0</v>
      </c>
      <c r="B523"/>
      <c r="C523"/>
      <c r="D523"/>
      <c r="E523"/>
      <c r="F523"/>
      <c r="G523"/>
      <c r="H523"/>
      <c r="I523"/>
      <c r="J523"/>
      <c r="K523"/>
      <c r="L523" s="16">
        <f t="shared" si="28"/>
        <v>0</v>
      </c>
      <c r="M523" s="16" t="str">
        <f t="shared" si="30"/>
        <v/>
      </c>
      <c r="N523" s="17">
        <f t="shared" si="29"/>
        <v>0</v>
      </c>
    </row>
    <row r="524" spans="1:14" x14ac:dyDescent="0.2">
      <c r="A524" s="19">
        <f>IF(ISERROR(VLOOKUP(B524,Catalogo!$A$2:$C$410,2,0)),0,(VLOOKUP(B524,Catalogo!$A$2:$C$410,2,0)))</f>
        <v>0</v>
      </c>
      <c r="B524"/>
      <c r="C524"/>
      <c r="D524"/>
      <c r="E524"/>
      <c r="F524"/>
      <c r="G524"/>
      <c r="H524"/>
      <c r="I524"/>
      <c r="J524"/>
      <c r="K524"/>
      <c r="L524" s="16">
        <f t="shared" si="28"/>
        <v>0</v>
      </c>
      <c r="M524" s="16" t="str">
        <f t="shared" si="30"/>
        <v/>
      </c>
      <c r="N524" s="17">
        <f t="shared" si="29"/>
        <v>0</v>
      </c>
    </row>
    <row r="525" spans="1:14" x14ac:dyDescent="0.2">
      <c r="A525" s="19">
        <f>IF(ISERROR(VLOOKUP(B525,Catalogo!$A$2:$C$410,2,0)),0,(VLOOKUP(B525,Catalogo!$A$2:$C$410,2,0)))</f>
        <v>0</v>
      </c>
      <c r="B525"/>
      <c r="C525"/>
      <c r="D525"/>
      <c r="E525"/>
      <c r="F525"/>
      <c r="G525"/>
      <c r="H525"/>
      <c r="I525"/>
      <c r="J525"/>
      <c r="K525"/>
      <c r="L525" s="16">
        <f t="shared" si="28"/>
        <v>0</v>
      </c>
      <c r="M525" s="16" t="str">
        <f t="shared" si="30"/>
        <v/>
      </c>
      <c r="N525" s="17">
        <f t="shared" si="29"/>
        <v>0</v>
      </c>
    </row>
    <row r="526" spans="1:14" x14ac:dyDescent="0.2">
      <c r="A526" s="19">
        <f>IF(ISERROR(VLOOKUP(B526,Catalogo!$A$2:$C$410,2,0)),0,(VLOOKUP(B526,Catalogo!$A$2:$C$410,2,0)))</f>
        <v>0</v>
      </c>
      <c r="B526"/>
      <c r="C526"/>
      <c r="D526"/>
      <c r="E526"/>
      <c r="F526"/>
      <c r="G526"/>
      <c r="H526"/>
      <c r="I526"/>
      <c r="J526"/>
      <c r="K526"/>
      <c r="L526" s="16">
        <f t="shared" si="28"/>
        <v>0</v>
      </c>
      <c r="M526" s="16" t="str">
        <f t="shared" si="30"/>
        <v/>
      </c>
      <c r="N526" s="17">
        <f t="shared" si="29"/>
        <v>0</v>
      </c>
    </row>
    <row r="527" spans="1:14" x14ac:dyDescent="0.2">
      <c r="A527" s="19">
        <f>IF(ISERROR(VLOOKUP(B527,Catalogo!$A$2:$C$410,2,0)),0,(VLOOKUP(B527,Catalogo!$A$2:$C$410,2,0)))</f>
        <v>0</v>
      </c>
      <c r="B527"/>
      <c r="C527"/>
      <c r="D527"/>
      <c r="E527"/>
      <c r="F527"/>
      <c r="G527"/>
      <c r="H527"/>
      <c r="I527"/>
      <c r="J527"/>
      <c r="K527"/>
      <c r="L527" s="16">
        <f t="shared" si="28"/>
        <v>0</v>
      </c>
      <c r="M527" s="16" t="str">
        <f t="shared" si="30"/>
        <v/>
      </c>
      <c r="N527" s="17">
        <f t="shared" si="29"/>
        <v>0</v>
      </c>
    </row>
    <row r="528" spans="1:14" x14ac:dyDescent="0.2">
      <c r="A528" s="19">
        <f>IF(ISERROR(VLOOKUP(B528,Catalogo!$A$2:$C$410,2,0)),0,(VLOOKUP(B528,Catalogo!$A$2:$C$410,2,0)))</f>
        <v>0</v>
      </c>
      <c r="B528"/>
      <c r="C528"/>
      <c r="D528"/>
      <c r="E528"/>
      <c r="F528"/>
      <c r="G528"/>
      <c r="H528"/>
      <c r="I528"/>
      <c r="J528"/>
      <c r="K528"/>
      <c r="L528" s="16">
        <f t="shared" si="28"/>
        <v>0</v>
      </c>
      <c r="M528" s="16" t="str">
        <f t="shared" si="30"/>
        <v/>
      </c>
      <c r="N528" s="17">
        <f t="shared" si="29"/>
        <v>0</v>
      </c>
    </row>
    <row r="529" spans="1:14" x14ac:dyDescent="0.2">
      <c r="A529" s="19">
        <f>IF(ISERROR(VLOOKUP(B529,Catalogo!$A$2:$C$410,2,0)),0,(VLOOKUP(B529,Catalogo!$A$2:$C$410,2,0)))</f>
        <v>0</v>
      </c>
      <c r="B529"/>
      <c r="C529"/>
      <c r="D529"/>
      <c r="E529"/>
      <c r="F529"/>
      <c r="G529"/>
      <c r="H529"/>
      <c r="I529"/>
      <c r="J529"/>
      <c r="K529"/>
      <c r="L529" s="16">
        <f t="shared" si="28"/>
        <v>0</v>
      </c>
      <c r="M529" s="16" t="str">
        <f t="shared" si="30"/>
        <v/>
      </c>
      <c r="N529" s="17">
        <f t="shared" si="29"/>
        <v>0</v>
      </c>
    </row>
    <row r="530" spans="1:14" x14ac:dyDescent="0.2">
      <c r="A530" s="19">
        <f>IF(ISERROR(VLOOKUP(B530,Catalogo!$A$2:$C$410,2,0)),0,(VLOOKUP(B530,Catalogo!$A$2:$C$410,2,0)))</f>
        <v>0</v>
      </c>
      <c r="B530"/>
      <c r="C530"/>
      <c r="D530"/>
      <c r="E530"/>
      <c r="F530"/>
      <c r="G530"/>
      <c r="H530"/>
      <c r="I530"/>
      <c r="J530"/>
      <c r="K530"/>
      <c r="L530" s="16">
        <f t="shared" si="28"/>
        <v>0</v>
      </c>
      <c r="M530" s="16" t="str">
        <f t="shared" si="30"/>
        <v/>
      </c>
      <c r="N530" s="17">
        <f t="shared" si="29"/>
        <v>0</v>
      </c>
    </row>
    <row r="531" spans="1:14" x14ac:dyDescent="0.2">
      <c r="A531" s="19">
        <f>IF(ISERROR(VLOOKUP(B531,Catalogo!$A$2:$C$410,2,0)),0,(VLOOKUP(B531,Catalogo!$A$2:$C$410,2,0)))</f>
        <v>0</v>
      </c>
      <c r="B531"/>
      <c r="C531"/>
      <c r="D531"/>
      <c r="E531"/>
      <c r="F531"/>
      <c r="G531"/>
      <c r="H531"/>
      <c r="I531"/>
      <c r="J531"/>
      <c r="K531"/>
      <c r="L531" s="16">
        <f t="shared" si="28"/>
        <v>0</v>
      </c>
      <c r="M531" s="16" t="str">
        <f t="shared" si="30"/>
        <v/>
      </c>
      <c r="N531" s="17">
        <f t="shared" si="29"/>
        <v>0</v>
      </c>
    </row>
    <row r="532" spans="1:14" x14ac:dyDescent="0.2">
      <c r="A532" s="19">
        <f>IF(ISERROR(VLOOKUP(B532,Catalogo!$A$2:$C$410,2,0)),0,(VLOOKUP(B532,Catalogo!$A$2:$C$410,2,0)))</f>
        <v>0</v>
      </c>
      <c r="B532"/>
      <c r="C532"/>
      <c r="D532"/>
      <c r="E532"/>
      <c r="F532"/>
      <c r="G532"/>
      <c r="H532"/>
      <c r="I532"/>
      <c r="J532"/>
      <c r="K532"/>
      <c r="L532" s="16">
        <f t="shared" si="28"/>
        <v>0</v>
      </c>
      <c r="M532" s="16" t="str">
        <f t="shared" si="30"/>
        <v/>
      </c>
      <c r="N532" s="17">
        <f t="shared" si="29"/>
        <v>0</v>
      </c>
    </row>
    <row r="533" spans="1:14" x14ac:dyDescent="0.2">
      <c r="A533" s="19">
        <f>IF(ISERROR(VLOOKUP(B533,Catalogo!$A$2:$C$410,2,0)),0,(VLOOKUP(B533,Catalogo!$A$2:$C$410,2,0)))</f>
        <v>0</v>
      </c>
      <c r="B533"/>
      <c r="C533"/>
      <c r="D533"/>
      <c r="E533"/>
      <c r="F533"/>
      <c r="G533"/>
      <c r="H533"/>
      <c r="I533"/>
      <c r="J533"/>
      <c r="K533"/>
      <c r="L533" s="16">
        <f t="shared" si="28"/>
        <v>0</v>
      </c>
      <c r="M533" s="16" t="str">
        <f t="shared" si="30"/>
        <v/>
      </c>
      <c r="N533" s="17">
        <f t="shared" si="29"/>
        <v>0</v>
      </c>
    </row>
    <row r="534" spans="1:14" x14ac:dyDescent="0.2">
      <c r="A534" s="19">
        <f>IF(ISERROR(VLOOKUP(B534,Catalogo!$A$2:$C$410,2,0)),0,(VLOOKUP(B534,Catalogo!$A$2:$C$410,2,0)))</f>
        <v>0</v>
      </c>
      <c r="B534"/>
      <c r="C534"/>
      <c r="D534"/>
      <c r="E534"/>
      <c r="F534"/>
      <c r="G534"/>
      <c r="H534"/>
      <c r="I534"/>
      <c r="J534"/>
      <c r="K534"/>
      <c r="L534" s="16">
        <f t="shared" si="28"/>
        <v>0</v>
      </c>
      <c r="M534" s="16" t="str">
        <f t="shared" si="30"/>
        <v/>
      </c>
      <c r="N534" s="17">
        <f t="shared" si="29"/>
        <v>0</v>
      </c>
    </row>
    <row r="535" spans="1:14" x14ac:dyDescent="0.2">
      <c r="A535" s="19">
        <f>IF(ISERROR(VLOOKUP(B535,Catalogo!$A$2:$C$410,2,0)),0,(VLOOKUP(B535,Catalogo!$A$2:$C$410,2,0)))</f>
        <v>0</v>
      </c>
      <c r="B535"/>
      <c r="C535"/>
      <c r="D535"/>
      <c r="E535"/>
      <c r="F535"/>
      <c r="G535"/>
      <c r="H535"/>
      <c r="I535"/>
      <c r="J535"/>
      <c r="K535"/>
      <c r="L535" s="16">
        <f t="shared" si="28"/>
        <v>0</v>
      </c>
      <c r="M535" s="16" t="str">
        <f t="shared" si="30"/>
        <v/>
      </c>
      <c r="N535" s="17">
        <f t="shared" si="29"/>
        <v>0</v>
      </c>
    </row>
    <row r="536" spans="1:14" x14ac:dyDescent="0.2">
      <c r="A536" s="19">
        <f>IF(ISERROR(VLOOKUP(B536,Catalogo!$A$2:$C$410,2,0)),0,(VLOOKUP(B536,Catalogo!$A$2:$C$410,2,0)))</f>
        <v>0</v>
      </c>
      <c r="B536"/>
      <c r="C536"/>
      <c r="D536"/>
      <c r="E536"/>
      <c r="F536"/>
      <c r="G536"/>
      <c r="H536"/>
      <c r="I536"/>
      <c r="J536"/>
      <c r="K536"/>
      <c r="L536" s="16">
        <f t="shared" si="28"/>
        <v>0</v>
      </c>
      <c r="M536" s="16" t="str">
        <f t="shared" si="30"/>
        <v/>
      </c>
      <c r="N536" s="17">
        <f t="shared" si="29"/>
        <v>0</v>
      </c>
    </row>
    <row r="537" spans="1:14" x14ac:dyDescent="0.2">
      <c r="A537" s="19">
        <f>IF(ISERROR(VLOOKUP(B537,Catalogo!$A$2:$C$410,2,0)),0,(VLOOKUP(B537,Catalogo!$A$2:$C$410,2,0)))</f>
        <v>0</v>
      </c>
      <c r="B537"/>
      <c r="C537"/>
      <c r="D537"/>
      <c r="E537"/>
      <c r="F537"/>
      <c r="G537"/>
      <c r="H537"/>
      <c r="I537"/>
      <c r="J537"/>
      <c r="K537"/>
      <c r="L537" s="16">
        <f t="shared" si="28"/>
        <v>0</v>
      </c>
      <c r="M537" s="16" t="str">
        <f t="shared" si="30"/>
        <v/>
      </c>
      <c r="N537" s="17">
        <f t="shared" si="29"/>
        <v>0</v>
      </c>
    </row>
    <row r="538" spans="1:14" x14ac:dyDescent="0.2">
      <c r="A538" s="19">
        <f>IF(ISERROR(VLOOKUP(B538,Catalogo!$A$2:$C$410,2,0)),0,(VLOOKUP(B538,Catalogo!$A$2:$C$410,2,0)))</f>
        <v>0</v>
      </c>
      <c r="B538"/>
      <c r="C538"/>
      <c r="D538"/>
      <c r="E538"/>
      <c r="F538"/>
      <c r="G538"/>
      <c r="H538"/>
      <c r="I538"/>
      <c r="J538"/>
      <c r="K538"/>
      <c r="L538" s="16">
        <f t="shared" si="28"/>
        <v>0</v>
      </c>
      <c r="M538" s="16" t="str">
        <f t="shared" si="30"/>
        <v/>
      </c>
      <c r="N538" s="17">
        <f t="shared" si="29"/>
        <v>0</v>
      </c>
    </row>
    <row r="539" spans="1:14" x14ac:dyDescent="0.2">
      <c r="A539" s="19">
        <f>IF(ISERROR(VLOOKUP(B539,Catalogo!$A$2:$C$410,2,0)),0,(VLOOKUP(B539,Catalogo!$A$2:$C$410,2,0)))</f>
        <v>0</v>
      </c>
      <c r="B539"/>
      <c r="C539"/>
      <c r="D539"/>
      <c r="E539"/>
      <c r="F539"/>
      <c r="G539"/>
      <c r="H539"/>
      <c r="I539"/>
      <c r="J539"/>
      <c r="K539"/>
      <c r="L539" s="16">
        <f t="shared" si="28"/>
        <v>0</v>
      </c>
      <c r="M539" s="16" t="str">
        <f t="shared" si="30"/>
        <v/>
      </c>
      <c r="N539" s="17">
        <f t="shared" si="29"/>
        <v>0</v>
      </c>
    </row>
    <row r="540" spans="1:14" x14ac:dyDescent="0.2">
      <c r="A540" s="19">
        <f>IF(ISERROR(VLOOKUP(B540,Catalogo!$A$2:$C$410,2,0)),0,(VLOOKUP(B540,Catalogo!$A$2:$C$410,2,0)))</f>
        <v>0</v>
      </c>
      <c r="B540"/>
      <c r="C540"/>
      <c r="D540"/>
      <c r="E540"/>
      <c r="F540"/>
      <c r="G540"/>
      <c r="H540"/>
      <c r="I540"/>
      <c r="J540"/>
      <c r="K540"/>
      <c r="L540" s="16">
        <f t="shared" si="28"/>
        <v>0</v>
      </c>
      <c r="M540" s="16" t="str">
        <f t="shared" si="30"/>
        <v/>
      </c>
      <c r="N540" s="17">
        <f t="shared" si="29"/>
        <v>0</v>
      </c>
    </row>
    <row r="541" spans="1:14" x14ac:dyDescent="0.2">
      <c r="A541" s="19">
        <f>IF(ISERROR(VLOOKUP(B541,Catalogo!$A$2:$C$410,2,0)),0,(VLOOKUP(B541,Catalogo!$A$2:$C$410,2,0)))</f>
        <v>0</v>
      </c>
      <c r="B541"/>
      <c r="C541"/>
      <c r="D541"/>
      <c r="E541"/>
      <c r="F541"/>
      <c r="G541"/>
      <c r="H541"/>
      <c r="I541"/>
      <c r="J541"/>
      <c r="K541"/>
      <c r="L541" s="16">
        <f t="shared" si="28"/>
        <v>0</v>
      </c>
      <c r="M541" s="16" t="str">
        <f t="shared" si="30"/>
        <v/>
      </c>
      <c r="N541" s="17">
        <f t="shared" si="29"/>
        <v>0</v>
      </c>
    </row>
    <row r="542" spans="1:14" x14ac:dyDescent="0.2">
      <c r="A542" s="19">
        <f>IF(ISERROR(VLOOKUP(B542,Catalogo!$A$2:$C$410,2,0)),0,(VLOOKUP(B542,Catalogo!$A$2:$C$410,2,0)))</f>
        <v>0</v>
      </c>
      <c r="B542"/>
      <c r="C542"/>
      <c r="D542"/>
      <c r="E542"/>
      <c r="F542"/>
      <c r="G542"/>
      <c r="H542"/>
      <c r="I542"/>
      <c r="J542"/>
      <c r="K542"/>
      <c r="L542" s="16">
        <f t="shared" si="28"/>
        <v>0</v>
      </c>
      <c r="M542" s="16" t="str">
        <f t="shared" si="30"/>
        <v/>
      </c>
      <c r="N542" s="17">
        <f t="shared" si="29"/>
        <v>0</v>
      </c>
    </row>
    <row r="543" spans="1:14" x14ac:dyDescent="0.2">
      <c r="A543" s="19">
        <f>IF(ISERROR(VLOOKUP(B543,Catalogo!$A$2:$C$410,2,0)),0,(VLOOKUP(B543,Catalogo!$A$2:$C$410,2,0)))</f>
        <v>0</v>
      </c>
      <c r="B543"/>
      <c r="C543"/>
      <c r="D543"/>
      <c r="E543"/>
      <c r="F543"/>
      <c r="G543"/>
      <c r="H543"/>
      <c r="I543"/>
      <c r="J543"/>
      <c r="K543"/>
      <c r="L543" s="16">
        <f t="shared" si="28"/>
        <v>0</v>
      </c>
      <c r="M543" s="16" t="str">
        <f t="shared" si="30"/>
        <v/>
      </c>
      <c r="N543" s="17">
        <f t="shared" si="29"/>
        <v>0</v>
      </c>
    </row>
    <row r="544" spans="1:14" x14ac:dyDescent="0.2">
      <c r="A544" s="19">
        <f>IF(ISERROR(VLOOKUP(B544,Catalogo!$A$2:$C$410,2,0)),0,(VLOOKUP(B544,Catalogo!$A$2:$C$410,2,0)))</f>
        <v>0</v>
      </c>
      <c r="B544"/>
      <c r="C544"/>
      <c r="D544"/>
      <c r="E544"/>
      <c r="F544"/>
      <c r="G544"/>
      <c r="H544"/>
      <c r="I544"/>
      <c r="J544"/>
      <c r="K544"/>
      <c r="L544" s="16">
        <f t="shared" si="28"/>
        <v>0</v>
      </c>
      <c r="M544" s="16" t="str">
        <f t="shared" si="30"/>
        <v/>
      </c>
      <c r="N544" s="17">
        <f t="shared" si="29"/>
        <v>0</v>
      </c>
    </row>
    <row r="545" spans="1:14" x14ac:dyDescent="0.2">
      <c r="A545" s="19">
        <f>IF(ISERROR(VLOOKUP(B545,Catalogo!$A$2:$C$410,2,0)),0,(VLOOKUP(B545,Catalogo!$A$2:$C$410,2,0)))</f>
        <v>0</v>
      </c>
      <c r="B545"/>
      <c r="C545"/>
      <c r="D545"/>
      <c r="E545"/>
      <c r="F545"/>
      <c r="G545"/>
      <c r="H545"/>
      <c r="I545"/>
      <c r="J545"/>
      <c r="K545"/>
      <c r="L545" s="16">
        <f t="shared" si="28"/>
        <v>0</v>
      </c>
      <c r="M545" s="16" t="str">
        <f t="shared" si="30"/>
        <v/>
      </c>
      <c r="N545" s="17">
        <f t="shared" si="29"/>
        <v>0</v>
      </c>
    </row>
    <row r="546" spans="1:14" x14ac:dyDescent="0.2">
      <c r="A546" s="19">
        <f>IF(ISERROR(VLOOKUP(B546,Catalogo!$A$2:$C$410,2,0)),0,(VLOOKUP(B546,Catalogo!$A$2:$C$410,2,0)))</f>
        <v>0</v>
      </c>
      <c r="B546"/>
      <c r="C546"/>
      <c r="D546"/>
      <c r="E546"/>
      <c r="F546"/>
      <c r="G546"/>
      <c r="H546"/>
      <c r="I546"/>
      <c r="J546"/>
      <c r="K546"/>
      <c r="L546" s="16">
        <f t="shared" si="28"/>
        <v>0</v>
      </c>
      <c r="M546" s="16" t="str">
        <f t="shared" si="30"/>
        <v/>
      </c>
      <c r="N546" s="17">
        <f t="shared" si="29"/>
        <v>0</v>
      </c>
    </row>
    <row r="547" spans="1:14" x14ac:dyDescent="0.2">
      <c r="A547" s="19">
        <f>IF(ISERROR(VLOOKUP(B547,Catalogo!$A$2:$C$410,2,0)),0,(VLOOKUP(B547,Catalogo!$A$2:$C$410,2,0)))</f>
        <v>0</v>
      </c>
      <c r="B547"/>
      <c r="C547"/>
      <c r="D547"/>
      <c r="E547"/>
      <c r="F547"/>
      <c r="G547"/>
      <c r="H547"/>
      <c r="I547"/>
      <c r="J547"/>
      <c r="K547"/>
      <c r="L547" s="16">
        <f t="shared" si="28"/>
        <v>0</v>
      </c>
      <c r="M547" s="16" t="str">
        <f t="shared" si="30"/>
        <v/>
      </c>
      <c r="N547" s="17">
        <f t="shared" si="29"/>
        <v>0</v>
      </c>
    </row>
    <row r="548" spans="1:14" x14ac:dyDescent="0.2">
      <c r="A548" s="19">
        <f>IF(ISERROR(VLOOKUP(B548,Catalogo!$A$2:$C$410,2,0)),0,(VLOOKUP(B548,Catalogo!$A$2:$C$410,2,0)))</f>
        <v>0</v>
      </c>
      <c r="B548"/>
      <c r="C548"/>
      <c r="D548"/>
      <c r="E548"/>
      <c r="F548"/>
      <c r="G548"/>
      <c r="H548"/>
      <c r="I548"/>
      <c r="J548"/>
      <c r="K548"/>
      <c r="L548" s="16">
        <f t="shared" si="28"/>
        <v>0</v>
      </c>
      <c r="M548" s="16" t="str">
        <f t="shared" si="30"/>
        <v/>
      </c>
      <c r="N548" s="17">
        <f t="shared" si="29"/>
        <v>0</v>
      </c>
    </row>
    <row r="549" spans="1:14" x14ac:dyDescent="0.2">
      <c r="A549" s="19">
        <f>IF(ISERROR(VLOOKUP(B549,Catalogo!$A$2:$C$410,2,0)),0,(VLOOKUP(B549,Catalogo!$A$2:$C$410,2,0)))</f>
        <v>0</v>
      </c>
      <c r="B549"/>
      <c r="C549"/>
      <c r="D549"/>
      <c r="E549"/>
      <c r="F549"/>
      <c r="G549"/>
      <c r="H549"/>
      <c r="I549"/>
      <c r="J549"/>
      <c r="K549"/>
      <c r="L549" s="16">
        <f t="shared" si="28"/>
        <v>0</v>
      </c>
      <c r="M549" s="16" t="str">
        <f t="shared" si="30"/>
        <v/>
      </c>
      <c r="N549" s="17">
        <f t="shared" si="29"/>
        <v>0</v>
      </c>
    </row>
    <row r="550" spans="1:14" x14ac:dyDescent="0.2">
      <c r="A550" s="19">
        <f>IF(ISERROR(VLOOKUP(B550,Catalogo!$A$2:$C$410,2,0)),0,(VLOOKUP(B550,Catalogo!$A$2:$C$410,2,0)))</f>
        <v>0</v>
      </c>
      <c r="B550"/>
      <c r="C550"/>
      <c r="D550"/>
      <c r="E550"/>
      <c r="F550"/>
      <c r="G550"/>
      <c r="H550"/>
      <c r="I550"/>
      <c r="J550"/>
      <c r="K550"/>
      <c r="L550" s="16">
        <f t="shared" si="28"/>
        <v>0</v>
      </c>
      <c r="M550" s="16" t="str">
        <f t="shared" si="30"/>
        <v/>
      </c>
      <c r="N550" s="17">
        <f t="shared" si="29"/>
        <v>0</v>
      </c>
    </row>
    <row r="551" spans="1:14" x14ac:dyDescent="0.2">
      <c r="A551" s="19">
        <f>IF(ISERROR(VLOOKUP(B551,Catalogo!$A$2:$C$410,2,0)),0,(VLOOKUP(B551,Catalogo!$A$2:$C$410,2,0)))</f>
        <v>0</v>
      </c>
      <c r="B551"/>
      <c r="C551"/>
      <c r="D551"/>
      <c r="E551"/>
      <c r="F551"/>
      <c r="G551"/>
      <c r="H551"/>
      <c r="I551"/>
      <c r="J551"/>
      <c r="K551"/>
      <c r="L551" s="16">
        <f t="shared" si="28"/>
        <v>0</v>
      </c>
      <c r="M551" s="16" t="str">
        <f t="shared" si="30"/>
        <v/>
      </c>
      <c r="N551" s="17">
        <f t="shared" si="29"/>
        <v>0</v>
      </c>
    </row>
    <row r="552" spans="1:14" x14ac:dyDescent="0.2">
      <c r="A552" s="19">
        <f>IF(ISERROR(VLOOKUP(B552,Catalogo!$A$2:$C$410,2,0)),0,(VLOOKUP(B552,Catalogo!$A$2:$C$410,2,0)))</f>
        <v>0</v>
      </c>
      <c r="B552"/>
      <c r="C552"/>
      <c r="D552"/>
      <c r="E552"/>
      <c r="F552"/>
      <c r="G552"/>
      <c r="H552"/>
      <c r="I552"/>
      <c r="J552"/>
      <c r="K552"/>
      <c r="L552" s="16">
        <f t="shared" si="28"/>
        <v>0</v>
      </c>
      <c r="M552" s="16" t="str">
        <f t="shared" si="30"/>
        <v/>
      </c>
      <c r="N552" s="17">
        <f t="shared" si="29"/>
        <v>0</v>
      </c>
    </row>
    <row r="553" spans="1:14" x14ac:dyDescent="0.2">
      <c r="A553" s="19">
        <f>IF(ISERROR(VLOOKUP(B553,Catalogo!$A$2:$C$410,2,0)),0,(VLOOKUP(B553,Catalogo!$A$2:$C$410,2,0)))</f>
        <v>0</v>
      </c>
      <c r="B553"/>
      <c r="C553"/>
      <c r="D553"/>
      <c r="E553"/>
      <c r="F553"/>
      <c r="G553"/>
      <c r="H553"/>
      <c r="I553"/>
      <c r="J553"/>
      <c r="K553"/>
      <c r="L553" s="16">
        <f t="shared" si="28"/>
        <v>0</v>
      </c>
      <c r="M553" s="16" t="str">
        <f t="shared" si="30"/>
        <v/>
      </c>
      <c r="N553" s="17">
        <f t="shared" si="29"/>
        <v>0</v>
      </c>
    </row>
    <row r="554" spans="1:14" x14ac:dyDescent="0.2">
      <c r="A554" s="19">
        <f>IF(ISERROR(VLOOKUP(B554,Catalogo!$A$2:$C$410,2,0)),0,(VLOOKUP(B554,Catalogo!$A$2:$C$410,2,0)))</f>
        <v>0</v>
      </c>
      <c r="B554"/>
      <c r="C554"/>
      <c r="D554"/>
      <c r="E554"/>
      <c r="F554"/>
      <c r="G554"/>
      <c r="H554"/>
      <c r="I554"/>
      <c r="J554"/>
      <c r="K554"/>
      <c r="L554" s="16">
        <f t="shared" si="28"/>
        <v>0</v>
      </c>
      <c r="M554" s="16" t="str">
        <f t="shared" si="30"/>
        <v/>
      </c>
      <c r="N554" s="17">
        <f t="shared" si="29"/>
        <v>0</v>
      </c>
    </row>
    <row r="555" spans="1:14" x14ac:dyDescent="0.2">
      <c r="A555" s="19">
        <f>IF(ISERROR(VLOOKUP(B555,Catalogo!$A$2:$C$410,2,0)),0,(VLOOKUP(B555,Catalogo!$A$2:$C$410,2,0)))</f>
        <v>0</v>
      </c>
      <c r="B555"/>
      <c r="C555"/>
      <c r="D555"/>
      <c r="E555"/>
      <c r="F555"/>
      <c r="G555"/>
      <c r="H555"/>
      <c r="I555"/>
      <c r="J555"/>
      <c r="K555"/>
      <c r="L555" s="16">
        <f t="shared" si="28"/>
        <v>0</v>
      </c>
      <c r="M555" s="16" t="str">
        <f t="shared" si="30"/>
        <v/>
      </c>
      <c r="N555" s="17">
        <f t="shared" si="29"/>
        <v>0</v>
      </c>
    </row>
    <row r="556" spans="1:14" x14ac:dyDescent="0.2">
      <c r="A556" s="19">
        <f>IF(ISERROR(VLOOKUP(B556,Catalogo!$A$2:$C$410,2,0)),0,(VLOOKUP(B556,Catalogo!$A$2:$C$410,2,0)))</f>
        <v>0</v>
      </c>
      <c r="B556"/>
      <c r="C556"/>
      <c r="D556"/>
      <c r="E556"/>
      <c r="F556"/>
      <c r="G556"/>
      <c r="H556"/>
      <c r="I556"/>
      <c r="J556"/>
      <c r="K556"/>
      <c r="L556" s="16">
        <f t="shared" si="28"/>
        <v>0</v>
      </c>
      <c r="M556" s="16" t="str">
        <f t="shared" si="30"/>
        <v/>
      </c>
      <c r="N556" s="17">
        <f t="shared" si="29"/>
        <v>0</v>
      </c>
    </row>
    <row r="557" spans="1:14" x14ac:dyDescent="0.2">
      <c r="A557" s="19">
        <f>IF(ISERROR(VLOOKUP(B557,Catalogo!$A$2:$C$410,2,0)),0,(VLOOKUP(B557,Catalogo!$A$2:$C$410,2,0)))</f>
        <v>0</v>
      </c>
      <c r="B557"/>
      <c r="C557"/>
      <c r="D557"/>
      <c r="E557"/>
      <c r="F557"/>
      <c r="G557"/>
      <c r="H557"/>
      <c r="I557"/>
      <c r="J557"/>
      <c r="K557"/>
      <c r="L557" s="16">
        <f t="shared" si="28"/>
        <v>0</v>
      </c>
      <c r="M557" s="16" t="str">
        <f t="shared" si="30"/>
        <v/>
      </c>
      <c r="N557" s="17">
        <f t="shared" si="29"/>
        <v>0</v>
      </c>
    </row>
    <row r="558" spans="1:14" x14ac:dyDescent="0.2">
      <c r="A558" s="19">
        <f>IF(ISERROR(VLOOKUP(B558,Catalogo!$A$2:$C$410,2,0)),0,(VLOOKUP(B558,Catalogo!$A$2:$C$410,2,0)))</f>
        <v>0</v>
      </c>
      <c r="B558"/>
      <c r="C558"/>
      <c r="D558"/>
      <c r="E558"/>
      <c r="F558"/>
      <c r="G558"/>
      <c r="H558"/>
      <c r="I558"/>
      <c r="J558"/>
      <c r="K558"/>
      <c r="L558" s="16">
        <f t="shared" si="28"/>
        <v>0</v>
      </c>
      <c r="M558" s="16" t="str">
        <f t="shared" si="30"/>
        <v/>
      </c>
      <c r="N558" s="17">
        <f t="shared" si="29"/>
        <v>0</v>
      </c>
    </row>
    <row r="559" spans="1:14" x14ac:dyDescent="0.2">
      <c r="A559" s="19">
        <f>IF(ISERROR(VLOOKUP(B559,Catalogo!$A$2:$C$410,2,0)),0,(VLOOKUP(B559,Catalogo!$A$2:$C$410,2,0)))</f>
        <v>0</v>
      </c>
      <c r="B559"/>
      <c r="C559"/>
      <c r="D559"/>
      <c r="E559"/>
      <c r="F559"/>
      <c r="G559"/>
      <c r="H559"/>
      <c r="I559"/>
      <c r="J559"/>
      <c r="K559"/>
      <c r="L559" s="16">
        <f t="shared" si="28"/>
        <v>0</v>
      </c>
      <c r="M559" s="16" t="str">
        <f t="shared" si="30"/>
        <v/>
      </c>
      <c r="N559" s="17">
        <f t="shared" si="29"/>
        <v>0</v>
      </c>
    </row>
    <row r="560" spans="1:14" x14ac:dyDescent="0.2">
      <c r="A560" s="19">
        <f>IF(ISERROR(VLOOKUP(B560,Catalogo!$A$2:$C$410,2,0)),0,(VLOOKUP(B560,Catalogo!$A$2:$C$410,2,0)))</f>
        <v>0</v>
      </c>
      <c r="B560"/>
      <c r="C560"/>
      <c r="D560"/>
      <c r="E560"/>
      <c r="F560"/>
      <c r="G560"/>
      <c r="H560"/>
      <c r="I560"/>
      <c r="J560"/>
      <c r="K560"/>
      <c r="L560" s="16">
        <f t="shared" si="28"/>
        <v>0</v>
      </c>
      <c r="M560" s="16" t="str">
        <f t="shared" si="30"/>
        <v/>
      </c>
      <c r="N560" s="17">
        <f t="shared" si="29"/>
        <v>0</v>
      </c>
    </row>
    <row r="561" spans="1:14" x14ac:dyDescent="0.2">
      <c r="A561" s="19">
        <f>IF(ISERROR(VLOOKUP(B561,Catalogo!$A$2:$C$410,2,0)),0,(VLOOKUP(B561,Catalogo!$A$2:$C$410,2,0)))</f>
        <v>0</v>
      </c>
      <c r="B561"/>
      <c r="C561"/>
      <c r="D561"/>
      <c r="E561"/>
      <c r="F561"/>
      <c r="G561"/>
      <c r="H561"/>
      <c r="I561"/>
      <c r="J561"/>
      <c r="K561"/>
      <c r="L561" s="16">
        <f t="shared" si="28"/>
        <v>0</v>
      </c>
      <c r="M561" s="16" t="str">
        <f t="shared" si="30"/>
        <v/>
      </c>
      <c r="N561" s="17">
        <f t="shared" si="29"/>
        <v>0</v>
      </c>
    </row>
    <row r="562" spans="1:14" x14ac:dyDescent="0.2">
      <c r="A562" s="19">
        <f>IF(ISERROR(VLOOKUP(B562,Catalogo!$A$2:$C$410,2,0)),0,(VLOOKUP(B562,Catalogo!$A$2:$C$410,2,0)))</f>
        <v>0</v>
      </c>
      <c r="B562"/>
      <c r="C562"/>
      <c r="D562"/>
      <c r="E562"/>
      <c r="F562"/>
      <c r="G562"/>
      <c r="H562"/>
      <c r="I562"/>
      <c r="J562"/>
      <c r="K562"/>
      <c r="L562" s="16">
        <f t="shared" si="28"/>
        <v>0</v>
      </c>
      <c r="M562" s="16" t="str">
        <f t="shared" si="30"/>
        <v/>
      </c>
      <c r="N562" s="17">
        <f t="shared" si="29"/>
        <v>0</v>
      </c>
    </row>
    <row r="563" spans="1:14" x14ac:dyDescent="0.2">
      <c r="A563" s="19">
        <f>IF(ISERROR(VLOOKUP(B563,Catalogo!$A$2:$C$410,2,0)),0,(VLOOKUP(B563,Catalogo!$A$2:$C$410,2,0)))</f>
        <v>0</v>
      </c>
      <c r="B563"/>
      <c r="C563"/>
      <c r="D563"/>
      <c r="E563"/>
      <c r="F563"/>
      <c r="G563"/>
      <c r="H563"/>
      <c r="I563"/>
      <c r="J563"/>
      <c r="K563"/>
      <c r="L563" s="16">
        <f t="shared" si="28"/>
        <v>0</v>
      </c>
      <c r="M563" s="16" t="str">
        <f t="shared" si="30"/>
        <v/>
      </c>
      <c r="N563" s="17">
        <f t="shared" si="29"/>
        <v>0</v>
      </c>
    </row>
    <row r="564" spans="1:14" x14ac:dyDescent="0.2">
      <c r="A564" s="19">
        <f>IF(ISERROR(VLOOKUP(B564,Catalogo!$A$2:$C$410,2,0)),0,(VLOOKUP(B564,Catalogo!$A$2:$C$410,2,0)))</f>
        <v>0</v>
      </c>
      <c r="B564"/>
      <c r="C564"/>
      <c r="D564"/>
      <c r="E564"/>
      <c r="F564"/>
      <c r="G564"/>
      <c r="H564"/>
      <c r="I564"/>
      <c r="J564"/>
      <c r="K564"/>
      <c r="L564" s="16">
        <f t="shared" si="28"/>
        <v>0</v>
      </c>
      <c r="M564" s="16" t="str">
        <f t="shared" si="30"/>
        <v/>
      </c>
      <c r="N564" s="17">
        <f t="shared" si="29"/>
        <v>0</v>
      </c>
    </row>
    <row r="565" spans="1:14" x14ac:dyDescent="0.2">
      <c r="A565" s="19">
        <f>IF(ISERROR(VLOOKUP(B565,Catalogo!$A$2:$C$410,2,0)),0,(VLOOKUP(B565,Catalogo!$A$2:$C$410,2,0)))</f>
        <v>0</v>
      </c>
      <c r="B565"/>
      <c r="C565"/>
      <c r="D565"/>
      <c r="E565"/>
      <c r="F565"/>
      <c r="G565"/>
      <c r="H565"/>
      <c r="I565"/>
      <c r="J565"/>
      <c r="K565"/>
      <c r="L565" s="16">
        <f t="shared" si="28"/>
        <v>0</v>
      </c>
      <c r="M565" s="16" t="str">
        <f t="shared" si="30"/>
        <v/>
      </c>
      <c r="N565" s="17">
        <f t="shared" si="29"/>
        <v>0</v>
      </c>
    </row>
    <row r="566" spans="1:14" x14ac:dyDescent="0.2">
      <c r="A566" s="19">
        <f>IF(ISERROR(VLOOKUP(B566,Catalogo!$A$2:$C$410,2,0)),0,(VLOOKUP(B566,Catalogo!$A$2:$C$410,2,0)))</f>
        <v>0</v>
      </c>
      <c r="B566"/>
      <c r="C566"/>
      <c r="D566"/>
      <c r="E566"/>
      <c r="F566"/>
      <c r="G566"/>
      <c r="H566"/>
      <c r="I566"/>
      <c r="J566"/>
      <c r="K566"/>
      <c r="L566" s="16">
        <f t="shared" si="28"/>
        <v>0</v>
      </c>
      <c r="M566" s="16" t="str">
        <f t="shared" si="30"/>
        <v/>
      </c>
      <c r="N566" s="17">
        <f t="shared" si="29"/>
        <v>0</v>
      </c>
    </row>
    <row r="567" spans="1:14" x14ac:dyDescent="0.2">
      <c r="A567" s="19">
        <f>IF(ISERROR(VLOOKUP(B567,Catalogo!$A$2:$C$410,2,0)),0,(VLOOKUP(B567,Catalogo!$A$2:$C$410,2,0)))</f>
        <v>0</v>
      </c>
      <c r="B567"/>
      <c r="C567"/>
      <c r="D567"/>
      <c r="E567"/>
      <c r="F567"/>
      <c r="G567"/>
      <c r="H567"/>
      <c r="I567"/>
      <c r="J567"/>
      <c r="K567"/>
      <c r="L567" s="16">
        <f t="shared" si="28"/>
        <v>0</v>
      </c>
      <c r="M567" s="16" t="str">
        <f t="shared" si="30"/>
        <v/>
      </c>
      <c r="N567" s="17">
        <f t="shared" si="29"/>
        <v>0</v>
      </c>
    </row>
    <row r="568" spans="1:14" x14ac:dyDescent="0.2">
      <c r="A568" s="19">
        <f>IF(ISERROR(VLOOKUP(B568,Catalogo!$A$2:$C$410,2,0)),0,(VLOOKUP(B568,Catalogo!$A$2:$C$410,2,0)))</f>
        <v>0</v>
      </c>
      <c r="B568"/>
      <c r="C568"/>
      <c r="D568"/>
      <c r="E568"/>
      <c r="F568"/>
      <c r="G568"/>
      <c r="H568"/>
      <c r="I568"/>
      <c r="J568"/>
      <c r="K568"/>
      <c r="L568" s="16">
        <f t="shared" si="28"/>
        <v>0</v>
      </c>
      <c r="M568" s="16" t="str">
        <f t="shared" si="30"/>
        <v/>
      </c>
      <c r="N568" s="17">
        <f t="shared" si="29"/>
        <v>0</v>
      </c>
    </row>
    <row r="569" spans="1:14" x14ac:dyDescent="0.2">
      <c r="A569" s="19">
        <f>IF(ISERROR(VLOOKUP(B569,Catalogo!$A$2:$C$410,2,0)),0,(VLOOKUP(B569,Catalogo!$A$2:$C$410,2,0)))</f>
        <v>0</v>
      </c>
      <c r="B569"/>
      <c r="C569"/>
      <c r="D569"/>
      <c r="E569"/>
      <c r="F569"/>
      <c r="G569"/>
      <c r="H569"/>
      <c r="I569"/>
      <c r="J569"/>
      <c r="K569"/>
      <c r="L569" s="16">
        <f t="shared" si="28"/>
        <v>0</v>
      </c>
      <c r="M569" s="16" t="str">
        <f t="shared" si="30"/>
        <v/>
      </c>
      <c r="N569" s="17">
        <f t="shared" si="29"/>
        <v>0</v>
      </c>
    </row>
    <row r="570" spans="1:14" x14ac:dyDescent="0.2">
      <c r="A570" s="19">
        <f>IF(ISERROR(VLOOKUP(B570,Catalogo!$A$2:$C$410,2,0)),0,(VLOOKUP(B570,Catalogo!$A$2:$C$410,2,0)))</f>
        <v>0</v>
      </c>
      <c r="B570"/>
      <c r="C570"/>
      <c r="D570"/>
      <c r="E570"/>
      <c r="F570"/>
      <c r="G570"/>
      <c r="H570"/>
      <c r="I570"/>
      <c r="J570"/>
      <c r="K570"/>
      <c r="L570" s="16">
        <f t="shared" si="28"/>
        <v>0</v>
      </c>
      <c r="M570" s="16" t="str">
        <f t="shared" si="30"/>
        <v/>
      </c>
      <c r="N570" s="17">
        <f t="shared" si="29"/>
        <v>0</v>
      </c>
    </row>
    <row r="571" spans="1:14" x14ac:dyDescent="0.2">
      <c r="A571" s="19">
        <f>IF(ISERROR(VLOOKUP(B571,Catalogo!$A$2:$C$410,2,0)),0,(VLOOKUP(B571,Catalogo!$A$2:$C$410,2,0)))</f>
        <v>0</v>
      </c>
      <c r="B571"/>
      <c r="C571"/>
      <c r="D571"/>
      <c r="E571"/>
      <c r="F571"/>
      <c r="G571"/>
      <c r="H571"/>
      <c r="I571"/>
      <c r="J571"/>
      <c r="K571"/>
      <c r="L571" s="16">
        <f t="shared" si="28"/>
        <v>0</v>
      </c>
      <c r="M571" s="16" t="str">
        <f t="shared" si="30"/>
        <v/>
      </c>
      <c r="N571" s="17">
        <f t="shared" si="29"/>
        <v>0</v>
      </c>
    </row>
    <row r="572" spans="1:14" x14ac:dyDescent="0.2">
      <c r="A572" s="19">
        <f>IF(ISERROR(VLOOKUP(B572,Catalogo!$A$2:$C$410,2,0)),0,(VLOOKUP(B572,Catalogo!$A$2:$C$410,2,0)))</f>
        <v>0</v>
      </c>
      <c r="B572"/>
      <c r="C572"/>
      <c r="D572"/>
      <c r="E572"/>
      <c r="F572"/>
      <c r="G572"/>
      <c r="H572"/>
      <c r="I572"/>
      <c r="J572"/>
      <c r="K572"/>
      <c r="L572" s="16">
        <f t="shared" si="28"/>
        <v>0</v>
      </c>
      <c r="M572" s="16" t="str">
        <f t="shared" si="30"/>
        <v/>
      </c>
      <c r="N572" s="17">
        <f t="shared" si="29"/>
        <v>0</v>
      </c>
    </row>
    <row r="573" spans="1:14" x14ac:dyDescent="0.2">
      <c r="A573" s="19">
        <f>IF(ISERROR(VLOOKUP(B573,Catalogo!$A$2:$C$410,2,0)),0,(VLOOKUP(B573,Catalogo!$A$2:$C$410,2,0)))</f>
        <v>0</v>
      </c>
      <c r="B573"/>
      <c r="C573"/>
      <c r="D573"/>
      <c r="E573"/>
      <c r="F573"/>
      <c r="G573"/>
      <c r="H573"/>
      <c r="I573"/>
      <c r="J573"/>
      <c r="K573"/>
      <c r="L573" s="16">
        <f t="shared" si="28"/>
        <v>0</v>
      </c>
      <c r="M573" s="16" t="str">
        <f t="shared" si="30"/>
        <v/>
      </c>
      <c r="N573" s="17">
        <f t="shared" si="29"/>
        <v>0</v>
      </c>
    </row>
    <row r="574" spans="1:14" x14ac:dyDescent="0.2">
      <c r="A574" s="19">
        <f>IF(ISERROR(VLOOKUP(B574,Catalogo!$A$2:$C$410,2,0)),0,(VLOOKUP(B574,Catalogo!$A$2:$C$410,2,0)))</f>
        <v>0</v>
      </c>
      <c r="B574"/>
      <c r="C574"/>
      <c r="D574"/>
      <c r="E574"/>
      <c r="F574"/>
      <c r="G574"/>
      <c r="H574"/>
      <c r="I574"/>
      <c r="J574"/>
      <c r="K574"/>
      <c r="L574" s="16">
        <f t="shared" si="28"/>
        <v>0</v>
      </c>
      <c r="M574" s="16" t="str">
        <f t="shared" si="30"/>
        <v/>
      </c>
      <c r="N574" s="17">
        <f t="shared" si="29"/>
        <v>0</v>
      </c>
    </row>
    <row r="575" spans="1:14" x14ac:dyDescent="0.2">
      <c r="A575" s="19">
        <f>IF(ISERROR(VLOOKUP(B575,Catalogo!$A$2:$C$410,2,0)),0,(VLOOKUP(B575,Catalogo!$A$2:$C$410,2,0)))</f>
        <v>0</v>
      </c>
      <c r="B575"/>
      <c r="C575"/>
      <c r="D575"/>
      <c r="E575"/>
      <c r="F575"/>
      <c r="G575"/>
      <c r="H575"/>
      <c r="I575"/>
      <c r="J575"/>
      <c r="K575"/>
      <c r="L575" s="16">
        <f t="shared" si="28"/>
        <v>0</v>
      </c>
      <c r="M575" s="16" t="str">
        <f t="shared" si="30"/>
        <v/>
      </c>
      <c r="N575" s="17">
        <f t="shared" si="29"/>
        <v>0</v>
      </c>
    </row>
    <row r="576" spans="1:14" x14ac:dyDescent="0.2">
      <c r="A576" s="19">
        <f>IF(ISERROR(VLOOKUP(B576,Catalogo!$A$2:$C$410,2,0)),0,(VLOOKUP(B576,Catalogo!$A$2:$C$410,2,0)))</f>
        <v>0</v>
      </c>
      <c r="B576"/>
      <c r="C576"/>
      <c r="D576"/>
      <c r="E576"/>
      <c r="F576"/>
      <c r="G576"/>
      <c r="H576"/>
      <c r="I576"/>
      <c r="J576"/>
      <c r="K576"/>
      <c r="L576" s="16">
        <f t="shared" si="28"/>
        <v>0</v>
      </c>
      <c r="M576" s="16" t="str">
        <f t="shared" si="30"/>
        <v/>
      </c>
      <c r="N576" s="17">
        <f t="shared" si="29"/>
        <v>0</v>
      </c>
    </row>
    <row r="577" spans="1:14" x14ac:dyDescent="0.2">
      <c r="A577" s="19">
        <f>IF(ISERROR(VLOOKUP(B577,Catalogo!$A$2:$C$410,2,0)),0,(VLOOKUP(B577,Catalogo!$A$2:$C$410,2,0)))</f>
        <v>0</v>
      </c>
      <c r="B577"/>
      <c r="C577"/>
      <c r="D577"/>
      <c r="E577"/>
      <c r="F577"/>
      <c r="G577"/>
      <c r="H577"/>
      <c r="I577"/>
      <c r="J577"/>
      <c r="K577"/>
      <c r="L577" s="16">
        <f t="shared" si="28"/>
        <v>0</v>
      </c>
      <c r="M577" s="16" t="str">
        <f t="shared" si="30"/>
        <v/>
      </c>
      <c r="N577" s="17">
        <f t="shared" si="29"/>
        <v>0</v>
      </c>
    </row>
    <row r="578" spans="1:14" x14ac:dyDescent="0.2">
      <c r="A578" s="19">
        <f>IF(ISERROR(VLOOKUP(B578,Catalogo!$A$2:$C$410,2,0)),0,(VLOOKUP(B578,Catalogo!$A$2:$C$410,2,0)))</f>
        <v>0</v>
      </c>
      <c r="B578"/>
      <c r="C578"/>
      <c r="D578"/>
      <c r="E578"/>
      <c r="F578"/>
      <c r="G578"/>
      <c r="H578"/>
      <c r="I578"/>
      <c r="J578"/>
      <c r="K578"/>
      <c r="L578" s="16">
        <f t="shared" ref="L578:L641" si="31">IF(A578="Record Keeping",B578,0)</f>
        <v>0</v>
      </c>
      <c r="M578" s="16" t="str">
        <f t="shared" si="30"/>
        <v/>
      </c>
      <c r="N578" s="17">
        <f t="shared" ref="N578:N641" si="32">IF(G578="CAN",F578*0,IF(M578="R",F578*-1,F578*1)*AND(A578="Record Keeping"))</f>
        <v>0</v>
      </c>
    </row>
    <row r="579" spans="1:14" x14ac:dyDescent="0.2">
      <c r="A579" s="19">
        <f>IF(ISERROR(VLOOKUP(B579,Catalogo!$A$2:$C$410,2,0)),0,(VLOOKUP(B579,Catalogo!$A$2:$C$410,2,0)))</f>
        <v>0</v>
      </c>
      <c r="B579"/>
      <c r="C579"/>
      <c r="D579"/>
      <c r="E579"/>
      <c r="F579"/>
      <c r="G579"/>
      <c r="H579"/>
      <c r="I579"/>
      <c r="J579"/>
      <c r="K579"/>
      <c r="L579" s="16">
        <f t="shared" si="31"/>
        <v>0</v>
      </c>
      <c r="M579" s="16" t="str">
        <f t="shared" si="30"/>
        <v/>
      </c>
      <c r="N579" s="17">
        <f t="shared" si="32"/>
        <v>0</v>
      </c>
    </row>
    <row r="580" spans="1:14" x14ac:dyDescent="0.2">
      <c r="A580" s="19">
        <f>IF(ISERROR(VLOOKUP(B580,Catalogo!$A$2:$C$410,2,0)),0,(VLOOKUP(B580,Catalogo!$A$2:$C$410,2,0)))</f>
        <v>0</v>
      </c>
      <c r="B580"/>
      <c r="C580"/>
      <c r="D580"/>
      <c r="E580"/>
      <c r="F580"/>
      <c r="G580"/>
      <c r="H580"/>
      <c r="I580"/>
      <c r="J580"/>
      <c r="K580"/>
      <c r="L580" s="16">
        <f t="shared" si="31"/>
        <v>0</v>
      </c>
      <c r="M580" s="16" t="str">
        <f t="shared" si="30"/>
        <v/>
      </c>
      <c r="N580" s="17">
        <f t="shared" si="32"/>
        <v>0</v>
      </c>
    </row>
    <row r="581" spans="1:14" x14ac:dyDescent="0.2">
      <c r="A581" s="19">
        <f>IF(ISERROR(VLOOKUP(B581,Catalogo!$A$2:$C$410,2,0)),0,(VLOOKUP(B581,Catalogo!$A$2:$C$410,2,0)))</f>
        <v>0</v>
      </c>
      <c r="B581"/>
      <c r="C581"/>
      <c r="D581"/>
      <c r="E581"/>
      <c r="F581"/>
      <c r="G581"/>
      <c r="H581"/>
      <c r="I581"/>
      <c r="J581"/>
      <c r="K581"/>
      <c r="L581" s="16">
        <f t="shared" si="31"/>
        <v>0</v>
      </c>
      <c r="M581" s="16" t="str">
        <f t="shared" si="30"/>
        <v/>
      </c>
      <c r="N581" s="17">
        <f t="shared" si="32"/>
        <v>0</v>
      </c>
    </row>
    <row r="582" spans="1:14" x14ac:dyDescent="0.2">
      <c r="A582" s="19">
        <f>IF(ISERROR(VLOOKUP(B582,Catalogo!$A$2:$C$410,2,0)),0,(VLOOKUP(B582,Catalogo!$A$2:$C$410,2,0)))</f>
        <v>0</v>
      </c>
      <c r="B582"/>
      <c r="C582"/>
      <c r="D582"/>
      <c r="E582"/>
      <c r="F582"/>
      <c r="G582"/>
      <c r="H582"/>
      <c r="I582"/>
      <c r="J582"/>
      <c r="K582"/>
      <c r="L582" s="16">
        <f t="shared" si="31"/>
        <v>0</v>
      </c>
      <c r="M582" s="16" t="str">
        <f t="shared" si="30"/>
        <v/>
      </c>
      <c r="N582" s="17">
        <f t="shared" si="32"/>
        <v>0</v>
      </c>
    </row>
    <row r="583" spans="1:14" x14ac:dyDescent="0.2">
      <c r="A583" s="19">
        <f>IF(ISERROR(VLOOKUP(B583,Catalogo!$A$2:$C$410,2,0)),0,(VLOOKUP(B583,Catalogo!$A$2:$C$410,2,0)))</f>
        <v>0</v>
      </c>
      <c r="B583"/>
      <c r="C583"/>
      <c r="D583"/>
      <c r="E583"/>
      <c r="F583"/>
      <c r="G583"/>
      <c r="H583"/>
      <c r="I583"/>
      <c r="J583"/>
      <c r="K583"/>
      <c r="L583" s="16">
        <f t="shared" si="31"/>
        <v>0</v>
      </c>
      <c r="M583" s="16" t="str">
        <f t="shared" ref="M583:M646" si="33">LEFT(E583,1)</f>
        <v/>
      </c>
      <c r="N583" s="17">
        <f t="shared" si="32"/>
        <v>0</v>
      </c>
    </row>
    <row r="584" spans="1:14" x14ac:dyDescent="0.2">
      <c r="A584" s="19">
        <f>IF(ISERROR(VLOOKUP(B584,Catalogo!$A$2:$C$410,2,0)),0,(VLOOKUP(B584,Catalogo!$A$2:$C$410,2,0)))</f>
        <v>0</v>
      </c>
      <c r="B584"/>
      <c r="C584"/>
      <c r="D584"/>
      <c r="E584"/>
      <c r="F584"/>
      <c r="G584"/>
      <c r="H584"/>
      <c r="I584"/>
      <c r="J584"/>
      <c r="K584"/>
      <c r="L584" s="16">
        <f t="shared" si="31"/>
        <v>0</v>
      </c>
      <c r="M584" s="16" t="str">
        <f t="shared" si="33"/>
        <v/>
      </c>
      <c r="N584" s="17">
        <f t="shared" si="32"/>
        <v>0</v>
      </c>
    </row>
    <row r="585" spans="1:14" x14ac:dyDescent="0.2">
      <c r="A585" s="19">
        <f>IF(ISERROR(VLOOKUP(B585,Catalogo!$A$2:$C$410,2,0)),0,(VLOOKUP(B585,Catalogo!$A$2:$C$410,2,0)))</f>
        <v>0</v>
      </c>
      <c r="B585"/>
      <c r="C585"/>
      <c r="D585"/>
      <c r="E585"/>
      <c r="F585"/>
      <c r="G585"/>
      <c r="H585"/>
      <c r="I585"/>
      <c r="J585"/>
      <c r="K585"/>
      <c r="L585" s="16">
        <f t="shared" si="31"/>
        <v>0</v>
      </c>
      <c r="M585" s="16" t="str">
        <f t="shared" si="33"/>
        <v/>
      </c>
      <c r="N585" s="17">
        <f t="shared" si="32"/>
        <v>0</v>
      </c>
    </row>
    <row r="586" spans="1:14" x14ac:dyDescent="0.2">
      <c r="A586" s="19">
        <f>IF(ISERROR(VLOOKUP(B586,Catalogo!$A$2:$C$410,2,0)),0,(VLOOKUP(B586,Catalogo!$A$2:$C$410,2,0)))</f>
        <v>0</v>
      </c>
      <c r="B586"/>
      <c r="C586"/>
      <c r="D586"/>
      <c r="E586"/>
      <c r="F586"/>
      <c r="G586"/>
      <c r="H586"/>
      <c r="I586"/>
      <c r="J586"/>
      <c r="K586"/>
      <c r="L586" s="16">
        <f t="shared" si="31"/>
        <v>0</v>
      </c>
      <c r="M586" s="16" t="str">
        <f t="shared" si="33"/>
        <v/>
      </c>
      <c r="N586" s="17">
        <f t="shared" si="32"/>
        <v>0</v>
      </c>
    </row>
    <row r="587" spans="1:14" x14ac:dyDescent="0.2">
      <c r="A587" s="19">
        <f>IF(ISERROR(VLOOKUP(B587,Catalogo!$A$2:$C$410,2,0)),0,(VLOOKUP(B587,Catalogo!$A$2:$C$410,2,0)))</f>
        <v>0</v>
      </c>
      <c r="B587"/>
      <c r="C587"/>
      <c r="D587"/>
      <c r="E587"/>
      <c r="F587"/>
      <c r="G587"/>
      <c r="H587"/>
      <c r="I587"/>
      <c r="J587"/>
      <c r="K587"/>
      <c r="L587" s="16">
        <f t="shared" si="31"/>
        <v>0</v>
      </c>
      <c r="M587" s="16" t="str">
        <f t="shared" si="33"/>
        <v/>
      </c>
      <c r="N587" s="17">
        <f t="shared" si="32"/>
        <v>0</v>
      </c>
    </row>
    <row r="588" spans="1:14" x14ac:dyDescent="0.2">
      <c r="A588" s="19">
        <f>IF(ISERROR(VLOOKUP(B588,Catalogo!$A$2:$C$410,2,0)),0,(VLOOKUP(B588,Catalogo!$A$2:$C$410,2,0)))</f>
        <v>0</v>
      </c>
      <c r="B588"/>
      <c r="C588"/>
      <c r="D588"/>
      <c r="E588"/>
      <c r="F588"/>
      <c r="G588"/>
      <c r="H588"/>
      <c r="I588"/>
      <c r="J588"/>
      <c r="K588"/>
      <c r="L588" s="16">
        <f t="shared" si="31"/>
        <v>0</v>
      </c>
      <c r="M588" s="16" t="str">
        <f t="shared" si="33"/>
        <v/>
      </c>
      <c r="N588" s="17">
        <f t="shared" si="32"/>
        <v>0</v>
      </c>
    </row>
    <row r="589" spans="1:14" x14ac:dyDescent="0.2">
      <c r="A589" s="19">
        <f>IF(ISERROR(VLOOKUP(B589,Catalogo!$A$2:$C$410,2,0)),0,(VLOOKUP(B589,Catalogo!$A$2:$C$410,2,0)))</f>
        <v>0</v>
      </c>
      <c r="B589"/>
      <c r="C589"/>
      <c r="D589"/>
      <c r="E589"/>
      <c r="F589"/>
      <c r="G589"/>
      <c r="H589"/>
      <c r="I589"/>
      <c r="J589"/>
      <c r="K589"/>
      <c r="L589" s="16">
        <f t="shared" si="31"/>
        <v>0</v>
      </c>
      <c r="M589" s="16" t="str">
        <f t="shared" si="33"/>
        <v/>
      </c>
      <c r="N589" s="17">
        <f t="shared" si="32"/>
        <v>0</v>
      </c>
    </row>
    <row r="590" spans="1:14" x14ac:dyDescent="0.2">
      <c r="A590" s="19">
        <f>IF(ISERROR(VLOOKUP(B590,Catalogo!$A$2:$C$410,2,0)),0,(VLOOKUP(B590,Catalogo!$A$2:$C$410,2,0)))</f>
        <v>0</v>
      </c>
      <c r="B590"/>
      <c r="C590"/>
      <c r="D590"/>
      <c r="E590"/>
      <c r="F590"/>
      <c r="G590"/>
      <c r="H590"/>
      <c r="I590"/>
      <c r="J590"/>
      <c r="K590"/>
      <c r="L590" s="16">
        <f t="shared" si="31"/>
        <v>0</v>
      </c>
      <c r="M590" s="16" t="str">
        <f t="shared" si="33"/>
        <v/>
      </c>
      <c r="N590" s="17">
        <f t="shared" si="32"/>
        <v>0</v>
      </c>
    </row>
    <row r="591" spans="1:14" x14ac:dyDescent="0.2">
      <c r="A591" s="19">
        <f>IF(ISERROR(VLOOKUP(B591,Catalogo!$A$2:$C$410,2,0)),0,(VLOOKUP(B591,Catalogo!$A$2:$C$410,2,0)))</f>
        <v>0</v>
      </c>
      <c r="B591"/>
      <c r="C591"/>
      <c r="D591"/>
      <c r="E591"/>
      <c r="F591"/>
      <c r="G591"/>
      <c r="H591"/>
      <c r="I591"/>
      <c r="J591"/>
      <c r="K591"/>
      <c r="L591" s="16">
        <f t="shared" si="31"/>
        <v>0</v>
      </c>
      <c r="M591" s="16" t="str">
        <f t="shared" si="33"/>
        <v/>
      </c>
      <c r="N591" s="17">
        <f t="shared" si="32"/>
        <v>0</v>
      </c>
    </row>
    <row r="592" spans="1:14" x14ac:dyDescent="0.2">
      <c r="A592" s="19">
        <f>IF(ISERROR(VLOOKUP(B592,Catalogo!$A$2:$C$410,2,0)),0,(VLOOKUP(B592,Catalogo!$A$2:$C$410,2,0)))</f>
        <v>0</v>
      </c>
      <c r="B592"/>
      <c r="C592"/>
      <c r="D592"/>
      <c r="E592"/>
      <c r="F592"/>
      <c r="G592"/>
      <c r="H592"/>
      <c r="I592"/>
      <c r="J592"/>
      <c r="K592"/>
      <c r="L592" s="16">
        <f t="shared" si="31"/>
        <v>0</v>
      </c>
      <c r="M592" s="16" t="str">
        <f t="shared" si="33"/>
        <v/>
      </c>
      <c r="N592" s="17">
        <f t="shared" si="32"/>
        <v>0</v>
      </c>
    </row>
    <row r="593" spans="1:14" x14ac:dyDescent="0.2">
      <c r="A593" s="19">
        <f>IF(ISERROR(VLOOKUP(B593,Catalogo!$A$2:$C$410,2,0)),0,(VLOOKUP(B593,Catalogo!$A$2:$C$410,2,0)))</f>
        <v>0</v>
      </c>
      <c r="B593"/>
      <c r="C593"/>
      <c r="D593"/>
      <c r="E593"/>
      <c r="F593"/>
      <c r="G593"/>
      <c r="H593"/>
      <c r="I593"/>
      <c r="J593"/>
      <c r="K593"/>
      <c r="L593" s="16">
        <f t="shared" si="31"/>
        <v>0</v>
      </c>
      <c r="M593" s="16" t="str">
        <f t="shared" si="33"/>
        <v/>
      </c>
      <c r="N593" s="17">
        <f t="shared" si="32"/>
        <v>0</v>
      </c>
    </row>
    <row r="594" spans="1:14" x14ac:dyDescent="0.2">
      <c r="A594" s="19">
        <f>IF(ISERROR(VLOOKUP(B594,Catalogo!$A$2:$C$410,2,0)),0,(VLOOKUP(B594,Catalogo!$A$2:$C$410,2,0)))</f>
        <v>0</v>
      </c>
      <c r="B594"/>
      <c r="C594"/>
      <c r="D594"/>
      <c r="E594"/>
      <c r="F594"/>
      <c r="G594"/>
      <c r="H594"/>
      <c r="I594"/>
      <c r="J594"/>
      <c r="K594"/>
      <c r="L594" s="16">
        <f t="shared" si="31"/>
        <v>0</v>
      </c>
      <c r="M594" s="16" t="str">
        <f t="shared" si="33"/>
        <v/>
      </c>
      <c r="N594" s="17">
        <f t="shared" si="32"/>
        <v>0</v>
      </c>
    </row>
    <row r="595" spans="1:14" x14ac:dyDescent="0.2">
      <c r="A595" s="19">
        <f>IF(ISERROR(VLOOKUP(B595,Catalogo!$A$2:$C$410,2,0)),0,(VLOOKUP(B595,Catalogo!$A$2:$C$410,2,0)))</f>
        <v>0</v>
      </c>
      <c r="B595"/>
      <c r="C595"/>
      <c r="D595"/>
      <c r="E595"/>
      <c r="F595"/>
      <c r="G595"/>
      <c r="H595"/>
      <c r="I595"/>
      <c r="J595"/>
      <c r="K595"/>
      <c r="L595" s="16">
        <f t="shared" si="31"/>
        <v>0</v>
      </c>
      <c r="M595" s="16" t="str">
        <f t="shared" si="33"/>
        <v/>
      </c>
      <c r="N595" s="17">
        <f t="shared" si="32"/>
        <v>0</v>
      </c>
    </row>
    <row r="596" spans="1:14" x14ac:dyDescent="0.2">
      <c r="A596" s="19">
        <f>IF(ISERROR(VLOOKUP(B596,Catalogo!$A$2:$C$410,2,0)),0,(VLOOKUP(B596,Catalogo!$A$2:$C$410,2,0)))</f>
        <v>0</v>
      </c>
      <c r="B596"/>
      <c r="C596"/>
      <c r="D596"/>
      <c r="E596"/>
      <c r="F596"/>
      <c r="G596"/>
      <c r="H596"/>
      <c r="I596"/>
      <c r="J596"/>
      <c r="K596"/>
      <c r="L596" s="16">
        <f t="shared" si="31"/>
        <v>0</v>
      </c>
      <c r="M596" s="16" t="str">
        <f t="shared" si="33"/>
        <v/>
      </c>
      <c r="N596" s="17">
        <f t="shared" si="32"/>
        <v>0</v>
      </c>
    </row>
    <row r="597" spans="1:14" x14ac:dyDescent="0.2">
      <c r="A597" s="19">
        <f>IF(ISERROR(VLOOKUP(B597,Catalogo!$A$2:$C$410,2,0)),0,(VLOOKUP(B597,Catalogo!$A$2:$C$410,2,0)))</f>
        <v>0</v>
      </c>
      <c r="B597"/>
      <c r="C597"/>
      <c r="D597"/>
      <c r="E597"/>
      <c r="F597"/>
      <c r="G597"/>
      <c r="H597"/>
      <c r="I597"/>
      <c r="J597"/>
      <c r="K597"/>
      <c r="L597" s="16">
        <f t="shared" si="31"/>
        <v>0</v>
      </c>
      <c r="M597" s="16" t="str">
        <f t="shared" si="33"/>
        <v/>
      </c>
      <c r="N597" s="17">
        <f t="shared" si="32"/>
        <v>0</v>
      </c>
    </row>
    <row r="598" spans="1:14" x14ac:dyDescent="0.2">
      <c r="A598" s="19">
        <f>IF(ISERROR(VLOOKUP(B598,Catalogo!$A$2:$C$410,2,0)),0,(VLOOKUP(B598,Catalogo!$A$2:$C$410,2,0)))</f>
        <v>0</v>
      </c>
      <c r="B598"/>
      <c r="C598"/>
      <c r="D598"/>
      <c r="E598"/>
      <c r="F598"/>
      <c r="G598"/>
      <c r="H598"/>
      <c r="I598"/>
      <c r="J598"/>
      <c r="K598"/>
      <c r="L598" s="16">
        <f t="shared" si="31"/>
        <v>0</v>
      </c>
      <c r="M598" s="16" t="str">
        <f t="shared" si="33"/>
        <v/>
      </c>
      <c r="N598" s="17">
        <f t="shared" si="32"/>
        <v>0</v>
      </c>
    </row>
    <row r="599" spans="1:14" x14ac:dyDescent="0.2">
      <c r="A599" s="19">
        <f>IF(ISERROR(VLOOKUP(B599,Catalogo!$A$2:$C$410,2,0)),0,(VLOOKUP(B599,Catalogo!$A$2:$C$410,2,0)))</f>
        <v>0</v>
      </c>
      <c r="B599"/>
      <c r="C599"/>
      <c r="D599"/>
      <c r="E599"/>
      <c r="F599"/>
      <c r="G599"/>
      <c r="H599"/>
      <c r="I599"/>
      <c r="J599"/>
      <c r="K599"/>
      <c r="L599" s="16">
        <f t="shared" si="31"/>
        <v>0</v>
      </c>
      <c r="M599" s="16" t="str">
        <f t="shared" si="33"/>
        <v/>
      </c>
      <c r="N599" s="17">
        <f t="shared" si="32"/>
        <v>0</v>
      </c>
    </row>
    <row r="600" spans="1:14" x14ac:dyDescent="0.2">
      <c r="A600" s="19">
        <f>IF(ISERROR(VLOOKUP(B600,Catalogo!$A$2:$C$410,2,0)),0,(VLOOKUP(B600,Catalogo!$A$2:$C$410,2,0)))</f>
        <v>0</v>
      </c>
      <c r="B600"/>
      <c r="C600"/>
      <c r="D600"/>
      <c r="E600"/>
      <c r="F600"/>
      <c r="G600"/>
      <c r="H600"/>
      <c r="I600"/>
      <c r="J600"/>
      <c r="K600"/>
      <c r="L600" s="16">
        <f t="shared" si="31"/>
        <v>0</v>
      </c>
      <c r="M600" s="16" t="str">
        <f t="shared" si="33"/>
        <v/>
      </c>
      <c r="N600" s="17">
        <f t="shared" si="32"/>
        <v>0</v>
      </c>
    </row>
    <row r="601" spans="1:14" x14ac:dyDescent="0.2">
      <c r="A601" s="19">
        <f>IF(ISERROR(VLOOKUP(B601,Catalogo!$A$2:$C$410,2,0)),0,(VLOOKUP(B601,Catalogo!$A$2:$C$410,2,0)))</f>
        <v>0</v>
      </c>
      <c r="B601"/>
      <c r="C601"/>
      <c r="D601"/>
      <c r="E601"/>
      <c r="F601"/>
      <c r="G601"/>
      <c r="H601"/>
      <c r="I601"/>
      <c r="J601"/>
      <c r="K601"/>
      <c r="L601" s="16">
        <f t="shared" si="31"/>
        <v>0</v>
      </c>
      <c r="M601" s="16" t="str">
        <f t="shared" si="33"/>
        <v/>
      </c>
      <c r="N601" s="17">
        <f t="shared" si="32"/>
        <v>0</v>
      </c>
    </row>
    <row r="602" spans="1:14" x14ac:dyDescent="0.2">
      <c r="A602" s="19">
        <f>IF(ISERROR(VLOOKUP(B602,Catalogo!$A$2:$C$410,2,0)),0,(VLOOKUP(B602,Catalogo!$A$2:$C$410,2,0)))</f>
        <v>0</v>
      </c>
      <c r="B602"/>
      <c r="C602"/>
      <c r="D602"/>
      <c r="E602"/>
      <c r="F602"/>
      <c r="G602"/>
      <c r="H602"/>
      <c r="I602"/>
      <c r="J602"/>
      <c r="K602"/>
      <c r="L602" s="16">
        <f t="shared" si="31"/>
        <v>0</v>
      </c>
      <c r="M602" s="16" t="str">
        <f t="shared" si="33"/>
        <v/>
      </c>
      <c r="N602" s="17">
        <f t="shared" si="32"/>
        <v>0</v>
      </c>
    </row>
    <row r="603" spans="1:14" x14ac:dyDescent="0.2">
      <c r="A603" s="19">
        <f>IF(ISERROR(VLOOKUP(B603,Catalogo!$A$2:$C$410,2,0)),0,(VLOOKUP(B603,Catalogo!$A$2:$C$410,2,0)))</f>
        <v>0</v>
      </c>
      <c r="B603"/>
      <c r="C603"/>
      <c r="D603"/>
      <c r="E603"/>
      <c r="F603"/>
      <c r="G603"/>
      <c r="H603"/>
      <c r="I603"/>
      <c r="J603"/>
      <c r="K603"/>
      <c r="L603" s="16">
        <f t="shared" si="31"/>
        <v>0</v>
      </c>
      <c r="M603" s="16" t="str">
        <f t="shared" si="33"/>
        <v/>
      </c>
      <c r="N603" s="17">
        <f t="shared" si="32"/>
        <v>0</v>
      </c>
    </row>
    <row r="604" spans="1:14" x14ac:dyDescent="0.2">
      <c r="A604" s="19">
        <f>IF(ISERROR(VLOOKUP(B604,Catalogo!$A$2:$C$410,2,0)),0,(VLOOKUP(B604,Catalogo!$A$2:$C$410,2,0)))</f>
        <v>0</v>
      </c>
      <c r="B604"/>
      <c r="C604"/>
      <c r="D604"/>
      <c r="E604"/>
      <c r="F604"/>
      <c r="G604"/>
      <c r="H604"/>
      <c r="I604"/>
      <c r="J604"/>
      <c r="K604"/>
      <c r="L604" s="16">
        <f t="shared" si="31"/>
        <v>0</v>
      </c>
      <c r="M604" s="16" t="str">
        <f t="shared" si="33"/>
        <v/>
      </c>
      <c r="N604" s="17">
        <f t="shared" si="32"/>
        <v>0</v>
      </c>
    </row>
    <row r="605" spans="1:14" x14ac:dyDescent="0.2">
      <c r="A605" s="19">
        <f>IF(ISERROR(VLOOKUP(B605,Catalogo!$A$2:$C$410,2,0)),0,(VLOOKUP(B605,Catalogo!$A$2:$C$410,2,0)))</f>
        <v>0</v>
      </c>
      <c r="B605"/>
      <c r="C605"/>
      <c r="D605"/>
      <c r="E605"/>
      <c r="F605"/>
      <c r="G605"/>
      <c r="H605"/>
      <c r="I605"/>
      <c r="J605"/>
      <c r="K605"/>
      <c r="L605" s="16">
        <f t="shared" si="31"/>
        <v>0</v>
      </c>
      <c r="M605" s="16" t="str">
        <f t="shared" si="33"/>
        <v/>
      </c>
      <c r="N605" s="17">
        <f t="shared" si="32"/>
        <v>0</v>
      </c>
    </row>
    <row r="606" spans="1:14" x14ac:dyDescent="0.2">
      <c r="A606" s="19">
        <f>IF(ISERROR(VLOOKUP(B606,Catalogo!$A$2:$C$410,2,0)),0,(VLOOKUP(B606,Catalogo!$A$2:$C$410,2,0)))</f>
        <v>0</v>
      </c>
      <c r="B606"/>
      <c r="C606"/>
      <c r="D606"/>
      <c r="E606"/>
      <c r="F606"/>
      <c r="G606"/>
      <c r="H606"/>
      <c r="I606"/>
      <c r="J606"/>
      <c r="K606"/>
      <c r="L606" s="16">
        <f t="shared" si="31"/>
        <v>0</v>
      </c>
      <c r="M606" s="16" t="str">
        <f t="shared" si="33"/>
        <v/>
      </c>
      <c r="N606" s="17">
        <f t="shared" si="32"/>
        <v>0</v>
      </c>
    </row>
    <row r="607" spans="1:14" x14ac:dyDescent="0.2">
      <c r="A607" s="19">
        <f>IF(ISERROR(VLOOKUP(B607,Catalogo!$A$2:$C$410,2,0)),0,(VLOOKUP(B607,Catalogo!$A$2:$C$410,2,0)))</f>
        <v>0</v>
      </c>
      <c r="B607"/>
      <c r="C607"/>
      <c r="D607"/>
      <c r="E607"/>
      <c r="F607"/>
      <c r="G607"/>
      <c r="H607"/>
      <c r="I607"/>
      <c r="J607"/>
      <c r="K607"/>
      <c r="L607" s="16">
        <f t="shared" si="31"/>
        <v>0</v>
      </c>
      <c r="M607" s="16" t="str">
        <f t="shared" si="33"/>
        <v/>
      </c>
      <c r="N607" s="17">
        <f t="shared" si="32"/>
        <v>0</v>
      </c>
    </row>
    <row r="608" spans="1:14" x14ac:dyDescent="0.2">
      <c r="A608" s="19">
        <f>IF(ISERROR(VLOOKUP(B608,Catalogo!$A$2:$C$410,2,0)),0,(VLOOKUP(B608,Catalogo!$A$2:$C$410,2,0)))</f>
        <v>0</v>
      </c>
      <c r="B608"/>
      <c r="C608"/>
      <c r="D608"/>
      <c r="E608"/>
      <c r="F608"/>
      <c r="G608"/>
      <c r="H608"/>
      <c r="I608"/>
      <c r="J608"/>
      <c r="K608"/>
      <c r="L608" s="16">
        <f t="shared" si="31"/>
        <v>0</v>
      </c>
      <c r="M608" s="16" t="str">
        <f t="shared" si="33"/>
        <v/>
      </c>
      <c r="N608" s="17">
        <f t="shared" si="32"/>
        <v>0</v>
      </c>
    </row>
    <row r="609" spans="1:14" x14ac:dyDescent="0.2">
      <c r="A609" s="19">
        <f>IF(ISERROR(VLOOKUP(B609,Catalogo!$A$2:$C$410,2,0)),0,(VLOOKUP(B609,Catalogo!$A$2:$C$410,2,0)))</f>
        <v>0</v>
      </c>
      <c r="B609"/>
      <c r="C609"/>
      <c r="D609"/>
      <c r="E609"/>
      <c r="F609"/>
      <c r="G609"/>
      <c r="H609"/>
      <c r="I609"/>
      <c r="J609"/>
      <c r="K609"/>
      <c r="L609" s="16">
        <f t="shared" si="31"/>
        <v>0</v>
      </c>
      <c r="M609" s="16" t="str">
        <f t="shared" si="33"/>
        <v/>
      </c>
      <c r="N609" s="17">
        <f t="shared" si="32"/>
        <v>0</v>
      </c>
    </row>
    <row r="610" spans="1:14" x14ac:dyDescent="0.2">
      <c r="A610" s="19">
        <f>IF(ISERROR(VLOOKUP(B610,Catalogo!$A$2:$C$410,2,0)),0,(VLOOKUP(B610,Catalogo!$A$2:$C$410,2,0)))</f>
        <v>0</v>
      </c>
      <c r="B610"/>
      <c r="C610"/>
      <c r="D610"/>
      <c r="E610"/>
      <c r="F610"/>
      <c r="G610"/>
      <c r="H610"/>
      <c r="I610"/>
      <c r="J610"/>
      <c r="K610"/>
      <c r="L610" s="16">
        <f t="shared" si="31"/>
        <v>0</v>
      </c>
      <c r="M610" s="16" t="str">
        <f t="shared" si="33"/>
        <v/>
      </c>
      <c r="N610" s="17">
        <f t="shared" si="32"/>
        <v>0</v>
      </c>
    </row>
    <row r="611" spans="1:14" x14ac:dyDescent="0.2">
      <c r="A611" s="19">
        <f>IF(ISERROR(VLOOKUP(B611,Catalogo!$A$2:$C$410,2,0)),0,(VLOOKUP(B611,Catalogo!$A$2:$C$410,2,0)))</f>
        <v>0</v>
      </c>
      <c r="B611"/>
      <c r="C611"/>
      <c r="D611"/>
      <c r="E611"/>
      <c r="F611"/>
      <c r="G611"/>
      <c r="H611"/>
      <c r="I611"/>
      <c r="J611"/>
      <c r="K611"/>
      <c r="L611" s="16">
        <f t="shared" si="31"/>
        <v>0</v>
      </c>
      <c r="M611" s="16" t="str">
        <f t="shared" si="33"/>
        <v/>
      </c>
      <c r="N611" s="17">
        <f t="shared" si="32"/>
        <v>0</v>
      </c>
    </row>
    <row r="612" spans="1:14" x14ac:dyDescent="0.2">
      <c r="A612" s="19">
        <f>IF(ISERROR(VLOOKUP(B612,Catalogo!$A$2:$C$410,2,0)),0,(VLOOKUP(B612,Catalogo!$A$2:$C$410,2,0)))</f>
        <v>0</v>
      </c>
      <c r="B612"/>
      <c r="C612"/>
      <c r="D612"/>
      <c r="E612"/>
      <c r="F612"/>
      <c r="G612"/>
      <c r="H612"/>
      <c r="I612"/>
      <c r="J612"/>
      <c r="K612"/>
      <c r="L612" s="16">
        <f t="shared" si="31"/>
        <v>0</v>
      </c>
      <c r="M612" s="16" t="str">
        <f t="shared" si="33"/>
        <v/>
      </c>
      <c r="N612" s="17">
        <f t="shared" si="32"/>
        <v>0</v>
      </c>
    </row>
    <row r="613" spans="1:14" x14ac:dyDescent="0.2">
      <c r="A613" s="19">
        <f>IF(ISERROR(VLOOKUP(B613,Catalogo!$A$2:$C$410,2,0)),0,(VLOOKUP(B613,Catalogo!$A$2:$C$410,2,0)))</f>
        <v>0</v>
      </c>
      <c r="B613"/>
      <c r="C613"/>
      <c r="D613"/>
      <c r="E613"/>
      <c r="F613"/>
      <c r="G613"/>
      <c r="H613"/>
      <c r="I613"/>
      <c r="J613"/>
      <c r="K613"/>
      <c r="L613" s="16">
        <f t="shared" si="31"/>
        <v>0</v>
      </c>
      <c r="M613" s="16" t="str">
        <f t="shared" si="33"/>
        <v/>
      </c>
      <c r="N613" s="17">
        <f t="shared" si="32"/>
        <v>0</v>
      </c>
    </row>
    <row r="614" spans="1:14" x14ac:dyDescent="0.2">
      <c r="A614" s="19">
        <f>IF(ISERROR(VLOOKUP(B614,Catalogo!$A$2:$C$410,2,0)),0,(VLOOKUP(B614,Catalogo!$A$2:$C$410,2,0)))</f>
        <v>0</v>
      </c>
      <c r="B614"/>
      <c r="C614"/>
      <c r="D614"/>
      <c r="E614"/>
      <c r="F614"/>
      <c r="G614"/>
      <c r="H614"/>
      <c r="I614"/>
      <c r="J614"/>
      <c r="K614"/>
      <c r="L614" s="16">
        <f t="shared" si="31"/>
        <v>0</v>
      </c>
      <c r="M614" s="16" t="str">
        <f t="shared" si="33"/>
        <v/>
      </c>
      <c r="N614" s="17">
        <f t="shared" si="32"/>
        <v>0</v>
      </c>
    </row>
    <row r="615" spans="1:14" x14ac:dyDescent="0.2">
      <c r="A615" s="19">
        <f>IF(ISERROR(VLOOKUP(B615,Catalogo!$A$2:$C$410,2,0)),0,(VLOOKUP(B615,Catalogo!$A$2:$C$410,2,0)))</f>
        <v>0</v>
      </c>
      <c r="B615"/>
      <c r="C615"/>
      <c r="D615"/>
      <c r="E615"/>
      <c r="F615"/>
      <c r="G615"/>
      <c r="H615"/>
      <c r="I615"/>
      <c r="J615"/>
      <c r="K615"/>
      <c r="L615" s="16">
        <f t="shared" si="31"/>
        <v>0</v>
      </c>
      <c r="M615" s="16" t="str">
        <f t="shared" si="33"/>
        <v/>
      </c>
      <c r="N615" s="17">
        <f t="shared" si="32"/>
        <v>0</v>
      </c>
    </row>
    <row r="616" spans="1:14" x14ac:dyDescent="0.2">
      <c r="A616" s="19">
        <f>IF(ISERROR(VLOOKUP(B616,Catalogo!$A$2:$C$410,2,0)),0,(VLOOKUP(B616,Catalogo!$A$2:$C$410,2,0)))</f>
        <v>0</v>
      </c>
      <c r="B616"/>
      <c r="C616"/>
      <c r="D616"/>
      <c r="E616"/>
      <c r="F616"/>
      <c r="G616"/>
      <c r="H616"/>
      <c r="I616"/>
      <c r="J616"/>
      <c r="K616"/>
      <c r="L616" s="16">
        <f t="shared" si="31"/>
        <v>0</v>
      </c>
      <c r="M616" s="16" t="str">
        <f t="shared" si="33"/>
        <v/>
      </c>
      <c r="N616" s="17">
        <f t="shared" si="32"/>
        <v>0</v>
      </c>
    </row>
    <row r="617" spans="1:14" x14ac:dyDescent="0.2">
      <c r="A617" s="19">
        <f>IF(ISERROR(VLOOKUP(B617,Catalogo!$A$2:$C$410,2,0)),0,(VLOOKUP(B617,Catalogo!$A$2:$C$410,2,0)))</f>
        <v>0</v>
      </c>
      <c r="B617"/>
      <c r="C617"/>
      <c r="D617"/>
      <c r="E617"/>
      <c r="F617"/>
      <c r="G617"/>
      <c r="H617"/>
      <c r="I617"/>
      <c r="J617"/>
      <c r="K617"/>
      <c r="L617" s="16">
        <f t="shared" si="31"/>
        <v>0</v>
      </c>
      <c r="M617" s="16" t="str">
        <f t="shared" si="33"/>
        <v/>
      </c>
      <c r="N617" s="17">
        <f t="shared" si="32"/>
        <v>0</v>
      </c>
    </row>
    <row r="618" spans="1:14" x14ac:dyDescent="0.2">
      <c r="A618" s="19">
        <f>IF(ISERROR(VLOOKUP(B618,Catalogo!$A$2:$C$410,2,0)),0,(VLOOKUP(B618,Catalogo!$A$2:$C$410,2,0)))</f>
        <v>0</v>
      </c>
      <c r="B618"/>
      <c r="C618"/>
      <c r="D618"/>
      <c r="E618"/>
      <c r="F618"/>
      <c r="G618"/>
      <c r="H618"/>
      <c r="I618"/>
      <c r="J618"/>
      <c r="K618"/>
      <c r="L618" s="16">
        <f t="shared" si="31"/>
        <v>0</v>
      </c>
      <c r="M618" s="16" t="str">
        <f t="shared" si="33"/>
        <v/>
      </c>
      <c r="N618" s="17">
        <f t="shared" si="32"/>
        <v>0</v>
      </c>
    </row>
    <row r="619" spans="1:14" x14ac:dyDescent="0.2">
      <c r="A619" s="19">
        <f>IF(ISERROR(VLOOKUP(B619,Catalogo!$A$2:$C$410,2,0)),0,(VLOOKUP(B619,Catalogo!$A$2:$C$410,2,0)))</f>
        <v>0</v>
      </c>
      <c r="B619"/>
      <c r="C619"/>
      <c r="D619"/>
      <c r="E619"/>
      <c r="F619"/>
      <c r="G619"/>
      <c r="H619"/>
      <c r="I619"/>
      <c r="J619"/>
      <c r="K619"/>
      <c r="L619" s="16">
        <f t="shared" si="31"/>
        <v>0</v>
      </c>
      <c r="M619" s="16" t="str">
        <f t="shared" si="33"/>
        <v/>
      </c>
      <c r="N619" s="17">
        <f t="shared" si="32"/>
        <v>0</v>
      </c>
    </row>
    <row r="620" spans="1:14" x14ac:dyDescent="0.2">
      <c r="A620" s="19">
        <f>IF(ISERROR(VLOOKUP(B620,Catalogo!$A$2:$C$410,2,0)),0,(VLOOKUP(B620,Catalogo!$A$2:$C$410,2,0)))</f>
        <v>0</v>
      </c>
      <c r="B620"/>
      <c r="C620"/>
      <c r="D620"/>
      <c r="E620"/>
      <c r="F620"/>
      <c r="G620"/>
      <c r="H620"/>
      <c r="I620"/>
      <c r="J620"/>
      <c r="K620"/>
      <c r="L620" s="16">
        <f t="shared" si="31"/>
        <v>0</v>
      </c>
      <c r="M620" s="16" t="str">
        <f t="shared" si="33"/>
        <v/>
      </c>
      <c r="N620" s="17">
        <f t="shared" si="32"/>
        <v>0</v>
      </c>
    </row>
    <row r="621" spans="1:14" x14ac:dyDescent="0.2">
      <c r="A621" s="19">
        <f>IF(ISERROR(VLOOKUP(B621,Catalogo!$A$2:$C$410,2,0)),0,(VLOOKUP(B621,Catalogo!$A$2:$C$410,2,0)))</f>
        <v>0</v>
      </c>
      <c r="B621"/>
      <c r="C621"/>
      <c r="D621"/>
      <c r="E621"/>
      <c r="F621"/>
      <c r="G621"/>
      <c r="H621"/>
      <c r="I621"/>
      <c r="J621"/>
      <c r="K621"/>
      <c r="L621" s="16">
        <f t="shared" si="31"/>
        <v>0</v>
      </c>
      <c r="M621" s="16" t="str">
        <f t="shared" si="33"/>
        <v/>
      </c>
      <c r="N621" s="17">
        <f t="shared" si="32"/>
        <v>0</v>
      </c>
    </row>
    <row r="622" spans="1:14" x14ac:dyDescent="0.2">
      <c r="A622" s="19">
        <f>IF(ISERROR(VLOOKUP(B622,Catalogo!$A$2:$C$410,2,0)),0,(VLOOKUP(B622,Catalogo!$A$2:$C$410,2,0)))</f>
        <v>0</v>
      </c>
      <c r="B622"/>
      <c r="C622"/>
      <c r="D622"/>
      <c r="E622"/>
      <c r="F622"/>
      <c r="G622"/>
      <c r="H622"/>
      <c r="I622"/>
      <c r="J622"/>
      <c r="K622"/>
      <c r="L622" s="16">
        <f t="shared" si="31"/>
        <v>0</v>
      </c>
      <c r="M622" s="16" t="str">
        <f t="shared" si="33"/>
        <v/>
      </c>
      <c r="N622" s="17">
        <f t="shared" si="32"/>
        <v>0</v>
      </c>
    </row>
    <row r="623" spans="1:14" x14ac:dyDescent="0.2">
      <c r="A623" s="19">
        <f>IF(ISERROR(VLOOKUP(B623,Catalogo!$A$2:$C$410,2,0)),0,(VLOOKUP(B623,Catalogo!$A$2:$C$410,2,0)))</f>
        <v>0</v>
      </c>
      <c r="B623"/>
      <c r="C623"/>
      <c r="D623"/>
      <c r="E623"/>
      <c r="F623"/>
      <c r="G623"/>
      <c r="H623"/>
      <c r="I623"/>
      <c r="J623"/>
      <c r="K623"/>
      <c r="L623" s="16">
        <f t="shared" si="31"/>
        <v>0</v>
      </c>
      <c r="M623" s="16" t="str">
        <f t="shared" si="33"/>
        <v/>
      </c>
      <c r="N623" s="17">
        <f t="shared" si="32"/>
        <v>0</v>
      </c>
    </row>
    <row r="624" spans="1:14" x14ac:dyDescent="0.2">
      <c r="A624" s="19">
        <f>IF(ISERROR(VLOOKUP(B624,Catalogo!$A$2:$C$410,2,0)),0,(VLOOKUP(B624,Catalogo!$A$2:$C$410,2,0)))</f>
        <v>0</v>
      </c>
      <c r="B624"/>
      <c r="C624"/>
      <c r="D624"/>
      <c r="E624"/>
      <c r="F624"/>
      <c r="G624"/>
      <c r="H624"/>
      <c r="I624"/>
      <c r="J624"/>
      <c r="K624"/>
      <c r="L624" s="16">
        <f t="shared" si="31"/>
        <v>0</v>
      </c>
      <c r="M624" s="16" t="str">
        <f t="shared" si="33"/>
        <v/>
      </c>
      <c r="N624" s="17">
        <f t="shared" si="32"/>
        <v>0</v>
      </c>
    </row>
    <row r="625" spans="1:14" x14ac:dyDescent="0.2">
      <c r="A625" s="19">
        <f>IF(ISERROR(VLOOKUP(B625,Catalogo!$A$2:$C$410,2,0)),0,(VLOOKUP(B625,Catalogo!$A$2:$C$410,2,0)))</f>
        <v>0</v>
      </c>
      <c r="B625"/>
      <c r="C625"/>
      <c r="D625"/>
      <c r="E625"/>
      <c r="F625"/>
      <c r="G625"/>
      <c r="H625"/>
      <c r="I625"/>
      <c r="J625"/>
      <c r="K625"/>
      <c r="L625" s="16">
        <f t="shared" si="31"/>
        <v>0</v>
      </c>
      <c r="M625" s="16" t="str">
        <f t="shared" si="33"/>
        <v/>
      </c>
      <c r="N625" s="17">
        <f t="shared" si="32"/>
        <v>0</v>
      </c>
    </row>
    <row r="626" spans="1:14" x14ac:dyDescent="0.2">
      <c r="A626" s="19">
        <f>IF(ISERROR(VLOOKUP(B626,Catalogo!$A$2:$C$410,2,0)),0,(VLOOKUP(B626,Catalogo!$A$2:$C$410,2,0)))</f>
        <v>0</v>
      </c>
      <c r="B626"/>
      <c r="C626"/>
      <c r="D626"/>
      <c r="E626"/>
      <c r="F626"/>
      <c r="G626"/>
      <c r="H626"/>
      <c r="I626"/>
      <c r="J626"/>
      <c r="K626"/>
      <c r="L626" s="16">
        <f t="shared" si="31"/>
        <v>0</v>
      </c>
      <c r="M626" s="16" t="str">
        <f t="shared" si="33"/>
        <v/>
      </c>
      <c r="N626" s="17">
        <f t="shared" si="32"/>
        <v>0</v>
      </c>
    </row>
    <row r="627" spans="1:14" x14ac:dyDescent="0.2">
      <c r="A627" s="19">
        <f>IF(ISERROR(VLOOKUP(B627,Catalogo!$A$2:$C$410,2,0)),0,(VLOOKUP(B627,Catalogo!$A$2:$C$410,2,0)))</f>
        <v>0</v>
      </c>
      <c r="B627"/>
      <c r="C627"/>
      <c r="D627"/>
      <c r="E627"/>
      <c r="F627"/>
      <c r="G627"/>
      <c r="H627"/>
      <c r="I627"/>
      <c r="J627"/>
      <c r="K627"/>
      <c r="L627" s="16">
        <f t="shared" si="31"/>
        <v>0</v>
      </c>
      <c r="M627" s="16" t="str">
        <f t="shared" si="33"/>
        <v/>
      </c>
      <c r="N627" s="17">
        <f t="shared" si="32"/>
        <v>0</v>
      </c>
    </row>
    <row r="628" spans="1:14" x14ac:dyDescent="0.2">
      <c r="A628" s="19">
        <f>IF(ISERROR(VLOOKUP(B628,Catalogo!$A$2:$C$410,2,0)),0,(VLOOKUP(B628,Catalogo!$A$2:$C$410,2,0)))</f>
        <v>0</v>
      </c>
      <c r="B628"/>
      <c r="C628"/>
      <c r="D628"/>
      <c r="E628"/>
      <c r="F628"/>
      <c r="G628"/>
      <c r="H628"/>
      <c r="I628"/>
      <c r="J628"/>
      <c r="K628"/>
      <c r="L628" s="16">
        <f t="shared" si="31"/>
        <v>0</v>
      </c>
      <c r="M628" s="16" t="str">
        <f t="shared" si="33"/>
        <v/>
      </c>
      <c r="N628" s="17">
        <f t="shared" si="32"/>
        <v>0</v>
      </c>
    </row>
    <row r="629" spans="1:14" x14ac:dyDescent="0.2">
      <c r="A629" s="19">
        <f>IF(ISERROR(VLOOKUP(B629,Catalogo!$A$2:$C$410,2,0)),0,(VLOOKUP(B629,Catalogo!$A$2:$C$410,2,0)))</f>
        <v>0</v>
      </c>
      <c r="B629"/>
      <c r="C629"/>
      <c r="D629"/>
      <c r="E629"/>
      <c r="F629"/>
      <c r="G629"/>
      <c r="H629"/>
      <c r="I629"/>
      <c r="J629"/>
      <c r="K629"/>
      <c r="L629" s="16">
        <f t="shared" si="31"/>
        <v>0</v>
      </c>
      <c r="M629" s="16" t="str">
        <f t="shared" si="33"/>
        <v/>
      </c>
      <c r="N629" s="17">
        <f t="shared" si="32"/>
        <v>0</v>
      </c>
    </row>
    <row r="630" spans="1:14" x14ac:dyDescent="0.2">
      <c r="A630" s="19">
        <f>IF(ISERROR(VLOOKUP(B630,Catalogo!$A$2:$C$410,2,0)),0,(VLOOKUP(B630,Catalogo!$A$2:$C$410,2,0)))</f>
        <v>0</v>
      </c>
      <c r="B630"/>
      <c r="C630"/>
      <c r="D630"/>
      <c r="E630"/>
      <c r="F630"/>
      <c r="G630"/>
      <c r="H630"/>
      <c r="I630"/>
      <c r="J630"/>
      <c r="K630"/>
      <c r="L630" s="16">
        <f t="shared" si="31"/>
        <v>0</v>
      </c>
      <c r="M630" s="16" t="str">
        <f t="shared" si="33"/>
        <v/>
      </c>
      <c r="N630" s="17">
        <f t="shared" si="32"/>
        <v>0</v>
      </c>
    </row>
    <row r="631" spans="1:14" x14ac:dyDescent="0.2">
      <c r="A631" s="19">
        <f>IF(ISERROR(VLOOKUP(B631,Catalogo!$A$2:$C$410,2,0)),0,(VLOOKUP(B631,Catalogo!$A$2:$C$410,2,0)))</f>
        <v>0</v>
      </c>
      <c r="B631"/>
      <c r="C631"/>
      <c r="D631"/>
      <c r="E631"/>
      <c r="F631"/>
      <c r="G631"/>
      <c r="H631"/>
      <c r="I631"/>
      <c r="J631"/>
      <c r="K631"/>
      <c r="L631" s="16">
        <f t="shared" si="31"/>
        <v>0</v>
      </c>
      <c r="M631" s="16" t="str">
        <f t="shared" si="33"/>
        <v/>
      </c>
      <c r="N631" s="17">
        <f t="shared" si="32"/>
        <v>0</v>
      </c>
    </row>
    <row r="632" spans="1:14" x14ac:dyDescent="0.2">
      <c r="A632" s="19">
        <f>IF(ISERROR(VLOOKUP(B632,Catalogo!$A$2:$C$410,2,0)),0,(VLOOKUP(B632,Catalogo!$A$2:$C$410,2,0)))</f>
        <v>0</v>
      </c>
      <c r="B632"/>
      <c r="C632"/>
      <c r="D632"/>
      <c r="E632"/>
      <c r="F632"/>
      <c r="G632"/>
      <c r="H632"/>
      <c r="I632"/>
      <c r="J632"/>
      <c r="K632"/>
      <c r="L632" s="16">
        <f t="shared" si="31"/>
        <v>0</v>
      </c>
      <c r="M632" s="16" t="str">
        <f t="shared" si="33"/>
        <v/>
      </c>
      <c r="N632" s="17">
        <f t="shared" si="32"/>
        <v>0</v>
      </c>
    </row>
    <row r="633" spans="1:14" x14ac:dyDescent="0.2">
      <c r="A633" s="19">
        <f>IF(ISERROR(VLOOKUP(B633,Catalogo!$A$2:$C$410,2,0)),0,(VLOOKUP(B633,Catalogo!$A$2:$C$410,2,0)))</f>
        <v>0</v>
      </c>
      <c r="B633"/>
      <c r="C633"/>
      <c r="D633"/>
      <c r="E633"/>
      <c r="F633"/>
      <c r="G633"/>
      <c r="H633"/>
      <c r="I633"/>
      <c r="J633"/>
      <c r="K633"/>
      <c r="L633" s="16">
        <f t="shared" si="31"/>
        <v>0</v>
      </c>
      <c r="M633" s="16" t="str">
        <f t="shared" si="33"/>
        <v/>
      </c>
      <c r="N633" s="17">
        <f t="shared" si="32"/>
        <v>0</v>
      </c>
    </row>
    <row r="634" spans="1:14" x14ac:dyDescent="0.2">
      <c r="A634" s="19">
        <f>IF(ISERROR(VLOOKUP(B634,Catalogo!$A$2:$C$410,2,0)),0,(VLOOKUP(B634,Catalogo!$A$2:$C$410,2,0)))</f>
        <v>0</v>
      </c>
      <c r="B634"/>
      <c r="C634"/>
      <c r="D634"/>
      <c r="E634"/>
      <c r="F634"/>
      <c r="G634"/>
      <c r="H634"/>
      <c r="I634"/>
      <c r="J634"/>
      <c r="K634"/>
      <c r="L634" s="16">
        <f t="shared" si="31"/>
        <v>0</v>
      </c>
      <c r="M634" s="16" t="str">
        <f t="shared" si="33"/>
        <v/>
      </c>
      <c r="N634" s="17">
        <f t="shared" si="32"/>
        <v>0</v>
      </c>
    </row>
    <row r="635" spans="1:14" x14ac:dyDescent="0.2">
      <c r="A635" s="19">
        <f>IF(ISERROR(VLOOKUP(B635,Catalogo!$A$2:$C$410,2,0)),0,(VLOOKUP(B635,Catalogo!$A$2:$C$410,2,0)))</f>
        <v>0</v>
      </c>
      <c r="B635"/>
      <c r="C635"/>
      <c r="D635"/>
      <c r="E635"/>
      <c r="F635"/>
      <c r="G635"/>
      <c r="H635"/>
      <c r="I635"/>
      <c r="J635"/>
      <c r="K635"/>
      <c r="L635" s="16">
        <f t="shared" si="31"/>
        <v>0</v>
      </c>
      <c r="M635" s="16" t="str">
        <f t="shared" si="33"/>
        <v/>
      </c>
      <c r="N635" s="17">
        <f t="shared" si="32"/>
        <v>0</v>
      </c>
    </row>
    <row r="636" spans="1:14" x14ac:dyDescent="0.2">
      <c r="A636" s="19">
        <f>IF(ISERROR(VLOOKUP(B636,Catalogo!$A$2:$C$410,2,0)),0,(VLOOKUP(B636,Catalogo!$A$2:$C$410,2,0)))</f>
        <v>0</v>
      </c>
      <c r="B636"/>
      <c r="C636"/>
      <c r="D636"/>
      <c r="E636"/>
      <c r="F636"/>
      <c r="G636"/>
      <c r="H636"/>
      <c r="I636"/>
      <c r="J636"/>
      <c r="K636"/>
      <c r="L636" s="16">
        <f t="shared" si="31"/>
        <v>0</v>
      </c>
      <c r="M636" s="16" t="str">
        <f t="shared" si="33"/>
        <v/>
      </c>
      <c r="N636" s="17">
        <f t="shared" si="32"/>
        <v>0</v>
      </c>
    </row>
    <row r="637" spans="1:14" x14ac:dyDescent="0.2">
      <c r="A637" s="19">
        <f>IF(ISERROR(VLOOKUP(B637,Catalogo!$A$2:$C$410,2,0)),0,(VLOOKUP(B637,Catalogo!$A$2:$C$410,2,0)))</f>
        <v>0</v>
      </c>
      <c r="B637"/>
      <c r="C637"/>
      <c r="D637"/>
      <c r="E637"/>
      <c r="F637"/>
      <c r="G637"/>
      <c r="H637"/>
      <c r="I637"/>
      <c r="J637"/>
      <c r="K637"/>
      <c r="L637" s="16">
        <f t="shared" si="31"/>
        <v>0</v>
      </c>
      <c r="M637" s="16" t="str">
        <f t="shared" si="33"/>
        <v/>
      </c>
      <c r="N637" s="17">
        <f t="shared" si="32"/>
        <v>0</v>
      </c>
    </row>
    <row r="638" spans="1:14" x14ac:dyDescent="0.2">
      <c r="A638" s="19">
        <f>IF(ISERROR(VLOOKUP(B638,Catalogo!$A$2:$C$410,2,0)),0,(VLOOKUP(B638,Catalogo!$A$2:$C$410,2,0)))</f>
        <v>0</v>
      </c>
      <c r="B638"/>
      <c r="C638"/>
      <c r="D638"/>
      <c r="E638"/>
      <c r="F638"/>
      <c r="G638"/>
      <c r="H638"/>
      <c r="I638"/>
      <c r="J638"/>
      <c r="K638"/>
      <c r="L638" s="16">
        <f t="shared" si="31"/>
        <v>0</v>
      </c>
      <c r="M638" s="16" t="str">
        <f t="shared" si="33"/>
        <v/>
      </c>
      <c r="N638" s="17">
        <f t="shared" si="32"/>
        <v>0</v>
      </c>
    </row>
    <row r="639" spans="1:14" x14ac:dyDescent="0.2">
      <c r="A639" s="19">
        <f>IF(ISERROR(VLOOKUP(B639,Catalogo!$A$2:$C$410,2,0)),0,(VLOOKUP(B639,Catalogo!$A$2:$C$410,2,0)))</f>
        <v>0</v>
      </c>
      <c r="B639"/>
      <c r="C639"/>
      <c r="D639"/>
      <c r="E639"/>
      <c r="F639"/>
      <c r="G639"/>
      <c r="H639"/>
      <c r="I639"/>
      <c r="J639"/>
      <c r="K639"/>
      <c r="L639" s="16">
        <f t="shared" si="31"/>
        <v>0</v>
      </c>
      <c r="M639" s="16" t="str">
        <f t="shared" si="33"/>
        <v/>
      </c>
      <c r="N639" s="17">
        <f t="shared" si="32"/>
        <v>0</v>
      </c>
    </row>
    <row r="640" spans="1:14" x14ac:dyDescent="0.2">
      <c r="A640" s="19">
        <f>IF(ISERROR(VLOOKUP(B640,Catalogo!$A$2:$C$410,2,0)),0,(VLOOKUP(B640,Catalogo!$A$2:$C$410,2,0)))</f>
        <v>0</v>
      </c>
      <c r="B640"/>
      <c r="C640"/>
      <c r="D640"/>
      <c r="E640"/>
      <c r="F640"/>
      <c r="G640"/>
      <c r="H640"/>
      <c r="I640"/>
      <c r="J640"/>
      <c r="K640"/>
      <c r="L640" s="16">
        <f t="shared" si="31"/>
        <v>0</v>
      </c>
      <c r="M640" s="16" t="str">
        <f t="shared" si="33"/>
        <v/>
      </c>
      <c r="N640" s="17">
        <f t="shared" si="32"/>
        <v>0</v>
      </c>
    </row>
    <row r="641" spans="1:14" x14ac:dyDescent="0.2">
      <c r="A641" s="19">
        <f>IF(ISERROR(VLOOKUP(B641,Catalogo!$A$2:$C$410,2,0)),0,(VLOOKUP(B641,Catalogo!$A$2:$C$410,2,0)))</f>
        <v>0</v>
      </c>
      <c r="B641"/>
      <c r="C641"/>
      <c r="D641"/>
      <c r="E641"/>
      <c r="F641"/>
      <c r="G641"/>
      <c r="H641"/>
      <c r="I641"/>
      <c r="J641"/>
      <c r="K641"/>
      <c r="L641" s="16">
        <f t="shared" si="31"/>
        <v>0</v>
      </c>
      <c r="M641" s="16" t="str">
        <f t="shared" si="33"/>
        <v/>
      </c>
      <c r="N641" s="17">
        <f t="shared" si="32"/>
        <v>0</v>
      </c>
    </row>
    <row r="642" spans="1:14" x14ac:dyDescent="0.2">
      <c r="A642" s="19">
        <f>IF(ISERROR(VLOOKUP(B642,Catalogo!$A$2:$C$410,2,0)),0,(VLOOKUP(B642,Catalogo!$A$2:$C$410,2,0)))</f>
        <v>0</v>
      </c>
      <c r="B642"/>
      <c r="C642"/>
      <c r="D642"/>
      <c r="E642"/>
      <c r="F642"/>
      <c r="G642"/>
      <c r="H642"/>
      <c r="I642"/>
      <c r="J642"/>
      <c r="K642"/>
      <c r="L642" s="16">
        <f t="shared" ref="L642:L705" si="34">IF(A642="Record Keeping",B642,0)</f>
        <v>0</v>
      </c>
      <c r="M642" s="16" t="str">
        <f t="shared" si="33"/>
        <v/>
      </c>
      <c r="N642" s="17">
        <f t="shared" ref="N642:N705" si="35">IF(G642="CAN",F642*0,IF(M642="R",F642*-1,F642*1)*AND(A642="Record Keeping"))</f>
        <v>0</v>
      </c>
    </row>
    <row r="643" spans="1:14" x14ac:dyDescent="0.2">
      <c r="A643" s="19">
        <f>IF(ISERROR(VLOOKUP(B643,Catalogo!$A$2:$C$410,2,0)),0,(VLOOKUP(B643,Catalogo!$A$2:$C$410,2,0)))</f>
        <v>0</v>
      </c>
      <c r="B643"/>
      <c r="C643"/>
      <c r="D643"/>
      <c r="E643"/>
      <c r="F643"/>
      <c r="G643"/>
      <c r="H643"/>
      <c r="I643"/>
      <c r="J643"/>
      <c r="K643"/>
      <c r="L643" s="16">
        <f t="shared" si="34"/>
        <v>0</v>
      </c>
      <c r="M643" s="16" t="str">
        <f t="shared" si="33"/>
        <v/>
      </c>
      <c r="N643" s="17">
        <f t="shared" si="35"/>
        <v>0</v>
      </c>
    </row>
    <row r="644" spans="1:14" x14ac:dyDescent="0.2">
      <c r="A644" s="19">
        <f>IF(ISERROR(VLOOKUP(B644,Catalogo!$A$2:$C$410,2,0)),0,(VLOOKUP(B644,Catalogo!$A$2:$C$410,2,0)))</f>
        <v>0</v>
      </c>
      <c r="B644"/>
      <c r="C644"/>
      <c r="D644"/>
      <c r="E644"/>
      <c r="F644"/>
      <c r="G644"/>
      <c r="H644"/>
      <c r="I644"/>
      <c r="J644"/>
      <c r="K644"/>
      <c r="L644" s="16">
        <f t="shared" si="34"/>
        <v>0</v>
      </c>
      <c r="M644" s="16" t="str">
        <f t="shared" si="33"/>
        <v/>
      </c>
      <c r="N644" s="17">
        <f t="shared" si="35"/>
        <v>0</v>
      </c>
    </row>
    <row r="645" spans="1:14" x14ac:dyDescent="0.2">
      <c r="A645" s="19">
        <f>IF(ISERROR(VLOOKUP(B645,Catalogo!$A$2:$C$410,2,0)),0,(VLOOKUP(B645,Catalogo!$A$2:$C$410,2,0)))</f>
        <v>0</v>
      </c>
      <c r="B645"/>
      <c r="C645"/>
      <c r="D645"/>
      <c r="E645"/>
      <c r="F645"/>
      <c r="G645"/>
      <c r="H645"/>
      <c r="I645"/>
      <c r="J645"/>
      <c r="K645"/>
      <c r="L645" s="16">
        <f t="shared" si="34"/>
        <v>0</v>
      </c>
      <c r="M645" s="16" t="str">
        <f t="shared" si="33"/>
        <v/>
      </c>
      <c r="N645" s="17">
        <f t="shared" si="35"/>
        <v>0</v>
      </c>
    </row>
    <row r="646" spans="1:14" x14ac:dyDescent="0.2">
      <c r="A646" s="19">
        <f>IF(ISERROR(VLOOKUP(B646,Catalogo!$A$2:$C$410,2,0)),0,(VLOOKUP(B646,Catalogo!$A$2:$C$410,2,0)))</f>
        <v>0</v>
      </c>
      <c r="B646"/>
      <c r="C646"/>
      <c r="D646"/>
      <c r="E646"/>
      <c r="F646"/>
      <c r="G646"/>
      <c r="H646"/>
      <c r="I646"/>
      <c r="J646"/>
      <c r="K646"/>
      <c r="L646" s="16">
        <f t="shared" si="34"/>
        <v>0</v>
      </c>
      <c r="M646" s="16" t="str">
        <f t="shared" si="33"/>
        <v/>
      </c>
      <c r="N646" s="17">
        <f t="shared" si="35"/>
        <v>0</v>
      </c>
    </row>
    <row r="647" spans="1:14" x14ac:dyDescent="0.2">
      <c r="A647" s="19">
        <f>IF(ISERROR(VLOOKUP(B647,Catalogo!$A$2:$C$410,2,0)),0,(VLOOKUP(B647,Catalogo!$A$2:$C$410,2,0)))</f>
        <v>0</v>
      </c>
      <c r="B647"/>
      <c r="C647"/>
      <c r="D647"/>
      <c r="E647"/>
      <c r="F647"/>
      <c r="G647"/>
      <c r="H647"/>
      <c r="I647"/>
      <c r="J647"/>
      <c r="K647"/>
      <c r="L647" s="16">
        <f t="shared" si="34"/>
        <v>0</v>
      </c>
      <c r="M647" s="16" t="str">
        <f t="shared" ref="M647:M697" si="36">LEFT(E647,1)</f>
        <v/>
      </c>
      <c r="N647" s="17">
        <f t="shared" si="35"/>
        <v>0</v>
      </c>
    </row>
    <row r="648" spans="1:14" x14ac:dyDescent="0.2">
      <c r="A648" s="19">
        <f>IF(ISERROR(VLOOKUP(B648,Catalogo!$A$2:$C$410,2,0)),0,(VLOOKUP(B648,Catalogo!$A$2:$C$410,2,0)))</f>
        <v>0</v>
      </c>
      <c r="B648"/>
      <c r="C648"/>
      <c r="D648"/>
      <c r="E648"/>
      <c r="F648"/>
      <c r="G648"/>
      <c r="H648"/>
      <c r="I648"/>
      <c r="J648"/>
      <c r="K648"/>
      <c r="L648" s="16">
        <f t="shared" si="34"/>
        <v>0</v>
      </c>
      <c r="M648" s="16" t="str">
        <f t="shared" si="36"/>
        <v/>
      </c>
      <c r="N648" s="17">
        <f t="shared" si="35"/>
        <v>0</v>
      </c>
    </row>
    <row r="649" spans="1:14" x14ac:dyDescent="0.2">
      <c r="A649" s="19">
        <f>IF(ISERROR(VLOOKUP(B649,Catalogo!$A$2:$C$410,2,0)),0,(VLOOKUP(B649,Catalogo!$A$2:$C$410,2,0)))</f>
        <v>0</v>
      </c>
      <c r="B649"/>
      <c r="C649"/>
      <c r="D649"/>
      <c r="E649"/>
      <c r="F649"/>
      <c r="G649"/>
      <c r="H649"/>
      <c r="I649"/>
      <c r="J649"/>
      <c r="K649"/>
      <c r="L649" s="16">
        <f t="shared" si="34"/>
        <v>0</v>
      </c>
      <c r="M649" s="16" t="str">
        <f t="shared" si="36"/>
        <v/>
      </c>
      <c r="N649" s="17">
        <f t="shared" si="35"/>
        <v>0</v>
      </c>
    </row>
    <row r="650" spans="1:14" x14ac:dyDescent="0.2">
      <c r="A650" s="19">
        <f>IF(ISERROR(VLOOKUP(B650,Catalogo!$A$2:$C$410,2,0)),0,(VLOOKUP(B650,Catalogo!$A$2:$C$410,2,0)))</f>
        <v>0</v>
      </c>
      <c r="B650"/>
      <c r="C650"/>
      <c r="D650"/>
      <c r="E650"/>
      <c r="F650"/>
      <c r="G650"/>
      <c r="H650"/>
      <c r="I650"/>
      <c r="J650"/>
      <c r="K650"/>
      <c r="L650" s="16">
        <f t="shared" si="34"/>
        <v>0</v>
      </c>
      <c r="M650" s="16" t="str">
        <f t="shared" si="36"/>
        <v/>
      </c>
      <c r="N650" s="17">
        <f t="shared" si="35"/>
        <v>0</v>
      </c>
    </row>
    <row r="651" spans="1:14" x14ac:dyDescent="0.2">
      <c r="A651" s="19">
        <f>IF(ISERROR(VLOOKUP(B651,Catalogo!$A$2:$C$410,2,0)),0,(VLOOKUP(B651,Catalogo!$A$2:$C$410,2,0)))</f>
        <v>0</v>
      </c>
      <c r="B651"/>
      <c r="C651"/>
      <c r="D651"/>
      <c r="E651"/>
      <c r="F651"/>
      <c r="G651"/>
      <c r="H651"/>
      <c r="I651"/>
      <c r="J651"/>
      <c r="K651"/>
      <c r="L651" s="16">
        <f t="shared" si="34"/>
        <v>0</v>
      </c>
      <c r="M651" s="16" t="str">
        <f t="shared" si="36"/>
        <v/>
      </c>
      <c r="N651" s="17">
        <f t="shared" si="35"/>
        <v>0</v>
      </c>
    </row>
    <row r="652" spans="1:14" x14ac:dyDescent="0.2">
      <c r="A652" s="19">
        <f>IF(ISERROR(VLOOKUP(B652,Catalogo!$A$2:$C$410,2,0)),0,(VLOOKUP(B652,Catalogo!$A$2:$C$410,2,0)))</f>
        <v>0</v>
      </c>
      <c r="B652"/>
      <c r="C652"/>
      <c r="D652"/>
      <c r="E652"/>
      <c r="F652"/>
      <c r="G652"/>
      <c r="H652"/>
      <c r="I652"/>
      <c r="J652"/>
      <c r="K652"/>
      <c r="L652" s="16">
        <f t="shared" si="34"/>
        <v>0</v>
      </c>
      <c r="M652" s="16" t="str">
        <f t="shared" si="36"/>
        <v/>
      </c>
      <c r="N652" s="17">
        <f t="shared" si="35"/>
        <v>0</v>
      </c>
    </row>
    <row r="653" spans="1:14" x14ac:dyDescent="0.2">
      <c r="A653" s="19">
        <f>IF(ISERROR(VLOOKUP(B653,Catalogo!$A$2:$C$410,2,0)),0,(VLOOKUP(B653,Catalogo!$A$2:$C$410,2,0)))</f>
        <v>0</v>
      </c>
      <c r="B653"/>
      <c r="C653"/>
      <c r="D653"/>
      <c r="E653"/>
      <c r="F653"/>
      <c r="G653"/>
      <c r="H653"/>
      <c r="I653"/>
      <c r="J653"/>
      <c r="K653"/>
      <c r="L653" s="16">
        <f t="shared" si="34"/>
        <v>0</v>
      </c>
      <c r="M653" s="16" t="str">
        <f t="shared" si="36"/>
        <v/>
      </c>
      <c r="N653" s="17">
        <f t="shared" si="35"/>
        <v>0</v>
      </c>
    </row>
    <row r="654" spans="1:14" x14ac:dyDescent="0.2">
      <c r="A654" s="19">
        <f>IF(ISERROR(VLOOKUP(B654,Catalogo!$A$2:$C$410,2,0)),0,(VLOOKUP(B654,Catalogo!$A$2:$C$410,2,0)))</f>
        <v>0</v>
      </c>
      <c r="B654"/>
      <c r="C654"/>
      <c r="D654"/>
      <c r="E654"/>
      <c r="F654"/>
      <c r="G654"/>
      <c r="H654"/>
      <c r="I654"/>
      <c r="J654"/>
      <c r="K654"/>
      <c r="L654" s="16">
        <f t="shared" si="34"/>
        <v>0</v>
      </c>
      <c r="M654" s="16" t="str">
        <f t="shared" si="36"/>
        <v/>
      </c>
      <c r="N654" s="17">
        <f t="shared" si="35"/>
        <v>0</v>
      </c>
    </row>
    <row r="655" spans="1:14" x14ac:dyDescent="0.2">
      <c r="A655" s="19">
        <f>IF(ISERROR(VLOOKUP(B655,Catalogo!$A$2:$C$410,2,0)),0,(VLOOKUP(B655,Catalogo!$A$2:$C$410,2,0)))</f>
        <v>0</v>
      </c>
      <c r="B655"/>
      <c r="C655"/>
      <c r="D655"/>
      <c r="E655"/>
      <c r="F655"/>
      <c r="G655"/>
      <c r="H655"/>
      <c r="I655"/>
      <c r="J655"/>
      <c r="K655"/>
      <c r="L655" s="16">
        <f t="shared" si="34"/>
        <v>0</v>
      </c>
      <c r="M655" s="16" t="str">
        <f t="shared" si="36"/>
        <v/>
      </c>
      <c r="N655" s="17">
        <f t="shared" si="35"/>
        <v>0</v>
      </c>
    </row>
    <row r="656" spans="1:14" x14ac:dyDescent="0.2">
      <c r="A656" s="19">
        <f>IF(ISERROR(VLOOKUP(B656,Catalogo!$A$2:$C$410,2,0)),0,(VLOOKUP(B656,Catalogo!$A$2:$C$410,2,0)))</f>
        <v>0</v>
      </c>
      <c r="B656"/>
      <c r="C656"/>
      <c r="D656"/>
      <c r="E656"/>
      <c r="F656"/>
      <c r="G656"/>
      <c r="H656"/>
      <c r="I656"/>
      <c r="J656"/>
      <c r="K656"/>
      <c r="L656" s="16">
        <f t="shared" si="34"/>
        <v>0</v>
      </c>
      <c r="M656" s="16" t="str">
        <f t="shared" si="36"/>
        <v/>
      </c>
      <c r="N656" s="17">
        <f t="shared" si="35"/>
        <v>0</v>
      </c>
    </row>
    <row r="657" spans="1:14" x14ac:dyDescent="0.2">
      <c r="A657" s="19">
        <f>IF(ISERROR(VLOOKUP(B657,Catalogo!$A$2:$C$410,2,0)),0,(VLOOKUP(B657,Catalogo!$A$2:$C$410,2,0)))</f>
        <v>0</v>
      </c>
      <c r="B657"/>
      <c r="C657"/>
      <c r="D657"/>
      <c r="E657"/>
      <c r="F657"/>
      <c r="G657"/>
      <c r="H657"/>
      <c r="I657"/>
      <c r="J657"/>
      <c r="K657"/>
      <c r="L657" s="16">
        <f t="shared" si="34"/>
        <v>0</v>
      </c>
      <c r="M657" s="16" t="str">
        <f t="shared" si="36"/>
        <v/>
      </c>
      <c r="N657" s="17">
        <f t="shared" si="35"/>
        <v>0</v>
      </c>
    </row>
    <row r="658" spans="1:14" x14ac:dyDescent="0.2">
      <c r="A658" s="19">
        <f>IF(ISERROR(VLOOKUP(B658,Catalogo!$A$2:$C$410,2,0)),0,(VLOOKUP(B658,Catalogo!$A$2:$C$410,2,0)))</f>
        <v>0</v>
      </c>
      <c r="B658"/>
      <c r="C658"/>
      <c r="D658"/>
      <c r="E658"/>
      <c r="F658"/>
      <c r="G658"/>
      <c r="H658"/>
      <c r="I658"/>
      <c r="J658"/>
      <c r="K658"/>
      <c r="L658" s="16">
        <f t="shared" si="34"/>
        <v>0</v>
      </c>
      <c r="M658" s="16" t="str">
        <f t="shared" si="36"/>
        <v/>
      </c>
      <c r="N658" s="17">
        <f t="shared" si="35"/>
        <v>0</v>
      </c>
    </row>
    <row r="659" spans="1:14" x14ac:dyDescent="0.2">
      <c r="A659" s="19">
        <f>IF(ISERROR(VLOOKUP(B659,Catalogo!$A$2:$C$410,2,0)),0,(VLOOKUP(B659,Catalogo!$A$2:$C$410,2,0)))</f>
        <v>0</v>
      </c>
      <c r="B659"/>
      <c r="C659"/>
      <c r="D659"/>
      <c r="E659"/>
      <c r="F659"/>
      <c r="G659"/>
      <c r="H659"/>
      <c r="I659"/>
      <c r="J659"/>
      <c r="K659"/>
      <c r="L659" s="16">
        <f t="shared" si="34"/>
        <v>0</v>
      </c>
      <c r="M659" s="16" t="str">
        <f t="shared" si="36"/>
        <v/>
      </c>
      <c r="N659" s="17">
        <f t="shared" si="35"/>
        <v>0</v>
      </c>
    </row>
    <row r="660" spans="1:14" x14ac:dyDescent="0.2">
      <c r="A660" s="19">
        <f>IF(ISERROR(VLOOKUP(B660,Catalogo!$A$2:$C$410,2,0)),0,(VLOOKUP(B660,Catalogo!$A$2:$C$410,2,0)))</f>
        <v>0</v>
      </c>
      <c r="B660"/>
      <c r="C660"/>
      <c r="D660"/>
      <c r="E660"/>
      <c r="F660"/>
      <c r="G660"/>
      <c r="H660"/>
      <c r="I660"/>
      <c r="J660"/>
      <c r="K660"/>
      <c r="L660" s="16">
        <f t="shared" si="34"/>
        <v>0</v>
      </c>
      <c r="M660" s="16" t="str">
        <f t="shared" si="36"/>
        <v/>
      </c>
      <c r="N660" s="17">
        <f t="shared" si="35"/>
        <v>0</v>
      </c>
    </row>
    <row r="661" spans="1:14" x14ac:dyDescent="0.2">
      <c r="A661" s="19">
        <f>IF(ISERROR(VLOOKUP(B661,Catalogo!$A$2:$C$410,2,0)),0,(VLOOKUP(B661,Catalogo!$A$2:$C$410,2,0)))</f>
        <v>0</v>
      </c>
      <c r="B661"/>
      <c r="C661"/>
      <c r="D661"/>
      <c r="E661"/>
      <c r="F661"/>
      <c r="G661"/>
      <c r="H661"/>
      <c r="I661"/>
      <c r="J661"/>
      <c r="K661"/>
      <c r="L661" s="16">
        <f t="shared" si="34"/>
        <v>0</v>
      </c>
      <c r="M661" s="16" t="str">
        <f t="shared" si="36"/>
        <v/>
      </c>
      <c r="N661" s="17">
        <f t="shared" si="35"/>
        <v>0</v>
      </c>
    </row>
    <row r="662" spans="1:14" x14ac:dyDescent="0.2">
      <c r="A662" s="19">
        <f>IF(ISERROR(VLOOKUP(B662,Catalogo!$A$2:$C$410,2,0)),0,(VLOOKUP(B662,Catalogo!$A$2:$C$410,2,0)))</f>
        <v>0</v>
      </c>
      <c r="B662"/>
      <c r="C662"/>
      <c r="D662"/>
      <c r="E662"/>
      <c r="F662"/>
      <c r="G662"/>
      <c r="H662"/>
      <c r="I662"/>
      <c r="J662"/>
      <c r="K662"/>
      <c r="L662" s="16">
        <f t="shared" si="34"/>
        <v>0</v>
      </c>
      <c r="M662" s="16" t="str">
        <f t="shared" si="36"/>
        <v/>
      </c>
      <c r="N662" s="17">
        <f t="shared" si="35"/>
        <v>0</v>
      </c>
    </row>
    <row r="663" spans="1:14" x14ac:dyDescent="0.2">
      <c r="A663" s="19">
        <f>IF(ISERROR(VLOOKUP(B663,Catalogo!$A$2:$C$410,2,0)),0,(VLOOKUP(B663,Catalogo!$A$2:$C$410,2,0)))</f>
        <v>0</v>
      </c>
      <c r="B663"/>
      <c r="C663"/>
      <c r="D663"/>
      <c r="E663"/>
      <c r="F663"/>
      <c r="G663"/>
      <c r="H663"/>
      <c r="I663"/>
      <c r="J663"/>
      <c r="K663"/>
      <c r="L663" s="16">
        <f t="shared" si="34"/>
        <v>0</v>
      </c>
      <c r="M663" s="16" t="str">
        <f t="shared" si="36"/>
        <v/>
      </c>
      <c r="N663" s="17">
        <f t="shared" si="35"/>
        <v>0</v>
      </c>
    </row>
    <row r="664" spans="1:14" x14ac:dyDescent="0.2">
      <c r="A664" s="19">
        <f>IF(ISERROR(VLOOKUP(B664,Catalogo!$A$2:$C$410,2,0)),0,(VLOOKUP(B664,Catalogo!$A$2:$C$410,2,0)))</f>
        <v>0</v>
      </c>
      <c r="B664"/>
      <c r="C664"/>
      <c r="D664"/>
      <c r="E664"/>
      <c r="F664"/>
      <c r="G664"/>
      <c r="H664"/>
      <c r="I664"/>
      <c r="J664"/>
      <c r="K664"/>
      <c r="L664" s="16">
        <f t="shared" si="34"/>
        <v>0</v>
      </c>
      <c r="M664" s="16" t="str">
        <f t="shared" si="36"/>
        <v/>
      </c>
      <c r="N664" s="17">
        <f t="shared" si="35"/>
        <v>0</v>
      </c>
    </row>
    <row r="665" spans="1:14" x14ac:dyDescent="0.2">
      <c r="A665" s="19">
        <f>IF(ISERROR(VLOOKUP(B665,Catalogo!$A$2:$C$410,2,0)),0,(VLOOKUP(B665,Catalogo!$A$2:$C$410,2,0)))</f>
        <v>0</v>
      </c>
      <c r="B665"/>
      <c r="C665"/>
      <c r="D665"/>
      <c r="E665"/>
      <c r="F665"/>
      <c r="G665"/>
      <c r="H665"/>
      <c r="I665"/>
      <c r="J665"/>
      <c r="K665"/>
      <c r="L665" s="16">
        <f t="shared" si="34"/>
        <v>0</v>
      </c>
      <c r="M665" s="16" t="str">
        <f t="shared" si="36"/>
        <v/>
      </c>
      <c r="N665" s="17">
        <f t="shared" si="35"/>
        <v>0</v>
      </c>
    </row>
    <row r="666" spans="1:14" x14ac:dyDescent="0.2">
      <c r="A666" s="19">
        <f>IF(ISERROR(VLOOKUP(B666,Catalogo!$A$2:$C$410,2,0)),0,(VLOOKUP(B666,Catalogo!$A$2:$C$410,2,0)))</f>
        <v>0</v>
      </c>
      <c r="B666"/>
      <c r="C666"/>
      <c r="D666"/>
      <c r="E666"/>
      <c r="F666"/>
      <c r="G666"/>
      <c r="H666"/>
      <c r="I666"/>
      <c r="J666"/>
      <c r="K666"/>
      <c r="L666" s="16">
        <f t="shared" si="34"/>
        <v>0</v>
      </c>
      <c r="M666" s="16" t="str">
        <f t="shared" si="36"/>
        <v/>
      </c>
      <c r="N666" s="17">
        <f t="shared" si="35"/>
        <v>0</v>
      </c>
    </row>
    <row r="667" spans="1:14" x14ac:dyDescent="0.2">
      <c r="A667" s="19">
        <f>IF(ISERROR(VLOOKUP(B667,Catalogo!$A$2:$C$410,2,0)),0,(VLOOKUP(B667,Catalogo!$A$2:$C$410,2,0)))</f>
        <v>0</v>
      </c>
      <c r="B667"/>
      <c r="C667"/>
      <c r="D667"/>
      <c r="E667"/>
      <c r="F667"/>
      <c r="G667"/>
      <c r="H667"/>
      <c r="I667"/>
      <c r="J667"/>
      <c r="K667"/>
      <c r="L667" s="16">
        <f t="shared" si="34"/>
        <v>0</v>
      </c>
      <c r="M667" s="16" t="str">
        <f t="shared" si="36"/>
        <v/>
      </c>
      <c r="N667" s="17">
        <f t="shared" si="35"/>
        <v>0</v>
      </c>
    </row>
    <row r="668" spans="1:14" x14ac:dyDescent="0.2">
      <c r="A668" s="19">
        <f>IF(ISERROR(VLOOKUP(B668,Catalogo!$A$2:$C$410,2,0)),0,(VLOOKUP(B668,Catalogo!$A$2:$C$410,2,0)))</f>
        <v>0</v>
      </c>
      <c r="B668"/>
      <c r="C668"/>
      <c r="D668"/>
      <c r="E668"/>
      <c r="F668"/>
      <c r="G668"/>
      <c r="H668"/>
      <c r="I668"/>
      <c r="J668"/>
      <c r="K668"/>
      <c r="L668" s="16">
        <f t="shared" si="34"/>
        <v>0</v>
      </c>
      <c r="M668" s="16" t="str">
        <f t="shared" si="36"/>
        <v/>
      </c>
      <c r="N668" s="17">
        <f t="shared" si="35"/>
        <v>0</v>
      </c>
    </row>
    <row r="669" spans="1:14" x14ac:dyDescent="0.2">
      <c r="A669" s="19">
        <f>IF(ISERROR(VLOOKUP(B669,Catalogo!$A$2:$C$410,2,0)),0,(VLOOKUP(B669,Catalogo!$A$2:$C$410,2,0)))</f>
        <v>0</v>
      </c>
      <c r="B669"/>
      <c r="C669"/>
      <c r="D669"/>
      <c r="E669"/>
      <c r="F669"/>
      <c r="G669"/>
      <c r="H669"/>
      <c r="I669"/>
      <c r="J669"/>
      <c r="K669"/>
      <c r="L669" s="16">
        <f t="shared" si="34"/>
        <v>0</v>
      </c>
      <c r="M669" s="16" t="str">
        <f t="shared" si="36"/>
        <v/>
      </c>
      <c r="N669" s="17">
        <f t="shared" si="35"/>
        <v>0</v>
      </c>
    </row>
    <row r="670" spans="1:14" x14ac:dyDescent="0.2">
      <c r="A670" s="19">
        <f>IF(ISERROR(VLOOKUP(B670,Catalogo!$A$2:$C$410,2,0)),0,(VLOOKUP(B670,Catalogo!$A$2:$C$410,2,0)))</f>
        <v>0</v>
      </c>
      <c r="B670"/>
      <c r="C670"/>
      <c r="D670"/>
      <c r="E670"/>
      <c r="F670"/>
      <c r="G670"/>
      <c r="H670"/>
      <c r="I670"/>
      <c r="J670"/>
      <c r="K670"/>
      <c r="L670" s="16">
        <f t="shared" si="34"/>
        <v>0</v>
      </c>
      <c r="M670" s="16" t="str">
        <f t="shared" si="36"/>
        <v/>
      </c>
      <c r="N670" s="17">
        <f t="shared" si="35"/>
        <v>0</v>
      </c>
    </row>
    <row r="671" spans="1:14" x14ac:dyDescent="0.2">
      <c r="A671" s="19">
        <f>IF(ISERROR(VLOOKUP(B671,Catalogo!$A$2:$C$410,2,0)),0,(VLOOKUP(B671,Catalogo!$A$2:$C$410,2,0)))</f>
        <v>0</v>
      </c>
      <c r="B671"/>
      <c r="C671"/>
      <c r="D671"/>
      <c r="E671"/>
      <c r="F671"/>
      <c r="G671"/>
      <c r="H671"/>
      <c r="I671"/>
      <c r="J671"/>
      <c r="K671"/>
      <c r="L671" s="16">
        <f t="shared" si="34"/>
        <v>0</v>
      </c>
      <c r="M671" s="16" t="str">
        <f t="shared" si="36"/>
        <v/>
      </c>
      <c r="N671" s="17">
        <f t="shared" si="35"/>
        <v>0</v>
      </c>
    </row>
    <row r="672" spans="1:14" x14ac:dyDescent="0.2">
      <c r="A672" s="19">
        <f>IF(ISERROR(VLOOKUP(B672,Catalogo!$A$2:$C$410,2,0)),0,(VLOOKUP(B672,Catalogo!$A$2:$C$410,2,0)))</f>
        <v>0</v>
      </c>
      <c r="B672"/>
      <c r="C672"/>
      <c r="D672"/>
      <c r="E672"/>
      <c r="F672"/>
      <c r="G672"/>
      <c r="H672"/>
      <c r="I672"/>
      <c r="J672"/>
      <c r="K672"/>
      <c r="L672" s="16">
        <f t="shared" si="34"/>
        <v>0</v>
      </c>
      <c r="M672" s="16" t="str">
        <f t="shared" si="36"/>
        <v/>
      </c>
      <c r="N672" s="17">
        <f t="shared" si="35"/>
        <v>0</v>
      </c>
    </row>
    <row r="673" spans="1:14" x14ac:dyDescent="0.2">
      <c r="A673" s="19">
        <f>IF(ISERROR(VLOOKUP(B673,Catalogo!$A$2:$C$410,2,0)),0,(VLOOKUP(B673,Catalogo!$A$2:$C$410,2,0)))</f>
        <v>0</v>
      </c>
      <c r="B673"/>
      <c r="C673"/>
      <c r="D673"/>
      <c r="E673"/>
      <c r="F673"/>
      <c r="G673"/>
      <c r="H673"/>
      <c r="I673"/>
      <c r="J673"/>
      <c r="K673"/>
      <c r="L673" s="16">
        <f t="shared" si="34"/>
        <v>0</v>
      </c>
      <c r="M673" s="16" t="str">
        <f t="shared" si="36"/>
        <v/>
      </c>
      <c r="N673" s="17">
        <f t="shared" si="35"/>
        <v>0</v>
      </c>
    </row>
    <row r="674" spans="1:14" x14ac:dyDescent="0.2">
      <c r="A674" s="19">
        <f>IF(ISERROR(VLOOKUP(B674,Catalogo!$A$2:$C$410,2,0)),0,(VLOOKUP(B674,Catalogo!$A$2:$C$410,2,0)))</f>
        <v>0</v>
      </c>
      <c r="B674"/>
      <c r="C674"/>
      <c r="D674"/>
      <c r="E674"/>
      <c r="F674"/>
      <c r="G674"/>
      <c r="H674"/>
      <c r="I674"/>
      <c r="J674"/>
      <c r="K674"/>
      <c r="L674" s="16">
        <f t="shared" si="34"/>
        <v>0</v>
      </c>
      <c r="M674" s="16" t="str">
        <f t="shared" si="36"/>
        <v/>
      </c>
      <c r="N674" s="17">
        <f t="shared" si="35"/>
        <v>0</v>
      </c>
    </row>
    <row r="675" spans="1:14" x14ac:dyDescent="0.2">
      <c r="A675" s="19">
        <f>IF(ISERROR(VLOOKUP(B675,Catalogo!$A$2:$C$410,2,0)),0,(VLOOKUP(B675,Catalogo!$A$2:$C$410,2,0)))</f>
        <v>0</v>
      </c>
      <c r="B675"/>
      <c r="C675"/>
      <c r="D675"/>
      <c r="E675"/>
      <c r="F675"/>
      <c r="G675"/>
      <c r="H675"/>
      <c r="I675"/>
      <c r="J675"/>
      <c r="K675"/>
      <c r="L675" s="16">
        <f t="shared" si="34"/>
        <v>0</v>
      </c>
      <c r="M675" s="16" t="str">
        <f t="shared" si="36"/>
        <v/>
      </c>
      <c r="N675" s="17">
        <f t="shared" si="35"/>
        <v>0</v>
      </c>
    </row>
    <row r="676" spans="1:14" x14ac:dyDescent="0.2">
      <c r="A676" s="19">
        <f>IF(ISERROR(VLOOKUP(B676,Catalogo!$A$2:$C$410,2,0)),0,(VLOOKUP(B676,Catalogo!$A$2:$C$410,2,0)))</f>
        <v>0</v>
      </c>
      <c r="B676"/>
      <c r="C676"/>
      <c r="D676"/>
      <c r="E676"/>
      <c r="F676"/>
      <c r="G676"/>
      <c r="H676"/>
      <c r="I676"/>
      <c r="J676"/>
      <c r="K676"/>
      <c r="L676" s="16">
        <f t="shared" si="34"/>
        <v>0</v>
      </c>
      <c r="M676" s="16" t="str">
        <f t="shared" si="36"/>
        <v/>
      </c>
      <c r="N676" s="17">
        <f t="shared" si="35"/>
        <v>0</v>
      </c>
    </row>
    <row r="677" spans="1:14" x14ac:dyDescent="0.2">
      <c r="A677" s="19">
        <f>IF(ISERROR(VLOOKUP(B677,Catalogo!$A$2:$C$410,2,0)),0,(VLOOKUP(B677,Catalogo!$A$2:$C$410,2,0)))</f>
        <v>0</v>
      </c>
      <c r="B677"/>
      <c r="C677"/>
      <c r="D677"/>
      <c r="E677"/>
      <c r="F677"/>
      <c r="G677"/>
      <c r="H677"/>
      <c r="I677"/>
      <c r="J677"/>
      <c r="K677"/>
      <c r="L677" s="16">
        <f t="shared" si="34"/>
        <v>0</v>
      </c>
      <c r="M677" s="16" t="str">
        <f t="shared" si="36"/>
        <v/>
      </c>
      <c r="N677" s="17">
        <f t="shared" si="35"/>
        <v>0</v>
      </c>
    </row>
    <row r="678" spans="1:14" x14ac:dyDescent="0.2">
      <c r="A678" s="19">
        <f>IF(ISERROR(VLOOKUP(B678,Catalogo!$A$2:$C$410,2,0)),0,(VLOOKUP(B678,Catalogo!$A$2:$C$410,2,0)))</f>
        <v>0</v>
      </c>
      <c r="B678"/>
      <c r="C678"/>
      <c r="D678"/>
      <c r="E678"/>
      <c r="F678"/>
      <c r="G678"/>
      <c r="H678"/>
      <c r="I678"/>
      <c r="J678"/>
      <c r="K678"/>
      <c r="L678" s="16">
        <f t="shared" si="34"/>
        <v>0</v>
      </c>
      <c r="M678" s="16" t="str">
        <f t="shared" si="36"/>
        <v/>
      </c>
      <c r="N678" s="17">
        <f t="shared" si="35"/>
        <v>0</v>
      </c>
    </row>
    <row r="679" spans="1:14" x14ac:dyDescent="0.2">
      <c r="A679" s="19">
        <f>IF(ISERROR(VLOOKUP(B679,Catalogo!$A$2:$C$410,2,0)),0,(VLOOKUP(B679,Catalogo!$A$2:$C$410,2,0)))</f>
        <v>0</v>
      </c>
      <c r="B679"/>
      <c r="C679"/>
      <c r="D679"/>
      <c r="E679"/>
      <c r="F679"/>
      <c r="G679"/>
      <c r="H679"/>
      <c r="I679"/>
      <c r="J679"/>
      <c r="K679"/>
      <c r="L679" s="16">
        <f t="shared" si="34"/>
        <v>0</v>
      </c>
      <c r="M679" s="16" t="str">
        <f t="shared" si="36"/>
        <v/>
      </c>
      <c r="N679" s="17">
        <f t="shared" si="35"/>
        <v>0</v>
      </c>
    </row>
    <row r="680" spans="1:14" x14ac:dyDescent="0.2">
      <c r="A680" s="19">
        <f>IF(ISERROR(VLOOKUP(B680,Catalogo!$A$2:$C$410,2,0)),0,(VLOOKUP(B680,Catalogo!$A$2:$C$410,2,0)))</f>
        <v>0</v>
      </c>
      <c r="B680"/>
      <c r="C680"/>
      <c r="D680"/>
      <c r="E680"/>
      <c r="F680"/>
      <c r="G680"/>
      <c r="H680"/>
      <c r="I680"/>
      <c r="J680"/>
      <c r="K680"/>
      <c r="L680" s="16">
        <f t="shared" si="34"/>
        <v>0</v>
      </c>
      <c r="M680" s="16" t="str">
        <f t="shared" si="36"/>
        <v/>
      </c>
      <c r="N680" s="17">
        <f t="shared" si="35"/>
        <v>0</v>
      </c>
    </row>
    <row r="681" spans="1:14" x14ac:dyDescent="0.2">
      <c r="A681" s="19">
        <f>IF(ISERROR(VLOOKUP(B681,Catalogo!$A$2:$C$410,2,0)),0,(VLOOKUP(B681,Catalogo!$A$2:$C$410,2,0)))</f>
        <v>0</v>
      </c>
      <c r="B681"/>
      <c r="C681"/>
      <c r="D681"/>
      <c r="E681"/>
      <c r="F681"/>
      <c r="G681"/>
      <c r="H681"/>
      <c r="I681"/>
      <c r="J681"/>
      <c r="K681"/>
      <c r="L681" s="16">
        <f t="shared" si="34"/>
        <v>0</v>
      </c>
      <c r="M681" s="16" t="str">
        <f t="shared" si="36"/>
        <v/>
      </c>
      <c r="N681" s="17">
        <f t="shared" si="35"/>
        <v>0</v>
      </c>
    </row>
    <row r="682" spans="1:14" x14ac:dyDescent="0.2">
      <c r="A682" s="19">
        <f>IF(ISERROR(VLOOKUP(B682,Catalogo!$A$2:$C$410,2,0)),0,(VLOOKUP(B682,Catalogo!$A$2:$C$410,2,0)))</f>
        <v>0</v>
      </c>
      <c r="B682"/>
      <c r="C682"/>
      <c r="D682"/>
      <c r="E682"/>
      <c r="F682"/>
      <c r="G682"/>
      <c r="H682"/>
      <c r="I682"/>
      <c r="J682"/>
      <c r="K682"/>
      <c r="L682" s="16">
        <f t="shared" si="34"/>
        <v>0</v>
      </c>
      <c r="M682" s="16" t="str">
        <f t="shared" si="36"/>
        <v/>
      </c>
      <c r="N682" s="17">
        <f t="shared" si="35"/>
        <v>0</v>
      </c>
    </row>
    <row r="683" spans="1:14" x14ac:dyDescent="0.2">
      <c r="A683" s="19">
        <f>IF(ISERROR(VLOOKUP(B683,Catalogo!$A$2:$C$410,2,0)),0,(VLOOKUP(B683,Catalogo!$A$2:$C$410,2,0)))</f>
        <v>0</v>
      </c>
      <c r="B683"/>
      <c r="C683"/>
      <c r="D683"/>
      <c r="E683"/>
      <c r="F683"/>
      <c r="G683"/>
      <c r="H683"/>
      <c r="I683"/>
      <c r="J683"/>
      <c r="K683"/>
      <c r="L683" s="16">
        <f t="shared" si="34"/>
        <v>0</v>
      </c>
      <c r="M683" s="16" t="str">
        <f t="shared" si="36"/>
        <v/>
      </c>
      <c r="N683" s="17">
        <f t="shared" si="35"/>
        <v>0</v>
      </c>
    </row>
    <row r="684" spans="1:14" x14ac:dyDescent="0.2">
      <c r="A684" s="19">
        <f>IF(ISERROR(VLOOKUP(B684,Catalogo!$A$2:$C$410,2,0)),0,(VLOOKUP(B684,Catalogo!$A$2:$C$410,2,0)))</f>
        <v>0</v>
      </c>
      <c r="B684"/>
      <c r="C684"/>
      <c r="D684"/>
      <c r="E684"/>
      <c r="F684"/>
      <c r="G684"/>
      <c r="H684"/>
      <c r="I684"/>
      <c r="J684"/>
      <c r="K684"/>
      <c r="L684" s="16">
        <f t="shared" si="34"/>
        <v>0</v>
      </c>
      <c r="M684" s="16" t="str">
        <f t="shared" si="36"/>
        <v/>
      </c>
      <c r="N684" s="17">
        <f t="shared" si="35"/>
        <v>0</v>
      </c>
    </row>
    <row r="685" spans="1:14" x14ac:dyDescent="0.2">
      <c r="A685" s="19">
        <f>IF(ISERROR(VLOOKUP(B685,Catalogo!$A$2:$C$410,2,0)),0,(VLOOKUP(B685,Catalogo!$A$2:$C$410,2,0)))</f>
        <v>0</v>
      </c>
      <c r="B685"/>
      <c r="C685"/>
      <c r="D685"/>
      <c r="E685"/>
      <c r="F685"/>
      <c r="G685"/>
      <c r="H685"/>
      <c r="I685"/>
      <c r="J685"/>
      <c r="K685"/>
      <c r="L685" s="16">
        <f t="shared" si="34"/>
        <v>0</v>
      </c>
      <c r="M685" s="16" t="str">
        <f t="shared" si="36"/>
        <v/>
      </c>
      <c r="N685" s="17">
        <f t="shared" si="35"/>
        <v>0</v>
      </c>
    </row>
    <row r="686" spans="1:14" x14ac:dyDescent="0.2">
      <c r="A686" s="19">
        <f>IF(ISERROR(VLOOKUP(B686,Catalogo!$A$2:$C$410,2,0)),0,(VLOOKUP(B686,Catalogo!$A$2:$C$410,2,0)))</f>
        <v>0</v>
      </c>
      <c r="B686"/>
      <c r="C686"/>
      <c r="D686"/>
      <c r="E686"/>
      <c r="F686"/>
      <c r="G686"/>
      <c r="H686"/>
      <c r="I686"/>
      <c r="J686"/>
      <c r="K686"/>
      <c r="L686" s="16">
        <f t="shared" si="34"/>
        <v>0</v>
      </c>
      <c r="M686" s="16" t="str">
        <f t="shared" si="36"/>
        <v/>
      </c>
      <c r="N686" s="17">
        <f t="shared" si="35"/>
        <v>0</v>
      </c>
    </row>
    <row r="687" spans="1:14" x14ac:dyDescent="0.2">
      <c r="A687" s="19">
        <f>IF(ISERROR(VLOOKUP(B687,Catalogo!$A$2:$C$410,2,0)),0,(VLOOKUP(B687,Catalogo!$A$2:$C$410,2,0)))</f>
        <v>0</v>
      </c>
      <c r="B687"/>
      <c r="C687"/>
      <c r="D687"/>
      <c r="E687"/>
      <c r="F687"/>
      <c r="G687"/>
      <c r="H687"/>
      <c r="I687"/>
      <c r="J687"/>
      <c r="K687"/>
      <c r="L687" s="16">
        <f t="shared" si="34"/>
        <v>0</v>
      </c>
      <c r="M687" s="16" t="str">
        <f t="shared" si="36"/>
        <v/>
      </c>
      <c r="N687" s="17">
        <f t="shared" si="35"/>
        <v>0</v>
      </c>
    </row>
    <row r="688" spans="1:14" x14ac:dyDescent="0.2">
      <c r="A688" s="19">
        <f>IF(ISERROR(VLOOKUP(B688,Catalogo!$A$2:$C$410,2,0)),0,(VLOOKUP(B688,Catalogo!$A$2:$C$410,2,0)))</f>
        <v>0</v>
      </c>
      <c r="B688"/>
      <c r="C688"/>
      <c r="D688"/>
      <c r="E688"/>
      <c r="F688"/>
      <c r="G688"/>
      <c r="H688"/>
      <c r="I688"/>
      <c r="J688"/>
      <c r="K688"/>
      <c r="L688" s="16">
        <f t="shared" si="34"/>
        <v>0</v>
      </c>
      <c r="M688" s="16" t="str">
        <f t="shared" si="36"/>
        <v/>
      </c>
      <c r="N688" s="17">
        <f t="shared" si="35"/>
        <v>0</v>
      </c>
    </row>
    <row r="689" spans="1:14" x14ac:dyDescent="0.2">
      <c r="A689" s="19">
        <f>IF(ISERROR(VLOOKUP(B689,Catalogo!$A$2:$C$410,2,0)),0,(VLOOKUP(B689,Catalogo!$A$2:$C$410,2,0)))</f>
        <v>0</v>
      </c>
      <c r="B689"/>
      <c r="C689"/>
      <c r="D689"/>
      <c r="E689"/>
      <c r="F689"/>
      <c r="G689"/>
      <c r="H689"/>
      <c r="I689"/>
      <c r="J689"/>
      <c r="K689"/>
      <c r="L689" s="16">
        <f t="shared" si="34"/>
        <v>0</v>
      </c>
      <c r="M689" s="16" t="str">
        <f t="shared" si="36"/>
        <v/>
      </c>
      <c r="N689" s="17">
        <f t="shared" si="35"/>
        <v>0</v>
      </c>
    </row>
    <row r="690" spans="1:14" x14ac:dyDescent="0.2">
      <c r="A690" s="19">
        <f>IF(ISERROR(VLOOKUP(B690,Catalogo!$A$2:$C$410,2,0)),0,(VLOOKUP(B690,Catalogo!$A$2:$C$410,2,0)))</f>
        <v>0</v>
      </c>
      <c r="B690"/>
      <c r="C690"/>
      <c r="D690"/>
      <c r="E690"/>
      <c r="F690"/>
      <c r="G690"/>
      <c r="H690"/>
      <c r="I690"/>
      <c r="J690"/>
      <c r="K690"/>
      <c r="L690" s="16">
        <f t="shared" si="34"/>
        <v>0</v>
      </c>
      <c r="M690" s="16" t="str">
        <f t="shared" si="36"/>
        <v/>
      </c>
      <c r="N690" s="17">
        <f t="shared" si="35"/>
        <v>0</v>
      </c>
    </row>
    <row r="691" spans="1:14" x14ac:dyDescent="0.2">
      <c r="A691" s="19">
        <f>IF(ISERROR(VLOOKUP(B691,Catalogo!$A$2:$C$410,2,0)),0,(VLOOKUP(B691,Catalogo!$A$2:$C$410,2,0)))</f>
        <v>0</v>
      </c>
      <c r="B691"/>
      <c r="C691"/>
      <c r="D691"/>
      <c r="E691"/>
      <c r="F691"/>
      <c r="G691"/>
      <c r="H691"/>
      <c r="I691"/>
      <c r="J691"/>
      <c r="K691"/>
      <c r="L691" s="16">
        <f t="shared" si="34"/>
        <v>0</v>
      </c>
      <c r="M691" s="16" t="str">
        <f t="shared" si="36"/>
        <v/>
      </c>
      <c r="N691" s="17">
        <f t="shared" si="35"/>
        <v>0</v>
      </c>
    </row>
    <row r="692" spans="1:14" x14ac:dyDescent="0.2">
      <c r="A692" s="19">
        <f>IF(ISERROR(VLOOKUP(B692,Catalogo!$A$2:$C$410,2,0)),0,(VLOOKUP(B692,Catalogo!$A$2:$C$410,2,0)))</f>
        <v>0</v>
      </c>
      <c r="B692"/>
      <c r="C692"/>
      <c r="D692"/>
      <c r="E692"/>
      <c r="F692"/>
      <c r="G692"/>
      <c r="H692"/>
      <c r="I692"/>
      <c r="J692"/>
      <c r="K692"/>
      <c r="L692" s="16">
        <f t="shared" si="34"/>
        <v>0</v>
      </c>
      <c r="M692" s="16" t="str">
        <f t="shared" si="36"/>
        <v/>
      </c>
      <c r="N692" s="17">
        <f t="shared" si="35"/>
        <v>0</v>
      </c>
    </row>
    <row r="693" spans="1:14" x14ac:dyDescent="0.2">
      <c r="A693" s="19">
        <f>IF(ISERROR(VLOOKUP(B693,Catalogo!$A$2:$C$410,2,0)),0,(VLOOKUP(B693,Catalogo!$A$2:$C$410,2,0)))</f>
        <v>0</v>
      </c>
      <c r="B693"/>
      <c r="C693"/>
      <c r="D693"/>
      <c r="E693"/>
      <c r="F693"/>
      <c r="G693"/>
      <c r="H693"/>
      <c r="I693"/>
      <c r="J693"/>
      <c r="K693"/>
      <c r="L693" s="16">
        <f t="shared" si="34"/>
        <v>0</v>
      </c>
      <c r="M693" s="16" t="str">
        <f t="shared" si="36"/>
        <v/>
      </c>
      <c r="N693" s="17">
        <f t="shared" si="35"/>
        <v>0</v>
      </c>
    </row>
    <row r="694" spans="1:14" x14ac:dyDescent="0.2">
      <c r="A694" s="19">
        <f>IF(ISERROR(VLOOKUP(B694,Catalogo!$A$2:$C$410,2,0)),0,(VLOOKUP(B694,Catalogo!$A$2:$C$410,2,0)))</f>
        <v>0</v>
      </c>
      <c r="B694"/>
      <c r="C694"/>
      <c r="D694"/>
      <c r="E694"/>
      <c r="F694"/>
      <c r="G694"/>
      <c r="H694"/>
      <c r="I694"/>
      <c r="J694"/>
      <c r="K694"/>
      <c r="L694" s="16">
        <f t="shared" si="34"/>
        <v>0</v>
      </c>
      <c r="M694" s="16" t="str">
        <f t="shared" si="36"/>
        <v/>
      </c>
      <c r="N694" s="17">
        <f t="shared" si="35"/>
        <v>0</v>
      </c>
    </row>
    <row r="695" spans="1:14" x14ac:dyDescent="0.2">
      <c r="A695" s="19">
        <f>IF(ISERROR(VLOOKUP(B695,Catalogo!$A$2:$C$410,2,0)),0,(VLOOKUP(B695,Catalogo!$A$2:$C$410,2,0)))</f>
        <v>0</v>
      </c>
      <c r="B695"/>
      <c r="C695"/>
      <c r="D695"/>
      <c r="E695"/>
      <c r="F695"/>
      <c r="G695"/>
      <c r="H695"/>
      <c r="I695"/>
      <c r="J695"/>
      <c r="K695"/>
      <c r="L695" s="16">
        <f t="shared" si="34"/>
        <v>0</v>
      </c>
      <c r="M695" s="16" t="str">
        <f t="shared" si="36"/>
        <v/>
      </c>
      <c r="N695" s="17">
        <f t="shared" si="35"/>
        <v>0</v>
      </c>
    </row>
    <row r="696" spans="1:14" x14ac:dyDescent="0.2">
      <c r="A696" s="19">
        <f>IF(ISERROR(VLOOKUP(B696,Catalogo!$A$2:$C$410,2,0)),0,(VLOOKUP(B696,Catalogo!$A$2:$C$410,2,0)))</f>
        <v>0</v>
      </c>
      <c r="B696"/>
      <c r="C696"/>
      <c r="D696"/>
      <c r="E696"/>
      <c r="F696"/>
      <c r="G696"/>
      <c r="H696"/>
      <c r="I696"/>
      <c r="J696"/>
      <c r="K696"/>
      <c r="L696" s="16">
        <f t="shared" si="34"/>
        <v>0</v>
      </c>
      <c r="M696" s="16" t="str">
        <f t="shared" si="36"/>
        <v/>
      </c>
      <c r="N696" s="17">
        <f t="shared" si="35"/>
        <v>0</v>
      </c>
    </row>
    <row r="697" spans="1:14" x14ac:dyDescent="0.2">
      <c r="A697" s="19">
        <f>IF(ISERROR(VLOOKUP(B697,Catalogo!$A$2:$C$410,2,0)),0,(VLOOKUP(B697,Catalogo!$A$2:$C$410,2,0)))</f>
        <v>0</v>
      </c>
      <c r="B697"/>
      <c r="C697"/>
      <c r="D697"/>
      <c r="E697"/>
      <c r="F697"/>
      <c r="G697"/>
      <c r="H697"/>
      <c r="I697"/>
      <c r="J697"/>
      <c r="K697"/>
      <c r="L697" s="16">
        <f t="shared" si="34"/>
        <v>0</v>
      </c>
      <c r="M697" s="16" t="str">
        <f t="shared" si="36"/>
        <v/>
      </c>
      <c r="N697" s="17">
        <f t="shared" si="35"/>
        <v>0</v>
      </c>
    </row>
    <row r="698" spans="1:14" x14ac:dyDescent="0.2">
      <c r="A698" s="19">
        <f>IF(ISERROR(VLOOKUP(B698,Catalogo!$A$2:$C$410,2,0)),0,(VLOOKUP(B698,Catalogo!$A$2:$C$410,2,0)))</f>
        <v>0</v>
      </c>
      <c r="B698"/>
      <c r="C698"/>
      <c r="D698"/>
      <c r="E698"/>
      <c r="F698"/>
      <c r="G698"/>
      <c r="H698"/>
      <c r="I698"/>
      <c r="J698"/>
      <c r="K698"/>
      <c r="L698" s="16">
        <f t="shared" si="34"/>
        <v>0</v>
      </c>
      <c r="M698" s="16" t="str">
        <f t="shared" ref="M698:M761" si="37">LEFT(E698,1)</f>
        <v/>
      </c>
      <c r="N698" s="17">
        <f t="shared" si="35"/>
        <v>0</v>
      </c>
    </row>
    <row r="699" spans="1:14" x14ac:dyDescent="0.2">
      <c r="A699" s="19">
        <f>IF(ISERROR(VLOOKUP(B699,Catalogo!$A$2:$C$410,2,0)),0,(VLOOKUP(B699,Catalogo!$A$2:$C$410,2,0)))</f>
        <v>0</v>
      </c>
      <c r="B699"/>
      <c r="C699"/>
      <c r="D699"/>
      <c r="E699"/>
      <c r="F699"/>
      <c r="G699"/>
      <c r="H699"/>
      <c r="I699"/>
      <c r="J699"/>
      <c r="K699"/>
      <c r="L699" s="16">
        <f t="shared" si="34"/>
        <v>0</v>
      </c>
      <c r="M699" s="16" t="str">
        <f t="shared" si="37"/>
        <v/>
      </c>
      <c r="N699" s="17">
        <f t="shared" si="35"/>
        <v>0</v>
      </c>
    </row>
    <row r="700" spans="1:14" x14ac:dyDescent="0.2">
      <c r="A700" s="19">
        <f>IF(ISERROR(VLOOKUP(B700,Catalogo!$A$2:$C$410,2,0)),0,(VLOOKUP(B700,Catalogo!$A$2:$C$410,2,0)))</f>
        <v>0</v>
      </c>
      <c r="B700"/>
      <c r="C700"/>
      <c r="D700"/>
      <c r="E700"/>
      <c r="F700"/>
      <c r="G700"/>
      <c r="H700"/>
      <c r="I700"/>
      <c r="J700"/>
      <c r="K700"/>
      <c r="L700" s="16">
        <f t="shared" si="34"/>
        <v>0</v>
      </c>
      <c r="M700" s="16" t="str">
        <f t="shared" si="37"/>
        <v/>
      </c>
      <c r="N700" s="17">
        <f t="shared" si="35"/>
        <v>0</v>
      </c>
    </row>
    <row r="701" spans="1:14" x14ac:dyDescent="0.2">
      <c r="A701" s="19">
        <f>IF(ISERROR(VLOOKUP(B701,Catalogo!$A$2:$C$410,2,0)),0,(VLOOKUP(B701,Catalogo!$A$2:$C$410,2,0)))</f>
        <v>0</v>
      </c>
      <c r="B701"/>
      <c r="C701"/>
      <c r="D701"/>
      <c r="E701"/>
      <c r="F701"/>
      <c r="G701"/>
      <c r="H701"/>
      <c r="I701"/>
      <c r="J701"/>
      <c r="K701"/>
      <c r="L701" s="16">
        <f t="shared" si="34"/>
        <v>0</v>
      </c>
      <c r="M701" s="16" t="str">
        <f t="shared" si="37"/>
        <v/>
      </c>
      <c r="N701" s="17">
        <f t="shared" si="35"/>
        <v>0</v>
      </c>
    </row>
    <row r="702" spans="1:14" x14ac:dyDescent="0.2">
      <c r="A702" s="19">
        <f>IF(ISERROR(VLOOKUP(B702,Catalogo!$A$2:$C$410,2,0)),0,(VLOOKUP(B702,Catalogo!$A$2:$C$410,2,0)))</f>
        <v>0</v>
      </c>
      <c r="B702"/>
      <c r="C702"/>
      <c r="D702"/>
      <c r="E702"/>
      <c r="F702"/>
      <c r="G702"/>
      <c r="H702"/>
      <c r="I702"/>
      <c r="J702"/>
      <c r="K702"/>
      <c r="L702" s="16">
        <f t="shared" si="34"/>
        <v>0</v>
      </c>
      <c r="M702" s="16" t="str">
        <f t="shared" si="37"/>
        <v/>
      </c>
      <c r="N702" s="17">
        <f t="shared" si="35"/>
        <v>0</v>
      </c>
    </row>
    <row r="703" spans="1:14" x14ac:dyDescent="0.2">
      <c r="A703" s="19">
        <f>IF(ISERROR(VLOOKUP(B703,Catalogo!$A$2:$C$410,2,0)),0,(VLOOKUP(B703,Catalogo!$A$2:$C$410,2,0)))</f>
        <v>0</v>
      </c>
      <c r="B703"/>
      <c r="C703"/>
      <c r="D703"/>
      <c r="E703"/>
      <c r="F703"/>
      <c r="G703"/>
      <c r="H703"/>
      <c r="I703"/>
      <c r="J703"/>
      <c r="K703"/>
      <c r="L703" s="16">
        <f t="shared" si="34"/>
        <v>0</v>
      </c>
      <c r="M703" s="16" t="str">
        <f t="shared" si="37"/>
        <v/>
      </c>
      <c r="N703" s="17">
        <f t="shared" si="35"/>
        <v>0</v>
      </c>
    </row>
    <row r="704" spans="1:14" x14ac:dyDescent="0.2">
      <c r="A704" s="19">
        <f>IF(ISERROR(VLOOKUP(B704,Catalogo!$A$2:$C$410,2,0)),0,(VLOOKUP(B704,Catalogo!$A$2:$C$410,2,0)))</f>
        <v>0</v>
      </c>
      <c r="B704"/>
      <c r="C704"/>
      <c r="D704"/>
      <c r="E704"/>
      <c r="F704"/>
      <c r="G704"/>
      <c r="H704"/>
      <c r="I704"/>
      <c r="J704"/>
      <c r="K704"/>
      <c r="L704" s="16">
        <f t="shared" si="34"/>
        <v>0</v>
      </c>
      <c r="M704" s="16" t="str">
        <f t="shared" si="37"/>
        <v/>
      </c>
      <c r="N704" s="17">
        <f t="shared" si="35"/>
        <v>0</v>
      </c>
    </row>
    <row r="705" spans="1:14" x14ac:dyDescent="0.2">
      <c r="A705" s="19">
        <f>IF(ISERROR(VLOOKUP(B705,Catalogo!$A$2:$C$410,2,0)),0,(VLOOKUP(B705,Catalogo!$A$2:$C$410,2,0)))</f>
        <v>0</v>
      </c>
      <c r="B705"/>
      <c r="C705"/>
      <c r="D705"/>
      <c r="E705"/>
      <c r="F705"/>
      <c r="G705"/>
      <c r="H705"/>
      <c r="I705"/>
      <c r="J705"/>
      <c r="K705"/>
      <c r="L705" s="16">
        <f t="shared" si="34"/>
        <v>0</v>
      </c>
      <c r="M705" s="16" t="str">
        <f t="shared" si="37"/>
        <v/>
      </c>
      <c r="N705" s="17">
        <f t="shared" si="35"/>
        <v>0</v>
      </c>
    </row>
    <row r="706" spans="1:14" x14ac:dyDescent="0.2">
      <c r="A706" s="19">
        <f>IF(ISERROR(VLOOKUP(B706,Catalogo!$A$2:$C$410,2,0)),0,(VLOOKUP(B706,Catalogo!$A$2:$C$410,2,0)))</f>
        <v>0</v>
      </c>
      <c r="B706"/>
      <c r="C706"/>
      <c r="D706"/>
      <c r="E706"/>
      <c r="F706"/>
      <c r="G706"/>
      <c r="H706"/>
      <c r="I706"/>
      <c r="J706"/>
      <c r="K706"/>
      <c r="L706" s="16">
        <f t="shared" ref="L706:L769" si="38">IF(A706="Record Keeping",B706,0)</f>
        <v>0</v>
      </c>
      <c r="M706" s="16" t="str">
        <f t="shared" si="37"/>
        <v/>
      </c>
      <c r="N706" s="17">
        <f t="shared" ref="N706:N769" si="39">IF(G706="CAN",F706*0,IF(M706="R",F706*-1,F706*1)*AND(A706="Record Keeping"))</f>
        <v>0</v>
      </c>
    </row>
    <row r="707" spans="1:14" x14ac:dyDescent="0.2">
      <c r="A707" s="19">
        <f>IF(ISERROR(VLOOKUP(B707,Catalogo!$A$2:$C$410,2,0)),0,(VLOOKUP(B707,Catalogo!$A$2:$C$410,2,0)))</f>
        <v>0</v>
      </c>
      <c r="B707"/>
      <c r="C707"/>
      <c r="D707"/>
      <c r="E707"/>
      <c r="F707"/>
      <c r="G707"/>
      <c r="H707"/>
      <c r="I707"/>
      <c r="J707"/>
      <c r="K707"/>
      <c r="L707" s="16">
        <f t="shared" si="38"/>
        <v>0</v>
      </c>
      <c r="M707" s="16" t="str">
        <f t="shared" si="37"/>
        <v/>
      </c>
      <c r="N707" s="17">
        <f t="shared" si="39"/>
        <v>0</v>
      </c>
    </row>
    <row r="708" spans="1:14" x14ac:dyDescent="0.2">
      <c r="A708" s="19">
        <f>IF(ISERROR(VLOOKUP(B708,Catalogo!$A$2:$C$410,2,0)),0,(VLOOKUP(B708,Catalogo!$A$2:$C$410,2,0)))</f>
        <v>0</v>
      </c>
      <c r="B708"/>
      <c r="C708"/>
      <c r="D708"/>
      <c r="E708"/>
      <c r="F708"/>
      <c r="G708"/>
      <c r="H708"/>
      <c r="I708"/>
      <c r="J708"/>
      <c r="K708"/>
      <c r="L708" s="16">
        <f t="shared" si="38"/>
        <v>0</v>
      </c>
      <c r="M708" s="16" t="str">
        <f t="shared" si="37"/>
        <v/>
      </c>
      <c r="N708" s="17">
        <f t="shared" si="39"/>
        <v>0</v>
      </c>
    </row>
    <row r="709" spans="1:14" x14ac:dyDescent="0.2">
      <c r="A709" s="19">
        <f>IF(ISERROR(VLOOKUP(B709,Catalogo!$A$2:$C$410,2,0)),0,(VLOOKUP(B709,Catalogo!$A$2:$C$410,2,0)))</f>
        <v>0</v>
      </c>
      <c r="B709"/>
      <c r="C709"/>
      <c r="D709"/>
      <c r="E709"/>
      <c r="F709"/>
      <c r="G709"/>
      <c r="H709"/>
      <c r="I709"/>
      <c r="J709"/>
      <c r="K709"/>
      <c r="L709" s="16">
        <f t="shared" si="38"/>
        <v>0</v>
      </c>
      <c r="M709" s="16" t="str">
        <f t="shared" si="37"/>
        <v/>
      </c>
      <c r="N709" s="17">
        <f t="shared" si="39"/>
        <v>0</v>
      </c>
    </row>
    <row r="710" spans="1:14" x14ac:dyDescent="0.2">
      <c r="A710" s="19">
        <f>IF(ISERROR(VLOOKUP(B710,Catalogo!$A$2:$C$410,2,0)),0,(VLOOKUP(B710,Catalogo!$A$2:$C$410,2,0)))</f>
        <v>0</v>
      </c>
      <c r="B710"/>
      <c r="C710"/>
      <c r="D710"/>
      <c r="E710"/>
      <c r="F710"/>
      <c r="G710"/>
      <c r="H710"/>
      <c r="I710"/>
      <c r="J710"/>
      <c r="K710"/>
      <c r="L710" s="16">
        <f t="shared" si="38"/>
        <v>0</v>
      </c>
      <c r="M710" s="16" t="str">
        <f t="shared" si="37"/>
        <v/>
      </c>
      <c r="N710" s="17">
        <f t="shared" si="39"/>
        <v>0</v>
      </c>
    </row>
    <row r="711" spans="1:14" x14ac:dyDescent="0.2">
      <c r="A711" s="19">
        <f>IF(ISERROR(VLOOKUP(B711,Catalogo!$A$2:$C$410,2,0)),0,(VLOOKUP(B711,Catalogo!$A$2:$C$410,2,0)))</f>
        <v>0</v>
      </c>
      <c r="B711"/>
      <c r="C711"/>
      <c r="D711"/>
      <c r="E711"/>
      <c r="F711"/>
      <c r="G711"/>
      <c r="H711"/>
      <c r="I711"/>
      <c r="J711"/>
      <c r="K711"/>
      <c r="L711" s="16">
        <f t="shared" si="38"/>
        <v>0</v>
      </c>
      <c r="M711" s="16" t="str">
        <f t="shared" si="37"/>
        <v/>
      </c>
      <c r="N711" s="17">
        <f t="shared" si="39"/>
        <v>0</v>
      </c>
    </row>
    <row r="712" spans="1:14" x14ac:dyDescent="0.2">
      <c r="A712" s="19">
        <f>IF(ISERROR(VLOOKUP(B712,Catalogo!$A$2:$C$410,2,0)),0,(VLOOKUP(B712,Catalogo!$A$2:$C$410,2,0)))</f>
        <v>0</v>
      </c>
      <c r="B712"/>
      <c r="C712"/>
      <c r="D712"/>
      <c r="E712"/>
      <c r="F712"/>
      <c r="G712"/>
      <c r="H712"/>
      <c r="I712"/>
      <c r="J712"/>
      <c r="K712"/>
      <c r="L712" s="16">
        <f t="shared" si="38"/>
        <v>0</v>
      </c>
      <c r="M712" s="16" t="str">
        <f t="shared" si="37"/>
        <v/>
      </c>
      <c r="N712" s="17">
        <f t="shared" si="39"/>
        <v>0</v>
      </c>
    </row>
    <row r="713" spans="1:14" x14ac:dyDescent="0.2">
      <c r="A713" s="19">
        <f>IF(ISERROR(VLOOKUP(B713,Catalogo!$A$2:$C$410,2,0)),0,(VLOOKUP(B713,Catalogo!$A$2:$C$410,2,0)))</f>
        <v>0</v>
      </c>
      <c r="B713"/>
      <c r="C713"/>
      <c r="D713"/>
      <c r="E713"/>
      <c r="F713"/>
      <c r="G713"/>
      <c r="H713"/>
      <c r="I713"/>
      <c r="J713"/>
      <c r="K713"/>
      <c r="L713" s="16">
        <f t="shared" si="38"/>
        <v>0</v>
      </c>
      <c r="M713" s="16" t="str">
        <f t="shared" si="37"/>
        <v/>
      </c>
      <c r="N713" s="17">
        <f t="shared" si="39"/>
        <v>0</v>
      </c>
    </row>
    <row r="714" spans="1:14" x14ac:dyDescent="0.2">
      <c r="A714" s="19">
        <f>IF(ISERROR(VLOOKUP(B714,Catalogo!$A$2:$C$410,2,0)),0,(VLOOKUP(B714,Catalogo!$A$2:$C$410,2,0)))</f>
        <v>0</v>
      </c>
      <c r="B714"/>
      <c r="C714"/>
      <c r="D714"/>
      <c r="E714"/>
      <c r="F714"/>
      <c r="G714"/>
      <c r="H714"/>
      <c r="I714"/>
      <c r="J714"/>
      <c r="K714"/>
      <c r="L714" s="16">
        <f t="shared" si="38"/>
        <v>0</v>
      </c>
      <c r="M714" s="16" t="str">
        <f t="shared" si="37"/>
        <v/>
      </c>
      <c r="N714" s="17">
        <f t="shared" si="39"/>
        <v>0</v>
      </c>
    </row>
    <row r="715" spans="1:14" x14ac:dyDescent="0.2">
      <c r="A715" s="19">
        <f>IF(ISERROR(VLOOKUP(B715,Catalogo!$A$2:$C$410,2,0)),0,(VLOOKUP(B715,Catalogo!$A$2:$C$410,2,0)))</f>
        <v>0</v>
      </c>
      <c r="B715"/>
      <c r="C715"/>
      <c r="D715"/>
      <c r="E715"/>
      <c r="F715"/>
      <c r="G715"/>
      <c r="H715"/>
      <c r="I715"/>
      <c r="J715"/>
      <c r="K715"/>
      <c r="L715" s="16">
        <f t="shared" si="38"/>
        <v>0</v>
      </c>
      <c r="M715" s="16" t="str">
        <f t="shared" si="37"/>
        <v/>
      </c>
      <c r="N715" s="17">
        <f t="shared" si="39"/>
        <v>0</v>
      </c>
    </row>
    <row r="716" spans="1:14" x14ac:dyDescent="0.2">
      <c r="A716" s="19">
        <f>IF(ISERROR(VLOOKUP(B716,Catalogo!$A$2:$C$410,2,0)),0,(VLOOKUP(B716,Catalogo!$A$2:$C$410,2,0)))</f>
        <v>0</v>
      </c>
      <c r="B716"/>
      <c r="C716"/>
      <c r="D716"/>
      <c r="E716"/>
      <c r="F716"/>
      <c r="G716"/>
      <c r="H716"/>
      <c r="I716"/>
      <c r="J716"/>
      <c r="K716"/>
      <c r="L716" s="16">
        <f t="shared" si="38"/>
        <v>0</v>
      </c>
      <c r="M716" s="16" t="str">
        <f t="shared" si="37"/>
        <v/>
      </c>
      <c r="N716" s="17">
        <f t="shared" si="39"/>
        <v>0</v>
      </c>
    </row>
    <row r="717" spans="1:14" x14ac:dyDescent="0.2">
      <c r="A717" s="19">
        <f>IF(ISERROR(VLOOKUP(B717,Catalogo!$A$2:$C$410,2,0)),0,(VLOOKUP(B717,Catalogo!$A$2:$C$410,2,0)))</f>
        <v>0</v>
      </c>
      <c r="B717"/>
      <c r="C717"/>
      <c r="D717"/>
      <c r="E717"/>
      <c r="F717"/>
      <c r="G717"/>
      <c r="H717"/>
      <c r="I717"/>
      <c r="J717"/>
      <c r="K717"/>
      <c r="L717" s="16">
        <f t="shared" si="38"/>
        <v>0</v>
      </c>
      <c r="M717" s="16" t="str">
        <f t="shared" si="37"/>
        <v/>
      </c>
      <c r="N717" s="17">
        <f t="shared" si="39"/>
        <v>0</v>
      </c>
    </row>
    <row r="718" spans="1:14" x14ac:dyDescent="0.2">
      <c r="A718" s="19">
        <f>IF(ISERROR(VLOOKUP(B718,Catalogo!$A$2:$C$410,2,0)),0,(VLOOKUP(B718,Catalogo!$A$2:$C$410,2,0)))</f>
        <v>0</v>
      </c>
      <c r="B718"/>
      <c r="C718"/>
      <c r="D718"/>
      <c r="E718"/>
      <c r="F718"/>
      <c r="G718"/>
      <c r="H718"/>
      <c r="I718"/>
      <c r="J718"/>
      <c r="K718"/>
      <c r="L718" s="16">
        <f t="shared" si="38"/>
        <v>0</v>
      </c>
      <c r="M718" s="16" t="str">
        <f t="shared" si="37"/>
        <v/>
      </c>
      <c r="N718" s="17">
        <f t="shared" si="39"/>
        <v>0</v>
      </c>
    </row>
    <row r="719" spans="1:14" x14ac:dyDescent="0.2">
      <c r="A719" s="19">
        <f>IF(ISERROR(VLOOKUP(B719,Catalogo!$A$2:$C$410,2,0)),0,(VLOOKUP(B719,Catalogo!$A$2:$C$410,2,0)))</f>
        <v>0</v>
      </c>
      <c r="B719"/>
      <c r="C719"/>
      <c r="D719"/>
      <c r="E719"/>
      <c r="F719"/>
      <c r="G719"/>
      <c r="H719"/>
      <c r="I719"/>
      <c r="J719"/>
      <c r="K719"/>
      <c r="L719" s="16">
        <f t="shared" si="38"/>
        <v>0</v>
      </c>
      <c r="M719" s="16" t="str">
        <f t="shared" si="37"/>
        <v/>
      </c>
      <c r="N719" s="17">
        <f t="shared" si="39"/>
        <v>0</v>
      </c>
    </row>
    <row r="720" spans="1:14" x14ac:dyDescent="0.2">
      <c r="A720" s="19">
        <f>IF(ISERROR(VLOOKUP(B720,Catalogo!$A$2:$C$410,2,0)),0,(VLOOKUP(B720,Catalogo!$A$2:$C$410,2,0)))</f>
        <v>0</v>
      </c>
      <c r="B720"/>
      <c r="C720"/>
      <c r="D720"/>
      <c r="E720"/>
      <c r="F720"/>
      <c r="G720"/>
      <c r="H720"/>
      <c r="I720"/>
      <c r="J720"/>
      <c r="K720"/>
      <c r="L720" s="16">
        <f t="shared" si="38"/>
        <v>0</v>
      </c>
      <c r="M720" s="16" t="str">
        <f t="shared" si="37"/>
        <v/>
      </c>
      <c r="N720" s="17">
        <f t="shared" si="39"/>
        <v>0</v>
      </c>
    </row>
    <row r="721" spans="1:14" x14ac:dyDescent="0.2">
      <c r="A721" s="19">
        <f>IF(ISERROR(VLOOKUP(B721,Catalogo!$A$2:$C$410,2,0)),0,(VLOOKUP(B721,Catalogo!$A$2:$C$410,2,0)))</f>
        <v>0</v>
      </c>
      <c r="B721"/>
      <c r="C721"/>
      <c r="D721"/>
      <c r="E721"/>
      <c r="F721"/>
      <c r="G721"/>
      <c r="H721"/>
      <c r="I721"/>
      <c r="J721"/>
      <c r="K721"/>
      <c r="L721" s="16">
        <f t="shared" si="38"/>
        <v>0</v>
      </c>
      <c r="M721" s="16" t="str">
        <f t="shared" si="37"/>
        <v/>
      </c>
      <c r="N721" s="17">
        <f t="shared" si="39"/>
        <v>0</v>
      </c>
    </row>
    <row r="722" spans="1:14" x14ac:dyDescent="0.2">
      <c r="A722" s="19">
        <f>IF(ISERROR(VLOOKUP(B722,Catalogo!$A$2:$C$410,2,0)),0,(VLOOKUP(B722,Catalogo!$A$2:$C$410,2,0)))</f>
        <v>0</v>
      </c>
      <c r="B722"/>
      <c r="C722"/>
      <c r="D722"/>
      <c r="E722"/>
      <c r="F722"/>
      <c r="G722"/>
      <c r="H722"/>
      <c r="I722"/>
      <c r="J722"/>
      <c r="K722"/>
      <c r="L722" s="16">
        <f t="shared" si="38"/>
        <v>0</v>
      </c>
      <c r="M722" s="16" t="str">
        <f t="shared" si="37"/>
        <v/>
      </c>
      <c r="N722" s="17">
        <f t="shared" si="39"/>
        <v>0</v>
      </c>
    </row>
    <row r="723" spans="1:14" x14ac:dyDescent="0.2">
      <c r="A723" s="19">
        <f>IF(ISERROR(VLOOKUP(B723,Catalogo!$A$2:$C$410,2,0)),0,(VLOOKUP(B723,Catalogo!$A$2:$C$410,2,0)))</f>
        <v>0</v>
      </c>
      <c r="B723"/>
      <c r="C723"/>
      <c r="D723"/>
      <c r="E723"/>
      <c r="F723"/>
      <c r="G723"/>
      <c r="H723"/>
      <c r="I723"/>
      <c r="J723"/>
      <c r="K723"/>
      <c r="L723" s="16">
        <f t="shared" si="38"/>
        <v>0</v>
      </c>
      <c r="M723" s="16" t="str">
        <f t="shared" si="37"/>
        <v/>
      </c>
      <c r="N723" s="17">
        <f t="shared" si="39"/>
        <v>0</v>
      </c>
    </row>
    <row r="724" spans="1:14" x14ac:dyDescent="0.2">
      <c r="A724" s="19">
        <f>IF(ISERROR(VLOOKUP(B724,Catalogo!$A$2:$C$410,2,0)),0,(VLOOKUP(B724,Catalogo!$A$2:$C$410,2,0)))</f>
        <v>0</v>
      </c>
      <c r="B724"/>
      <c r="C724"/>
      <c r="D724"/>
      <c r="E724"/>
      <c r="F724"/>
      <c r="G724"/>
      <c r="H724"/>
      <c r="I724"/>
      <c r="J724"/>
      <c r="K724"/>
      <c r="L724" s="16">
        <f t="shared" si="38"/>
        <v>0</v>
      </c>
      <c r="M724" s="16" t="str">
        <f t="shared" si="37"/>
        <v/>
      </c>
      <c r="N724" s="17">
        <f t="shared" si="39"/>
        <v>0</v>
      </c>
    </row>
    <row r="725" spans="1:14" x14ac:dyDescent="0.2">
      <c r="A725" s="19">
        <f>IF(ISERROR(VLOOKUP(B725,Catalogo!$A$2:$C$410,2,0)),0,(VLOOKUP(B725,Catalogo!$A$2:$C$410,2,0)))</f>
        <v>0</v>
      </c>
      <c r="B725"/>
      <c r="C725"/>
      <c r="D725"/>
      <c r="E725"/>
      <c r="F725"/>
      <c r="G725"/>
      <c r="H725"/>
      <c r="I725"/>
      <c r="J725"/>
      <c r="K725"/>
      <c r="L725" s="16">
        <f t="shared" si="38"/>
        <v>0</v>
      </c>
      <c r="M725" s="16" t="str">
        <f t="shared" si="37"/>
        <v/>
      </c>
      <c r="N725" s="17">
        <f t="shared" si="39"/>
        <v>0</v>
      </c>
    </row>
    <row r="726" spans="1:14" x14ac:dyDescent="0.2">
      <c r="A726" s="19">
        <f>IF(ISERROR(VLOOKUP(B726,Catalogo!$A$2:$C$410,2,0)),0,(VLOOKUP(B726,Catalogo!$A$2:$C$410,2,0)))</f>
        <v>0</v>
      </c>
      <c r="B726"/>
      <c r="C726"/>
      <c r="D726"/>
      <c r="E726"/>
      <c r="F726"/>
      <c r="G726"/>
      <c r="H726"/>
      <c r="I726"/>
      <c r="J726"/>
      <c r="K726"/>
      <c r="L726" s="16">
        <f t="shared" si="38"/>
        <v>0</v>
      </c>
      <c r="M726" s="16" t="str">
        <f t="shared" si="37"/>
        <v/>
      </c>
      <c r="N726" s="17">
        <f t="shared" si="39"/>
        <v>0</v>
      </c>
    </row>
    <row r="727" spans="1:14" x14ac:dyDescent="0.2">
      <c r="A727" s="19">
        <f>IF(ISERROR(VLOOKUP(B727,Catalogo!$A$2:$C$410,2,0)),0,(VLOOKUP(B727,Catalogo!$A$2:$C$410,2,0)))</f>
        <v>0</v>
      </c>
      <c r="B727"/>
      <c r="C727"/>
      <c r="D727"/>
      <c r="E727"/>
      <c r="F727"/>
      <c r="G727"/>
      <c r="H727"/>
      <c r="I727"/>
      <c r="J727"/>
      <c r="K727"/>
      <c r="L727" s="16">
        <f t="shared" si="38"/>
        <v>0</v>
      </c>
      <c r="M727" s="16" t="str">
        <f t="shared" si="37"/>
        <v/>
      </c>
      <c r="N727" s="17">
        <f t="shared" si="39"/>
        <v>0</v>
      </c>
    </row>
    <row r="728" spans="1:14" x14ac:dyDescent="0.2">
      <c r="A728" s="19">
        <f>IF(ISERROR(VLOOKUP(B728,Catalogo!$A$2:$C$410,2,0)),0,(VLOOKUP(B728,Catalogo!$A$2:$C$410,2,0)))</f>
        <v>0</v>
      </c>
      <c r="B728"/>
      <c r="C728"/>
      <c r="D728"/>
      <c r="E728"/>
      <c r="F728"/>
      <c r="G728"/>
      <c r="H728"/>
      <c r="I728"/>
      <c r="J728"/>
      <c r="K728"/>
      <c r="L728" s="16">
        <f t="shared" si="38"/>
        <v>0</v>
      </c>
      <c r="M728" s="16" t="str">
        <f t="shared" si="37"/>
        <v/>
      </c>
      <c r="N728" s="17">
        <f t="shared" si="39"/>
        <v>0</v>
      </c>
    </row>
    <row r="729" spans="1:14" x14ac:dyDescent="0.2">
      <c r="A729" s="19">
        <f>IF(ISERROR(VLOOKUP(B729,Catalogo!$A$2:$C$410,2,0)),0,(VLOOKUP(B729,Catalogo!$A$2:$C$410,2,0)))</f>
        <v>0</v>
      </c>
      <c r="B729"/>
      <c r="C729"/>
      <c r="D729"/>
      <c r="E729"/>
      <c r="F729"/>
      <c r="G729"/>
      <c r="H729"/>
      <c r="I729"/>
      <c r="J729"/>
      <c r="K729"/>
      <c r="L729" s="16">
        <f t="shared" si="38"/>
        <v>0</v>
      </c>
      <c r="M729" s="16" t="str">
        <f t="shared" si="37"/>
        <v/>
      </c>
      <c r="N729" s="17">
        <f t="shared" si="39"/>
        <v>0</v>
      </c>
    </row>
    <row r="730" spans="1:14" x14ac:dyDescent="0.2">
      <c r="A730" s="19">
        <f>IF(ISERROR(VLOOKUP(B730,Catalogo!$A$2:$C$410,2,0)),0,(VLOOKUP(B730,Catalogo!$A$2:$C$410,2,0)))</f>
        <v>0</v>
      </c>
      <c r="B730"/>
      <c r="C730"/>
      <c r="D730"/>
      <c r="E730"/>
      <c r="F730"/>
      <c r="G730"/>
      <c r="H730"/>
      <c r="I730"/>
      <c r="J730"/>
      <c r="K730"/>
      <c r="L730" s="16">
        <f t="shared" si="38"/>
        <v>0</v>
      </c>
      <c r="M730" s="16" t="str">
        <f t="shared" si="37"/>
        <v/>
      </c>
      <c r="N730" s="17">
        <f t="shared" si="39"/>
        <v>0</v>
      </c>
    </row>
    <row r="731" spans="1:14" x14ac:dyDescent="0.2">
      <c r="A731" s="19">
        <f>IF(ISERROR(VLOOKUP(B731,Catalogo!$A$2:$C$410,2,0)),0,(VLOOKUP(B731,Catalogo!$A$2:$C$410,2,0)))</f>
        <v>0</v>
      </c>
      <c r="B731"/>
      <c r="C731"/>
      <c r="D731"/>
      <c r="E731"/>
      <c r="F731"/>
      <c r="G731"/>
      <c r="H731"/>
      <c r="I731"/>
      <c r="J731"/>
      <c r="K731"/>
      <c r="L731" s="16">
        <f t="shared" si="38"/>
        <v>0</v>
      </c>
      <c r="M731" s="16" t="str">
        <f t="shared" si="37"/>
        <v/>
      </c>
      <c r="N731" s="17">
        <f t="shared" si="39"/>
        <v>0</v>
      </c>
    </row>
    <row r="732" spans="1:14" x14ac:dyDescent="0.2">
      <c r="A732" s="19">
        <f>IF(ISERROR(VLOOKUP(B732,Catalogo!$A$2:$C$410,2,0)),0,(VLOOKUP(B732,Catalogo!$A$2:$C$410,2,0)))</f>
        <v>0</v>
      </c>
      <c r="B732"/>
      <c r="C732"/>
      <c r="D732"/>
      <c r="E732"/>
      <c r="F732"/>
      <c r="G732"/>
      <c r="H732"/>
      <c r="I732"/>
      <c r="J732"/>
      <c r="K732"/>
      <c r="L732" s="16">
        <f t="shared" si="38"/>
        <v>0</v>
      </c>
      <c r="M732" s="16" t="str">
        <f t="shared" si="37"/>
        <v/>
      </c>
      <c r="N732" s="17">
        <f t="shared" si="39"/>
        <v>0</v>
      </c>
    </row>
    <row r="733" spans="1:14" x14ac:dyDescent="0.2">
      <c r="A733" s="19">
        <f>IF(ISERROR(VLOOKUP(B733,Catalogo!$A$2:$C$410,2,0)),0,(VLOOKUP(B733,Catalogo!$A$2:$C$410,2,0)))</f>
        <v>0</v>
      </c>
      <c r="B733"/>
      <c r="C733"/>
      <c r="D733"/>
      <c r="E733"/>
      <c r="F733"/>
      <c r="G733"/>
      <c r="H733"/>
      <c r="I733"/>
      <c r="J733"/>
      <c r="K733"/>
      <c r="L733" s="16">
        <f t="shared" si="38"/>
        <v>0</v>
      </c>
      <c r="M733" s="16" t="str">
        <f t="shared" si="37"/>
        <v/>
      </c>
      <c r="N733" s="17">
        <f t="shared" si="39"/>
        <v>0</v>
      </c>
    </row>
    <row r="734" spans="1:14" x14ac:dyDescent="0.2">
      <c r="A734" s="19">
        <f>IF(ISERROR(VLOOKUP(B734,Catalogo!$A$2:$C$410,2,0)),0,(VLOOKUP(B734,Catalogo!$A$2:$C$410,2,0)))</f>
        <v>0</v>
      </c>
      <c r="B734"/>
      <c r="C734"/>
      <c r="D734"/>
      <c r="E734"/>
      <c r="F734"/>
      <c r="G734"/>
      <c r="H734"/>
      <c r="I734"/>
      <c r="J734"/>
      <c r="K734"/>
      <c r="L734" s="16">
        <f t="shared" si="38"/>
        <v>0</v>
      </c>
      <c r="M734" s="16" t="str">
        <f t="shared" si="37"/>
        <v/>
      </c>
      <c r="N734" s="17">
        <f t="shared" si="39"/>
        <v>0</v>
      </c>
    </row>
    <row r="735" spans="1:14" x14ac:dyDescent="0.2">
      <c r="A735" s="19">
        <f>IF(ISERROR(VLOOKUP(B735,Catalogo!$A$2:$C$410,2,0)),0,(VLOOKUP(B735,Catalogo!$A$2:$C$410,2,0)))</f>
        <v>0</v>
      </c>
      <c r="B735"/>
      <c r="C735"/>
      <c r="D735"/>
      <c r="E735"/>
      <c r="F735"/>
      <c r="G735"/>
      <c r="H735"/>
      <c r="I735"/>
      <c r="J735"/>
      <c r="K735"/>
      <c r="L735" s="16">
        <f t="shared" si="38"/>
        <v>0</v>
      </c>
      <c r="M735" s="16" t="str">
        <f t="shared" si="37"/>
        <v/>
      </c>
      <c r="N735" s="17">
        <f t="shared" si="39"/>
        <v>0</v>
      </c>
    </row>
    <row r="736" spans="1:14" x14ac:dyDescent="0.2">
      <c r="A736" s="19">
        <f>IF(ISERROR(VLOOKUP(B736,Catalogo!$A$2:$C$410,2,0)),0,(VLOOKUP(B736,Catalogo!$A$2:$C$410,2,0)))</f>
        <v>0</v>
      </c>
      <c r="B736"/>
      <c r="C736"/>
      <c r="D736"/>
      <c r="E736"/>
      <c r="F736"/>
      <c r="G736"/>
      <c r="H736"/>
      <c r="I736"/>
      <c r="J736"/>
      <c r="K736"/>
      <c r="L736" s="16">
        <f t="shared" si="38"/>
        <v>0</v>
      </c>
      <c r="M736" s="16" t="str">
        <f t="shared" si="37"/>
        <v/>
      </c>
      <c r="N736" s="17">
        <f t="shared" si="39"/>
        <v>0</v>
      </c>
    </row>
    <row r="737" spans="1:14" x14ac:dyDescent="0.2">
      <c r="A737" s="19">
        <f>IF(ISERROR(VLOOKUP(B737,Catalogo!$A$2:$C$410,2,0)),0,(VLOOKUP(B737,Catalogo!$A$2:$C$410,2,0)))</f>
        <v>0</v>
      </c>
      <c r="B737"/>
      <c r="C737"/>
      <c r="D737"/>
      <c r="E737"/>
      <c r="F737"/>
      <c r="G737"/>
      <c r="H737"/>
      <c r="I737"/>
      <c r="J737"/>
      <c r="K737"/>
      <c r="L737" s="16">
        <f t="shared" si="38"/>
        <v>0</v>
      </c>
      <c r="M737" s="16" t="str">
        <f t="shared" si="37"/>
        <v/>
      </c>
      <c r="N737" s="17">
        <f t="shared" si="39"/>
        <v>0</v>
      </c>
    </row>
    <row r="738" spans="1:14" x14ac:dyDescent="0.2">
      <c r="A738" s="19">
        <f>IF(ISERROR(VLOOKUP(B738,Catalogo!$A$2:$C$410,2,0)),0,(VLOOKUP(B738,Catalogo!$A$2:$C$410,2,0)))</f>
        <v>0</v>
      </c>
      <c r="B738"/>
      <c r="C738"/>
      <c r="D738"/>
      <c r="E738"/>
      <c r="F738"/>
      <c r="G738"/>
      <c r="H738"/>
      <c r="I738"/>
      <c r="J738"/>
      <c r="K738"/>
      <c r="L738" s="16">
        <f t="shared" si="38"/>
        <v>0</v>
      </c>
      <c r="M738" s="16" t="str">
        <f t="shared" si="37"/>
        <v/>
      </c>
      <c r="N738" s="17">
        <f t="shared" si="39"/>
        <v>0</v>
      </c>
    </row>
    <row r="739" spans="1:14" x14ac:dyDescent="0.2">
      <c r="A739" s="19">
        <f>IF(ISERROR(VLOOKUP(B739,Catalogo!$A$2:$C$410,2,0)),0,(VLOOKUP(B739,Catalogo!$A$2:$C$410,2,0)))</f>
        <v>0</v>
      </c>
      <c r="B739"/>
      <c r="C739"/>
      <c r="D739"/>
      <c r="E739"/>
      <c r="F739"/>
      <c r="G739"/>
      <c r="H739"/>
      <c r="I739"/>
      <c r="J739"/>
      <c r="K739"/>
      <c r="L739" s="16">
        <f t="shared" si="38"/>
        <v>0</v>
      </c>
      <c r="M739" s="16" t="str">
        <f t="shared" si="37"/>
        <v/>
      </c>
      <c r="N739" s="17">
        <f t="shared" si="39"/>
        <v>0</v>
      </c>
    </row>
    <row r="740" spans="1:14" x14ac:dyDescent="0.2">
      <c r="A740" s="19">
        <f>IF(ISERROR(VLOOKUP(B740,Catalogo!$A$2:$C$410,2,0)),0,(VLOOKUP(B740,Catalogo!$A$2:$C$410,2,0)))</f>
        <v>0</v>
      </c>
      <c r="B740"/>
      <c r="C740"/>
      <c r="D740"/>
      <c r="E740"/>
      <c r="F740"/>
      <c r="G740"/>
      <c r="H740"/>
      <c r="I740"/>
      <c r="J740"/>
      <c r="K740"/>
      <c r="L740" s="16">
        <f t="shared" si="38"/>
        <v>0</v>
      </c>
      <c r="M740" s="16" t="str">
        <f t="shared" si="37"/>
        <v/>
      </c>
      <c r="N740" s="17">
        <f t="shared" si="39"/>
        <v>0</v>
      </c>
    </row>
    <row r="741" spans="1:14" x14ac:dyDescent="0.2">
      <c r="A741" s="19">
        <f>IF(ISERROR(VLOOKUP(B741,Catalogo!$A$2:$C$410,2,0)),0,(VLOOKUP(B741,Catalogo!$A$2:$C$410,2,0)))</f>
        <v>0</v>
      </c>
      <c r="B741"/>
      <c r="C741"/>
      <c r="D741"/>
      <c r="E741"/>
      <c r="F741"/>
      <c r="G741"/>
      <c r="H741"/>
      <c r="I741"/>
      <c r="J741"/>
      <c r="K741"/>
      <c r="L741" s="16">
        <f t="shared" si="38"/>
        <v>0</v>
      </c>
      <c r="M741" s="16" t="str">
        <f t="shared" si="37"/>
        <v/>
      </c>
      <c r="N741" s="17">
        <f t="shared" si="39"/>
        <v>0</v>
      </c>
    </row>
    <row r="742" spans="1:14" x14ac:dyDescent="0.2">
      <c r="A742" s="19">
        <f>IF(ISERROR(VLOOKUP(B742,Catalogo!$A$2:$C$410,2,0)),0,(VLOOKUP(B742,Catalogo!$A$2:$C$410,2,0)))</f>
        <v>0</v>
      </c>
      <c r="B742"/>
      <c r="C742"/>
      <c r="D742"/>
      <c r="E742"/>
      <c r="F742"/>
      <c r="G742"/>
      <c r="H742"/>
      <c r="I742"/>
      <c r="J742"/>
      <c r="K742"/>
      <c r="L742" s="16">
        <f t="shared" si="38"/>
        <v>0</v>
      </c>
      <c r="M742" s="16" t="str">
        <f t="shared" si="37"/>
        <v/>
      </c>
      <c r="N742" s="17">
        <f t="shared" si="39"/>
        <v>0</v>
      </c>
    </row>
    <row r="743" spans="1:14" x14ac:dyDescent="0.2">
      <c r="A743" s="19">
        <f>IF(ISERROR(VLOOKUP(B743,Catalogo!$A$2:$C$410,2,0)),0,(VLOOKUP(B743,Catalogo!$A$2:$C$410,2,0)))</f>
        <v>0</v>
      </c>
      <c r="B743"/>
      <c r="C743"/>
      <c r="D743"/>
      <c r="E743"/>
      <c r="F743"/>
      <c r="G743"/>
      <c r="H743"/>
      <c r="I743"/>
      <c r="J743"/>
      <c r="K743"/>
      <c r="L743" s="16">
        <f t="shared" si="38"/>
        <v>0</v>
      </c>
      <c r="M743" s="16" t="str">
        <f t="shared" si="37"/>
        <v/>
      </c>
      <c r="N743" s="17">
        <f t="shared" si="39"/>
        <v>0</v>
      </c>
    </row>
    <row r="744" spans="1:14" x14ac:dyDescent="0.2">
      <c r="A744" s="19">
        <f>IF(ISERROR(VLOOKUP(B744,Catalogo!$A$2:$C$410,2,0)),0,(VLOOKUP(B744,Catalogo!$A$2:$C$410,2,0)))</f>
        <v>0</v>
      </c>
      <c r="B744"/>
      <c r="C744"/>
      <c r="D744"/>
      <c r="E744"/>
      <c r="F744"/>
      <c r="G744"/>
      <c r="H744"/>
      <c r="I744"/>
      <c r="J744"/>
      <c r="K744"/>
      <c r="L744" s="16">
        <f t="shared" si="38"/>
        <v>0</v>
      </c>
      <c r="M744" s="16" t="str">
        <f t="shared" si="37"/>
        <v/>
      </c>
      <c r="N744" s="17">
        <f t="shared" si="39"/>
        <v>0</v>
      </c>
    </row>
    <row r="745" spans="1:14" x14ac:dyDescent="0.2">
      <c r="A745" s="19">
        <f>IF(ISERROR(VLOOKUP(B745,Catalogo!$A$2:$C$410,2,0)),0,(VLOOKUP(B745,Catalogo!$A$2:$C$410,2,0)))</f>
        <v>0</v>
      </c>
      <c r="B745"/>
      <c r="C745"/>
      <c r="D745"/>
      <c r="E745"/>
      <c r="F745"/>
      <c r="G745"/>
      <c r="H745"/>
      <c r="I745"/>
      <c r="J745"/>
      <c r="K745"/>
      <c r="L745" s="16">
        <f t="shared" si="38"/>
        <v>0</v>
      </c>
      <c r="M745" s="16" t="str">
        <f t="shared" si="37"/>
        <v/>
      </c>
      <c r="N745" s="17">
        <f t="shared" si="39"/>
        <v>0</v>
      </c>
    </row>
    <row r="746" spans="1:14" x14ac:dyDescent="0.2">
      <c r="A746" s="19">
        <f>IF(ISERROR(VLOOKUP(B746,Catalogo!$A$2:$C$410,2,0)),0,(VLOOKUP(B746,Catalogo!$A$2:$C$410,2,0)))</f>
        <v>0</v>
      </c>
      <c r="B746"/>
      <c r="C746"/>
      <c r="D746"/>
      <c r="E746"/>
      <c r="F746"/>
      <c r="G746"/>
      <c r="H746"/>
      <c r="I746"/>
      <c r="J746"/>
      <c r="K746"/>
      <c r="L746" s="16">
        <f t="shared" si="38"/>
        <v>0</v>
      </c>
      <c r="M746" s="16" t="str">
        <f t="shared" si="37"/>
        <v/>
      </c>
      <c r="N746" s="17">
        <f t="shared" si="39"/>
        <v>0</v>
      </c>
    </row>
    <row r="747" spans="1:14" x14ac:dyDescent="0.2">
      <c r="A747" s="19">
        <f>IF(ISERROR(VLOOKUP(B747,Catalogo!$A$2:$C$410,2,0)),0,(VLOOKUP(B747,Catalogo!$A$2:$C$410,2,0)))</f>
        <v>0</v>
      </c>
      <c r="B747"/>
      <c r="C747"/>
      <c r="D747"/>
      <c r="E747"/>
      <c r="F747"/>
      <c r="G747"/>
      <c r="H747"/>
      <c r="I747"/>
      <c r="J747"/>
      <c r="K747"/>
      <c r="L747" s="16">
        <f t="shared" si="38"/>
        <v>0</v>
      </c>
      <c r="M747" s="16" t="str">
        <f t="shared" si="37"/>
        <v/>
      </c>
      <c r="N747" s="17">
        <f t="shared" si="39"/>
        <v>0</v>
      </c>
    </row>
    <row r="748" spans="1:14" x14ac:dyDescent="0.2">
      <c r="A748" s="19">
        <f>IF(ISERROR(VLOOKUP(B748,Catalogo!$A$2:$C$410,2,0)),0,(VLOOKUP(B748,Catalogo!$A$2:$C$410,2,0)))</f>
        <v>0</v>
      </c>
      <c r="B748"/>
      <c r="C748"/>
      <c r="D748"/>
      <c r="E748"/>
      <c r="F748"/>
      <c r="G748"/>
      <c r="H748"/>
      <c r="I748"/>
      <c r="J748"/>
      <c r="K748"/>
      <c r="L748" s="16">
        <f t="shared" si="38"/>
        <v>0</v>
      </c>
      <c r="M748" s="16" t="str">
        <f t="shared" si="37"/>
        <v/>
      </c>
      <c r="N748" s="17">
        <f t="shared" si="39"/>
        <v>0</v>
      </c>
    </row>
    <row r="749" spans="1:14" x14ac:dyDescent="0.2">
      <c r="A749" s="19">
        <f>IF(ISERROR(VLOOKUP(B749,Catalogo!$A$2:$C$410,2,0)),0,(VLOOKUP(B749,Catalogo!$A$2:$C$410,2,0)))</f>
        <v>0</v>
      </c>
      <c r="B749"/>
      <c r="C749"/>
      <c r="D749"/>
      <c r="E749"/>
      <c r="F749"/>
      <c r="G749"/>
      <c r="H749"/>
      <c r="I749"/>
      <c r="J749"/>
      <c r="K749"/>
      <c r="L749" s="16">
        <f t="shared" si="38"/>
        <v>0</v>
      </c>
      <c r="M749" s="16" t="str">
        <f t="shared" si="37"/>
        <v/>
      </c>
      <c r="N749" s="17">
        <f t="shared" si="39"/>
        <v>0</v>
      </c>
    </row>
    <row r="750" spans="1:14" x14ac:dyDescent="0.2">
      <c r="A750" s="19">
        <f>IF(ISERROR(VLOOKUP(B750,Catalogo!$A$2:$C$410,2,0)),0,(VLOOKUP(B750,Catalogo!$A$2:$C$410,2,0)))</f>
        <v>0</v>
      </c>
      <c r="B750"/>
      <c r="C750"/>
      <c r="D750"/>
      <c r="E750"/>
      <c r="F750"/>
      <c r="G750"/>
      <c r="H750"/>
      <c r="I750"/>
      <c r="J750"/>
      <c r="K750"/>
      <c r="L750" s="16">
        <f t="shared" si="38"/>
        <v>0</v>
      </c>
      <c r="M750" s="16" t="str">
        <f t="shared" si="37"/>
        <v/>
      </c>
      <c r="N750" s="17">
        <f t="shared" si="39"/>
        <v>0</v>
      </c>
    </row>
    <row r="751" spans="1:14" x14ac:dyDescent="0.2">
      <c r="A751" s="19">
        <f>IF(ISERROR(VLOOKUP(B751,Catalogo!$A$2:$C$410,2,0)),0,(VLOOKUP(B751,Catalogo!$A$2:$C$410,2,0)))</f>
        <v>0</v>
      </c>
      <c r="B751"/>
      <c r="C751"/>
      <c r="D751"/>
      <c r="E751"/>
      <c r="F751"/>
      <c r="G751"/>
      <c r="H751"/>
      <c r="I751"/>
      <c r="J751"/>
      <c r="K751"/>
      <c r="L751" s="16">
        <f t="shared" si="38"/>
        <v>0</v>
      </c>
      <c r="M751" s="16" t="str">
        <f t="shared" si="37"/>
        <v/>
      </c>
      <c r="N751" s="17">
        <f t="shared" si="39"/>
        <v>0</v>
      </c>
    </row>
    <row r="752" spans="1:14" x14ac:dyDescent="0.2">
      <c r="A752" s="19">
        <f>IF(ISERROR(VLOOKUP(B752,Catalogo!$A$2:$C$410,2,0)),0,(VLOOKUP(B752,Catalogo!$A$2:$C$410,2,0)))</f>
        <v>0</v>
      </c>
      <c r="B752"/>
      <c r="C752"/>
      <c r="D752"/>
      <c r="E752"/>
      <c r="F752"/>
      <c r="G752"/>
      <c r="H752"/>
      <c r="I752"/>
      <c r="J752"/>
      <c r="K752"/>
      <c r="L752" s="16">
        <f t="shared" si="38"/>
        <v>0</v>
      </c>
      <c r="M752" s="16" t="str">
        <f t="shared" si="37"/>
        <v/>
      </c>
      <c r="N752" s="17">
        <f t="shared" si="39"/>
        <v>0</v>
      </c>
    </row>
    <row r="753" spans="1:14" x14ac:dyDescent="0.2">
      <c r="A753" s="19">
        <f>IF(ISERROR(VLOOKUP(B753,Catalogo!$A$2:$C$410,2,0)),0,(VLOOKUP(B753,Catalogo!$A$2:$C$410,2,0)))</f>
        <v>0</v>
      </c>
      <c r="B753"/>
      <c r="C753"/>
      <c r="D753"/>
      <c r="E753"/>
      <c r="F753"/>
      <c r="G753"/>
      <c r="H753"/>
      <c r="I753"/>
      <c r="J753"/>
      <c r="K753"/>
      <c r="L753" s="16">
        <f t="shared" si="38"/>
        <v>0</v>
      </c>
      <c r="M753" s="16" t="str">
        <f t="shared" si="37"/>
        <v/>
      </c>
      <c r="N753" s="17">
        <f t="shared" si="39"/>
        <v>0</v>
      </c>
    </row>
    <row r="754" spans="1:14" x14ac:dyDescent="0.2">
      <c r="A754" s="19">
        <f>IF(ISERROR(VLOOKUP(B754,Catalogo!$A$2:$C$410,2,0)),0,(VLOOKUP(B754,Catalogo!$A$2:$C$410,2,0)))</f>
        <v>0</v>
      </c>
      <c r="B754"/>
      <c r="C754"/>
      <c r="D754"/>
      <c r="E754"/>
      <c r="F754"/>
      <c r="G754"/>
      <c r="H754"/>
      <c r="I754"/>
      <c r="J754"/>
      <c r="K754"/>
      <c r="L754" s="16">
        <f t="shared" si="38"/>
        <v>0</v>
      </c>
      <c r="M754" s="16" t="str">
        <f t="shared" si="37"/>
        <v/>
      </c>
      <c r="N754" s="17">
        <f t="shared" si="39"/>
        <v>0</v>
      </c>
    </row>
    <row r="755" spans="1:14" x14ac:dyDescent="0.2">
      <c r="A755" s="19">
        <f>IF(ISERROR(VLOOKUP(B755,Catalogo!$A$2:$C$410,2,0)),0,(VLOOKUP(B755,Catalogo!$A$2:$C$410,2,0)))</f>
        <v>0</v>
      </c>
      <c r="B755"/>
      <c r="C755"/>
      <c r="D755"/>
      <c r="E755"/>
      <c r="F755"/>
      <c r="G755"/>
      <c r="H755"/>
      <c r="I755"/>
      <c r="J755"/>
      <c r="K755"/>
      <c r="L755" s="16">
        <f t="shared" si="38"/>
        <v>0</v>
      </c>
      <c r="M755" s="16" t="str">
        <f t="shared" si="37"/>
        <v/>
      </c>
      <c r="N755" s="17">
        <f t="shared" si="39"/>
        <v>0</v>
      </c>
    </row>
    <row r="756" spans="1:14" x14ac:dyDescent="0.2">
      <c r="A756" s="19">
        <f>IF(ISERROR(VLOOKUP(B756,Catalogo!$A$2:$C$410,2,0)),0,(VLOOKUP(B756,Catalogo!$A$2:$C$410,2,0)))</f>
        <v>0</v>
      </c>
      <c r="B756"/>
      <c r="C756"/>
      <c r="D756"/>
      <c r="E756"/>
      <c r="F756"/>
      <c r="G756"/>
      <c r="H756"/>
      <c r="I756"/>
      <c r="J756"/>
      <c r="K756"/>
      <c r="L756" s="16">
        <f t="shared" si="38"/>
        <v>0</v>
      </c>
      <c r="M756" s="16" t="str">
        <f t="shared" si="37"/>
        <v/>
      </c>
      <c r="N756" s="17">
        <f t="shared" si="39"/>
        <v>0</v>
      </c>
    </row>
    <row r="757" spans="1:14" x14ac:dyDescent="0.2">
      <c r="A757" s="19">
        <f>IF(ISERROR(VLOOKUP(B757,Catalogo!$A$2:$C$410,2,0)),0,(VLOOKUP(B757,Catalogo!$A$2:$C$410,2,0)))</f>
        <v>0</v>
      </c>
      <c r="B757"/>
      <c r="C757"/>
      <c r="D757"/>
      <c r="E757"/>
      <c r="F757"/>
      <c r="G757"/>
      <c r="H757"/>
      <c r="I757"/>
      <c r="J757"/>
      <c r="K757"/>
      <c r="L757" s="16">
        <f t="shared" si="38"/>
        <v>0</v>
      </c>
      <c r="M757" s="16" t="str">
        <f t="shared" si="37"/>
        <v/>
      </c>
      <c r="N757" s="17">
        <f t="shared" si="39"/>
        <v>0</v>
      </c>
    </row>
    <row r="758" spans="1:14" x14ac:dyDescent="0.2">
      <c r="A758" s="19">
        <f>IF(ISERROR(VLOOKUP(B758,Catalogo!$A$2:$C$410,2,0)),0,(VLOOKUP(B758,Catalogo!$A$2:$C$410,2,0)))</f>
        <v>0</v>
      </c>
      <c r="B758"/>
      <c r="C758"/>
      <c r="D758"/>
      <c r="E758"/>
      <c r="F758"/>
      <c r="G758"/>
      <c r="H758"/>
      <c r="I758"/>
      <c r="J758"/>
      <c r="K758"/>
      <c r="L758" s="16">
        <f t="shared" si="38"/>
        <v>0</v>
      </c>
      <c r="M758" s="16" t="str">
        <f t="shared" si="37"/>
        <v/>
      </c>
      <c r="N758" s="17">
        <f t="shared" si="39"/>
        <v>0</v>
      </c>
    </row>
    <row r="759" spans="1:14" x14ac:dyDescent="0.2">
      <c r="A759" s="19">
        <f>IF(ISERROR(VLOOKUP(B759,Catalogo!$A$2:$C$410,2,0)),0,(VLOOKUP(B759,Catalogo!$A$2:$C$410,2,0)))</f>
        <v>0</v>
      </c>
      <c r="B759"/>
      <c r="C759"/>
      <c r="D759"/>
      <c r="E759"/>
      <c r="F759"/>
      <c r="G759"/>
      <c r="H759"/>
      <c r="I759"/>
      <c r="J759"/>
      <c r="K759"/>
      <c r="L759" s="16">
        <f t="shared" si="38"/>
        <v>0</v>
      </c>
      <c r="M759" s="16" t="str">
        <f t="shared" si="37"/>
        <v/>
      </c>
      <c r="N759" s="17">
        <f t="shared" si="39"/>
        <v>0</v>
      </c>
    </row>
    <row r="760" spans="1:14" x14ac:dyDescent="0.2">
      <c r="A760" s="19">
        <f>IF(ISERROR(VLOOKUP(B760,Catalogo!$A$2:$C$410,2,0)),0,(VLOOKUP(B760,Catalogo!$A$2:$C$410,2,0)))</f>
        <v>0</v>
      </c>
      <c r="B760"/>
      <c r="C760"/>
      <c r="D760"/>
      <c r="E760"/>
      <c r="F760"/>
      <c r="G760"/>
      <c r="H760"/>
      <c r="I760"/>
      <c r="J760"/>
      <c r="K760"/>
      <c r="L760" s="16">
        <f t="shared" si="38"/>
        <v>0</v>
      </c>
      <c r="M760" s="16" t="str">
        <f t="shared" si="37"/>
        <v/>
      </c>
      <c r="N760" s="17">
        <f t="shared" si="39"/>
        <v>0</v>
      </c>
    </row>
    <row r="761" spans="1:14" x14ac:dyDescent="0.2">
      <c r="A761" s="19">
        <f>IF(ISERROR(VLOOKUP(B761,Catalogo!$A$2:$C$410,2,0)),0,(VLOOKUP(B761,Catalogo!$A$2:$C$410,2,0)))</f>
        <v>0</v>
      </c>
      <c r="B761"/>
      <c r="C761"/>
      <c r="D761"/>
      <c r="E761"/>
      <c r="F761"/>
      <c r="G761"/>
      <c r="H761"/>
      <c r="I761"/>
      <c r="J761"/>
      <c r="K761"/>
      <c r="L761" s="16">
        <f t="shared" si="38"/>
        <v>0</v>
      </c>
      <c r="M761" s="16" t="str">
        <f t="shared" si="37"/>
        <v/>
      </c>
      <c r="N761" s="17">
        <f t="shared" si="39"/>
        <v>0</v>
      </c>
    </row>
    <row r="762" spans="1:14" x14ac:dyDescent="0.2">
      <c r="A762" s="19">
        <f>IF(ISERROR(VLOOKUP(B762,Catalogo!$A$2:$C$410,2,0)),0,(VLOOKUP(B762,Catalogo!$A$2:$C$410,2,0)))</f>
        <v>0</v>
      </c>
      <c r="B762"/>
      <c r="C762"/>
      <c r="D762"/>
      <c r="E762"/>
      <c r="F762"/>
      <c r="G762"/>
      <c r="H762"/>
      <c r="I762"/>
      <c r="J762"/>
      <c r="K762"/>
      <c r="L762" s="16">
        <f t="shared" si="38"/>
        <v>0</v>
      </c>
      <c r="M762" s="16" t="str">
        <f t="shared" ref="M762:M825" si="40">LEFT(E762,1)</f>
        <v/>
      </c>
      <c r="N762" s="17">
        <f t="shared" si="39"/>
        <v>0</v>
      </c>
    </row>
    <row r="763" spans="1:14" x14ac:dyDescent="0.2">
      <c r="A763" s="19">
        <f>IF(ISERROR(VLOOKUP(B763,Catalogo!$A$2:$C$410,2,0)),0,(VLOOKUP(B763,Catalogo!$A$2:$C$410,2,0)))</f>
        <v>0</v>
      </c>
      <c r="B763"/>
      <c r="C763"/>
      <c r="D763"/>
      <c r="E763"/>
      <c r="F763"/>
      <c r="G763"/>
      <c r="H763"/>
      <c r="I763"/>
      <c r="J763"/>
      <c r="K763"/>
      <c r="L763" s="16">
        <f t="shared" si="38"/>
        <v>0</v>
      </c>
      <c r="M763" s="16" t="str">
        <f t="shared" si="40"/>
        <v/>
      </c>
      <c r="N763" s="17">
        <f t="shared" si="39"/>
        <v>0</v>
      </c>
    </row>
    <row r="764" spans="1:14" x14ac:dyDescent="0.2">
      <c r="A764" s="19">
        <f>IF(ISERROR(VLOOKUP(B764,Catalogo!$A$2:$C$410,2,0)),0,(VLOOKUP(B764,Catalogo!$A$2:$C$410,2,0)))</f>
        <v>0</v>
      </c>
      <c r="B764"/>
      <c r="C764"/>
      <c r="D764"/>
      <c r="E764"/>
      <c r="F764"/>
      <c r="G764"/>
      <c r="H764"/>
      <c r="I764"/>
      <c r="J764"/>
      <c r="K764"/>
      <c r="L764" s="16">
        <f t="shared" si="38"/>
        <v>0</v>
      </c>
      <c r="M764" s="16" t="str">
        <f t="shared" si="40"/>
        <v/>
      </c>
      <c r="N764" s="17">
        <f t="shared" si="39"/>
        <v>0</v>
      </c>
    </row>
    <row r="765" spans="1:14" x14ac:dyDescent="0.2">
      <c r="A765" s="19">
        <f>IF(ISERROR(VLOOKUP(B765,Catalogo!$A$2:$C$410,2,0)),0,(VLOOKUP(B765,Catalogo!$A$2:$C$410,2,0)))</f>
        <v>0</v>
      </c>
      <c r="B765"/>
      <c r="C765"/>
      <c r="D765"/>
      <c r="E765"/>
      <c r="F765"/>
      <c r="G765"/>
      <c r="H765"/>
      <c r="I765"/>
      <c r="J765"/>
      <c r="K765"/>
      <c r="L765" s="16">
        <f t="shared" si="38"/>
        <v>0</v>
      </c>
      <c r="M765" s="16" t="str">
        <f t="shared" si="40"/>
        <v/>
      </c>
      <c r="N765" s="17">
        <f t="shared" si="39"/>
        <v>0</v>
      </c>
    </row>
    <row r="766" spans="1:14" x14ac:dyDescent="0.2">
      <c r="A766" s="19">
        <f>IF(ISERROR(VLOOKUP(B766,Catalogo!$A$2:$C$410,2,0)),0,(VLOOKUP(B766,Catalogo!$A$2:$C$410,2,0)))</f>
        <v>0</v>
      </c>
      <c r="B766"/>
      <c r="C766"/>
      <c r="D766"/>
      <c r="E766"/>
      <c r="F766"/>
      <c r="G766"/>
      <c r="H766"/>
      <c r="I766"/>
      <c r="J766"/>
      <c r="K766"/>
      <c r="L766" s="16">
        <f t="shared" si="38"/>
        <v>0</v>
      </c>
      <c r="M766" s="16" t="str">
        <f t="shared" si="40"/>
        <v/>
      </c>
      <c r="N766" s="17">
        <f t="shared" si="39"/>
        <v>0</v>
      </c>
    </row>
    <row r="767" spans="1:14" x14ac:dyDescent="0.2">
      <c r="A767" s="19">
        <f>IF(ISERROR(VLOOKUP(B767,Catalogo!$A$2:$C$410,2,0)),0,(VLOOKUP(B767,Catalogo!$A$2:$C$410,2,0)))</f>
        <v>0</v>
      </c>
      <c r="B767"/>
      <c r="C767"/>
      <c r="D767"/>
      <c r="E767"/>
      <c r="F767"/>
      <c r="G767"/>
      <c r="H767"/>
      <c r="I767"/>
      <c r="J767"/>
      <c r="K767"/>
      <c r="L767" s="16">
        <f t="shared" si="38"/>
        <v>0</v>
      </c>
      <c r="M767" s="16" t="str">
        <f t="shared" si="40"/>
        <v/>
      </c>
      <c r="N767" s="17">
        <f t="shared" si="39"/>
        <v>0</v>
      </c>
    </row>
    <row r="768" spans="1:14" x14ac:dyDescent="0.2">
      <c r="A768" s="19">
        <f>IF(ISERROR(VLOOKUP(B768,Catalogo!$A$2:$C$410,2,0)),0,(VLOOKUP(B768,Catalogo!$A$2:$C$410,2,0)))</f>
        <v>0</v>
      </c>
      <c r="B768"/>
      <c r="C768"/>
      <c r="D768"/>
      <c r="E768"/>
      <c r="F768"/>
      <c r="G768"/>
      <c r="H768"/>
      <c r="I768"/>
      <c r="J768"/>
      <c r="K768"/>
      <c r="L768" s="16">
        <f t="shared" si="38"/>
        <v>0</v>
      </c>
      <c r="M768" s="16" t="str">
        <f t="shared" si="40"/>
        <v/>
      </c>
      <c r="N768" s="17">
        <f t="shared" si="39"/>
        <v>0</v>
      </c>
    </row>
    <row r="769" spans="1:14" x14ac:dyDescent="0.2">
      <c r="A769" s="19">
        <f>IF(ISERROR(VLOOKUP(B769,Catalogo!$A$2:$C$410,2,0)),0,(VLOOKUP(B769,Catalogo!$A$2:$C$410,2,0)))</f>
        <v>0</v>
      </c>
      <c r="B769"/>
      <c r="C769"/>
      <c r="D769"/>
      <c r="E769"/>
      <c r="F769"/>
      <c r="G769"/>
      <c r="H769"/>
      <c r="I769"/>
      <c r="J769"/>
      <c r="K769"/>
      <c r="L769" s="16">
        <f t="shared" si="38"/>
        <v>0</v>
      </c>
      <c r="M769" s="16" t="str">
        <f t="shared" si="40"/>
        <v/>
      </c>
      <c r="N769" s="17">
        <f t="shared" si="39"/>
        <v>0</v>
      </c>
    </row>
    <row r="770" spans="1:14" x14ac:dyDescent="0.2">
      <c r="A770" s="19">
        <f>IF(ISERROR(VLOOKUP(B770,Catalogo!$A$2:$C$410,2,0)),0,(VLOOKUP(B770,Catalogo!$A$2:$C$410,2,0)))</f>
        <v>0</v>
      </c>
      <c r="B770"/>
      <c r="C770"/>
      <c r="D770"/>
      <c r="E770"/>
      <c r="F770"/>
      <c r="G770"/>
      <c r="H770"/>
      <c r="I770"/>
      <c r="J770"/>
      <c r="K770"/>
      <c r="L770" s="16">
        <f t="shared" ref="L770:L833" si="41">IF(A770="Record Keeping",B770,0)</f>
        <v>0</v>
      </c>
      <c r="M770" s="16" t="str">
        <f t="shared" si="40"/>
        <v/>
      </c>
      <c r="N770" s="17">
        <f t="shared" ref="N770:N833" si="42">IF(G770="CAN",F770*0,IF(M770="R",F770*-1,F770*1)*AND(A770="Record Keeping"))</f>
        <v>0</v>
      </c>
    </row>
    <row r="771" spans="1:14" x14ac:dyDescent="0.2">
      <c r="A771" s="19">
        <f>IF(ISERROR(VLOOKUP(B771,Catalogo!$A$2:$C$410,2,0)),0,(VLOOKUP(B771,Catalogo!$A$2:$C$410,2,0)))</f>
        <v>0</v>
      </c>
      <c r="B771"/>
      <c r="C771"/>
      <c r="D771"/>
      <c r="E771"/>
      <c r="F771"/>
      <c r="G771"/>
      <c r="H771"/>
      <c r="I771"/>
      <c r="J771"/>
      <c r="K771"/>
      <c r="L771" s="16">
        <f t="shared" si="41"/>
        <v>0</v>
      </c>
      <c r="M771" s="16" t="str">
        <f t="shared" si="40"/>
        <v/>
      </c>
      <c r="N771" s="17">
        <f t="shared" si="42"/>
        <v>0</v>
      </c>
    </row>
    <row r="772" spans="1:14" x14ac:dyDescent="0.2">
      <c r="A772" s="19">
        <f>IF(ISERROR(VLOOKUP(B772,Catalogo!$A$2:$C$410,2,0)),0,(VLOOKUP(B772,Catalogo!$A$2:$C$410,2,0)))</f>
        <v>0</v>
      </c>
      <c r="B772"/>
      <c r="C772"/>
      <c r="D772"/>
      <c r="E772"/>
      <c r="F772"/>
      <c r="G772"/>
      <c r="H772"/>
      <c r="I772"/>
      <c r="J772"/>
      <c r="K772"/>
      <c r="L772" s="16">
        <f t="shared" si="41"/>
        <v>0</v>
      </c>
      <c r="M772" s="16" t="str">
        <f t="shared" si="40"/>
        <v/>
      </c>
      <c r="N772" s="17">
        <f t="shared" si="42"/>
        <v>0</v>
      </c>
    </row>
    <row r="773" spans="1:14" x14ac:dyDescent="0.2">
      <c r="A773" s="19">
        <f>IF(ISERROR(VLOOKUP(B773,Catalogo!$A$2:$C$410,2,0)),0,(VLOOKUP(B773,Catalogo!$A$2:$C$410,2,0)))</f>
        <v>0</v>
      </c>
      <c r="B773"/>
      <c r="C773"/>
      <c r="D773"/>
      <c r="E773"/>
      <c r="F773"/>
      <c r="G773"/>
      <c r="H773"/>
      <c r="I773"/>
      <c r="J773"/>
      <c r="K773"/>
      <c r="L773" s="16">
        <f t="shared" si="41"/>
        <v>0</v>
      </c>
      <c r="M773" s="16" t="str">
        <f t="shared" si="40"/>
        <v/>
      </c>
      <c r="N773" s="17">
        <f t="shared" si="42"/>
        <v>0</v>
      </c>
    </row>
    <row r="774" spans="1:14" x14ac:dyDescent="0.2">
      <c r="A774" s="19">
        <f>IF(ISERROR(VLOOKUP(B774,Catalogo!$A$2:$C$410,2,0)),0,(VLOOKUP(B774,Catalogo!$A$2:$C$410,2,0)))</f>
        <v>0</v>
      </c>
      <c r="B774"/>
      <c r="C774"/>
      <c r="D774"/>
      <c r="E774"/>
      <c r="F774"/>
      <c r="G774"/>
      <c r="H774"/>
      <c r="I774"/>
      <c r="J774"/>
      <c r="K774"/>
      <c r="L774" s="16">
        <f t="shared" si="41"/>
        <v>0</v>
      </c>
      <c r="M774" s="16" t="str">
        <f t="shared" si="40"/>
        <v/>
      </c>
      <c r="N774" s="17">
        <f t="shared" si="42"/>
        <v>0</v>
      </c>
    </row>
    <row r="775" spans="1:14" x14ac:dyDescent="0.2">
      <c r="A775" s="19">
        <f>IF(ISERROR(VLOOKUP(B775,Catalogo!$A$2:$C$410,2,0)),0,(VLOOKUP(B775,Catalogo!$A$2:$C$410,2,0)))</f>
        <v>0</v>
      </c>
      <c r="B775"/>
      <c r="C775"/>
      <c r="D775"/>
      <c r="E775"/>
      <c r="F775"/>
      <c r="G775"/>
      <c r="H775"/>
      <c r="I775"/>
      <c r="J775"/>
      <c r="K775"/>
      <c r="L775" s="16">
        <f t="shared" si="41"/>
        <v>0</v>
      </c>
      <c r="M775" s="16" t="str">
        <f t="shared" si="40"/>
        <v/>
      </c>
      <c r="N775" s="17">
        <f t="shared" si="42"/>
        <v>0</v>
      </c>
    </row>
    <row r="776" spans="1:14" x14ac:dyDescent="0.2">
      <c r="A776" s="19">
        <f>IF(ISERROR(VLOOKUP(B776,Catalogo!$A$2:$C$410,2,0)),0,(VLOOKUP(B776,Catalogo!$A$2:$C$410,2,0)))</f>
        <v>0</v>
      </c>
      <c r="B776"/>
      <c r="C776"/>
      <c r="D776"/>
      <c r="E776"/>
      <c r="F776"/>
      <c r="G776"/>
      <c r="H776"/>
      <c r="I776"/>
      <c r="J776"/>
      <c r="K776"/>
      <c r="L776" s="16">
        <f t="shared" si="41"/>
        <v>0</v>
      </c>
      <c r="M776" s="16" t="str">
        <f t="shared" si="40"/>
        <v/>
      </c>
      <c r="N776" s="17">
        <f t="shared" si="42"/>
        <v>0</v>
      </c>
    </row>
    <row r="777" spans="1:14" x14ac:dyDescent="0.2">
      <c r="A777" s="19">
        <f>IF(ISERROR(VLOOKUP(B777,Catalogo!$A$2:$C$410,2,0)),0,(VLOOKUP(B777,Catalogo!$A$2:$C$410,2,0)))</f>
        <v>0</v>
      </c>
      <c r="B777"/>
      <c r="C777"/>
      <c r="D777"/>
      <c r="E777"/>
      <c r="F777"/>
      <c r="G777"/>
      <c r="H777"/>
      <c r="I777"/>
      <c r="J777"/>
      <c r="K777"/>
      <c r="L777" s="16">
        <f t="shared" si="41"/>
        <v>0</v>
      </c>
      <c r="M777" s="16" t="str">
        <f t="shared" si="40"/>
        <v/>
      </c>
      <c r="N777" s="17">
        <f t="shared" si="42"/>
        <v>0</v>
      </c>
    </row>
    <row r="778" spans="1:14" x14ac:dyDescent="0.2">
      <c r="A778" s="19">
        <f>IF(ISERROR(VLOOKUP(B778,Catalogo!$A$2:$C$410,2,0)),0,(VLOOKUP(B778,Catalogo!$A$2:$C$410,2,0)))</f>
        <v>0</v>
      </c>
      <c r="B778"/>
      <c r="C778"/>
      <c r="D778"/>
      <c r="E778"/>
      <c r="F778"/>
      <c r="G778"/>
      <c r="H778"/>
      <c r="I778"/>
      <c r="J778"/>
      <c r="K778"/>
      <c r="L778" s="16">
        <f t="shared" si="41"/>
        <v>0</v>
      </c>
      <c r="M778" s="16" t="str">
        <f t="shared" si="40"/>
        <v/>
      </c>
      <c r="N778" s="17">
        <f t="shared" si="42"/>
        <v>0</v>
      </c>
    </row>
    <row r="779" spans="1:14" x14ac:dyDescent="0.2">
      <c r="A779" s="19">
        <f>IF(ISERROR(VLOOKUP(B779,Catalogo!$A$2:$C$410,2,0)),0,(VLOOKUP(B779,Catalogo!$A$2:$C$410,2,0)))</f>
        <v>0</v>
      </c>
      <c r="B779"/>
      <c r="C779"/>
      <c r="D779"/>
      <c r="E779"/>
      <c r="F779"/>
      <c r="G779"/>
      <c r="H779"/>
      <c r="I779"/>
      <c r="J779"/>
      <c r="K779"/>
      <c r="L779" s="16">
        <f t="shared" si="41"/>
        <v>0</v>
      </c>
      <c r="M779" s="16" t="str">
        <f t="shared" si="40"/>
        <v/>
      </c>
      <c r="N779" s="17">
        <f t="shared" si="42"/>
        <v>0</v>
      </c>
    </row>
    <row r="780" spans="1:14" x14ac:dyDescent="0.2">
      <c r="A780" s="19">
        <f>IF(ISERROR(VLOOKUP(B780,Catalogo!$A$2:$C$410,2,0)),0,(VLOOKUP(B780,Catalogo!$A$2:$C$410,2,0)))</f>
        <v>0</v>
      </c>
      <c r="B780"/>
      <c r="C780"/>
      <c r="D780"/>
      <c r="E780"/>
      <c r="F780"/>
      <c r="G780"/>
      <c r="H780"/>
      <c r="I780"/>
      <c r="J780"/>
      <c r="K780"/>
      <c r="L780" s="16">
        <f t="shared" si="41"/>
        <v>0</v>
      </c>
      <c r="M780" s="16" t="str">
        <f t="shared" si="40"/>
        <v/>
      </c>
      <c r="N780" s="17">
        <f t="shared" si="42"/>
        <v>0</v>
      </c>
    </row>
    <row r="781" spans="1:14" x14ac:dyDescent="0.2">
      <c r="A781" s="19">
        <f>IF(ISERROR(VLOOKUP(B781,Catalogo!$A$2:$C$410,2,0)),0,(VLOOKUP(B781,Catalogo!$A$2:$C$410,2,0)))</f>
        <v>0</v>
      </c>
      <c r="B781"/>
      <c r="C781"/>
      <c r="D781"/>
      <c r="E781"/>
      <c r="F781"/>
      <c r="G781"/>
      <c r="H781"/>
      <c r="I781"/>
      <c r="J781"/>
      <c r="K781"/>
      <c r="L781" s="16">
        <f t="shared" si="41"/>
        <v>0</v>
      </c>
      <c r="M781" s="16" t="str">
        <f t="shared" si="40"/>
        <v/>
      </c>
      <c r="N781" s="17">
        <f t="shared" si="42"/>
        <v>0</v>
      </c>
    </row>
    <row r="782" spans="1:14" x14ac:dyDescent="0.2">
      <c r="A782" s="19">
        <f>IF(ISERROR(VLOOKUP(B782,Catalogo!$A$2:$C$410,2,0)),0,(VLOOKUP(B782,Catalogo!$A$2:$C$410,2,0)))</f>
        <v>0</v>
      </c>
      <c r="B782"/>
      <c r="C782"/>
      <c r="D782"/>
      <c r="E782"/>
      <c r="F782"/>
      <c r="G782"/>
      <c r="H782"/>
      <c r="I782"/>
      <c r="J782"/>
      <c r="K782"/>
      <c r="L782" s="16">
        <f t="shared" si="41"/>
        <v>0</v>
      </c>
      <c r="M782" s="16" t="str">
        <f t="shared" si="40"/>
        <v/>
      </c>
      <c r="N782" s="17">
        <f t="shared" si="42"/>
        <v>0</v>
      </c>
    </row>
    <row r="783" spans="1:14" x14ac:dyDescent="0.2">
      <c r="A783" s="19">
        <f>IF(ISERROR(VLOOKUP(B783,Catalogo!$A$2:$C$410,2,0)),0,(VLOOKUP(B783,Catalogo!$A$2:$C$410,2,0)))</f>
        <v>0</v>
      </c>
      <c r="B783"/>
      <c r="C783"/>
      <c r="D783"/>
      <c r="E783"/>
      <c r="F783"/>
      <c r="G783"/>
      <c r="H783"/>
      <c r="I783"/>
      <c r="J783"/>
      <c r="K783"/>
      <c r="L783" s="16">
        <f t="shared" si="41"/>
        <v>0</v>
      </c>
      <c r="M783" s="16" t="str">
        <f t="shared" si="40"/>
        <v/>
      </c>
      <c r="N783" s="17">
        <f t="shared" si="42"/>
        <v>0</v>
      </c>
    </row>
    <row r="784" spans="1:14" x14ac:dyDescent="0.2">
      <c r="A784" s="19">
        <f>IF(ISERROR(VLOOKUP(B784,Catalogo!$A$2:$C$410,2,0)),0,(VLOOKUP(B784,Catalogo!$A$2:$C$410,2,0)))</f>
        <v>0</v>
      </c>
      <c r="B784"/>
      <c r="C784"/>
      <c r="D784"/>
      <c r="E784"/>
      <c r="F784"/>
      <c r="G784"/>
      <c r="H784"/>
      <c r="I784"/>
      <c r="J784"/>
      <c r="K784"/>
      <c r="L784" s="16">
        <f t="shared" si="41"/>
        <v>0</v>
      </c>
      <c r="M784" s="16" t="str">
        <f t="shared" si="40"/>
        <v/>
      </c>
      <c r="N784" s="17">
        <f t="shared" si="42"/>
        <v>0</v>
      </c>
    </row>
    <row r="785" spans="1:14" x14ac:dyDescent="0.2">
      <c r="A785" s="19">
        <f>IF(ISERROR(VLOOKUP(B785,Catalogo!$A$2:$C$410,2,0)),0,(VLOOKUP(B785,Catalogo!$A$2:$C$410,2,0)))</f>
        <v>0</v>
      </c>
      <c r="B785"/>
      <c r="C785"/>
      <c r="D785"/>
      <c r="E785"/>
      <c r="F785"/>
      <c r="G785"/>
      <c r="H785"/>
      <c r="I785"/>
      <c r="J785"/>
      <c r="K785"/>
      <c r="L785" s="16">
        <f t="shared" si="41"/>
        <v>0</v>
      </c>
      <c r="M785" s="16" t="str">
        <f t="shared" si="40"/>
        <v/>
      </c>
      <c r="N785" s="17">
        <f t="shared" si="42"/>
        <v>0</v>
      </c>
    </row>
    <row r="786" spans="1:14" x14ac:dyDescent="0.2">
      <c r="A786" s="19">
        <f>IF(ISERROR(VLOOKUP(B786,Catalogo!$A$2:$C$410,2,0)),0,(VLOOKUP(B786,Catalogo!$A$2:$C$410,2,0)))</f>
        <v>0</v>
      </c>
      <c r="B786"/>
      <c r="C786"/>
      <c r="D786"/>
      <c r="E786"/>
      <c r="F786"/>
      <c r="G786"/>
      <c r="H786"/>
      <c r="I786"/>
      <c r="J786"/>
      <c r="K786"/>
      <c r="L786" s="16">
        <f t="shared" si="41"/>
        <v>0</v>
      </c>
      <c r="M786" s="16" t="str">
        <f t="shared" si="40"/>
        <v/>
      </c>
      <c r="N786" s="17">
        <f t="shared" si="42"/>
        <v>0</v>
      </c>
    </row>
    <row r="787" spans="1:14" x14ac:dyDescent="0.2">
      <c r="A787" s="19">
        <f>IF(ISERROR(VLOOKUP(B787,Catalogo!$A$2:$C$410,2,0)),0,(VLOOKUP(B787,Catalogo!$A$2:$C$410,2,0)))</f>
        <v>0</v>
      </c>
      <c r="B787"/>
      <c r="C787"/>
      <c r="D787"/>
      <c r="E787"/>
      <c r="F787"/>
      <c r="G787"/>
      <c r="H787"/>
      <c r="I787"/>
      <c r="J787"/>
      <c r="K787"/>
      <c r="L787" s="16">
        <f t="shared" si="41"/>
        <v>0</v>
      </c>
      <c r="M787" s="16" t="str">
        <f t="shared" si="40"/>
        <v/>
      </c>
      <c r="N787" s="17">
        <f t="shared" si="42"/>
        <v>0</v>
      </c>
    </row>
    <row r="788" spans="1:14" x14ac:dyDescent="0.2">
      <c r="A788" s="19">
        <f>IF(ISERROR(VLOOKUP(B788,Catalogo!$A$2:$C$410,2,0)),0,(VLOOKUP(B788,Catalogo!$A$2:$C$410,2,0)))</f>
        <v>0</v>
      </c>
      <c r="B788"/>
      <c r="C788"/>
      <c r="D788"/>
      <c r="E788"/>
      <c r="F788"/>
      <c r="G788"/>
      <c r="H788"/>
      <c r="I788"/>
      <c r="J788"/>
      <c r="K788"/>
      <c r="L788" s="16">
        <f t="shared" si="41"/>
        <v>0</v>
      </c>
      <c r="M788" s="16" t="str">
        <f t="shared" si="40"/>
        <v/>
      </c>
      <c r="N788" s="17">
        <f t="shared" si="42"/>
        <v>0</v>
      </c>
    </row>
    <row r="789" spans="1:14" x14ac:dyDescent="0.2">
      <c r="A789" s="19">
        <f>IF(ISERROR(VLOOKUP(B789,Catalogo!$A$2:$C$410,2,0)),0,(VLOOKUP(B789,Catalogo!$A$2:$C$410,2,0)))</f>
        <v>0</v>
      </c>
      <c r="B789"/>
      <c r="C789"/>
      <c r="D789"/>
      <c r="E789"/>
      <c r="F789"/>
      <c r="G789"/>
      <c r="H789"/>
      <c r="I789"/>
      <c r="J789"/>
      <c r="K789"/>
      <c r="L789" s="16">
        <f t="shared" si="41"/>
        <v>0</v>
      </c>
      <c r="M789" s="16" t="str">
        <f t="shared" si="40"/>
        <v/>
      </c>
      <c r="N789" s="17">
        <f t="shared" si="42"/>
        <v>0</v>
      </c>
    </row>
    <row r="790" spans="1:14" x14ac:dyDescent="0.2">
      <c r="A790" s="19">
        <f>IF(ISERROR(VLOOKUP(B790,Catalogo!$A$2:$C$410,2,0)),0,(VLOOKUP(B790,Catalogo!$A$2:$C$410,2,0)))</f>
        <v>0</v>
      </c>
      <c r="B790"/>
      <c r="C790"/>
      <c r="D790"/>
      <c r="E790"/>
      <c r="F790"/>
      <c r="G790"/>
      <c r="H790"/>
      <c r="I790"/>
      <c r="J790"/>
      <c r="K790"/>
      <c r="L790" s="16">
        <f t="shared" si="41"/>
        <v>0</v>
      </c>
      <c r="M790" s="16" t="str">
        <f t="shared" si="40"/>
        <v/>
      </c>
      <c r="N790" s="17">
        <f t="shared" si="42"/>
        <v>0</v>
      </c>
    </row>
    <row r="791" spans="1:14" x14ac:dyDescent="0.2">
      <c r="A791" s="19">
        <f>IF(ISERROR(VLOOKUP(B791,Catalogo!$A$2:$C$410,2,0)),0,(VLOOKUP(B791,Catalogo!$A$2:$C$410,2,0)))</f>
        <v>0</v>
      </c>
      <c r="B791"/>
      <c r="C791"/>
      <c r="D791"/>
      <c r="E791"/>
      <c r="F791"/>
      <c r="G791"/>
      <c r="H791"/>
      <c r="I791"/>
      <c r="J791"/>
      <c r="K791"/>
      <c r="L791" s="16">
        <f t="shared" si="41"/>
        <v>0</v>
      </c>
      <c r="M791" s="16" t="str">
        <f t="shared" si="40"/>
        <v/>
      </c>
      <c r="N791" s="17">
        <f t="shared" si="42"/>
        <v>0</v>
      </c>
    </row>
    <row r="792" spans="1:14" x14ac:dyDescent="0.2">
      <c r="A792" s="19">
        <f>IF(ISERROR(VLOOKUP(B792,Catalogo!$A$2:$C$410,2,0)),0,(VLOOKUP(B792,Catalogo!$A$2:$C$410,2,0)))</f>
        <v>0</v>
      </c>
      <c r="B792"/>
      <c r="C792"/>
      <c r="D792"/>
      <c r="E792"/>
      <c r="F792"/>
      <c r="G792"/>
      <c r="H792"/>
      <c r="I792"/>
      <c r="J792"/>
      <c r="K792"/>
      <c r="L792" s="16">
        <f t="shared" si="41"/>
        <v>0</v>
      </c>
      <c r="M792" s="16" t="str">
        <f t="shared" si="40"/>
        <v/>
      </c>
      <c r="N792" s="17">
        <f t="shared" si="42"/>
        <v>0</v>
      </c>
    </row>
    <row r="793" spans="1:14" x14ac:dyDescent="0.2">
      <c r="A793" s="19">
        <f>IF(ISERROR(VLOOKUP(B793,Catalogo!$A$2:$C$410,2,0)),0,(VLOOKUP(B793,Catalogo!$A$2:$C$410,2,0)))</f>
        <v>0</v>
      </c>
      <c r="B793"/>
      <c r="C793"/>
      <c r="D793"/>
      <c r="E793"/>
      <c r="F793"/>
      <c r="G793"/>
      <c r="H793"/>
      <c r="I793"/>
      <c r="J793"/>
      <c r="K793"/>
      <c r="L793" s="16">
        <f t="shared" si="41"/>
        <v>0</v>
      </c>
      <c r="M793" s="16" t="str">
        <f t="shared" si="40"/>
        <v/>
      </c>
      <c r="N793" s="17">
        <f t="shared" si="42"/>
        <v>0</v>
      </c>
    </row>
    <row r="794" spans="1:14" x14ac:dyDescent="0.2">
      <c r="A794" s="19">
        <f>IF(ISERROR(VLOOKUP(B794,Catalogo!$A$2:$C$410,2,0)),0,(VLOOKUP(B794,Catalogo!$A$2:$C$410,2,0)))</f>
        <v>0</v>
      </c>
      <c r="B794"/>
      <c r="C794"/>
      <c r="D794"/>
      <c r="E794"/>
      <c r="F794"/>
      <c r="G794"/>
      <c r="H794"/>
      <c r="I794"/>
      <c r="J794"/>
      <c r="K794"/>
      <c r="L794" s="16">
        <f t="shared" si="41"/>
        <v>0</v>
      </c>
      <c r="M794" s="16" t="str">
        <f t="shared" si="40"/>
        <v/>
      </c>
      <c r="N794" s="17">
        <f t="shared" si="42"/>
        <v>0</v>
      </c>
    </row>
    <row r="795" spans="1:14" x14ac:dyDescent="0.2">
      <c r="A795" s="19">
        <f>IF(ISERROR(VLOOKUP(B795,Catalogo!$A$2:$C$410,2,0)),0,(VLOOKUP(B795,Catalogo!$A$2:$C$410,2,0)))</f>
        <v>0</v>
      </c>
      <c r="B795"/>
      <c r="C795"/>
      <c r="D795"/>
      <c r="E795"/>
      <c r="F795"/>
      <c r="G795"/>
      <c r="H795"/>
      <c r="I795"/>
      <c r="J795"/>
      <c r="K795"/>
      <c r="L795" s="16">
        <f t="shared" si="41"/>
        <v>0</v>
      </c>
      <c r="M795" s="16" t="str">
        <f t="shared" si="40"/>
        <v/>
      </c>
      <c r="N795" s="17">
        <f t="shared" si="42"/>
        <v>0</v>
      </c>
    </row>
    <row r="796" spans="1:14" x14ac:dyDescent="0.2">
      <c r="A796" s="19">
        <f>IF(ISERROR(VLOOKUP(B796,Catalogo!$A$2:$C$410,2,0)),0,(VLOOKUP(B796,Catalogo!$A$2:$C$410,2,0)))</f>
        <v>0</v>
      </c>
      <c r="B796"/>
      <c r="C796"/>
      <c r="D796"/>
      <c r="E796"/>
      <c r="F796"/>
      <c r="G796"/>
      <c r="H796"/>
      <c r="I796"/>
      <c r="J796"/>
      <c r="K796"/>
      <c r="L796" s="16">
        <f t="shared" si="41"/>
        <v>0</v>
      </c>
      <c r="M796" s="16" t="str">
        <f t="shared" si="40"/>
        <v/>
      </c>
      <c r="N796" s="17">
        <f t="shared" si="42"/>
        <v>0</v>
      </c>
    </row>
    <row r="797" spans="1:14" x14ac:dyDescent="0.2">
      <c r="A797" s="19">
        <f>IF(ISERROR(VLOOKUP(B797,Catalogo!$A$2:$C$410,2,0)),0,(VLOOKUP(B797,Catalogo!$A$2:$C$410,2,0)))</f>
        <v>0</v>
      </c>
      <c r="B797"/>
      <c r="C797"/>
      <c r="D797"/>
      <c r="E797"/>
      <c r="F797"/>
      <c r="G797"/>
      <c r="H797"/>
      <c r="I797"/>
      <c r="J797"/>
      <c r="K797"/>
      <c r="L797" s="16">
        <f t="shared" si="41"/>
        <v>0</v>
      </c>
      <c r="M797" s="16" t="str">
        <f t="shared" si="40"/>
        <v/>
      </c>
      <c r="N797" s="17">
        <f t="shared" si="42"/>
        <v>0</v>
      </c>
    </row>
    <row r="798" spans="1:14" x14ac:dyDescent="0.2">
      <c r="A798" s="19">
        <f>IF(ISERROR(VLOOKUP(B798,Catalogo!$A$2:$C$410,2,0)),0,(VLOOKUP(B798,Catalogo!$A$2:$C$410,2,0)))</f>
        <v>0</v>
      </c>
      <c r="B798"/>
      <c r="C798"/>
      <c r="D798"/>
      <c r="E798"/>
      <c r="F798"/>
      <c r="G798"/>
      <c r="H798"/>
      <c r="I798"/>
      <c r="J798"/>
      <c r="K798"/>
      <c r="L798" s="16">
        <f t="shared" si="41"/>
        <v>0</v>
      </c>
      <c r="M798" s="16" t="str">
        <f t="shared" si="40"/>
        <v/>
      </c>
      <c r="N798" s="17">
        <f t="shared" si="42"/>
        <v>0</v>
      </c>
    </row>
    <row r="799" spans="1:14" x14ac:dyDescent="0.2">
      <c r="A799" s="19">
        <f>IF(ISERROR(VLOOKUP(B799,Catalogo!$A$2:$C$410,2,0)),0,(VLOOKUP(B799,Catalogo!$A$2:$C$410,2,0)))</f>
        <v>0</v>
      </c>
      <c r="B799"/>
      <c r="C799"/>
      <c r="D799"/>
      <c r="E799"/>
      <c r="F799"/>
      <c r="G799"/>
      <c r="H799"/>
      <c r="I799"/>
      <c r="J799"/>
      <c r="K799"/>
      <c r="L799" s="16">
        <f t="shared" si="41"/>
        <v>0</v>
      </c>
      <c r="M799" s="16" t="str">
        <f t="shared" si="40"/>
        <v/>
      </c>
      <c r="N799" s="17">
        <f t="shared" si="42"/>
        <v>0</v>
      </c>
    </row>
    <row r="800" spans="1:14" x14ac:dyDescent="0.2">
      <c r="A800" s="19">
        <f>IF(ISERROR(VLOOKUP(B800,Catalogo!$A$2:$C$410,2,0)),0,(VLOOKUP(B800,Catalogo!$A$2:$C$410,2,0)))</f>
        <v>0</v>
      </c>
      <c r="B800"/>
      <c r="C800"/>
      <c r="D800"/>
      <c r="E800"/>
      <c r="F800"/>
      <c r="G800"/>
      <c r="H800"/>
      <c r="I800"/>
      <c r="J800"/>
      <c r="K800"/>
      <c r="L800" s="16">
        <f t="shared" si="41"/>
        <v>0</v>
      </c>
      <c r="M800" s="16" t="str">
        <f t="shared" si="40"/>
        <v/>
      </c>
      <c r="N800" s="17">
        <f t="shared" si="42"/>
        <v>0</v>
      </c>
    </row>
    <row r="801" spans="1:14" x14ac:dyDescent="0.2">
      <c r="A801" s="19">
        <f>IF(ISERROR(VLOOKUP(B801,Catalogo!$A$2:$C$410,2,0)),0,(VLOOKUP(B801,Catalogo!$A$2:$C$410,2,0)))</f>
        <v>0</v>
      </c>
      <c r="B801"/>
      <c r="C801"/>
      <c r="D801"/>
      <c r="E801"/>
      <c r="F801"/>
      <c r="G801"/>
      <c r="H801"/>
      <c r="I801"/>
      <c r="J801"/>
      <c r="K801"/>
      <c r="L801" s="16">
        <f t="shared" si="41"/>
        <v>0</v>
      </c>
      <c r="M801" s="16" t="str">
        <f t="shared" si="40"/>
        <v/>
      </c>
      <c r="N801" s="17">
        <f t="shared" si="42"/>
        <v>0</v>
      </c>
    </row>
    <row r="802" spans="1:14" x14ac:dyDescent="0.2">
      <c r="A802" s="19">
        <f>IF(ISERROR(VLOOKUP(B802,Catalogo!$A$2:$C$410,2,0)),0,(VLOOKUP(B802,Catalogo!$A$2:$C$410,2,0)))</f>
        <v>0</v>
      </c>
      <c r="B802"/>
      <c r="C802"/>
      <c r="D802"/>
      <c r="E802"/>
      <c r="F802"/>
      <c r="G802"/>
      <c r="H802"/>
      <c r="I802"/>
      <c r="J802"/>
      <c r="K802"/>
      <c r="L802" s="16">
        <f t="shared" si="41"/>
        <v>0</v>
      </c>
      <c r="M802" s="16" t="str">
        <f t="shared" si="40"/>
        <v/>
      </c>
      <c r="N802" s="17">
        <f t="shared" si="42"/>
        <v>0</v>
      </c>
    </row>
    <row r="803" spans="1:14" x14ac:dyDescent="0.2">
      <c r="A803" s="19">
        <f>IF(ISERROR(VLOOKUP(B803,Catalogo!$A$2:$C$410,2,0)),0,(VLOOKUP(B803,Catalogo!$A$2:$C$410,2,0)))</f>
        <v>0</v>
      </c>
      <c r="B803"/>
      <c r="C803"/>
      <c r="D803"/>
      <c r="E803"/>
      <c r="F803"/>
      <c r="G803"/>
      <c r="H803"/>
      <c r="I803"/>
      <c r="J803"/>
      <c r="K803"/>
      <c r="L803" s="16">
        <f t="shared" si="41"/>
        <v>0</v>
      </c>
      <c r="M803" s="16" t="str">
        <f t="shared" si="40"/>
        <v/>
      </c>
      <c r="N803" s="17">
        <f t="shared" si="42"/>
        <v>0</v>
      </c>
    </row>
    <row r="804" spans="1:14" x14ac:dyDescent="0.2">
      <c r="A804" s="19">
        <f>IF(ISERROR(VLOOKUP(B804,Catalogo!$A$2:$C$410,2,0)),0,(VLOOKUP(B804,Catalogo!$A$2:$C$410,2,0)))</f>
        <v>0</v>
      </c>
      <c r="B804"/>
      <c r="C804"/>
      <c r="D804"/>
      <c r="E804"/>
      <c r="F804"/>
      <c r="G804"/>
      <c r="H804"/>
      <c r="I804"/>
      <c r="J804"/>
      <c r="K804"/>
      <c r="L804" s="16">
        <f t="shared" si="41"/>
        <v>0</v>
      </c>
      <c r="M804" s="16" t="str">
        <f t="shared" si="40"/>
        <v/>
      </c>
      <c r="N804" s="17">
        <f t="shared" si="42"/>
        <v>0</v>
      </c>
    </row>
    <row r="805" spans="1:14" x14ac:dyDescent="0.2">
      <c r="A805" s="19">
        <f>IF(ISERROR(VLOOKUP(B805,Catalogo!$A$2:$C$410,2,0)),0,(VLOOKUP(B805,Catalogo!$A$2:$C$410,2,0)))</f>
        <v>0</v>
      </c>
      <c r="B805"/>
      <c r="C805"/>
      <c r="D805"/>
      <c r="E805"/>
      <c r="F805"/>
      <c r="G805"/>
      <c r="H805"/>
      <c r="I805"/>
      <c r="J805"/>
      <c r="K805"/>
      <c r="L805" s="16">
        <f t="shared" si="41"/>
        <v>0</v>
      </c>
      <c r="M805" s="16" t="str">
        <f t="shared" si="40"/>
        <v/>
      </c>
      <c r="N805" s="17">
        <f t="shared" si="42"/>
        <v>0</v>
      </c>
    </row>
    <row r="806" spans="1:14" x14ac:dyDescent="0.2">
      <c r="A806" s="19">
        <f>IF(ISERROR(VLOOKUP(B806,Catalogo!$A$2:$C$410,2,0)),0,(VLOOKUP(B806,Catalogo!$A$2:$C$410,2,0)))</f>
        <v>0</v>
      </c>
      <c r="B806"/>
      <c r="C806"/>
      <c r="D806"/>
      <c r="E806"/>
      <c r="F806"/>
      <c r="G806"/>
      <c r="H806"/>
      <c r="I806"/>
      <c r="J806"/>
      <c r="K806"/>
      <c r="L806" s="16">
        <f t="shared" si="41"/>
        <v>0</v>
      </c>
      <c r="M806" s="16" t="str">
        <f t="shared" si="40"/>
        <v/>
      </c>
      <c r="N806" s="17">
        <f t="shared" si="42"/>
        <v>0</v>
      </c>
    </row>
    <row r="807" spans="1:14" x14ac:dyDescent="0.2">
      <c r="A807" s="19">
        <f>IF(ISERROR(VLOOKUP(B807,Catalogo!$A$2:$C$410,2,0)),0,(VLOOKUP(B807,Catalogo!$A$2:$C$410,2,0)))</f>
        <v>0</v>
      </c>
      <c r="B807"/>
      <c r="C807"/>
      <c r="D807"/>
      <c r="E807"/>
      <c r="F807"/>
      <c r="G807"/>
      <c r="H807"/>
      <c r="I807"/>
      <c r="J807"/>
      <c r="K807"/>
      <c r="L807" s="16">
        <f t="shared" si="41"/>
        <v>0</v>
      </c>
      <c r="M807" s="16" t="str">
        <f t="shared" si="40"/>
        <v/>
      </c>
      <c r="N807" s="17">
        <f t="shared" si="42"/>
        <v>0</v>
      </c>
    </row>
    <row r="808" spans="1:14" x14ac:dyDescent="0.2">
      <c r="A808" s="19">
        <f>IF(ISERROR(VLOOKUP(B808,Catalogo!$A$2:$C$410,2,0)),0,(VLOOKUP(B808,Catalogo!$A$2:$C$410,2,0)))</f>
        <v>0</v>
      </c>
      <c r="B808"/>
      <c r="C808"/>
      <c r="D808"/>
      <c r="E808"/>
      <c r="F808"/>
      <c r="G808"/>
      <c r="H808"/>
      <c r="I808"/>
      <c r="J808"/>
      <c r="K808"/>
      <c r="L808" s="16">
        <f t="shared" si="41"/>
        <v>0</v>
      </c>
      <c r="M808" s="16" t="str">
        <f t="shared" si="40"/>
        <v/>
      </c>
      <c r="N808" s="17">
        <f t="shared" si="42"/>
        <v>0</v>
      </c>
    </row>
    <row r="809" spans="1:14" x14ac:dyDescent="0.2">
      <c r="A809" s="19">
        <f>IF(ISERROR(VLOOKUP(B809,Catalogo!$A$2:$C$410,2,0)),0,(VLOOKUP(B809,Catalogo!$A$2:$C$410,2,0)))</f>
        <v>0</v>
      </c>
      <c r="B809"/>
      <c r="C809"/>
      <c r="D809"/>
      <c r="E809"/>
      <c r="F809"/>
      <c r="G809"/>
      <c r="H809"/>
      <c r="I809"/>
      <c r="J809"/>
      <c r="K809"/>
      <c r="L809" s="16">
        <f t="shared" si="41"/>
        <v>0</v>
      </c>
      <c r="M809" s="16" t="str">
        <f t="shared" si="40"/>
        <v/>
      </c>
      <c r="N809" s="17">
        <f t="shared" si="42"/>
        <v>0</v>
      </c>
    </row>
    <row r="810" spans="1:14" x14ac:dyDescent="0.2">
      <c r="A810" s="19">
        <f>IF(ISERROR(VLOOKUP(B810,Catalogo!$A$2:$C$410,2,0)),0,(VLOOKUP(B810,Catalogo!$A$2:$C$410,2,0)))</f>
        <v>0</v>
      </c>
      <c r="B810"/>
      <c r="C810"/>
      <c r="D810"/>
      <c r="E810"/>
      <c r="F810"/>
      <c r="G810"/>
      <c r="H810"/>
      <c r="I810"/>
      <c r="J810"/>
      <c r="K810"/>
      <c r="L810" s="16">
        <f t="shared" si="41"/>
        <v>0</v>
      </c>
      <c r="M810" s="16" t="str">
        <f t="shared" si="40"/>
        <v/>
      </c>
      <c r="N810" s="17">
        <f t="shared" si="42"/>
        <v>0</v>
      </c>
    </row>
    <row r="811" spans="1:14" x14ac:dyDescent="0.2">
      <c r="A811" s="19">
        <f>IF(ISERROR(VLOOKUP(B811,Catalogo!$A$2:$C$410,2,0)),0,(VLOOKUP(B811,Catalogo!$A$2:$C$410,2,0)))</f>
        <v>0</v>
      </c>
      <c r="B811"/>
      <c r="C811"/>
      <c r="D811"/>
      <c r="E811"/>
      <c r="F811"/>
      <c r="G811"/>
      <c r="H811"/>
      <c r="I811"/>
      <c r="J811"/>
      <c r="K811"/>
      <c r="L811" s="16">
        <f t="shared" si="41"/>
        <v>0</v>
      </c>
      <c r="M811" s="16" t="str">
        <f t="shared" si="40"/>
        <v/>
      </c>
      <c r="N811" s="17">
        <f t="shared" si="42"/>
        <v>0</v>
      </c>
    </row>
    <row r="812" spans="1:14" x14ac:dyDescent="0.2">
      <c r="A812" s="19">
        <f>IF(ISERROR(VLOOKUP(B812,Catalogo!$A$2:$C$410,2,0)),0,(VLOOKUP(B812,Catalogo!$A$2:$C$410,2,0)))</f>
        <v>0</v>
      </c>
      <c r="B812"/>
      <c r="C812"/>
      <c r="D812"/>
      <c r="E812"/>
      <c r="F812"/>
      <c r="G812"/>
      <c r="H812"/>
      <c r="I812"/>
      <c r="J812"/>
      <c r="K812"/>
      <c r="L812" s="16">
        <f t="shared" si="41"/>
        <v>0</v>
      </c>
      <c r="M812" s="16" t="str">
        <f t="shared" si="40"/>
        <v/>
      </c>
      <c r="N812" s="17">
        <f t="shared" si="42"/>
        <v>0</v>
      </c>
    </row>
    <row r="813" spans="1:14" x14ac:dyDescent="0.2">
      <c r="A813" s="19">
        <f>IF(ISERROR(VLOOKUP(B813,Catalogo!$A$2:$C$410,2,0)),0,(VLOOKUP(B813,Catalogo!$A$2:$C$410,2,0)))</f>
        <v>0</v>
      </c>
      <c r="B813"/>
      <c r="C813"/>
      <c r="D813"/>
      <c r="E813"/>
      <c r="F813"/>
      <c r="G813"/>
      <c r="H813"/>
      <c r="I813"/>
      <c r="J813"/>
      <c r="K813"/>
      <c r="L813" s="16">
        <f t="shared" si="41"/>
        <v>0</v>
      </c>
      <c r="M813" s="16" t="str">
        <f t="shared" si="40"/>
        <v/>
      </c>
      <c r="N813" s="17">
        <f t="shared" si="42"/>
        <v>0</v>
      </c>
    </row>
    <row r="814" spans="1:14" x14ac:dyDescent="0.2">
      <c r="A814" s="19">
        <f>IF(ISERROR(VLOOKUP(B814,Catalogo!$A$2:$C$410,2,0)),0,(VLOOKUP(B814,Catalogo!$A$2:$C$410,2,0)))</f>
        <v>0</v>
      </c>
      <c r="B814"/>
      <c r="C814"/>
      <c r="D814"/>
      <c r="E814"/>
      <c r="F814"/>
      <c r="G814"/>
      <c r="H814"/>
      <c r="I814"/>
      <c r="J814"/>
      <c r="K814"/>
      <c r="L814" s="16">
        <f t="shared" si="41"/>
        <v>0</v>
      </c>
      <c r="M814" s="16" t="str">
        <f t="shared" si="40"/>
        <v/>
      </c>
      <c r="N814" s="17">
        <f t="shared" si="42"/>
        <v>0</v>
      </c>
    </row>
    <row r="815" spans="1:14" x14ac:dyDescent="0.2">
      <c r="A815" s="19">
        <f>IF(ISERROR(VLOOKUP(B815,Catalogo!$A$2:$C$410,2,0)),0,(VLOOKUP(B815,Catalogo!$A$2:$C$410,2,0)))</f>
        <v>0</v>
      </c>
      <c r="B815"/>
      <c r="C815"/>
      <c r="D815"/>
      <c r="E815"/>
      <c r="F815"/>
      <c r="G815"/>
      <c r="H815"/>
      <c r="I815"/>
      <c r="J815"/>
      <c r="K815"/>
      <c r="L815" s="16">
        <f t="shared" si="41"/>
        <v>0</v>
      </c>
      <c r="M815" s="16" t="str">
        <f t="shared" si="40"/>
        <v/>
      </c>
      <c r="N815" s="17">
        <f t="shared" si="42"/>
        <v>0</v>
      </c>
    </row>
    <row r="816" spans="1:14" x14ac:dyDescent="0.2">
      <c r="A816" s="19">
        <f>IF(ISERROR(VLOOKUP(B816,Catalogo!$A$2:$C$410,2,0)),0,(VLOOKUP(B816,Catalogo!$A$2:$C$410,2,0)))</f>
        <v>0</v>
      </c>
      <c r="B816"/>
      <c r="C816"/>
      <c r="D816"/>
      <c r="E816"/>
      <c r="F816"/>
      <c r="G816"/>
      <c r="H816"/>
      <c r="I816"/>
      <c r="J816"/>
      <c r="K816"/>
      <c r="L816" s="16">
        <f t="shared" si="41"/>
        <v>0</v>
      </c>
      <c r="M816" s="16" t="str">
        <f t="shared" si="40"/>
        <v/>
      </c>
      <c r="N816" s="17">
        <f t="shared" si="42"/>
        <v>0</v>
      </c>
    </row>
    <row r="817" spans="1:14" x14ac:dyDescent="0.2">
      <c r="A817" s="19">
        <f>IF(ISERROR(VLOOKUP(B817,Catalogo!$A$2:$C$410,2,0)),0,(VLOOKUP(B817,Catalogo!$A$2:$C$410,2,0)))</f>
        <v>0</v>
      </c>
      <c r="B817"/>
      <c r="C817"/>
      <c r="D817"/>
      <c r="E817"/>
      <c r="F817"/>
      <c r="G817"/>
      <c r="H817"/>
      <c r="I817"/>
      <c r="J817"/>
      <c r="K817"/>
      <c r="L817" s="16">
        <f t="shared" si="41"/>
        <v>0</v>
      </c>
      <c r="M817" s="16" t="str">
        <f t="shared" si="40"/>
        <v/>
      </c>
      <c r="N817" s="17">
        <f t="shared" si="42"/>
        <v>0</v>
      </c>
    </row>
    <row r="818" spans="1:14" x14ac:dyDescent="0.2">
      <c r="A818" s="19">
        <f>IF(ISERROR(VLOOKUP(B818,Catalogo!$A$2:$C$410,2,0)),0,(VLOOKUP(B818,Catalogo!$A$2:$C$410,2,0)))</f>
        <v>0</v>
      </c>
      <c r="B818"/>
      <c r="C818"/>
      <c r="D818"/>
      <c r="E818"/>
      <c r="F818"/>
      <c r="G818"/>
      <c r="H818"/>
      <c r="I818"/>
      <c r="J818"/>
      <c r="K818"/>
      <c r="L818" s="16">
        <f t="shared" si="41"/>
        <v>0</v>
      </c>
      <c r="M818" s="16" t="str">
        <f t="shared" si="40"/>
        <v/>
      </c>
      <c r="N818" s="17">
        <f t="shared" si="42"/>
        <v>0</v>
      </c>
    </row>
    <row r="819" spans="1:14" x14ac:dyDescent="0.2">
      <c r="A819" s="19">
        <f>IF(ISERROR(VLOOKUP(B819,Catalogo!$A$2:$C$410,2,0)),0,(VLOOKUP(B819,Catalogo!$A$2:$C$410,2,0)))</f>
        <v>0</v>
      </c>
      <c r="B819"/>
      <c r="C819"/>
      <c r="D819"/>
      <c r="E819"/>
      <c r="F819"/>
      <c r="G819"/>
      <c r="H819"/>
      <c r="I819"/>
      <c r="J819"/>
      <c r="K819"/>
      <c r="L819" s="16">
        <f t="shared" si="41"/>
        <v>0</v>
      </c>
      <c r="M819" s="16" t="str">
        <f t="shared" si="40"/>
        <v/>
      </c>
      <c r="N819" s="17">
        <f t="shared" si="42"/>
        <v>0</v>
      </c>
    </row>
    <row r="820" spans="1:14" x14ac:dyDescent="0.2">
      <c r="A820" s="19">
        <f>IF(ISERROR(VLOOKUP(B820,Catalogo!$A$2:$C$410,2,0)),0,(VLOOKUP(B820,Catalogo!$A$2:$C$410,2,0)))</f>
        <v>0</v>
      </c>
      <c r="B820"/>
      <c r="C820"/>
      <c r="D820"/>
      <c r="E820"/>
      <c r="F820"/>
      <c r="G820"/>
      <c r="H820"/>
      <c r="I820"/>
      <c r="J820"/>
      <c r="K820"/>
      <c r="L820" s="16">
        <f t="shared" si="41"/>
        <v>0</v>
      </c>
      <c r="M820" s="16" t="str">
        <f t="shared" si="40"/>
        <v/>
      </c>
      <c r="N820" s="17">
        <f t="shared" si="42"/>
        <v>0</v>
      </c>
    </row>
    <row r="821" spans="1:14" x14ac:dyDescent="0.2">
      <c r="A821" s="19">
        <f>IF(ISERROR(VLOOKUP(B821,Catalogo!$A$2:$C$410,2,0)),0,(VLOOKUP(B821,Catalogo!$A$2:$C$410,2,0)))</f>
        <v>0</v>
      </c>
      <c r="B821"/>
      <c r="C821"/>
      <c r="D821"/>
      <c r="E821"/>
      <c r="F821"/>
      <c r="G821"/>
      <c r="H821"/>
      <c r="I821"/>
      <c r="J821"/>
      <c r="K821"/>
      <c r="L821" s="16">
        <f t="shared" si="41"/>
        <v>0</v>
      </c>
      <c r="M821" s="16" t="str">
        <f t="shared" si="40"/>
        <v/>
      </c>
      <c r="N821" s="17">
        <f t="shared" si="42"/>
        <v>0</v>
      </c>
    </row>
    <row r="822" spans="1:14" x14ac:dyDescent="0.2">
      <c r="A822" s="19">
        <f>IF(ISERROR(VLOOKUP(B822,Catalogo!$A$2:$C$410,2,0)),0,(VLOOKUP(B822,Catalogo!$A$2:$C$410,2,0)))</f>
        <v>0</v>
      </c>
      <c r="B822"/>
      <c r="C822"/>
      <c r="D822"/>
      <c r="E822"/>
      <c r="F822"/>
      <c r="G822"/>
      <c r="H822"/>
      <c r="I822"/>
      <c r="J822"/>
      <c r="K822"/>
      <c r="L822" s="16">
        <f t="shared" si="41"/>
        <v>0</v>
      </c>
      <c r="M822" s="16" t="str">
        <f t="shared" si="40"/>
        <v/>
      </c>
      <c r="N822" s="17">
        <f t="shared" si="42"/>
        <v>0</v>
      </c>
    </row>
    <row r="823" spans="1:14" x14ac:dyDescent="0.2">
      <c r="A823" s="19">
        <f>IF(ISERROR(VLOOKUP(B823,Catalogo!$A$2:$C$410,2,0)),0,(VLOOKUP(B823,Catalogo!$A$2:$C$410,2,0)))</f>
        <v>0</v>
      </c>
      <c r="B823"/>
      <c r="C823"/>
      <c r="D823"/>
      <c r="E823"/>
      <c r="F823"/>
      <c r="G823"/>
      <c r="H823"/>
      <c r="I823"/>
      <c r="J823"/>
      <c r="K823"/>
      <c r="L823" s="16">
        <f t="shared" si="41"/>
        <v>0</v>
      </c>
      <c r="M823" s="16" t="str">
        <f t="shared" si="40"/>
        <v/>
      </c>
      <c r="N823" s="17">
        <f t="shared" si="42"/>
        <v>0</v>
      </c>
    </row>
    <row r="824" spans="1:14" x14ac:dyDescent="0.2">
      <c r="A824" s="19">
        <f>IF(ISERROR(VLOOKUP(B824,Catalogo!$A$2:$C$410,2,0)),0,(VLOOKUP(B824,Catalogo!$A$2:$C$410,2,0)))</f>
        <v>0</v>
      </c>
      <c r="B824"/>
      <c r="C824"/>
      <c r="D824"/>
      <c r="E824"/>
      <c r="F824"/>
      <c r="G824"/>
      <c r="H824"/>
      <c r="I824"/>
      <c r="J824"/>
      <c r="K824"/>
      <c r="L824" s="16">
        <f t="shared" si="41"/>
        <v>0</v>
      </c>
      <c r="M824" s="16" t="str">
        <f t="shared" si="40"/>
        <v/>
      </c>
      <c r="N824" s="17">
        <f t="shared" si="42"/>
        <v>0</v>
      </c>
    </row>
    <row r="825" spans="1:14" x14ac:dyDescent="0.2">
      <c r="A825" s="19">
        <f>IF(ISERROR(VLOOKUP(B825,Catalogo!$A$2:$C$410,2,0)),0,(VLOOKUP(B825,Catalogo!$A$2:$C$410,2,0)))</f>
        <v>0</v>
      </c>
      <c r="B825"/>
      <c r="C825"/>
      <c r="D825"/>
      <c r="E825"/>
      <c r="F825"/>
      <c r="G825"/>
      <c r="H825"/>
      <c r="I825"/>
      <c r="J825"/>
      <c r="K825"/>
      <c r="L825" s="16">
        <f t="shared" si="41"/>
        <v>0</v>
      </c>
      <c r="M825" s="16" t="str">
        <f t="shared" si="40"/>
        <v/>
      </c>
      <c r="N825" s="17">
        <f t="shared" si="42"/>
        <v>0</v>
      </c>
    </row>
    <row r="826" spans="1:14" x14ac:dyDescent="0.2">
      <c r="A826" s="19">
        <f>IF(ISERROR(VLOOKUP(B826,Catalogo!$A$2:$C$410,2,0)),0,(VLOOKUP(B826,Catalogo!$A$2:$C$410,2,0)))</f>
        <v>0</v>
      </c>
      <c r="B826"/>
      <c r="C826"/>
      <c r="D826"/>
      <c r="E826"/>
      <c r="F826"/>
      <c r="G826"/>
      <c r="H826"/>
      <c r="I826"/>
      <c r="J826"/>
      <c r="K826"/>
      <c r="L826" s="16">
        <f t="shared" si="41"/>
        <v>0</v>
      </c>
      <c r="M826" s="16" t="str">
        <f t="shared" ref="M826:M889" si="43">LEFT(E826,1)</f>
        <v/>
      </c>
      <c r="N826" s="17">
        <f t="shared" si="42"/>
        <v>0</v>
      </c>
    </row>
    <row r="827" spans="1:14" x14ac:dyDescent="0.2">
      <c r="A827" s="19">
        <f>IF(ISERROR(VLOOKUP(B827,Catalogo!$A$2:$C$410,2,0)),0,(VLOOKUP(B827,Catalogo!$A$2:$C$410,2,0)))</f>
        <v>0</v>
      </c>
      <c r="B827"/>
      <c r="C827"/>
      <c r="D827"/>
      <c r="E827"/>
      <c r="F827"/>
      <c r="G827"/>
      <c r="H827"/>
      <c r="I827"/>
      <c r="J827"/>
      <c r="K827"/>
      <c r="L827" s="16">
        <f t="shared" si="41"/>
        <v>0</v>
      </c>
      <c r="M827" s="16" t="str">
        <f t="shared" si="43"/>
        <v/>
      </c>
      <c r="N827" s="17">
        <f t="shared" si="42"/>
        <v>0</v>
      </c>
    </row>
    <row r="828" spans="1:14" x14ac:dyDescent="0.2">
      <c r="A828" s="19">
        <f>IF(ISERROR(VLOOKUP(B828,Catalogo!$A$2:$C$410,2,0)),0,(VLOOKUP(B828,Catalogo!$A$2:$C$410,2,0)))</f>
        <v>0</v>
      </c>
      <c r="B828"/>
      <c r="C828"/>
      <c r="D828"/>
      <c r="E828"/>
      <c r="F828"/>
      <c r="G828"/>
      <c r="H828"/>
      <c r="I828"/>
      <c r="J828"/>
      <c r="K828"/>
      <c r="L828" s="16">
        <f t="shared" si="41"/>
        <v>0</v>
      </c>
      <c r="M828" s="16" t="str">
        <f t="shared" si="43"/>
        <v/>
      </c>
      <c r="N828" s="17">
        <f t="shared" si="42"/>
        <v>0</v>
      </c>
    </row>
    <row r="829" spans="1:14" x14ac:dyDescent="0.2">
      <c r="A829" s="19">
        <f>IF(ISERROR(VLOOKUP(B829,Catalogo!$A$2:$C$410,2,0)),0,(VLOOKUP(B829,Catalogo!$A$2:$C$410,2,0)))</f>
        <v>0</v>
      </c>
      <c r="B829"/>
      <c r="C829"/>
      <c r="D829"/>
      <c r="E829"/>
      <c r="F829"/>
      <c r="G829"/>
      <c r="H829"/>
      <c r="I829"/>
      <c r="J829"/>
      <c r="K829"/>
      <c r="L829" s="16">
        <f t="shared" si="41"/>
        <v>0</v>
      </c>
      <c r="M829" s="16" t="str">
        <f t="shared" si="43"/>
        <v/>
      </c>
      <c r="N829" s="17">
        <f t="shared" si="42"/>
        <v>0</v>
      </c>
    </row>
    <row r="830" spans="1:14" x14ac:dyDescent="0.2">
      <c r="A830" s="19">
        <f>IF(ISERROR(VLOOKUP(B830,Catalogo!$A$2:$C$410,2,0)),0,(VLOOKUP(B830,Catalogo!$A$2:$C$410,2,0)))</f>
        <v>0</v>
      </c>
      <c r="B830"/>
      <c r="C830"/>
      <c r="D830"/>
      <c r="E830"/>
      <c r="F830"/>
      <c r="G830"/>
      <c r="H830"/>
      <c r="I830"/>
      <c r="J830"/>
      <c r="K830"/>
      <c r="L830" s="16">
        <f t="shared" si="41"/>
        <v>0</v>
      </c>
      <c r="M830" s="16" t="str">
        <f t="shared" si="43"/>
        <v/>
      </c>
      <c r="N830" s="17">
        <f t="shared" si="42"/>
        <v>0</v>
      </c>
    </row>
    <row r="831" spans="1:14" x14ac:dyDescent="0.2">
      <c r="A831" s="19">
        <f>IF(ISERROR(VLOOKUP(B831,Catalogo!$A$2:$C$410,2,0)),0,(VLOOKUP(B831,Catalogo!$A$2:$C$410,2,0)))</f>
        <v>0</v>
      </c>
      <c r="B831"/>
      <c r="C831"/>
      <c r="D831"/>
      <c r="E831"/>
      <c r="F831"/>
      <c r="G831"/>
      <c r="H831"/>
      <c r="I831"/>
      <c r="J831"/>
      <c r="K831"/>
      <c r="L831" s="16">
        <f t="shared" si="41"/>
        <v>0</v>
      </c>
      <c r="M831" s="16" t="str">
        <f t="shared" si="43"/>
        <v/>
      </c>
      <c r="N831" s="17">
        <f t="shared" si="42"/>
        <v>0</v>
      </c>
    </row>
    <row r="832" spans="1:14" x14ac:dyDescent="0.2">
      <c r="A832" s="19">
        <f>IF(ISERROR(VLOOKUP(B832,Catalogo!$A$2:$C$410,2,0)),0,(VLOOKUP(B832,Catalogo!$A$2:$C$410,2,0)))</f>
        <v>0</v>
      </c>
      <c r="B832"/>
      <c r="C832"/>
      <c r="D832"/>
      <c r="E832"/>
      <c r="F832"/>
      <c r="G832"/>
      <c r="H832"/>
      <c r="I832"/>
      <c r="J832"/>
      <c r="K832"/>
      <c r="L832" s="16">
        <f t="shared" si="41"/>
        <v>0</v>
      </c>
      <c r="M832" s="16" t="str">
        <f t="shared" si="43"/>
        <v/>
      </c>
      <c r="N832" s="17">
        <f t="shared" si="42"/>
        <v>0</v>
      </c>
    </row>
    <row r="833" spans="1:14" x14ac:dyDescent="0.2">
      <c r="A833" s="19">
        <f>IF(ISERROR(VLOOKUP(B833,Catalogo!$A$2:$C$410,2,0)),0,(VLOOKUP(B833,Catalogo!$A$2:$C$410,2,0)))</f>
        <v>0</v>
      </c>
      <c r="B833"/>
      <c r="C833"/>
      <c r="D833"/>
      <c r="E833"/>
      <c r="F833"/>
      <c r="G833"/>
      <c r="H833"/>
      <c r="I833"/>
      <c r="J833"/>
      <c r="K833"/>
      <c r="L833" s="16">
        <f t="shared" si="41"/>
        <v>0</v>
      </c>
      <c r="M833" s="16" t="str">
        <f t="shared" si="43"/>
        <v/>
      </c>
      <c r="N833" s="17">
        <f t="shared" si="42"/>
        <v>0</v>
      </c>
    </row>
    <row r="834" spans="1:14" x14ac:dyDescent="0.2">
      <c r="A834" s="19">
        <f>IF(ISERROR(VLOOKUP(B834,Catalogo!$A$2:$C$410,2,0)),0,(VLOOKUP(B834,Catalogo!$A$2:$C$410,2,0)))</f>
        <v>0</v>
      </c>
      <c r="B834"/>
      <c r="C834"/>
      <c r="D834"/>
      <c r="E834"/>
      <c r="F834"/>
      <c r="G834"/>
      <c r="H834"/>
      <c r="I834"/>
      <c r="J834"/>
      <c r="K834"/>
      <c r="L834" s="16">
        <f t="shared" ref="L834:L897" si="44">IF(A834="Record Keeping",B834,0)</f>
        <v>0</v>
      </c>
      <c r="M834" s="16" t="str">
        <f t="shared" si="43"/>
        <v/>
      </c>
      <c r="N834" s="17">
        <f t="shared" ref="N834:N897" si="45">IF(G834="CAN",F834*0,IF(M834="R",F834*-1,F834*1)*AND(A834="Record Keeping"))</f>
        <v>0</v>
      </c>
    </row>
    <row r="835" spans="1:14" x14ac:dyDescent="0.2">
      <c r="A835" s="19">
        <f>IF(ISERROR(VLOOKUP(B835,Catalogo!$A$2:$C$410,2,0)),0,(VLOOKUP(B835,Catalogo!$A$2:$C$410,2,0)))</f>
        <v>0</v>
      </c>
      <c r="B835"/>
      <c r="C835"/>
      <c r="D835"/>
      <c r="E835"/>
      <c r="F835"/>
      <c r="G835"/>
      <c r="H835"/>
      <c r="I835"/>
      <c r="J835"/>
      <c r="K835"/>
      <c r="L835" s="16">
        <f t="shared" si="44"/>
        <v>0</v>
      </c>
      <c r="M835" s="16" t="str">
        <f t="shared" si="43"/>
        <v/>
      </c>
      <c r="N835" s="17">
        <f t="shared" si="45"/>
        <v>0</v>
      </c>
    </row>
    <row r="836" spans="1:14" x14ac:dyDescent="0.2">
      <c r="A836" s="19">
        <f>IF(ISERROR(VLOOKUP(B836,Catalogo!$A$2:$C$410,2,0)),0,(VLOOKUP(B836,Catalogo!$A$2:$C$410,2,0)))</f>
        <v>0</v>
      </c>
      <c r="B836"/>
      <c r="C836"/>
      <c r="D836"/>
      <c r="E836"/>
      <c r="F836"/>
      <c r="G836"/>
      <c r="H836"/>
      <c r="I836"/>
      <c r="J836"/>
      <c r="K836"/>
      <c r="L836" s="16">
        <f t="shared" si="44"/>
        <v>0</v>
      </c>
      <c r="M836" s="16" t="str">
        <f t="shared" si="43"/>
        <v/>
      </c>
      <c r="N836" s="17">
        <f t="shared" si="45"/>
        <v>0</v>
      </c>
    </row>
    <row r="837" spans="1:14" x14ac:dyDescent="0.2">
      <c r="A837" s="19">
        <f>IF(ISERROR(VLOOKUP(B837,Catalogo!$A$2:$C$410,2,0)),0,(VLOOKUP(B837,Catalogo!$A$2:$C$410,2,0)))</f>
        <v>0</v>
      </c>
      <c r="B837"/>
      <c r="C837"/>
      <c r="D837"/>
      <c r="E837"/>
      <c r="F837"/>
      <c r="G837"/>
      <c r="H837"/>
      <c r="I837"/>
      <c r="J837"/>
      <c r="K837"/>
      <c r="L837" s="16">
        <f t="shared" si="44"/>
        <v>0</v>
      </c>
      <c r="M837" s="16" t="str">
        <f t="shared" si="43"/>
        <v/>
      </c>
      <c r="N837" s="17">
        <f t="shared" si="45"/>
        <v>0</v>
      </c>
    </row>
    <row r="838" spans="1:14" x14ac:dyDescent="0.2">
      <c r="A838" s="19">
        <f>IF(ISERROR(VLOOKUP(B838,Catalogo!$A$2:$C$410,2,0)),0,(VLOOKUP(B838,Catalogo!$A$2:$C$410,2,0)))</f>
        <v>0</v>
      </c>
      <c r="B838"/>
      <c r="C838"/>
      <c r="D838"/>
      <c r="E838"/>
      <c r="F838"/>
      <c r="G838"/>
      <c r="H838"/>
      <c r="I838"/>
      <c r="J838"/>
      <c r="K838"/>
      <c r="L838" s="16">
        <f t="shared" si="44"/>
        <v>0</v>
      </c>
      <c r="M838" s="16" t="str">
        <f t="shared" si="43"/>
        <v/>
      </c>
      <c r="N838" s="17">
        <f t="shared" si="45"/>
        <v>0</v>
      </c>
    </row>
    <row r="839" spans="1:14" x14ac:dyDescent="0.2">
      <c r="A839" s="19">
        <f>IF(ISERROR(VLOOKUP(B839,Catalogo!$A$2:$C$410,2,0)),0,(VLOOKUP(B839,Catalogo!$A$2:$C$410,2,0)))</f>
        <v>0</v>
      </c>
      <c r="B839"/>
      <c r="C839"/>
      <c r="D839"/>
      <c r="E839"/>
      <c r="F839"/>
      <c r="G839"/>
      <c r="H839"/>
      <c r="I839"/>
      <c r="J839"/>
      <c r="K839"/>
      <c r="L839" s="16">
        <f t="shared" si="44"/>
        <v>0</v>
      </c>
      <c r="M839" s="16" t="str">
        <f t="shared" si="43"/>
        <v/>
      </c>
      <c r="N839" s="17">
        <f t="shared" si="45"/>
        <v>0</v>
      </c>
    </row>
    <row r="840" spans="1:14" x14ac:dyDescent="0.2">
      <c r="A840" s="19">
        <f>IF(ISERROR(VLOOKUP(B840,Catalogo!$A$2:$C$410,2,0)),0,(VLOOKUP(B840,Catalogo!$A$2:$C$410,2,0)))</f>
        <v>0</v>
      </c>
      <c r="B840"/>
      <c r="C840"/>
      <c r="D840"/>
      <c r="E840"/>
      <c r="F840"/>
      <c r="G840"/>
      <c r="H840"/>
      <c r="I840"/>
      <c r="J840"/>
      <c r="K840"/>
      <c r="L840" s="16">
        <f t="shared" si="44"/>
        <v>0</v>
      </c>
      <c r="M840" s="16" t="str">
        <f t="shared" si="43"/>
        <v/>
      </c>
      <c r="N840" s="17">
        <f t="shared" si="45"/>
        <v>0</v>
      </c>
    </row>
    <row r="841" spans="1:14" x14ac:dyDescent="0.2">
      <c r="A841" s="19">
        <f>IF(ISERROR(VLOOKUP(B841,Catalogo!$A$2:$C$410,2,0)),0,(VLOOKUP(B841,Catalogo!$A$2:$C$410,2,0)))</f>
        <v>0</v>
      </c>
      <c r="B841"/>
      <c r="C841"/>
      <c r="D841"/>
      <c r="E841"/>
      <c r="F841"/>
      <c r="G841"/>
      <c r="H841"/>
      <c r="I841"/>
      <c r="J841"/>
      <c r="K841"/>
      <c r="L841" s="16">
        <f t="shared" si="44"/>
        <v>0</v>
      </c>
      <c r="M841" s="16" t="str">
        <f t="shared" si="43"/>
        <v/>
      </c>
      <c r="N841" s="17">
        <f t="shared" si="45"/>
        <v>0</v>
      </c>
    </row>
    <row r="842" spans="1:14" x14ac:dyDescent="0.2">
      <c r="A842" s="19">
        <f>IF(ISERROR(VLOOKUP(B842,Catalogo!$A$2:$C$410,2,0)),0,(VLOOKUP(B842,Catalogo!$A$2:$C$410,2,0)))</f>
        <v>0</v>
      </c>
      <c r="B842"/>
      <c r="C842"/>
      <c r="D842"/>
      <c r="E842"/>
      <c r="F842"/>
      <c r="G842"/>
      <c r="H842"/>
      <c r="I842"/>
      <c r="J842"/>
      <c r="K842"/>
      <c r="L842" s="16">
        <f t="shared" si="44"/>
        <v>0</v>
      </c>
      <c r="M842" s="16" t="str">
        <f t="shared" si="43"/>
        <v/>
      </c>
      <c r="N842" s="17">
        <f t="shared" si="45"/>
        <v>0</v>
      </c>
    </row>
    <row r="843" spans="1:14" x14ac:dyDescent="0.2">
      <c r="A843" s="19">
        <f>IF(ISERROR(VLOOKUP(B843,Catalogo!$A$2:$C$410,2,0)),0,(VLOOKUP(B843,Catalogo!$A$2:$C$410,2,0)))</f>
        <v>0</v>
      </c>
      <c r="B843"/>
      <c r="C843"/>
      <c r="D843"/>
      <c r="E843"/>
      <c r="F843"/>
      <c r="G843"/>
      <c r="H843"/>
      <c r="I843"/>
      <c r="J843"/>
      <c r="K843"/>
      <c r="L843" s="16">
        <f t="shared" si="44"/>
        <v>0</v>
      </c>
      <c r="M843" s="16" t="str">
        <f t="shared" si="43"/>
        <v/>
      </c>
      <c r="N843" s="17">
        <f t="shared" si="45"/>
        <v>0</v>
      </c>
    </row>
    <row r="844" spans="1:14" x14ac:dyDescent="0.2">
      <c r="A844" s="19">
        <f>IF(ISERROR(VLOOKUP(B844,Catalogo!$A$2:$C$410,2,0)),0,(VLOOKUP(B844,Catalogo!$A$2:$C$410,2,0)))</f>
        <v>0</v>
      </c>
      <c r="B844"/>
      <c r="C844"/>
      <c r="D844"/>
      <c r="E844"/>
      <c r="F844"/>
      <c r="G844"/>
      <c r="H844"/>
      <c r="I844"/>
      <c r="J844"/>
      <c r="K844"/>
      <c r="L844" s="16">
        <f t="shared" si="44"/>
        <v>0</v>
      </c>
      <c r="M844" s="16" t="str">
        <f t="shared" si="43"/>
        <v/>
      </c>
      <c r="N844" s="17">
        <f t="shared" si="45"/>
        <v>0</v>
      </c>
    </row>
    <row r="845" spans="1:14" x14ac:dyDescent="0.2">
      <c r="A845" s="19">
        <f>IF(ISERROR(VLOOKUP(B845,Catalogo!$A$2:$C$410,2,0)),0,(VLOOKUP(B845,Catalogo!$A$2:$C$410,2,0)))</f>
        <v>0</v>
      </c>
      <c r="B845"/>
      <c r="C845"/>
      <c r="D845"/>
      <c r="E845"/>
      <c r="F845"/>
      <c r="G845"/>
      <c r="H845"/>
      <c r="I845"/>
      <c r="J845"/>
      <c r="K845"/>
      <c r="L845" s="16">
        <f t="shared" si="44"/>
        <v>0</v>
      </c>
      <c r="M845" s="16" t="str">
        <f t="shared" si="43"/>
        <v/>
      </c>
      <c r="N845" s="17">
        <f t="shared" si="45"/>
        <v>0</v>
      </c>
    </row>
    <row r="846" spans="1:14" x14ac:dyDescent="0.2">
      <c r="A846" s="19">
        <f>IF(ISERROR(VLOOKUP(B846,Catalogo!$A$2:$C$410,2,0)),0,(VLOOKUP(B846,Catalogo!$A$2:$C$410,2,0)))</f>
        <v>0</v>
      </c>
      <c r="B846"/>
      <c r="C846"/>
      <c r="D846"/>
      <c r="E846"/>
      <c r="F846"/>
      <c r="G846"/>
      <c r="H846"/>
      <c r="I846"/>
      <c r="J846"/>
      <c r="K846"/>
      <c r="L846" s="16">
        <f t="shared" si="44"/>
        <v>0</v>
      </c>
      <c r="M846" s="16" t="str">
        <f t="shared" si="43"/>
        <v/>
      </c>
      <c r="N846" s="17">
        <f t="shared" si="45"/>
        <v>0</v>
      </c>
    </row>
    <row r="847" spans="1:14" x14ac:dyDescent="0.2">
      <c r="A847" s="19">
        <f>IF(ISERROR(VLOOKUP(B847,Catalogo!$A$2:$C$410,2,0)),0,(VLOOKUP(B847,Catalogo!$A$2:$C$410,2,0)))</f>
        <v>0</v>
      </c>
      <c r="B847"/>
      <c r="C847"/>
      <c r="D847"/>
      <c r="E847"/>
      <c r="F847"/>
      <c r="G847"/>
      <c r="H847"/>
      <c r="I847"/>
      <c r="J847"/>
      <c r="K847"/>
      <c r="L847" s="16">
        <f t="shared" si="44"/>
        <v>0</v>
      </c>
      <c r="M847" s="16" t="str">
        <f t="shared" si="43"/>
        <v/>
      </c>
      <c r="N847" s="17">
        <f t="shared" si="45"/>
        <v>0</v>
      </c>
    </row>
    <row r="848" spans="1:14" x14ac:dyDescent="0.2">
      <c r="A848" s="19">
        <f>IF(ISERROR(VLOOKUP(B848,Catalogo!$A$2:$C$410,2,0)),0,(VLOOKUP(B848,Catalogo!$A$2:$C$410,2,0)))</f>
        <v>0</v>
      </c>
      <c r="B848"/>
      <c r="C848"/>
      <c r="D848"/>
      <c r="E848"/>
      <c r="F848"/>
      <c r="G848"/>
      <c r="H848"/>
      <c r="I848"/>
      <c r="J848"/>
      <c r="K848"/>
      <c r="L848" s="16">
        <f t="shared" si="44"/>
        <v>0</v>
      </c>
      <c r="M848" s="16" t="str">
        <f t="shared" si="43"/>
        <v/>
      </c>
      <c r="N848" s="17">
        <f t="shared" si="45"/>
        <v>0</v>
      </c>
    </row>
    <row r="849" spans="1:14" x14ac:dyDescent="0.2">
      <c r="A849" s="19">
        <f>IF(ISERROR(VLOOKUP(B849,Catalogo!$A$2:$C$410,2,0)),0,(VLOOKUP(B849,Catalogo!$A$2:$C$410,2,0)))</f>
        <v>0</v>
      </c>
      <c r="B849"/>
      <c r="C849"/>
      <c r="D849"/>
      <c r="E849"/>
      <c r="F849"/>
      <c r="G849"/>
      <c r="H849"/>
      <c r="I849"/>
      <c r="J849"/>
      <c r="K849"/>
      <c r="L849" s="16">
        <f t="shared" si="44"/>
        <v>0</v>
      </c>
      <c r="M849" s="16" t="str">
        <f t="shared" si="43"/>
        <v/>
      </c>
      <c r="N849" s="17">
        <f t="shared" si="45"/>
        <v>0</v>
      </c>
    </row>
    <row r="850" spans="1:14" x14ac:dyDescent="0.2">
      <c r="A850" s="19">
        <f>IF(ISERROR(VLOOKUP(B850,Catalogo!$A$2:$C$410,2,0)),0,(VLOOKUP(B850,Catalogo!$A$2:$C$410,2,0)))</f>
        <v>0</v>
      </c>
      <c r="B850"/>
      <c r="C850"/>
      <c r="D850"/>
      <c r="E850"/>
      <c r="F850"/>
      <c r="G850"/>
      <c r="H850"/>
      <c r="I850"/>
      <c r="J850"/>
      <c r="K850"/>
      <c r="L850" s="16">
        <f t="shared" si="44"/>
        <v>0</v>
      </c>
      <c r="M850" s="16" t="str">
        <f t="shared" si="43"/>
        <v/>
      </c>
      <c r="N850" s="17">
        <f t="shared" si="45"/>
        <v>0</v>
      </c>
    </row>
    <row r="851" spans="1:14" x14ac:dyDescent="0.2">
      <c r="A851" s="19">
        <f>IF(ISERROR(VLOOKUP(B851,Catalogo!$A$2:$C$410,2,0)),0,(VLOOKUP(B851,Catalogo!$A$2:$C$410,2,0)))</f>
        <v>0</v>
      </c>
      <c r="B851"/>
      <c r="C851"/>
      <c r="D851"/>
      <c r="E851"/>
      <c r="F851"/>
      <c r="G851"/>
      <c r="H851"/>
      <c r="I851"/>
      <c r="J851"/>
      <c r="K851"/>
      <c r="L851" s="16">
        <f t="shared" si="44"/>
        <v>0</v>
      </c>
      <c r="M851" s="16" t="str">
        <f t="shared" si="43"/>
        <v/>
      </c>
      <c r="N851" s="17">
        <f t="shared" si="45"/>
        <v>0</v>
      </c>
    </row>
    <row r="852" spans="1:14" x14ac:dyDescent="0.2">
      <c r="A852" s="19">
        <f>IF(ISERROR(VLOOKUP(B852,Catalogo!$A$2:$C$410,2,0)),0,(VLOOKUP(B852,Catalogo!$A$2:$C$410,2,0)))</f>
        <v>0</v>
      </c>
      <c r="B852"/>
      <c r="C852"/>
      <c r="D852"/>
      <c r="E852"/>
      <c r="F852"/>
      <c r="G852"/>
      <c r="H852"/>
      <c r="I852"/>
      <c r="J852"/>
      <c r="K852"/>
      <c r="L852" s="16">
        <f t="shared" si="44"/>
        <v>0</v>
      </c>
      <c r="M852" s="16" t="str">
        <f t="shared" si="43"/>
        <v/>
      </c>
      <c r="N852" s="17">
        <f t="shared" si="45"/>
        <v>0</v>
      </c>
    </row>
    <row r="853" spans="1:14" x14ac:dyDescent="0.2">
      <c r="A853" s="19">
        <f>IF(ISERROR(VLOOKUP(B853,Catalogo!$A$2:$C$410,2,0)),0,(VLOOKUP(B853,Catalogo!$A$2:$C$410,2,0)))</f>
        <v>0</v>
      </c>
      <c r="B853"/>
      <c r="C853"/>
      <c r="D853"/>
      <c r="E853"/>
      <c r="F853"/>
      <c r="G853"/>
      <c r="H853"/>
      <c r="I853"/>
      <c r="J853"/>
      <c r="K853"/>
      <c r="L853" s="16">
        <f t="shared" si="44"/>
        <v>0</v>
      </c>
      <c r="M853" s="16" t="str">
        <f t="shared" si="43"/>
        <v/>
      </c>
      <c r="N853" s="17">
        <f t="shared" si="45"/>
        <v>0</v>
      </c>
    </row>
    <row r="854" spans="1:14" x14ac:dyDescent="0.2">
      <c r="A854" s="19">
        <f>IF(ISERROR(VLOOKUP(B854,Catalogo!$A$2:$C$410,2,0)),0,(VLOOKUP(B854,Catalogo!$A$2:$C$410,2,0)))</f>
        <v>0</v>
      </c>
      <c r="B854"/>
      <c r="C854"/>
      <c r="D854"/>
      <c r="E854"/>
      <c r="F854"/>
      <c r="G854"/>
      <c r="H854"/>
      <c r="I854"/>
      <c r="J854"/>
      <c r="K854"/>
      <c r="L854" s="16">
        <f t="shared" si="44"/>
        <v>0</v>
      </c>
      <c r="M854" s="16" t="str">
        <f t="shared" si="43"/>
        <v/>
      </c>
      <c r="N854" s="17">
        <f t="shared" si="45"/>
        <v>0</v>
      </c>
    </row>
    <row r="855" spans="1:14" x14ac:dyDescent="0.2">
      <c r="A855" s="19">
        <f>IF(ISERROR(VLOOKUP(B855,Catalogo!$A$2:$C$410,2,0)),0,(VLOOKUP(B855,Catalogo!$A$2:$C$410,2,0)))</f>
        <v>0</v>
      </c>
      <c r="B855"/>
      <c r="C855"/>
      <c r="D855"/>
      <c r="E855"/>
      <c r="F855"/>
      <c r="G855"/>
      <c r="H855"/>
      <c r="I855"/>
      <c r="J855"/>
      <c r="K855"/>
      <c r="L855" s="16">
        <f t="shared" si="44"/>
        <v>0</v>
      </c>
      <c r="M855" s="16" t="str">
        <f t="shared" si="43"/>
        <v/>
      </c>
      <c r="N855" s="17">
        <f t="shared" si="45"/>
        <v>0</v>
      </c>
    </row>
    <row r="856" spans="1:14" x14ac:dyDescent="0.2">
      <c r="A856" s="19">
        <f>IF(ISERROR(VLOOKUP(B856,Catalogo!$A$2:$C$410,2,0)),0,(VLOOKUP(B856,Catalogo!$A$2:$C$410,2,0)))</f>
        <v>0</v>
      </c>
      <c r="B856"/>
      <c r="C856"/>
      <c r="D856"/>
      <c r="E856"/>
      <c r="F856"/>
      <c r="G856"/>
      <c r="H856"/>
      <c r="I856"/>
      <c r="J856"/>
      <c r="K856"/>
      <c r="L856" s="16">
        <f t="shared" si="44"/>
        <v>0</v>
      </c>
      <c r="M856" s="16" t="str">
        <f t="shared" si="43"/>
        <v/>
      </c>
      <c r="N856" s="17">
        <f t="shared" si="45"/>
        <v>0</v>
      </c>
    </row>
    <row r="857" spans="1:14" x14ac:dyDescent="0.2">
      <c r="A857" s="19">
        <f>IF(ISERROR(VLOOKUP(B857,Catalogo!$A$2:$C$410,2,0)),0,(VLOOKUP(B857,Catalogo!$A$2:$C$410,2,0)))</f>
        <v>0</v>
      </c>
      <c r="B857"/>
      <c r="C857"/>
      <c r="D857"/>
      <c r="E857"/>
      <c r="F857"/>
      <c r="G857"/>
      <c r="H857"/>
      <c r="I857"/>
      <c r="J857"/>
      <c r="K857"/>
      <c r="L857" s="16">
        <f t="shared" si="44"/>
        <v>0</v>
      </c>
      <c r="M857" s="16" t="str">
        <f t="shared" si="43"/>
        <v/>
      </c>
      <c r="N857" s="17">
        <f t="shared" si="45"/>
        <v>0</v>
      </c>
    </row>
    <row r="858" spans="1:14" x14ac:dyDescent="0.2">
      <c r="A858" s="19">
        <f>IF(ISERROR(VLOOKUP(B858,Catalogo!$A$2:$C$410,2,0)),0,(VLOOKUP(B858,Catalogo!$A$2:$C$410,2,0)))</f>
        <v>0</v>
      </c>
      <c r="B858"/>
      <c r="C858"/>
      <c r="D858"/>
      <c r="E858"/>
      <c r="F858"/>
      <c r="G858"/>
      <c r="H858"/>
      <c r="I858"/>
      <c r="J858"/>
      <c r="K858"/>
      <c r="L858" s="16">
        <f t="shared" si="44"/>
        <v>0</v>
      </c>
      <c r="M858" s="16" t="str">
        <f t="shared" si="43"/>
        <v/>
      </c>
      <c r="N858" s="17">
        <f t="shared" si="45"/>
        <v>0</v>
      </c>
    </row>
    <row r="859" spans="1:14" x14ac:dyDescent="0.2">
      <c r="A859" s="19">
        <f>IF(ISERROR(VLOOKUP(B859,Catalogo!$A$2:$C$410,2,0)),0,(VLOOKUP(B859,Catalogo!$A$2:$C$410,2,0)))</f>
        <v>0</v>
      </c>
      <c r="B859"/>
      <c r="C859"/>
      <c r="D859"/>
      <c r="E859"/>
      <c r="F859"/>
      <c r="G859"/>
      <c r="H859"/>
      <c r="I859"/>
      <c r="J859"/>
      <c r="K859"/>
      <c r="L859" s="16">
        <f t="shared" si="44"/>
        <v>0</v>
      </c>
      <c r="M859" s="16" t="str">
        <f t="shared" si="43"/>
        <v/>
      </c>
      <c r="N859" s="17">
        <f t="shared" si="45"/>
        <v>0</v>
      </c>
    </row>
    <row r="860" spans="1:14" x14ac:dyDescent="0.2">
      <c r="A860" s="19">
        <f>IF(ISERROR(VLOOKUP(B860,Catalogo!$A$2:$C$410,2,0)),0,(VLOOKUP(B860,Catalogo!$A$2:$C$410,2,0)))</f>
        <v>0</v>
      </c>
      <c r="B860"/>
      <c r="C860"/>
      <c r="D860"/>
      <c r="E860"/>
      <c r="F860"/>
      <c r="G860"/>
      <c r="H860"/>
      <c r="I860"/>
      <c r="J860"/>
      <c r="K860"/>
      <c r="L860" s="16">
        <f t="shared" si="44"/>
        <v>0</v>
      </c>
      <c r="M860" s="16" t="str">
        <f t="shared" si="43"/>
        <v/>
      </c>
      <c r="N860" s="17">
        <f t="shared" si="45"/>
        <v>0</v>
      </c>
    </row>
    <row r="861" spans="1:14" x14ac:dyDescent="0.2">
      <c r="A861" s="19">
        <f>IF(ISERROR(VLOOKUP(B861,Catalogo!$A$2:$C$410,2,0)),0,(VLOOKUP(B861,Catalogo!$A$2:$C$410,2,0)))</f>
        <v>0</v>
      </c>
      <c r="B861"/>
      <c r="C861"/>
      <c r="D861"/>
      <c r="E861"/>
      <c r="F861"/>
      <c r="G861"/>
      <c r="H861"/>
      <c r="I861"/>
      <c r="J861"/>
      <c r="K861"/>
      <c r="L861" s="16">
        <f t="shared" si="44"/>
        <v>0</v>
      </c>
      <c r="M861" s="16" t="str">
        <f t="shared" si="43"/>
        <v/>
      </c>
      <c r="N861" s="17">
        <f t="shared" si="45"/>
        <v>0</v>
      </c>
    </row>
    <row r="862" spans="1:14" x14ac:dyDescent="0.2">
      <c r="A862" s="19">
        <f>IF(ISERROR(VLOOKUP(B862,Catalogo!$A$2:$C$410,2,0)),0,(VLOOKUP(B862,Catalogo!$A$2:$C$410,2,0)))</f>
        <v>0</v>
      </c>
      <c r="B862"/>
      <c r="C862"/>
      <c r="D862"/>
      <c r="E862"/>
      <c r="F862"/>
      <c r="G862"/>
      <c r="H862"/>
      <c r="I862"/>
      <c r="J862"/>
      <c r="K862"/>
      <c r="L862" s="16">
        <f t="shared" si="44"/>
        <v>0</v>
      </c>
      <c r="M862" s="16" t="str">
        <f t="shared" si="43"/>
        <v/>
      </c>
      <c r="N862" s="17">
        <f t="shared" si="45"/>
        <v>0</v>
      </c>
    </row>
    <row r="863" spans="1:14" x14ac:dyDescent="0.2">
      <c r="A863" s="19">
        <f>IF(ISERROR(VLOOKUP(B863,Catalogo!$A$2:$C$410,2,0)),0,(VLOOKUP(B863,Catalogo!$A$2:$C$410,2,0)))</f>
        <v>0</v>
      </c>
      <c r="B863"/>
      <c r="C863"/>
      <c r="D863"/>
      <c r="E863"/>
      <c r="F863"/>
      <c r="G863"/>
      <c r="H863"/>
      <c r="I863"/>
      <c r="J863"/>
      <c r="K863"/>
      <c r="L863" s="16">
        <f t="shared" si="44"/>
        <v>0</v>
      </c>
      <c r="M863" s="16" t="str">
        <f t="shared" si="43"/>
        <v/>
      </c>
      <c r="N863" s="17">
        <f t="shared" si="45"/>
        <v>0</v>
      </c>
    </row>
    <row r="864" spans="1:14" x14ac:dyDescent="0.2">
      <c r="A864" s="19">
        <f>IF(ISERROR(VLOOKUP(B864,Catalogo!$A$2:$C$410,2,0)),0,(VLOOKUP(B864,Catalogo!$A$2:$C$410,2,0)))</f>
        <v>0</v>
      </c>
      <c r="B864"/>
      <c r="C864"/>
      <c r="D864"/>
      <c r="E864"/>
      <c r="F864"/>
      <c r="G864"/>
      <c r="H864"/>
      <c r="I864"/>
      <c r="J864"/>
      <c r="K864"/>
      <c r="L864" s="16">
        <f t="shared" si="44"/>
        <v>0</v>
      </c>
      <c r="M864" s="16" t="str">
        <f t="shared" si="43"/>
        <v/>
      </c>
      <c r="N864" s="17">
        <f t="shared" si="45"/>
        <v>0</v>
      </c>
    </row>
    <row r="865" spans="1:14" x14ac:dyDescent="0.2">
      <c r="A865" s="19">
        <f>IF(ISERROR(VLOOKUP(B865,Catalogo!$A$2:$C$410,2,0)),0,(VLOOKUP(B865,Catalogo!$A$2:$C$410,2,0)))</f>
        <v>0</v>
      </c>
      <c r="B865"/>
      <c r="C865"/>
      <c r="D865"/>
      <c r="E865"/>
      <c r="F865"/>
      <c r="G865"/>
      <c r="H865"/>
      <c r="I865"/>
      <c r="J865"/>
      <c r="K865"/>
      <c r="L865" s="16">
        <f t="shared" si="44"/>
        <v>0</v>
      </c>
      <c r="M865" s="16" t="str">
        <f t="shared" si="43"/>
        <v/>
      </c>
      <c r="N865" s="17">
        <f t="shared" si="45"/>
        <v>0</v>
      </c>
    </row>
    <row r="866" spans="1:14" x14ac:dyDescent="0.2">
      <c r="A866" s="19">
        <f>IF(ISERROR(VLOOKUP(B866,Catalogo!$A$2:$C$410,2,0)),0,(VLOOKUP(B866,Catalogo!$A$2:$C$410,2,0)))</f>
        <v>0</v>
      </c>
      <c r="B866"/>
      <c r="C866"/>
      <c r="D866"/>
      <c r="E866"/>
      <c r="F866"/>
      <c r="G866"/>
      <c r="H866"/>
      <c r="I866"/>
      <c r="J866"/>
      <c r="K866"/>
      <c r="L866" s="16">
        <f t="shared" si="44"/>
        <v>0</v>
      </c>
      <c r="M866" s="16" t="str">
        <f t="shared" si="43"/>
        <v/>
      </c>
      <c r="N866" s="17">
        <f t="shared" si="45"/>
        <v>0</v>
      </c>
    </row>
    <row r="867" spans="1:14" x14ac:dyDescent="0.2">
      <c r="A867" s="19">
        <f>IF(ISERROR(VLOOKUP(B867,Catalogo!$A$2:$C$410,2,0)),0,(VLOOKUP(B867,Catalogo!$A$2:$C$410,2,0)))</f>
        <v>0</v>
      </c>
      <c r="B867"/>
      <c r="C867"/>
      <c r="D867"/>
      <c r="E867"/>
      <c r="F867"/>
      <c r="G867"/>
      <c r="H867"/>
      <c r="I867"/>
      <c r="J867"/>
      <c r="K867"/>
      <c r="L867" s="16">
        <f t="shared" si="44"/>
        <v>0</v>
      </c>
      <c r="M867" s="16" t="str">
        <f t="shared" si="43"/>
        <v/>
      </c>
      <c r="N867" s="17">
        <f t="shared" si="45"/>
        <v>0</v>
      </c>
    </row>
    <row r="868" spans="1:14" x14ac:dyDescent="0.2">
      <c r="A868" s="19">
        <f>IF(ISERROR(VLOOKUP(B868,Catalogo!$A$2:$C$410,2,0)),0,(VLOOKUP(B868,Catalogo!$A$2:$C$410,2,0)))</f>
        <v>0</v>
      </c>
      <c r="B868"/>
      <c r="C868"/>
      <c r="D868"/>
      <c r="E868"/>
      <c r="F868"/>
      <c r="G868"/>
      <c r="H868"/>
      <c r="I868"/>
      <c r="J868"/>
      <c r="K868"/>
      <c r="L868" s="16">
        <f t="shared" si="44"/>
        <v>0</v>
      </c>
      <c r="M868" s="16" t="str">
        <f t="shared" si="43"/>
        <v/>
      </c>
      <c r="N868" s="17">
        <f t="shared" si="45"/>
        <v>0</v>
      </c>
    </row>
    <row r="869" spans="1:14" x14ac:dyDescent="0.2">
      <c r="A869" s="19">
        <f>IF(ISERROR(VLOOKUP(B869,Catalogo!$A$2:$C$410,2,0)),0,(VLOOKUP(B869,Catalogo!$A$2:$C$410,2,0)))</f>
        <v>0</v>
      </c>
      <c r="B869"/>
      <c r="C869"/>
      <c r="D869"/>
      <c r="E869"/>
      <c r="F869"/>
      <c r="G869"/>
      <c r="H869"/>
      <c r="I869"/>
      <c r="J869"/>
      <c r="K869"/>
      <c r="L869" s="16">
        <f t="shared" si="44"/>
        <v>0</v>
      </c>
      <c r="M869" s="16" t="str">
        <f t="shared" si="43"/>
        <v/>
      </c>
      <c r="N869" s="17">
        <f t="shared" si="45"/>
        <v>0</v>
      </c>
    </row>
    <row r="870" spans="1:14" x14ac:dyDescent="0.2">
      <c r="A870" s="19">
        <f>IF(ISERROR(VLOOKUP(B870,Catalogo!$A$2:$C$410,2,0)),0,(VLOOKUP(B870,Catalogo!$A$2:$C$410,2,0)))</f>
        <v>0</v>
      </c>
      <c r="B870"/>
      <c r="C870"/>
      <c r="D870"/>
      <c r="E870"/>
      <c r="F870"/>
      <c r="G870"/>
      <c r="H870"/>
      <c r="I870"/>
      <c r="J870"/>
      <c r="K870"/>
      <c r="L870" s="16">
        <f t="shared" si="44"/>
        <v>0</v>
      </c>
      <c r="M870" s="16" t="str">
        <f t="shared" si="43"/>
        <v/>
      </c>
      <c r="N870" s="17">
        <f t="shared" si="45"/>
        <v>0</v>
      </c>
    </row>
    <row r="871" spans="1:14" x14ac:dyDescent="0.2">
      <c r="A871" s="19">
        <f>IF(ISERROR(VLOOKUP(B871,Catalogo!$A$2:$C$410,2,0)),0,(VLOOKUP(B871,Catalogo!$A$2:$C$410,2,0)))</f>
        <v>0</v>
      </c>
      <c r="B871"/>
      <c r="C871"/>
      <c r="D871"/>
      <c r="E871"/>
      <c r="F871"/>
      <c r="G871"/>
      <c r="H871"/>
      <c r="I871"/>
      <c r="J871"/>
      <c r="K871"/>
      <c r="L871" s="16">
        <f t="shared" si="44"/>
        <v>0</v>
      </c>
      <c r="M871" s="16" t="str">
        <f t="shared" si="43"/>
        <v/>
      </c>
      <c r="N871" s="17">
        <f t="shared" si="45"/>
        <v>0</v>
      </c>
    </row>
    <row r="872" spans="1:14" x14ac:dyDescent="0.2">
      <c r="A872" s="19">
        <f>IF(ISERROR(VLOOKUP(B872,Catalogo!$A$2:$C$410,2,0)),0,(VLOOKUP(B872,Catalogo!$A$2:$C$410,2,0)))</f>
        <v>0</v>
      </c>
      <c r="B872"/>
      <c r="C872"/>
      <c r="D872"/>
      <c r="E872"/>
      <c r="F872"/>
      <c r="G872"/>
      <c r="H872"/>
      <c r="I872"/>
      <c r="J872"/>
      <c r="K872"/>
      <c r="L872" s="16">
        <f t="shared" si="44"/>
        <v>0</v>
      </c>
      <c r="M872" s="16" t="str">
        <f t="shared" si="43"/>
        <v/>
      </c>
      <c r="N872" s="17">
        <f t="shared" si="45"/>
        <v>0</v>
      </c>
    </row>
    <row r="873" spans="1:14" x14ac:dyDescent="0.2">
      <c r="A873" s="19">
        <f>IF(ISERROR(VLOOKUP(B873,Catalogo!$A$2:$C$410,2,0)),0,(VLOOKUP(B873,Catalogo!$A$2:$C$410,2,0)))</f>
        <v>0</v>
      </c>
      <c r="B873"/>
      <c r="C873"/>
      <c r="D873"/>
      <c r="E873"/>
      <c r="F873"/>
      <c r="G873"/>
      <c r="H873"/>
      <c r="I873"/>
      <c r="J873"/>
      <c r="K873"/>
      <c r="L873" s="16">
        <f t="shared" si="44"/>
        <v>0</v>
      </c>
      <c r="M873" s="16" t="str">
        <f t="shared" si="43"/>
        <v/>
      </c>
      <c r="N873" s="17">
        <f t="shared" si="45"/>
        <v>0</v>
      </c>
    </row>
    <row r="874" spans="1:14" x14ac:dyDescent="0.2">
      <c r="A874" s="19">
        <f>IF(ISERROR(VLOOKUP(B874,Catalogo!$A$2:$C$410,2,0)),0,(VLOOKUP(B874,Catalogo!$A$2:$C$410,2,0)))</f>
        <v>0</v>
      </c>
      <c r="B874"/>
      <c r="C874"/>
      <c r="D874"/>
      <c r="E874"/>
      <c r="F874"/>
      <c r="G874"/>
      <c r="H874"/>
      <c r="I874"/>
      <c r="J874"/>
      <c r="K874"/>
      <c r="L874" s="16">
        <f t="shared" si="44"/>
        <v>0</v>
      </c>
      <c r="M874" s="16" t="str">
        <f t="shared" si="43"/>
        <v/>
      </c>
      <c r="N874" s="17">
        <f t="shared" si="45"/>
        <v>0</v>
      </c>
    </row>
    <row r="875" spans="1:14" x14ac:dyDescent="0.2">
      <c r="A875" s="19">
        <f>IF(ISERROR(VLOOKUP(B875,Catalogo!$A$2:$C$410,2,0)),0,(VLOOKUP(B875,Catalogo!$A$2:$C$410,2,0)))</f>
        <v>0</v>
      </c>
      <c r="B875"/>
      <c r="C875"/>
      <c r="D875"/>
      <c r="E875"/>
      <c r="F875"/>
      <c r="G875"/>
      <c r="H875"/>
      <c r="I875"/>
      <c r="J875"/>
      <c r="K875"/>
      <c r="L875" s="16">
        <f t="shared" si="44"/>
        <v>0</v>
      </c>
      <c r="M875" s="16" t="str">
        <f t="shared" si="43"/>
        <v/>
      </c>
      <c r="N875" s="17">
        <f t="shared" si="45"/>
        <v>0</v>
      </c>
    </row>
    <row r="876" spans="1:14" x14ac:dyDescent="0.2">
      <c r="A876" s="19">
        <f>IF(ISERROR(VLOOKUP(B876,Catalogo!$A$2:$C$410,2,0)),0,(VLOOKUP(B876,Catalogo!$A$2:$C$410,2,0)))</f>
        <v>0</v>
      </c>
      <c r="B876"/>
      <c r="C876"/>
      <c r="D876"/>
      <c r="E876"/>
      <c r="F876"/>
      <c r="G876"/>
      <c r="H876"/>
      <c r="I876"/>
      <c r="J876"/>
      <c r="K876"/>
      <c r="L876" s="16">
        <f t="shared" si="44"/>
        <v>0</v>
      </c>
      <c r="M876" s="16" t="str">
        <f t="shared" si="43"/>
        <v/>
      </c>
      <c r="N876" s="17">
        <f t="shared" si="45"/>
        <v>0</v>
      </c>
    </row>
    <row r="877" spans="1:14" x14ac:dyDescent="0.2">
      <c r="A877" s="19">
        <f>IF(ISERROR(VLOOKUP(B877,Catalogo!$A$2:$C$410,2,0)),0,(VLOOKUP(B877,Catalogo!$A$2:$C$410,2,0)))</f>
        <v>0</v>
      </c>
      <c r="B877"/>
      <c r="C877"/>
      <c r="D877"/>
      <c r="E877"/>
      <c r="F877"/>
      <c r="G877"/>
      <c r="H877"/>
      <c r="I877"/>
      <c r="J877"/>
      <c r="K877"/>
      <c r="L877" s="16">
        <f t="shared" si="44"/>
        <v>0</v>
      </c>
      <c r="M877" s="16" t="str">
        <f t="shared" si="43"/>
        <v/>
      </c>
      <c r="N877" s="17">
        <f t="shared" si="45"/>
        <v>0</v>
      </c>
    </row>
    <row r="878" spans="1:14" x14ac:dyDescent="0.2">
      <c r="A878" s="19">
        <f>IF(ISERROR(VLOOKUP(B878,Catalogo!$A$2:$C$410,2,0)),0,(VLOOKUP(B878,Catalogo!$A$2:$C$410,2,0)))</f>
        <v>0</v>
      </c>
      <c r="B878"/>
      <c r="C878"/>
      <c r="D878"/>
      <c r="E878"/>
      <c r="F878"/>
      <c r="G878"/>
      <c r="H878"/>
      <c r="I878"/>
      <c r="J878"/>
      <c r="K878"/>
      <c r="L878" s="16">
        <f t="shared" si="44"/>
        <v>0</v>
      </c>
      <c r="M878" s="16" t="str">
        <f t="shared" si="43"/>
        <v/>
      </c>
      <c r="N878" s="17">
        <f t="shared" si="45"/>
        <v>0</v>
      </c>
    </row>
    <row r="879" spans="1:14" x14ac:dyDescent="0.2">
      <c r="A879" s="19">
        <f>IF(ISERROR(VLOOKUP(B879,Catalogo!$A$2:$C$410,2,0)),0,(VLOOKUP(B879,Catalogo!$A$2:$C$410,2,0)))</f>
        <v>0</v>
      </c>
      <c r="B879"/>
      <c r="C879"/>
      <c r="D879"/>
      <c r="E879"/>
      <c r="F879"/>
      <c r="G879"/>
      <c r="H879"/>
      <c r="I879"/>
      <c r="J879"/>
      <c r="K879"/>
      <c r="L879" s="16">
        <f t="shared" si="44"/>
        <v>0</v>
      </c>
      <c r="M879" s="16" t="str">
        <f t="shared" si="43"/>
        <v/>
      </c>
      <c r="N879" s="17">
        <f t="shared" si="45"/>
        <v>0</v>
      </c>
    </row>
    <row r="880" spans="1:14" x14ac:dyDescent="0.2">
      <c r="A880" s="19">
        <f>IF(ISERROR(VLOOKUP(B880,Catalogo!$A$2:$C$410,2,0)),0,(VLOOKUP(B880,Catalogo!$A$2:$C$410,2,0)))</f>
        <v>0</v>
      </c>
      <c r="B880"/>
      <c r="C880"/>
      <c r="D880"/>
      <c r="E880"/>
      <c r="F880"/>
      <c r="G880"/>
      <c r="H880"/>
      <c r="I880"/>
      <c r="J880"/>
      <c r="K880"/>
      <c r="L880" s="16">
        <f t="shared" si="44"/>
        <v>0</v>
      </c>
      <c r="M880" s="16" t="str">
        <f t="shared" si="43"/>
        <v/>
      </c>
      <c r="N880" s="17">
        <f t="shared" si="45"/>
        <v>0</v>
      </c>
    </row>
    <row r="881" spans="1:14" x14ac:dyDescent="0.2">
      <c r="A881" s="19">
        <f>IF(ISERROR(VLOOKUP(B881,Catalogo!$A$2:$C$410,2,0)),0,(VLOOKUP(B881,Catalogo!$A$2:$C$410,2,0)))</f>
        <v>0</v>
      </c>
      <c r="B881"/>
      <c r="C881"/>
      <c r="D881"/>
      <c r="E881"/>
      <c r="F881"/>
      <c r="G881"/>
      <c r="H881"/>
      <c r="I881"/>
      <c r="J881"/>
      <c r="K881"/>
      <c r="L881" s="16">
        <f t="shared" si="44"/>
        <v>0</v>
      </c>
      <c r="M881" s="16" t="str">
        <f t="shared" si="43"/>
        <v/>
      </c>
      <c r="N881" s="17">
        <f t="shared" si="45"/>
        <v>0</v>
      </c>
    </row>
    <row r="882" spans="1:14" x14ac:dyDescent="0.2">
      <c r="A882" s="19">
        <f>IF(ISERROR(VLOOKUP(B882,Catalogo!$A$2:$C$410,2,0)),0,(VLOOKUP(B882,Catalogo!$A$2:$C$410,2,0)))</f>
        <v>0</v>
      </c>
      <c r="B882"/>
      <c r="C882"/>
      <c r="D882"/>
      <c r="E882"/>
      <c r="F882"/>
      <c r="G882"/>
      <c r="H882"/>
      <c r="I882"/>
      <c r="J882"/>
      <c r="K882"/>
      <c r="L882" s="16">
        <f t="shared" si="44"/>
        <v>0</v>
      </c>
      <c r="M882" s="16" t="str">
        <f t="shared" si="43"/>
        <v/>
      </c>
      <c r="N882" s="17">
        <f t="shared" si="45"/>
        <v>0</v>
      </c>
    </row>
    <row r="883" spans="1:14" x14ac:dyDescent="0.2">
      <c r="A883" s="19">
        <f>IF(ISERROR(VLOOKUP(B883,Catalogo!$A$2:$C$410,2,0)),0,(VLOOKUP(B883,Catalogo!$A$2:$C$410,2,0)))</f>
        <v>0</v>
      </c>
      <c r="B883"/>
      <c r="C883"/>
      <c r="D883"/>
      <c r="E883"/>
      <c r="F883"/>
      <c r="G883"/>
      <c r="H883"/>
      <c r="I883"/>
      <c r="J883"/>
      <c r="K883"/>
      <c r="L883" s="16">
        <f t="shared" si="44"/>
        <v>0</v>
      </c>
      <c r="M883" s="16" t="str">
        <f t="shared" si="43"/>
        <v/>
      </c>
      <c r="N883" s="17">
        <f t="shared" si="45"/>
        <v>0</v>
      </c>
    </row>
    <row r="884" spans="1:14" x14ac:dyDescent="0.2">
      <c r="A884" s="19">
        <f>IF(ISERROR(VLOOKUP(B884,Catalogo!$A$2:$C$410,2,0)),0,(VLOOKUP(B884,Catalogo!$A$2:$C$410,2,0)))</f>
        <v>0</v>
      </c>
      <c r="B884"/>
      <c r="C884"/>
      <c r="D884"/>
      <c r="E884"/>
      <c r="F884"/>
      <c r="G884"/>
      <c r="H884"/>
      <c r="I884"/>
      <c r="J884"/>
      <c r="K884"/>
      <c r="L884" s="16">
        <f t="shared" si="44"/>
        <v>0</v>
      </c>
      <c r="M884" s="16" t="str">
        <f t="shared" si="43"/>
        <v/>
      </c>
      <c r="N884" s="17">
        <f t="shared" si="45"/>
        <v>0</v>
      </c>
    </row>
    <row r="885" spans="1:14" x14ac:dyDescent="0.2">
      <c r="A885" s="19">
        <f>IF(ISERROR(VLOOKUP(B885,Catalogo!$A$2:$C$410,2,0)),0,(VLOOKUP(B885,Catalogo!$A$2:$C$410,2,0)))</f>
        <v>0</v>
      </c>
      <c r="B885"/>
      <c r="C885"/>
      <c r="D885"/>
      <c r="E885"/>
      <c r="F885"/>
      <c r="G885"/>
      <c r="H885"/>
      <c r="I885"/>
      <c r="J885"/>
      <c r="K885"/>
      <c r="L885" s="16">
        <f t="shared" si="44"/>
        <v>0</v>
      </c>
      <c r="M885" s="16" t="str">
        <f t="shared" si="43"/>
        <v/>
      </c>
      <c r="N885" s="17">
        <f t="shared" si="45"/>
        <v>0</v>
      </c>
    </row>
    <row r="886" spans="1:14" x14ac:dyDescent="0.2">
      <c r="A886" s="19">
        <f>IF(ISERROR(VLOOKUP(B886,Catalogo!$A$2:$C$410,2,0)),0,(VLOOKUP(B886,Catalogo!$A$2:$C$410,2,0)))</f>
        <v>0</v>
      </c>
      <c r="B886"/>
      <c r="C886"/>
      <c r="D886"/>
      <c r="E886"/>
      <c r="F886"/>
      <c r="G886"/>
      <c r="H886"/>
      <c r="I886"/>
      <c r="J886"/>
      <c r="K886"/>
      <c r="L886" s="16">
        <f t="shared" si="44"/>
        <v>0</v>
      </c>
      <c r="M886" s="16" t="str">
        <f t="shared" si="43"/>
        <v/>
      </c>
      <c r="N886" s="17">
        <f t="shared" si="45"/>
        <v>0</v>
      </c>
    </row>
    <row r="887" spans="1:14" x14ac:dyDescent="0.2">
      <c r="A887" s="19">
        <f>IF(ISERROR(VLOOKUP(B887,Catalogo!$A$2:$C$410,2,0)),0,(VLOOKUP(B887,Catalogo!$A$2:$C$410,2,0)))</f>
        <v>0</v>
      </c>
      <c r="B887"/>
      <c r="C887"/>
      <c r="D887"/>
      <c r="E887"/>
      <c r="F887"/>
      <c r="G887"/>
      <c r="H887"/>
      <c r="I887"/>
      <c r="J887"/>
      <c r="K887"/>
      <c r="L887" s="16">
        <f t="shared" si="44"/>
        <v>0</v>
      </c>
      <c r="M887" s="16" t="str">
        <f t="shared" si="43"/>
        <v/>
      </c>
      <c r="N887" s="17">
        <f t="shared" si="45"/>
        <v>0</v>
      </c>
    </row>
    <row r="888" spans="1:14" x14ac:dyDescent="0.2">
      <c r="A888" s="19">
        <f>IF(ISERROR(VLOOKUP(B888,Catalogo!$A$2:$C$410,2,0)),0,(VLOOKUP(B888,Catalogo!$A$2:$C$410,2,0)))</f>
        <v>0</v>
      </c>
      <c r="B888"/>
      <c r="C888"/>
      <c r="D888"/>
      <c r="E888"/>
      <c r="F888"/>
      <c r="G888"/>
      <c r="H888"/>
      <c r="I888"/>
      <c r="J888"/>
      <c r="K888"/>
      <c r="L888" s="16">
        <f t="shared" si="44"/>
        <v>0</v>
      </c>
      <c r="M888" s="16" t="str">
        <f t="shared" si="43"/>
        <v/>
      </c>
      <c r="N888" s="17">
        <f t="shared" si="45"/>
        <v>0</v>
      </c>
    </row>
    <row r="889" spans="1:14" x14ac:dyDescent="0.2">
      <c r="A889" s="19">
        <f>IF(ISERROR(VLOOKUP(B889,Catalogo!$A$2:$C$410,2,0)),0,(VLOOKUP(B889,Catalogo!$A$2:$C$410,2,0)))</f>
        <v>0</v>
      </c>
      <c r="B889"/>
      <c r="C889"/>
      <c r="D889"/>
      <c r="E889"/>
      <c r="F889"/>
      <c r="G889"/>
      <c r="H889"/>
      <c r="I889"/>
      <c r="J889"/>
      <c r="K889"/>
      <c r="L889" s="16">
        <f t="shared" si="44"/>
        <v>0</v>
      </c>
      <c r="M889" s="16" t="str">
        <f t="shared" si="43"/>
        <v/>
      </c>
      <c r="N889" s="17">
        <f t="shared" si="45"/>
        <v>0</v>
      </c>
    </row>
    <row r="890" spans="1:14" x14ac:dyDescent="0.2">
      <c r="A890" s="19">
        <f>IF(ISERROR(VLOOKUP(B890,Catalogo!$A$2:$C$410,2,0)),0,(VLOOKUP(B890,Catalogo!$A$2:$C$410,2,0)))</f>
        <v>0</v>
      </c>
      <c r="B890"/>
      <c r="C890"/>
      <c r="D890"/>
      <c r="E890"/>
      <c r="F890"/>
      <c r="G890"/>
      <c r="H890"/>
      <c r="I890"/>
      <c r="J890"/>
      <c r="K890"/>
      <c r="L890" s="16">
        <f t="shared" si="44"/>
        <v>0</v>
      </c>
      <c r="M890" s="16" t="str">
        <f t="shared" ref="M890:M914" si="46">LEFT(E890,1)</f>
        <v/>
      </c>
      <c r="N890" s="17">
        <f t="shared" si="45"/>
        <v>0</v>
      </c>
    </row>
    <row r="891" spans="1:14" x14ac:dyDescent="0.2">
      <c r="A891" s="19">
        <f>IF(ISERROR(VLOOKUP(B891,Catalogo!$A$2:$C$410,2,0)),0,(VLOOKUP(B891,Catalogo!$A$2:$C$410,2,0)))</f>
        <v>0</v>
      </c>
      <c r="B891"/>
      <c r="C891"/>
      <c r="D891"/>
      <c r="E891"/>
      <c r="F891"/>
      <c r="G891"/>
      <c r="H891"/>
      <c r="I891"/>
      <c r="J891"/>
      <c r="K891"/>
      <c r="L891" s="16">
        <f t="shared" si="44"/>
        <v>0</v>
      </c>
      <c r="M891" s="16" t="str">
        <f t="shared" si="46"/>
        <v/>
      </c>
      <c r="N891" s="17">
        <f t="shared" si="45"/>
        <v>0</v>
      </c>
    </row>
    <row r="892" spans="1:14" x14ac:dyDescent="0.2">
      <c r="A892" s="19">
        <f>IF(ISERROR(VLOOKUP(B892,Catalogo!$A$2:$C$410,2,0)),0,(VLOOKUP(B892,Catalogo!$A$2:$C$410,2,0)))</f>
        <v>0</v>
      </c>
      <c r="B892"/>
      <c r="C892"/>
      <c r="D892"/>
      <c r="E892"/>
      <c r="F892"/>
      <c r="G892"/>
      <c r="H892"/>
      <c r="I892"/>
      <c r="J892"/>
      <c r="K892"/>
      <c r="L892" s="16">
        <f t="shared" si="44"/>
        <v>0</v>
      </c>
      <c r="M892" s="16" t="str">
        <f t="shared" si="46"/>
        <v/>
      </c>
      <c r="N892" s="17">
        <f t="shared" si="45"/>
        <v>0</v>
      </c>
    </row>
    <row r="893" spans="1:14" x14ac:dyDescent="0.2">
      <c r="A893" s="19">
        <f>IF(ISERROR(VLOOKUP(B893,Catalogo!$A$2:$C$410,2,0)),0,(VLOOKUP(B893,Catalogo!$A$2:$C$410,2,0)))</f>
        <v>0</v>
      </c>
      <c r="B893"/>
      <c r="C893"/>
      <c r="D893"/>
      <c r="E893"/>
      <c r="F893"/>
      <c r="G893"/>
      <c r="H893"/>
      <c r="I893"/>
      <c r="J893"/>
      <c r="K893"/>
      <c r="L893" s="16">
        <f t="shared" si="44"/>
        <v>0</v>
      </c>
      <c r="M893" s="16" t="str">
        <f t="shared" si="46"/>
        <v/>
      </c>
      <c r="N893" s="17">
        <f t="shared" si="45"/>
        <v>0</v>
      </c>
    </row>
    <row r="894" spans="1:14" x14ac:dyDescent="0.2">
      <c r="A894" s="19">
        <f>IF(ISERROR(VLOOKUP(B894,Catalogo!$A$2:$C$410,2,0)),0,(VLOOKUP(B894,Catalogo!$A$2:$C$410,2,0)))</f>
        <v>0</v>
      </c>
      <c r="B894"/>
      <c r="C894"/>
      <c r="D894"/>
      <c r="E894"/>
      <c r="F894"/>
      <c r="G894"/>
      <c r="H894"/>
      <c r="I894"/>
      <c r="J894"/>
      <c r="K894"/>
      <c r="L894" s="16">
        <f t="shared" si="44"/>
        <v>0</v>
      </c>
      <c r="M894" s="16" t="str">
        <f t="shared" si="46"/>
        <v/>
      </c>
      <c r="N894" s="17">
        <f t="shared" si="45"/>
        <v>0</v>
      </c>
    </row>
    <row r="895" spans="1:14" x14ac:dyDescent="0.2">
      <c r="A895" s="19">
        <f>IF(ISERROR(VLOOKUP(B895,Catalogo!$A$2:$C$410,2,0)),0,(VLOOKUP(B895,Catalogo!$A$2:$C$410,2,0)))</f>
        <v>0</v>
      </c>
      <c r="B895"/>
      <c r="C895"/>
      <c r="D895"/>
      <c r="E895"/>
      <c r="F895"/>
      <c r="G895"/>
      <c r="H895"/>
      <c r="I895"/>
      <c r="J895"/>
      <c r="K895"/>
      <c r="L895" s="16">
        <f t="shared" si="44"/>
        <v>0</v>
      </c>
      <c r="M895" s="16" t="str">
        <f t="shared" si="46"/>
        <v/>
      </c>
      <c r="N895" s="17">
        <f t="shared" si="45"/>
        <v>0</v>
      </c>
    </row>
    <row r="896" spans="1:14" x14ac:dyDescent="0.2">
      <c r="A896" s="19">
        <f>IF(ISERROR(VLOOKUP(B896,Catalogo!$A$2:$C$410,2,0)),0,(VLOOKUP(B896,Catalogo!$A$2:$C$410,2,0)))</f>
        <v>0</v>
      </c>
      <c r="B896"/>
      <c r="C896"/>
      <c r="D896"/>
      <c r="E896"/>
      <c r="F896"/>
      <c r="G896"/>
      <c r="H896"/>
      <c r="I896"/>
      <c r="J896"/>
      <c r="K896"/>
      <c r="L896" s="16">
        <f t="shared" si="44"/>
        <v>0</v>
      </c>
      <c r="M896" s="16" t="str">
        <f t="shared" si="46"/>
        <v/>
      </c>
      <c r="N896" s="17">
        <f t="shared" si="45"/>
        <v>0</v>
      </c>
    </row>
    <row r="897" spans="1:14" x14ac:dyDescent="0.2">
      <c r="A897" s="19">
        <f>IF(ISERROR(VLOOKUP(B897,Catalogo!$A$2:$C$410,2,0)),0,(VLOOKUP(B897,Catalogo!$A$2:$C$410,2,0)))</f>
        <v>0</v>
      </c>
      <c r="B897"/>
      <c r="C897"/>
      <c r="D897"/>
      <c r="E897"/>
      <c r="F897"/>
      <c r="G897"/>
      <c r="H897"/>
      <c r="I897"/>
      <c r="J897"/>
      <c r="K897"/>
      <c r="L897" s="16">
        <f t="shared" si="44"/>
        <v>0</v>
      </c>
      <c r="M897" s="16" t="str">
        <f t="shared" si="46"/>
        <v/>
      </c>
      <c r="N897" s="17">
        <f t="shared" si="45"/>
        <v>0</v>
      </c>
    </row>
    <row r="898" spans="1:14" x14ac:dyDescent="0.2">
      <c r="A898" s="19">
        <f>IF(ISERROR(VLOOKUP(B898,Catalogo!$A$2:$C$410,2,0)),0,(VLOOKUP(B898,Catalogo!$A$2:$C$410,2,0)))</f>
        <v>0</v>
      </c>
      <c r="B898"/>
      <c r="C898"/>
      <c r="D898"/>
      <c r="E898"/>
      <c r="F898"/>
      <c r="G898"/>
      <c r="H898"/>
      <c r="I898"/>
      <c r="J898"/>
      <c r="K898"/>
      <c r="L898" s="16">
        <f t="shared" ref="L898:L961" si="47">IF(A898="Record Keeping",B898,0)</f>
        <v>0</v>
      </c>
      <c r="M898" s="16" t="str">
        <f t="shared" si="46"/>
        <v/>
      </c>
      <c r="N898" s="17">
        <f t="shared" ref="N898:N961" si="48">IF(G898="CAN",F898*0,IF(M898="R",F898*-1,F898*1)*AND(A898="Record Keeping"))</f>
        <v>0</v>
      </c>
    </row>
    <row r="899" spans="1:14" x14ac:dyDescent="0.2">
      <c r="A899" s="19">
        <f>IF(ISERROR(VLOOKUP(B899,Catalogo!$A$2:$C$410,2,0)),0,(VLOOKUP(B899,Catalogo!$A$2:$C$410,2,0)))</f>
        <v>0</v>
      </c>
      <c r="B899"/>
      <c r="C899"/>
      <c r="D899"/>
      <c r="E899"/>
      <c r="F899"/>
      <c r="G899"/>
      <c r="H899"/>
      <c r="I899"/>
      <c r="J899"/>
      <c r="K899"/>
      <c r="L899" s="16">
        <f t="shared" si="47"/>
        <v>0</v>
      </c>
      <c r="M899" s="16" t="str">
        <f t="shared" si="46"/>
        <v/>
      </c>
      <c r="N899" s="17">
        <f t="shared" si="48"/>
        <v>0</v>
      </c>
    </row>
    <row r="900" spans="1:14" x14ac:dyDescent="0.2">
      <c r="A900" s="19">
        <f>IF(ISERROR(VLOOKUP(B900,Catalogo!$A$2:$C$410,2,0)),0,(VLOOKUP(B900,Catalogo!$A$2:$C$410,2,0)))</f>
        <v>0</v>
      </c>
      <c r="B900"/>
      <c r="C900"/>
      <c r="D900"/>
      <c r="E900"/>
      <c r="F900"/>
      <c r="G900"/>
      <c r="H900"/>
      <c r="I900"/>
      <c r="J900"/>
      <c r="K900"/>
      <c r="L900" s="16">
        <f t="shared" si="47"/>
        <v>0</v>
      </c>
      <c r="M900" s="16" t="str">
        <f t="shared" si="46"/>
        <v/>
      </c>
      <c r="N900" s="17">
        <f t="shared" si="48"/>
        <v>0</v>
      </c>
    </row>
    <row r="901" spans="1:14" x14ac:dyDescent="0.2">
      <c r="A901" s="19">
        <f>IF(ISERROR(VLOOKUP(B901,Catalogo!$A$2:$C$410,2,0)),0,(VLOOKUP(B901,Catalogo!$A$2:$C$410,2,0)))</f>
        <v>0</v>
      </c>
      <c r="B901"/>
      <c r="C901"/>
      <c r="D901"/>
      <c r="E901"/>
      <c r="F901"/>
      <c r="G901"/>
      <c r="H901"/>
      <c r="I901"/>
      <c r="J901"/>
      <c r="K901"/>
      <c r="L901" s="16">
        <f t="shared" si="47"/>
        <v>0</v>
      </c>
      <c r="M901" s="16" t="str">
        <f t="shared" si="46"/>
        <v/>
      </c>
      <c r="N901" s="17">
        <f t="shared" si="48"/>
        <v>0</v>
      </c>
    </row>
    <row r="902" spans="1:14" x14ac:dyDescent="0.2">
      <c r="A902" s="19">
        <f>IF(ISERROR(VLOOKUP(B902,Catalogo!$A$2:$C$410,2,0)),0,(VLOOKUP(B902,Catalogo!$A$2:$C$410,2,0)))</f>
        <v>0</v>
      </c>
      <c r="B902"/>
      <c r="C902"/>
      <c r="D902"/>
      <c r="E902"/>
      <c r="F902"/>
      <c r="G902"/>
      <c r="H902"/>
      <c r="I902"/>
      <c r="J902"/>
      <c r="K902"/>
      <c r="L902" s="16">
        <f t="shared" si="47"/>
        <v>0</v>
      </c>
      <c r="M902" s="16" t="str">
        <f t="shared" si="46"/>
        <v/>
      </c>
      <c r="N902" s="17">
        <f t="shared" si="48"/>
        <v>0</v>
      </c>
    </row>
    <row r="903" spans="1:14" x14ac:dyDescent="0.2">
      <c r="A903" s="19">
        <f>IF(ISERROR(VLOOKUP(B903,Catalogo!$A$2:$C$410,2,0)),0,(VLOOKUP(B903,Catalogo!$A$2:$C$410,2,0)))</f>
        <v>0</v>
      </c>
      <c r="B903"/>
      <c r="C903"/>
      <c r="D903"/>
      <c r="E903"/>
      <c r="F903"/>
      <c r="G903"/>
      <c r="H903"/>
      <c r="I903"/>
      <c r="J903"/>
      <c r="K903"/>
      <c r="L903" s="16">
        <f t="shared" si="47"/>
        <v>0</v>
      </c>
      <c r="M903" s="16" t="str">
        <f t="shared" si="46"/>
        <v/>
      </c>
      <c r="N903" s="17">
        <f t="shared" si="48"/>
        <v>0</v>
      </c>
    </row>
    <row r="904" spans="1:14" x14ac:dyDescent="0.2">
      <c r="A904" s="19">
        <f>IF(ISERROR(VLOOKUP(B904,Catalogo!$A$2:$C$410,2,0)),0,(VLOOKUP(B904,Catalogo!$A$2:$C$410,2,0)))</f>
        <v>0</v>
      </c>
      <c r="B904"/>
      <c r="C904"/>
      <c r="D904"/>
      <c r="E904"/>
      <c r="F904"/>
      <c r="G904"/>
      <c r="H904"/>
      <c r="I904"/>
      <c r="J904"/>
      <c r="K904"/>
      <c r="L904" s="16">
        <f t="shared" si="47"/>
        <v>0</v>
      </c>
      <c r="M904" s="16" t="str">
        <f t="shared" si="46"/>
        <v/>
      </c>
      <c r="N904" s="17">
        <f t="shared" si="48"/>
        <v>0</v>
      </c>
    </row>
    <row r="905" spans="1:14" x14ac:dyDescent="0.2">
      <c r="A905" s="19">
        <f>IF(ISERROR(VLOOKUP(B905,Catalogo!$A$2:$C$410,2,0)),0,(VLOOKUP(B905,Catalogo!$A$2:$C$410,2,0)))</f>
        <v>0</v>
      </c>
      <c r="B905"/>
      <c r="C905"/>
      <c r="D905"/>
      <c r="E905"/>
      <c r="F905"/>
      <c r="G905"/>
      <c r="H905"/>
      <c r="I905"/>
      <c r="J905"/>
      <c r="K905"/>
      <c r="L905" s="16">
        <f t="shared" si="47"/>
        <v>0</v>
      </c>
      <c r="M905" s="16" t="str">
        <f t="shared" si="46"/>
        <v/>
      </c>
      <c r="N905" s="17">
        <f t="shared" si="48"/>
        <v>0</v>
      </c>
    </row>
    <row r="906" spans="1:14" x14ac:dyDescent="0.2">
      <c r="A906" s="19">
        <f>IF(ISERROR(VLOOKUP(B906,Catalogo!$A$2:$C$410,2,0)),0,(VLOOKUP(B906,Catalogo!$A$2:$C$410,2,0)))</f>
        <v>0</v>
      </c>
      <c r="B906"/>
      <c r="C906"/>
      <c r="D906"/>
      <c r="E906"/>
      <c r="F906"/>
      <c r="G906"/>
      <c r="H906"/>
      <c r="I906"/>
      <c r="J906"/>
      <c r="K906"/>
      <c r="L906" s="16">
        <f t="shared" si="47"/>
        <v>0</v>
      </c>
      <c r="M906" s="16" t="str">
        <f t="shared" si="46"/>
        <v/>
      </c>
      <c r="N906" s="17">
        <f t="shared" si="48"/>
        <v>0</v>
      </c>
    </row>
    <row r="907" spans="1:14" x14ac:dyDescent="0.2">
      <c r="A907" s="19">
        <f>IF(ISERROR(VLOOKUP(B907,Catalogo!$A$2:$C$410,2,0)),0,(VLOOKUP(B907,Catalogo!$A$2:$C$410,2,0)))</f>
        <v>0</v>
      </c>
      <c r="B907"/>
      <c r="C907"/>
      <c r="D907"/>
      <c r="E907"/>
      <c r="F907"/>
      <c r="G907"/>
      <c r="H907"/>
      <c r="I907"/>
      <c r="J907"/>
      <c r="K907"/>
      <c r="L907" s="16">
        <f t="shared" si="47"/>
        <v>0</v>
      </c>
      <c r="M907" s="16" t="str">
        <f t="shared" si="46"/>
        <v/>
      </c>
      <c r="N907" s="17">
        <f t="shared" si="48"/>
        <v>0</v>
      </c>
    </row>
    <row r="908" spans="1:14" x14ac:dyDescent="0.2">
      <c r="A908" s="19">
        <f>IF(ISERROR(VLOOKUP(B908,Catalogo!$A$2:$C$410,2,0)),0,(VLOOKUP(B908,Catalogo!$A$2:$C$410,2,0)))</f>
        <v>0</v>
      </c>
      <c r="B908"/>
      <c r="C908"/>
      <c r="D908"/>
      <c r="E908"/>
      <c r="F908"/>
      <c r="G908"/>
      <c r="H908"/>
      <c r="I908"/>
      <c r="J908"/>
      <c r="K908"/>
      <c r="L908" s="16">
        <f t="shared" si="47"/>
        <v>0</v>
      </c>
      <c r="M908" s="16" t="str">
        <f t="shared" si="46"/>
        <v/>
      </c>
      <c r="N908" s="17">
        <f t="shared" si="48"/>
        <v>0</v>
      </c>
    </row>
    <row r="909" spans="1:14" x14ac:dyDescent="0.2">
      <c r="A909" s="19">
        <f>IF(ISERROR(VLOOKUP(B909,Catalogo!$A$2:$C$410,2,0)),0,(VLOOKUP(B909,Catalogo!$A$2:$C$410,2,0)))</f>
        <v>0</v>
      </c>
      <c r="B909"/>
      <c r="C909"/>
      <c r="D909"/>
      <c r="E909"/>
      <c r="F909"/>
      <c r="G909"/>
      <c r="H909"/>
      <c r="I909"/>
      <c r="J909"/>
      <c r="K909"/>
      <c r="L909" s="16">
        <f t="shared" si="47"/>
        <v>0</v>
      </c>
      <c r="M909" s="16" t="str">
        <f t="shared" si="46"/>
        <v/>
      </c>
      <c r="N909" s="17">
        <f t="shared" si="48"/>
        <v>0</v>
      </c>
    </row>
    <row r="910" spans="1:14" x14ac:dyDescent="0.2">
      <c r="A910" s="19">
        <f>IF(ISERROR(VLOOKUP(B910,Catalogo!$A$2:$C$410,2,0)),0,(VLOOKUP(B910,Catalogo!$A$2:$C$410,2,0)))</f>
        <v>0</v>
      </c>
      <c r="B910"/>
      <c r="C910"/>
      <c r="D910"/>
      <c r="E910"/>
      <c r="F910"/>
      <c r="G910"/>
      <c r="H910"/>
      <c r="I910"/>
      <c r="J910"/>
      <c r="K910"/>
      <c r="L910" s="16">
        <f t="shared" si="47"/>
        <v>0</v>
      </c>
      <c r="M910" s="16" t="str">
        <f t="shared" si="46"/>
        <v/>
      </c>
      <c r="N910" s="17">
        <f t="shared" si="48"/>
        <v>0</v>
      </c>
    </row>
    <row r="911" spans="1:14" x14ac:dyDescent="0.2">
      <c r="A911" s="19">
        <f>IF(ISERROR(VLOOKUP(B911,Catalogo!$A$2:$C$410,2,0)),0,(VLOOKUP(B911,Catalogo!$A$2:$C$410,2,0)))</f>
        <v>0</v>
      </c>
      <c r="B911"/>
      <c r="C911"/>
      <c r="D911"/>
      <c r="E911"/>
      <c r="F911"/>
      <c r="G911"/>
      <c r="H911"/>
      <c r="I911"/>
      <c r="J911"/>
      <c r="K911"/>
      <c r="L911" s="16">
        <f t="shared" si="47"/>
        <v>0</v>
      </c>
      <c r="M911" s="16" t="str">
        <f t="shared" si="46"/>
        <v/>
      </c>
      <c r="N911" s="17">
        <f t="shared" si="48"/>
        <v>0</v>
      </c>
    </row>
    <row r="912" spans="1:14" x14ac:dyDescent="0.2">
      <c r="A912" s="19">
        <f>IF(ISERROR(VLOOKUP(B912,Catalogo!$A$2:$C$410,2,0)),0,(VLOOKUP(B912,Catalogo!$A$2:$C$410,2,0)))</f>
        <v>0</v>
      </c>
      <c r="B912"/>
      <c r="C912"/>
      <c r="D912"/>
      <c r="E912"/>
      <c r="F912"/>
      <c r="G912"/>
      <c r="H912"/>
      <c r="I912"/>
      <c r="J912"/>
      <c r="K912"/>
      <c r="L912" s="16">
        <f t="shared" si="47"/>
        <v>0</v>
      </c>
      <c r="M912" s="16" t="str">
        <f t="shared" si="46"/>
        <v/>
      </c>
      <c r="N912" s="17">
        <f t="shared" si="48"/>
        <v>0</v>
      </c>
    </row>
    <row r="913" spans="1:14" x14ac:dyDescent="0.2">
      <c r="A913" s="19">
        <f>IF(ISERROR(VLOOKUP(B913,Catalogo!$A$2:$C$410,2,0)),0,(VLOOKUP(B913,Catalogo!$A$2:$C$410,2,0)))</f>
        <v>0</v>
      </c>
      <c r="B913"/>
      <c r="C913"/>
      <c r="D913"/>
      <c r="E913"/>
      <c r="F913"/>
      <c r="G913"/>
      <c r="H913"/>
      <c r="I913"/>
      <c r="J913"/>
      <c r="K913"/>
      <c r="L913" s="16">
        <f t="shared" si="47"/>
        <v>0</v>
      </c>
      <c r="M913" s="16" t="str">
        <f t="shared" si="46"/>
        <v/>
      </c>
      <c r="N913" s="17">
        <f t="shared" si="48"/>
        <v>0</v>
      </c>
    </row>
    <row r="914" spans="1:14" x14ac:dyDescent="0.2">
      <c r="A914" s="19">
        <f>IF(ISERROR(VLOOKUP(B914,Catalogo!$A$2:$C$410,2,0)),0,(VLOOKUP(B914,Catalogo!$A$2:$C$410,2,0)))</f>
        <v>0</v>
      </c>
      <c r="B914"/>
      <c r="C914"/>
      <c r="D914"/>
      <c r="E914"/>
      <c r="F914"/>
      <c r="G914"/>
      <c r="H914"/>
      <c r="I914"/>
      <c r="J914"/>
      <c r="K914"/>
      <c r="L914" s="16">
        <f t="shared" si="47"/>
        <v>0</v>
      </c>
      <c r="M914" s="16" t="str">
        <f t="shared" si="46"/>
        <v/>
      </c>
      <c r="N914" s="17">
        <f t="shared" si="48"/>
        <v>0</v>
      </c>
    </row>
    <row r="915" spans="1:14" x14ac:dyDescent="0.2">
      <c r="A915" s="19">
        <f>IF(ISERROR(VLOOKUP(B915,Catalogo!$A$2:$C$410,2,0)),0,(VLOOKUP(B915,Catalogo!$A$2:$C$410,2,0)))</f>
        <v>0</v>
      </c>
      <c r="B915"/>
      <c r="C915"/>
      <c r="D915"/>
      <c r="E915"/>
      <c r="F915"/>
      <c r="G915"/>
      <c r="H915"/>
      <c r="I915"/>
      <c r="J915"/>
      <c r="K915"/>
      <c r="L915" s="16">
        <f t="shared" si="47"/>
        <v>0</v>
      </c>
      <c r="M915" s="16" t="str">
        <f t="shared" ref="M915:M939" si="49">LEFT(E915,1)</f>
        <v/>
      </c>
      <c r="N915" s="17">
        <f t="shared" si="48"/>
        <v>0</v>
      </c>
    </row>
    <row r="916" spans="1:14" x14ac:dyDescent="0.2">
      <c r="A916" s="19">
        <f>IF(ISERROR(VLOOKUP(B916,Catalogo!$A$2:$C$410,2,0)),0,(VLOOKUP(B916,Catalogo!$A$2:$C$410,2,0)))</f>
        <v>0</v>
      </c>
      <c r="B916"/>
      <c r="C916"/>
      <c r="D916"/>
      <c r="E916"/>
      <c r="F916"/>
      <c r="G916"/>
      <c r="H916"/>
      <c r="I916"/>
      <c r="J916"/>
      <c r="K916"/>
      <c r="L916" s="16">
        <f t="shared" si="47"/>
        <v>0</v>
      </c>
      <c r="M916" s="16" t="str">
        <f t="shared" si="49"/>
        <v/>
      </c>
      <c r="N916" s="17">
        <f t="shared" si="48"/>
        <v>0</v>
      </c>
    </row>
    <row r="917" spans="1:14" x14ac:dyDescent="0.2">
      <c r="A917" s="19">
        <f>IF(ISERROR(VLOOKUP(B917,Catalogo!$A$2:$C$410,2,0)),0,(VLOOKUP(B917,Catalogo!$A$2:$C$410,2,0)))</f>
        <v>0</v>
      </c>
      <c r="B917"/>
      <c r="C917"/>
      <c r="D917"/>
      <c r="E917"/>
      <c r="F917"/>
      <c r="G917"/>
      <c r="H917"/>
      <c r="I917"/>
      <c r="J917"/>
      <c r="K917"/>
      <c r="L917" s="16">
        <f t="shared" si="47"/>
        <v>0</v>
      </c>
      <c r="M917" s="16" t="str">
        <f t="shared" si="49"/>
        <v/>
      </c>
      <c r="N917" s="17">
        <f t="shared" si="48"/>
        <v>0</v>
      </c>
    </row>
    <row r="918" spans="1:14" x14ac:dyDescent="0.2">
      <c r="A918" s="19">
        <f>IF(ISERROR(VLOOKUP(B918,Catalogo!$A$2:$C$410,2,0)),0,(VLOOKUP(B918,Catalogo!$A$2:$C$410,2,0)))</f>
        <v>0</v>
      </c>
      <c r="B918"/>
      <c r="C918"/>
      <c r="D918"/>
      <c r="E918"/>
      <c r="F918"/>
      <c r="G918"/>
      <c r="H918"/>
      <c r="I918"/>
      <c r="J918"/>
      <c r="K918"/>
      <c r="L918" s="16">
        <f t="shared" si="47"/>
        <v>0</v>
      </c>
      <c r="M918" s="16" t="str">
        <f t="shared" si="49"/>
        <v/>
      </c>
      <c r="N918" s="17">
        <f t="shared" si="48"/>
        <v>0</v>
      </c>
    </row>
    <row r="919" spans="1:14" x14ac:dyDescent="0.2">
      <c r="A919" s="19">
        <f>IF(ISERROR(VLOOKUP(B919,Catalogo!$A$2:$C$410,2,0)),0,(VLOOKUP(B919,Catalogo!$A$2:$C$410,2,0)))</f>
        <v>0</v>
      </c>
      <c r="B919"/>
      <c r="C919"/>
      <c r="D919"/>
      <c r="E919"/>
      <c r="F919"/>
      <c r="G919"/>
      <c r="H919"/>
      <c r="I919"/>
      <c r="J919"/>
      <c r="K919"/>
      <c r="L919" s="16">
        <f t="shared" si="47"/>
        <v>0</v>
      </c>
      <c r="M919" s="16" t="str">
        <f t="shared" si="49"/>
        <v/>
      </c>
      <c r="N919" s="17">
        <f t="shared" si="48"/>
        <v>0</v>
      </c>
    </row>
    <row r="920" spans="1:14" x14ac:dyDescent="0.2">
      <c r="A920" s="19">
        <f>IF(ISERROR(VLOOKUP(B920,Catalogo!$A$2:$C$410,2,0)),0,(VLOOKUP(B920,Catalogo!$A$2:$C$410,2,0)))</f>
        <v>0</v>
      </c>
      <c r="B920"/>
      <c r="C920"/>
      <c r="D920"/>
      <c r="E920"/>
      <c r="F920"/>
      <c r="G920"/>
      <c r="H920"/>
      <c r="I920"/>
      <c r="J920"/>
      <c r="K920"/>
      <c r="L920" s="16">
        <f t="shared" si="47"/>
        <v>0</v>
      </c>
      <c r="M920" s="16" t="str">
        <f t="shared" si="49"/>
        <v/>
      </c>
      <c r="N920" s="17">
        <f t="shared" si="48"/>
        <v>0</v>
      </c>
    </row>
    <row r="921" spans="1:14" x14ac:dyDescent="0.2">
      <c r="A921" s="19">
        <f>IF(ISERROR(VLOOKUP(B921,Catalogo!$A$2:$C$410,2,0)),0,(VLOOKUP(B921,Catalogo!$A$2:$C$410,2,0)))</f>
        <v>0</v>
      </c>
      <c r="B921"/>
      <c r="C921"/>
      <c r="D921"/>
      <c r="E921"/>
      <c r="F921"/>
      <c r="G921"/>
      <c r="H921"/>
      <c r="I921"/>
      <c r="J921"/>
      <c r="K921"/>
      <c r="L921" s="16">
        <f t="shared" si="47"/>
        <v>0</v>
      </c>
      <c r="M921" s="16" t="str">
        <f t="shared" si="49"/>
        <v/>
      </c>
      <c r="N921" s="17">
        <f t="shared" si="48"/>
        <v>0</v>
      </c>
    </row>
    <row r="922" spans="1:14" x14ac:dyDescent="0.2">
      <c r="A922" s="19">
        <f>IF(ISERROR(VLOOKUP(B922,Catalogo!$A$2:$C$410,2,0)),0,(VLOOKUP(B922,Catalogo!$A$2:$C$410,2,0)))</f>
        <v>0</v>
      </c>
      <c r="B922"/>
      <c r="C922"/>
      <c r="D922"/>
      <c r="E922"/>
      <c r="F922"/>
      <c r="G922"/>
      <c r="H922"/>
      <c r="I922"/>
      <c r="J922"/>
      <c r="K922"/>
      <c r="L922" s="16">
        <f t="shared" si="47"/>
        <v>0</v>
      </c>
      <c r="M922" s="16" t="str">
        <f t="shared" si="49"/>
        <v/>
      </c>
      <c r="N922" s="17">
        <f t="shared" si="48"/>
        <v>0</v>
      </c>
    </row>
    <row r="923" spans="1:14" x14ac:dyDescent="0.2">
      <c r="A923" s="19">
        <f>IF(ISERROR(VLOOKUP(B923,Catalogo!$A$2:$C$410,2,0)),0,(VLOOKUP(B923,Catalogo!$A$2:$C$410,2,0)))</f>
        <v>0</v>
      </c>
      <c r="B923"/>
      <c r="C923"/>
      <c r="D923"/>
      <c r="E923"/>
      <c r="F923"/>
      <c r="G923"/>
      <c r="H923"/>
      <c r="I923"/>
      <c r="J923"/>
      <c r="K923"/>
      <c r="L923" s="16">
        <f t="shared" si="47"/>
        <v>0</v>
      </c>
      <c r="M923" s="16" t="str">
        <f t="shared" si="49"/>
        <v/>
      </c>
      <c r="N923" s="17">
        <f t="shared" si="48"/>
        <v>0</v>
      </c>
    </row>
    <row r="924" spans="1:14" x14ac:dyDescent="0.2">
      <c r="A924" s="19">
        <f>IF(ISERROR(VLOOKUP(B924,Catalogo!$A$2:$C$410,2,0)),0,(VLOOKUP(B924,Catalogo!$A$2:$C$410,2,0)))</f>
        <v>0</v>
      </c>
      <c r="B924"/>
      <c r="C924"/>
      <c r="D924"/>
      <c r="E924"/>
      <c r="F924"/>
      <c r="G924"/>
      <c r="H924"/>
      <c r="I924"/>
      <c r="J924"/>
      <c r="K924"/>
      <c r="L924" s="16">
        <f t="shared" si="47"/>
        <v>0</v>
      </c>
      <c r="M924" s="16" t="str">
        <f t="shared" si="49"/>
        <v/>
      </c>
      <c r="N924" s="17">
        <f t="shared" si="48"/>
        <v>0</v>
      </c>
    </row>
    <row r="925" spans="1:14" x14ac:dyDescent="0.2">
      <c r="A925" s="19">
        <f>IF(ISERROR(VLOOKUP(B925,Catalogo!$A$2:$C$410,2,0)),0,(VLOOKUP(B925,Catalogo!$A$2:$C$410,2,0)))</f>
        <v>0</v>
      </c>
      <c r="B925"/>
      <c r="C925"/>
      <c r="D925"/>
      <c r="E925"/>
      <c r="F925"/>
      <c r="G925"/>
      <c r="H925"/>
      <c r="I925"/>
      <c r="J925"/>
      <c r="K925"/>
      <c r="L925" s="16">
        <f t="shared" si="47"/>
        <v>0</v>
      </c>
      <c r="M925" s="16" t="str">
        <f t="shared" si="49"/>
        <v/>
      </c>
      <c r="N925" s="17">
        <f t="shared" si="48"/>
        <v>0</v>
      </c>
    </row>
    <row r="926" spans="1:14" x14ac:dyDescent="0.2">
      <c r="A926" s="19">
        <f>IF(ISERROR(VLOOKUP(B926,Catalogo!$A$2:$C$410,2,0)),0,(VLOOKUP(B926,Catalogo!$A$2:$C$410,2,0)))</f>
        <v>0</v>
      </c>
      <c r="B926"/>
      <c r="C926"/>
      <c r="D926"/>
      <c r="E926"/>
      <c r="F926"/>
      <c r="G926"/>
      <c r="H926"/>
      <c r="I926"/>
      <c r="J926"/>
      <c r="K926"/>
      <c r="L926" s="16">
        <f t="shared" si="47"/>
        <v>0</v>
      </c>
      <c r="M926" s="16" t="str">
        <f t="shared" si="49"/>
        <v/>
      </c>
      <c r="N926" s="17">
        <f t="shared" si="48"/>
        <v>0</v>
      </c>
    </row>
    <row r="927" spans="1:14" x14ac:dyDescent="0.2">
      <c r="A927" s="19">
        <f>IF(ISERROR(VLOOKUP(B927,Catalogo!$A$2:$C$410,2,0)),0,(VLOOKUP(B927,Catalogo!$A$2:$C$410,2,0)))</f>
        <v>0</v>
      </c>
      <c r="B927"/>
      <c r="C927"/>
      <c r="D927"/>
      <c r="E927"/>
      <c r="F927"/>
      <c r="G927"/>
      <c r="H927"/>
      <c r="I927"/>
      <c r="J927"/>
      <c r="K927"/>
      <c r="L927" s="16">
        <f t="shared" si="47"/>
        <v>0</v>
      </c>
      <c r="M927" s="16" t="str">
        <f t="shared" si="49"/>
        <v/>
      </c>
      <c r="N927" s="17">
        <f t="shared" si="48"/>
        <v>0</v>
      </c>
    </row>
    <row r="928" spans="1:14" x14ac:dyDescent="0.2">
      <c r="A928" s="19">
        <f>IF(ISERROR(VLOOKUP(B928,Catalogo!$A$2:$C$410,2,0)),0,(VLOOKUP(B928,Catalogo!$A$2:$C$410,2,0)))</f>
        <v>0</v>
      </c>
      <c r="B928"/>
      <c r="C928"/>
      <c r="D928"/>
      <c r="E928"/>
      <c r="F928"/>
      <c r="G928"/>
      <c r="H928"/>
      <c r="I928"/>
      <c r="J928"/>
      <c r="K928"/>
      <c r="L928" s="16">
        <f t="shared" si="47"/>
        <v>0</v>
      </c>
      <c r="M928" s="16" t="str">
        <f t="shared" si="49"/>
        <v/>
      </c>
      <c r="N928" s="17">
        <f t="shared" si="48"/>
        <v>0</v>
      </c>
    </row>
    <row r="929" spans="1:14" x14ac:dyDescent="0.2">
      <c r="A929" s="19">
        <f>IF(ISERROR(VLOOKUP(B929,Catalogo!$A$2:$C$410,2,0)),0,(VLOOKUP(B929,Catalogo!$A$2:$C$410,2,0)))</f>
        <v>0</v>
      </c>
      <c r="B929"/>
      <c r="C929"/>
      <c r="D929"/>
      <c r="E929"/>
      <c r="F929"/>
      <c r="G929"/>
      <c r="H929"/>
      <c r="I929"/>
      <c r="J929"/>
      <c r="K929"/>
      <c r="L929" s="16">
        <f t="shared" si="47"/>
        <v>0</v>
      </c>
      <c r="M929" s="16" t="str">
        <f t="shared" si="49"/>
        <v/>
      </c>
      <c r="N929" s="17">
        <f t="shared" si="48"/>
        <v>0</v>
      </c>
    </row>
    <row r="930" spans="1:14" x14ac:dyDescent="0.2">
      <c r="A930" s="19">
        <f>IF(ISERROR(VLOOKUP(B930,Catalogo!$A$2:$C$410,2,0)),0,(VLOOKUP(B930,Catalogo!$A$2:$C$410,2,0)))</f>
        <v>0</v>
      </c>
      <c r="B930"/>
      <c r="C930"/>
      <c r="D930"/>
      <c r="E930"/>
      <c r="F930"/>
      <c r="G930"/>
      <c r="H930"/>
      <c r="I930"/>
      <c r="J930"/>
      <c r="K930"/>
      <c r="L930" s="16">
        <f t="shared" si="47"/>
        <v>0</v>
      </c>
      <c r="M930" s="16" t="str">
        <f t="shared" si="49"/>
        <v/>
      </c>
      <c r="N930" s="17">
        <f t="shared" si="48"/>
        <v>0</v>
      </c>
    </row>
    <row r="931" spans="1:14" x14ac:dyDescent="0.2">
      <c r="A931" s="19">
        <f>IF(ISERROR(VLOOKUP(B931,Catalogo!$A$2:$C$410,2,0)),0,(VLOOKUP(B931,Catalogo!$A$2:$C$410,2,0)))</f>
        <v>0</v>
      </c>
      <c r="B931"/>
      <c r="C931"/>
      <c r="D931"/>
      <c r="E931"/>
      <c r="F931"/>
      <c r="G931"/>
      <c r="H931"/>
      <c r="I931"/>
      <c r="J931"/>
      <c r="K931"/>
      <c r="L931" s="16">
        <f t="shared" si="47"/>
        <v>0</v>
      </c>
      <c r="M931" s="16" t="str">
        <f t="shared" si="49"/>
        <v/>
      </c>
      <c r="N931" s="17">
        <f t="shared" si="48"/>
        <v>0</v>
      </c>
    </row>
    <row r="932" spans="1:14" x14ac:dyDescent="0.2">
      <c r="A932" s="19">
        <f>IF(ISERROR(VLOOKUP(B932,Catalogo!$A$2:$C$410,2,0)),0,(VLOOKUP(B932,Catalogo!$A$2:$C$410,2,0)))</f>
        <v>0</v>
      </c>
      <c r="B932"/>
      <c r="C932"/>
      <c r="D932"/>
      <c r="E932"/>
      <c r="F932"/>
      <c r="G932"/>
      <c r="H932"/>
      <c r="I932"/>
      <c r="J932"/>
      <c r="K932"/>
      <c r="L932" s="16">
        <f t="shared" si="47"/>
        <v>0</v>
      </c>
      <c r="M932" s="16" t="str">
        <f t="shared" si="49"/>
        <v/>
      </c>
      <c r="N932" s="17">
        <f t="shared" si="48"/>
        <v>0</v>
      </c>
    </row>
    <row r="933" spans="1:14" x14ac:dyDescent="0.2">
      <c r="A933" s="19">
        <f>IF(ISERROR(VLOOKUP(B933,Catalogo!$A$2:$C$410,2,0)),0,(VLOOKUP(B933,Catalogo!$A$2:$C$410,2,0)))</f>
        <v>0</v>
      </c>
      <c r="B933"/>
      <c r="C933"/>
      <c r="D933"/>
      <c r="E933"/>
      <c r="F933"/>
      <c r="G933"/>
      <c r="H933"/>
      <c r="I933"/>
      <c r="J933"/>
      <c r="K933"/>
      <c r="L933" s="16">
        <f t="shared" si="47"/>
        <v>0</v>
      </c>
      <c r="M933" s="16" t="str">
        <f t="shared" si="49"/>
        <v/>
      </c>
      <c r="N933" s="17">
        <f t="shared" si="48"/>
        <v>0</v>
      </c>
    </row>
    <row r="934" spans="1:14" x14ac:dyDescent="0.2">
      <c r="A934" s="19">
        <f>IF(ISERROR(VLOOKUP(B934,Catalogo!$A$2:$C$410,2,0)),0,(VLOOKUP(B934,Catalogo!$A$2:$C$410,2,0)))</f>
        <v>0</v>
      </c>
      <c r="B934"/>
      <c r="C934"/>
      <c r="D934"/>
      <c r="E934"/>
      <c r="F934"/>
      <c r="G934"/>
      <c r="H934"/>
      <c r="I934"/>
      <c r="J934"/>
      <c r="K934"/>
      <c r="L934" s="16">
        <f t="shared" si="47"/>
        <v>0</v>
      </c>
      <c r="M934" s="16" t="str">
        <f t="shared" si="49"/>
        <v/>
      </c>
      <c r="N934" s="17">
        <f t="shared" si="48"/>
        <v>0</v>
      </c>
    </row>
    <row r="935" spans="1:14" x14ac:dyDescent="0.2">
      <c r="A935" s="19">
        <f>IF(ISERROR(VLOOKUP(B935,Catalogo!$A$2:$C$410,2,0)),0,(VLOOKUP(B935,Catalogo!$A$2:$C$410,2,0)))</f>
        <v>0</v>
      </c>
      <c r="B935"/>
      <c r="C935"/>
      <c r="D935"/>
      <c r="E935"/>
      <c r="F935"/>
      <c r="G935"/>
      <c r="H935"/>
      <c r="I935"/>
      <c r="J935"/>
      <c r="K935"/>
      <c r="L935" s="16">
        <f t="shared" si="47"/>
        <v>0</v>
      </c>
      <c r="M935" s="16" t="str">
        <f t="shared" si="49"/>
        <v/>
      </c>
      <c r="N935" s="17">
        <f t="shared" si="48"/>
        <v>0</v>
      </c>
    </row>
    <row r="936" spans="1:14" x14ac:dyDescent="0.2">
      <c r="A936" s="19">
        <f>IF(ISERROR(VLOOKUP(B936,Catalogo!$A$2:$C$410,2,0)),0,(VLOOKUP(B936,Catalogo!$A$2:$C$410,2,0)))</f>
        <v>0</v>
      </c>
      <c r="B936"/>
      <c r="C936"/>
      <c r="D936"/>
      <c r="E936"/>
      <c r="F936"/>
      <c r="G936"/>
      <c r="H936"/>
      <c r="I936"/>
      <c r="J936"/>
      <c r="K936"/>
      <c r="L936" s="16">
        <f t="shared" si="47"/>
        <v>0</v>
      </c>
      <c r="M936" s="16" t="str">
        <f t="shared" si="49"/>
        <v/>
      </c>
      <c r="N936" s="17">
        <f t="shared" si="48"/>
        <v>0</v>
      </c>
    </row>
    <row r="937" spans="1:14" x14ac:dyDescent="0.2">
      <c r="A937" s="19">
        <f>IF(ISERROR(VLOOKUP(B937,Catalogo!$A$2:$C$410,2,0)),0,(VLOOKUP(B937,Catalogo!$A$2:$C$410,2,0)))</f>
        <v>0</v>
      </c>
      <c r="B937"/>
      <c r="C937"/>
      <c r="D937"/>
      <c r="E937"/>
      <c r="F937"/>
      <c r="G937"/>
      <c r="H937"/>
      <c r="I937"/>
      <c r="J937"/>
      <c r="K937"/>
      <c r="L937" s="16">
        <f t="shared" si="47"/>
        <v>0</v>
      </c>
      <c r="M937" s="16" t="str">
        <f t="shared" si="49"/>
        <v/>
      </c>
      <c r="N937" s="17">
        <f t="shared" si="48"/>
        <v>0</v>
      </c>
    </row>
    <row r="938" spans="1:14" x14ac:dyDescent="0.2">
      <c r="A938" s="19">
        <f>IF(ISERROR(VLOOKUP(B938,Catalogo!$A$2:$C$410,2,0)),0,(VLOOKUP(B938,Catalogo!$A$2:$C$410,2,0)))</f>
        <v>0</v>
      </c>
      <c r="B938"/>
      <c r="C938"/>
      <c r="D938"/>
      <c r="E938"/>
      <c r="F938"/>
      <c r="G938"/>
      <c r="H938"/>
      <c r="I938"/>
      <c r="J938"/>
      <c r="K938"/>
      <c r="L938" s="16">
        <f t="shared" si="47"/>
        <v>0</v>
      </c>
      <c r="M938" s="16" t="str">
        <f t="shared" si="49"/>
        <v/>
      </c>
      <c r="N938" s="17">
        <f t="shared" si="48"/>
        <v>0</v>
      </c>
    </row>
    <row r="939" spans="1:14" x14ac:dyDescent="0.2">
      <c r="A939" s="19">
        <f>IF(ISERROR(VLOOKUP(B939,Catalogo!$A$2:$C$410,2,0)),0,(VLOOKUP(B939,Catalogo!$A$2:$C$410,2,0)))</f>
        <v>0</v>
      </c>
      <c r="B939"/>
      <c r="C939"/>
      <c r="D939"/>
      <c r="E939"/>
      <c r="F939"/>
      <c r="G939"/>
      <c r="H939"/>
      <c r="I939"/>
      <c r="J939"/>
      <c r="K939"/>
      <c r="L939" s="16">
        <f t="shared" si="47"/>
        <v>0</v>
      </c>
      <c r="M939" s="16" t="str">
        <f t="shared" si="49"/>
        <v/>
      </c>
      <c r="N939" s="17">
        <f t="shared" si="48"/>
        <v>0</v>
      </c>
    </row>
    <row r="940" spans="1:14" x14ac:dyDescent="0.2">
      <c r="A940" s="19">
        <f>IF(ISERROR(VLOOKUP(B940,Catalogo!$A$2:$C$410,2,0)),0,(VLOOKUP(B940,Catalogo!$A$2:$C$410,2,0)))</f>
        <v>0</v>
      </c>
      <c r="B940"/>
      <c r="C940"/>
      <c r="D940"/>
      <c r="E940"/>
      <c r="F940"/>
      <c r="G940"/>
      <c r="H940"/>
      <c r="I940"/>
      <c r="J940"/>
      <c r="K940"/>
      <c r="L940" s="16">
        <f t="shared" si="47"/>
        <v>0</v>
      </c>
      <c r="M940" s="16" t="str">
        <f t="shared" ref="M940:M1003" si="50">LEFT(E940,1)</f>
        <v/>
      </c>
      <c r="N940" s="17">
        <f t="shared" si="48"/>
        <v>0</v>
      </c>
    </row>
    <row r="941" spans="1:14" x14ac:dyDescent="0.2">
      <c r="A941" s="19">
        <f>IF(ISERROR(VLOOKUP(B941,Catalogo!$A$2:$C$410,2,0)),0,(VLOOKUP(B941,Catalogo!$A$2:$C$410,2,0)))</f>
        <v>0</v>
      </c>
      <c r="B941"/>
      <c r="C941"/>
      <c r="D941"/>
      <c r="E941"/>
      <c r="F941"/>
      <c r="G941"/>
      <c r="H941"/>
      <c r="I941"/>
      <c r="J941"/>
      <c r="K941"/>
      <c r="L941" s="16">
        <f t="shared" si="47"/>
        <v>0</v>
      </c>
      <c r="M941" s="16" t="str">
        <f t="shared" si="50"/>
        <v/>
      </c>
      <c r="N941" s="17">
        <f t="shared" si="48"/>
        <v>0</v>
      </c>
    </row>
    <row r="942" spans="1:14" x14ac:dyDescent="0.2">
      <c r="A942" s="19">
        <f>IF(ISERROR(VLOOKUP(B942,Catalogo!$A$2:$C$410,2,0)),0,(VLOOKUP(B942,Catalogo!$A$2:$C$410,2,0)))</f>
        <v>0</v>
      </c>
      <c r="B942"/>
      <c r="C942"/>
      <c r="D942"/>
      <c r="E942"/>
      <c r="F942"/>
      <c r="G942"/>
      <c r="H942"/>
      <c r="I942"/>
      <c r="J942"/>
      <c r="K942"/>
      <c r="L942" s="16">
        <f t="shared" si="47"/>
        <v>0</v>
      </c>
      <c r="M942" s="16" t="str">
        <f t="shared" si="50"/>
        <v/>
      </c>
      <c r="N942" s="17">
        <f t="shared" si="48"/>
        <v>0</v>
      </c>
    </row>
    <row r="943" spans="1:14" x14ac:dyDescent="0.2">
      <c r="A943" s="19">
        <f>IF(ISERROR(VLOOKUP(B943,Catalogo!$A$2:$C$410,2,0)),0,(VLOOKUP(B943,Catalogo!$A$2:$C$410,2,0)))</f>
        <v>0</v>
      </c>
      <c r="B943"/>
      <c r="C943"/>
      <c r="D943"/>
      <c r="E943"/>
      <c r="F943"/>
      <c r="G943"/>
      <c r="H943"/>
      <c r="I943"/>
      <c r="J943"/>
      <c r="K943"/>
      <c r="L943" s="16">
        <f t="shared" si="47"/>
        <v>0</v>
      </c>
      <c r="M943" s="16" t="str">
        <f t="shared" si="50"/>
        <v/>
      </c>
      <c r="N943" s="17">
        <f t="shared" si="48"/>
        <v>0</v>
      </c>
    </row>
    <row r="944" spans="1:14" x14ac:dyDescent="0.2">
      <c r="A944" s="19">
        <f>IF(ISERROR(VLOOKUP(B944,Catalogo!$A$2:$C$410,2,0)),0,(VLOOKUP(B944,Catalogo!$A$2:$C$410,2,0)))</f>
        <v>0</v>
      </c>
      <c r="B944"/>
      <c r="C944"/>
      <c r="D944"/>
      <c r="E944"/>
      <c r="F944"/>
      <c r="G944"/>
      <c r="H944"/>
      <c r="I944"/>
      <c r="J944"/>
      <c r="K944"/>
      <c r="L944" s="16">
        <f t="shared" si="47"/>
        <v>0</v>
      </c>
      <c r="M944" s="16" t="str">
        <f t="shared" si="50"/>
        <v/>
      </c>
      <c r="N944" s="17">
        <f t="shared" si="48"/>
        <v>0</v>
      </c>
    </row>
    <row r="945" spans="1:14" x14ac:dyDescent="0.2">
      <c r="A945" s="19">
        <f>IF(ISERROR(VLOOKUP(B945,Catalogo!$A$2:$C$410,2,0)),0,(VLOOKUP(B945,Catalogo!$A$2:$C$410,2,0)))</f>
        <v>0</v>
      </c>
      <c r="B945"/>
      <c r="C945"/>
      <c r="D945"/>
      <c r="E945"/>
      <c r="F945"/>
      <c r="G945"/>
      <c r="H945"/>
      <c r="I945"/>
      <c r="J945"/>
      <c r="K945"/>
      <c r="L945" s="16">
        <f t="shared" si="47"/>
        <v>0</v>
      </c>
      <c r="M945" s="16" t="str">
        <f t="shared" si="50"/>
        <v/>
      </c>
      <c r="N945" s="17">
        <f t="shared" si="48"/>
        <v>0</v>
      </c>
    </row>
    <row r="946" spans="1:14" x14ac:dyDescent="0.2">
      <c r="A946" s="19">
        <f>IF(ISERROR(VLOOKUP(B946,Catalogo!$A$2:$C$410,2,0)),0,(VLOOKUP(B946,Catalogo!$A$2:$C$410,2,0)))</f>
        <v>0</v>
      </c>
      <c r="B946"/>
      <c r="C946"/>
      <c r="D946"/>
      <c r="E946"/>
      <c r="F946"/>
      <c r="G946"/>
      <c r="H946"/>
      <c r="I946"/>
      <c r="J946"/>
      <c r="K946"/>
      <c r="L946" s="16">
        <f t="shared" si="47"/>
        <v>0</v>
      </c>
      <c r="M946" s="16" t="str">
        <f t="shared" si="50"/>
        <v/>
      </c>
      <c r="N946" s="17">
        <f t="shared" si="48"/>
        <v>0</v>
      </c>
    </row>
    <row r="947" spans="1:14" x14ac:dyDescent="0.2">
      <c r="A947" s="19">
        <f>IF(ISERROR(VLOOKUP(B947,Catalogo!$A$2:$C$410,2,0)),0,(VLOOKUP(B947,Catalogo!$A$2:$C$410,2,0)))</f>
        <v>0</v>
      </c>
      <c r="B947"/>
      <c r="C947"/>
      <c r="D947"/>
      <c r="E947"/>
      <c r="F947"/>
      <c r="G947"/>
      <c r="H947"/>
      <c r="I947"/>
      <c r="J947"/>
      <c r="K947"/>
      <c r="L947" s="16">
        <f t="shared" si="47"/>
        <v>0</v>
      </c>
      <c r="M947" s="16" t="str">
        <f t="shared" si="50"/>
        <v/>
      </c>
      <c r="N947" s="17">
        <f t="shared" si="48"/>
        <v>0</v>
      </c>
    </row>
    <row r="948" spans="1:14" x14ac:dyDescent="0.2">
      <c r="A948" s="19">
        <f>IF(ISERROR(VLOOKUP(B948,Catalogo!$A$2:$C$410,2,0)),0,(VLOOKUP(B948,Catalogo!$A$2:$C$410,2,0)))</f>
        <v>0</v>
      </c>
      <c r="B948"/>
      <c r="C948"/>
      <c r="D948"/>
      <c r="E948"/>
      <c r="F948"/>
      <c r="G948"/>
      <c r="H948"/>
      <c r="I948"/>
      <c r="J948"/>
      <c r="K948"/>
      <c r="L948" s="16">
        <f t="shared" si="47"/>
        <v>0</v>
      </c>
      <c r="M948" s="16" t="str">
        <f t="shared" si="50"/>
        <v/>
      </c>
      <c r="N948" s="17">
        <f t="shared" si="48"/>
        <v>0</v>
      </c>
    </row>
    <row r="949" spans="1:14" x14ac:dyDescent="0.2">
      <c r="A949" s="19">
        <f>IF(ISERROR(VLOOKUP(B949,Catalogo!$A$2:$C$410,2,0)),0,(VLOOKUP(B949,Catalogo!$A$2:$C$410,2,0)))</f>
        <v>0</v>
      </c>
      <c r="B949"/>
      <c r="C949"/>
      <c r="D949"/>
      <c r="E949"/>
      <c r="F949"/>
      <c r="G949"/>
      <c r="H949"/>
      <c r="I949"/>
      <c r="J949"/>
      <c r="K949"/>
      <c r="L949" s="16">
        <f t="shared" si="47"/>
        <v>0</v>
      </c>
      <c r="M949" s="16" t="str">
        <f t="shared" si="50"/>
        <v/>
      </c>
      <c r="N949" s="17">
        <f t="shared" si="48"/>
        <v>0</v>
      </c>
    </row>
    <row r="950" spans="1:14" x14ac:dyDescent="0.2">
      <c r="A950" s="19">
        <f>IF(ISERROR(VLOOKUP(B950,Catalogo!$A$2:$C$410,2,0)),0,(VLOOKUP(B950,Catalogo!$A$2:$C$410,2,0)))</f>
        <v>0</v>
      </c>
      <c r="B950"/>
      <c r="C950"/>
      <c r="D950"/>
      <c r="E950"/>
      <c r="F950"/>
      <c r="G950"/>
      <c r="H950"/>
      <c r="I950"/>
      <c r="J950"/>
      <c r="K950"/>
      <c r="L950" s="16">
        <f t="shared" si="47"/>
        <v>0</v>
      </c>
      <c r="M950" s="16" t="str">
        <f t="shared" si="50"/>
        <v/>
      </c>
      <c r="N950" s="17">
        <f t="shared" si="48"/>
        <v>0</v>
      </c>
    </row>
    <row r="951" spans="1:14" x14ac:dyDescent="0.2">
      <c r="A951" s="19">
        <f>IF(ISERROR(VLOOKUP(B951,Catalogo!$A$2:$C$410,2,0)),0,(VLOOKUP(B951,Catalogo!$A$2:$C$410,2,0)))</f>
        <v>0</v>
      </c>
      <c r="B951"/>
      <c r="C951"/>
      <c r="D951"/>
      <c r="E951"/>
      <c r="F951"/>
      <c r="G951"/>
      <c r="H951"/>
      <c r="I951"/>
      <c r="J951"/>
      <c r="K951"/>
      <c r="L951" s="16">
        <f t="shared" si="47"/>
        <v>0</v>
      </c>
      <c r="M951" s="16" t="str">
        <f t="shared" si="50"/>
        <v/>
      </c>
      <c r="N951" s="17">
        <f t="shared" si="48"/>
        <v>0</v>
      </c>
    </row>
    <row r="952" spans="1:14" x14ac:dyDescent="0.2">
      <c r="A952" s="19">
        <f>IF(ISERROR(VLOOKUP(B952,Catalogo!$A$2:$C$410,2,0)),0,(VLOOKUP(B952,Catalogo!$A$2:$C$410,2,0)))</f>
        <v>0</v>
      </c>
      <c r="B952"/>
      <c r="C952"/>
      <c r="D952"/>
      <c r="E952"/>
      <c r="F952"/>
      <c r="G952"/>
      <c r="H952"/>
      <c r="I952"/>
      <c r="J952"/>
      <c r="K952"/>
      <c r="L952" s="16">
        <f t="shared" si="47"/>
        <v>0</v>
      </c>
      <c r="M952" s="16" t="str">
        <f t="shared" si="50"/>
        <v/>
      </c>
      <c r="N952" s="17">
        <f t="shared" si="48"/>
        <v>0</v>
      </c>
    </row>
    <row r="953" spans="1:14" x14ac:dyDescent="0.2">
      <c r="A953" s="19">
        <f>IF(ISERROR(VLOOKUP(B953,Catalogo!$A$2:$C$410,2,0)),0,(VLOOKUP(B953,Catalogo!$A$2:$C$410,2,0)))</f>
        <v>0</v>
      </c>
      <c r="B953"/>
      <c r="C953"/>
      <c r="D953"/>
      <c r="E953"/>
      <c r="F953"/>
      <c r="G953"/>
      <c r="H953"/>
      <c r="I953"/>
      <c r="J953"/>
      <c r="K953"/>
      <c r="L953" s="16">
        <f t="shared" si="47"/>
        <v>0</v>
      </c>
      <c r="M953" s="16" t="str">
        <f t="shared" si="50"/>
        <v/>
      </c>
      <c r="N953" s="17">
        <f t="shared" si="48"/>
        <v>0</v>
      </c>
    </row>
    <row r="954" spans="1:14" x14ac:dyDescent="0.2">
      <c r="A954" s="19">
        <f>IF(ISERROR(VLOOKUP(B954,Catalogo!$A$2:$C$410,2,0)),0,(VLOOKUP(B954,Catalogo!$A$2:$C$410,2,0)))</f>
        <v>0</v>
      </c>
      <c r="B954"/>
      <c r="C954"/>
      <c r="D954"/>
      <c r="E954"/>
      <c r="F954"/>
      <c r="G954"/>
      <c r="H954"/>
      <c r="I954"/>
      <c r="J954"/>
      <c r="K954"/>
      <c r="L954" s="16">
        <f t="shared" si="47"/>
        <v>0</v>
      </c>
      <c r="M954" s="16" t="str">
        <f t="shared" si="50"/>
        <v/>
      </c>
      <c r="N954" s="17">
        <f t="shared" si="48"/>
        <v>0</v>
      </c>
    </row>
    <row r="955" spans="1:14" x14ac:dyDescent="0.2">
      <c r="A955" s="19">
        <f>IF(ISERROR(VLOOKUP(B955,Catalogo!$A$2:$C$410,2,0)),0,(VLOOKUP(B955,Catalogo!$A$2:$C$410,2,0)))</f>
        <v>0</v>
      </c>
      <c r="B955"/>
      <c r="C955"/>
      <c r="D955"/>
      <c r="E955"/>
      <c r="F955"/>
      <c r="G955"/>
      <c r="H955"/>
      <c r="I955"/>
      <c r="J955"/>
      <c r="K955"/>
      <c r="L955" s="16">
        <f t="shared" si="47"/>
        <v>0</v>
      </c>
      <c r="M955" s="16" t="str">
        <f t="shared" si="50"/>
        <v/>
      </c>
      <c r="N955" s="17">
        <f t="shared" si="48"/>
        <v>0</v>
      </c>
    </row>
    <row r="956" spans="1:14" x14ac:dyDescent="0.2">
      <c r="A956" s="19">
        <f>IF(ISERROR(VLOOKUP(B956,Catalogo!$A$2:$C$410,2,0)),0,(VLOOKUP(B956,Catalogo!$A$2:$C$410,2,0)))</f>
        <v>0</v>
      </c>
      <c r="B956"/>
      <c r="C956"/>
      <c r="D956"/>
      <c r="E956"/>
      <c r="F956"/>
      <c r="G956"/>
      <c r="H956"/>
      <c r="I956"/>
      <c r="J956"/>
      <c r="K956"/>
      <c r="L956" s="16">
        <f t="shared" si="47"/>
        <v>0</v>
      </c>
      <c r="M956" s="16" t="str">
        <f t="shared" si="50"/>
        <v/>
      </c>
      <c r="N956" s="17">
        <f t="shared" si="48"/>
        <v>0</v>
      </c>
    </row>
    <row r="957" spans="1:14" x14ac:dyDescent="0.2">
      <c r="A957" s="19">
        <f>IF(ISERROR(VLOOKUP(B957,Catalogo!$A$2:$C$410,2,0)),0,(VLOOKUP(B957,Catalogo!$A$2:$C$410,2,0)))</f>
        <v>0</v>
      </c>
      <c r="B957"/>
      <c r="C957"/>
      <c r="D957"/>
      <c r="E957"/>
      <c r="F957"/>
      <c r="G957"/>
      <c r="H957"/>
      <c r="I957"/>
      <c r="J957"/>
      <c r="K957"/>
      <c r="L957" s="16">
        <f t="shared" si="47"/>
        <v>0</v>
      </c>
      <c r="M957" s="16" t="str">
        <f t="shared" si="50"/>
        <v/>
      </c>
      <c r="N957" s="17">
        <f t="shared" si="48"/>
        <v>0</v>
      </c>
    </row>
    <row r="958" spans="1:14" x14ac:dyDescent="0.2">
      <c r="A958" s="19">
        <f>IF(ISERROR(VLOOKUP(B958,Catalogo!$A$2:$C$410,2,0)),0,(VLOOKUP(B958,Catalogo!$A$2:$C$410,2,0)))</f>
        <v>0</v>
      </c>
      <c r="B958"/>
      <c r="C958"/>
      <c r="D958"/>
      <c r="E958"/>
      <c r="F958"/>
      <c r="G958"/>
      <c r="H958"/>
      <c r="I958"/>
      <c r="J958"/>
      <c r="K958"/>
      <c r="L958" s="16">
        <f t="shared" si="47"/>
        <v>0</v>
      </c>
      <c r="M958" s="16" t="str">
        <f t="shared" si="50"/>
        <v/>
      </c>
      <c r="N958" s="17">
        <f t="shared" si="48"/>
        <v>0</v>
      </c>
    </row>
    <row r="959" spans="1:14" x14ac:dyDescent="0.2">
      <c r="A959" s="19">
        <f>IF(ISERROR(VLOOKUP(B959,Catalogo!$A$2:$C$410,2,0)),0,(VLOOKUP(B959,Catalogo!$A$2:$C$410,2,0)))</f>
        <v>0</v>
      </c>
      <c r="B959"/>
      <c r="C959"/>
      <c r="D959"/>
      <c r="E959"/>
      <c r="F959"/>
      <c r="G959"/>
      <c r="H959"/>
      <c r="I959"/>
      <c r="J959"/>
      <c r="K959"/>
      <c r="L959" s="16">
        <f t="shared" si="47"/>
        <v>0</v>
      </c>
      <c r="M959" s="16" t="str">
        <f t="shared" si="50"/>
        <v/>
      </c>
      <c r="N959" s="17">
        <f t="shared" si="48"/>
        <v>0</v>
      </c>
    </row>
    <row r="960" spans="1:14" x14ac:dyDescent="0.2">
      <c r="A960" s="19">
        <f>IF(ISERROR(VLOOKUP(B960,Catalogo!$A$2:$C$410,2,0)),0,(VLOOKUP(B960,Catalogo!$A$2:$C$410,2,0)))</f>
        <v>0</v>
      </c>
      <c r="B960"/>
      <c r="C960"/>
      <c r="D960"/>
      <c r="E960"/>
      <c r="F960"/>
      <c r="G960"/>
      <c r="H960"/>
      <c r="I960"/>
      <c r="J960"/>
      <c r="K960"/>
      <c r="L960" s="16">
        <f t="shared" si="47"/>
        <v>0</v>
      </c>
      <c r="M960" s="16" t="str">
        <f t="shared" si="50"/>
        <v/>
      </c>
      <c r="N960" s="17">
        <f t="shared" si="48"/>
        <v>0</v>
      </c>
    </row>
    <row r="961" spans="1:14" x14ac:dyDescent="0.2">
      <c r="A961" s="19">
        <f>IF(ISERROR(VLOOKUP(B961,Catalogo!$A$2:$C$410,2,0)),0,(VLOOKUP(B961,Catalogo!$A$2:$C$410,2,0)))</f>
        <v>0</v>
      </c>
      <c r="B961"/>
      <c r="C961"/>
      <c r="D961"/>
      <c r="E961"/>
      <c r="F961"/>
      <c r="G961"/>
      <c r="H961"/>
      <c r="I961"/>
      <c r="J961"/>
      <c r="K961"/>
      <c r="L961" s="16">
        <f t="shared" si="47"/>
        <v>0</v>
      </c>
      <c r="M961" s="16" t="str">
        <f t="shared" si="50"/>
        <v/>
      </c>
      <c r="N961" s="17">
        <f t="shared" si="48"/>
        <v>0</v>
      </c>
    </row>
    <row r="962" spans="1:14" x14ac:dyDescent="0.2">
      <c r="A962" s="19">
        <f>IF(ISERROR(VLOOKUP(B962,Catalogo!$A$2:$C$410,2,0)),0,(VLOOKUP(B962,Catalogo!$A$2:$C$410,2,0)))</f>
        <v>0</v>
      </c>
      <c r="B962"/>
      <c r="C962"/>
      <c r="D962"/>
      <c r="E962"/>
      <c r="F962"/>
      <c r="G962"/>
      <c r="H962"/>
      <c r="I962"/>
      <c r="J962"/>
      <c r="K962"/>
      <c r="L962" s="16">
        <f t="shared" ref="L962:L1025" si="51">IF(A962="Record Keeping",B962,0)</f>
        <v>0</v>
      </c>
      <c r="M962" s="16" t="str">
        <f t="shared" si="50"/>
        <v/>
      </c>
      <c r="N962" s="17">
        <f t="shared" ref="N962:N1025" si="52">IF(G962="CAN",F962*0,IF(M962="R",F962*-1,F962*1)*AND(A962="Record Keeping"))</f>
        <v>0</v>
      </c>
    </row>
    <row r="963" spans="1:14" x14ac:dyDescent="0.2">
      <c r="A963" s="19">
        <f>IF(ISERROR(VLOOKUP(B963,Catalogo!$A$2:$C$410,2,0)),0,(VLOOKUP(B963,Catalogo!$A$2:$C$410,2,0)))</f>
        <v>0</v>
      </c>
      <c r="B963"/>
      <c r="C963"/>
      <c r="D963"/>
      <c r="E963"/>
      <c r="F963"/>
      <c r="G963"/>
      <c r="H963"/>
      <c r="I963"/>
      <c r="J963"/>
      <c r="K963"/>
      <c r="L963" s="16">
        <f t="shared" si="51"/>
        <v>0</v>
      </c>
      <c r="M963" s="16" t="str">
        <f t="shared" si="50"/>
        <v/>
      </c>
      <c r="N963" s="17">
        <f t="shared" si="52"/>
        <v>0</v>
      </c>
    </row>
    <row r="964" spans="1:14" x14ac:dyDescent="0.2">
      <c r="A964" s="19">
        <f>IF(ISERROR(VLOOKUP(B964,Catalogo!$A$2:$C$410,2,0)),0,(VLOOKUP(B964,Catalogo!$A$2:$C$410,2,0)))</f>
        <v>0</v>
      </c>
      <c r="B964"/>
      <c r="C964"/>
      <c r="D964"/>
      <c r="E964"/>
      <c r="F964"/>
      <c r="G964"/>
      <c r="H964"/>
      <c r="I964"/>
      <c r="J964"/>
      <c r="K964"/>
      <c r="L964" s="16">
        <f t="shared" si="51"/>
        <v>0</v>
      </c>
      <c r="M964" s="16" t="str">
        <f t="shared" si="50"/>
        <v/>
      </c>
      <c r="N964" s="17">
        <f t="shared" si="52"/>
        <v>0</v>
      </c>
    </row>
    <row r="965" spans="1:14" x14ac:dyDescent="0.2">
      <c r="A965" s="19">
        <f>IF(ISERROR(VLOOKUP(B965,Catalogo!$A$2:$C$410,2,0)),0,(VLOOKUP(B965,Catalogo!$A$2:$C$410,2,0)))</f>
        <v>0</v>
      </c>
      <c r="B965"/>
      <c r="C965"/>
      <c r="D965"/>
      <c r="E965"/>
      <c r="F965"/>
      <c r="G965"/>
      <c r="H965"/>
      <c r="I965"/>
      <c r="J965"/>
      <c r="K965"/>
      <c r="L965" s="16">
        <f t="shared" si="51"/>
        <v>0</v>
      </c>
      <c r="M965" s="16" t="str">
        <f t="shared" si="50"/>
        <v/>
      </c>
      <c r="N965" s="17">
        <f t="shared" si="52"/>
        <v>0</v>
      </c>
    </row>
    <row r="966" spans="1:14" x14ac:dyDescent="0.2">
      <c r="A966" s="19">
        <f>IF(ISERROR(VLOOKUP(B966,Catalogo!$A$2:$C$410,2,0)),0,(VLOOKUP(B966,Catalogo!$A$2:$C$410,2,0)))</f>
        <v>0</v>
      </c>
      <c r="B966"/>
      <c r="C966"/>
      <c r="D966"/>
      <c r="E966"/>
      <c r="F966"/>
      <c r="G966"/>
      <c r="H966"/>
      <c r="I966"/>
      <c r="J966"/>
      <c r="K966"/>
      <c r="L966" s="16">
        <f t="shared" si="51"/>
        <v>0</v>
      </c>
      <c r="M966" s="16" t="str">
        <f t="shared" si="50"/>
        <v/>
      </c>
      <c r="N966" s="17">
        <f t="shared" si="52"/>
        <v>0</v>
      </c>
    </row>
    <row r="967" spans="1:14" x14ac:dyDescent="0.2">
      <c r="A967" s="19">
        <f>IF(ISERROR(VLOOKUP(B967,Catalogo!$A$2:$C$410,2,0)),0,(VLOOKUP(B967,Catalogo!$A$2:$C$410,2,0)))</f>
        <v>0</v>
      </c>
      <c r="B967"/>
      <c r="C967"/>
      <c r="D967"/>
      <c r="E967"/>
      <c r="F967"/>
      <c r="G967"/>
      <c r="H967"/>
      <c r="I967"/>
      <c r="J967"/>
      <c r="K967"/>
      <c r="L967" s="16">
        <f t="shared" si="51"/>
        <v>0</v>
      </c>
      <c r="M967" s="16" t="str">
        <f t="shared" si="50"/>
        <v/>
      </c>
      <c r="N967" s="17">
        <f t="shared" si="52"/>
        <v>0</v>
      </c>
    </row>
    <row r="968" spans="1:14" x14ac:dyDescent="0.2">
      <c r="A968" s="19">
        <f>IF(ISERROR(VLOOKUP(B968,Catalogo!$A$2:$C$410,2,0)),0,(VLOOKUP(B968,Catalogo!$A$2:$C$410,2,0)))</f>
        <v>0</v>
      </c>
      <c r="B968"/>
      <c r="C968"/>
      <c r="D968"/>
      <c r="E968"/>
      <c r="F968"/>
      <c r="G968"/>
      <c r="H968"/>
      <c r="I968"/>
      <c r="J968"/>
      <c r="K968"/>
      <c r="L968" s="16">
        <f t="shared" si="51"/>
        <v>0</v>
      </c>
      <c r="M968" s="16" t="str">
        <f t="shared" si="50"/>
        <v/>
      </c>
      <c r="N968" s="17">
        <f t="shared" si="52"/>
        <v>0</v>
      </c>
    </row>
    <row r="969" spans="1:14" x14ac:dyDescent="0.2">
      <c r="A969" s="19">
        <f>IF(ISERROR(VLOOKUP(B969,Catalogo!$A$2:$C$410,2,0)),0,(VLOOKUP(B969,Catalogo!$A$2:$C$410,2,0)))</f>
        <v>0</v>
      </c>
      <c r="B969"/>
      <c r="C969"/>
      <c r="D969"/>
      <c r="E969"/>
      <c r="F969"/>
      <c r="G969"/>
      <c r="H969"/>
      <c r="I969"/>
      <c r="J969"/>
      <c r="K969"/>
      <c r="L969" s="16">
        <f t="shared" si="51"/>
        <v>0</v>
      </c>
      <c r="M969" s="16" t="str">
        <f t="shared" si="50"/>
        <v/>
      </c>
      <c r="N969" s="17">
        <f t="shared" si="52"/>
        <v>0</v>
      </c>
    </row>
    <row r="970" spans="1:14" x14ac:dyDescent="0.2">
      <c r="A970" s="19">
        <f>IF(ISERROR(VLOOKUP(B970,Catalogo!$A$2:$C$410,2,0)),0,(VLOOKUP(B970,Catalogo!$A$2:$C$410,2,0)))</f>
        <v>0</v>
      </c>
      <c r="B970"/>
      <c r="C970"/>
      <c r="D970"/>
      <c r="E970"/>
      <c r="F970"/>
      <c r="G970"/>
      <c r="H970"/>
      <c r="I970"/>
      <c r="J970"/>
      <c r="K970"/>
      <c r="L970" s="16">
        <f t="shared" si="51"/>
        <v>0</v>
      </c>
      <c r="M970" s="16" t="str">
        <f t="shared" si="50"/>
        <v/>
      </c>
      <c r="N970" s="17">
        <f t="shared" si="52"/>
        <v>0</v>
      </c>
    </row>
    <row r="971" spans="1:14" x14ac:dyDescent="0.2">
      <c r="A971" s="19">
        <f>IF(ISERROR(VLOOKUP(B971,Catalogo!$A$2:$C$410,2,0)),0,(VLOOKUP(B971,Catalogo!$A$2:$C$410,2,0)))</f>
        <v>0</v>
      </c>
      <c r="B971"/>
      <c r="C971"/>
      <c r="D971"/>
      <c r="E971"/>
      <c r="F971"/>
      <c r="G971"/>
      <c r="H971"/>
      <c r="I971"/>
      <c r="J971"/>
      <c r="K971"/>
      <c r="L971" s="16">
        <f t="shared" si="51"/>
        <v>0</v>
      </c>
      <c r="M971" s="16" t="str">
        <f t="shared" si="50"/>
        <v/>
      </c>
      <c r="N971" s="17">
        <f t="shared" si="52"/>
        <v>0</v>
      </c>
    </row>
    <row r="972" spans="1:14" x14ac:dyDescent="0.2">
      <c r="A972" s="19">
        <f>IF(ISERROR(VLOOKUP(B972,Catalogo!$A$2:$C$410,2,0)),0,(VLOOKUP(B972,Catalogo!$A$2:$C$410,2,0)))</f>
        <v>0</v>
      </c>
      <c r="B972"/>
      <c r="C972"/>
      <c r="D972"/>
      <c r="E972"/>
      <c r="F972"/>
      <c r="G972"/>
      <c r="H972"/>
      <c r="I972"/>
      <c r="J972"/>
      <c r="K972"/>
      <c r="L972" s="16">
        <f t="shared" si="51"/>
        <v>0</v>
      </c>
      <c r="M972" s="16" t="str">
        <f t="shared" si="50"/>
        <v/>
      </c>
      <c r="N972" s="17">
        <f t="shared" si="52"/>
        <v>0</v>
      </c>
    </row>
    <row r="973" spans="1:14" x14ac:dyDescent="0.2">
      <c r="A973" s="19">
        <f>IF(ISERROR(VLOOKUP(B973,Catalogo!$A$2:$C$410,2,0)),0,(VLOOKUP(B973,Catalogo!$A$2:$C$410,2,0)))</f>
        <v>0</v>
      </c>
      <c r="B973"/>
      <c r="C973"/>
      <c r="D973"/>
      <c r="E973"/>
      <c r="F973"/>
      <c r="G973"/>
      <c r="H973"/>
      <c r="I973"/>
      <c r="J973"/>
      <c r="K973"/>
      <c r="L973" s="16">
        <f t="shared" si="51"/>
        <v>0</v>
      </c>
      <c r="M973" s="16" t="str">
        <f t="shared" si="50"/>
        <v/>
      </c>
      <c r="N973" s="17">
        <f t="shared" si="52"/>
        <v>0</v>
      </c>
    </row>
    <row r="974" spans="1:14" x14ac:dyDescent="0.2">
      <c r="A974" s="19">
        <f>IF(ISERROR(VLOOKUP(B974,Catalogo!$A$2:$C$410,2,0)),0,(VLOOKUP(B974,Catalogo!$A$2:$C$410,2,0)))</f>
        <v>0</v>
      </c>
      <c r="B974"/>
      <c r="C974"/>
      <c r="D974"/>
      <c r="E974"/>
      <c r="F974"/>
      <c r="G974"/>
      <c r="H974"/>
      <c r="I974"/>
      <c r="J974"/>
      <c r="K974"/>
      <c r="L974" s="16">
        <f t="shared" si="51"/>
        <v>0</v>
      </c>
      <c r="M974" s="16" t="str">
        <f t="shared" si="50"/>
        <v/>
      </c>
      <c r="N974" s="17">
        <f t="shared" si="52"/>
        <v>0</v>
      </c>
    </row>
    <row r="975" spans="1:14" x14ac:dyDescent="0.2">
      <c r="A975" s="19">
        <f>IF(ISERROR(VLOOKUP(B975,Catalogo!$A$2:$C$410,2,0)),0,(VLOOKUP(B975,Catalogo!$A$2:$C$410,2,0)))</f>
        <v>0</v>
      </c>
      <c r="B975"/>
      <c r="C975"/>
      <c r="D975"/>
      <c r="E975"/>
      <c r="F975"/>
      <c r="G975"/>
      <c r="H975"/>
      <c r="I975"/>
      <c r="J975"/>
      <c r="K975"/>
      <c r="L975" s="16">
        <f t="shared" si="51"/>
        <v>0</v>
      </c>
      <c r="M975" s="16" t="str">
        <f t="shared" si="50"/>
        <v/>
      </c>
      <c r="N975" s="17">
        <f t="shared" si="52"/>
        <v>0</v>
      </c>
    </row>
    <row r="976" spans="1:14" x14ac:dyDescent="0.2">
      <c r="A976" s="19">
        <f>IF(ISERROR(VLOOKUP(B976,Catalogo!$A$2:$C$410,2,0)),0,(VLOOKUP(B976,Catalogo!$A$2:$C$410,2,0)))</f>
        <v>0</v>
      </c>
      <c r="B976"/>
      <c r="C976"/>
      <c r="D976"/>
      <c r="E976"/>
      <c r="F976"/>
      <c r="G976"/>
      <c r="H976"/>
      <c r="I976"/>
      <c r="J976"/>
      <c r="K976"/>
      <c r="L976" s="16">
        <f t="shared" si="51"/>
        <v>0</v>
      </c>
      <c r="M976" s="16" t="str">
        <f t="shared" si="50"/>
        <v/>
      </c>
      <c r="N976" s="17">
        <f t="shared" si="52"/>
        <v>0</v>
      </c>
    </row>
    <row r="977" spans="1:14" x14ac:dyDescent="0.2">
      <c r="A977" s="19">
        <f>IF(ISERROR(VLOOKUP(B977,Catalogo!$A$2:$C$410,2,0)),0,(VLOOKUP(B977,Catalogo!$A$2:$C$410,2,0)))</f>
        <v>0</v>
      </c>
      <c r="B977"/>
      <c r="C977"/>
      <c r="D977"/>
      <c r="E977"/>
      <c r="F977"/>
      <c r="G977"/>
      <c r="H977"/>
      <c r="I977"/>
      <c r="J977"/>
      <c r="K977"/>
      <c r="L977" s="16">
        <f t="shared" si="51"/>
        <v>0</v>
      </c>
      <c r="M977" s="16" t="str">
        <f t="shared" si="50"/>
        <v/>
      </c>
      <c r="N977" s="17">
        <f t="shared" si="52"/>
        <v>0</v>
      </c>
    </row>
    <row r="978" spans="1:14" x14ac:dyDescent="0.2">
      <c r="A978" s="19">
        <f>IF(ISERROR(VLOOKUP(B978,Catalogo!$A$2:$C$410,2,0)),0,(VLOOKUP(B978,Catalogo!$A$2:$C$410,2,0)))</f>
        <v>0</v>
      </c>
      <c r="B978"/>
      <c r="C978"/>
      <c r="D978"/>
      <c r="E978"/>
      <c r="F978"/>
      <c r="G978"/>
      <c r="H978"/>
      <c r="I978"/>
      <c r="J978"/>
      <c r="K978"/>
      <c r="L978" s="16">
        <f t="shared" si="51"/>
        <v>0</v>
      </c>
      <c r="M978" s="16" t="str">
        <f t="shared" si="50"/>
        <v/>
      </c>
      <c r="N978" s="17">
        <f t="shared" si="52"/>
        <v>0</v>
      </c>
    </row>
    <row r="979" spans="1:14" x14ac:dyDescent="0.2">
      <c r="A979" s="19">
        <f>IF(ISERROR(VLOOKUP(B979,Catalogo!$A$2:$C$410,2,0)),0,(VLOOKUP(B979,Catalogo!$A$2:$C$410,2,0)))</f>
        <v>0</v>
      </c>
      <c r="B979"/>
      <c r="C979"/>
      <c r="D979"/>
      <c r="E979"/>
      <c r="F979"/>
      <c r="G979"/>
      <c r="H979"/>
      <c r="I979"/>
      <c r="J979"/>
      <c r="K979"/>
      <c r="L979" s="16">
        <f t="shared" si="51"/>
        <v>0</v>
      </c>
      <c r="M979" s="16" t="str">
        <f t="shared" si="50"/>
        <v/>
      </c>
      <c r="N979" s="17">
        <f t="shared" si="52"/>
        <v>0</v>
      </c>
    </row>
    <row r="980" spans="1:14" x14ac:dyDescent="0.2">
      <c r="A980" s="19">
        <f>IF(ISERROR(VLOOKUP(B980,Catalogo!$A$2:$C$410,2,0)),0,(VLOOKUP(B980,Catalogo!$A$2:$C$410,2,0)))</f>
        <v>0</v>
      </c>
      <c r="B980"/>
      <c r="C980"/>
      <c r="D980"/>
      <c r="E980"/>
      <c r="F980"/>
      <c r="G980"/>
      <c r="H980"/>
      <c r="I980"/>
      <c r="J980"/>
      <c r="K980"/>
      <c r="L980" s="16">
        <f t="shared" si="51"/>
        <v>0</v>
      </c>
      <c r="M980" s="16" t="str">
        <f t="shared" si="50"/>
        <v/>
      </c>
      <c r="N980" s="17">
        <f t="shared" si="52"/>
        <v>0</v>
      </c>
    </row>
    <row r="981" spans="1:14" x14ac:dyDescent="0.2">
      <c r="A981" s="19">
        <f>IF(ISERROR(VLOOKUP(B981,Catalogo!$A$2:$C$410,2,0)),0,(VLOOKUP(B981,Catalogo!$A$2:$C$410,2,0)))</f>
        <v>0</v>
      </c>
      <c r="B981"/>
      <c r="C981"/>
      <c r="D981"/>
      <c r="E981"/>
      <c r="F981"/>
      <c r="G981"/>
      <c r="H981"/>
      <c r="I981"/>
      <c r="J981"/>
      <c r="K981"/>
      <c r="L981" s="16">
        <f t="shared" si="51"/>
        <v>0</v>
      </c>
      <c r="M981" s="16" t="str">
        <f t="shared" si="50"/>
        <v/>
      </c>
      <c r="N981" s="17">
        <f t="shared" si="52"/>
        <v>0</v>
      </c>
    </row>
    <row r="982" spans="1:14" x14ac:dyDescent="0.2">
      <c r="A982" s="19">
        <f>IF(ISERROR(VLOOKUP(B982,Catalogo!$A$2:$C$410,2,0)),0,(VLOOKUP(B982,Catalogo!$A$2:$C$410,2,0)))</f>
        <v>0</v>
      </c>
      <c r="B982"/>
      <c r="C982"/>
      <c r="D982"/>
      <c r="E982"/>
      <c r="F982"/>
      <c r="G982"/>
      <c r="H982"/>
      <c r="I982"/>
      <c r="J982"/>
      <c r="K982"/>
      <c r="L982" s="16">
        <f t="shared" si="51"/>
        <v>0</v>
      </c>
      <c r="M982" s="16" t="str">
        <f t="shared" si="50"/>
        <v/>
      </c>
      <c r="N982" s="17">
        <f t="shared" si="52"/>
        <v>0</v>
      </c>
    </row>
    <row r="983" spans="1:14" x14ac:dyDescent="0.2">
      <c r="A983" s="19">
        <f>IF(ISERROR(VLOOKUP(B983,Catalogo!$A$2:$C$410,2,0)),0,(VLOOKUP(B983,Catalogo!$A$2:$C$410,2,0)))</f>
        <v>0</v>
      </c>
      <c r="B983"/>
      <c r="C983"/>
      <c r="D983"/>
      <c r="E983"/>
      <c r="F983"/>
      <c r="G983"/>
      <c r="H983"/>
      <c r="I983"/>
      <c r="J983"/>
      <c r="K983"/>
      <c r="L983" s="16">
        <f t="shared" si="51"/>
        <v>0</v>
      </c>
      <c r="M983" s="16" t="str">
        <f t="shared" si="50"/>
        <v/>
      </c>
      <c r="N983" s="17">
        <f t="shared" si="52"/>
        <v>0</v>
      </c>
    </row>
    <row r="984" spans="1:14" x14ac:dyDescent="0.2">
      <c r="A984" s="19">
        <f>IF(ISERROR(VLOOKUP(B984,Catalogo!$A$2:$C$410,2,0)),0,(VLOOKUP(B984,Catalogo!$A$2:$C$410,2,0)))</f>
        <v>0</v>
      </c>
      <c r="B984"/>
      <c r="C984"/>
      <c r="D984"/>
      <c r="E984"/>
      <c r="F984"/>
      <c r="G984"/>
      <c r="H984"/>
      <c r="I984"/>
      <c r="J984"/>
      <c r="K984"/>
      <c r="L984" s="16">
        <f t="shared" si="51"/>
        <v>0</v>
      </c>
      <c r="M984" s="16" t="str">
        <f t="shared" si="50"/>
        <v/>
      </c>
      <c r="N984" s="17">
        <f t="shared" si="52"/>
        <v>0</v>
      </c>
    </row>
    <row r="985" spans="1:14" x14ac:dyDescent="0.2">
      <c r="A985" s="19">
        <f>IF(ISERROR(VLOOKUP(B985,Catalogo!$A$2:$C$410,2,0)),0,(VLOOKUP(B985,Catalogo!$A$2:$C$410,2,0)))</f>
        <v>0</v>
      </c>
      <c r="B985"/>
      <c r="C985"/>
      <c r="D985"/>
      <c r="E985"/>
      <c r="F985"/>
      <c r="G985"/>
      <c r="H985"/>
      <c r="I985"/>
      <c r="J985"/>
      <c r="K985"/>
      <c r="L985" s="16">
        <f t="shared" si="51"/>
        <v>0</v>
      </c>
      <c r="M985" s="16" t="str">
        <f t="shared" si="50"/>
        <v/>
      </c>
      <c r="N985" s="17">
        <f t="shared" si="52"/>
        <v>0</v>
      </c>
    </row>
    <row r="986" spans="1:14" x14ac:dyDescent="0.2">
      <c r="A986" s="19">
        <f>IF(ISERROR(VLOOKUP(B986,Catalogo!$A$2:$C$410,2,0)),0,(VLOOKUP(B986,Catalogo!$A$2:$C$410,2,0)))</f>
        <v>0</v>
      </c>
      <c r="B986"/>
      <c r="C986"/>
      <c r="D986"/>
      <c r="E986"/>
      <c r="F986"/>
      <c r="G986"/>
      <c r="H986"/>
      <c r="I986"/>
      <c r="J986"/>
      <c r="K986"/>
      <c r="L986" s="16">
        <f t="shared" si="51"/>
        <v>0</v>
      </c>
      <c r="M986" s="16" t="str">
        <f t="shared" si="50"/>
        <v/>
      </c>
      <c r="N986" s="17">
        <f t="shared" si="52"/>
        <v>0</v>
      </c>
    </row>
    <row r="987" spans="1:14" x14ac:dyDescent="0.2">
      <c r="A987" s="19">
        <f>IF(ISERROR(VLOOKUP(B987,Catalogo!$A$2:$C$410,2,0)),0,(VLOOKUP(B987,Catalogo!$A$2:$C$410,2,0)))</f>
        <v>0</v>
      </c>
      <c r="B987"/>
      <c r="C987"/>
      <c r="D987"/>
      <c r="E987"/>
      <c r="F987"/>
      <c r="G987"/>
      <c r="H987"/>
      <c r="I987"/>
      <c r="J987"/>
      <c r="K987"/>
      <c r="L987" s="16">
        <f t="shared" si="51"/>
        <v>0</v>
      </c>
      <c r="M987" s="16" t="str">
        <f t="shared" si="50"/>
        <v/>
      </c>
      <c r="N987" s="17">
        <f t="shared" si="52"/>
        <v>0</v>
      </c>
    </row>
    <row r="988" spans="1:14" x14ac:dyDescent="0.2">
      <c r="A988" s="19">
        <f>IF(ISERROR(VLOOKUP(B988,Catalogo!$A$2:$C$410,2,0)),0,(VLOOKUP(B988,Catalogo!$A$2:$C$410,2,0)))</f>
        <v>0</v>
      </c>
      <c r="B988"/>
      <c r="C988"/>
      <c r="D988"/>
      <c r="E988"/>
      <c r="F988"/>
      <c r="G988"/>
      <c r="H988"/>
      <c r="I988"/>
      <c r="J988"/>
      <c r="K988"/>
      <c r="L988" s="16">
        <f t="shared" si="51"/>
        <v>0</v>
      </c>
      <c r="M988" s="16" t="str">
        <f t="shared" si="50"/>
        <v/>
      </c>
      <c r="N988" s="17">
        <f t="shared" si="52"/>
        <v>0</v>
      </c>
    </row>
    <row r="989" spans="1:14" x14ac:dyDescent="0.2">
      <c r="A989" s="19">
        <f>IF(ISERROR(VLOOKUP(B989,Catalogo!$A$2:$C$410,2,0)),0,(VLOOKUP(B989,Catalogo!$A$2:$C$410,2,0)))</f>
        <v>0</v>
      </c>
      <c r="B989"/>
      <c r="C989"/>
      <c r="D989"/>
      <c r="E989"/>
      <c r="F989"/>
      <c r="G989"/>
      <c r="H989"/>
      <c r="I989"/>
      <c r="J989"/>
      <c r="K989"/>
      <c r="L989" s="16">
        <f t="shared" si="51"/>
        <v>0</v>
      </c>
      <c r="M989" s="16" t="str">
        <f t="shared" si="50"/>
        <v/>
      </c>
      <c r="N989" s="17">
        <f t="shared" si="52"/>
        <v>0</v>
      </c>
    </row>
    <row r="990" spans="1:14" x14ac:dyDescent="0.2">
      <c r="A990" s="19">
        <f>IF(ISERROR(VLOOKUP(B990,Catalogo!$A$2:$C$410,2,0)),0,(VLOOKUP(B990,Catalogo!$A$2:$C$410,2,0)))</f>
        <v>0</v>
      </c>
      <c r="B990"/>
      <c r="C990"/>
      <c r="D990"/>
      <c r="E990"/>
      <c r="F990"/>
      <c r="G990"/>
      <c r="H990"/>
      <c r="I990"/>
      <c r="J990"/>
      <c r="K990"/>
      <c r="L990" s="16">
        <f t="shared" si="51"/>
        <v>0</v>
      </c>
      <c r="M990" s="16" t="str">
        <f t="shared" si="50"/>
        <v/>
      </c>
      <c r="N990" s="17">
        <f t="shared" si="52"/>
        <v>0</v>
      </c>
    </row>
    <row r="991" spans="1:14" x14ac:dyDescent="0.2">
      <c r="A991" s="19">
        <f>IF(ISERROR(VLOOKUP(B991,Catalogo!$A$2:$C$410,2,0)),0,(VLOOKUP(B991,Catalogo!$A$2:$C$410,2,0)))</f>
        <v>0</v>
      </c>
      <c r="B991"/>
      <c r="C991"/>
      <c r="D991"/>
      <c r="E991"/>
      <c r="F991"/>
      <c r="G991"/>
      <c r="H991"/>
      <c r="I991"/>
      <c r="J991"/>
      <c r="K991"/>
      <c r="L991" s="16">
        <f t="shared" si="51"/>
        <v>0</v>
      </c>
      <c r="M991" s="16" t="str">
        <f t="shared" si="50"/>
        <v/>
      </c>
      <c r="N991" s="17">
        <f t="shared" si="52"/>
        <v>0</v>
      </c>
    </row>
    <row r="992" spans="1:14" x14ac:dyDescent="0.2">
      <c r="A992" s="19">
        <f>IF(ISERROR(VLOOKUP(B992,Catalogo!$A$2:$C$410,2,0)),0,(VLOOKUP(B992,Catalogo!$A$2:$C$410,2,0)))</f>
        <v>0</v>
      </c>
      <c r="B992"/>
      <c r="C992"/>
      <c r="D992"/>
      <c r="E992"/>
      <c r="F992"/>
      <c r="G992"/>
      <c r="H992"/>
      <c r="I992"/>
      <c r="J992"/>
      <c r="K992"/>
      <c r="L992" s="16">
        <f t="shared" si="51"/>
        <v>0</v>
      </c>
      <c r="M992" s="16" t="str">
        <f t="shared" si="50"/>
        <v/>
      </c>
      <c r="N992" s="17">
        <f t="shared" si="52"/>
        <v>0</v>
      </c>
    </row>
    <row r="993" spans="1:14" x14ac:dyDescent="0.2">
      <c r="A993" s="19">
        <f>IF(ISERROR(VLOOKUP(B993,Catalogo!$A$2:$C$410,2,0)),0,(VLOOKUP(B993,Catalogo!$A$2:$C$410,2,0)))</f>
        <v>0</v>
      </c>
      <c r="B993"/>
      <c r="C993"/>
      <c r="D993"/>
      <c r="E993"/>
      <c r="F993"/>
      <c r="G993"/>
      <c r="H993"/>
      <c r="I993"/>
      <c r="J993"/>
      <c r="K993"/>
      <c r="L993" s="16">
        <f t="shared" si="51"/>
        <v>0</v>
      </c>
      <c r="M993" s="16" t="str">
        <f t="shared" si="50"/>
        <v/>
      </c>
      <c r="N993" s="17">
        <f t="shared" si="52"/>
        <v>0</v>
      </c>
    </row>
    <row r="994" spans="1:14" x14ac:dyDescent="0.2">
      <c r="A994" s="19">
        <f>IF(ISERROR(VLOOKUP(B994,Catalogo!$A$2:$C$410,2,0)),0,(VLOOKUP(B994,Catalogo!$A$2:$C$410,2,0)))</f>
        <v>0</v>
      </c>
      <c r="B994"/>
      <c r="C994"/>
      <c r="D994"/>
      <c r="E994"/>
      <c r="F994"/>
      <c r="G994"/>
      <c r="H994"/>
      <c r="I994"/>
      <c r="J994"/>
      <c r="K994"/>
      <c r="L994" s="16">
        <f t="shared" si="51"/>
        <v>0</v>
      </c>
      <c r="M994" s="16" t="str">
        <f t="shared" si="50"/>
        <v/>
      </c>
      <c r="N994" s="17">
        <f t="shared" si="52"/>
        <v>0</v>
      </c>
    </row>
    <row r="995" spans="1:14" x14ac:dyDescent="0.2">
      <c r="A995" s="19">
        <f>IF(ISERROR(VLOOKUP(B995,Catalogo!$A$2:$C$410,2,0)),0,(VLOOKUP(B995,Catalogo!$A$2:$C$410,2,0)))</f>
        <v>0</v>
      </c>
      <c r="B995"/>
      <c r="C995"/>
      <c r="D995"/>
      <c r="E995"/>
      <c r="F995"/>
      <c r="G995"/>
      <c r="H995"/>
      <c r="I995"/>
      <c r="J995"/>
      <c r="K995"/>
      <c r="L995" s="16">
        <f t="shared" si="51"/>
        <v>0</v>
      </c>
      <c r="M995" s="16" t="str">
        <f t="shared" si="50"/>
        <v/>
      </c>
      <c r="N995" s="17">
        <f t="shared" si="52"/>
        <v>0</v>
      </c>
    </row>
    <row r="996" spans="1:14" x14ac:dyDescent="0.2">
      <c r="A996" s="19">
        <f>IF(ISERROR(VLOOKUP(B996,Catalogo!$A$2:$C$410,2,0)),0,(VLOOKUP(B996,Catalogo!$A$2:$C$410,2,0)))</f>
        <v>0</v>
      </c>
      <c r="B996"/>
      <c r="C996"/>
      <c r="D996"/>
      <c r="E996"/>
      <c r="F996"/>
      <c r="G996"/>
      <c r="H996"/>
      <c r="I996"/>
      <c r="J996"/>
      <c r="K996"/>
      <c r="L996" s="16">
        <f t="shared" si="51"/>
        <v>0</v>
      </c>
      <c r="M996" s="16" t="str">
        <f t="shared" si="50"/>
        <v/>
      </c>
      <c r="N996" s="17">
        <f t="shared" si="52"/>
        <v>0</v>
      </c>
    </row>
    <row r="997" spans="1:14" x14ac:dyDescent="0.2">
      <c r="A997" s="19">
        <f>IF(ISERROR(VLOOKUP(B997,Catalogo!$A$2:$C$410,2,0)),0,(VLOOKUP(B997,Catalogo!$A$2:$C$410,2,0)))</f>
        <v>0</v>
      </c>
      <c r="B997"/>
      <c r="C997"/>
      <c r="D997"/>
      <c r="E997"/>
      <c r="F997"/>
      <c r="G997"/>
      <c r="H997"/>
      <c r="I997"/>
      <c r="J997"/>
      <c r="K997"/>
      <c r="L997" s="16">
        <f t="shared" si="51"/>
        <v>0</v>
      </c>
      <c r="M997" s="16" t="str">
        <f t="shared" si="50"/>
        <v/>
      </c>
      <c r="N997" s="17">
        <f t="shared" si="52"/>
        <v>0</v>
      </c>
    </row>
    <row r="998" spans="1:14" x14ac:dyDescent="0.2">
      <c r="A998" s="19">
        <f>IF(ISERROR(VLOOKUP(B998,Catalogo!$A$2:$C$410,2,0)),0,(VLOOKUP(B998,Catalogo!$A$2:$C$410,2,0)))</f>
        <v>0</v>
      </c>
      <c r="B998"/>
      <c r="C998"/>
      <c r="D998"/>
      <c r="E998"/>
      <c r="F998"/>
      <c r="G998"/>
      <c r="H998"/>
      <c r="I998"/>
      <c r="J998"/>
      <c r="K998"/>
      <c r="L998" s="16">
        <f t="shared" si="51"/>
        <v>0</v>
      </c>
      <c r="M998" s="16" t="str">
        <f t="shared" si="50"/>
        <v/>
      </c>
      <c r="N998" s="17">
        <f t="shared" si="52"/>
        <v>0</v>
      </c>
    </row>
    <row r="999" spans="1:14" x14ac:dyDescent="0.2">
      <c r="A999" s="19">
        <f>IF(ISERROR(VLOOKUP(B999,Catalogo!$A$2:$C$410,2,0)),0,(VLOOKUP(B999,Catalogo!$A$2:$C$410,2,0)))</f>
        <v>0</v>
      </c>
      <c r="B999"/>
      <c r="C999"/>
      <c r="D999"/>
      <c r="E999"/>
      <c r="F999"/>
      <c r="G999"/>
      <c r="H999"/>
      <c r="I999"/>
      <c r="J999"/>
      <c r="K999"/>
      <c r="L999" s="16">
        <f t="shared" si="51"/>
        <v>0</v>
      </c>
      <c r="M999" s="16" t="str">
        <f t="shared" si="50"/>
        <v/>
      </c>
      <c r="N999" s="17">
        <f t="shared" si="52"/>
        <v>0</v>
      </c>
    </row>
    <row r="1000" spans="1:14" x14ac:dyDescent="0.2">
      <c r="A1000" s="19">
        <f>IF(ISERROR(VLOOKUP(B1000,Catalogo!$A$2:$C$410,2,0)),0,(VLOOKUP(B1000,Catalogo!$A$2:$C$410,2,0)))</f>
        <v>0</v>
      </c>
      <c r="B1000"/>
      <c r="C1000"/>
      <c r="D1000"/>
      <c r="E1000"/>
      <c r="F1000"/>
      <c r="G1000"/>
      <c r="H1000"/>
      <c r="I1000"/>
      <c r="J1000"/>
      <c r="K1000"/>
      <c r="L1000" s="16">
        <f t="shared" si="51"/>
        <v>0</v>
      </c>
      <c r="M1000" s="16" t="str">
        <f t="shared" si="50"/>
        <v/>
      </c>
      <c r="N1000" s="17">
        <f t="shared" si="52"/>
        <v>0</v>
      </c>
    </row>
    <row r="1001" spans="1:14" x14ac:dyDescent="0.2">
      <c r="A1001" s="19">
        <f>IF(ISERROR(VLOOKUP(B1001,Catalogo!$A$2:$C$410,2,0)),0,(VLOOKUP(B1001,Catalogo!$A$2:$C$410,2,0)))</f>
        <v>0</v>
      </c>
      <c r="C1001" s="19"/>
      <c r="D1001" s="19"/>
      <c r="E1001" s="19"/>
      <c r="F1001" s="20"/>
      <c r="G1001" s="19"/>
      <c r="H1001" s="19"/>
      <c r="I1001" s="19"/>
      <c r="J1001" s="21"/>
      <c r="K1001" s="19"/>
      <c r="L1001" s="16">
        <f t="shared" si="51"/>
        <v>0</v>
      </c>
      <c r="M1001" s="16" t="str">
        <f t="shared" si="50"/>
        <v/>
      </c>
      <c r="N1001" s="17">
        <f t="shared" si="52"/>
        <v>0</v>
      </c>
    </row>
    <row r="1002" spans="1:14" x14ac:dyDescent="0.2">
      <c r="A1002" s="19">
        <f>IF(ISERROR(VLOOKUP(B1002,Catalogo!$A$2:$C$410,2,0)),0,(VLOOKUP(B1002,Catalogo!$A$2:$C$410,2,0)))</f>
        <v>0</v>
      </c>
      <c r="C1002" s="19"/>
      <c r="D1002" s="19"/>
      <c r="E1002" s="19"/>
      <c r="F1002" s="20"/>
      <c r="G1002" s="19"/>
      <c r="H1002" s="19"/>
      <c r="I1002" s="19"/>
      <c r="J1002" s="19"/>
      <c r="K1002" s="19"/>
      <c r="L1002" s="16">
        <f t="shared" si="51"/>
        <v>0</v>
      </c>
      <c r="M1002" s="16" t="str">
        <f t="shared" si="50"/>
        <v/>
      </c>
      <c r="N1002" s="17">
        <f t="shared" si="52"/>
        <v>0</v>
      </c>
    </row>
    <row r="1003" spans="1:14" x14ac:dyDescent="0.2">
      <c r="A1003" s="19">
        <f>IF(ISERROR(VLOOKUP(B1003,Catalogo!$A$2:$C$410,2,0)),0,(VLOOKUP(B1003,Catalogo!$A$2:$C$410,2,0)))</f>
        <v>0</v>
      </c>
      <c r="C1003" s="19"/>
      <c r="D1003" s="19"/>
      <c r="E1003" s="19"/>
      <c r="F1003" s="20"/>
      <c r="G1003" s="19"/>
      <c r="H1003" s="19"/>
      <c r="I1003" s="19"/>
      <c r="J1003" s="21"/>
      <c r="K1003" s="19"/>
      <c r="L1003" s="16">
        <f t="shared" si="51"/>
        <v>0</v>
      </c>
      <c r="M1003" s="16" t="str">
        <f t="shared" si="50"/>
        <v/>
      </c>
      <c r="N1003" s="17">
        <f t="shared" si="52"/>
        <v>0</v>
      </c>
    </row>
    <row r="1004" spans="1:14" x14ac:dyDescent="0.2">
      <c r="A1004" s="19">
        <f>IF(ISERROR(VLOOKUP(B1004,Catalogo!$A$2:$C$410,2,0)),0,(VLOOKUP(B1004,Catalogo!$A$2:$C$410,2,0)))</f>
        <v>0</v>
      </c>
      <c r="C1004" s="19"/>
      <c r="D1004" s="19"/>
      <c r="E1004" s="19"/>
      <c r="F1004" s="20"/>
      <c r="G1004" s="19"/>
      <c r="H1004" s="19"/>
      <c r="I1004" s="19"/>
      <c r="J1004" s="21"/>
      <c r="K1004" s="19"/>
      <c r="L1004" s="16">
        <f t="shared" si="51"/>
        <v>0</v>
      </c>
      <c r="M1004" s="16" t="str">
        <f t="shared" ref="M1004:M1023" si="53">LEFT(E1004,1)</f>
        <v/>
      </c>
      <c r="N1004" s="17">
        <f t="shared" si="52"/>
        <v>0</v>
      </c>
    </row>
    <row r="1005" spans="1:14" x14ac:dyDescent="0.2">
      <c r="A1005" s="19">
        <f>IF(ISERROR(VLOOKUP(B1005,Catalogo!$A$2:$C$410,2,0)),0,(VLOOKUP(B1005,Catalogo!$A$2:$C$410,2,0)))</f>
        <v>0</v>
      </c>
      <c r="C1005" s="19"/>
      <c r="D1005" s="19"/>
      <c r="E1005" s="19"/>
      <c r="F1005" s="20"/>
      <c r="G1005" s="19"/>
      <c r="H1005" s="19"/>
      <c r="I1005" s="19"/>
      <c r="J1005" s="21"/>
      <c r="K1005" s="19"/>
      <c r="L1005" s="16">
        <f t="shared" si="51"/>
        <v>0</v>
      </c>
      <c r="M1005" s="16" t="str">
        <f t="shared" si="53"/>
        <v/>
      </c>
      <c r="N1005" s="17">
        <f t="shared" si="52"/>
        <v>0</v>
      </c>
    </row>
    <row r="1006" spans="1:14" x14ac:dyDescent="0.2">
      <c r="A1006" s="19">
        <f>IF(ISERROR(VLOOKUP(B1006,Catalogo!$A$2:$C$410,2,0)),0,(VLOOKUP(B1006,Catalogo!$A$2:$C$410,2,0)))</f>
        <v>0</v>
      </c>
      <c r="C1006" s="19"/>
      <c r="D1006" s="19"/>
      <c r="E1006" s="19"/>
      <c r="F1006" s="20"/>
      <c r="G1006" s="19"/>
      <c r="H1006" s="19"/>
      <c r="I1006" s="19"/>
      <c r="J1006" s="21"/>
      <c r="K1006" s="19"/>
      <c r="L1006" s="16">
        <f t="shared" si="51"/>
        <v>0</v>
      </c>
      <c r="M1006" s="16" t="str">
        <f t="shared" si="53"/>
        <v/>
      </c>
      <c r="N1006" s="17">
        <f t="shared" si="52"/>
        <v>0</v>
      </c>
    </row>
    <row r="1007" spans="1:14" x14ac:dyDescent="0.2">
      <c r="A1007" s="19">
        <f>IF(ISERROR(VLOOKUP(B1007,Catalogo!$A$2:$C$410,2,0)),0,(VLOOKUP(B1007,Catalogo!$A$2:$C$410,2,0)))</f>
        <v>0</v>
      </c>
      <c r="C1007" s="19"/>
      <c r="D1007" s="19"/>
      <c r="E1007" s="19"/>
      <c r="F1007" s="20"/>
      <c r="G1007" s="19"/>
      <c r="H1007" s="19"/>
      <c r="I1007" s="19"/>
      <c r="J1007" s="21"/>
      <c r="K1007" s="19"/>
      <c r="L1007" s="16">
        <f t="shared" si="51"/>
        <v>0</v>
      </c>
      <c r="M1007" s="16" t="str">
        <f t="shared" si="53"/>
        <v/>
      </c>
      <c r="N1007" s="17">
        <f t="shared" si="52"/>
        <v>0</v>
      </c>
    </row>
    <row r="1008" spans="1:14" x14ac:dyDescent="0.2">
      <c r="A1008" s="19">
        <f>IF(ISERROR(VLOOKUP(B1008,Catalogo!$A$2:$C$410,2,0)),0,(VLOOKUP(B1008,Catalogo!$A$2:$C$410,2,0)))</f>
        <v>0</v>
      </c>
      <c r="C1008" s="19"/>
      <c r="D1008" s="19"/>
      <c r="E1008" s="19"/>
      <c r="F1008" s="20"/>
      <c r="G1008" s="19"/>
      <c r="H1008" s="19"/>
      <c r="I1008" s="19"/>
      <c r="J1008" s="21"/>
      <c r="K1008" s="19"/>
      <c r="L1008" s="16">
        <f t="shared" si="51"/>
        <v>0</v>
      </c>
      <c r="M1008" s="16" t="str">
        <f t="shared" si="53"/>
        <v/>
      </c>
      <c r="N1008" s="17">
        <f t="shared" si="52"/>
        <v>0</v>
      </c>
    </row>
    <row r="1009" spans="1:14" x14ac:dyDescent="0.2">
      <c r="A1009" s="19">
        <f>IF(ISERROR(VLOOKUP(B1009,Catalogo!$A$2:$C$410,2,0)),0,(VLOOKUP(B1009,Catalogo!$A$2:$C$410,2,0)))</f>
        <v>0</v>
      </c>
      <c r="C1009" s="19"/>
      <c r="D1009" s="19"/>
      <c r="E1009" s="19"/>
      <c r="F1009" s="20"/>
      <c r="G1009" s="19"/>
      <c r="H1009" s="19"/>
      <c r="I1009" s="19"/>
      <c r="J1009" s="21"/>
      <c r="K1009" s="19"/>
      <c r="L1009" s="16">
        <f t="shared" si="51"/>
        <v>0</v>
      </c>
      <c r="M1009" s="16" t="str">
        <f t="shared" si="53"/>
        <v/>
      </c>
      <c r="N1009" s="17">
        <f t="shared" si="52"/>
        <v>0</v>
      </c>
    </row>
    <row r="1010" spans="1:14" x14ac:dyDescent="0.2">
      <c r="A1010" s="19">
        <f>IF(ISERROR(VLOOKUP(B1010,Catalogo!$A$2:$C$410,2,0)),0,(VLOOKUP(B1010,Catalogo!$A$2:$C$410,2,0)))</f>
        <v>0</v>
      </c>
      <c r="C1010" s="19"/>
      <c r="D1010" s="19"/>
      <c r="E1010" s="19"/>
      <c r="F1010" s="20"/>
      <c r="G1010" s="19"/>
      <c r="H1010" s="19"/>
      <c r="I1010" s="19"/>
      <c r="J1010" s="21"/>
      <c r="K1010" s="19"/>
      <c r="L1010" s="16">
        <f t="shared" si="51"/>
        <v>0</v>
      </c>
      <c r="M1010" s="16" t="str">
        <f t="shared" si="53"/>
        <v/>
      </c>
      <c r="N1010" s="17">
        <f t="shared" si="52"/>
        <v>0</v>
      </c>
    </row>
    <row r="1011" spans="1:14" x14ac:dyDescent="0.2">
      <c r="A1011" s="19">
        <f>IF(ISERROR(VLOOKUP(B1011,Catalogo!$A$2:$C$410,2,0)),0,(VLOOKUP(B1011,Catalogo!$A$2:$C$410,2,0)))</f>
        <v>0</v>
      </c>
      <c r="C1011" s="19"/>
      <c r="D1011" s="19"/>
      <c r="E1011" s="19"/>
      <c r="F1011" s="20"/>
      <c r="G1011" s="19"/>
      <c r="H1011" s="19"/>
      <c r="I1011" s="19"/>
      <c r="J1011" s="21"/>
      <c r="K1011" s="19"/>
      <c r="L1011" s="16">
        <f t="shared" si="51"/>
        <v>0</v>
      </c>
      <c r="M1011" s="16" t="str">
        <f t="shared" si="53"/>
        <v/>
      </c>
      <c r="N1011" s="17">
        <f t="shared" si="52"/>
        <v>0</v>
      </c>
    </row>
    <row r="1012" spans="1:14" x14ac:dyDescent="0.2">
      <c r="A1012" s="19">
        <f>IF(ISERROR(VLOOKUP(B1012,Catalogo!$A$2:$C$410,2,0)),0,(VLOOKUP(B1012,Catalogo!$A$2:$C$410,2,0)))</f>
        <v>0</v>
      </c>
      <c r="C1012" s="19"/>
      <c r="D1012" s="19"/>
      <c r="E1012" s="19"/>
      <c r="F1012" s="20"/>
      <c r="G1012" s="19"/>
      <c r="H1012" s="19"/>
      <c r="I1012" s="19"/>
      <c r="J1012" s="21"/>
      <c r="K1012" s="19"/>
      <c r="L1012" s="16">
        <f t="shared" si="51"/>
        <v>0</v>
      </c>
      <c r="M1012" s="16" t="str">
        <f t="shared" si="53"/>
        <v/>
      </c>
      <c r="N1012" s="17">
        <f t="shared" si="52"/>
        <v>0</v>
      </c>
    </row>
    <row r="1013" spans="1:14" x14ac:dyDescent="0.2">
      <c r="A1013" s="19">
        <f>IF(ISERROR(VLOOKUP(B1013,Catalogo!$A$2:$C$410,2,0)),0,(VLOOKUP(B1013,Catalogo!$A$2:$C$410,2,0)))</f>
        <v>0</v>
      </c>
      <c r="C1013" s="19"/>
      <c r="D1013" s="19"/>
      <c r="E1013" s="19"/>
      <c r="F1013" s="20"/>
      <c r="G1013" s="19"/>
      <c r="H1013" s="19"/>
      <c r="I1013" s="19"/>
      <c r="J1013" s="21"/>
      <c r="K1013" s="19"/>
      <c r="L1013" s="16">
        <f t="shared" si="51"/>
        <v>0</v>
      </c>
      <c r="M1013" s="16" t="str">
        <f t="shared" si="53"/>
        <v/>
      </c>
      <c r="N1013" s="17">
        <f t="shared" si="52"/>
        <v>0</v>
      </c>
    </row>
    <row r="1014" spans="1:14" x14ac:dyDescent="0.2">
      <c r="A1014" s="19">
        <f>IF(ISERROR(VLOOKUP(B1014,Catalogo!$A$2:$C$410,2,0)),0,(VLOOKUP(B1014,Catalogo!$A$2:$C$410,2,0)))</f>
        <v>0</v>
      </c>
      <c r="C1014" s="19"/>
      <c r="D1014" s="19"/>
      <c r="E1014" s="19"/>
      <c r="F1014" s="20"/>
      <c r="G1014" s="19"/>
      <c r="H1014" s="19"/>
      <c r="I1014" s="19"/>
      <c r="J1014" s="21"/>
      <c r="K1014" s="19"/>
      <c r="L1014" s="16">
        <f t="shared" si="51"/>
        <v>0</v>
      </c>
      <c r="M1014" s="16" t="str">
        <f t="shared" si="53"/>
        <v/>
      </c>
      <c r="N1014" s="17">
        <f t="shared" si="52"/>
        <v>0</v>
      </c>
    </row>
    <row r="1015" spans="1:14" x14ac:dyDescent="0.2">
      <c r="A1015" s="19">
        <f>IF(ISERROR(VLOOKUP(B1015,Catalogo!$A$2:$C$410,2,0)),0,(VLOOKUP(B1015,Catalogo!$A$2:$C$410,2,0)))</f>
        <v>0</v>
      </c>
      <c r="C1015" s="19"/>
      <c r="D1015" s="19"/>
      <c r="E1015" s="19"/>
      <c r="F1015" s="20"/>
      <c r="G1015" s="19"/>
      <c r="H1015" s="19"/>
      <c r="I1015" s="19"/>
      <c r="J1015" s="21"/>
      <c r="K1015" s="19"/>
      <c r="L1015" s="16">
        <f t="shared" si="51"/>
        <v>0</v>
      </c>
      <c r="M1015" s="16" t="str">
        <f t="shared" si="53"/>
        <v/>
      </c>
      <c r="N1015" s="17">
        <f t="shared" si="52"/>
        <v>0</v>
      </c>
    </row>
    <row r="1016" spans="1:14" x14ac:dyDescent="0.2">
      <c r="A1016" s="19">
        <f>IF(ISERROR(VLOOKUP(B1016,Catalogo!$A$2:$C$410,2,0)),0,(VLOOKUP(B1016,Catalogo!$A$2:$C$410,2,0)))</f>
        <v>0</v>
      </c>
      <c r="C1016" s="19"/>
      <c r="D1016" s="19"/>
      <c r="E1016" s="19"/>
      <c r="F1016" s="20"/>
      <c r="G1016" s="19"/>
      <c r="H1016" s="19"/>
      <c r="I1016" s="19"/>
      <c r="J1016" s="21"/>
      <c r="K1016" s="19"/>
      <c r="L1016" s="16">
        <f t="shared" si="51"/>
        <v>0</v>
      </c>
      <c r="M1016" s="16" t="str">
        <f t="shared" si="53"/>
        <v/>
      </c>
      <c r="N1016" s="17">
        <f t="shared" si="52"/>
        <v>0</v>
      </c>
    </row>
    <row r="1017" spans="1:14" x14ac:dyDescent="0.2">
      <c r="A1017" s="19">
        <f>IF(ISERROR(VLOOKUP(B1017,Catalogo!$A$2:$C$410,2,0)),0,(VLOOKUP(B1017,Catalogo!$A$2:$C$410,2,0)))</f>
        <v>0</v>
      </c>
      <c r="C1017" s="19"/>
      <c r="D1017" s="19"/>
      <c r="E1017" s="19"/>
      <c r="F1017" s="20"/>
      <c r="G1017" s="19"/>
      <c r="H1017" s="19"/>
      <c r="I1017" s="19"/>
      <c r="J1017" s="21"/>
      <c r="K1017" s="19"/>
      <c r="L1017" s="16">
        <f t="shared" si="51"/>
        <v>0</v>
      </c>
      <c r="M1017" s="16" t="str">
        <f t="shared" si="53"/>
        <v/>
      </c>
      <c r="N1017" s="17">
        <f t="shared" si="52"/>
        <v>0</v>
      </c>
    </row>
    <row r="1018" spans="1:14" x14ac:dyDescent="0.2">
      <c r="A1018" s="19">
        <f>IF(ISERROR(VLOOKUP(B1018,Catalogo!$A$2:$C$410,2,0)),0,(VLOOKUP(B1018,Catalogo!$A$2:$C$410,2,0)))</f>
        <v>0</v>
      </c>
      <c r="C1018" s="19"/>
      <c r="D1018" s="19"/>
      <c r="E1018" s="19"/>
      <c r="F1018" s="20"/>
      <c r="G1018" s="19"/>
      <c r="H1018" s="19"/>
      <c r="I1018" s="19"/>
      <c r="J1018" s="21"/>
      <c r="K1018" s="19"/>
      <c r="L1018" s="16">
        <f t="shared" si="51"/>
        <v>0</v>
      </c>
      <c r="M1018" s="16" t="str">
        <f t="shared" si="53"/>
        <v/>
      </c>
      <c r="N1018" s="17">
        <f t="shared" si="52"/>
        <v>0</v>
      </c>
    </row>
    <row r="1019" spans="1:14" x14ac:dyDescent="0.2">
      <c r="A1019" s="19">
        <f>IF(ISERROR(VLOOKUP(B1019,Catalogo!$A$2:$C$410,2,0)),0,(VLOOKUP(B1019,Catalogo!$A$2:$C$410,2,0)))</f>
        <v>0</v>
      </c>
      <c r="C1019" s="19"/>
      <c r="D1019" s="19"/>
      <c r="E1019" s="19"/>
      <c r="F1019" s="20"/>
      <c r="G1019" s="19"/>
      <c r="H1019" s="19"/>
      <c r="I1019" s="19"/>
      <c r="J1019" s="21"/>
      <c r="K1019" s="19"/>
      <c r="L1019" s="16">
        <f t="shared" si="51"/>
        <v>0</v>
      </c>
      <c r="M1019" s="16" t="str">
        <f t="shared" si="53"/>
        <v/>
      </c>
      <c r="N1019" s="17">
        <f t="shared" si="52"/>
        <v>0</v>
      </c>
    </row>
    <row r="1020" spans="1:14" x14ac:dyDescent="0.2">
      <c r="A1020" s="19">
        <f>IF(ISERROR(VLOOKUP(B1020,Catalogo!$A$2:$C$410,2,0)),0,(VLOOKUP(B1020,Catalogo!$A$2:$C$410,2,0)))</f>
        <v>0</v>
      </c>
      <c r="C1020" s="19"/>
      <c r="D1020" s="19"/>
      <c r="E1020" s="19"/>
      <c r="F1020" s="20"/>
      <c r="G1020" s="19"/>
      <c r="H1020" s="19"/>
      <c r="I1020" s="19"/>
      <c r="J1020" s="21"/>
      <c r="K1020" s="19"/>
      <c r="L1020" s="16">
        <f t="shared" si="51"/>
        <v>0</v>
      </c>
      <c r="M1020" s="16" t="str">
        <f t="shared" si="53"/>
        <v/>
      </c>
      <c r="N1020" s="17">
        <f t="shared" si="52"/>
        <v>0</v>
      </c>
    </row>
    <row r="1021" spans="1:14" x14ac:dyDescent="0.2">
      <c r="A1021" s="19">
        <f>IF(ISERROR(VLOOKUP(B1021,Catalogo!$A$2:$C$410,2,0)),0,(VLOOKUP(B1021,Catalogo!$A$2:$C$410,2,0)))</f>
        <v>0</v>
      </c>
      <c r="C1021" s="19"/>
      <c r="D1021" s="19"/>
      <c r="E1021" s="19"/>
      <c r="F1021" s="20"/>
      <c r="G1021" s="19"/>
      <c r="H1021" s="19"/>
      <c r="I1021" s="19"/>
      <c r="J1021" s="21"/>
      <c r="K1021" s="19"/>
      <c r="L1021" s="16">
        <f t="shared" si="51"/>
        <v>0</v>
      </c>
      <c r="M1021" s="16" t="str">
        <f t="shared" si="53"/>
        <v/>
      </c>
      <c r="N1021" s="17">
        <f t="shared" si="52"/>
        <v>0</v>
      </c>
    </row>
    <row r="1022" spans="1:14" x14ac:dyDescent="0.2">
      <c r="A1022" s="19">
        <f>IF(ISERROR(VLOOKUP(B1022,Catalogo!$A$2:$C$410,2,0)),0,(VLOOKUP(B1022,Catalogo!$A$2:$C$410,2,0)))</f>
        <v>0</v>
      </c>
      <c r="C1022" s="19"/>
      <c r="D1022" s="19"/>
      <c r="E1022" s="19"/>
      <c r="F1022" s="20"/>
      <c r="G1022" s="19"/>
      <c r="H1022" s="19"/>
      <c r="I1022" s="19"/>
      <c r="J1022" s="21"/>
      <c r="K1022" s="19"/>
      <c r="L1022" s="16">
        <f t="shared" si="51"/>
        <v>0</v>
      </c>
      <c r="M1022" s="16" t="str">
        <f t="shared" si="53"/>
        <v/>
      </c>
      <c r="N1022" s="17">
        <f t="shared" si="52"/>
        <v>0</v>
      </c>
    </row>
    <row r="1023" spans="1:14" x14ac:dyDescent="0.2">
      <c r="A1023" s="19">
        <f>IF(ISERROR(VLOOKUP(B1023,Catalogo!$A$2:$C$410,2,0)),0,(VLOOKUP(B1023,Catalogo!$A$2:$C$410,2,0)))</f>
        <v>0</v>
      </c>
      <c r="C1023" s="19"/>
      <c r="D1023" s="19"/>
      <c r="E1023" s="19"/>
      <c r="F1023" s="20"/>
      <c r="G1023" s="19"/>
      <c r="H1023" s="19"/>
      <c r="I1023" s="19"/>
      <c r="J1023" s="21"/>
      <c r="K1023" s="19"/>
      <c r="L1023" s="16">
        <f t="shared" si="51"/>
        <v>0</v>
      </c>
      <c r="M1023" s="16" t="str">
        <f t="shared" si="53"/>
        <v/>
      </c>
      <c r="N1023" s="17">
        <f t="shared" si="52"/>
        <v>0</v>
      </c>
    </row>
    <row r="1024" spans="1:14" x14ac:dyDescent="0.2">
      <c r="A1024" s="19">
        <f>IF(ISERROR(VLOOKUP(B1024,Catalogo!$A$2:$C$410,2,0)),0,(VLOOKUP(B1024,Catalogo!$A$2:$C$410,2,0)))</f>
        <v>0</v>
      </c>
      <c r="C1024" s="19"/>
      <c r="D1024" s="19"/>
      <c r="E1024" s="19"/>
      <c r="F1024" s="20"/>
      <c r="G1024" s="19"/>
      <c r="H1024" s="19"/>
      <c r="I1024" s="19"/>
      <c r="J1024" s="19"/>
      <c r="K1024" s="19"/>
      <c r="L1024" s="16">
        <f t="shared" si="51"/>
        <v>0</v>
      </c>
      <c r="M1024" s="16" t="str">
        <f t="shared" ref="M1024:M1087" si="54">LEFT(E1024,1)</f>
        <v/>
      </c>
      <c r="N1024" s="17">
        <f t="shared" si="52"/>
        <v>0</v>
      </c>
    </row>
    <row r="1025" spans="1:14" x14ac:dyDescent="0.2">
      <c r="A1025" s="19">
        <f>IF(ISERROR(VLOOKUP(B1025,Catalogo!$A$2:$C$410,2,0)),0,(VLOOKUP(B1025,Catalogo!$A$2:$C$410,2,0)))</f>
        <v>0</v>
      </c>
      <c r="C1025" s="19"/>
      <c r="D1025" s="19"/>
      <c r="E1025" s="19"/>
      <c r="F1025" s="20"/>
      <c r="G1025" s="19"/>
      <c r="H1025" s="19"/>
      <c r="I1025" s="19"/>
      <c r="J1025" s="21"/>
      <c r="K1025" s="19"/>
      <c r="L1025" s="16">
        <f t="shared" si="51"/>
        <v>0</v>
      </c>
      <c r="M1025" s="16" t="str">
        <f t="shared" si="54"/>
        <v/>
      </c>
      <c r="N1025" s="17">
        <f t="shared" si="52"/>
        <v>0</v>
      </c>
    </row>
    <row r="1026" spans="1:14" x14ac:dyDescent="0.2">
      <c r="A1026" s="19">
        <f>IF(ISERROR(VLOOKUP(B1026,Catalogo!$A$2:$C$410,2,0)),0,(VLOOKUP(B1026,Catalogo!$A$2:$C$410,2,0)))</f>
        <v>0</v>
      </c>
      <c r="C1026" s="19"/>
      <c r="D1026" s="19"/>
      <c r="E1026" s="19"/>
      <c r="F1026" s="20"/>
      <c r="G1026" s="19"/>
      <c r="H1026" s="19"/>
      <c r="I1026" s="19"/>
      <c r="J1026" s="21"/>
      <c r="K1026" s="19"/>
      <c r="L1026" s="16">
        <f t="shared" ref="L1026:L1089" si="55">IF(A1026="Record Keeping",B1026,0)</f>
        <v>0</v>
      </c>
      <c r="M1026" s="16" t="str">
        <f t="shared" si="54"/>
        <v/>
      </c>
      <c r="N1026" s="17">
        <f t="shared" ref="N1026:N1089" si="56">IF(G1026="CAN",F1026*0,IF(M1026="R",F1026*-1,F1026*1)*AND(A1026="Record Keeping"))</f>
        <v>0</v>
      </c>
    </row>
    <row r="1027" spans="1:14" x14ac:dyDescent="0.2">
      <c r="A1027" s="19">
        <f>IF(ISERROR(VLOOKUP(B1027,Catalogo!$A$2:$C$410,2,0)),0,(VLOOKUP(B1027,Catalogo!$A$2:$C$410,2,0)))</f>
        <v>0</v>
      </c>
      <c r="C1027" s="19"/>
      <c r="D1027" s="19"/>
      <c r="E1027" s="19"/>
      <c r="F1027" s="20"/>
      <c r="G1027" s="19"/>
      <c r="H1027" s="19"/>
      <c r="I1027" s="19"/>
      <c r="J1027" s="21"/>
      <c r="K1027" s="19"/>
      <c r="L1027" s="16">
        <f t="shared" si="55"/>
        <v>0</v>
      </c>
      <c r="M1027" s="16" t="str">
        <f t="shared" si="54"/>
        <v/>
      </c>
      <c r="N1027" s="17">
        <f t="shared" si="56"/>
        <v>0</v>
      </c>
    </row>
    <row r="1028" spans="1:14" x14ac:dyDescent="0.2">
      <c r="A1028" s="19">
        <f>IF(ISERROR(VLOOKUP(B1028,Catalogo!$A$2:$C$410,2,0)),0,(VLOOKUP(B1028,Catalogo!$A$2:$C$410,2,0)))</f>
        <v>0</v>
      </c>
      <c r="C1028" s="19"/>
      <c r="D1028" s="19"/>
      <c r="E1028" s="19"/>
      <c r="F1028" s="20"/>
      <c r="G1028" s="19"/>
      <c r="H1028" s="19"/>
      <c r="I1028" s="19"/>
      <c r="J1028" s="21"/>
      <c r="K1028" s="19"/>
      <c r="L1028" s="16">
        <f t="shared" si="55"/>
        <v>0</v>
      </c>
      <c r="M1028" s="16" t="str">
        <f t="shared" si="54"/>
        <v/>
      </c>
      <c r="N1028" s="17">
        <f t="shared" si="56"/>
        <v>0</v>
      </c>
    </row>
    <row r="1029" spans="1:14" x14ac:dyDescent="0.2">
      <c r="A1029" s="19">
        <f>IF(ISERROR(VLOOKUP(B1029,Catalogo!$A$2:$C$410,2,0)),0,(VLOOKUP(B1029,Catalogo!$A$2:$C$410,2,0)))</f>
        <v>0</v>
      </c>
      <c r="C1029" s="19"/>
      <c r="D1029" s="19"/>
      <c r="E1029" s="19"/>
      <c r="F1029" s="20"/>
      <c r="G1029" s="19"/>
      <c r="H1029" s="19"/>
      <c r="I1029" s="19"/>
      <c r="J1029" s="21"/>
      <c r="K1029" s="19"/>
      <c r="L1029" s="16">
        <f t="shared" si="55"/>
        <v>0</v>
      </c>
      <c r="M1029" s="16" t="str">
        <f t="shared" si="54"/>
        <v/>
      </c>
      <c r="N1029" s="17">
        <f t="shared" si="56"/>
        <v>0</v>
      </c>
    </row>
    <row r="1030" spans="1:14" x14ac:dyDescent="0.2">
      <c r="A1030" s="19">
        <f>IF(ISERROR(VLOOKUP(B1030,Catalogo!$A$2:$C$410,2,0)),0,(VLOOKUP(B1030,Catalogo!$A$2:$C$410,2,0)))</f>
        <v>0</v>
      </c>
      <c r="C1030" s="19"/>
      <c r="D1030" s="19"/>
      <c r="E1030" s="19"/>
      <c r="F1030" s="20"/>
      <c r="G1030" s="19"/>
      <c r="H1030" s="19"/>
      <c r="I1030" s="19"/>
      <c r="J1030" s="21"/>
      <c r="K1030" s="19"/>
      <c r="L1030" s="16">
        <f t="shared" si="55"/>
        <v>0</v>
      </c>
      <c r="M1030" s="16" t="str">
        <f t="shared" si="54"/>
        <v/>
      </c>
      <c r="N1030" s="17">
        <f t="shared" si="56"/>
        <v>0</v>
      </c>
    </row>
    <row r="1031" spans="1:14" x14ac:dyDescent="0.2">
      <c r="A1031" s="19">
        <f>IF(ISERROR(VLOOKUP(B1031,Catalogo!$A$2:$C$410,2,0)),0,(VLOOKUP(B1031,Catalogo!$A$2:$C$410,2,0)))</f>
        <v>0</v>
      </c>
      <c r="C1031" s="19"/>
      <c r="D1031" s="19"/>
      <c r="E1031" s="19"/>
      <c r="F1031" s="20"/>
      <c r="G1031" s="19"/>
      <c r="H1031" s="19"/>
      <c r="I1031" s="19"/>
      <c r="J1031" s="21"/>
      <c r="K1031" s="19"/>
      <c r="L1031" s="16">
        <f t="shared" si="55"/>
        <v>0</v>
      </c>
      <c r="M1031" s="16" t="str">
        <f t="shared" si="54"/>
        <v/>
      </c>
      <c r="N1031" s="17">
        <f t="shared" si="56"/>
        <v>0</v>
      </c>
    </row>
    <row r="1032" spans="1:14" x14ac:dyDescent="0.2">
      <c r="A1032" s="19">
        <f>IF(ISERROR(VLOOKUP(B1032,Catalogo!$A$2:$C$410,2,0)),0,(VLOOKUP(B1032,Catalogo!$A$2:$C$410,2,0)))</f>
        <v>0</v>
      </c>
      <c r="C1032" s="19"/>
      <c r="D1032" s="19"/>
      <c r="E1032" s="19"/>
      <c r="F1032" s="20"/>
      <c r="G1032" s="19"/>
      <c r="H1032" s="19"/>
      <c r="I1032" s="19"/>
      <c r="J1032" s="21"/>
      <c r="K1032" s="19"/>
      <c r="L1032" s="16">
        <f t="shared" si="55"/>
        <v>0</v>
      </c>
      <c r="M1032" s="16" t="str">
        <f t="shared" si="54"/>
        <v/>
      </c>
      <c r="N1032" s="17">
        <f t="shared" si="56"/>
        <v>0</v>
      </c>
    </row>
    <row r="1033" spans="1:14" x14ac:dyDescent="0.2">
      <c r="A1033" s="19">
        <f>IF(ISERROR(VLOOKUP(B1033,Catalogo!$A$2:$C$410,2,0)),0,(VLOOKUP(B1033,Catalogo!$A$2:$C$410,2,0)))</f>
        <v>0</v>
      </c>
      <c r="C1033" s="19"/>
      <c r="D1033" s="19"/>
      <c r="E1033" s="19"/>
      <c r="F1033" s="20"/>
      <c r="G1033" s="19"/>
      <c r="H1033" s="19"/>
      <c r="I1033" s="19"/>
      <c r="J1033" s="21"/>
      <c r="K1033" s="19"/>
      <c r="L1033" s="16">
        <f t="shared" si="55"/>
        <v>0</v>
      </c>
      <c r="M1033" s="16" t="str">
        <f t="shared" si="54"/>
        <v/>
      </c>
      <c r="N1033" s="17">
        <f t="shared" si="56"/>
        <v>0</v>
      </c>
    </row>
    <row r="1034" spans="1:14" x14ac:dyDescent="0.2">
      <c r="A1034" s="19">
        <f>IF(ISERROR(VLOOKUP(B1034,Catalogo!$A$2:$C$410,2,0)),0,(VLOOKUP(B1034,Catalogo!$A$2:$C$410,2,0)))</f>
        <v>0</v>
      </c>
      <c r="C1034" s="19"/>
      <c r="D1034" s="19"/>
      <c r="E1034" s="19"/>
      <c r="F1034" s="20"/>
      <c r="G1034" s="19"/>
      <c r="H1034" s="19"/>
      <c r="I1034" s="19"/>
      <c r="J1034" s="21"/>
      <c r="K1034" s="19"/>
      <c r="L1034" s="16">
        <f t="shared" si="55"/>
        <v>0</v>
      </c>
      <c r="M1034" s="16" t="str">
        <f t="shared" si="54"/>
        <v/>
      </c>
      <c r="N1034" s="17">
        <f t="shared" si="56"/>
        <v>0</v>
      </c>
    </row>
    <row r="1035" spans="1:14" x14ac:dyDescent="0.2">
      <c r="A1035" s="19">
        <f>IF(ISERROR(VLOOKUP(B1035,Catalogo!$A$2:$C$410,2,0)),0,(VLOOKUP(B1035,Catalogo!$A$2:$C$410,2,0)))</f>
        <v>0</v>
      </c>
      <c r="C1035" s="19"/>
      <c r="D1035" s="19"/>
      <c r="E1035" s="19"/>
      <c r="F1035" s="20"/>
      <c r="G1035" s="19"/>
      <c r="H1035" s="19"/>
      <c r="I1035" s="19"/>
      <c r="J1035" s="21"/>
      <c r="K1035" s="19"/>
      <c r="L1035" s="16">
        <f t="shared" si="55"/>
        <v>0</v>
      </c>
      <c r="M1035" s="16" t="str">
        <f t="shared" si="54"/>
        <v/>
      </c>
      <c r="N1035" s="17">
        <f t="shared" si="56"/>
        <v>0</v>
      </c>
    </row>
    <row r="1036" spans="1:14" x14ac:dyDescent="0.2">
      <c r="A1036" s="19">
        <f>IF(ISERROR(VLOOKUP(B1036,Catalogo!$A$2:$C$410,2,0)),0,(VLOOKUP(B1036,Catalogo!$A$2:$C$410,2,0)))</f>
        <v>0</v>
      </c>
      <c r="C1036" s="19"/>
      <c r="D1036" s="19"/>
      <c r="E1036" s="19"/>
      <c r="F1036" s="20"/>
      <c r="G1036" s="19"/>
      <c r="H1036" s="19"/>
      <c r="I1036" s="19"/>
      <c r="J1036" s="21"/>
      <c r="K1036" s="19"/>
      <c r="L1036" s="16">
        <f t="shared" si="55"/>
        <v>0</v>
      </c>
      <c r="M1036" s="16" t="str">
        <f t="shared" si="54"/>
        <v/>
      </c>
      <c r="N1036" s="17">
        <f t="shared" si="56"/>
        <v>0</v>
      </c>
    </row>
    <row r="1037" spans="1:14" x14ac:dyDescent="0.2">
      <c r="A1037" s="19">
        <f>IF(ISERROR(VLOOKUP(B1037,Catalogo!$A$2:$C$410,2,0)),0,(VLOOKUP(B1037,Catalogo!$A$2:$C$410,2,0)))</f>
        <v>0</v>
      </c>
      <c r="C1037" s="19"/>
      <c r="D1037" s="19"/>
      <c r="E1037" s="19"/>
      <c r="F1037" s="20"/>
      <c r="G1037" s="19"/>
      <c r="H1037" s="19"/>
      <c r="I1037" s="19"/>
      <c r="J1037" s="21"/>
      <c r="K1037" s="19"/>
      <c r="L1037" s="16">
        <f t="shared" si="55"/>
        <v>0</v>
      </c>
      <c r="M1037" s="16" t="str">
        <f t="shared" si="54"/>
        <v/>
      </c>
      <c r="N1037" s="17">
        <f t="shared" si="56"/>
        <v>0</v>
      </c>
    </row>
    <row r="1038" spans="1:14" x14ac:dyDescent="0.2">
      <c r="A1038" s="19">
        <f>IF(ISERROR(VLOOKUP(B1038,Catalogo!$A$2:$C$410,2,0)),0,(VLOOKUP(B1038,Catalogo!$A$2:$C$410,2,0)))</f>
        <v>0</v>
      </c>
      <c r="C1038" s="19"/>
      <c r="D1038" s="19"/>
      <c r="E1038" s="19"/>
      <c r="F1038" s="20"/>
      <c r="G1038" s="19"/>
      <c r="H1038" s="19"/>
      <c r="I1038" s="19"/>
      <c r="J1038" s="21"/>
      <c r="K1038" s="19"/>
      <c r="L1038" s="16">
        <f t="shared" si="55"/>
        <v>0</v>
      </c>
      <c r="M1038" s="16" t="str">
        <f t="shared" si="54"/>
        <v/>
      </c>
      <c r="N1038" s="17">
        <f t="shared" si="56"/>
        <v>0</v>
      </c>
    </row>
    <row r="1039" spans="1:14" x14ac:dyDescent="0.2">
      <c r="A1039" s="19">
        <f>IF(ISERROR(VLOOKUP(B1039,Catalogo!$A$2:$C$410,2,0)),0,(VLOOKUP(B1039,Catalogo!$A$2:$C$410,2,0)))</f>
        <v>0</v>
      </c>
      <c r="C1039" s="19"/>
      <c r="D1039" s="19"/>
      <c r="E1039" s="19"/>
      <c r="F1039" s="20"/>
      <c r="G1039" s="19"/>
      <c r="H1039" s="19"/>
      <c r="I1039" s="19"/>
      <c r="J1039" s="21"/>
      <c r="K1039" s="19"/>
      <c r="L1039" s="16">
        <f t="shared" si="55"/>
        <v>0</v>
      </c>
      <c r="M1039" s="16" t="str">
        <f t="shared" si="54"/>
        <v/>
      </c>
      <c r="N1039" s="17">
        <f t="shared" si="56"/>
        <v>0</v>
      </c>
    </row>
    <row r="1040" spans="1:14" x14ac:dyDescent="0.2">
      <c r="A1040" s="19">
        <f>IF(ISERROR(VLOOKUP(B1040,Catalogo!$A$2:$C$410,2,0)),0,(VLOOKUP(B1040,Catalogo!$A$2:$C$410,2,0)))</f>
        <v>0</v>
      </c>
      <c r="C1040" s="19"/>
      <c r="D1040" s="19"/>
      <c r="E1040" s="19"/>
      <c r="F1040" s="20"/>
      <c r="G1040" s="19"/>
      <c r="H1040" s="19"/>
      <c r="I1040" s="19"/>
      <c r="J1040" s="21"/>
      <c r="K1040" s="19"/>
      <c r="L1040" s="16">
        <f t="shared" si="55"/>
        <v>0</v>
      </c>
      <c r="M1040" s="16" t="str">
        <f t="shared" si="54"/>
        <v/>
      </c>
      <c r="N1040" s="17">
        <f t="shared" si="56"/>
        <v>0</v>
      </c>
    </row>
    <row r="1041" spans="1:14" x14ac:dyDescent="0.2">
      <c r="A1041" s="19">
        <f>IF(ISERROR(VLOOKUP(B1041,Catalogo!$A$2:$C$410,2,0)),0,(VLOOKUP(B1041,Catalogo!$A$2:$C$410,2,0)))</f>
        <v>0</v>
      </c>
      <c r="C1041" s="19"/>
      <c r="D1041" s="19"/>
      <c r="E1041" s="19"/>
      <c r="F1041" s="20"/>
      <c r="G1041" s="19"/>
      <c r="H1041" s="19"/>
      <c r="I1041" s="19"/>
      <c r="J1041" s="21"/>
      <c r="K1041" s="19"/>
      <c r="L1041" s="16">
        <f t="shared" si="55"/>
        <v>0</v>
      </c>
      <c r="M1041" s="16" t="str">
        <f t="shared" si="54"/>
        <v/>
      </c>
      <c r="N1041" s="17">
        <f t="shared" si="56"/>
        <v>0</v>
      </c>
    </row>
    <row r="1042" spans="1:14" x14ac:dyDescent="0.2">
      <c r="A1042" s="19">
        <f>IF(ISERROR(VLOOKUP(B1042,Catalogo!$A$2:$C$410,2,0)),0,(VLOOKUP(B1042,Catalogo!$A$2:$C$410,2,0)))</f>
        <v>0</v>
      </c>
      <c r="C1042" s="19"/>
      <c r="D1042" s="19"/>
      <c r="E1042" s="19"/>
      <c r="F1042" s="20"/>
      <c r="G1042" s="19"/>
      <c r="H1042" s="19"/>
      <c r="I1042" s="19"/>
      <c r="J1042" s="21"/>
      <c r="K1042" s="19"/>
      <c r="L1042" s="16">
        <f t="shared" si="55"/>
        <v>0</v>
      </c>
      <c r="M1042" s="16" t="str">
        <f t="shared" si="54"/>
        <v/>
      </c>
      <c r="N1042" s="17">
        <f t="shared" si="56"/>
        <v>0</v>
      </c>
    </row>
    <row r="1043" spans="1:14" x14ac:dyDescent="0.2">
      <c r="A1043" s="19">
        <f>IF(ISERROR(VLOOKUP(B1043,Catalogo!$A$2:$C$410,2,0)),0,(VLOOKUP(B1043,Catalogo!$A$2:$C$410,2,0)))</f>
        <v>0</v>
      </c>
      <c r="C1043" s="19"/>
      <c r="D1043" s="19"/>
      <c r="E1043" s="19"/>
      <c r="F1043" s="20"/>
      <c r="G1043" s="19"/>
      <c r="H1043" s="19"/>
      <c r="I1043" s="19"/>
      <c r="J1043" s="21"/>
      <c r="K1043" s="19"/>
      <c r="L1043" s="16">
        <f t="shared" si="55"/>
        <v>0</v>
      </c>
      <c r="M1043" s="16" t="str">
        <f t="shared" si="54"/>
        <v/>
      </c>
      <c r="N1043" s="17">
        <f t="shared" si="56"/>
        <v>0</v>
      </c>
    </row>
    <row r="1044" spans="1:14" x14ac:dyDescent="0.2">
      <c r="A1044" s="19">
        <f>IF(ISERROR(VLOOKUP(B1044,Catalogo!$A$2:$C$410,2,0)),0,(VLOOKUP(B1044,Catalogo!$A$2:$C$410,2,0)))</f>
        <v>0</v>
      </c>
      <c r="C1044" s="19"/>
      <c r="D1044" s="19"/>
      <c r="E1044" s="19"/>
      <c r="F1044" s="20"/>
      <c r="G1044" s="19"/>
      <c r="H1044" s="19"/>
      <c r="I1044" s="19"/>
      <c r="J1044" s="21"/>
      <c r="K1044" s="19"/>
      <c r="L1044" s="16">
        <f t="shared" si="55"/>
        <v>0</v>
      </c>
      <c r="M1044" s="16" t="str">
        <f t="shared" si="54"/>
        <v/>
      </c>
      <c r="N1044" s="17">
        <f t="shared" si="56"/>
        <v>0</v>
      </c>
    </row>
    <row r="1045" spans="1:14" x14ac:dyDescent="0.2">
      <c r="A1045" s="19">
        <f>IF(ISERROR(VLOOKUP(B1045,Catalogo!$A$2:$C$410,2,0)),0,(VLOOKUP(B1045,Catalogo!$A$2:$C$410,2,0)))</f>
        <v>0</v>
      </c>
      <c r="C1045" s="19"/>
      <c r="D1045" s="19"/>
      <c r="E1045" s="19"/>
      <c r="F1045" s="20"/>
      <c r="G1045" s="19"/>
      <c r="H1045" s="19"/>
      <c r="I1045" s="19"/>
      <c r="J1045" s="21"/>
      <c r="K1045" s="19"/>
      <c r="L1045" s="16">
        <f t="shared" si="55"/>
        <v>0</v>
      </c>
      <c r="M1045" s="16" t="str">
        <f t="shared" si="54"/>
        <v/>
      </c>
      <c r="N1045" s="17">
        <f t="shared" si="56"/>
        <v>0</v>
      </c>
    </row>
    <row r="1046" spans="1:14" x14ac:dyDescent="0.2">
      <c r="A1046" s="19">
        <f>IF(ISERROR(VLOOKUP(B1046,Catalogo!$A$2:$C$410,2,0)),0,(VLOOKUP(B1046,Catalogo!$A$2:$C$410,2,0)))</f>
        <v>0</v>
      </c>
      <c r="C1046" s="19"/>
      <c r="D1046" s="19"/>
      <c r="E1046" s="19"/>
      <c r="F1046" s="20"/>
      <c r="G1046" s="19"/>
      <c r="H1046" s="19"/>
      <c r="I1046" s="19"/>
      <c r="J1046" s="21"/>
      <c r="K1046" s="19"/>
      <c r="L1046" s="16">
        <f t="shared" si="55"/>
        <v>0</v>
      </c>
      <c r="M1046" s="16" t="str">
        <f t="shared" si="54"/>
        <v/>
      </c>
      <c r="N1046" s="17">
        <f t="shared" si="56"/>
        <v>0</v>
      </c>
    </row>
    <row r="1047" spans="1:14" x14ac:dyDescent="0.2">
      <c r="A1047" s="19">
        <f>IF(ISERROR(VLOOKUP(B1047,Catalogo!$A$2:$C$410,2,0)),0,(VLOOKUP(B1047,Catalogo!$A$2:$C$410,2,0)))</f>
        <v>0</v>
      </c>
      <c r="C1047" s="19"/>
      <c r="D1047" s="19"/>
      <c r="E1047" s="19"/>
      <c r="F1047" s="20"/>
      <c r="G1047" s="19"/>
      <c r="H1047" s="19"/>
      <c r="I1047" s="19"/>
      <c r="J1047" s="21"/>
      <c r="K1047" s="19"/>
      <c r="L1047" s="16">
        <f t="shared" si="55"/>
        <v>0</v>
      </c>
      <c r="M1047" s="16" t="str">
        <f t="shared" si="54"/>
        <v/>
      </c>
      <c r="N1047" s="17">
        <f t="shared" si="56"/>
        <v>0</v>
      </c>
    </row>
    <row r="1048" spans="1:14" x14ac:dyDescent="0.2">
      <c r="A1048" s="19">
        <f>IF(ISERROR(VLOOKUP(B1048,Catalogo!$A$2:$C$410,2,0)),0,(VLOOKUP(B1048,Catalogo!$A$2:$C$410,2,0)))</f>
        <v>0</v>
      </c>
      <c r="C1048" s="19"/>
      <c r="D1048" s="19"/>
      <c r="E1048" s="19"/>
      <c r="F1048" s="20"/>
      <c r="G1048" s="19"/>
      <c r="H1048" s="19"/>
      <c r="I1048" s="19"/>
      <c r="J1048" s="21"/>
      <c r="K1048" s="19"/>
      <c r="L1048" s="16">
        <f t="shared" si="55"/>
        <v>0</v>
      </c>
      <c r="M1048" s="16" t="str">
        <f t="shared" si="54"/>
        <v/>
      </c>
      <c r="N1048" s="17">
        <f t="shared" si="56"/>
        <v>0</v>
      </c>
    </row>
    <row r="1049" spans="1:14" x14ac:dyDescent="0.2">
      <c r="A1049" s="19">
        <f>IF(ISERROR(VLOOKUP(B1049,Catalogo!$A$2:$C$410,2,0)),0,(VLOOKUP(B1049,Catalogo!$A$2:$C$410,2,0)))</f>
        <v>0</v>
      </c>
      <c r="C1049" s="19"/>
      <c r="D1049" s="19"/>
      <c r="E1049" s="19"/>
      <c r="F1049" s="20"/>
      <c r="G1049" s="19"/>
      <c r="H1049" s="19"/>
      <c r="I1049" s="19"/>
      <c r="J1049" s="21"/>
      <c r="K1049" s="19"/>
      <c r="L1049" s="16">
        <f t="shared" si="55"/>
        <v>0</v>
      </c>
      <c r="M1049" s="16" t="str">
        <f t="shared" si="54"/>
        <v/>
      </c>
      <c r="N1049" s="17">
        <f t="shared" si="56"/>
        <v>0</v>
      </c>
    </row>
    <row r="1050" spans="1:14" x14ac:dyDescent="0.2">
      <c r="A1050" s="19">
        <f>IF(ISERROR(VLOOKUP(B1050,Catalogo!$A$2:$C$410,2,0)),0,(VLOOKUP(B1050,Catalogo!$A$2:$C$410,2,0)))</f>
        <v>0</v>
      </c>
      <c r="C1050" s="19"/>
      <c r="D1050" s="19"/>
      <c r="E1050" s="19"/>
      <c r="F1050" s="20"/>
      <c r="G1050" s="19"/>
      <c r="H1050" s="19"/>
      <c r="I1050" s="19"/>
      <c r="J1050" s="21"/>
      <c r="K1050" s="19"/>
      <c r="L1050" s="16">
        <f t="shared" si="55"/>
        <v>0</v>
      </c>
      <c r="M1050" s="16" t="str">
        <f t="shared" si="54"/>
        <v/>
      </c>
      <c r="N1050" s="17">
        <f t="shared" si="56"/>
        <v>0</v>
      </c>
    </row>
    <row r="1051" spans="1:14" x14ac:dyDescent="0.2">
      <c r="A1051" s="19">
        <f>IF(ISERROR(VLOOKUP(B1051,Catalogo!$A$2:$C$410,2,0)),0,(VLOOKUP(B1051,Catalogo!$A$2:$C$410,2,0)))</f>
        <v>0</v>
      </c>
      <c r="C1051" s="19"/>
      <c r="D1051" s="19"/>
      <c r="E1051" s="19"/>
      <c r="F1051" s="20"/>
      <c r="G1051" s="19"/>
      <c r="H1051" s="19"/>
      <c r="I1051" s="19"/>
      <c r="J1051" s="21"/>
      <c r="K1051" s="19"/>
      <c r="L1051" s="16">
        <f t="shared" si="55"/>
        <v>0</v>
      </c>
      <c r="M1051" s="16" t="str">
        <f t="shared" si="54"/>
        <v/>
      </c>
      <c r="N1051" s="17">
        <f t="shared" si="56"/>
        <v>0</v>
      </c>
    </row>
    <row r="1052" spans="1:14" x14ac:dyDescent="0.2">
      <c r="A1052" s="19">
        <f>IF(ISERROR(VLOOKUP(B1052,Catalogo!$A$2:$C$410,2,0)),0,(VLOOKUP(B1052,Catalogo!$A$2:$C$410,2,0)))</f>
        <v>0</v>
      </c>
      <c r="C1052" s="19"/>
      <c r="D1052" s="19"/>
      <c r="E1052" s="19"/>
      <c r="F1052" s="20"/>
      <c r="G1052" s="19"/>
      <c r="H1052" s="19"/>
      <c r="I1052" s="19"/>
      <c r="J1052" s="21"/>
      <c r="K1052" s="19"/>
      <c r="L1052" s="16">
        <f t="shared" si="55"/>
        <v>0</v>
      </c>
      <c r="M1052" s="16" t="str">
        <f t="shared" si="54"/>
        <v/>
      </c>
      <c r="N1052" s="17">
        <f t="shared" si="56"/>
        <v>0</v>
      </c>
    </row>
    <row r="1053" spans="1:14" x14ac:dyDescent="0.2">
      <c r="A1053" s="19">
        <f>IF(ISERROR(VLOOKUP(B1053,Catalogo!$A$2:$C$410,2,0)),0,(VLOOKUP(B1053,Catalogo!$A$2:$C$410,2,0)))</f>
        <v>0</v>
      </c>
      <c r="C1053" s="19"/>
      <c r="D1053" s="19"/>
      <c r="E1053" s="19"/>
      <c r="F1053" s="20"/>
      <c r="G1053" s="19"/>
      <c r="H1053" s="19"/>
      <c r="I1053" s="19"/>
      <c r="J1053" s="21"/>
      <c r="K1053" s="19"/>
      <c r="L1053" s="16">
        <f t="shared" si="55"/>
        <v>0</v>
      </c>
      <c r="M1053" s="16" t="str">
        <f t="shared" si="54"/>
        <v/>
      </c>
      <c r="N1053" s="17">
        <f t="shared" si="56"/>
        <v>0</v>
      </c>
    </row>
    <row r="1054" spans="1:14" x14ac:dyDescent="0.2">
      <c r="A1054" s="19">
        <f>IF(ISERROR(VLOOKUP(B1054,Catalogo!$A$2:$C$410,2,0)),0,(VLOOKUP(B1054,Catalogo!$A$2:$C$410,2,0)))</f>
        <v>0</v>
      </c>
      <c r="C1054" s="19"/>
      <c r="D1054" s="19"/>
      <c r="E1054" s="19"/>
      <c r="F1054" s="20"/>
      <c r="G1054" s="19"/>
      <c r="H1054" s="19"/>
      <c r="I1054" s="19"/>
      <c r="J1054" s="21"/>
      <c r="K1054" s="19"/>
      <c r="L1054" s="16">
        <f t="shared" si="55"/>
        <v>0</v>
      </c>
      <c r="M1054" s="16" t="str">
        <f t="shared" si="54"/>
        <v/>
      </c>
      <c r="N1054" s="17">
        <f t="shared" si="56"/>
        <v>0</v>
      </c>
    </row>
    <row r="1055" spans="1:14" x14ac:dyDescent="0.2">
      <c r="A1055" s="19">
        <f>IF(ISERROR(VLOOKUP(B1055,Catalogo!$A$2:$C$410,2,0)),0,(VLOOKUP(B1055,Catalogo!$A$2:$C$410,2,0)))</f>
        <v>0</v>
      </c>
      <c r="C1055" s="19"/>
      <c r="D1055" s="19"/>
      <c r="E1055" s="19"/>
      <c r="F1055" s="20"/>
      <c r="G1055" s="19"/>
      <c r="H1055" s="19"/>
      <c r="I1055" s="19"/>
      <c r="J1055" s="21"/>
      <c r="K1055" s="19"/>
      <c r="L1055" s="16">
        <f t="shared" si="55"/>
        <v>0</v>
      </c>
      <c r="M1055" s="16" t="str">
        <f t="shared" si="54"/>
        <v/>
      </c>
      <c r="N1055" s="17">
        <f t="shared" si="56"/>
        <v>0</v>
      </c>
    </row>
    <row r="1056" spans="1:14" x14ac:dyDescent="0.2">
      <c r="A1056" s="19">
        <f>IF(ISERROR(VLOOKUP(B1056,Catalogo!$A$2:$C$410,2,0)),0,(VLOOKUP(B1056,Catalogo!$A$2:$C$410,2,0)))</f>
        <v>0</v>
      </c>
      <c r="C1056" s="19"/>
      <c r="D1056" s="19"/>
      <c r="E1056" s="19"/>
      <c r="F1056" s="20"/>
      <c r="G1056" s="19"/>
      <c r="H1056" s="19"/>
      <c r="I1056" s="19"/>
      <c r="J1056" s="21"/>
      <c r="K1056" s="19"/>
      <c r="L1056" s="16">
        <f t="shared" si="55"/>
        <v>0</v>
      </c>
      <c r="M1056" s="16" t="str">
        <f t="shared" si="54"/>
        <v/>
      </c>
      <c r="N1056" s="17">
        <f t="shared" si="56"/>
        <v>0</v>
      </c>
    </row>
    <row r="1057" spans="1:14" x14ac:dyDescent="0.2">
      <c r="A1057" s="19">
        <f>IF(ISERROR(VLOOKUP(B1057,Catalogo!$A$2:$C$410,2,0)),0,(VLOOKUP(B1057,Catalogo!$A$2:$C$410,2,0)))</f>
        <v>0</v>
      </c>
      <c r="C1057" s="19"/>
      <c r="D1057" s="19"/>
      <c r="E1057" s="19"/>
      <c r="F1057" s="20"/>
      <c r="G1057" s="19"/>
      <c r="H1057" s="19"/>
      <c r="I1057" s="19"/>
      <c r="J1057" s="21"/>
      <c r="K1057" s="19"/>
      <c r="L1057" s="16">
        <f t="shared" si="55"/>
        <v>0</v>
      </c>
      <c r="M1057" s="16" t="str">
        <f t="shared" si="54"/>
        <v/>
      </c>
      <c r="N1057" s="17">
        <f t="shared" si="56"/>
        <v>0</v>
      </c>
    </row>
    <row r="1058" spans="1:14" x14ac:dyDescent="0.2">
      <c r="A1058" s="19">
        <f>IF(ISERROR(VLOOKUP(B1058,Catalogo!$A$2:$C$410,2,0)),0,(VLOOKUP(B1058,Catalogo!$A$2:$C$410,2,0)))</f>
        <v>0</v>
      </c>
      <c r="C1058" s="19"/>
      <c r="D1058" s="19"/>
      <c r="E1058" s="19"/>
      <c r="F1058" s="20"/>
      <c r="G1058" s="19"/>
      <c r="H1058" s="19"/>
      <c r="I1058" s="19"/>
      <c r="J1058" s="21"/>
      <c r="K1058" s="19"/>
      <c r="L1058" s="16">
        <f t="shared" si="55"/>
        <v>0</v>
      </c>
      <c r="M1058" s="16" t="str">
        <f t="shared" si="54"/>
        <v/>
      </c>
      <c r="N1058" s="17">
        <f t="shared" si="56"/>
        <v>0</v>
      </c>
    </row>
    <row r="1059" spans="1:14" x14ac:dyDescent="0.2">
      <c r="A1059" s="19">
        <f>IF(ISERROR(VLOOKUP(B1059,Catalogo!$A$2:$C$410,2,0)),0,(VLOOKUP(B1059,Catalogo!$A$2:$C$410,2,0)))</f>
        <v>0</v>
      </c>
      <c r="C1059" s="19"/>
      <c r="D1059" s="19"/>
      <c r="E1059" s="19"/>
      <c r="F1059" s="20"/>
      <c r="G1059" s="19"/>
      <c r="H1059" s="19"/>
      <c r="I1059" s="19"/>
      <c r="J1059" s="21"/>
      <c r="K1059" s="19"/>
      <c r="L1059" s="16">
        <f t="shared" si="55"/>
        <v>0</v>
      </c>
      <c r="M1059" s="16" t="str">
        <f t="shared" si="54"/>
        <v/>
      </c>
      <c r="N1059" s="17">
        <f t="shared" si="56"/>
        <v>0</v>
      </c>
    </row>
    <row r="1060" spans="1:14" x14ac:dyDescent="0.2">
      <c r="A1060" s="19">
        <f>IF(ISERROR(VLOOKUP(B1060,Catalogo!$A$2:$C$410,2,0)),0,(VLOOKUP(B1060,Catalogo!$A$2:$C$410,2,0)))</f>
        <v>0</v>
      </c>
      <c r="C1060" s="19"/>
      <c r="D1060" s="19"/>
      <c r="E1060" s="19"/>
      <c r="F1060" s="20"/>
      <c r="G1060" s="19"/>
      <c r="H1060" s="19"/>
      <c r="I1060" s="19"/>
      <c r="J1060" s="21"/>
      <c r="K1060" s="19"/>
      <c r="L1060" s="16">
        <f t="shared" si="55"/>
        <v>0</v>
      </c>
      <c r="M1060" s="16" t="str">
        <f t="shared" si="54"/>
        <v/>
      </c>
      <c r="N1060" s="17">
        <f t="shared" si="56"/>
        <v>0</v>
      </c>
    </row>
    <row r="1061" spans="1:14" x14ac:dyDescent="0.2">
      <c r="A1061" s="19">
        <f>IF(ISERROR(VLOOKUP(B1061,Catalogo!$A$2:$C$410,2,0)),0,(VLOOKUP(B1061,Catalogo!$A$2:$C$410,2,0)))</f>
        <v>0</v>
      </c>
      <c r="C1061" s="19"/>
      <c r="D1061" s="19"/>
      <c r="E1061" s="19"/>
      <c r="F1061" s="20"/>
      <c r="G1061" s="19"/>
      <c r="H1061" s="19"/>
      <c r="I1061" s="19"/>
      <c r="J1061" s="21"/>
      <c r="K1061" s="19"/>
      <c r="L1061" s="16">
        <f t="shared" si="55"/>
        <v>0</v>
      </c>
      <c r="M1061" s="16" t="str">
        <f t="shared" si="54"/>
        <v/>
      </c>
      <c r="N1061" s="17">
        <f t="shared" si="56"/>
        <v>0</v>
      </c>
    </row>
    <row r="1062" spans="1:14" x14ac:dyDescent="0.2">
      <c r="A1062" s="19">
        <f>IF(ISERROR(VLOOKUP(B1062,Catalogo!$A$2:$C$410,2,0)),0,(VLOOKUP(B1062,Catalogo!$A$2:$C$410,2,0)))</f>
        <v>0</v>
      </c>
      <c r="C1062" s="19"/>
      <c r="D1062" s="19"/>
      <c r="E1062" s="19"/>
      <c r="F1062" s="20"/>
      <c r="G1062" s="19"/>
      <c r="H1062" s="19"/>
      <c r="I1062" s="19"/>
      <c r="J1062" s="21"/>
      <c r="K1062" s="19"/>
      <c r="L1062" s="16">
        <f t="shared" si="55"/>
        <v>0</v>
      </c>
      <c r="M1062" s="16" t="str">
        <f t="shared" si="54"/>
        <v/>
      </c>
      <c r="N1062" s="17">
        <f t="shared" si="56"/>
        <v>0</v>
      </c>
    </row>
    <row r="1063" spans="1:14" x14ac:dyDescent="0.2">
      <c r="A1063" s="19">
        <f>IF(ISERROR(VLOOKUP(B1063,Catalogo!$A$2:$C$410,2,0)),0,(VLOOKUP(B1063,Catalogo!$A$2:$C$410,2,0)))</f>
        <v>0</v>
      </c>
      <c r="C1063" s="19"/>
      <c r="D1063" s="19"/>
      <c r="E1063" s="19"/>
      <c r="F1063" s="20"/>
      <c r="G1063" s="19"/>
      <c r="H1063" s="19"/>
      <c r="I1063" s="19"/>
      <c r="J1063" s="21"/>
      <c r="K1063" s="19"/>
      <c r="L1063" s="16">
        <f t="shared" si="55"/>
        <v>0</v>
      </c>
      <c r="M1063" s="16" t="str">
        <f t="shared" si="54"/>
        <v/>
      </c>
      <c r="N1063" s="17">
        <f t="shared" si="56"/>
        <v>0</v>
      </c>
    </row>
    <row r="1064" spans="1:14" x14ac:dyDescent="0.2">
      <c r="A1064" s="19">
        <f>IF(ISERROR(VLOOKUP(B1064,Catalogo!$A$2:$C$410,2,0)),0,(VLOOKUP(B1064,Catalogo!$A$2:$C$410,2,0)))</f>
        <v>0</v>
      </c>
      <c r="C1064" s="19"/>
      <c r="D1064" s="19"/>
      <c r="E1064" s="19"/>
      <c r="F1064" s="20"/>
      <c r="G1064" s="19"/>
      <c r="H1064" s="19"/>
      <c r="I1064" s="19"/>
      <c r="J1064" s="21"/>
      <c r="K1064" s="19"/>
      <c r="L1064" s="16">
        <f t="shared" si="55"/>
        <v>0</v>
      </c>
      <c r="M1064" s="16" t="str">
        <f t="shared" si="54"/>
        <v/>
      </c>
      <c r="N1064" s="17">
        <f t="shared" si="56"/>
        <v>0</v>
      </c>
    </row>
    <row r="1065" spans="1:14" x14ac:dyDescent="0.2">
      <c r="A1065" s="19">
        <f>IF(ISERROR(VLOOKUP(B1065,Catalogo!$A$2:$C$410,2,0)),0,(VLOOKUP(B1065,Catalogo!$A$2:$C$410,2,0)))</f>
        <v>0</v>
      </c>
      <c r="C1065" s="19"/>
      <c r="D1065" s="19"/>
      <c r="E1065" s="19"/>
      <c r="F1065" s="20"/>
      <c r="G1065" s="19"/>
      <c r="H1065" s="19"/>
      <c r="I1065" s="19"/>
      <c r="J1065" s="21"/>
      <c r="K1065" s="19"/>
      <c r="L1065" s="16">
        <f t="shared" si="55"/>
        <v>0</v>
      </c>
      <c r="M1065" s="16" t="str">
        <f t="shared" si="54"/>
        <v/>
      </c>
      <c r="N1065" s="17">
        <f t="shared" si="56"/>
        <v>0</v>
      </c>
    </row>
    <row r="1066" spans="1:14" x14ac:dyDescent="0.2">
      <c r="A1066" s="19">
        <f>IF(ISERROR(VLOOKUP(B1066,Catalogo!$A$2:$C$410,2,0)),0,(VLOOKUP(B1066,Catalogo!$A$2:$C$410,2,0)))</f>
        <v>0</v>
      </c>
      <c r="C1066" s="19"/>
      <c r="D1066" s="19"/>
      <c r="E1066" s="19"/>
      <c r="F1066" s="20"/>
      <c r="G1066" s="19"/>
      <c r="H1066" s="19"/>
      <c r="I1066" s="19"/>
      <c r="J1066" s="21"/>
      <c r="K1066" s="19"/>
      <c r="L1066" s="16">
        <f t="shared" si="55"/>
        <v>0</v>
      </c>
      <c r="M1066" s="16" t="str">
        <f t="shared" si="54"/>
        <v/>
      </c>
      <c r="N1066" s="17">
        <f t="shared" si="56"/>
        <v>0</v>
      </c>
    </row>
    <row r="1067" spans="1:14" x14ac:dyDescent="0.2">
      <c r="A1067" s="19">
        <f>IF(ISERROR(VLOOKUP(B1067,Catalogo!$A$2:$C$410,2,0)),0,(VLOOKUP(B1067,Catalogo!$A$2:$C$410,2,0)))</f>
        <v>0</v>
      </c>
      <c r="C1067" s="19"/>
      <c r="D1067" s="19"/>
      <c r="E1067" s="19"/>
      <c r="F1067" s="20"/>
      <c r="G1067" s="19"/>
      <c r="H1067" s="19"/>
      <c r="I1067" s="19"/>
      <c r="J1067" s="21"/>
      <c r="K1067" s="19"/>
      <c r="L1067" s="16">
        <f t="shared" si="55"/>
        <v>0</v>
      </c>
      <c r="M1067" s="16" t="str">
        <f t="shared" si="54"/>
        <v/>
      </c>
      <c r="N1067" s="17">
        <f t="shared" si="56"/>
        <v>0</v>
      </c>
    </row>
    <row r="1068" spans="1:14" x14ac:dyDescent="0.2">
      <c r="A1068" s="19">
        <f>IF(ISERROR(VLOOKUP(B1068,Catalogo!$A$2:$C$410,2,0)),0,(VLOOKUP(B1068,Catalogo!$A$2:$C$410,2,0)))</f>
        <v>0</v>
      </c>
      <c r="C1068" s="19"/>
      <c r="D1068" s="19"/>
      <c r="E1068" s="19"/>
      <c r="F1068" s="20"/>
      <c r="G1068" s="19"/>
      <c r="H1068" s="19"/>
      <c r="I1068" s="19"/>
      <c r="J1068" s="21"/>
      <c r="K1068" s="19"/>
      <c r="L1068" s="16">
        <f t="shared" si="55"/>
        <v>0</v>
      </c>
      <c r="M1068" s="16" t="str">
        <f t="shared" si="54"/>
        <v/>
      </c>
      <c r="N1068" s="17">
        <f t="shared" si="56"/>
        <v>0</v>
      </c>
    </row>
    <row r="1069" spans="1:14" x14ac:dyDescent="0.2">
      <c r="A1069" s="19">
        <f>IF(ISERROR(VLOOKUP(B1069,Catalogo!$A$2:$C$410,2,0)),0,(VLOOKUP(B1069,Catalogo!$A$2:$C$410,2,0)))</f>
        <v>0</v>
      </c>
      <c r="C1069" s="19"/>
      <c r="D1069" s="19"/>
      <c r="E1069" s="19"/>
      <c r="F1069" s="20"/>
      <c r="G1069" s="19"/>
      <c r="H1069" s="19"/>
      <c r="I1069" s="19"/>
      <c r="J1069" s="21"/>
      <c r="K1069" s="19"/>
      <c r="L1069" s="16">
        <f t="shared" si="55"/>
        <v>0</v>
      </c>
      <c r="M1069" s="16" t="str">
        <f t="shared" si="54"/>
        <v/>
      </c>
      <c r="N1069" s="17">
        <f t="shared" si="56"/>
        <v>0</v>
      </c>
    </row>
    <row r="1070" spans="1:14" x14ac:dyDescent="0.2">
      <c r="A1070" s="19">
        <f>IF(ISERROR(VLOOKUP(B1070,Catalogo!$A$2:$C$410,2,0)),0,(VLOOKUP(B1070,Catalogo!$A$2:$C$410,2,0)))</f>
        <v>0</v>
      </c>
      <c r="C1070" s="19"/>
      <c r="D1070" s="19"/>
      <c r="E1070" s="19"/>
      <c r="F1070" s="20"/>
      <c r="G1070" s="19"/>
      <c r="H1070" s="19"/>
      <c r="I1070" s="19"/>
      <c r="J1070" s="21"/>
      <c r="K1070" s="19"/>
      <c r="L1070" s="16">
        <f t="shared" si="55"/>
        <v>0</v>
      </c>
      <c r="M1070" s="16" t="str">
        <f t="shared" si="54"/>
        <v/>
      </c>
      <c r="N1070" s="17">
        <f t="shared" si="56"/>
        <v>0</v>
      </c>
    </row>
    <row r="1071" spans="1:14" x14ac:dyDescent="0.2">
      <c r="A1071" s="19">
        <f>IF(ISERROR(VLOOKUP(B1071,Catalogo!$A$2:$C$410,2,0)),0,(VLOOKUP(B1071,Catalogo!$A$2:$C$410,2,0)))</f>
        <v>0</v>
      </c>
      <c r="C1071" s="19"/>
      <c r="D1071" s="19"/>
      <c r="E1071" s="19"/>
      <c r="F1071" s="20"/>
      <c r="G1071" s="19"/>
      <c r="H1071" s="19"/>
      <c r="I1071" s="19"/>
      <c r="J1071" s="21"/>
      <c r="K1071" s="19"/>
      <c r="L1071" s="16">
        <f t="shared" si="55"/>
        <v>0</v>
      </c>
      <c r="M1071" s="16" t="str">
        <f t="shared" si="54"/>
        <v/>
      </c>
      <c r="N1071" s="17">
        <f t="shared" si="56"/>
        <v>0</v>
      </c>
    </row>
    <row r="1072" spans="1:14" x14ac:dyDescent="0.2">
      <c r="A1072" s="19">
        <f>IF(ISERROR(VLOOKUP(B1072,Catalogo!$A$2:$C$410,2,0)),0,(VLOOKUP(B1072,Catalogo!$A$2:$C$410,2,0)))</f>
        <v>0</v>
      </c>
      <c r="C1072" s="19"/>
      <c r="D1072" s="19"/>
      <c r="E1072" s="19"/>
      <c r="F1072" s="20"/>
      <c r="G1072" s="19"/>
      <c r="H1072" s="19"/>
      <c r="I1072" s="19"/>
      <c r="J1072" s="21"/>
      <c r="K1072" s="19"/>
      <c r="L1072" s="16">
        <f t="shared" si="55"/>
        <v>0</v>
      </c>
      <c r="M1072" s="16" t="str">
        <f t="shared" si="54"/>
        <v/>
      </c>
      <c r="N1072" s="17">
        <f t="shared" si="56"/>
        <v>0</v>
      </c>
    </row>
    <row r="1073" spans="1:14" x14ac:dyDescent="0.2">
      <c r="A1073" s="19">
        <f>IF(ISERROR(VLOOKUP(B1073,Catalogo!$A$2:$C$410,2,0)),0,(VLOOKUP(B1073,Catalogo!$A$2:$C$410,2,0)))</f>
        <v>0</v>
      </c>
      <c r="C1073" s="19"/>
      <c r="D1073" s="19"/>
      <c r="E1073" s="19"/>
      <c r="F1073" s="20"/>
      <c r="G1073" s="19"/>
      <c r="H1073" s="19"/>
      <c r="I1073" s="19"/>
      <c r="J1073" s="21"/>
      <c r="K1073" s="19"/>
      <c r="L1073" s="16">
        <f t="shared" si="55"/>
        <v>0</v>
      </c>
      <c r="M1073" s="16" t="str">
        <f t="shared" si="54"/>
        <v/>
      </c>
      <c r="N1073" s="17">
        <f t="shared" si="56"/>
        <v>0</v>
      </c>
    </row>
    <row r="1074" spans="1:14" x14ac:dyDescent="0.2">
      <c r="A1074" s="19">
        <f>IF(ISERROR(VLOOKUP(B1074,Catalogo!$A$2:$C$410,2,0)),0,(VLOOKUP(B1074,Catalogo!$A$2:$C$410,2,0)))</f>
        <v>0</v>
      </c>
      <c r="C1074" s="19"/>
      <c r="D1074" s="19"/>
      <c r="E1074" s="19"/>
      <c r="F1074" s="20"/>
      <c r="G1074" s="19"/>
      <c r="H1074" s="19"/>
      <c r="I1074" s="19"/>
      <c r="J1074" s="21"/>
      <c r="K1074" s="19"/>
      <c r="L1074" s="16">
        <f t="shared" si="55"/>
        <v>0</v>
      </c>
      <c r="M1074" s="16" t="str">
        <f t="shared" si="54"/>
        <v/>
      </c>
      <c r="N1074" s="17">
        <f t="shared" si="56"/>
        <v>0</v>
      </c>
    </row>
    <row r="1075" spans="1:14" x14ac:dyDescent="0.2">
      <c r="A1075" s="19">
        <f>IF(ISERROR(VLOOKUP(B1075,Catalogo!$A$2:$C$410,2,0)),0,(VLOOKUP(B1075,Catalogo!$A$2:$C$410,2,0)))</f>
        <v>0</v>
      </c>
      <c r="C1075" s="19"/>
      <c r="D1075" s="19"/>
      <c r="E1075" s="19"/>
      <c r="F1075" s="20"/>
      <c r="G1075" s="19"/>
      <c r="H1075" s="19"/>
      <c r="I1075" s="19"/>
      <c r="J1075" s="21"/>
      <c r="K1075" s="19"/>
      <c r="L1075" s="16">
        <f t="shared" si="55"/>
        <v>0</v>
      </c>
      <c r="M1075" s="16" t="str">
        <f t="shared" si="54"/>
        <v/>
      </c>
      <c r="N1075" s="17">
        <f t="shared" si="56"/>
        <v>0</v>
      </c>
    </row>
    <row r="1076" spans="1:14" x14ac:dyDescent="0.2">
      <c r="A1076" s="19">
        <f>IF(ISERROR(VLOOKUP(B1076,Catalogo!$A$2:$C$410,2,0)),0,(VLOOKUP(B1076,Catalogo!$A$2:$C$410,2,0)))</f>
        <v>0</v>
      </c>
      <c r="C1076" s="19"/>
      <c r="D1076" s="19"/>
      <c r="E1076" s="19"/>
      <c r="F1076" s="20"/>
      <c r="G1076" s="19"/>
      <c r="H1076" s="19"/>
      <c r="I1076" s="19"/>
      <c r="J1076" s="21"/>
      <c r="K1076" s="19"/>
      <c r="L1076" s="16">
        <f t="shared" si="55"/>
        <v>0</v>
      </c>
      <c r="M1076" s="16" t="str">
        <f t="shared" si="54"/>
        <v/>
      </c>
      <c r="N1076" s="17">
        <f t="shared" si="56"/>
        <v>0</v>
      </c>
    </row>
    <row r="1077" spans="1:14" x14ac:dyDescent="0.2">
      <c r="A1077" s="19">
        <f>IF(ISERROR(VLOOKUP(B1077,Catalogo!$A$2:$C$410,2,0)),0,(VLOOKUP(B1077,Catalogo!$A$2:$C$410,2,0)))</f>
        <v>0</v>
      </c>
      <c r="C1077" s="19"/>
      <c r="D1077" s="19"/>
      <c r="E1077" s="19"/>
      <c r="F1077" s="20"/>
      <c r="G1077" s="19"/>
      <c r="H1077" s="19"/>
      <c r="I1077" s="19"/>
      <c r="J1077" s="21"/>
      <c r="K1077" s="19"/>
      <c r="L1077" s="16">
        <f t="shared" si="55"/>
        <v>0</v>
      </c>
      <c r="M1077" s="16" t="str">
        <f t="shared" si="54"/>
        <v/>
      </c>
      <c r="N1077" s="17">
        <f t="shared" si="56"/>
        <v>0</v>
      </c>
    </row>
    <row r="1078" spans="1:14" x14ac:dyDescent="0.2">
      <c r="A1078" s="19">
        <f>IF(ISERROR(VLOOKUP(B1078,Catalogo!$A$2:$C$410,2,0)),0,(VLOOKUP(B1078,Catalogo!$A$2:$C$410,2,0)))</f>
        <v>0</v>
      </c>
      <c r="C1078" s="19"/>
      <c r="D1078" s="19"/>
      <c r="E1078" s="19"/>
      <c r="F1078" s="20"/>
      <c r="G1078" s="19"/>
      <c r="H1078" s="19"/>
      <c r="I1078" s="19"/>
      <c r="J1078" s="21"/>
      <c r="K1078" s="19"/>
      <c r="L1078" s="16">
        <f t="shared" si="55"/>
        <v>0</v>
      </c>
      <c r="M1078" s="16" t="str">
        <f t="shared" si="54"/>
        <v/>
      </c>
      <c r="N1078" s="17">
        <f t="shared" si="56"/>
        <v>0</v>
      </c>
    </row>
    <row r="1079" spans="1:14" x14ac:dyDescent="0.2">
      <c r="A1079" s="19">
        <f>IF(ISERROR(VLOOKUP(B1079,Catalogo!$A$2:$C$410,2,0)),0,(VLOOKUP(B1079,Catalogo!$A$2:$C$410,2,0)))</f>
        <v>0</v>
      </c>
      <c r="C1079" s="19"/>
      <c r="D1079" s="19"/>
      <c r="E1079" s="19"/>
      <c r="F1079" s="20"/>
      <c r="G1079" s="19"/>
      <c r="H1079" s="19"/>
      <c r="I1079" s="19"/>
      <c r="J1079" s="21"/>
      <c r="K1079" s="19"/>
      <c r="L1079" s="16">
        <f t="shared" si="55"/>
        <v>0</v>
      </c>
      <c r="M1079" s="16" t="str">
        <f t="shared" si="54"/>
        <v/>
      </c>
      <c r="N1079" s="17">
        <f t="shared" si="56"/>
        <v>0</v>
      </c>
    </row>
    <row r="1080" spans="1:14" x14ac:dyDescent="0.2">
      <c r="A1080" s="19">
        <f>IF(ISERROR(VLOOKUP(B1080,Catalogo!$A$2:$C$410,2,0)),0,(VLOOKUP(B1080,Catalogo!$A$2:$C$410,2,0)))</f>
        <v>0</v>
      </c>
      <c r="C1080" s="19"/>
      <c r="D1080" s="19"/>
      <c r="E1080" s="19"/>
      <c r="F1080" s="20"/>
      <c r="G1080" s="19"/>
      <c r="H1080" s="19"/>
      <c r="I1080" s="19"/>
      <c r="J1080" s="21"/>
      <c r="K1080" s="19"/>
      <c r="L1080" s="16">
        <f t="shared" si="55"/>
        <v>0</v>
      </c>
      <c r="M1080" s="16" t="str">
        <f t="shared" si="54"/>
        <v/>
      </c>
      <c r="N1080" s="17">
        <f t="shared" si="56"/>
        <v>0</v>
      </c>
    </row>
    <row r="1081" spans="1:14" x14ac:dyDescent="0.2">
      <c r="A1081" s="19">
        <f>IF(ISERROR(VLOOKUP(B1081,Catalogo!$A$2:$C$410,2,0)),0,(VLOOKUP(B1081,Catalogo!$A$2:$C$410,2,0)))</f>
        <v>0</v>
      </c>
      <c r="C1081" s="19"/>
      <c r="D1081" s="19"/>
      <c r="E1081" s="19"/>
      <c r="F1081" s="20"/>
      <c r="G1081" s="19"/>
      <c r="H1081" s="19"/>
      <c r="I1081" s="19"/>
      <c r="J1081" s="21"/>
      <c r="K1081" s="19"/>
      <c r="L1081" s="16">
        <f t="shared" si="55"/>
        <v>0</v>
      </c>
      <c r="M1081" s="16" t="str">
        <f t="shared" si="54"/>
        <v/>
      </c>
      <c r="N1081" s="17">
        <f t="shared" si="56"/>
        <v>0</v>
      </c>
    </row>
    <row r="1082" spans="1:14" x14ac:dyDescent="0.2">
      <c r="A1082" s="19">
        <f>IF(ISERROR(VLOOKUP(B1082,Catalogo!$A$2:$C$410,2,0)),0,(VLOOKUP(B1082,Catalogo!$A$2:$C$410,2,0)))</f>
        <v>0</v>
      </c>
      <c r="C1082" s="19"/>
      <c r="D1082" s="19"/>
      <c r="E1082" s="19"/>
      <c r="F1082" s="20"/>
      <c r="G1082" s="19"/>
      <c r="H1082" s="19"/>
      <c r="I1082" s="19"/>
      <c r="J1082" s="21"/>
      <c r="K1082" s="19"/>
      <c r="L1082" s="16">
        <f t="shared" si="55"/>
        <v>0</v>
      </c>
      <c r="M1082" s="16" t="str">
        <f t="shared" si="54"/>
        <v/>
      </c>
      <c r="N1082" s="17">
        <f t="shared" si="56"/>
        <v>0</v>
      </c>
    </row>
    <row r="1083" spans="1:14" x14ac:dyDescent="0.2">
      <c r="A1083" s="19">
        <f>IF(ISERROR(VLOOKUP(B1083,Catalogo!$A$2:$C$410,2,0)),0,(VLOOKUP(B1083,Catalogo!$A$2:$C$410,2,0)))</f>
        <v>0</v>
      </c>
      <c r="C1083" s="19"/>
      <c r="D1083" s="19"/>
      <c r="E1083" s="19"/>
      <c r="F1083" s="20"/>
      <c r="G1083" s="19"/>
      <c r="H1083" s="19"/>
      <c r="I1083" s="19"/>
      <c r="J1083" s="21"/>
      <c r="K1083" s="19"/>
      <c r="L1083" s="16">
        <f t="shared" si="55"/>
        <v>0</v>
      </c>
      <c r="M1083" s="16" t="str">
        <f t="shared" si="54"/>
        <v/>
      </c>
      <c r="N1083" s="17">
        <f t="shared" si="56"/>
        <v>0</v>
      </c>
    </row>
    <row r="1084" spans="1:14" x14ac:dyDescent="0.2">
      <c r="A1084" s="19">
        <f>IF(ISERROR(VLOOKUP(B1084,Catalogo!$A$2:$C$410,2,0)),0,(VLOOKUP(B1084,Catalogo!$A$2:$C$410,2,0)))</f>
        <v>0</v>
      </c>
      <c r="C1084" s="19"/>
      <c r="D1084" s="19"/>
      <c r="E1084" s="19"/>
      <c r="F1084" s="20"/>
      <c r="G1084" s="19"/>
      <c r="H1084" s="19"/>
      <c r="I1084" s="19"/>
      <c r="J1084" s="21"/>
      <c r="K1084" s="19"/>
      <c r="L1084" s="16">
        <f t="shared" si="55"/>
        <v>0</v>
      </c>
      <c r="M1084" s="16" t="str">
        <f t="shared" si="54"/>
        <v/>
      </c>
      <c r="N1084" s="17">
        <f t="shared" si="56"/>
        <v>0</v>
      </c>
    </row>
    <row r="1085" spans="1:14" x14ac:dyDescent="0.2">
      <c r="A1085" s="19">
        <f>IF(ISERROR(VLOOKUP(B1085,Catalogo!$A$2:$C$410,2,0)),0,(VLOOKUP(B1085,Catalogo!$A$2:$C$410,2,0)))</f>
        <v>0</v>
      </c>
      <c r="C1085" s="19"/>
      <c r="D1085" s="19"/>
      <c r="E1085" s="19"/>
      <c r="F1085" s="20"/>
      <c r="G1085" s="19"/>
      <c r="H1085" s="19"/>
      <c r="I1085" s="19"/>
      <c r="J1085" s="21"/>
      <c r="K1085" s="19"/>
      <c r="L1085" s="16">
        <f t="shared" si="55"/>
        <v>0</v>
      </c>
      <c r="M1085" s="16" t="str">
        <f t="shared" si="54"/>
        <v/>
      </c>
      <c r="N1085" s="17">
        <f t="shared" si="56"/>
        <v>0</v>
      </c>
    </row>
    <row r="1086" spans="1:14" x14ac:dyDescent="0.2">
      <c r="A1086" s="19">
        <f>IF(ISERROR(VLOOKUP(B1086,Catalogo!$A$2:$C$410,2,0)),0,(VLOOKUP(B1086,Catalogo!$A$2:$C$410,2,0)))</f>
        <v>0</v>
      </c>
      <c r="C1086" s="19"/>
      <c r="D1086" s="19"/>
      <c r="E1086" s="19"/>
      <c r="F1086" s="20"/>
      <c r="G1086" s="19"/>
      <c r="H1086" s="19"/>
      <c r="I1086" s="19"/>
      <c r="J1086" s="21"/>
      <c r="K1086" s="19"/>
      <c r="L1086" s="16">
        <f t="shared" si="55"/>
        <v>0</v>
      </c>
      <c r="M1086" s="16" t="str">
        <f t="shared" si="54"/>
        <v/>
      </c>
      <c r="N1086" s="17">
        <f t="shared" si="56"/>
        <v>0</v>
      </c>
    </row>
    <row r="1087" spans="1:14" x14ac:dyDescent="0.2">
      <c r="A1087" s="19">
        <f>IF(ISERROR(VLOOKUP(B1087,Catalogo!$A$2:$C$410,2,0)),0,(VLOOKUP(B1087,Catalogo!$A$2:$C$410,2,0)))</f>
        <v>0</v>
      </c>
      <c r="C1087" s="19"/>
      <c r="D1087" s="19"/>
      <c r="E1087" s="19"/>
      <c r="F1087" s="20"/>
      <c r="G1087" s="19"/>
      <c r="H1087" s="19"/>
      <c r="I1087" s="19"/>
      <c r="J1087" s="21"/>
      <c r="K1087" s="19"/>
      <c r="L1087" s="16">
        <f t="shared" si="55"/>
        <v>0</v>
      </c>
      <c r="M1087" s="16" t="str">
        <f t="shared" si="54"/>
        <v/>
      </c>
      <c r="N1087" s="17">
        <f t="shared" si="56"/>
        <v>0</v>
      </c>
    </row>
    <row r="1088" spans="1:14" x14ac:dyDescent="0.2">
      <c r="A1088" s="19">
        <f>IF(ISERROR(VLOOKUP(B1088,Catalogo!$A$2:$C$410,2,0)),0,(VLOOKUP(B1088,Catalogo!$A$2:$C$410,2,0)))</f>
        <v>0</v>
      </c>
      <c r="C1088" s="19"/>
      <c r="D1088" s="19"/>
      <c r="E1088" s="19"/>
      <c r="F1088" s="20"/>
      <c r="G1088" s="19"/>
      <c r="H1088" s="19"/>
      <c r="I1088" s="19"/>
      <c r="J1088" s="21"/>
      <c r="K1088" s="19"/>
      <c r="L1088" s="16">
        <f t="shared" si="55"/>
        <v>0</v>
      </c>
      <c r="M1088" s="16" t="str">
        <f t="shared" ref="M1088:M1151" si="57">LEFT(E1088,1)</f>
        <v/>
      </c>
      <c r="N1088" s="17">
        <f t="shared" si="56"/>
        <v>0</v>
      </c>
    </row>
    <row r="1089" spans="1:14" x14ac:dyDescent="0.2">
      <c r="A1089" s="19">
        <f>IF(ISERROR(VLOOKUP(B1089,Catalogo!$A$2:$C$410,2,0)),0,(VLOOKUP(B1089,Catalogo!$A$2:$C$410,2,0)))</f>
        <v>0</v>
      </c>
      <c r="C1089" s="19"/>
      <c r="D1089" s="19"/>
      <c r="E1089" s="19"/>
      <c r="F1089" s="20"/>
      <c r="G1089" s="19"/>
      <c r="H1089" s="19"/>
      <c r="I1089" s="19"/>
      <c r="J1089" s="21"/>
      <c r="K1089" s="19"/>
      <c r="L1089" s="16">
        <f t="shared" si="55"/>
        <v>0</v>
      </c>
      <c r="M1089" s="16" t="str">
        <f t="shared" si="57"/>
        <v/>
      </c>
      <c r="N1089" s="17">
        <f t="shared" si="56"/>
        <v>0</v>
      </c>
    </row>
    <row r="1090" spans="1:14" x14ac:dyDescent="0.2">
      <c r="A1090" s="19">
        <f>IF(ISERROR(VLOOKUP(B1090,Catalogo!$A$2:$C$410,2,0)),0,(VLOOKUP(B1090,Catalogo!$A$2:$C$410,2,0)))</f>
        <v>0</v>
      </c>
      <c r="C1090" s="19"/>
      <c r="D1090" s="19"/>
      <c r="E1090" s="19"/>
      <c r="F1090" s="20"/>
      <c r="G1090" s="19"/>
      <c r="H1090" s="19"/>
      <c r="I1090" s="19"/>
      <c r="J1090" s="21"/>
      <c r="K1090" s="19"/>
      <c r="L1090" s="16">
        <f t="shared" ref="L1090:L1153" si="58">IF(A1090="Record Keeping",B1090,0)</f>
        <v>0</v>
      </c>
      <c r="M1090" s="16" t="str">
        <f t="shared" si="57"/>
        <v/>
      </c>
      <c r="N1090" s="17">
        <f t="shared" ref="N1090:N1153" si="59">IF(G1090="CAN",F1090*0,IF(M1090="R",F1090*-1,F1090*1)*AND(A1090="Record Keeping"))</f>
        <v>0</v>
      </c>
    </row>
    <row r="1091" spans="1:14" x14ac:dyDescent="0.2">
      <c r="A1091" s="19">
        <f>IF(ISERROR(VLOOKUP(B1091,Catalogo!$A$2:$C$410,2,0)),0,(VLOOKUP(B1091,Catalogo!$A$2:$C$410,2,0)))</f>
        <v>0</v>
      </c>
      <c r="C1091" s="19"/>
      <c r="D1091" s="19"/>
      <c r="E1091" s="19"/>
      <c r="F1091" s="20"/>
      <c r="G1091" s="19"/>
      <c r="H1091" s="19"/>
      <c r="I1091" s="19"/>
      <c r="J1091" s="21"/>
      <c r="K1091" s="19"/>
      <c r="L1091" s="16">
        <f t="shared" si="58"/>
        <v>0</v>
      </c>
      <c r="M1091" s="16" t="str">
        <f t="shared" si="57"/>
        <v/>
      </c>
      <c r="N1091" s="17">
        <f t="shared" si="59"/>
        <v>0</v>
      </c>
    </row>
    <row r="1092" spans="1:14" x14ac:dyDescent="0.2">
      <c r="A1092" s="19">
        <f>IF(ISERROR(VLOOKUP(B1092,Catalogo!$A$2:$C$410,2,0)),0,(VLOOKUP(B1092,Catalogo!$A$2:$C$410,2,0)))</f>
        <v>0</v>
      </c>
      <c r="C1092" s="19"/>
      <c r="D1092" s="19"/>
      <c r="E1092" s="19"/>
      <c r="F1092" s="20"/>
      <c r="G1092" s="19"/>
      <c r="H1092" s="19"/>
      <c r="I1092" s="19"/>
      <c r="J1092" s="21"/>
      <c r="K1092" s="19"/>
      <c r="L1092" s="16">
        <f t="shared" si="58"/>
        <v>0</v>
      </c>
      <c r="M1092" s="16" t="str">
        <f t="shared" si="57"/>
        <v/>
      </c>
      <c r="N1092" s="17">
        <f t="shared" si="59"/>
        <v>0</v>
      </c>
    </row>
    <row r="1093" spans="1:14" x14ac:dyDescent="0.2">
      <c r="A1093" s="19">
        <f>IF(ISERROR(VLOOKUP(B1093,Catalogo!$A$2:$C$410,2,0)),0,(VLOOKUP(B1093,Catalogo!$A$2:$C$410,2,0)))</f>
        <v>0</v>
      </c>
      <c r="C1093" s="19"/>
      <c r="D1093" s="19"/>
      <c r="E1093" s="19"/>
      <c r="F1093" s="20"/>
      <c r="G1093" s="19"/>
      <c r="H1093" s="19"/>
      <c r="I1093" s="19"/>
      <c r="J1093" s="21"/>
      <c r="K1093" s="19"/>
      <c r="L1093" s="16">
        <f t="shared" si="58"/>
        <v>0</v>
      </c>
      <c r="M1093" s="16" t="str">
        <f t="shared" si="57"/>
        <v/>
      </c>
      <c r="N1093" s="17">
        <f t="shared" si="59"/>
        <v>0</v>
      </c>
    </row>
    <row r="1094" spans="1:14" x14ac:dyDescent="0.2">
      <c r="A1094" s="19">
        <f>IF(ISERROR(VLOOKUP(B1094,Catalogo!$A$2:$C$410,2,0)),0,(VLOOKUP(B1094,Catalogo!$A$2:$C$410,2,0)))</f>
        <v>0</v>
      </c>
      <c r="C1094" s="19"/>
      <c r="D1094" s="19"/>
      <c r="E1094" s="19"/>
      <c r="F1094" s="20"/>
      <c r="G1094" s="19"/>
      <c r="H1094" s="19"/>
      <c r="I1094" s="19"/>
      <c r="J1094" s="21"/>
      <c r="K1094" s="19"/>
      <c r="L1094" s="16">
        <f t="shared" si="58"/>
        <v>0</v>
      </c>
      <c r="M1094" s="16" t="str">
        <f t="shared" si="57"/>
        <v/>
      </c>
      <c r="N1094" s="17">
        <f t="shared" si="59"/>
        <v>0</v>
      </c>
    </row>
    <row r="1095" spans="1:14" x14ac:dyDescent="0.2">
      <c r="A1095" s="19">
        <f>IF(ISERROR(VLOOKUP(B1095,Catalogo!$A$2:$C$410,2,0)),0,(VLOOKUP(B1095,Catalogo!$A$2:$C$410,2,0)))</f>
        <v>0</v>
      </c>
      <c r="C1095" s="19"/>
      <c r="D1095" s="19"/>
      <c r="E1095" s="19"/>
      <c r="F1095" s="20"/>
      <c r="G1095" s="19"/>
      <c r="H1095" s="19"/>
      <c r="I1095" s="19"/>
      <c r="J1095" s="21"/>
      <c r="K1095" s="19"/>
      <c r="L1095" s="16">
        <f t="shared" si="58"/>
        <v>0</v>
      </c>
      <c r="M1095" s="16" t="str">
        <f t="shared" si="57"/>
        <v/>
      </c>
      <c r="N1095" s="17">
        <f t="shared" si="59"/>
        <v>0</v>
      </c>
    </row>
    <row r="1096" spans="1:14" x14ac:dyDescent="0.2">
      <c r="A1096" s="19">
        <f>IF(ISERROR(VLOOKUP(B1096,Catalogo!$A$2:$C$410,2,0)),0,(VLOOKUP(B1096,Catalogo!$A$2:$C$410,2,0)))</f>
        <v>0</v>
      </c>
      <c r="C1096" s="19"/>
      <c r="D1096" s="19"/>
      <c r="E1096" s="19"/>
      <c r="F1096" s="20"/>
      <c r="G1096" s="19"/>
      <c r="H1096" s="19"/>
      <c r="I1096" s="19"/>
      <c r="J1096" s="21"/>
      <c r="K1096" s="19"/>
      <c r="L1096" s="16">
        <f t="shared" si="58"/>
        <v>0</v>
      </c>
      <c r="M1096" s="16" t="str">
        <f t="shared" si="57"/>
        <v/>
      </c>
      <c r="N1096" s="17">
        <f t="shared" si="59"/>
        <v>0</v>
      </c>
    </row>
    <row r="1097" spans="1:14" x14ac:dyDescent="0.2">
      <c r="A1097" s="19">
        <f>IF(ISERROR(VLOOKUP(B1097,Catalogo!$A$2:$C$410,2,0)),0,(VLOOKUP(B1097,Catalogo!$A$2:$C$410,2,0)))</f>
        <v>0</v>
      </c>
      <c r="C1097" s="19"/>
      <c r="D1097" s="19"/>
      <c r="E1097" s="19"/>
      <c r="F1097" s="20"/>
      <c r="G1097" s="19"/>
      <c r="H1097" s="19"/>
      <c r="I1097" s="19"/>
      <c r="J1097" s="21"/>
      <c r="K1097" s="19"/>
      <c r="L1097" s="16">
        <f t="shared" si="58"/>
        <v>0</v>
      </c>
      <c r="M1097" s="16" t="str">
        <f t="shared" si="57"/>
        <v/>
      </c>
      <c r="N1097" s="17">
        <f t="shared" si="59"/>
        <v>0</v>
      </c>
    </row>
    <row r="1098" spans="1:14" x14ac:dyDescent="0.2">
      <c r="A1098" s="19">
        <f>IF(ISERROR(VLOOKUP(B1098,Catalogo!$A$2:$C$410,2,0)),0,(VLOOKUP(B1098,Catalogo!$A$2:$C$410,2,0)))</f>
        <v>0</v>
      </c>
      <c r="C1098" s="19"/>
      <c r="D1098" s="19"/>
      <c r="E1098" s="19"/>
      <c r="F1098" s="20"/>
      <c r="G1098" s="19"/>
      <c r="H1098" s="19"/>
      <c r="I1098" s="19"/>
      <c r="J1098" s="21"/>
      <c r="K1098" s="19"/>
      <c r="L1098" s="16">
        <f t="shared" si="58"/>
        <v>0</v>
      </c>
      <c r="M1098" s="16" t="str">
        <f t="shared" si="57"/>
        <v/>
      </c>
      <c r="N1098" s="17">
        <f t="shared" si="59"/>
        <v>0</v>
      </c>
    </row>
    <row r="1099" spans="1:14" x14ac:dyDescent="0.2">
      <c r="A1099" s="19">
        <f>IF(ISERROR(VLOOKUP(B1099,Catalogo!$A$2:$C$410,2,0)),0,(VLOOKUP(B1099,Catalogo!$A$2:$C$410,2,0)))</f>
        <v>0</v>
      </c>
      <c r="C1099" s="19"/>
      <c r="D1099" s="19"/>
      <c r="E1099" s="19"/>
      <c r="F1099" s="20"/>
      <c r="G1099" s="19"/>
      <c r="H1099" s="19"/>
      <c r="I1099" s="19"/>
      <c r="J1099" s="21"/>
      <c r="K1099" s="19"/>
      <c r="L1099" s="16">
        <f t="shared" si="58"/>
        <v>0</v>
      </c>
      <c r="M1099" s="16" t="str">
        <f t="shared" si="57"/>
        <v/>
      </c>
      <c r="N1099" s="17">
        <f t="shared" si="59"/>
        <v>0</v>
      </c>
    </row>
    <row r="1100" spans="1:14" x14ac:dyDescent="0.2">
      <c r="A1100" s="19">
        <f>IF(ISERROR(VLOOKUP(B1100,Catalogo!$A$2:$C$410,2,0)),0,(VLOOKUP(B1100,Catalogo!$A$2:$C$410,2,0)))</f>
        <v>0</v>
      </c>
      <c r="C1100" s="19"/>
      <c r="D1100" s="19"/>
      <c r="E1100" s="19"/>
      <c r="F1100" s="20"/>
      <c r="G1100" s="19"/>
      <c r="H1100" s="19"/>
      <c r="I1100" s="19"/>
      <c r="J1100" s="21"/>
      <c r="K1100" s="19"/>
      <c r="L1100" s="16">
        <f t="shared" si="58"/>
        <v>0</v>
      </c>
      <c r="M1100" s="16" t="str">
        <f t="shared" si="57"/>
        <v/>
      </c>
      <c r="N1100" s="17">
        <f t="shared" si="59"/>
        <v>0</v>
      </c>
    </row>
    <row r="1101" spans="1:14" x14ac:dyDescent="0.2">
      <c r="A1101" s="19">
        <f>IF(ISERROR(VLOOKUP(B1101,Catalogo!$A$2:$C$410,2,0)),0,(VLOOKUP(B1101,Catalogo!$A$2:$C$410,2,0)))</f>
        <v>0</v>
      </c>
      <c r="C1101" s="19"/>
      <c r="D1101" s="19"/>
      <c r="E1101" s="19"/>
      <c r="F1101" s="20"/>
      <c r="G1101" s="19"/>
      <c r="H1101" s="19"/>
      <c r="I1101" s="19"/>
      <c r="J1101" s="21"/>
      <c r="K1101" s="19"/>
      <c r="L1101" s="16">
        <f t="shared" si="58"/>
        <v>0</v>
      </c>
      <c r="M1101" s="16" t="str">
        <f t="shared" si="57"/>
        <v/>
      </c>
      <c r="N1101" s="17">
        <f t="shared" si="59"/>
        <v>0</v>
      </c>
    </row>
    <row r="1102" spans="1:14" x14ac:dyDescent="0.2">
      <c r="A1102" s="19">
        <f>IF(ISERROR(VLOOKUP(B1102,Catalogo!$A$2:$C$410,2,0)),0,(VLOOKUP(B1102,Catalogo!$A$2:$C$410,2,0)))</f>
        <v>0</v>
      </c>
      <c r="C1102" s="19"/>
      <c r="D1102" s="19"/>
      <c r="E1102" s="19"/>
      <c r="F1102" s="20"/>
      <c r="G1102" s="19"/>
      <c r="H1102" s="19"/>
      <c r="I1102" s="19"/>
      <c r="J1102" s="21"/>
      <c r="K1102" s="19"/>
      <c r="L1102" s="16">
        <f t="shared" si="58"/>
        <v>0</v>
      </c>
      <c r="M1102" s="16" t="str">
        <f t="shared" si="57"/>
        <v/>
      </c>
      <c r="N1102" s="17">
        <f t="shared" si="59"/>
        <v>0</v>
      </c>
    </row>
    <row r="1103" spans="1:14" x14ac:dyDescent="0.2">
      <c r="A1103" s="19">
        <f>IF(ISERROR(VLOOKUP(B1103,Catalogo!$A$2:$C$410,2,0)),0,(VLOOKUP(B1103,Catalogo!$A$2:$C$410,2,0)))</f>
        <v>0</v>
      </c>
      <c r="C1103" s="19"/>
      <c r="D1103" s="19"/>
      <c r="E1103" s="19"/>
      <c r="F1103" s="20"/>
      <c r="G1103" s="19"/>
      <c r="H1103" s="19"/>
      <c r="I1103" s="19"/>
      <c r="J1103" s="21"/>
      <c r="K1103" s="19"/>
      <c r="L1103" s="16">
        <f t="shared" si="58"/>
        <v>0</v>
      </c>
      <c r="M1103" s="16" t="str">
        <f t="shared" si="57"/>
        <v/>
      </c>
      <c r="N1103" s="17">
        <f t="shared" si="59"/>
        <v>0</v>
      </c>
    </row>
    <row r="1104" spans="1:14" x14ac:dyDescent="0.2">
      <c r="A1104" s="19">
        <f>IF(ISERROR(VLOOKUP(B1104,Catalogo!$A$2:$C$410,2,0)),0,(VLOOKUP(B1104,Catalogo!$A$2:$C$410,2,0)))</f>
        <v>0</v>
      </c>
      <c r="C1104" s="19"/>
      <c r="D1104" s="19"/>
      <c r="E1104" s="19"/>
      <c r="F1104" s="20"/>
      <c r="G1104" s="19"/>
      <c r="H1104" s="19"/>
      <c r="I1104" s="19"/>
      <c r="J1104" s="21"/>
      <c r="K1104" s="19"/>
      <c r="L1104" s="16">
        <f t="shared" si="58"/>
        <v>0</v>
      </c>
      <c r="M1104" s="16" t="str">
        <f t="shared" si="57"/>
        <v/>
      </c>
      <c r="N1104" s="17">
        <f t="shared" si="59"/>
        <v>0</v>
      </c>
    </row>
    <row r="1105" spans="1:14" x14ac:dyDescent="0.2">
      <c r="A1105" s="19">
        <f>IF(ISERROR(VLOOKUP(B1105,Catalogo!$A$2:$C$410,2,0)),0,(VLOOKUP(B1105,Catalogo!$A$2:$C$410,2,0)))</f>
        <v>0</v>
      </c>
      <c r="C1105" s="19"/>
      <c r="D1105" s="19"/>
      <c r="E1105" s="19"/>
      <c r="F1105" s="20"/>
      <c r="G1105" s="19"/>
      <c r="H1105" s="19"/>
      <c r="I1105" s="19"/>
      <c r="J1105" s="21"/>
      <c r="K1105" s="19"/>
      <c r="L1105" s="16">
        <f t="shared" si="58"/>
        <v>0</v>
      </c>
      <c r="M1105" s="16" t="str">
        <f t="shared" si="57"/>
        <v/>
      </c>
      <c r="N1105" s="17">
        <f t="shared" si="59"/>
        <v>0</v>
      </c>
    </row>
    <row r="1106" spans="1:14" x14ac:dyDescent="0.2">
      <c r="A1106" s="19">
        <f>IF(ISERROR(VLOOKUP(B1106,Catalogo!$A$2:$C$410,2,0)),0,(VLOOKUP(B1106,Catalogo!$A$2:$C$410,2,0)))</f>
        <v>0</v>
      </c>
      <c r="C1106" s="19"/>
      <c r="D1106" s="19"/>
      <c r="E1106" s="19"/>
      <c r="F1106" s="20"/>
      <c r="G1106" s="19"/>
      <c r="H1106" s="19"/>
      <c r="I1106" s="19"/>
      <c r="J1106" s="21"/>
      <c r="K1106" s="19"/>
      <c r="L1106" s="16">
        <f t="shared" si="58"/>
        <v>0</v>
      </c>
      <c r="M1106" s="16" t="str">
        <f t="shared" si="57"/>
        <v/>
      </c>
      <c r="N1106" s="17">
        <f t="shared" si="59"/>
        <v>0</v>
      </c>
    </row>
    <row r="1107" spans="1:14" x14ac:dyDescent="0.2">
      <c r="A1107" s="19">
        <f>IF(ISERROR(VLOOKUP(B1107,Catalogo!$A$2:$C$410,2,0)),0,(VLOOKUP(B1107,Catalogo!$A$2:$C$410,2,0)))</f>
        <v>0</v>
      </c>
      <c r="C1107" s="19"/>
      <c r="D1107" s="19"/>
      <c r="E1107" s="19"/>
      <c r="F1107" s="20"/>
      <c r="G1107" s="19"/>
      <c r="H1107" s="19"/>
      <c r="I1107" s="19"/>
      <c r="J1107" s="21"/>
      <c r="K1107" s="19"/>
      <c r="L1107" s="16">
        <f t="shared" si="58"/>
        <v>0</v>
      </c>
      <c r="M1107" s="16" t="str">
        <f t="shared" si="57"/>
        <v/>
      </c>
      <c r="N1107" s="17">
        <f t="shared" si="59"/>
        <v>0</v>
      </c>
    </row>
    <row r="1108" spans="1:14" x14ac:dyDescent="0.2">
      <c r="A1108" s="19">
        <f>IF(ISERROR(VLOOKUP(B1108,Catalogo!$A$2:$C$410,2,0)),0,(VLOOKUP(B1108,Catalogo!$A$2:$C$410,2,0)))</f>
        <v>0</v>
      </c>
      <c r="C1108" s="19"/>
      <c r="D1108" s="19"/>
      <c r="E1108" s="19"/>
      <c r="F1108" s="20"/>
      <c r="G1108" s="19"/>
      <c r="H1108" s="19"/>
      <c r="I1108" s="19"/>
      <c r="J1108" s="21"/>
      <c r="K1108" s="19"/>
      <c r="L1108" s="16">
        <f t="shared" si="58"/>
        <v>0</v>
      </c>
      <c r="M1108" s="16" t="str">
        <f t="shared" si="57"/>
        <v/>
      </c>
      <c r="N1108" s="17">
        <f t="shared" si="59"/>
        <v>0</v>
      </c>
    </row>
    <row r="1109" spans="1:14" x14ac:dyDescent="0.2">
      <c r="A1109" s="19">
        <f>IF(ISERROR(VLOOKUP(B1109,Catalogo!$A$2:$C$410,2,0)),0,(VLOOKUP(B1109,Catalogo!$A$2:$C$410,2,0)))</f>
        <v>0</v>
      </c>
      <c r="C1109" s="19"/>
      <c r="D1109" s="19"/>
      <c r="E1109" s="19"/>
      <c r="F1109" s="20"/>
      <c r="G1109" s="19"/>
      <c r="H1109" s="19"/>
      <c r="I1109" s="19"/>
      <c r="J1109" s="21"/>
      <c r="K1109" s="19"/>
      <c r="L1109" s="16">
        <f t="shared" si="58"/>
        <v>0</v>
      </c>
      <c r="M1109" s="16" t="str">
        <f t="shared" si="57"/>
        <v/>
      </c>
      <c r="N1109" s="17">
        <f t="shared" si="59"/>
        <v>0</v>
      </c>
    </row>
    <row r="1110" spans="1:14" x14ac:dyDescent="0.2">
      <c r="A1110" s="19">
        <f>IF(ISERROR(VLOOKUP(B1110,Catalogo!$A$2:$C$410,2,0)),0,(VLOOKUP(B1110,Catalogo!$A$2:$C$410,2,0)))</f>
        <v>0</v>
      </c>
      <c r="C1110" s="19"/>
      <c r="D1110" s="19"/>
      <c r="E1110" s="19"/>
      <c r="F1110" s="20"/>
      <c r="G1110" s="19"/>
      <c r="H1110" s="19"/>
      <c r="I1110" s="19"/>
      <c r="J1110" s="21"/>
      <c r="K1110" s="19"/>
      <c r="L1110" s="16">
        <f t="shared" si="58"/>
        <v>0</v>
      </c>
      <c r="M1110" s="16" t="str">
        <f t="shared" si="57"/>
        <v/>
      </c>
      <c r="N1110" s="17">
        <f t="shared" si="59"/>
        <v>0</v>
      </c>
    </row>
    <row r="1111" spans="1:14" x14ac:dyDescent="0.2">
      <c r="A1111" s="19">
        <f>IF(ISERROR(VLOOKUP(B1111,Catalogo!$A$2:$C$410,2,0)),0,(VLOOKUP(B1111,Catalogo!$A$2:$C$410,2,0)))</f>
        <v>0</v>
      </c>
      <c r="C1111" s="19"/>
      <c r="D1111" s="19"/>
      <c r="E1111" s="19"/>
      <c r="F1111" s="20"/>
      <c r="G1111" s="19"/>
      <c r="H1111" s="19"/>
      <c r="I1111" s="19"/>
      <c r="J1111" s="21"/>
      <c r="K1111" s="19"/>
      <c r="L1111" s="16">
        <f t="shared" si="58"/>
        <v>0</v>
      </c>
      <c r="M1111" s="16" t="str">
        <f t="shared" si="57"/>
        <v/>
      </c>
      <c r="N1111" s="17">
        <f t="shared" si="59"/>
        <v>0</v>
      </c>
    </row>
    <row r="1112" spans="1:14" x14ac:dyDescent="0.2">
      <c r="A1112" s="19">
        <f>IF(ISERROR(VLOOKUP(B1112,Catalogo!$A$2:$C$410,2,0)),0,(VLOOKUP(B1112,Catalogo!$A$2:$C$410,2,0)))</f>
        <v>0</v>
      </c>
      <c r="C1112" s="19"/>
      <c r="D1112" s="19"/>
      <c r="E1112" s="19"/>
      <c r="F1112" s="20"/>
      <c r="G1112" s="19"/>
      <c r="H1112" s="19"/>
      <c r="I1112" s="19"/>
      <c r="J1112" s="21"/>
      <c r="K1112" s="19"/>
      <c r="L1112" s="16">
        <f t="shared" si="58"/>
        <v>0</v>
      </c>
      <c r="M1112" s="16" t="str">
        <f t="shared" si="57"/>
        <v/>
      </c>
      <c r="N1112" s="17">
        <f t="shared" si="59"/>
        <v>0</v>
      </c>
    </row>
    <row r="1113" spans="1:14" x14ac:dyDescent="0.2">
      <c r="A1113" s="19">
        <f>IF(ISERROR(VLOOKUP(B1113,Catalogo!$A$2:$C$410,2,0)),0,(VLOOKUP(B1113,Catalogo!$A$2:$C$410,2,0)))</f>
        <v>0</v>
      </c>
      <c r="C1113" s="19"/>
      <c r="D1113" s="19"/>
      <c r="E1113" s="19"/>
      <c r="F1113" s="20"/>
      <c r="G1113" s="19"/>
      <c r="H1113" s="19"/>
      <c r="I1113" s="19"/>
      <c r="J1113" s="21"/>
      <c r="K1113" s="19"/>
      <c r="L1113" s="16">
        <f t="shared" si="58"/>
        <v>0</v>
      </c>
      <c r="M1113" s="16" t="str">
        <f t="shared" si="57"/>
        <v/>
      </c>
      <c r="N1113" s="17">
        <f t="shared" si="59"/>
        <v>0</v>
      </c>
    </row>
    <row r="1114" spans="1:14" x14ac:dyDescent="0.2">
      <c r="A1114" s="19">
        <f>IF(ISERROR(VLOOKUP(B1114,Catalogo!$A$2:$C$410,2,0)),0,(VLOOKUP(B1114,Catalogo!$A$2:$C$410,2,0)))</f>
        <v>0</v>
      </c>
      <c r="C1114" s="19"/>
      <c r="D1114" s="19"/>
      <c r="E1114" s="19"/>
      <c r="F1114" s="20"/>
      <c r="G1114" s="19"/>
      <c r="H1114" s="19"/>
      <c r="I1114" s="19"/>
      <c r="J1114" s="21"/>
      <c r="K1114" s="19"/>
      <c r="L1114" s="16">
        <f t="shared" si="58"/>
        <v>0</v>
      </c>
      <c r="M1114" s="16" t="str">
        <f t="shared" si="57"/>
        <v/>
      </c>
      <c r="N1114" s="17">
        <f t="shared" si="59"/>
        <v>0</v>
      </c>
    </row>
    <row r="1115" spans="1:14" x14ac:dyDescent="0.2">
      <c r="A1115" s="19">
        <f>IF(ISERROR(VLOOKUP(B1115,Catalogo!$A$2:$C$410,2,0)),0,(VLOOKUP(B1115,Catalogo!$A$2:$C$410,2,0)))</f>
        <v>0</v>
      </c>
      <c r="C1115" s="19"/>
      <c r="D1115" s="19"/>
      <c r="E1115" s="19"/>
      <c r="F1115" s="20"/>
      <c r="G1115" s="19"/>
      <c r="H1115" s="19"/>
      <c r="I1115" s="19"/>
      <c r="J1115" s="21"/>
      <c r="K1115" s="19"/>
      <c r="L1115" s="16">
        <f t="shared" si="58"/>
        <v>0</v>
      </c>
      <c r="M1115" s="16" t="str">
        <f t="shared" si="57"/>
        <v/>
      </c>
      <c r="N1115" s="17">
        <f t="shared" si="59"/>
        <v>0</v>
      </c>
    </row>
    <row r="1116" spans="1:14" x14ac:dyDescent="0.2">
      <c r="A1116" s="19">
        <f>IF(ISERROR(VLOOKUP(B1116,Catalogo!$A$2:$C$410,2,0)),0,(VLOOKUP(B1116,Catalogo!$A$2:$C$410,2,0)))</f>
        <v>0</v>
      </c>
      <c r="C1116" s="19"/>
      <c r="D1116" s="19"/>
      <c r="E1116" s="19"/>
      <c r="F1116" s="20"/>
      <c r="G1116" s="19"/>
      <c r="H1116" s="19"/>
      <c r="I1116" s="19"/>
      <c r="J1116" s="21"/>
      <c r="K1116" s="19"/>
      <c r="L1116" s="16">
        <f t="shared" si="58"/>
        <v>0</v>
      </c>
      <c r="M1116" s="16" t="str">
        <f t="shared" si="57"/>
        <v/>
      </c>
      <c r="N1116" s="17">
        <f t="shared" si="59"/>
        <v>0</v>
      </c>
    </row>
    <row r="1117" spans="1:14" x14ac:dyDescent="0.2">
      <c r="A1117" s="19">
        <f>IF(ISERROR(VLOOKUP(B1117,Catalogo!$A$2:$C$410,2,0)),0,(VLOOKUP(B1117,Catalogo!$A$2:$C$410,2,0)))</f>
        <v>0</v>
      </c>
      <c r="C1117" s="19"/>
      <c r="D1117" s="19"/>
      <c r="E1117" s="19"/>
      <c r="F1117" s="20"/>
      <c r="G1117" s="19"/>
      <c r="H1117" s="19"/>
      <c r="I1117" s="19"/>
      <c r="J1117" s="21"/>
      <c r="K1117" s="19"/>
      <c r="L1117" s="16">
        <f t="shared" si="58"/>
        <v>0</v>
      </c>
      <c r="M1117" s="16" t="str">
        <f t="shared" si="57"/>
        <v/>
      </c>
      <c r="N1117" s="17">
        <f t="shared" si="59"/>
        <v>0</v>
      </c>
    </row>
    <row r="1118" spans="1:14" x14ac:dyDescent="0.2">
      <c r="A1118" s="19">
        <f>IF(ISERROR(VLOOKUP(B1118,Catalogo!$A$2:$C$410,2,0)),0,(VLOOKUP(B1118,Catalogo!$A$2:$C$410,2,0)))</f>
        <v>0</v>
      </c>
      <c r="C1118" s="19"/>
      <c r="D1118" s="19"/>
      <c r="E1118" s="19"/>
      <c r="F1118" s="20"/>
      <c r="G1118" s="19"/>
      <c r="H1118" s="19"/>
      <c r="I1118" s="19"/>
      <c r="J1118" s="21"/>
      <c r="K1118" s="19"/>
      <c r="L1118" s="16">
        <f t="shared" si="58"/>
        <v>0</v>
      </c>
      <c r="M1118" s="16" t="str">
        <f t="shared" si="57"/>
        <v/>
      </c>
      <c r="N1118" s="17">
        <f t="shared" si="59"/>
        <v>0</v>
      </c>
    </row>
    <row r="1119" spans="1:14" x14ac:dyDescent="0.2">
      <c r="A1119" s="19">
        <f>IF(ISERROR(VLOOKUP(B1119,Catalogo!$A$2:$C$410,2,0)),0,(VLOOKUP(B1119,Catalogo!$A$2:$C$410,2,0)))</f>
        <v>0</v>
      </c>
      <c r="C1119" s="19"/>
      <c r="D1119" s="19"/>
      <c r="E1119" s="19"/>
      <c r="F1119" s="20"/>
      <c r="G1119" s="19"/>
      <c r="H1119" s="19"/>
      <c r="I1119" s="19"/>
      <c r="J1119" s="21"/>
      <c r="K1119" s="19"/>
      <c r="L1119" s="16">
        <f t="shared" si="58"/>
        <v>0</v>
      </c>
      <c r="M1119" s="16" t="str">
        <f t="shared" si="57"/>
        <v/>
      </c>
      <c r="N1119" s="17">
        <f t="shared" si="59"/>
        <v>0</v>
      </c>
    </row>
    <row r="1120" spans="1:14" x14ac:dyDescent="0.2">
      <c r="A1120" s="19">
        <f>IF(ISERROR(VLOOKUP(B1120,Catalogo!$A$2:$C$410,2,0)),0,(VLOOKUP(B1120,Catalogo!$A$2:$C$410,2,0)))</f>
        <v>0</v>
      </c>
      <c r="C1120" s="19"/>
      <c r="D1120" s="19"/>
      <c r="E1120" s="19"/>
      <c r="F1120" s="20"/>
      <c r="G1120" s="19"/>
      <c r="H1120" s="19"/>
      <c r="I1120" s="19"/>
      <c r="J1120" s="21"/>
      <c r="K1120" s="19"/>
      <c r="L1120" s="16">
        <f t="shared" si="58"/>
        <v>0</v>
      </c>
      <c r="M1120" s="16" t="str">
        <f t="shared" si="57"/>
        <v/>
      </c>
      <c r="N1120" s="17">
        <f t="shared" si="59"/>
        <v>0</v>
      </c>
    </row>
    <row r="1121" spans="1:14" x14ac:dyDescent="0.2">
      <c r="A1121" s="19">
        <f>IF(ISERROR(VLOOKUP(B1121,Catalogo!$A$2:$C$410,2,0)),0,(VLOOKUP(B1121,Catalogo!$A$2:$C$410,2,0)))</f>
        <v>0</v>
      </c>
      <c r="C1121" s="19"/>
      <c r="D1121" s="19"/>
      <c r="E1121" s="19"/>
      <c r="F1121" s="20"/>
      <c r="G1121" s="19"/>
      <c r="H1121" s="19"/>
      <c r="I1121" s="19"/>
      <c r="J1121" s="21"/>
      <c r="K1121" s="19"/>
      <c r="L1121" s="16">
        <f t="shared" si="58"/>
        <v>0</v>
      </c>
      <c r="M1121" s="16" t="str">
        <f t="shared" si="57"/>
        <v/>
      </c>
      <c r="N1121" s="17">
        <f t="shared" si="59"/>
        <v>0</v>
      </c>
    </row>
    <row r="1122" spans="1:14" x14ac:dyDescent="0.2">
      <c r="A1122" s="19">
        <f>IF(ISERROR(VLOOKUP(B1122,Catalogo!$A$2:$C$410,2,0)),0,(VLOOKUP(B1122,Catalogo!$A$2:$C$410,2,0)))</f>
        <v>0</v>
      </c>
      <c r="C1122" s="19"/>
      <c r="D1122" s="19"/>
      <c r="E1122" s="19"/>
      <c r="F1122" s="20"/>
      <c r="G1122" s="19"/>
      <c r="H1122" s="19"/>
      <c r="I1122" s="19"/>
      <c r="J1122" s="21"/>
      <c r="K1122" s="19"/>
      <c r="L1122" s="16">
        <f t="shared" si="58"/>
        <v>0</v>
      </c>
      <c r="M1122" s="16" t="str">
        <f t="shared" si="57"/>
        <v/>
      </c>
      <c r="N1122" s="17">
        <f t="shared" si="59"/>
        <v>0</v>
      </c>
    </row>
    <row r="1123" spans="1:14" x14ac:dyDescent="0.2">
      <c r="A1123" s="19">
        <f>IF(ISERROR(VLOOKUP(B1123,Catalogo!$A$2:$C$410,2,0)),0,(VLOOKUP(B1123,Catalogo!$A$2:$C$410,2,0)))</f>
        <v>0</v>
      </c>
      <c r="C1123" s="19"/>
      <c r="D1123" s="19"/>
      <c r="E1123" s="19"/>
      <c r="F1123" s="20"/>
      <c r="G1123" s="19"/>
      <c r="H1123" s="19"/>
      <c r="I1123" s="19"/>
      <c r="J1123" s="21"/>
      <c r="K1123" s="19"/>
      <c r="L1123" s="16">
        <f t="shared" si="58"/>
        <v>0</v>
      </c>
      <c r="M1123" s="16" t="str">
        <f t="shared" si="57"/>
        <v/>
      </c>
      <c r="N1123" s="17">
        <f t="shared" si="59"/>
        <v>0</v>
      </c>
    </row>
    <row r="1124" spans="1:14" x14ac:dyDescent="0.2">
      <c r="A1124" s="19">
        <f>IF(ISERROR(VLOOKUP(B1124,Catalogo!$A$2:$C$410,2,0)),0,(VLOOKUP(B1124,Catalogo!$A$2:$C$410,2,0)))</f>
        <v>0</v>
      </c>
      <c r="C1124" s="19"/>
      <c r="D1124" s="19"/>
      <c r="E1124" s="19"/>
      <c r="F1124" s="20"/>
      <c r="G1124" s="19"/>
      <c r="H1124" s="19"/>
      <c r="I1124" s="19"/>
      <c r="J1124" s="21"/>
      <c r="K1124" s="19"/>
      <c r="L1124" s="16">
        <f t="shared" si="58"/>
        <v>0</v>
      </c>
      <c r="M1124" s="16" t="str">
        <f t="shared" si="57"/>
        <v/>
      </c>
      <c r="N1124" s="17">
        <f t="shared" si="59"/>
        <v>0</v>
      </c>
    </row>
    <row r="1125" spans="1:14" x14ac:dyDescent="0.2">
      <c r="A1125" s="19">
        <f>IF(ISERROR(VLOOKUP(B1125,Catalogo!$A$2:$C$410,2,0)),0,(VLOOKUP(B1125,Catalogo!$A$2:$C$410,2,0)))</f>
        <v>0</v>
      </c>
      <c r="C1125" s="19"/>
      <c r="D1125" s="19"/>
      <c r="E1125" s="19"/>
      <c r="F1125" s="20"/>
      <c r="G1125" s="19"/>
      <c r="H1125" s="19"/>
      <c r="I1125" s="19"/>
      <c r="J1125" s="21"/>
      <c r="K1125" s="19"/>
      <c r="L1125" s="16">
        <f t="shared" si="58"/>
        <v>0</v>
      </c>
      <c r="M1125" s="16" t="str">
        <f t="shared" si="57"/>
        <v/>
      </c>
      <c r="N1125" s="17">
        <f t="shared" si="59"/>
        <v>0</v>
      </c>
    </row>
    <row r="1126" spans="1:14" x14ac:dyDescent="0.2">
      <c r="A1126" s="19">
        <f>IF(ISERROR(VLOOKUP(B1126,Catalogo!$A$2:$C$410,2,0)),0,(VLOOKUP(B1126,Catalogo!$A$2:$C$410,2,0)))</f>
        <v>0</v>
      </c>
      <c r="C1126" s="19"/>
      <c r="D1126" s="19"/>
      <c r="E1126" s="19"/>
      <c r="F1126" s="20"/>
      <c r="G1126" s="19"/>
      <c r="H1126" s="19"/>
      <c r="I1126" s="19"/>
      <c r="J1126" s="21"/>
      <c r="K1126" s="19"/>
      <c r="L1126" s="16">
        <f t="shared" si="58"/>
        <v>0</v>
      </c>
      <c r="M1126" s="16" t="str">
        <f t="shared" si="57"/>
        <v/>
      </c>
      <c r="N1126" s="17">
        <f t="shared" si="59"/>
        <v>0</v>
      </c>
    </row>
    <row r="1127" spans="1:14" x14ac:dyDescent="0.2">
      <c r="A1127" s="19">
        <f>IF(ISERROR(VLOOKUP(B1127,Catalogo!$A$2:$C$410,2,0)),0,(VLOOKUP(B1127,Catalogo!$A$2:$C$410,2,0)))</f>
        <v>0</v>
      </c>
      <c r="C1127" s="19"/>
      <c r="D1127" s="19"/>
      <c r="E1127" s="19"/>
      <c r="F1127" s="20"/>
      <c r="G1127" s="19"/>
      <c r="H1127" s="19"/>
      <c r="I1127" s="19"/>
      <c r="J1127" s="19"/>
      <c r="K1127" s="19"/>
      <c r="L1127" s="16">
        <f t="shared" si="58"/>
        <v>0</v>
      </c>
      <c r="M1127" s="16" t="str">
        <f t="shared" si="57"/>
        <v/>
      </c>
      <c r="N1127" s="17">
        <f t="shared" si="59"/>
        <v>0</v>
      </c>
    </row>
    <row r="1128" spans="1:14" x14ac:dyDescent="0.2">
      <c r="A1128" s="19">
        <f>IF(ISERROR(VLOOKUP(B1128,Catalogo!$A$2:$C$410,2,0)),0,(VLOOKUP(B1128,Catalogo!$A$2:$C$410,2,0)))</f>
        <v>0</v>
      </c>
      <c r="C1128" s="19"/>
      <c r="D1128" s="19"/>
      <c r="E1128" s="19"/>
      <c r="F1128" s="20"/>
      <c r="G1128" s="19"/>
      <c r="H1128" s="19"/>
      <c r="I1128" s="19"/>
      <c r="J1128" s="19"/>
      <c r="K1128" s="19"/>
      <c r="L1128" s="16">
        <f t="shared" si="58"/>
        <v>0</v>
      </c>
      <c r="M1128" s="16" t="str">
        <f t="shared" si="57"/>
        <v/>
      </c>
      <c r="N1128" s="17">
        <f t="shared" si="59"/>
        <v>0</v>
      </c>
    </row>
    <row r="1129" spans="1:14" x14ac:dyDescent="0.2">
      <c r="A1129" s="19">
        <f>IF(ISERROR(VLOOKUP(B1129,Catalogo!$A$2:$C$410,2,0)),0,(VLOOKUP(B1129,Catalogo!$A$2:$C$410,2,0)))</f>
        <v>0</v>
      </c>
      <c r="C1129" s="19"/>
      <c r="D1129" s="19"/>
      <c r="E1129" s="19"/>
      <c r="F1129" s="20"/>
      <c r="G1129" s="19"/>
      <c r="H1129" s="19"/>
      <c r="I1129" s="19"/>
      <c r="J1129" s="21"/>
      <c r="K1129" s="19"/>
      <c r="L1129" s="16">
        <f t="shared" si="58"/>
        <v>0</v>
      </c>
      <c r="M1129" s="16" t="str">
        <f t="shared" si="57"/>
        <v/>
      </c>
      <c r="N1129" s="17">
        <f t="shared" si="59"/>
        <v>0</v>
      </c>
    </row>
    <row r="1130" spans="1:14" x14ac:dyDescent="0.2">
      <c r="A1130" s="19">
        <f>IF(ISERROR(VLOOKUP(B1130,Catalogo!$A$2:$C$410,2,0)),0,(VLOOKUP(B1130,Catalogo!$A$2:$C$410,2,0)))</f>
        <v>0</v>
      </c>
      <c r="C1130" s="19"/>
      <c r="D1130" s="19"/>
      <c r="E1130" s="19"/>
      <c r="F1130" s="20"/>
      <c r="G1130" s="19"/>
      <c r="H1130" s="19"/>
      <c r="I1130" s="19"/>
      <c r="J1130" s="21"/>
      <c r="K1130" s="19"/>
      <c r="L1130" s="16">
        <f t="shared" si="58"/>
        <v>0</v>
      </c>
      <c r="M1130" s="16" t="str">
        <f t="shared" si="57"/>
        <v/>
      </c>
      <c r="N1130" s="17">
        <f t="shared" si="59"/>
        <v>0</v>
      </c>
    </row>
    <row r="1131" spans="1:14" x14ac:dyDescent="0.2">
      <c r="A1131" s="19">
        <f>IF(ISERROR(VLOOKUP(B1131,Catalogo!$A$2:$C$410,2,0)),0,(VLOOKUP(B1131,Catalogo!$A$2:$C$410,2,0)))</f>
        <v>0</v>
      </c>
      <c r="C1131" s="19"/>
      <c r="D1131" s="19"/>
      <c r="E1131" s="19"/>
      <c r="F1131" s="20"/>
      <c r="G1131" s="19"/>
      <c r="H1131" s="19"/>
      <c r="I1131" s="19"/>
      <c r="J1131" s="21"/>
      <c r="K1131" s="19"/>
      <c r="L1131" s="16">
        <f t="shared" si="58"/>
        <v>0</v>
      </c>
      <c r="M1131" s="16" t="str">
        <f t="shared" si="57"/>
        <v/>
      </c>
      <c r="N1131" s="17">
        <f t="shared" si="59"/>
        <v>0</v>
      </c>
    </row>
    <row r="1132" spans="1:14" x14ac:dyDescent="0.2">
      <c r="A1132" s="19">
        <f>IF(ISERROR(VLOOKUP(B1132,Catalogo!$A$2:$C$410,2,0)),0,(VLOOKUP(B1132,Catalogo!$A$2:$C$410,2,0)))</f>
        <v>0</v>
      </c>
      <c r="C1132" s="19"/>
      <c r="D1132" s="19"/>
      <c r="E1132" s="19"/>
      <c r="F1132" s="20"/>
      <c r="G1132" s="19"/>
      <c r="H1132" s="19"/>
      <c r="I1132" s="19"/>
      <c r="J1132" s="21"/>
      <c r="K1132" s="19"/>
      <c r="L1132" s="16">
        <f t="shared" si="58"/>
        <v>0</v>
      </c>
      <c r="M1132" s="16" t="str">
        <f t="shared" si="57"/>
        <v/>
      </c>
      <c r="N1132" s="17">
        <f t="shared" si="59"/>
        <v>0</v>
      </c>
    </row>
    <row r="1133" spans="1:14" x14ac:dyDescent="0.2">
      <c r="A1133" s="19">
        <f>IF(ISERROR(VLOOKUP(B1133,Catalogo!$A$2:$C$410,2,0)),0,(VLOOKUP(B1133,Catalogo!$A$2:$C$410,2,0)))</f>
        <v>0</v>
      </c>
      <c r="C1133" s="19"/>
      <c r="D1133" s="19"/>
      <c r="E1133" s="19"/>
      <c r="F1133" s="20"/>
      <c r="G1133" s="19"/>
      <c r="H1133" s="19"/>
      <c r="I1133" s="19"/>
      <c r="J1133" s="21"/>
      <c r="K1133" s="19"/>
      <c r="L1133" s="16">
        <f t="shared" si="58"/>
        <v>0</v>
      </c>
      <c r="M1133" s="16" t="str">
        <f t="shared" si="57"/>
        <v/>
      </c>
      <c r="N1133" s="17">
        <f t="shared" si="59"/>
        <v>0</v>
      </c>
    </row>
    <row r="1134" spans="1:14" x14ac:dyDescent="0.2">
      <c r="A1134" s="19">
        <f>IF(ISERROR(VLOOKUP(B1134,Catalogo!$A$2:$C$410,2,0)),0,(VLOOKUP(B1134,Catalogo!$A$2:$C$410,2,0)))</f>
        <v>0</v>
      </c>
      <c r="C1134" s="19"/>
      <c r="D1134" s="19"/>
      <c r="E1134" s="19"/>
      <c r="F1134" s="20"/>
      <c r="G1134" s="19"/>
      <c r="H1134" s="19"/>
      <c r="I1134" s="19"/>
      <c r="J1134" s="21"/>
      <c r="K1134" s="19"/>
      <c r="L1134" s="16">
        <f t="shared" si="58"/>
        <v>0</v>
      </c>
      <c r="M1134" s="16" t="str">
        <f t="shared" si="57"/>
        <v/>
      </c>
      <c r="N1134" s="17">
        <f t="shared" si="59"/>
        <v>0</v>
      </c>
    </row>
    <row r="1135" spans="1:14" x14ac:dyDescent="0.2">
      <c r="A1135" s="19">
        <f>IF(ISERROR(VLOOKUP(B1135,Catalogo!$A$2:$C$410,2,0)),0,(VLOOKUP(B1135,Catalogo!$A$2:$C$410,2,0)))</f>
        <v>0</v>
      </c>
      <c r="C1135" s="19"/>
      <c r="D1135" s="19"/>
      <c r="E1135" s="19"/>
      <c r="F1135" s="20"/>
      <c r="G1135" s="19"/>
      <c r="H1135" s="19"/>
      <c r="I1135" s="19"/>
      <c r="J1135" s="21"/>
      <c r="K1135" s="19"/>
      <c r="L1135" s="16">
        <f t="shared" si="58"/>
        <v>0</v>
      </c>
      <c r="M1135" s="16" t="str">
        <f t="shared" si="57"/>
        <v/>
      </c>
      <c r="N1135" s="17">
        <f t="shared" si="59"/>
        <v>0</v>
      </c>
    </row>
    <row r="1136" spans="1:14" x14ac:dyDescent="0.2">
      <c r="A1136" s="19">
        <f>IF(ISERROR(VLOOKUP(B1136,Catalogo!$A$2:$C$410,2,0)),0,(VLOOKUP(B1136,Catalogo!$A$2:$C$410,2,0)))</f>
        <v>0</v>
      </c>
      <c r="C1136" s="19"/>
      <c r="D1136" s="19"/>
      <c r="E1136" s="19"/>
      <c r="F1136" s="20"/>
      <c r="G1136" s="19"/>
      <c r="H1136" s="19"/>
      <c r="I1136" s="19"/>
      <c r="J1136" s="21"/>
      <c r="K1136" s="19"/>
      <c r="L1136" s="16">
        <f t="shared" si="58"/>
        <v>0</v>
      </c>
      <c r="M1136" s="16" t="str">
        <f t="shared" si="57"/>
        <v/>
      </c>
      <c r="N1136" s="17">
        <f t="shared" si="59"/>
        <v>0</v>
      </c>
    </row>
    <row r="1137" spans="1:14" x14ac:dyDescent="0.2">
      <c r="A1137" s="19">
        <f>IF(ISERROR(VLOOKUP(B1137,Catalogo!$A$2:$C$410,2,0)),0,(VLOOKUP(B1137,Catalogo!$A$2:$C$410,2,0)))</f>
        <v>0</v>
      </c>
      <c r="C1137" s="19"/>
      <c r="D1137" s="19"/>
      <c r="E1137" s="19"/>
      <c r="F1137" s="20"/>
      <c r="G1137" s="19"/>
      <c r="H1137" s="19"/>
      <c r="I1137" s="19"/>
      <c r="J1137" s="21"/>
      <c r="K1137" s="19"/>
      <c r="L1137" s="16">
        <f t="shared" si="58"/>
        <v>0</v>
      </c>
      <c r="M1137" s="16" t="str">
        <f t="shared" si="57"/>
        <v/>
      </c>
      <c r="N1137" s="17">
        <f t="shared" si="59"/>
        <v>0</v>
      </c>
    </row>
    <row r="1138" spans="1:14" x14ac:dyDescent="0.2">
      <c r="A1138" s="19">
        <f>IF(ISERROR(VLOOKUP(B1138,Catalogo!$A$2:$C$410,2,0)),0,(VLOOKUP(B1138,Catalogo!$A$2:$C$410,2,0)))</f>
        <v>0</v>
      </c>
      <c r="C1138" s="19"/>
      <c r="D1138" s="19"/>
      <c r="E1138" s="19"/>
      <c r="F1138" s="20"/>
      <c r="G1138" s="19"/>
      <c r="H1138" s="19"/>
      <c r="I1138" s="19"/>
      <c r="J1138" s="21"/>
      <c r="K1138" s="19"/>
      <c r="L1138" s="16">
        <f t="shared" si="58"/>
        <v>0</v>
      </c>
      <c r="M1138" s="16" t="str">
        <f t="shared" si="57"/>
        <v/>
      </c>
      <c r="N1138" s="17">
        <f t="shared" si="59"/>
        <v>0</v>
      </c>
    </row>
    <row r="1139" spans="1:14" x14ac:dyDescent="0.2">
      <c r="A1139" s="19">
        <f>IF(ISERROR(VLOOKUP(B1139,Catalogo!$A$2:$C$410,2,0)),0,(VLOOKUP(B1139,Catalogo!$A$2:$C$410,2,0)))</f>
        <v>0</v>
      </c>
      <c r="C1139" s="19"/>
      <c r="D1139" s="19"/>
      <c r="E1139" s="19"/>
      <c r="F1139" s="20"/>
      <c r="G1139" s="19"/>
      <c r="H1139" s="19"/>
      <c r="I1139" s="19"/>
      <c r="J1139" s="21"/>
      <c r="K1139" s="19"/>
      <c r="L1139" s="16">
        <f t="shared" si="58"/>
        <v>0</v>
      </c>
      <c r="M1139" s="16" t="str">
        <f t="shared" si="57"/>
        <v/>
      </c>
      <c r="N1139" s="17">
        <f t="shared" si="59"/>
        <v>0</v>
      </c>
    </row>
    <row r="1140" spans="1:14" x14ac:dyDescent="0.2">
      <c r="A1140" s="19">
        <f>IF(ISERROR(VLOOKUP(B1140,Catalogo!$A$2:$C$410,2,0)),0,(VLOOKUP(B1140,Catalogo!$A$2:$C$410,2,0)))</f>
        <v>0</v>
      </c>
      <c r="C1140" s="19"/>
      <c r="D1140" s="19"/>
      <c r="E1140" s="19"/>
      <c r="F1140" s="20"/>
      <c r="G1140" s="19"/>
      <c r="H1140" s="19"/>
      <c r="I1140" s="19"/>
      <c r="J1140" s="21"/>
      <c r="K1140" s="19"/>
      <c r="L1140" s="16">
        <f t="shared" si="58"/>
        <v>0</v>
      </c>
      <c r="M1140" s="16" t="str">
        <f t="shared" si="57"/>
        <v/>
      </c>
      <c r="N1140" s="17">
        <f t="shared" si="59"/>
        <v>0</v>
      </c>
    </row>
    <row r="1141" spans="1:14" x14ac:dyDescent="0.2">
      <c r="A1141" s="19">
        <f>IF(ISERROR(VLOOKUP(B1141,Catalogo!$A$2:$C$410,2,0)),0,(VLOOKUP(B1141,Catalogo!$A$2:$C$410,2,0)))</f>
        <v>0</v>
      </c>
      <c r="C1141" s="19"/>
      <c r="D1141" s="19"/>
      <c r="E1141" s="19"/>
      <c r="F1141" s="20"/>
      <c r="G1141" s="19"/>
      <c r="H1141" s="19"/>
      <c r="I1141" s="19"/>
      <c r="J1141" s="21"/>
      <c r="K1141" s="19"/>
      <c r="L1141" s="16">
        <f t="shared" si="58"/>
        <v>0</v>
      </c>
      <c r="M1141" s="16" t="str">
        <f t="shared" si="57"/>
        <v/>
      </c>
      <c r="N1141" s="17">
        <f t="shared" si="59"/>
        <v>0</v>
      </c>
    </row>
    <row r="1142" spans="1:14" x14ac:dyDescent="0.2">
      <c r="A1142" s="19">
        <f>IF(ISERROR(VLOOKUP(B1142,Catalogo!$A$2:$C$410,2,0)),0,(VLOOKUP(B1142,Catalogo!$A$2:$C$410,2,0)))</f>
        <v>0</v>
      </c>
      <c r="C1142" s="19"/>
      <c r="D1142" s="19"/>
      <c r="E1142" s="19"/>
      <c r="F1142" s="20"/>
      <c r="G1142" s="19"/>
      <c r="H1142" s="19"/>
      <c r="I1142" s="19"/>
      <c r="J1142" s="21"/>
      <c r="K1142" s="19"/>
      <c r="L1142" s="16">
        <f t="shared" si="58"/>
        <v>0</v>
      </c>
      <c r="M1142" s="16" t="str">
        <f t="shared" si="57"/>
        <v/>
      </c>
      <c r="N1142" s="17">
        <f t="shared" si="59"/>
        <v>0</v>
      </c>
    </row>
    <row r="1143" spans="1:14" x14ac:dyDescent="0.2">
      <c r="A1143" s="19">
        <f>IF(ISERROR(VLOOKUP(B1143,Catalogo!$A$2:$C$410,2,0)),0,(VLOOKUP(B1143,Catalogo!$A$2:$C$410,2,0)))</f>
        <v>0</v>
      </c>
      <c r="C1143" s="19"/>
      <c r="D1143" s="19"/>
      <c r="E1143" s="19"/>
      <c r="F1143" s="20"/>
      <c r="G1143" s="19"/>
      <c r="H1143" s="19"/>
      <c r="I1143" s="19"/>
      <c r="J1143" s="21"/>
      <c r="K1143" s="19"/>
      <c r="L1143" s="16">
        <f t="shared" si="58"/>
        <v>0</v>
      </c>
      <c r="M1143" s="16" t="str">
        <f t="shared" si="57"/>
        <v/>
      </c>
      <c r="N1143" s="17">
        <f t="shared" si="59"/>
        <v>0</v>
      </c>
    </row>
    <row r="1144" spans="1:14" x14ac:dyDescent="0.2">
      <c r="A1144" s="19">
        <f>IF(ISERROR(VLOOKUP(B1144,Catalogo!$A$2:$C$410,2,0)),0,(VLOOKUP(B1144,Catalogo!$A$2:$C$410,2,0)))</f>
        <v>0</v>
      </c>
      <c r="C1144" s="19"/>
      <c r="D1144" s="19"/>
      <c r="E1144" s="19"/>
      <c r="F1144" s="20"/>
      <c r="G1144" s="19"/>
      <c r="H1144" s="19"/>
      <c r="I1144" s="19"/>
      <c r="J1144" s="21"/>
      <c r="K1144" s="19"/>
      <c r="L1144" s="16">
        <f t="shared" si="58"/>
        <v>0</v>
      </c>
      <c r="M1144" s="16" t="str">
        <f t="shared" si="57"/>
        <v/>
      </c>
      <c r="N1144" s="17">
        <f t="shared" si="59"/>
        <v>0</v>
      </c>
    </row>
    <row r="1145" spans="1:14" x14ac:dyDescent="0.2">
      <c r="A1145" s="19">
        <f>IF(ISERROR(VLOOKUP(B1145,Catalogo!$A$2:$C$410,2,0)),0,(VLOOKUP(B1145,Catalogo!$A$2:$C$410,2,0)))</f>
        <v>0</v>
      </c>
      <c r="C1145" s="19"/>
      <c r="D1145" s="19"/>
      <c r="E1145" s="19"/>
      <c r="F1145" s="20"/>
      <c r="G1145" s="19"/>
      <c r="H1145" s="19"/>
      <c r="I1145" s="19"/>
      <c r="J1145" s="21"/>
      <c r="K1145" s="19"/>
      <c r="L1145" s="16">
        <f t="shared" si="58"/>
        <v>0</v>
      </c>
      <c r="M1145" s="16" t="str">
        <f t="shared" si="57"/>
        <v/>
      </c>
      <c r="N1145" s="17">
        <f t="shared" si="59"/>
        <v>0</v>
      </c>
    </row>
    <row r="1146" spans="1:14" x14ac:dyDescent="0.2">
      <c r="A1146" s="19">
        <f>IF(ISERROR(VLOOKUP(B1146,Catalogo!$A$2:$C$410,2,0)),0,(VLOOKUP(B1146,Catalogo!$A$2:$C$410,2,0)))</f>
        <v>0</v>
      </c>
      <c r="C1146" s="19"/>
      <c r="D1146" s="19"/>
      <c r="E1146" s="19"/>
      <c r="F1146" s="20"/>
      <c r="G1146" s="19"/>
      <c r="H1146" s="19"/>
      <c r="I1146" s="19"/>
      <c r="J1146" s="21"/>
      <c r="K1146" s="19"/>
      <c r="L1146" s="16">
        <f t="shared" si="58"/>
        <v>0</v>
      </c>
      <c r="M1146" s="16" t="str">
        <f t="shared" si="57"/>
        <v/>
      </c>
      <c r="N1146" s="17">
        <f t="shared" si="59"/>
        <v>0</v>
      </c>
    </row>
    <row r="1147" spans="1:14" x14ac:dyDescent="0.2">
      <c r="A1147" s="19">
        <f>IF(ISERROR(VLOOKUP(B1147,Catalogo!$A$2:$C$410,2,0)),0,(VLOOKUP(B1147,Catalogo!$A$2:$C$410,2,0)))</f>
        <v>0</v>
      </c>
      <c r="C1147" s="19"/>
      <c r="D1147" s="19"/>
      <c r="E1147" s="19"/>
      <c r="F1147" s="20"/>
      <c r="G1147" s="19"/>
      <c r="H1147" s="19"/>
      <c r="I1147" s="19"/>
      <c r="J1147" s="21"/>
      <c r="K1147" s="19"/>
      <c r="L1147" s="16">
        <f t="shared" si="58"/>
        <v>0</v>
      </c>
      <c r="M1147" s="16" t="str">
        <f t="shared" si="57"/>
        <v/>
      </c>
      <c r="N1147" s="17">
        <f t="shared" si="59"/>
        <v>0</v>
      </c>
    </row>
    <row r="1148" spans="1:14" x14ac:dyDescent="0.2">
      <c r="A1148" s="19">
        <f>IF(ISERROR(VLOOKUP(B1148,Catalogo!$A$2:$C$410,2,0)),0,(VLOOKUP(B1148,Catalogo!$A$2:$C$410,2,0)))</f>
        <v>0</v>
      </c>
      <c r="C1148" s="19"/>
      <c r="D1148" s="19"/>
      <c r="E1148" s="19"/>
      <c r="F1148" s="20"/>
      <c r="G1148" s="19"/>
      <c r="H1148" s="19"/>
      <c r="I1148" s="19"/>
      <c r="J1148" s="21"/>
      <c r="K1148" s="19"/>
      <c r="L1148" s="16">
        <f t="shared" si="58"/>
        <v>0</v>
      </c>
      <c r="M1148" s="16" t="str">
        <f t="shared" si="57"/>
        <v/>
      </c>
      <c r="N1148" s="17">
        <f t="shared" si="59"/>
        <v>0</v>
      </c>
    </row>
    <row r="1149" spans="1:14" x14ac:dyDescent="0.2">
      <c r="A1149" s="19">
        <f>IF(ISERROR(VLOOKUP(B1149,Catalogo!$A$2:$C$410,2,0)),0,(VLOOKUP(B1149,Catalogo!$A$2:$C$410,2,0)))</f>
        <v>0</v>
      </c>
      <c r="C1149" s="19"/>
      <c r="D1149" s="19"/>
      <c r="E1149" s="19"/>
      <c r="F1149" s="20"/>
      <c r="G1149" s="19"/>
      <c r="H1149" s="19"/>
      <c r="I1149" s="19"/>
      <c r="J1149" s="21"/>
      <c r="K1149" s="19"/>
      <c r="L1149" s="16">
        <f t="shared" si="58"/>
        <v>0</v>
      </c>
      <c r="M1149" s="16" t="str">
        <f t="shared" si="57"/>
        <v/>
      </c>
      <c r="N1149" s="17">
        <f t="shared" si="59"/>
        <v>0</v>
      </c>
    </row>
    <row r="1150" spans="1:14" x14ac:dyDescent="0.2">
      <c r="A1150" s="19">
        <f>IF(ISERROR(VLOOKUP(B1150,Catalogo!$A$2:$C$410,2,0)),0,(VLOOKUP(B1150,Catalogo!$A$2:$C$410,2,0)))</f>
        <v>0</v>
      </c>
      <c r="C1150" s="19"/>
      <c r="D1150" s="19"/>
      <c r="E1150" s="19"/>
      <c r="F1150" s="20"/>
      <c r="G1150" s="19"/>
      <c r="H1150" s="19"/>
      <c r="I1150" s="19"/>
      <c r="J1150" s="21"/>
      <c r="K1150" s="19"/>
      <c r="L1150" s="16">
        <f t="shared" si="58"/>
        <v>0</v>
      </c>
      <c r="M1150" s="16" t="str">
        <f t="shared" si="57"/>
        <v/>
      </c>
      <c r="N1150" s="17">
        <f t="shared" si="59"/>
        <v>0</v>
      </c>
    </row>
    <row r="1151" spans="1:14" x14ac:dyDescent="0.2">
      <c r="A1151" s="19">
        <f>IF(ISERROR(VLOOKUP(B1151,Catalogo!$A$2:$C$410,2,0)),0,(VLOOKUP(B1151,Catalogo!$A$2:$C$410,2,0)))</f>
        <v>0</v>
      </c>
      <c r="C1151" s="19"/>
      <c r="D1151" s="19"/>
      <c r="E1151" s="19"/>
      <c r="F1151" s="20"/>
      <c r="G1151" s="19"/>
      <c r="H1151" s="19"/>
      <c r="I1151" s="19"/>
      <c r="J1151" s="21"/>
      <c r="K1151" s="19"/>
      <c r="L1151" s="16">
        <f t="shared" si="58"/>
        <v>0</v>
      </c>
      <c r="M1151" s="16" t="str">
        <f t="shared" si="57"/>
        <v/>
      </c>
      <c r="N1151" s="17">
        <f t="shared" si="59"/>
        <v>0</v>
      </c>
    </row>
    <row r="1152" spans="1:14" x14ac:dyDescent="0.2">
      <c r="A1152" s="19">
        <f>IF(ISERROR(VLOOKUP(B1152,Catalogo!$A$2:$C$410,2,0)),0,(VLOOKUP(B1152,Catalogo!$A$2:$C$410,2,0)))</f>
        <v>0</v>
      </c>
      <c r="C1152" s="19"/>
      <c r="D1152" s="19"/>
      <c r="E1152" s="19"/>
      <c r="F1152" s="20"/>
      <c r="G1152" s="19"/>
      <c r="H1152" s="19"/>
      <c r="I1152" s="19"/>
      <c r="J1152" s="21"/>
      <c r="K1152" s="19"/>
      <c r="L1152" s="16">
        <f t="shared" si="58"/>
        <v>0</v>
      </c>
      <c r="M1152" s="16" t="str">
        <f t="shared" ref="M1152:M1215" si="60">LEFT(E1152,1)</f>
        <v/>
      </c>
      <c r="N1152" s="17">
        <f t="shared" si="59"/>
        <v>0</v>
      </c>
    </row>
    <row r="1153" spans="1:14" x14ac:dyDescent="0.2">
      <c r="A1153" s="19">
        <f>IF(ISERROR(VLOOKUP(B1153,Catalogo!$A$2:$C$410,2,0)),0,(VLOOKUP(B1153,Catalogo!$A$2:$C$410,2,0)))</f>
        <v>0</v>
      </c>
      <c r="C1153" s="19"/>
      <c r="D1153" s="19"/>
      <c r="E1153" s="19"/>
      <c r="F1153" s="20"/>
      <c r="G1153" s="19"/>
      <c r="H1153" s="19"/>
      <c r="I1153" s="19"/>
      <c r="J1153" s="21"/>
      <c r="K1153" s="19"/>
      <c r="L1153" s="16">
        <f t="shared" si="58"/>
        <v>0</v>
      </c>
      <c r="M1153" s="16" t="str">
        <f t="shared" si="60"/>
        <v/>
      </c>
      <c r="N1153" s="17">
        <f t="shared" si="59"/>
        <v>0</v>
      </c>
    </row>
    <row r="1154" spans="1:14" x14ac:dyDescent="0.2">
      <c r="A1154" s="19">
        <f>IF(ISERROR(VLOOKUP(B1154,Catalogo!$A$2:$C$410,2,0)),0,(VLOOKUP(B1154,Catalogo!$A$2:$C$410,2,0)))</f>
        <v>0</v>
      </c>
      <c r="C1154" s="19"/>
      <c r="D1154" s="19"/>
      <c r="E1154" s="19"/>
      <c r="F1154" s="20"/>
      <c r="G1154" s="19"/>
      <c r="H1154" s="19"/>
      <c r="I1154" s="19"/>
      <c r="J1154" s="21"/>
      <c r="K1154" s="19"/>
      <c r="L1154" s="16">
        <f t="shared" ref="L1154:L1217" si="61">IF(A1154="Record Keeping",B1154,0)</f>
        <v>0</v>
      </c>
      <c r="M1154" s="16" t="str">
        <f t="shared" si="60"/>
        <v/>
      </c>
      <c r="N1154" s="17">
        <f t="shared" ref="N1154:N1217" si="62">IF(G1154="CAN",F1154*0,IF(M1154="R",F1154*-1,F1154*1)*AND(A1154="Record Keeping"))</f>
        <v>0</v>
      </c>
    </row>
    <row r="1155" spans="1:14" x14ac:dyDescent="0.2">
      <c r="A1155" s="19">
        <f>IF(ISERROR(VLOOKUP(B1155,Catalogo!$A$2:$C$410,2,0)),0,(VLOOKUP(B1155,Catalogo!$A$2:$C$410,2,0)))</f>
        <v>0</v>
      </c>
      <c r="C1155" s="19"/>
      <c r="D1155" s="19"/>
      <c r="E1155" s="19"/>
      <c r="F1155" s="20"/>
      <c r="G1155" s="19"/>
      <c r="H1155" s="19"/>
      <c r="I1155" s="19"/>
      <c r="J1155" s="21"/>
      <c r="K1155" s="19"/>
      <c r="L1155" s="16">
        <f t="shared" si="61"/>
        <v>0</v>
      </c>
      <c r="M1155" s="16" t="str">
        <f t="shared" si="60"/>
        <v/>
      </c>
      <c r="N1155" s="17">
        <f t="shared" si="62"/>
        <v>0</v>
      </c>
    </row>
    <row r="1156" spans="1:14" x14ac:dyDescent="0.2">
      <c r="A1156" s="19">
        <f>IF(ISERROR(VLOOKUP(B1156,Catalogo!$A$2:$C$410,2,0)),0,(VLOOKUP(B1156,Catalogo!$A$2:$C$410,2,0)))</f>
        <v>0</v>
      </c>
      <c r="C1156" s="19"/>
      <c r="D1156" s="19"/>
      <c r="E1156" s="19"/>
      <c r="F1156" s="20"/>
      <c r="G1156" s="19"/>
      <c r="H1156" s="19"/>
      <c r="I1156" s="19"/>
      <c r="J1156" s="21"/>
      <c r="K1156" s="19"/>
      <c r="L1156" s="16">
        <f t="shared" si="61"/>
        <v>0</v>
      </c>
      <c r="M1156" s="16" t="str">
        <f t="shared" si="60"/>
        <v/>
      </c>
      <c r="N1156" s="17">
        <f t="shared" si="62"/>
        <v>0</v>
      </c>
    </row>
    <row r="1157" spans="1:14" x14ac:dyDescent="0.2">
      <c r="A1157" s="19">
        <f>IF(ISERROR(VLOOKUP(B1157,Catalogo!$A$2:$C$410,2,0)),0,(VLOOKUP(B1157,Catalogo!$A$2:$C$410,2,0)))</f>
        <v>0</v>
      </c>
      <c r="C1157" s="19"/>
      <c r="D1157" s="19"/>
      <c r="E1157" s="19"/>
      <c r="F1157" s="20"/>
      <c r="G1157" s="19"/>
      <c r="H1157" s="19"/>
      <c r="I1157" s="19"/>
      <c r="J1157" s="21"/>
      <c r="K1157" s="19"/>
      <c r="L1157" s="16">
        <f t="shared" si="61"/>
        <v>0</v>
      </c>
      <c r="M1157" s="16" t="str">
        <f t="shared" si="60"/>
        <v/>
      </c>
      <c r="N1157" s="17">
        <f t="shared" si="62"/>
        <v>0</v>
      </c>
    </row>
    <row r="1158" spans="1:14" x14ac:dyDescent="0.2">
      <c r="A1158" s="19">
        <f>IF(ISERROR(VLOOKUP(B1158,Catalogo!$A$2:$C$410,2,0)),0,(VLOOKUP(B1158,Catalogo!$A$2:$C$410,2,0)))</f>
        <v>0</v>
      </c>
      <c r="C1158" s="19"/>
      <c r="D1158" s="19"/>
      <c r="E1158" s="19"/>
      <c r="F1158" s="20"/>
      <c r="G1158" s="19"/>
      <c r="H1158" s="19"/>
      <c r="I1158" s="19"/>
      <c r="J1158" s="21"/>
      <c r="K1158" s="19"/>
      <c r="L1158" s="16">
        <f t="shared" si="61"/>
        <v>0</v>
      </c>
      <c r="M1158" s="16" t="str">
        <f t="shared" si="60"/>
        <v/>
      </c>
      <c r="N1158" s="17">
        <f t="shared" si="62"/>
        <v>0</v>
      </c>
    </row>
    <row r="1159" spans="1:14" x14ac:dyDescent="0.2">
      <c r="A1159" s="19">
        <f>IF(ISERROR(VLOOKUP(B1159,Catalogo!$A$2:$C$410,2,0)),0,(VLOOKUP(B1159,Catalogo!$A$2:$C$410,2,0)))</f>
        <v>0</v>
      </c>
      <c r="C1159" s="19"/>
      <c r="D1159" s="19"/>
      <c r="E1159" s="19"/>
      <c r="F1159" s="20"/>
      <c r="G1159" s="19"/>
      <c r="H1159" s="19"/>
      <c r="I1159" s="19"/>
      <c r="J1159" s="21"/>
      <c r="K1159" s="19"/>
      <c r="L1159" s="16">
        <f t="shared" si="61"/>
        <v>0</v>
      </c>
      <c r="M1159" s="16" t="str">
        <f t="shared" si="60"/>
        <v/>
      </c>
      <c r="N1159" s="17">
        <f t="shared" si="62"/>
        <v>0</v>
      </c>
    </row>
    <row r="1160" spans="1:14" x14ac:dyDescent="0.2">
      <c r="A1160" s="19">
        <f>IF(ISERROR(VLOOKUP(B1160,Catalogo!$A$2:$C$410,2,0)),0,(VLOOKUP(B1160,Catalogo!$A$2:$C$410,2,0)))</f>
        <v>0</v>
      </c>
      <c r="C1160" s="19"/>
      <c r="D1160" s="19"/>
      <c r="E1160" s="19"/>
      <c r="F1160" s="20"/>
      <c r="G1160" s="19"/>
      <c r="H1160" s="19"/>
      <c r="I1160" s="19"/>
      <c r="J1160" s="21"/>
      <c r="K1160" s="19"/>
      <c r="L1160" s="16">
        <f t="shared" si="61"/>
        <v>0</v>
      </c>
      <c r="M1160" s="16" t="str">
        <f t="shared" si="60"/>
        <v/>
      </c>
      <c r="N1160" s="17">
        <f t="shared" si="62"/>
        <v>0</v>
      </c>
    </row>
    <row r="1161" spans="1:14" x14ac:dyDescent="0.2">
      <c r="A1161" s="19">
        <f>IF(ISERROR(VLOOKUP(B1161,Catalogo!$A$2:$C$410,2,0)),0,(VLOOKUP(B1161,Catalogo!$A$2:$C$410,2,0)))</f>
        <v>0</v>
      </c>
      <c r="C1161" s="19"/>
      <c r="D1161" s="19"/>
      <c r="E1161" s="19"/>
      <c r="F1161" s="20"/>
      <c r="G1161" s="19"/>
      <c r="H1161" s="19"/>
      <c r="I1161" s="19"/>
      <c r="J1161" s="21"/>
      <c r="K1161" s="19"/>
      <c r="L1161" s="16">
        <f t="shared" si="61"/>
        <v>0</v>
      </c>
      <c r="M1161" s="16" t="str">
        <f t="shared" si="60"/>
        <v/>
      </c>
      <c r="N1161" s="17">
        <f t="shared" si="62"/>
        <v>0</v>
      </c>
    </row>
    <row r="1162" spans="1:14" x14ac:dyDescent="0.2">
      <c r="A1162" s="19">
        <f>IF(ISERROR(VLOOKUP(B1162,Catalogo!$A$2:$C$410,2,0)),0,(VLOOKUP(B1162,Catalogo!$A$2:$C$410,2,0)))</f>
        <v>0</v>
      </c>
      <c r="C1162" s="19"/>
      <c r="D1162" s="19"/>
      <c r="E1162" s="19"/>
      <c r="F1162" s="20"/>
      <c r="G1162" s="19"/>
      <c r="H1162" s="19"/>
      <c r="I1162" s="19"/>
      <c r="J1162" s="21"/>
      <c r="K1162" s="19"/>
      <c r="L1162" s="16">
        <f t="shared" si="61"/>
        <v>0</v>
      </c>
      <c r="M1162" s="16" t="str">
        <f t="shared" si="60"/>
        <v/>
      </c>
      <c r="N1162" s="17">
        <f t="shared" si="62"/>
        <v>0</v>
      </c>
    </row>
    <row r="1163" spans="1:14" x14ac:dyDescent="0.2">
      <c r="A1163" s="19">
        <f>IF(ISERROR(VLOOKUP(B1163,Catalogo!$A$2:$C$410,2,0)),0,(VLOOKUP(B1163,Catalogo!$A$2:$C$410,2,0)))</f>
        <v>0</v>
      </c>
      <c r="C1163" s="19"/>
      <c r="D1163" s="19"/>
      <c r="E1163" s="19"/>
      <c r="F1163" s="20"/>
      <c r="G1163" s="19"/>
      <c r="H1163" s="19"/>
      <c r="I1163" s="19"/>
      <c r="J1163" s="21"/>
      <c r="K1163" s="19"/>
      <c r="L1163" s="16">
        <f t="shared" si="61"/>
        <v>0</v>
      </c>
      <c r="M1163" s="16" t="str">
        <f t="shared" si="60"/>
        <v/>
      </c>
      <c r="N1163" s="17">
        <f t="shared" si="62"/>
        <v>0</v>
      </c>
    </row>
    <row r="1164" spans="1:14" x14ac:dyDescent="0.2">
      <c r="A1164" s="19">
        <f>IF(ISERROR(VLOOKUP(B1164,Catalogo!$A$2:$C$410,2,0)),0,(VLOOKUP(B1164,Catalogo!$A$2:$C$410,2,0)))</f>
        <v>0</v>
      </c>
      <c r="C1164" s="19"/>
      <c r="D1164" s="19"/>
      <c r="E1164" s="19"/>
      <c r="F1164" s="20"/>
      <c r="G1164" s="19"/>
      <c r="H1164" s="19"/>
      <c r="I1164" s="19"/>
      <c r="J1164" s="21"/>
      <c r="K1164" s="19"/>
      <c r="L1164" s="16">
        <f t="shared" si="61"/>
        <v>0</v>
      </c>
      <c r="M1164" s="16" t="str">
        <f t="shared" si="60"/>
        <v/>
      </c>
      <c r="N1164" s="17">
        <f t="shared" si="62"/>
        <v>0</v>
      </c>
    </row>
    <row r="1165" spans="1:14" x14ac:dyDescent="0.2">
      <c r="A1165" s="19">
        <f>IF(ISERROR(VLOOKUP(B1165,Catalogo!$A$2:$C$410,2,0)),0,(VLOOKUP(B1165,Catalogo!$A$2:$C$410,2,0)))</f>
        <v>0</v>
      </c>
      <c r="C1165" s="19"/>
      <c r="D1165" s="19"/>
      <c r="E1165" s="19"/>
      <c r="F1165" s="20"/>
      <c r="G1165" s="19"/>
      <c r="H1165" s="19"/>
      <c r="I1165" s="19"/>
      <c r="J1165" s="21"/>
      <c r="K1165" s="19"/>
      <c r="L1165" s="16">
        <f t="shared" si="61"/>
        <v>0</v>
      </c>
      <c r="M1165" s="16" t="str">
        <f t="shared" si="60"/>
        <v/>
      </c>
      <c r="N1165" s="17">
        <f t="shared" si="62"/>
        <v>0</v>
      </c>
    </row>
    <row r="1166" spans="1:14" x14ac:dyDescent="0.2">
      <c r="A1166" s="19">
        <f>IF(ISERROR(VLOOKUP(B1166,Catalogo!$A$2:$C$410,2,0)),0,(VLOOKUP(B1166,Catalogo!$A$2:$C$410,2,0)))</f>
        <v>0</v>
      </c>
      <c r="C1166" s="19"/>
      <c r="D1166" s="19"/>
      <c r="E1166" s="19"/>
      <c r="F1166" s="20"/>
      <c r="G1166" s="19"/>
      <c r="H1166" s="19"/>
      <c r="I1166" s="19"/>
      <c r="J1166" s="21"/>
      <c r="K1166" s="19"/>
      <c r="L1166" s="16">
        <f t="shared" si="61"/>
        <v>0</v>
      </c>
      <c r="M1166" s="16" t="str">
        <f t="shared" si="60"/>
        <v/>
      </c>
      <c r="N1166" s="17">
        <f t="shared" si="62"/>
        <v>0</v>
      </c>
    </row>
    <row r="1167" spans="1:14" x14ac:dyDescent="0.2">
      <c r="A1167" s="19">
        <f>IF(ISERROR(VLOOKUP(B1167,Catalogo!$A$2:$C$410,2,0)),0,(VLOOKUP(B1167,Catalogo!$A$2:$C$410,2,0)))</f>
        <v>0</v>
      </c>
      <c r="C1167" s="19"/>
      <c r="D1167" s="19"/>
      <c r="E1167" s="19"/>
      <c r="F1167" s="20"/>
      <c r="G1167" s="19"/>
      <c r="H1167" s="19"/>
      <c r="I1167" s="19"/>
      <c r="J1167" s="21"/>
      <c r="K1167" s="19"/>
      <c r="L1167" s="16">
        <f t="shared" si="61"/>
        <v>0</v>
      </c>
      <c r="M1167" s="16" t="str">
        <f t="shared" si="60"/>
        <v/>
      </c>
      <c r="N1167" s="17">
        <f t="shared" si="62"/>
        <v>0</v>
      </c>
    </row>
    <row r="1168" spans="1:14" x14ac:dyDescent="0.2">
      <c r="A1168" s="19">
        <f>IF(ISERROR(VLOOKUP(B1168,Catalogo!$A$2:$C$410,2,0)),0,(VLOOKUP(B1168,Catalogo!$A$2:$C$410,2,0)))</f>
        <v>0</v>
      </c>
      <c r="C1168" s="19"/>
      <c r="D1168" s="19"/>
      <c r="E1168" s="19"/>
      <c r="F1168" s="20"/>
      <c r="G1168" s="19"/>
      <c r="H1168" s="19"/>
      <c r="I1168" s="19"/>
      <c r="J1168" s="21"/>
      <c r="K1168" s="19"/>
      <c r="L1168" s="16">
        <f t="shared" si="61"/>
        <v>0</v>
      </c>
      <c r="M1168" s="16" t="str">
        <f t="shared" si="60"/>
        <v/>
      </c>
      <c r="N1168" s="17">
        <f t="shared" si="62"/>
        <v>0</v>
      </c>
    </row>
    <row r="1169" spans="1:14" x14ac:dyDescent="0.2">
      <c r="A1169" s="19">
        <f>IF(ISERROR(VLOOKUP(B1169,Catalogo!$A$2:$C$410,2,0)),0,(VLOOKUP(B1169,Catalogo!$A$2:$C$410,2,0)))</f>
        <v>0</v>
      </c>
      <c r="C1169" s="19"/>
      <c r="D1169" s="19"/>
      <c r="E1169" s="19"/>
      <c r="F1169" s="20"/>
      <c r="G1169" s="19"/>
      <c r="H1169" s="19"/>
      <c r="I1169" s="19"/>
      <c r="J1169" s="21"/>
      <c r="K1169" s="19"/>
      <c r="L1169" s="16">
        <f t="shared" si="61"/>
        <v>0</v>
      </c>
      <c r="M1169" s="16" t="str">
        <f t="shared" si="60"/>
        <v/>
      </c>
      <c r="N1169" s="17">
        <f t="shared" si="62"/>
        <v>0</v>
      </c>
    </row>
    <row r="1170" spans="1:14" x14ac:dyDescent="0.2">
      <c r="A1170" s="19">
        <f>IF(ISERROR(VLOOKUP(B1170,Catalogo!$A$2:$C$410,2,0)),0,(VLOOKUP(B1170,Catalogo!$A$2:$C$410,2,0)))</f>
        <v>0</v>
      </c>
      <c r="C1170" s="19"/>
      <c r="D1170" s="19"/>
      <c r="E1170" s="19"/>
      <c r="F1170" s="20"/>
      <c r="G1170" s="19"/>
      <c r="H1170" s="19"/>
      <c r="I1170" s="19"/>
      <c r="J1170" s="21"/>
      <c r="K1170" s="19"/>
      <c r="L1170" s="16">
        <f t="shared" si="61"/>
        <v>0</v>
      </c>
      <c r="M1170" s="16" t="str">
        <f t="shared" si="60"/>
        <v/>
      </c>
      <c r="N1170" s="17">
        <f t="shared" si="62"/>
        <v>0</v>
      </c>
    </row>
    <row r="1171" spans="1:14" x14ac:dyDescent="0.2">
      <c r="A1171" s="19">
        <f>IF(ISERROR(VLOOKUP(B1171,Catalogo!$A$2:$C$410,2,0)),0,(VLOOKUP(B1171,Catalogo!$A$2:$C$410,2,0)))</f>
        <v>0</v>
      </c>
      <c r="C1171" s="19"/>
      <c r="D1171" s="19"/>
      <c r="E1171" s="19"/>
      <c r="F1171" s="20"/>
      <c r="G1171" s="19"/>
      <c r="H1171" s="19"/>
      <c r="I1171" s="19"/>
      <c r="J1171" s="21"/>
      <c r="K1171" s="19"/>
      <c r="L1171" s="16">
        <f t="shared" si="61"/>
        <v>0</v>
      </c>
      <c r="M1171" s="16" t="str">
        <f t="shared" si="60"/>
        <v/>
      </c>
      <c r="N1171" s="17">
        <f t="shared" si="62"/>
        <v>0</v>
      </c>
    </row>
    <row r="1172" spans="1:14" x14ac:dyDescent="0.2">
      <c r="A1172" s="19">
        <f>IF(ISERROR(VLOOKUP(B1172,Catalogo!$A$2:$C$410,2,0)),0,(VLOOKUP(B1172,Catalogo!$A$2:$C$410,2,0)))</f>
        <v>0</v>
      </c>
      <c r="C1172" s="19"/>
      <c r="D1172" s="19"/>
      <c r="E1172" s="19"/>
      <c r="F1172" s="20"/>
      <c r="G1172" s="19"/>
      <c r="H1172" s="19"/>
      <c r="I1172" s="19"/>
      <c r="J1172" s="21"/>
      <c r="K1172" s="19"/>
      <c r="L1172" s="16">
        <f t="shared" si="61"/>
        <v>0</v>
      </c>
      <c r="M1172" s="16" t="str">
        <f t="shared" si="60"/>
        <v/>
      </c>
      <c r="N1172" s="17">
        <f t="shared" si="62"/>
        <v>0</v>
      </c>
    </row>
    <row r="1173" spans="1:14" x14ac:dyDescent="0.2">
      <c r="A1173" s="19">
        <f>IF(ISERROR(VLOOKUP(B1173,Catalogo!$A$2:$C$410,2,0)),0,(VLOOKUP(B1173,Catalogo!$A$2:$C$410,2,0)))</f>
        <v>0</v>
      </c>
      <c r="C1173" s="19"/>
      <c r="D1173" s="19"/>
      <c r="E1173" s="19"/>
      <c r="F1173" s="20"/>
      <c r="G1173" s="19"/>
      <c r="H1173" s="19"/>
      <c r="I1173" s="19"/>
      <c r="J1173" s="21"/>
      <c r="K1173" s="19"/>
      <c r="L1173" s="16">
        <f t="shared" si="61"/>
        <v>0</v>
      </c>
      <c r="M1173" s="16" t="str">
        <f t="shared" si="60"/>
        <v/>
      </c>
      <c r="N1173" s="17">
        <f t="shared" si="62"/>
        <v>0</v>
      </c>
    </row>
    <row r="1174" spans="1:14" x14ac:dyDescent="0.2">
      <c r="A1174" s="19">
        <f>IF(ISERROR(VLOOKUP(B1174,Catalogo!$A$2:$C$410,2,0)),0,(VLOOKUP(B1174,Catalogo!$A$2:$C$410,2,0)))</f>
        <v>0</v>
      </c>
      <c r="C1174" s="19"/>
      <c r="D1174" s="19"/>
      <c r="E1174" s="19"/>
      <c r="F1174" s="20"/>
      <c r="G1174" s="19"/>
      <c r="H1174" s="19"/>
      <c r="I1174" s="19"/>
      <c r="J1174" s="21"/>
      <c r="K1174" s="19"/>
      <c r="L1174" s="16">
        <f t="shared" si="61"/>
        <v>0</v>
      </c>
      <c r="M1174" s="16" t="str">
        <f t="shared" si="60"/>
        <v/>
      </c>
      <c r="N1174" s="17">
        <f t="shared" si="62"/>
        <v>0</v>
      </c>
    </row>
    <row r="1175" spans="1:14" x14ac:dyDescent="0.2">
      <c r="A1175" s="19">
        <f>IF(ISERROR(VLOOKUP(B1175,Catalogo!$A$2:$C$410,2,0)),0,(VLOOKUP(B1175,Catalogo!$A$2:$C$410,2,0)))</f>
        <v>0</v>
      </c>
      <c r="C1175" s="19"/>
      <c r="D1175" s="19"/>
      <c r="E1175" s="19"/>
      <c r="F1175" s="20"/>
      <c r="G1175" s="19"/>
      <c r="H1175" s="19"/>
      <c r="I1175" s="19"/>
      <c r="J1175" s="21"/>
      <c r="K1175" s="19"/>
      <c r="L1175" s="16">
        <f t="shared" si="61"/>
        <v>0</v>
      </c>
      <c r="M1175" s="16" t="str">
        <f t="shared" si="60"/>
        <v/>
      </c>
      <c r="N1175" s="17">
        <f t="shared" si="62"/>
        <v>0</v>
      </c>
    </row>
    <row r="1176" spans="1:14" x14ac:dyDescent="0.2">
      <c r="A1176" s="19">
        <f>IF(ISERROR(VLOOKUP(B1176,Catalogo!$A$2:$C$410,2,0)),0,(VLOOKUP(B1176,Catalogo!$A$2:$C$410,2,0)))</f>
        <v>0</v>
      </c>
      <c r="C1176" s="19"/>
      <c r="D1176" s="19"/>
      <c r="E1176" s="19"/>
      <c r="F1176" s="20"/>
      <c r="G1176" s="19"/>
      <c r="H1176" s="19"/>
      <c r="I1176" s="19"/>
      <c r="J1176" s="21"/>
      <c r="K1176" s="19"/>
      <c r="L1176" s="16">
        <f t="shared" si="61"/>
        <v>0</v>
      </c>
      <c r="M1176" s="16" t="str">
        <f t="shared" si="60"/>
        <v/>
      </c>
      <c r="N1176" s="17">
        <f t="shared" si="62"/>
        <v>0</v>
      </c>
    </row>
    <row r="1177" spans="1:14" x14ac:dyDescent="0.2">
      <c r="A1177" s="19">
        <f>IF(ISERROR(VLOOKUP(B1177,Catalogo!$A$2:$C$410,2,0)),0,(VLOOKUP(B1177,Catalogo!$A$2:$C$410,2,0)))</f>
        <v>0</v>
      </c>
      <c r="C1177" s="19"/>
      <c r="D1177" s="19"/>
      <c r="E1177" s="19"/>
      <c r="F1177" s="20"/>
      <c r="G1177" s="19"/>
      <c r="H1177" s="19"/>
      <c r="I1177" s="19"/>
      <c r="J1177" s="21"/>
      <c r="K1177" s="19"/>
      <c r="L1177" s="16">
        <f t="shared" si="61"/>
        <v>0</v>
      </c>
      <c r="M1177" s="16" t="str">
        <f t="shared" si="60"/>
        <v/>
      </c>
      <c r="N1177" s="17">
        <f t="shared" si="62"/>
        <v>0</v>
      </c>
    </row>
    <row r="1178" spans="1:14" x14ac:dyDescent="0.2">
      <c r="A1178" s="19">
        <f>IF(ISERROR(VLOOKUP(B1178,Catalogo!$A$2:$C$410,2,0)),0,(VLOOKUP(B1178,Catalogo!$A$2:$C$410,2,0)))</f>
        <v>0</v>
      </c>
      <c r="C1178" s="19"/>
      <c r="D1178" s="19"/>
      <c r="E1178" s="19"/>
      <c r="F1178" s="20"/>
      <c r="G1178" s="19"/>
      <c r="H1178" s="19"/>
      <c r="I1178" s="19"/>
      <c r="J1178" s="21"/>
      <c r="K1178" s="19"/>
      <c r="L1178" s="16">
        <f t="shared" si="61"/>
        <v>0</v>
      </c>
      <c r="M1178" s="16" t="str">
        <f t="shared" si="60"/>
        <v/>
      </c>
      <c r="N1178" s="17">
        <f t="shared" si="62"/>
        <v>0</v>
      </c>
    </row>
    <row r="1179" spans="1:14" x14ac:dyDescent="0.2">
      <c r="A1179" s="19">
        <f>IF(ISERROR(VLOOKUP(B1179,Catalogo!$A$2:$C$410,2,0)),0,(VLOOKUP(B1179,Catalogo!$A$2:$C$410,2,0)))</f>
        <v>0</v>
      </c>
      <c r="C1179" s="19"/>
      <c r="D1179" s="19"/>
      <c r="E1179" s="19"/>
      <c r="F1179" s="20"/>
      <c r="G1179" s="19"/>
      <c r="H1179" s="19"/>
      <c r="I1179" s="19"/>
      <c r="J1179" s="21"/>
      <c r="K1179" s="19"/>
      <c r="L1179" s="16">
        <f t="shared" si="61"/>
        <v>0</v>
      </c>
      <c r="M1179" s="16" t="str">
        <f t="shared" si="60"/>
        <v/>
      </c>
      <c r="N1179" s="17">
        <f t="shared" si="62"/>
        <v>0</v>
      </c>
    </row>
    <row r="1180" spans="1:14" x14ac:dyDescent="0.2">
      <c r="A1180" s="19">
        <f>IF(ISERROR(VLOOKUP(B1180,Catalogo!$A$2:$C$410,2,0)),0,(VLOOKUP(B1180,Catalogo!$A$2:$C$410,2,0)))</f>
        <v>0</v>
      </c>
      <c r="C1180" s="19"/>
      <c r="D1180" s="19"/>
      <c r="E1180" s="19"/>
      <c r="F1180" s="20"/>
      <c r="G1180" s="19"/>
      <c r="H1180" s="19"/>
      <c r="I1180" s="19"/>
      <c r="J1180" s="21"/>
      <c r="K1180" s="19"/>
      <c r="L1180" s="16">
        <f t="shared" si="61"/>
        <v>0</v>
      </c>
      <c r="M1180" s="16" t="str">
        <f t="shared" si="60"/>
        <v/>
      </c>
      <c r="N1180" s="17">
        <f t="shared" si="62"/>
        <v>0</v>
      </c>
    </row>
    <row r="1181" spans="1:14" x14ac:dyDescent="0.2">
      <c r="A1181" s="19">
        <f>IF(ISERROR(VLOOKUP(B1181,Catalogo!$A$2:$C$410,2,0)),0,(VLOOKUP(B1181,Catalogo!$A$2:$C$410,2,0)))</f>
        <v>0</v>
      </c>
      <c r="C1181" s="19"/>
      <c r="D1181" s="19"/>
      <c r="E1181" s="19"/>
      <c r="F1181" s="20"/>
      <c r="G1181" s="19"/>
      <c r="H1181" s="19"/>
      <c r="I1181" s="19"/>
      <c r="J1181" s="21"/>
      <c r="K1181" s="19"/>
      <c r="L1181" s="16">
        <f t="shared" si="61"/>
        <v>0</v>
      </c>
      <c r="M1181" s="16" t="str">
        <f t="shared" si="60"/>
        <v/>
      </c>
      <c r="N1181" s="17">
        <f t="shared" si="62"/>
        <v>0</v>
      </c>
    </row>
    <row r="1182" spans="1:14" x14ac:dyDescent="0.2">
      <c r="A1182" s="19">
        <f>IF(ISERROR(VLOOKUP(B1182,Catalogo!$A$2:$C$410,2,0)),0,(VLOOKUP(B1182,Catalogo!$A$2:$C$410,2,0)))</f>
        <v>0</v>
      </c>
      <c r="C1182" s="19"/>
      <c r="D1182" s="19"/>
      <c r="E1182" s="19"/>
      <c r="F1182" s="20"/>
      <c r="G1182" s="19"/>
      <c r="H1182" s="19"/>
      <c r="I1182" s="19"/>
      <c r="J1182" s="21"/>
      <c r="K1182" s="19"/>
      <c r="L1182" s="16">
        <f t="shared" si="61"/>
        <v>0</v>
      </c>
      <c r="M1182" s="16" t="str">
        <f t="shared" si="60"/>
        <v/>
      </c>
      <c r="N1182" s="17">
        <f t="shared" si="62"/>
        <v>0</v>
      </c>
    </row>
    <row r="1183" spans="1:14" x14ac:dyDescent="0.2">
      <c r="A1183" s="19">
        <f>IF(ISERROR(VLOOKUP(B1183,Catalogo!$A$2:$C$410,2,0)),0,(VLOOKUP(B1183,Catalogo!$A$2:$C$410,2,0)))</f>
        <v>0</v>
      </c>
      <c r="C1183" s="19"/>
      <c r="D1183" s="19"/>
      <c r="E1183" s="19"/>
      <c r="F1183" s="20"/>
      <c r="G1183" s="19"/>
      <c r="H1183" s="19"/>
      <c r="I1183" s="19"/>
      <c r="J1183" s="21"/>
      <c r="K1183" s="19"/>
      <c r="L1183" s="16">
        <f t="shared" si="61"/>
        <v>0</v>
      </c>
      <c r="M1183" s="16" t="str">
        <f t="shared" si="60"/>
        <v/>
      </c>
      <c r="N1183" s="17">
        <f t="shared" si="62"/>
        <v>0</v>
      </c>
    </row>
    <row r="1184" spans="1:14" x14ac:dyDescent="0.2">
      <c r="A1184" s="19">
        <f>IF(ISERROR(VLOOKUP(B1184,Catalogo!$A$2:$C$410,2,0)),0,(VLOOKUP(B1184,Catalogo!$A$2:$C$410,2,0)))</f>
        <v>0</v>
      </c>
      <c r="C1184" s="19"/>
      <c r="D1184" s="19"/>
      <c r="E1184" s="19"/>
      <c r="F1184" s="20"/>
      <c r="G1184" s="19"/>
      <c r="H1184" s="19"/>
      <c r="I1184" s="19"/>
      <c r="J1184" s="21"/>
      <c r="K1184" s="19"/>
      <c r="L1184" s="16">
        <f t="shared" si="61"/>
        <v>0</v>
      </c>
      <c r="M1184" s="16" t="str">
        <f t="shared" si="60"/>
        <v/>
      </c>
      <c r="N1184" s="17">
        <f t="shared" si="62"/>
        <v>0</v>
      </c>
    </row>
    <row r="1185" spans="1:14" x14ac:dyDescent="0.2">
      <c r="A1185" s="19">
        <f>IF(ISERROR(VLOOKUP(B1185,Catalogo!$A$2:$C$410,2,0)),0,(VLOOKUP(B1185,Catalogo!$A$2:$C$410,2,0)))</f>
        <v>0</v>
      </c>
      <c r="C1185" s="19"/>
      <c r="D1185" s="19"/>
      <c r="E1185" s="19"/>
      <c r="F1185" s="20"/>
      <c r="G1185" s="19"/>
      <c r="H1185" s="19"/>
      <c r="I1185" s="19"/>
      <c r="J1185" s="21"/>
      <c r="K1185" s="19"/>
      <c r="L1185" s="16">
        <f t="shared" si="61"/>
        <v>0</v>
      </c>
      <c r="M1185" s="16" t="str">
        <f t="shared" si="60"/>
        <v/>
      </c>
      <c r="N1185" s="17">
        <f t="shared" si="62"/>
        <v>0</v>
      </c>
    </row>
    <row r="1186" spans="1:14" x14ac:dyDescent="0.2">
      <c r="A1186" s="19">
        <f>IF(ISERROR(VLOOKUP(B1186,Catalogo!$A$2:$C$410,2,0)),0,(VLOOKUP(B1186,Catalogo!$A$2:$C$410,2,0)))</f>
        <v>0</v>
      </c>
      <c r="C1186" s="19"/>
      <c r="D1186" s="19"/>
      <c r="E1186" s="19"/>
      <c r="F1186" s="20"/>
      <c r="G1186" s="19"/>
      <c r="H1186" s="19"/>
      <c r="I1186" s="19"/>
      <c r="J1186" s="21"/>
      <c r="K1186" s="19"/>
      <c r="L1186" s="16">
        <f t="shared" si="61"/>
        <v>0</v>
      </c>
      <c r="M1186" s="16" t="str">
        <f t="shared" si="60"/>
        <v/>
      </c>
      <c r="N1186" s="17">
        <f t="shared" si="62"/>
        <v>0</v>
      </c>
    </row>
    <row r="1187" spans="1:14" x14ac:dyDescent="0.2">
      <c r="A1187" s="19">
        <f>IF(ISERROR(VLOOKUP(B1187,Catalogo!$A$2:$C$410,2,0)),0,(VLOOKUP(B1187,Catalogo!$A$2:$C$410,2,0)))</f>
        <v>0</v>
      </c>
      <c r="C1187" s="19"/>
      <c r="D1187" s="19"/>
      <c r="E1187" s="19"/>
      <c r="F1187" s="20"/>
      <c r="G1187" s="19"/>
      <c r="H1187" s="19"/>
      <c r="I1187" s="19"/>
      <c r="J1187" s="21"/>
      <c r="K1187" s="19"/>
      <c r="L1187" s="16">
        <f t="shared" si="61"/>
        <v>0</v>
      </c>
      <c r="M1187" s="16" t="str">
        <f t="shared" si="60"/>
        <v/>
      </c>
      <c r="N1187" s="17">
        <f t="shared" si="62"/>
        <v>0</v>
      </c>
    </row>
    <row r="1188" spans="1:14" x14ac:dyDescent="0.2">
      <c r="A1188" s="19">
        <f>IF(ISERROR(VLOOKUP(B1188,Catalogo!$A$2:$C$410,2,0)),0,(VLOOKUP(B1188,Catalogo!$A$2:$C$410,2,0)))</f>
        <v>0</v>
      </c>
      <c r="C1188" s="19"/>
      <c r="D1188" s="19"/>
      <c r="E1188" s="19"/>
      <c r="F1188" s="20"/>
      <c r="G1188" s="19"/>
      <c r="H1188" s="19"/>
      <c r="I1188" s="19"/>
      <c r="J1188" s="21"/>
      <c r="K1188" s="19"/>
      <c r="L1188" s="16">
        <f t="shared" si="61"/>
        <v>0</v>
      </c>
      <c r="M1188" s="16" t="str">
        <f t="shared" si="60"/>
        <v/>
      </c>
      <c r="N1188" s="17">
        <f t="shared" si="62"/>
        <v>0</v>
      </c>
    </row>
    <row r="1189" spans="1:14" x14ac:dyDescent="0.2">
      <c r="A1189" s="19">
        <f>IF(ISERROR(VLOOKUP(B1189,Catalogo!$A$2:$C$410,2,0)),0,(VLOOKUP(B1189,Catalogo!$A$2:$C$410,2,0)))</f>
        <v>0</v>
      </c>
      <c r="C1189" s="19"/>
      <c r="D1189" s="19"/>
      <c r="E1189" s="19"/>
      <c r="F1189" s="20"/>
      <c r="G1189" s="19"/>
      <c r="H1189" s="19"/>
      <c r="I1189" s="19"/>
      <c r="J1189" s="21"/>
      <c r="K1189" s="19"/>
      <c r="L1189" s="16">
        <f t="shared" si="61"/>
        <v>0</v>
      </c>
      <c r="M1189" s="16" t="str">
        <f t="shared" si="60"/>
        <v/>
      </c>
      <c r="N1189" s="17">
        <f t="shared" si="62"/>
        <v>0</v>
      </c>
    </row>
    <row r="1190" spans="1:14" x14ac:dyDescent="0.2">
      <c r="A1190" s="19">
        <f>IF(ISERROR(VLOOKUP(B1190,Catalogo!$A$2:$C$410,2,0)),0,(VLOOKUP(B1190,Catalogo!$A$2:$C$410,2,0)))</f>
        <v>0</v>
      </c>
      <c r="C1190" s="19"/>
      <c r="D1190" s="19"/>
      <c r="E1190" s="19"/>
      <c r="F1190" s="20"/>
      <c r="G1190" s="19"/>
      <c r="H1190" s="19"/>
      <c r="I1190" s="19"/>
      <c r="J1190" s="21"/>
      <c r="K1190" s="19"/>
      <c r="L1190" s="16">
        <f t="shared" si="61"/>
        <v>0</v>
      </c>
      <c r="M1190" s="16" t="str">
        <f t="shared" si="60"/>
        <v/>
      </c>
      <c r="N1190" s="17">
        <f t="shared" si="62"/>
        <v>0</v>
      </c>
    </row>
    <row r="1191" spans="1:14" x14ac:dyDescent="0.2">
      <c r="A1191" s="19">
        <f>IF(ISERROR(VLOOKUP(B1191,Catalogo!$A$2:$C$410,2,0)),0,(VLOOKUP(B1191,Catalogo!$A$2:$C$410,2,0)))</f>
        <v>0</v>
      </c>
      <c r="C1191" s="19"/>
      <c r="D1191" s="19"/>
      <c r="E1191" s="19"/>
      <c r="F1191" s="20"/>
      <c r="G1191" s="19"/>
      <c r="H1191" s="19"/>
      <c r="I1191" s="19"/>
      <c r="J1191" s="21"/>
      <c r="K1191" s="19"/>
      <c r="L1191" s="16">
        <f t="shared" si="61"/>
        <v>0</v>
      </c>
      <c r="M1191" s="16" t="str">
        <f t="shared" si="60"/>
        <v/>
      </c>
      <c r="N1191" s="17">
        <f t="shared" si="62"/>
        <v>0</v>
      </c>
    </row>
    <row r="1192" spans="1:14" x14ac:dyDescent="0.2">
      <c r="A1192" s="19">
        <f>IF(ISERROR(VLOOKUP(B1192,Catalogo!$A$2:$C$410,2,0)),0,(VLOOKUP(B1192,Catalogo!$A$2:$C$410,2,0)))</f>
        <v>0</v>
      </c>
      <c r="C1192" s="19"/>
      <c r="D1192" s="19"/>
      <c r="E1192" s="19"/>
      <c r="F1192" s="20"/>
      <c r="G1192" s="19"/>
      <c r="H1192" s="19"/>
      <c r="I1192" s="19"/>
      <c r="J1192" s="21"/>
      <c r="K1192" s="19"/>
      <c r="L1192" s="16">
        <f t="shared" si="61"/>
        <v>0</v>
      </c>
      <c r="M1192" s="16" t="str">
        <f t="shared" si="60"/>
        <v/>
      </c>
      <c r="N1192" s="17">
        <f t="shared" si="62"/>
        <v>0</v>
      </c>
    </row>
    <row r="1193" spans="1:14" x14ac:dyDescent="0.2">
      <c r="A1193" s="19">
        <f>IF(ISERROR(VLOOKUP(B1193,Catalogo!$A$2:$C$410,2,0)),0,(VLOOKUP(B1193,Catalogo!$A$2:$C$410,2,0)))</f>
        <v>0</v>
      </c>
      <c r="C1193" s="19"/>
      <c r="D1193" s="19"/>
      <c r="E1193" s="19"/>
      <c r="F1193" s="20"/>
      <c r="G1193" s="19"/>
      <c r="H1193" s="19"/>
      <c r="I1193" s="19"/>
      <c r="J1193" s="21"/>
      <c r="K1193" s="19"/>
      <c r="L1193" s="16">
        <f t="shared" si="61"/>
        <v>0</v>
      </c>
      <c r="M1193" s="16" t="str">
        <f t="shared" si="60"/>
        <v/>
      </c>
      <c r="N1193" s="17">
        <f t="shared" si="62"/>
        <v>0</v>
      </c>
    </row>
    <row r="1194" spans="1:14" x14ac:dyDescent="0.2">
      <c r="A1194" s="19">
        <f>IF(ISERROR(VLOOKUP(B1194,Catalogo!$A$2:$C$410,2,0)),0,(VLOOKUP(B1194,Catalogo!$A$2:$C$410,2,0)))</f>
        <v>0</v>
      </c>
      <c r="C1194" s="19"/>
      <c r="D1194" s="19"/>
      <c r="E1194" s="19"/>
      <c r="F1194" s="20"/>
      <c r="G1194" s="19"/>
      <c r="H1194" s="19"/>
      <c r="I1194" s="19"/>
      <c r="J1194" s="21"/>
      <c r="K1194" s="19"/>
      <c r="L1194" s="16">
        <f t="shared" si="61"/>
        <v>0</v>
      </c>
      <c r="M1194" s="16" t="str">
        <f t="shared" si="60"/>
        <v/>
      </c>
      <c r="N1194" s="17">
        <f t="shared" si="62"/>
        <v>0</v>
      </c>
    </row>
    <row r="1195" spans="1:14" x14ac:dyDescent="0.2">
      <c r="A1195" s="19">
        <f>IF(ISERROR(VLOOKUP(B1195,Catalogo!$A$2:$C$410,2,0)),0,(VLOOKUP(B1195,Catalogo!$A$2:$C$410,2,0)))</f>
        <v>0</v>
      </c>
      <c r="C1195" s="19"/>
      <c r="D1195" s="19"/>
      <c r="E1195" s="19"/>
      <c r="F1195" s="20"/>
      <c r="G1195" s="19"/>
      <c r="H1195" s="19"/>
      <c r="I1195" s="19"/>
      <c r="J1195" s="21"/>
      <c r="K1195" s="19"/>
      <c r="L1195" s="16">
        <f t="shared" si="61"/>
        <v>0</v>
      </c>
      <c r="M1195" s="16" t="str">
        <f t="shared" si="60"/>
        <v/>
      </c>
      <c r="N1195" s="17">
        <f t="shared" si="62"/>
        <v>0</v>
      </c>
    </row>
    <row r="1196" spans="1:14" x14ac:dyDescent="0.2">
      <c r="A1196" s="19">
        <f>IF(ISERROR(VLOOKUP(B1196,Catalogo!$A$2:$C$410,2,0)),0,(VLOOKUP(B1196,Catalogo!$A$2:$C$410,2,0)))</f>
        <v>0</v>
      </c>
      <c r="C1196" s="19"/>
      <c r="D1196" s="19"/>
      <c r="E1196" s="19"/>
      <c r="F1196" s="20"/>
      <c r="G1196" s="19"/>
      <c r="H1196" s="19"/>
      <c r="I1196" s="19"/>
      <c r="J1196" s="21"/>
      <c r="K1196" s="19"/>
      <c r="L1196" s="16">
        <f t="shared" si="61"/>
        <v>0</v>
      </c>
      <c r="M1196" s="16" t="str">
        <f t="shared" si="60"/>
        <v/>
      </c>
      <c r="N1196" s="17">
        <f t="shared" si="62"/>
        <v>0</v>
      </c>
    </row>
    <row r="1197" spans="1:14" x14ac:dyDescent="0.2">
      <c r="A1197" s="19">
        <f>IF(ISERROR(VLOOKUP(B1197,Catalogo!$A$2:$C$410,2,0)),0,(VLOOKUP(B1197,Catalogo!$A$2:$C$410,2,0)))</f>
        <v>0</v>
      </c>
      <c r="C1197" s="19"/>
      <c r="D1197" s="19"/>
      <c r="E1197" s="19"/>
      <c r="F1197" s="20"/>
      <c r="G1197" s="19"/>
      <c r="H1197" s="19"/>
      <c r="I1197" s="19"/>
      <c r="J1197" s="21"/>
      <c r="K1197" s="19"/>
      <c r="L1197" s="16">
        <f t="shared" si="61"/>
        <v>0</v>
      </c>
      <c r="M1197" s="16" t="str">
        <f t="shared" si="60"/>
        <v/>
      </c>
      <c r="N1197" s="17">
        <f t="shared" si="62"/>
        <v>0</v>
      </c>
    </row>
    <row r="1198" spans="1:14" x14ac:dyDescent="0.2">
      <c r="A1198" s="19">
        <f>IF(ISERROR(VLOOKUP(B1198,Catalogo!$A$2:$C$410,2,0)),0,(VLOOKUP(B1198,Catalogo!$A$2:$C$410,2,0)))</f>
        <v>0</v>
      </c>
      <c r="C1198" s="19"/>
      <c r="D1198" s="19"/>
      <c r="E1198" s="19"/>
      <c r="F1198" s="20"/>
      <c r="G1198" s="19"/>
      <c r="H1198" s="19"/>
      <c r="I1198" s="19"/>
      <c r="J1198" s="21"/>
      <c r="K1198" s="19"/>
      <c r="L1198" s="16">
        <f t="shared" si="61"/>
        <v>0</v>
      </c>
      <c r="M1198" s="16" t="str">
        <f t="shared" si="60"/>
        <v/>
      </c>
      <c r="N1198" s="17">
        <f t="shared" si="62"/>
        <v>0</v>
      </c>
    </row>
    <row r="1199" spans="1:14" x14ac:dyDescent="0.2">
      <c r="A1199" s="19">
        <f>IF(ISERROR(VLOOKUP(B1199,Catalogo!$A$2:$C$410,2,0)),0,(VLOOKUP(B1199,Catalogo!$A$2:$C$410,2,0)))</f>
        <v>0</v>
      </c>
      <c r="C1199" s="19"/>
      <c r="D1199" s="19"/>
      <c r="E1199" s="19"/>
      <c r="F1199" s="20"/>
      <c r="G1199" s="19"/>
      <c r="H1199" s="19"/>
      <c r="I1199" s="19"/>
      <c r="J1199" s="21"/>
      <c r="K1199" s="19"/>
      <c r="L1199" s="16">
        <f t="shared" si="61"/>
        <v>0</v>
      </c>
      <c r="M1199" s="16" t="str">
        <f t="shared" si="60"/>
        <v/>
      </c>
      <c r="N1199" s="17">
        <f t="shared" si="62"/>
        <v>0</v>
      </c>
    </row>
    <row r="1200" spans="1:14" x14ac:dyDescent="0.2">
      <c r="A1200" s="19">
        <f>IF(ISERROR(VLOOKUP(B1200,Catalogo!$A$2:$C$410,2,0)),0,(VLOOKUP(B1200,Catalogo!$A$2:$C$410,2,0)))</f>
        <v>0</v>
      </c>
      <c r="C1200" s="19"/>
      <c r="D1200" s="19"/>
      <c r="E1200" s="19"/>
      <c r="F1200" s="20"/>
      <c r="G1200" s="19"/>
      <c r="H1200" s="19"/>
      <c r="I1200" s="19"/>
      <c r="J1200" s="21"/>
      <c r="K1200" s="19"/>
      <c r="L1200" s="16">
        <f t="shared" si="61"/>
        <v>0</v>
      </c>
      <c r="M1200" s="16" t="str">
        <f t="shared" si="60"/>
        <v/>
      </c>
      <c r="N1200" s="17">
        <f t="shared" si="62"/>
        <v>0</v>
      </c>
    </row>
    <row r="1201" spans="1:14" x14ac:dyDescent="0.2">
      <c r="A1201" s="19">
        <f>IF(ISERROR(VLOOKUP(B1201,Catalogo!$A$2:$C$410,2,0)),0,(VLOOKUP(B1201,Catalogo!$A$2:$C$410,2,0)))</f>
        <v>0</v>
      </c>
      <c r="C1201" s="19"/>
      <c r="D1201" s="19"/>
      <c r="E1201" s="19"/>
      <c r="F1201" s="20"/>
      <c r="G1201" s="19"/>
      <c r="H1201" s="19"/>
      <c r="I1201" s="19"/>
      <c r="J1201" s="21"/>
      <c r="K1201" s="19"/>
      <c r="L1201" s="16">
        <f t="shared" si="61"/>
        <v>0</v>
      </c>
      <c r="M1201" s="16" t="str">
        <f t="shared" si="60"/>
        <v/>
      </c>
      <c r="N1201" s="17">
        <f t="shared" si="62"/>
        <v>0</v>
      </c>
    </row>
    <row r="1202" spans="1:14" x14ac:dyDescent="0.2">
      <c r="A1202" s="19">
        <f>IF(ISERROR(VLOOKUP(B1202,Catalogo!$A$2:$C$410,2,0)),0,(VLOOKUP(B1202,Catalogo!$A$2:$C$410,2,0)))</f>
        <v>0</v>
      </c>
      <c r="C1202" s="19"/>
      <c r="D1202" s="19"/>
      <c r="E1202" s="19"/>
      <c r="F1202" s="20"/>
      <c r="G1202" s="19"/>
      <c r="H1202" s="19"/>
      <c r="I1202" s="19"/>
      <c r="J1202" s="21"/>
      <c r="K1202" s="19"/>
      <c r="L1202" s="16">
        <f t="shared" si="61"/>
        <v>0</v>
      </c>
      <c r="M1202" s="16" t="str">
        <f t="shared" si="60"/>
        <v/>
      </c>
      <c r="N1202" s="17">
        <f t="shared" si="62"/>
        <v>0</v>
      </c>
    </row>
    <row r="1203" spans="1:14" x14ac:dyDescent="0.2">
      <c r="A1203" s="19">
        <f>IF(ISERROR(VLOOKUP(B1203,Catalogo!$A$2:$C$410,2,0)),0,(VLOOKUP(B1203,Catalogo!$A$2:$C$410,2,0)))</f>
        <v>0</v>
      </c>
      <c r="C1203" s="19"/>
      <c r="D1203" s="19"/>
      <c r="E1203" s="19"/>
      <c r="F1203" s="20"/>
      <c r="G1203" s="19"/>
      <c r="H1203" s="19"/>
      <c r="I1203" s="19"/>
      <c r="J1203" s="21"/>
      <c r="K1203" s="19"/>
      <c r="L1203" s="16">
        <f t="shared" si="61"/>
        <v>0</v>
      </c>
      <c r="M1203" s="16" t="str">
        <f t="shared" si="60"/>
        <v/>
      </c>
      <c r="N1203" s="17">
        <f t="shared" si="62"/>
        <v>0</v>
      </c>
    </row>
    <row r="1204" spans="1:14" x14ac:dyDescent="0.2">
      <c r="A1204" s="19">
        <f>IF(ISERROR(VLOOKUP(B1204,Catalogo!$A$2:$C$410,2,0)),0,(VLOOKUP(B1204,Catalogo!$A$2:$C$410,2,0)))</f>
        <v>0</v>
      </c>
      <c r="C1204" s="19"/>
      <c r="D1204" s="19"/>
      <c r="E1204" s="19"/>
      <c r="F1204" s="20"/>
      <c r="G1204" s="19"/>
      <c r="H1204" s="19"/>
      <c r="I1204" s="19"/>
      <c r="J1204" s="21"/>
      <c r="K1204" s="19"/>
      <c r="L1204" s="16">
        <f t="shared" si="61"/>
        <v>0</v>
      </c>
      <c r="M1204" s="16" t="str">
        <f t="shared" si="60"/>
        <v/>
      </c>
      <c r="N1204" s="17">
        <f t="shared" si="62"/>
        <v>0</v>
      </c>
    </row>
    <row r="1205" spans="1:14" x14ac:dyDescent="0.2">
      <c r="A1205" s="19">
        <f>IF(ISERROR(VLOOKUP(B1205,Catalogo!$A$2:$C$410,2,0)),0,(VLOOKUP(B1205,Catalogo!$A$2:$C$410,2,0)))</f>
        <v>0</v>
      </c>
      <c r="C1205" s="19"/>
      <c r="D1205" s="19"/>
      <c r="E1205" s="19"/>
      <c r="F1205" s="20"/>
      <c r="G1205" s="19"/>
      <c r="H1205" s="19"/>
      <c r="I1205" s="19"/>
      <c r="J1205" s="21"/>
      <c r="K1205" s="19"/>
      <c r="L1205" s="16">
        <f t="shared" si="61"/>
        <v>0</v>
      </c>
      <c r="M1205" s="16" t="str">
        <f t="shared" si="60"/>
        <v/>
      </c>
      <c r="N1205" s="17">
        <f t="shared" si="62"/>
        <v>0</v>
      </c>
    </row>
    <row r="1206" spans="1:14" x14ac:dyDescent="0.2">
      <c r="A1206" s="19">
        <f>IF(ISERROR(VLOOKUP(B1206,Catalogo!$A$2:$C$410,2,0)),0,(VLOOKUP(B1206,Catalogo!$A$2:$C$410,2,0)))</f>
        <v>0</v>
      </c>
      <c r="C1206" s="19"/>
      <c r="D1206" s="19"/>
      <c r="E1206" s="19"/>
      <c r="F1206" s="20"/>
      <c r="G1206" s="19"/>
      <c r="H1206" s="19"/>
      <c r="I1206" s="19"/>
      <c r="J1206" s="21"/>
      <c r="K1206" s="19"/>
      <c r="L1206" s="16">
        <f t="shared" si="61"/>
        <v>0</v>
      </c>
      <c r="M1206" s="16" t="str">
        <f t="shared" si="60"/>
        <v/>
      </c>
      <c r="N1206" s="17">
        <f t="shared" si="62"/>
        <v>0</v>
      </c>
    </row>
    <row r="1207" spans="1:14" x14ac:dyDescent="0.2">
      <c r="A1207" s="19">
        <f>IF(ISERROR(VLOOKUP(B1207,Catalogo!$A$2:$C$410,2,0)),0,(VLOOKUP(B1207,Catalogo!$A$2:$C$410,2,0)))</f>
        <v>0</v>
      </c>
      <c r="C1207" s="19"/>
      <c r="D1207" s="19"/>
      <c r="E1207" s="19"/>
      <c r="F1207" s="20"/>
      <c r="G1207" s="19"/>
      <c r="H1207" s="19"/>
      <c r="I1207" s="19"/>
      <c r="J1207" s="21"/>
      <c r="K1207" s="19"/>
      <c r="L1207" s="16">
        <f t="shared" si="61"/>
        <v>0</v>
      </c>
      <c r="M1207" s="16" t="str">
        <f t="shared" si="60"/>
        <v/>
      </c>
      <c r="N1207" s="17">
        <f t="shared" si="62"/>
        <v>0</v>
      </c>
    </row>
    <row r="1208" spans="1:14" x14ac:dyDescent="0.2">
      <c r="A1208" s="19">
        <f>IF(ISERROR(VLOOKUP(B1208,Catalogo!$A$2:$C$410,2,0)),0,(VLOOKUP(B1208,Catalogo!$A$2:$C$410,2,0)))</f>
        <v>0</v>
      </c>
      <c r="C1208" s="19"/>
      <c r="D1208" s="19"/>
      <c r="E1208" s="19"/>
      <c r="F1208" s="20"/>
      <c r="G1208" s="19"/>
      <c r="H1208" s="19"/>
      <c r="I1208" s="19"/>
      <c r="J1208" s="21"/>
      <c r="K1208" s="19"/>
      <c r="L1208" s="16">
        <f t="shared" si="61"/>
        <v>0</v>
      </c>
      <c r="M1208" s="16" t="str">
        <f t="shared" si="60"/>
        <v/>
      </c>
      <c r="N1208" s="17">
        <f t="shared" si="62"/>
        <v>0</v>
      </c>
    </row>
    <row r="1209" spans="1:14" x14ac:dyDescent="0.2">
      <c r="A1209" s="19">
        <f>IF(ISERROR(VLOOKUP(B1209,Catalogo!$A$2:$C$410,2,0)),0,(VLOOKUP(B1209,Catalogo!$A$2:$C$410,2,0)))</f>
        <v>0</v>
      </c>
      <c r="C1209" s="19"/>
      <c r="D1209" s="19"/>
      <c r="E1209" s="19"/>
      <c r="F1209" s="20"/>
      <c r="G1209" s="19"/>
      <c r="H1209" s="19"/>
      <c r="I1209" s="19"/>
      <c r="J1209" s="21"/>
      <c r="K1209" s="19"/>
      <c r="L1209" s="16">
        <f t="shared" si="61"/>
        <v>0</v>
      </c>
      <c r="M1209" s="16" t="str">
        <f t="shared" si="60"/>
        <v/>
      </c>
      <c r="N1209" s="17">
        <f t="shared" si="62"/>
        <v>0</v>
      </c>
    </row>
    <row r="1210" spans="1:14" x14ac:dyDescent="0.2">
      <c r="A1210" s="19">
        <f>IF(ISERROR(VLOOKUP(B1210,Catalogo!$A$2:$C$410,2,0)),0,(VLOOKUP(B1210,Catalogo!$A$2:$C$410,2,0)))</f>
        <v>0</v>
      </c>
      <c r="C1210" s="19"/>
      <c r="D1210" s="19"/>
      <c r="E1210" s="19"/>
      <c r="F1210" s="20"/>
      <c r="G1210" s="19"/>
      <c r="H1210" s="19"/>
      <c r="I1210" s="19"/>
      <c r="J1210" s="21"/>
      <c r="K1210" s="19"/>
      <c r="L1210" s="16">
        <f t="shared" si="61"/>
        <v>0</v>
      </c>
      <c r="M1210" s="16" t="str">
        <f t="shared" si="60"/>
        <v/>
      </c>
      <c r="N1210" s="17">
        <f t="shared" si="62"/>
        <v>0</v>
      </c>
    </row>
    <row r="1211" spans="1:14" x14ac:dyDescent="0.2">
      <c r="A1211" s="19">
        <f>IF(ISERROR(VLOOKUP(B1211,Catalogo!$A$2:$C$410,2,0)),0,(VLOOKUP(B1211,Catalogo!$A$2:$C$410,2,0)))</f>
        <v>0</v>
      </c>
      <c r="C1211" s="19"/>
      <c r="D1211" s="19"/>
      <c r="E1211" s="19"/>
      <c r="F1211" s="20"/>
      <c r="G1211" s="19"/>
      <c r="H1211" s="19"/>
      <c r="I1211" s="19"/>
      <c r="J1211" s="21"/>
      <c r="K1211" s="19"/>
      <c r="L1211" s="16">
        <f t="shared" si="61"/>
        <v>0</v>
      </c>
      <c r="M1211" s="16" t="str">
        <f t="shared" si="60"/>
        <v/>
      </c>
      <c r="N1211" s="17">
        <f t="shared" si="62"/>
        <v>0</v>
      </c>
    </row>
    <row r="1212" spans="1:14" x14ac:dyDescent="0.2">
      <c r="A1212" s="19">
        <f>IF(ISERROR(VLOOKUP(B1212,Catalogo!$A$2:$C$410,2,0)),0,(VLOOKUP(B1212,Catalogo!$A$2:$C$410,2,0)))</f>
        <v>0</v>
      </c>
      <c r="C1212" s="19"/>
      <c r="D1212" s="19"/>
      <c r="E1212" s="19"/>
      <c r="F1212" s="20"/>
      <c r="G1212" s="19"/>
      <c r="H1212" s="19"/>
      <c r="I1212" s="19"/>
      <c r="J1212" s="21"/>
      <c r="K1212" s="19"/>
      <c r="L1212" s="16">
        <f t="shared" si="61"/>
        <v>0</v>
      </c>
      <c r="M1212" s="16" t="str">
        <f t="shared" si="60"/>
        <v/>
      </c>
      <c r="N1212" s="17">
        <f t="shared" si="62"/>
        <v>0</v>
      </c>
    </row>
    <row r="1213" spans="1:14" x14ac:dyDescent="0.2">
      <c r="A1213" s="19">
        <f>IF(ISERROR(VLOOKUP(B1213,Catalogo!$A$2:$C$410,2,0)),0,(VLOOKUP(B1213,Catalogo!$A$2:$C$410,2,0)))</f>
        <v>0</v>
      </c>
      <c r="C1213" s="19"/>
      <c r="D1213" s="19"/>
      <c r="E1213" s="19"/>
      <c r="F1213" s="20"/>
      <c r="G1213" s="19"/>
      <c r="H1213" s="19"/>
      <c r="I1213" s="19"/>
      <c r="J1213" s="21"/>
      <c r="K1213" s="19"/>
      <c r="L1213" s="16">
        <f t="shared" si="61"/>
        <v>0</v>
      </c>
      <c r="M1213" s="16" t="str">
        <f t="shared" si="60"/>
        <v/>
      </c>
      <c r="N1213" s="17">
        <f t="shared" si="62"/>
        <v>0</v>
      </c>
    </row>
    <row r="1214" spans="1:14" x14ac:dyDescent="0.2">
      <c r="A1214" s="19">
        <f>IF(ISERROR(VLOOKUP(B1214,Catalogo!$A$2:$C$410,2,0)),0,(VLOOKUP(B1214,Catalogo!$A$2:$C$410,2,0)))</f>
        <v>0</v>
      </c>
      <c r="C1214" s="19"/>
      <c r="D1214" s="19"/>
      <c r="E1214" s="19"/>
      <c r="F1214" s="20"/>
      <c r="G1214" s="19"/>
      <c r="H1214" s="19"/>
      <c r="I1214" s="19"/>
      <c r="J1214" s="21"/>
      <c r="K1214" s="19"/>
      <c r="L1214" s="16">
        <f t="shared" si="61"/>
        <v>0</v>
      </c>
      <c r="M1214" s="16" t="str">
        <f t="shared" si="60"/>
        <v/>
      </c>
      <c r="N1214" s="17">
        <f t="shared" si="62"/>
        <v>0</v>
      </c>
    </row>
    <row r="1215" spans="1:14" x14ac:dyDescent="0.2">
      <c r="A1215" s="19">
        <f>IF(ISERROR(VLOOKUP(B1215,Catalogo!$A$2:$C$410,2,0)),0,(VLOOKUP(B1215,Catalogo!$A$2:$C$410,2,0)))</f>
        <v>0</v>
      </c>
      <c r="C1215" s="19"/>
      <c r="D1215" s="19"/>
      <c r="E1215" s="19"/>
      <c r="F1215" s="20"/>
      <c r="G1215" s="19"/>
      <c r="H1215" s="19"/>
      <c r="I1215" s="19"/>
      <c r="J1215" s="21"/>
      <c r="K1215" s="19"/>
      <c r="L1215" s="16">
        <f t="shared" si="61"/>
        <v>0</v>
      </c>
      <c r="M1215" s="16" t="str">
        <f t="shared" si="60"/>
        <v/>
      </c>
      <c r="N1215" s="17">
        <f t="shared" si="62"/>
        <v>0</v>
      </c>
    </row>
    <row r="1216" spans="1:14" x14ac:dyDescent="0.2">
      <c r="A1216" s="19">
        <f>IF(ISERROR(VLOOKUP(B1216,Catalogo!$A$2:$C$410,2,0)),0,(VLOOKUP(B1216,Catalogo!$A$2:$C$410,2,0)))</f>
        <v>0</v>
      </c>
      <c r="C1216" s="19"/>
      <c r="D1216" s="19"/>
      <c r="E1216" s="19"/>
      <c r="F1216" s="20"/>
      <c r="G1216" s="19"/>
      <c r="H1216" s="19"/>
      <c r="I1216" s="19"/>
      <c r="J1216" s="21"/>
      <c r="K1216" s="19"/>
      <c r="L1216" s="16">
        <f t="shared" si="61"/>
        <v>0</v>
      </c>
      <c r="M1216" s="16" t="str">
        <f t="shared" ref="M1216:M1279" si="63">LEFT(E1216,1)</f>
        <v/>
      </c>
      <c r="N1216" s="17">
        <f t="shared" si="62"/>
        <v>0</v>
      </c>
    </row>
    <row r="1217" spans="1:14" x14ac:dyDescent="0.2">
      <c r="A1217" s="19">
        <f>IF(ISERROR(VLOOKUP(B1217,Catalogo!$A$2:$C$410,2,0)),0,(VLOOKUP(B1217,Catalogo!$A$2:$C$410,2,0)))</f>
        <v>0</v>
      </c>
      <c r="C1217" s="19"/>
      <c r="D1217" s="19"/>
      <c r="E1217" s="19"/>
      <c r="F1217" s="20"/>
      <c r="G1217" s="19"/>
      <c r="H1217" s="19"/>
      <c r="I1217" s="19"/>
      <c r="J1217" s="21"/>
      <c r="K1217" s="19"/>
      <c r="L1217" s="16">
        <f t="shared" si="61"/>
        <v>0</v>
      </c>
      <c r="M1217" s="16" t="str">
        <f t="shared" si="63"/>
        <v/>
      </c>
      <c r="N1217" s="17">
        <f t="shared" si="62"/>
        <v>0</v>
      </c>
    </row>
    <row r="1218" spans="1:14" x14ac:dyDescent="0.2">
      <c r="A1218" s="19">
        <f>IF(ISERROR(VLOOKUP(B1218,Catalogo!$A$2:$C$410,2,0)),0,(VLOOKUP(B1218,Catalogo!$A$2:$C$410,2,0)))</f>
        <v>0</v>
      </c>
      <c r="C1218" s="19"/>
      <c r="D1218" s="19"/>
      <c r="E1218" s="19"/>
      <c r="F1218" s="20"/>
      <c r="G1218" s="19"/>
      <c r="H1218" s="19"/>
      <c r="I1218" s="19"/>
      <c r="J1218" s="21"/>
      <c r="K1218" s="19"/>
      <c r="L1218" s="16">
        <f t="shared" ref="L1218:L1281" si="64">IF(A1218="Record Keeping",B1218,0)</f>
        <v>0</v>
      </c>
      <c r="M1218" s="16" t="str">
        <f t="shared" si="63"/>
        <v/>
      </c>
      <c r="N1218" s="17">
        <f t="shared" ref="N1218:N1281" si="65">IF(G1218="CAN",F1218*0,IF(M1218="R",F1218*-1,F1218*1)*AND(A1218="Record Keeping"))</f>
        <v>0</v>
      </c>
    </row>
    <row r="1219" spans="1:14" x14ac:dyDescent="0.2">
      <c r="A1219" s="19">
        <f>IF(ISERROR(VLOOKUP(B1219,Catalogo!$A$2:$C$410,2,0)),0,(VLOOKUP(B1219,Catalogo!$A$2:$C$410,2,0)))</f>
        <v>0</v>
      </c>
      <c r="C1219" s="19"/>
      <c r="D1219" s="19"/>
      <c r="E1219" s="19"/>
      <c r="F1219" s="20"/>
      <c r="G1219" s="19"/>
      <c r="H1219" s="19"/>
      <c r="I1219" s="19"/>
      <c r="J1219" s="21"/>
      <c r="K1219" s="19"/>
      <c r="L1219" s="16">
        <f t="shared" si="64"/>
        <v>0</v>
      </c>
      <c r="M1219" s="16" t="str">
        <f t="shared" si="63"/>
        <v/>
      </c>
      <c r="N1219" s="17">
        <f t="shared" si="65"/>
        <v>0</v>
      </c>
    </row>
    <row r="1220" spans="1:14" x14ac:dyDescent="0.2">
      <c r="A1220" s="19">
        <f>IF(ISERROR(VLOOKUP(B1220,Catalogo!$A$2:$C$410,2,0)),0,(VLOOKUP(B1220,Catalogo!$A$2:$C$410,2,0)))</f>
        <v>0</v>
      </c>
      <c r="C1220" s="19"/>
      <c r="D1220" s="19"/>
      <c r="E1220" s="19"/>
      <c r="F1220" s="20"/>
      <c r="G1220" s="19"/>
      <c r="H1220" s="19"/>
      <c r="I1220" s="19"/>
      <c r="J1220" s="21"/>
      <c r="K1220" s="19"/>
      <c r="L1220" s="16">
        <f t="shared" si="64"/>
        <v>0</v>
      </c>
      <c r="M1220" s="16" t="str">
        <f t="shared" si="63"/>
        <v/>
      </c>
      <c r="N1220" s="17">
        <f t="shared" si="65"/>
        <v>0</v>
      </c>
    </row>
    <row r="1221" spans="1:14" x14ac:dyDescent="0.2">
      <c r="A1221" s="19">
        <f>IF(ISERROR(VLOOKUP(B1221,Catalogo!$A$2:$C$410,2,0)),0,(VLOOKUP(B1221,Catalogo!$A$2:$C$410,2,0)))</f>
        <v>0</v>
      </c>
      <c r="C1221" s="19"/>
      <c r="D1221" s="19"/>
      <c r="E1221" s="19"/>
      <c r="F1221" s="20"/>
      <c r="G1221" s="19"/>
      <c r="H1221" s="19"/>
      <c r="I1221" s="19"/>
      <c r="J1221" s="21"/>
      <c r="K1221" s="19"/>
      <c r="L1221" s="16">
        <f t="shared" si="64"/>
        <v>0</v>
      </c>
      <c r="M1221" s="16" t="str">
        <f t="shared" si="63"/>
        <v/>
      </c>
      <c r="N1221" s="17">
        <f t="shared" si="65"/>
        <v>0</v>
      </c>
    </row>
    <row r="1222" spans="1:14" x14ac:dyDescent="0.2">
      <c r="A1222" s="19">
        <f>IF(ISERROR(VLOOKUP(B1222,Catalogo!$A$2:$C$410,2,0)),0,(VLOOKUP(B1222,Catalogo!$A$2:$C$410,2,0)))</f>
        <v>0</v>
      </c>
      <c r="C1222" s="19"/>
      <c r="D1222" s="19"/>
      <c r="E1222" s="19"/>
      <c r="F1222" s="20"/>
      <c r="G1222" s="19"/>
      <c r="H1222" s="19"/>
      <c r="I1222" s="19"/>
      <c r="J1222" s="21"/>
      <c r="K1222" s="19"/>
      <c r="L1222" s="16">
        <f t="shared" si="64"/>
        <v>0</v>
      </c>
      <c r="M1222" s="16" t="str">
        <f t="shared" si="63"/>
        <v/>
      </c>
      <c r="N1222" s="17">
        <f t="shared" si="65"/>
        <v>0</v>
      </c>
    </row>
    <row r="1223" spans="1:14" x14ac:dyDescent="0.2">
      <c r="A1223" s="19">
        <f>IF(ISERROR(VLOOKUP(B1223,Catalogo!$A$2:$C$410,2,0)),0,(VLOOKUP(B1223,Catalogo!$A$2:$C$410,2,0)))</f>
        <v>0</v>
      </c>
      <c r="C1223" s="19"/>
      <c r="D1223" s="19"/>
      <c r="E1223" s="19"/>
      <c r="F1223" s="20"/>
      <c r="G1223" s="19"/>
      <c r="H1223" s="19"/>
      <c r="I1223" s="19"/>
      <c r="J1223" s="21"/>
      <c r="K1223" s="19"/>
      <c r="L1223" s="16">
        <f t="shared" si="64"/>
        <v>0</v>
      </c>
      <c r="M1223" s="16" t="str">
        <f t="shared" si="63"/>
        <v/>
      </c>
      <c r="N1223" s="17">
        <f t="shared" si="65"/>
        <v>0</v>
      </c>
    </row>
    <row r="1224" spans="1:14" x14ac:dyDescent="0.2">
      <c r="A1224" s="19">
        <f>IF(ISERROR(VLOOKUP(B1224,Catalogo!$A$2:$C$410,2,0)),0,(VLOOKUP(B1224,Catalogo!$A$2:$C$410,2,0)))</f>
        <v>0</v>
      </c>
      <c r="C1224" s="19"/>
      <c r="D1224" s="19"/>
      <c r="E1224" s="19"/>
      <c r="F1224" s="20"/>
      <c r="G1224" s="19"/>
      <c r="H1224" s="19"/>
      <c r="I1224" s="19"/>
      <c r="J1224" s="21"/>
      <c r="K1224" s="19"/>
      <c r="L1224" s="16">
        <f t="shared" si="64"/>
        <v>0</v>
      </c>
      <c r="M1224" s="16" t="str">
        <f t="shared" si="63"/>
        <v/>
      </c>
      <c r="N1224" s="17">
        <f t="shared" si="65"/>
        <v>0</v>
      </c>
    </row>
    <row r="1225" spans="1:14" x14ac:dyDescent="0.2">
      <c r="A1225" s="19">
        <f>IF(ISERROR(VLOOKUP(B1225,Catalogo!$A$2:$C$410,2,0)),0,(VLOOKUP(B1225,Catalogo!$A$2:$C$410,2,0)))</f>
        <v>0</v>
      </c>
      <c r="C1225" s="19"/>
      <c r="D1225" s="19"/>
      <c r="E1225" s="19"/>
      <c r="F1225" s="20"/>
      <c r="G1225" s="19"/>
      <c r="H1225" s="19"/>
      <c r="I1225" s="19"/>
      <c r="J1225" s="21"/>
      <c r="K1225" s="19"/>
      <c r="L1225" s="16">
        <f t="shared" si="64"/>
        <v>0</v>
      </c>
      <c r="M1225" s="16" t="str">
        <f t="shared" si="63"/>
        <v/>
      </c>
      <c r="N1225" s="17">
        <f t="shared" si="65"/>
        <v>0</v>
      </c>
    </row>
    <row r="1226" spans="1:14" x14ac:dyDescent="0.2">
      <c r="A1226" s="19">
        <f>IF(ISERROR(VLOOKUP(B1226,Catalogo!$A$2:$C$410,2,0)),0,(VLOOKUP(B1226,Catalogo!$A$2:$C$410,2,0)))</f>
        <v>0</v>
      </c>
      <c r="C1226" s="19"/>
      <c r="D1226" s="19"/>
      <c r="E1226" s="19"/>
      <c r="F1226" s="20"/>
      <c r="G1226" s="19"/>
      <c r="H1226" s="19"/>
      <c r="I1226" s="19"/>
      <c r="J1226" s="21"/>
      <c r="K1226" s="19"/>
      <c r="L1226" s="16">
        <f t="shared" si="64"/>
        <v>0</v>
      </c>
      <c r="M1226" s="16" t="str">
        <f t="shared" si="63"/>
        <v/>
      </c>
      <c r="N1226" s="17">
        <f t="shared" si="65"/>
        <v>0</v>
      </c>
    </row>
    <row r="1227" spans="1:14" x14ac:dyDescent="0.2">
      <c r="A1227" s="19">
        <f>IF(ISERROR(VLOOKUP(B1227,Catalogo!$A$2:$C$410,2,0)),0,(VLOOKUP(B1227,Catalogo!$A$2:$C$410,2,0)))</f>
        <v>0</v>
      </c>
      <c r="C1227" s="19"/>
      <c r="D1227" s="19"/>
      <c r="E1227" s="19"/>
      <c r="F1227" s="20"/>
      <c r="G1227" s="19"/>
      <c r="H1227" s="19"/>
      <c r="I1227" s="19"/>
      <c r="J1227" s="21"/>
      <c r="K1227" s="19"/>
      <c r="L1227" s="16">
        <f t="shared" si="64"/>
        <v>0</v>
      </c>
      <c r="M1227" s="16" t="str">
        <f t="shared" si="63"/>
        <v/>
      </c>
      <c r="N1227" s="17">
        <f t="shared" si="65"/>
        <v>0</v>
      </c>
    </row>
    <row r="1228" spans="1:14" x14ac:dyDescent="0.2">
      <c r="A1228" s="19">
        <f>IF(ISERROR(VLOOKUP(B1228,Catalogo!$A$2:$C$410,2,0)),0,(VLOOKUP(B1228,Catalogo!$A$2:$C$410,2,0)))</f>
        <v>0</v>
      </c>
      <c r="C1228" s="19"/>
      <c r="D1228" s="19"/>
      <c r="E1228" s="19"/>
      <c r="F1228" s="20"/>
      <c r="G1228" s="19"/>
      <c r="H1228" s="19"/>
      <c r="I1228" s="19"/>
      <c r="J1228" s="21"/>
      <c r="K1228" s="19"/>
      <c r="L1228" s="16">
        <f t="shared" si="64"/>
        <v>0</v>
      </c>
      <c r="M1228" s="16" t="str">
        <f t="shared" si="63"/>
        <v/>
      </c>
      <c r="N1228" s="17">
        <f t="shared" si="65"/>
        <v>0</v>
      </c>
    </row>
    <row r="1229" spans="1:14" x14ac:dyDescent="0.2">
      <c r="A1229" s="19">
        <f>IF(ISERROR(VLOOKUP(B1229,Catalogo!$A$2:$C$410,2,0)),0,(VLOOKUP(B1229,Catalogo!$A$2:$C$410,2,0)))</f>
        <v>0</v>
      </c>
      <c r="C1229" s="19"/>
      <c r="D1229" s="19"/>
      <c r="E1229" s="19"/>
      <c r="F1229" s="20"/>
      <c r="G1229" s="19"/>
      <c r="H1229" s="19"/>
      <c r="I1229" s="19"/>
      <c r="J1229" s="21"/>
      <c r="K1229" s="19"/>
      <c r="L1229" s="16">
        <f t="shared" si="64"/>
        <v>0</v>
      </c>
      <c r="M1229" s="16" t="str">
        <f t="shared" si="63"/>
        <v/>
      </c>
      <c r="N1229" s="17">
        <f t="shared" si="65"/>
        <v>0</v>
      </c>
    </row>
    <row r="1230" spans="1:14" x14ac:dyDescent="0.2">
      <c r="A1230" s="19">
        <f>IF(ISERROR(VLOOKUP(B1230,Catalogo!$A$2:$C$410,2,0)),0,(VLOOKUP(B1230,Catalogo!$A$2:$C$410,2,0)))</f>
        <v>0</v>
      </c>
      <c r="C1230" s="19"/>
      <c r="D1230" s="19"/>
      <c r="E1230" s="19"/>
      <c r="F1230" s="20"/>
      <c r="G1230" s="19"/>
      <c r="H1230" s="19"/>
      <c r="I1230" s="19"/>
      <c r="J1230" s="21"/>
      <c r="K1230" s="19"/>
      <c r="L1230" s="16">
        <f t="shared" si="64"/>
        <v>0</v>
      </c>
      <c r="M1230" s="16" t="str">
        <f t="shared" si="63"/>
        <v/>
      </c>
      <c r="N1230" s="17">
        <f t="shared" si="65"/>
        <v>0</v>
      </c>
    </row>
    <row r="1231" spans="1:14" x14ac:dyDescent="0.2">
      <c r="A1231" s="19">
        <f>IF(ISERROR(VLOOKUP(B1231,Catalogo!$A$2:$C$410,2,0)),0,(VLOOKUP(B1231,Catalogo!$A$2:$C$410,2,0)))</f>
        <v>0</v>
      </c>
      <c r="C1231" s="19"/>
      <c r="D1231" s="19"/>
      <c r="E1231" s="19"/>
      <c r="F1231" s="20"/>
      <c r="G1231" s="19"/>
      <c r="H1231" s="19"/>
      <c r="I1231" s="19"/>
      <c r="J1231" s="21"/>
      <c r="K1231" s="19"/>
      <c r="L1231" s="16">
        <f t="shared" si="64"/>
        <v>0</v>
      </c>
      <c r="M1231" s="16" t="str">
        <f t="shared" si="63"/>
        <v/>
      </c>
      <c r="N1231" s="17">
        <f t="shared" si="65"/>
        <v>0</v>
      </c>
    </row>
    <row r="1232" spans="1:14" x14ac:dyDescent="0.2">
      <c r="A1232" s="19">
        <f>IF(ISERROR(VLOOKUP(B1232,Catalogo!$A$2:$C$410,2,0)),0,(VLOOKUP(B1232,Catalogo!$A$2:$C$410,2,0)))</f>
        <v>0</v>
      </c>
      <c r="C1232" s="19"/>
      <c r="D1232" s="19"/>
      <c r="E1232" s="19"/>
      <c r="F1232" s="20"/>
      <c r="G1232" s="19"/>
      <c r="H1232" s="19"/>
      <c r="I1232" s="19"/>
      <c r="J1232" s="21"/>
      <c r="K1232" s="19"/>
      <c r="L1232" s="16">
        <f t="shared" si="64"/>
        <v>0</v>
      </c>
      <c r="M1232" s="16" t="str">
        <f t="shared" si="63"/>
        <v/>
      </c>
      <c r="N1232" s="17">
        <f t="shared" si="65"/>
        <v>0</v>
      </c>
    </row>
    <row r="1233" spans="1:14" x14ac:dyDescent="0.2">
      <c r="A1233" s="19">
        <f>IF(ISERROR(VLOOKUP(B1233,Catalogo!$A$2:$C$410,2,0)),0,(VLOOKUP(B1233,Catalogo!$A$2:$C$410,2,0)))</f>
        <v>0</v>
      </c>
      <c r="C1233" s="19"/>
      <c r="D1233" s="19"/>
      <c r="E1233" s="19"/>
      <c r="F1233" s="20"/>
      <c r="G1233" s="19"/>
      <c r="H1233" s="19"/>
      <c r="I1233" s="19"/>
      <c r="J1233" s="21"/>
      <c r="K1233" s="19"/>
      <c r="L1233" s="16">
        <f t="shared" si="64"/>
        <v>0</v>
      </c>
      <c r="M1233" s="16" t="str">
        <f t="shared" si="63"/>
        <v/>
      </c>
      <c r="N1233" s="17">
        <f t="shared" si="65"/>
        <v>0</v>
      </c>
    </row>
    <row r="1234" spans="1:14" x14ac:dyDescent="0.2">
      <c r="A1234" s="19">
        <f>IF(ISERROR(VLOOKUP(B1234,Catalogo!$A$2:$C$410,2,0)),0,(VLOOKUP(B1234,Catalogo!$A$2:$C$410,2,0)))</f>
        <v>0</v>
      </c>
      <c r="C1234" s="19"/>
      <c r="D1234" s="19"/>
      <c r="E1234" s="19"/>
      <c r="F1234" s="20"/>
      <c r="G1234" s="19"/>
      <c r="H1234" s="19"/>
      <c r="I1234" s="19"/>
      <c r="J1234" s="21"/>
      <c r="K1234" s="19"/>
      <c r="L1234" s="16">
        <f t="shared" si="64"/>
        <v>0</v>
      </c>
      <c r="M1234" s="16" t="str">
        <f t="shared" si="63"/>
        <v/>
      </c>
      <c r="N1234" s="17">
        <f t="shared" si="65"/>
        <v>0</v>
      </c>
    </row>
    <row r="1235" spans="1:14" x14ac:dyDescent="0.2">
      <c r="A1235" s="19">
        <f>IF(ISERROR(VLOOKUP(B1235,Catalogo!$A$2:$C$410,2,0)),0,(VLOOKUP(B1235,Catalogo!$A$2:$C$410,2,0)))</f>
        <v>0</v>
      </c>
      <c r="C1235" s="19"/>
      <c r="D1235" s="19"/>
      <c r="E1235" s="19"/>
      <c r="F1235" s="20"/>
      <c r="G1235" s="19"/>
      <c r="H1235" s="19"/>
      <c r="I1235" s="19"/>
      <c r="J1235" s="21"/>
      <c r="K1235" s="19"/>
      <c r="L1235" s="16">
        <f t="shared" si="64"/>
        <v>0</v>
      </c>
      <c r="M1235" s="16" t="str">
        <f t="shared" si="63"/>
        <v/>
      </c>
      <c r="N1235" s="17">
        <f t="shared" si="65"/>
        <v>0</v>
      </c>
    </row>
    <row r="1236" spans="1:14" x14ac:dyDescent="0.2">
      <c r="A1236" s="19">
        <f>IF(ISERROR(VLOOKUP(B1236,Catalogo!$A$2:$C$410,2,0)),0,(VLOOKUP(B1236,Catalogo!$A$2:$C$410,2,0)))</f>
        <v>0</v>
      </c>
      <c r="C1236" s="19"/>
      <c r="D1236" s="19"/>
      <c r="E1236" s="19"/>
      <c r="F1236" s="20"/>
      <c r="G1236" s="19"/>
      <c r="H1236" s="19"/>
      <c r="I1236" s="19"/>
      <c r="J1236" s="21"/>
      <c r="K1236" s="19"/>
      <c r="L1236" s="16">
        <f t="shared" si="64"/>
        <v>0</v>
      </c>
      <c r="M1236" s="16" t="str">
        <f t="shared" si="63"/>
        <v/>
      </c>
      <c r="N1236" s="17">
        <f t="shared" si="65"/>
        <v>0</v>
      </c>
    </row>
    <row r="1237" spans="1:14" x14ac:dyDescent="0.2">
      <c r="A1237" s="19">
        <f>IF(ISERROR(VLOOKUP(B1237,Catalogo!$A$2:$C$410,2,0)),0,(VLOOKUP(B1237,Catalogo!$A$2:$C$410,2,0)))</f>
        <v>0</v>
      </c>
      <c r="C1237" s="19"/>
      <c r="D1237" s="19"/>
      <c r="E1237" s="19"/>
      <c r="F1237" s="20"/>
      <c r="G1237" s="19"/>
      <c r="H1237" s="19"/>
      <c r="I1237" s="19"/>
      <c r="J1237" s="21"/>
      <c r="K1237" s="19"/>
      <c r="L1237" s="16">
        <f t="shared" si="64"/>
        <v>0</v>
      </c>
      <c r="M1237" s="16" t="str">
        <f t="shared" si="63"/>
        <v/>
      </c>
      <c r="N1237" s="17">
        <f t="shared" si="65"/>
        <v>0</v>
      </c>
    </row>
    <row r="1238" spans="1:14" x14ac:dyDescent="0.2">
      <c r="A1238" s="19">
        <f>IF(ISERROR(VLOOKUP(B1238,Catalogo!$A$2:$C$410,2,0)),0,(VLOOKUP(B1238,Catalogo!$A$2:$C$410,2,0)))</f>
        <v>0</v>
      </c>
      <c r="C1238" s="19"/>
      <c r="D1238" s="19"/>
      <c r="E1238" s="19"/>
      <c r="F1238" s="20"/>
      <c r="G1238" s="19"/>
      <c r="H1238" s="19"/>
      <c r="I1238" s="19"/>
      <c r="J1238" s="21"/>
      <c r="K1238" s="19"/>
      <c r="L1238" s="16">
        <f t="shared" si="64"/>
        <v>0</v>
      </c>
      <c r="M1238" s="16" t="str">
        <f t="shared" si="63"/>
        <v/>
      </c>
      <c r="N1238" s="17">
        <f t="shared" si="65"/>
        <v>0</v>
      </c>
    </row>
    <row r="1239" spans="1:14" x14ac:dyDescent="0.2">
      <c r="A1239" s="19">
        <f>IF(ISERROR(VLOOKUP(B1239,Catalogo!$A$2:$C$410,2,0)),0,(VLOOKUP(B1239,Catalogo!$A$2:$C$410,2,0)))</f>
        <v>0</v>
      </c>
      <c r="C1239" s="19"/>
      <c r="D1239" s="19"/>
      <c r="E1239" s="19"/>
      <c r="F1239" s="20"/>
      <c r="G1239" s="19"/>
      <c r="H1239" s="19"/>
      <c r="I1239" s="19"/>
      <c r="J1239" s="21"/>
      <c r="K1239" s="19"/>
      <c r="L1239" s="16">
        <f t="shared" si="64"/>
        <v>0</v>
      </c>
      <c r="M1239" s="16" t="str">
        <f t="shared" si="63"/>
        <v/>
      </c>
      <c r="N1239" s="17">
        <f t="shared" si="65"/>
        <v>0</v>
      </c>
    </row>
    <row r="1240" spans="1:14" x14ac:dyDescent="0.2">
      <c r="A1240" s="19">
        <f>IF(ISERROR(VLOOKUP(B1240,Catalogo!$A$2:$C$410,2,0)),0,(VLOOKUP(B1240,Catalogo!$A$2:$C$410,2,0)))</f>
        <v>0</v>
      </c>
      <c r="C1240" s="19"/>
      <c r="D1240" s="19"/>
      <c r="E1240" s="19"/>
      <c r="F1240" s="20"/>
      <c r="G1240" s="19"/>
      <c r="H1240" s="19"/>
      <c r="I1240" s="19"/>
      <c r="J1240" s="21"/>
      <c r="K1240" s="19"/>
      <c r="L1240" s="16">
        <f t="shared" si="64"/>
        <v>0</v>
      </c>
      <c r="M1240" s="16" t="str">
        <f t="shared" si="63"/>
        <v/>
      </c>
      <c r="N1240" s="17">
        <f t="shared" si="65"/>
        <v>0</v>
      </c>
    </row>
    <row r="1241" spans="1:14" x14ac:dyDescent="0.2">
      <c r="A1241" s="19">
        <f>IF(ISERROR(VLOOKUP(B1241,Catalogo!$A$2:$C$410,2,0)),0,(VLOOKUP(B1241,Catalogo!$A$2:$C$410,2,0)))</f>
        <v>0</v>
      </c>
      <c r="C1241" s="19"/>
      <c r="D1241" s="19"/>
      <c r="E1241" s="19"/>
      <c r="F1241" s="20"/>
      <c r="G1241" s="19"/>
      <c r="H1241" s="19"/>
      <c r="I1241" s="19"/>
      <c r="J1241" s="21"/>
      <c r="K1241" s="19"/>
      <c r="L1241" s="16">
        <f t="shared" si="64"/>
        <v>0</v>
      </c>
      <c r="M1241" s="16" t="str">
        <f t="shared" si="63"/>
        <v/>
      </c>
      <c r="N1241" s="17">
        <f t="shared" si="65"/>
        <v>0</v>
      </c>
    </row>
    <row r="1242" spans="1:14" x14ac:dyDescent="0.2">
      <c r="A1242" s="19">
        <f>IF(ISERROR(VLOOKUP(B1242,Catalogo!$A$2:$C$410,2,0)),0,(VLOOKUP(B1242,Catalogo!$A$2:$C$410,2,0)))</f>
        <v>0</v>
      </c>
      <c r="C1242" s="19"/>
      <c r="D1242" s="19"/>
      <c r="E1242" s="19"/>
      <c r="F1242" s="20"/>
      <c r="G1242" s="19"/>
      <c r="H1242" s="19"/>
      <c r="I1242" s="19"/>
      <c r="J1242" s="21"/>
      <c r="K1242" s="19"/>
      <c r="L1242" s="16">
        <f t="shared" si="64"/>
        <v>0</v>
      </c>
      <c r="M1242" s="16" t="str">
        <f t="shared" si="63"/>
        <v/>
      </c>
      <c r="N1242" s="17">
        <f t="shared" si="65"/>
        <v>0</v>
      </c>
    </row>
    <row r="1243" spans="1:14" x14ac:dyDescent="0.2">
      <c r="A1243" s="19">
        <f>IF(ISERROR(VLOOKUP(B1243,Catalogo!$A$2:$C$410,2,0)),0,(VLOOKUP(B1243,Catalogo!$A$2:$C$410,2,0)))</f>
        <v>0</v>
      </c>
      <c r="C1243" s="19"/>
      <c r="D1243" s="19"/>
      <c r="E1243" s="19"/>
      <c r="F1243" s="20"/>
      <c r="G1243" s="19"/>
      <c r="H1243" s="19"/>
      <c r="I1243" s="19"/>
      <c r="J1243" s="21"/>
      <c r="K1243" s="19"/>
      <c r="L1243" s="16">
        <f t="shared" si="64"/>
        <v>0</v>
      </c>
      <c r="M1243" s="16" t="str">
        <f t="shared" si="63"/>
        <v/>
      </c>
      <c r="N1243" s="17">
        <f t="shared" si="65"/>
        <v>0</v>
      </c>
    </row>
    <row r="1244" spans="1:14" x14ac:dyDescent="0.2">
      <c r="A1244" s="19">
        <f>IF(ISERROR(VLOOKUP(B1244,Catalogo!$A$2:$C$410,2,0)),0,(VLOOKUP(B1244,Catalogo!$A$2:$C$410,2,0)))</f>
        <v>0</v>
      </c>
      <c r="C1244" s="19"/>
      <c r="D1244" s="19"/>
      <c r="E1244" s="19"/>
      <c r="F1244" s="20"/>
      <c r="G1244" s="19"/>
      <c r="H1244" s="19"/>
      <c r="I1244" s="19"/>
      <c r="J1244" s="21"/>
      <c r="K1244" s="19"/>
      <c r="L1244" s="16">
        <f t="shared" si="64"/>
        <v>0</v>
      </c>
      <c r="M1244" s="16" t="str">
        <f t="shared" si="63"/>
        <v/>
      </c>
      <c r="N1244" s="17">
        <f t="shared" si="65"/>
        <v>0</v>
      </c>
    </row>
    <row r="1245" spans="1:14" x14ac:dyDescent="0.2">
      <c r="A1245" s="19">
        <f>IF(ISERROR(VLOOKUP(B1245,Catalogo!$A$2:$C$410,2,0)),0,(VLOOKUP(B1245,Catalogo!$A$2:$C$410,2,0)))</f>
        <v>0</v>
      </c>
      <c r="C1245" s="19"/>
      <c r="D1245" s="19"/>
      <c r="E1245" s="19"/>
      <c r="F1245" s="20"/>
      <c r="G1245" s="19"/>
      <c r="H1245" s="19"/>
      <c r="I1245" s="19"/>
      <c r="J1245" s="21"/>
      <c r="K1245" s="19"/>
      <c r="L1245" s="16">
        <f t="shared" si="64"/>
        <v>0</v>
      </c>
      <c r="M1245" s="16" t="str">
        <f t="shared" si="63"/>
        <v/>
      </c>
      <c r="N1245" s="17">
        <f t="shared" si="65"/>
        <v>0</v>
      </c>
    </row>
    <row r="1246" spans="1:14" x14ac:dyDescent="0.2">
      <c r="A1246" s="19">
        <f>IF(ISERROR(VLOOKUP(B1246,Catalogo!$A$2:$C$410,2,0)),0,(VLOOKUP(B1246,Catalogo!$A$2:$C$410,2,0)))</f>
        <v>0</v>
      </c>
      <c r="C1246" s="19"/>
      <c r="D1246" s="19"/>
      <c r="E1246" s="19"/>
      <c r="F1246" s="20"/>
      <c r="G1246" s="19"/>
      <c r="H1246" s="19"/>
      <c r="I1246" s="19"/>
      <c r="J1246" s="21"/>
      <c r="K1246" s="19"/>
      <c r="L1246" s="16">
        <f t="shared" si="64"/>
        <v>0</v>
      </c>
      <c r="M1246" s="16" t="str">
        <f t="shared" si="63"/>
        <v/>
      </c>
      <c r="N1246" s="17">
        <f t="shared" si="65"/>
        <v>0</v>
      </c>
    </row>
    <row r="1247" spans="1:14" x14ac:dyDescent="0.2">
      <c r="A1247" s="19">
        <f>IF(ISERROR(VLOOKUP(B1247,Catalogo!$A$2:$C$410,2,0)),0,(VLOOKUP(B1247,Catalogo!$A$2:$C$410,2,0)))</f>
        <v>0</v>
      </c>
      <c r="C1247" s="19"/>
      <c r="D1247" s="19"/>
      <c r="E1247" s="19"/>
      <c r="F1247" s="20"/>
      <c r="G1247" s="19"/>
      <c r="H1247" s="19"/>
      <c r="I1247" s="19"/>
      <c r="J1247" s="21"/>
      <c r="K1247" s="19"/>
      <c r="L1247" s="16">
        <f t="shared" si="64"/>
        <v>0</v>
      </c>
      <c r="M1247" s="16" t="str">
        <f t="shared" si="63"/>
        <v/>
      </c>
      <c r="N1247" s="17">
        <f t="shared" si="65"/>
        <v>0</v>
      </c>
    </row>
    <row r="1248" spans="1:14" x14ac:dyDescent="0.2">
      <c r="A1248" s="19">
        <f>IF(ISERROR(VLOOKUP(B1248,Catalogo!$A$2:$C$410,2,0)),0,(VLOOKUP(B1248,Catalogo!$A$2:$C$410,2,0)))</f>
        <v>0</v>
      </c>
      <c r="C1248" s="19"/>
      <c r="D1248" s="19"/>
      <c r="E1248" s="19"/>
      <c r="F1248" s="20"/>
      <c r="G1248" s="19"/>
      <c r="H1248" s="19"/>
      <c r="I1248" s="19"/>
      <c r="J1248" s="21"/>
      <c r="K1248" s="19"/>
      <c r="L1248" s="16">
        <f t="shared" si="64"/>
        <v>0</v>
      </c>
      <c r="M1248" s="16" t="str">
        <f t="shared" si="63"/>
        <v/>
      </c>
      <c r="N1248" s="17">
        <f t="shared" si="65"/>
        <v>0</v>
      </c>
    </row>
    <row r="1249" spans="1:14" x14ac:dyDescent="0.2">
      <c r="A1249" s="19">
        <f>IF(ISERROR(VLOOKUP(B1249,Catalogo!$A$2:$C$410,2,0)),0,(VLOOKUP(B1249,Catalogo!$A$2:$C$410,2,0)))</f>
        <v>0</v>
      </c>
      <c r="C1249" s="19"/>
      <c r="D1249" s="19"/>
      <c r="E1249" s="19"/>
      <c r="F1249" s="20"/>
      <c r="G1249" s="19"/>
      <c r="H1249" s="19"/>
      <c r="I1249" s="19"/>
      <c r="J1249" s="21"/>
      <c r="K1249" s="19"/>
      <c r="L1249" s="16">
        <f t="shared" si="64"/>
        <v>0</v>
      </c>
      <c r="M1249" s="16" t="str">
        <f t="shared" si="63"/>
        <v/>
      </c>
      <c r="N1249" s="17">
        <f t="shared" si="65"/>
        <v>0</v>
      </c>
    </row>
    <row r="1250" spans="1:14" x14ac:dyDescent="0.2">
      <c r="A1250" s="19">
        <f>IF(ISERROR(VLOOKUP(B1250,Catalogo!$A$2:$C$410,2,0)),0,(VLOOKUP(B1250,Catalogo!$A$2:$C$410,2,0)))</f>
        <v>0</v>
      </c>
      <c r="C1250" s="19"/>
      <c r="D1250" s="19"/>
      <c r="E1250" s="19"/>
      <c r="F1250" s="20"/>
      <c r="G1250" s="19"/>
      <c r="H1250" s="19"/>
      <c r="I1250" s="19"/>
      <c r="J1250" s="21"/>
      <c r="K1250" s="19"/>
      <c r="L1250" s="16">
        <f t="shared" si="64"/>
        <v>0</v>
      </c>
      <c r="M1250" s="16" t="str">
        <f t="shared" si="63"/>
        <v/>
      </c>
      <c r="N1250" s="17">
        <f t="shared" si="65"/>
        <v>0</v>
      </c>
    </row>
    <row r="1251" spans="1:14" x14ac:dyDescent="0.2">
      <c r="A1251" s="19">
        <f>IF(ISERROR(VLOOKUP(B1251,Catalogo!$A$2:$C$410,2,0)),0,(VLOOKUP(B1251,Catalogo!$A$2:$C$410,2,0)))</f>
        <v>0</v>
      </c>
      <c r="C1251" s="19"/>
      <c r="D1251" s="19"/>
      <c r="E1251" s="19"/>
      <c r="F1251" s="20"/>
      <c r="G1251" s="19"/>
      <c r="H1251" s="19"/>
      <c r="I1251" s="19"/>
      <c r="J1251" s="21"/>
      <c r="K1251" s="19"/>
      <c r="L1251" s="16">
        <f t="shared" si="64"/>
        <v>0</v>
      </c>
      <c r="M1251" s="16" t="str">
        <f t="shared" si="63"/>
        <v/>
      </c>
      <c r="N1251" s="17">
        <f t="shared" si="65"/>
        <v>0</v>
      </c>
    </row>
    <row r="1252" spans="1:14" x14ac:dyDescent="0.2">
      <c r="A1252" s="19">
        <f>IF(ISERROR(VLOOKUP(B1252,Catalogo!$A$2:$C$410,2,0)),0,(VLOOKUP(B1252,Catalogo!$A$2:$C$410,2,0)))</f>
        <v>0</v>
      </c>
      <c r="C1252" s="19"/>
      <c r="D1252" s="19"/>
      <c r="E1252" s="19"/>
      <c r="F1252" s="20"/>
      <c r="G1252" s="19"/>
      <c r="H1252" s="19"/>
      <c r="I1252" s="19"/>
      <c r="J1252" s="21"/>
      <c r="K1252" s="19"/>
      <c r="L1252" s="16">
        <f t="shared" si="64"/>
        <v>0</v>
      </c>
      <c r="M1252" s="16" t="str">
        <f t="shared" si="63"/>
        <v/>
      </c>
      <c r="N1252" s="17">
        <f t="shared" si="65"/>
        <v>0</v>
      </c>
    </row>
    <row r="1253" spans="1:14" x14ac:dyDescent="0.2">
      <c r="A1253" s="19">
        <f>IF(ISERROR(VLOOKUP(B1253,Catalogo!$A$2:$C$410,2,0)),0,(VLOOKUP(B1253,Catalogo!$A$2:$C$410,2,0)))</f>
        <v>0</v>
      </c>
      <c r="C1253" s="19"/>
      <c r="D1253" s="19"/>
      <c r="E1253" s="19"/>
      <c r="F1253" s="20"/>
      <c r="G1253" s="19"/>
      <c r="H1253" s="19"/>
      <c r="I1253" s="19"/>
      <c r="J1253" s="21"/>
      <c r="K1253" s="19"/>
      <c r="L1253" s="16">
        <f t="shared" si="64"/>
        <v>0</v>
      </c>
      <c r="M1253" s="16" t="str">
        <f t="shared" si="63"/>
        <v/>
      </c>
      <c r="N1253" s="17">
        <f t="shared" si="65"/>
        <v>0</v>
      </c>
    </row>
    <row r="1254" spans="1:14" x14ac:dyDescent="0.2">
      <c r="A1254" s="19">
        <f>IF(ISERROR(VLOOKUP(B1254,Catalogo!$A$2:$C$410,2,0)),0,(VLOOKUP(B1254,Catalogo!$A$2:$C$410,2,0)))</f>
        <v>0</v>
      </c>
      <c r="C1254" s="19"/>
      <c r="D1254" s="19"/>
      <c r="E1254" s="19"/>
      <c r="F1254" s="20"/>
      <c r="G1254" s="19"/>
      <c r="H1254" s="19"/>
      <c r="I1254" s="19"/>
      <c r="J1254" s="19"/>
      <c r="K1254" s="19"/>
      <c r="L1254" s="16">
        <f t="shared" si="64"/>
        <v>0</v>
      </c>
      <c r="M1254" s="16" t="str">
        <f t="shared" si="63"/>
        <v/>
      </c>
      <c r="N1254" s="17">
        <f t="shared" si="65"/>
        <v>0</v>
      </c>
    </row>
    <row r="1255" spans="1:14" x14ac:dyDescent="0.2">
      <c r="A1255" s="19">
        <f>IF(ISERROR(VLOOKUP(B1255,Catalogo!$A$2:$C$410,2,0)),0,(VLOOKUP(B1255,Catalogo!$A$2:$C$410,2,0)))</f>
        <v>0</v>
      </c>
      <c r="C1255" s="19"/>
      <c r="D1255" s="19"/>
      <c r="E1255" s="19"/>
      <c r="F1255" s="20"/>
      <c r="G1255" s="19"/>
      <c r="H1255" s="19"/>
      <c r="I1255" s="19"/>
      <c r="J1255" s="19"/>
      <c r="K1255" s="19"/>
      <c r="L1255" s="16">
        <f t="shared" si="64"/>
        <v>0</v>
      </c>
      <c r="M1255" s="16" t="str">
        <f t="shared" si="63"/>
        <v/>
      </c>
      <c r="N1255" s="17">
        <f t="shared" si="65"/>
        <v>0</v>
      </c>
    </row>
    <row r="1256" spans="1:14" x14ac:dyDescent="0.2">
      <c r="A1256" s="19">
        <f>IF(ISERROR(VLOOKUP(B1256,Catalogo!$A$2:$C$410,2,0)),0,(VLOOKUP(B1256,Catalogo!$A$2:$C$410,2,0)))</f>
        <v>0</v>
      </c>
      <c r="C1256" s="19"/>
      <c r="D1256" s="19"/>
      <c r="E1256" s="19"/>
      <c r="F1256" s="20"/>
      <c r="G1256" s="19"/>
      <c r="H1256" s="19"/>
      <c r="I1256" s="19"/>
      <c r="J1256" s="19"/>
      <c r="K1256" s="19"/>
      <c r="L1256" s="16">
        <f t="shared" si="64"/>
        <v>0</v>
      </c>
      <c r="M1256" s="16" t="str">
        <f t="shared" si="63"/>
        <v/>
      </c>
      <c r="N1256" s="17">
        <f t="shared" si="65"/>
        <v>0</v>
      </c>
    </row>
    <row r="1257" spans="1:14" x14ac:dyDescent="0.2">
      <c r="A1257" s="19">
        <f>IF(ISERROR(VLOOKUP(B1257,Catalogo!$A$2:$C$410,2,0)),0,(VLOOKUP(B1257,Catalogo!$A$2:$C$410,2,0)))</f>
        <v>0</v>
      </c>
      <c r="C1257" s="19"/>
      <c r="D1257" s="19"/>
      <c r="E1257" s="19"/>
      <c r="F1257" s="20"/>
      <c r="G1257" s="19"/>
      <c r="H1257" s="19"/>
      <c r="I1257" s="19"/>
      <c r="J1257" s="19"/>
      <c r="K1257" s="19"/>
      <c r="L1257" s="16">
        <f t="shared" si="64"/>
        <v>0</v>
      </c>
      <c r="M1257" s="16" t="str">
        <f t="shared" si="63"/>
        <v/>
      </c>
      <c r="N1257" s="17">
        <f t="shared" si="65"/>
        <v>0</v>
      </c>
    </row>
    <row r="1258" spans="1:14" x14ac:dyDescent="0.2">
      <c r="A1258" s="19">
        <f>IF(ISERROR(VLOOKUP(B1258,Catalogo!$A$2:$C$410,2,0)),0,(VLOOKUP(B1258,Catalogo!$A$2:$C$410,2,0)))</f>
        <v>0</v>
      </c>
      <c r="C1258" s="19"/>
      <c r="D1258" s="19"/>
      <c r="E1258" s="19"/>
      <c r="F1258" s="20"/>
      <c r="G1258" s="19"/>
      <c r="H1258" s="19"/>
      <c r="I1258" s="19"/>
      <c r="J1258" s="19"/>
      <c r="K1258" s="19"/>
      <c r="L1258" s="16">
        <f t="shared" si="64"/>
        <v>0</v>
      </c>
      <c r="M1258" s="16" t="str">
        <f t="shared" si="63"/>
        <v/>
      </c>
      <c r="N1258" s="17">
        <f t="shared" si="65"/>
        <v>0</v>
      </c>
    </row>
    <row r="1259" spans="1:14" x14ac:dyDescent="0.2">
      <c r="A1259" s="19">
        <f>IF(ISERROR(VLOOKUP(B1259,Catalogo!$A$2:$C$410,2,0)),0,(VLOOKUP(B1259,Catalogo!$A$2:$C$410,2,0)))</f>
        <v>0</v>
      </c>
      <c r="C1259" s="19"/>
      <c r="D1259" s="19"/>
      <c r="E1259" s="19"/>
      <c r="F1259" s="20"/>
      <c r="G1259" s="19"/>
      <c r="H1259" s="19"/>
      <c r="I1259" s="19"/>
      <c r="J1259" s="19"/>
      <c r="K1259" s="19"/>
      <c r="L1259" s="16">
        <f t="shared" si="64"/>
        <v>0</v>
      </c>
      <c r="M1259" s="16" t="str">
        <f t="shared" si="63"/>
        <v/>
      </c>
      <c r="N1259" s="17">
        <f t="shared" si="65"/>
        <v>0</v>
      </c>
    </row>
    <row r="1260" spans="1:14" x14ac:dyDescent="0.2">
      <c r="A1260" s="19">
        <f>IF(ISERROR(VLOOKUP(B1260,Catalogo!$A$2:$C$410,2,0)),0,(VLOOKUP(B1260,Catalogo!$A$2:$C$410,2,0)))</f>
        <v>0</v>
      </c>
      <c r="C1260" s="19"/>
      <c r="D1260" s="19"/>
      <c r="E1260" s="19"/>
      <c r="F1260" s="20"/>
      <c r="G1260" s="19"/>
      <c r="H1260" s="19"/>
      <c r="I1260" s="19"/>
      <c r="J1260" s="19"/>
      <c r="K1260" s="19"/>
      <c r="L1260" s="16">
        <f t="shared" si="64"/>
        <v>0</v>
      </c>
      <c r="M1260" s="16" t="str">
        <f t="shared" si="63"/>
        <v/>
      </c>
      <c r="N1260" s="17">
        <f t="shared" si="65"/>
        <v>0</v>
      </c>
    </row>
    <row r="1261" spans="1:14" x14ac:dyDescent="0.2">
      <c r="A1261" s="19">
        <f>IF(ISERROR(VLOOKUP(B1261,Catalogo!$A$2:$C$410,2,0)),0,(VLOOKUP(B1261,Catalogo!$A$2:$C$410,2,0)))</f>
        <v>0</v>
      </c>
      <c r="C1261" s="19"/>
      <c r="D1261" s="19"/>
      <c r="E1261" s="19"/>
      <c r="F1261" s="20"/>
      <c r="G1261" s="19"/>
      <c r="H1261" s="19"/>
      <c r="I1261" s="19"/>
      <c r="J1261" s="19"/>
      <c r="K1261" s="19"/>
      <c r="L1261" s="16">
        <f t="shared" si="64"/>
        <v>0</v>
      </c>
      <c r="M1261" s="16" t="str">
        <f t="shared" si="63"/>
        <v/>
      </c>
      <c r="N1261" s="17">
        <f t="shared" si="65"/>
        <v>0</v>
      </c>
    </row>
    <row r="1262" spans="1:14" x14ac:dyDescent="0.2">
      <c r="A1262" s="19">
        <f>IF(ISERROR(VLOOKUP(B1262,Catalogo!$A$2:$C$410,2,0)),0,(VLOOKUP(B1262,Catalogo!$A$2:$C$410,2,0)))</f>
        <v>0</v>
      </c>
      <c r="C1262" s="19"/>
      <c r="D1262" s="19"/>
      <c r="E1262" s="19"/>
      <c r="F1262" s="20"/>
      <c r="G1262" s="19"/>
      <c r="H1262" s="19"/>
      <c r="I1262" s="19"/>
      <c r="J1262" s="19"/>
      <c r="K1262" s="19"/>
      <c r="L1262" s="16">
        <f t="shared" si="64"/>
        <v>0</v>
      </c>
      <c r="M1262" s="16" t="str">
        <f t="shared" si="63"/>
        <v/>
      </c>
      <c r="N1262" s="17">
        <f t="shared" si="65"/>
        <v>0</v>
      </c>
    </row>
    <row r="1263" spans="1:14" x14ac:dyDescent="0.2">
      <c r="A1263" s="19">
        <f>IF(ISERROR(VLOOKUP(B1263,Catalogo!$A$2:$C$410,2,0)),0,(VLOOKUP(B1263,Catalogo!$A$2:$C$410,2,0)))</f>
        <v>0</v>
      </c>
      <c r="C1263" s="19"/>
      <c r="D1263" s="19"/>
      <c r="E1263" s="19"/>
      <c r="F1263" s="20"/>
      <c r="G1263" s="19"/>
      <c r="H1263" s="19"/>
      <c r="I1263" s="19"/>
      <c r="J1263" s="19"/>
      <c r="K1263" s="19"/>
      <c r="L1263" s="16">
        <f t="shared" si="64"/>
        <v>0</v>
      </c>
      <c r="M1263" s="16" t="str">
        <f t="shared" si="63"/>
        <v/>
      </c>
      <c r="N1263" s="17">
        <f t="shared" si="65"/>
        <v>0</v>
      </c>
    </row>
    <row r="1264" spans="1:14" x14ac:dyDescent="0.2">
      <c r="A1264" s="19">
        <f>IF(ISERROR(VLOOKUP(B1264,Catalogo!$A$2:$C$410,2,0)),0,(VLOOKUP(B1264,Catalogo!$A$2:$C$410,2,0)))</f>
        <v>0</v>
      </c>
      <c r="C1264" s="19"/>
      <c r="D1264" s="19"/>
      <c r="E1264" s="19"/>
      <c r="F1264" s="20"/>
      <c r="G1264" s="19"/>
      <c r="H1264" s="19"/>
      <c r="I1264" s="19"/>
      <c r="J1264" s="19"/>
      <c r="K1264" s="19"/>
      <c r="L1264" s="16">
        <f t="shared" si="64"/>
        <v>0</v>
      </c>
      <c r="M1264" s="16" t="str">
        <f t="shared" si="63"/>
        <v/>
      </c>
      <c r="N1264" s="17">
        <f t="shared" si="65"/>
        <v>0</v>
      </c>
    </row>
    <row r="1265" spans="1:14" x14ac:dyDescent="0.2">
      <c r="A1265" s="19">
        <f>IF(ISERROR(VLOOKUP(B1265,Catalogo!$A$2:$C$410,2,0)),0,(VLOOKUP(B1265,Catalogo!$A$2:$C$410,2,0)))</f>
        <v>0</v>
      </c>
      <c r="C1265" s="19"/>
      <c r="D1265" s="19"/>
      <c r="E1265" s="19"/>
      <c r="F1265" s="20"/>
      <c r="G1265" s="19"/>
      <c r="H1265" s="19"/>
      <c r="I1265" s="19"/>
      <c r="J1265" s="19"/>
      <c r="K1265" s="19"/>
      <c r="L1265" s="16">
        <f t="shared" si="64"/>
        <v>0</v>
      </c>
      <c r="M1265" s="16" t="str">
        <f t="shared" si="63"/>
        <v/>
      </c>
      <c r="N1265" s="17">
        <f t="shared" si="65"/>
        <v>0</v>
      </c>
    </row>
    <row r="1266" spans="1:14" x14ac:dyDescent="0.2">
      <c r="A1266" s="19">
        <f>IF(ISERROR(VLOOKUP(B1266,Catalogo!$A$2:$C$410,2,0)),0,(VLOOKUP(B1266,Catalogo!$A$2:$C$410,2,0)))</f>
        <v>0</v>
      </c>
      <c r="C1266" s="19"/>
      <c r="D1266" s="19"/>
      <c r="E1266" s="19"/>
      <c r="F1266" s="20"/>
      <c r="G1266" s="19"/>
      <c r="H1266" s="19"/>
      <c r="I1266" s="19"/>
      <c r="J1266" s="21"/>
      <c r="K1266" s="19"/>
      <c r="L1266" s="16">
        <f t="shared" si="64"/>
        <v>0</v>
      </c>
      <c r="M1266" s="16" t="str">
        <f t="shared" si="63"/>
        <v/>
      </c>
      <c r="N1266" s="17">
        <f t="shared" si="65"/>
        <v>0</v>
      </c>
    </row>
    <row r="1267" spans="1:14" x14ac:dyDescent="0.2">
      <c r="A1267" s="19">
        <f>IF(ISERROR(VLOOKUP(B1267,Catalogo!$A$2:$C$410,2,0)),0,(VLOOKUP(B1267,Catalogo!$A$2:$C$410,2,0)))</f>
        <v>0</v>
      </c>
      <c r="C1267" s="19"/>
      <c r="D1267" s="19"/>
      <c r="E1267" s="19"/>
      <c r="F1267" s="20"/>
      <c r="G1267" s="19"/>
      <c r="H1267" s="19"/>
      <c r="I1267" s="19"/>
      <c r="J1267" s="21"/>
      <c r="K1267" s="19"/>
      <c r="L1267" s="16">
        <f t="shared" si="64"/>
        <v>0</v>
      </c>
      <c r="M1267" s="16" t="str">
        <f t="shared" si="63"/>
        <v/>
      </c>
      <c r="N1267" s="17">
        <f t="shared" si="65"/>
        <v>0</v>
      </c>
    </row>
    <row r="1268" spans="1:14" x14ac:dyDescent="0.2">
      <c r="A1268" s="19">
        <f>IF(ISERROR(VLOOKUP(B1268,Catalogo!$A$2:$C$410,2,0)),0,(VLOOKUP(B1268,Catalogo!$A$2:$C$410,2,0)))</f>
        <v>0</v>
      </c>
      <c r="C1268" s="19"/>
      <c r="D1268" s="19"/>
      <c r="E1268" s="19"/>
      <c r="F1268" s="20"/>
      <c r="G1268" s="19"/>
      <c r="H1268" s="19"/>
      <c r="I1268" s="19"/>
      <c r="J1268" s="21"/>
      <c r="K1268" s="19"/>
      <c r="L1268" s="16">
        <f t="shared" si="64"/>
        <v>0</v>
      </c>
      <c r="M1268" s="16" t="str">
        <f t="shared" si="63"/>
        <v/>
      </c>
      <c r="N1268" s="17">
        <f t="shared" si="65"/>
        <v>0</v>
      </c>
    </row>
    <row r="1269" spans="1:14" x14ac:dyDescent="0.2">
      <c r="A1269" s="19">
        <f>IF(ISERROR(VLOOKUP(B1269,Catalogo!$A$2:$C$410,2,0)),0,(VLOOKUP(B1269,Catalogo!$A$2:$C$410,2,0)))</f>
        <v>0</v>
      </c>
      <c r="C1269" s="19"/>
      <c r="D1269" s="19"/>
      <c r="E1269" s="19"/>
      <c r="F1269" s="20"/>
      <c r="G1269" s="19"/>
      <c r="H1269" s="19"/>
      <c r="I1269" s="19"/>
      <c r="J1269" s="21"/>
      <c r="K1269" s="19"/>
      <c r="L1269" s="16">
        <f t="shared" si="64"/>
        <v>0</v>
      </c>
      <c r="M1269" s="16" t="str">
        <f t="shared" si="63"/>
        <v/>
      </c>
      <c r="N1269" s="17">
        <f t="shared" si="65"/>
        <v>0</v>
      </c>
    </row>
    <row r="1270" spans="1:14" x14ac:dyDescent="0.2">
      <c r="A1270" s="19">
        <f>IF(ISERROR(VLOOKUP(B1270,Catalogo!$A$2:$C$410,2,0)),0,(VLOOKUP(B1270,Catalogo!$A$2:$C$410,2,0)))</f>
        <v>0</v>
      </c>
      <c r="C1270" s="19"/>
      <c r="D1270" s="19"/>
      <c r="E1270" s="19"/>
      <c r="F1270" s="20"/>
      <c r="G1270" s="19"/>
      <c r="H1270" s="19"/>
      <c r="I1270" s="19"/>
      <c r="J1270" s="21"/>
      <c r="K1270" s="19"/>
      <c r="L1270" s="16">
        <f t="shared" si="64"/>
        <v>0</v>
      </c>
      <c r="M1270" s="16" t="str">
        <f t="shared" si="63"/>
        <v/>
      </c>
      <c r="N1270" s="17">
        <f t="shared" si="65"/>
        <v>0</v>
      </c>
    </row>
    <row r="1271" spans="1:14" x14ac:dyDescent="0.2">
      <c r="A1271" s="19">
        <f>IF(ISERROR(VLOOKUP(B1271,Catalogo!$A$2:$C$410,2,0)),0,(VLOOKUP(B1271,Catalogo!$A$2:$C$410,2,0)))</f>
        <v>0</v>
      </c>
      <c r="C1271" s="19"/>
      <c r="D1271" s="19"/>
      <c r="E1271" s="19"/>
      <c r="F1271" s="20"/>
      <c r="G1271" s="19"/>
      <c r="H1271" s="19"/>
      <c r="I1271" s="19"/>
      <c r="J1271" s="21"/>
      <c r="K1271" s="19"/>
      <c r="L1271" s="16">
        <f t="shared" si="64"/>
        <v>0</v>
      </c>
      <c r="M1271" s="16" t="str">
        <f t="shared" si="63"/>
        <v/>
      </c>
      <c r="N1271" s="17">
        <f t="shared" si="65"/>
        <v>0</v>
      </c>
    </row>
    <row r="1272" spans="1:14" x14ac:dyDescent="0.2">
      <c r="A1272" s="19">
        <f>IF(ISERROR(VLOOKUP(B1272,Catalogo!$A$2:$C$410,2,0)),0,(VLOOKUP(B1272,Catalogo!$A$2:$C$410,2,0)))</f>
        <v>0</v>
      </c>
      <c r="C1272" s="19"/>
      <c r="D1272" s="19"/>
      <c r="E1272" s="19"/>
      <c r="F1272" s="20"/>
      <c r="G1272" s="19"/>
      <c r="H1272" s="19"/>
      <c r="I1272" s="19"/>
      <c r="J1272" s="21"/>
      <c r="K1272" s="19"/>
      <c r="L1272" s="16">
        <f t="shared" si="64"/>
        <v>0</v>
      </c>
      <c r="M1272" s="16" t="str">
        <f t="shared" si="63"/>
        <v/>
      </c>
      <c r="N1272" s="17">
        <f t="shared" si="65"/>
        <v>0</v>
      </c>
    </row>
    <row r="1273" spans="1:14" x14ac:dyDescent="0.2">
      <c r="A1273" s="19">
        <f>IF(ISERROR(VLOOKUP(B1273,Catalogo!$A$2:$C$410,2,0)),0,(VLOOKUP(B1273,Catalogo!$A$2:$C$410,2,0)))</f>
        <v>0</v>
      </c>
      <c r="C1273" s="19"/>
      <c r="D1273" s="19"/>
      <c r="E1273" s="19"/>
      <c r="F1273" s="20"/>
      <c r="G1273" s="19"/>
      <c r="H1273" s="19"/>
      <c r="I1273" s="19"/>
      <c r="J1273" s="19"/>
      <c r="K1273" s="19"/>
      <c r="L1273" s="16">
        <f t="shared" si="64"/>
        <v>0</v>
      </c>
      <c r="M1273" s="16" t="str">
        <f t="shared" si="63"/>
        <v/>
      </c>
      <c r="N1273" s="17">
        <f t="shared" si="65"/>
        <v>0</v>
      </c>
    </row>
    <row r="1274" spans="1:14" x14ac:dyDescent="0.2">
      <c r="A1274" s="19">
        <f>IF(ISERROR(VLOOKUP(B1274,Catalogo!$A$2:$C$410,2,0)),0,(VLOOKUP(B1274,Catalogo!$A$2:$C$410,2,0)))</f>
        <v>0</v>
      </c>
      <c r="C1274" s="19"/>
      <c r="D1274" s="19"/>
      <c r="E1274" s="19"/>
      <c r="F1274" s="20"/>
      <c r="G1274" s="19"/>
      <c r="H1274" s="19"/>
      <c r="I1274" s="19"/>
      <c r="J1274" s="21"/>
      <c r="K1274" s="19"/>
      <c r="L1274" s="16">
        <f t="shared" si="64"/>
        <v>0</v>
      </c>
      <c r="M1274" s="16" t="str">
        <f t="shared" si="63"/>
        <v/>
      </c>
      <c r="N1274" s="17">
        <f t="shared" si="65"/>
        <v>0</v>
      </c>
    </row>
    <row r="1275" spans="1:14" x14ac:dyDescent="0.2">
      <c r="A1275" s="19">
        <f>IF(ISERROR(VLOOKUP(B1275,Catalogo!$A$2:$C$410,2,0)),0,(VLOOKUP(B1275,Catalogo!$A$2:$C$410,2,0)))</f>
        <v>0</v>
      </c>
      <c r="C1275" s="19"/>
      <c r="D1275" s="19"/>
      <c r="E1275" s="19"/>
      <c r="F1275" s="20"/>
      <c r="G1275" s="19"/>
      <c r="H1275" s="19"/>
      <c r="I1275" s="19"/>
      <c r="J1275" s="21"/>
      <c r="K1275" s="19"/>
      <c r="L1275" s="16">
        <f t="shared" si="64"/>
        <v>0</v>
      </c>
      <c r="M1275" s="16" t="str">
        <f t="shared" si="63"/>
        <v/>
      </c>
      <c r="N1275" s="17">
        <f t="shared" si="65"/>
        <v>0</v>
      </c>
    </row>
    <row r="1276" spans="1:14" x14ac:dyDescent="0.2">
      <c r="A1276" s="19">
        <f>IF(ISERROR(VLOOKUP(B1276,Catalogo!$A$2:$C$410,2,0)),0,(VLOOKUP(B1276,Catalogo!$A$2:$C$410,2,0)))</f>
        <v>0</v>
      </c>
      <c r="C1276" s="19"/>
      <c r="D1276" s="19"/>
      <c r="E1276" s="19"/>
      <c r="F1276" s="20"/>
      <c r="G1276" s="19"/>
      <c r="H1276" s="19"/>
      <c r="I1276" s="19"/>
      <c r="J1276" s="21"/>
      <c r="K1276" s="19"/>
      <c r="L1276" s="16">
        <f t="shared" si="64"/>
        <v>0</v>
      </c>
      <c r="M1276" s="16" t="str">
        <f t="shared" si="63"/>
        <v/>
      </c>
      <c r="N1276" s="17">
        <f t="shared" si="65"/>
        <v>0</v>
      </c>
    </row>
    <row r="1277" spans="1:14" x14ac:dyDescent="0.2">
      <c r="A1277" s="19">
        <f>IF(ISERROR(VLOOKUP(B1277,Catalogo!$A$2:$C$410,2,0)),0,(VLOOKUP(B1277,Catalogo!$A$2:$C$410,2,0)))</f>
        <v>0</v>
      </c>
      <c r="C1277" s="19"/>
      <c r="D1277" s="19"/>
      <c r="E1277" s="19"/>
      <c r="F1277" s="20"/>
      <c r="G1277" s="19"/>
      <c r="H1277" s="19"/>
      <c r="I1277" s="19"/>
      <c r="J1277" s="21"/>
      <c r="K1277" s="19"/>
      <c r="L1277" s="16">
        <f t="shared" si="64"/>
        <v>0</v>
      </c>
      <c r="M1277" s="16" t="str">
        <f t="shared" si="63"/>
        <v/>
      </c>
      <c r="N1277" s="17">
        <f t="shared" si="65"/>
        <v>0</v>
      </c>
    </row>
    <row r="1278" spans="1:14" x14ac:dyDescent="0.2">
      <c r="A1278" s="19">
        <f>IF(ISERROR(VLOOKUP(B1278,Catalogo!$A$2:$C$410,2,0)),0,(VLOOKUP(B1278,Catalogo!$A$2:$C$410,2,0)))</f>
        <v>0</v>
      </c>
      <c r="C1278" s="19"/>
      <c r="D1278" s="19"/>
      <c r="E1278" s="19"/>
      <c r="F1278" s="20"/>
      <c r="G1278" s="19"/>
      <c r="H1278" s="19"/>
      <c r="I1278" s="19"/>
      <c r="J1278" s="19"/>
      <c r="K1278" s="19"/>
      <c r="L1278" s="16">
        <f t="shared" si="64"/>
        <v>0</v>
      </c>
      <c r="M1278" s="16" t="str">
        <f t="shared" si="63"/>
        <v/>
      </c>
      <c r="N1278" s="17">
        <f t="shared" si="65"/>
        <v>0</v>
      </c>
    </row>
    <row r="1279" spans="1:14" x14ac:dyDescent="0.2">
      <c r="A1279" s="19">
        <f>IF(ISERROR(VLOOKUP(B1279,Catalogo!$A$2:$C$410,2,0)),0,(VLOOKUP(B1279,Catalogo!$A$2:$C$410,2,0)))</f>
        <v>0</v>
      </c>
      <c r="C1279" s="19"/>
      <c r="D1279" s="19"/>
      <c r="E1279" s="19"/>
      <c r="F1279" s="20"/>
      <c r="G1279" s="19"/>
      <c r="H1279" s="19"/>
      <c r="I1279" s="19"/>
      <c r="J1279" s="21"/>
      <c r="K1279" s="19"/>
      <c r="L1279" s="16">
        <f t="shared" si="64"/>
        <v>0</v>
      </c>
      <c r="M1279" s="16" t="str">
        <f t="shared" si="63"/>
        <v/>
      </c>
      <c r="N1279" s="17">
        <f t="shared" si="65"/>
        <v>0</v>
      </c>
    </row>
    <row r="1280" spans="1:14" x14ac:dyDescent="0.2">
      <c r="A1280" s="19">
        <f>IF(ISERROR(VLOOKUP(B1280,Catalogo!$A$2:$C$410,2,0)),0,(VLOOKUP(B1280,Catalogo!$A$2:$C$410,2,0)))</f>
        <v>0</v>
      </c>
      <c r="C1280" s="19"/>
      <c r="D1280" s="19"/>
      <c r="E1280" s="19"/>
      <c r="F1280" s="20"/>
      <c r="G1280" s="19"/>
      <c r="H1280" s="19"/>
      <c r="I1280" s="19"/>
      <c r="J1280" s="21"/>
      <c r="K1280" s="19"/>
      <c r="L1280" s="16">
        <f t="shared" si="64"/>
        <v>0</v>
      </c>
      <c r="M1280" s="16" t="str">
        <f t="shared" ref="M1280:M1296" si="66">LEFT(E1280,1)</f>
        <v/>
      </c>
      <c r="N1280" s="17">
        <f t="shared" si="65"/>
        <v>0</v>
      </c>
    </row>
    <row r="1281" spans="1:14" x14ac:dyDescent="0.2">
      <c r="A1281" s="19">
        <f>IF(ISERROR(VLOOKUP(B1281,Catalogo!$A$2:$C$410,2,0)),0,(VLOOKUP(B1281,Catalogo!$A$2:$C$410,2,0)))</f>
        <v>0</v>
      </c>
      <c r="C1281" s="19"/>
      <c r="D1281" s="19"/>
      <c r="E1281" s="19"/>
      <c r="F1281" s="20"/>
      <c r="G1281" s="19"/>
      <c r="H1281" s="19"/>
      <c r="I1281" s="19"/>
      <c r="J1281" s="21"/>
      <c r="K1281" s="19"/>
      <c r="L1281" s="16">
        <f t="shared" si="64"/>
        <v>0</v>
      </c>
      <c r="M1281" s="16" t="str">
        <f t="shared" si="66"/>
        <v/>
      </c>
      <c r="N1281" s="17">
        <f t="shared" si="65"/>
        <v>0</v>
      </c>
    </row>
    <row r="1282" spans="1:14" x14ac:dyDescent="0.2">
      <c r="A1282" s="19">
        <f>IF(ISERROR(VLOOKUP(B1282,Catalogo!$A$2:$C$410,2,0)),0,(VLOOKUP(B1282,Catalogo!$A$2:$C$410,2,0)))</f>
        <v>0</v>
      </c>
      <c r="C1282" s="19"/>
      <c r="D1282" s="19"/>
      <c r="E1282" s="19"/>
      <c r="F1282" s="20"/>
      <c r="G1282" s="19"/>
      <c r="H1282" s="19"/>
      <c r="I1282" s="19"/>
      <c r="J1282" s="21"/>
      <c r="K1282" s="19"/>
      <c r="L1282" s="16">
        <f t="shared" ref="L1282:L1296" si="67">IF(A1282="Record Keeping",B1282,0)</f>
        <v>0</v>
      </c>
      <c r="M1282" s="16" t="str">
        <f t="shared" si="66"/>
        <v/>
      </c>
      <c r="N1282" s="17">
        <f t="shared" ref="N1282:N1296" si="68">IF(G1282="CAN",F1282*0,IF(M1282="R",F1282*-1,F1282*1)*AND(A1282="Record Keeping"))</f>
        <v>0</v>
      </c>
    </row>
    <row r="1283" spans="1:14" x14ac:dyDescent="0.2">
      <c r="A1283" s="19">
        <f>IF(ISERROR(VLOOKUP(B1283,Catalogo!$A$2:$C$410,2,0)),0,(VLOOKUP(B1283,Catalogo!$A$2:$C$410,2,0)))</f>
        <v>0</v>
      </c>
      <c r="C1283" s="19"/>
      <c r="D1283" s="19"/>
      <c r="E1283" s="19"/>
      <c r="F1283" s="20"/>
      <c r="G1283" s="19"/>
      <c r="H1283" s="19"/>
      <c r="I1283" s="19"/>
      <c r="J1283" s="21"/>
      <c r="K1283" s="19"/>
      <c r="L1283" s="16">
        <f t="shared" si="67"/>
        <v>0</v>
      </c>
      <c r="M1283" s="16" t="str">
        <f t="shared" si="66"/>
        <v/>
      </c>
      <c r="N1283" s="17">
        <f t="shared" si="68"/>
        <v>0</v>
      </c>
    </row>
    <row r="1284" spans="1:14" x14ac:dyDescent="0.2">
      <c r="A1284" s="19">
        <f>IF(ISERROR(VLOOKUP(B1284,Catalogo!$A$2:$C$410,2,0)),0,(VLOOKUP(B1284,Catalogo!$A$2:$C$410,2,0)))</f>
        <v>0</v>
      </c>
      <c r="C1284" s="19"/>
      <c r="D1284" s="19"/>
      <c r="E1284" s="19"/>
      <c r="F1284" s="20"/>
      <c r="G1284" s="19"/>
      <c r="H1284" s="19"/>
      <c r="I1284" s="19"/>
      <c r="J1284" s="19"/>
      <c r="K1284" s="19"/>
      <c r="L1284" s="16">
        <f t="shared" si="67"/>
        <v>0</v>
      </c>
      <c r="M1284" s="16" t="str">
        <f t="shared" si="66"/>
        <v/>
      </c>
      <c r="N1284" s="17">
        <f t="shared" si="68"/>
        <v>0</v>
      </c>
    </row>
    <row r="1285" spans="1:14" x14ac:dyDescent="0.2">
      <c r="A1285" s="19">
        <f>IF(ISERROR(VLOOKUP(B1285,Catalogo!$A$2:$C$410,2,0)),0,(VLOOKUP(B1285,Catalogo!$A$2:$C$410,2,0)))</f>
        <v>0</v>
      </c>
      <c r="C1285" s="19"/>
      <c r="D1285" s="19"/>
      <c r="E1285" s="19"/>
      <c r="F1285" s="20"/>
      <c r="G1285" s="19"/>
      <c r="H1285" s="19"/>
      <c r="I1285" s="19"/>
      <c r="J1285" s="21"/>
      <c r="K1285" s="19"/>
      <c r="L1285" s="16">
        <f t="shared" si="67"/>
        <v>0</v>
      </c>
      <c r="M1285" s="16" t="str">
        <f t="shared" si="66"/>
        <v/>
      </c>
      <c r="N1285" s="17">
        <f t="shared" si="68"/>
        <v>0</v>
      </c>
    </row>
    <row r="1286" spans="1:14" x14ac:dyDescent="0.2">
      <c r="A1286" s="19">
        <f>IF(ISERROR(VLOOKUP(B1286,Catalogo!$A$2:$C$410,2,0)),0,(VLOOKUP(B1286,Catalogo!$A$2:$C$410,2,0)))</f>
        <v>0</v>
      </c>
      <c r="C1286" s="19"/>
      <c r="D1286" s="19"/>
      <c r="E1286" s="19"/>
      <c r="F1286" s="20"/>
      <c r="G1286" s="19"/>
      <c r="H1286" s="19"/>
      <c r="I1286" s="19"/>
      <c r="J1286" s="21"/>
      <c r="K1286" s="19"/>
      <c r="L1286" s="16">
        <f t="shared" si="67"/>
        <v>0</v>
      </c>
      <c r="M1286" s="16" t="str">
        <f t="shared" si="66"/>
        <v/>
      </c>
      <c r="N1286" s="17">
        <f t="shared" si="68"/>
        <v>0</v>
      </c>
    </row>
    <row r="1287" spans="1:14" x14ac:dyDescent="0.2">
      <c r="A1287" s="19">
        <f>IF(ISERROR(VLOOKUP(B1287,Catalogo!$A$2:$C$410,2,0)),0,(VLOOKUP(B1287,Catalogo!$A$2:$C$410,2,0)))</f>
        <v>0</v>
      </c>
      <c r="C1287" s="19"/>
      <c r="D1287" s="19"/>
      <c r="E1287" s="19"/>
      <c r="F1287" s="20"/>
      <c r="G1287" s="19"/>
      <c r="H1287" s="19"/>
      <c r="I1287" s="19"/>
      <c r="J1287" s="21"/>
      <c r="K1287" s="19"/>
      <c r="L1287" s="16">
        <f t="shared" si="67"/>
        <v>0</v>
      </c>
      <c r="M1287" s="16" t="str">
        <f t="shared" si="66"/>
        <v/>
      </c>
      <c r="N1287" s="17">
        <f t="shared" si="68"/>
        <v>0</v>
      </c>
    </row>
    <row r="1288" spans="1:14" x14ac:dyDescent="0.2">
      <c r="A1288" s="19">
        <f>IF(ISERROR(VLOOKUP(B1288,Catalogo!$A$2:$C$410,2,0)),0,(VLOOKUP(B1288,Catalogo!$A$2:$C$410,2,0)))</f>
        <v>0</v>
      </c>
      <c r="C1288" s="19"/>
      <c r="D1288" s="19"/>
      <c r="E1288" s="19"/>
      <c r="F1288" s="20"/>
      <c r="G1288" s="19"/>
      <c r="H1288" s="19"/>
      <c r="I1288" s="19"/>
      <c r="J1288" s="21"/>
      <c r="K1288" s="19"/>
      <c r="L1288" s="16">
        <f t="shared" si="67"/>
        <v>0</v>
      </c>
      <c r="M1288" s="16" t="str">
        <f t="shared" si="66"/>
        <v/>
      </c>
      <c r="N1288" s="17">
        <f t="shared" si="68"/>
        <v>0</v>
      </c>
    </row>
    <row r="1289" spans="1:14" x14ac:dyDescent="0.2">
      <c r="A1289" s="19">
        <f>IF(ISERROR(VLOOKUP(B1289,Catalogo!$A$2:$C$410,2,0)),0,(VLOOKUP(B1289,Catalogo!$A$2:$C$410,2,0)))</f>
        <v>0</v>
      </c>
      <c r="C1289" s="19"/>
      <c r="D1289" s="19"/>
      <c r="E1289" s="19"/>
      <c r="F1289" s="20"/>
      <c r="G1289" s="19"/>
      <c r="H1289" s="19"/>
      <c r="I1289" s="19"/>
      <c r="J1289" s="21"/>
      <c r="K1289" s="19"/>
      <c r="L1289" s="16">
        <f t="shared" si="67"/>
        <v>0</v>
      </c>
      <c r="M1289" s="16" t="str">
        <f t="shared" si="66"/>
        <v/>
      </c>
      <c r="N1289" s="17">
        <f t="shared" si="68"/>
        <v>0</v>
      </c>
    </row>
    <row r="1290" spans="1:14" x14ac:dyDescent="0.2">
      <c r="A1290" s="19">
        <f>IF(ISERROR(VLOOKUP(B1290,Catalogo!$A$2:$C$410,2,0)),0,(VLOOKUP(B1290,Catalogo!$A$2:$C$410,2,0)))</f>
        <v>0</v>
      </c>
      <c r="C1290" s="19"/>
      <c r="D1290" s="19"/>
      <c r="E1290" s="19"/>
      <c r="F1290" s="20"/>
      <c r="G1290" s="19"/>
      <c r="H1290" s="19"/>
      <c r="I1290" s="19"/>
      <c r="J1290" s="21"/>
      <c r="K1290" s="19"/>
      <c r="L1290" s="16">
        <f t="shared" si="67"/>
        <v>0</v>
      </c>
      <c r="M1290" s="16" t="str">
        <f t="shared" si="66"/>
        <v/>
      </c>
      <c r="N1290" s="17">
        <f t="shared" si="68"/>
        <v>0</v>
      </c>
    </row>
    <row r="1291" spans="1:14" x14ac:dyDescent="0.2">
      <c r="A1291" s="19">
        <f>IF(ISERROR(VLOOKUP(B1291,Catalogo!$A$2:$C$410,2,0)),0,(VLOOKUP(B1291,Catalogo!$A$2:$C$410,2,0)))</f>
        <v>0</v>
      </c>
      <c r="C1291" s="19"/>
      <c r="D1291" s="19"/>
      <c r="E1291" s="19"/>
      <c r="F1291" s="20"/>
      <c r="G1291" s="19"/>
      <c r="H1291" s="19"/>
      <c r="I1291" s="19"/>
      <c r="J1291" s="21"/>
      <c r="K1291" s="19"/>
      <c r="L1291" s="16">
        <f t="shared" si="67"/>
        <v>0</v>
      </c>
      <c r="M1291" s="16" t="str">
        <f t="shared" si="66"/>
        <v/>
      </c>
      <c r="N1291" s="17">
        <f t="shared" si="68"/>
        <v>0</v>
      </c>
    </row>
    <row r="1292" spans="1:14" x14ac:dyDescent="0.2">
      <c r="A1292" s="19">
        <f>IF(ISERROR(VLOOKUP(B1292,Catalogo!$A$2:$C$410,2,0)),0,(VLOOKUP(B1292,Catalogo!$A$2:$C$410,2,0)))</f>
        <v>0</v>
      </c>
      <c r="C1292" s="19"/>
      <c r="D1292" s="19"/>
      <c r="E1292" s="19"/>
      <c r="F1292" s="20"/>
      <c r="G1292" s="19"/>
      <c r="H1292" s="19"/>
      <c r="I1292" s="19"/>
      <c r="J1292" s="21"/>
      <c r="K1292" s="19"/>
      <c r="L1292" s="16">
        <f t="shared" si="67"/>
        <v>0</v>
      </c>
      <c r="M1292" s="16" t="str">
        <f t="shared" si="66"/>
        <v/>
      </c>
      <c r="N1292" s="17">
        <f t="shared" si="68"/>
        <v>0</v>
      </c>
    </row>
    <row r="1293" spans="1:14" x14ac:dyDescent="0.2">
      <c r="A1293" s="19">
        <f>IF(ISERROR(VLOOKUP(B1293,Catalogo!$A$2:$C$410,2,0)),0,(VLOOKUP(B1293,Catalogo!$A$2:$C$410,2,0)))</f>
        <v>0</v>
      </c>
      <c r="C1293" s="19"/>
      <c r="D1293" s="19"/>
      <c r="E1293" s="19"/>
      <c r="F1293" s="20"/>
      <c r="G1293" s="19"/>
      <c r="H1293" s="19"/>
      <c r="I1293" s="19"/>
      <c r="J1293" s="21"/>
      <c r="K1293" s="19"/>
      <c r="L1293" s="16">
        <f t="shared" si="67"/>
        <v>0</v>
      </c>
      <c r="M1293" s="16" t="str">
        <f t="shared" si="66"/>
        <v/>
      </c>
      <c r="N1293" s="17">
        <f t="shared" si="68"/>
        <v>0</v>
      </c>
    </row>
    <row r="1294" spans="1:14" x14ac:dyDescent="0.2">
      <c r="A1294" s="19">
        <f>IF(ISERROR(VLOOKUP(B1294,Catalogo!$A$2:$C$410,2,0)),0,(VLOOKUP(B1294,Catalogo!$A$2:$C$410,2,0)))</f>
        <v>0</v>
      </c>
      <c r="C1294" s="19"/>
      <c r="D1294" s="19"/>
      <c r="E1294" s="19"/>
      <c r="F1294" s="20"/>
      <c r="G1294" s="19"/>
      <c r="H1294" s="19"/>
      <c r="I1294" s="19"/>
      <c r="J1294" s="21"/>
      <c r="K1294" s="19"/>
      <c r="L1294" s="16">
        <f t="shared" si="67"/>
        <v>0</v>
      </c>
      <c r="M1294" s="16" t="str">
        <f t="shared" si="66"/>
        <v/>
      </c>
      <c r="N1294" s="17">
        <f t="shared" si="68"/>
        <v>0</v>
      </c>
    </row>
    <row r="1295" spans="1:14" x14ac:dyDescent="0.2">
      <c r="A1295" s="19">
        <f>IF(ISERROR(VLOOKUP(B1295,Catalogo!$A$2:$C$410,2,0)),0,(VLOOKUP(B1295,Catalogo!$A$2:$C$410,2,0)))</f>
        <v>0</v>
      </c>
      <c r="C1295" s="19"/>
      <c r="D1295" s="19"/>
      <c r="E1295" s="19"/>
      <c r="F1295" s="20"/>
      <c r="G1295" s="19"/>
      <c r="H1295" s="19"/>
      <c r="I1295" s="19"/>
      <c r="J1295" s="21"/>
      <c r="K1295" s="19"/>
      <c r="L1295" s="16">
        <f t="shared" si="67"/>
        <v>0</v>
      </c>
      <c r="M1295" s="16" t="str">
        <f t="shared" si="66"/>
        <v/>
      </c>
      <c r="N1295" s="17">
        <f t="shared" si="68"/>
        <v>0</v>
      </c>
    </row>
    <row r="1296" spans="1:14" x14ac:dyDescent="0.2">
      <c r="A1296" s="19">
        <f>IF(ISERROR(VLOOKUP(B1296,Catalogo!$A$2:$C$410,2,0)),0,(VLOOKUP(B1296,Catalogo!$A$2:$C$410,2,0)))</f>
        <v>0</v>
      </c>
      <c r="C1296" s="19"/>
      <c r="D1296" s="19"/>
      <c r="E1296" s="19"/>
      <c r="F1296" s="20"/>
      <c r="G1296" s="19"/>
      <c r="H1296" s="19"/>
      <c r="I1296" s="19"/>
      <c r="J1296" s="21"/>
      <c r="K1296" s="19"/>
      <c r="L1296" s="16">
        <f t="shared" si="67"/>
        <v>0</v>
      </c>
      <c r="M1296" s="16" t="str">
        <f t="shared" si="66"/>
        <v/>
      </c>
      <c r="N1296" s="17">
        <f t="shared" si="68"/>
        <v>0</v>
      </c>
    </row>
    <row r="1297" spans="3:11" x14ac:dyDescent="0.2">
      <c r="C1297" s="19"/>
      <c r="D1297" s="19"/>
      <c r="E1297" s="19"/>
      <c r="F1297" s="20"/>
      <c r="G1297" s="19"/>
      <c r="H1297" s="19"/>
      <c r="I1297" s="19"/>
      <c r="J1297" s="21"/>
      <c r="K1297" s="19"/>
    </row>
    <row r="1298" spans="3:11" x14ac:dyDescent="0.2">
      <c r="C1298" s="19"/>
      <c r="D1298" s="19"/>
      <c r="E1298" s="19"/>
      <c r="F1298" s="20"/>
      <c r="G1298" s="19"/>
      <c r="H1298" s="19"/>
      <c r="I1298" s="19"/>
      <c r="J1298" s="21"/>
      <c r="K1298" s="19"/>
    </row>
    <row r="1299" spans="3:11" x14ac:dyDescent="0.2">
      <c r="C1299" s="19"/>
      <c r="D1299" s="19"/>
      <c r="E1299" s="19"/>
      <c r="F1299" s="20"/>
      <c r="G1299" s="19"/>
      <c r="H1299" s="19"/>
      <c r="I1299" s="19"/>
      <c r="J1299" s="21"/>
      <c r="K1299" s="19"/>
    </row>
    <row r="1300" spans="3:11" x14ac:dyDescent="0.2">
      <c r="C1300" s="19"/>
      <c r="D1300" s="19"/>
      <c r="E1300" s="19"/>
      <c r="F1300" s="20"/>
      <c r="G1300" s="19"/>
      <c r="H1300" s="19"/>
      <c r="I1300" s="19"/>
      <c r="J1300" s="21"/>
      <c r="K1300" s="19"/>
    </row>
    <row r="1301" spans="3:11" x14ac:dyDescent="0.2">
      <c r="C1301" s="19"/>
      <c r="D1301" s="19"/>
      <c r="E1301" s="19"/>
      <c r="F1301" s="20"/>
      <c r="G1301" s="19"/>
      <c r="H1301" s="19"/>
      <c r="I1301" s="19"/>
      <c r="J1301" s="21"/>
      <c r="K1301" s="19"/>
    </row>
    <row r="1302" spans="3:11" x14ac:dyDescent="0.2">
      <c r="C1302" s="19"/>
      <c r="D1302" s="19"/>
      <c r="E1302" s="19"/>
      <c r="F1302" s="20"/>
      <c r="G1302" s="19"/>
      <c r="H1302" s="19"/>
      <c r="I1302" s="19"/>
      <c r="J1302" s="21"/>
      <c r="K1302" s="19"/>
    </row>
    <row r="1303" spans="3:11" x14ac:dyDescent="0.2">
      <c r="C1303" s="19"/>
      <c r="D1303" s="19"/>
      <c r="E1303" s="19"/>
      <c r="F1303" s="20"/>
      <c r="G1303" s="19"/>
      <c r="H1303" s="19"/>
      <c r="I1303" s="19"/>
      <c r="J1303" s="21"/>
      <c r="K1303" s="19"/>
    </row>
    <row r="1304" spans="3:11" x14ac:dyDescent="0.2">
      <c r="C1304" s="19"/>
      <c r="D1304" s="19"/>
      <c r="E1304" s="19"/>
      <c r="F1304" s="20"/>
      <c r="G1304" s="19"/>
      <c r="H1304" s="19"/>
      <c r="I1304" s="19"/>
      <c r="J1304" s="19"/>
      <c r="K1304" s="19"/>
    </row>
    <row r="1305" spans="3:11" x14ac:dyDescent="0.2">
      <c r="C1305" s="19"/>
      <c r="D1305" s="19"/>
      <c r="E1305" s="19"/>
      <c r="F1305" s="20"/>
      <c r="G1305" s="19"/>
      <c r="H1305" s="19"/>
      <c r="I1305" s="19"/>
      <c r="J1305" s="21"/>
      <c r="K1305" s="19"/>
    </row>
    <row r="1306" spans="3:11" x14ac:dyDescent="0.2">
      <c r="C1306" s="19"/>
      <c r="D1306" s="19"/>
      <c r="E1306" s="19"/>
      <c r="F1306" s="20"/>
      <c r="G1306" s="19"/>
      <c r="H1306" s="19"/>
      <c r="I1306" s="19"/>
      <c r="J1306" s="21"/>
      <c r="K1306" s="19"/>
    </row>
    <row r="1307" spans="3:11" x14ac:dyDescent="0.2">
      <c r="C1307" s="19"/>
      <c r="D1307" s="19"/>
      <c r="E1307" s="19"/>
      <c r="F1307" s="20"/>
      <c r="G1307" s="19"/>
      <c r="H1307" s="19"/>
      <c r="I1307" s="19"/>
      <c r="J1307" s="21"/>
      <c r="K1307" s="19"/>
    </row>
    <row r="1308" spans="3:11" x14ac:dyDescent="0.2">
      <c r="C1308" s="19"/>
      <c r="D1308" s="19"/>
      <c r="E1308" s="19"/>
      <c r="F1308" s="20"/>
      <c r="G1308" s="19"/>
      <c r="H1308" s="19"/>
      <c r="I1308" s="19"/>
      <c r="J1308" s="21"/>
      <c r="K1308" s="19"/>
    </row>
    <row r="1309" spans="3:11" x14ac:dyDescent="0.2">
      <c r="C1309" s="19"/>
      <c r="D1309" s="19"/>
      <c r="E1309" s="19"/>
      <c r="F1309" s="20"/>
      <c r="G1309" s="19"/>
      <c r="H1309" s="19"/>
      <c r="I1309" s="19"/>
      <c r="J1309" s="21"/>
      <c r="K1309" s="19"/>
    </row>
    <row r="1310" spans="3:11" x14ac:dyDescent="0.2">
      <c r="C1310" s="19"/>
      <c r="D1310" s="19"/>
      <c r="E1310" s="19"/>
      <c r="F1310" s="20"/>
      <c r="G1310" s="19"/>
      <c r="H1310" s="19"/>
      <c r="I1310" s="19"/>
      <c r="J1310" s="21"/>
      <c r="K1310" s="19"/>
    </row>
    <row r="1311" spans="3:11" x14ac:dyDescent="0.2">
      <c r="C1311" s="19"/>
      <c r="D1311" s="19"/>
      <c r="E1311" s="19"/>
      <c r="F1311" s="20"/>
      <c r="G1311" s="19"/>
      <c r="H1311" s="19"/>
      <c r="I1311" s="19"/>
      <c r="J1311" s="21"/>
      <c r="K1311" s="19"/>
    </row>
    <row r="1312" spans="3:11" x14ac:dyDescent="0.2">
      <c r="C1312" s="19"/>
      <c r="D1312" s="19"/>
      <c r="E1312" s="19"/>
      <c r="F1312" s="20"/>
      <c r="G1312" s="19"/>
      <c r="H1312" s="19"/>
      <c r="I1312" s="19"/>
      <c r="J1312" s="21"/>
      <c r="K1312" s="19"/>
    </row>
    <row r="1313" spans="3:11" x14ac:dyDescent="0.2">
      <c r="C1313" s="19"/>
      <c r="D1313" s="19"/>
      <c r="E1313" s="19"/>
      <c r="F1313" s="20"/>
      <c r="G1313" s="19"/>
      <c r="H1313" s="19"/>
      <c r="I1313" s="19"/>
      <c r="J1313" s="21"/>
      <c r="K1313" s="19"/>
    </row>
    <row r="1314" spans="3:11" x14ac:dyDescent="0.2">
      <c r="C1314" s="19"/>
      <c r="D1314" s="19"/>
      <c r="E1314" s="19"/>
      <c r="F1314" s="20"/>
      <c r="G1314" s="19"/>
      <c r="H1314" s="19"/>
      <c r="I1314" s="19"/>
      <c r="J1314" s="19"/>
      <c r="K1314" s="19"/>
    </row>
    <row r="1315" spans="3:11" x14ac:dyDescent="0.2">
      <c r="C1315" s="19"/>
      <c r="D1315" s="19"/>
      <c r="E1315" s="19"/>
      <c r="F1315" s="20"/>
      <c r="G1315" s="19"/>
      <c r="H1315" s="19"/>
      <c r="I1315" s="19"/>
      <c r="J1315" s="21"/>
      <c r="K1315" s="19"/>
    </row>
    <row r="1316" spans="3:11" x14ac:dyDescent="0.2">
      <c r="C1316" s="19"/>
      <c r="D1316" s="19"/>
      <c r="E1316" s="19"/>
      <c r="F1316" s="20"/>
      <c r="G1316" s="19"/>
      <c r="H1316" s="19"/>
      <c r="I1316" s="19"/>
      <c r="J1316" s="21"/>
      <c r="K1316" s="19"/>
    </row>
    <row r="1317" spans="3:11" x14ac:dyDescent="0.2">
      <c r="C1317" s="19"/>
      <c r="D1317" s="19"/>
      <c r="E1317" s="19"/>
      <c r="F1317" s="20"/>
      <c r="G1317" s="19"/>
      <c r="H1317" s="19"/>
      <c r="I1317" s="19"/>
      <c r="J1317" s="21"/>
      <c r="K1317" s="19"/>
    </row>
    <row r="1318" spans="3:11" x14ac:dyDescent="0.2">
      <c r="C1318" s="19"/>
      <c r="D1318" s="19"/>
      <c r="E1318" s="19"/>
      <c r="F1318" s="20"/>
      <c r="G1318" s="19"/>
      <c r="H1318" s="19"/>
      <c r="I1318" s="19"/>
      <c r="J1318" s="21"/>
      <c r="K1318" s="19"/>
    </row>
    <row r="1319" spans="3:11" x14ac:dyDescent="0.2">
      <c r="C1319" s="19"/>
      <c r="D1319" s="19"/>
      <c r="E1319" s="19"/>
      <c r="F1319" s="20"/>
      <c r="G1319" s="19"/>
      <c r="H1319" s="19"/>
      <c r="I1319" s="19"/>
      <c r="J1319" s="21"/>
      <c r="K1319" s="19"/>
    </row>
    <row r="1320" spans="3:11" x14ac:dyDescent="0.2">
      <c r="C1320" s="19"/>
      <c r="D1320" s="19"/>
      <c r="E1320" s="19"/>
      <c r="F1320" s="20"/>
      <c r="G1320" s="19"/>
      <c r="H1320" s="19"/>
      <c r="I1320" s="19"/>
      <c r="J1320" s="21"/>
      <c r="K1320" s="19"/>
    </row>
    <row r="1321" spans="3:11" x14ac:dyDescent="0.2">
      <c r="C1321" s="19"/>
      <c r="D1321" s="19"/>
      <c r="E1321" s="19"/>
      <c r="F1321" s="20"/>
      <c r="G1321" s="19"/>
      <c r="H1321" s="19"/>
      <c r="I1321" s="19"/>
      <c r="J1321" s="21"/>
      <c r="K1321" s="19"/>
    </row>
    <row r="1322" spans="3:11" x14ac:dyDescent="0.2">
      <c r="C1322" s="19"/>
      <c r="D1322" s="19"/>
      <c r="E1322" s="19"/>
      <c r="F1322" s="20"/>
      <c r="G1322" s="19"/>
      <c r="H1322" s="19"/>
      <c r="I1322" s="19"/>
      <c r="J1322" s="21"/>
      <c r="K1322" s="19"/>
    </row>
    <row r="1323" spans="3:11" x14ac:dyDescent="0.2">
      <c r="C1323" s="19"/>
      <c r="D1323" s="19"/>
      <c r="E1323" s="19"/>
      <c r="F1323" s="20"/>
      <c r="G1323" s="19"/>
      <c r="H1323" s="19"/>
      <c r="I1323" s="19"/>
      <c r="J1323" s="21"/>
      <c r="K1323" s="19"/>
    </row>
    <row r="1324" spans="3:11" x14ac:dyDescent="0.2">
      <c r="C1324" s="19"/>
      <c r="D1324" s="19"/>
      <c r="E1324" s="19"/>
      <c r="F1324" s="20"/>
      <c r="G1324" s="19"/>
      <c r="H1324" s="19"/>
      <c r="I1324" s="19"/>
      <c r="J1324" s="21"/>
      <c r="K1324" s="19"/>
    </row>
    <row r="1325" spans="3:11" x14ac:dyDescent="0.2">
      <c r="C1325" s="19"/>
      <c r="D1325" s="19"/>
      <c r="E1325" s="19"/>
      <c r="F1325" s="20"/>
      <c r="G1325" s="19"/>
      <c r="H1325" s="19"/>
      <c r="I1325" s="19"/>
      <c r="J1325" s="21"/>
      <c r="K1325" s="19"/>
    </row>
    <row r="1326" spans="3:11" x14ac:dyDescent="0.2">
      <c r="C1326" s="19"/>
      <c r="D1326" s="19"/>
      <c r="E1326" s="19"/>
      <c r="F1326" s="20"/>
      <c r="G1326" s="19"/>
      <c r="H1326" s="19"/>
      <c r="I1326" s="19"/>
      <c r="J1326" s="21"/>
      <c r="K1326" s="19"/>
    </row>
    <row r="1327" spans="3:11" x14ac:dyDescent="0.2">
      <c r="C1327" s="19"/>
      <c r="D1327" s="19"/>
      <c r="E1327" s="19"/>
      <c r="F1327" s="20"/>
      <c r="G1327" s="19"/>
      <c r="H1327" s="19"/>
      <c r="I1327" s="19"/>
      <c r="J1327" s="21"/>
      <c r="K1327" s="19"/>
    </row>
    <row r="1328" spans="3:11" x14ac:dyDescent="0.2">
      <c r="C1328" s="19"/>
      <c r="D1328" s="19"/>
      <c r="E1328" s="19"/>
      <c r="F1328" s="20"/>
      <c r="G1328" s="19"/>
      <c r="H1328" s="19"/>
      <c r="I1328" s="19"/>
      <c r="J1328" s="21"/>
      <c r="K1328" s="19"/>
    </row>
    <row r="1329" spans="3:11" x14ac:dyDescent="0.2">
      <c r="C1329" s="19"/>
      <c r="D1329" s="19"/>
      <c r="E1329" s="19"/>
      <c r="F1329" s="20"/>
      <c r="G1329" s="19"/>
      <c r="H1329" s="19"/>
      <c r="I1329" s="19"/>
      <c r="J1329" s="21"/>
      <c r="K1329" s="19"/>
    </row>
    <row r="1330" spans="3:11" x14ac:dyDescent="0.2">
      <c r="C1330" s="19"/>
      <c r="D1330" s="19"/>
      <c r="E1330" s="19"/>
      <c r="F1330" s="20"/>
      <c r="G1330" s="19"/>
      <c r="H1330" s="19"/>
      <c r="I1330" s="19"/>
      <c r="J1330" s="21"/>
      <c r="K1330" s="19"/>
    </row>
    <row r="1331" spans="3:11" x14ac:dyDescent="0.2">
      <c r="C1331" s="19"/>
      <c r="D1331" s="19"/>
      <c r="E1331" s="19"/>
      <c r="F1331" s="20"/>
      <c r="G1331" s="19"/>
      <c r="H1331" s="19"/>
      <c r="I1331" s="19"/>
      <c r="J1331" s="21"/>
      <c r="K1331" s="19"/>
    </row>
    <row r="1332" spans="3:11" x14ac:dyDescent="0.2">
      <c r="C1332" s="19"/>
      <c r="D1332" s="19"/>
      <c r="E1332" s="19"/>
      <c r="F1332" s="20"/>
      <c r="G1332" s="19"/>
      <c r="H1332" s="19"/>
      <c r="I1332" s="19"/>
      <c r="J1332" s="21"/>
      <c r="K1332" s="19"/>
    </row>
    <row r="1333" spans="3:11" x14ac:dyDescent="0.2">
      <c r="C1333" s="19"/>
      <c r="D1333" s="19"/>
      <c r="E1333" s="19"/>
      <c r="F1333" s="20"/>
      <c r="G1333" s="19"/>
      <c r="H1333" s="19"/>
      <c r="I1333" s="19"/>
      <c r="J1333" s="21"/>
      <c r="K1333" s="19"/>
    </row>
    <row r="1334" spans="3:11" x14ac:dyDescent="0.2">
      <c r="C1334" s="19"/>
      <c r="D1334" s="19"/>
      <c r="E1334" s="19"/>
      <c r="F1334" s="20"/>
      <c r="G1334" s="19"/>
      <c r="H1334" s="19"/>
      <c r="I1334" s="19"/>
      <c r="J1334" s="21"/>
      <c r="K1334" s="19"/>
    </row>
    <row r="1335" spans="3:11" x14ac:dyDescent="0.2">
      <c r="C1335" s="19"/>
      <c r="D1335" s="19"/>
      <c r="E1335" s="19"/>
      <c r="F1335" s="20"/>
      <c r="G1335" s="19"/>
      <c r="H1335" s="19"/>
      <c r="I1335" s="19"/>
      <c r="J1335" s="21"/>
      <c r="K1335" s="19"/>
    </row>
    <row r="1336" spans="3:11" x14ac:dyDescent="0.2">
      <c r="C1336" s="19"/>
      <c r="D1336" s="19"/>
      <c r="E1336" s="19"/>
      <c r="F1336" s="20"/>
      <c r="G1336" s="19"/>
      <c r="H1336" s="19"/>
      <c r="I1336" s="19"/>
      <c r="J1336" s="21"/>
      <c r="K1336" s="19"/>
    </row>
    <row r="1337" spans="3:11" x14ac:dyDescent="0.2">
      <c r="C1337" s="19"/>
      <c r="D1337" s="19"/>
      <c r="E1337" s="19"/>
      <c r="F1337" s="20"/>
      <c r="G1337" s="19"/>
      <c r="H1337" s="19"/>
      <c r="I1337" s="19"/>
      <c r="J1337" s="21"/>
      <c r="K1337" s="19"/>
    </row>
    <row r="1338" spans="3:11" x14ac:dyDescent="0.2">
      <c r="C1338" s="19"/>
      <c r="D1338" s="19"/>
      <c r="E1338" s="19"/>
      <c r="F1338" s="20"/>
      <c r="G1338" s="19"/>
      <c r="H1338" s="19"/>
      <c r="I1338" s="19"/>
      <c r="J1338" s="21"/>
      <c r="K1338" s="19"/>
    </row>
    <row r="1339" spans="3:11" x14ac:dyDescent="0.2">
      <c r="C1339" s="19"/>
      <c r="D1339" s="19"/>
      <c r="E1339" s="19"/>
      <c r="F1339" s="20"/>
      <c r="G1339" s="19"/>
      <c r="H1339" s="19"/>
      <c r="I1339" s="19"/>
      <c r="J1339" s="21"/>
      <c r="K1339" s="19"/>
    </row>
    <row r="1340" spans="3:11" x14ac:dyDescent="0.2">
      <c r="C1340" s="19"/>
      <c r="D1340" s="19"/>
      <c r="E1340" s="19"/>
      <c r="F1340" s="20"/>
      <c r="G1340" s="19"/>
      <c r="H1340" s="19"/>
      <c r="I1340" s="19"/>
      <c r="J1340" s="21"/>
      <c r="K1340" s="19"/>
    </row>
    <row r="1341" spans="3:11" x14ac:dyDescent="0.2">
      <c r="C1341" s="19"/>
      <c r="D1341" s="19"/>
      <c r="E1341" s="19"/>
      <c r="F1341" s="20"/>
      <c r="G1341" s="19"/>
      <c r="H1341" s="19"/>
      <c r="I1341" s="19"/>
      <c r="J1341" s="19"/>
      <c r="K1341" s="19"/>
    </row>
    <row r="1342" spans="3:11" x14ac:dyDescent="0.2">
      <c r="C1342" s="19"/>
      <c r="D1342" s="19"/>
      <c r="E1342" s="19"/>
      <c r="F1342" s="20"/>
      <c r="G1342" s="19"/>
      <c r="H1342" s="19"/>
      <c r="I1342" s="19"/>
      <c r="J1342" s="21"/>
      <c r="K1342" s="19"/>
    </row>
    <row r="1343" spans="3:11" x14ac:dyDescent="0.2">
      <c r="C1343" s="19"/>
      <c r="D1343" s="19"/>
      <c r="E1343" s="19"/>
      <c r="F1343" s="20"/>
      <c r="G1343" s="19"/>
      <c r="H1343" s="19"/>
      <c r="I1343" s="19"/>
      <c r="J1343" s="21"/>
      <c r="K1343" s="19"/>
    </row>
    <row r="1344" spans="3:11" x14ac:dyDescent="0.2">
      <c r="C1344" s="19"/>
      <c r="D1344" s="19"/>
      <c r="E1344" s="19"/>
      <c r="F1344" s="20"/>
      <c r="G1344" s="19"/>
      <c r="H1344" s="19"/>
      <c r="I1344" s="19"/>
      <c r="J1344" s="21"/>
      <c r="K1344" s="19"/>
    </row>
    <row r="1345" spans="3:11" x14ac:dyDescent="0.2">
      <c r="C1345" s="19"/>
      <c r="D1345" s="19"/>
      <c r="E1345" s="19"/>
      <c r="F1345" s="20"/>
      <c r="G1345" s="19"/>
      <c r="H1345" s="19"/>
      <c r="I1345" s="19"/>
      <c r="J1345" s="21"/>
      <c r="K1345" s="19"/>
    </row>
    <row r="1346" spans="3:11" x14ac:dyDescent="0.2">
      <c r="C1346" s="19"/>
      <c r="D1346" s="19"/>
      <c r="E1346" s="19"/>
      <c r="F1346" s="20"/>
      <c r="G1346" s="19"/>
      <c r="H1346" s="19"/>
      <c r="I1346" s="19"/>
      <c r="J1346" s="21"/>
      <c r="K1346" s="19"/>
    </row>
    <row r="1347" spans="3:11" x14ac:dyDescent="0.2">
      <c r="C1347" s="19"/>
      <c r="D1347" s="19"/>
      <c r="E1347" s="19"/>
      <c r="F1347" s="20"/>
      <c r="G1347" s="19"/>
      <c r="H1347" s="19"/>
      <c r="I1347" s="19"/>
      <c r="J1347" s="21"/>
      <c r="K1347" s="19"/>
    </row>
    <row r="1348" spans="3:11" x14ac:dyDescent="0.2">
      <c r="C1348" s="19"/>
      <c r="D1348" s="19"/>
      <c r="E1348" s="19"/>
      <c r="F1348" s="20"/>
      <c r="G1348" s="19"/>
      <c r="H1348" s="19"/>
      <c r="I1348" s="19"/>
      <c r="J1348" s="21"/>
      <c r="K1348" s="19"/>
    </row>
    <row r="1349" spans="3:11" x14ac:dyDescent="0.2">
      <c r="C1349" s="19"/>
      <c r="D1349" s="19"/>
      <c r="E1349" s="19"/>
      <c r="F1349" s="20"/>
      <c r="G1349" s="19"/>
      <c r="H1349" s="19"/>
      <c r="I1349" s="19"/>
      <c r="J1349" s="21"/>
      <c r="K1349" s="19"/>
    </row>
    <row r="1350" spans="3:11" x14ac:dyDescent="0.2">
      <c r="C1350" s="19"/>
      <c r="D1350" s="19"/>
      <c r="E1350" s="19"/>
      <c r="F1350" s="20"/>
      <c r="G1350" s="19"/>
      <c r="H1350" s="19"/>
      <c r="I1350" s="19"/>
      <c r="J1350" s="19"/>
      <c r="K1350" s="19"/>
    </row>
    <row r="1351" spans="3:11" x14ac:dyDescent="0.2">
      <c r="C1351" s="19"/>
      <c r="D1351" s="19"/>
      <c r="E1351" s="19"/>
      <c r="F1351" s="20"/>
      <c r="G1351" s="19"/>
      <c r="H1351" s="19"/>
      <c r="I1351" s="19"/>
      <c r="J1351" s="21"/>
      <c r="K1351" s="19"/>
    </row>
    <row r="1352" spans="3:11" x14ac:dyDescent="0.2">
      <c r="C1352" s="19"/>
      <c r="D1352" s="19"/>
      <c r="E1352" s="19"/>
      <c r="F1352" s="20"/>
      <c r="G1352" s="19"/>
      <c r="H1352" s="19"/>
      <c r="I1352" s="19"/>
      <c r="J1352" s="21"/>
      <c r="K1352" s="19"/>
    </row>
    <row r="1353" spans="3:11" x14ac:dyDescent="0.2">
      <c r="C1353" s="19"/>
      <c r="D1353" s="19"/>
      <c r="E1353" s="19"/>
      <c r="F1353" s="20"/>
      <c r="G1353" s="19"/>
      <c r="H1353" s="19"/>
      <c r="I1353" s="19"/>
      <c r="J1353" s="21"/>
      <c r="K1353" s="19"/>
    </row>
    <row r="1354" spans="3:11" x14ac:dyDescent="0.2">
      <c r="C1354" s="19"/>
      <c r="D1354" s="19"/>
      <c r="E1354" s="19"/>
      <c r="F1354" s="20"/>
      <c r="G1354" s="19"/>
      <c r="H1354" s="19"/>
      <c r="I1354" s="19"/>
      <c r="J1354" s="21"/>
      <c r="K1354" s="19"/>
    </row>
    <row r="1355" spans="3:11" x14ac:dyDescent="0.2">
      <c r="C1355" s="19"/>
      <c r="D1355" s="19"/>
      <c r="E1355" s="19"/>
      <c r="F1355" s="20"/>
      <c r="G1355" s="19"/>
      <c r="H1355" s="19"/>
      <c r="I1355" s="19"/>
      <c r="J1355" s="19"/>
      <c r="K1355" s="19"/>
    </row>
    <row r="1356" spans="3:11" x14ac:dyDescent="0.2">
      <c r="C1356" s="19"/>
      <c r="D1356" s="19"/>
      <c r="E1356" s="19"/>
      <c r="F1356" s="20"/>
      <c r="G1356" s="19"/>
      <c r="H1356" s="19"/>
      <c r="I1356" s="19"/>
      <c r="J1356" s="19"/>
      <c r="K1356" s="19"/>
    </row>
    <row r="1357" spans="3:11" x14ac:dyDescent="0.2">
      <c r="C1357" s="19"/>
      <c r="D1357" s="19"/>
      <c r="E1357" s="19"/>
      <c r="F1357" s="20"/>
      <c r="G1357" s="19"/>
      <c r="H1357" s="19"/>
      <c r="I1357" s="19"/>
      <c r="J1357" s="21"/>
      <c r="K1357" s="19"/>
    </row>
    <row r="1358" spans="3:11" x14ac:dyDescent="0.2">
      <c r="C1358" s="19"/>
      <c r="D1358" s="19"/>
      <c r="E1358" s="19"/>
      <c r="F1358" s="20"/>
      <c r="G1358" s="19"/>
      <c r="H1358" s="19"/>
      <c r="I1358" s="19"/>
      <c r="J1358" s="21"/>
      <c r="K1358" s="19"/>
    </row>
    <row r="1359" spans="3:11" x14ac:dyDescent="0.2">
      <c r="C1359" s="19"/>
      <c r="D1359" s="19"/>
      <c r="E1359" s="19"/>
      <c r="F1359" s="20"/>
      <c r="G1359" s="19"/>
      <c r="H1359" s="19"/>
      <c r="I1359" s="19"/>
      <c r="J1359" s="21"/>
      <c r="K1359" s="19"/>
    </row>
    <row r="1360" spans="3:11" x14ac:dyDescent="0.2">
      <c r="C1360" s="19"/>
      <c r="D1360" s="19"/>
      <c r="E1360" s="19"/>
      <c r="F1360" s="20"/>
      <c r="G1360" s="19"/>
      <c r="H1360" s="19"/>
      <c r="I1360" s="19"/>
      <c r="J1360" s="21"/>
      <c r="K1360" s="19"/>
    </row>
    <row r="1361" spans="3:11" x14ac:dyDescent="0.2">
      <c r="C1361" s="19"/>
      <c r="D1361" s="19"/>
      <c r="E1361" s="19"/>
      <c r="F1361" s="20"/>
      <c r="G1361" s="19"/>
      <c r="H1361" s="19"/>
      <c r="I1361" s="19"/>
      <c r="J1361" s="21"/>
      <c r="K1361" s="19"/>
    </row>
    <row r="1362" spans="3:11" x14ac:dyDescent="0.2">
      <c r="C1362" s="19"/>
      <c r="D1362" s="19"/>
      <c r="E1362" s="19"/>
      <c r="F1362" s="20"/>
      <c r="G1362" s="19"/>
      <c r="H1362" s="19"/>
      <c r="I1362" s="19"/>
      <c r="J1362" s="21"/>
      <c r="K1362" s="19"/>
    </row>
    <row r="1363" spans="3:11" x14ac:dyDescent="0.2">
      <c r="C1363" s="19"/>
      <c r="D1363" s="19"/>
      <c r="E1363" s="19"/>
      <c r="F1363" s="20"/>
      <c r="G1363" s="19"/>
      <c r="H1363" s="19"/>
      <c r="I1363" s="19"/>
      <c r="J1363" s="21"/>
      <c r="K1363" s="19"/>
    </row>
    <row r="1364" spans="3:11" x14ac:dyDescent="0.2">
      <c r="C1364" s="19"/>
      <c r="D1364" s="19"/>
      <c r="E1364" s="19"/>
      <c r="F1364" s="20"/>
      <c r="G1364" s="19"/>
      <c r="H1364" s="19"/>
      <c r="I1364" s="19"/>
      <c r="J1364" s="21"/>
      <c r="K1364" s="19"/>
    </row>
    <row r="1365" spans="3:11" x14ac:dyDescent="0.2">
      <c r="C1365" s="19"/>
      <c r="D1365" s="19"/>
      <c r="E1365" s="19"/>
      <c r="F1365" s="20"/>
      <c r="G1365" s="19"/>
      <c r="H1365" s="19"/>
      <c r="I1365" s="19"/>
      <c r="J1365" s="19"/>
      <c r="K1365" s="19"/>
    </row>
    <row r="1366" spans="3:11" x14ac:dyDescent="0.2">
      <c r="C1366" s="19"/>
      <c r="D1366" s="19"/>
      <c r="E1366" s="19"/>
      <c r="F1366" s="20"/>
      <c r="G1366" s="19"/>
      <c r="H1366" s="19"/>
      <c r="I1366" s="19"/>
      <c r="J1366" s="19"/>
      <c r="K1366" s="19"/>
    </row>
    <row r="1367" spans="3:11" x14ac:dyDescent="0.2">
      <c r="C1367" s="19"/>
      <c r="D1367" s="19"/>
      <c r="E1367" s="19"/>
      <c r="F1367" s="20"/>
      <c r="G1367" s="19"/>
      <c r="H1367" s="19"/>
      <c r="I1367" s="19"/>
      <c r="J1367" s="21"/>
      <c r="K1367" s="19"/>
    </row>
    <row r="1368" spans="3:11" x14ac:dyDescent="0.2">
      <c r="C1368" s="19"/>
      <c r="D1368" s="19"/>
      <c r="E1368" s="19"/>
      <c r="F1368" s="20"/>
      <c r="G1368" s="19"/>
      <c r="H1368" s="19"/>
      <c r="I1368" s="19"/>
      <c r="J1368" s="21"/>
      <c r="K1368" s="19"/>
    </row>
    <row r="1369" spans="3:11" x14ac:dyDescent="0.2">
      <c r="C1369" s="19"/>
      <c r="D1369" s="19"/>
      <c r="E1369" s="19"/>
      <c r="F1369" s="20"/>
      <c r="G1369" s="19"/>
      <c r="H1369" s="19"/>
      <c r="I1369" s="19"/>
      <c r="J1369" s="21"/>
      <c r="K1369" s="19"/>
    </row>
    <row r="1370" spans="3:11" x14ac:dyDescent="0.2">
      <c r="C1370" s="19"/>
      <c r="D1370" s="19"/>
      <c r="E1370" s="19"/>
      <c r="F1370" s="20"/>
      <c r="G1370" s="19"/>
      <c r="H1370" s="19"/>
      <c r="I1370" s="19"/>
      <c r="J1370" s="21"/>
      <c r="K1370" s="19"/>
    </row>
    <row r="1371" spans="3:11" x14ac:dyDescent="0.2">
      <c r="C1371" s="19"/>
      <c r="D1371" s="19"/>
      <c r="E1371" s="19"/>
      <c r="F1371" s="20"/>
      <c r="G1371" s="19"/>
      <c r="H1371" s="19"/>
      <c r="I1371" s="19"/>
      <c r="J1371" s="21"/>
      <c r="K1371" s="19"/>
    </row>
    <row r="1372" spans="3:11" x14ac:dyDescent="0.2">
      <c r="C1372" s="19"/>
      <c r="D1372" s="19"/>
      <c r="E1372" s="19"/>
      <c r="F1372" s="20"/>
      <c r="G1372" s="19"/>
      <c r="H1372" s="19"/>
      <c r="I1372" s="19"/>
      <c r="J1372" s="21"/>
      <c r="K1372" s="19"/>
    </row>
    <row r="1373" spans="3:11" x14ac:dyDescent="0.2">
      <c r="C1373" s="19"/>
      <c r="D1373" s="19"/>
      <c r="E1373" s="19"/>
      <c r="F1373" s="20"/>
      <c r="G1373" s="19"/>
      <c r="H1373" s="19"/>
      <c r="I1373" s="19"/>
      <c r="J1373" s="21"/>
      <c r="K1373" s="19"/>
    </row>
    <row r="1374" spans="3:11" x14ac:dyDescent="0.2">
      <c r="C1374" s="19"/>
      <c r="D1374" s="19"/>
      <c r="E1374" s="19"/>
      <c r="F1374" s="20"/>
      <c r="G1374" s="19"/>
      <c r="H1374" s="19"/>
      <c r="I1374" s="19"/>
      <c r="J1374" s="21"/>
      <c r="K1374" s="19"/>
    </row>
    <row r="1375" spans="3:11" x14ac:dyDescent="0.2">
      <c r="C1375" s="19"/>
      <c r="D1375" s="19"/>
      <c r="E1375" s="19"/>
      <c r="F1375" s="20"/>
      <c r="G1375" s="19"/>
      <c r="H1375" s="19"/>
      <c r="I1375" s="19"/>
      <c r="J1375" s="21"/>
      <c r="K1375" s="19"/>
    </row>
    <row r="1376" spans="3:11" x14ac:dyDescent="0.2">
      <c r="C1376" s="19"/>
      <c r="D1376" s="19"/>
      <c r="E1376" s="19"/>
      <c r="F1376" s="20"/>
      <c r="G1376" s="19"/>
      <c r="H1376" s="19"/>
      <c r="I1376" s="19"/>
      <c r="J1376" s="21"/>
      <c r="K1376" s="19"/>
    </row>
    <row r="1377" spans="3:11" x14ac:dyDescent="0.2">
      <c r="C1377" s="19"/>
      <c r="D1377" s="19"/>
      <c r="E1377" s="19"/>
      <c r="F1377" s="20"/>
      <c r="G1377" s="19"/>
      <c r="H1377" s="19"/>
      <c r="I1377" s="19"/>
      <c r="J1377" s="21"/>
      <c r="K1377" s="19"/>
    </row>
    <row r="1378" spans="3:11" x14ac:dyDescent="0.2">
      <c r="C1378" s="19"/>
      <c r="D1378" s="19"/>
      <c r="E1378" s="19"/>
      <c r="F1378" s="20"/>
      <c r="G1378" s="19"/>
      <c r="H1378" s="19"/>
      <c r="I1378" s="19"/>
      <c r="J1378" s="21"/>
      <c r="K1378" s="19"/>
    </row>
    <row r="1379" spans="3:11" x14ac:dyDescent="0.2">
      <c r="C1379" s="19"/>
      <c r="D1379" s="19"/>
      <c r="E1379" s="19"/>
      <c r="F1379" s="20"/>
      <c r="G1379" s="19"/>
      <c r="H1379" s="19"/>
      <c r="I1379" s="19"/>
      <c r="J1379" s="21"/>
      <c r="K1379" s="19"/>
    </row>
    <row r="1380" spans="3:11" x14ac:dyDescent="0.2">
      <c r="C1380" s="19"/>
      <c r="D1380" s="19"/>
      <c r="E1380" s="19"/>
      <c r="F1380" s="20"/>
      <c r="G1380" s="19"/>
      <c r="H1380" s="19"/>
      <c r="I1380" s="19"/>
      <c r="J1380" s="21"/>
      <c r="K1380" s="19"/>
    </row>
    <row r="1381" spans="3:11" x14ac:dyDescent="0.2">
      <c r="C1381" s="19"/>
      <c r="D1381" s="19"/>
      <c r="E1381" s="19"/>
      <c r="F1381" s="20"/>
      <c r="G1381" s="19"/>
      <c r="H1381" s="19"/>
      <c r="I1381" s="19"/>
      <c r="J1381" s="21"/>
      <c r="K1381" s="19"/>
    </row>
    <row r="1382" spans="3:11" x14ac:dyDescent="0.2">
      <c r="C1382" s="19"/>
      <c r="D1382" s="19"/>
      <c r="E1382" s="19"/>
      <c r="F1382" s="20"/>
      <c r="G1382" s="19"/>
      <c r="H1382" s="19"/>
      <c r="I1382" s="19"/>
      <c r="J1382" s="21"/>
      <c r="K1382" s="19"/>
    </row>
    <row r="1383" spans="3:11" x14ac:dyDescent="0.2">
      <c r="C1383" s="19"/>
      <c r="D1383" s="19"/>
      <c r="E1383" s="19"/>
      <c r="F1383" s="20"/>
      <c r="G1383" s="19"/>
      <c r="H1383" s="19"/>
      <c r="I1383" s="19"/>
      <c r="J1383" s="21"/>
      <c r="K1383" s="19"/>
    </row>
    <row r="1384" spans="3:11" x14ac:dyDescent="0.2">
      <c r="C1384" s="19"/>
      <c r="D1384" s="19"/>
      <c r="E1384" s="19"/>
      <c r="F1384" s="20"/>
      <c r="G1384" s="19"/>
      <c r="H1384" s="19"/>
      <c r="I1384" s="19"/>
      <c r="J1384" s="21"/>
      <c r="K1384" s="19"/>
    </row>
    <row r="1385" spans="3:11" x14ac:dyDescent="0.2">
      <c r="C1385" s="19"/>
      <c r="D1385" s="19"/>
      <c r="E1385" s="19"/>
      <c r="F1385" s="20"/>
      <c r="G1385" s="19"/>
      <c r="H1385" s="19"/>
      <c r="I1385" s="19"/>
      <c r="J1385" s="21"/>
      <c r="K1385" s="19"/>
    </row>
    <row r="1386" spans="3:11" x14ac:dyDescent="0.2">
      <c r="C1386" s="19"/>
      <c r="D1386" s="19"/>
      <c r="E1386" s="19"/>
      <c r="F1386" s="20"/>
      <c r="G1386" s="19"/>
      <c r="H1386" s="19"/>
      <c r="I1386" s="19"/>
      <c r="J1386" s="21"/>
      <c r="K1386" s="19"/>
    </row>
    <row r="1387" spans="3:11" x14ac:dyDescent="0.2">
      <c r="C1387" s="19"/>
      <c r="D1387" s="19"/>
      <c r="E1387" s="19"/>
      <c r="F1387" s="20"/>
      <c r="G1387" s="19"/>
      <c r="H1387" s="19"/>
      <c r="I1387" s="19"/>
      <c r="J1387" s="21"/>
      <c r="K1387" s="19"/>
    </row>
    <row r="1388" spans="3:11" x14ac:dyDescent="0.2">
      <c r="C1388" s="19"/>
      <c r="D1388" s="19"/>
      <c r="E1388" s="19"/>
      <c r="F1388" s="20"/>
      <c r="G1388" s="19"/>
      <c r="H1388" s="19"/>
      <c r="I1388" s="19"/>
      <c r="J1388" s="21"/>
      <c r="K1388" s="19"/>
    </row>
    <row r="1389" spans="3:11" x14ac:dyDescent="0.2">
      <c r="C1389" s="19"/>
      <c r="D1389" s="19"/>
      <c r="E1389" s="19"/>
      <c r="F1389" s="20"/>
      <c r="G1389" s="19"/>
      <c r="H1389" s="19"/>
      <c r="I1389" s="19"/>
      <c r="J1389" s="21"/>
      <c r="K1389" s="19"/>
    </row>
    <row r="1390" spans="3:11" x14ac:dyDescent="0.2">
      <c r="C1390" s="19"/>
      <c r="D1390" s="19"/>
      <c r="E1390" s="19"/>
      <c r="F1390" s="20"/>
      <c r="G1390" s="19"/>
      <c r="H1390" s="19"/>
      <c r="I1390" s="19"/>
      <c r="J1390" s="21"/>
      <c r="K1390" s="19"/>
    </row>
    <row r="1391" spans="3:11" x14ac:dyDescent="0.2">
      <c r="C1391" s="19"/>
      <c r="D1391" s="19"/>
      <c r="E1391" s="19"/>
      <c r="F1391" s="20"/>
      <c r="G1391" s="19"/>
      <c r="H1391" s="19"/>
      <c r="I1391" s="19"/>
      <c r="J1391" s="19"/>
      <c r="K1391" s="19"/>
    </row>
    <row r="1392" spans="3:11" x14ac:dyDescent="0.2">
      <c r="C1392" s="19"/>
      <c r="D1392" s="19"/>
      <c r="E1392" s="19"/>
      <c r="F1392" s="20"/>
      <c r="G1392" s="19"/>
      <c r="H1392" s="19"/>
      <c r="I1392" s="19"/>
      <c r="J1392" s="21"/>
      <c r="K1392" s="19"/>
    </row>
    <row r="1393" spans="3:11" x14ac:dyDescent="0.2">
      <c r="C1393" s="19"/>
      <c r="D1393" s="19"/>
      <c r="E1393" s="19"/>
      <c r="F1393" s="20"/>
      <c r="G1393" s="19"/>
      <c r="H1393" s="19"/>
      <c r="I1393" s="19"/>
      <c r="J1393" s="21"/>
      <c r="K1393" s="19"/>
    </row>
    <row r="1394" spans="3:11" x14ac:dyDescent="0.2">
      <c r="C1394" s="19"/>
      <c r="D1394" s="19"/>
      <c r="E1394" s="19"/>
      <c r="F1394" s="20"/>
      <c r="G1394" s="19"/>
      <c r="H1394" s="19"/>
      <c r="I1394" s="19"/>
      <c r="J1394" s="21"/>
      <c r="K1394" s="19"/>
    </row>
    <row r="1395" spans="3:11" x14ac:dyDescent="0.2">
      <c r="C1395" s="19"/>
      <c r="D1395" s="19"/>
      <c r="E1395" s="19"/>
      <c r="F1395" s="20"/>
      <c r="G1395" s="19"/>
      <c r="H1395" s="19"/>
      <c r="I1395" s="19"/>
      <c r="J1395" s="21"/>
      <c r="K1395" s="19"/>
    </row>
    <row r="1396" spans="3:11" x14ac:dyDescent="0.2">
      <c r="C1396" s="19"/>
      <c r="D1396" s="19"/>
      <c r="E1396" s="19"/>
      <c r="F1396" s="20"/>
      <c r="G1396" s="19"/>
      <c r="H1396" s="19"/>
      <c r="I1396" s="19"/>
      <c r="J1396" s="21"/>
      <c r="K1396" s="19"/>
    </row>
    <row r="1397" spans="3:11" x14ac:dyDescent="0.2">
      <c r="C1397" s="19"/>
      <c r="D1397" s="19"/>
      <c r="E1397" s="19"/>
      <c r="F1397" s="20"/>
      <c r="G1397" s="19"/>
      <c r="H1397" s="19"/>
      <c r="I1397" s="19"/>
      <c r="J1397" s="21"/>
      <c r="K1397" s="19"/>
    </row>
    <row r="1398" spans="3:11" x14ac:dyDescent="0.2">
      <c r="C1398" s="19"/>
      <c r="D1398" s="19"/>
      <c r="E1398" s="19"/>
      <c r="F1398" s="20"/>
      <c r="G1398" s="19"/>
      <c r="H1398" s="19"/>
      <c r="I1398" s="19"/>
      <c r="J1398" s="21"/>
      <c r="K1398" s="19"/>
    </row>
    <row r="1399" spans="3:11" x14ac:dyDescent="0.2">
      <c r="C1399" s="19"/>
      <c r="D1399" s="19"/>
      <c r="E1399" s="19"/>
      <c r="F1399" s="20"/>
      <c r="G1399" s="19"/>
      <c r="H1399" s="19"/>
      <c r="I1399" s="19"/>
      <c r="J1399" s="21"/>
      <c r="K1399" s="19"/>
    </row>
    <row r="1400" spans="3:11" x14ac:dyDescent="0.2">
      <c r="C1400" s="19"/>
      <c r="D1400" s="19"/>
      <c r="E1400" s="19"/>
      <c r="F1400" s="20"/>
      <c r="G1400" s="19"/>
      <c r="H1400" s="19"/>
      <c r="I1400" s="19"/>
      <c r="J1400" s="21"/>
      <c r="K1400" s="19"/>
    </row>
    <row r="1401" spans="3:11" x14ac:dyDescent="0.2">
      <c r="C1401" s="19"/>
      <c r="D1401" s="19"/>
      <c r="E1401" s="19"/>
      <c r="F1401" s="20"/>
      <c r="G1401" s="19"/>
      <c r="H1401" s="19"/>
      <c r="I1401" s="19"/>
      <c r="J1401" s="21"/>
      <c r="K1401" s="19"/>
    </row>
    <row r="1402" spans="3:11" x14ac:dyDescent="0.2">
      <c r="C1402" s="19"/>
      <c r="D1402" s="19"/>
      <c r="E1402" s="19"/>
      <c r="F1402" s="20"/>
      <c r="G1402" s="19"/>
      <c r="H1402" s="19"/>
      <c r="I1402" s="19"/>
      <c r="J1402" s="21"/>
      <c r="K1402" s="19"/>
    </row>
    <row r="1403" spans="3:11" x14ac:dyDescent="0.2">
      <c r="C1403" s="19"/>
      <c r="D1403" s="19"/>
      <c r="E1403" s="19"/>
      <c r="F1403" s="20"/>
      <c r="G1403" s="19"/>
      <c r="H1403" s="19"/>
      <c r="I1403" s="19"/>
      <c r="J1403" s="21"/>
      <c r="K1403" s="19"/>
    </row>
    <row r="1404" spans="3:11" x14ac:dyDescent="0.2">
      <c r="C1404" s="19"/>
      <c r="D1404" s="19"/>
      <c r="E1404" s="19"/>
      <c r="F1404" s="20"/>
      <c r="G1404" s="19"/>
      <c r="H1404" s="19"/>
      <c r="I1404" s="19"/>
      <c r="J1404" s="21"/>
      <c r="K1404" s="19"/>
    </row>
    <row r="1405" spans="3:11" x14ac:dyDescent="0.2">
      <c r="C1405" s="19"/>
      <c r="D1405" s="19"/>
      <c r="E1405" s="19"/>
      <c r="F1405" s="20"/>
      <c r="G1405" s="19"/>
      <c r="H1405" s="19"/>
      <c r="I1405" s="19"/>
      <c r="J1405" s="21"/>
      <c r="K1405" s="19"/>
    </row>
    <row r="1406" spans="3:11" x14ac:dyDescent="0.2">
      <c r="C1406" s="19"/>
      <c r="D1406" s="19"/>
      <c r="E1406" s="19"/>
      <c r="F1406" s="20"/>
      <c r="G1406" s="19"/>
      <c r="H1406" s="19"/>
      <c r="I1406" s="19"/>
      <c r="J1406" s="21"/>
      <c r="K1406" s="19"/>
    </row>
    <row r="1407" spans="3:11" x14ac:dyDescent="0.2">
      <c r="C1407" s="19"/>
      <c r="D1407" s="19"/>
      <c r="E1407" s="19"/>
      <c r="F1407" s="20"/>
      <c r="G1407" s="19"/>
      <c r="H1407" s="19"/>
      <c r="I1407" s="19"/>
      <c r="J1407" s="21"/>
      <c r="K1407" s="19"/>
    </row>
    <row r="1408" spans="3:11" x14ac:dyDescent="0.2">
      <c r="C1408" s="19"/>
      <c r="D1408" s="19"/>
      <c r="E1408" s="19"/>
      <c r="F1408" s="20"/>
      <c r="G1408" s="19"/>
      <c r="H1408" s="19"/>
      <c r="I1408" s="19"/>
      <c r="J1408" s="21"/>
      <c r="K1408" s="19"/>
    </row>
    <row r="1409" spans="3:11" x14ac:dyDescent="0.2">
      <c r="C1409" s="19"/>
      <c r="D1409" s="19"/>
      <c r="E1409" s="19"/>
      <c r="F1409" s="20"/>
      <c r="G1409" s="19"/>
      <c r="H1409" s="19"/>
      <c r="I1409" s="19"/>
      <c r="J1409" s="21"/>
      <c r="K1409" s="19"/>
    </row>
    <row r="1410" spans="3:11" x14ac:dyDescent="0.2">
      <c r="C1410" s="19"/>
      <c r="D1410" s="19"/>
      <c r="E1410" s="19"/>
      <c r="F1410" s="20"/>
      <c r="G1410" s="19"/>
      <c r="H1410" s="19"/>
      <c r="I1410" s="19"/>
      <c r="J1410" s="21"/>
      <c r="K1410" s="19"/>
    </row>
    <row r="1411" spans="3:11" x14ac:dyDescent="0.2">
      <c r="C1411" s="19"/>
      <c r="D1411" s="19"/>
      <c r="E1411" s="19"/>
      <c r="F1411" s="20"/>
      <c r="G1411" s="19"/>
      <c r="H1411" s="19"/>
      <c r="I1411" s="19"/>
      <c r="J1411" s="21"/>
      <c r="K1411" s="19"/>
    </row>
    <row r="1412" spans="3:11" x14ac:dyDescent="0.2">
      <c r="C1412" s="19"/>
      <c r="D1412" s="19"/>
      <c r="E1412" s="19"/>
      <c r="F1412" s="20"/>
      <c r="G1412" s="19"/>
      <c r="H1412" s="19"/>
      <c r="I1412" s="19"/>
      <c r="J1412" s="21"/>
      <c r="K1412" s="19"/>
    </row>
    <row r="1413" spans="3:11" x14ac:dyDescent="0.2">
      <c r="C1413" s="19"/>
      <c r="D1413" s="19"/>
      <c r="E1413" s="19"/>
      <c r="F1413" s="20"/>
      <c r="G1413" s="19"/>
      <c r="H1413" s="19"/>
      <c r="I1413" s="19"/>
      <c r="J1413" s="21"/>
      <c r="K1413" s="19"/>
    </row>
    <row r="1414" spans="3:11" x14ac:dyDescent="0.2">
      <c r="C1414" s="19"/>
      <c r="D1414" s="19"/>
      <c r="E1414" s="19"/>
      <c r="F1414" s="20"/>
      <c r="G1414" s="19"/>
      <c r="H1414" s="19"/>
      <c r="I1414" s="19"/>
      <c r="J1414" s="21"/>
      <c r="K1414" s="19"/>
    </row>
    <row r="1415" spans="3:11" x14ac:dyDescent="0.2">
      <c r="C1415" s="19"/>
      <c r="D1415" s="19"/>
      <c r="E1415" s="19"/>
      <c r="F1415" s="20"/>
      <c r="G1415" s="19"/>
      <c r="H1415" s="19"/>
      <c r="I1415" s="19"/>
      <c r="J1415" s="21"/>
      <c r="K1415" s="19"/>
    </row>
    <row r="1416" spans="3:11" x14ac:dyDescent="0.2">
      <c r="C1416" s="19"/>
      <c r="D1416" s="19"/>
      <c r="E1416" s="19"/>
      <c r="F1416" s="20"/>
      <c r="G1416" s="19"/>
      <c r="H1416" s="19"/>
      <c r="I1416" s="19"/>
      <c r="J1416" s="21"/>
      <c r="K1416" s="19"/>
    </row>
    <row r="1417" spans="3:11" x14ac:dyDescent="0.2">
      <c r="C1417" s="19"/>
      <c r="D1417" s="19"/>
      <c r="E1417" s="19"/>
      <c r="F1417" s="20"/>
      <c r="G1417" s="19"/>
      <c r="H1417" s="19"/>
      <c r="I1417" s="19"/>
      <c r="J1417" s="21"/>
      <c r="K1417" s="19"/>
    </row>
    <row r="1418" spans="3:11" x14ac:dyDescent="0.2">
      <c r="C1418" s="19"/>
      <c r="D1418" s="19"/>
      <c r="E1418" s="19"/>
      <c r="F1418" s="20"/>
      <c r="G1418" s="19"/>
      <c r="H1418" s="19"/>
      <c r="I1418" s="19"/>
      <c r="J1418" s="21"/>
      <c r="K1418" s="19"/>
    </row>
    <row r="1419" spans="3:11" x14ac:dyDescent="0.2">
      <c r="C1419" s="19"/>
      <c r="D1419" s="19"/>
      <c r="E1419" s="19"/>
      <c r="F1419" s="20"/>
      <c r="G1419" s="19"/>
      <c r="H1419" s="19"/>
      <c r="I1419" s="19"/>
      <c r="J1419" s="21"/>
      <c r="K1419" s="19"/>
    </row>
    <row r="1420" spans="3:11" x14ac:dyDescent="0.2">
      <c r="C1420" s="19"/>
      <c r="D1420" s="19"/>
      <c r="E1420" s="19"/>
      <c r="F1420" s="20"/>
      <c r="G1420" s="19"/>
      <c r="H1420" s="19"/>
      <c r="I1420" s="19"/>
      <c r="J1420" s="21"/>
      <c r="K1420" s="19"/>
    </row>
    <row r="1421" spans="3:11" x14ac:dyDescent="0.2">
      <c r="C1421" s="19"/>
      <c r="D1421" s="19"/>
      <c r="E1421" s="19"/>
      <c r="F1421" s="20"/>
      <c r="G1421" s="19"/>
      <c r="H1421" s="19"/>
      <c r="I1421" s="19"/>
      <c r="J1421" s="21"/>
      <c r="K1421" s="19"/>
    </row>
    <row r="1422" spans="3:11" x14ac:dyDescent="0.2">
      <c r="C1422" s="19"/>
      <c r="D1422" s="19"/>
      <c r="E1422" s="19"/>
      <c r="F1422" s="20"/>
      <c r="G1422" s="19"/>
      <c r="H1422" s="19"/>
      <c r="I1422" s="19"/>
      <c r="J1422" s="21"/>
      <c r="K1422" s="19"/>
    </row>
    <row r="1423" spans="3:11" x14ac:dyDescent="0.2">
      <c r="C1423" s="19"/>
      <c r="D1423" s="19"/>
      <c r="E1423" s="19"/>
      <c r="F1423" s="20"/>
      <c r="G1423" s="19"/>
      <c r="H1423" s="19"/>
      <c r="I1423" s="19"/>
      <c r="J1423" s="21"/>
      <c r="K1423" s="19"/>
    </row>
    <row r="1424" spans="3:11" x14ac:dyDescent="0.2">
      <c r="C1424" s="19"/>
      <c r="D1424" s="19"/>
      <c r="E1424" s="19"/>
      <c r="F1424" s="20"/>
      <c r="G1424" s="19"/>
      <c r="H1424" s="19"/>
      <c r="I1424" s="19"/>
      <c r="J1424" s="21"/>
      <c r="K1424" s="19"/>
    </row>
    <row r="1425" spans="3:11" x14ac:dyDescent="0.2">
      <c r="C1425" s="19"/>
      <c r="D1425" s="19"/>
      <c r="E1425" s="19"/>
      <c r="F1425" s="20"/>
      <c r="G1425" s="19"/>
      <c r="H1425" s="19"/>
      <c r="I1425" s="19"/>
      <c r="J1425" s="21"/>
      <c r="K1425" s="19"/>
    </row>
    <row r="1426" spans="3:11" x14ac:dyDescent="0.2">
      <c r="C1426" s="19"/>
      <c r="D1426" s="19"/>
      <c r="E1426" s="19"/>
      <c r="F1426" s="20"/>
      <c r="G1426" s="19"/>
      <c r="H1426" s="19"/>
      <c r="I1426" s="19"/>
      <c r="J1426" s="21"/>
      <c r="K1426" s="19"/>
    </row>
    <row r="1427" spans="3:11" x14ac:dyDescent="0.2">
      <c r="C1427" s="19"/>
      <c r="D1427" s="19"/>
      <c r="E1427" s="19"/>
      <c r="F1427" s="20"/>
      <c r="G1427" s="19"/>
      <c r="H1427" s="19"/>
      <c r="I1427" s="19"/>
      <c r="J1427" s="21"/>
      <c r="K1427" s="19"/>
    </row>
    <row r="1428" spans="3:11" x14ac:dyDescent="0.2">
      <c r="C1428" s="19"/>
      <c r="D1428" s="19"/>
      <c r="E1428" s="19"/>
      <c r="F1428" s="20"/>
      <c r="G1428" s="19"/>
      <c r="H1428" s="19"/>
      <c r="I1428" s="19"/>
      <c r="J1428" s="21"/>
      <c r="K1428" s="19"/>
    </row>
    <row r="1429" spans="3:11" x14ac:dyDescent="0.2">
      <c r="C1429" s="19"/>
      <c r="D1429" s="19"/>
      <c r="E1429" s="19"/>
      <c r="F1429" s="20"/>
      <c r="G1429" s="19"/>
      <c r="H1429" s="19"/>
      <c r="I1429" s="19"/>
      <c r="J1429" s="21"/>
      <c r="K1429" s="19"/>
    </row>
    <row r="1430" spans="3:11" x14ac:dyDescent="0.2">
      <c r="C1430" s="19"/>
      <c r="D1430" s="19"/>
      <c r="E1430" s="19"/>
      <c r="F1430" s="20"/>
      <c r="G1430" s="19"/>
      <c r="H1430" s="19"/>
      <c r="I1430" s="19"/>
      <c r="J1430" s="21"/>
      <c r="K1430" s="19"/>
    </row>
    <row r="1431" spans="3:11" x14ac:dyDescent="0.2">
      <c r="C1431" s="19"/>
      <c r="D1431" s="19"/>
      <c r="E1431" s="19"/>
      <c r="F1431" s="20"/>
      <c r="G1431" s="19"/>
      <c r="H1431" s="19"/>
      <c r="I1431" s="19"/>
      <c r="J1431" s="21"/>
      <c r="K1431" s="19"/>
    </row>
    <row r="1432" spans="3:11" x14ac:dyDescent="0.2">
      <c r="C1432" s="19"/>
      <c r="D1432" s="19"/>
      <c r="E1432" s="19"/>
      <c r="F1432" s="20"/>
      <c r="G1432" s="19"/>
      <c r="H1432" s="19"/>
      <c r="I1432" s="19"/>
      <c r="J1432" s="21"/>
      <c r="K1432" s="19"/>
    </row>
    <row r="1433" spans="3:11" x14ac:dyDescent="0.2">
      <c r="C1433" s="19"/>
      <c r="D1433" s="19"/>
      <c r="E1433" s="19"/>
      <c r="F1433" s="20"/>
      <c r="G1433" s="19"/>
      <c r="H1433" s="19"/>
      <c r="I1433" s="19"/>
      <c r="J1433" s="21"/>
      <c r="K1433" s="19"/>
    </row>
    <row r="1434" spans="3:11" x14ac:dyDescent="0.2">
      <c r="C1434" s="19"/>
      <c r="D1434" s="19"/>
      <c r="E1434" s="19"/>
      <c r="F1434" s="20"/>
      <c r="G1434" s="19"/>
      <c r="H1434" s="19"/>
      <c r="I1434" s="19"/>
      <c r="J1434" s="21"/>
      <c r="K1434" s="19"/>
    </row>
    <row r="1435" spans="3:11" x14ac:dyDescent="0.2">
      <c r="C1435" s="19"/>
      <c r="D1435" s="19"/>
      <c r="E1435" s="19"/>
      <c r="F1435" s="20"/>
      <c r="G1435" s="19"/>
      <c r="H1435" s="19"/>
      <c r="I1435" s="19"/>
      <c r="J1435" s="19"/>
      <c r="K1435" s="19"/>
    </row>
    <row r="1436" spans="3:11" x14ac:dyDescent="0.2">
      <c r="C1436" s="19"/>
      <c r="D1436" s="19"/>
      <c r="E1436" s="19"/>
      <c r="F1436" s="20"/>
      <c r="G1436" s="19"/>
      <c r="H1436" s="19"/>
      <c r="I1436" s="19"/>
      <c r="J1436" s="19"/>
      <c r="K1436" s="19"/>
    </row>
    <row r="1437" spans="3:11" x14ac:dyDescent="0.2">
      <c r="C1437" s="19"/>
      <c r="D1437" s="19"/>
      <c r="E1437" s="19"/>
      <c r="F1437" s="20"/>
      <c r="G1437" s="19"/>
      <c r="H1437" s="19"/>
      <c r="I1437" s="19"/>
      <c r="J1437" s="21"/>
      <c r="K1437" s="19"/>
    </row>
    <row r="1438" spans="3:11" x14ac:dyDescent="0.2">
      <c r="C1438" s="19"/>
      <c r="D1438" s="19"/>
      <c r="E1438" s="19"/>
      <c r="F1438" s="20"/>
      <c r="G1438" s="19"/>
      <c r="H1438" s="19"/>
      <c r="I1438" s="19"/>
      <c r="J1438" s="19"/>
      <c r="K1438" s="19"/>
    </row>
    <row r="1439" spans="3:11" x14ac:dyDescent="0.2">
      <c r="C1439" s="19"/>
      <c r="D1439" s="19"/>
      <c r="E1439" s="19"/>
      <c r="F1439" s="20"/>
      <c r="G1439" s="19"/>
      <c r="H1439" s="19"/>
      <c r="I1439" s="19"/>
      <c r="J1439" s="21"/>
      <c r="K1439" s="19"/>
    </row>
    <row r="1440" spans="3:11" x14ac:dyDescent="0.2">
      <c r="C1440" s="19"/>
      <c r="D1440" s="19"/>
      <c r="E1440" s="19"/>
      <c r="F1440" s="20"/>
      <c r="G1440" s="19"/>
      <c r="H1440" s="19"/>
      <c r="I1440" s="19"/>
      <c r="J1440" s="21"/>
      <c r="K1440" s="19"/>
    </row>
    <row r="1441" spans="3:11" x14ac:dyDescent="0.2">
      <c r="C1441" s="19"/>
      <c r="D1441" s="19"/>
      <c r="E1441" s="19"/>
      <c r="F1441" s="20"/>
      <c r="G1441" s="19"/>
      <c r="H1441" s="19"/>
      <c r="I1441" s="19"/>
      <c r="J1441" s="21"/>
      <c r="K1441" s="19"/>
    </row>
    <row r="1442" spans="3:11" x14ac:dyDescent="0.2">
      <c r="C1442" s="19"/>
      <c r="D1442" s="19"/>
      <c r="E1442" s="19"/>
      <c r="F1442" s="20"/>
      <c r="G1442" s="19"/>
      <c r="H1442" s="19"/>
      <c r="I1442" s="19"/>
      <c r="J1442" s="21"/>
      <c r="K1442" s="19"/>
    </row>
    <row r="1443" spans="3:11" x14ac:dyDescent="0.2">
      <c r="C1443" s="19"/>
      <c r="D1443" s="19"/>
      <c r="E1443" s="19"/>
      <c r="F1443" s="20"/>
      <c r="G1443" s="19"/>
      <c r="H1443" s="19"/>
      <c r="I1443" s="19"/>
      <c r="J1443" s="21"/>
      <c r="K1443" s="19"/>
    </row>
    <row r="1444" spans="3:11" x14ac:dyDescent="0.2">
      <c r="C1444" s="19"/>
      <c r="D1444" s="19"/>
      <c r="E1444" s="19"/>
      <c r="F1444" s="20"/>
      <c r="G1444" s="19"/>
      <c r="H1444" s="19"/>
      <c r="I1444" s="19"/>
      <c r="J1444" s="21"/>
      <c r="K1444" s="19"/>
    </row>
    <row r="1445" spans="3:11" x14ac:dyDescent="0.2">
      <c r="C1445" s="19"/>
      <c r="D1445" s="19"/>
      <c r="E1445" s="19"/>
      <c r="F1445" s="20"/>
      <c r="G1445" s="19"/>
      <c r="H1445" s="19"/>
      <c r="I1445" s="19"/>
      <c r="J1445" s="19"/>
      <c r="K1445" s="19"/>
    </row>
    <row r="1446" spans="3:11" x14ac:dyDescent="0.2">
      <c r="C1446" s="19"/>
      <c r="D1446" s="19"/>
      <c r="E1446" s="19"/>
      <c r="F1446" s="20"/>
      <c r="G1446" s="19"/>
      <c r="H1446" s="19"/>
      <c r="I1446" s="19"/>
      <c r="J1446" s="19"/>
      <c r="K1446" s="19"/>
    </row>
    <row r="1447" spans="3:11" x14ac:dyDescent="0.2">
      <c r="C1447" s="19"/>
      <c r="D1447" s="19"/>
      <c r="E1447" s="19"/>
      <c r="F1447" s="20"/>
      <c r="G1447" s="19"/>
      <c r="H1447" s="19"/>
      <c r="I1447" s="19"/>
      <c r="J1447" s="19"/>
      <c r="K1447" s="19"/>
    </row>
    <row r="1448" spans="3:11" x14ac:dyDescent="0.2">
      <c r="C1448" s="19"/>
      <c r="D1448" s="19"/>
      <c r="E1448" s="19"/>
      <c r="F1448" s="20"/>
      <c r="G1448" s="19"/>
      <c r="H1448" s="19"/>
      <c r="I1448" s="19"/>
      <c r="J1448" s="21"/>
      <c r="K1448" s="19"/>
    </row>
    <row r="1449" spans="3:11" x14ac:dyDescent="0.2">
      <c r="C1449" s="19"/>
      <c r="D1449" s="19"/>
      <c r="E1449" s="19"/>
      <c r="F1449" s="20"/>
      <c r="G1449" s="19"/>
      <c r="H1449" s="19"/>
      <c r="I1449" s="19"/>
      <c r="J1449" s="21"/>
      <c r="K1449" s="19"/>
    </row>
    <row r="1450" spans="3:11" x14ac:dyDescent="0.2">
      <c r="C1450" s="19"/>
      <c r="D1450" s="19"/>
      <c r="E1450" s="19"/>
      <c r="F1450" s="20"/>
      <c r="G1450" s="19"/>
      <c r="H1450" s="19"/>
      <c r="I1450" s="19"/>
      <c r="J1450" s="21"/>
      <c r="K1450" s="19"/>
    </row>
    <row r="1451" spans="3:11" x14ac:dyDescent="0.2">
      <c r="C1451" s="19"/>
      <c r="D1451" s="19"/>
      <c r="E1451" s="19"/>
      <c r="F1451" s="20"/>
      <c r="G1451" s="19"/>
      <c r="H1451" s="19"/>
      <c r="I1451" s="19"/>
      <c r="J1451" s="21"/>
      <c r="K1451" s="19"/>
    </row>
    <row r="1452" spans="3:11" x14ac:dyDescent="0.2">
      <c r="C1452" s="19"/>
      <c r="D1452" s="19"/>
      <c r="E1452" s="19"/>
      <c r="F1452" s="20"/>
      <c r="G1452" s="19"/>
      <c r="H1452" s="19"/>
      <c r="I1452" s="19"/>
      <c r="J1452" s="21"/>
      <c r="K1452" s="19"/>
    </row>
    <row r="1453" spans="3:11" x14ac:dyDescent="0.2">
      <c r="C1453" s="19"/>
      <c r="D1453" s="19"/>
      <c r="E1453" s="19"/>
      <c r="F1453" s="20"/>
      <c r="G1453" s="19"/>
      <c r="H1453" s="19"/>
      <c r="I1453" s="19"/>
      <c r="J1453" s="21"/>
      <c r="K1453" s="19"/>
    </row>
    <row r="1454" spans="3:11" x14ac:dyDescent="0.2">
      <c r="C1454" s="19"/>
      <c r="D1454" s="19"/>
      <c r="E1454" s="19"/>
      <c r="F1454" s="20"/>
      <c r="G1454" s="19"/>
      <c r="H1454" s="19"/>
      <c r="I1454" s="19"/>
      <c r="J1454" s="21"/>
      <c r="K1454" s="19"/>
    </row>
    <row r="1455" spans="3:11" x14ac:dyDescent="0.2">
      <c r="C1455" s="19"/>
      <c r="D1455" s="19"/>
      <c r="E1455" s="19"/>
      <c r="F1455" s="20"/>
      <c r="G1455" s="19"/>
      <c r="H1455" s="19"/>
      <c r="I1455" s="19"/>
      <c r="J1455" s="21"/>
      <c r="K1455" s="19"/>
    </row>
    <row r="1456" spans="3:11" x14ac:dyDescent="0.2">
      <c r="C1456" s="19"/>
      <c r="D1456" s="19"/>
      <c r="E1456" s="19"/>
      <c r="F1456" s="20"/>
      <c r="G1456" s="19"/>
      <c r="H1456" s="19"/>
      <c r="I1456" s="19"/>
      <c r="J1456" s="21"/>
      <c r="K1456" s="19"/>
    </row>
    <row r="1457" spans="3:11" x14ac:dyDescent="0.2">
      <c r="C1457" s="19"/>
      <c r="D1457" s="19"/>
      <c r="E1457" s="19"/>
      <c r="F1457" s="20"/>
      <c r="G1457" s="19"/>
      <c r="H1457" s="19"/>
      <c r="I1457" s="19"/>
      <c r="J1457" s="21"/>
      <c r="K1457" s="19"/>
    </row>
    <row r="1458" spans="3:11" x14ac:dyDescent="0.2">
      <c r="C1458" s="19"/>
      <c r="D1458" s="19"/>
      <c r="E1458" s="19"/>
      <c r="F1458" s="20"/>
      <c r="G1458" s="19"/>
      <c r="H1458" s="19"/>
      <c r="I1458" s="19"/>
      <c r="J1458" s="21"/>
      <c r="K1458" s="19"/>
    </row>
    <row r="1459" spans="3:11" x14ac:dyDescent="0.2">
      <c r="C1459" s="19"/>
      <c r="D1459" s="19"/>
      <c r="E1459" s="19"/>
      <c r="F1459" s="20"/>
      <c r="G1459" s="19"/>
      <c r="H1459" s="19"/>
      <c r="I1459" s="19"/>
      <c r="J1459" s="21"/>
      <c r="K1459" s="19"/>
    </row>
    <row r="1460" spans="3:11" x14ac:dyDescent="0.2">
      <c r="C1460" s="19"/>
      <c r="D1460" s="19"/>
      <c r="E1460" s="19"/>
      <c r="F1460" s="20"/>
      <c r="G1460" s="19"/>
      <c r="H1460" s="19"/>
      <c r="I1460" s="19"/>
      <c r="J1460" s="21"/>
      <c r="K1460" s="19"/>
    </row>
    <row r="1461" spans="3:11" x14ac:dyDescent="0.2">
      <c r="C1461" s="19"/>
      <c r="D1461" s="19"/>
      <c r="E1461" s="19"/>
      <c r="F1461" s="20"/>
      <c r="G1461" s="19"/>
      <c r="H1461" s="19"/>
      <c r="I1461" s="19"/>
      <c r="J1461" s="21"/>
      <c r="K1461" s="19"/>
    </row>
    <row r="1462" spans="3:11" x14ac:dyDescent="0.2">
      <c r="C1462" s="19"/>
      <c r="D1462" s="19"/>
      <c r="E1462" s="19"/>
      <c r="F1462" s="20"/>
      <c r="G1462" s="19"/>
      <c r="H1462" s="19"/>
      <c r="I1462" s="19"/>
      <c r="J1462" s="21"/>
      <c r="K1462" s="19"/>
    </row>
    <row r="1463" spans="3:11" x14ac:dyDescent="0.2">
      <c r="C1463" s="19"/>
      <c r="D1463" s="19"/>
      <c r="E1463" s="19"/>
      <c r="F1463" s="20"/>
      <c r="G1463" s="19"/>
      <c r="H1463" s="19"/>
      <c r="I1463" s="19"/>
      <c r="J1463" s="21"/>
      <c r="K1463" s="19"/>
    </row>
    <row r="1464" spans="3:11" x14ac:dyDescent="0.2">
      <c r="C1464" s="19"/>
      <c r="D1464" s="19"/>
      <c r="E1464" s="19"/>
      <c r="F1464" s="20"/>
      <c r="G1464" s="19"/>
      <c r="H1464" s="19"/>
      <c r="I1464" s="19"/>
      <c r="J1464" s="19"/>
      <c r="K1464" s="19"/>
    </row>
    <row r="1465" spans="3:11" x14ac:dyDescent="0.2">
      <c r="C1465" s="19"/>
      <c r="D1465" s="19"/>
      <c r="E1465" s="19"/>
      <c r="F1465" s="20"/>
      <c r="G1465" s="19"/>
      <c r="H1465" s="19"/>
      <c r="I1465" s="19"/>
      <c r="J1465" s="19"/>
      <c r="K1465" s="19"/>
    </row>
    <row r="1466" spans="3:11" x14ac:dyDescent="0.2">
      <c r="C1466" s="19"/>
      <c r="D1466" s="19"/>
      <c r="E1466" s="19"/>
      <c r="F1466" s="20"/>
      <c r="G1466" s="19"/>
      <c r="H1466" s="19"/>
      <c r="I1466" s="19"/>
      <c r="J1466" s="21"/>
      <c r="K1466" s="19"/>
    </row>
    <row r="1467" spans="3:11" x14ac:dyDescent="0.2">
      <c r="C1467" s="19"/>
      <c r="D1467" s="19"/>
      <c r="E1467" s="19"/>
      <c r="F1467" s="20"/>
      <c r="G1467" s="19"/>
      <c r="H1467" s="19"/>
      <c r="I1467" s="19"/>
      <c r="J1467" s="21"/>
      <c r="K1467" s="19"/>
    </row>
    <row r="1468" spans="3:11" x14ac:dyDescent="0.2">
      <c r="C1468" s="19"/>
      <c r="D1468" s="19"/>
      <c r="E1468" s="19"/>
      <c r="F1468" s="20"/>
      <c r="G1468" s="19"/>
      <c r="H1468" s="19"/>
      <c r="I1468" s="19"/>
      <c r="J1468" s="21"/>
      <c r="K1468" s="19"/>
    </row>
    <row r="1469" spans="3:11" x14ac:dyDescent="0.2">
      <c r="C1469" s="19"/>
      <c r="D1469" s="19"/>
      <c r="E1469" s="19"/>
      <c r="F1469" s="20"/>
      <c r="G1469" s="19"/>
      <c r="H1469" s="19"/>
      <c r="I1469" s="19"/>
      <c r="J1469" s="19"/>
      <c r="K1469" s="19"/>
    </row>
    <row r="1470" spans="3:11" x14ac:dyDescent="0.2">
      <c r="C1470" s="19"/>
      <c r="D1470" s="19"/>
      <c r="E1470" s="19"/>
      <c r="F1470" s="20"/>
      <c r="G1470" s="19"/>
      <c r="H1470" s="19"/>
      <c r="I1470" s="19"/>
      <c r="J1470" s="19"/>
      <c r="K1470" s="19"/>
    </row>
    <row r="1471" spans="3:11" x14ac:dyDescent="0.2">
      <c r="C1471" s="19"/>
      <c r="D1471" s="19"/>
      <c r="E1471" s="19"/>
      <c r="F1471" s="20"/>
      <c r="G1471" s="19"/>
      <c r="H1471" s="19"/>
      <c r="I1471" s="19"/>
      <c r="J1471" s="19"/>
      <c r="K1471" s="19"/>
    </row>
    <row r="1472" spans="3:11" x14ac:dyDescent="0.2">
      <c r="C1472" s="19"/>
      <c r="D1472" s="19"/>
      <c r="E1472" s="19"/>
      <c r="F1472" s="20"/>
      <c r="G1472" s="19"/>
      <c r="H1472" s="19"/>
      <c r="I1472" s="19"/>
      <c r="J1472" s="19"/>
      <c r="K1472" s="19"/>
    </row>
    <row r="1473" spans="3:11" x14ac:dyDescent="0.2">
      <c r="C1473" s="19"/>
      <c r="D1473" s="19"/>
      <c r="E1473" s="19"/>
      <c r="F1473" s="20"/>
      <c r="G1473" s="19"/>
      <c r="H1473" s="19"/>
      <c r="I1473" s="19"/>
      <c r="J1473" s="19"/>
      <c r="K1473" s="19"/>
    </row>
    <row r="1474" spans="3:11" x14ac:dyDescent="0.2">
      <c r="C1474" s="19"/>
      <c r="D1474" s="19"/>
      <c r="E1474" s="19"/>
      <c r="F1474" s="20"/>
      <c r="G1474" s="19"/>
      <c r="H1474" s="19"/>
      <c r="I1474" s="19"/>
      <c r="J1474" s="19"/>
      <c r="K1474" s="19"/>
    </row>
    <row r="1475" spans="3:11" x14ac:dyDescent="0.2">
      <c r="C1475" s="19"/>
      <c r="D1475" s="19"/>
      <c r="E1475" s="19"/>
      <c r="F1475" s="20"/>
      <c r="G1475" s="19"/>
      <c r="H1475" s="19"/>
      <c r="I1475" s="19"/>
      <c r="J1475" s="19"/>
      <c r="K1475" s="19"/>
    </row>
    <row r="1476" spans="3:11" x14ac:dyDescent="0.2">
      <c r="C1476" s="19"/>
      <c r="D1476" s="19"/>
      <c r="E1476" s="19"/>
      <c r="F1476" s="20"/>
      <c r="G1476" s="19"/>
      <c r="H1476" s="19"/>
      <c r="I1476" s="19"/>
      <c r="J1476" s="19"/>
      <c r="K1476" s="19"/>
    </row>
    <row r="1477" spans="3:11" x14ac:dyDescent="0.2">
      <c r="C1477" s="19"/>
      <c r="D1477" s="19"/>
      <c r="E1477" s="19"/>
      <c r="F1477" s="20"/>
      <c r="G1477" s="19"/>
      <c r="H1477" s="19"/>
      <c r="I1477" s="19"/>
      <c r="J1477" s="19"/>
      <c r="K1477" s="19"/>
    </row>
    <row r="1478" spans="3:11" x14ac:dyDescent="0.2">
      <c r="C1478" s="19"/>
      <c r="D1478" s="19"/>
      <c r="E1478" s="19"/>
      <c r="F1478" s="20"/>
      <c r="G1478" s="19"/>
      <c r="H1478" s="19"/>
      <c r="I1478" s="19"/>
      <c r="J1478" s="19"/>
      <c r="K1478" s="19"/>
    </row>
    <row r="1479" spans="3:11" x14ac:dyDescent="0.2">
      <c r="C1479" s="19"/>
      <c r="D1479" s="19"/>
      <c r="E1479" s="19"/>
      <c r="F1479" s="20"/>
      <c r="G1479" s="19"/>
      <c r="H1479" s="19"/>
      <c r="I1479" s="19"/>
      <c r="J1479" s="19"/>
      <c r="K1479" s="19"/>
    </row>
    <row r="1480" spans="3:11" x14ac:dyDescent="0.2">
      <c r="C1480" s="19"/>
      <c r="D1480" s="19"/>
      <c r="E1480" s="19"/>
      <c r="F1480" s="20"/>
      <c r="G1480" s="19"/>
      <c r="H1480" s="19"/>
      <c r="I1480" s="19"/>
      <c r="J1480" s="19"/>
      <c r="K1480" s="19"/>
    </row>
    <row r="1481" spans="3:11" x14ac:dyDescent="0.2">
      <c r="C1481" s="19"/>
      <c r="D1481" s="19"/>
      <c r="E1481" s="19"/>
      <c r="F1481" s="20"/>
      <c r="G1481" s="19"/>
      <c r="H1481" s="19"/>
      <c r="I1481" s="19"/>
      <c r="J1481" s="19"/>
      <c r="K1481" s="19"/>
    </row>
    <row r="1482" spans="3:11" x14ac:dyDescent="0.2">
      <c r="C1482" s="19"/>
      <c r="D1482" s="19"/>
      <c r="E1482" s="19"/>
      <c r="F1482" s="20"/>
      <c r="G1482" s="19"/>
      <c r="H1482" s="19"/>
      <c r="I1482" s="19"/>
      <c r="J1482" s="19"/>
      <c r="K1482" s="19"/>
    </row>
    <row r="1483" spans="3:11" x14ac:dyDescent="0.2">
      <c r="C1483" s="19"/>
      <c r="D1483" s="19"/>
      <c r="E1483" s="19"/>
      <c r="F1483" s="20"/>
      <c r="G1483" s="19"/>
      <c r="H1483" s="19"/>
      <c r="I1483" s="19"/>
      <c r="J1483" s="19"/>
      <c r="K1483" s="19"/>
    </row>
    <row r="1484" spans="3:11" x14ac:dyDescent="0.2">
      <c r="C1484" s="19"/>
      <c r="D1484" s="19"/>
      <c r="E1484" s="19"/>
      <c r="F1484" s="20"/>
      <c r="G1484" s="19"/>
      <c r="H1484" s="19"/>
      <c r="I1484" s="19"/>
      <c r="J1484" s="19"/>
      <c r="K1484" s="19"/>
    </row>
    <row r="1485" spans="3:11" x14ac:dyDescent="0.2">
      <c r="C1485" s="19"/>
      <c r="D1485" s="19"/>
      <c r="E1485" s="19"/>
      <c r="F1485" s="20"/>
      <c r="G1485" s="19"/>
      <c r="H1485" s="19"/>
      <c r="I1485" s="19"/>
      <c r="J1485" s="19"/>
      <c r="K1485" s="19"/>
    </row>
    <row r="1486" spans="3:11" x14ac:dyDescent="0.2">
      <c r="C1486" s="19"/>
      <c r="D1486" s="19"/>
      <c r="E1486" s="19"/>
      <c r="F1486" s="20"/>
      <c r="G1486" s="19"/>
      <c r="H1486" s="19"/>
      <c r="I1486" s="19"/>
      <c r="J1486" s="19"/>
      <c r="K1486" s="19"/>
    </row>
    <row r="1487" spans="3:11" x14ac:dyDescent="0.2">
      <c r="C1487" s="19"/>
      <c r="D1487" s="19"/>
      <c r="E1487" s="19"/>
      <c r="F1487" s="20"/>
      <c r="G1487" s="19"/>
      <c r="H1487" s="19"/>
      <c r="I1487" s="19"/>
      <c r="J1487" s="21"/>
      <c r="K1487" s="19"/>
    </row>
    <row r="1488" spans="3:11" x14ac:dyDescent="0.2">
      <c r="C1488" s="19"/>
      <c r="D1488" s="19"/>
      <c r="E1488" s="19"/>
      <c r="F1488" s="20"/>
      <c r="G1488" s="19"/>
      <c r="H1488" s="19"/>
      <c r="I1488" s="19"/>
      <c r="J1488" s="21"/>
      <c r="K1488" s="19"/>
    </row>
    <row r="1489" spans="3:11" x14ac:dyDescent="0.2">
      <c r="C1489" s="19"/>
      <c r="D1489" s="19"/>
      <c r="E1489" s="19"/>
      <c r="F1489" s="20"/>
      <c r="G1489" s="19"/>
      <c r="H1489" s="19"/>
      <c r="I1489" s="19"/>
      <c r="J1489" s="21"/>
      <c r="K1489" s="19"/>
    </row>
    <row r="1490" spans="3:11" x14ac:dyDescent="0.2">
      <c r="C1490" s="19"/>
      <c r="D1490" s="19"/>
      <c r="E1490" s="19"/>
      <c r="F1490" s="20"/>
      <c r="G1490" s="19"/>
      <c r="H1490" s="19"/>
      <c r="I1490" s="19"/>
      <c r="J1490" s="19"/>
      <c r="K1490" s="19"/>
    </row>
    <row r="1491" spans="3:11" x14ac:dyDescent="0.2">
      <c r="C1491" s="19"/>
      <c r="D1491" s="19"/>
      <c r="E1491" s="19"/>
      <c r="F1491" s="20"/>
      <c r="G1491" s="19"/>
      <c r="H1491" s="19"/>
      <c r="I1491" s="19"/>
      <c r="J1491" s="19"/>
      <c r="K1491" s="19"/>
    </row>
    <row r="1492" spans="3:11" x14ac:dyDescent="0.2">
      <c r="C1492" s="19"/>
      <c r="D1492" s="19"/>
      <c r="E1492" s="19"/>
      <c r="F1492" s="20"/>
      <c r="G1492" s="19"/>
      <c r="H1492" s="19"/>
      <c r="I1492" s="19"/>
      <c r="J1492" s="19"/>
      <c r="K1492" s="19"/>
    </row>
    <row r="1493" spans="3:11" x14ac:dyDescent="0.2">
      <c r="C1493" s="19"/>
      <c r="D1493" s="19"/>
      <c r="E1493" s="19"/>
      <c r="F1493" s="20"/>
      <c r="G1493" s="19"/>
      <c r="H1493" s="19"/>
      <c r="I1493" s="19"/>
      <c r="J1493" s="19"/>
      <c r="K1493" s="19"/>
    </row>
    <row r="1494" spans="3:11" x14ac:dyDescent="0.2">
      <c r="C1494" s="19"/>
      <c r="D1494" s="19"/>
      <c r="E1494" s="19"/>
      <c r="F1494" s="20"/>
      <c r="G1494" s="19"/>
      <c r="H1494" s="19"/>
      <c r="I1494" s="19"/>
      <c r="J1494" s="19"/>
      <c r="K1494" s="19"/>
    </row>
    <row r="1495" spans="3:11" x14ac:dyDescent="0.2">
      <c r="C1495" s="19"/>
      <c r="D1495" s="19"/>
      <c r="E1495" s="19"/>
      <c r="F1495" s="20"/>
      <c r="G1495" s="19"/>
      <c r="H1495" s="19"/>
      <c r="I1495" s="19"/>
      <c r="J1495" s="19"/>
      <c r="K1495" s="19"/>
    </row>
    <row r="1496" spans="3:11" x14ac:dyDescent="0.2">
      <c r="C1496" s="19"/>
      <c r="D1496" s="19"/>
      <c r="E1496" s="19"/>
      <c r="F1496" s="20"/>
      <c r="G1496" s="19"/>
      <c r="H1496" s="19"/>
      <c r="I1496" s="19"/>
      <c r="J1496" s="19"/>
      <c r="K1496" s="19"/>
    </row>
    <row r="1497" spans="3:11" x14ac:dyDescent="0.2">
      <c r="C1497" s="19"/>
      <c r="D1497" s="19"/>
      <c r="E1497" s="19"/>
      <c r="F1497" s="20"/>
      <c r="G1497" s="19"/>
      <c r="H1497" s="19"/>
      <c r="I1497" s="19"/>
      <c r="J1497" s="19"/>
      <c r="K1497" s="19"/>
    </row>
    <row r="1498" spans="3:11" x14ac:dyDescent="0.2">
      <c r="C1498" s="19"/>
      <c r="D1498" s="19"/>
      <c r="E1498" s="19"/>
      <c r="F1498" s="20"/>
      <c r="G1498" s="19"/>
      <c r="H1498" s="19"/>
      <c r="I1498" s="19"/>
      <c r="J1498" s="21"/>
      <c r="K1498" s="19"/>
    </row>
    <row r="1499" spans="3:11" x14ac:dyDescent="0.2">
      <c r="C1499" s="19"/>
      <c r="D1499" s="19"/>
      <c r="E1499" s="19"/>
      <c r="F1499" s="20"/>
      <c r="G1499" s="19"/>
      <c r="H1499" s="19"/>
      <c r="I1499" s="19"/>
      <c r="J1499" s="21"/>
      <c r="K1499" s="19"/>
    </row>
    <row r="1500" spans="3:11" x14ac:dyDescent="0.2">
      <c r="C1500" s="19"/>
      <c r="D1500" s="19"/>
      <c r="E1500" s="19"/>
      <c r="F1500" s="20"/>
      <c r="G1500" s="19"/>
      <c r="H1500" s="19"/>
      <c r="I1500" s="19"/>
      <c r="J1500" s="21"/>
      <c r="K1500" s="19"/>
    </row>
    <row r="1501" spans="3:11" x14ac:dyDescent="0.2">
      <c r="C1501" s="19"/>
      <c r="D1501" s="19"/>
      <c r="E1501" s="19"/>
      <c r="F1501" s="20"/>
      <c r="G1501" s="19"/>
      <c r="H1501" s="19"/>
      <c r="I1501" s="19"/>
      <c r="J1501" s="19"/>
      <c r="K1501" s="19"/>
    </row>
    <row r="1502" spans="3:11" x14ac:dyDescent="0.2">
      <c r="C1502" s="19"/>
      <c r="D1502" s="19"/>
      <c r="E1502" s="19"/>
      <c r="F1502" s="20"/>
      <c r="G1502" s="19"/>
      <c r="H1502" s="19"/>
      <c r="I1502" s="19"/>
      <c r="J1502" s="19"/>
      <c r="K1502" s="19"/>
    </row>
    <row r="1503" spans="3:11" x14ac:dyDescent="0.2">
      <c r="C1503" s="19"/>
      <c r="D1503" s="19"/>
      <c r="E1503" s="19"/>
      <c r="F1503" s="20"/>
      <c r="G1503" s="19"/>
      <c r="H1503" s="19"/>
      <c r="I1503" s="19"/>
      <c r="J1503" s="19"/>
      <c r="K1503" s="19"/>
    </row>
    <row r="1504" spans="3:11" x14ac:dyDescent="0.2">
      <c r="C1504" s="19"/>
      <c r="D1504" s="19"/>
      <c r="E1504" s="19"/>
      <c r="F1504" s="20"/>
      <c r="G1504" s="19"/>
      <c r="H1504" s="19"/>
      <c r="I1504" s="19"/>
      <c r="J1504" s="19"/>
      <c r="K1504" s="19"/>
    </row>
    <row r="1505" spans="3:11" x14ac:dyDescent="0.2">
      <c r="C1505" s="19"/>
      <c r="D1505" s="19"/>
      <c r="E1505" s="19"/>
      <c r="F1505" s="20"/>
      <c r="G1505" s="19"/>
      <c r="H1505" s="19"/>
      <c r="I1505" s="19"/>
      <c r="J1505" s="19"/>
      <c r="K1505" s="19"/>
    </row>
    <row r="1506" spans="3:11" x14ac:dyDescent="0.2">
      <c r="C1506" s="19"/>
      <c r="D1506" s="19"/>
      <c r="E1506" s="19"/>
      <c r="F1506" s="20"/>
      <c r="G1506" s="19"/>
      <c r="H1506" s="19"/>
      <c r="I1506" s="19"/>
      <c r="J1506" s="21"/>
      <c r="K1506" s="19"/>
    </row>
    <row r="1507" spans="3:11" x14ac:dyDescent="0.2">
      <c r="C1507" s="19"/>
      <c r="D1507" s="19"/>
      <c r="E1507" s="19"/>
      <c r="F1507" s="20"/>
      <c r="G1507" s="19"/>
      <c r="H1507" s="19"/>
      <c r="I1507" s="19"/>
      <c r="J1507" s="21"/>
      <c r="K1507" s="19"/>
    </row>
    <row r="1508" spans="3:11" x14ac:dyDescent="0.2">
      <c r="C1508" s="19"/>
      <c r="D1508" s="19"/>
      <c r="E1508" s="19"/>
      <c r="F1508" s="20"/>
      <c r="G1508" s="19"/>
      <c r="H1508" s="19"/>
      <c r="I1508" s="19"/>
      <c r="J1508" s="21"/>
      <c r="K1508" s="19"/>
    </row>
    <row r="1509" spans="3:11" x14ac:dyDescent="0.2">
      <c r="C1509" s="19"/>
      <c r="D1509" s="19"/>
      <c r="E1509" s="19"/>
      <c r="F1509" s="20"/>
      <c r="G1509" s="19"/>
      <c r="H1509" s="19"/>
      <c r="I1509" s="19"/>
      <c r="J1509" s="21"/>
      <c r="K1509" s="19"/>
    </row>
    <row r="1510" spans="3:11" x14ac:dyDescent="0.2">
      <c r="C1510" s="19"/>
      <c r="D1510" s="19"/>
      <c r="E1510" s="19"/>
      <c r="F1510" s="20"/>
      <c r="G1510" s="19"/>
      <c r="H1510" s="19"/>
      <c r="I1510" s="19"/>
      <c r="J1510" s="19"/>
      <c r="K1510" s="19"/>
    </row>
    <row r="1511" spans="3:11" x14ac:dyDescent="0.2">
      <c r="C1511" s="19"/>
      <c r="D1511" s="19"/>
      <c r="E1511" s="19"/>
      <c r="F1511" s="20"/>
      <c r="G1511" s="19"/>
      <c r="H1511" s="19"/>
      <c r="I1511" s="19"/>
      <c r="J1511" s="19"/>
      <c r="K1511" s="19"/>
    </row>
    <row r="1512" spans="3:11" x14ac:dyDescent="0.2">
      <c r="C1512" s="19"/>
      <c r="D1512" s="19"/>
      <c r="E1512" s="19"/>
      <c r="F1512" s="20"/>
      <c r="G1512" s="19"/>
      <c r="H1512" s="19"/>
      <c r="I1512" s="19"/>
      <c r="J1512" s="19"/>
      <c r="K1512" s="19"/>
    </row>
    <row r="1513" spans="3:11" x14ac:dyDescent="0.2">
      <c r="C1513" s="19"/>
      <c r="D1513" s="19"/>
      <c r="E1513" s="19"/>
      <c r="F1513" s="20"/>
      <c r="G1513" s="19"/>
      <c r="H1513" s="19"/>
      <c r="I1513" s="19"/>
      <c r="J1513" s="21"/>
      <c r="K1513" s="19"/>
    </row>
    <row r="1514" spans="3:11" x14ac:dyDescent="0.2">
      <c r="C1514" s="19"/>
      <c r="D1514" s="19"/>
      <c r="E1514" s="19"/>
      <c r="F1514" s="20"/>
      <c r="G1514" s="19"/>
      <c r="H1514" s="19"/>
      <c r="I1514" s="19"/>
      <c r="J1514" s="21"/>
      <c r="K1514" s="19"/>
    </row>
    <row r="1515" spans="3:11" x14ac:dyDescent="0.2">
      <c r="C1515" s="19"/>
      <c r="D1515" s="19"/>
      <c r="E1515" s="19"/>
      <c r="F1515" s="20"/>
      <c r="G1515" s="19"/>
      <c r="H1515" s="19"/>
      <c r="I1515" s="19"/>
      <c r="J1515" s="21"/>
      <c r="K1515" s="19"/>
    </row>
    <row r="1516" spans="3:11" x14ac:dyDescent="0.2">
      <c r="C1516" s="19"/>
      <c r="D1516" s="19"/>
      <c r="E1516" s="19"/>
      <c r="F1516" s="20"/>
      <c r="G1516" s="19"/>
      <c r="H1516" s="19"/>
      <c r="I1516" s="19"/>
      <c r="J1516" s="21"/>
      <c r="K1516" s="19"/>
    </row>
    <row r="1517" spans="3:11" x14ac:dyDescent="0.2">
      <c r="C1517" s="19"/>
      <c r="D1517" s="19"/>
      <c r="E1517" s="19"/>
      <c r="F1517" s="20"/>
      <c r="G1517" s="19"/>
      <c r="H1517" s="19"/>
      <c r="I1517" s="19"/>
      <c r="J1517" s="19"/>
      <c r="K1517" s="19"/>
    </row>
    <row r="1518" spans="3:11" x14ac:dyDescent="0.2">
      <c r="C1518" s="19"/>
      <c r="D1518" s="19"/>
      <c r="E1518" s="19"/>
      <c r="F1518" s="20"/>
      <c r="G1518" s="19"/>
      <c r="H1518" s="19"/>
      <c r="I1518" s="19"/>
      <c r="J1518" s="19"/>
      <c r="K1518" s="19"/>
    </row>
    <row r="1519" spans="3:11" x14ac:dyDescent="0.2">
      <c r="C1519" s="19"/>
      <c r="D1519" s="19"/>
      <c r="E1519" s="19"/>
      <c r="F1519" s="20"/>
      <c r="G1519" s="19"/>
      <c r="H1519" s="19"/>
      <c r="I1519" s="19"/>
      <c r="J1519" s="19"/>
      <c r="K1519" s="19"/>
    </row>
    <row r="1520" spans="3:11" x14ac:dyDescent="0.2">
      <c r="C1520" s="19"/>
      <c r="D1520" s="19"/>
      <c r="E1520" s="19"/>
      <c r="F1520" s="20"/>
      <c r="G1520" s="19"/>
      <c r="H1520" s="19"/>
      <c r="I1520" s="19"/>
      <c r="J1520" s="19"/>
      <c r="K1520" s="19"/>
    </row>
    <row r="1521" spans="3:11" x14ac:dyDescent="0.2">
      <c r="C1521" s="19"/>
      <c r="D1521" s="19"/>
      <c r="E1521" s="19"/>
      <c r="F1521" s="20"/>
      <c r="G1521" s="19"/>
      <c r="H1521" s="19"/>
      <c r="I1521" s="19"/>
      <c r="J1521" s="19"/>
      <c r="K1521" s="19"/>
    </row>
    <row r="1522" spans="3:11" x14ac:dyDescent="0.2">
      <c r="C1522" s="19"/>
      <c r="D1522" s="19"/>
      <c r="E1522" s="19"/>
      <c r="F1522" s="20"/>
      <c r="G1522" s="19"/>
      <c r="H1522" s="19"/>
      <c r="I1522" s="19"/>
      <c r="J1522" s="19"/>
      <c r="K1522" s="19"/>
    </row>
    <row r="1523" spans="3:11" x14ac:dyDescent="0.2">
      <c r="C1523" s="19"/>
      <c r="D1523" s="19"/>
      <c r="E1523" s="19"/>
      <c r="F1523" s="20"/>
      <c r="G1523" s="19"/>
      <c r="H1523" s="19"/>
      <c r="I1523" s="19"/>
      <c r="J1523" s="19"/>
      <c r="K1523" s="19"/>
    </row>
    <row r="1524" spans="3:11" x14ac:dyDescent="0.2">
      <c r="C1524" s="19"/>
      <c r="D1524" s="19"/>
      <c r="E1524" s="19"/>
      <c r="F1524" s="20"/>
      <c r="G1524" s="19"/>
      <c r="H1524" s="19"/>
      <c r="I1524" s="19"/>
      <c r="J1524" s="19"/>
      <c r="K1524" s="19"/>
    </row>
    <row r="1525" spans="3:11" x14ac:dyDescent="0.2">
      <c r="C1525" s="19"/>
      <c r="D1525" s="19"/>
      <c r="E1525" s="19"/>
      <c r="F1525" s="20"/>
      <c r="G1525" s="19"/>
      <c r="H1525" s="19"/>
      <c r="I1525" s="19"/>
      <c r="J1525" s="21"/>
      <c r="K1525" s="19"/>
    </row>
    <row r="1526" spans="3:11" x14ac:dyDescent="0.2">
      <c r="C1526" s="19"/>
      <c r="D1526" s="19"/>
      <c r="E1526" s="19"/>
      <c r="F1526" s="20"/>
      <c r="G1526" s="19"/>
      <c r="H1526" s="19"/>
      <c r="I1526" s="19"/>
      <c r="J1526" s="19"/>
      <c r="K1526" s="19"/>
    </row>
    <row r="1527" spans="3:11" x14ac:dyDescent="0.2">
      <c r="C1527" s="19"/>
      <c r="D1527" s="19"/>
      <c r="E1527" s="19"/>
      <c r="F1527" s="20"/>
      <c r="G1527" s="19"/>
      <c r="H1527" s="19"/>
      <c r="I1527" s="19"/>
      <c r="J1527" s="19"/>
      <c r="K1527" s="19"/>
    </row>
    <row r="1528" spans="3:11" x14ac:dyDescent="0.2">
      <c r="C1528" s="19"/>
      <c r="D1528" s="19"/>
      <c r="E1528" s="19"/>
      <c r="F1528" s="20"/>
      <c r="G1528" s="19"/>
      <c r="H1528" s="19"/>
      <c r="I1528" s="19"/>
      <c r="J1528" s="19"/>
      <c r="K1528" s="19"/>
    </row>
    <row r="1529" spans="3:11" x14ac:dyDescent="0.2">
      <c r="C1529" s="19"/>
      <c r="D1529" s="19"/>
      <c r="E1529" s="19"/>
      <c r="F1529" s="20"/>
      <c r="G1529" s="19"/>
      <c r="H1529" s="19"/>
      <c r="I1529" s="19"/>
      <c r="J1529" s="19"/>
      <c r="K1529" s="19"/>
    </row>
    <row r="1530" spans="3:11" x14ac:dyDescent="0.2">
      <c r="C1530" s="19"/>
      <c r="D1530" s="19"/>
      <c r="E1530" s="19"/>
      <c r="F1530" s="20"/>
      <c r="G1530" s="19"/>
      <c r="H1530" s="19"/>
      <c r="I1530" s="19"/>
      <c r="J1530" s="19"/>
      <c r="K1530" s="19"/>
    </row>
    <row r="1531" spans="3:11" x14ac:dyDescent="0.2">
      <c r="C1531" s="19"/>
      <c r="D1531" s="19"/>
      <c r="E1531" s="19"/>
      <c r="F1531" s="20"/>
      <c r="G1531" s="19"/>
      <c r="H1531" s="19"/>
      <c r="I1531" s="19"/>
      <c r="J1531" s="19"/>
      <c r="K1531" s="19"/>
    </row>
    <row r="1532" spans="3:11" x14ac:dyDescent="0.2">
      <c r="C1532" s="19"/>
      <c r="D1532" s="19"/>
      <c r="E1532" s="19"/>
      <c r="F1532" s="20"/>
      <c r="G1532" s="19"/>
      <c r="H1532" s="19"/>
      <c r="I1532" s="19"/>
      <c r="J1532" s="19"/>
      <c r="K1532" s="19"/>
    </row>
    <row r="1533" spans="3:11" x14ac:dyDescent="0.2">
      <c r="C1533" s="19"/>
      <c r="D1533" s="19"/>
      <c r="E1533" s="19"/>
      <c r="F1533" s="20"/>
      <c r="G1533" s="19"/>
      <c r="H1533" s="19"/>
      <c r="I1533" s="19"/>
      <c r="J1533" s="19"/>
      <c r="K1533" s="19"/>
    </row>
    <row r="1534" spans="3:11" x14ac:dyDescent="0.2">
      <c r="C1534" s="19"/>
      <c r="D1534" s="19"/>
      <c r="E1534" s="19"/>
      <c r="F1534" s="20"/>
      <c r="G1534" s="19"/>
      <c r="H1534" s="19"/>
      <c r="I1534" s="19"/>
      <c r="J1534" s="19"/>
      <c r="K1534" s="19"/>
    </row>
    <row r="1535" spans="3:11" x14ac:dyDescent="0.2">
      <c r="C1535" s="19"/>
      <c r="D1535" s="19"/>
      <c r="E1535" s="19"/>
      <c r="F1535" s="20"/>
      <c r="G1535" s="19"/>
      <c r="H1535" s="19"/>
      <c r="I1535" s="19"/>
      <c r="J1535" s="21"/>
      <c r="K1535" s="19"/>
    </row>
    <row r="1536" spans="3:11" x14ac:dyDescent="0.2">
      <c r="C1536" s="19"/>
      <c r="D1536" s="19"/>
      <c r="E1536" s="19"/>
      <c r="F1536" s="20"/>
      <c r="G1536" s="19"/>
      <c r="H1536" s="19"/>
      <c r="I1536" s="19"/>
      <c r="J1536" s="21"/>
      <c r="K1536" s="19"/>
    </row>
    <row r="1537" spans="3:11" x14ac:dyDescent="0.2">
      <c r="C1537" s="19"/>
      <c r="D1537" s="19"/>
      <c r="E1537" s="19"/>
      <c r="F1537" s="20"/>
      <c r="G1537" s="19"/>
      <c r="H1537" s="19"/>
      <c r="I1537" s="19"/>
      <c r="J1537" s="21"/>
      <c r="K1537" s="19"/>
    </row>
    <row r="1538" spans="3:11" x14ac:dyDescent="0.2">
      <c r="C1538" s="19"/>
      <c r="D1538" s="19"/>
      <c r="E1538" s="19"/>
      <c r="F1538" s="20"/>
      <c r="G1538" s="19"/>
      <c r="H1538" s="19"/>
      <c r="I1538" s="19"/>
      <c r="J1538" s="21"/>
      <c r="K1538" s="19"/>
    </row>
    <row r="1539" spans="3:11" x14ac:dyDescent="0.2">
      <c r="C1539" s="19"/>
      <c r="D1539" s="19"/>
      <c r="E1539" s="19"/>
      <c r="F1539" s="20"/>
      <c r="G1539" s="19"/>
      <c r="H1539" s="19"/>
      <c r="I1539" s="19"/>
      <c r="J1539" s="21"/>
      <c r="K1539" s="19"/>
    </row>
    <row r="1540" spans="3:11" x14ac:dyDescent="0.2">
      <c r="C1540" s="19"/>
      <c r="D1540" s="19"/>
      <c r="E1540" s="19"/>
      <c r="F1540" s="20"/>
      <c r="G1540" s="19"/>
      <c r="H1540" s="19"/>
      <c r="I1540" s="19"/>
      <c r="J1540" s="21"/>
      <c r="K1540" s="19"/>
    </row>
    <row r="1541" spans="3:11" x14ac:dyDescent="0.2">
      <c r="C1541" s="19"/>
      <c r="D1541" s="19"/>
      <c r="E1541" s="19"/>
      <c r="F1541" s="20"/>
      <c r="G1541" s="19"/>
      <c r="H1541" s="19"/>
      <c r="I1541" s="19"/>
      <c r="J1541" s="21"/>
      <c r="K1541" s="19"/>
    </row>
    <row r="1542" spans="3:11" x14ac:dyDescent="0.2">
      <c r="C1542" s="19"/>
      <c r="D1542" s="19"/>
      <c r="E1542" s="19"/>
      <c r="F1542" s="20"/>
      <c r="G1542" s="19"/>
      <c r="H1542" s="19"/>
      <c r="I1542" s="19"/>
      <c r="J1542" s="21"/>
      <c r="K1542" s="19"/>
    </row>
    <row r="1543" spans="3:11" x14ac:dyDescent="0.2">
      <c r="C1543" s="19"/>
      <c r="D1543" s="19"/>
      <c r="E1543" s="19"/>
      <c r="F1543" s="20"/>
      <c r="G1543" s="19"/>
      <c r="H1543" s="19"/>
      <c r="I1543" s="19"/>
      <c r="J1543" s="21"/>
      <c r="K1543" s="19"/>
    </row>
    <row r="1544" spans="3:11" x14ac:dyDescent="0.2">
      <c r="C1544" s="19"/>
      <c r="D1544" s="19"/>
      <c r="E1544" s="19"/>
      <c r="F1544" s="20"/>
      <c r="G1544" s="19"/>
      <c r="H1544" s="19"/>
      <c r="I1544" s="19"/>
      <c r="J1544" s="19"/>
      <c r="K1544" s="19"/>
    </row>
    <row r="1545" spans="3:11" x14ac:dyDescent="0.2">
      <c r="C1545" s="19"/>
      <c r="D1545" s="19"/>
      <c r="E1545" s="19"/>
      <c r="F1545" s="20"/>
      <c r="G1545" s="19"/>
      <c r="H1545" s="19"/>
      <c r="I1545" s="19"/>
      <c r="J1545" s="19"/>
      <c r="K1545" s="19"/>
    </row>
    <row r="1546" spans="3:11" x14ac:dyDescent="0.2">
      <c r="C1546" s="19"/>
      <c r="D1546" s="19"/>
      <c r="E1546" s="19"/>
      <c r="F1546" s="20"/>
      <c r="G1546" s="19"/>
      <c r="H1546" s="19"/>
      <c r="I1546" s="19"/>
      <c r="J1546" s="19"/>
      <c r="K1546" s="19"/>
    </row>
    <row r="1547" spans="3:11" x14ac:dyDescent="0.2">
      <c r="C1547" s="19"/>
      <c r="D1547" s="19"/>
      <c r="E1547" s="19"/>
      <c r="F1547" s="20"/>
      <c r="G1547" s="19"/>
      <c r="H1547" s="19"/>
      <c r="I1547" s="19"/>
      <c r="J1547" s="21"/>
      <c r="K1547" s="19"/>
    </row>
    <row r="1548" spans="3:11" x14ac:dyDescent="0.2">
      <c r="C1548" s="19"/>
      <c r="D1548" s="19"/>
      <c r="E1548" s="19"/>
      <c r="F1548" s="20"/>
      <c r="G1548" s="19"/>
      <c r="H1548" s="19"/>
      <c r="I1548" s="19"/>
      <c r="J1548" s="21"/>
      <c r="K1548" s="19"/>
    </row>
    <row r="1549" spans="3:11" x14ac:dyDescent="0.2">
      <c r="C1549" s="19"/>
      <c r="D1549" s="19"/>
      <c r="E1549" s="19"/>
      <c r="F1549" s="20"/>
      <c r="G1549" s="19"/>
      <c r="H1549" s="19"/>
      <c r="I1549" s="19"/>
      <c r="J1549" s="21"/>
      <c r="K1549" s="19"/>
    </row>
    <row r="1550" spans="3:11" x14ac:dyDescent="0.2">
      <c r="C1550" s="19"/>
      <c r="D1550" s="19"/>
      <c r="E1550" s="19"/>
      <c r="F1550" s="20"/>
      <c r="G1550" s="19"/>
      <c r="H1550" s="19"/>
      <c r="I1550" s="19"/>
      <c r="J1550" s="21"/>
      <c r="K1550" s="19"/>
    </row>
    <row r="1551" spans="3:11" x14ac:dyDescent="0.2">
      <c r="C1551" s="19"/>
      <c r="D1551" s="19"/>
      <c r="E1551" s="19"/>
      <c r="F1551" s="20"/>
      <c r="G1551" s="19"/>
      <c r="H1551" s="19"/>
      <c r="I1551" s="19"/>
      <c r="J1551" s="21"/>
      <c r="K1551" s="19"/>
    </row>
    <row r="1552" spans="3:11" x14ac:dyDescent="0.2">
      <c r="C1552" s="19"/>
      <c r="D1552" s="19"/>
      <c r="E1552" s="19"/>
      <c r="F1552" s="20"/>
      <c r="G1552" s="19"/>
      <c r="H1552" s="19"/>
      <c r="I1552" s="19"/>
      <c r="J1552" s="21"/>
      <c r="K1552" s="19"/>
    </row>
    <row r="1553" spans="3:11" x14ac:dyDescent="0.2">
      <c r="C1553" s="19"/>
      <c r="D1553" s="19"/>
      <c r="E1553" s="19"/>
      <c r="F1553" s="20"/>
      <c r="G1553" s="19"/>
      <c r="H1553" s="19"/>
      <c r="I1553" s="19"/>
      <c r="J1553" s="21"/>
      <c r="K1553" s="19"/>
    </row>
    <row r="1554" spans="3:11" x14ac:dyDescent="0.2">
      <c r="C1554" s="19"/>
      <c r="D1554" s="19"/>
      <c r="E1554" s="19"/>
      <c r="F1554" s="20"/>
      <c r="G1554" s="19"/>
      <c r="H1554" s="19"/>
      <c r="I1554" s="19"/>
      <c r="J1554" s="21"/>
      <c r="K1554" s="19"/>
    </row>
    <row r="1555" spans="3:11" x14ac:dyDescent="0.2">
      <c r="C1555" s="19"/>
      <c r="D1555" s="19"/>
      <c r="E1555" s="19"/>
      <c r="F1555" s="20"/>
      <c r="G1555" s="19"/>
      <c r="H1555" s="19"/>
      <c r="I1555" s="19"/>
      <c r="J1555" s="21"/>
      <c r="K1555" s="19"/>
    </row>
    <row r="1556" spans="3:11" x14ac:dyDescent="0.2">
      <c r="C1556" s="19"/>
      <c r="D1556" s="19"/>
      <c r="E1556" s="19"/>
      <c r="F1556" s="20"/>
      <c r="G1556" s="19"/>
      <c r="H1556" s="19"/>
      <c r="I1556" s="19"/>
      <c r="J1556" s="21"/>
      <c r="K1556" s="19"/>
    </row>
    <row r="1557" spans="3:11" x14ac:dyDescent="0.2">
      <c r="C1557" s="19"/>
      <c r="D1557" s="19"/>
      <c r="E1557" s="19"/>
      <c r="F1557" s="20"/>
      <c r="G1557" s="19"/>
      <c r="H1557" s="19"/>
      <c r="I1557" s="19"/>
      <c r="J1557" s="21"/>
      <c r="K1557" s="19"/>
    </row>
    <row r="1558" spans="3:11" x14ac:dyDescent="0.2">
      <c r="C1558" s="19"/>
      <c r="D1558" s="19"/>
      <c r="E1558" s="19"/>
      <c r="F1558" s="20"/>
      <c r="G1558" s="19"/>
      <c r="H1558" s="19"/>
      <c r="I1558" s="19"/>
      <c r="J1558" s="21"/>
      <c r="K1558" s="19"/>
    </row>
    <row r="1559" spans="3:11" x14ac:dyDescent="0.2">
      <c r="C1559" s="19"/>
      <c r="D1559" s="19"/>
      <c r="E1559" s="19"/>
      <c r="F1559" s="20"/>
      <c r="G1559" s="19"/>
      <c r="H1559" s="19"/>
      <c r="I1559" s="19"/>
      <c r="J1559" s="21"/>
      <c r="K1559" s="19"/>
    </row>
    <row r="1560" spans="3:11" x14ac:dyDescent="0.2">
      <c r="C1560" s="19"/>
      <c r="D1560" s="19"/>
      <c r="E1560" s="19"/>
      <c r="F1560" s="20"/>
      <c r="G1560" s="19"/>
      <c r="H1560" s="19"/>
      <c r="I1560" s="19"/>
      <c r="J1560" s="21"/>
      <c r="K1560" s="19"/>
    </row>
    <row r="1561" spans="3:11" x14ac:dyDescent="0.2">
      <c r="C1561" s="19"/>
      <c r="D1561" s="19"/>
      <c r="E1561" s="19"/>
      <c r="F1561" s="20"/>
      <c r="G1561" s="19"/>
      <c r="H1561" s="19"/>
      <c r="I1561" s="19"/>
      <c r="J1561" s="19"/>
      <c r="K1561" s="19"/>
    </row>
    <row r="1562" spans="3:11" x14ac:dyDescent="0.2">
      <c r="C1562" s="19"/>
      <c r="D1562" s="19"/>
      <c r="E1562" s="19"/>
      <c r="F1562" s="20"/>
      <c r="G1562" s="19"/>
      <c r="H1562" s="19"/>
      <c r="I1562" s="19"/>
      <c r="J1562" s="21"/>
      <c r="K1562" s="19"/>
    </row>
    <row r="1563" spans="3:11" x14ac:dyDescent="0.2">
      <c r="C1563" s="19"/>
      <c r="D1563" s="19"/>
      <c r="E1563" s="19"/>
      <c r="F1563" s="20"/>
      <c r="G1563" s="19"/>
      <c r="H1563" s="19"/>
      <c r="I1563" s="19"/>
      <c r="J1563" s="21"/>
      <c r="K1563" s="19"/>
    </row>
    <row r="1564" spans="3:11" x14ac:dyDescent="0.2">
      <c r="C1564" s="19"/>
      <c r="D1564" s="19"/>
      <c r="E1564" s="19"/>
      <c r="F1564" s="20"/>
      <c r="G1564" s="19"/>
      <c r="H1564" s="19"/>
      <c r="I1564" s="19"/>
      <c r="J1564" s="21"/>
      <c r="K1564" s="19"/>
    </row>
    <row r="1565" spans="3:11" x14ac:dyDescent="0.2">
      <c r="C1565" s="19"/>
      <c r="D1565" s="19"/>
      <c r="E1565" s="19"/>
      <c r="F1565" s="20"/>
      <c r="G1565" s="19"/>
      <c r="H1565" s="19"/>
      <c r="I1565" s="19"/>
      <c r="J1565" s="21"/>
      <c r="K1565" s="19"/>
    </row>
    <row r="1566" spans="3:11" x14ac:dyDescent="0.2">
      <c r="C1566" s="19"/>
      <c r="D1566" s="19"/>
      <c r="E1566" s="19"/>
      <c r="F1566" s="20"/>
      <c r="G1566" s="19"/>
      <c r="H1566" s="19"/>
      <c r="I1566" s="19"/>
      <c r="J1566" s="19"/>
      <c r="K1566" s="19"/>
    </row>
    <row r="1567" spans="3:11" x14ac:dyDescent="0.2">
      <c r="C1567" s="19"/>
      <c r="D1567" s="19"/>
      <c r="E1567" s="19"/>
      <c r="F1567" s="20"/>
      <c r="G1567" s="19"/>
      <c r="H1567" s="19"/>
      <c r="I1567" s="19"/>
      <c r="J1567" s="19"/>
      <c r="K1567" s="19"/>
    </row>
    <row r="1568" spans="3:11" x14ac:dyDescent="0.2">
      <c r="C1568" s="19"/>
      <c r="D1568" s="19"/>
      <c r="E1568" s="19"/>
      <c r="F1568" s="20"/>
      <c r="G1568" s="19"/>
      <c r="H1568" s="19"/>
      <c r="I1568" s="19"/>
      <c r="J1568" s="21"/>
      <c r="K1568" s="19"/>
    </row>
    <row r="1569" spans="3:11" x14ac:dyDescent="0.2">
      <c r="C1569" s="19"/>
      <c r="D1569" s="19"/>
      <c r="E1569" s="19"/>
      <c r="F1569" s="20"/>
      <c r="G1569" s="19"/>
      <c r="H1569" s="19"/>
      <c r="I1569" s="19"/>
      <c r="J1569" s="21"/>
      <c r="K1569" s="19"/>
    </row>
    <row r="1570" spans="3:11" x14ac:dyDescent="0.2">
      <c r="C1570" s="19"/>
      <c r="D1570" s="19"/>
      <c r="E1570" s="19"/>
      <c r="F1570" s="20"/>
      <c r="G1570" s="19"/>
      <c r="H1570" s="19"/>
      <c r="I1570" s="19"/>
      <c r="J1570" s="21"/>
      <c r="K1570" s="19"/>
    </row>
    <row r="1571" spans="3:11" x14ac:dyDescent="0.2">
      <c r="C1571" s="19"/>
      <c r="D1571" s="19"/>
      <c r="E1571" s="19"/>
      <c r="F1571" s="20"/>
      <c r="G1571" s="19"/>
      <c r="H1571" s="19"/>
      <c r="I1571" s="19"/>
      <c r="J1571" s="21"/>
      <c r="K1571" s="19"/>
    </row>
    <row r="1572" spans="3:11" x14ac:dyDescent="0.2">
      <c r="C1572" s="19"/>
      <c r="D1572" s="19"/>
      <c r="E1572" s="19"/>
      <c r="F1572" s="20"/>
      <c r="G1572" s="19"/>
      <c r="H1572" s="19"/>
      <c r="I1572" s="19"/>
      <c r="J1572" s="19"/>
      <c r="K1572" s="19"/>
    </row>
    <row r="1573" spans="3:11" x14ac:dyDescent="0.2">
      <c r="C1573" s="19"/>
      <c r="D1573" s="19"/>
      <c r="E1573" s="19"/>
      <c r="F1573" s="20"/>
      <c r="G1573" s="19"/>
      <c r="H1573" s="19"/>
      <c r="I1573" s="19"/>
      <c r="J1573" s="19"/>
      <c r="K1573" s="19"/>
    </row>
    <row r="1574" spans="3:11" x14ac:dyDescent="0.2">
      <c r="C1574" s="19"/>
      <c r="D1574" s="19"/>
      <c r="E1574" s="19"/>
      <c r="F1574" s="20"/>
      <c r="G1574" s="19"/>
      <c r="H1574" s="19"/>
      <c r="I1574" s="19"/>
      <c r="J1574" s="19"/>
      <c r="K1574" s="19"/>
    </row>
    <row r="1575" spans="3:11" x14ac:dyDescent="0.2">
      <c r="C1575" s="19"/>
      <c r="D1575" s="19"/>
      <c r="E1575" s="19"/>
      <c r="F1575" s="20"/>
      <c r="G1575" s="19"/>
      <c r="H1575" s="19"/>
      <c r="I1575" s="19"/>
      <c r="J1575" s="19"/>
      <c r="K1575" s="19"/>
    </row>
    <row r="1576" spans="3:11" x14ac:dyDescent="0.2">
      <c r="C1576" s="19"/>
      <c r="D1576" s="19"/>
      <c r="E1576" s="19"/>
      <c r="F1576" s="20"/>
      <c r="G1576" s="19"/>
      <c r="H1576" s="19"/>
      <c r="I1576" s="19"/>
      <c r="J1576" s="19"/>
      <c r="K1576" s="19"/>
    </row>
    <row r="1577" spans="3:11" x14ac:dyDescent="0.2">
      <c r="C1577" s="19"/>
      <c r="D1577" s="19"/>
      <c r="E1577" s="19"/>
      <c r="F1577" s="20"/>
      <c r="G1577" s="19"/>
      <c r="H1577" s="19"/>
      <c r="I1577" s="19"/>
      <c r="J1577" s="21"/>
      <c r="K1577" s="19"/>
    </row>
    <row r="1578" spans="3:11" x14ac:dyDescent="0.2">
      <c r="C1578" s="19"/>
      <c r="D1578" s="19"/>
      <c r="E1578" s="19"/>
      <c r="F1578" s="20"/>
      <c r="G1578" s="19"/>
      <c r="H1578" s="19"/>
      <c r="I1578" s="19"/>
      <c r="J1578" s="21"/>
      <c r="K1578" s="19"/>
    </row>
    <row r="1579" spans="3:11" x14ac:dyDescent="0.2">
      <c r="C1579" s="19"/>
      <c r="D1579" s="19"/>
      <c r="E1579" s="19"/>
      <c r="F1579" s="20"/>
      <c r="G1579" s="19"/>
      <c r="H1579" s="19"/>
      <c r="I1579" s="19"/>
      <c r="J1579" s="21"/>
      <c r="K1579" s="19"/>
    </row>
    <row r="1580" spans="3:11" x14ac:dyDescent="0.2">
      <c r="C1580" s="19"/>
      <c r="D1580" s="19"/>
      <c r="E1580" s="19"/>
      <c r="F1580" s="20"/>
      <c r="G1580" s="19"/>
      <c r="H1580" s="19"/>
      <c r="I1580" s="19"/>
      <c r="J1580" s="21"/>
      <c r="K1580" s="19"/>
    </row>
    <row r="1581" spans="3:11" x14ac:dyDescent="0.2">
      <c r="C1581" s="19"/>
      <c r="D1581" s="19"/>
      <c r="E1581" s="19"/>
      <c r="F1581" s="20"/>
      <c r="G1581" s="19"/>
      <c r="H1581" s="19"/>
      <c r="I1581" s="19"/>
      <c r="J1581" s="21"/>
      <c r="K1581" s="19"/>
    </row>
    <row r="1582" spans="3:11" x14ac:dyDescent="0.2">
      <c r="C1582" s="19"/>
      <c r="D1582" s="19"/>
      <c r="E1582" s="19"/>
      <c r="F1582" s="20"/>
      <c r="G1582" s="19"/>
      <c r="H1582" s="19"/>
      <c r="I1582" s="19"/>
      <c r="J1582" s="21"/>
      <c r="K1582" s="19"/>
    </row>
    <row r="1583" spans="3:11" x14ac:dyDescent="0.2">
      <c r="C1583" s="19"/>
      <c r="D1583" s="19"/>
      <c r="E1583" s="19"/>
      <c r="F1583" s="20"/>
      <c r="G1583" s="19"/>
      <c r="H1583" s="19"/>
      <c r="I1583" s="19"/>
      <c r="J1583" s="19"/>
      <c r="K1583" s="19"/>
    </row>
    <row r="1584" spans="3:11" x14ac:dyDescent="0.2">
      <c r="C1584" s="19"/>
      <c r="D1584" s="19"/>
      <c r="E1584" s="19"/>
      <c r="F1584" s="20"/>
      <c r="G1584" s="19"/>
      <c r="H1584" s="19"/>
      <c r="I1584" s="19"/>
      <c r="J1584" s="19"/>
      <c r="K1584" s="19"/>
    </row>
    <row r="1585" spans="3:11" x14ac:dyDescent="0.2">
      <c r="C1585" s="19"/>
      <c r="D1585" s="19"/>
      <c r="E1585" s="19"/>
      <c r="F1585" s="20"/>
      <c r="G1585" s="19"/>
      <c r="H1585" s="19"/>
      <c r="I1585" s="19"/>
      <c r="J1585" s="21"/>
      <c r="K1585" s="19"/>
    </row>
    <row r="1586" spans="3:11" x14ac:dyDescent="0.2">
      <c r="C1586" s="19"/>
      <c r="D1586" s="19"/>
      <c r="E1586" s="19"/>
      <c r="F1586" s="20"/>
      <c r="G1586" s="19"/>
      <c r="H1586" s="19"/>
      <c r="I1586" s="19"/>
      <c r="J1586" s="21"/>
      <c r="K1586" s="19"/>
    </row>
    <row r="1587" spans="3:11" x14ac:dyDescent="0.2">
      <c r="C1587" s="19"/>
      <c r="D1587" s="19"/>
      <c r="E1587" s="19"/>
      <c r="F1587" s="20"/>
      <c r="G1587" s="19"/>
      <c r="H1587" s="19"/>
      <c r="I1587" s="19"/>
      <c r="J1587" s="19"/>
      <c r="K1587" s="19"/>
    </row>
    <row r="1588" spans="3:11" x14ac:dyDescent="0.2">
      <c r="C1588" s="19"/>
      <c r="D1588" s="19"/>
      <c r="E1588" s="19"/>
      <c r="F1588" s="20"/>
      <c r="G1588" s="19"/>
      <c r="H1588" s="19"/>
      <c r="I1588" s="19"/>
      <c r="J1588" s="19"/>
      <c r="K1588" s="19"/>
    </row>
    <row r="1589" spans="3:11" x14ac:dyDescent="0.2">
      <c r="C1589" s="19"/>
      <c r="D1589" s="19"/>
      <c r="E1589" s="19"/>
      <c r="F1589" s="20"/>
      <c r="G1589" s="19"/>
      <c r="H1589" s="19"/>
      <c r="I1589" s="19"/>
      <c r="J1589" s="19"/>
      <c r="K1589" s="19"/>
    </row>
    <row r="1590" spans="3:11" x14ac:dyDescent="0.2">
      <c r="C1590" s="19"/>
      <c r="D1590" s="19"/>
      <c r="E1590" s="19"/>
      <c r="F1590" s="20"/>
      <c r="G1590" s="19"/>
      <c r="H1590" s="19"/>
      <c r="I1590" s="19"/>
      <c r="J1590" s="19"/>
      <c r="K1590" s="19"/>
    </row>
    <row r="1591" spans="3:11" x14ac:dyDescent="0.2">
      <c r="C1591" s="19"/>
      <c r="D1591" s="19"/>
      <c r="E1591" s="19"/>
      <c r="F1591" s="20"/>
      <c r="G1591" s="19"/>
      <c r="H1591" s="19"/>
      <c r="I1591" s="19"/>
      <c r="J1591" s="19"/>
      <c r="K1591" s="19"/>
    </row>
    <row r="1592" spans="3:11" x14ac:dyDescent="0.2">
      <c r="C1592" s="19"/>
      <c r="D1592" s="19"/>
      <c r="E1592" s="19"/>
      <c r="F1592" s="20"/>
      <c r="G1592" s="19"/>
      <c r="H1592" s="19"/>
      <c r="I1592" s="19"/>
      <c r="J1592" s="19"/>
      <c r="K1592" s="19"/>
    </row>
    <row r="1593" spans="3:11" x14ac:dyDescent="0.2">
      <c r="C1593" s="19"/>
      <c r="D1593" s="19"/>
      <c r="E1593" s="19"/>
      <c r="F1593" s="20"/>
      <c r="G1593" s="19"/>
      <c r="H1593" s="19"/>
      <c r="I1593" s="19"/>
      <c r="J1593" s="19"/>
      <c r="K1593" s="19"/>
    </row>
    <row r="1594" spans="3:11" x14ac:dyDescent="0.2">
      <c r="C1594" s="19"/>
      <c r="D1594" s="19"/>
      <c r="E1594" s="19"/>
      <c r="F1594" s="20"/>
      <c r="G1594" s="19"/>
      <c r="H1594" s="19"/>
      <c r="I1594" s="19"/>
      <c r="J1594" s="19"/>
      <c r="K1594" s="19"/>
    </row>
    <row r="1595" spans="3:11" x14ac:dyDescent="0.2">
      <c r="C1595" s="19"/>
      <c r="D1595" s="19"/>
      <c r="E1595" s="19"/>
      <c r="F1595" s="20"/>
      <c r="G1595" s="19"/>
      <c r="H1595" s="19"/>
      <c r="I1595" s="19"/>
      <c r="J1595" s="19"/>
      <c r="K1595" s="19"/>
    </row>
    <row r="1596" spans="3:11" x14ac:dyDescent="0.2">
      <c r="C1596" s="19"/>
      <c r="D1596" s="19"/>
      <c r="E1596" s="19"/>
      <c r="F1596" s="20"/>
      <c r="G1596" s="19"/>
      <c r="H1596" s="19"/>
      <c r="I1596" s="19"/>
      <c r="J1596" s="19"/>
      <c r="K1596" s="19"/>
    </row>
    <row r="1597" spans="3:11" x14ac:dyDescent="0.2">
      <c r="C1597" s="19"/>
      <c r="D1597" s="19"/>
      <c r="E1597" s="19"/>
      <c r="F1597" s="20"/>
      <c r="G1597" s="19"/>
      <c r="H1597" s="19"/>
      <c r="I1597" s="19"/>
      <c r="J1597" s="19"/>
      <c r="K1597" s="19"/>
    </row>
    <row r="1598" spans="3:11" x14ac:dyDescent="0.2">
      <c r="C1598" s="19"/>
      <c r="D1598" s="19"/>
      <c r="E1598" s="19"/>
      <c r="F1598" s="20"/>
      <c r="G1598" s="19"/>
      <c r="H1598" s="19"/>
      <c r="I1598" s="19"/>
      <c r="J1598" s="19"/>
      <c r="K1598" s="19"/>
    </row>
    <row r="1599" spans="3:11" x14ac:dyDescent="0.2">
      <c r="C1599" s="19"/>
      <c r="D1599" s="19"/>
      <c r="E1599" s="19"/>
      <c r="F1599" s="20"/>
      <c r="G1599" s="19"/>
      <c r="H1599" s="19"/>
      <c r="I1599" s="19"/>
      <c r="J1599" s="19"/>
      <c r="K1599" s="19"/>
    </row>
    <row r="1600" spans="3:11" x14ac:dyDescent="0.2">
      <c r="C1600" s="19"/>
      <c r="D1600" s="19"/>
      <c r="E1600" s="19"/>
      <c r="F1600" s="20"/>
      <c r="G1600" s="19"/>
      <c r="H1600" s="19"/>
      <c r="I1600" s="19"/>
      <c r="J1600" s="19"/>
      <c r="K1600" s="19"/>
    </row>
    <row r="1601" spans="3:11" x14ac:dyDescent="0.2">
      <c r="C1601" s="19"/>
      <c r="D1601" s="19"/>
      <c r="E1601" s="19"/>
      <c r="F1601" s="20"/>
      <c r="G1601" s="19"/>
      <c r="H1601" s="19"/>
      <c r="I1601" s="19"/>
      <c r="J1601" s="19"/>
      <c r="K1601" s="19"/>
    </row>
    <row r="1602" spans="3:11" x14ac:dyDescent="0.2">
      <c r="C1602" s="19"/>
      <c r="D1602" s="19"/>
      <c r="E1602" s="19"/>
      <c r="F1602" s="20"/>
      <c r="G1602" s="19"/>
      <c r="H1602" s="19"/>
      <c r="I1602" s="19"/>
      <c r="J1602" s="19"/>
      <c r="K1602" s="19"/>
    </row>
    <row r="1603" spans="3:11" x14ac:dyDescent="0.2">
      <c r="C1603" s="19"/>
      <c r="D1603" s="19"/>
      <c r="E1603" s="19"/>
      <c r="F1603" s="20"/>
      <c r="G1603" s="19"/>
      <c r="H1603" s="19"/>
      <c r="I1603" s="19"/>
      <c r="J1603" s="21"/>
      <c r="K1603" s="19"/>
    </row>
    <row r="1604" spans="3:11" x14ac:dyDescent="0.2">
      <c r="C1604" s="19"/>
      <c r="D1604" s="19"/>
      <c r="E1604" s="19"/>
      <c r="F1604" s="20"/>
      <c r="G1604" s="19"/>
      <c r="H1604" s="19"/>
      <c r="I1604" s="19"/>
      <c r="J1604" s="21"/>
      <c r="K1604" s="19"/>
    </row>
    <row r="1605" spans="3:11" x14ac:dyDescent="0.2">
      <c r="C1605" s="19"/>
      <c r="D1605" s="19"/>
      <c r="E1605" s="19"/>
      <c r="F1605" s="20"/>
      <c r="G1605" s="19"/>
      <c r="H1605" s="19"/>
      <c r="I1605" s="19"/>
      <c r="J1605" s="21"/>
      <c r="K1605" s="19"/>
    </row>
    <row r="1606" spans="3:11" x14ac:dyDescent="0.2">
      <c r="C1606" s="19"/>
      <c r="D1606" s="19"/>
      <c r="E1606" s="19"/>
      <c r="F1606" s="20"/>
      <c r="G1606" s="19"/>
      <c r="H1606" s="19"/>
      <c r="I1606" s="19"/>
      <c r="J1606" s="21"/>
      <c r="K1606" s="19"/>
    </row>
    <row r="1607" spans="3:11" x14ac:dyDescent="0.2">
      <c r="C1607" s="19"/>
      <c r="D1607" s="19"/>
      <c r="E1607" s="19"/>
      <c r="F1607" s="20"/>
      <c r="G1607" s="19"/>
      <c r="H1607" s="19"/>
      <c r="I1607" s="19"/>
      <c r="J1607" s="21"/>
      <c r="K1607" s="19"/>
    </row>
    <row r="1608" spans="3:11" x14ac:dyDescent="0.2">
      <c r="C1608" s="19"/>
      <c r="D1608" s="19"/>
      <c r="E1608" s="19"/>
      <c r="F1608" s="20"/>
      <c r="G1608" s="19"/>
      <c r="H1608" s="19"/>
      <c r="I1608" s="19"/>
      <c r="J1608" s="19"/>
      <c r="K1608" s="19"/>
    </row>
    <row r="1609" spans="3:11" x14ac:dyDescent="0.2">
      <c r="C1609" s="19"/>
      <c r="D1609" s="19"/>
      <c r="E1609" s="19"/>
      <c r="F1609" s="20"/>
      <c r="G1609" s="19"/>
      <c r="H1609" s="19"/>
      <c r="I1609" s="19"/>
      <c r="J1609" s="19"/>
      <c r="K1609" s="19"/>
    </row>
    <row r="1610" spans="3:11" x14ac:dyDescent="0.2">
      <c r="C1610" s="19"/>
      <c r="D1610" s="19"/>
      <c r="E1610" s="19"/>
      <c r="F1610" s="20"/>
      <c r="G1610" s="19"/>
      <c r="H1610" s="19"/>
      <c r="I1610" s="19"/>
      <c r="J1610" s="19"/>
      <c r="K1610" s="19"/>
    </row>
    <row r="1611" spans="3:11" x14ac:dyDescent="0.2">
      <c r="C1611" s="19"/>
      <c r="D1611" s="19"/>
      <c r="E1611" s="19"/>
      <c r="F1611" s="20"/>
      <c r="G1611" s="19"/>
      <c r="H1611" s="19"/>
      <c r="I1611" s="19"/>
      <c r="J1611" s="19"/>
      <c r="K1611" s="19"/>
    </row>
    <row r="1612" spans="3:11" x14ac:dyDescent="0.2">
      <c r="C1612" s="19"/>
      <c r="D1612" s="19"/>
      <c r="E1612" s="19"/>
      <c r="F1612" s="20"/>
      <c r="G1612" s="19"/>
      <c r="H1612" s="19"/>
      <c r="I1612" s="19"/>
      <c r="J1612" s="21"/>
      <c r="K1612" s="19"/>
    </row>
    <row r="1613" spans="3:11" x14ac:dyDescent="0.2">
      <c r="C1613" s="19"/>
      <c r="D1613" s="19"/>
      <c r="E1613" s="19"/>
      <c r="F1613" s="20"/>
      <c r="G1613" s="19"/>
      <c r="H1613" s="19"/>
      <c r="I1613" s="19"/>
      <c r="J1613" s="21"/>
      <c r="K1613" s="19"/>
    </row>
    <row r="1614" spans="3:11" x14ac:dyDescent="0.2">
      <c r="C1614" s="19"/>
      <c r="D1614" s="19"/>
      <c r="E1614" s="19"/>
      <c r="F1614" s="20"/>
      <c r="G1614" s="19"/>
      <c r="H1614" s="19"/>
      <c r="I1614" s="19"/>
      <c r="J1614" s="21"/>
      <c r="K1614" s="19"/>
    </row>
    <row r="1615" spans="3:11" x14ac:dyDescent="0.2">
      <c r="C1615" s="19"/>
      <c r="D1615" s="19"/>
      <c r="E1615" s="19"/>
      <c r="F1615" s="20"/>
      <c r="G1615" s="19"/>
      <c r="H1615" s="19"/>
      <c r="I1615" s="19"/>
      <c r="J1615" s="21"/>
      <c r="K1615" s="19"/>
    </row>
    <row r="1616" spans="3:11" x14ac:dyDescent="0.2">
      <c r="C1616" s="19"/>
      <c r="D1616" s="19"/>
      <c r="E1616" s="19"/>
      <c r="F1616" s="20"/>
      <c r="G1616" s="19"/>
      <c r="H1616" s="19"/>
      <c r="I1616" s="19"/>
      <c r="J1616" s="21"/>
      <c r="K1616" s="19"/>
    </row>
    <row r="1617" spans="3:11" x14ac:dyDescent="0.2">
      <c r="C1617" s="19"/>
      <c r="D1617" s="19"/>
      <c r="E1617" s="19"/>
      <c r="F1617" s="20"/>
      <c r="G1617" s="19"/>
      <c r="H1617" s="19"/>
      <c r="I1617" s="19"/>
      <c r="J1617" s="21"/>
      <c r="K1617" s="19"/>
    </row>
    <row r="1618" spans="3:11" x14ac:dyDescent="0.2">
      <c r="C1618" s="19"/>
      <c r="D1618" s="19"/>
      <c r="E1618" s="19"/>
      <c r="F1618" s="20"/>
      <c r="G1618" s="19"/>
      <c r="H1618" s="19"/>
      <c r="I1618" s="19"/>
      <c r="J1618" s="19"/>
      <c r="K1618" s="19"/>
    </row>
    <row r="1619" spans="3:11" x14ac:dyDescent="0.2">
      <c r="C1619" s="19"/>
      <c r="D1619" s="19"/>
      <c r="E1619" s="19"/>
      <c r="F1619" s="20"/>
      <c r="G1619" s="19"/>
      <c r="H1619" s="19"/>
      <c r="I1619" s="19"/>
      <c r="J1619" s="19"/>
      <c r="K1619" s="19"/>
    </row>
    <row r="1620" spans="3:11" x14ac:dyDescent="0.2">
      <c r="C1620" s="19"/>
      <c r="D1620" s="19"/>
      <c r="E1620" s="19"/>
      <c r="F1620" s="20"/>
      <c r="G1620" s="19"/>
      <c r="H1620" s="19"/>
      <c r="I1620" s="19"/>
      <c r="J1620" s="19"/>
      <c r="K1620" s="19"/>
    </row>
    <row r="1621" spans="3:11" x14ac:dyDescent="0.2">
      <c r="C1621" s="19"/>
      <c r="D1621" s="19"/>
      <c r="E1621" s="19"/>
      <c r="F1621" s="20"/>
      <c r="G1621" s="19"/>
      <c r="H1621" s="19"/>
      <c r="I1621" s="19"/>
      <c r="J1621" s="19"/>
      <c r="K1621" s="19"/>
    </row>
    <row r="1622" spans="3:11" x14ac:dyDescent="0.2">
      <c r="C1622" s="19"/>
      <c r="D1622" s="19"/>
      <c r="E1622" s="19"/>
      <c r="F1622" s="20"/>
      <c r="G1622" s="19"/>
      <c r="H1622" s="19"/>
      <c r="I1622" s="19"/>
      <c r="J1622" s="19"/>
      <c r="K1622" s="19"/>
    </row>
    <row r="1623" spans="3:11" x14ac:dyDescent="0.2">
      <c r="C1623" s="19"/>
      <c r="D1623" s="19"/>
      <c r="E1623" s="19"/>
      <c r="F1623" s="20"/>
      <c r="G1623" s="19"/>
      <c r="H1623" s="19"/>
      <c r="I1623" s="19"/>
      <c r="J1623" s="19"/>
      <c r="K1623" s="19"/>
    </row>
    <row r="1624" spans="3:11" x14ac:dyDescent="0.2">
      <c r="C1624" s="19"/>
      <c r="D1624" s="19"/>
      <c r="E1624" s="19"/>
      <c r="F1624" s="20"/>
      <c r="G1624" s="19"/>
      <c r="H1624" s="19"/>
      <c r="I1624" s="19"/>
      <c r="J1624" s="19"/>
      <c r="K1624" s="19"/>
    </row>
    <row r="1625" spans="3:11" x14ac:dyDescent="0.2">
      <c r="C1625" s="19"/>
      <c r="D1625" s="19"/>
      <c r="E1625" s="19"/>
      <c r="F1625" s="20"/>
      <c r="G1625" s="19"/>
      <c r="H1625" s="19"/>
      <c r="I1625" s="19"/>
      <c r="J1625" s="19"/>
      <c r="K1625" s="19"/>
    </row>
    <row r="1626" spans="3:11" x14ac:dyDescent="0.2">
      <c r="C1626" s="19"/>
      <c r="D1626" s="19"/>
      <c r="E1626" s="19"/>
      <c r="F1626" s="20"/>
      <c r="G1626" s="19"/>
      <c r="H1626" s="19"/>
      <c r="I1626" s="19"/>
      <c r="J1626" s="19"/>
      <c r="K1626" s="19"/>
    </row>
    <row r="1627" spans="3:11" x14ac:dyDescent="0.2">
      <c r="C1627" s="19"/>
      <c r="D1627" s="19"/>
      <c r="E1627" s="19"/>
      <c r="F1627" s="20"/>
      <c r="G1627" s="19"/>
      <c r="H1627" s="19"/>
      <c r="I1627" s="19"/>
      <c r="J1627" s="19"/>
      <c r="K1627" s="19"/>
    </row>
    <row r="1628" spans="3:11" x14ac:dyDescent="0.2">
      <c r="C1628" s="19"/>
      <c r="D1628" s="19"/>
      <c r="E1628" s="19"/>
      <c r="F1628" s="20"/>
      <c r="G1628" s="19"/>
      <c r="H1628" s="19"/>
      <c r="I1628" s="19"/>
      <c r="J1628" s="19"/>
      <c r="K1628" s="19"/>
    </row>
    <row r="1629" spans="3:11" x14ac:dyDescent="0.2">
      <c r="C1629" s="19"/>
      <c r="D1629" s="19"/>
      <c r="E1629" s="19"/>
      <c r="F1629" s="20"/>
      <c r="G1629" s="19"/>
      <c r="H1629" s="19"/>
      <c r="I1629" s="19"/>
      <c r="J1629" s="19"/>
      <c r="K1629" s="19"/>
    </row>
    <row r="1630" spans="3:11" x14ac:dyDescent="0.2">
      <c r="C1630" s="19"/>
      <c r="D1630" s="19"/>
      <c r="E1630" s="19"/>
      <c r="F1630" s="20"/>
      <c r="G1630" s="19"/>
      <c r="H1630" s="19"/>
      <c r="I1630" s="19"/>
      <c r="J1630" s="19"/>
      <c r="K1630" s="19"/>
    </row>
    <row r="1631" spans="3:11" x14ac:dyDescent="0.2">
      <c r="C1631" s="19"/>
      <c r="D1631" s="19"/>
      <c r="E1631" s="19"/>
      <c r="F1631" s="20"/>
      <c r="G1631" s="19"/>
      <c r="H1631" s="19"/>
      <c r="I1631" s="19"/>
      <c r="J1631" s="19"/>
      <c r="K1631" s="19"/>
    </row>
    <row r="1632" spans="3:11" x14ac:dyDescent="0.2">
      <c r="C1632" s="19"/>
      <c r="D1632" s="19"/>
      <c r="E1632" s="19"/>
      <c r="F1632" s="20"/>
      <c r="G1632" s="19"/>
      <c r="H1632" s="19"/>
      <c r="I1632" s="19"/>
      <c r="J1632" s="21"/>
      <c r="K1632" s="19"/>
    </row>
    <row r="1633" spans="3:11" x14ac:dyDescent="0.2">
      <c r="C1633" s="19"/>
      <c r="D1633" s="19"/>
      <c r="E1633" s="19"/>
      <c r="F1633" s="20"/>
      <c r="G1633" s="19"/>
      <c r="H1633" s="19"/>
      <c r="I1633" s="19"/>
      <c r="J1633" s="21"/>
      <c r="K1633" s="19"/>
    </row>
    <row r="1634" spans="3:11" x14ac:dyDescent="0.2">
      <c r="C1634" s="19"/>
      <c r="D1634" s="19"/>
      <c r="E1634" s="19"/>
      <c r="F1634" s="20"/>
      <c r="G1634" s="19"/>
      <c r="H1634" s="19"/>
      <c r="I1634" s="19"/>
      <c r="J1634" s="21"/>
      <c r="K1634" s="19"/>
    </row>
    <row r="1635" spans="3:11" x14ac:dyDescent="0.2">
      <c r="C1635" s="19"/>
      <c r="D1635" s="19"/>
      <c r="E1635" s="19"/>
      <c r="F1635" s="20"/>
      <c r="G1635" s="19"/>
      <c r="H1635" s="19"/>
      <c r="I1635" s="19"/>
      <c r="J1635" s="21"/>
      <c r="K1635" s="19"/>
    </row>
    <row r="1636" spans="3:11" x14ac:dyDescent="0.2">
      <c r="C1636" s="19"/>
      <c r="D1636" s="19"/>
      <c r="E1636" s="19"/>
      <c r="F1636" s="20"/>
      <c r="G1636" s="19"/>
      <c r="H1636" s="19"/>
      <c r="I1636" s="19"/>
      <c r="J1636" s="19"/>
      <c r="K1636" s="19"/>
    </row>
    <row r="1637" spans="3:11" x14ac:dyDescent="0.2">
      <c r="C1637" s="19"/>
      <c r="D1637" s="19"/>
      <c r="E1637" s="19"/>
      <c r="F1637" s="20"/>
      <c r="G1637" s="19"/>
      <c r="H1637" s="19"/>
      <c r="I1637" s="19"/>
      <c r="J1637" s="19"/>
      <c r="K1637" s="19"/>
    </row>
    <row r="1638" spans="3:11" x14ac:dyDescent="0.2">
      <c r="C1638" s="19"/>
      <c r="D1638" s="19"/>
      <c r="E1638" s="19"/>
      <c r="F1638" s="20"/>
      <c r="G1638" s="19"/>
      <c r="H1638" s="19"/>
      <c r="I1638" s="19"/>
      <c r="J1638" s="19"/>
      <c r="K1638" s="19"/>
    </row>
    <row r="1639" spans="3:11" x14ac:dyDescent="0.2">
      <c r="C1639" s="19"/>
      <c r="D1639" s="19"/>
      <c r="E1639" s="19"/>
      <c r="F1639" s="20"/>
      <c r="G1639" s="19"/>
      <c r="H1639" s="19"/>
      <c r="I1639" s="19"/>
      <c r="J1639" s="19"/>
      <c r="K1639" s="19"/>
    </row>
    <row r="1640" spans="3:11" x14ac:dyDescent="0.2">
      <c r="C1640" s="19"/>
      <c r="D1640" s="19"/>
      <c r="E1640" s="19"/>
      <c r="F1640" s="20"/>
      <c r="G1640" s="19"/>
      <c r="H1640" s="19"/>
      <c r="I1640" s="19"/>
      <c r="J1640" s="19"/>
      <c r="K1640" s="19"/>
    </row>
    <row r="1641" spans="3:11" x14ac:dyDescent="0.2">
      <c r="C1641" s="19"/>
      <c r="D1641" s="19"/>
      <c r="E1641" s="19"/>
      <c r="F1641" s="20"/>
      <c r="G1641" s="19"/>
      <c r="H1641" s="19"/>
      <c r="I1641" s="19"/>
      <c r="J1641" s="19"/>
      <c r="K1641" s="19"/>
    </row>
    <row r="1642" spans="3:11" x14ac:dyDescent="0.2">
      <c r="C1642" s="19"/>
      <c r="D1642" s="19"/>
      <c r="E1642" s="19"/>
      <c r="F1642" s="20"/>
      <c r="G1642" s="19"/>
      <c r="H1642" s="19"/>
      <c r="I1642" s="19"/>
      <c r="J1642" s="19"/>
      <c r="K1642" s="19"/>
    </row>
    <row r="1643" spans="3:11" x14ac:dyDescent="0.2">
      <c r="C1643" s="19"/>
      <c r="D1643" s="19"/>
      <c r="E1643" s="19"/>
      <c r="F1643" s="20"/>
      <c r="G1643" s="19"/>
      <c r="H1643" s="19"/>
      <c r="I1643" s="19"/>
      <c r="J1643" s="19"/>
      <c r="K1643" s="19"/>
    </row>
    <row r="1644" spans="3:11" x14ac:dyDescent="0.2">
      <c r="C1644" s="19"/>
      <c r="D1644" s="19"/>
      <c r="E1644" s="19"/>
      <c r="F1644" s="20"/>
      <c r="G1644" s="19"/>
      <c r="H1644" s="19"/>
      <c r="I1644" s="19"/>
      <c r="J1644" s="19"/>
      <c r="K1644" s="19"/>
    </row>
    <row r="1645" spans="3:11" x14ac:dyDescent="0.2">
      <c r="C1645" s="19"/>
      <c r="D1645" s="19"/>
      <c r="E1645" s="19"/>
      <c r="F1645" s="20"/>
      <c r="G1645" s="19"/>
      <c r="H1645" s="19"/>
      <c r="I1645" s="19"/>
      <c r="J1645" s="19"/>
      <c r="K1645" s="19"/>
    </row>
    <row r="1646" spans="3:11" x14ac:dyDescent="0.2">
      <c r="C1646" s="19"/>
      <c r="D1646" s="19"/>
      <c r="E1646" s="19"/>
      <c r="F1646" s="20"/>
      <c r="G1646" s="19"/>
      <c r="H1646" s="19"/>
      <c r="I1646" s="19"/>
      <c r="J1646" s="19"/>
      <c r="K1646" s="19"/>
    </row>
    <row r="1647" spans="3:11" x14ac:dyDescent="0.2">
      <c r="C1647" s="19"/>
      <c r="D1647" s="19"/>
      <c r="E1647" s="19"/>
      <c r="F1647" s="20"/>
      <c r="G1647" s="19"/>
      <c r="H1647" s="19"/>
      <c r="I1647" s="19"/>
      <c r="J1647" s="19"/>
      <c r="K1647" s="19"/>
    </row>
    <row r="1648" spans="3:11" x14ac:dyDescent="0.2">
      <c r="C1648" s="19"/>
      <c r="D1648" s="19"/>
      <c r="E1648" s="19"/>
      <c r="F1648" s="20"/>
      <c r="G1648" s="19"/>
      <c r="H1648" s="19"/>
      <c r="I1648" s="19"/>
      <c r="J1648" s="19"/>
      <c r="K1648" s="19"/>
    </row>
    <row r="1649" spans="3:11" x14ac:dyDescent="0.2">
      <c r="C1649" s="19"/>
      <c r="D1649" s="19"/>
      <c r="E1649" s="19"/>
      <c r="F1649" s="20"/>
      <c r="G1649" s="19"/>
      <c r="H1649" s="19"/>
      <c r="I1649" s="19"/>
      <c r="J1649" s="19"/>
      <c r="K1649" s="19"/>
    </row>
    <row r="1650" spans="3:11" x14ac:dyDescent="0.2">
      <c r="C1650" s="19"/>
      <c r="D1650" s="19"/>
      <c r="E1650" s="19"/>
      <c r="F1650" s="20"/>
      <c r="G1650" s="19"/>
      <c r="H1650" s="19"/>
      <c r="I1650" s="19"/>
      <c r="J1650" s="19"/>
      <c r="K1650" s="19"/>
    </row>
    <row r="1651" spans="3:11" x14ac:dyDescent="0.2">
      <c r="C1651" s="19"/>
      <c r="D1651" s="19"/>
      <c r="E1651" s="19"/>
      <c r="F1651" s="20"/>
      <c r="G1651" s="19"/>
      <c r="H1651" s="19"/>
      <c r="I1651" s="19"/>
      <c r="J1651" s="19"/>
      <c r="K1651" s="19"/>
    </row>
    <row r="1652" spans="3:11" x14ac:dyDescent="0.2">
      <c r="C1652" s="19"/>
      <c r="D1652" s="19"/>
      <c r="E1652" s="19"/>
      <c r="F1652" s="20"/>
      <c r="G1652" s="19"/>
      <c r="H1652" s="19"/>
      <c r="I1652" s="19"/>
      <c r="J1652" s="19"/>
      <c r="K1652" s="19"/>
    </row>
    <row r="1653" spans="3:11" x14ac:dyDescent="0.2">
      <c r="C1653" s="19"/>
      <c r="D1653" s="19"/>
      <c r="E1653" s="19"/>
      <c r="F1653" s="20"/>
      <c r="G1653" s="19"/>
      <c r="H1653" s="19"/>
      <c r="I1653" s="19"/>
      <c r="J1653" s="19"/>
      <c r="K1653" s="19"/>
    </row>
    <row r="1654" spans="3:11" x14ac:dyDescent="0.2">
      <c r="C1654" s="19"/>
      <c r="D1654" s="19"/>
      <c r="E1654" s="19"/>
      <c r="F1654" s="20"/>
      <c r="G1654" s="19"/>
      <c r="H1654" s="19"/>
      <c r="I1654" s="19"/>
      <c r="J1654" s="19"/>
      <c r="K1654" s="19"/>
    </row>
    <row r="1655" spans="3:11" x14ac:dyDescent="0.2">
      <c r="C1655" s="19"/>
      <c r="D1655" s="19"/>
      <c r="E1655" s="19"/>
      <c r="F1655" s="20"/>
      <c r="G1655" s="19"/>
      <c r="H1655" s="19"/>
      <c r="I1655" s="19"/>
      <c r="J1655" s="19"/>
      <c r="K1655" s="19"/>
    </row>
    <row r="1656" spans="3:11" x14ac:dyDescent="0.2">
      <c r="C1656" s="19"/>
      <c r="D1656" s="19"/>
      <c r="E1656" s="19"/>
      <c r="F1656" s="20"/>
      <c r="G1656" s="19"/>
      <c r="H1656" s="19"/>
      <c r="I1656" s="19"/>
      <c r="J1656" s="19"/>
      <c r="K1656" s="19"/>
    </row>
    <row r="1657" spans="3:11" x14ac:dyDescent="0.2">
      <c r="C1657" s="19"/>
      <c r="D1657" s="19"/>
      <c r="E1657" s="19"/>
      <c r="F1657" s="20"/>
      <c r="G1657" s="19"/>
      <c r="H1657" s="19"/>
      <c r="I1657" s="19"/>
      <c r="J1657" s="19"/>
      <c r="K1657" s="19"/>
    </row>
    <row r="1658" spans="3:11" x14ac:dyDescent="0.2">
      <c r="C1658" s="19"/>
      <c r="D1658" s="19"/>
      <c r="E1658" s="19"/>
      <c r="F1658" s="20"/>
      <c r="G1658" s="19"/>
      <c r="H1658" s="19"/>
      <c r="I1658" s="19"/>
      <c r="J1658" s="19"/>
      <c r="K1658" s="19"/>
    </row>
    <row r="1659" spans="3:11" x14ac:dyDescent="0.2">
      <c r="C1659" s="19"/>
      <c r="D1659" s="19"/>
      <c r="E1659" s="19"/>
      <c r="F1659" s="20"/>
      <c r="G1659" s="19"/>
      <c r="H1659" s="19"/>
      <c r="I1659" s="19"/>
      <c r="J1659" s="19"/>
      <c r="K1659" s="19"/>
    </row>
    <row r="1660" spans="3:11" x14ac:dyDescent="0.2">
      <c r="C1660" s="19"/>
      <c r="D1660" s="19"/>
      <c r="E1660" s="19"/>
      <c r="F1660" s="20"/>
      <c r="G1660" s="19"/>
      <c r="H1660" s="19"/>
      <c r="I1660" s="19"/>
      <c r="J1660" s="19"/>
      <c r="K1660" s="19"/>
    </row>
    <row r="1661" spans="3:11" x14ac:dyDescent="0.2">
      <c r="C1661" s="19"/>
      <c r="D1661" s="19"/>
      <c r="E1661" s="19"/>
      <c r="F1661" s="20"/>
      <c r="G1661" s="19"/>
      <c r="H1661" s="19"/>
      <c r="I1661" s="19"/>
      <c r="J1661" s="19"/>
      <c r="K1661" s="19"/>
    </row>
    <row r="1662" spans="3:11" x14ac:dyDescent="0.2">
      <c r="C1662" s="19"/>
      <c r="D1662" s="19"/>
      <c r="E1662" s="19"/>
      <c r="F1662" s="20"/>
      <c r="G1662" s="19"/>
      <c r="H1662" s="19"/>
      <c r="I1662" s="19"/>
      <c r="J1662" s="19"/>
      <c r="K1662" s="19"/>
    </row>
    <row r="1663" spans="3:11" x14ac:dyDescent="0.2">
      <c r="C1663" s="19"/>
      <c r="D1663" s="19"/>
      <c r="E1663" s="19"/>
      <c r="F1663" s="20"/>
      <c r="G1663" s="19"/>
      <c r="H1663" s="19"/>
      <c r="I1663" s="19"/>
      <c r="J1663" s="19"/>
      <c r="K1663" s="19"/>
    </row>
    <row r="1664" spans="3:11" x14ac:dyDescent="0.2">
      <c r="C1664" s="19"/>
      <c r="D1664" s="19"/>
      <c r="E1664" s="19"/>
      <c r="F1664" s="20"/>
      <c r="G1664" s="19"/>
      <c r="H1664" s="19"/>
      <c r="I1664" s="19"/>
      <c r="J1664" s="19"/>
      <c r="K1664" s="19"/>
    </row>
    <row r="1665" spans="3:11" x14ac:dyDescent="0.2">
      <c r="C1665" s="19"/>
      <c r="D1665" s="19"/>
      <c r="E1665" s="19"/>
      <c r="F1665" s="20"/>
      <c r="G1665" s="19"/>
      <c r="H1665" s="19"/>
      <c r="I1665" s="19"/>
      <c r="J1665" s="19"/>
      <c r="K1665" s="19"/>
    </row>
    <row r="1666" spans="3:11" x14ac:dyDescent="0.2">
      <c r="C1666" s="19"/>
      <c r="D1666" s="19"/>
      <c r="E1666" s="19"/>
      <c r="F1666" s="20"/>
      <c r="G1666" s="19"/>
      <c r="H1666" s="19"/>
      <c r="I1666" s="19"/>
      <c r="J1666" s="19"/>
      <c r="K1666" s="19"/>
    </row>
    <row r="1667" spans="3:11" x14ac:dyDescent="0.2">
      <c r="C1667" s="19"/>
      <c r="D1667" s="19"/>
      <c r="E1667" s="19"/>
      <c r="F1667" s="20"/>
      <c r="G1667" s="19"/>
      <c r="H1667" s="19"/>
      <c r="I1667" s="19"/>
      <c r="J1667" s="19"/>
      <c r="K1667" s="19"/>
    </row>
    <row r="1668" spans="3:11" x14ac:dyDescent="0.2">
      <c r="C1668" s="19"/>
      <c r="D1668" s="19"/>
      <c r="E1668" s="19"/>
      <c r="F1668" s="20"/>
      <c r="G1668" s="19"/>
      <c r="H1668" s="19"/>
      <c r="I1668" s="19"/>
      <c r="J1668" s="19"/>
      <c r="K1668" s="19"/>
    </row>
    <row r="1669" spans="3:11" x14ac:dyDescent="0.2">
      <c r="C1669" s="19"/>
      <c r="D1669" s="19"/>
      <c r="E1669" s="19"/>
      <c r="F1669" s="20"/>
      <c r="G1669" s="19"/>
      <c r="H1669" s="19"/>
      <c r="I1669" s="19"/>
      <c r="J1669" s="19"/>
      <c r="K1669" s="19"/>
    </row>
    <row r="1670" spans="3:11" x14ac:dyDescent="0.2">
      <c r="C1670" s="19"/>
      <c r="D1670" s="19"/>
      <c r="E1670" s="19"/>
      <c r="F1670" s="20"/>
      <c r="G1670" s="19"/>
      <c r="H1670" s="19"/>
      <c r="I1670" s="19"/>
      <c r="J1670" s="19"/>
      <c r="K1670" s="19"/>
    </row>
    <row r="1671" spans="3:11" x14ac:dyDescent="0.2">
      <c r="C1671" s="19"/>
      <c r="D1671" s="19"/>
      <c r="E1671" s="19"/>
      <c r="F1671" s="20"/>
      <c r="G1671" s="19"/>
      <c r="H1671" s="19"/>
      <c r="I1671" s="19"/>
      <c r="J1671" s="19"/>
      <c r="K1671" s="19"/>
    </row>
    <row r="1672" spans="3:11" x14ac:dyDescent="0.2">
      <c r="C1672" s="19"/>
      <c r="D1672" s="19"/>
      <c r="E1672" s="19"/>
      <c r="F1672" s="20"/>
      <c r="G1672" s="19"/>
      <c r="H1672" s="19"/>
      <c r="I1672" s="19"/>
      <c r="J1672" s="19"/>
      <c r="K1672" s="19"/>
    </row>
    <row r="1673" spans="3:11" x14ac:dyDescent="0.2">
      <c r="C1673" s="19"/>
      <c r="D1673" s="19"/>
      <c r="E1673" s="19"/>
      <c r="F1673" s="20"/>
      <c r="G1673" s="19"/>
      <c r="H1673" s="19"/>
      <c r="I1673" s="19"/>
      <c r="J1673" s="19"/>
      <c r="K1673" s="19"/>
    </row>
    <row r="1674" spans="3:11" x14ac:dyDescent="0.2">
      <c r="C1674" s="19"/>
      <c r="D1674" s="19"/>
      <c r="E1674" s="19"/>
      <c r="F1674" s="20"/>
      <c r="G1674" s="19"/>
      <c r="H1674" s="19"/>
      <c r="I1674" s="19"/>
      <c r="J1674" s="19"/>
      <c r="K1674" s="19"/>
    </row>
    <row r="1675" spans="3:11" x14ac:dyDescent="0.2">
      <c r="C1675" s="19"/>
      <c r="D1675" s="19"/>
      <c r="E1675" s="19"/>
      <c r="F1675" s="20"/>
      <c r="G1675" s="19"/>
      <c r="H1675" s="19"/>
      <c r="I1675" s="19"/>
      <c r="J1675" s="19"/>
      <c r="K1675" s="19"/>
    </row>
    <row r="1676" spans="3:11" x14ac:dyDescent="0.2">
      <c r="C1676" s="19"/>
      <c r="D1676" s="19"/>
      <c r="E1676" s="19"/>
      <c r="F1676" s="20"/>
      <c r="G1676" s="19"/>
      <c r="H1676" s="19"/>
      <c r="I1676" s="19"/>
      <c r="J1676" s="19"/>
      <c r="K1676" s="19"/>
    </row>
    <row r="1677" spans="3:11" x14ac:dyDescent="0.2">
      <c r="C1677" s="19"/>
      <c r="D1677" s="19"/>
      <c r="E1677" s="19"/>
      <c r="F1677" s="20"/>
      <c r="G1677" s="19"/>
      <c r="H1677" s="19"/>
      <c r="I1677" s="19"/>
      <c r="J1677" s="19"/>
      <c r="K1677" s="19"/>
    </row>
    <row r="1678" spans="3:11" x14ac:dyDescent="0.2">
      <c r="C1678" s="19"/>
      <c r="D1678" s="19"/>
      <c r="E1678" s="19"/>
      <c r="F1678" s="20"/>
      <c r="G1678" s="19"/>
      <c r="H1678" s="19"/>
      <c r="I1678" s="19"/>
      <c r="J1678" s="19"/>
      <c r="K1678" s="19"/>
    </row>
    <row r="1679" spans="3:11" x14ac:dyDescent="0.2">
      <c r="C1679" s="19"/>
      <c r="D1679" s="19"/>
      <c r="E1679" s="19"/>
      <c r="F1679" s="20"/>
      <c r="G1679" s="19"/>
      <c r="H1679" s="19"/>
      <c r="I1679" s="19"/>
      <c r="J1679" s="19"/>
      <c r="K1679" s="19"/>
    </row>
    <row r="1680" spans="3:11" x14ac:dyDescent="0.2">
      <c r="C1680" s="19"/>
      <c r="D1680" s="19"/>
      <c r="E1680" s="19"/>
      <c r="F1680" s="20"/>
      <c r="G1680" s="19"/>
      <c r="H1680" s="19"/>
      <c r="I1680" s="19"/>
      <c r="J1680" s="19"/>
      <c r="K1680" s="19"/>
    </row>
    <row r="1681" spans="3:11" x14ac:dyDescent="0.2">
      <c r="C1681" s="19"/>
      <c r="D1681" s="19"/>
      <c r="E1681" s="19"/>
      <c r="F1681" s="20"/>
      <c r="G1681" s="19"/>
      <c r="H1681" s="19"/>
      <c r="I1681" s="19"/>
      <c r="J1681" s="19"/>
      <c r="K1681" s="19"/>
    </row>
    <row r="1682" spans="3:11" x14ac:dyDescent="0.2">
      <c r="C1682" s="19"/>
      <c r="D1682" s="19"/>
      <c r="E1682" s="19"/>
      <c r="F1682" s="20"/>
      <c r="G1682" s="19"/>
      <c r="H1682" s="19"/>
      <c r="I1682" s="19"/>
      <c r="J1682" s="19"/>
      <c r="K1682" s="19"/>
    </row>
    <row r="1683" spans="3:11" x14ac:dyDescent="0.2">
      <c r="C1683" s="19"/>
      <c r="D1683" s="19"/>
      <c r="E1683" s="19"/>
      <c r="F1683" s="20"/>
      <c r="G1683" s="19"/>
      <c r="H1683" s="19"/>
      <c r="I1683" s="19"/>
      <c r="J1683" s="19"/>
      <c r="K1683" s="19"/>
    </row>
    <row r="1684" spans="3:11" x14ac:dyDescent="0.2">
      <c r="C1684" s="19"/>
      <c r="D1684" s="19"/>
      <c r="E1684" s="19"/>
      <c r="F1684" s="20"/>
      <c r="G1684" s="19"/>
      <c r="H1684" s="19"/>
      <c r="I1684" s="19"/>
      <c r="J1684" s="19"/>
      <c r="K1684" s="19"/>
    </row>
    <row r="1685" spans="3:11" x14ac:dyDescent="0.2">
      <c r="C1685" s="19"/>
      <c r="D1685" s="19"/>
      <c r="E1685" s="19"/>
      <c r="F1685" s="20"/>
      <c r="G1685" s="19"/>
      <c r="H1685" s="19"/>
      <c r="I1685" s="19"/>
      <c r="J1685" s="19"/>
      <c r="K1685" s="19"/>
    </row>
    <row r="1686" spans="3:11" x14ac:dyDescent="0.2">
      <c r="C1686" s="19"/>
      <c r="D1686" s="19"/>
      <c r="E1686" s="19"/>
      <c r="F1686" s="20"/>
      <c r="G1686" s="19"/>
      <c r="H1686" s="19"/>
      <c r="I1686" s="19"/>
      <c r="J1686" s="19"/>
      <c r="K1686" s="19"/>
    </row>
    <row r="1687" spans="3:11" x14ac:dyDescent="0.2">
      <c r="C1687" s="19"/>
      <c r="D1687" s="19"/>
      <c r="E1687" s="19"/>
      <c r="F1687" s="20"/>
      <c r="G1687" s="19"/>
      <c r="H1687" s="19"/>
      <c r="I1687" s="19"/>
      <c r="J1687" s="19"/>
      <c r="K1687" s="19"/>
    </row>
    <row r="1688" spans="3:11" x14ac:dyDescent="0.2">
      <c r="C1688" s="19"/>
      <c r="D1688" s="19"/>
      <c r="E1688" s="19"/>
      <c r="F1688" s="20"/>
      <c r="G1688" s="19"/>
      <c r="H1688" s="19"/>
      <c r="I1688" s="19"/>
      <c r="J1688" s="19"/>
      <c r="K1688" s="19"/>
    </row>
    <row r="1689" spans="3:11" x14ac:dyDescent="0.2">
      <c r="C1689" s="19"/>
      <c r="D1689" s="19"/>
      <c r="E1689" s="19"/>
      <c r="F1689" s="20"/>
      <c r="G1689" s="19"/>
      <c r="H1689" s="19"/>
      <c r="I1689" s="19"/>
      <c r="J1689" s="19"/>
      <c r="K1689" s="19"/>
    </row>
    <row r="1690" spans="3:11" x14ac:dyDescent="0.2">
      <c r="C1690" s="19"/>
      <c r="D1690" s="19"/>
      <c r="E1690" s="19"/>
      <c r="F1690" s="20"/>
      <c r="G1690" s="19"/>
      <c r="H1690" s="19"/>
      <c r="I1690" s="19"/>
      <c r="J1690" s="19"/>
      <c r="K1690" s="19"/>
    </row>
    <row r="1691" spans="3:11" x14ac:dyDescent="0.2">
      <c r="C1691" s="19"/>
      <c r="D1691" s="19"/>
      <c r="E1691" s="19"/>
      <c r="F1691" s="20"/>
      <c r="G1691" s="19"/>
      <c r="H1691" s="19"/>
      <c r="I1691" s="19"/>
      <c r="J1691" s="19"/>
      <c r="K1691" s="19"/>
    </row>
    <row r="1692" spans="3:11" x14ac:dyDescent="0.2">
      <c r="C1692" s="19"/>
      <c r="D1692" s="19"/>
      <c r="E1692" s="19"/>
      <c r="F1692" s="20"/>
      <c r="G1692" s="19"/>
      <c r="H1692" s="19"/>
      <c r="I1692" s="19"/>
      <c r="J1692" s="19"/>
      <c r="K1692" s="19"/>
    </row>
    <row r="1693" spans="3:11" x14ac:dyDescent="0.2">
      <c r="C1693" s="19"/>
      <c r="D1693" s="19"/>
      <c r="E1693" s="19"/>
      <c r="F1693" s="20"/>
      <c r="G1693" s="19"/>
      <c r="H1693" s="19"/>
      <c r="I1693" s="19"/>
      <c r="J1693" s="19"/>
      <c r="K1693" s="19"/>
    </row>
    <row r="1694" spans="3:11" x14ac:dyDescent="0.2">
      <c r="C1694" s="19"/>
      <c r="D1694" s="19"/>
      <c r="E1694" s="19"/>
      <c r="F1694" s="20"/>
      <c r="G1694" s="19"/>
      <c r="H1694" s="19"/>
      <c r="I1694" s="19"/>
      <c r="J1694" s="19"/>
      <c r="K1694" s="19"/>
    </row>
    <row r="1695" spans="3:11" x14ac:dyDescent="0.2">
      <c r="C1695" s="19"/>
      <c r="D1695" s="19"/>
      <c r="E1695" s="19"/>
      <c r="F1695" s="20"/>
      <c r="G1695" s="19"/>
      <c r="H1695" s="19"/>
      <c r="I1695" s="19"/>
      <c r="J1695" s="19"/>
      <c r="K1695" s="19"/>
    </row>
    <row r="1696" spans="3:11" x14ac:dyDescent="0.2">
      <c r="C1696" s="19"/>
      <c r="D1696" s="19"/>
      <c r="E1696" s="19"/>
      <c r="F1696" s="20"/>
      <c r="G1696" s="19"/>
      <c r="H1696" s="19"/>
      <c r="I1696" s="19"/>
      <c r="J1696" s="19"/>
      <c r="K1696" s="19"/>
    </row>
    <row r="1697" spans="3:11" x14ac:dyDescent="0.2">
      <c r="C1697" s="19"/>
      <c r="D1697" s="19"/>
      <c r="E1697" s="19"/>
      <c r="F1697" s="20"/>
      <c r="G1697" s="19"/>
      <c r="H1697" s="19"/>
      <c r="I1697" s="19"/>
      <c r="J1697" s="19"/>
      <c r="K1697" s="19"/>
    </row>
    <row r="1698" spans="3:11" x14ac:dyDescent="0.2">
      <c r="C1698" s="19"/>
      <c r="D1698" s="19"/>
      <c r="E1698" s="19"/>
      <c r="F1698" s="20"/>
      <c r="G1698" s="19"/>
      <c r="H1698" s="19"/>
      <c r="I1698" s="19"/>
      <c r="J1698" s="21"/>
      <c r="K1698" s="19"/>
    </row>
    <row r="1699" spans="3:11" x14ac:dyDescent="0.2">
      <c r="C1699" s="19"/>
      <c r="D1699" s="19"/>
      <c r="E1699" s="19"/>
      <c r="F1699" s="20"/>
      <c r="G1699" s="19"/>
      <c r="H1699" s="19"/>
      <c r="I1699" s="19"/>
      <c r="J1699" s="21"/>
      <c r="K1699" s="19"/>
    </row>
    <row r="1700" spans="3:11" x14ac:dyDescent="0.2">
      <c r="C1700" s="19"/>
      <c r="D1700" s="19"/>
      <c r="E1700" s="19"/>
      <c r="F1700" s="20"/>
      <c r="G1700" s="19"/>
      <c r="H1700" s="19"/>
      <c r="I1700" s="19"/>
      <c r="J1700" s="21"/>
      <c r="K1700" s="19"/>
    </row>
    <row r="1701" spans="3:11" x14ac:dyDescent="0.2">
      <c r="C1701" s="19"/>
      <c r="D1701" s="19"/>
      <c r="E1701" s="19"/>
      <c r="F1701" s="20"/>
      <c r="G1701" s="19"/>
      <c r="H1701" s="19"/>
      <c r="I1701" s="19"/>
      <c r="J1701" s="21"/>
      <c r="K1701" s="19"/>
    </row>
    <row r="1702" spans="3:11" x14ac:dyDescent="0.2">
      <c r="C1702" s="19"/>
      <c r="D1702" s="19"/>
      <c r="E1702" s="19"/>
      <c r="F1702" s="20"/>
      <c r="G1702" s="19"/>
      <c r="H1702" s="19"/>
      <c r="I1702" s="19"/>
      <c r="J1702" s="21"/>
      <c r="K1702" s="19"/>
    </row>
    <row r="1703" spans="3:11" x14ac:dyDescent="0.2">
      <c r="C1703" s="19"/>
      <c r="D1703" s="19"/>
      <c r="E1703" s="19"/>
      <c r="F1703" s="20"/>
      <c r="G1703" s="19"/>
      <c r="H1703" s="19"/>
      <c r="I1703" s="19"/>
      <c r="J1703" s="21"/>
      <c r="K1703" s="19"/>
    </row>
    <row r="1704" spans="3:11" x14ac:dyDescent="0.2">
      <c r="C1704" s="19"/>
      <c r="D1704" s="19"/>
      <c r="E1704" s="19"/>
      <c r="F1704" s="20"/>
      <c r="G1704" s="19"/>
      <c r="H1704" s="19"/>
      <c r="I1704" s="19"/>
      <c r="J1704" s="21"/>
      <c r="K1704" s="19"/>
    </row>
    <row r="1705" spans="3:11" x14ac:dyDescent="0.2">
      <c r="C1705" s="19"/>
      <c r="D1705" s="19"/>
      <c r="E1705" s="19"/>
      <c r="F1705" s="20"/>
      <c r="G1705" s="19"/>
      <c r="H1705" s="19"/>
      <c r="I1705" s="19"/>
      <c r="J1705" s="19"/>
      <c r="K1705" s="19"/>
    </row>
    <row r="1706" spans="3:11" x14ac:dyDescent="0.2">
      <c r="C1706" s="19"/>
      <c r="D1706" s="19"/>
      <c r="E1706" s="19"/>
      <c r="F1706" s="20"/>
      <c r="G1706" s="19"/>
      <c r="H1706" s="19"/>
      <c r="I1706" s="19"/>
      <c r="J1706" s="19"/>
      <c r="K1706" s="19"/>
    </row>
    <row r="1707" spans="3:11" x14ac:dyDescent="0.2">
      <c r="C1707" s="19"/>
      <c r="D1707" s="19"/>
      <c r="E1707" s="19"/>
      <c r="F1707" s="20"/>
      <c r="G1707" s="19"/>
      <c r="H1707" s="19"/>
      <c r="I1707" s="19"/>
      <c r="J1707" s="19"/>
      <c r="K1707" s="19"/>
    </row>
    <row r="1708" spans="3:11" x14ac:dyDescent="0.2">
      <c r="C1708" s="19"/>
      <c r="D1708" s="19"/>
      <c r="E1708" s="19"/>
      <c r="F1708" s="20"/>
      <c r="G1708" s="19"/>
      <c r="H1708" s="19"/>
      <c r="I1708" s="19"/>
      <c r="J1708" s="19"/>
      <c r="K1708" s="19"/>
    </row>
    <row r="1709" spans="3:11" x14ac:dyDescent="0.2">
      <c r="C1709" s="19"/>
      <c r="D1709" s="19"/>
      <c r="E1709" s="19"/>
      <c r="F1709" s="20"/>
      <c r="G1709" s="19"/>
      <c r="H1709" s="19"/>
      <c r="I1709" s="19"/>
      <c r="J1709" s="21"/>
      <c r="K1709" s="19"/>
    </row>
    <row r="1710" spans="3:11" x14ac:dyDescent="0.2">
      <c r="C1710" s="19"/>
      <c r="D1710" s="19"/>
      <c r="E1710" s="19"/>
      <c r="F1710" s="20"/>
      <c r="G1710" s="19"/>
      <c r="H1710" s="19"/>
      <c r="I1710" s="19"/>
      <c r="J1710" s="21"/>
      <c r="K1710" s="19"/>
    </row>
    <row r="1711" spans="3:11" x14ac:dyDescent="0.2">
      <c r="C1711" s="19"/>
      <c r="D1711" s="19"/>
      <c r="E1711" s="19"/>
      <c r="F1711" s="20"/>
      <c r="G1711" s="19"/>
      <c r="H1711" s="19"/>
      <c r="I1711" s="19"/>
      <c r="J1711" s="21"/>
      <c r="K1711" s="19"/>
    </row>
    <row r="1712" spans="3:11" x14ac:dyDescent="0.2">
      <c r="C1712" s="19"/>
      <c r="D1712" s="19"/>
      <c r="E1712" s="19"/>
      <c r="F1712" s="20"/>
      <c r="G1712" s="19"/>
      <c r="H1712" s="19"/>
      <c r="I1712" s="19"/>
      <c r="J1712" s="21"/>
      <c r="K1712" s="19"/>
    </row>
    <row r="1713" spans="3:11" x14ac:dyDescent="0.2">
      <c r="C1713" s="19"/>
      <c r="D1713" s="19"/>
      <c r="E1713" s="19"/>
      <c r="F1713" s="20"/>
      <c r="G1713" s="19"/>
      <c r="H1713" s="19"/>
      <c r="I1713" s="19"/>
      <c r="J1713" s="21"/>
      <c r="K1713" s="19"/>
    </row>
    <row r="1714" spans="3:11" x14ac:dyDescent="0.2">
      <c r="C1714" s="19"/>
      <c r="D1714" s="19"/>
      <c r="E1714" s="19"/>
      <c r="F1714" s="20"/>
      <c r="G1714" s="19"/>
      <c r="H1714" s="19"/>
      <c r="I1714" s="19"/>
      <c r="J1714" s="21"/>
      <c r="K1714" s="19"/>
    </row>
    <row r="1715" spans="3:11" x14ac:dyDescent="0.2">
      <c r="C1715" s="19"/>
      <c r="D1715" s="19"/>
      <c r="E1715" s="19"/>
      <c r="F1715" s="20"/>
      <c r="G1715" s="19"/>
      <c r="H1715" s="19"/>
      <c r="I1715" s="19"/>
      <c r="J1715" s="19"/>
      <c r="K1715" s="19"/>
    </row>
    <row r="1716" spans="3:11" x14ac:dyDescent="0.2">
      <c r="C1716" s="19"/>
      <c r="D1716" s="19"/>
      <c r="E1716" s="19"/>
      <c r="F1716" s="20"/>
      <c r="G1716" s="19"/>
      <c r="H1716" s="19"/>
      <c r="I1716" s="19"/>
      <c r="J1716" s="19"/>
      <c r="K1716" s="19"/>
    </row>
    <row r="1717" spans="3:11" x14ac:dyDescent="0.2">
      <c r="C1717" s="19"/>
      <c r="D1717" s="19"/>
      <c r="E1717" s="19"/>
      <c r="F1717" s="20"/>
      <c r="G1717" s="19"/>
      <c r="H1717" s="19"/>
      <c r="I1717" s="19"/>
      <c r="J1717" s="19"/>
      <c r="K1717" s="19"/>
    </row>
    <row r="1718" spans="3:11" x14ac:dyDescent="0.2">
      <c r="C1718" s="19"/>
      <c r="D1718" s="19"/>
      <c r="E1718" s="19"/>
      <c r="F1718" s="20"/>
      <c r="G1718" s="19"/>
      <c r="H1718" s="19"/>
      <c r="I1718" s="19"/>
      <c r="J1718" s="19"/>
      <c r="K1718" s="19"/>
    </row>
    <row r="1719" spans="3:11" x14ac:dyDescent="0.2">
      <c r="C1719" s="19"/>
      <c r="D1719" s="19"/>
      <c r="E1719" s="19"/>
      <c r="F1719" s="20"/>
      <c r="G1719" s="19"/>
      <c r="H1719" s="19"/>
      <c r="I1719" s="19"/>
      <c r="J1719" s="19"/>
      <c r="K1719" s="19"/>
    </row>
    <row r="1720" spans="3:11" x14ac:dyDescent="0.2">
      <c r="C1720" s="19"/>
      <c r="D1720" s="19"/>
      <c r="E1720" s="19"/>
      <c r="F1720" s="20"/>
      <c r="G1720" s="19"/>
      <c r="H1720" s="19"/>
      <c r="I1720" s="19"/>
      <c r="J1720" s="19"/>
      <c r="K1720" s="19"/>
    </row>
    <row r="1721" spans="3:11" x14ac:dyDescent="0.2">
      <c r="C1721" s="19"/>
      <c r="D1721" s="19"/>
      <c r="E1721" s="19"/>
      <c r="F1721" s="20"/>
      <c r="G1721" s="19"/>
      <c r="H1721" s="19"/>
      <c r="I1721" s="19"/>
      <c r="J1721" s="19"/>
      <c r="K1721" s="19"/>
    </row>
    <row r="1722" spans="3:11" x14ac:dyDescent="0.2">
      <c r="C1722" s="19"/>
      <c r="D1722" s="19"/>
      <c r="E1722" s="19"/>
      <c r="F1722" s="20"/>
      <c r="G1722" s="19"/>
      <c r="H1722" s="19"/>
      <c r="I1722" s="19"/>
      <c r="J1722" s="19"/>
      <c r="K1722" s="19"/>
    </row>
    <row r="1723" spans="3:11" x14ac:dyDescent="0.2">
      <c r="C1723" s="19"/>
      <c r="D1723" s="19"/>
      <c r="E1723" s="19"/>
      <c r="F1723" s="20"/>
      <c r="G1723" s="19"/>
      <c r="H1723" s="19"/>
      <c r="I1723" s="19"/>
      <c r="J1723" s="19"/>
      <c r="K1723" s="19"/>
    </row>
    <row r="1724" spans="3:11" x14ac:dyDescent="0.2">
      <c r="C1724" s="19"/>
      <c r="D1724" s="19"/>
      <c r="E1724" s="19"/>
      <c r="F1724" s="20"/>
      <c r="G1724" s="19"/>
      <c r="H1724" s="19"/>
      <c r="I1724" s="19"/>
      <c r="J1724" s="19"/>
      <c r="K1724" s="19"/>
    </row>
    <row r="1725" spans="3:11" x14ac:dyDescent="0.2">
      <c r="C1725" s="19"/>
      <c r="D1725" s="19"/>
      <c r="E1725" s="19"/>
      <c r="F1725" s="20"/>
      <c r="G1725" s="19"/>
      <c r="H1725" s="19"/>
      <c r="I1725" s="19"/>
      <c r="J1725" s="19"/>
      <c r="K1725" s="19"/>
    </row>
    <row r="1726" spans="3:11" x14ac:dyDescent="0.2">
      <c r="C1726" s="19"/>
      <c r="D1726" s="19"/>
      <c r="E1726" s="19"/>
      <c r="F1726" s="20"/>
      <c r="G1726" s="19"/>
      <c r="H1726" s="19"/>
      <c r="I1726" s="19"/>
      <c r="J1726" s="19"/>
      <c r="K1726" s="19"/>
    </row>
    <row r="1727" spans="3:11" x14ac:dyDescent="0.2">
      <c r="C1727" s="19"/>
      <c r="D1727" s="19"/>
      <c r="E1727" s="19"/>
      <c r="F1727" s="20"/>
      <c r="G1727" s="19"/>
      <c r="H1727" s="19"/>
      <c r="I1727" s="19"/>
      <c r="J1727" s="19"/>
      <c r="K1727" s="19"/>
    </row>
    <row r="1728" spans="3:11" x14ac:dyDescent="0.2">
      <c r="C1728" s="19"/>
      <c r="D1728" s="19"/>
      <c r="E1728" s="19"/>
      <c r="F1728" s="20"/>
      <c r="G1728" s="19"/>
      <c r="H1728" s="19"/>
      <c r="I1728" s="19"/>
      <c r="J1728" s="19"/>
      <c r="K1728" s="19"/>
    </row>
    <row r="1729" spans="3:11" x14ac:dyDescent="0.2">
      <c r="C1729" s="19"/>
      <c r="D1729" s="19"/>
      <c r="E1729" s="19"/>
      <c r="F1729" s="20"/>
      <c r="G1729" s="19"/>
      <c r="H1729" s="19"/>
      <c r="I1729" s="19"/>
      <c r="J1729" s="19"/>
      <c r="K1729" s="19"/>
    </row>
    <row r="1730" spans="3:11" x14ac:dyDescent="0.2">
      <c r="C1730" s="19"/>
      <c r="D1730" s="19"/>
      <c r="E1730" s="19"/>
      <c r="F1730" s="20"/>
      <c r="G1730" s="19"/>
      <c r="H1730" s="19"/>
      <c r="I1730" s="19"/>
      <c r="J1730" s="19"/>
      <c r="K1730" s="19"/>
    </row>
    <row r="1731" spans="3:11" x14ac:dyDescent="0.2">
      <c r="C1731" s="19"/>
      <c r="D1731" s="19"/>
      <c r="E1731" s="19"/>
      <c r="F1731" s="20"/>
      <c r="G1731" s="19"/>
      <c r="H1731" s="19"/>
      <c r="I1731" s="19"/>
      <c r="J1731" s="19"/>
      <c r="K1731" s="19"/>
    </row>
    <row r="1732" spans="3:11" x14ac:dyDescent="0.2">
      <c r="C1732" s="19"/>
      <c r="D1732" s="19"/>
      <c r="E1732" s="19"/>
      <c r="F1732" s="20"/>
      <c r="G1732" s="19"/>
      <c r="H1732" s="19"/>
      <c r="I1732" s="19"/>
      <c r="J1732" s="19"/>
      <c r="K1732" s="19"/>
    </row>
    <row r="1733" spans="3:11" x14ac:dyDescent="0.2">
      <c r="C1733" s="19"/>
      <c r="D1733" s="19"/>
      <c r="E1733" s="19"/>
      <c r="F1733" s="20"/>
      <c r="G1733" s="19"/>
      <c r="H1733" s="19"/>
      <c r="I1733" s="19"/>
      <c r="J1733" s="19"/>
      <c r="K1733" s="19"/>
    </row>
    <row r="1734" spans="3:11" x14ac:dyDescent="0.2">
      <c r="C1734" s="19"/>
      <c r="D1734" s="19"/>
      <c r="E1734" s="19"/>
      <c r="F1734" s="20"/>
      <c r="G1734" s="19"/>
      <c r="H1734" s="19"/>
      <c r="I1734" s="19"/>
      <c r="J1734" s="21"/>
      <c r="K1734" s="19"/>
    </row>
    <row r="1735" spans="3:11" x14ac:dyDescent="0.2">
      <c r="C1735" s="19"/>
      <c r="D1735" s="19"/>
      <c r="E1735" s="19"/>
      <c r="F1735" s="20"/>
      <c r="G1735" s="19"/>
      <c r="H1735" s="19"/>
      <c r="I1735" s="19"/>
      <c r="J1735" s="21"/>
      <c r="K1735" s="19"/>
    </row>
    <row r="1736" spans="3:11" x14ac:dyDescent="0.2">
      <c r="C1736" s="19"/>
      <c r="D1736" s="19"/>
      <c r="E1736" s="19"/>
      <c r="F1736" s="20"/>
      <c r="G1736" s="19"/>
      <c r="H1736" s="19"/>
      <c r="I1736" s="19"/>
      <c r="J1736" s="21"/>
      <c r="K1736" s="19"/>
    </row>
    <row r="1737" spans="3:11" x14ac:dyDescent="0.2">
      <c r="C1737" s="19"/>
      <c r="D1737" s="19"/>
      <c r="E1737" s="19"/>
      <c r="F1737" s="20"/>
      <c r="G1737" s="19"/>
      <c r="H1737" s="19"/>
      <c r="I1737" s="19"/>
      <c r="J1737" s="21"/>
      <c r="K1737" s="19"/>
    </row>
    <row r="1738" spans="3:11" x14ac:dyDescent="0.2">
      <c r="C1738" s="19"/>
      <c r="D1738" s="19"/>
      <c r="E1738" s="19"/>
      <c r="F1738" s="20"/>
      <c r="G1738" s="19"/>
      <c r="H1738" s="19"/>
      <c r="I1738" s="19"/>
      <c r="J1738" s="21"/>
      <c r="K1738" s="19"/>
    </row>
    <row r="1739" spans="3:11" x14ac:dyDescent="0.2">
      <c r="C1739" s="19"/>
      <c r="D1739" s="19"/>
      <c r="E1739" s="19"/>
      <c r="F1739" s="20"/>
      <c r="G1739" s="19"/>
      <c r="H1739" s="19"/>
      <c r="I1739" s="19"/>
      <c r="J1739" s="19"/>
      <c r="K1739" s="19"/>
    </row>
    <row r="1740" spans="3:11" x14ac:dyDescent="0.2">
      <c r="C1740" s="19"/>
      <c r="D1740" s="19"/>
      <c r="E1740" s="19"/>
      <c r="F1740" s="20"/>
      <c r="G1740" s="19"/>
      <c r="H1740" s="19"/>
      <c r="I1740" s="19"/>
      <c r="J1740" s="19"/>
      <c r="K1740" s="19"/>
    </row>
    <row r="1741" spans="3:11" x14ac:dyDescent="0.2">
      <c r="C1741" s="19"/>
      <c r="D1741" s="19"/>
      <c r="E1741" s="19"/>
      <c r="F1741" s="20"/>
      <c r="G1741" s="19"/>
      <c r="H1741" s="19"/>
      <c r="I1741" s="19"/>
      <c r="J1741" s="19"/>
      <c r="K1741" s="19"/>
    </row>
    <row r="1742" spans="3:11" x14ac:dyDescent="0.2">
      <c r="C1742" s="19"/>
      <c r="D1742" s="19"/>
      <c r="E1742" s="19"/>
      <c r="F1742" s="20"/>
      <c r="G1742" s="19"/>
      <c r="H1742" s="19"/>
      <c r="I1742" s="19"/>
      <c r="J1742" s="19"/>
      <c r="K1742" s="19"/>
    </row>
    <row r="1743" spans="3:11" x14ac:dyDescent="0.2">
      <c r="C1743" s="19"/>
      <c r="D1743" s="19"/>
      <c r="E1743" s="19"/>
      <c r="F1743" s="20"/>
      <c r="G1743" s="19"/>
      <c r="H1743" s="19"/>
      <c r="I1743" s="19"/>
      <c r="J1743" s="19"/>
      <c r="K1743" s="19"/>
    </row>
    <row r="1744" spans="3:11" x14ac:dyDescent="0.2">
      <c r="C1744" s="19"/>
      <c r="D1744" s="19"/>
      <c r="E1744" s="19"/>
      <c r="F1744" s="20"/>
      <c r="G1744" s="19"/>
      <c r="H1744" s="19"/>
      <c r="I1744" s="19"/>
      <c r="J1744" s="19"/>
      <c r="K1744" s="19"/>
    </row>
    <row r="1745" spans="3:11" x14ac:dyDescent="0.2">
      <c r="C1745" s="19"/>
      <c r="D1745" s="19"/>
      <c r="E1745" s="19"/>
      <c r="F1745" s="20"/>
      <c r="G1745" s="19"/>
      <c r="H1745" s="19"/>
      <c r="I1745" s="19"/>
      <c r="J1745" s="19"/>
      <c r="K1745" s="19"/>
    </row>
    <row r="1746" spans="3:11" x14ac:dyDescent="0.2">
      <c r="C1746" s="19"/>
      <c r="D1746" s="19"/>
      <c r="E1746" s="19"/>
      <c r="F1746" s="20"/>
      <c r="G1746" s="19"/>
      <c r="H1746" s="19"/>
      <c r="I1746" s="19"/>
      <c r="J1746" s="19"/>
      <c r="K1746" s="19"/>
    </row>
    <row r="1747" spans="3:11" x14ac:dyDescent="0.2">
      <c r="C1747" s="19"/>
      <c r="D1747" s="19"/>
      <c r="E1747" s="19"/>
      <c r="F1747" s="20"/>
      <c r="G1747" s="19"/>
      <c r="H1747" s="19"/>
      <c r="I1747" s="19"/>
      <c r="J1747" s="19"/>
      <c r="K1747" s="19"/>
    </row>
    <row r="1748" spans="3:11" x14ac:dyDescent="0.2">
      <c r="C1748" s="19"/>
      <c r="D1748" s="19"/>
      <c r="E1748" s="19"/>
      <c r="F1748" s="20"/>
      <c r="G1748" s="19"/>
      <c r="H1748" s="19"/>
      <c r="I1748" s="19"/>
      <c r="J1748" s="19"/>
      <c r="K1748" s="19"/>
    </row>
    <row r="1749" spans="3:11" x14ac:dyDescent="0.2">
      <c r="C1749" s="19"/>
      <c r="D1749" s="19"/>
      <c r="E1749" s="19"/>
      <c r="F1749" s="20"/>
      <c r="G1749" s="19"/>
      <c r="H1749" s="19"/>
      <c r="I1749" s="19"/>
      <c r="J1749" s="19"/>
      <c r="K1749" s="19"/>
    </row>
    <row r="1750" spans="3:11" x14ac:dyDescent="0.2">
      <c r="C1750" s="19"/>
      <c r="D1750" s="19"/>
      <c r="E1750" s="19"/>
      <c r="F1750" s="20"/>
      <c r="G1750" s="19"/>
      <c r="H1750" s="19"/>
      <c r="I1750" s="19"/>
      <c r="J1750" s="19"/>
      <c r="K1750" s="19"/>
    </row>
    <row r="1751" spans="3:11" x14ac:dyDescent="0.2">
      <c r="C1751" s="19"/>
      <c r="D1751" s="19"/>
      <c r="E1751" s="19"/>
      <c r="F1751" s="20"/>
      <c r="G1751" s="19"/>
      <c r="H1751" s="19"/>
      <c r="I1751" s="19"/>
      <c r="J1751" s="19"/>
      <c r="K1751" s="19"/>
    </row>
    <row r="1752" spans="3:11" x14ac:dyDescent="0.2">
      <c r="C1752" s="19"/>
      <c r="D1752" s="19"/>
      <c r="E1752" s="19"/>
      <c r="F1752" s="20"/>
      <c r="G1752" s="19"/>
      <c r="H1752" s="19"/>
      <c r="I1752" s="19"/>
      <c r="J1752" s="19"/>
      <c r="K1752" s="19"/>
    </row>
    <row r="1753" spans="3:11" x14ac:dyDescent="0.2">
      <c r="C1753" s="19"/>
      <c r="D1753" s="19"/>
      <c r="E1753" s="19"/>
      <c r="F1753" s="20"/>
      <c r="G1753" s="19"/>
      <c r="H1753" s="19"/>
      <c r="I1753" s="19"/>
      <c r="J1753" s="19"/>
      <c r="K1753" s="19"/>
    </row>
    <row r="1754" spans="3:11" x14ac:dyDescent="0.2">
      <c r="C1754" s="19"/>
      <c r="D1754" s="19"/>
      <c r="E1754" s="19"/>
      <c r="F1754" s="20"/>
      <c r="G1754" s="19"/>
      <c r="H1754" s="19"/>
      <c r="I1754" s="19"/>
      <c r="J1754" s="19"/>
      <c r="K1754" s="19"/>
    </row>
    <row r="1755" spans="3:11" x14ac:dyDescent="0.2">
      <c r="C1755" s="19"/>
      <c r="D1755" s="19"/>
      <c r="E1755" s="19"/>
      <c r="F1755" s="20"/>
      <c r="G1755" s="19"/>
      <c r="H1755" s="19"/>
      <c r="I1755" s="19"/>
      <c r="J1755" s="19"/>
      <c r="K1755" s="19"/>
    </row>
    <row r="1756" spans="3:11" x14ac:dyDescent="0.2">
      <c r="C1756" s="19"/>
      <c r="D1756" s="19"/>
      <c r="E1756" s="19"/>
      <c r="F1756" s="20"/>
      <c r="G1756" s="19"/>
      <c r="H1756" s="19"/>
      <c r="I1756" s="19"/>
      <c r="J1756" s="19"/>
      <c r="K1756" s="19"/>
    </row>
    <row r="1757" spans="3:11" x14ac:dyDescent="0.2">
      <c r="C1757" s="19"/>
      <c r="D1757" s="19"/>
      <c r="E1757" s="19"/>
      <c r="F1757" s="20"/>
      <c r="G1757" s="19"/>
      <c r="H1757" s="19"/>
      <c r="I1757" s="19"/>
      <c r="J1757" s="19"/>
      <c r="K1757" s="19"/>
    </row>
    <row r="1758" spans="3:11" x14ac:dyDescent="0.2">
      <c r="C1758" s="19"/>
      <c r="D1758" s="19"/>
      <c r="E1758" s="19"/>
      <c r="F1758" s="20"/>
      <c r="G1758" s="19"/>
      <c r="H1758" s="19"/>
      <c r="I1758" s="19"/>
      <c r="J1758" s="19"/>
      <c r="K1758" s="19"/>
    </row>
    <row r="1759" spans="3:11" x14ac:dyDescent="0.2">
      <c r="C1759" s="19"/>
      <c r="D1759" s="19"/>
      <c r="E1759" s="19"/>
      <c r="F1759" s="20"/>
      <c r="G1759" s="19"/>
      <c r="H1759" s="19"/>
      <c r="I1759" s="19"/>
      <c r="J1759" s="19"/>
      <c r="K1759" s="19"/>
    </row>
    <row r="1760" spans="3:11" x14ac:dyDescent="0.2">
      <c r="C1760" s="19"/>
      <c r="D1760" s="19"/>
      <c r="E1760" s="19"/>
      <c r="F1760" s="20"/>
      <c r="G1760" s="19"/>
      <c r="H1760" s="19"/>
      <c r="I1760" s="19"/>
      <c r="J1760" s="19"/>
      <c r="K1760" s="19"/>
    </row>
    <row r="1761" spans="3:11" x14ac:dyDescent="0.2">
      <c r="C1761" s="19"/>
      <c r="D1761" s="19"/>
      <c r="E1761" s="19"/>
      <c r="F1761" s="20"/>
      <c r="G1761" s="19"/>
      <c r="H1761" s="19"/>
      <c r="I1761" s="19"/>
      <c r="J1761" s="19"/>
      <c r="K1761" s="19"/>
    </row>
    <row r="1762" spans="3:11" x14ac:dyDescent="0.2">
      <c r="C1762" s="19"/>
      <c r="D1762" s="19"/>
      <c r="E1762" s="19"/>
      <c r="F1762" s="20"/>
      <c r="G1762" s="19"/>
      <c r="H1762" s="19"/>
      <c r="I1762" s="19"/>
      <c r="J1762" s="19"/>
      <c r="K1762" s="19"/>
    </row>
    <row r="1763" spans="3:11" x14ac:dyDescent="0.2">
      <c r="C1763" s="19"/>
      <c r="D1763" s="19"/>
      <c r="E1763" s="19"/>
      <c r="F1763" s="20"/>
      <c r="G1763" s="19"/>
      <c r="H1763" s="19"/>
      <c r="I1763" s="19"/>
      <c r="J1763" s="19"/>
      <c r="K1763" s="19"/>
    </row>
    <row r="1764" spans="3:11" x14ac:dyDescent="0.2">
      <c r="C1764" s="19"/>
      <c r="D1764" s="19"/>
      <c r="E1764" s="19"/>
      <c r="F1764" s="20"/>
      <c r="G1764" s="19"/>
      <c r="H1764" s="19"/>
      <c r="I1764" s="19"/>
      <c r="J1764" s="19"/>
      <c r="K1764" s="19"/>
    </row>
    <row r="1765" spans="3:11" x14ac:dyDescent="0.2">
      <c r="C1765" s="19"/>
      <c r="D1765" s="19"/>
      <c r="E1765" s="19"/>
      <c r="F1765" s="20"/>
      <c r="G1765" s="19"/>
      <c r="H1765" s="19"/>
      <c r="I1765" s="19"/>
      <c r="J1765" s="19"/>
      <c r="K1765" s="19"/>
    </row>
    <row r="1766" spans="3:11" x14ac:dyDescent="0.2">
      <c r="C1766" s="19"/>
      <c r="D1766" s="19"/>
      <c r="E1766" s="19"/>
      <c r="F1766" s="20"/>
      <c r="G1766" s="19"/>
      <c r="H1766" s="19"/>
      <c r="I1766" s="19"/>
      <c r="J1766" s="19"/>
      <c r="K1766" s="19"/>
    </row>
    <row r="1767" spans="3:11" x14ac:dyDescent="0.2">
      <c r="C1767" s="19"/>
      <c r="D1767" s="19"/>
      <c r="E1767" s="19"/>
      <c r="F1767" s="20"/>
      <c r="G1767" s="19"/>
      <c r="H1767" s="19"/>
      <c r="I1767" s="19"/>
      <c r="J1767" s="19"/>
      <c r="K1767" s="19"/>
    </row>
    <row r="1768" spans="3:11" x14ac:dyDescent="0.2">
      <c r="C1768" s="19"/>
      <c r="D1768" s="19"/>
      <c r="E1768" s="19"/>
      <c r="F1768" s="20"/>
      <c r="G1768" s="19"/>
      <c r="H1768" s="19"/>
      <c r="I1768" s="19"/>
      <c r="J1768" s="19"/>
      <c r="K1768" s="19"/>
    </row>
    <row r="1769" spans="3:11" x14ac:dyDescent="0.2">
      <c r="C1769" s="19"/>
      <c r="D1769" s="19"/>
      <c r="E1769" s="19"/>
      <c r="F1769" s="20"/>
      <c r="G1769" s="19"/>
      <c r="H1769" s="19"/>
      <c r="I1769" s="19"/>
      <c r="J1769" s="19"/>
      <c r="K1769" s="19"/>
    </row>
    <row r="1770" spans="3:11" x14ac:dyDescent="0.2">
      <c r="C1770" s="19"/>
      <c r="D1770" s="19"/>
      <c r="E1770" s="19"/>
      <c r="F1770" s="20"/>
      <c r="G1770" s="19"/>
      <c r="H1770" s="19"/>
      <c r="I1770" s="19"/>
      <c r="J1770" s="19"/>
      <c r="K1770" s="19"/>
    </row>
    <row r="1771" spans="3:11" x14ac:dyDescent="0.2">
      <c r="C1771" s="19"/>
      <c r="D1771" s="19"/>
      <c r="E1771" s="19"/>
      <c r="F1771" s="20"/>
      <c r="G1771" s="19"/>
      <c r="H1771" s="19"/>
      <c r="I1771" s="19"/>
      <c r="J1771" s="19"/>
      <c r="K1771" s="19"/>
    </row>
    <row r="1772" spans="3:11" x14ac:dyDescent="0.2">
      <c r="C1772" s="19"/>
      <c r="D1772" s="19"/>
      <c r="E1772" s="19"/>
      <c r="F1772" s="20"/>
      <c r="G1772" s="19"/>
      <c r="H1772" s="19"/>
      <c r="I1772" s="19"/>
      <c r="J1772" s="19"/>
      <c r="K1772" s="19"/>
    </row>
    <row r="1773" spans="3:11" x14ac:dyDescent="0.2">
      <c r="C1773" s="19"/>
      <c r="D1773" s="19"/>
      <c r="E1773" s="19"/>
      <c r="F1773" s="20"/>
      <c r="G1773" s="19"/>
      <c r="H1773" s="19"/>
      <c r="I1773" s="19"/>
      <c r="J1773" s="19"/>
      <c r="K1773" s="19"/>
    </row>
    <row r="1774" spans="3:11" x14ac:dyDescent="0.2">
      <c r="C1774" s="19"/>
      <c r="D1774" s="19"/>
      <c r="E1774" s="19"/>
      <c r="F1774" s="20"/>
      <c r="G1774" s="19"/>
      <c r="H1774" s="19"/>
      <c r="I1774" s="19"/>
      <c r="J1774" s="19"/>
      <c r="K1774" s="19"/>
    </row>
    <row r="1775" spans="3:11" x14ac:dyDescent="0.2">
      <c r="C1775" s="19"/>
      <c r="D1775" s="19"/>
      <c r="E1775" s="19"/>
      <c r="F1775" s="20"/>
      <c r="G1775" s="19"/>
      <c r="H1775" s="19"/>
      <c r="I1775" s="19"/>
      <c r="J1775" s="19"/>
      <c r="K1775" s="19"/>
    </row>
    <row r="1776" spans="3:11" x14ac:dyDescent="0.2">
      <c r="C1776" s="19"/>
      <c r="D1776" s="19"/>
      <c r="E1776" s="19"/>
      <c r="F1776" s="20"/>
      <c r="G1776" s="19"/>
      <c r="H1776" s="19"/>
      <c r="I1776" s="19"/>
      <c r="J1776" s="19"/>
      <c r="K1776" s="19"/>
    </row>
    <row r="1777" spans="3:11" x14ac:dyDescent="0.2">
      <c r="C1777" s="19"/>
      <c r="D1777" s="19"/>
      <c r="E1777" s="19"/>
      <c r="F1777" s="20"/>
      <c r="G1777" s="19"/>
      <c r="H1777" s="19"/>
      <c r="I1777" s="19"/>
      <c r="J1777" s="19"/>
      <c r="K1777" s="19"/>
    </row>
    <row r="1778" spans="3:11" x14ac:dyDescent="0.2">
      <c r="C1778" s="19"/>
      <c r="D1778" s="19"/>
      <c r="E1778" s="19"/>
      <c r="F1778" s="20"/>
      <c r="G1778" s="19"/>
      <c r="H1778" s="19"/>
      <c r="I1778" s="19"/>
      <c r="J1778" s="19"/>
      <c r="K1778" s="19"/>
    </row>
    <row r="1779" spans="3:11" x14ac:dyDescent="0.2">
      <c r="C1779" s="19"/>
      <c r="D1779" s="19"/>
      <c r="E1779" s="19"/>
      <c r="F1779" s="20"/>
      <c r="G1779" s="19"/>
      <c r="H1779" s="19"/>
      <c r="I1779" s="19"/>
      <c r="J1779" s="19"/>
      <c r="K1779" s="19"/>
    </row>
    <row r="1780" spans="3:11" x14ac:dyDescent="0.2">
      <c r="C1780" s="19"/>
      <c r="D1780" s="19"/>
      <c r="E1780" s="19"/>
      <c r="F1780" s="20"/>
      <c r="G1780" s="19"/>
      <c r="H1780" s="19"/>
      <c r="I1780" s="19"/>
      <c r="J1780" s="19"/>
      <c r="K1780" s="19"/>
    </row>
    <row r="1781" spans="3:11" x14ac:dyDescent="0.2">
      <c r="C1781" s="19"/>
      <c r="D1781" s="19"/>
      <c r="E1781" s="19"/>
      <c r="F1781" s="20"/>
      <c r="G1781" s="19"/>
      <c r="H1781" s="19"/>
      <c r="I1781" s="19"/>
      <c r="J1781" s="19"/>
      <c r="K1781" s="19"/>
    </row>
    <row r="1782" spans="3:11" x14ac:dyDescent="0.2">
      <c r="C1782" s="19"/>
      <c r="D1782" s="19"/>
      <c r="E1782" s="19"/>
      <c r="F1782" s="20"/>
      <c r="G1782" s="19"/>
      <c r="H1782" s="19"/>
      <c r="I1782" s="19"/>
      <c r="J1782" s="19"/>
      <c r="K1782" s="19"/>
    </row>
    <row r="1783" spans="3:11" x14ac:dyDescent="0.2">
      <c r="C1783" s="19"/>
      <c r="D1783" s="19"/>
      <c r="E1783" s="19"/>
      <c r="F1783" s="20"/>
      <c r="G1783" s="19"/>
      <c r="H1783" s="19"/>
      <c r="I1783" s="19"/>
      <c r="J1783" s="19"/>
      <c r="K1783" s="19"/>
    </row>
    <row r="1784" spans="3:11" x14ac:dyDescent="0.2">
      <c r="C1784" s="19"/>
      <c r="D1784" s="19"/>
      <c r="E1784" s="19"/>
      <c r="F1784" s="20"/>
      <c r="G1784" s="19"/>
      <c r="H1784" s="19"/>
      <c r="I1784" s="19"/>
      <c r="J1784" s="19"/>
      <c r="K1784" s="19"/>
    </row>
    <row r="1785" spans="3:11" x14ac:dyDescent="0.2">
      <c r="C1785" s="19"/>
      <c r="D1785" s="19"/>
      <c r="E1785" s="19"/>
      <c r="F1785" s="20"/>
      <c r="G1785" s="19"/>
      <c r="H1785" s="19"/>
      <c r="I1785" s="19"/>
      <c r="J1785" s="19"/>
      <c r="K1785" s="19"/>
    </row>
    <row r="1786" spans="3:11" x14ac:dyDescent="0.2">
      <c r="C1786" s="19"/>
      <c r="D1786" s="19"/>
      <c r="E1786" s="19"/>
      <c r="F1786" s="20"/>
      <c r="G1786" s="19"/>
      <c r="H1786" s="19"/>
      <c r="I1786" s="19"/>
      <c r="J1786" s="19"/>
      <c r="K1786" s="19"/>
    </row>
    <row r="1787" spans="3:11" x14ac:dyDescent="0.2">
      <c r="C1787" s="19"/>
      <c r="D1787" s="19"/>
      <c r="E1787" s="19"/>
      <c r="F1787" s="20"/>
      <c r="G1787" s="19"/>
      <c r="H1787" s="19"/>
      <c r="I1787" s="19"/>
      <c r="J1787" s="21"/>
      <c r="K1787" s="19"/>
    </row>
    <row r="1788" spans="3:11" x14ac:dyDescent="0.2">
      <c r="C1788" s="19"/>
      <c r="D1788" s="19"/>
      <c r="E1788" s="19"/>
      <c r="F1788" s="20"/>
      <c r="G1788" s="19"/>
      <c r="H1788" s="19"/>
      <c r="I1788" s="19"/>
      <c r="J1788" s="19"/>
      <c r="K1788" s="19"/>
    </row>
    <row r="1789" spans="3:11" x14ac:dyDescent="0.2">
      <c r="C1789" s="19"/>
      <c r="D1789" s="19"/>
      <c r="E1789" s="19"/>
      <c r="F1789" s="20"/>
      <c r="G1789" s="19"/>
      <c r="H1789" s="19"/>
      <c r="I1789" s="19"/>
      <c r="J1789" s="19"/>
      <c r="K1789" s="19"/>
    </row>
    <row r="1790" spans="3:11" x14ac:dyDescent="0.2">
      <c r="C1790" s="19"/>
      <c r="D1790" s="19"/>
      <c r="E1790" s="19"/>
      <c r="F1790" s="20"/>
      <c r="G1790" s="19"/>
      <c r="H1790" s="19"/>
      <c r="I1790" s="19"/>
      <c r="J1790" s="19"/>
      <c r="K1790" s="19"/>
    </row>
    <row r="1791" spans="3:11" x14ac:dyDescent="0.2">
      <c r="C1791" s="19"/>
      <c r="D1791" s="19"/>
      <c r="E1791" s="19"/>
      <c r="F1791" s="20"/>
      <c r="G1791" s="19"/>
      <c r="H1791" s="19"/>
      <c r="I1791" s="19"/>
      <c r="J1791" s="19"/>
      <c r="K1791" s="19"/>
    </row>
    <row r="1792" spans="3:11" x14ac:dyDescent="0.2">
      <c r="C1792" s="19"/>
      <c r="D1792" s="19"/>
      <c r="E1792" s="19"/>
      <c r="F1792" s="20"/>
      <c r="G1792" s="19"/>
      <c r="H1792" s="19"/>
      <c r="I1792" s="19"/>
      <c r="J1792" s="19"/>
      <c r="K1792" s="19"/>
    </row>
    <row r="1793" spans="3:11" x14ac:dyDescent="0.2">
      <c r="C1793" s="19"/>
      <c r="D1793" s="19"/>
      <c r="E1793" s="19"/>
      <c r="F1793" s="20"/>
      <c r="G1793" s="19"/>
      <c r="H1793" s="19"/>
      <c r="I1793" s="19"/>
      <c r="J1793" s="19"/>
      <c r="K1793" s="19"/>
    </row>
    <row r="1794" spans="3:11" x14ac:dyDescent="0.2">
      <c r="C1794" s="19"/>
      <c r="D1794" s="19"/>
      <c r="E1794" s="19"/>
      <c r="F1794" s="20"/>
      <c r="G1794" s="19"/>
      <c r="H1794" s="19"/>
      <c r="I1794" s="19"/>
      <c r="J1794" s="19"/>
      <c r="K1794" s="19"/>
    </row>
    <row r="1795" spans="3:11" x14ac:dyDescent="0.2">
      <c r="C1795" s="19"/>
      <c r="D1795" s="19"/>
      <c r="E1795" s="19"/>
      <c r="F1795" s="20"/>
      <c r="G1795" s="19"/>
      <c r="H1795" s="19"/>
      <c r="I1795" s="19"/>
      <c r="J1795" s="19"/>
      <c r="K1795" s="19"/>
    </row>
    <row r="1796" spans="3:11" x14ac:dyDescent="0.2">
      <c r="C1796" s="19"/>
      <c r="D1796" s="19"/>
      <c r="E1796" s="19"/>
      <c r="F1796" s="20"/>
      <c r="G1796" s="19"/>
      <c r="H1796" s="19"/>
      <c r="I1796" s="19"/>
      <c r="J1796" s="19"/>
      <c r="K1796" s="19"/>
    </row>
    <row r="1797" spans="3:11" x14ac:dyDescent="0.2">
      <c r="C1797" s="19"/>
      <c r="D1797" s="19"/>
      <c r="E1797" s="19"/>
      <c r="F1797" s="20"/>
      <c r="G1797" s="19"/>
      <c r="H1797" s="19"/>
      <c r="I1797" s="19"/>
      <c r="J1797" s="19"/>
      <c r="K1797" s="19"/>
    </row>
    <row r="1798" spans="3:11" x14ac:dyDescent="0.2">
      <c r="C1798" s="19"/>
      <c r="D1798" s="19"/>
      <c r="E1798" s="19"/>
      <c r="F1798" s="20"/>
      <c r="G1798" s="19"/>
      <c r="H1798" s="19"/>
      <c r="I1798" s="19"/>
      <c r="J1798" s="19"/>
      <c r="K1798" s="19"/>
    </row>
    <row r="1799" spans="3:11" x14ac:dyDescent="0.2">
      <c r="C1799" s="19"/>
      <c r="D1799" s="19"/>
      <c r="E1799" s="19"/>
      <c r="F1799" s="20"/>
      <c r="G1799" s="19"/>
      <c r="H1799" s="19"/>
      <c r="I1799" s="19"/>
      <c r="J1799" s="19"/>
      <c r="K1799" s="19"/>
    </row>
    <row r="1800" spans="3:11" x14ac:dyDescent="0.2">
      <c r="C1800" s="19"/>
      <c r="D1800" s="19"/>
      <c r="E1800" s="19"/>
      <c r="F1800" s="20"/>
      <c r="G1800" s="19"/>
      <c r="H1800" s="19"/>
      <c r="I1800" s="19"/>
      <c r="J1800" s="19"/>
      <c r="K1800" s="19"/>
    </row>
    <row r="1801" spans="3:11" x14ac:dyDescent="0.2">
      <c r="C1801" s="19"/>
      <c r="D1801" s="19"/>
      <c r="E1801" s="19"/>
      <c r="F1801" s="20"/>
      <c r="G1801" s="19"/>
      <c r="H1801" s="19"/>
      <c r="I1801" s="19"/>
      <c r="J1801" s="19"/>
      <c r="K1801" s="19"/>
    </row>
    <row r="1802" spans="3:11" x14ac:dyDescent="0.2">
      <c r="C1802" s="19"/>
      <c r="D1802" s="19"/>
      <c r="E1802" s="19"/>
      <c r="F1802" s="20"/>
      <c r="G1802" s="19"/>
      <c r="H1802" s="19"/>
      <c r="I1802" s="19"/>
      <c r="J1802" s="19"/>
      <c r="K1802" s="19"/>
    </row>
    <row r="1803" spans="3:11" x14ac:dyDescent="0.2">
      <c r="C1803" s="19"/>
      <c r="D1803" s="19"/>
      <c r="E1803" s="19"/>
      <c r="F1803" s="20"/>
      <c r="G1803" s="19"/>
      <c r="H1803" s="19"/>
      <c r="I1803" s="19"/>
      <c r="J1803" s="19"/>
      <c r="K1803" s="19"/>
    </row>
    <row r="1804" spans="3:11" x14ac:dyDescent="0.2">
      <c r="C1804" s="19"/>
      <c r="D1804" s="19"/>
      <c r="E1804" s="19"/>
      <c r="F1804" s="20"/>
      <c r="G1804" s="19"/>
      <c r="H1804" s="19"/>
      <c r="I1804" s="19"/>
      <c r="J1804" s="19"/>
      <c r="K1804" s="19"/>
    </row>
    <row r="1805" spans="3:11" x14ac:dyDescent="0.2">
      <c r="C1805" s="19"/>
      <c r="D1805" s="19"/>
      <c r="E1805" s="19"/>
      <c r="F1805" s="20"/>
      <c r="G1805" s="19"/>
      <c r="H1805" s="19"/>
      <c r="I1805" s="19"/>
      <c r="J1805" s="19"/>
      <c r="K1805" s="19"/>
    </row>
    <row r="1806" spans="3:11" x14ac:dyDescent="0.2">
      <c r="C1806" s="19"/>
      <c r="D1806" s="19"/>
      <c r="E1806" s="19"/>
      <c r="F1806" s="20"/>
      <c r="G1806" s="19"/>
      <c r="H1806" s="19"/>
      <c r="I1806" s="19"/>
      <c r="J1806" s="19"/>
      <c r="K1806" s="19"/>
    </row>
    <row r="1807" spans="3:11" x14ac:dyDescent="0.2">
      <c r="C1807" s="19"/>
      <c r="D1807" s="19"/>
      <c r="E1807" s="19"/>
      <c r="F1807" s="20"/>
      <c r="G1807" s="19"/>
      <c r="H1807" s="19"/>
      <c r="I1807" s="19"/>
      <c r="J1807" s="19"/>
      <c r="K1807" s="19"/>
    </row>
    <row r="1808" spans="3:11" x14ac:dyDescent="0.2">
      <c r="C1808" s="19"/>
      <c r="D1808" s="19"/>
      <c r="E1808" s="19"/>
      <c r="F1808" s="20"/>
      <c r="G1808" s="19"/>
      <c r="H1808" s="19"/>
      <c r="I1808" s="19"/>
      <c r="J1808" s="19"/>
      <c r="K1808" s="19"/>
    </row>
    <row r="1809" spans="3:11" x14ac:dyDescent="0.2">
      <c r="C1809" s="19"/>
      <c r="D1809" s="19"/>
      <c r="E1809" s="19"/>
      <c r="F1809" s="20"/>
      <c r="G1809" s="19"/>
      <c r="H1809" s="19"/>
      <c r="I1809" s="19"/>
      <c r="J1809" s="21"/>
      <c r="K1809" s="19"/>
    </row>
    <row r="1810" spans="3:11" x14ac:dyDescent="0.2">
      <c r="C1810" s="19"/>
      <c r="D1810" s="19"/>
      <c r="E1810" s="19"/>
      <c r="F1810" s="20"/>
      <c r="G1810" s="19"/>
      <c r="H1810" s="19"/>
      <c r="I1810" s="19"/>
      <c r="J1810" s="19"/>
      <c r="K1810" s="19"/>
    </row>
    <row r="1811" spans="3:11" x14ac:dyDescent="0.2">
      <c r="C1811" s="19"/>
      <c r="D1811" s="19"/>
      <c r="E1811" s="19"/>
      <c r="F1811" s="20"/>
      <c r="G1811" s="19"/>
      <c r="H1811" s="19"/>
      <c r="I1811" s="19"/>
      <c r="J1811" s="21"/>
      <c r="K1811" s="19"/>
    </row>
    <row r="1812" spans="3:11" x14ac:dyDescent="0.2">
      <c r="C1812" s="19"/>
      <c r="D1812" s="19"/>
      <c r="E1812" s="19"/>
      <c r="F1812" s="20"/>
      <c r="G1812" s="19"/>
      <c r="H1812" s="19"/>
      <c r="I1812" s="19"/>
      <c r="J1812" s="21"/>
      <c r="K1812" s="19"/>
    </row>
    <row r="1813" spans="3:11" x14ac:dyDescent="0.2">
      <c r="C1813" s="19"/>
      <c r="D1813" s="19"/>
      <c r="E1813" s="19"/>
      <c r="F1813" s="20"/>
      <c r="G1813" s="19"/>
      <c r="H1813" s="19"/>
      <c r="I1813" s="19"/>
      <c r="J1813" s="19"/>
      <c r="K1813" s="19"/>
    </row>
    <row r="1814" spans="3:11" x14ac:dyDescent="0.2">
      <c r="C1814" s="19"/>
      <c r="D1814" s="19"/>
      <c r="E1814" s="19"/>
      <c r="F1814" s="20"/>
      <c r="G1814" s="19"/>
      <c r="H1814" s="19"/>
      <c r="I1814" s="19"/>
      <c r="J1814" s="19"/>
      <c r="K1814" s="19"/>
    </row>
    <row r="1815" spans="3:11" x14ac:dyDescent="0.2">
      <c r="C1815" s="19"/>
      <c r="D1815" s="19"/>
      <c r="E1815" s="19"/>
      <c r="F1815" s="20"/>
      <c r="G1815" s="19"/>
      <c r="H1815" s="19"/>
      <c r="I1815" s="19"/>
      <c r="J1815" s="21"/>
      <c r="K1815" s="19"/>
    </row>
    <row r="1816" spans="3:11" x14ac:dyDescent="0.2">
      <c r="C1816" s="19"/>
      <c r="D1816" s="19"/>
      <c r="E1816" s="19"/>
      <c r="F1816" s="20"/>
      <c r="G1816" s="19"/>
      <c r="H1816" s="19"/>
      <c r="I1816" s="19"/>
      <c r="J1816" s="21"/>
      <c r="K1816" s="19"/>
    </row>
    <row r="1817" spans="3:11" x14ac:dyDescent="0.2">
      <c r="C1817" s="19"/>
      <c r="D1817" s="19"/>
      <c r="E1817" s="19"/>
      <c r="F1817" s="20"/>
      <c r="G1817" s="19"/>
      <c r="H1817" s="19"/>
      <c r="I1817" s="19"/>
      <c r="J1817" s="19"/>
      <c r="K1817" s="19"/>
    </row>
    <row r="1818" spans="3:11" x14ac:dyDescent="0.2">
      <c r="C1818" s="19"/>
      <c r="D1818" s="19"/>
      <c r="E1818" s="19"/>
      <c r="F1818" s="20"/>
      <c r="G1818" s="19"/>
      <c r="H1818" s="19"/>
      <c r="I1818" s="19"/>
      <c r="J1818" s="19"/>
      <c r="K1818" s="19"/>
    </row>
    <row r="1819" spans="3:11" x14ac:dyDescent="0.2">
      <c r="C1819" s="19"/>
      <c r="D1819" s="19"/>
      <c r="E1819" s="19"/>
      <c r="F1819" s="20"/>
      <c r="G1819" s="19"/>
      <c r="H1819" s="19"/>
      <c r="I1819" s="19"/>
      <c r="J1819" s="19"/>
      <c r="K1819" s="19"/>
    </row>
    <row r="1820" spans="3:11" x14ac:dyDescent="0.2">
      <c r="C1820" s="19"/>
      <c r="D1820" s="19"/>
      <c r="E1820" s="19"/>
      <c r="F1820" s="20"/>
      <c r="G1820" s="19"/>
      <c r="H1820" s="19"/>
      <c r="I1820" s="19"/>
      <c r="J1820" s="21"/>
      <c r="K1820" s="19"/>
    </row>
    <row r="1821" spans="3:11" x14ac:dyDescent="0.2">
      <c r="C1821" s="19"/>
      <c r="D1821" s="19"/>
      <c r="E1821" s="19"/>
      <c r="F1821" s="20"/>
      <c r="G1821" s="19"/>
      <c r="H1821" s="19"/>
      <c r="I1821" s="19"/>
      <c r="J1821" s="21"/>
      <c r="K1821" s="19"/>
    </row>
    <row r="1822" spans="3:11" x14ac:dyDescent="0.2">
      <c r="C1822" s="19"/>
      <c r="D1822" s="19"/>
      <c r="E1822" s="19"/>
      <c r="F1822" s="20"/>
      <c r="G1822" s="19"/>
      <c r="H1822" s="19"/>
      <c r="I1822" s="19"/>
      <c r="J1822" s="19"/>
      <c r="K1822" s="19"/>
    </row>
    <row r="1823" spans="3:11" x14ac:dyDescent="0.2">
      <c r="C1823" s="19"/>
      <c r="D1823" s="19"/>
      <c r="E1823" s="19"/>
      <c r="F1823" s="20"/>
      <c r="G1823" s="19"/>
      <c r="H1823" s="19"/>
      <c r="I1823" s="19"/>
      <c r="J1823" s="21"/>
      <c r="K1823" s="19"/>
    </row>
    <row r="1824" spans="3:11" x14ac:dyDescent="0.2">
      <c r="C1824" s="19"/>
      <c r="D1824" s="19"/>
      <c r="E1824" s="19"/>
      <c r="F1824" s="20"/>
      <c r="G1824" s="19"/>
      <c r="H1824" s="19"/>
      <c r="I1824" s="19"/>
      <c r="J1824" s="21"/>
      <c r="K1824" s="19"/>
    </row>
    <row r="1825" spans="3:11" x14ac:dyDescent="0.2">
      <c r="C1825" s="19"/>
      <c r="D1825" s="19"/>
      <c r="E1825" s="19"/>
      <c r="F1825" s="20"/>
      <c r="G1825" s="19"/>
      <c r="H1825" s="19"/>
      <c r="I1825" s="19"/>
      <c r="J1825" s="21"/>
      <c r="K1825" s="19"/>
    </row>
    <row r="1826" spans="3:11" x14ac:dyDescent="0.2">
      <c r="C1826" s="19"/>
      <c r="D1826" s="19"/>
      <c r="E1826" s="19"/>
      <c r="F1826" s="20"/>
      <c r="G1826" s="19"/>
      <c r="H1826" s="19"/>
      <c r="I1826" s="19"/>
      <c r="J1826" s="21"/>
      <c r="K1826" s="19"/>
    </row>
    <row r="1827" spans="3:11" x14ac:dyDescent="0.2">
      <c r="C1827" s="19"/>
      <c r="D1827" s="19"/>
      <c r="E1827" s="19"/>
      <c r="F1827" s="20"/>
      <c r="G1827" s="19"/>
      <c r="H1827" s="19"/>
      <c r="I1827" s="19"/>
      <c r="J1827" s="19"/>
      <c r="K1827" s="19"/>
    </row>
    <row r="1828" spans="3:11" x14ac:dyDescent="0.2">
      <c r="C1828" s="19"/>
      <c r="D1828" s="19"/>
      <c r="E1828" s="19"/>
      <c r="F1828" s="20"/>
      <c r="G1828" s="19"/>
      <c r="H1828" s="19"/>
      <c r="I1828" s="19"/>
      <c r="J1828" s="19"/>
      <c r="K1828" s="19"/>
    </row>
    <row r="1829" spans="3:11" x14ac:dyDescent="0.2">
      <c r="C1829" s="19"/>
      <c r="D1829" s="19"/>
      <c r="E1829" s="19"/>
      <c r="F1829" s="20"/>
      <c r="G1829" s="19"/>
      <c r="H1829" s="19"/>
      <c r="I1829" s="19"/>
      <c r="J1829" s="19"/>
      <c r="K1829" s="19"/>
    </row>
    <row r="1830" spans="3:11" x14ac:dyDescent="0.2">
      <c r="C1830" s="19"/>
      <c r="D1830" s="19"/>
      <c r="E1830" s="19"/>
      <c r="F1830" s="20"/>
      <c r="G1830" s="19"/>
      <c r="H1830" s="19"/>
      <c r="I1830" s="19"/>
      <c r="J1830" s="19"/>
      <c r="K1830" s="19"/>
    </row>
    <row r="1831" spans="3:11" x14ac:dyDescent="0.2">
      <c r="C1831" s="19"/>
      <c r="D1831" s="19"/>
      <c r="E1831" s="19"/>
      <c r="F1831" s="20"/>
      <c r="G1831" s="19"/>
      <c r="H1831" s="19"/>
      <c r="I1831" s="19"/>
      <c r="J1831" s="19"/>
      <c r="K1831" s="19"/>
    </row>
    <row r="1832" spans="3:11" x14ac:dyDescent="0.2">
      <c r="C1832" s="19"/>
      <c r="D1832" s="19"/>
      <c r="E1832" s="19"/>
      <c r="F1832" s="20"/>
      <c r="G1832" s="19"/>
      <c r="H1832" s="19"/>
      <c r="I1832" s="19"/>
      <c r="J1832" s="19"/>
      <c r="K1832" s="19"/>
    </row>
    <row r="1833" spans="3:11" x14ac:dyDescent="0.2">
      <c r="C1833" s="19"/>
      <c r="D1833" s="19"/>
      <c r="E1833" s="19"/>
      <c r="F1833" s="20"/>
      <c r="G1833" s="19"/>
      <c r="H1833" s="19"/>
      <c r="I1833" s="19"/>
      <c r="J1833" s="21"/>
      <c r="K1833" s="19"/>
    </row>
    <row r="1834" spans="3:11" x14ac:dyDescent="0.2">
      <c r="C1834" s="19"/>
      <c r="D1834" s="19"/>
      <c r="E1834" s="19"/>
      <c r="F1834" s="20"/>
      <c r="G1834" s="19"/>
      <c r="H1834" s="19"/>
      <c r="I1834" s="19"/>
      <c r="J1834" s="21"/>
      <c r="K1834" s="19"/>
    </row>
    <row r="1835" spans="3:11" x14ac:dyDescent="0.2">
      <c r="C1835" s="19"/>
      <c r="D1835" s="19"/>
      <c r="E1835" s="19"/>
      <c r="F1835" s="20"/>
      <c r="G1835" s="19"/>
      <c r="H1835" s="19"/>
      <c r="I1835" s="19"/>
      <c r="J1835" s="21"/>
      <c r="K1835" s="19"/>
    </row>
    <row r="1836" spans="3:11" x14ac:dyDescent="0.2">
      <c r="C1836" s="19"/>
      <c r="D1836" s="19"/>
      <c r="E1836" s="19"/>
      <c r="F1836" s="20"/>
      <c r="G1836" s="19"/>
      <c r="H1836" s="19"/>
      <c r="I1836" s="19"/>
      <c r="J1836" s="21"/>
      <c r="K1836" s="19"/>
    </row>
    <row r="1837" spans="3:11" x14ac:dyDescent="0.2">
      <c r="C1837" s="19"/>
      <c r="D1837" s="19"/>
      <c r="E1837" s="19"/>
      <c r="F1837" s="20"/>
      <c r="G1837" s="19"/>
      <c r="H1837" s="19"/>
      <c r="I1837" s="19"/>
      <c r="J1837" s="21"/>
      <c r="K1837" s="19"/>
    </row>
    <row r="1838" spans="3:11" x14ac:dyDescent="0.2">
      <c r="C1838" s="19"/>
      <c r="D1838" s="19"/>
      <c r="E1838" s="19"/>
      <c r="F1838" s="20"/>
      <c r="G1838" s="19"/>
      <c r="H1838" s="19"/>
      <c r="I1838" s="19"/>
      <c r="J1838" s="21"/>
      <c r="K1838" s="19"/>
    </row>
    <row r="1839" spans="3:11" x14ac:dyDescent="0.2">
      <c r="C1839" s="19"/>
      <c r="D1839" s="19"/>
      <c r="E1839" s="19"/>
      <c r="F1839" s="20"/>
      <c r="G1839" s="19"/>
      <c r="H1839" s="19"/>
      <c r="I1839" s="19"/>
      <c r="J1839" s="19"/>
      <c r="K1839" s="19"/>
    </row>
    <row r="1840" spans="3:11" x14ac:dyDescent="0.2">
      <c r="C1840" s="19"/>
      <c r="D1840" s="19"/>
      <c r="E1840" s="19"/>
      <c r="F1840" s="20"/>
      <c r="G1840" s="19"/>
      <c r="H1840" s="19"/>
      <c r="I1840" s="19"/>
      <c r="J1840" s="19"/>
      <c r="K1840" s="19"/>
    </row>
    <row r="1841" spans="3:11" x14ac:dyDescent="0.2">
      <c r="C1841" s="19"/>
      <c r="D1841" s="19"/>
      <c r="E1841" s="19"/>
      <c r="F1841" s="20"/>
      <c r="G1841" s="19"/>
      <c r="H1841" s="19"/>
      <c r="I1841" s="19"/>
      <c r="J1841" s="19"/>
      <c r="K1841" s="19"/>
    </row>
    <row r="1842" spans="3:11" x14ac:dyDescent="0.2">
      <c r="C1842" s="19"/>
      <c r="D1842" s="19"/>
      <c r="E1842" s="19"/>
      <c r="F1842" s="20"/>
      <c r="G1842" s="19"/>
      <c r="H1842" s="19"/>
      <c r="I1842" s="19"/>
      <c r="J1842" s="21"/>
      <c r="K1842" s="19"/>
    </row>
    <row r="1843" spans="3:11" x14ac:dyDescent="0.2">
      <c r="C1843" s="19"/>
      <c r="D1843" s="19"/>
      <c r="E1843" s="19"/>
      <c r="F1843" s="20"/>
      <c r="G1843" s="19"/>
      <c r="H1843" s="19"/>
      <c r="I1843" s="19"/>
      <c r="J1843" s="21"/>
      <c r="K1843" s="19"/>
    </row>
    <row r="1844" spans="3:11" x14ac:dyDescent="0.2">
      <c r="C1844" s="19"/>
      <c r="D1844" s="19"/>
      <c r="E1844" s="19"/>
      <c r="F1844" s="20"/>
      <c r="G1844" s="19"/>
      <c r="H1844" s="19"/>
      <c r="I1844" s="19"/>
      <c r="J1844" s="21"/>
      <c r="K1844" s="19"/>
    </row>
    <row r="1845" spans="3:11" x14ac:dyDescent="0.2">
      <c r="C1845" s="19"/>
      <c r="D1845" s="19"/>
      <c r="E1845" s="19"/>
      <c r="F1845" s="20"/>
      <c r="G1845" s="19"/>
      <c r="H1845" s="19"/>
      <c r="I1845" s="19"/>
      <c r="J1845" s="21"/>
      <c r="K1845" s="19"/>
    </row>
    <row r="1846" spans="3:11" x14ac:dyDescent="0.2">
      <c r="C1846" s="19"/>
      <c r="D1846" s="19"/>
      <c r="E1846" s="19"/>
      <c r="F1846" s="20"/>
      <c r="G1846" s="19"/>
      <c r="H1846" s="19"/>
      <c r="I1846" s="19"/>
      <c r="J1846" s="21"/>
      <c r="K1846" s="19"/>
    </row>
    <row r="1847" spans="3:11" x14ac:dyDescent="0.2">
      <c r="C1847" s="19"/>
      <c r="D1847" s="19"/>
      <c r="E1847" s="19"/>
      <c r="F1847" s="20"/>
      <c r="G1847" s="19"/>
      <c r="H1847" s="19"/>
      <c r="I1847" s="19"/>
      <c r="J1847" s="21"/>
      <c r="K1847" s="19"/>
    </row>
    <row r="1848" spans="3:11" x14ac:dyDescent="0.2">
      <c r="C1848" s="19"/>
      <c r="D1848" s="19"/>
      <c r="E1848" s="19"/>
      <c r="F1848" s="20"/>
      <c r="G1848" s="19"/>
      <c r="H1848" s="19"/>
      <c r="I1848" s="19"/>
      <c r="J1848" s="19"/>
      <c r="K1848" s="19"/>
    </row>
    <row r="1849" spans="3:11" x14ac:dyDescent="0.2">
      <c r="C1849" s="19"/>
      <c r="D1849" s="19"/>
      <c r="E1849" s="19"/>
      <c r="F1849" s="20"/>
      <c r="G1849" s="19"/>
      <c r="H1849" s="19"/>
      <c r="I1849" s="19"/>
      <c r="J1849" s="19"/>
      <c r="K1849" s="19"/>
    </row>
    <row r="1850" spans="3:11" x14ac:dyDescent="0.2">
      <c r="C1850" s="19"/>
      <c r="D1850" s="19"/>
      <c r="E1850" s="19"/>
      <c r="F1850" s="20"/>
      <c r="G1850" s="19"/>
      <c r="H1850" s="19"/>
      <c r="I1850" s="19"/>
      <c r="J1850" s="19"/>
      <c r="K1850" s="19"/>
    </row>
    <row r="1851" spans="3:11" x14ac:dyDescent="0.2">
      <c r="C1851" s="19"/>
      <c r="D1851" s="19"/>
      <c r="E1851" s="19"/>
      <c r="F1851" s="20"/>
      <c r="G1851" s="19"/>
      <c r="H1851" s="19"/>
      <c r="I1851" s="19"/>
      <c r="J1851" s="19"/>
      <c r="K1851" s="19"/>
    </row>
    <row r="1852" spans="3:11" x14ac:dyDescent="0.2">
      <c r="C1852" s="19"/>
      <c r="D1852" s="19"/>
      <c r="E1852" s="19"/>
      <c r="F1852" s="20"/>
      <c r="G1852" s="19"/>
      <c r="H1852" s="19"/>
      <c r="I1852" s="19"/>
      <c r="J1852" s="19"/>
      <c r="K1852" s="19"/>
    </row>
    <row r="1853" spans="3:11" x14ac:dyDescent="0.2">
      <c r="C1853" s="19"/>
      <c r="D1853" s="19"/>
      <c r="E1853" s="19"/>
      <c r="F1853" s="20"/>
      <c r="G1853" s="19"/>
      <c r="H1853" s="19"/>
      <c r="I1853" s="19"/>
      <c r="J1853" s="19"/>
      <c r="K1853" s="19"/>
    </row>
    <row r="1854" spans="3:11" x14ac:dyDescent="0.2">
      <c r="C1854" s="19"/>
      <c r="D1854" s="19"/>
      <c r="E1854" s="19"/>
      <c r="F1854" s="20"/>
      <c r="G1854" s="19"/>
      <c r="H1854" s="19"/>
      <c r="I1854" s="19"/>
      <c r="J1854" s="19"/>
      <c r="K1854" s="19"/>
    </row>
    <row r="1855" spans="3:11" x14ac:dyDescent="0.2">
      <c r="C1855" s="19"/>
      <c r="D1855" s="19"/>
      <c r="E1855" s="19"/>
      <c r="F1855" s="20"/>
      <c r="G1855" s="19"/>
      <c r="H1855" s="19"/>
      <c r="I1855" s="19"/>
      <c r="J1855" s="19"/>
      <c r="K1855" s="19"/>
    </row>
    <row r="1856" spans="3:11" x14ac:dyDescent="0.2">
      <c r="C1856" s="19"/>
      <c r="D1856" s="19"/>
      <c r="E1856" s="19"/>
      <c r="F1856" s="20"/>
      <c r="G1856" s="19"/>
      <c r="H1856" s="19"/>
      <c r="I1856" s="19"/>
      <c r="J1856" s="19"/>
      <c r="K1856" s="19"/>
    </row>
    <row r="1857" spans="3:11" x14ac:dyDescent="0.2">
      <c r="C1857" s="19"/>
      <c r="D1857" s="19"/>
      <c r="E1857" s="19"/>
      <c r="F1857" s="20"/>
      <c r="G1857" s="19"/>
      <c r="H1857" s="19"/>
      <c r="I1857" s="19"/>
      <c r="J1857" s="19"/>
      <c r="K1857" s="19"/>
    </row>
    <row r="1858" spans="3:11" x14ac:dyDescent="0.2">
      <c r="C1858" s="19"/>
      <c r="D1858" s="19"/>
      <c r="E1858" s="19"/>
      <c r="F1858" s="20"/>
      <c r="G1858" s="19"/>
      <c r="H1858" s="19"/>
      <c r="I1858" s="19"/>
      <c r="J1858" s="19"/>
      <c r="K1858" s="19"/>
    </row>
    <row r="1859" spans="3:11" x14ac:dyDescent="0.2">
      <c r="C1859" s="19"/>
      <c r="D1859" s="19"/>
      <c r="E1859" s="19"/>
      <c r="F1859" s="20"/>
      <c r="G1859" s="19"/>
      <c r="H1859" s="19"/>
      <c r="I1859" s="19"/>
      <c r="J1859" s="19"/>
      <c r="K1859" s="19"/>
    </row>
    <row r="1860" spans="3:11" x14ac:dyDescent="0.2">
      <c r="C1860" s="19"/>
      <c r="D1860" s="19"/>
      <c r="E1860" s="19"/>
      <c r="F1860" s="20"/>
      <c r="G1860" s="19"/>
      <c r="H1860" s="19"/>
      <c r="I1860" s="19"/>
      <c r="J1860" s="19"/>
      <c r="K1860" s="19"/>
    </row>
    <row r="1861" spans="3:11" x14ac:dyDescent="0.2">
      <c r="C1861" s="19"/>
      <c r="D1861" s="19"/>
      <c r="E1861" s="19"/>
      <c r="F1861" s="20"/>
      <c r="G1861" s="19"/>
      <c r="H1861" s="19"/>
      <c r="I1861" s="19"/>
      <c r="J1861" s="19"/>
      <c r="K1861" s="19"/>
    </row>
    <row r="1862" spans="3:11" x14ac:dyDescent="0.2">
      <c r="C1862" s="19"/>
      <c r="D1862" s="19"/>
      <c r="E1862" s="19"/>
      <c r="F1862" s="20"/>
      <c r="G1862" s="19"/>
      <c r="H1862" s="19"/>
      <c r="I1862" s="19"/>
      <c r="J1862" s="19"/>
      <c r="K1862" s="19"/>
    </row>
    <row r="1863" spans="3:11" x14ac:dyDescent="0.2">
      <c r="C1863" s="19"/>
      <c r="D1863" s="19"/>
      <c r="E1863" s="19"/>
      <c r="F1863" s="20"/>
      <c r="G1863" s="19"/>
      <c r="H1863" s="19"/>
      <c r="I1863" s="19"/>
      <c r="J1863" s="19"/>
      <c r="K1863" s="19"/>
    </row>
    <row r="1864" spans="3:11" x14ac:dyDescent="0.2">
      <c r="C1864" s="19"/>
      <c r="D1864" s="19"/>
      <c r="E1864" s="19"/>
      <c r="F1864" s="20"/>
      <c r="G1864" s="19"/>
      <c r="H1864" s="19"/>
      <c r="I1864" s="19"/>
      <c r="J1864" s="19"/>
      <c r="K1864" s="19"/>
    </row>
    <row r="1865" spans="3:11" x14ac:dyDescent="0.2">
      <c r="C1865" s="19"/>
      <c r="D1865" s="19"/>
      <c r="E1865" s="19"/>
      <c r="F1865" s="20"/>
      <c r="G1865" s="19"/>
      <c r="H1865" s="19"/>
      <c r="I1865" s="19"/>
      <c r="J1865" s="19"/>
      <c r="K1865" s="19"/>
    </row>
    <row r="1866" spans="3:11" x14ac:dyDescent="0.2">
      <c r="C1866" s="19"/>
      <c r="D1866" s="19"/>
      <c r="E1866" s="19"/>
      <c r="F1866" s="20"/>
      <c r="G1866" s="19"/>
      <c r="H1866" s="19"/>
      <c r="I1866" s="19"/>
      <c r="J1866" s="19"/>
      <c r="K1866" s="19"/>
    </row>
    <row r="1867" spans="3:11" x14ac:dyDescent="0.2">
      <c r="C1867" s="19"/>
      <c r="D1867" s="19"/>
      <c r="E1867" s="19"/>
      <c r="F1867" s="20"/>
      <c r="G1867" s="19"/>
      <c r="H1867" s="19"/>
      <c r="I1867" s="19"/>
      <c r="J1867" s="19"/>
      <c r="K1867" s="19"/>
    </row>
    <row r="1868" spans="3:11" x14ac:dyDescent="0.2">
      <c r="C1868" s="19"/>
      <c r="D1868" s="19"/>
      <c r="E1868" s="19"/>
      <c r="F1868" s="20"/>
      <c r="G1868" s="19"/>
      <c r="H1868" s="19"/>
      <c r="I1868" s="19"/>
      <c r="J1868" s="19"/>
      <c r="K1868" s="19"/>
    </row>
    <row r="1869" spans="3:11" x14ac:dyDescent="0.2">
      <c r="C1869" s="19"/>
      <c r="D1869" s="19"/>
      <c r="E1869" s="19"/>
      <c r="F1869" s="20"/>
      <c r="G1869" s="19"/>
      <c r="H1869" s="19"/>
      <c r="I1869" s="19"/>
      <c r="J1869" s="19"/>
      <c r="K1869" s="19"/>
    </row>
    <row r="1870" spans="3:11" x14ac:dyDescent="0.2">
      <c r="C1870" s="19"/>
      <c r="D1870" s="19"/>
      <c r="E1870" s="19"/>
      <c r="F1870" s="20"/>
      <c r="G1870" s="19"/>
      <c r="H1870" s="19"/>
      <c r="I1870" s="19"/>
      <c r="J1870" s="19"/>
      <c r="K1870" s="19"/>
    </row>
    <row r="1871" spans="3:11" x14ac:dyDescent="0.2">
      <c r="C1871" s="19"/>
      <c r="D1871" s="19"/>
      <c r="E1871" s="19"/>
      <c r="F1871" s="20"/>
      <c r="G1871" s="19"/>
      <c r="H1871" s="19"/>
      <c r="I1871" s="19"/>
      <c r="J1871" s="19"/>
      <c r="K1871" s="19"/>
    </row>
    <row r="1872" spans="3:11" x14ac:dyDescent="0.2">
      <c r="C1872" s="19"/>
      <c r="D1872" s="19"/>
      <c r="E1872" s="19"/>
      <c r="F1872" s="20"/>
      <c r="G1872" s="19"/>
      <c r="H1872" s="19"/>
      <c r="I1872" s="19"/>
      <c r="J1872" s="19"/>
      <c r="K1872" s="19"/>
    </row>
    <row r="1873" spans="3:11" x14ac:dyDescent="0.2">
      <c r="C1873" s="19"/>
      <c r="D1873" s="19"/>
      <c r="E1873" s="19"/>
      <c r="F1873" s="20"/>
      <c r="G1873" s="19"/>
      <c r="H1873" s="19"/>
      <c r="I1873" s="19"/>
      <c r="J1873" s="19"/>
      <c r="K1873" s="19"/>
    </row>
    <row r="1874" spans="3:11" x14ac:dyDescent="0.2">
      <c r="C1874" s="19"/>
      <c r="D1874" s="19"/>
      <c r="E1874" s="19"/>
      <c r="F1874" s="20"/>
      <c r="G1874" s="19"/>
      <c r="H1874" s="19"/>
      <c r="I1874" s="19"/>
      <c r="J1874" s="19"/>
      <c r="K1874" s="19"/>
    </row>
    <row r="1875" spans="3:11" x14ac:dyDescent="0.2">
      <c r="C1875" s="19"/>
      <c r="D1875" s="19"/>
      <c r="E1875" s="19"/>
      <c r="F1875" s="20"/>
      <c r="G1875" s="19"/>
      <c r="H1875" s="19"/>
      <c r="I1875" s="19"/>
      <c r="J1875" s="19"/>
      <c r="K1875" s="19"/>
    </row>
    <row r="1876" spans="3:11" x14ac:dyDescent="0.2">
      <c r="C1876" s="19"/>
      <c r="D1876" s="19"/>
      <c r="E1876" s="19"/>
      <c r="F1876" s="20"/>
      <c r="G1876" s="19"/>
      <c r="H1876" s="19"/>
      <c r="I1876" s="19"/>
      <c r="J1876" s="19"/>
      <c r="K1876" s="19"/>
    </row>
    <row r="1877" spans="3:11" x14ac:dyDescent="0.2">
      <c r="C1877" s="19"/>
      <c r="D1877" s="19"/>
      <c r="E1877" s="19"/>
      <c r="F1877" s="20"/>
      <c r="G1877" s="19"/>
      <c r="H1877" s="19"/>
      <c r="I1877" s="19"/>
      <c r="J1877" s="19"/>
      <c r="K1877" s="19"/>
    </row>
    <row r="1878" spans="3:11" x14ac:dyDescent="0.2">
      <c r="C1878" s="19"/>
      <c r="D1878" s="19"/>
      <c r="E1878" s="19"/>
      <c r="F1878" s="20"/>
      <c r="G1878" s="19"/>
      <c r="H1878" s="19"/>
      <c r="I1878" s="19"/>
      <c r="J1878" s="19"/>
      <c r="K1878" s="19"/>
    </row>
    <row r="1879" spans="3:11" x14ac:dyDescent="0.2">
      <c r="C1879" s="19"/>
      <c r="D1879" s="19"/>
      <c r="E1879" s="19"/>
      <c r="F1879" s="20"/>
      <c r="G1879" s="19"/>
      <c r="H1879" s="19"/>
      <c r="I1879" s="19"/>
      <c r="J1879" s="19"/>
      <c r="K1879" s="19"/>
    </row>
    <row r="1880" spans="3:11" x14ac:dyDescent="0.2">
      <c r="C1880" s="19"/>
      <c r="D1880" s="19"/>
      <c r="E1880" s="19"/>
      <c r="F1880" s="20"/>
      <c r="G1880" s="19"/>
      <c r="H1880" s="19"/>
      <c r="I1880" s="19"/>
      <c r="J1880" s="19"/>
      <c r="K1880" s="19"/>
    </row>
    <row r="1881" spans="3:11" x14ac:dyDescent="0.2">
      <c r="C1881" s="19"/>
      <c r="D1881" s="19"/>
      <c r="E1881" s="19"/>
      <c r="F1881" s="20"/>
      <c r="G1881" s="19"/>
      <c r="H1881" s="19"/>
      <c r="I1881" s="19"/>
      <c r="J1881" s="19"/>
      <c r="K1881" s="19"/>
    </row>
    <row r="1882" spans="3:11" x14ac:dyDescent="0.2">
      <c r="C1882" s="19"/>
      <c r="D1882" s="19"/>
      <c r="E1882" s="19"/>
      <c r="F1882" s="20"/>
      <c r="G1882" s="19"/>
      <c r="H1882" s="19"/>
      <c r="I1882" s="19"/>
      <c r="J1882" s="19"/>
      <c r="K1882" s="19"/>
    </row>
    <row r="1883" spans="3:11" x14ac:dyDescent="0.2">
      <c r="C1883" s="19"/>
      <c r="D1883" s="19"/>
      <c r="E1883" s="19"/>
      <c r="F1883" s="20"/>
      <c r="G1883" s="19"/>
      <c r="H1883" s="19"/>
      <c r="I1883" s="19"/>
      <c r="J1883" s="19"/>
      <c r="K1883" s="19"/>
    </row>
    <row r="1884" spans="3:11" x14ac:dyDescent="0.2">
      <c r="C1884" s="19"/>
      <c r="D1884" s="19"/>
      <c r="E1884" s="19"/>
      <c r="F1884" s="20"/>
      <c r="G1884" s="19"/>
      <c r="H1884" s="19"/>
      <c r="I1884" s="19"/>
      <c r="J1884" s="19"/>
      <c r="K1884" s="19"/>
    </row>
    <row r="1885" spans="3:11" x14ac:dyDescent="0.2">
      <c r="C1885" s="19"/>
      <c r="D1885" s="19"/>
      <c r="E1885" s="19"/>
      <c r="F1885" s="20"/>
      <c r="G1885" s="19"/>
      <c r="H1885" s="19"/>
      <c r="I1885" s="19"/>
      <c r="J1885" s="19"/>
      <c r="K1885" s="19"/>
    </row>
    <row r="1886" spans="3:11" x14ac:dyDescent="0.2">
      <c r="C1886" s="19"/>
      <c r="D1886" s="19"/>
      <c r="E1886" s="19"/>
      <c r="F1886" s="20"/>
      <c r="G1886" s="19"/>
      <c r="H1886" s="19"/>
      <c r="I1886" s="19"/>
      <c r="J1886" s="19"/>
      <c r="K1886" s="19"/>
    </row>
    <row r="1887" spans="3:11" x14ac:dyDescent="0.2">
      <c r="C1887" s="19"/>
      <c r="D1887" s="19"/>
      <c r="E1887" s="19"/>
      <c r="F1887" s="20"/>
      <c r="G1887" s="19"/>
      <c r="H1887" s="19"/>
      <c r="I1887" s="19"/>
      <c r="J1887" s="19"/>
      <c r="K1887" s="19"/>
    </row>
    <row r="1888" spans="3:11" x14ac:dyDescent="0.2">
      <c r="C1888" s="19"/>
      <c r="D1888" s="19"/>
      <c r="E1888" s="19"/>
      <c r="F1888" s="20"/>
      <c r="G1888" s="19"/>
      <c r="H1888" s="19"/>
      <c r="I1888" s="19"/>
      <c r="J1888" s="19"/>
      <c r="K1888" s="19"/>
    </row>
    <row r="1889" spans="3:11" x14ac:dyDescent="0.2">
      <c r="C1889" s="19"/>
      <c r="D1889" s="19"/>
      <c r="E1889" s="19"/>
      <c r="F1889" s="20"/>
      <c r="G1889" s="19"/>
      <c r="H1889" s="19"/>
      <c r="I1889" s="19"/>
      <c r="J1889" s="19"/>
      <c r="K1889" s="19"/>
    </row>
    <row r="1890" spans="3:11" x14ac:dyDescent="0.2">
      <c r="C1890" s="19"/>
      <c r="D1890" s="19"/>
      <c r="E1890" s="19"/>
      <c r="F1890" s="20"/>
      <c r="G1890" s="19"/>
      <c r="H1890" s="19"/>
      <c r="I1890" s="19"/>
      <c r="J1890" s="19"/>
      <c r="K1890" s="19"/>
    </row>
    <row r="1891" spans="3:11" x14ac:dyDescent="0.2">
      <c r="C1891" s="19"/>
      <c r="D1891" s="19"/>
      <c r="E1891" s="19"/>
      <c r="F1891" s="20"/>
      <c r="G1891" s="19"/>
      <c r="H1891" s="19"/>
      <c r="I1891" s="19"/>
      <c r="J1891" s="19"/>
      <c r="K1891" s="19"/>
    </row>
    <row r="1892" spans="3:11" x14ac:dyDescent="0.2">
      <c r="C1892" s="19"/>
      <c r="D1892" s="19"/>
      <c r="E1892" s="19"/>
      <c r="F1892" s="20"/>
      <c r="G1892" s="19"/>
      <c r="H1892" s="19"/>
      <c r="I1892" s="19"/>
      <c r="J1892" s="19"/>
      <c r="K1892" s="19"/>
    </row>
    <row r="1893" spans="3:11" x14ac:dyDescent="0.2">
      <c r="C1893" s="19"/>
      <c r="D1893" s="19"/>
      <c r="E1893" s="19"/>
      <c r="F1893" s="20"/>
      <c r="G1893" s="19"/>
      <c r="H1893" s="19"/>
      <c r="I1893" s="19"/>
      <c r="J1893" s="19"/>
      <c r="K1893" s="19"/>
    </row>
    <row r="1894" spans="3:11" x14ac:dyDescent="0.2">
      <c r="C1894" s="19"/>
      <c r="D1894" s="19"/>
      <c r="E1894" s="19"/>
      <c r="F1894" s="20"/>
      <c r="G1894" s="19"/>
      <c r="H1894" s="19"/>
      <c r="I1894" s="19"/>
      <c r="J1894" s="19"/>
      <c r="K1894" s="19"/>
    </row>
    <row r="1895" spans="3:11" x14ac:dyDescent="0.2">
      <c r="C1895" s="19"/>
      <c r="D1895" s="19"/>
      <c r="E1895" s="19"/>
      <c r="F1895" s="20"/>
      <c r="G1895" s="19"/>
      <c r="H1895" s="19"/>
      <c r="I1895" s="19"/>
      <c r="J1895" s="19"/>
      <c r="K1895" s="19"/>
    </row>
    <row r="1896" spans="3:11" x14ac:dyDescent="0.2">
      <c r="C1896" s="19"/>
      <c r="D1896" s="19"/>
      <c r="E1896" s="19"/>
      <c r="F1896" s="20"/>
      <c r="G1896" s="19"/>
      <c r="H1896" s="19"/>
      <c r="I1896" s="19"/>
      <c r="J1896" s="19"/>
      <c r="K1896" s="19"/>
    </row>
    <row r="1897" spans="3:11" x14ac:dyDescent="0.2">
      <c r="C1897" s="19"/>
      <c r="D1897" s="19"/>
      <c r="E1897" s="19"/>
      <c r="F1897" s="20"/>
      <c r="G1897" s="19"/>
      <c r="H1897" s="19"/>
      <c r="I1897" s="19"/>
      <c r="J1897" s="19"/>
      <c r="K1897" s="19"/>
    </row>
    <row r="1898" spans="3:11" x14ac:dyDescent="0.2">
      <c r="C1898" s="19"/>
      <c r="D1898" s="19"/>
      <c r="E1898" s="19"/>
      <c r="F1898" s="20"/>
      <c r="G1898" s="19"/>
      <c r="H1898" s="19"/>
      <c r="I1898" s="19"/>
      <c r="J1898" s="19"/>
      <c r="K1898" s="19"/>
    </row>
    <row r="1899" spans="3:11" x14ac:dyDescent="0.2">
      <c r="C1899" s="19"/>
      <c r="D1899" s="19"/>
      <c r="E1899" s="19"/>
      <c r="F1899" s="20"/>
      <c r="G1899" s="19"/>
      <c r="H1899" s="19"/>
      <c r="I1899" s="19"/>
      <c r="J1899" s="19"/>
      <c r="K1899" s="19"/>
    </row>
    <row r="1900" spans="3:11" x14ac:dyDescent="0.2">
      <c r="C1900" s="19"/>
      <c r="D1900" s="19"/>
      <c r="E1900" s="19"/>
      <c r="F1900" s="20"/>
      <c r="G1900" s="19"/>
      <c r="H1900" s="19"/>
      <c r="I1900" s="19"/>
      <c r="J1900" s="19"/>
      <c r="K1900" s="19"/>
    </row>
    <row r="1901" spans="3:11" x14ac:dyDescent="0.2">
      <c r="C1901" s="19"/>
      <c r="D1901" s="19"/>
      <c r="E1901" s="19"/>
      <c r="F1901" s="20"/>
      <c r="G1901" s="19"/>
      <c r="H1901" s="19"/>
      <c r="I1901" s="19"/>
      <c r="J1901" s="19"/>
      <c r="K1901" s="19"/>
    </row>
    <row r="1902" spans="3:11" x14ac:dyDescent="0.2">
      <c r="C1902" s="19"/>
      <c r="D1902" s="19"/>
      <c r="E1902" s="19"/>
      <c r="F1902" s="20"/>
      <c r="G1902" s="19"/>
      <c r="H1902" s="19"/>
      <c r="I1902" s="19"/>
      <c r="J1902" s="19"/>
      <c r="K1902" s="19"/>
    </row>
    <row r="1903" spans="3:11" x14ac:dyDescent="0.2">
      <c r="C1903" s="19"/>
      <c r="D1903" s="19"/>
      <c r="E1903" s="19"/>
      <c r="F1903" s="20"/>
      <c r="G1903" s="19"/>
      <c r="H1903" s="19"/>
      <c r="I1903" s="19"/>
      <c r="J1903" s="19"/>
      <c r="K1903" s="19"/>
    </row>
    <row r="1904" spans="3:11" x14ac:dyDescent="0.2">
      <c r="C1904" s="19"/>
      <c r="D1904" s="19"/>
      <c r="E1904" s="19"/>
      <c r="F1904" s="20"/>
      <c r="G1904" s="19"/>
      <c r="H1904" s="19"/>
      <c r="I1904" s="19"/>
      <c r="J1904" s="19"/>
      <c r="K1904" s="19"/>
    </row>
    <row r="1905" spans="3:11" x14ac:dyDescent="0.2">
      <c r="C1905" s="19"/>
      <c r="D1905" s="19"/>
      <c r="E1905" s="19"/>
      <c r="F1905" s="20"/>
      <c r="G1905" s="19"/>
      <c r="H1905" s="19"/>
      <c r="I1905" s="19"/>
      <c r="J1905" s="19"/>
      <c r="K1905" s="19"/>
    </row>
    <row r="1906" spans="3:11" x14ac:dyDescent="0.2">
      <c r="C1906" s="19"/>
      <c r="D1906" s="19"/>
      <c r="E1906" s="19"/>
      <c r="F1906" s="20"/>
      <c r="G1906" s="19"/>
      <c r="H1906" s="19"/>
      <c r="I1906" s="19"/>
      <c r="J1906" s="19"/>
      <c r="K1906" s="19"/>
    </row>
    <row r="1907" spans="3:11" x14ac:dyDescent="0.2">
      <c r="C1907" s="19"/>
      <c r="D1907" s="19"/>
      <c r="E1907" s="19"/>
      <c r="F1907" s="20"/>
      <c r="G1907" s="19"/>
      <c r="H1907" s="19"/>
      <c r="I1907" s="19"/>
      <c r="J1907" s="21"/>
      <c r="K1907" s="19"/>
    </row>
    <row r="1908" spans="3:11" x14ac:dyDescent="0.2">
      <c r="C1908" s="19"/>
      <c r="D1908" s="19"/>
      <c r="E1908" s="19"/>
      <c r="F1908" s="20"/>
      <c r="G1908" s="19"/>
      <c r="H1908" s="19"/>
      <c r="I1908" s="19"/>
      <c r="J1908" s="21"/>
      <c r="K1908" s="19"/>
    </row>
    <row r="1909" spans="3:11" x14ac:dyDescent="0.2">
      <c r="C1909" s="19"/>
      <c r="D1909" s="19"/>
      <c r="E1909" s="19"/>
      <c r="F1909" s="20"/>
      <c r="G1909" s="19"/>
      <c r="H1909" s="19"/>
      <c r="I1909" s="19"/>
      <c r="J1909" s="21"/>
      <c r="K1909" s="19"/>
    </row>
    <row r="1910" spans="3:11" x14ac:dyDescent="0.2">
      <c r="C1910" s="19"/>
      <c r="D1910" s="19"/>
      <c r="E1910" s="19"/>
      <c r="F1910" s="20"/>
      <c r="G1910" s="19"/>
      <c r="H1910" s="19"/>
      <c r="I1910" s="19"/>
      <c r="J1910" s="21"/>
      <c r="K1910" s="19"/>
    </row>
    <row r="1911" spans="3:11" x14ac:dyDescent="0.2">
      <c r="C1911" s="19"/>
      <c r="D1911" s="19"/>
      <c r="E1911" s="19"/>
      <c r="F1911" s="20"/>
      <c r="G1911" s="19"/>
      <c r="H1911" s="19"/>
      <c r="I1911" s="19"/>
      <c r="J1911" s="21"/>
      <c r="K1911" s="19"/>
    </row>
    <row r="1912" spans="3:11" x14ac:dyDescent="0.2">
      <c r="C1912" s="19"/>
      <c r="D1912" s="19"/>
      <c r="E1912" s="19"/>
      <c r="F1912" s="20"/>
      <c r="G1912" s="19"/>
      <c r="H1912" s="19"/>
      <c r="I1912" s="19"/>
      <c r="J1912" s="21"/>
      <c r="K1912" s="19"/>
    </row>
    <row r="1913" spans="3:11" x14ac:dyDescent="0.2">
      <c r="C1913" s="19"/>
      <c r="D1913" s="19"/>
      <c r="E1913" s="19"/>
      <c r="F1913" s="20"/>
      <c r="G1913" s="19"/>
      <c r="H1913" s="19"/>
      <c r="I1913" s="19"/>
      <c r="J1913" s="21"/>
      <c r="K1913" s="19"/>
    </row>
    <row r="1914" spans="3:11" x14ac:dyDescent="0.2">
      <c r="C1914" s="19"/>
      <c r="D1914" s="19"/>
      <c r="E1914" s="19"/>
      <c r="F1914" s="20"/>
      <c r="G1914" s="19"/>
      <c r="H1914" s="19"/>
      <c r="I1914" s="19"/>
      <c r="J1914" s="21"/>
      <c r="K1914" s="19"/>
    </row>
    <row r="1915" spans="3:11" x14ac:dyDescent="0.2">
      <c r="C1915" s="19"/>
      <c r="D1915" s="19"/>
      <c r="E1915" s="19"/>
      <c r="F1915" s="20"/>
      <c r="G1915" s="19"/>
      <c r="H1915" s="19"/>
      <c r="I1915" s="19"/>
      <c r="J1915" s="19"/>
      <c r="K1915" s="19"/>
    </row>
    <row r="1916" spans="3:11" x14ac:dyDescent="0.2">
      <c r="C1916" s="19"/>
      <c r="D1916" s="19"/>
      <c r="E1916" s="19"/>
      <c r="F1916" s="20"/>
      <c r="G1916" s="19"/>
      <c r="H1916" s="19"/>
      <c r="I1916" s="19"/>
      <c r="J1916" s="19"/>
      <c r="K1916" s="19"/>
    </row>
    <row r="1917" spans="3:11" x14ac:dyDescent="0.2">
      <c r="C1917" s="19"/>
      <c r="D1917" s="19"/>
      <c r="E1917" s="19"/>
      <c r="F1917" s="20"/>
      <c r="G1917" s="19"/>
      <c r="H1917" s="19"/>
      <c r="I1917" s="19"/>
      <c r="J1917" s="21"/>
      <c r="K1917" s="19"/>
    </row>
    <row r="1918" spans="3:11" x14ac:dyDescent="0.2">
      <c r="C1918" s="19"/>
      <c r="D1918" s="19"/>
      <c r="E1918" s="19"/>
      <c r="F1918" s="20"/>
      <c r="G1918" s="19"/>
      <c r="H1918" s="19"/>
      <c r="I1918" s="19"/>
      <c r="J1918" s="19"/>
      <c r="K1918" s="19"/>
    </row>
    <row r="1919" spans="3:11" x14ac:dyDescent="0.2">
      <c r="C1919" s="19"/>
      <c r="D1919" s="19"/>
      <c r="E1919" s="19"/>
      <c r="F1919" s="20"/>
      <c r="G1919" s="19"/>
      <c r="H1919" s="19"/>
      <c r="I1919" s="19"/>
      <c r="J1919" s="19"/>
      <c r="K1919" s="19"/>
    </row>
    <row r="1920" spans="3:11" x14ac:dyDescent="0.2">
      <c r="C1920" s="19"/>
      <c r="D1920" s="19"/>
      <c r="E1920" s="19"/>
      <c r="F1920" s="20"/>
      <c r="G1920" s="19"/>
      <c r="H1920" s="19"/>
      <c r="I1920" s="19"/>
      <c r="J1920" s="21"/>
      <c r="K1920" s="19"/>
    </row>
    <row r="1921" spans="3:11" x14ac:dyDescent="0.2">
      <c r="C1921" s="19"/>
      <c r="D1921" s="19"/>
      <c r="E1921" s="19"/>
      <c r="F1921" s="20"/>
      <c r="G1921" s="19"/>
      <c r="H1921" s="19"/>
      <c r="I1921" s="19"/>
      <c r="J1921" s="19"/>
      <c r="K1921" s="19"/>
    </row>
    <row r="1922" spans="3:11" x14ac:dyDescent="0.2">
      <c r="C1922" s="19"/>
      <c r="D1922" s="19"/>
      <c r="E1922" s="19"/>
      <c r="F1922" s="20"/>
      <c r="G1922" s="19"/>
      <c r="H1922" s="19"/>
      <c r="I1922" s="19"/>
      <c r="J1922" s="19"/>
      <c r="K1922" s="19"/>
    </row>
    <row r="1923" spans="3:11" x14ac:dyDescent="0.2">
      <c r="C1923" s="19"/>
      <c r="D1923" s="19"/>
      <c r="E1923" s="19"/>
      <c r="F1923" s="20"/>
      <c r="G1923" s="19"/>
      <c r="H1923" s="19"/>
      <c r="I1923" s="19"/>
      <c r="J1923" s="19"/>
      <c r="K1923" s="19"/>
    </row>
    <row r="1924" spans="3:11" x14ac:dyDescent="0.2">
      <c r="C1924" s="19"/>
      <c r="D1924" s="19"/>
      <c r="E1924" s="19"/>
      <c r="F1924" s="20"/>
      <c r="G1924" s="19"/>
      <c r="H1924" s="19"/>
      <c r="I1924" s="19"/>
      <c r="J1924" s="19"/>
      <c r="K1924" s="19"/>
    </row>
    <row r="1925" spans="3:11" x14ac:dyDescent="0.2">
      <c r="C1925" s="19"/>
      <c r="D1925" s="19"/>
      <c r="E1925" s="19"/>
      <c r="F1925" s="20"/>
      <c r="G1925" s="19"/>
      <c r="H1925" s="19"/>
      <c r="I1925" s="19"/>
      <c r="J1925" s="19"/>
      <c r="K1925" s="19"/>
    </row>
    <row r="1926" spans="3:11" x14ac:dyDescent="0.2">
      <c r="C1926" s="19"/>
      <c r="D1926" s="19"/>
      <c r="E1926" s="19"/>
      <c r="F1926" s="20"/>
      <c r="G1926" s="19"/>
      <c r="H1926" s="19"/>
      <c r="I1926" s="19"/>
      <c r="J1926" s="19"/>
      <c r="K1926" s="19"/>
    </row>
    <row r="1927" spans="3:11" x14ac:dyDescent="0.2">
      <c r="C1927" s="19"/>
      <c r="D1927" s="19"/>
      <c r="E1927" s="19"/>
      <c r="F1927" s="20"/>
      <c r="G1927" s="19"/>
      <c r="H1927" s="19"/>
      <c r="I1927" s="19"/>
      <c r="J1927" s="19"/>
      <c r="K1927" s="19"/>
    </row>
    <row r="1928" spans="3:11" x14ac:dyDescent="0.2">
      <c r="C1928" s="19"/>
      <c r="D1928" s="19"/>
      <c r="E1928" s="19"/>
      <c r="F1928" s="20"/>
      <c r="G1928" s="19"/>
      <c r="H1928" s="19"/>
      <c r="I1928" s="19"/>
      <c r="J1928" s="19"/>
      <c r="K1928" s="19"/>
    </row>
    <row r="1929" spans="3:11" x14ac:dyDescent="0.2">
      <c r="C1929" s="19"/>
      <c r="D1929" s="19"/>
      <c r="E1929" s="19"/>
      <c r="F1929" s="20"/>
      <c r="G1929" s="19"/>
      <c r="H1929" s="19"/>
      <c r="I1929" s="19"/>
      <c r="J1929" s="19"/>
      <c r="K1929" s="19"/>
    </row>
    <row r="1930" spans="3:11" x14ac:dyDescent="0.2">
      <c r="C1930" s="19"/>
      <c r="D1930" s="19"/>
      <c r="E1930" s="19"/>
      <c r="F1930" s="20"/>
      <c r="G1930" s="19"/>
      <c r="H1930" s="19"/>
      <c r="I1930" s="19"/>
      <c r="J1930" s="19"/>
      <c r="K1930" s="19"/>
    </row>
    <row r="1931" spans="3:11" x14ac:dyDescent="0.2">
      <c r="C1931" s="19"/>
      <c r="D1931" s="19"/>
      <c r="E1931" s="19"/>
      <c r="F1931" s="20"/>
      <c r="G1931" s="19"/>
      <c r="H1931" s="19"/>
      <c r="I1931" s="19"/>
      <c r="J1931" s="19"/>
      <c r="K1931" s="19"/>
    </row>
    <row r="1932" spans="3:11" x14ac:dyDescent="0.2">
      <c r="C1932" s="19"/>
      <c r="D1932" s="19"/>
      <c r="E1932" s="19"/>
      <c r="F1932" s="20"/>
      <c r="G1932" s="19"/>
      <c r="H1932" s="19"/>
      <c r="I1932" s="19"/>
      <c r="J1932" s="19"/>
      <c r="K1932" s="19"/>
    </row>
    <row r="1933" spans="3:11" x14ac:dyDescent="0.2">
      <c r="C1933" s="19"/>
      <c r="D1933" s="19"/>
      <c r="E1933" s="19"/>
      <c r="F1933" s="20"/>
      <c r="G1933" s="19"/>
      <c r="H1933" s="19"/>
      <c r="I1933" s="19"/>
      <c r="J1933" s="21"/>
      <c r="K1933" s="19"/>
    </row>
    <row r="1934" spans="3:11" x14ac:dyDescent="0.2">
      <c r="C1934" s="19"/>
      <c r="D1934" s="19"/>
      <c r="E1934" s="19"/>
      <c r="F1934" s="20"/>
      <c r="G1934" s="19"/>
      <c r="H1934" s="19"/>
      <c r="I1934" s="19"/>
      <c r="J1934" s="21"/>
      <c r="K1934" s="19"/>
    </row>
    <row r="1935" spans="3:11" x14ac:dyDescent="0.2">
      <c r="C1935" s="19"/>
      <c r="D1935" s="19"/>
      <c r="E1935" s="19"/>
      <c r="F1935" s="20"/>
      <c r="G1935" s="19"/>
      <c r="H1935" s="19"/>
      <c r="I1935" s="19"/>
      <c r="J1935" s="21"/>
      <c r="K1935" s="19"/>
    </row>
    <row r="1936" spans="3:11" x14ac:dyDescent="0.2">
      <c r="C1936" s="19"/>
      <c r="D1936" s="19"/>
      <c r="E1936" s="19"/>
      <c r="F1936" s="20"/>
      <c r="G1936" s="19"/>
      <c r="H1936" s="19"/>
      <c r="I1936" s="19"/>
      <c r="J1936" s="21"/>
      <c r="K1936" s="19"/>
    </row>
    <row r="1937" spans="3:11" x14ac:dyDescent="0.2">
      <c r="C1937" s="19"/>
      <c r="D1937" s="19"/>
      <c r="E1937" s="19"/>
      <c r="F1937" s="20"/>
      <c r="G1937" s="19"/>
      <c r="H1937" s="19"/>
      <c r="I1937" s="19"/>
      <c r="J1937" s="21"/>
      <c r="K1937" s="19"/>
    </row>
    <row r="1938" spans="3:11" x14ac:dyDescent="0.2">
      <c r="C1938" s="19"/>
      <c r="D1938" s="19"/>
      <c r="E1938" s="19"/>
      <c r="F1938" s="20"/>
      <c r="G1938" s="19"/>
      <c r="H1938" s="19"/>
      <c r="I1938" s="19"/>
      <c r="J1938" s="19"/>
      <c r="K1938" s="19"/>
    </row>
    <row r="1939" spans="3:11" x14ac:dyDescent="0.2">
      <c r="C1939" s="19"/>
      <c r="D1939" s="19"/>
      <c r="E1939" s="19"/>
      <c r="F1939" s="20"/>
      <c r="G1939" s="19"/>
      <c r="H1939" s="19"/>
      <c r="I1939" s="19"/>
      <c r="J1939" s="19"/>
      <c r="K1939" s="19"/>
    </row>
    <row r="1940" spans="3:11" x14ac:dyDescent="0.2">
      <c r="C1940" s="19"/>
      <c r="D1940" s="19"/>
      <c r="E1940" s="19"/>
      <c r="F1940" s="20"/>
      <c r="G1940" s="19"/>
      <c r="H1940" s="19"/>
      <c r="I1940" s="19"/>
      <c r="J1940" s="21"/>
      <c r="K1940" s="19"/>
    </row>
    <row r="1941" spans="3:11" x14ac:dyDescent="0.2">
      <c r="C1941" s="19"/>
      <c r="D1941" s="19"/>
      <c r="E1941" s="19"/>
      <c r="F1941" s="20"/>
      <c r="G1941" s="19"/>
      <c r="H1941" s="19"/>
      <c r="I1941" s="19"/>
      <c r="J1941" s="21"/>
      <c r="K1941" s="19"/>
    </row>
    <row r="1942" spans="3:11" x14ac:dyDescent="0.2">
      <c r="C1942" s="19"/>
      <c r="D1942" s="19"/>
      <c r="E1942" s="19"/>
      <c r="F1942" s="20"/>
      <c r="G1942" s="19"/>
      <c r="H1942" s="19"/>
      <c r="I1942" s="19"/>
      <c r="J1942" s="21"/>
      <c r="K1942" s="19"/>
    </row>
    <row r="1943" spans="3:11" x14ac:dyDescent="0.2">
      <c r="C1943" s="19"/>
      <c r="D1943" s="19"/>
      <c r="E1943" s="19"/>
      <c r="F1943" s="20"/>
      <c r="G1943" s="19"/>
      <c r="H1943" s="19"/>
      <c r="I1943" s="19"/>
      <c r="J1943" s="21"/>
      <c r="K1943" s="19"/>
    </row>
    <row r="1944" spans="3:11" x14ac:dyDescent="0.2">
      <c r="C1944" s="19"/>
      <c r="D1944" s="19"/>
      <c r="E1944" s="19"/>
      <c r="F1944" s="20"/>
      <c r="G1944" s="19"/>
      <c r="H1944" s="19"/>
      <c r="I1944" s="19"/>
      <c r="J1944" s="21"/>
      <c r="K1944" s="19"/>
    </row>
    <row r="1945" spans="3:11" x14ac:dyDescent="0.2">
      <c r="C1945" s="19"/>
      <c r="D1945" s="19"/>
      <c r="E1945" s="19"/>
      <c r="F1945" s="20"/>
      <c r="G1945" s="19"/>
      <c r="H1945" s="19"/>
      <c r="I1945" s="19"/>
      <c r="J1945" s="21"/>
      <c r="K1945" s="19"/>
    </row>
    <row r="1946" spans="3:11" x14ac:dyDescent="0.2">
      <c r="C1946" s="19"/>
      <c r="D1946" s="19"/>
      <c r="E1946" s="19"/>
      <c r="F1946" s="20"/>
      <c r="G1946" s="19"/>
      <c r="H1946" s="19"/>
      <c r="I1946" s="19"/>
      <c r="J1946" s="21"/>
      <c r="K1946" s="19"/>
    </row>
    <row r="1947" spans="3:11" x14ac:dyDescent="0.2">
      <c r="C1947" s="19"/>
      <c r="D1947" s="19"/>
      <c r="E1947" s="19"/>
      <c r="F1947" s="20"/>
      <c r="G1947" s="19"/>
      <c r="H1947" s="19"/>
      <c r="I1947" s="19"/>
      <c r="J1947" s="21"/>
      <c r="K1947" s="19"/>
    </row>
    <row r="1948" spans="3:11" x14ac:dyDescent="0.2">
      <c r="C1948" s="19"/>
      <c r="D1948" s="19"/>
      <c r="E1948" s="19"/>
      <c r="F1948" s="20"/>
      <c r="G1948" s="19"/>
      <c r="H1948" s="19"/>
      <c r="I1948" s="19"/>
      <c r="J1948" s="19"/>
      <c r="K1948" s="19"/>
    </row>
    <row r="1949" spans="3:11" x14ac:dyDescent="0.2">
      <c r="C1949" s="19"/>
      <c r="D1949" s="19"/>
      <c r="E1949" s="19"/>
      <c r="F1949" s="20"/>
      <c r="G1949" s="19"/>
      <c r="H1949" s="19"/>
      <c r="I1949" s="19"/>
      <c r="J1949" s="21"/>
      <c r="K1949" s="19"/>
    </row>
    <row r="1950" spans="3:11" x14ac:dyDescent="0.2">
      <c r="C1950" s="19"/>
      <c r="D1950" s="19"/>
      <c r="E1950" s="19"/>
      <c r="F1950" s="20"/>
      <c r="G1950" s="19"/>
      <c r="H1950" s="19"/>
      <c r="I1950" s="19"/>
      <c r="J1950" s="19"/>
      <c r="K1950" s="19"/>
    </row>
    <row r="1951" spans="3:11" x14ac:dyDescent="0.2">
      <c r="C1951" s="19"/>
      <c r="D1951" s="19"/>
      <c r="E1951" s="19"/>
      <c r="F1951" s="20"/>
      <c r="G1951" s="19"/>
      <c r="H1951" s="19"/>
      <c r="I1951" s="19"/>
      <c r="J1951" s="19"/>
      <c r="K1951" s="19"/>
    </row>
    <row r="1952" spans="3:11" x14ac:dyDescent="0.2">
      <c r="C1952" s="19"/>
      <c r="D1952" s="19"/>
      <c r="E1952" s="19"/>
      <c r="F1952" s="20"/>
      <c r="G1952" s="19"/>
      <c r="H1952" s="19"/>
      <c r="I1952" s="19"/>
      <c r="J1952" s="19"/>
      <c r="K1952" s="19"/>
    </row>
    <row r="1953" spans="3:11" x14ac:dyDescent="0.2">
      <c r="C1953" s="19"/>
      <c r="D1953" s="19"/>
      <c r="E1953" s="19"/>
      <c r="F1953" s="20"/>
      <c r="G1953" s="19"/>
      <c r="H1953" s="19"/>
      <c r="I1953" s="19"/>
      <c r="J1953" s="21"/>
      <c r="K1953" s="19"/>
    </row>
    <row r="1954" spans="3:11" x14ac:dyDescent="0.2">
      <c r="C1954" s="19"/>
      <c r="D1954" s="19"/>
      <c r="E1954" s="19"/>
      <c r="F1954" s="20"/>
      <c r="G1954" s="19"/>
      <c r="H1954" s="19"/>
      <c r="I1954" s="19"/>
      <c r="J1954" s="21"/>
      <c r="K1954" s="19"/>
    </row>
    <row r="1955" spans="3:11" x14ac:dyDescent="0.2">
      <c r="C1955" s="19"/>
      <c r="D1955" s="19"/>
      <c r="E1955" s="19"/>
      <c r="F1955" s="20"/>
      <c r="G1955" s="19"/>
      <c r="H1955" s="19"/>
      <c r="I1955" s="19"/>
      <c r="J1955" s="21"/>
      <c r="K1955" s="19"/>
    </row>
    <row r="1956" spans="3:11" x14ac:dyDescent="0.2">
      <c r="C1956" s="19"/>
      <c r="D1956" s="19"/>
      <c r="E1956" s="19"/>
      <c r="F1956" s="20"/>
      <c r="G1956" s="19"/>
      <c r="H1956" s="19"/>
      <c r="I1956" s="19"/>
      <c r="J1956" s="21"/>
      <c r="K1956" s="19"/>
    </row>
    <row r="1957" spans="3:11" x14ac:dyDescent="0.2">
      <c r="C1957" s="19"/>
      <c r="D1957" s="19"/>
      <c r="E1957" s="19"/>
      <c r="F1957" s="20"/>
      <c r="G1957" s="19"/>
      <c r="H1957" s="19"/>
      <c r="I1957" s="19"/>
      <c r="J1957" s="21"/>
      <c r="K1957" s="19"/>
    </row>
    <row r="1958" spans="3:11" x14ac:dyDescent="0.2">
      <c r="C1958" s="19"/>
      <c r="D1958" s="19"/>
      <c r="E1958" s="19"/>
      <c r="F1958" s="20"/>
      <c r="G1958" s="19"/>
      <c r="H1958" s="19"/>
      <c r="I1958" s="19"/>
      <c r="J1958" s="21"/>
      <c r="K1958" s="19"/>
    </row>
    <row r="1959" spans="3:11" x14ac:dyDescent="0.2">
      <c r="C1959" s="19"/>
      <c r="D1959" s="19"/>
      <c r="E1959" s="19"/>
      <c r="F1959" s="20"/>
      <c r="G1959" s="19"/>
      <c r="H1959" s="19"/>
      <c r="I1959" s="19"/>
      <c r="J1959" s="19"/>
      <c r="K1959" s="19"/>
    </row>
    <row r="1960" spans="3:11" x14ac:dyDescent="0.2">
      <c r="C1960" s="19"/>
      <c r="D1960" s="19"/>
      <c r="E1960" s="19"/>
      <c r="F1960" s="20"/>
      <c r="G1960" s="19"/>
      <c r="H1960" s="19"/>
      <c r="I1960" s="19"/>
      <c r="J1960" s="19"/>
      <c r="K1960" s="19"/>
    </row>
    <row r="1961" spans="3:11" x14ac:dyDescent="0.2">
      <c r="C1961" s="19"/>
      <c r="D1961" s="19"/>
      <c r="E1961" s="19"/>
      <c r="F1961" s="20"/>
      <c r="G1961" s="19"/>
      <c r="H1961" s="19"/>
      <c r="I1961" s="19"/>
      <c r="J1961" s="19"/>
      <c r="K1961" s="19"/>
    </row>
    <row r="1962" spans="3:11" x14ac:dyDescent="0.2">
      <c r="C1962" s="19"/>
      <c r="D1962" s="19"/>
      <c r="E1962" s="19"/>
      <c r="F1962" s="20"/>
      <c r="G1962" s="19"/>
      <c r="H1962" s="19"/>
      <c r="I1962" s="19"/>
      <c r="J1962" s="19"/>
      <c r="K1962" s="19"/>
    </row>
    <row r="1963" spans="3:11" x14ac:dyDescent="0.2">
      <c r="C1963" s="19"/>
      <c r="D1963" s="19"/>
      <c r="E1963" s="19"/>
      <c r="F1963" s="20"/>
      <c r="G1963" s="19"/>
      <c r="H1963" s="19"/>
      <c r="I1963" s="19"/>
      <c r="J1963" s="19"/>
      <c r="K1963" s="19"/>
    </row>
    <row r="1964" spans="3:11" x14ac:dyDescent="0.2">
      <c r="C1964" s="19"/>
      <c r="D1964" s="19"/>
      <c r="E1964" s="19"/>
      <c r="F1964" s="20"/>
      <c r="G1964" s="19"/>
      <c r="H1964" s="19"/>
      <c r="I1964" s="19"/>
      <c r="J1964" s="19"/>
      <c r="K1964" s="19"/>
    </row>
    <row r="1965" spans="3:11" x14ac:dyDescent="0.2">
      <c r="C1965" s="19"/>
      <c r="D1965" s="19"/>
      <c r="E1965" s="19"/>
      <c r="F1965" s="20"/>
      <c r="G1965" s="19"/>
      <c r="H1965" s="19"/>
      <c r="I1965" s="19"/>
      <c r="J1965" s="21"/>
      <c r="K1965" s="19"/>
    </row>
    <row r="1966" spans="3:11" x14ac:dyDescent="0.2">
      <c r="C1966" s="19"/>
      <c r="D1966" s="19"/>
      <c r="E1966" s="19"/>
      <c r="F1966" s="20"/>
      <c r="G1966" s="19"/>
      <c r="H1966" s="19"/>
      <c r="I1966" s="19"/>
      <c r="J1966" s="21"/>
      <c r="K1966" s="19"/>
    </row>
    <row r="1967" spans="3:11" x14ac:dyDescent="0.2">
      <c r="C1967" s="19"/>
      <c r="D1967" s="19"/>
      <c r="E1967" s="19"/>
      <c r="F1967" s="20"/>
      <c r="G1967" s="19"/>
      <c r="H1967" s="19"/>
      <c r="I1967" s="19"/>
      <c r="J1967" s="21"/>
      <c r="K1967" s="19"/>
    </row>
    <row r="1968" spans="3:11" x14ac:dyDescent="0.2">
      <c r="C1968" s="19"/>
      <c r="D1968" s="19"/>
      <c r="E1968" s="19"/>
      <c r="F1968" s="20"/>
      <c r="G1968" s="19"/>
      <c r="H1968" s="19"/>
      <c r="I1968" s="19"/>
      <c r="J1968" s="21"/>
      <c r="K1968" s="19"/>
    </row>
    <row r="1969" spans="3:11" x14ac:dyDescent="0.2">
      <c r="C1969" s="19"/>
      <c r="D1969" s="19"/>
      <c r="E1969" s="19"/>
      <c r="F1969" s="20"/>
      <c r="G1969" s="19"/>
      <c r="H1969" s="19"/>
      <c r="I1969" s="19"/>
      <c r="J1969" s="21"/>
      <c r="K1969" s="19"/>
    </row>
    <row r="1970" spans="3:11" x14ac:dyDescent="0.2">
      <c r="C1970" s="19"/>
      <c r="D1970" s="19"/>
      <c r="E1970" s="19"/>
      <c r="F1970" s="20"/>
      <c r="G1970" s="19"/>
      <c r="H1970" s="19"/>
      <c r="I1970" s="19"/>
      <c r="J1970" s="21"/>
      <c r="K1970" s="19"/>
    </row>
    <row r="1971" spans="3:11" x14ac:dyDescent="0.2">
      <c r="C1971" s="19"/>
      <c r="D1971" s="19"/>
      <c r="E1971" s="19"/>
      <c r="F1971" s="20"/>
      <c r="G1971" s="19"/>
      <c r="H1971" s="19"/>
      <c r="I1971" s="19"/>
      <c r="J1971" s="19"/>
      <c r="K1971" s="19"/>
    </row>
    <row r="1972" spans="3:11" x14ac:dyDescent="0.2">
      <c r="C1972" s="19"/>
      <c r="D1972" s="19"/>
      <c r="E1972" s="19"/>
      <c r="F1972" s="20"/>
      <c r="G1972" s="19"/>
      <c r="H1972" s="19"/>
      <c r="I1972" s="19"/>
      <c r="J1972" s="19"/>
      <c r="K1972" s="19"/>
    </row>
    <row r="1973" spans="3:11" x14ac:dyDescent="0.2">
      <c r="C1973" s="19"/>
      <c r="D1973" s="19"/>
      <c r="E1973" s="19"/>
      <c r="F1973" s="20"/>
      <c r="G1973" s="19"/>
      <c r="H1973" s="19"/>
      <c r="I1973" s="19"/>
      <c r="J1973" s="19"/>
      <c r="K1973" s="19"/>
    </row>
    <row r="1974" spans="3:11" x14ac:dyDescent="0.2">
      <c r="C1974" s="19"/>
      <c r="D1974" s="19"/>
      <c r="E1974" s="19"/>
      <c r="F1974" s="20"/>
      <c r="G1974" s="19"/>
      <c r="H1974" s="19"/>
      <c r="I1974" s="19"/>
      <c r="J1974" s="19"/>
      <c r="K1974" s="19"/>
    </row>
    <row r="1975" spans="3:11" x14ac:dyDescent="0.2">
      <c r="C1975" s="19"/>
      <c r="D1975" s="19"/>
      <c r="E1975" s="19"/>
      <c r="F1975" s="20"/>
      <c r="G1975" s="19"/>
      <c r="H1975" s="19"/>
      <c r="I1975" s="19"/>
      <c r="J1975" s="19"/>
      <c r="K1975" s="19"/>
    </row>
    <row r="1976" spans="3:11" x14ac:dyDescent="0.2">
      <c r="C1976" s="19"/>
      <c r="D1976" s="19"/>
      <c r="E1976" s="19"/>
      <c r="F1976" s="20"/>
      <c r="G1976" s="19"/>
      <c r="H1976" s="19"/>
      <c r="I1976" s="19"/>
      <c r="J1976" s="19"/>
      <c r="K1976" s="19"/>
    </row>
    <row r="1977" spans="3:11" x14ac:dyDescent="0.2">
      <c r="C1977" s="19"/>
      <c r="D1977" s="19"/>
      <c r="E1977" s="19"/>
      <c r="F1977" s="20"/>
      <c r="G1977" s="19"/>
      <c r="H1977" s="19"/>
      <c r="I1977" s="19"/>
      <c r="J1977" s="19"/>
      <c r="K1977" s="19"/>
    </row>
    <row r="1978" spans="3:11" x14ac:dyDescent="0.2">
      <c r="C1978" s="19"/>
      <c r="D1978" s="19"/>
      <c r="E1978" s="19"/>
      <c r="F1978" s="20"/>
      <c r="G1978" s="19"/>
      <c r="H1978" s="19"/>
      <c r="I1978" s="19"/>
      <c r="J1978" s="19"/>
      <c r="K1978" s="19"/>
    </row>
    <row r="1979" spans="3:11" x14ac:dyDescent="0.2">
      <c r="C1979" s="19"/>
      <c r="D1979" s="19"/>
      <c r="E1979" s="19"/>
      <c r="F1979" s="20"/>
      <c r="G1979" s="19"/>
      <c r="H1979" s="19"/>
      <c r="I1979" s="19"/>
      <c r="J1979" s="19"/>
      <c r="K1979" s="19"/>
    </row>
    <row r="1980" spans="3:11" x14ac:dyDescent="0.2">
      <c r="C1980" s="19"/>
      <c r="D1980" s="19"/>
      <c r="E1980" s="19"/>
      <c r="F1980" s="20"/>
      <c r="G1980" s="19"/>
      <c r="H1980" s="19"/>
      <c r="I1980" s="19"/>
      <c r="J1980" s="19"/>
      <c r="K1980" s="19"/>
    </row>
    <row r="1981" spans="3:11" x14ac:dyDescent="0.2">
      <c r="C1981" s="19"/>
      <c r="D1981" s="19"/>
      <c r="E1981" s="19"/>
      <c r="F1981" s="20"/>
      <c r="G1981" s="19"/>
      <c r="H1981" s="19"/>
      <c r="I1981" s="19"/>
      <c r="J1981" s="19"/>
      <c r="K1981" s="19"/>
    </row>
    <row r="1982" spans="3:11" x14ac:dyDescent="0.2">
      <c r="C1982" s="19"/>
      <c r="D1982" s="19"/>
      <c r="E1982" s="19"/>
      <c r="F1982" s="20"/>
      <c r="G1982" s="19"/>
      <c r="H1982" s="19"/>
      <c r="I1982" s="19"/>
      <c r="J1982" s="19"/>
      <c r="K1982" s="19"/>
    </row>
    <row r="1983" spans="3:11" x14ac:dyDescent="0.2">
      <c r="C1983" s="19"/>
      <c r="D1983" s="19"/>
      <c r="E1983" s="19"/>
      <c r="F1983" s="20"/>
      <c r="G1983" s="19"/>
      <c r="H1983" s="19"/>
      <c r="I1983" s="19"/>
      <c r="J1983" s="19"/>
      <c r="K1983" s="19"/>
    </row>
    <row r="1984" spans="3:11" x14ac:dyDescent="0.2">
      <c r="C1984" s="19"/>
      <c r="D1984" s="19"/>
      <c r="E1984" s="19"/>
      <c r="F1984" s="20"/>
      <c r="G1984" s="19"/>
      <c r="H1984" s="19"/>
      <c r="I1984" s="19"/>
      <c r="J1984" s="21"/>
      <c r="K1984" s="19"/>
    </row>
    <row r="1985" spans="3:11" x14ac:dyDescent="0.2">
      <c r="C1985" s="19"/>
      <c r="D1985" s="19"/>
      <c r="E1985" s="19"/>
      <c r="F1985" s="20"/>
      <c r="G1985" s="19"/>
      <c r="H1985" s="19"/>
      <c r="I1985" s="19"/>
      <c r="J1985" s="21"/>
      <c r="K1985" s="19"/>
    </row>
    <row r="1986" spans="3:11" x14ac:dyDescent="0.2">
      <c r="C1986" s="19"/>
      <c r="D1986" s="19"/>
      <c r="E1986" s="19"/>
      <c r="F1986" s="20"/>
      <c r="G1986" s="19"/>
      <c r="H1986" s="19"/>
      <c r="I1986" s="19"/>
      <c r="J1986" s="21"/>
      <c r="K1986" s="19"/>
    </row>
    <row r="1987" spans="3:11" x14ac:dyDescent="0.2">
      <c r="C1987" s="19"/>
      <c r="D1987" s="19"/>
      <c r="E1987" s="19"/>
      <c r="F1987" s="20"/>
      <c r="G1987" s="19"/>
      <c r="H1987" s="19"/>
      <c r="I1987" s="19"/>
      <c r="J1987" s="19"/>
      <c r="K1987" s="19"/>
    </row>
    <row r="1988" spans="3:11" x14ac:dyDescent="0.2">
      <c r="C1988" s="19"/>
      <c r="D1988" s="19"/>
      <c r="E1988" s="19"/>
      <c r="F1988" s="20"/>
      <c r="G1988" s="19"/>
      <c r="H1988" s="19"/>
      <c r="I1988" s="19"/>
      <c r="J1988" s="19"/>
      <c r="K1988" s="19"/>
    </row>
    <row r="1989" spans="3:11" x14ac:dyDescent="0.2">
      <c r="C1989" s="19"/>
      <c r="D1989" s="19"/>
      <c r="E1989" s="19"/>
      <c r="F1989" s="20"/>
      <c r="G1989" s="19"/>
      <c r="H1989" s="19"/>
      <c r="I1989" s="19"/>
      <c r="J1989" s="19"/>
      <c r="K1989" s="19"/>
    </row>
    <row r="1990" spans="3:11" x14ac:dyDescent="0.2">
      <c r="C1990" s="19"/>
      <c r="D1990" s="19"/>
      <c r="E1990" s="19"/>
      <c r="F1990" s="20"/>
      <c r="G1990" s="19"/>
      <c r="H1990" s="19"/>
      <c r="I1990" s="19"/>
      <c r="J1990" s="19"/>
      <c r="K1990" s="19"/>
    </row>
    <row r="1991" spans="3:11" x14ac:dyDescent="0.2">
      <c r="C1991" s="19"/>
      <c r="D1991" s="19"/>
      <c r="E1991" s="19"/>
      <c r="F1991" s="20"/>
      <c r="G1991" s="19"/>
      <c r="H1991" s="19"/>
      <c r="I1991" s="19"/>
      <c r="J1991" s="21"/>
      <c r="K1991" s="19"/>
    </row>
    <row r="1992" spans="3:11" x14ac:dyDescent="0.2">
      <c r="C1992" s="19"/>
      <c r="D1992" s="19"/>
      <c r="E1992" s="19"/>
      <c r="F1992" s="20"/>
      <c r="G1992" s="19"/>
      <c r="H1992" s="19"/>
      <c r="I1992" s="19"/>
      <c r="J1992" s="21"/>
      <c r="K1992" s="19"/>
    </row>
    <row r="1993" spans="3:11" x14ac:dyDescent="0.2">
      <c r="C1993" s="19"/>
      <c r="D1993" s="19"/>
      <c r="E1993" s="19"/>
      <c r="F1993" s="20"/>
      <c r="G1993" s="19"/>
      <c r="H1993" s="19"/>
      <c r="I1993" s="19"/>
      <c r="J1993" s="21"/>
      <c r="K1993" s="19"/>
    </row>
    <row r="1994" spans="3:11" x14ac:dyDescent="0.2">
      <c r="C1994" s="19"/>
      <c r="D1994" s="19"/>
      <c r="E1994" s="19"/>
      <c r="F1994" s="20"/>
      <c r="G1994" s="19"/>
      <c r="H1994" s="19"/>
      <c r="I1994" s="19"/>
      <c r="J1994" s="21"/>
      <c r="K1994" s="19"/>
    </row>
    <row r="1995" spans="3:11" x14ac:dyDescent="0.2">
      <c r="C1995" s="19"/>
      <c r="D1995" s="19"/>
      <c r="E1995" s="19"/>
      <c r="F1995" s="20"/>
      <c r="G1995" s="19"/>
      <c r="H1995" s="19"/>
      <c r="I1995" s="19"/>
      <c r="J1995" s="21"/>
      <c r="K1995" s="19"/>
    </row>
    <row r="1996" spans="3:11" x14ac:dyDescent="0.2">
      <c r="C1996" s="19"/>
      <c r="D1996" s="19"/>
      <c r="E1996" s="19"/>
      <c r="F1996" s="20"/>
      <c r="G1996" s="19"/>
      <c r="H1996" s="19"/>
      <c r="I1996" s="19"/>
      <c r="J1996" s="21"/>
      <c r="K1996" s="19"/>
    </row>
    <row r="1997" spans="3:11" x14ac:dyDescent="0.2">
      <c r="C1997" s="19"/>
      <c r="D1997" s="19"/>
      <c r="E1997" s="19"/>
      <c r="F1997" s="20"/>
      <c r="G1997" s="19"/>
      <c r="H1997" s="19"/>
      <c r="I1997" s="19"/>
      <c r="J1997" s="21"/>
      <c r="K1997" s="19"/>
    </row>
    <row r="1998" spans="3:11" x14ac:dyDescent="0.2">
      <c r="C1998" s="19"/>
      <c r="D1998" s="19"/>
      <c r="E1998" s="19"/>
      <c r="F1998" s="20"/>
      <c r="G1998" s="19"/>
      <c r="H1998" s="19"/>
      <c r="I1998" s="19"/>
      <c r="J1998" s="19"/>
      <c r="K1998" s="19"/>
    </row>
    <row r="1999" spans="3:11" x14ac:dyDescent="0.2">
      <c r="C1999" s="19"/>
      <c r="D1999" s="19"/>
      <c r="E1999" s="19"/>
      <c r="F1999" s="20"/>
      <c r="G1999" s="19"/>
      <c r="H1999" s="19"/>
      <c r="I1999" s="19"/>
      <c r="J1999" s="21"/>
      <c r="K1999" s="19"/>
    </row>
    <row r="2000" spans="3:11" x14ac:dyDescent="0.2">
      <c r="C2000" s="19"/>
      <c r="D2000" s="19"/>
      <c r="E2000" s="19"/>
      <c r="F2000" s="20"/>
      <c r="G2000" s="19"/>
      <c r="H2000" s="19"/>
      <c r="I2000" s="19"/>
      <c r="J2000" s="21"/>
      <c r="K2000" s="19"/>
    </row>
    <row r="2001" spans="3:11" x14ac:dyDescent="0.2">
      <c r="C2001" s="19"/>
      <c r="D2001" s="19"/>
      <c r="E2001" s="19"/>
      <c r="F2001" s="20"/>
      <c r="G2001" s="19"/>
      <c r="H2001" s="19"/>
      <c r="I2001" s="19"/>
      <c r="J2001" s="21"/>
      <c r="K2001" s="19"/>
    </row>
    <row r="2002" spans="3:11" x14ac:dyDescent="0.2">
      <c r="C2002" s="19"/>
      <c r="D2002" s="19"/>
      <c r="E2002" s="19"/>
      <c r="F2002" s="20"/>
      <c r="G2002" s="19"/>
      <c r="H2002" s="19"/>
      <c r="I2002" s="19"/>
      <c r="J2002" s="21"/>
      <c r="K2002" s="19"/>
    </row>
    <row r="2003" spans="3:11" x14ac:dyDescent="0.2">
      <c r="C2003" s="19"/>
      <c r="D2003" s="19"/>
      <c r="E2003" s="19"/>
      <c r="F2003" s="20"/>
      <c r="G2003" s="19"/>
      <c r="H2003" s="19"/>
      <c r="I2003" s="19"/>
      <c r="J2003" s="21"/>
      <c r="K2003" s="19"/>
    </row>
    <row r="2004" spans="3:11" x14ac:dyDescent="0.2">
      <c r="C2004" s="19"/>
      <c r="D2004" s="19"/>
      <c r="E2004" s="19"/>
      <c r="F2004" s="20"/>
      <c r="G2004" s="19"/>
      <c r="H2004" s="19"/>
      <c r="I2004" s="19"/>
      <c r="J2004" s="21"/>
      <c r="K2004" s="19"/>
    </row>
    <row r="2005" spans="3:11" x14ac:dyDescent="0.2">
      <c r="C2005" s="19"/>
      <c r="D2005" s="19"/>
      <c r="E2005" s="19"/>
      <c r="F2005" s="20"/>
      <c r="G2005" s="19"/>
      <c r="H2005" s="19"/>
      <c r="I2005" s="19"/>
      <c r="J2005" s="19"/>
      <c r="K2005" s="19"/>
    </row>
    <row r="2006" spans="3:11" x14ac:dyDescent="0.2">
      <c r="C2006" s="19"/>
      <c r="D2006" s="19"/>
      <c r="E2006" s="19"/>
      <c r="F2006" s="20"/>
      <c r="G2006" s="19"/>
      <c r="H2006" s="19"/>
      <c r="I2006" s="19"/>
      <c r="J2006" s="19"/>
      <c r="K2006" s="19"/>
    </row>
    <row r="2007" spans="3:11" x14ac:dyDescent="0.2">
      <c r="C2007" s="19"/>
      <c r="D2007" s="19"/>
      <c r="E2007" s="19"/>
      <c r="F2007" s="20"/>
      <c r="G2007" s="19"/>
      <c r="H2007" s="19"/>
      <c r="I2007" s="19"/>
      <c r="J2007" s="21"/>
      <c r="K2007" s="19"/>
    </row>
    <row r="2008" spans="3:11" x14ac:dyDescent="0.2">
      <c r="C2008" s="19"/>
      <c r="D2008" s="19"/>
      <c r="E2008" s="19"/>
      <c r="F2008" s="20"/>
      <c r="G2008" s="19"/>
      <c r="H2008" s="19"/>
      <c r="I2008" s="19"/>
      <c r="J2008" s="21"/>
      <c r="K2008" s="19"/>
    </row>
    <row r="2009" spans="3:11" x14ac:dyDescent="0.2">
      <c r="C2009" s="19"/>
      <c r="D2009" s="19"/>
      <c r="E2009" s="19"/>
      <c r="F2009" s="20"/>
      <c r="G2009" s="19"/>
      <c r="H2009" s="19"/>
      <c r="I2009" s="19"/>
      <c r="J2009" s="21"/>
      <c r="K2009" s="19"/>
    </row>
    <row r="2010" spans="3:11" x14ac:dyDescent="0.2">
      <c r="C2010" s="19"/>
      <c r="D2010" s="19"/>
      <c r="E2010" s="19"/>
      <c r="F2010" s="20"/>
      <c r="G2010" s="19"/>
      <c r="H2010" s="19"/>
      <c r="I2010" s="19"/>
      <c r="J2010" s="21"/>
      <c r="K2010" s="19"/>
    </row>
    <row r="2011" spans="3:11" x14ac:dyDescent="0.2">
      <c r="C2011" s="19"/>
      <c r="D2011" s="19"/>
      <c r="E2011" s="19"/>
      <c r="F2011" s="20"/>
      <c r="G2011" s="19"/>
      <c r="H2011" s="19"/>
      <c r="I2011" s="19"/>
      <c r="J2011" s="21"/>
      <c r="K2011" s="19"/>
    </row>
    <row r="2012" spans="3:11" x14ac:dyDescent="0.2">
      <c r="C2012" s="19"/>
      <c r="D2012" s="19"/>
      <c r="E2012" s="19"/>
      <c r="F2012" s="20"/>
      <c r="G2012" s="19"/>
      <c r="H2012" s="19"/>
      <c r="I2012" s="19"/>
      <c r="J2012" s="21"/>
      <c r="K2012" s="19"/>
    </row>
    <row r="2013" spans="3:11" x14ac:dyDescent="0.2">
      <c r="C2013" s="19"/>
      <c r="D2013" s="19"/>
      <c r="E2013" s="19"/>
      <c r="F2013" s="20"/>
      <c r="G2013" s="19"/>
      <c r="H2013" s="19"/>
      <c r="I2013" s="19"/>
      <c r="J2013" s="19"/>
      <c r="K2013" s="19"/>
    </row>
    <row r="2014" spans="3:11" x14ac:dyDescent="0.2">
      <c r="C2014" s="19"/>
      <c r="D2014" s="19"/>
      <c r="E2014" s="19"/>
      <c r="F2014" s="20"/>
      <c r="G2014" s="19"/>
      <c r="H2014" s="19"/>
      <c r="I2014" s="19"/>
      <c r="J2014" s="19"/>
      <c r="K2014" s="19"/>
    </row>
    <row r="2015" spans="3:11" x14ac:dyDescent="0.2">
      <c r="C2015" s="19"/>
      <c r="D2015" s="19"/>
      <c r="E2015" s="19"/>
      <c r="F2015" s="20"/>
      <c r="G2015" s="19"/>
      <c r="H2015" s="19"/>
      <c r="I2015" s="19"/>
      <c r="J2015" s="19"/>
      <c r="K2015" s="19"/>
    </row>
    <row r="2016" spans="3:11" x14ac:dyDescent="0.2">
      <c r="C2016" s="19"/>
      <c r="D2016" s="19"/>
      <c r="E2016" s="19"/>
      <c r="F2016" s="20"/>
      <c r="G2016" s="19"/>
      <c r="H2016" s="19"/>
      <c r="I2016" s="19"/>
      <c r="J2016" s="19"/>
      <c r="K2016" s="19"/>
    </row>
    <row r="2017" spans="3:11" x14ac:dyDescent="0.2">
      <c r="C2017" s="19"/>
      <c r="D2017" s="19"/>
      <c r="E2017" s="19"/>
      <c r="F2017" s="20"/>
      <c r="G2017" s="19"/>
      <c r="H2017" s="19"/>
      <c r="I2017" s="19"/>
      <c r="J2017" s="19"/>
      <c r="K2017" s="19"/>
    </row>
    <row r="2018" spans="3:11" x14ac:dyDescent="0.2">
      <c r="C2018" s="19"/>
      <c r="D2018" s="19"/>
      <c r="E2018" s="19"/>
      <c r="F2018" s="20"/>
      <c r="G2018" s="19"/>
      <c r="H2018" s="19"/>
      <c r="I2018" s="19"/>
      <c r="J2018" s="19"/>
      <c r="K2018" s="19"/>
    </row>
    <row r="2019" spans="3:11" x14ac:dyDescent="0.2">
      <c r="C2019" s="19"/>
      <c r="D2019" s="19"/>
      <c r="E2019" s="19"/>
      <c r="F2019" s="20"/>
      <c r="G2019" s="19"/>
      <c r="H2019" s="19"/>
      <c r="I2019" s="19"/>
      <c r="J2019" s="19"/>
      <c r="K2019" s="19"/>
    </row>
    <row r="2020" spans="3:11" x14ac:dyDescent="0.2">
      <c r="C2020" s="19"/>
      <c r="D2020" s="19"/>
      <c r="E2020" s="19"/>
      <c r="F2020" s="20"/>
      <c r="G2020" s="19"/>
      <c r="H2020" s="19"/>
      <c r="I2020" s="19"/>
      <c r="J2020" s="19"/>
      <c r="K2020" s="19"/>
    </row>
    <row r="2021" spans="3:11" x14ac:dyDescent="0.2">
      <c r="C2021" s="19"/>
      <c r="D2021" s="19"/>
      <c r="E2021" s="19"/>
      <c r="F2021" s="20"/>
      <c r="G2021" s="19"/>
      <c r="H2021" s="19"/>
      <c r="I2021" s="19"/>
      <c r="J2021" s="19"/>
      <c r="K2021" s="19"/>
    </row>
    <row r="2022" spans="3:11" x14ac:dyDescent="0.2">
      <c r="C2022" s="19"/>
      <c r="D2022" s="19"/>
      <c r="E2022" s="19"/>
      <c r="F2022" s="20"/>
      <c r="G2022" s="19"/>
      <c r="H2022" s="19"/>
      <c r="I2022" s="19"/>
      <c r="J2022" s="19"/>
      <c r="K2022" s="19"/>
    </row>
    <row r="2023" spans="3:11" x14ac:dyDescent="0.2">
      <c r="C2023" s="19"/>
      <c r="D2023" s="19"/>
      <c r="E2023" s="19"/>
      <c r="F2023" s="20"/>
      <c r="G2023" s="19"/>
      <c r="H2023" s="19"/>
      <c r="I2023" s="19"/>
      <c r="J2023" s="19"/>
      <c r="K2023" s="19"/>
    </row>
    <row r="2024" spans="3:11" x14ac:dyDescent="0.2">
      <c r="C2024" s="19"/>
      <c r="D2024" s="19"/>
      <c r="E2024" s="19"/>
      <c r="F2024" s="20"/>
      <c r="G2024" s="19"/>
      <c r="H2024" s="19"/>
      <c r="I2024" s="19"/>
      <c r="J2024" s="19"/>
      <c r="K2024" s="19"/>
    </row>
    <row r="2025" spans="3:11" x14ac:dyDescent="0.2">
      <c r="C2025" s="19"/>
      <c r="D2025" s="19"/>
      <c r="E2025" s="19"/>
      <c r="F2025" s="20"/>
      <c r="G2025" s="19"/>
      <c r="H2025" s="19"/>
      <c r="I2025" s="19"/>
      <c r="J2025" s="19"/>
      <c r="K2025" s="19"/>
    </row>
    <row r="2026" spans="3:11" x14ac:dyDescent="0.2">
      <c r="C2026" s="19"/>
      <c r="D2026" s="19"/>
      <c r="E2026" s="19"/>
      <c r="F2026" s="20"/>
      <c r="G2026" s="19"/>
      <c r="H2026" s="19"/>
      <c r="I2026" s="19"/>
      <c r="J2026" s="19"/>
      <c r="K2026" s="19"/>
    </row>
    <row r="2027" spans="3:11" x14ac:dyDescent="0.2">
      <c r="C2027" s="19"/>
      <c r="D2027" s="19"/>
      <c r="E2027" s="19"/>
      <c r="F2027" s="20"/>
      <c r="G2027" s="19"/>
      <c r="H2027" s="19"/>
      <c r="I2027" s="19"/>
      <c r="J2027" s="19"/>
      <c r="K2027" s="19"/>
    </row>
    <row r="2028" spans="3:11" x14ac:dyDescent="0.2">
      <c r="C2028" s="19"/>
      <c r="D2028" s="19"/>
      <c r="E2028" s="19"/>
      <c r="F2028" s="20"/>
      <c r="G2028" s="19"/>
      <c r="H2028" s="19"/>
      <c r="I2028" s="19"/>
      <c r="J2028" s="19"/>
      <c r="K2028" s="19"/>
    </row>
    <row r="2029" spans="3:11" x14ac:dyDescent="0.2">
      <c r="C2029" s="19"/>
      <c r="D2029" s="19"/>
      <c r="E2029" s="19"/>
      <c r="F2029" s="20"/>
      <c r="G2029" s="19"/>
      <c r="H2029" s="19"/>
      <c r="I2029" s="19"/>
      <c r="J2029" s="19"/>
      <c r="K2029" s="19"/>
    </row>
    <row r="2030" spans="3:11" x14ac:dyDescent="0.2">
      <c r="C2030" s="19"/>
      <c r="D2030" s="19"/>
      <c r="E2030" s="19"/>
      <c r="F2030" s="20"/>
      <c r="G2030" s="19"/>
      <c r="H2030" s="19"/>
      <c r="I2030" s="19"/>
      <c r="J2030" s="19"/>
      <c r="K2030" s="19"/>
    </row>
    <row r="2031" spans="3:11" x14ac:dyDescent="0.2">
      <c r="C2031" s="19"/>
      <c r="D2031" s="19"/>
      <c r="E2031" s="19"/>
      <c r="F2031" s="20"/>
      <c r="G2031" s="19"/>
      <c r="H2031" s="19"/>
      <c r="I2031" s="19"/>
      <c r="J2031" s="19"/>
      <c r="K2031" s="19"/>
    </row>
    <row r="2032" spans="3:11" x14ac:dyDescent="0.2">
      <c r="C2032" s="19"/>
      <c r="D2032" s="19"/>
      <c r="E2032" s="19"/>
      <c r="F2032" s="20"/>
      <c r="G2032" s="19"/>
      <c r="H2032" s="19"/>
      <c r="I2032" s="19"/>
      <c r="J2032" s="19"/>
      <c r="K2032" s="19"/>
    </row>
    <row r="2033" spans="3:11" x14ac:dyDescent="0.2">
      <c r="C2033" s="19"/>
      <c r="D2033" s="19"/>
      <c r="E2033" s="19"/>
      <c r="F2033" s="20"/>
      <c r="G2033" s="19"/>
      <c r="H2033" s="19"/>
      <c r="I2033" s="19"/>
      <c r="J2033" s="19"/>
      <c r="K2033" s="19"/>
    </row>
    <row r="2034" spans="3:11" x14ac:dyDescent="0.2">
      <c r="C2034" s="19"/>
      <c r="D2034" s="19"/>
      <c r="E2034" s="19"/>
      <c r="F2034" s="20"/>
      <c r="G2034" s="19"/>
      <c r="H2034" s="19"/>
      <c r="I2034" s="19"/>
      <c r="J2034" s="19"/>
      <c r="K2034" s="19"/>
    </row>
    <row r="2035" spans="3:11" x14ac:dyDescent="0.2">
      <c r="C2035" s="19"/>
      <c r="D2035" s="19"/>
      <c r="E2035" s="19"/>
      <c r="F2035" s="20"/>
      <c r="G2035" s="19"/>
      <c r="H2035" s="19"/>
      <c r="I2035" s="19"/>
      <c r="J2035" s="19"/>
      <c r="K2035" s="19"/>
    </row>
    <row r="2036" spans="3:11" x14ac:dyDescent="0.2">
      <c r="C2036" s="19"/>
      <c r="D2036" s="19"/>
      <c r="E2036" s="19"/>
      <c r="F2036" s="20"/>
      <c r="G2036" s="19"/>
      <c r="H2036" s="19"/>
      <c r="I2036" s="19"/>
      <c r="J2036" s="19"/>
      <c r="K2036" s="19"/>
    </row>
    <row r="2037" spans="3:11" x14ac:dyDescent="0.2">
      <c r="C2037" s="19"/>
      <c r="D2037" s="19"/>
      <c r="E2037" s="19"/>
      <c r="F2037" s="20"/>
      <c r="G2037" s="19"/>
      <c r="H2037" s="19"/>
      <c r="I2037" s="19"/>
      <c r="J2037" s="21"/>
      <c r="K2037" s="19"/>
    </row>
    <row r="2038" spans="3:11" x14ac:dyDescent="0.2">
      <c r="C2038" s="19"/>
      <c r="D2038" s="19"/>
      <c r="E2038" s="19"/>
      <c r="F2038" s="20"/>
      <c r="G2038" s="19"/>
      <c r="H2038" s="19"/>
      <c r="I2038" s="19"/>
      <c r="J2038" s="21"/>
      <c r="K2038" s="19"/>
    </row>
    <row r="2039" spans="3:11" x14ac:dyDescent="0.2">
      <c r="C2039" s="19"/>
      <c r="D2039" s="19"/>
      <c r="E2039" s="19"/>
      <c r="F2039" s="20"/>
      <c r="G2039" s="19"/>
      <c r="H2039" s="19"/>
      <c r="I2039" s="19"/>
      <c r="J2039" s="21"/>
      <c r="K2039" s="19"/>
    </row>
    <row r="2040" spans="3:11" x14ac:dyDescent="0.2">
      <c r="C2040" s="19"/>
      <c r="D2040" s="19"/>
      <c r="E2040" s="19"/>
      <c r="F2040" s="20"/>
      <c r="G2040" s="19"/>
      <c r="H2040" s="19"/>
      <c r="I2040" s="19"/>
      <c r="J2040" s="21"/>
      <c r="K2040" s="19"/>
    </row>
    <row r="2041" spans="3:11" x14ac:dyDescent="0.2">
      <c r="C2041" s="19"/>
      <c r="D2041" s="19"/>
      <c r="E2041" s="19"/>
      <c r="F2041" s="20"/>
      <c r="G2041" s="19"/>
      <c r="H2041" s="19"/>
      <c r="I2041" s="19"/>
      <c r="J2041" s="21"/>
      <c r="K2041" s="19"/>
    </row>
    <row r="2042" spans="3:11" x14ac:dyDescent="0.2">
      <c r="C2042" s="19"/>
      <c r="D2042" s="19"/>
      <c r="E2042" s="19"/>
      <c r="F2042" s="20"/>
      <c r="G2042" s="19"/>
      <c r="H2042" s="19"/>
      <c r="I2042" s="19"/>
      <c r="J2042" s="19"/>
      <c r="K2042" s="19"/>
    </row>
    <row r="2043" spans="3:11" x14ac:dyDescent="0.2">
      <c r="C2043" s="19"/>
      <c r="D2043" s="19"/>
      <c r="E2043" s="19"/>
      <c r="F2043" s="20"/>
      <c r="G2043" s="19"/>
      <c r="H2043" s="19"/>
      <c r="I2043" s="19"/>
      <c r="J2043" s="19"/>
      <c r="K2043" s="19"/>
    </row>
    <row r="2044" spans="3:11" x14ac:dyDescent="0.2">
      <c r="C2044" s="19"/>
      <c r="D2044" s="19"/>
      <c r="E2044" s="19"/>
      <c r="F2044" s="20"/>
      <c r="G2044" s="19"/>
      <c r="H2044" s="19"/>
      <c r="I2044" s="19"/>
      <c r="J2044" s="21"/>
      <c r="K2044" s="19"/>
    </row>
    <row r="2045" spans="3:11" x14ac:dyDescent="0.2">
      <c r="C2045" s="19"/>
      <c r="D2045" s="19"/>
      <c r="E2045" s="19"/>
      <c r="F2045" s="20"/>
      <c r="G2045" s="19"/>
      <c r="H2045" s="19"/>
      <c r="I2045" s="19"/>
      <c r="J2045" s="21"/>
      <c r="K2045" s="19"/>
    </row>
    <row r="2046" spans="3:11" x14ac:dyDescent="0.2">
      <c r="C2046" s="19"/>
      <c r="D2046" s="19"/>
      <c r="E2046" s="19"/>
      <c r="F2046" s="20"/>
      <c r="G2046" s="19"/>
      <c r="H2046" s="19"/>
      <c r="I2046" s="19"/>
      <c r="J2046" s="19"/>
      <c r="K2046" s="19"/>
    </row>
    <row r="2047" spans="3:11" x14ac:dyDescent="0.2">
      <c r="C2047" s="19"/>
      <c r="D2047" s="19"/>
      <c r="E2047" s="19"/>
      <c r="F2047" s="20"/>
      <c r="G2047" s="19"/>
      <c r="H2047" s="19"/>
      <c r="I2047" s="19"/>
      <c r="J2047" s="19"/>
      <c r="K2047" s="19"/>
    </row>
    <row r="2048" spans="3:11" x14ac:dyDescent="0.2">
      <c r="C2048" s="19"/>
      <c r="D2048" s="19"/>
      <c r="E2048" s="19"/>
      <c r="F2048" s="20"/>
      <c r="G2048" s="19"/>
      <c r="H2048" s="19"/>
      <c r="I2048" s="19"/>
      <c r="J2048" s="19"/>
      <c r="K2048" s="19"/>
    </row>
    <row r="2049" spans="3:11" x14ac:dyDescent="0.2">
      <c r="C2049" s="19"/>
      <c r="D2049" s="19"/>
      <c r="E2049" s="19"/>
      <c r="F2049" s="20"/>
      <c r="G2049" s="19"/>
      <c r="H2049" s="19"/>
      <c r="I2049" s="19"/>
      <c r="J2049" s="19"/>
      <c r="K2049" s="19"/>
    </row>
    <row r="2050" spans="3:11" x14ac:dyDescent="0.2">
      <c r="C2050" s="19"/>
      <c r="D2050" s="19"/>
      <c r="E2050" s="19"/>
      <c r="F2050" s="20"/>
      <c r="G2050" s="19"/>
      <c r="H2050" s="19"/>
      <c r="I2050" s="19"/>
      <c r="J2050" s="21"/>
      <c r="K2050" s="19"/>
    </row>
    <row r="2051" spans="3:11" x14ac:dyDescent="0.2">
      <c r="C2051" s="19"/>
      <c r="D2051" s="19"/>
      <c r="E2051" s="19"/>
      <c r="F2051" s="20"/>
      <c r="G2051" s="19"/>
      <c r="H2051" s="19"/>
      <c r="I2051" s="19"/>
      <c r="J2051" s="19"/>
      <c r="K2051" s="19"/>
    </row>
    <row r="2052" spans="3:11" x14ac:dyDescent="0.2">
      <c r="C2052" s="19"/>
      <c r="D2052" s="19"/>
      <c r="E2052" s="19"/>
      <c r="F2052" s="20"/>
      <c r="G2052" s="19"/>
      <c r="H2052" s="19"/>
      <c r="I2052" s="19"/>
      <c r="J2052" s="19"/>
      <c r="K2052" s="19"/>
    </row>
    <row r="2053" spans="3:11" x14ac:dyDescent="0.2">
      <c r="C2053" s="19"/>
      <c r="D2053" s="19"/>
      <c r="E2053" s="19"/>
      <c r="F2053" s="20"/>
      <c r="G2053" s="19"/>
      <c r="H2053" s="19"/>
      <c r="I2053" s="19"/>
      <c r="J2053" s="19"/>
      <c r="K2053" s="19"/>
    </row>
    <row r="2054" spans="3:11" x14ac:dyDescent="0.2">
      <c r="C2054" s="19"/>
      <c r="D2054" s="19"/>
      <c r="E2054" s="19"/>
      <c r="F2054" s="20"/>
      <c r="G2054" s="19"/>
      <c r="H2054" s="19"/>
      <c r="I2054" s="19"/>
      <c r="J2054" s="19"/>
      <c r="K2054" s="19"/>
    </row>
    <row r="2055" spans="3:11" x14ac:dyDescent="0.2">
      <c r="C2055" s="19"/>
      <c r="D2055" s="19"/>
      <c r="E2055" s="19"/>
      <c r="F2055" s="20"/>
      <c r="G2055" s="19"/>
      <c r="H2055" s="19"/>
      <c r="I2055" s="19"/>
      <c r="J2055" s="19"/>
      <c r="K2055" s="19"/>
    </row>
    <row r="2056" spans="3:11" x14ac:dyDescent="0.2">
      <c r="C2056" s="19"/>
      <c r="D2056" s="19"/>
      <c r="E2056" s="19"/>
      <c r="F2056" s="20"/>
      <c r="G2056" s="19"/>
      <c r="H2056" s="19"/>
      <c r="I2056" s="19"/>
      <c r="J2056" s="19"/>
      <c r="K2056" s="19"/>
    </row>
    <row r="2057" spans="3:11" x14ac:dyDescent="0.2">
      <c r="C2057" s="19"/>
      <c r="D2057" s="19"/>
      <c r="E2057" s="19"/>
      <c r="F2057" s="20"/>
      <c r="G2057" s="19"/>
      <c r="H2057" s="19"/>
      <c r="I2057" s="19"/>
      <c r="J2057" s="19"/>
      <c r="K2057" s="19"/>
    </row>
    <row r="2058" spans="3:11" x14ac:dyDescent="0.2">
      <c r="C2058" s="19"/>
      <c r="D2058" s="19"/>
      <c r="E2058" s="19"/>
      <c r="F2058" s="20"/>
      <c r="G2058" s="19"/>
      <c r="H2058" s="19"/>
      <c r="I2058" s="19"/>
      <c r="J2058" s="19"/>
      <c r="K2058" s="19"/>
    </row>
    <row r="2059" spans="3:11" x14ac:dyDescent="0.2">
      <c r="C2059" s="19"/>
      <c r="D2059" s="19"/>
      <c r="E2059" s="19"/>
      <c r="F2059" s="20"/>
      <c r="G2059" s="19"/>
      <c r="H2059" s="19"/>
      <c r="I2059" s="19"/>
      <c r="J2059" s="19"/>
      <c r="K2059" s="19"/>
    </row>
    <row r="2060" spans="3:11" x14ac:dyDescent="0.2">
      <c r="C2060" s="19"/>
      <c r="D2060" s="19"/>
      <c r="E2060" s="19"/>
      <c r="F2060" s="20"/>
      <c r="G2060" s="19"/>
      <c r="H2060" s="19"/>
      <c r="I2060" s="19"/>
      <c r="J2060" s="19"/>
      <c r="K2060" s="19"/>
    </row>
    <row r="2061" spans="3:11" x14ac:dyDescent="0.2">
      <c r="C2061" s="19"/>
      <c r="D2061" s="19"/>
      <c r="E2061" s="19"/>
      <c r="F2061" s="20"/>
      <c r="G2061" s="19"/>
      <c r="H2061" s="19"/>
      <c r="I2061" s="19"/>
      <c r="J2061" s="19"/>
      <c r="K2061" s="19"/>
    </row>
    <row r="2062" spans="3:11" x14ac:dyDescent="0.2">
      <c r="C2062" s="19"/>
      <c r="D2062" s="19"/>
      <c r="E2062" s="19"/>
      <c r="F2062" s="20"/>
      <c r="G2062" s="19"/>
      <c r="H2062" s="19"/>
      <c r="I2062" s="19"/>
      <c r="J2062" s="19"/>
      <c r="K2062" s="19"/>
    </row>
    <row r="2063" spans="3:11" x14ac:dyDescent="0.2">
      <c r="C2063" s="19"/>
      <c r="D2063" s="19"/>
      <c r="E2063" s="19"/>
      <c r="F2063" s="20"/>
      <c r="G2063" s="19"/>
      <c r="H2063" s="19"/>
      <c r="I2063" s="19"/>
      <c r="J2063" s="19"/>
      <c r="K2063" s="19"/>
    </row>
    <row r="2064" spans="3:11" x14ac:dyDescent="0.2">
      <c r="C2064" s="19"/>
      <c r="D2064" s="19"/>
      <c r="E2064" s="19"/>
      <c r="F2064" s="20"/>
      <c r="G2064" s="19"/>
      <c r="H2064" s="19"/>
      <c r="I2064" s="19"/>
      <c r="J2064" s="19"/>
      <c r="K2064" s="19"/>
    </row>
    <row r="2065" spans="3:11" x14ac:dyDescent="0.2">
      <c r="C2065" s="19"/>
      <c r="D2065" s="19"/>
      <c r="E2065" s="19"/>
      <c r="F2065" s="20"/>
      <c r="G2065" s="19"/>
      <c r="H2065" s="19"/>
      <c r="I2065" s="19"/>
      <c r="J2065" s="19"/>
      <c r="K2065" s="19"/>
    </row>
    <row r="2066" spans="3:11" x14ac:dyDescent="0.2">
      <c r="C2066" s="19"/>
      <c r="D2066" s="19"/>
      <c r="E2066" s="19"/>
      <c r="F2066" s="20"/>
      <c r="G2066" s="19"/>
      <c r="H2066" s="19"/>
      <c r="I2066" s="19"/>
      <c r="J2066" s="19"/>
      <c r="K2066" s="19"/>
    </row>
    <row r="2067" spans="3:11" x14ac:dyDescent="0.2">
      <c r="C2067" s="19"/>
      <c r="D2067" s="19"/>
      <c r="E2067" s="19"/>
      <c r="F2067" s="20"/>
      <c r="G2067" s="19"/>
      <c r="H2067" s="19"/>
      <c r="I2067" s="19"/>
      <c r="J2067" s="19"/>
      <c r="K2067" s="19"/>
    </row>
    <row r="2068" spans="3:11" x14ac:dyDescent="0.2">
      <c r="C2068" s="19"/>
      <c r="D2068" s="19"/>
      <c r="E2068" s="19"/>
      <c r="F2068" s="20"/>
      <c r="G2068" s="19"/>
      <c r="H2068" s="19"/>
      <c r="I2068" s="19"/>
      <c r="J2068" s="19"/>
      <c r="K2068" s="19"/>
    </row>
    <row r="2069" spans="3:11" x14ac:dyDescent="0.2">
      <c r="C2069" s="19"/>
      <c r="D2069" s="19"/>
      <c r="E2069" s="19"/>
      <c r="F2069" s="20"/>
      <c r="G2069" s="19"/>
      <c r="H2069" s="19"/>
      <c r="I2069" s="19"/>
      <c r="J2069" s="19"/>
      <c r="K2069" s="19"/>
    </row>
    <row r="2070" spans="3:11" x14ac:dyDescent="0.2">
      <c r="C2070" s="19"/>
      <c r="D2070" s="19"/>
      <c r="E2070" s="19"/>
      <c r="F2070" s="20"/>
      <c r="G2070" s="19"/>
      <c r="H2070" s="19"/>
      <c r="I2070" s="19"/>
      <c r="J2070" s="19"/>
      <c r="K2070" s="19"/>
    </row>
    <row r="2071" spans="3:11" x14ac:dyDescent="0.2">
      <c r="C2071" s="19"/>
      <c r="D2071" s="19"/>
      <c r="E2071" s="19"/>
      <c r="F2071" s="20"/>
      <c r="G2071" s="19"/>
      <c r="H2071" s="19"/>
      <c r="I2071" s="19"/>
      <c r="J2071" s="19"/>
      <c r="K2071" s="19"/>
    </row>
    <row r="2072" spans="3:11" x14ac:dyDescent="0.2">
      <c r="C2072" s="19"/>
      <c r="D2072" s="19"/>
      <c r="E2072" s="19"/>
      <c r="F2072" s="20"/>
      <c r="G2072" s="19"/>
      <c r="H2072" s="19"/>
      <c r="I2072" s="19"/>
      <c r="J2072" s="21"/>
      <c r="K2072" s="19"/>
    </row>
    <row r="2073" spans="3:11" x14ac:dyDescent="0.2">
      <c r="C2073" s="19"/>
      <c r="D2073" s="19"/>
      <c r="E2073" s="19"/>
      <c r="F2073" s="20"/>
      <c r="G2073" s="19"/>
      <c r="H2073" s="19"/>
      <c r="I2073" s="19"/>
      <c r="J2073" s="19"/>
      <c r="K2073" s="19"/>
    </row>
    <row r="2074" spans="3:11" x14ac:dyDescent="0.2">
      <c r="C2074" s="19"/>
      <c r="D2074" s="19"/>
      <c r="E2074" s="19"/>
      <c r="F2074" s="20"/>
      <c r="G2074" s="19"/>
      <c r="H2074" s="19"/>
      <c r="I2074" s="19"/>
      <c r="J2074" s="19"/>
      <c r="K2074" s="19"/>
    </row>
    <row r="2075" spans="3:11" x14ac:dyDescent="0.2">
      <c r="C2075" s="19"/>
      <c r="D2075" s="19"/>
      <c r="E2075" s="19"/>
      <c r="F2075" s="20"/>
      <c r="G2075" s="19"/>
      <c r="H2075" s="19"/>
      <c r="I2075" s="19"/>
      <c r="J2075" s="19"/>
      <c r="K2075" s="19"/>
    </row>
    <row r="2076" spans="3:11" x14ac:dyDescent="0.2">
      <c r="C2076" s="19"/>
      <c r="D2076" s="19"/>
      <c r="E2076" s="19"/>
      <c r="F2076" s="20"/>
      <c r="G2076" s="19"/>
      <c r="H2076" s="19"/>
      <c r="I2076" s="19"/>
      <c r="J2076" s="19"/>
      <c r="K2076" s="19"/>
    </row>
    <row r="2077" spans="3:11" x14ac:dyDescent="0.2">
      <c r="C2077" s="19"/>
      <c r="D2077" s="19"/>
      <c r="E2077" s="19"/>
      <c r="F2077" s="20"/>
      <c r="G2077" s="19"/>
      <c r="H2077" s="19"/>
      <c r="I2077" s="19"/>
      <c r="J2077" s="21"/>
      <c r="K2077" s="19"/>
    </row>
    <row r="2078" spans="3:11" x14ac:dyDescent="0.2">
      <c r="C2078" s="19"/>
      <c r="D2078" s="19"/>
      <c r="E2078" s="19"/>
      <c r="F2078" s="20"/>
      <c r="G2078" s="19"/>
      <c r="H2078" s="19"/>
      <c r="I2078" s="19"/>
      <c r="J2078" s="21"/>
      <c r="K2078" s="19"/>
    </row>
    <row r="2079" spans="3:11" x14ac:dyDescent="0.2">
      <c r="C2079" s="19"/>
      <c r="D2079" s="19"/>
      <c r="E2079" s="19"/>
      <c r="F2079" s="20"/>
      <c r="G2079" s="19"/>
      <c r="H2079" s="19"/>
      <c r="I2079" s="19"/>
      <c r="J2079" s="21"/>
      <c r="K2079" s="19"/>
    </row>
    <row r="2080" spans="3:11" x14ac:dyDescent="0.2">
      <c r="C2080" s="19"/>
      <c r="D2080" s="19"/>
      <c r="E2080" s="19"/>
      <c r="F2080" s="20"/>
      <c r="G2080" s="19"/>
      <c r="H2080" s="19"/>
      <c r="I2080" s="19"/>
      <c r="J2080" s="21"/>
      <c r="K2080" s="19"/>
    </row>
    <row r="2081" spans="3:11" x14ac:dyDescent="0.2">
      <c r="C2081" s="19"/>
      <c r="D2081" s="19"/>
      <c r="E2081" s="19"/>
      <c r="F2081" s="20"/>
      <c r="G2081" s="19"/>
      <c r="H2081" s="19"/>
      <c r="I2081" s="19"/>
      <c r="J2081" s="21"/>
      <c r="K2081" s="19"/>
    </row>
    <row r="2082" spans="3:11" x14ac:dyDescent="0.2">
      <c r="C2082" s="19"/>
      <c r="D2082" s="19"/>
      <c r="E2082" s="19"/>
      <c r="F2082" s="20"/>
      <c r="G2082" s="19"/>
      <c r="H2082" s="19"/>
      <c r="I2082" s="19"/>
      <c r="J2082" s="21"/>
      <c r="K2082" s="19"/>
    </row>
    <row r="2083" spans="3:11" x14ac:dyDescent="0.2">
      <c r="C2083" s="19"/>
      <c r="D2083" s="19"/>
      <c r="E2083" s="19"/>
      <c r="F2083" s="20"/>
      <c r="G2083" s="19"/>
      <c r="H2083" s="19"/>
      <c r="I2083" s="19"/>
      <c r="J2083" s="21"/>
      <c r="K2083" s="19"/>
    </row>
    <row r="2084" spans="3:11" x14ac:dyDescent="0.2">
      <c r="C2084" s="19"/>
      <c r="D2084" s="19"/>
      <c r="E2084" s="19"/>
      <c r="F2084" s="20"/>
      <c r="G2084" s="19"/>
      <c r="H2084" s="19"/>
      <c r="I2084" s="19"/>
      <c r="J2084" s="21"/>
      <c r="K2084" s="19"/>
    </row>
    <row r="2085" spans="3:11" x14ac:dyDescent="0.2">
      <c r="C2085" s="19"/>
      <c r="D2085" s="19"/>
      <c r="E2085" s="19"/>
      <c r="F2085" s="20"/>
      <c r="G2085" s="19"/>
      <c r="H2085" s="19"/>
      <c r="I2085" s="19"/>
      <c r="J2085" s="21"/>
      <c r="K2085" s="19"/>
    </row>
    <row r="2086" spans="3:11" x14ac:dyDescent="0.2">
      <c r="C2086" s="19"/>
      <c r="D2086" s="19"/>
      <c r="E2086" s="19"/>
      <c r="F2086" s="20"/>
      <c r="G2086" s="19"/>
      <c r="H2086" s="19"/>
      <c r="I2086" s="19"/>
      <c r="J2086" s="19"/>
      <c r="K2086" s="19"/>
    </row>
    <row r="2087" spans="3:11" x14ac:dyDescent="0.2">
      <c r="C2087" s="19"/>
      <c r="D2087" s="19"/>
      <c r="E2087" s="19"/>
      <c r="F2087" s="20"/>
      <c r="G2087" s="19"/>
      <c r="H2087" s="19"/>
      <c r="I2087" s="19"/>
      <c r="J2087" s="19"/>
      <c r="K2087" s="19"/>
    </row>
    <row r="2088" spans="3:11" x14ac:dyDescent="0.2">
      <c r="C2088" s="19"/>
      <c r="D2088" s="19"/>
      <c r="E2088" s="19"/>
      <c r="F2088" s="20"/>
      <c r="G2088" s="19"/>
      <c r="H2088" s="19"/>
      <c r="I2088" s="19"/>
      <c r="J2088" s="19"/>
      <c r="K2088" s="19"/>
    </row>
    <row r="2089" spans="3:11" x14ac:dyDescent="0.2">
      <c r="C2089" s="19"/>
      <c r="D2089" s="19"/>
      <c r="E2089" s="19"/>
      <c r="F2089" s="20"/>
      <c r="G2089" s="19"/>
      <c r="H2089" s="19"/>
      <c r="I2089" s="19"/>
      <c r="J2089" s="19"/>
      <c r="K2089" s="19"/>
    </row>
    <row r="2090" spans="3:11" x14ac:dyDescent="0.2">
      <c r="C2090" s="19"/>
      <c r="D2090" s="19"/>
      <c r="E2090" s="19"/>
      <c r="F2090" s="20"/>
      <c r="G2090" s="19"/>
      <c r="H2090" s="19"/>
      <c r="I2090" s="19"/>
      <c r="J2090" s="19"/>
      <c r="K2090" s="19"/>
    </row>
    <row r="2091" spans="3:11" x14ac:dyDescent="0.2">
      <c r="C2091" s="19"/>
      <c r="D2091" s="19"/>
      <c r="E2091" s="19"/>
      <c r="F2091" s="20"/>
      <c r="G2091" s="19"/>
      <c r="H2091" s="19"/>
      <c r="I2091" s="19"/>
      <c r="J2091" s="19"/>
      <c r="K2091" s="19"/>
    </row>
    <row r="2092" spans="3:11" x14ac:dyDescent="0.2">
      <c r="C2092" s="19"/>
      <c r="D2092" s="19"/>
      <c r="E2092" s="19"/>
      <c r="F2092" s="20"/>
      <c r="G2092" s="19"/>
      <c r="H2092" s="19"/>
      <c r="I2092" s="19"/>
      <c r="J2092" s="21"/>
      <c r="K2092" s="19"/>
    </row>
    <row r="2093" spans="3:11" x14ac:dyDescent="0.2">
      <c r="C2093" s="19"/>
      <c r="D2093" s="19"/>
      <c r="E2093" s="19"/>
      <c r="F2093" s="20"/>
      <c r="G2093" s="19"/>
      <c r="H2093" s="19"/>
      <c r="I2093" s="19"/>
      <c r="J2093" s="21"/>
      <c r="K2093" s="19"/>
    </row>
    <row r="2094" spans="3:11" x14ac:dyDescent="0.2">
      <c r="C2094" s="19"/>
      <c r="D2094" s="19"/>
      <c r="E2094" s="19"/>
      <c r="F2094" s="20"/>
      <c r="G2094" s="19"/>
      <c r="H2094" s="19"/>
      <c r="I2094" s="19"/>
      <c r="J2094" s="21"/>
      <c r="K2094" s="19"/>
    </row>
    <row r="2095" spans="3:11" x14ac:dyDescent="0.2">
      <c r="C2095" s="19"/>
      <c r="D2095" s="19"/>
      <c r="E2095" s="19"/>
      <c r="F2095" s="20"/>
      <c r="G2095" s="19"/>
      <c r="H2095" s="19"/>
      <c r="I2095" s="19"/>
      <c r="J2095" s="21"/>
      <c r="K2095" s="19"/>
    </row>
    <row r="2096" spans="3:11" x14ac:dyDescent="0.2">
      <c r="C2096" s="19"/>
      <c r="D2096" s="19"/>
      <c r="E2096" s="19"/>
      <c r="F2096" s="20"/>
      <c r="G2096" s="19"/>
      <c r="H2096" s="19"/>
      <c r="I2096" s="19"/>
      <c r="J2096" s="19"/>
      <c r="K2096" s="19"/>
    </row>
    <row r="2097" spans="3:11" x14ac:dyDescent="0.2">
      <c r="C2097" s="19"/>
      <c r="D2097" s="19"/>
      <c r="E2097" s="19"/>
      <c r="F2097" s="20"/>
      <c r="G2097" s="19"/>
      <c r="H2097" s="19"/>
      <c r="I2097" s="19"/>
      <c r="J2097" s="21"/>
      <c r="K2097" s="19"/>
    </row>
    <row r="2098" spans="3:11" x14ac:dyDescent="0.2">
      <c r="C2098" s="19"/>
      <c r="D2098" s="19"/>
      <c r="E2098" s="19"/>
      <c r="F2098" s="20"/>
      <c r="G2098" s="19"/>
      <c r="H2098" s="19"/>
      <c r="I2098" s="19"/>
      <c r="J2098" s="21"/>
      <c r="K2098" s="19"/>
    </row>
    <row r="2099" spans="3:11" x14ac:dyDescent="0.2">
      <c r="C2099" s="19"/>
      <c r="D2099" s="19"/>
      <c r="E2099" s="19"/>
      <c r="F2099" s="20"/>
      <c r="G2099" s="19"/>
      <c r="H2099" s="19"/>
      <c r="I2099" s="19"/>
      <c r="J2099" s="21"/>
      <c r="K2099" s="19"/>
    </row>
    <row r="2100" spans="3:11" x14ac:dyDescent="0.2">
      <c r="C2100" s="19"/>
      <c r="D2100" s="19"/>
      <c r="E2100" s="19"/>
      <c r="F2100" s="20"/>
      <c r="G2100" s="19"/>
      <c r="H2100" s="19"/>
      <c r="I2100" s="19"/>
      <c r="J2100" s="21"/>
      <c r="K2100" s="19"/>
    </row>
    <row r="2101" spans="3:11" x14ac:dyDescent="0.2">
      <c r="C2101" s="19"/>
      <c r="D2101" s="19"/>
      <c r="E2101" s="19"/>
      <c r="F2101" s="20"/>
      <c r="G2101" s="19"/>
      <c r="H2101" s="19"/>
      <c r="I2101" s="19"/>
      <c r="J2101" s="21"/>
      <c r="K2101" s="19"/>
    </row>
    <row r="2102" spans="3:11" x14ac:dyDescent="0.2">
      <c r="C2102" s="19"/>
      <c r="D2102" s="19"/>
      <c r="E2102" s="19"/>
      <c r="F2102" s="20"/>
      <c r="G2102" s="19"/>
      <c r="H2102" s="19"/>
      <c r="I2102" s="19"/>
      <c r="J2102" s="21"/>
      <c r="K2102" s="19"/>
    </row>
    <row r="2103" spans="3:11" x14ac:dyDescent="0.2">
      <c r="C2103" s="19"/>
      <c r="D2103" s="19"/>
      <c r="E2103" s="19"/>
      <c r="F2103" s="20"/>
      <c r="G2103" s="19"/>
      <c r="H2103" s="19"/>
      <c r="I2103" s="19"/>
      <c r="J2103" s="21"/>
      <c r="K2103" s="19"/>
    </row>
    <row r="2104" spans="3:11" x14ac:dyDescent="0.2">
      <c r="C2104" s="19"/>
      <c r="D2104" s="19"/>
      <c r="E2104" s="19"/>
      <c r="F2104" s="20"/>
      <c r="G2104" s="19"/>
      <c r="H2104" s="19"/>
      <c r="I2104" s="19"/>
      <c r="J2104" s="19"/>
      <c r="K2104" s="19"/>
    </row>
    <row r="2105" spans="3:11" x14ac:dyDescent="0.2">
      <c r="C2105" s="19"/>
      <c r="D2105" s="19"/>
      <c r="E2105" s="19"/>
      <c r="F2105" s="20"/>
      <c r="G2105" s="19"/>
      <c r="H2105" s="19"/>
      <c r="I2105" s="19"/>
      <c r="J2105" s="19"/>
      <c r="K2105" s="19"/>
    </row>
    <row r="2106" spans="3:11" x14ac:dyDescent="0.2">
      <c r="C2106" s="19"/>
      <c r="D2106" s="19"/>
      <c r="E2106" s="19"/>
      <c r="F2106" s="20"/>
      <c r="G2106" s="19"/>
      <c r="H2106" s="19"/>
      <c r="I2106" s="19"/>
      <c r="J2106" s="19"/>
      <c r="K2106" s="19"/>
    </row>
    <row r="2107" spans="3:11" x14ac:dyDescent="0.2">
      <c r="C2107" s="19"/>
      <c r="D2107" s="19"/>
      <c r="E2107" s="19"/>
      <c r="F2107" s="20"/>
      <c r="G2107" s="19"/>
      <c r="H2107" s="19"/>
      <c r="I2107" s="19"/>
      <c r="J2107" s="19"/>
      <c r="K2107" s="19"/>
    </row>
    <row r="2108" spans="3:11" x14ac:dyDescent="0.2">
      <c r="C2108" s="19"/>
      <c r="D2108" s="19"/>
      <c r="E2108" s="19"/>
      <c r="F2108" s="20"/>
      <c r="G2108" s="19"/>
      <c r="H2108" s="19"/>
      <c r="I2108" s="19"/>
      <c r="J2108" s="19"/>
      <c r="K2108" s="19"/>
    </row>
    <row r="2109" spans="3:11" x14ac:dyDescent="0.2">
      <c r="C2109" s="19"/>
      <c r="D2109" s="19"/>
      <c r="E2109" s="19"/>
      <c r="F2109" s="20"/>
      <c r="G2109" s="19"/>
      <c r="H2109" s="19"/>
      <c r="I2109" s="19"/>
      <c r="J2109" s="19"/>
      <c r="K2109" s="19"/>
    </row>
    <row r="2110" spans="3:11" x14ac:dyDescent="0.2">
      <c r="C2110" s="19"/>
      <c r="D2110" s="19"/>
      <c r="E2110" s="19"/>
      <c r="F2110" s="20"/>
      <c r="G2110" s="19"/>
      <c r="H2110" s="19"/>
      <c r="I2110" s="19"/>
      <c r="J2110" s="19"/>
      <c r="K2110" s="19"/>
    </row>
    <row r="2111" spans="3:11" x14ac:dyDescent="0.2">
      <c r="C2111" s="19"/>
      <c r="D2111" s="19"/>
      <c r="E2111" s="19"/>
      <c r="F2111" s="20"/>
      <c r="G2111" s="19"/>
      <c r="H2111" s="19"/>
      <c r="I2111" s="19"/>
      <c r="J2111" s="19"/>
      <c r="K2111" s="19"/>
    </row>
    <row r="2112" spans="3:11" x14ac:dyDescent="0.2">
      <c r="C2112" s="19"/>
      <c r="D2112" s="19"/>
      <c r="E2112" s="19"/>
      <c r="F2112" s="20"/>
      <c r="G2112" s="19"/>
      <c r="H2112" s="19"/>
      <c r="I2112" s="19"/>
      <c r="J2112" s="19"/>
      <c r="K2112" s="19"/>
    </row>
    <row r="2113" spans="3:11" x14ac:dyDescent="0.2">
      <c r="C2113" s="19"/>
      <c r="D2113" s="19"/>
      <c r="E2113" s="19"/>
      <c r="F2113" s="20"/>
      <c r="G2113" s="19"/>
      <c r="H2113" s="19"/>
      <c r="I2113" s="19"/>
      <c r="J2113" s="19"/>
      <c r="K2113" s="19"/>
    </row>
    <row r="2114" spans="3:11" x14ac:dyDescent="0.2">
      <c r="C2114" s="19"/>
      <c r="D2114" s="19"/>
      <c r="E2114" s="19"/>
      <c r="F2114" s="20"/>
      <c r="G2114" s="19"/>
      <c r="H2114" s="19"/>
      <c r="I2114" s="19"/>
      <c r="J2114" s="19"/>
      <c r="K2114" s="19"/>
    </row>
    <row r="2115" spans="3:11" x14ac:dyDescent="0.2">
      <c r="C2115" s="19"/>
      <c r="D2115" s="19"/>
      <c r="E2115" s="19"/>
      <c r="F2115" s="20"/>
      <c r="G2115" s="19"/>
      <c r="H2115" s="19"/>
      <c r="I2115" s="19"/>
      <c r="J2115" s="19"/>
      <c r="K2115" s="19"/>
    </row>
    <row r="2116" spans="3:11" x14ac:dyDescent="0.2">
      <c r="C2116" s="19"/>
      <c r="D2116" s="19"/>
      <c r="E2116" s="19"/>
      <c r="F2116" s="20"/>
      <c r="G2116" s="19"/>
      <c r="H2116" s="19"/>
      <c r="I2116" s="19"/>
      <c r="J2116" s="19"/>
      <c r="K2116" s="19"/>
    </row>
    <row r="2117" spans="3:11" x14ac:dyDescent="0.2">
      <c r="C2117" s="19"/>
      <c r="D2117" s="19"/>
      <c r="E2117" s="19"/>
      <c r="F2117" s="20"/>
      <c r="G2117" s="19"/>
      <c r="H2117" s="19"/>
      <c r="I2117" s="19"/>
      <c r="J2117" s="19"/>
      <c r="K2117" s="19"/>
    </row>
    <row r="2118" spans="3:11" x14ac:dyDescent="0.2">
      <c r="C2118" s="19"/>
      <c r="D2118" s="19"/>
      <c r="E2118" s="19"/>
      <c r="F2118" s="20"/>
      <c r="G2118" s="19"/>
      <c r="H2118" s="19"/>
      <c r="I2118" s="19"/>
      <c r="J2118" s="21"/>
      <c r="K2118" s="19"/>
    </row>
    <row r="2119" spans="3:11" x14ac:dyDescent="0.2">
      <c r="C2119" s="19"/>
      <c r="D2119" s="19"/>
      <c r="E2119" s="19"/>
      <c r="F2119" s="20"/>
      <c r="G2119" s="19"/>
      <c r="H2119" s="19"/>
      <c r="I2119" s="19"/>
      <c r="J2119" s="21"/>
      <c r="K2119" s="19"/>
    </row>
    <row r="2120" spans="3:11" x14ac:dyDescent="0.2">
      <c r="C2120" s="19"/>
      <c r="D2120" s="19"/>
      <c r="E2120" s="19"/>
      <c r="F2120" s="20"/>
      <c r="G2120" s="19"/>
      <c r="H2120" s="19"/>
      <c r="I2120" s="19"/>
      <c r="J2120" s="21"/>
      <c r="K2120" s="19"/>
    </row>
    <row r="2121" spans="3:11" x14ac:dyDescent="0.2">
      <c r="C2121" s="19"/>
      <c r="D2121" s="19"/>
      <c r="E2121" s="19"/>
      <c r="F2121" s="20"/>
      <c r="G2121" s="19"/>
      <c r="H2121" s="19"/>
      <c r="I2121" s="19"/>
      <c r="J2121" s="21"/>
      <c r="K2121" s="19"/>
    </row>
    <row r="2122" spans="3:11" x14ac:dyDescent="0.2">
      <c r="C2122" s="19"/>
      <c r="D2122" s="19"/>
      <c r="E2122" s="19"/>
      <c r="F2122" s="20"/>
      <c r="G2122" s="19"/>
      <c r="H2122" s="19"/>
      <c r="I2122" s="19"/>
      <c r="J2122" s="21"/>
      <c r="K2122" s="19"/>
    </row>
    <row r="2123" spans="3:11" x14ac:dyDescent="0.2">
      <c r="C2123" s="19"/>
      <c r="D2123" s="19"/>
      <c r="E2123" s="19"/>
      <c r="F2123" s="20"/>
      <c r="G2123" s="19"/>
      <c r="H2123" s="19"/>
      <c r="I2123" s="19"/>
      <c r="J2123" s="21"/>
      <c r="K2123" s="19"/>
    </row>
    <row r="2124" spans="3:11" x14ac:dyDescent="0.2">
      <c r="C2124" s="19"/>
      <c r="D2124" s="19"/>
      <c r="E2124" s="19"/>
      <c r="F2124" s="20"/>
      <c r="G2124" s="19"/>
      <c r="H2124" s="19"/>
      <c r="I2124" s="19"/>
      <c r="J2124" s="19"/>
      <c r="K2124" s="19"/>
    </row>
    <row r="2125" spans="3:11" x14ac:dyDescent="0.2">
      <c r="C2125" s="19"/>
      <c r="D2125" s="19"/>
      <c r="E2125" s="19"/>
      <c r="F2125" s="20"/>
      <c r="G2125" s="19"/>
      <c r="H2125" s="19"/>
      <c r="I2125" s="19"/>
      <c r="J2125" s="19"/>
      <c r="K2125" s="19"/>
    </row>
    <row r="2126" spans="3:11" x14ac:dyDescent="0.2">
      <c r="C2126" s="19"/>
      <c r="D2126" s="19"/>
      <c r="E2126" s="19"/>
      <c r="F2126" s="20"/>
      <c r="G2126" s="19"/>
      <c r="H2126" s="19"/>
      <c r="I2126" s="19"/>
      <c r="J2126" s="21"/>
      <c r="K2126" s="19"/>
    </row>
    <row r="2127" spans="3:11" x14ac:dyDescent="0.2">
      <c r="C2127" s="19"/>
      <c r="D2127" s="19"/>
      <c r="E2127" s="19"/>
      <c r="F2127" s="20"/>
      <c r="G2127" s="19"/>
      <c r="H2127" s="19"/>
      <c r="I2127" s="19"/>
      <c r="J2127" s="21"/>
      <c r="K2127" s="19"/>
    </row>
    <row r="2128" spans="3:11" x14ac:dyDescent="0.2">
      <c r="C2128" s="19"/>
      <c r="D2128" s="19"/>
      <c r="E2128" s="19"/>
      <c r="F2128" s="20"/>
      <c r="G2128" s="19"/>
      <c r="H2128" s="19"/>
      <c r="I2128" s="19"/>
      <c r="J2128" s="21"/>
      <c r="K2128" s="19"/>
    </row>
    <row r="2129" spans="3:11" x14ac:dyDescent="0.2">
      <c r="C2129" s="19"/>
      <c r="D2129" s="19"/>
      <c r="E2129" s="19"/>
      <c r="F2129" s="20"/>
      <c r="G2129" s="19"/>
      <c r="H2129" s="19"/>
      <c r="I2129" s="19"/>
      <c r="J2129" s="21"/>
      <c r="K2129" s="19"/>
    </row>
    <row r="2130" spans="3:11" x14ac:dyDescent="0.2">
      <c r="C2130" s="19"/>
      <c r="D2130" s="19"/>
      <c r="E2130" s="19"/>
      <c r="F2130" s="20"/>
      <c r="G2130" s="19"/>
      <c r="H2130" s="19"/>
      <c r="I2130" s="19"/>
      <c r="J2130" s="19"/>
      <c r="K2130" s="19"/>
    </row>
    <row r="2131" spans="3:11" x14ac:dyDescent="0.2">
      <c r="C2131" s="19"/>
      <c r="D2131" s="19"/>
      <c r="E2131" s="19"/>
      <c r="F2131" s="20"/>
      <c r="G2131" s="19"/>
      <c r="H2131" s="19"/>
      <c r="I2131" s="19"/>
      <c r="J2131" s="19"/>
      <c r="K2131" s="19"/>
    </row>
    <row r="2132" spans="3:11" x14ac:dyDescent="0.2">
      <c r="C2132" s="19"/>
      <c r="D2132" s="19"/>
      <c r="E2132" s="19"/>
      <c r="F2132" s="20"/>
      <c r="G2132" s="19"/>
      <c r="H2132" s="19"/>
      <c r="I2132" s="19"/>
      <c r="J2132" s="19"/>
      <c r="K2132" s="19"/>
    </row>
    <row r="2133" spans="3:11" x14ac:dyDescent="0.2">
      <c r="C2133" s="19"/>
      <c r="D2133" s="19"/>
      <c r="E2133" s="19"/>
      <c r="F2133" s="20"/>
      <c r="G2133" s="19"/>
      <c r="H2133" s="19"/>
      <c r="I2133" s="19"/>
      <c r="J2133" s="19"/>
      <c r="K2133" s="19"/>
    </row>
    <row r="2134" spans="3:11" x14ac:dyDescent="0.2">
      <c r="C2134" s="19"/>
      <c r="D2134" s="19"/>
      <c r="E2134" s="19"/>
      <c r="F2134" s="20"/>
      <c r="G2134" s="19"/>
      <c r="H2134" s="19"/>
      <c r="I2134" s="19"/>
      <c r="J2134" s="19"/>
      <c r="K2134" s="19"/>
    </row>
    <row r="2135" spans="3:11" x14ac:dyDescent="0.2">
      <c r="C2135" s="19"/>
      <c r="D2135" s="19"/>
      <c r="E2135" s="19"/>
      <c r="F2135" s="20"/>
      <c r="G2135" s="19"/>
      <c r="H2135" s="19"/>
      <c r="I2135" s="19"/>
      <c r="J2135" s="19"/>
      <c r="K2135" s="19"/>
    </row>
    <row r="2136" spans="3:11" x14ac:dyDescent="0.2">
      <c r="C2136" s="19"/>
      <c r="D2136" s="19"/>
      <c r="E2136" s="19"/>
      <c r="F2136" s="20"/>
      <c r="G2136" s="19"/>
      <c r="H2136" s="19"/>
      <c r="I2136" s="19"/>
      <c r="J2136" s="19"/>
      <c r="K2136" s="19"/>
    </row>
    <row r="2137" spans="3:11" x14ac:dyDescent="0.2">
      <c r="C2137" s="19"/>
      <c r="D2137" s="19"/>
      <c r="E2137" s="19"/>
      <c r="F2137" s="20"/>
      <c r="G2137" s="19"/>
      <c r="H2137" s="19"/>
      <c r="I2137" s="19"/>
      <c r="J2137" s="19"/>
      <c r="K2137" s="19"/>
    </row>
    <row r="2138" spans="3:11" x14ac:dyDescent="0.2">
      <c r="C2138" s="19"/>
      <c r="D2138" s="19"/>
      <c r="E2138" s="19"/>
      <c r="F2138" s="20"/>
      <c r="G2138" s="19"/>
      <c r="H2138" s="19"/>
      <c r="I2138" s="19"/>
      <c r="J2138" s="19"/>
      <c r="K2138" s="19"/>
    </row>
    <row r="2139" spans="3:11" x14ac:dyDescent="0.2">
      <c r="C2139" s="19"/>
      <c r="D2139" s="19"/>
      <c r="E2139" s="19"/>
      <c r="F2139" s="20"/>
      <c r="G2139" s="19"/>
      <c r="H2139" s="19"/>
      <c r="I2139" s="19"/>
      <c r="J2139" s="19"/>
      <c r="K2139" s="19"/>
    </row>
    <row r="2140" spans="3:11" x14ac:dyDescent="0.2">
      <c r="C2140" s="19"/>
      <c r="D2140" s="19"/>
      <c r="E2140" s="19"/>
      <c r="F2140" s="20"/>
      <c r="G2140" s="19"/>
      <c r="H2140" s="19"/>
      <c r="I2140" s="19"/>
      <c r="J2140" s="19"/>
      <c r="K2140" s="19"/>
    </row>
    <row r="2141" spans="3:11" x14ac:dyDescent="0.2">
      <c r="C2141" s="19"/>
      <c r="D2141" s="19"/>
      <c r="E2141" s="19"/>
      <c r="F2141" s="20"/>
      <c r="G2141" s="19"/>
      <c r="H2141" s="19"/>
      <c r="I2141" s="19"/>
      <c r="J2141" s="21"/>
      <c r="K2141" s="19"/>
    </row>
    <row r="2142" spans="3:11" x14ac:dyDescent="0.2">
      <c r="C2142" s="19"/>
      <c r="D2142" s="19"/>
      <c r="E2142" s="19"/>
      <c r="F2142" s="20"/>
      <c r="G2142" s="19"/>
      <c r="H2142" s="19"/>
      <c r="I2142" s="19"/>
      <c r="J2142" s="21"/>
      <c r="K2142" s="19"/>
    </row>
    <row r="2143" spans="3:11" x14ac:dyDescent="0.2">
      <c r="C2143" s="19"/>
      <c r="D2143" s="19"/>
      <c r="E2143" s="19"/>
      <c r="F2143" s="20"/>
      <c r="G2143" s="19"/>
      <c r="H2143" s="19"/>
      <c r="I2143" s="19"/>
      <c r="J2143" s="21"/>
      <c r="K2143" s="19"/>
    </row>
    <row r="2144" spans="3:11" x14ac:dyDescent="0.2">
      <c r="C2144" s="19"/>
      <c r="D2144" s="19"/>
      <c r="E2144" s="19"/>
      <c r="F2144" s="20"/>
      <c r="G2144" s="19"/>
      <c r="H2144" s="19"/>
      <c r="I2144" s="19"/>
      <c r="J2144" s="21"/>
      <c r="K2144" s="19"/>
    </row>
    <row r="2145" spans="3:11" x14ac:dyDescent="0.2">
      <c r="C2145" s="19"/>
      <c r="D2145" s="19"/>
      <c r="E2145" s="19"/>
      <c r="F2145" s="20"/>
      <c r="G2145" s="19"/>
      <c r="H2145" s="19"/>
      <c r="I2145" s="19"/>
      <c r="J2145" s="21"/>
      <c r="K2145" s="19"/>
    </row>
    <row r="2146" spans="3:11" x14ac:dyDescent="0.2">
      <c r="C2146" s="19"/>
      <c r="D2146" s="19"/>
      <c r="E2146" s="19"/>
      <c r="F2146" s="20"/>
      <c r="G2146" s="19"/>
      <c r="H2146" s="19"/>
      <c r="I2146" s="19"/>
      <c r="J2146" s="21"/>
      <c r="K2146" s="19"/>
    </row>
    <row r="2147" spans="3:11" x14ac:dyDescent="0.2">
      <c r="C2147" s="19"/>
      <c r="D2147" s="19"/>
      <c r="E2147" s="19"/>
      <c r="F2147" s="20"/>
      <c r="G2147" s="19"/>
      <c r="H2147" s="19"/>
      <c r="I2147" s="19"/>
      <c r="J2147" s="21"/>
      <c r="K2147" s="19"/>
    </row>
    <row r="2148" spans="3:11" x14ac:dyDescent="0.2">
      <c r="C2148" s="19"/>
      <c r="D2148" s="19"/>
      <c r="E2148" s="19"/>
      <c r="F2148" s="20"/>
      <c r="G2148" s="19"/>
      <c r="H2148" s="19"/>
      <c r="I2148" s="19"/>
      <c r="J2148" s="21"/>
      <c r="K2148" s="19"/>
    </row>
    <row r="2149" spans="3:11" x14ac:dyDescent="0.2">
      <c r="C2149" s="19"/>
      <c r="D2149" s="19"/>
      <c r="E2149" s="19"/>
      <c r="F2149" s="20"/>
      <c r="G2149" s="19"/>
      <c r="H2149" s="19"/>
      <c r="I2149" s="19"/>
      <c r="J2149" s="21"/>
      <c r="K2149" s="19"/>
    </row>
    <row r="2150" spans="3:11" x14ac:dyDescent="0.2">
      <c r="C2150" s="19"/>
      <c r="D2150" s="19"/>
      <c r="E2150" s="19"/>
      <c r="F2150" s="20"/>
      <c r="G2150" s="19"/>
      <c r="H2150" s="19"/>
      <c r="I2150" s="19"/>
      <c r="J2150" s="21"/>
      <c r="K2150" s="19"/>
    </row>
    <row r="2151" spans="3:11" x14ac:dyDescent="0.2">
      <c r="C2151" s="19"/>
      <c r="D2151" s="19"/>
      <c r="E2151" s="19"/>
      <c r="F2151" s="20"/>
      <c r="G2151" s="19"/>
      <c r="H2151" s="19"/>
      <c r="I2151" s="19"/>
      <c r="J2151" s="21"/>
      <c r="K2151" s="19"/>
    </row>
    <row r="2152" spans="3:11" x14ac:dyDescent="0.2">
      <c r="C2152" s="19"/>
      <c r="D2152" s="19"/>
      <c r="E2152" s="19"/>
      <c r="F2152" s="20"/>
      <c r="G2152" s="19"/>
      <c r="H2152" s="19"/>
      <c r="I2152" s="19"/>
      <c r="J2152" s="21"/>
      <c r="K2152" s="19"/>
    </row>
    <row r="2153" spans="3:11" x14ac:dyDescent="0.2">
      <c r="C2153" s="19"/>
      <c r="D2153" s="19"/>
      <c r="E2153" s="19"/>
      <c r="F2153" s="20"/>
      <c r="G2153" s="19"/>
      <c r="H2153" s="19"/>
      <c r="I2153" s="19"/>
      <c r="J2153" s="21"/>
      <c r="K2153" s="19"/>
    </row>
    <row r="2154" spans="3:11" x14ac:dyDescent="0.2">
      <c r="C2154" s="19"/>
      <c r="D2154" s="19"/>
      <c r="E2154" s="19"/>
      <c r="F2154" s="20"/>
      <c r="G2154" s="19"/>
      <c r="H2154" s="19"/>
      <c r="I2154" s="19"/>
      <c r="J2154" s="19"/>
      <c r="K2154" s="19"/>
    </row>
    <row r="2155" spans="3:11" x14ac:dyDescent="0.2">
      <c r="C2155" s="19"/>
      <c r="D2155" s="19"/>
      <c r="E2155" s="19"/>
      <c r="F2155" s="20"/>
      <c r="G2155" s="19"/>
      <c r="H2155" s="19"/>
      <c r="I2155" s="19"/>
      <c r="J2155" s="19"/>
      <c r="K2155" s="19"/>
    </row>
    <row r="2156" spans="3:11" x14ac:dyDescent="0.2">
      <c r="C2156" s="19"/>
      <c r="D2156" s="19"/>
      <c r="E2156" s="19"/>
      <c r="F2156" s="20"/>
      <c r="G2156" s="19"/>
      <c r="H2156" s="19"/>
      <c r="I2156" s="19"/>
      <c r="J2156" s="19"/>
      <c r="K2156" s="19"/>
    </row>
    <row r="2157" spans="3:11" x14ac:dyDescent="0.2">
      <c r="C2157" s="19"/>
      <c r="D2157" s="19"/>
      <c r="E2157" s="19"/>
      <c r="F2157" s="20"/>
      <c r="G2157" s="19"/>
      <c r="H2157" s="19"/>
      <c r="I2157" s="19"/>
      <c r="J2157" s="19"/>
      <c r="K2157" s="19"/>
    </row>
    <row r="2158" spans="3:11" x14ac:dyDescent="0.2">
      <c r="C2158" s="19"/>
      <c r="D2158" s="19"/>
      <c r="E2158" s="19"/>
      <c r="F2158" s="20"/>
      <c r="G2158" s="19"/>
      <c r="H2158" s="19"/>
      <c r="I2158" s="19"/>
      <c r="J2158" s="21"/>
      <c r="K2158" s="19"/>
    </row>
    <row r="2159" spans="3:11" x14ac:dyDescent="0.2">
      <c r="C2159" s="19"/>
      <c r="D2159" s="19"/>
      <c r="E2159" s="19"/>
      <c r="F2159" s="20"/>
      <c r="G2159" s="19"/>
      <c r="H2159" s="19"/>
      <c r="I2159" s="19"/>
      <c r="J2159" s="21"/>
      <c r="K2159" s="19"/>
    </row>
    <row r="2160" spans="3:11" x14ac:dyDescent="0.2">
      <c r="C2160" s="19"/>
      <c r="D2160" s="19"/>
      <c r="E2160" s="19"/>
      <c r="F2160" s="20"/>
      <c r="G2160" s="19"/>
      <c r="H2160" s="19"/>
      <c r="I2160" s="19"/>
      <c r="J2160" s="21"/>
      <c r="K2160" s="19"/>
    </row>
    <row r="2161" spans="3:11" x14ac:dyDescent="0.2">
      <c r="C2161" s="19"/>
      <c r="D2161" s="19"/>
      <c r="E2161" s="19"/>
      <c r="F2161" s="20"/>
      <c r="G2161" s="19"/>
      <c r="H2161" s="19"/>
      <c r="I2161" s="19"/>
      <c r="J2161" s="21"/>
      <c r="K2161" s="19"/>
    </row>
    <row r="2162" spans="3:11" x14ac:dyDescent="0.2">
      <c r="C2162" s="19"/>
      <c r="D2162" s="19"/>
      <c r="E2162" s="19"/>
      <c r="F2162" s="20"/>
      <c r="G2162" s="19"/>
      <c r="H2162" s="19"/>
      <c r="I2162" s="19"/>
      <c r="J2162" s="21"/>
      <c r="K2162" s="19"/>
    </row>
    <row r="2163" spans="3:11" x14ac:dyDescent="0.2">
      <c r="C2163" s="19"/>
      <c r="D2163" s="19"/>
      <c r="E2163" s="19"/>
      <c r="F2163" s="20"/>
      <c r="G2163" s="19"/>
      <c r="H2163" s="19"/>
      <c r="I2163" s="19"/>
      <c r="J2163" s="21"/>
      <c r="K2163" s="19"/>
    </row>
    <row r="2164" spans="3:11" x14ac:dyDescent="0.2">
      <c r="C2164" s="19"/>
      <c r="D2164" s="19"/>
      <c r="E2164" s="19"/>
      <c r="F2164" s="20"/>
      <c r="G2164" s="19"/>
      <c r="H2164" s="19"/>
      <c r="I2164" s="19"/>
      <c r="J2164" s="21"/>
      <c r="K2164" s="19"/>
    </row>
    <row r="2165" spans="3:11" x14ac:dyDescent="0.2">
      <c r="C2165" s="19"/>
      <c r="D2165" s="19"/>
      <c r="E2165" s="19"/>
      <c r="F2165" s="20"/>
      <c r="G2165" s="19"/>
      <c r="H2165" s="19"/>
      <c r="I2165" s="19"/>
      <c r="J2165" s="21"/>
      <c r="K2165" s="19"/>
    </row>
    <row r="2166" spans="3:11" x14ac:dyDescent="0.2">
      <c r="C2166" s="19"/>
      <c r="D2166" s="19"/>
      <c r="E2166" s="19"/>
      <c r="F2166" s="20"/>
      <c r="G2166" s="19"/>
      <c r="H2166" s="19"/>
      <c r="I2166" s="19"/>
      <c r="J2166" s="21"/>
      <c r="K2166" s="19"/>
    </row>
    <row r="2167" spans="3:11" x14ac:dyDescent="0.2">
      <c r="C2167" s="19"/>
      <c r="D2167" s="19"/>
      <c r="E2167" s="19"/>
      <c r="F2167" s="20"/>
      <c r="G2167" s="19"/>
      <c r="H2167" s="19"/>
      <c r="I2167" s="19"/>
      <c r="J2167" s="21"/>
      <c r="K2167" s="19"/>
    </row>
    <row r="2168" spans="3:11" x14ac:dyDescent="0.2">
      <c r="C2168" s="19"/>
      <c r="D2168" s="19"/>
      <c r="E2168" s="19"/>
      <c r="F2168" s="20"/>
      <c r="G2168" s="19"/>
      <c r="H2168" s="19"/>
      <c r="I2168" s="19"/>
      <c r="J2168" s="21"/>
      <c r="K2168" s="19"/>
    </row>
    <row r="2169" spans="3:11" x14ac:dyDescent="0.2">
      <c r="C2169" s="19"/>
      <c r="D2169" s="19"/>
      <c r="E2169" s="19"/>
      <c r="F2169" s="20"/>
      <c r="G2169" s="19"/>
      <c r="H2169" s="19"/>
      <c r="I2169" s="19"/>
      <c r="J2169" s="21"/>
      <c r="K2169" s="19"/>
    </row>
    <row r="2170" spans="3:11" x14ac:dyDescent="0.2">
      <c r="C2170" s="19"/>
      <c r="D2170" s="19"/>
      <c r="E2170" s="19"/>
      <c r="F2170" s="20"/>
      <c r="G2170" s="19"/>
      <c r="H2170" s="19"/>
      <c r="I2170" s="19"/>
      <c r="J2170" s="21"/>
      <c r="K2170" s="19"/>
    </row>
    <row r="2171" spans="3:11" x14ac:dyDescent="0.2">
      <c r="C2171" s="19"/>
      <c r="D2171" s="19"/>
      <c r="E2171" s="19"/>
      <c r="F2171" s="20"/>
      <c r="G2171" s="19"/>
      <c r="H2171" s="19"/>
      <c r="I2171" s="19"/>
      <c r="J2171" s="21"/>
      <c r="K2171" s="19"/>
    </row>
    <row r="2172" spans="3:11" x14ac:dyDescent="0.2">
      <c r="C2172" s="19"/>
      <c r="D2172" s="19"/>
      <c r="E2172" s="19"/>
      <c r="F2172" s="20"/>
      <c r="G2172" s="19"/>
      <c r="H2172" s="19"/>
      <c r="I2172" s="19"/>
      <c r="J2172" s="21"/>
      <c r="K2172" s="19"/>
    </row>
    <row r="2173" spans="3:11" x14ac:dyDescent="0.2">
      <c r="C2173" s="19"/>
      <c r="D2173" s="19"/>
      <c r="E2173" s="19"/>
      <c r="F2173" s="20"/>
      <c r="G2173" s="19"/>
      <c r="H2173" s="19"/>
      <c r="I2173" s="19"/>
      <c r="J2173" s="21"/>
      <c r="K2173" s="19"/>
    </row>
    <row r="2174" spans="3:11" x14ac:dyDescent="0.2">
      <c r="C2174" s="19"/>
      <c r="D2174" s="19"/>
      <c r="E2174" s="19"/>
      <c r="F2174" s="20"/>
      <c r="G2174" s="19"/>
      <c r="H2174" s="19"/>
      <c r="I2174" s="19"/>
      <c r="J2174" s="21"/>
      <c r="K2174" s="19"/>
    </row>
    <row r="2175" spans="3:11" x14ac:dyDescent="0.2">
      <c r="C2175" s="19"/>
      <c r="D2175" s="19"/>
      <c r="E2175" s="19"/>
      <c r="F2175" s="20"/>
      <c r="G2175" s="19"/>
      <c r="H2175" s="19"/>
      <c r="I2175" s="19"/>
      <c r="J2175" s="21"/>
      <c r="K2175" s="19"/>
    </row>
    <row r="2176" spans="3:11" x14ac:dyDescent="0.2">
      <c r="C2176" s="19"/>
      <c r="D2176" s="19"/>
      <c r="E2176" s="19"/>
      <c r="F2176" s="20"/>
      <c r="G2176" s="19"/>
      <c r="H2176" s="19"/>
      <c r="I2176" s="19"/>
      <c r="J2176" s="21"/>
      <c r="K2176" s="19"/>
    </row>
    <row r="2177" spans="3:11" x14ac:dyDescent="0.2">
      <c r="C2177" s="19"/>
      <c r="D2177" s="19"/>
      <c r="E2177" s="19"/>
      <c r="F2177" s="20"/>
      <c r="G2177" s="19"/>
      <c r="H2177" s="19"/>
      <c r="I2177" s="19"/>
      <c r="J2177" s="19"/>
      <c r="K2177" s="19"/>
    </row>
    <row r="2178" spans="3:11" x14ac:dyDescent="0.2">
      <c r="C2178" s="19"/>
      <c r="D2178" s="19"/>
      <c r="E2178" s="19"/>
      <c r="F2178" s="20"/>
      <c r="G2178" s="19"/>
      <c r="H2178" s="19"/>
      <c r="I2178" s="19"/>
      <c r="J2178" s="21"/>
      <c r="K2178" s="19"/>
    </row>
    <row r="2179" spans="3:11" x14ac:dyDescent="0.2">
      <c r="C2179" s="19"/>
      <c r="D2179" s="19"/>
      <c r="E2179" s="19"/>
      <c r="F2179" s="20"/>
      <c r="G2179" s="19"/>
      <c r="H2179" s="19"/>
      <c r="I2179" s="19"/>
      <c r="J2179" s="21"/>
      <c r="K2179" s="19"/>
    </row>
    <row r="2180" spans="3:11" x14ac:dyDescent="0.2">
      <c r="C2180" s="19"/>
      <c r="D2180" s="19"/>
      <c r="E2180" s="19"/>
      <c r="F2180" s="20"/>
      <c r="G2180" s="19"/>
      <c r="H2180" s="19"/>
      <c r="I2180" s="19"/>
      <c r="J2180" s="21"/>
      <c r="K2180" s="19"/>
    </row>
    <row r="2181" spans="3:11" x14ac:dyDescent="0.2">
      <c r="C2181" s="19"/>
      <c r="D2181" s="19"/>
      <c r="E2181" s="19"/>
      <c r="F2181" s="20"/>
      <c r="G2181" s="19"/>
      <c r="H2181" s="19"/>
      <c r="I2181" s="19"/>
      <c r="J2181" s="21"/>
      <c r="K2181" s="19"/>
    </row>
    <row r="2182" spans="3:11" x14ac:dyDescent="0.2">
      <c r="C2182" s="19"/>
      <c r="D2182" s="19"/>
      <c r="E2182" s="19"/>
      <c r="F2182" s="20"/>
      <c r="G2182" s="19"/>
      <c r="H2182" s="19"/>
      <c r="I2182" s="19"/>
      <c r="J2182" s="21"/>
      <c r="K2182" s="19"/>
    </row>
    <row r="2183" spans="3:11" x14ac:dyDescent="0.2">
      <c r="C2183" s="19"/>
      <c r="D2183" s="19"/>
      <c r="E2183" s="19"/>
      <c r="F2183" s="20"/>
      <c r="G2183" s="19"/>
      <c r="H2183" s="19"/>
      <c r="I2183" s="19"/>
      <c r="J2183" s="21"/>
      <c r="K2183" s="19"/>
    </row>
    <row r="2184" spans="3:11" x14ac:dyDescent="0.2">
      <c r="C2184" s="19"/>
      <c r="D2184" s="19"/>
      <c r="E2184" s="19"/>
      <c r="F2184" s="20"/>
      <c r="G2184" s="19"/>
      <c r="H2184" s="19"/>
      <c r="I2184" s="19"/>
      <c r="J2184" s="21"/>
      <c r="K2184" s="19"/>
    </row>
    <row r="2185" spans="3:11" x14ac:dyDescent="0.2">
      <c r="C2185" s="19"/>
      <c r="D2185" s="19"/>
      <c r="E2185" s="19"/>
      <c r="F2185" s="20"/>
      <c r="G2185" s="19"/>
      <c r="H2185" s="19"/>
      <c r="I2185" s="19"/>
      <c r="J2185" s="21"/>
      <c r="K2185" s="19"/>
    </row>
    <row r="2186" spans="3:11" x14ac:dyDescent="0.2">
      <c r="C2186" s="19"/>
      <c r="D2186" s="19"/>
      <c r="E2186" s="19"/>
      <c r="F2186" s="20"/>
      <c r="G2186" s="19"/>
      <c r="H2186" s="19"/>
      <c r="I2186" s="19"/>
      <c r="J2186" s="21"/>
      <c r="K2186" s="19"/>
    </row>
    <row r="2187" spans="3:11" x14ac:dyDescent="0.2">
      <c r="C2187" s="19"/>
      <c r="D2187" s="19"/>
      <c r="E2187" s="19"/>
      <c r="F2187" s="20"/>
      <c r="G2187" s="19"/>
      <c r="H2187" s="19"/>
      <c r="I2187" s="19"/>
      <c r="J2187" s="21"/>
      <c r="K2187" s="19"/>
    </row>
    <row r="2188" spans="3:11" x14ac:dyDescent="0.2">
      <c r="C2188" s="19"/>
      <c r="D2188" s="19"/>
      <c r="E2188" s="19"/>
      <c r="F2188" s="20"/>
      <c r="G2188" s="19"/>
      <c r="H2188" s="19"/>
      <c r="I2188" s="19"/>
      <c r="J2188" s="21"/>
      <c r="K2188" s="19"/>
    </row>
    <row r="2189" spans="3:11" x14ac:dyDescent="0.2">
      <c r="C2189" s="19"/>
      <c r="D2189" s="19"/>
      <c r="E2189" s="19"/>
      <c r="F2189" s="20"/>
      <c r="G2189" s="19"/>
      <c r="H2189" s="19"/>
      <c r="I2189" s="19"/>
      <c r="J2189" s="21"/>
      <c r="K2189" s="19"/>
    </row>
    <row r="2190" spans="3:11" x14ac:dyDescent="0.2">
      <c r="C2190" s="19"/>
      <c r="D2190" s="19"/>
      <c r="E2190" s="19"/>
      <c r="F2190" s="20"/>
      <c r="G2190" s="19"/>
      <c r="H2190" s="19"/>
      <c r="I2190" s="19"/>
      <c r="J2190" s="21"/>
      <c r="K2190" s="19"/>
    </row>
    <row r="2191" spans="3:11" x14ac:dyDescent="0.2">
      <c r="C2191" s="19"/>
      <c r="D2191" s="19"/>
      <c r="E2191" s="19"/>
      <c r="F2191" s="20"/>
      <c r="G2191" s="19"/>
      <c r="H2191" s="19"/>
      <c r="I2191" s="19"/>
      <c r="J2191" s="21"/>
      <c r="K2191" s="19"/>
    </row>
    <row r="2192" spans="3:11" x14ac:dyDescent="0.2">
      <c r="C2192" s="19"/>
      <c r="D2192" s="19"/>
      <c r="E2192" s="19"/>
      <c r="F2192" s="20"/>
      <c r="G2192" s="19"/>
      <c r="H2192" s="19"/>
      <c r="I2192" s="19"/>
      <c r="J2192" s="21"/>
      <c r="K2192" s="19"/>
    </row>
    <row r="2193" spans="3:11" x14ac:dyDescent="0.2">
      <c r="C2193" s="19"/>
      <c r="D2193" s="19"/>
      <c r="E2193" s="19"/>
      <c r="F2193" s="20"/>
      <c r="G2193" s="19"/>
      <c r="H2193" s="19"/>
      <c r="I2193" s="19"/>
      <c r="J2193" s="21"/>
      <c r="K2193" s="19"/>
    </row>
    <row r="2194" spans="3:11" x14ac:dyDescent="0.2">
      <c r="C2194" s="19"/>
      <c r="D2194" s="19"/>
      <c r="E2194" s="19"/>
      <c r="F2194" s="20"/>
      <c r="G2194" s="19"/>
      <c r="H2194" s="19"/>
      <c r="I2194" s="19"/>
      <c r="J2194" s="21"/>
      <c r="K2194" s="19"/>
    </row>
    <row r="2195" spans="3:11" x14ac:dyDescent="0.2">
      <c r="C2195" s="19"/>
      <c r="D2195" s="19"/>
      <c r="E2195" s="19"/>
      <c r="F2195" s="20"/>
      <c r="G2195" s="19"/>
      <c r="H2195" s="19"/>
      <c r="I2195" s="19"/>
      <c r="J2195" s="21"/>
      <c r="K2195" s="19"/>
    </row>
    <row r="2196" spans="3:11" x14ac:dyDescent="0.2">
      <c r="C2196" s="19"/>
      <c r="D2196" s="19"/>
      <c r="E2196" s="19"/>
      <c r="F2196" s="20"/>
      <c r="G2196" s="19"/>
      <c r="H2196" s="19"/>
      <c r="I2196" s="19"/>
      <c r="J2196" s="21"/>
      <c r="K2196" s="19"/>
    </row>
    <row r="2197" spans="3:11" x14ac:dyDescent="0.2">
      <c r="C2197" s="19"/>
      <c r="D2197" s="19"/>
      <c r="E2197" s="19"/>
      <c r="F2197" s="20"/>
      <c r="G2197" s="19"/>
      <c r="H2197" s="19"/>
      <c r="I2197" s="19"/>
      <c r="J2197" s="21"/>
      <c r="K2197" s="19"/>
    </row>
    <row r="2198" spans="3:11" x14ac:dyDescent="0.2">
      <c r="C2198" s="19"/>
      <c r="D2198" s="19"/>
      <c r="E2198" s="19"/>
      <c r="F2198" s="20"/>
      <c r="G2198" s="19"/>
      <c r="H2198" s="19"/>
      <c r="I2198" s="19"/>
      <c r="J2198" s="19"/>
      <c r="K2198" s="19"/>
    </row>
    <row r="2199" spans="3:11" x14ac:dyDescent="0.2">
      <c r="C2199" s="19"/>
      <c r="D2199" s="19"/>
      <c r="E2199" s="19"/>
      <c r="F2199" s="20"/>
      <c r="G2199" s="19"/>
      <c r="H2199" s="19"/>
      <c r="I2199" s="19"/>
      <c r="J2199" s="19"/>
      <c r="K2199" s="19"/>
    </row>
    <row r="2200" spans="3:11" x14ac:dyDescent="0.2">
      <c r="C2200" s="19"/>
      <c r="D2200" s="19"/>
      <c r="E2200" s="19"/>
      <c r="F2200" s="20"/>
      <c r="G2200" s="19"/>
      <c r="H2200" s="19"/>
      <c r="I2200" s="19"/>
      <c r="J2200" s="19"/>
      <c r="K2200" s="19"/>
    </row>
    <row r="2201" spans="3:11" x14ac:dyDescent="0.2">
      <c r="C2201" s="19"/>
      <c r="D2201" s="19"/>
      <c r="E2201" s="19"/>
      <c r="F2201" s="20"/>
      <c r="G2201" s="19"/>
      <c r="H2201" s="19"/>
      <c r="I2201" s="19"/>
      <c r="J2201" s="19"/>
      <c r="K2201" s="19"/>
    </row>
    <row r="2202" spans="3:11" x14ac:dyDescent="0.2">
      <c r="C2202" s="19"/>
      <c r="D2202" s="19"/>
      <c r="E2202" s="19"/>
      <c r="F2202" s="20"/>
      <c r="G2202" s="19"/>
      <c r="H2202" s="19"/>
      <c r="I2202" s="19"/>
      <c r="J2202" s="21"/>
      <c r="K2202" s="19"/>
    </row>
    <row r="2203" spans="3:11" x14ac:dyDescent="0.2">
      <c r="C2203" s="19"/>
      <c r="D2203" s="19"/>
      <c r="E2203" s="19"/>
      <c r="F2203" s="20"/>
      <c r="G2203" s="19"/>
      <c r="H2203" s="19"/>
      <c r="I2203" s="19"/>
      <c r="J2203" s="19"/>
      <c r="K2203" s="19"/>
    </row>
    <row r="2204" spans="3:11" x14ac:dyDescent="0.2">
      <c r="C2204" s="19"/>
      <c r="D2204" s="19"/>
      <c r="E2204" s="19"/>
      <c r="F2204" s="20"/>
      <c r="G2204" s="19"/>
      <c r="H2204" s="19"/>
      <c r="I2204" s="19"/>
      <c r="J2204" s="21"/>
      <c r="K2204" s="19"/>
    </row>
    <row r="2205" spans="3:11" x14ac:dyDescent="0.2">
      <c r="C2205" s="19"/>
      <c r="D2205" s="19"/>
      <c r="E2205" s="19"/>
      <c r="F2205" s="20"/>
      <c r="G2205" s="19"/>
      <c r="H2205" s="19"/>
      <c r="I2205" s="19"/>
      <c r="J2205" s="19"/>
      <c r="K2205" s="19"/>
    </row>
    <row r="2206" spans="3:11" x14ac:dyDescent="0.2">
      <c r="C2206" s="19"/>
      <c r="D2206" s="19"/>
      <c r="E2206" s="19"/>
      <c r="F2206" s="20"/>
      <c r="G2206" s="19"/>
      <c r="H2206" s="19"/>
      <c r="I2206" s="19"/>
      <c r="J2206" s="21"/>
      <c r="K2206" s="19"/>
    </row>
    <row r="2207" spans="3:11" x14ac:dyDescent="0.2">
      <c r="C2207" s="19"/>
      <c r="D2207" s="19"/>
      <c r="E2207" s="19"/>
      <c r="F2207" s="20"/>
      <c r="G2207" s="19"/>
      <c r="H2207" s="19"/>
      <c r="I2207" s="19"/>
      <c r="J2207" s="19"/>
      <c r="K2207" s="19"/>
    </row>
    <row r="2208" spans="3:11" x14ac:dyDescent="0.2">
      <c r="C2208" s="19"/>
      <c r="D2208" s="19"/>
      <c r="E2208" s="19"/>
      <c r="F2208" s="20"/>
      <c r="G2208" s="19"/>
      <c r="H2208" s="19"/>
      <c r="I2208" s="19"/>
      <c r="J2208" s="19"/>
      <c r="K2208" s="19"/>
    </row>
    <row r="2209" spans="3:11" x14ac:dyDescent="0.2">
      <c r="C2209" s="19"/>
      <c r="D2209" s="19"/>
      <c r="E2209" s="19"/>
      <c r="F2209" s="20"/>
      <c r="G2209" s="19"/>
      <c r="H2209" s="19"/>
      <c r="I2209" s="19"/>
      <c r="J2209" s="19"/>
      <c r="K2209" s="19"/>
    </row>
    <row r="2210" spans="3:11" x14ac:dyDescent="0.2">
      <c r="C2210" s="19"/>
      <c r="D2210" s="19"/>
      <c r="E2210" s="19"/>
      <c r="F2210" s="20"/>
      <c r="G2210" s="19"/>
      <c r="H2210" s="19"/>
      <c r="I2210" s="19"/>
      <c r="J2210" s="19"/>
      <c r="K2210" s="19"/>
    </row>
    <row r="2211" spans="3:11" x14ac:dyDescent="0.2">
      <c r="C2211" s="19"/>
      <c r="D2211" s="19"/>
      <c r="E2211" s="19"/>
      <c r="F2211" s="20"/>
      <c r="G2211" s="19"/>
      <c r="H2211" s="19"/>
      <c r="I2211" s="19"/>
      <c r="J2211" s="19"/>
      <c r="K2211" s="19"/>
    </row>
    <row r="2212" spans="3:11" x14ac:dyDescent="0.2">
      <c r="C2212" s="19"/>
      <c r="D2212" s="19"/>
      <c r="E2212" s="19"/>
      <c r="F2212" s="20"/>
      <c r="G2212" s="19"/>
      <c r="H2212" s="19"/>
      <c r="I2212" s="19"/>
      <c r="J2212" s="19"/>
      <c r="K2212" s="19"/>
    </row>
    <row r="2213" spans="3:11" x14ac:dyDescent="0.2">
      <c r="C2213" s="19"/>
      <c r="D2213" s="19"/>
      <c r="E2213" s="19"/>
      <c r="F2213" s="20"/>
      <c r="G2213" s="19"/>
      <c r="H2213" s="19"/>
      <c r="I2213" s="19"/>
      <c r="J2213" s="19"/>
      <c r="K2213" s="19"/>
    </row>
    <row r="2214" spans="3:11" x14ac:dyDescent="0.2">
      <c r="C2214" s="19"/>
      <c r="D2214" s="19"/>
      <c r="E2214" s="19"/>
      <c r="F2214" s="20"/>
      <c r="G2214" s="19"/>
      <c r="H2214" s="19"/>
      <c r="I2214" s="19"/>
      <c r="J2214" s="19"/>
      <c r="K2214" s="19"/>
    </row>
    <row r="2215" spans="3:11" x14ac:dyDescent="0.2">
      <c r="C2215" s="19"/>
      <c r="D2215" s="19"/>
      <c r="E2215" s="19"/>
      <c r="F2215" s="20"/>
      <c r="G2215" s="19"/>
      <c r="H2215" s="19"/>
      <c r="I2215" s="19"/>
      <c r="J2215" s="19"/>
      <c r="K2215" s="19"/>
    </row>
    <row r="2216" spans="3:11" x14ac:dyDescent="0.2">
      <c r="C2216" s="19"/>
      <c r="D2216" s="19"/>
      <c r="E2216" s="19"/>
      <c r="F2216" s="20"/>
      <c r="G2216" s="19"/>
      <c r="H2216" s="19"/>
      <c r="I2216" s="19"/>
      <c r="J2216" s="19"/>
      <c r="K2216" s="19"/>
    </row>
    <row r="2217" spans="3:11" x14ac:dyDescent="0.2">
      <c r="C2217" s="19"/>
      <c r="D2217" s="19"/>
      <c r="E2217" s="19"/>
      <c r="F2217" s="20"/>
      <c r="G2217" s="19"/>
      <c r="H2217" s="19"/>
      <c r="I2217" s="19"/>
      <c r="J2217" s="19"/>
      <c r="K2217" s="19"/>
    </row>
    <row r="2218" spans="3:11" x14ac:dyDescent="0.2">
      <c r="C2218" s="19"/>
      <c r="D2218" s="19"/>
      <c r="E2218" s="19"/>
      <c r="F2218" s="20"/>
      <c r="G2218" s="19"/>
      <c r="H2218" s="19"/>
      <c r="I2218" s="19"/>
      <c r="J2218" s="19"/>
      <c r="K2218" s="19"/>
    </row>
    <row r="2219" spans="3:11" x14ac:dyDescent="0.2">
      <c r="C2219" s="19"/>
      <c r="D2219" s="19"/>
      <c r="E2219" s="19"/>
      <c r="F2219" s="20"/>
      <c r="G2219" s="19"/>
      <c r="H2219" s="19"/>
      <c r="I2219" s="19"/>
      <c r="J2219" s="19"/>
      <c r="K2219" s="19"/>
    </row>
    <row r="2220" spans="3:11" x14ac:dyDescent="0.2">
      <c r="C2220" s="19"/>
      <c r="D2220" s="19"/>
      <c r="E2220" s="19"/>
      <c r="F2220" s="20"/>
      <c r="G2220" s="19"/>
      <c r="H2220" s="19"/>
      <c r="I2220" s="19"/>
      <c r="J2220" s="19"/>
      <c r="K2220" s="19"/>
    </row>
    <row r="2221" spans="3:11" x14ac:dyDescent="0.2">
      <c r="C2221" s="19"/>
      <c r="D2221" s="19"/>
      <c r="E2221" s="19"/>
      <c r="F2221" s="20"/>
      <c r="G2221" s="19"/>
      <c r="H2221" s="19"/>
      <c r="I2221" s="19"/>
      <c r="J2221" s="19"/>
      <c r="K2221" s="19"/>
    </row>
    <row r="2222" spans="3:11" x14ac:dyDescent="0.2">
      <c r="C2222" s="19"/>
      <c r="D2222" s="19"/>
      <c r="E2222" s="19"/>
      <c r="F2222" s="20"/>
      <c r="G2222" s="19"/>
      <c r="H2222" s="19"/>
      <c r="I2222" s="19"/>
      <c r="J2222" s="19"/>
      <c r="K2222" s="19"/>
    </row>
    <row r="2223" spans="3:11" x14ac:dyDescent="0.2">
      <c r="C2223" s="19"/>
      <c r="D2223" s="19"/>
      <c r="E2223" s="19"/>
      <c r="F2223" s="20"/>
      <c r="G2223" s="19"/>
      <c r="H2223" s="19"/>
      <c r="I2223" s="19"/>
      <c r="J2223" s="19"/>
      <c r="K2223" s="19"/>
    </row>
    <row r="2224" spans="3:11" x14ac:dyDescent="0.2">
      <c r="C2224" s="19"/>
      <c r="D2224" s="19"/>
      <c r="E2224" s="19"/>
      <c r="F2224" s="20"/>
      <c r="G2224" s="19"/>
      <c r="H2224" s="19"/>
      <c r="I2224" s="19"/>
      <c r="J2224" s="19"/>
      <c r="K2224" s="19"/>
    </row>
    <row r="2225" spans="3:11" x14ac:dyDescent="0.2">
      <c r="C2225" s="19"/>
      <c r="D2225" s="19"/>
      <c r="E2225" s="19"/>
      <c r="F2225" s="20"/>
      <c r="G2225" s="19"/>
      <c r="H2225" s="19"/>
      <c r="I2225" s="19"/>
      <c r="J2225" s="19"/>
      <c r="K2225" s="19"/>
    </row>
    <row r="2226" spans="3:11" x14ac:dyDescent="0.2">
      <c r="C2226" s="19"/>
      <c r="D2226" s="19"/>
      <c r="E2226" s="19"/>
      <c r="F2226" s="20"/>
      <c r="G2226" s="19"/>
      <c r="H2226" s="19"/>
      <c r="I2226" s="19"/>
      <c r="J2226" s="21"/>
      <c r="K2226" s="19"/>
    </row>
    <row r="2227" spans="3:11" x14ac:dyDescent="0.2">
      <c r="C2227" s="19"/>
      <c r="D2227" s="19"/>
      <c r="E2227" s="19"/>
      <c r="F2227" s="20"/>
      <c r="G2227" s="19"/>
      <c r="H2227" s="19"/>
      <c r="I2227" s="19"/>
      <c r="J2227" s="21"/>
      <c r="K2227" s="19"/>
    </row>
    <row r="2228" spans="3:11" x14ac:dyDescent="0.2">
      <c r="C2228" s="19"/>
      <c r="D2228" s="19"/>
      <c r="E2228" s="19"/>
      <c r="F2228" s="20"/>
      <c r="G2228" s="19"/>
      <c r="H2228" s="19"/>
      <c r="I2228" s="19"/>
      <c r="J2228" s="21"/>
      <c r="K2228" s="19"/>
    </row>
    <row r="2229" spans="3:11" x14ac:dyDescent="0.2">
      <c r="C2229" s="19"/>
      <c r="D2229" s="19"/>
      <c r="E2229" s="19"/>
      <c r="F2229" s="20"/>
      <c r="G2229" s="19"/>
      <c r="H2229" s="19"/>
      <c r="I2229" s="19"/>
      <c r="J2229" s="19"/>
      <c r="K2229" s="19"/>
    </row>
    <row r="2230" spans="3:11" x14ac:dyDescent="0.2">
      <c r="C2230" s="19"/>
      <c r="D2230" s="19"/>
      <c r="E2230" s="19"/>
      <c r="F2230" s="20"/>
      <c r="G2230" s="19"/>
      <c r="H2230" s="19"/>
      <c r="I2230" s="19"/>
      <c r="J2230" s="19"/>
      <c r="K2230" s="19"/>
    </row>
    <row r="2231" spans="3:11" x14ac:dyDescent="0.2">
      <c r="C2231" s="19"/>
      <c r="D2231" s="19"/>
      <c r="E2231" s="19"/>
      <c r="F2231" s="20"/>
      <c r="G2231" s="19"/>
      <c r="H2231" s="19"/>
      <c r="I2231" s="19"/>
      <c r="J2231" s="21"/>
      <c r="K2231" s="19"/>
    </row>
    <row r="2232" spans="3:11" x14ac:dyDescent="0.2">
      <c r="C2232" s="19"/>
      <c r="D2232" s="19"/>
      <c r="E2232" s="19"/>
      <c r="F2232" s="20"/>
      <c r="G2232" s="19"/>
      <c r="H2232" s="19"/>
      <c r="I2232" s="19"/>
      <c r="J2232" s="21"/>
      <c r="K2232" s="19"/>
    </row>
    <row r="2233" spans="3:11" x14ac:dyDescent="0.2">
      <c r="C2233" s="19"/>
      <c r="D2233" s="19"/>
      <c r="E2233" s="19"/>
      <c r="F2233" s="20"/>
      <c r="G2233" s="19"/>
      <c r="H2233" s="19"/>
      <c r="I2233" s="19"/>
      <c r="J2233" s="19"/>
      <c r="K2233" s="19"/>
    </row>
    <row r="2234" spans="3:11" x14ac:dyDescent="0.2">
      <c r="C2234" s="19"/>
      <c r="D2234" s="19"/>
      <c r="E2234" s="19"/>
      <c r="F2234" s="20"/>
      <c r="G2234" s="19"/>
      <c r="H2234" s="19"/>
      <c r="I2234" s="19"/>
      <c r="J2234" s="19"/>
      <c r="K2234" s="19"/>
    </row>
    <row r="2235" spans="3:11" x14ac:dyDescent="0.2">
      <c r="C2235" s="19"/>
      <c r="D2235" s="19"/>
      <c r="E2235" s="19"/>
      <c r="F2235" s="20"/>
      <c r="G2235" s="19"/>
      <c r="H2235" s="19"/>
      <c r="I2235" s="19"/>
      <c r="J2235" s="19"/>
      <c r="K2235" s="19"/>
    </row>
    <row r="2236" spans="3:11" x14ac:dyDescent="0.2">
      <c r="C2236" s="19"/>
      <c r="D2236" s="19"/>
      <c r="E2236" s="19"/>
      <c r="F2236" s="20"/>
      <c r="G2236" s="19"/>
      <c r="H2236" s="19"/>
      <c r="I2236" s="19"/>
      <c r="J2236" s="21"/>
      <c r="K2236" s="19"/>
    </row>
    <row r="2237" spans="3:11" x14ac:dyDescent="0.2">
      <c r="C2237" s="19"/>
      <c r="D2237" s="19"/>
      <c r="E2237" s="19"/>
      <c r="F2237" s="20"/>
      <c r="G2237" s="19"/>
      <c r="H2237" s="19"/>
      <c r="I2237" s="19"/>
      <c r="J2237" s="21"/>
      <c r="K2237" s="19"/>
    </row>
    <row r="2238" spans="3:11" x14ac:dyDescent="0.2">
      <c r="C2238" s="19"/>
      <c r="D2238" s="19"/>
      <c r="E2238" s="19"/>
      <c r="F2238" s="20"/>
      <c r="G2238" s="19"/>
      <c r="H2238" s="19"/>
      <c r="I2238" s="19"/>
      <c r="J2238" s="21"/>
      <c r="K2238" s="19"/>
    </row>
    <row r="2239" spans="3:11" x14ac:dyDescent="0.2">
      <c r="C2239" s="19"/>
      <c r="D2239" s="19"/>
      <c r="E2239" s="19"/>
      <c r="F2239" s="20"/>
      <c r="G2239" s="19"/>
      <c r="H2239" s="19"/>
      <c r="I2239" s="19"/>
      <c r="J2239" s="21"/>
      <c r="K2239" s="19"/>
    </row>
    <row r="2240" spans="3:11" x14ac:dyDescent="0.2">
      <c r="C2240" s="19"/>
      <c r="D2240" s="19"/>
      <c r="E2240" s="19"/>
      <c r="F2240" s="20"/>
      <c r="G2240" s="19"/>
      <c r="H2240" s="19"/>
      <c r="I2240" s="19"/>
      <c r="J2240" s="21"/>
      <c r="K2240" s="19"/>
    </row>
    <row r="2241" spans="3:11" x14ac:dyDescent="0.2">
      <c r="C2241" s="19"/>
      <c r="D2241" s="19"/>
      <c r="E2241" s="19"/>
      <c r="F2241" s="20"/>
      <c r="G2241" s="19"/>
      <c r="H2241" s="19"/>
      <c r="I2241" s="19"/>
      <c r="J2241" s="21"/>
      <c r="K2241" s="19"/>
    </row>
    <row r="2242" spans="3:11" x14ac:dyDescent="0.2">
      <c r="C2242" s="19"/>
      <c r="D2242" s="19"/>
      <c r="E2242" s="19"/>
      <c r="F2242" s="20"/>
      <c r="G2242" s="19"/>
      <c r="H2242" s="19"/>
      <c r="I2242" s="19"/>
      <c r="J2242" s="21"/>
      <c r="K2242" s="19"/>
    </row>
    <row r="2243" spans="3:11" x14ac:dyDescent="0.2">
      <c r="C2243" s="19"/>
      <c r="D2243" s="19"/>
      <c r="E2243" s="19"/>
      <c r="F2243" s="20"/>
      <c r="G2243" s="19"/>
      <c r="H2243" s="19"/>
      <c r="I2243" s="19"/>
      <c r="J2243" s="21"/>
      <c r="K2243" s="19"/>
    </row>
    <row r="2244" spans="3:11" x14ac:dyDescent="0.2">
      <c r="C2244" s="19"/>
      <c r="D2244" s="19"/>
      <c r="E2244" s="19"/>
      <c r="F2244" s="20"/>
      <c r="G2244" s="19"/>
      <c r="H2244" s="19"/>
      <c r="I2244" s="19"/>
      <c r="J2244" s="21"/>
      <c r="K2244" s="19"/>
    </row>
    <row r="2245" spans="3:11" x14ac:dyDescent="0.2">
      <c r="C2245" s="19"/>
      <c r="D2245" s="19"/>
      <c r="E2245" s="19"/>
      <c r="F2245" s="20"/>
      <c r="G2245" s="19"/>
      <c r="H2245" s="19"/>
      <c r="I2245" s="19"/>
      <c r="J2245" s="19"/>
      <c r="K2245" s="19"/>
    </row>
    <row r="2246" spans="3:11" x14ac:dyDescent="0.2">
      <c r="C2246" s="19"/>
      <c r="D2246" s="19"/>
      <c r="E2246" s="19"/>
      <c r="F2246" s="20"/>
      <c r="G2246" s="19"/>
      <c r="H2246" s="19"/>
      <c r="I2246" s="19"/>
      <c r="J2246" s="19"/>
      <c r="K2246" s="19"/>
    </row>
    <row r="2247" spans="3:11" x14ac:dyDescent="0.2">
      <c r="C2247" s="19"/>
      <c r="D2247" s="19"/>
      <c r="E2247" s="19"/>
      <c r="F2247" s="20"/>
      <c r="G2247" s="19"/>
      <c r="H2247" s="19"/>
      <c r="I2247" s="19"/>
      <c r="J2247" s="19"/>
      <c r="K2247" s="19"/>
    </row>
    <row r="2248" spans="3:11" x14ac:dyDescent="0.2">
      <c r="C2248" s="19"/>
      <c r="D2248" s="19"/>
      <c r="E2248" s="19"/>
      <c r="F2248" s="20"/>
      <c r="G2248" s="19"/>
      <c r="H2248" s="19"/>
      <c r="I2248" s="19"/>
      <c r="J2248" s="19"/>
      <c r="K2248" s="19"/>
    </row>
    <row r="2249" spans="3:11" x14ac:dyDescent="0.2">
      <c r="C2249" s="19"/>
      <c r="D2249" s="19"/>
      <c r="E2249" s="19"/>
      <c r="F2249" s="20"/>
      <c r="G2249" s="19"/>
      <c r="H2249" s="19"/>
      <c r="I2249" s="19"/>
      <c r="J2249" s="19"/>
      <c r="K2249" s="19"/>
    </row>
    <row r="2250" spans="3:11" x14ac:dyDescent="0.2">
      <c r="C2250" s="19"/>
      <c r="D2250" s="19"/>
      <c r="E2250" s="19"/>
      <c r="F2250" s="20"/>
      <c r="G2250" s="19"/>
      <c r="H2250" s="19"/>
      <c r="I2250" s="19"/>
      <c r="J2250" s="21"/>
      <c r="K2250" s="19"/>
    </row>
    <row r="2251" spans="3:11" x14ac:dyDescent="0.2">
      <c r="C2251" s="19"/>
      <c r="D2251" s="19"/>
      <c r="E2251" s="19"/>
      <c r="F2251" s="20"/>
      <c r="G2251" s="19"/>
      <c r="H2251" s="19"/>
      <c r="I2251" s="19"/>
      <c r="J2251" s="21"/>
      <c r="K2251" s="19"/>
    </row>
    <row r="2252" spans="3:11" x14ac:dyDescent="0.2">
      <c r="C2252" s="19"/>
      <c r="D2252" s="19"/>
      <c r="E2252" s="19"/>
      <c r="F2252" s="20"/>
      <c r="G2252" s="19"/>
      <c r="H2252" s="19"/>
      <c r="I2252" s="19"/>
      <c r="J2252" s="21"/>
      <c r="K2252" s="19"/>
    </row>
    <row r="2253" spans="3:11" x14ac:dyDescent="0.2">
      <c r="C2253" s="19"/>
      <c r="D2253" s="19"/>
      <c r="E2253" s="19"/>
      <c r="F2253" s="20"/>
      <c r="G2253" s="19"/>
      <c r="H2253" s="19"/>
      <c r="I2253" s="19"/>
      <c r="J2253" s="21"/>
      <c r="K2253" s="19"/>
    </row>
    <row r="2254" spans="3:11" x14ac:dyDescent="0.2">
      <c r="C2254" s="19"/>
      <c r="D2254" s="19"/>
      <c r="E2254" s="19"/>
      <c r="F2254" s="20"/>
      <c r="G2254" s="19"/>
      <c r="H2254" s="19"/>
      <c r="I2254" s="19"/>
      <c r="J2254" s="21"/>
      <c r="K2254" s="19"/>
    </row>
    <row r="2255" spans="3:11" x14ac:dyDescent="0.2">
      <c r="C2255" s="19"/>
      <c r="D2255" s="19"/>
      <c r="E2255" s="19"/>
      <c r="F2255" s="20"/>
      <c r="G2255" s="19"/>
      <c r="H2255" s="19"/>
      <c r="I2255" s="19"/>
      <c r="J2255" s="21"/>
      <c r="K2255" s="19"/>
    </row>
    <row r="2256" spans="3:11" x14ac:dyDescent="0.2">
      <c r="C2256" s="19"/>
      <c r="D2256" s="19"/>
      <c r="E2256" s="19"/>
      <c r="F2256" s="20"/>
      <c r="G2256" s="19"/>
      <c r="H2256" s="19"/>
      <c r="I2256" s="19"/>
      <c r="J2256" s="21"/>
      <c r="K2256" s="19"/>
    </row>
    <row r="2257" spans="3:11" x14ac:dyDescent="0.2">
      <c r="C2257" s="19"/>
      <c r="D2257" s="19"/>
      <c r="E2257" s="19"/>
      <c r="F2257" s="20"/>
      <c r="G2257" s="19"/>
      <c r="H2257" s="19"/>
      <c r="I2257" s="19"/>
      <c r="J2257" s="21"/>
      <c r="K2257" s="19"/>
    </row>
    <row r="2258" spans="3:11" x14ac:dyDescent="0.2">
      <c r="C2258" s="19"/>
      <c r="D2258" s="19"/>
      <c r="E2258" s="19"/>
      <c r="F2258" s="20"/>
      <c r="G2258" s="19"/>
      <c r="H2258" s="19"/>
      <c r="I2258" s="19"/>
      <c r="J2258" s="21"/>
      <c r="K2258" s="19"/>
    </row>
    <row r="2259" spans="3:11" x14ac:dyDescent="0.2">
      <c r="C2259" s="19"/>
      <c r="D2259" s="19"/>
      <c r="E2259" s="19"/>
      <c r="F2259" s="20"/>
      <c r="G2259" s="19"/>
      <c r="H2259" s="19"/>
      <c r="I2259" s="19"/>
      <c r="J2259" s="21"/>
      <c r="K2259" s="19"/>
    </row>
    <row r="2260" spans="3:11" x14ac:dyDescent="0.2">
      <c r="C2260" s="19"/>
      <c r="D2260" s="19"/>
      <c r="E2260" s="19"/>
      <c r="F2260" s="20"/>
      <c r="G2260" s="19"/>
      <c r="H2260" s="19"/>
      <c r="I2260" s="19"/>
      <c r="J2260" s="19"/>
      <c r="K2260" s="19"/>
    </row>
    <row r="2261" spans="3:11" x14ac:dyDescent="0.2">
      <c r="C2261" s="19"/>
      <c r="D2261" s="19"/>
      <c r="E2261" s="19"/>
      <c r="F2261" s="20"/>
      <c r="G2261" s="19"/>
      <c r="H2261" s="19"/>
      <c r="I2261" s="19"/>
      <c r="J2261" s="19"/>
      <c r="K2261" s="19"/>
    </row>
    <row r="2262" spans="3:11" x14ac:dyDescent="0.2">
      <c r="C2262" s="19"/>
      <c r="D2262" s="19"/>
      <c r="E2262" s="19"/>
      <c r="F2262" s="20"/>
      <c r="G2262" s="19"/>
      <c r="H2262" s="19"/>
      <c r="I2262" s="19"/>
      <c r="J2262" s="19"/>
      <c r="K2262" s="19"/>
    </row>
    <row r="2263" spans="3:11" x14ac:dyDescent="0.2">
      <c r="C2263" s="19"/>
      <c r="D2263" s="19"/>
      <c r="E2263" s="19"/>
      <c r="F2263" s="20"/>
      <c r="G2263" s="19"/>
      <c r="H2263" s="19"/>
      <c r="I2263" s="19"/>
      <c r="J2263" s="19"/>
      <c r="K2263" s="19"/>
    </row>
    <row r="2264" spans="3:11" x14ac:dyDescent="0.2">
      <c r="C2264" s="19"/>
      <c r="D2264" s="19"/>
      <c r="E2264" s="19"/>
      <c r="F2264" s="20"/>
      <c r="G2264" s="19"/>
      <c r="H2264" s="19"/>
      <c r="I2264" s="19"/>
      <c r="J2264" s="19"/>
      <c r="K2264" s="19"/>
    </row>
    <row r="2265" spans="3:11" x14ac:dyDescent="0.2">
      <c r="C2265" s="19"/>
      <c r="D2265" s="19"/>
      <c r="E2265" s="19"/>
      <c r="F2265" s="20"/>
      <c r="G2265" s="19"/>
      <c r="H2265" s="19"/>
      <c r="I2265" s="19"/>
      <c r="J2265" s="21"/>
      <c r="K2265" s="19"/>
    </row>
    <row r="2266" spans="3:11" x14ac:dyDescent="0.2">
      <c r="C2266" s="19"/>
      <c r="D2266" s="19"/>
      <c r="E2266" s="19"/>
      <c r="F2266" s="20"/>
      <c r="G2266" s="19"/>
      <c r="H2266" s="19"/>
      <c r="I2266" s="19"/>
      <c r="J2266" s="21"/>
      <c r="K2266" s="19"/>
    </row>
    <row r="2267" spans="3:11" x14ac:dyDescent="0.2">
      <c r="C2267" s="19"/>
      <c r="D2267" s="19"/>
      <c r="E2267" s="19"/>
      <c r="F2267" s="20"/>
      <c r="G2267" s="19"/>
      <c r="H2267" s="19"/>
      <c r="I2267" s="19"/>
      <c r="J2267" s="21"/>
      <c r="K2267" s="19"/>
    </row>
    <row r="2268" spans="3:11" x14ac:dyDescent="0.2">
      <c r="C2268" s="19"/>
      <c r="D2268" s="19"/>
      <c r="E2268" s="19"/>
      <c r="F2268" s="20"/>
      <c r="G2268" s="19"/>
      <c r="H2268" s="19"/>
      <c r="I2268" s="19"/>
      <c r="J2268" s="21"/>
      <c r="K2268" s="19"/>
    </row>
    <row r="2269" spans="3:11" x14ac:dyDescent="0.2">
      <c r="C2269" s="19"/>
      <c r="D2269" s="19"/>
      <c r="E2269" s="19"/>
      <c r="F2269" s="20"/>
      <c r="G2269" s="19"/>
      <c r="H2269" s="19"/>
      <c r="I2269" s="19"/>
      <c r="J2269" s="21"/>
      <c r="K2269" s="19"/>
    </row>
    <row r="2270" spans="3:11" x14ac:dyDescent="0.2">
      <c r="C2270" s="19"/>
      <c r="D2270" s="19"/>
      <c r="E2270" s="19"/>
      <c r="F2270" s="20"/>
      <c r="G2270" s="19"/>
      <c r="H2270" s="19"/>
      <c r="I2270" s="19"/>
      <c r="J2270" s="21"/>
      <c r="K2270" s="19"/>
    </row>
    <row r="2271" spans="3:11" x14ac:dyDescent="0.2">
      <c r="C2271" s="19"/>
      <c r="D2271" s="19"/>
      <c r="E2271" s="19"/>
      <c r="F2271" s="20"/>
      <c r="G2271" s="19"/>
      <c r="H2271" s="19"/>
      <c r="I2271" s="19"/>
      <c r="J2271" s="21"/>
      <c r="K2271" s="19"/>
    </row>
    <row r="2272" spans="3:11" x14ac:dyDescent="0.2">
      <c r="C2272" s="19"/>
      <c r="D2272" s="19"/>
      <c r="E2272" s="19"/>
      <c r="F2272" s="20"/>
      <c r="G2272" s="19"/>
      <c r="H2272" s="19"/>
      <c r="I2272" s="19"/>
      <c r="J2272" s="21"/>
      <c r="K2272" s="19"/>
    </row>
    <row r="2273" spans="3:11" x14ac:dyDescent="0.2">
      <c r="C2273" s="19"/>
      <c r="D2273" s="19"/>
      <c r="E2273" s="19"/>
      <c r="F2273" s="20"/>
      <c r="G2273" s="19"/>
      <c r="H2273" s="19"/>
      <c r="I2273" s="19"/>
      <c r="J2273" s="21"/>
      <c r="K2273" s="19"/>
    </row>
    <row r="2274" spans="3:11" x14ac:dyDescent="0.2">
      <c r="C2274" s="19"/>
      <c r="D2274" s="19"/>
      <c r="E2274" s="19"/>
      <c r="F2274" s="20"/>
      <c r="G2274" s="19"/>
      <c r="H2274" s="19"/>
      <c r="I2274" s="19"/>
      <c r="J2274" s="21"/>
      <c r="K2274" s="19"/>
    </row>
    <row r="2275" spans="3:11" x14ac:dyDescent="0.2">
      <c r="C2275" s="19"/>
      <c r="D2275" s="19"/>
      <c r="E2275" s="19"/>
      <c r="F2275" s="20"/>
      <c r="G2275" s="19"/>
      <c r="H2275" s="19"/>
      <c r="I2275" s="19"/>
      <c r="J2275" s="21"/>
      <c r="K2275" s="19"/>
    </row>
    <row r="2276" spans="3:11" x14ac:dyDescent="0.2">
      <c r="C2276" s="19"/>
      <c r="D2276" s="19"/>
      <c r="E2276" s="19"/>
      <c r="F2276" s="20"/>
      <c r="G2276" s="19"/>
      <c r="H2276" s="19"/>
      <c r="I2276" s="19"/>
      <c r="J2276" s="21"/>
      <c r="K2276" s="19"/>
    </row>
    <row r="2277" spans="3:11" x14ac:dyDescent="0.2">
      <c r="C2277" s="19"/>
      <c r="D2277" s="19"/>
      <c r="E2277" s="19"/>
      <c r="F2277" s="20"/>
      <c r="G2277" s="19"/>
      <c r="H2277" s="19"/>
      <c r="I2277" s="19"/>
      <c r="J2277" s="21"/>
      <c r="K2277" s="19"/>
    </row>
    <row r="2278" spans="3:11" x14ac:dyDescent="0.2">
      <c r="C2278" s="19"/>
      <c r="D2278" s="19"/>
      <c r="E2278" s="19"/>
      <c r="F2278" s="20"/>
      <c r="G2278" s="19"/>
      <c r="H2278" s="19"/>
      <c r="I2278" s="19"/>
      <c r="J2278" s="21"/>
      <c r="K2278" s="19"/>
    </row>
    <row r="2279" spans="3:11" x14ac:dyDescent="0.2">
      <c r="C2279" s="19"/>
      <c r="D2279" s="19"/>
      <c r="E2279" s="19"/>
      <c r="F2279" s="20"/>
      <c r="G2279" s="19"/>
      <c r="H2279" s="19"/>
      <c r="I2279" s="19"/>
      <c r="J2279" s="21"/>
      <c r="K2279" s="19"/>
    </row>
    <row r="2280" spans="3:11" x14ac:dyDescent="0.2">
      <c r="C2280" s="19"/>
      <c r="D2280" s="19"/>
      <c r="E2280" s="19"/>
      <c r="F2280" s="20"/>
      <c r="G2280" s="19"/>
      <c r="H2280" s="19"/>
      <c r="I2280" s="19"/>
      <c r="J2280" s="21"/>
      <c r="K2280" s="19"/>
    </row>
    <row r="2281" spans="3:11" x14ac:dyDescent="0.2">
      <c r="C2281" s="19"/>
      <c r="D2281" s="19"/>
      <c r="E2281" s="19"/>
      <c r="F2281" s="20"/>
      <c r="G2281" s="19"/>
      <c r="H2281" s="19"/>
      <c r="I2281" s="19"/>
      <c r="J2281" s="21"/>
      <c r="K2281" s="19"/>
    </row>
    <row r="2282" spans="3:11" x14ac:dyDescent="0.2">
      <c r="C2282" s="19"/>
      <c r="D2282" s="19"/>
      <c r="E2282" s="19"/>
      <c r="F2282" s="20"/>
      <c r="G2282" s="19"/>
      <c r="H2282" s="19"/>
      <c r="I2282" s="19"/>
      <c r="J2282" s="21"/>
      <c r="K2282" s="19"/>
    </row>
    <row r="2283" spans="3:11" x14ac:dyDescent="0.2">
      <c r="C2283" s="19"/>
      <c r="D2283" s="19"/>
      <c r="E2283" s="19"/>
      <c r="F2283" s="20"/>
      <c r="G2283" s="19"/>
      <c r="H2283" s="19"/>
      <c r="I2283" s="19"/>
      <c r="J2283" s="21"/>
      <c r="K2283" s="19"/>
    </row>
    <row r="2284" spans="3:11" x14ac:dyDescent="0.2">
      <c r="C2284" s="19"/>
      <c r="D2284" s="19"/>
      <c r="E2284" s="19"/>
      <c r="F2284" s="20"/>
      <c r="G2284" s="19"/>
      <c r="H2284" s="19"/>
      <c r="I2284" s="19"/>
      <c r="J2284" s="21"/>
      <c r="K2284" s="19"/>
    </row>
    <row r="2285" spans="3:11" x14ac:dyDescent="0.2">
      <c r="C2285" s="19"/>
      <c r="D2285" s="19"/>
      <c r="E2285" s="19"/>
      <c r="F2285" s="20"/>
      <c r="G2285" s="19"/>
      <c r="H2285" s="19"/>
      <c r="I2285" s="19"/>
      <c r="J2285" s="21"/>
      <c r="K2285" s="19"/>
    </row>
    <row r="2286" spans="3:11" x14ac:dyDescent="0.2">
      <c r="C2286" s="19"/>
      <c r="D2286" s="19"/>
      <c r="E2286" s="19"/>
      <c r="F2286" s="20"/>
      <c r="G2286" s="19"/>
      <c r="H2286" s="19"/>
      <c r="I2286" s="19"/>
      <c r="J2286" s="21"/>
      <c r="K2286" s="19"/>
    </row>
    <row r="2287" spans="3:11" x14ac:dyDescent="0.2">
      <c r="C2287" s="19"/>
      <c r="D2287" s="19"/>
      <c r="E2287" s="19"/>
      <c r="F2287" s="20"/>
      <c r="G2287" s="19"/>
      <c r="H2287" s="19"/>
      <c r="I2287" s="19"/>
      <c r="J2287" s="21"/>
      <c r="K2287" s="19"/>
    </row>
    <row r="2288" spans="3:11" x14ac:dyDescent="0.2">
      <c r="C2288" s="19"/>
      <c r="D2288" s="19"/>
      <c r="E2288" s="19"/>
      <c r="F2288" s="20"/>
      <c r="G2288" s="19"/>
      <c r="H2288" s="19"/>
      <c r="I2288" s="19"/>
      <c r="J2288" s="21"/>
      <c r="K2288" s="19"/>
    </row>
    <row r="2289" spans="3:11" x14ac:dyDescent="0.2">
      <c r="C2289" s="19"/>
      <c r="D2289" s="19"/>
      <c r="E2289" s="19"/>
      <c r="F2289" s="20"/>
      <c r="G2289" s="19"/>
      <c r="H2289" s="19"/>
      <c r="I2289" s="19"/>
      <c r="J2289" s="21"/>
      <c r="K2289" s="19"/>
    </row>
    <row r="2290" spans="3:11" x14ac:dyDescent="0.2">
      <c r="C2290" s="19"/>
      <c r="D2290" s="19"/>
      <c r="E2290" s="19"/>
      <c r="F2290" s="20"/>
      <c r="G2290" s="19"/>
      <c r="H2290" s="19"/>
      <c r="I2290" s="19"/>
      <c r="J2290" s="21"/>
      <c r="K2290" s="19"/>
    </row>
    <row r="2291" spans="3:11" x14ac:dyDescent="0.2">
      <c r="C2291" s="19"/>
      <c r="D2291" s="19"/>
      <c r="E2291" s="19"/>
      <c r="F2291" s="20"/>
      <c r="G2291" s="19"/>
      <c r="H2291" s="19"/>
      <c r="I2291" s="19"/>
      <c r="J2291" s="21"/>
      <c r="K2291" s="19"/>
    </row>
    <row r="2292" spans="3:11" x14ac:dyDescent="0.2">
      <c r="C2292" s="19"/>
      <c r="D2292" s="19"/>
      <c r="E2292" s="19"/>
      <c r="F2292" s="20"/>
      <c r="G2292" s="19"/>
      <c r="H2292" s="19"/>
      <c r="I2292" s="19"/>
      <c r="J2292" s="21"/>
      <c r="K2292" s="19"/>
    </row>
    <row r="2293" spans="3:11" x14ac:dyDescent="0.2">
      <c r="C2293" s="19"/>
      <c r="D2293" s="19"/>
      <c r="E2293" s="19"/>
      <c r="F2293" s="20"/>
      <c r="G2293" s="19"/>
      <c r="H2293" s="19"/>
      <c r="I2293" s="19"/>
      <c r="J2293" s="21"/>
      <c r="K2293" s="19"/>
    </row>
    <row r="2294" spans="3:11" x14ac:dyDescent="0.2">
      <c r="C2294" s="19"/>
      <c r="D2294" s="19"/>
      <c r="E2294" s="19"/>
      <c r="F2294" s="20"/>
      <c r="G2294" s="19"/>
      <c r="H2294" s="19"/>
      <c r="I2294" s="19"/>
      <c r="J2294" s="21"/>
      <c r="K2294" s="19"/>
    </row>
    <row r="2295" spans="3:11" x14ac:dyDescent="0.2">
      <c r="C2295" s="19"/>
      <c r="D2295" s="19"/>
      <c r="E2295" s="19"/>
      <c r="F2295" s="20"/>
      <c r="G2295" s="19"/>
      <c r="H2295" s="19"/>
      <c r="I2295" s="19"/>
      <c r="J2295" s="21"/>
      <c r="K2295" s="19"/>
    </row>
    <row r="2296" spans="3:11" x14ac:dyDescent="0.2">
      <c r="C2296" s="19"/>
      <c r="D2296" s="19"/>
      <c r="E2296" s="19"/>
      <c r="F2296" s="20"/>
      <c r="G2296" s="19"/>
      <c r="H2296" s="19"/>
      <c r="I2296" s="19"/>
      <c r="J2296" s="21"/>
      <c r="K2296" s="19"/>
    </row>
    <row r="2297" spans="3:11" x14ac:dyDescent="0.2">
      <c r="C2297" s="19"/>
      <c r="D2297" s="19"/>
      <c r="E2297" s="19"/>
      <c r="F2297" s="20"/>
      <c r="G2297" s="19"/>
      <c r="H2297" s="19"/>
      <c r="I2297" s="19"/>
      <c r="J2297" s="21"/>
      <c r="K2297" s="19"/>
    </row>
    <row r="2298" spans="3:11" x14ac:dyDescent="0.2">
      <c r="C2298" s="19"/>
      <c r="D2298" s="19"/>
      <c r="E2298" s="19"/>
      <c r="F2298" s="20"/>
      <c r="G2298" s="19"/>
      <c r="H2298" s="19"/>
      <c r="I2298" s="19"/>
      <c r="J2298" s="21"/>
      <c r="K2298" s="19"/>
    </row>
    <row r="2299" spans="3:11" x14ac:dyDescent="0.2">
      <c r="C2299" s="19"/>
      <c r="D2299" s="19"/>
      <c r="E2299" s="19"/>
      <c r="F2299" s="20"/>
      <c r="G2299" s="19"/>
      <c r="H2299" s="19"/>
      <c r="I2299" s="19"/>
      <c r="J2299" s="19"/>
      <c r="K2299" s="19"/>
    </row>
    <row r="2300" spans="3:11" x14ac:dyDescent="0.2">
      <c r="C2300" s="19"/>
      <c r="D2300" s="19"/>
      <c r="E2300" s="19"/>
      <c r="F2300" s="20"/>
      <c r="G2300" s="19"/>
      <c r="H2300" s="19"/>
      <c r="I2300" s="19"/>
      <c r="J2300" s="19"/>
      <c r="K2300" s="19"/>
    </row>
    <row r="2301" spans="3:11" x14ac:dyDescent="0.2">
      <c r="C2301" s="19"/>
      <c r="D2301" s="19"/>
      <c r="E2301" s="19"/>
      <c r="F2301" s="20"/>
      <c r="G2301" s="19"/>
      <c r="H2301" s="19"/>
      <c r="I2301" s="19"/>
      <c r="J2301" s="21"/>
      <c r="K2301" s="19"/>
    </row>
    <row r="2302" spans="3:11" x14ac:dyDescent="0.2">
      <c r="C2302" s="19"/>
      <c r="D2302" s="19"/>
      <c r="E2302" s="19"/>
      <c r="F2302" s="20"/>
      <c r="G2302" s="19"/>
      <c r="H2302" s="19"/>
      <c r="I2302" s="19"/>
      <c r="J2302" s="19"/>
      <c r="K2302" s="19"/>
    </row>
    <row r="2303" spans="3:11" x14ac:dyDescent="0.2">
      <c r="C2303" s="19"/>
      <c r="D2303" s="19"/>
      <c r="E2303" s="19"/>
      <c r="F2303" s="20"/>
      <c r="G2303" s="19"/>
      <c r="H2303" s="19"/>
      <c r="I2303" s="19"/>
      <c r="J2303" s="19"/>
      <c r="K2303" s="19"/>
    </row>
    <row r="2304" spans="3:11" x14ac:dyDescent="0.2">
      <c r="C2304" s="19"/>
      <c r="D2304" s="19"/>
      <c r="E2304" s="19"/>
      <c r="F2304" s="20"/>
      <c r="G2304" s="19"/>
      <c r="H2304" s="19"/>
      <c r="I2304" s="19"/>
      <c r="J2304" s="19"/>
      <c r="K2304" s="19"/>
    </row>
    <row r="2305" spans="3:11" x14ac:dyDescent="0.2">
      <c r="C2305" s="19"/>
      <c r="D2305" s="19"/>
      <c r="E2305" s="19"/>
      <c r="F2305" s="20"/>
      <c r="G2305" s="19"/>
      <c r="H2305" s="19"/>
      <c r="I2305" s="19"/>
      <c r="J2305" s="19"/>
      <c r="K2305" s="19"/>
    </row>
    <row r="2306" spans="3:11" x14ac:dyDescent="0.2">
      <c r="C2306" s="19"/>
      <c r="D2306" s="19"/>
      <c r="E2306" s="19"/>
      <c r="F2306" s="20"/>
      <c r="G2306" s="19"/>
      <c r="H2306" s="19"/>
      <c r="I2306" s="19"/>
      <c r="J2306" s="19"/>
      <c r="K2306" s="19"/>
    </row>
    <row r="2307" spans="3:11" x14ac:dyDescent="0.2">
      <c r="C2307" s="19"/>
      <c r="D2307" s="19"/>
      <c r="E2307" s="19"/>
      <c r="F2307" s="20"/>
      <c r="G2307" s="19"/>
      <c r="H2307" s="19"/>
      <c r="I2307" s="19"/>
      <c r="J2307" s="19"/>
      <c r="K2307" s="19"/>
    </row>
    <row r="2308" spans="3:11" x14ac:dyDescent="0.2">
      <c r="C2308" s="19"/>
      <c r="D2308" s="19"/>
      <c r="E2308" s="19"/>
      <c r="F2308" s="20"/>
      <c r="G2308" s="19"/>
      <c r="H2308" s="19"/>
      <c r="I2308" s="19"/>
      <c r="J2308" s="21"/>
      <c r="K2308" s="19"/>
    </row>
    <row r="2309" spans="3:11" x14ac:dyDescent="0.2">
      <c r="C2309" s="19"/>
      <c r="D2309" s="19"/>
      <c r="E2309" s="19"/>
      <c r="F2309" s="20"/>
      <c r="G2309" s="19"/>
      <c r="H2309" s="19"/>
      <c r="I2309" s="19"/>
      <c r="J2309" s="21"/>
      <c r="K2309" s="19"/>
    </row>
    <row r="2310" spans="3:11" x14ac:dyDescent="0.2">
      <c r="C2310" s="19"/>
      <c r="D2310" s="19"/>
      <c r="E2310" s="19"/>
      <c r="F2310" s="20"/>
      <c r="G2310" s="19"/>
      <c r="H2310" s="19"/>
      <c r="I2310" s="19"/>
      <c r="J2310" s="21"/>
      <c r="K2310" s="19"/>
    </row>
    <row r="2311" spans="3:11" x14ac:dyDescent="0.2">
      <c r="C2311" s="19"/>
      <c r="D2311" s="19"/>
      <c r="E2311" s="19"/>
      <c r="F2311" s="20"/>
      <c r="G2311" s="19"/>
      <c r="H2311" s="19"/>
      <c r="I2311" s="19"/>
      <c r="J2311" s="21"/>
      <c r="K2311" s="19"/>
    </row>
    <row r="2312" spans="3:11" x14ac:dyDescent="0.2">
      <c r="C2312" s="19"/>
      <c r="D2312" s="19"/>
      <c r="E2312" s="19"/>
      <c r="F2312" s="20"/>
      <c r="G2312" s="19"/>
      <c r="H2312" s="19"/>
      <c r="I2312" s="19"/>
      <c r="J2312" s="21"/>
      <c r="K2312" s="19"/>
    </row>
    <row r="2313" spans="3:11" x14ac:dyDescent="0.2">
      <c r="C2313" s="19"/>
      <c r="D2313" s="19"/>
      <c r="E2313" s="19"/>
      <c r="F2313" s="20"/>
      <c r="G2313" s="19"/>
      <c r="H2313" s="19"/>
      <c r="I2313" s="19"/>
      <c r="J2313" s="21"/>
      <c r="K2313" s="19"/>
    </row>
    <row r="2314" spans="3:11" x14ac:dyDescent="0.2">
      <c r="C2314" s="19"/>
      <c r="D2314" s="19"/>
      <c r="E2314" s="19"/>
      <c r="F2314" s="20"/>
      <c r="G2314" s="19"/>
      <c r="H2314" s="19"/>
      <c r="I2314" s="19"/>
      <c r="J2314" s="21"/>
      <c r="K2314" s="19"/>
    </row>
    <row r="2315" spans="3:11" x14ac:dyDescent="0.2">
      <c r="C2315" s="19"/>
      <c r="D2315" s="19"/>
      <c r="E2315" s="19"/>
      <c r="F2315" s="20"/>
      <c r="G2315" s="19"/>
      <c r="H2315" s="19"/>
      <c r="I2315" s="19"/>
      <c r="J2315" s="21"/>
      <c r="K2315" s="19"/>
    </row>
    <row r="2316" spans="3:11" x14ac:dyDescent="0.2">
      <c r="C2316" s="19"/>
      <c r="D2316" s="19"/>
      <c r="E2316" s="19"/>
      <c r="F2316" s="20"/>
      <c r="G2316" s="19"/>
      <c r="H2316" s="19"/>
      <c r="I2316" s="19"/>
      <c r="J2316" s="19"/>
      <c r="K2316" s="19"/>
    </row>
    <row r="2317" spans="3:11" x14ac:dyDescent="0.2">
      <c r="C2317" s="19"/>
      <c r="D2317" s="19"/>
      <c r="E2317" s="19"/>
      <c r="F2317" s="20"/>
      <c r="G2317" s="19"/>
      <c r="H2317" s="19"/>
      <c r="I2317" s="19"/>
      <c r="J2317" s="21"/>
      <c r="K2317" s="19"/>
    </row>
    <row r="2318" spans="3:11" x14ac:dyDescent="0.2">
      <c r="C2318" s="19"/>
      <c r="D2318" s="19"/>
      <c r="E2318" s="19"/>
      <c r="F2318" s="20"/>
      <c r="G2318" s="19"/>
      <c r="H2318" s="19"/>
      <c r="I2318" s="19"/>
      <c r="J2318" s="21"/>
      <c r="K2318" s="19"/>
    </row>
    <row r="2319" spans="3:11" x14ac:dyDescent="0.2">
      <c r="C2319" s="19"/>
      <c r="D2319" s="19"/>
      <c r="E2319" s="19"/>
      <c r="F2319" s="20"/>
      <c r="G2319" s="19"/>
      <c r="H2319" s="19"/>
      <c r="I2319" s="19"/>
      <c r="J2319" s="21"/>
      <c r="K2319" s="19"/>
    </row>
    <row r="2320" spans="3:11" x14ac:dyDescent="0.2">
      <c r="C2320" s="19"/>
      <c r="D2320" s="19"/>
      <c r="E2320" s="19"/>
      <c r="F2320" s="20"/>
      <c r="G2320" s="19"/>
      <c r="H2320" s="19"/>
      <c r="I2320" s="19"/>
      <c r="J2320" s="21"/>
      <c r="K2320" s="19"/>
    </row>
    <row r="2321" spans="3:11" x14ac:dyDescent="0.2">
      <c r="C2321" s="19"/>
      <c r="D2321" s="19"/>
      <c r="E2321" s="19"/>
      <c r="F2321" s="20"/>
      <c r="G2321" s="19"/>
      <c r="H2321" s="19"/>
      <c r="I2321" s="19"/>
      <c r="J2321" s="21"/>
      <c r="K2321" s="19"/>
    </row>
    <row r="2322" spans="3:11" x14ac:dyDescent="0.2">
      <c r="C2322" s="19"/>
      <c r="D2322" s="19"/>
      <c r="E2322" s="19"/>
      <c r="F2322" s="20"/>
      <c r="G2322" s="19"/>
      <c r="H2322" s="19"/>
      <c r="I2322" s="19"/>
      <c r="J2322" s="21"/>
      <c r="K2322" s="19"/>
    </row>
    <row r="2323" spans="3:11" x14ac:dyDescent="0.2">
      <c r="C2323" s="19"/>
      <c r="D2323" s="19"/>
      <c r="E2323" s="19"/>
      <c r="F2323" s="20"/>
      <c r="G2323" s="19"/>
      <c r="H2323" s="19"/>
      <c r="I2323" s="19"/>
      <c r="J2323" s="21"/>
      <c r="K2323" s="19"/>
    </row>
    <row r="2324" spans="3:11" x14ac:dyDescent="0.2">
      <c r="C2324" s="19"/>
      <c r="D2324" s="19"/>
      <c r="E2324" s="19"/>
      <c r="F2324" s="20"/>
      <c r="G2324" s="19"/>
      <c r="H2324" s="19"/>
      <c r="I2324" s="19"/>
      <c r="J2324" s="21"/>
      <c r="K2324" s="19"/>
    </row>
    <row r="2325" spans="3:11" x14ac:dyDescent="0.2">
      <c r="C2325" s="19"/>
      <c r="D2325" s="19"/>
      <c r="E2325" s="19"/>
      <c r="F2325" s="20"/>
      <c r="G2325" s="19"/>
      <c r="H2325" s="19"/>
      <c r="I2325" s="19"/>
      <c r="J2325" s="21"/>
      <c r="K2325" s="19"/>
    </row>
    <row r="2326" spans="3:11" x14ac:dyDescent="0.2">
      <c r="C2326" s="19"/>
      <c r="D2326" s="19"/>
      <c r="E2326" s="19"/>
      <c r="F2326" s="20"/>
      <c r="G2326" s="19"/>
      <c r="H2326" s="19"/>
      <c r="I2326" s="19"/>
      <c r="J2326" s="21"/>
      <c r="K2326" s="19"/>
    </row>
    <row r="2327" spans="3:11" x14ac:dyDescent="0.2">
      <c r="C2327" s="19"/>
      <c r="D2327" s="19"/>
      <c r="E2327" s="19"/>
      <c r="F2327" s="20"/>
      <c r="G2327" s="19"/>
      <c r="H2327" s="19"/>
      <c r="I2327" s="19"/>
      <c r="J2327" s="21"/>
      <c r="K2327" s="19"/>
    </row>
    <row r="2328" spans="3:11" x14ac:dyDescent="0.2">
      <c r="C2328" s="19"/>
      <c r="D2328" s="19"/>
      <c r="E2328" s="19"/>
      <c r="F2328" s="20"/>
      <c r="G2328" s="19"/>
      <c r="H2328" s="19"/>
      <c r="I2328" s="19"/>
      <c r="J2328" s="21"/>
      <c r="K2328" s="19"/>
    </row>
    <row r="2329" spans="3:11" x14ac:dyDescent="0.2">
      <c r="C2329" s="19"/>
      <c r="D2329" s="19"/>
      <c r="E2329" s="19"/>
      <c r="F2329" s="20"/>
      <c r="G2329" s="19"/>
      <c r="H2329" s="19"/>
      <c r="I2329" s="19"/>
      <c r="J2329" s="21"/>
      <c r="K2329" s="19"/>
    </row>
    <row r="2330" spans="3:11" x14ac:dyDescent="0.2">
      <c r="C2330" s="19"/>
      <c r="D2330" s="19"/>
      <c r="E2330" s="19"/>
      <c r="F2330" s="20"/>
      <c r="G2330" s="19"/>
      <c r="H2330" s="19"/>
      <c r="I2330" s="19"/>
      <c r="J2330" s="21"/>
      <c r="K2330" s="19"/>
    </row>
    <row r="2331" spans="3:11" x14ac:dyDescent="0.2">
      <c r="C2331" s="19"/>
      <c r="D2331" s="19"/>
      <c r="E2331" s="19"/>
      <c r="F2331" s="20"/>
      <c r="G2331" s="19"/>
      <c r="H2331" s="19"/>
      <c r="I2331" s="19"/>
      <c r="J2331" s="21"/>
      <c r="K2331" s="19"/>
    </row>
    <row r="2332" spans="3:11" x14ac:dyDescent="0.2">
      <c r="C2332" s="19"/>
      <c r="D2332" s="19"/>
      <c r="E2332" s="19"/>
      <c r="F2332" s="20"/>
      <c r="G2332" s="19"/>
      <c r="H2332" s="19"/>
      <c r="I2332" s="19"/>
      <c r="J2332" s="19"/>
      <c r="K2332" s="19"/>
    </row>
    <row r="2333" spans="3:11" x14ac:dyDescent="0.2">
      <c r="C2333" s="19"/>
      <c r="D2333" s="19"/>
      <c r="E2333" s="19"/>
      <c r="F2333" s="20"/>
      <c r="G2333" s="19"/>
      <c r="H2333" s="19"/>
      <c r="I2333" s="19"/>
      <c r="J2333" s="19"/>
      <c r="K2333" s="19"/>
    </row>
    <row r="2334" spans="3:11" x14ac:dyDescent="0.2">
      <c r="C2334" s="19"/>
      <c r="D2334" s="19"/>
      <c r="E2334" s="19"/>
      <c r="F2334" s="20"/>
      <c r="G2334" s="19"/>
      <c r="H2334" s="19"/>
      <c r="I2334" s="19"/>
      <c r="J2334" s="19"/>
      <c r="K2334" s="19"/>
    </row>
    <row r="2335" spans="3:11" x14ac:dyDescent="0.2">
      <c r="C2335" s="19"/>
      <c r="D2335" s="19"/>
      <c r="E2335" s="19"/>
      <c r="F2335" s="20"/>
      <c r="G2335" s="19"/>
      <c r="H2335" s="19"/>
      <c r="I2335" s="19"/>
      <c r="J2335" s="19"/>
      <c r="K2335" s="19"/>
    </row>
    <row r="2336" spans="3:11" x14ac:dyDescent="0.2">
      <c r="C2336" s="19"/>
      <c r="D2336" s="19"/>
      <c r="E2336" s="19"/>
      <c r="F2336" s="20"/>
      <c r="G2336" s="19"/>
      <c r="H2336" s="19"/>
      <c r="I2336" s="19"/>
      <c r="J2336" s="19"/>
      <c r="K2336" s="19"/>
    </row>
    <row r="2337" spans="3:11" x14ac:dyDescent="0.2">
      <c r="C2337" s="19"/>
      <c r="D2337" s="19"/>
      <c r="E2337" s="19"/>
      <c r="F2337" s="20"/>
      <c r="G2337" s="19"/>
      <c r="H2337" s="19"/>
      <c r="I2337" s="19"/>
      <c r="J2337" s="19"/>
      <c r="K2337" s="19"/>
    </row>
    <row r="2338" spans="3:11" x14ac:dyDescent="0.2">
      <c r="C2338" s="19"/>
      <c r="D2338" s="19"/>
      <c r="E2338" s="19"/>
      <c r="F2338" s="20"/>
      <c r="G2338" s="19"/>
      <c r="H2338" s="19"/>
      <c r="I2338" s="19"/>
      <c r="J2338" s="19"/>
      <c r="K2338" s="19"/>
    </row>
    <row r="2339" spans="3:11" x14ac:dyDescent="0.2">
      <c r="C2339" s="19"/>
      <c r="D2339" s="19"/>
      <c r="E2339" s="19"/>
      <c r="F2339" s="20"/>
      <c r="G2339" s="19"/>
      <c r="H2339" s="19"/>
      <c r="I2339" s="19"/>
      <c r="J2339" s="21"/>
      <c r="K2339" s="19"/>
    </row>
    <row r="2340" spans="3:11" x14ac:dyDescent="0.2">
      <c r="C2340" s="19"/>
      <c r="D2340" s="19"/>
      <c r="E2340" s="19"/>
      <c r="F2340" s="20"/>
      <c r="G2340" s="19"/>
      <c r="H2340" s="19"/>
      <c r="I2340" s="19"/>
      <c r="J2340" s="21"/>
      <c r="K2340" s="19"/>
    </row>
    <row r="2341" spans="3:11" x14ac:dyDescent="0.2">
      <c r="C2341" s="19"/>
      <c r="D2341" s="19"/>
      <c r="E2341" s="19"/>
      <c r="F2341" s="20"/>
      <c r="G2341" s="19"/>
      <c r="H2341" s="19"/>
      <c r="I2341" s="19"/>
      <c r="J2341" s="21"/>
      <c r="K2341" s="19"/>
    </row>
    <row r="2342" spans="3:11" x14ac:dyDescent="0.2">
      <c r="C2342" s="19"/>
      <c r="D2342" s="19"/>
      <c r="E2342" s="19"/>
      <c r="F2342" s="20"/>
      <c r="G2342" s="19"/>
      <c r="H2342" s="19"/>
      <c r="I2342" s="19"/>
      <c r="J2342" s="21"/>
      <c r="K2342" s="19"/>
    </row>
    <row r="2343" spans="3:11" x14ac:dyDescent="0.2">
      <c r="C2343" s="19"/>
      <c r="D2343" s="19"/>
      <c r="E2343" s="19"/>
      <c r="F2343" s="20"/>
      <c r="G2343" s="19"/>
      <c r="H2343" s="19"/>
      <c r="I2343" s="19"/>
      <c r="J2343" s="21"/>
      <c r="K2343" s="19"/>
    </row>
    <row r="2344" spans="3:11" x14ac:dyDescent="0.2">
      <c r="C2344" s="19"/>
      <c r="D2344" s="19"/>
      <c r="E2344" s="19"/>
      <c r="F2344" s="20"/>
      <c r="G2344" s="19"/>
      <c r="H2344" s="19"/>
      <c r="I2344" s="19"/>
      <c r="J2344" s="21"/>
      <c r="K2344" s="19"/>
    </row>
    <row r="2345" spans="3:11" x14ac:dyDescent="0.2">
      <c r="C2345" s="19"/>
      <c r="D2345" s="19"/>
      <c r="E2345" s="19"/>
      <c r="F2345" s="20"/>
      <c r="G2345" s="19"/>
      <c r="H2345" s="19"/>
      <c r="I2345" s="19"/>
      <c r="J2345" s="21"/>
      <c r="K2345" s="19"/>
    </row>
    <row r="2346" spans="3:11" x14ac:dyDescent="0.2">
      <c r="C2346" s="19"/>
      <c r="D2346" s="19"/>
      <c r="E2346" s="19"/>
      <c r="F2346" s="20"/>
      <c r="G2346" s="19"/>
      <c r="H2346" s="19"/>
      <c r="I2346" s="19"/>
      <c r="J2346" s="21"/>
      <c r="K2346" s="19"/>
    </row>
    <row r="2347" spans="3:11" x14ac:dyDescent="0.2">
      <c r="C2347" s="19"/>
      <c r="D2347" s="19"/>
      <c r="E2347" s="19"/>
      <c r="F2347" s="20"/>
      <c r="G2347" s="19"/>
      <c r="H2347" s="19"/>
      <c r="I2347" s="19"/>
      <c r="J2347" s="21"/>
      <c r="K2347" s="19"/>
    </row>
    <row r="2348" spans="3:11" x14ac:dyDescent="0.2">
      <c r="C2348" s="19"/>
      <c r="D2348" s="19"/>
      <c r="E2348" s="19"/>
      <c r="F2348" s="20"/>
      <c r="G2348" s="19"/>
      <c r="H2348" s="19"/>
      <c r="I2348" s="19"/>
      <c r="J2348" s="21"/>
      <c r="K2348" s="19"/>
    </row>
    <row r="2349" spans="3:11" x14ac:dyDescent="0.2">
      <c r="C2349" s="19"/>
      <c r="D2349" s="19"/>
      <c r="E2349" s="19"/>
      <c r="F2349" s="20"/>
      <c r="G2349" s="19"/>
      <c r="H2349" s="19"/>
      <c r="I2349" s="19"/>
      <c r="J2349" s="21"/>
      <c r="K2349" s="19"/>
    </row>
    <row r="2350" spans="3:11" x14ac:dyDescent="0.2">
      <c r="C2350" s="19"/>
      <c r="D2350" s="19"/>
      <c r="E2350" s="19"/>
      <c r="F2350" s="20"/>
      <c r="G2350" s="19"/>
      <c r="H2350" s="19"/>
      <c r="I2350" s="19"/>
      <c r="J2350" s="21"/>
      <c r="K2350" s="19"/>
    </row>
    <row r="2351" spans="3:11" x14ac:dyDescent="0.2">
      <c r="C2351" s="19"/>
      <c r="D2351" s="19"/>
      <c r="E2351" s="19"/>
      <c r="F2351" s="20"/>
      <c r="G2351" s="19"/>
      <c r="H2351" s="19"/>
      <c r="I2351" s="19"/>
      <c r="J2351" s="21"/>
      <c r="K2351" s="19"/>
    </row>
    <row r="2352" spans="3:11" x14ac:dyDescent="0.2">
      <c r="C2352" s="19"/>
      <c r="D2352" s="19"/>
      <c r="E2352" s="19"/>
      <c r="F2352" s="20"/>
      <c r="G2352" s="19"/>
      <c r="H2352" s="19"/>
      <c r="I2352" s="19"/>
      <c r="J2352" s="21"/>
      <c r="K2352" s="19"/>
    </row>
    <row r="2353" spans="3:11" x14ac:dyDescent="0.2">
      <c r="C2353" s="19"/>
      <c r="D2353" s="19"/>
      <c r="E2353" s="19"/>
      <c r="F2353" s="20"/>
      <c r="G2353" s="19"/>
      <c r="H2353" s="19"/>
      <c r="I2353" s="19"/>
      <c r="J2353" s="21"/>
      <c r="K2353" s="19"/>
    </row>
    <row r="2354" spans="3:11" x14ac:dyDescent="0.2">
      <c r="C2354" s="19"/>
      <c r="D2354" s="19"/>
      <c r="E2354" s="19"/>
      <c r="F2354" s="20"/>
      <c r="G2354" s="19"/>
      <c r="H2354" s="19"/>
      <c r="I2354" s="19"/>
      <c r="J2354" s="21"/>
      <c r="K2354" s="19"/>
    </row>
    <row r="2355" spans="3:11" x14ac:dyDescent="0.2">
      <c r="C2355" s="19"/>
      <c r="D2355" s="19"/>
      <c r="E2355" s="19"/>
      <c r="F2355" s="20"/>
      <c r="G2355" s="19"/>
      <c r="H2355" s="19"/>
      <c r="I2355" s="19"/>
      <c r="J2355" s="21"/>
      <c r="K2355" s="19"/>
    </row>
    <row r="2356" spans="3:11" x14ac:dyDescent="0.2">
      <c r="C2356" s="19"/>
      <c r="D2356" s="19"/>
      <c r="E2356" s="19"/>
      <c r="F2356" s="20"/>
      <c r="G2356" s="19"/>
      <c r="H2356" s="19"/>
      <c r="I2356" s="19"/>
      <c r="J2356" s="19"/>
      <c r="K2356" s="19"/>
    </row>
    <row r="2357" spans="3:11" x14ac:dyDescent="0.2">
      <c r="C2357" s="19"/>
      <c r="D2357" s="19"/>
      <c r="E2357" s="19"/>
      <c r="F2357" s="20"/>
      <c r="G2357" s="19"/>
      <c r="H2357" s="19"/>
      <c r="I2357" s="19"/>
      <c r="J2357" s="19"/>
      <c r="K2357" s="19"/>
    </row>
    <row r="2358" spans="3:11" x14ac:dyDescent="0.2">
      <c r="C2358" s="19"/>
      <c r="D2358" s="19"/>
      <c r="E2358" s="19"/>
      <c r="F2358" s="20"/>
      <c r="G2358" s="19"/>
      <c r="H2358" s="19"/>
      <c r="I2358" s="19"/>
      <c r="J2358" s="19"/>
      <c r="K2358" s="19"/>
    </row>
    <row r="2359" spans="3:11" x14ac:dyDescent="0.2">
      <c r="C2359" s="19"/>
      <c r="D2359" s="19"/>
      <c r="E2359" s="19"/>
      <c r="F2359" s="20"/>
      <c r="G2359" s="19"/>
      <c r="H2359" s="19"/>
      <c r="I2359" s="19"/>
      <c r="J2359" s="19"/>
      <c r="K2359" s="19"/>
    </row>
    <row r="2360" spans="3:11" x14ac:dyDescent="0.2">
      <c r="C2360" s="19"/>
      <c r="D2360" s="19"/>
      <c r="E2360" s="19"/>
      <c r="F2360" s="20"/>
      <c r="G2360" s="19"/>
      <c r="H2360" s="19"/>
      <c r="I2360" s="19"/>
      <c r="J2360" s="19"/>
      <c r="K2360" s="19"/>
    </row>
    <row r="2361" spans="3:11" x14ac:dyDescent="0.2">
      <c r="C2361" s="19"/>
      <c r="D2361" s="19"/>
      <c r="E2361" s="19"/>
      <c r="F2361" s="20"/>
      <c r="G2361" s="19"/>
      <c r="H2361" s="19"/>
      <c r="I2361" s="19"/>
      <c r="J2361" s="19"/>
      <c r="K2361" s="19"/>
    </row>
    <row r="2362" spans="3:11" x14ac:dyDescent="0.2">
      <c r="C2362" s="19"/>
      <c r="D2362" s="19"/>
      <c r="E2362" s="19"/>
      <c r="F2362" s="20"/>
      <c r="G2362" s="19"/>
      <c r="H2362" s="19"/>
      <c r="I2362" s="19"/>
      <c r="J2362" s="19"/>
      <c r="K2362" s="19"/>
    </row>
    <row r="2363" spans="3:11" x14ac:dyDescent="0.2">
      <c r="C2363" s="19"/>
      <c r="D2363" s="19"/>
      <c r="E2363" s="19"/>
      <c r="F2363" s="20"/>
      <c r="G2363" s="19"/>
      <c r="H2363" s="19"/>
      <c r="I2363" s="19"/>
      <c r="J2363" s="19"/>
      <c r="K2363" s="19"/>
    </row>
    <row r="2364" spans="3:11" x14ac:dyDescent="0.2">
      <c r="C2364" s="19"/>
      <c r="D2364" s="19"/>
      <c r="E2364" s="19"/>
      <c r="F2364" s="20"/>
      <c r="G2364" s="19"/>
      <c r="H2364" s="19"/>
      <c r="I2364" s="19"/>
      <c r="J2364" s="19"/>
      <c r="K2364" s="19"/>
    </row>
    <row r="2365" spans="3:11" x14ac:dyDescent="0.2">
      <c r="C2365" s="19"/>
      <c r="D2365" s="19"/>
      <c r="E2365" s="19"/>
      <c r="F2365" s="20"/>
      <c r="G2365" s="19"/>
      <c r="H2365" s="19"/>
      <c r="I2365" s="19"/>
      <c r="J2365" s="19"/>
      <c r="K2365" s="19"/>
    </row>
    <row r="2366" spans="3:11" x14ac:dyDescent="0.2">
      <c r="C2366" s="19"/>
      <c r="D2366" s="19"/>
      <c r="E2366" s="19"/>
      <c r="F2366" s="20"/>
      <c r="G2366" s="19"/>
      <c r="H2366" s="19"/>
      <c r="I2366" s="19"/>
      <c r="J2366" s="19"/>
      <c r="K2366" s="19"/>
    </row>
    <row r="2367" spans="3:11" x14ac:dyDescent="0.2">
      <c r="C2367" s="19"/>
      <c r="D2367" s="19"/>
      <c r="E2367" s="19"/>
      <c r="F2367" s="20"/>
      <c r="G2367" s="19"/>
      <c r="H2367" s="19"/>
      <c r="I2367" s="19"/>
      <c r="J2367" s="19"/>
      <c r="K2367" s="19"/>
    </row>
    <row r="2368" spans="3:11" x14ac:dyDescent="0.2">
      <c r="C2368" s="19"/>
      <c r="D2368" s="19"/>
      <c r="E2368" s="19"/>
      <c r="F2368" s="20"/>
      <c r="G2368" s="19"/>
      <c r="H2368" s="19"/>
      <c r="I2368" s="19"/>
      <c r="J2368" s="19"/>
      <c r="K2368" s="19"/>
    </row>
    <row r="2369" spans="3:11" x14ac:dyDescent="0.2">
      <c r="C2369" s="19"/>
      <c r="D2369" s="19"/>
      <c r="E2369" s="19"/>
      <c r="F2369" s="20"/>
      <c r="G2369" s="19"/>
      <c r="H2369" s="19"/>
      <c r="I2369" s="19"/>
      <c r="J2369" s="19"/>
      <c r="K2369" s="19"/>
    </row>
    <row r="2370" spans="3:11" x14ac:dyDescent="0.2">
      <c r="C2370" s="19"/>
      <c r="D2370" s="19"/>
      <c r="E2370" s="19"/>
      <c r="F2370" s="20"/>
      <c r="G2370" s="19"/>
      <c r="H2370" s="19"/>
      <c r="I2370" s="19"/>
      <c r="J2370" s="19"/>
      <c r="K2370" s="19"/>
    </row>
    <row r="2371" spans="3:11" x14ac:dyDescent="0.2">
      <c r="C2371" s="19"/>
      <c r="D2371" s="19"/>
      <c r="E2371" s="19"/>
      <c r="F2371" s="20"/>
      <c r="G2371" s="19"/>
      <c r="H2371" s="19"/>
      <c r="I2371" s="19"/>
      <c r="J2371" s="19"/>
      <c r="K2371" s="19"/>
    </row>
    <row r="2372" spans="3:11" x14ac:dyDescent="0.2">
      <c r="C2372" s="19"/>
      <c r="D2372" s="19"/>
      <c r="E2372" s="19"/>
      <c r="F2372" s="20"/>
      <c r="G2372" s="19"/>
      <c r="H2372" s="19"/>
      <c r="I2372" s="19"/>
      <c r="J2372" s="19"/>
      <c r="K2372" s="19"/>
    </row>
    <row r="2373" spans="3:11" x14ac:dyDescent="0.2">
      <c r="C2373" s="19"/>
      <c r="D2373" s="19"/>
      <c r="E2373" s="19"/>
      <c r="F2373" s="20"/>
      <c r="G2373" s="19"/>
      <c r="H2373" s="19"/>
      <c r="I2373" s="19"/>
      <c r="J2373" s="19"/>
      <c r="K2373" s="19"/>
    </row>
    <row r="2374" spans="3:11" x14ac:dyDescent="0.2">
      <c r="C2374" s="19"/>
      <c r="D2374" s="19"/>
      <c r="E2374" s="19"/>
      <c r="F2374" s="20"/>
      <c r="G2374" s="19"/>
      <c r="H2374" s="19"/>
      <c r="I2374" s="19"/>
      <c r="J2374" s="19"/>
      <c r="K2374" s="19"/>
    </row>
    <row r="2375" spans="3:11" x14ac:dyDescent="0.2">
      <c r="C2375" s="19"/>
      <c r="D2375" s="19"/>
      <c r="E2375" s="19"/>
      <c r="F2375" s="20"/>
      <c r="G2375" s="19"/>
      <c r="H2375" s="19"/>
      <c r="I2375" s="19"/>
      <c r="J2375" s="19"/>
      <c r="K2375" s="19"/>
    </row>
    <row r="2376" spans="3:11" x14ac:dyDescent="0.2">
      <c r="C2376" s="19"/>
      <c r="D2376" s="19"/>
      <c r="E2376" s="19"/>
      <c r="F2376" s="20"/>
      <c r="G2376" s="19"/>
      <c r="H2376" s="19"/>
      <c r="I2376" s="19"/>
      <c r="J2376" s="19"/>
      <c r="K2376" s="19"/>
    </row>
    <row r="2377" spans="3:11" x14ac:dyDescent="0.2">
      <c r="C2377" s="19"/>
      <c r="D2377" s="19"/>
      <c r="E2377" s="19"/>
      <c r="F2377" s="20"/>
      <c r="G2377" s="19"/>
      <c r="H2377" s="19"/>
      <c r="I2377" s="19"/>
      <c r="J2377" s="19"/>
      <c r="K2377" s="19"/>
    </row>
    <row r="2378" spans="3:11" x14ac:dyDescent="0.2">
      <c r="C2378" s="19"/>
      <c r="D2378" s="19"/>
      <c r="E2378" s="19"/>
      <c r="F2378" s="20"/>
      <c r="G2378" s="19"/>
      <c r="H2378" s="19"/>
      <c r="I2378" s="19"/>
      <c r="J2378" s="19"/>
      <c r="K2378" s="19"/>
    </row>
    <row r="2379" spans="3:11" x14ac:dyDescent="0.2">
      <c r="C2379" s="19"/>
      <c r="D2379" s="19"/>
      <c r="E2379" s="19"/>
      <c r="F2379" s="20"/>
      <c r="G2379" s="19"/>
      <c r="H2379" s="19"/>
      <c r="I2379" s="19"/>
      <c r="J2379" s="19"/>
      <c r="K2379" s="19"/>
    </row>
    <row r="2380" spans="3:11" x14ac:dyDescent="0.2">
      <c r="C2380" s="19"/>
      <c r="D2380" s="19"/>
      <c r="E2380" s="19"/>
      <c r="F2380" s="20"/>
      <c r="G2380" s="19"/>
      <c r="H2380" s="19"/>
      <c r="I2380" s="19"/>
      <c r="J2380" s="19"/>
      <c r="K2380" s="19"/>
    </row>
    <row r="2381" spans="3:11" x14ac:dyDescent="0.2">
      <c r="C2381" s="19"/>
      <c r="D2381" s="19"/>
      <c r="E2381" s="19"/>
      <c r="F2381" s="20"/>
      <c r="G2381" s="19"/>
      <c r="H2381" s="19"/>
      <c r="I2381" s="19"/>
      <c r="J2381" s="19"/>
      <c r="K2381" s="19"/>
    </row>
    <row r="2382" spans="3:11" x14ac:dyDescent="0.2">
      <c r="C2382" s="19"/>
      <c r="D2382" s="19"/>
      <c r="E2382" s="19"/>
      <c r="F2382" s="20"/>
      <c r="G2382" s="19"/>
      <c r="H2382" s="19"/>
      <c r="I2382" s="19"/>
      <c r="J2382" s="19"/>
      <c r="K2382" s="19"/>
    </row>
    <row r="2383" spans="3:11" x14ac:dyDescent="0.2">
      <c r="C2383" s="19"/>
      <c r="D2383" s="19"/>
      <c r="E2383" s="19"/>
      <c r="F2383" s="20"/>
      <c r="G2383" s="19"/>
      <c r="H2383" s="19"/>
      <c r="I2383" s="19"/>
      <c r="J2383" s="19"/>
      <c r="K2383" s="19"/>
    </row>
    <row r="2384" spans="3:11" x14ac:dyDescent="0.2">
      <c r="C2384" s="19"/>
      <c r="D2384" s="19"/>
      <c r="E2384" s="19"/>
      <c r="F2384" s="20"/>
      <c r="G2384" s="19"/>
      <c r="H2384" s="19"/>
      <c r="I2384" s="19"/>
      <c r="J2384" s="19"/>
      <c r="K2384" s="19"/>
    </row>
    <row r="2385" spans="3:11" x14ac:dyDescent="0.2">
      <c r="C2385" s="19"/>
      <c r="D2385" s="19"/>
      <c r="E2385" s="19"/>
      <c r="F2385" s="20"/>
      <c r="G2385" s="19"/>
      <c r="H2385" s="19"/>
      <c r="I2385" s="19"/>
      <c r="J2385" s="19"/>
      <c r="K2385" s="19"/>
    </row>
    <row r="2386" spans="3:11" x14ac:dyDescent="0.2">
      <c r="C2386" s="19"/>
      <c r="D2386" s="19"/>
      <c r="E2386" s="19"/>
      <c r="F2386" s="20"/>
      <c r="G2386" s="19"/>
      <c r="H2386" s="19"/>
      <c r="I2386" s="19"/>
      <c r="J2386" s="19"/>
      <c r="K2386" s="19"/>
    </row>
    <row r="2387" spans="3:11" x14ac:dyDescent="0.2">
      <c r="C2387" s="19"/>
      <c r="D2387" s="19"/>
      <c r="E2387" s="19"/>
      <c r="F2387" s="20"/>
      <c r="G2387" s="19"/>
      <c r="H2387" s="19"/>
      <c r="I2387" s="19"/>
      <c r="J2387" s="19"/>
      <c r="K2387" s="19"/>
    </row>
    <row r="2388" spans="3:11" x14ac:dyDescent="0.2">
      <c r="C2388" s="19"/>
      <c r="D2388" s="19"/>
      <c r="E2388" s="19"/>
      <c r="F2388" s="20"/>
      <c r="G2388" s="19"/>
      <c r="H2388" s="19"/>
      <c r="I2388" s="19"/>
      <c r="J2388" s="19"/>
      <c r="K2388" s="19"/>
    </row>
    <row r="2389" spans="3:11" x14ac:dyDescent="0.2">
      <c r="C2389" s="19"/>
      <c r="D2389" s="19"/>
      <c r="E2389" s="19"/>
      <c r="F2389" s="20"/>
      <c r="G2389" s="19"/>
      <c r="H2389" s="19"/>
      <c r="I2389" s="19"/>
      <c r="J2389" s="19"/>
      <c r="K2389" s="19"/>
    </row>
    <row r="2390" spans="3:11" x14ac:dyDescent="0.2">
      <c r="C2390" s="19"/>
      <c r="D2390" s="19"/>
      <c r="E2390" s="19"/>
      <c r="F2390" s="20"/>
      <c r="G2390" s="19"/>
      <c r="H2390" s="19"/>
      <c r="I2390" s="19"/>
      <c r="J2390" s="19"/>
      <c r="K2390" s="19"/>
    </row>
    <row r="2391" spans="3:11" x14ac:dyDescent="0.2">
      <c r="C2391" s="19"/>
      <c r="D2391" s="19"/>
      <c r="E2391" s="19"/>
      <c r="F2391" s="20"/>
      <c r="G2391" s="19"/>
      <c r="H2391" s="19"/>
      <c r="I2391" s="19"/>
      <c r="J2391" s="21"/>
      <c r="K2391" s="19"/>
    </row>
    <row r="2392" spans="3:11" x14ac:dyDescent="0.2">
      <c r="C2392" s="19"/>
      <c r="D2392" s="19"/>
      <c r="E2392" s="19"/>
      <c r="F2392" s="20"/>
      <c r="G2392" s="19"/>
      <c r="H2392" s="19"/>
      <c r="I2392" s="19"/>
      <c r="J2392" s="19"/>
      <c r="K2392" s="19"/>
    </row>
    <row r="2393" spans="3:11" x14ac:dyDescent="0.2">
      <c r="C2393" s="19"/>
      <c r="D2393" s="19"/>
      <c r="E2393" s="19"/>
      <c r="F2393" s="20"/>
      <c r="G2393" s="19"/>
      <c r="H2393" s="19"/>
      <c r="I2393" s="19"/>
      <c r="J2393" s="19"/>
      <c r="K2393" s="19"/>
    </row>
    <row r="2394" spans="3:11" x14ac:dyDescent="0.2">
      <c r="C2394" s="19"/>
      <c r="D2394" s="19"/>
      <c r="E2394" s="19"/>
      <c r="F2394" s="20"/>
      <c r="G2394" s="19"/>
      <c r="H2394" s="19"/>
      <c r="I2394" s="19"/>
      <c r="J2394" s="19"/>
      <c r="K2394" s="19"/>
    </row>
    <row r="2395" spans="3:11" x14ac:dyDescent="0.2">
      <c r="C2395" s="19"/>
      <c r="D2395" s="19"/>
      <c r="E2395" s="19"/>
      <c r="F2395" s="20"/>
      <c r="G2395" s="19"/>
      <c r="H2395" s="19"/>
      <c r="I2395" s="19"/>
      <c r="J2395" s="19"/>
      <c r="K2395" s="19"/>
    </row>
    <row r="2396" spans="3:11" x14ac:dyDescent="0.2">
      <c r="C2396" s="19"/>
      <c r="D2396" s="19"/>
      <c r="E2396" s="19"/>
      <c r="F2396" s="20"/>
      <c r="G2396" s="19"/>
      <c r="H2396" s="19"/>
      <c r="I2396" s="19"/>
      <c r="J2396" s="19"/>
      <c r="K2396" s="19"/>
    </row>
    <row r="2397" spans="3:11" x14ac:dyDescent="0.2">
      <c r="C2397" s="19"/>
      <c r="D2397" s="19"/>
      <c r="E2397" s="19"/>
      <c r="F2397" s="20"/>
      <c r="G2397" s="19"/>
      <c r="H2397" s="19"/>
      <c r="I2397" s="19"/>
      <c r="J2397" s="19"/>
      <c r="K2397" s="19"/>
    </row>
    <row r="2398" spans="3:11" x14ac:dyDescent="0.2">
      <c r="C2398" s="19"/>
      <c r="D2398" s="19"/>
      <c r="E2398" s="19"/>
      <c r="F2398" s="20"/>
      <c r="G2398" s="19"/>
      <c r="H2398" s="19"/>
      <c r="I2398" s="19"/>
      <c r="J2398" s="19"/>
      <c r="K2398" s="19"/>
    </row>
    <row r="2399" spans="3:11" x14ac:dyDescent="0.2">
      <c r="C2399" s="19"/>
      <c r="D2399" s="19"/>
      <c r="E2399" s="19"/>
      <c r="F2399" s="20"/>
      <c r="G2399" s="19"/>
      <c r="H2399" s="19"/>
      <c r="I2399" s="19"/>
      <c r="J2399" s="19"/>
      <c r="K2399" s="19"/>
    </row>
    <row r="2400" spans="3:11" x14ac:dyDescent="0.2">
      <c r="C2400" s="19"/>
      <c r="D2400" s="19"/>
      <c r="E2400" s="19"/>
      <c r="F2400" s="20"/>
      <c r="G2400" s="19"/>
      <c r="H2400" s="19"/>
      <c r="I2400" s="19"/>
      <c r="J2400" s="19"/>
      <c r="K2400" s="19"/>
    </row>
    <row r="2401" spans="3:11" x14ac:dyDescent="0.2">
      <c r="C2401" s="19"/>
      <c r="D2401" s="19"/>
      <c r="E2401" s="19"/>
      <c r="F2401" s="20"/>
      <c r="G2401" s="19"/>
      <c r="H2401" s="19"/>
      <c r="I2401" s="19"/>
      <c r="J2401" s="19"/>
      <c r="K2401" s="19"/>
    </row>
    <row r="2402" spans="3:11" x14ac:dyDescent="0.2">
      <c r="C2402" s="19"/>
      <c r="D2402" s="19"/>
      <c r="E2402" s="19"/>
      <c r="F2402" s="20"/>
      <c r="G2402" s="19"/>
      <c r="H2402" s="19"/>
      <c r="I2402" s="19"/>
      <c r="J2402" s="19"/>
      <c r="K2402" s="19"/>
    </row>
    <row r="2403" spans="3:11" x14ac:dyDescent="0.2">
      <c r="C2403" s="19"/>
      <c r="D2403" s="19"/>
      <c r="E2403" s="19"/>
      <c r="F2403" s="20"/>
      <c r="G2403" s="19"/>
      <c r="H2403" s="19"/>
      <c r="I2403" s="19"/>
      <c r="J2403" s="19"/>
      <c r="K2403" s="19"/>
    </row>
    <row r="2404" spans="3:11" x14ac:dyDescent="0.2">
      <c r="C2404" s="19"/>
      <c r="D2404" s="19"/>
      <c r="E2404" s="19"/>
      <c r="F2404" s="20"/>
      <c r="G2404" s="19"/>
      <c r="H2404" s="19"/>
      <c r="I2404" s="19"/>
      <c r="J2404" s="19"/>
      <c r="K2404" s="19"/>
    </row>
    <row r="2405" spans="3:11" x14ac:dyDescent="0.2">
      <c r="C2405" s="19"/>
      <c r="D2405" s="19"/>
      <c r="E2405" s="19"/>
      <c r="F2405" s="20"/>
      <c r="G2405" s="19"/>
      <c r="H2405" s="19"/>
      <c r="I2405" s="19"/>
      <c r="J2405" s="19"/>
      <c r="K2405" s="19"/>
    </row>
    <row r="2406" spans="3:11" x14ac:dyDescent="0.2">
      <c r="C2406" s="19"/>
      <c r="D2406" s="19"/>
      <c r="E2406" s="19"/>
      <c r="F2406" s="20"/>
      <c r="G2406" s="19"/>
      <c r="H2406" s="19"/>
      <c r="I2406" s="19"/>
      <c r="J2406" s="19"/>
      <c r="K2406" s="19"/>
    </row>
    <row r="2407" spans="3:11" x14ac:dyDescent="0.2">
      <c r="C2407" s="19"/>
      <c r="D2407" s="19"/>
      <c r="E2407" s="19"/>
      <c r="F2407" s="20"/>
      <c r="G2407" s="19"/>
      <c r="H2407" s="19"/>
      <c r="I2407" s="19"/>
      <c r="J2407" s="19"/>
      <c r="K2407" s="19"/>
    </row>
    <row r="2408" spans="3:11" x14ac:dyDescent="0.2">
      <c r="C2408" s="19"/>
      <c r="D2408" s="19"/>
      <c r="E2408" s="19"/>
      <c r="F2408" s="20"/>
      <c r="G2408" s="19"/>
      <c r="H2408" s="19"/>
      <c r="I2408" s="19"/>
      <c r="J2408" s="19"/>
      <c r="K2408" s="19"/>
    </row>
    <row r="2409" spans="3:11" x14ac:dyDescent="0.2">
      <c r="C2409" s="19"/>
      <c r="D2409" s="19"/>
      <c r="E2409" s="19"/>
      <c r="F2409" s="20"/>
      <c r="G2409" s="19"/>
      <c r="H2409" s="19"/>
      <c r="I2409" s="19"/>
      <c r="J2409" s="19"/>
      <c r="K2409" s="19"/>
    </row>
    <row r="2410" spans="3:11" x14ac:dyDescent="0.2">
      <c r="C2410" s="19"/>
      <c r="D2410" s="19"/>
      <c r="E2410" s="19"/>
      <c r="F2410" s="20"/>
      <c r="G2410" s="19"/>
      <c r="H2410" s="19"/>
      <c r="I2410" s="19"/>
      <c r="J2410" s="19"/>
      <c r="K2410" s="19"/>
    </row>
    <row r="2411" spans="3:11" x14ac:dyDescent="0.2">
      <c r="C2411" s="19"/>
      <c r="D2411" s="19"/>
      <c r="E2411" s="19"/>
      <c r="F2411" s="20"/>
      <c r="G2411" s="19"/>
      <c r="H2411" s="19"/>
      <c r="I2411" s="19"/>
      <c r="J2411" s="19"/>
      <c r="K2411" s="19"/>
    </row>
    <row r="2412" spans="3:11" x14ac:dyDescent="0.2">
      <c r="C2412" s="19"/>
      <c r="D2412" s="19"/>
      <c r="E2412" s="19"/>
      <c r="F2412" s="20"/>
      <c r="G2412" s="19"/>
      <c r="H2412" s="19"/>
      <c r="I2412" s="19"/>
      <c r="J2412" s="19"/>
      <c r="K2412" s="19"/>
    </row>
    <row r="2413" spans="3:11" x14ac:dyDescent="0.2">
      <c r="C2413" s="19"/>
      <c r="D2413" s="19"/>
      <c r="E2413" s="19"/>
      <c r="F2413" s="20"/>
      <c r="G2413" s="19"/>
      <c r="H2413" s="19"/>
      <c r="I2413" s="19"/>
      <c r="J2413" s="19"/>
      <c r="K2413" s="19"/>
    </row>
    <row r="2414" spans="3:11" x14ac:dyDescent="0.2">
      <c r="C2414" s="19"/>
      <c r="D2414" s="19"/>
      <c r="E2414" s="19"/>
      <c r="F2414" s="20"/>
      <c r="G2414" s="19"/>
      <c r="H2414" s="19"/>
      <c r="I2414" s="19"/>
      <c r="J2414" s="19"/>
      <c r="K2414" s="19"/>
    </row>
    <row r="2415" spans="3:11" x14ac:dyDescent="0.2">
      <c r="C2415" s="19"/>
      <c r="D2415" s="19"/>
      <c r="E2415" s="19"/>
      <c r="F2415" s="20"/>
      <c r="G2415" s="19"/>
      <c r="H2415" s="19"/>
      <c r="I2415" s="19"/>
      <c r="J2415" s="19"/>
      <c r="K2415" s="19"/>
    </row>
    <row r="2416" spans="3:11" x14ac:dyDescent="0.2">
      <c r="C2416" s="19"/>
      <c r="D2416" s="19"/>
      <c r="E2416" s="19"/>
      <c r="F2416" s="20"/>
      <c r="G2416" s="19"/>
      <c r="H2416" s="19"/>
      <c r="I2416" s="19"/>
      <c r="J2416" s="19"/>
      <c r="K2416" s="19"/>
    </row>
    <row r="2417" spans="3:11" x14ac:dyDescent="0.2">
      <c r="C2417" s="19"/>
      <c r="D2417" s="19"/>
      <c r="E2417" s="19"/>
      <c r="F2417" s="20"/>
      <c r="G2417" s="19"/>
      <c r="H2417" s="19"/>
      <c r="I2417" s="19"/>
      <c r="J2417" s="19"/>
      <c r="K2417" s="19"/>
    </row>
    <row r="2418" spans="3:11" x14ac:dyDescent="0.2">
      <c r="C2418" s="19"/>
      <c r="D2418" s="19"/>
      <c r="E2418" s="19"/>
      <c r="F2418" s="20"/>
      <c r="G2418" s="19"/>
      <c r="H2418" s="19"/>
      <c r="I2418" s="19"/>
      <c r="J2418" s="19"/>
      <c r="K2418" s="19"/>
    </row>
    <row r="2419" spans="3:11" x14ac:dyDescent="0.2">
      <c r="C2419" s="19"/>
      <c r="D2419" s="19"/>
      <c r="E2419" s="19"/>
      <c r="F2419" s="20"/>
      <c r="G2419" s="19"/>
      <c r="H2419" s="19"/>
      <c r="I2419" s="19"/>
      <c r="J2419" s="19"/>
      <c r="K2419" s="19"/>
    </row>
    <row r="2420" spans="3:11" x14ac:dyDescent="0.2">
      <c r="C2420" s="19"/>
      <c r="D2420" s="19"/>
      <c r="E2420" s="19"/>
      <c r="F2420" s="20"/>
      <c r="G2420" s="19"/>
      <c r="H2420" s="19"/>
      <c r="I2420" s="19"/>
      <c r="J2420" s="21"/>
      <c r="K2420" s="19"/>
    </row>
    <row r="2421" spans="3:11" x14ac:dyDescent="0.2">
      <c r="C2421" s="19"/>
      <c r="D2421" s="19"/>
      <c r="E2421" s="19"/>
      <c r="F2421" s="20"/>
      <c r="G2421" s="19"/>
      <c r="H2421" s="19"/>
      <c r="I2421" s="19"/>
      <c r="J2421" s="21"/>
      <c r="K2421" s="19"/>
    </row>
    <row r="2422" spans="3:11" x14ac:dyDescent="0.2">
      <c r="C2422" s="19"/>
      <c r="D2422" s="19"/>
      <c r="E2422" s="19"/>
      <c r="F2422" s="20"/>
      <c r="G2422" s="19"/>
      <c r="H2422" s="19"/>
      <c r="I2422" s="19"/>
      <c r="J2422" s="21"/>
      <c r="K2422" s="19"/>
    </row>
    <row r="2423" spans="3:11" x14ac:dyDescent="0.2">
      <c r="C2423" s="19"/>
      <c r="D2423" s="19"/>
      <c r="E2423" s="19"/>
      <c r="F2423" s="20"/>
      <c r="G2423" s="19"/>
      <c r="H2423" s="19"/>
      <c r="I2423" s="19"/>
      <c r="J2423" s="21"/>
      <c r="K2423" s="19"/>
    </row>
    <row r="2424" spans="3:11" x14ac:dyDescent="0.2">
      <c r="C2424" s="19"/>
      <c r="D2424" s="19"/>
      <c r="E2424" s="19"/>
      <c r="F2424" s="20"/>
      <c r="G2424" s="19"/>
      <c r="H2424" s="19"/>
      <c r="I2424" s="19"/>
      <c r="J2424" s="21"/>
      <c r="K2424" s="19"/>
    </row>
    <row r="2425" spans="3:11" x14ac:dyDescent="0.2">
      <c r="C2425" s="19"/>
      <c r="D2425" s="19"/>
      <c r="E2425" s="19"/>
      <c r="F2425" s="20"/>
      <c r="G2425" s="19"/>
      <c r="H2425" s="19"/>
      <c r="I2425" s="19"/>
      <c r="J2425" s="21"/>
      <c r="K2425" s="19"/>
    </row>
    <row r="2426" spans="3:11" x14ac:dyDescent="0.2">
      <c r="C2426" s="19"/>
      <c r="D2426" s="19"/>
      <c r="E2426" s="19"/>
      <c r="F2426" s="20"/>
      <c r="G2426" s="19"/>
      <c r="H2426" s="19"/>
      <c r="I2426" s="19"/>
      <c r="J2426" s="21"/>
      <c r="K2426" s="19"/>
    </row>
    <row r="2427" spans="3:11" x14ac:dyDescent="0.2">
      <c r="C2427" s="19"/>
      <c r="D2427" s="19"/>
      <c r="E2427" s="19"/>
      <c r="F2427" s="20"/>
      <c r="G2427" s="19"/>
      <c r="H2427" s="19"/>
      <c r="I2427" s="19"/>
      <c r="J2427" s="21"/>
      <c r="K2427" s="19"/>
    </row>
    <row r="2428" spans="3:11" x14ac:dyDescent="0.2">
      <c r="C2428" s="19"/>
      <c r="D2428" s="19"/>
      <c r="E2428" s="19"/>
      <c r="F2428" s="20"/>
      <c r="G2428" s="19"/>
      <c r="H2428" s="19"/>
      <c r="I2428" s="19"/>
      <c r="J2428" s="21"/>
      <c r="K2428" s="19"/>
    </row>
    <row r="2429" spans="3:11" x14ac:dyDescent="0.2">
      <c r="C2429" s="19"/>
      <c r="D2429" s="19"/>
      <c r="E2429" s="19"/>
      <c r="F2429" s="20"/>
      <c r="G2429" s="19"/>
      <c r="H2429" s="19"/>
      <c r="I2429" s="19"/>
      <c r="J2429" s="21"/>
      <c r="K2429" s="19"/>
    </row>
    <row r="2430" spans="3:11" x14ac:dyDescent="0.2">
      <c r="C2430" s="19"/>
      <c r="D2430" s="19"/>
      <c r="E2430" s="19"/>
      <c r="F2430" s="20"/>
      <c r="G2430" s="19"/>
      <c r="H2430" s="19"/>
      <c r="I2430" s="19"/>
      <c r="J2430" s="21"/>
      <c r="K2430" s="19"/>
    </row>
    <row r="2431" spans="3:11" x14ac:dyDescent="0.2">
      <c r="C2431" s="19"/>
      <c r="D2431" s="19"/>
      <c r="E2431" s="19"/>
      <c r="F2431" s="20"/>
      <c r="G2431" s="19"/>
      <c r="H2431" s="19"/>
      <c r="I2431" s="19"/>
      <c r="J2431" s="21"/>
      <c r="K2431" s="19"/>
    </row>
    <row r="2432" spans="3:11" x14ac:dyDescent="0.2">
      <c r="C2432" s="19"/>
      <c r="D2432" s="19"/>
      <c r="E2432" s="19"/>
      <c r="F2432" s="20"/>
      <c r="G2432" s="19"/>
      <c r="H2432" s="19"/>
      <c r="I2432" s="19"/>
      <c r="J2432" s="21"/>
      <c r="K2432" s="19"/>
    </row>
    <row r="2433" spans="3:11" x14ac:dyDescent="0.2">
      <c r="C2433" s="19"/>
      <c r="D2433" s="19"/>
      <c r="E2433" s="19"/>
      <c r="F2433" s="20"/>
      <c r="G2433" s="19"/>
      <c r="H2433" s="19"/>
      <c r="I2433" s="19"/>
      <c r="J2433" s="21"/>
      <c r="K2433" s="19"/>
    </row>
    <row r="2434" spans="3:11" x14ac:dyDescent="0.2">
      <c r="C2434" s="19"/>
      <c r="D2434" s="19"/>
      <c r="E2434" s="19"/>
      <c r="F2434" s="20"/>
      <c r="G2434" s="19"/>
      <c r="H2434" s="19"/>
      <c r="I2434" s="19"/>
      <c r="J2434" s="21"/>
      <c r="K2434" s="19"/>
    </row>
    <row r="2435" spans="3:11" x14ac:dyDescent="0.2">
      <c r="C2435" s="19"/>
      <c r="D2435" s="19"/>
      <c r="E2435" s="19"/>
      <c r="F2435" s="20"/>
      <c r="G2435" s="19"/>
      <c r="H2435" s="19"/>
      <c r="I2435" s="19"/>
      <c r="J2435" s="21"/>
      <c r="K2435" s="19"/>
    </row>
    <row r="2436" spans="3:11" x14ac:dyDescent="0.2">
      <c r="C2436" s="19"/>
      <c r="D2436" s="19"/>
      <c r="E2436" s="19"/>
      <c r="F2436" s="20"/>
      <c r="G2436" s="19"/>
      <c r="H2436" s="19"/>
      <c r="I2436" s="19"/>
      <c r="J2436" s="21"/>
      <c r="K2436" s="19"/>
    </row>
    <row r="2437" spans="3:11" x14ac:dyDescent="0.2">
      <c r="C2437" s="19"/>
      <c r="D2437" s="19"/>
      <c r="E2437" s="19"/>
      <c r="F2437" s="20"/>
      <c r="G2437" s="19"/>
      <c r="H2437" s="19"/>
      <c r="I2437" s="19"/>
      <c r="J2437" s="21"/>
      <c r="K2437" s="19"/>
    </row>
    <row r="2438" spans="3:11" x14ac:dyDescent="0.2">
      <c r="C2438" s="19"/>
      <c r="D2438" s="19"/>
      <c r="E2438" s="19"/>
      <c r="F2438" s="20"/>
      <c r="G2438" s="19"/>
      <c r="H2438" s="19"/>
      <c r="I2438" s="19"/>
      <c r="J2438" s="21"/>
      <c r="K2438" s="19"/>
    </row>
    <row r="2439" spans="3:11" x14ac:dyDescent="0.2">
      <c r="C2439" s="19"/>
      <c r="D2439" s="19"/>
      <c r="E2439" s="19"/>
      <c r="F2439" s="20"/>
      <c r="G2439" s="19"/>
      <c r="H2439" s="19"/>
      <c r="I2439" s="19"/>
      <c r="J2439" s="21"/>
      <c r="K2439" s="19"/>
    </row>
    <row r="2440" spans="3:11" x14ac:dyDescent="0.2">
      <c r="C2440" s="19"/>
      <c r="D2440" s="19"/>
      <c r="E2440" s="19"/>
      <c r="F2440" s="20"/>
      <c r="G2440" s="19"/>
      <c r="H2440" s="19"/>
      <c r="I2440" s="19"/>
      <c r="J2440" s="21"/>
      <c r="K2440" s="19"/>
    </row>
    <row r="2441" spans="3:11" x14ac:dyDescent="0.2">
      <c r="C2441" s="19"/>
      <c r="D2441" s="19"/>
      <c r="E2441" s="19"/>
      <c r="F2441" s="20"/>
      <c r="G2441" s="19"/>
      <c r="H2441" s="19"/>
      <c r="I2441" s="19"/>
      <c r="J2441" s="21"/>
      <c r="K2441" s="19"/>
    </row>
    <row r="2442" spans="3:11" x14ac:dyDescent="0.2">
      <c r="C2442" s="19"/>
      <c r="D2442" s="19"/>
      <c r="E2442" s="19"/>
      <c r="F2442" s="20"/>
      <c r="G2442" s="19"/>
      <c r="H2442" s="19"/>
      <c r="I2442" s="19"/>
      <c r="J2442" s="21"/>
      <c r="K2442" s="19"/>
    </row>
    <row r="2443" spans="3:11" x14ac:dyDescent="0.2">
      <c r="C2443" s="19"/>
      <c r="D2443" s="19"/>
      <c r="E2443" s="19"/>
      <c r="F2443" s="20"/>
      <c r="G2443" s="19"/>
      <c r="H2443" s="19"/>
      <c r="I2443" s="19"/>
      <c r="J2443" s="21"/>
      <c r="K2443" s="19"/>
    </row>
    <row r="2444" spans="3:11" x14ac:dyDescent="0.2">
      <c r="C2444" s="19"/>
      <c r="D2444" s="19"/>
      <c r="E2444" s="19"/>
      <c r="F2444" s="20"/>
      <c r="G2444" s="19"/>
      <c r="H2444" s="19"/>
      <c r="I2444" s="19"/>
      <c r="J2444" s="21"/>
      <c r="K2444" s="19"/>
    </row>
    <row r="2445" spans="3:11" x14ac:dyDescent="0.2">
      <c r="C2445" s="19"/>
      <c r="D2445" s="19"/>
      <c r="E2445" s="19"/>
      <c r="F2445" s="20"/>
      <c r="G2445" s="19"/>
      <c r="H2445" s="19"/>
      <c r="I2445" s="19"/>
      <c r="J2445" s="19"/>
      <c r="K2445" s="19"/>
    </row>
    <row r="2446" spans="3:11" x14ac:dyDescent="0.2">
      <c r="C2446" s="19"/>
      <c r="D2446" s="19"/>
      <c r="E2446" s="19"/>
      <c r="F2446" s="20"/>
      <c r="G2446" s="19"/>
      <c r="H2446" s="19"/>
      <c r="I2446" s="19"/>
      <c r="J2446" s="19"/>
      <c r="K2446" s="19"/>
    </row>
    <row r="2447" spans="3:11" x14ac:dyDescent="0.2">
      <c r="C2447" s="19"/>
      <c r="D2447" s="19"/>
      <c r="E2447" s="19"/>
      <c r="F2447" s="20"/>
      <c r="G2447" s="19"/>
      <c r="H2447" s="19"/>
      <c r="I2447" s="19"/>
      <c r="J2447" s="19"/>
      <c r="K2447" s="19"/>
    </row>
    <row r="2448" spans="3:11" x14ac:dyDescent="0.2">
      <c r="C2448" s="19"/>
      <c r="D2448" s="19"/>
      <c r="E2448" s="19"/>
      <c r="F2448" s="20"/>
      <c r="G2448" s="19"/>
      <c r="H2448" s="19"/>
      <c r="I2448" s="19"/>
      <c r="J2448" s="21"/>
      <c r="K2448" s="19"/>
    </row>
    <row r="2449" spans="3:11" x14ac:dyDescent="0.2">
      <c r="C2449" s="19"/>
      <c r="D2449" s="19"/>
      <c r="E2449" s="19"/>
      <c r="F2449" s="20"/>
      <c r="G2449" s="19"/>
      <c r="H2449" s="19"/>
      <c r="I2449" s="19"/>
      <c r="J2449" s="19"/>
      <c r="K2449" s="19"/>
    </row>
    <row r="2450" spans="3:11" x14ac:dyDescent="0.2">
      <c r="C2450" s="19"/>
      <c r="D2450" s="19"/>
      <c r="E2450" s="19"/>
      <c r="F2450" s="20"/>
      <c r="G2450" s="19"/>
      <c r="H2450" s="19"/>
      <c r="I2450" s="19"/>
      <c r="J2450" s="21"/>
      <c r="K2450" s="19"/>
    </row>
    <row r="2451" spans="3:11" x14ac:dyDescent="0.2">
      <c r="C2451" s="19"/>
      <c r="D2451" s="19"/>
      <c r="E2451" s="19"/>
      <c r="F2451" s="20"/>
      <c r="G2451" s="19"/>
      <c r="H2451" s="19"/>
      <c r="I2451" s="19"/>
      <c r="J2451" s="21"/>
      <c r="K2451" s="19"/>
    </row>
    <row r="2452" spans="3:11" x14ac:dyDescent="0.2">
      <c r="C2452" s="19"/>
      <c r="D2452" s="19"/>
      <c r="E2452" s="19"/>
      <c r="F2452" s="20"/>
      <c r="G2452" s="19"/>
      <c r="H2452" s="19"/>
      <c r="I2452" s="19"/>
      <c r="J2452" s="21"/>
      <c r="K2452" s="19"/>
    </row>
    <row r="2453" spans="3:11" x14ac:dyDescent="0.2">
      <c r="C2453" s="19"/>
      <c r="D2453" s="19"/>
      <c r="E2453" s="19"/>
      <c r="F2453" s="20"/>
      <c r="G2453" s="19"/>
      <c r="H2453" s="19"/>
      <c r="I2453" s="19"/>
      <c r="J2453" s="21"/>
      <c r="K2453" s="19"/>
    </row>
    <row r="2454" spans="3:11" x14ac:dyDescent="0.2">
      <c r="C2454" s="19"/>
      <c r="D2454" s="19"/>
      <c r="E2454" s="19"/>
      <c r="F2454" s="20"/>
      <c r="G2454" s="19"/>
      <c r="H2454" s="19"/>
      <c r="I2454" s="19"/>
      <c r="J2454" s="21"/>
      <c r="K2454" s="19"/>
    </row>
    <row r="2455" spans="3:11" x14ac:dyDescent="0.2">
      <c r="C2455" s="19"/>
      <c r="D2455" s="19"/>
      <c r="E2455" s="19"/>
      <c r="F2455" s="20"/>
      <c r="G2455" s="19"/>
      <c r="H2455" s="19"/>
      <c r="I2455" s="19"/>
      <c r="J2455" s="21"/>
      <c r="K2455" s="19"/>
    </row>
    <row r="2456" spans="3:11" x14ac:dyDescent="0.2">
      <c r="C2456" s="19"/>
      <c r="D2456" s="19"/>
      <c r="E2456" s="19"/>
      <c r="F2456" s="20"/>
      <c r="G2456" s="19"/>
      <c r="H2456" s="19"/>
      <c r="I2456" s="19"/>
      <c r="J2456" s="21"/>
      <c r="K2456" s="19"/>
    </row>
    <row r="2457" spans="3:11" x14ac:dyDescent="0.2">
      <c r="C2457" s="19"/>
      <c r="D2457" s="19"/>
      <c r="E2457" s="19"/>
      <c r="F2457" s="20"/>
      <c r="G2457" s="19"/>
      <c r="H2457" s="19"/>
      <c r="I2457" s="19"/>
      <c r="J2457" s="21"/>
      <c r="K2457" s="19"/>
    </row>
    <row r="2458" spans="3:11" x14ac:dyDescent="0.2">
      <c r="C2458" s="19"/>
      <c r="D2458" s="19"/>
      <c r="E2458" s="19"/>
      <c r="F2458" s="20"/>
      <c r="G2458" s="19"/>
      <c r="H2458" s="19"/>
      <c r="I2458" s="19"/>
      <c r="J2458" s="21"/>
      <c r="K2458" s="19"/>
    </row>
    <row r="2459" spans="3:11" x14ac:dyDescent="0.2">
      <c r="C2459" s="19"/>
      <c r="D2459" s="19"/>
      <c r="E2459" s="19"/>
      <c r="F2459" s="20"/>
      <c r="G2459" s="19"/>
      <c r="H2459" s="19"/>
      <c r="I2459" s="19"/>
      <c r="J2459" s="21"/>
      <c r="K2459" s="19"/>
    </row>
    <row r="2460" spans="3:11" x14ac:dyDescent="0.2">
      <c r="C2460" s="19"/>
      <c r="D2460" s="19"/>
      <c r="E2460" s="19"/>
      <c r="F2460" s="20"/>
      <c r="G2460" s="19"/>
      <c r="H2460" s="19"/>
      <c r="I2460" s="19"/>
      <c r="J2460" s="21"/>
      <c r="K2460" s="19"/>
    </row>
    <row r="2461" spans="3:11" x14ac:dyDescent="0.2">
      <c r="C2461" s="19"/>
      <c r="D2461" s="19"/>
      <c r="E2461" s="19"/>
      <c r="F2461" s="20"/>
      <c r="G2461" s="19"/>
      <c r="H2461" s="19"/>
      <c r="I2461" s="19"/>
      <c r="J2461" s="21"/>
      <c r="K2461" s="19"/>
    </row>
    <row r="2462" spans="3:11" x14ac:dyDescent="0.2">
      <c r="C2462" s="19"/>
      <c r="D2462" s="19"/>
      <c r="E2462" s="19"/>
      <c r="F2462" s="20"/>
      <c r="G2462" s="19"/>
      <c r="H2462" s="19"/>
      <c r="I2462" s="19"/>
      <c r="J2462" s="21"/>
      <c r="K2462" s="19"/>
    </row>
    <row r="2463" spans="3:11" x14ac:dyDescent="0.2">
      <c r="C2463" s="19"/>
      <c r="D2463" s="19"/>
      <c r="E2463" s="19"/>
      <c r="F2463" s="20"/>
      <c r="G2463" s="19"/>
      <c r="H2463" s="19"/>
      <c r="I2463" s="19"/>
      <c r="J2463" s="21"/>
      <c r="K2463" s="19"/>
    </row>
    <row r="2464" spans="3:11" x14ac:dyDescent="0.2">
      <c r="C2464" s="19"/>
      <c r="D2464" s="19"/>
      <c r="E2464" s="19"/>
      <c r="F2464" s="20"/>
      <c r="G2464" s="19"/>
      <c r="H2464" s="19"/>
      <c r="I2464" s="19"/>
      <c r="J2464" s="21"/>
      <c r="K2464" s="19"/>
    </row>
    <row r="2465" spans="3:11" x14ac:dyDescent="0.2">
      <c r="C2465" s="19"/>
      <c r="D2465" s="19"/>
      <c r="E2465" s="19"/>
      <c r="F2465" s="20"/>
      <c r="G2465" s="19"/>
      <c r="H2465" s="19"/>
      <c r="I2465" s="19"/>
      <c r="J2465" s="21"/>
      <c r="K2465" s="19"/>
    </row>
    <row r="2466" spans="3:11" x14ac:dyDescent="0.2">
      <c r="C2466" s="19"/>
      <c r="D2466" s="19"/>
      <c r="E2466" s="19"/>
      <c r="F2466" s="20"/>
      <c r="G2466" s="19"/>
      <c r="H2466" s="19"/>
      <c r="I2466" s="19"/>
      <c r="J2466" s="21"/>
      <c r="K2466" s="19"/>
    </row>
    <row r="2467" spans="3:11" x14ac:dyDescent="0.2">
      <c r="C2467" s="19"/>
      <c r="D2467" s="19"/>
      <c r="E2467" s="19"/>
      <c r="F2467" s="20"/>
      <c r="G2467" s="19"/>
      <c r="H2467" s="19"/>
      <c r="I2467" s="19"/>
      <c r="J2467" s="21"/>
      <c r="K2467" s="19"/>
    </row>
    <row r="2468" spans="3:11" x14ac:dyDescent="0.2">
      <c r="C2468" s="19"/>
      <c r="D2468" s="19"/>
      <c r="E2468" s="19"/>
      <c r="F2468" s="20"/>
      <c r="G2468" s="19"/>
      <c r="H2468" s="19"/>
      <c r="I2468" s="19"/>
      <c r="J2468" s="21"/>
      <c r="K2468" s="19"/>
    </row>
    <row r="2469" spans="3:11" x14ac:dyDescent="0.2">
      <c r="C2469" s="19"/>
      <c r="D2469" s="19"/>
      <c r="E2469" s="19"/>
      <c r="F2469" s="20"/>
      <c r="G2469" s="19"/>
      <c r="H2469" s="19"/>
      <c r="I2469" s="19"/>
      <c r="J2469" s="19"/>
      <c r="K2469" s="19"/>
    </row>
    <row r="2470" spans="3:11" x14ac:dyDescent="0.2">
      <c r="C2470" s="19"/>
      <c r="D2470" s="19"/>
      <c r="E2470" s="19"/>
      <c r="F2470" s="20"/>
      <c r="G2470" s="19"/>
      <c r="H2470" s="19"/>
      <c r="I2470" s="19"/>
      <c r="J2470" s="19"/>
      <c r="K2470" s="19"/>
    </row>
    <row r="2471" spans="3:11" x14ac:dyDescent="0.2">
      <c r="C2471" s="19"/>
      <c r="D2471" s="19"/>
      <c r="E2471" s="19"/>
      <c r="F2471" s="20"/>
      <c r="G2471" s="19"/>
      <c r="H2471" s="19"/>
      <c r="I2471" s="19"/>
      <c r="J2471" s="19"/>
      <c r="K2471" s="19"/>
    </row>
    <row r="2472" spans="3:11" x14ac:dyDescent="0.2">
      <c r="C2472" s="19"/>
      <c r="D2472" s="19"/>
      <c r="E2472" s="19"/>
      <c r="F2472" s="20"/>
      <c r="G2472" s="19"/>
      <c r="H2472" s="19"/>
      <c r="I2472" s="19"/>
      <c r="J2472" s="19"/>
      <c r="K2472" s="19"/>
    </row>
    <row r="2473" spans="3:11" x14ac:dyDescent="0.2">
      <c r="C2473" s="19"/>
      <c r="D2473" s="19"/>
      <c r="E2473" s="19"/>
      <c r="F2473" s="20"/>
      <c r="G2473" s="19"/>
      <c r="H2473" s="19"/>
      <c r="I2473" s="19"/>
      <c r="J2473" s="19"/>
      <c r="K2473" s="19"/>
    </row>
    <row r="2474" spans="3:11" x14ac:dyDescent="0.2">
      <c r="C2474" s="19"/>
      <c r="D2474" s="19"/>
      <c r="E2474" s="19"/>
      <c r="F2474" s="20"/>
      <c r="G2474" s="19"/>
      <c r="H2474" s="19"/>
      <c r="I2474" s="19"/>
      <c r="J2474" s="19"/>
      <c r="K2474" s="19"/>
    </row>
    <row r="2475" spans="3:11" x14ac:dyDescent="0.2">
      <c r="C2475" s="19"/>
      <c r="D2475" s="19"/>
      <c r="E2475" s="19"/>
      <c r="F2475" s="20"/>
      <c r="G2475" s="19"/>
      <c r="H2475" s="19"/>
      <c r="I2475" s="19"/>
      <c r="J2475" s="19"/>
      <c r="K2475" s="19"/>
    </row>
    <row r="2476" spans="3:11" x14ac:dyDescent="0.2">
      <c r="C2476" s="19"/>
      <c r="D2476" s="19"/>
      <c r="E2476" s="19"/>
      <c r="F2476" s="20"/>
      <c r="G2476" s="19"/>
      <c r="H2476" s="19"/>
      <c r="I2476" s="19"/>
      <c r="J2476" s="19"/>
      <c r="K2476" s="19"/>
    </row>
    <row r="2477" spans="3:11" x14ac:dyDescent="0.2">
      <c r="C2477" s="19"/>
      <c r="D2477" s="19"/>
      <c r="E2477" s="19"/>
      <c r="F2477" s="20"/>
      <c r="G2477" s="19"/>
      <c r="H2477" s="19"/>
      <c r="I2477" s="19"/>
      <c r="J2477" s="19"/>
      <c r="K2477" s="19"/>
    </row>
    <row r="2478" spans="3:11" x14ac:dyDescent="0.2">
      <c r="C2478" s="19"/>
      <c r="D2478" s="19"/>
      <c r="E2478" s="19"/>
      <c r="F2478" s="20"/>
      <c r="G2478" s="19"/>
      <c r="H2478" s="19"/>
      <c r="I2478" s="19"/>
      <c r="J2478" s="19"/>
      <c r="K2478" s="19"/>
    </row>
    <row r="2479" spans="3:11" x14ac:dyDescent="0.2">
      <c r="C2479" s="19"/>
      <c r="D2479" s="19"/>
      <c r="E2479" s="19"/>
      <c r="F2479" s="20"/>
      <c r="G2479" s="19"/>
      <c r="H2479" s="19"/>
      <c r="I2479" s="19"/>
      <c r="J2479" s="19"/>
      <c r="K2479" s="19"/>
    </row>
    <row r="2480" spans="3:11" x14ac:dyDescent="0.2">
      <c r="C2480" s="19"/>
      <c r="D2480" s="19"/>
      <c r="E2480" s="19"/>
      <c r="F2480" s="20"/>
      <c r="G2480" s="19"/>
      <c r="H2480" s="19"/>
      <c r="I2480" s="19"/>
      <c r="J2480" s="19"/>
      <c r="K2480" s="19"/>
    </row>
    <row r="2481" spans="3:11" x14ac:dyDescent="0.2">
      <c r="C2481" s="19"/>
      <c r="D2481" s="19"/>
      <c r="E2481" s="19"/>
      <c r="F2481" s="20"/>
      <c r="G2481" s="19"/>
      <c r="H2481" s="19"/>
      <c r="I2481" s="19"/>
      <c r="J2481" s="19"/>
      <c r="K2481" s="19"/>
    </row>
    <row r="2482" spans="3:11" x14ac:dyDescent="0.2">
      <c r="C2482" s="19"/>
      <c r="D2482" s="19"/>
      <c r="E2482" s="19"/>
      <c r="F2482" s="20"/>
      <c r="G2482" s="19"/>
      <c r="H2482" s="19"/>
      <c r="I2482" s="19"/>
      <c r="J2482" s="19"/>
      <c r="K2482" s="19"/>
    </row>
    <row r="2483" spans="3:11" x14ac:dyDescent="0.2">
      <c r="C2483" s="19"/>
      <c r="D2483" s="19"/>
      <c r="E2483" s="19"/>
      <c r="F2483" s="20"/>
      <c r="G2483" s="19"/>
      <c r="H2483" s="19"/>
      <c r="I2483" s="19"/>
      <c r="J2483" s="19"/>
      <c r="K2483" s="19"/>
    </row>
    <row r="2484" spans="3:11" x14ac:dyDescent="0.2">
      <c r="C2484" s="19"/>
      <c r="D2484" s="19"/>
      <c r="E2484" s="19"/>
      <c r="F2484" s="20"/>
      <c r="G2484" s="19"/>
      <c r="H2484" s="19"/>
      <c r="I2484" s="19"/>
      <c r="J2484" s="19"/>
      <c r="K2484" s="19"/>
    </row>
    <row r="2485" spans="3:11" x14ac:dyDescent="0.2">
      <c r="C2485" s="19"/>
      <c r="D2485" s="19"/>
      <c r="E2485" s="19"/>
      <c r="F2485" s="20"/>
      <c r="G2485" s="19"/>
      <c r="H2485" s="19"/>
      <c r="I2485" s="19"/>
      <c r="J2485" s="21"/>
      <c r="K2485" s="19"/>
    </row>
    <row r="2486" spans="3:11" x14ac:dyDescent="0.2">
      <c r="C2486" s="19"/>
      <c r="D2486" s="19"/>
      <c r="E2486" s="19"/>
      <c r="F2486" s="20"/>
      <c r="G2486" s="19"/>
      <c r="H2486" s="19"/>
      <c r="I2486" s="19"/>
      <c r="J2486" s="21"/>
      <c r="K2486" s="19"/>
    </row>
    <row r="2487" spans="3:11" x14ac:dyDescent="0.2">
      <c r="C2487" s="19"/>
      <c r="D2487" s="19"/>
      <c r="E2487" s="19"/>
      <c r="F2487" s="20"/>
      <c r="G2487" s="19"/>
      <c r="H2487" s="19"/>
      <c r="I2487" s="19"/>
      <c r="J2487" s="21"/>
      <c r="K2487" s="19"/>
    </row>
    <row r="2488" spans="3:11" x14ac:dyDescent="0.2">
      <c r="C2488" s="19"/>
      <c r="D2488" s="19"/>
      <c r="E2488" s="19"/>
      <c r="F2488" s="20"/>
      <c r="G2488" s="19"/>
      <c r="H2488" s="19"/>
      <c r="I2488" s="19"/>
      <c r="J2488" s="21"/>
      <c r="K2488" s="19"/>
    </row>
    <row r="2489" spans="3:11" x14ac:dyDescent="0.2">
      <c r="C2489" s="19"/>
      <c r="D2489" s="19"/>
      <c r="E2489" s="19"/>
      <c r="F2489" s="20"/>
      <c r="G2489" s="19"/>
      <c r="H2489" s="19"/>
      <c r="I2489" s="19"/>
      <c r="J2489" s="21"/>
      <c r="K2489" s="19"/>
    </row>
    <row r="2490" spans="3:11" x14ac:dyDescent="0.2">
      <c r="C2490" s="19"/>
      <c r="D2490" s="19"/>
      <c r="E2490" s="19"/>
      <c r="F2490" s="20"/>
      <c r="G2490" s="19"/>
      <c r="H2490" s="19"/>
      <c r="I2490" s="19"/>
      <c r="J2490" s="21"/>
      <c r="K2490" s="19"/>
    </row>
    <row r="2491" spans="3:11" x14ac:dyDescent="0.2">
      <c r="C2491" s="19"/>
      <c r="D2491" s="19"/>
      <c r="E2491" s="19"/>
      <c r="F2491" s="20"/>
      <c r="G2491" s="19"/>
      <c r="H2491" s="19"/>
      <c r="I2491" s="19"/>
      <c r="J2491" s="21"/>
      <c r="K2491" s="19"/>
    </row>
    <row r="2492" spans="3:11" x14ac:dyDescent="0.2">
      <c r="C2492" s="19"/>
      <c r="D2492" s="19"/>
      <c r="E2492" s="19"/>
      <c r="F2492" s="20"/>
      <c r="G2492" s="19"/>
      <c r="H2492" s="19"/>
      <c r="I2492" s="19"/>
      <c r="J2492" s="21"/>
      <c r="K2492" s="19"/>
    </row>
    <row r="2493" spans="3:11" x14ac:dyDescent="0.2">
      <c r="C2493" s="19"/>
      <c r="D2493" s="19"/>
      <c r="E2493" s="19"/>
      <c r="F2493" s="20"/>
      <c r="G2493" s="19"/>
      <c r="H2493" s="19"/>
      <c r="I2493" s="19"/>
      <c r="J2493" s="21"/>
      <c r="K2493" s="19"/>
    </row>
    <row r="2494" spans="3:11" x14ac:dyDescent="0.2">
      <c r="C2494" s="19"/>
      <c r="D2494" s="19"/>
      <c r="E2494" s="19"/>
      <c r="F2494" s="20"/>
      <c r="G2494" s="19"/>
      <c r="H2494" s="19"/>
      <c r="I2494" s="19"/>
      <c r="J2494" s="21"/>
      <c r="K2494" s="19"/>
    </row>
    <row r="2495" spans="3:11" x14ac:dyDescent="0.2">
      <c r="C2495" s="19"/>
      <c r="D2495" s="19"/>
      <c r="E2495" s="19"/>
      <c r="F2495" s="20"/>
      <c r="G2495" s="19"/>
      <c r="H2495" s="19"/>
      <c r="I2495" s="19"/>
      <c r="J2495" s="19"/>
      <c r="K2495" s="19"/>
    </row>
    <row r="2496" spans="3:11" x14ac:dyDescent="0.2">
      <c r="C2496" s="19"/>
      <c r="D2496" s="19"/>
      <c r="E2496" s="19"/>
      <c r="F2496" s="20"/>
      <c r="G2496" s="19"/>
      <c r="H2496" s="19"/>
      <c r="I2496" s="19"/>
      <c r="J2496" s="21"/>
      <c r="K2496" s="19"/>
    </row>
    <row r="2497" spans="3:11" x14ac:dyDescent="0.2">
      <c r="C2497" s="19"/>
      <c r="D2497" s="19"/>
      <c r="E2497" s="19"/>
      <c r="F2497" s="20"/>
      <c r="G2497" s="19"/>
      <c r="H2497" s="19"/>
      <c r="I2497" s="19"/>
      <c r="J2497" s="21"/>
      <c r="K2497" s="19"/>
    </row>
    <row r="2498" spans="3:11" x14ac:dyDescent="0.2">
      <c r="C2498" s="19"/>
      <c r="D2498" s="19"/>
      <c r="E2498" s="19"/>
      <c r="F2498" s="20"/>
      <c r="G2498" s="19"/>
      <c r="H2498" s="19"/>
      <c r="I2498" s="19"/>
      <c r="J2498" s="21"/>
      <c r="K2498" s="19"/>
    </row>
    <row r="2499" spans="3:11" x14ac:dyDescent="0.2">
      <c r="C2499" s="19"/>
      <c r="D2499" s="19"/>
      <c r="E2499" s="19"/>
      <c r="F2499" s="20"/>
      <c r="G2499" s="19"/>
      <c r="H2499" s="19"/>
      <c r="I2499" s="19"/>
      <c r="J2499" s="21"/>
      <c r="K2499" s="19"/>
    </row>
    <row r="2500" spans="3:11" x14ac:dyDescent="0.2">
      <c r="C2500" s="19"/>
      <c r="D2500" s="19"/>
      <c r="E2500" s="19"/>
      <c r="F2500" s="20"/>
      <c r="G2500" s="19"/>
      <c r="H2500" s="19"/>
      <c r="I2500" s="19"/>
      <c r="J2500" s="21"/>
      <c r="K2500" s="19"/>
    </row>
    <row r="2501" spans="3:11" x14ac:dyDescent="0.2">
      <c r="C2501" s="19"/>
      <c r="D2501" s="19"/>
      <c r="E2501" s="19"/>
      <c r="F2501" s="20"/>
      <c r="G2501" s="19"/>
      <c r="H2501" s="19"/>
      <c r="I2501" s="19"/>
      <c r="J2501" s="21"/>
      <c r="K2501" s="19"/>
    </row>
    <row r="2502" spans="3:11" x14ac:dyDescent="0.2">
      <c r="C2502" s="19"/>
      <c r="D2502" s="19"/>
      <c r="E2502" s="19"/>
      <c r="F2502" s="20"/>
      <c r="G2502" s="19"/>
      <c r="H2502" s="19"/>
      <c r="I2502" s="19"/>
      <c r="J2502" s="21"/>
      <c r="K2502" s="19"/>
    </row>
    <row r="2503" spans="3:11" x14ac:dyDescent="0.2">
      <c r="C2503" s="19"/>
      <c r="D2503" s="19"/>
      <c r="E2503" s="19"/>
      <c r="F2503" s="20"/>
      <c r="G2503" s="19"/>
      <c r="H2503" s="19"/>
      <c r="I2503" s="19"/>
      <c r="J2503" s="21"/>
      <c r="K2503" s="19"/>
    </row>
    <row r="2504" spans="3:11" x14ac:dyDescent="0.2">
      <c r="C2504" s="19"/>
      <c r="D2504" s="19"/>
      <c r="E2504" s="19"/>
      <c r="F2504" s="20"/>
      <c r="G2504" s="19"/>
      <c r="H2504" s="19"/>
      <c r="I2504" s="19"/>
      <c r="J2504" s="19"/>
      <c r="K2504" s="19"/>
    </row>
    <row r="2505" spans="3:11" x14ac:dyDescent="0.2">
      <c r="C2505" s="19"/>
      <c r="D2505" s="19"/>
      <c r="E2505" s="19"/>
      <c r="F2505" s="20"/>
      <c r="G2505" s="19"/>
      <c r="H2505" s="19"/>
      <c r="I2505" s="19"/>
      <c r="J2505" s="19"/>
      <c r="K2505" s="19"/>
    </row>
    <row r="2506" spans="3:11" x14ac:dyDescent="0.2">
      <c r="C2506" s="19"/>
      <c r="D2506" s="19"/>
      <c r="E2506" s="19"/>
      <c r="F2506" s="20"/>
      <c r="G2506" s="19"/>
      <c r="H2506" s="19"/>
      <c r="I2506" s="19"/>
      <c r="J2506" s="19"/>
      <c r="K2506" s="19"/>
    </row>
    <row r="2507" spans="3:11" x14ac:dyDescent="0.2">
      <c r="C2507" s="19"/>
      <c r="D2507" s="19"/>
      <c r="E2507" s="19"/>
      <c r="F2507" s="20"/>
      <c r="G2507" s="19"/>
      <c r="H2507" s="19"/>
      <c r="I2507" s="19"/>
      <c r="J2507" s="21"/>
      <c r="K2507" s="19"/>
    </row>
    <row r="2508" spans="3:11" x14ac:dyDescent="0.2">
      <c r="C2508" s="19"/>
      <c r="D2508" s="19"/>
      <c r="E2508" s="19"/>
      <c r="F2508" s="20"/>
      <c r="G2508" s="19"/>
      <c r="H2508" s="19"/>
      <c r="I2508" s="19"/>
      <c r="J2508" s="21"/>
      <c r="K2508" s="19"/>
    </row>
    <row r="2509" spans="3:11" x14ac:dyDescent="0.2">
      <c r="C2509" s="19"/>
      <c r="D2509" s="19"/>
      <c r="E2509" s="19"/>
      <c r="F2509" s="20"/>
      <c r="G2509" s="19"/>
      <c r="H2509" s="19"/>
      <c r="I2509" s="19"/>
      <c r="J2509" s="21"/>
      <c r="K2509" s="19"/>
    </row>
    <row r="2510" spans="3:11" x14ac:dyDescent="0.2">
      <c r="C2510" s="19"/>
      <c r="D2510" s="19"/>
      <c r="E2510" s="19"/>
      <c r="F2510" s="20"/>
      <c r="G2510" s="19"/>
      <c r="H2510" s="19"/>
      <c r="I2510" s="19"/>
      <c r="J2510" s="21"/>
      <c r="K2510" s="19"/>
    </row>
    <row r="2511" spans="3:11" x14ac:dyDescent="0.2">
      <c r="C2511" s="19"/>
      <c r="D2511" s="19"/>
      <c r="E2511" s="19"/>
      <c r="F2511" s="20"/>
      <c r="G2511" s="19"/>
      <c r="H2511" s="19"/>
      <c r="I2511" s="19"/>
      <c r="J2511" s="21"/>
      <c r="K2511" s="19"/>
    </row>
    <row r="2512" spans="3:11" x14ac:dyDescent="0.2">
      <c r="C2512" s="19"/>
      <c r="D2512" s="19"/>
      <c r="E2512" s="19"/>
      <c r="F2512" s="20"/>
      <c r="G2512" s="19"/>
      <c r="H2512" s="19"/>
      <c r="I2512" s="19"/>
      <c r="J2512" s="21"/>
      <c r="K2512" s="19"/>
    </row>
    <row r="2513" spans="3:11" x14ac:dyDescent="0.2">
      <c r="C2513" s="19"/>
      <c r="D2513" s="19"/>
      <c r="E2513" s="19"/>
      <c r="F2513" s="20"/>
      <c r="G2513" s="19"/>
      <c r="H2513" s="19"/>
      <c r="I2513" s="19"/>
      <c r="J2513" s="21"/>
      <c r="K2513" s="19"/>
    </row>
    <row r="2514" spans="3:11" x14ac:dyDescent="0.2">
      <c r="C2514" s="19"/>
      <c r="D2514" s="19"/>
      <c r="E2514" s="19"/>
      <c r="F2514" s="20"/>
      <c r="G2514" s="19"/>
      <c r="H2514" s="19"/>
      <c r="I2514" s="19"/>
      <c r="J2514" s="21"/>
      <c r="K2514" s="19"/>
    </row>
    <row r="2515" spans="3:11" x14ac:dyDescent="0.2">
      <c r="C2515" s="19"/>
      <c r="D2515" s="19"/>
      <c r="E2515" s="19"/>
      <c r="F2515" s="20"/>
      <c r="G2515" s="19"/>
      <c r="H2515" s="19"/>
      <c r="I2515" s="19"/>
      <c r="J2515" s="21"/>
      <c r="K2515" s="19"/>
    </row>
    <row r="2516" spans="3:11" x14ac:dyDescent="0.2">
      <c r="C2516" s="19"/>
      <c r="D2516" s="19"/>
      <c r="E2516" s="19"/>
      <c r="F2516" s="20"/>
      <c r="G2516" s="19"/>
      <c r="H2516" s="19"/>
      <c r="I2516" s="19"/>
      <c r="J2516" s="21"/>
      <c r="K2516" s="19"/>
    </row>
    <row r="2517" spans="3:11" x14ac:dyDescent="0.2">
      <c r="C2517" s="19"/>
      <c r="D2517" s="19"/>
      <c r="E2517" s="19"/>
      <c r="F2517" s="20"/>
      <c r="G2517" s="19"/>
      <c r="H2517" s="19"/>
      <c r="I2517" s="19"/>
      <c r="J2517" s="21"/>
      <c r="K2517" s="19"/>
    </row>
    <row r="2518" spans="3:11" x14ac:dyDescent="0.2">
      <c r="C2518" s="19"/>
      <c r="D2518" s="19"/>
      <c r="E2518" s="19"/>
      <c r="F2518" s="20"/>
      <c r="G2518" s="19"/>
      <c r="H2518" s="19"/>
      <c r="I2518" s="19"/>
      <c r="J2518" s="21"/>
      <c r="K2518" s="19"/>
    </row>
    <row r="2519" spans="3:11" x14ac:dyDescent="0.2">
      <c r="C2519" s="19"/>
      <c r="D2519" s="19"/>
      <c r="E2519" s="19"/>
      <c r="F2519" s="20"/>
      <c r="G2519" s="19"/>
      <c r="H2519" s="19"/>
      <c r="I2519" s="19"/>
      <c r="J2519" s="21"/>
      <c r="K2519" s="19"/>
    </row>
    <row r="2520" spans="3:11" x14ac:dyDescent="0.2">
      <c r="C2520" s="19"/>
      <c r="D2520" s="19"/>
      <c r="E2520" s="19"/>
      <c r="F2520" s="20"/>
      <c r="G2520" s="19"/>
      <c r="H2520" s="19"/>
      <c r="I2520" s="19"/>
      <c r="J2520" s="21"/>
      <c r="K2520" s="19"/>
    </row>
    <row r="2521" spans="3:11" x14ac:dyDescent="0.2">
      <c r="C2521" s="19"/>
      <c r="D2521" s="19"/>
      <c r="E2521" s="19"/>
      <c r="F2521" s="20"/>
      <c r="G2521" s="19"/>
      <c r="H2521" s="19"/>
      <c r="I2521" s="19"/>
      <c r="J2521" s="21"/>
      <c r="K2521" s="19"/>
    </row>
    <row r="2522" spans="3:11" x14ac:dyDescent="0.2">
      <c r="C2522" s="19"/>
      <c r="D2522" s="19"/>
      <c r="E2522" s="19"/>
      <c r="F2522" s="20"/>
      <c r="G2522" s="19"/>
      <c r="H2522" s="19"/>
      <c r="I2522" s="19"/>
      <c r="J2522" s="21"/>
      <c r="K2522" s="19"/>
    </row>
    <row r="2523" spans="3:11" x14ac:dyDescent="0.2">
      <c r="C2523" s="19"/>
      <c r="D2523" s="19"/>
      <c r="E2523" s="19"/>
      <c r="F2523" s="20"/>
      <c r="G2523" s="19"/>
      <c r="H2523" s="19"/>
      <c r="I2523" s="19"/>
      <c r="J2523" s="21"/>
      <c r="K2523" s="19"/>
    </row>
    <row r="2524" spans="3:11" x14ac:dyDescent="0.2">
      <c r="C2524" s="19"/>
      <c r="D2524" s="19"/>
      <c r="E2524" s="19"/>
      <c r="F2524" s="20"/>
      <c r="G2524" s="19"/>
      <c r="H2524" s="19"/>
      <c r="I2524" s="19"/>
      <c r="J2524" s="21"/>
      <c r="K2524" s="19"/>
    </row>
    <row r="2525" spans="3:11" x14ac:dyDescent="0.2">
      <c r="C2525" s="19"/>
      <c r="D2525" s="19"/>
      <c r="E2525" s="19"/>
      <c r="F2525" s="20"/>
      <c r="G2525" s="19"/>
      <c r="H2525" s="19"/>
      <c r="I2525" s="19"/>
      <c r="J2525" s="21"/>
      <c r="K2525" s="19"/>
    </row>
    <row r="2526" spans="3:11" x14ac:dyDescent="0.2">
      <c r="C2526" s="19"/>
      <c r="D2526" s="19"/>
      <c r="E2526" s="19"/>
      <c r="F2526" s="20"/>
      <c r="G2526" s="19"/>
      <c r="H2526" s="19"/>
      <c r="I2526" s="19"/>
      <c r="J2526" s="21"/>
      <c r="K2526" s="19"/>
    </row>
    <row r="2527" spans="3:11" x14ac:dyDescent="0.2">
      <c r="C2527" s="19"/>
      <c r="D2527" s="19"/>
      <c r="E2527" s="19"/>
      <c r="F2527" s="20"/>
      <c r="G2527" s="19"/>
      <c r="H2527" s="19"/>
      <c r="I2527" s="19"/>
      <c r="J2527" s="21"/>
      <c r="K2527" s="19"/>
    </row>
    <row r="2528" spans="3:11" x14ac:dyDescent="0.2">
      <c r="C2528" s="19"/>
      <c r="D2528" s="19"/>
      <c r="E2528" s="19"/>
      <c r="F2528" s="20"/>
      <c r="G2528" s="19"/>
      <c r="H2528" s="19"/>
      <c r="I2528" s="19"/>
      <c r="J2528" s="21"/>
      <c r="K2528" s="19"/>
    </row>
    <row r="2529" spans="3:11" x14ac:dyDescent="0.2">
      <c r="C2529" s="19"/>
      <c r="D2529" s="19"/>
      <c r="E2529" s="19"/>
      <c r="F2529" s="20"/>
      <c r="G2529" s="19"/>
      <c r="H2529" s="19"/>
      <c r="I2529" s="19"/>
      <c r="J2529" s="21"/>
      <c r="K2529" s="19"/>
    </row>
    <row r="2530" spans="3:11" x14ac:dyDescent="0.2">
      <c r="C2530" s="19"/>
      <c r="D2530" s="19"/>
      <c r="E2530" s="19"/>
      <c r="F2530" s="20"/>
      <c r="G2530" s="19"/>
      <c r="H2530" s="19"/>
      <c r="I2530" s="19"/>
      <c r="J2530" s="21"/>
      <c r="K2530" s="19"/>
    </row>
    <row r="2531" spans="3:11" x14ac:dyDescent="0.2">
      <c r="C2531" s="19"/>
      <c r="D2531" s="19"/>
      <c r="E2531" s="19"/>
      <c r="F2531" s="20"/>
      <c r="G2531" s="19"/>
      <c r="H2531" s="19"/>
      <c r="I2531" s="19"/>
      <c r="J2531" s="21"/>
      <c r="K2531" s="19"/>
    </row>
    <row r="2532" spans="3:11" x14ac:dyDescent="0.2">
      <c r="C2532" s="19"/>
      <c r="D2532" s="19"/>
      <c r="E2532" s="19"/>
      <c r="F2532" s="20"/>
      <c r="G2532" s="19"/>
      <c r="H2532" s="19"/>
      <c r="I2532" s="19"/>
      <c r="J2532" s="21"/>
      <c r="K2532" s="19"/>
    </row>
    <row r="2533" spans="3:11" x14ac:dyDescent="0.2">
      <c r="C2533" s="19"/>
      <c r="D2533" s="19"/>
      <c r="E2533" s="19"/>
      <c r="F2533" s="20"/>
      <c r="G2533" s="19"/>
      <c r="H2533" s="19"/>
      <c r="I2533" s="19"/>
      <c r="J2533" s="21"/>
      <c r="K2533" s="19"/>
    </row>
    <row r="2534" spans="3:11" x14ac:dyDescent="0.2">
      <c r="C2534" s="19"/>
      <c r="D2534" s="19"/>
      <c r="E2534" s="19"/>
      <c r="F2534" s="20"/>
      <c r="G2534" s="19"/>
      <c r="H2534" s="19"/>
      <c r="I2534" s="19"/>
      <c r="J2534" s="21"/>
      <c r="K2534" s="19"/>
    </row>
    <row r="2535" spans="3:11" x14ac:dyDescent="0.2">
      <c r="C2535" s="19"/>
      <c r="D2535" s="19"/>
      <c r="E2535" s="19"/>
      <c r="F2535" s="20"/>
      <c r="G2535" s="19"/>
      <c r="H2535" s="19"/>
      <c r="I2535" s="19"/>
      <c r="J2535" s="21"/>
      <c r="K2535" s="19"/>
    </row>
    <row r="2536" spans="3:11" x14ac:dyDescent="0.2">
      <c r="C2536" s="19"/>
      <c r="D2536" s="19"/>
      <c r="E2536" s="19"/>
      <c r="F2536" s="20"/>
      <c r="G2536" s="19"/>
      <c r="H2536" s="19"/>
      <c r="I2536" s="19"/>
      <c r="J2536" s="21"/>
      <c r="K2536" s="19"/>
    </row>
    <row r="2537" spans="3:11" x14ac:dyDescent="0.2">
      <c r="C2537" s="19"/>
      <c r="D2537" s="19"/>
      <c r="E2537" s="19"/>
      <c r="F2537" s="20"/>
      <c r="G2537" s="19"/>
      <c r="H2537" s="19"/>
      <c r="I2537" s="19"/>
      <c r="J2537" s="19"/>
      <c r="K2537" s="19"/>
    </row>
    <row r="2538" spans="3:11" x14ac:dyDescent="0.2">
      <c r="C2538" s="19"/>
      <c r="D2538" s="19"/>
      <c r="E2538" s="19"/>
      <c r="F2538" s="20"/>
      <c r="G2538" s="19"/>
      <c r="H2538" s="19"/>
      <c r="I2538" s="19"/>
      <c r="J2538" s="19"/>
      <c r="K2538" s="19"/>
    </row>
    <row r="2539" spans="3:11" x14ac:dyDescent="0.2">
      <c r="C2539" s="19"/>
      <c r="D2539" s="19"/>
      <c r="E2539" s="19"/>
      <c r="F2539" s="20"/>
      <c r="G2539" s="19"/>
      <c r="H2539" s="19"/>
      <c r="I2539" s="19"/>
      <c r="J2539" s="19"/>
      <c r="K2539" s="19"/>
    </row>
    <row r="2540" spans="3:11" x14ac:dyDescent="0.2">
      <c r="C2540" s="19"/>
      <c r="D2540" s="19"/>
      <c r="E2540" s="19"/>
      <c r="F2540" s="20"/>
      <c r="G2540" s="19"/>
      <c r="H2540" s="19"/>
      <c r="I2540" s="19"/>
      <c r="J2540" s="19"/>
      <c r="K2540" s="19"/>
    </row>
    <row r="2541" spans="3:11" x14ac:dyDescent="0.2">
      <c r="C2541" s="19"/>
      <c r="D2541" s="19"/>
      <c r="E2541" s="19"/>
      <c r="F2541" s="20"/>
      <c r="G2541" s="19"/>
      <c r="H2541" s="19"/>
      <c r="I2541" s="19"/>
      <c r="J2541" s="19"/>
      <c r="K2541" s="19"/>
    </row>
    <row r="2542" spans="3:11" x14ac:dyDescent="0.2">
      <c r="C2542" s="19"/>
      <c r="D2542" s="19"/>
      <c r="E2542" s="19"/>
      <c r="F2542" s="20"/>
      <c r="G2542" s="19"/>
      <c r="H2542" s="19"/>
      <c r="I2542" s="19"/>
      <c r="J2542" s="19"/>
      <c r="K2542" s="19"/>
    </row>
    <row r="2543" spans="3:11" x14ac:dyDescent="0.2">
      <c r="C2543" s="19"/>
      <c r="D2543" s="19"/>
      <c r="E2543" s="19"/>
      <c r="F2543" s="20"/>
      <c r="G2543" s="19"/>
      <c r="H2543" s="19"/>
      <c r="I2543" s="19"/>
      <c r="J2543" s="19"/>
      <c r="K2543" s="19"/>
    </row>
    <row r="2544" spans="3:11" x14ac:dyDescent="0.2">
      <c r="C2544" s="19"/>
      <c r="D2544" s="19"/>
      <c r="E2544" s="19"/>
      <c r="F2544" s="20"/>
      <c r="G2544" s="19"/>
      <c r="H2544" s="19"/>
      <c r="I2544" s="19"/>
      <c r="J2544" s="19"/>
      <c r="K2544" s="19"/>
    </row>
    <row r="2545" spans="3:11" x14ac:dyDescent="0.2">
      <c r="C2545" s="19"/>
      <c r="D2545" s="19"/>
      <c r="E2545" s="19"/>
      <c r="F2545" s="20"/>
      <c r="G2545" s="19"/>
      <c r="H2545" s="19"/>
      <c r="I2545" s="19"/>
      <c r="J2545" s="19"/>
      <c r="K2545" s="19"/>
    </row>
    <row r="2546" spans="3:11" x14ac:dyDescent="0.2">
      <c r="C2546" s="19"/>
      <c r="D2546" s="19"/>
      <c r="E2546" s="19"/>
      <c r="F2546" s="20"/>
      <c r="G2546" s="19"/>
      <c r="H2546" s="19"/>
      <c r="I2546" s="19"/>
      <c r="J2546" s="19"/>
      <c r="K2546" s="19"/>
    </row>
    <row r="2547" spans="3:11" x14ac:dyDescent="0.2">
      <c r="C2547" s="19"/>
      <c r="D2547" s="19"/>
      <c r="E2547" s="19"/>
      <c r="F2547" s="20"/>
      <c r="G2547" s="19"/>
      <c r="H2547" s="19"/>
      <c r="I2547" s="19"/>
      <c r="J2547" s="19"/>
      <c r="K2547" s="19"/>
    </row>
    <row r="2548" spans="3:11" x14ac:dyDescent="0.2">
      <c r="C2548" s="19"/>
      <c r="D2548" s="19"/>
      <c r="E2548" s="19"/>
      <c r="F2548" s="20"/>
      <c r="G2548" s="19"/>
      <c r="H2548" s="19"/>
      <c r="I2548" s="19"/>
      <c r="J2548" s="19"/>
      <c r="K2548" s="19"/>
    </row>
    <row r="2549" spans="3:11" x14ac:dyDescent="0.2">
      <c r="C2549" s="19"/>
      <c r="D2549" s="19"/>
      <c r="E2549" s="19"/>
      <c r="F2549" s="20"/>
      <c r="G2549" s="19"/>
      <c r="H2549" s="19"/>
      <c r="I2549" s="19"/>
      <c r="J2549" s="19"/>
      <c r="K2549" s="19"/>
    </row>
    <row r="2550" spans="3:11" x14ac:dyDescent="0.2">
      <c r="C2550" s="19"/>
      <c r="D2550" s="19"/>
      <c r="E2550" s="19"/>
      <c r="F2550" s="20"/>
      <c r="G2550" s="19"/>
      <c r="H2550" s="19"/>
      <c r="I2550" s="19"/>
      <c r="J2550" s="19"/>
      <c r="K2550" s="19"/>
    </row>
    <row r="2551" spans="3:11" x14ac:dyDescent="0.2">
      <c r="C2551" s="19"/>
      <c r="D2551" s="19"/>
      <c r="E2551" s="19"/>
      <c r="F2551" s="20"/>
      <c r="G2551" s="19"/>
      <c r="H2551" s="19"/>
      <c r="I2551" s="19"/>
      <c r="J2551" s="19"/>
      <c r="K2551" s="19"/>
    </row>
    <row r="2552" spans="3:11" x14ac:dyDescent="0.2">
      <c r="C2552" s="19"/>
      <c r="D2552" s="19"/>
      <c r="E2552" s="19"/>
      <c r="F2552" s="20"/>
      <c r="G2552" s="19"/>
      <c r="H2552" s="19"/>
      <c r="I2552" s="19"/>
      <c r="J2552" s="21"/>
      <c r="K2552" s="19"/>
    </row>
    <row r="2553" spans="3:11" x14ac:dyDescent="0.2">
      <c r="C2553" s="19"/>
      <c r="D2553" s="19"/>
      <c r="E2553" s="19"/>
      <c r="F2553" s="20"/>
      <c r="G2553" s="19"/>
      <c r="H2553" s="19"/>
      <c r="I2553" s="19"/>
      <c r="J2553" s="19"/>
      <c r="K2553" s="19"/>
    </row>
    <row r="2554" spans="3:11" x14ac:dyDescent="0.2">
      <c r="C2554" s="19"/>
      <c r="D2554" s="19"/>
      <c r="E2554" s="19"/>
      <c r="F2554" s="20"/>
      <c r="G2554" s="19"/>
      <c r="H2554" s="19"/>
      <c r="I2554" s="19"/>
      <c r="J2554" s="19"/>
      <c r="K2554" s="19"/>
    </row>
    <row r="2555" spans="3:11" x14ac:dyDescent="0.2">
      <c r="C2555" s="19"/>
      <c r="D2555" s="19"/>
      <c r="E2555" s="19"/>
      <c r="F2555" s="20"/>
      <c r="G2555" s="19"/>
      <c r="H2555" s="19"/>
      <c r="I2555" s="19"/>
      <c r="J2555" s="19"/>
      <c r="K2555" s="19"/>
    </row>
    <row r="2556" spans="3:11" x14ac:dyDescent="0.2">
      <c r="C2556" s="19"/>
      <c r="D2556" s="19"/>
      <c r="E2556" s="19"/>
      <c r="F2556" s="20"/>
      <c r="G2556" s="19"/>
      <c r="H2556" s="19"/>
      <c r="I2556" s="19"/>
      <c r="J2556" s="19"/>
      <c r="K2556" s="19"/>
    </row>
    <row r="2557" spans="3:11" x14ac:dyDescent="0.2">
      <c r="C2557" s="19"/>
      <c r="D2557" s="19"/>
      <c r="E2557" s="19"/>
      <c r="F2557" s="20"/>
      <c r="G2557" s="19"/>
      <c r="H2557" s="19"/>
      <c r="I2557" s="19"/>
      <c r="J2557" s="21"/>
      <c r="K2557" s="19"/>
    </row>
    <row r="2558" spans="3:11" x14ac:dyDescent="0.2">
      <c r="C2558" s="19"/>
      <c r="D2558" s="19"/>
      <c r="E2558" s="19"/>
      <c r="F2558" s="20"/>
      <c r="G2558" s="19"/>
      <c r="H2558" s="19"/>
      <c r="I2558" s="19"/>
      <c r="J2558" s="21"/>
      <c r="K2558" s="19"/>
    </row>
    <row r="2559" spans="3:11" x14ac:dyDescent="0.2">
      <c r="C2559" s="19"/>
      <c r="D2559" s="19"/>
      <c r="E2559" s="19"/>
      <c r="F2559" s="20"/>
      <c r="G2559" s="19"/>
      <c r="H2559" s="19"/>
      <c r="I2559" s="19"/>
      <c r="J2559" s="21"/>
      <c r="K2559" s="19"/>
    </row>
    <row r="2560" spans="3:11" x14ac:dyDescent="0.2">
      <c r="C2560" s="19"/>
      <c r="D2560" s="19"/>
      <c r="E2560" s="19"/>
      <c r="F2560" s="20"/>
      <c r="G2560" s="19"/>
      <c r="H2560" s="19"/>
      <c r="I2560" s="19"/>
      <c r="J2560" s="21"/>
      <c r="K2560" s="19"/>
    </row>
    <row r="2561" spans="3:11" x14ac:dyDescent="0.2">
      <c r="C2561" s="19"/>
      <c r="D2561" s="19"/>
      <c r="E2561" s="19"/>
      <c r="F2561" s="20"/>
      <c r="G2561" s="19"/>
      <c r="H2561" s="19"/>
      <c r="I2561" s="19"/>
      <c r="J2561" s="21"/>
      <c r="K2561" s="19"/>
    </row>
    <row r="2562" spans="3:11" x14ac:dyDescent="0.2">
      <c r="C2562" s="19"/>
      <c r="D2562" s="19"/>
      <c r="E2562" s="19"/>
      <c r="F2562" s="20"/>
      <c r="G2562" s="19"/>
      <c r="H2562" s="19"/>
      <c r="I2562" s="19"/>
      <c r="J2562" s="21"/>
      <c r="K2562" s="19"/>
    </row>
    <row r="2563" spans="3:11" x14ac:dyDescent="0.2">
      <c r="C2563" s="19"/>
      <c r="D2563" s="19"/>
      <c r="E2563" s="19"/>
      <c r="F2563" s="20"/>
      <c r="G2563" s="19"/>
      <c r="H2563" s="19"/>
      <c r="I2563" s="19"/>
      <c r="J2563" s="21"/>
      <c r="K2563" s="19"/>
    </row>
    <row r="2564" spans="3:11" x14ac:dyDescent="0.2">
      <c r="C2564" s="19"/>
      <c r="D2564" s="19"/>
      <c r="E2564" s="19"/>
      <c r="F2564" s="20"/>
      <c r="G2564" s="19"/>
      <c r="H2564" s="19"/>
      <c r="I2564" s="19"/>
      <c r="J2564" s="21"/>
      <c r="K2564" s="19"/>
    </row>
    <row r="2565" spans="3:11" x14ac:dyDescent="0.2">
      <c r="C2565" s="19"/>
      <c r="D2565" s="19"/>
      <c r="E2565" s="19"/>
      <c r="F2565" s="20"/>
      <c r="G2565" s="19"/>
      <c r="H2565" s="19"/>
      <c r="I2565" s="19"/>
      <c r="J2565" s="21"/>
      <c r="K2565" s="19"/>
    </row>
    <row r="2566" spans="3:11" x14ac:dyDescent="0.2">
      <c r="C2566" s="19"/>
      <c r="D2566" s="19"/>
      <c r="E2566" s="19"/>
      <c r="F2566" s="20"/>
      <c r="G2566" s="19"/>
      <c r="H2566" s="19"/>
      <c r="I2566" s="19"/>
      <c r="J2566" s="21"/>
      <c r="K2566" s="19"/>
    </row>
    <row r="2567" spans="3:11" x14ac:dyDescent="0.2">
      <c r="C2567" s="19"/>
      <c r="D2567" s="19"/>
      <c r="E2567" s="19"/>
      <c r="F2567" s="20"/>
      <c r="G2567" s="19"/>
      <c r="H2567" s="19"/>
      <c r="I2567" s="19"/>
      <c r="J2567" s="21"/>
      <c r="K2567" s="19"/>
    </row>
    <row r="2568" spans="3:11" x14ac:dyDescent="0.2">
      <c r="C2568" s="19"/>
      <c r="D2568" s="19"/>
      <c r="E2568" s="19"/>
      <c r="F2568" s="20"/>
      <c r="G2568" s="19"/>
      <c r="H2568" s="19"/>
      <c r="I2568" s="19"/>
      <c r="J2568" s="21"/>
      <c r="K2568" s="19"/>
    </row>
    <row r="2569" spans="3:11" x14ac:dyDescent="0.2">
      <c r="C2569" s="19"/>
      <c r="D2569" s="19"/>
      <c r="E2569" s="19"/>
      <c r="F2569" s="20"/>
      <c r="G2569" s="19"/>
      <c r="H2569" s="19"/>
      <c r="I2569" s="19"/>
      <c r="J2569" s="21"/>
      <c r="K2569" s="19"/>
    </row>
    <row r="2570" spans="3:11" x14ac:dyDescent="0.2">
      <c r="C2570" s="19"/>
      <c r="D2570" s="19"/>
      <c r="E2570" s="19"/>
      <c r="F2570" s="20"/>
      <c r="G2570" s="19"/>
      <c r="H2570" s="19"/>
      <c r="I2570" s="19"/>
      <c r="J2570" s="21"/>
      <c r="K2570" s="19"/>
    </row>
    <row r="2571" spans="3:11" x14ac:dyDescent="0.2">
      <c r="C2571" s="19"/>
      <c r="D2571" s="19"/>
      <c r="E2571" s="19"/>
      <c r="F2571" s="20"/>
      <c r="G2571" s="19"/>
      <c r="H2571" s="19"/>
      <c r="I2571" s="19"/>
      <c r="J2571" s="21"/>
      <c r="K2571" s="19"/>
    </row>
    <row r="2572" spans="3:11" x14ac:dyDescent="0.2">
      <c r="C2572" s="19"/>
      <c r="D2572" s="19"/>
      <c r="E2572" s="19"/>
      <c r="F2572" s="20"/>
      <c r="G2572" s="19"/>
      <c r="H2572" s="19"/>
      <c r="I2572" s="19"/>
      <c r="J2572" s="21"/>
      <c r="K2572" s="19"/>
    </row>
    <row r="2573" spans="3:11" x14ac:dyDescent="0.2">
      <c r="C2573" s="19"/>
      <c r="D2573" s="19"/>
      <c r="E2573" s="19"/>
      <c r="F2573" s="20"/>
      <c r="G2573" s="19"/>
      <c r="H2573" s="19"/>
      <c r="I2573" s="19"/>
      <c r="J2573" s="21"/>
      <c r="K2573" s="19"/>
    </row>
    <row r="2574" spans="3:11" x14ac:dyDescent="0.2">
      <c r="C2574" s="19"/>
      <c r="D2574" s="19"/>
      <c r="E2574" s="19"/>
      <c r="F2574" s="20"/>
      <c r="G2574" s="19"/>
      <c r="H2574" s="19"/>
      <c r="I2574" s="19"/>
      <c r="J2574" s="21"/>
      <c r="K2574" s="19"/>
    </row>
    <row r="2575" spans="3:11" x14ac:dyDescent="0.2">
      <c r="C2575" s="19"/>
      <c r="D2575" s="19"/>
      <c r="E2575" s="19"/>
      <c r="F2575" s="20"/>
      <c r="G2575" s="19"/>
      <c r="H2575" s="19"/>
      <c r="I2575" s="19"/>
      <c r="J2575" s="21"/>
      <c r="K2575" s="19"/>
    </row>
    <row r="2576" spans="3:11" x14ac:dyDescent="0.2">
      <c r="C2576" s="19"/>
      <c r="D2576" s="19"/>
      <c r="E2576" s="19"/>
      <c r="F2576" s="20"/>
      <c r="G2576" s="19"/>
      <c r="H2576" s="19"/>
      <c r="I2576" s="19"/>
      <c r="J2576" s="21"/>
      <c r="K2576" s="19"/>
    </row>
    <row r="2577" spans="3:11" x14ac:dyDescent="0.2">
      <c r="C2577" s="19"/>
      <c r="D2577" s="19"/>
      <c r="E2577" s="19"/>
      <c r="F2577" s="20"/>
      <c r="G2577" s="19"/>
      <c r="H2577" s="19"/>
      <c r="I2577" s="19"/>
      <c r="J2577" s="21"/>
      <c r="K2577" s="19"/>
    </row>
    <row r="2578" spans="3:11" x14ac:dyDescent="0.2">
      <c r="C2578" s="19"/>
      <c r="D2578" s="19"/>
      <c r="E2578" s="19"/>
      <c r="F2578" s="20"/>
      <c r="G2578" s="19"/>
      <c r="H2578" s="19"/>
      <c r="I2578" s="19"/>
      <c r="J2578" s="21"/>
      <c r="K2578" s="19"/>
    </row>
    <row r="2579" spans="3:11" x14ac:dyDescent="0.2">
      <c r="C2579" s="19"/>
      <c r="D2579" s="19"/>
      <c r="E2579" s="19"/>
      <c r="F2579" s="20"/>
      <c r="G2579" s="19"/>
      <c r="H2579" s="19"/>
      <c r="I2579" s="19"/>
      <c r="J2579" s="21"/>
      <c r="K2579" s="19"/>
    </row>
    <row r="2580" spans="3:11" x14ac:dyDescent="0.2">
      <c r="C2580" s="19"/>
      <c r="D2580" s="19"/>
      <c r="E2580" s="19"/>
      <c r="F2580" s="20"/>
      <c r="G2580" s="19"/>
      <c r="H2580" s="19"/>
      <c r="I2580" s="19"/>
      <c r="J2580" s="21"/>
      <c r="K2580" s="19"/>
    </row>
    <row r="2581" spans="3:11" x14ac:dyDescent="0.2">
      <c r="C2581" s="19"/>
      <c r="D2581" s="19"/>
      <c r="E2581" s="19"/>
      <c r="F2581" s="20"/>
      <c r="G2581" s="19"/>
      <c r="H2581" s="19"/>
      <c r="I2581" s="19"/>
      <c r="J2581" s="19"/>
      <c r="K2581" s="19"/>
    </row>
    <row r="2582" spans="3:11" x14ac:dyDescent="0.2">
      <c r="C2582" s="19"/>
      <c r="D2582" s="19"/>
      <c r="E2582" s="19"/>
      <c r="F2582" s="20"/>
      <c r="G2582" s="19"/>
      <c r="H2582" s="19"/>
      <c r="I2582" s="19"/>
      <c r="J2582" s="19"/>
      <c r="K2582" s="19"/>
    </row>
    <row r="2583" spans="3:11" x14ac:dyDescent="0.2">
      <c r="C2583" s="19"/>
      <c r="D2583" s="19"/>
      <c r="E2583" s="19"/>
      <c r="F2583" s="20"/>
      <c r="G2583" s="19"/>
      <c r="H2583" s="19"/>
      <c r="I2583" s="19"/>
      <c r="J2583" s="19"/>
      <c r="K2583" s="19"/>
    </row>
    <row r="2584" spans="3:11" x14ac:dyDescent="0.2">
      <c r="C2584" s="19"/>
      <c r="D2584" s="19"/>
      <c r="E2584" s="19"/>
      <c r="F2584" s="20"/>
      <c r="G2584" s="19"/>
      <c r="H2584" s="19"/>
      <c r="I2584" s="19"/>
      <c r="J2584" s="19"/>
      <c r="K2584" s="19"/>
    </row>
    <row r="2585" spans="3:11" x14ac:dyDescent="0.2">
      <c r="C2585" s="19"/>
      <c r="D2585" s="19"/>
      <c r="E2585" s="19"/>
      <c r="F2585" s="20"/>
      <c r="G2585" s="19"/>
      <c r="H2585" s="19"/>
      <c r="I2585" s="19"/>
      <c r="J2585" s="19"/>
      <c r="K2585" s="19"/>
    </row>
    <row r="2586" spans="3:11" x14ac:dyDescent="0.2">
      <c r="C2586" s="19"/>
      <c r="D2586" s="19"/>
      <c r="E2586" s="19"/>
      <c r="F2586" s="20"/>
      <c r="G2586" s="19"/>
      <c r="H2586" s="19"/>
      <c r="I2586" s="19"/>
      <c r="J2586" s="21"/>
      <c r="K2586" s="19"/>
    </row>
    <row r="2587" spans="3:11" x14ac:dyDescent="0.2">
      <c r="C2587" s="19"/>
      <c r="D2587" s="19"/>
      <c r="E2587" s="19"/>
      <c r="F2587" s="20"/>
      <c r="G2587" s="19"/>
      <c r="H2587" s="19"/>
      <c r="I2587" s="19"/>
      <c r="J2587" s="21"/>
      <c r="K2587" s="19"/>
    </row>
    <row r="2588" spans="3:11" x14ac:dyDescent="0.2">
      <c r="C2588" s="19"/>
      <c r="D2588" s="19"/>
      <c r="E2588" s="19"/>
      <c r="F2588" s="20"/>
      <c r="G2588" s="19"/>
      <c r="H2588" s="19"/>
      <c r="I2588" s="19"/>
      <c r="J2588" s="21"/>
      <c r="K2588" s="19"/>
    </row>
    <row r="2589" spans="3:11" x14ac:dyDescent="0.2">
      <c r="C2589" s="19"/>
      <c r="D2589" s="19"/>
      <c r="E2589" s="19"/>
      <c r="F2589" s="20"/>
      <c r="G2589" s="19"/>
      <c r="H2589" s="19"/>
      <c r="I2589" s="19"/>
      <c r="J2589" s="21"/>
      <c r="K2589" s="19"/>
    </row>
    <row r="2590" spans="3:11" x14ac:dyDescent="0.2">
      <c r="C2590" s="19"/>
      <c r="D2590" s="19"/>
      <c r="E2590" s="19"/>
      <c r="F2590" s="20"/>
      <c r="G2590" s="19"/>
      <c r="H2590" s="19"/>
      <c r="I2590" s="19"/>
      <c r="J2590" s="21"/>
      <c r="K2590" s="19"/>
    </row>
    <row r="2591" spans="3:11" x14ac:dyDescent="0.2">
      <c r="C2591" s="19"/>
      <c r="D2591" s="19"/>
      <c r="E2591" s="19"/>
      <c r="F2591" s="20"/>
      <c r="G2591" s="19"/>
      <c r="H2591" s="19"/>
      <c r="I2591" s="19"/>
      <c r="J2591" s="21"/>
      <c r="K2591" s="19"/>
    </row>
    <row r="2592" spans="3:11" x14ac:dyDescent="0.2">
      <c r="C2592" s="19"/>
      <c r="D2592" s="19"/>
      <c r="E2592" s="19"/>
      <c r="F2592" s="20"/>
      <c r="G2592" s="19"/>
      <c r="H2592" s="19"/>
      <c r="I2592" s="19"/>
      <c r="J2592" s="21"/>
      <c r="K2592" s="19"/>
    </row>
    <row r="2593" spans="3:11" x14ac:dyDescent="0.2">
      <c r="C2593" s="19"/>
      <c r="D2593" s="19"/>
      <c r="E2593" s="19"/>
      <c r="F2593" s="20"/>
      <c r="G2593" s="19"/>
      <c r="H2593" s="19"/>
      <c r="I2593" s="19"/>
      <c r="J2593" s="21"/>
      <c r="K2593" s="19"/>
    </row>
    <row r="2594" spans="3:11" x14ac:dyDescent="0.2">
      <c r="C2594" s="19"/>
      <c r="D2594" s="19"/>
      <c r="E2594" s="19"/>
      <c r="F2594" s="20"/>
      <c r="G2594" s="19"/>
      <c r="H2594" s="19"/>
      <c r="I2594" s="19"/>
      <c r="J2594" s="21"/>
      <c r="K2594" s="19"/>
    </row>
    <row r="2595" spans="3:11" x14ac:dyDescent="0.2">
      <c r="C2595" s="19"/>
      <c r="D2595" s="19"/>
      <c r="E2595" s="19"/>
      <c r="F2595" s="20"/>
      <c r="G2595" s="19"/>
      <c r="H2595" s="19"/>
      <c r="I2595" s="19"/>
      <c r="J2595" s="21"/>
      <c r="K2595" s="19"/>
    </row>
    <row r="2596" spans="3:11" x14ac:dyDescent="0.2">
      <c r="C2596" s="19"/>
      <c r="D2596" s="19"/>
      <c r="E2596" s="19"/>
      <c r="F2596" s="20"/>
      <c r="G2596" s="19"/>
      <c r="H2596" s="19"/>
      <c r="I2596" s="19"/>
      <c r="J2596" s="21"/>
      <c r="K2596" s="19"/>
    </row>
    <row r="2597" spans="3:11" x14ac:dyDescent="0.2">
      <c r="C2597" s="19"/>
      <c r="D2597" s="19"/>
      <c r="E2597" s="19"/>
      <c r="F2597" s="20"/>
      <c r="G2597" s="19"/>
      <c r="H2597" s="19"/>
      <c r="I2597" s="19"/>
      <c r="J2597" s="21"/>
      <c r="K2597" s="19"/>
    </row>
    <row r="2598" spans="3:11" x14ac:dyDescent="0.2">
      <c r="C2598" s="19"/>
      <c r="D2598" s="19"/>
      <c r="E2598" s="19"/>
      <c r="F2598" s="20"/>
      <c r="G2598" s="19"/>
      <c r="H2598" s="19"/>
      <c r="I2598" s="19"/>
      <c r="J2598" s="21"/>
      <c r="K2598" s="19"/>
    </row>
    <row r="2599" spans="3:11" x14ac:dyDescent="0.2">
      <c r="C2599" s="19"/>
      <c r="D2599" s="19"/>
      <c r="E2599" s="19"/>
      <c r="F2599" s="20"/>
      <c r="G2599" s="19"/>
      <c r="H2599" s="19"/>
      <c r="I2599" s="19"/>
      <c r="J2599" s="21"/>
      <c r="K2599" s="19"/>
    </row>
    <row r="2600" spans="3:11" x14ac:dyDescent="0.2">
      <c r="C2600" s="19"/>
      <c r="D2600" s="19"/>
      <c r="E2600" s="19"/>
      <c r="F2600" s="20"/>
      <c r="G2600" s="19"/>
      <c r="H2600" s="19"/>
      <c r="I2600" s="19"/>
      <c r="J2600" s="21"/>
      <c r="K2600" s="19"/>
    </row>
    <row r="2601" spans="3:11" x14ac:dyDescent="0.2">
      <c r="C2601" s="19"/>
      <c r="D2601" s="19"/>
      <c r="E2601" s="19"/>
      <c r="F2601" s="20"/>
      <c r="G2601" s="19"/>
      <c r="H2601" s="19"/>
      <c r="I2601" s="19"/>
      <c r="J2601" s="21"/>
      <c r="K2601" s="19"/>
    </row>
    <row r="2602" spans="3:11" x14ac:dyDescent="0.2">
      <c r="C2602" s="19"/>
      <c r="D2602" s="19"/>
      <c r="E2602" s="19"/>
      <c r="F2602" s="20"/>
      <c r="G2602" s="19"/>
      <c r="H2602" s="19"/>
      <c r="I2602" s="19"/>
      <c r="J2602" s="21"/>
      <c r="K2602" s="19"/>
    </row>
    <row r="2603" spans="3:11" x14ac:dyDescent="0.2">
      <c r="C2603" s="19"/>
      <c r="D2603" s="19"/>
      <c r="E2603" s="19"/>
      <c r="F2603" s="20"/>
      <c r="G2603" s="19"/>
      <c r="H2603" s="19"/>
      <c r="I2603" s="19"/>
      <c r="J2603" s="21"/>
      <c r="K2603" s="19"/>
    </row>
    <row r="2604" spans="3:11" x14ac:dyDescent="0.2">
      <c r="C2604" s="19"/>
      <c r="D2604" s="19"/>
      <c r="E2604" s="19"/>
      <c r="F2604" s="20"/>
      <c r="G2604" s="19"/>
      <c r="H2604" s="19"/>
      <c r="I2604" s="19"/>
      <c r="J2604" s="21"/>
      <c r="K2604" s="19"/>
    </row>
    <row r="2605" spans="3:11" x14ac:dyDescent="0.2">
      <c r="C2605" s="19"/>
      <c r="D2605" s="19"/>
      <c r="E2605" s="19"/>
      <c r="F2605" s="20"/>
      <c r="G2605" s="19"/>
      <c r="H2605" s="19"/>
      <c r="I2605" s="19"/>
      <c r="J2605" s="21"/>
      <c r="K2605" s="19"/>
    </row>
    <row r="2606" spans="3:11" x14ac:dyDescent="0.2">
      <c r="C2606" s="19"/>
      <c r="D2606" s="19"/>
      <c r="E2606" s="19"/>
      <c r="F2606" s="20"/>
      <c r="G2606" s="19"/>
      <c r="H2606" s="19"/>
      <c r="I2606" s="19"/>
      <c r="J2606" s="21"/>
      <c r="K2606" s="19"/>
    </row>
    <row r="2607" spans="3:11" x14ac:dyDescent="0.2">
      <c r="C2607" s="19"/>
      <c r="D2607" s="19"/>
      <c r="E2607" s="19"/>
      <c r="F2607" s="20"/>
      <c r="G2607" s="19"/>
      <c r="H2607" s="19"/>
      <c r="I2607" s="19"/>
      <c r="J2607" s="21"/>
      <c r="K2607" s="19"/>
    </row>
    <row r="2608" spans="3:11" x14ac:dyDescent="0.2">
      <c r="C2608" s="19"/>
      <c r="D2608" s="19"/>
      <c r="E2608" s="19"/>
      <c r="F2608" s="20"/>
      <c r="G2608" s="19"/>
      <c r="H2608" s="19"/>
      <c r="I2608" s="19"/>
      <c r="J2608" s="21"/>
      <c r="K2608" s="19"/>
    </row>
    <row r="2609" spans="3:11" x14ac:dyDescent="0.2">
      <c r="C2609" s="19"/>
      <c r="D2609" s="19"/>
      <c r="E2609" s="19"/>
      <c r="F2609" s="20"/>
      <c r="G2609" s="19"/>
      <c r="H2609" s="19"/>
      <c r="I2609" s="19"/>
      <c r="J2609" s="21"/>
      <c r="K2609" s="19"/>
    </row>
    <row r="2610" spans="3:11" x14ac:dyDescent="0.2">
      <c r="C2610" s="19"/>
      <c r="D2610" s="19"/>
      <c r="E2610" s="19"/>
      <c r="F2610" s="20"/>
      <c r="G2610" s="19"/>
      <c r="H2610" s="19"/>
      <c r="I2610" s="19"/>
      <c r="J2610" s="21"/>
      <c r="K2610" s="19"/>
    </row>
    <row r="2611" spans="3:11" x14ac:dyDescent="0.2">
      <c r="C2611" s="19"/>
      <c r="D2611" s="19"/>
      <c r="E2611" s="19"/>
      <c r="F2611" s="20"/>
      <c r="G2611" s="19"/>
      <c r="H2611" s="19"/>
      <c r="I2611" s="19"/>
      <c r="J2611" s="21"/>
      <c r="K2611" s="19"/>
    </row>
    <row r="2612" spans="3:11" x14ac:dyDescent="0.2">
      <c r="C2612" s="19"/>
      <c r="D2612" s="19"/>
      <c r="E2612" s="19"/>
      <c r="F2612" s="20"/>
      <c r="G2612" s="19"/>
      <c r="H2612" s="19"/>
      <c r="I2612" s="19"/>
      <c r="J2612" s="21"/>
      <c r="K2612" s="19"/>
    </row>
    <row r="2613" spans="3:11" x14ac:dyDescent="0.2">
      <c r="C2613" s="19"/>
      <c r="D2613" s="19"/>
      <c r="E2613" s="19"/>
      <c r="F2613" s="20"/>
      <c r="G2613" s="19"/>
      <c r="H2613" s="19"/>
      <c r="I2613" s="19"/>
      <c r="J2613" s="21"/>
      <c r="K2613" s="19"/>
    </row>
    <row r="2614" spans="3:11" x14ac:dyDescent="0.2">
      <c r="C2614" s="19"/>
      <c r="D2614" s="19"/>
      <c r="E2614" s="19"/>
      <c r="F2614" s="20"/>
      <c r="G2614" s="19"/>
      <c r="H2614" s="19"/>
      <c r="I2614" s="19"/>
      <c r="J2614" s="21"/>
      <c r="K2614" s="19"/>
    </row>
    <row r="2615" spans="3:11" x14ac:dyDescent="0.2">
      <c r="C2615" s="19"/>
      <c r="D2615" s="19"/>
      <c r="E2615" s="19"/>
      <c r="F2615" s="20"/>
      <c r="G2615" s="19"/>
      <c r="H2615" s="19"/>
      <c r="I2615" s="19"/>
      <c r="J2615" s="21"/>
      <c r="K2615" s="19"/>
    </row>
    <row r="2616" spans="3:11" x14ac:dyDescent="0.2">
      <c r="C2616" s="19"/>
      <c r="D2616" s="19"/>
      <c r="E2616" s="19"/>
      <c r="F2616" s="20"/>
      <c r="G2616" s="19"/>
      <c r="H2616" s="19"/>
      <c r="I2616" s="19"/>
      <c r="J2616" s="21"/>
      <c r="K2616" s="19"/>
    </row>
    <row r="2617" spans="3:11" x14ac:dyDescent="0.2">
      <c r="C2617" s="19"/>
      <c r="D2617" s="19"/>
      <c r="E2617" s="19"/>
      <c r="F2617" s="20"/>
      <c r="G2617" s="19"/>
      <c r="H2617" s="19"/>
      <c r="I2617" s="19"/>
      <c r="J2617" s="21"/>
      <c r="K2617" s="19"/>
    </row>
    <row r="2618" spans="3:11" x14ac:dyDescent="0.2">
      <c r="C2618" s="19"/>
      <c r="D2618" s="19"/>
      <c r="E2618" s="19"/>
      <c r="F2618" s="20"/>
      <c r="G2618" s="19"/>
      <c r="H2618" s="19"/>
      <c r="I2618" s="19"/>
      <c r="J2618" s="21"/>
      <c r="K2618" s="19"/>
    </row>
    <row r="2619" spans="3:11" x14ac:dyDescent="0.2">
      <c r="C2619" s="19"/>
      <c r="D2619" s="19"/>
      <c r="E2619" s="19"/>
      <c r="F2619" s="20"/>
      <c r="G2619" s="19"/>
      <c r="H2619" s="19"/>
      <c r="I2619" s="19"/>
      <c r="J2619" s="21"/>
      <c r="K2619" s="19"/>
    </row>
    <row r="2620" spans="3:11" x14ac:dyDescent="0.2">
      <c r="C2620" s="19"/>
      <c r="D2620" s="19"/>
      <c r="E2620" s="19"/>
      <c r="F2620" s="20"/>
      <c r="G2620" s="19"/>
      <c r="H2620" s="19"/>
      <c r="I2620" s="19"/>
      <c r="J2620" s="19"/>
      <c r="K2620" s="19"/>
    </row>
    <row r="2621" spans="3:11" x14ac:dyDescent="0.2">
      <c r="C2621" s="19"/>
      <c r="D2621" s="19"/>
      <c r="E2621" s="19"/>
      <c r="F2621" s="20"/>
      <c r="G2621" s="19"/>
      <c r="H2621" s="19"/>
      <c r="I2621" s="19"/>
      <c r="J2621" s="19"/>
      <c r="K2621" s="19"/>
    </row>
    <row r="2622" spans="3:11" x14ac:dyDescent="0.2">
      <c r="C2622" s="19"/>
      <c r="D2622" s="19"/>
      <c r="E2622" s="19"/>
      <c r="F2622" s="20"/>
      <c r="G2622" s="19"/>
      <c r="H2622" s="19"/>
      <c r="I2622" s="19"/>
      <c r="J2622" s="19"/>
      <c r="K2622" s="19"/>
    </row>
    <row r="2623" spans="3:11" x14ac:dyDescent="0.2">
      <c r="C2623" s="19"/>
      <c r="D2623" s="19"/>
      <c r="E2623" s="19"/>
      <c r="F2623" s="20"/>
      <c r="G2623" s="19"/>
      <c r="H2623" s="19"/>
      <c r="I2623" s="19"/>
      <c r="J2623" s="19"/>
      <c r="K2623" s="19"/>
    </row>
    <row r="2624" spans="3:11" x14ac:dyDescent="0.2">
      <c r="C2624" s="19"/>
      <c r="D2624" s="19"/>
      <c r="E2624" s="19"/>
      <c r="F2624" s="20"/>
      <c r="G2624" s="19"/>
      <c r="H2624" s="19"/>
      <c r="I2624" s="19"/>
      <c r="J2624" s="21"/>
      <c r="K2624" s="19"/>
    </row>
    <row r="2625" spans="3:11" x14ac:dyDescent="0.2">
      <c r="C2625" s="19"/>
      <c r="D2625" s="19"/>
      <c r="E2625" s="19"/>
      <c r="F2625" s="20"/>
      <c r="G2625" s="19"/>
      <c r="H2625" s="19"/>
      <c r="I2625" s="19"/>
      <c r="J2625" s="21"/>
      <c r="K2625" s="19"/>
    </row>
    <row r="2626" spans="3:11" x14ac:dyDescent="0.2">
      <c r="C2626" s="19"/>
      <c r="D2626" s="19"/>
      <c r="E2626" s="19"/>
      <c r="F2626" s="20"/>
      <c r="G2626" s="19"/>
      <c r="H2626" s="19"/>
      <c r="I2626" s="19"/>
      <c r="J2626" s="21"/>
      <c r="K2626" s="19"/>
    </row>
    <row r="2627" spans="3:11" x14ac:dyDescent="0.2">
      <c r="C2627" s="19"/>
      <c r="D2627" s="19"/>
      <c r="E2627" s="19"/>
      <c r="F2627" s="20"/>
      <c r="G2627" s="19"/>
      <c r="H2627" s="19"/>
      <c r="I2627" s="19"/>
      <c r="J2627" s="21"/>
      <c r="K2627" s="19"/>
    </row>
    <row r="2628" spans="3:11" x14ac:dyDescent="0.2">
      <c r="C2628" s="19"/>
      <c r="D2628" s="19"/>
      <c r="E2628" s="19"/>
      <c r="F2628" s="20"/>
      <c r="G2628" s="19"/>
      <c r="H2628" s="19"/>
      <c r="I2628" s="19"/>
      <c r="J2628" s="21"/>
      <c r="K2628" s="19"/>
    </row>
    <row r="2629" spans="3:11" x14ac:dyDescent="0.2">
      <c r="C2629" s="19"/>
      <c r="D2629" s="19"/>
      <c r="E2629" s="19"/>
      <c r="F2629" s="20"/>
      <c r="G2629" s="19"/>
      <c r="H2629" s="19"/>
      <c r="I2629" s="19"/>
      <c r="J2629" s="21"/>
      <c r="K2629" s="19"/>
    </row>
    <row r="2630" spans="3:11" x14ac:dyDescent="0.2">
      <c r="C2630" s="19"/>
      <c r="D2630" s="19"/>
      <c r="E2630" s="19"/>
      <c r="F2630" s="20"/>
      <c r="G2630" s="19"/>
      <c r="H2630" s="19"/>
      <c r="I2630" s="19"/>
      <c r="J2630" s="21"/>
      <c r="K2630" s="19"/>
    </row>
    <row r="2631" spans="3:11" x14ac:dyDescent="0.2">
      <c r="C2631" s="19"/>
      <c r="D2631" s="19"/>
      <c r="E2631" s="19"/>
      <c r="F2631" s="20"/>
      <c r="G2631" s="19"/>
      <c r="H2631" s="19"/>
      <c r="I2631" s="19"/>
      <c r="J2631" s="21"/>
      <c r="K2631" s="19"/>
    </row>
    <row r="2632" spans="3:11" x14ac:dyDescent="0.2">
      <c r="C2632" s="19"/>
      <c r="D2632" s="19"/>
      <c r="E2632" s="19"/>
      <c r="F2632" s="20"/>
      <c r="G2632" s="19"/>
      <c r="H2632" s="19"/>
      <c r="I2632" s="19"/>
      <c r="J2632" s="21"/>
      <c r="K2632" s="19"/>
    </row>
    <row r="2633" spans="3:11" x14ac:dyDescent="0.2">
      <c r="C2633" s="19"/>
      <c r="D2633" s="19"/>
      <c r="E2633" s="19"/>
      <c r="F2633" s="20"/>
      <c r="G2633" s="19"/>
      <c r="H2633" s="19"/>
      <c r="I2633" s="19"/>
      <c r="J2633" s="21"/>
      <c r="K2633" s="19"/>
    </row>
    <row r="2634" spans="3:11" x14ac:dyDescent="0.2">
      <c r="C2634" s="19"/>
      <c r="D2634" s="19"/>
      <c r="E2634" s="19"/>
      <c r="F2634" s="20"/>
      <c r="G2634" s="19"/>
      <c r="H2634" s="19"/>
      <c r="I2634" s="19"/>
      <c r="J2634" s="21"/>
      <c r="K2634" s="19"/>
    </row>
    <row r="2635" spans="3:11" x14ac:dyDescent="0.2">
      <c r="C2635" s="19"/>
      <c r="D2635" s="19"/>
      <c r="E2635" s="19"/>
      <c r="F2635" s="20"/>
      <c r="G2635" s="19"/>
      <c r="H2635" s="19"/>
      <c r="I2635" s="19"/>
      <c r="J2635" s="21"/>
      <c r="K2635" s="19"/>
    </row>
    <row r="2636" spans="3:11" x14ac:dyDescent="0.2">
      <c r="C2636" s="19"/>
      <c r="D2636" s="19"/>
      <c r="E2636" s="19"/>
      <c r="F2636" s="20"/>
      <c r="G2636" s="19"/>
      <c r="H2636" s="19"/>
      <c r="I2636" s="19"/>
      <c r="J2636" s="21"/>
      <c r="K2636" s="19"/>
    </row>
    <row r="2637" spans="3:11" x14ac:dyDescent="0.2">
      <c r="C2637" s="19"/>
      <c r="D2637" s="19"/>
      <c r="E2637" s="19"/>
      <c r="F2637" s="20"/>
      <c r="G2637" s="19"/>
      <c r="H2637" s="19"/>
      <c r="I2637" s="19"/>
      <c r="J2637" s="21"/>
      <c r="K2637" s="19"/>
    </row>
    <row r="2638" spans="3:11" x14ac:dyDescent="0.2">
      <c r="C2638" s="19"/>
      <c r="D2638" s="19"/>
      <c r="E2638" s="19"/>
      <c r="F2638" s="20"/>
      <c r="G2638" s="19"/>
      <c r="H2638" s="19"/>
      <c r="I2638" s="19"/>
      <c r="J2638" s="21"/>
      <c r="K2638" s="19"/>
    </row>
    <row r="2639" spans="3:11" x14ac:dyDescent="0.2">
      <c r="C2639" s="19"/>
      <c r="D2639" s="19"/>
      <c r="E2639" s="19"/>
      <c r="F2639" s="20"/>
      <c r="G2639" s="19"/>
      <c r="H2639" s="19"/>
      <c r="I2639" s="19"/>
      <c r="J2639" s="21"/>
      <c r="K2639" s="19"/>
    </row>
    <row r="2640" spans="3:11" x14ac:dyDescent="0.2">
      <c r="C2640" s="19"/>
      <c r="D2640" s="19"/>
      <c r="E2640" s="19"/>
      <c r="F2640" s="20"/>
      <c r="G2640" s="19"/>
      <c r="H2640" s="19"/>
      <c r="I2640" s="19"/>
      <c r="J2640" s="21"/>
      <c r="K2640" s="19"/>
    </row>
    <row r="2641" spans="3:11" x14ac:dyDescent="0.2">
      <c r="C2641" s="19"/>
      <c r="D2641" s="19"/>
      <c r="E2641" s="19"/>
      <c r="F2641" s="20"/>
      <c r="G2641" s="19"/>
      <c r="H2641" s="19"/>
      <c r="I2641" s="19"/>
      <c r="J2641" s="21"/>
      <c r="K2641" s="19"/>
    </row>
    <row r="2642" spans="3:11" x14ac:dyDescent="0.2">
      <c r="C2642" s="19"/>
      <c r="D2642" s="19"/>
      <c r="E2642" s="19"/>
      <c r="F2642" s="20"/>
      <c r="G2642" s="19"/>
      <c r="H2642" s="19"/>
      <c r="I2642" s="19"/>
      <c r="J2642" s="21"/>
      <c r="K2642" s="19"/>
    </row>
    <row r="2643" spans="3:11" x14ac:dyDescent="0.2">
      <c r="C2643" s="19"/>
      <c r="D2643" s="19"/>
      <c r="E2643" s="19"/>
      <c r="F2643" s="20"/>
      <c r="G2643" s="19"/>
      <c r="H2643" s="19"/>
      <c r="I2643" s="19"/>
      <c r="J2643" s="21"/>
      <c r="K2643" s="19"/>
    </row>
    <row r="2644" spans="3:11" x14ac:dyDescent="0.2">
      <c r="C2644" s="19"/>
      <c r="D2644" s="19"/>
      <c r="E2644" s="19"/>
      <c r="F2644" s="20"/>
      <c r="G2644" s="19"/>
      <c r="H2644" s="19"/>
      <c r="I2644" s="19"/>
      <c r="J2644" s="21"/>
      <c r="K2644" s="19"/>
    </row>
    <row r="2645" spans="3:11" x14ac:dyDescent="0.2">
      <c r="C2645" s="19"/>
      <c r="D2645" s="19"/>
      <c r="E2645" s="19"/>
      <c r="F2645" s="20"/>
      <c r="G2645" s="19"/>
      <c r="H2645" s="19"/>
      <c r="I2645" s="19"/>
      <c r="J2645" s="21"/>
      <c r="K2645" s="19"/>
    </row>
    <row r="2646" spans="3:11" x14ac:dyDescent="0.2">
      <c r="C2646" s="19"/>
      <c r="D2646" s="19"/>
      <c r="E2646" s="19"/>
      <c r="F2646" s="20"/>
      <c r="G2646" s="19"/>
      <c r="H2646" s="19"/>
      <c r="I2646" s="19"/>
      <c r="J2646" s="21"/>
      <c r="K2646" s="19"/>
    </row>
    <row r="2647" spans="3:11" x14ac:dyDescent="0.2">
      <c r="C2647" s="19"/>
      <c r="D2647" s="19"/>
      <c r="E2647" s="19"/>
      <c r="F2647" s="20"/>
      <c r="G2647" s="19"/>
      <c r="H2647" s="19"/>
      <c r="I2647" s="19"/>
      <c r="J2647" s="21"/>
      <c r="K2647" s="19"/>
    </row>
    <row r="2648" spans="3:11" x14ac:dyDescent="0.2">
      <c r="C2648" s="19"/>
      <c r="D2648" s="19"/>
      <c r="E2648" s="19"/>
      <c r="F2648" s="20"/>
      <c r="G2648" s="19"/>
      <c r="H2648" s="19"/>
      <c r="I2648" s="19"/>
      <c r="J2648" s="21"/>
      <c r="K2648" s="19"/>
    </row>
    <row r="2649" spans="3:11" x14ac:dyDescent="0.2">
      <c r="C2649" s="19"/>
      <c r="D2649" s="19"/>
      <c r="E2649" s="19"/>
      <c r="F2649" s="20"/>
      <c r="G2649" s="19"/>
      <c r="H2649" s="19"/>
      <c r="I2649" s="19"/>
      <c r="J2649" s="21"/>
      <c r="K2649" s="19"/>
    </row>
    <row r="2650" spans="3:11" x14ac:dyDescent="0.2">
      <c r="C2650" s="19"/>
      <c r="D2650" s="19"/>
      <c r="E2650" s="19"/>
      <c r="F2650" s="20"/>
      <c r="G2650" s="19"/>
      <c r="H2650" s="19"/>
      <c r="I2650" s="19"/>
      <c r="J2650" s="21"/>
      <c r="K2650" s="19"/>
    </row>
    <row r="2651" spans="3:11" x14ac:dyDescent="0.2">
      <c r="C2651" s="19"/>
      <c r="D2651" s="19"/>
      <c r="E2651" s="19"/>
      <c r="F2651" s="20"/>
      <c r="G2651" s="19"/>
      <c r="H2651" s="19"/>
      <c r="I2651" s="19"/>
      <c r="J2651" s="21"/>
      <c r="K2651" s="19"/>
    </row>
    <row r="2652" spans="3:11" x14ac:dyDescent="0.2">
      <c r="C2652" s="19"/>
      <c r="D2652" s="19"/>
      <c r="E2652" s="19"/>
      <c r="F2652" s="20"/>
      <c r="G2652" s="19"/>
      <c r="H2652" s="19"/>
      <c r="I2652" s="19"/>
      <c r="J2652" s="21"/>
      <c r="K2652" s="19"/>
    </row>
    <row r="2653" spans="3:11" x14ac:dyDescent="0.2">
      <c r="C2653" s="19"/>
      <c r="D2653" s="19"/>
      <c r="E2653" s="19"/>
      <c r="F2653" s="20"/>
      <c r="G2653" s="19"/>
      <c r="H2653" s="19"/>
      <c r="I2653" s="19"/>
      <c r="J2653" s="21"/>
      <c r="K2653" s="19"/>
    </row>
    <row r="2654" spans="3:11" x14ac:dyDescent="0.2">
      <c r="C2654" s="19"/>
      <c r="D2654" s="19"/>
      <c r="E2654" s="19"/>
      <c r="F2654" s="20"/>
      <c r="G2654" s="19"/>
      <c r="H2654" s="19"/>
      <c r="I2654" s="19"/>
      <c r="J2654" s="21"/>
      <c r="K2654" s="19"/>
    </row>
    <row r="2655" spans="3:11" x14ac:dyDescent="0.2">
      <c r="C2655" s="19"/>
      <c r="D2655" s="19"/>
      <c r="E2655" s="19"/>
      <c r="F2655" s="20"/>
      <c r="G2655" s="19"/>
      <c r="H2655" s="19"/>
      <c r="I2655" s="19"/>
      <c r="J2655" s="21"/>
      <c r="K2655" s="19"/>
    </row>
    <row r="2656" spans="3:11" x14ac:dyDescent="0.2">
      <c r="C2656" s="19"/>
      <c r="D2656" s="19"/>
      <c r="E2656" s="19"/>
      <c r="F2656" s="20"/>
      <c r="G2656" s="19"/>
      <c r="H2656" s="19"/>
      <c r="I2656" s="19"/>
      <c r="J2656" s="19"/>
      <c r="K2656" s="19"/>
    </row>
    <row r="2657" spans="3:11" x14ac:dyDescent="0.2">
      <c r="C2657" s="19"/>
      <c r="D2657" s="19"/>
      <c r="E2657" s="19"/>
      <c r="F2657" s="20"/>
      <c r="G2657" s="19"/>
      <c r="H2657" s="19"/>
      <c r="I2657" s="19"/>
      <c r="J2657" s="19"/>
      <c r="K2657" s="19"/>
    </row>
    <row r="2658" spans="3:11" x14ac:dyDescent="0.2">
      <c r="C2658" s="19"/>
      <c r="D2658" s="19"/>
      <c r="E2658" s="19"/>
      <c r="F2658" s="20"/>
      <c r="G2658" s="19"/>
      <c r="H2658" s="19"/>
      <c r="I2658" s="19"/>
      <c r="J2658" s="19"/>
      <c r="K2658" s="19"/>
    </row>
    <row r="2659" spans="3:11" x14ac:dyDescent="0.2">
      <c r="C2659" s="19"/>
      <c r="D2659" s="19"/>
      <c r="E2659" s="19"/>
      <c r="F2659" s="20"/>
      <c r="G2659" s="19"/>
      <c r="H2659" s="19"/>
      <c r="I2659" s="19"/>
      <c r="J2659" s="19"/>
      <c r="K2659" s="19"/>
    </row>
    <row r="2660" spans="3:11" x14ac:dyDescent="0.2">
      <c r="C2660" s="19"/>
      <c r="D2660" s="19"/>
      <c r="E2660" s="19"/>
      <c r="F2660" s="20"/>
      <c r="G2660" s="19"/>
      <c r="H2660" s="19"/>
      <c r="I2660" s="19"/>
      <c r="J2660" s="21"/>
      <c r="K2660" s="19"/>
    </row>
    <row r="2661" spans="3:11" x14ac:dyDescent="0.2">
      <c r="C2661" s="19"/>
      <c r="D2661" s="19"/>
      <c r="E2661" s="19"/>
      <c r="F2661" s="20"/>
      <c r="G2661" s="19"/>
      <c r="H2661" s="19"/>
      <c r="I2661" s="19"/>
      <c r="J2661" s="21"/>
      <c r="K2661" s="19"/>
    </row>
    <row r="2662" spans="3:11" x14ac:dyDescent="0.2">
      <c r="C2662" s="19"/>
      <c r="D2662" s="19"/>
      <c r="E2662" s="19"/>
      <c r="F2662" s="20"/>
      <c r="G2662" s="19"/>
      <c r="H2662" s="19"/>
      <c r="I2662" s="19"/>
      <c r="J2662" s="21"/>
      <c r="K2662" s="19"/>
    </row>
    <row r="2663" spans="3:11" x14ac:dyDescent="0.2">
      <c r="C2663" s="19"/>
      <c r="D2663" s="19"/>
      <c r="E2663" s="19"/>
      <c r="F2663" s="20"/>
      <c r="G2663" s="19"/>
      <c r="H2663" s="19"/>
      <c r="I2663" s="19"/>
      <c r="J2663" s="21"/>
      <c r="K2663" s="19"/>
    </row>
    <row r="2664" spans="3:11" x14ac:dyDescent="0.2">
      <c r="C2664" s="19"/>
      <c r="D2664" s="19"/>
      <c r="E2664" s="19"/>
      <c r="F2664" s="20"/>
      <c r="G2664" s="19"/>
      <c r="H2664" s="19"/>
      <c r="I2664" s="19"/>
      <c r="J2664" s="21"/>
      <c r="K2664" s="19"/>
    </row>
    <row r="2665" spans="3:11" x14ac:dyDescent="0.2">
      <c r="C2665" s="19"/>
      <c r="D2665" s="19"/>
      <c r="E2665" s="19"/>
      <c r="F2665" s="20"/>
      <c r="G2665" s="19"/>
      <c r="H2665" s="19"/>
      <c r="I2665" s="19"/>
      <c r="J2665" s="21"/>
      <c r="K2665" s="19"/>
    </row>
    <row r="2666" spans="3:11" x14ac:dyDescent="0.2">
      <c r="C2666" s="19"/>
      <c r="D2666" s="19"/>
      <c r="E2666" s="19"/>
      <c r="F2666" s="20"/>
      <c r="G2666" s="19"/>
      <c r="H2666" s="19"/>
      <c r="I2666" s="19"/>
      <c r="J2666" s="21"/>
      <c r="K2666" s="19"/>
    </row>
    <row r="2667" spans="3:11" x14ac:dyDescent="0.2">
      <c r="C2667" s="19"/>
      <c r="D2667" s="19"/>
      <c r="E2667" s="19"/>
      <c r="F2667" s="20"/>
      <c r="G2667" s="19"/>
      <c r="H2667" s="19"/>
      <c r="I2667" s="19"/>
      <c r="J2667" s="21"/>
      <c r="K2667" s="19"/>
    </row>
    <row r="2668" spans="3:11" x14ac:dyDescent="0.2">
      <c r="C2668" s="19"/>
      <c r="D2668" s="19"/>
      <c r="E2668" s="19"/>
      <c r="F2668" s="20"/>
      <c r="G2668" s="19"/>
      <c r="H2668" s="19"/>
      <c r="I2668" s="19"/>
      <c r="J2668" s="21"/>
      <c r="K2668" s="19"/>
    </row>
    <row r="2669" spans="3:11" x14ac:dyDescent="0.2">
      <c r="C2669" s="19"/>
      <c r="D2669" s="19"/>
      <c r="E2669" s="19"/>
      <c r="F2669" s="20"/>
      <c r="G2669" s="19"/>
      <c r="H2669" s="19"/>
      <c r="I2669" s="19"/>
      <c r="J2669" s="21"/>
      <c r="K2669" s="19"/>
    </row>
    <row r="2670" spans="3:11" x14ac:dyDescent="0.2">
      <c r="C2670" s="19"/>
      <c r="D2670" s="19"/>
      <c r="E2670" s="19"/>
      <c r="F2670" s="20"/>
      <c r="G2670" s="19"/>
      <c r="H2670" s="19"/>
      <c r="I2670" s="19"/>
      <c r="J2670" s="21"/>
      <c r="K2670" s="19"/>
    </row>
    <row r="2671" spans="3:11" x14ac:dyDescent="0.2">
      <c r="C2671" s="19"/>
      <c r="D2671" s="19"/>
      <c r="E2671" s="19"/>
      <c r="F2671" s="20"/>
      <c r="G2671" s="19"/>
      <c r="H2671" s="19"/>
      <c r="I2671" s="19"/>
      <c r="J2671" s="21"/>
      <c r="K2671" s="19"/>
    </row>
    <row r="2672" spans="3:11" x14ac:dyDescent="0.2">
      <c r="C2672" s="19"/>
      <c r="D2672" s="19"/>
      <c r="E2672" s="19"/>
      <c r="F2672" s="20"/>
      <c r="G2672" s="19"/>
      <c r="H2672" s="19"/>
      <c r="I2672" s="19"/>
      <c r="J2672" s="21"/>
      <c r="K2672" s="19"/>
    </row>
    <row r="2673" spans="3:11" x14ac:dyDescent="0.2">
      <c r="C2673" s="19"/>
      <c r="D2673" s="19"/>
      <c r="E2673" s="19"/>
      <c r="F2673" s="20"/>
      <c r="G2673" s="19"/>
      <c r="H2673" s="19"/>
      <c r="I2673" s="19"/>
      <c r="J2673" s="21"/>
      <c r="K2673" s="19"/>
    </row>
    <row r="2674" spans="3:11" x14ac:dyDescent="0.2">
      <c r="C2674" s="19"/>
      <c r="D2674" s="19"/>
      <c r="E2674" s="19"/>
      <c r="F2674" s="20"/>
      <c r="G2674" s="19"/>
      <c r="H2674" s="19"/>
      <c r="I2674" s="19"/>
      <c r="J2674" s="21"/>
      <c r="K2674" s="19"/>
    </row>
    <row r="2675" spans="3:11" x14ac:dyDescent="0.2">
      <c r="C2675" s="19"/>
      <c r="D2675" s="19"/>
      <c r="E2675" s="19"/>
      <c r="F2675" s="20"/>
      <c r="G2675" s="19"/>
      <c r="H2675" s="19"/>
      <c r="I2675" s="19"/>
      <c r="J2675" s="21"/>
      <c r="K2675" s="19"/>
    </row>
    <row r="2676" spans="3:11" x14ac:dyDescent="0.2">
      <c r="C2676" s="19"/>
      <c r="D2676" s="19"/>
      <c r="E2676" s="19"/>
      <c r="F2676" s="20"/>
      <c r="G2676" s="19"/>
      <c r="H2676" s="19"/>
      <c r="I2676" s="19"/>
      <c r="J2676" s="21"/>
      <c r="K2676" s="19"/>
    </row>
    <row r="2677" spans="3:11" x14ac:dyDescent="0.2">
      <c r="C2677" s="19"/>
      <c r="D2677" s="19"/>
      <c r="E2677" s="19"/>
      <c r="F2677" s="20"/>
      <c r="G2677" s="19"/>
      <c r="H2677" s="19"/>
      <c r="I2677" s="19"/>
      <c r="J2677" s="21"/>
      <c r="K2677" s="19"/>
    </row>
    <row r="2678" spans="3:11" x14ac:dyDescent="0.2">
      <c r="C2678" s="19"/>
      <c r="D2678" s="19"/>
      <c r="E2678" s="19"/>
      <c r="F2678" s="20"/>
      <c r="G2678" s="19"/>
      <c r="H2678" s="19"/>
      <c r="I2678" s="19"/>
      <c r="J2678" s="21"/>
      <c r="K2678" s="19"/>
    </row>
    <row r="2679" spans="3:11" x14ac:dyDescent="0.2">
      <c r="C2679" s="19"/>
      <c r="D2679" s="19"/>
      <c r="E2679" s="19"/>
      <c r="F2679" s="20"/>
      <c r="G2679" s="19"/>
      <c r="H2679" s="19"/>
      <c r="I2679" s="19"/>
      <c r="J2679" s="21"/>
      <c r="K2679" s="19"/>
    </row>
    <row r="2680" spans="3:11" x14ac:dyDescent="0.2">
      <c r="C2680" s="19"/>
      <c r="D2680" s="19"/>
      <c r="E2680" s="19"/>
      <c r="F2680" s="20"/>
      <c r="G2680" s="19"/>
      <c r="H2680" s="19"/>
      <c r="I2680" s="19"/>
      <c r="J2680" s="21"/>
      <c r="K2680" s="19"/>
    </row>
    <row r="2681" spans="3:11" x14ac:dyDescent="0.2">
      <c r="C2681" s="19"/>
      <c r="D2681" s="19"/>
      <c r="E2681" s="19"/>
      <c r="F2681" s="20"/>
      <c r="G2681" s="19"/>
      <c r="H2681" s="19"/>
      <c r="I2681" s="19"/>
      <c r="J2681" s="21"/>
      <c r="K2681" s="19"/>
    </row>
    <row r="2682" spans="3:11" x14ac:dyDescent="0.2">
      <c r="C2682" s="19"/>
      <c r="D2682" s="19"/>
      <c r="E2682" s="19"/>
      <c r="F2682" s="20"/>
      <c r="G2682" s="19"/>
      <c r="H2682" s="19"/>
      <c r="I2682" s="19"/>
      <c r="J2682" s="21"/>
      <c r="K2682" s="19"/>
    </row>
    <row r="2683" spans="3:11" x14ac:dyDescent="0.2">
      <c r="C2683" s="19"/>
      <c r="D2683" s="19"/>
      <c r="E2683" s="19"/>
      <c r="F2683" s="20"/>
      <c r="G2683" s="19"/>
      <c r="H2683" s="19"/>
      <c r="I2683" s="19"/>
      <c r="J2683" s="19"/>
      <c r="K2683" s="19"/>
    </row>
    <row r="2684" spans="3:11" x14ac:dyDescent="0.2">
      <c r="C2684" s="19"/>
      <c r="D2684" s="19"/>
      <c r="E2684" s="19"/>
      <c r="F2684" s="20"/>
      <c r="G2684" s="19"/>
      <c r="H2684" s="19"/>
      <c r="I2684" s="19"/>
      <c r="J2684" s="21"/>
      <c r="K2684" s="19"/>
    </row>
    <row r="2685" spans="3:11" x14ac:dyDescent="0.2">
      <c r="C2685" s="19"/>
      <c r="D2685" s="19"/>
      <c r="E2685" s="19"/>
      <c r="F2685" s="20"/>
      <c r="G2685" s="19"/>
      <c r="H2685" s="19"/>
      <c r="I2685" s="19"/>
      <c r="J2685" s="21"/>
      <c r="K2685" s="19"/>
    </row>
    <row r="2686" spans="3:11" x14ac:dyDescent="0.2">
      <c r="C2686" s="19"/>
      <c r="D2686" s="19"/>
      <c r="E2686" s="19"/>
      <c r="F2686" s="20"/>
      <c r="G2686" s="19"/>
      <c r="H2686" s="19"/>
      <c r="I2686" s="19"/>
      <c r="J2686" s="21"/>
      <c r="K2686" s="19"/>
    </row>
    <row r="2687" spans="3:11" x14ac:dyDescent="0.2">
      <c r="C2687" s="19"/>
      <c r="D2687" s="19"/>
      <c r="E2687" s="19"/>
      <c r="F2687" s="20"/>
      <c r="G2687" s="19"/>
      <c r="H2687" s="19"/>
      <c r="I2687" s="19"/>
      <c r="J2687" s="21"/>
      <c r="K2687" s="19"/>
    </row>
    <row r="2688" spans="3:11" x14ac:dyDescent="0.2">
      <c r="C2688" s="19"/>
      <c r="D2688" s="19"/>
      <c r="E2688" s="19"/>
      <c r="F2688" s="20"/>
      <c r="G2688" s="19"/>
      <c r="H2688" s="19"/>
      <c r="I2688" s="19"/>
      <c r="J2688" s="21"/>
      <c r="K2688" s="19"/>
    </row>
    <row r="2689" spans="3:11" x14ac:dyDescent="0.2">
      <c r="C2689" s="19"/>
      <c r="D2689" s="19"/>
      <c r="E2689" s="19"/>
      <c r="F2689" s="20"/>
      <c r="G2689" s="19"/>
      <c r="H2689" s="19"/>
      <c r="I2689" s="19"/>
      <c r="J2689" s="21"/>
      <c r="K2689" s="19"/>
    </row>
    <row r="2690" spans="3:11" x14ac:dyDescent="0.2">
      <c r="C2690" s="19"/>
      <c r="D2690" s="19"/>
      <c r="E2690" s="19"/>
      <c r="F2690" s="20"/>
      <c r="G2690" s="19"/>
      <c r="H2690" s="19"/>
      <c r="I2690" s="19"/>
      <c r="J2690" s="21"/>
      <c r="K2690" s="19"/>
    </row>
    <row r="2691" spans="3:11" x14ac:dyDescent="0.2">
      <c r="C2691" s="19"/>
      <c r="D2691" s="19"/>
      <c r="E2691" s="19"/>
      <c r="F2691" s="20"/>
      <c r="G2691" s="19"/>
      <c r="H2691" s="19"/>
      <c r="I2691" s="19"/>
      <c r="J2691" s="19"/>
      <c r="K2691" s="19"/>
    </row>
    <row r="2692" spans="3:11" x14ac:dyDescent="0.2">
      <c r="C2692" s="19"/>
      <c r="D2692" s="19"/>
      <c r="E2692" s="19"/>
      <c r="F2692" s="20"/>
      <c r="G2692" s="19"/>
      <c r="H2692" s="19"/>
      <c r="I2692" s="19"/>
      <c r="J2692" s="19"/>
      <c r="K2692" s="19"/>
    </row>
    <row r="2693" spans="3:11" x14ac:dyDescent="0.2">
      <c r="C2693" s="19"/>
      <c r="D2693" s="19"/>
      <c r="E2693" s="19"/>
      <c r="F2693" s="20"/>
      <c r="G2693" s="19"/>
      <c r="H2693" s="19"/>
      <c r="I2693" s="19"/>
      <c r="J2693" s="21"/>
      <c r="K2693" s="19"/>
    </row>
    <row r="2694" spans="3:11" x14ac:dyDescent="0.2">
      <c r="C2694" s="19"/>
      <c r="D2694" s="19"/>
      <c r="E2694" s="19"/>
      <c r="F2694" s="20"/>
      <c r="G2694" s="19"/>
      <c r="H2694" s="19"/>
      <c r="I2694" s="19"/>
      <c r="J2694" s="21"/>
      <c r="K2694" s="19"/>
    </row>
    <row r="2695" spans="3:11" x14ac:dyDescent="0.2">
      <c r="C2695" s="19"/>
      <c r="D2695" s="19"/>
      <c r="E2695" s="19"/>
      <c r="F2695" s="20"/>
      <c r="G2695" s="19"/>
      <c r="H2695" s="19"/>
      <c r="I2695" s="19"/>
      <c r="J2695" s="19"/>
      <c r="K2695" s="19"/>
    </row>
    <row r="2696" spans="3:11" x14ac:dyDescent="0.2">
      <c r="C2696" s="19"/>
      <c r="D2696" s="19"/>
      <c r="E2696" s="19"/>
      <c r="F2696" s="20"/>
      <c r="G2696" s="19"/>
      <c r="H2696" s="19"/>
      <c r="I2696" s="19"/>
      <c r="J2696" s="21"/>
      <c r="K2696" s="19"/>
    </row>
    <row r="2697" spans="3:11" x14ac:dyDescent="0.2">
      <c r="C2697" s="19"/>
      <c r="D2697" s="19"/>
      <c r="E2697" s="19"/>
      <c r="F2697" s="20"/>
      <c r="G2697" s="19"/>
      <c r="H2697" s="19"/>
      <c r="I2697" s="19"/>
      <c r="J2697" s="19"/>
      <c r="K2697" s="19"/>
    </row>
    <row r="2698" spans="3:11" x14ac:dyDescent="0.2">
      <c r="C2698" s="19"/>
      <c r="D2698" s="19"/>
      <c r="E2698" s="19"/>
      <c r="F2698" s="20"/>
      <c r="G2698" s="19"/>
      <c r="H2698" s="19"/>
      <c r="I2698" s="19"/>
      <c r="J2698" s="19"/>
      <c r="K2698" s="19"/>
    </row>
    <row r="2699" spans="3:11" x14ac:dyDescent="0.2">
      <c r="C2699" s="19"/>
      <c r="D2699" s="19"/>
      <c r="E2699" s="19"/>
      <c r="F2699" s="20"/>
      <c r="G2699" s="19"/>
      <c r="H2699" s="19"/>
      <c r="I2699" s="19"/>
      <c r="J2699" s="19"/>
      <c r="K2699" s="19"/>
    </row>
    <row r="2700" spans="3:11" x14ac:dyDescent="0.2">
      <c r="C2700" s="19"/>
      <c r="D2700" s="19"/>
      <c r="E2700" s="19"/>
      <c r="F2700" s="20"/>
      <c r="G2700" s="19"/>
      <c r="H2700" s="19"/>
      <c r="I2700" s="19"/>
      <c r="J2700" s="21"/>
      <c r="K2700" s="19"/>
    </row>
    <row r="2701" spans="3:11" x14ac:dyDescent="0.2">
      <c r="C2701" s="19"/>
      <c r="D2701" s="19"/>
      <c r="E2701" s="19"/>
      <c r="F2701" s="20"/>
      <c r="G2701" s="19"/>
      <c r="H2701" s="19"/>
      <c r="I2701" s="19"/>
      <c r="J2701" s="21"/>
      <c r="K2701" s="19"/>
    </row>
    <row r="2702" spans="3:11" x14ac:dyDescent="0.2">
      <c r="C2702" s="19"/>
      <c r="D2702" s="19"/>
      <c r="E2702" s="19"/>
      <c r="F2702" s="20"/>
      <c r="G2702" s="19"/>
      <c r="H2702" s="19"/>
      <c r="I2702" s="19"/>
      <c r="J2702" s="21"/>
      <c r="K2702" s="19"/>
    </row>
    <row r="2703" spans="3:11" x14ac:dyDescent="0.2">
      <c r="C2703" s="19"/>
      <c r="D2703" s="19"/>
      <c r="E2703" s="19"/>
      <c r="F2703" s="20"/>
      <c r="G2703" s="19"/>
      <c r="H2703" s="19"/>
      <c r="I2703" s="19"/>
      <c r="J2703" s="21"/>
      <c r="K2703" s="19"/>
    </row>
    <row r="2704" spans="3:11" x14ac:dyDescent="0.2">
      <c r="C2704" s="19"/>
      <c r="D2704" s="19"/>
      <c r="E2704" s="19"/>
      <c r="F2704" s="20"/>
      <c r="G2704" s="19"/>
      <c r="H2704" s="19"/>
      <c r="I2704" s="19"/>
      <c r="J2704" s="21"/>
      <c r="K2704" s="19"/>
    </row>
    <row r="2705" spans="3:11" x14ac:dyDescent="0.2">
      <c r="C2705" s="19"/>
      <c r="D2705" s="19"/>
      <c r="E2705" s="19"/>
      <c r="F2705" s="20"/>
      <c r="G2705" s="19"/>
      <c r="H2705" s="19"/>
      <c r="I2705" s="19"/>
      <c r="J2705" s="21"/>
      <c r="K2705" s="19"/>
    </row>
    <row r="2706" spans="3:11" x14ac:dyDescent="0.2">
      <c r="C2706" s="19"/>
      <c r="D2706" s="19"/>
      <c r="E2706" s="19"/>
      <c r="F2706" s="20"/>
      <c r="G2706" s="19"/>
      <c r="H2706" s="19"/>
      <c r="I2706" s="19"/>
      <c r="J2706" s="21"/>
      <c r="K2706" s="19"/>
    </row>
    <row r="2707" spans="3:11" x14ac:dyDescent="0.2">
      <c r="C2707" s="19"/>
      <c r="D2707" s="19"/>
      <c r="E2707" s="19"/>
      <c r="F2707" s="20"/>
      <c r="G2707" s="19"/>
      <c r="H2707" s="19"/>
      <c r="I2707" s="19"/>
      <c r="J2707" s="21"/>
      <c r="K2707" s="19"/>
    </row>
    <row r="2708" spans="3:11" x14ac:dyDescent="0.2">
      <c r="C2708" s="19"/>
      <c r="D2708" s="19"/>
      <c r="E2708" s="19"/>
      <c r="F2708" s="20"/>
      <c r="G2708" s="19"/>
      <c r="H2708" s="19"/>
      <c r="I2708" s="19"/>
      <c r="J2708" s="21"/>
      <c r="K2708" s="19"/>
    </row>
    <row r="2709" spans="3:11" x14ac:dyDescent="0.2">
      <c r="C2709" s="19"/>
      <c r="D2709" s="19"/>
      <c r="E2709" s="19"/>
      <c r="F2709" s="20"/>
      <c r="G2709" s="19"/>
      <c r="H2709" s="19"/>
      <c r="I2709" s="19"/>
      <c r="J2709" s="21"/>
      <c r="K2709" s="19"/>
    </row>
    <row r="2710" spans="3:11" x14ac:dyDescent="0.2">
      <c r="C2710" s="19"/>
      <c r="D2710" s="19"/>
      <c r="E2710" s="19"/>
      <c r="F2710" s="20"/>
      <c r="G2710" s="19"/>
      <c r="H2710" s="19"/>
      <c r="I2710" s="19"/>
      <c r="J2710" s="21"/>
      <c r="K2710" s="19"/>
    </row>
    <row r="2711" spans="3:11" x14ac:dyDescent="0.2">
      <c r="C2711" s="19"/>
      <c r="D2711" s="19"/>
      <c r="E2711" s="19"/>
      <c r="F2711" s="20"/>
      <c r="G2711" s="19"/>
      <c r="H2711" s="19"/>
      <c r="I2711" s="19"/>
      <c r="J2711" s="21"/>
      <c r="K2711" s="19"/>
    </row>
    <row r="2712" spans="3:11" x14ac:dyDescent="0.2">
      <c r="C2712" s="19"/>
      <c r="D2712" s="19"/>
      <c r="E2712" s="19"/>
      <c r="F2712" s="20"/>
      <c r="G2712" s="19"/>
      <c r="H2712" s="19"/>
      <c r="I2712" s="19"/>
      <c r="J2712" s="21"/>
      <c r="K2712" s="19"/>
    </row>
    <row r="2713" spans="3:11" x14ac:dyDescent="0.2">
      <c r="C2713" s="19"/>
      <c r="D2713" s="19"/>
      <c r="E2713" s="19"/>
      <c r="F2713" s="20"/>
      <c r="G2713" s="19"/>
      <c r="H2713" s="19"/>
      <c r="I2713" s="19"/>
      <c r="J2713" s="21"/>
      <c r="K2713" s="19"/>
    </row>
    <row r="2714" spans="3:11" x14ac:dyDescent="0.2">
      <c r="C2714" s="19"/>
      <c r="D2714" s="19"/>
      <c r="E2714" s="19"/>
      <c r="F2714" s="20"/>
      <c r="G2714" s="19"/>
      <c r="H2714" s="19"/>
      <c r="I2714" s="19"/>
      <c r="J2714" s="21"/>
      <c r="K2714" s="19"/>
    </row>
    <row r="2715" spans="3:11" x14ac:dyDescent="0.2">
      <c r="C2715" s="19"/>
      <c r="D2715" s="19"/>
      <c r="E2715" s="19"/>
      <c r="F2715" s="20"/>
      <c r="G2715" s="19"/>
      <c r="H2715" s="19"/>
      <c r="I2715" s="19"/>
      <c r="J2715" s="21"/>
      <c r="K2715" s="19"/>
    </row>
    <row r="2716" spans="3:11" x14ac:dyDescent="0.2">
      <c r="C2716" s="19"/>
      <c r="D2716" s="19"/>
      <c r="E2716" s="19"/>
      <c r="F2716" s="20"/>
      <c r="G2716" s="19"/>
      <c r="H2716" s="19"/>
      <c r="I2716" s="19"/>
      <c r="J2716" s="21"/>
      <c r="K2716" s="19"/>
    </row>
    <row r="2717" spans="3:11" x14ac:dyDescent="0.2">
      <c r="C2717" s="19"/>
      <c r="D2717" s="19"/>
      <c r="E2717" s="19"/>
      <c r="F2717" s="20"/>
      <c r="G2717" s="19"/>
      <c r="H2717" s="19"/>
      <c r="I2717" s="19"/>
      <c r="J2717" s="21"/>
      <c r="K2717" s="19"/>
    </row>
    <row r="2718" spans="3:11" x14ac:dyDescent="0.2">
      <c r="C2718" s="19"/>
      <c r="D2718" s="19"/>
      <c r="E2718" s="19"/>
      <c r="F2718" s="20"/>
      <c r="G2718" s="19"/>
      <c r="H2718" s="19"/>
      <c r="I2718" s="19"/>
      <c r="J2718" s="21"/>
      <c r="K2718" s="19"/>
    </row>
    <row r="2719" spans="3:11" x14ac:dyDescent="0.2">
      <c r="C2719" s="19"/>
      <c r="D2719" s="19"/>
      <c r="E2719" s="19"/>
      <c r="F2719" s="20"/>
      <c r="G2719" s="19"/>
      <c r="H2719" s="19"/>
      <c r="I2719" s="19"/>
      <c r="J2719" s="21"/>
      <c r="K2719" s="19"/>
    </row>
    <row r="2720" spans="3:11" x14ac:dyDescent="0.2">
      <c r="C2720" s="19"/>
      <c r="D2720" s="19"/>
      <c r="E2720" s="19"/>
      <c r="F2720" s="20"/>
      <c r="G2720" s="19"/>
      <c r="H2720" s="19"/>
      <c r="I2720" s="19"/>
      <c r="J2720" s="21"/>
      <c r="K2720" s="19"/>
    </row>
    <row r="2721" spans="3:11" x14ac:dyDescent="0.2">
      <c r="C2721" s="19"/>
      <c r="D2721" s="19"/>
      <c r="E2721" s="19"/>
      <c r="F2721" s="20"/>
      <c r="G2721" s="19"/>
      <c r="H2721" s="19"/>
      <c r="I2721" s="19"/>
      <c r="J2721" s="21"/>
      <c r="K2721" s="19"/>
    </row>
    <row r="2722" spans="3:11" x14ac:dyDescent="0.2">
      <c r="C2722" s="19"/>
      <c r="D2722" s="19"/>
      <c r="E2722" s="19"/>
      <c r="F2722" s="20"/>
      <c r="G2722" s="19"/>
      <c r="H2722" s="19"/>
      <c r="I2722" s="19"/>
      <c r="J2722" s="21"/>
      <c r="K2722" s="19"/>
    </row>
    <row r="2723" spans="3:11" x14ac:dyDescent="0.2">
      <c r="C2723" s="19"/>
      <c r="D2723" s="19"/>
      <c r="E2723" s="19"/>
      <c r="F2723" s="20"/>
      <c r="G2723" s="19"/>
      <c r="H2723" s="19"/>
      <c r="I2723" s="19"/>
      <c r="J2723" s="21"/>
      <c r="K2723" s="19"/>
    </row>
    <row r="2724" spans="3:11" x14ac:dyDescent="0.2">
      <c r="C2724" s="19"/>
      <c r="D2724" s="19"/>
      <c r="E2724" s="19"/>
      <c r="F2724" s="20"/>
      <c r="G2724" s="19"/>
      <c r="H2724" s="19"/>
      <c r="I2724" s="19"/>
      <c r="J2724" s="21"/>
      <c r="K2724" s="19"/>
    </row>
    <row r="2725" spans="3:11" x14ac:dyDescent="0.2">
      <c r="C2725" s="19"/>
      <c r="D2725" s="19"/>
      <c r="E2725" s="19"/>
      <c r="F2725" s="20"/>
      <c r="G2725" s="19"/>
      <c r="H2725" s="19"/>
      <c r="I2725" s="19"/>
      <c r="J2725" s="21"/>
      <c r="K2725" s="19"/>
    </row>
    <row r="2726" spans="3:11" x14ac:dyDescent="0.2">
      <c r="C2726" s="19"/>
      <c r="D2726" s="19"/>
      <c r="E2726" s="19"/>
      <c r="F2726" s="20"/>
      <c r="G2726" s="19"/>
      <c r="H2726" s="19"/>
      <c r="I2726" s="19"/>
      <c r="J2726" s="21"/>
      <c r="K2726" s="19"/>
    </row>
    <row r="2727" spans="3:11" x14ac:dyDescent="0.2">
      <c r="C2727" s="19"/>
      <c r="D2727" s="19"/>
      <c r="E2727" s="19"/>
      <c r="F2727" s="20"/>
      <c r="G2727" s="19"/>
      <c r="H2727" s="19"/>
      <c r="I2727" s="19"/>
      <c r="J2727" s="21"/>
      <c r="K2727" s="19"/>
    </row>
    <row r="2728" spans="3:11" x14ac:dyDescent="0.2">
      <c r="C2728" s="19"/>
      <c r="D2728" s="19"/>
      <c r="E2728" s="19"/>
      <c r="F2728" s="20"/>
      <c r="G2728" s="19"/>
      <c r="H2728" s="19"/>
      <c r="I2728" s="19"/>
      <c r="J2728" s="21"/>
      <c r="K2728" s="19"/>
    </row>
    <row r="2729" spans="3:11" x14ac:dyDescent="0.2">
      <c r="C2729" s="19"/>
      <c r="D2729" s="19"/>
      <c r="E2729" s="19"/>
      <c r="F2729" s="20"/>
      <c r="G2729" s="19"/>
      <c r="H2729" s="19"/>
      <c r="I2729" s="19"/>
      <c r="J2729" s="19"/>
      <c r="K2729" s="19"/>
    </row>
    <row r="2730" spans="3:11" x14ac:dyDescent="0.2">
      <c r="C2730" s="19"/>
      <c r="D2730" s="19"/>
      <c r="E2730" s="19"/>
      <c r="F2730" s="20"/>
      <c r="G2730" s="19"/>
      <c r="H2730" s="19"/>
      <c r="I2730" s="19"/>
      <c r="J2730" s="21"/>
      <c r="K2730" s="19"/>
    </row>
    <row r="2731" spans="3:11" x14ac:dyDescent="0.2">
      <c r="C2731" s="19"/>
      <c r="D2731" s="19"/>
      <c r="E2731" s="19"/>
      <c r="F2731" s="20"/>
      <c r="G2731" s="19"/>
      <c r="H2731" s="19"/>
      <c r="I2731" s="19"/>
      <c r="J2731" s="19"/>
      <c r="K2731" s="19"/>
    </row>
    <row r="2732" spans="3:11" x14ac:dyDescent="0.2">
      <c r="C2732" s="19"/>
      <c r="D2732" s="19"/>
      <c r="E2732" s="19"/>
      <c r="F2732" s="20"/>
      <c r="G2732" s="19"/>
      <c r="H2732" s="19"/>
      <c r="I2732" s="19"/>
      <c r="J2732" s="21"/>
      <c r="K2732" s="19"/>
    </row>
    <row r="2733" spans="3:11" x14ac:dyDescent="0.2">
      <c r="C2733" s="19"/>
      <c r="D2733" s="19"/>
      <c r="E2733" s="19"/>
      <c r="F2733" s="20"/>
      <c r="G2733" s="19"/>
      <c r="H2733" s="19"/>
      <c r="I2733" s="19"/>
      <c r="J2733" s="19"/>
      <c r="K2733" s="19"/>
    </row>
    <row r="2734" spans="3:11" x14ac:dyDescent="0.2">
      <c r="C2734" s="19"/>
      <c r="D2734" s="19"/>
      <c r="E2734" s="19"/>
      <c r="F2734" s="20"/>
      <c r="G2734" s="19"/>
      <c r="H2734" s="19"/>
      <c r="I2734" s="19"/>
      <c r="J2734" s="19"/>
      <c r="K2734" s="19"/>
    </row>
    <row r="2735" spans="3:11" x14ac:dyDescent="0.2">
      <c r="C2735" s="19"/>
      <c r="D2735" s="19"/>
      <c r="E2735" s="19"/>
      <c r="F2735" s="20"/>
      <c r="G2735" s="19"/>
      <c r="H2735" s="19"/>
      <c r="I2735" s="19"/>
      <c r="J2735" s="21"/>
      <c r="K2735" s="19"/>
    </row>
    <row r="2736" spans="3:11" x14ac:dyDescent="0.2">
      <c r="C2736" s="19"/>
      <c r="D2736" s="19"/>
      <c r="E2736" s="19"/>
      <c r="F2736" s="20"/>
      <c r="G2736" s="19"/>
      <c r="H2736" s="19"/>
      <c r="I2736" s="19"/>
      <c r="J2736" s="21"/>
      <c r="K2736" s="19"/>
    </row>
    <row r="2737" spans="3:11" x14ac:dyDescent="0.2">
      <c r="C2737" s="19"/>
      <c r="D2737" s="19"/>
      <c r="E2737" s="19"/>
      <c r="F2737" s="20"/>
      <c r="G2737" s="19"/>
      <c r="H2737" s="19"/>
      <c r="I2737" s="19"/>
      <c r="J2737" s="21"/>
      <c r="K2737" s="19"/>
    </row>
    <row r="2738" spans="3:11" x14ac:dyDescent="0.2">
      <c r="C2738" s="19"/>
      <c r="D2738" s="19"/>
      <c r="E2738" s="19"/>
      <c r="F2738" s="20"/>
      <c r="G2738" s="19"/>
      <c r="H2738" s="19"/>
      <c r="I2738" s="19"/>
      <c r="J2738" s="21"/>
      <c r="K2738" s="19"/>
    </row>
    <row r="2739" spans="3:11" x14ac:dyDescent="0.2">
      <c r="C2739" s="19"/>
      <c r="D2739" s="19"/>
      <c r="E2739" s="19"/>
      <c r="F2739" s="20"/>
      <c r="G2739" s="19"/>
      <c r="H2739" s="19"/>
      <c r="I2739" s="19"/>
      <c r="J2739" s="21"/>
      <c r="K2739" s="19"/>
    </row>
    <row r="2740" spans="3:11" x14ac:dyDescent="0.2">
      <c r="C2740" s="19"/>
      <c r="D2740" s="19"/>
      <c r="E2740" s="19"/>
      <c r="F2740" s="20"/>
      <c r="G2740" s="19"/>
      <c r="H2740" s="19"/>
      <c r="I2740" s="19"/>
      <c r="J2740" s="21"/>
      <c r="K2740" s="19"/>
    </row>
    <row r="2741" spans="3:11" x14ac:dyDescent="0.2">
      <c r="C2741" s="19"/>
      <c r="D2741" s="19"/>
      <c r="E2741" s="19"/>
      <c r="F2741" s="20"/>
      <c r="G2741" s="19"/>
      <c r="H2741" s="19"/>
      <c r="I2741" s="19"/>
      <c r="J2741" s="21"/>
      <c r="K2741" s="19"/>
    </row>
    <row r="2742" spans="3:11" x14ac:dyDescent="0.2">
      <c r="C2742" s="19"/>
      <c r="D2742" s="19"/>
      <c r="E2742" s="19"/>
      <c r="F2742" s="20"/>
      <c r="G2742" s="19"/>
      <c r="H2742" s="19"/>
      <c r="I2742" s="19"/>
      <c r="J2742" s="21"/>
      <c r="K2742" s="19"/>
    </row>
    <row r="2743" spans="3:11" x14ac:dyDescent="0.2">
      <c r="C2743" s="19"/>
      <c r="D2743" s="19"/>
      <c r="E2743" s="19"/>
      <c r="F2743" s="20"/>
      <c r="G2743" s="19"/>
      <c r="H2743" s="19"/>
      <c r="I2743" s="19"/>
      <c r="J2743" s="21"/>
      <c r="K2743" s="19"/>
    </row>
    <row r="2744" spans="3:11" x14ac:dyDescent="0.2">
      <c r="C2744" s="19"/>
      <c r="D2744" s="19"/>
      <c r="E2744" s="19"/>
      <c r="F2744" s="20"/>
      <c r="G2744" s="19"/>
      <c r="H2744" s="19"/>
      <c r="I2744" s="19"/>
      <c r="J2744" s="21"/>
      <c r="K2744" s="19"/>
    </row>
    <row r="2745" spans="3:11" x14ac:dyDescent="0.2">
      <c r="C2745" s="19"/>
      <c r="D2745" s="19"/>
      <c r="E2745" s="19"/>
      <c r="F2745" s="20"/>
      <c r="G2745" s="19"/>
      <c r="H2745" s="19"/>
      <c r="I2745" s="19"/>
      <c r="J2745" s="21"/>
      <c r="K2745" s="19"/>
    </row>
    <row r="2746" spans="3:11" x14ac:dyDescent="0.2">
      <c r="C2746" s="19"/>
      <c r="D2746" s="19"/>
      <c r="E2746" s="19"/>
      <c r="F2746" s="20"/>
      <c r="G2746" s="19"/>
      <c r="H2746" s="19"/>
      <c r="I2746" s="19"/>
      <c r="J2746" s="21"/>
      <c r="K2746" s="19"/>
    </row>
    <row r="2747" spans="3:11" x14ac:dyDescent="0.2">
      <c r="C2747" s="19"/>
      <c r="D2747" s="19"/>
      <c r="E2747" s="19"/>
      <c r="F2747" s="20"/>
      <c r="G2747" s="19"/>
      <c r="H2747" s="19"/>
      <c r="I2747" s="19"/>
      <c r="J2747" s="21"/>
      <c r="K2747" s="19"/>
    </row>
    <row r="2748" spans="3:11" x14ac:dyDescent="0.2">
      <c r="C2748" s="19"/>
      <c r="D2748" s="19"/>
      <c r="E2748" s="19"/>
      <c r="F2748" s="20"/>
      <c r="G2748" s="19"/>
      <c r="H2748" s="19"/>
      <c r="I2748" s="19"/>
      <c r="J2748" s="21"/>
      <c r="K2748" s="19"/>
    </row>
    <row r="2749" spans="3:11" x14ac:dyDescent="0.2">
      <c r="C2749" s="19"/>
      <c r="D2749" s="19"/>
      <c r="E2749" s="19"/>
      <c r="F2749" s="20"/>
      <c r="G2749" s="19"/>
      <c r="H2749" s="19"/>
      <c r="I2749" s="19"/>
      <c r="J2749" s="21"/>
      <c r="K2749" s="19"/>
    </row>
    <row r="2750" spans="3:11" x14ac:dyDescent="0.2">
      <c r="C2750" s="19"/>
      <c r="D2750" s="19"/>
      <c r="E2750" s="19"/>
      <c r="F2750" s="20"/>
      <c r="G2750" s="19"/>
      <c r="H2750" s="19"/>
      <c r="I2750" s="19"/>
      <c r="J2750" s="21"/>
      <c r="K2750" s="19"/>
    </row>
    <row r="2751" spans="3:11" x14ac:dyDescent="0.2">
      <c r="C2751" s="19"/>
      <c r="D2751" s="19"/>
      <c r="E2751" s="19"/>
      <c r="F2751" s="20"/>
      <c r="G2751" s="19"/>
      <c r="H2751" s="19"/>
      <c r="I2751" s="19"/>
      <c r="J2751" s="21"/>
      <c r="K2751" s="19"/>
    </row>
    <row r="2752" spans="3:11" x14ac:dyDescent="0.2">
      <c r="C2752" s="19"/>
      <c r="D2752" s="19"/>
      <c r="E2752" s="19"/>
      <c r="F2752" s="20"/>
      <c r="G2752" s="19"/>
      <c r="H2752" s="19"/>
      <c r="I2752" s="19"/>
      <c r="J2752" s="21"/>
      <c r="K2752" s="19"/>
    </row>
    <row r="2753" spans="3:11" x14ac:dyDescent="0.2">
      <c r="C2753" s="19"/>
      <c r="D2753" s="19"/>
      <c r="E2753" s="19"/>
      <c r="F2753" s="20"/>
      <c r="G2753" s="19"/>
      <c r="H2753" s="19"/>
      <c r="I2753" s="19"/>
      <c r="J2753" s="21"/>
      <c r="K2753" s="19"/>
    </row>
    <row r="2754" spans="3:11" x14ac:dyDescent="0.2">
      <c r="C2754" s="19"/>
      <c r="D2754" s="19"/>
      <c r="E2754" s="19"/>
      <c r="F2754" s="20"/>
      <c r="G2754" s="19"/>
      <c r="H2754" s="19"/>
      <c r="I2754" s="19"/>
      <c r="J2754" s="21"/>
      <c r="K2754" s="19"/>
    </row>
    <row r="2755" spans="3:11" x14ac:dyDescent="0.2">
      <c r="C2755" s="19"/>
      <c r="D2755" s="19"/>
      <c r="E2755" s="19"/>
      <c r="F2755" s="20"/>
      <c r="G2755" s="19"/>
      <c r="H2755" s="19"/>
      <c r="I2755" s="19"/>
      <c r="J2755" s="21"/>
      <c r="K2755" s="19"/>
    </row>
    <row r="2756" spans="3:11" x14ac:dyDescent="0.2">
      <c r="C2756" s="19"/>
      <c r="D2756" s="19"/>
      <c r="E2756" s="19"/>
      <c r="F2756" s="20"/>
      <c r="G2756" s="19"/>
      <c r="H2756" s="19"/>
      <c r="I2756" s="19"/>
      <c r="J2756" s="21"/>
      <c r="K2756" s="19"/>
    </row>
    <row r="2757" spans="3:11" x14ac:dyDescent="0.2">
      <c r="C2757" s="19"/>
      <c r="D2757" s="19"/>
      <c r="E2757" s="19"/>
      <c r="F2757" s="20"/>
      <c r="G2757" s="19"/>
      <c r="H2757" s="19"/>
      <c r="I2757" s="19"/>
      <c r="J2757" s="21"/>
      <c r="K2757" s="19"/>
    </row>
    <row r="2758" spans="3:11" x14ac:dyDescent="0.2">
      <c r="C2758" s="19"/>
      <c r="D2758" s="19"/>
      <c r="E2758" s="19"/>
      <c r="F2758" s="20"/>
      <c r="G2758" s="19"/>
      <c r="H2758" s="19"/>
      <c r="I2758" s="19"/>
      <c r="J2758" s="21"/>
      <c r="K2758" s="19"/>
    </row>
    <row r="2759" spans="3:11" x14ac:dyDescent="0.2">
      <c r="C2759" s="19"/>
      <c r="D2759" s="19"/>
      <c r="E2759" s="19"/>
      <c r="F2759" s="20"/>
      <c r="G2759" s="19"/>
      <c r="H2759" s="19"/>
      <c r="I2759" s="19"/>
      <c r="J2759" s="21"/>
      <c r="K2759" s="19"/>
    </row>
    <row r="2760" spans="3:11" x14ac:dyDescent="0.2">
      <c r="C2760" s="19"/>
      <c r="D2760" s="19"/>
      <c r="E2760" s="19"/>
      <c r="F2760" s="20"/>
      <c r="G2760" s="19"/>
      <c r="H2760" s="19"/>
      <c r="I2760" s="19"/>
      <c r="J2760" s="21"/>
      <c r="K2760" s="19"/>
    </row>
    <row r="2761" spans="3:11" x14ac:dyDescent="0.2">
      <c r="C2761" s="19"/>
      <c r="D2761" s="19"/>
      <c r="E2761" s="19"/>
      <c r="F2761" s="20"/>
      <c r="G2761" s="19"/>
      <c r="H2761" s="19"/>
      <c r="I2761" s="19"/>
      <c r="J2761" s="21"/>
      <c r="K2761" s="19"/>
    </row>
    <row r="2762" spans="3:11" x14ac:dyDescent="0.2">
      <c r="C2762" s="19"/>
      <c r="D2762" s="19"/>
      <c r="E2762" s="19"/>
      <c r="F2762" s="20"/>
      <c r="G2762" s="19"/>
      <c r="H2762" s="19"/>
      <c r="I2762" s="19"/>
      <c r="J2762" s="21"/>
      <c r="K2762" s="19"/>
    </row>
    <row r="2763" spans="3:11" x14ac:dyDescent="0.2">
      <c r="C2763" s="19"/>
      <c r="D2763" s="19"/>
      <c r="E2763" s="19"/>
      <c r="F2763" s="20"/>
      <c r="G2763" s="19"/>
      <c r="H2763" s="19"/>
      <c r="I2763" s="19"/>
      <c r="J2763" s="21"/>
      <c r="K2763" s="19"/>
    </row>
    <row r="2764" spans="3:11" x14ac:dyDescent="0.2">
      <c r="C2764" s="19"/>
      <c r="D2764" s="19"/>
      <c r="E2764" s="19"/>
      <c r="F2764" s="20"/>
      <c r="G2764" s="19"/>
      <c r="H2764" s="19"/>
      <c r="I2764" s="19"/>
      <c r="J2764" s="21"/>
      <c r="K2764" s="19"/>
    </row>
    <row r="2765" spans="3:11" x14ac:dyDescent="0.2">
      <c r="C2765" s="19"/>
      <c r="D2765" s="19"/>
      <c r="E2765" s="19"/>
      <c r="F2765" s="20"/>
      <c r="G2765" s="19"/>
      <c r="H2765" s="19"/>
      <c r="I2765" s="19"/>
      <c r="J2765" s="21"/>
      <c r="K2765" s="19"/>
    </row>
    <row r="2766" spans="3:11" x14ac:dyDescent="0.2">
      <c r="C2766" s="19"/>
      <c r="D2766" s="19"/>
      <c r="E2766" s="19"/>
      <c r="F2766" s="20"/>
      <c r="G2766" s="19"/>
      <c r="H2766" s="19"/>
      <c r="I2766" s="19"/>
      <c r="J2766" s="21"/>
      <c r="K2766" s="19"/>
    </row>
    <row r="2767" spans="3:11" x14ac:dyDescent="0.2">
      <c r="C2767" s="19"/>
      <c r="D2767" s="19"/>
      <c r="E2767" s="19"/>
      <c r="F2767" s="20"/>
      <c r="G2767" s="19"/>
      <c r="H2767" s="19"/>
      <c r="I2767" s="19"/>
      <c r="J2767" s="21"/>
      <c r="K2767" s="19"/>
    </row>
    <row r="2768" spans="3:11" x14ac:dyDescent="0.2">
      <c r="C2768" s="19"/>
      <c r="D2768" s="19"/>
      <c r="E2768" s="19"/>
      <c r="F2768" s="20"/>
      <c r="G2768" s="19"/>
      <c r="H2768" s="19"/>
      <c r="I2768" s="19"/>
      <c r="J2768" s="21"/>
      <c r="K2768" s="19"/>
    </row>
    <row r="2769" spans="3:11" x14ac:dyDescent="0.2">
      <c r="C2769" s="19"/>
      <c r="D2769" s="19"/>
      <c r="E2769" s="19"/>
      <c r="F2769" s="20"/>
      <c r="G2769" s="19"/>
      <c r="H2769" s="19"/>
      <c r="I2769" s="19"/>
      <c r="J2769" s="21"/>
      <c r="K2769" s="19"/>
    </row>
    <row r="2770" spans="3:11" x14ac:dyDescent="0.2">
      <c r="C2770" s="19"/>
      <c r="D2770" s="19"/>
      <c r="E2770" s="19"/>
      <c r="F2770" s="20"/>
      <c r="G2770" s="19"/>
      <c r="H2770" s="19"/>
      <c r="I2770" s="19"/>
      <c r="J2770" s="21"/>
      <c r="K2770" s="19"/>
    </row>
    <row r="2771" spans="3:11" x14ac:dyDescent="0.2">
      <c r="C2771" s="19"/>
      <c r="D2771" s="19"/>
      <c r="E2771" s="19"/>
      <c r="F2771" s="20"/>
      <c r="G2771" s="19"/>
      <c r="H2771" s="19"/>
      <c r="I2771" s="19"/>
      <c r="J2771" s="21"/>
      <c r="K2771" s="19"/>
    </row>
    <row r="2772" spans="3:11" x14ac:dyDescent="0.2">
      <c r="C2772" s="19"/>
      <c r="D2772" s="19"/>
      <c r="E2772" s="19"/>
      <c r="F2772" s="20"/>
      <c r="G2772" s="19"/>
      <c r="H2772" s="19"/>
      <c r="I2772" s="19"/>
      <c r="J2772" s="21"/>
      <c r="K2772" s="19"/>
    </row>
    <row r="2773" spans="3:11" x14ac:dyDescent="0.2">
      <c r="C2773" s="19"/>
      <c r="D2773" s="19"/>
      <c r="E2773" s="19"/>
      <c r="F2773" s="20"/>
      <c r="G2773" s="19"/>
      <c r="H2773" s="19"/>
      <c r="I2773" s="19"/>
      <c r="J2773" s="19"/>
      <c r="K2773" s="19"/>
    </row>
    <row r="2774" spans="3:11" x14ac:dyDescent="0.2">
      <c r="C2774" s="19"/>
      <c r="D2774" s="19"/>
      <c r="E2774" s="19"/>
      <c r="F2774" s="20"/>
      <c r="G2774" s="19"/>
      <c r="H2774" s="19"/>
      <c r="I2774" s="19"/>
      <c r="J2774" s="21"/>
      <c r="K2774" s="19"/>
    </row>
    <row r="2775" spans="3:11" x14ac:dyDescent="0.2">
      <c r="C2775" s="19"/>
      <c r="D2775" s="19"/>
      <c r="E2775" s="19"/>
      <c r="F2775" s="20"/>
      <c r="G2775" s="19"/>
      <c r="H2775" s="19"/>
      <c r="I2775" s="19"/>
      <c r="J2775" s="19"/>
      <c r="K2775" s="19"/>
    </row>
    <row r="2776" spans="3:11" x14ac:dyDescent="0.2">
      <c r="C2776" s="19"/>
      <c r="D2776" s="19"/>
      <c r="E2776" s="19"/>
      <c r="F2776" s="20"/>
      <c r="G2776" s="19"/>
      <c r="H2776" s="19"/>
      <c r="I2776" s="19"/>
      <c r="J2776" s="21"/>
      <c r="K2776" s="19"/>
    </row>
    <row r="2777" spans="3:11" x14ac:dyDescent="0.2">
      <c r="C2777" s="19"/>
      <c r="D2777" s="19"/>
      <c r="E2777" s="19"/>
      <c r="F2777" s="20"/>
      <c r="G2777" s="19"/>
      <c r="H2777" s="19"/>
      <c r="I2777" s="19"/>
      <c r="J2777" s="19"/>
      <c r="K2777" s="19"/>
    </row>
    <row r="2778" spans="3:11" x14ac:dyDescent="0.2">
      <c r="C2778" s="19"/>
      <c r="D2778" s="19"/>
      <c r="E2778" s="19"/>
      <c r="F2778" s="20"/>
      <c r="G2778" s="19"/>
      <c r="H2778" s="19"/>
      <c r="I2778" s="19"/>
      <c r="J2778" s="19"/>
      <c r="K2778" s="19"/>
    </row>
    <row r="2779" spans="3:11" x14ac:dyDescent="0.2">
      <c r="C2779" s="19"/>
      <c r="D2779" s="19"/>
      <c r="E2779" s="19"/>
      <c r="F2779" s="20"/>
      <c r="G2779" s="19"/>
      <c r="H2779" s="19"/>
      <c r="I2779" s="19"/>
      <c r="J2779" s="21"/>
      <c r="K2779" s="19"/>
    </row>
    <row r="2780" spans="3:11" x14ac:dyDescent="0.2">
      <c r="C2780" s="19"/>
      <c r="D2780" s="19"/>
      <c r="E2780" s="19"/>
      <c r="F2780" s="20"/>
      <c r="G2780" s="19"/>
      <c r="H2780" s="19"/>
      <c r="I2780" s="19"/>
      <c r="J2780" s="19"/>
      <c r="K2780" s="19"/>
    </row>
    <row r="2781" spans="3:11" x14ac:dyDescent="0.2">
      <c r="C2781" s="19"/>
      <c r="D2781" s="19"/>
      <c r="E2781" s="19"/>
      <c r="F2781" s="20"/>
      <c r="G2781" s="19"/>
      <c r="H2781" s="19"/>
      <c r="I2781" s="19"/>
      <c r="J2781" s="19"/>
      <c r="K2781" s="19"/>
    </row>
    <row r="2782" spans="3:11" x14ac:dyDescent="0.2">
      <c r="C2782" s="19"/>
      <c r="D2782" s="19"/>
      <c r="E2782" s="19"/>
      <c r="F2782" s="20"/>
      <c r="G2782" s="19"/>
      <c r="H2782" s="19"/>
      <c r="I2782" s="19"/>
      <c r="J2782" s="21"/>
      <c r="K2782" s="19"/>
    </row>
    <row r="2783" spans="3:11" x14ac:dyDescent="0.2">
      <c r="C2783" s="19"/>
      <c r="D2783" s="19"/>
      <c r="E2783" s="19"/>
      <c r="F2783" s="20"/>
      <c r="G2783" s="19"/>
      <c r="H2783" s="19"/>
      <c r="I2783" s="19"/>
      <c r="J2783" s="21"/>
      <c r="K2783" s="19"/>
    </row>
    <row r="2784" spans="3:11" x14ac:dyDescent="0.2">
      <c r="C2784" s="19"/>
      <c r="D2784" s="19"/>
      <c r="E2784" s="19"/>
      <c r="F2784" s="20"/>
      <c r="G2784" s="19"/>
      <c r="H2784" s="19"/>
      <c r="I2784" s="19"/>
      <c r="J2784" s="21"/>
      <c r="K2784" s="19"/>
    </row>
    <row r="2785" spans="3:11" x14ac:dyDescent="0.2">
      <c r="C2785" s="19"/>
      <c r="D2785" s="19"/>
      <c r="E2785" s="19"/>
      <c r="F2785" s="20"/>
      <c r="G2785" s="19"/>
      <c r="H2785" s="19"/>
      <c r="I2785" s="19"/>
      <c r="J2785" s="21"/>
      <c r="K2785" s="19"/>
    </row>
    <row r="2786" spans="3:11" x14ac:dyDescent="0.2">
      <c r="C2786" s="19"/>
      <c r="D2786" s="19"/>
      <c r="E2786" s="19"/>
      <c r="F2786" s="20"/>
      <c r="G2786" s="19"/>
      <c r="H2786" s="19"/>
      <c r="I2786" s="19"/>
      <c r="J2786" s="21"/>
      <c r="K2786" s="19"/>
    </row>
    <row r="2787" spans="3:11" x14ac:dyDescent="0.2">
      <c r="C2787" s="19"/>
      <c r="D2787" s="19"/>
      <c r="E2787" s="19"/>
      <c r="F2787" s="20"/>
      <c r="G2787" s="19"/>
      <c r="H2787" s="19"/>
      <c r="I2787" s="19"/>
      <c r="J2787" s="21"/>
      <c r="K2787" s="19"/>
    </row>
    <row r="2788" spans="3:11" x14ac:dyDescent="0.2">
      <c r="C2788" s="19"/>
      <c r="D2788" s="19"/>
      <c r="E2788" s="19"/>
      <c r="F2788" s="20"/>
      <c r="G2788" s="19"/>
      <c r="H2788" s="19"/>
      <c r="I2788" s="19"/>
      <c r="J2788" s="21"/>
      <c r="K2788" s="19"/>
    </row>
    <row r="2789" spans="3:11" x14ac:dyDescent="0.2">
      <c r="C2789" s="19"/>
      <c r="D2789" s="19"/>
      <c r="E2789" s="19"/>
      <c r="F2789" s="20"/>
      <c r="G2789" s="19"/>
      <c r="H2789" s="19"/>
      <c r="I2789" s="19"/>
      <c r="J2789" s="21"/>
      <c r="K2789" s="19"/>
    </row>
    <row r="2790" spans="3:11" x14ac:dyDescent="0.2">
      <c r="C2790" s="19"/>
      <c r="D2790" s="19"/>
      <c r="E2790" s="19"/>
      <c r="F2790" s="20"/>
      <c r="G2790" s="19"/>
      <c r="H2790" s="19"/>
      <c r="I2790" s="19"/>
      <c r="J2790" s="21"/>
      <c r="K2790" s="19"/>
    </row>
    <row r="2791" spans="3:11" x14ac:dyDescent="0.2">
      <c r="C2791" s="19"/>
      <c r="D2791" s="19"/>
      <c r="E2791" s="19"/>
      <c r="F2791" s="20"/>
      <c r="G2791" s="19"/>
      <c r="H2791" s="19"/>
      <c r="I2791" s="19"/>
      <c r="J2791" s="21"/>
      <c r="K2791" s="19"/>
    </row>
    <row r="2792" spans="3:11" x14ac:dyDescent="0.2">
      <c r="C2792" s="19"/>
      <c r="D2792" s="19"/>
      <c r="E2792" s="19"/>
      <c r="F2792" s="20"/>
      <c r="G2792" s="19"/>
      <c r="H2792" s="19"/>
      <c r="I2792" s="19"/>
      <c r="J2792" s="21"/>
      <c r="K2792" s="19"/>
    </row>
    <row r="2793" spans="3:11" x14ac:dyDescent="0.2">
      <c r="C2793" s="19"/>
      <c r="D2793" s="19"/>
      <c r="E2793" s="19"/>
      <c r="F2793" s="20"/>
      <c r="G2793" s="19"/>
      <c r="H2793" s="19"/>
      <c r="I2793" s="19"/>
      <c r="J2793" s="21"/>
      <c r="K2793" s="19"/>
    </row>
    <row r="2794" spans="3:11" x14ac:dyDescent="0.2">
      <c r="C2794" s="19"/>
      <c r="D2794" s="19"/>
      <c r="E2794" s="19"/>
      <c r="F2794" s="20"/>
      <c r="G2794" s="19"/>
      <c r="H2794" s="19"/>
      <c r="I2794" s="19"/>
      <c r="J2794" s="21"/>
      <c r="K2794" s="19"/>
    </row>
    <row r="2795" spans="3:11" x14ac:dyDescent="0.2">
      <c r="C2795" s="19"/>
      <c r="D2795" s="19"/>
      <c r="E2795" s="19"/>
      <c r="F2795" s="20"/>
      <c r="G2795" s="19"/>
      <c r="H2795" s="19"/>
      <c r="I2795" s="19"/>
      <c r="J2795" s="21"/>
      <c r="K2795" s="19"/>
    </row>
    <row r="2796" spans="3:11" x14ac:dyDescent="0.2">
      <c r="C2796" s="19"/>
      <c r="D2796" s="19"/>
      <c r="E2796" s="19"/>
      <c r="F2796" s="20"/>
      <c r="G2796" s="19"/>
      <c r="H2796" s="19"/>
      <c r="I2796" s="19"/>
      <c r="J2796" s="21"/>
      <c r="K2796" s="19"/>
    </row>
    <row r="2797" spans="3:11" x14ac:dyDescent="0.2">
      <c r="C2797" s="19"/>
      <c r="D2797" s="19"/>
      <c r="E2797" s="19"/>
      <c r="F2797" s="20"/>
      <c r="G2797" s="19"/>
      <c r="H2797" s="19"/>
      <c r="I2797" s="19"/>
      <c r="J2797" s="21"/>
      <c r="K2797" s="19"/>
    </row>
    <row r="2798" spans="3:11" x14ac:dyDescent="0.2">
      <c r="C2798" s="19"/>
      <c r="D2798" s="19"/>
      <c r="E2798" s="19"/>
      <c r="F2798" s="20"/>
      <c r="G2798" s="19"/>
      <c r="H2798" s="19"/>
      <c r="I2798" s="19"/>
      <c r="J2798" s="21"/>
      <c r="K2798" s="19"/>
    </row>
    <row r="2799" spans="3:11" x14ac:dyDescent="0.2">
      <c r="C2799" s="19"/>
      <c r="D2799" s="19"/>
      <c r="E2799" s="19"/>
      <c r="F2799" s="20"/>
      <c r="G2799" s="19"/>
      <c r="H2799" s="19"/>
      <c r="I2799" s="19"/>
      <c r="J2799" s="21"/>
      <c r="K2799" s="19"/>
    </row>
    <row r="2800" spans="3:11" x14ac:dyDescent="0.2">
      <c r="C2800" s="19"/>
      <c r="D2800" s="19"/>
      <c r="E2800" s="19"/>
      <c r="F2800" s="20"/>
      <c r="G2800" s="19"/>
      <c r="H2800" s="19"/>
      <c r="I2800" s="19"/>
      <c r="J2800" s="21"/>
      <c r="K2800" s="19"/>
    </row>
    <row r="2801" spans="3:11" x14ac:dyDescent="0.2">
      <c r="C2801" s="19"/>
      <c r="D2801" s="19"/>
      <c r="E2801" s="19"/>
      <c r="F2801" s="20"/>
      <c r="G2801" s="19"/>
      <c r="H2801" s="19"/>
      <c r="I2801" s="19"/>
      <c r="J2801" s="21"/>
      <c r="K2801" s="19"/>
    </row>
    <row r="2802" spans="3:11" x14ac:dyDescent="0.2">
      <c r="C2802" s="19"/>
      <c r="D2802" s="19"/>
      <c r="E2802" s="19"/>
      <c r="F2802" s="20"/>
      <c r="G2802" s="19"/>
      <c r="H2802" s="19"/>
      <c r="I2802" s="19"/>
      <c r="J2802" s="21"/>
      <c r="K2802" s="19"/>
    </row>
    <row r="2803" spans="3:11" x14ac:dyDescent="0.2">
      <c r="C2803" s="19"/>
      <c r="D2803" s="19"/>
      <c r="E2803" s="19"/>
      <c r="F2803" s="20"/>
      <c r="G2803" s="19"/>
      <c r="H2803" s="19"/>
      <c r="I2803" s="19"/>
      <c r="J2803" s="21"/>
      <c r="K2803" s="19"/>
    </row>
    <row r="2804" spans="3:11" x14ac:dyDescent="0.2">
      <c r="C2804" s="19"/>
      <c r="D2804" s="19"/>
      <c r="E2804" s="19"/>
      <c r="F2804" s="20"/>
      <c r="G2804" s="19"/>
      <c r="H2804" s="19"/>
      <c r="I2804" s="19"/>
      <c r="J2804" s="21"/>
      <c r="K2804" s="19"/>
    </row>
    <row r="2805" spans="3:11" x14ac:dyDescent="0.2">
      <c r="C2805" s="19"/>
      <c r="D2805" s="19"/>
      <c r="E2805" s="19"/>
      <c r="F2805" s="20"/>
      <c r="G2805" s="19"/>
      <c r="H2805" s="19"/>
      <c r="I2805" s="19"/>
      <c r="J2805" s="21"/>
      <c r="K2805" s="19"/>
    </row>
    <row r="2806" spans="3:11" x14ac:dyDescent="0.2">
      <c r="C2806" s="19"/>
      <c r="D2806" s="19"/>
      <c r="E2806" s="19"/>
      <c r="F2806" s="20"/>
      <c r="G2806" s="19"/>
      <c r="H2806" s="19"/>
      <c r="I2806" s="19"/>
      <c r="J2806" s="21"/>
      <c r="K2806" s="19"/>
    </row>
    <row r="2807" spans="3:11" x14ac:dyDescent="0.2">
      <c r="C2807" s="19"/>
      <c r="D2807" s="19"/>
      <c r="E2807" s="19"/>
      <c r="F2807" s="20"/>
      <c r="G2807" s="19"/>
      <c r="H2807" s="19"/>
      <c r="I2807" s="19"/>
      <c r="J2807" s="21"/>
      <c r="K2807" s="19"/>
    </row>
    <row r="2808" spans="3:11" x14ac:dyDescent="0.2">
      <c r="C2808" s="19"/>
      <c r="D2808" s="19"/>
      <c r="E2808" s="19"/>
      <c r="F2808" s="20"/>
      <c r="G2808" s="19"/>
      <c r="H2808" s="19"/>
      <c r="I2808" s="19"/>
      <c r="J2808" s="21"/>
      <c r="K2808" s="19"/>
    </row>
    <row r="2809" spans="3:11" x14ac:dyDescent="0.2">
      <c r="C2809" s="19"/>
      <c r="D2809" s="19"/>
      <c r="E2809" s="19"/>
      <c r="F2809" s="20"/>
      <c r="G2809" s="19"/>
      <c r="H2809" s="19"/>
      <c r="I2809" s="19"/>
      <c r="J2809" s="21"/>
      <c r="K2809" s="19"/>
    </row>
    <row r="2810" spans="3:11" x14ac:dyDescent="0.2">
      <c r="C2810" s="19"/>
      <c r="D2810" s="19"/>
      <c r="E2810" s="19"/>
      <c r="F2810" s="20"/>
      <c r="G2810" s="19"/>
      <c r="H2810" s="19"/>
      <c r="I2810" s="19"/>
      <c r="J2810" s="21"/>
      <c r="K2810" s="19"/>
    </row>
    <row r="2811" spans="3:11" x14ac:dyDescent="0.2">
      <c r="C2811" s="19"/>
      <c r="D2811" s="19"/>
      <c r="E2811" s="19"/>
      <c r="F2811" s="20"/>
      <c r="G2811" s="19"/>
      <c r="H2811" s="19"/>
      <c r="I2811" s="19"/>
      <c r="J2811" s="21"/>
      <c r="K2811" s="19"/>
    </row>
    <row r="2812" spans="3:11" x14ac:dyDescent="0.2">
      <c r="C2812" s="19"/>
      <c r="D2812" s="19"/>
      <c r="E2812" s="19"/>
      <c r="F2812" s="20"/>
      <c r="G2812" s="19"/>
      <c r="H2812" s="19"/>
      <c r="I2812" s="19"/>
      <c r="J2812" s="21"/>
      <c r="K2812" s="19"/>
    </row>
    <row r="2813" spans="3:11" x14ac:dyDescent="0.2">
      <c r="C2813" s="19"/>
      <c r="D2813" s="19"/>
      <c r="E2813" s="19"/>
      <c r="F2813" s="20"/>
      <c r="G2813" s="19"/>
      <c r="H2813" s="19"/>
      <c r="I2813" s="19"/>
      <c r="J2813" s="21"/>
      <c r="K2813" s="19"/>
    </row>
    <row r="2814" spans="3:11" x14ac:dyDescent="0.2">
      <c r="C2814" s="19"/>
      <c r="D2814" s="19"/>
      <c r="E2814" s="19"/>
      <c r="F2814" s="20"/>
      <c r="G2814" s="19"/>
      <c r="H2814" s="19"/>
      <c r="I2814" s="19"/>
      <c r="J2814" s="21"/>
      <c r="K2814" s="19"/>
    </row>
    <row r="2815" spans="3:11" x14ac:dyDescent="0.2">
      <c r="C2815" s="19"/>
      <c r="D2815" s="19"/>
      <c r="E2815" s="19"/>
      <c r="F2815" s="20"/>
      <c r="G2815" s="19"/>
      <c r="H2815" s="19"/>
      <c r="I2815" s="19"/>
      <c r="J2815" s="21"/>
      <c r="K2815" s="19"/>
    </row>
    <row r="2816" spans="3:11" x14ac:dyDescent="0.2">
      <c r="C2816" s="19"/>
      <c r="D2816" s="19"/>
      <c r="E2816" s="19"/>
      <c r="F2816" s="20"/>
      <c r="G2816" s="19"/>
      <c r="H2816" s="19"/>
      <c r="I2816" s="19"/>
      <c r="J2816" s="21"/>
      <c r="K2816" s="19"/>
    </row>
    <row r="2817" spans="3:11" x14ac:dyDescent="0.2">
      <c r="C2817" s="19"/>
      <c r="D2817" s="19"/>
      <c r="E2817" s="19"/>
      <c r="F2817" s="20"/>
      <c r="G2817" s="19"/>
      <c r="H2817" s="19"/>
      <c r="I2817" s="19"/>
      <c r="J2817" s="21"/>
      <c r="K2817" s="19"/>
    </row>
    <row r="2818" spans="3:11" x14ac:dyDescent="0.2">
      <c r="C2818" s="19"/>
      <c r="D2818" s="19"/>
      <c r="E2818" s="19"/>
      <c r="F2818" s="20"/>
      <c r="G2818" s="19"/>
      <c r="H2818" s="19"/>
      <c r="I2818" s="19"/>
      <c r="J2818" s="21"/>
      <c r="K2818" s="19"/>
    </row>
    <row r="2819" spans="3:11" x14ac:dyDescent="0.2">
      <c r="C2819" s="19"/>
      <c r="D2819" s="19"/>
      <c r="E2819" s="19"/>
      <c r="F2819" s="20"/>
      <c r="G2819" s="19"/>
      <c r="H2819" s="19"/>
      <c r="I2819" s="19"/>
      <c r="J2819" s="21"/>
      <c r="K2819" s="19"/>
    </row>
    <row r="2820" spans="3:11" x14ac:dyDescent="0.2">
      <c r="C2820" s="19"/>
      <c r="D2820" s="19"/>
      <c r="E2820" s="19"/>
      <c r="F2820" s="20"/>
      <c r="G2820" s="19"/>
      <c r="H2820" s="19"/>
      <c r="I2820" s="19"/>
      <c r="J2820" s="21"/>
      <c r="K2820" s="19"/>
    </row>
    <row r="2821" spans="3:11" x14ac:dyDescent="0.2">
      <c r="C2821" s="19"/>
      <c r="D2821" s="19"/>
      <c r="E2821" s="19"/>
      <c r="F2821" s="20"/>
      <c r="G2821" s="19"/>
      <c r="H2821" s="19"/>
      <c r="I2821" s="19"/>
      <c r="J2821" s="21"/>
      <c r="K2821" s="19"/>
    </row>
    <row r="2822" spans="3:11" x14ac:dyDescent="0.2">
      <c r="C2822" s="19"/>
      <c r="D2822" s="19"/>
      <c r="E2822" s="19"/>
      <c r="F2822" s="20"/>
      <c r="G2822" s="19"/>
      <c r="H2822" s="19"/>
      <c r="I2822" s="19"/>
      <c r="J2822" s="21"/>
      <c r="K2822" s="19"/>
    </row>
    <row r="2823" spans="3:11" x14ac:dyDescent="0.2">
      <c r="C2823" s="19"/>
      <c r="D2823" s="19"/>
      <c r="E2823" s="19"/>
      <c r="F2823" s="20"/>
      <c r="G2823" s="19"/>
      <c r="H2823" s="19"/>
      <c r="I2823" s="19"/>
      <c r="J2823" s="21"/>
      <c r="K2823" s="19"/>
    </row>
    <row r="2824" spans="3:11" x14ac:dyDescent="0.2">
      <c r="C2824" s="19"/>
      <c r="D2824" s="19"/>
      <c r="E2824" s="19"/>
      <c r="F2824" s="20"/>
      <c r="G2824" s="19"/>
      <c r="H2824" s="19"/>
      <c r="I2824" s="19"/>
      <c r="J2824" s="21"/>
      <c r="K2824" s="19"/>
    </row>
    <row r="2825" spans="3:11" x14ac:dyDescent="0.2">
      <c r="C2825" s="19"/>
      <c r="D2825" s="19"/>
      <c r="E2825" s="19"/>
      <c r="F2825" s="20"/>
      <c r="G2825" s="19"/>
      <c r="H2825" s="19"/>
      <c r="I2825" s="19"/>
      <c r="J2825" s="21"/>
      <c r="K2825" s="19"/>
    </row>
    <row r="2826" spans="3:11" x14ac:dyDescent="0.2">
      <c r="C2826" s="19"/>
      <c r="D2826" s="19"/>
      <c r="E2826" s="19"/>
      <c r="F2826" s="20"/>
      <c r="G2826" s="19"/>
      <c r="H2826" s="19"/>
      <c r="I2826" s="19"/>
      <c r="J2826" s="21"/>
      <c r="K2826" s="19"/>
    </row>
    <row r="2827" spans="3:11" x14ac:dyDescent="0.2">
      <c r="C2827" s="19"/>
      <c r="D2827" s="19"/>
      <c r="E2827" s="19"/>
      <c r="F2827" s="20"/>
      <c r="G2827" s="19"/>
      <c r="H2827" s="19"/>
      <c r="I2827" s="19"/>
      <c r="J2827" s="21"/>
      <c r="K2827" s="19"/>
    </row>
    <row r="2828" spans="3:11" x14ac:dyDescent="0.2">
      <c r="C2828" s="19"/>
      <c r="D2828" s="19"/>
      <c r="E2828" s="19"/>
      <c r="F2828" s="20"/>
      <c r="G2828" s="19"/>
      <c r="H2828" s="19"/>
      <c r="I2828" s="19"/>
      <c r="J2828" s="21"/>
      <c r="K2828" s="19"/>
    </row>
    <row r="2829" spans="3:11" x14ac:dyDescent="0.2">
      <c r="C2829" s="19"/>
      <c r="D2829" s="19"/>
      <c r="E2829" s="19"/>
      <c r="F2829" s="20"/>
      <c r="G2829" s="19"/>
      <c r="H2829" s="19"/>
      <c r="I2829" s="19"/>
      <c r="J2829" s="21"/>
      <c r="K2829" s="19"/>
    </row>
    <row r="2830" spans="3:11" x14ac:dyDescent="0.2">
      <c r="C2830" s="19"/>
      <c r="D2830" s="19"/>
      <c r="E2830" s="19"/>
      <c r="F2830" s="20"/>
      <c r="G2830" s="19"/>
      <c r="H2830" s="19"/>
      <c r="I2830" s="19"/>
      <c r="J2830" s="21"/>
      <c r="K2830" s="19"/>
    </row>
    <row r="2831" spans="3:11" x14ac:dyDescent="0.2">
      <c r="C2831" s="19"/>
      <c r="D2831" s="19"/>
      <c r="E2831" s="19"/>
      <c r="F2831" s="20"/>
      <c r="G2831" s="19"/>
      <c r="H2831" s="19"/>
      <c r="I2831" s="19"/>
      <c r="J2831" s="21"/>
      <c r="K2831" s="19"/>
    </row>
    <row r="2832" spans="3:11" x14ac:dyDescent="0.2">
      <c r="C2832" s="19"/>
      <c r="D2832" s="19"/>
      <c r="E2832" s="19"/>
      <c r="F2832" s="20"/>
      <c r="G2832" s="19"/>
      <c r="H2832" s="19"/>
      <c r="I2832" s="19"/>
      <c r="J2832" s="21"/>
      <c r="K2832" s="19"/>
    </row>
    <row r="2833" spans="3:11" x14ac:dyDescent="0.2">
      <c r="C2833" s="19"/>
      <c r="D2833" s="19"/>
      <c r="E2833" s="19"/>
      <c r="F2833" s="20"/>
      <c r="G2833" s="19"/>
      <c r="H2833" s="19"/>
      <c r="I2833" s="19"/>
      <c r="J2833" s="21"/>
      <c r="K2833" s="19"/>
    </row>
    <row r="2834" spans="3:11" x14ac:dyDescent="0.2">
      <c r="C2834" s="19"/>
      <c r="D2834" s="19"/>
      <c r="E2834" s="19"/>
      <c r="F2834" s="20"/>
      <c r="G2834" s="19"/>
      <c r="H2834" s="19"/>
      <c r="I2834" s="19"/>
      <c r="J2834" s="21"/>
      <c r="K2834" s="19"/>
    </row>
    <row r="2835" spans="3:11" x14ac:dyDescent="0.2">
      <c r="C2835" s="19"/>
      <c r="D2835" s="19"/>
      <c r="E2835" s="19"/>
      <c r="F2835" s="20"/>
      <c r="G2835" s="19"/>
      <c r="H2835" s="19"/>
      <c r="I2835" s="19"/>
      <c r="J2835" s="21"/>
      <c r="K2835" s="19"/>
    </row>
    <row r="2836" spans="3:11" x14ac:dyDescent="0.2">
      <c r="C2836" s="19"/>
      <c r="D2836" s="19"/>
      <c r="E2836" s="19"/>
      <c r="F2836" s="20"/>
      <c r="G2836" s="19"/>
      <c r="H2836" s="19"/>
      <c r="I2836" s="19"/>
      <c r="J2836" s="21"/>
      <c r="K2836" s="19"/>
    </row>
    <row r="2837" spans="3:11" x14ac:dyDescent="0.2">
      <c r="C2837" s="19"/>
      <c r="D2837" s="19"/>
      <c r="E2837" s="19"/>
      <c r="F2837" s="20"/>
      <c r="G2837" s="19"/>
      <c r="H2837" s="19"/>
      <c r="I2837" s="19"/>
      <c r="J2837" s="21"/>
      <c r="K2837" s="19"/>
    </row>
    <row r="2838" spans="3:11" x14ac:dyDescent="0.2">
      <c r="C2838" s="19"/>
      <c r="D2838" s="19"/>
      <c r="E2838" s="19"/>
      <c r="F2838" s="20"/>
      <c r="G2838" s="19"/>
      <c r="H2838" s="19"/>
      <c r="I2838" s="19"/>
      <c r="J2838" s="21"/>
      <c r="K2838" s="19"/>
    </row>
    <row r="2839" spans="3:11" x14ac:dyDescent="0.2">
      <c r="C2839" s="19"/>
      <c r="D2839" s="19"/>
      <c r="E2839" s="19"/>
      <c r="F2839" s="20"/>
      <c r="G2839" s="19"/>
      <c r="H2839" s="19"/>
      <c r="I2839" s="19"/>
      <c r="J2839" s="21"/>
      <c r="K2839" s="19"/>
    </row>
    <row r="2840" spans="3:11" x14ac:dyDescent="0.2">
      <c r="C2840" s="19"/>
      <c r="D2840" s="19"/>
      <c r="E2840" s="19"/>
      <c r="F2840" s="20"/>
      <c r="G2840" s="19"/>
      <c r="H2840" s="19"/>
      <c r="I2840" s="19"/>
      <c r="J2840" s="21"/>
      <c r="K2840" s="19"/>
    </row>
    <row r="2841" spans="3:11" x14ac:dyDescent="0.2">
      <c r="C2841" s="19"/>
      <c r="D2841" s="19"/>
      <c r="E2841" s="19"/>
      <c r="F2841" s="20"/>
      <c r="G2841" s="19"/>
      <c r="H2841" s="19"/>
      <c r="I2841" s="19"/>
      <c r="J2841" s="21"/>
      <c r="K2841" s="19"/>
    </row>
    <row r="2842" spans="3:11" x14ac:dyDescent="0.2">
      <c r="C2842" s="19"/>
      <c r="D2842" s="19"/>
      <c r="E2842" s="19"/>
      <c r="F2842" s="20"/>
      <c r="G2842" s="19"/>
      <c r="H2842" s="19"/>
      <c r="I2842" s="19"/>
      <c r="J2842" s="21"/>
      <c r="K2842" s="19"/>
    </row>
    <row r="2843" spans="3:11" x14ac:dyDescent="0.2">
      <c r="C2843" s="19"/>
      <c r="D2843" s="19"/>
      <c r="E2843" s="19"/>
      <c r="F2843" s="20"/>
      <c r="G2843" s="19"/>
      <c r="H2843" s="19"/>
      <c r="I2843" s="19"/>
      <c r="J2843" s="21"/>
      <c r="K2843" s="19"/>
    </row>
    <row r="2844" spans="3:11" x14ac:dyDescent="0.2">
      <c r="C2844" s="19"/>
      <c r="D2844" s="19"/>
      <c r="E2844" s="19"/>
      <c r="F2844" s="20"/>
      <c r="G2844" s="19"/>
      <c r="H2844" s="19"/>
      <c r="I2844" s="19"/>
      <c r="J2844" s="21"/>
      <c r="K2844" s="19"/>
    </row>
    <row r="2845" spans="3:11" x14ac:dyDescent="0.2">
      <c r="C2845" s="19"/>
      <c r="D2845" s="19"/>
      <c r="E2845" s="19"/>
      <c r="F2845" s="20"/>
      <c r="G2845" s="19"/>
      <c r="H2845" s="19"/>
      <c r="I2845" s="19"/>
      <c r="J2845" s="21"/>
      <c r="K2845" s="19"/>
    </row>
    <row r="2846" spans="3:11" x14ac:dyDescent="0.2">
      <c r="C2846" s="19"/>
      <c r="D2846" s="19"/>
      <c r="E2846" s="19"/>
      <c r="F2846" s="20"/>
      <c r="G2846" s="19"/>
      <c r="H2846" s="19"/>
      <c r="I2846" s="19"/>
      <c r="J2846" s="21"/>
      <c r="K2846" s="19"/>
    </row>
    <row r="2847" spans="3:11" x14ac:dyDescent="0.2">
      <c r="C2847" s="19"/>
      <c r="D2847" s="19"/>
      <c r="E2847" s="19"/>
      <c r="F2847" s="20"/>
      <c r="G2847" s="19"/>
      <c r="H2847" s="19"/>
      <c r="I2847" s="19"/>
      <c r="J2847" s="21"/>
      <c r="K2847" s="19"/>
    </row>
    <row r="2848" spans="3:11" x14ac:dyDescent="0.2">
      <c r="C2848" s="19"/>
      <c r="D2848" s="19"/>
      <c r="E2848" s="19"/>
      <c r="F2848" s="20"/>
      <c r="G2848" s="19"/>
      <c r="H2848" s="19"/>
      <c r="I2848" s="19"/>
      <c r="J2848" s="21"/>
      <c r="K2848" s="19"/>
    </row>
    <row r="2849" spans="3:11" x14ac:dyDescent="0.2">
      <c r="C2849" s="19"/>
      <c r="D2849" s="19"/>
      <c r="E2849" s="19"/>
      <c r="F2849" s="20"/>
      <c r="G2849" s="19"/>
      <c r="H2849" s="19"/>
      <c r="I2849" s="19"/>
      <c r="J2849" s="21"/>
      <c r="K2849" s="19"/>
    </row>
    <row r="2850" spans="3:11" x14ac:dyDescent="0.2">
      <c r="C2850" s="19"/>
      <c r="D2850" s="19"/>
      <c r="E2850" s="19"/>
      <c r="F2850" s="20"/>
      <c r="G2850" s="19"/>
      <c r="H2850" s="19"/>
      <c r="I2850" s="19"/>
      <c r="J2850" s="21"/>
      <c r="K2850" s="19"/>
    </row>
    <row r="2851" spans="3:11" x14ac:dyDescent="0.2">
      <c r="C2851" s="19"/>
      <c r="D2851" s="19"/>
      <c r="E2851" s="19"/>
      <c r="F2851" s="20"/>
      <c r="G2851" s="19"/>
      <c r="H2851" s="19"/>
      <c r="I2851" s="19"/>
      <c r="J2851" s="21"/>
      <c r="K2851" s="19"/>
    </row>
    <row r="2852" spans="3:11" x14ac:dyDescent="0.2">
      <c r="C2852" s="19"/>
      <c r="D2852" s="19"/>
      <c r="E2852" s="19"/>
      <c r="F2852" s="20"/>
      <c r="G2852" s="19"/>
      <c r="H2852" s="19"/>
      <c r="I2852" s="19"/>
      <c r="J2852" s="21"/>
      <c r="K2852" s="19"/>
    </row>
    <row r="2853" spans="3:11" x14ac:dyDescent="0.2">
      <c r="C2853" s="19"/>
      <c r="D2853" s="19"/>
      <c r="E2853" s="19"/>
      <c r="F2853" s="20"/>
      <c r="G2853" s="19"/>
      <c r="H2853" s="19"/>
      <c r="I2853" s="19"/>
      <c r="J2853" s="21"/>
      <c r="K2853" s="19"/>
    </row>
    <row r="2854" spans="3:11" x14ac:dyDescent="0.2">
      <c r="C2854" s="19"/>
      <c r="D2854" s="19"/>
      <c r="E2854" s="19"/>
      <c r="F2854" s="20"/>
      <c r="G2854" s="19"/>
      <c r="H2854" s="19"/>
      <c r="I2854" s="19"/>
      <c r="J2854" s="21"/>
      <c r="K2854" s="19"/>
    </row>
    <row r="2855" spans="3:11" x14ac:dyDescent="0.2">
      <c r="C2855" s="19"/>
      <c r="D2855" s="19"/>
      <c r="E2855" s="19"/>
      <c r="F2855" s="20"/>
      <c r="G2855" s="19"/>
      <c r="H2855" s="19"/>
      <c r="I2855" s="19"/>
      <c r="J2855" s="21"/>
      <c r="K2855" s="19"/>
    </row>
    <row r="2856" spans="3:11" x14ac:dyDescent="0.2">
      <c r="C2856" s="19"/>
      <c r="D2856" s="19"/>
      <c r="E2856" s="19"/>
      <c r="F2856" s="20"/>
      <c r="G2856" s="19"/>
      <c r="H2856" s="19"/>
      <c r="I2856" s="19"/>
      <c r="J2856" s="21"/>
      <c r="K2856" s="19"/>
    </row>
    <row r="2857" spans="3:11" x14ac:dyDescent="0.2">
      <c r="C2857" s="19"/>
      <c r="D2857" s="19"/>
      <c r="E2857" s="19"/>
      <c r="F2857" s="20"/>
      <c r="G2857" s="19"/>
      <c r="H2857" s="19"/>
      <c r="I2857" s="19"/>
      <c r="J2857" s="21"/>
      <c r="K2857" s="19"/>
    </row>
    <row r="2858" spans="3:11" x14ac:dyDescent="0.2">
      <c r="C2858" s="19"/>
      <c r="D2858" s="19"/>
      <c r="E2858" s="19"/>
      <c r="F2858" s="20"/>
      <c r="G2858" s="19"/>
      <c r="H2858" s="19"/>
      <c r="I2858" s="19"/>
      <c r="J2858" s="21"/>
      <c r="K2858" s="19"/>
    </row>
    <row r="2859" spans="3:11" x14ac:dyDescent="0.2">
      <c r="C2859" s="19"/>
      <c r="D2859" s="19"/>
      <c r="E2859" s="19"/>
      <c r="F2859" s="20"/>
      <c r="G2859" s="19"/>
      <c r="H2859" s="19"/>
      <c r="I2859" s="19"/>
      <c r="J2859" s="21"/>
      <c r="K2859" s="19"/>
    </row>
    <row r="2860" spans="3:11" x14ac:dyDescent="0.2">
      <c r="C2860" s="19"/>
      <c r="D2860" s="19"/>
      <c r="E2860" s="19"/>
      <c r="F2860" s="20"/>
      <c r="G2860" s="19"/>
      <c r="H2860" s="19"/>
      <c r="I2860" s="19"/>
      <c r="J2860" s="21"/>
      <c r="K2860" s="19"/>
    </row>
    <row r="2861" spans="3:11" x14ac:dyDescent="0.2">
      <c r="C2861" s="19"/>
      <c r="D2861" s="19"/>
      <c r="E2861" s="19"/>
      <c r="F2861" s="20"/>
      <c r="G2861" s="19"/>
      <c r="H2861" s="19"/>
      <c r="I2861" s="19"/>
      <c r="J2861" s="21"/>
      <c r="K2861" s="19"/>
    </row>
    <row r="2862" spans="3:11" x14ac:dyDescent="0.2">
      <c r="C2862" s="19"/>
      <c r="D2862" s="19"/>
      <c r="E2862" s="19"/>
      <c r="F2862" s="20"/>
      <c r="G2862" s="19"/>
      <c r="H2862" s="19"/>
      <c r="I2862" s="19"/>
      <c r="J2862" s="21"/>
      <c r="K2862" s="19"/>
    </row>
    <row r="2863" spans="3:11" x14ac:dyDescent="0.2">
      <c r="C2863" s="19"/>
      <c r="D2863" s="19"/>
      <c r="E2863" s="19"/>
      <c r="F2863" s="20"/>
      <c r="G2863" s="19"/>
      <c r="H2863" s="19"/>
      <c r="I2863" s="19"/>
      <c r="J2863" s="21"/>
      <c r="K2863" s="19"/>
    </row>
    <row r="2864" spans="3:11" x14ac:dyDescent="0.2">
      <c r="C2864" s="19"/>
      <c r="D2864" s="19"/>
      <c r="E2864" s="19"/>
      <c r="F2864" s="20"/>
      <c r="G2864" s="19"/>
      <c r="H2864" s="19"/>
      <c r="I2864" s="19"/>
      <c r="J2864" s="21"/>
      <c r="K2864" s="19"/>
    </row>
    <row r="2865" spans="3:11" x14ac:dyDescent="0.2">
      <c r="C2865" s="19"/>
      <c r="D2865" s="19"/>
      <c r="E2865" s="19"/>
      <c r="F2865" s="20"/>
      <c r="G2865" s="19"/>
      <c r="H2865" s="19"/>
      <c r="I2865" s="19"/>
      <c r="J2865" s="21"/>
      <c r="K2865" s="19"/>
    </row>
    <row r="2866" spans="3:11" x14ac:dyDescent="0.2">
      <c r="C2866" s="19"/>
      <c r="D2866" s="19"/>
      <c r="E2866" s="19"/>
      <c r="F2866" s="20"/>
      <c r="G2866" s="19"/>
      <c r="H2866" s="19"/>
      <c r="I2866" s="19"/>
      <c r="J2866" s="21"/>
      <c r="K2866" s="19"/>
    </row>
    <row r="2867" spans="3:11" x14ac:dyDescent="0.2">
      <c r="C2867" s="19"/>
      <c r="D2867" s="19"/>
      <c r="E2867" s="19"/>
      <c r="F2867" s="20"/>
      <c r="G2867" s="19"/>
      <c r="H2867" s="19"/>
      <c r="I2867" s="19"/>
      <c r="J2867" s="21"/>
      <c r="K2867" s="19"/>
    </row>
    <row r="2868" spans="3:11" x14ac:dyDescent="0.2">
      <c r="C2868" s="19"/>
      <c r="D2868" s="19"/>
      <c r="E2868" s="19"/>
      <c r="F2868" s="20"/>
      <c r="G2868" s="19"/>
      <c r="H2868" s="19"/>
      <c r="I2868" s="19"/>
      <c r="J2868" s="21"/>
      <c r="K2868" s="19"/>
    </row>
    <row r="2869" spans="3:11" x14ac:dyDescent="0.2">
      <c r="C2869" s="19"/>
      <c r="D2869" s="19"/>
      <c r="E2869" s="19"/>
      <c r="F2869" s="20"/>
      <c r="G2869" s="19"/>
      <c r="H2869" s="19"/>
      <c r="I2869" s="19"/>
      <c r="J2869" s="21"/>
      <c r="K2869" s="19"/>
    </row>
    <row r="2870" spans="3:11" x14ac:dyDescent="0.2">
      <c r="C2870" s="19"/>
      <c r="D2870" s="19"/>
      <c r="E2870" s="19"/>
      <c r="F2870" s="20"/>
      <c r="G2870" s="19"/>
      <c r="H2870" s="19"/>
      <c r="I2870" s="19"/>
      <c r="J2870" s="21"/>
      <c r="K2870" s="19"/>
    </row>
    <row r="2871" spans="3:11" x14ac:dyDescent="0.2">
      <c r="C2871" s="19"/>
      <c r="D2871" s="19"/>
      <c r="E2871" s="19"/>
      <c r="F2871" s="20"/>
      <c r="G2871" s="19"/>
      <c r="H2871" s="19"/>
      <c r="I2871" s="19"/>
      <c r="J2871" s="21"/>
      <c r="K2871" s="19"/>
    </row>
    <row r="2872" spans="3:11" x14ac:dyDescent="0.2">
      <c r="C2872" s="19"/>
      <c r="D2872" s="19"/>
      <c r="E2872" s="19"/>
      <c r="F2872" s="20"/>
      <c r="G2872" s="19"/>
      <c r="H2872" s="19"/>
      <c r="I2872" s="19"/>
      <c r="J2872" s="21"/>
      <c r="K2872" s="19"/>
    </row>
    <row r="2873" spans="3:11" x14ac:dyDescent="0.2">
      <c r="C2873" s="19"/>
      <c r="D2873" s="19"/>
      <c r="E2873" s="19"/>
      <c r="F2873" s="20"/>
      <c r="G2873" s="19"/>
      <c r="H2873" s="19"/>
      <c r="I2873" s="19"/>
      <c r="J2873" s="21"/>
      <c r="K2873" s="19"/>
    </row>
    <row r="2874" spans="3:11" x14ac:dyDescent="0.2">
      <c r="C2874" s="19"/>
      <c r="D2874" s="19"/>
      <c r="E2874" s="19"/>
      <c r="F2874" s="20"/>
      <c r="G2874" s="19"/>
      <c r="H2874" s="19"/>
      <c r="I2874" s="19"/>
      <c r="J2874" s="21"/>
      <c r="K2874" s="19"/>
    </row>
    <row r="2875" spans="3:11" x14ac:dyDescent="0.2">
      <c r="C2875" s="19"/>
      <c r="D2875" s="19"/>
      <c r="E2875" s="19"/>
      <c r="F2875" s="20"/>
      <c r="G2875" s="19"/>
      <c r="H2875" s="19"/>
      <c r="I2875" s="19"/>
      <c r="J2875" s="21"/>
      <c r="K2875" s="19"/>
    </row>
    <row r="2876" spans="3:11" x14ac:dyDescent="0.2">
      <c r="C2876" s="19"/>
      <c r="D2876" s="19"/>
      <c r="E2876" s="19"/>
      <c r="F2876" s="20"/>
      <c r="G2876" s="19"/>
      <c r="H2876" s="19"/>
      <c r="I2876" s="19"/>
      <c r="J2876" s="21"/>
      <c r="K2876" s="19"/>
    </row>
    <row r="2877" spans="3:11" x14ac:dyDescent="0.2">
      <c r="C2877" s="19"/>
      <c r="D2877" s="19"/>
      <c r="E2877" s="19"/>
      <c r="F2877" s="20"/>
      <c r="G2877" s="19"/>
      <c r="H2877" s="19"/>
      <c r="I2877" s="19"/>
      <c r="J2877" s="21"/>
      <c r="K2877" s="19"/>
    </row>
    <row r="2878" spans="3:11" x14ac:dyDescent="0.2">
      <c r="C2878" s="19"/>
      <c r="D2878" s="19"/>
      <c r="E2878" s="19"/>
      <c r="F2878" s="20"/>
      <c r="G2878" s="19"/>
      <c r="H2878" s="19"/>
      <c r="I2878" s="19"/>
      <c r="J2878" s="21"/>
      <c r="K2878" s="19"/>
    </row>
    <row r="2879" spans="3:11" x14ac:dyDescent="0.2">
      <c r="C2879" s="19"/>
      <c r="D2879" s="19"/>
      <c r="E2879" s="19"/>
      <c r="F2879" s="20"/>
      <c r="G2879" s="19"/>
      <c r="H2879" s="19"/>
      <c r="I2879" s="19"/>
      <c r="J2879" s="21"/>
      <c r="K2879" s="19"/>
    </row>
    <row r="2880" spans="3:11" x14ac:dyDescent="0.2">
      <c r="C2880" s="19"/>
      <c r="D2880" s="19"/>
      <c r="E2880" s="19"/>
      <c r="F2880" s="20"/>
      <c r="G2880" s="19"/>
      <c r="H2880" s="19"/>
      <c r="I2880" s="19"/>
      <c r="J2880" s="21"/>
      <c r="K2880" s="19"/>
    </row>
    <row r="2881" spans="3:11" x14ac:dyDescent="0.2">
      <c r="C2881" s="19"/>
      <c r="D2881" s="19"/>
      <c r="E2881" s="19"/>
      <c r="F2881" s="20"/>
      <c r="G2881" s="19"/>
      <c r="H2881" s="19"/>
      <c r="I2881" s="19"/>
      <c r="J2881" s="21"/>
      <c r="K2881" s="19"/>
    </row>
    <row r="2882" spans="3:11" x14ac:dyDescent="0.2">
      <c r="C2882" s="19"/>
      <c r="D2882" s="19"/>
      <c r="E2882" s="19"/>
      <c r="F2882" s="20"/>
      <c r="G2882" s="19"/>
      <c r="H2882" s="19"/>
      <c r="I2882" s="19"/>
      <c r="J2882" s="21"/>
      <c r="K2882" s="19"/>
    </row>
    <row r="2883" spans="3:11" x14ac:dyDescent="0.2">
      <c r="C2883" s="19"/>
      <c r="D2883" s="19"/>
      <c r="E2883" s="19"/>
      <c r="F2883" s="20"/>
      <c r="G2883" s="19"/>
      <c r="H2883" s="19"/>
      <c r="I2883" s="19"/>
      <c r="J2883" s="21"/>
      <c r="K2883" s="19"/>
    </row>
    <row r="2884" spans="3:11" x14ac:dyDescent="0.2">
      <c r="C2884" s="19"/>
      <c r="D2884" s="19"/>
      <c r="E2884" s="19"/>
      <c r="F2884" s="20"/>
      <c r="G2884" s="19"/>
      <c r="H2884" s="19"/>
      <c r="I2884" s="19"/>
      <c r="J2884" s="21"/>
      <c r="K2884" s="19"/>
    </row>
    <row r="2885" spans="3:11" x14ac:dyDescent="0.2">
      <c r="C2885" s="19"/>
      <c r="D2885" s="19"/>
      <c r="E2885" s="19"/>
      <c r="F2885" s="20"/>
      <c r="G2885" s="19"/>
      <c r="H2885" s="19"/>
      <c r="I2885" s="19"/>
      <c r="J2885" s="21"/>
      <c r="K2885" s="19"/>
    </row>
    <row r="2886" spans="3:11" x14ac:dyDescent="0.2">
      <c r="C2886" s="19"/>
      <c r="D2886" s="19"/>
      <c r="E2886" s="19"/>
      <c r="F2886" s="20"/>
      <c r="G2886" s="19"/>
      <c r="H2886" s="19"/>
      <c r="I2886" s="19"/>
      <c r="J2886" s="21"/>
      <c r="K2886" s="19"/>
    </row>
    <row r="2887" spans="3:11" x14ac:dyDescent="0.2">
      <c r="C2887" s="19"/>
      <c r="D2887" s="19"/>
      <c r="E2887" s="19"/>
      <c r="F2887" s="20"/>
      <c r="G2887" s="19"/>
      <c r="H2887" s="19"/>
      <c r="I2887" s="19"/>
      <c r="J2887" s="21"/>
      <c r="K2887" s="19"/>
    </row>
    <row r="2888" spans="3:11" x14ac:dyDescent="0.2">
      <c r="C2888" s="19"/>
      <c r="D2888" s="19"/>
      <c r="E2888" s="19"/>
      <c r="F2888" s="20"/>
      <c r="G2888" s="19"/>
      <c r="H2888" s="19"/>
      <c r="I2888" s="19"/>
      <c r="J2888" s="21"/>
      <c r="K2888" s="19"/>
    </row>
    <row r="2889" spans="3:11" x14ac:dyDescent="0.2">
      <c r="C2889" s="19"/>
      <c r="D2889" s="19"/>
      <c r="E2889" s="19"/>
      <c r="F2889" s="20"/>
      <c r="G2889" s="19"/>
      <c r="H2889" s="19"/>
      <c r="I2889" s="19"/>
      <c r="J2889" s="21"/>
      <c r="K2889" s="19"/>
    </row>
    <row r="2890" spans="3:11" x14ac:dyDescent="0.2">
      <c r="C2890" s="19"/>
      <c r="D2890" s="19"/>
      <c r="E2890" s="19"/>
      <c r="F2890" s="20"/>
      <c r="G2890" s="19"/>
      <c r="H2890" s="19"/>
      <c r="I2890" s="19"/>
      <c r="J2890" s="21"/>
      <c r="K2890" s="19"/>
    </row>
    <row r="2891" spans="3:11" x14ac:dyDescent="0.2">
      <c r="C2891" s="19"/>
      <c r="D2891" s="19"/>
      <c r="E2891" s="19"/>
      <c r="F2891" s="20"/>
      <c r="G2891" s="19"/>
      <c r="H2891" s="19"/>
      <c r="I2891" s="19"/>
      <c r="J2891" s="21"/>
      <c r="K2891" s="19"/>
    </row>
    <row r="2892" spans="3:11" x14ac:dyDescent="0.2">
      <c r="C2892" s="19"/>
      <c r="D2892" s="19"/>
      <c r="E2892" s="19"/>
      <c r="F2892" s="20"/>
      <c r="G2892" s="19"/>
      <c r="H2892" s="19"/>
      <c r="I2892" s="19"/>
      <c r="J2892" s="21"/>
      <c r="K2892" s="19"/>
    </row>
    <row r="2893" spans="3:11" x14ac:dyDescent="0.2">
      <c r="C2893" s="19"/>
      <c r="D2893" s="19"/>
      <c r="E2893" s="19"/>
      <c r="F2893" s="20"/>
      <c r="G2893" s="19"/>
      <c r="H2893" s="19"/>
      <c r="I2893" s="19"/>
      <c r="J2893" s="21"/>
      <c r="K2893" s="19"/>
    </row>
    <row r="2894" spans="3:11" x14ac:dyDescent="0.2">
      <c r="C2894" s="19"/>
      <c r="D2894" s="19"/>
      <c r="E2894" s="19"/>
      <c r="F2894" s="20"/>
      <c r="G2894" s="19"/>
      <c r="H2894" s="19"/>
      <c r="I2894" s="19"/>
      <c r="J2894" s="21"/>
      <c r="K2894" s="19"/>
    </row>
    <row r="2895" spans="3:11" x14ac:dyDescent="0.2">
      <c r="C2895" s="19"/>
      <c r="D2895" s="19"/>
      <c r="E2895" s="19"/>
      <c r="F2895" s="20"/>
      <c r="G2895" s="19"/>
      <c r="H2895" s="19"/>
      <c r="I2895" s="19"/>
      <c r="J2895" s="21"/>
      <c r="K2895" s="19"/>
    </row>
    <row r="2896" spans="3:11" x14ac:dyDescent="0.2">
      <c r="C2896" s="19"/>
      <c r="D2896" s="19"/>
      <c r="E2896" s="19"/>
      <c r="F2896" s="20"/>
      <c r="G2896" s="19"/>
      <c r="H2896" s="19"/>
      <c r="I2896" s="19"/>
      <c r="J2896" s="21"/>
      <c r="K2896" s="19"/>
    </row>
    <row r="2897" spans="3:11" x14ac:dyDescent="0.2">
      <c r="C2897" s="19"/>
      <c r="D2897" s="19"/>
      <c r="E2897" s="19"/>
      <c r="F2897" s="20"/>
      <c r="G2897" s="19"/>
      <c r="H2897" s="19"/>
      <c r="I2897" s="19"/>
      <c r="J2897" s="21"/>
      <c r="K2897" s="19"/>
    </row>
    <row r="2898" spans="3:11" x14ac:dyDescent="0.2">
      <c r="C2898" s="19"/>
      <c r="D2898" s="19"/>
      <c r="E2898" s="19"/>
      <c r="F2898" s="20"/>
      <c r="G2898" s="19"/>
      <c r="H2898" s="19"/>
      <c r="I2898" s="19"/>
      <c r="J2898" s="21"/>
      <c r="K2898" s="19"/>
    </row>
    <row r="2899" spans="3:11" x14ac:dyDescent="0.2">
      <c r="C2899" s="19"/>
      <c r="D2899" s="19"/>
      <c r="E2899" s="19"/>
      <c r="F2899" s="20"/>
      <c r="G2899" s="19"/>
      <c r="H2899" s="19"/>
      <c r="I2899" s="19"/>
      <c r="J2899" s="21"/>
      <c r="K2899" s="19"/>
    </row>
    <row r="2900" spans="3:11" x14ac:dyDescent="0.2">
      <c r="C2900" s="19"/>
      <c r="D2900" s="19"/>
      <c r="E2900" s="19"/>
      <c r="F2900" s="20"/>
      <c r="G2900" s="19"/>
      <c r="H2900" s="19"/>
      <c r="I2900" s="19"/>
      <c r="J2900" s="21"/>
      <c r="K2900" s="19"/>
    </row>
    <row r="2901" spans="3:11" x14ac:dyDescent="0.2">
      <c r="C2901" s="19"/>
      <c r="D2901" s="19"/>
      <c r="E2901" s="19"/>
      <c r="F2901" s="20"/>
      <c r="G2901" s="19"/>
      <c r="H2901" s="19"/>
      <c r="I2901" s="19"/>
      <c r="J2901" s="21"/>
      <c r="K2901" s="19"/>
    </row>
    <row r="2902" spans="3:11" x14ac:dyDescent="0.2">
      <c r="C2902" s="19"/>
      <c r="D2902" s="19"/>
      <c r="E2902" s="19"/>
      <c r="F2902" s="20"/>
      <c r="G2902" s="19"/>
      <c r="H2902" s="19"/>
      <c r="I2902" s="19"/>
      <c r="J2902" s="21"/>
      <c r="K2902" s="19"/>
    </row>
    <row r="2903" spans="3:11" x14ac:dyDescent="0.2">
      <c r="C2903" s="19"/>
      <c r="D2903" s="19"/>
      <c r="E2903" s="19"/>
      <c r="F2903" s="20"/>
      <c r="G2903" s="19"/>
      <c r="H2903" s="19"/>
      <c r="I2903" s="19"/>
      <c r="J2903" s="21"/>
      <c r="K2903" s="19"/>
    </row>
    <row r="2904" spans="3:11" x14ac:dyDescent="0.2">
      <c r="C2904" s="19"/>
      <c r="D2904" s="19"/>
      <c r="E2904" s="19"/>
      <c r="F2904" s="20"/>
      <c r="G2904" s="19"/>
      <c r="H2904" s="19"/>
      <c r="I2904" s="19"/>
      <c r="J2904" s="21"/>
      <c r="K2904" s="19"/>
    </row>
    <row r="2905" spans="3:11" x14ac:dyDescent="0.2">
      <c r="C2905" s="19"/>
      <c r="D2905" s="19"/>
      <c r="E2905" s="19"/>
      <c r="F2905" s="20"/>
      <c r="G2905" s="19"/>
      <c r="H2905" s="19"/>
      <c r="I2905" s="19"/>
      <c r="J2905" s="21"/>
      <c r="K2905" s="19"/>
    </row>
    <row r="2906" spans="3:11" x14ac:dyDescent="0.2">
      <c r="C2906" s="19"/>
      <c r="D2906" s="19"/>
      <c r="E2906" s="19"/>
      <c r="F2906" s="20"/>
      <c r="G2906" s="19"/>
      <c r="H2906" s="19"/>
      <c r="I2906" s="19"/>
      <c r="J2906" s="21"/>
      <c r="K2906" s="19"/>
    </row>
    <row r="2907" spans="3:11" x14ac:dyDescent="0.2">
      <c r="C2907" s="19"/>
      <c r="D2907" s="19"/>
      <c r="E2907" s="19"/>
      <c r="F2907" s="20"/>
      <c r="G2907" s="19"/>
      <c r="H2907" s="19"/>
      <c r="I2907" s="19"/>
      <c r="J2907" s="21"/>
      <c r="K2907" s="19"/>
    </row>
    <row r="2908" spans="3:11" x14ac:dyDescent="0.2">
      <c r="C2908" s="19"/>
      <c r="D2908" s="19"/>
      <c r="E2908" s="19"/>
      <c r="F2908" s="20"/>
      <c r="G2908" s="19"/>
      <c r="H2908" s="19"/>
      <c r="I2908" s="19"/>
      <c r="J2908" s="21"/>
      <c r="K2908" s="19"/>
    </row>
    <row r="2909" spans="3:11" x14ac:dyDescent="0.2">
      <c r="C2909" s="19"/>
      <c r="D2909" s="19"/>
      <c r="E2909" s="19"/>
      <c r="F2909" s="20"/>
      <c r="G2909" s="19"/>
      <c r="H2909" s="19"/>
      <c r="I2909" s="19"/>
      <c r="J2909" s="21"/>
      <c r="K2909" s="19"/>
    </row>
    <row r="2910" spans="3:11" x14ac:dyDescent="0.2">
      <c r="C2910" s="19"/>
      <c r="D2910" s="19"/>
      <c r="E2910" s="19"/>
      <c r="F2910" s="20"/>
      <c r="G2910" s="19"/>
      <c r="H2910" s="19"/>
      <c r="I2910" s="19"/>
      <c r="J2910" s="21"/>
      <c r="K2910" s="19"/>
    </row>
    <row r="2911" spans="3:11" x14ac:dyDescent="0.2">
      <c r="C2911" s="19"/>
      <c r="D2911" s="19"/>
      <c r="E2911" s="19"/>
      <c r="F2911" s="20"/>
      <c r="G2911" s="19"/>
      <c r="H2911" s="19"/>
      <c r="I2911" s="19"/>
      <c r="J2911" s="21"/>
      <c r="K2911" s="19"/>
    </row>
    <row r="2912" spans="3:11" x14ac:dyDescent="0.2">
      <c r="C2912" s="19"/>
      <c r="D2912" s="19"/>
      <c r="E2912" s="19"/>
      <c r="F2912" s="20"/>
      <c r="G2912" s="19"/>
      <c r="H2912" s="19"/>
      <c r="I2912" s="19"/>
      <c r="J2912" s="21"/>
      <c r="K2912" s="19"/>
    </row>
    <row r="2913" spans="3:11" x14ac:dyDescent="0.2">
      <c r="C2913" s="19"/>
      <c r="D2913" s="19"/>
      <c r="E2913" s="19"/>
      <c r="F2913" s="20"/>
      <c r="G2913" s="19"/>
      <c r="H2913" s="19"/>
      <c r="I2913" s="19"/>
      <c r="J2913" s="21"/>
      <c r="K2913" s="19"/>
    </row>
    <row r="2914" spans="3:11" x14ac:dyDescent="0.2">
      <c r="C2914" s="19"/>
      <c r="D2914" s="19"/>
      <c r="E2914" s="19"/>
      <c r="F2914" s="20"/>
      <c r="G2914" s="19"/>
      <c r="H2914" s="19"/>
      <c r="I2914" s="19"/>
      <c r="J2914" s="21"/>
      <c r="K2914" s="19"/>
    </row>
    <row r="2915" spans="3:11" x14ac:dyDescent="0.2">
      <c r="C2915" s="19"/>
      <c r="D2915" s="19"/>
      <c r="E2915" s="19"/>
      <c r="F2915" s="20"/>
      <c r="G2915" s="19"/>
      <c r="H2915" s="19"/>
      <c r="I2915" s="19"/>
      <c r="J2915" s="21"/>
      <c r="K2915" s="19"/>
    </row>
    <row r="2916" spans="3:11" x14ac:dyDescent="0.2">
      <c r="C2916" s="19"/>
      <c r="D2916" s="19"/>
      <c r="E2916" s="19"/>
      <c r="F2916" s="20"/>
      <c r="G2916" s="19"/>
      <c r="H2916" s="19"/>
      <c r="I2916" s="19"/>
      <c r="J2916" s="21"/>
      <c r="K2916" s="19"/>
    </row>
    <row r="2917" spans="3:11" x14ac:dyDescent="0.2">
      <c r="C2917" s="19"/>
      <c r="D2917" s="19"/>
      <c r="E2917" s="19"/>
      <c r="F2917" s="20"/>
      <c r="G2917" s="19"/>
      <c r="H2917" s="19"/>
      <c r="I2917" s="19"/>
      <c r="J2917" s="21"/>
      <c r="K2917" s="19"/>
    </row>
    <row r="2918" spans="3:11" x14ac:dyDescent="0.2">
      <c r="C2918" s="19"/>
      <c r="D2918" s="19"/>
      <c r="E2918" s="19"/>
      <c r="F2918" s="20"/>
      <c r="G2918" s="19"/>
      <c r="H2918" s="19"/>
      <c r="I2918" s="19"/>
      <c r="J2918" s="21"/>
      <c r="K2918" s="19"/>
    </row>
    <row r="2919" spans="3:11" x14ac:dyDescent="0.2">
      <c r="C2919" s="19"/>
      <c r="D2919" s="19"/>
      <c r="E2919" s="19"/>
      <c r="F2919" s="20"/>
      <c r="G2919" s="19"/>
      <c r="H2919" s="19"/>
      <c r="I2919" s="19"/>
      <c r="J2919" s="21"/>
      <c r="K2919" s="19"/>
    </row>
    <row r="2920" spans="3:11" x14ac:dyDescent="0.2">
      <c r="C2920" s="19"/>
      <c r="D2920" s="19"/>
      <c r="E2920" s="19"/>
      <c r="F2920" s="20"/>
      <c r="G2920" s="19"/>
      <c r="H2920" s="19"/>
      <c r="I2920" s="19"/>
      <c r="J2920" s="21"/>
      <c r="K2920" s="19"/>
    </row>
    <row r="2921" spans="3:11" x14ac:dyDescent="0.2">
      <c r="C2921" s="19"/>
      <c r="D2921" s="19"/>
      <c r="E2921" s="19"/>
      <c r="F2921" s="20"/>
      <c r="G2921" s="19"/>
      <c r="H2921" s="19"/>
      <c r="I2921" s="19"/>
      <c r="J2921" s="21"/>
      <c r="K2921" s="19"/>
    </row>
    <row r="2922" spans="3:11" x14ac:dyDescent="0.2">
      <c r="C2922" s="19"/>
      <c r="D2922" s="19"/>
      <c r="E2922" s="19"/>
      <c r="F2922" s="20"/>
      <c r="G2922" s="19"/>
      <c r="H2922" s="19"/>
      <c r="I2922" s="19"/>
      <c r="J2922" s="21"/>
      <c r="K2922" s="19"/>
    </row>
    <row r="2923" spans="3:11" x14ac:dyDescent="0.2">
      <c r="C2923" s="19"/>
      <c r="D2923" s="19"/>
      <c r="E2923" s="19"/>
      <c r="F2923" s="20"/>
      <c r="G2923" s="19"/>
      <c r="H2923" s="19"/>
      <c r="I2923" s="19"/>
      <c r="J2923" s="21"/>
      <c r="K2923" s="19"/>
    </row>
    <row r="2924" spans="3:11" x14ac:dyDescent="0.2">
      <c r="C2924" s="19"/>
      <c r="D2924" s="19"/>
      <c r="E2924" s="19"/>
      <c r="F2924" s="20"/>
      <c r="G2924" s="19"/>
      <c r="H2924" s="19"/>
      <c r="I2924" s="19"/>
      <c r="J2924" s="21"/>
      <c r="K2924" s="19"/>
    </row>
    <row r="2925" spans="3:11" x14ac:dyDescent="0.2">
      <c r="C2925" s="19"/>
      <c r="D2925" s="19"/>
      <c r="E2925" s="19"/>
      <c r="F2925" s="20"/>
      <c r="G2925" s="19"/>
      <c r="H2925" s="19"/>
      <c r="I2925" s="19"/>
      <c r="J2925" s="21"/>
      <c r="K2925" s="19"/>
    </row>
    <row r="2926" spans="3:11" x14ac:dyDescent="0.2">
      <c r="C2926" s="19"/>
      <c r="D2926" s="19"/>
      <c r="E2926" s="19"/>
      <c r="F2926" s="20"/>
      <c r="G2926" s="19"/>
      <c r="H2926" s="19"/>
      <c r="I2926" s="19"/>
      <c r="J2926" s="21"/>
      <c r="K2926" s="19"/>
    </row>
    <row r="2927" spans="3:11" x14ac:dyDescent="0.2">
      <c r="C2927" s="19"/>
      <c r="D2927" s="19"/>
      <c r="E2927" s="19"/>
      <c r="F2927" s="20"/>
      <c r="G2927" s="19"/>
      <c r="H2927" s="19"/>
      <c r="I2927" s="19"/>
      <c r="J2927" s="21"/>
      <c r="K2927" s="19"/>
    </row>
    <row r="2928" spans="3:11" x14ac:dyDescent="0.2">
      <c r="C2928" s="19"/>
      <c r="D2928" s="19"/>
      <c r="E2928" s="19"/>
      <c r="F2928" s="20"/>
      <c r="G2928" s="19"/>
      <c r="H2928" s="19"/>
      <c r="I2928" s="19"/>
      <c r="J2928" s="21"/>
      <c r="K2928" s="19"/>
    </row>
    <row r="2929" spans="3:11" x14ac:dyDescent="0.2">
      <c r="C2929" s="19"/>
      <c r="D2929" s="19"/>
      <c r="E2929" s="19"/>
      <c r="F2929" s="20"/>
      <c r="G2929" s="19"/>
      <c r="H2929" s="19"/>
      <c r="I2929" s="19"/>
      <c r="J2929" s="21"/>
      <c r="K2929" s="19"/>
    </row>
    <row r="2930" spans="3:11" x14ac:dyDescent="0.2">
      <c r="C2930" s="19"/>
      <c r="D2930" s="19"/>
      <c r="E2930" s="19"/>
      <c r="F2930" s="20"/>
      <c r="G2930" s="19"/>
      <c r="H2930" s="19"/>
      <c r="I2930" s="19"/>
      <c r="J2930" s="21"/>
      <c r="K2930" s="19"/>
    </row>
    <row r="2931" spans="3:11" x14ac:dyDescent="0.2">
      <c r="C2931" s="19"/>
      <c r="D2931" s="19"/>
      <c r="E2931" s="19"/>
      <c r="F2931" s="20"/>
      <c r="G2931" s="19"/>
      <c r="H2931" s="19"/>
      <c r="I2931" s="19"/>
      <c r="J2931" s="21"/>
      <c r="K2931" s="19"/>
    </row>
    <row r="2932" spans="3:11" x14ac:dyDescent="0.2">
      <c r="C2932" s="19"/>
      <c r="D2932" s="19"/>
      <c r="E2932" s="19"/>
      <c r="F2932" s="20"/>
      <c r="G2932" s="19"/>
      <c r="H2932" s="19"/>
      <c r="I2932" s="19"/>
      <c r="J2932" s="21"/>
      <c r="K2932" s="19"/>
    </row>
    <row r="2933" spans="3:11" x14ac:dyDescent="0.2">
      <c r="C2933" s="19"/>
      <c r="D2933" s="19"/>
      <c r="E2933" s="19"/>
      <c r="F2933" s="20"/>
      <c r="G2933" s="19"/>
      <c r="H2933" s="19"/>
      <c r="I2933" s="19"/>
      <c r="J2933" s="21"/>
      <c r="K2933" s="19"/>
    </row>
    <row r="2934" spans="3:11" x14ac:dyDescent="0.2">
      <c r="C2934" s="19"/>
      <c r="D2934" s="19"/>
      <c r="E2934" s="19"/>
      <c r="F2934" s="20"/>
      <c r="G2934" s="19"/>
      <c r="H2934" s="19"/>
      <c r="I2934" s="19"/>
      <c r="J2934" s="21"/>
      <c r="K2934" s="19"/>
    </row>
    <row r="2935" spans="3:11" x14ac:dyDescent="0.2">
      <c r="C2935" s="19"/>
      <c r="D2935" s="19"/>
      <c r="E2935" s="19"/>
      <c r="F2935" s="20"/>
      <c r="G2935" s="19"/>
      <c r="H2935" s="19"/>
      <c r="I2935" s="19"/>
      <c r="J2935" s="21"/>
      <c r="K2935" s="19"/>
    </row>
    <row r="2936" spans="3:11" x14ac:dyDescent="0.2">
      <c r="C2936" s="19"/>
      <c r="D2936" s="19"/>
      <c r="E2936" s="19"/>
      <c r="F2936" s="20"/>
      <c r="G2936" s="19"/>
      <c r="H2936" s="19"/>
      <c r="I2936" s="19"/>
      <c r="J2936" s="21"/>
      <c r="K2936" s="19"/>
    </row>
    <row r="2937" spans="3:11" x14ac:dyDescent="0.2">
      <c r="C2937" s="19"/>
      <c r="D2937" s="19"/>
      <c r="E2937" s="19"/>
      <c r="F2937" s="20"/>
      <c r="G2937" s="19"/>
      <c r="H2937" s="19"/>
      <c r="I2937" s="19"/>
      <c r="J2937" s="21"/>
      <c r="K2937" s="19"/>
    </row>
    <row r="2938" spans="3:11" x14ac:dyDescent="0.2">
      <c r="C2938" s="19"/>
      <c r="D2938" s="19"/>
      <c r="E2938" s="19"/>
      <c r="F2938" s="20"/>
      <c r="G2938" s="19"/>
      <c r="H2938" s="19"/>
      <c r="I2938" s="19"/>
      <c r="J2938" s="21"/>
      <c r="K2938" s="19"/>
    </row>
    <row r="2939" spans="3:11" x14ac:dyDescent="0.2">
      <c r="C2939" s="19"/>
      <c r="D2939" s="19"/>
      <c r="E2939" s="19"/>
      <c r="F2939" s="20"/>
      <c r="G2939" s="19"/>
      <c r="H2939" s="19"/>
      <c r="I2939" s="19"/>
      <c r="J2939" s="21"/>
      <c r="K2939" s="19"/>
    </row>
    <row r="2940" spans="3:11" x14ac:dyDescent="0.2">
      <c r="C2940" s="19"/>
      <c r="D2940" s="19"/>
      <c r="E2940" s="19"/>
      <c r="F2940" s="20"/>
      <c r="G2940" s="19"/>
      <c r="H2940" s="19"/>
      <c r="I2940" s="19"/>
      <c r="J2940" s="21"/>
      <c r="K2940" s="19"/>
    </row>
    <row r="2941" spans="3:11" x14ac:dyDescent="0.2">
      <c r="C2941" s="19"/>
      <c r="D2941" s="19"/>
      <c r="E2941" s="19"/>
      <c r="F2941" s="20"/>
      <c r="G2941" s="19"/>
      <c r="H2941" s="19"/>
      <c r="I2941" s="19"/>
      <c r="J2941" s="21"/>
      <c r="K2941" s="19"/>
    </row>
    <row r="2942" spans="3:11" x14ac:dyDescent="0.2">
      <c r="C2942" s="19"/>
      <c r="D2942" s="19"/>
      <c r="E2942" s="19"/>
      <c r="F2942" s="20"/>
      <c r="G2942" s="19"/>
      <c r="H2942" s="19"/>
      <c r="I2942" s="19"/>
      <c r="J2942" s="21"/>
      <c r="K2942" s="19"/>
    </row>
    <row r="2943" spans="3:11" x14ac:dyDescent="0.2">
      <c r="C2943" s="19"/>
      <c r="D2943" s="19"/>
      <c r="E2943" s="19"/>
      <c r="F2943" s="20"/>
      <c r="G2943" s="19"/>
      <c r="H2943" s="19"/>
      <c r="I2943" s="19"/>
      <c r="J2943" s="21"/>
      <c r="K2943" s="19"/>
    </row>
    <row r="2944" spans="3:11" x14ac:dyDescent="0.2">
      <c r="C2944" s="19"/>
      <c r="D2944" s="19"/>
      <c r="E2944" s="19"/>
      <c r="F2944" s="20"/>
      <c r="G2944" s="19"/>
      <c r="H2944" s="19"/>
      <c r="I2944" s="19"/>
      <c r="J2944" s="21"/>
      <c r="K2944" s="19"/>
    </row>
    <row r="2945" spans="3:11" x14ac:dyDescent="0.2">
      <c r="C2945" s="19"/>
      <c r="D2945" s="19"/>
      <c r="E2945" s="19"/>
      <c r="F2945" s="20"/>
      <c r="G2945" s="19"/>
      <c r="H2945" s="19"/>
      <c r="I2945" s="19"/>
      <c r="J2945" s="21"/>
      <c r="K2945" s="19"/>
    </row>
    <row r="2946" spans="3:11" x14ac:dyDescent="0.2">
      <c r="C2946" s="19"/>
      <c r="D2946" s="19"/>
      <c r="E2946" s="19"/>
      <c r="F2946" s="20"/>
      <c r="G2946" s="19"/>
      <c r="H2946" s="19"/>
      <c r="I2946" s="19"/>
      <c r="J2946" s="21"/>
      <c r="K2946" s="19"/>
    </row>
    <row r="2947" spans="3:11" x14ac:dyDescent="0.2">
      <c r="C2947" s="19"/>
      <c r="D2947" s="19"/>
      <c r="E2947" s="19"/>
      <c r="F2947" s="20"/>
      <c r="G2947" s="19"/>
      <c r="H2947" s="19"/>
      <c r="I2947" s="19"/>
      <c r="J2947" s="21"/>
      <c r="K2947" s="19"/>
    </row>
    <row r="2948" spans="3:11" x14ac:dyDescent="0.2">
      <c r="C2948" s="19"/>
      <c r="D2948" s="19"/>
      <c r="E2948" s="19"/>
      <c r="F2948" s="20"/>
      <c r="G2948" s="19"/>
      <c r="H2948" s="19"/>
      <c r="I2948" s="19"/>
      <c r="J2948" s="21"/>
      <c r="K2948" s="19"/>
    </row>
    <row r="2949" spans="3:11" x14ac:dyDescent="0.2">
      <c r="C2949" s="19"/>
      <c r="D2949" s="19"/>
      <c r="E2949" s="19"/>
      <c r="F2949" s="20"/>
      <c r="G2949" s="19"/>
      <c r="H2949" s="19"/>
      <c r="I2949" s="19"/>
      <c r="J2949" s="21"/>
      <c r="K2949" s="19"/>
    </row>
    <row r="2950" spans="3:11" x14ac:dyDescent="0.2">
      <c r="C2950" s="19"/>
      <c r="D2950" s="19"/>
      <c r="E2950" s="19"/>
      <c r="F2950" s="20"/>
      <c r="G2950" s="19"/>
      <c r="H2950" s="19"/>
      <c r="I2950" s="19"/>
      <c r="J2950" s="21"/>
      <c r="K2950" s="19"/>
    </row>
    <row r="2951" spans="3:11" x14ac:dyDescent="0.2">
      <c r="C2951" s="19"/>
      <c r="D2951" s="19"/>
      <c r="E2951" s="19"/>
      <c r="F2951" s="20"/>
      <c r="G2951" s="19"/>
      <c r="H2951" s="19"/>
      <c r="I2951" s="19"/>
      <c r="J2951" s="21"/>
      <c r="K2951" s="19"/>
    </row>
    <row r="2952" spans="3:11" x14ac:dyDescent="0.2">
      <c r="C2952" s="19"/>
      <c r="D2952" s="19"/>
      <c r="E2952" s="19"/>
      <c r="F2952" s="20"/>
      <c r="G2952" s="19"/>
      <c r="H2952" s="19"/>
      <c r="I2952" s="19"/>
      <c r="J2952" s="21"/>
      <c r="K2952" s="19"/>
    </row>
    <row r="2953" spans="3:11" x14ac:dyDescent="0.2">
      <c r="C2953" s="19"/>
      <c r="D2953" s="19"/>
      <c r="E2953" s="19"/>
      <c r="F2953" s="20"/>
      <c r="G2953" s="19"/>
      <c r="H2953" s="19"/>
      <c r="I2953" s="19"/>
      <c r="J2953" s="21"/>
      <c r="K2953" s="19"/>
    </row>
    <row r="2954" spans="3:11" x14ac:dyDescent="0.2">
      <c r="C2954" s="19"/>
      <c r="D2954" s="19"/>
      <c r="E2954" s="19"/>
      <c r="F2954" s="20"/>
      <c r="G2954" s="19"/>
      <c r="H2954" s="19"/>
      <c r="I2954" s="19"/>
      <c r="J2954" s="21"/>
      <c r="K2954" s="19"/>
    </row>
    <row r="2955" spans="3:11" x14ac:dyDescent="0.2">
      <c r="C2955" s="19"/>
      <c r="D2955" s="19"/>
      <c r="E2955" s="19"/>
      <c r="F2955" s="20"/>
      <c r="G2955" s="19"/>
      <c r="H2955" s="19"/>
      <c r="I2955" s="19"/>
      <c r="J2955" s="21"/>
      <c r="K2955" s="19"/>
    </row>
    <row r="2956" spans="3:11" x14ac:dyDescent="0.2">
      <c r="C2956" s="19"/>
      <c r="D2956" s="19"/>
      <c r="E2956" s="19"/>
      <c r="F2956" s="20"/>
      <c r="G2956" s="19"/>
      <c r="H2956" s="19"/>
      <c r="I2956" s="19"/>
      <c r="J2956" s="21"/>
      <c r="K2956" s="19"/>
    </row>
    <row r="2957" spans="3:11" x14ac:dyDescent="0.2">
      <c r="C2957" s="19"/>
      <c r="D2957" s="19"/>
      <c r="E2957" s="19"/>
      <c r="F2957" s="20"/>
      <c r="G2957" s="19"/>
      <c r="H2957" s="19"/>
      <c r="I2957" s="19"/>
      <c r="J2957" s="21"/>
      <c r="K2957" s="19"/>
    </row>
    <row r="2958" spans="3:11" x14ac:dyDescent="0.2">
      <c r="C2958" s="19"/>
      <c r="D2958" s="19"/>
      <c r="E2958" s="19"/>
      <c r="F2958" s="20"/>
      <c r="G2958" s="19"/>
      <c r="H2958" s="19"/>
      <c r="I2958" s="19"/>
      <c r="J2958" s="21"/>
      <c r="K2958" s="19"/>
    </row>
    <row r="2959" spans="3:11" x14ac:dyDescent="0.2">
      <c r="C2959" s="19"/>
      <c r="D2959" s="19"/>
      <c r="E2959" s="19"/>
      <c r="F2959" s="20"/>
      <c r="G2959" s="19"/>
      <c r="H2959" s="19"/>
      <c r="I2959" s="19"/>
      <c r="J2959" s="21"/>
      <c r="K2959" s="19"/>
    </row>
    <row r="2960" spans="3:11" x14ac:dyDescent="0.2">
      <c r="C2960" s="19"/>
      <c r="D2960" s="19"/>
      <c r="E2960" s="19"/>
      <c r="F2960" s="20"/>
      <c r="G2960" s="19"/>
      <c r="H2960" s="19"/>
      <c r="I2960" s="19"/>
      <c r="J2960" s="21"/>
      <c r="K2960" s="19"/>
    </row>
    <row r="2961" spans="3:11" x14ac:dyDescent="0.2">
      <c r="C2961" s="19"/>
      <c r="D2961" s="19"/>
      <c r="E2961" s="19"/>
      <c r="F2961" s="20"/>
      <c r="G2961" s="19"/>
      <c r="H2961" s="19"/>
      <c r="I2961" s="19"/>
      <c r="J2961" s="21"/>
      <c r="K2961" s="19"/>
    </row>
    <row r="2962" spans="3:11" x14ac:dyDescent="0.2">
      <c r="C2962" s="19"/>
      <c r="D2962" s="19"/>
      <c r="E2962" s="19"/>
      <c r="F2962" s="20"/>
      <c r="G2962" s="19"/>
      <c r="H2962" s="19"/>
      <c r="I2962" s="19"/>
      <c r="J2962" s="21"/>
      <c r="K2962" s="19"/>
    </row>
    <row r="2963" spans="3:11" x14ac:dyDescent="0.2">
      <c r="C2963" s="19"/>
      <c r="D2963" s="19"/>
      <c r="E2963" s="19"/>
      <c r="F2963" s="20"/>
      <c r="G2963" s="19"/>
      <c r="H2963" s="19"/>
      <c r="I2963" s="19"/>
      <c r="J2963" s="21"/>
      <c r="K2963" s="19"/>
    </row>
    <row r="2964" spans="3:11" x14ac:dyDescent="0.2">
      <c r="C2964" s="19"/>
      <c r="D2964" s="19"/>
      <c r="E2964" s="19"/>
      <c r="F2964" s="20"/>
      <c r="G2964" s="19"/>
      <c r="H2964" s="19"/>
      <c r="I2964" s="19"/>
      <c r="J2964" s="21"/>
      <c r="K2964" s="19"/>
    </row>
    <row r="2965" spans="3:11" x14ac:dyDescent="0.2">
      <c r="C2965" s="19"/>
      <c r="D2965" s="19"/>
      <c r="E2965" s="19"/>
      <c r="F2965" s="20"/>
      <c r="G2965" s="19"/>
      <c r="H2965" s="19"/>
      <c r="I2965" s="19"/>
      <c r="J2965" s="21"/>
      <c r="K2965" s="19"/>
    </row>
    <row r="2966" spans="3:11" x14ac:dyDescent="0.2">
      <c r="C2966" s="19"/>
      <c r="D2966" s="19"/>
      <c r="E2966" s="19"/>
      <c r="F2966" s="20"/>
      <c r="G2966" s="19"/>
      <c r="H2966" s="19"/>
      <c r="I2966" s="19"/>
      <c r="J2966" s="21"/>
      <c r="K2966" s="19"/>
    </row>
    <row r="2967" spans="3:11" x14ac:dyDescent="0.2">
      <c r="C2967" s="19"/>
      <c r="D2967" s="19"/>
      <c r="E2967" s="19"/>
      <c r="F2967" s="20"/>
      <c r="G2967" s="19"/>
      <c r="H2967" s="19"/>
      <c r="I2967" s="19"/>
      <c r="J2967" s="21"/>
      <c r="K2967" s="19"/>
    </row>
    <row r="2968" spans="3:11" x14ac:dyDescent="0.2">
      <c r="C2968" s="19"/>
      <c r="D2968" s="19"/>
      <c r="E2968" s="19"/>
      <c r="F2968" s="20"/>
      <c r="G2968" s="19"/>
      <c r="H2968" s="19"/>
      <c r="I2968" s="19"/>
      <c r="J2968" s="21"/>
      <c r="K2968" s="19"/>
    </row>
    <row r="2969" spans="3:11" x14ac:dyDescent="0.2">
      <c r="C2969" s="19"/>
      <c r="D2969" s="19"/>
      <c r="E2969" s="19"/>
      <c r="F2969" s="20"/>
      <c r="G2969" s="19"/>
      <c r="H2969" s="19"/>
      <c r="I2969" s="19"/>
      <c r="J2969" s="21"/>
      <c r="K2969" s="19"/>
    </row>
    <row r="2970" spans="3:11" x14ac:dyDescent="0.2">
      <c r="C2970" s="19"/>
      <c r="D2970" s="19"/>
      <c r="E2970" s="19"/>
      <c r="F2970" s="20"/>
      <c r="G2970" s="19"/>
      <c r="H2970" s="19"/>
      <c r="I2970" s="19"/>
      <c r="J2970" s="21"/>
      <c r="K2970" s="19"/>
    </row>
    <row r="2971" spans="3:11" x14ac:dyDescent="0.2">
      <c r="C2971" s="19"/>
      <c r="D2971" s="19"/>
      <c r="E2971" s="19"/>
      <c r="F2971" s="20"/>
      <c r="G2971" s="19"/>
      <c r="H2971" s="19"/>
      <c r="I2971" s="19"/>
      <c r="J2971" s="21"/>
      <c r="K2971" s="19"/>
    </row>
    <row r="2972" spans="3:11" x14ac:dyDescent="0.2">
      <c r="C2972" s="19"/>
      <c r="D2972" s="19"/>
      <c r="E2972" s="19"/>
      <c r="F2972" s="20"/>
      <c r="G2972" s="19"/>
      <c r="H2972" s="19"/>
      <c r="I2972" s="19"/>
      <c r="J2972" s="21"/>
      <c r="K2972" s="19"/>
    </row>
    <row r="2973" spans="3:11" x14ac:dyDescent="0.2">
      <c r="C2973" s="19"/>
      <c r="D2973" s="19"/>
      <c r="E2973" s="19"/>
      <c r="F2973" s="20"/>
      <c r="G2973" s="19"/>
      <c r="H2973" s="19"/>
      <c r="I2973" s="19"/>
      <c r="J2973" s="21"/>
      <c r="K2973" s="19"/>
    </row>
    <row r="2974" spans="3:11" x14ac:dyDescent="0.2">
      <c r="C2974" s="19"/>
      <c r="D2974" s="19"/>
      <c r="E2974" s="19"/>
      <c r="F2974" s="20"/>
      <c r="G2974" s="19"/>
      <c r="H2974" s="19"/>
      <c r="I2974" s="19"/>
      <c r="J2974" s="21"/>
      <c r="K2974" s="19"/>
    </row>
    <row r="2975" spans="3:11" x14ac:dyDescent="0.2">
      <c r="C2975" s="19"/>
      <c r="D2975" s="19"/>
      <c r="E2975" s="19"/>
      <c r="F2975" s="20"/>
      <c r="G2975" s="19"/>
      <c r="H2975" s="19"/>
      <c r="I2975" s="19"/>
      <c r="J2975" s="21"/>
      <c r="K2975" s="19"/>
    </row>
    <row r="2976" spans="3:11" x14ac:dyDescent="0.2">
      <c r="C2976" s="19"/>
      <c r="D2976" s="19"/>
      <c r="E2976" s="19"/>
      <c r="F2976" s="20"/>
      <c r="G2976" s="19"/>
      <c r="H2976" s="19"/>
      <c r="I2976" s="19"/>
      <c r="J2976" s="21"/>
      <c r="K2976" s="19"/>
    </row>
    <row r="2977" spans="3:11" x14ac:dyDescent="0.2">
      <c r="C2977" s="19"/>
      <c r="D2977" s="19"/>
      <c r="E2977" s="19"/>
      <c r="F2977" s="20"/>
      <c r="G2977" s="19"/>
      <c r="H2977" s="19"/>
      <c r="I2977" s="19"/>
      <c r="J2977" s="21"/>
      <c r="K2977" s="19"/>
    </row>
    <row r="2978" spans="3:11" x14ac:dyDescent="0.2">
      <c r="C2978" s="19"/>
      <c r="D2978" s="19"/>
      <c r="E2978" s="19"/>
      <c r="F2978" s="20"/>
      <c r="G2978" s="19"/>
      <c r="H2978" s="19"/>
      <c r="I2978" s="19"/>
      <c r="J2978" s="21"/>
      <c r="K2978" s="19"/>
    </row>
    <row r="2979" spans="3:11" x14ac:dyDescent="0.2">
      <c r="C2979" s="19"/>
      <c r="D2979" s="19"/>
      <c r="E2979" s="19"/>
      <c r="F2979" s="20"/>
      <c r="G2979" s="19"/>
      <c r="H2979" s="19"/>
      <c r="I2979" s="19"/>
      <c r="J2979" s="21"/>
      <c r="K2979" s="19"/>
    </row>
    <row r="2980" spans="3:11" x14ac:dyDescent="0.2">
      <c r="C2980" s="19"/>
      <c r="D2980" s="19"/>
      <c r="E2980" s="19"/>
      <c r="F2980" s="20"/>
      <c r="G2980" s="19"/>
      <c r="H2980" s="19"/>
      <c r="I2980" s="19"/>
      <c r="J2980" s="21"/>
      <c r="K2980" s="19"/>
    </row>
    <row r="2981" spans="3:11" x14ac:dyDescent="0.2">
      <c r="C2981" s="19"/>
      <c r="D2981" s="19"/>
      <c r="E2981" s="19"/>
      <c r="F2981" s="20"/>
      <c r="G2981" s="19"/>
      <c r="H2981" s="19"/>
      <c r="I2981" s="19"/>
      <c r="J2981" s="21"/>
      <c r="K2981" s="19"/>
    </row>
    <row r="2982" spans="3:11" x14ac:dyDescent="0.2">
      <c r="C2982" s="19"/>
      <c r="D2982" s="19"/>
      <c r="E2982" s="19"/>
      <c r="F2982" s="20"/>
      <c r="G2982" s="19"/>
      <c r="H2982" s="19"/>
      <c r="I2982" s="19"/>
      <c r="J2982" s="21"/>
      <c r="K2982" s="19"/>
    </row>
    <row r="2983" spans="3:11" x14ac:dyDescent="0.2">
      <c r="C2983" s="19"/>
      <c r="D2983" s="19"/>
      <c r="E2983" s="19"/>
      <c r="F2983" s="20"/>
      <c r="G2983" s="19"/>
      <c r="H2983" s="19"/>
      <c r="I2983" s="19"/>
      <c r="J2983" s="21"/>
      <c r="K2983" s="19"/>
    </row>
    <row r="2984" spans="3:11" x14ac:dyDescent="0.2">
      <c r="C2984" s="19"/>
      <c r="D2984" s="19"/>
      <c r="E2984" s="19"/>
      <c r="F2984" s="20"/>
      <c r="G2984" s="19"/>
      <c r="H2984" s="19"/>
      <c r="I2984" s="19"/>
      <c r="J2984" s="21"/>
      <c r="K2984" s="19"/>
    </row>
    <row r="2985" spans="3:11" x14ac:dyDescent="0.2">
      <c r="C2985" s="19"/>
      <c r="D2985" s="19"/>
      <c r="E2985" s="19"/>
      <c r="F2985" s="20"/>
      <c r="G2985" s="19"/>
      <c r="H2985" s="19"/>
      <c r="I2985" s="19"/>
      <c r="J2985" s="21"/>
      <c r="K2985" s="19"/>
    </row>
    <row r="2986" spans="3:11" x14ac:dyDescent="0.2">
      <c r="C2986" s="19"/>
      <c r="D2986" s="19"/>
      <c r="E2986" s="19"/>
      <c r="F2986" s="20"/>
      <c r="G2986" s="19"/>
      <c r="H2986" s="19"/>
      <c r="I2986" s="19"/>
      <c r="J2986" s="21"/>
      <c r="K2986" s="19"/>
    </row>
    <row r="2987" spans="3:11" x14ac:dyDescent="0.2">
      <c r="C2987" s="19"/>
      <c r="D2987" s="19"/>
      <c r="E2987" s="19"/>
      <c r="F2987" s="20"/>
      <c r="G2987" s="19"/>
      <c r="H2987" s="19"/>
      <c r="I2987" s="19"/>
      <c r="J2987" s="21"/>
      <c r="K2987" s="19"/>
    </row>
    <row r="2988" spans="3:11" x14ac:dyDescent="0.2">
      <c r="C2988" s="19"/>
      <c r="D2988" s="19"/>
      <c r="E2988" s="19"/>
      <c r="F2988" s="20"/>
      <c r="G2988" s="19"/>
      <c r="H2988" s="19"/>
      <c r="I2988" s="19"/>
      <c r="J2988" s="21"/>
      <c r="K2988" s="19"/>
    </row>
    <row r="2989" spans="3:11" x14ac:dyDescent="0.2">
      <c r="C2989" s="19"/>
      <c r="D2989" s="19"/>
      <c r="E2989" s="19"/>
      <c r="F2989" s="20"/>
      <c r="G2989" s="19"/>
      <c r="H2989" s="19"/>
      <c r="I2989" s="19"/>
      <c r="J2989" s="21"/>
      <c r="K2989" s="19"/>
    </row>
    <row r="2990" spans="3:11" x14ac:dyDescent="0.2">
      <c r="C2990" s="19"/>
      <c r="D2990" s="19"/>
      <c r="E2990" s="19"/>
      <c r="F2990" s="20"/>
      <c r="G2990" s="19"/>
      <c r="H2990" s="19"/>
      <c r="I2990" s="19"/>
      <c r="J2990" s="21"/>
      <c r="K2990" s="19"/>
    </row>
    <row r="2991" spans="3:11" x14ac:dyDescent="0.2">
      <c r="C2991" s="19"/>
      <c r="D2991" s="19"/>
      <c r="E2991" s="19"/>
      <c r="F2991" s="20"/>
      <c r="G2991" s="19"/>
      <c r="H2991" s="19"/>
      <c r="I2991" s="19"/>
      <c r="J2991" s="21"/>
      <c r="K2991" s="19"/>
    </row>
    <row r="2992" spans="3:11" x14ac:dyDescent="0.2">
      <c r="C2992" s="19"/>
      <c r="D2992" s="19"/>
      <c r="E2992" s="19"/>
      <c r="F2992" s="20"/>
      <c r="G2992" s="19"/>
      <c r="H2992" s="19"/>
      <c r="I2992" s="19"/>
      <c r="J2992" s="21"/>
      <c r="K2992" s="19"/>
    </row>
    <row r="2993" spans="3:11" x14ac:dyDescent="0.2">
      <c r="C2993" s="19"/>
      <c r="D2993" s="19"/>
      <c r="E2993" s="19"/>
      <c r="F2993" s="20"/>
      <c r="G2993" s="19"/>
      <c r="H2993" s="19"/>
      <c r="I2993" s="19"/>
      <c r="J2993" s="21"/>
      <c r="K2993" s="19"/>
    </row>
    <row r="2994" spans="3:11" x14ac:dyDescent="0.2">
      <c r="C2994" s="19"/>
      <c r="D2994" s="19"/>
      <c r="E2994" s="19"/>
      <c r="F2994" s="20"/>
      <c r="G2994" s="19"/>
      <c r="H2994" s="19"/>
      <c r="I2994" s="19"/>
      <c r="J2994" s="21"/>
      <c r="K2994" s="19"/>
    </row>
    <row r="2995" spans="3:11" x14ac:dyDescent="0.2">
      <c r="C2995" s="19"/>
      <c r="D2995" s="19"/>
      <c r="E2995" s="19"/>
      <c r="F2995" s="20"/>
      <c r="G2995" s="19"/>
      <c r="H2995" s="19"/>
      <c r="I2995" s="19"/>
      <c r="J2995" s="21"/>
      <c r="K2995" s="19"/>
    </row>
    <row r="2996" spans="3:11" x14ac:dyDescent="0.2">
      <c r="C2996" s="19"/>
      <c r="D2996" s="19"/>
      <c r="E2996" s="19"/>
      <c r="F2996" s="20"/>
      <c r="G2996" s="19"/>
      <c r="H2996" s="19"/>
      <c r="I2996" s="19"/>
      <c r="J2996" s="21"/>
      <c r="K2996" s="19"/>
    </row>
    <row r="2997" spans="3:11" x14ac:dyDescent="0.2">
      <c r="C2997" s="19"/>
      <c r="D2997" s="19"/>
      <c r="E2997" s="19"/>
      <c r="F2997" s="20"/>
      <c r="G2997" s="19"/>
      <c r="H2997" s="19"/>
      <c r="I2997" s="19"/>
      <c r="J2997" s="21"/>
      <c r="K2997" s="19"/>
    </row>
    <row r="2998" spans="3:11" x14ac:dyDescent="0.2">
      <c r="C2998" s="19"/>
      <c r="D2998" s="19"/>
      <c r="E2998" s="19"/>
      <c r="F2998" s="20"/>
      <c r="G2998" s="19"/>
      <c r="H2998" s="19"/>
      <c r="I2998" s="19"/>
      <c r="J2998" s="21"/>
      <c r="K2998" s="19"/>
    </row>
    <row r="2999" spans="3:11" x14ac:dyDescent="0.2">
      <c r="C2999" s="19"/>
      <c r="D2999" s="19"/>
      <c r="E2999" s="19"/>
      <c r="F2999" s="20"/>
      <c r="G2999" s="19"/>
      <c r="H2999" s="19"/>
      <c r="I2999" s="19"/>
      <c r="J2999" s="21"/>
      <c r="K2999" s="19"/>
    </row>
    <row r="3000" spans="3:11" x14ac:dyDescent="0.2">
      <c r="C3000" s="19"/>
      <c r="D3000" s="19"/>
      <c r="E3000" s="19"/>
      <c r="F3000" s="20"/>
      <c r="G3000" s="19"/>
      <c r="H3000" s="19"/>
      <c r="I3000" s="19"/>
      <c r="J3000" s="21"/>
      <c r="K3000" s="19"/>
    </row>
    <row r="3001" spans="3:11" x14ac:dyDescent="0.2">
      <c r="C3001" s="19"/>
      <c r="D3001" s="19"/>
      <c r="E3001" s="19"/>
      <c r="F3001" s="20"/>
      <c r="G3001" s="19"/>
      <c r="H3001" s="19"/>
      <c r="I3001" s="19"/>
      <c r="J3001" s="21"/>
      <c r="K3001" s="19"/>
    </row>
    <row r="3002" spans="3:11" x14ac:dyDescent="0.2">
      <c r="C3002" s="19"/>
      <c r="D3002" s="19"/>
      <c r="E3002" s="19"/>
      <c r="F3002" s="20"/>
      <c r="G3002" s="19"/>
      <c r="H3002" s="19"/>
      <c r="I3002" s="19"/>
      <c r="J3002" s="21"/>
      <c r="K3002" s="19"/>
    </row>
    <row r="3003" spans="3:11" x14ac:dyDescent="0.2">
      <c r="C3003" s="19"/>
      <c r="D3003" s="19"/>
      <c r="E3003" s="19"/>
      <c r="F3003" s="20"/>
      <c r="G3003" s="19"/>
      <c r="H3003" s="19"/>
      <c r="I3003" s="19"/>
      <c r="J3003" s="21"/>
      <c r="K3003" s="19"/>
    </row>
    <row r="3004" spans="3:11" x14ac:dyDescent="0.2">
      <c r="C3004" s="19"/>
      <c r="D3004" s="19"/>
      <c r="E3004" s="19"/>
      <c r="F3004" s="20"/>
      <c r="G3004" s="19"/>
      <c r="H3004" s="19"/>
      <c r="I3004" s="19"/>
      <c r="J3004" s="21"/>
      <c r="K3004" s="19"/>
    </row>
    <row r="3005" spans="3:11" x14ac:dyDescent="0.2">
      <c r="C3005" s="19"/>
      <c r="D3005" s="19"/>
      <c r="E3005" s="19"/>
      <c r="F3005" s="20"/>
      <c r="G3005" s="19"/>
      <c r="H3005" s="19"/>
      <c r="I3005" s="19"/>
      <c r="J3005" s="21"/>
      <c r="K3005" s="19"/>
    </row>
    <row r="3006" spans="3:11" x14ac:dyDescent="0.2">
      <c r="C3006" s="19"/>
      <c r="D3006" s="19"/>
      <c r="E3006" s="19"/>
      <c r="F3006" s="20"/>
      <c r="G3006" s="19"/>
      <c r="H3006" s="19"/>
      <c r="I3006" s="19"/>
      <c r="J3006" s="21"/>
      <c r="K3006" s="19"/>
    </row>
    <row r="3007" spans="3:11" x14ac:dyDescent="0.2">
      <c r="C3007" s="19"/>
      <c r="D3007" s="19"/>
      <c r="E3007" s="19"/>
      <c r="F3007" s="20"/>
      <c r="G3007" s="19"/>
      <c r="H3007" s="19"/>
      <c r="I3007" s="19"/>
      <c r="J3007" s="21"/>
      <c r="K3007" s="19"/>
    </row>
    <row r="3008" spans="3:11" x14ac:dyDescent="0.2">
      <c r="C3008" s="19"/>
      <c r="D3008" s="19"/>
      <c r="E3008" s="19"/>
      <c r="F3008" s="20"/>
      <c r="G3008" s="19"/>
      <c r="H3008" s="19"/>
      <c r="I3008" s="19"/>
      <c r="J3008" s="21"/>
      <c r="K3008" s="19"/>
    </row>
    <row r="3009" spans="3:11" x14ac:dyDescent="0.2">
      <c r="C3009" s="19"/>
      <c r="D3009" s="19"/>
      <c r="E3009" s="19"/>
      <c r="F3009" s="20"/>
      <c r="G3009" s="19"/>
      <c r="H3009" s="19"/>
      <c r="I3009" s="19"/>
      <c r="J3009" s="21"/>
      <c r="K3009" s="19"/>
    </row>
    <row r="3010" spans="3:11" x14ac:dyDescent="0.2">
      <c r="C3010" s="19"/>
      <c r="D3010" s="19"/>
      <c r="E3010" s="19"/>
      <c r="F3010" s="20"/>
      <c r="G3010" s="19"/>
      <c r="H3010" s="19"/>
      <c r="I3010" s="19"/>
      <c r="J3010" s="21"/>
      <c r="K3010" s="19"/>
    </row>
    <row r="3011" spans="3:11" x14ac:dyDescent="0.2">
      <c r="C3011" s="19"/>
      <c r="D3011" s="19"/>
      <c r="E3011" s="19"/>
      <c r="F3011" s="20"/>
      <c r="G3011" s="19"/>
      <c r="H3011" s="19"/>
      <c r="I3011" s="19"/>
      <c r="J3011" s="21"/>
      <c r="K3011" s="19"/>
    </row>
    <row r="3012" spans="3:11" x14ac:dyDescent="0.2">
      <c r="C3012" s="19"/>
      <c r="D3012" s="19"/>
      <c r="E3012" s="19"/>
      <c r="F3012" s="20"/>
      <c r="G3012" s="19"/>
      <c r="H3012" s="19"/>
      <c r="I3012" s="19"/>
      <c r="J3012" s="21"/>
      <c r="K3012" s="19"/>
    </row>
    <row r="3013" spans="3:11" x14ac:dyDescent="0.2">
      <c r="C3013" s="19"/>
      <c r="D3013" s="19"/>
      <c r="E3013" s="19"/>
      <c r="F3013" s="20"/>
      <c r="G3013" s="19"/>
      <c r="H3013" s="19"/>
      <c r="I3013" s="19"/>
      <c r="J3013" s="21"/>
      <c r="K3013" s="19"/>
    </row>
    <row r="3014" spans="3:11" x14ac:dyDescent="0.2">
      <c r="C3014" s="19"/>
      <c r="D3014" s="19"/>
      <c r="E3014" s="19"/>
      <c r="F3014" s="20"/>
      <c r="G3014" s="19"/>
      <c r="H3014" s="19"/>
      <c r="I3014" s="19"/>
      <c r="J3014" s="21"/>
      <c r="K3014" s="19"/>
    </row>
    <row r="3015" spans="3:11" x14ac:dyDescent="0.2">
      <c r="C3015" s="19"/>
      <c r="D3015" s="19"/>
      <c r="E3015" s="19"/>
      <c r="F3015" s="20"/>
      <c r="G3015" s="19"/>
      <c r="H3015" s="19"/>
      <c r="I3015" s="19"/>
      <c r="J3015" s="21"/>
      <c r="K3015" s="19"/>
    </row>
    <row r="3016" spans="3:11" x14ac:dyDescent="0.2">
      <c r="C3016" s="19"/>
      <c r="D3016" s="19"/>
      <c r="E3016" s="19"/>
      <c r="F3016" s="20"/>
      <c r="G3016" s="19"/>
      <c r="H3016" s="19"/>
      <c r="I3016" s="19"/>
      <c r="J3016" s="21"/>
      <c r="K3016" s="19"/>
    </row>
    <row r="3017" spans="3:11" x14ac:dyDescent="0.2">
      <c r="C3017" s="19"/>
      <c r="D3017" s="19"/>
      <c r="E3017" s="19"/>
      <c r="F3017" s="20"/>
      <c r="G3017" s="19"/>
      <c r="H3017" s="19"/>
      <c r="I3017" s="19"/>
      <c r="J3017" s="21"/>
      <c r="K3017" s="19"/>
    </row>
    <row r="3018" spans="3:11" x14ac:dyDescent="0.2">
      <c r="C3018" s="19"/>
      <c r="D3018" s="19"/>
      <c r="E3018" s="19"/>
      <c r="F3018" s="20"/>
      <c r="G3018" s="19"/>
      <c r="H3018" s="19"/>
      <c r="I3018" s="19"/>
      <c r="J3018" s="21"/>
      <c r="K3018" s="19"/>
    </row>
    <row r="3019" spans="3:11" x14ac:dyDescent="0.2">
      <c r="C3019" s="19"/>
      <c r="D3019" s="19"/>
      <c r="E3019" s="19"/>
      <c r="F3019" s="20"/>
      <c r="G3019" s="19"/>
      <c r="H3019" s="19"/>
      <c r="I3019" s="19"/>
      <c r="J3019" s="21"/>
      <c r="K3019" s="19"/>
    </row>
    <row r="3020" spans="3:11" x14ac:dyDescent="0.2">
      <c r="C3020" s="19"/>
      <c r="D3020" s="19"/>
      <c r="E3020" s="19"/>
      <c r="F3020" s="20"/>
      <c r="G3020" s="19"/>
      <c r="H3020" s="19"/>
      <c r="I3020" s="19"/>
      <c r="J3020" s="21"/>
      <c r="K3020" s="19"/>
    </row>
    <row r="3021" spans="3:11" x14ac:dyDescent="0.2">
      <c r="C3021" s="19"/>
      <c r="D3021" s="19"/>
      <c r="E3021" s="19"/>
      <c r="F3021" s="20"/>
      <c r="G3021" s="19"/>
      <c r="H3021" s="19"/>
      <c r="I3021" s="19"/>
      <c r="J3021" s="21"/>
      <c r="K3021" s="19"/>
    </row>
    <row r="3022" spans="3:11" x14ac:dyDescent="0.2">
      <c r="C3022" s="19"/>
      <c r="D3022" s="19"/>
      <c r="E3022" s="19"/>
      <c r="F3022" s="20"/>
      <c r="G3022" s="19"/>
      <c r="H3022" s="19"/>
      <c r="I3022" s="19"/>
      <c r="J3022" s="21"/>
      <c r="K3022" s="19"/>
    </row>
    <row r="3023" spans="3:11" x14ac:dyDescent="0.2">
      <c r="C3023" s="19"/>
      <c r="D3023" s="19"/>
      <c r="E3023" s="19"/>
      <c r="F3023" s="20"/>
      <c r="G3023" s="19"/>
      <c r="H3023" s="19"/>
      <c r="I3023" s="19"/>
      <c r="J3023" s="21"/>
      <c r="K3023" s="19"/>
    </row>
    <row r="3024" spans="3:11" x14ac:dyDescent="0.2">
      <c r="C3024" s="19"/>
      <c r="D3024" s="19"/>
      <c r="E3024" s="19"/>
      <c r="F3024" s="20"/>
      <c r="G3024" s="19"/>
      <c r="H3024" s="19"/>
      <c r="I3024" s="19"/>
      <c r="J3024" s="21"/>
      <c r="K3024" s="19"/>
    </row>
    <row r="3025" spans="3:11" x14ac:dyDescent="0.2">
      <c r="C3025" s="19"/>
      <c r="D3025" s="19"/>
      <c r="E3025" s="19"/>
      <c r="F3025" s="20"/>
      <c r="G3025" s="19"/>
      <c r="H3025" s="19"/>
      <c r="I3025" s="19"/>
      <c r="J3025" s="21"/>
      <c r="K3025" s="19"/>
    </row>
    <row r="3026" spans="3:11" x14ac:dyDescent="0.2">
      <c r="C3026" s="19"/>
      <c r="D3026" s="19"/>
      <c r="E3026" s="19"/>
      <c r="F3026" s="20"/>
      <c r="G3026" s="19"/>
      <c r="H3026" s="19"/>
      <c r="I3026" s="19"/>
      <c r="J3026" s="21"/>
      <c r="K3026" s="19"/>
    </row>
    <row r="3027" spans="3:11" x14ac:dyDescent="0.2">
      <c r="C3027" s="19"/>
      <c r="D3027" s="19"/>
      <c r="E3027" s="19"/>
      <c r="F3027" s="20"/>
      <c r="G3027" s="19"/>
      <c r="H3027" s="19"/>
      <c r="I3027" s="19"/>
      <c r="J3027" s="21"/>
      <c r="K3027" s="19"/>
    </row>
    <row r="3028" spans="3:11" x14ac:dyDescent="0.2">
      <c r="C3028" s="19"/>
      <c r="D3028" s="19"/>
      <c r="E3028" s="19"/>
      <c r="F3028" s="20"/>
      <c r="G3028" s="19"/>
      <c r="H3028" s="19"/>
      <c r="I3028" s="19"/>
      <c r="J3028" s="21"/>
      <c r="K3028" s="19"/>
    </row>
    <row r="3029" spans="3:11" x14ac:dyDescent="0.2">
      <c r="C3029" s="19"/>
      <c r="D3029" s="19"/>
      <c r="E3029" s="19"/>
      <c r="F3029" s="20"/>
      <c r="G3029" s="19"/>
      <c r="H3029" s="19"/>
      <c r="I3029" s="19"/>
      <c r="J3029" s="21"/>
      <c r="K3029" s="19"/>
    </row>
    <row r="3030" spans="3:11" x14ac:dyDescent="0.2">
      <c r="C3030" s="19"/>
      <c r="D3030" s="19"/>
      <c r="E3030" s="19"/>
      <c r="F3030" s="20"/>
      <c r="G3030" s="19"/>
      <c r="H3030" s="19"/>
      <c r="I3030" s="19"/>
      <c r="J3030" s="21"/>
      <c r="K3030" s="19"/>
    </row>
    <row r="3031" spans="3:11" x14ac:dyDescent="0.2">
      <c r="C3031" s="19"/>
      <c r="D3031" s="19"/>
      <c r="E3031" s="19"/>
      <c r="F3031" s="20"/>
      <c r="G3031" s="19"/>
      <c r="H3031" s="19"/>
      <c r="I3031" s="19"/>
      <c r="J3031" s="21"/>
      <c r="K3031" s="19"/>
    </row>
    <row r="3032" spans="3:11" x14ac:dyDescent="0.2">
      <c r="C3032" s="19"/>
      <c r="D3032" s="19"/>
      <c r="E3032" s="19"/>
      <c r="F3032" s="20"/>
      <c r="G3032" s="19"/>
      <c r="H3032" s="19"/>
      <c r="I3032" s="19"/>
      <c r="J3032" s="21"/>
      <c r="K3032" s="19"/>
    </row>
    <row r="3033" spans="3:11" x14ac:dyDescent="0.2">
      <c r="C3033" s="19"/>
      <c r="D3033" s="19"/>
      <c r="E3033" s="19"/>
      <c r="F3033" s="20"/>
      <c r="G3033" s="19"/>
      <c r="H3033" s="19"/>
      <c r="I3033" s="19"/>
      <c r="J3033" s="21"/>
      <c r="K3033" s="19"/>
    </row>
    <row r="3034" spans="3:11" x14ac:dyDescent="0.2">
      <c r="C3034" s="19"/>
      <c r="D3034" s="19"/>
      <c r="E3034" s="19"/>
      <c r="F3034" s="20"/>
      <c r="G3034" s="19"/>
      <c r="H3034" s="19"/>
      <c r="I3034" s="19"/>
      <c r="J3034" s="21"/>
      <c r="K3034" s="19"/>
    </row>
    <row r="3035" spans="3:11" x14ac:dyDescent="0.2">
      <c r="C3035" s="19"/>
      <c r="D3035" s="19"/>
      <c r="E3035" s="19"/>
      <c r="F3035" s="20"/>
      <c r="G3035" s="19"/>
      <c r="H3035" s="19"/>
      <c r="I3035" s="19"/>
      <c r="J3035" s="21"/>
      <c r="K3035" s="19"/>
    </row>
    <row r="3036" spans="3:11" x14ac:dyDescent="0.2">
      <c r="C3036" s="19"/>
      <c r="D3036" s="19"/>
      <c r="E3036" s="19"/>
      <c r="F3036" s="20"/>
      <c r="G3036" s="19"/>
      <c r="H3036" s="19"/>
      <c r="I3036" s="19"/>
      <c r="J3036" s="21"/>
      <c r="K3036" s="19"/>
    </row>
    <row r="3037" spans="3:11" x14ac:dyDescent="0.2">
      <c r="C3037" s="19"/>
      <c r="D3037" s="19"/>
      <c r="E3037" s="19"/>
      <c r="F3037" s="20"/>
      <c r="G3037" s="19"/>
      <c r="H3037" s="19"/>
      <c r="I3037" s="19"/>
      <c r="J3037" s="21"/>
      <c r="K3037" s="19"/>
    </row>
    <row r="3038" spans="3:11" x14ac:dyDescent="0.2">
      <c r="C3038" s="19"/>
      <c r="D3038" s="19"/>
      <c r="E3038" s="19"/>
      <c r="F3038" s="20"/>
      <c r="G3038" s="19"/>
      <c r="H3038" s="19"/>
      <c r="I3038" s="19"/>
      <c r="J3038" s="21"/>
      <c r="K3038" s="19"/>
    </row>
    <row r="3039" spans="3:11" x14ac:dyDescent="0.2">
      <c r="C3039" s="19"/>
      <c r="D3039" s="19"/>
      <c r="E3039" s="19"/>
      <c r="F3039" s="20"/>
      <c r="G3039" s="19"/>
      <c r="H3039" s="19"/>
      <c r="I3039" s="19"/>
      <c r="J3039" s="21"/>
      <c r="K3039" s="19"/>
    </row>
    <row r="3040" spans="3:11" x14ac:dyDescent="0.2">
      <c r="C3040" s="19"/>
      <c r="D3040" s="19"/>
      <c r="E3040" s="19"/>
      <c r="F3040" s="20"/>
      <c r="G3040" s="19"/>
      <c r="H3040" s="19"/>
      <c r="I3040" s="19"/>
      <c r="J3040" s="21"/>
      <c r="K3040" s="19"/>
    </row>
    <row r="3041" spans="3:11" x14ac:dyDescent="0.2">
      <c r="C3041" s="19"/>
      <c r="D3041" s="19"/>
      <c r="E3041" s="19"/>
      <c r="F3041" s="20"/>
      <c r="G3041" s="19"/>
      <c r="H3041" s="19"/>
      <c r="I3041" s="19"/>
      <c r="J3041" s="21"/>
      <c r="K3041" s="19"/>
    </row>
    <row r="3042" spans="3:11" x14ac:dyDescent="0.2">
      <c r="C3042" s="19"/>
      <c r="D3042" s="19"/>
      <c r="E3042" s="19"/>
      <c r="F3042" s="20"/>
      <c r="G3042" s="19"/>
      <c r="H3042" s="19"/>
      <c r="I3042" s="19"/>
      <c r="J3042" s="21"/>
      <c r="K3042" s="19"/>
    </row>
    <row r="3043" spans="3:11" x14ac:dyDescent="0.2">
      <c r="C3043" s="19"/>
      <c r="D3043" s="19"/>
      <c r="E3043" s="19"/>
      <c r="F3043" s="20"/>
      <c r="G3043" s="19"/>
      <c r="H3043" s="19"/>
      <c r="I3043" s="19"/>
      <c r="J3043" s="21"/>
      <c r="K3043" s="19"/>
    </row>
    <row r="3044" spans="3:11" x14ac:dyDescent="0.2">
      <c r="C3044" s="19"/>
      <c r="D3044" s="19"/>
      <c r="E3044" s="19"/>
      <c r="F3044" s="20"/>
      <c r="G3044" s="19"/>
      <c r="H3044" s="19"/>
      <c r="I3044" s="19"/>
      <c r="J3044" s="21"/>
      <c r="K3044" s="19"/>
    </row>
    <row r="3045" spans="3:11" x14ac:dyDescent="0.2">
      <c r="C3045" s="19"/>
      <c r="D3045" s="19"/>
      <c r="E3045" s="19"/>
      <c r="F3045" s="20"/>
      <c r="G3045" s="19"/>
      <c r="H3045" s="19"/>
      <c r="I3045" s="19"/>
      <c r="J3045" s="21"/>
      <c r="K3045" s="19"/>
    </row>
    <row r="3046" spans="3:11" x14ac:dyDescent="0.2">
      <c r="C3046" s="19"/>
      <c r="D3046" s="19"/>
      <c r="E3046" s="19"/>
      <c r="F3046" s="20"/>
      <c r="G3046" s="19"/>
      <c r="H3046" s="19"/>
      <c r="I3046" s="19"/>
      <c r="J3046" s="21"/>
      <c r="K3046" s="19"/>
    </row>
    <row r="3047" spans="3:11" x14ac:dyDescent="0.2">
      <c r="C3047" s="19"/>
      <c r="D3047" s="19"/>
      <c r="E3047" s="19"/>
      <c r="F3047" s="20"/>
      <c r="G3047" s="19"/>
      <c r="H3047" s="19"/>
      <c r="I3047" s="19"/>
      <c r="J3047" s="21"/>
      <c r="K3047" s="19"/>
    </row>
    <row r="3048" spans="3:11" x14ac:dyDescent="0.2">
      <c r="C3048" s="19"/>
      <c r="D3048" s="19"/>
      <c r="E3048" s="19"/>
      <c r="F3048" s="20"/>
      <c r="G3048" s="19"/>
      <c r="H3048" s="19"/>
      <c r="I3048" s="19"/>
      <c r="J3048" s="21"/>
      <c r="K3048" s="19"/>
    </row>
    <row r="3049" spans="3:11" x14ac:dyDescent="0.2">
      <c r="C3049" s="19"/>
      <c r="D3049" s="19"/>
      <c r="E3049" s="19"/>
      <c r="F3049" s="20"/>
      <c r="G3049" s="19"/>
      <c r="H3049" s="19"/>
      <c r="I3049" s="19"/>
      <c r="J3049" s="21"/>
      <c r="K3049" s="19"/>
    </row>
    <row r="3050" spans="3:11" x14ac:dyDescent="0.2">
      <c r="C3050" s="19"/>
      <c r="D3050" s="19"/>
      <c r="E3050" s="19"/>
      <c r="F3050" s="20"/>
      <c r="G3050" s="19"/>
      <c r="H3050" s="19"/>
      <c r="I3050" s="19"/>
      <c r="J3050" s="21"/>
      <c r="K3050" s="19"/>
    </row>
    <row r="3051" spans="3:11" x14ac:dyDescent="0.2">
      <c r="C3051" s="19"/>
      <c r="D3051" s="19"/>
      <c r="E3051" s="19"/>
      <c r="F3051" s="20"/>
      <c r="G3051" s="19"/>
      <c r="H3051" s="19"/>
      <c r="I3051" s="19"/>
      <c r="J3051" s="21"/>
      <c r="K3051" s="19"/>
    </row>
    <row r="3052" spans="3:11" x14ac:dyDescent="0.2">
      <c r="C3052" s="19"/>
      <c r="D3052" s="19"/>
      <c r="E3052" s="19"/>
      <c r="F3052" s="20"/>
      <c r="G3052" s="19"/>
      <c r="H3052" s="19"/>
      <c r="I3052" s="19"/>
      <c r="J3052" s="21"/>
      <c r="K3052" s="19"/>
    </row>
    <row r="3053" spans="3:11" x14ac:dyDescent="0.2">
      <c r="C3053" s="19"/>
      <c r="D3053" s="19"/>
      <c r="E3053" s="19"/>
      <c r="F3053" s="20"/>
      <c r="G3053" s="19"/>
      <c r="H3053" s="19"/>
      <c r="I3053" s="19"/>
      <c r="J3053" s="21"/>
      <c r="K3053" s="19"/>
    </row>
    <row r="3054" spans="3:11" x14ac:dyDescent="0.2">
      <c r="C3054" s="19"/>
      <c r="D3054" s="19"/>
      <c r="E3054" s="19"/>
      <c r="F3054" s="20"/>
      <c r="G3054" s="19"/>
      <c r="H3054" s="19"/>
      <c r="I3054" s="19"/>
      <c r="J3054" s="21"/>
      <c r="K3054" s="19"/>
    </row>
    <row r="3055" spans="3:11" x14ac:dyDescent="0.2">
      <c r="C3055" s="19"/>
      <c r="D3055" s="19"/>
      <c r="E3055" s="19"/>
      <c r="F3055" s="20"/>
      <c r="G3055" s="19"/>
      <c r="H3055" s="19"/>
      <c r="I3055" s="19"/>
      <c r="J3055" s="21"/>
      <c r="K3055" s="19"/>
    </row>
    <row r="3056" spans="3:11" x14ac:dyDescent="0.2">
      <c r="C3056" s="19"/>
      <c r="D3056" s="19"/>
      <c r="E3056" s="19"/>
      <c r="F3056" s="20"/>
      <c r="G3056" s="19"/>
      <c r="H3056" s="19"/>
      <c r="I3056" s="19"/>
      <c r="J3056" s="21"/>
      <c r="K3056" s="19"/>
    </row>
    <row r="3057" spans="3:11" x14ac:dyDescent="0.2">
      <c r="C3057" s="19"/>
      <c r="D3057" s="19"/>
      <c r="E3057" s="19"/>
      <c r="F3057" s="20"/>
      <c r="G3057" s="19"/>
      <c r="H3057" s="19"/>
      <c r="I3057" s="19"/>
      <c r="J3057" s="21"/>
      <c r="K3057" s="19"/>
    </row>
    <row r="3058" spans="3:11" x14ac:dyDescent="0.2">
      <c r="C3058" s="19"/>
      <c r="D3058" s="19"/>
      <c r="E3058" s="19"/>
      <c r="F3058" s="20"/>
      <c r="G3058" s="19"/>
      <c r="H3058" s="19"/>
      <c r="I3058" s="19"/>
      <c r="J3058" s="21"/>
      <c r="K3058" s="19"/>
    </row>
    <row r="3059" spans="3:11" x14ac:dyDescent="0.2">
      <c r="C3059" s="19"/>
      <c r="D3059" s="19"/>
      <c r="E3059" s="19"/>
      <c r="F3059" s="20"/>
      <c r="G3059" s="19"/>
      <c r="H3059" s="19"/>
      <c r="I3059" s="19"/>
      <c r="J3059" s="21"/>
      <c r="K3059" s="19"/>
    </row>
    <row r="3060" spans="3:11" x14ac:dyDescent="0.2">
      <c r="C3060" s="19"/>
      <c r="D3060" s="19"/>
      <c r="E3060" s="19"/>
      <c r="F3060" s="20"/>
      <c r="G3060" s="19"/>
      <c r="H3060" s="19"/>
      <c r="I3060" s="19"/>
      <c r="J3060" s="21"/>
      <c r="K3060" s="19"/>
    </row>
    <row r="3061" spans="3:11" x14ac:dyDescent="0.2">
      <c r="C3061" s="19"/>
      <c r="D3061" s="19"/>
      <c r="E3061" s="19"/>
      <c r="F3061" s="20"/>
      <c r="G3061" s="19"/>
      <c r="H3061" s="19"/>
      <c r="I3061" s="19"/>
      <c r="J3061" s="21"/>
      <c r="K3061" s="19"/>
    </row>
    <row r="3062" spans="3:11" x14ac:dyDescent="0.2">
      <c r="C3062" s="19"/>
      <c r="D3062" s="19"/>
      <c r="E3062" s="19"/>
      <c r="F3062" s="20"/>
      <c r="G3062" s="19"/>
      <c r="H3062" s="19"/>
      <c r="I3062" s="19"/>
      <c r="J3062" s="21"/>
      <c r="K3062" s="19"/>
    </row>
    <row r="3063" spans="3:11" x14ac:dyDescent="0.2">
      <c r="C3063" s="19"/>
      <c r="D3063" s="19"/>
      <c r="E3063" s="19"/>
      <c r="F3063" s="20"/>
      <c r="G3063" s="19"/>
      <c r="H3063" s="19"/>
      <c r="I3063" s="19"/>
      <c r="J3063" s="21"/>
      <c r="K3063" s="19"/>
    </row>
    <row r="3064" spans="3:11" x14ac:dyDescent="0.2">
      <c r="C3064" s="19"/>
      <c r="D3064" s="19"/>
      <c r="E3064" s="19"/>
      <c r="F3064" s="20"/>
      <c r="G3064" s="19"/>
      <c r="H3064" s="19"/>
      <c r="I3064" s="19"/>
      <c r="J3064" s="21"/>
      <c r="K3064" s="19"/>
    </row>
    <row r="3065" spans="3:11" x14ac:dyDescent="0.2">
      <c r="C3065" s="19"/>
      <c r="D3065" s="19"/>
      <c r="E3065" s="19"/>
      <c r="F3065" s="20"/>
      <c r="G3065" s="19"/>
      <c r="H3065" s="19"/>
      <c r="I3065" s="19"/>
      <c r="J3065" s="21"/>
      <c r="K3065" s="19"/>
    </row>
    <row r="3066" spans="3:11" x14ac:dyDescent="0.2">
      <c r="C3066" s="19"/>
      <c r="D3066" s="19"/>
      <c r="E3066" s="19"/>
      <c r="F3066" s="20"/>
      <c r="G3066" s="19"/>
      <c r="H3066" s="19"/>
      <c r="I3066" s="19"/>
      <c r="J3066" s="21"/>
      <c r="K3066" s="19"/>
    </row>
    <row r="3067" spans="3:11" x14ac:dyDescent="0.2">
      <c r="C3067" s="19"/>
      <c r="D3067" s="19"/>
      <c r="E3067" s="19"/>
      <c r="F3067" s="20"/>
      <c r="G3067" s="19"/>
      <c r="H3067" s="19"/>
      <c r="I3067" s="19"/>
      <c r="J3067" s="21"/>
      <c r="K3067" s="19"/>
    </row>
    <row r="3068" spans="3:11" x14ac:dyDescent="0.2">
      <c r="C3068" s="19"/>
      <c r="D3068" s="19"/>
      <c r="E3068" s="19"/>
      <c r="F3068" s="20"/>
      <c r="G3068" s="19"/>
      <c r="H3068" s="19"/>
      <c r="I3068" s="19"/>
      <c r="J3068" s="21"/>
      <c r="K3068" s="19"/>
    </row>
    <row r="3069" spans="3:11" x14ac:dyDescent="0.2">
      <c r="C3069" s="19"/>
      <c r="D3069" s="19"/>
      <c r="E3069" s="19"/>
      <c r="F3069" s="20"/>
      <c r="G3069" s="19"/>
      <c r="H3069" s="19"/>
      <c r="I3069" s="19"/>
      <c r="J3069" s="21"/>
      <c r="K3069" s="19"/>
    </row>
    <row r="3070" spans="3:11" x14ac:dyDescent="0.2">
      <c r="C3070" s="19"/>
      <c r="D3070" s="19"/>
      <c r="E3070" s="19"/>
      <c r="F3070" s="20"/>
      <c r="G3070" s="19"/>
      <c r="H3070" s="19"/>
      <c r="I3070" s="19"/>
      <c r="J3070" s="21"/>
      <c r="K3070" s="19"/>
    </row>
    <row r="3071" spans="3:11" x14ac:dyDescent="0.2">
      <c r="C3071" s="19"/>
      <c r="D3071" s="19"/>
      <c r="E3071" s="19"/>
      <c r="F3071" s="20"/>
      <c r="G3071" s="19"/>
      <c r="H3071" s="19"/>
      <c r="I3071" s="19"/>
      <c r="J3071" s="21"/>
      <c r="K3071" s="19"/>
    </row>
    <row r="3072" spans="3:11" x14ac:dyDescent="0.2">
      <c r="C3072" s="19"/>
      <c r="D3072" s="19"/>
      <c r="E3072" s="19"/>
      <c r="F3072" s="20"/>
      <c r="G3072" s="19"/>
      <c r="H3072" s="19"/>
      <c r="I3072" s="19"/>
      <c r="J3072" s="21"/>
      <c r="K3072" s="19"/>
    </row>
    <row r="3073" spans="3:11" x14ac:dyDescent="0.2">
      <c r="C3073" s="19"/>
      <c r="D3073" s="19"/>
      <c r="E3073" s="19"/>
      <c r="F3073" s="20"/>
      <c r="G3073" s="19"/>
      <c r="H3073" s="19"/>
      <c r="I3073" s="19"/>
      <c r="J3073" s="21"/>
      <c r="K3073" s="19"/>
    </row>
    <row r="3074" spans="3:11" x14ac:dyDescent="0.2">
      <c r="C3074" s="19"/>
      <c r="D3074" s="19"/>
      <c r="E3074" s="19"/>
      <c r="F3074" s="20"/>
      <c r="G3074" s="19"/>
      <c r="H3074" s="19"/>
      <c r="I3074" s="19"/>
      <c r="J3074" s="21"/>
      <c r="K3074" s="19"/>
    </row>
    <row r="3075" spans="3:11" x14ac:dyDescent="0.2">
      <c r="C3075" s="19"/>
      <c r="D3075" s="19"/>
      <c r="E3075" s="19"/>
      <c r="F3075" s="20"/>
      <c r="G3075" s="19"/>
      <c r="H3075" s="19"/>
      <c r="I3075" s="19"/>
      <c r="J3075" s="21"/>
      <c r="K3075" s="19"/>
    </row>
    <row r="3076" spans="3:11" x14ac:dyDescent="0.2">
      <c r="C3076" s="19"/>
      <c r="D3076" s="19"/>
      <c r="E3076" s="19"/>
      <c r="F3076" s="20"/>
      <c r="G3076" s="19"/>
      <c r="H3076" s="19"/>
      <c r="I3076" s="19"/>
      <c r="J3076" s="21"/>
      <c r="K3076" s="19"/>
    </row>
    <row r="3077" spans="3:11" x14ac:dyDescent="0.2">
      <c r="C3077" s="19"/>
      <c r="D3077" s="19"/>
      <c r="E3077" s="19"/>
      <c r="F3077" s="20"/>
      <c r="G3077" s="19"/>
      <c r="H3077" s="19"/>
      <c r="I3077" s="19"/>
      <c r="J3077" s="21"/>
      <c r="K3077" s="19"/>
    </row>
    <row r="3078" spans="3:11" x14ac:dyDescent="0.2">
      <c r="C3078" s="19"/>
      <c r="D3078" s="19"/>
      <c r="E3078" s="19"/>
      <c r="F3078" s="20"/>
      <c r="G3078" s="19"/>
      <c r="H3078" s="19"/>
      <c r="I3078" s="19"/>
      <c r="J3078" s="21"/>
      <c r="K3078" s="19"/>
    </row>
    <row r="3079" spans="3:11" x14ac:dyDescent="0.2">
      <c r="C3079" s="19"/>
      <c r="D3079" s="19"/>
      <c r="E3079" s="19"/>
      <c r="F3079" s="20"/>
      <c r="G3079" s="19"/>
      <c r="H3079" s="19"/>
      <c r="I3079" s="19"/>
      <c r="J3079" s="21"/>
      <c r="K3079" s="19"/>
    </row>
    <row r="3080" spans="3:11" x14ac:dyDescent="0.2">
      <c r="C3080" s="19"/>
      <c r="D3080" s="19"/>
      <c r="E3080" s="19"/>
      <c r="F3080" s="20"/>
      <c r="G3080" s="19"/>
      <c r="H3080" s="19"/>
      <c r="I3080" s="19"/>
      <c r="J3080" s="21"/>
      <c r="K3080" s="19"/>
    </row>
    <row r="3081" spans="3:11" x14ac:dyDescent="0.2">
      <c r="C3081" s="19"/>
      <c r="D3081" s="19"/>
      <c r="E3081" s="19"/>
      <c r="F3081" s="20"/>
      <c r="G3081" s="19"/>
      <c r="H3081" s="19"/>
      <c r="I3081" s="19"/>
      <c r="J3081" s="21"/>
      <c r="K3081" s="19"/>
    </row>
    <row r="3082" spans="3:11" x14ac:dyDescent="0.2">
      <c r="C3082" s="19"/>
      <c r="D3082" s="19"/>
      <c r="E3082" s="19"/>
      <c r="F3082" s="20"/>
      <c r="G3082" s="19"/>
      <c r="H3082" s="19"/>
      <c r="I3082" s="19"/>
      <c r="J3082" s="21"/>
      <c r="K3082" s="19"/>
    </row>
    <row r="3083" spans="3:11" x14ac:dyDescent="0.2">
      <c r="C3083" s="19"/>
      <c r="D3083" s="19"/>
      <c r="E3083" s="19"/>
      <c r="F3083" s="20"/>
      <c r="G3083" s="19"/>
      <c r="H3083" s="19"/>
      <c r="I3083" s="19"/>
      <c r="J3083" s="21"/>
      <c r="K3083" s="19"/>
    </row>
    <row r="3084" spans="3:11" x14ac:dyDescent="0.2">
      <c r="C3084" s="19"/>
      <c r="D3084" s="19"/>
      <c r="E3084" s="19"/>
      <c r="F3084" s="20"/>
      <c r="G3084" s="19"/>
      <c r="H3084" s="19"/>
      <c r="I3084" s="19"/>
      <c r="J3084" s="21"/>
      <c r="K3084" s="19"/>
    </row>
    <row r="3085" spans="3:11" x14ac:dyDescent="0.2">
      <c r="C3085" s="19"/>
      <c r="D3085" s="19"/>
      <c r="E3085" s="19"/>
      <c r="F3085" s="20"/>
      <c r="G3085" s="19"/>
      <c r="H3085" s="19"/>
      <c r="I3085" s="19"/>
      <c r="J3085" s="21"/>
      <c r="K3085" s="19"/>
    </row>
    <row r="3086" spans="3:11" x14ac:dyDescent="0.2">
      <c r="C3086" s="19"/>
      <c r="D3086" s="19"/>
      <c r="E3086" s="19"/>
      <c r="F3086" s="20"/>
      <c r="G3086" s="19"/>
      <c r="H3086" s="19"/>
      <c r="I3086" s="19"/>
      <c r="J3086" s="21"/>
      <c r="K3086" s="19"/>
    </row>
    <row r="3087" spans="3:11" x14ac:dyDescent="0.2">
      <c r="C3087" s="19"/>
      <c r="D3087" s="19"/>
      <c r="E3087" s="19"/>
      <c r="F3087" s="20"/>
      <c r="G3087" s="19"/>
      <c r="H3087" s="19"/>
      <c r="I3087" s="19"/>
      <c r="J3087" s="21"/>
      <c r="K3087" s="19"/>
    </row>
    <row r="3088" spans="3:11" x14ac:dyDescent="0.2">
      <c r="C3088" s="19"/>
      <c r="D3088" s="19"/>
      <c r="E3088" s="19"/>
      <c r="F3088" s="20"/>
      <c r="G3088" s="19"/>
      <c r="H3088" s="19"/>
      <c r="I3088" s="19"/>
      <c r="J3088" s="21"/>
      <c r="K3088" s="19"/>
    </row>
    <row r="3089" spans="3:11" x14ac:dyDescent="0.2">
      <c r="C3089" s="19"/>
      <c r="D3089" s="19"/>
      <c r="E3089" s="19"/>
      <c r="F3089" s="20"/>
      <c r="G3089" s="19"/>
      <c r="H3089" s="19"/>
      <c r="I3089" s="19"/>
      <c r="J3089" s="21"/>
      <c r="K3089" s="19"/>
    </row>
    <row r="3090" spans="3:11" x14ac:dyDescent="0.2">
      <c r="C3090" s="19"/>
      <c r="D3090" s="19"/>
      <c r="E3090" s="19"/>
      <c r="F3090" s="20"/>
      <c r="G3090" s="19"/>
      <c r="H3090" s="19"/>
      <c r="I3090" s="19"/>
      <c r="J3090" s="21"/>
      <c r="K3090" s="19"/>
    </row>
    <row r="3091" spans="3:11" x14ac:dyDescent="0.2">
      <c r="C3091" s="19"/>
      <c r="D3091" s="19"/>
      <c r="E3091" s="19"/>
      <c r="F3091" s="20"/>
      <c r="G3091" s="19"/>
      <c r="H3091" s="19"/>
      <c r="I3091" s="19"/>
      <c r="J3091" s="21"/>
      <c r="K3091" s="19"/>
    </row>
    <row r="3092" spans="3:11" x14ac:dyDescent="0.2">
      <c r="C3092" s="19"/>
      <c r="D3092" s="19"/>
      <c r="E3092" s="19"/>
      <c r="F3092" s="20"/>
      <c r="G3092" s="19"/>
      <c r="H3092" s="19"/>
      <c r="I3092" s="19"/>
      <c r="J3092" s="21"/>
      <c r="K3092" s="19"/>
    </row>
    <row r="3093" spans="3:11" x14ac:dyDescent="0.2">
      <c r="C3093" s="19"/>
      <c r="D3093" s="19"/>
      <c r="E3093" s="19"/>
      <c r="F3093" s="20"/>
      <c r="G3093" s="19"/>
      <c r="H3093" s="19"/>
      <c r="I3093" s="19"/>
      <c r="J3093" s="21"/>
      <c r="K3093" s="19"/>
    </row>
    <row r="3094" spans="3:11" x14ac:dyDescent="0.2">
      <c r="C3094" s="19"/>
      <c r="D3094" s="19"/>
      <c r="E3094" s="19"/>
      <c r="F3094" s="20"/>
      <c r="G3094" s="19"/>
      <c r="H3094" s="19"/>
      <c r="I3094" s="19"/>
      <c r="J3094" s="21"/>
      <c r="K3094" s="19"/>
    </row>
    <row r="3095" spans="3:11" x14ac:dyDescent="0.2">
      <c r="C3095" s="19"/>
      <c r="D3095" s="19"/>
      <c r="E3095" s="19"/>
      <c r="F3095" s="20"/>
      <c r="G3095" s="19"/>
      <c r="H3095" s="19"/>
      <c r="I3095" s="19"/>
      <c r="J3095" s="21"/>
      <c r="K3095" s="19"/>
    </row>
    <row r="3096" spans="3:11" x14ac:dyDescent="0.2">
      <c r="C3096" s="19"/>
      <c r="D3096" s="19"/>
      <c r="E3096" s="19"/>
      <c r="F3096" s="20"/>
      <c r="G3096" s="19"/>
      <c r="H3096" s="19"/>
      <c r="I3096" s="19"/>
      <c r="J3096" s="21"/>
      <c r="K3096" s="19"/>
    </row>
    <row r="3097" spans="3:11" x14ac:dyDescent="0.2">
      <c r="C3097" s="19"/>
      <c r="D3097" s="19"/>
      <c r="E3097" s="19"/>
      <c r="F3097" s="20"/>
      <c r="G3097" s="19"/>
      <c r="H3097" s="19"/>
      <c r="I3097" s="19"/>
      <c r="J3097" s="21"/>
      <c r="K3097" s="19"/>
    </row>
    <row r="3098" spans="3:11" x14ac:dyDescent="0.2">
      <c r="C3098" s="19"/>
      <c r="D3098" s="19"/>
      <c r="E3098" s="19"/>
      <c r="F3098" s="20"/>
      <c r="G3098" s="19"/>
      <c r="H3098" s="19"/>
      <c r="I3098" s="19"/>
      <c r="J3098" s="21"/>
      <c r="K3098" s="19"/>
    </row>
    <row r="3099" spans="3:11" x14ac:dyDescent="0.2">
      <c r="C3099" s="19"/>
      <c r="D3099" s="19"/>
      <c r="E3099" s="19"/>
      <c r="F3099" s="20"/>
      <c r="G3099" s="19"/>
      <c r="H3099" s="19"/>
      <c r="I3099" s="19"/>
      <c r="J3099" s="21"/>
      <c r="K3099" s="19"/>
    </row>
    <row r="3100" spans="3:11" x14ac:dyDescent="0.2">
      <c r="C3100" s="19"/>
      <c r="D3100" s="19"/>
      <c r="E3100" s="19"/>
      <c r="F3100" s="20"/>
      <c r="G3100" s="19"/>
      <c r="H3100" s="19"/>
      <c r="I3100" s="19"/>
      <c r="J3100" s="21"/>
      <c r="K3100" s="19"/>
    </row>
    <row r="3101" spans="3:11" x14ac:dyDescent="0.2">
      <c r="C3101" s="19"/>
      <c r="D3101" s="19"/>
      <c r="E3101" s="19"/>
      <c r="F3101" s="20"/>
      <c r="G3101" s="19"/>
      <c r="H3101" s="19"/>
      <c r="I3101" s="19"/>
      <c r="J3101" s="21"/>
      <c r="K3101" s="19"/>
    </row>
    <row r="3102" spans="3:11" x14ac:dyDescent="0.2">
      <c r="C3102" s="19"/>
      <c r="D3102" s="19"/>
      <c r="E3102" s="19"/>
      <c r="F3102" s="20"/>
      <c r="G3102" s="19"/>
      <c r="H3102" s="19"/>
      <c r="I3102" s="19"/>
      <c r="J3102" s="21"/>
      <c r="K3102" s="19"/>
    </row>
    <row r="3103" spans="3:11" x14ac:dyDescent="0.2">
      <c r="C3103" s="19"/>
      <c r="D3103" s="19"/>
      <c r="E3103" s="19"/>
      <c r="F3103" s="20"/>
      <c r="G3103" s="19"/>
      <c r="H3103" s="19"/>
      <c r="I3103" s="19"/>
      <c r="J3103" s="21"/>
      <c r="K3103" s="19"/>
    </row>
    <row r="3104" spans="3:11" x14ac:dyDescent="0.2">
      <c r="C3104" s="19"/>
      <c r="D3104" s="19"/>
      <c r="E3104" s="19"/>
      <c r="F3104" s="20"/>
      <c r="G3104" s="19"/>
      <c r="H3104" s="19"/>
      <c r="I3104" s="19"/>
      <c r="J3104" s="21"/>
      <c r="K3104" s="19"/>
    </row>
    <row r="3105" spans="3:11" x14ac:dyDescent="0.2">
      <c r="C3105" s="19"/>
      <c r="D3105" s="19"/>
      <c r="E3105" s="19"/>
      <c r="F3105" s="20"/>
      <c r="G3105" s="19"/>
      <c r="H3105" s="19"/>
      <c r="I3105" s="19"/>
      <c r="J3105" s="21"/>
      <c r="K3105" s="19"/>
    </row>
    <row r="3106" spans="3:11" x14ac:dyDescent="0.2">
      <c r="C3106" s="19"/>
      <c r="D3106" s="19"/>
      <c r="E3106" s="19"/>
      <c r="F3106" s="20"/>
      <c r="G3106" s="19"/>
      <c r="H3106" s="19"/>
      <c r="I3106" s="19"/>
      <c r="J3106" s="21"/>
      <c r="K3106" s="19"/>
    </row>
    <row r="3107" spans="3:11" x14ac:dyDescent="0.2">
      <c r="C3107" s="19"/>
      <c r="D3107" s="19"/>
      <c r="E3107" s="19"/>
      <c r="F3107" s="20"/>
      <c r="G3107" s="19"/>
      <c r="H3107" s="19"/>
      <c r="I3107" s="19"/>
      <c r="J3107" s="21"/>
      <c r="K3107" s="19"/>
    </row>
    <row r="3108" spans="3:11" x14ac:dyDescent="0.2">
      <c r="C3108" s="19"/>
      <c r="D3108" s="19"/>
      <c r="E3108" s="19"/>
      <c r="F3108" s="20"/>
      <c r="G3108" s="19"/>
      <c r="H3108" s="19"/>
      <c r="I3108" s="19"/>
      <c r="J3108" s="21"/>
      <c r="K3108" s="19"/>
    </row>
    <row r="3109" spans="3:11" x14ac:dyDescent="0.2">
      <c r="C3109" s="19"/>
      <c r="D3109" s="19"/>
      <c r="E3109" s="19"/>
      <c r="F3109" s="20"/>
      <c r="G3109" s="19"/>
      <c r="H3109" s="19"/>
      <c r="I3109" s="19"/>
      <c r="J3109" s="21"/>
      <c r="K3109" s="19"/>
    </row>
    <row r="3110" spans="3:11" x14ac:dyDescent="0.2">
      <c r="C3110" s="19"/>
      <c r="D3110" s="19"/>
      <c r="E3110" s="19"/>
      <c r="F3110" s="20"/>
      <c r="G3110" s="19"/>
      <c r="H3110" s="19"/>
      <c r="I3110" s="19"/>
      <c r="J3110" s="21"/>
      <c r="K3110" s="19"/>
    </row>
    <row r="3111" spans="3:11" x14ac:dyDescent="0.2">
      <c r="C3111" s="19"/>
      <c r="D3111" s="19"/>
      <c r="E3111" s="19"/>
      <c r="F3111" s="20"/>
      <c r="G3111" s="19"/>
      <c r="H3111" s="19"/>
      <c r="I3111" s="19"/>
      <c r="J3111" s="21"/>
      <c r="K3111" s="19"/>
    </row>
    <row r="3112" spans="3:11" x14ac:dyDescent="0.2">
      <c r="C3112" s="19"/>
      <c r="D3112" s="19"/>
      <c r="E3112" s="19"/>
      <c r="F3112" s="20"/>
      <c r="G3112" s="19"/>
      <c r="H3112" s="19"/>
      <c r="I3112" s="19"/>
      <c r="J3112" s="21"/>
      <c r="K3112" s="19"/>
    </row>
    <row r="3113" spans="3:11" x14ac:dyDescent="0.2">
      <c r="C3113" s="19"/>
      <c r="D3113" s="19"/>
      <c r="E3113" s="19"/>
      <c r="F3113" s="20"/>
      <c r="G3113" s="19"/>
      <c r="H3113" s="19"/>
      <c r="I3113" s="19"/>
      <c r="J3113" s="21"/>
      <c r="K3113" s="19"/>
    </row>
    <row r="3114" spans="3:11" x14ac:dyDescent="0.2">
      <c r="C3114" s="19"/>
      <c r="D3114" s="19"/>
      <c r="E3114" s="19"/>
      <c r="F3114" s="20"/>
      <c r="G3114" s="19"/>
      <c r="H3114" s="19"/>
      <c r="I3114" s="19"/>
      <c r="J3114" s="21"/>
      <c r="K3114" s="19"/>
    </row>
    <row r="3115" spans="3:11" x14ac:dyDescent="0.2">
      <c r="C3115" s="19"/>
      <c r="D3115" s="19"/>
      <c r="E3115" s="19"/>
      <c r="F3115" s="20"/>
      <c r="G3115" s="19"/>
      <c r="H3115" s="19"/>
      <c r="I3115" s="19"/>
      <c r="J3115" s="21"/>
      <c r="K3115" s="19"/>
    </row>
    <row r="3116" spans="3:11" x14ac:dyDescent="0.2">
      <c r="C3116" s="19"/>
      <c r="D3116" s="19"/>
      <c r="E3116" s="19"/>
      <c r="F3116" s="20"/>
      <c r="G3116" s="19"/>
      <c r="H3116" s="19"/>
      <c r="I3116" s="19"/>
      <c r="J3116" s="21"/>
      <c r="K3116" s="19"/>
    </row>
    <row r="3117" spans="3:11" x14ac:dyDescent="0.2">
      <c r="C3117" s="19"/>
      <c r="D3117" s="19"/>
      <c r="E3117" s="19"/>
      <c r="F3117" s="20"/>
      <c r="G3117" s="19"/>
      <c r="H3117" s="19"/>
      <c r="I3117" s="19"/>
      <c r="J3117" s="21"/>
      <c r="K3117" s="19"/>
    </row>
    <row r="3118" spans="3:11" x14ac:dyDescent="0.2">
      <c r="C3118" s="19"/>
      <c r="D3118" s="19"/>
      <c r="E3118" s="19"/>
      <c r="F3118" s="20"/>
      <c r="G3118" s="19"/>
      <c r="H3118" s="19"/>
      <c r="I3118" s="19"/>
      <c r="J3118" s="21"/>
      <c r="K3118" s="19"/>
    </row>
    <row r="3119" spans="3:11" x14ac:dyDescent="0.2">
      <c r="C3119" s="19"/>
      <c r="D3119" s="19"/>
      <c r="E3119" s="19"/>
      <c r="F3119" s="20"/>
      <c r="G3119" s="19"/>
      <c r="H3119" s="19"/>
      <c r="I3119" s="19"/>
      <c r="J3119" s="21"/>
      <c r="K3119" s="19"/>
    </row>
    <row r="3120" spans="3:11" x14ac:dyDescent="0.2">
      <c r="C3120" s="19"/>
      <c r="D3120" s="19"/>
      <c r="E3120" s="19"/>
      <c r="F3120" s="20"/>
      <c r="G3120" s="19"/>
      <c r="H3120" s="19"/>
      <c r="I3120" s="19"/>
      <c r="J3120" s="21"/>
      <c r="K3120" s="19"/>
    </row>
    <row r="3121" spans="3:11" x14ac:dyDescent="0.2">
      <c r="C3121" s="19"/>
      <c r="D3121" s="19"/>
      <c r="E3121" s="19"/>
      <c r="F3121" s="20"/>
      <c r="G3121" s="19"/>
      <c r="H3121" s="19"/>
      <c r="I3121" s="19"/>
      <c r="J3121" s="21"/>
      <c r="K3121" s="19"/>
    </row>
    <row r="3122" spans="3:11" x14ac:dyDescent="0.2">
      <c r="C3122" s="19"/>
      <c r="D3122" s="19"/>
      <c r="E3122" s="19"/>
      <c r="F3122" s="20"/>
      <c r="G3122" s="19"/>
      <c r="H3122" s="19"/>
      <c r="I3122" s="19"/>
      <c r="J3122" s="21"/>
      <c r="K3122" s="19"/>
    </row>
    <row r="3123" spans="3:11" x14ac:dyDescent="0.2">
      <c r="C3123" s="19"/>
      <c r="D3123" s="19"/>
      <c r="E3123" s="19"/>
      <c r="F3123" s="20"/>
      <c r="G3123" s="19"/>
      <c r="H3123" s="19"/>
      <c r="I3123" s="19"/>
      <c r="J3123" s="21"/>
      <c r="K3123" s="19"/>
    </row>
    <row r="3124" spans="3:11" x14ac:dyDescent="0.2">
      <c r="C3124" s="19"/>
      <c r="D3124" s="19"/>
      <c r="E3124" s="19"/>
      <c r="F3124" s="20"/>
      <c r="G3124" s="19"/>
      <c r="H3124" s="19"/>
      <c r="I3124" s="19"/>
      <c r="J3124" s="21"/>
      <c r="K3124" s="19"/>
    </row>
    <row r="3125" spans="3:11" x14ac:dyDescent="0.2">
      <c r="C3125" s="19"/>
      <c r="D3125" s="19"/>
      <c r="E3125" s="19"/>
      <c r="F3125" s="20"/>
      <c r="G3125" s="19"/>
      <c r="H3125" s="19"/>
      <c r="I3125" s="19"/>
      <c r="J3125" s="21"/>
      <c r="K3125" s="19"/>
    </row>
    <row r="3126" spans="3:11" x14ac:dyDescent="0.2">
      <c r="C3126" s="19"/>
      <c r="D3126" s="19"/>
      <c r="E3126" s="19"/>
      <c r="F3126" s="20"/>
      <c r="G3126" s="19"/>
      <c r="H3126" s="19"/>
      <c r="I3126" s="19"/>
      <c r="J3126" s="21"/>
      <c r="K3126" s="19"/>
    </row>
    <row r="3127" spans="3:11" x14ac:dyDescent="0.2">
      <c r="C3127" s="19"/>
      <c r="D3127" s="19"/>
      <c r="E3127" s="19"/>
      <c r="F3127" s="20"/>
      <c r="G3127" s="19"/>
      <c r="H3127" s="19"/>
      <c r="I3127" s="19"/>
      <c r="J3127" s="21"/>
      <c r="K3127" s="19"/>
    </row>
    <row r="3128" spans="3:11" x14ac:dyDescent="0.2">
      <c r="C3128" s="19"/>
      <c r="D3128" s="19"/>
      <c r="E3128" s="19"/>
      <c r="F3128" s="20"/>
      <c r="G3128" s="19"/>
      <c r="H3128" s="19"/>
      <c r="I3128" s="19"/>
      <c r="J3128" s="21"/>
      <c r="K3128" s="19"/>
    </row>
    <row r="3129" spans="3:11" x14ac:dyDescent="0.2">
      <c r="C3129" s="19"/>
      <c r="D3129" s="19"/>
      <c r="E3129" s="19"/>
      <c r="F3129" s="20"/>
      <c r="G3129" s="19"/>
      <c r="H3129" s="19"/>
      <c r="I3129" s="19"/>
      <c r="J3129" s="21"/>
      <c r="K3129" s="19"/>
    </row>
    <row r="3130" spans="3:11" x14ac:dyDescent="0.2">
      <c r="C3130" s="19"/>
      <c r="D3130" s="19"/>
      <c r="E3130" s="19"/>
      <c r="F3130" s="20"/>
      <c r="G3130" s="19"/>
      <c r="H3130" s="19"/>
      <c r="I3130" s="19"/>
      <c r="J3130" s="21"/>
      <c r="K3130" s="19"/>
    </row>
    <row r="3131" spans="3:11" x14ac:dyDescent="0.2">
      <c r="C3131" s="19"/>
      <c r="D3131" s="19"/>
      <c r="E3131" s="19"/>
      <c r="F3131" s="20"/>
      <c r="G3131" s="19"/>
      <c r="H3131" s="19"/>
      <c r="I3131" s="19"/>
      <c r="J3131" s="21"/>
      <c r="K3131" s="19"/>
    </row>
    <row r="3132" spans="3:11" x14ac:dyDescent="0.2">
      <c r="C3132" s="19"/>
      <c r="D3132" s="19"/>
      <c r="E3132" s="19"/>
      <c r="F3132" s="20"/>
      <c r="G3132" s="19"/>
      <c r="H3132" s="19"/>
      <c r="I3132" s="19"/>
      <c r="J3132" s="21"/>
      <c r="K3132" s="19"/>
    </row>
    <row r="3133" spans="3:11" x14ac:dyDescent="0.2">
      <c r="C3133" s="19"/>
      <c r="D3133" s="19"/>
      <c r="E3133" s="19"/>
      <c r="F3133" s="20"/>
      <c r="G3133" s="19"/>
      <c r="H3133" s="19"/>
      <c r="I3133" s="19"/>
      <c r="J3133" s="21"/>
      <c r="K3133" s="19"/>
    </row>
    <row r="3134" spans="3:11" x14ac:dyDescent="0.2">
      <c r="C3134" s="19"/>
      <c r="D3134" s="19"/>
      <c r="E3134" s="19"/>
      <c r="F3134" s="20"/>
      <c r="G3134" s="19"/>
      <c r="H3134" s="19"/>
      <c r="I3134" s="19"/>
      <c r="J3134" s="21"/>
      <c r="K3134" s="19"/>
    </row>
    <row r="3135" spans="3:11" x14ac:dyDescent="0.2">
      <c r="C3135" s="19"/>
      <c r="D3135" s="19"/>
      <c r="E3135" s="19"/>
      <c r="F3135" s="20"/>
      <c r="G3135" s="19"/>
      <c r="H3135" s="19"/>
      <c r="I3135" s="19"/>
      <c r="J3135" s="21"/>
      <c r="K3135" s="19"/>
    </row>
    <row r="3136" spans="3:11" x14ac:dyDescent="0.2">
      <c r="C3136" s="19"/>
      <c r="D3136" s="19"/>
      <c r="E3136" s="19"/>
      <c r="F3136" s="20"/>
      <c r="G3136" s="19"/>
      <c r="H3136" s="19"/>
      <c r="I3136" s="19"/>
      <c r="J3136" s="21"/>
      <c r="K3136" s="19"/>
    </row>
    <row r="3137" spans="3:11" x14ac:dyDescent="0.2">
      <c r="C3137" s="19"/>
      <c r="D3137" s="19"/>
      <c r="E3137" s="19"/>
      <c r="F3137" s="20"/>
      <c r="G3137" s="19"/>
      <c r="H3137" s="19"/>
      <c r="I3137" s="19"/>
      <c r="J3137" s="21"/>
      <c r="K3137" s="19"/>
    </row>
    <row r="3138" spans="3:11" x14ac:dyDescent="0.2">
      <c r="C3138" s="19"/>
      <c r="D3138" s="19"/>
      <c r="E3138" s="19"/>
      <c r="F3138" s="20"/>
      <c r="G3138" s="19"/>
      <c r="H3138" s="19"/>
      <c r="I3138" s="19"/>
      <c r="J3138" s="21"/>
      <c r="K3138" s="19"/>
    </row>
    <row r="3139" spans="3:11" x14ac:dyDescent="0.2">
      <c r="C3139" s="19"/>
      <c r="D3139" s="19"/>
      <c r="E3139" s="19"/>
      <c r="F3139" s="20"/>
      <c r="G3139" s="19"/>
      <c r="H3139" s="19"/>
      <c r="I3139" s="19"/>
      <c r="J3139" s="21"/>
      <c r="K3139" s="19"/>
    </row>
    <row r="3140" spans="3:11" x14ac:dyDescent="0.2">
      <c r="C3140" s="19"/>
      <c r="D3140" s="19"/>
      <c r="E3140" s="19"/>
      <c r="F3140" s="20"/>
      <c r="G3140" s="19"/>
      <c r="H3140" s="19"/>
      <c r="I3140" s="19"/>
      <c r="J3140" s="21"/>
      <c r="K3140" s="19"/>
    </row>
    <row r="3141" spans="3:11" x14ac:dyDescent="0.2">
      <c r="C3141" s="19"/>
      <c r="D3141" s="19"/>
      <c r="E3141" s="19"/>
      <c r="F3141" s="20"/>
      <c r="G3141" s="19"/>
      <c r="H3141" s="19"/>
      <c r="I3141" s="19"/>
      <c r="J3141" s="21"/>
      <c r="K3141" s="19"/>
    </row>
    <row r="3142" spans="3:11" x14ac:dyDescent="0.2">
      <c r="C3142" s="19"/>
      <c r="D3142" s="19"/>
      <c r="E3142" s="19"/>
      <c r="F3142" s="20"/>
      <c r="G3142" s="19"/>
      <c r="H3142" s="19"/>
      <c r="I3142" s="19"/>
      <c r="J3142" s="21"/>
      <c r="K3142" s="19"/>
    </row>
    <row r="3143" spans="3:11" x14ac:dyDescent="0.2">
      <c r="C3143" s="19"/>
      <c r="D3143" s="19"/>
      <c r="E3143" s="19"/>
      <c r="F3143" s="20"/>
      <c r="G3143" s="19"/>
      <c r="H3143" s="19"/>
      <c r="I3143" s="19"/>
      <c r="J3143" s="21"/>
      <c r="K3143" s="19"/>
    </row>
    <row r="3144" spans="3:11" x14ac:dyDescent="0.2">
      <c r="C3144" s="19"/>
      <c r="D3144" s="19"/>
      <c r="E3144" s="19"/>
      <c r="F3144" s="20"/>
      <c r="G3144" s="19"/>
      <c r="H3144" s="19"/>
      <c r="I3144" s="19"/>
      <c r="J3144" s="21"/>
      <c r="K3144" s="19"/>
    </row>
    <row r="3145" spans="3:11" x14ac:dyDescent="0.2">
      <c r="C3145" s="19"/>
      <c r="D3145" s="19"/>
      <c r="E3145" s="19"/>
      <c r="F3145" s="20"/>
      <c r="G3145" s="19"/>
      <c r="H3145" s="19"/>
      <c r="I3145" s="19"/>
      <c r="J3145" s="21"/>
      <c r="K3145" s="19"/>
    </row>
    <row r="3146" spans="3:11" x14ac:dyDescent="0.2">
      <c r="C3146" s="19"/>
      <c r="D3146" s="19"/>
      <c r="E3146" s="19"/>
      <c r="F3146" s="20"/>
      <c r="G3146" s="19"/>
      <c r="H3146" s="19"/>
      <c r="I3146" s="19"/>
      <c r="J3146" s="21"/>
      <c r="K3146" s="19"/>
    </row>
    <row r="3147" spans="3:11" x14ac:dyDescent="0.2">
      <c r="C3147" s="19"/>
      <c r="D3147" s="19"/>
      <c r="E3147" s="19"/>
      <c r="F3147" s="20"/>
      <c r="G3147" s="19"/>
      <c r="H3147" s="19"/>
      <c r="I3147" s="19"/>
      <c r="J3147" s="21"/>
      <c r="K3147" s="19"/>
    </row>
    <row r="3148" spans="3:11" x14ac:dyDescent="0.2">
      <c r="C3148" s="19"/>
      <c r="D3148" s="19"/>
      <c r="E3148" s="19"/>
      <c r="F3148" s="20"/>
      <c r="G3148" s="19"/>
      <c r="H3148" s="19"/>
      <c r="I3148" s="19"/>
      <c r="J3148" s="21"/>
      <c r="K3148" s="19"/>
    </row>
    <row r="3149" spans="3:11" x14ac:dyDescent="0.2">
      <c r="C3149" s="19"/>
      <c r="D3149" s="19"/>
      <c r="E3149" s="19"/>
      <c r="F3149" s="20"/>
      <c r="G3149" s="19"/>
      <c r="H3149" s="19"/>
      <c r="I3149" s="19"/>
      <c r="J3149" s="21"/>
      <c r="K3149" s="19"/>
    </row>
    <row r="3150" spans="3:11" x14ac:dyDescent="0.2">
      <c r="C3150" s="19"/>
      <c r="D3150" s="19"/>
      <c r="E3150" s="19"/>
      <c r="F3150" s="20"/>
      <c r="G3150" s="19"/>
      <c r="H3150" s="19"/>
      <c r="I3150" s="19"/>
      <c r="J3150" s="21"/>
      <c r="K3150" s="19"/>
    </row>
    <row r="3151" spans="3:11" x14ac:dyDescent="0.2">
      <c r="C3151" s="19"/>
      <c r="D3151" s="19"/>
      <c r="E3151" s="19"/>
      <c r="F3151" s="20"/>
      <c r="G3151" s="19"/>
      <c r="H3151" s="19"/>
      <c r="I3151" s="19"/>
      <c r="J3151" s="21"/>
      <c r="K3151" s="19"/>
    </row>
    <row r="3152" spans="3:11" x14ac:dyDescent="0.2">
      <c r="C3152" s="19"/>
      <c r="D3152" s="19"/>
      <c r="E3152" s="19"/>
      <c r="F3152" s="20"/>
      <c r="G3152" s="19"/>
      <c r="H3152" s="19"/>
      <c r="I3152" s="19"/>
      <c r="J3152" s="21"/>
      <c r="K3152" s="19"/>
    </row>
    <row r="3153" spans="3:11" x14ac:dyDescent="0.2">
      <c r="C3153" s="19"/>
      <c r="D3153" s="19"/>
      <c r="E3153" s="19"/>
      <c r="F3153" s="20"/>
      <c r="G3153" s="19"/>
      <c r="H3153" s="19"/>
      <c r="I3153" s="19"/>
      <c r="J3153" s="21"/>
      <c r="K3153" s="19"/>
    </row>
    <row r="3154" spans="3:11" x14ac:dyDescent="0.2">
      <c r="C3154" s="19"/>
      <c r="D3154" s="19"/>
      <c r="E3154" s="19"/>
      <c r="F3154" s="20"/>
      <c r="G3154" s="19"/>
      <c r="H3154" s="19"/>
      <c r="I3154" s="19"/>
      <c r="J3154" s="21"/>
      <c r="K3154" s="19"/>
    </row>
    <row r="3155" spans="3:11" x14ac:dyDescent="0.2">
      <c r="C3155" s="19"/>
      <c r="D3155" s="19"/>
      <c r="E3155" s="19"/>
      <c r="F3155" s="20"/>
      <c r="G3155" s="19"/>
      <c r="H3155" s="19"/>
      <c r="I3155" s="19"/>
      <c r="J3155" s="21"/>
      <c r="K3155" s="19"/>
    </row>
    <row r="3156" spans="3:11" x14ac:dyDescent="0.2">
      <c r="C3156" s="19"/>
      <c r="D3156" s="19"/>
      <c r="E3156" s="19"/>
      <c r="F3156" s="20"/>
      <c r="G3156" s="19"/>
      <c r="H3156" s="19"/>
      <c r="I3156" s="19"/>
      <c r="J3156" s="21"/>
      <c r="K3156" s="19"/>
    </row>
    <row r="3157" spans="3:11" x14ac:dyDescent="0.2">
      <c r="C3157" s="19"/>
      <c r="D3157" s="19"/>
      <c r="E3157" s="19"/>
      <c r="F3157" s="20"/>
      <c r="G3157" s="19"/>
      <c r="H3157" s="19"/>
      <c r="I3157" s="19"/>
      <c r="J3157" s="21"/>
      <c r="K3157" s="19"/>
    </row>
    <row r="3158" spans="3:11" x14ac:dyDescent="0.2">
      <c r="C3158" s="19"/>
      <c r="D3158" s="19"/>
      <c r="E3158" s="19"/>
      <c r="F3158" s="20"/>
      <c r="G3158" s="19"/>
      <c r="H3158" s="19"/>
      <c r="I3158" s="19"/>
      <c r="J3158" s="21"/>
      <c r="K3158" s="19"/>
    </row>
    <row r="3159" spans="3:11" x14ac:dyDescent="0.2">
      <c r="C3159" s="19"/>
      <c r="D3159" s="19"/>
      <c r="E3159" s="19"/>
      <c r="F3159" s="20"/>
      <c r="G3159" s="19"/>
      <c r="H3159" s="19"/>
      <c r="I3159" s="19"/>
      <c r="J3159" s="21"/>
      <c r="K3159" s="19"/>
    </row>
    <row r="3160" spans="3:11" x14ac:dyDescent="0.2">
      <c r="C3160" s="19"/>
      <c r="D3160" s="19"/>
      <c r="E3160" s="19"/>
      <c r="F3160" s="20"/>
      <c r="G3160" s="19"/>
      <c r="H3160" s="19"/>
      <c r="I3160" s="19"/>
      <c r="J3160" s="21"/>
      <c r="K3160" s="19"/>
    </row>
    <row r="3161" spans="3:11" x14ac:dyDescent="0.2">
      <c r="C3161" s="19"/>
      <c r="D3161" s="19"/>
      <c r="E3161" s="19"/>
      <c r="F3161" s="20"/>
      <c r="G3161" s="19"/>
      <c r="H3161" s="19"/>
      <c r="I3161" s="19"/>
      <c r="J3161" s="21"/>
      <c r="K3161" s="19"/>
    </row>
    <row r="3162" spans="3:11" x14ac:dyDescent="0.2">
      <c r="C3162" s="19"/>
      <c r="D3162" s="19"/>
      <c r="E3162" s="19"/>
      <c r="F3162" s="20"/>
      <c r="G3162" s="19"/>
      <c r="H3162" s="19"/>
      <c r="I3162" s="19"/>
      <c r="J3162" s="21"/>
      <c r="K3162" s="19"/>
    </row>
    <row r="3163" spans="3:11" x14ac:dyDescent="0.2">
      <c r="C3163" s="19"/>
      <c r="D3163" s="19"/>
      <c r="E3163" s="19"/>
      <c r="F3163" s="20"/>
      <c r="G3163" s="19"/>
      <c r="H3163" s="19"/>
      <c r="I3163" s="19"/>
      <c r="J3163" s="21"/>
      <c r="K3163" s="19"/>
    </row>
    <row r="3164" spans="3:11" x14ac:dyDescent="0.2">
      <c r="C3164" s="19"/>
      <c r="D3164" s="19"/>
      <c r="E3164" s="19"/>
      <c r="F3164" s="20"/>
      <c r="G3164" s="19"/>
      <c r="H3164" s="19"/>
      <c r="I3164" s="19"/>
      <c r="J3164" s="21"/>
      <c r="K3164" s="19"/>
    </row>
    <row r="3165" spans="3:11" x14ac:dyDescent="0.2">
      <c r="C3165" s="19"/>
      <c r="D3165" s="19"/>
      <c r="E3165" s="19"/>
      <c r="F3165" s="20"/>
      <c r="G3165" s="19"/>
      <c r="H3165" s="19"/>
      <c r="I3165" s="19"/>
      <c r="J3165" s="21"/>
      <c r="K3165" s="19"/>
    </row>
    <row r="3166" spans="3:11" x14ac:dyDescent="0.2">
      <c r="C3166" s="19"/>
      <c r="D3166" s="19"/>
      <c r="E3166" s="19"/>
      <c r="F3166" s="20"/>
      <c r="G3166" s="19"/>
      <c r="H3166" s="19"/>
      <c r="I3166" s="19"/>
      <c r="J3166" s="21"/>
      <c r="K3166" s="19"/>
    </row>
    <row r="3167" spans="3:11" x14ac:dyDescent="0.2">
      <c r="C3167" s="19"/>
      <c r="D3167" s="19"/>
      <c r="E3167" s="19"/>
      <c r="F3167" s="20"/>
      <c r="G3167" s="19"/>
      <c r="H3167" s="19"/>
      <c r="I3167" s="19"/>
      <c r="J3167" s="21"/>
      <c r="K3167" s="19"/>
    </row>
    <row r="3168" spans="3:11" x14ac:dyDescent="0.2">
      <c r="C3168" s="19"/>
      <c r="D3168" s="19"/>
      <c r="E3168" s="19"/>
      <c r="F3168" s="20"/>
      <c r="G3168" s="19"/>
      <c r="H3168" s="19"/>
      <c r="I3168" s="19"/>
      <c r="J3168" s="21"/>
      <c r="K3168" s="19"/>
    </row>
    <row r="3169" spans="3:11" x14ac:dyDescent="0.2">
      <c r="C3169" s="19"/>
      <c r="D3169" s="19"/>
      <c r="E3169" s="19"/>
      <c r="F3169" s="20"/>
      <c r="G3169" s="19"/>
      <c r="H3169" s="19"/>
      <c r="I3169" s="19"/>
      <c r="J3169" s="21"/>
      <c r="K3169" s="19"/>
    </row>
    <row r="3170" spans="3:11" x14ac:dyDescent="0.2">
      <c r="C3170" s="19"/>
      <c r="D3170" s="19"/>
      <c r="E3170" s="19"/>
      <c r="F3170" s="20"/>
      <c r="G3170" s="19"/>
      <c r="H3170" s="19"/>
      <c r="I3170" s="19"/>
      <c r="J3170" s="21"/>
      <c r="K3170" s="19"/>
    </row>
    <row r="3171" spans="3:11" x14ac:dyDescent="0.2">
      <c r="C3171" s="19"/>
      <c r="D3171" s="19"/>
      <c r="E3171" s="19"/>
      <c r="F3171" s="20"/>
      <c r="G3171" s="19"/>
      <c r="H3171" s="19"/>
      <c r="I3171" s="19"/>
      <c r="J3171" s="21"/>
      <c r="K3171" s="19"/>
    </row>
    <row r="3172" spans="3:11" x14ac:dyDescent="0.2">
      <c r="C3172" s="19"/>
      <c r="D3172" s="19"/>
      <c r="E3172" s="19"/>
      <c r="F3172" s="20"/>
      <c r="G3172" s="19"/>
      <c r="H3172" s="19"/>
      <c r="I3172" s="19"/>
      <c r="J3172" s="21"/>
      <c r="K3172" s="19"/>
    </row>
    <row r="3173" spans="3:11" x14ac:dyDescent="0.2">
      <c r="C3173" s="19"/>
      <c r="D3173" s="19"/>
      <c r="E3173" s="19"/>
      <c r="F3173" s="20"/>
      <c r="G3173" s="19"/>
      <c r="H3173" s="19"/>
      <c r="I3173" s="19"/>
      <c r="J3173" s="21"/>
      <c r="K3173" s="19"/>
    </row>
    <row r="3174" spans="3:11" x14ac:dyDescent="0.2">
      <c r="C3174" s="19"/>
      <c r="D3174" s="19"/>
      <c r="E3174" s="19"/>
      <c r="F3174" s="20"/>
      <c r="G3174" s="19"/>
      <c r="H3174" s="19"/>
      <c r="I3174" s="19"/>
      <c r="J3174" s="21"/>
      <c r="K3174" s="19"/>
    </row>
    <row r="3175" spans="3:11" x14ac:dyDescent="0.2">
      <c r="C3175" s="19"/>
      <c r="D3175" s="19"/>
      <c r="E3175" s="19"/>
      <c r="F3175" s="20"/>
      <c r="G3175" s="19"/>
      <c r="H3175" s="19"/>
      <c r="I3175" s="19"/>
      <c r="J3175" s="21"/>
      <c r="K3175" s="19"/>
    </row>
    <row r="3176" spans="3:11" x14ac:dyDescent="0.2">
      <c r="C3176" s="19"/>
      <c r="D3176" s="19"/>
      <c r="E3176" s="19"/>
      <c r="F3176" s="20"/>
      <c r="G3176" s="19"/>
      <c r="H3176" s="19"/>
      <c r="I3176" s="19"/>
      <c r="J3176" s="21"/>
      <c r="K3176" s="19"/>
    </row>
    <row r="3177" spans="3:11" x14ac:dyDescent="0.2">
      <c r="C3177" s="19"/>
      <c r="D3177" s="19"/>
      <c r="E3177" s="19"/>
      <c r="F3177" s="20"/>
      <c r="G3177" s="19"/>
      <c r="H3177" s="19"/>
      <c r="I3177" s="19"/>
      <c r="J3177" s="21"/>
      <c r="K3177" s="19"/>
    </row>
    <row r="3178" spans="3:11" x14ac:dyDescent="0.2">
      <c r="C3178" s="19"/>
      <c r="D3178" s="19"/>
      <c r="E3178" s="19"/>
      <c r="F3178" s="20"/>
      <c r="G3178" s="19"/>
      <c r="H3178" s="19"/>
      <c r="I3178" s="19"/>
      <c r="J3178" s="21"/>
      <c r="K3178" s="19"/>
    </row>
    <row r="3179" spans="3:11" x14ac:dyDescent="0.2">
      <c r="C3179" s="19"/>
      <c r="D3179" s="19"/>
      <c r="E3179" s="19"/>
      <c r="F3179" s="20"/>
      <c r="G3179" s="19"/>
      <c r="H3179" s="19"/>
      <c r="I3179" s="19"/>
      <c r="J3179" s="21"/>
      <c r="K3179" s="19"/>
    </row>
    <row r="3180" spans="3:11" x14ac:dyDescent="0.2">
      <c r="C3180" s="19"/>
      <c r="D3180" s="19"/>
      <c r="E3180" s="19"/>
      <c r="F3180" s="20"/>
      <c r="G3180" s="19"/>
      <c r="H3180" s="19"/>
      <c r="I3180" s="19"/>
      <c r="J3180" s="21"/>
      <c r="K3180" s="19"/>
    </row>
    <row r="3181" spans="3:11" x14ac:dyDescent="0.2">
      <c r="C3181" s="19"/>
      <c r="D3181" s="19"/>
      <c r="E3181" s="19"/>
      <c r="F3181" s="20"/>
      <c r="G3181" s="19"/>
      <c r="H3181" s="19"/>
      <c r="I3181" s="19"/>
      <c r="J3181" s="21"/>
      <c r="K3181" s="19"/>
    </row>
    <row r="3182" spans="3:11" x14ac:dyDescent="0.2">
      <c r="C3182" s="19"/>
      <c r="D3182" s="19"/>
      <c r="E3182" s="19"/>
      <c r="F3182" s="20"/>
      <c r="G3182" s="19"/>
      <c r="H3182" s="19"/>
      <c r="I3182" s="19"/>
      <c r="J3182" s="21"/>
      <c r="K3182" s="19"/>
    </row>
    <row r="3183" spans="3:11" x14ac:dyDescent="0.2">
      <c r="C3183" s="19"/>
      <c r="D3183" s="19"/>
      <c r="E3183" s="19"/>
      <c r="F3183" s="20"/>
      <c r="G3183" s="19"/>
      <c r="H3183" s="19"/>
      <c r="I3183" s="19"/>
      <c r="J3183" s="21"/>
      <c r="K3183" s="19"/>
    </row>
    <row r="3184" spans="3:11" x14ac:dyDescent="0.2">
      <c r="C3184" s="19"/>
      <c r="D3184" s="19"/>
      <c r="E3184" s="19"/>
      <c r="F3184" s="20"/>
      <c r="G3184" s="19"/>
      <c r="H3184" s="19"/>
      <c r="I3184" s="19"/>
      <c r="J3184" s="21"/>
      <c r="K3184" s="19"/>
    </row>
    <row r="3185" spans="3:11" x14ac:dyDescent="0.2">
      <c r="C3185" s="19"/>
      <c r="D3185" s="19"/>
      <c r="E3185" s="19"/>
      <c r="F3185" s="20"/>
      <c r="G3185" s="19"/>
      <c r="H3185" s="19"/>
      <c r="I3185" s="19"/>
      <c r="J3185" s="21"/>
      <c r="K3185" s="19"/>
    </row>
    <row r="3186" spans="3:11" x14ac:dyDescent="0.2">
      <c r="C3186" s="19"/>
      <c r="D3186" s="19"/>
      <c r="E3186" s="19"/>
      <c r="F3186" s="20"/>
      <c r="G3186" s="19"/>
      <c r="H3186" s="19"/>
      <c r="I3186" s="19"/>
      <c r="J3186" s="21"/>
      <c r="K3186" s="19"/>
    </row>
    <row r="3187" spans="3:11" x14ac:dyDescent="0.2">
      <c r="C3187" s="19"/>
      <c r="D3187" s="19"/>
      <c r="E3187" s="19"/>
      <c r="F3187" s="20"/>
      <c r="G3187" s="19"/>
      <c r="H3187" s="19"/>
      <c r="I3187" s="19"/>
      <c r="J3187" s="21"/>
      <c r="K3187" s="19"/>
    </row>
    <row r="3188" spans="3:11" x14ac:dyDescent="0.2">
      <c r="C3188" s="19"/>
      <c r="D3188" s="19"/>
      <c r="E3188" s="19"/>
      <c r="F3188" s="20"/>
      <c r="G3188" s="19"/>
      <c r="H3188" s="19"/>
      <c r="I3188" s="19"/>
      <c r="J3188" s="21"/>
      <c r="K3188" s="19"/>
    </row>
    <row r="3189" spans="3:11" x14ac:dyDescent="0.2">
      <c r="C3189" s="19"/>
      <c r="D3189" s="19"/>
      <c r="E3189" s="19"/>
      <c r="F3189" s="20"/>
      <c r="G3189" s="19"/>
      <c r="H3189" s="19"/>
      <c r="I3189" s="19"/>
      <c r="J3189" s="21"/>
      <c r="K3189" s="19"/>
    </row>
    <row r="3190" spans="3:11" x14ac:dyDescent="0.2">
      <c r="C3190" s="19"/>
      <c r="D3190" s="19"/>
      <c r="E3190" s="19"/>
      <c r="F3190" s="20"/>
      <c r="G3190" s="19"/>
      <c r="H3190" s="19"/>
      <c r="I3190" s="19"/>
      <c r="J3190" s="21"/>
      <c r="K3190" s="19"/>
    </row>
    <row r="3191" spans="3:11" x14ac:dyDescent="0.2">
      <c r="C3191" s="19"/>
      <c r="D3191" s="19"/>
      <c r="E3191" s="19"/>
      <c r="F3191" s="20"/>
      <c r="G3191" s="19"/>
      <c r="H3191" s="19"/>
      <c r="I3191" s="19"/>
      <c r="J3191" s="21"/>
      <c r="K3191" s="19"/>
    </row>
    <row r="3192" spans="3:11" x14ac:dyDescent="0.2">
      <c r="C3192" s="19"/>
      <c r="D3192" s="19"/>
      <c r="E3192" s="19"/>
      <c r="F3192" s="20"/>
      <c r="G3192" s="19"/>
      <c r="H3192" s="19"/>
      <c r="I3192" s="19"/>
      <c r="J3192" s="21"/>
      <c r="K3192" s="19"/>
    </row>
    <row r="3193" spans="3:11" x14ac:dyDescent="0.2">
      <c r="C3193" s="19"/>
      <c r="D3193" s="19"/>
      <c r="E3193" s="19"/>
      <c r="F3193" s="20"/>
      <c r="G3193" s="19"/>
      <c r="H3193" s="19"/>
      <c r="I3193" s="19"/>
      <c r="J3193" s="21"/>
      <c r="K3193" s="19"/>
    </row>
    <row r="3194" spans="3:11" x14ac:dyDescent="0.2">
      <c r="C3194" s="19"/>
      <c r="D3194" s="19"/>
      <c r="E3194" s="19"/>
      <c r="F3194" s="20"/>
      <c r="G3194" s="19"/>
      <c r="H3194" s="19"/>
      <c r="I3194" s="19"/>
      <c r="J3194" s="21"/>
      <c r="K3194" s="19"/>
    </row>
    <row r="3195" spans="3:11" x14ac:dyDescent="0.2">
      <c r="C3195" s="19"/>
      <c r="D3195" s="19"/>
      <c r="E3195" s="19"/>
      <c r="F3195" s="20"/>
      <c r="G3195" s="19"/>
      <c r="H3195" s="19"/>
      <c r="I3195" s="19"/>
      <c r="J3195" s="21"/>
      <c r="K3195" s="19"/>
    </row>
    <row r="3196" spans="3:11" x14ac:dyDescent="0.2">
      <c r="C3196" s="19"/>
      <c r="D3196" s="19"/>
      <c r="E3196" s="19"/>
      <c r="F3196" s="20"/>
      <c r="G3196" s="19"/>
      <c r="H3196" s="19"/>
      <c r="I3196" s="19"/>
      <c r="J3196" s="21"/>
      <c r="K3196" s="19"/>
    </row>
    <row r="3197" spans="3:11" x14ac:dyDescent="0.2">
      <c r="C3197" s="19"/>
      <c r="D3197" s="19"/>
      <c r="E3197" s="19"/>
      <c r="F3197" s="20"/>
      <c r="G3197" s="19"/>
      <c r="H3197" s="19"/>
      <c r="I3197" s="19"/>
      <c r="J3197" s="21"/>
      <c r="K3197" s="19"/>
    </row>
    <row r="3198" spans="3:11" x14ac:dyDescent="0.2">
      <c r="C3198" s="19"/>
      <c r="D3198" s="19"/>
      <c r="E3198" s="19"/>
      <c r="F3198" s="20"/>
      <c r="G3198" s="19"/>
      <c r="H3198" s="19"/>
      <c r="I3198" s="19"/>
      <c r="J3198" s="21"/>
      <c r="K3198" s="19"/>
    </row>
    <row r="3199" spans="3:11" x14ac:dyDescent="0.2">
      <c r="C3199" s="19"/>
      <c r="D3199" s="19"/>
      <c r="E3199" s="19"/>
      <c r="F3199" s="20"/>
      <c r="G3199" s="19"/>
      <c r="H3199" s="19"/>
      <c r="I3199" s="19"/>
      <c r="J3199" s="21"/>
      <c r="K3199" s="19"/>
    </row>
    <row r="3200" spans="3:11" x14ac:dyDescent="0.2">
      <c r="C3200" s="19"/>
      <c r="D3200" s="19"/>
      <c r="E3200" s="19"/>
      <c r="F3200" s="20"/>
      <c r="G3200" s="19"/>
      <c r="H3200" s="19"/>
      <c r="I3200" s="19"/>
      <c r="J3200" s="21"/>
      <c r="K3200" s="19"/>
    </row>
    <row r="3201" spans="3:11" x14ac:dyDescent="0.2">
      <c r="C3201" s="19"/>
      <c r="D3201" s="19"/>
      <c r="E3201" s="19"/>
      <c r="F3201" s="20"/>
      <c r="G3201" s="19"/>
      <c r="H3201" s="19"/>
      <c r="I3201" s="19"/>
      <c r="J3201" s="21"/>
      <c r="K3201" s="19"/>
    </row>
    <row r="3202" spans="3:11" x14ac:dyDescent="0.2">
      <c r="C3202" s="19"/>
      <c r="D3202" s="19"/>
      <c r="E3202" s="19"/>
      <c r="F3202" s="20"/>
      <c r="G3202" s="19"/>
      <c r="H3202" s="19"/>
      <c r="I3202" s="19"/>
      <c r="J3202" s="21"/>
      <c r="K3202" s="19"/>
    </row>
    <row r="3203" spans="3:11" x14ac:dyDescent="0.2">
      <c r="C3203" s="19"/>
      <c r="D3203" s="19"/>
      <c r="E3203" s="19"/>
      <c r="F3203" s="20"/>
      <c r="G3203" s="19"/>
      <c r="H3203" s="19"/>
      <c r="I3203" s="19"/>
      <c r="J3203" s="21"/>
      <c r="K3203" s="19"/>
    </row>
    <row r="3204" spans="3:11" x14ac:dyDescent="0.2">
      <c r="C3204" s="19"/>
      <c r="D3204" s="19"/>
      <c r="E3204" s="19"/>
      <c r="F3204" s="20"/>
      <c r="G3204" s="19"/>
      <c r="H3204" s="19"/>
      <c r="I3204" s="19"/>
      <c r="J3204" s="21"/>
      <c r="K3204" s="19"/>
    </row>
    <row r="3205" spans="3:11" x14ac:dyDescent="0.2">
      <c r="C3205" s="19"/>
      <c r="D3205" s="19"/>
      <c r="E3205" s="19"/>
      <c r="F3205" s="20"/>
      <c r="G3205" s="19"/>
      <c r="H3205" s="19"/>
      <c r="I3205" s="19"/>
      <c r="J3205" s="21"/>
      <c r="K3205" s="19"/>
    </row>
    <row r="3206" spans="3:11" x14ac:dyDescent="0.2">
      <c r="C3206" s="19"/>
      <c r="D3206" s="19"/>
      <c r="E3206" s="19"/>
      <c r="F3206" s="20"/>
      <c r="G3206" s="19"/>
      <c r="H3206" s="19"/>
      <c r="I3206" s="19"/>
      <c r="J3206" s="21"/>
      <c r="K3206" s="19"/>
    </row>
    <row r="3207" spans="3:11" x14ac:dyDescent="0.2">
      <c r="C3207" s="19"/>
      <c r="D3207" s="19"/>
      <c r="E3207" s="19"/>
      <c r="F3207" s="20"/>
      <c r="G3207" s="19"/>
      <c r="H3207" s="19"/>
      <c r="I3207" s="19"/>
      <c r="J3207" s="21"/>
      <c r="K3207" s="19"/>
    </row>
    <row r="3208" spans="3:11" x14ac:dyDescent="0.2">
      <c r="C3208" s="19"/>
      <c r="D3208" s="19"/>
      <c r="E3208" s="19"/>
      <c r="F3208" s="20"/>
      <c r="G3208" s="19"/>
      <c r="H3208" s="19"/>
      <c r="I3208" s="19"/>
      <c r="J3208" s="21"/>
      <c r="K3208" s="19"/>
    </row>
    <row r="3209" spans="3:11" x14ac:dyDescent="0.2">
      <c r="C3209" s="19"/>
      <c r="D3209" s="19"/>
      <c r="E3209" s="19"/>
      <c r="F3209" s="20"/>
      <c r="G3209" s="19"/>
      <c r="H3209" s="19"/>
      <c r="I3209" s="19"/>
      <c r="J3209" s="21"/>
      <c r="K3209" s="19"/>
    </row>
    <row r="3210" spans="3:11" x14ac:dyDescent="0.2">
      <c r="C3210" s="19"/>
      <c r="D3210" s="19"/>
      <c r="E3210" s="19"/>
      <c r="F3210" s="20"/>
      <c r="G3210" s="19"/>
      <c r="H3210" s="19"/>
      <c r="I3210" s="19"/>
      <c r="J3210" s="21"/>
      <c r="K3210" s="19"/>
    </row>
    <row r="3211" spans="3:11" x14ac:dyDescent="0.2">
      <c r="C3211" s="19"/>
      <c r="D3211" s="19"/>
      <c r="E3211" s="19"/>
      <c r="F3211" s="20"/>
      <c r="G3211" s="19"/>
      <c r="H3211" s="19"/>
      <c r="I3211" s="19"/>
      <c r="J3211" s="21"/>
      <c r="K3211" s="19"/>
    </row>
    <row r="3212" spans="3:11" x14ac:dyDescent="0.2">
      <c r="C3212" s="19"/>
      <c r="D3212" s="19"/>
      <c r="E3212" s="19"/>
      <c r="F3212" s="20"/>
      <c r="G3212" s="19"/>
      <c r="H3212" s="19"/>
      <c r="I3212" s="19"/>
      <c r="J3212" s="21"/>
      <c r="K3212" s="19"/>
    </row>
    <row r="3213" spans="3:11" x14ac:dyDescent="0.2">
      <c r="C3213" s="19"/>
      <c r="D3213" s="19"/>
      <c r="E3213" s="19"/>
      <c r="F3213" s="20"/>
      <c r="G3213" s="19"/>
      <c r="H3213" s="19"/>
      <c r="I3213" s="19"/>
      <c r="J3213" s="21"/>
      <c r="K3213" s="19"/>
    </row>
    <row r="3214" spans="3:11" x14ac:dyDescent="0.2">
      <c r="C3214" s="19"/>
      <c r="D3214" s="19"/>
      <c r="E3214" s="19"/>
      <c r="F3214" s="20"/>
      <c r="G3214" s="19"/>
      <c r="H3214" s="19"/>
      <c r="I3214" s="19"/>
      <c r="J3214" s="21"/>
      <c r="K3214" s="19"/>
    </row>
    <row r="3215" spans="3:11" x14ac:dyDescent="0.2">
      <c r="C3215" s="19"/>
      <c r="D3215" s="19"/>
      <c r="E3215" s="19"/>
      <c r="F3215" s="20"/>
      <c r="G3215" s="19"/>
      <c r="H3215" s="19"/>
      <c r="I3215" s="19"/>
      <c r="J3215" s="21"/>
      <c r="K3215" s="19"/>
    </row>
    <row r="3216" spans="3:11" x14ac:dyDescent="0.2">
      <c r="C3216" s="19"/>
      <c r="D3216" s="19"/>
      <c r="E3216" s="19"/>
      <c r="F3216" s="20"/>
      <c r="G3216" s="19"/>
      <c r="H3216" s="19"/>
      <c r="I3216" s="19"/>
      <c r="J3216" s="21"/>
      <c r="K3216" s="19"/>
    </row>
    <row r="3217" spans="3:11" x14ac:dyDescent="0.2">
      <c r="C3217" s="19"/>
      <c r="D3217" s="19"/>
      <c r="E3217" s="19"/>
      <c r="F3217" s="20"/>
      <c r="G3217" s="19"/>
      <c r="H3217" s="19"/>
      <c r="I3217" s="19"/>
      <c r="J3217" s="21"/>
      <c r="K3217" s="19"/>
    </row>
    <row r="3218" spans="3:11" x14ac:dyDescent="0.2">
      <c r="C3218" s="19"/>
      <c r="D3218" s="19"/>
      <c r="E3218" s="19"/>
      <c r="F3218" s="20"/>
      <c r="G3218" s="19"/>
      <c r="H3218" s="19"/>
      <c r="I3218" s="19"/>
      <c r="J3218" s="21"/>
      <c r="K3218" s="19"/>
    </row>
    <row r="3219" spans="3:11" x14ac:dyDescent="0.2">
      <c r="C3219" s="19"/>
      <c r="D3219" s="19"/>
      <c r="E3219" s="19"/>
      <c r="F3219" s="20"/>
      <c r="G3219" s="19"/>
      <c r="H3219" s="19"/>
      <c r="I3219" s="19"/>
      <c r="J3219" s="21"/>
      <c r="K3219" s="19"/>
    </row>
    <row r="3220" spans="3:11" x14ac:dyDescent="0.2">
      <c r="C3220" s="19"/>
      <c r="D3220" s="19"/>
      <c r="E3220" s="19"/>
      <c r="F3220" s="20"/>
      <c r="G3220" s="19"/>
      <c r="H3220" s="19"/>
      <c r="I3220" s="19"/>
      <c r="J3220" s="21"/>
      <c r="K3220" s="19"/>
    </row>
    <row r="3221" spans="3:11" x14ac:dyDescent="0.2">
      <c r="C3221" s="19"/>
      <c r="D3221" s="19"/>
      <c r="E3221" s="19"/>
      <c r="F3221" s="20"/>
      <c r="G3221" s="19"/>
      <c r="H3221" s="19"/>
      <c r="I3221" s="19"/>
      <c r="J3221" s="21"/>
      <c r="K3221" s="19"/>
    </row>
    <row r="3222" spans="3:11" x14ac:dyDescent="0.2">
      <c r="C3222" s="19"/>
      <c r="D3222" s="19"/>
      <c r="E3222" s="19"/>
      <c r="F3222" s="20"/>
      <c r="G3222" s="19"/>
      <c r="H3222" s="19"/>
      <c r="I3222" s="19"/>
      <c r="J3222" s="21"/>
      <c r="K3222" s="19"/>
    </row>
    <row r="3223" spans="3:11" x14ac:dyDescent="0.2">
      <c r="C3223" s="19"/>
      <c r="D3223" s="19"/>
      <c r="E3223" s="19"/>
      <c r="F3223" s="20"/>
      <c r="G3223" s="19"/>
      <c r="H3223" s="19"/>
      <c r="I3223" s="19"/>
      <c r="J3223" s="21"/>
      <c r="K3223" s="19"/>
    </row>
    <row r="3224" spans="3:11" x14ac:dyDescent="0.2">
      <c r="C3224" s="19"/>
      <c r="D3224" s="19"/>
      <c r="E3224" s="19"/>
      <c r="F3224" s="20"/>
      <c r="G3224" s="19"/>
      <c r="H3224" s="19"/>
      <c r="I3224" s="19"/>
      <c r="J3224" s="21"/>
      <c r="K3224" s="19"/>
    </row>
    <row r="3225" spans="3:11" x14ac:dyDescent="0.2">
      <c r="C3225" s="19"/>
      <c r="D3225" s="19"/>
      <c r="E3225" s="19"/>
      <c r="F3225" s="20"/>
      <c r="G3225" s="19"/>
      <c r="H3225" s="19"/>
      <c r="I3225" s="19"/>
      <c r="J3225" s="21"/>
      <c r="K3225" s="19"/>
    </row>
    <row r="3226" spans="3:11" x14ac:dyDescent="0.2">
      <c r="C3226" s="19"/>
      <c r="D3226" s="19"/>
      <c r="E3226" s="19"/>
      <c r="F3226" s="20"/>
      <c r="G3226" s="19"/>
      <c r="H3226" s="19"/>
      <c r="I3226" s="19"/>
      <c r="J3226" s="21"/>
      <c r="K3226" s="19"/>
    </row>
    <row r="3227" spans="3:11" x14ac:dyDescent="0.2">
      <c r="C3227" s="19"/>
      <c r="D3227" s="19"/>
      <c r="E3227" s="19"/>
      <c r="F3227" s="20"/>
      <c r="G3227" s="19"/>
      <c r="H3227" s="19"/>
      <c r="I3227" s="19"/>
      <c r="J3227" s="21"/>
      <c r="K3227" s="19"/>
    </row>
    <row r="3228" spans="3:11" x14ac:dyDescent="0.2">
      <c r="C3228" s="19"/>
      <c r="D3228" s="19"/>
      <c r="E3228" s="19"/>
      <c r="F3228" s="20"/>
      <c r="G3228" s="19"/>
      <c r="H3228" s="19"/>
      <c r="I3228" s="19"/>
      <c r="J3228" s="21"/>
      <c r="K3228" s="19"/>
    </row>
    <row r="3229" spans="3:11" x14ac:dyDescent="0.2">
      <c r="C3229" s="19"/>
      <c r="D3229" s="19"/>
      <c r="E3229" s="19"/>
      <c r="F3229" s="20"/>
      <c r="G3229" s="19"/>
      <c r="H3229" s="19"/>
      <c r="I3229" s="19"/>
      <c r="J3229" s="21"/>
      <c r="K3229" s="19"/>
    </row>
    <row r="3230" spans="3:11" x14ac:dyDescent="0.2">
      <c r="C3230" s="19"/>
      <c r="D3230" s="19"/>
      <c r="E3230" s="19"/>
      <c r="F3230" s="20"/>
      <c r="G3230" s="19"/>
      <c r="H3230" s="19"/>
      <c r="I3230" s="19"/>
      <c r="J3230" s="21"/>
      <c r="K3230" s="19"/>
    </row>
    <row r="3231" spans="3:11" x14ac:dyDescent="0.2">
      <c r="C3231" s="19"/>
      <c r="D3231" s="19"/>
      <c r="E3231" s="19"/>
      <c r="F3231" s="20"/>
      <c r="G3231" s="19"/>
      <c r="H3231" s="19"/>
      <c r="I3231" s="19"/>
      <c r="J3231" s="21"/>
      <c r="K3231" s="19"/>
    </row>
    <row r="3232" spans="3:11" x14ac:dyDescent="0.2">
      <c r="C3232" s="19"/>
      <c r="D3232" s="19"/>
      <c r="E3232" s="19"/>
      <c r="F3232" s="20"/>
      <c r="G3232" s="19"/>
      <c r="H3232" s="19"/>
      <c r="I3232" s="19"/>
      <c r="J3232" s="21"/>
      <c r="K3232" s="19"/>
    </row>
    <row r="3233" spans="3:11" x14ac:dyDescent="0.2">
      <c r="C3233" s="19"/>
      <c r="D3233" s="19"/>
      <c r="E3233" s="19"/>
      <c r="F3233" s="20"/>
      <c r="G3233" s="19"/>
      <c r="H3233" s="19"/>
      <c r="I3233" s="19"/>
      <c r="J3233" s="21"/>
      <c r="K3233" s="19"/>
    </row>
    <row r="3234" spans="3:11" x14ac:dyDescent="0.2">
      <c r="C3234" s="19"/>
      <c r="D3234" s="19"/>
      <c r="E3234" s="19"/>
      <c r="F3234" s="20"/>
      <c r="G3234" s="19"/>
      <c r="H3234" s="19"/>
      <c r="I3234" s="19"/>
      <c r="J3234" s="21"/>
      <c r="K3234" s="19"/>
    </row>
    <row r="3235" spans="3:11" x14ac:dyDescent="0.2">
      <c r="C3235" s="19"/>
      <c r="D3235" s="19"/>
      <c r="E3235" s="19"/>
      <c r="F3235" s="20"/>
      <c r="G3235" s="19"/>
      <c r="H3235" s="19"/>
      <c r="I3235" s="19"/>
      <c r="J3235" s="21"/>
      <c r="K3235" s="19"/>
    </row>
    <row r="3236" spans="3:11" x14ac:dyDescent="0.2">
      <c r="C3236" s="19"/>
      <c r="D3236" s="19"/>
      <c r="E3236" s="19"/>
      <c r="F3236" s="20"/>
      <c r="G3236" s="19"/>
      <c r="H3236" s="19"/>
      <c r="I3236" s="19"/>
      <c r="J3236" s="21"/>
      <c r="K3236" s="19"/>
    </row>
    <row r="3237" spans="3:11" x14ac:dyDescent="0.2">
      <c r="C3237" s="19"/>
      <c r="D3237" s="19"/>
      <c r="E3237" s="19"/>
      <c r="F3237" s="20"/>
      <c r="G3237" s="19"/>
      <c r="H3237" s="19"/>
      <c r="I3237" s="19"/>
      <c r="J3237" s="21"/>
      <c r="K3237" s="19"/>
    </row>
    <row r="3238" spans="3:11" x14ac:dyDescent="0.2">
      <c r="C3238" s="19"/>
      <c r="D3238" s="19"/>
      <c r="E3238" s="19"/>
      <c r="F3238" s="20"/>
      <c r="G3238" s="19"/>
      <c r="H3238" s="19"/>
      <c r="I3238" s="19"/>
      <c r="J3238" s="21"/>
      <c r="K3238" s="19"/>
    </row>
    <row r="3239" spans="3:11" x14ac:dyDescent="0.2">
      <c r="C3239" s="19"/>
      <c r="D3239" s="19"/>
      <c r="E3239" s="19"/>
      <c r="F3239" s="20"/>
      <c r="G3239" s="19"/>
      <c r="H3239" s="19"/>
      <c r="I3239" s="19"/>
      <c r="J3239" s="21"/>
      <c r="K3239" s="19"/>
    </row>
    <row r="3240" spans="3:11" x14ac:dyDescent="0.2">
      <c r="C3240" s="19"/>
      <c r="D3240" s="19"/>
      <c r="E3240" s="19"/>
      <c r="F3240" s="20"/>
      <c r="G3240" s="19"/>
      <c r="H3240" s="19"/>
      <c r="I3240" s="19"/>
      <c r="J3240" s="21"/>
      <c r="K3240" s="19"/>
    </row>
    <row r="3241" spans="3:11" x14ac:dyDescent="0.2">
      <c r="C3241" s="19"/>
      <c r="D3241" s="19"/>
      <c r="E3241" s="19"/>
      <c r="F3241" s="20"/>
      <c r="G3241" s="19"/>
      <c r="H3241" s="19"/>
      <c r="I3241" s="19"/>
      <c r="J3241" s="21"/>
      <c r="K3241" s="19"/>
    </row>
    <row r="3242" spans="3:11" x14ac:dyDescent="0.2">
      <c r="C3242" s="19"/>
      <c r="D3242" s="19"/>
      <c r="E3242" s="19"/>
      <c r="F3242" s="20"/>
      <c r="G3242" s="19"/>
      <c r="H3242" s="19"/>
      <c r="I3242" s="19"/>
      <c r="J3242" s="21"/>
      <c r="K3242" s="19"/>
    </row>
    <row r="3243" spans="3:11" x14ac:dyDescent="0.2">
      <c r="C3243" s="19"/>
      <c r="D3243" s="19"/>
      <c r="E3243" s="19"/>
      <c r="F3243" s="20"/>
      <c r="G3243" s="19"/>
      <c r="H3243" s="19"/>
      <c r="I3243" s="19"/>
      <c r="J3243" s="21"/>
      <c r="K3243" s="19"/>
    </row>
    <row r="3244" spans="3:11" x14ac:dyDescent="0.2">
      <c r="C3244" s="19"/>
      <c r="D3244" s="19"/>
      <c r="E3244" s="19"/>
      <c r="F3244" s="20"/>
      <c r="G3244" s="19"/>
      <c r="H3244" s="19"/>
      <c r="I3244" s="19"/>
      <c r="J3244" s="21"/>
      <c r="K3244" s="19"/>
    </row>
    <row r="3245" spans="3:11" x14ac:dyDescent="0.2">
      <c r="C3245" s="19"/>
      <c r="D3245" s="19"/>
      <c r="E3245" s="19"/>
      <c r="F3245" s="20"/>
      <c r="G3245" s="19"/>
      <c r="H3245" s="19"/>
      <c r="I3245" s="19"/>
      <c r="J3245" s="21"/>
      <c r="K3245" s="19"/>
    </row>
    <row r="3246" spans="3:11" x14ac:dyDescent="0.2">
      <c r="C3246" s="19"/>
      <c r="D3246" s="19"/>
      <c r="E3246" s="19"/>
      <c r="F3246" s="20"/>
      <c r="G3246" s="19"/>
      <c r="H3246" s="19"/>
      <c r="I3246" s="19"/>
      <c r="J3246" s="21"/>
      <c r="K3246" s="19"/>
    </row>
    <row r="3247" spans="3:11" x14ac:dyDescent="0.2">
      <c r="C3247" s="19"/>
      <c r="D3247" s="19"/>
      <c r="E3247" s="19"/>
      <c r="F3247" s="20"/>
      <c r="G3247" s="19"/>
      <c r="H3247" s="19"/>
      <c r="I3247" s="19"/>
      <c r="J3247" s="21"/>
      <c r="K3247" s="19"/>
    </row>
    <row r="3248" spans="3:11" x14ac:dyDescent="0.2">
      <c r="C3248" s="19"/>
      <c r="D3248" s="19"/>
      <c r="E3248" s="19"/>
      <c r="F3248" s="20"/>
      <c r="G3248" s="19"/>
      <c r="H3248" s="19"/>
      <c r="I3248" s="19"/>
      <c r="J3248" s="21"/>
      <c r="K3248" s="19"/>
    </row>
    <row r="3249" spans="3:11" x14ac:dyDescent="0.2">
      <c r="C3249" s="19"/>
      <c r="D3249" s="19"/>
      <c r="E3249" s="19"/>
      <c r="F3249" s="20"/>
      <c r="G3249" s="19"/>
      <c r="H3249" s="19"/>
      <c r="I3249" s="19"/>
      <c r="J3249" s="21"/>
      <c r="K3249" s="19"/>
    </row>
    <row r="3250" spans="3:11" x14ac:dyDescent="0.2">
      <c r="C3250" s="19"/>
      <c r="D3250" s="19"/>
      <c r="E3250" s="19"/>
      <c r="F3250" s="20"/>
      <c r="G3250" s="19"/>
      <c r="H3250" s="19"/>
      <c r="I3250" s="19"/>
      <c r="J3250" s="21"/>
      <c r="K3250" s="19"/>
    </row>
    <row r="3251" spans="3:11" x14ac:dyDescent="0.2">
      <c r="C3251" s="19"/>
      <c r="D3251" s="19"/>
      <c r="E3251" s="19"/>
      <c r="F3251" s="20"/>
      <c r="G3251" s="19"/>
      <c r="H3251" s="19"/>
      <c r="I3251" s="19"/>
      <c r="J3251" s="21"/>
      <c r="K3251" s="19"/>
    </row>
    <row r="3252" spans="3:11" x14ac:dyDescent="0.2">
      <c r="C3252" s="19"/>
      <c r="D3252" s="19"/>
      <c r="E3252" s="19"/>
      <c r="F3252" s="20"/>
      <c r="G3252" s="19"/>
      <c r="H3252" s="19"/>
      <c r="I3252" s="19"/>
      <c r="J3252" s="21"/>
      <c r="K3252" s="19"/>
    </row>
    <row r="3253" spans="3:11" x14ac:dyDescent="0.2">
      <c r="C3253" s="19"/>
      <c r="D3253" s="19"/>
      <c r="E3253" s="19"/>
      <c r="F3253" s="20"/>
      <c r="G3253" s="19"/>
      <c r="H3253" s="19"/>
      <c r="I3253" s="19"/>
      <c r="J3253" s="21"/>
      <c r="K3253" s="19"/>
    </row>
    <row r="3254" spans="3:11" x14ac:dyDescent="0.2">
      <c r="C3254" s="19"/>
      <c r="D3254" s="19"/>
      <c r="E3254" s="19"/>
      <c r="F3254" s="20"/>
      <c r="G3254" s="19"/>
      <c r="H3254" s="19"/>
      <c r="I3254" s="19"/>
      <c r="J3254" s="21"/>
      <c r="K3254" s="19"/>
    </row>
    <row r="3255" spans="3:11" x14ac:dyDescent="0.2">
      <c r="C3255" s="19"/>
      <c r="D3255" s="19"/>
      <c r="E3255" s="19"/>
      <c r="F3255" s="20"/>
      <c r="G3255" s="19"/>
      <c r="H3255" s="19"/>
      <c r="I3255" s="19"/>
      <c r="J3255" s="21"/>
      <c r="K3255" s="19"/>
    </row>
    <row r="3256" spans="3:11" x14ac:dyDescent="0.2">
      <c r="C3256" s="19"/>
      <c r="D3256" s="19"/>
      <c r="E3256" s="19"/>
      <c r="F3256" s="20"/>
      <c r="G3256" s="19"/>
      <c r="H3256" s="19"/>
      <c r="I3256" s="19"/>
      <c r="J3256" s="21"/>
      <c r="K3256" s="19"/>
    </row>
    <row r="3257" spans="3:11" x14ac:dyDescent="0.2">
      <c r="C3257" s="19"/>
      <c r="D3257" s="19"/>
      <c r="E3257" s="19"/>
      <c r="F3257" s="20"/>
      <c r="G3257" s="19"/>
      <c r="H3257" s="19"/>
      <c r="I3257" s="19"/>
      <c r="J3257" s="21"/>
      <c r="K3257" s="19"/>
    </row>
    <row r="3258" spans="3:11" x14ac:dyDescent="0.2">
      <c r="C3258" s="19"/>
      <c r="D3258" s="19"/>
      <c r="E3258" s="19"/>
      <c r="F3258" s="20"/>
      <c r="G3258" s="19"/>
      <c r="H3258" s="19"/>
      <c r="I3258" s="19"/>
      <c r="J3258" s="21"/>
      <c r="K3258" s="19"/>
    </row>
    <row r="3259" spans="3:11" x14ac:dyDescent="0.2">
      <c r="C3259" s="19"/>
      <c r="D3259" s="19"/>
      <c r="E3259" s="19"/>
      <c r="F3259" s="20"/>
      <c r="G3259" s="19"/>
      <c r="H3259" s="19"/>
      <c r="I3259" s="19"/>
      <c r="J3259" s="21"/>
      <c r="K3259" s="19"/>
    </row>
    <row r="3260" spans="3:11" x14ac:dyDescent="0.2">
      <c r="C3260" s="19"/>
      <c r="D3260" s="19"/>
      <c r="E3260" s="19"/>
      <c r="F3260" s="20"/>
      <c r="G3260" s="19"/>
      <c r="H3260" s="19"/>
      <c r="I3260" s="19"/>
      <c r="J3260" s="21"/>
      <c r="K3260" s="19"/>
    </row>
    <row r="3261" spans="3:11" x14ac:dyDescent="0.2">
      <c r="C3261" s="19"/>
      <c r="D3261" s="19"/>
      <c r="E3261" s="19"/>
      <c r="F3261" s="20"/>
      <c r="G3261" s="19"/>
      <c r="H3261" s="19"/>
      <c r="I3261" s="19"/>
      <c r="J3261" s="21"/>
      <c r="K3261" s="19"/>
    </row>
    <row r="3262" spans="3:11" x14ac:dyDescent="0.2">
      <c r="C3262" s="19"/>
      <c r="D3262" s="19"/>
      <c r="E3262" s="19"/>
      <c r="F3262" s="20"/>
      <c r="G3262" s="19"/>
      <c r="H3262" s="19"/>
      <c r="I3262" s="19"/>
      <c r="J3262" s="21"/>
      <c r="K3262" s="19"/>
    </row>
    <row r="3263" spans="3:11" x14ac:dyDescent="0.2">
      <c r="C3263" s="19"/>
      <c r="D3263" s="19"/>
      <c r="E3263" s="19"/>
      <c r="F3263" s="20"/>
      <c r="G3263" s="19"/>
      <c r="H3263" s="19"/>
      <c r="I3263" s="19"/>
      <c r="J3263" s="21"/>
      <c r="K3263" s="19"/>
    </row>
    <row r="3264" spans="3:11" x14ac:dyDescent="0.2">
      <c r="C3264" s="19"/>
      <c r="D3264" s="19"/>
      <c r="E3264" s="19"/>
      <c r="F3264" s="20"/>
      <c r="G3264" s="19"/>
      <c r="H3264" s="19"/>
      <c r="I3264" s="19"/>
      <c r="J3264" s="21"/>
      <c r="K3264" s="19"/>
    </row>
    <row r="3265" spans="3:11" x14ac:dyDescent="0.2">
      <c r="C3265" s="19"/>
      <c r="D3265" s="19"/>
      <c r="E3265" s="19"/>
      <c r="F3265" s="20"/>
      <c r="G3265" s="19"/>
      <c r="H3265" s="19"/>
      <c r="I3265" s="19"/>
      <c r="J3265" s="21"/>
      <c r="K3265" s="19"/>
    </row>
    <row r="3266" spans="3:11" x14ac:dyDescent="0.2">
      <c r="C3266" s="19"/>
      <c r="D3266" s="19"/>
      <c r="E3266" s="19"/>
      <c r="F3266" s="20"/>
      <c r="G3266" s="19"/>
      <c r="H3266" s="19"/>
      <c r="I3266" s="19"/>
      <c r="J3266" s="21"/>
      <c r="K3266" s="19"/>
    </row>
    <row r="3267" spans="3:11" x14ac:dyDescent="0.2">
      <c r="C3267" s="19"/>
      <c r="D3267" s="19"/>
      <c r="E3267" s="19"/>
      <c r="F3267" s="20"/>
      <c r="G3267" s="19"/>
      <c r="H3267" s="19"/>
      <c r="I3267" s="19"/>
      <c r="J3267" s="21"/>
      <c r="K3267" s="19"/>
    </row>
    <row r="3268" spans="3:11" x14ac:dyDescent="0.2">
      <c r="C3268" s="19"/>
      <c r="D3268" s="19"/>
      <c r="E3268" s="19"/>
      <c r="F3268" s="20"/>
      <c r="G3268" s="19"/>
      <c r="H3268" s="19"/>
      <c r="I3268" s="19"/>
      <c r="J3268" s="21"/>
      <c r="K3268" s="19"/>
    </row>
    <row r="3269" spans="3:11" x14ac:dyDescent="0.2">
      <c r="C3269" s="19"/>
      <c r="D3269" s="19"/>
      <c r="E3269" s="19"/>
      <c r="F3269" s="20"/>
      <c r="G3269" s="19"/>
      <c r="H3269" s="19"/>
      <c r="I3269" s="19"/>
      <c r="J3269" s="21"/>
      <c r="K3269" s="19"/>
    </row>
    <row r="3270" spans="3:11" x14ac:dyDescent="0.2">
      <c r="C3270" s="19"/>
      <c r="D3270" s="19"/>
      <c r="E3270" s="19"/>
      <c r="F3270" s="20"/>
      <c r="G3270" s="19"/>
      <c r="H3270" s="19"/>
      <c r="I3270" s="19"/>
      <c r="J3270" s="21"/>
      <c r="K3270" s="19"/>
    </row>
    <row r="3271" spans="3:11" x14ac:dyDescent="0.2">
      <c r="C3271" s="19"/>
      <c r="D3271" s="19"/>
      <c r="E3271" s="19"/>
      <c r="F3271" s="20"/>
      <c r="G3271" s="19"/>
      <c r="H3271" s="19"/>
      <c r="I3271" s="19"/>
      <c r="J3271" s="21"/>
      <c r="K3271" s="19"/>
    </row>
    <row r="3272" spans="3:11" x14ac:dyDescent="0.2">
      <c r="C3272" s="19"/>
      <c r="D3272" s="19"/>
      <c r="E3272" s="19"/>
      <c r="F3272" s="20"/>
      <c r="G3272" s="19"/>
      <c r="H3272" s="19"/>
      <c r="I3272" s="19"/>
      <c r="J3272" s="21"/>
      <c r="K3272" s="19"/>
    </row>
    <row r="3273" spans="3:11" x14ac:dyDescent="0.2">
      <c r="C3273" s="19"/>
      <c r="D3273" s="19"/>
      <c r="E3273" s="19"/>
      <c r="F3273" s="20"/>
      <c r="G3273" s="19"/>
      <c r="H3273" s="19"/>
      <c r="I3273" s="19"/>
      <c r="J3273" s="21"/>
      <c r="K3273" s="19"/>
    </row>
    <row r="3274" spans="3:11" x14ac:dyDescent="0.2">
      <c r="C3274" s="19"/>
      <c r="D3274" s="19"/>
      <c r="E3274" s="19"/>
      <c r="F3274" s="20"/>
      <c r="G3274" s="19"/>
      <c r="H3274" s="19"/>
      <c r="I3274" s="19"/>
      <c r="J3274" s="21"/>
      <c r="K3274" s="19"/>
    </row>
    <row r="3275" spans="3:11" x14ac:dyDescent="0.2">
      <c r="C3275" s="19"/>
      <c r="D3275" s="19"/>
      <c r="E3275" s="19"/>
      <c r="F3275" s="20"/>
      <c r="G3275" s="19"/>
      <c r="H3275" s="19"/>
      <c r="I3275" s="19"/>
      <c r="J3275" s="21"/>
      <c r="K3275" s="19"/>
    </row>
    <row r="3276" spans="3:11" x14ac:dyDescent="0.2">
      <c r="C3276" s="19"/>
      <c r="D3276" s="19"/>
      <c r="E3276" s="19"/>
      <c r="F3276" s="20"/>
      <c r="G3276" s="19"/>
      <c r="H3276" s="19"/>
      <c r="I3276" s="19"/>
      <c r="J3276" s="21"/>
      <c r="K3276" s="19"/>
    </row>
    <row r="3277" spans="3:11" x14ac:dyDescent="0.2">
      <c r="C3277" s="19"/>
      <c r="D3277" s="19"/>
      <c r="E3277" s="19"/>
      <c r="F3277" s="20"/>
      <c r="G3277" s="19"/>
      <c r="H3277" s="19"/>
      <c r="I3277" s="19"/>
      <c r="J3277" s="21"/>
      <c r="K3277" s="19"/>
    </row>
    <row r="3278" spans="3:11" x14ac:dyDescent="0.2">
      <c r="C3278" s="19"/>
      <c r="D3278" s="19"/>
      <c r="E3278" s="19"/>
      <c r="F3278" s="20"/>
      <c r="G3278" s="19"/>
      <c r="H3278" s="19"/>
      <c r="I3278" s="19"/>
      <c r="J3278" s="21"/>
      <c r="K3278" s="19"/>
    </row>
    <row r="3279" spans="3:11" x14ac:dyDescent="0.2">
      <c r="C3279" s="19"/>
      <c r="D3279" s="19"/>
      <c r="E3279" s="19"/>
      <c r="F3279" s="20"/>
      <c r="G3279" s="19"/>
      <c r="H3279" s="19"/>
      <c r="I3279" s="19"/>
      <c r="J3279" s="21"/>
      <c r="K3279" s="19"/>
    </row>
    <row r="3280" spans="3:11" x14ac:dyDescent="0.2">
      <c r="C3280" s="19"/>
      <c r="D3280" s="19"/>
      <c r="E3280" s="19"/>
      <c r="F3280" s="20"/>
      <c r="G3280" s="19"/>
      <c r="H3280" s="19"/>
      <c r="I3280" s="19"/>
      <c r="J3280" s="21"/>
      <c r="K3280" s="19"/>
    </row>
    <row r="3281" spans="3:11" x14ac:dyDescent="0.2">
      <c r="C3281" s="19"/>
      <c r="D3281" s="19"/>
      <c r="E3281" s="19"/>
      <c r="F3281" s="20"/>
      <c r="G3281" s="19"/>
      <c r="H3281" s="19"/>
      <c r="I3281" s="19"/>
      <c r="J3281" s="21"/>
      <c r="K3281" s="19"/>
    </row>
    <row r="3282" spans="3:11" x14ac:dyDescent="0.2">
      <c r="C3282" s="19"/>
      <c r="D3282" s="19"/>
      <c r="E3282" s="19"/>
      <c r="F3282" s="20"/>
      <c r="G3282" s="19"/>
      <c r="H3282" s="19"/>
      <c r="I3282" s="19"/>
      <c r="J3282" s="21"/>
      <c r="K3282" s="19"/>
    </row>
    <row r="3283" spans="3:11" x14ac:dyDescent="0.2">
      <c r="C3283" s="19"/>
      <c r="D3283" s="19"/>
      <c r="E3283" s="19"/>
      <c r="F3283" s="20"/>
      <c r="G3283" s="19"/>
      <c r="H3283" s="19"/>
      <c r="I3283" s="19"/>
      <c r="J3283" s="21"/>
      <c r="K3283" s="19"/>
    </row>
    <row r="3284" spans="3:11" x14ac:dyDescent="0.2">
      <c r="C3284" s="19"/>
      <c r="D3284" s="19"/>
      <c r="E3284" s="19"/>
      <c r="F3284" s="20"/>
      <c r="G3284" s="19"/>
      <c r="H3284" s="19"/>
      <c r="I3284" s="19"/>
      <c r="J3284" s="21"/>
      <c r="K3284" s="19"/>
    </row>
    <row r="3285" spans="3:11" x14ac:dyDescent="0.2">
      <c r="C3285" s="19"/>
      <c r="D3285" s="19"/>
      <c r="E3285" s="19"/>
      <c r="F3285" s="20"/>
      <c r="G3285" s="19"/>
      <c r="H3285" s="19"/>
      <c r="I3285" s="19"/>
      <c r="J3285" s="21"/>
      <c r="K3285" s="19"/>
    </row>
    <row r="3286" spans="3:11" x14ac:dyDescent="0.2">
      <c r="C3286" s="19"/>
      <c r="D3286" s="19"/>
      <c r="E3286" s="19"/>
      <c r="F3286" s="20"/>
      <c r="G3286" s="19"/>
      <c r="H3286" s="19"/>
      <c r="I3286" s="19"/>
      <c r="J3286" s="21"/>
      <c r="K3286" s="19"/>
    </row>
    <row r="3287" spans="3:11" x14ac:dyDescent="0.2">
      <c r="C3287" s="19"/>
      <c r="D3287" s="19"/>
      <c r="E3287" s="19"/>
      <c r="F3287" s="20"/>
      <c r="G3287" s="19"/>
      <c r="H3287" s="19"/>
      <c r="I3287" s="19"/>
      <c r="J3287" s="21"/>
      <c r="K3287" s="19"/>
    </row>
    <row r="3288" spans="3:11" x14ac:dyDescent="0.2">
      <c r="C3288" s="19"/>
      <c r="D3288" s="19"/>
      <c r="E3288" s="19"/>
      <c r="F3288" s="20"/>
      <c r="G3288" s="19"/>
      <c r="H3288" s="19"/>
      <c r="I3288" s="19"/>
      <c r="J3288" s="21"/>
      <c r="K3288" s="19"/>
    </row>
    <row r="3289" spans="3:11" x14ac:dyDescent="0.2">
      <c r="C3289" s="19"/>
      <c r="D3289" s="19"/>
      <c r="E3289" s="19"/>
      <c r="F3289" s="20"/>
      <c r="G3289" s="19"/>
      <c r="H3289" s="19"/>
      <c r="I3289" s="19"/>
      <c r="J3289" s="21"/>
      <c r="K3289" s="19"/>
    </row>
    <row r="3290" spans="3:11" x14ac:dyDescent="0.2">
      <c r="C3290" s="19"/>
      <c r="D3290" s="19"/>
      <c r="E3290" s="19"/>
      <c r="F3290" s="20"/>
      <c r="G3290" s="19"/>
      <c r="H3290" s="19"/>
      <c r="I3290" s="19"/>
      <c r="J3290" s="21"/>
      <c r="K3290" s="19"/>
    </row>
    <row r="3291" spans="3:11" x14ac:dyDescent="0.2">
      <c r="C3291" s="19"/>
      <c r="D3291" s="19"/>
      <c r="E3291" s="19"/>
      <c r="F3291" s="20"/>
      <c r="G3291" s="19"/>
      <c r="H3291" s="19"/>
      <c r="I3291" s="19"/>
      <c r="J3291" s="21"/>
      <c r="K3291" s="19"/>
    </row>
    <row r="3292" spans="3:11" x14ac:dyDescent="0.2">
      <c r="C3292" s="19"/>
      <c r="D3292" s="19"/>
      <c r="E3292" s="19"/>
      <c r="F3292" s="20"/>
      <c r="G3292" s="19"/>
      <c r="H3292" s="19"/>
      <c r="I3292" s="19"/>
      <c r="J3292" s="21"/>
      <c r="K3292" s="19"/>
    </row>
    <row r="3293" spans="3:11" x14ac:dyDescent="0.2">
      <c r="C3293" s="19"/>
      <c r="D3293" s="19"/>
      <c r="E3293" s="19"/>
      <c r="F3293" s="20"/>
      <c r="G3293" s="19"/>
      <c r="H3293" s="19"/>
      <c r="I3293" s="19"/>
      <c r="J3293" s="21"/>
      <c r="K3293" s="19"/>
    </row>
    <row r="3294" spans="3:11" x14ac:dyDescent="0.2">
      <c r="C3294" s="19"/>
      <c r="D3294" s="19"/>
      <c r="E3294" s="19"/>
      <c r="F3294" s="20"/>
      <c r="G3294" s="19"/>
      <c r="H3294" s="19"/>
      <c r="I3294" s="19"/>
      <c r="J3294" s="21"/>
      <c r="K3294" s="19"/>
    </row>
    <row r="3295" spans="3:11" x14ac:dyDescent="0.2">
      <c r="C3295" s="19"/>
      <c r="D3295" s="19"/>
      <c r="E3295" s="19"/>
      <c r="F3295" s="20"/>
      <c r="G3295" s="19"/>
      <c r="H3295" s="19"/>
      <c r="I3295" s="19"/>
      <c r="J3295" s="21"/>
      <c r="K3295" s="19"/>
    </row>
    <row r="3296" spans="3:11" x14ac:dyDescent="0.2">
      <c r="C3296" s="19"/>
      <c r="D3296" s="19"/>
      <c r="E3296" s="19"/>
      <c r="F3296" s="20"/>
      <c r="G3296" s="19"/>
      <c r="H3296" s="19"/>
      <c r="I3296" s="19"/>
      <c r="J3296" s="21"/>
      <c r="K3296" s="19"/>
    </row>
    <row r="3297" spans="3:11" x14ac:dyDescent="0.2">
      <c r="C3297" s="19"/>
      <c r="D3297" s="19"/>
      <c r="E3297" s="19"/>
      <c r="F3297" s="20"/>
      <c r="G3297" s="19"/>
      <c r="H3297" s="19"/>
      <c r="I3297" s="19"/>
      <c r="J3297" s="21"/>
      <c r="K3297" s="19"/>
    </row>
    <row r="3298" spans="3:11" x14ac:dyDescent="0.2">
      <c r="C3298" s="19"/>
      <c r="D3298" s="19"/>
      <c r="E3298" s="19"/>
      <c r="F3298" s="20"/>
      <c r="G3298" s="19"/>
      <c r="H3298" s="19"/>
      <c r="I3298" s="19"/>
      <c r="J3298" s="21"/>
      <c r="K3298" s="19"/>
    </row>
    <row r="3299" spans="3:11" x14ac:dyDescent="0.2">
      <c r="C3299" s="19"/>
      <c r="D3299" s="19"/>
      <c r="E3299" s="19"/>
      <c r="F3299" s="20"/>
      <c r="G3299" s="19"/>
      <c r="H3299" s="19"/>
      <c r="I3299" s="19"/>
      <c r="J3299" s="21"/>
      <c r="K3299" s="19"/>
    </row>
    <row r="3300" spans="3:11" x14ac:dyDescent="0.2">
      <c r="C3300" s="19"/>
      <c r="D3300" s="19"/>
      <c r="E3300" s="19"/>
      <c r="F3300" s="20"/>
      <c r="G3300" s="19"/>
      <c r="H3300" s="19"/>
      <c r="I3300" s="19"/>
      <c r="J3300" s="21"/>
      <c r="K3300" s="19"/>
    </row>
    <row r="3301" spans="3:11" x14ac:dyDescent="0.2">
      <c r="C3301" s="19"/>
      <c r="D3301" s="19"/>
      <c r="E3301" s="19"/>
      <c r="F3301" s="20"/>
      <c r="G3301" s="19"/>
      <c r="H3301" s="19"/>
      <c r="I3301" s="19"/>
      <c r="J3301" s="21"/>
      <c r="K3301" s="19"/>
    </row>
    <row r="3302" spans="3:11" x14ac:dyDescent="0.2">
      <c r="C3302" s="19"/>
      <c r="D3302" s="19"/>
      <c r="E3302" s="19"/>
      <c r="F3302" s="20"/>
      <c r="G3302" s="19"/>
      <c r="H3302" s="19"/>
      <c r="I3302" s="19"/>
      <c r="J3302" s="21"/>
      <c r="K3302" s="19"/>
    </row>
    <row r="3303" spans="3:11" x14ac:dyDescent="0.2">
      <c r="C3303" s="19"/>
      <c r="D3303" s="19"/>
      <c r="E3303" s="19"/>
      <c r="F3303" s="20"/>
      <c r="G3303" s="19"/>
      <c r="H3303" s="19"/>
      <c r="I3303" s="19"/>
      <c r="J3303" s="21"/>
      <c r="K3303" s="19"/>
    </row>
    <row r="3304" spans="3:11" x14ac:dyDescent="0.2">
      <c r="C3304" s="19"/>
      <c r="D3304" s="19"/>
      <c r="E3304" s="19"/>
      <c r="F3304" s="20"/>
      <c r="G3304" s="19"/>
      <c r="H3304" s="19"/>
      <c r="I3304" s="19"/>
      <c r="J3304" s="21"/>
      <c r="K3304" s="19"/>
    </row>
    <row r="3305" spans="3:11" x14ac:dyDescent="0.2">
      <c r="C3305" s="19"/>
      <c r="D3305" s="19"/>
      <c r="E3305" s="19"/>
      <c r="F3305" s="20"/>
      <c r="G3305" s="19"/>
      <c r="H3305" s="19"/>
      <c r="I3305" s="19"/>
      <c r="J3305" s="21"/>
      <c r="K3305" s="19"/>
    </row>
    <row r="3306" spans="3:11" x14ac:dyDescent="0.2">
      <c r="C3306" s="19"/>
      <c r="D3306" s="19"/>
      <c r="E3306" s="19"/>
      <c r="F3306" s="20"/>
      <c r="G3306" s="19"/>
      <c r="H3306" s="19"/>
      <c r="I3306" s="19"/>
      <c r="J3306" s="21"/>
      <c r="K3306" s="19"/>
    </row>
    <row r="3307" spans="3:11" x14ac:dyDescent="0.2">
      <c r="C3307" s="19"/>
      <c r="D3307" s="19"/>
      <c r="E3307" s="19"/>
      <c r="F3307" s="20"/>
      <c r="G3307" s="19"/>
      <c r="H3307" s="19"/>
      <c r="I3307" s="19"/>
      <c r="J3307" s="21"/>
      <c r="K3307" s="19"/>
    </row>
    <row r="3308" spans="3:11" x14ac:dyDescent="0.2">
      <c r="C3308" s="19"/>
      <c r="D3308" s="19"/>
      <c r="E3308" s="19"/>
      <c r="F3308" s="20"/>
      <c r="G3308" s="19"/>
      <c r="H3308" s="19"/>
      <c r="I3308" s="19"/>
      <c r="J3308" s="21"/>
      <c r="K3308" s="19"/>
    </row>
    <row r="3309" spans="3:11" x14ac:dyDescent="0.2">
      <c r="C3309" s="19"/>
      <c r="D3309" s="19"/>
      <c r="E3309" s="19"/>
      <c r="F3309" s="20"/>
      <c r="G3309" s="19"/>
      <c r="H3309" s="19"/>
      <c r="I3309" s="19"/>
      <c r="J3309" s="21"/>
      <c r="K3309" s="19"/>
    </row>
    <row r="3310" spans="3:11" x14ac:dyDescent="0.2">
      <c r="C3310" s="19"/>
      <c r="D3310" s="19"/>
      <c r="E3310" s="19"/>
      <c r="F3310" s="20"/>
      <c r="G3310" s="19"/>
      <c r="H3310" s="19"/>
      <c r="I3310" s="19"/>
      <c r="J3310" s="21"/>
      <c r="K3310" s="19"/>
    </row>
    <row r="3311" spans="3:11" x14ac:dyDescent="0.2">
      <c r="C3311" s="19"/>
      <c r="D3311" s="19"/>
      <c r="E3311" s="19"/>
      <c r="F3311" s="20"/>
      <c r="G3311" s="19"/>
      <c r="H3311" s="19"/>
      <c r="I3311" s="19"/>
      <c r="J3311" s="21"/>
      <c r="K3311" s="19"/>
    </row>
    <row r="3312" spans="3:11" x14ac:dyDescent="0.2">
      <c r="C3312" s="19"/>
      <c r="D3312" s="19"/>
      <c r="E3312" s="19"/>
      <c r="F3312" s="20"/>
      <c r="G3312" s="19"/>
      <c r="H3312" s="19"/>
      <c r="I3312" s="19"/>
      <c r="J3312" s="21"/>
      <c r="K3312" s="19"/>
    </row>
    <row r="3313" spans="3:11" x14ac:dyDescent="0.2">
      <c r="C3313" s="19"/>
      <c r="D3313" s="19"/>
      <c r="E3313" s="19"/>
      <c r="F3313" s="20"/>
      <c r="G3313" s="19"/>
      <c r="H3313" s="19"/>
      <c r="I3313" s="19"/>
      <c r="J3313" s="21"/>
      <c r="K3313" s="19"/>
    </row>
    <row r="3314" spans="3:11" x14ac:dyDescent="0.2">
      <c r="C3314" s="19"/>
      <c r="D3314" s="19"/>
      <c r="E3314" s="19"/>
      <c r="F3314" s="20"/>
      <c r="G3314" s="19"/>
      <c r="H3314" s="19"/>
      <c r="I3314" s="19"/>
      <c r="J3314" s="21"/>
      <c r="K3314" s="19"/>
    </row>
    <row r="3315" spans="3:11" x14ac:dyDescent="0.2">
      <c r="C3315" s="19"/>
      <c r="D3315" s="19"/>
      <c r="E3315" s="19"/>
      <c r="F3315" s="20"/>
      <c r="G3315" s="19"/>
      <c r="H3315" s="19"/>
      <c r="I3315" s="19"/>
      <c r="J3315" s="21"/>
      <c r="K3315" s="19"/>
    </row>
    <row r="3316" spans="3:11" x14ac:dyDescent="0.2">
      <c r="C3316" s="19"/>
      <c r="D3316" s="19"/>
      <c r="E3316" s="19"/>
      <c r="F3316" s="20"/>
      <c r="G3316" s="19"/>
      <c r="H3316" s="19"/>
      <c r="I3316" s="19"/>
      <c r="J3316" s="21"/>
      <c r="K3316" s="19"/>
    </row>
    <row r="3317" spans="3:11" x14ac:dyDescent="0.2">
      <c r="C3317" s="19"/>
      <c r="D3317" s="19"/>
      <c r="E3317" s="19"/>
      <c r="F3317" s="20"/>
      <c r="G3317" s="19"/>
      <c r="H3317" s="19"/>
      <c r="I3317" s="19"/>
      <c r="J3317" s="21"/>
      <c r="K3317" s="19"/>
    </row>
    <row r="3318" spans="3:11" x14ac:dyDescent="0.2">
      <c r="C3318" s="19"/>
      <c r="D3318" s="19"/>
      <c r="E3318" s="19"/>
      <c r="F3318" s="20"/>
      <c r="G3318" s="19"/>
      <c r="H3318" s="19"/>
      <c r="I3318" s="19"/>
      <c r="J3318" s="21"/>
      <c r="K3318" s="19"/>
    </row>
    <row r="3319" spans="3:11" x14ac:dyDescent="0.2">
      <c r="C3319" s="19"/>
      <c r="D3319" s="19"/>
      <c r="E3319" s="19"/>
      <c r="F3319" s="20"/>
      <c r="G3319" s="19"/>
      <c r="H3319" s="19"/>
      <c r="I3319" s="19"/>
      <c r="J3319" s="21"/>
      <c r="K3319" s="19"/>
    </row>
    <row r="3320" spans="3:11" x14ac:dyDescent="0.2">
      <c r="C3320" s="19"/>
      <c r="D3320" s="19"/>
      <c r="E3320" s="19"/>
      <c r="F3320" s="20"/>
      <c r="G3320" s="19"/>
      <c r="H3320" s="19"/>
      <c r="I3320" s="19"/>
      <c r="J3320" s="21"/>
      <c r="K3320" s="19"/>
    </row>
    <row r="3321" spans="3:11" x14ac:dyDescent="0.2">
      <c r="C3321" s="19"/>
      <c r="D3321" s="19"/>
      <c r="E3321" s="19"/>
      <c r="F3321" s="20"/>
      <c r="G3321" s="19"/>
      <c r="H3321" s="19"/>
      <c r="I3321" s="19"/>
      <c r="J3321" s="21"/>
      <c r="K3321" s="19"/>
    </row>
    <row r="3322" spans="3:11" x14ac:dyDescent="0.2">
      <c r="C3322" s="19"/>
      <c r="D3322" s="19"/>
      <c r="E3322" s="19"/>
      <c r="F3322" s="20"/>
      <c r="G3322" s="19"/>
      <c r="H3322" s="19"/>
      <c r="I3322" s="19"/>
      <c r="J3322" s="21"/>
      <c r="K3322" s="19"/>
    </row>
    <row r="3323" spans="3:11" x14ac:dyDescent="0.2">
      <c r="C3323" s="19"/>
      <c r="D3323" s="19"/>
      <c r="E3323" s="19"/>
      <c r="F3323" s="20"/>
      <c r="G3323" s="19"/>
      <c r="H3323" s="19"/>
      <c r="I3323" s="19"/>
      <c r="J3323" s="21"/>
      <c r="K3323" s="19"/>
    </row>
    <row r="3324" spans="3:11" x14ac:dyDescent="0.2">
      <c r="C3324" s="19"/>
      <c r="D3324" s="19"/>
      <c r="E3324" s="19"/>
      <c r="F3324" s="20"/>
      <c r="G3324" s="19"/>
      <c r="H3324" s="19"/>
      <c r="I3324" s="19"/>
      <c r="J3324" s="21"/>
      <c r="K3324" s="19"/>
    </row>
    <row r="3325" spans="3:11" x14ac:dyDescent="0.2">
      <c r="C3325" s="19"/>
      <c r="D3325" s="19"/>
      <c r="E3325" s="19"/>
      <c r="F3325" s="20"/>
      <c r="G3325" s="19"/>
      <c r="H3325" s="19"/>
      <c r="I3325" s="19"/>
      <c r="J3325" s="21"/>
      <c r="K3325" s="19"/>
    </row>
    <row r="3326" spans="3:11" x14ac:dyDescent="0.2">
      <c r="C3326" s="19"/>
      <c r="D3326" s="19"/>
      <c r="E3326" s="19"/>
      <c r="F3326" s="20"/>
      <c r="G3326" s="19"/>
      <c r="H3326" s="19"/>
      <c r="I3326" s="19"/>
      <c r="J3326" s="21"/>
      <c r="K3326" s="19"/>
    </row>
    <row r="3327" spans="3:11" x14ac:dyDescent="0.2">
      <c r="C3327" s="19"/>
      <c r="D3327" s="19"/>
      <c r="E3327" s="19"/>
      <c r="F3327" s="20"/>
      <c r="G3327" s="19"/>
      <c r="H3327" s="19"/>
      <c r="I3327" s="19"/>
      <c r="J3327" s="21"/>
      <c r="K3327" s="19"/>
    </row>
    <row r="3328" spans="3:11" x14ac:dyDescent="0.2">
      <c r="C3328" s="19"/>
      <c r="D3328" s="19"/>
      <c r="E3328" s="19"/>
      <c r="F3328" s="20"/>
      <c r="G3328" s="19"/>
      <c r="H3328" s="19"/>
      <c r="I3328" s="19"/>
      <c r="J3328" s="21"/>
      <c r="K3328" s="19"/>
    </row>
    <row r="3329" spans="3:11" x14ac:dyDescent="0.2">
      <c r="C3329" s="19"/>
      <c r="D3329" s="19"/>
      <c r="E3329" s="19"/>
      <c r="F3329" s="20"/>
      <c r="G3329" s="19"/>
      <c r="H3329" s="19"/>
      <c r="I3329" s="19"/>
      <c r="J3329" s="21"/>
      <c r="K3329" s="19"/>
    </row>
    <row r="3330" spans="3:11" x14ac:dyDescent="0.2">
      <c r="C3330" s="19"/>
      <c r="D3330" s="19"/>
      <c r="E3330" s="19"/>
      <c r="F3330" s="20"/>
      <c r="G3330" s="19"/>
      <c r="H3330" s="19"/>
      <c r="I3330" s="19"/>
      <c r="J3330" s="21"/>
      <c r="K3330" s="19"/>
    </row>
    <row r="3331" spans="3:11" x14ac:dyDescent="0.2">
      <c r="C3331" s="19"/>
      <c r="D3331" s="19"/>
      <c r="E3331" s="19"/>
      <c r="F3331" s="20"/>
      <c r="G3331" s="19"/>
      <c r="H3331" s="19"/>
      <c r="I3331" s="19"/>
      <c r="J3331" s="21"/>
      <c r="K3331" s="19"/>
    </row>
    <row r="3332" spans="3:11" x14ac:dyDescent="0.2">
      <c r="C3332" s="19"/>
      <c r="D3332" s="19"/>
      <c r="E3332" s="19"/>
      <c r="F3332" s="20"/>
      <c r="G3332" s="19"/>
      <c r="H3332" s="19"/>
      <c r="I3332" s="19"/>
      <c r="J3332" s="21"/>
      <c r="K3332" s="19"/>
    </row>
    <row r="3333" spans="3:11" x14ac:dyDescent="0.2">
      <c r="C3333" s="19"/>
      <c r="D3333" s="19"/>
      <c r="E3333" s="19"/>
      <c r="F3333" s="20"/>
      <c r="G3333" s="19"/>
      <c r="H3333" s="19"/>
      <c r="I3333" s="19"/>
      <c r="J3333" s="21"/>
      <c r="K3333" s="19"/>
    </row>
    <row r="3334" spans="3:11" x14ac:dyDescent="0.2">
      <c r="C3334" s="19"/>
      <c r="D3334" s="19"/>
      <c r="E3334" s="19"/>
      <c r="F3334" s="20"/>
      <c r="G3334" s="19"/>
      <c r="H3334" s="19"/>
      <c r="I3334" s="19"/>
      <c r="J3334" s="21"/>
      <c r="K3334" s="19"/>
    </row>
    <row r="3335" spans="3:11" x14ac:dyDescent="0.2">
      <c r="C3335" s="19"/>
      <c r="D3335" s="19"/>
      <c r="E3335" s="19"/>
      <c r="F3335" s="20"/>
      <c r="G3335" s="19"/>
      <c r="H3335" s="19"/>
      <c r="I3335" s="19"/>
      <c r="J3335" s="21"/>
      <c r="K3335" s="19"/>
    </row>
    <row r="3336" spans="3:11" x14ac:dyDescent="0.2">
      <c r="C3336" s="19"/>
      <c r="D3336" s="19"/>
      <c r="E3336" s="19"/>
      <c r="F3336" s="20"/>
      <c r="G3336" s="19"/>
      <c r="H3336" s="19"/>
      <c r="I3336" s="19"/>
      <c r="J3336" s="21"/>
      <c r="K3336" s="19"/>
    </row>
    <row r="3337" spans="3:11" x14ac:dyDescent="0.2">
      <c r="C3337" s="19"/>
      <c r="D3337" s="19"/>
      <c r="E3337" s="19"/>
      <c r="F3337" s="20"/>
      <c r="G3337" s="19"/>
      <c r="H3337" s="19"/>
      <c r="I3337" s="19"/>
      <c r="J3337" s="21"/>
      <c r="K3337" s="19"/>
    </row>
    <row r="3338" spans="3:11" x14ac:dyDescent="0.2">
      <c r="C3338" s="19"/>
      <c r="D3338" s="19"/>
      <c r="E3338" s="19"/>
      <c r="F3338" s="20"/>
      <c r="G3338" s="19"/>
      <c r="H3338" s="19"/>
      <c r="I3338" s="19"/>
      <c r="J3338" s="21"/>
      <c r="K3338" s="19"/>
    </row>
    <row r="3339" spans="3:11" x14ac:dyDescent="0.2">
      <c r="C3339" s="19"/>
      <c r="D3339" s="19"/>
      <c r="E3339" s="19"/>
      <c r="F3339" s="20"/>
      <c r="G3339" s="19"/>
      <c r="H3339" s="19"/>
      <c r="I3339" s="19"/>
      <c r="J3339" s="21"/>
      <c r="K3339" s="19"/>
    </row>
    <row r="3340" spans="3:11" x14ac:dyDescent="0.2">
      <c r="C3340" s="19"/>
      <c r="D3340" s="19"/>
      <c r="E3340" s="19"/>
      <c r="F3340" s="20"/>
      <c r="G3340" s="19"/>
      <c r="H3340" s="19"/>
      <c r="I3340" s="19"/>
      <c r="J3340" s="21"/>
      <c r="K3340" s="19"/>
    </row>
    <row r="3341" spans="3:11" x14ac:dyDescent="0.2">
      <c r="C3341" s="19"/>
      <c r="D3341" s="19"/>
      <c r="E3341" s="19"/>
      <c r="F3341" s="20"/>
      <c r="G3341" s="19"/>
      <c r="H3341" s="19"/>
      <c r="I3341" s="19"/>
      <c r="J3341" s="21"/>
      <c r="K3341" s="19"/>
    </row>
    <row r="3342" spans="3:11" x14ac:dyDescent="0.2">
      <c r="C3342" s="19"/>
      <c r="D3342" s="19"/>
      <c r="E3342" s="19"/>
      <c r="F3342" s="20"/>
      <c r="G3342" s="19"/>
      <c r="H3342" s="19"/>
      <c r="I3342" s="19"/>
      <c r="J3342" s="21"/>
      <c r="K3342" s="19"/>
    </row>
    <row r="3343" spans="3:11" x14ac:dyDescent="0.2">
      <c r="C3343" s="19"/>
      <c r="D3343" s="19"/>
      <c r="E3343" s="19"/>
      <c r="F3343" s="20"/>
      <c r="G3343" s="19"/>
      <c r="H3343" s="19"/>
      <c r="I3343" s="19"/>
      <c r="J3343" s="21"/>
      <c r="K3343" s="19"/>
    </row>
    <row r="3344" spans="3:11" x14ac:dyDescent="0.2">
      <c r="C3344" s="19"/>
      <c r="D3344" s="19"/>
      <c r="E3344" s="19"/>
      <c r="F3344" s="20"/>
      <c r="G3344" s="19"/>
      <c r="H3344" s="19"/>
      <c r="I3344" s="19"/>
      <c r="J3344" s="21"/>
      <c r="K3344" s="19"/>
    </row>
    <row r="3345" spans="3:11" x14ac:dyDescent="0.2">
      <c r="C3345" s="19"/>
      <c r="D3345" s="19"/>
      <c r="E3345" s="19"/>
      <c r="F3345" s="20"/>
      <c r="G3345" s="19"/>
      <c r="H3345" s="19"/>
      <c r="I3345" s="19"/>
      <c r="J3345" s="21"/>
      <c r="K3345" s="19"/>
    </row>
    <row r="3346" spans="3:11" x14ac:dyDescent="0.2">
      <c r="C3346" s="19"/>
      <c r="D3346" s="19"/>
      <c r="E3346" s="19"/>
      <c r="F3346" s="20"/>
      <c r="G3346" s="19"/>
      <c r="H3346" s="19"/>
      <c r="I3346" s="19"/>
      <c r="J3346" s="21"/>
      <c r="K3346" s="19"/>
    </row>
    <row r="3347" spans="3:11" x14ac:dyDescent="0.2">
      <c r="C3347" s="19"/>
      <c r="D3347" s="19"/>
      <c r="E3347" s="19"/>
      <c r="F3347" s="20"/>
      <c r="G3347" s="19"/>
      <c r="H3347" s="19"/>
      <c r="I3347" s="19"/>
      <c r="J3347" s="21"/>
      <c r="K3347" s="19"/>
    </row>
    <row r="3348" spans="3:11" x14ac:dyDescent="0.2">
      <c r="C3348" s="19"/>
      <c r="D3348" s="19"/>
      <c r="E3348" s="19"/>
      <c r="F3348" s="20"/>
      <c r="G3348" s="19"/>
      <c r="H3348" s="19"/>
      <c r="I3348" s="19"/>
      <c r="J3348" s="21"/>
      <c r="K3348" s="19"/>
    </row>
    <row r="3349" spans="3:11" x14ac:dyDescent="0.2">
      <c r="C3349" s="19"/>
      <c r="D3349" s="19"/>
      <c r="E3349" s="19"/>
      <c r="F3349" s="20"/>
      <c r="G3349" s="19"/>
      <c r="H3349" s="19"/>
      <c r="I3349" s="19"/>
      <c r="J3349" s="21"/>
      <c r="K3349" s="19"/>
    </row>
    <row r="3350" spans="3:11" x14ac:dyDescent="0.2">
      <c r="C3350" s="19"/>
      <c r="D3350" s="19"/>
      <c r="E3350" s="19"/>
      <c r="F3350" s="20"/>
      <c r="G3350" s="19"/>
      <c r="H3350" s="19"/>
      <c r="I3350" s="19"/>
      <c r="J3350" s="21"/>
      <c r="K3350" s="19"/>
    </row>
    <row r="3351" spans="3:11" x14ac:dyDescent="0.2">
      <c r="C3351" s="19"/>
      <c r="D3351" s="19"/>
      <c r="E3351" s="19"/>
      <c r="F3351" s="20"/>
      <c r="G3351" s="19"/>
      <c r="H3351" s="19"/>
      <c r="I3351" s="19"/>
      <c r="J3351" s="21"/>
      <c r="K3351" s="19"/>
    </row>
    <row r="3352" spans="3:11" x14ac:dyDescent="0.2">
      <c r="C3352" s="19"/>
      <c r="D3352" s="19"/>
      <c r="E3352" s="19"/>
      <c r="F3352" s="20"/>
      <c r="G3352" s="19"/>
      <c r="H3352" s="19"/>
      <c r="I3352" s="19"/>
      <c r="J3352" s="21"/>
      <c r="K3352" s="19"/>
    </row>
    <row r="3353" spans="3:11" x14ac:dyDescent="0.2">
      <c r="C3353" s="19"/>
      <c r="D3353" s="19"/>
      <c r="E3353" s="19"/>
      <c r="F3353" s="20"/>
      <c r="G3353" s="19"/>
      <c r="H3353" s="19"/>
      <c r="I3353" s="19"/>
      <c r="J3353" s="21"/>
      <c r="K3353" s="19"/>
    </row>
    <row r="3354" spans="3:11" x14ac:dyDescent="0.2">
      <c r="C3354" s="19"/>
      <c r="D3354" s="19"/>
      <c r="E3354" s="19"/>
      <c r="F3354" s="20"/>
      <c r="G3354" s="19"/>
      <c r="H3354" s="19"/>
      <c r="I3354" s="19"/>
      <c r="J3354" s="21"/>
      <c r="K3354" s="19"/>
    </row>
    <row r="3355" spans="3:11" x14ac:dyDescent="0.2">
      <c r="C3355" s="19"/>
      <c r="D3355" s="19"/>
      <c r="E3355" s="19"/>
      <c r="F3355" s="20"/>
      <c r="G3355" s="19"/>
      <c r="H3355" s="19"/>
      <c r="I3355" s="19"/>
      <c r="J3355" s="21"/>
      <c r="K3355" s="19"/>
    </row>
    <row r="3356" spans="3:11" x14ac:dyDescent="0.2">
      <c r="C3356" s="19"/>
      <c r="D3356" s="19"/>
      <c r="E3356" s="19"/>
      <c r="F3356" s="20"/>
      <c r="G3356" s="19"/>
      <c r="H3356" s="19"/>
      <c r="I3356" s="19"/>
      <c r="J3356" s="21"/>
      <c r="K3356" s="19"/>
    </row>
    <row r="3357" spans="3:11" x14ac:dyDescent="0.2">
      <c r="C3357" s="19"/>
      <c r="D3357" s="19"/>
      <c r="E3357" s="19"/>
      <c r="F3357" s="20"/>
      <c r="G3357" s="19"/>
      <c r="H3357" s="19"/>
      <c r="I3357" s="19"/>
      <c r="J3357" s="21"/>
      <c r="K3357" s="19"/>
    </row>
    <row r="3358" spans="3:11" x14ac:dyDescent="0.2">
      <c r="C3358" s="19"/>
      <c r="D3358" s="19"/>
      <c r="E3358" s="19"/>
      <c r="F3358" s="20"/>
      <c r="G3358" s="19"/>
      <c r="H3358" s="19"/>
      <c r="I3358" s="19"/>
      <c r="J3358" s="21"/>
      <c r="K3358" s="19"/>
    </row>
    <row r="3359" spans="3:11" x14ac:dyDescent="0.2">
      <c r="C3359" s="19"/>
      <c r="D3359" s="19"/>
      <c r="E3359" s="19"/>
      <c r="F3359" s="20"/>
      <c r="G3359" s="19"/>
      <c r="H3359" s="19"/>
      <c r="I3359" s="19"/>
      <c r="J3359" s="21"/>
      <c r="K3359" s="19"/>
    </row>
    <row r="3360" spans="3:11" x14ac:dyDescent="0.2">
      <c r="C3360" s="19"/>
      <c r="D3360" s="19"/>
      <c r="E3360" s="19"/>
      <c r="F3360" s="20"/>
      <c r="G3360" s="19"/>
      <c r="H3360" s="19"/>
      <c r="I3360" s="19"/>
      <c r="J3360" s="21"/>
      <c r="K3360" s="19"/>
    </row>
    <row r="3361" spans="3:11" x14ac:dyDescent="0.2">
      <c r="C3361" s="19"/>
      <c r="D3361" s="19"/>
      <c r="E3361" s="19"/>
      <c r="F3361" s="20"/>
      <c r="G3361" s="19"/>
      <c r="H3361" s="19"/>
      <c r="I3361" s="19"/>
      <c r="J3361" s="21"/>
      <c r="K3361" s="19"/>
    </row>
    <row r="3362" spans="3:11" x14ac:dyDescent="0.2">
      <c r="C3362" s="19"/>
      <c r="D3362" s="19"/>
      <c r="E3362" s="19"/>
      <c r="F3362" s="20"/>
      <c r="G3362" s="19"/>
      <c r="H3362" s="19"/>
      <c r="I3362" s="19"/>
      <c r="J3362" s="21"/>
      <c r="K3362" s="19"/>
    </row>
    <row r="3363" spans="3:11" x14ac:dyDescent="0.2">
      <c r="C3363" s="19"/>
      <c r="D3363" s="19"/>
      <c r="E3363" s="19"/>
      <c r="F3363" s="20"/>
      <c r="G3363" s="19"/>
      <c r="H3363" s="19"/>
      <c r="I3363" s="19"/>
      <c r="J3363" s="21"/>
      <c r="K3363" s="19"/>
    </row>
    <row r="3364" spans="3:11" x14ac:dyDescent="0.2">
      <c r="C3364" s="19"/>
      <c r="D3364" s="19"/>
      <c r="E3364" s="19"/>
      <c r="F3364" s="20"/>
      <c r="G3364" s="19"/>
      <c r="H3364" s="19"/>
      <c r="I3364" s="19"/>
      <c r="J3364" s="21"/>
      <c r="K3364" s="19"/>
    </row>
    <row r="3365" spans="3:11" x14ac:dyDescent="0.2">
      <c r="C3365" s="19"/>
      <c r="D3365" s="19"/>
      <c r="E3365" s="19"/>
      <c r="F3365" s="20"/>
      <c r="G3365" s="19"/>
      <c r="H3365" s="19"/>
      <c r="I3365" s="19"/>
      <c r="J3365" s="21"/>
      <c r="K3365" s="19"/>
    </row>
    <row r="3366" spans="3:11" x14ac:dyDescent="0.2">
      <c r="C3366" s="19"/>
      <c r="D3366" s="19"/>
      <c r="E3366" s="19"/>
      <c r="F3366" s="20"/>
      <c r="G3366" s="19"/>
      <c r="H3366" s="19"/>
      <c r="I3366" s="19"/>
      <c r="J3366" s="21"/>
      <c r="K3366" s="19"/>
    </row>
    <row r="3367" spans="3:11" x14ac:dyDescent="0.2">
      <c r="C3367" s="19"/>
      <c r="D3367" s="19"/>
      <c r="E3367" s="19"/>
      <c r="F3367" s="20"/>
      <c r="G3367" s="19"/>
      <c r="H3367" s="19"/>
      <c r="I3367" s="19"/>
      <c r="J3367" s="21"/>
      <c r="K3367" s="19"/>
    </row>
    <row r="3368" spans="3:11" x14ac:dyDescent="0.2">
      <c r="C3368" s="19"/>
      <c r="D3368" s="19"/>
      <c r="E3368" s="19"/>
      <c r="F3368" s="20"/>
      <c r="G3368" s="19"/>
      <c r="H3368" s="19"/>
      <c r="I3368" s="19"/>
      <c r="J3368" s="21"/>
      <c r="K3368" s="19"/>
    </row>
    <row r="3369" spans="3:11" x14ac:dyDescent="0.2">
      <c r="C3369" s="19"/>
      <c r="D3369" s="19"/>
      <c r="E3369" s="19"/>
      <c r="F3369" s="20"/>
      <c r="G3369" s="19"/>
      <c r="H3369" s="19"/>
      <c r="I3369" s="19"/>
      <c r="J3369" s="21"/>
      <c r="K3369" s="19"/>
    </row>
    <row r="3370" spans="3:11" x14ac:dyDescent="0.2">
      <c r="C3370" s="19"/>
      <c r="D3370" s="19"/>
      <c r="E3370" s="19"/>
      <c r="F3370" s="20"/>
      <c r="G3370" s="19"/>
      <c r="H3370" s="19"/>
      <c r="I3370" s="19"/>
      <c r="J3370" s="21"/>
      <c r="K3370" s="19"/>
    </row>
    <row r="3371" spans="3:11" x14ac:dyDescent="0.2">
      <c r="C3371" s="19"/>
      <c r="D3371" s="19"/>
      <c r="E3371" s="19"/>
      <c r="F3371" s="20"/>
      <c r="G3371" s="19"/>
      <c r="H3371" s="19"/>
      <c r="I3371" s="19"/>
      <c r="J3371" s="21"/>
      <c r="K3371" s="19"/>
    </row>
    <row r="3372" spans="3:11" x14ac:dyDescent="0.2">
      <c r="C3372" s="19"/>
      <c r="D3372" s="19"/>
      <c r="E3372" s="19"/>
      <c r="F3372" s="20"/>
      <c r="G3372" s="19"/>
      <c r="H3372" s="19"/>
      <c r="I3372" s="19"/>
      <c r="J3372" s="21"/>
      <c r="K3372" s="19"/>
    </row>
    <row r="3373" spans="3:11" x14ac:dyDescent="0.2">
      <c r="C3373" s="19"/>
      <c r="D3373" s="19"/>
      <c r="E3373" s="19"/>
      <c r="F3373" s="20"/>
      <c r="G3373" s="19"/>
      <c r="H3373" s="19"/>
      <c r="I3373" s="19"/>
      <c r="J3373" s="21"/>
      <c r="K3373" s="19"/>
    </row>
    <row r="3374" spans="3:11" x14ac:dyDescent="0.2">
      <c r="C3374" s="19"/>
      <c r="D3374" s="19"/>
      <c r="E3374" s="19"/>
      <c r="F3374" s="20"/>
      <c r="G3374" s="19"/>
      <c r="H3374" s="19"/>
      <c r="I3374" s="19"/>
      <c r="J3374" s="21"/>
      <c r="K3374" s="19"/>
    </row>
    <row r="3375" spans="3:11" x14ac:dyDescent="0.2">
      <c r="C3375" s="19"/>
      <c r="D3375" s="19"/>
      <c r="E3375" s="19"/>
      <c r="F3375" s="20"/>
      <c r="G3375" s="19"/>
      <c r="H3375" s="19"/>
      <c r="I3375" s="19"/>
      <c r="J3375" s="21"/>
      <c r="K3375" s="19"/>
    </row>
    <row r="3376" spans="3:11" x14ac:dyDescent="0.2">
      <c r="C3376" s="19"/>
      <c r="D3376" s="19"/>
      <c r="E3376" s="19"/>
      <c r="F3376" s="20"/>
      <c r="G3376" s="19"/>
      <c r="H3376" s="19"/>
      <c r="I3376" s="19"/>
      <c r="J3376" s="21"/>
      <c r="K3376" s="19"/>
    </row>
    <row r="3377" spans="3:11" x14ac:dyDescent="0.2">
      <c r="C3377" s="19"/>
      <c r="D3377" s="19"/>
      <c r="E3377" s="19"/>
      <c r="F3377" s="20"/>
      <c r="G3377" s="19"/>
      <c r="H3377" s="19"/>
      <c r="I3377" s="19"/>
      <c r="J3377" s="21"/>
      <c r="K3377" s="19"/>
    </row>
    <row r="3378" spans="3:11" x14ac:dyDescent="0.2">
      <c r="C3378" s="19"/>
      <c r="D3378" s="19"/>
      <c r="E3378" s="19"/>
      <c r="F3378" s="20"/>
      <c r="G3378" s="19"/>
      <c r="H3378" s="19"/>
      <c r="I3378" s="19"/>
      <c r="J3378" s="21"/>
      <c r="K3378" s="19"/>
    </row>
    <row r="3379" spans="3:11" x14ac:dyDescent="0.2">
      <c r="C3379" s="19"/>
      <c r="D3379" s="19"/>
      <c r="E3379" s="19"/>
      <c r="F3379" s="20"/>
      <c r="G3379" s="19"/>
      <c r="H3379" s="19"/>
      <c r="I3379" s="19"/>
      <c r="J3379" s="21"/>
      <c r="K3379" s="19"/>
    </row>
    <row r="3380" spans="3:11" x14ac:dyDescent="0.2">
      <c r="C3380" s="19"/>
      <c r="D3380" s="19"/>
      <c r="E3380" s="19"/>
      <c r="F3380" s="20"/>
      <c r="G3380" s="19"/>
      <c r="H3380" s="19"/>
      <c r="I3380" s="19"/>
      <c r="J3380" s="21"/>
      <c r="K3380" s="19"/>
    </row>
    <row r="3381" spans="3:11" x14ac:dyDescent="0.2">
      <c r="C3381" s="19"/>
      <c r="D3381" s="19"/>
      <c r="E3381" s="19"/>
      <c r="F3381" s="20"/>
      <c r="G3381" s="19"/>
      <c r="H3381" s="19"/>
      <c r="I3381" s="19"/>
      <c r="J3381" s="21"/>
      <c r="K3381" s="19"/>
    </row>
    <row r="3382" spans="3:11" x14ac:dyDescent="0.2">
      <c r="C3382" s="19"/>
      <c r="D3382" s="19"/>
      <c r="E3382" s="19"/>
      <c r="F3382" s="20"/>
      <c r="G3382" s="19"/>
      <c r="H3382" s="19"/>
      <c r="I3382" s="19"/>
      <c r="J3382" s="21"/>
      <c r="K3382" s="19"/>
    </row>
    <row r="3383" spans="3:11" x14ac:dyDescent="0.2">
      <c r="C3383" s="19"/>
      <c r="D3383" s="19"/>
      <c r="E3383" s="19"/>
      <c r="F3383" s="20"/>
      <c r="G3383" s="19"/>
      <c r="H3383" s="19"/>
      <c r="I3383" s="19"/>
      <c r="J3383" s="21"/>
      <c r="K3383" s="19"/>
    </row>
    <row r="3384" spans="3:11" x14ac:dyDescent="0.2">
      <c r="C3384" s="19"/>
      <c r="D3384" s="19"/>
      <c r="E3384" s="19"/>
      <c r="F3384" s="20"/>
      <c r="G3384" s="19"/>
      <c r="H3384" s="19"/>
      <c r="I3384" s="19"/>
      <c r="J3384" s="21"/>
      <c r="K3384" s="19"/>
    </row>
    <row r="3385" spans="3:11" x14ac:dyDescent="0.2">
      <c r="C3385" s="19"/>
      <c r="D3385" s="19"/>
      <c r="E3385" s="19"/>
      <c r="F3385" s="20"/>
      <c r="G3385" s="19"/>
      <c r="H3385" s="19"/>
      <c r="I3385" s="19"/>
      <c r="J3385" s="21"/>
      <c r="K3385" s="19"/>
    </row>
    <row r="3386" spans="3:11" x14ac:dyDescent="0.2">
      <c r="C3386" s="19"/>
      <c r="D3386" s="19"/>
      <c r="E3386" s="19"/>
      <c r="F3386" s="20"/>
      <c r="G3386" s="19"/>
      <c r="H3386" s="19"/>
      <c r="I3386" s="19"/>
      <c r="J3386" s="21"/>
      <c r="K3386" s="19"/>
    </row>
    <row r="3387" spans="3:11" x14ac:dyDescent="0.2">
      <c r="C3387" s="19"/>
      <c r="D3387" s="19"/>
      <c r="E3387" s="19"/>
      <c r="F3387" s="20"/>
      <c r="G3387" s="19"/>
      <c r="H3387" s="19"/>
      <c r="I3387" s="19"/>
      <c r="J3387" s="21"/>
      <c r="K3387" s="19"/>
    </row>
    <row r="3388" spans="3:11" x14ac:dyDescent="0.2">
      <c r="C3388" s="19"/>
      <c r="D3388" s="19"/>
      <c r="E3388" s="19"/>
      <c r="F3388" s="20"/>
      <c r="G3388" s="19"/>
      <c r="H3388" s="19"/>
      <c r="I3388" s="19"/>
      <c r="J3388" s="21"/>
      <c r="K3388" s="19"/>
    </row>
    <row r="3389" spans="3:11" x14ac:dyDescent="0.2">
      <c r="C3389" s="19"/>
      <c r="D3389" s="19"/>
      <c r="E3389" s="19"/>
      <c r="F3389" s="20"/>
      <c r="G3389" s="19"/>
      <c r="H3389" s="19"/>
      <c r="I3389" s="19"/>
      <c r="J3389" s="21"/>
      <c r="K3389" s="19"/>
    </row>
    <row r="3390" spans="3:11" x14ac:dyDescent="0.2">
      <c r="C3390" s="19"/>
      <c r="D3390" s="19"/>
      <c r="E3390" s="19"/>
      <c r="F3390" s="20"/>
      <c r="G3390" s="19"/>
      <c r="H3390" s="19"/>
      <c r="I3390" s="19"/>
      <c r="J3390" s="21"/>
      <c r="K3390" s="19"/>
    </row>
    <row r="3391" spans="3:11" x14ac:dyDescent="0.2">
      <c r="C3391" s="19"/>
      <c r="D3391" s="19"/>
      <c r="E3391" s="19"/>
      <c r="F3391" s="20"/>
      <c r="G3391" s="19"/>
      <c r="H3391" s="19"/>
      <c r="I3391" s="19"/>
      <c r="J3391" s="21"/>
      <c r="K3391" s="19"/>
    </row>
    <row r="3392" spans="3:11" x14ac:dyDescent="0.2">
      <c r="C3392" s="19"/>
      <c r="D3392" s="19"/>
      <c r="E3392" s="19"/>
      <c r="F3392" s="20"/>
      <c r="G3392" s="19"/>
      <c r="H3392" s="19"/>
      <c r="I3392" s="19"/>
      <c r="J3392" s="21"/>
      <c r="K3392" s="19"/>
    </row>
    <row r="3393" spans="3:11" x14ac:dyDescent="0.2">
      <c r="C3393" s="19"/>
      <c r="D3393" s="19"/>
      <c r="E3393" s="19"/>
      <c r="F3393" s="20"/>
      <c r="G3393" s="19"/>
      <c r="H3393" s="19"/>
      <c r="I3393" s="19"/>
      <c r="J3393" s="21"/>
      <c r="K3393" s="19"/>
    </row>
    <row r="3394" spans="3:11" x14ac:dyDescent="0.2">
      <c r="C3394" s="19"/>
      <c r="D3394" s="19"/>
      <c r="E3394" s="19"/>
      <c r="F3394" s="20"/>
      <c r="G3394" s="19"/>
      <c r="H3394" s="19"/>
      <c r="I3394" s="19"/>
      <c r="J3394" s="21"/>
      <c r="K3394" s="19"/>
    </row>
    <row r="3395" spans="3:11" x14ac:dyDescent="0.2">
      <c r="C3395" s="19"/>
      <c r="D3395" s="19"/>
      <c r="E3395" s="19"/>
      <c r="F3395" s="20"/>
      <c r="G3395" s="19"/>
      <c r="H3395" s="19"/>
      <c r="I3395" s="19"/>
      <c r="J3395" s="21"/>
      <c r="K3395" s="19"/>
    </row>
    <row r="3396" spans="3:11" x14ac:dyDescent="0.2">
      <c r="C3396" s="19"/>
      <c r="D3396" s="19"/>
      <c r="E3396" s="19"/>
      <c r="F3396" s="20"/>
      <c r="G3396" s="19"/>
      <c r="H3396" s="19"/>
      <c r="I3396" s="19"/>
      <c r="J3396" s="21"/>
      <c r="K3396" s="19"/>
    </row>
    <row r="3397" spans="3:11" x14ac:dyDescent="0.2">
      <c r="C3397" s="19"/>
      <c r="D3397" s="19"/>
      <c r="E3397" s="19"/>
      <c r="F3397" s="20"/>
      <c r="G3397" s="19"/>
      <c r="H3397" s="19"/>
      <c r="I3397" s="19"/>
      <c r="J3397" s="21"/>
      <c r="K3397" s="19"/>
    </row>
    <row r="3398" spans="3:11" x14ac:dyDescent="0.2">
      <c r="C3398" s="19"/>
      <c r="D3398" s="19"/>
      <c r="E3398" s="19"/>
      <c r="F3398" s="20"/>
      <c r="G3398" s="19"/>
      <c r="H3398" s="19"/>
      <c r="I3398" s="19"/>
      <c r="J3398" s="21"/>
      <c r="K3398" s="19"/>
    </row>
    <row r="3399" spans="3:11" x14ac:dyDescent="0.2">
      <c r="C3399" s="19"/>
      <c r="D3399" s="19"/>
      <c r="E3399" s="19"/>
      <c r="F3399" s="20"/>
      <c r="G3399" s="19"/>
      <c r="H3399" s="19"/>
      <c r="I3399" s="19"/>
      <c r="J3399" s="21"/>
      <c r="K3399" s="19"/>
    </row>
    <row r="3400" spans="3:11" x14ac:dyDescent="0.2">
      <c r="C3400" s="19"/>
      <c r="D3400" s="19"/>
      <c r="E3400" s="19"/>
      <c r="F3400" s="20"/>
      <c r="G3400" s="19"/>
      <c r="H3400" s="19"/>
      <c r="I3400" s="19"/>
      <c r="J3400" s="21"/>
      <c r="K3400" s="19"/>
    </row>
    <row r="3401" spans="3:11" x14ac:dyDescent="0.2">
      <c r="C3401" s="19"/>
      <c r="D3401" s="19"/>
      <c r="E3401" s="19"/>
      <c r="F3401" s="20"/>
      <c r="G3401" s="19"/>
      <c r="H3401" s="19"/>
      <c r="I3401" s="19"/>
      <c r="J3401" s="21"/>
      <c r="K3401" s="19"/>
    </row>
    <row r="3402" spans="3:11" x14ac:dyDescent="0.2">
      <c r="C3402" s="19"/>
      <c r="D3402" s="19"/>
      <c r="E3402" s="19"/>
      <c r="F3402" s="20"/>
      <c r="G3402" s="19"/>
      <c r="H3402" s="19"/>
      <c r="I3402" s="19"/>
      <c r="J3402" s="21"/>
      <c r="K3402" s="19"/>
    </row>
    <row r="3403" spans="3:11" x14ac:dyDescent="0.2">
      <c r="C3403" s="19"/>
      <c r="D3403" s="19"/>
      <c r="E3403" s="19"/>
      <c r="F3403" s="20"/>
      <c r="G3403" s="19"/>
      <c r="H3403" s="19"/>
      <c r="I3403" s="19"/>
      <c r="J3403" s="21"/>
      <c r="K3403" s="19"/>
    </row>
    <row r="3404" spans="3:11" x14ac:dyDescent="0.2">
      <c r="C3404" s="19"/>
      <c r="D3404" s="19"/>
      <c r="E3404" s="19"/>
      <c r="F3404" s="20"/>
      <c r="G3404" s="19"/>
      <c r="H3404" s="19"/>
      <c r="I3404" s="19"/>
      <c r="J3404" s="21"/>
      <c r="K3404" s="19"/>
    </row>
    <row r="3405" spans="3:11" x14ac:dyDescent="0.2">
      <c r="C3405" s="19"/>
      <c r="D3405" s="19"/>
      <c r="E3405" s="19"/>
      <c r="F3405" s="20"/>
      <c r="G3405" s="19"/>
      <c r="H3405" s="19"/>
      <c r="I3405" s="19"/>
      <c r="J3405" s="21"/>
      <c r="K3405" s="19"/>
    </row>
    <row r="3406" spans="3:11" x14ac:dyDescent="0.2">
      <c r="C3406" s="19"/>
      <c r="D3406" s="19"/>
      <c r="E3406" s="19"/>
      <c r="F3406" s="20"/>
      <c r="G3406" s="19"/>
      <c r="H3406" s="19"/>
      <c r="I3406" s="19"/>
      <c r="J3406" s="21"/>
      <c r="K3406" s="19"/>
    </row>
    <row r="3407" spans="3:11" x14ac:dyDescent="0.2">
      <c r="C3407" s="19"/>
      <c r="D3407" s="19"/>
      <c r="E3407" s="19"/>
      <c r="F3407" s="20"/>
      <c r="G3407" s="19"/>
      <c r="H3407" s="19"/>
      <c r="I3407" s="19"/>
      <c r="J3407" s="21"/>
      <c r="K3407" s="19"/>
    </row>
    <row r="3408" spans="3:11" x14ac:dyDescent="0.2">
      <c r="C3408" s="19"/>
      <c r="D3408" s="19"/>
      <c r="E3408" s="19"/>
      <c r="F3408" s="20"/>
      <c r="G3408" s="19"/>
      <c r="H3408" s="19"/>
      <c r="I3408" s="19"/>
      <c r="J3408" s="21"/>
      <c r="K3408" s="19"/>
    </row>
    <row r="3409" spans="3:11" x14ac:dyDescent="0.2">
      <c r="C3409" s="19"/>
      <c r="D3409" s="19"/>
      <c r="E3409" s="19"/>
      <c r="F3409" s="20"/>
      <c r="G3409" s="19"/>
      <c r="H3409" s="19"/>
      <c r="I3409" s="19"/>
      <c r="J3409" s="21"/>
      <c r="K3409" s="19"/>
    </row>
    <row r="3410" spans="3:11" x14ac:dyDescent="0.2">
      <c r="C3410" s="19"/>
      <c r="D3410" s="19"/>
      <c r="E3410" s="19"/>
      <c r="F3410" s="20"/>
      <c r="G3410" s="19"/>
      <c r="H3410" s="19"/>
      <c r="I3410" s="19"/>
      <c r="J3410" s="21"/>
      <c r="K3410" s="19"/>
    </row>
    <row r="3411" spans="3:11" x14ac:dyDescent="0.2">
      <c r="C3411" s="19"/>
      <c r="D3411" s="19"/>
      <c r="E3411" s="19"/>
      <c r="F3411" s="20"/>
      <c r="G3411" s="19"/>
      <c r="H3411" s="19"/>
      <c r="I3411" s="19"/>
      <c r="J3411" s="21"/>
      <c r="K3411" s="19"/>
    </row>
    <row r="3412" spans="3:11" x14ac:dyDescent="0.2">
      <c r="C3412" s="19"/>
      <c r="D3412" s="19"/>
      <c r="E3412" s="19"/>
      <c r="F3412" s="20"/>
      <c r="G3412" s="19"/>
      <c r="H3412" s="19"/>
      <c r="I3412" s="19"/>
      <c r="J3412" s="21"/>
      <c r="K3412" s="19"/>
    </row>
    <row r="3413" spans="3:11" x14ac:dyDescent="0.2">
      <c r="C3413" s="19"/>
      <c r="D3413" s="19"/>
      <c r="E3413" s="19"/>
      <c r="F3413" s="20"/>
      <c r="G3413" s="19"/>
      <c r="H3413" s="19"/>
      <c r="I3413" s="19"/>
      <c r="J3413" s="21"/>
      <c r="K3413" s="19"/>
    </row>
    <row r="3414" spans="3:11" x14ac:dyDescent="0.2">
      <c r="C3414" s="19"/>
      <c r="D3414" s="19"/>
      <c r="E3414" s="19"/>
      <c r="F3414" s="20"/>
      <c r="G3414" s="19"/>
      <c r="H3414" s="19"/>
      <c r="I3414" s="19"/>
      <c r="J3414" s="21"/>
      <c r="K3414" s="19"/>
    </row>
    <row r="3415" spans="3:11" x14ac:dyDescent="0.2">
      <c r="C3415" s="19"/>
      <c r="D3415" s="19"/>
      <c r="E3415" s="19"/>
      <c r="F3415" s="20"/>
      <c r="G3415" s="19"/>
      <c r="H3415" s="19"/>
      <c r="I3415" s="19"/>
      <c r="J3415" s="21"/>
      <c r="K3415" s="19"/>
    </row>
    <row r="3416" spans="3:11" x14ac:dyDescent="0.2">
      <c r="C3416" s="19"/>
      <c r="D3416" s="19"/>
      <c r="E3416" s="19"/>
      <c r="F3416" s="20"/>
      <c r="G3416" s="19"/>
      <c r="H3416" s="19"/>
      <c r="I3416" s="19"/>
      <c r="J3416" s="21"/>
      <c r="K3416" s="19"/>
    </row>
    <row r="3417" spans="3:11" x14ac:dyDescent="0.2">
      <c r="C3417" s="19"/>
      <c r="D3417" s="19"/>
      <c r="E3417" s="19"/>
      <c r="F3417" s="20"/>
      <c r="G3417" s="19"/>
      <c r="H3417" s="19"/>
      <c r="I3417" s="19"/>
      <c r="J3417" s="21"/>
      <c r="K3417" s="19"/>
    </row>
    <row r="3418" spans="3:11" x14ac:dyDescent="0.2">
      <c r="C3418" s="19"/>
      <c r="D3418" s="19"/>
      <c r="E3418" s="19"/>
      <c r="F3418" s="20"/>
      <c r="G3418" s="19"/>
      <c r="H3418" s="19"/>
      <c r="I3418" s="19"/>
      <c r="J3418" s="21"/>
      <c r="K3418" s="19"/>
    </row>
    <row r="3419" spans="3:11" x14ac:dyDescent="0.2">
      <c r="C3419" s="19"/>
      <c r="D3419" s="19"/>
      <c r="E3419" s="19"/>
      <c r="F3419" s="20"/>
      <c r="G3419" s="19"/>
      <c r="H3419" s="19"/>
      <c r="I3419" s="19"/>
      <c r="J3419" s="21"/>
      <c r="K3419" s="19"/>
    </row>
    <row r="3420" spans="3:11" x14ac:dyDescent="0.2">
      <c r="C3420" s="19"/>
      <c r="D3420" s="19"/>
      <c r="E3420" s="19"/>
      <c r="F3420" s="20"/>
      <c r="G3420" s="19"/>
      <c r="H3420" s="19"/>
      <c r="I3420" s="19"/>
      <c r="J3420" s="21"/>
      <c r="K3420" s="19"/>
    </row>
    <row r="3421" spans="3:11" x14ac:dyDescent="0.2">
      <c r="C3421" s="19"/>
      <c r="D3421" s="19"/>
      <c r="E3421" s="19"/>
      <c r="F3421" s="20"/>
      <c r="G3421" s="19"/>
      <c r="H3421" s="19"/>
      <c r="I3421" s="19"/>
      <c r="J3421" s="21"/>
      <c r="K3421" s="19"/>
    </row>
    <row r="3422" spans="3:11" x14ac:dyDescent="0.2">
      <c r="C3422" s="19"/>
      <c r="D3422" s="19"/>
      <c r="E3422" s="19"/>
      <c r="F3422" s="20"/>
      <c r="G3422" s="19"/>
      <c r="H3422" s="19"/>
      <c r="I3422" s="19"/>
      <c r="J3422" s="21"/>
      <c r="K3422" s="19"/>
    </row>
    <row r="3423" spans="3:11" x14ac:dyDescent="0.2">
      <c r="C3423" s="19"/>
      <c r="D3423" s="19"/>
      <c r="E3423" s="19"/>
      <c r="F3423" s="20"/>
      <c r="G3423" s="19"/>
      <c r="H3423" s="19"/>
      <c r="I3423" s="19"/>
      <c r="J3423" s="21"/>
      <c r="K3423" s="19"/>
    </row>
    <row r="3424" spans="3:11" x14ac:dyDescent="0.2">
      <c r="C3424" s="19"/>
      <c r="D3424" s="19"/>
      <c r="E3424" s="19"/>
      <c r="F3424" s="20"/>
      <c r="G3424" s="19"/>
      <c r="H3424" s="19"/>
      <c r="I3424" s="19"/>
      <c r="J3424" s="21"/>
      <c r="K3424" s="19"/>
    </row>
    <row r="3425" spans="3:11" x14ac:dyDescent="0.2">
      <c r="C3425" s="19"/>
      <c r="D3425" s="19"/>
      <c r="E3425" s="19"/>
      <c r="F3425" s="20"/>
      <c r="G3425" s="19"/>
      <c r="H3425" s="19"/>
      <c r="I3425" s="19"/>
      <c r="J3425" s="21"/>
      <c r="K3425" s="19"/>
    </row>
    <row r="3426" spans="3:11" x14ac:dyDescent="0.2">
      <c r="C3426" s="19"/>
      <c r="D3426" s="19"/>
      <c r="E3426" s="19"/>
      <c r="F3426" s="20"/>
      <c r="G3426" s="19"/>
      <c r="H3426" s="19"/>
      <c r="I3426" s="19"/>
      <c r="J3426" s="21"/>
      <c r="K3426" s="19"/>
    </row>
    <row r="3427" spans="3:11" x14ac:dyDescent="0.2">
      <c r="C3427" s="19"/>
      <c r="D3427" s="19"/>
      <c r="E3427" s="19"/>
      <c r="F3427" s="20"/>
      <c r="G3427" s="19"/>
      <c r="H3427" s="19"/>
      <c r="I3427" s="19"/>
      <c r="J3427" s="21"/>
      <c r="K3427" s="19"/>
    </row>
    <row r="3428" spans="3:11" x14ac:dyDescent="0.2">
      <c r="C3428" s="19"/>
      <c r="D3428" s="19"/>
      <c r="E3428" s="19"/>
      <c r="F3428" s="20"/>
      <c r="G3428" s="19"/>
      <c r="H3428" s="19"/>
      <c r="I3428" s="19"/>
      <c r="J3428" s="21"/>
      <c r="K3428" s="19"/>
    </row>
    <row r="3429" spans="3:11" x14ac:dyDescent="0.2">
      <c r="C3429" s="19"/>
      <c r="D3429" s="19"/>
      <c r="E3429" s="19"/>
      <c r="F3429" s="20"/>
      <c r="G3429" s="19"/>
      <c r="H3429" s="19"/>
      <c r="I3429" s="19"/>
      <c r="J3429" s="21"/>
      <c r="K3429" s="19"/>
    </row>
    <row r="3430" spans="3:11" x14ac:dyDescent="0.2">
      <c r="C3430" s="19"/>
      <c r="D3430" s="19"/>
      <c r="E3430" s="19"/>
      <c r="F3430" s="20"/>
      <c r="G3430" s="19"/>
      <c r="H3430" s="19"/>
      <c r="I3430" s="19"/>
      <c r="J3430" s="21"/>
      <c r="K3430" s="19"/>
    </row>
    <row r="3431" spans="3:11" x14ac:dyDescent="0.2">
      <c r="C3431" s="19"/>
      <c r="D3431" s="19"/>
      <c r="E3431" s="19"/>
      <c r="F3431" s="20"/>
      <c r="G3431" s="19"/>
      <c r="H3431" s="19"/>
      <c r="I3431" s="19"/>
      <c r="J3431" s="21"/>
      <c r="K3431" s="19"/>
    </row>
    <row r="3432" spans="3:11" x14ac:dyDescent="0.2">
      <c r="C3432" s="19"/>
      <c r="D3432" s="19"/>
      <c r="E3432" s="19"/>
      <c r="F3432" s="20"/>
      <c r="G3432" s="19"/>
      <c r="H3432" s="19"/>
      <c r="I3432" s="19"/>
      <c r="J3432" s="21"/>
      <c r="K3432" s="19"/>
    </row>
    <row r="3433" spans="3:11" x14ac:dyDescent="0.2">
      <c r="C3433" s="19"/>
      <c r="D3433" s="19"/>
      <c r="E3433" s="19"/>
      <c r="F3433" s="20"/>
      <c r="G3433" s="19"/>
      <c r="H3433" s="19"/>
      <c r="I3433" s="19"/>
      <c r="J3433" s="21"/>
      <c r="K3433" s="19"/>
    </row>
    <row r="3434" spans="3:11" x14ac:dyDescent="0.2">
      <c r="C3434" s="19"/>
      <c r="D3434" s="19"/>
      <c r="E3434" s="19"/>
      <c r="F3434" s="20"/>
      <c r="G3434" s="19"/>
      <c r="H3434" s="19"/>
      <c r="I3434" s="19"/>
      <c r="J3434" s="21"/>
      <c r="K3434" s="19"/>
    </row>
    <row r="3435" spans="3:11" x14ac:dyDescent="0.2">
      <c r="C3435" s="19"/>
      <c r="D3435" s="19"/>
      <c r="E3435" s="19"/>
      <c r="F3435" s="20"/>
      <c r="G3435" s="19"/>
      <c r="H3435" s="19"/>
      <c r="I3435" s="19"/>
      <c r="J3435" s="21"/>
      <c r="K3435" s="19"/>
    </row>
    <row r="3436" spans="3:11" x14ac:dyDescent="0.2">
      <c r="C3436" s="19"/>
      <c r="D3436" s="19"/>
      <c r="E3436" s="19"/>
      <c r="F3436" s="20"/>
      <c r="G3436" s="19"/>
      <c r="H3436" s="19"/>
      <c r="I3436" s="19"/>
      <c r="J3436" s="21"/>
      <c r="K3436" s="19"/>
    </row>
    <row r="3437" spans="3:11" x14ac:dyDescent="0.2">
      <c r="C3437" s="19"/>
      <c r="D3437" s="19"/>
      <c r="E3437" s="19"/>
      <c r="F3437" s="20"/>
      <c r="G3437" s="19"/>
      <c r="H3437" s="19"/>
      <c r="I3437" s="19"/>
      <c r="J3437" s="21"/>
      <c r="K3437" s="19"/>
    </row>
    <row r="3438" spans="3:11" x14ac:dyDescent="0.2">
      <c r="C3438" s="19"/>
      <c r="D3438" s="19"/>
      <c r="E3438" s="19"/>
      <c r="F3438" s="20"/>
      <c r="G3438" s="19"/>
      <c r="H3438" s="19"/>
      <c r="I3438" s="19"/>
      <c r="J3438" s="21"/>
      <c r="K3438" s="19"/>
    </row>
    <row r="3439" spans="3:11" x14ac:dyDescent="0.2">
      <c r="C3439" s="19"/>
      <c r="D3439" s="19"/>
      <c r="E3439" s="19"/>
      <c r="F3439" s="20"/>
      <c r="G3439" s="19"/>
      <c r="H3439" s="19"/>
      <c r="I3439" s="19"/>
      <c r="J3439" s="21"/>
      <c r="K3439" s="19"/>
    </row>
    <row r="3440" spans="3:11" x14ac:dyDescent="0.2">
      <c r="C3440" s="19"/>
      <c r="D3440" s="19"/>
      <c r="E3440" s="19"/>
      <c r="F3440" s="20"/>
      <c r="G3440" s="19"/>
      <c r="H3440" s="19"/>
      <c r="I3440" s="19"/>
      <c r="J3440" s="21"/>
      <c r="K3440" s="19"/>
    </row>
    <row r="3441" spans="3:11" x14ac:dyDescent="0.2">
      <c r="C3441" s="19"/>
      <c r="D3441" s="19"/>
      <c r="E3441" s="19"/>
      <c r="F3441" s="20"/>
      <c r="G3441" s="19"/>
      <c r="H3441" s="19"/>
      <c r="I3441" s="19"/>
      <c r="J3441" s="21"/>
      <c r="K3441" s="19"/>
    </row>
    <row r="3442" spans="3:11" x14ac:dyDescent="0.2">
      <c r="C3442" s="19"/>
      <c r="D3442" s="19"/>
      <c r="E3442" s="19"/>
      <c r="F3442" s="20"/>
      <c r="G3442" s="19"/>
      <c r="H3442" s="19"/>
      <c r="I3442" s="19"/>
      <c r="J3442" s="21"/>
      <c r="K3442" s="19"/>
    </row>
    <row r="3443" spans="3:11" x14ac:dyDescent="0.2">
      <c r="C3443" s="19"/>
      <c r="D3443" s="19"/>
      <c r="E3443" s="19"/>
      <c r="F3443" s="20"/>
      <c r="G3443" s="19"/>
      <c r="H3443" s="19"/>
      <c r="I3443" s="19"/>
      <c r="J3443" s="21"/>
      <c r="K3443" s="19"/>
    </row>
    <row r="3444" spans="3:11" x14ac:dyDescent="0.2">
      <c r="C3444" s="19"/>
      <c r="D3444" s="19"/>
      <c r="E3444" s="19"/>
      <c r="F3444" s="20"/>
      <c r="G3444" s="19"/>
      <c r="H3444" s="19"/>
      <c r="I3444" s="19"/>
      <c r="J3444" s="21"/>
      <c r="K3444" s="19"/>
    </row>
    <row r="3445" spans="3:11" x14ac:dyDescent="0.2">
      <c r="C3445" s="19"/>
      <c r="D3445" s="19"/>
      <c r="E3445" s="19"/>
      <c r="F3445" s="20"/>
      <c r="G3445" s="19"/>
      <c r="H3445" s="19"/>
      <c r="I3445" s="19"/>
      <c r="J3445" s="21"/>
      <c r="K3445" s="19"/>
    </row>
    <row r="3446" spans="3:11" x14ac:dyDescent="0.2">
      <c r="C3446" s="19"/>
      <c r="D3446" s="19"/>
      <c r="E3446" s="19"/>
      <c r="F3446" s="20"/>
      <c r="G3446" s="19"/>
      <c r="H3446" s="19"/>
      <c r="I3446" s="19"/>
      <c r="J3446" s="21"/>
      <c r="K3446" s="19"/>
    </row>
    <row r="3447" spans="3:11" x14ac:dyDescent="0.2">
      <c r="C3447" s="19"/>
      <c r="D3447" s="19"/>
      <c r="E3447" s="19"/>
      <c r="F3447" s="20"/>
      <c r="G3447" s="19"/>
      <c r="H3447" s="19"/>
      <c r="I3447" s="19"/>
      <c r="J3447" s="21"/>
      <c r="K3447" s="19"/>
    </row>
    <row r="3448" spans="3:11" x14ac:dyDescent="0.2">
      <c r="C3448" s="19"/>
      <c r="D3448" s="19"/>
      <c r="E3448" s="19"/>
      <c r="F3448" s="20"/>
      <c r="G3448" s="19"/>
      <c r="H3448" s="19"/>
      <c r="I3448" s="19"/>
      <c r="J3448" s="21"/>
      <c r="K3448" s="19"/>
    </row>
    <row r="3449" spans="3:11" x14ac:dyDescent="0.2">
      <c r="C3449" s="19"/>
      <c r="D3449" s="19"/>
      <c r="E3449" s="19"/>
      <c r="F3449" s="20"/>
      <c r="G3449" s="19"/>
      <c r="H3449" s="19"/>
      <c r="I3449" s="19"/>
      <c r="J3449" s="21"/>
      <c r="K3449" s="19"/>
    </row>
    <row r="3450" spans="3:11" x14ac:dyDescent="0.2">
      <c r="C3450" s="19"/>
      <c r="D3450" s="19"/>
      <c r="E3450" s="19"/>
      <c r="F3450" s="20"/>
      <c r="G3450" s="19"/>
      <c r="H3450" s="19"/>
      <c r="I3450" s="19"/>
      <c r="J3450" s="21"/>
      <c r="K3450" s="19"/>
    </row>
    <row r="3451" spans="3:11" x14ac:dyDescent="0.2">
      <c r="C3451" s="19"/>
      <c r="D3451" s="19"/>
      <c r="E3451" s="19"/>
      <c r="F3451" s="20"/>
      <c r="G3451" s="19"/>
      <c r="H3451" s="19"/>
      <c r="I3451" s="19"/>
      <c r="J3451" s="21"/>
      <c r="K3451" s="19"/>
    </row>
    <row r="3452" spans="3:11" x14ac:dyDescent="0.2">
      <c r="C3452" s="19"/>
      <c r="D3452" s="19"/>
      <c r="E3452" s="19"/>
      <c r="F3452" s="20"/>
      <c r="G3452" s="19"/>
      <c r="H3452" s="19"/>
      <c r="I3452" s="19"/>
      <c r="J3452" s="21"/>
      <c r="K3452" s="19"/>
    </row>
    <row r="3453" spans="3:11" x14ac:dyDescent="0.2">
      <c r="C3453" s="19"/>
      <c r="D3453" s="19"/>
      <c r="E3453" s="19"/>
      <c r="F3453" s="20"/>
      <c r="G3453" s="19"/>
      <c r="H3453" s="19"/>
      <c r="I3453" s="19"/>
      <c r="J3453" s="21"/>
      <c r="K3453" s="19"/>
    </row>
    <row r="3454" spans="3:11" x14ac:dyDescent="0.2">
      <c r="C3454" s="19"/>
      <c r="D3454" s="19"/>
      <c r="E3454" s="19"/>
      <c r="F3454" s="20"/>
      <c r="G3454" s="19"/>
      <c r="H3454" s="19"/>
      <c r="I3454" s="19"/>
      <c r="J3454" s="21"/>
      <c r="K3454" s="19"/>
    </row>
    <row r="3455" spans="3:11" x14ac:dyDescent="0.2">
      <c r="C3455" s="19"/>
      <c r="D3455" s="19"/>
      <c r="E3455" s="19"/>
      <c r="F3455" s="20"/>
      <c r="G3455" s="19"/>
      <c r="H3455" s="19"/>
      <c r="I3455" s="19"/>
      <c r="J3455" s="21"/>
      <c r="K3455" s="19"/>
    </row>
    <row r="3456" spans="3:11" x14ac:dyDescent="0.2">
      <c r="C3456" s="19"/>
      <c r="D3456" s="19"/>
      <c r="E3456" s="19"/>
      <c r="F3456" s="20"/>
      <c r="G3456" s="19"/>
      <c r="H3456" s="19"/>
      <c r="I3456" s="19"/>
      <c r="J3456" s="21"/>
      <c r="K3456" s="19"/>
    </row>
    <row r="3457" spans="3:11" x14ac:dyDescent="0.2">
      <c r="C3457" s="19"/>
      <c r="D3457" s="19"/>
      <c r="E3457" s="19"/>
      <c r="F3457" s="20"/>
      <c r="G3457" s="19"/>
      <c r="H3457" s="19"/>
      <c r="I3457" s="19"/>
      <c r="J3457" s="21"/>
      <c r="K3457" s="19"/>
    </row>
    <row r="3458" spans="3:11" x14ac:dyDescent="0.2">
      <c r="C3458" s="19"/>
      <c r="D3458" s="19"/>
      <c r="E3458" s="19"/>
      <c r="F3458" s="20"/>
      <c r="G3458" s="19"/>
      <c r="H3458" s="19"/>
      <c r="I3458" s="19"/>
      <c r="J3458" s="21"/>
      <c r="K3458" s="19"/>
    </row>
    <row r="3459" spans="3:11" x14ac:dyDescent="0.2">
      <c r="C3459" s="19"/>
      <c r="D3459" s="19"/>
      <c r="E3459" s="19"/>
      <c r="F3459" s="20"/>
      <c r="G3459" s="19"/>
      <c r="H3459" s="19"/>
      <c r="I3459" s="19"/>
      <c r="J3459" s="21"/>
      <c r="K3459" s="19"/>
    </row>
    <row r="3460" spans="3:11" x14ac:dyDescent="0.2">
      <c r="C3460" s="19"/>
      <c r="D3460" s="19"/>
      <c r="E3460" s="19"/>
      <c r="F3460" s="20"/>
      <c r="G3460" s="19"/>
      <c r="H3460" s="19"/>
      <c r="I3460" s="19"/>
      <c r="J3460" s="21"/>
      <c r="K3460" s="19"/>
    </row>
    <row r="3461" spans="3:11" x14ac:dyDescent="0.2">
      <c r="C3461" s="19"/>
      <c r="D3461" s="19"/>
      <c r="E3461" s="19"/>
      <c r="F3461" s="20"/>
      <c r="G3461" s="19"/>
      <c r="H3461" s="19"/>
      <c r="I3461" s="19"/>
      <c r="J3461" s="21"/>
      <c r="K3461" s="19"/>
    </row>
    <row r="3462" spans="3:11" x14ac:dyDescent="0.2">
      <c r="C3462" s="19"/>
      <c r="D3462" s="19"/>
      <c r="E3462" s="19"/>
      <c r="F3462" s="20"/>
      <c r="G3462" s="19"/>
      <c r="H3462" s="19"/>
      <c r="I3462" s="19"/>
      <c r="J3462" s="21"/>
      <c r="K3462" s="19"/>
    </row>
    <row r="3463" spans="3:11" x14ac:dyDescent="0.2">
      <c r="C3463" s="19"/>
      <c r="D3463" s="19"/>
      <c r="E3463" s="19"/>
      <c r="F3463" s="20"/>
      <c r="G3463" s="19"/>
      <c r="H3463" s="19"/>
      <c r="I3463" s="19"/>
      <c r="J3463" s="21"/>
      <c r="K3463" s="19"/>
    </row>
    <row r="3464" spans="3:11" x14ac:dyDescent="0.2">
      <c r="C3464" s="19"/>
      <c r="D3464" s="19"/>
      <c r="E3464" s="19"/>
      <c r="F3464" s="20"/>
      <c r="G3464" s="19"/>
      <c r="H3464" s="19"/>
      <c r="I3464" s="19"/>
      <c r="J3464" s="21"/>
      <c r="K3464" s="19"/>
    </row>
    <row r="3465" spans="3:11" x14ac:dyDescent="0.2">
      <c r="C3465" s="19"/>
      <c r="D3465" s="19"/>
      <c r="E3465" s="19"/>
      <c r="F3465" s="20"/>
      <c r="G3465" s="19"/>
      <c r="H3465" s="19"/>
      <c r="I3465" s="19"/>
      <c r="J3465" s="21"/>
      <c r="K3465" s="19"/>
    </row>
    <row r="3466" spans="3:11" x14ac:dyDescent="0.2">
      <c r="C3466" s="19"/>
      <c r="D3466" s="19"/>
      <c r="E3466" s="19"/>
      <c r="F3466" s="20"/>
      <c r="G3466" s="19"/>
      <c r="H3466" s="19"/>
      <c r="I3466" s="19"/>
      <c r="J3466" s="21"/>
      <c r="K3466" s="19"/>
    </row>
    <row r="3467" spans="3:11" x14ac:dyDescent="0.2">
      <c r="C3467" s="19"/>
      <c r="D3467" s="19"/>
      <c r="E3467" s="19"/>
      <c r="F3467" s="20"/>
      <c r="G3467" s="19"/>
      <c r="H3467" s="19"/>
      <c r="I3467" s="19"/>
      <c r="J3467" s="21"/>
      <c r="K3467" s="19"/>
    </row>
    <row r="3468" spans="3:11" x14ac:dyDescent="0.2">
      <c r="C3468" s="19"/>
      <c r="D3468" s="19"/>
      <c r="E3468" s="19"/>
      <c r="F3468" s="20"/>
      <c r="G3468" s="19"/>
      <c r="H3468" s="19"/>
      <c r="I3468" s="19"/>
      <c r="J3468" s="21"/>
      <c r="K3468" s="19"/>
    </row>
    <row r="3469" spans="3:11" x14ac:dyDescent="0.2">
      <c r="C3469" s="19"/>
      <c r="D3469" s="19"/>
      <c r="E3469" s="19"/>
      <c r="F3469" s="20"/>
      <c r="G3469" s="19"/>
      <c r="H3469" s="19"/>
      <c r="I3469" s="19"/>
      <c r="J3469" s="21"/>
      <c r="K3469" s="19"/>
    </row>
    <row r="3470" spans="3:11" x14ac:dyDescent="0.2">
      <c r="C3470" s="19"/>
      <c r="D3470" s="19"/>
      <c r="E3470" s="19"/>
      <c r="F3470" s="20"/>
      <c r="G3470" s="19"/>
      <c r="H3470" s="19"/>
      <c r="I3470" s="19"/>
      <c r="J3470" s="21"/>
      <c r="K3470" s="19"/>
    </row>
    <row r="3471" spans="3:11" x14ac:dyDescent="0.2">
      <c r="C3471" s="19"/>
      <c r="D3471" s="19"/>
      <c r="E3471" s="19"/>
      <c r="F3471" s="20"/>
      <c r="G3471" s="19"/>
      <c r="H3471" s="19"/>
      <c r="I3471" s="19"/>
      <c r="J3471" s="21"/>
      <c r="K3471" s="19"/>
    </row>
    <row r="3472" spans="3:11" x14ac:dyDescent="0.2">
      <c r="C3472" s="19"/>
      <c r="D3472" s="19"/>
      <c r="E3472" s="19"/>
      <c r="F3472" s="20"/>
      <c r="G3472" s="19"/>
      <c r="H3472" s="19"/>
      <c r="I3472" s="19"/>
      <c r="J3472" s="21"/>
      <c r="K3472" s="19"/>
    </row>
    <row r="3473" spans="3:11" x14ac:dyDescent="0.2">
      <c r="C3473" s="19"/>
      <c r="D3473" s="19"/>
      <c r="E3473" s="19"/>
      <c r="F3473" s="20"/>
      <c r="G3473" s="19"/>
      <c r="H3473" s="19"/>
      <c r="I3473" s="19"/>
      <c r="J3473" s="21"/>
      <c r="K3473" s="19"/>
    </row>
    <row r="3474" spans="3:11" x14ac:dyDescent="0.2">
      <c r="C3474" s="19"/>
      <c r="D3474" s="19"/>
      <c r="E3474" s="19"/>
      <c r="F3474" s="20"/>
      <c r="G3474" s="19"/>
      <c r="H3474" s="19"/>
      <c r="I3474" s="19"/>
      <c r="J3474" s="21"/>
      <c r="K3474" s="19"/>
    </row>
    <row r="3475" spans="3:11" x14ac:dyDescent="0.2">
      <c r="C3475" s="19"/>
      <c r="D3475" s="19"/>
      <c r="E3475" s="19"/>
      <c r="F3475" s="20"/>
      <c r="G3475" s="19"/>
      <c r="H3475" s="19"/>
      <c r="I3475" s="19"/>
      <c r="J3475" s="21"/>
      <c r="K3475" s="19"/>
    </row>
    <row r="3476" spans="3:11" x14ac:dyDescent="0.2">
      <c r="C3476" s="19"/>
      <c r="D3476" s="19"/>
      <c r="E3476" s="19"/>
      <c r="F3476" s="20"/>
      <c r="G3476" s="19"/>
      <c r="H3476" s="19"/>
      <c r="I3476" s="19"/>
      <c r="J3476" s="21"/>
      <c r="K3476" s="19"/>
    </row>
    <row r="3477" spans="3:11" x14ac:dyDescent="0.2">
      <c r="C3477" s="19"/>
      <c r="D3477" s="19"/>
      <c r="E3477" s="19"/>
      <c r="F3477" s="20"/>
      <c r="G3477" s="19"/>
      <c r="H3477" s="19"/>
      <c r="I3477" s="19"/>
      <c r="J3477" s="21"/>
      <c r="K3477" s="19"/>
    </row>
    <row r="3478" spans="3:11" x14ac:dyDescent="0.2">
      <c r="C3478" s="19"/>
      <c r="D3478" s="19"/>
      <c r="E3478" s="19"/>
      <c r="F3478" s="20"/>
      <c r="G3478" s="19"/>
      <c r="H3478" s="19"/>
      <c r="I3478" s="19"/>
      <c r="J3478" s="21"/>
      <c r="K3478" s="19"/>
    </row>
    <row r="3479" spans="3:11" x14ac:dyDescent="0.2">
      <c r="C3479" s="19"/>
      <c r="D3479" s="19"/>
      <c r="E3479" s="19"/>
      <c r="F3479" s="20"/>
      <c r="G3479" s="19"/>
      <c r="H3479" s="19"/>
      <c r="I3479" s="19"/>
      <c r="J3479" s="21"/>
      <c r="K3479" s="19"/>
    </row>
    <row r="3480" spans="3:11" x14ac:dyDescent="0.2">
      <c r="C3480" s="19"/>
      <c r="D3480" s="19"/>
      <c r="E3480" s="19"/>
      <c r="F3480" s="20"/>
      <c r="G3480" s="19"/>
      <c r="H3480" s="19"/>
      <c r="I3480" s="19"/>
      <c r="J3480" s="21"/>
      <c r="K3480" s="19"/>
    </row>
    <row r="3481" spans="3:11" x14ac:dyDescent="0.2">
      <c r="C3481" s="19"/>
      <c r="D3481" s="19"/>
      <c r="E3481" s="19"/>
      <c r="F3481" s="20"/>
      <c r="G3481" s="19"/>
      <c r="H3481" s="19"/>
      <c r="I3481" s="19"/>
      <c r="J3481" s="21"/>
      <c r="K3481" s="19"/>
    </row>
    <row r="3482" spans="3:11" x14ac:dyDescent="0.2">
      <c r="C3482" s="19"/>
      <c r="D3482" s="19"/>
      <c r="E3482" s="19"/>
      <c r="F3482" s="20"/>
      <c r="G3482" s="19"/>
      <c r="H3482" s="19"/>
      <c r="I3482" s="19"/>
      <c r="J3482" s="21"/>
      <c r="K3482" s="19"/>
    </row>
    <row r="3483" spans="3:11" x14ac:dyDescent="0.2">
      <c r="C3483" s="19"/>
      <c r="D3483" s="19"/>
      <c r="E3483" s="19"/>
      <c r="F3483" s="20"/>
      <c r="G3483" s="19"/>
      <c r="H3483" s="19"/>
      <c r="I3483" s="19"/>
      <c r="J3483" s="21"/>
      <c r="K3483" s="19"/>
    </row>
    <row r="3484" spans="3:11" x14ac:dyDescent="0.2">
      <c r="C3484" s="19"/>
      <c r="D3484" s="19"/>
      <c r="E3484" s="19"/>
      <c r="F3484" s="20"/>
      <c r="G3484" s="19"/>
      <c r="H3484" s="19"/>
      <c r="I3484" s="19"/>
      <c r="J3484" s="21"/>
      <c r="K3484" s="19"/>
    </row>
    <row r="3485" spans="3:11" x14ac:dyDescent="0.2">
      <c r="C3485" s="19"/>
      <c r="D3485" s="19"/>
      <c r="E3485" s="19"/>
      <c r="F3485" s="20"/>
      <c r="G3485" s="19"/>
      <c r="H3485" s="19"/>
      <c r="I3485" s="19"/>
      <c r="J3485" s="21"/>
      <c r="K3485" s="19"/>
    </row>
    <row r="3486" spans="3:11" x14ac:dyDescent="0.2">
      <c r="C3486" s="19"/>
      <c r="D3486" s="19"/>
      <c r="E3486" s="19"/>
      <c r="F3486" s="20"/>
      <c r="G3486" s="19"/>
      <c r="H3486" s="19"/>
      <c r="I3486" s="19"/>
      <c r="J3486" s="21"/>
      <c r="K3486" s="19"/>
    </row>
    <row r="3487" spans="3:11" x14ac:dyDescent="0.2">
      <c r="C3487" s="19"/>
      <c r="D3487" s="19"/>
      <c r="E3487" s="19"/>
      <c r="F3487" s="20"/>
      <c r="G3487" s="19"/>
      <c r="H3487" s="19"/>
      <c r="I3487" s="19"/>
      <c r="J3487" s="21"/>
      <c r="K3487" s="19"/>
    </row>
    <row r="3488" spans="3:11" x14ac:dyDescent="0.2">
      <c r="C3488" s="19"/>
      <c r="D3488" s="19"/>
      <c r="E3488" s="19"/>
      <c r="F3488" s="20"/>
      <c r="G3488" s="19"/>
      <c r="H3488" s="19"/>
      <c r="I3488" s="19"/>
      <c r="J3488" s="21"/>
      <c r="K3488" s="19"/>
    </row>
    <row r="3489" spans="3:11" x14ac:dyDescent="0.2">
      <c r="C3489" s="19"/>
      <c r="D3489" s="19"/>
      <c r="E3489" s="19"/>
      <c r="F3489" s="20"/>
      <c r="G3489" s="19"/>
      <c r="H3489" s="19"/>
      <c r="I3489" s="19"/>
      <c r="J3489" s="21"/>
      <c r="K3489" s="19"/>
    </row>
    <row r="3490" spans="3:11" x14ac:dyDescent="0.2">
      <c r="C3490" s="19"/>
      <c r="D3490" s="19"/>
      <c r="E3490" s="19"/>
      <c r="F3490" s="20"/>
      <c r="G3490" s="19"/>
      <c r="H3490" s="19"/>
      <c r="I3490" s="19"/>
      <c r="J3490" s="21"/>
      <c r="K3490" s="19"/>
    </row>
    <row r="3491" spans="3:11" x14ac:dyDescent="0.2">
      <c r="C3491" s="19"/>
      <c r="D3491" s="19"/>
      <c r="E3491" s="19"/>
      <c r="F3491" s="20"/>
      <c r="G3491" s="19"/>
      <c r="H3491" s="19"/>
      <c r="I3491" s="19"/>
      <c r="J3491" s="21"/>
      <c r="K3491" s="19"/>
    </row>
    <row r="3492" spans="3:11" x14ac:dyDescent="0.2">
      <c r="C3492" s="19"/>
      <c r="D3492" s="19"/>
      <c r="E3492" s="19"/>
      <c r="F3492" s="20"/>
      <c r="G3492" s="19"/>
      <c r="H3492" s="19"/>
      <c r="I3492" s="19"/>
      <c r="J3492" s="21"/>
      <c r="K3492" s="19"/>
    </row>
    <row r="3493" spans="3:11" x14ac:dyDescent="0.2">
      <c r="C3493" s="19"/>
      <c r="D3493" s="19"/>
      <c r="E3493" s="19"/>
      <c r="F3493" s="20"/>
      <c r="G3493" s="19"/>
      <c r="H3493" s="19"/>
      <c r="I3493" s="19"/>
      <c r="J3493" s="21"/>
      <c r="K3493" s="19"/>
    </row>
    <row r="3494" spans="3:11" x14ac:dyDescent="0.2">
      <c r="C3494" s="19"/>
      <c r="D3494" s="19"/>
      <c r="E3494" s="19"/>
      <c r="F3494" s="20"/>
      <c r="G3494" s="19"/>
      <c r="H3494" s="19"/>
      <c r="I3494" s="19"/>
      <c r="J3494" s="21"/>
      <c r="K3494" s="19"/>
    </row>
    <row r="3495" spans="3:11" x14ac:dyDescent="0.2">
      <c r="C3495" s="19"/>
      <c r="D3495" s="19"/>
      <c r="E3495" s="19"/>
      <c r="F3495" s="20"/>
      <c r="G3495" s="19"/>
      <c r="H3495" s="19"/>
      <c r="I3495" s="19"/>
      <c r="J3495" s="21"/>
      <c r="K3495" s="19"/>
    </row>
    <row r="3496" spans="3:11" x14ac:dyDescent="0.2">
      <c r="C3496" s="19"/>
      <c r="D3496" s="19"/>
      <c r="E3496" s="19"/>
      <c r="F3496" s="20"/>
      <c r="G3496" s="19"/>
      <c r="H3496" s="19"/>
      <c r="I3496" s="19"/>
      <c r="J3496" s="21"/>
      <c r="K3496" s="19"/>
    </row>
    <row r="3497" spans="3:11" x14ac:dyDescent="0.2">
      <c r="C3497" s="19"/>
      <c r="D3497" s="19"/>
      <c r="E3497" s="19"/>
      <c r="F3497" s="20"/>
      <c r="G3497" s="19"/>
      <c r="H3497" s="19"/>
      <c r="I3497" s="19"/>
      <c r="J3497" s="21"/>
      <c r="K3497" s="19"/>
    </row>
    <row r="3498" spans="3:11" x14ac:dyDescent="0.2">
      <c r="C3498" s="19"/>
      <c r="D3498" s="19"/>
      <c r="E3498" s="19"/>
      <c r="F3498" s="20"/>
      <c r="G3498" s="19"/>
      <c r="H3498" s="19"/>
      <c r="I3498" s="19"/>
      <c r="J3498" s="21"/>
      <c r="K3498" s="19"/>
    </row>
    <row r="3499" spans="3:11" x14ac:dyDescent="0.2">
      <c r="C3499" s="19"/>
      <c r="D3499" s="19"/>
      <c r="E3499" s="19"/>
      <c r="F3499" s="20"/>
      <c r="G3499" s="19"/>
      <c r="H3499" s="19"/>
      <c r="I3499" s="19"/>
      <c r="J3499" s="21"/>
      <c r="K3499" s="19"/>
    </row>
    <row r="3500" spans="3:11" x14ac:dyDescent="0.2">
      <c r="C3500" s="19"/>
      <c r="D3500" s="19"/>
      <c r="E3500" s="19"/>
      <c r="F3500" s="20"/>
      <c r="G3500" s="19"/>
      <c r="H3500" s="19"/>
      <c r="I3500" s="19"/>
      <c r="J3500" s="21"/>
      <c r="K3500" s="19"/>
    </row>
    <row r="3501" spans="3:11" x14ac:dyDescent="0.2">
      <c r="C3501" s="19"/>
      <c r="D3501" s="19"/>
      <c r="E3501" s="19"/>
      <c r="F3501" s="20"/>
      <c r="G3501" s="19"/>
      <c r="H3501" s="19"/>
      <c r="I3501" s="19"/>
      <c r="J3501" s="21"/>
      <c r="K3501" s="19"/>
    </row>
    <row r="3502" spans="3:11" x14ac:dyDescent="0.2">
      <c r="C3502" s="19"/>
      <c r="D3502" s="19"/>
      <c r="E3502" s="19"/>
      <c r="F3502" s="20"/>
      <c r="G3502" s="19"/>
      <c r="H3502" s="19"/>
      <c r="I3502" s="19"/>
      <c r="J3502" s="21"/>
      <c r="K3502" s="19"/>
    </row>
    <row r="3503" spans="3:11" x14ac:dyDescent="0.2">
      <c r="C3503" s="19"/>
      <c r="D3503" s="19"/>
      <c r="E3503" s="19"/>
      <c r="F3503" s="20"/>
      <c r="G3503" s="19"/>
      <c r="H3503" s="19"/>
      <c r="I3503" s="19"/>
      <c r="J3503" s="21"/>
      <c r="K3503" s="19"/>
    </row>
    <row r="3504" spans="3:11" x14ac:dyDescent="0.2">
      <c r="C3504" s="19"/>
      <c r="D3504" s="19"/>
      <c r="E3504" s="19"/>
      <c r="F3504" s="20"/>
      <c r="G3504" s="19"/>
      <c r="H3504" s="19"/>
      <c r="I3504" s="19"/>
      <c r="J3504" s="21"/>
      <c r="K3504" s="19"/>
    </row>
    <row r="3505" spans="3:11" x14ac:dyDescent="0.2">
      <c r="C3505" s="19"/>
      <c r="D3505" s="19"/>
      <c r="E3505" s="19"/>
      <c r="F3505" s="20"/>
      <c r="G3505" s="19"/>
      <c r="H3505" s="19"/>
      <c r="I3505" s="19"/>
      <c r="J3505" s="21"/>
      <c r="K3505" s="19"/>
    </row>
    <row r="3506" spans="3:11" x14ac:dyDescent="0.2">
      <c r="C3506" s="19"/>
      <c r="D3506" s="19"/>
      <c r="E3506" s="19"/>
      <c r="F3506" s="20"/>
      <c r="G3506" s="19"/>
      <c r="H3506" s="19"/>
      <c r="I3506" s="19"/>
      <c r="J3506" s="21"/>
      <c r="K3506" s="19"/>
    </row>
    <row r="3507" spans="3:11" x14ac:dyDescent="0.2">
      <c r="C3507" s="19"/>
      <c r="D3507" s="19"/>
      <c r="E3507" s="19"/>
      <c r="F3507" s="20"/>
      <c r="G3507" s="19"/>
      <c r="H3507" s="19"/>
      <c r="I3507" s="19"/>
      <c r="J3507" s="21"/>
      <c r="K3507" s="19"/>
    </row>
    <row r="3508" spans="3:11" x14ac:dyDescent="0.2">
      <c r="C3508" s="19"/>
      <c r="D3508" s="19"/>
      <c r="E3508" s="19"/>
      <c r="F3508" s="20"/>
      <c r="G3508" s="19"/>
      <c r="H3508" s="19"/>
      <c r="I3508" s="19"/>
      <c r="J3508" s="21"/>
      <c r="K3508" s="19"/>
    </row>
    <row r="3509" spans="3:11" x14ac:dyDescent="0.2">
      <c r="C3509" s="19"/>
      <c r="D3509" s="19"/>
      <c r="E3509" s="19"/>
      <c r="F3509" s="20"/>
      <c r="G3509" s="19"/>
      <c r="H3509" s="19"/>
      <c r="I3509" s="19"/>
      <c r="J3509" s="21"/>
      <c r="K3509" s="19"/>
    </row>
    <row r="3510" spans="3:11" x14ac:dyDescent="0.2">
      <c r="C3510" s="19"/>
      <c r="D3510" s="19"/>
      <c r="E3510" s="19"/>
      <c r="F3510" s="20"/>
      <c r="G3510" s="19"/>
      <c r="H3510" s="19"/>
      <c r="I3510" s="19"/>
      <c r="J3510" s="21"/>
      <c r="K3510" s="19"/>
    </row>
    <row r="3511" spans="3:11" x14ac:dyDescent="0.2">
      <c r="C3511" s="19"/>
      <c r="D3511" s="19"/>
      <c r="E3511" s="19"/>
      <c r="F3511" s="20"/>
      <c r="G3511" s="19"/>
      <c r="H3511" s="19"/>
      <c r="I3511" s="19"/>
      <c r="J3511" s="21"/>
      <c r="K3511" s="19"/>
    </row>
    <row r="3512" spans="3:11" x14ac:dyDescent="0.2">
      <c r="C3512" s="19"/>
      <c r="D3512" s="19"/>
      <c r="E3512" s="19"/>
      <c r="F3512" s="20"/>
      <c r="G3512" s="19"/>
      <c r="H3512" s="19"/>
      <c r="I3512" s="19"/>
      <c r="J3512" s="21"/>
      <c r="K3512" s="19"/>
    </row>
    <row r="3513" spans="3:11" x14ac:dyDescent="0.2">
      <c r="C3513" s="19"/>
      <c r="D3513" s="19"/>
      <c r="E3513" s="19"/>
      <c r="F3513" s="20"/>
      <c r="G3513" s="19"/>
      <c r="H3513" s="19"/>
      <c r="I3513" s="19"/>
      <c r="J3513" s="21"/>
      <c r="K3513" s="19"/>
    </row>
    <row r="3514" spans="3:11" x14ac:dyDescent="0.2">
      <c r="C3514" s="19"/>
      <c r="D3514" s="19"/>
      <c r="E3514" s="19"/>
      <c r="F3514" s="20"/>
      <c r="G3514" s="19"/>
      <c r="H3514" s="19"/>
      <c r="I3514" s="19"/>
      <c r="J3514" s="21"/>
      <c r="K3514" s="19"/>
    </row>
    <row r="3515" spans="3:11" x14ac:dyDescent="0.2">
      <c r="C3515" s="19"/>
      <c r="D3515" s="19"/>
      <c r="E3515" s="19"/>
      <c r="F3515" s="20"/>
      <c r="G3515" s="19"/>
      <c r="H3515" s="19"/>
      <c r="I3515" s="19"/>
      <c r="J3515" s="21"/>
      <c r="K3515" s="19"/>
    </row>
    <row r="3516" spans="3:11" x14ac:dyDescent="0.2">
      <c r="C3516" s="19"/>
      <c r="D3516" s="19"/>
      <c r="E3516" s="19"/>
      <c r="F3516" s="20"/>
      <c r="G3516" s="19"/>
      <c r="H3516" s="19"/>
      <c r="I3516" s="19"/>
      <c r="J3516" s="21"/>
      <c r="K3516" s="19"/>
    </row>
    <row r="3517" spans="3:11" x14ac:dyDescent="0.2">
      <c r="C3517" s="19"/>
      <c r="D3517" s="19"/>
      <c r="E3517" s="19"/>
      <c r="F3517" s="20"/>
      <c r="G3517" s="19"/>
      <c r="H3517" s="19"/>
      <c r="I3517" s="19"/>
      <c r="J3517" s="21"/>
      <c r="K3517" s="19"/>
    </row>
    <row r="3518" spans="3:11" x14ac:dyDescent="0.2">
      <c r="C3518" s="19"/>
      <c r="D3518" s="19"/>
      <c r="E3518" s="19"/>
      <c r="F3518" s="20"/>
      <c r="G3518" s="19"/>
      <c r="H3518" s="19"/>
      <c r="I3518" s="19"/>
      <c r="J3518" s="21"/>
      <c r="K3518" s="19"/>
    </row>
    <row r="3519" spans="3:11" x14ac:dyDescent="0.2">
      <c r="C3519" s="19"/>
      <c r="D3519" s="19"/>
      <c r="E3519" s="19"/>
      <c r="F3519" s="20"/>
      <c r="G3519" s="19"/>
      <c r="H3519" s="19"/>
      <c r="I3519" s="19"/>
      <c r="J3519" s="21"/>
      <c r="K3519" s="19"/>
    </row>
    <row r="3520" spans="3:11" x14ac:dyDescent="0.2">
      <c r="C3520" s="19"/>
      <c r="D3520" s="19"/>
      <c r="E3520" s="19"/>
      <c r="F3520" s="20"/>
      <c r="G3520" s="19"/>
      <c r="H3520" s="19"/>
      <c r="I3520" s="19"/>
      <c r="J3520" s="21"/>
      <c r="K3520" s="19"/>
    </row>
    <row r="3521" spans="3:11" x14ac:dyDescent="0.2">
      <c r="C3521" s="19"/>
      <c r="D3521" s="19"/>
      <c r="E3521" s="19"/>
      <c r="F3521" s="20"/>
      <c r="G3521" s="19"/>
      <c r="H3521" s="19"/>
      <c r="I3521" s="19"/>
      <c r="J3521" s="21"/>
      <c r="K3521" s="19"/>
    </row>
    <row r="3522" spans="3:11" x14ac:dyDescent="0.2">
      <c r="C3522" s="19"/>
      <c r="D3522" s="19"/>
      <c r="E3522" s="19"/>
      <c r="F3522" s="20"/>
      <c r="G3522" s="19"/>
      <c r="H3522" s="19"/>
      <c r="I3522" s="19"/>
      <c r="J3522" s="21"/>
      <c r="K3522" s="19"/>
    </row>
    <row r="3523" spans="3:11" x14ac:dyDescent="0.2">
      <c r="C3523" s="19"/>
      <c r="D3523" s="19"/>
      <c r="E3523" s="19"/>
      <c r="F3523" s="20"/>
      <c r="G3523" s="19"/>
      <c r="H3523" s="19"/>
      <c r="I3523" s="19"/>
      <c r="J3523" s="21"/>
      <c r="K3523" s="19"/>
    </row>
    <row r="3524" spans="3:11" x14ac:dyDescent="0.2">
      <c r="C3524" s="19"/>
      <c r="D3524" s="19"/>
      <c r="E3524" s="19"/>
      <c r="F3524" s="20"/>
      <c r="G3524" s="19"/>
      <c r="H3524" s="19"/>
      <c r="I3524" s="19"/>
      <c r="J3524" s="21"/>
      <c r="K3524" s="19"/>
    </row>
    <row r="3525" spans="3:11" x14ac:dyDescent="0.2">
      <c r="C3525" s="19"/>
      <c r="D3525" s="19"/>
      <c r="E3525" s="19"/>
      <c r="F3525" s="20"/>
      <c r="G3525" s="19"/>
      <c r="H3525" s="19"/>
      <c r="I3525" s="19"/>
      <c r="J3525" s="21"/>
      <c r="K3525" s="19"/>
    </row>
    <row r="3526" spans="3:11" x14ac:dyDescent="0.2">
      <c r="C3526" s="19"/>
      <c r="D3526" s="19"/>
      <c r="E3526" s="19"/>
      <c r="F3526" s="20"/>
      <c r="G3526" s="19"/>
      <c r="H3526" s="19"/>
      <c r="I3526" s="19"/>
      <c r="J3526" s="21"/>
      <c r="K3526" s="19"/>
    </row>
    <row r="3527" spans="3:11" x14ac:dyDescent="0.2">
      <c r="C3527" s="19"/>
      <c r="D3527" s="19"/>
      <c r="E3527" s="19"/>
      <c r="F3527" s="20"/>
      <c r="G3527" s="19"/>
      <c r="H3527" s="19"/>
      <c r="I3527" s="19"/>
      <c r="J3527" s="21"/>
      <c r="K3527" s="19"/>
    </row>
    <row r="3528" spans="3:11" x14ac:dyDescent="0.2">
      <c r="C3528" s="19"/>
      <c r="D3528" s="19"/>
      <c r="E3528" s="19"/>
      <c r="F3528" s="20"/>
      <c r="G3528" s="19"/>
      <c r="H3528" s="19"/>
      <c r="I3528" s="19"/>
      <c r="J3528" s="21"/>
      <c r="K3528" s="19"/>
    </row>
    <row r="3529" spans="3:11" x14ac:dyDescent="0.2">
      <c r="C3529" s="19"/>
      <c r="D3529" s="19"/>
      <c r="E3529" s="19"/>
      <c r="F3529" s="20"/>
      <c r="G3529" s="19"/>
      <c r="H3529" s="19"/>
      <c r="I3529" s="19"/>
      <c r="J3529" s="21"/>
      <c r="K3529" s="19"/>
    </row>
    <row r="3530" spans="3:11" x14ac:dyDescent="0.2">
      <c r="C3530" s="19"/>
      <c r="D3530" s="19"/>
      <c r="E3530" s="19"/>
      <c r="F3530" s="20"/>
      <c r="G3530" s="19"/>
      <c r="H3530" s="19"/>
      <c r="I3530" s="19"/>
      <c r="J3530" s="21"/>
      <c r="K3530" s="19"/>
    </row>
    <row r="3531" spans="3:11" x14ac:dyDescent="0.2">
      <c r="C3531" s="19"/>
      <c r="D3531" s="19"/>
      <c r="E3531" s="19"/>
      <c r="F3531" s="20"/>
      <c r="G3531" s="19"/>
      <c r="H3531" s="19"/>
      <c r="I3531" s="19"/>
      <c r="J3531" s="21"/>
      <c r="K3531" s="19"/>
    </row>
    <row r="3532" spans="3:11" x14ac:dyDescent="0.2">
      <c r="C3532" s="19"/>
      <c r="D3532" s="19"/>
      <c r="E3532" s="19"/>
      <c r="F3532" s="20"/>
      <c r="G3532" s="19"/>
      <c r="H3532" s="19"/>
      <c r="I3532" s="19"/>
      <c r="J3532" s="21"/>
      <c r="K3532" s="19"/>
    </row>
    <row r="3533" spans="3:11" x14ac:dyDescent="0.2">
      <c r="C3533" s="19"/>
      <c r="D3533" s="19"/>
      <c r="E3533" s="19"/>
      <c r="F3533" s="20"/>
      <c r="G3533" s="19"/>
      <c r="H3533" s="19"/>
      <c r="I3533" s="19"/>
      <c r="J3533" s="21"/>
      <c r="K3533" s="19"/>
    </row>
    <row r="3534" spans="3:11" x14ac:dyDescent="0.2">
      <c r="C3534" s="19"/>
      <c r="D3534" s="19"/>
      <c r="E3534" s="19"/>
      <c r="F3534" s="20"/>
      <c r="G3534" s="19"/>
      <c r="H3534" s="19"/>
      <c r="I3534" s="19"/>
      <c r="J3534" s="21"/>
      <c r="K3534" s="19"/>
    </row>
    <row r="3535" spans="3:11" x14ac:dyDescent="0.2">
      <c r="C3535" s="19"/>
      <c r="D3535" s="19"/>
      <c r="E3535" s="19"/>
      <c r="F3535" s="20"/>
      <c r="G3535" s="19"/>
      <c r="H3535" s="19"/>
      <c r="I3535" s="19"/>
      <c r="J3535" s="21"/>
      <c r="K3535" s="19"/>
    </row>
    <row r="3536" spans="3:11" x14ac:dyDescent="0.2">
      <c r="C3536" s="19"/>
      <c r="D3536" s="19"/>
      <c r="E3536" s="19"/>
      <c r="F3536" s="20"/>
      <c r="G3536" s="19"/>
      <c r="H3536" s="19"/>
      <c r="I3536" s="19"/>
      <c r="J3536" s="21"/>
      <c r="K3536" s="19"/>
    </row>
    <row r="3537" spans="3:11" x14ac:dyDescent="0.2">
      <c r="C3537" s="19"/>
      <c r="D3537" s="19"/>
      <c r="E3537" s="19"/>
      <c r="F3537" s="20"/>
      <c r="G3537" s="19"/>
      <c r="H3537" s="19"/>
      <c r="I3537" s="19"/>
      <c r="J3537" s="21"/>
      <c r="K3537" s="19"/>
    </row>
    <row r="3538" spans="3:11" x14ac:dyDescent="0.2">
      <c r="C3538" s="19"/>
      <c r="D3538" s="19"/>
      <c r="E3538" s="19"/>
      <c r="F3538" s="20"/>
      <c r="G3538" s="19"/>
      <c r="H3538" s="19"/>
      <c r="I3538" s="19"/>
      <c r="J3538" s="21"/>
      <c r="K3538" s="19"/>
    </row>
    <row r="3539" spans="3:11" x14ac:dyDescent="0.2">
      <c r="C3539" s="19"/>
      <c r="D3539" s="19"/>
      <c r="E3539" s="19"/>
      <c r="F3539" s="20"/>
      <c r="G3539" s="19"/>
      <c r="H3539" s="19"/>
      <c r="I3539" s="19"/>
      <c r="J3539" s="21"/>
      <c r="K3539" s="19"/>
    </row>
    <row r="3540" spans="3:11" x14ac:dyDescent="0.2">
      <c r="C3540" s="19"/>
      <c r="D3540" s="19"/>
      <c r="E3540" s="19"/>
      <c r="F3540" s="20"/>
      <c r="G3540" s="19"/>
      <c r="H3540" s="19"/>
      <c r="I3540" s="19"/>
      <c r="J3540" s="21"/>
      <c r="K3540" s="19"/>
    </row>
    <row r="3541" spans="3:11" x14ac:dyDescent="0.2">
      <c r="C3541" s="19"/>
      <c r="D3541" s="19"/>
      <c r="E3541" s="19"/>
      <c r="F3541" s="20"/>
      <c r="G3541" s="19"/>
      <c r="H3541" s="19"/>
      <c r="I3541" s="19"/>
      <c r="J3541" s="21"/>
      <c r="K3541" s="19"/>
    </row>
    <row r="3542" spans="3:11" x14ac:dyDescent="0.2">
      <c r="C3542" s="19"/>
      <c r="D3542" s="19"/>
      <c r="E3542" s="19"/>
      <c r="F3542" s="20"/>
      <c r="G3542" s="19"/>
      <c r="H3542" s="19"/>
      <c r="I3542" s="19"/>
      <c r="J3542" s="21"/>
      <c r="K3542" s="19"/>
    </row>
    <row r="3543" spans="3:11" x14ac:dyDescent="0.2">
      <c r="C3543" s="19"/>
      <c r="D3543" s="19"/>
      <c r="E3543" s="19"/>
      <c r="F3543" s="20"/>
      <c r="G3543" s="19"/>
      <c r="H3543" s="19"/>
      <c r="I3543" s="19"/>
      <c r="J3543" s="21"/>
      <c r="K3543" s="19"/>
    </row>
    <row r="3544" spans="3:11" x14ac:dyDescent="0.2">
      <c r="C3544" s="19"/>
      <c r="D3544" s="19"/>
      <c r="E3544" s="19"/>
      <c r="F3544" s="20"/>
      <c r="G3544" s="19"/>
      <c r="H3544" s="19"/>
      <c r="I3544" s="19"/>
      <c r="J3544" s="21"/>
      <c r="K3544" s="19"/>
    </row>
    <row r="3545" spans="3:11" x14ac:dyDescent="0.2">
      <c r="C3545" s="19"/>
      <c r="D3545" s="19"/>
      <c r="E3545" s="19"/>
      <c r="F3545" s="20"/>
      <c r="G3545" s="19"/>
      <c r="H3545" s="19"/>
      <c r="I3545" s="19"/>
      <c r="J3545" s="21"/>
      <c r="K3545" s="19"/>
    </row>
    <row r="3546" spans="3:11" x14ac:dyDescent="0.2">
      <c r="C3546" s="19"/>
      <c r="D3546" s="19"/>
      <c r="E3546" s="19"/>
      <c r="F3546" s="20"/>
      <c r="G3546" s="19"/>
      <c r="H3546" s="19"/>
      <c r="I3546" s="19"/>
      <c r="J3546" s="21"/>
      <c r="K3546" s="19"/>
    </row>
    <row r="3547" spans="3:11" x14ac:dyDescent="0.2">
      <c r="C3547" s="19"/>
      <c r="D3547" s="19"/>
      <c r="E3547" s="19"/>
      <c r="F3547" s="20"/>
      <c r="G3547" s="19"/>
      <c r="H3547" s="19"/>
      <c r="I3547" s="19"/>
      <c r="J3547" s="21"/>
      <c r="K3547" s="19"/>
    </row>
    <row r="3548" spans="3:11" x14ac:dyDescent="0.2">
      <c r="C3548" s="19"/>
      <c r="D3548" s="19"/>
      <c r="E3548" s="19"/>
      <c r="F3548" s="20"/>
      <c r="G3548" s="19"/>
      <c r="H3548" s="19"/>
      <c r="I3548" s="19"/>
      <c r="J3548" s="21"/>
      <c r="K3548" s="19"/>
    </row>
    <row r="3549" spans="3:11" x14ac:dyDescent="0.2">
      <c r="C3549" s="19"/>
      <c r="D3549" s="19"/>
      <c r="E3549" s="19"/>
      <c r="F3549" s="20"/>
      <c r="G3549" s="19"/>
      <c r="H3549" s="19"/>
      <c r="I3549" s="19"/>
      <c r="J3549" s="21"/>
      <c r="K3549" s="19"/>
    </row>
    <row r="3550" spans="3:11" x14ac:dyDescent="0.2">
      <c r="C3550" s="19"/>
      <c r="D3550" s="19"/>
      <c r="E3550" s="19"/>
      <c r="F3550" s="20"/>
      <c r="G3550" s="19"/>
      <c r="H3550" s="19"/>
      <c r="I3550" s="19"/>
      <c r="J3550" s="21"/>
      <c r="K3550" s="19"/>
    </row>
    <row r="3551" spans="3:11" x14ac:dyDescent="0.2">
      <c r="C3551" s="19"/>
      <c r="D3551" s="19"/>
      <c r="E3551" s="19"/>
      <c r="F3551" s="20"/>
      <c r="G3551" s="19"/>
      <c r="H3551" s="19"/>
      <c r="I3551" s="19"/>
      <c r="J3551" s="21"/>
      <c r="K3551" s="19"/>
    </row>
    <row r="3552" spans="3:11" x14ac:dyDescent="0.2">
      <c r="C3552" s="19"/>
      <c r="D3552" s="19"/>
      <c r="E3552" s="19"/>
      <c r="F3552" s="20"/>
      <c r="G3552" s="19"/>
      <c r="H3552" s="19"/>
      <c r="I3552" s="19"/>
      <c r="J3552" s="21"/>
      <c r="K3552" s="19"/>
    </row>
    <row r="3553" spans="3:11" x14ac:dyDescent="0.2">
      <c r="C3553" s="19"/>
      <c r="D3553" s="19"/>
      <c r="E3553" s="19"/>
      <c r="F3553" s="20"/>
      <c r="G3553" s="19"/>
      <c r="H3553" s="19"/>
      <c r="I3553" s="19"/>
      <c r="J3553" s="21"/>
      <c r="K3553" s="19"/>
    </row>
    <row r="3554" spans="3:11" x14ac:dyDescent="0.2">
      <c r="C3554" s="19"/>
      <c r="D3554" s="19"/>
      <c r="E3554" s="19"/>
      <c r="F3554" s="20"/>
      <c r="G3554" s="19"/>
      <c r="H3554" s="19"/>
      <c r="I3554" s="19"/>
      <c r="J3554" s="21"/>
      <c r="K3554" s="19"/>
    </row>
    <row r="3555" spans="3:11" x14ac:dyDescent="0.2">
      <c r="C3555" s="19"/>
      <c r="D3555" s="19"/>
      <c r="E3555" s="19"/>
      <c r="F3555" s="20"/>
      <c r="G3555" s="19"/>
      <c r="H3555" s="19"/>
      <c r="I3555" s="19"/>
      <c r="J3555" s="21"/>
      <c r="K3555" s="19"/>
    </row>
    <row r="3556" spans="3:11" x14ac:dyDescent="0.2">
      <c r="C3556" s="19"/>
      <c r="D3556" s="19"/>
      <c r="E3556" s="19"/>
      <c r="F3556" s="20"/>
      <c r="G3556" s="19"/>
      <c r="H3556" s="19"/>
      <c r="I3556" s="19"/>
      <c r="J3556" s="21"/>
      <c r="K3556" s="19"/>
    </row>
    <row r="3557" spans="3:11" x14ac:dyDescent="0.2">
      <c r="C3557" s="19"/>
      <c r="D3557" s="19"/>
      <c r="E3557" s="19"/>
      <c r="F3557" s="20"/>
      <c r="G3557" s="19"/>
      <c r="H3557" s="19"/>
      <c r="I3557" s="19"/>
      <c r="J3557" s="21"/>
      <c r="K3557" s="19"/>
    </row>
    <row r="3558" spans="3:11" x14ac:dyDescent="0.2">
      <c r="C3558" s="19"/>
      <c r="D3558" s="19"/>
      <c r="E3558" s="19"/>
      <c r="F3558" s="20"/>
      <c r="G3558" s="19"/>
      <c r="H3558" s="19"/>
      <c r="I3558" s="19"/>
      <c r="J3558" s="21"/>
      <c r="K3558" s="19"/>
    </row>
    <row r="3559" spans="3:11" x14ac:dyDescent="0.2">
      <c r="C3559" s="19"/>
      <c r="D3559" s="19"/>
      <c r="E3559" s="19"/>
      <c r="F3559" s="20"/>
      <c r="G3559" s="19"/>
      <c r="H3559" s="19"/>
      <c r="I3559" s="19"/>
      <c r="J3559" s="21"/>
      <c r="K3559" s="19"/>
    </row>
    <row r="3560" spans="3:11" x14ac:dyDescent="0.2">
      <c r="C3560" s="19"/>
      <c r="D3560" s="19"/>
      <c r="E3560" s="19"/>
      <c r="F3560" s="20"/>
      <c r="G3560" s="19"/>
      <c r="H3560" s="19"/>
      <c r="I3560" s="19"/>
      <c r="J3560" s="21"/>
      <c r="K3560" s="19"/>
    </row>
    <row r="3561" spans="3:11" x14ac:dyDescent="0.2">
      <c r="C3561" s="19"/>
      <c r="D3561" s="19"/>
      <c r="E3561" s="19"/>
      <c r="F3561" s="20"/>
      <c r="G3561" s="19"/>
      <c r="H3561" s="19"/>
      <c r="I3561" s="19"/>
      <c r="J3561" s="21"/>
      <c r="K3561" s="19"/>
    </row>
    <row r="3562" spans="3:11" x14ac:dyDescent="0.2">
      <c r="C3562" s="19"/>
      <c r="D3562" s="19"/>
      <c r="E3562" s="19"/>
      <c r="F3562" s="20"/>
      <c r="G3562" s="19"/>
      <c r="H3562" s="19"/>
      <c r="I3562" s="19"/>
      <c r="J3562" s="21"/>
      <c r="K3562" s="19"/>
    </row>
    <row r="3563" spans="3:11" x14ac:dyDescent="0.2">
      <c r="C3563" s="19"/>
      <c r="D3563" s="19"/>
      <c r="E3563" s="19"/>
      <c r="F3563" s="20"/>
      <c r="G3563" s="19"/>
      <c r="H3563" s="19"/>
      <c r="I3563" s="19"/>
      <c r="J3563" s="21"/>
      <c r="K3563" s="19"/>
    </row>
    <row r="3564" spans="3:11" x14ac:dyDescent="0.2">
      <c r="C3564" s="19"/>
      <c r="D3564" s="19"/>
      <c r="E3564" s="19"/>
      <c r="F3564" s="20"/>
      <c r="G3564" s="19"/>
      <c r="H3564" s="19"/>
      <c r="I3564" s="19"/>
      <c r="J3564" s="21"/>
      <c r="K3564" s="19"/>
    </row>
    <row r="3565" spans="3:11" x14ac:dyDescent="0.2">
      <c r="C3565" s="19"/>
      <c r="D3565" s="19"/>
      <c r="E3565" s="19"/>
      <c r="F3565" s="20"/>
      <c r="G3565" s="19"/>
      <c r="H3565" s="19"/>
      <c r="I3565" s="19"/>
      <c r="J3565" s="21"/>
      <c r="K3565" s="19"/>
    </row>
    <row r="3566" spans="3:11" x14ac:dyDescent="0.2">
      <c r="C3566" s="19"/>
      <c r="D3566" s="19"/>
      <c r="E3566" s="19"/>
      <c r="F3566" s="20"/>
      <c r="G3566" s="19"/>
      <c r="H3566" s="19"/>
      <c r="I3566" s="19"/>
      <c r="J3566" s="21"/>
      <c r="K3566" s="19"/>
    </row>
    <row r="3567" spans="3:11" x14ac:dyDescent="0.2">
      <c r="C3567" s="19"/>
      <c r="D3567" s="19"/>
      <c r="E3567" s="19"/>
      <c r="F3567" s="20"/>
      <c r="G3567" s="19"/>
      <c r="H3567" s="19"/>
      <c r="I3567" s="19"/>
      <c r="J3567" s="21"/>
      <c r="K3567" s="19"/>
    </row>
    <row r="3568" spans="3:11" x14ac:dyDescent="0.2">
      <c r="C3568" s="19"/>
      <c r="D3568" s="19"/>
      <c r="E3568" s="19"/>
      <c r="F3568" s="20"/>
      <c r="G3568" s="19"/>
      <c r="H3568" s="19"/>
      <c r="I3568" s="19"/>
      <c r="J3568" s="21"/>
      <c r="K3568" s="19"/>
    </row>
    <row r="3569" spans="3:11" x14ac:dyDescent="0.2">
      <c r="C3569" s="19"/>
      <c r="D3569" s="19"/>
      <c r="E3569" s="19"/>
      <c r="F3569" s="20"/>
      <c r="G3569" s="19"/>
      <c r="H3569" s="19"/>
      <c r="I3569" s="19"/>
      <c r="J3569" s="21"/>
      <c r="K3569" s="19"/>
    </row>
    <row r="3570" spans="3:11" x14ac:dyDescent="0.2">
      <c r="C3570" s="19"/>
      <c r="D3570" s="19"/>
      <c r="E3570" s="19"/>
      <c r="F3570" s="20"/>
      <c r="G3570" s="19"/>
      <c r="H3570" s="19"/>
      <c r="I3570" s="19"/>
      <c r="J3570" s="21"/>
      <c r="K3570" s="19"/>
    </row>
    <row r="3571" spans="3:11" x14ac:dyDescent="0.2">
      <c r="C3571" s="19"/>
      <c r="D3571" s="19"/>
      <c r="E3571" s="19"/>
      <c r="F3571" s="20"/>
      <c r="G3571" s="19"/>
      <c r="H3571" s="19"/>
      <c r="I3571" s="19"/>
      <c r="J3571" s="21"/>
      <c r="K3571" s="19"/>
    </row>
    <row r="3572" spans="3:11" x14ac:dyDescent="0.2">
      <c r="C3572" s="19"/>
      <c r="D3572" s="19"/>
      <c r="E3572" s="19"/>
      <c r="F3572" s="20"/>
      <c r="G3572" s="19"/>
      <c r="H3572" s="19"/>
      <c r="I3572" s="19"/>
      <c r="J3572" s="21"/>
      <c r="K3572" s="19"/>
    </row>
    <row r="3573" spans="3:11" x14ac:dyDescent="0.2">
      <c r="C3573" s="19"/>
      <c r="D3573" s="19"/>
      <c r="E3573" s="19"/>
      <c r="F3573" s="20"/>
      <c r="G3573" s="19"/>
      <c r="H3573" s="19"/>
      <c r="I3573" s="19"/>
      <c r="J3573" s="21"/>
      <c r="K3573" s="19"/>
    </row>
    <row r="3574" spans="3:11" x14ac:dyDescent="0.2">
      <c r="C3574" s="19"/>
      <c r="D3574" s="19"/>
      <c r="E3574" s="19"/>
      <c r="F3574" s="20"/>
      <c r="G3574" s="19"/>
      <c r="H3574" s="19"/>
      <c r="I3574" s="19"/>
      <c r="J3574" s="21"/>
      <c r="K3574" s="19"/>
    </row>
    <row r="3575" spans="3:11" x14ac:dyDescent="0.2">
      <c r="C3575" s="19"/>
      <c r="D3575" s="19"/>
      <c r="E3575" s="19"/>
      <c r="F3575" s="20"/>
      <c r="G3575" s="19"/>
      <c r="H3575" s="19"/>
      <c r="I3575" s="19"/>
      <c r="J3575" s="21"/>
      <c r="K3575" s="19"/>
    </row>
    <row r="3576" spans="3:11" x14ac:dyDescent="0.2">
      <c r="C3576" s="19"/>
      <c r="D3576" s="19"/>
      <c r="E3576" s="19"/>
      <c r="F3576" s="20"/>
      <c r="G3576" s="19"/>
      <c r="H3576" s="19"/>
      <c r="I3576" s="19"/>
      <c r="J3576" s="21"/>
      <c r="K3576" s="19"/>
    </row>
    <row r="3577" spans="3:11" x14ac:dyDescent="0.2">
      <c r="C3577" s="19"/>
      <c r="D3577" s="19"/>
      <c r="E3577" s="19"/>
      <c r="F3577" s="20"/>
      <c r="G3577" s="19"/>
      <c r="H3577" s="19"/>
      <c r="I3577" s="19"/>
      <c r="J3577" s="21"/>
      <c r="K3577" s="19"/>
    </row>
    <row r="3578" spans="3:11" x14ac:dyDescent="0.2">
      <c r="C3578" s="19"/>
      <c r="D3578" s="19"/>
      <c r="E3578" s="19"/>
      <c r="F3578" s="20"/>
      <c r="G3578" s="19"/>
      <c r="H3578" s="19"/>
      <c r="I3578" s="19"/>
      <c r="J3578" s="21"/>
      <c r="K3578" s="19"/>
    </row>
    <row r="3579" spans="3:11" x14ac:dyDescent="0.2">
      <c r="C3579" s="19"/>
      <c r="D3579" s="19"/>
      <c r="E3579" s="19"/>
      <c r="F3579" s="20"/>
      <c r="G3579" s="19"/>
      <c r="H3579" s="19"/>
      <c r="I3579" s="19"/>
      <c r="J3579" s="21"/>
      <c r="K3579" s="19"/>
    </row>
    <row r="3580" spans="3:11" x14ac:dyDescent="0.2">
      <c r="C3580" s="19"/>
      <c r="D3580" s="19"/>
      <c r="E3580" s="19"/>
      <c r="F3580" s="20"/>
      <c r="G3580" s="19"/>
      <c r="H3580" s="19"/>
      <c r="I3580" s="19"/>
      <c r="J3580" s="21"/>
      <c r="K3580" s="19"/>
    </row>
    <row r="3581" spans="3:11" x14ac:dyDescent="0.2">
      <c r="C3581" s="19"/>
      <c r="D3581" s="19"/>
      <c r="E3581" s="19"/>
      <c r="F3581" s="20"/>
      <c r="G3581" s="19"/>
      <c r="H3581" s="19"/>
      <c r="I3581" s="19"/>
      <c r="J3581" s="21"/>
      <c r="K3581" s="19"/>
    </row>
    <row r="3582" spans="3:11" x14ac:dyDescent="0.2">
      <c r="C3582" s="19"/>
      <c r="D3582" s="19"/>
      <c r="E3582" s="19"/>
      <c r="F3582" s="20"/>
      <c r="G3582" s="19"/>
      <c r="H3582" s="19"/>
      <c r="I3582" s="19"/>
      <c r="J3582" s="21"/>
      <c r="K3582" s="19"/>
    </row>
    <row r="3583" spans="3:11" x14ac:dyDescent="0.2">
      <c r="C3583" s="19"/>
      <c r="D3583" s="19"/>
      <c r="E3583" s="19"/>
      <c r="F3583" s="20"/>
      <c r="G3583" s="19"/>
      <c r="H3583" s="19"/>
      <c r="I3583" s="19"/>
      <c r="J3583" s="21"/>
      <c r="K3583" s="19"/>
    </row>
    <row r="3584" spans="3:11" x14ac:dyDescent="0.2">
      <c r="C3584" s="19"/>
      <c r="D3584" s="19"/>
      <c r="E3584" s="19"/>
      <c r="F3584" s="20"/>
      <c r="G3584" s="19"/>
      <c r="H3584" s="19"/>
      <c r="I3584" s="19"/>
      <c r="J3584" s="21"/>
      <c r="K3584" s="19"/>
    </row>
    <row r="3585" spans="3:11" x14ac:dyDescent="0.2">
      <c r="C3585" s="19"/>
      <c r="D3585" s="19"/>
      <c r="E3585" s="19"/>
      <c r="F3585" s="20"/>
      <c r="G3585" s="19"/>
      <c r="H3585" s="19"/>
      <c r="I3585" s="19"/>
      <c r="J3585" s="21"/>
      <c r="K3585" s="19"/>
    </row>
    <row r="3586" spans="3:11" x14ac:dyDescent="0.2">
      <c r="C3586" s="19"/>
      <c r="D3586" s="19"/>
      <c r="E3586" s="19"/>
      <c r="F3586" s="20"/>
      <c r="G3586" s="19"/>
      <c r="H3586" s="19"/>
      <c r="I3586" s="19"/>
      <c r="J3586" s="21"/>
      <c r="K3586" s="19"/>
    </row>
    <row r="3587" spans="3:11" x14ac:dyDescent="0.2">
      <c r="C3587" s="19"/>
      <c r="D3587" s="19"/>
      <c r="E3587" s="19"/>
      <c r="F3587" s="20"/>
      <c r="G3587" s="19"/>
      <c r="H3587" s="19"/>
      <c r="I3587" s="19"/>
      <c r="J3587" s="21"/>
      <c r="K3587" s="19"/>
    </row>
    <row r="3588" spans="3:11" x14ac:dyDescent="0.2">
      <c r="C3588" s="19"/>
      <c r="D3588" s="19"/>
      <c r="E3588" s="19"/>
      <c r="F3588" s="20"/>
      <c r="G3588" s="19"/>
      <c r="H3588" s="19"/>
      <c r="I3588" s="19"/>
      <c r="J3588" s="21"/>
      <c r="K3588" s="19"/>
    </row>
    <row r="3589" spans="3:11" x14ac:dyDescent="0.2">
      <c r="C3589" s="19"/>
      <c r="D3589" s="19"/>
      <c r="E3589" s="19"/>
      <c r="F3589" s="20"/>
      <c r="G3589" s="19"/>
      <c r="H3589" s="19"/>
      <c r="I3589" s="19"/>
      <c r="J3589" s="21"/>
      <c r="K3589" s="19"/>
    </row>
    <row r="3590" spans="3:11" x14ac:dyDescent="0.2">
      <c r="C3590" s="19"/>
      <c r="D3590" s="19"/>
      <c r="E3590" s="19"/>
      <c r="F3590" s="20"/>
      <c r="G3590" s="19"/>
      <c r="H3590" s="19"/>
      <c r="I3590" s="19"/>
      <c r="J3590" s="21"/>
      <c r="K3590" s="19"/>
    </row>
    <row r="3591" spans="3:11" x14ac:dyDescent="0.2">
      <c r="C3591" s="19"/>
      <c r="D3591" s="19"/>
      <c r="E3591" s="19"/>
      <c r="F3591" s="20"/>
      <c r="G3591" s="19"/>
      <c r="H3591" s="19"/>
      <c r="I3591" s="19"/>
      <c r="J3591" s="21"/>
      <c r="K3591" s="19"/>
    </row>
    <row r="3592" spans="3:11" x14ac:dyDescent="0.2">
      <c r="C3592" s="19"/>
      <c r="D3592" s="19"/>
      <c r="E3592" s="19"/>
      <c r="F3592" s="20"/>
      <c r="G3592" s="19"/>
      <c r="H3592" s="19"/>
      <c r="I3592" s="19"/>
      <c r="J3592" s="21"/>
      <c r="K3592" s="19"/>
    </row>
    <row r="3593" spans="3:11" x14ac:dyDescent="0.2">
      <c r="C3593" s="19"/>
      <c r="D3593" s="19"/>
      <c r="E3593" s="19"/>
      <c r="F3593" s="20"/>
      <c r="G3593" s="19"/>
      <c r="H3593" s="19"/>
      <c r="I3593" s="19"/>
      <c r="J3593" s="21"/>
      <c r="K3593" s="19"/>
    </row>
    <row r="3594" spans="3:11" x14ac:dyDescent="0.2">
      <c r="C3594" s="19"/>
      <c r="D3594" s="19"/>
      <c r="E3594" s="19"/>
      <c r="F3594" s="20"/>
      <c r="G3594" s="19"/>
      <c r="H3594" s="19"/>
      <c r="I3594" s="19"/>
      <c r="J3594" s="21"/>
      <c r="K3594" s="19"/>
    </row>
    <row r="3595" spans="3:11" x14ac:dyDescent="0.2">
      <c r="C3595" s="19"/>
      <c r="D3595" s="19"/>
      <c r="E3595" s="19"/>
      <c r="F3595" s="20"/>
      <c r="G3595" s="19"/>
      <c r="H3595" s="19"/>
      <c r="I3595" s="19"/>
      <c r="J3595" s="21"/>
      <c r="K3595" s="19"/>
    </row>
    <row r="3596" spans="3:11" x14ac:dyDescent="0.2">
      <c r="C3596" s="19"/>
      <c r="D3596" s="19"/>
      <c r="E3596" s="19"/>
      <c r="F3596" s="20"/>
      <c r="G3596" s="19"/>
      <c r="H3596" s="19"/>
      <c r="I3596" s="19"/>
      <c r="J3596" s="21"/>
      <c r="K3596" s="19"/>
    </row>
    <row r="3597" spans="3:11" x14ac:dyDescent="0.2">
      <c r="C3597" s="19"/>
      <c r="D3597" s="19"/>
      <c r="E3597" s="19"/>
      <c r="F3597" s="20"/>
      <c r="G3597" s="19"/>
      <c r="H3597" s="19"/>
      <c r="I3597" s="19"/>
      <c r="J3597" s="21"/>
      <c r="K3597" s="19"/>
    </row>
    <row r="3598" spans="3:11" x14ac:dyDescent="0.2">
      <c r="C3598" s="19"/>
      <c r="D3598" s="19"/>
      <c r="E3598" s="19"/>
      <c r="F3598" s="20"/>
      <c r="G3598" s="19"/>
      <c r="H3598" s="19"/>
      <c r="I3598" s="19"/>
      <c r="J3598" s="21"/>
      <c r="K3598" s="19"/>
    </row>
    <row r="3599" spans="3:11" x14ac:dyDescent="0.2">
      <c r="C3599" s="19"/>
      <c r="D3599" s="19"/>
      <c r="E3599" s="19"/>
      <c r="F3599" s="20"/>
      <c r="G3599" s="19"/>
      <c r="H3599" s="19"/>
      <c r="I3599" s="19"/>
      <c r="J3599" s="21"/>
      <c r="K3599" s="19"/>
    </row>
    <row r="3600" spans="3:11" x14ac:dyDescent="0.2">
      <c r="C3600" s="19"/>
      <c r="D3600" s="19"/>
      <c r="E3600" s="19"/>
      <c r="F3600" s="20"/>
      <c r="G3600" s="19"/>
      <c r="H3600" s="19"/>
      <c r="I3600" s="19"/>
      <c r="J3600" s="21"/>
      <c r="K3600" s="19"/>
    </row>
    <row r="3601" spans="3:11" x14ac:dyDescent="0.2">
      <c r="C3601" s="19"/>
      <c r="D3601" s="19"/>
      <c r="E3601" s="19"/>
      <c r="F3601" s="20"/>
      <c r="G3601" s="19"/>
      <c r="H3601" s="19"/>
      <c r="I3601" s="19"/>
      <c r="J3601" s="21"/>
      <c r="K3601" s="19"/>
    </row>
    <row r="3602" spans="3:11" x14ac:dyDescent="0.2">
      <c r="C3602" s="19"/>
      <c r="D3602" s="19"/>
      <c r="E3602" s="19"/>
      <c r="F3602" s="20"/>
      <c r="G3602" s="19"/>
      <c r="H3602" s="19"/>
      <c r="I3602" s="19"/>
      <c r="J3602" s="21"/>
      <c r="K3602" s="19"/>
    </row>
    <row r="3603" spans="3:11" x14ac:dyDescent="0.2">
      <c r="C3603" s="19"/>
      <c r="D3603" s="19"/>
      <c r="E3603" s="19"/>
      <c r="F3603" s="20"/>
      <c r="G3603" s="19"/>
      <c r="H3603" s="19"/>
      <c r="I3603" s="19"/>
      <c r="J3603" s="21"/>
      <c r="K3603" s="19"/>
    </row>
    <row r="3604" spans="3:11" x14ac:dyDescent="0.2">
      <c r="C3604" s="19"/>
      <c r="D3604" s="19"/>
      <c r="E3604" s="19"/>
      <c r="F3604" s="20"/>
      <c r="G3604" s="19"/>
      <c r="H3604" s="19"/>
      <c r="I3604" s="19"/>
      <c r="J3604" s="21"/>
      <c r="K3604" s="19"/>
    </row>
    <row r="3605" spans="3:11" x14ac:dyDescent="0.2">
      <c r="C3605" s="19"/>
      <c r="D3605" s="19"/>
      <c r="E3605" s="19"/>
      <c r="F3605" s="20"/>
      <c r="G3605" s="19"/>
      <c r="H3605" s="19"/>
      <c r="I3605" s="19"/>
      <c r="J3605" s="21"/>
      <c r="K3605" s="19"/>
    </row>
    <row r="3606" spans="3:11" x14ac:dyDescent="0.2">
      <c r="C3606" s="19"/>
      <c r="D3606" s="19"/>
      <c r="E3606" s="19"/>
      <c r="F3606" s="20"/>
      <c r="G3606" s="19"/>
      <c r="H3606" s="19"/>
      <c r="I3606" s="19"/>
      <c r="J3606" s="21"/>
      <c r="K3606" s="19"/>
    </row>
    <row r="3607" spans="3:11" x14ac:dyDescent="0.2">
      <c r="C3607" s="19"/>
      <c r="D3607" s="19"/>
      <c r="E3607" s="19"/>
      <c r="F3607" s="20"/>
      <c r="G3607" s="19"/>
      <c r="H3607" s="19"/>
      <c r="I3607" s="19"/>
      <c r="J3607" s="21"/>
      <c r="K3607" s="19"/>
    </row>
    <row r="3608" spans="3:11" x14ac:dyDescent="0.2">
      <c r="C3608" s="19"/>
      <c r="D3608" s="19"/>
      <c r="E3608" s="19"/>
      <c r="F3608" s="20"/>
      <c r="G3608" s="19"/>
      <c r="H3608" s="19"/>
      <c r="I3608" s="19"/>
      <c r="J3608" s="21"/>
      <c r="K3608" s="19"/>
    </row>
    <row r="3609" spans="3:11" x14ac:dyDescent="0.2">
      <c r="C3609" s="19"/>
      <c r="D3609" s="19"/>
      <c r="E3609" s="19"/>
      <c r="F3609" s="20"/>
      <c r="G3609" s="19"/>
      <c r="H3609" s="19"/>
      <c r="I3609" s="19"/>
      <c r="J3609" s="21"/>
      <c r="K3609" s="19"/>
    </row>
    <row r="3610" spans="3:11" x14ac:dyDescent="0.2">
      <c r="C3610" s="19"/>
      <c r="D3610" s="19"/>
      <c r="E3610" s="19"/>
      <c r="F3610" s="20"/>
      <c r="G3610" s="19"/>
      <c r="H3610" s="19"/>
      <c r="I3610" s="19"/>
      <c r="J3610" s="21"/>
      <c r="K3610" s="19"/>
    </row>
    <row r="3611" spans="3:11" x14ac:dyDescent="0.2">
      <c r="C3611" s="19"/>
      <c r="D3611" s="19"/>
      <c r="E3611" s="19"/>
      <c r="F3611" s="20"/>
      <c r="G3611" s="19"/>
      <c r="H3611" s="19"/>
      <c r="I3611" s="19"/>
      <c r="J3611" s="21"/>
      <c r="K3611" s="19"/>
    </row>
    <row r="3612" spans="3:11" x14ac:dyDescent="0.2">
      <c r="C3612" s="19"/>
      <c r="D3612" s="19"/>
      <c r="E3612" s="19"/>
      <c r="F3612" s="20"/>
      <c r="G3612" s="19"/>
      <c r="H3612" s="19"/>
      <c r="I3612" s="19"/>
      <c r="J3612" s="21"/>
      <c r="K3612" s="19"/>
    </row>
    <row r="3613" spans="3:11" x14ac:dyDescent="0.2">
      <c r="C3613" s="19"/>
      <c r="D3613" s="19"/>
      <c r="E3613" s="19"/>
      <c r="F3613" s="20"/>
      <c r="G3613" s="19"/>
      <c r="H3613" s="19"/>
      <c r="I3613" s="19"/>
      <c r="J3613" s="21"/>
      <c r="K3613" s="19"/>
    </row>
    <row r="3614" spans="3:11" x14ac:dyDescent="0.2">
      <c r="C3614" s="19"/>
      <c r="D3614" s="19"/>
      <c r="E3614" s="19"/>
      <c r="F3614" s="20"/>
      <c r="G3614" s="19"/>
      <c r="H3614" s="19"/>
      <c r="I3614" s="19"/>
      <c r="J3614" s="21"/>
      <c r="K3614" s="19"/>
    </row>
    <row r="3615" spans="3:11" x14ac:dyDescent="0.2">
      <c r="C3615" s="19"/>
      <c r="D3615" s="19"/>
      <c r="E3615" s="19"/>
      <c r="F3615" s="20"/>
      <c r="G3615" s="19"/>
      <c r="H3615" s="19"/>
      <c r="I3615" s="19"/>
      <c r="J3615" s="21"/>
      <c r="K3615" s="19"/>
    </row>
    <row r="3616" spans="3:11" x14ac:dyDescent="0.2">
      <c r="C3616" s="19"/>
      <c r="D3616" s="19"/>
      <c r="E3616" s="19"/>
      <c r="F3616" s="20"/>
      <c r="G3616" s="19"/>
      <c r="H3616" s="19"/>
      <c r="I3616" s="19"/>
      <c r="J3616" s="21"/>
      <c r="K3616" s="19"/>
    </row>
    <row r="3617" spans="3:11" x14ac:dyDescent="0.2">
      <c r="C3617" s="19"/>
      <c r="D3617" s="19"/>
      <c r="E3617" s="19"/>
      <c r="F3617" s="20"/>
      <c r="G3617" s="19"/>
      <c r="H3617" s="19"/>
      <c r="I3617" s="19"/>
      <c r="J3617" s="21"/>
      <c r="K3617" s="19"/>
    </row>
    <row r="3618" spans="3:11" x14ac:dyDescent="0.2">
      <c r="C3618" s="19"/>
      <c r="D3618" s="19"/>
      <c r="E3618" s="19"/>
      <c r="F3618" s="20"/>
      <c r="G3618" s="19"/>
      <c r="H3618" s="19"/>
      <c r="I3618" s="19"/>
      <c r="J3618" s="21"/>
      <c r="K3618" s="19"/>
    </row>
    <row r="3619" spans="3:11" x14ac:dyDescent="0.2">
      <c r="C3619" s="19"/>
      <c r="D3619" s="19"/>
      <c r="E3619" s="19"/>
      <c r="F3619" s="20"/>
      <c r="G3619" s="19"/>
      <c r="H3619" s="19"/>
      <c r="I3619" s="19"/>
      <c r="J3619" s="21"/>
      <c r="K3619" s="19"/>
    </row>
    <row r="3620" spans="3:11" x14ac:dyDescent="0.2">
      <c r="C3620" s="19"/>
      <c r="D3620" s="19"/>
      <c r="E3620" s="19"/>
      <c r="F3620" s="20"/>
      <c r="G3620" s="19"/>
      <c r="H3620" s="19"/>
      <c r="I3620" s="19"/>
      <c r="J3620" s="21"/>
      <c r="K3620" s="19"/>
    </row>
    <row r="3621" spans="3:11" x14ac:dyDescent="0.2">
      <c r="C3621" s="19"/>
      <c r="D3621" s="19"/>
      <c r="E3621" s="19"/>
      <c r="F3621" s="20"/>
      <c r="G3621" s="19"/>
      <c r="H3621" s="19"/>
      <c r="I3621" s="19"/>
      <c r="J3621" s="21"/>
      <c r="K3621" s="19"/>
    </row>
    <row r="3622" spans="3:11" x14ac:dyDescent="0.2">
      <c r="C3622" s="19"/>
      <c r="D3622" s="19"/>
      <c r="E3622" s="19"/>
      <c r="F3622" s="20"/>
      <c r="G3622" s="19"/>
      <c r="H3622" s="19"/>
      <c r="I3622" s="19"/>
      <c r="J3622" s="21"/>
      <c r="K3622" s="19"/>
    </row>
    <row r="3623" spans="3:11" x14ac:dyDescent="0.2">
      <c r="C3623" s="19"/>
      <c r="D3623" s="19"/>
      <c r="E3623" s="19"/>
      <c r="F3623" s="20"/>
      <c r="G3623" s="19"/>
      <c r="H3623" s="19"/>
      <c r="I3623" s="19"/>
      <c r="J3623" s="21"/>
      <c r="K3623" s="19"/>
    </row>
    <row r="3624" spans="3:11" x14ac:dyDescent="0.2">
      <c r="C3624" s="19"/>
      <c r="D3624" s="19"/>
      <c r="E3624" s="19"/>
      <c r="F3624" s="20"/>
      <c r="G3624" s="19"/>
      <c r="H3624" s="19"/>
      <c r="I3624" s="19"/>
      <c r="J3624" s="21"/>
      <c r="K3624" s="19"/>
    </row>
    <row r="3625" spans="3:11" x14ac:dyDescent="0.2">
      <c r="C3625" s="19"/>
      <c r="D3625" s="19"/>
      <c r="E3625" s="19"/>
      <c r="F3625" s="20"/>
      <c r="G3625" s="19"/>
      <c r="H3625" s="19"/>
      <c r="I3625" s="19"/>
      <c r="J3625" s="21"/>
      <c r="K3625" s="19"/>
    </row>
    <row r="3626" spans="3:11" x14ac:dyDescent="0.2">
      <c r="C3626" s="19"/>
      <c r="D3626" s="19"/>
      <c r="E3626" s="19"/>
      <c r="F3626" s="20"/>
      <c r="G3626" s="19"/>
      <c r="H3626" s="19"/>
      <c r="I3626" s="19"/>
      <c r="J3626" s="21"/>
      <c r="K3626" s="19"/>
    </row>
    <row r="3627" spans="3:11" x14ac:dyDescent="0.2">
      <c r="C3627" s="19"/>
      <c r="D3627" s="19"/>
      <c r="E3627" s="19"/>
      <c r="F3627" s="20"/>
      <c r="G3627" s="19"/>
      <c r="H3627" s="19"/>
      <c r="I3627" s="19"/>
      <c r="J3627" s="21"/>
      <c r="K3627" s="19"/>
    </row>
    <row r="3628" spans="3:11" x14ac:dyDescent="0.2">
      <c r="C3628" s="19"/>
      <c r="D3628" s="19"/>
      <c r="E3628" s="19"/>
      <c r="F3628" s="20"/>
      <c r="G3628" s="19"/>
      <c r="H3628" s="19"/>
      <c r="I3628" s="19"/>
      <c r="J3628" s="21"/>
      <c r="K3628" s="19"/>
    </row>
    <row r="3629" spans="3:11" x14ac:dyDescent="0.2">
      <c r="C3629" s="19"/>
      <c r="D3629" s="19"/>
      <c r="E3629" s="19"/>
      <c r="F3629" s="20"/>
      <c r="G3629" s="19"/>
      <c r="H3629" s="19"/>
      <c r="I3629" s="19"/>
      <c r="J3629" s="21"/>
      <c r="K3629" s="19"/>
    </row>
    <row r="3630" spans="3:11" x14ac:dyDescent="0.2">
      <c r="C3630" s="19"/>
      <c r="D3630" s="19"/>
      <c r="E3630" s="19"/>
      <c r="F3630" s="20"/>
      <c r="G3630" s="19"/>
      <c r="H3630" s="19"/>
      <c r="I3630" s="19"/>
      <c r="J3630" s="21"/>
      <c r="K3630" s="19"/>
    </row>
    <row r="3631" spans="3:11" x14ac:dyDescent="0.2">
      <c r="C3631" s="19"/>
      <c r="D3631" s="19"/>
      <c r="E3631" s="19"/>
      <c r="F3631" s="20"/>
      <c r="G3631" s="19"/>
      <c r="H3631" s="19"/>
      <c r="I3631" s="19"/>
      <c r="J3631" s="21"/>
      <c r="K3631" s="19"/>
    </row>
    <row r="3632" spans="3:11" x14ac:dyDescent="0.2">
      <c r="C3632" s="19"/>
      <c r="D3632" s="19"/>
      <c r="E3632" s="19"/>
      <c r="F3632" s="20"/>
      <c r="G3632" s="19"/>
      <c r="H3632" s="19"/>
      <c r="I3632" s="19"/>
      <c r="J3632" s="21"/>
      <c r="K3632" s="19"/>
    </row>
    <row r="3633" spans="3:11" x14ac:dyDescent="0.2">
      <c r="C3633" s="19"/>
      <c r="D3633" s="19"/>
      <c r="E3633" s="19"/>
      <c r="F3633" s="20"/>
      <c r="G3633" s="19"/>
      <c r="H3633" s="19"/>
      <c r="I3633" s="19"/>
      <c r="J3633" s="21"/>
      <c r="K3633" s="19"/>
    </row>
    <row r="3634" spans="3:11" x14ac:dyDescent="0.2">
      <c r="C3634" s="19"/>
      <c r="D3634" s="19"/>
      <c r="E3634" s="19"/>
      <c r="F3634" s="20"/>
      <c r="G3634" s="19"/>
      <c r="H3634" s="19"/>
      <c r="I3634" s="19"/>
      <c r="J3634" s="21"/>
      <c r="K3634" s="19"/>
    </row>
    <row r="3635" spans="3:11" x14ac:dyDescent="0.2">
      <c r="C3635" s="19"/>
      <c r="D3635" s="19"/>
      <c r="E3635" s="19"/>
      <c r="F3635" s="20"/>
      <c r="G3635" s="19"/>
      <c r="H3635" s="19"/>
      <c r="I3635" s="19"/>
      <c r="J3635" s="21"/>
      <c r="K3635" s="19"/>
    </row>
    <row r="3636" spans="3:11" x14ac:dyDescent="0.2">
      <c r="C3636" s="19"/>
      <c r="D3636" s="19"/>
      <c r="E3636" s="19"/>
      <c r="F3636" s="20"/>
      <c r="G3636" s="19"/>
      <c r="H3636" s="19"/>
      <c r="I3636" s="19"/>
      <c r="J3636" s="19"/>
      <c r="K3636" s="19"/>
    </row>
    <row r="3637" spans="3:11" x14ac:dyDescent="0.2">
      <c r="C3637" s="19"/>
      <c r="D3637" s="19"/>
      <c r="E3637" s="19"/>
      <c r="F3637" s="20"/>
      <c r="G3637" s="19"/>
      <c r="H3637" s="19"/>
      <c r="I3637" s="19"/>
      <c r="J3637" s="19"/>
      <c r="K3637" s="19"/>
    </row>
    <row r="3638" spans="3:11" x14ac:dyDescent="0.2">
      <c r="C3638" s="19"/>
      <c r="D3638" s="19"/>
      <c r="E3638" s="19"/>
      <c r="F3638" s="20"/>
      <c r="G3638" s="19"/>
      <c r="H3638" s="19"/>
      <c r="I3638" s="19"/>
      <c r="J3638" s="19"/>
      <c r="K3638" s="19"/>
    </row>
    <row r="3639" spans="3:11" x14ac:dyDescent="0.2">
      <c r="C3639" s="19"/>
      <c r="D3639" s="19"/>
      <c r="E3639" s="19"/>
      <c r="F3639" s="20"/>
      <c r="G3639" s="19"/>
      <c r="H3639" s="19"/>
      <c r="I3639" s="19"/>
      <c r="J3639" s="19"/>
      <c r="K3639" s="19"/>
    </row>
    <row r="3640" spans="3:11" x14ac:dyDescent="0.2">
      <c r="C3640" s="19"/>
      <c r="D3640" s="19"/>
      <c r="E3640" s="19"/>
      <c r="F3640" s="20"/>
      <c r="G3640" s="19"/>
      <c r="H3640" s="19"/>
      <c r="I3640" s="19"/>
      <c r="J3640" s="19"/>
      <c r="K3640" s="19"/>
    </row>
    <row r="3641" spans="3:11" x14ac:dyDescent="0.2">
      <c r="C3641" s="19"/>
      <c r="D3641" s="19"/>
      <c r="E3641" s="19"/>
      <c r="F3641" s="20"/>
      <c r="G3641" s="19"/>
      <c r="H3641" s="19"/>
      <c r="I3641" s="19"/>
      <c r="J3641" s="19"/>
      <c r="K3641" s="19"/>
    </row>
    <row r="3642" spans="3:11" x14ac:dyDescent="0.2">
      <c r="C3642" s="19"/>
      <c r="D3642" s="19"/>
      <c r="E3642" s="19"/>
      <c r="F3642" s="20"/>
      <c r="G3642" s="19"/>
      <c r="H3642" s="19"/>
      <c r="I3642" s="19"/>
      <c r="J3642" s="19"/>
      <c r="K3642" s="19"/>
    </row>
    <row r="3643" spans="3:11" x14ac:dyDescent="0.2">
      <c r="C3643" s="19"/>
      <c r="D3643" s="19"/>
      <c r="E3643" s="19"/>
      <c r="F3643" s="20"/>
      <c r="G3643" s="19"/>
      <c r="H3643" s="19"/>
      <c r="I3643" s="19"/>
      <c r="J3643" s="19"/>
      <c r="K3643" s="19"/>
    </row>
    <row r="3644" spans="3:11" x14ac:dyDescent="0.2">
      <c r="C3644" s="19"/>
      <c r="D3644" s="19"/>
      <c r="E3644" s="19"/>
      <c r="F3644" s="20"/>
      <c r="G3644" s="19"/>
      <c r="H3644" s="19"/>
      <c r="I3644" s="19"/>
      <c r="J3644" s="19"/>
      <c r="K3644" s="19"/>
    </row>
    <row r="3645" spans="3:11" x14ac:dyDescent="0.2">
      <c r="C3645" s="19"/>
      <c r="D3645" s="19"/>
      <c r="E3645" s="19"/>
      <c r="F3645" s="20"/>
      <c r="G3645" s="19"/>
      <c r="H3645" s="19"/>
      <c r="I3645" s="19"/>
      <c r="J3645" s="19"/>
      <c r="K3645" s="19"/>
    </row>
    <row r="3646" spans="3:11" x14ac:dyDescent="0.2">
      <c r="C3646" s="19"/>
      <c r="D3646" s="19"/>
      <c r="E3646" s="19"/>
      <c r="F3646" s="20"/>
      <c r="G3646" s="19"/>
      <c r="H3646" s="19"/>
      <c r="I3646" s="19"/>
      <c r="J3646" s="19"/>
      <c r="K3646" s="19"/>
    </row>
    <row r="3647" spans="3:11" x14ac:dyDescent="0.2">
      <c r="C3647" s="19"/>
      <c r="D3647" s="19"/>
      <c r="E3647" s="19"/>
      <c r="F3647" s="20"/>
      <c r="G3647" s="19"/>
      <c r="H3647" s="19"/>
      <c r="I3647" s="19"/>
      <c r="J3647" s="19"/>
      <c r="K3647" s="19"/>
    </row>
    <row r="3648" spans="3:11" x14ac:dyDescent="0.2">
      <c r="C3648" s="19"/>
      <c r="D3648" s="19"/>
      <c r="E3648" s="19"/>
      <c r="F3648" s="20"/>
      <c r="G3648" s="19"/>
      <c r="H3648" s="19"/>
      <c r="I3648" s="19"/>
      <c r="J3648" s="19"/>
      <c r="K3648" s="19"/>
    </row>
    <row r="3649" spans="3:11" x14ac:dyDescent="0.2">
      <c r="C3649" s="19"/>
      <c r="D3649" s="19"/>
      <c r="E3649" s="19"/>
      <c r="F3649" s="20"/>
      <c r="G3649" s="19"/>
      <c r="H3649" s="19"/>
      <c r="I3649" s="19"/>
      <c r="J3649" s="19"/>
      <c r="K3649" s="19"/>
    </row>
    <row r="3650" spans="3:11" x14ac:dyDescent="0.2">
      <c r="C3650" s="19"/>
      <c r="D3650" s="19"/>
      <c r="E3650" s="19"/>
      <c r="F3650" s="20"/>
      <c r="G3650" s="19"/>
      <c r="H3650" s="19"/>
      <c r="I3650" s="19"/>
      <c r="J3650" s="19"/>
      <c r="K3650" s="19"/>
    </row>
    <row r="3651" spans="3:11" x14ac:dyDescent="0.2">
      <c r="C3651" s="19"/>
      <c r="D3651" s="19"/>
      <c r="E3651" s="19"/>
      <c r="F3651" s="20"/>
      <c r="G3651" s="19"/>
      <c r="H3651" s="19"/>
      <c r="I3651" s="19"/>
      <c r="J3651" s="19"/>
      <c r="K3651" s="19"/>
    </row>
    <row r="3652" spans="3:11" x14ac:dyDescent="0.2">
      <c r="C3652" s="19"/>
      <c r="D3652" s="19"/>
      <c r="E3652" s="19"/>
      <c r="F3652" s="20"/>
      <c r="G3652" s="19"/>
      <c r="H3652" s="19"/>
      <c r="I3652" s="19"/>
      <c r="J3652" s="19"/>
      <c r="K3652" s="19"/>
    </row>
    <row r="3653" spans="3:11" x14ac:dyDescent="0.2">
      <c r="C3653" s="19"/>
      <c r="D3653" s="19"/>
      <c r="E3653" s="19"/>
      <c r="F3653" s="20"/>
      <c r="G3653" s="19"/>
      <c r="H3653" s="19"/>
      <c r="I3653" s="19"/>
      <c r="J3653" s="19"/>
      <c r="K3653" s="19"/>
    </row>
    <row r="3654" spans="3:11" x14ac:dyDescent="0.2">
      <c r="C3654" s="19"/>
      <c r="D3654" s="19"/>
      <c r="E3654" s="19"/>
      <c r="F3654" s="20"/>
      <c r="G3654" s="19"/>
      <c r="H3654" s="19"/>
      <c r="I3654" s="19"/>
      <c r="J3654" s="19"/>
      <c r="K3654" s="19"/>
    </row>
    <row r="3655" spans="3:11" x14ac:dyDescent="0.2">
      <c r="C3655" s="19"/>
      <c r="D3655" s="19"/>
      <c r="E3655" s="19"/>
      <c r="F3655" s="20"/>
      <c r="G3655" s="19"/>
      <c r="H3655" s="19"/>
      <c r="I3655" s="19"/>
      <c r="J3655" s="19"/>
      <c r="K3655" s="19"/>
    </row>
    <row r="3656" spans="3:11" x14ac:dyDescent="0.2">
      <c r="C3656" s="19"/>
      <c r="D3656" s="19"/>
      <c r="E3656" s="19"/>
      <c r="F3656" s="20"/>
      <c r="G3656" s="19"/>
      <c r="H3656" s="19"/>
      <c r="I3656" s="19"/>
      <c r="J3656" s="19"/>
      <c r="K3656" s="19"/>
    </row>
    <row r="3657" spans="3:11" x14ac:dyDescent="0.2">
      <c r="C3657" s="19"/>
      <c r="D3657" s="19"/>
      <c r="E3657" s="19"/>
      <c r="F3657" s="20"/>
      <c r="G3657" s="19"/>
      <c r="H3657" s="19"/>
      <c r="I3657" s="19"/>
      <c r="J3657" s="19"/>
      <c r="K3657" s="19"/>
    </row>
    <row r="3658" spans="3:11" x14ac:dyDescent="0.2">
      <c r="C3658" s="19"/>
      <c r="D3658" s="19"/>
      <c r="E3658" s="19"/>
      <c r="F3658" s="20"/>
      <c r="G3658" s="19"/>
      <c r="H3658" s="19"/>
      <c r="I3658" s="19"/>
      <c r="J3658" s="19"/>
      <c r="K3658" s="19"/>
    </row>
    <row r="3659" spans="3:11" x14ac:dyDescent="0.2">
      <c r="C3659" s="19"/>
      <c r="D3659" s="19"/>
      <c r="E3659" s="19"/>
      <c r="F3659" s="20"/>
      <c r="G3659" s="19"/>
      <c r="H3659" s="19"/>
      <c r="I3659" s="19"/>
      <c r="J3659" s="19"/>
      <c r="K3659" s="19"/>
    </row>
    <row r="3660" spans="3:11" x14ac:dyDescent="0.2">
      <c r="C3660" s="19"/>
      <c r="D3660" s="19"/>
      <c r="E3660" s="19"/>
      <c r="F3660" s="20"/>
      <c r="G3660" s="19"/>
      <c r="H3660" s="19"/>
      <c r="I3660" s="19"/>
      <c r="J3660" s="19"/>
      <c r="K3660" s="19"/>
    </row>
    <row r="3661" spans="3:11" x14ac:dyDescent="0.2">
      <c r="C3661" s="19"/>
      <c r="D3661" s="19"/>
      <c r="E3661" s="19"/>
      <c r="F3661" s="20"/>
      <c r="G3661" s="19"/>
      <c r="H3661" s="19"/>
      <c r="I3661" s="19"/>
      <c r="J3661" s="19"/>
      <c r="K3661" s="19"/>
    </row>
    <row r="3662" spans="3:11" x14ac:dyDescent="0.2">
      <c r="C3662" s="19"/>
      <c r="D3662" s="19"/>
      <c r="E3662" s="19"/>
      <c r="F3662" s="20"/>
      <c r="G3662" s="19"/>
      <c r="H3662" s="19"/>
      <c r="I3662" s="19"/>
      <c r="J3662" s="19"/>
      <c r="K3662" s="19"/>
    </row>
    <row r="3663" spans="3:11" x14ac:dyDescent="0.2">
      <c r="C3663" s="19"/>
      <c r="D3663" s="19"/>
      <c r="E3663" s="19"/>
      <c r="F3663" s="20"/>
      <c r="G3663" s="19"/>
      <c r="H3663" s="19"/>
      <c r="I3663" s="19"/>
      <c r="J3663" s="19"/>
      <c r="K3663" s="19"/>
    </row>
    <row r="3664" spans="3:11" x14ac:dyDescent="0.2">
      <c r="C3664" s="19"/>
      <c r="D3664" s="19"/>
      <c r="E3664" s="19"/>
      <c r="F3664" s="20"/>
      <c r="G3664" s="19"/>
      <c r="H3664" s="19"/>
      <c r="I3664" s="19"/>
      <c r="J3664" s="19"/>
      <c r="K3664" s="19"/>
    </row>
    <row r="3665" spans="3:11" x14ac:dyDescent="0.2">
      <c r="C3665" s="19"/>
      <c r="D3665" s="19"/>
      <c r="E3665" s="19"/>
      <c r="F3665" s="20"/>
      <c r="G3665" s="19"/>
      <c r="H3665" s="19"/>
      <c r="I3665" s="19"/>
      <c r="J3665" s="19"/>
      <c r="K3665" s="19"/>
    </row>
    <row r="3666" spans="3:11" x14ac:dyDescent="0.2">
      <c r="C3666" s="19"/>
      <c r="D3666" s="19"/>
      <c r="E3666" s="19"/>
      <c r="F3666" s="20"/>
      <c r="G3666" s="19"/>
      <c r="H3666" s="19"/>
      <c r="I3666" s="19"/>
      <c r="J3666" s="19"/>
      <c r="K3666" s="19"/>
    </row>
    <row r="3667" spans="3:11" x14ac:dyDescent="0.2">
      <c r="C3667" s="19"/>
      <c r="D3667" s="19"/>
      <c r="E3667" s="19"/>
      <c r="F3667" s="20"/>
      <c r="G3667" s="19"/>
      <c r="H3667" s="19"/>
      <c r="I3667" s="19"/>
      <c r="J3667" s="19"/>
      <c r="K3667" s="19"/>
    </row>
    <row r="3668" spans="3:11" x14ac:dyDescent="0.2">
      <c r="C3668" s="19"/>
      <c r="D3668" s="19"/>
      <c r="E3668" s="19"/>
      <c r="F3668" s="20"/>
      <c r="G3668" s="19"/>
      <c r="H3668" s="19"/>
      <c r="I3668" s="19"/>
      <c r="J3668" s="19"/>
      <c r="K3668" s="19"/>
    </row>
    <row r="3669" spans="3:11" x14ac:dyDescent="0.2">
      <c r="C3669" s="19"/>
      <c r="D3669" s="19"/>
      <c r="E3669" s="19"/>
      <c r="F3669" s="20"/>
      <c r="G3669" s="19"/>
      <c r="H3669" s="19"/>
      <c r="I3669" s="19"/>
      <c r="J3669" s="19"/>
      <c r="K3669" s="19"/>
    </row>
    <row r="3670" spans="3:11" x14ac:dyDescent="0.2">
      <c r="C3670" s="19"/>
      <c r="D3670" s="19"/>
      <c r="E3670" s="19"/>
      <c r="F3670" s="20"/>
      <c r="G3670" s="19"/>
      <c r="H3670" s="19"/>
      <c r="I3670" s="19"/>
      <c r="J3670" s="19"/>
      <c r="K3670" s="19"/>
    </row>
    <row r="3671" spans="3:11" x14ac:dyDescent="0.2">
      <c r="C3671" s="19"/>
      <c r="D3671" s="19"/>
      <c r="E3671" s="19"/>
      <c r="F3671" s="20"/>
      <c r="G3671" s="19"/>
      <c r="H3671" s="19"/>
      <c r="I3671" s="19"/>
      <c r="J3671" s="19"/>
      <c r="K3671" s="19"/>
    </row>
    <row r="3672" spans="3:11" x14ac:dyDescent="0.2">
      <c r="C3672" s="19"/>
      <c r="D3672" s="19"/>
      <c r="E3672" s="19"/>
      <c r="F3672" s="20"/>
      <c r="G3672" s="19"/>
      <c r="H3672" s="19"/>
      <c r="I3672" s="19"/>
      <c r="J3672" s="19"/>
      <c r="K3672" s="19"/>
    </row>
    <row r="3673" spans="3:11" x14ac:dyDescent="0.2">
      <c r="C3673" s="19"/>
      <c r="D3673" s="19"/>
      <c r="E3673" s="19"/>
      <c r="F3673" s="20"/>
      <c r="G3673" s="19"/>
      <c r="H3673" s="19"/>
      <c r="I3673" s="19"/>
      <c r="J3673" s="19"/>
      <c r="K3673" s="19"/>
    </row>
    <row r="3674" spans="3:11" x14ac:dyDescent="0.2">
      <c r="C3674" s="19"/>
      <c r="D3674" s="19"/>
      <c r="E3674" s="19"/>
      <c r="F3674" s="20"/>
      <c r="G3674" s="19"/>
      <c r="H3674" s="19"/>
      <c r="I3674" s="19"/>
      <c r="J3674" s="19"/>
      <c r="K3674" s="19"/>
    </row>
    <row r="3675" spans="3:11" x14ac:dyDescent="0.2">
      <c r="C3675" s="19"/>
      <c r="D3675" s="19"/>
      <c r="E3675" s="19"/>
      <c r="F3675" s="20"/>
      <c r="G3675" s="19"/>
      <c r="H3675" s="19"/>
      <c r="I3675" s="19"/>
      <c r="J3675" s="19"/>
      <c r="K3675" s="19"/>
    </row>
    <row r="3676" spans="3:11" x14ac:dyDescent="0.2">
      <c r="C3676" s="19"/>
      <c r="D3676" s="19"/>
      <c r="E3676" s="19"/>
      <c r="F3676" s="20"/>
      <c r="G3676" s="19"/>
      <c r="H3676" s="19"/>
      <c r="I3676" s="19"/>
      <c r="J3676" s="19"/>
      <c r="K3676" s="19"/>
    </row>
    <row r="3677" spans="3:11" x14ac:dyDescent="0.2">
      <c r="C3677" s="19"/>
      <c r="D3677" s="19"/>
      <c r="E3677" s="19"/>
      <c r="F3677" s="20"/>
      <c r="G3677" s="19"/>
      <c r="H3677" s="19"/>
      <c r="I3677" s="19"/>
      <c r="J3677" s="19"/>
      <c r="K3677" s="19"/>
    </row>
    <row r="3678" spans="3:11" x14ac:dyDescent="0.2">
      <c r="C3678" s="19"/>
      <c r="D3678" s="19"/>
      <c r="E3678" s="19"/>
      <c r="F3678" s="20"/>
      <c r="G3678" s="19"/>
      <c r="H3678" s="19"/>
      <c r="I3678" s="19"/>
      <c r="J3678" s="19"/>
      <c r="K3678" s="19"/>
    </row>
    <row r="3679" spans="3:11" x14ac:dyDescent="0.2">
      <c r="C3679" s="19"/>
      <c r="D3679" s="19"/>
      <c r="E3679" s="19"/>
      <c r="F3679" s="20"/>
      <c r="G3679" s="19"/>
      <c r="H3679" s="19"/>
      <c r="I3679" s="19"/>
      <c r="J3679" s="19"/>
      <c r="K3679" s="19"/>
    </row>
    <row r="3680" spans="3:11" x14ac:dyDescent="0.2">
      <c r="C3680" s="19"/>
      <c r="D3680" s="19"/>
      <c r="E3680" s="19"/>
      <c r="F3680" s="20"/>
      <c r="G3680" s="19"/>
      <c r="H3680" s="19"/>
      <c r="I3680" s="19"/>
      <c r="J3680" s="19"/>
      <c r="K3680" s="19"/>
    </row>
    <row r="3681" spans="3:11" x14ac:dyDescent="0.2">
      <c r="C3681" s="19"/>
      <c r="D3681" s="19"/>
      <c r="E3681" s="19"/>
      <c r="F3681" s="20"/>
      <c r="G3681" s="19"/>
      <c r="H3681" s="19"/>
      <c r="I3681" s="19"/>
      <c r="J3681" s="19"/>
      <c r="K3681" s="19"/>
    </row>
    <row r="3682" spans="3:11" x14ac:dyDescent="0.2">
      <c r="C3682" s="19"/>
      <c r="D3682" s="19"/>
      <c r="E3682" s="19"/>
      <c r="F3682" s="20"/>
      <c r="G3682" s="19"/>
      <c r="H3682" s="19"/>
      <c r="I3682" s="19"/>
      <c r="J3682" s="19"/>
      <c r="K3682" s="19"/>
    </row>
    <row r="3683" spans="3:11" x14ac:dyDescent="0.2">
      <c r="C3683" s="19"/>
      <c r="D3683" s="19"/>
      <c r="E3683" s="19"/>
      <c r="F3683" s="20"/>
      <c r="G3683" s="19"/>
      <c r="H3683" s="19"/>
      <c r="I3683" s="19"/>
      <c r="J3683" s="19"/>
      <c r="K3683" s="19"/>
    </row>
    <row r="3684" spans="3:11" x14ac:dyDescent="0.2">
      <c r="C3684" s="19"/>
      <c r="D3684" s="19"/>
      <c r="E3684" s="19"/>
      <c r="F3684" s="20"/>
      <c r="G3684" s="19"/>
      <c r="H3684" s="19"/>
      <c r="I3684" s="19"/>
      <c r="J3684" s="19"/>
      <c r="K3684" s="19"/>
    </row>
    <row r="3685" spans="3:11" x14ac:dyDescent="0.2">
      <c r="C3685" s="19"/>
      <c r="D3685" s="19"/>
      <c r="E3685" s="19"/>
      <c r="F3685" s="20"/>
      <c r="G3685" s="19"/>
      <c r="H3685" s="19"/>
      <c r="I3685" s="19"/>
      <c r="J3685" s="19"/>
      <c r="K3685" s="19"/>
    </row>
    <row r="3686" spans="3:11" x14ac:dyDescent="0.2">
      <c r="C3686" s="19"/>
      <c r="D3686" s="19"/>
      <c r="E3686" s="19"/>
      <c r="F3686" s="20"/>
      <c r="G3686" s="19"/>
      <c r="H3686" s="19"/>
      <c r="I3686" s="19"/>
      <c r="J3686" s="19"/>
      <c r="K3686" s="19"/>
    </row>
    <row r="3687" spans="3:11" x14ac:dyDescent="0.2">
      <c r="C3687" s="19"/>
      <c r="D3687" s="19"/>
      <c r="E3687" s="19"/>
      <c r="F3687" s="20"/>
      <c r="G3687" s="19"/>
      <c r="H3687" s="19"/>
      <c r="I3687" s="19"/>
      <c r="J3687" s="19"/>
      <c r="K3687" s="19"/>
    </row>
    <row r="3688" spans="3:11" x14ac:dyDescent="0.2">
      <c r="C3688" s="19"/>
      <c r="D3688" s="19"/>
      <c r="E3688" s="19"/>
      <c r="F3688" s="20"/>
      <c r="G3688" s="19"/>
      <c r="H3688" s="19"/>
      <c r="I3688" s="19"/>
      <c r="J3688" s="19"/>
      <c r="K3688" s="19"/>
    </row>
    <row r="3689" spans="3:11" x14ac:dyDescent="0.2">
      <c r="C3689" s="19"/>
      <c r="D3689" s="19"/>
      <c r="E3689" s="19"/>
      <c r="F3689" s="20"/>
      <c r="G3689" s="19"/>
      <c r="H3689" s="19"/>
      <c r="I3689" s="19"/>
      <c r="J3689" s="19"/>
      <c r="K3689" s="19"/>
    </row>
    <row r="3690" spans="3:11" x14ac:dyDescent="0.2">
      <c r="C3690" s="19"/>
      <c r="D3690" s="19"/>
      <c r="E3690" s="19"/>
      <c r="F3690" s="20"/>
      <c r="G3690" s="19"/>
      <c r="H3690" s="19"/>
      <c r="I3690" s="19"/>
      <c r="J3690" s="19"/>
      <c r="K3690" s="19"/>
    </row>
    <row r="3691" spans="3:11" x14ac:dyDescent="0.2">
      <c r="C3691" s="19"/>
      <c r="D3691" s="19"/>
      <c r="E3691" s="19"/>
      <c r="F3691" s="20"/>
      <c r="G3691" s="19"/>
      <c r="H3691" s="19"/>
      <c r="I3691" s="19"/>
      <c r="J3691" s="19"/>
      <c r="K3691" s="19"/>
    </row>
    <row r="3692" spans="3:11" x14ac:dyDescent="0.2">
      <c r="C3692" s="19"/>
      <c r="D3692" s="19"/>
      <c r="E3692" s="19"/>
      <c r="F3692" s="20"/>
      <c r="G3692" s="19"/>
      <c r="H3692" s="19"/>
      <c r="I3692" s="19"/>
      <c r="J3692" s="19"/>
      <c r="K3692" s="19"/>
    </row>
    <row r="3693" spans="3:11" x14ac:dyDescent="0.2">
      <c r="C3693" s="19"/>
      <c r="D3693" s="19"/>
      <c r="E3693" s="19"/>
      <c r="F3693" s="20"/>
      <c r="G3693" s="19"/>
      <c r="H3693" s="19"/>
      <c r="I3693" s="19"/>
      <c r="J3693" s="19"/>
      <c r="K3693" s="19"/>
    </row>
    <row r="3694" spans="3:11" x14ac:dyDescent="0.2">
      <c r="C3694" s="19"/>
      <c r="D3694" s="19"/>
      <c r="E3694" s="19"/>
      <c r="F3694" s="20"/>
      <c r="G3694" s="19"/>
      <c r="H3694" s="19"/>
      <c r="I3694" s="19"/>
      <c r="J3694" s="19"/>
      <c r="K3694" s="19"/>
    </row>
    <row r="3695" spans="3:11" x14ac:dyDescent="0.2">
      <c r="C3695" s="19"/>
      <c r="D3695" s="19"/>
      <c r="E3695" s="19"/>
      <c r="F3695" s="20"/>
      <c r="G3695" s="19"/>
      <c r="H3695" s="19"/>
      <c r="I3695" s="19"/>
      <c r="J3695" s="19"/>
      <c r="K3695" s="19"/>
    </row>
    <row r="3696" spans="3:11" x14ac:dyDescent="0.2">
      <c r="C3696" s="19"/>
      <c r="D3696" s="19"/>
      <c r="E3696" s="19"/>
      <c r="F3696" s="20"/>
      <c r="G3696" s="19"/>
      <c r="H3696" s="19"/>
      <c r="I3696" s="19"/>
      <c r="J3696" s="19"/>
      <c r="K3696" s="19"/>
    </row>
    <row r="3697" spans="3:11" x14ac:dyDescent="0.2">
      <c r="C3697" s="19"/>
      <c r="D3697" s="19"/>
      <c r="E3697" s="19"/>
      <c r="F3697" s="20"/>
      <c r="G3697" s="19"/>
      <c r="H3697" s="19"/>
      <c r="I3697" s="19"/>
      <c r="J3697" s="19"/>
      <c r="K3697" s="19"/>
    </row>
    <row r="3698" spans="3:11" x14ac:dyDescent="0.2">
      <c r="C3698" s="19"/>
      <c r="D3698" s="19"/>
      <c r="E3698" s="19"/>
      <c r="F3698" s="20"/>
      <c r="G3698" s="19"/>
      <c r="H3698" s="19"/>
      <c r="I3698" s="19"/>
      <c r="J3698" s="19"/>
      <c r="K3698" s="19"/>
    </row>
    <row r="3699" spans="3:11" x14ac:dyDescent="0.2">
      <c r="C3699" s="19"/>
      <c r="D3699" s="19"/>
      <c r="E3699" s="19"/>
      <c r="F3699" s="20"/>
      <c r="G3699" s="19"/>
      <c r="H3699" s="19"/>
      <c r="I3699" s="19"/>
      <c r="J3699" s="19"/>
      <c r="K3699" s="19"/>
    </row>
    <row r="3700" spans="3:11" x14ac:dyDescent="0.2">
      <c r="C3700" s="19"/>
      <c r="D3700" s="19"/>
      <c r="E3700" s="19"/>
      <c r="F3700" s="20"/>
      <c r="G3700" s="19"/>
      <c r="H3700" s="19"/>
      <c r="I3700" s="19"/>
      <c r="J3700" s="19"/>
      <c r="K3700" s="19"/>
    </row>
    <row r="3701" spans="3:11" x14ac:dyDescent="0.2">
      <c r="C3701" s="19"/>
      <c r="D3701" s="19"/>
      <c r="E3701" s="19"/>
      <c r="F3701" s="20"/>
      <c r="G3701" s="19"/>
      <c r="H3701" s="19"/>
      <c r="I3701" s="19"/>
      <c r="J3701" s="19"/>
      <c r="K3701" s="19"/>
    </row>
    <row r="3702" spans="3:11" x14ac:dyDescent="0.2">
      <c r="C3702" s="19"/>
      <c r="D3702" s="19"/>
      <c r="E3702" s="19"/>
      <c r="F3702" s="20"/>
      <c r="G3702" s="19"/>
      <c r="H3702" s="19"/>
      <c r="I3702" s="19"/>
      <c r="J3702" s="19"/>
      <c r="K3702" s="19"/>
    </row>
    <row r="3703" spans="3:11" x14ac:dyDescent="0.2">
      <c r="C3703" s="19"/>
      <c r="D3703" s="19"/>
      <c r="E3703" s="19"/>
      <c r="F3703" s="20"/>
      <c r="G3703" s="19"/>
      <c r="H3703" s="19"/>
      <c r="I3703" s="19"/>
      <c r="J3703" s="19"/>
      <c r="K3703" s="19"/>
    </row>
    <row r="3704" spans="3:11" x14ac:dyDescent="0.2">
      <c r="C3704" s="19"/>
      <c r="D3704" s="19"/>
      <c r="E3704" s="19"/>
      <c r="F3704" s="20"/>
      <c r="G3704" s="19"/>
      <c r="H3704" s="19"/>
      <c r="I3704" s="19"/>
      <c r="J3704" s="19"/>
      <c r="K3704" s="19"/>
    </row>
    <row r="3705" spans="3:11" x14ac:dyDescent="0.2">
      <c r="C3705" s="19"/>
      <c r="D3705" s="19"/>
      <c r="E3705" s="19"/>
      <c r="F3705" s="20"/>
      <c r="G3705" s="19"/>
      <c r="H3705" s="19"/>
      <c r="I3705" s="19"/>
      <c r="J3705" s="19"/>
      <c r="K3705" s="19"/>
    </row>
    <row r="3706" spans="3:11" x14ac:dyDescent="0.2">
      <c r="C3706" s="19"/>
      <c r="D3706" s="19"/>
      <c r="E3706" s="19"/>
      <c r="F3706" s="20"/>
      <c r="G3706" s="19"/>
      <c r="H3706" s="19"/>
      <c r="I3706" s="19"/>
      <c r="J3706" s="19"/>
      <c r="K3706" s="19"/>
    </row>
    <row r="3707" spans="3:11" x14ac:dyDescent="0.2">
      <c r="C3707" s="19"/>
      <c r="D3707" s="19"/>
      <c r="E3707" s="19"/>
      <c r="F3707" s="20"/>
      <c r="G3707" s="19"/>
      <c r="H3707" s="19"/>
      <c r="I3707" s="19"/>
      <c r="J3707" s="19"/>
      <c r="K3707" s="19"/>
    </row>
    <row r="3708" spans="3:11" x14ac:dyDescent="0.2">
      <c r="C3708" s="19"/>
      <c r="D3708" s="19"/>
      <c r="E3708" s="19"/>
      <c r="F3708" s="20"/>
      <c r="G3708" s="19"/>
      <c r="H3708" s="19"/>
      <c r="I3708" s="19"/>
      <c r="J3708" s="19"/>
      <c r="K3708" s="19"/>
    </row>
    <row r="3709" spans="3:11" x14ac:dyDescent="0.2">
      <c r="C3709" s="19"/>
      <c r="D3709" s="19"/>
      <c r="E3709" s="19"/>
      <c r="F3709" s="20"/>
      <c r="G3709" s="19"/>
      <c r="H3709" s="19"/>
      <c r="I3709" s="19"/>
      <c r="J3709" s="19"/>
      <c r="K3709" s="19"/>
    </row>
    <row r="3710" spans="3:11" x14ac:dyDescent="0.2">
      <c r="C3710" s="19"/>
      <c r="D3710" s="19"/>
      <c r="E3710" s="19"/>
      <c r="F3710" s="20"/>
      <c r="G3710" s="19"/>
      <c r="H3710" s="19"/>
      <c r="I3710" s="19"/>
      <c r="J3710" s="19"/>
      <c r="K3710" s="19"/>
    </row>
    <row r="3711" spans="3:11" x14ac:dyDescent="0.2">
      <c r="C3711" s="19"/>
      <c r="D3711" s="19"/>
      <c r="E3711" s="19"/>
      <c r="F3711" s="20"/>
      <c r="G3711" s="19"/>
      <c r="H3711" s="19"/>
      <c r="I3711" s="19"/>
      <c r="J3711" s="19"/>
      <c r="K3711" s="19"/>
    </row>
    <row r="3712" spans="3:11" x14ac:dyDescent="0.2">
      <c r="C3712" s="19"/>
      <c r="D3712" s="19"/>
      <c r="E3712" s="19"/>
      <c r="F3712" s="20"/>
      <c r="G3712" s="19"/>
      <c r="H3712" s="19"/>
      <c r="I3712" s="19"/>
      <c r="J3712" s="19"/>
      <c r="K3712" s="19"/>
    </row>
    <row r="3713" spans="3:11" x14ac:dyDescent="0.2">
      <c r="C3713" s="19"/>
      <c r="D3713" s="19"/>
      <c r="E3713" s="19"/>
      <c r="F3713" s="20"/>
      <c r="G3713" s="19"/>
      <c r="H3713" s="19"/>
      <c r="I3713" s="19"/>
      <c r="J3713" s="19"/>
      <c r="K3713" s="19"/>
    </row>
    <row r="3714" spans="3:11" x14ac:dyDescent="0.2">
      <c r="C3714" s="19"/>
      <c r="D3714" s="19"/>
      <c r="E3714" s="19"/>
      <c r="F3714" s="20"/>
      <c r="G3714" s="19"/>
      <c r="H3714" s="19"/>
      <c r="I3714" s="19"/>
      <c r="J3714" s="19"/>
      <c r="K3714" s="19"/>
    </row>
    <row r="3715" spans="3:11" x14ac:dyDescent="0.2">
      <c r="C3715" s="19"/>
      <c r="D3715" s="19"/>
      <c r="E3715" s="19"/>
      <c r="F3715" s="20"/>
      <c r="G3715" s="19"/>
      <c r="H3715" s="19"/>
      <c r="I3715" s="19"/>
      <c r="J3715" s="19"/>
      <c r="K3715" s="19"/>
    </row>
    <row r="3716" spans="3:11" x14ac:dyDescent="0.2">
      <c r="C3716" s="19"/>
      <c r="D3716" s="19"/>
      <c r="E3716" s="19"/>
      <c r="F3716" s="20"/>
      <c r="G3716" s="19"/>
      <c r="H3716" s="19"/>
      <c r="I3716" s="19"/>
      <c r="J3716" s="19"/>
      <c r="K3716" s="19"/>
    </row>
    <row r="3717" spans="3:11" x14ac:dyDescent="0.2">
      <c r="C3717" s="19"/>
      <c r="D3717" s="19"/>
      <c r="E3717" s="19"/>
      <c r="F3717" s="20"/>
      <c r="G3717" s="19"/>
      <c r="H3717" s="19"/>
      <c r="I3717" s="19"/>
      <c r="J3717" s="19"/>
      <c r="K3717" s="19"/>
    </row>
    <row r="3718" spans="3:11" x14ac:dyDescent="0.2">
      <c r="C3718" s="19"/>
      <c r="D3718" s="19"/>
      <c r="E3718" s="19"/>
      <c r="F3718" s="20"/>
      <c r="G3718" s="19"/>
      <c r="H3718" s="19"/>
      <c r="I3718" s="19"/>
      <c r="J3718" s="19"/>
      <c r="K3718" s="19"/>
    </row>
    <row r="3719" spans="3:11" x14ac:dyDescent="0.2">
      <c r="C3719" s="19"/>
      <c r="D3719" s="19"/>
      <c r="E3719" s="19"/>
      <c r="F3719" s="20"/>
      <c r="G3719" s="19"/>
      <c r="H3719" s="19"/>
      <c r="I3719" s="19"/>
      <c r="J3719" s="19"/>
      <c r="K3719" s="19"/>
    </row>
    <row r="3720" spans="3:11" x14ac:dyDescent="0.2">
      <c r="C3720" s="19"/>
      <c r="D3720" s="19"/>
      <c r="E3720" s="19"/>
      <c r="F3720" s="20"/>
      <c r="G3720" s="19"/>
      <c r="H3720" s="19"/>
      <c r="I3720" s="19"/>
      <c r="J3720" s="19"/>
      <c r="K3720" s="19"/>
    </row>
    <row r="3721" spans="3:11" x14ac:dyDescent="0.2">
      <c r="C3721" s="19"/>
      <c r="D3721" s="19"/>
      <c r="E3721" s="19"/>
      <c r="F3721" s="20"/>
      <c r="G3721" s="19"/>
      <c r="H3721" s="19"/>
      <c r="I3721" s="19"/>
      <c r="J3721" s="19"/>
      <c r="K3721" s="19"/>
    </row>
    <row r="3722" spans="3:11" x14ac:dyDescent="0.2">
      <c r="C3722" s="19"/>
      <c r="D3722" s="19"/>
      <c r="E3722" s="19"/>
      <c r="F3722" s="20"/>
      <c r="G3722" s="19"/>
      <c r="H3722" s="19"/>
      <c r="I3722" s="19"/>
      <c r="J3722" s="19"/>
      <c r="K3722" s="19"/>
    </row>
    <row r="3723" spans="3:11" x14ac:dyDescent="0.2">
      <c r="C3723" s="19"/>
      <c r="D3723" s="19"/>
      <c r="E3723" s="19"/>
      <c r="F3723" s="20"/>
      <c r="G3723" s="19"/>
      <c r="H3723" s="19"/>
      <c r="I3723" s="19"/>
      <c r="J3723" s="19"/>
      <c r="K3723" s="19"/>
    </row>
    <row r="3724" spans="3:11" x14ac:dyDescent="0.2">
      <c r="C3724" s="19"/>
      <c r="D3724" s="19"/>
      <c r="E3724" s="19"/>
      <c r="F3724" s="20"/>
      <c r="G3724" s="19"/>
      <c r="H3724" s="19"/>
      <c r="I3724" s="19"/>
      <c r="J3724" s="19"/>
      <c r="K3724" s="19"/>
    </row>
    <row r="3725" spans="3:11" x14ac:dyDescent="0.2">
      <c r="C3725" s="19"/>
      <c r="D3725" s="19"/>
      <c r="E3725" s="19"/>
      <c r="F3725" s="20"/>
      <c r="G3725" s="19"/>
      <c r="H3725" s="19"/>
      <c r="I3725" s="19"/>
      <c r="J3725" s="19"/>
      <c r="K3725" s="19"/>
    </row>
    <row r="3726" spans="3:11" x14ac:dyDescent="0.2">
      <c r="C3726" s="19"/>
      <c r="D3726" s="19"/>
      <c r="E3726" s="19"/>
      <c r="F3726" s="20"/>
      <c r="G3726" s="19"/>
      <c r="H3726" s="19"/>
      <c r="I3726" s="19"/>
      <c r="J3726" s="21"/>
      <c r="K3726" s="19"/>
    </row>
    <row r="3727" spans="3:11" x14ac:dyDescent="0.2">
      <c r="C3727" s="19"/>
      <c r="D3727" s="19"/>
      <c r="E3727" s="19"/>
      <c r="F3727" s="20"/>
      <c r="G3727" s="19"/>
      <c r="H3727" s="19"/>
      <c r="I3727" s="19"/>
      <c r="J3727" s="21"/>
      <c r="K3727" s="19"/>
    </row>
    <row r="3728" spans="3:11" x14ac:dyDescent="0.2">
      <c r="C3728" s="19"/>
      <c r="D3728" s="19"/>
      <c r="E3728" s="19"/>
      <c r="F3728" s="20"/>
      <c r="G3728" s="19"/>
      <c r="H3728" s="19"/>
      <c r="I3728" s="19"/>
      <c r="J3728" s="21"/>
      <c r="K3728" s="19"/>
    </row>
    <row r="3729" spans="3:11" x14ac:dyDescent="0.2">
      <c r="C3729" s="19"/>
      <c r="D3729" s="19"/>
      <c r="E3729" s="19"/>
      <c r="F3729" s="20"/>
      <c r="G3729" s="19"/>
      <c r="H3729" s="19"/>
      <c r="I3729" s="19"/>
      <c r="J3729" s="19"/>
      <c r="K3729" s="19"/>
    </row>
    <row r="3730" spans="3:11" x14ac:dyDescent="0.2">
      <c r="C3730" s="19"/>
      <c r="D3730" s="19"/>
      <c r="E3730" s="19"/>
      <c r="F3730" s="20"/>
      <c r="G3730" s="19"/>
      <c r="H3730" s="19"/>
      <c r="I3730" s="19"/>
      <c r="J3730" s="19"/>
      <c r="K3730" s="19"/>
    </row>
    <row r="3731" spans="3:11" x14ac:dyDescent="0.2">
      <c r="C3731" s="19"/>
      <c r="D3731" s="19"/>
      <c r="E3731" s="19"/>
      <c r="F3731" s="20"/>
      <c r="G3731" s="19"/>
      <c r="H3731" s="19"/>
      <c r="I3731" s="19"/>
      <c r="J3731" s="19"/>
      <c r="K3731" s="19"/>
    </row>
    <row r="3732" spans="3:11" x14ac:dyDescent="0.2">
      <c r="C3732" s="19"/>
      <c r="D3732" s="19"/>
      <c r="E3732" s="19"/>
      <c r="F3732" s="20"/>
      <c r="G3732" s="19"/>
      <c r="H3732" s="19"/>
      <c r="I3732" s="19"/>
      <c r="J3732" s="21"/>
      <c r="K3732" s="19"/>
    </row>
    <row r="3733" spans="3:11" x14ac:dyDescent="0.2">
      <c r="C3733" s="19"/>
      <c r="D3733" s="19"/>
      <c r="E3733" s="19"/>
      <c r="F3733" s="20"/>
      <c r="G3733" s="19"/>
      <c r="H3733" s="19"/>
      <c r="I3733" s="19"/>
      <c r="J3733" s="21"/>
      <c r="K3733" s="19"/>
    </row>
    <row r="3734" spans="3:11" x14ac:dyDescent="0.2">
      <c r="C3734" s="19"/>
      <c r="D3734" s="19"/>
      <c r="E3734" s="19"/>
      <c r="F3734" s="20"/>
      <c r="G3734" s="19"/>
      <c r="H3734" s="19"/>
      <c r="I3734" s="19"/>
      <c r="J3734" s="21"/>
      <c r="K3734" s="19"/>
    </row>
    <row r="3735" spans="3:11" x14ac:dyDescent="0.2">
      <c r="C3735" s="19"/>
      <c r="D3735" s="19"/>
      <c r="E3735" s="19"/>
      <c r="F3735" s="20"/>
      <c r="G3735" s="19"/>
      <c r="H3735" s="19"/>
      <c r="I3735" s="19"/>
      <c r="J3735" s="21"/>
      <c r="K3735" s="19"/>
    </row>
    <row r="3736" spans="3:11" x14ac:dyDescent="0.2">
      <c r="C3736" s="19"/>
      <c r="D3736" s="19"/>
      <c r="E3736" s="19"/>
      <c r="F3736" s="20"/>
      <c r="G3736" s="19"/>
      <c r="H3736" s="19"/>
      <c r="I3736" s="19"/>
      <c r="J3736" s="21"/>
      <c r="K3736" s="19"/>
    </row>
    <row r="3737" spans="3:11" x14ac:dyDescent="0.2">
      <c r="C3737" s="19"/>
      <c r="D3737" s="19"/>
      <c r="E3737" s="19"/>
      <c r="F3737" s="20"/>
      <c r="G3737" s="19"/>
      <c r="H3737" s="19"/>
      <c r="I3737" s="19"/>
      <c r="J3737" s="19"/>
      <c r="K3737" s="19"/>
    </row>
    <row r="3738" spans="3:11" x14ac:dyDescent="0.2">
      <c r="C3738" s="19"/>
      <c r="D3738" s="19"/>
      <c r="E3738" s="19"/>
      <c r="F3738" s="20"/>
      <c r="G3738" s="19"/>
      <c r="H3738" s="19"/>
      <c r="I3738" s="19"/>
      <c r="J3738" s="19"/>
      <c r="K3738" s="19"/>
    </row>
    <row r="3739" spans="3:11" x14ac:dyDescent="0.2">
      <c r="C3739" s="19"/>
      <c r="D3739" s="19"/>
      <c r="E3739" s="19"/>
      <c r="F3739" s="20"/>
      <c r="G3739" s="19"/>
      <c r="H3739" s="19"/>
      <c r="I3739" s="19"/>
      <c r="J3739" s="21"/>
      <c r="K3739" s="19"/>
    </row>
    <row r="3740" spans="3:11" x14ac:dyDescent="0.2">
      <c r="C3740" s="19"/>
      <c r="D3740" s="19"/>
      <c r="E3740" s="19"/>
      <c r="F3740" s="20"/>
      <c r="G3740" s="19"/>
      <c r="H3740" s="19"/>
      <c r="I3740" s="19"/>
      <c r="J3740" s="19"/>
      <c r="K3740" s="19"/>
    </row>
    <row r="3741" spans="3:11" x14ac:dyDescent="0.2">
      <c r="C3741" s="19"/>
      <c r="D3741" s="19"/>
      <c r="E3741" s="19"/>
      <c r="F3741" s="20"/>
      <c r="G3741" s="19"/>
      <c r="H3741" s="19"/>
      <c r="I3741" s="19"/>
      <c r="J3741" s="21"/>
      <c r="K3741" s="19"/>
    </row>
    <row r="3742" spans="3:11" x14ac:dyDescent="0.2">
      <c r="C3742" s="19"/>
      <c r="D3742" s="19"/>
      <c r="E3742" s="19"/>
      <c r="F3742" s="20"/>
      <c r="G3742" s="19"/>
      <c r="H3742" s="19"/>
      <c r="I3742" s="19"/>
      <c r="J3742" s="21"/>
      <c r="K3742" s="19"/>
    </row>
    <row r="3743" spans="3:11" x14ac:dyDescent="0.2">
      <c r="C3743" s="19"/>
      <c r="D3743" s="19"/>
      <c r="E3743" s="19"/>
      <c r="F3743" s="20"/>
      <c r="G3743" s="19"/>
      <c r="H3743" s="19"/>
      <c r="I3743" s="19"/>
      <c r="J3743" s="21"/>
      <c r="K3743" s="19"/>
    </row>
    <row r="3744" spans="3:11" x14ac:dyDescent="0.2">
      <c r="C3744" s="19"/>
      <c r="D3744" s="19"/>
      <c r="E3744" s="19"/>
      <c r="F3744" s="20"/>
      <c r="G3744" s="19"/>
      <c r="H3744" s="19"/>
      <c r="I3744" s="19"/>
      <c r="J3744" s="21"/>
      <c r="K3744" s="19"/>
    </row>
    <row r="3745" spans="3:11" x14ac:dyDescent="0.2">
      <c r="C3745" s="19"/>
      <c r="D3745" s="19"/>
      <c r="E3745" s="19"/>
      <c r="F3745" s="20"/>
      <c r="G3745" s="19"/>
      <c r="H3745" s="19"/>
      <c r="I3745" s="19"/>
      <c r="J3745" s="21"/>
      <c r="K3745" s="19"/>
    </row>
    <row r="3746" spans="3:11" x14ac:dyDescent="0.2">
      <c r="C3746" s="19"/>
      <c r="D3746" s="19"/>
      <c r="E3746" s="19"/>
      <c r="F3746" s="20"/>
      <c r="G3746" s="19"/>
      <c r="H3746" s="19"/>
      <c r="I3746" s="19"/>
      <c r="J3746" s="21"/>
      <c r="K3746" s="19"/>
    </row>
    <row r="3747" spans="3:11" x14ac:dyDescent="0.2">
      <c r="C3747" s="19"/>
      <c r="D3747" s="19"/>
      <c r="E3747" s="19"/>
      <c r="F3747" s="20"/>
      <c r="G3747" s="19"/>
      <c r="H3747" s="19"/>
      <c r="I3747" s="19"/>
      <c r="J3747" s="19"/>
      <c r="K3747" s="19"/>
    </row>
    <row r="3748" spans="3:11" x14ac:dyDescent="0.2">
      <c r="C3748" s="19"/>
      <c r="D3748" s="19"/>
      <c r="E3748" s="19"/>
      <c r="F3748" s="20"/>
      <c r="G3748" s="19"/>
      <c r="H3748" s="19"/>
      <c r="I3748" s="19"/>
      <c r="J3748" s="19"/>
      <c r="K3748" s="19"/>
    </row>
    <row r="3749" spans="3:11" x14ac:dyDescent="0.2">
      <c r="C3749" s="19"/>
      <c r="D3749" s="19"/>
      <c r="E3749" s="19"/>
      <c r="F3749" s="20"/>
      <c r="G3749" s="19"/>
      <c r="H3749" s="19"/>
      <c r="I3749" s="19"/>
      <c r="J3749" s="21"/>
      <c r="K3749" s="19"/>
    </row>
    <row r="3750" spans="3:11" x14ac:dyDescent="0.2">
      <c r="C3750" s="19"/>
      <c r="D3750" s="19"/>
      <c r="E3750" s="19"/>
      <c r="F3750" s="20"/>
      <c r="G3750" s="19"/>
      <c r="H3750" s="19"/>
      <c r="I3750" s="19"/>
      <c r="J3750" s="21"/>
      <c r="K3750" s="19"/>
    </row>
    <row r="3751" spans="3:11" x14ac:dyDescent="0.2">
      <c r="C3751" s="19"/>
      <c r="D3751" s="19"/>
      <c r="E3751" s="19"/>
      <c r="F3751" s="20"/>
      <c r="G3751" s="19"/>
      <c r="H3751" s="19"/>
      <c r="I3751" s="19"/>
      <c r="J3751" s="21"/>
      <c r="K3751" s="19"/>
    </row>
    <row r="3752" spans="3:11" x14ac:dyDescent="0.2">
      <c r="C3752" s="19"/>
      <c r="D3752" s="19"/>
      <c r="E3752" s="19"/>
      <c r="F3752" s="20"/>
      <c r="G3752" s="19"/>
      <c r="H3752" s="19"/>
      <c r="I3752" s="19"/>
      <c r="J3752" s="21"/>
      <c r="K3752" s="19"/>
    </row>
    <row r="3753" spans="3:11" x14ac:dyDescent="0.2">
      <c r="C3753" s="19"/>
      <c r="D3753" s="19"/>
      <c r="E3753" s="19"/>
      <c r="F3753" s="20"/>
      <c r="G3753" s="19"/>
      <c r="H3753" s="19"/>
      <c r="I3753" s="19"/>
      <c r="J3753" s="21"/>
      <c r="K3753" s="19"/>
    </row>
    <row r="3754" spans="3:11" x14ac:dyDescent="0.2">
      <c r="C3754" s="19"/>
      <c r="D3754" s="19"/>
      <c r="E3754" s="19"/>
      <c r="F3754" s="20"/>
      <c r="G3754" s="19"/>
      <c r="H3754" s="19"/>
      <c r="I3754" s="19"/>
      <c r="J3754" s="21"/>
      <c r="K3754" s="19"/>
    </row>
    <row r="3755" spans="3:11" x14ac:dyDescent="0.2">
      <c r="C3755" s="19"/>
      <c r="D3755" s="19"/>
      <c r="E3755" s="19"/>
      <c r="F3755" s="20"/>
      <c r="G3755" s="19"/>
      <c r="H3755" s="19"/>
      <c r="I3755" s="19"/>
      <c r="J3755" s="21"/>
      <c r="K3755" s="19"/>
    </row>
    <row r="3756" spans="3:11" x14ac:dyDescent="0.2">
      <c r="C3756" s="19"/>
      <c r="D3756" s="19"/>
      <c r="E3756" s="19"/>
      <c r="F3756" s="20"/>
      <c r="G3756" s="19"/>
      <c r="H3756" s="19"/>
      <c r="I3756" s="19"/>
      <c r="J3756" s="21"/>
      <c r="K3756" s="19"/>
    </row>
    <row r="3757" spans="3:11" x14ac:dyDescent="0.2">
      <c r="C3757" s="19"/>
      <c r="D3757" s="19"/>
      <c r="E3757" s="19"/>
      <c r="F3757" s="20"/>
      <c r="G3757" s="19"/>
      <c r="H3757" s="19"/>
      <c r="I3757" s="19"/>
      <c r="J3757" s="21"/>
      <c r="K3757" s="19"/>
    </row>
    <row r="3758" spans="3:11" x14ac:dyDescent="0.2">
      <c r="C3758" s="19"/>
      <c r="D3758" s="19"/>
      <c r="E3758" s="19"/>
      <c r="F3758" s="20"/>
      <c r="G3758" s="19"/>
      <c r="H3758" s="19"/>
      <c r="I3758" s="19"/>
      <c r="J3758" s="21"/>
      <c r="K3758" s="19"/>
    </row>
    <row r="3759" spans="3:11" x14ac:dyDescent="0.2">
      <c r="C3759" s="19"/>
      <c r="D3759" s="19"/>
      <c r="E3759" s="19"/>
      <c r="F3759" s="20"/>
      <c r="G3759" s="19"/>
      <c r="H3759" s="19"/>
      <c r="I3759" s="19"/>
      <c r="J3759" s="21"/>
      <c r="K3759" s="19"/>
    </row>
    <row r="3760" spans="3:11" x14ac:dyDescent="0.2">
      <c r="C3760" s="19"/>
      <c r="D3760" s="19"/>
      <c r="E3760" s="19"/>
      <c r="F3760" s="20"/>
      <c r="G3760" s="19"/>
      <c r="H3760" s="19"/>
      <c r="I3760" s="19"/>
      <c r="J3760" s="21"/>
      <c r="K3760" s="19"/>
    </row>
    <row r="3761" spans="3:11" x14ac:dyDescent="0.2">
      <c r="C3761" s="19"/>
      <c r="D3761" s="19"/>
      <c r="E3761" s="19"/>
      <c r="F3761" s="20"/>
      <c r="G3761" s="19"/>
      <c r="H3761" s="19"/>
      <c r="I3761" s="19"/>
      <c r="J3761" s="21"/>
      <c r="K3761" s="19"/>
    </row>
    <row r="3762" spans="3:11" x14ac:dyDescent="0.2">
      <c r="C3762" s="19"/>
      <c r="D3762" s="19"/>
      <c r="E3762" s="19"/>
      <c r="F3762" s="20"/>
      <c r="G3762" s="19"/>
      <c r="H3762" s="19"/>
      <c r="I3762" s="19"/>
      <c r="J3762" s="21"/>
      <c r="K3762" s="19"/>
    </row>
    <row r="3763" spans="3:11" x14ac:dyDescent="0.2">
      <c r="C3763" s="19"/>
      <c r="D3763" s="19"/>
      <c r="E3763" s="19"/>
      <c r="F3763" s="20"/>
      <c r="G3763" s="19"/>
      <c r="H3763" s="19"/>
      <c r="I3763" s="19"/>
      <c r="J3763" s="19"/>
      <c r="K3763" s="19"/>
    </row>
    <row r="3764" spans="3:11" x14ac:dyDescent="0.2">
      <c r="C3764" s="19"/>
      <c r="D3764" s="19"/>
      <c r="E3764" s="19"/>
      <c r="F3764" s="20"/>
      <c r="G3764" s="19"/>
      <c r="H3764" s="19"/>
      <c r="I3764" s="19"/>
      <c r="J3764" s="21"/>
      <c r="K3764" s="19"/>
    </row>
    <row r="3765" spans="3:11" x14ac:dyDescent="0.2">
      <c r="C3765" s="19"/>
      <c r="D3765" s="19"/>
      <c r="E3765" s="19"/>
      <c r="F3765" s="20"/>
      <c r="G3765" s="19"/>
      <c r="H3765" s="19"/>
      <c r="I3765" s="19"/>
      <c r="J3765" s="21"/>
      <c r="K3765" s="19"/>
    </row>
    <row r="3766" spans="3:11" x14ac:dyDescent="0.2">
      <c r="C3766" s="19"/>
      <c r="D3766" s="19"/>
      <c r="E3766" s="19"/>
      <c r="F3766" s="20"/>
      <c r="G3766" s="19"/>
      <c r="H3766" s="19"/>
      <c r="I3766" s="19"/>
      <c r="J3766" s="21"/>
      <c r="K3766" s="19"/>
    </row>
    <row r="3767" spans="3:11" x14ac:dyDescent="0.2">
      <c r="C3767" s="19"/>
      <c r="D3767" s="19"/>
      <c r="E3767" s="19"/>
      <c r="F3767" s="20"/>
      <c r="G3767" s="19"/>
      <c r="H3767" s="19"/>
      <c r="I3767" s="19"/>
      <c r="J3767" s="21"/>
      <c r="K3767" s="19"/>
    </row>
    <row r="3768" spans="3:11" x14ac:dyDescent="0.2">
      <c r="C3768" s="19"/>
      <c r="D3768" s="19"/>
      <c r="E3768" s="19"/>
      <c r="F3768" s="20"/>
      <c r="G3768" s="19"/>
      <c r="H3768" s="19"/>
      <c r="I3768" s="19"/>
      <c r="J3768" s="21"/>
      <c r="K3768" s="19"/>
    </row>
    <row r="3769" spans="3:11" x14ac:dyDescent="0.2">
      <c r="C3769" s="19"/>
      <c r="D3769" s="19"/>
      <c r="E3769" s="19"/>
      <c r="F3769" s="20"/>
      <c r="G3769" s="19"/>
      <c r="H3769" s="19"/>
      <c r="I3769" s="19"/>
      <c r="J3769" s="21"/>
      <c r="K3769" s="19"/>
    </row>
    <row r="3770" spans="3:11" x14ac:dyDescent="0.2">
      <c r="C3770" s="19"/>
      <c r="D3770" s="19"/>
      <c r="E3770" s="19"/>
      <c r="F3770" s="20"/>
      <c r="G3770" s="19"/>
      <c r="H3770" s="19"/>
      <c r="I3770" s="19"/>
      <c r="J3770" s="21"/>
      <c r="K3770" s="19"/>
    </row>
    <row r="3771" spans="3:11" x14ac:dyDescent="0.2">
      <c r="C3771" s="19"/>
      <c r="D3771" s="19"/>
      <c r="E3771" s="19"/>
      <c r="F3771" s="20"/>
      <c r="G3771" s="19"/>
      <c r="H3771" s="19"/>
      <c r="I3771" s="19"/>
      <c r="J3771" s="21"/>
      <c r="K3771" s="19"/>
    </row>
    <row r="3772" spans="3:11" x14ac:dyDescent="0.2">
      <c r="C3772" s="19"/>
      <c r="D3772" s="19"/>
      <c r="E3772" s="19"/>
      <c r="F3772" s="20"/>
      <c r="G3772" s="19"/>
      <c r="H3772" s="19"/>
      <c r="I3772" s="19"/>
      <c r="J3772" s="21"/>
      <c r="K3772" s="19"/>
    </row>
    <row r="3773" spans="3:11" x14ac:dyDescent="0.2">
      <c r="C3773" s="19"/>
      <c r="D3773" s="19"/>
      <c r="E3773" s="19"/>
      <c r="F3773" s="20"/>
      <c r="G3773" s="19"/>
      <c r="H3773" s="19"/>
      <c r="I3773" s="19"/>
      <c r="J3773" s="21"/>
      <c r="K3773" s="19"/>
    </row>
    <row r="3774" spans="3:11" x14ac:dyDescent="0.2">
      <c r="C3774" s="19"/>
      <c r="D3774" s="19"/>
      <c r="E3774" s="19"/>
      <c r="F3774" s="20"/>
      <c r="G3774" s="19"/>
      <c r="H3774" s="19"/>
      <c r="I3774" s="19"/>
      <c r="J3774" s="21"/>
      <c r="K3774" s="19"/>
    </row>
    <row r="3775" spans="3:11" x14ac:dyDescent="0.2">
      <c r="C3775" s="19"/>
      <c r="D3775" s="19"/>
      <c r="E3775" s="19"/>
      <c r="F3775" s="20"/>
      <c r="G3775" s="19"/>
      <c r="H3775" s="19"/>
      <c r="I3775" s="19"/>
      <c r="J3775" s="19"/>
      <c r="K3775" s="19"/>
    </row>
    <row r="3776" spans="3:11" x14ac:dyDescent="0.2">
      <c r="C3776" s="19"/>
      <c r="D3776" s="19"/>
      <c r="E3776" s="19"/>
      <c r="F3776" s="20"/>
      <c r="G3776" s="19"/>
      <c r="H3776" s="19"/>
      <c r="I3776" s="19"/>
      <c r="J3776" s="21"/>
      <c r="K3776" s="19"/>
    </row>
    <row r="3777" spans="3:11" x14ac:dyDescent="0.2">
      <c r="C3777" s="19"/>
      <c r="D3777" s="19"/>
      <c r="E3777" s="19"/>
      <c r="F3777" s="20"/>
      <c r="G3777" s="19"/>
      <c r="H3777" s="19"/>
      <c r="I3777" s="19"/>
      <c r="J3777" s="21"/>
      <c r="K3777" s="19"/>
    </row>
    <row r="3778" spans="3:11" x14ac:dyDescent="0.2">
      <c r="C3778" s="19"/>
      <c r="D3778" s="19"/>
      <c r="E3778" s="19"/>
      <c r="F3778" s="20"/>
      <c r="G3778" s="19"/>
      <c r="H3778" s="19"/>
      <c r="I3778" s="19"/>
      <c r="J3778" s="21"/>
      <c r="K3778" s="19"/>
    </row>
    <row r="3779" spans="3:11" x14ac:dyDescent="0.2">
      <c r="C3779" s="19"/>
      <c r="D3779" s="19"/>
      <c r="E3779" s="19"/>
      <c r="F3779" s="20"/>
      <c r="G3779" s="19"/>
      <c r="H3779" s="19"/>
      <c r="I3779" s="19"/>
      <c r="J3779" s="21"/>
      <c r="K3779" s="19"/>
    </row>
    <row r="3780" spans="3:11" x14ac:dyDescent="0.2">
      <c r="C3780" s="19"/>
      <c r="D3780" s="19"/>
      <c r="E3780" s="19"/>
      <c r="F3780" s="20"/>
      <c r="G3780" s="19"/>
      <c r="H3780" s="19"/>
      <c r="I3780" s="19"/>
      <c r="J3780" s="21"/>
      <c r="K3780" s="19"/>
    </row>
    <row r="3781" spans="3:11" x14ac:dyDescent="0.2">
      <c r="C3781" s="19"/>
      <c r="D3781" s="19"/>
      <c r="E3781" s="19"/>
      <c r="F3781" s="20"/>
      <c r="G3781" s="19"/>
      <c r="H3781" s="19"/>
      <c r="I3781" s="19"/>
      <c r="J3781" s="21"/>
      <c r="K3781" s="19"/>
    </row>
    <row r="3782" spans="3:11" x14ac:dyDescent="0.2">
      <c r="C3782" s="19"/>
      <c r="D3782" s="19"/>
      <c r="E3782" s="19"/>
      <c r="F3782" s="20"/>
      <c r="G3782" s="19"/>
      <c r="H3782" s="19"/>
      <c r="I3782" s="19"/>
      <c r="J3782" s="21"/>
      <c r="K3782" s="19"/>
    </row>
    <row r="3783" spans="3:11" x14ac:dyDescent="0.2">
      <c r="C3783" s="19"/>
      <c r="D3783" s="19"/>
      <c r="E3783" s="19"/>
      <c r="F3783" s="20"/>
      <c r="G3783" s="19"/>
      <c r="H3783" s="19"/>
      <c r="I3783" s="19"/>
      <c r="J3783" s="21"/>
      <c r="K3783" s="19"/>
    </row>
    <row r="3784" spans="3:11" x14ac:dyDescent="0.2">
      <c r="C3784" s="19"/>
      <c r="D3784" s="19"/>
      <c r="E3784" s="19"/>
      <c r="F3784" s="20"/>
      <c r="G3784" s="19"/>
      <c r="H3784" s="19"/>
      <c r="I3784" s="19"/>
      <c r="J3784" s="21"/>
      <c r="K3784" s="19"/>
    </row>
    <row r="3785" spans="3:11" x14ac:dyDescent="0.2">
      <c r="C3785" s="19"/>
      <c r="D3785" s="19"/>
      <c r="E3785" s="19"/>
      <c r="F3785" s="20"/>
      <c r="G3785" s="19"/>
      <c r="H3785" s="19"/>
      <c r="I3785" s="19"/>
      <c r="J3785" s="21"/>
      <c r="K3785" s="19"/>
    </row>
    <row r="3786" spans="3:11" x14ac:dyDescent="0.2">
      <c r="C3786" s="19"/>
      <c r="D3786" s="19"/>
      <c r="E3786" s="19"/>
      <c r="F3786" s="20"/>
      <c r="G3786" s="19"/>
      <c r="H3786" s="19"/>
      <c r="I3786" s="19"/>
      <c r="J3786" s="21"/>
      <c r="K3786" s="19"/>
    </row>
    <row r="3787" spans="3:11" x14ac:dyDescent="0.2">
      <c r="C3787" s="19"/>
      <c r="D3787" s="19"/>
      <c r="E3787" s="19"/>
      <c r="F3787" s="20"/>
      <c r="G3787" s="19"/>
      <c r="H3787" s="19"/>
      <c r="I3787" s="19"/>
      <c r="J3787" s="21"/>
      <c r="K3787" s="19"/>
    </row>
    <row r="3788" spans="3:11" x14ac:dyDescent="0.2">
      <c r="C3788" s="19"/>
      <c r="D3788" s="19"/>
      <c r="E3788" s="19"/>
      <c r="F3788" s="20"/>
      <c r="G3788" s="19"/>
      <c r="H3788" s="19"/>
      <c r="I3788" s="19"/>
      <c r="J3788" s="21"/>
      <c r="K3788" s="19"/>
    </row>
    <row r="3789" spans="3:11" x14ac:dyDescent="0.2">
      <c r="C3789" s="19"/>
      <c r="D3789" s="19"/>
      <c r="E3789" s="19"/>
      <c r="F3789" s="20"/>
      <c r="G3789" s="19"/>
      <c r="H3789" s="19"/>
      <c r="I3789" s="19"/>
      <c r="J3789" s="21"/>
      <c r="K3789" s="19"/>
    </row>
    <row r="3790" spans="3:11" x14ac:dyDescent="0.2">
      <c r="C3790" s="19"/>
      <c r="D3790" s="19"/>
      <c r="E3790" s="19"/>
      <c r="F3790" s="20"/>
      <c r="G3790" s="19"/>
      <c r="H3790" s="19"/>
      <c r="I3790" s="19"/>
      <c r="J3790" s="21"/>
      <c r="K3790" s="19"/>
    </row>
    <row r="3791" spans="3:11" x14ac:dyDescent="0.2">
      <c r="C3791" s="19"/>
      <c r="D3791" s="19"/>
      <c r="E3791" s="19"/>
      <c r="F3791" s="20"/>
      <c r="G3791" s="19"/>
      <c r="H3791" s="19"/>
      <c r="I3791" s="19"/>
      <c r="J3791" s="21"/>
      <c r="K3791" s="19"/>
    </row>
    <row r="3792" spans="3:11" x14ac:dyDescent="0.2">
      <c r="C3792" s="19"/>
      <c r="D3792" s="19"/>
      <c r="E3792" s="19"/>
      <c r="F3792" s="20"/>
      <c r="G3792" s="19"/>
      <c r="H3792" s="19"/>
      <c r="I3792" s="19"/>
      <c r="J3792" s="21"/>
      <c r="K3792" s="19"/>
    </row>
    <row r="3793" spans="3:11" x14ac:dyDescent="0.2">
      <c r="C3793" s="19"/>
      <c r="D3793" s="19"/>
      <c r="E3793" s="19"/>
      <c r="F3793" s="20"/>
      <c r="G3793" s="19"/>
      <c r="H3793" s="19"/>
      <c r="I3793" s="19"/>
      <c r="J3793" s="21"/>
      <c r="K3793" s="19"/>
    </row>
    <row r="3794" spans="3:11" x14ac:dyDescent="0.2">
      <c r="C3794" s="19"/>
      <c r="D3794" s="19"/>
      <c r="E3794" s="19"/>
      <c r="F3794" s="20"/>
      <c r="G3794" s="19"/>
      <c r="H3794" s="19"/>
      <c r="I3794" s="19"/>
      <c r="J3794" s="21"/>
      <c r="K3794" s="19"/>
    </row>
    <row r="3795" spans="3:11" x14ac:dyDescent="0.2">
      <c r="C3795" s="19"/>
      <c r="D3795" s="19"/>
      <c r="E3795" s="19"/>
      <c r="F3795" s="20"/>
      <c r="G3795" s="19"/>
      <c r="H3795" s="19"/>
      <c r="I3795" s="19"/>
      <c r="J3795" s="21"/>
      <c r="K3795" s="19"/>
    </row>
    <row r="3796" spans="3:11" x14ac:dyDescent="0.2">
      <c r="C3796" s="19"/>
      <c r="D3796" s="19"/>
      <c r="E3796" s="19"/>
      <c r="F3796" s="20"/>
      <c r="G3796" s="19"/>
      <c r="H3796" s="19"/>
      <c r="I3796" s="19"/>
      <c r="J3796" s="21"/>
      <c r="K3796" s="19"/>
    </row>
    <row r="3797" spans="3:11" x14ac:dyDescent="0.2">
      <c r="C3797" s="19"/>
      <c r="D3797" s="19"/>
      <c r="E3797" s="19"/>
      <c r="F3797" s="20"/>
      <c r="G3797" s="19"/>
      <c r="H3797" s="19"/>
      <c r="I3797" s="19"/>
      <c r="J3797" s="21"/>
      <c r="K3797" s="19"/>
    </row>
    <row r="3798" spans="3:11" x14ac:dyDescent="0.2">
      <c r="C3798" s="19"/>
      <c r="D3798" s="19"/>
      <c r="E3798" s="19"/>
      <c r="F3798" s="20"/>
      <c r="G3798" s="19"/>
      <c r="H3798" s="19"/>
      <c r="I3798" s="19"/>
      <c r="J3798" s="21"/>
      <c r="K3798" s="19"/>
    </row>
    <row r="3799" spans="3:11" x14ac:dyDescent="0.2">
      <c r="C3799" s="19"/>
      <c r="D3799" s="19"/>
      <c r="E3799" s="19"/>
      <c r="F3799" s="20"/>
      <c r="G3799" s="19"/>
      <c r="H3799" s="19"/>
      <c r="I3799" s="19"/>
      <c r="J3799" s="21"/>
      <c r="K3799" s="19"/>
    </row>
    <row r="3800" spans="3:11" x14ac:dyDescent="0.2">
      <c r="C3800" s="19"/>
      <c r="D3800" s="19"/>
      <c r="E3800" s="19"/>
      <c r="F3800" s="20"/>
      <c r="G3800" s="19"/>
      <c r="H3800" s="19"/>
      <c r="I3800" s="19"/>
      <c r="J3800" s="21"/>
      <c r="K3800" s="19"/>
    </row>
    <row r="3801" spans="3:11" x14ac:dyDescent="0.2">
      <c r="C3801" s="19"/>
      <c r="D3801" s="19"/>
      <c r="E3801" s="19"/>
      <c r="F3801" s="20"/>
      <c r="G3801" s="19"/>
      <c r="H3801" s="19"/>
      <c r="I3801" s="19"/>
      <c r="J3801" s="21"/>
      <c r="K3801" s="19"/>
    </row>
    <row r="3802" spans="3:11" x14ac:dyDescent="0.2">
      <c r="C3802" s="19"/>
      <c r="D3802" s="19"/>
      <c r="E3802" s="19"/>
      <c r="F3802" s="20"/>
      <c r="G3802" s="19"/>
      <c r="H3802" s="19"/>
      <c r="I3802" s="19"/>
      <c r="J3802" s="21"/>
      <c r="K3802" s="19"/>
    </row>
    <row r="3803" spans="3:11" x14ac:dyDescent="0.2">
      <c r="C3803" s="19"/>
      <c r="D3803" s="19"/>
      <c r="E3803" s="19"/>
      <c r="F3803" s="20"/>
      <c r="G3803" s="19"/>
      <c r="H3803" s="19"/>
      <c r="I3803" s="19"/>
      <c r="J3803" s="21"/>
      <c r="K3803" s="19"/>
    </row>
    <row r="3804" spans="3:11" x14ac:dyDescent="0.2">
      <c r="C3804" s="19"/>
      <c r="D3804" s="19"/>
      <c r="E3804" s="19"/>
      <c r="F3804" s="20"/>
      <c r="G3804" s="19"/>
      <c r="H3804" s="19"/>
      <c r="I3804" s="19"/>
      <c r="J3804" s="21"/>
      <c r="K3804" s="19"/>
    </row>
    <row r="3805" spans="3:11" x14ac:dyDescent="0.2">
      <c r="C3805" s="19"/>
      <c r="D3805" s="19"/>
      <c r="E3805" s="19"/>
      <c r="F3805" s="20"/>
      <c r="G3805" s="19"/>
      <c r="H3805" s="19"/>
      <c r="I3805" s="19"/>
      <c r="J3805" s="21"/>
      <c r="K3805" s="19"/>
    </row>
    <row r="3806" spans="3:11" x14ac:dyDescent="0.2">
      <c r="C3806" s="19"/>
      <c r="D3806" s="19"/>
      <c r="E3806" s="19"/>
      <c r="F3806" s="20"/>
      <c r="G3806" s="19"/>
      <c r="H3806" s="19"/>
      <c r="I3806" s="19"/>
      <c r="J3806" s="21"/>
      <c r="K3806" s="19"/>
    </row>
    <row r="3807" spans="3:11" x14ac:dyDescent="0.2">
      <c r="C3807" s="19"/>
      <c r="D3807" s="19"/>
      <c r="E3807" s="19"/>
      <c r="F3807" s="20"/>
      <c r="G3807" s="19"/>
      <c r="H3807" s="19"/>
      <c r="I3807" s="19"/>
      <c r="J3807" s="21"/>
      <c r="K3807" s="19"/>
    </row>
    <row r="3808" spans="3:11" x14ac:dyDescent="0.2">
      <c r="C3808" s="19"/>
      <c r="D3808" s="19"/>
      <c r="E3808" s="19"/>
      <c r="F3808" s="20"/>
      <c r="G3808" s="19"/>
      <c r="H3808" s="19"/>
      <c r="I3808" s="19"/>
      <c r="J3808" s="21"/>
      <c r="K3808" s="19"/>
    </row>
    <row r="3809" spans="3:11" x14ac:dyDescent="0.2">
      <c r="C3809" s="19"/>
      <c r="D3809" s="19"/>
      <c r="E3809" s="19"/>
      <c r="F3809" s="20"/>
      <c r="G3809" s="19"/>
      <c r="H3809" s="19"/>
      <c r="I3809" s="19"/>
      <c r="J3809" s="21"/>
      <c r="K3809" s="19"/>
    </row>
    <row r="3810" spans="3:11" x14ac:dyDescent="0.2">
      <c r="C3810" s="19"/>
      <c r="D3810" s="19"/>
      <c r="E3810" s="19"/>
      <c r="F3810" s="20"/>
      <c r="G3810" s="19"/>
      <c r="H3810" s="19"/>
      <c r="I3810" s="19"/>
      <c r="J3810" s="21"/>
      <c r="K3810" s="19"/>
    </row>
    <row r="3811" spans="3:11" x14ac:dyDescent="0.2">
      <c r="C3811" s="19"/>
      <c r="D3811" s="19"/>
      <c r="E3811" s="19"/>
      <c r="F3811" s="20"/>
      <c r="G3811" s="19"/>
      <c r="H3811" s="19"/>
      <c r="I3811" s="19"/>
      <c r="J3811" s="21"/>
      <c r="K3811" s="19"/>
    </row>
    <row r="3812" spans="3:11" x14ac:dyDescent="0.2">
      <c r="C3812" s="19"/>
      <c r="D3812" s="19"/>
      <c r="E3812" s="19"/>
      <c r="F3812" s="20"/>
      <c r="G3812" s="19"/>
      <c r="H3812" s="19"/>
      <c r="I3812" s="19"/>
      <c r="J3812" s="19"/>
      <c r="K3812" s="19"/>
    </row>
    <row r="3813" spans="3:11" x14ac:dyDescent="0.2">
      <c r="C3813" s="19"/>
      <c r="D3813" s="19"/>
      <c r="E3813" s="19"/>
      <c r="F3813" s="20"/>
      <c r="G3813" s="19"/>
      <c r="H3813" s="19"/>
      <c r="I3813" s="19"/>
      <c r="J3813" s="19"/>
      <c r="K3813" s="19"/>
    </row>
    <row r="3814" spans="3:11" x14ac:dyDescent="0.2">
      <c r="C3814" s="19"/>
      <c r="D3814" s="19"/>
      <c r="E3814" s="19"/>
      <c r="F3814" s="20"/>
      <c r="G3814" s="19"/>
      <c r="H3814" s="19"/>
      <c r="I3814" s="19"/>
      <c r="J3814" s="19"/>
      <c r="K3814" s="19"/>
    </row>
    <row r="3815" spans="3:11" x14ac:dyDescent="0.2">
      <c r="C3815" s="19"/>
      <c r="D3815" s="19"/>
      <c r="E3815" s="19"/>
      <c r="F3815" s="20"/>
      <c r="G3815" s="19"/>
      <c r="H3815" s="19"/>
      <c r="I3815" s="19"/>
      <c r="J3815" s="19"/>
      <c r="K3815" s="19"/>
    </row>
    <row r="3816" spans="3:11" x14ac:dyDescent="0.2">
      <c r="C3816" s="19"/>
      <c r="D3816" s="19"/>
      <c r="E3816" s="19"/>
      <c r="F3816" s="20"/>
      <c r="G3816" s="19"/>
      <c r="H3816" s="19"/>
      <c r="I3816" s="19"/>
      <c r="J3816" s="19"/>
      <c r="K3816" s="19"/>
    </row>
    <row r="3817" spans="3:11" x14ac:dyDescent="0.2">
      <c r="C3817" s="19"/>
      <c r="D3817" s="19"/>
      <c r="E3817" s="19"/>
      <c r="F3817" s="20"/>
      <c r="G3817" s="19"/>
      <c r="H3817" s="19"/>
      <c r="I3817" s="19"/>
      <c r="J3817" s="19"/>
      <c r="K3817" s="19"/>
    </row>
    <row r="3818" spans="3:11" x14ac:dyDescent="0.2">
      <c r="C3818" s="19"/>
      <c r="D3818" s="19"/>
      <c r="E3818" s="19"/>
      <c r="F3818" s="20"/>
      <c r="G3818" s="19"/>
      <c r="H3818" s="19"/>
      <c r="I3818" s="19"/>
      <c r="J3818" s="21"/>
      <c r="K3818" s="19"/>
    </row>
    <row r="3819" spans="3:11" x14ac:dyDescent="0.2">
      <c r="C3819" s="19"/>
      <c r="D3819" s="19"/>
      <c r="E3819" s="19"/>
      <c r="F3819" s="20"/>
      <c r="G3819" s="19"/>
      <c r="H3819" s="19"/>
      <c r="I3819" s="19"/>
      <c r="J3819" s="21"/>
      <c r="K3819" s="19"/>
    </row>
    <row r="3820" spans="3:11" x14ac:dyDescent="0.2">
      <c r="C3820" s="19"/>
      <c r="D3820" s="19"/>
      <c r="E3820" s="19"/>
      <c r="F3820" s="20"/>
      <c r="G3820" s="19"/>
      <c r="H3820" s="19"/>
      <c r="I3820" s="19"/>
      <c r="J3820" s="21"/>
      <c r="K3820" s="19"/>
    </row>
    <row r="3821" spans="3:11" x14ac:dyDescent="0.2">
      <c r="C3821" s="19"/>
      <c r="D3821" s="19"/>
      <c r="E3821" s="19"/>
      <c r="F3821" s="20"/>
      <c r="G3821" s="19"/>
      <c r="H3821" s="19"/>
      <c r="I3821" s="19"/>
      <c r="J3821" s="21"/>
      <c r="K3821" s="19"/>
    </row>
    <row r="3822" spans="3:11" x14ac:dyDescent="0.2">
      <c r="C3822" s="19"/>
      <c r="D3822" s="19"/>
      <c r="E3822" s="19"/>
      <c r="F3822" s="20"/>
      <c r="G3822" s="19"/>
      <c r="H3822" s="19"/>
      <c r="I3822" s="19"/>
      <c r="J3822" s="21"/>
      <c r="K3822" s="19"/>
    </row>
    <row r="3823" spans="3:11" x14ac:dyDescent="0.2">
      <c r="C3823" s="19"/>
      <c r="D3823" s="19"/>
      <c r="E3823" s="19"/>
      <c r="F3823" s="20"/>
      <c r="G3823" s="19"/>
      <c r="H3823" s="19"/>
      <c r="I3823" s="19"/>
      <c r="J3823" s="21"/>
      <c r="K3823" s="19"/>
    </row>
    <row r="3824" spans="3:11" x14ac:dyDescent="0.2">
      <c r="C3824" s="19"/>
      <c r="D3824" s="19"/>
      <c r="E3824" s="19"/>
      <c r="F3824" s="20"/>
      <c r="G3824" s="19"/>
      <c r="H3824" s="19"/>
      <c r="I3824" s="19"/>
      <c r="J3824" s="21"/>
      <c r="K3824" s="19"/>
    </row>
    <row r="3825" spans="3:11" x14ac:dyDescent="0.2">
      <c r="C3825" s="19"/>
      <c r="D3825" s="19"/>
      <c r="E3825" s="19"/>
      <c r="F3825" s="20"/>
      <c r="G3825" s="19"/>
      <c r="H3825" s="19"/>
      <c r="I3825" s="19"/>
      <c r="J3825" s="19"/>
      <c r="K3825" s="19"/>
    </row>
    <row r="3826" spans="3:11" x14ac:dyDescent="0.2">
      <c r="C3826" s="19"/>
      <c r="D3826" s="19"/>
      <c r="E3826" s="19"/>
      <c r="F3826" s="20"/>
      <c r="G3826" s="19"/>
      <c r="H3826" s="19"/>
      <c r="I3826" s="19"/>
      <c r="J3826" s="19"/>
      <c r="K3826" s="19"/>
    </row>
    <row r="3827" spans="3:11" x14ac:dyDescent="0.2">
      <c r="C3827" s="19"/>
      <c r="D3827" s="19"/>
      <c r="E3827" s="19"/>
      <c r="F3827" s="20"/>
      <c r="G3827" s="19"/>
      <c r="H3827" s="19"/>
      <c r="I3827" s="19"/>
      <c r="J3827" s="19"/>
      <c r="K3827" s="19"/>
    </row>
    <row r="3828" spans="3:11" x14ac:dyDescent="0.2">
      <c r="C3828" s="19"/>
      <c r="D3828" s="19"/>
      <c r="E3828" s="19"/>
      <c r="F3828" s="20"/>
      <c r="G3828" s="19"/>
      <c r="H3828" s="19"/>
      <c r="I3828" s="19"/>
      <c r="J3828" s="21"/>
      <c r="K3828" s="19"/>
    </row>
    <row r="3829" spans="3:11" x14ac:dyDescent="0.2">
      <c r="C3829" s="19"/>
      <c r="D3829" s="19"/>
      <c r="E3829" s="19"/>
      <c r="F3829" s="20"/>
      <c r="G3829" s="19"/>
      <c r="H3829" s="19"/>
      <c r="I3829" s="19"/>
      <c r="J3829" s="21"/>
      <c r="K3829" s="19"/>
    </row>
    <row r="3830" spans="3:11" x14ac:dyDescent="0.2">
      <c r="C3830" s="19"/>
      <c r="D3830" s="19"/>
      <c r="E3830" s="19"/>
      <c r="F3830" s="20"/>
      <c r="G3830" s="19"/>
      <c r="H3830" s="19"/>
      <c r="I3830" s="19"/>
      <c r="J3830" s="21"/>
      <c r="K3830" s="19"/>
    </row>
    <row r="3831" spans="3:11" x14ac:dyDescent="0.2">
      <c r="C3831" s="19"/>
      <c r="D3831" s="19"/>
      <c r="E3831" s="19"/>
      <c r="F3831" s="20"/>
      <c r="G3831" s="19"/>
      <c r="H3831" s="19"/>
      <c r="I3831" s="19"/>
      <c r="J3831" s="21"/>
      <c r="K3831" s="19"/>
    </row>
    <row r="3832" spans="3:11" x14ac:dyDescent="0.2">
      <c r="C3832" s="19"/>
      <c r="D3832" s="19"/>
      <c r="E3832" s="19"/>
      <c r="F3832" s="20"/>
      <c r="G3832" s="19"/>
      <c r="H3832" s="19"/>
      <c r="I3832" s="19"/>
      <c r="J3832" s="21"/>
      <c r="K3832" s="19"/>
    </row>
    <row r="3833" spans="3:11" x14ac:dyDescent="0.2">
      <c r="C3833" s="19"/>
      <c r="D3833" s="19"/>
      <c r="E3833" s="19"/>
      <c r="F3833" s="20"/>
      <c r="G3833" s="19"/>
      <c r="H3833" s="19"/>
      <c r="I3833" s="19"/>
      <c r="J3833" s="21"/>
      <c r="K3833" s="19"/>
    </row>
    <row r="3834" spans="3:11" x14ac:dyDescent="0.2">
      <c r="C3834" s="19"/>
      <c r="D3834" s="19"/>
      <c r="E3834" s="19"/>
      <c r="F3834" s="20"/>
      <c r="G3834" s="19"/>
      <c r="H3834" s="19"/>
      <c r="I3834" s="19"/>
      <c r="J3834" s="21"/>
      <c r="K3834" s="19"/>
    </row>
    <row r="3835" spans="3:11" x14ac:dyDescent="0.2">
      <c r="C3835" s="19"/>
      <c r="D3835" s="19"/>
      <c r="E3835" s="19"/>
      <c r="F3835" s="20"/>
      <c r="G3835" s="19"/>
      <c r="H3835" s="19"/>
      <c r="I3835" s="19"/>
      <c r="J3835" s="21"/>
      <c r="K3835" s="19"/>
    </row>
    <row r="3836" spans="3:11" x14ac:dyDescent="0.2">
      <c r="C3836" s="19"/>
      <c r="D3836" s="19"/>
      <c r="E3836" s="19"/>
      <c r="F3836" s="20"/>
      <c r="G3836" s="19"/>
      <c r="H3836" s="19"/>
      <c r="I3836" s="19"/>
      <c r="J3836" s="21"/>
      <c r="K3836" s="19"/>
    </row>
    <row r="3837" spans="3:11" x14ac:dyDescent="0.2">
      <c r="C3837" s="19"/>
      <c r="D3837" s="19"/>
      <c r="E3837" s="19"/>
      <c r="F3837" s="20"/>
      <c r="G3837" s="19"/>
      <c r="H3837" s="19"/>
      <c r="I3837" s="19"/>
      <c r="J3837" s="21"/>
      <c r="K3837" s="19"/>
    </row>
    <row r="3838" spans="3:11" x14ac:dyDescent="0.2">
      <c r="C3838" s="19"/>
      <c r="D3838" s="19"/>
      <c r="E3838" s="19"/>
      <c r="F3838" s="20"/>
      <c r="G3838" s="19"/>
      <c r="H3838" s="19"/>
      <c r="I3838" s="19"/>
      <c r="J3838" s="21"/>
      <c r="K3838" s="19"/>
    </row>
    <row r="3839" spans="3:11" x14ac:dyDescent="0.2">
      <c r="C3839" s="19"/>
      <c r="D3839" s="19"/>
      <c r="E3839" s="19"/>
      <c r="F3839" s="20"/>
      <c r="G3839" s="19"/>
      <c r="H3839" s="19"/>
      <c r="I3839" s="19"/>
      <c r="J3839" s="21"/>
      <c r="K3839" s="19"/>
    </row>
    <row r="3840" spans="3:11" x14ac:dyDescent="0.2">
      <c r="C3840" s="19"/>
      <c r="D3840" s="19"/>
      <c r="E3840" s="19"/>
      <c r="F3840" s="20"/>
      <c r="G3840" s="19"/>
      <c r="H3840" s="19"/>
      <c r="I3840" s="19"/>
      <c r="J3840" s="21"/>
      <c r="K3840" s="19"/>
    </row>
    <row r="3841" spans="3:11" x14ac:dyDescent="0.2">
      <c r="C3841" s="19"/>
      <c r="D3841" s="19"/>
      <c r="E3841" s="19"/>
      <c r="F3841" s="20"/>
      <c r="G3841" s="19"/>
      <c r="H3841" s="19"/>
      <c r="I3841" s="19"/>
      <c r="J3841" s="21"/>
      <c r="K3841" s="19"/>
    </row>
    <row r="3842" spans="3:11" x14ac:dyDescent="0.2">
      <c r="C3842" s="19"/>
      <c r="D3842" s="19"/>
      <c r="E3842" s="19"/>
      <c r="F3842" s="20"/>
      <c r="G3842" s="19"/>
      <c r="H3842" s="19"/>
      <c r="I3842" s="19"/>
      <c r="J3842" s="21"/>
      <c r="K3842" s="19"/>
    </row>
    <row r="3843" spans="3:11" x14ac:dyDescent="0.2">
      <c r="C3843" s="19"/>
      <c r="D3843" s="19"/>
      <c r="E3843" s="19"/>
      <c r="F3843" s="20"/>
      <c r="G3843" s="19"/>
      <c r="H3843" s="19"/>
      <c r="I3843" s="19"/>
      <c r="J3843" s="21"/>
      <c r="K3843" s="19"/>
    </row>
    <row r="3844" spans="3:11" x14ac:dyDescent="0.2">
      <c r="C3844" s="19"/>
      <c r="D3844" s="19"/>
      <c r="E3844" s="19"/>
      <c r="F3844" s="20"/>
      <c r="G3844" s="19"/>
      <c r="H3844" s="19"/>
      <c r="I3844" s="19"/>
      <c r="J3844" s="21"/>
      <c r="K3844" s="19"/>
    </row>
    <row r="3845" spans="3:11" x14ac:dyDescent="0.2">
      <c r="C3845" s="19"/>
      <c r="D3845" s="19"/>
      <c r="E3845" s="19"/>
      <c r="F3845" s="20"/>
      <c r="G3845" s="19"/>
      <c r="H3845" s="19"/>
      <c r="I3845" s="19"/>
      <c r="J3845" s="21"/>
      <c r="K3845" s="19"/>
    </row>
    <row r="3846" spans="3:11" x14ac:dyDescent="0.2">
      <c r="C3846" s="19"/>
      <c r="D3846" s="19"/>
      <c r="E3846" s="19"/>
      <c r="F3846" s="20"/>
      <c r="G3846" s="19"/>
      <c r="H3846" s="19"/>
      <c r="I3846" s="19"/>
      <c r="J3846" s="21"/>
      <c r="K3846" s="19"/>
    </row>
    <row r="3847" spans="3:11" x14ac:dyDescent="0.2">
      <c r="C3847" s="19"/>
      <c r="D3847" s="19"/>
      <c r="E3847" s="19"/>
      <c r="F3847" s="20"/>
      <c r="G3847" s="19"/>
      <c r="H3847" s="19"/>
      <c r="I3847" s="19"/>
      <c r="J3847" s="21"/>
      <c r="K3847" s="19"/>
    </row>
    <row r="3848" spans="3:11" x14ac:dyDescent="0.2">
      <c r="C3848" s="19"/>
      <c r="D3848" s="19"/>
      <c r="E3848" s="19"/>
      <c r="F3848" s="20"/>
      <c r="G3848" s="19"/>
      <c r="H3848" s="19"/>
      <c r="I3848" s="19"/>
      <c r="J3848" s="21"/>
      <c r="K3848" s="19"/>
    </row>
    <row r="3849" spans="3:11" x14ac:dyDescent="0.2">
      <c r="C3849" s="19"/>
      <c r="D3849" s="19"/>
      <c r="E3849" s="19"/>
      <c r="F3849" s="20"/>
      <c r="G3849" s="19"/>
      <c r="H3849" s="19"/>
      <c r="I3849" s="19"/>
      <c r="J3849" s="21"/>
      <c r="K3849" s="19"/>
    </row>
    <row r="3850" spans="3:11" x14ac:dyDescent="0.2">
      <c r="C3850" s="19"/>
      <c r="D3850" s="19"/>
      <c r="E3850" s="19"/>
      <c r="F3850" s="20"/>
      <c r="G3850" s="19"/>
      <c r="H3850" s="19"/>
      <c r="I3850" s="19"/>
      <c r="J3850" s="21"/>
      <c r="K3850" s="19"/>
    </row>
    <row r="3851" spans="3:11" x14ac:dyDescent="0.2">
      <c r="C3851" s="19"/>
      <c r="D3851" s="19"/>
      <c r="E3851" s="19"/>
      <c r="F3851" s="20"/>
      <c r="G3851" s="19"/>
      <c r="H3851" s="19"/>
      <c r="I3851" s="19"/>
      <c r="J3851" s="21"/>
      <c r="K3851" s="19"/>
    </row>
    <row r="3852" spans="3:11" x14ac:dyDescent="0.2">
      <c r="C3852" s="19"/>
      <c r="D3852" s="19"/>
      <c r="E3852" s="19"/>
      <c r="F3852" s="20"/>
      <c r="G3852" s="19"/>
      <c r="H3852" s="19"/>
      <c r="I3852" s="19"/>
      <c r="J3852" s="21"/>
      <c r="K3852" s="19"/>
    </row>
    <row r="3853" spans="3:11" x14ac:dyDescent="0.2">
      <c r="C3853" s="19"/>
      <c r="D3853" s="19"/>
      <c r="E3853" s="19"/>
      <c r="F3853" s="20"/>
      <c r="G3853" s="19"/>
      <c r="H3853" s="19"/>
      <c r="I3853" s="19"/>
      <c r="J3853" s="21"/>
      <c r="K3853" s="19"/>
    </row>
    <row r="3854" spans="3:11" x14ac:dyDescent="0.2">
      <c r="C3854" s="19"/>
      <c r="D3854" s="19"/>
      <c r="E3854" s="19"/>
      <c r="F3854" s="20"/>
      <c r="G3854" s="19"/>
      <c r="H3854" s="19"/>
      <c r="I3854" s="19"/>
      <c r="J3854" s="21"/>
      <c r="K3854" s="19"/>
    </row>
    <row r="3855" spans="3:11" x14ac:dyDescent="0.2">
      <c r="C3855" s="19"/>
      <c r="D3855" s="19"/>
      <c r="E3855" s="19"/>
      <c r="F3855" s="20"/>
      <c r="G3855" s="19"/>
      <c r="H3855" s="19"/>
      <c r="I3855" s="19"/>
      <c r="J3855" s="21"/>
      <c r="K3855" s="19"/>
    </row>
    <row r="3856" spans="3:11" x14ac:dyDescent="0.2">
      <c r="C3856" s="19"/>
      <c r="D3856" s="19"/>
      <c r="E3856" s="19"/>
      <c r="F3856" s="20"/>
      <c r="G3856" s="19"/>
      <c r="H3856" s="19"/>
      <c r="I3856" s="19"/>
      <c r="J3856" s="21"/>
      <c r="K3856" s="19"/>
    </row>
    <row r="3857" spans="3:11" x14ac:dyDescent="0.2">
      <c r="C3857" s="19"/>
      <c r="D3857" s="19"/>
      <c r="E3857" s="19"/>
      <c r="F3857" s="20"/>
      <c r="G3857" s="19"/>
      <c r="H3857" s="19"/>
      <c r="I3857" s="19"/>
      <c r="J3857" s="21"/>
      <c r="K3857" s="19"/>
    </row>
    <row r="3858" spans="3:11" x14ac:dyDescent="0.2">
      <c r="C3858" s="19"/>
      <c r="D3858" s="19"/>
      <c r="E3858" s="19"/>
      <c r="F3858" s="20"/>
      <c r="G3858" s="19"/>
      <c r="H3858" s="19"/>
      <c r="I3858" s="19"/>
      <c r="J3858" s="21"/>
      <c r="K3858" s="19"/>
    </row>
    <row r="3859" spans="3:11" x14ac:dyDescent="0.2">
      <c r="C3859" s="19"/>
      <c r="D3859" s="19"/>
      <c r="E3859" s="19"/>
      <c r="F3859" s="20"/>
      <c r="G3859" s="19"/>
      <c r="H3859" s="19"/>
      <c r="I3859" s="19"/>
      <c r="J3859" s="21"/>
      <c r="K3859" s="19"/>
    </row>
    <row r="3860" spans="3:11" x14ac:dyDescent="0.2">
      <c r="C3860" s="19"/>
      <c r="D3860" s="19"/>
      <c r="E3860" s="19"/>
      <c r="F3860" s="20"/>
      <c r="G3860" s="19"/>
      <c r="H3860" s="19"/>
      <c r="I3860" s="19"/>
      <c r="J3860" s="21"/>
      <c r="K3860" s="19"/>
    </row>
    <row r="3861" spans="3:11" x14ac:dyDescent="0.2">
      <c r="C3861" s="19"/>
      <c r="D3861" s="19"/>
      <c r="E3861" s="19"/>
      <c r="F3861" s="20"/>
      <c r="G3861" s="19"/>
      <c r="H3861" s="19"/>
      <c r="I3861" s="19"/>
      <c r="J3861" s="21"/>
      <c r="K3861" s="19"/>
    </row>
    <row r="3862" spans="3:11" x14ac:dyDescent="0.2">
      <c r="C3862" s="19"/>
      <c r="D3862" s="19"/>
      <c r="E3862" s="19"/>
      <c r="F3862" s="20"/>
      <c r="G3862" s="19"/>
      <c r="H3862" s="19"/>
      <c r="I3862" s="19"/>
      <c r="J3862" s="21"/>
      <c r="K3862" s="19"/>
    </row>
    <row r="3863" spans="3:11" x14ac:dyDescent="0.2">
      <c r="C3863" s="19"/>
      <c r="D3863" s="19"/>
      <c r="E3863" s="19"/>
      <c r="F3863" s="20"/>
      <c r="G3863" s="19"/>
      <c r="H3863" s="19"/>
      <c r="I3863" s="19"/>
      <c r="J3863" s="21"/>
      <c r="K3863" s="19"/>
    </row>
    <row r="3864" spans="3:11" x14ac:dyDescent="0.2">
      <c r="C3864" s="19"/>
      <c r="D3864" s="19"/>
      <c r="E3864" s="19"/>
      <c r="F3864" s="20"/>
      <c r="G3864" s="19"/>
      <c r="H3864" s="19"/>
      <c r="I3864" s="19"/>
      <c r="J3864" s="21"/>
      <c r="K3864" s="19"/>
    </row>
    <row r="3865" spans="3:11" x14ac:dyDescent="0.2">
      <c r="C3865" s="19"/>
      <c r="D3865" s="19"/>
      <c r="E3865" s="19"/>
      <c r="F3865" s="20"/>
      <c r="G3865" s="19"/>
      <c r="H3865" s="19"/>
      <c r="I3865" s="19"/>
      <c r="J3865" s="21"/>
      <c r="K3865" s="19"/>
    </row>
    <row r="3866" spans="3:11" x14ac:dyDescent="0.2">
      <c r="C3866" s="19"/>
      <c r="D3866" s="19"/>
      <c r="E3866" s="19"/>
      <c r="F3866" s="20"/>
      <c r="G3866" s="19"/>
      <c r="H3866" s="19"/>
      <c r="I3866" s="19"/>
      <c r="J3866" s="21"/>
      <c r="K3866" s="19"/>
    </row>
    <row r="3867" spans="3:11" x14ac:dyDescent="0.2">
      <c r="C3867" s="19"/>
      <c r="D3867" s="19"/>
      <c r="E3867" s="19"/>
      <c r="F3867" s="20"/>
      <c r="G3867" s="19"/>
      <c r="H3867" s="19"/>
      <c r="I3867" s="19"/>
      <c r="J3867" s="21"/>
      <c r="K3867" s="19"/>
    </row>
    <row r="3868" spans="3:11" x14ac:dyDescent="0.2">
      <c r="C3868" s="19"/>
      <c r="D3868" s="19"/>
      <c r="E3868" s="19"/>
      <c r="F3868" s="20"/>
      <c r="G3868" s="19"/>
      <c r="H3868" s="19"/>
      <c r="I3868" s="19"/>
      <c r="J3868" s="21"/>
      <c r="K3868" s="19"/>
    </row>
    <row r="3869" spans="3:11" x14ac:dyDescent="0.2">
      <c r="C3869" s="19"/>
      <c r="D3869" s="19"/>
      <c r="E3869" s="19"/>
      <c r="F3869" s="20"/>
      <c r="G3869" s="19"/>
      <c r="H3869" s="19"/>
      <c r="I3869" s="19"/>
      <c r="J3869" s="21"/>
      <c r="K3869" s="19"/>
    </row>
    <row r="3870" spans="3:11" x14ac:dyDescent="0.2">
      <c r="C3870" s="19"/>
      <c r="D3870" s="19"/>
      <c r="E3870" s="19"/>
      <c r="F3870" s="20"/>
      <c r="G3870" s="19"/>
      <c r="H3870" s="19"/>
      <c r="I3870" s="19"/>
      <c r="J3870" s="21"/>
      <c r="K3870" s="19"/>
    </row>
    <row r="3871" spans="3:11" x14ac:dyDescent="0.2">
      <c r="C3871" s="19"/>
      <c r="D3871" s="19"/>
      <c r="E3871" s="19"/>
      <c r="F3871" s="20"/>
      <c r="G3871" s="19"/>
      <c r="H3871" s="19"/>
      <c r="I3871" s="19"/>
      <c r="J3871" s="21"/>
      <c r="K3871" s="19"/>
    </row>
    <row r="3872" spans="3:11" x14ac:dyDescent="0.2">
      <c r="C3872" s="19"/>
      <c r="D3872" s="19"/>
      <c r="E3872" s="19"/>
      <c r="F3872" s="20"/>
      <c r="G3872" s="19"/>
      <c r="H3872" s="19"/>
      <c r="I3872" s="19"/>
      <c r="J3872" s="21"/>
      <c r="K3872" s="19"/>
    </row>
    <row r="3873" spans="3:11" x14ac:dyDescent="0.2">
      <c r="C3873" s="19"/>
      <c r="D3873" s="19"/>
      <c r="E3873" s="19"/>
      <c r="F3873" s="20"/>
      <c r="G3873" s="19"/>
      <c r="H3873" s="19"/>
      <c r="I3873" s="19"/>
      <c r="J3873" s="21"/>
      <c r="K3873" s="19"/>
    </row>
    <row r="3874" spans="3:11" x14ac:dyDescent="0.2">
      <c r="C3874" s="19"/>
      <c r="D3874" s="19"/>
      <c r="E3874" s="19"/>
      <c r="F3874" s="20"/>
      <c r="G3874" s="19"/>
      <c r="H3874" s="19"/>
      <c r="I3874" s="19"/>
      <c r="J3874" s="21"/>
      <c r="K3874" s="19"/>
    </row>
    <row r="3875" spans="3:11" x14ac:dyDescent="0.2">
      <c r="C3875" s="19"/>
      <c r="D3875" s="19"/>
      <c r="E3875" s="19"/>
      <c r="F3875" s="20"/>
      <c r="G3875" s="19"/>
      <c r="H3875" s="19"/>
      <c r="I3875" s="19"/>
      <c r="J3875" s="21"/>
      <c r="K3875" s="19"/>
    </row>
    <row r="3876" spans="3:11" x14ac:dyDescent="0.2">
      <c r="C3876" s="19"/>
      <c r="D3876" s="19"/>
      <c r="E3876" s="19"/>
      <c r="F3876" s="20"/>
      <c r="G3876" s="19"/>
      <c r="H3876" s="19"/>
      <c r="I3876" s="19"/>
      <c r="J3876" s="21"/>
      <c r="K3876" s="19"/>
    </row>
    <row r="3877" spans="3:11" x14ac:dyDescent="0.2">
      <c r="C3877" s="19"/>
      <c r="D3877" s="19"/>
      <c r="E3877" s="19"/>
      <c r="F3877" s="20"/>
      <c r="G3877" s="19"/>
      <c r="H3877" s="19"/>
      <c r="I3877" s="19"/>
      <c r="J3877" s="21"/>
      <c r="K3877" s="19"/>
    </row>
    <row r="3878" spans="3:11" x14ac:dyDescent="0.2">
      <c r="C3878" s="19"/>
      <c r="D3878" s="19"/>
      <c r="E3878" s="19"/>
      <c r="F3878" s="20"/>
      <c r="G3878" s="19"/>
      <c r="H3878" s="19"/>
      <c r="I3878" s="19"/>
      <c r="J3878" s="21"/>
      <c r="K3878" s="19"/>
    </row>
    <row r="3879" spans="3:11" x14ac:dyDescent="0.2">
      <c r="C3879" s="19"/>
      <c r="D3879" s="19"/>
      <c r="E3879" s="19"/>
      <c r="F3879" s="20"/>
      <c r="G3879" s="19"/>
      <c r="H3879" s="19"/>
      <c r="I3879" s="19"/>
      <c r="J3879" s="21"/>
      <c r="K3879" s="19"/>
    </row>
    <row r="3880" spans="3:11" x14ac:dyDescent="0.2">
      <c r="C3880" s="19"/>
      <c r="D3880" s="19"/>
      <c r="E3880" s="19"/>
      <c r="F3880" s="20"/>
      <c r="G3880" s="19"/>
      <c r="H3880" s="19"/>
      <c r="I3880" s="19"/>
      <c r="J3880" s="21"/>
      <c r="K3880" s="19"/>
    </row>
    <row r="3881" spans="3:11" x14ac:dyDescent="0.2">
      <c r="C3881" s="19"/>
      <c r="D3881" s="19"/>
      <c r="E3881" s="19"/>
      <c r="F3881" s="20"/>
      <c r="G3881" s="19"/>
      <c r="H3881" s="19"/>
      <c r="I3881" s="19"/>
      <c r="J3881" s="21"/>
      <c r="K3881" s="19"/>
    </row>
    <row r="3882" spans="3:11" x14ac:dyDescent="0.2">
      <c r="C3882" s="19"/>
      <c r="D3882" s="19"/>
      <c r="E3882" s="19"/>
      <c r="F3882" s="20"/>
      <c r="G3882" s="19"/>
      <c r="H3882" s="19"/>
      <c r="I3882" s="19"/>
      <c r="J3882" s="21"/>
      <c r="K3882" s="19"/>
    </row>
    <row r="3883" spans="3:11" x14ac:dyDescent="0.2">
      <c r="C3883" s="19"/>
      <c r="D3883" s="19"/>
      <c r="E3883" s="19"/>
      <c r="F3883" s="20"/>
      <c r="G3883" s="19"/>
      <c r="H3883" s="19"/>
      <c r="I3883" s="19"/>
      <c r="J3883" s="21"/>
      <c r="K3883" s="19"/>
    </row>
    <row r="3884" spans="3:11" x14ac:dyDescent="0.2">
      <c r="C3884" s="19"/>
      <c r="D3884" s="19"/>
      <c r="E3884" s="19"/>
      <c r="F3884" s="20"/>
      <c r="G3884" s="19"/>
      <c r="H3884" s="19"/>
      <c r="I3884" s="19"/>
      <c r="J3884" s="21"/>
      <c r="K3884" s="19"/>
    </row>
    <row r="3885" spans="3:11" x14ac:dyDescent="0.2">
      <c r="C3885" s="19"/>
      <c r="D3885" s="19"/>
      <c r="E3885" s="19"/>
      <c r="F3885" s="20"/>
      <c r="G3885" s="19"/>
      <c r="H3885" s="19"/>
      <c r="I3885" s="19"/>
      <c r="J3885" s="19"/>
      <c r="K3885" s="19"/>
    </row>
    <row r="3886" spans="3:11" x14ac:dyDescent="0.2">
      <c r="C3886" s="19"/>
      <c r="D3886" s="19"/>
      <c r="E3886" s="19"/>
      <c r="F3886" s="20"/>
      <c r="G3886" s="19"/>
      <c r="H3886" s="19"/>
      <c r="I3886" s="19"/>
      <c r="J3886" s="19"/>
      <c r="K3886" s="19"/>
    </row>
    <row r="3887" spans="3:11" x14ac:dyDescent="0.2">
      <c r="C3887" s="19"/>
      <c r="D3887" s="19"/>
      <c r="E3887" s="19"/>
      <c r="F3887" s="20"/>
      <c r="G3887" s="19"/>
      <c r="H3887" s="19"/>
      <c r="I3887" s="19"/>
      <c r="J3887" s="19"/>
      <c r="K3887" s="19"/>
    </row>
    <row r="3888" spans="3:11" x14ac:dyDescent="0.2">
      <c r="C3888" s="19"/>
      <c r="D3888" s="19"/>
      <c r="E3888" s="19"/>
      <c r="F3888" s="20"/>
      <c r="G3888" s="19"/>
      <c r="H3888" s="19"/>
      <c r="I3888" s="19"/>
      <c r="J3888" s="19"/>
      <c r="K3888" s="19"/>
    </row>
    <row r="3889" spans="3:11" x14ac:dyDescent="0.2">
      <c r="C3889" s="19"/>
      <c r="D3889" s="19"/>
      <c r="E3889" s="19"/>
      <c r="F3889" s="20"/>
      <c r="G3889" s="19"/>
      <c r="H3889" s="19"/>
      <c r="I3889" s="19"/>
      <c r="J3889" s="19"/>
      <c r="K3889" s="19"/>
    </row>
    <row r="3890" spans="3:11" x14ac:dyDescent="0.2">
      <c r="C3890" s="19"/>
      <c r="D3890" s="19"/>
      <c r="E3890" s="19"/>
      <c r="F3890" s="20"/>
      <c r="G3890" s="19"/>
      <c r="H3890" s="19"/>
      <c r="I3890" s="19"/>
      <c r="J3890" s="19"/>
      <c r="K3890" s="19"/>
    </row>
    <row r="3891" spans="3:11" x14ac:dyDescent="0.2">
      <c r="C3891" s="19"/>
      <c r="D3891" s="19"/>
      <c r="E3891" s="19"/>
      <c r="F3891" s="20"/>
      <c r="G3891" s="19"/>
      <c r="H3891" s="19"/>
      <c r="I3891" s="19"/>
      <c r="J3891" s="19"/>
      <c r="K3891" s="19"/>
    </row>
    <row r="3892" spans="3:11" x14ac:dyDescent="0.2">
      <c r="C3892" s="19"/>
      <c r="D3892" s="19"/>
      <c r="E3892" s="19"/>
      <c r="F3892" s="20"/>
      <c r="G3892" s="19"/>
      <c r="H3892" s="19"/>
      <c r="I3892" s="19"/>
      <c r="J3892" s="19"/>
      <c r="K3892" s="19"/>
    </row>
    <row r="3893" spans="3:11" x14ac:dyDescent="0.2">
      <c r="C3893" s="19"/>
      <c r="D3893" s="19"/>
      <c r="E3893" s="19"/>
      <c r="F3893" s="20"/>
      <c r="G3893" s="19"/>
      <c r="H3893" s="19"/>
      <c r="I3893" s="19"/>
      <c r="J3893" s="19"/>
      <c r="K3893" s="19"/>
    </row>
    <row r="3894" spans="3:11" x14ac:dyDescent="0.2">
      <c r="C3894" s="19"/>
      <c r="D3894" s="19"/>
      <c r="E3894" s="19"/>
      <c r="F3894" s="20"/>
      <c r="G3894" s="19"/>
      <c r="H3894" s="19"/>
      <c r="I3894" s="19"/>
      <c r="J3894" s="21"/>
      <c r="K3894" s="19"/>
    </row>
    <row r="3895" spans="3:11" x14ac:dyDescent="0.2">
      <c r="C3895" s="19"/>
      <c r="D3895" s="19"/>
      <c r="E3895" s="19"/>
      <c r="F3895" s="20"/>
      <c r="G3895" s="19"/>
      <c r="H3895" s="19"/>
      <c r="I3895" s="19"/>
      <c r="J3895" s="19"/>
      <c r="K3895" s="19"/>
    </row>
    <row r="3896" spans="3:11" x14ac:dyDescent="0.2">
      <c r="C3896" s="19"/>
      <c r="D3896" s="19"/>
      <c r="E3896" s="19"/>
      <c r="F3896" s="20"/>
      <c r="G3896" s="19"/>
      <c r="H3896" s="19"/>
      <c r="I3896" s="19"/>
      <c r="J3896" s="21"/>
      <c r="K3896" s="19"/>
    </row>
    <row r="3897" spans="3:11" x14ac:dyDescent="0.2">
      <c r="C3897" s="19"/>
      <c r="D3897" s="19"/>
      <c r="E3897" s="19"/>
      <c r="F3897" s="20"/>
      <c r="G3897" s="19"/>
      <c r="H3897" s="19"/>
      <c r="I3897" s="19"/>
      <c r="J3897" s="19"/>
      <c r="K3897" s="19"/>
    </row>
    <row r="3898" spans="3:11" x14ac:dyDescent="0.2">
      <c r="C3898" s="19"/>
      <c r="D3898" s="19"/>
      <c r="E3898" s="19"/>
      <c r="F3898" s="20"/>
      <c r="G3898" s="19"/>
      <c r="H3898" s="19"/>
      <c r="I3898" s="19"/>
      <c r="J3898" s="19"/>
      <c r="K3898" s="19"/>
    </row>
    <row r="3899" spans="3:11" x14ac:dyDescent="0.2">
      <c r="C3899" s="19"/>
      <c r="D3899" s="19"/>
      <c r="E3899" s="19"/>
      <c r="F3899" s="20"/>
      <c r="G3899" s="19"/>
      <c r="H3899" s="19"/>
      <c r="I3899" s="19"/>
      <c r="J3899" s="19"/>
      <c r="K3899" s="19"/>
    </row>
    <row r="3900" spans="3:11" x14ac:dyDescent="0.2">
      <c r="C3900" s="19"/>
      <c r="D3900" s="19"/>
      <c r="E3900" s="19"/>
      <c r="F3900" s="20"/>
      <c r="G3900" s="19"/>
      <c r="H3900" s="19"/>
      <c r="I3900" s="19"/>
      <c r="J3900" s="19"/>
      <c r="K3900" s="19"/>
    </row>
    <row r="3901" spans="3:11" x14ac:dyDescent="0.2">
      <c r="C3901" s="19"/>
      <c r="D3901" s="19"/>
      <c r="E3901" s="19"/>
      <c r="F3901" s="20"/>
      <c r="G3901" s="19"/>
      <c r="H3901" s="19"/>
      <c r="I3901" s="19"/>
      <c r="J3901" s="21"/>
      <c r="K3901" s="19"/>
    </row>
    <row r="3902" spans="3:11" x14ac:dyDescent="0.2">
      <c r="C3902" s="19"/>
      <c r="D3902" s="19"/>
      <c r="E3902" s="19"/>
      <c r="F3902" s="20"/>
      <c r="G3902" s="19"/>
      <c r="H3902" s="19"/>
      <c r="I3902" s="19"/>
      <c r="J3902" s="19"/>
      <c r="K3902" s="19"/>
    </row>
    <row r="3903" spans="3:11" x14ac:dyDescent="0.2">
      <c r="C3903" s="19"/>
      <c r="D3903" s="19"/>
      <c r="E3903" s="19"/>
      <c r="F3903" s="20"/>
      <c r="G3903" s="19"/>
      <c r="H3903" s="19"/>
      <c r="I3903" s="19"/>
      <c r="J3903" s="19"/>
      <c r="K3903" s="19"/>
    </row>
    <row r="3904" spans="3:11" x14ac:dyDescent="0.2">
      <c r="C3904" s="19"/>
      <c r="D3904" s="19"/>
      <c r="E3904" s="19"/>
      <c r="F3904" s="20"/>
      <c r="G3904" s="19"/>
      <c r="H3904" s="19"/>
      <c r="I3904" s="19"/>
      <c r="J3904" s="19"/>
      <c r="K3904" s="19"/>
    </row>
    <row r="3905" spans="3:11" x14ac:dyDescent="0.2">
      <c r="C3905" s="19"/>
      <c r="D3905" s="19"/>
      <c r="E3905" s="19"/>
      <c r="F3905" s="20"/>
      <c r="G3905" s="19"/>
      <c r="H3905" s="19"/>
      <c r="I3905" s="19"/>
      <c r="J3905" s="21"/>
      <c r="K3905" s="19"/>
    </row>
    <row r="3906" spans="3:11" x14ac:dyDescent="0.2">
      <c r="C3906" s="19"/>
      <c r="D3906" s="19"/>
      <c r="E3906" s="19"/>
      <c r="F3906" s="20"/>
      <c r="G3906" s="19"/>
      <c r="H3906" s="19"/>
      <c r="I3906" s="19"/>
      <c r="J3906" s="21"/>
      <c r="K3906" s="19"/>
    </row>
    <row r="3907" spans="3:11" x14ac:dyDescent="0.2">
      <c r="C3907" s="19"/>
      <c r="D3907" s="19"/>
      <c r="E3907" s="19"/>
      <c r="F3907" s="20"/>
      <c r="G3907" s="19"/>
      <c r="H3907" s="19"/>
      <c r="I3907" s="19"/>
      <c r="J3907" s="21"/>
      <c r="K3907" s="19"/>
    </row>
    <row r="3908" spans="3:11" x14ac:dyDescent="0.2">
      <c r="C3908" s="19"/>
      <c r="D3908" s="19"/>
      <c r="E3908" s="19"/>
      <c r="F3908" s="20"/>
      <c r="G3908" s="19"/>
      <c r="H3908" s="19"/>
      <c r="I3908" s="19"/>
      <c r="J3908" s="21"/>
      <c r="K3908" s="19"/>
    </row>
    <row r="3909" spans="3:11" x14ac:dyDescent="0.2">
      <c r="C3909" s="19"/>
      <c r="D3909" s="19"/>
      <c r="E3909" s="19"/>
      <c r="F3909" s="20"/>
      <c r="G3909" s="19"/>
      <c r="H3909" s="19"/>
      <c r="I3909" s="19"/>
      <c r="J3909" s="21"/>
      <c r="K3909" s="19"/>
    </row>
    <row r="3910" spans="3:11" x14ac:dyDescent="0.2">
      <c r="C3910" s="19"/>
      <c r="D3910" s="19"/>
      <c r="E3910" s="19"/>
      <c r="F3910" s="20"/>
      <c r="G3910" s="19"/>
      <c r="H3910" s="19"/>
      <c r="I3910" s="19"/>
      <c r="J3910" s="21"/>
      <c r="K3910" s="19"/>
    </row>
    <row r="3911" spans="3:11" x14ac:dyDescent="0.2">
      <c r="C3911" s="19"/>
      <c r="D3911" s="19"/>
      <c r="E3911" s="19"/>
      <c r="F3911" s="20"/>
      <c r="G3911" s="19"/>
      <c r="H3911" s="19"/>
      <c r="I3911" s="19"/>
      <c r="J3911" s="21"/>
      <c r="K3911" s="19"/>
    </row>
    <row r="3912" spans="3:11" x14ac:dyDescent="0.2">
      <c r="C3912" s="19"/>
      <c r="D3912" s="19"/>
      <c r="E3912" s="19"/>
      <c r="F3912" s="20"/>
      <c r="G3912" s="19"/>
      <c r="H3912" s="19"/>
      <c r="I3912" s="19"/>
      <c r="J3912" s="21"/>
      <c r="K3912" s="19"/>
    </row>
    <row r="3913" spans="3:11" x14ac:dyDescent="0.2">
      <c r="C3913" s="19"/>
      <c r="D3913" s="19"/>
      <c r="E3913" s="19"/>
      <c r="F3913" s="20"/>
      <c r="G3913" s="19"/>
      <c r="H3913" s="19"/>
      <c r="I3913" s="19"/>
      <c r="J3913" s="21"/>
      <c r="K3913" s="19"/>
    </row>
    <row r="3914" spans="3:11" x14ac:dyDescent="0.2">
      <c r="C3914" s="19"/>
      <c r="D3914" s="19"/>
      <c r="E3914" s="19"/>
      <c r="F3914" s="20"/>
      <c r="G3914" s="19"/>
      <c r="H3914" s="19"/>
      <c r="I3914" s="19"/>
      <c r="J3914" s="21"/>
      <c r="K3914" s="19"/>
    </row>
    <row r="3915" spans="3:11" x14ac:dyDescent="0.2">
      <c r="C3915" s="19"/>
      <c r="D3915" s="19"/>
      <c r="E3915" s="19"/>
      <c r="F3915" s="20"/>
      <c r="G3915" s="19"/>
      <c r="H3915" s="19"/>
      <c r="I3915" s="19"/>
      <c r="J3915" s="21"/>
      <c r="K3915" s="19"/>
    </row>
    <row r="3916" spans="3:11" x14ac:dyDescent="0.2">
      <c r="C3916" s="19"/>
      <c r="D3916" s="19"/>
      <c r="E3916" s="19"/>
      <c r="F3916" s="20"/>
      <c r="G3916" s="19"/>
      <c r="H3916" s="19"/>
      <c r="I3916" s="19"/>
      <c r="J3916" s="21"/>
      <c r="K3916" s="19"/>
    </row>
    <row r="3917" spans="3:11" x14ac:dyDescent="0.2">
      <c r="C3917" s="19"/>
      <c r="D3917" s="19"/>
      <c r="E3917" s="19"/>
      <c r="F3917" s="20"/>
      <c r="G3917" s="19"/>
      <c r="H3917" s="19"/>
      <c r="I3917" s="19"/>
      <c r="J3917" s="19"/>
      <c r="K3917" s="19"/>
    </row>
    <row r="3918" spans="3:11" x14ac:dyDescent="0.2">
      <c r="C3918" s="19"/>
      <c r="D3918" s="19"/>
      <c r="E3918" s="19"/>
      <c r="F3918" s="20"/>
      <c r="G3918" s="19"/>
      <c r="H3918" s="19"/>
      <c r="I3918" s="19"/>
      <c r="J3918" s="19"/>
      <c r="K3918" s="19"/>
    </row>
    <row r="3919" spans="3:11" x14ac:dyDescent="0.2">
      <c r="C3919" s="19"/>
      <c r="D3919" s="19"/>
      <c r="E3919" s="19"/>
      <c r="F3919" s="20"/>
      <c r="G3919" s="19"/>
      <c r="H3919" s="19"/>
      <c r="I3919" s="19"/>
      <c r="J3919" s="19"/>
      <c r="K3919" s="19"/>
    </row>
    <row r="3920" spans="3:11" x14ac:dyDescent="0.2">
      <c r="C3920" s="19"/>
      <c r="D3920" s="19"/>
      <c r="E3920" s="19"/>
      <c r="F3920" s="20"/>
      <c r="G3920" s="19"/>
      <c r="H3920" s="19"/>
      <c r="I3920" s="19"/>
      <c r="J3920" s="21"/>
      <c r="K3920" s="19"/>
    </row>
    <row r="3921" spans="3:11" x14ac:dyDescent="0.2">
      <c r="C3921" s="19"/>
      <c r="D3921" s="19"/>
      <c r="E3921" s="19"/>
      <c r="F3921" s="20"/>
      <c r="G3921" s="19"/>
      <c r="H3921" s="19"/>
      <c r="I3921" s="19"/>
      <c r="J3921" s="21"/>
      <c r="K3921" s="19"/>
    </row>
    <row r="3922" spans="3:11" x14ac:dyDescent="0.2">
      <c r="C3922" s="19"/>
      <c r="D3922" s="19"/>
      <c r="E3922" s="19"/>
      <c r="F3922" s="20"/>
      <c r="G3922" s="19"/>
      <c r="H3922" s="19"/>
      <c r="I3922" s="19"/>
      <c r="J3922" s="21"/>
      <c r="K3922" s="19"/>
    </row>
    <row r="3923" spans="3:11" x14ac:dyDescent="0.2">
      <c r="C3923" s="19"/>
      <c r="D3923" s="19"/>
      <c r="E3923" s="19"/>
      <c r="F3923" s="20"/>
      <c r="G3923" s="19"/>
      <c r="H3923" s="19"/>
      <c r="I3923" s="19"/>
      <c r="J3923" s="21"/>
      <c r="K3923" s="19"/>
    </row>
    <row r="3924" spans="3:11" x14ac:dyDescent="0.2">
      <c r="C3924" s="19"/>
      <c r="D3924" s="19"/>
      <c r="E3924" s="19"/>
      <c r="F3924" s="20"/>
      <c r="G3924" s="19"/>
      <c r="H3924" s="19"/>
      <c r="I3924" s="19"/>
      <c r="J3924" s="21"/>
      <c r="K3924" s="19"/>
    </row>
    <row r="3925" spans="3:11" x14ac:dyDescent="0.2">
      <c r="C3925" s="19"/>
      <c r="D3925" s="19"/>
      <c r="E3925" s="19"/>
      <c r="F3925" s="20"/>
      <c r="G3925" s="19"/>
      <c r="H3925" s="19"/>
      <c r="I3925" s="19"/>
      <c r="J3925" s="21"/>
      <c r="K3925" s="19"/>
    </row>
    <row r="3926" spans="3:11" x14ac:dyDescent="0.2">
      <c r="C3926" s="19"/>
      <c r="D3926" s="19"/>
      <c r="E3926" s="19"/>
      <c r="F3926" s="20"/>
      <c r="G3926" s="19"/>
      <c r="H3926" s="19"/>
      <c r="I3926" s="19"/>
      <c r="J3926" s="21"/>
      <c r="K3926" s="19"/>
    </row>
    <row r="3927" spans="3:11" x14ac:dyDescent="0.2">
      <c r="C3927" s="19"/>
      <c r="D3927" s="19"/>
      <c r="E3927" s="19"/>
      <c r="F3927" s="20"/>
      <c r="G3927" s="19"/>
      <c r="H3927" s="19"/>
      <c r="I3927" s="19"/>
      <c r="J3927" s="19"/>
      <c r="K3927" s="19"/>
    </row>
    <row r="3928" spans="3:11" x14ac:dyDescent="0.2">
      <c r="C3928" s="19"/>
      <c r="D3928" s="19"/>
      <c r="E3928" s="19"/>
      <c r="F3928" s="20"/>
      <c r="G3928" s="19"/>
      <c r="H3928" s="19"/>
      <c r="I3928" s="19"/>
      <c r="J3928" s="19"/>
      <c r="K3928" s="19"/>
    </row>
    <row r="3929" spans="3:11" x14ac:dyDescent="0.2">
      <c r="C3929" s="19"/>
      <c r="D3929" s="19"/>
      <c r="E3929" s="19"/>
      <c r="F3929" s="20"/>
      <c r="G3929" s="19"/>
      <c r="H3929" s="19"/>
      <c r="I3929" s="19"/>
      <c r="J3929" s="21"/>
      <c r="K3929" s="19"/>
    </row>
    <row r="3930" spans="3:11" x14ac:dyDescent="0.2">
      <c r="C3930" s="19"/>
      <c r="D3930" s="19"/>
      <c r="E3930" s="19"/>
      <c r="F3930" s="20"/>
      <c r="G3930" s="19"/>
      <c r="H3930" s="19"/>
      <c r="I3930" s="19"/>
      <c r="J3930" s="21"/>
      <c r="K3930" s="19"/>
    </row>
    <row r="3931" spans="3:11" x14ac:dyDescent="0.2">
      <c r="C3931" s="19"/>
      <c r="D3931" s="19"/>
      <c r="E3931" s="19"/>
      <c r="F3931" s="20"/>
      <c r="G3931" s="19"/>
      <c r="H3931" s="19"/>
      <c r="I3931" s="19"/>
      <c r="J3931" s="21"/>
      <c r="K3931" s="19"/>
    </row>
    <row r="3932" spans="3:11" x14ac:dyDescent="0.2">
      <c r="C3932" s="19"/>
      <c r="D3932" s="19"/>
      <c r="E3932" s="19"/>
      <c r="F3932" s="20"/>
      <c r="G3932" s="19"/>
      <c r="H3932" s="19"/>
      <c r="I3932" s="19"/>
      <c r="J3932" s="21"/>
      <c r="K3932" s="19"/>
    </row>
    <row r="3933" spans="3:11" x14ac:dyDescent="0.2">
      <c r="C3933" s="19"/>
      <c r="D3933" s="19"/>
      <c r="E3933" s="19"/>
      <c r="F3933" s="20"/>
      <c r="G3933" s="19"/>
      <c r="H3933" s="19"/>
      <c r="I3933" s="19"/>
      <c r="J3933" s="21"/>
      <c r="K3933" s="19"/>
    </row>
    <row r="3934" spans="3:11" x14ac:dyDescent="0.2">
      <c r="C3934" s="19"/>
      <c r="D3934" s="19"/>
      <c r="E3934" s="19"/>
      <c r="F3934" s="20"/>
      <c r="G3934" s="19"/>
      <c r="H3934" s="19"/>
      <c r="I3934" s="19"/>
      <c r="J3934" s="21"/>
      <c r="K3934" s="19"/>
    </row>
    <row r="3935" spans="3:11" x14ac:dyDescent="0.2">
      <c r="C3935" s="19"/>
      <c r="D3935" s="19"/>
      <c r="E3935" s="19"/>
      <c r="F3935" s="20"/>
      <c r="G3935" s="19"/>
      <c r="H3935" s="19"/>
      <c r="I3935" s="19"/>
      <c r="J3935" s="21"/>
      <c r="K3935" s="19"/>
    </row>
    <row r="3936" spans="3:11" x14ac:dyDescent="0.2">
      <c r="C3936" s="19"/>
      <c r="D3936" s="19"/>
      <c r="E3936" s="19"/>
      <c r="F3936" s="20"/>
      <c r="G3936" s="19"/>
      <c r="H3936" s="19"/>
      <c r="I3936" s="19"/>
      <c r="J3936" s="21"/>
      <c r="K3936" s="19"/>
    </row>
    <row r="3937" spans="3:11" x14ac:dyDescent="0.2">
      <c r="C3937" s="19"/>
      <c r="D3937" s="19"/>
      <c r="E3937" s="19"/>
      <c r="F3937" s="20"/>
      <c r="G3937" s="19"/>
      <c r="H3937" s="19"/>
      <c r="I3937" s="19"/>
      <c r="J3937" s="21"/>
      <c r="K3937" s="19"/>
    </row>
    <row r="3938" spans="3:11" x14ac:dyDescent="0.2">
      <c r="C3938" s="19"/>
      <c r="D3938" s="19"/>
      <c r="E3938" s="19"/>
      <c r="F3938" s="20"/>
      <c r="G3938" s="19"/>
      <c r="H3938" s="19"/>
      <c r="I3938" s="19"/>
      <c r="J3938" s="21"/>
      <c r="K3938" s="19"/>
    </row>
    <row r="3939" spans="3:11" x14ac:dyDescent="0.2">
      <c r="C3939" s="19"/>
      <c r="D3939" s="19"/>
      <c r="E3939" s="19"/>
      <c r="F3939" s="20"/>
      <c r="G3939" s="19"/>
      <c r="H3939" s="19"/>
      <c r="I3939" s="19"/>
      <c r="J3939" s="21"/>
      <c r="K3939" s="19"/>
    </row>
    <row r="3940" spans="3:11" x14ac:dyDescent="0.2">
      <c r="C3940" s="19"/>
      <c r="D3940" s="19"/>
      <c r="E3940" s="19"/>
      <c r="F3940" s="20"/>
      <c r="G3940" s="19"/>
      <c r="H3940" s="19"/>
      <c r="I3940" s="19"/>
      <c r="J3940" s="19"/>
      <c r="K3940" s="19"/>
    </row>
    <row r="3941" spans="3:11" x14ac:dyDescent="0.2">
      <c r="C3941" s="19"/>
      <c r="D3941" s="19"/>
      <c r="E3941" s="19"/>
      <c r="F3941" s="20"/>
      <c r="G3941" s="19"/>
      <c r="H3941" s="19"/>
      <c r="I3941" s="19"/>
      <c r="J3941" s="21"/>
      <c r="K3941" s="19"/>
    </row>
    <row r="3942" spans="3:11" x14ac:dyDescent="0.2">
      <c r="C3942" s="19"/>
      <c r="D3942" s="19"/>
      <c r="E3942" s="19"/>
      <c r="F3942" s="20"/>
      <c r="G3942" s="19"/>
      <c r="H3942" s="19"/>
      <c r="I3942" s="19"/>
      <c r="J3942" s="21"/>
      <c r="K3942" s="19"/>
    </row>
    <row r="3943" spans="3:11" x14ac:dyDescent="0.2">
      <c r="C3943" s="19"/>
      <c r="D3943" s="19"/>
      <c r="E3943" s="19"/>
      <c r="F3943" s="20"/>
      <c r="G3943" s="19"/>
      <c r="H3943" s="19"/>
      <c r="I3943" s="19"/>
      <c r="J3943" s="19"/>
      <c r="K3943" s="19"/>
    </row>
    <row r="3944" spans="3:11" x14ac:dyDescent="0.2">
      <c r="C3944" s="19"/>
      <c r="D3944" s="19"/>
      <c r="E3944" s="19"/>
      <c r="F3944" s="20"/>
      <c r="G3944" s="19"/>
      <c r="H3944" s="19"/>
      <c r="I3944" s="19"/>
      <c r="J3944" s="21"/>
      <c r="K3944" s="19"/>
    </row>
    <row r="3945" spans="3:11" x14ac:dyDescent="0.2">
      <c r="C3945" s="19"/>
      <c r="D3945" s="19"/>
      <c r="E3945" s="19"/>
      <c r="F3945" s="20"/>
      <c r="G3945" s="19"/>
      <c r="H3945" s="19"/>
      <c r="I3945" s="19"/>
      <c r="J3945" s="21"/>
      <c r="K3945" s="19"/>
    </row>
    <row r="3946" spans="3:11" x14ac:dyDescent="0.2">
      <c r="C3946" s="19"/>
      <c r="D3946" s="19"/>
      <c r="E3946" s="19"/>
      <c r="F3946" s="20"/>
      <c r="G3946" s="19"/>
      <c r="H3946" s="19"/>
      <c r="I3946" s="19"/>
      <c r="J3946" s="21"/>
      <c r="K3946" s="19"/>
    </row>
    <row r="3947" spans="3:11" x14ac:dyDescent="0.2">
      <c r="C3947" s="19"/>
      <c r="D3947" s="19"/>
      <c r="E3947" s="19"/>
      <c r="F3947" s="20"/>
      <c r="G3947" s="19"/>
      <c r="H3947" s="19"/>
      <c r="I3947" s="19"/>
      <c r="J3947" s="21"/>
      <c r="K3947" s="19"/>
    </row>
    <row r="3948" spans="3:11" x14ac:dyDescent="0.2">
      <c r="C3948" s="19"/>
      <c r="D3948" s="19"/>
      <c r="E3948" s="19"/>
      <c r="F3948" s="20"/>
      <c r="G3948" s="19"/>
      <c r="H3948" s="19"/>
      <c r="I3948" s="19"/>
      <c r="J3948" s="21"/>
      <c r="K3948" s="19"/>
    </row>
    <row r="3949" spans="3:11" x14ac:dyDescent="0.2">
      <c r="C3949" s="19"/>
      <c r="D3949" s="19"/>
      <c r="E3949" s="19"/>
      <c r="F3949" s="20"/>
      <c r="G3949" s="19"/>
      <c r="H3949" s="19"/>
      <c r="I3949" s="19"/>
      <c r="J3949" s="21"/>
      <c r="K3949" s="19"/>
    </row>
    <row r="3950" spans="3:11" x14ac:dyDescent="0.2">
      <c r="C3950" s="19"/>
      <c r="D3950" s="19"/>
      <c r="E3950" s="19"/>
      <c r="F3950" s="20"/>
      <c r="G3950" s="19"/>
      <c r="H3950" s="19"/>
      <c r="I3950" s="19"/>
      <c r="J3950" s="21"/>
      <c r="K3950" s="19"/>
    </row>
    <row r="3951" spans="3:11" x14ac:dyDescent="0.2">
      <c r="C3951" s="19"/>
      <c r="D3951" s="19"/>
      <c r="E3951" s="19"/>
      <c r="F3951" s="20"/>
      <c r="G3951" s="19"/>
      <c r="H3951" s="19"/>
      <c r="I3951" s="19"/>
      <c r="J3951" s="21"/>
      <c r="K3951" s="19"/>
    </row>
    <row r="3952" spans="3:11" x14ac:dyDescent="0.2">
      <c r="C3952" s="19"/>
      <c r="D3952" s="19"/>
      <c r="E3952" s="19"/>
      <c r="F3952" s="20"/>
      <c r="G3952" s="19"/>
      <c r="H3952" s="19"/>
      <c r="I3952" s="19"/>
      <c r="J3952" s="21"/>
      <c r="K3952" s="19"/>
    </row>
    <row r="3953" spans="3:11" x14ac:dyDescent="0.2">
      <c r="C3953" s="19"/>
      <c r="D3953" s="19"/>
      <c r="E3953" s="19"/>
      <c r="F3953" s="20"/>
      <c r="G3953" s="19"/>
      <c r="H3953" s="19"/>
      <c r="I3953" s="19"/>
      <c r="J3953" s="21"/>
      <c r="K3953" s="19"/>
    </row>
    <row r="3954" spans="3:11" x14ac:dyDescent="0.2">
      <c r="C3954" s="19"/>
      <c r="D3954" s="19"/>
      <c r="E3954" s="19"/>
      <c r="F3954" s="20"/>
      <c r="G3954" s="19"/>
      <c r="H3954" s="19"/>
      <c r="I3954" s="19"/>
      <c r="J3954" s="21"/>
      <c r="K3954" s="19"/>
    </row>
    <row r="3955" spans="3:11" x14ac:dyDescent="0.2">
      <c r="C3955" s="19"/>
      <c r="D3955" s="19"/>
      <c r="E3955" s="19"/>
      <c r="F3955" s="20"/>
      <c r="G3955" s="19"/>
      <c r="H3955" s="19"/>
      <c r="I3955" s="19"/>
      <c r="J3955" s="21"/>
      <c r="K3955" s="19"/>
    </row>
    <row r="3956" spans="3:11" x14ac:dyDescent="0.2">
      <c r="C3956" s="19"/>
      <c r="D3956" s="19"/>
      <c r="E3956" s="19"/>
      <c r="F3956" s="20"/>
      <c r="G3956" s="19"/>
      <c r="H3956" s="19"/>
      <c r="I3956" s="19"/>
      <c r="J3956" s="21"/>
      <c r="K3956" s="19"/>
    </row>
    <row r="3957" spans="3:11" x14ac:dyDescent="0.2">
      <c r="C3957" s="19"/>
      <c r="D3957" s="19"/>
      <c r="E3957" s="19"/>
      <c r="F3957" s="20"/>
      <c r="G3957" s="19"/>
      <c r="H3957" s="19"/>
      <c r="I3957" s="19"/>
      <c r="J3957" s="21"/>
      <c r="K3957" s="19"/>
    </row>
    <row r="3958" spans="3:11" x14ac:dyDescent="0.2">
      <c r="C3958" s="19"/>
      <c r="D3958" s="19"/>
      <c r="E3958" s="19"/>
      <c r="F3958" s="20"/>
      <c r="G3958" s="19"/>
      <c r="H3958" s="19"/>
      <c r="I3958" s="19"/>
      <c r="J3958" s="19"/>
      <c r="K3958" s="19"/>
    </row>
    <row r="3959" spans="3:11" x14ac:dyDescent="0.2">
      <c r="C3959" s="19"/>
      <c r="D3959" s="19"/>
      <c r="E3959" s="19"/>
      <c r="F3959" s="20"/>
      <c r="G3959" s="19"/>
      <c r="H3959" s="19"/>
      <c r="I3959" s="19"/>
      <c r="J3959" s="19"/>
      <c r="K3959" s="19"/>
    </row>
    <row r="3960" spans="3:11" x14ac:dyDescent="0.2">
      <c r="C3960" s="19"/>
      <c r="D3960" s="19"/>
      <c r="E3960" s="19"/>
      <c r="F3960" s="20"/>
      <c r="G3960" s="19"/>
      <c r="H3960" s="19"/>
      <c r="I3960" s="19"/>
      <c r="J3960" s="19"/>
      <c r="K3960" s="19"/>
    </row>
    <row r="3961" spans="3:11" x14ac:dyDescent="0.2">
      <c r="C3961" s="19"/>
      <c r="D3961" s="19"/>
      <c r="E3961" s="19"/>
      <c r="F3961" s="20"/>
      <c r="G3961" s="19"/>
      <c r="H3961" s="19"/>
      <c r="I3961" s="19"/>
      <c r="J3961" s="21"/>
      <c r="K3961" s="19"/>
    </row>
    <row r="3962" spans="3:11" x14ac:dyDescent="0.2">
      <c r="C3962" s="19"/>
      <c r="D3962" s="19"/>
      <c r="E3962" s="19"/>
      <c r="F3962" s="20"/>
      <c r="G3962" s="19"/>
      <c r="H3962" s="19"/>
      <c r="I3962" s="19"/>
      <c r="J3962" s="21"/>
      <c r="K3962" s="19"/>
    </row>
    <row r="3963" spans="3:11" x14ac:dyDescent="0.2">
      <c r="C3963" s="19"/>
      <c r="D3963" s="19"/>
      <c r="E3963" s="19"/>
      <c r="F3963" s="20"/>
      <c r="G3963" s="19"/>
      <c r="H3963" s="19"/>
      <c r="I3963" s="19"/>
      <c r="J3963" s="21"/>
      <c r="K3963" s="19"/>
    </row>
    <row r="3964" spans="3:11" x14ac:dyDescent="0.2">
      <c r="C3964" s="19"/>
      <c r="D3964" s="19"/>
      <c r="E3964" s="19"/>
      <c r="F3964" s="20"/>
      <c r="G3964" s="19"/>
      <c r="H3964" s="19"/>
      <c r="I3964" s="19"/>
      <c r="J3964" s="21"/>
      <c r="K3964" s="19"/>
    </row>
    <row r="3965" spans="3:11" x14ac:dyDescent="0.2">
      <c r="C3965" s="19"/>
      <c r="D3965" s="19"/>
      <c r="E3965" s="19"/>
      <c r="F3965" s="20"/>
      <c r="G3965" s="19"/>
      <c r="H3965" s="19"/>
      <c r="I3965" s="19"/>
      <c r="J3965" s="21"/>
      <c r="K3965" s="19"/>
    </row>
    <row r="3966" spans="3:11" x14ac:dyDescent="0.2">
      <c r="C3966" s="19"/>
      <c r="D3966" s="19"/>
      <c r="E3966" s="19"/>
      <c r="F3966" s="20"/>
      <c r="G3966" s="19"/>
      <c r="H3966" s="19"/>
      <c r="I3966" s="19"/>
      <c r="J3966" s="21"/>
      <c r="K3966" s="19"/>
    </row>
    <row r="3967" spans="3:11" x14ac:dyDescent="0.2">
      <c r="C3967" s="19"/>
      <c r="D3967" s="19"/>
      <c r="E3967" s="19"/>
      <c r="F3967" s="20"/>
      <c r="G3967" s="19"/>
      <c r="H3967" s="19"/>
      <c r="I3967" s="19"/>
      <c r="J3967" s="21"/>
      <c r="K3967" s="19"/>
    </row>
    <row r="3968" spans="3:11" x14ac:dyDescent="0.2">
      <c r="C3968" s="19"/>
      <c r="D3968" s="19"/>
      <c r="E3968" s="19"/>
      <c r="F3968" s="20"/>
      <c r="G3968" s="19"/>
      <c r="H3968" s="19"/>
      <c r="I3968" s="19"/>
      <c r="J3968" s="21"/>
      <c r="K3968" s="19"/>
    </row>
    <row r="3969" spans="3:11" x14ac:dyDescent="0.2">
      <c r="C3969" s="19"/>
      <c r="D3969" s="19"/>
      <c r="E3969" s="19"/>
      <c r="F3969" s="20"/>
      <c r="G3969" s="19"/>
      <c r="H3969" s="19"/>
      <c r="I3969" s="19"/>
      <c r="J3969" s="21"/>
      <c r="K3969" s="19"/>
    </row>
    <row r="3970" spans="3:11" x14ac:dyDescent="0.2">
      <c r="C3970" s="19"/>
      <c r="D3970" s="19"/>
      <c r="E3970" s="19"/>
      <c r="F3970" s="20"/>
      <c r="G3970" s="19"/>
      <c r="H3970" s="19"/>
      <c r="I3970" s="19"/>
      <c r="J3970" s="21"/>
      <c r="K3970" s="19"/>
    </row>
    <row r="3971" spans="3:11" x14ac:dyDescent="0.2">
      <c r="C3971" s="19"/>
      <c r="D3971" s="19"/>
      <c r="E3971" s="19"/>
      <c r="F3971" s="20"/>
      <c r="G3971" s="19"/>
      <c r="H3971" s="19"/>
      <c r="I3971" s="19"/>
      <c r="J3971" s="21"/>
      <c r="K3971" s="19"/>
    </row>
    <row r="3972" spans="3:11" x14ac:dyDescent="0.2">
      <c r="C3972" s="19"/>
      <c r="D3972" s="19"/>
      <c r="E3972" s="19"/>
      <c r="F3972" s="20"/>
      <c r="G3972" s="19"/>
      <c r="H3972" s="19"/>
      <c r="I3972" s="19"/>
      <c r="J3972" s="21"/>
      <c r="K3972" s="19"/>
    </row>
    <row r="3973" spans="3:11" x14ac:dyDescent="0.2">
      <c r="C3973" s="19"/>
      <c r="D3973" s="19"/>
      <c r="E3973" s="19"/>
      <c r="F3973" s="20"/>
      <c r="G3973" s="19"/>
      <c r="H3973" s="19"/>
      <c r="I3973" s="19"/>
      <c r="J3973" s="21"/>
      <c r="K3973" s="19"/>
    </row>
    <row r="3974" spans="3:11" x14ac:dyDescent="0.2">
      <c r="C3974" s="19"/>
      <c r="D3974" s="19"/>
      <c r="E3974" s="19"/>
      <c r="F3974" s="20"/>
      <c r="G3974" s="19"/>
      <c r="H3974" s="19"/>
      <c r="I3974" s="19"/>
      <c r="J3974" s="21"/>
      <c r="K3974" s="19"/>
    </row>
    <row r="3975" spans="3:11" x14ac:dyDescent="0.2">
      <c r="C3975" s="19"/>
      <c r="D3975" s="19"/>
      <c r="E3975" s="19"/>
      <c r="F3975" s="20"/>
      <c r="G3975" s="19"/>
      <c r="H3975" s="19"/>
      <c r="I3975" s="19"/>
      <c r="J3975" s="21"/>
      <c r="K3975" s="19"/>
    </row>
    <row r="3976" spans="3:11" x14ac:dyDescent="0.2">
      <c r="C3976" s="19"/>
      <c r="D3976" s="19"/>
      <c r="E3976" s="19"/>
      <c r="F3976" s="20"/>
      <c r="G3976" s="19"/>
      <c r="H3976" s="19"/>
      <c r="I3976" s="19"/>
      <c r="J3976" s="21"/>
      <c r="K3976" s="19"/>
    </row>
    <row r="3977" spans="3:11" x14ac:dyDescent="0.2">
      <c r="C3977" s="19"/>
      <c r="D3977" s="19"/>
      <c r="E3977" s="19"/>
      <c r="F3977" s="20"/>
      <c r="G3977" s="19"/>
      <c r="H3977" s="19"/>
      <c r="I3977" s="19"/>
      <c r="J3977" s="21"/>
      <c r="K3977" s="19"/>
    </row>
    <row r="3978" spans="3:11" x14ac:dyDescent="0.2">
      <c r="C3978" s="19"/>
      <c r="D3978" s="19"/>
      <c r="E3978" s="19"/>
      <c r="F3978" s="20"/>
      <c r="G3978" s="19"/>
      <c r="H3978" s="19"/>
      <c r="I3978" s="19"/>
      <c r="J3978" s="19"/>
      <c r="K3978" s="19"/>
    </row>
    <row r="3979" spans="3:11" x14ac:dyDescent="0.2">
      <c r="C3979" s="19"/>
      <c r="D3979" s="19"/>
      <c r="E3979" s="19"/>
      <c r="F3979" s="20"/>
      <c r="G3979" s="19"/>
      <c r="H3979" s="19"/>
      <c r="I3979" s="19"/>
      <c r="J3979" s="19"/>
      <c r="K3979" s="19"/>
    </row>
    <row r="3980" spans="3:11" x14ac:dyDescent="0.2">
      <c r="C3980" s="19"/>
      <c r="D3980" s="19"/>
      <c r="E3980" s="19"/>
      <c r="F3980" s="20"/>
      <c r="G3980" s="19"/>
      <c r="H3980" s="19"/>
      <c r="I3980" s="19"/>
      <c r="J3980" s="21"/>
      <c r="K3980" s="19"/>
    </row>
    <row r="3981" spans="3:11" x14ac:dyDescent="0.2">
      <c r="C3981" s="19"/>
      <c r="D3981" s="19"/>
      <c r="E3981" s="19"/>
      <c r="F3981" s="20"/>
      <c r="G3981" s="19"/>
      <c r="H3981" s="19"/>
      <c r="I3981" s="19"/>
      <c r="J3981" s="21"/>
      <c r="K3981" s="19"/>
    </row>
    <row r="3982" spans="3:11" x14ac:dyDescent="0.2">
      <c r="C3982" s="19"/>
      <c r="D3982" s="19"/>
      <c r="E3982" s="19"/>
      <c r="F3982" s="20"/>
      <c r="G3982" s="19"/>
      <c r="H3982" s="19"/>
      <c r="I3982" s="19"/>
      <c r="J3982" s="21"/>
      <c r="K3982" s="19"/>
    </row>
    <row r="3983" spans="3:11" x14ac:dyDescent="0.2">
      <c r="C3983" s="19"/>
      <c r="D3983" s="19"/>
      <c r="E3983" s="19"/>
      <c r="F3983" s="20"/>
      <c r="G3983" s="19"/>
      <c r="H3983" s="19"/>
      <c r="I3983" s="19"/>
      <c r="J3983" s="21"/>
      <c r="K3983" s="19"/>
    </row>
    <row r="3984" spans="3:11" x14ac:dyDescent="0.2">
      <c r="C3984" s="19"/>
      <c r="D3984" s="19"/>
      <c r="E3984" s="19"/>
      <c r="F3984" s="20"/>
      <c r="G3984" s="19"/>
      <c r="H3984" s="19"/>
      <c r="I3984" s="19"/>
      <c r="J3984" s="21"/>
      <c r="K3984" s="19"/>
    </row>
    <row r="3985" spans="3:11" x14ac:dyDescent="0.2">
      <c r="C3985" s="19"/>
      <c r="D3985" s="19"/>
      <c r="E3985" s="19"/>
      <c r="F3985" s="20"/>
      <c r="G3985" s="19"/>
      <c r="H3985" s="19"/>
      <c r="I3985" s="19"/>
      <c r="J3985" s="21"/>
      <c r="K3985" s="19"/>
    </row>
    <row r="3986" spans="3:11" x14ac:dyDescent="0.2">
      <c r="C3986" s="19"/>
      <c r="D3986" s="19"/>
      <c r="E3986" s="19"/>
      <c r="F3986" s="20"/>
      <c r="G3986" s="19"/>
      <c r="H3986" s="19"/>
      <c r="I3986" s="19"/>
      <c r="J3986" s="21"/>
      <c r="K3986" s="19"/>
    </row>
    <row r="3987" spans="3:11" x14ac:dyDescent="0.2">
      <c r="C3987" s="19"/>
      <c r="D3987" s="19"/>
      <c r="E3987" s="19"/>
      <c r="F3987" s="20"/>
      <c r="G3987" s="19"/>
      <c r="H3987" s="19"/>
      <c r="I3987" s="19"/>
      <c r="J3987" s="21"/>
      <c r="K3987" s="19"/>
    </row>
    <row r="3988" spans="3:11" x14ac:dyDescent="0.2">
      <c r="C3988" s="19"/>
      <c r="D3988" s="19"/>
      <c r="E3988" s="19"/>
      <c r="F3988" s="20"/>
      <c r="G3988" s="19"/>
      <c r="H3988" s="19"/>
      <c r="I3988" s="19"/>
      <c r="J3988" s="21"/>
      <c r="K3988" s="19"/>
    </row>
    <row r="3989" spans="3:11" x14ac:dyDescent="0.2">
      <c r="C3989" s="19"/>
      <c r="D3989" s="19"/>
      <c r="E3989" s="19"/>
      <c r="F3989" s="20"/>
      <c r="G3989" s="19"/>
      <c r="H3989" s="19"/>
      <c r="I3989" s="19"/>
      <c r="J3989" s="21"/>
      <c r="K3989" s="19"/>
    </row>
    <row r="3990" spans="3:11" x14ac:dyDescent="0.2">
      <c r="C3990" s="19"/>
      <c r="D3990" s="19"/>
      <c r="E3990" s="19"/>
      <c r="F3990" s="20"/>
      <c r="G3990" s="19"/>
      <c r="H3990" s="19"/>
      <c r="I3990" s="19"/>
      <c r="J3990" s="21"/>
      <c r="K3990" s="19"/>
    </row>
    <row r="3991" spans="3:11" x14ac:dyDescent="0.2">
      <c r="C3991" s="19"/>
      <c r="D3991" s="19"/>
      <c r="E3991" s="19"/>
      <c r="F3991" s="20"/>
      <c r="G3991" s="19"/>
      <c r="H3991" s="19"/>
      <c r="I3991" s="19"/>
      <c r="J3991" s="21"/>
      <c r="K3991" s="19"/>
    </row>
    <row r="3992" spans="3:11" x14ac:dyDescent="0.2">
      <c r="C3992" s="19"/>
      <c r="D3992" s="19"/>
      <c r="E3992" s="19"/>
      <c r="F3992" s="20"/>
      <c r="G3992" s="19"/>
      <c r="H3992" s="19"/>
      <c r="I3992" s="19"/>
      <c r="J3992" s="21"/>
      <c r="K3992" s="19"/>
    </row>
    <row r="3993" spans="3:11" x14ac:dyDescent="0.2">
      <c r="C3993" s="19"/>
      <c r="D3993" s="19"/>
      <c r="E3993" s="19"/>
      <c r="F3993" s="20"/>
      <c r="G3993" s="19"/>
      <c r="H3993" s="19"/>
      <c r="I3993" s="19"/>
      <c r="J3993" s="21"/>
      <c r="K3993" s="19"/>
    </row>
    <row r="3994" spans="3:11" x14ac:dyDescent="0.2">
      <c r="C3994" s="19"/>
      <c r="D3994" s="19"/>
      <c r="E3994" s="19"/>
      <c r="F3994" s="20"/>
      <c r="G3994" s="19"/>
      <c r="H3994" s="19"/>
      <c r="I3994" s="19"/>
      <c r="J3994" s="21"/>
      <c r="K3994" s="19"/>
    </row>
    <row r="3995" spans="3:11" x14ac:dyDescent="0.2">
      <c r="C3995" s="19"/>
      <c r="D3995" s="19"/>
      <c r="E3995" s="19"/>
      <c r="F3995" s="20"/>
      <c r="G3995" s="19"/>
      <c r="H3995" s="19"/>
      <c r="I3995" s="19"/>
      <c r="J3995" s="21"/>
      <c r="K3995" s="19"/>
    </row>
    <row r="3996" spans="3:11" x14ac:dyDescent="0.2">
      <c r="C3996" s="19"/>
      <c r="D3996" s="19"/>
      <c r="E3996" s="19"/>
      <c r="F3996" s="20"/>
      <c r="G3996" s="19"/>
      <c r="H3996" s="19"/>
      <c r="I3996" s="19"/>
      <c r="J3996" s="21"/>
      <c r="K3996" s="19"/>
    </row>
    <row r="3997" spans="3:11" x14ac:dyDescent="0.2">
      <c r="C3997" s="19"/>
      <c r="D3997" s="19"/>
      <c r="E3997" s="19"/>
      <c r="F3997" s="20"/>
      <c r="G3997" s="19"/>
      <c r="H3997" s="19"/>
      <c r="I3997" s="19"/>
      <c r="J3997" s="21"/>
      <c r="K3997" s="19"/>
    </row>
    <row r="3998" spans="3:11" x14ac:dyDescent="0.2">
      <c r="C3998" s="19"/>
      <c r="D3998" s="19"/>
      <c r="E3998" s="19"/>
      <c r="F3998" s="20"/>
      <c r="G3998" s="19"/>
      <c r="H3998" s="19"/>
      <c r="I3998" s="19"/>
      <c r="J3998" s="21"/>
      <c r="K3998" s="19"/>
    </row>
    <row r="3999" spans="3:11" x14ac:dyDescent="0.2">
      <c r="C3999" s="19"/>
      <c r="D3999" s="19"/>
      <c r="E3999" s="19"/>
      <c r="F3999" s="20"/>
      <c r="G3999" s="19"/>
      <c r="H3999" s="19"/>
      <c r="I3999" s="19"/>
      <c r="J3999" s="21"/>
      <c r="K3999" s="19"/>
    </row>
    <row r="4000" spans="3:11" x14ac:dyDescent="0.2">
      <c r="C4000" s="19"/>
      <c r="D4000" s="19"/>
      <c r="E4000" s="19"/>
      <c r="F4000" s="20"/>
      <c r="G4000" s="19"/>
      <c r="H4000" s="19"/>
      <c r="I4000" s="19"/>
      <c r="J4000" s="21"/>
      <c r="K4000" s="19"/>
    </row>
    <row r="4001" spans="3:11" x14ac:dyDescent="0.2">
      <c r="C4001" s="19"/>
      <c r="D4001" s="19"/>
      <c r="E4001" s="19"/>
      <c r="F4001" s="20"/>
      <c r="G4001" s="19"/>
      <c r="H4001" s="19"/>
      <c r="I4001" s="19"/>
      <c r="J4001" s="21"/>
      <c r="K4001" s="19"/>
    </row>
    <row r="4002" spans="3:11" x14ac:dyDescent="0.2">
      <c r="C4002" s="19"/>
      <c r="D4002" s="19"/>
      <c r="E4002" s="19"/>
      <c r="F4002" s="20"/>
      <c r="G4002" s="19"/>
      <c r="H4002" s="19"/>
      <c r="I4002" s="19"/>
      <c r="J4002" s="21"/>
      <c r="K4002" s="19"/>
    </row>
    <row r="4003" spans="3:11" x14ac:dyDescent="0.2">
      <c r="C4003" s="19"/>
      <c r="D4003" s="19"/>
      <c r="E4003" s="19"/>
      <c r="F4003" s="20"/>
      <c r="G4003" s="19"/>
      <c r="H4003" s="19"/>
      <c r="I4003" s="19"/>
      <c r="J4003" s="21"/>
      <c r="K4003" s="19"/>
    </row>
    <row r="4004" spans="3:11" x14ac:dyDescent="0.2">
      <c r="C4004" s="19"/>
      <c r="D4004" s="19"/>
      <c r="E4004" s="19"/>
      <c r="F4004" s="20"/>
      <c r="G4004" s="19"/>
      <c r="H4004" s="19"/>
      <c r="I4004" s="19"/>
      <c r="J4004" s="19"/>
      <c r="K4004" s="19"/>
    </row>
    <row r="4005" spans="3:11" x14ac:dyDescent="0.2">
      <c r="C4005" s="19"/>
      <c r="D4005" s="19"/>
      <c r="E4005" s="19"/>
      <c r="F4005" s="20"/>
      <c r="G4005" s="19"/>
      <c r="H4005" s="19"/>
      <c r="I4005" s="19"/>
      <c r="J4005" s="19"/>
      <c r="K4005" s="19"/>
    </row>
    <row r="4006" spans="3:11" x14ac:dyDescent="0.2">
      <c r="C4006" s="19"/>
      <c r="D4006" s="19"/>
      <c r="E4006" s="19"/>
      <c r="F4006" s="20"/>
      <c r="G4006" s="19"/>
      <c r="H4006" s="19"/>
      <c r="I4006" s="19"/>
      <c r="J4006" s="19"/>
      <c r="K4006" s="19"/>
    </row>
    <row r="4007" spans="3:11" x14ac:dyDescent="0.2">
      <c r="C4007" s="19"/>
      <c r="D4007" s="19"/>
      <c r="E4007" s="19"/>
      <c r="F4007" s="20"/>
      <c r="G4007" s="19"/>
      <c r="H4007" s="19"/>
      <c r="I4007" s="19"/>
      <c r="J4007" s="19"/>
      <c r="K4007" s="19"/>
    </row>
    <row r="4008" spans="3:11" x14ac:dyDescent="0.2">
      <c r="C4008" s="19"/>
      <c r="D4008" s="19"/>
      <c r="E4008" s="19"/>
      <c r="F4008" s="20"/>
      <c r="G4008" s="19"/>
      <c r="H4008" s="19"/>
      <c r="I4008" s="19"/>
      <c r="J4008" s="19"/>
      <c r="K4008" s="19"/>
    </row>
    <row r="4009" spans="3:11" x14ac:dyDescent="0.2">
      <c r="C4009" s="19"/>
      <c r="D4009" s="19"/>
      <c r="E4009" s="19"/>
      <c r="F4009" s="20"/>
      <c r="G4009" s="19"/>
      <c r="H4009" s="19"/>
      <c r="I4009" s="19"/>
      <c r="J4009" s="19"/>
      <c r="K4009" s="19"/>
    </row>
    <row r="4010" spans="3:11" x14ac:dyDescent="0.2">
      <c r="C4010" s="19"/>
      <c r="D4010" s="19"/>
      <c r="E4010" s="19"/>
      <c r="F4010" s="20"/>
      <c r="G4010" s="19"/>
      <c r="H4010" s="19"/>
      <c r="I4010" s="19"/>
      <c r="J4010" s="19"/>
      <c r="K4010" s="19"/>
    </row>
    <row r="4011" spans="3:11" x14ac:dyDescent="0.2">
      <c r="C4011" s="19"/>
      <c r="D4011" s="19"/>
      <c r="E4011" s="19"/>
      <c r="F4011" s="20"/>
      <c r="G4011" s="19"/>
      <c r="H4011" s="19"/>
      <c r="I4011" s="19"/>
      <c r="J4011" s="19"/>
      <c r="K4011" s="19"/>
    </row>
    <row r="4012" spans="3:11" x14ac:dyDescent="0.2">
      <c r="C4012" s="19"/>
      <c r="D4012" s="19"/>
      <c r="E4012" s="19"/>
      <c r="F4012" s="20"/>
      <c r="G4012" s="19"/>
      <c r="H4012" s="19"/>
      <c r="I4012" s="19"/>
      <c r="J4012" s="21"/>
      <c r="K4012" s="19"/>
    </row>
    <row r="4013" spans="3:11" x14ac:dyDescent="0.2">
      <c r="C4013" s="19"/>
      <c r="D4013" s="19"/>
      <c r="E4013" s="19"/>
      <c r="F4013" s="20"/>
      <c r="G4013" s="19"/>
      <c r="H4013" s="19"/>
      <c r="I4013" s="19"/>
      <c r="J4013" s="21"/>
      <c r="K4013" s="19"/>
    </row>
    <row r="4014" spans="3:11" x14ac:dyDescent="0.2">
      <c r="C4014" s="19"/>
      <c r="D4014" s="19"/>
      <c r="E4014" s="19"/>
      <c r="F4014" s="20"/>
      <c r="G4014" s="19"/>
      <c r="H4014" s="19"/>
      <c r="I4014" s="19"/>
      <c r="J4014" s="21"/>
      <c r="K4014" s="19"/>
    </row>
    <row r="4015" spans="3:11" x14ac:dyDescent="0.2">
      <c r="C4015" s="19"/>
      <c r="D4015" s="19"/>
      <c r="E4015" s="19"/>
      <c r="F4015" s="20"/>
      <c r="G4015" s="19"/>
      <c r="H4015" s="19"/>
      <c r="I4015" s="19"/>
      <c r="J4015" s="21"/>
      <c r="K4015" s="19"/>
    </row>
    <row r="4016" spans="3:11" x14ac:dyDescent="0.2">
      <c r="C4016" s="19"/>
      <c r="D4016" s="19"/>
      <c r="E4016" s="19"/>
      <c r="F4016" s="20"/>
      <c r="G4016" s="19"/>
      <c r="H4016" s="19"/>
      <c r="I4016" s="19"/>
      <c r="J4016" s="21"/>
      <c r="K4016" s="19"/>
    </row>
    <row r="4017" spans="3:11" x14ac:dyDescent="0.2">
      <c r="C4017" s="19"/>
      <c r="D4017" s="19"/>
      <c r="E4017" s="19"/>
      <c r="F4017" s="20"/>
      <c r="G4017" s="19"/>
      <c r="H4017" s="19"/>
      <c r="I4017" s="19"/>
      <c r="J4017" s="21"/>
      <c r="K4017" s="19"/>
    </row>
    <row r="4018" spans="3:11" x14ac:dyDescent="0.2">
      <c r="C4018" s="19"/>
      <c r="D4018" s="19"/>
      <c r="E4018" s="19"/>
      <c r="F4018" s="20"/>
      <c r="G4018" s="19"/>
      <c r="H4018" s="19"/>
      <c r="I4018" s="19"/>
      <c r="J4018" s="21"/>
      <c r="K4018" s="19"/>
    </row>
    <row r="4019" spans="3:11" x14ac:dyDescent="0.2">
      <c r="C4019" s="19"/>
      <c r="D4019" s="19"/>
      <c r="E4019" s="19"/>
      <c r="F4019" s="20"/>
      <c r="G4019" s="19"/>
      <c r="H4019" s="19"/>
      <c r="I4019" s="19"/>
      <c r="J4019" s="21"/>
      <c r="K4019" s="19"/>
    </row>
    <row r="4020" spans="3:11" x14ac:dyDescent="0.2">
      <c r="C4020" s="19"/>
      <c r="D4020" s="19"/>
      <c r="E4020" s="19"/>
      <c r="F4020" s="20"/>
      <c r="G4020" s="19"/>
      <c r="H4020" s="19"/>
      <c r="I4020" s="19"/>
      <c r="J4020" s="21"/>
      <c r="K4020" s="19"/>
    </row>
    <row r="4021" spans="3:11" x14ac:dyDescent="0.2">
      <c r="C4021" s="19"/>
      <c r="D4021" s="19"/>
      <c r="E4021" s="19"/>
      <c r="F4021" s="20"/>
      <c r="G4021" s="19"/>
      <c r="H4021" s="19"/>
      <c r="I4021" s="19"/>
      <c r="J4021" s="21"/>
      <c r="K4021" s="19"/>
    </row>
    <row r="4022" spans="3:11" x14ac:dyDescent="0.2">
      <c r="C4022" s="19"/>
      <c r="D4022" s="19"/>
      <c r="E4022" s="19"/>
      <c r="F4022" s="20"/>
      <c r="G4022" s="19"/>
      <c r="H4022" s="19"/>
      <c r="I4022" s="19"/>
      <c r="J4022" s="21"/>
      <c r="K4022" s="19"/>
    </row>
    <row r="4023" spans="3:11" x14ac:dyDescent="0.2">
      <c r="C4023" s="19"/>
      <c r="D4023" s="19"/>
      <c r="E4023" s="19"/>
      <c r="F4023" s="20"/>
      <c r="G4023" s="19"/>
      <c r="H4023" s="19"/>
      <c r="I4023" s="19"/>
      <c r="J4023" s="21"/>
      <c r="K4023" s="19"/>
    </row>
    <row r="4024" spans="3:11" x14ac:dyDescent="0.2">
      <c r="C4024" s="19"/>
      <c r="D4024" s="19"/>
      <c r="E4024" s="19"/>
      <c r="F4024" s="20"/>
      <c r="G4024" s="19"/>
      <c r="H4024" s="19"/>
      <c r="I4024" s="19"/>
      <c r="J4024" s="21"/>
      <c r="K4024" s="19"/>
    </row>
    <row r="4025" spans="3:11" x14ac:dyDescent="0.2">
      <c r="C4025" s="19"/>
      <c r="D4025" s="19"/>
      <c r="E4025" s="19"/>
      <c r="F4025" s="20"/>
      <c r="G4025" s="19"/>
      <c r="H4025" s="19"/>
      <c r="I4025" s="19"/>
      <c r="J4025" s="21"/>
      <c r="K4025" s="19"/>
    </row>
    <row r="4026" spans="3:11" x14ac:dyDescent="0.2">
      <c r="C4026" s="19"/>
      <c r="D4026" s="19"/>
      <c r="E4026" s="19"/>
      <c r="F4026" s="20"/>
      <c r="G4026" s="19"/>
      <c r="H4026" s="19"/>
      <c r="I4026" s="19"/>
      <c r="J4026" s="21"/>
      <c r="K4026" s="19"/>
    </row>
    <row r="4027" spans="3:11" x14ac:dyDescent="0.2">
      <c r="C4027" s="19"/>
      <c r="D4027" s="19"/>
      <c r="E4027" s="19"/>
      <c r="F4027" s="20"/>
      <c r="G4027" s="19"/>
      <c r="H4027" s="19"/>
      <c r="I4027" s="19"/>
      <c r="J4027" s="21"/>
      <c r="K4027" s="19"/>
    </row>
    <row r="4028" spans="3:11" x14ac:dyDescent="0.2">
      <c r="C4028" s="19"/>
      <c r="D4028" s="19"/>
      <c r="E4028" s="19"/>
      <c r="F4028" s="20"/>
      <c r="G4028" s="19"/>
      <c r="H4028" s="19"/>
      <c r="I4028" s="19"/>
      <c r="J4028" s="21"/>
      <c r="K4028" s="19"/>
    </row>
    <row r="4029" spans="3:11" x14ac:dyDescent="0.2">
      <c r="C4029" s="19"/>
      <c r="D4029" s="19"/>
      <c r="E4029" s="19"/>
      <c r="F4029" s="20"/>
      <c r="G4029" s="19"/>
      <c r="H4029" s="19"/>
      <c r="I4029" s="19"/>
      <c r="J4029" s="21"/>
      <c r="K4029" s="19"/>
    </row>
    <row r="4030" spans="3:11" x14ac:dyDescent="0.2">
      <c r="C4030" s="19"/>
      <c r="D4030" s="19"/>
      <c r="E4030" s="19"/>
      <c r="F4030" s="20"/>
      <c r="G4030" s="19"/>
      <c r="H4030" s="19"/>
      <c r="I4030" s="19"/>
      <c r="J4030" s="21"/>
      <c r="K4030" s="19"/>
    </row>
    <row r="4031" spans="3:11" x14ac:dyDescent="0.2">
      <c r="C4031" s="19"/>
      <c r="D4031" s="19"/>
      <c r="E4031" s="19"/>
      <c r="F4031" s="20"/>
      <c r="G4031" s="19"/>
      <c r="H4031" s="19"/>
      <c r="I4031" s="19"/>
      <c r="J4031" s="21"/>
      <c r="K4031" s="19"/>
    </row>
    <row r="4032" spans="3:11" x14ac:dyDescent="0.2">
      <c r="C4032" s="19"/>
      <c r="D4032" s="19"/>
      <c r="E4032" s="19"/>
      <c r="F4032" s="20"/>
      <c r="G4032" s="19"/>
      <c r="H4032" s="19"/>
      <c r="I4032" s="19"/>
      <c r="J4032" s="21"/>
      <c r="K4032" s="19"/>
    </row>
    <row r="4033" spans="3:11" x14ac:dyDescent="0.2">
      <c r="C4033" s="19"/>
      <c r="D4033" s="19"/>
      <c r="E4033" s="19"/>
      <c r="F4033" s="20"/>
      <c r="G4033" s="19"/>
      <c r="H4033" s="19"/>
      <c r="I4033" s="19"/>
      <c r="J4033" s="21"/>
      <c r="K4033" s="19"/>
    </row>
    <row r="4034" spans="3:11" x14ac:dyDescent="0.2">
      <c r="C4034" s="19"/>
      <c r="D4034" s="19"/>
      <c r="E4034" s="19"/>
      <c r="F4034" s="20"/>
      <c r="G4034" s="19"/>
      <c r="H4034" s="19"/>
      <c r="I4034" s="19"/>
      <c r="J4034" s="21"/>
      <c r="K4034" s="19"/>
    </row>
    <row r="4035" spans="3:11" x14ac:dyDescent="0.2">
      <c r="C4035" s="19"/>
      <c r="D4035" s="19"/>
      <c r="E4035" s="19"/>
      <c r="F4035" s="20"/>
      <c r="G4035" s="19"/>
      <c r="H4035" s="19"/>
      <c r="I4035" s="19"/>
      <c r="J4035" s="19"/>
      <c r="K4035" s="19"/>
    </row>
    <row r="4036" spans="3:11" x14ac:dyDescent="0.2">
      <c r="C4036" s="19"/>
      <c r="D4036" s="19"/>
      <c r="E4036" s="19"/>
      <c r="F4036" s="20"/>
      <c r="G4036" s="19"/>
      <c r="H4036" s="19"/>
      <c r="I4036" s="19"/>
      <c r="J4036" s="21"/>
      <c r="K4036" s="19"/>
    </row>
    <row r="4037" spans="3:11" x14ac:dyDescent="0.2">
      <c r="C4037" s="19"/>
      <c r="D4037" s="19"/>
      <c r="E4037" s="19"/>
      <c r="F4037" s="20"/>
      <c r="G4037" s="19"/>
      <c r="H4037" s="19"/>
      <c r="I4037" s="19"/>
      <c r="J4037" s="19"/>
      <c r="K4037" s="19"/>
    </row>
    <row r="4038" spans="3:11" x14ac:dyDescent="0.2">
      <c r="C4038" s="19"/>
      <c r="D4038" s="19"/>
      <c r="E4038" s="19"/>
      <c r="F4038" s="20"/>
      <c r="G4038" s="19"/>
      <c r="H4038" s="19"/>
      <c r="I4038" s="19"/>
      <c r="J4038" s="21"/>
      <c r="K4038" s="19"/>
    </row>
    <row r="4039" spans="3:11" x14ac:dyDescent="0.2">
      <c r="C4039" s="19"/>
      <c r="D4039" s="19"/>
      <c r="E4039" s="19"/>
      <c r="F4039" s="20"/>
      <c r="G4039" s="19"/>
      <c r="H4039" s="19"/>
      <c r="I4039" s="19"/>
      <c r="J4039" s="21"/>
      <c r="K4039" s="19"/>
    </row>
    <row r="4040" spans="3:11" x14ac:dyDescent="0.2">
      <c r="C4040" s="19"/>
      <c r="D4040" s="19"/>
      <c r="E4040" s="19"/>
      <c r="F4040" s="20"/>
      <c r="G4040" s="19"/>
      <c r="H4040" s="19"/>
      <c r="I4040" s="19"/>
      <c r="J4040" s="21"/>
      <c r="K4040" s="19"/>
    </row>
    <row r="4041" spans="3:11" x14ac:dyDescent="0.2">
      <c r="C4041" s="19"/>
      <c r="D4041" s="19"/>
      <c r="E4041" s="19"/>
      <c r="F4041" s="20"/>
      <c r="G4041" s="19"/>
      <c r="H4041" s="19"/>
      <c r="I4041" s="19"/>
      <c r="J4041" s="21"/>
      <c r="K4041" s="19"/>
    </row>
    <row r="4042" spans="3:11" x14ac:dyDescent="0.2">
      <c r="C4042" s="19"/>
      <c r="D4042" s="19"/>
      <c r="E4042" s="19"/>
      <c r="F4042" s="20"/>
      <c r="G4042" s="19"/>
      <c r="H4042" s="19"/>
      <c r="I4042" s="19"/>
      <c r="J4042" s="21"/>
      <c r="K4042" s="19"/>
    </row>
    <row r="4043" spans="3:11" x14ac:dyDescent="0.2">
      <c r="C4043" s="19"/>
      <c r="D4043" s="19"/>
      <c r="E4043" s="19"/>
      <c r="F4043" s="20"/>
      <c r="G4043" s="19"/>
      <c r="H4043" s="19"/>
      <c r="I4043" s="19"/>
      <c r="J4043" s="21"/>
      <c r="K4043" s="19"/>
    </row>
    <row r="4044" spans="3:11" x14ac:dyDescent="0.2">
      <c r="C4044" s="19"/>
      <c r="D4044" s="19"/>
      <c r="E4044" s="19"/>
      <c r="F4044" s="20"/>
      <c r="G4044" s="19"/>
      <c r="H4044" s="19"/>
      <c r="I4044" s="19"/>
      <c r="J4044" s="21"/>
      <c r="K4044" s="19"/>
    </row>
    <row r="4045" spans="3:11" x14ac:dyDescent="0.2">
      <c r="C4045" s="19"/>
      <c r="D4045" s="19"/>
      <c r="E4045" s="19"/>
      <c r="F4045" s="20"/>
      <c r="G4045" s="19"/>
      <c r="H4045" s="19"/>
      <c r="I4045" s="19"/>
      <c r="J4045" s="21"/>
      <c r="K4045" s="19"/>
    </row>
    <row r="4046" spans="3:11" x14ac:dyDescent="0.2">
      <c r="C4046" s="19"/>
      <c r="D4046" s="19"/>
      <c r="E4046" s="19"/>
      <c r="F4046" s="20"/>
      <c r="G4046" s="19"/>
      <c r="H4046" s="19"/>
      <c r="I4046" s="19"/>
      <c r="J4046" s="21"/>
      <c r="K4046" s="19"/>
    </row>
    <row r="4047" spans="3:11" x14ac:dyDescent="0.2">
      <c r="C4047" s="19"/>
      <c r="D4047" s="19"/>
      <c r="E4047" s="19"/>
      <c r="F4047" s="20"/>
      <c r="G4047" s="19"/>
      <c r="H4047" s="19"/>
      <c r="I4047" s="19"/>
      <c r="J4047" s="21"/>
      <c r="K4047" s="19"/>
    </row>
    <row r="4048" spans="3:11" x14ac:dyDescent="0.2">
      <c r="C4048" s="19"/>
      <c r="D4048" s="19"/>
      <c r="E4048" s="19"/>
      <c r="F4048" s="20"/>
      <c r="G4048" s="19"/>
      <c r="H4048" s="19"/>
      <c r="I4048" s="19"/>
      <c r="J4048" s="21"/>
      <c r="K4048" s="19"/>
    </row>
    <row r="4049" spans="3:11" x14ac:dyDescent="0.2">
      <c r="C4049" s="19"/>
      <c r="D4049" s="19"/>
      <c r="E4049" s="19"/>
      <c r="F4049" s="20"/>
      <c r="G4049" s="19"/>
      <c r="H4049" s="19"/>
      <c r="I4049" s="19"/>
      <c r="J4049" s="21"/>
      <c r="K4049" s="19"/>
    </row>
    <row r="4050" spans="3:11" x14ac:dyDescent="0.2">
      <c r="C4050" s="19"/>
      <c r="D4050" s="19"/>
      <c r="E4050" s="19"/>
      <c r="F4050" s="20"/>
      <c r="G4050" s="19"/>
      <c r="H4050" s="19"/>
      <c r="I4050" s="19"/>
      <c r="J4050" s="21"/>
      <c r="K4050" s="19"/>
    </row>
    <row r="4051" spans="3:11" x14ac:dyDescent="0.2">
      <c r="C4051" s="19"/>
      <c r="D4051" s="19"/>
      <c r="E4051" s="19"/>
      <c r="F4051" s="20"/>
      <c r="G4051" s="19"/>
      <c r="H4051" s="19"/>
      <c r="I4051" s="19"/>
      <c r="J4051" s="21"/>
      <c r="K4051" s="19"/>
    </row>
    <row r="4052" spans="3:11" x14ac:dyDescent="0.2">
      <c r="C4052" s="19"/>
      <c r="D4052" s="19"/>
      <c r="E4052" s="19"/>
      <c r="F4052" s="20"/>
      <c r="G4052" s="19"/>
      <c r="H4052" s="19"/>
      <c r="I4052" s="19"/>
      <c r="J4052" s="21"/>
      <c r="K4052" s="19"/>
    </row>
    <row r="4053" spans="3:11" x14ac:dyDescent="0.2">
      <c r="C4053" s="19"/>
      <c r="D4053" s="19"/>
      <c r="E4053" s="19"/>
      <c r="F4053" s="20"/>
      <c r="G4053" s="19"/>
      <c r="H4053" s="19"/>
      <c r="I4053" s="19"/>
      <c r="J4053" s="21"/>
      <c r="K4053" s="19"/>
    </row>
    <row r="4054" spans="3:11" x14ac:dyDescent="0.2">
      <c r="C4054" s="19"/>
      <c r="D4054" s="19"/>
      <c r="E4054" s="19"/>
      <c r="F4054" s="20"/>
      <c r="G4054" s="19"/>
      <c r="H4054" s="19"/>
      <c r="I4054" s="19"/>
      <c r="J4054" s="21"/>
      <c r="K4054" s="19"/>
    </row>
    <row r="4055" spans="3:11" x14ac:dyDescent="0.2">
      <c r="C4055" s="19"/>
      <c r="D4055" s="19"/>
      <c r="E4055" s="19"/>
      <c r="F4055" s="20"/>
      <c r="G4055" s="19"/>
      <c r="H4055" s="19"/>
      <c r="I4055" s="19"/>
      <c r="J4055" s="21"/>
      <c r="K4055" s="19"/>
    </row>
    <row r="4056" spans="3:11" x14ac:dyDescent="0.2">
      <c r="C4056" s="19"/>
      <c r="D4056" s="19"/>
      <c r="E4056" s="19"/>
      <c r="F4056" s="20"/>
      <c r="G4056" s="19"/>
      <c r="H4056" s="19"/>
      <c r="I4056" s="19"/>
      <c r="J4056" s="21"/>
      <c r="K4056" s="19"/>
    </row>
    <row r="4057" spans="3:11" x14ac:dyDescent="0.2">
      <c r="C4057" s="19"/>
      <c r="D4057" s="19"/>
      <c r="E4057" s="19"/>
      <c r="F4057" s="20"/>
      <c r="G4057" s="19"/>
      <c r="H4057" s="19"/>
      <c r="I4057" s="19"/>
      <c r="J4057" s="21"/>
      <c r="K4057" s="19"/>
    </row>
    <row r="4058" spans="3:11" x14ac:dyDescent="0.2">
      <c r="C4058" s="19"/>
      <c r="D4058" s="19"/>
      <c r="E4058" s="19"/>
      <c r="F4058" s="20"/>
      <c r="G4058" s="19"/>
      <c r="H4058" s="19"/>
      <c r="I4058" s="19"/>
      <c r="J4058" s="21"/>
      <c r="K4058" s="19"/>
    </row>
    <row r="4059" spans="3:11" x14ac:dyDescent="0.2">
      <c r="C4059" s="19"/>
      <c r="D4059" s="19"/>
      <c r="E4059" s="19"/>
      <c r="F4059" s="20"/>
      <c r="G4059" s="19"/>
      <c r="H4059" s="19"/>
      <c r="I4059" s="19"/>
      <c r="J4059" s="21"/>
      <c r="K4059" s="19"/>
    </row>
    <row r="4060" spans="3:11" x14ac:dyDescent="0.2">
      <c r="C4060" s="19"/>
      <c r="D4060" s="19"/>
      <c r="E4060" s="19"/>
      <c r="F4060" s="20"/>
      <c r="G4060" s="19"/>
      <c r="H4060" s="19"/>
      <c r="I4060" s="19"/>
      <c r="J4060" s="21"/>
      <c r="K4060" s="19"/>
    </row>
    <row r="4061" spans="3:11" x14ac:dyDescent="0.2">
      <c r="C4061" s="19"/>
      <c r="D4061" s="19"/>
      <c r="E4061" s="19"/>
      <c r="F4061" s="20"/>
      <c r="G4061" s="19"/>
      <c r="H4061" s="19"/>
      <c r="I4061" s="19"/>
      <c r="J4061" s="21"/>
      <c r="K4061" s="19"/>
    </row>
    <row r="4062" spans="3:11" x14ac:dyDescent="0.2">
      <c r="C4062" s="19"/>
      <c r="D4062" s="19"/>
      <c r="E4062" s="19"/>
      <c r="F4062" s="20"/>
      <c r="G4062" s="19"/>
      <c r="H4062" s="19"/>
      <c r="I4062" s="19"/>
      <c r="J4062" s="21"/>
      <c r="K4062" s="19"/>
    </row>
    <row r="4063" spans="3:11" x14ac:dyDescent="0.2">
      <c r="C4063" s="19"/>
      <c r="D4063" s="19"/>
      <c r="E4063" s="19"/>
      <c r="F4063" s="20"/>
      <c r="G4063" s="19"/>
      <c r="H4063" s="19"/>
      <c r="I4063" s="19"/>
      <c r="J4063" s="21"/>
      <c r="K4063" s="19"/>
    </row>
    <row r="4064" spans="3:11" x14ac:dyDescent="0.2">
      <c r="C4064" s="19"/>
      <c r="D4064" s="19"/>
      <c r="E4064" s="19"/>
      <c r="F4064" s="20"/>
      <c r="G4064" s="19"/>
      <c r="H4064" s="19"/>
      <c r="I4064" s="19"/>
      <c r="J4064" s="19"/>
      <c r="K4064" s="19"/>
    </row>
    <row r="4065" spans="3:11" x14ac:dyDescent="0.2">
      <c r="C4065" s="19"/>
      <c r="D4065" s="19"/>
      <c r="E4065" s="19"/>
      <c r="F4065" s="20"/>
      <c r="G4065" s="19"/>
      <c r="H4065" s="19"/>
      <c r="I4065" s="19"/>
      <c r="J4065" s="21"/>
      <c r="K4065" s="19"/>
    </row>
    <row r="4066" spans="3:11" x14ac:dyDescent="0.2">
      <c r="C4066" s="19"/>
      <c r="D4066" s="19"/>
      <c r="E4066" s="19"/>
      <c r="F4066" s="20"/>
      <c r="G4066" s="19"/>
      <c r="H4066" s="19"/>
      <c r="I4066" s="19"/>
      <c r="J4066" s="21"/>
      <c r="K4066" s="19"/>
    </row>
    <row r="4067" spans="3:11" x14ac:dyDescent="0.2">
      <c r="C4067" s="19"/>
      <c r="D4067" s="19"/>
      <c r="E4067" s="19"/>
      <c r="F4067" s="20"/>
      <c r="G4067" s="19"/>
      <c r="H4067" s="19"/>
      <c r="I4067" s="19"/>
      <c r="J4067" s="21"/>
      <c r="K4067" s="19"/>
    </row>
    <row r="4068" spans="3:11" x14ac:dyDescent="0.2">
      <c r="C4068" s="19"/>
      <c r="D4068" s="19"/>
      <c r="E4068" s="19"/>
      <c r="F4068" s="20"/>
      <c r="G4068" s="19"/>
      <c r="H4068" s="19"/>
      <c r="I4068" s="19"/>
      <c r="J4068" s="21"/>
      <c r="K4068" s="19"/>
    </row>
    <row r="4069" spans="3:11" x14ac:dyDescent="0.2">
      <c r="C4069" s="19"/>
      <c r="D4069" s="19"/>
      <c r="E4069" s="19"/>
      <c r="F4069" s="20"/>
      <c r="G4069" s="19"/>
      <c r="H4069" s="19"/>
      <c r="I4069" s="19"/>
      <c r="J4069" s="21"/>
      <c r="K4069" s="19"/>
    </row>
    <row r="4070" spans="3:11" x14ac:dyDescent="0.2">
      <c r="C4070" s="19"/>
      <c r="D4070" s="19"/>
      <c r="E4070" s="19"/>
      <c r="F4070" s="20"/>
      <c r="G4070" s="19"/>
      <c r="H4070" s="19"/>
      <c r="I4070" s="19"/>
      <c r="J4070" s="19"/>
      <c r="K4070" s="19"/>
    </row>
    <row r="4071" spans="3:11" x14ac:dyDescent="0.2">
      <c r="C4071" s="19"/>
      <c r="D4071" s="19"/>
      <c r="E4071" s="19"/>
      <c r="F4071" s="20"/>
      <c r="G4071" s="19"/>
      <c r="H4071" s="19"/>
      <c r="I4071" s="19"/>
      <c r="J4071" s="21"/>
      <c r="K4071" s="19"/>
    </row>
    <row r="4072" spans="3:11" x14ac:dyDescent="0.2">
      <c r="C4072" s="19"/>
      <c r="D4072" s="19"/>
      <c r="E4072" s="19"/>
      <c r="F4072" s="20"/>
      <c r="G4072" s="19"/>
      <c r="H4072" s="19"/>
      <c r="I4072" s="19"/>
      <c r="J4072" s="19"/>
      <c r="K4072" s="19"/>
    </row>
    <row r="4073" spans="3:11" x14ac:dyDescent="0.2">
      <c r="C4073" s="19"/>
      <c r="D4073" s="19"/>
      <c r="E4073" s="19"/>
      <c r="F4073" s="20"/>
      <c r="G4073" s="19"/>
      <c r="H4073" s="19"/>
      <c r="I4073" s="19"/>
      <c r="J4073" s="21"/>
      <c r="K4073" s="19"/>
    </row>
    <row r="4074" spans="3:11" x14ac:dyDescent="0.2">
      <c r="C4074" s="19"/>
      <c r="D4074" s="19"/>
      <c r="E4074" s="19"/>
      <c r="F4074" s="20"/>
      <c r="G4074" s="19"/>
      <c r="H4074" s="19"/>
      <c r="I4074" s="19"/>
      <c r="J4074" s="21"/>
      <c r="K4074" s="19"/>
    </row>
    <row r="4075" spans="3:11" x14ac:dyDescent="0.2">
      <c r="C4075" s="19"/>
      <c r="D4075" s="19"/>
      <c r="E4075" s="19"/>
      <c r="F4075" s="20"/>
      <c r="G4075" s="19"/>
      <c r="H4075" s="19"/>
      <c r="I4075" s="19"/>
      <c r="J4075" s="21"/>
      <c r="K4075" s="19"/>
    </row>
    <row r="4076" spans="3:11" x14ac:dyDescent="0.2">
      <c r="C4076" s="19"/>
      <c r="D4076" s="19"/>
      <c r="E4076" s="19"/>
      <c r="F4076" s="20"/>
      <c r="G4076" s="19"/>
      <c r="H4076" s="19"/>
      <c r="I4076" s="19"/>
      <c r="J4076" s="21"/>
      <c r="K4076" s="19"/>
    </row>
    <row r="4077" spans="3:11" x14ac:dyDescent="0.2">
      <c r="C4077" s="19"/>
      <c r="D4077" s="19"/>
      <c r="E4077" s="19"/>
      <c r="F4077" s="20"/>
      <c r="G4077" s="19"/>
      <c r="H4077" s="19"/>
      <c r="I4077" s="19"/>
      <c r="J4077" s="21"/>
      <c r="K4077" s="19"/>
    </row>
    <row r="4078" spans="3:11" x14ac:dyDescent="0.2">
      <c r="C4078" s="19"/>
      <c r="D4078" s="19"/>
      <c r="E4078" s="19"/>
      <c r="F4078" s="20"/>
      <c r="G4078" s="19"/>
      <c r="H4078" s="19"/>
      <c r="I4078" s="19"/>
      <c r="J4078" s="19"/>
      <c r="K4078" s="19"/>
    </row>
    <row r="4079" spans="3:11" x14ac:dyDescent="0.2">
      <c r="C4079" s="19"/>
      <c r="D4079" s="19"/>
      <c r="E4079" s="19"/>
      <c r="F4079" s="20"/>
      <c r="G4079" s="19"/>
      <c r="H4079" s="19"/>
      <c r="I4079" s="19"/>
      <c r="J4079" s="21"/>
      <c r="K4079" s="19"/>
    </row>
    <row r="4080" spans="3:11" x14ac:dyDescent="0.2">
      <c r="C4080" s="19"/>
      <c r="D4080" s="19"/>
      <c r="E4080" s="19"/>
      <c r="F4080" s="20"/>
      <c r="G4080" s="19"/>
      <c r="H4080" s="19"/>
      <c r="I4080" s="19"/>
      <c r="J4080" s="21"/>
      <c r="K4080" s="19"/>
    </row>
    <row r="4081" spans="3:11" x14ac:dyDescent="0.2">
      <c r="C4081" s="19"/>
      <c r="D4081" s="19"/>
      <c r="E4081" s="19"/>
      <c r="F4081" s="20"/>
      <c r="G4081" s="19"/>
      <c r="H4081" s="19"/>
      <c r="I4081" s="19"/>
      <c r="J4081" s="19"/>
      <c r="K4081" s="19"/>
    </row>
    <row r="4082" spans="3:11" x14ac:dyDescent="0.2">
      <c r="C4082" s="19"/>
      <c r="D4082" s="19"/>
      <c r="E4082" s="19"/>
      <c r="F4082" s="20"/>
      <c r="G4082" s="19"/>
      <c r="H4082" s="19"/>
      <c r="I4082" s="19"/>
      <c r="J4082" s="21"/>
      <c r="K4082" s="19"/>
    </row>
    <row r="4083" spans="3:11" x14ac:dyDescent="0.2">
      <c r="C4083" s="19"/>
      <c r="D4083" s="19"/>
      <c r="E4083" s="19"/>
      <c r="F4083" s="20"/>
      <c r="G4083" s="19"/>
      <c r="H4083" s="19"/>
      <c r="I4083" s="19"/>
      <c r="J4083" s="21"/>
      <c r="K4083" s="19"/>
    </row>
    <row r="4084" spans="3:11" x14ac:dyDescent="0.2">
      <c r="C4084" s="19"/>
      <c r="D4084" s="19"/>
      <c r="E4084" s="19"/>
      <c r="F4084" s="20"/>
      <c r="G4084" s="19"/>
      <c r="H4084" s="19"/>
      <c r="I4084" s="19"/>
      <c r="J4084" s="21"/>
      <c r="K4084" s="19"/>
    </row>
    <row r="4085" spans="3:11" x14ac:dyDescent="0.2">
      <c r="C4085" s="19"/>
      <c r="D4085" s="19"/>
      <c r="E4085" s="19"/>
      <c r="F4085" s="20"/>
      <c r="G4085" s="19"/>
      <c r="H4085" s="19"/>
      <c r="I4085" s="19"/>
      <c r="J4085" s="21"/>
      <c r="K4085" s="19"/>
    </row>
    <row r="4086" spans="3:11" x14ac:dyDescent="0.2">
      <c r="C4086" s="19"/>
      <c r="D4086" s="19"/>
      <c r="E4086" s="19"/>
      <c r="F4086" s="20"/>
      <c r="G4086" s="19"/>
      <c r="H4086" s="19"/>
      <c r="I4086" s="19"/>
      <c r="J4086" s="21"/>
      <c r="K4086" s="19"/>
    </row>
    <row r="4087" spans="3:11" x14ac:dyDescent="0.2">
      <c r="C4087" s="19"/>
      <c r="D4087" s="19"/>
      <c r="E4087" s="19"/>
      <c r="F4087" s="20"/>
      <c r="G4087" s="19"/>
      <c r="H4087" s="19"/>
      <c r="I4087" s="19"/>
      <c r="J4087" s="21"/>
      <c r="K4087" s="19"/>
    </row>
    <row r="4088" spans="3:11" x14ac:dyDescent="0.2">
      <c r="C4088" s="19"/>
      <c r="D4088" s="19"/>
      <c r="E4088" s="19"/>
      <c r="F4088" s="20"/>
      <c r="G4088" s="19"/>
      <c r="H4088" s="19"/>
      <c r="I4088" s="19"/>
      <c r="J4088" s="21"/>
      <c r="K4088" s="19"/>
    </row>
    <row r="4089" spans="3:11" x14ac:dyDescent="0.2">
      <c r="C4089" s="19"/>
      <c r="D4089" s="19"/>
      <c r="E4089" s="19"/>
      <c r="F4089" s="20"/>
      <c r="G4089" s="19"/>
      <c r="H4089" s="19"/>
      <c r="I4089" s="19"/>
      <c r="J4089" s="21"/>
      <c r="K4089" s="19"/>
    </row>
    <row r="4090" spans="3:11" x14ac:dyDescent="0.2">
      <c r="C4090" s="19"/>
      <c r="D4090" s="19"/>
      <c r="E4090" s="19"/>
      <c r="F4090" s="20"/>
      <c r="G4090" s="19"/>
      <c r="H4090" s="19"/>
      <c r="I4090" s="19"/>
      <c r="J4090" s="21"/>
      <c r="K4090" s="19"/>
    </row>
    <row r="4091" spans="3:11" x14ac:dyDescent="0.2">
      <c r="C4091" s="19"/>
      <c r="D4091" s="19"/>
      <c r="E4091" s="19"/>
      <c r="F4091" s="20"/>
      <c r="G4091" s="19"/>
      <c r="H4091" s="19"/>
      <c r="I4091" s="19"/>
      <c r="J4091" s="21"/>
      <c r="K4091" s="19"/>
    </row>
    <row r="4092" spans="3:11" x14ac:dyDescent="0.2">
      <c r="C4092" s="19"/>
      <c r="D4092" s="19"/>
      <c r="E4092" s="19"/>
      <c r="F4092" s="20"/>
      <c r="G4092" s="19"/>
      <c r="H4092" s="19"/>
      <c r="I4092" s="19"/>
      <c r="J4092" s="21"/>
      <c r="K4092" s="19"/>
    </row>
    <row r="4093" spans="3:11" x14ac:dyDescent="0.2">
      <c r="C4093" s="19"/>
      <c r="D4093" s="19"/>
      <c r="E4093" s="19"/>
      <c r="F4093" s="20"/>
      <c r="G4093" s="19"/>
      <c r="H4093" s="19"/>
      <c r="I4093" s="19"/>
      <c r="J4093" s="21"/>
      <c r="K4093" s="19"/>
    </row>
    <row r="4094" spans="3:11" x14ac:dyDescent="0.2">
      <c r="C4094" s="19"/>
      <c r="D4094" s="19"/>
      <c r="E4094" s="19"/>
      <c r="F4094" s="20"/>
      <c r="G4094" s="19"/>
      <c r="H4094" s="19"/>
      <c r="I4094" s="19"/>
      <c r="J4094" s="21"/>
      <c r="K4094" s="19"/>
    </row>
    <row r="4095" spans="3:11" x14ac:dyDescent="0.2">
      <c r="C4095" s="19"/>
      <c r="D4095" s="19"/>
      <c r="E4095" s="19"/>
      <c r="F4095" s="20"/>
      <c r="G4095" s="19"/>
      <c r="H4095" s="19"/>
      <c r="I4095" s="19"/>
      <c r="J4095" s="21"/>
      <c r="K4095" s="19"/>
    </row>
    <row r="4096" spans="3:11" x14ac:dyDescent="0.2">
      <c r="C4096" s="19"/>
      <c r="D4096" s="19"/>
      <c r="E4096" s="19"/>
      <c r="F4096" s="20"/>
      <c r="G4096" s="19"/>
      <c r="H4096" s="19"/>
      <c r="I4096" s="19"/>
      <c r="J4096" s="21"/>
      <c r="K4096" s="19"/>
    </row>
    <row r="4097" spans="3:11" x14ac:dyDescent="0.2">
      <c r="C4097" s="19"/>
      <c r="D4097" s="19"/>
      <c r="E4097" s="19"/>
      <c r="F4097" s="20"/>
      <c r="G4097" s="19"/>
      <c r="H4097" s="19"/>
      <c r="I4097" s="19"/>
      <c r="J4097" s="21"/>
      <c r="K4097" s="19"/>
    </row>
    <row r="4098" spans="3:11" x14ac:dyDescent="0.2">
      <c r="C4098" s="19"/>
      <c r="D4098" s="19"/>
      <c r="E4098" s="19"/>
      <c r="F4098" s="20"/>
      <c r="G4098" s="19"/>
      <c r="H4098" s="19"/>
      <c r="I4098" s="19"/>
      <c r="J4098" s="21"/>
      <c r="K4098" s="19"/>
    </row>
    <row r="4099" spans="3:11" x14ac:dyDescent="0.2">
      <c r="C4099" s="19"/>
      <c r="D4099" s="19"/>
      <c r="E4099" s="19"/>
      <c r="F4099" s="20"/>
      <c r="G4099" s="19"/>
      <c r="H4099" s="19"/>
      <c r="I4099" s="19"/>
      <c r="J4099" s="21"/>
      <c r="K4099" s="19"/>
    </row>
    <row r="4100" spans="3:11" x14ac:dyDescent="0.2">
      <c r="C4100" s="19"/>
      <c r="D4100" s="19"/>
      <c r="E4100" s="19"/>
      <c r="F4100" s="20"/>
      <c r="G4100" s="19"/>
      <c r="H4100" s="19"/>
      <c r="I4100" s="19"/>
      <c r="J4100" s="21"/>
      <c r="K4100" s="19"/>
    </row>
    <row r="4101" spans="3:11" x14ac:dyDescent="0.2">
      <c r="C4101" s="19"/>
      <c r="D4101" s="19"/>
      <c r="E4101" s="19"/>
      <c r="F4101" s="20"/>
      <c r="G4101" s="19"/>
      <c r="H4101" s="19"/>
      <c r="I4101" s="19"/>
      <c r="J4101" s="21"/>
      <c r="K4101" s="19"/>
    </row>
    <row r="4102" spans="3:11" x14ac:dyDescent="0.2">
      <c r="C4102" s="19"/>
      <c r="D4102" s="19"/>
      <c r="E4102" s="19"/>
      <c r="F4102" s="20"/>
      <c r="G4102" s="19"/>
      <c r="H4102" s="19"/>
      <c r="I4102" s="19"/>
      <c r="J4102" s="21"/>
      <c r="K4102" s="19"/>
    </row>
    <row r="4103" spans="3:11" x14ac:dyDescent="0.2">
      <c r="C4103" s="19"/>
      <c r="D4103" s="19"/>
      <c r="E4103" s="19"/>
      <c r="F4103" s="20"/>
      <c r="G4103" s="19"/>
      <c r="H4103" s="19"/>
      <c r="I4103" s="19"/>
      <c r="J4103" s="21"/>
      <c r="K4103" s="19"/>
    </row>
    <row r="4104" spans="3:11" x14ac:dyDescent="0.2">
      <c r="C4104" s="19"/>
      <c r="D4104" s="19"/>
      <c r="E4104" s="19"/>
      <c r="F4104" s="20"/>
      <c r="G4104" s="19"/>
      <c r="H4104" s="19"/>
      <c r="I4104" s="19"/>
      <c r="J4104" s="21"/>
      <c r="K4104" s="19"/>
    </row>
    <row r="4105" spans="3:11" x14ac:dyDescent="0.2">
      <c r="C4105" s="19"/>
      <c r="D4105" s="19"/>
      <c r="E4105" s="19"/>
      <c r="F4105" s="20"/>
      <c r="G4105" s="19"/>
      <c r="H4105" s="19"/>
      <c r="I4105" s="19"/>
      <c r="J4105" s="21"/>
      <c r="K4105" s="19"/>
    </row>
    <row r="4106" spans="3:11" x14ac:dyDescent="0.2">
      <c r="C4106" s="19"/>
      <c r="D4106" s="19"/>
      <c r="E4106" s="19"/>
      <c r="F4106" s="20"/>
      <c r="G4106" s="19"/>
      <c r="H4106" s="19"/>
      <c r="I4106" s="19"/>
      <c r="J4106" s="21"/>
      <c r="K4106" s="19"/>
    </row>
    <row r="4107" spans="3:11" x14ac:dyDescent="0.2">
      <c r="C4107" s="19"/>
      <c r="D4107" s="19"/>
      <c r="E4107" s="19"/>
      <c r="F4107" s="20"/>
      <c r="G4107" s="19"/>
      <c r="H4107" s="19"/>
      <c r="I4107" s="19"/>
      <c r="J4107" s="21"/>
      <c r="K4107" s="19"/>
    </row>
    <row r="4108" spans="3:11" x14ac:dyDescent="0.2">
      <c r="C4108" s="19"/>
      <c r="D4108" s="19"/>
      <c r="E4108" s="19"/>
      <c r="F4108" s="20"/>
      <c r="G4108" s="19"/>
      <c r="H4108" s="19"/>
      <c r="I4108" s="19"/>
      <c r="J4108" s="21"/>
      <c r="K4108" s="19"/>
    </row>
    <row r="4109" spans="3:11" x14ac:dyDescent="0.2">
      <c r="C4109" s="19"/>
      <c r="D4109" s="19"/>
      <c r="E4109" s="19"/>
      <c r="F4109" s="20"/>
      <c r="G4109" s="19"/>
      <c r="H4109" s="19"/>
      <c r="I4109" s="19"/>
      <c r="J4109" s="21"/>
      <c r="K4109" s="19"/>
    </row>
    <row r="4110" spans="3:11" x14ac:dyDescent="0.2">
      <c r="C4110" s="19"/>
      <c r="D4110" s="19"/>
      <c r="E4110" s="19"/>
      <c r="F4110" s="20"/>
      <c r="G4110" s="19"/>
      <c r="H4110" s="19"/>
      <c r="I4110" s="19"/>
      <c r="J4110" s="21"/>
      <c r="K4110" s="19"/>
    </row>
    <row r="4111" spans="3:11" x14ac:dyDescent="0.2">
      <c r="C4111" s="19"/>
      <c r="D4111" s="19"/>
      <c r="E4111" s="19"/>
      <c r="F4111" s="20"/>
      <c r="G4111" s="19"/>
      <c r="H4111" s="19"/>
      <c r="I4111" s="19"/>
      <c r="J4111" s="21"/>
      <c r="K4111" s="19"/>
    </row>
    <row r="4112" spans="3:11" x14ac:dyDescent="0.2">
      <c r="C4112" s="19"/>
      <c r="D4112" s="19"/>
      <c r="E4112" s="19"/>
      <c r="F4112" s="20"/>
      <c r="G4112" s="19"/>
      <c r="H4112" s="19"/>
      <c r="I4112" s="19"/>
      <c r="J4112" s="19"/>
      <c r="K4112" s="19"/>
    </row>
    <row r="4113" spans="3:11" x14ac:dyDescent="0.2">
      <c r="C4113" s="19"/>
      <c r="D4113" s="19"/>
      <c r="E4113" s="19"/>
      <c r="F4113" s="20"/>
      <c r="G4113" s="19"/>
      <c r="H4113" s="19"/>
      <c r="I4113" s="19"/>
      <c r="J4113" s="19"/>
      <c r="K4113" s="19"/>
    </row>
    <row r="4114" spans="3:11" x14ac:dyDescent="0.2">
      <c r="C4114" s="19"/>
      <c r="D4114" s="19"/>
      <c r="E4114" s="19"/>
      <c r="F4114" s="20"/>
      <c r="G4114" s="19"/>
      <c r="H4114" s="19"/>
      <c r="I4114" s="19"/>
      <c r="J4114" s="21"/>
      <c r="K4114" s="19"/>
    </row>
    <row r="4115" spans="3:11" x14ac:dyDescent="0.2">
      <c r="C4115" s="19"/>
      <c r="D4115" s="19"/>
      <c r="E4115" s="19"/>
      <c r="F4115" s="20"/>
      <c r="G4115" s="19"/>
      <c r="H4115" s="19"/>
      <c r="I4115" s="19"/>
      <c r="J4115" s="21"/>
      <c r="K4115" s="19"/>
    </row>
    <row r="4116" spans="3:11" x14ac:dyDescent="0.2">
      <c r="C4116" s="19"/>
      <c r="D4116" s="19"/>
      <c r="E4116" s="19"/>
      <c r="F4116" s="20"/>
      <c r="G4116" s="19"/>
      <c r="H4116" s="19"/>
      <c r="I4116" s="19"/>
      <c r="J4116" s="21"/>
      <c r="K4116" s="19"/>
    </row>
    <row r="4117" spans="3:11" x14ac:dyDescent="0.2">
      <c r="C4117" s="19"/>
      <c r="D4117" s="19"/>
      <c r="E4117" s="19"/>
      <c r="F4117" s="20"/>
      <c r="G4117" s="19"/>
      <c r="H4117" s="19"/>
      <c r="I4117" s="19"/>
      <c r="J4117" s="21"/>
      <c r="K4117" s="19"/>
    </row>
    <row r="4118" spans="3:11" x14ac:dyDescent="0.2">
      <c r="C4118" s="19"/>
      <c r="D4118" s="19"/>
      <c r="E4118" s="19"/>
      <c r="F4118" s="20"/>
      <c r="G4118" s="19"/>
      <c r="H4118" s="19"/>
      <c r="I4118" s="19"/>
      <c r="J4118" s="21"/>
      <c r="K4118" s="19"/>
    </row>
    <row r="4119" spans="3:11" x14ac:dyDescent="0.2">
      <c r="C4119" s="19"/>
      <c r="D4119" s="19"/>
      <c r="E4119" s="19"/>
      <c r="F4119" s="20"/>
      <c r="G4119" s="19"/>
      <c r="H4119" s="19"/>
      <c r="I4119" s="19"/>
      <c r="J4119" s="21"/>
      <c r="K4119" s="19"/>
    </row>
    <row r="4120" spans="3:11" x14ac:dyDescent="0.2">
      <c r="C4120" s="19"/>
      <c r="D4120" s="19"/>
      <c r="E4120" s="19"/>
      <c r="F4120" s="20"/>
      <c r="G4120" s="19"/>
      <c r="H4120" s="19"/>
      <c r="I4120" s="19"/>
      <c r="J4120" s="21"/>
      <c r="K4120" s="19"/>
    </row>
    <row r="4121" spans="3:11" x14ac:dyDescent="0.2">
      <c r="C4121" s="19"/>
      <c r="D4121" s="19"/>
      <c r="E4121" s="19"/>
      <c r="F4121" s="20"/>
      <c r="G4121" s="19"/>
      <c r="H4121" s="19"/>
      <c r="I4121" s="19"/>
      <c r="J4121" s="21"/>
      <c r="K4121" s="19"/>
    </row>
    <row r="4122" spans="3:11" x14ac:dyDescent="0.2">
      <c r="C4122" s="19"/>
      <c r="D4122" s="19"/>
      <c r="E4122" s="19"/>
      <c r="F4122" s="20"/>
      <c r="G4122" s="19"/>
      <c r="H4122" s="19"/>
      <c r="I4122" s="19"/>
      <c r="J4122" s="21"/>
      <c r="K4122" s="19"/>
    </row>
    <row r="4123" spans="3:11" x14ac:dyDescent="0.2">
      <c r="C4123" s="19"/>
      <c r="D4123" s="19"/>
      <c r="E4123" s="19"/>
      <c r="F4123" s="20"/>
      <c r="G4123" s="19"/>
      <c r="H4123" s="19"/>
      <c r="I4123" s="19"/>
      <c r="J4123" s="21"/>
      <c r="K4123" s="19"/>
    </row>
    <row r="4124" spans="3:11" x14ac:dyDescent="0.2">
      <c r="C4124" s="19"/>
      <c r="D4124" s="19"/>
      <c r="E4124" s="19"/>
      <c r="F4124" s="20"/>
      <c r="G4124" s="19"/>
      <c r="H4124" s="19"/>
      <c r="I4124" s="19"/>
      <c r="J4124" s="21"/>
      <c r="K4124" s="19"/>
    </row>
    <row r="4125" spans="3:11" x14ac:dyDescent="0.2">
      <c r="C4125" s="19"/>
      <c r="D4125" s="19"/>
      <c r="E4125" s="19"/>
      <c r="F4125" s="20"/>
      <c r="G4125" s="19"/>
      <c r="H4125" s="19"/>
      <c r="I4125" s="19"/>
      <c r="J4125" s="21"/>
      <c r="K4125" s="19"/>
    </row>
    <row r="4126" spans="3:11" x14ac:dyDescent="0.2">
      <c r="C4126" s="19"/>
      <c r="D4126" s="19"/>
      <c r="E4126" s="19"/>
      <c r="F4126" s="20"/>
      <c r="G4126" s="19"/>
      <c r="H4126" s="19"/>
      <c r="I4126" s="19"/>
      <c r="J4126" s="21"/>
      <c r="K4126" s="19"/>
    </row>
    <row r="4127" spans="3:11" x14ac:dyDescent="0.2">
      <c r="C4127" s="19"/>
      <c r="D4127" s="19"/>
      <c r="E4127" s="19"/>
      <c r="F4127" s="20"/>
      <c r="G4127" s="19"/>
      <c r="H4127" s="19"/>
      <c r="I4127" s="19"/>
      <c r="J4127" s="21"/>
      <c r="K4127" s="19"/>
    </row>
    <row r="4128" spans="3:11" x14ac:dyDescent="0.2">
      <c r="C4128" s="19"/>
      <c r="D4128" s="19"/>
      <c r="E4128" s="19"/>
      <c r="F4128" s="20"/>
      <c r="G4128" s="19"/>
      <c r="H4128" s="19"/>
      <c r="I4128" s="19"/>
      <c r="J4128" s="21"/>
      <c r="K4128" s="19"/>
    </row>
    <row r="4129" spans="3:11" x14ac:dyDescent="0.2">
      <c r="C4129" s="19"/>
      <c r="D4129" s="19"/>
      <c r="E4129" s="19"/>
      <c r="F4129" s="20"/>
      <c r="G4129" s="19"/>
      <c r="H4129" s="19"/>
      <c r="I4129" s="19"/>
      <c r="J4129" s="21"/>
      <c r="K4129" s="19"/>
    </row>
    <row r="4130" spans="3:11" x14ac:dyDescent="0.2">
      <c r="C4130" s="19"/>
      <c r="D4130" s="19"/>
      <c r="E4130" s="19"/>
      <c r="F4130" s="20"/>
      <c r="G4130" s="19"/>
      <c r="H4130" s="19"/>
      <c r="I4130" s="19"/>
      <c r="J4130" s="21"/>
      <c r="K4130" s="19"/>
    </row>
    <row r="4131" spans="3:11" x14ac:dyDescent="0.2">
      <c r="C4131" s="19"/>
      <c r="D4131" s="19"/>
      <c r="E4131" s="19"/>
      <c r="F4131" s="20"/>
      <c r="G4131" s="19"/>
      <c r="H4131" s="19"/>
      <c r="I4131" s="19"/>
      <c r="J4131" s="21"/>
      <c r="K4131" s="19"/>
    </row>
    <row r="4132" spans="3:11" x14ac:dyDescent="0.2">
      <c r="C4132" s="19"/>
      <c r="D4132" s="19"/>
      <c r="E4132" s="19"/>
      <c r="F4132" s="20"/>
      <c r="G4132" s="19"/>
      <c r="H4132" s="19"/>
      <c r="I4132" s="19"/>
      <c r="J4132" s="21"/>
      <c r="K4132" s="19"/>
    </row>
    <row r="4133" spans="3:11" x14ac:dyDescent="0.2">
      <c r="C4133" s="19"/>
      <c r="D4133" s="19"/>
      <c r="E4133" s="19"/>
      <c r="F4133" s="20"/>
      <c r="G4133" s="19"/>
      <c r="H4133" s="19"/>
      <c r="I4133" s="19"/>
      <c r="J4133" s="21"/>
      <c r="K4133" s="19"/>
    </row>
    <row r="4134" spans="3:11" x14ac:dyDescent="0.2">
      <c r="C4134" s="19"/>
      <c r="D4134" s="19"/>
      <c r="E4134" s="19"/>
      <c r="F4134" s="20"/>
      <c r="G4134" s="19"/>
      <c r="H4134" s="19"/>
      <c r="I4134" s="19"/>
      <c r="J4134" s="21"/>
      <c r="K4134" s="19"/>
    </row>
    <row r="4135" spans="3:11" x14ac:dyDescent="0.2">
      <c r="C4135" s="19"/>
      <c r="D4135" s="19"/>
      <c r="E4135" s="19"/>
      <c r="F4135" s="20"/>
      <c r="G4135" s="19"/>
      <c r="H4135" s="19"/>
      <c r="I4135" s="19"/>
      <c r="J4135" s="21"/>
      <c r="K4135" s="19"/>
    </row>
    <row r="4136" spans="3:11" x14ac:dyDescent="0.2">
      <c r="C4136" s="19"/>
      <c r="D4136" s="19"/>
      <c r="E4136" s="19"/>
      <c r="F4136" s="20"/>
      <c r="G4136" s="19"/>
      <c r="H4136" s="19"/>
      <c r="I4136" s="19"/>
      <c r="J4136" s="21"/>
      <c r="K4136" s="19"/>
    </row>
    <row r="4137" spans="3:11" x14ac:dyDescent="0.2">
      <c r="C4137" s="19"/>
      <c r="D4137" s="19"/>
      <c r="E4137" s="19"/>
      <c r="F4137" s="20"/>
      <c r="G4137" s="19"/>
      <c r="H4137" s="19"/>
      <c r="I4137" s="19"/>
      <c r="J4137" s="21"/>
      <c r="K4137" s="19"/>
    </row>
    <row r="4138" spans="3:11" x14ac:dyDescent="0.2">
      <c r="C4138" s="19"/>
      <c r="D4138" s="19"/>
      <c r="E4138" s="19"/>
      <c r="F4138" s="20"/>
      <c r="G4138" s="19"/>
      <c r="H4138" s="19"/>
      <c r="I4138" s="19"/>
      <c r="J4138" s="21"/>
      <c r="K4138" s="19"/>
    </row>
    <row r="4139" spans="3:11" x14ac:dyDescent="0.2">
      <c r="C4139" s="19"/>
      <c r="D4139" s="19"/>
      <c r="E4139" s="19"/>
      <c r="F4139" s="20"/>
      <c r="G4139" s="19"/>
      <c r="H4139" s="19"/>
      <c r="I4139" s="19"/>
      <c r="J4139" s="19"/>
      <c r="K4139" s="19"/>
    </row>
    <row r="4140" spans="3:11" x14ac:dyDescent="0.2">
      <c r="C4140" s="19"/>
      <c r="D4140" s="19"/>
      <c r="E4140" s="19"/>
      <c r="F4140" s="20"/>
      <c r="G4140" s="19"/>
      <c r="H4140" s="19"/>
      <c r="I4140" s="19"/>
      <c r="J4140" s="21"/>
      <c r="K4140" s="19"/>
    </row>
    <row r="4141" spans="3:11" x14ac:dyDescent="0.2">
      <c r="C4141" s="19"/>
      <c r="D4141" s="19"/>
      <c r="E4141" s="19"/>
      <c r="F4141" s="20"/>
      <c r="G4141" s="19"/>
      <c r="H4141" s="19"/>
      <c r="I4141" s="19"/>
      <c r="J4141" s="21"/>
      <c r="K4141" s="19"/>
    </row>
    <row r="4142" spans="3:11" x14ac:dyDescent="0.2">
      <c r="C4142" s="19"/>
      <c r="D4142" s="19"/>
      <c r="E4142" s="19"/>
      <c r="F4142" s="20"/>
      <c r="G4142" s="19"/>
      <c r="H4142" s="19"/>
      <c r="I4142" s="19"/>
      <c r="J4142" s="21"/>
      <c r="K4142" s="19"/>
    </row>
    <row r="4143" spans="3:11" x14ac:dyDescent="0.2">
      <c r="C4143" s="19"/>
      <c r="D4143" s="19"/>
      <c r="E4143" s="19"/>
      <c r="F4143" s="20"/>
      <c r="G4143" s="19"/>
      <c r="H4143" s="19"/>
      <c r="I4143" s="19"/>
      <c r="J4143" s="21"/>
      <c r="K4143" s="19"/>
    </row>
    <row r="4144" spans="3:11" x14ac:dyDescent="0.2">
      <c r="C4144" s="19"/>
      <c r="D4144" s="19"/>
      <c r="E4144" s="19"/>
      <c r="F4144" s="20"/>
      <c r="G4144" s="19"/>
      <c r="H4144" s="19"/>
      <c r="I4144" s="19"/>
      <c r="J4144" s="21"/>
      <c r="K4144" s="19"/>
    </row>
    <row r="4145" spans="3:11" x14ac:dyDescent="0.2">
      <c r="C4145" s="19"/>
      <c r="D4145" s="19"/>
      <c r="E4145" s="19"/>
      <c r="F4145" s="20"/>
      <c r="G4145" s="19"/>
      <c r="H4145" s="19"/>
      <c r="I4145" s="19"/>
      <c r="J4145" s="21"/>
      <c r="K4145" s="19"/>
    </row>
    <row r="4146" spans="3:11" x14ac:dyDescent="0.2">
      <c r="C4146" s="19"/>
      <c r="D4146" s="19"/>
      <c r="E4146" s="19"/>
      <c r="F4146" s="20"/>
      <c r="G4146" s="19"/>
      <c r="H4146" s="19"/>
      <c r="I4146" s="19"/>
      <c r="J4146" s="21"/>
      <c r="K4146" s="19"/>
    </row>
    <row r="4147" spans="3:11" x14ac:dyDescent="0.2">
      <c r="C4147" s="19"/>
      <c r="D4147" s="19"/>
      <c r="E4147" s="19"/>
      <c r="F4147" s="20"/>
      <c r="G4147" s="19"/>
      <c r="H4147" s="19"/>
      <c r="I4147" s="19"/>
      <c r="J4147" s="21"/>
      <c r="K4147" s="19"/>
    </row>
    <row r="4148" spans="3:11" x14ac:dyDescent="0.2">
      <c r="C4148" s="19"/>
      <c r="D4148" s="19"/>
      <c r="E4148" s="19"/>
      <c r="F4148" s="20"/>
      <c r="G4148" s="19"/>
      <c r="H4148" s="19"/>
      <c r="I4148" s="19"/>
      <c r="J4148" s="21"/>
      <c r="K4148" s="19"/>
    </row>
    <row r="4149" spans="3:11" x14ac:dyDescent="0.2">
      <c r="C4149" s="19"/>
      <c r="D4149" s="19"/>
      <c r="E4149" s="19"/>
      <c r="F4149" s="20"/>
      <c r="G4149" s="19"/>
      <c r="H4149" s="19"/>
      <c r="I4149" s="19"/>
      <c r="J4149" s="21"/>
      <c r="K4149" s="19"/>
    </row>
    <row r="4150" spans="3:11" x14ac:dyDescent="0.2">
      <c r="C4150" s="19"/>
      <c r="D4150" s="19"/>
      <c r="E4150" s="19"/>
      <c r="F4150" s="20"/>
      <c r="G4150" s="19"/>
      <c r="H4150" s="19"/>
      <c r="I4150" s="19"/>
      <c r="J4150" s="21"/>
      <c r="K4150" s="19"/>
    </row>
    <row r="4151" spans="3:11" x14ac:dyDescent="0.2">
      <c r="C4151" s="19"/>
      <c r="D4151" s="19"/>
      <c r="E4151" s="19"/>
      <c r="F4151" s="20"/>
      <c r="G4151" s="19"/>
      <c r="H4151" s="19"/>
      <c r="I4151" s="19"/>
      <c r="J4151" s="21"/>
      <c r="K4151" s="19"/>
    </row>
    <row r="4152" spans="3:11" x14ac:dyDescent="0.2">
      <c r="C4152" s="19"/>
      <c r="D4152" s="19"/>
      <c r="E4152" s="19"/>
      <c r="F4152" s="20"/>
      <c r="G4152" s="19"/>
      <c r="H4152" s="19"/>
      <c r="I4152" s="19"/>
      <c r="J4152" s="21"/>
      <c r="K4152" s="19"/>
    </row>
    <row r="4153" spans="3:11" x14ac:dyDescent="0.2">
      <c r="C4153" s="19"/>
      <c r="D4153" s="19"/>
      <c r="E4153" s="19"/>
      <c r="F4153" s="20"/>
      <c r="G4153" s="19"/>
      <c r="H4153" s="19"/>
      <c r="I4153" s="19"/>
      <c r="J4153" s="21"/>
      <c r="K4153" s="19"/>
    </row>
    <row r="4154" spans="3:11" x14ac:dyDescent="0.2">
      <c r="C4154" s="19"/>
      <c r="D4154" s="19"/>
      <c r="E4154" s="19"/>
      <c r="F4154" s="20"/>
      <c r="G4154" s="19"/>
      <c r="H4154" s="19"/>
      <c r="I4154" s="19"/>
      <c r="J4154" s="21"/>
      <c r="K4154" s="19"/>
    </row>
    <row r="4155" spans="3:11" x14ac:dyDescent="0.2">
      <c r="C4155" s="19"/>
      <c r="D4155" s="19"/>
      <c r="E4155" s="19"/>
      <c r="F4155" s="20"/>
      <c r="G4155" s="19"/>
      <c r="H4155" s="19"/>
      <c r="I4155" s="19"/>
      <c r="J4155" s="21"/>
      <c r="K4155" s="19"/>
    </row>
    <row r="4156" spans="3:11" x14ac:dyDescent="0.2">
      <c r="C4156" s="19"/>
      <c r="D4156" s="19"/>
      <c r="E4156" s="19"/>
      <c r="F4156" s="20"/>
      <c r="G4156" s="19"/>
      <c r="H4156" s="19"/>
      <c r="I4156" s="19"/>
      <c r="J4156" s="21"/>
      <c r="K4156" s="19"/>
    </row>
    <row r="4157" spans="3:11" x14ac:dyDescent="0.2">
      <c r="C4157" s="19"/>
      <c r="D4157" s="19"/>
      <c r="E4157" s="19"/>
      <c r="F4157" s="20"/>
      <c r="G4157" s="19"/>
      <c r="H4157" s="19"/>
      <c r="I4157" s="19"/>
      <c r="J4157" s="21"/>
      <c r="K4157" s="19"/>
    </row>
    <row r="4158" spans="3:11" x14ac:dyDescent="0.2">
      <c r="C4158" s="19"/>
      <c r="D4158" s="19"/>
      <c r="E4158" s="19"/>
      <c r="F4158" s="20"/>
      <c r="G4158" s="19"/>
      <c r="H4158" s="19"/>
      <c r="I4158" s="19"/>
      <c r="J4158" s="21"/>
      <c r="K4158" s="19"/>
    </row>
    <row r="4159" spans="3:11" x14ac:dyDescent="0.2">
      <c r="C4159" s="19"/>
      <c r="D4159" s="19"/>
      <c r="E4159" s="19"/>
      <c r="F4159" s="20"/>
      <c r="G4159" s="19"/>
      <c r="H4159" s="19"/>
      <c r="I4159" s="19"/>
      <c r="J4159" s="21"/>
      <c r="K4159" s="19"/>
    </row>
    <row r="4160" spans="3:11" x14ac:dyDescent="0.2">
      <c r="C4160" s="19"/>
      <c r="D4160" s="19"/>
      <c r="E4160" s="19"/>
      <c r="F4160" s="20"/>
      <c r="G4160" s="19"/>
      <c r="H4160" s="19"/>
      <c r="I4160" s="19"/>
      <c r="J4160" s="21"/>
      <c r="K4160" s="19"/>
    </row>
    <row r="4161" spans="3:11" x14ac:dyDescent="0.2">
      <c r="C4161" s="19"/>
      <c r="D4161" s="19"/>
      <c r="E4161" s="19"/>
      <c r="F4161" s="20"/>
      <c r="G4161" s="19"/>
      <c r="H4161" s="19"/>
      <c r="I4161" s="19"/>
      <c r="J4161" s="21"/>
      <c r="K4161" s="19"/>
    </row>
    <row r="4162" spans="3:11" x14ac:dyDescent="0.2">
      <c r="C4162" s="19"/>
      <c r="D4162" s="19"/>
      <c r="E4162" s="19"/>
      <c r="F4162" s="20"/>
      <c r="G4162" s="19"/>
      <c r="H4162" s="19"/>
      <c r="I4162" s="19"/>
      <c r="J4162" s="21"/>
      <c r="K4162" s="19"/>
    </row>
    <row r="4163" spans="3:11" x14ac:dyDescent="0.2">
      <c r="C4163" s="19"/>
      <c r="D4163" s="19"/>
      <c r="E4163" s="19"/>
      <c r="F4163" s="20"/>
      <c r="G4163" s="19"/>
      <c r="H4163" s="19"/>
      <c r="I4163" s="19"/>
      <c r="J4163" s="21"/>
      <c r="K4163" s="19"/>
    </row>
    <row r="4164" spans="3:11" x14ac:dyDescent="0.2">
      <c r="C4164" s="19"/>
      <c r="D4164" s="19"/>
      <c r="E4164" s="19"/>
      <c r="F4164" s="20"/>
      <c r="G4164" s="19"/>
      <c r="H4164" s="19"/>
      <c r="I4164" s="19"/>
      <c r="J4164" s="21"/>
      <c r="K4164" s="19"/>
    </row>
    <row r="4165" spans="3:11" x14ac:dyDescent="0.2">
      <c r="C4165" s="19"/>
      <c r="D4165" s="19"/>
      <c r="E4165" s="19"/>
      <c r="F4165" s="20"/>
      <c r="G4165" s="19"/>
      <c r="H4165" s="19"/>
      <c r="I4165" s="19"/>
      <c r="J4165" s="21"/>
      <c r="K4165" s="19"/>
    </row>
    <row r="4166" spans="3:11" x14ac:dyDescent="0.2">
      <c r="C4166" s="19"/>
      <c r="D4166" s="19"/>
      <c r="E4166" s="19"/>
      <c r="F4166" s="20"/>
      <c r="G4166" s="19"/>
      <c r="H4166" s="19"/>
      <c r="I4166" s="19"/>
      <c r="J4166" s="21"/>
      <c r="K4166" s="19"/>
    </row>
    <row r="4167" spans="3:11" x14ac:dyDescent="0.2">
      <c r="C4167" s="19"/>
      <c r="D4167" s="19"/>
      <c r="E4167" s="19"/>
      <c r="F4167" s="20"/>
      <c r="G4167" s="19"/>
      <c r="H4167" s="19"/>
      <c r="I4167" s="19"/>
      <c r="J4167" s="21"/>
      <c r="K4167" s="19"/>
    </row>
    <row r="4168" spans="3:11" x14ac:dyDescent="0.2">
      <c r="C4168" s="19"/>
      <c r="D4168" s="19"/>
      <c r="E4168" s="19"/>
      <c r="F4168" s="20"/>
      <c r="G4168" s="19"/>
      <c r="H4168" s="19"/>
      <c r="I4168" s="19"/>
      <c r="J4168" s="21"/>
      <c r="K4168" s="19"/>
    </row>
    <row r="4169" spans="3:11" x14ac:dyDescent="0.2">
      <c r="C4169" s="19"/>
      <c r="D4169" s="19"/>
      <c r="E4169" s="19"/>
      <c r="F4169" s="20"/>
      <c r="G4169" s="19"/>
      <c r="H4169" s="19"/>
      <c r="I4169" s="19"/>
      <c r="J4169" s="21"/>
      <c r="K4169" s="19"/>
    </row>
    <row r="4170" spans="3:11" x14ac:dyDescent="0.2">
      <c r="C4170" s="19"/>
      <c r="D4170" s="19"/>
      <c r="E4170" s="19"/>
      <c r="F4170" s="20"/>
      <c r="G4170" s="19"/>
      <c r="H4170" s="19"/>
      <c r="I4170" s="19"/>
      <c r="J4170" s="19"/>
      <c r="K4170" s="19"/>
    </row>
    <row r="4171" spans="3:11" x14ac:dyDescent="0.2">
      <c r="C4171" s="19"/>
      <c r="D4171" s="19"/>
      <c r="E4171" s="19"/>
      <c r="F4171" s="20"/>
      <c r="G4171" s="19"/>
      <c r="H4171" s="19"/>
      <c r="I4171" s="19"/>
      <c r="J4171" s="19"/>
      <c r="K4171" s="19"/>
    </row>
    <row r="4172" spans="3:11" x14ac:dyDescent="0.2">
      <c r="C4172" s="19"/>
      <c r="D4172" s="19"/>
      <c r="E4172" s="19"/>
      <c r="F4172" s="20"/>
      <c r="G4172" s="19"/>
      <c r="H4172" s="19"/>
      <c r="I4172" s="19"/>
      <c r="J4172" s="21"/>
      <c r="K4172" s="19"/>
    </row>
    <row r="4173" spans="3:11" x14ac:dyDescent="0.2">
      <c r="C4173" s="19"/>
      <c r="D4173" s="19"/>
      <c r="E4173" s="19"/>
      <c r="F4173" s="20"/>
      <c r="G4173" s="19"/>
      <c r="H4173" s="19"/>
      <c r="I4173" s="19"/>
      <c r="J4173" s="21"/>
      <c r="K4173" s="19"/>
    </row>
    <row r="4174" spans="3:11" x14ac:dyDescent="0.2">
      <c r="C4174" s="19"/>
      <c r="D4174" s="19"/>
      <c r="E4174" s="19"/>
      <c r="F4174" s="20"/>
      <c r="G4174" s="19"/>
      <c r="H4174" s="19"/>
      <c r="I4174" s="19"/>
      <c r="J4174" s="21"/>
      <c r="K4174" s="19"/>
    </row>
    <row r="4175" spans="3:11" x14ac:dyDescent="0.2">
      <c r="C4175" s="19"/>
      <c r="D4175" s="19"/>
      <c r="E4175" s="19"/>
      <c r="F4175" s="20"/>
      <c r="G4175" s="19"/>
      <c r="H4175" s="19"/>
      <c r="I4175" s="19"/>
      <c r="J4175" s="21"/>
      <c r="K4175" s="19"/>
    </row>
    <row r="4176" spans="3:11" x14ac:dyDescent="0.2">
      <c r="C4176" s="19"/>
      <c r="D4176" s="19"/>
      <c r="E4176" s="19"/>
      <c r="F4176" s="20"/>
      <c r="G4176" s="19"/>
      <c r="H4176" s="19"/>
      <c r="I4176" s="19"/>
      <c r="J4176" s="21"/>
      <c r="K4176" s="19"/>
    </row>
    <row r="4177" spans="3:11" x14ac:dyDescent="0.2">
      <c r="C4177" s="19"/>
      <c r="D4177" s="19"/>
      <c r="E4177" s="19"/>
      <c r="F4177" s="20"/>
      <c r="G4177" s="19"/>
      <c r="H4177" s="19"/>
      <c r="I4177" s="19"/>
      <c r="J4177" s="21"/>
      <c r="K4177" s="19"/>
    </row>
    <row r="4178" spans="3:11" x14ac:dyDescent="0.2">
      <c r="C4178" s="19"/>
      <c r="D4178" s="19"/>
      <c r="E4178" s="19"/>
      <c r="F4178" s="20"/>
      <c r="G4178" s="19"/>
      <c r="H4178" s="19"/>
      <c r="I4178" s="19"/>
      <c r="J4178" s="21"/>
      <c r="K4178" s="19"/>
    </row>
    <row r="4179" spans="3:11" x14ac:dyDescent="0.2">
      <c r="C4179" s="19"/>
      <c r="D4179" s="19"/>
      <c r="E4179" s="19"/>
      <c r="F4179" s="20"/>
      <c r="G4179" s="19"/>
      <c r="H4179" s="19"/>
      <c r="I4179" s="19"/>
      <c r="J4179" s="21"/>
      <c r="K4179" s="19"/>
    </row>
    <row r="4180" spans="3:11" x14ac:dyDescent="0.2">
      <c r="C4180" s="19"/>
      <c r="D4180" s="19"/>
      <c r="E4180" s="19"/>
      <c r="F4180" s="20"/>
      <c r="G4180" s="19"/>
      <c r="H4180" s="19"/>
      <c r="I4180" s="19"/>
      <c r="J4180" s="21"/>
      <c r="K4180" s="19"/>
    </row>
    <row r="4181" spans="3:11" x14ac:dyDescent="0.2">
      <c r="C4181" s="19"/>
      <c r="D4181" s="19"/>
      <c r="E4181" s="19"/>
      <c r="F4181" s="20"/>
      <c r="G4181" s="19"/>
      <c r="H4181" s="19"/>
      <c r="I4181" s="19"/>
      <c r="J4181" s="21"/>
      <c r="K4181" s="19"/>
    </row>
    <row r="4182" spans="3:11" x14ac:dyDescent="0.2">
      <c r="C4182" s="19"/>
      <c r="D4182" s="19"/>
      <c r="E4182" s="19"/>
      <c r="F4182" s="20"/>
      <c r="G4182" s="19"/>
      <c r="H4182" s="19"/>
      <c r="I4182" s="19"/>
      <c r="J4182" s="21"/>
      <c r="K4182" s="19"/>
    </row>
    <row r="4183" spans="3:11" x14ac:dyDescent="0.2">
      <c r="C4183" s="19"/>
      <c r="D4183" s="19"/>
      <c r="E4183" s="19"/>
      <c r="F4183" s="20"/>
      <c r="G4183" s="19"/>
      <c r="H4183" s="19"/>
      <c r="I4183" s="19"/>
      <c r="J4183" s="21"/>
      <c r="K4183" s="19"/>
    </row>
    <row r="4184" spans="3:11" x14ac:dyDescent="0.2">
      <c r="C4184" s="19"/>
      <c r="D4184" s="19"/>
      <c r="E4184" s="19"/>
      <c r="F4184" s="20"/>
      <c r="G4184" s="19"/>
      <c r="H4184" s="19"/>
      <c r="I4184" s="19"/>
      <c r="J4184" s="21"/>
      <c r="K4184" s="19"/>
    </row>
    <row r="4185" spans="3:11" x14ac:dyDescent="0.2">
      <c r="C4185" s="19"/>
      <c r="D4185" s="19"/>
      <c r="E4185" s="19"/>
      <c r="F4185" s="20"/>
      <c r="G4185" s="19"/>
      <c r="H4185" s="19"/>
      <c r="I4185" s="19"/>
      <c r="J4185" s="21"/>
      <c r="K4185" s="19"/>
    </row>
    <row r="4186" spans="3:11" x14ac:dyDescent="0.2">
      <c r="C4186" s="19"/>
      <c r="D4186" s="19"/>
      <c r="E4186" s="19"/>
      <c r="F4186" s="20"/>
      <c r="G4186" s="19"/>
      <c r="H4186" s="19"/>
      <c r="I4186" s="19"/>
      <c r="J4186" s="21"/>
      <c r="K4186" s="19"/>
    </row>
    <row r="4187" spans="3:11" x14ac:dyDescent="0.2">
      <c r="C4187" s="19"/>
      <c r="D4187" s="19"/>
      <c r="E4187" s="19"/>
      <c r="F4187" s="20"/>
      <c r="G4187" s="19"/>
      <c r="H4187" s="19"/>
      <c r="I4187" s="19"/>
      <c r="J4187" s="21"/>
      <c r="K4187" s="19"/>
    </row>
    <row r="4188" spans="3:11" x14ac:dyDescent="0.2">
      <c r="C4188" s="19"/>
      <c r="D4188" s="19"/>
      <c r="E4188" s="19"/>
      <c r="F4188" s="20"/>
      <c r="G4188" s="19"/>
      <c r="H4188" s="19"/>
      <c r="I4188" s="19"/>
      <c r="J4188" s="21"/>
      <c r="K4188" s="19"/>
    </row>
    <row r="4189" spans="3:11" x14ac:dyDescent="0.2">
      <c r="C4189" s="19"/>
      <c r="D4189" s="19"/>
      <c r="E4189" s="19"/>
      <c r="F4189" s="20"/>
      <c r="G4189" s="19"/>
      <c r="H4189" s="19"/>
      <c r="I4189" s="19"/>
      <c r="J4189" s="19"/>
      <c r="K4189" s="19"/>
    </row>
    <row r="4190" spans="3:11" x14ac:dyDescent="0.2">
      <c r="C4190" s="19"/>
      <c r="D4190" s="19"/>
      <c r="E4190" s="19"/>
      <c r="F4190" s="20"/>
      <c r="G4190" s="19"/>
      <c r="H4190" s="19"/>
      <c r="I4190" s="19"/>
      <c r="J4190" s="19"/>
      <c r="K4190" s="19"/>
    </row>
    <row r="4191" spans="3:11" x14ac:dyDescent="0.2">
      <c r="C4191" s="19"/>
      <c r="D4191" s="19"/>
      <c r="E4191" s="19"/>
      <c r="F4191" s="20"/>
      <c r="G4191" s="19"/>
      <c r="H4191" s="19"/>
      <c r="I4191" s="19"/>
      <c r="J4191" s="19"/>
      <c r="K4191" s="19"/>
    </row>
    <row r="4192" spans="3:11" x14ac:dyDescent="0.2">
      <c r="C4192" s="19"/>
      <c r="D4192" s="19"/>
      <c r="E4192" s="19"/>
      <c r="F4192" s="20"/>
      <c r="G4192" s="19"/>
      <c r="H4192" s="19"/>
      <c r="I4192" s="19"/>
      <c r="J4192" s="19"/>
      <c r="K4192" s="19"/>
    </row>
    <row r="4193" spans="3:11" x14ac:dyDescent="0.2">
      <c r="C4193" s="19"/>
      <c r="D4193" s="19"/>
      <c r="E4193" s="19"/>
      <c r="F4193" s="20"/>
      <c r="G4193" s="19"/>
      <c r="H4193" s="19"/>
      <c r="I4193" s="19"/>
      <c r="J4193" s="21"/>
      <c r="K4193" s="19"/>
    </row>
    <row r="4194" spans="3:11" x14ac:dyDescent="0.2">
      <c r="C4194" s="19"/>
      <c r="D4194" s="19"/>
      <c r="E4194" s="19"/>
      <c r="F4194" s="20"/>
      <c r="G4194" s="19"/>
      <c r="H4194" s="19"/>
      <c r="I4194" s="19"/>
      <c r="J4194" s="21"/>
      <c r="K4194" s="19"/>
    </row>
    <row r="4195" spans="3:11" x14ac:dyDescent="0.2">
      <c r="C4195" s="19"/>
      <c r="D4195" s="19"/>
      <c r="E4195" s="19"/>
      <c r="F4195" s="20"/>
      <c r="G4195" s="19"/>
      <c r="H4195" s="19"/>
      <c r="I4195" s="19"/>
      <c r="J4195" s="21"/>
      <c r="K4195" s="19"/>
    </row>
    <row r="4196" spans="3:11" x14ac:dyDescent="0.2">
      <c r="C4196" s="19"/>
      <c r="D4196" s="19"/>
      <c r="E4196" s="19"/>
      <c r="F4196" s="20"/>
      <c r="G4196" s="19"/>
      <c r="H4196" s="19"/>
      <c r="I4196" s="19"/>
      <c r="J4196" s="21"/>
      <c r="K4196" s="19"/>
    </row>
    <row r="4197" spans="3:11" x14ac:dyDescent="0.2">
      <c r="C4197" s="19"/>
      <c r="D4197" s="19"/>
      <c r="E4197" s="19"/>
      <c r="F4197" s="20"/>
      <c r="G4197" s="19"/>
      <c r="H4197" s="19"/>
      <c r="I4197" s="19"/>
      <c r="J4197" s="21"/>
      <c r="K4197" s="19"/>
    </row>
    <row r="4198" spans="3:11" x14ac:dyDescent="0.2">
      <c r="C4198" s="19"/>
      <c r="D4198" s="19"/>
      <c r="E4198" s="19"/>
      <c r="F4198" s="20"/>
      <c r="G4198" s="19"/>
      <c r="H4198" s="19"/>
      <c r="I4198" s="19"/>
      <c r="J4198" s="21"/>
      <c r="K4198" s="19"/>
    </row>
    <row r="4199" spans="3:11" x14ac:dyDescent="0.2">
      <c r="C4199" s="19"/>
      <c r="D4199" s="19"/>
      <c r="E4199" s="19"/>
      <c r="F4199" s="20"/>
      <c r="G4199" s="19"/>
      <c r="H4199" s="19"/>
      <c r="I4199" s="19"/>
      <c r="J4199" s="21"/>
      <c r="K4199" s="19"/>
    </row>
    <row r="4200" spans="3:11" x14ac:dyDescent="0.2">
      <c r="C4200" s="19"/>
      <c r="D4200" s="19"/>
      <c r="E4200" s="19"/>
      <c r="F4200" s="20"/>
      <c r="G4200" s="19"/>
      <c r="H4200" s="19"/>
      <c r="I4200" s="19"/>
      <c r="J4200" s="21"/>
      <c r="K4200" s="19"/>
    </row>
    <row r="4201" spans="3:11" x14ac:dyDescent="0.2">
      <c r="C4201" s="19"/>
      <c r="D4201" s="19"/>
      <c r="E4201" s="19"/>
      <c r="F4201" s="20"/>
      <c r="G4201" s="19"/>
      <c r="H4201" s="19"/>
      <c r="I4201" s="19"/>
      <c r="J4201" s="21"/>
      <c r="K4201" s="19"/>
    </row>
    <row r="4202" spans="3:11" x14ac:dyDescent="0.2">
      <c r="C4202" s="19"/>
      <c r="D4202" s="19"/>
      <c r="E4202" s="19"/>
      <c r="F4202" s="20"/>
      <c r="G4202" s="19"/>
      <c r="H4202" s="19"/>
      <c r="I4202" s="19"/>
      <c r="J4202" s="21"/>
      <c r="K4202" s="19"/>
    </row>
    <row r="4203" spans="3:11" x14ac:dyDescent="0.2">
      <c r="C4203" s="19"/>
      <c r="D4203" s="19"/>
      <c r="E4203" s="19"/>
      <c r="F4203" s="20"/>
      <c r="G4203" s="19"/>
      <c r="H4203" s="19"/>
      <c r="I4203" s="19"/>
      <c r="J4203" s="21"/>
      <c r="K4203" s="19"/>
    </row>
    <row r="4204" spans="3:11" x14ac:dyDescent="0.2">
      <c r="C4204" s="19"/>
      <c r="D4204" s="19"/>
      <c r="E4204" s="19"/>
      <c r="F4204" s="20"/>
      <c r="G4204" s="19"/>
      <c r="H4204" s="19"/>
      <c r="I4204" s="19"/>
      <c r="J4204" s="21"/>
      <c r="K4204" s="19"/>
    </row>
    <row r="4205" spans="3:11" x14ac:dyDescent="0.2">
      <c r="C4205" s="19"/>
      <c r="D4205" s="19"/>
      <c r="E4205" s="19"/>
      <c r="F4205" s="20"/>
      <c r="G4205" s="19"/>
      <c r="H4205" s="19"/>
      <c r="I4205" s="19"/>
      <c r="J4205" s="21"/>
      <c r="K4205" s="19"/>
    </row>
    <row r="4206" spans="3:11" x14ac:dyDescent="0.2">
      <c r="C4206" s="19"/>
      <c r="D4206" s="19"/>
      <c r="E4206" s="19"/>
      <c r="F4206" s="20"/>
      <c r="G4206" s="19"/>
      <c r="H4206" s="19"/>
      <c r="I4206" s="19"/>
      <c r="J4206" s="21"/>
      <c r="K4206" s="19"/>
    </row>
    <row r="4207" spans="3:11" x14ac:dyDescent="0.2">
      <c r="C4207" s="19"/>
      <c r="D4207" s="19"/>
      <c r="E4207" s="19"/>
      <c r="F4207" s="20"/>
      <c r="G4207" s="19"/>
      <c r="H4207" s="19"/>
      <c r="I4207" s="19"/>
      <c r="J4207" s="21"/>
      <c r="K4207" s="19"/>
    </row>
    <row r="4208" spans="3:11" x14ac:dyDescent="0.2">
      <c r="C4208" s="19"/>
      <c r="D4208" s="19"/>
      <c r="E4208" s="19"/>
      <c r="F4208" s="20"/>
      <c r="G4208" s="19"/>
      <c r="H4208" s="19"/>
      <c r="I4208" s="19"/>
      <c r="J4208" s="21"/>
      <c r="K4208" s="19"/>
    </row>
    <row r="4209" spans="3:11" x14ac:dyDescent="0.2">
      <c r="C4209" s="19"/>
      <c r="D4209" s="19"/>
      <c r="E4209" s="19"/>
      <c r="F4209" s="20"/>
      <c r="G4209" s="19"/>
      <c r="H4209" s="19"/>
      <c r="I4209" s="19"/>
      <c r="J4209" s="21"/>
      <c r="K4209" s="19"/>
    </row>
    <row r="4210" spans="3:11" x14ac:dyDescent="0.2">
      <c r="C4210" s="19"/>
      <c r="D4210" s="19"/>
      <c r="E4210" s="19"/>
      <c r="F4210" s="20"/>
      <c r="G4210" s="19"/>
      <c r="H4210" s="19"/>
      <c r="I4210" s="19"/>
      <c r="J4210" s="21"/>
      <c r="K4210" s="19"/>
    </row>
    <row r="4211" spans="3:11" x14ac:dyDescent="0.2">
      <c r="C4211" s="19"/>
      <c r="D4211" s="19"/>
      <c r="E4211" s="19"/>
      <c r="F4211" s="20"/>
      <c r="G4211" s="19"/>
      <c r="H4211" s="19"/>
      <c r="I4211" s="19"/>
      <c r="J4211" s="21"/>
      <c r="K4211" s="19"/>
    </row>
    <row r="4212" spans="3:11" x14ac:dyDescent="0.2">
      <c r="C4212" s="19"/>
      <c r="D4212" s="19"/>
      <c r="E4212" s="19"/>
      <c r="F4212" s="20"/>
      <c r="G4212" s="19"/>
      <c r="H4212" s="19"/>
      <c r="I4212" s="19"/>
      <c r="J4212" s="21"/>
      <c r="K4212" s="19"/>
    </row>
    <row r="4213" spans="3:11" x14ac:dyDescent="0.2">
      <c r="C4213" s="19"/>
      <c r="D4213" s="19"/>
      <c r="E4213" s="19"/>
      <c r="F4213" s="20"/>
      <c r="G4213" s="19"/>
      <c r="H4213" s="19"/>
      <c r="I4213" s="19"/>
      <c r="J4213" s="21"/>
      <c r="K4213" s="19"/>
    </row>
    <row r="4214" spans="3:11" x14ac:dyDescent="0.2">
      <c r="C4214" s="19"/>
      <c r="D4214" s="19"/>
      <c r="E4214" s="19"/>
      <c r="F4214" s="20"/>
      <c r="G4214" s="19"/>
      <c r="H4214" s="19"/>
      <c r="I4214" s="19"/>
      <c r="J4214" s="21"/>
      <c r="K4214" s="19"/>
    </row>
    <row r="4215" spans="3:11" x14ac:dyDescent="0.2">
      <c r="C4215" s="19"/>
      <c r="D4215" s="19"/>
      <c r="E4215" s="19"/>
      <c r="F4215" s="20"/>
      <c r="G4215" s="19"/>
      <c r="H4215" s="19"/>
      <c r="I4215" s="19"/>
      <c r="J4215" s="21"/>
      <c r="K4215" s="19"/>
    </row>
    <row r="4216" spans="3:11" x14ac:dyDescent="0.2">
      <c r="C4216" s="19"/>
      <c r="D4216" s="19"/>
      <c r="E4216" s="19"/>
      <c r="F4216" s="20"/>
      <c r="G4216" s="19"/>
      <c r="H4216" s="19"/>
      <c r="I4216" s="19"/>
      <c r="J4216" s="21"/>
      <c r="K4216" s="19"/>
    </row>
    <row r="4217" spans="3:11" x14ac:dyDescent="0.2">
      <c r="C4217" s="19"/>
      <c r="D4217" s="19"/>
      <c r="E4217" s="19"/>
      <c r="F4217" s="20"/>
      <c r="G4217" s="19"/>
      <c r="H4217" s="19"/>
      <c r="I4217" s="19"/>
      <c r="J4217" s="19"/>
      <c r="K4217" s="19"/>
    </row>
    <row r="4218" spans="3:11" x14ac:dyDescent="0.2">
      <c r="C4218" s="19"/>
      <c r="D4218" s="19"/>
      <c r="E4218" s="19"/>
      <c r="F4218" s="20"/>
      <c r="G4218" s="19"/>
      <c r="H4218" s="19"/>
      <c r="I4218" s="19"/>
      <c r="J4218" s="19"/>
      <c r="K4218" s="19"/>
    </row>
    <row r="4219" spans="3:11" x14ac:dyDescent="0.2">
      <c r="C4219" s="19"/>
      <c r="D4219" s="19"/>
      <c r="E4219" s="19"/>
      <c r="F4219" s="20"/>
      <c r="G4219" s="19"/>
      <c r="H4219" s="19"/>
      <c r="I4219" s="19"/>
      <c r="J4219" s="21"/>
      <c r="K4219" s="19"/>
    </row>
    <row r="4220" spans="3:11" x14ac:dyDescent="0.2">
      <c r="C4220" s="19"/>
      <c r="D4220" s="19"/>
      <c r="E4220" s="19"/>
      <c r="F4220" s="20"/>
      <c r="G4220" s="19"/>
      <c r="H4220" s="19"/>
      <c r="I4220" s="19"/>
      <c r="J4220" s="21"/>
      <c r="K4220" s="19"/>
    </row>
    <row r="4221" spans="3:11" x14ac:dyDescent="0.2">
      <c r="C4221" s="19"/>
      <c r="D4221" s="19"/>
      <c r="E4221" s="19"/>
      <c r="F4221" s="20"/>
      <c r="G4221" s="19"/>
      <c r="H4221" s="19"/>
      <c r="I4221" s="19"/>
      <c r="J4221" s="21"/>
      <c r="K4221" s="19"/>
    </row>
    <row r="4222" spans="3:11" x14ac:dyDescent="0.2">
      <c r="C4222" s="19"/>
      <c r="D4222" s="19"/>
      <c r="E4222" s="19"/>
      <c r="F4222" s="20"/>
      <c r="G4222" s="19"/>
      <c r="H4222" s="19"/>
      <c r="I4222" s="19"/>
      <c r="J4222" s="21"/>
      <c r="K4222" s="19"/>
    </row>
    <row r="4223" spans="3:11" x14ac:dyDescent="0.2">
      <c r="C4223" s="19"/>
      <c r="D4223" s="19"/>
      <c r="E4223" s="19"/>
      <c r="F4223" s="20"/>
      <c r="G4223" s="19"/>
      <c r="H4223" s="19"/>
      <c r="I4223" s="19"/>
      <c r="J4223" s="21"/>
      <c r="K4223" s="19"/>
    </row>
    <row r="4224" spans="3:11" x14ac:dyDescent="0.2">
      <c r="C4224" s="19"/>
      <c r="D4224" s="19"/>
      <c r="E4224" s="19"/>
      <c r="F4224" s="20"/>
      <c r="G4224" s="19"/>
      <c r="H4224" s="19"/>
      <c r="I4224" s="19"/>
      <c r="J4224" s="21"/>
      <c r="K4224" s="19"/>
    </row>
    <row r="4225" spans="3:11" x14ac:dyDescent="0.2">
      <c r="C4225" s="19"/>
      <c r="D4225" s="19"/>
      <c r="E4225" s="19"/>
      <c r="F4225" s="20"/>
      <c r="G4225" s="19"/>
      <c r="H4225" s="19"/>
      <c r="I4225" s="19"/>
      <c r="J4225" s="21"/>
      <c r="K4225" s="19"/>
    </row>
    <row r="4226" spans="3:11" x14ac:dyDescent="0.2">
      <c r="C4226" s="19"/>
      <c r="D4226" s="19"/>
      <c r="E4226" s="19"/>
      <c r="F4226" s="20"/>
      <c r="G4226" s="19"/>
      <c r="H4226" s="19"/>
      <c r="I4226" s="19"/>
      <c r="J4226" s="21"/>
      <c r="K4226" s="19"/>
    </row>
    <row r="4227" spans="3:11" x14ac:dyDescent="0.2">
      <c r="C4227" s="19"/>
      <c r="D4227" s="19"/>
      <c r="E4227" s="19"/>
      <c r="F4227" s="20"/>
      <c r="G4227" s="19"/>
      <c r="H4227" s="19"/>
      <c r="I4227" s="19"/>
      <c r="J4227" s="21"/>
      <c r="K4227" s="19"/>
    </row>
    <row r="4228" spans="3:11" x14ac:dyDescent="0.2">
      <c r="C4228" s="19"/>
      <c r="D4228" s="19"/>
      <c r="E4228" s="19"/>
      <c r="F4228" s="20"/>
      <c r="G4228" s="19"/>
      <c r="H4228" s="19"/>
      <c r="I4228" s="19"/>
      <c r="J4228" s="21"/>
      <c r="K4228" s="19"/>
    </row>
    <row r="4229" spans="3:11" x14ac:dyDescent="0.2">
      <c r="C4229" s="19"/>
      <c r="D4229" s="19"/>
      <c r="E4229" s="19"/>
      <c r="F4229" s="20"/>
      <c r="G4229" s="19"/>
      <c r="H4229" s="19"/>
      <c r="I4229" s="19"/>
      <c r="J4229" s="21"/>
      <c r="K4229" s="19"/>
    </row>
    <row r="4230" spans="3:11" x14ac:dyDescent="0.2">
      <c r="C4230" s="19"/>
      <c r="D4230" s="19"/>
      <c r="E4230" s="19"/>
      <c r="F4230" s="20"/>
      <c r="G4230" s="19"/>
      <c r="H4230" s="19"/>
      <c r="I4230" s="19"/>
      <c r="J4230" s="21"/>
      <c r="K4230" s="19"/>
    </row>
    <row r="4231" spans="3:11" x14ac:dyDescent="0.2">
      <c r="C4231" s="19"/>
      <c r="D4231" s="19"/>
      <c r="E4231" s="19"/>
      <c r="F4231" s="20"/>
      <c r="G4231" s="19"/>
      <c r="H4231" s="19"/>
      <c r="I4231" s="19"/>
      <c r="J4231" s="21"/>
      <c r="K4231" s="19"/>
    </row>
    <row r="4232" spans="3:11" x14ac:dyDescent="0.2">
      <c r="C4232" s="19"/>
      <c r="D4232" s="19"/>
      <c r="E4232" s="19"/>
      <c r="F4232" s="20"/>
      <c r="G4232" s="19"/>
      <c r="H4232" s="19"/>
      <c r="I4232" s="19"/>
      <c r="J4232" s="21"/>
      <c r="K4232" s="19"/>
    </row>
    <row r="4233" spans="3:11" x14ac:dyDescent="0.2">
      <c r="C4233" s="19"/>
      <c r="D4233" s="19"/>
      <c r="E4233" s="19"/>
      <c r="F4233" s="20"/>
      <c r="G4233" s="19"/>
      <c r="H4233" s="19"/>
      <c r="I4233" s="19"/>
      <c r="J4233" s="21"/>
      <c r="K4233" s="19"/>
    </row>
    <row r="4234" spans="3:11" x14ac:dyDescent="0.2">
      <c r="C4234" s="19"/>
      <c r="D4234" s="19"/>
      <c r="E4234" s="19"/>
      <c r="F4234" s="20"/>
      <c r="G4234" s="19"/>
      <c r="H4234" s="19"/>
      <c r="I4234" s="19"/>
      <c r="J4234" s="21"/>
      <c r="K4234" s="19"/>
    </row>
    <row r="4235" spans="3:11" x14ac:dyDescent="0.2">
      <c r="C4235" s="19"/>
      <c r="D4235" s="19"/>
      <c r="E4235" s="19"/>
      <c r="F4235" s="20"/>
      <c r="G4235" s="19"/>
      <c r="H4235" s="19"/>
      <c r="I4235" s="19"/>
      <c r="J4235" s="21"/>
      <c r="K4235" s="19"/>
    </row>
    <row r="4236" spans="3:11" x14ac:dyDescent="0.2">
      <c r="C4236" s="19"/>
      <c r="D4236" s="19"/>
      <c r="E4236" s="19"/>
      <c r="F4236" s="20"/>
      <c r="G4236" s="19"/>
      <c r="H4236" s="19"/>
      <c r="I4236" s="19"/>
      <c r="J4236" s="21"/>
      <c r="K4236" s="19"/>
    </row>
    <row r="4237" spans="3:11" x14ac:dyDescent="0.2">
      <c r="C4237" s="19"/>
      <c r="D4237" s="19"/>
      <c r="E4237" s="19"/>
      <c r="F4237" s="20"/>
      <c r="G4237" s="19"/>
      <c r="H4237" s="19"/>
      <c r="I4237" s="19"/>
      <c r="J4237" s="21"/>
      <c r="K4237" s="19"/>
    </row>
    <row r="4238" spans="3:11" x14ac:dyDescent="0.2">
      <c r="C4238" s="19"/>
      <c r="D4238" s="19"/>
      <c r="E4238" s="19"/>
      <c r="F4238" s="20"/>
      <c r="G4238" s="19"/>
      <c r="H4238" s="19"/>
      <c r="I4238" s="19"/>
      <c r="J4238" s="21"/>
      <c r="K4238" s="19"/>
    </row>
    <row r="4239" spans="3:11" x14ac:dyDescent="0.2">
      <c r="C4239" s="19"/>
      <c r="D4239" s="19"/>
      <c r="E4239" s="19"/>
      <c r="F4239" s="20"/>
      <c r="G4239" s="19"/>
      <c r="H4239" s="19"/>
      <c r="I4239" s="19"/>
      <c r="J4239" s="19"/>
      <c r="K4239" s="19"/>
    </row>
    <row r="4240" spans="3:11" x14ac:dyDescent="0.2">
      <c r="C4240" s="19"/>
      <c r="D4240" s="19"/>
      <c r="E4240" s="19"/>
      <c r="F4240" s="20"/>
      <c r="G4240" s="19"/>
      <c r="H4240" s="19"/>
      <c r="I4240" s="19"/>
      <c r="J4240" s="19"/>
      <c r="K4240" s="19"/>
    </row>
    <row r="4241" spans="3:11" x14ac:dyDescent="0.2">
      <c r="C4241" s="19"/>
      <c r="D4241" s="19"/>
      <c r="E4241" s="19"/>
      <c r="F4241" s="20"/>
      <c r="G4241" s="19"/>
      <c r="H4241" s="19"/>
      <c r="I4241" s="19"/>
      <c r="J4241" s="19"/>
      <c r="K4241" s="19"/>
    </row>
    <row r="4242" spans="3:11" x14ac:dyDescent="0.2">
      <c r="C4242" s="19"/>
      <c r="D4242" s="19"/>
      <c r="E4242" s="19"/>
      <c r="F4242" s="20"/>
      <c r="G4242" s="19"/>
      <c r="H4242" s="19"/>
      <c r="I4242" s="19"/>
      <c r="J4242" s="21"/>
      <c r="K4242" s="19"/>
    </row>
    <row r="4243" spans="3:11" x14ac:dyDescent="0.2">
      <c r="C4243" s="19"/>
      <c r="D4243" s="19"/>
      <c r="E4243" s="19"/>
      <c r="F4243" s="20"/>
      <c r="G4243" s="19"/>
      <c r="H4243" s="19"/>
      <c r="I4243" s="19"/>
      <c r="J4243" s="19"/>
      <c r="K4243" s="19"/>
    </row>
    <row r="4244" spans="3:11" x14ac:dyDescent="0.2">
      <c r="C4244" s="19"/>
      <c r="D4244" s="19"/>
      <c r="E4244" s="19"/>
      <c r="F4244" s="20"/>
      <c r="G4244" s="19"/>
      <c r="H4244" s="19"/>
      <c r="I4244" s="19"/>
      <c r="J4244" s="19"/>
      <c r="K4244" s="19"/>
    </row>
    <row r="4245" spans="3:11" x14ac:dyDescent="0.2">
      <c r="C4245" s="19"/>
      <c r="D4245" s="19"/>
      <c r="E4245" s="19"/>
      <c r="F4245" s="20"/>
      <c r="G4245" s="19"/>
      <c r="H4245" s="19"/>
      <c r="I4245" s="19"/>
      <c r="J4245" s="19"/>
      <c r="K4245" s="19"/>
    </row>
    <row r="4246" spans="3:11" x14ac:dyDescent="0.2">
      <c r="C4246" s="19"/>
      <c r="D4246" s="19"/>
      <c r="E4246" s="19"/>
      <c r="F4246" s="20"/>
      <c r="G4246" s="19"/>
      <c r="H4246" s="19"/>
      <c r="I4246" s="19"/>
      <c r="J4246" s="19"/>
      <c r="K4246" s="19"/>
    </row>
    <row r="4247" spans="3:11" x14ac:dyDescent="0.2">
      <c r="C4247" s="19"/>
      <c r="D4247" s="19"/>
      <c r="E4247" s="19"/>
      <c r="F4247" s="20"/>
      <c r="G4247" s="19"/>
      <c r="H4247" s="19"/>
      <c r="I4247" s="19"/>
      <c r="J4247" s="19"/>
      <c r="K4247" s="19"/>
    </row>
    <row r="4248" spans="3:11" x14ac:dyDescent="0.2">
      <c r="C4248" s="19"/>
      <c r="D4248" s="19"/>
      <c r="E4248" s="19"/>
      <c r="F4248" s="20"/>
      <c r="G4248" s="19"/>
      <c r="H4248" s="19"/>
      <c r="I4248" s="19"/>
      <c r="J4248" s="19"/>
      <c r="K4248" s="19"/>
    </row>
    <row r="4249" spans="3:11" x14ac:dyDescent="0.2">
      <c r="C4249" s="19"/>
      <c r="D4249" s="19"/>
      <c r="E4249" s="19"/>
      <c r="F4249" s="20"/>
      <c r="G4249" s="19"/>
      <c r="H4249" s="19"/>
      <c r="I4249" s="19"/>
      <c r="J4249" s="19"/>
      <c r="K4249" s="19"/>
    </row>
    <row r="4250" spans="3:11" x14ac:dyDescent="0.2">
      <c r="C4250" s="19"/>
      <c r="D4250" s="19"/>
      <c r="E4250" s="19"/>
      <c r="F4250" s="20"/>
      <c r="G4250" s="19"/>
      <c r="H4250" s="19"/>
      <c r="I4250" s="19"/>
      <c r="J4250" s="19"/>
      <c r="K4250" s="19"/>
    </row>
    <row r="4251" spans="3:11" x14ac:dyDescent="0.2">
      <c r="C4251" s="19"/>
      <c r="D4251" s="19"/>
      <c r="E4251" s="19"/>
      <c r="F4251" s="20"/>
      <c r="G4251" s="19"/>
      <c r="H4251" s="19"/>
      <c r="I4251" s="19"/>
      <c r="J4251" s="19"/>
      <c r="K4251" s="19"/>
    </row>
    <row r="4252" spans="3:11" x14ac:dyDescent="0.2">
      <c r="C4252" s="19"/>
      <c r="D4252" s="19"/>
      <c r="E4252" s="19"/>
      <c r="F4252" s="20"/>
      <c r="G4252" s="19"/>
      <c r="H4252" s="19"/>
      <c r="I4252" s="19"/>
      <c r="J4252" s="21"/>
      <c r="K4252" s="19"/>
    </row>
    <row r="4253" spans="3:11" x14ac:dyDescent="0.2">
      <c r="C4253" s="19"/>
      <c r="D4253" s="19"/>
      <c r="E4253" s="19"/>
      <c r="F4253" s="20"/>
      <c r="G4253" s="19"/>
      <c r="H4253" s="19"/>
      <c r="I4253" s="19"/>
      <c r="J4253" s="21"/>
      <c r="K4253" s="19"/>
    </row>
    <row r="4254" spans="3:11" x14ac:dyDescent="0.2">
      <c r="C4254" s="19"/>
      <c r="D4254" s="19"/>
      <c r="E4254" s="19"/>
      <c r="F4254" s="20"/>
      <c r="G4254" s="19"/>
      <c r="H4254" s="19"/>
      <c r="I4254" s="19"/>
      <c r="J4254" s="21"/>
      <c r="K4254" s="19"/>
    </row>
    <row r="4255" spans="3:11" x14ac:dyDescent="0.2">
      <c r="C4255" s="19"/>
      <c r="D4255" s="19"/>
      <c r="E4255" s="19"/>
      <c r="F4255" s="20"/>
      <c r="G4255" s="19"/>
      <c r="H4255" s="19"/>
      <c r="I4255" s="19"/>
      <c r="J4255" s="21"/>
      <c r="K4255" s="19"/>
    </row>
    <row r="4256" spans="3:11" x14ac:dyDescent="0.2">
      <c r="C4256" s="19"/>
      <c r="D4256" s="19"/>
      <c r="E4256" s="19"/>
      <c r="F4256" s="20"/>
      <c r="G4256" s="19"/>
      <c r="H4256" s="19"/>
      <c r="I4256" s="19"/>
      <c r="J4256" s="21"/>
      <c r="K4256" s="19"/>
    </row>
    <row r="4257" spans="3:11" x14ac:dyDescent="0.2">
      <c r="C4257" s="19"/>
      <c r="D4257" s="19"/>
      <c r="E4257" s="19"/>
      <c r="F4257" s="20"/>
      <c r="G4257" s="19"/>
      <c r="H4257" s="19"/>
      <c r="I4257" s="19"/>
      <c r="J4257" s="21"/>
      <c r="K4257" s="19"/>
    </row>
    <row r="4258" spans="3:11" x14ac:dyDescent="0.2">
      <c r="C4258" s="19"/>
      <c r="D4258" s="19"/>
      <c r="E4258" s="19"/>
      <c r="F4258" s="20"/>
      <c r="G4258" s="19"/>
      <c r="H4258" s="19"/>
      <c r="I4258" s="19"/>
      <c r="J4258" s="21"/>
      <c r="K4258" s="19"/>
    </row>
    <row r="4259" spans="3:11" x14ac:dyDescent="0.2">
      <c r="C4259" s="19"/>
      <c r="D4259" s="19"/>
      <c r="E4259" s="19"/>
      <c r="F4259" s="20"/>
      <c r="G4259" s="19"/>
      <c r="H4259" s="19"/>
      <c r="I4259" s="19"/>
      <c r="J4259" s="21"/>
      <c r="K4259" s="19"/>
    </row>
    <row r="4260" spans="3:11" x14ac:dyDescent="0.2">
      <c r="C4260" s="19"/>
      <c r="D4260" s="19"/>
      <c r="E4260" s="19"/>
      <c r="F4260" s="20"/>
      <c r="G4260" s="19"/>
      <c r="H4260" s="19"/>
      <c r="I4260" s="19"/>
      <c r="J4260" s="21"/>
      <c r="K4260" s="19"/>
    </row>
    <row r="4261" spans="3:11" x14ac:dyDescent="0.2">
      <c r="C4261" s="19"/>
      <c r="D4261" s="19"/>
      <c r="E4261" s="19"/>
      <c r="F4261" s="20"/>
      <c r="G4261" s="19"/>
      <c r="H4261" s="19"/>
      <c r="I4261" s="19"/>
      <c r="J4261" s="21"/>
      <c r="K4261" s="19"/>
    </row>
    <row r="4262" spans="3:11" x14ac:dyDescent="0.2">
      <c r="C4262" s="19"/>
      <c r="D4262" s="19"/>
      <c r="E4262" s="19"/>
      <c r="F4262" s="20"/>
      <c r="G4262" s="19"/>
      <c r="H4262" s="19"/>
      <c r="I4262" s="19"/>
      <c r="J4262" s="21"/>
      <c r="K4262" s="19"/>
    </row>
    <row r="4263" spans="3:11" x14ac:dyDescent="0.2">
      <c r="C4263" s="19"/>
      <c r="D4263" s="19"/>
      <c r="E4263" s="19"/>
      <c r="F4263" s="20"/>
      <c r="G4263" s="19"/>
      <c r="H4263" s="19"/>
      <c r="I4263" s="19"/>
      <c r="J4263" s="21"/>
      <c r="K4263" s="19"/>
    </row>
    <row r="4264" spans="3:11" x14ac:dyDescent="0.2">
      <c r="C4264" s="19"/>
      <c r="D4264" s="19"/>
      <c r="E4264" s="19"/>
      <c r="F4264" s="20"/>
      <c r="G4264" s="19"/>
      <c r="H4264" s="19"/>
      <c r="I4264" s="19"/>
      <c r="J4264" s="21"/>
      <c r="K4264" s="19"/>
    </row>
    <row r="4265" spans="3:11" x14ac:dyDescent="0.2">
      <c r="C4265" s="19"/>
      <c r="D4265" s="19"/>
      <c r="E4265" s="19"/>
      <c r="F4265" s="20"/>
      <c r="G4265" s="19"/>
      <c r="H4265" s="19"/>
      <c r="I4265" s="19"/>
      <c r="J4265" s="21"/>
      <c r="K4265" s="19"/>
    </row>
    <row r="4266" spans="3:11" x14ac:dyDescent="0.2">
      <c r="C4266" s="19"/>
      <c r="D4266" s="19"/>
      <c r="E4266" s="19"/>
      <c r="F4266" s="20"/>
      <c r="G4266" s="19"/>
      <c r="H4266" s="19"/>
      <c r="I4266" s="19"/>
      <c r="J4266" s="19"/>
      <c r="K4266" s="19"/>
    </row>
    <row r="4267" spans="3:11" x14ac:dyDescent="0.2">
      <c r="C4267" s="19"/>
      <c r="D4267" s="19"/>
      <c r="E4267" s="19"/>
      <c r="F4267" s="20"/>
      <c r="G4267" s="19"/>
      <c r="H4267" s="19"/>
      <c r="I4267" s="19"/>
      <c r="J4267" s="21"/>
      <c r="K4267" s="19"/>
    </row>
    <row r="4268" spans="3:11" x14ac:dyDescent="0.2">
      <c r="C4268" s="19"/>
      <c r="D4268" s="19"/>
      <c r="E4268" s="19"/>
      <c r="F4268" s="20"/>
      <c r="G4268" s="19"/>
      <c r="H4268" s="19"/>
      <c r="I4268" s="19"/>
      <c r="J4268" s="19"/>
      <c r="K4268" s="19"/>
    </row>
    <row r="4269" spans="3:11" x14ac:dyDescent="0.2">
      <c r="C4269" s="19"/>
      <c r="D4269" s="19"/>
      <c r="E4269" s="19"/>
      <c r="F4269" s="20"/>
      <c r="G4269" s="19"/>
      <c r="H4269" s="19"/>
      <c r="I4269" s="19"/>
      <c r="J4269" s="19"/>
      <c r="K4269" s="19"/>
    </row>
    <row r="4270" spans="3:11" x14ac:dyDescent="0.2">
      <c r="C4270" s="19"/>
      <c r="D4270" s="19"/>
      <c r="E4270" s="19"/>
      <c r="F4270" s="20"/>
      <c r="G4270" s="19"/>
      <c r="H4270" s="19"/>
      <c r="I4270" s="19"/>
      <c r="J4270" s="19"/>
      <c r="K4270" s="19"/>
    </row>
    <row r="4271" spans="3:11" x14ac:dyDescent="0.2">
      <c r="C4271" s="19"/>
      <c r="D4271" s="19"/>
      <c r="E4271" s="19"/>
      <c r="F4271" s="20"/>
      <c r="G4271" s="19"/>
      <c r="H4271" s="19"/>
      <c r="I4271" s="19"/>
      <c r="J4271" s="21"/>
      <c r="K4271" s="19"/>
    </row>
    <row r="4272" spans="3:11" x14ac:dyDescent="0.2">
      <c r="C4272" s="19"/>
      <c r="D4272" s="19"/>
      <c r="E4272" s="19"/>
      <c r="F4272" s="20"/>
      <c r="G4272" s="19"/>
      <c r="H4272" s="19"/>
      <c r="I4272" s="19"/>
      <c r="J4272" s="21"/>
      <c r="K4272" s="19"/>
    </row>
    <row r="4273" spans="3:11" x14ac:dyDescent="0.2">
      <c r="C4273" s="19"/>
      <c r="D4273" s="19"/>
      <c r="E4273" s="19"/>
      <c r="F4273" s="20"/>
      <c r="G4273" s="19"/>
      <c r="H4273" s="19"/>
      <c r="I4273" s="19"/>
      <c r="J4273" s="21"/>
      <c r="K4273" s="19"/>
    </row>
    <row r="4274" spans="3:11" x14ac:dyDescent="0.2">
      <c r="C4274" s="19"/>
      <c r="D4274" s="19"/>
      <c r="E4274" s="19"/>
      <c r="F4274" s="20"/>
      <c r="G4274" s="19"/>
      <c r="H4274" s="19"/>
      <c r="I4274" s="19"/>
      <c r="J4274" s="21"/>
      <c r="K4274" s="19"/>
    </row>
    <row r="4275" spans="3:11" x14ac:dyDescent="0.2">
      <c r="C4275" s="19"/>
      <c r="D4275" s="19"/>
      <c r="E4275" s="19"/>
      <c r="F4275" s="20"/>
      <c r="G4275" s="19"/>
      <c r="H4275" s="19"/>
      <c r="I4275" s="19"/>
      <c r="J4275" s="21"/>
      <c r="K4275" s="19"/>
    </row>
    <row r="4276" spans="3:11" x14ac:dyDescent="0.2">
      <c r="C4276" s="19"/>
      <c r="D4276" s="19"/>
      <c r="E4276" s="19"/>
      <c r="F4276" s="20"/>
      <c r="G4276" s="19"/>
      <c r="H4276" s="19"/>
      <c r="I4276" s="19"/>
      <c r="J4276" s="21"/>
      <c r="K4276" s="19"/>
    </row>
    <row r="4277" spans="3:11" x14ac:dyDescent="0.2">
      <c r="C4277" s="19"/>
      <c r="D4277" s="19"/>
      <c r="E4277" s="19"/>
      <c r="F4277" s="20"/>
      <c r="G4277" s="19"/>
      <c r="H4277" s="19"/>
      <c r="I4277" s="19"/>
      <c r="J4277" s="21"/>
      <c r="K4277" s="19"/>
    </row>
    <row r="4278" spans="3:11" x14ac:dyDescent="0.2">
      <c r="C4278" s="19"/>
      <c r="D4278" s="19"/>
      <c r="E4278" s="19"/>
      <c r="F4278" s="20"/>
      <c r="G4278" s="19"/>
      <c r="H4278" s="19"/>
      <c r="I4278" s="19"/>
      <c r="J4278" s="21"/>
      <c r="K4278" s="19"/>
    </row>
    <row r="4279" spans="3:11" x14ac:dyDescent="0.2">
      <c r="C4279" s="19"/>
      <c r="D4279" s="19"/>
      <c r="E4279" s="19"/>
      <c r="F4279" s="20"/>
      <c r="G4279" s="19"/>
      <c r="H4279" s="19"/>
      <c r="I4279" s="19"/>
      <c r="J4279" s="21"/>
      <c r="K4279" s="19"/>
    </row>
    <row r="4280" spans="3:11" x14ac:dyDescent="0.2">
      <c r="C4280" s="19"/>
      <c r="D4280" s="19"/>
      <c r="E4280" s="19"/>
      <c r="F4280" s="20"/>
      <c r="G4280" s="19"/>
      <c r="H4280" s="19"/>
      <c r="I4280" s="19"/>
      <c r="J4280" s="21"/>
      <c r="K4280" s="19"/>
    </row>
    <row r="4281" spans="3:11" x14ac:dyDescent="0.2">
      <c r="C4281" s="19"/>
      <c r="D4281" s="19"/>
      <c r="E4281" s="19"/>
      <c r="F4281" s="20"/>
      <c r="G4281" s="19"/>
      <c r="H4281" s="19"/>
      <c r="I4281" s="19"/>
      <c r="J4281" s="21"/>
      <c r="K4281" s="19"/>
    </row>
    <row r="4282" spans="3:11" x14ac:dyDescent="0.2">
      <c r="C4282" s="19"/>
      <c r="D4282" s="19"/>
      <c r="E4282" s="19"/>
      <c r="F4282" s="20"/>
      <c r="G4282" s="19"/>
      <c r="H4282" s="19"/>
      <c r="I4282" s="19"/>
      <c r="J4282" s="21"/>
      <c r="K4282" s="19"/>
    </row>
    <row r="4283" spans="3:11" x14ac:dyDescent="0.2">
      <c r="C4283" s="19"/>
      <c r="D4283" s="19"/>
      <c r="E4283" s="19"/>
      <c r="F4283" s="20"/>
      <c r="G4283" s="19"/>
      <c r="H4283" s="19"/>
      <c r="I4283" s="19"/>
      <c r="J4283" s="21"/>
      <c r="K4283" s="19"/>
    </row>
    <row r="4284" spans="3:11" x14ac:dyDescent="0.2">
      <c r="C4284" s="19"/>
      <c r="D4284" s="19"/>
      <c r="E4284" s="19"/>
      <c r="F4284" s="20"/>
      <c r="G4284" s="19"/>
      <c r="H4284" s="19"/>
      <c r="I4284" s="19"/>
      <c r="J4284" s="21"/>
      <c r="K4284" s="19"/>
    </row>
    <row r="4285" spans="3:11" x14ac:dyDescent="0.2">
      <c r="C4285" s="19"/>
      <c r="D4285" s="19"/>
      <c r="E4285" s="19"/>
      <c r="F4285" s="20"/>
      <c r="G4285" s="19"/>
      <c r="H4285" s="19"/>
      <c r="I4285" s="19"/>
      <c r="J4285" s="21"/>
      <c r="K4285" s="19"/>
    </row>
    <row r="4286" spans="3:11" x14ac:dyDescent="0.2">
      <c r="C4286" s="19"/>
      <c r="D4286" s="19"/>
      <c r="E4286" s="19"/>
      <c r="F4286" s="20"/>
      <c r="G4286" s="19"/>
      <c r="H4286" s="19"/>
      <c r="I4286" s="19"/>
      <c r="J4286" s="21"/>
      <c r="K4286" s="19"/>
    </row>
    <row r="4287" spans="3:11" x14ac:dyDescent="0.2">
      <c r="C4287" s="19"/>
      <c r="D4287" s="19"/>
      <c r="E4287" s="19"/>
      <c r="F4287" s="20"/>
      <c r="G4287" s="19"/>
      <c r="H4287" s="19"/>
      <c r="I4287" s="19"/>
      <c r="J4287" s="21"/>
      <c r="K4287" s="19"/>
    </row>
    <row r="4288" spans="3:11" x14ac:dyDescent="0.2">
      <c r="C4288" s="19"/>
      <c r="D4288" s="19"/>
      <c r="E4288" s="19"/>
      <c r="F4288" s="20"/>
      <c r="G4288" s="19"/>
      <c r="H4288" s="19"/>
      <c r="I4288" s="19"/>
      <c r="J4288" s="21"/>
      <c r="K4288" s="19"/>
    </row>
    <row r="4289" spans="3:11" x14ac:dyDescent="0.2">
      <c r="C4289" s="19"/>
      <c r="D4289" s="19"/>
      <c r="E4289" s="19"/>
      <c r="F4289" s="20"/>
      <c r="G4289" s="19"/>
      <c r="H4289" s="19"/>
      <c r="I4289" s="19"/>
      <c r="J4289" s="21"/>
      <c r="K4289" s="19"/>
    </row>
    <row r="4290" spans="3:11" x14ac:dyDescent="0.2">
      <c r="C4290" s="19"/>
      <c r="D4290" s="19"/>
      <c r="E4290" s="19"/>
      <c r="F4290" s="20"/>
      <c r="G4290" s="19"/>
      <c r="H4290" s="19"/>
      <c r="I4290" s="19"/>
      <c r="J4290" s="21"/>
      <c r="K4290" s="19"/>
    </row>
    <row r="4291" spans="3:11" x14ac:dyDescent="0.2">
      <c r="C4291" s="19"/>
      <c r="D4291" s="19"/>
      <c r="E4291" s="19"/>
      <c r="F4291" s="20"/>
      <c r="G4291" s="19"/>
      <c r="H4291" s="19"/>
      <c r="I4291" s="19"/>
      <c r="J4291" s="21"/>
      <c r="K4291" s="19"/>
    </row>
    <row r="4292" spans="3:11" x14ac:dyDescent="0.2">
      <c r="C4292" s="19"/>
      <c r="D4292" s="19"/>
      <c r="E4292" s="19"/>
      <c r="F4292" s="20"/>
      <c r="G4292" s="19"/>
      <c r="H4292" s="19"/>
      <c r="I4292" s="19"/>
      <c r="J4292" s="19"/>
      <c r="K4292" s="19"/>
    </row>
    <row r="4293" spans="3:11" x14ac:dyDescent="0.2">
      <c r="C4293" s="19"/>
      <c r="D4293" s="19"/>
      <c r="E4293" s="19"/>
      <c r="F4293" s="20"/>
      <c r="G4293" s="19"/>
      <c r="H4293" s="19"/>
      <c r="I4293" s="19"/>
      <c r="J4293" s="19"/>
      <c r="K4293" s="19"/>
    </row>
    <row r="4294" spans="3:11" x14ac:dyDescent="0.2">
      <c r="C4294" s="19"/>
      <c r="D4294" s="19"/>
      <c r="E4294" s="19"/>
      <c r="F4294" s="20"/>
      <c r="G4294" s="19"/>
      <c r="H4294" s="19"/>
      <c r="I4294" s="19"/>
      <c r="J4294" s="19"/>
      <c r="K4294" s="19"/>
    </row>
    <row r="4295" spans="3:11" x14ac:dyDescent="0.2">
      <c r="C4295" s="19"/>
      <c r="D4295" s="19"/>
      <c r="E4295" s="19"/>
      <c r="F4295" s="20"/>
      <c r="G4295" s="19"/>
      <c r="H4295" s="19"/>
      <c r="I4295" s="19"/>
      <c r="J4295" s="21"/>
      <c r="K4295" s="19"/>
    </row>
    <row r="4296" spans="3:11" x14ac:dyDescent="0.2">
      <c r="C4296" s="19"/>
      <c r="D4296" s="19"/>
      <c r="E4296" s="19"/>
      <c r="F4296" s="20"/>
      <c r="G4296" s="19"/>
      <c r="H4296" s="19"/>
      <c r="I4296" s="19"/>
      <c r="J4296" s="19"/>
      <c r="K4296" s="19"/>
    </row>
    <row r="4297" spans="3:11" x14ac:dyDescent="0.2">
      <c r="C4297" s="19"/>
      <c r="D4297" s="19"/>
      <c r="E4297" s="19"/>
      <c r="F4297" s="20"/>
      <c r="G4297" s="19"/>
      <c r="H4297" s="19"/>
      <c r="I4297" s="19"/>
      <c r="J4297" s="19"/>
      <c r="K4297" s="19"/>
    </row>
    <row r="4298" spans="3:11" x14ac:dyDescent="0.2">
      <c r="C4298" s="19"/>
      <c r="D4298" s="19"/>
      <c r="E4298" s="19"/>
      <c r="F4298" s="20"/>
      <c r="G4298" s="19"/>
      <c r="H4298" s="19"/>
      <c r="I4298" s="19"/>
      <c r="J4298" s="21"/>
      <c r="K4298" s="19"/>
    </row>
    <row r="4299" spans="3:11" x14ac:dyDescent="0.2">
      <c r="C4299" s="19"/>
      <c r="D4299" s="19"/>
      <c r="E4299" s="19"/>
      <c r="F4299" s="20"/>
      <c r="G4299" s="19"/>
      <c r="H4299" s="19"/>
      <c r="I4299" s="19"/>
      <c r="J4299" s="19"/>
      <c r="K4299" s="19"/>
    </row>
    <row r="4300" spans="3:11" x14ac:dyDescent="0.2">
      <c r="C4300" s="19"/>
      <c r="D4300" s="19"/>
      <c r="E4300" s="19"/>
      <c r="F4300" s="20"/>
      <c r="G4300" s="19"/>
      <c r="H4300" s="19"/>
      <c r="I4300" s="19"/>
      <c r="J4300" s="19"/>
      <c r="K4300" s="19"/>
    </row>
    <row r="4301" spans="3:11" x14ac:dyDescent="0.2">
      <c r="C4301" s="19"/>
      <c r="D4301" s="19"/>
      <c r="E4301" s="19"/>
      <c r="F4301" s="20"/>
      <c r="G4301" s="19"/>
      <c r="H4301" s="19"/>
      <c r="I4301" s="19"/>
      <c r="J4301" s="21"/>
      <c r="K4301" s="19"/>
    </row>
    <row r="4302" spans="3:11" x14ac:dyDescent="0.2">
      <c r="C4302" s="19"/>
      <c r="D4302" s="19"/>
      <c r="E4302" s="19"/>
      <c r="F4302" s="20"/>
      <c r="G4302" s="19"/>
      <c r="H4302" s="19"/>
      <c r="I4302" s="19"/>
      <c r="J4302" s="21"/>
      <c r="K4302" s="19"/>
    </row>
    <row r="4303" spans="3:11" x14ac:dyDescent="0.2">
      <c r="C4303" s="19"/>
      <c r="D4303" s="19"/>
      <c r="E4303" s="19"/>
      <c r="F4303" s="20"/>
      <c r="G4303" s="19"/>
      <c r="H4303" s="19"/>
      <c r="I4303" s="19"/>
      <c r="J4303" s="21"/>
      <c r="K4303" s="19"/>
    </row>
    <row r="4304" spans="3:11" x14ac:dyDescent="0.2">
      <c r="C4304" s="19"/>
      <c r="D4304" s="19"/>
      <c r="E4304" s="19"/>
      <c r="F4304" s="20"/>
      <c r="G4304" s="19"/>
      <c r="H4304" s="19"/>
      <c r="I4304" s="19"/>
      <c r="J4304" s="21"/>
      <c r="K4304" s="19"/>
    </row>
    <row r="4305" spans="3:11" x14ac:dyDescent="0.2">
      <c r="C4305" s="19"/>
      <c r="D4305" s="19"/>
      <c r="E4305" s="19"/>
      <c r="F4305" s="20"/>
      <c r="G4305" s="19"/>
      <c r="H4305" s="19"/>
      <c r="I4305" s="19"/>
      <c r="J4305" s="21"/>
      <c r="K4305" s="19"/>
    </row>
    <row r="4306" spans="3:11" x14ac:dyDescent="0.2">
      <c r="C4306" s="19"/>
      <c r="D4306" s="19"/>
      <c r="E4306" s="19"/>
      <c r="F4306" s="20"/>
      <c r="G4306" s="19"/>
      <c r="H4306" s="19"/>
      <c r="I4306" s="19"/>
      <c r="J4306" s="21"/>
      <c r="K4306" s="19"/>
    </row>
    <row r="4307" spans="3:11" x14ac:dyDescent="0.2">
      <c r="C4307" s="19"/>
      <c r="D4307" s="19"/>
      <c r="E4307" s="19"/>
      <c r="F4307" s="20"/>
      <c r="G4307" s="19"/>
      <c r="H4307" s="19"/>
      <c r="I4307" s="19"/>
      <c r="J4307" s="21"/>
      <c r="K4307" s="19"/>
    </row>
    <row r="4308" spans="3:11" x14ac:dyDescent="0.2">
      <c r="C4308" s="19"/>
      <c r="D4308" s="19"/>
      <c r="E4308" s="19"/>
      <c r="F4308" s="20"/>
      <c r="G4308" s="19"/>
      <c r="H4308" s="19"/>
      <c r="I4308" s="19"/>
      <c r="J4308" s="21"/>
      <c r="K4308" s="19"/>
    </row>
    <row r="4309" spans="3:11" x14ac:dyDescent="0.2">
      <c r="C4309" s="19"/>
      <c r="D4309" s="19"/>
      <c r="E4309" s="19"/>
      <c r="F4309" s="20"/>
      <c r="G4309" s="19"/>
      <c r="H4309" s="19"/>
      <c r="I4309" s="19"/>
      <c r="J4309" s="21"/>
      <c r="K4309" s="19"/>
    </row>
    <row r="4310" spans="3:11" x14ac:dyDescent="0.2">
      <c r="C4310" s="19"/>
      <c r="D4310" s="19"/>
      <c r="E4310" s="19"/>
      <c r="F4310" s="20"/>
      <c r="G4310" s="19"/>
      <c r="H4310" s="19"/>
      <c r="I4310" s="19"/>
      <c r="J4310" s="21"/>
      <c r="K4310" s="19"/>
    </row>
    <row r="4311" spans="3:11" x14ac:dyDescent="0.2">
      <c r="C4311" s="19"/>
      <c r="D4311" s="19"/>
      <c r="E4311" s="19"/>
      <c r="F4311" s="20"/>
      <c r="G4311" s="19"/>
      <c r="H4311" s="19"/>
      <c r="I4311" s="19"/>
      <c r="J4311" s="21"/>
      <c r="K4311" s="19"/>
    </row>
    <row r="4312" spans="3:11" x14ac:dyDescent="0.2">
      <c r="C4312" s="19"/>
      <c r="D4312" s="19"/>
      <c r="E4312" s="19"/>
      <c r="F4312" s="20"/>
      <c r="G4312" s="19"/>
      <c r="H4312" s="19"/>
      <c r="I4312" s="19"/>
      <c r="J4312" s="21"/>
      <c r="K4312" s="19"/>
    </row>
    <row r="4313" spans="3:11" x14ac:dyDescent="0.2">
      <c r="C4313" s="19"/>
      <c r="D4313" s="19"/>
      <c r="E4313" s="19"/>
      <c r="F4313" s="20"/>
      <c r="G4313" s="19"/>
      <c r="H4313" s="19"/>
      <c r="I4313" s="19"/>
      <c r="J4313" s="21"/>
      <c r="K4313" s="19"/>
    </row>
    <row r="4314" spans="3:11" x14ac:dyDescent="0.2">
      <c r="C4314" s="19"/>
      <c r="D4314" s="19"/>
      <c r="E4314" s="19"/>
      <c r="F4314" s="20"/>
      <c r="G4314" s="19"/>
      <c r="H4314" s="19"/>
      <c r="I4314" s="19"/>
      <c r="J4314" s="21"/>
      <c r="K4314" s="19"/>
    </row>
    <row r="4315" spans="3:11" x14ac:dyDescent="0.2">
      <c r="C4315" s="19"/>
      <c r="D4315" s="19"/>
      <c r="E4315" s="19"/>
      <c r="F4315" s="20"/>
      <c r="G4315" s="19"/>
      <c r="H4315" s="19"/>
      <c r="I4315" s="19"/>
      <c r="J4315" s="21"/>
      <c r="K4315" s="19"/>
    </row>
    <row r="4316" spans="3:11" x14ac:dyDescent="0.2">
      <c r="C4316" s="19"/>
      <c r="D4316" s="19"/>
      <c r="E4316" s="19"/>
      <c r="F4316" s="20"/>
      <c r="G4316" s="19"/>
      <c r="H4316" s="19"/>
      <c r="I4316" s="19"/>
      <c r="J4316" s="21"/>
      <c r="K4316" s="19"/>
    </row>
    <row r="4317" spans="3:11" x14ac:dyDescent="0.2">
      <c r="C4317" s="19"/>
      <c r="D4317" s="19"/>
      <c r="E4317" s="19"/>
      <c r="F4317" s="20"/>
      <c r="G4317" s="19"/>
      <c r="H4317" s="19"/>
      <c r="I4317" s="19"/>
      <c r="J4317" s="21"/>
      <c r="K4317" s="19"/>
    </row>
    <row r="4318" spans="3:11" x14ac:dyDescent="0.2">
      <c r="C4318" s="19"/>
      <c r="D4318" s="19"/>
      <c r="E4318" s="19"/>
      <c r="F4318" s="20"/>
      <c r="G4318" s="19"/>
      <c r="H4318" s="19"/>
      <c r="I4318" s="19"/>
      <c r="J4318" s="21"/>
      <c r="K4318" s="19"/>
    </row>
    <row r="4319" spans="3:11" x14ac:dyDescent="0.2">
      <c r="C4319" s="19"/>
      <c r="D4319" s="19"/>
      <c r="E4319" s="19"/>
      <c r="F4319" s="20"/>
      <c r="G4319" s="19"/>
      <c r="H4319" s="19"/>
      <c r="I4319" s="19"/>
      <c r="J4319" s="21"/>
      <c r="K4319" s="19"/>
    </row>
    <row r="4320" spans="3:11" x14ac:dyDescent="0.2">
      <c r="C4320" s="19"/>
      <c r="D4320" s="19"/>
      <c r="E4320" s="19"/>
      <c r="F4320" s="20"/>
      <c r="G4320" s="19"/>
      <c r="H4320" s="19"/>
      <c r="I4320" s="19"/>
      <c r="J4320" s="21"/>
      <c r="K4320" s="19"/>
    </row>
    <row r="4321" spans="3:11" x14ac:dyDescent="0.2">
      <c r="C4321" s="19"/>
      <c r="D4321" s="19"/>
      <c r="E4321" s="19"/>
      <c r="F4321" s="20"/>
      <c r="G4321" s="19"/>
      <c r="H4321" s="19"/>
      <c r="I4321" s="19"/>
      <c r="J4321" s="21"/>
      <c r="K4321" s="19"/>
    </row>
    <row r="4322" spans="3:11" x14ac:dyDescent="0.2">
      <c r="C4322" s="19"/>
      <c r="D4322" s="19"/>
      <c r="E4322" s="19"/>
      <c r="F4322" s="20"/>
      <c r="G4322" s="19"/>
      <c r="H4322" s="19"/>
      <c r="I4322" s="19"/>
      <c r="J4322" s="21"/>
      <c r="K4322" s="19"/>
    </row>
    <row r="4323" spans="3:11" x14ac:dyDescent="0.2">
      <c r="C4323" s="19"/>
      <c r="D4323" s="19"/>
      <c r="E4323" s="19"/>
      <c r="F4323" s="20"/>
      <c r="G4323" s="19"/>
      <c r="H4323" s="19"/>
      <c r="I4323" s="19"/>
      <c r="J4323" s="21"/>
      <c r="K4323" s="19"/>
    </row>
    <row r="4324" spans="3:11" x14ac:dyDescent="0.2">
      <c r="C4324" s="19"/>
      <c r="D4324" s="19"/>
      <c r="E4324" s="19"/>
      <c r="F4324" s="20"/>
      <c r="G4324" s="19"/>
      <c r="H4324" s="19"/>
      <c r="I4324" s="19"/>
      <c r="J4324" s="21"/>
      <c r="K4324" s="19"/>
    </row>
    <row r="4325" spans="3:11" x14ac:dyDescent="0.2">
      <c r="C4325" s="19"/>
      <c r="D4325" s="19"/>
      <c r="E4325" s="19"/>
      <c r="F4325" s="20"/>
      <c r="G4325" s="19"/>
      <c r="H4325" s="19"/>
      <c r="I4325" s="19"/>
      <c r="J4325" s="19"/>
      <c r="K4325" s="19"/>
    </row>
    <row r="4326" spans="3:11" x14ac:dyDescent="0.2">
      <c r="C4326" s="19"/>
      <c r="D4326" s="19"/>
      <c r="E4326" s="19"/>
      <c r="F4326" s="20"/>
      <c r="G4326" s="19"/>
      <c r="H4326" s="19"/>
      <c r="I4326" s="19"/>
      <c r="J4326" s="21"/>
      <c r="K4326" s="19"/>
    </row>
    <row r="4327" spans="3:11" x14ac:dyDescent="0.2">
      <c r="C4327" s="19"/>
      <c r="D4327" s="19"/>
      <c r="E4327" s="19"/>
      <c r="F4327" s="20"/>
      <c r="G4327" s="19"/>
      <c r="H4327" s="19"/>
      <c r="I4327" s="19"/>
      <c r="J4327" s="19"/>
      <c r="K4327" s="19"/>
    </row>
    <row r="4328" spans="3:11" x14ac:dyDescent="0.2">
      <c r="C4328" s="19"/>
      <c r="D4328" s="19"/>
      <c r="E4328" s="19"/>
      <c r="F4328" s="20"/>
      <c r="G4328" s="19"/>
      <c r="H4328" s="19"/>
      <c r="I4328" s="19"/>
      <c r="J4328" s="21"/>
      <c r="K4328" s="19"/>
    </row>
    <row r="4329" spans="3:11" x14ac:dyDescent="0.2">
      <c r="C4329" s="19"/>
      <c r="D4329" s="19"/>
      <c r="E4329" s="19"/>
      <c r="F4329" s="20"/>
      <c r="G4329" s="19"/>
      <c r="H4329" s="19"/>
      <c r="I4329" s="19"/>
      <c r="J4329" s="21"/>
      <c r="K4329" s="19"/>
    </row>
    <row r="4330" spans="3:11" x14ac:dyDescent="0.2">
      <c r="C4330" s="19"/>
      <c r="D4330" s="19"/>
      <c r="E4330" s="19"/>
      <c r="F4330" s="20"/>
      <c r="G4330" s="19"/>
      <c r="H4330" s="19"/>
      <c r="I4330" s="19"/>
      <c r="J4330" s="21"/>
      <c r="K4330" s="19"/>
    </row>
    <row r="4331" spans="3:11" x14ac:dyDescent="0.2">
      <c r="C4331" s="19"/>
      <c r="D4331" s="19"/>
      <c r="E4331" s="19"/>
      <c r="F4331" s="20"/>
      <c r="G4331" s="19"/>
      <c r="H4331" s="19"/>
      <c r="I4331" s="19"/>
      <c r="J4331" s="21"/>
      <c r="K4331" s="19"/>
    </row>
    <row r="4332" spans="3:11" x14ac:dyDescent="0.2">
      <c r="C4332" s="19"/>
      <c r="D4332" s="19"/>
      <c r="E4332" s="19"/>
      <c r="F4332" s="20"/>
      <c r="G4332" s="19"/>
      <c r="H4332" s="19"/>
      <c r="I4332" s="19"/>
      <c r="J4332" s="21"/>
      <c r="K4332" s="19"/>
    </row>
    <row r="4333" spans="3:11" x14ac:dyDescent="0.2">
      <c r="C4333" s="19"/>
      <c r="D4333" s="19"/>
      <c r="E4333" s="19"/>
      <c r="F4333" s="20"/>
      <c r="G4333" s="19"/>
      <c r="H4333" s="19"/>
      <c r="I4333" s="19"/>
      <c r="J4333" s="21"/>
      <c r="K4333" s="19"/>
    </row>
    <row r="4334" spans="3:11" x14ac:dyDescent="0.2">
      <c r="C4334" s="19"/>
      <c r="D4334" s="19"/>
      <c r="E4334" s="19"/>
      <c r="F4334" s="20"/>
      <c r="G4334" s="19"/>
      <c r="H4334" s="19"/>
      <c r="I4334" s="19"/>
      <c r="J4334" s="21"/>
      <c r="K4334" s="19"/>
    </row>
    <row r="4335" spans="3:11" x14ac:dyDescent="0.2">
      <c r="C4335" s="19"/>
      <c r="D4335" s="19"/>
      <c r="E4335" s="19"/>
      <c r="F4335" s="20"/>
      <c r="G4335" s="19"/>
      <c r="H4335" s="19"/>
      <c r="I4335" s="19"/>
      <c r="J4335" s="19"/>
      <c r="K4335" s="19"/>
    </row>
    <row r="4336" spans="3:11" x14ac:dyDescent="0.2">
      <c r="C4336" s="19"/>
      <c r="D4336" s="19"/>
      <c r="E4336" s="19"/>
      <c r="F4336" s="20"/>
      <c r="G4336" s="19"/>
      <c r="H4336" s="19"/>
      <c r="I4336" s="19"/>
      <c r="J4336" s="21"/>
      <c r="K4336" s="19"/>
    </row>
    <row r="4337" spans="3:11" x14ac:dyDescent="0.2">
      <c r="C4337" s="19"/>
      <c r="D4337" s="19"/>
      <c r="E4337" s="19"/>
      <c r="F4337" s="20"/>
      <c r="G4337" s="19"/>
      <c r="H4337" s="19"/>
      <c r="I4337" s="19"/>
      <c r="J4337" s="21"/>
      <c r="K4337" s="19"/>
    </row>
    <row r="4338" spans="3:11" x14ac:dyDescent="0.2">
      <c r="C4338" s="19"/>
      <c r="D4338" s="19"/>
      <c r="E4338" s="19"/>
      <c r="F4338" s="20"/>
      <c r="G4338" s="19"/>
      <c r="H4338" s="19"/>
      <c r="I4338" s="19"/>
      <c r="J4338" s="21"/>
      <c r="K4338" s="19"/>
    </row>
    <row r="4339" spans="3:11" x14ac:dyDescent="0.2">
      <c r="C4339" s="19"/>
      <c r="D4339" s="19"/>
      <c r="E4339" s="19"/>
      <c r="F4339" s="20"/>
      <c r="G4339" s="19"/>
      <c r="H4339" s="19"/>
      <c r="I4339" s="19"/>
      <c r="J4339" s="21"/>
      <c r="K4339" s="19"/>
    </row>
    <row r="4340" spans="3:11" x14ac:dyDescent="0.2">
      <c r="C4340" s="19"/>
      <c r="D4340" s="19"/>
      <c r="E4340" s="19"/>
      <c r="F4340" s="20"/>
      <c r="G4340" s="19"/>
      <c r="H4340" s="19"/>
      <c r="I4340" s="19"/>
      <c r="J4340" s="21"/>
      <c r="K4340" s="19"/>
    </row>
    <row r="4341" spans="3:11" x14ac:dyDescent="0.2">
      <c r="C4341" s="19"/>
      <c r="D4341" s="19"/>
      <c r="E4341" s="19"/>
      <c r="F4341" s="20"/>
      <c r="G4341" s="19"/>
      <c r="H4341" s="19"/>
      <c r="I4341" s="19"/>
      <c r="J4341" s="21"/>
      <c r="K4341" s="19"/>
    </row>
    <row r="4342" spans="3:11" x14ac:dyDescent="0.2">
      <c r="C4342" s="19"/>
      <c r="D4342" s="19"/>
      <c r="E4342" s="19"/>
      <c r="F4342" s="20"/>
      <c r="G4342" s="19"/>
      <c r="H4342" s="19"/>
      <c r="I4342" s="19"/>
      <c r="J4342" s="21"/>
      <c r="K4342" s="19"/>
    </row>
    <row r="4343" spans="3:11" x14ac:dyDescent="0.2">
      <c r="C4343" s="19"/>
      <c r="D4343" s="19"/>
      <c r="E4343" s="19"/>
      <c r="F4343" s="20"/>
      <c r="G4343" s="19"/>
      <c r="H4343" s="19"/>
      <c r="I4343" s="19"/>
      <c r="J4343" s="21"/>
      <c r="K4343" s="19"/>
    </row>
    <row r="4344" spans="3:11" x14ac:dyDescent="0.2">
      <c r="C4344" s="19"/>
      <c r="D4344" s="19"/>
      <c r="E4344" s="19"/>
      <c r="F4344" s="20"/>
      <c r="G4344" s="19"/>
      <c r="H4344" s="19"/>
      <c r="I4344" s="19"/>
      <c r="J4344" s="21"/>
      <c r="K4344" s="19"/>
    </row>
    <row r="4345" spans="3:11" x14ac:dyDescent="0.2">
      <c r="C4345" s="19"/>
      <c r="D4345" s="19"/>
      <c r="E4345" s="19"/>
      <c r="F4345" s="20"/>
      <c r="G4345" s="19"/>
      <c r="H4345" s="19"/>
      <c r="I4345" s="19"/>
      <c r="J4345" s="21"/>
      <c r="K4345" s="19"/>
    </row>
    <row r="4346" spans="3:11" x14ac:dyDescent="0.2">
      <c r="C4346" s="19"/>
      <c r="D4346" s="19"/>
      <c r="E4346" s="19"/>
      <c r="F4346" s="20"/>
      <c r="G4346" s="19"/>
      <c r="H4346" s="19"/>
      <c r="I4346" s="19"/>
      <c r="J4346" s="21"/>
      <c r="K4346" s="19"/>
    </row>
    <row r="4347" spans="3:11" x14ac:dyDescent="0.2">
      <c r="C4347" s="19"/>
      <c r="D4347" s="19"/>
      <c r="E4347" s="19"/>
      <c r="F4347" s="20"/>
      <c r="G4347" s="19"/>
      <c r="H4347" s="19"/>
      <c r="I4347" s="19"/>
      <c r="J4347" s="21"/>
      <c r="K4347" s="19"/>
    </row>
    <row r="4348" spans="3:11" x14ac:dyDescent="0.2">
      <c r="C4348" s="19"/>
      <c r="D4348" s="19"/>
      <c r="E4348" s="19"/>
      <c r="F4348" s="20"/>
      <c r="G4348" s="19"/>
      <c r="H4348" s="19"/>
      <c r="I4348" s="19"/>
      <c r="J4348" s="21"/>
      <c r="K4348" s="19"/>
    </row>
    <row r="4349" spans="3:11" x14ac:dyDescent="0.2">
      <c r="C4349" s="19"/>
      <c r="D4349" s="19"/>
      <c r="E4349" s="19"/>
      <c r="F4349" s="20"/>
      <c r="G4349" s="19"/>
      <c r="H4349" s="19"/>
      <c r="I4349" s="19"/>
      <c r="J4349" s="19"/>
      <c r="K4349" s="19"/>
    </row>
    <row r="4350" spans="3:11" x14ac:dyDescent="0.2">
      <c r="C4350" s="19"/>
      <c r="D4350" s="19"/>
      <c r="E4350" s="19"/>
      <c r="F4350" s="20"/>
      <c r="G4350" s="19"/>
      <c r="H4350" s="19"/>
      <c r="I4350" s="19"/>
      <c r="J4350" s="21"/>
      <c r="K4350" s="19"/>
    </row>
    <row r="4351" spans="3:11" x14ac:dyDescent="0.2">
      <c r="C4351" s="19"/>
      <c r="D4351" s="19"/>
      <c r="E4351" s="19"/>
      <c r="F4351" s="20"/>
      <c r="G4351" s="19"/>
      <c r="H4351" s="19"/>
      <c r="I4351" s="19"/>
      <c r="J4351" s="21"/>
      <c r="K4351" s="19"/>
    </row>
    <row r="4352" spans="3:11" x14ac:dyDescent="0.2">
      <c r="C4352" s="19"/>
      <c r="D4352" s="19"/>
      <c r="E4352" s="19"/>
      <c r="F4352" s="20"/>
      <c r="G4352" s="19"/>
      <c r="H4352" s="19"/>
      <c r="I4352" s="19"/>
      <c r="J4352" s="21"/>
      <c r="K4352" s="19"/>
    </row>
    <row r="4353" spans="3:11" x14ac:dyDescent="0.2">
      <c r="C4353" s="19"/>
      <c r="D4353" s="19"/>
      <c r="E4353" s="19"/>
      <c r="F4353" s="20"/>
      <c r="G4353" s="19"/>
      <c r="H4353" s="19"/>
      <c r="I4353" s="19"/>
      <c r="J4353" s="21"/>
      <c r="K4353" s="19"/>
    </row>
    <row r="4354" spans="3:11" x14ac:dyDescent="0.2">
      <c r="C4354" s="19"/>
      <c r="D4354" s="19"/>
      <c r="E4354" s="19"/>
      <c r="F4354" s="20"/>
      <c r="G4354" s="19"/>
      <c r="H4354" s="19"/>
      <c r="I4354" s="19"/>
      <c r="J4354" s="21"/>
      <c r="K4354" s="19"/>
    </row>
    <row r="4355" spans="3:11" x14ac:dyDescent="0.2">
      <c r="C4355" s="19"/>
      <c r="D4355" s="19"/>
      <c r="E4355" s="19"/>
      <c r="F4355" s="20"/>
      <c r="G4355" s="19"/>
      <c r="H4355" s="19"/>
      <c r="I4355" s="19"/>
      <c r="J4355" s="21"/>
      <c r="K4355" s="19"/>
    </row>
    <row r="4356" spans="3:11" x14ac:dyDescent="0.2">
      <c r="C4356" s="19"/>
      <c r="D4356" s="19"/>
      <c r="E4356" s="19"/>
      <c r="F4356" s="20"/>
      <c r="G4356" s="19"/>
      <c r="H4356" s="19"/>
      <c r="I4356" s="19"/>
      <c r="J4356" s="21"/>
      <c r="K4356" s="19"/>
    </row>
    <row r="4357" spans="3:11" x14ac:dyDescent="0.2">
      <c r="C4357" s="19"/>
      <c r="D4357" s="19"/>
      <c r="E4357" s="19"/>
      <c r="F4357" s="20"/>
      <c r="G4357" s="19"/>
      <c r="H4357" s="19"/>
      <c r="I4357" s="19"/>
      <c r="J4357" s="21"/>
      <c r="K4357" s="19"/>
    </row>
    <row r="4358" spans="3:11" x14ac:dyDescent="0.2">
      <c r="C4358" s="19"/>
      <c r="D4358" s="19"/>
      <c r="E4358" s="19"/>
      <c r="F4358" s="20"/>
      <c r="G4358" s="19"/>
      <c r="H4358" s="19"/>
      <c r="I4358" s="19"/>
      <c r="J4358" s="21"/>
      <c r="K4358" s="19"/>
    </row>
    <row r="4359" spans="3:11" x14ac:dyDescent="0.2">
      <c r="C4359" s="19"/>
      <c r="D4359" s="19"/>
      <c r="E4359" s="19"/>
      <c r="F4359" s="20"/>
      <c r="G4359" s="19"/>
      <c r="H4359" s="19"/>
      <c r="I4359" s="19"/>
      <c r="J4359" s="21"/>
      <c r="K4359" s="19"/>
    </row>
    <row r="4360" spans="3:11" x14ac:dyDescent="0.2">
      <c r="C4360" s="19"/>
      <c r="D4360" s="19"/>
      <c r="E4360" s="19"/>
      <c r="F4360" s="20"/>
      <c r="G4360" s="19"/>
      <c r="H4360" s="19"/>
      <c r="I4360" s="19"/>
      <c r="J4360" s="21"/>
      <c r="K4360" s="19"/>
    </row>
    <row r="4361" spans="3:11" x14ac:dyDescent="0.2">
      <c r="C4361" s="19"/>
      <c r="D4361" s="19"/>
      <c r="E4361" s="19"/>
      <c r="F4361" s="20"/>
      <c r="G4361" s="19"/>
      <c r="H4361" s="19"/>
      <c r="I4361" s="19"/>
      <c r="J4361" s="19"/>
      <c r="K4361" s="19"/>
    </row>
    <row r="4362" spans="3:11" x14ac:dyDescent="0.2">
      <c r="C4362" s="19"/>
      <c r="D4362" s="19"/>
      <c r="E4362" s="19"/>
      <c r="F4362" s="20"/>
      <c r="G4362" s="19"/>
      <c r="H4362" s="19"/>
      <c r="I4362" s="19"/>
      <c r="J4362" s="19"/>
      <c r="K4362" s="19"/>
    </row>
    <row r="4363" spans="3:11" x14ac:dyDescent="0.2">
      <c r="C4363" s="19"/>
      <c r="D4363" s="19"/>
      <c r="E4363" s="19"/>
      <c r="F4363" s="20"/>
      <c r="G4363" s="19"/>
      <c r="H4363" s="19"/>
      <c r="I4363" s="19"/>
      <c r="J4363" s="19"/>
      <c r="K4363" s="19"/>
    </row>
    <row r="4364" spans="3:11" x14ac:dyDescent="0.2">
      <c r="C4364" s="19"/>
      <c r="D4364" s="19"/>
      <c r="E4364" s="19"/>
      <c r="F4364" s="20"/>
      <c r="G4364" s="19"/>
      <c r="H4364" s="19"/>
      <c r="I4364" s="19"/>
      <c r="J4364" s="21"/>
      <c r="K4364" s="19"/>
    </row>
    <row r="4365" spans="3:11" x14ac:dyDescent="0.2">
      <c r="C4365" s="19"/>
      <c r="D4365" s="19"/>
      <c r="E4365" s="19"/>
      <c r="F4365" s="20"/>
      <c r="G4365" s="19"/>
      <c r="H4365" s="19"/>
      <c r="I4365" s="19"/>
      <c r="J4365" s="21"/>
      <c r="K4365" s="19"/>
    </row>
    <row r="4366" spans="3:11" x14ac:dyDescent="0.2">
      <c r="C4366" s="19"/>
      <c r="D4366" s="19"/>
      <c r="E4366" s="19"/>
      <c r="F4366" s="20"/>
      <c r="G4366" s="19"/>
      <c r="H4366" s="19"/>
      <c r="I4366" s="19"/>
      <c r="J4366" s="21"/>
      <c r="K4366" s="19"/>
    </row>
    <row r="4367" spans="3:11" x14ac:dyDescent="0.2">
      <c r="C4367" s="19"/>
      <c r="D4367" s="19"/>
      <c r="E4367" s="19"/>
      <c r="F4367" s="20"/>
      <c r="G4367" s="19"/>
      <c r="H4367" s="19"/>
      <c r="I4367" s="19"/>
      <c r="J4367" s="21"/>
      <c r="K4367" s="19"/>
    </row>
    <row r="4368" spans="3:11" x14ac:dyDescent="0.2">
      <c r="C4368" s="19"/>
      <c r="D4368" s="19"/>
      <c r="E4368" s="19"/>
      <c r="F4368" s="20"/>
      <c r="G4368" s="19"/>
      <c r="H4368" s="19"/>
      <c r="I4368" s="19"/>
      <c r="J4368" s="21"/>
      <c r="K4368" s="19"/>
    </row>
    <row r="4369" spans="3:11" x14ac:dyDescent="0.2">
      <c r="C4369" s="19"/>
      <c r="D4369" s="19"/>
      <c r="E4369" s="19"/>
      <c r="F4369" s="20"/>
      <c r="G4369" s="19"/>
      <c r="H4369" s="19"/>
      <c r="I4369" s="19"/>
      <c r="J4369" s="21"/>
      <c r="K4369" s="19"/>
    </row>
    <row r="4370" spans="3:11" x14ac:dyDescent="0.2">
      <c r="C4370" s="19"/>
      <c r="D4370" s="19"/>
      <c r="E4370" s="19"/>
      <c r="F4370" s="20"/>
      <c r="G4370" s="19"/>
      <c r="H4370" s="19"/>
      <c r="I4370" s="19"/>
      <c r="J4370" s="21"/>
      <c r="K4370" s="19"/>
    </row>
    <row r="4371" spans="3:11" x14ac:dyDescent="0.2">
      <c r="C4371" s="19"/>
      <c r="D4371" s="19"/>
      <c r="E4371" s="19"/>
      <c r="F4371" s="20"/>
      <c r="G4371" s="19"/>
      <c r="H4371" s="19"/>
      <c r="I4371" s="19"/>
      <c r="J4371" s="19"/>
      <c r="K4371" s="19"/>
    </row>
    <row r="4372" spans="3:11" x14ac:dyDescent="0.2">
      <c r="C4372" s="19"/>
      <c r="D4372" s="19"/>
      <c r="E4372" s="19"/>
      <c r="F4372" s="20"/>
      <c r="G4372" s="19"/>
      <c r="H4372" s="19"/>
      <c r="I4372" s="19"/>
      <c r="J4372" s="19"/>
      <c r="K4372" s="19"/>
    </row>
    <row r="4373" spans="3:11" x14ac:dyDescent="0.2">
      <c r="C4373" s="19"/>
      <c r="D4373" s="19"/>
      <c r="E4373" s="19"/>
      <c r="F4373" s="20"/>
      <c r="G4373" s="19"/>
      <c r="H4373" s="19"/>
      <c r="I4373" s="19"/>
      <c r="J4373" s="21"/>
      <c r="K4373" s="19"/>
    </row>
    <row r="4374" spans="3:11" x14ac:dyDescent="0.2">
      <c r="C4374" s="19"/>
      <c r="D4374" s="19"/>
      <c r="E4374" s="19"/>
      <c r="F4374" s="20"/>
      <c r="G4374" s="19"/>
      <c r="H4374" s="19"/>
      <c r="I4374" s="19"/>
      <c r="J4374" s="21"/>
      <c r="K4374" s="19"/>
    </row>
    <row r="4375" spans="3:11" x14ac:dyDescent="0.2">
      <c r="C4375" s="19"/>
      <c r="D4375" s="19"/>
      <c r="E4375" s="19"/>
      <c r="F4375" s="20"/>
      <c r="G4375" s="19"/>
      <c r="H4375" s="19"/>
      <c r="I4375" s="19"/>
      <c r="J4375" s="21"/>
      <c r="K4375" s="19"/>
    </row>
    <row r="4376" spans="3:11" x14ac:dyDescent="0.2">
      <c r="C4376" s="19"/>
      <c r="D4376" s="19"/>
      <c r="E4376" s="19"/>
      <c r="F4376" s="20"/>
      <c r="G4376" s="19"/>
      <c r="H4376" s="19"/>
      <c r="I4376" s="19"/>
      <c r="J4376" s="21"/>
      <c r="K4376" s="19"/>
    </row>
    <row r="4377" spans="3:11" x14ac:dyDescent="0.2">
      <c r="C4377" s="19"/>
      <c r="D4377" s="19"/>
      <c r="E4377" s="19"/>
      <c r="F4377" s="20"/>
      <c r="G4377" s="19"/>
      <c r="H4377" s="19"/>
      <c r="I4377" s="19"/>
      <c r="J4377" s="21"/>
      <c r="K4377" s="19"/>
    </row>
    <row r="4378" spans="3:11" x14ac:dyDescent="0.2">
      <c r="C4378" s="19"/>
      <c r="D4378" s="19"/>
      <c r="E4378" s="19"/>
      <c r="F4378" s="20"/>
      <c r="G4378" s="19"/>
      <c r="H4378" s="19"/>
      <c r="I4378" s="19"/>
      <c r="J4378" s="19"/>
      <c r="K4378" s="19"/>
    </row>
    <row r="4379" spans="3:11" x14ac:dyDescent="0.2">
      <c r="C4379" s="19"/>
      <c r="D4379" s="19"/>
      <c r="E4379" s="19"/>
      <c r="F4379" s="20"/>
      <c r="G4379" s="19"/>
      <c r="H4379" s="19"/>
      <c r="I4379" s="19"/>
      <c r="J4379" s="21"/>
      <c r="K4379" s="19"/>
    </row>
    <row r="4380" spans="3:11" x14ac:dyDescent="0.2">
      <c r="C4380" s="19"/>
      <c r="D4380" s="19"/>
      <c r="E4380" s="19"/>
      <c r="F4380" s="20"/>
      <c r="G4380" s="19"/>
      <c r="H4380" s="19"/>
      <c r="I4380" s="19"/>
      <c r="J4380" s="21"/>
      <c r="K4380" s="19"/>
    </row>
    <row r="4381" spans="3:11" x14ac:dyDescent="0.2">
      <c r="C4381" s="19"/>
      <c r="D4381" s="19"/>
      <c r="E4381" s="19"/>
      <c r="F4381" s="20"/>
      <c r="G4381" s="19"/>
      <c r="H4381" s="19"/>
      <c r="I4381" s="19"/>
      <c r="J4381" s="21"/>
      <c r="K4381" s="19"/>
    </row>
    <row r="4382" spans="3:11" x14ac:dyDescent="0.2">
      <c r="C4382" s="19"/>
      <c r="D4382" s="19"/>
      <c r="E4382" s="19"/>
      <c r="F4382" s="20"/>
      <c r="G4382" s="19"/>
      <c r="H4382" s="19"/>
      <c r="I4382" s="19"/>
      <c r="J4382" s="21"/>
      <c r="K4382" s="19"/>
    </row>
    <row r="4383" spans="3:11" x14ac:dyDescent="0.2">
      <c r="C4383" s="19"/>
      <c r="D4383" s="19"/>
      <c r="E4383" s="19"/>
      <c r="F4383" s="20"/>
      <c r="G4383" s="19"/>
      <c r="H4383" s="19"/>
      <c r="I4383" s="19"/>
      <c r="J4383" s="21"/>
      <c r="K4383" s="19"/>
    </row>
    <row r="4384" spans="3:11" x14ac:dyDescent="0.2">
      <c r="C4384" s="19"/>
      <c r="D4384" s="19"/>
      <c r="E4384" s="19"/>
      <c r="F4384" s="20"/>
      <c r="G4384" s="19"/>
      <c r="H4384" s="19"/>
      <c r="I4384" s="19"/>
      <c r="J4384" s="19"/>
      <c r="K4384" s="19"/>
    </row>
    <row r="4385" spans="3:11" x14ac:dyDescent="0.2">
      <c r="C4385" s="19"/>
      <c r="D4385" s="19"/>
      <c r="E4385" s="19"/>
      <c r="F4385" s="20"/>
      <c r="G4385" s="19"/>
      <c r="H4385" s="19"/>
      <c r="I4385" s="19"/>
      <c r="J4385" s="21"/>
      <c r="K4385" s="19"/>
    </row>
    <row r="4386" spans="3:11" x14ac:dyDescent="0.2">
      <c r="C4386" s="19"/>
      <c r="D4386" s="19"/>
      <c r="E4386" s="19"/>
      <c r="F4386" s="20"/>
      <c r="G4386" s="19"/>
      <c r="H4386" s="19"/>
      <c r="I4386" s="19"/>
      <c r="J4386" s="19"/>
      <c r="K4386" s="19"/>
    </row>
    <row r="4387" spans="3:11" x14ac:dyDescent="0.2">
      <c r="C4387" s="19"/>
      <c r="D4387" s="19"/>
      <c r="E4387" s="19"/>
      <c r="F4387" s="20"/>
      <c r="G4387" s="19"/>
      <c r="H4387" s="19"/>
      <c r="I4387" s="19"/>
      <c r="J4387" s="21"/>
      <c r="K4387" s="19"/>
    </row>
    <row r="4388" spans="3:11" x14ac:dyDescent="0.2">
      <c r="C4388" s="19"/>
      <c r="D4388" s="19"/>
      <c r="E4388" s="19"/>
      <c r="F4388" s="20"/>
      <c r="G4388" s="19"/>
      <c r="H4388" s="19"/>
      <c r="I4388" s="19"/>
      <c r="J4388" s="21"/>
      <c r="K4388" s="19"/>
    </row>
    <row r="4389" spans="3:11" x14ac:dyDescent="0.2">
      <c r="C4389" s="19"/>
      <c r="D4389" s="19"/>
      <c r="E4389" s="19"/>
      <c r="F4389" s="20"/>
      <c r="G4389" s="19"/>
      <c r="H4389" s="19"/>
      <c r="I4389" s="19"/>
      <c r="J4389" s="21"/>
      <c r="K4389" s="19"/>
    </row>
    <row r="4390" spans="3:11" x14ac:dyDescent="0.2">
      <c r="C4390" s="19"/>
      <c r="D4390" s="19"/>
      <c r="E4390" s="19"/>
      <c r="F4390" s="20"/>
      <c r="G4390" s="19"/>
      <c r="H4390" s="19"/>
      <c r="I4390" s="19"/>
      <c r="J4390" s="21"/>
      <c r="K4390" s="19"/>
    </row>
    <row r="4391" spans="3:11" x14ac:dyDescent="0.2">
      <c r="C4391" s="19"/>
      <c r="D4391" s="19"/>
      <c r="E4391" s="19"/>
      <c r="F4391" s="20"/>
      <c r="G4391" s="19"/>
      <c r="H4391" s="19"/>
      <c r="I4391" s="19"/>
      <c r="J4391" s="21"/>
      <c r="K4391" s="19"/>
    </row>
    <row r="4392" spans="3:11" x14ac:dyDescent="0.2">
      <c r="C4392" s="19"/>
      <c r="D4392" s="19"/>
      <c r="E4392" s="19"/>
      <c r="F4392" s="20"/>
      <c r="G4392" s="19"/>
      <c r="H4392" s="19"/>
      <c r="I4392" s="19"/>
      <c r="J4392" s="21"/>
      <c r="K4392" s="19"/>
    </row>
    <row r="4393" spans="3:11" x14ac:dyDescent="0.2">
      <c r="C4393" s="19"/>
      <c r="D4393" s="19"/>
      <c r="E4393" s="19"/>
      <c r="F4393" s="20"/>
      <c r="G4393" s="19"/>
      <c r="H4393" s="19"/>
      <c r="I4393" s="19"/>
      <c r="J4393" s="21"/>
      <c r="K4393" s="19"/>
    </row>
    <row r="4394" spans="3:11" x14ac:dyDescent="0.2">
      <c r="C4394" s="19"/>
      <c r="D4394" s="19"/>
      <c r="E4394" s="19"/>
      <c r="F4394" s="20"/>
      <c r="G4394" s="19"/>
      <c r="H4394" s="19"/>
      <c r="I4394" s="19"/>
      <c r="J4394" s="21"/>
      <c r="K4394" s="19"/>
    </row>
    <row r="4395" spans="3:11" x14ac:dyDescent="0.2">
      <c r="C4395" s="19"/>
      <c r="D4395" s="19"/>
      <c r="E4395" s="19"/>
      <c r="F4395" s="20"/>
      <c r="G4395" s="19"/>
      <c r="H4395" s="19"/>
      <c r="I4395" s="19"/>
      <c r="J4395" s="21"/>
      <c r="K4395" s="19"/>
    </row>
    <row r="4396" spans="3:11" x14ac:dyDescent="0.2">
      <c r="C4396" s="19"/>
      <c r="D4396" s="19"/>
      <c r="E4396" s="19"/>
      <c r="F4396" s="20"/>
      <c r="G4396" s="19"/>
      <c r="H4396" s="19"/>
      <c r="I4396" s="19"/>
      <c r="J4396" s="21"/>
      <c r="K4396" s="19"/>
    </row>
    <row r="4397" spans="3:11" x14ac:dyDescent="0.2">
      <c r="C4397" s="19"/>
      <c r="D4397" s="19"/>
      <c r="E4397" s="19"/>
      <c r="F4397" s="20"/>
      <c r="G4397" s="19"/>
      <c r="H4397" s="19"/>
      <c r="I4397" s="19"/>
      <c r="J4397" s="21"/>
      <c r="K4397" s="19"/>
    </row>
    <row r="4398" spans="3:11" x14ac:dyDescent="0.2">
      <c r="C4398" s="19"/>
      <c r="D4398" s="19"/>
      <c r="E4398" s="19"/>
      <c r="F4398" s="20"/>
      <c r="G4398" s="19"/>
      <c r="H4398" s="19"/>
      <c r="I4398" s="19"/>
      <c r="J4398" s="19"/>
      <c r="K4398" s="19"/>
    </row>
    <row r="4399" spans="3:11" x14ac:dyDescent="0.2">
      <c r="C4399" s="19"/>
      <c r="D4399" s="19"/>
      <c r="E4399" s="19"/>
      <c r="F4399" s="20"/>
      <c r="G4399" s="19"/>
      <c r="H4399" s="19"/>
      <c r="I4399" s="19"/>
      <c r="J4399" s="21"/>
      <c r="K4399" s="19"/>
    </row>
    <row r="4400" spans="3:11" x14ac:dyDescent="0.2">
      <c r="C4400" s="19"/>
      <c r="D4400" s="19"/>
      <c r="E4400" s="19"/>
      <c r="F4400" s="20"/>
      <c r="G4400" s="19"/>
      <c r="H4400" s="19"/>
      <c r="I4400" s="19"/>
      <c r="J4400" s="21"/>
      <c r="K4400" s="19"/>
    </row>
    <row r="4401" spans="3:11" x14ac:dyDescent="0.2">
      <c r="C4401" s="19"/>
      <c r="D4401" s="19"/>
      <c r="E4401" s="19"/>
      <c r="F4401" s="20"/>
      <c r="G4401" s="19"/>
      <c r="H4401" s="19"/>
      <c r="I4401" s="19"/>
      <c r="J4401" s="21"/>
      <c r="K4401" s="19"/>
    </row>
    <row r="4402" spans="3:11" x14ac:dyDescent="0.2">
      <c r="C4402" s="19"/>
      <c r="D4402" s="19"/>
      <c r="E4402" s="19"/>
      <c r="F4402" s="20"/>
      <c r="G4402" s="19"/>
      <c r="H4402" s="19"/>
      <c r="I4402" s="19"/>
      <c r="J4402" s="21"/>
      <c r="K4402" s="19"/>
    </row>
    <row r="4403" spans="3:11" x14ac:dyDescent="0.2">
      <c r="C4403" s="19"/>
      <c r="D4403" s="19"/>
      <c r="E4403" s="19"/>
      <c r="F4403" s="20"/>
      <c r="G4403" s="19"/>
      <c r="H4403" s="19"/>
      <c r="I4403" s="19"/>
      <c r="J4403" s="21"/>
      <c r="K4403" s="19"/>
    </row>
    <row r="4404" spans="3:11" x14ac:dyDescent="0.2">
      <c r="C4404" s="19"/>
      <c r="D4404" s="19"/>
      <c r="E4404" s="19"/>
      <c r="F4404" s="20"/>
      <c r="G4404" s="19"/>
      <c r="H4404" s="19"/>
      <c r="I4404" s="19"/>
      <c r="J4404" s="21"/>
      <c r="K4404" s="19"/>
    </row>
    <row r="4405" spans="3:11" x14ac:dyDescent="0.2">
      <c r="C4405" s="19"/>
      <c r="D4405" s="19"/>
      <c r="E4405" s="19"/>
      <c r="F4405" s="20"/>
      <c r="G4405" s="19"/>
      <c r="H4405" s="19"/>
      <c r="I4405" s="19"/>
      <c r="J4405" s="21"/>
      <c r="K4405" s="19"/>
    </row>
    <row r="4406" spans="3:11" x14ac:dyDescent="0.2">
      <c r="C4406" s="19"/>
      <c r="D4406" s="19"/>
      <c r="E4406" s="19"/>
      <c r="F4406" s="20"/>
      <c r="G4406" s="19"/>
      <c r="H4406" s="19"/>
      <c r="I4406" s="19"/>
      <c r="J4406" s="21"/>
      <c r="K4406" s="19"/>
    </row>
    <row r="4407" spans="3:11" x14ac:dyDescent="0.2">
      <c r="C4407" s="19"/>
      <c r="D4407" s="19"/>
      <c r="E4407" s="19"/>
      <c r="F4407" s="20"/>
      <c r="G4407" s="19"/>
      <c r="H4407" s="19"/>
      <c r="I4407" s="19"/>
      <c r="J4407" s="21"/>
      <c r="K4407" s="19"/>
    </row>
    <row r="4408" spans="3:11" x14ac:dyDescent="0.2">
      <c r="C4408" s="19"/>
      <c r="D4408" s="19"/>
      <c r="E4408" s="19"/>
      <c r="F4408" s="20"/>
      <c r="G4408" s="19"/>
      <c r="H4408" s="19"/>
      <c r="I4408" s="19"/>
      <c r="J4408" s="21"/>
      <c r="K4408" s="19"/>
    </row>
    <row r="4409" spans="3:11" x14ac:dyDescent="0.2">
      <c r="C4409" s="19"/>
      <c r="D4409" s="19"/>
      <c r="E4409" s="19"/>
      <c r="F4409" s="20"/>
      <c r="G4409" s="19"/>
      <c r="H4409" s="19"/>
      <c r="I4409" s="19"/>
      <c r="J4409" s="21"/>
      <c r="K4409" s="19"/>
    </row>
    <row r="4410" spans="3:11" x14ac:dyDescent="0.2">
      <c r="C4410" s="19"/>
      <c r="D4410" s="19"/>
      <c r="E4410" s="19"/>
      <c r="F4410" s="20"/>
      <c r="G4410" s="19"/>
      <c r="H4410" s="19"/>
      <c r="I4410" s="19"/>
      <c r="J4410" s="21"/>
      <c r="K4410" s="19"/>
    </row>
    <row r="4411" spans="3:11" x14ac:dyDescent="0.2">
      <c r="C4411" s="19"/>
      <c r="D4411" s="19"/>
      <c r="E4411" s="19"/>
      <c r="F4411" s="20"/>
      <c r="G4411" s="19"/>
      <c r="H4411" s="19"/>
      <c r="I4411" s="19"/>
      <c r="J4411" s="21"/>
      <c r="K4411" s="19"/>
    </row>
    <row r="4412" spans="3:11" x14ac:dyDescent="0.2">
      <c r="C4412" s="19"/>
      <c r="D4412" s="19"/>
      <c r="E4412" s="19"/>
      <c r="F4412" s="20"/>
      <c r="G4412" s="19"/>
      <c r="H4412" s="19"/>
      <c r="I4412" s="19"/>
      <c r="J4412" s="21"/>
      <c r="K4412" s="19"/>
    </row>
    <row r="4413" spans="3:11" x14ac:dyDescent="0.2">
      <c r="C4413" s="19"/>
      <c r="D4413" s="19"/>
      <c r="E4413" s="19"/>
      <c r="F4413" s="20"/>
      <c r="G4413" s="19"/>
      <c r="H4413" s="19"/>
      <c r="I4413" s="19"/>
      <c r="J4413" s="21"/>
      <c r="K4413" s="19"/>
    </row>
    <row r="4414" spans="3:11" x14ac:dyDescent="0.2">
      <c r="C4414" s="19"/>
      <c r="D4414" s="19"/>
      <c r="E4414" s="19"/>
      <c r="F4414" s="20"/>
      <c r="G4414" s="19"/>
      <c r="H4414" s="19"/>
      <c r="I4414" s="19"/>
      <c r="J4414" s="21"/>
      <c r="K4414" s="19"/>
    </row>
    <row r="4415" spans="3:11" x14ac:dyDescent="0.2">
      <c r="C4415" s="19"/>
      <c r="D4415" s="19"/>
      <c r="E4415" s="19"/>
      <c r="F4415" s="20"/>
      <c r="G4415" s="19"/>
      <c r="H4415" s="19"/>
      <c r="I4415" s="19"/>
      <c r="J4415" s="21"/>
      <c r="K4415" s="19"/>
    </row>
    <row r="4416" spans="3:11" x14ac:dyDescent="0.2">
      <c r="C4416" s="19"/>
      <c r="D4416" s="19"/>
      <c r="E4416" s="19"/>
      <c r="F4416" s="20"/>
      <c r="G4416" s="19"/>
      <c r="H4416" s="19"/>
      <c r="I4416" s="19"/>
      <c r="J4416" s="21"/>
      <c r="K4416" s="19"/>
    </row>
    <row r="4417" spans="3:11" x14ac:dyDescent="0.2">
      <c r="C4417" s="19"/>
      <c r="D4417" s="19"/>
      <c r="E4417" s="19"/>
      <c r="F4417" s="20"/>
      <c r="G4417" s="19"/>
      <c r="H4417" s="19"/>
      <c r="I4417" s="19"/>
      <c r="J4417" s="21"/>
      <c r="K4417" s="19"/>
    </row>
    <row r="4418" spans="3:11" x14ac:dyDescent="0.2">
      <c r="C4418" s="19"/>
      <c r="D4418" s="19"/>
      <c r="E4418" s="19"/>
      <c r="F4418" s="20"/>
      <c r="G4418" s="19"/>
      <c r="H4418" s="19"/>
      <c r="I4418" s="19"/>
      <c r="J4418" s="21"/>
      <c r="K4418" s="19"/>
    </row>
    <row r="4419" spans="3:11" x14ac:dyDescent="0.2">
      <c r="C4419" s="19"/>
      <c r="D4419" s="19"/>
      <c r="E4419" s="19"/>
      <c r="F4419" s="20"/>
      <c r="G4419" s="19"/>
      <c r="H4419" s="19"/>
      <c r="I4419" s="19"/>
      <c r="J4419" s="21"/>
      <c r="K4419" s="19"/>
    </row>
    <row r="4420" spans="3:11" x14ac:dyDescent="0.2">
      <c r="C4420" s="19"/>
      <c r="D4420" s="19"/>
      <c r="E4420" s="19"/>
      <c r="F4420" s="20"/>
      <c r="G4420" s="19"/>
      <c r="H4420" s="19"/>
      <c r="I4420" s="19"/>
      <c r="J4420" s="21"/>
      <c r="K4420" s="19"/>
    </row>
    <row r="4421" spans="3:11" x14ac:dyDescent="0.2">
      <c r="C4421" s="19"/>
      <c r="D4421" s="19"/>
      <c r="E4421" s="19"/>
      <c r="F4421" s="20"/>
      <c r="G4421" s="19"/>
      <c r="H4421" s="19"/>
      <c r="I4421" s="19"/>
      <c r="J4421" s="21"/>
      <c r="K4421" s="19"/>
    </row>
    <row r="4422" spans="3:11" x14ac:dyDescent="0.2">
      <c r="C4422" s="19"/>
      <c r="D4422" s="19"/>
      <c r="E4422" s="19"/>
      <c r="F4422" s="20"/>
      <c r="G4422" s="19"/>
      <c r="H4422" s="19"/>
      <c r="I4422" s="19"/>
      <c r="J4422" s="21"/>
      <c r="K4422" s="19"/>
    </row>
    <row r="4423" spans="3:11" x14ac:dyDescent="0.2">
      <c r="C4423" s="19"/>
      <c r="D4423" s="19"/>
      <c r="E4423" s="19"/>
      <c r="F4423" s="20"/>
      <c r="G4423" s="19"/>
      <c r="H4423" s="19"/>
      <c r="I4423" s="19"/>
      <c r="J4423" s="21"/>
      <c r="K4423" s="19"/>
    </row>
    <row r="4424" spans="3:11" x14ac:dyDescent="0.2">
      <c r="C4424" s="19"/>
      <c r="D4424" s="19"/>
      <c r="E4424" s="19"/>
      <c r="F4424" s="20"/>
      <c r="G4424" s="19"/>
      <c r="H4424" s="19"/>
      <c r="I4424" s="19"/>
      <c r="J4424" s="21"/>
      <c r="K4424" s="19"/>
    </row>
    <row r="4425" spans="3:11" x14ac:dyDescent="0.2">
      <c r="C4425" s="19"/>
      <c r="D4425" s="19"/>
      <c r="E4425" s="19"/>
      <c r="F4425" s="20"/>
      <c r="G4425" s="19"/>
      <c r="H4425" s="19"/>
      <c r="I4425" s="19"/>
      <c r="J4425" s="21"/>
      <c r="K4425" s="19"/>
    </row>
    <row r="4426" spans="3:11" x14ac:dyDescent="0.2">
      <c r="C4426" s="19"/>
      <c r="D4426" s="19"/>
      <c r="E4426" s="19"/>
      <c r="F4426" s="20"/>
      <c r="G4426" s="19"/>
      <c r="H4426" s="19"/>
      <c r="I4426" s="19"/>
      <c r="J4426" s="21"/>
      <c r="K4426" s="19"/>
    </row>
    <row r="4427" spans="3:11" x14ac:dyDescent="0.2">
      <c r="C4427" s="19"/>
      <c r="D4427" s="19"/>
      <c r="E4427" s="19"/>
      <c r="F4427" s="20"/>
      <c r="G4427" s="19"/>
      <c r="H4427" s="19"/>
      <c r="I4427" s="19"/>
      <c r="J4427" s="21"/>
      <c r="K4427" s="19"/>
    </row>
    <row r="4428" spans="3:11" x14ac:dyDescent="0.2">
      <c r="C4428" s="19"/>
      <c r="D4428" s="19"/>
      <c r="E4428" s="19"/>
      <c r="F4428" s="20"/>
      <c r="G4428" s="19"/>
      <c r="H4428" s="19"/>
      <c r="I4428" s="19"/>
      <c r="J4428" s="21"/>
      <c r="K4428" s="19"/>
    </row>
    <row r="4429" spans="3:11" x14ac:dyDescent="0.2">
      <c r="C4429" s="19"/>
      <c r="D4429" s="19"/>
      <c r="E4429" s="19"/>
      <c r="F4429" s="20"/>
      <c r="G4429" s="19"/>
      <c r="H4429" s="19"/>
      <c r="I4429" s="19"/>
      <c r="J4429" s="21"/>
      <c r="K4429" s="19"/>
    </row>
    <row r="4430" spans="3:11" x14ac:dyDescent="0.2">
      <c r="C4430" s="19"/>
      <c r="D4430" s="19"/>
      <c r="E4430" s="19"/>
      <c r="F4430" s="20"/>
      <c r="G4430" s="19"/>
      <c r="H4430" s="19"/>
      <c r="I4430" s="19"/>
      <c r="J4430" s="21"/>
      <c r="K4430" s="19"/>
    </row>
    <row r="4431" spans="3:11" x14ac:dyDescent="0.2">
      <c r="C4431" s="19"/>
      <c r="D4431" s="19"/>
      <c r="E4431" s="19"/>
      <c r="F4431" s="20"/>
      <c r="G4431" s="19"/>
      <c r="H4431" s="19"/>
      <c r="I4431" s="19"/>
      <c r="J4431" s="21"/>
      <c r="K4431" s="19"/>
    </row>
    <row r="4432" spans="3:11" x14ac:dyDescent="0.2">
      <c r="C4432" s="19"/>
      <c r="D4432" s="19"/>
      <c r="E4432" s="19"/>
      <c r="F4432" s="20"/>
      <c r="G4432" s="19"/>
      <c r="H4432" s="19"/>
      <c r="I4432" s="19"/>
      <c r="J4432" s="21"/>
      <c r="K4432" s="19"/>
    </row>
    <row r="4433" spans="3:11" x14ac:dyDescent="0.2">
      <c r="C4433" s="19"/>
      <c r="D4433" s="19"/>
      <c r="E4433" s="19"/>
      <c r="F4433" s="20"/>
      <c r="G4433" s="19"/>
      <c r="H4433" s="19"/>
      <c r="I4433" s="19"/>
      <c r="J4433" s="21"/>
      <c r="K4433" s="19"/>
    </row>
    <row r="4434" spans="3:11" x14ac:dyDescent="0.2">
      <c r="C4434" s="19"/>
      <c r="D4434" s="19"/>
      <c r="E4434" s="19"/>
      <c r="F4434" s="20"/>
      <c r="G4434" s="19"/>
      <c r="H4434" s="19"/>
      <c r="I4434" s="19"/>
      <c r="J4434" s="21"/>
      <c r="K4434" s="19"/>
    </row>
    <row r="4435" spans="3:11" x14ac:dyDescent="0.2">
      <c r="C4435" s="19"/>
      <c r="D4435" s="19"/>
      <c r="E4435" s="19"/>
      <c r="F4435" s="20"/>
      <c r="G4435" s="19"/>
      <c r="H4435" s="19"/>
      <c r="I4435" s="19"/>
      <c r="J4435" s="21"/>
      <c r="K4435" s="19"/>
    </row>
    <row r="4436" spans="3:11" x14ac:dyDescent="0.2">
      <c r="C4436" s="19"/>
      <c r="D4436" s="19"/>
      <c r="E4436" s="19"/>
      <c r="F4436" s="20"/>
      <c r="G4436" s="19"/>
      <c r="H4436" s="19"/>
      <c r="I4436" s="19"/>
      <c r="J4436" s="21"/>
      <c r="K4436" s="19"/>
    </row>
    <row r="4437" spans="3:11" x14ac:dyDescent="0.2">
      <c r="C4437" s="19"/>
      <c r="D4437" s="19"/>
      <c r="E4437" s="19"/>
      <c r="F4437" s="20"/>
      <c r="G4437" s="19"/>
      <c r="H4437" s="19"/>
      <c r="I4437" s="19"/>
      <c r="J4437" s="21"/>
      <c r="K4437" s="19"/>
    </row>
    <row r="4438" spans="3:11" x14ac:dyDescent="0.2">
      <c r="C4438" s="19"/>
      <c r="D4438" s="19"/>
      <c r="E4438" s="19"/>
      <c r="F4438" s="20"/>
      <c r="G4438" s="19"/>
      <c r="H4438" s="19"/>
      <c r="I4438" s="19"/>
      <c r="J4438" s="21"/>
      <c r="K4438" s="19"/>
    </row>
    <row r="4439" spans="3:11" x14ac:dyDescent="0.2">
      <c r="C4439" s="19"/>
      <c r="D4439" s="19"/>
      <c r="E4439" s="19"/>
      <c r="F4439" s="20"/>
      <c r="G4439" s="19"/>
      <c r="H4439" s="19"/>
      <c r="I4439" s="19"/>
      <c r="J4439" s="21"/>
      <c r="K4439" s="19"/>
    </row>
    <row r="4440" spans="3:11" x14ac:dyDescent="0.2">
      <c r="C4440" s="19"/>
      <c r="D4440" s="19"/>
      <c r="E4440" s="19"/>
      <c r="F4440" s="20"/>
      <c r="G4440" s="19"/>
      <c r="H4440" s="19"/>
      <c r="I4440" s="19"/>
      <c r="J4440" s="21"/>
      <c r="K4440" s="19"/>
    </row>
    <row r="4441" spans="3:11" x14ac:dyDescent="0.2">
      <c r="C4441" s="19"/>
      <c r="D4441" s="19"/>
      <c r="E4441" s="19"/>
      <c r="F4441" s="20"/>
      <c r="G4441" s="19"/>
      <c r="H4441" s="19"/>
      <c r="I4441" s="19"/>
      <c r="J4441" s="21"/>
      <c r="K4441" s="19"/>
    </row>
    <row r="4442" spans="3:11" x14ac:dyDescent="0.2">
      <c r="C4442" s="19"/>
      <c r="D4442" s="19"/>
      <c r="E4442" s="19"/>
      <c r="F4442" s="20"/>
      <c r="G4442" s="19"/>
      <c r="H4442" s="19"/>
      <c r="I4442" s="19"/>
      <c r="J4442" s="19"/>
      <c r="K4442" s="19"/>
    </row>
    <row r="4443" spans="3:11" x14ac:dyDescent="0.2">
      <c r="C4443" s="19"/>
      <c r="D4443" s="19"/>
      <c r="E4443" s="19"/>
      <c r="F4443" s="20"/>
      <c r="G4443" s="19"/>
      <c r="H4443" s="19"/>
      <c r="I4443" s="19"/>
      <c r="J4443" s="21"/>
      <c r="K4443" s="19"/>
    </row>
    <row r="4444" spans="3:11" x14ac:dyDescent="0.2">
      <c r="C4444" s="19"/>
      <c r="D4444" s="19"/>
      <c r="E4444" s="19"/>
      <c r="F4444" s="20"/>
      <c r="G4444" s="19"/>
      <c r="H4444" s="19"/>
      <c r="I4444" s="19"/>
      <c r="J4444" s="21"/>
      <c r="K4444" s="19"/>
    </row>
    <row r="4445" spans="3:11" x14ac:dyDescent="0.2">
      <c r="C4445" s="19"/>
      <c r="D4445" s="19"/>
      <c r="E4445" s="19"/>
      <c r="F4445" s="20"/>
      <c r="G4445" s="19"/>
      <c r="H4445" s="19"/>
      <c r="I4445" s="19"/>
      <c r="J4445" s="21"/>
      <c r="K4445" s="19"/>
    </row>
    <row r="4446" spans="3:11" x14ac:dyDescent="0.2">
      <c r="C4446" s="19"/>
      <c r="D4446" s="19"/>
      <c r="E4446" s="19"/>
      <c r="F4446" s="20"/>
      <c r="G4446" s="19"/>
      <c r="H4446" s="19"/>
      <c r="I4446" s="19"/>
      <c r="J4446" s="21"/>
      <c r="K4446" s="19"/>
    </row>
    <row r="4447" spans="3:11" x14ac:dyDescent="0.2">
      <c r="C4447" s="19"/>
      <c r="D4447" s="19"/>
      <c r="E4447" s="19"/>
      <c r="F4447" s="20"/>
      <c r="G4447" s="19"/>
      <c r="H4447" s="19"/>
      <c r="I4447" s="19"/>
      <c r="J4447" s="21"/>
      <c r="K4447" s="19"/>
    </row>
    <row r="4448" spans="3:11" x14ac:dyDescent="0.2">
      <c r="C4448" s="19"/>
      <c r="D4448" s="19"/>
      <c r="E4448" s="19"/>
      <c r="F4448" s="20"/>
      <c r="G4448" s="19"/>
      <c r="H4448" s="19"/>
      <c r="I4448" s="19"/>
      <c r="J4448" s="21"/>
      <c r="K4448" s="19"/>
    </row>
    <row r="4449" spans="3:11" x14ac:dyDescent="0.2">
      <c r="C4449" s="19"/>
      <c r="D4449" s="19"/>
      <c r="E4449" s="19"/>
      <c r="F4449" s="20"/>
      <c r="G4449" s="19"/>
      <c r="H4449" s="19"/>
      <c r="I4449" s="19"/>
      <c r="J4449" s="21"/>
      <c r="K4449" s="19"/>
    </row>
    <row r="4450" spans="3:11" x14ac:dyDescent="0.2">
      <c r="C4450" s="19"/>
      <c r="D4450" s="19"/>
      <c r="E4450" s="19"/>
      <c r="F4450" s="20"/>
      <c r="G4450" s="19"/>
      <c r="H4450" s="19"/>
      <c r="I4450" s="19"/>
      <c r="J4450" s="21"/>
      <c r="K4450" s="19"/>
    </row>
    <row r="4451" spans="3:11" x14ac:dyDescent="0.2">
      <c r="C4451" s="19"/>
      <c r="D4451" s="19"/>
      <c r="E4451" s="19"/>
      <c r="F4451" s="20"/>
      <c r="G4451" s="19"/>
      <c r="H4451" s="19"/>
      <c r="I4451" s="19"/>
      <c r="J4451" s="21"/>
      <c r="K4451" s="19"/>
    </row>
    <row r="4452" spans="3:11" x14ac:dyDescent="0.2">
      <c r="C4452" s="19"/>
      <c r="D4452" s="19"/>
      <c r="E4452" s="19"/>
      <c r="F4452" s="20"/>
      <c r="G4452" s="19"/>
      <c r="H4452" s="19"/>
      <c r="I4452" s="19"/>
      <c r="J4452" s="21"/>
      <c r="K4452" s="19"/>
    </row>
    <row r="4453" spans="3:11" x14ac:dyDescent="0.2">
      <c r="C4453" s="19"/>
      <c r="D4453" s="19"/>
      <c r="E4453" s="19"/>
      <c r="F4453" s="20"/>
      <c r="G4453" s="19"/>
      <c r="H4453" s="19"/>
      <c r="I4453" s="19"/>
      <c r="J4453" s="21"/>
      <c r="K4453" s="19"/>
    </row>
    <row r="4454" spans="3:11" x14ac:dyDescent="0.2">
      <c r="C4454" s="19"/>
      <c r="D4454" s="19"/>
      <c r="E4454" s="19"/>
      <c r="F4454" s="20"/>
      <c r="G4454" s="19"/>
      <c r="H4454" s="19"/>
      <c r="I4454" s="19"/>
      <c r="J4454" s="21"/>
      <c r="K4454" s="19"/>
    </row>
    <row r="4455" spans="3:11" x14ac:dyDescent="0.2">
      <c r="C4455" s="19"/>
      <c r="D4455" s="19"/>
      <c r="E4455" s="19"/>
      <c r="F4455" s="20"/>
      <c r="G4455" s="19"/>
      <c r="H4455" s="19"/>
      <c r="I4455" s="19"/>
      <c r="J4455" s="21"/>
      <c r="K4455" s="19"/>
    </row>
    <row r="4456" spans="3:11" x14ac:dyDescent="0.2">
      <c r="C4456" s="19"/>
      <c r="D4456" s="19"/>
      <c r="E4456" s="19"/>
      <c r="F4456" s="20"/>
      <c r="G4456" s="19"/>
      <c r="H4456" s="19"/>
      <c r="I4456" s="19"/>
      <c r="J4456" s="21"/>
      <c r="K4456" s="19"/>
    </row>
    <row r="4457" spans="3:11" x14ac:dyDescent="0.2">
      <c r="C4457" s="19"/>
      <c r="D4457" s="19"/>
      <c r="E4457" s="19"/>
      <c r="F4457" s="20"/>
      <c r="G4457" s="19"/>
      <c r="H4457" s="19"/>
      <c r="I4457" s="19"/>
      <c r="J4457" s="21"/>
      <c r="K4457" s="19"/>
    </row>
    <row r="4458" spans="3:11" x14ac:dyDescent="0.2">
      <c r="C4458" s="19"/>
      <c r="D4458" s="19"/>
      <c r="E4458" s="19"/>
      <c r="F4458" s="20"/>
      <c r="G4458" s="19"/>
      <c r="H4458" s="19"/>
      <c r="I4458" s="19"/>
      <c r="J4458" s="21"/>
      <c r="K4458" s="19"/>
    </row>
    <row r="4459" spans="3:11" x14ac:dyDescent="0.2">
      <c r="C4459" s="19"/>
      <c r="D4459" s="19"/>
      <c r="E4459" s="19"/>
      <c r="F4459" s="20"/>
      <c r="G4459" s="19"/>
      <c r="H4459" s="19"/>
      <c r="I4459" s="19"/>
      <c r="J4459" s="21"/>
      <c r="K4459" s="19"/>
    </row>
    <row r="4460" spans="3:11" x14ac:dyDescent="0.2">
      <c r="C4460" s="19"/>
      <c r="D4460" s="19"/>
      <c r="E4460" s="19"/>
      <c r="F4460" s="20"/>
      <c r="G4460" s="19"/>
      <c r="H4460" s="19"/>
      <c r="I4460" s="19"/>
      <c r="J4460" s="21"/>
      <c r="K4460" s="19"/>
    </row>
    <row r="4461" spans="3:11" x14ac:dyDescent="0.2">
      <c r="C4461" s="19"/>
      <c r="D4461" s="19"/>
      <c r="E4461" s="19"/>
      <c r="F4461" s="20"/>
      <c r="G4461" s="19"/>
      <c r="H4461" s="19"/>
      <c r="I4461" s="19"/>
      <c r="J4461" s="21"/>
      <c r="K4461" s="19"/>
    </row>
    <row r="4462" spans="3:11" x14ac:dyDescent="0.2">
      <c r="C4462" s="19"/>
      <c r="D4462" s="19"/>
      <c r="E4462" s="19"/>
      <c r="F4462" s="20"/>
      <c r="G4462" s="19"/>
      <c r="H4462" s="19"/>
      <c r="I4462" s="19"/>
      <c r="J4462" s="21"/>
      <c r="K4462" s="19"/>
    </row>
    <row r="4463" spans="3:11" x14ac:dyDescent="0.2">
      <c r="C4463" s="19"/>
      <c r="D4463" s="19"/>
      <c r="E4463" s="19"/>
      <c r="F4463" s="20"/>
      <c r="G4463" s="19"/>
      <c r="H4463" s="19"/>
      <c r="I4463" s="19"/>
      <c r="J4463" s="21"/>
      <c r="K4463" s="19"/>
    </row>
    <row r="4464" spans="3:11" x14ac:dyDescent="0.2">
      <c r="C4464" s="19"/>
      <c r="D4464" s="19"/>
      <c r="E4464" s="19"/>
      <c r="F4464" s="20"/>
      <c r="G4464" s="19"/>
      <c r="H4464" s="19"/>
      <c r="I4464" s="19"/>
      <c r="J4464" s="21"/>
      <c r="K4464" s="19"/>
    </row>
    <row r="4465" spans="3:11" x14ac:dyDescent="0.2">
      <c r="C4465" s="19"/>
      <c r="D4465" s="19"/>
      <c r="E4465" s="19"/>
      <c r="F4465" s="20"/>
      <c r="G4465" s="19"/>
      <c r="H4465" s="19"/>
      <c r="I4465" s="19"/>
      <c r="J4465" s="21"/>
      <c r="K4465" s="19"/>
    </row>
    <row r="4466" spans="3:11" x14ac:dyDescent="0.2">
      <c r="C4466" s="19"/>
      <c r="D4466" s="19"/>
      <c r="E4466" s="19"/>
      <c r="F4466" s="20"/>
      <c r="G4466" s="19"/>
      <c r="H4466" s="19"/>
      <c r="I4466" s="19"/>
      <c r="J4466" s="21"/>
      <c r="K4466" s="19"/>
    </row>
    <row r="4467" spans="3:11" x14ac:dyDescent="0.2">
      <c r="C4467" s="19"/>
      <c r="D4467" s="19"/>
      <c r="E4467" s="19"/>
      <c r="F4467" s="20"/>
      <c r="G4467" s="19"/>
      <c r="H4467" s="19"/>
      <c r="I4467" s="19"/>
      <c r="J4467" s="21"/>
      <c r="K4467" s="19"/>
    </row>
    <row r="4468" spans="3:11" x14ac:dyDescent="0.2">
      <c r="C4468" s="19"/>
      <c r="D4468" s="19"/>
      <c r="E4468" s="19"/>
      <c r="F4468" s="20"/>
      <c r="G4468" s="19"/>
      <c r="H4468" s="19"/>
      <c r="I4468" s="19"/>
      <c r="J4468" s="21"/>
      <c r="K4468" s="19"/>
    </row>
    <row r="4469" spans="3:11" x14ac:dyDescent="0.2">
      <c r="C4469" s="19"/>
      <c r="D4469" s="19"/>
      <c r="E4469" s="19"/>
      <c r="F4469" s="20"/>
      <c r="G4469" s="19"/>
      <c r="H4469" s="19"/>
      <c r="I4469" s="19"/>
      <c r="J4469" s="21"/>
      <c r="K4469" s="19"/>
    </row>
    <row r="4470" spans="3:11" x14ac:dyDescent="0.2">
      <c r="C4470" s="19"/>
      <c r="D4470" s="19"/>
      <c r="E4470" s="19"/>
      <c r="F4470" s="20"/>
      <c r="G4470" s="19"/>
      <c r="H4470" s="19"/>
      <c r="I4470" s="19"/>
      <c r="J4470" s="21"/>
      <c r="K4470" s="19"/>
    </row>
    <row r="4471" spans="3:11" x14ac:dyDescent="0.2">
      <c r="C4471" s="19"/>
      <c r="D4471" s="19"/>
      <c r="E4471" s="19"/>
      <c r="F4471" s="20"/>
      <c r="G4471" s="19"/>
      <c r="H4471" s="19"/>
      <c r="I4471" s="19"/>
      <c r="J4471" s="21"/>
      <c r="K4471" s="19"/>
    </row>
    <row r="4472" spans="3:11" x14ac:dyDescent="0.2">
      <c r="C4472" s="19"/>
      <c r="D4472" s="19"/>
      <c r="E4472" s="19"/>
      <c r="F4472" s="20"/>
      <c r="G4472" s="19"/>
      <c r="H4472" s="19"/>
      <c r="I4472" s="19"/>
      <c r="J4472" s="21"/>
      <c r="K4472" s="19"/>
    </row>
    <row r="4473" spans="3:11" x14ac:dyDescent="0.2">
      <c r="C4473" s="19"/>
      <c r="D4473" s="19"/>
      <c r="E4473" s="19"/>
      <c r="F4473" s="20"/>
      <c r="G4473" s="19"/>
      <c r="H4473" s="19"/>
      <c r="I4473" s="19"/>
      <c r="J4473" s="19"/>
      <c r="K4473" s="19"/>
    </row>
    <row r="4474" spans="3:11" x14ac:dyDescent="0.2">
      <c r="C4474" s="19"/>
      <c r="D4474" s="19"/>
      <c r="E4474" s="19"/>
      <c r="F4474" s="20"/>
      <c r="G4474" s="19"/>
      <c r="H4474" s="19"/>
      <c r="I4474" s="19"/>
      <c r="J4474" s="21"/>
      <c r="K4474" s="19"/>
    </row>
    <row r="4475" spans="3:11" x14ac:dyDescent="0.2">
      <c r="C4475" s="19"/>
      <c r="D4475" s="19"/>
      <c r="E4475" s="19"/>
      <c r="F4475" s="20"/>
      <c r="G4475" s="19"/>
      <c r="H4475" s="19"/>
      <c r="I4475" s="19"/>
      <c r="J4475" s="21"/>
      <c r="K4475" s="19"/>
    </row>
    <row r="4476" spans="3:11" x14ac:dyDescent="0.2">
      <c r="C4476" s="19"/>
      <c r="D4476" s="19"/>
      <c r="E4476" s="19"/>
      <c r="F4476" s="20"/>
      <c r="G4476" s="19"/>
      <c r="H4476" s="19"/>
      <c r="I4476" s="19"/>
      <c r="J4476" s="21"/>
      <c r="K4476" s="19"/>
    </row>
    <row r="4477" spans="3:11" x14ac:dyDescent="0.2">
      <c r="C4477" s="19"/>
      <c r="D4477" s="19"/>
      <c r="E4477" s="19"/>
      <c r="F4477" s="20"/>
      <c r="G4477" s="19"/>
      <c r="H4477" s="19"/>
      <c r="I4477" s="19"/>
      <c r="J4477" s="21"/>
      <c r="K4477" s="19"/>
    </row>
    <row r="4478" spans="3:11" x14ac:dyDescent="0.2">
      <c r="C4478" s="19"/>
      <c r="D4478" s="19"/>
      <c r="E4478" s="19"/>
      <c r="F4478" s="20"/>
      <c r="G4478" s="19"/>
      <c r="H4478" s="19"/>
      <c r="I4478" s="19"/>
      <c r="J4478" s="21"/>
      <c r="K4478" s="19"/>
    </row>
    <row r="4479" spans="3:11" x14ac:dyDescent="0.2">
      <c r="C4479" s="19"/>
      <c r="D4479" s="19"/>
      <c r="E4479" s="19"/>
      <c r="F4479" s="20"/>
      <c r="G4479" s="19"/>
      <c r="H4479" s="19"/>
      <c r="I4479" s="19"/>
      <c r="J4479" s="21"/>
      <c r="K4479" s="19"/>
    </row>
    <row r="4480" spans="3:11" x14ac:dyDescent="0.2">
      <c r="C4480" s="19"/>
      <c r="D4480" s="19"/>
      <c r="E4480" s="19"/>
      <c r="F4480" s="20"/>
      <c r="G4480" s="19"/>
      <c r="H4480" s="19"/>
      <c r="I4480" s="19"/>
      <c r="J4480" s="21"/>
      <c r="K4480" s="19"/>
    </row>
    <row r="4481" spans="3:11" x14ac:dyDescent="0.2">
      <c r="C4481" s="19"/>
      <c r="D4481" s="19"/>
      <c r="E4481" s="19"/>
      <c r="F4481" s="20"/>
      <c r="G4481" s="19"/>
      <c r="H4481" s="19"/>
      <c r="I4481" s="19"/>
      <c r="J4481" s="21"/>
      <c r="K4481" s="19"/>
    </row>
    <row r="4482" spans="3:11" x14ac:dyDescent="0.2">
      <c r="C4482" s="19"/>
      <c r="D4482" s="19"/>
      <c r="E4482" s="19"/>
      <c r="F4482" s="20"/>
      <c r="G4482" s="19"/>
      <c r="H4482" s="19"/>
      <c r="I4482" s="19"/>
      <c r="J4482" s="21"/>
      <c r="K4482" s="19"/>
    </row>
    <row r="4483" spans="3:11" x14ac:dyDescent="0.2">
      <c r="C4483" s="19"/>
      <c r="D4483" s="19"/>
      <c r="E4483" s="19"/>
      <c r="F4483" s="20"/>
      <c r="G4483" s="19"/>
      <c r="H4483" s="19"/>
      <c r="I4483" s="19"/>
      <c r="J4483" s="21"/>
      <c r="K4483" s="19"/>
    </row>
    <row r="4484" spans="3:11" x14ac:dyDescent="0.2">
      <c r="C4484" s="19"/>
      <c r="D4484" s="19"/>
      <c r="E4484" s="19"/>
      <c r="F4484" s="20"/>
      <c r="G4484" s="19"/>
      <c r="H4484" s="19"/>
      <c r="I4484" s="19"/>
      <c r="J4484" s="21"/>
      <c r="K4484" s="19"/>
    </row>
    <row r="4485" spans="3:11" x14ac:dyDescent="0.2">
      <c r="C4485" s="19"/>
      <c r="D4485" s="19"/>
      <c r="E4485" s="19"/>
      <c r="F4485" s="20"/>
      <c r="G4485" s="19"/>
      <c r="H4485" s="19"/>
      <c r="I4485" s="19"/>
      <c r="J4485" s="21"/>
      <c r="K4485" s="19"/>
    </row>
    <row r="4486" spans="3:11" x14ac:dyDescent="0.2">
      <c r="C4486" s="19"/>
      <c r="D4486" s="19"/>
      <c r="E4486" s="19"/>
      <c r="F4486" s="20"/>
      <c r="G4486" s="19"/>
      <c r="H4486" s="19"/>
      <c r="I4486" s="19"/>
      <c r="J4486" s="21"/>
      <c r="K4486" s="19"/>
    </row>
    <row r="4487" spans="3:11" x14ac:dyDescent="0.2">
      <c r="C4487" s="19"/>
      <c r="D4487" s="19"/>
      <c r="E4487" s="19"/>
      <c r="F4487" s="20"/>
      <c r="G4487" s="19"/>
      <c r="H4487" s="19"/>
      <c r="I4487" s="19"/>
      <c r="J4487" s="21"/>
      <c r="K4487" s="19"/>
    </row>
    <row r="4488" spans="3:11" x14ac:dyDescent="0.2">
      <c r="C4488" s="19"/>
      <c r="D4488" s="19"/>
      <c r="E4488" s="19"/>
      <c r="F4488" s="20"/>
      <c r="G4488" s="19"/>
      <c r="H4488" s="19"/>
      <c r="I4488" s="19"/>
      <c r="J4488" s="21"/>
      <c r="K4488" s="19"/>
    </row>
    <row r="4489" spans="3:11" x14ac:dyDescent="0.2">
      <c r="C4489" s="19"/>
      <c r="D4489" s="19"/>
      <c r="E4489" s="19"/>
      <c r="F4489" s="20"/>
      <c r="G4489" s="19"/>
      <c r="H4489" s="19"/>
      <c r="I4489" s="19"/>
      <c r="J4489" s="21"/>
      <c r="K4489" s="19"/>
    </row>
    <row r="4490" spans="3:11" x14ac:dyDescent="0.2">
      <c r="C4490" s="19"/>
      <c r="D4490" s="19"/>
      <c r="E4490" s="19"/>
      <c r="F4490" s="20"/>
      <c r="G4490" s="19"/>
      <c r="H4490" s="19"/>
      <c r="I4490" s="19"/>
      <c r="J4490" s="21"/>
      <c r="K4490" s="19"/>
    </row>
    <row r="4491" spans="3:11" x14ac:dyDescent="0.2">
      <c r="C4491" s="19"/>
      <c r="D4491" s="19"/>
      <c r="E4491" s="19"/>
      <c r="F4491" s="20"/>
      <c r="G4491" s="19"/>
      <c r="H4491" s="19"/>
      <c r="I4491" s="19"/>
      <c r="J4491" s="21"/>
      <c r="K4491" s="19"/>
    </row>
    <row r="4492" spans="3:11" x14ac:dyDescent="0.2">
      <c r="C4492" s="19"/>
      <c r="D4492" s="19"/>
      <c r="E4492" s="19"/>
      <c r="F4492" s="20"/>
      <c r="G4492" s="19"/>
      <c r="H4492" s="19"/>
      <c r="I4492" s="19"/>
      <c r="J4492" s="21"/>
      <c r="K4492" s="19"/>
    </row>
    <row r="4493" spans="3:11" x14ac:dyDescent="0.2">
      <c r="C4493" s="19"/>
      <c r="D4493" s="19"/>
      <c r="E4493" s="19"/>
      <c r="F4493" s="20"/>
      <c r="G4493" s="19"/>
      <c r="H4493" s="19"/>
      <c r="I4493" s="19"/>
      <c r="J4493" s="21"/>
      <c r="K4493" s="19"/>
    </row>
    <row r="4494" spans="3:11" x14ac:dyDescent="0.2">
      <c r="C4494" s="19"/>
      <c r="D4494" s="19"/>
      <c r="E4494" s="19"/>
      <c r="F4494" s="20"/>
      <c r="G4494" s="19"/>
      <c r="H4494" s="19"/>
      <c r="I4494" s="19"/>
      <c r="J4494" s="19"/>
      <c r="K4494" s="19"/>
    </row>
    <row r="4495" spans="3:11" x14ac:dyDescent="0.2">
      <c r="C4495" s="19"/>
      <c r="D4495" s="19"/>
      <c r="E4495" s="19"/>
      <c r="F4495" s="20"/>
      <c r="G4495" s="19"/>
      <c r="H4495" s="19"/>
      <c r="I4495" s="19"/>
      <c r="J4495" s="21"/>
      <c r="K4495" s="19"/>
    </row>
    <row r="4496" spans="3:11" x14ac:dyDescent="0.2">
      <c r="C4496" s="19"/>
      <c r="D4496" s="19"/>
      <c r="E4496" s="19"/>
      <c r="F4496" s="20"/>
      <c r="G4496" s="19"/>
      <c r="H4496" s="19"/>
      <c r="I4496" s="19"/>
      <c r="J4496" s="21"/>
      <c r="K4496" s="19"/>
    </row>
    <row r="4497" spans="3:11" x14ac:dyDescent="0.2">
      <c r="C4497" s="19"/>
      <c r="D4497" s="19"/>
      <c r="E4497" s="19"/>
      <c r="F4497" s="20"/>
      <c r="G4497" s="19"/>
      <c r="H4497" s="19"/>
      <c r="I4497" s="19"/>
      <c r="J4497" s="21"/>
      <c r="K4497" s="19"/>
    </row>
    <row r="4498" spans="3:11" x14ac:dyDescent="0.2">
      <c r="C4498" s="19"/>
      <c r="D4498" s="19"/>
      <c r="E4498" s="19"/>
      <c r="F4498" s="20"/>
      <c r="G4498" s="19"/>
      <c r="H4498" s="19"/>
      <c r="I4498" s="19"/>
      <c r="J4498" s="21"/>
      <c r="K4498" s="19"/>
    </row>
    <row r="4499" spans="3:11" x14ac:dyDescent="0.2">
      <c r="C4499" s="19"/>
      <c r="D4499" s="19"/>
      <c r="E4499" s="19"/>
      <c r="F4499" s="20"/>
      <c r="G4499" s="19"/>
      <c r="H4499" s="19"/>
      <c r="I4499" s="19"/>
      <c r="J4499" s="21"/>
      <c r="K4499" s="19"/>
    </row>
    <row r="4500" spans="3:11" x14ac:dyDescent="0.2">
      <c r="C4500" s="19"/>
      <c r="D4500" s="19"/>
      <c r="E4500" s="19"/>
      <c r="F4500" s="20"/>
      <c r="G4500" s="19"/>
      <c r="H4500" s="19"/>
      <c r="I4500" s="19"/>
      <c r="J4500" s="21"/>
      <c r="K4500" s="19"/>
    </row>
    <row r="4501" spans="3:11" x14ac:dyDescent="0.2">
      <c r="C4501" s="19"/>
      <c r="D4501" s="19"/>
      <c r="E4501" s="19"/>
      <c r="F4501" s="20"/>
      <c r="G4501" s="19"/>
      <c r="H4501" s="19"/>
      <c r="I4501" s="19"/>
      <c r="J4501" s="21"/>
      <c r="K4501" s="19"/>
    </row>
    <row r="4502" spans="3:11" x14ac:dyDescent="0.2">
      <c r="C4502" s="19"/>
      <c r="D4502" s="19"/>
      <c r="E4502" s="19"/>
      <c r="F4502" s="20"/>
      <c r="G4502" s="19"/>
      <c r="H4502" s="19"/>
      <c r="I4502" s="19"/>
      <c r="J4502" s="21"/>
      <c r="K4502" s="19"/>
    </row>
    <row r="4503" spans="3:11" x14ac:dyDescent="0.2">
      <c r="C4503" s="19"/>
      <c r="D4503" s="19"/>
      <c r="E4503" s="19"/>
      <c r="F4503" s="20"/>
      <c r="G4503" s="19"/>
      <c r="H4503" s="19"/>
      <c r="I4503" s="19"/>
      <c r="J4503" s="21"/>
      <c r="K4503" s="19"/>
    </row>
    <row r="4504" spans="3:11" x14ac:dyDescent="0.2">
      <c r="C4504" s="19"/>
      <c r="D4504" s="19"/>
      <c r="E4504" s="19"/>
      <c r="F4504" s="20"/>
      <c r="G4504" s="19"/>
      <c r="H4504" s="19"/>
      <c r="I4504" s="19"/>
      <c r="J4504" s="21"/>
      <c r="K4504" s="19"/>
    </row>
    <row r="4505" spans="3:11" x14ac:dyDescent="0.2">
      <c r="C4505" s="19"/>
      <c r="D4505" s="19"/>
      <c r="E4505" s="19"/>
      <c r="F4505" s="20"/>
      <c r="G4505" s="19"/>
      <c r="H4505" s="19"/>
      <c r="I4505" s="19"/>
      <c r="J4505" s="19"/>
      <c r="K4505" s="19"/>
    </row>
    <row r="4506" spans="3:11" x14ac:dyDescent="0.2">
      <c r="C4506" s="19"/>
      <c r="D4506" s="19"/>
      <c r="E4506" s="19"/>
      <c r="F4506" s="20"/>
      <c r="G4506" s="19"/>
      <c r="H4506" s="19"/>
      <c r="I4506" s="19"/>
      <c r="J4506" s="21"/>
      <c r="K4506" s="19"/>
    </row>
    <row r="4507" spans="3:11" x14ac:dyDescent="0.2">
      <c r="C4507" s="19"/>
      <c r="D4507" s="19"/>
      <c r="E4507" s="19"/>
      <c r="F4507" s="20"/>
      <c r="G4507" s="19"/>
      <c r="H4507" s="19"/>
      <c r="I4507" s="19"/>
      <c r="J4507" s="21"/>
      <c r="K4507" s="19"/>
    </row>
    <row r="4508" spans="3:11" x14ac:dyDescent="0.2">
      <c r="C4508" s="19"/>
      <c r="D4508" s="19"/>
      <c r="E4508" s="19"/>
      <c r="F4508" s="20"/>
      <c r="G4508" s="19"/>
      <c r="H4508" s="19"/>
      <c r="I4508" s="19"/>
      <c r="J4508" s="21"/>
      <c r="K4508" s="19"/>
    </row>
    <row r="4509" spans="3:11" x14ac:dyDescent="0.2">
      <c r="C4509" s="19"/>
      <c r="D4509" s="19"/>
      <c r="E4509" s="19"/>
      <c r="F4509" s="20"/>
      <c r="G4509" s="19"/>
      <c r="H4509" s="19"/>
      <c r="I4509" s="19"/>
      <c r="J4509" s="21"/>
      <c r="K4509" s="19"/>
    </row>
    <row r="4510" spans="3:11" x14ac:dyDescent="0.2">
      <c r="C4510" s="19"/>
      <c r="D4510" s="19"/>
      <c r="E4510" s="19"/>
      <c r="F4510" s="20"/>
      <c r="G4510" s="19"/>
      <c r="H4510" s="19"/>
      <c r="I4510" s="19"/>
      <c r="J4510" s="21"/>
      <c r="K4510" s="19"/>
    </row>
    <row r="4511" spans="3:11" x14ac:dyDescent="0.2">
      <c r="C4511" s="19"/>
      <c r="D4511" s="19"/>
      <c r="E4511" s="19"/>
      <c r="F4511" s="20"/>
      <c r="G4511" s="19"/>
      <c r="H4511" s="19"/>
      <c r="I4511" s="19"/>
      <c r="J4511" s="21"/>
      <c r="K4511" s="19"/>
    </row>
    <row r="4512" spans="3:11" x14ac:dyDescent="0.2">
      <c r="C4512" s="19"/>
      <c r="D4512" s="19"/>
      <c r="E4512" s="19"/>
      <c r="F4512" s="20"/>
      <c r="G4512" s="19"/>
      <c r="H4512" s="19"/>
      <c r="I4512" s="19"/>
      <c r="J4512" s="21"/>
      <c r="K4512" s="19"/>
    </row>
    <row r="4513" spans="3:11" x14ac:dyDescent="0.2">
      <c r="C4513" s="19"/>
      <c r="D4513" s="19"/>
      <c r="E4513" s="19"/>
      <c r="F4513" s="20"/>
      <c r="G4513" s="19"/>
      <c r="H4513" s="19"/>
      <c r="I4513" s="19"/>
      <c r="J4513" s="21"/>
      <c r="K4513" s="19"/>
    </row>
    <row r="4514" spans="3:11" x14ac:dyDescent="0.2">
      <c r="C4514" s="19"/>
      <c r="D4514" s="19"/>
      <c r="E4514" s="19"/>
      <c r="F4514" s="20"/>
      <c r="G4514" s="19"/>
      <c r="H4514" s="19"/>
      <c r="I4514" s="19"/>
      <c r="J4514" s="21"/>
      <c r="K4514" s="19"/>
    </row>
    <row r="4515" spans="3:11" x14ac:dyDescent="0.2">
      <c r="C4515" s="19"/>
      <c r="D4515" s="19"/>
      <c r="E4515" s="19"/>
      <c r="F4515" s="20"/>
      <c r="G4515" s="19"/>
      <c r="H4515" s="19"/>
      <c r="I4515" s="19"/>
      <c r="J4515" s="21"/>
      <c r="K4515" s="19"/>
    </row>
    <row r="4516" spans="3:11" x14ac:dyDescent="0.2">
      <c r="C4516" s="19"/>
      <c r="D4516" s="19"/>
      <c r="E4516" s="19"/>
      <c r="F4516" s="20"/>
      <c r="G4516" s="19"/>
      <c r="H4516" s="19"/>
      <c r="I4516" s="19"/>
      <c r="J4516" s="21"/>
      <c r="K4516" s="19"/>
    </row>
    <row r="4517" spans="3:11" x14ac:dyDescent="0.2">
      <c r="C4517" s="19"/>
      <c r="D4517" s="19"/>
      <c r="E4517" s="19"/>
      <c r="F4517" s="20"/>
      <c r="G4517" s="19"/>
      <c r="H4517" s="19"/>
      <c r="I4517" s="19"/>
      <c r="J4517" s="21"/>
      <c r="K4517" s="19"/>
    </row>
    <row r="4518" spans="3:11" x14ac:dyDescent="0.2">
      <c r="C4518" s="19"/>
      <c r="D4518" s="19"/>
      <c r="E4518" s="19"/>
      <c r="F4518" s="20"/>
      <c r="G4518" s="19"/>
      <c r="H4518" s="19"/>
      <c r="I4518" s="19"/>
      <c r="J4518" s="21"/>
      <c r="K4518" s="19"/>
    </row>
    <row r="4519" spans="3:11" x14ac:dyDescent="0.2">
      <c r="C4519" s="19"/>
      <c r="D4519" s="19"/>
      <c r="E4519" s="19"/>
      <c r="F4519" s="20"/>
      <c r="G4519" s="19"/>
      <c r="H4519" s="19"/>
      <c r="I4519" s="19"/>
      <c r="J4519" s="21"/>
      <c r="K4519" s="19"/>
    </row>
    <row r="4520" spans="3:11" x14ac:dyDescent="0.2">
      <c r="C4520" s="19"/>
      <c r="D4520" s="19"/>
      <c r="E4520" s="19"/>
      <c r="F4520" s="20"/>
      <c r="G4520" s="19"/>
      <c r="H4520" s="19"/>
      <c r="I4520" s="19"/>
      <c r="J4520" s="21"/>
      <c r="K4520" s="19"/>
    </row>
    <row r="4521" spans="3:11" x14ac:dyDescent="0.2">
      <c r="C4521" s="19"/>
      <c r="D4521" s="19"/>
      <c r="E4521" s="19"/>
      <c r="F4521" s="20"/>
      <c r="G4521" s="19"/>
      <c r="H4521" s="19"/>
      <c r="I4521" s="19"/>
      <c r="J4521" s="21"/>
      <c r="K4521" s="19"/>
    </row>
    <row r="4522" spans="3:11" x14ac:dyDescent="0.2">
      <c r="C4522" s="19"/>
      <c r="D4522" s="19"/>
      <c r="E4522" s="19"/>
      <c r="F4522" s="20"/>
      <c r="G4522" s="19"/>
      <c r="H4522" s="19"/>
      <c r="I4522" s="19"/>
      <c r="J4522" s="21"/>
      <c r="K4522" s="19"/>
    </row>
    <row r="4523" spans="3:11" x14ac:dyDescent="0.2">
      <c r="C4523" s="19"/>
      <c r="D4523" s="19"/>
      <c r="E4523" s="19"/>
      <c r="F4523" s="20"/>
      <c r="G4523" s="19"/>
      <c r="H4523" s="19"/>
      <c r="I4523" s="19"/>
      <c r="J4523" s="21"/>
      <c r="K4523" s="19"/>
    </row>
    <row r="4524" spans="3:11" x14ac:dyDescent="0.2">
      <c r="C4524" s="19"/>
      <c r="D4524" s="19"/>
      <c r="E4524" s="19"/>
      <c r="F4524" s="20"/>
      <c r="G4524" s="19"/>
      <c r="H4524" s="19"/>
      <c r="I4524" s="19"/>
      <c r="J4524" s="21"/>
      <c r="K4524" s="19"/>
    </row>
    <row r="4525" spans="3:11" x14ac:dyDescent="0.2">
      <c r="C4525" s="19"/>
      <c r="D4525" s="19"/>
      <c r="E4525" s="19"/>
      <c r="F4525" s="20"/>
      <c r="G4525" s="19"/>
      <c r="H4525" s="19"/>
      <c r="I4525" s="19"/>
      <c r="J4525" s="21"/>
      <c r="K4525" s="19"/>
    </row>
    <row r="4526" spans="3:11" x14ac:dyDescent="0.2">
      <c r="C4526" s="19"/>
      <c r="D4526" s="19"/>
      <c r="E4526" s="19"/>
      <c r="F4526" s="20"/>
      <c r="G4526" s="19"/>
      <c r="H4526" s="19"/>
      <c r="I4526" s="19"/>
      <c r="J4526" s="21"/>
      <c r="K4526" s="19"/>
    </row>
    <row r="4527" spans="3:11" x14ac:dyDescent="0.2">
      <c r="C4527" s="19"/>
      <c r="D4527" s="19"/>
      <c r="E4527" s="19"/>
      <c r="F4527" s="20"/>
      <c r="G4527" s="19"/>
      <c r="H4527" s="19"/>
      <c r="I4527" s="19"/>
      <c r="J4527" s="19"/>
      <c r="K4527" s="19"/>
    </row>
    <row r="4528" spans="3:11" x14ac:dyDescent="0.2">
      <c r="C4528" s="19"/>
      <c r="D4528" s="19"/>
      <c r="E4528" s="19"/>
      <c r="F4528" s="20"/>
      <c r="G4528" s="19"/>
      <c r="H4528" s="19"/>
      <c r="I4528" s="19"/>
      <c r="J4528" s="21"/>
      <c r="K4528" s="19"/>
    </row>
    <row r="4529" spans="3:11" x14ac:dyDescent="0.2">
      <c r="C4529" s="19"/>
      <c r="D4529" s="19"/>
      <c r="E4529" s="19"/>
      <c r="F4529" s="20"/>
      <c r="G4529" s="19"/>
      <c r="H4529" s="19"/>
      <c r="I4529" s="19"/>
      <c r="J4529" s="21"/>
      <c r="K4529" s="19"/>
    </row>
    <row r="4530" spans="3:11" x14ac:dyDescent="0.2">
      <c r="C4530" s="19"/>
      <c r="D4530" s="19"/>
      <c r="E4530" s="19"/>
      <c r="F4530" s="20"/>
      <c r="G4530" s="19"/>
      <c r="H4530" s="19"/>
      <c r="I4530" s="19"/>
      <c r="J4530" s="21"/>
      <c r="K4530" s="19"/>
    </row>
    <row r="4531" spans="3:11" x14ac:dyDescent="0.2">
      <c r="C4531" s="19"/>
      <c r="D4531" s="19"/>
      <c r="E4531" s="19"/>
      <c r="F4531" s="20"/>
      <c r="G4531" s="19"/>
      <c r="H4531" s="19"/>
      <c r="I4531" s="19"/>
      <c r="J4531" s="21"/>
      <c r="K4531" s="19"/>
    </row>
    <row r="4532" spans="3:11" x14ac:dyDescent="0.2">
      <c r="C4532" s="19"/>
      <c r="D4532" s="19"/>
      <c r="E4532" s="19"/>
      <c r="F4532" s="20"/>
      <c r="G4532" s="19"/>
      <c r="H4532" s="19"/>
      <c r="I4532" s="19"/>
      <c r="J4532" s="21"/>
      <c r="K4532" s="19"/>
    </row>
    <row r="4533" spans="3:11" x14ac:dyDescent="0.2">
      <c r="C4533" s="19"/>
      <c r="D4533" s="19"/>
      <c r="E4533" s="19"/>
      <c r="F4533" s="20"/>
      <c r="G4533" s="19"/>
      <c r="H4533" s="19"/>
      <c r="I4533" s="19"/>
      <c r="J4533" s="21"/>
      <c r="K4533" s="19"/>
    </row>
    <row r="4534" spans="3:11" x14ac:dyDescent="0.2">
      <c r="C4534" s="19"/>
      <c r="D4534" s="19"/>
      <c r="E4534" s="19"/>
      <c r="F4534" s="20"/>
      <c r="G4534" s="19"/>
      <c r="H4534" s="19"/>
      <c r="I4534" s="19"/>
      <c r="J4534" s="21"/>
      <c r="K4534" s="19"/>
    </row>
    <row r="4535" spans="3:11" x14ac:dyDescent="0.2">
      <c r="C4535" s="19"/>
      <c r="D4535" s="19"/>
      <c r="E4535" s="19"/>
      <c r="F4535" s="20"/>
      <c r="G4535" s="19"/>
      <c r="H4535" s="19"/>
      <c r="I4535" s="19"/>
      <c r="J4535" s="21"/>
      <c r="K4535" s="19"/>
    </row>
    <row r="4536" spans="3:11" x14ac:dyDescent="0.2">
      <c r="C4536" s="19"/>
      <c r="D4536" s="19"/>
      <c r="E4536" s="19"/>
      <c r="F4536" s="20"/>
      <c r="G4536" s="19"/>
      <c r="H4536" s="19"/>
      <c r="I4536" s="19"/>
      <c r="J4536" s="21"/>
      <c r="K4536" s="19"/>
    </row>
    <row r="4537" spans="3:11" x14ac:dyDescent="0.2">
      <c r="C4537" s="19"/>
      <c r="D4537" s="19"/>
      <c r="E4537" s="19"/>
      <c r="F4537" s="20"/>
      <c r="G4537" s="19"/>
      <c r="H4537" s="19"/>
      <c r="I4537" s="19"/>
      <c r="J4537" s="21"/>
      <c r="K4537" s="19"/>
    </row>
    <row r="4538" spans="3:11" x14ac:dyDescent="0.2">
      <c r="C4538" s="19"/>
      <c r="D4538" s="19"/>
      <c r="E4538" s="19"/>
      <c r="F4538" s="20"/>
      <c r="G4538" s="19"/>
      <c r="H4538" s="19"/>
      <c r="I4538" s="19"/>
      <c r="J4538" s="21"/>
      <c r="K4538" s="19"/>
    </row>
    <row r="4539" spans="3:11" x14ac:dyDescent="0.2">
      <c r="C4539" s="19"/>
      <c r="D4539" s="19"/>
      <c r="E4539" s="19"/>
      <c r="F4539" s="20"/>
      <c r="G4539" s="19"/>
      <c r="H4539" s="19"/>
      <c r="I4539" s="19"/>
      <c r="J4539" s="21"/>
      <c r="K4539" s="19"/>
    </row>
    <row r="4540" spans="3:11" x14ac:dyDescent="0.2">
      <c r="C4540" s="19"/>
      <c r="D4540" s="19"/>
      <c r="E4540" s="19"/>
      <c r="F4540" s="20"/>
      <c r="G4540" s="19"/>
      <c r="H4540" s="19"/>
      <c r="I4540" s="19"/>
      <c r="J4540" s="19"/>
      <c r="K4540" s="19"/>
    </row>
    <row r="4541" spans="3:11" x14ac:dyDescent="0.2">
      <c r="C4541" s="19"/>
      <c r="D4541" s="19"/>
      <c r="E4541" s="19"/>
      <c r="F4541" s="20"/>
      <c r="G4541" s="19"/>
      <c r="H4541" s="19"/>
      <c r="I4541" s="19"/>
      <c r="J4541" s="21"/>
      <c r="K4541" s="19"/>
    </row>
    <row r="4542" spans="3:11" x14ac:dyDescent="0.2">
      <c r="C4542" s="19"/>
      <c r="D4542" s="19"/>
      <c r="E4542" s="19"/>
      <c r="F4542" s="20"/>
      <c r="G4542" s="19"/>
      <c r="H4542" s="19"/>
      <c r="I4542" s="19"/>
      <c r="J4542" s="21"/>
      <c r="K4542" s="19"/>
    </row>
    <row r="4543" spans="3:11" x14ac:dyDescent="0.2">
      <c r="C4543" s="19"/>
      <c r="D4543" s="19"/>
      <c r="E4543" s="19"/>
      <c r="F4543" s="20"/>
      <c r="G4543" s="19"/>
      <c r="H4543" s="19"/>
      <c r="I4543" s="19"/>
      <c r="J4543" s="21"/>
      <c r="K4543" s="19"/>
    </row>
    <row r="4544" spans="3:11" x14ac:dyDescent="0.2">
      <c r="C4544" s="19"/>
      <c r="D4544" s="19"/>
      <c r="E4544" s="19"/>
      <c r="F4544" s="20"/>
      <c r="G4544" s="19"/>
      <c r="H4544" s="19"/>
      <c r="I4544" s="19"/>
      <c r="J4544" s="21"/>
      <c r="K4544" s="19"/>
    </row>
    <row r="4545" spans="3:11" x14ac:dyDescent="0.2">
      <c r="C4545" s="19"/>
      <c r="D4545" s="19"/>
      <c r="E4545" s="19"/>
      <c r="F4545" s="20"/>
      <c r="G4545" s="19"/>
      <c r="H4545" s="19"/>
      <c r="I4545" s="19"/>
      <c r="J4545" s="21"/>
      <c r="K4545" s="19"/>
    </row>
    <row r="4546" spans="3:11" x14ac:dyDescent="0.2">
      <c r="C4546" s="19"/>
      <c r="D4546" s="19"/>
      <c r="E4546" s="19"/>
      <c r="F4546" s="20"/>
      <c r="G4546" s="19"/>
      <c r="H4546" s="19"/>
      <c r="I4546" s="19"/>
      <c r="J4546" s="21"/>
      <c r="K4546" s="19"/>
    </row>
    <row r="4547" spans="3:11" x14ac:dyDescent="0.2">
      <c r="C4547" s="19"/>
      <c r="D4547" s="19"/>
      <c r="E4547" s="19"/>
      <c r="F4547" s="20"/>
      <c r="G4547" s="19"/>
      <c r="H4547" s="19"/>
      <c r="I4547" s="19"/>
      <c r="J4547" s="21"/>
      <c r="K4547" s="19"/>
    </row>
    <row r="4548" spans="3:11" x14ac:dyDescent="0.2">
      <c r="C4548" s="19"/>
      <c r="D4548" s="19"/>
      <c r="E4548" s="19"/>
      <c r="F4548" s="20"/>
      <c r="G4548" s="19"/>
      <c r="H4548" s="19"/>
      <c r="I4548" s="19"/>
      <c r="J4548" s="21"/>
      <c r="K4548" s="19"/>
    </row>
    <row r="4549" spans="3:11" x14ac:dyDescent="0.2">
      <c r="C4549" s="19"/>
      <c r="D4549" s="19"/>
      <c r="E4549" s="19"/>
      <c r="F4549" s="20"/>
      <c r="G4549" s="19"/>
      <c r="H4549" s="19"/>
      <c r="I4549" s="19"/>
      <c r="J4549" s="21"/>
      <c r="K4549" s="19"/>
    </row>
    <row r="4550" spans="3:11" x14ac:dyDescent="0.2">
      <c r="C4550" s="19"/>
      <c r="D4550" s="19"/>
      <c r="E4550" s="19"/>
      <c r="F4550" s="20"/>
      <c r="G4550" s="19"/>
      <c r="H4550" s="19"/>
      <c r="I4550" s="19"/>
      <c r="J4550" s="21"/>
      <c r="K4550" s="19"/>
    </row>
    <row r="4551" spans="3:11" x14ac:dyDescent="0.2">
      <c r="C4551" s="19"/>
      <c r="D4551" s="19"/>
      <c r="E4551" s="19"/>
      <c r="F4551" s="20"/>
      <c r="G4551" s="19"/>
      <c r="H4551" s="19"/>
      <c r="I4551" s="19"/>
      <c r="J4551" s="21"/>
      <c r="K4551" s="19"/>
    </row>
    <row r="4552" spans="3:11" x14ac:dyDescent="0.2">
      <c r="C4552" s="19"/>
      <c r="D4552" s="19"/>
      <c r="E4552" s="19"/>
      <c r="F4552" s="20"/>
      <c r="G4552" s="19"/>
      <c r="H4552" s="19"/>
      <c r="I4552" s="19"/>
      <c r="J4552" s="21"/>
      <c r="K4552" s="19"/>
    </row>
    <row r="4553" spans="3:11" x14ac:dyDescent="0.2">
      <c r="C4553" s="19"/>
      <c r="D4553" s="19"/>
      <c r="E4553" s="19"/>
      <c r="F4553" s="20"/>
      <c r="G4553" s="19"/>
      <c r="H4553" s="19"/>
      <c r="I4553" s="19"/>
      <c r="J4553" s="21"/>
      <c r="K4553" s="19"/>
    </row>
    <row r="4554" spans="3:11" x14ac:dyDescent="0.2">
      <c r="C4554" s="19"/>
      <c r="D4554" s="19"/>
      <c r="E4554" s="19"/>
      <c r="F4554" s="20"/>
      <c r="G4554" s="19"/>
      <c r="H4554" s="19"/>
      <c r="I4554" s="19"/>
      <c r="J4554" s="21"/>
      <c r="K4554" s="19"/>
    </row>
    <row r="4555" spans="3:11" x14ac:dyDescent="0.2">
      <c r="C4555" s="19"/>
      <c r="D4555" s="19"/>
      <c r="E4555" s="19"/>
      <c r="F4555" s="20"/>
      <c r="G4555" s="19"/>
      <c r="H4555" s="19"/>
      <c r="I4555" s="19"/>
      <c r="J4555" s="21"/>
      <c r="K4555" s="19"/>
    </row>
    <row r="4556" spans="3:11" x14ac:dyDescent="0.2">
      <c r="C4556" s="19"/>
      <c r="D4556" s="19"/>
      <c r="E4556" s="19"/>
      <c r="F4556" s="20"/>
      <c r="G4556" s="19"/>
      <c r="H4556" s="19"/>
      <c r="I4556" s="19"/>
      <c r="J4556" s="21"/>
      <c r="K4556" s="19"/>
    </row>
    <row r="4557" spans="3:11" x14ac:dyDescent="0.2">
      <c r="C4557" s="19"/>
      <c r="D4557" s="19"/>
      <c r="E4557" s="19"/>
      <c r="F4557" s="20"/>
      <c r="G4557" s="19"/>
      <c r="H4557" s="19"/>
      <c r="I4557" s="19"/>
      <c r="J4557" s="21"/>
      <c r="K4557" s="19"/>
    </row>
    <row r="4558" spans="3:11" x14ac:dyDescent="0.2">
      <c r="C4558" s="19"/>
      <c r="D4558" s="19"/>
      <c r="E4558" s="19"/>
      <c r="F4558" s="20"/>
      <c r="G4558" s="19"/>
      <c r="H4558" s="19"/>
      <c r="I4558" s="19"/>
      <c r="J4558" s="21"/>
      <c r="K4558" s="19"/>
    </row>
    <row r="4559" spans="3:11" x14ac:dyDescent="0.2">
      <c r="C4559" s="19"/>
      <c r="D4559" s="19"/>
      <c r="E4559" s="19"/>
      <c r="F4559" s="20"/>
      <c r="G4559" s="19"/>
      <c r="H4559" s="19"/>
      <c r="I4559" s="19"/>
      <c r="J4559" s="21"/>
      <c r="K4559" s="19"/>
    </row>
    <row r="4560" spans="3:11" x14ac:dyDescent="0.2">
      <c r="C4560" s="19"/>
      <c r="D4560" s="19"/>
      <c r="E4560" s="19"/>
      <c r="F4560" s="20"/>
      <c r="G4560" s="19"/>
      <c r="H4560" s="19"/>
      <c r="I4560" s="19"/>
      <c r="J4560" s="21"/>
      <c r="K4560" s="19"/>
    </row>
    <row r="4561" spans="3:11" x14ac:dyDescent="0.2">
      <c r="C4561" s="19"/>
      <c r="D4561" s="19"/>
      <c r="E4561" s="19"/>
      <c r="F4561" s="20"/>
      <c r="G4561" s="19"/>
      <c r="H4561" s="19"/>
      <c r="I4561" s="19"/>
      <c r="J4561" s="21"/>
      <c r="K4561" s="19"/>
    </row>
    <row r="4562" spans="3:11" x14ac:dyDescent="0.2">
      <c r="C4562" s="19"/>
      <c r="D4562" s="19"/>
      <c r="E4562" s="19"/>
      <c r="F4562" s="20"/>
      <c r="G4562" s="19"/>
      <c r="H4562" s="19"/>
      <c r="I4562" s="19"/>
      <c r="J4562" s="21"/>
      <c r="K4562" s="19"/>
    </row>
    <row r="4563" spans="3:11" x14ac:dyDescent="0.2">
      <c r="C4563" s="19"/>
      <c r="D4563" s="19"/>
      <c r="E4563" s="19"/>
      <c r="F4563" s="20"/>
      <c r="G4563" s="19"/>
      <c r="H4563" s="19"/>
      <c r="I4563" s="19"/>
      <c r="J4563" s="21"/>
      <c r="K4563" s="19"/>
    </row>
    <row r="4564" spans="3:11" x14ac:dyDescent="0.2">
      <c r="C4564" s="19"/>
      <c r="D4564" s="19"/>
      <c r="E4564" s="19"/>
      <c r="F4564" s="20"/>
      <c r="G4564" s="19"/>
      <c r="H4564" s="19"/>
      <c r="I4564" s="19"/>
      <c r="J4564" s="21"/>
      <c r="K4564" s="19"/>
    </row>
    <row r="4565" spans="3:11" x14ac:dyDescent="0.2">
      <c r="C4565" s="19"/>
      <c r="D4565" s="19"/>
      <c r="E4565" s="19"/>
      <c r="F4565" s="20"/>
      <c r="G4565" s="19"/>
      <c r="H4565" s="19"/>
      <c r="I4565" s="19"/>
      <c r="J4565" s="21"/>
      <c r="K4565" s="19"/>
    </row>
    <row r="4566" spans="3:11" x14ac:dyDescent="0.2">
      <c r="C4566" s="19"/>
      <c r="D4566" s="19"/>
      <c r="E4566" s="19"/>
      <c r="F4566" s="20"/>
      <c r="G4566" s="19"/>
      <c r="H4566" s="19"/>
      <c r="I4566" s="19"/>
      <c r="J4566" s="21"/>
      <c r="K4566" s="19"/>
    </row>
    <row r="4567" spans="3:11" x14ac:dyDescent="0.2">
      <c r="C4567" s="19"/>
      <c r="D4567" s="19"/>
      <c r="E4567" s="19"/>
      <c r="F4567" s="20"/>
      <c r="G4567" s="19"/>
      <c r="H4567" s="19"/>
      <c r="I4567" s="19"/>
      <c r="J4567" s="19"/>
      <c r="K4567" s="19"/>
    </row>
    <row r="4568" spans="3:11" x14ac:dyDescent="0.2">
      <c r="C4568" s="19"/>
      <c r="D4568" s="19"/>
      <c r="E4568" s="19"/>
      <c r="F4568" s="20"/>
      <c r="G4568" s="19"/>
      <c r="H4568" s="19"/>
      <c r="I4568" s="19"/>
      <c r="J4568" s="19"/>
      <c r="K4568" s="19"/>
    </row>
    <row r="4569" spans="3:11" x14ac:dyDescent="0.2">
      <c r="C4569" s="19"/>
      <c r="D4569" s="19"/>
      <c r="E4569" s="19"/>
      <c r="F4569" s="20"/>
      <c r="G4569" s="19"/>
      <c r="H4569" s="19"/>
      <c r="I4569" s="19"/>
      <c r="J4569" s="19"/>
      <c r="K4569" s="19"/>
    </row>
    <row r="4570" spans="3:11" x14ac:dyDescent="0.2">
      <c r="C4570" s="19"/>
      <c r="D4570" s="19"/>
      <c r="E4570" s="19"/>
      <c r="F4570" s="20"/>
      <c r="G4570" s="19"/>
      <c r="H4570" s="19"/>
      <c r="I4570" s="19"/>
      <c r="J4570" s="21"/>
      <c r="K4570" s="19"/>
    </row>
    <row r="4571" spans="3:11" x14ac:dyDescent="0.2">
      <c r="C4571" s="19"/>
      <c r="D4571" s="19"/>
      <c r="E4571" s="19"/>
      <c r="F4571" s="20"/>
      <c r="G4571" s="19"/>
      <c r="H4571" s="19"/>
      <c r="I4571" s="19"/>
      <c r="J4571" s="21"/>
      <c r="K4571" s="19"/>
    </row>
    <row r="4572" spans="3:11" x14ac:dyDescent="0.2">
      <c r="C4572" s="19"/>
      <c r="D4572" s="19"/>
      <c r="E4572" s="19"/>
      <c r="F4572" s="20"/>
      <c r="G4572" s="19"/>
      <c r="H4572" s="19"/>
      <c r="I4572" s="19"/>
      <c r="J4572" s="21"/>
      <c r="K4572" s="19"/>
    </row>
    <row r="4573" spans="3:11" x14ac:dyDescent="0.2">
      <c r="C4573" s="19"/>
      <c r="D4573" s="19"/>
      <c r="E4573" s="19"/>
      <c r="F4573" s="20"/>
      <c r="G4573" s="19"/>
      <c r="H4573" s="19"/>
      <c r="I4573" s="19"/>
      <c r="J4573" s="19"/>
      <c r="K4573" s="19"/>
    </row>
    <row r="4574" spans="3:11" x14ac:dyDescent="0.2">
      <c r="C4574" s="19"/>
      <c r="D4574" s="19"/>
      <c r="E4574" s="19"/>
      <c r="F4574" s="20"/>
      <c r="G4574" s="19"/>
      <c r="H4574" s="19"/>
      <c r="I4574" s="19"/>
      <c r="J4574" s="21"/>
      <c r="K4574" s="19"/>
    </row>
    <row r="4575" spans="3:11" x14ac:dyDescent="0.2">
      <c r="C4575" s="19"/>
      <c r="D4575" s="19"/>
      <c r="E4575" s="19"/>
      <c r="F4575" s="20"/>
      <c r="G4575" s="19"/>
      <c r="H4575" s="19"/>
      <c r="I4575" s="19"/>
      <c r="J4575" s="21"/>
      <c r="K4575" s="19"/>
    </row>
    <row r="4576" spans="3:11" x14ac:dyDescent="0.2">
      <c r="C4576" s="19"/>
      <c r="D4576" s="19"/>
      <c r="E4576" s="19"/>
      <c r="F4576" s="20"/>
      <c r="G4576" s="19"/>
      <c r="H4576" s="19"/>
      <c r="I4576" s="19"/>
      <c r="J4576" s="21"/>
      <c r="K4576" s="19"/>
    </row>
    <row r="4577" spans="3:11" x14ac:dyDescent="0.2">
      <c r="C4577" s="19"/>
      <c r="D4577" s="19"/>
      <c r="E4577" s="19"/>
      <c r="F4577" s="20"/>
      <c r="G4577" s="19"/>
      <c r="H4577" s="19"/>
      <c r="I4577" s="19"/>
      <c r="J4577" s="21"/>
      <c r="K4577" s="19"/>
    </row>
    <row r="4578" spans="3:11" x14ac:dyDescent="0.2">
      <c r="C4578" s="19"/>
      <c r="D4578" s="19"/>
      <c r="E4578" s="19"/>
      <c r="F4578" s="20"/>
      <c r="G4578" s="19"/>
      <c r="H4578" s="19"/>
      <c r="I4578" s="19"/>
      <c r="J4578" s="21"/>
      <c r="K4578" s="19"/>
    </row>
    <row r="4579" spans="3:11" x14ac:dyDescent="0.2">
      <c r="C4579" s="19"/>
      <c r="D4579" s="19"/>
      <c r="E4579" s="19"/>
      <c r="F4579" s="20"/>
      <c r="G4579" s="19"/>
      <c r="H4579" s="19"/>
      <c r="I4579" s="19"/>
      <c r="J4579" s="21"/>
      <c r="K4579" s="19"/>
    </row>
    <row r="4580" spans="3:11" x14ac:dyDescent="0.2">
      <c r="C4580" s="19"/>
      <c r="D4580" s="19"/>
      <c r="E4580" s="19"/>
      <c r="F4580" s="20"/>
      <c r="G4580" s="19"/>
      <c r="H4580" s="19"/>
      <c r="I4580" s="19"/>
      <c r="J4580" s="21"/>
      <c r="K4580" s="19"/>
    </row>
    <row r="4581" spans="3:11" x14ac:dyDescent="0.2">
      <c r="C4581" s="19"/>
      <c r="D4581" s="19"/>
      <c r="E4581" s="19"/>
      <c r="F4581" s="20"/>
      <c r="G4581" s="19"/>
      <c r="H4581" s="19"/>
      <c r="I4581" s="19"/>
      <c r="J4581" s="21"/>
      <c r="K4581" s="19"/>
    </row>
    <row r="4582" spans="3:11" x14ac:dyDescent="0.2">
      <c r="C4582" s="19"/>
      <c r="D4582" s="19"/>
      <c r="E4582" s="19"/>
      <c r="F4582" s="20"/>
      <c r="G4582" s="19"/>
      <c r="H4582" s="19"/>
      <c r="I4582" s="19"/>
      <c r="J4582" s="21"/>
      <c r="K4582" s="19"/>
    </row>
    <row r="4583" spans="3:11" x14ac:dyDescent="0.2">
      <c r="C4583" s="19"/>
      <c r="D4583" s="19"/>
      <c r="E4583" s="19"/>
      <c r="F4583" s="20"/>
      <c r="G4583" s="19"/>
      <c r="H4583" s="19"/>
      <c r="I4583" s="19"/>
      <c r="J4583" s="21"/>
      <c r="K4583" s="19"/>
    </row>
    <row r="4584" spans="3:11" x14ac:dyDescent="0.2">
      <c r="C4584" s="19"/>
      <c r="D4584" s="19"/>
      <c r="E4584" s="19"/>
      <c r="F4584" s="20"/>
      <c r="G4584" s="19"/>
      <c r="H4584" s="19"/>
      <c r="I4584" s="19"/>
      <c r="J4584" s="21"/>
      <c r="K4584" s="19"/>
    </row>
    <row r="4585" spans="3:11" x14ac:dyDescent="0.2">
      <c r="C4585" s="19"/>
      <c r="D4585" s="19"/>
      <c r="E4585" s="19"/>
      <c r="F4585" s="20"/>
      <c r="G4585" s="19"/>
      <c r="H4585" s="19"/>
      <c r="I4585" s="19"/>
      <c r="J4585" s="21"/>
      <c r="K4585" s="19"/>
    </row>
    <row r="4586" spans="3:11" x14ac:dyDescent="0.2">
      <c r="C4586" s="19"/>
      <c r="D4586" s="19"/>
      <c r="E4586" s="19"/>
      <c r="F4586" s="20"/>
      <c r="G4586" s="19"/>
      <c r="H4586" s="19"/>
      <c r="I4586" s="19"/>
      <c r="J4586" s="21"/>
      <c r="K4586" s="19"/>
    </row>
    <row r="4587" spans="3:11" x14ac:dyDescent="0.2">
      <c r="C4587" s="19"/>
      <c r="D4587" s="19"/>
      <c r="E4587" s="19"/>
      <c r="F4587" s="20"/>
      <c r="G4587" s="19"/>
      <c r="H4587" s="19"/>
      <c r="I4587" s="19"/>
      <c r="J4587" s="21"/>
      <c r="K4587" s="19"/>
    </row>
    <row r="4588" spans="3:11" x14ac:dyDescent="0.2">
      <c r="C4588" s="19"/>
      <c r="D4588" s="19"/>
      <c r="E4588" s="19"/>
      <c r="F4588" s="20"/>
      <c r="G4588" s="19"/>
      <c r="H4588" s="19"/>
      <c r="I4588" s="19"/>
      <c r="J4588" s="21"/>
      <c r="K4588" s="19"/>
    </row>
    <row r="4589" spans="3:11" x14ac:dyDescent="0.2">
      <c r="C4589" s="19"/>
      <c r="D4589" s="19"/>
      <c r="E4589" s="19"/>
      <c r="F4589" s="20"/>
      <c r="G4589" s="19"/>
      <c r="H4589" s="19"/>
      <c r="I4589" s="19"/>
      <c r="J4589" s="21"/>
      <c r="K4589" s="19"/>
    </row>
    <row r="4590" spans="3:11" x14ac:dyDescent="0.2">
      <c r="C4590" s="19"/>
      <c r="D4590" s="19"/>
      <c r="E4590" s="19"/>
      <c r="F4590" s="20"/>
      <c r="G4590" s="19"/>
      <c r="H4590" s="19"/>
      <c r="I4590" s="19"/>
      <c r="J4590" s="21"/>
      <c r="K4590" s="19"/>
    </row>
    <row r="4591" spans="3:11" x14ac:dyDescent="0.2">
      <c r="C4591" s="19"/>
      <c r="D4591" s="19"/>
      <c r="E4591" s="19"/>
      <c r="F4591" s="20"/>
      <c r="G4591" s="19"/>
      <c r="H4591" s="19"/>
      <c r="I4591" s="19"/>
      <c r="J4591" s="19"/>
      <c r="K4591" s="19"/>
    </row>
    <row r="4592" spans="3:11" x14ac:dyDescent="0.2">
      <c r="C4592" s="19"/>
      <c r="D4592" s="19"/>
      <c r="E4592" s="19"/>
      <c r="F4592" s="20"/>
      <c r="G4592" s="19"/>
      <c r="H4592" s="19"/>
      <c r="I4592" s="19"/>
      <c r="J4592" s="21"/>
      <c r="K4592" s="19"/>
    </row>
    <row r="4593" spans="3:11" x14ac:dyDescent="0.2">
      <c r="C4593" s="19"/>
      <c r="D4593" s="19"/>
      <c r="E4593" s="19"/>
      <c r="F4593" s="20"/>
      <c r="G4593" s="19"/>
      <c r="H4593" s="19"/>
      <c r="I4593" s="19"/>
      <c r="J4593" s="21"/>
      <c r="K4593" s="19"/>
    </row>
    <row r="4594" spans="3:11" x14ac:dyDescent="0.2">
      <c r="C4594" s="19"/>
      <c r="D4594" s="19"/>
      <c r="E4594" s="19"/>
      <c r="F4594" s="20"/>
      <c r="G4594" s="19"/>
      <c r="H4594" s="19"/>
      <c r="I4594" s="19"/>
      <c r="J4594" s="21"/>
      <c r="K4594" s="19"/>
    </row>
    <row r="4595" spans="3:11" x14ac:dyDescent="0.2">
      <c r="C4595" s="19"/>
      <c r="D4595" s="19"/>
      <c r="E4595" s="19"/>
      <c r="F4595" s="20"/>
      <c r="G4595" s="19"/>
      <c r="H4595" s="19"/>
      <c r="I4595" s="19"/>
      <c r="J4595" s="21"/>
      <c r="K4595" s="19"/>
    </row>
    <row r="4596" spans="3:11" x14ac:dyDescent="0.2">
      <c r="C4596" s="19"/>
      <c r="D4596" s="19"/>
      <c r="E4596" s="19"/>
      <c r="F4596" s="20"/>
      <c r="G4596" s="19"/>
      <c r="H4596" s="19"/>
      <c r="I4596" s="19"/>
      <c r="J4596" s="21"/>
      <c r="K4596" s="19"/>
    </row>
    <row r="4597" spans="3:11" x14ac:dyDescent="0.2">
      <c r="C4597" s="19"/>
      <c r="D4597" s="19"/>
      <c r="E4597" s="19"/>
      <c r="F4597" s="20"/>
      <c r="G4597" s="19"/>
      <c r="H4597" s="19"/>
      <c r="I4597" s="19"/>
      <c r="J4597" s="21"/>
      <c r="K4597" s="19"/>
    </row>
    <row r="4598" spans="3:11" x14ac:dyDescent="0.2">
      <c r="C4598" s="19"/>
      <c r="D4598" s="19"/>
      <c r="E4598" s="19"/>
      <c r="F4598" s="20"/>
      <c r="G4598" s="19"/>
      <c r="H4598" s="19"/>
      <c r="I4598" s="19"/>
      <c r="J4598" s="21"/>
      <c r="K4598" s="19"/>
    </row>
    <row r="4599" spans="3:11" x14ac:dyDescent="0.2">
      <c r="C4599" s="19"/>
      <c r="D4599" s="19"/>
      <c r="E4599" s="19"/>
      <c r="F4599" s="20"/>
      <c r="G4599" s="19"/>
      <c r="H4599" s="19"/>
      <c r="I4599" s="19"/>
      <c r="J4599" s="21"/>
      <c r="K4599" s="19"/>
    </row>
    <row r="4600" spans="3:11" x14ac:dyDescent="0.2">
      <c r="C4600" s="19"/>
      <c r="D4600" s="19"/>
      <c r="E4600" s="19"/>
      <c r="F4600" s="20"/>
      <c r="G4600" s="19"/>
      <c r="H4600" s="19"/>
      <c r="I4600" s="19"/>
      <c r="J4600" s="21"/>
      <c r="K4600" s="19"/>
    </row>
    <row r="4601" spans="3:11" x14ac:dyDescent="0.2">
      <c r="C4601" s="19"/>
      <c r="D4601" s="19"/>
      <c r="E4601" s="19"/>
      <c r="F4601" s="20"/>
      <c r="G4601" s="19"/>
      <c r="H4601" s="19"/>
      <c r="I4601" s="19"/>
      <c r="J4601" s="21"/>
      <c r="K4601" s="19"/>
    </row>
    <row r="4602" spans="3:11" x14ac:dyDescent="0.2">
      <c r="C4602" s="19"/>
      <c r="D4602" s="19"/>
      <c r="E4602" s="19"/>
      <c r="F4602" s="20"/>
      <c r="G4602" s="19"/>
      <c r="H4602" s="19"/>
      <c r="I4602" s="19"/>
      <c r="J4602" s="21"/>
      <c r="K4602" s="19"/>
    </row>
    <row r="4603" spans="3:11" x14ac:dyDescent="0.2">
      <c r="C4603" s="19"/>
      <c r="D4603" s="19"/>
      <c r="E4603" s="19"/>
      <c r="F4603" s="20"/>
      <c r="G4603" s="19"/>
      <c r="H4603" s="19"/>
      <c r="I4603" s="19"/>
      <c r="J4603" s="21"/>
      <c r="K4603" s="19"/>
    </row>
    <row r="4604" spans="3:11" x14ac:dyDescent="0.2">
      <c r="C4604" s="19"/>
      <c r="D4604" s="19"/>
      <c r="E4604" s="19"/>
      <c r="F4604" s="20"/>
      <c r="G4604" s="19"/>
      <c r="H4604" s="19"/>
      <c r="I4604" s="19"/>
      <c r="J4604" s="19"/>
      <c r="K4604" s="19"/>
    </row>
    <row r="4605" spans="3:11" x14ac:dyDescent="0.2">
      <c r="C4605" s="19"/>
      <c r="D4605" s="19"/>
      <c r="E4605" s="19"/>
      <c r="F4605" s="20"/>
      <c r="G4605" s="19"/>
      <c r="H4605" s="19"/>
      <c r="I4605" s="19"/>
      <c r="J4605" s="21"/>
      <c r="K4605" s="19"/>
    </row>
    <row r="4606" spans="3:11" x14ac:dyDescent="0.2">
      <c r="C4606" s="19"/>
      <c r="D4606" s="19"/>
      <c r="E4606" s="19"/>
      <c r="F4606" s="20"/>
      <c r="G4606" s="19"/>
      <c r="H4606" s="19"/>
      <c r="I4606" s="19"/>
      <c r="J4606" s="21"/>
      <c r="K4606" s="19"/>
    </row>
    <row r="4607" spans="3:11" x14ac:dyDescent="0.2">
      <c r="C4607" s="19"/>
      <c r="D4607" s="19"/>
      <c r="E4607" s="19"/>
      <c r="F4607" s="20"/>
      <c r="G4607" s="19"/>
      <c r="H4607" s="19"/>
      <c r="I4607" s="19"/>
      <c r="J4607" s="21"/>
      <c r="K4607" s="19"/>
    </row>
    <row r="4608" spans="3:11" x14ac:dyDescent="0.2">
      <c r="C4608" s="19"/>
      <c r="D4608" s="19"/>
      <c r="E4608" s="19"/>
      <c r="F4608" s="20"/>
      <c r="G4608" s="19"/>
      <c r="H4608" s="19"/>
      <c r="I4608" s="19"/>
      <c r="J4608" s="21"/>
      <c r="K4608" s="19"/>
    </row>
    <row r="4609" spans="3:11" x14ac:dyDescent="0.2">
      <c r="C4609" s="19"/>
      <c r="D4609" s="19"/>
      <c r="E4609" s="19"/>
      <c r="F4609" s="20"/>
      <c r="G4609" s="19"/>
      <c r="H4609" s="19"/>
      <c r="I4609" s="19"/>
      <c r="J4609" s="21"/>
      <c r="K4609" s="19"/>
    </row>
    <row r="4610" spans="3:11" x14ac:dyDescent="0.2">
      <c r="C4610" s="19"/>
      <c r="D4610" s="19"/>
      <c r="E4610" s="19"/>
      <c r="F4610" s="20"/>
      <c r="G4610" s="19"/>
      <c r="H4610" s="19"/>
      <c r="I4610" s="19"/>
      <c r="J4610" s="21"/>
      <c r="K4610" s="19"/>
    </row>
    <row r="4611" spans="3:11" x14ac:dyDescent="0.2">
      <c r="C4611" s="19"/>
      <c r="D4611" s="19"/>
      <c r="E4611" s="19"/>
      <c r="F4611" s="20"/>
      <c r="G4611" s="19"/>
      <c r="H4611" s="19"/>
      <c r="I4611" s="19"/>
      <c r="J4611" s="21"/>
      <c r="K4611" s="19"/>
    </row>
    <row r="4612" spans="3:11" x14ac:dyDescent="0.2">
      <c r="C4612" s="19"/>
      <c r="D4612" s="19"/>
      <c r="E4612" s="19"/>
      <c r="F4612" s="20"/>
      <c r="G4612" s="19"/>
      <c r="H4612" s="19"/>
      <c r="I4612" s="19"/>
      <c r="J4612" s="19"/>
      <c r="K4612" s="19"/>
    </row>
    <row r="4613" spans="3:11" x14ac:dyDescent="0.2">
      <c r="C4613" s="19"/>
      <c r="D4613" s="19"/>
      <c r="E4613" s="19"/>
      <c r="F4613" s="20"/>
      <c r="G4613" s="19"/>
      <c r="H4613" s="19"/>
      <c r="I4613" s="19"/>
      <c r="J4613" s="21"/>
      <c r="K4613" s="19"/>
    </row>
    <row r="4614" spans="3:11" x14ac:dyDescent="0.2">
      <c r="C4614" s="19"/>
      <c r="D4614" s="19"/>
      <c r="E4614" s="19"/>
      <c r="F4614" s="20"/>
      <c r="G4614" s="19"/>
      <c r="H4614" s="19"/>
      <c r="I4614" s="19"/>
      <c r="J4614" s="21"/>
      <c r="K4614" s="19"/>
    </row>
    <row r="4615" spans="3:11" x14ac:dyDescent="0.2">
      <c r="C4615" s="19"/>
      <c r="D4615" s="19"/>
      <c r="E4615" s="19"/>
      <c r="F4615" s="20"/>
      <c r="G4615" s="19"/>
      <c r="H4615" s="19"/>
      <c r="I4615" s="19"/>
      <c r="J4615" s="21"/>
      <c r="K4615" s="19"/>
    </row>
    <row r="4616" spans="3:11" x14ac:dyDescent="0.2">
      <c r="C4616" s="19"/>
      <c r="D4616" s="19"/>
      <c r="E4616" s="19"/>
      <c r="F4616" s="20"/>
      <c r="G4616" s="19"/>
      <c r="H4616" s="19"/>
      <c r="I4616" s="19"/>
      <c r="J4616" s="21"/>
      <c r="K4616" s="19"/>
    </row>
    <row r="4617" spans="3:11" x14ac:dyDescent="0.2">
      <c r="C4617" s="19"/>
      <c r="D4617" s="19"/>
      <c r="E4617" s="19"/>
      <c r="F4617" s="20"/>
      <c r="G4617" s="19"/>
      <c r="H4617" s="19"/>
      <c r="I4617" s="19"/>
      <c r="J4617" s="21"/>
      <c r="K4617" s="19"/>
    </row>
    <row r="4618" spans="3:11" x14ac:dyDescent="0.2">
      <c r="C4618" s="19"/>
      <c r="D4618" s="19"/>
      <c r="E4618" s="19"/>
      <c r="F4618" s="20"/>
      <c r="G4618" s="19"/>
      <c r="H4618" s="19"/>
      <c r="I4618" s="19"/>
      <c r="J4618" s="21"/>
      <c r="K4618" s="19"/>
    </row>
    <row r="4619" spans="3:11" x14ac:dyDescent="0.2">
      <c r="C4619" s="19"/>
      <c r="D4619" s="19"/>
      <c r="E4619" s="19"/>
      <c r="F4619" s="20"/>
      <c r="G4619" s="19"/>
      <c r="H4619" s="19"/>
      <c r="I4619" s="19"/>
      <c r="J4619" s="21"/>
      <c r="K4619" s="19"/>
    </row>
    <row r="4620" spans="3:11" x14ac:dyDescent="0.2">
      <c r="C4620" s="19"/>
      <c r="D4620" s="19"/>
      <c r="E4620" s="19"/>
      <c r="F4620" s="20"/>
      <c r="G4620" s="19"/>
      <c r="H4620" s="19"/>
      <c r="I4620" s="19"/>
      <c r="J4620" s="21"/>
      <c r="K4620" s="19"/>
    </row>
    <row r="4621" spans="3:11" x14ac:dyDescent="0.2">
      <c r="C4621" s="19"/>
      <c r="D4621" s="19"/>
      <c r="E4621" s="19"/>
      <c r="F4621" s="20"/>
      <c r="G4621" s="19"/>
      <c r="H4621" s="19"/>
      <c r="I4621" s="19"/>
      <c r="J4621" s="21"/>
      <c r="K4621" s="19"/>
    </row>
    <row r="4622" spans="3:11" x14ac:dyDescent="0.2">
      <c r="C4622" s="19"/>
      <c r="D4622" s="19"/>
      <c r="E4622" s="19"/>
      <c r="F4622" s="20"/>
      <c r="G4622" s="19"/>
      <c r="H4622" s="19"/>
      <c r="I4622" s="19"/>
      <c r="J4622" s="21"/>
      <c r="K4622" s="19"/>
    </row>
    <row r="4623" spans="3:11" x14ac:dyDescent="0.2">
      <c r="C4623" s="19"/>
      <c r="D4623" s="19"/>
      <c r="E4623" s="19"/>
      <c r="F4623" s="20"/>
      <c r="G4623" s="19"/>
      <c r="H4623" s="19"/>
      <c r="I4623" s="19"/>
      <c r="J4623" s="21"/>
      <c r="K4623" s="19"/>
    </row>
    <row r="4624" spans="3:11" x14ac:dyDescent="0.2">
      <c r="C4624" s="19"/>
      <c r="D4624" s="19"/>
      <c r="E4624" s="19"/>
      <c r="F4624" s="20"/>
      <c r="G4624" s="19"/>
      <c r="H4624" s="19"/>
      <c r="I4624" s="19"/>
      <c r="J4624" s="21"/>
      <c r="K4624" s="19"/>
    </row>
    <row r="4625" spans="3:11" x14ac:dyDescent="0.2">
      <c r="C4625" s="19"/>
      <c r="D4625" s="19"/>
      <c r="E4625" s="19"/>
      <c r="F4625" s="20"/>
      <c r="G4625" s="19"/>
      <c r="H4625" s="19"/>
      <c r="I4625" s="19"/>
      <c r="J4625" s="21"/>
      <c r="K4625" s="19"/>
    </row>
    <row r="4626" spans="3:11" x14ac:dyDescent="0.2">
      <c r="C4626" s="19"/>
      <c r="D4626" s="19"/>
      <c r="E4626" s="19"/>
      <c r="F4626" s="20"/>
      <c r="G4626" s="19"/>
      <c r="H4626" s="19"/>
      <c r="I4626" s="19"/>
      <c r="J4626" s="21"/>
      <c r="K4626" s="19"/>
    </row>
    <row r="4627" spans="3:11" x14ac:dyDescent="0.2">
      <c r="C4627" s="19"/>
      <c r="D4627" s="19"/>
      <c r="E4627" s="19"/>
      <c r="F4627" s="20"/>
      <c r="G4627" s="19"/>
      <c r="H4627" s="19"/>
      <c r="I4627" s="19"/>
      <c r="J4627" s="21"/>
      <c r="K4627" s="19"/>
    </row>
    <row r="4628" spans="3:11" x14ac:dyDescent="0.2">
      <c r="C4628" s="19"/>
      <c r="D4628" s="19"/>
      <c r="E4628" s="19"/>
      <c r="F4628" s="20"/>
      <c r="G4628" s="19"/>
      <c r="H4628" s="19"/>
      <c r="I4628" s="19"/>
      <c r="J4628" s="21"/>
      <c r="K4628" s="19"/>
    </row>
    <row r="4629" spans="3:11" x14ac:dyDescent="0.2">
      <c r="C4629" s="19"/>
      <c r="D4629" s="19"/>
      <c r="E4629" s="19"/>
      <c r="F4629" s="20"/>
      <c r="G4629" s="19"/>
      <c r="H4629" s="19"/>
      <c r="I4629" s="19"/>
      <c r="J4629" s="21"/>
      <c r="K4629" s="19"/>
    </row>
    <row r="4630" spans="3:11" x14ac:dyDescent="0.2">
      <c r="C4630" s="19"/>
      <c r="D4630" s="19"/>
      <c r="E4630" s="19"/>
      <c r="F4630" s="20"/>
      <c r="G4630" s="19"/>
      <c r="H4630" s="19"/>
      <c r="I4630" s="19"/>
      <c r="J4630" s="21"/>
      <c r="K4630" s="19"/>
    </row>
    <row r="4631" spans="3:11" x14ac:dyDescent="0.2">
      <c r="C4631" s="19"/>
      <c r="D4631" s="19"/>
      <c r="E4631" s="19"/>
      <c r="F4631" s="20"/>
      <c r="G4631" s="19"/>
      <c r="H4631" s="19"/>
      <c r="I4631" s="19"/>
      <c r="J4631" s="21"/>
      <c r="K4631" s="19"/>
    </row>
    <row r="4632" spans="3:11" x14ac:dyDescent="0.2">
      <c r="C4632" s="19"/>
      <c r="D4632" s="19"/>
      <c r="E4632" s="19"/>
      <c r="F4632" s="20"/>
      <c r="G4632" s="19"/>
      <c r="H4632" s="19"/>
      <c r="I4632" s="19"/>
      <c r="J4632" s="21"/>
      <c r="K4632" s="19"/>
    </row>
    <row r="4633" spans="3:11" x14ac:dyDescent="0.2">
      <c r="C4633" s="19"/>
      <c r="D4633" s="19"/>
      <c r="E4633" s="19"/>
      <c r="F4633" s="20"/>
      <c r="G4633" s="19"/>
      <c r="H4633" s="19"/>
      <c r="I4633" s="19"/>
      <c r="J4633" s="21"/>
      <c r="K4633" s="19"/>
    </row>
    <row r="4634" spans="3:11" x14ac:dyDescent="0.2">
      <c r="C4634" s="19"/>
      <c r="D4634" s="19"/>
      <c r="E4634" s="19"/>
      <c r="F4634" s="20"/>
      <c r="G4634" s="19"/>
      <c r="H4634" s="19"/>
      <c r="I4634" s="19"/>
      <c r="J4634" s="21"/>
      <c r="K4634" s="19"/>
    </row>
    <row r="4635" spans="3:11" x14ac:dyDescent="0.2">
      <c r="C4635" s="19"/>
      <c r="D4635" s="19"/>
      <c r="E4635" s="19"/>
      <c r="F4635" s="20"/>
      <c r="G4635" s="19"/>
      <c r="H4635" s="19"/>
      <c r="I4635" s="19"/>
      <c r="J4635" s="21"/>
      <c r="K4635" s="19"/>
    </row>
    <row r="4636" spans="3:11" x14ac:dyDescent="0.2">
      <c r="C4636" s="19"/>
      <c r="D4636" s="19"/>
      <c r="E4636" s="19"/>
      <c r="F4636" s="20"/>
      <c r="G4636" s="19"/>
      <c r="H4636" s="19"/>
      <c r="I4636" s="19"/>
      <c r="J4636" s="21"/>
      <c r="K4636" s="19"/>
    </row>
    <row r="4637" spans="3:11" x14ac:dyDescent="0.2">
      <c r="C4637" s="19"/>
      <c r="D4637" s="19"/>
      <c r="E4637" s="19"/>
      <c r="F4637" s="20"/>
      <c r="G4637" s="19"/>
      <c r="H4637" s="19"/>
      <c r="I4637" s="19"/>
      <c r="J4637" s="19"/>
      <c r="K4637" s="19"/>
    </row>
    <row r="4638" spans="3:11" x14ac:dyDescent="0.2">
      <c r="C4638" s="19"/>
      <c r="D4638" s="19"/>
      <c r="E4638" s="19"/>
      <c r="F4638" s="20"/>
      <c r="G4638" s="19"/>
      <c r="H4638" s="19"/>
      <c r="I4638" s="19"/>
      <c r="J4638" s="19"/>
      <c r="K4638" s="19"/>
    </row>
    <row r="4639" spans="3:11" x14ac:dyDescent="0.2">
      <c r="C4639" s="19"/>
      <c r="D4639" s="19"/>
      <c r="E4639" s="19"/>
      <c r="F4639" s="20"/>
      <c r="G4639" s="19"/>
      <c r="H4639" s="19"/>
      <c r="I4639" s="19"/>
      <c r="J4639" s="19"/>
      <c r="K4639" s="19"/>
    </row>
    <row r="4640" spans="3:11" x14ac:dyDescent="0.2">
      <c r="C4640" s="19"/>
      <c r="D4640" s="19"/>
      <c r="E4640" s="19"/>
      <c r="F4640" s="20"/>
      <c r="G4640" s="19"/>
      <c r="H4640" s="19"/>
      <c r="I4640" s="19"/>
      <c r="J4640" s="21"/>
      <c r="K4640" s="19"/>
    </row>
    <row r="4641" spans="3:11" x14ac:dyDescent="0.2">
      <c r="C4641" s="19"/>
      <c r="D4641" s="19"/>
      <c r="E4641" s="19"/>
      <c r="F4641" s="20"/>
      <c r="G4641" s="19"/>
      <c r="H4641" s="19"/>
      <c r="I4641" s="19"/>
      <c r="J4641" s="21"/>
      <c r="K4641" s="19"/>
    </row>
    <row r="4642" spans="3:11" x14ac:dyDescent="0.2">
      <c r="C4642" s="19"/>
      <c r="D4642" s="19"/>
      <c r="E4642" s="19"/>
      <c r="F4642" s="20"/>
      <c r="G4642" s="19"/>
      <c r="H4642" s="19"/>
      <c r="I4642" s="19"/>
      <c r="J4642" s="21"/>
      <c r="K4642" s="19"/>
    </row>
    <row r="4643" spans="3:11" x14ac:dyDescent="0.2">
      <c r="C4643" s="19"/>
      <c r="D4643" s="19"/>
      <c r="E4643" s="19"/>
      <c r="F4643" s="20"/>
      <c r="G4643" s="19"/>
      <c r="H4643" s="19"/>
      <c r="I4643" s="19"/>
      <c r="J4643" s="21"/>
      <c r="K4643" s="19"/>
    </row>
    <row r="4644" spans="3:11" x14ac:dyDescent="0.2">
      <c r="C4644" s="19"/>
      <c r="D4644" s="19"/>
      <c r="E4644" s="19"/>
      <c r="F4644" s="20"/>
      <c r="G4644" s="19"/>
      <c r="H4644" s="19"/>
      <c r="I4644" s="19"/>
      <c r="J4644" s="21"/>
      <c r="K4644" s="19"/>
    </row>
    <row r="4645" spans="3:11" x14ac:dyDescent="0.2">
      <c r="C4645" s="19"/>
      <c r="D4645" s="19"/>
      <c r="E4645" s="19"/>
      <c r="F4645" s="20"/>
      <c r="G4645" s="19"/>
      <c r="H4645" s="19"/>
      <c r="I4645" s="19"/>
      <c r="J4645" s="21"/>
      <c r="K4645" s="19"/>
    </row>
    <row r="4646" spans="3:11" x14ac:dyDescent="0.2">
      <c r="C4646" s="19"/>
      <c r="D4646" s="19"/>
      <c r="E4646" s="19"/>
      <c r="F4646" s="20"/>
      <c r="G4646" s="19"/>
      <c r="H4646" s="19"/>
      <c r="I4646" s="19"/>
      <c r="J4646" s="21"/>
      <c r="K4646" s="19"/>
    </row>
    <row r="4647" spans="3:11" x14ac:dyDescent="0.2">
      <c r="C4647" s="19"/>
      <c r="D4647" s="19"/>
      <c r="E4647" s="19"/>
      <c r="F4647" s="20"/>
      <c r="G4647" s="19"/>
      <c r="H4647" s="19"/>
      <c r="I4647" s="19"/>
      <c r="J4647" s="21"/>
      <c r="K4647" s="19"/>
    </row>
    <row r="4648" spans="3:11" x14ac:dyDescent="0.2">
      <c r="C4648" s="19"/>
      <c r="D4648" s="19"/>
      <c r="E4648" s="19"/>
      <c r="F4648" s="20"/>
      <c r="G4648" s="19"/>
      <c r="H4648" s="19"/>
      <c r="I4648" s="19"/>
      <c r="J4648" s="19"/>
      <c r="K4648" s="19"/>
    </row>
    <row r="4649" spans="3:11" x14ac:dyDescent="0.2">
      <c r="C4649" s="19"/>
      <c r="D4649" s="19"/>
      <c r="E4649" s="19"/>
      <c r="F4649" s="20"/>
      <c r="G4649" s="19"/>
      <c r="H4649" s="19"/>
      <c r="I4649" s="19"/>
      <c r="J4649" s="19"/>
      <c r="K4649" s="19"/>
    </row>
    <row r="4650" spans="3:11" x14ac:dyDescent="0.2">
      <c r="C4650" s="19"/>
      <c r="D4650" s="19"/>
      <c r="E4650" s="19"/>
      <c r="F4650" s="20"/>
      <c r="G4650" s="19"/>
      <c r="H4650" s="19"/>
      <c r="I4650" s="19"/>
      <c r="J4650" s="21"/>
      <c r="K4650" s="19"/>
    </row>
    <row r="4651" spans="3:11" x14ac:dyDescent="0.2">
      <c r="C4651" s="19"/>
      <c r="D4651" s="19"/>
      <c r="E4651" s="19"/>
      <c r="F4651" s="20"/>
      <c r="G4651" s="19"/>
      <c r="H4651" s="19"/>
      <c r="I4651" s="19"/>
      <c r="J4651" s="21"/>
      <c r="K4651" s="19"/>
    </row>
    <row r="4652" spans="3:11" x14ac:dyDescent="0.2">
      <c r="C4652" s="19"/>
      <c r="D4652" s="19"/>
      <c r="E4652" s="19"/>
      <c r="F4652" s="20"/>
      <c r="G4652" s="19"/>
      <c r="H4652" s="19"/>
      <c r="I4652" s="19"/>
      <c r="J4652" s="21"/>
      <c r="K4652" s="19"/>
    </row>
    <row r="4653" spans="3:11" x14ac:dyDescent="0.2">
      <c r="C4653" s="19"/>
      <c r="D4653" s="19"/>
      <c r="E4653" s="19"/>
      <c r="F4653" s="20"/>
      <c r="G4653" s="19"/>
      <c r="H4653" s="19"/>
      <c r="I4653" s="19"/>
      <c r="J4653" s="21"/>
      <c r="K4653" s="19"/>
    </row>
    <row r="4654" spans="3:11" x14ac:dyDescent="0.2">
      <c r="C4654" s="19"/>
      <c r="D4654" s="19"/>
      <c r="E4654" s="19"/>
      <c r="F4654" s="20"/>
      <c r="G4654" s="19"/>
      <c r="H4654" s="19"/>
      <c r="I4654" s="19"/>
      <c r="J4654" s="21"/>
      <c r="K4654" s="19"/>
    </row>
    <row r="4655" spans="3:11" x14ac:dyDescent="0.2">
      <c r="C4655" s="19"/>
      <c r="D4655" s="19"/>
      <c r="E4655" s="19"/>
      <c r="F4655" s="20"/>
      <c r="G4655" s="19"/>
      <c r="H4655" s="19"/>
      <c r="I4655" s="19"/>
      <c r="J4655" s="21"/>
      <c r="K4655" s="19"/>
    </row>
    <row r="4656" spans="3:11" x14ac:dyDescent="0.2">
      <c r="C4656" s="19"/>
      <c r="D4656" s="19"/>
      <c r="E4656" s="19"/>
      <c r="F4656" s="20"/>
      <c r="G4656" s="19"/>
      <c r="H4656" s="19"/>
      <c r="I4656" s="19"/>
      <c r="J4656" s="21"/>
      <c r="K4656" s="19"/>
    </row>
    <row r="4657" spans="3:11" x14ac:dyDescent="0.2">
      <c r="C4657" s="19"/>
      <c r="D4657" s="19"/>
      <c r="E4657" s="19"/>
      <c r="F4657" s="20"/>
      <c r="G4657" s="19"/>
      <c r="H4657" s="19"/>
      <c r="I4657" s="19"/>
      <c r="J4657" s="21"/>
      <c r="K4657" s="19"/>
    </row>
    <row r="4658" spans="3:11" x14ac:dyDescent="0.2">
      <c r="C4658" s="19"/>
      <c r="D4658" s="19"/>
      <c r="E4658" s="19"/>
      <c r="F4658" s="20"/>
      <c r="G4658" s="19"/>
      <c r="H4658" s="19"/>
      <c r="I4658" s="19"/>
      <c r="J4658" s="21"/>
      <c r="K4658" s="19"/>
    </row>
    <row r="4659" spans="3:11" x14ac:dyDescent="0.2">
      <c r="C4659" s="19"/>
      <c r="D4659" s="19"/>
      <c r="E4659" s="19"/>
      <c r="F4659" s="20"/>
      <c r="G4659" s="19"/>
      <c r="H4659" s="19"/>
      <c r="I4659" s="19"/>
      <c r="J4659" s="21"/>
      <c r="K4659" s="19"/>
    </row>
    <row r="4660" spans="3:11" x14ac:dyDescent="0.2">
      <c r="C4660" s="19"/>
      <c r="D4660" s="19"/>
      <c r="E4660" s="19"/>
      <c r="F4660" s="20"/>
      <c r="G4660" s="19"/>
      <c r="H4660" s="19"/>
      <c r="I4660" s="19"/>
      <c r="J4660" s="21"/>
      <c r="K4660" s="19"/>
    </row>
    <row r="4661" spans="3:11" x14ac:dyDescent="0.2">
      <c r="C4661" s="19"/>
      <c r="D4661" s="19"/>
      <c r="E4661" s="19"/>
      <c r="F4661" s="20"/>
      <c r="G4661" s="19"/>
      <c r="H4661" s="19"/>
      <c r="I4661" s="19"/>
      <c r="J4661" s="21"/>
      <c r="K4661" s="19"/>
    </row>
    <row r="4662" spans="3:11" x14ac:dyDescent="0.2">
      <c r="C4662" s="19"/>
      <c r="D4662" s="19"/>
      <c r="E4662" s="19"/>
      <c r="F4662" s="20"/>
      <c r="G4662" s="19"/>
      <c r="H4662" s="19"/>
      <c r="I4662" s="19"/>
      <c r="J4662" s="19"/>
      <c r="K4662" s="19"/>
    </row>
    <row r="4663" spans="3:11" x14ac:dyDescent="0.2">
      <c r="C4663" s="19"/>
      <c r="D4663" s="19"/>
      <c r="E4663" s="19"/>
      <c r="F4663" s="20"/>
      <c r="G4663" s="19"/>
      <c r="H4663" s="19"/>
      <c r="I4663" s="19"/>
      <c r="J4663" s="21"/>
      <c r="K4663" s="19"/>
    </row>
    <row r="4664" spans="3:11" x14ac:dyDescent="0.2">
      <c r="C4664" s="19"/>
      <c r="D4664" s="19"/>
      <c r="E4664" s="19"/>
      <c r="F4664" s="20"/>
      <c r="G4664" s="19"/>
      <c r="H4664" s="19"/>
      <c r="I4664" s="19"/>
      <c r="J4664" s="21"/>
      <c r="K4664" s="19"/>
    </row>
    <row r="4665" spans="3:11" x14ac:dyDescent="0.2">
      <c r="C4665" s="19"/>
      <c r="D4665" s="19"/>
      <c r="E4665" s="19"/>
      <c r="F4665" s="20"/>
      <c r="G4665" s="19"/>
      <c r="H4665" s="19"/>
      <c r="I4665" s="19"/>
      <c r="J4665" s="21"/>
      <c r="K4665" s="19"/>
    </row>
    <row r="4666" spans="3:11" x14ac:dyDescent="0.2">
      <c r="C4666" s="19"/>
      <c r="D4666" s="19"/>
      <c r="E4666" s="19"/>
      <c r="F4666" s="20"/>
      <c r="G4666" s="19"/>
      <c r="H4666" s="19"/>
      <c r="I4666" s="19"/>
      <c r="J4666" s="21"/>
      <c r="K4666" s="19"/>
    </row>
    <row r="4667" spans="3:11" x14ac:dyDescent="0.2">
      <c r="C4667" s="19"/>
      <c r="D4667" s="19"/>
      <c r="E4667" s="19"/>
      <c r="F4667" s="20"/>
      <c r="G4667" s="19"/>
      <c r="H4667" s="19"/>
      <c r="I4667" s="19"/>
      <c r="J4667" s="21"/>
      <c r="K4667" s="19"/>
    </row>
    <row r="4668" spans="3:11" x14ac:dyDescent="0.2">
      <c r="C4668" s="19"/>
      <c r="D4668" s="19"/>
      <c r="E4668" s="19"/>
      <c r="F4668" s="20"/>
      <c r="G4668" s="19"/>
      <c r="H4668" s="19"/>
      <c r="I4668" s="19"/>
      <c r="J4668" s="21"/>
      <c r="K4668" s="19"/>
    </row>
    <row r="4669" spans="3:11" x14ac:dyDescent="0.2">
      <c r="C4669" s="19"/>
      <c r="D4669" s="19"/>
      <c r="E4669" s="19"/>
      <c r="F4669" s="20"/>
      <c r="G4669" s="19"/>
      <c r="H4669" s="19"/>
      <c r="I4669" s="19"/>
      <c r="J4669" s="21"/>
      <c r="K4669" s="19"/>
    </row>
    <row r="4670" spans="3:11" x14ac:dyDescent="0.2">
      <c r="C4670" s="19"/>
      <c r="D4670" s="19"/>
      <c r="E4670" s="19"/>
      <c r="F4670" s="20"/>
      <c r="G4670" s="19"/>
      <c r="H4670" s="19"/>
      <c r="I4670" s="19"/>
      <c r="J4670" s="21"/>
      <c r="K4670" s="19"/>
    </row>
    <row r="4671" spans="3:11" x14ac:dyDescent="0.2">
      <c r="C4671" s="19"/>
      <c r="D4671" s="19"/>
      <c r="E4671" s="19"/>
      <c r="F4671" s="20"/>
      <c r="G4671" s="19"/>
      <c r="H4671" s="19"/>
      <c r="I4671" s="19"/>
      <c r="J4671" s="21"/>
      <c r="K4671" s="19"/>
    </row>
    <row r="4672" spans="3:11" x14ac:dyDescent="0.2">
      <c r="C4672" s="19"/>
      <c r="D4672" s="19"/>
      <c r="E4672" s="19"/>
      <c r="F4672" s="20"/>
      <c r="G4672" s="19"/>
      <c r="H4672" s="19"/>
      <c r="I4672" s="19"/>
      <c r="J4672" s="21"/>
      <c r="K4672" s="19"/>
    </row>
    <row r="4673" spans="3:11" x14ac:dyDescent="0.2">
      <c r="C4673" s="19"/>
      <c r="D4673" s="19"/>
      <c r="E4673" s="19"/>
      <c r="F4673" s="20"/>
      <c r="G4673" s="19"/>
      <c r="H4673" s="19"/>
      <c r="I4673" s="19"/>
      <c r="J4673" s="21"/>
      <c r="K4673" s="19"/>
    </row>
    <row r="4674" spans="3:11" x14ac:dyDescent="0.2">
      <c r="C4674" s="19"/>
      <c r="D4674" s="19"/>
      <c r="E4674" s="19"/>
      <c r="F4674" s="20"/>
      <c r="G4674" s="19"/>
      <c r="H4674" s="19"/>
      <c r="I4674" s="19"/>
      <c r="J4674" s="21"/>
      <c r="K4674" s="19"/>
    </row>
    <row r="4675" spans="3:11" x14ac:dyDescent="0.2">
      <c r="C4675" s="19"/>
      <c r="D4675" s="19"/>
      <c r="E4675" s="19"/>
      <c r="F4675" s="20"/>
      <c r="G4675" s="19"/>
      <c r="H4675" s="19"/>
      <c r="I4675" s="19"/>
      <c r="J4675" s="19"/>
      <c r="K4675" s="19"/>
    </row>
    <row r="4676" spans="3:11" x14ac:dyDescent="0.2">
      <c r="C4676" s="19"/>
      <c r="D4676" s="19"/>
      <c r="E4676" s="19"/>
      <c r="F4676" s="20"/>
      <c r="G4676" s="19"/>
      <c r="H4676" s="19"/>
      <c r="I4676" s="19"/>
      <c r="J4676" s="21"/>
      <c r="K4676" s="19"/>
    </row>
    <row r="4677" spans="3:11" x14ac:dyDescent="0.2">
      <c r="C4677" s="19"/>
      <c r="D4677" s="19"/>
      <c r="E4677" s="19"/>
      <c r="F4677" s="20"/>
      <c r="G4677" s="19"/>
      <c r="H4677" s="19"/>
      <c r="I4677" s="19"/>
      <c r="J4677" s="21"/>
      <c r="K4677" s="19"/>
    </row>
    <row r="4678" spans="3:11" x14ac:dyDescent="0.2">
      <c r="C4678" s="19"/>
      <c r="D4678" s="19"/>
      <c r="E4678" s="19"/>
      <c r="F4678" s="20"/>
      <c r="G4678" s="19"/>
      <c r="H4678" s="19"/>
      <c r="I4678" s="19"/>
      <c r="J4678" s="21"/>
      <c r="K4678" s="19"/>
    </row>
    <row r="4679" spans="3:11" x14ac:dyDescent="0.2">
      <c r="C4679" s="19"/>
      <c r="D4679" s="19"/>
      <c r="E4679" s="19"/>
      <c r="F4679" s="20"/>
      <c r="G4679" s="19"/>
      <c r="H4679" s="19"/>
      <c r="I4679" s="19"/>
      <c r="J4679" s="21"/>
      <c r="K4679" s="19"/>
    </row>
    <row r="4680" spans="3:11" x14ac:dyDescent="0.2">
      <c r="C4680" s="19"/>
      <c r="D4680" s="19"/>
      <c r="E4680" s="19"/>
      <c r="F4680" s="20"/>
      <c r="G4680" s="19"/>
      <c r="H4680" s="19"/>
      <c r="I4680" s="19"/>
      <c r="J4680" s="21"/>
      <c r="K4680" s="19"/>
    </row>
    <row r="4681" spans="3:11" x14ac:dyDescent="0.2">
      <c r="C4681" s="19"/>
      <c r="D4681" s="19"/>
      <c r="E4681" s="19"/>
      <c r="F4681" s="20"/>
      <c r="G4681" s="19"/>
      <c r="H4681" s="19"/>
      <c r="I4681" s="19"/>
      <c r="J4681" s="21"/>
      <c r="K4681" s="19"/>
    </row>
    <row r="4682" spans="3:11" x14ac:dyDescent="0.2">
      <c r="C4682" s="19"/>
      <c r="D4682" s="19"/>
      <c r="E4682" s="19"/>
      <c r="F4682" s="20"/>
      <c r="G4682" s="19"/>
      <c r="H4682" s="19"/>
      <c r="I4682" s="19"/>
      <c r="J4682" s="21"/>
      <c r="K4682" s="19"/>
    </row>
    <row r="4683" spans="3:11" x14ac:dyDescent="0.2">
      <c r="C4683" s="19"/>
      <c r="D4683" s="19"/>
      <c r="E4683" s="19"/>
      <c r="F4683" s="20"/>
      <c r="G4683" s="19"/>
      <c r="H4683" s="19"/>
      <c r="I4683" s="19"/>
      <c r="J4683" s="21"/>
      <c r="K4683" s="19"/>
    </row>
    <row r="4684" spans="3:11" x14ac:dyDescent="0.2">
      <c r="C4684" s="19"/>
      <c r="D4684" s="19"/>
      <c r="E4684" s="19"/>
      <c r="F4684" s="20"/>
      <c r="G4684" s="19"/>
      <c r="H4684" s="19"/>
      <c r="I4684" s="19"/>
      <c r="J4684" s="19"/>
      <c r="K4684" s="19"/>
    </row>
    <row r="4685" spans="3:11" x14ac:dyDescent="0.2">
      <c r="C4685" s="19"/>
      <c r="D4685" s="19"/>
      <c r="E4685" s="19"/>
      <c r="F4685" s="20"/>
      <c r="G4685" s="19"/>
      <c r="H4685" s="19"/>
      <c r="I4685" s="19"/>
      <c r="J4685" s="19"/>
      <c r="K4685" s="19"/>
    </row>
    <row r="4686" spans="3:11" x14ac:dyDescent="0.2">
      <c r="C4686" s="19"/>
      <c r="D4686" s="19"/>
      <c r="E4686" s="19"/>
      <c r="F4686" s="20"/>
      <c r="G4686" s="19"/>
      <c r="H4686" s="19"/>
      <c r="I4686" s="19"/>
      <c r="J4686" s="21"/>
      <c r="K4686" s="19"/>
    </row>
    <row r="4687" spans="3:11" x14ac:dyDescent="0.2">
      <c r="C4687" s="19"/>
      <c r="D4687" s="19"/>
      <c r="E4687" s="19"/>
      <c r="F4687" s="20"/>
      <c r="G4687" s="19"/>
      <c r="H4687" s="19"/>
      <c r="I4687" s="19"/>
      <c r="J4687" s="21"/>
      <c r="K4687" s="19"/>
    </row>
    <row r="4688" spans="3:11" x14ac:dyDescent="0.2">
      <c r="C4688" s="19"/>
      <c r="D4688" s="19"/>
      <c r="E4688" s="19"/>
      <c r="F4688" s="20"/>
      <c r="G4688" s="19"/>
      <c r="H4688" s="19"/>
      <c r="I4688" s="19"/>
      <c r="J4688" s="21"/>
      <c r="K4688" s="19"/>
    </row>
    <row r="4689" spans="3:11" x14ac:dyDescent="0.2">
      <c r="C4689" s="19"/>
      <c r="D4689" s="19"/>
      <c r="E4689" s="19"/>
      <c r="F4689" s="20"/>
      <c r="G4689" s="19"/>
      <c r="H4689" s="19"/>
      <c r="I4689" s="19"/>
      <c r="J4689" s="21"/>
      <c r="K4689" s="19"/>
    </row>
    <row r="4690" spans="3:11" x14ac:dyDescent="0.2">
      <c r="C4690" s="19"/>
      <c r="D4690" s="19"/>
      <c r="E4690" s="19"/>
      <c r="F4690" s="20"/>
      <c r="G4690" s="19"/>
      <c r="H4690" s="19"/>
      <c r="I4690" s="19"/>
      <c r="J4690" s="21"/>
      <c r="K4690" s="19"/>
    </row>
    <row r="4691" spans="3:11" x14ac:dyDescent="0.2">
      <c r="C4691" s="19"/>
      <c r="D4691" s="19"/>
      <c r="E4691" s="19"/>
      <c r="F4691" s="20"/>
      <c r="G4691" s="19"/>
      <c r="H4691" s="19"/>
      <c r="I4691" s="19"/>
      <c r="J4691" s="21"/>
      <c r="K4691" s="19"/>
    </row>
    <row r="4692" spans="3:11" x14ac:dyDescent="0.2">
      <c r="C4692" s="19"/>
      <c r="D4692" s="19"/>
      <c r="E4692" s="19"/>
      <c r="F4692" s="20"/>
      <c r="G4692" s="19"/>
      <c r="H4692" s="19"/>
      <c r="I4692" s="19"/>
      <c r="J4692" s="21"/>
      <c r="K4692" s="19"/>
    </row>
    <row r="4693" spans="3:11" x14ac:dyDescent="0.2">
      <c r="C4693" s="19"/>
      <c r="D4693" s="19"/>
      <c r="E4693" s="19"/>
      <c r="F4693" s="20"/>
      <c r="G4693" s="19"/>
      <c r="H4693" s="19"/>
      <c r="I4693" s="19"/>
      <c r="J4693" s="21"/>
      <c r="K4693" s="19"/>
    </row>
    <row r="4694" spans="3:11" x14ac:dyDescent="0.2">
      <c r="C4694" s="19"/>
      <c r="D4694" s="19"/>
      <c r="E4694" s="19"/>
      <c r="F4694" s="20"/>
      <c r="G4694" s="19"/>
      <c r="H4694" s="19"/>
      <c r="I4694" s="19"/>
      <c r="J4694" s="21"/>
      <c r="K4694" s="19"/>
    </row>
    <row r="4695" spans="3:11" x14ac:dyDescent="0.2">
      <c r="C4695" s="19"/>
      <c r="D4695" s="19"/>
      <c r="E4695" s="19"/>
      <c r="F4695" s="20"/>
      <c r="G4695" s="19"/>
      <c r="H4695" s="19"/>
      <c r="I4695" s="19"/>
      <c r="J4695" s="21"/>
      <c r="K4695" s="19"/>
    </row>
    <row r="4696" spans="3:11" x14ac:dyDescent="0.2">
      <c r="C4696" s="19"/>
      <c r="D4696" s="19"/>
      <c r="E4696" s="19"/>
      <c r="F4696" s="20"/>
      <c r="G4696" s="19"/>
      <c r="H4696" s="19"/>
      <c r="I4696" s="19"/>
      <c r="J4696" s="21"/>
      <c r="K4696" s="19"/>
    </row>
    <row r="4697" spans="3:11" x14ac:dyDescent="0.2">
      <c r="C4697" s="19"/>
      <c r="D4697" s="19"/>
      <c r="E4697" s="19"/>
      <c r="F4697" s="20"/>
      <c r="G4697" s="19"/>
      <c r="H4697" s="19"/>
      <c r="I4697" s="19"/>
      <c r="J4697" s="21"/>
      <c r="K4697" s="19"/>
    </row>
    <row r="4698" spans="3:11" x14ac:dyDescent="0.2">
      <c r="C4698" s="19"/>
      <c r="D4698" s="19"/>
      <c r="E4698" s="19"/>
      <c r="F4698" s="20"/>
      <c r="G4698" s="19"/>
      <c r="H4698" s="19"/>
      <c r="I4698" s="19"/>
      <c r="J4698" s="21"/>
      <c r="K4698" s="19"/>
    </row>
    <row r="4699" spans="3:11" x14ac:dyDescent="0.2">
      <c r="C4699" s="19"/>
      <c r="D4699" s="19"/>
      <c r="E4699" s="19"/>
      <c r="F4699" s="20"/>
      <c r="G4699" s="19"/>
      <c r="H4699" s="19"/>
      <c r="I4699" s="19"/>
      <c r="J4699" s="21"/>
      <c r="K4699" s="19"/>
    </row>
    <row r="4700" spans="3:11" x14ac:dyDescent="0.2">
      <c r="C4700" s="19"/>
      <c r="D4700" s="19"/>
      <c r="E4700" s="19"/>
      <c r="F4700" s="20"/>
      <c r="G4700" s="19"/>
      <c r="H4700" s="19"/>
      <c r="I4700" s="19"/>
      <c r="J4700" s="21"/>
      <c r="K4700" s="19"/>
    </row>
    <row r="4701" spans="3:11" x14ac:dyDescent="0.2">
      <c r="C4701" s="19"/>
      <c r="D4701" s="19"/>
      <c r="E4701" s="19"/>
      <c r="F4701" s="20"/>
      <c r="G4701" s="19"/>
      <c r="H4701" s="19"/>
      <c r="I4701" s="19"/>
      <c r="J4701" s="19"/>
      <c r="K4701" s="19"/>
    </row>
    <row r="4702" spans="3:11" x14ac:dyDescent="0.2">
      <c r="C4702" s="19"/>
      <c r="D4702" s="19"/>
      <c r="E4702" s="19"/>
      <c r="F4702" s="20"/>
      <c r="G4702" s="19"/>
      <c r="H4702" s="19"/>
      <c r="I4702" s="19"/>
      <c r="J4702" s="19"/>
      <c r="K4702" s="19"/>
    </row>
    <row r="4703" spans="3:11" x14ac:dyDescent="0.2">
      <c r="C4703" s="19"/>
      <c r="D4703" s="19"/>
      <c r="E4703" s="19"/>
      <c r="F4703" s="20"/>
      <c r="G4703" s="19"/>
      <c r="H4703" s="19"/>
      <c r="I4703" s="19"/>
      <c r="J4703" s="21"/>
      <c r="K4703" s="19"/>
    </row>
    <row r="4704" spans="3:11" x14ac:dyDescent="0.2">
      <c r="C4704" s="19"/>
      <c r="D4704" s="19"/>
      <c r="E4704" s="19"/>
      <c r="F4704" s="20"/>
      <c r="G4704" s="19"/>
      <c r="H4704" s="19"/>
      <c r="I4704" s="19"/>
      <c r="J4704" s="21"/>
      <c r="K4704" s="19"/>
    </row>
    <row r="4705" spans="3:11" x14ac:dyDescent="0.2">
      <c r="C4705" s="19"/>
      <c r="D4705" s="19"/>
      <c r="E4705" s="19"/>
      <c r="F4705" s="20"/>
      <c r="G4705" s="19"/>
      <c r="H4705" s="19"/>
      <c r="I4705" s="19"/>
      <c r="J4705" s="21"/>
      <c r="K4705" s="19"/>
    </row>
    <row r="4706" spans="3:11" x14ac:dyDescent="0.2">
      <c r="C4706" s="19"/>
      <c r="D4706" s="19"/>
      <c r="E4706" s="19"/>
      <c r="F4706" s="20"/>
      <c r="G4706" s="19"/>
      <c r="H4706" s="19"/>
      <c r="I4706" s="19"/>
      <c r="J4706" s="21"/>
      <c r="K4706" s="19"/>
    </row>
    <row r="4707" spans="3:11" x14ac:dyDescent="0.2">
      <c r="C4707" s="19"/>
      <c r="D4707" s="19"/>
      <c r="E4707" s="19"/>
      <c r="F4707" s="20"/>
      <c r="G4707" s="19"/>
      <c r="H4707" s="19"/>
      <c r="I4707" s="19"/>
      <c r="J4707" s="21"/>
      <c r="K4707" s="19"/>
    </row>
    <row r="4708" spans="3:11" x14ac:dyDescent="0.2">
      <c r="C4708" s="19"/>
      <c r="D4708" s="19"/>
      <c r="E4708" s="19"/>
      <c r="F4708" s="20"/>
      <c r="G4708" s="19"/>
      <c r="H4708" s="19"/>
      <c r="I4708" s="19"/>
      <c r="J4708" s="21"/>
      <c r="K4708" s="19"/>
    </row>
    <row r="4709" spans="3:11" x14ac:dyDescent="0.2">
      <c r="C4709" s="19"/>
      <c r="D4709" s="19"/>
      <c r="E4709" s="19"/>
      <c r="F4709" s="20"/>
      <c r="G4709" s="19"/>
      <c r="H4709" s="19"/>
      <c r="I4709" s="19"/>
      <c r="J4709" s="21"/>
      <c r="K4709" s="19"/>
    </row>
    <row r="4710" spans="3:11" x14ac:dyDescent="0.2">
      <c r="C4710" s="19"/>
      <c r="D4710" s="19"/>
      <c r="E4710" s="19"/>
      <c r="F4710" s="20"/>
      <c r="G4710" s="19"/>
      <c r="H4710" s="19"/>
      <c r="I4710" s="19"/>
      <c r="J4710" s="21"/>
      <c r="K4710" s="19"/>
    </row>
    <row r="4711" spans="3:11" x14ac:dyDescent="0.2">
      <c r="C4711" s="19"/>
      <c r="D4711" s="19"/>
      <c r="E4711" s="19"/>
      <c r="F4711" s="20"/>
      <c r="G4711" s="19"/>
      <c r="H4711" s="19"/>
      <c r="I4711" s="19"/>
      <c r="J4711" s="21"/>
      <c r="K4711" s="19"/>
    </row>
    <row r="4712" spans="3:11" x14ac:dyDescent="0.2">
      <c r="C4712" s="19"/>
      <c r="D4712" s="19"/>
      <c r="E4712" s="19"/>
      <c r="F4712" s="20"/>
      <c r="G4712" s="19"/>
      <c r="H4712" s="19"/>
      <c r="I4712" s="19"/>
      <c r="J4712" s="21"/>
      <c r="K4712" s="19"/>
    </row>
    <row r="4713" spans="3:11" x14ac:dyDescent="0.2">
      <c r="C4713" s="19"/>
      <c r="D4713" s="19"/>
      <c r="E4713" s="19"/>
      <c r="F4713" s="20"/>
      <c r="G4713" s="19"/>
      <c r="H4713" s="19"/>
      <c r="I4713" s="19"/>
      <c r="J4713" s="21"/>
      <c r="K4713" s="19"/>
    </row>
    <row r="4714" spans="3:11" x14ac:dyDescent="0.2">
      <c r="C4714" s="19"/>
      <c r="D4714" s="19"/>
      <c r="E4714" s="19"/>
      <c r="F4714" s="20"/>
      <c r="G4714" s="19"/>
      <c r="H4714" s="19"/>
      <c r="I4714" s="19"/>
      <c r="J4714" s="21"/>
      <c r="K4714" s="19"/>
    </row>
    <row r="4715" spans="3:11" x14ac:dyDescent="0.2">
      <c r="C4715" s="19"/>
      <c r="D4715" s="19"/>
      <c r="E4715" s="19"/>
      <c r="F4715" s="20"/>
      <c r="G4715" s="19"/>
      <c r="H4715" s="19"/>
      <c r="I4715" s="19"/>
      <c r="J4715" s="21"/>
      <c r="K4715" s="19"/>
    </row>
    <row r="4716" spans="3:11" x14ac:dyDescent="0.2">
      <c r="C4716" s="19"/>
      <c r="D4716" s="19"/>
      <c r="E4716" s="19"/>
      <c r="F4716" s="20"/>
      <c r="G4716" s="19"/>
      <c r="H4716" s="19"/>
      <c r="I4716" s="19"/>
      <c r="J4716" s="21"/>
      <c r="K4716" s="19"/>
    </row>
    <row r="4717" spans="3:11" x14ac:dyDescent="0.2">
      <c r="C4717" s="19"/>
      <c r="D4717" s="19"/>
      <c r="E4717" s="19"/>
      <c r="F4717" s="20"/>
      <c r="G4717" s="19"/>
      <c r="H4717" s="19"/>
      <c r="I4717" s="19"/>
      <c r="J4717" s="21"/>
      <c r="K4717" s="19"/>
    </row>
    <row r="4718" spans="3:11" x14ac:dyDescent="0.2">
      <c r="C4718" s="19"/>
      <c r="D4718" s="19"/>
      <c r="E4718" s="19"/>
      <c r="F4718" s="20"/>
      <c r="G4718" s="19"/>
      <c r="H4718" s="19"/>
      <c r="I4718" s="19"/>
      <c r="J4718" s="21"/>
      <c r="K4718" s="19"/>
    </row>
    <row r="4719" spans="3:11" x14ac:dyDescent="0.2">
      <c r="C4719" s="19"/>
      <c r="D4719" s="19"/>
      <c r="E4719" s="19"/>
      <c r="F4719" s="20"/>
      <c r="G4719" s="19"/>
      <c r="H4719" s="19"/>
      <c r="I4719" s="19"/>
      <c r="J4719" s="21"/>
      <c r="K4719" s="19"/>
    </row>
    <row r="4720" spans="3:11" x14ac:dyDescent="0.2">
      <c r="C4720" s="19"/>
      <c r="D4720" s="19"/>
      <c r="E4720" s="19"/>
      <c r="F4720" s="20"/>
      <c r="G4720" s="19"/>
      <c r="H4720" s="19"/>
      <c r="I4720" s="19"/>
      <c r="J4720" s="19"/>
      <c r="K4720" s="19"/>
    </row>
    <row r="4721" spans="3:11" x14ac:dyDescent="0.2">
      <c r="C4721" s="19"/>
      <c r="D4721" s="19"/>
      <c r="E4721" s="19"/>
      <c r="F4721" s="20"/>
      <c r="G4721" s="19"/>
      <c r="H4721" s="19"/>
      <c r="I4721" s="19"/>
      <c r="J4721" s="19"/>
      <c r="K4721" s="19"/>
    </row>
    <row r="4722" spans="3:11" x14ac:dyDescent="0.2">
      <c r="C4722" s="19"/>
      <c r="D4722" s="19"/>
      <c r="E4722" s="19"/>
      <c r="F4722" s="20"/>
      <c r="G4722" s="19"/>
      <c r="H4722" s="19"/>
      <c r="I4722" s="19"/>
      <c r="J4722" s="21"/>
      <c r="K4722" s="19"/>
    </row>
    <row r="4723" spans="3:11" x14ac:dyDescent="0.2">
      <c r="C4723" s="19"/>
      <c r="D4723" s="19"/>
      <c r="E4723" s="19"/>
      <c r="F4723" s="20"/>
      <c r="G4723" s="19"/>
      <c r="H4723" s="19"/>
      <c r="I4723" s="19"/>
      <c r="J4723" s="21"/>
      <c r="K4723" s="19"/>
    </row>
    <row r="4724" spans="3:11" x14ac:dyDescent="0.2">
      <c r="C4724" s="19"/>
      <c r="D4724" s="19"/>
      <c r="E4724" s="19"/>
      <c r="F4724" s="20"/>
      <c r="G4724" s="19"/>
      <c r="H4724" s="19"/>
      <c r="I4724" s="19"/>
      <c r="J4724" s="21"/>
      <c r="K4724" s="19"/>
    </row>
    <row r="4725" spans="3:11" x14ac:dyDescent="0.2">
      <c r="C4725" s="19"/>
      <c r="D4725" s="19"/>
      <c r="E4725" s="19"/>
      <c r="F4725" s="20"/>
      <c r="G4725" s="19"/>
      <c r="H4725" s="19"/>
      <c r="I4725" s="19"/>
      <c r="J4725" s="21"/>
      <c r="K4725" s="19"/>
    </row>
    <row r="4726" spans="3:11" x14ac:dyDescent="0.2">
      <c r="C4726" s="19"/>
      <c r="D4726" s="19"/>
      <c r="E4726" s="19"/>
      <c r="F4726" s="20"/>
      <c r="G4726" s="19"/>
      <c r="H4726" s="19"/>
      <c r="I4726" s="19"/>
      <c r="J4726" s="21"/>
      <c r="K4726" s="19"/>
    </row>
    <row r="4727" spans="3:11" x14ac:dyDescent="0.2">
      <c r="C4727" s="19"/>
      <c r="D4727" s="19"/>
      <c r="E4727" s="19"/>
      <c r="F4727" s="20"/>
      <c r="G4727" s="19"/>
      <c r="H4727" s="19"/>
      <c r="I4727" s="19"/>
      <c r="J4727" s="21"/>
      <c r="K4727" s="19"/>
    </row>
    <row r="4728" spans="3:11" x14ac:dyDescent="0.2">
      <c r="C4728" s="19"/>
      <c r="D4728" s="19"/>
      <c r="E4728" s="19"/>
      <c r="F4728" s="20"/>
      <c r="G4728" s="19"/>
      <c r="H4728" s="19"/>
      <c r="I4728" s="19"/>
      <c r="J4728" s="21"/>
      <c r="K4728" s="19"/>
    </row>
    <row r="4729" spans="3:11" x14ac:dyDescent="0.2">
      <c r="C4729" s="19"/>
      <c r="D4729" s="19"/>
      <c r="E4729" s="19"/>
      <c r="F4729" s="20"/>
      <c r="G4729" s="19"/>
      <c r="H4729" s="19"/>
      <c r="I4729" s="19"/>
      <c r="J4729" s="21"/>
      <c r="K4729" s="19"/>
    </row>
    <row r="4730" spans="3:11" x14ac:dyDescent="0.2">
      <c r="C4730" s="19"/>
      <c r="D4730" s="19"/>
      <c r="E4730" s="19"/>
      <c r="F4730" s="20"/>
      <c r="G4730" s="19"/>
      <c r="H4730" s="19"/>
      <c r="I4730" s="19"/>
      <c r="J4730" s="21"/>
      <c r="K4730" s="19"/>
    </row>
    <row r="4731" spans="3:11" x14ac:dyDescent="0.2">
      <c r="C4731" s="19"/>
      <c r="D4731" s="19"/>
      <c r="E4731" s="19"/>
      <c r="F4731" s="20"/>
      <c r="G4731" s="19"/>
      <c r="H4731" s="19"/>
      <c r="I4731" s="19"/>
      <c r="J4731" s="21"/>
      <c r="K4731" s="19"/>
    </row>
    <row r="4732" spans="3:11" x14ac:dyDescent="0.2">
      <c r="C4732" s="19"/>
      <c r="D4732" s="19"/>
      <c r="E4732" s="19"/>
      <c r="F4732" s="20"/>
      <c r="G4732" s="19"/>
      <c r="H4732" s="19"/>
      <c r="I4732" s="19"/>
      <c r="J4732" s="21"/>
      <c r="K4732" s="19"/>
    </row>
    <row r="4733" spans="3:11" x14ac:dyDescent="0.2">
      <c r="C4733" s="19"/>
      <c r="D4733" s="19"/>
      <c r="E4733" s="19"/>
      <c r="F4733" s="20"/>
      <c r="G4733" s="19"/>
      <c r="H4733" s="19"/>
      <c r="I4733" s="19"/>
      <c r="J4733" s="21"/>
      <c r="K4733" s="19"/>
    </row>
    <row r="4734" spans="3:11" x14ac:dyDescent="0.2">
      <c r="C4734" s="19"/>
      <c r="D4734" s="19"/>
      <c r="E4734" s="19"/>
      <c r="F4734" s="20"/>
      <c r="G4734" s="19"/>
      <c r="H4734" s="19"/>
      <c r="I4734" s="19"/>
      <c r="J4734" s="19"/>
      <c r="K4734" s="19"/>
    </row>
    <row r="4735" spans="3:11" x14ac:dyDescent="0.2">
      <c r="C4735" s="19"/>
      <c r="D4735" s="19"/>
      <c r="E4735" s="19"/>
      <c r="F4735" s="20"/>
      <c r="G4735" s="19"/>
      <c r="H4735" s="19"/>
      <c r="I4735" s="19"/>
      <c r="J4735" s="21"/>
      <c r="K4735" s="19"/>
    </row>
    <row r="4736" spans="3:11" x14ac:dyDescent="0.2">
      <c r="C4736" s="19"/>
      <c r="D4736" s="19"/>
      <c r="E4736" s="19"/>
      <c r="F4736" s="20"/>
      <c r="G4736" s="19"/>
      <c r="H4736" s="19"/>
      <c r="I4736" s="19"/>
      <c r="J4736" s="19"/>
      <c r="K4736" s="19"/>
    </row>
    <row r="4737" spans="3:11" x14ac:dyDescent="0.2">
      <c r="C4737" s="19"/>
      <c r="D4737" s="19"/>
      <c r="E4737" s="19"/>
      <c r="F4737" s="20"/>
      <c r="G4737" s="19"/>
      <c r="H4737" s="19"/>
      <c r="I4737" s="19"/>
      <c r="J4737" s="21"/>
      <c r="K4737" s="19"/>
    </row>
    <row r="4738" spans="3:11" x14ac:dyDescent="0.2">
      <c r="C4738" s="19"/>
      <c r="D4738" s="19"/>
      <c r="E4738" s="19"/>
      <c r="F4738" s="20"/>
      <c r="G4738" s="19"/>
      <c r="H4738" s="19"/>
      <c r="I4738" s="19"/>
      <c r="J4738" s="21"/>
      <c r="K4738" s="19"/>
    </row>
    <row r="4739" spans="3:11" x14ac:dyDescent="0.2">
      <c r="C4739" s="19"/>
      <c r="D4739" s="19"/>
      <c r="E4739" s="19"/>
      <c r="F4739" s="20"/>
      <c r="G4739" s="19"/>
      <c r="H4739" s="19"/>
      <c r="I4739" s="19"/>
      <c r="J4739" s="21"/>
      <c r="K4739" s="19"/>
    </row>
    <row r="4740" spans="3:11" x14ac:dyDescent="0.2">
      <c r="C4740" s="19"/>
      <c r="D4740" s="19"/>
      <c r="E4740" s="19"/>
      <c r="F4740" s="20"/>
      <c r="G4740" s="19"/>
      <c r="H4740" s="19"/>
      <c r="I4740" s="19"/>
      <c r="J4740" s="21"/>
      <c r="K4740" s="19"/>
    </row>
    <row r="4741" spans="3:11" x14ac:dyDescent="0.2">
      <c r="C4741" s="19"/>
      <c r="D4741" s="19"/>
      <c r="E4741" s="19"/>
      <c r="F4741" s="20"/>
      <c r="G4741" s="19"/>
      <c r="H4741" s="19"/>
      <c r="I4741" s="19"/>
      <c r="J4741" s="21"/>
      <c r="K4741" s="19"/>
    </row>
    <row r="4742" spans="3:11" x14ac:dyDescent="0.2">
      <c r="C4742" s="19"/>
      <c r="D4742" s="19"/>
      <c r="E4742" s="19"/>
      <c r="F4742" s="20"/>
      <c r="G4742" s="19"/>
      <c r="H4742" s="19"/>
      <c r="I4742" s="19"/>
      <c r="J4742" s="21"/>
      <c r="K4742" s="19"/>
    </row>
    <row r="4743" spans="3:11" x14ac:dyDescent="0.2">
      <c r="C4743" s="19"/>
      <c r="D4743" s="19"/>
      <c r="E4743" s="19"/>
      <c r="F4743" s="20"/>
      <c r="G4743" s="19"/>
      <c r="H4743" s="19"/>
      <c r="I4743" s="19"/>
      <c r="J4743" s="21"/>
      <c r="K4743" s="19"/>
    </row>
    <row r="4744" spans="3:11" x14ac:dyDescent="0.2">
      <c r="C4744" s="19"/>
      <c r="D4744" s="19"/>
      <c r="E4744" s="19"/>
      <c r="F4744" s="20"/>
      <c r="G4744" s="19"/>
      <c r="H4744" s="19"/>
      <c r="I4744" s="19"/>
      <c r="J4744" s="21"/>
      <c r="K4744" s="19"/>
    </row>
    <row r="4745" spans="3:11" x14ac:dyDescent="0.2">
      <c r="C4745" s="19"/>
      <c r="D4745" s="19"/>
      <c r="E4745" s="19"/>
      <c r="F4745" s="20"/>
      <c r="G4745" s="19"/>
      <c r="H4745" s="19"/>
      <c r="I4745" s="19"/>
      <c r="J4745" s="21"/>
      <c r="K4745" s="19"/>
    </row>
    <row r="4746" spans="3:11" x14ac:dyDescent="0.2">
      <c r="C4746" s="19"/>
      <c r="D4746" s="19"/>
      <c r="E4746" s="19"/>
      <c r="F4746" s="20"/>
      <c r="G4746" s="19"/>
      <c r="H4746" s="19"/>
      <c r="I4746" s="19"/>
      <c r="J4746" s="21"/>
      <c r="K4746" s="19"/>
    </row>
    <row r="4747" spans="3:11" x14ac:dyDescent="0.2">
      <c r="C4747" s="19"/>
      <c r="D4747" s="19"/>
      <c r="E4747" s="19"/>
      <c r="F4747" s="20"/>
      <c r="G4747" s="19"/>
      <c r="H4747" s="19"/>
      <c r="I4747" s="19"/>
      <c r="J4747" s="19"/>
      <c r="K4747" s="19"/>
    </row>
    <row r="4748" spans="3:11" x14ac:dyDescent="0.2">
      <c r="C4748" s="19"/>
      <c r="D4748" s="19"/>
      <c r="E4748" s="19"/>
      <c r="F4748" s="20"/>
      <c r="G4748" s="19"/>
      <c r="H4748" s="19"/>
      <c r="I4748" s="19"/>
      <c r="J4748" s="19"/>
      <c r="K4748" s="19"/>
    </row>
    <row r="4749" spans="3:11" x14ac:dyDescent="0.2">
      <c r="C4749" s="19"/>
      <c r="D4749" s="19"/>
      <c r="E4749" s="19"/>
      <c r="F4749" s="20"/>
      <c r="G4749" s="19"/>
      <c r="H4749" s="19"/>
      <c r="I4749" s="19"/>
      <c r="J4749" s="19"/>
      <c r="K4749" s="19"/>
    </row>
    <row r="4750" spans="3:11" x14ac:dyDescent="0.2">
      <c r="C4750" s="19"/>
      <c r="D4750" s="19"/>
      <c r="E4750" s="19"/>
      <c r="F4750" s="20"/>
      <c r="G4750" s="19"/>
      <c r="H4750" s="19"/>
      <c r="I4750" s="19"/>
      <c r="J4750" s="21"/>
      <c r="K4750" s="19"/>
    </row>
    <row r="4751" spans="3:11" x14ac:dyDescent="0.2">
      <c r="C4751" s="19"/>
      <c r="D4751" s="19"/>
      <c r="E4751" s="19"/>
      <c r="F4751" s="20"/>
      <c r="G4751" s="19"/>
      <c r="H4751" s="19"/>
      <c r="I4751" s="19"/>
      <c r="J4751" s="21"/>
      <c r="K4751" s="19"/>
    </row>
    <row r="4752" spans="3:11" x14ac:dyDescent="0.2">
      <c r="C4752" s="19"/>
      <c r="D4752" s="19"/>
      <c r="E4752" s="19"/>
      <c r="F4752" s="20"/>
      <c r="G4752" s="19"/>
      <c r="H4752" s="19"/>
      <c r="I4752" s="19"/>
      <c r="J4752" s="21"/>
      <c r="K4752" s="19"/>
    </row>
    <row r="4753" spans="3:11" x14ac:dyDescent="0.2">
      <c r="C4753" s="19"/>
      <c r="D4753" s="19"/>
      <c r="E4753" s="19"/>
      <c r="F4753" s="20"/>
      <c r="G4753" s="19"/>
      <c r="H4753" s="19"/>
      <c r="I4753" s="19"/>
      <c r="J4753" s="21"/>
      <c r="K4753" s="19"/>
    </row>
    <row r="4754" spans="3:11" x14ac:dyDescent="0.2">
      <c r="C4754" s="19"/>
      <c r="D4754" s="19"/>
      <c r="E4754" s="19"/>
      <c r="F4754" s="20"/>
      <c r="G4754" s="19"/>
      <c r="H4754" s="19"/>
      <c r="I4754" s="19"/>
      <c r="J4754" s="21"/>
      <c r="K4754" s="19"/>
    </row>
    <row r="4755" spans="3:11" x14ac:dyDescent="0.2">
      <c r="C4755" s="19"/>
      <c r="D4755" s="19"/>
      <c r="E4755" s="19"/>
      <c r="F4755" s="20"/>
      <c r="G4755" s="19"/>
      <c r="H4755" s="19"/>
      <c r="I4755" s="19"/>
      <c r="J4755" s="21"/>
      <c r="K4755" s="19"/>
    </row>
    <row r="4756" spans="3:11" x14ac:dyDescent="0.2">
      <c r="C4756" s="19"/>
      <c r="D4756" s="19"/>
      <c r="E4756" s="19"/>
      <c r="F4756" s="20"/>
      <c r="G4756" s="19"/>
      <c r="H4756" s="19"/>
      <c r="I4756" s="19"/>
      <c r="J4756" s="21"/>
      <c r="K4756" s="19"/>
    </row>
    <row r="4757" spans="3:11" x14ac:dyDescent="0.2">
      <c r="C4757" s="19"/>
      <c r="D4757" s="19"/>
      <c r="E4757" s="19"/>
      <c r="F4757" s="20"/>
      <c r="G4757" s="19"/>
      <c r="H4757" s="19"/>
      <c r="I4757" s="19"/>
      <c r="J4757" s="21"/>
      <c r="K4757" s="19"/>
    </row>
    <row r="4758" spans="3:11" x14ac:dyDescent="0.2">
      <c r="C4758" s="19"/>
      <c r="D4758" s="19"/>
      <c r="E4758" s="19"/>
      <c r="F4758" s="20"/>
      <c r="G4758" s="19"/>
      <c r="H4758" s="19"/>
      <c r="I4758" s="19"/>
      <c r="J4758" s="21"/>
      <c r="K4758" s="19"/>
    </row>
    <row r="4759" spans="3:11" x14ac:dyDescent="0.2">
      <c r="C4759" s="19"/>
      <c r="D4759" s="19"/>
      <c r="E4759" s="19"/>
      <c r="F4759" s="20"/>
      <c r="G4759" s="19"/>
      <c r="H4759" s="19"/>
      <c r="I4759" s="19"/>
      <c r="J4759" s="21"/>
      <c r="K4759" s="19"/>
    </row>
    <row r="4760" spans="3:11" x14ac:dyDescent="0.2">
      <c r="C4760" s="19"/>
      <c r="D4760" s="19"/>
      <c r="E4760" s="19"/>
      <c r="F4760" s="20"/>
      <c r="G4760" s="19"/>
      <c r="H4760" s="19"/>
      <c r="I4760" s="19"/>
      <c r="J4760" s="21"/>
      <c r="K4760" s="19"/>
    </row>
    <row r="4761" spans="3:11" x14ac:dyDescent="0.2">
      <c r="C4761" s="19"/>
      <c r="D4761" s="19"/>
      <c r="E4761" s="19"/>
      <c r="F4761" s="20"/>
      <c r="G4761" s="19"/>
      <c r="H4761" s="19"/>
      <c r="I4761" s="19"/>
      <c r="J4761" s="21"/>
      <c r="K4761" s="19"/>
    </row>
    <row r="4762" spans="3:11" x14ac:dyDescent="0.2">
      <c r="C4762" s="19"/>
      <c r="D4762" s="19"/>
      <c r="E4762" s="19"/>
      <c r="F4762" s="20"/>
      <c r="G4762" s="19"/>
      <c r="H4762" s="19"/>
      <c r="I4762" s="19"/>
      <c r="J4762" s="21"/>
      <c r="K4762" s="19"/>
    </row>
    <row r="4763" spans="3:11" x14ac:dyDescent="0.2">
      <c r="C4763" s="19"/>
      <c r="D4763" s="19"/>
      <c r="E4763" s="19"/>
      <c r="F4763" s="20"/>
      <c r="G4763" s="19"/>
      <c r="H4763" s="19"/>
      <c r="I4763" s="19"/>
      <c r="J4763" s="21"/>
      <c r="K4763" s="19"/>
    </row>
    <row r="4764" spans="3:11" x14ac:dyDescent="0.2">
      <c r="C4764" s="19"/>
      <c r="D4764" s="19"/>
      <c r="E4764" s="19"/>
      <c r="F4764" s="20"/>
      <c r="G4764" s="19"/>
      <c r="H4764" s="19"/>
      <c r="I4764" s="19"/>
      <c r="J4764" s="21"/>
      <c r="K4764" s="19"/>
    </row>
    <row r="4765" spans="3:11" x14ac:dyDescent="0.2">
      <c r="C4765" s="19"/>
      <c r="D4765" s="19"/>
      <c r="E4765" s="19"/>
      <c r="F4765" s="20"/>
      <c r="G4765" s="19"/>
      <c r="H4765" s="19"/>
      <c r="I4765" s="19"/>
      <c r="J4765" s="19"/>
      <c r="K4765" s="19"/>
    </row>
    <row r="4766" spans="3:11" x14ac:dyDescent="0.2">
      <c r="C4766" s="19"/>
      <c r="D4766" s="19"/>
      <c r="E4766" s="19"/>
      <c r="F4766" s="20"/>
      <c r="G4766" s="19"/>
      <c r="H4766" s="19"/>
      <c r="I4766" s="19"/>
      <c r="J4766" s="19"/>
      <c r="K4766" s="19"/>
    </row>
    <row r="4767" spans="3:11" x14ac:dyDescent="0.2">
      <c r="C4767" s="19"/>
      <c r="D4767" s="19"/>
      <c r="E4767" s="19"/>
      <c r="F4767" s="20"/>
      <c r="G4767" s="19"/>
      <c r="H4767" s="19"/>
      <c r="I4767" s="19"/>
      <c r="J4767" s="21"/>
      <c r="K4767" s="19"/>
    </row>
    <row r="4768" spans="3:11" x14ac:dyDescent="0.2">
      <c r="C4768" s="19"/>
      <c r="D4768" s="19"/>
      <c r="E4768" s="19"/>
      <c r="F4768" s="20"/>
      <c r="G4768" s="19"/>
      <c r="H4768" s="19"/>
      <c r="I4768" s="19"/>
      <c r="J4768" s="19"/>
      <c r="K4768" s="19"/>
    </row>
    <row r="4769" spans="3:11" x14ac:dyDescent="0.2">
      <c r="C4769" s="19"/>
      <c r="D4769" s="19"/>
      <c r="E4769" s="19"/>
      <c r="F4769" s="20"/>
      <c r="G4769" s="19"/>
      <c r="H4769" s="19"/>
      <c r="I4769" s="19"/>
      <c r="J4769" s="21"/>
      <c r="K4769" s="19"/>
    </row>
    <row r="4770" spans="3:11" x14ac:dyDescent="0.2">
      <c r="C4770" s="19"/>
      <c r="D4770" s="19"/>
      <c r="E4770" s="19"/>
      <c r="F4770" s="20"/>
      <c r="G4770" s="19"/>
      <c r="H4770" s="19"/>
      <c r="I4770" s="19"/>
      <c r="J4770" s="21"/>
      <c r="K4770" s="19"/>
    </row>
    <row r="4771" spans="3:11" x14ac:dyDescent="0.2">
      <c r="C4771" s="19"/>
      <c r="D4771" s="19"/>
      <c r="E4771" s="19"/>
      <c r="F4771" s="20"/>
      <c r="G4771" s="19"/>
      <c r="H4771" s="19"/>
      <c r="I4771" s="19"/>
      <c r="J4771" s="21"/>
      <c r="K4771" s="19"/>
    </row>
    <row r="4772" spans="3:11" x14ac:dyDescent="0.2">
      <c r="C4772" s="19"/>
      <c r="D4772" s="19"/>
      <c r="E4772" s="19"/>
      <c r="F4772" s="20"/>
      <c r="G4772" s="19"/>
      <c r="H4772" s="19"/>
      <c r="I4772" s="19"/>
      <c r="J4772" s="21"/>
      <c r="K4772" s="19"/>
    </row>
    <row r="4773" spans="3:11" x14ac:dyDescent="0.2">
      <c r="C4773" s="19"/>
      <c r="D4773" s="19"/>
      <c r="E4773" s="19"/>
      <c r="F4773" s="20"/>
      <c r="G4773" s="19"/>
      <c r="H4773" s="19"/>
      <c r="I4773" s="19"/>
      <c r="J4773" s="21"/>
      <c r="K4773" s="19"/>
    </row>
    <row r="4774" spans="3:11" x14ac:dyDescent="0.2">
      <c r="C4774" s="19"/>
      <c r="D4774" s="19"/>
      <c r="E4774" s="19"/>
      <c r="F4774" s="20"/>
      <c r="G4774" s="19"/>
      <c r="H4774" s="19"/>
      <c r="I4774" s="19"/>
      <c r="J4774" s="21"/>
      <c r="K4774" s="19"/>
    </row>
    <row r="4775" spans="3:11" x14ac:dyDescent="0.2">
      <c r="C4775" s="19"/>
      <c r="D4775" s="19"/>
      <c r="E4775" s="19"/>
      <c r="F4775" s="20"/>
      <c r="G4775" s="19"/>
      <c r="H4775" s="19"/>
      <c r="I4775" s="19"/>
      <c r="J4775" s="21"/>
      <c r="K4775" s="19"/>
    </row>
    <row r="4776" spans="3:11" x14ac:dyDescent="0.2">
      <c r="C4776" s="19"/>
      <c r="D4776" s="19"/>
      <c r="E4776" s="19"/>
      <c r="F4776" s="20"/>
      <c r="G4776" s="19"/>
      <c r="H4776" s="19"/>
      <c r="I4776" s="19"/>
      <c r="J4776" s="21"/>
      <c r="K4776" s="19"/>
    </row>
    <row r="4777" spans="3:11" x14ac:dyDescent="0.2">
      <c r="C4777" s="19"/>
      <c r="D4777" s="19"/>
      <c r="E4777" s="19"/>
      <c r="F4777" s="20"/>
      <c r="G4777" s="19"/>
      <c r="H4777" s="19"/>
      <c r="I4777" s="19"/>
      <c r="J4777" s="21"/>
      <c r="K4777" s="19"/>
    </row>
    <row r="4778" spans="3:11" x14ac:dyDescent="0.2">
      <c r="C4778" s="19"/>
      <c r="D4778" s="19"/>
      <c r="E4778" s="19"/>
      <c r="F4778" s="20"/>
      <c r="G4778" s="19"/>
      <c r="H4778" s="19"/>
      <c r="I4778" s="19"/>
      <c r="J4778" s="21"/>
      <c r="K4778" s="19"/>
    </row>
    <row r="4779" spans="3:11" x14ac:dyDescent="0.2">
      <c r="C4779" s="19"/>
      <c r="D4779" s="19"/>
      <c r="E4779" s="19"/>
      <c r="F4779" s="20"/>
      <c r="G4779" s="19"/>
      <c r="H4779" s="19"/>
      <c r="I4779" s="19"/>
      <c r="J4779" s="21"/>
      <c r="K4779" s="19"/>
    </row>
    <row r="4780" spans="3:11" x14ac:dyDescent="0.2">
      <c r="C4780" s="19"/>
      <c r="D4780" s="19"/>
      <c r="E4780" s="19"/>
      <c r="F4780" s="20"/>
      <c r="G4780" s="19"/>
      <c r="H4780" s="19"/>
      <c r="I4780" s="19"/>
      <c r="J4780" s="21"/>
      <c r="K4780" s="19"/>
    </row>
    <row r="4781" spans="3:11" x14ac:dyDescent="0.2">
      <c r="C4781" s="19"/>
      <c r="D4781" s="19"/>
      <c r="E4781" s="19"/>
      <c r="F4781" s="20"/>
      <c r="G4781" s="19"/>
      <c r="H4781" s="19"/>
      <c r="I4781" s="19"/>
      <c r="J4781" s="21"/>
      <c r="K4781" s="19"/>
    </row>
    <row r="4782" spans="3:11" x14ac:dyDescent="0.2">
      <c r="C4782" s="19"/>
      <c r="D4782" s="19"/>
      <c r="E4782" s="19"/>
      <c r="F4782" s="20"/>
      <c r="G4782" s="19"/>
      <c r="H4782" s="19"/>
      <c r="I4782" s="19"/>
      <c r="J4782" s="19"/>
      <c r="K4782" s="19"/>
    </row>
    <row r="4783" spans="3:11" x14ac:dyDescent="0.2">
      <c r="C4783" s="19"/>
      <c r="D4783" s="19"/>
      <c r="E4783" s="19"/>
      <c r="F4783" s="20"/>
      <c r="G4783" s="19"/>
      <c r="H4783" s="19"/>
      <c r="I4783" s="19"/>
      <c r="J4783" s="19"/>
      <c r="K4783" s="19"/>
    </row>
    <row r="4784" spans="3:11" x14ac:dyDescent="0.2">
      <c r="C4784" s="19"/>
      <c r="D4784" s="19"/>
      <c r="E4784" s="19"/>
      <c r="F4784" s="20"/>
      <c r="G4784" s="19"/>
      <c r="H4784" s="19"/>
      <c r="I4784" s="19"/>
      <c r="J4784" s="21"/>
      <c r="K4784" s="19"/>
    </row>
    <row r="4785" spans="3:11" x14ac:dyDescent="0.2">
      <c r="C4785" s="19"/>
      <c r="D4785" s="19"/>
      <c r="E4785" s="19"/>
      <c r="F4785" s="20"/>
      <c r="G4785" s="19"/>
      <c r="H4785" s="19"/>
      <c r="I4785" s="19"/>
      <c r="J4785" s="21"/>
      <c r="K4785" s="19"/>
    </row>
    <row r="4786" spans="3:11" x14ac:dyDescent="0.2">
      <c r="C4786" s="19"/>
      <c r="D4786" s="19"/>
      <c r="E4786" s="19"/>
      <c r="F4786" s="20"/>
      <c r="G4786" s="19"/>
      <c r="H4786" s="19"/>
      <c r="I4786" s="19"/>
      <c r="J4786" s="21"/>
      <c r="K4786" s="19"/>
    </row>
    <row r="4787" spans="3:11" x14ac:dyDescent="0.2">
      <c r="C4787" s="19"/>
      <c r="D4787" s="19"/>
      <c r="E4787" s="19"/>
      <c r="F4787" s="20"/>
      <c r="G4787" s="19"/>
      <c r="H4787" s="19"/>
      <c r="I4787" s="19"/>
      <c r="J4787" s="21"/>
      <c r="K4787" s="19"/>
    </row>
    <row r="4788" spans="3:11" x14ac:dyDescent="0.2">
      <c r="C4788" s="19"/>
      <c r="D4788" s="19"/>
      <c r="E4788" s="19"/>
      <c r="F4788" s="20"/>
      <c r="G4788" s="19"/>
      <c r="H4788" s="19"/>
      <c r="I4788" s="19"/>
      <c r="J4788" s="21"/>
      <c r="K4788" s="19"/>
    </row>
    <row r="4789" spans="3:11" x14ac:dyDescent="0.2">
      <c r="C4789" s="19"/>
      <c r="D4789" s="19"/>
      <c r="E4789" s="19"/>
      <c r="F4789" s="20"/>
      <c r="G4789" s="19"/>
      <c r="H4789" s="19"/>
      <c r="I4789" s="19"/>
      <c r="J4789" s="21"/>
      <c r="K4789" s="19"/>
    </row>
    <row r="4790" spans="3:11" x14ac:dyDescent="0.2">
      <c r="C4790" s="19"/>
      <c r="D4790" s="19"/>
      <c r="E4790" s="19"/>
      <c r="F4790" s="20"/>
      <c r="G4790" s="19"/>
      <c r="H4790" s="19"/>
      <c r="I4790" s="19"/>
      <c r="J4790" s="21"/>
      <c r="K4790" s="19"/>
    </row>
    <row r="4791" spans="3:11" x14ac:dyDescent="0.2">
      <c r="C4791" s="19"/>
      <c r="D4791" s="19"/>
      <c r="E4791" s="19"/>
      <c r="F4791" s="20"/>
      <c r="G4791" s="19"/>
      <c r="H4791" s="19"/>
      <c r="I4791" s="19"/>
      <c r="J4791" s="21"/>
      <c r="K4791" s="19"/>
    </row>
    <row r="4792" spans="3:11" x14ac:dyDescent="0.2">
      <c r="C4792" s="19"/>
      <c r="D4792" s="19"/>
      <c r="E4792" s="19"/>
      <c r="F4792" s="20"/>
      <c r="G4792" s="19"/>
      <c r="H4792" s="19"/>
      <c r="I4792" s="19"/>
      <c r="J4792" s="21"/>
      <c r="K4792" s="19"/>
    </row>
    <row r="4793" spans="3:11" x14ac:dyDescent="0.2">
      <c r="C4793" s="19"/>
      <c r="D4793" s="19"/>
      <c r="E4793" s="19"/>
      <c r="F4793" s="20"/>
      <c r="G4793" s="19"/>
      <c r="H4793" s="19"/>
      <c r="I4793" s="19"/>
      <c r="J4793" s="21"/>
      <c r="K4793" s="19"/>
    </row>
    <row r="4794" spans="3:11" x14ac:dyDescent="0.2">
      <c r="C4794" s="19"/>
      <c r="D4794" s="19"/>
      <c r="E4794" s="19"/>
      <c r="F4794" s="20"/>
      <c r="G4794" s="19"/>
      <c r="H4794" s="19"/>
      <c r="I4794" s="19"/>
      <c r="J4794" s="21"/>
      <c r="K4794" s="19"/>
    </row>
    <row r="4795" spans="3:11" x14ac:dyDescent="0.2">
      <c r="C4795" s="19"/>
      <c r="D4795" s="19"/>
      <c r="E4795" s="19"/>
      <c r="F4795" s="20"/>
      <c r="G4795" s="19"/>
      <c r="H4795" s="19"/>
      <c r="I4795" s="19"/>
      <c r="J4795" s="21"/>
      <c r="K4795" s="19"/>
    </row>
    <row r="4796" spans="3:11" x14ac:dyDescent="0.2">
      <c r="C4796" s="19"/>
      <c r="D4796" s="19"/>
      <c r="E4796" s="19"/>
      <c r="F4796" s="20"/>
      <c r="G4796" s="19"/>
      <c r="H4796" s="19"/>
      <c r="I4796" s="19"/>
      <c r="J4796" s="21"/>
      <c r="K4796" s="19"/>
    </row>
    <row r="4797" spans="3:11" x14ac:dyDescent="0.2">
      <c r="C4797" s="19"/>
      <c r="D4797" s="19"/>
      <c r="E4797" s="19"/>
      <c r="F4797" s="20"/>
      <c r="G4797" s="19"/>
      <c r="H4797" s="19"/>
      <c r="I4797" s="19"/>
      <c r="J4797" s="21"/>
      <c r="K4797" s="19"/>
    </row>
    <row r="4798" spans="3:11" x14ac:dyDescent="0.2">
      <c r="C4798" s="19"/>
      <c r="D4798" s="19"/>
      <c r="E4798" s="19"/>
      <c r="F4798" s="20"/>
      <c r="G4798" s="19"/>
      <c r="H4798" s="19"/>
      <c r="I4798" s="19"/>
      <c r="J4798" s="21"/>
      <c r="K4798" s="19"/>
    </row>
    <row r="4799" spans="3:11" x14ac:dyDescent="0.2">
      <c r="C4799" s="19"/>
      <c r="D4799" s="19"/>
      <c r="E4799" s="19"/>
      <c r="F4799" s="20"/>
      <c r="G4799" s="19"/>
      <c r="H4799" s="19"/>
      <c r="I4799" s="19"/>
      <c r="J4799" s="21"/>
      <c r="K4799" s="19"/>
    </row>
    <row r="4800" spans="3:11" x14ac:dyDescent="0.2">
      <c r="C4800" s="19"/>
      <c r="D4800" s="19"/>
      <c r="E4800" s="19"/>
      <c r="F4800" s="20"/>
      <c r="G4800" s="19"/>
      <c r="H4800" s="19"/>
      <c r="I4800" s="19"/>
      <c r="J4800" s="21"/>
      <c r="K4800" s="19"/>
    </row>
    <row r="4801" spans="3:11" x14ac:dyDescent="0.2">
      <c r="C4801" s="19"/>
      <c r="D4801" s="19"/>
      <c r="E4801" s="19"/>
      <c r="F4801" s="20"/>
      <c r="G4801" s="19"/>
      <c r="H4801" s="19"/>
      <c r="I4801" s="19"/>
      <c r="J4801" s="21"/>
      <c r="K4801" s="19"/>
    </row>
    <row r="4802" spans="3:11" x14ac:dyDescent="0.2">
      <c r="C4802" s="19"/>
      <c r="D4802" s="19"/>
      <c r="E4802" s="19"/>
      <c r="F4802" s="20"/>
      <c r="G4802" s="19"/>
      <c r="H4802" s="19"/>
      <c r="I4802" s="19"/>
      <c r="J4802" s="19"/>
      <c r="K4802" s="19"/>
    </row>
    <row r="4803" spans="3:11" x14ac:dyDescent="0.2">
      <c r="C4803" s="19"/>
      <c r="D4803" s="19"/>
      <c r="E4803" s="19"/>
      <c r="F4803" s="20"/>
      <c r="G4803" s="19"/>
      <c r="H4803" s="19"/>
      <c r="I4803" s="19"/>
      <c r="J4803" s="19"/>
      <c r="K4803" s="19"/>
    </row>
    <row r="4804" spans="3:11" x14ac:dyDescent="0.2">
      <c r="C4804" s="19"/>
      <c r="D4804" s="19"/>
      <c r="E4804" s="19"/>
      <c r="F4804" s="20"/>
      <c r="G4804" s="19"/>
      <c r="H4804" s="19"/>
      <c r="I4804" s="19"/>
      <c r="J4804" s="21"/>
      <c r="K4804" s="19"/>
    </row>
    <row r="4805" spans="3:11" x14ac:dyDescent="0.2">
      <c r="C4805" s="19"/>
      <c r="D4805" s="19"/>
      <c r="E4805" s="19"/>
      <c r="F4805" s="20"/>
      <c r="G4805" s="19"/>
      <c r="H4805" s="19"/>
      <c r="I4805" s="19"/>
      <c r="J4805" s="21"/>
      <c r="K4805" s="19"/>
    </row>
    <row r="4806" spans="3:11" x14ac:dyDescent="0.2">
      <c r="C4806" s="19"/>
      <c r="D4806" s="19"/>
      <c r="E4806" s="19"/>
      <c r="F4806" s="20"/>
      <c r="G4806" s="19"/>
      <c r="H4806" s="19"/>
      <c r="I4806" s="19"/>
      <c r="J4806" s="21"/>
      <c r="K4806" s="19"/>
    </row>
    <row r="4807" spans="3:11" x14ac:dyDescent="0.2">
      <c r="C4807" s="19"/>
      <c r="D4807" s="19"/>
      <c r="E4807" s="19"/>
      <c r="F4807" s="20"/>
      <c r="G4807" s="19"/>
      <c r="H4807" s="19"/>
      <c r="I4807" s="19"/>
      <c r="J4807" s="21"/>
      <c r="K4807" s="19"/>
    </row>
    <row r="4808" spans="3:11" x14ac:dyDescent="0.2">
      <c r="C4808" s="19"/>
      <c r="D4808" s="19"/>
      <c r="E4808" s="19"/>
      <c r="F4808" s="20"/>
      <c r="G4808" s="19"/>
      <c r="H4808" s="19"/>
      <c r="I4808" s="19"/>
      <c r="J4808" s="21"/>
      <c r="K4808" s="19"/>
    </row>
    <row r="4809" spans="3:11" x14ac:dyDescent="0.2">
      <c r="C4809" s="19"/>
      <c r="D4809" s="19"/>
      <c r="E4809" s="19"/>
      <c r="F4809" s="20"/>
      <c r="G4809" s="19"/>
      <c r="H4809" s="19"/>
      <c r="I4809" s="19"/>
      <c r="J4809" s="21"/>
      <c r="K4809" s="19"/>
    </row>
    <row r="4810" spans="3:11" x14ac:dyDescent="0.2">
      <c r="C4810" s="19"/>
      <c r="D4810" s="19"/>
      <c r="E4810" s="19"/>
      <c r="F4810" s="20"/>
      <c r="G4810" s="19"/>
      <c r="H4810" s="19"/>
      <c r="I4810" s="19"/>
      <c r="J4810" s="21"/>
      <c r="K4810" s="19"/>
    </row>
    <row r="4811" spans="3:11" x14ac:dyDescent="0.2">
      <c r="C4811" s="19"/>
      <c r="D4811" s="19"/>
      <c r="E4811" s="19"/>
      <c r="F4811" s="20"/>
      <c r="G4811" s="19"/>
      <c r="H4811" s="19"/>
      <c r="I4811" s="19"/>
      <c r="J4811" s="21"/>
      <c r="K4811" s="19"/>
    </row>
    <row r="4812" spans="3:11" x14ac:dyDescent="0.2">
      <c r="C4812" s="19"/>
      <c r="D4812" s="19"/>
      <c r="E4812" s="19"/>
      <c r="F4812" s="20"/>
      <c r="G4812" s="19"/>
      <c r="H4812" s="19"/>
      <c r="I4812" s="19"/>
      <c r="J4812" s="21"/>
      <c r="K4812" s="19"/>
    </row>
    <row r="4813" spans="3:11" x14ac:dyDescent="0.2">
      <c r="C4813" s="19"/>
      <c r="D4813" s="19"/>
      <c r="E4813" s="19"/>
      <c r="F4813" s="20"/>
      <c r="G4813" s="19"/>
      <c r="H4813" s="19"/>
      <c r="I4813" s="19"/>
      <c r="J4813" s="21"/>
      <c r="K4813" s="19"/>
    </row>
    <row r="4814" spans="3:11" x14ac:dyDescent="0.2">
      <c r="C4814" s="19"/>
      <c r="D4814" s="19"/>
      <c r="E4814" s="19"/>
      <c r="F4814" s="20"/>
      <c r="G4814" s="19"/>
      <c r="H4814" s="19"/>
      <c r="I4814" s="19"/>
      <c r="J4814" s="21"/>
      <c r="K4814" s="19"/>
    </row>
    <row r="4815" spans="3:11" x14ac:dyDescent="0.2">
      <c r="C4815" s="19"/>
      <c r="D4815" s="19"/>
      <c r="E4815" s="19"/>
      <c r="F4815" s="20"/>
      <c r="G4815" s="19"/>
      <c r="H4815" s="19"/>
      <c r="I4815" s="19"/>
      <c r="J4815" s="21"/>
      <c r="K4815" s="19"/>
    </row>
    <row r="4816" spans="3:11" x14ac:dyDescent="0.2">
      <c r="C4816" s="19"/>
      <c r="D4816" s="19"/>
      <c r="E4816" s="19"/>
      <c r="F4816" s="20"/>
      <c r="G4816" s="19"/>
      <c r="H4816" s="19"/>
      <c r="I4816" s="19"/>
      <c r="J4816" s="21"/>
      <c r="K4816" s="19"/>
    </row>
    <row r="4817" spans="3:11" x14ac:dyDescent="0.2">
      <c r="C4817" s="19"/>
      <c r="D4817" s="19"/>
      <c r="E4817" s="19"/>
      <c r="F4817" s="20"/>
      <c r="G4817" s="19"/>
      <c r="H4817" s="19"/>
      <c r="I4817" s="19"/>
      <c r="J4817" s="21"/>
      <c r="K4817" s="19"/>
    </row>
    <row r="4818" spans="3:11" x14ac:dyDescent="0.2">
      <c r="C4818" s="19"/>
      <c r="D4818" s="19"/>
      <c r="E4818" s="19"/>
      <c r="F4818" s="20"/>
      <c r="G4818" s="19"/>
      <c r="H4818" s="19"/>
      <c r="I4818" s="19"/>
      <c r="J4818" s="21"/>
      <c r="K4818" s="19"/>
    </row>
    <row r="4819" spans="3:11" x14ac:dyDescent="0.2">
      <c r="C4819" s="19"/>
      <c r="D4819" s="19"/>
      <c r="E4819" s="19"/>
      <c r="F4819" s="20"/>
      <c r="G4819" s="19"/>
      <c r="H4819" s="19"/>
      <c r="I4819" s="19"/>
      <c r="J4819" s="21"/>
      <c r="K4819" s="19"/>
    </row>
    <row r="4820" spans="3:11" x14ac:dyDescent="0.2">
      <c r="C4820" s="19"/>
      <c r="D4820" s="19"/>
      <c r="E4820" s="19"/>
      <c r="F4820" s="20"/>
      <c r="G4820" s="19"/>
      <c r="H4820" s="19"/>
      <c r="I4820" s="19"/>
      <c r="J4820" s="21"/>
      <c r="K4820" s="19"/>
    </row>
    <row r="4821" spans="3:11" x14ac:dyDescent="0.2">
      <c r="C4821" s="19"/>
      <c r="D4821" s="19"/>
      <c r="E4821" s="19"/>
      <c r="F4821" s="20"/>
      <c r="G4821" s="19"/>
      <c r="H4821" s="19"/>
      <c r="I4821" s="19"/>
      <c r="J4821" s="21"/>
      <c r="K4821" s="19"/>
    </row>
    <row r="4822" spans="3:11" x14ac:dyDescent="0.2">
      <c r="C4822" s="19"/>
      <c r="D4822" s="19"/>
      <c r="E4822" s="19"/>
      <c r="F4822" s="20"/>
      <c r="G4822" s="19"/>
      <c r="H4822" s="19"/>
      <c r="I4822" s="19"/>
      <c r="J4822" s="19"/>
      <c r="K4822" s="19"/>
    </row>
    <row r="4823" spans="3:11" x14ac:dyDescent="0.2">
      <c r="C4823" s="19"/>
      <c r="D4823" s="19"/>
      <c r="E4823" s="19"/>
      <c r="F4823" s="20"/>
      <c r="G4823" s="19"/>
      <c r="H4823" s="19"/>
      <c r="I4823" s="19"/>
      <c r="J4823" s="21"/>
      <c r="K4823" s="19"/>
    </row>
    <row r="4824" spans="3:11" x14ac:dyDescent="0.2">
      <c r="C4824" s="19"/>
      <c r="D4824" s="19"/>
      <c r="E4824" s="19"/>
      <c r="F4824" s="20"/>
      <c r="G4824" s="19"/>
      <c r="H4824" s="19"/>
      <c r="I4824" s="19"/>
      <c r="J4824" s="19"/>
      <c r="K4824" s="19"/>
    </row>
    <row r="4825" spans="3:11" x14ac:dyDescent="0.2">
      <c r="C4825" s="19"/>
      <c r="D4825" s="19"/>
      <c r="E4825" s="19"/>
      <c r="F4825" s="20"/>
      <c r="G4825" s="19"/>
      <c r="H4825" s="19"/>
      <c r="I4825" s="19"/>
      <c r="J4825" s="21"/>
      <c r="K4825" s="19"/>
    </row>
    <row r="4826" spans="3:11" x14ac:dyDescent="0.2">
      <c r="C4826" s="19"/>
      <c r="D4826" s="19"/>
      <c r="E4826" s="19"/>
      <c r="F4826" s="20"/>
      <c r="G4826" s="19"/>
      <c r="H4826" s="19"/>
      <c r="I4826" s="19"/>
      <c r="J4826" s="21"/>
      <c r="K4826" s="19"/>
    </row>
    <row r="4827" spans="3:11" x14ac:dyDescent="0.2">
      <c r="C4827" s="19"/>
      <c r="D4827" s="19"/>
      <c r="E4827" s="19"/>
      <c r="F4827" s="20"/>
      <c r="G4827" s="19"/>
      <c r="H4827" s="19"/>
      <c r="I4827" s="19"/>
      <c r="J4827" s="21"/>
      <c r="K4827" s="19"/>
    </row>
    <row r="4828" spans="3:11" x14ac:dyDescent="0.2">
      <c r="C4828" s="19"/>
      <c r="D4828" s="19"/>
      <c r="E4828" s="19"/>
      <c r="F4828" s="20"/>
      <c r="G4828" s="19"/>
      <c r="H4828" s="19"/>
      <c r="I4828" s="19"/>
      <c r="J4828" s="21"/>
      <c r="K4828" s="19"/>
    </row>
    <row r="4829" spans="3:11" x14ac:dyDescent="0.2">
      <c r="C4829" s="19"/>
      <c r="D4829" s="19"/>
      <c r="E4829" s="19"/>
      <c r="F4829" s="20"/>
      <c r="G4829" s="19"/>
      <c r="H4829" s="19"/>
      <c r="I4829" s="19"/>
      <c r="J4829" s="21"/>
      <c r="K4829" s="19"/>
    </row>
    <row r="4830" spans="3:11" x14ac:dyDescent="0.2">
      <c r="C4830" s="19"/>
      <c r="D4830" s="19"/>
      <c r="E4830" s="19"/>
      <c r="F4830" s="20"/>
      <c r="G4830" s="19"/>
      <c r="H4830" s="19"/>
      <c r="I4830" s="19"/>
      <c r="J4830" s="21"/>
      <c r="K4830" s="19"/>
    </row>
    <row r="4831" spans="3:11" x14ac:dyDescent="0.2">
      <c r="C4831" s="19"/>
      <c r="D4831" s="19"/>
      <c r="E4831" s="19"/>
      <c r="F4831" s="20"/>
      <c r="G4831" s="19"/>
      <c r="H4831" s="19"/>
      <c r="I4831" s="19"/>
      <c r="J4831" s="21"/>
      <c r="K4831" s="19"/>
    </row>
    <row r="4832" spans="3:11" x14ac:dyDescent="0.2">
      <c r="C4832" s="19"/>
      <c r="D4832" s="19"/>
      <c r="E4832" s="19"/>
      <c r="F4832" s="20"/>
      <c r="G4832" s="19"/>
      <c r="H4832" s="19"/>
      <c r="I4832" s="19"/>
      <c r="J4832" s="21"/>
      <c r="K4832" s="19"/>
    </row>
    <row r="4833" spans="3:11" x14ac:dyDescent="0.2">
      <c r="C4833" s="19"/>
      <c r="D4833" s="19"/>
      <c r="E4833" s="19"/>
      <c r="F4833" s="20"/>
      <c r="G4833" s="19"/>
      <c r="H4833" s="19"/>
      <c r="I4833" s="19"/>
      <c r="J4833" s="21"/>
      <c r="K4833" s="19"/>
    </row>
    <row r="4834" spans="3:11" x14ac:dyDescent="0.2">
      <c r="C4834" s="19"/>
      <c r="D4834" s="19"/>
      <c r="E4834" s="19"/>
      <c r="F4834" s="20"/>
      <c r="G4834" s="19"/>
      <c r="H4834" s="19"/>
      <c r="I4834" s="19"/>
      <c r="J4834" s="21"/>
      <c r="K4834" s="19"/>
    </row>
    <row r="4835" spans="3:11" x14ac:dyDescent="0.2">
      <c r="C4835" s="19"/>
      <c r="D4835" s="19"/>
      <c r="E4835" s="19"/>
      <c r="F4835" s="20"/>
      <c r="G4835" s="19"/>
      <c r="H4835" s="19"/>
      <c r="I4835" s="19"/>
      <c r="J4835" s="21"/>
      <c r="K4835" s="19"/>
    </row>
    <row r="4836" spans="3:11" x14ac:dyDescent="0.2">
      <c r="C4836" s="19"/>
      <c r="D4836" s="19"/>
      <c r="E4836" s="19"/>
      <c r="F4836" s="20"/>
      <c r="G4836" s="19"/>
      <c r="H4836" s="19"/>
      <c r="I4836" s="19"/>
      <c r="J4836" s="21"/>
      <c r="K4836" s="19"/>
    </row>
    <row r="4837" spans="3:11" x14ac:dyDescent="0.2">
      <c r="C4837" s="19"/>
      <c r="D4837" s="19"/>
      <c r="E4837" s="19"/>
      <c r="F4837" s="20"/>
      <c r="G4837" s="19"/>
      <c r="H4837" s="19"/>
      <c r="I4837" s="19"/>
      <c r="J4837" s="21"/>
      <c r="K4837" s="19"/>
    </row>
    <row r="4838" spans="3:11" x14ac:dyDescent="0.2">
      <c r="C4838" s="19"/>
      <c r="D4838" s="19"/>
      <c r="E4838" s="19"/>
      <c r="F4838" s="20"/>
      <c r="G4838" s="19"/>
      <c r="H4838" s="19"/>
      <c r="I4838" s="19"/>
      <c r="J4838" s="21"/>
      <c r="K4838" s="19"/>
    </row>
    <row r="4839" spans="3:11" x14ac:dyDescent="0.2">
      <c r="C4839" s="19"/>
      <c r="D4839" s="19"/>
      <c r="E4839" s="19"/>
      <c r="F4839" s="20"/>
      <c r="G4839" s="19"/>
      <c r="H4839" s="19"/>
      <c r="I4839" s="19"/>
      <c r="J4839" s="21"/>
      <c r="K4839" s="19"/>
    </row>
    <row r="4840" spans="3:11" x14ac:dyDescent="0.2">
      <c r="C4840" s="19"/>
      <c r="D4840" s="19"/>
      <c r="E4840" s="19"/>
      <c r="F4840" s="20"/>
      <c r="G4840" s="19"/>
      <c r="H4840" s="19"/>
      <c r="I4840" s="19"/>
      <c r="J4840" s="21"/>
      <c r="K4840" s="19"/>
    </row>
    <row r="4841" spans="3:11" x14ac:dyDescent="0.2">
      <c r="C4841" s="19"/>
      <c r="D4841" s="19"/>
      <c r="E4841" s="19"/>
      <c r="F4841" s="20"/>
      <c r="G4841" s="19"/>
      <c r="H4841" s="19"/>
      <c r="I4841" s="19"/>
      <c r="J4841" s="21"/>
      <c r="K4841" s="19"/>
    </row>
    <row r="4842" spans="3:11" x14ac:dyDescent="0.2">
      <c r="C4842" s="19"/>
      <c r="D4842" s="19"/>
      <c r="E4842" s="19"/>
      <c r="F4842" s="20"/>
      <c r="G4842" s="19"/>
      <c r="H4842" s="19"/>
      <c r="I4842" s="19"/>
      <c r="J4842" s="21"/>
      <c r="K4842" s="19"/>
    </row>
    <row r="4843" spans="3:11" x14ac:dyDescent="0.2">
      <c r="C4843" s="19"/>
      <c r="D4843" s="19"/>
      <c r="E4843" s="19"/>
      <c r="F4843" s="20"/>
      <c r="G4843" s="19"/>
      <c r="H4843" s="19"/>
      <c r="I4843" s="19"/>
      <c r="J4843" s="21"/>
      <c r="K4843" s="19"/>
    </row>
    <row r="4844" spans="3:11" x14ac:dyDescent="0.2">
      <c r="C4844" s="19"/>
      <c r="D4844" s="19"/>
      <c r="E4844" s="19"/>
      <c r="F4844" s="20"/>
      <c r="G4844" s="19"/>
      <c r="H4844" s="19"/>
      <c r="I4844" s="19"/>
      <c r="J4844" s="21"/>
      <c r="K4844" s="19"/>
    </row>
    <row r="4845" spans="3:11" x14ac:dyDescent="0.2">
      <c r="C4845" s="19"/>
      <c r="D4845" s="19"/>
      <c r="E4845" s="19"/>
      <c r="F4845" s="20"/>
      <c r="G4845" s="19"/>
      <c r="H4845" s="19"/>
      <c r="I4845" s="19"/>
      <c r="J4845" s="19"/>
      <c r="K4845" s="19"/>
    </row>
    <row r="4846" spans="3:11" x14ac:dyDescent="0.2">
      <c r="C4846" s="19"/>
      <c r="D4846" s="19"/>
      <c r="E4846" s="19"/>
      <c r="F4846" s="20"/>
      <c r="G4846" s="19"/>
      <c r="H4846" s="19"/>
      <c r="I4846" s="19"/>
      <c r="J4846" s="19"/>
      <c r="K4846" s="19"/>
    </row>
    <row r="4847" spans="3:11" x14ac:dyDescent="0.2">
      <c r="C4847" s="19"/>
      <c r="D4847" s="19"/>
      <c r="E4847" s="19"/>
      <c r="F4847" s="20"/>
      <c r="G4847" s="19"/>
      <c r="H4847" s="19"/>
      <c r="I4847" s="19"/>
      <c r="J4847" s="21"/>
      <c r="K4847" s="19"/>
    </row>
    <row r="4848" spans="3:11" x14ac:dyDescent="0.2">
      <c r="C4848" s="19"/>
      <c r="D4848" s="19"/>
      <c r="E4848" s="19"/>
      <c r="F4848" s="20"/>
      <c r="G4848" s="19"/>
      <c r="H4848" s="19"/>
      <c r="I4848" s="19"/>
      <c r="J4848" s="21"/>
      <c r="K4848" s="19"/>
    </row>
    <row r="4849" spans="3:11" x14ac:dyDescent="0.2">
      <c r="C4849" s="19"/>
      <c r="D4849" s="19"/>
      <c r="E4849" s="19"/>
      <c r="F4849" s="20"/>
      <c r="G4849" s="19"/>
      <c r="H4849" s="19"/>
      <c r="I4849" s="19"/>
      <c r="J4849" s="21"/>
      <c r="K4849" s="19"/>
    </row>
    <row r="4850" spans="3:11" x14ac:dyDescent="0.2">
      <c r="C4850" s="19"/>
      <c r="D4850" s="19"/>
      <c r="E4850" s="19"/>
      <c r="F4850" s="20"/>
      <c r="G4850" s="19"/>
      <c r="H4850" s="19"/>
      <c r="I4850" s="19"/>
      <c r="J4850" s="21"/>
      <c r="K4850" s="19"/>
    </row>
    <row r="4851" spans="3:11" x14ac:dyDescent="0.2">
      <c r="C4851" s="19"/>
      <c r="D4851" s="19"/>
      <c r="E4851" s="19"/>
      <c r="F4851" s="20"/>
      <c r="G4851" s="19"/>
      <c r="H4851" s="19"/>
      <c r="I4851" s="19"/>
      <c r="J4851" s="21"/>
      <c r="K4851" s="19"/>
    </row>
    <row r="4852" spans="3:11" x14ac:dyDescent="0.2">
      <c r="C4852" s="19"/>
      <c r="D4852" s="19"/>
      <c r="E4852" s="19"/>
      <c r="F4852" s="20"/>
      <c r="G4852" s="19"/>
      <c r="H4852" s="19"/>
      <c r="I4852" s="19"/>
      <c r="J4852" s="21"/>
      <c r="K4852" s="19"/>
    </row>
    <row r="4853" spans="3:11" x14ac:dyDescent="0.2">
      <c r="C4853" s="19"/>
      <c r="D4853" s="19"/>
      <c r="E4853" s="19"/>
      <c r="F4853" s="20"/>
      <c r="G4853" s="19"/>
      <c r="H4853" s="19"/>
      <c r="I4853" s="19"/>
      <c r="J4853" s="21"/>
      <c r="K4853" s="19"/>
    </row>
    <row r="4854" spans="3:11" x14ac:dyDescent="0.2">
      <c r="C4854" s="19"/>
      <c r="D4854" s="19"/>
      <c r="E4854" s="19"/>
      <c r="F4854" s="20"/>
      <c r="G4854" s="19"/>
      <c r="H4854" s="19"/>
      <c r="I4854" s="19"/>
      <c r="J4854" s="21"/>
      <c r="K4854" s="19"/>
    </row>
    <row r="4855" spans="3:11" x14ac:dyDescent="0.2">
      <c r="C4855" s="19"/>
      <c r="D4855" s="19"/>
      <c r="E4855" s="19"/>
      <c r="F4855" s="20"/>
      <c r="G4855" s="19"/>
      <c r="H4855" s="19"/>
      <c r="I4855" s="19"/>
      <c r="J4855" s="21"/>
      <c r="K4855" s="19"/>
    </row>
    <row r="4856" spans="3:11" x14ac:dyDescent="0.2">
      <c r="C4856" s="19"/>
      <c r="D4856" s="19"/>
      <c r="E4856" s="19"/>
      <c r="F4856" s="20"/>
      <c r="G4856" s="19"/>
      <c r="H4856" s="19"/>
      <c r="I4856" s="19"/>
      <c r="J4856" s="21"/>
      <c r="K4856" s="19"/>
    </row>
    <row r="4857" spans="3:11" x14ac:dyDescent="0.2">
      <c r="C4857" s="19"/>
      <c r="D4857" s="19"/>
      <c r="E4857" s="19"/>
      <c r="F4857" s="20"/>
      <c r="G4857" s="19"/>
      <c r="H4857" s="19"/>
      <c r="I4857" s="19"/>
      <c r="J4857" s="21"/>
      <c r="K4857" s="19"/>
    </row>
    <row r="4858" spans="3:11" x14ac:dyDescent="0.2">
      <c r="C4858" s="19"/>
      <c r="D4858" s="19"/>
      <c r="E4858" s="19"/>
      <c r="F4858" s="20"/>
      <c r="G4858" s="19"/>
      <c r="H4858" s="19"/>
      <c r="I4858" s="19"/>
      <c r="J4858" s="21"/>
      <c r="K4858" s="19"/>
    </row>
    <row r="4859" spans="3:11" x14ac:dyDescent="0.2">
      <c r="C4859" s="19"/>
      <c r="D4859" s="19"/>
      <c r="E4859" s="19"/>
      <c r="F4859" s="20"/>
      <c r="G4859" s="19"/>
      <c r="H4859" s="19"/>
      <c r="I4859" s="19"/>
      <c r="J4859" s="21"/>
      <c r="K4859" s="19"/>
    </row>
    <row r="4860" spans="3:11" x14ac:dyDescent="0.2">
      <c r="C4860" s="19"/>
      <c r="D4860" s="19"/>
      <c r="E4860" s="19"/>
      <c r="F4860" s="20"/>
      <c r="G4860" s="19"/>
      <c r="H4860" s="19"/>
      <c r="I4860" s="19"/>
      <c r="J4860" s="21"/>
      <c r="K4860" s="19"/>
    </row>
    <row r="4861" spans="3:11" x14ac:dyDescent="0.2">
      <c r="C4861" s="19"/>
      <c r="D4861" s="19"/>
      <c r="E4861" s="19"/>
      <c r="F4861" s="20"/>
      <c r="G4861" s="19"/>
      <c r="H4861" s="19"/>
      <c r="I4861" s="19"/>
      <c r="J4861" s="21"/>
      <c r="K4861" s="19"/>
    </row>
    <row r="4862" spans="3:11" x14ac:dyDescent="0.2">
      <c r="C4862" s="19"/>
      <c r="D4862" s="19"/>
      <c r="E4862" s="19"/>
      <c r="F4862" s="20"/>
      <c r="G4862" s="19"/>
      <c r="H4862" s="19"/>
      <c r="I4862" s="19"/>
      <c r="J4862" s="21"/>
      <c r="K4862" s="19"/>
    </row>
    <row r="4863" spans="3:11" x14ac:dyDescent="0.2">
      <c r="C4863" s="19"/>
      <c r="D4863" s="19"/>
      <c r="E4863" s="19"/>
      <c r="F4863" s="20"/>
      <c r="G4863" s="19"/>
      <c r="H4863" s="19"/>
      <c r="I4863" s="19"/>
      <c r="J4863" s="21"/>
      <c r="K4863" s="19"/>
    </row>
    <row r="4864" spans="3:11" x14ac:dyDescent="0.2">
      <c r="C4864" s="19"/>
      <c r="D4864" s="19"/>
      <c r="E4864" s="19"/>
      <c r="F4864" s="20"/>
      <c r="G4864" s="19"/>
      <c r="H4864" s="19"/>
      <c r="I4864" s="19"/>
      <c r="J4864" s="21"/>
      <c r="K4864" s="19"/>
    </row>
    <row r="4865" spans="3:11" x14ac:dyDescent="0.2">
      <c r="C4865" s="19"/>
      <c r="D4865" s="19"/>
      <c r="E4865" s="19"/>
      <c r="F4865" s="20"/>
      <c r="G4865" s="19"/>
      <c r="H4865" s="19"/>
      <c r="I4865" s="19"/>
      <c r="J4865" s="21"/>
      <c r="K4865" s="19"/>
    </row>
    <row r="4866" spans="3:11" x14ac:dyDescent="0.2">
      <c r="C4866" s="19"/>
      <c r="D4866" s="19"/>
      <c r="E4866" s="19"/>
      <c r="F4866" s="20"/>
      <c r="G4866" s="19"/>
      <c r="H4866" s="19"/>
      <c r="I4866" s="19"/>
      <c r="J4866" s="21"/>
      <c r="K4866" s="19"/>
    </row>
    <row r="4867" spans="3:11" x14ac:dyDescent="0.2">
      <c r="C4867" s="19"/>
      <c r="D4867" s="19"/>
      <c r="E4867" s="19"/>
      <c r="F4867" s="20"/>
      <c r="G4867" s="19"/>
      <c r="H4867" s="19"/>
      <c r="I4867" s="19"/>
      <c r="J4867" s="21"/>
      <c r="K4867" s="19"/>
    </row>
    <row r="4868" spans="3:11" x14ac:dyDescent="0.2">
      <c r="C4868" s="19"/>
      <c r="D4868" s="19"/>
      <c r="E4868" s="19"/>
      <c r="F4868" s="20"/>
      <c r="G4868" s="19"/>
      <c r="H4868" s="19"/>
      <c r="I4868" s="19"/>
      <c r="J4868" s="21"/>
      <c r="K4868" s="19"/>
    </row>
    <row r="4869" spans="3:11" x14ac:dyDescent="0.2">
      <c r="C4869" s="19"/>
      <c r="D4869" s="19"/>
      <c r="E4869" s="19"/>
      <c r="F4869" s="20"/>
      <c r="G4869" s="19"/>
      <c r="H4869" s="19"/>
      <c r="I4869" s="19"/>
      <c r="J4869" s="21"/>
      <c r="K4869" s="19"/>
    </row>
    <row r="4870" spans="3:11" x14ac:dyDescent="0.2">
      <c r="C4870" s="19"/>
      <c r="D4870" s="19"/>
      <c r="E4870" s="19"/>
      <c r="F4870" s="20"/>
      <c r="G4870" s="19"/>
      <c r="H4870" s="19"/>
      <c r="I4870" s="19"/>
      <c r="J4870" s="19"/>
      <c r="K4870" s="19"/>
    </row>
    <row r="4871" spans="3:11" x14ac:dyDescent="0.2">
      <c r="C4871" s="19"/>
      <c r="D4871" s="19"/>
      <c r="E4871" s="19"/>
      <c r="F4871" s="20"/>
      <c r="G4871" s="19"/>
      <c r="H4871" s="19"/>
      <c r="I4871" s="19"/>
      <c r="J4871" s="19"/>
      <c r="K4871" s="19"/>
    </row>
    <row r="4872" spans="3:11" x14ac:dyDescent="0.2">
      <c r="C4872" s="19"/>
      <c r="D4872" s="19"/>
      <c r="E4872" s="19"/>
      <c r="F4872" s="20"/>
      <c r="G4872" s="19"/>
      <c r="H4872" s="19"/>
      <c r="I4872" s="19"/>
      <c r="J4872" s="21"/>
      <c r="K4872" s="19"/>
    </row>
    <row r="4873" spans="3:11" x14ac:dyDescent="0.2">
      <c r="C4873" s="19"/>
      <c r="D4873" s="19"/>
      <c r="E4873" s="19"/>
      <c r="F4873" s="20"/>
      <c r="G4873" s="19"/>
      <c r="H4873" s="19"/>
      <c r="I4873" s="19"/>
      <c r="J4873" s="19"/>
      <c r="K4873" s="19"/>
    </row>
    <row r="4874" spans="3:11" x14ac:dyDescent="0.2">
      <c r="C4874" s="19"/>
      <c r="D4874" s="19"/>
      <c r="E4874" s="19"/>
      <c r="F4874" s="20"/>
      <c r="G4874" s="19"/>
      <c r="H4874" s="19"/>
      <c r="I4874" s="19"/>
      <c r="J4874" s="19"/>
      <c r="K4874" s="19"/>
    </row>
    <row r="4875" spans="3:11" x14ac:dyDescent="0.2">
      <c r="C4875" s="19"/>
      <c r="D4875" s="19"/>
      <c r="E4875" s="19"/>
      <c r="F4875" s="20"/>
      <c r="G4875" s="19"/>
      <c r="H4875" s="19"/>
      <c r="I4875" s="19"/>
      <c r="J4875" s="19"/>
      <c r="K4875" s="19"/>
    </row>
    <row r="4876" spans="3:11" x14ac:dyDescent="0.2">
      <c r="C4876" s="19"/>
      <c r="D4876" s="19"/>
      <c r="E4876" s="19"/>
      <c r="F4876" s="20"/>
      <c r="G4876" s="19"/>
      <c r="H4876" s="19"/>
      <c r="I4876" s="19"/>
      <c r="J4876" s="19"/>
      <c r="K4876" s="19"/>
    </row>
    <row r="4877" spans="3:11" x14ac:dyDescent="0.2">
      <c r="C4877" s="19"/>
      <c r="D4877" s="19"/>
      <c r="E4877" s="19"/>
      <c r="F4877" s="20"/>
      <c r="G4877" s="19"/>
      <c r="H4877" s="19"/>
      <c r="I4877" s="19"/>
      <c r="J4877" s="19"/>
      <c r="K4877" s="19"/>
    </row>
    <row r="4878" spans="3:11" x14ac:dyDescent="0.2">
      <c r="C4878" s="19"/>
      <c r="D4878" s="19"/>
      <c r="E4878" s="19"/>
      <c r="F4878" s="20"/>
      <c r="G4878" s="19"/>
      <c r="H4878" s="19"/>
      <c r="I4878" s="19"/>
      <c r="J4878" s="19"/>
      <c r="K4878" s="19"/>
    </row>
    <row r="4879" spans="3:11" x14ac:dyDescent="0.2">
      <c r="C4879" s="19"/>
      <c r="D4879" s="19"/>
      <c r="E4879" s="19"/>
      <c r="F4879" s="20"/>
      <c r="G4879" s="19"/>
      <c r="H4879" s="19"/>
      <c r="I4879" s="19"/>
      <c r="J4879" s="19"/>
      <c r="K4879" s="19"/>
    </row>
    <row r="4880" spans="3:11" x14ac:dyDescent="0.2">
      <c r="C4880" s="19"/>
      <c r="D4880" s="19"/>
      <c r="E4880" s="19"/>
      <c r="F4880" s="20"/>
      <c r="G4880" s="19"/>
      <c r="H4880" s="19"/>
      <c r="I4880" s="19"/>
      <c r="J4880" s="19"/>
      <c r="K4880" s="19"/>
    </row>
    <row r="4881" spans="3:11" x14ac:dyDescent="0.2">
      <c r="C4881" s="19"/>
      <c r="D4881" s="19"/>
      <c r="E4881" s="19"/>
      <c r="F4881" s="20"/>
      <c r="G4881" s="19"/>
      <c r="H4881" s="19"/>
      <c r="I4881" s="19"/>
      <c r="J4881" s="19"/>
      <c r="K4881" s="19"/>
    </row>
    <row r="4882" spans="3:11" x14ac:dyDescent="0.2">
      <c r="C4882" s="19"/>
      <c r="D4882" s="19"/>
      <c r="E4882" s="19"/>
      <c r="F4882" s="20"/>
      <c r="G4882" s="19"/>
      <c r="H4882" s="19"/>
      <c r="I4882" s="19"/>
      <c r="J4882" s="19"/>
      <c r="K4882" s="19"/>
    </row>
    <row r="4883" spans="3:11" x14ac:dyDescent="0.2">
      <c r="C4883" s="19"/>
      <c r="D4883" s="19"/>
      <c r="E4883" s="19"/>
      <c r="F4883" s="20"/>
      <c r="G4883" s="19"/>
      <c r="H4883" s="19"/>
      <c r="I4883" s="19"/>
      <c r="J4883" s="21"/>
      <c r="K4883" s="19"/>
    </row>
    <row r="4884" spans="3:11" x14ac:dyDescent="0.2">
      <c r="C4884" s="19"/>
      <c r="D4884" s="19"/>
      <c r="E4884" s="19"/>
      <c r="F4884" s="20"/>
      <c r="G4884" s="19"/>
      <c r="H4884" s="19"/>
      <c r="I4884" s="19"/>
      <c r="J4884" s="21"/>
      <c r="K4884" s="19"/>
    </row>
    <row r="4885" spans="3:11" x14ac:dyDescent="0.2">
      <c r="C4885" s="19"/>
      <c r="D4885" s="19"/>
      <c r="E4885" s="19"/>
      <c r="F4885" s="20"/>
      <c r="G4885" s="19"/>
      <c r="H4885" s="19"/>
      <c r="I4885" s="19"/>
      <c r="J4885" s="21"/>
      <c r="K4885" s="19"/>
    </row>
    <row r="4886" spans="3:11" x14ac:dyDescent="0.2">
      <c r="C4886" s="19"/>
      <c r="D4886" s="19"/>
      <c r="E4886" s="19"/>
      <c r="F4886" s="20"/>
      <c r="G4886" s="19"/>
      <c r="H4886" s="19"/>
      <c r="I4886" s="19"/>
      <c r="J4886" s="19"/>
      <c r="K4886" s="19"/>
    </row>
    <row r="4887" spans="3:11" x14ac:dyDescent="0.2">
      <c r="C4887" s="19"/>
      <c r="D4887" s="19"/>
      <c r="E4887" s="19"/>
      <c r="F4887" s="20"/>
      <c r="G4887" s="19"/>
      <c r="H4887" s="19"/>
      <c r="I4887" s="19"/>
      <c r="J4887" s="19"/>
      <c r="K4887" s="19"/>
    </row>
    <row r="4888" spans="3:11" x14ac:dyDescent="0.2">
      <c r="C4888" s="19"/>
      <c r="D4888" s="19"/>
      <c r="E4888" s="19"/>
      <c r="F4888" s="20"/>
      <c r="G4888" s="19"/>
      <c r="H4888" s="19"/>
      <c r="I4888" s="19"/>
      <c r="J4888" s="19"/>
      <c r="K4888" s="19"/>
    </row>
    <row r="4889" spans="3:11" x14ac:dyDescent="0.2">
      <c r="C4889" s="19"/>
      <c r="D4889" s="19"/>
      <c r="E4889" s="19"/>
      <c r="F4889" s="20"/>
      <c r="G4889" s="19"/>
      <c r="H4889" s="19"/>
      <c r="I4889" s="19"/>
      <c r="J4889" s="19"/>
      <c r="K4889" s="19"/>
    </row>
    <row r="4890" spans="3:11" x14ac:dyDescent="0.2">
      <c r="C4890" s="19"/>
      <c r="D4890" s="19"/>
      <c r="E4890" s="19"/>
      <c r="F4890" s="20"/>
      <c r="G4890" s="19"/>
      <c r="H4890" s="19"/>
      <c r="I4890" s="19"/>
      <c r="J4890" s="21"/>
      <c r="K4890" s="19"/>
    </row>
    <row r="4891" spans="3:11" x14ac:dyDescent="0.2">
      <c r="C4891" s="19"/>
      <c r="D4891" s="19"/>
      <c r="E4891" s="19"/>
      <c r="F4891" s="20"/>
      <c r="G4891" s="19"/>
      <c r="H4891" s="19"/>
      <c r="I4891" s="19"/>
      <c r="J4891" s="21"/>
      <c r="K4891" s="19"/>
    </row>
    <row r="4892" spans="3:11" x14ac:dyDescent="0.2">
      <c r="C4892" s="19"/>
      <c r="D4892" s="19"/>
      <c r="E4892" s="19"/>
      <c r="F4892" s="20"/>
      <c r="G4892" s="19"/>
      <c r="H4892" s="19"/>
      <c r="I4892" s="19"/>
      <c r="J4892" s="21"/>
      <c r="K4892" s="19"/>
    </row>
    <row r="4893" spans="3:11" x14ac:dyDescent="0.2">
      <c r="C4893" s="19"/>
      <c r="D4893" s="19"/>
      <c r="E4893" s="19"/>
      <c r="F4893" s="20"/>
      <c r="G4893" s="19"/>
      <c r="H4893" s="19"/>
      <c r="I4893" s="19"/>
      <c r="J4893" s="21"/>
      <c r="K4893" s="19"/>
    </row>
    <row r="4894" spans="3:11" x14ac:dyDescent="0.2">
      <c r="C4894" s="19"/>
      <c r="D4894" s="19"/>
      <c r="E4894" s="19"/>
      <c r="F4894" s="20"/>
      <c r="G4894" s="19"/>
      <c r="H4894" s="19"/>
      <c r="I4894" s="19"/>
      <c r="J4894" s="21"/>
      <c r="K4894" s="19"/>
    </row>
    <row r="4895" spans="3:11" x14ac:dyDescent="0.2">
      <c r="C4895" s="19"/>
      <c r="D4895" s="19"/>
      <c r="E4895" s="19"/>
      <c r="F4895" s="20"/>
      <c r="G4895" s="19"/>
      <c r="H4895" s="19"/>
      <c r="I4895" s="19"/>
      <c r="J4895" s="21"/>
      <c r="K4895" s="19"/>
    </row>
    <row r="4896" spans="3:11" x14ac:dyDescent="0.2">
      <c r="C4896" s="19"/>
      <c r="D4896" s="19"/>
      <c r="E4896" s="19"/>
      <c r="F4896" s="20"/>
      <c r="G4896" s="19"/>
      <c r="H4896" s="19"/>
      <c r="I4896" s="19"/>
      <c r="J4896" s="21"/>
      <c r="K4896" s="19"/>
    </row>
    <row r="4897" spans="3:11" x14ac:dyDescent="0.2">
      <c r="C4897" s="19"/>
      <c r="D4897" s="19"/>
      <c r="E4897" s="19"/>
      <c r="F4897" s="20"/>
      <c r="G4897" s="19"/>
      <c r="H4897" s="19"/>
      <c r="I4897" s="19"/>
      <c r="J4897" s="21"/>
      <c r="K4897" s="19"/>
    </row>
    <row r="4898" spans="3:11" x14ac:dyDescent="0.2">
      <c r="C4898" s="19"/>
      <c r="D4898" s="19"/>
      <c r="E4898" s="19"/>
      <c r="F4898" s="20"/>
      <c r="G4898" s="19"/>
      <c r="H4898" s="19"/>
      <c r="I4898" s="19"/>
      <c r="J4898" s="21"/>
      <c r="K4898" s="19"/>
    </row>
    <row r="4899" spans="3:11" x14ac:dyDescent="0.2">
      <c r="C4899" s="19"/>
      <c r="D4899" s="19"/>
      <c r="E4899" s="19"/>
      <c r="F4899" s="20"/>
      <c r="G4899" s="19"/>
      <c r="H4899" s="19"/>
      <c r="I4899" s="19"/>
      <c r="J4899" s="21"/>
      <c r="K4899" s="19"/>
    </row>
    <row r="4900" spans="3:11" x14ac:dyDescent="0.2">
      <c r="C4900" s="19"/>
      <c r="D4900" s="19"/>
      <c r="E4900" s="19"/>
      <c r="F4900" s="20"/>
      <c r="G4900" s="19"/>
      <c r="H4900" s="19"/>
      <c r="I4900" s="19"/>
      <c r="J4900" s="21"/>
      <c r="K4900" s="19"/>
    </row>
    <row r="4901" spans="3:11" x14ac:dyDescent="0.2">
      <c r="C4901" s="19"/>
      <c r="D4901" s="19"/>
      <c r="E4901" s="19"/>
      <c r="F4901" s="20"/>
      <c r="G4901" s="19"/>
      <c r="H4901" s="19"/>
      <c r="I4901" s="19"/>
      <c r="J4901" s="21"/>
      <c r="K4901" s="19"/>
    </row>
    <row r="4902" spans="3:11" x14ac:dyDescent="0.2">
      <c r="C4902" s="19"/>
      <c r="D4902" s="19"/>
      <c r="E4902" s="19"/>
      <c r="F4902" s="20"/>
      <c r="G4902" s="19"/>
      <c r="H4902" s="19"/>
      <c r="I4902" s="19"/>
      <c r="J4902" s="21"/>
      <c r="K4902" s="19"/>
    </row>
    <row r="4903" spans="3:11" x14ac:dyDescent="0.2">
      <c r="C4903" s="19"/>
      <c r="D4903" s="19"/>
      <c r="E4903" s="19"/>
      <c r="F4903" s="20"/>
      <c r="G4903" s="19"/>
      <c r="H4903" s="19"/>
      <c r="I4903" s="19"/>
      <c r="J4903" s="21"/>
      <c r="K4903" s="19"/>
    </row>
    <row r="4904" spans="3:11" x14ac:dyDescent="0.2">
      <c r="C4904" s="19"/>
      <c r="D4904" s="19"/>
      <c r="E4904" s="19"/>
      <c r="F4904" s="20"/>
      <c r="G4904" s="19"/>
      <c r="H4904" s="19"/>
      <c r="I4904" s="19"/>
      <c r="J4904" s="21"/>
      <c r="K4904" s="19"/>
    </row>
    <row r="4905" spans="3:11" x14ac:dyDescent="0.2">
      <c r="C4905" s="19"/>
      <c r="D4905" s="19"/>
      <c r="E4905" s="19"/>
      <c r="F4905" s="20"/>
      <c r="G4905" s="19"/>
      <c r="H4905" s="19"/>
      <c r="I4905" s="19"/>
      <c r="J4905" s="19"/>
      <c r="K4905" s="19"/>
    </row>
    <row r="4906" spans="3:11" x14ac:dyDescent="0.2">
      <c r="C4906" s="19"/>
      <c r="D4906" s="19"/>
      <c r="E4906" s="19"/>
      <c r="F4906" s="20"/>
      <c r="G4906" s="19"/>
      <c r="H4906" s="19"/>
      <c r="I4906" s="19"/>
      <c r="J4906" s="19"/>
      <c r="K4906" s="19"/>
    </row>
    <row r="4907" spans="3:11" x14ac:dyDescent="0.2">
      <c r="C4907" s="19"/>
      <c r="D4907" s="19"/>
      <c r="E4907" s="19"/>
      <c r="F4907" s="20"/>
      <c r="G4907" s="19"/>
      <c r="H4907" s="19"/>
      <c r="I4907" s="19"/>
      <c r="J4907" s="21"/>
      <c r="K4907" s="19"/>
    </row>
    <row r="4908" spans="3:11" x14ac:dyDescent="0.2">
      <c r="C4908" s="19"/>
      <c r="D4908" s="19"/>
      <c r="E4908" s="19"/>
      <c r="F4908" s="20"/>
      <c r="G4908" s="19"/>
      <c r="H4908" s="19"/>
      <c r="I4908" s="19"/>
      <c r="J4908" s="19"/>
      <c r="K4908" s="19"/>
    </row>
    <row r="4909" spans="3:11" x14ac:dyDescent="0.2">
      <c r="C4909" s="19"/>
      <c r="D4909" s="19"/>
      <c r="E4909" s="19"/>
      <c r="F4909" s="20"/>
      <c r="G4909" s="19"/>
      <c r="H4909" s="19"/>
      <c r="I4909" s="19"/>
      <c r="J4909" s="21"/>
      <c r="K4909" s="19"/>
    </row>
    <row r="4910" spans="3:11" x14ac:dyDescent="0.2">
      <c r="C4910" s="19"/>
      <c r="D4910" s="19"/>
      <c r="E4910" s="19"/>
      <c r="F4910" s="20"/>
      <c r="G4910" s="19"/>
      <c r="H4910" s="19"/>
      <c r="I4910" s="19"/>
      <c r="J4910" s="21"/>
      <c r="K4910" s="19"/>
    </row>
    <row r="4911" spans="3:11" x14ac:dyDescent="0.2">
      <c r="C4911" s="19"/>
      <c r="D4911" s="19"/>
      <c r="E4911" s="19"/>
      <c r="F4911" s="20"/>
      <c r="G4911" s="19"/>
      <c r="H4911" s="19"/>
      <c r="I4911" s="19"/>
      <c r="J4911" s="21"/>
      <c r="K4911" s="19"/>
    </row>
    <row r="4912" spans="3:11" x14ac:dyDescent="0.2">
      <c r="C4912" s="19"/>
      <c r="D4912" s="19"/>
      <c r="E4912" s="19"/>
      <c r="F4912" s="20"/>
      <c r="G4912" s="19"/>
      <c r="H4912" s="19"/>
      <c r="I4912" s="19"/>
      <c r="J4912" s="21"/>
      <c r="K4912" s="19"/>
    </row>
    <row r="4913" spans="3:11" x14ac:dyDescent="0.2">
      <c r="C4913" s="19"/>
      <c r="D4913" s="19"/>
      <c r="E4913" s="19"/>
      <c r="F4913" s="20"/>
      <c r="G4913" s="19"/>
      <c r="H4913" s="19"/>
      <c r="I4913" s="19"/>
      <c r="J4913" s="21"/>
      <c r="K4913" s="19"/>
    </row>
    <row r="4914" spans="3:11" x14ac:dyDescent="0.2">
      <c r="C4914" s="19"/>
      <c r="D4914" s="19"/>
      <c r="E4914" s="19"/>
      <c r="F4914" s="20"/>
      <c r="G4914" s="19"/>
      <c r="H4914" s="19"/>
      <c r="I4914" s="19"/>
      <c r="J4914" s="21"/>
      <c r="K4914" s="19"/>
    </row>
    <row r="4915" spans="3:11" x14ac:dyDescent="0.2">
      <c r="C4915" s="19"/>
      <c r="D4915" s="19"/>
      <c r="E4915" s="19"/>
      <c r="F4915" s="20"/>
      <c r="G4915" s="19"/>
      <c r="H4915" s="19"/>
      <c r="I4915" s="19"/>
      <c r="J4915" s="21"/>
      <c r="K4915" s="19"/>
    </row>
    <row r="4916" spans="3:11" x14ac:dyDescent="0.2">
      <c r="C4916" s="19"/>
      <c r="D4916" s="19"/>
      <c r="E4916" s="19"/>
      <c r="F4916" s="20"/>
      <c r="G4916" s="19"/>
      <c r="H4916" s="19"/>
      <c r="I4916" s="19"/>
      <c r="J4916" s="21"/>
      <c r="K4916" s="19"/>
    </row>
    <row r="4917" spans="3:11" x14ac:dyDescent="0.2">
      <c r="C4917" s="19"/>
      <c r="D4917" s="19"/>
      <c r="E4917" s="19"/>
      <c r="F4917" s="20"/>
      <c r="G4917" s="19"/>
      <c r="H4917" s="19"/>
      <c r="I4917" s="19"/>
      <c r="J4917" s="21"/>
      <c r="K4917" s="19"/>
    </row>
    <row r="4918" spans="3:11" x14ac:dyDescent="0.2">
      <c r="C4918" s="19"/>
      <c r="D4918" s="19"/>
      <c r="E4918" s="19"/>
      <c r="F4918" s="20"/>
      <c r="G4918" s="19"/>
      <c r="H4918" s="19"/>
      <c r="I4918" s="19"/>
      <c r="J4918" s="21"/>
      <c r="K4918" s="19"/>
    </row>
    <row r="4919" spans="3:11" x14ac:dyDescent="0.2">
      <c r="C4919" s="19"/>
      <c r="D4919" s="19"/>
      <c r="E4919" s="19"/>
      <c r="F4919" s="20"/>
      <c r="G4919" s="19"/>
      <c r="H4919" s="19"/>
      <c r="I4919" s="19"/>
      <c r="J4919" s="19"/>
      <c r="K4919" s="19"/>
    </row>
    <row r="4920" spans="3:11" x14ac:dyDescent="0.2">
      <c r="C4920" s="19"/>
      <c r="D4920" s="19"/>
      <c r="E4920" s="19"/>
      <c r="F4920" s="20"/>
      <c r="G4920" s="19"/>
      <c r="H4920" s="19"/>
      <c r="I4920" s="19"/>
      <c r="J4920" s="19"/>
      <c r="K4920" s="19"/>
    </row>
    <row r="4921" spans="3:11" x14ac:dyDescent="0.2">
      <c r="C4921" s="19"/>
      <c r="D4921" s="19"/>
      <c r="E4921" s="19"/>
      <c r="F4921" s="20"/>
      <c r="G4921" s="19"/>
      <c r="H4921" s="19"/>
      <c r="I4921" s="19"/>
      <c r="J4921" s="21"/>
      <c r="K4921" s="19"/>
    </row>
    <row r="4922" spans="3:11" x14ac:dyDescent="0.2">
      <c r="C4922" s="19"/>
      <c r="D4922" s="19"/>
      <c r="E4922" s="19"/>
      <c r="F4922" s="20"/>
      <c r="G4922" s="19"/>
      <c r="H4922" s="19"/>
      <c r="I4922" s="19"/>
      <c r="J4922" s="21"/>
      <c r="K4922" s="19"/>
    </row>
    <row r="4923" spans="3:11" x14ac:dyDescent="0.2">
      <c r="C4923" s="19"/>
      <c r="D4923" s="19"/>
      <c r="E4923" s="19"/>
      <c r="F4923" s="20"/>
      <c r="G4923" s="19"/>
      <c r="H4923" s="19"/>
      <c r="I4923" s="19"/>
      <c r="J4923" s="21"/>
      <c r="K4923" s="19"/>
    </row>
    <row r="4924" spans="3:11" x14ac:dyDescent="0.2">
      <c r="C4924" s="19"/>
      <c r="D4924" s="19"/>
      <c r="E4924" s="19"/>
      <c r="F4924" s="20"/>
      <c r="G4924" s="19"/>
      <c r="H4924" s="19"/>
      <c r="I4924" s="19"/>
      <c r="J4924" s="21"/>
      <c r="K4924" s="19"/>
    </row>
    <row r="4925" spans="3:11" x14ac:dyDescent="0.2">
      <c r="C4925" s="19"/>
      <c r="D4925" s="19"/>
      <c r="E4925" s="19"/>
      <c r="F4925" s="20"/>
      <c r="G4925" s="19"/>
      <c r="H4925" s="19"/>
      <c r="I4925" s="19"/>
      <c r="J4925" s="21"/>
      <c r="K4925" s="19"/>
    </row>
    <row r="4926" spans="3:11" x14ac:dyDescent="0.2">
      <c r="C4926" s="19"/>
      <c r="D4926" s="19"/>
      <c r="E4926" s="19"/>
      <c r="F4926" s="20"/>
      <c r="G4926" s="19"/>
      <c r="H4926" s="19"/>
      <c r="I4926" s="19"/>
      <c r="J4926" s="21"/>
      <c r="K4926" s="19"/>
    </row>
    <row r="4927" spans="3:11" x14ac:dyDescent="0.2">
      <c r="C4927" s="19"/>
      <c r="D4927" s="19"/>
      <c r="E4927" s="19"/>
      <c r="F4927" s="20"/>
      <c r="G4927" s="19"/>
      <c r="H4927" s="19"/>
      <c r="I4927" s="19"/>
      <c r="J4927" s="21"/>
      <c r="K4927" s="19"/>
    </row>
    <row r="4928" spans="3:11" x14ac:dyDescent="0.2">
      <c r="C4928" s="19"/>
      <c r="D4928" s="19"/>
      <c r="E4928" s="19"/>
      <c r="F4928" s="20"/>
      <c r="G4928" s="19"/>
      <c r="H4928" s="19"/>
      <c r="I4928" s="19"/>
      <c r="J4928" s="21"/>
      <c r="K4928" s="19"/>
    </row>
    <row r="4929" spans="3:11" x14ac:dyDescent="0.2">
      <c r="C4929" s="19"/>
      <c r="D4929" s="19"/>
      <c r="E4929" s="19"/>
      <c r="F4929" s="20"/>
      <c r="G4929" s="19"/>
      <c r="H4929" s="19"/>
      <c r="I4929" s="19"/>
      <c r="J4929" s="21"/>
      <c r="K4929" s="19"/>
    </row>
    <row r="4930" spans="3:11" x14ac:dyDescent="0.2">
      <c r="C4930" s="19"/>
      <c r="D4930" s="19"/>
      <c r="E4930" s="19"/>
      <c r="F4930" s="20"/>
      <c r="G4930" s="19"/>
      <c r="H4930" s="19"/>
      <c r="I4930" s="19"/>
      <c r="J4930" s="21"/>
      <c r="K4930" s="19"/>
    </row>
    <row r="4931" spans="3:11" x14ac:dyDescent="0.2">
      <c r="C4931" s="19"/>
      <c r="D4931" s="19"/>
      <c r="E4931" s="19"/>
      <c r="F4931" s="20"/>
      <c r="G4931" s="19"/>
      <c r="H4931" s="19"/>
      <c r="I4931" s="19"/>
      <c r="J4931" s="21"/>
      <c r="K4931" s="19"/>
    </row>
    <row r="4932" spans="3:11" x14ac:dyDescent="0.2">
      <c r="C4932" s="19"/>
      <c r="D4932" s="19"/>
      <c r="E4932" s="19"/>
      <c r="F4932" s="20"/>
      <c r="G4932" s="19"/>
      <c r="H4932" s="19"/>
      <c r="I4932" s="19"/>
      <c r="J4932" s="21"/>
      <c r="K4932" s="19"/>
    </row>
    <row r="4933" spans="3:11" x14ac:dyDescent="0.2">
      <c r="C4933" s="19"/>
      <c r="D4933" s="19"/>
      <c r="E4933" s="19"/>
      <c r="F4933" s="20"/>
      <c r="G4933" s="19"/>
      <c r="H4933" s="19"/>
      <c r="I4933" s="19"/>
      <c r="J4933" s="21"/>
      <c r="K4933" s="19"/>
    </row>
    <row r="4934" spans="3:11" x14ac:dyDescent="0.2">
      <c r="C4934" s="19"/>
      <c r="D4934" s="19"/>
      <c r="E4934" s="19"/>
      <c r="F4934" s="20"/>
      <c r="G4934" s="19"/>
      <c r="H4934" s="19"/>
      <c r="I4934" s="19"/>
      <c r="J4934" s="21"/>
      <c r="K4934" s="19"/>
    </row>
    <row r="4935" spans="3:11" x14ac:dyDescent="0.2">
      <c r="C4935" s="19"/>
      <c r="D4935" s="19"/>
      <c r="E4935" s="19"/>
      <c r="F4935" s="20"/>
      <c r="G4935" s="19"/>
      <c r="H4935" s="19"/>
      <c r="I4935" s="19"/>
      <c r="J4935" s="21"/>
      <c r="K4935" s="19"/>
    </row>
    <row r="4936" spans="3:11" x14ac:dyDescent="0.2">
      <c r="C4936" s="19"/>
      <c r="D4936" s="19"/>
      <c r="E4936" s="19"/>
      <c r="F4936" s="20"/>
      <c r="G4936" s="19"/>
      <c r="H4936" s="19"/>
      <c r="I4936" s="19"/>
      <c r="J4936" s="21"/>
      <c r="K4936" s="19"/>
    </row>
    <row r="4937" spans="3:11" x14ac:dyDescent="0.2">
      <c r="C4937" s="19"/>
      <c r="D4937" s="19"/>
      <c r="E4937" s="19"/>
      <c r="F4937" s="20"/>
      <c r="G4937" s="19"/>
      <c r="H4937" s="19"/>
      <c r="I4937" s="19"/>
      <c r="J4937" s="21"/>
      <c r="K4937" s="19"/>
    </row>
    <row r="4938" spans="3:11" x14ac:dyDescent="0.2">
      <c r="C4938" s="19"/>
      <c r="D4938" s="19"/>
      <c r="E4938" s="19"/>
      <c r="F4938" s="20"/>
      <c r="G4938" s="19"/>
      <c r="H4938" s="19"/>
      <c r="I4938" s="19"/>
      <c r="J4938" s="21"/>
      <c r="K4938" s="19"/>
    </row>
    <row r="4939" spans="3:11" x14ac:dyDescent="0.2">
      <c r="C4939" s="19"/>
      <c r="D4939" s="19"/>
      <c r="E4939" s="19"/>
      <c r="F4939" s="20"/>
      <c r="G4939" s="19"/>
      <c r="H4939" s="19"/>
      <c r="I4939" s="19"/>
      <c r="J4939" s="21"/>
      <c r="K4939" s="19"/>
    </row>
    <row r="4940" spans="3:11" x14ac:dyDescent="0.2">
      <c r="C4940" s="19"/>
      <c r="D4940" s="19"/>
      <c r="E4940" s="19"/>
      <c r="F4940" s="20"/>
      <c r="G4940" s="19"/>
      <c r="H4940" s="19"/>
      <c r="I4940" s="19"/>
      <c r="J4940" s="19"/>
      <c r="K4940" s="19"/>
    </row>
    <row r="4941" spans="3:11" x14ac:dyDescent="0.2">
      <c r="C4941" s="19"/>
      <c r="D4941" s="19"/>
      <c r="E4941" s="19"/>
      <c r="F4941" s="20"/>
      <c r="G4941" s="19"/>
      <c r="H4941" s="19"/>
      <c r="I4941" s="19"/>
      <c r="J4941" s="21"/>
      <c r="K4941" s="19"/>
    </row>
    <row r="4942" spans="3:11" x14ac:dyDescent="0.2">
      <c r="C4942" s="19"/>
      <c r="D4942" s="19"/>
      <c r="E4942" s="19"/>
      <c r="F4942" s="20"/>
      <c r="G4942" s="19"/>
      <c r="H4942" s="19"/>
      <c r="I4942" s="19"/>
      <c r="J4942" s="21"/>
      <c r="K4942" s="19"/>
    </row>
    <row r="4943" spans="3:11" x14ac:dyDescent="0.2">
      <c r="C4943" s="19"/>
      <c r="D4943" s="19"/>
      <c r="E4943" s="19"/>
      <c r="F4943" s="20"/>
      <c r="G4943" s="19"/>
      <c r="H4943" s="19"/>
      <c r="I4943" s="19"/>
      <c r="J4943" s="21"/>
      <c r="K4943" s="19"/>
    </row>
    <row r="4944" spans="3:11" x14ac:dyDescent="0.2">
      <c r="C4944" s="19"/>
      <c r="D4944" s="19"/>
      <c r="E4944" s="19"/>
      <c r="F4944" s="20"/>
      <c r="G4944" s="19"/>
      <c r="H4944" s="19"/>
      <c r="I4944" s="19"/>
      <c r="J4944" s="21"/>
      <c r="K4944" s="19"/>
    </row>
    <row r="4945" spans="3:11" x14ac:dyDescent="0.2">
      <c r="C4945" s="19"/>
      <c r="D4945" s="19"/>
      <c r="E4945" s="19"/>
      <c r="F4945" s="20"/>
      <c r="G4945" s="19"/>
      <c r="H4945" s="19"/>
      <c r="I4945" s="19"/>
      <c r="J4945" s="21"/>
      <c r="K4945" s="19"/>
    </row>
    <row r="4946" spans="3:11" x14ac:dyDescent="0.2">
      <c r="C4946" s="19"/>
      <c r="D4946" s="19"/>
      <c r="E4946" s="19"/>
      <c r="F4946" s="20"/>
      <c r="G4946" s="19"/>
      <c r="H4946" s="19"/>
      <c r="I4946" s="19"/>
      <c r="J4946" s="21"/>
      <c r="K4946" s="19"/>
    </row>
    <row r="4947" spans="3:11" x14ac:dyDescent="0.2">
      <c r="C4947" s="19"/>
      <c r="D4947" s="19"/>
      <c r="E4947" s="19"/>
      <c r="F4947" s="20"/>
      <c r="G4947" s="19"/>
      <c r="H4947" s="19"/>
      <c r="I4947" s="19"/>
      <c r="J4947" s="21"/>
      <c r="K4947" s="19"/>
    </row>
    <row r="4948" spans="3:11" x14ac:dyDescent="0.2">
      <c r="C4948" s="19"/>
      <c r="D4948" s="19"/>
      <c r="E4948" s="19"/>
      <c r="F4948" s="20"/>
      <c r="G4948" s="19"/>
      <c r="H4948" s="19"/>
      <c r="I4948" s="19"/>
      <c r="J4948" s="21"/>
      <c r="K4948" s="19"/>
    </row>
    <row r="4949" spans="3:11" x14ac:dyDescent="0.2">
      <c r="C4949" s="19"/>
      <c r="D4949" s="19"/>
      <c r="E4949" s="19"/>
      <c r="F4949" s="20"/>
      <c r="G4949" s="19"/>
      <c r="H4949" s="19"/>
      <c r="I4949" s="19"/>
      <c r="J4949" s="21"/>
      <c r="K4949" s="19"/>
    </row>
    <row r="4950" spans="3:11" x14ac:dyDescent="0.2">
      <c r="C4950" s="19"/>
      <c r="D4950" s="19"/>
      <c r="E4950" s="19"/>
      <c r="F4950" s="20"/>
      <c r="G4950" s="19"/>
      <c r="H4950" s="19"/>
      <c r="I4950" s="19"/>
      <c r="J4950" s="21"/>
      <c r="K4950" s="19"/>
    </row>
    <row r="4951" spans="3:11" x14ac:dyDescent="0.2">
      <c r="C4951" s="19"/>
      <c r="D4951" s="19"/>
      <c r="E4951" s="19"/>
      <c r="F4951" s="20"/>
      <c r="G4951" s="19"/>
      <c r="H4951" s="19"/>
      <c r="I4951" s="19"/>
      <c r="J4951" s="21"/>
      <c r="K4951" s="19"/>
    </row>
    <row r="4952" spans="3:11" x14ac:dyDescent="0.2">
      <c r="C4952" s="19"/>
      <c r="D4952" s="19"/>
      <c r="E4952" s="19"/>
      <c r="F4952" s="20"/>
      <c r="G4952" s="19"/>
      <c r="H4952" s="19"/>
      <c r="I4952" s="19"/>
      <c r="J4952" s="19"/>
      <c r="K4952" s="19"/>
    </row>
    <row r="4953" spans="3:11" x14ac:dyDescent="0.2">
      <c r="C4953" s="19"/>
      <c r="D4953" s="19"/>
      <c r="E4953" s="19"/>
      <c r="F4953" s="20"/>
      <c r="G4953" s="19"/>
      <c r="H4953" s="19"/>
      <c r="I4953" s="19"/>
      <c r="J4953" s="21"/>
      <c r="K4953" s="19"/>
    </row>
    <row r="4954" spans="3:11" x14ac:dyDescent="0.2">
      <c r="C4954" s="19"/>
      <c r="D4954" s="19"/>
      <c r="E4954" s="19"/>
      <c r="F4954" s="20"/>
      <c r="G4954" s="19"/>
      <c r="H4954" s="19"/>
      <c r="I4954" s="19"/>
      <c r="J4954" s="21"/>
      <c r="K4954" s="19"/>
    </row>
    <row r="4955" spans="3:11" x14ac:dyDescent="0.2">
      <c r="C4955" s="19"/>
      <c r="D4955" s="19"/>
      <c r="E4955" s="19"/>
      <c r="F4955" s="20"/>
      <c r="G4955" s="19"/>
      <c r="H4955" s="19"/>
      <c r="I4955" s="19"/>
      <c r="J4955" s="21"/>
      <c r="K4955" s="19"/>
    </row>
    <row r="4956" spans="3:11" x14ac:dyDescent="0.2">
      <c r="C4956" s="19"/>
      <c r="D4956" s="19"/>
      <c r="E4956" s="19"/>
      <c r="F4956" s="20"/>
      <c r="G4956" s="19"/>
      <c r="H4956" s="19"/>
      <c r="I4956" s="19"/>
      <c r="J4956" s="21"/>
      <c r="K4956" s="19"/>
    </row>
    <row r="4957" spans="3:11" x14ac:dyDescent="0.2">
      <c r="C4957" s="19"/>
      <c r="D4957" s="19"/>
      <c r="E4957" s="19"/>
      <c r="F4957" s="20"/>
      <c r="G4957" s="19"/>
      <c r="H4957" s="19"/>
      <c r="I4957" s="19"/>
      <c r="J4957" s="21"/>
      <c r="K4957" s="19"/>
    </row>
    <row r="4958" spans="3:11" x14ac:dyDescent="0.2">
      <c r="C4958" s="19"/>
      <c r="D4958" s="19"/>
      <c r="E4958" s="19"/>
      <c r="F4958" s="20"/>
      <c r="G4958" s="19"/>
      <c r="H4958" s="19"/>
      <c r="I4958" s="19"/>
      <c r="J4958" s="21"/>
      <c r="K4958" s="19"/>
    </row>
    <row r="4959" spans="3:11" x14ac:dyDescent="0.2">
      <c r="C4959" s="19"/>
      <c r="D4959" s="19"/>
      <c r="E4959" s="19"/>
      <c r="F4959" s="20"/>
      <c r="G4959" s="19"/>
      <c r="H4959" s="19"/>
      <c r="I4959" s="19"/>
      <c r="J4959" s="21"/>
      <c r="K4959" s="19"/>
    </row>
    <row r="4960" spans="3:11" x14ac:dyDescent="0.2">
      <c r="C4960" s="19"/>
      <c r="D4960" s="19"/>
      <c r="E4960" s="19"/>
      <c r="F4960" s="20"/>
      <c r="G4960" s="19"/>
      <c r="H4960" s="19"/>
      <c r="I4960" s="19"/>
      <c r="J4960" s="19"/>
      <c r="K4960" s="19"/>
    </row>
    <row r="4961" spans="3:11" x14ac:dyDescent="0.2">
      <c r="C4961" s="19"/>
      <c r="D4961" s="19"/>
      <c r="E4961" s="19"/>
      <c r="F4961" s="20"/>
      <c r="G4961" s="19"/>
      <c r="H4961" s="19"/>
      <c r="I4961" s="19"/>
      <c r="J4961" s="19"/>
      <c r="K4961" s="19"/>
    </row>
    <row r="4962" spans="3:11" x14ac:dyDescent="0.2">
      <c r="C4962" s="19"/>
      <c r="D4962" s="19"/>
      <c r="E4962" s="19"/>
      <c r="F4962" s="20"/>
      <c r="G4962" s="19"/>
      <c r="H4962" s="19"/>
      <c r="I4962" s="19"/>
      <c r="J4962" s="21"/>
      <c r="K4962" s="19"/>
    </row>
    <row r="4963" spans="3:11" x14ac:dyDescent="0.2">
      <c r="C4963" s="19"/>
      <c r="D4963" s="19"/>
      <c r="E4963" s="19"/>
      <c r="F4963" s="20"/>
      <c r="G4963" s="19"/>
      <c r="H4963" s="19"/>
      <c r="I4963" s="19"/>
      <c r="J4963" s="21"/>
      <c r="K4963" s="19"/>
    </row>
    <row r="4964" spans="3:11" x14ac:dyDescent="0.2">
      <c r="C4964" s="19"/>
      <c r="D4964" s="19"/>
      <c r="E4964" s="19"/>
      <c r="F4964" s="20"/>
      <c r="G4964" s="19"/>
      <c r="H4964" s="19"/>
      <c r="I4964" s="19"/>
      <c r="J4964" s="21"/>
      <c r="K4964" s="19"/>
    </row>
    <row r="4965" spans="3:11" x14ac:dyDescent="0.2">
      <c r="C4965" s="19"/>
      <c r="D4965" s="19"/>
      <c r="E4965" s="19"/>
      <c r="F4965" s="20"/>
      <c r="G4965" s="19"/>
      <c r="H4965" s="19"/>
      <c r="I4965" s="19"/>
      <c r="J4965" s="21"/>
      <c r="K4965" s="19"/>
    </row>
    <row r="4966" spans="3:11" x14ac:dyDescent="0.2">
      <c r="C4966" s="19"/>
      <c r="D4966" s="19"/>
      <c r="E4966" s="19"/>
      <c r="F4966" s="20"/>
      <c r="G4966" s="19"/>
      <c r="H4966" s="19"/>
      <c r="I4966" s="19"/>
      <c r="J4966" s="21"/>
      <c r="K4966" s="19"/>
    </row>
    <row r="4967" spans="3:11" x14ac:dyDescent="0.2">
      <c r="C4967" s="19"/>
      <c r="D4967" s="19"/>
      <c r="E4967" s="19"/>
      <c r="F4967" s="20"/>
      <c r="G4967" s="19"/>
      <c r="H4967" s="19"/>
      <c r="I4967" s="19"/>
      <c r="J4967" s="21"/>
      <c r="K4967" s="19"/>
    </row>
    <row r="4968" spans="3:11" x14ac:dyDescent="0.2">
      <c r="C4968" s="19"/>
      <c r="D4968" s="19"/>
      <c r="E4968" s="19"/>
      <c r="F4968" s="20"/>
      <c r="G4968" s="19"/>
      <c r="H4968" s="19"/>
      <c r="I4968" s="19"/>
      <c r="J4968" s="21"/>
      <c r="K4968" s="19"/>
    </row>
    <row r="4969" spans="3:11" x14ac:dyDescent="0.2">
      <c r="C4969" s="19"/>
      <c r="D4969" s="19"/>
      <c r="E4969" s="19"/>
      <c r="F4969" s="20"/>
      <c r="G4969" s="19"/>
      <c r="H4969" s="19"/>
      <c r="I4969" s="19"/>
      <c r="J4969" s="21"/>
      <c r="K4969" s="19"/>
    </row>
    <row r="4970" spans="3:11" x14ac:dyDescent="0.2">
      <c r="C4970" s="19"/>
      <c r="D4970" s="19"/>
      <c r="E4970" s="19"/>
      <c r="F4970" s="20"/>
      <c r="G4970" s="19"/>
      <c r="H4970" s="19"/>
      <c r="I4970" s="19"/>
      <c r="J4970" s="21"/>
      <c r="K4970" s="19"/>
    </row>
    <row r="4971" spans="3:11" x14ac:dyDescent="0.2">
      <c r="C4971" s="19"/>
      <c r="D4971" s="19"/>
      <c r="E4971" s="19"/>
      <c r="F4971" s="20"/>
      <c r="G4971" s="19"/>
      <c r="H4971" s="19"/>
      <c r="I4971" s="19"/>
      <c r="J4971" s="21"/>
      <c r="K4971" s="19"/>
    </row>
    <row r="4972" spans="3:11" x14ac:dyDescent="0.2">
      <c r="C4972" s="19"/>
      <c r="D4972" s="19"/>
      <c r="E4972" s="19"/>
      <c r="F4972" s="20"/>
      <c r="G4972" s="19"/>
      <c r="H4972" s="19"/>
      <c r="I4972" s="19"/>
      <c r="J4972" s="21"/>
      <c r="K4972" s="19"/>
    </row>
    <row r="4973" spans="3:11" x14ac:dyDescent="0.2">
      <c r="C4973" s="19"/>
      <c r="D4973" s="19"/>
      <c r="E4973" s="19"/>
      <c r="F4973" s="20"/>
      <c r="G4973" s="19"/>
      <c r="H4973" s="19"/>
      <c r="I4973" s="19"/>
      <c r="J4973" s="21"/>
      <c r="K4973" s="19"/>
    </row>
    <row r="4974" spans="3:11" x14ac:dyDescent="0.2">
      <c r="C4974" s="19"/>
      <c r="D4974" s="19"/>
      <c r="E4974" s="19"/>
      <c r="F4974" s="20"/>
      <c r="G4974" s="19"/>
      <c r="H4974" s="19"/>
      <c r="I4974" s="19"/>
      <c r="J4974" s="21"/>
      <c r="K4974" s="19"/>
    </row>
    <row r="4975" spans="3:11" x14ac:dyDescent="0.2">
      <c r="C4975" s="19"/>
      <c r="D4975" s="19"/>
      <c r="E4975" s="19"/>
      <c r="F4975" s="20"/>
      <c r="G4975" s="19"/>
      <c r="H4975" s="19"/>
      <c r="I4975" s="19"/>
      <c r="J4975" s="19"/>
      <c r="K4975" s="19"/>
    </row>
    <row r="4976" spans="3:11" x14ac:dyDescent="0.2">
      <c r="C4976" s="19"/>
      <c r="D4976" s="19"/>
      <c r="E4976" s="19"/>
      <c r="F4976" s="20"/>
      <c r="G4976" s="19"/>
      <c r="H4976" s="19"/>
      <c r="I4976" s="19"/>
      <c r="J4976" s="21"/>
      <c r="K4976" s="19"/>
    </row>
    <row r="4977" spans="3:11" x14ac:dyDescent="0.2">
      <c r="C4977" s="19"/>
      <c r="D4977" s="19"/>
      <c r="E4977" s="19"/>
      <c r="F4977" s="20"/>
      <c r="G4977" s="19"/>
      <c r="H4977" s="19"/>
      <c r="I4977" s="19"/>
      <c r="J4977" s="21"/>
      <c r="K4977" s="19"/>
    </row>
    <row r="4978" spans="3:11" x14ac:dyDescent="0.2">
      <c r="C4978" s="19"/>
      <c r="D4978" s="19"/>
      <c r="E4978" s="19"/>
      <c r="F4978" s="20"/>
      <c r="G4978" s="19"/>
      <c r="H4978" s="19"/>
      <c r="I4978" s="19"/>
      <c r="J4978" s="21"/>
      <c r="K4978" s="19"/>
    </row>
    <row r="4979" spans="3:11" x14ac:dyDescent="0.2">
      <c r="C4979" s="19"/>
      <c r="D4979" s="19"/>
      <c r="E4979" s="19"/>
      <c r="F4979" s="20"/>
      <c r="G4979" s="19"/>
      <c r="H4979" s="19"/>
      <c r="I4979" s="19"/>
      <c r="J4979" s="21"/>
      <c r="K4979" s="19"/>
    </row>
    <row r="4980" spans="3:11" x14ac:dyDescent="0.2">
      <c r="C4980" s="19"/>
      <c r="D4980" s="19"/>
      <c r="E4980" s="19"/>
      <c r="F4980" s="20"/>
      <c r="G4980" s="19"/>
      <c r="H4980" s="19"/>
      <c r="I4980" s="19"/>
      <c r="J4980" s="21"/>
      <c r="K4980" s="19"/>
    </row>
    <row r="4981" spans="3:11" x14ac:dyDescent="0.2">
      <c r="C4981" s="19"/>
      <c r="D4981" s="19"/>
      <c r="E4981" s="19"/>
      <c r="F4981" s="20"/>
      <c r="G4981" s="19"/>
      <c r="H4981" s="19"/>
      <c r="I4981" s="19"/>
      <c r="J4981" s="21"/>
      <c r="K4981" s="19"/>
    </row>
    <row r="4982" spans="3:11" x14ac:dyDescent="0.2">
      <c r="C4982" s="19"/>
      <c r="D4982" s="19"/>
      <c r="E4982" s="19"/>
      <c r="F4982" s="20"/>
      <c r="G4982" s="19"/>
      <c r="H4982" s="19"/>
      <c r="I4982" s="19"/>
      <c r="J4982" s="21"/>
      <c r="K4982" s="19"/>
    </row>
    <row r="4983" spans="3:11" x14ac:dyDescent="0.2">
      <c r="C4983" s="19"/>
      <c r="D4983" s="19"/>
      <c r="E4983" s="19"/>
      <c r="F4983" s="20"/>
      <c r="G4983" s="19"/>
      <c r="H4983" s="19"/>
      <c r="I4983" s="19"/>
      <c r="J4983" s="21"/>
      <c r="K4983" s="19"/>
    </row>
    <row r="4984" spans="3:11" x14ac:dyDescent="0.2">
      <c r="C4984" s="19"/>
      <c r="D4984" s="19"/>
      <c r="E4984" s="19"/>
      <c r="F4984" s="20"/>
      <c r="G4984" s="19"/>
      <c r="H4984" s="19"/>
      <c r="I4984" s="19"/>
      <c r="J4984" s="21"/>
      <c r="K4984" s="19"/>
    </row>
    <row r="4985" spans="3:11" x14ac:dyDescent="0.2">
      <c r="C4985" s="19"/>
      <c r="D4985" s="19"/>
      <c r="E4985" s="19"/>
      <c r="F4985" s="20"/>
      <c r="G4985" s="19"/>
      <c r="H4985" s="19"/>
      <c r="I4985" s="19"/>
      <c r="J4985" s="21"/>
      <c r="K4985" s="19"/>
    </row>
    <row r="4986" spans="3:11" x14ac:dyDescent="0.2">
      <c r="C4986" s="19"/>
      <c r="D4986" s="19"/>
      <c r="E4986" s="19"/>
      <c r="F4986" s="20"/>
      <c r="G4986" s="19"/>
      <c r="H4986" s="19"/>
      <c r="I4986" s="19"/>
      <c r="J4986" s="21"/>
      <c r="K4986" s="19"/>
    </row>
    <row r="4987" spans="3:11" x14ac:dyDescent="0.2">
      <c r="C4987" s="19"/>
      <c r="D4987" s="19"/>
      <c r="E4987" s="19"/>
      <c r="F4987" s="20"/>
      <c r="G4987" s="19"/>
      <c r="H4987" s="19"/>
      <c r="I4987" s="19"/>
      <c r="J4987" s="21"/>
      <c r="K4987" s="19"/>
    </row>
    <row r="4988" spans="3:11" x14ac:dyDescent="0.2">
      <c r="C4988" s="19"/>
      <c r="D4988" s="19"/>
      <c r="E4988" s="19"/>
      <c r="F4988" s="20"/>
      <c r="G4988" s="19"/>
      <c r="H4988" s="19"/>
      <c r="I4988" s="19"/>
      <c r="J4988" s="21"/>
      <c r="K4988" s="19"/>
    </row>
    <row r="4989" spans="3:11" x14ac:dyDescent="0.2">
      <c r="C4989" s="19"/>
      <c r="D4989" s="19"/>
      <c r="E4989" s="19"/>
      <c r="F4989" s="20"/>
      <c r="G4989" s="19"/>
      <c r="H4989" s="19"/>
      <c r="I4989" s="19"/>
      <c r="J4989" s="21"/>
      <c r="K4989" s="19"/>
    </row>
    <row r="4990" spans="3:11" x14ac:dyDescent="0.2">
      <c r="C4990" s="19"/>
      <c r="D4990" s="19"/>
      <c r="E4990" s="19"/>
      <c r="F4990" s="20"/>
      <c r="G4990" s="19"/>
      <c r="H4990" s="19"/>
      <c r="I4990" s="19"/>
      <c r="J4990" s="21"/>
      <c r="K4990" s="19"/>
    </row>
    <row r="4991" spans="3:11" x14ac:dyDescent="0.2">
      <c r="C4991" s="19"/>
      <c r="D4991" s="19"/>
      <c r="E4991" s="19"/>
      <c r="F4991" s="20"/>
      <c r="G4991" s="19"/>
      <c r="H4991" s="19"/>
      <c r="I4991" s="19"/>
      <c r="J4991" s="21"/>
      <c r="K4991" s="19"/>
    </row>
    <row r="4992" spans="3:11" x14ac:dyDescent="0.2">
      <c r="C4992" s="19"/>
      <c r="D4992" s="19"/>
      <c r="E4992" s="19"/>
      <c r="F4992" s="20"/>
      <c r="G4992" s="19"/>
      <c r="H4992" s="19"/>
      <c r="I4992" s="19"/>
      <c r="J4992" s="21"/>
      <c r="K4992" s="19"/>
    </row>
    <row r="4993" spans="3:11" x14ac:dyDescent="0.2">
      <c r="C4993" s="19"/>
      <c r="D4993" s="19"/>
      <c r="E4993" s="19"/>
      <c r="F4993" s="20"/>
      <c r="G4993" s="19"/>
      <c r="H4993" s="19"/>
      <c r="I4993" s="19"/>
      <c r="J4993" s="21"/>
      <c r="K4993" s="19"/>
    </row>
    <row r="4994" spans="3:11" x14ac:dyDescent="0.2">
      <c r="C4994" s="19"/>
      <c r="D4994" s="19"/>
      <c r="E4994" s="19"/>
      <c r="F4994" s="20"/>
      <c r="G4994" s="19"/>
      <c r="H4994" s="19"/>
      <c r="I4994" s="19"/>
      <c r="J4994" s="21"/>
      <c r="K4994" s="19"/>
    </row>
    <row r="4995" spans="3:11" x14ac:dyDescent="0.2">
      <c r="C4995" s="19"/>
      <c r="D4995" s="19"/>
      <c r="E4995" s="19"/>
      <c r="F4995" s="20"/>
      <c r="G4995" s="19"/>
      <c r="H4995" s="19"/>
      <c r="I4995" s="19"/>
      <c r="J4995" s="21"/>
      <c r="K4995" s="19"/>
    </row>
    <row r="4996" spans="3:11" x14ac:dyDescent="0.2">
      <c r="C4996" s="19"/>
      <c r="D4996" s="19"/>
      <c r="E4996" s="19"/>
      <c r="F4996" s="20"/>
      <c r="G4996" s="19"/>
      <c r="H4996" s="19"/>
      <c r="I4996" s="19"/>
      <c r="J4996" s="21"/>
      <c r="K4996" s="19"/>
    </row>
    <row r="4997" spans="3:11" x14ac:dyDescent="0.2">
      <c r="C4997" s="19"/>
      <c r="D4997" s="19"/>
      <c r="E4997" s="19"/>
      <c r="F4997" s="20"/>
      <c r="G4997" s="19"/>
      <c r="H4997" s="19"/>
      <c r="I4997" s="19"/>
      <c r="J4997" s="19"/>
      <c r="K4997" s="19"/>
    </row>
    <row r="4998" spans="3:11" x14ac:dyDescent="0.2">
      <c r="C4998" s="19"/>
      <c r="D4998" s="19"/>
      <c r="E4998" s="19"/>
      <c r="F4998" s="20"/>
      <c r="G4998" s="19"/>
      <c r="H4998" s="19"/>
      <c r="I4998" s="19"/>
      <c r="J4998" s="21"/>
      <c r="K4998" s="19"/>
    </row>
    <row r="4999" spans="3:11" x14ac:dyDescent="0.2">
      <c r="C4999" s="19"/>
      <c r="D4999" s="19"/>
      <c r="E4999" s="19"/>
      <c r="F4999" s="20"/>
      <c r="G4999" s="19"/>
      <c r="H4999" s="19"/>
      <c r="I4999" s="19"/>
      <c r="J4999" s="21"/>
      <c r="K4999" s="19"/>
    </row>
    <row r="5000" spans="3:11" x14ac:dyDescent="0.2">
      <c r="C5000" s="19"/>
      <c r="D5000" s="19"/>
      <c r="E5000" s="19"/>
      <c r="F5000" s="20"/>
      <c r="G5000" s="19"/>
      <c r="H5000" s="19"/>
      <c r="I5000" s="19"/>
      <c r="J5000" s="21"/>
      <c r="K5000" s="19"/>
    </row>
    <row r="5001" spans="3:11" x14ac:dyDescent="0.2">
      <c r="C5001" s="19"/>
      <c r="D5001" s="19"/>
      <c r="E5001" s="19"/>
      <c r="F5001" s="20"/>
      <c r="G5001" s="19"/>
      <c r="H5001" s="19"/>
      <c r="I5001" s="19"/>
      <c r="J5001" s="21"/>
      <c r="K5001" s="19"/>
    </row>
    <row r="5002" spans="3:11" x14ac:dyDescent="0.2">
      <c r="C5002" s="19"/>
      <c r="D5002" s="19"/>
      <c r="E5002" s="19"/>
      <c r="F5002" s="20"/>
      <c r="G5002" s="19"/>
      <c r="H5002" s="19"/>
      <c r="I5002" s="19"/>
      <c r="J5002" s="21"/>
      <c r="K5002" s="19"/>
    </row>
    <row r="5003" spans="3:11" x14ac:dyDescent="0.2">
      <c r="C5003" s="19"/>
      <c r="D5003" s="19"/>
      <c r="E5003" s="19"/>
      <c r="F5003" s="20"/>
      <c r="G5003" s="19"/>
      <c r="H5003" s="19"/>
      <c r="I5003" s="19"/>
      <c r="J5003" s="21"/>
      <c r="K5003" s="19"/>
    </row>
    <row r="5004" spans="3:11" x14ac:dyDescent="0.2">
      <c r="C5004" s="19"/>
      <c r="D5004" s="19"/>
      <c r="E5004" s="19"/>
      <c r="F5004" s="20"/>
      <c r="G5004" s="19"/>
      <c r="H5004" s="19"/>
      <c r="I5004" s="19"/>
      <c r="J5004" s="21"/>
      <c r="K5004" s="19"/>
    </row>
    <row r="5005" spans="3:11" x14ac:dyDescent="0.2">
      <c r="C5005" s="19"/>
      <c r="D5005" s="19"/>
      <c r="E5005" s="19"/>
      <c r="F5005" s="20"/>
      <c r="G5005" s="19"/>
      <c r="H5005" s="19"/>
      <c r="I5005" s="19"/>
      <c r="J5005" s="21"/>
      <c r="K5005" s="19"/>
    </row>
    <row r="5006" spans="3:11" x14ac:dyDescent="0.2">
      <c r="C5006" s="19"/>
      <c r="D5006" s="19"/>
      <c r="E5006" s="19"/>
      <c r="F5006" s="20"/>
      <c r="G5006" s="19"/>
      <c r="H5006" s="19"/>
      <c r="I5006" s="19"/>
      <c r="J5006" s="21"/>
      <c r="K5006" s="19"/>
    </row>
    <row r="5007" spans="3:11" x14ac:dyDescent="0.2">
      <c r="C5007" s="19"/>
      <c r="D5007" s="19"/>
      <c r="E5007" s="19"/>
      <c r="F5007" s="20"/>
      <c r="G5007" s="19"/>
      <c r="H5007" s="19"/>
      <c r="I5007" s="19"/>
      <c r="J5007" s="21"/>
      <c r="K5007" s="19"/>
    </row>
    <row r="5008" spans="3:11" x14ac:dyDescent="0.2">
      <c r="C5008" s="19"/>
      <c r="D5008" s="19"/>
      <c r="E5008" s="19"/>
      <c r="F5008" s="20"/>
      <c r="G5008" s="19"/>
      <c r="H5008" s="19"/>
      <c r="I5008" s="19"/>
      <c r="J5008" s="21"/>
      <c r="K5008" s="19"/>
    </row>
    <row r="5009" spans="3:11" x14ac:dyDescent="0.2">
      <c r="C5009" s="19"/>
      <c r="D5009" s="19"/>
      <c r="E5009" s="19"/>
      <c r="F5009" s="20"/>
      <c r="G5009" s="19"/>
      <c r="H5009" s="19"/>
      <c r="I5009" s="19"/>
      <c r="J5009" s="21"/>
      <c r="K5009" s="19"/>
    </row>
    <row r="5010" spans="3:11" x14ac:dyDescent="0.2">
      <c r="C5010" s="19"/>
      <c r="D5010" s="19"/>
      <c r="E5010" s="19"/>
      <c r="F5010" s="20"/>
      <c r="G5010" s="19"/>
      <c r="H5010" s="19"/>
      <c r="I5010" s="19"/>
      <c r="J5010" s="21"/>
      <c r="K5010" s="19"/>
    </row>
    <row r="5011" spans="3:11" x14ac:dyDescent="0.2">
      <c r="C5011" s="19"/>
      <c r="D5011" s="19"/>
      <c r="E5011" s="19"/>
      <c r="F5011" s="20"/>
      <c r="G5011" s="19"/>
      <c r="H5011" s="19"/>
      <c r="I5011" s="19"/>
      <c r="J5011" s="21"/>
      <c r="K5011" s="19"/>
    </row>
    <row r="5012" spans="3:11" x14ac:dyDescent="0.2">
      <c r="C5012" s="19"/>
      <c r="D5012" s="19"/>
      <c r="E5012" s="19"/>
      <c r="F5012" s="20"/>
      <c r="G5012" s="19"/>
      <c r="H5012" s="19"/>
      <c r="I5012" s="19"/>
      <c r="J5012" s="21"/>
      <c r="K5012" s="19"/>
    </row>
    <row r="5013" spans="3:11" x14ac:dyDescent="0.2">
      <c r="C5013" s="19"/>
      <c r="D5013" s="19"/>
      <c r="E5013" s="19"/>
      <c r="F5013" s="20"/>
      <c r="G5013" s="19"/>
      <c r="H5013" s="19"/>
      <c r="I5013" s="19"/>
      <c r="J5013" s="19"/>
      <c r="K5013" s="19"/>
    </row>
    <row r="5014" spans="3:11" x14ac:dyDescent="0.2">
      <c r="C5014" s="19"/>
      <c r="D5014" s="19"/>
      <c r="E5014" s="19"/>
      <c r="F5014" s="20"/>
      <c r="G5014" s="19"/>
      <c r="H5014" s="19"/>
      <c r="I5014" s="19"/>
      <c r="J5014" s="19"/>
      <c r="K5014" s="19"/>
    </row>
    <row r="5015" spans="3:11" x14ac:dyDescent="0.2">
      <c r="C5015" s="19"/>
      <c r="D5015" s="19"/>
      <c r="E5015" s="19"/>
      <c r="F5015" s="20"/>
      <c r="G5015" s="19"/>
      <c r="H5015" s="19"/>
      <c r="I5015" s="19"/>
      <c r="J5015" s="21"/>
      <c r="K5015" s="19"/>
    </row>
    <row r="5016" spans="3:11" x14ac:dyDescent="0.2">
      <c r="C5016" s="19"/>
      <c r="D5016" s="19"/>
      <c r="E5016" s="19"/>
      <c r="F5016" s="20"/>
      <c r="G5016" s="19"/>
      <c r="H5016" s="19"/>
      <c r="I5016" s="19"/>
      <c r="J5016" s="21"/>
      <c r="K5016" s="19"/>
    </row>
    <row r="5017" spans="3:11" x14ac:dyDescent="0.2">
      <c r="C5017" s="19"/>
      <c r="D5017" s="19"/>
      <c r="E5017" s="19"/>
      <c r="F5017" s="20"/>
      <c r="G5017" s="19"/>
      <c r="H5017" s="19"/>
      <c r="I5017" s="19"/>
      <c r="J5017" s="21"/>
      <c r="K5017" s="19"/>
    </row>
    <row r="5018" spans="3:11" x14ac:dyDescent="0.2">
      <c r="C5018" s="19"/>
      <c r="D5018" s="19"/>
      <c r="E5018" s="19"/>
      <c r="F5018" s="20"/>
      <c r="G5018" s="19"/>
      <c r="H5018" s="19"/>
      <c r="I5018" s="19"/>
      <c r="J5018" s="21"/>
      <c r="K5018" s="19"/>
    </row>
    <row r="5019" spans="3:11" x14ac:dyDescent="0.2">
      <c r="C5019" s="19"/>
      <c r="D5019" s="19"/>
      <c r="E5019" s="19"/>
      <c r="F5019" s="20"/>
      <c r="G5019" s="19"/>
      <c r="H5019" s="19"/>
      <c r="I5019" s="19"/>
      <c r="J5019" s="21"/>
      <c r="K5019" s="19"/>
    </row>
    <row r="5020" spans="3:11" x14ac:dyDescent="0.2">
      <c r="C5020" s="19"/>
      <c r="D5020" s="19"/>
      <c r="E5020" s="19"/>
      <c r="F5020" s="20"/>
      <c r="G5020" s="19"/>
      <c r="H5020" s="19"/>
      <c r="I5020" s="19"/>
      <c r="J5020" s="21"/>
      <c r="K5020" s="19"/>
    </row>
    <row r="5021" spans="3:11" x14ac:dyDescent="0.2">
      <c r="C5021" s="19"/>
      <c r="D5021" s="19"/>
      <c r="E5021" s="19"/>
      <c r="F5021" s="20"/>
      <c r="G5021" s="19"/>
      <c r="H5021" s="19"/>
      <c r="I5021" s="19"/>
      <c r="J5021" s="21"/>
      <c r="K5021" s="19"/>
    </row>
    <row r="5022" spans="3:11" x14ac:dyDescent="0.2">
      <c r="C5022" s="19"/>
      <c r="D5022" s="19"/>
      <c r="E5022" s="19"/>
      <c r="F5022" s="20"/>
      <c r="G5022" s="19"/>
      <c r="H5022" s="19"/>
      <c r="I5022" s="19"/>
      <c r="J5022" s="21"/>
      <c r="K5022" s="19"/>
    </row>
    <row r="5023" spans="3:11" x14ac:dyDescent="0.2">
      <c r="C5023" s="19"/>
      <c r="D5023" s="19"/>
      <c r="E5023" s="19"/>
      <c r="F5023" s="20"/>
      <c r="G5023" s="19"/>
      <c r="H5023" s="19"/>
      <c r="I5023" s="19"/>
      <c r="J5023" s="21"/>
      <c r="K5023" s="19"/>
    </row>
    <row r="5024" spans="3:11" x14ac:dyDescent="0.2">
      <c r="C5024" s="19"/>
      <c r="D5024" s="19"/>
      <c r="E5024" s="19"/>
      <c r="F5024" s="20"/>
      <c r="G5024" s="19"/>
      <c r="H5024" s="19"/>
      <c r="I5024" s="19"/>
      <c r="J5024" s="21"/>
      <c r="K5024" s="19"/>
    </row>
    <row r="5025" spans="3:11" x14ac:dyDescent="0.2">
      <c r="C5025" s="19"/>
      <c r="D5025" s="19"/>
      <c r="E5025" s="19"/>
      <c r="F5025" s="20"/>
      <c r="G5025" s="19"/>
      <c r="H5025" s="19"/>
      <c r="I5025" s="19"/>
      <c r="J5025" s="21"/>
      <c r="K5025" s="19"/>
    </row>
    <row r="5026" spans="3:11" x14ac:dyDescent="0.2">
      <c r="C5026" s="19"/>
      <c r="D5026" s="19"/>
      <c r="E5026" s="19"/>
      <c r="F5026" s="20"/>
      <c r="G5026" s="19"/>
      <c r="H5026" s="19"/>
      <c r="I5026" s="19"/>
      <c r="J5026" s="21"/>
      <c r="K5026" s="19"/>
    </row>
    <row r="5027" spans="3:11" x14ac:dyDescent="0.2">
      <c r="C5027" s="19"/>
      <c r="D5027" s="19"/>
      <c r="E5027" s="19"/>
      <c r="F5027" s="20"/>
      <c r="G5027" s="19"/>
      <c r="H5027" s="19"/>
      <c r="I5027" s="19"/>
      <c r="J5027" s="21"/>
      <c r="K5027" s="19"/>
    </row>
    <row r="5028" spans="3:11" x14ac:dyDescent="0.2">
      <c r="C5028" s="19"/>
      <c r="D5028" s="19"/>
      <c r="E5028" s="19"/>
      <c r="F5028" s="20"/>
      <c r="G5028" s="19"/>
      <c r="H5028" s="19"/>
      <c r="I5028" s="19"/>
      <c r="J5028" s="21"/>
      <c r="K5028" s="19"/>
    </row>
    <row r="5029" spans="3:11" x14ac:dyDescent="0.2">
      <c r="C5029" s="19"/>
      <c r="D5029" s="19"/>
      <c r="E5029" s="19"/>
      <c r="F5029" s="20"/>
      <c r="G5029" s="19"/>
      <c r="H5029" s="19"/>
      <c r="I5029" s="19"/>
      <c r="J5029" s="19"/>
      <c r="K5029" s="19"/>
    </row>
    <row r="5030" spans="3:11" x14ac:dyDescent="0.2">
      <c r="C5030" s="19"/>
      <c r="D5030" s="19"/>
      <c r="E5030" s="19"/>
      <c r="F5030" s="20"/>
      <c r="G5030" s="19"/>
      <c r="H5030" s="19"/>
      <c r="I5030" s="19"/>
      <c r="J5030" s="21"/>
      <c r="K5030" s="19"/>
    </row>
    <row r="5031" spans="3:11" x14ac:dyDescent="0.2">
      <c r="C5031" s="19"/>
      <c r="D5031" s="19"/>
      <c r="E5031" s="19"/>
      <c r="F5031" s="20"/>
      <c r="G5031" s="19"/>
      <c r="H5031" s="19"/>
      <c r="I5031" s="19"/>
      <c r="J5031" s="21"/>
      <c r="K5031" s="19"/>
    </row>
    <row r="5032" spans="3:11" x14ac:dyDescent="0.2">
      <c r="C5032" s="19"/>
      <c r="D5032" s="19"/>
      <c r="E5032" s="19"/>
      <c r="F5032" s="20"/>
      <c r="G5032" s="19"/>
      <c r="H5032" s="19"/>
      <c r="I5032" s="19"/>
      <c r="J5032" s="21"/>
      <c r="K5032" s="19"/>
    </row>
    <row r="5033" spans="3:11" x14ac:dyDescent="0.2">
      <c r="C5033" s="19"/>
      <c r="D5033" s="19"/>
      <c r="E5033" s="19"/>
      <c r="F5033" s="20"/>
      <c r="G5033" s="19"/>
      <c r="H5033" s="19"/>
      <c r="I5033" s="19"/>
      <c r="J5033" s="21"/>
      <c r="K5033" s="19"/>
    </row>
    <row r="5034" spans="3:11" x14ac:dyDescent="0.2">
      <c r="C5034" s="19"/>
      <c r="D5034" s="19"/>
      <c r="E5034" s="19"/>
      <c r="F5034" s="20"/>
      <c r="G5034" s="19"/>
      <c r="H5034" s="19"/>
      <c r="I5034" s="19"/>
      <c r="J5034" s="21"/>
      <c r="K5034" s="19"/>
    </row>
    <row r="5035" spans="3:11" x14ac:dyDescent="0.2">
      <c r="C5035" s="19"/>
      <c r="D5035" s="19"/>
      <c r="E5035" s="19"/>
      <c r="F5035" s="20"/>
      <c r="G5035" s="19"/>
      <c r="H5035" s="19"/>
      <c r="I5035" s="19"/>
      <c r="J5035" s="21"/>
      <c r="K5035" s="19"/>
    </row>
    <row r="5036" spans="3:11" x14ac:dyDescent="0.2">
      <c r="C5036" s="19"/>
      <c r="D5036" s="19"/>
      <c r="E5036" s="19"/>
      <c r="F5036" s="20"/>
      <c r="G5036" s="19"/>
      <c r="H5036" s="19"/>
      <c r="I5036" s="19"/>
      <c r="J5036" s="21"/>
      <c r="K5036" s="19"/>
    </row>
    <row r="5037" spans="3:11" x14ac:dyDescent="0.2">
      <c r="C5037" s="19"/>
      <c r="D5037" s="19"/>
      <c r="E5037" s="19"/>
      <c r="F5037" s="20"/>
      <c r="G5037" s="19"/>
      <c r="H5037" s="19"/>
      <c r="I5037" s="19"/>
      <c r="J5037" s="21"/>
      <c r="K5037" s="19"/>
    </row>
    <row r="5038" spans="3:11" x14ac:dyDescent="0.2">
      <c r="C5038" s="19"/>
      <c r="D5038" s="19"/>
      <c r="E5038" s="19"/>
      <c r="F5038" s="20"/>
      <c r="G5038" s="19"/>
      <c r="H5038" s="19"/>
      <c r="I5038" s="19"/>
      <c r="J5038" s="21"/>
      <c r="K5038" s="19"/>
    </row>
    <row r="5039" spans="3:11" x14ac:dyDescent="0.2">
      <c r="C5039" s="19"/>
      <c r="D5039" s="19"/>
      <c r="E5039" s="19"/>
      <c r="F5039" s="20"/>
      <c r="G5039" s="19"/>
      <c r="H5039" s="19"/>
      <c r="I5039" s="19"/>
      <c r="J5039" s="21"/>
      <c r="K5039" s="19"/>
    </row>
    <row r="5040" spans="3:11" x14ac:dyDescent="0.2">
      <c r="C5040" s="19"/>
      <c r="D5040" s="19"/>
      <c r="E5040" s="19"/>
      <c r="F5040" s="20"/>
      <c r="G5040" s="19"/>
      <c r="H5040" s="19"/>
      <c r="I5040" s="19"/>
      <c r="J5040" s="21"/>
      <c r="K5040" s="19"/>
    </row>
    <row r="5041" spans="3:11" x14ac:dyDescent="0.2">
      <c r="C5041" s="19"/>
      <c r="D5041" s="19"/>
      <c r="E5041" s="19"/>
      <c r="F5041" s="20"/>
      <c r="G5041" s="19"/>
      <c r="H5041" s="19"/>
      <c r="I5041" s="19"/>
      <c r="J5041" s="21"/>
      <c r="K5041" s="19"/>
    </row>
    <row r="5042" spans="3:11" x14ac:dyDescent="0.2">
      <c r="C5042" s="19"/>
      <c r="D5042" s="19"/>
      <c r="E5042" s="19"/>
      <c r="F5042" s="20"/>
      <c r="G5042" s="19"/>
      <c r="H5042" s="19"/>
      <c r="I5042" s="19"/>
      <c r="J5042" s="21"/>
      <c r="K5042" s="19"/>
    </row>
    <row r="5043" spans="3:11" x14ac:dyDescent="0.2">
      <c r="C5043" s="19"/>
      <c r="D5043" s="19"/>
      <c r="E5043" s="19"/>
      <c r="F5043" s="20"/>
      <c r="G5043" s="19"/>
      <c r="H5043" s="19"/>
      <c r="I5043" s="19"/>
      <c r="J5043" s="21"/>
      <c r="K5043" s="19"/>
    </row>
    <row r="5044" spans="3:11" x14ac:dyDescent="0.2">
      <c r="C5044" s="19"/>
      <c r="D5044" s="19"/>
      <c r="E5044" s="19"/>
      <c r="F5044" s="20"/>
      <c r="G5044" s="19"/>
      <c r="H5044" s="19"/>
      <c r="I5044" s="19"/>
      <c r="J5044" s="21"/>
      <c r="K5044" s="19"/>
    </row>
    <row r="5045" spans="3:11" x14ac:dyDescent="0.2">
      <c r="C5045" s="19"/>
      <c r="D5045" s="19"/>
      <c r="E5045" s="19"/>
      <c r="F5045" s="20"/>
      <c r="G5045" s="19"/>
      <c r="H5045" s="19"/>
      <c r="I5045" s="19"/>
      <c r="J5045" s="21"/>
      <c r="K5045" s="19"/>
    </row>
    <row r="5046" spans="3:11" x14ac:dyDescent="0.2">
      <c r="C5046" s="19"/>
      <c r="D5046" s="19"/>
      <c r="E5046" s="19"/>
      <c r="F5046" s="20"/>
      <c r="G5046" s="19"/>
      <c r="H5046" s="19"/>
      <c r="I5046" s="19"/>
      <c r="J5046" s="19"/>
      <c r="K5046" s="19"/>
    </row>
    <row r="5047" spans="3:11" x14ac:dyDescent="0.2">
      <c r="C5047" s="19"/>
      <c r="D5047" s="19"/>
      <c r="E5047" s="19"/>
      <c r="F5047" s="20"/>
      <c r="G5047" s="19"/>
      <c r="H5047" s="19"/>
      <c r="I5047" s="19"/>
      <c r="J5047" s="19"/>
      <c r="K5047" s="19"/>
    </row>
    <row r="5048" spans="3:11" x14ac:dyDescent="0.2">
      <c r="C5048" s="19"/>
      <c r="D5048" s="19"/>
      <c r="E5048" s="19"/>
      <c r="F5048" s="20"/>
      <c r="G5048" s="19"/>
      <c r="H5048" s="19"/>
      <c r="I5048" s="19"/>
      <c r="J5048" s="19"/>
      <c r="K5048" s="19"/>
    </row>
    <row r="5049" spans="3:11" x14ac:dyDescent="0.2">
      <c r="C5049" s="19"/>
      <c r="D5049" s="19"/>
      <c r="E5049" s="19"/>
      <c r="F5049" s="20"/>
      <c r="G5049" s="19"/>
      <c r="H5049" s="19"/>
      <c r="I5049" s="19"/>
      <c r="J5049" s="21"/>
      <c r="K5049" s="19"/>
    </row>
    <row r="5050" spans="3:11" x14ac:dyDescent="0.2">
      <c r="C5050" s="19"/>
      <c r="D5050" s="19"/>
      <c r="E5050" s="19"/>
      <c r="F5050" s="20"/>
      <c r="G5050" s="19"/>
      <c r="H5050" s="19"/>
      <c r="I5050" s="19"/>
      <c r="J5050" s="19"/>
      <c r="K5050" s="19"/>
    </row>
    <row r="5051" spans="3:11" x14ac:dyDescent="0.2">
      <c r="C5051" s="19"/>
      <c r="D5051" s="19"/>
      <c r="E5051" s="19"/>
      <c r="F5051" s="20"/>
      <c r="G5051" s="19"/>
      <c r="H5051" s="19"/>
      <c r="I5051" s="19"/>
      <c r="J5051" s="19"/>
      <c r="K5051" s="19"/>
    </row>
    <row r="5052" spans="3:11" x14ac:dyDescent="0.2">
      <c r="C5052" s="19"/>
      <c r="D5052" s="19"/>
      <c r="E5052" s="19"/>
      <c r="F5052" s="20"/>
      <c r="G5052" s="19"/>
      <c r="H5052" s="19"/>
      <c r="I5052" s="19"/>
      <c r="J5052" s="19"/>
      <c r="K5052" s="19"/>
    </row>
    <row r="5053" spans="3:11" x14ac:dyDescent="0.2">
      <c r="C5053" s="19"/>
      <c r="D5053" s="19"/>
      <c r="E5053" s="19"/>
      <c r="F5053" s="20"/>
      <c r="G5053" s="19"/>
      <c r="H5053" s="19"/>
      <c r="I5053" s="19"/>
      <c r="J5053" s="21"/>
      <c r="K5053" s="19"/>
    </row>
    <row r="5054" spans="3:11" x14ac:dyDescent="0.2">
      <c r="C5054" s="19"/>
      <c r="D5054" s="19"/>
      <c r="E5054" s="19"/>
      <c r="F5054" s="20"/>
      <c r="G5054" s="19"/>
      <c r="H5054" s="19"/>
      <c r="I5054" s="19"/>
      <c r="J5054" s="21"/>
      <c r="K5054" s="19"/>
    </row>
    <row r="5055" spans="3:11" x14ac:dyDescent="0.2">
      <c r="C5055" s="19"/>
      <c r="D5055" s="19"/>
      <c r="E5055" s="19"/>
      <c r="F5055" s="20"/>
      <c r="G5055" s="19"/>
      <c r="H5055" s="19"/>
      <c r="I5055" s="19"/>
      <c r="J5055" s="19"/>
      <c r="K5055" s="19"/>
    </row>
    <row r="5056" spans="3:11" x14ac:dyDescent="0.2">
      <c r="C5056" s="19"/>
      <c r="D5056" s="19"/>
      <c r="E5056" s="19"/>
      <c r="F5056" s="20"/>
      <c r="G5056" s="19"/>
      <c r="H5056" s="19"/>
      <c r="I5056" s="19"/>
      <c r="J5056" s="19"/>
      <c r="K5056" s="19"/>
    </row>
    <row r="5057" spans="3:11" x14ac:dyDescent="0.2">
      <c r="C5057" s="19"/>
      <c r="D5057" s="19"/>
      <c r="E5057" s="19"/>
      <c r="F5057" s="20"/>
      <c r="G5057" s="19"/>
      <c r="H5057" s="19"/>
      <c r="I5057" s="19"/>
      <c r="J5057" s="21"/>
      <c r="K5057" s="19"/>
    </row>
    <row r="5058" spans="3:11" x14ac:dyDescent="0.2">
      <c r="C5058" s="19"/>
      <c r="D5058" s="19"/>
      <c r="E5058" s="19"/>
      <c r="F5058" s="20"/>
      <c r="G5058" s="19"/>
      <c r="H5058" s="19"/>
      <c r="I5058" s="19"/>
      <c r="J5058" s="21"/>
      <c r="K5058" s="19"/>
    </row>
    <row r="5059" spans="3:11" x14ac:dyDescent="0.2">
      <c r="C5059" s="19"/>
      <c r="D5059" s="19"/>
      <c r="E5059" s="19"/>
      <c r="F5059" s="20"/>
      <c r="G5059" s="19"/>
      <c r="H5059" s="19"/>
      <c r="I5059" s="19"/>
      <c r="J5059" s="21"/>
      <c r="K5059" s="19"/>
    </row>
    <row r="5060" spans="3:11" x14ac:dyDescent="0.2">
      <c r="C5060" s="19"/>
      <c r="D5060" s="19"/>
      <c r="E5060" s="19"/>
      <c r="F5060" s="20"/>
      <c r="G5060" s="19"/>
      <c r="H5060" s="19"/>
      <c r="I5060" s="19"/>
      <c r="J5060" s="21"/>
      <c r="K5060" s="19"/>
    </row>
    <row r="5061" spans="3:11" x14ac:dyDescent="0.2">
      <c r="C5061" s="19"/>
      <c r="D5061" s="19"/>
      <c r="E5061" s="19"/>
      <c r="F5061" s="20"/>
      <c r="G5061" s="19"/>
      <c r="H5061" s="19"/>
      <c r="I5061" s="19"/>
      <c r="J5061" s="21"/>
      <c r="K5061" s="19"/>
    </row>
    <row r="5062" spans="3:11" x14ac:dyDescent="0.2">
      <c r="C5062" s="19"/>
      <c r="D5062" s="19"/>
      <c r="E5062" s="19"/>
      <c r="F5062" s="20"/>
      <c r="G5062" s="19"/>
      <c r="H5062" s="19"/>
      <c r="I5062" s="19"/>
      <c r="J5062" s="21"/>
      <c r="K5062" s="19"/>
    </row>
    <row r="5063" spans="3:11" x14ac:dyDescent="0.2">
      <c r="C5063" s="19"/>
      <c r="D5063" s="19"/>
      <c r="E5063" s="19"/>
      <c r="F5063" s="20"/>
      <c r="G5063" s="19"/>
      <c r="H5063" s="19"/>
      <c r="I5063" s="19"/>
      <c r="J5063" s="21"/>
      <c r="K5063" s="19"/>
    </row>
    <row r="5064" spans="3:11" x14ac:dyDescent="0.2">
      <c r="C5064" s="19"/>
      <c r="D5064" s="19"/>
      <c r="E5064" s="19"/>
      <c r="F5064" s="20"/>
      <c r="G5064" s="19"/>
      <c r="H5064" s="19"/>
      <c r="I5064" s="19"/>
      <c r="J5064" s="21"/>
      <c r="K5064" s="19"/>
    </row>
    <row r="5065" spans="3:11" x14ac:dyDescent="0.2">
      <c r="C5065" s="19"/>
      <c r="D5065" s="19"/>
      <c r="E5065" s="19"/>
      <c r="F5065" s="20"/>
      <c r="G5065" s="19"/>
      <c r="H5065" s="19"/>
      <c r="I5065" s="19"/>
      <c r="J5065" s="21"/>
      <c r="K5065" s="19"/>
    </row>
    <row r="5066" spans="3:11" x14ac:dyDescent="0.2">
      <c r="C5066" s="19"/>
      <c r="D5066" s="19"/>
      <c r="E5066" s="19"/>
      <c r="F5066" s="20"/>
      <c r="G5066" s="19"/>
      <c r="H5066" s="19"/>
      <c r="I5066" s="19"/>
      <c r="J5066" s="21"/>
      <c r="K5066" s="19"/>
    </row>
    <row r="5067" spans="3:11" x14ac:dyDescent="0.2">
      <c r="C5067" s="19"/>
      <c r="D5067" s="19"/>
      <c r="E5067" s="19"/>
      <c r="F5067" s="20"/>
      <c r="G5067" s="19"/>
      <c r="H5067" s="19"/>
      <c r="I5067" s="19"/>
      <c r="J5067" s="21"/>
      <c r="K5067" s="19"/>
    </row>
    <row r="5068" spans="3:11" x14ac:dyDescent="0.2">
      <c r="C5068" s="19"/>
      <c r="D5068" s="19"/>
      <c r="E5068" s="19"/>
      <c r="F5068" s="20"/>
      <c r="G5068" s="19"/>
      <c r="H5068" s="19"/>
      <c r="I5068" s="19"/>
      <c r="J5068" s="21"/>
      <c r="K5068" s="19"/>
    </row>
    <row r="5069" spans="3:11" x14ac:dyDescent="0.2">
      <c r="C5069" s="19"/>
      <c r="D5069" s="19"/>
      <c r="E5069" s="19"/>
      <c r="F5069" s="20"/>
      <c r="G5069" s="19"/>
      <c r="H5069" s="19"/>
      <c r="I5069" s="19"/>
      <c r="J5069" s="21"/>
      <c r="K5069" s="19"/>
    </row>
    <row r="5070" spans="3:11" x14ac:dyDescent="0.2">
      <c r="C5070" s="19"/>
      <c r="D5070" s="19"/>
      <c r="E5070" s="19"/>
      <c r="F5070" s="20"/>
      <c r="G5070" s="19"/>
      <c r="H5070" s="19"/>
      <c r="I5070" s="19"/>
      <c r="J5070" s="21"/>
      <c r="K5070" s="19"/>
    </row>
    <row r="5071" spans="3:11" x14ac:dyDescent="0.2">
      <c r="C5071" s="19"/>
      <c r="D5071" s="19"/>
      <c r="E5071" s="19"/>
      <c r="F5071" s="20"/>
      <c r="G5071" s="19"/>
      <c r="H5071" s="19"/>
      <c r="I5071" s="19"/>
      <c r="J5071" s="21"/>
      <c r="K5071" s="19"/>
    </row>
    <row r="5072" spans="3:11" x14ac:dyDescent="0.2">
      <c r="C5072" s="19"/>
      <c r="D5072" s="19"/>
      <c r="E5072" s="19"/>
      <c r="F5072" s="20"/>
      <c r="G5072" s="19"/>
      <c r="H5072" s="19"/>
      <c r="I5072" s="19"/>
      <c r="J5072" s="19"/>
      <c r="K5072" s="19"/>
    </row>
    <row r="5073" spans="3:11" x14ac:dyDescent="0.2">
      <c r="C5073" s="19"/>
      <c r="D5073" s="19"/>
      <c r="E5073" s="19"/>
      <c r="F5073" s="20"/>
      <c r="G5073" s="19"/>
      <c r="H5073" s="19"/>
      <c r="I5073" s="19"/>
      <c r="J5073" s="19"/>
      <c r="K5073" s="19"/>
    </row>
    <row r="5074" spans="3:11" x14ac:dyDescent="0.2">
      <c r="C5074" s="19"/>
      <c r="D5074" s="19"/>
      <c r="E5074" s="19"/>
      <c r="F5074" s="20"/>
      <c r="G5074" s="19"/>
      <c r="H5074" s="19"/>
      <c r="I5074" s="19"/>
      <c r="J5074" s="21"/>
      <c r="K5074" s="19"/>
    </row>
    <row r="5075" spans="3:11" x14ac:dyDescent="0.2">
      <c r="C5075" s="19"/>
      <c r="D5075" s="19"/>
      <c r="E5075" s="19"/>
      <c r="F5075" s="20"/>
      <c r="G5075" s="19"/>
      <c r="H5075" s="19"/>
      <c r="I5075" s="19"/>
      <c r="J5075" s="21"/>
      <c r="K5075" s="19"/>
    </row>
    <row r="5076" spans="3:11" x14ac:dyDescent="0.2">
      <c r="C5076" s="19"/>
      <c r="D5076" s="19"/>
      <c r="E5076" s="19"/>
      <c r="F5076" s="20"/>
      <c r="G5076" s="19"/>
      <c r="H5076" s="19"/>
      <c r="I5076" s="19"/>
      <c r="J5076" s="21"/>
      <c r="K5076" s="19"/>
    </row>
    <row r="5077" spans="3:11" x14ac:dyDescent="0.2">
      <c r="C5077" s="19"/>
      <c r="D5077" s="19"/>
      <c r="E5077" s="19"/>
      <c r="F5077" s="20"/>
      <c r="G5077" s="19"/>
      <c r="H5077" s="19"/>
      <c r="I5077" s="19"/>
      <c r="J5077" s="21"/>
      <c r="K5077" s="19"/>
    </row>
    <row r="5078" spans="3:11" x14ac:dyDescent="0.2">
      <c r="C5078" s="19"/>
      <c r="D5078" s="19"/>
      <c r="E5078" s="19"/>
      <c r="F5078" s="20"/>
      <c r="G5078" s="19"/>
      <c r="H5078" s="19"/>
      <c r="I5078" s="19"/>
      <c r="J5078" s="21"/>
      <c r="K5078" s="19"/>
    </row>
    <row r="5079" spans="3:11" x14ac:dyDescent="0.2">
      <c r="C5079" s="19"/>
      <c r="D5079" s="19"/>
      <c r="E5079" s="19"/>
      <c r="F5079" s="20"/>
      <c r="G5079" s="19"/>
      <c r="H5079" s="19"/>
      <c r="I5079" s="19"/>
      <c r="J5079" s="21"/>
      <c r="K5079" s="19"/>
    </row>
    <row r="5080" spans="3:11" x14ac:dyDescent="0.2">
      <c r="C5080" s="19"/>
      <c r="D5080" s="19"/>
      <c r="E5080" s="19"/>
      <c r="F5080" s="20"/>
      <c r="G5080" s="19"/>
      <c r="H5080" s="19"/>
      <c r="I5080" s="19"/>
      <c r="J5080" s="21"/>
      <c r="K5080" s="19"/>
    </row>
    <row r="5081" spans="3:11" x14ac:dyDescent="0.2">
      <c r="C5081" s="19"/>
      <c r="D5081" s="19"/>
      <c r="E5081" s="19"/>
      <c r="F5081" s="20"/>
      <c r="G5081" s="19"/>
      <c r="H5081" s="19"/>
      <c r="I5081" s="19"/>
      <c r="J5081" s="21"/>
      <c r="K5081" s="19"/>
    </row>
    <row r="5082" spans="3:11" x14ac:dyDescent="0.2">
      <c r="C5082" s="19"/>
      <c r="D5082" s="19"/>
      <c r="E5082" s="19"/>
      <c r="F5082" s="20"/>
      <c r="G5082" s="19"/>
      <c r="H5082" s="19"/>
      <c r="I5082" s="19"/>
      <c r="J5082" s="21"/>
      <c r="K5082" s="19"/>
    </row>
    <row r="5083" spans="3:11" x14ac:dyDescent="0.2">
      <c r="C5083" s="19"/>
      <c r="D5083" s="19"/>
      <c r="E5083" s="19"/>
      <c r="F5083" s="20"/>
      <c r="G5083" s="19"/>
      <c r="H5083" s="19"/>
      <c r="I5083" s="19"/>
      <c r="J5083" s="21"/>
      <c r="K5083" s="19"/>
    </row>
    <row r="5084" spans="3:11" x14ac:dyDescent="0.2">
      <c r="C5084" s="19"/>
      <c r="D5084" s="19"/>
      <c r="E5084" s="19"/>
      <c r="F5084" s="20"/>
      <c r="G5084" s="19"/>
      <c r="H5084" s="19"/>
      <c r="I5084" s="19"/>
      <c r="J5084" s="21"/>
      <c r="K5084" s="19"/>
    </row>
    <row r="5085" spans="3:11" x14ac:dyDescent="0.2">
      <c r="C5085" s="19"/>
      <c r="D5085" s="19"/>
      <c r="E5085" s="19"/>
      <c r="F5085" s="20"/>
      <c r="G5085" s="19"/>
      <c r="H5085" s="19"/>
      <c r="I5085" s="19"/>
      <c r="J5085" s="21"/>
      <c r="K5085" s="19"/>
    </row>
    <row r="5086" spans="3:11" x14ac:dyDescent="0.2">
      <c r="C5086" s="19"/>
      <c r="D5086" s="19"/>
      <c r="E5086" s="19"/>
      <c r="F5086" s="20"/>
      <c r="G5086" s="19"/>
      <c r="H5086" s="19"/>
      <c r="I5086" s="19"/>
      <c r="J5086" s="21"/>
      <c r="K5086" s="19"/>
    </row>
    <row r="5087" spans="3:11" x14ac:dyDescent="0.2">
      <c r="C5087" s="19"/>
      <c r="D5087" s="19"/>
      <c r="E5087" s="19"/>
      <c r="F5087" s="20"/>
      <c r="G5087" s="19"/>
      <c r="H5087" s="19"/>
      <c r="I5087" s="19"/>
      <c r="J5087" s="21"/>
      <c r="K5087" s="19"/>
    </row>
    <row r="5088" spans="3:11" x14ac:dyDescent="0.2">
      <c r="C5088" s="19"/>
      <c r="D5088" s="19"/>
      <c r="E5088" s="19"/>
      <c r="F5088" s="20"/>
      <c r="G5088" s="19"/>
      <c r="H5088" s="19"/>
      <c r="I5088" s="19"/>
      <c r="J5088" s="19"/>
      <c r="K5088" s="19"/>
    </row>
    <row r="5089" spans="3:11" x14ac:dyDescent="0.2">
      <c r="C5089" s="19"/>
      <c r="D5089" s="19"/>
      <c r="E5089" s="19"/>
      <c r="F5089" s="20"/>
      <c r="G5089" s="19"/>
      <c r="H5089" s="19"/>
      <c r="I5089" s="19"/>
      <c r="J5089" s="19"/>
      <c r="K5089" s="19"/>
    </row>
    <row r="5090" spans="3:11" x14ac:dyDescent="0.2">
      <c r="C5090" s="19"/>
      <c r="D5090" s="19"/>
      <c r="E5090" s="19"/>
      <c r="F5090" s="20"/>
      <c r="G5090" s="19"/>
      <c r="H5090" s="19"/>
      <c r="I5090" s="19"/>
      <c r="J5090" s="19"/>
      <c r="K5090" s="19"/>
    </row>
    <row r="5091" spans="3:11" x14ac:dyDescent="0.2">
      <c r="C5091" s="19"/>
      <c r="D5091" s="19"/>
      <c r="E5091" s="19"/>
      <c r="F5091" s="20"/>
      <c r="G5091" s="19"/>
      <c r="H5091" s="19"/>
      <c r="I5091" s="19"/>
      <c r="J5091" s="19"/>
      <c r="K5091" s="19"/>
    </row>
    <row r="5092" spans="3:11" x14ac:dyDescent="0.2">
      <c r="C5092" s="19"/>
      <c r="D5092" s="19"/>
      <c r="E5092" s="19"/>
      <c r="F5092" s="20"/>
      <c r="G5092" s="19"/>
      <c r="H5092" s="19"/>
      <c r="I5092" s="19"/>
      <c r="J5092" s="19"/>
      <c r="K5092" s="19"/>
    </row>
    <row r="5093" spans="3:11" x14ac:dyDescent="0.2">
      <c r="C5093" s="19"/>
      <c r="D5093" s="19"/>
      <c r="E5093" s="19"/>
      <c r="F5093" s="20"/>
      <c r="G5093" s="19"/>
      <c r="H5093" s="19"/>
      <c r="I5093" s="19"/>
      <c r="J5093" s="19"/>
      <c r="K5093" s="19"/>
    </row>
    <row r="5094" spans="3:11" x14ac:dyDescent="0.2">
      <c r="C5094" s="19"/>
      <c r="D5094" s="19"/>
      <c r="E5094" s="19"/>
      <c r="F5094" s="20"/>
      <c r="G5094" s="19"/>
      <c r="H5094" s="19"/>
      <c r="I5094" s="19"/>
      <c r="J5094" s="19"/>
      <c r="K5094" s="19"/>
    </row>
    <row r="5095" spans="3:11" x14ac:dyDescent="0.2">
      <c r="C5095" s="19"/>
      <c r="D5095" s="19"/>
      <c r="E5095" s="19"/>
      <c r="F5095" s="20"/>
      <c r="G5095" s="19"/>
      <c r="H5095" s="19"/>
      <c r="I5095" s="19"/>
      <c r="J5095" s="19"/>
      <c r="K5095" s="19"/>
    </row>
    <row r="5096" spans="3:11" x14ac:dyDescent="0.2">
      <c r="C5096" s="19"/>
      <c r="D5096" s="19"/>
      <c r="E5096" s="19"/>
      <c r="F5096" s="20"/>
      <c r="G5096" s="19"/>
      <c r="H5096" s="19"/>
      <c r="I5096" s="19"/>
      <c r="J5096" s="19"/>
      <c r="K5096" s="19"/>
    </row>
    <row r="5097" spans="3:11" x14ac:dyDescent="0.2">
      <c r="C5097" s="19"/>
      <c r="D5097" s="19"/>
      <c r="E5097" s="19"/>
      <c r="F5097" s="20"/>
      <c r="G5097" s="19"/>
      <c r="H5097" s="19"/>
      <c r="I5097" s="19"/>
      <c r="J5097" s="19"/>
      <c r="K5097" s="19"/>
    </row>
    <row r="5098" spans="3:11" x14ac:dyDescent="0.2">
      <c r="C5098" s="19"/>
      <c r="D5098" s="19"/>
      <c r="E5098" s="19"/>
      <c r="F5098" s="20"/>
      <c r="G5098" s="19"/>
      <c r="H5098" s="19"/>
      <c r="I5098" s="19"/>
      <c r="J5098" s="21"/>
      <c r="K5098" s="19"/>
    </row>
    <row r="5099" spans="3:11" x14ac:dyDescent="0.2">
      <c r="C5099" s="19"/>
      <c r="D5099" s="19"/>
      <c r="E5099" s="19"/>
      <c r="F5099" s="20"/>
      <c r="G5099" s="19"/>
      <c r="H5099" s="19"/>
      <c r="I5099" s="19"/>
      <c r="J5099" s="21"/>
      <c r="K5099" s="19"/>
    </row>
    <row r="5100" spans="3:11" x14ac:dyDescent="0.2">
      <c r="C5100" s="19"/>
      <c r="D5100" s="19"/>
      <c r="E5100" s="19"/>
      <c r="F5100" s="20"/>
      <c r="G5100" s="19"/>
      <c r="H5100" s="19"/>
      <c r="I5100" s="19"/>
      <c r="J5100" s="21"/>
      <c r="K5100" s="19"/>
    </row>
    <row r="5101" spans="3:11" x14ac:dyDescent="0.2">
      <c r="C5101" s="19"/>
      <c r="D5101" s="19"/>
      <c r="E5101" s="19"/>
      <c r="F5101" s="20"/>
      <c r="G5101" s="19"/>
      <c r="H5101" s="19"/>
      <c r="I5101" s="19"/>
      <c r="J5101" s="21"/>
      <c r="K5101" s="19"/>
    </row>
    <row r="5102" spans="3:11" x14ac:dyDescent="0.2">
      <c r="C5102" s="19"/>
      <c r="D5102" s="19"/>
      <c r="E5102" s="19"/>
      <c r="F5102" s="20"/>
      <c r="G5102" s="19"/>
      <c r="H5102" s="19"/>
      <c r="I5102" s="19"/>
      <c r="J5102" s="21"/>
      <c r="K5102" s="19"/>
    </row>
    <row r="5103" spans="3:11" x14ac:dyDescent="0.2">
      <c r="C5103" s="19"/>
      <c r="D5103" s="19"/>
      <c r="E5103" s="19"/>
      <c r="F5103" s="20"/>
      <c r="G5103" s="19"/>
      <c r="H5103" s="19"/>
      <c r="I5103" s="19"/>
      <c r="J5103" s="21"/>
      <c r="K5103" s="19"/>
    </row>
    <row r="5104" spans="3:11" x14ac:dyDescent="0.2">
      <c r="C5104" s="19"/>
      <c r="D5104" s="19"/>
      <c r="E5104" s="19"/>
      <c r="F5104" s="20"/>
      <c r="G5104" s="19"/>
      <c r="H5104" s="19"/>
      <c r="I5104" s="19"/>
      <c r="J5104" s="21"/>
      <c r="K5104" s="19"/>
    </row>
    <row r="5105" spans="3:11" x14ac:dyDescent="0.2">
      <c r="C5105" s="19"/>
      <c r="D5105" s="19"/>
      <c r="E5105" s="19"/>
      <c r="F5105" s="20"/>
      <c r="G5105" s="19"/>
      <c r="H5105" s="19"/>
      <c r="I5105" s="19"/>
      <c r="J5105" s="21"/>
      <c r="K5105" s="19"/>
    </row>
    <row r="5106" spans="3:11" x14ac:dyDescent="0.2">
      <c r="C5106" s="19"/>
      <c r="D5106" s="19"/>
      <c r="E5106" s="19"/>
      <c r="F5106" s="20"/>
      <c r="G5106" s="19"/>
      <c r="H5106" s="19"/>
      <c r="I5106" s="19"/>
      <c r="J5106" s="21"/>
      <c r="K5106" s="19"/>
    </row>
    <row r="5107" spans="3:11" x14ac:dyDescent="0.2">
      <c r="C5107" s="19"/>
      <c r="D5107" s="19"/>
      <c r="E5107" s="19"/>
      <c r="F5107" s="20"/>
      <c r="G5107" s="19"/>
      <c r="H5107" s="19"/>
      <c r="I5107" s="19"/>
      <c r="J5107" s="21"/>
      <c r="K5107" s="19"/>
    </row>
    <row r="5108" spans="3:11" x14ac:dyDescent="0.2">
      <c r="C5108" s="19"/>
      <c r="D5108" s="19"/>
      <c r="E5108" s="19"/>
      <c r="F5108" s="20"/>
      <c r="G5108" s="19"/>
      <c r="H5108" s="19"/>
      <c r="I5108" s="19"/>
      <c r="J5108" s="21"/>
      <c r="K5108" s="19"/>
    </row>
    <row r="5109" spans="3:11" x14ac:dyDescent="0.2">
      <c r="C5109" s="19"/>
      <c r="D5109" s="19"/>
      <c r="E5109" s="19"/>
      <c r="F5109" s="20"/>
      <c r="G5109" s="19"/>
      <c r="H5109" s="19"/>
      <c r="I5109" s="19"/>
      <c r="J5109" s="21"/>
      <c r="K5109" s="19"/>
    </row>
    <row r="5110" spans="3:11" x14ac:dyDescent="0.2">
      <c r="C5110" s="19"/>
      <c r="D5110" s="19"/>
      <c r="E5110" s="19"/>
      <c r="F5110" s="20"/>
      <c r="G5110" s="19"/>
      <c r="H5110" s="19"/>
      <c r="I5110" s="19"/>
      <c r="J5110" s="21"/>
      <c r="K5110" s="19"/>
    </row>
    <row r="5111" spans="3:11" x14ac:dyDescent="0.2">
      <c r="C5111" s="19"/>
      <c r="D5111" s="19"/>
      <c r="E5111" s="19"/>
      <c r="F5111" s="20"/>
      <c r="G5111" s="19"/>
      <c r="H5111" s="19"/>
      <c r="I5111" s="19"/>
      <c r="J5111" s="19"/>
      <c r="K5111" s="19"/>
    </row>
    <row r="5112" spans="3:11" x14ac:dyDescent="0.2">
      <c r="C5112" s="19"/>
      <c r="D5112" s="19"/>
      <c r="E5112" s="19"/>
      <c r="F5112" s="20"/>
      <c r="G5112" s="19"/>
      <c r="H5112" s="19"/>
      <c r="I5112" s="19"/>
      <c r="J5112" s="19"/>
      <c r="K5112" s="19"/>
    </row>
    <row r="5113" spans="3:11" x14ac:dyDescent="0.2">
      <c r="C5113" s="19"/>
      <c r="D5113" s="19"/>
      <c r="E5113" s="19"/>
      <c r="F5113" s="20"/>
      <c r="G5113" s="19"/>
      <c r="H5113" s="19"/>
      <c r="I5113" s="19"/>
      <c r="J5113" s="19"/>
      <c r="K5113" s="19"/>
    </row>
    <row r="5114" spans="3:11" x14ac:dyDescent="0.2">
      <c r="C5114" s="19"/>
      <c r="D5114" s="19"/>
      <c r="E5114" s="19"/>
      <c r="F5114" s="20"/>
      <c r="G5114" s="19"/>
      <c r="H5114" s="19"/>
      <c r="I5114" s="19"/>
      <c r="J5114" s="19"/>
      <c r="K5114" s="19"/>
    </row>
    <row r="5115" spans="3:11" x14ac:dyDescent="0.2">
      <c r="C5115" s="19"/>
      <c r="D5115" s="19"/>
      <c r="E5115" s="19"/>
      <c r="F5115" s="20"/>
      <c r="G5115" s="19"/>
      <c r="H5115" s="19"/>
      <c r="I5115" s="19"/>
      <c r="J5115" s="21"/>
      <c r="K5115" s="19"/>
    </row>
    <row r="5116" spans="3:11" x14ac:dyDescent="0.2">
      <c r="C5116" s="19"/>
      <c r="D5116" s="19"/>
      <c r="E5116" s="19"/>
      <c r="F5116" s="20"/>
      <c r="G5116" s="19"/>
      <c r="H5116" s="19"/>
      <c r="I5116" s="19"/>
      <c r="J5116" s="19"/>
      <c r="K5116" s="19"/>
    </row>
    <row r="5117" spans="3:11" x14ac:dyDescent="0.2">
      <c r="C5117" s="19"/>
      <c r="D5117" s="19"/>
      <c r="E5117" s="19"/>
      <c r="F5117" s="20"/>
      <c r="G5117" s="19"/>
      <c r="H5117" s="19"/>
      <c r="I5117" s="19"/>
      <c r="J5117" s="19"/>
      <c r="K5117" s="19"/>
    </row>
    <row r="5118" spans="3:11" x14ac:dyDescent="0.2">
      <c r="C5118" s="19"/>
      <c r="D5118" s="19"/>
      <c r="E5118" s="19"/>
      <c r="F5118" s="20"/>
      <c r="G5118" s="19"/>
      <c r="H5118" s="19"/>
      <c r="I5118" s="19"/>
      <c r="J5118" s="21"/>
      <c r="K5118" s="19"/>
    </row>
    <row r="5119" spans="3:11" x14ac:dyDescent="0.2">
      <c r="C5119" s="19"/>
      <c r="D5119" s="19"/>
      <c r="E5119" s="19"/>
      <c r="F5119" s="20"/>
      <c r="G5119" s="19"/>
      <c r="H5119" s="19"/>
      <c r="I5119" s="19"/>
      <c r="J5119" s="19"/>
      <c r="K5119" s="19"/>
    </row>
    <row r="5120" spans="3:11" x14ac:dyDescent="0.2">
      <c r="C5120" s="19"/>
      <c r="D5120" s="19"/>
      <c r="E5120" s="19"/>
      <c r="F5120" s="20"/>
      <c r="G5120" s="19"/>
      <c r="H5120" s="19"/>
      <c r="I5120" s="19"/>
      <c r="J5120" s="21"/>
      <c r="K5120" s="19"/>
    </row>
    <row r="5121" spans="3:11" x14ac:dyDescent="0.2">
      <c r="C5121" s="19"/>
      <c r="D5121" s="19"/>
      <c r="E5121" s="19"/>
      <c r="F5121" s="20"/>
      <c r="G5121" s="19"/>
      <c r="H5121" s="19"/>
      <c r="I5121" s="19"/>
      <c r="J5121" s="19"/>
      <c r="K5121" s="19"/>
    </row>
    <row r="5122" spans="3:11" x14ac:dyDescent="0.2">
      <c r="C5122" s="19"/>
      <c r="D5122" s="19"/>
      <c r="E5122" s="19"/>
      <c r="F5122" s="20"/>
      <c r="G5122" s="19"/>
      <c r="H5122" s="19"/>
      <c r="I5122" s="19"/>
      <c r="J5122" s="19"/>
      <c r="K5122" s="19"/>
    </row>
    <row r="5123" spans="3:11" x14ac:dyDescent="0.2">
      <c r="C5123" s="19"/>
      <c r="D5123" s="19"/>
      <c r="E5123" s="19"/>
      <c r="F5123" s="20"/>
      <c r="G5123" s="19"/>
      <c r="H5123" s="19"/>
      <c r="I5123" s="19"/>
      <c r="J5123" s="19"/>
      <c r="K5123" s="19"/>
    </row>
    <row r="5124" spans="3:11" x14ac:dyDescent="0.2">
      <c r="C5124" s="19"/>
      <c r="D5124" s="19"/>
      <c r="E5124" s="19"/>
      <c r="F5124" s="20"/>
      <c r="G5124" s="19"/>
      <c r="H5124" s="19"/>
      <c r="I5124" s="19"/>
      <c r="J5124" s="19"/>
      <c r="K5124" s="19"/>
    </row>
    <row r="5125" spans="3:11" x14ac:dyDescent="0.2">
      <c r="C5125" s="19"/>
      <c r="D5125" s="19"/>
      <c r="E5125" s="19"/>
      <c r="F5125" s="20"/>
      <c r="G5125" s="19"/>
      <c r="H5125" s="19"/>
      <c r="I5125" s="19"/>
      <c r="J5125" s="19"/>
      <c r="K5125" s="19"/>
    </row>
    <row r="5126" spans="3:11" x14ac:dyDescent="0.2">
      <c r="C5126" s="19"/>
      <c r="D5126" s="19"/>
      <c r="E5126" s="19"/>
      <c r="F5126" s="20"/>
      <c r="G5126" s="19"/>
      <c r="H5126" s="19"/>
      <c r="I5126" s="19"/>
      <c r="J5126" s="21"/>
      <c r="K5126" s="19"/>
    </row>
    <row r="5127" spans="3:11" x14ac:dyDescent="0.2">
      <c r="C5127" s="19"/>
      <c r="D5127" s="19"/>
      <c r="E5127" s="19"/>
      <c r="F5127" s="20"/>
      <c r="G5127" s="19"/>
      <c r="H5127" s="19"/>
      <c r="I5127" s="19"/>
      <c r="J5127" s="19"/>
      <c r="K5127" s="19"/>
    </row>
    <row r="5128" spans="3:11" x14ac:dyDescent="0.2">
      <c r="C5128" s="19"/>
      <c r="D5128" s="19"/>
      <c r="E5128" s="19"/>
      <c r="F5128" s="20"/>
      <c r="G5128" s="19"/>
      <c r="H5128" s="19"/>
      <c r="I5128" s="19"/>
      <c r="J5128" s="21"/>
      <c r="K5128" s="19"/>
    </row>
    <row r="5129" spans="3:11" x14ac:dyDescent="0.2">
      <c r="C5129" s="19"/>
      <c r="D5129" s="19"/>
      <c r="E5129" s="19"/>
      <c r="F5129" s="20"/>
      <c r="G5129" s="19"/>
      <c r="H5129" s="19"/>
      <c r="I5129" s="19"/>
      <c r="J5129" s="19"/>
      <c r="K5129" s="19"/>
    </row>
    <row r="5130" spans="3:11" x14ac:dyDescent="0.2">
      <c r="C5130" s="19"/>
      <c r="D5130" s="19"/>
      <c r="E5130" s="19"/>
      <c r="F5130" s="20"/>
      <c r="G5130" s="19"/>
      <c r="H5130" s="19"/>
      <c r="I5130" s="19"/>
      <c r="J5130" s="21"/>
      <c r="K5130" s="19"/>
    </row>
    <row r="5131" spans="3:11" x14ac:dyDescent="0.2">
      <c r="C5131" s="19"/>
      <c r="D5131" s="19"/>
      <c r="E5131" s="19"/>
      <c r="F5131" s="20"/>
      <c r="G5131" s="19"/>
      <c r="H5131" s="19"/>
      <c r="I5131" s="19"/>
      <c r="J5131" s="21"/>
      <c r="K5131" s="19"/>
    </row>
    <row r="5132" spans="3:11" x14ac:dyDescent="0.2">
      <c r="C5132" s="19"/>
      <c r="D5132" s="19"/>
      <c r="E5132" s="19"/>
      <c r="F5132" s="20"/>
      <c r="G5132" s="19"/>
      <c r="H5132" s="19"/>
      <c r="I5132" s="19"/>
      <c r="J5132" s="21"/>
      <c r="K5132" s="19"/>
    </row>
    <row r="5133" spans="3:11" x14ac:dyDescent="0.2">
      <c r="C5133" s="19"/>
      <c r="D5133" s="19"/>
      <c r="E5133" s="19"/>
      <c r="F5133" s="20"/>
      <c r="G5133" s="19"/>
      <c r="H5133" s="19"/>
      <c r="I5133" s="19"/>
      <c r="J5133" s="21"/>
      <c r="K5133" s="19"/>
    </row>
    <row r="5134" spans="3:11" x14ac:dyDescent="0.2">
      <c r="C5134" s="19"/>
      <c r="D5134" s="19"/>
      <c r="E5134" s="19"/>
      <c r="F5134" s="20"/>
      <c r="G5134" s="19"/>
      <c r="H5134" s="19"/>
      <c r="I5134" s="19"/>
      <c r="J5134" s="21"/>
      <c r="K5134" s="19"/>
    </row>
    <row r="5135" spans="3:11" x14ac:dyDescent="0.2">
      <c r="C5135" s="19"/>
      <c r="D5135" s="19"/>
      <c r="E5135" s="19"/>
      <c r="F5135" s="20"/>
      <c r="G5135" s="19"/>
      <c r="H5135" s="19"/>
      <c r="I5135" s="19"/>
      <c r="J5135" s="21"/>
      <c r="K5135" s="19"/>
    </row>
    <row r="5136" spans="3:11" x14ac:dyDescent="0.2">
      <c r="C5136" s="19"/>
      <c r="D5136" s="19"/>
      <c r="E5136" s="19"/>
      <c r="F5136" s="20"/>
      <c r="G5136" s="19"/>
      <c r="H5136" s="19"/>
      <c r="I5136" s="19"/>
      <c r="J5136" s="21"/>
      <c r="K5136" s="19"/>
    </row>
    <row r="5137" spans="3:11" x14ac:dyDescent="0.2">
      <c r="C5137" s="19"/>
      <c r="D5137" s="19"/>
      <c r="E5137" s="19"/>
      <c r="F5137" s="20"/>
      <c r="G5137" s="19"/>
      <c r="H5137" s="19"/>
      <c r="I5137" s="19"/>
      <c r="J5137" s="21"/>
      <c r="K5137" s="19"/>
    </row>
    <row r="5138" spans="3:11" x14ac:dyDescent="0.2">
      <c r="C5138" s="19"/>
      <c r="D5138" s="19"/>
      <c r="E5138" s="19"/>
      <c r="F5138" s="20"/>
      <c r="G5138" s="19"/>
      <c r="H5138" s="19"/>
      <c r="I5138" s="19"/>
      <c r="J5138" s="21"/>
      <c r="K5138" s="19"/>
    </row>
    <row r="5139" spans="3:11" x14ac:dyDescent="0.2">
      <c r="C5139" s="19"/>
      <c r="D5139" s="19"/>
      <c r="E5139" s="19"/>
      <c r="F5139" s="20"/>
      <c r="G5139" s="19"/>
      <c r="H5139" s="19"/>
      <c r="I5139" s="19"/>
      <c r="J5139" s="21"/>
      <c r="K5139" s="19"/>
    </row>
    <row r="5140" spans="3:11" x14ac:dyDescent="0.2">
      <c r="C5140" s="19"/>
      <c r="D5140" s="19"/>
      <c r="E5140" s="19"/>
      <c r="F5140" s="20"/>
      <c r="G5140" s="19"/>
      <c r="H5140" s="19"/>
      <c r="I5140" s="19"/>
      <c r="J5140" s="21"/>
      <c r="K5140" s="19"/>
    </row>
    <row r="5141" spans="3:11" x14ac:dyDescent="0.2">
      <c r="C5141" s="19"/>
      <c r="D5141" s="19"/>
      <c r="E5141" s="19"/>
      <c r="F5141" s="20"/>
      <c r="G5141" s="19"/>
      <c r="H5141" s="19"/>
      <c r="I5141" s="19"/>
      <c r="J5141" s="21"/>
      <c r="K5141" s="19"/>
    </row>
    <row r="5142" spans="3:11" x14ac:dyDescent="0.2">
      <c r="C5142" s="19"/>
      <c r="D5142" s="19"/>
      <c r="E5142" s="19"/>
      <c r="F5142" s="20"/>
      <c r="G5142" s="19"/>
      <c r="H5142" s="19"/>
      <c r="I5142" s="19"/>
      <c r="J5142" s="21"/>
      <c r="K5142" s="19"/>
    </row>
    <row r="5143" spans="3:11" x14ac:dyDescent="0.2">
      <c r="C5143" s="19"/>
      <c r="D5143" s="19"/>
      <c r="E5143" s="19"/>
      <c r="F5143" s="20"/>
      <c r="G5143" s="19"/>
      <c r="H5143" s="19"/>
      <c r="I5143" s="19"/>
      <c r="J5143" s="21"/>
      <c r="K5143" s="19"/>
    </row>
    <row r="5144" spans="3:11" x14ac:dyDescent="0.2">
      <c r="C5144" s="19"/>
      <c r="D5144" s="19"/>
      <c r="E5144" s="19"/>
      <c r="F5144" s="20"/>
      <c r="G5144" s="19"/>
      <c r="H5144" s="19"/>
      <c r="I5144" s="19"/>
      <c r="J5144" s="21"/>
      <c r="K5144" s="19"/>
    </row>
    <row r="5145" spans="3:11" x14ac:dyDescent="0.2">
      <c r="C5145" s="19"/>
      <c r="D5145" s="19"/>
      <c r="E5145" s="19"/>
      <c r="F5145" s="20"/>
      <c r="G5145" s="19"/>
      <c r="H5145" s="19"/>
      <c r="I5145" s="19"/>
      <c r="J5145" s="21"/>
      <c r="K5145" s="19"/>
    </row>
    <row r="5146" spans="3:11" x14ac:dyDescent="0.2">
      <c r="C5146" s="19"/>
      <c r="D5146" s="19"/>
      <c r="E5146" s="19"/>
      <c r="F5146" s="20"/>
      <c r="G5146" s="19"/>
      <c r="H5146" s="19"/>
      <c r="I5146" s="19"/>
      <c r="J5146" s="21"/>
      <c r="K5146" s="19"/>
    </row>
    <row r="5147" spans="3:11" x14ac:dyDescent="0.2">
      <c r="C5147" s="19"/>
      <c r="D5147" s="19"/>
      <c r="E5147" s="19"/>
      <c r="F5147" s="20"/>
      <c r="G5147" s="19"/>
      <c r="H5147" s="19"/>
      <c r="I5147" s="19"/>
      <c r="J5147" s="21"/>
      <c r="K5147" s="19"/>
    </row>
    <row r="5148" spans="3:11" x14ac:dyDescent="0.2">
      <c r="C5148" s="19"/>
      <c r="D5148" s="19"/>
      <c r="E5148" s="19"/>
      <c r="F5148" s="20"/>
      <c r="G5148" s="19"/>
      <c r="H5148" s="19"/>
      <c r="I5148" s="19"/>
      <c r="J5148" s="21"/>
      <c r="K5148" s="19"/>
    </row>
    <row r="5149" spans="3:11" x14ac:dyDescent="0.2">
      <c r="C5149" s="19"/>
      <c r="D5149" s="19"/>
      <c r="E5149" s="19"/>
      <c r="F5149" s="20"/>
      <c r="G5149" s="19"/>
      <c r="H5149" s="19"/>
      <c r="I5149" s="19"/>
      <c r="J5149" s="21"/>
      <c r="K5149" s="19"/>
    </row>
    <row r="5150" spans="3:11" x14ac:dyDescent="0.2">
      <c r="C5150" s="19"/>
      <c r="D5150" s="19"/>
      <c r="E5150" s="19"/>
      <c r="F5150" s="20"/>
      <c r="G5150" s="19"/>
      <c r="H5150" s="19"/>
      <c r="I5150" s="19"/>
      <c r="J5150" s="21"/>
      <c r="K5150" s="19"/>
    </row>
    <row r="5151" spans="3:11" x14ac:dyDescent="0.2">
      <c r="C5151" s="19"/>
      <c r="D5151" s="19"/>
      <c r="E5151" s="19"/>
      <c r="F5151" s="20"/>
      <c r="G5151" s="19"/>
      <c r="H5151" s="19"/>
      <c r="I5151" s="19"/>
      <c r="J5151" s="19"/>
      <c r="K5151" s="19"/>
    </row>
    <row r="5152" spans="3:11" x14ac:dyDescent="0.2">
      <c r="C5152" s="19"/>
      <c r="D5152" s="19"/>
      <c r="E5152" s="19"/>
      <c r="F5152" s="20"/>
      <c r="G5152" s="19"/>
      <c r="H5152" s="19"/>
      <c r="I5152" s="19"/>
      <c r="J5152" s="21"/>
      <c r="K5152" s="19"/>
    </row>
    <row r="5153" spans="3:11" x14ac:dyDescent="0.2">
      <c r="C5153" s="19"/>
      <c r="D5153" s="19"/>
      <c r="E5153" s="19"/>
      <c r="F5153" s="20"/>
      <c r="G5153" s="19"/>
      <c r="H5153" s="19"/>
      <c r="I5153" s="19"/>
      <c r="J5153" s="21"/>
      <c r="K5153" s="19"/>
    </row>
    <row r="5154" spans="3:11" x14ac:dyDescent="0.2">
      <c r="C5154" s="19"/>
      <c r="D5154" s="19"/>
      <c r="E5154" s="19"/>
      <c r="F5154" s="20"/>
      <c r="G5154" s="19"/>
      <c r="H5154" s="19"/>
      <c r="I5154" s="19"/>
      <c r="J5154" s="19"/>
      <c r="K5154" s="19"/>
    </row>
    <row r="5155" spans="3:11" x14ac:dyDescent="0.2">
      <c r="C5155" s="19"/>
      <c r="D5155" s="19"/>
      <c r="E5155" s="19"/>
      <c r="F5155" s="20"/>
      <c r="G5155" s="19"/>
      <c r="H5155" s="19"/>
      <c r="I5155" s="19"/>
      <c r="J5155" s="19"/>
      <c r="K5155" s="19"/>
    </row>
    <row r="5156" spans="3:11" x14ac:dyDescent="0.2">
      <c r="C5156" s="19"/>
      <c r="D5156" s="19"/>
      <c r="E5156" s="19"/>
      <c r="F5156" s="20"/>
      <c r="G5156" s="19"/>
      <c r="H5156" s="19"/>
      <c r="I5156" s="19"/>
      <c r="J5156" s="19"/>
      <c r="K5156" s="19"/>
    </row>
    <row r="5157" spans="3:11" x14ac:dyDescent="0.2">
      <c r="C5157" s="19"/>
      <c r="D5157" s="19"/>
      <c r="E5157" s="19"/>
      <c r="F5157" s="20"/>
      <c r="G5157" s="19"/>
      <c r="H5157" s="19"/>
      <c r="I5157" s="19"/>
      <c r="J5157" s="21"/>
      <c r="K5157" s="19"/>
    </row>
    <row r="5158" spans="3:11" x14ac:dyDescent="0.2">
      <c r="C5158" s="19"/>
      <c r="D5158" s="19"/>
      <c r="E5158" s="19"/>
      <c r="F5158" s="20"/>
      <c r="G5158" s="19"/>
      <c r="H5158" s="19"/>
      <c r="I5158" s="19"/>
      <c r="J5158" s="21"/>
      <c r="K5158" s="19"/>
    </row>
    <row r="5159" spans="3:11" x14ac:dyDescent="0.2">
      <c r="C5159" s="19"/>
      <c r="D5159" s="19"/>
      <c r="E5159" s="19"/>
      <c r="F5159" s="20"/>
      <c r="G5159" s="19"/>
      <c r="H5159" s="19"/>
      <c r="I5159" s="19"/>
      <c r="J5159" s="21"/>
      <c r="K5159" s="19"/>
    </row>
    <row r="5160" spans="3:11" x14ac:dyDescent="0.2">
      <c r="C5160" s="19"/>
      <c r="D5160" s="19"/>
      <c r="E5160" s="19"/>
      <c r="F5160" s="20"/>
      <c r="G5160" s="19"/>
      <c r="H5160" s="19"/>
      <c r="I5160" s="19"/>
      <c r="J5160" s="21"/>
      <c r="K5160" s="19"/>
    </row>
    <row r="5161" spans="3:11" x14ac:dyDescent="0.2">
      <c r="C5161" s="19"/>
      <c r="D5161" s="19"/>
      <c r="E5161" s="19"/>
      <c r="F5161" s="20"/>
      <c r="G5161" s="19"/>
      <c r="H5161" s="19"/>
      <c r="I5161" s="19"/>
      <c r="J5161" s="21"/>
      <c r="K5161" s="19"/>
    </row>
    <row r="5162" spans="3:11" x14ac:dyDescent="0.2">
      <c r="C5162" s="19"/>
      <c r="D5162" s="19"/>
      <c r="E5162" s="19"/>
      <c r="F5162" s="20"/>
      <c r="G5162" s="19"/>
      <c r="H5162" s="19"/>
      <c r="I5162" s="19"/>
      <c r="J5162" s="19"/>
      <c r="K5162" s="19"/>
    </row>
    <row r="5163" spans="3:11" x14ac:dyDescent="0.2">
      <c r="C5163" s="19"/>
      <c r="D5163" s="19"/>
      <c r="E5163" s="19"/>
      <c r="F5163" s="20"/>
      <c r="G5163" s="19"/>
      <c r="H5163" s="19"/>
      <c r="I5163" s="19"/>
      <c r="J5163" s="21"/>
      <c r="K5163" s="19"/>
    </row>
    <row r="5164" spans="3:11" x14ac:dyDescent="0.2">
      <c r="C5164" s="19"/>
      <c r="D5164" s="19"/>
      <c r="E5164" s="19"/>
      <c r="F5164" s="20"/>
      <c r="G5164" s="19"/>
      <c r="H5164" s="19"/>
      <c r="I5164" s="19"/>
      <c r="J5164" s="21"/>
      <c r="K5164" s="19"/>
    </row>
    <row r="5165" spans="3:11" x14ac:dyDescent="0.2">
      <c r="C5165" s="19"/>
      <c r="D5165" s="19"/>
      <c r="E5165" s="19"/>
      <c r="F5165" s="20"/>
      <c r="G5165" s="19"/>
      <c r="H5165" s="19"/>
      <c r="I5165" s="19"/>
      <c r="J5165" s="21"/>
      <c r="K5165" s="19"/>
    </row>
    <row r="5166" spans="3:11" x14ac:dyDescent="0.2">
      <c r="C5166" s="19"/>
      <c r="D5166" s="19"/>
      <c r="E5166" s="19"/>
      <c r="F5166" s="20"/>
      <c r="G5166" s="19"/>
      <c r="H5166" s="19"/>
      <c r="I5166" s="19"/>
      <c r="J5166" s="21"/>
      <c r="K5166" s="19"/>
    </row>
    <row r="5167" spans="3:11" x14ac:dyDescent="0.2">
      <c r="C5167" s="19"/>
      <c r="D5167" s="19"/>
      <c r="E5167" s="19"/>
      <c r="F5167" s="20"/>
      <c r="G5167" s="19"/>
      <c r="H5167" s="19"/>
      <c r="I5167" s="19"/>
      <c r="J5167" s="21"/>
      <c r="K5167" s="19"/>
    </row>
    <row r="5168" spans="3:11" x14ac:dyDescent="0.2">
      <c r="C5168" s="19"/>
      <c r="D5168" s="19"/>
      <c r="E5168" s="19"/>
      <c r="F5168" s="20"/>
      <c r="G5168" s="19"/>
      <c r="H5168" s="19"/>
      <c r="I5168" s="19"/>
      <c r="J5168" s="21"/>
      <c r="K5168" s="19"/>
    </row>
    <row r="5169" spans="3:11" x14ac:dyDescent="0.2">
      <c r="C5169" s="19"/>
      <c r="D5169" s="19"/>
      <c r="E5169" s="19"/>
      <c r="F5169" s="20"/>
      <c r="G5169" s="19"/>
      <c r="H5169" s="19"/>
      <c r="I5169" s="19"/>
      <c r="J5169" s="21"/>
      <c r="K5169" s="19"/>
    </row>
    <row r="5170" spans="3:11" x14ac:dyDescent="0.2">
      <c r="C5170" s="19"/>
      <c r="D5170" s="19"/>
      <c r="E5170" s="19"/>
      <c r="F5170" s="20"/>
      <c r="G5170" s="19"/>
      <c r="H5170" s="19"/>
      <c r="I5170" s="19"/>
      <c r="J5170" s="21"/>
      <c r="K5170" s="19"/>
    </row>
    <row r="5171" spans="3:11" x14ac:dyDescent="0.2">
      <c r="C5171" s="19"/>
      <c r="D5171" s="19"/>
      <c r="E5171" s="19"/>
      <c r="F5171" s="20"/>
      <c r="G5171" s="19"/>
      <c r="H5171" s="19"/>
      <c r="I5171" s="19"/>
      <c r="J5171" s="21"/>
      <c r="K5171" s="19"/>
    </row>
    <row r="5172" spans="3:11" x14ac:dyDescent="0.2">
      <c r="C5172" s="19"/>
      <c r="D5172" s="19"/>
      <c r="E5172" s="19"/>
      <c r="F5172" s="20"/>
      <c r="G5172" s="19"/>
      <c r="H5172" s="19"/>
      <c r="I5172" s="19"/>
      <c r="J5172" s="21"/>
      <c r="K5172" s="19"/>
    </row>
    <row r="5173" spans="3:11" x14ac:dyDescent="0.2">
      <c r="C5173" s="19"/>
      <c r="D5173" s="19"/>
      <c r="E5173" s="19"/>
      <c r="F5173" s="20"/>
      <c r="G5173" s="19"/>
      <c r="H5173" s="19"/>
      <c r="I5173" s="19"/>
      <c r="J5173" s="21"/>
      <c r="K5173" s="19"/>
    </row>
    <row r="5174" spans="3:11" x14ac:dyDescent="0.2">
      <c r="C5174" s="19"/>
      <c r="D5174" s="19"/>
      <c r="E5174" s="19"/>
      <c r="F5174" s="20"/>
      <c r="G5174" s="19"/>
      <c r="H5174" s="19"/>
      <c r="I5174" s="19"/>
      <c r="J5174" s="21"/>
      <c r="K5174" s="19"/>
    </row>
    <row r="5175" spans="3:11" x14ac:dyDescent="0.2">
      <c r="C5175" s="19"/>
      <c r="D5175" s="19"/>
      <c r="E5175" s="19"/>
      <c r="F5175" s="20"/>
      <c r="G5175" s="19"/>
      <c r="H5175" s="19"/>
      <c r="I5175" s="19"/>
      <c r="J5175" s="21"/>
      <c r="K5175" s="19"/>
    </row>
    <row r="5176" spans="3:11" x14ac:dyDescent="0.2">
      <c r="C5176" s="19"/>
      <c r="D5176" s="19"/>
      <c r="E5176" s="19"/>
      <c r="F5176" s="20"/>
      <c r="G5176" s="19"/>
      <c r="H5176" s="19"/>
      <c r="I5176" s="19"/>
      <c r="J5176" s="21"/>
      <c r="K5176" s="19"/>
    </row>
    <row r="5177" spans="3:11" x14ac:dyDescent="0.2">
      <c r="C5177" s="19"/>
      <c r="D5177" s="19"/>
      <c r="E5177" s="19"/>
      <c r="F5177" s="20"/>
      <c r="G5177" s="19"/>
      <c r="H5177" s="19"/>
      <c r="I5177" s="19"/>
      <c r="J5177" s="21"/>
      <c r="K5177" s="19"/>
    </row>
    <row r="5178" spans="3:11" x14ac:dyDescent="0.2">
      <c r="C5178" s="19"/>
      <c r="D5178" s="19"/>
      <c r="E5178" s="19"/>
      <c r="F5178" s="20"/>
      <c r="G5178" s="19"/>
      <c r="H5178" s="19"/>
      <c r="I5178" s="19"/>
      <c r="J5178" s="21"/>
      <c r="K5178" s="19"/>
    </row>
    <row r="5179" spans="3:11" x14ac:dyDescent="0.2">
      <c r="C5179" s="19"/>
      <c r="D5179" s="19"/>
      <c r="E5179" s="19"/>
      <c r="F5179" s="20"/>
      <c r="G5179" s="19"/>
      <c r="H5179" s="19"/>
      <c r="I5179" s="19"/>
      <c r="J5179" s="21"/>
      <c r="K5179" s="19"/>
    </row>
    <row r="5180" spans="3:11" x14ac:dyDescent="0.2">
      <c r="C5180" s="19"/>
      <c r="D5180" s="19"/>
      <c r="E5180" s="19"/>
      <c r="F5180" s="20"/>
      <c r="G5180" s="19"/>
      <c r="H5180" s="19"/>
      <c r="I5180" s="19"/>
      <c r="J5180" s="21"/>
      <c r="K5180" s="19"/>
    </row>
    <row r="5181" spans="3:11" x14ac:dyDescent="0.2">
      <c r="C5181" s="19"/>
      <c r="D5181" s="19"/>
      <c r="E5181" s="19"/>
      <c r="F5181" s="20"/>
      <c r="G5181" s="19"/>
      <c r="H5181" s="19"/>
      <c r="I5181" s="19"/>
      <c r="J5181" s="21"/>
      <c r="K5181" s="19"/>
    </row>
    <row r="5182" spans="3:11" x14ac:dyDescent="0.2">
      <c r="C5182" s="19"/>
      <c r="D5182" s="19"/>
      <c r="E5182" s="19"/>
      <c r="F5182" s="20"/>
      <c r="G5182" s="19"/>
      <c r="H5182" s="19"/>
      <c r="I5182" s="19"/>
      <c r="J5182" s="21"/>
      <c r="K5182" s="19"/>
    </row>
    <row r="5183" spans="3:11" x14ac:dyDescent="0.2">
      <c r="C5183" s="19"/>
      <c r="D5183" s="19"/>
      <c r="E5183" s="19"/>
      <c r="F5183" s="20"/>
      <c r="G5183" s="19"/>
      <c r="H5183" s="19"/>
      <c r="I5183" s="19"/>
      <c r="J5183" s="21"/>
      <c r="K5183" s="19"/>
    </row>
    <row r="5184" spans="3:11" x14ac:dyDescent="0.2">
      <c r="C5184" s="19"/>
      <c r="D5184" s="19"/>
      <c r="E5184" s="19"/>
      <c r="F5184" s="20"/>
      <c r="G5184" s="19"/>
      <c r="H5184" s="19"/>
      <c r="I5184" s="19"/>
      <c r="J5184" s="21"/>
      <c r="K5184" s="19"/>
    </row>
    <row r="5185" spans="3:11" x14ac:dyDescent="0.2">
      <c r="C5185" s="19"/>
      <c r="D5185" s="19"/>
      <c r="E5185" s="19"/>
      <c r="F5185" s="20"/>
      <c r="G5185" s="19"/>
      <c r="H5185" s="19"/>
      <c r="I5185" s="19"/>
      <c r="J5185" s="21"/>
      <c r="K5185" s="19"/>
    </row>
    <row r="5186" spans="3:11" x14ac:dyDescent="0.2">
      <c r="C5186" s="19"/>
      <c r="D5186" s="19"/>
      <c r="E5186" s="19"/>
      <c r="F5186" s="20"/>
      <c r="G5186" s="19"/>
      <c r="H5186" s="19"/>
      <c r="I5186" s="19"/>
      <c r="J5186" s="21"/>
      <c r="K5186" s="19"/>
    </row>
    <row r="5187" spans="3:11" x14ac:dyDescent="0.2">
      <c r="C5187" s="19"/>
      <c r="D5187" s="19"/>
      <c r="E5187" s="19"/>
      <c r="F5187" s="20"/>
      <c r="G5187" s="19"/>
      <c r="H5187" s="19"/>
      <c r="I5187" s="19"/>
      <c r="J5187" s="21"/>
      <c r="K5187" s="19"/>
    </row>
    <row r="5188" spans="3:11" x14ac:dyDescent="0.2">
      <c r="C5188" s="19"/>
      <c r="D5188" s="19"/>
      <c r="E5188" s="19"/>
      <c r="F5188" s="20"/>
      <c r="G5188" s="19"/>
      <c r="H5188" s="19"/>
      <c r="I5188" s="19"/>
      <c r="J5188" s="19"/>
      <c r="K5188" s="19"/>
    </row>
    <row r="5189" spans="3:11" x14ac:dyDescent="0.2">
      <c r="C5189" s="19"/>
      <c r="D5189" s="19"/>
      <c r="E5189" s="19"/>
      <c r="F5189" s="20"/>
      <c r="G5189" s="19"/>
      <c r="H5189" s="19"/>
      <c r="I5189" s="19"/>
      <c r="J5189" s="19"/>
      <c r="K5189" s="19"/>
    </row>
    <row r="5190" spans="3:11" x14ac:dyDescent="0.2">
      <c r="C5190" s="19"/>
      <c r="D5190" s="19"/>
      <c r="E5190" s="19"/>
      <c r="F5190" s="20"/>
      <c r="G5190" s="19"/>
      <c r="H5190" s="19"/>
      <c r="I5190" s="19"/>
      <c r="J5190" s="21"/>
      <c r="K5190" s="19"/>
    </row>
    <row r="5191" spans="3:11" x14ac:dyDescent="0.2">
      <c r="C5191" s="19"/>
      <c r="D5191" s="19"/>
      <c r="E5191" s="19"/>
      <c r="F5191" s="20"/>
      <c r="G5191" s="19"/>
      <c r="H5191" s="19"/>
      <c r="I5191" s="19"/>
      <c r="J5191" s="21"/>
      <c r="K5191" s="19"/>
    </row>
    <row r="5192" spans="3:11" x14ac:dyDescent="0.2">
      <c r="C5192" s="19"/>
      <c r="D5192" s="19"/>
      <c r="E5192" s="19"/>
      <c r="F5192" s="20"/>
      <c r="G5192" s="19"/>
      <c r="H5192" s="19"/>
      <c r="I5192" s="19"/>
      <c r="J5192" s="21"/>
      <c r="K5192" s="19"/>
    </row>
    <row r="5193" spans="3:11" x14ac:dyDescent="0.2">
      <c r="C5193" s="19"/>
      <c r="D5193" s="19"/>
      <c r="E5193" s="19"/>
      <c r="F5193" s="20"/>
      <c r="G5193" s="19"/>
      <c r="H5193" s="19"/>
      <c r="I5193" s="19"/>
      <c r="J5193" s="21"/>
      <c r="K5193" s="19"/>
    </row>
    <row r="5194" spans="3:11" x14ac:dyDescent="0.2">
      <c r="C5194" s="19"/>
      <c r="D5194" s="19"/>
      <c r="E5194" s="19"/>
      <c r="F5194" s="20"/>
      <c r="G5194" s="19"/>
      <c r="H5194" s="19"/>
      <c r="I5194" s="19"/>
      <c r="J5194" s="21"/>
      <c r="K5194" s="19"/>
    </row>
    <row r="5195" spans="3:11" x14ac:dyDescent="0.2">
      <c r="C5195" s="19"/>
      <c r="D5195" s="19"/>
      <c r="E5195" s="19"/>
      <c r="F5195" s="20"/>
      <c r="G5195" s="19"/>
      <c r="H5195" s="19"/>
      <c r="I5195" s="19"/>
      <c r="J5195" s="21"/>
      <c r="K5195" s="19"/>
    </row>
    <row r="5196" spans="3:11" x14ac:dyDescent="0.2">
      <c r="C5196" s="19"/>
      <c r="D5196" s="19"/>
      <c r="E5196" s="19"/>
      <c r="F5196" s="20"/>
      <c r="G5196" s="19"/>
      <c r="H5196" s="19"/>
      <c r="I5196" s="19"/>
      <c r="J5196" s="21"/>
      <c r="K5196" s="19"/>
    </row>
    <row r="5197" spans="3:11" x14ac:dyDescent="0.2">
      <c r="C5197" s="19"/>
      <c r="D5197" s="19"/>
      <c r="E5197" s="19"/>
      <c r="F5197" s="20"/>
      <c r="G5197" s="19"/>
      <c r="H5197" s="19"/>
      <c r="I5197" s="19"/>
      <c r="J5197" s="21"/>
      <c r="K5197" s="19"/>
    </row>
    <row r="5198" spans="3:11" x14ac:dyDescent="0.2">
      <c r="C5198" s="19"/>
      <c r="D5198" s="19"/>
      <c r="E5198" s="19"/>
      <c r="F5198" s="20"/>
      <c r="G5198" s="19"/>
      <c r="H5198" s="19"/>
      <c r="I5198" s="19"/>
      <c r="J5198" s="21"/>
      <c r="K5198" s="19"/>
    </row>
    <row r="5199" spans="3:11" x14ac:dyDescent="0.2">
      <c r="C5199" s="19"/>
      <c r="D5199" s="19"/>
      <c r="E5199" s="19"/>
      <c r="F5199" s="20"/>
      <c r="G5199" s="19"/>
      <c r="H5199" s="19"/>
      <c r="I5199" s="19"/>
      <c r="J5199" s="21"/>
      <c r="K5199" s="19"/>
    </row>
    <row r="5200" spans="3:11" x14ac:dyDescent="0.2">
      <c r="C5200" s="19"/>
      <c r="D5200" s="19"/>
      <c r="E5200" s="19"/>
      <c r="F5200" s="20"/>
      <c r="G5200" s="19"/>
      <c r="H5200" s="19"/>
      <c r="I5200" s="19"/>
      <c r="J5200" s="21"/>
      <c r="K5200" s="19"/>
    </row>
    <row r="5201" spans="3:11" x14ac:dyDescent="0.2">
      <c r="C5201" s="19"/>
      <c r="D5201" s="19"/>
      <c r="E5201" s="19"/>
      <c r="F5201" s="20"/>
      <c r="G5201" s="19"/>
      <c r="H5201" s="19"/>
      <c r="I5201" s="19"/>
      <c r="J5201" s="21"/>
      <c r="K5201" s="19"/>
    </row>
    <row r="5202" spans="3:11" x14ac:dyDescent="0.2">
      <c r="C5202" s="19"/>
      <c r="D5202" s="19"/>
      <c r="E5202" s="19"/>
      <c r="F5202" s="20"/>
      <c r="G5202" s="19"/>
      <c r="H5202" s="19"/>
      <c r="I5202" s="19"/>
      <c r="J5202" s="21"/>
      <c r="K5202" s="19"/>
    </row>
    <row r="5203" spans="3:11" x14ac:dyDescent="0.2">
      <c r="C5203" s="19"/>
      <c r="D5203" s="19"/>
      <c r="E5203" s="19"/>
      <c r="F5203" s="20"/>
      <c r="G5203" s="19"/>
      <c r="H5203" s="19"/>
      <c r="I5203" s="19"/>
      <c r="J5203" s="21"/>
      <c r="K5203" s="19"/>
    </row>
    <row r="5204" spans="3:11" x14ac:dyDescent="0.2">
      <c r="C5204" s="19"/>
      <c r="D5204" s="19"/>
      <c r="E5204" s="19"/>
      <c r="F5204" s="20"/>
      <c r="G5204" s="19"/>
      <c r="H5204" s="19"/>
      <c r="I5204" s="19"/>
      <c r="J5204" s="21"/>
      <c r="K5204" s="19"/>
    </row>
    <row r="5205" spans="3:11" x14ac:dyDescent="0.2">
      <c r="C5205" s="19"/>
      <c r="D5205" s="19"/>
      <c r="E5205" s="19"/>
      <c r="F5205" s="20"/>
      <c r="G5205" s="19"/>
      <c r="H5205" s="19"/>
      <c r="I5205" s="19"/>
      <c r="J5205" s="21"/>
      <c r="K5205" s="19"/>
    </row>
    <row r="5206" spans="3:11" x14ac:dyDescent="0.2">
      <c r="C5206" s="19"/>
      <c r="D5206" s="19"/>
      <c r="E5206" s="19"/>
      <c r="F5206" s="20"/>
      <c r="G5206" s="19"/>
      <c r="H5206" s="19"/>
      <c r="I5206" s="19"/>
      <c r="J5206" s="21"/>
      <c r="K5206" s="19"/>
    </row>
    <row r="5207" spans="3:11" x14ac:dyDescent="0.2">
      <c r="C5207" s="19"/>
      <c r="D5207" s="19"/>
      <c r="E5207" s="19"/>
      <c r="F5207" s="20"/>
      <c r="G5207" s="19"/>
      <c r="H5207" s="19"/>
      <c r="I5207" s="19"/>
      <c r="J5207" s="21"/>
      <c r="K5207" s="19"/>
    </row>
    <row r="5208" spans="3:11" x14ac:dyDescent="0.2">
      <c r="C5208" s="19"/>
      <c r="D5208" s="19"/>
      <c r="E5208" s="19"/>
      <c r="F5208" s="20"/>
      <c r="G5208" s="19"/>
      <c r="H5208" s="19"/>
      <c r="I5208" s="19"/>
      <c r="J5208" s="21"/>
      <c r="K5208" s="19"/>
    </row>
    <row r="5209" spans="3:11" x14ac:dyDescent="0.2">
      <c r="C5209" s="19"/>
      <c r="D5209" s="19"/>
      <c r="E5209" s="19"/>
      <c r="F5209" s="20"/>
      <c r="G5209" s="19"/>
      <c r="H5209" s="19"/>
      <c r="I5209" s="19"/>
      <c r="J5209" s="21"/>
      <c r="K5209" s="19"/>
    </row>
    <row r="5210" spans="3:11" x14ac:dyDescent="0.2">
      <c r="C5210" s="19"/>
      <c r="D5210" s="19"/>
      <c r="E5210" s="19"/>
      <c r="F5210" s="20"/>
      <c r="G5210" s="19"/>
      <c r="H5210" s="19"/>
      <c r="I5210" s="19"/>
      <c r="J5210" s="21"/>
      <c r="K5210" s="19"/>
    </row>
    <row r="5211" spans="3:11" x14ac:dyDescent="0.2">
      <c r="C5211" s="19"/>
      <c r="D5211" s="19"/>
      <c r="E5211" s="19"/>
      <c r="F5211" s="20"/>
      <c r="G5211" s="19"/>
      <c r="H5211" s="19"/>
      <c r="I5211" s="19"/>
      <c r="J5211" s="21"/>
      <c r="K5211" s="19"/>
    </row>
    <row r="5212" spans="3:11" x14ac:dyDescent="0.2">
      <c r="C5212" s="19"/>
      <c r="D5212" s="19"/>
      <c r="E5212" s="19"/>
      <c r="F5212" s="20"/>
      <c r="G5212" s="19"/>
      <c r="H5212" s="19"/>
      <c r="I5212" s="19"/>
      <c r="J5212" s="21"/>
      <c r="K5212" s="19"/>
    </row>
    <row r="5213" spans="3:11" x14ac:dyDescent="0.2">
      <c r="C5213" s="19"/>
      <c r="D5213" s="19"/>
      <c r="E5213" s="19"/>
      <c r="F5213" s="20"/>
      <c r="G5213" s="19"/>
      <c r="H5213" s="19"/>
      <c r="I5213" s="19"/>
      <c r="J5213" s="21"/>
      <c r="K5213" s="19"/>
    </row>
    <row r="5214" spans="3:11" x14ac:dyDescent="0.2">
      <c r="C5214" s="19"/>
      <c r="D5214" s="19"/>
      <c r="E5214" s="19"/>
      <c r="F5214" s="20"/>
      <c r="G5214" s="19"/>
      <c r="H5214" s="19"/>
      <c r="I5214" s="19"/>
      <c r="J5214" s="21"/>
      <c r="K5214" s="19"/>
    </row>
    <row r="5215" spans="3:11" x14ac:dyDescent="0.2">
      <c r="C5215" s="19"/>
      <c r="D5215" s="19"/>
      <c r="E5215" s="19"/>
      <c r="F5215" s="20"/>
      <c r="G5215" s="19"/>
      <c r="H5215" s="19"/>
      <c r="I5215" s="19"/>
      <c r="J5215" s="21"/>
      <c r="K5215" s="19"/>
    </row>
    <row r="5216" spans="3:11" x14ac:dyDescent="0.2">
      <c r="C5216" s="19"/>
      <c r="D5216" s="19"/>
      <c r="E5216" s="19"/>
      <c r="F5216" s="20"/>
      <c r="G5216" s="19"/>
      <c r="H5216" s="19"/>
      <c r="I5216" s="19"/>
      <c r="J5216" s="21"/>
      <c r="K5216" s="19"/>
    </row>
    <row r="5217" spans="3:11" x14ac:dyDescent="0.2">
      <c r="C5217" s="19"/>
      <c r="D5217" s="19"/>
      <c r="E5217" s="19"/>
      <c r="F5217" s="20"/>
      <c r="G5217" s="19"/>
      <c r="H5217" s="19"/>
      <c r="I5217" s="19"/>
      <c r="J5217" s="21"/>
      <c r="K5217" s="19"/>
    </row>
    <row r="5218" spans="3:11" x14ac:dyDescent="0.2">
      <c r="C5218" s="19"/>
      <c r="D5218" s="19"/>
      <c r="E5218" s="19"/>
      <c r="F5218" s="20"/>
      <c r="G5218" s="19"/>
      <c r="H5218" s="19"/>
      <c r="I5218" s="19"/>
      <c r="J5218" s="19"/>
      <c r="K5218" s="19"/>
    </row>
    <row r="5219" spans="3:11" x14ac:dyDescent="0.2">
      <c r="C5219" s="19"/>
      <c r="D5219" s="19"/>
      <c r="E5219" s="19"/>
      <c r="F5219" s="20"/>
      <c r="G5219" s="19"/>
      <c r="H5219" s="19"/>
      <c r="I5219" s="19"/>
      <c r="J5219" s="19"/>
      <c r="K5219" s="19"/>
    </row>
    <row r="5220" spans="3:11" x14ac:dyDescent="0.2">
      <c r="C5220" s="19"/>
      <c r="D5220" s="19"/>
      <c r="E5220" s="19"/>
      <c r="F5220" s="20"/>
      <c r="G5220" s="19"/>
      <c r="H5220" s="19"/>
      <c r="I5220" s="19"/>
      <c r="J5220" s="21"/>
      <c r="K5220" s="19"/>
    </row>
    <row r="5221" spans="3:11" x14ac:dyDescent="0.2">
      <c r="C5221" s="19"/>
      <c r="D5221" s="19"/>
      <c r="E5221" s="19"/>
      <c r="F5221" s="20"/>
      <c r="G5221" s="19"/>
      <c r="H5221" s="19"/>
      <c r="I5221" s="19"/>
      <c r="J5221" s="21"/>
      <c r="K5221" s="19"/>
    </row>
    <row r="5222" spans="3:11" x14ac:dyDescent="0.2">
      <c r="C5222" s="19"/>
      <c r="D5222" s="19"/>
      <c r="E5222" s="19"/>
      <c r="F5222" s="20"/>
      <c r="G5222" s="19"/>
      <c r="H5222" s="19"/>
      <c r="I5222" s="19"/>
      <c r="J5222" s="21"/>
      <c r="K5222" s="19"/>
    </row>
    <row r="5223" spans="3:11" x14ac:dyDescent="0.2">
      <c r="C5223" s="19"/>
      <c r="D5223" s="19"/>
      <c r="E5223" s="19"/>
      <c r="F5223" s="20"/>
      <c r="G5223" s="19"/>
      <c r="H5223" s="19"/>
      <c r="I5223" s="19"/>
      <c r="J5223" s="21"/>
      <c r="K5223" s="19"/>
    </row>
    <row r="5224" spans="3:11" x14ac:dyDescent="0.2">
      <c r="C5224" s="19"/>
      <c r="D5224" s="19"/>
      <c r="E5224" s="19"/>
      <c r="F5224" s="20"/>
      <c r="G5224" s="19"/>
      <c r="H5224" s="19"/>
      <c r="I5224" s="19"/>
      <c r="J5224" s="21"/>
      <c r="K5224" s="19"/>
    </row>
    <row r="5225" spans="3:11" x14ac:dyDescent="0.2">
      <c r="C5225" s="19"/>
      <c r="D5225" s="19"/>
      <c r="E5225" s="19"/>
      <c r="F5225" s="20"/>
      <c r="G5225" s="19"/>
      <c r="H5225" s="19"/>
      <c r="I5225" s="19"/>
      <c r="J5225" s="21"/>
      <c r="K5225" s="19"/>
    </row>
    <row r="5226" spans="3:11" x14ac:dyDescent="0.2">
      <c r="C5226" s="19"/>
      <c r="D5226" s="19"/>
      <c r="E5226" s="19"/>
      <c r="F5226" s="20"/>
      <c r="G5226" s="19"/>
      <c r="H5226" s="19"/>
      <c r="I5226" s="19"/>
      <c r="J5226" s="21"/>
      <c r="K5226" s="19"/>
    </row>
    <row r="5227" spans="3:11" x14ac:dyDescent="0.2">
      <c r="C5227" s="19"/>
      <c r="D5227" s="19"/>
      <c r="E5227" s="19"/>
      <c r="F5227" s="20"/>
      <c r="G5227" s="19"/>
      <c r="H5227" s="19"/>
      <c r="I5227" s="19"/>
      <c r="J5227" s="21"/>
      <c r="K5227" s="19"/>
    </row>
    <row r="5228" spans="3:11" x14ac:dyDescent="0.2">
      <c r="C5228" s="19"/>
      <c r="D5228" s="19"/>
      <c r="E5228" s="19"/>
      <c r="F5228" s="20"/>
      <c r="G5228" s="19"/>
      <c r="H5228" s="19"/>
      <c r="I5228" s="19"/>
      <c r="J5228" s="21"/>
      <c r="K5228" s="19"/>
    </row>
    <row r="5229" spans="3:11" x14ac:dyDescent="0.2">
      <c r="C5229" s="19"/>
      <c r="D5229" s="19"/>
      <c r="E5229" s="19"/>
      <c r="F5229" s="20"/>
      <c r="G5229" s="19"/>
      <c r="H5229" s="19"/>
      <c r="I5229" s="19"/>
      <c r="J5229" s="21"/>
      <c r="K5229" s="19"/>
    </row>
    <row r="5230" spans="3:11" x14ac:dyDescent="0.2">
      <c r="C5230" s="19"/>
      <c r="D5230" s="19"/>
      <c r="E5230" s="19"/>
      <c r="F5230" s="20"/>
      <c r="G5230" s="19"/>
      <c r="H5230" s="19"/>
      <c r="I5230" s="19"/>
      <c r="J5230" s="21"/>
      <c r="K5230" s="19"/>
    </row>
    <row r="5231" spans="3:11" x14ac:dyDescent="0.2">
      <c r="C5231" s="19"/>
      <c r="D5231" s="19"/>
      <c r="E5231" s="19"/>
      <c r="F5231" s="20"/>
      <c r="G5231" s="19"/>
      <c r="H5231" s="19"/>
      <c r="I5231" s="19"/>
      <c r="J5231" s="21"/>
      <c r="K5231" s="19"/>
    </row>
    <row r="5232" spans="3:11" x14ac:dyDescent="0.2">
      <c r="C5232" s="19"/>
      <c r="D5232" s="19"/>
      <c r="E5232" s="19"/>
      <c r="F5232" s="20"/>
      <c r="G5232" s="19"/>
      <c r="H5232" s="19"/>
      <c r="I5232" s="19"/>
      <c r="J5232" s="21"/>
      <c r="K5232" s="19"/>
    </row>
    <row r="5233" spans="3:11" x14ac:dyDescent="0.2">
      <c r="C5233" s="19"/>
      <c r="D5233" s="19"/>
      <c r="E5233" s="19"/>
      <c r="F5233" s="20"/>
      <c r="G5233" s="19"/>
      <c r="H5233" s="19"/>
      <c r="I5233" s="19"/>
      <c r="J5233" s="21"/>
      <c r="K5233" s="19"/>
    </row>
    <row r="5234" spans="3:11" x14ac:dyDescent="0.2">
      <c r="C5234" s="19"/>
      <c r="D5234" s="19"/>
      <c r="E5234" s="19"/>
      <c r="F5234" s="20"/>
      <c r="G5234" s="19"/>
      <c r="H5234" s="19"/>
      <c r="I5234" s="19"/>
      <c r="J5234" s="21"/>
      <c r="K5234" s="19"/>
    </row>
    <row r="5235" spans="3:11" x14ac:dyDescent="0.2">
      <c r="C5235" s="19"/>
      <c r="D5235" s="19"/>
      <c r="E5235" s="19"/>
      <c r="F5235" s="20"/>
      <c r="G5235" s="19"/>
      <c r="H5235" s="19"/>
      <c r="I5235" s="19"/>
      <c r="J5235" s="21"/>
      <c r="K5235" s="19"/>
    </row>
    <row r="5236" spans="3:11" x14ac:dyDescent="0.2">
      <c r="C5236" s="19"/>
      <c r="D5236" s="19"/>
      <c r="E5236" s="19"/>
      <c r="F5236" s="20"/>
      <c r="G5236" s="19"/>
      <c r="H5236" s="19"/>
      <c r="I5236" s="19"/>
      <c r="J5236" s="21"/>
      <c r="K5236" s="19"/>
    </row>
    <row r="5237" spans="3:11" x14ac:dyDescent="0.2">
      <c r="C5237" s="19"/>
      <c r="D5237" s="19"/>
      <c r="E5237" s="19"/>
      <c r="F5237" s="20"/>
      <c r="G5237" s="19"/>
      <c r="H5237" s="19"/>
      <c r="I5237" s="19"/>
      <c r="J5237" s="21"/>
      <c r="K5237" s="19"/>
    </row>
    <row r="5238" spans="3:11" x14ac:dyDescent="0.2">
      <c r="C5238" s="19"/>
      <c r="D5238" s="19"/>
      <c r="E5238" s="19"/>
      <c r="F5238" s="20"/>
      <c r="G5238" s="19"/>
      <c r="H5238" s="19"/>
      <c r="I5238" s="19"/>
      <c r="J5238" s="21"/>
      <c r="K5238" s="19"/>
    </row>
    <row r="5239" spans="3:11" x14ac:dyDescent="0.2">
      <c r="C5239" s="19"/>
      <c r="D5239" s="19"/>
      <c r="E5239" s="19"/>
      <c r="F5239" s="20"/>
      <c r="G5239" s="19"/>
      <c r="H5239" s="19"/>
      <c r="I5239" s="19"/>
      <c r="J5239" s="21"/>
      <c r="K5239" s="19"/>
    </row>
    <row r="5240" spans="3:11" x14ac:dyDescent="0.2">
      <c r="C5240" s="19"/>
      <c r="D5240" s="19"/>
      <c r="E5240" s="19"/>
      <c r="F5240" s="20"/>
      <c r="G5240" s="19"/>
      <c r="H5240" s="19"/>
      <c r="I5240" s="19"/>
      <c r="J5240" s="21"/>
      <c r="K5240" s="19"/>
    </row>
    <row r="5241" spans="3:11" x14ac:dyDescent="0.2">
      <c r="C5241" s="19"/>
      <c r="D5241" s="19"/>
      <c r="E5241" s="19"/>
      <c r="F5241" s="20"/>
      <c r="G5241" s="19"/>
      <c r="H5241" s="19"/>
      <c r="I5241" s="19"/>
      <c r="J5241" s="21"/>
      <c r="K5241" s="19"/>
    </row>
    <row r="5242" spans="3:11" x14ac:dyDescent="0.2">
      <c r="C5242" s="19"/>
      <c r="D5242" s="19"/>
      <c r="E5242" s="19"/>
      <c r="F5242" s="20"/>
      <c r="G5242" s="19"/>
      <c r="H5242" s="19"/>
      <c r="I5242" s="19"/>
      <c r="J5242" s="21"/>
      <c r="K5242" s="19"/>
    </row>
    <row r="5243" spans="3:11" x14ac:dyDescent="0.2">
      <c r="C5243" s="19"/>
      <c r="D5243" s="19"/>
      <c r="E5243" s="19"/>
      <c r="F5243" s="20"/>
      <c r="G5243" s="19"/>
      <c r="H5243" s="19"/>
      <c r="I5243" s="19"/>
      <c r="J5243" s="21"/>
      <c r="K5243" s="19"/>
    </row>
    <row r="5244" spans="3:11" x14ac:dyDescent="0.2">
      <c r="C5244" s="19"/>
      <c r="D5244" s="19"/>
      <c r="E5244" s="19"/>
      <c r="F5244" s="20"/>
      <c r="G5244" s="19"/>
      <c r="H5244" s="19"/>
      <c r="I5244" s="19"/>
      <c r="J5244" s="21"/>
      <c r="K5244" s="19"/>
    </row>
    <row r="5245" spans="3:11" x14ac:dyDescent="0.2">
      <c r="C5245" s="19"/>
      <c r="D5245" s="19"/>
      <c r="E5245" s="19"/>
      <c r="F5245" s="20"/>
      <c r="G5245" s="19"/>
      <c r="H5245" s="19"/>
      <c r="I5245" s="19"/>
      <c r="J5245" s="21"/>
      <c r="K5245" s="19"/>
    </row>
    <row r="5246" spans="3:11" x14ac:dyDescent="0.2">
      <c r="C5246" s="19"/>
      <c r="D5246" s="19"/>
      <c r="E5246" s="19"/>
      <c r="F5246" s="20"/>
      <c r="G5246" s="19"/>
      <c r="H5246" s="19"/>
      <c r="I5246" s="19"/>
      <c r="J5246" s="21"/>
      <c r="K5246" s="19"/>
    </row>
    <row r="5247" spans="3:11" x14ac:dyDescent="0.2">
      <c r="C5247" s="19"/>
      <c r="D5247" s="19"/>
      <c r="E5247" s="19"/>
      <c r="F5247" s="20"/>
      <c r="G5247" s="19"/>
      <c r="H5247" s="19"/>
      <c r="I5247" s="19"/>
      <c r="J5247" s="21"/>
      <c r="K5247" s="19"/>
    </row>
    <row r="5248" spans="3:11" x14ac:dyDescent="0.2">
      <c r="C5248" s="19"/>
      <c r="D5248" s="19"/>
      <c r="E5248" s="19"/>
      <c r="F5248" s="20"/>
      <c r="G5248" s="19"/>
      <c r="H5248" s="19"/>
      <c r="I5248" s="19"/>
      <c r="J5248" s="19"/>
      <c r="K5248" s="19"/>
    </row>
    <row r="5249" spans="3:11" x14ac:dyDescent="0.2">
      <c r="C5249" s="19"/>
      <c r="D5249" s="19"/>
      <c r="E5249" s="19"/>
      <c r="F5249" s="20"/>
      <c r="G5249" s="19"/>
      <c r="H5249" s="19"/>
      <c r="I5249" s="19"/>
      <c r="J5249" s="21"/>
      <c r="K5249" s="19"/>
    </row>
    <row r="5250" spans="3:11" x14ac:dyDescent="0.2">
      <c r="C5250" s="19"/>
      <c r="D5250" s="19"/>
      <c r="E5250" s="19"/>
      <c r="F5250" s="20"/>
      <c r="G5250" s="19"/>
      <c r="H5250" s="19"/>
      <c r="I5250" s="19"/>
      <c r="J5250" s="21"/>
      <c r="K5250" s="19"/>
    </row>
    <row r="5251" spans="3:11" x14ac:dyDescent="0.2">
      <c r="C5251" s="19"/>
      <c r="D5251" s="19"/>
      <c r="E5251" s="19"/>
      <c r="F5251" s="20"/>
      <c r="G5251" s="19"/>
      <c r="H5251" s="19"/>
      <c r="I5251" s="19"/>
      <c r="J5251" s="21"/>
      <c r="K5251" s="19"/>
    </row>
    <row r="5252" spans="3:11" x14ac:dyDescent="0.2">
      <c r="C5252" s="19"/>
      <c r="D5252" s="19"/>
      <c r="E5252" s="19"/>
      <c r="F5252" s="20"/>
      <c r="G5252" s="19"/>
      <c r="H5252" s="19"/>
      <c r="I5252" s="19"/>
      <c r="J5252" s="21"/>
      <c r="K5252" s="19"/>
    </row>
    <row r="5253" spans="3:11" x14ac:dyDescent="0.2">
      <c r="C5253" s="19"/>
      <c r="D5253" s="19"/>
      <c r="E5253" s="19"/>
      <c r="F5253" s="20"/>
      <c r="G5253" s="19"/>
      <c r="H5253" s="19"/>
      <c r="I5253" s="19"/>
      <c r="J5253" s="21"/>
      <c r="K5253" s="19"/>
    </row>
    <row r="5254" spans="3:11" x14ac:dyDescent="0.2">
      <c r="C5254" s="19"/>
      <c r="D5254" s="19"/>
      <c r="E5254" s="19"/>
      <c r="F5254" s="20"/>
      <c r="G5254" s="19"/>
      <c r="H5254" s="19"/>
      <c r="I5254" s="19"/>
      <c r="J5254" s="21"/>
      <c r="K5254" s="19"/>
    </row>
    <row r="5255" spans="3:11" x14ac:dyDescent="0.2">
      <c r="C5255" s="19"/>
      <c r="D5255" s="19"/>
      <c r="E5255" s="19"/>
      <c r="F5255" s="20"/>
      <c r="G5255" s="19"/>
      <c r="H5255" s="19"/>
      <c r="I5255" s="19"/>
      <c r="J5255" s="21"/>
      <c r="K5255" s="19"/>
    </row>
    <row r="5256" spans="3:11" x14ac:dyDescent="0.2">
      <c r="C5256" s="19"/>
      <c r="D5256" s="19"/>
      <c r="E5256" s="19"/>
      <c r="F5256" s="20"/>
      <c r="G5256" s="19"/>
      <c r="H5256" s="19"/>
      <c r="I5256" s="19"/>
      <c r="J5256" s="21"/>
      <c r="K5256" s="19"/>
    </row>
    <row r="5257" spans="3:11" x14ac:dyDescent="0.2">
      <c r="C5257" s="19"/>
      <c r="D5257" s="19"/>
      <c r="E5257" s="19"/>
      <c r="F5257" s="20"/>
      <c r="G5257" s="19"/>
      <c r="H5257" s="19"/>
      <c r="I5257" s="19"/>
      <c r="J5257" s="21"/>
      <c r="K5257" s="19"/>
    </row>
    <row r="5258" spans="3:11" x14ac:dyDescent="0.2">
      <c r="C5258" s="19"/>
      <c r="D5258" s="19"/>
      <c r="E5258" s="19"/>
      <c r="F5258" s="20"/>
      <c r="G5258" s="19"/>
      <c r="H5258" s="19"/>
      <c r="I5258" s="19"/>
      <c r="J5258" s="21"/>
      <c r="K5258" s="19"/>
    </row>
    <row r="5259" spans="3:11" x14ac:dyDescent="0.2">
      <c r="C5259" s="19"/>
      <c r="D5259" s="19"/>
      <c r="E5259" s="19"/>
      <c r="F5259" s="20"/>
      <c r="G5259" s="19"/>
      <c r="H5259" s="19"/>
      <c r="I5259" s="19"/>
      <c r="J5259" s="21"/>
      <c r="K5259" s="19"/>
    </row>
    <row r="5260" spans="3:11" x14ac:dyDescent="0.2">
      <c r="C5260" s="19"/>
      <c r="D5260" s="19"/>
      <c r="E5260" s="19"/>
      <c r="F5260" s="20"/>
      <c r="G5260" s="19"/>
      <c r="H5260" s="19"/>
      <c r="I5260" s="19"/>
      <c r="J5260" s="21"/>
      <c r="K5260" s="19"/>
    </row>
    <row r="5261" spans="3:11" x14ac:dyDescent="0.2">
      <c r="C5261" s="19"/>
      <c r="D5261" s="19"/>
      <c r="E5261" s="19"/>
      <c r="F5261" s="20"/>
      <c r="G5261" s="19"/>
      <c r="H5261" s="19"/>
      <c r="I5261" s="19"/>
      <c r="J5261" s="21"/>
      <c r="K5261" s="19"/>
    </row>
    <row r="5262" spans="3:11" x14ac:dyDescent="0.2">
      <c r="C5262" s="19"/>
      <c r="D5262" s="19"/>
      <c r="E5262" s="19"/>
      <c r="F5262" s="20"/>
      <c r="G5262" s="19"/>
      <c r="H5262" s="19"/>
      <c r="I5262" s="19"/>
      <c r="J5262" s="21"/>
      <c r="K5262" s="19"/>
    </row>
    <row r="5263" spans="3:11" x14ac:dyDescent="0.2">
      <c r="C5263" s="19"/>
      <c r="D5263" s="19"/>
      <c r="E5263" s="19"/>
      <c r="F5263" s="20"/>
      <c r="G5263" s="19"/>
      <c r="H5263" s="19"/>
      <c r="I5263" s="19"/>
      <c r="J5263" s="21"/>
      <c r="K5263" s="19"/>
    </row>
    <row r="5264" spans="3:11" x14ac:dyDescent="0.2">
      <c r="C5264" s="19"/>
      <c r="D5264" s="19"/>
      <c r="E5264" s="19"/>
      <c r="F5264" s="20"/>
      <c r="G5264" s="19"/>
      <c r="H5264" s="19"/>
      <c r="I5264" s="19"/>
      <c r="J5264" s="21"/>
      <c r="K5264" s="19"/>
    </row>
    <row r="5265" spans="3:11" x14ac:dyDescent="0.2">
      <c r="C5265" s="19"/>
      <c r="D5265" s="19"/>
      <c r="E5265" s="19"/>
      <c r="F5265" s="20"/>
      <c r="G5265" s="19"/>
      <c r="H5265" s="19"/>
      <c r="I5265" s="19"/>
      <c r="J5265" s="21"/>
      <c r="K5265" s="19"/>
    </row>
    <row r="5266" spans="3:11" x14ac:dyDescent="0.2">
      <c r="C5266" s="19"/>
      <c r="D5266" s="19"/>
      <c r="E5266" s="19"/>
      <c r="F5266" s="20"/>
      <c r="G5266" s="19"/>
      <c r="H5266" s="19"/>
      <c r="I5266" s="19"/>
      <c r="J5266" s="21"/>
      <c r="K5266" s="19"/>
    </row>
    <row r="5267" spans="3:11" x14ac:dyDescent="0.2">
      <c r="C5267" s="19"/>
      <c r="D5267" s="19"/>
      <c r="E5267" s="19"/>
      <c r="F5267" s="20"/>
      <c r="G5267" s="19"/>
      <c r="H5267" s="19"/>
      <c r="I5267" s="19"/>
      <c r="J5267" s="21"/>
      <c r="K5267" s="19"/>
    </row>
    <row r="5268" spans="3:11" x14ac:dyDescent="0.2">
      <c r="C5268" s="19"/>
      <c r="D5268" s="19"/>
      <c r="E5268" s="19"/>
      <c r="F5268" s="20"/>
      <c r="G5268" s="19"/>
      <c r="H5268" s="19"/>
      <c r="I5268" s="19"/>
      <c r="J5268" s="21"/>
      <c r="K5268" s="19"/>
    </row>
    <row r="5269" spans="3:11" x14ac:dyDescent="0.2">
      <c r="C5269" s="19"/>
      <c r="D5269" s="19"/>
      <c r="E5269" s="19"/>
      <c r="F5269" s="20"/>
      <c r="G5269" s="19"/>
      <c r="H5269" s="19"/>
      <c r="I5269" s="19"/>
      <c r="J5269" s="21"/>
      <c r="K5269" s="19"/>
    </row>
    <row r="5270" spans="3:11" x14ac:dyDescent="0.2">
      <c r="C5270" s="19"/>
      <c r="D5270" s="19"/>
      <c r="E5270" s="19"/>
      <c r="F5270" s="20"/>
      <c r="G5270" s="19"/>
      <c r="H5270" s="19"/>
      <c r="I5270" s="19"/>
      <c r="J5270" s="21"/>
      <c r="K5270" s="19"/>
    </row>
    <row r="5271" spans="3:11" x14ac:dyDescent="0.2">
      <c r="C5271" s="19"/>
      <c r="D5271" s="19"/>
      <c r="E5271" s="19"/>
      <c r="F5271" s="20"/>
      <c r="G5271" s="19"/>
      <c r="H5271" s="19"/>
      <c r="I5271" s="19"/>
      <c r="J5271" s="21"/>
      <c r="K5271" s="19"/>
    </row>
    <row r="5272" spans="3:11" x14ac:dyDescent="0.2">
      <c r="C5272" s="19"/>
      <c r="D5272" s="19"/>
      <c r="E5272" s="19"/>
      <c r="F5272" s="20"/>
      <c r="G5272" s="19"/>
      <c r="H5272" s="19"/>
      <c r="I5272" s="19"/>
      <c r="J5272" s="21"/>
      <c r="K5272" s="19"/>
    </row>
    <row r="5273" spans="3:11" x14ac:dyDescent="0.2">
      <c r="C5273" s="19"/>
      <c r="D5273" s="19"/>
      <c r="E5273" s="19"/>
      <c r="F5273" s="20"/>
      <c r="G5273" s="19"/>
      <c r="H5273" s="19"/>
      <c r="I5273" s="19"/>
      <c r="J5273" s="21"/>
      <c r="K5273" s="19"/>
    </row>
    <row r="5274" spans="3:11" x14ac:dyDescent="0.2">
      <c r="C5274" s="19"/>
      <c r="D5274" s="19"/>
      <c r="E5274" s="19"/>
      <c r="F5274" s="20"/>
      <c r="G5274" s="19"/>
      <c r="H5274" s="19"/>
      <c r="I5274" s="19"/>
      <c r="J5274" s="21"/>
      <c r="K5274" s="19"/>
    </row>
    <row r="5275" spans="3:11" x14ac:dyDescent="0.2">
      <c r="C5275" s="19"/>
      <c r="D5275" s="19"/>
      <c r="E5275" s="19"/>
      <c r="F5275" s="20"/>
      <c r="G5275" s="19"/>
      <c r="H5275" s="19"/>
      <c r="I5275" s="19"/>
      <c r="J5275" s="21"/>
      <c r="K5275" s="19"/>
    </row>
    <row r="5276" spans="3:11" x14ac:dyDescent="0.2">
      <c r="C5276" s="19"/>
      <c r="D5276" s="19"/>
      <c r="E5276" s="19"/>
      <c r="F5276" s="20"/>
      <c r="G5276" s="19"/>
      <c r="H5276" s="19"/>
      <c r="I5276" s="19"/>
      <c r="J5276" s="21"/>
      <c r="K5276" s="19"/>
    </row>
    <row r="5277" spans="3:11" x14ac:dyDescent="0.2">
      <c r="C5277" s="19"/>
      <c r="D5277" s="19"/>
      <c r="E5277" s="19"/>
      <c r="F5277" s="20"/>
      <c r="G5277" s="19"/>
      <c r="H5277" s="19"/>
      <c r="I5277" s="19"/>
      <c r="J5277" s="21"/>
      <c r="K5277" s="19"/>
    </row>
    <row r="5278" spans="3:11" x14ac:dyDescent="0.2">
      <c r="C5278" s="19"/>
      <c r="D5278" s="19"/>
      <c r="E5278" s="19"/>
      <c r="F5278" s="20"/>
      <c r="G5278" s="19"/>
      <c r="H5278" s="19"/>
      <c r="I5278" s="19"/>
      <c r="J5278" s="21"/>
      <c r="K5278" s="19"/>
    </row>
    <row r="5279" spans="3:11" x14ac:dyDescent="0.2">
      <c r="C5279" s="19"/>
      <c r="D5279" s="19"/>
      <c r="E5279" s="19"/>
      <c r="F5279" s="20"/>
      <c r="G5279" s="19"/>
      <c r="H5279" s="19"/>
      <c r="I5279" s="19"/>
      <c r="J5279" s="21"/>
      <c r="K5279" s="19"/>
    </row>
    <row r="5280" spans="3:11" x14ac:dyDescent="0.2">
      <c r="C5280" s="19"/>
      <c r="D5280" s="19"/>
      <c r="E5280" s="19"/>
      <c r="F5280" s="20"/>
      <c r="G5280" s="19"/>
      <c r="H5280" s="19"/>
      <c r="I5280" s="19"/>
      <c r="J5280" s="21"/>
      <c r="K5280" s="19"/>
    </row>
    <row r="5281" spans="3:11" x14ac:dyDescent="0.2">
      <c r="C5281" s="19"/>
      <c r="D5281" s="19"/>
      <c r="E5281" s="19"/>
      <c r="F5281" s="20"/>
      <c r="G5281" s="19"/>
      <c r="H5281" s="19"/>
      <c r="I5281" s="19"/>
      <c r="J5281" s="21"/>
      <c r="K5281" s="19"/>
    </row>
    <row r="5282" spans="3:11" x14ac:dyDescent="0.2">
      <c r="C5282" s="19"/>
      <c r="D5282" s="19"/>
      <c r="E5282" s="19"/>
      <c r="F5282" s="20"/>
      <c r="G5282" s="19"/>
      <c r="H5282" s="19"/>
      <c r="I5282" s="19"/>
      <c r="J5282" s="21"/>
      <c r="K5282" s="19"/>
    </row>
    <row r="5283" spans="3:11" x14ac:dyDescent="0.2">
      <c r="C5283" s="19"/>
      <c r="D5283" s="19"/>
      <c r="E5283" s="19"/>
      <c r="F5283" s="20"/>
      <c r="G5283" s="19"/>
      <c r="H5283" s="19"/>
      <c r="I5283" s="19"/>
      <c r="J5283" s="21"/>
      <c r="K5283" s="19"/>
    </row>
    <row r="5284" spans="3:11" x14ac:dyDescent="0.2">
      <c r="C5284" s="19"/>
      <c r="D5284" s="19"/>
      <c r="E5284" s="19"/>
      <c r="F5284" s="20"/>
      <c r="G5284" s="19"/>
      <c r="H5284" s="19"/>
      <c r="I5284" s="19"/>
      <c r="J5284" s="21"/>
      <c r="K5284" s="19"/>
    </row>
    <row r="5285" spans="3:11" x14ac:dyDescent="0.2">
      <c r="C5285" s="19"/>
      <c r="D5285" s="19"/>
      <c r="E5285" s="19"/>
      <c r="F5285" s="20"/>
      <c r="G5285" s="19"/>
      <c r="H5285" s="19"/>
      <c r="I5285" s="19"/>
      <c r="J5285" s="21"/>
      <c r="K5285" s="19"/>
    </row>
    <row r="5286" spans="3:11" x14ac:dyDescent="0.2">
      <c r="C5286" s="19"/>
      <c r="D5286" s="19"/>
      <c r="E5286" s="19"/>
      <c r="F5286" s="20"/>
      <c r="G5286" s="19"/>
      <c r="H5286" s="19"/>
      <c r="I5286" s="19"/>
      <c r="J5286" s="21"/>
      <c r="K5286" s="19"/>
    </row>
    <row r="5287" spans="3:11" x14ac:dyDescent="0.2">
      <c r="C5287" s="19"/>
      <c r="D5287" s="19"/>
      <c r="E5287" s="19"/>
      <c r="F5287" s="20"/>
      <c r="G5287" s="19"/>
      <c r="H5287" s="19"/>
      <c r="I5287" s="19"/>
      <c r="J5287" s="21"/>
      <c r="K5287" s="19"/>
    </row>
    <row r="5288" spans="3:11" x14ac:dyDescent="0.2">
      <c r="C5288" s="19"/>
      <c r="D5288" s="19"/>
      <c r="E5288" s="19"/>
      <c r="F5288" s="20"/>
      <c r="G5288" s="19"/>
      <c r="H5288" s="19"/>
      <c r="I5288" s="19"/>
      <c r="J5288" s="21"/>
      <c r="K5288" s="19"/>
    </row>
    <row r="5289" spans="3:11" x14ac:dyDescent="0.2">
      <c r="C5289" s="19"/>
      <c r="D5289" s="19"/>
      <c r="E5289" s="19"/>
      <c r="F5289" s="20"/>
      <c r="G5289" s="19"/>
      <c r="H5289" s="19"/>
      <c r="I5289" s="19"/>
      <c r="J5289" s="21"/>
      <c r="K5289" s="19"/>
    </row>
    <row r="5290" spans="3:11" x14ac:dyDescent="0.2">
      <c r="C5290" s="19"/>
      <c r="D5290" s="19"/>
      <c r="E5290" s="19"/>
      <c r="F5290" s="20"/>
      <c r="G5290" s="19"/>
      <c r="H5290" s="19"/>
      <c r="I5290" s="19"/>
      <c r="J5290" s="21"/>
      <c r="K5290" s="19"/>
    </row>
    <row r="5291" spans="3:11" x14ac:dyDescent="0.2">
      <c r="C5291" s="19"/>
      <c r="D5291" s="19"/>
      <c r="E5291" s="19"/>
      <c r="F5291" s="20"/>
      <c r="G5291" s="19"/>
      <c r="H5291" s="19"/>
      <c r="I5291" s="19"/>
      <c r="J5291" s="19"/>
      <c r="K5291" s="19"/>
    </row>
    <row r="5292" spans="3:11" x14ac:dyDescent="0.2">
      <c r="C5292" s="19"/>
      <c r="D5292" s="19"/>
      <c r="E5292" s="19"/>
      <c r="F5292" s="20"/>
      <c r="G5292" s="19"/>
      <c r="H5292" s="19"/>
      <c r="I5292" s="19"/>
      <c r="J5292" s="21"/>
      <c r="K5292" s="19"/>
    </row>
    <row r="5293" spans="3:11" x14ac:dyDescent="0.2">
      <c r="C5293" s="19"/>
      <c r="D5293" s="19"/>
      <c r="E5293" s="19"/>
      <c r="F5293" s="20"/>
      <c r="G5293" s="19"/>
      <c r="H5293" s="19"/>
      <c r="I5293" s="19"/>
      <c r="J5293" s="21"/>
      <c r="K5293" s="19"/>
    </row>
    <row r="5294" spans="3:11" x14ac:dyDescent="0.2">
      <c r="C5294" s="19"/>
      <c r="D5294" s="19"/>
      <c r="E5294" s="19"/>
      <c r="F5294" s="20"/>
      <c r="G5294" s="19"/>
      <c r="H5294" s="19"/>
      <c r="I5294" s="19"/>
      <c r="J5294" s="21"/>
      <c r="K5294" s="19"/>
    </row>
    <row r="5295" spans="3:11" x14ac:dyDescent="0.2">
      <c r="C5295" s="19"/>
      <c r="D5295" s="19"/>
      <c r="E5295" s="19"/>
      <c r="F5295" s="20"/>
      <c r="G5295" s="19"/>
      <c r="H5295" s="19"/>
      <c r="I5295" s="19"/>
      <c r="J5295" s="21"/>
      <c r="K5295" s="19"/>
    </row>
    <row r="5296" spans="3:11" x14ac:dyDescent="0.2">
      <c r="C5296" s="19"/>
      <c r="D5296" s="19"/>
      <c r="E5296" s="19"/>
      <c r="F5296" s="20"/>
      <c r="G5296" s="19"/>
      <c r="H5296" s="19"/>
      <c r="I5296" s="19"/>
      <c r="J5296" s="21"/>
      <c r="K5296" s="19"/>
    </row>
    <row r="5297" spans="3:11" x14ac:dyDescent="0.2">
      <c r="C5297" s="19"/>
      <c r="D5297" s="19"/>
      <c r="E5297" s="19"/>
      <c r="F5297" s="20"/>
      <c r="G5297" s="19"/>
      <c r="H5297" s="19"/>
      <c r="I5297" s="19"/>
      <c r="J5297" s="21"/>
      <c r="K5297" s="19"/>
    </row>
    <row r="5298" spans="3:11" x14ac:dyDescent="0.2">
      <c r="C5298" s="19"/>
      <c r="D5298" s="19"/>
      <c r="E5298" s="19"/>
      <c r="F5298" s="20"/>
      <c r="G5298" s="19"/>
      <c r="H5298" s="19"/>
      <c r="I5298" s="19"/>
      <c r="J5298" s="21"/>
      <c r="K5298" s="19"/>
    </row>
    <row r="5299" spans="3:11" x14ac:dyDescent="0.2">
      <c r="C5299" s="19"/>
      <c r="D5299" s="19"/>
      <c r="E5299" s="19"/>
      <c r="F5299" s="20"/>
      <c r="G5299" s="19"/>
      <c r="H5299" s="19"/>
      <c r="I5299" s="19"/>
      <c r="J5299" s="21"/>
      <c r="K5299" s="19"/>
    </row>
    <row r="5300" spans="3:11" x14ac:dyDescent="0.2">
      <c r="C5300" s="19"/>
      <c r="D5300" s="19"/>
      <c r="E5300" s="19"/>
      <c r="F5300" s="20"/>
      <c r="G5300" s="19"/>
      <c r="H5300" s="19"/>
      <c r="I5300" s="19"/>
      <c r="J5300" s="21"/>
      <c r="K5300" s="19"/>
    </row>
    <row r="5301" spans="3:11" x14ac:dyDescent="0.2">
      <c r="C5301" s="19"/>
      <c r="D5301" s="19"/>
      <c r="E5301" s="19"/>
      <c r="F5301" s="20"/>
      <c r="G5301" s="19"/>
      <c r="H5301" s="19"/>
      <c r="I5301" s="19"/>
      <c r="J5301" s="21"/>
      <c r="K5301" s="19"/>
    </row>
    <row r="5302" spans="3:11" x14ac:dyDescent="0.2">
      <c r="C5302" s="19"/>
      <c r="D5302" s="19"/>
      <c r="E5302" s="19"/>
      <c r="F5302" s="20"/>
      <c r="G5302" s="19"/>
      <c r="H5302" s="19"/>
      <c r="I5302" s="19"/>
      <c r="J5302" s="21"/>
      <c r="K5302" s="19"/>
    </row>
    <row r="5303" spans="3:11" x14ac:dyDescent="0.2">
      <c r="C5303" s="19"/>
      <c r="D5303" s="19"/>
      <c r="E5303" s="19"/>
      <c r="F5303" s="20"/>
      <c r="G5303" s="19"/>
      <c r="H5303" s="19"/>
      <c r="I5303" s="19"/>
      <c r="J5303" s="21"/>
      <c r="K5303" s="19"/>
    </row>
    <row r="5304" spans="3:11" x14ac:dyDescent="0.2">
      <c r="C5304" s="19"/>
      <c r="D5304" s="19"/>
      <c r="E5304" s="19"/>
      <c r="F5304" s="20"/>
      <c r="G5304" s="19"/>
      <c r="H5304" s="19"/>
      <c r="I5304" s="19"/>
      <c r="J5304" s="21"/>
      <c r="K5304" s="19"/>
    </row>
    <row r="5305" spans="3:11" x14ac:dyDescent="0.2">
      <c r="C5305" s="19"/>
      <c r="D5305" s="19"/>
      <c r="E5305" s="19"/>
      <c r="F5305" s="20"/>
      <c r="G5305" s="19"/>
      <c r="H5305" s="19"/>
      <c r="I5305" s="19"/>
      <c r="J5305" s="21"/>
      <c r="K5305" s="19"/>
    </row>
    <row r="5306" spans="3:11" x14ac:dyDescent="0.2">
      <c r="C5306" s="19"/>
      <c r="D5306" s="19"/>
      <c r="E5306" s="19"/>
      <c r="F5306" s="20"/>
      <c r="G5306" s="19"/>
      <c r="H5306" s="19"/>
      <c r="I5306" s="19"/>
      <c r="J5306" s="21"/>
      <c r="K5306" s="19"/>
    </row>
    <row r="5307" spans="3:11" x14ac:dyDescent="0.2">
      <c r="C5307" s="19"/>
      <c r="D5307" s="19"/>
      <c r="E5307" s="19"/>
      <c r="F5307" s="20"/>
      <c r="G5307" s="19"/>
      <c r="H5307" s="19"/>
      <c r="I5307" s="19"/>
      <c r="J5307" s="21"/>
      <c r="K5307" s="19"/>
    </row>
    <row r="5308" spans="3:11" x14ac:dyDescent="0.2">
      <c r="C5308" s="19"/>
      <c r="D5308" s="19"/>
      <c r="E5308" s="19"/>
      <c r="F5308" s="20"/>
      <c r="G5308" s="19"/>
      <c r="H5308" s="19"/>
      <c r="I5308" s="19"/>
      <c r="J5308" s="21"/>
      <c r="K5308" s="19"/>
    </row>
    <row r="5309" spans="3:11" x14ac:dyDescent="0.2">
      <c r="C5309" s="19"/>
      <c r="D5309" s="19"/>
      <c r="E5309" s="19"/>
      <c r="F5309" s="20"/>
      <c r="G5309" s="19"/>
      <c r="H5309" s="19"/>
      <c r="I5309" s="19"/>
      <c r="J5309" s="21"/>
      <c r="K5309" s="19"/>
    </row>
    <row r="5310" spans="3:11" x14ac:dyDescent="0.2">
      <c r="C5310" s="19"/>
      <c r="D5310" s="19"/>
      <c r="E5310" s="19"/>
      <c r="F5310" s="20"/>
      <c r="G5310" s="19"/>
      <c r="H5310" s="19"/>
      <c r="I5310" s="19"/>
      <c r="J5310" s="21"/>
      <c r="K5310" s="19"/>
    </row>
    <row r="5311" spans="3:11" x14ac:dyDescent="0.2">
      <c r="C5311" s="19"/>
      <c r="D5311" s="19"/>
      <c r="E5311" s="19"/>
      <c r="F5311" s="20"/>
      <c r="G5311" s="19"/>
      <c r="H5311" s="19"/>
      <c r="I5311" s="19"/>
      <c r="J5311" s="21"/>
      <c r="K5311" s="19"/>
    </row>
    <row r="5312" spans="3:11" x14ac:dyDescent="0.2">
      <c r="C5312" s="19"/>
      <c r="D5312" s="19"/>
      <c r="E5312" s="19"/>
      <c r="F5312" s="20"/>
      <c r="G5312" s="19"/>
      <c r="H5312" s="19"/>
      <c r="I5312" s="19"/>
      <c r="J5312" s="21"/>
      <c r="K5312" s="19"/>
    </row>
    <row r="5313" spans="3:11" x14ac:dyDescent="0.2">
      <c r="C5313" s="19"/>
      <c r="D5313" s="19"/>
      <c r="E5313" s="19"/>
      <c r="F5313" s="20"/>
      <c r="G5313" s="19"/>
      <c r="H5313" s="19"/>
      <c r="I5313" s="19"/>
      <c r="J5313" s="21"/>
      <c r="K5313" s="19"/>
    </row>
    <row r="5314" spans="3:11" x14ac:dyDescent="0.2">
      <c r="C5314" s="19"/>
      <c r="D5314" s="19"/>
      <c r="E5314" s="19"/>
      <c r="F5314" s="20"/>
      <c r="G5314" s="19"/>
      <c r="H5314" s="19"/>
      <c r="I5314" s="19"/>
      <c r="J5314" s="21"/>
      <c r="K5314" s="19"/>
    </row>
    <row r="5315" spans="3:11" x14ac:dyDescent="0.2">
      <c r="C5315" s="19"/>
      <c r="D5315" s="19"/>
      <c r="E5315" s="19"/>
      <c r="F5315" s="20"/>
      <c r="G5315" s="19"/>
      <c r="H5315" s="19"/>
      <c r="I5315" s="19"/>
      <c r="J5315" s="21"/>
      <c r="K5315" s="19"/>
    </row>
    <row r="5316" spans="3:11" x14ac:dyDescent="0.2">
      <c r="C5316" s="19"/>
      <c r="D5316" s="19"/>
      <c r="E5316" s="19"/>
      <c r="F5316" s="20"/>
      <c r="G5316" s="19"/>
      <c r="H5316" s="19"/>
      <c r="I5316" s="19"/>
      <c r="J5316" s="21"/>
      <c r="K5316" s="19"/>
    </row>
    <row r="5317" spans="3:11" x14ac:dyDescent="0.2">
      <c r="C5317" s="19"/>
      <c r="D5317" s="19"/>
      <c r="E5317" s="19"/>
      <c r="F5317" s="20"/>
      <c r="G5317" s="19"/>
      <c r="H5317" s="19"/>
      <c r="I5317" s="19"/>
      <c r="J5317" s="21"/>
      <c r="K5317" s="19"/>
    </row>
    <row r="5318" spans="3:11" x14ac:dyDescent="0.2">
      <c r="C5318" s="19"/>
      <c r="D5318" s="19"/>
      <c r="E5318" s="19"/>
      <c r="F5318" s="20"/>
      <c r="G5318" s="19"/>
      <c r="H5318" s="19"/>
      <c r="I5318" s="19"/>
      <c r="J5318" s="21"/>
      <c r="K5318" s="19"/>
    </row>
    <row r="5319" spans="3:11" x14ac:dyDescent="0.2">
      <c r="C5319" s="19"/>
      <c r="D5319" s="19"/>
      <c r="E5319" s="19"/>
      <c r="F5319" s="20"/>
      <c r="G5319" s="19"/>
      <c r="H5319" s="19"/>
      <c r="I5319" s="19"/>
      <c r="J5319" s="21"/>
      <c r="K5319" s="19"/>
    </row>
    <row r="5320" spans="3:11" x14ac:dyDescent="0.2">
      <c r="C5320" s="19"/>
      <c r="D5320" s="19"/>
      <c r="E5320" s="19"/>
      <c r="F5320" s="20"/>
      <c r="G5320" s="19"/>
      <c r="H5320" s="19"/>
      <c r="I5320" s="19"/>
      <c r="J5320" s="21"/>
      <c r="K5320" s="19"/>
    </row>
    <row r="5321" spans="3:11" x14ac:dyDescent="0.2">
      <c r="C5321" s="19"/>
      <c r="D5321" s="19"/>
      <c r="E5321" s="19"/>
      <c r="F5321" s="20"/>
      <c r="G5321" s="19"/>
      <c r="H5321" s="19"/>
      <c r="I5321" s="19"/>
      <c r="J5321" s="21"/>
      <c r="K5321" s="19"/>
    </row>
    <row r="5322" spans="3:11" x14ac:dyDescent="0.2">
      <c r="C5322" s="19"/>
      <c r="D5322" s="19"/>
      <c r="E5322" s="19"/>
      <c r="F5322" s="20"/>
      <c r="G5322" s="19"/>
      <c r="H5322" s="19"/>
      <c r="I5322" s="19"/>
      <c r="J5322" s="21"/>
      <c r="K5322" s="19"/>
    </row>
    <row r="5323" spans="3:11" x14ac:dyDescent="0.2">
      <c r="C5323" s="19"/>
      <c r="D5323" s="19"/>
      <c r="E5323" s="19"/>
      <c r="F5323" s="20"/>
      <c r="G5323" s="19"/>
      <c r="H5323" s="19"/>
      <c r="I5323" s="19"/>
      <c r="J5323" s="21"/>
      <c r="K5323" s="19"/>
    </row>
    <row r="5324" spans="3:11" x14ac:dyDescent="0.2">
      <c r="C5324" s="19"/>
      <c r="D5324" s="19"/>
      <c r="E5324" s="19"/>
      <c r="F5324" s="20"/>
      <c r="G5324" s="19"/>
      <c r="H5324" s="19"/>
      <c r="I5324" s="19"/>
      <c r="J5324" s="21"/>
      <c r="K5324" s="19"/>
    </row>
    <row r="5325" spans="3:11" x14ac:dyDescent="0.2">
      <c r="C5325" s="19"/>
      <c r="D5325" s="19"/>
      <c r="E5325" s="19"/>
      <c r="F5325" s="20"/>
      <c r="G5325" s="19"/>
      <c r="H5325" s="19"/>
      <c r="I5325" s="19"/>
      <c r="J5325" s="21"/>
      <c r="K5325" s="19"/>
    </row>
    <row r="5326" spans="3:11" x14ac:dyDescent="0.2">
      <c r="C5326" s="19"/>
      <c r="D5326" s="19"/>
      <c r="E5326" s="19"/>
      <c r="F5326" s="20"/>
      <c r="G5326" s="19"/>
      <c r="H5326" s="19"/>
      <c r="I5326" s="19"/>
      <c r="J5326" s="21"/>
      <c r="K5326" s="19"/>
    </row>
    <row r="5327" spans="3:11" x14ac:dyDescent="0.2">
      <c r="C5327" s="19"/>
      <c r="D5327" s="19"/>
      <c r="E5327" s="19"/>
      <c r="F5327" s="20"/>
      <c r="G5327" s="19"/>
      <c r="H5327" s="19"/>
      <c r="I5327" s="19"/>
      <c r="J5327" s="21"/>
      <c r="K5327" s="19"/>
    </row>
    <row r="5328" spans="3:11" x14ac:dyDescent="0.2">
      <c r="C5328" s="19"/>
      <c r="D5328" s="19"/>
      <c r="E5328" s="19"/>
      <c r="F5328" s="20"/>
      <c r="G5328" s="19"/>
      <c r="H5328" s="19"/>
      <c r="I5328" s="19"/>
      <c r="J5328" s="21"/>
      <c r="K5328" s="19"/>
    </row>
    <row r="5329" spans="3:11" x14ac:dyDescent="0.2">
      <c r="C5329" s="19"/>
      <c r="D5329" s="19"/>
      <c r="E5329" s="19"/>
      <c r="F5329" s="20"/>
      <c r="G5329" s="19"/>
      <c r="H5329" s="19"/>
      <c r="I5329" s="19"/>
      <c r="J5329" s="21"/>
      <c r="K5329" s="19"/>
    </row>
    <row r="5330" spans="3:11" x14ac:dyDescent="0.2">
      <c r="C5330" s="19"/>
      <c r="D5330" s="19"/>
      <c r="E5330" s="19"/>
      <c r="F5330" s="20"/>
      <c r="G5330" s="19"/>
      <c r="H5330" s="19"/>
      <c r="I5330" s="19"/>
      <c r="J5330" s="21"/>
      <c r="K5330" s="19"/>
    </row>
    <row r="5331" spans="3:11" x14ac:dyDescent="0.2">
      <c r="C5331" s="19"/>
      <c r="D5331" s="19"/>
      <c r="E5331" s="19"/>
      <c r="F5331" s="20"/>
      <c r="G5331" s="19"/>
      <c r="H5331" s="19"/>
      <c r="I5331" s="19"/>
      <c r="J5331" s="21"/>
      <c r="K5331" s="19"/>
    </row>
    <row r="5332" spans="3:11" x14ac:dyDescent="0.2">
      <c r="C5332" s="19"/>
      <c r="D5332" s="19"/>
      <c r="E5332" s="19"/>
      <c r="F5332" s="20"/>
      <c r="G5332" s="19"/>
      <c r="H5332" s="19"/>
      <c r="I5332" s="19"/>
      <c r="J5332" s="21"/>
      <c r="K5332" s="19"/>
    </row>
    <row r="5333" spans="3:11" x14ac:dyDescent="0.2">
      <c r="C5333" s="19"/>
      <c r="D5333" s="19"/>
      <c r="E5333" s="19"/>
      <c r="F5333" s="20"/>
      <c r="G5333" s="19"/>
      <c r="H5333" s="19"/>
      <c r="I5333" s="19"/>
      <c r="J5333" s="21"/>
      <c r="K5333" s="19"/>
    </row>
    <row r="5334" spans="3:11" x14ac:dyDescent="0.2">
      <c r="C5334" s="19"/>
      <c r="D5334" s="19"/>
      <c r="E5334" s="19"/>
      <c r="F5334" s="20"/>
      <c r="G5334" s="19"/>
      <c r="H5334" s="19"/>
      <c r="I5334" s="19"/>
      <c r="J5334" s="21"/>
      <c r="K5334" s="19"/>
    </row>
    <row r="5335" spans="3:11" x14ac:dyDescent="0.2">
      <c r="C5335" s="19"/>
      <c r="D5335" s="19"/>
      <c r="E5335" s="19"/>
      <c r="F5335" s="20"/>
      <c r="G5335" s="19"/>
      <c r="H5335" s="19"/>
      <c r="I5335" s="19"/>
      <c r="J5335" s="21"/>
      <c r="K5335" s="19"/>
    </row>
    <row r="5336" spans="3:11" x14ac:dyDescent="0.2">
      <c r="C5336" s="19"/>
      <c r="D5336" s="19"/>
      <c r="E5336" s="19"/>
      <c r="F5336" s="20"/>
      <c r="G5336" s="19"/>
      <c r="H5336" s="19"/>
      <c r="I5336" s="19"/>
      <c r="J5336" s="21"/>
      <c r="K5336" s="19"/>
    </row>
    <row r="5337" spans="3:11" x14ac:dyDescent="0.2">
      <c r="C5337" s="19"/>
      <c r="D5337" s="19"/>
      <c r="E5337" s="19"/>
      <c r="F5337" s="20"/>
      <c r="G5337" s="19"/>
      <c r="H5337" s="19"/>
      <c r="I5337" s="19"/>
      <c r="J5337" s="21"/>
      <c r="K5337" s="19"/>
    </row>
    <row r="5338" spans="3:11" x14ac:dyDescent="0.2">
      <c r="C5338" s="19"/>
      <c r="D5338" s="19"/>
      <c r="E5338" s="19"/>
      <c r="F5338" s="20"/>
      <c r="G5338" s="19"/>
      <c r="H5338" s="19"/>
      <c r="I5338" s="19"/>
      <c r="J5338" s="21"/>
      <c r="K5338" s="19"/>
    </row>
    <row r="5339" spans="3:11" x14ac:dyDescent="0.2">
      <c r="C5339" s="19"/>
      <c r="D5339" s="19"/>
      <c r="E5339" s="19"/>
      <c r="F5339" s="20"/>
      <c r="G5339" s="19"/>
      <c r="H5339" s="19"/>
      <c r="I5339" s="19"/>
      <c r="J5339" s="21"/>
      <c r="K5339" s="19"/>
    </row>
    <row r="5340" spans="3:11" x14ac:dyDescent="0.2">
      <c r="C5340" s="19"/>
      <c r="D5340" s="19"/>
      <c r="E5340" s="19"/>
      <c r="F5340" s="20"/>
      <c r="G5340" s="19"/>
      <c r="H5340" s="19"/>
      <c r="I5340" s="19"/>
      <c r="J5340" s="21"/>
      <c r="K5340" s="19"/>
    </row>
    <row r="5341" spans="3:11" x14ac:dyDescent="0.2">
      <c r="C5341" s="19"/>
      <c r="D5341" s="19"/>
      <c r="E5341" s="19"/>
      <c r="F5341" s="20"/>
      <c r="G5341" s="19"/>
      <c r="H5341" s="19"/>
      <c r="I5341" s="19"/>
      <c r="J5341" s="21"/>
      <c r="K5341" s="19"/>
    </row>
    <row r="5342" spans="3:11" x14ac:dyDescent="0.2">
      <c r="C5342" s="19"/>
      <c r="D5342" s="19"/>
      <c r="E5342" s="19"/>
      <c r="F5342" s="20"/>
      <c r="G5342" s="19"/>
      <c r="H5342" s="19"/>
      <c r="I5342" s="19"/>
      <c r="J5342" s="21"/>
      <c r="K5342" s="19"/>
    </row>
    <row r="5343" spans="3:11" x14ac:dyDescent="0.2">
      <c r="C5343" s="19"/>
      <c r="D5343" s="19"/>
      <c r="E5343" s="19"/>
      <c r="F5343" s="20"/>
      <c r="G5343" s="19"/>
      <c r="H5343" s="19"/>
      <c r="I5343" s="19"/>
      <c r="J5343" s="21"/>
      <c r="K5343" s="19"/>
    </row>
    <row r="5344" spans="3:11" x14ac:dyDescent="0.2">
      <c r="C5344" s="19"/>
      <c r="D5344" s="19"/>
      <c r="E5344" s="19"/>
      <c r="F5344" s="20"/>
      <c r="G5344" s="19"/>
      <c r="H5344" s="19"/>
      <c r="I5344" s="19"/>
      <c r="J5344" s="21"/>
      <c r="K5344" s="19"/>
    </row>
    <row r="5345" spans="3:11" x14ac:dyDescent="0.2">
      <c r="C5345" s="19"/>
      <c r="D5345" s="19"/>
      <c r="E5345" s="19"/>
      <c r="F5345" s="20"/>
      <c r="G5345" s="19"/>
      <c r="H5345" s="19"/>
      <c r="I5345" s="19"/>
      <c r="J5345" s="21"/>
      <c r="K5345" s="19"/>
    </row>
    <row r="5346" spans="3:11" x14ac:dyDescent="0.2">
      <c r="C5346" s="19"/>
      <c r="D5346" s="19"/>
      <c r="E5346" s="19"/>
      <c r="F5346" s="20"/>
      <c r="G5346" s="19"/>
      <c r="H5346" s="19"/>
      <c r="I5346" s="19"/>
      <c r="J5346" s="21"/>
      <c r="K5346" s="19"/>
    </row>
    <row r="5347" spans="3:11" x14ac:dyDescent="0.2">
      <c r="C5347" s="19"/>
      <c r="D5347" s="19"/>
      <c r="E5347" s="19"/>
      <c r="F5347" s="20"/>
      <c r="G5347" s="19"/>
      <c r="H5347" s="19"/>
      <c r="I5347" s="19"/>
      <c r="J5347" s="21"/>
      <c r="K5347" s="19"/>
    </row>
    <row r="5348" spans="3:11" x14ac:dyDescent="0.2">
      <c r="C5348" s="19"/>
      <c r="D5348" s="19"/>
      <c r="E5348" s="19"/>
      <c r="F5348" s="20"/>
      <c r="G5348" s="19"/>
      <c r="H5348" s="19"/>
      <c r="I5348" s="19"/>
      <c r="J5348" s="21"/>
      <c r="K5348" s="19"/>
    </row>
    <row r="5349" spans="3:11" x14ac:dyDescent="0.2">
      <c r="C5349" s="19"/>
      <c r="D5349" s="19"/>
      <c r="E5349" s="19"/>
      <c r="F5349" s="20"/>
      <c r="G5349" s="19"/>
      <c r="H5349" s="19"/>
      <c r="I5349" s="19"/>
      <c r="J5349" s="19"/>
      <c r="K5349" s="19"/>
    </row>
    <row r="5350" spans="3:11" x14ac:dyDescent="0.2">
      <c r="C5350" s="19"/>
      <c r="D5350" s="19"/>
      <c r="E5350" s="19"/>
      <c r="F5350" s="20"/>
      <c r="G5350" s="19"/>
      <c r="H5350" s="19"/>
      <c r="I5350" s="19"/>
      <c r="J5350" s="19"/>
      <c r="K5350" s="19"/>
    </row>
    <row r="5351" spans="3:11" x14ac:dyDescent="0.2">
      <c r="C5351" s="19"/>
      <c r="D5351" s="19"/>
      <c r="E5351" s="19"/>
      <c r="F5351" s="20"/>
      <c r="G5351" s="19"/>
      <c r="H5351" s="19"/>
      <c r="I5351" s="19"/>
      <c r="J5351" s="21"/>
      <c r="K5351" s="19"/>
    </row>
    <row r="5352" spans="3:11" x14ac:dyDescent="0.2">
      <c r="C5352" s="19"/>
      <c r="D5352" s="19"/>
      <c r="E5352" s="19"/>
      <c r="F5352" s="20"/>
      <c r="G5352" s="19"/>
      <c r="H5352" s="19"/>
      <c r="I5352" s="19"/>
      <c r="J5352" s="21"/>
      <c r="K5352" s="19"/>
    </row>
    <row r="5353" spans="3:11" x14ac:dyDescent="0.2">
      <c r="C5353" s="19"/>
      <c r="D5353" s="19"/>
      <c r="E5353" s="19"/>
      <c r="F5353" s="20"/>
      <c r="G5353" s="19"/>
      <c r="H5353" s="19"/>
      <c r="I5353" s="19"/>
      <c r="J5353" s="21"/>
      <c r="K5353" s="19"/>
    </row>
    <row r="5354" spans="3:11" x14ac:dyDescent="0.2">
      <c r="C5354" s="19"/>
      <c r="D5354" s="19"/>
      <c r="E5354" s="19"/>
      <c r="F5354" s="20"/>
      <c r="G5354" s="19"/>
      <c r="H5354" s="19"/>
      <c r="I5354" s="19"/>
      <c r="J5354" s="21"/>
      <c r="K5354" s="19"/>
    </row>
    <row r="5355" spans="3:11" x14ac:dyDescent="0.2">
      <c r="C5355" s="19"/>
      <c r="D5355" s="19"/>
      <c r="E5355" s="19"/>
      <c r="F5355" s="20"/>
      <c r="G5355" s="19"/>
      <c r="H5355" s="19"/>
      <c r="I5355" s="19"/>
      <c r="J5355" s="21"/>
      <c r="K5355" s="19"/>
    </row>
    <row r="5356" spans="3:11" x14ac:dyDescent="0.2">
      <c r="C5356" s="19"/>
      <c r="D5356" s="19"/>
      <c r="E5356" s="19"/>
      <c r="F5356" s="20"/>
      <c r="G5356" s="19"/>
      <c r="H5356" s="19"/>
      <c r="I5356" s="19"/>
      <c r="J5356" s="21"/>
      <c r="K5356" s="19"/>
    </row>
    <row r="5357" spans="3:11" x14ac:dyDescent="0.2">
      <c r="C5357" s="19"/>
      <c r="D5357" s="19"/>
      <c r="E5357" s="19"/>
      <c r="F5357" s="20"/>
      <c r="G5357" s="19"/>
      <c r="H5357" s="19"/>
      <c r="I5357" s="19"/>
      <c r="J5357" s="21"/>
      <c r="K5357" s="19"/>
    </row>
    <row r="5358" spans="3:11" x14ac:dyDescent="0.2">
      <c r="C5358" s="19"/>
      <c r="D5358" s="19"/>
      <c r="E5358" s="19"/>
      <c r="F5358" s="20"/>
      <c r="G5358" s="19"/>
      <c r="H5358" s="19"/>
      <c r="I5358" s="19"/>
      <c r="J5358" s="21"/>
      <c r="K5358" s="19"/>
    </row>
    <row r="5359" spans="3:11" x14ac:dyDescent="0.2">
      <c r="C5359" s="19"/>
      <c r="D5359" s="19"/>
      <c r="E5359" s="19"/>
      <c r="F5359" s="20"/>
      <c r="G5359" s="19"/>
      <c r="H5359" s="19"/>
      <c r="I5359" s="19"/>
      <c r="J5359" s="21"/>
      <c r="K5359" s="19"/>
    </row>
    <row r="5360" spans="3:11" x14ac:dyDescent="0.2">
      <c r="C5360" s="19"/>
      <c r="D5360" s="19"/>
      <c r="E5360" s="19"/>
      <c r="F5360" s="20"/>
      <c r="G5360" s="19"/>
      <c r="H5360" s="19"/>
      <c r="I5360" s="19"/>
      <c r="J5360" s="21"/>
      <c r="K5360" s="19"/>
    </row>
    <row r="5361" spans="3:11" x14ac:dyDescent="0.2">
      <c r="C5361" s="19"/>
      <c r="D5361" s="19"/>
      <c r="E5361" s="19"/>
      <c r="F5361" s="20"/>
      <c r="G5361" s="19"/>
      <c r="H5361" s="19"/>
      <c r="I5361" s="19"/>
      <c r="J5361" s="21"/>
      <c r="K5361" s="19"/>
    </row>
    <row r="5362" spans="3:11" x14ac:dyDescent="0.2">
      <c r="C5362" s="19"/>
      <c r="D5362" s="19"/>
      <c r="E5362" s="19"/>
      <c r="F5362" s="20"/>
      <c r="G5362" s="19"/>
      <c r="H5362" s="19"/>
      <c r="I5362" s="19"/>
      <c r="J5362" s="21"/>
      <c r="K5362" s="19"/>
    </row>
    <row r="5363" spans="3:11" x14ac:dyDescent="0.2">
      <c r="C5363" s="19"/>
      <c r="D5363" s="19"/>
      <c r="E5363" s="19"/>
      <c r="F5363" s="20"/>
      <c r="G5363" s="19"/>
      <c r="H5363" s="19"/>
      <c r="I5363" s="19"/>
      <c r="J5363" s="21"/>
      <c r="K5363" s="19"/>
    </row>
    <row r="5364" spans="3:11" x14ac:dyDescent="0.2">
      <c r="C5364" s="19"/>
      <c r="D5364" s="19"/>
      <c r="E5364" s="19"/>
      <c r="F5364" s="20"/>
      <c r="G5364" s="19"/>
      <c r="H5364" s="19"/>
      <c r="I5364" s="19"/>
      <c r="J5364" s="21"/>
      <c r="K5364" s="19"/>
    </row>
    <row r="5365" spans="3:11" x14ac:dyDescent="0.2">
      <c r="C5365" s="19"/>
      <c r="D5365" s="19"/>
      <c r="E5365" s="19"/>
      <c r="F5365" s="20"/>
      <c r="G5365" s="19"/>
      <c r="H5365" s="19"/>
      <c r="I5365" s="19"/>
      <c r="J5365" s="21"/>
      <c r="K5365" s="19"/>
    </row>
    <row r="5366" spans="3:11" x14ac:dyDescent="0.2">
      <c r="C5366" s="19"/>
      <c r="D5366" s="19"/>
      <c r="E5366" s="19"/>
      <c r="F5366" s="20"/>
      <c r="G5366" s="19"/>
      <c r="H5366" s="19"/>
      <c r="I5366" s="19"/>
      <c r="J5366" s="21"/>
      <c r="K5366" s="19"/>
    </row>
    <row r="5367" spans="3:11" x14ac:dyDescent="0.2">
      <c r="C5367" s="19"/>
      <c r="D5367" s="19"/>
      <c r="E5367" s="19"/>
      <c r="F5367" s="20"/>
      <c r="G5367" s="19"/>
      <c r="H5367" s="19"/>
      <c r="I5367" s="19"/>
      <c r="J5367" s="21"/>
      <c r="K5367" s="19"/>
    </row>
    <row r="5368" spans="3:11" x14ac:dyDescent="0.2">
      <c r="C5368" s="19"/>
      <c r="D5368" s="19"/>
      <c r="E5368" s="19"/>
      <c r="F5368" s="20"/>
      <c r="G5368" s="19"/>
      <c r="H5368" s="19"/>
      <c r="I5368" s="19"/>
      <c r="J5368" s="21"/>
      <c r="K5368" s="19"/>
    </row>
    <row r="5369" spans="3:11" x14ac:dyDescent="0.2">
      <c r="C5369" s="19"/>
      <c r="D5369" s="19"/>
      <c r="E5369" s="19"/>
      <c r="F5369" s="20"/>
      <c r="G5369" s="19"/>
      <c r="H5369" s="19"/>
      <c r="I5369" s="19"/>
      <c r="J5369" s="21"/>
      <c r="K5369" s="19"/>
    </row>
    <row r="5370" spans="3:11" x14ac:dyDescent="0.2">
      <c r="C5370" s="19"/>
      <c r="D5370" s="19"/>
      <c r="E5370" s="19"/>
      <c r="F5370" s="20"/>
      <c r="G5370" s="19"/>
      <c r="H5370" s="19"/>
      <c r="I5370" s="19"/>
      <c r="J5370" s="21"/>
      <c r="K5370" s="19"/>
    </row>
    <row r="5371" spans="3:11" x14ac:dyDescent="0.2">
      <c r="C5371" s="19"/>
      <c r="D5371" s="19"/>
      <c r="E5371" s="19"/>
      <c r="F5371" s="20"/>
      <c r="G5371" s="19"/>
      <c r="H5371" s="19"/>
      <c r="I5371" s="19"/>
      <c r="J5371" s="21"/>
      <c r="K5371" s="19"/>
    </row>
    <row r="5372" spans="3:11" x14ac:dyDescent="0.2">
      <c r="C5372" s="19"/>
      <c r="D5372" s="19"/>
      <c r="E5372" s="19"/>
      <c r="F5372" s="20"/>
      <c r="G5372" s="19"/>
      <c r="H5372" s="19"/>
      <c r="I5372" s="19"/>
      <c r="J5372" s="21"/>
      <c r="K5372" s="19"/>
    </row>
    <row r="5373" spans="3:11" x14ac:dyDescent="0.2">
      <c r="C5373" s="19"/>
      <c r="D5373" s="19"/>
      <c r="E5373" s="19"/>
      <c r="F5373" s="20"/>
      <c r="G5373" s="19"/>
      <c r="H5373" s="19"/>
      <c r="I5373" s="19"/>
      <c r="J5373" s="21"/>
      <c r="K5373" s="19"/>
    </row>
    <row r="5374" spans="3:11" x14ac:dyDescent="0.2">
      <c r="C5374" s="19"/>
      <c r="D5374" s="19"/>
      <c r="E5374" s="19"/>
      <c r="F5374" s="20"/>
      <c r="G5374" s="19"/>
      <c r="H5374" s="19"/>
      <c r="I5374" s="19"/>
      <c r="J5374" s="19"/>
      <c r="K5374" s="19"/>
    </row>
    <row r="5375" spans="3:11" x14ac:dyDescent="0.2">
      <c r="C5375" s="19"/>
      <c r="D5375" s="19"/>
      <c r="E5375" s="19"/>
      <c r="F5375" s="20"/>
      <c r="G5375" s="19"/>
      <c r="H5375" s="19"/>
      <c r="I5375" s="19"/>
      <c r="J5375" s="21"/>
      <c r="K5375" s="19"/>
    </row>
    <row r="5376" spans="3:11" x14ac:dyDescent="0.2">
      <c r="C5376" s="19"/>
      <c r="D5376" s="19"/>
      <c r="E5376" s="19"/>
      <c r="F5376" s="20"/>
      <c r="G5376" s="19"/>
      <c r="H5376" s="19"/>
      <c r="I5376" s="19"/>
      <c r="J5376" s="21"/>
      <c r="K5376" s="19"/>
    </row>
    <row r="5377" spans="3:11" x14ac:dyDescent="0.2">
      <c r="C5377" s="19"/>
      <c r="D5377" s="19"/>
      <c r="E5377" s="19"/>
      <c r="F5377" s="20"/>
      <c r="G5377" s="19"/>
      <c r="H5377" s="19"/>
      <c r="I5377" s="19"/>
      <c r="J5377" s="21"/>
      <c r="K5377" s="19"/>
    </row>
    <row r="5378" spans="3:11" x14ac:dyDescent="0.2">
      <c r="C5378" s="19"/>
      <c r="D5378" s="19"/>
      <c r="E5378" s="19"/>
      <c r="F5378" s="20"/>
      <c r="G5378" s="19"/>
      <c r="H5378" s="19"/>
      <c r="I5378" s="19"/>
      <c r="J5378" s="21"/>
      <c r="K5378" s="19"/>
    </row>
    <row r="5379" spans="3:11" x14ac:dyDescent="0.2">
      <c r="C5379" s="19"/>
      <c r="D5379" s="19"/>
      <c r="E5379" s="19"/>
      <c r="F5379" s="20"/>
      <c r="G5379" s="19"/>
      <c r="H5379" s="19"/>
      <c r="I5379" s="19"/>
      <c r="J5379" s="21"/>
      <c r="K5379" s="19"/>
    </row>
    <row r="5380" spans="3:11" x14ac:dyDescent="0.2">
      <c r="C5380" s="19"/>
      <c r="D5380" s="19"/>
      <c r="E5380" s="19"/>
      <c r="F5380" s="20"/>
      <c r="G5380" s="19"/>
      <c r="H5380" s="19"/>
      <c r="I5380" s="19"/>
      <c r="J5380" s="21"/>
      <c r="K5380" s="19"/>
    </row>
    <row r="5381" spans="3:11" x14ac:dyDescent="0.2">
      <c r="C5381" s="19"/>
      <c r="D5381" s="19"/>
      <c r="E5381" s="19"/>
      <c r="F5381" s="20"/>
      <c r="G5381" s="19"/>
      <c r="H5381" s="19"/>
      <c r="I5381" s="19"/>
      <c r="J5381" s="21"/>
      <c r="K5381" s="19"/>
    </row>
    <row r="5382" spans="3:11" x14ac:dyDescent="0.2">
      <c r="C5382" s="19"/>
      <c r="D5382" s="19"/>
      <c r="E5382" s="19"/>
      <c r="F5382" s="20"/>
      <c r="G5382" s="19"/>
      <c r="H5382" s="19"/>
      <c r="I5382" s="19"/>
      <c r="J5382" s="21"/>
      <c r="K5382" s="19"/>
    </row>
    <row r="5383" spans="3:11" x14ac:dyDescent="0.2">
      <c r="C5383" s="19"/>
      <c r="D5383" s="19"/>
      <c r="E5383" s="19"/>
      <c r="F5383" s="20"/>
      <c r="G5383" s="19"/>
      <c r="H5383" s="19"/>
      <c r="I5383" s="19"/>
      <c r="J5383" s="21"/>
      <c r="K5383" s="19"/>
    </row>
    <row r="5384" spans="3:11" x14ac:dyDescent="0.2">
      <c r="C5384" s="19"/>
      <c r="D5384" s="19"/>
      <c r="E5384" s="19"/>
      <c r="F5384" s="20"/>
      <c r="G5384" s="19"/>
      <c r="H5384" s="19"/>
      <c r="I5384" s="19"/>
      <c r="J5384" s="21"/>
      <c r="K5384" s="19"/>
    </row>
    <row r="5385" spans="3:11" x14ac:dyDescent="0.2">
      <c r="C5385" s="19"/>
      <c r="D5385" s="19"/>
      <c r="E5385" s="19"/>
      <c r="F5385" s="20"/>
      <c r="G5385" s="19"/>
      <c r="H5385" s="19"/>
      <c r="I5385" s="19"/>
      <c r="J5385" s="21"/>
      <c r="K5385" s="19"/>
    </row>
    <row r="5386" spans="3:11" x14ac:dyDescent="0.2">
      <c r="C5386" s="19"/>
      <c r="D5386" s="19"/>
      <c r="E5386" s="19"/>
      <c r="F5386" s="20"/>
      <c r="G5386" s="19"/>
      <c r="H5386" s="19"/>
      <c r="I5386" s="19"/>
      <c r="J5386" s="21"/>
      <c r="K5386" s="19"/>
    </row>
    <row r="5387" spans="3:11" x14ac:dyDescent="0.2">
      <c r="C5387" s="19"/>
      <c r="D5387" s="19"/>
      <c r="E5387" s="19"/>
      <c r="F5387" s="20"/>
      <c r="G5387" s="19"/>
      <c r="H5387" s="19"/>
      <c r="I5387" s="19"/>
      <c r="J5387" s="21"/>
      <c r="K5387" s="19"/>
    </row>
    <row r="5388" spans="3:11" x14ac:dyDescent="0.2">
      <c r="C5388" s="19"/>
      <c r="D5388" s="19"/>
      <c r="E5388" s="19"/>
      <c r="F5388" s="20"/>
      <c r="G5388" s="19"/>
      <c r="H5388" s="19"/>
      <c r="I5388" s="19"/>
      <c r="J5388" s="21"/>
      <c r="K5388" s="19"/>
    </row>
    <row r="5389" spans="3:11" x14ac:dyDescent="0.2">
      <c r="C5389" s="19"/>
      <c r="D5389" s="19"/>
      <c r="E5389" s="19"/>
      <c r="F5389" s="20"/>
      <c r="G5389" s="19"/>
      <c r="H5389" s="19"/>
      <c r="I5389" s="19"/>
      <c r="J5389" s="21"/>
      <c r="K5389" s="19"/>
    </row>
    <row r="5390" spans="3:11" x14ac:dyDescent="0.2">
      <c r="C5390" s="19"/>
      <c r="D5390" s="19"/>
      <c r="E5390" s="19"/>
      <c r="F5390" s="20"/>
      <c r="G5390" s="19"/>
      <c r="H5390" s="19"/>
      <c r="I5390" s="19"/>
      <c r="J5390" s="21"/>
      <c r="K5390" s="19"/>
    </row>
    <row r="5391" spans="3:11" x14ac:dyDescent="0.2">
      <c r="C5391" s="19"/>
      <c r="D5391" s="19"/>
      <c r="E5391" s="19"/>
      <c r="F5391" s="20"/>
      <c r="G5391" s="19"/>
      <c r="H5391" s="19"/>
      <c r="I5391" s="19"/>
      <c r="J5391" s="21"/>
      <c r="K5391" s="19"/>
    </row>
    <row r="5392" spans="3:11" x14ac:dyDescent="0.2">
      <c r="C5392" s="19"/>
      <c r="D5392" s="19"/>
      <c r="E5392" s="19"/>
      <c r="F5392" s="20"/>
      <c r="G5392" s="19"/>
      <c r="H5392" s="19"/>
      <c r="I5392" s="19"/>
      <c r="J5392" s="21"/>
      <c r="K5392" s="19"/>
    </row>
    <row r="5393" spans="3:11" x14ac:dyDescent="0.2">
      <c r="C5393" s="19"/>
      <c r="D5393" s="19"/>
      <c r="E5393" s="19"/>
      <c r="F5393" s="20"/>
      <c r="G5393" s="19"/>
      <c r="H5393" s="19"/>
      <c r="I5393" s="19"/>
      <c r="J5393" s="21"/>
      <c r="K5393" s="19"/>
    </row>
    <row r="5394" spans="3:11" x14ac:dyDescent="0.2">
      <c r="C5394" s="19"/>
      <c r="D5394" s="19"/>
      <c r="E5394" s="19"/>
      <c r="F5394" s="20"/>
      <c r="G5394" s="19"/>
      <c r="H5394" s="19"/>
      <c r="I5394" s="19"/>
      <c r="J5394" s="21"/>
      <c r="K5394" s="19"/>
    </row>
    <row r="5395" spans="3:11" x14ac:dyDescent="0.2">
      <c r="C5395" s="19"/>
      <c r="D5395" s="19"/>
      <c r="E5395" s="19"/>
      <c r="F5395" s="20"/>
      <c r="G5395" s="19"/>
      <c r="H5395" s="19"/>
      <c r="I5395" s="19"/>
      <c r="J5395" s="21"/>
      <c r="K5395" s="19"/>
    </row>
    <row r="5396" spans="3:11" x14ac:dyDescent="0.2">
      <c r="C5396" s="19"/>
      <c r="D5396" s="19"/>
      <c r="E5396" s="19"/>
      <c r="F5396" s="20"/>
      <c r="G5396" s="19"/>
      <c r="H5396" s="19"/>
      <c r="I5396" s="19"/>
      <c r="J5396" s="21"/>
      <c r="K5396" s="19"/>
    </row>
    <row r="5397" spans="3:11" x14ac:dyDescent="0.2">
      <c r="C5397" s="19"/>
      <c r="D5397" s="19"/>
      <c r="E5397" s="19"/>
      <c r="F5397" s="20"/>
      <c r="G5397" s="19"/>
      <c r="H5397" s="19"/>
      <c r="I5397" s="19"/>
      <c r="J5397" s="21"/>
      <c r="K5397" s="19"/>
    </row>
    <row r="5398" spans="3:11" x14ac:dyDescent="0.2">
      <c r="C5398" s="19"/>
      <c r="D5398" s="19"/>
      <c r="E5398" s="19"/>
      <c r="F5398" s="20"/>
      <c r="G5398" s="19"/>
      <c r="H5398" s="19"/>
      <c r="I5398" s="19"/>
      <c r="J5398" s="21"/>
      <c r="K5398" s="19"/>
    </row>
    <row r="5399" spans="3:11" x14ac:dyDescent="0.2">
      <c r="C5399" s="19"/>
      <c r="D5399" s="19"/>
      <c r="E5399" s="19"/>
      <c r="F5399" s="20"/>
      <c r="G5399" s="19"/>
      <c r="H5399" s="19"/>
      <c r="I5399" s="19"/>
      <c r="J5399" s="21"/>
      <c r="K5399" s="19"/>
    </row>
    <row r="5400" spans="3:11" x14ac:dyDescent="0.2">
      <c r="C5400" s="19"/>
      <c r="D5400" s="19"/>
      <c r="E5400" s="19"/>
      <c r="F5400" s="20"/>
      <c r="G5400" s="19"/>
      <c r="H5400" s="19"/>
      <c r="I5400" s="19"/>
      <c r="J5400" s="21"/>
      <c r="K5400" s="19"/>
    </row>
    <row r="5401" spans="3:11" x14ac:dyDescent="0.2">
      <c r="C5401" s="19"/>
      <c r="D5401" s="19"/>
      <c r="E5401" s="19"/>
      <c r="F5401" s="20"/>
      <c r="G5401" s="19"/>
      <c r="H5401" s="19"/>
      <c r="I5401" s="19"/>
      <c r="J5401" s="21"/>
      <c r="K5401" s="19"/>
    </row>
    <row r="5402" spans="3:11" x14ac:dyDescent="0.2">
      <c r="C5402" s="19"/>
      <c r="D5402" s="19"/>
      <c r="E5402" s="19"/>
      <c r="F5402" s="20"/>
      <c r="G5402" s="19"/>
      <c r="H5402" s="19"/>
      <c r="I5402" s="19"/>
      <c r="J5402" s="21"/>
      <c r="K5402" s="19"/>
    </row>
    <row r="5403" spans="3:11" x14ac:dyDescent="0.2">
      <c r="C5403" s="19"/>
      <c r="D5403" s="19"/>
      <c r="E5403" s="19"/>
      <c r="F5403" s="20"/>
      <c r="G5403" s="19"/>
      <c r="H5403" s="19"/>
      <c r="I5403" s="19"/>
      <c r="J5403" s="21"/>
      <c r="K5403" s="19"/>
    </row>
    <row r="5404" spans="3:11" x14ac:dyDescent="0.2">
      <c r="C5404" s="19"/>
      <c r="D5404" s="19"/>
      <c r="E5404" s="19"/>
      <c r="F5404" s="20"/>
      <c r="G5404" s="19"/>
      <c r="H5404" s="19"/>
      <c r="I5404" s="19"/>
      <c r="J5404" s="21"/>
      <c r="K5404" s="19"/>
    </row>
    <row r="5405" spans="3:11" x14ac:dyDescent="0.2">
      <c r="C5405" s="19"/>
      <c r="D5405" s="19"/>
      <c r="E5405" s="19"/>
      <c r="F5405" s="20"/>
      <c r="G5405" s="19"/>
      <c r="H5405" s="19"/>
      <c r="I5405" s="19"/>
      <c r="J5405" s="21"/>
      <c r="K5405" s="19"/>
    </row>
    <row r="5406" spans="3:11" x14ac:dyDescent="0.2">
      <c r="C5406" s="19"/>
      <c r="D5406" s="19"/>
      <c r="E5406" s="19"/>
      <c r="F5406" s="20"/>
      <c r="G5406" s="19"/>
      <c r="H5406" s="19"/>
      <c r="I5406" s="19"/>
      <c r="J5406" s="21"/>
      <c r="K5406" s="19"/>
    </row>
    <row r="5407" spans="3:11" x14ac:dyDescent="0.2">
      <c r="C5407" s="19"/>
      <c r="D5407" s="19"/>
      <c r="E5407" s="19"/>
      <c r="F5407" s="20"/>
      <c r="G5407" s="19"/>
      <c r="H5407" s="19"/>
      <c r="I5407" s="19"/>
      <c r="J5407" s="21"/>
      <c r="K5407" s="19"/>
    </row>
    <row r="5408" spans="3:11" x14ac:dyDescent="0.2">
      <c r="C5408" s="19"/>
      <c r="D5408" s="19"/>
      <c r="E5408" s="19"/>
      <c r="F5408" s="20"/>
      <c r="G5408" s="19"/>
      <c r="H5408" s="19"/>
      <c r="I5408" s="19"/>
      <c r="J5408" s="21"/>
      <c r="K5408" s="19"/>
    </row>
    <row r="5409" spans="3:11" x14ac:dyDescent="0.2">
      <c r="C5409" s="19"/>
      <c r="D5409" s="19"/>
      <c r="E5409" s="19"/>
      <c r="F5409" s="20"/>
      <c r="G5409" s="19"/>
      <c r="H5409" s="19"/>
      <c r="I5409" s="19"/>
      <c r="J5409" s="21"/>
      <c r="K5409" s="19"/>
    </row>
    <row r="5410" spans="3:11" x14ac:dyDescent="0.2">
      <c r="C5410" s="19"/>
      <c r="D5410" s="19"/>
      <c r="E5410" s="19"/>
      <c r="F5410" s="20"/>
      <c r="G5410" s="19"/>
      <c r="H5410" s="19"/>
      <c r="I5410" s="19"/>
      <c r="J5410" s="21"/>
      <c r="K5410" s="19"/>
    </row>
    <row r="5411" spans="3:11" x14ac:dyDescent="0.2">
      <c r="C5411" s="19"/>
      <c r="D5411" s="19"/>
      <c r="E5411" s="19"/>
      <c r="F5411" s="20"/>
      <c r="G5411" s="19"/>
      <c r="H5411" s="19"/>
      <c r="I5411" s="19"/>
      <c r="J5411" s="21"/>
      <c r="K5411" s="19"/>
    </row>
    <row r="5412" spans="3:11" x14ac:dyDescent="0.2">
      <c r="C5412" s="19"/>
      <c r="D5412" s="19"/>
      <c r="E5412" s="19"/>
      <c r="F5412" s="20"/>
      <c r="G5412" s="19"/>
      <c r="H5412" s="19"/>
      <c r="I5412" s="19"/>
      <c r="J5412" s="21"/>
      <c r="K5412" s="19"/>
    </row>
    <row r="5413" spans="3:11" x14ac:dyDescent="0.2">
      <c r="C5413" s="19"/>
      <c r="D5413" s="19"/>
      <c r="E5413" s="19"/>
      <c r="F5413" s="20"/>
      <c r="G5413" s="19"/>
      <c r="H5413" s="19"/>
      <c r="I5413" s="19"/>
      <c r="J5413" s="21"/>
      <c r="K5413" s="19"/>
    </row>
    <row r="5414" spans="3:11" x14ac:dyDescent="0.2">
      <c r="C5414" s="19"/>
      <c r="D5414" s="19"/>
      <c r="E5414" s="19"/>
      <c r="F5414" s="20"/>
      <c r="G5414" s="19"/>
      <c r="H5414" s="19"/>
      <c r="I5414" s="19"/>
      <c r="J5414" s="21"/>
      <c r="K5414" s="19"/>
    </row>
    <row r="5415" spans="3:11" x14ac:dyDescent="0.2">
      <c r="C5415" s="19"/>
      <c r="D5415" s="19"/>
      <c r="E5415" s="19"/>
      <c r="F5415" s="20"/>
      <c r="G5415" s="19"/>
      <c r="H5415" s="19"/>
      <c r="I5415" s="19"/>
      <c r="J5415" s="21"/>
      <c r="K5415" s="19"/>
    </row>
    <row r="5416" spans="3:11" x14ac:dyDescent="0.2">
      <c r="C5416" s="19"/>
      <c r="D5416" s="19"/>
      <c r="E5416" s="19"/>
      <c r="F5416" s="20"/>
      <c r="G5416" s="19"/>
      <c r="H5416" s="19"/>
      <c r="I5416" s="19"/>
      <c r="J5416" s="21"/>
      <c r="K5416" s="19"/>
    </row>
    <row r="5417" spans="3:11" x14ac:dyDescent="0.2">
      <c r="C5417" s="19"/>
      <c r="D5417" s="19"/>
      <c r="E5417" s="19"/>
      <c r="F5417" s="20"/>
      <c r="G5417" s="19"/>
      <c r="H5417" s="19"/>
      <c r="I5417" s="19"/>
      <c r="J5417" s="21"/>
      <c r="K5417" s="19"/>
    </row>
    <row r="5418" spans="3:11" x14ac:dyDescent="0.2">
      <c r="C5418" s="19"/>
      <c r="D5418" s="19"/>
      <c r="E5418" s="19"/>
      <c r="F5418" s="20"/>
      <c r="G5418" s="19"/>
      <c r="H5418" s="19"/>
      <c r="I5418" s="19"/>
      <c r="J5418" s="21"/>
      <c r="K5418" s="19"/>
    </row>
    <row r="5419" spans="3:11" x14ac:dyDescent="0.2">
      <c r="C5419" s="19"/>
      <c r="D5419" s="19"/>
      <c r="E5419" s="19"/>
      <c r="F5419" s="20"/>
      <c r="G5419" s="19"/>
      <c r="H5419" s="19"/>
      <c r="I5419" s="19"/>
      <c r="J5419" s="21"/>
      <c r="K5419" s="19"/>
    </row>
    <row r="5420" spans="3:11" x14ac:dyDescent="0.2">
      <c r="C5420" s="19"/>
      <c r="D5420" s="19"/>
      <c r="E5420" s="19"/>
      <c r="F5420" s="20"/>
      <c r="G5420" s="19"/>
      <c r="H5420" s="19"/>
      <c r="I5420" s="19"/>
      <c r="J5420" s="21"/>
      <c r="K5420" s="19"/>
    </row>
    <row r="5421" spans="3:11" x14ac:dyDescent="0.2">
      <c r="C5421" s="19"/>
      <c r="D5421" s="19"/>
      <c r="E5421" s="19"/>
      <c r="F5421" s="20"/>
      <c r="G5421" s="19"/>
      <c r="H5421" s="19"/>
      <c r="I5421" s="19"/>
      <c r="J5421" s="21"/>
      <c r="K5421" s="19"/>
    </row>
    <row r="5422" spans="3:11" x14ac:dyDescent="0.2">
      <c r="C5422" s="19"/>
      <c r="D5422" s="19"/>
      <c r="E5422" s="19"/>
      <c r="F5422" s="20"/>
      <c r="G5422" s="19"/>
      <c r="H5422" s="19"/>
      <c r="I5422" s="19"/>
      <c r="J5422" s="21"/>
      <c r="K5422" s="19"/>
    </row>
    <row r="5423" spans="3:11" x14ac:dyDescent="0.2">
      <c r="C5423" s="19"/>
      <c r="D5423" s="19"/>
      <c r="E5423" s="19"/>
      <c r="F5423" s="20"/>
      <c r="G5423" s="19"/>
      <c r="H5423" s="19"/>
      <c r="I5423" s="19"/>
      <c r="J5423" s="21"/>
      <c r="K5423" s="19"/>
    </row>
    <row r="5424" spans="3:11" x14ac:dyDescent="0.2">
      <c r="C5424" s="19"/>
      <c r="D5424" s="19"/>
      <c r="E5424" s="19"/>
      <c r="F5424" s="20"/>
      <c r="G5424" s="19"/>
      <c r="H5424" s="19"/>
      <c r="I5424" s="19"/>
      <c r="J5424" s="21"/>
      <c r="K5424" s="19"/>
    </row>
    <row r="5425" spans="3:11" x14ac:dyDescent="0.2">
      <c r="C5425" s="19"/>
      <c r="D5425" s="19"/>
      <c r="E5425" s="19"/>
      <c r="F5425" s="20"/>
      <c r="G5425" s="19"/>
      <c r="H5425" s="19"/>
      <c r="I5425" s="19"/>
      <c r="J5425" s="21"/>
      <c r="K5425" s="19"/>
    </row>
    <row r="5426" spans="3:11" x14ac:dyDescent="0.2">
      <c r="C5426" s="19"/>
      <c r="D5426" s="19"/>
      <c r="E5426" s="19"/>
      <c r="F5426" s="20"/>
      <c r="G5426" s="19"/>
      <c r="H5426" s="19"/>
      <c r="I5426" s="19"/>
      <c r="J5426" s="21"/>
      <c r="K5426" s="19"/>
    </row>
    <row r="5427" spans="3:11" x14ac:dyDescent="0.2">
      <c r="C5427" s="19"/>
      <c r="D5427" s="19"/>
      <c r="E5427" s="19"/>
      <c r="F5427" s="20"/>
      <c r="G5427" s="19"/>
      <c r="H5427" s="19"/>
      <c r="I5427" s="19"/>
      <c r="J5427" s="21"/>
      <c r="K5427" s="19"/>
    </row>
    <row r="5428" spans="3:11" x14ac:dyDescent="0.2">
      <c r="C5428" s="19"/>
      <c r="D5428" s="19"/>
      <c r="E5428" s="19"/>
      <c r="F5428" s="20"/>
      <c r="G5428" s="19"/>
      <c r="H5428" s="19"/>
      <c r="I5428" s="19"/>
      <c r="J5428" s="21"/>
      <c r="K5428" s="19"/>
    </row>
    <row r="5429" spans="3:11" x14ac:dyDescent="0.2">
      <c r="C5429" s="19"/>
      <c r="D5429" s="19"/>
      <c r="E5429" s="19"/>
      <c r="F5429" s="20"/>
      <c r="G5429" s="19"/>
      <c r="H5429" s="19"/>
      <c r="I5429" s="19"/>
      <c r="J5429" s="21"/>
      <c r="K5429" s="19"/>
    </row>
    <row r="5430" spans="3:11" x14ac:dyDescent="0.2">
      <c r="C5430" s="19"/>
      <c r="D5430" s="19"/>
      <c r="E5430" s="19"/>
      <c r="F5430" s="20"/>
      <c r="G5430" s="19"/>
      <c r="H5430" s="19"/>
      <c r="I5430" s="19"/>
      <c r="J5430" s="21"/>
      <c r="K5430" s="19"/>
    </row>
    <row r="5431" spans="3:11" x14ac:dyDescent="0.2">
      <c r="C5431" s="19"/>
      <c r="D5431" s="19"/>
      <c r="E5431" s="19"/>
      <c r="F5431" s="20"/>
      <c r="G5431" s="19"/>
      <c r="H5431" s="19"/>
      <c r="I5431" s="19"/>
      <c r="J5431" s="21"/>
      <c r="K5431" s="19"/>
    </row>
    <row r="5432" spans="3:11" x14ac:dyDescent="0.2">
      <c r="C5432" s="19"/>
      <c r="D5432" s="19"/>
      <c r="E5432" s="19"/>
      <c r="F5432" s="20"/>
      <c r="G5432" s="19"/>
      <c r="H5432" s="19"/>
      <c r="I5432" s="19"/>
      <c r="J5432" s="21"/>
      <c r="K5432" s="19"/>
    </row>
    <row r="5433" spans="3:11" x14ac:dyDescent="0.2">
      <c r="C5433" s="19"/>
      <c r="D5433" s="19"/>
      <c r="E5433" s="19"/>
      <c r="F5433" s="20"/>
      <c r="G5433" s="19"/>
      <c r="H5433" s="19"/>
      <c r="I5433" s="19"/>
      <c r="J5433" s="21"/>
      <c r="K5433" s="19"/>
    </row>
    <row r="5434" spans="3:11" x14ac:dyDescent="0.2">
      <c r="C5434" s="19"/>
      <c r="D5434" s="19"/>
      <c r="E5434" s="19"/>
      <c r="F5434" s="20"/>
      <c r="G5434" s="19"/>
      <c r="H5434" s="19"/>
      <c r="I5434" s="19"/>
      <c r="J5434" s="21"/>
      <c r="K5434" s="19"/>
    </row>
    <row r="5435" spans="3:11" x14ac:dyDescent="0.2">
      <c r="C5435" s="19"/>
      <c r="D5435" s="19"/>
      <c r="E5435" s="19"/>
      <c r="F5435" s="20"/>
      <c r="G5435" s="19"/>
      <c r="H5435" s="19"/>
      <c r="I5435" s="19"/>
      <c r="J5435" s="19"/>
      <c r="K5435" s="19"/>
    </row>
    <row r="5436" spans="3:11" x14ac:dyDescent="0.2">
      <c r="C5436" s="19"/>
      <c r="D5436" s="19"/>
      <c r="E5436" s="19"/>
      <c r="F5436" s="20"/>
      <c r="G5436" s="19"/>
      <c r="H5436" s="19"/>
      <c r="I5436" s="19"/>
      <c r="J5436" s="19"/>
      <c r="K5436" s="19"/>
    </row>
    <row r="5437" spans="3:11" x14ac:dyDescent="0.2">
      <c r="C5437" s="19"/>
      <c r="D5437" s="19"/>
      <c r="E5437" s="19"/>
      <c r="F5437" s="20"/>
      <c r="G5437" s="19"/>
      <c r="H5437" s="19"/>
      <c r="I5437" s="19"/>
      <c r="J5437" s="21"/>
      <c r="K5437" s="19"/>
    </row>
    <row r="5438" spans="3:11" x14ac:dyDescent="0.2">
      <c r="C5438" s="19"/>
      <c r="D5438" s="19"/>
      <c r="E5438" s="19"/>
      <c r="F5438" s="20"/>
      <c r="G5438" s="19"/>
      <c r="H5438" s="19"/>
      <c r="I5438" s="19"/>
      <c r="J5438" s="19"/>
      <c r="K5438" s="19"/>
    </row>
    <row r="5439" spans="3:11" x14ac:dyDescent="0.2">
      <c r="C5439" s="19"/>
      <c r="D5439" s="19"/>
      <c r="E5439" s="19"/>
      <c r="F5439" s="20"/>
      <c r="G5439" s="19"/>
      <c r="H5439" s="19"/>
      <c r="I5439" s="19"/>
      <c r="J5439" s="19"/>
      <c r="K5439" s="19"/>
    </row>
    <row r="5440" spans="3:11" x14ac:dyDescent="0.2">
      <c r="C5440" s="19"/>
      <c r="D5440" s="19"/>
      <c r="E5440" s="19"/>
      <c r="F5440" s="20"/>
      <c r="G5440" s="19"/>
      <c r="H5440" s="19"/>
      <c r="I5440" s="19"/>
      <c r="J5440" s="19"/>
      <c r="K5440" s="19"/>
    </row>
    <row r="5441" spans="3:11" x14ac:dyDescent="0.2">
      <c r="C5441" s="19"/>
      <c r="D5441" s="19"/>
      <c r="E5441" s="19"/>
      <c r="F5441" s="20"/>
      <c r="G5441" s="19"/>
      <c r="H5441" s="19"/>
      <c r="I5441" s="19"/>
      <c r="J5441" s="21"/>
      <c r="K5441" s="19"/>
    </row>
    <row r="5442" spans="3:11" x14ac:dyDescent="0.2">
      <c r="C5442" s="19"/>
      <c r="D5442" s="19"/>
      <c r="E5442" s="19"/>
      <c r="F5442" s="20"/>
      <c r="G5442" s="19"/>
      <c r="H5442" s="19"/>
      <c r="I5442" s="19"/>
      <c r="J5442" s="21"/>
      <c r="K5442" s="19"/>
    </row>
    <row r="5443" spans="3:11" x14ac:dyDescent="0.2">
      <c r="C5443" s="19"/>
      <c r="D5443" s="19"/>
      <c r="E5443" s="19"/>
      <c r="F5443" s="20"/>
      <c r="G5443" s="19"/>
      <c r="H5443" s="19"/>
      <c r="I5443" s="19"/>
      <c r="J5443" s="21"/>
      <c r="K5443" s="19"/>
    </row>
    <row r="5444" spans="3:11" x14ac:dyDescent="0.2">
      <c r="C5444" s="19"/>
      <c r="D5444" s="19"/>
      <c r="E5444" s="19"/>
      <c r="F5444" s="20"/>
      <c r="G5444" s="19"/>
      <c r="H5444" s="19"/>
      <c r="I5444" s="19"/>
      <c r="J5444" s="21"/>
      <c r="K5444" s="19"/>
    </row>
    <row r="5445" spans="3:11" x14ac:dyDescent="0.2">
      <c r="C5445" s="19"/>
      <c r="D5445" s="19"/>
      <c r="E5445" s="19"/>
      <c r="F5445" s="20"/>
      <c r="G5445" s="19"/>
      <c r="H5445" s="19"/>
      <c r="I5445" s="19"/>
      <c r="J5445" s="21"/>
      <c r="K5445" s="19"/>
    </row>
    <row r="5446" spans="3:11" x14ac:dyDescent="0.2">
      <c r="C5446" s="19"/>
      <c r="D5446" s="19"/>
      <c r="E5446" s="19"/>
      <c r="F5446" s="20"/>
      <c r="G5446" s="19"/>
      <c r="H5446" s="19"/>
      <c r="I5446" s="19"/>
      <c r="J5446" s="21"/>
      <c r="K5446" s="19"/>
    </row>
    <row r="5447" spans="3:11" x14ac:dyDescent="0.2">
      <c r="C5447" s="19"/>
      <c r="D5447" s="19"/>
      <c r="E5447" s="19"/>
      <c r="F5447" s="20"/>
      <c r="G5447" s="19"/>
      <c r="H5447" s="19"/>
      <c r="I5447" s="19"/>
      <c r="J5447" s="21"/>
      <c r="K5447" s="19"/>
    </row>
    <row r="5448" spans="3:11" x14ac:dyDescent="0.2">
      <c r="C5448" s="19"/>
      <c r="D5448" s="19"/>
      <c r="E5448" s="19"/>
      <c r="F5448" s="20"/>
      <c r="G5448" s="19"/>
      <c r="H5448" s="19"/>
      <c r="I5448" s="19"/>
      <c r="J5448" s="21"/>
      <c r="K5448" s="19"/>
    </row>
    <row r="5449" spans="3:11" x14ac:dyDescent="0.2">
      <c r="C5449" s="19"/>
      <c r="D5449" s="19"/>
      <c r="E5449" s="19"/>
      <c r="F5449" s="20"/>
      <c r="G5449" s="19"/>
      <c r="H5449" s="19"/>
      <c r="I5449" s="19"/>
      <c r="J5449" s="21"/>
      <c r="K5449" s="19"/>
    </row>
    <row r="5450" spans="3:11" x14ac:dyDescent="0.2">
      <c r="C5450" s="19"/>
      <c r="D5450" s="19"/>
      <c r="E5450" s="19"/>
      <c r="F5450" s="20"/>
      <c r="G5450" s="19"/>
      <c r="H5450" s="19"/>
      <c r="I5450" s="19"/>
      <c r="J5450" s="21"/>
      <c r="K5450" s="19"/>
    </row>
    <row r="5451" spans="3:11" x14ac:dyDescent="0.2">
      <c r="C5451" s="19"/>
      <c r="D5451" s="19"/>
      <c r="E5451" s="19"/>
      <c r="F5451" s="20"/>
      <c r="G5451" s="19"/>
      <c r="H5451" s="19"/>
      <c r="I5451" s="19"/>
      <c r="J5451" s="21"/>
      <c r="K5451" s="19"/>
    </row>
    <row r="5452" spans="3:11" x14ac:dyDescent="0.2">
      <c r="C5452" s="19"/>
      <c r="D5452" s="19"/>
      <c r="E5452" s="19"/>
      <c r="F5452" s="20"/>
      <c r="G5452" s="19"/>
      <c r="H5452" s="19"/>
      <c r="I5452" s="19"/>
      <c r="J5452" s="21"/>
      <c r="K5452" s="19"/>
    </row>
    <row r="5453" spans="3:11" x14ac:dyDescent="0.2">
      <c r="C5453" s="19"/>
      <c r="D5453" s="19"/>
      <c r="E5453" s="19"/>
      <c r="F5453" s="20"/>
      <c r="G5453" s="19"/>
      <c r="H5453" s="19"/>
      <c r="I5453" s="19"/>
      <c r="J5453" s="21"/>
      <c r="K5453" s="19"/>
    </row>
    <row r="5454" spans="3:11" x14ac:dyDescent="0.2">
      <c r="C5454" s="19"/>
      <c r="D5454" s="19"/>
      <c r="E5454" s="19"/>
      <c r="F5454" s="20"/>
      <c r="G5454" s="19"/>
      <c r="H5454" s="19"/>
      <c r="I5454" s="19"/>
      <c r="J5454" s="21"/>
      <c r="K5454" s="19"/>
    </row>
    <row r="5455" spans="3:11" x14ac:dyDescent="0.2">
      <c r="C5455" s="19"/>
      <c r="D5455" s="19"/>
      <c r="E5455" s="19"/>
      <c r="F5455" s="20"/>
      <c r="G5455" s="19"/>
      <c r="H5455" s="19"/>
      <c r="I5455" s="19"/>
      <c r="J5455" s="21"/>
      <c r="K5455" s="19"/>
    </row>
    <row r="5456" spans="3:11" x14ac:dyDescent="0.2">
      <c r="C5456" s="19"/>
      <c r="D5456" s="19"/>
      <c r="E5456" s="19"/>
      <c r="F5456" s="20"/>
      <c r="G5456" s="19"/>
      <c r="H5456" s="19"/>
      <c r="I5456" s="19"/>
      <c r="J5456" s="21"/>
      <c r="K5456" s="19"/>
    </row>
    <row r="5457" spans="3:11" x14ac:dyDescent="0.2">
      <c r="C5457" s="19"/>
      <c r="D5457" s="19"/>
      <c r="E5457" s="19"/>
      <c r="F5457" s="20"/>
      <c r="G5457" s="19"/>
      <c r="H5457" s="19"/>
      <c r="I5457" s="19"/>
      <c r="J5457" s="21"/>
      <c r="K5457" s="19"/>
    </row>
    <row r="5458" spans="3:11" x14ac:dyDescent="0.2">
      <c r="C5458" s="19"/>
      <c r="D5458" s="19"/>
      <c r="E5458" s="19"/>
      <c r="F5458" s="20"/>
      <c r="G5458" s="19"/>
      <c r="H5458" s="19"/>
      <c r="I5458" s="19"/>
      <c r="J5458" s="21"/>
      <c r="K5458" s="19"/>
    </row>
    <row r="5459" spans="3:11" x14ac:dyDescent="0.2">
      <c r="C5459" s="19"/>
      <c r="D5459" s="19"/>
      <c r="E5459" s="19"/>
      <c r="F5459" s="20"/>
      <c r="G5459" s="19"/>
      <c r="H5459" s="19"/>
      <c r="I5459" s="19"/>
      <c r="J5459" s="19"/>
      <c r="K5459" s="19"/>
    </row>
    <row r="5460" spans="3:11" x14ac:dyDescent="0.2">
      <c r="C5460" s="19"/>
      <c r="D5460" s="19"/>
      <c r="E5460" s="19"/>
      <c r="F5460" s="20"/>
      <c r="G5460" s="19"/>
      <c r="H5460" s="19"/>
      <c r="I5460" s="19"/>
      <c r="J5460" s="21"/>
      <c r="K5460" s="19"/>
    </row>
    <row r="5461" spans="3:11" x14ac:dyDescent="0.2">
      <c r="C5461" s="19"/>
      <c r="D5461" s="19"/>
      <c r="E5461" s="19"/>
      <c r="F5461" s="20"/>
      <c r="G5461" s="19"/>
      <c r="H5461" s="19"/>
      <c r="I5461" s="19"/>
      <c r="J5461" s="21"/>
      <c r="K5461" s="19"/>
    </row>
    <row r="5462" spans="3:11" x14ac:dyDescent="0.2">
      <c r="C5462" s="19"/>
      <c r="D5462" s="19"/>
      <c r="E5462" s="19"/>
      <c r="F5462" s="20"/>
      <c r="G5462" s="19"/>
      <c r="H5462" s="19"/>
      <c r="I5462" s="19"/>
      <c r="J5462" s="21"/>
      <c r="K5462" s="19"/>
    </row>
    <row r="5463" spans="3:11" x14ac:dyDescent="0.2">
      <c r="C5463" s="19"/>
      <c r="D5463" s="19"/>
      <c r="E5463" s="19"/>
      <c r="F5463" s="20"/>
      <c r="G5463" s="19"/>
      <c r="H5463" s="19"/>
      <c r="I5463" s="19"/>
      <c r="J5463" s="21"/>
      <c r="K5463" s="19"/>
    </row>
    <row r="5464" spans="3:11" x14ac:dyDescent="0.2">
      <c r="C5464" s="19"/>
      <c r="D5464" s="19"/>
      <c r="E5464" s="19"/>
      <c r="F5464" s="20"/>
      <c r="G5464" s="19"/>
      <c r="H5464" s="19"/>
      <c r="I5464" s="19"/>
      <c r="J5464" s="21"/>
      <c r="K5464" s="19"/>
    </row>
    <row r="5465" spans="3:11" x14ac:dyDescent="0.2">
      <c r="C5465" s="19"/>
      <c r="D5465" s="19"/>
      <c r="E5465" s="19"/>
      <c r="F5465" s="20"/>
      <c r="G5465" s="19"/>
      <c r="H5465" s="19"/>
      <c r="I5465" s="19"/>
      <c r="J5465" s="21"/>
      <c r="K5465" s="19"/>
    </row>
    <row r="5466" spans="3:11" x14ac:dyDescent="0.2">
      <c r="C5466" s="19"/>
      <c r="D5466" s="19"/>
      <c r="E5466" s="19"/>
      <c r="F5466" s="20"/>
      <c r="G5466" s="19"/>
      <c r="H5466" s="19"/>
      <c r="I5466" s="19"/>
      <c r="J5466" s="21"/>
      <c r="K5466" s="19"/>
    </row>
    <row r="5467" spans="3:11" x14ac:dyDescent="0.2">
      <c r="C5467" s="19"/>
      <c r="D5467" s="19"/>
      <c r="E5467" s="19"/>
      <c r="F5467" s="20"/>
      <c r="G5467" s="19"/>
      <c r="H5467" s="19"/>
      <c r="I5467" s="19"/>
      <c r="J5467" s="21"/>
      <c r="K5467" s="19"/>
    </row>
    <row r="5468" spans="3:11" x14ac:dyDescent="0.2">
      <c r="C5468" s="19"/>
      <c r="D5468" s="19"/>
      <c r="E5468" s="19"/>
      <c r="F5468" s="20"/>
      <c r="G5468" s="19"/>
      <c r="H5468" s="19"/>
      <c r="I5468" s="19"/>
      <c r="J5468" s="21"/>
      <c r="K5468" s="19"/>
    </row>
    <row r="5469" spans="3:11" x14ac:dyDescent="0.2">
      <c r="C5469" s="19"/>
      <c r="D5469" s="19"/>
      <c r="E5469" s="19"/>
      <c r="F5469" s="20"/>
      <c r="G5469" s="19"/>
      <c r="H5469" s="19"/>
      <c r="I5469" s="19"/>
      <c r="J5469" s="21"/>
      <c r="K5469" s="19"/>
    </row>
    <row r="5470" spans="3:11" x14ac:dyDescent="0.2">
      <c r="C5470" s="19"/>
      <c r="D5470" s="19"/>
      <c r="E5470" s="19"/>
      <c r="F5470" s="20"/>
      <c r="G5470" s="19"/>
      <c r="H5470" s="19"/>
      <c r="I5470" s="19"/>
      <c r="J5470" s="21"/>
      <c r="K5470" s="19"/>
    </row>
    <row r="5471" spans="3:11" x14ac:dyDescent="0.2">
      <c r="C5471" s="19"/>
      <c r="D5471" s="19"/>
      <c r="E5471" s="19"/>
      <c r="F5471" s="20"/>
      <c r="G5471" s="19"/>
      <c r="H5471" s="19"/>
      <c r="I5471" s="19"/>
      <c r="J5471" s="21"/>
      <c r="K5471" s="19"/>
    </row>
    <row r="5472" spans="3:11" x14ac:dyDescent="0.2">
      <c r="C5472" s="19"/>
      <c r="D5472" s="19"/>
      <c r="E5472" s="19"/>
      <c r="F5472" s="20"/>
      <c r="G5472" s="19"/>
      <c r="H5472" s="19"/>
      <c r="I5472" s="19"/>
      <c r="J5472" s="21"/>
      <c r="K5472" s="19"/>
    </row>
    <row r="5473" spans="3:11" x14ac:dyDescent="0.2">
      <c r="C5473" s="19"/>
      <c r="D5473" s="19"/>
      <c r="E5473" s="19"/>
      <c r="F5473" s="20"/>
      <c r="G5473" s="19"/>
      <c r="H5473" s="19"/>
      <c r="I5473" s="19"/>
      <c r="J5473" s="21"/>
      <c r="K5473" s="19"/>
    </row>
    <row r="5474" spans="3:11" x14ac:dyDescent="0.2">
      <c r="C5474" s="19"/>
      <c r="D5474" s="19"/>
      <c r="E5474" s="19"/>
      <c r="F5474" s="20"/>
      <c r="G5474" s="19"/>
      <c r="H5474" s="19"/>
      <c r="I5474" s="19"/>
      <c r="J5474" s="21"/>
      <c r="K5474" s="19"/>
    </row>
    <row r="5475" spans="3:11" x14ac:dyDescent="0.2">
      <c r="C5475" s="19"/>
      <c r="D5475" s="19"/>
      <c r="E5475" s="19"/>
      <c r="F5475" s="20"/>
      <c r="G5475" s="19"/>
      <c r="H5475" s="19"/>
      <c r="I5475" s="19"/>
      <c r="J5475" s="21"/>
      <c r="K5475" s="19"/>
    </row>
    <row r="5476" spans="3:11" x14ac:dyDescent="0.2">
      <c r="C5476" s="19"/>
      <c r="D5476" s="19"/>
      <c r="E5476" s="19"/>
      <c r="F5476" s="20"/>
      <c r="G5476" s="19"/>
      <c r="H5476" s="19"/>
      <c r="I5476" s="19"/>
      <c r="J5476" s="21"/>
      <c r="K5476" s="19"/>
    </row>
    <row r="5477" spans="3:11" x14ac:dyDescent="0.2">
      <c r="C5477" s="19"/>
      <c r="D5477" s="19"/>
      <c r="E5477" s="19"/>
      <c r="F5477" s="20"/>
      <c r="G5477" s="19"/>
      <c r="H5477" s="19"/>
      <c r="I5477" s="19"/>
      <c r="J5477" s="21"/>
      <c r="K5477" s="19"/>
    </row>
    <row r="5478" spans="3:11" x14ac:dyDescent="0.2">
      <c r="C5478" s="19"/>
      <c r="D5478" s="19"/>
      <c r="E5478" s="19"/>
      <c r="F5478" s="20"/>
      <c r="G5478" s="19"/>
      <c r="H5478" s="19"/>
      <c r="I5478" s="19"/>
      <c r="J5478" s="21"/>
      <c r="K5478" s="19"/>
    </row>
    <row r="5479" spans="3:11" x14ac:dyDescent="0.2">
      <c r="C5479" s="19"/>
      <c r="D5479" s="19"/>
      <c r="E5479" s="19"/>
      <c r="F5479" s="20"/>
      <c r="G5479" s="19"/>
      <c r="H5479" s="19"/>
      <c r="I5479" s="19"/>
      <c r="J5479" s="21"/>
      <c r="K5479" s="19"/>
    </row>
    <row r="5480" spans="3:11" x14ac:dyDescent="0.2">
      <c r="C5480" s="19"/>
      <c r="D5480" s="19"/>
      <c r="E5480" s="19"/>
      <c r="F5480" s="20"/>
      <c r="G5480" s="19"/>
      <c r="H5480" s="19"/>
      <c r="I5480" s="19"/>
      <c r="J5480" s="21"/>
      <c r="K5480" s="19"/>
    </row>
    <row r="5481" spans="3:11" x14ac:dyDescent="0.2">
      <c r="C5481" s="19"/>
      <c r="D5481" s="19"/>
      <c r="E5481" s="19"/>
      <c r="F5481" s="20"/>
      <c r="G5481" s="19"/>
      <c r="H5481" s="19"/>
      <c r="I5481" s="19"/>
      <c r="J5481" s="21"/>
      <c r="K5481" s="19"/>
    </row>
    <row r="5482" spans="3:11" x14ac:dyDescent="0.2">
      <c r="C5482" s="19"/>
      <c r="D5482" s="19"/>
      <c r="E5482" s="19"/>
      <c r="F5482" s="20"/>
      <c r="G5482" s="19"/>
      <c r="H5482" s="19"/>
      <c r="I5482" s="19"/>
      <c r="J5482" s="21"/>
      <c r="K5482" s="19"/>
    </row>
    <row r="5483" spans="3:11" x14ac:dyDescent="0.2">
      <c r="C5483" s="19"/>
      <c r="D5483" s="19"/>
      <c r="E5483" s="19"/>
      <c r="F5483" s="20"/>
      <c r="G5483" s="19"/>
      <c r="H5483" s="19"/>
      <c r="I5483" s="19"/>
      <c r="J5483" s="21"/>
      <c r="K5483" s="19"/>
    </row>
    <row r="5484" spans="3:11" x14ac:dyDescent="0.2">
      <c r="C5484" s="19"/>
      <c r="D5484" s="19"/>
      <c r="E5484" s="19"/>
      <c r="F5484" s="20"/>
      <c r="G5484" s="19"/>
      <c r="H5484" s="19"/>
      <c r="I5484" s="19"/>
      <c r="J5484" s="21"/>
      <c r="K5484" s="19"/>
    </row>
    <row r="5485" spans="3:11" x14ac:dyDescent="0.2">
      <c r="C5485" s="19"/>
      <c r="D5485" s="19"/>
      <c r="E5485" s="19"/>
      <c r="F5485" s="20"/>
      <c r="G5485" s="19"/>
      <c r="H5485" s="19"/>
      <c r="I5485" s="19"/>
      <c r="J5485" s="21"/>
      <c r="K5485" s="19"/>
    </row>
    <row r="5486" spans="3:11" x14ac:dyDescent="0.2">
      <c r="C5486" s="19"/>
      <c r="D5486" s="19"/>
      <c r="E5486" s="19"/>
      <c r="F5486" s="20"/>
      <c r="G5486" s="19"/>
      <c r="H5486" s="19"/>
      <c r="I5486" s="19"/>
      <c r="J5486" s="21"/>
      <c r="K5486" s="19"/>
    </row>
    <row r="5487" spans="3:11" x14ac:dyDescent="0.2">
      <c r="C5487" s="19"/>
      <c r="D5487" s="19"/>
      <c r="E5487" s="19"/>
      <c r="F5487" s="20"/>
      <c r="G5487" s="19"/>
      <c r="H5487" s="19"/>
      <c r="I5487" s="19"/>
      <c r="J5487" s="19"/>
      <c r="K5487" s="19"/>
    </row>
    <row r="5488" spans="3:11" x14ac:dyDescent="0.2">
      <c r="C5488" s="19"/>
      <c r="D5488" s="19"/>
      <c r="E5488" s="19"/>
      <c r="F5488" s="20"/>
      <c r="G5488" s="19"/>
      <c r="H5488" s="19"/>
      <c r="I5488" s="19"/>
      <c r="J5488" s="21"/>
      <c r="K5488" s="19"/>
    </row>
    <row r="5489" spans="3:11" x14ac:dyDescent="0.2">
      <c r="C5489" s="19"/>
      <c r="D5489" s="19"/>
      <c r="E5489" s="19"/>
      <c r="F5489" s="20"/>
      <c r="G5489" s="19"/>
      <c r="H5489" s="19"/>
      <c r="I5489" s="19"/>
      <c r="J5489" s="19"/>
      <c r="K5489" s="19"/>
    </row>
    <row r="5490" spans="3:11" x14ac:dyDescent="0.2">
      <c r="C5490" s="19"/>
      <c r="D5490" s="19"/>
      <c r="E5490" s="19"/>
      <c r="F5490" s="20"/>
      <c r="G5490" s="19"/>
      <c r="H5490" s="19"/>
      <c r="I5490" s="19"/>
      <c r="J5490" s="21"/>
      <c r="K5490" s="19"/>
    </row>
    <row r="5491" spans="3:11" x14ac:dyDescent="0.2">
      <c r="C5491" s="19"/>
      <c r="D5491" s="19"/>
      <c r="E5491" s="19"/>
      <c r="F5491" s="20"/>
      <c r="G5491" s="19"/>
      <c r="H5491" s="19"/>
      <c r="I5491" s="19"/>
      <c r="J5491" s="21"/>
      <c r="K5491" s="19"/>
    </row>
    <row r="5492" spans="3:11" x14ac:dyDescent="0.2">
      <c r="C5492" s="19"/>
      <c r="D5492" s="19"/>
      <c r="E5492" s="19"/>
      <c r="F5492" s="20"/>
      <c r="G5492" s="19"/>
      <c r="H5492" s="19"/>
      <c r="I5492" s="19"/>
      <c r="J5492" s="21"/>
      <c r="K5492" s="19"/>
    </row>
    <row r="5493" spans="3:11" x14ac:dyDescent="0.2">
      <c r="C5493" s="19"/>
      <c r="D5493" s="19"/>
      <c r="E5493" s="19"/>
      <c r="F5493" s="20"/>
      <c r="G5493" s="19"/>
      <c r="H5493" s="19"/>
      <c r="I5493" s="19"/>
      <c r="J5493" s="21"/>
      <c r="K5493" s="19"/>
    </row>
    <row r="5494" spans="3:11" x14ac:dyDescent="0.2">
      <c r="C5494" s="19"/>
      <c r="D5494" s="19"/>
      <c r="E5494" s="19"/>
      <c r="F5494" s="20"/>
      <c r="G5494" s="19"/>
      <c r="H5494" s="19"/>
      <c r="I5494" s="19"/>
      <c r="J5494" s="21"/>
      <c r="K5494" s="19"/>
    </row>
    <row r="5495" spans="3:11" x14ac:dyDescent="0.2">
      <c r="C5495" s="19"/>
      <c r="D5495" s="19"/>
      <c r="E5495" s="19"/>
      <c r="F5495" s="20"/>
      <c r="G5495" s="19"/>
      <c r="H5495" s="19"/>
      <c r="I5495" s="19"/>
      <c r="J5495" s="21"/>
      <c r="K5495" s="19"/>
    </row>
    <row r="5496" spans="3:11" x14ac:dyDescent="0.2">
      <c r="C5496" s="19"/>
      <c r="D5496" s="19"/>
      <c r="E5496" s="19"/>
      <c r="F5496" s="20"/>
      <c r="G5496" s="19"/>
      <c r="H5496" s="19"/>
      <c r="I5496" s="19"/>
      <c r="J5496" s="21"/>
      <c r="K5496" s="19"/>
    </row>
    <row r="5497" spans="3:11" x14ac:dyDescent="0.2">
      <c r="C5497" s="19"/>
      <c r="D5497" s="19"/>
      <c r="E5497" s="19"/>
      <c r="F5497" s="20"/>
      <c r="G5497" s="19"/>
      <c r="H5497" s="19"/>
      <c r="I5497" s="19"/>
      <c r="J5497" s="21"/>
      <c r="K5497" s="19"/>
    </row>
    <row r="5498" spans="3:11" x14ac:dyDescent="0.2">
      <c r="C5498" s="19"/>
      <c r="D5498" s="19"/>
      <c r="E5498" s="19"/>
      <c r="F5498" s="20"/>
      <c r="G5498" s="19"/>
      <c r="H5498" s="19"/>
      <c r="I5498" s="19"/>
      <c r="J5498" s="21"/>
      <c r="K5498" s="19"/>
    </row>
    <row r="5499" spans="3:11" x14ac:dyDescent="0.2">
      <c r="C5499" s="19"/>
      <c r="D5499" s="19"/>
      <c r="E5499" s="19"/>
      <c r="F5499" s="20"/>
      <c r="G5499" s="19"/>
      <c r="H5499" s="19"/>
      <c r="I5499" s="19"/>
      <c r="J5499" s="21"/>
      <c r="K5499" s="19"/>
    </row>
    <row r="5500" spans="3:11" x14ac:dyDescent="0.2">
      <c r="C5500" s="19"/>
      <c r="D5500" s="19"/>
      <c r="E5500" s="19"/>
      <c r="F5500" s="20"/>
      <c r="G5500" s="19"/>
      <c r="H5500" s="19"/>
      <c r="I5500" s="19"/>
      <c r="J5500" s="21"/>
      <c r="K5500" s="19"/>
    </row>
    <row r="5501" spans="3:11" x14ac:dyDescent="0.2">
      <c r="C5501" s="19"/>
      <c r="D5501" s="19"/>
      <c r="E5501" s="19"/>
      <c r="F5501" s="20"/>
      <c r="G5501" s="19"/>
      <c r="H5501" s="19"/>
      <c r="I5501" s="19"/>
      <c r="J5501" s="21"/>
      <c r="K5501" s="19"/>
    </row>
    <row r="5502" spans="3:11" x14ac:dyDescent="0.2">
      <c r="C5502" s="19"/>
      <c r="D5502" s="19"/>
      <c r="E5502" s="19"/>
      <c r="F5502" s="20"/>
      <c r="G5502" s="19"/>
      <c r="H5502" s="19"/>
      <c r="I5502" s="19"/>
      <c r="J5502" s="21"/>
      <c r="K5502" s="19"/>
    </row>
    <row r="5503" spans="3:11" x14ac:dyDescent="0.2">
      <c r="C5503" s="19"/>
      <c r="D5503" s="19"/>
      <c r="E5503" s="19"/>
      <c r="F5503" s="20"/>
      <c r="G5503" s="19"/>
      <c r="H5503" s="19"/>
      <c r="I5503" s="19"/>
      <c r="J5503" s="21"/>
      <c r="K5503" s="19"/>
    </row>
    <row r="5504" spans="3:11" x14ac:dyDescent="0.2">
      <c r="C5504" s="19"/>
      <c r="D5504" s="19"/>
      <c r="E5504" s="19"/>
      <c r="F5504" s="20"/>
      <c r="G5504" s="19"/>
      <c r="H5504" s="19"/>
      <c r="I5504" s="19"/>
      <c r="J5504" s="21"/>
      <c r="K5504" s="19"/>
    </row>
    <row r="5505" spans="3:11" x14ac:dyDescent="0.2">
      <c r="C5505" s="19"/>
      <c r="D5505" s="19"/>
      <c r="E5505" s="19"/>
      <c r="F5505" s="20"/>
      <c r="G5505" s="19"/>
      <c r="H5505" s="19"/>
      <c r="I5505" s="19"/>
      <c r="J5505" s="21"/>
      <c r="K5505" s="19"/>
    </row>
    <row r="5506" spans="3:11" x14ac:dyDescent="0.2">
      <c r="C5506" s="19"/>
      <c r="D5506" s="19"/>
      <c r="E5506" s="19"/>
      <c r="F5506" s="20"/>
      <c r="G5506" s="19"/>
      <c r="H5506" s="19"/>
      <c r="I5506" s="19"/>
      <c r="J5506" s="21"/>
      <c r="K5506" s="19"/>
    </row>
    <row r="5507" spans="3:11" x14ac:dyDescent="0.2">
      <c r="C5507" s="19"/>
      <c r="D5507" s="19"/>
      <c r="E5507" s="19"/>
      <c r="F5507" s="20"/>
      <c r="G5507" s="19"/>
      <c r="H5507" s="19"/>
      <c r="I5507" s="19"/>
      <c r="J5507" s="21"/>
      <c r="K5507" s="19"/>
    </row>
    <row r="5508" spans="3:11" x14ac:dyDescent="0.2">
      <c r="C5508" s="19"/>
      <c r="D5508" s="19"/>
      <c r="E5508" s="19"/>
      <c r="F5508" s="20"/>
      <c r="G5508" s="19"/>
      <c r="H5508" s="19"/>
      <c r="I5508" s="19"/>
      <c r="J5508" s="21"/>
      <c r="K5508" s="19"/>
    </row>
    <row r="5509" spans="3:11" x14ac:dyDescent="0.2">
      <c r="C5509" s="19"/>
      <c r="D5509" s="19"/>
      <c r="E5509" s="19"/>
      <c r="F5509" s="20"/>
      <c r="G5509" s="19"/>
      <c r="H5509" s="19"/>
      <c r="I5509" s="19"/>
      <c r="J5509" s="21"/>
      <c r="K5509" s="19"/>
    </row>
    <row r="5510" spans="3:11" x14ac:dyDescent="0.2">
      <c r="C5510" s="19"/>
      <c r="D5510" s="19"/>
      <c r="E5510" s="19"/>
      <c r="F5510" s="20"/>
      <c r="G5510" s="19"/>
      <c r="H5510" s="19"/>
      <c r="I5510" s="19"/>
      <c r="J5510" s="21"/>
      <c r="K5510" s="19"/>
    </row>
    <row r="5511" spans="3:11" x14ac:dyDescent="0.2">
      <c r="C5511" s="19"/>
      <c r="D5511" s="19"/>
      <c r="E5511" s="19"/>
      <c r="F5511" s="20"/>
      <c r="G5511" s="19"/>
      <c r="H5511" s="19"/>
      <c r="I5511" s="19"/>
      <c r="J5511" s="21"/>
      <c r="K5511" s="19"/>
    </row>
    <row r="5512" spans="3:11" x14ac:dyDescent="0.2">
      <c r="C5512" s="19"/>
      <c r="D5512" s="19"/>
      <c r="E5512" s="19"/>
      <c r="F5512" s="20"/>
      <c r="G5512" s="19"/>
      <c r="H5512" s="19"/>
      <c r="I5512" s="19"/>
      <c r="J5512" s="21"/>
      <c r="K5512" s="19"/>
    </row>
    <row r="5513" spans="3:11" x14ac:dyDescent="0.2">
      <c r="C5513" s="19"/>
      <c r="D5513" s="19"/>
      <c r="E5513" s="19"/>
      <c r="F5513" s="20"/>
      <c r="G5513" s="19"/>
      <c r="H5513" s="19"/>
      <c r="I5513" s="19"/>
      <c r="J5513" s="21"/>
      <c r="K5513" s="19"/>
    </row>
    <row r="5514" spans="3:11" x14ac:dyDescent="0.2">
      <c r="C5514" s="19"/>
      <c r="D5514" s="19"/>
      <c r="E5514" s="19"/>
      <c r="F5514" s="20"/>
      <c r="G5514" s="19"/>
      <c r="H5514" s="19"/>
      <c r="I5514" s="19"/>
      <c r="J5514" s="21"/>
      <c r="K5514" s="19"/>
    </row>
    <row r="5515" spans="3:11" x14ac:dyDescent="0.2">
      <c r="C5515" s="19"/>
      <c r="D5515" s="19"/>
      <c r="E5515" s="19"/>
      <c r="F5515" s="20"/>
      <c r="G5515" s="19"/>
      <c r="H5515" s="19"/>
      <c r="I5515" s="19"/>
      <c r="J5515" s="21"/>
      <c r="K5515" s="19"/>
    </row>
    <row r="5516" spans="3:11" x14ac:dyDescent="0.2">
      <c r="C5516" s="19"/>
      <c r="D5516" s="19"/>
      <c r="E5516" s="19"/>
      <c r="F5516" s="20"/>
      <c r="G5516" s="19"/>
      <c r="H5516" s="19"/>
      <c r="I5516" s="19"/>
      <c r="J5516" s="21"/>
      <c r="K5516" s="19"/>
    </row>
    <row r="5517" spans="3:11" x14ac:dyDescent="0.2">
      <c r="C5517" s="19"/>
      <c r="D5517" s="19"/>
      <c r="E5517" s="19"/>
      <c r="F5517" s="20"/>
      <c r="G5517" s="19"/>
      <c r="H5517" s="19"/>
      <c r="I5517" s="19"/>
      <c r="J5517" s="21"/>
      <c r="K5517" s="19"/>
    </row>
    <row r="5518" spans="3:11" x14ac:dyDescent="0.2">
      <c r="C5518" s="19"/>
      <c r="D5518" s="19"/>
      <c r="E5518" s="19"/>
      <c r="F5518" s="20"/>
      <c r="G5518" s="19"/>
      <c r="H5518" s="19"/>
      <c r="I5518" s="19"/>
      <c r="J5518" s="21"/>
      <c r="K5518" s="19"/>
    </row>
    <row r="5519" spans="3:11" x14ac:dyDescent="0.2">
      <c r="C5519" s="19"/>
      <c r="D5519" s="19"/>
      <c r="E5519" s="19"/>
      <c r="F5519" s="20"/>
      <c r="G5519" s="19"/>
      <c r="H5519" s="19"/>
      <c r="I5519" s="19"/>
      <c r="J5519" s="21"/>
      <c r="K5519" s="19"/>
    </row>
    <row r="5520" spans="3:11" x14ac:dyDescent="0.2">
      <c r="C5520" s="19"/>
      <c r="D5520" s="19"/>
      <c r="E5520" s="19"/>
      <c r="F5520" s="20"/>
      <c r="G5520" s="19"/>
      <c r="H5520" s="19"/>
      <c r="I5520" s="19"/>
      <c r="J5520" s="21"/>
      <c r="K5520" s="19"/>
    </row>
    <row r="5521" spans="3:11" x14ac:dyDescent="0.2">
      <c r="C5521" s="19"/>
      <c r="D5521" s="19"/>
      <c r="E5521" s="19"/>
      <c r="F5521" s="20"/>
      <c r="G5521" s="19"/>
      <c r="H5521" s="19"/>
      <c r="I5521" s="19"/>
      <c r="J5521" s="21"/>
      <c r="K5521" s="19"/>
    </row>
    <row r="5522" spans="3:11" x14ac:dyDescent="0.2">
      <c r="C5522" s="19"/>
      <c r="D5522" s="19"/>
      <c r="E5522" s="19"/>
      <c r="F5522" s="20"/>
      <c r="G5522" s="19"/>
      <c r="H5522" s="19"/>
      <c r="I5522" s="19"/>
      <c r="J5522" s="21"/>
      <c r="K5522" s="19"/>
    </row>
    <row r="5523" spans="3:11" x14ac:dyDescent="0.2">
      <c r="C5523" s="19"/>
      <c r="D5523" s="19"/>
      <c r="E5523" s="19"/>
      <c r="F5523" s="20"/>
      <c r="G5523" s="19"/>
      <c r="H5523" s="19"/>
      <c r="I5523" s="19"/>
      <c r="J5523" s="21"/>
      <c r="K5523" s="19"/>
    </row>
    <row r="5524" spans="3:11" x14ac:dyDescent="0.2">
      <c r="C5524" s="19"/>
      <c r="D5524" s="19"/>
      <c r="E5524" s="19"/>
      <c r="F5524" s="20"/>
      <c r="G5524" s="19"/>
      <c r="H5524" s="19"/>
      <c r="I5524" s="19"/>
      <c r="J5524" s="21"/>
      <c r="K5524" s="19"/>
    </row>
    <row r="5525" spans="3:11" x14ac:dyDescent="0.2">
      <c r="C5525" s="19"/>
      <c r="D5525" s="19"/>
      <c r="E5525" s="19"/>
      <c r="F5525" s="20"/>
      <c r="G5525" s="19"/>
      <c r="H5525" s="19"/>
      <c r="I5525" s="19"/>
      <c r="J5525" s="21"/>
      <c r="K5525" s="19"/>
    </row>
    <row r="5526" spans="3:11" x14ac:dyDescent="0.2">
      <c r="C5526" s="19"/>
      <c r="D5526" s="19"/>
      <c r="E5526" s="19"/>
      <c r="F5526" s="20"/>
      <c r="G5526" s="19"/>
      <c r="H5526" s="19"/>
      <c r="I5526" s="19"/>
      <c r="J5526" s="21"/>
      <c r="K5526" s="19"/>
    </row>
    <row r="5527" spans="3:11" x14ac:dyDescent="0.2">
      <c r="C5527" s="19"/>
      <c r="D5527" s="19"/>
      <c r="E5527" s="19"/>
      <c r="F5527" s="20"/>
      <c r="G5527" s="19"/>
      <c r="H5527" s="19"/>
      <c r="I5527" s="19"/>
      <c r="J5527" s="21"/>
      <c r="K5527" s="19"/>
    </row>
    <row r="5528" spans="3:11" x14ac:dyDescent="0.2">
      <c r="C5528" s="19"/>
      <c r="D5528" s="19"/>
      <c r="E5528" s="19"/>
      <c r="F5528" s="20"/>
      <c r="G5528" s="19"/>
      <c r="H5528" s="19"/>
      <c r="I5528" s="19"/>
      <c r="J5528" s="21"/>
      <c r="K5528" s="19"/>
    </row>
    <row r="5529" spans="3:11" x14ac:dyDescent="0.2">
      <c r="C5529" s="19"/>
      <c r="D5529" s="19"/>
      <c r="E5529" s="19"/>
      <c r="F5529" s="20"/>
      <c r="G5529" s="19"/>
      <c r="H5529" s="19"/>
      <c r="I5529" s="19"/>
      <c r="J5529" s="21"/>
      <c r="K5529" s="19"/>
    </row>
    <row r="5530" spans="3:11" x14ac:dyDescent="0.2">
      <c r="C5530" s="19"/>
      <c r="D5530" s="19"/>
      <c r="E5530" s="19"/>
      <c r="F5530" s="20"/>
      <c r="G5530" s="19"/>
      <c r="H5530" s="19"/>
      <c r="I5530" s="19"/>
      <c r="J5530" s="21"/>
      <c r="K5530" s="19"/>
    </row>
    <row r="5531" spans="3:11" x14ac:dyDescent="0.2">
      <c r="C5531" s="19"/>
      <c r="D5531" s="19"/>
      <c r="E5531" s="19"/>
      <c r="F5531" s="20"/>
      <c r="G5531" s="19"/>
      <c r="H5531" s="19"/>
      <c r="I5531" s="19"/>
      <c r="J5531" s="21"/>
      <c r="K5531" s="19"/>
    </row>
    <row r="5532" spans="3:11" x14ac:dyDescent="0.2">
      <c r="C5532" s="19"/>
      <c r="D5532" s="19"/>
      <c r="E5532" s="19"/>
      <c r="F5532" s="20"/>
      <c r="G5532" s="19"/>
      <c r="H5532" s="19"/>
      <c r="I5532" s="19"/>
      <c r="J5532" s="21"/>
      <c r="K5532" s="19"/>
    </row>
    <row r="5533" spans="3:11" x14ac:dyDescent="0.2">
      <c r="C5533" s="19"/>
      <c r="D5533" s="19"/>
      <c r="E5533" s="19"/>
      <c r="F5533" s="20"/>
      <c r="G5533" s="19"/>
      <c r="H5533" s="19"/>
      <c r="I5533" s="19"/>
      <c r="J5533" s="21"/>
      <c r="K5533" s="19"/>
    </row>
    <row r="5534" spans="3:11" x14ac:dyDescent="0.2">
      <c r="C5534" s="19"/>
      <c r="D5534" s="19"/>
      <c r="E5534" s="19"/>
      <c r="F5534" s="20"/>
      <c r="G5534" s="19"/>
      <c r="H5534" s="19"/>
      <c r="I5534" s="19"/>
      <c r="J5534" s="21"/>
      <c r="K5534" s="19"/>
    </row>
    <row r="5535" spans="3:11" x14ac:dyDescent="0.2">
      <c r="C5535" s="19"/>
      <c r="D5535" s="19"/>
      <c r="E5535" s="19"/>
      <c r="F5535" s="20"/>
      <c r="G5535" s="19"/>
      <c r="H5535" s="19"/>
      <c r="I5535" s="19"/>
      <c r="J5535" s="21"/>
      <c r="K5535" s="19"/>
    </row>
    <row r="5536" spans="3:11" x14ac:dyDescent="0.2">
      <c r="C5536" s="19"/>
      <c r="D5536" s="19"/>
      <c r="E5536" s="19"/>
      <c r="F5536" s="20"/>
      <c r="G5536" s="19"/>
      <c r="H5536" s="19"/>
      <c r="I5536" s="19"/>
      <c r="J5536" s="21"/>
      <c r="K5536" s="19"/>
    </row>
    <row r="5537" spans="3:11" x14ac:dyDescent="0.2">
      <c r="C5537" s="19"/>
      <c r="D5537" s="19"/>
      <c r="E5537" s="19"/>
      <c r="F5537" s="20"/>
      <c r="G5537" s="19"/>
      <c r="H5537" s="19"/>
      <c r="I5537" s="19"/>
      <c r="J5537" s="21"/>
      <c r="K5537" s="19"/>
    </row>
    <row r="5538" spans="3:11" x14ac:dyDescent="0.2">
      <c r="C5538" s="19"/>
      <c r="D5538" s="19"/>
      <c r="E5538" s="19"/>
      <c r="F5538" s="20"/>
      <c r="G5538" s="19"/>
      <c r="H5538" s="19"/>
      <c r="I5538" s="19"/>
      <c r="J5538" s="21"/>
      <c r="K5538" s="19"/>
    </row>
    <row r="5539" spans="3:11" x14ac:dyDescent="0.2">
      <c r="C5539" s="19"/>
      <c r="D5539" s="19"/>
      <c r="E5539" s="19"/>
      <c r="F5539" s="20"/>
      <c r="G5539" s="19"/>
      <c r="H5539" s="19"/>
      <c r="I5539" s="19"/>
      <c r="J5539" s="21"/>
      <c r="K5539" s="19"/>
    </row>
    <row r="5540" spans="3:11" x14ac:dyDescent="0.2">
      <c r="C5540" s="19"/>
      <c r="D5540" s="19"/>
      <c r="E5540" s="19"/>
      <c r="F5540" s="20"/>
      <c r="G5540" s="19"/>
      <c r="H5540" s="19"/>
      <c r="I5540" s="19"/>
      <c r="J5540" s="19"/>
      <c r="K5540" s="19"/>
    </row>
    <row r="5541" spans="3:11" x14ac:dyDescent="0.2">
      <c r="C5541" s="19"/>
      <c r="D5541" s="19"/>
      <c r="E5541" s="19"/>
      <c r="F5541" s="20"/>
      <c r="G5541" s="19"/>
      <c r="H5541" s="19"/>
      <c r="I5541" s="19"/>
      <c r="J5541" s="21"/>
      <c r="K5541" s="19"/>
    </row>
    <row r="5542" spans="3:11" x14ac:dyDescent="0.2">
      <c r="C5542" s="19"/>
      <c r="D5542" s="19"/>
      <c r="E5542" s="19"/>
      <c r="F5542" s="20"/>
      <c r="G5542" s="19"/>
      <c r="H5542" s="19"/>
      <c r="I5542" s="19"/>
      <c r="J5542" s="21"/>
      <c r="K5542" s="19"/>
    </row>
    <row r="5543" spans="3:11" x14ac:dyDescent="0.2">
      <c r="C5543" s="19"/>
      <c r="D5543" s="19"/>
      <c r="E5543" s="19"/>
      <c r="F5543" s="20"/>
      <c r="G5543" s="19"/>
      <c r="H5543" s="19"/>
      <c r="I5543" s="19"/>
      <c r="J5543" s="21"/>
      <c r="K5543" s="19"/>
    </row>
    <row r="5544" spans="3:11" x14ac:dyDescent="0.2">
      <c r="C5544" s="19"/>
      <c r="D5544" s="19"/>
      <c r="E5544" s="19"/>
      <c r="F5544" s="20"/>
      <c r="G5544" s="19"/>
      <c r="H5544" s="19"/>
      <c r="I5544" s="19"/>
      <c r="J5544" s="21"/>
      <c r="K5544" s="19"/>
    </row>
    <row r="5545" spans="3:11" x14ac:dyDescent="0.2">
      <c r="C5545" s="19"/>
      <c r="D5545" s="19"/>
      <c r="E5545" s="19"/>
      <c r="F5545" s="20"/>
      <c r="G5545" s="19"/>
      <c r="H5545" s="19"/>
      <c r="I5545" s="19"/>
      <c r="J5545" s="21"/>
      <c r="K5545" s="19"/>
    </row>
    <row r="5546" spans="3:11" x14ac:dyDescent="0.2">
      <c r="C5546" s="19"/>
      <c r="D5546" s="19"/>
      <c r="E5546" s="19"/>
      <c r="F5546" s="20"/>
      <c r="G5546" s="19"/>
      <c r="H5546" s="19"/>
      <c r="I5546" s="19"/>
      <c r="J5546" s="21"/>
      <c r="K5546" s="19"/>
    </row>
    <row r="5547" spans="3:11" x14ac:dyDescent="0.2">
      <c r="C5547" s="19"/>
      <c r="D5547" s="19"/>
      <c r="E5547" s="19"/>
      <c r="F5547" s="20"/>
      <c r="G5547" s="19"/>
      <c r="H5547" s="19"/>
      <c r="I5547" s="19"/>
      <c r="J5547" s="21"/>
      <c r="K5547" s="19"/>
    </row>
    <row r="5548" spans="3:11" x14ac:dyDescent="0.2">
      <c r="C5548" s="19"/>
      <c r="D5548" s="19"/>
      <c r="E5548" s="19"/>
      <c r="F5548" s="20"/>
      <c r="G5548" s="19"/>
      <c r="H5548" s="19"/>
      <c r="I5548" s="19"/>
      <c r="J5548" s="21"/>
      <c r="K5548" s="19"/>
    </row>
    <row r="5549" spans="3:11" x14ac:dyDescent="0.2">
      <c r="C5549" s="19"/>
      <c r="D5549" s="19"/>
      <c r="E5549" s="19"/>
      <c r="F5549" s="20"/>
      <c r="G5549" s="19"/>
      <c r="H5549" s="19"/>
      <c r="I5549" s="19"/>
      <c r="J5549" s="21"/>
      <c r="K5549" s="19"/>
    </row>
    <row r="5550" spans="3:11" x14ac:dyDescent="0.2">
      <c r="C5550" s="19"/>
      <c r="D5550" s="19"/>
      <c r="E5550" s="19"/>
      <c r="F5550" s="20"/>
      <c r="G5550" s="19"/>
      <c r="H5550" s="19"/>
      <c r="I5550" s="19"/>
      <c r="J5550" s="21"/>
      <c r="K5550" s="19"/>
    </row>
    <row r="5551" spans="3:11" x14ac:dyDescent="0.2">
      <c r="C5551" s="19"/>
      <c r="D5551" s="19"/>
      <c r="E5551" s="19"/>
      <c r="F5551" s="20"/>
      <c r="G5551" s="19"/>
      <c r="H5551" s="19"/>
      <c r="I5551" s="19"/>
      <c r="J5551" s="21"/>
      <c r="K5551" s="19"/>
    </row>
    <row r="5552" spans="3:11" x14ac:dyDescent="0.2">
      <c r="C5552" s="19"/>
      <c r="D5552" s="19"/>
      <c r="E5552" s="19"/>
      <c r="F5552" s="20"/>
      <c r="G5552" s="19"/>
      <c r="H5552" s="19"/>
      <c r="I5552" s="19"/>
      <c r="J5552" s="21"/>
      <c r="K5552" s="19"/>
    </row>
    <row r="5553" spans="3:11" x14ac:dyDescent="0.2">
      <c r="C5553" s="19"/>
      <c r="D5553" s="19"/>
      <c r="E5553" s="19"/>
      <c r="F5553" s="20"/>
      <c r="G5553" s="19"/>
      <c r="H5553" s="19"/>
      <c r="I5553" s="19"/>
      <c r="J5553" s="21"/>
      <c r="K5553" s="19"/>
    </row>
    <row r="5554" spans="3:11" x14ac:dyDescent="0.2">
      <c r="C5554" s="19"/>
      <c r="D5554" s="19"/>
      <c r="E5554" s="19"/>
      <c r="F5554" s="20"/>
      <c r="G5554" s="19"/>
      <c r="H5554" s="19"/>
      <c r="I5554" s="19"/>
      <c r="J5554" s="21"/>
      <c r="K5554" s="19"/>
    </row>
    <row r="5555" spans="3:11" x14ac:dyDescent="0.2">
      <c r="C5555" s="19"/>
      <c r="D5555" s="19"/>
      <c r="E5555" s="19"/>
      <c r="F5555" s="20"/>
      <c r="G5555" s="19"/>
      <c r="H5555" s="19"/>
      <c r="I5555" s="19"/>
      <c r="J5555" s="21"/>
      <c r="K5555" s="19"/>
    </row>
    <row r="5556" spans="3:11" x14ac:dyDescent="0.2">
      <c r="C5556" s="19"/>
      <c r="D5556" s="19"/>
      <c r="E5556" s="19"/>
      <c r="F5556" s="20"/>
      <c r="G5556" s="19"/>
      <c r="H5556" s="19"/>
      <c r="I5556" s="19"/>
      <c r="J5556" s="21"/>
      <c r="K5556" s="19"/>
    </row>
    <row r="5557" spans="3:11" x14ac:dyDescent="0.2">
      <c r="C5557" s="19"/>
      <c r="D5557" s="19"/>
      <c r="E5557" s="19"/>
      <c r="F5557" s="20"/>
      <c r="G5557" s="19"/>
      <c r="H5557" s="19"/>
      <c r="I5557" s="19"/>
      <c r="J5557" s="21"/>
      <c r="K5557" s="19"/>
    </row>
    <row r="5558" spans="3:11" x14ac:dyDescent="0.2">
      <c r="C5558" s="19"/>
      <c r="D5558" s="19"/>
      <c r="E5558" s="19"/>
      <c r="F5558" s="20"/>
      <c r="G5558" s="19"/>
      <c r="H5558" s="19"/>
      <c r="I5558" s="19"/>
      <c r="J5558" s="21"/>
      <c r="K5558" s="19"/>
    </row>
    <row r="5559" spans="3:11" x14ac:dyDescent="0.2">
      <c r="C5559" s="19"/>
      <c r="D5559" s="19"/>
      <c r="E5559" s="19"/>
      <c r="F5559" s="20"/>
      <c r="G5559" s="19"/>
      <c r="H5559" s="19"/>
      <c r="I5559" s="19"/>
      <c r="J5559" s="21"/>
      <c r="K5559" s="19"/>
    </row>
    <row r="5560" spans="3:11" x14ac:dyDescent="0.2">
      <c r="C5560" s="19"/>
      <c r="D5560" s="19"/>
      <c r="E5560" s="19"/>
      <c r="F5560" s="20"/>
      <c r="G5560" s="19"/>
      <c r="H5560" s="19"/>
      <c r="I5560" s="19"/>
      <c r="J5560" s="21"/>
      <c r="K5560" s="19"/>
    </row>
    <row r="5561" spans="3:11" x14ac:dyDescent="0.2">
      <c r="C5561" s="19"/>
      <c r="D5561" s="19"/>
      <c r="E5561" s="19"/>
      <c r="F5561" s="20"/>
      <c r="G5561" s="19"/>
      <c r="H5561" s="19"/>
      <c r="I5561" s="19"/>
      <c r="J5561" s="21"/>
      <c r="K5561" s="19"/>
    </row>
    <row r="5562" spans="3:11" x14ac:dyDescent="0.2">
      <c r="C5562" s="19"/>
      <c r="D5562" s="19"/>
      <c r="E5562" s="19"/>
      <c r="F5562" s="20"/>
      <c r="G5562" s="19"/>
      <c r="H5562" s="19"/>
      <c r="I5562" s="19"/>
      <c r="J5562" s="21"/>
      <c r="K5562" s="19"/>
    </row>
    <row r="5563" spans="3:11" x14ac:dyDescent="0.2">
      <c r="C5563" s="19"/>
      <c r="D5563" s="19"/>
      <c r="E5563" s="19"/>
      <c r="F5563" s="20"/>
      <c r="G5563" s="19"/>
      <c r="H5563" s="19"/>
      <c r="I5563" s="19"/>
      <c r="J5563" s="21"/>
      <c r="K5563" s="19"/>
    </row>
    <row r="5564" spans="3:11" x14ac:dyDescent="0.2">
      <c r="C5564" s="19"/>
      <c r="D5564" s="19"/>
      <c r="E5564" s="19"/>
      <c r="F5564" s="20"/>
      <c r="G5564" s="19"/>
      <c r="H5564" s="19"/>
      <c r="I5564" s="19"/>
      <c r="J5564" s="21"/>
      <c r="K5564" s="19"/>
    </row>
    <row r="5565" spans="3:11" x14ac:dyDescent="0.2">
      <c r="C5565" s="19"/>
      <c r="D5565" s="19"/>
      <c r="E5565" s="19"/>
      <c r="F5565" s="20"/>
      <c r="G5565" s="19"/>
      <c r="H5565" s="19"/>
      <c r="I5565" s="19"/>
      <c r="J5565" s="21"/>
      <c r="K5565" s="19"/>
    </row>
    <row r="5566" spans="3:11" x14ac:dyDescent="0.2">
      <c r="C5566" s="19"/>
      <c r="D5566" s="19"/>
      <c r="E5566" s="19"/>
      <c r="F5566" s="20"/>
      <c r="G5566" s="19"/>
      <c r="H5566" s="19"/>
      <c r="I5566" s="19"/>
      <c r="J5566" s="21"/>
      <c r="K5566" s="19"/>
    </row>
    <row r="5567" spans="3:11" x14ac:dyDescent="0.2">
      <c r="C5567" s="19"/>
      <c r="D5567" s="19"/>
      <c r="E5567" s="19"/>
      <c r="F5567" s="20"/>
      <c r="G5567" s="19"/>
      <c r="H5567" s="19"/>
      <c r="I5567" s="19"/>
      <c r="J5567" s="21"/>
      <c r="K5567" s="19"/>
    </row>
    <row r="5568" spans="3:11" x14ac:dyDescent="0.2">
      <c r="C5568" s="19"/>
      <c r="D5568" s="19"/>
      <c r="E5568" s="19"/>
      <c r="F5568" s="20"/>
      <c r="G5568" s="19"/>
      <c r="H5568" s="19"/>
      <c r="I5568" s="19"/>
      <c r="J5568" s="21"/>
      <c r="K5568" s="19"/>
    </row>
    <row r="5569" spans="3:11" x14ac:dyDescent="0.2">
      <c r="C5569" s="19"/>
      <c r="D5569" s="19"/>
      <c r="E5569" s="19"/>
      <c r="F5569" s="20"/>
      <c r="G5569" s="19"/>
      <c r="H5569" s="19"/>
      <c r="I5569" s="19"/>
      <c r="J5569" s="21"/>
      <c r="K5569" s="19"/>
    </row>
    <row r="5570" spans="3:11" x14ac:dyDescent="0.2">
      <c r="C5570" s="19"/>
      <c r="D5570" s="19"/>
      <c r="E5570" s="19"/>
      <c r="F5570" s="20"/>
      <c r="G5570" s="19"/>
      <c r="H5570" s="19"/>
      <c r="I5570" s="19"/>
      <c r="J5570" s="21"/>
      <c r="K5570" s="19"/>
    </row>
    <row r="5571" spans="3:11" x14ac:dyDescent="0.2">
      <c r="C5571" s="19"/>
      <c r="D5571" s="19"/>
      <c r="E5571" s="19"/>
      <c r="F5571" s="20"/>
      <c r="G5571" s="19"/>
      <c r="H5571" s="19"/>
      <c r="I5571" s="19"/>
      <c r="J5571" s="21"/>
      <c r="K5571" s="19"/>
    </row>
    <row r="5572" spans="3:11" x14ac:dyDescent="0.2">
      <c r="C5572" s="19"/>
      <c r="D5572" s="19"/>
      <c r="E5572" s="19"/>
      <c r="F5572" s="20"/>
      <c r="G5572" s="19"/>
      <c r="H5572" s="19"/>
      <c r="I5572" s="19"/>
      <c r="J5572" s="21"/>
      <c r="K5572" s="19"/>
    </row>
    <row r="5573" spans="3:11" x14ac:dyDescent="0.2">
      <c r="C5573" s="19"/>
      <c r="D5573" s="19"/>
      <c r="E5573" s="19"/>
      <c r="F5573" s="20"/>
      <c r="G5573" s="19"/>
      <c r="H5573" s="19"/>
      <c r="I5573" s="19"/>
      <c r="J5573" s="21"/>
      <c r="K5573" s="19"/>
    </row>
    <row r="5574" spans="3:11" x14ac:dyDescent="0.2">
      <c r="C5574" s="19"/>
      <c r="D5574" s="19"/>
      <c r="E5574" s="19"/>
      <c r="F5574" s="20"/>
      <c r="G5574" s="19"/>
      <c r="H5574" s="19"/>
      <c r="I5574" s="19"/>
      <c r="J5574" s="21"/>
      <c r="K5574" s="19"/>
    </row>
    <row r="5575" spans="3:11" x14ac:dyDescent="0.2">
      <c r="C5575" s="19"/>
      <c r="D5575" s="19"/>
      <c r="E5575" s="19"/>
      <c r="F5575" s="20"/>
      <c r="G5575" s="19"/>
      <c r="H5575" s="19"/>
      <c r="I5575" s="19"/>
      <c r="J5575" s="21"/>
      <c r="K5575" s="19"/>
    </row>
    <row r="5576" spans="3:11" x14ac:dyDescent="0.2">
      <c r="C5576" s="19"/>
      <c r="D5576" s="19"/>
      <c r="E5576" s="19"/>
      <c r="F5576" s="20"/>
      <c r="G5576" s="19"/>
      <c r="H5576" s="19"/>
      <c r="I5576" s="19"/>
      <c r="J5576" s="21"/>
      <c r="K5576" s="19"/>
    </row>
    <row r="5577" spans="3:11" x14ac:dyDescent="0.2">
      <c r="C5577" s="19"/>
      <c r="D5577" s="19"/>
      <c r="E5577" s="19"/>
      <c r="F5577" s="20"/>
      <c r="G5577" s="19"/>
      <c r="H5577" s="19"/>
      <c r="I5577" s="19"/>
      <c r="J5577" s="21"/>
      <c r="K5577" s="19"/>
    </row>
    <row r="5578" spans="3:11" x14ac:dyDescent="0.2">
      <c r="C5578" s="19"/>
      <c r="D5578" s="19"/>
      <c r="E5578" s="19"/>
      <c r="F5578" s="20"/>
      <c r="G5578" s="19"/>
      <c r="H5578" s="19"/>
      <c r="I5578" s="19"/>
      <c r="J5578" s="21"/>
      <c r="K5578" s="19"/>
    </row>
    <row r="5579" spans="3:11" x14ac:dyDescent="0.2">
      <c r="C5579" s="19"/>
      <c r="D5579" s="19"/>
      <c r="E5579" s="19"/>
      <c r="F5579" s="20"/>
      <c r="G5579" s="19"/>
      <c r="H5579" s="19"/>
      <c r="I5579" s="19"/>
      <c r="J5579" s="19"/>
      <c r="K5579" s="19"/>
    </row>
    <row r="5580" spans="3:11" x14ac:dyDescent="0.2">
      <c r="C5580" s="19"/>
      <c r="D5580" s="19"/>
      <c r="E5580" s="19"/>
      <c r="F5580" s="20"/>
      <c r="G5580" s="19"/>
      <c r="H5580" s="19"/>
      <c r="I5580" s="19"/>
      <c r="J5580" s="21"/>
      <c r="K5580" s="19"/>
    </row>
    <row r="5581" spans="3:11" x14ac:dyDescent="0.2">
      <c r="C5581" s="19"/>
      <c r="D5581" s="19"/>
      <c r="E5581" s="19"/>
      <c r="F5581" s="20"/>
      <c r="G5581" s="19"/>
      <c r="H5581" s="19"/>
      <c r="I5581" s="19"/>
      <c r="J5581" s="21"/>
      <c r="K5581" s="19"/>
    </row>
    <row r="5582" spans="3:11" x14ac:dyDescent="0.2">
      <c r="C5582" s="19"/>
      <c r="D5582" s="19"/>
      <c r="E5582" s="19"/>
      <c r="F5582" s="20"/>
      <c r="G5582" s="19"/>
      <c r="H5582" s="19"/>
      <c r="I5582" s="19"/>
      <c r="J5582" s="19"/>
      <c r="K5582" s="19"/>
    </row>
    <row r="5583" spans="3:11" x14ac:dyDescent="0.2">
      <c r="C5583" s="19"/>
      <c r="D5583" s="19"/>
      <c r="E5583" s="19"/>
      <c r="F5583" s="20"/>
      <c r="G5583" s="19"/>
      <c r="H5583" s="19"/>
      <c r="I5583" s="19"/>
      <c r="J5583" s="19"/>
      <c r="K5583" s="19"/>
    </row>
    <row r="5584" spans="3:11" x14ac:dyDescent="0.2">
      <c r="C5584" s="19"/>
      <c r="D5584" s="19"/>
      <c r="E5584" s="19"/>
      <c r="F5584" s="20"/>
      <c r="G5584" s="19"/>
      <c r="H5584" s="19"/>
      <c r="I5584" s="19"/>
      <c r="J5584" s="19"/>
      <c r="K5584" s="19"/>
    </row>
    <row r="5585" spans="3:11" x14ac:dyDescent="0.2">
      <c r="C5585" s="19"/>
      <c r="D5585" s="19"/>
      <c r="E5585" s="19"/>
      <c r="F5585" s="20"/>
      <c r="G5585" s="19"/>
      <c r="H5585" s="19"/>
      <c r="I5585" s="19"/>
      <c r="J5585" s="19"/>
      <c r="K5585" s="19"/>
    </row>
    <row r="5586" spans="3:11" x14ac:dyDescent="0.2">
      <c r="C5586" s="19"/>
      <c r="D5586" s="19"/>
      <c r="E5586" s="19"/>
      <c r="F5586" s="20"/>
      <c r="G5586" s="19"/>
      <c r="H5586" s="19"/>
      <c r="I5586" s="19"/>
      <c r="J5586" s="19"/>
      <c r="K5586" s="19"/>
    </row>
    <row r="5587" spans="3:11" x14ac:dyDescent="0.2">
      <c r="C5587" s="19"/>
      <c r="D5587" s="19"/>
      <c r="E5587" s="19"/>
      <c r="F5587" s="20"/>
      <c r="G5587" s="19"/>
      <c r="H5587" s="19"/>
      <c r="I5587" s="19"/>
      <c r="J5587" s="21"/>
      <c r="K5587" s="19"/>
    </row>
    <row r="5588" spans="3:11" x14ac:dyDescent="0.2">
      <c r="C5588" s="19"/>
      <c r="D5588" s="19"/>
      <c r="E5588" s="19"/>
      <c r="F5588" s="20"/>
      <c r="G5588" s="19"/>
      <c r="H5588" s="19"/>
      <c r="I5588" s="19"/>
      <c r="J5588" s="21"/>
      <c r="K5588" s="19"/>
    </row>
    <row r="5589" spans="3:11" x14ac:dyDescent="0.2">
      <c r="C5589" s="19"/>
      <c r="D5589" s="19"/>
      <c r="E5589" s="19"/>
      <c r="F5589" s="20"/>
      <c r="G5589" s="19"/>
      <c r="H5589" s="19"/>
      <c r="I5589" s="19"/>
      <c r="J5589" s="21"/>
      <c r="K5589" s="19"/>
    </row>
    <row r="5590" spans="3:11" x14ac:dyDescent="0.2">
      <c r="C5590" s="19"/>
      <c r="D5590" s="19"/>
      <c r="E5590" s="19"/>
      <c r="F5590" s="20"/>
      <c r="G5590" s="19"/>
      <c r="H5590" s="19"/>
      <c r="I5590" s="19"/>
      <c r="J5590" s="21"/>
      <c r="K5590" s="19"/>
    </row>
    <row r="5591" spans="3:11" x14ac:dyDescent="0.2">
      <c r="C5591" s="19"/>
      <c r="D5591" s="19"/>
      <c r="E5591" s="19"/>
      <c r="F5591" s="20"/>
      <c r="G5591" s="19"/>
      <c r="H5591" s="19"/>
      <c r="I5591" s="19"/>
      <c r="J5591" s="21"/>
      <c r="K5591" s="19"/>
    </row>
    <row r="5592" spans="3:11" x14ac:dyDescent="0.2">
      <c r="C5592" s="19"/>
      <c r="D5592" s="19"/>
      <c r="E5592" s="19"/>
      <c r="F5592" s="20"/>
      <c r="G5592" s="19"/>
      <c r="H5592" s="19"/>
      <c r="I5592" s="19"/>
      <c r="J5592" s="21"/>
      <c r="K5592" s="19"/>
    </row>
    <row r="5593" spans="3:11" x14ac:dyDescent="0.2">
      <c r="C5593" s="19"/>
      <c r="D5593" s="19"/>
      <c r="E5593" s="19"/>
      <c r="F5593" s="20"/>
      <c r="G5593" s="19"/>
      <c r="H5593" s="19"/>
      <c r="I5593" s="19"/>
      <c r="J5593" s="21"/>
      <c r="K5593" s="19"/>
    </row>
    <row r="5594" spans="3:11" x14ac:dyDescent="0.2">
      <c r="C5594" s="19"/>
      <c r="D5594" s="19"/>
      <c r="E5594" s="19"/>
      <c r="F5594" s="20"/>
      <c r="G5594" s="19"/>
      <c r="H5594" s="19"/>
      <c r="I5594" s="19"/>
      <c r="J5594" s="21"/>
      <c r="K5594" s="19"/>
    </row>
    <row r="5595" spans="3:11" x14ac:dyDescent="0.2">
      <c r="C5595" s="19"/>
      <c r="D5595" s="19"/>
      <c r="E5595" s="19"/>
      <c r="F5595" s="20"/>
      <c r="G5595" s="19"/>
      <c r="H5595" s="19"/>
      <c r="I5595" s="19"/>
      <c r="J5595" s="21"/>
      <c r="K5595" s="19"/>
    </row>
    <row r="5596" spans="3:11" x14ac:dyDescent="0.2">
      <c r="C5596" s="19"/>
      <c r="D5596" s="19"/>
      <c r="E5596" s="19"/>
      <c r="F5596" s="20"/>
      <c r="G5596" s="19"/>
      <c r="H5596" s="19"/>
      <c r="I5596" s="19"/>
      <c r="J5596" s="21"/>
      <c r="K5596" s="19"/>
    </row>
    <row r="5597" spans="3:11" x14ac:dyDescent="0.2">
      <c r="C5597" s="19"/>
      <c r="D5597" s="19"/>
      <c r="E5597" s="19"/>
      <c r="F5597" s="20"/>
      <c r="G5597" s="19"/>
      <c r="H5597" s="19"/>
      <c r="I5597" s="19"/>
      <c r="J5597" s="21"/>
      <c r="K5597" s="19"/>
    </row>
    <row r="5598" spans="3:11" x14ac:dyDescent="0.2">
      <c r="C5598" s="19"/>
      <c r="D5598" s="19"/>
      <c r="E5598" s="19"/>
      <c r="F5598" s="20"/>
      <c r="G5598" s="19"/>
      <c r="H5598" s="19"/>
      <c r="I5598" s="19"/>
      <c r="J5598" s="21"/>
      <c r="K5598" s="19"/>
    </row>
    <row r="5599" spans="3:11" x14ac:dyDescent="0.2">
      <c r="C5599" s="19"/>
      <c r="D5599" s="19"/>
      <c r="E5599" s="19"/>
      <c r="F5599" s="20"/>
      <c r="G5599" s="19"/>
      <c r="H5599" s="19"/>
      <c r="I5599" s="19"/>
      <c r="J5599" s="21"/>
      <c r="K5599" s="19"/>
    </row>
    <row r="5600" spans="3:11" x14ac:dyDescent="0.2">
      <c r="C5600" s="19"/>
      <c r="D5600" s="19"/>
      <c r="E5600" s="19"/>
      <c r="F5600" s="20"/>
      <c r="G5600" s="19"/>
      <c r="H5600" s="19"/>
      <c r="I5600" s="19"/>
      <c r="J5600" s="21"/>
      <c r="K5600" s="19"/>
    </row>
    <row r="5601" spans="3:11" x14ac:dyDescent="0.2">
      <c r="C5601" s="19"/>
      <c r="D5601" s="19"/>
      <c r="E5601" s="19"/>
      <c r="F5601" s="20"/>
      <c r="G5601" s="19"/>
      <c r="H5601" s="19"/>
      <c r="I5601" s="19"/>
      <c r="J5601" s="21"/>
      <c r="K5601" s="19"/>
    </row>
    <row r="5602" spans="3:11" x14ac:dyDescent="0.2">
      <c r="C5602" s="19"/>
      <c r="D5602" s="19"/>
      <c r="E5602" s="19"/>
      <c r="F5602" s="20"/>
      <c r="G5602" s="19"/>
      <c r="H5602" s="19"/>
      <c r="I5602" s="19"/>
      <c r="J5602" s="21"/>
      <c r="K5602" s="19"/>
    </row>
    <row r="5603" spans="3:11" x14ac:dyDescent="0.2">
      <c r="C5603" s="19"/>
      <c r="D5603" s="19"/>
      <c r="E5603" s="19"/>
      <c r="F5603" s="20"/>
      <c r="G5603" s="19"/>
      <c r="H5603" s="19"/>
      <c r="I5603" s="19"/>
      <c r="J5603" s="21"/>
      <c r="K5603" s="19"/>
    </row>
    <row r="5604" spans="3:11" x14ac:dyDescent="0.2">
      <c r="C5604" s="19"/>
      <c r="D5604" s="19"/>
      <c r="E5604" s="19"/>
      <c r="F5604" s="20"/>
      <c r="G5604" s="19"/>
      <c r="H5604" s="19"/>
      <c r="I5604" s="19"/>
      <c r="J5604" s="21"/>
      <c r="K5604" s="19"/>
    </row>
    <row r="5605" spans="3:11" x14ac:dyDescent="0.2">
      <c r="C5605" s="19"/>
      <c r="D5605" s="19"/>
      <c r="E5605" s="19"/>
      <c r="F5605" s="20"/>
      <c r="G5605" s="19"/>
      <c r="H5605" s="19"/>
      <c r="I5605" s="19"/>
      <c r="J5605" s="21"/>
      <c r="K5605" s="19"/>
    </row>
    <row r="5606" spans="3:11" x14ac:dyDescent="0.2">
      <c r="C5606" s="19"/>
      <c r="D5606" s="19"/>
      <c r="E5606" s="19"/>
      <c r="F5606" s="20"/>
      <c r="G5606" s="19"/>
      <c r="H5606" s="19"/>
      <c r="I5606" s="19"/>
      <c r="J5606" s="21"/>
      <c r="K5606" s="19"/>
    </row>
    <row r="5607" spans="3:11" x14ac:dyDescent="0.2">
      <c r="C5607" s="19"/>
      <c r="D5607" s="19"/>
      <c r="E5607" s="19"/>
      <c r="F5607" s="20"/>
      <c r="G5607" s="19"/>
      <c r="H5607" s="19"/>
      <c r="I5607" s="19"/>
      <c r="J5607" s="21"/>
      <c r="K5607" s="19"/>
    </row>
    <row r="5608" spans="3:11" x14ac:dyDescent="0.2">
      <c r="C5608" s="19"/>
      <c r="D5608" s="19"/>
      <c r="E5608" s="19"/>
      <c r="F5608" s="20"/>
      <c r="G5608" s="19"/>
      <c r="H5608" s="19"/>
      <c r="I5608" s="19"/>
      <c r="J5608" s="21"/>
      <c r="K5608" s="19"/>
    </row>
    <row r="5609" spans="3:11" x14ac:dyDescent="0.2">
      <c r="C5609" s="19"/>
      <c r="D5609" s="19"/>
      <c r="E5609" s="19"/>
      <c r="F5609" s="20"/>
      <c r="G5609" s="19"/>
      <c r="H5609" s="19"/>
      <c r="I5609" s="19"/>
      <c r="J5609" s="21"/>
      <c r="K5609" s="19"/>
    </row>
    <row r="5610" spans="3:11" x14ac:dyDescent="0.2">
      <c r="C5610" s="19"/>
      <c r="D5610" s="19"/>
      <c r="E5610" s="19"/>
      <c r="F5610" s="20"/>
      <c r="G5610" s="19"/>
      <c r="H5610" s="19"/>
      <c r="I5610" s="19"/>
      <c r="J5610" s="21"/>
      <c r="K5610" s="19"/>
    </row>
    <row r="5611" spans="3:11" x14ac:dyDescent="0.2">
      <c r="C5611" s="19"/>
      <c r="D5611" s="19"/>
      <c r="E5611" s="19"/>
      <c r="F5611" s="20"/>
      <c r="G5611" s="19"/>
      <c r="H5611" s="19"/>
      <c r="I5611" s="19"/>
      <c r="J5611" s="21"/>
      <c r="K5611" s="19"/>
    </row>
    <row r="5612" spans="3:11" x14ac:dyDescent="0.2">
      <c r="C5612" s="19"/>
      <c r="D5612" s="19"/>
      <c r="E5612" s="19"/>
      <c r="F5612" s="20"/>
      <c r="G5612" s="19"/>
      <c r="H5612" s="19"/>
      <c r="I5612" s="19"/>
      <c r="J5612" s="21"/>
      <c r="K5612" s="19"/>
    </row>
    <row r="5613" spans="3:11" x14ac:dyDescent="0.2">
      <c r="C5613" s="19"/>
      <c r="D5613" s="19"/>
      <c r="E5613" s="19"/>
      <c r="F5613" s="20"/>
      <c r="G5613" s="19"/>
      <c r="H5613" s="19"/>
      <c r="I5613" s="19"/>
      <c r="J5613" s="19"/>
      <c r="K5613" s="19"/>
    </row>
    <row r="5614" spans="3:11" x14ac:dyDescent="0.2">
      <c r="C5614" s="19"/>
      <c r="D5614" s="19"/>
      <c r="E5614" s="19"/>
      <c r="F5614" s="20"/>
      <c r="G5614" s="19"/>
      <c r="H5614" s="19"/>
      <c r="I5614" s="19"/>
      <c r="J5614" s="21"/>
      <c r="K5614" s="19"/>
    </row>
    <row r="5615" spans="3:11" x14ac:dyDescent="0.2">
      <c r="C5615" s="19"/>
      <c r="D5615" s="19"/>
      <c r="E5615" s="19"/>
      <c r="F5615" s="20"/>
      <c r="G5615" s="19"/>
      <c r="H5615" s="19"/>
      <c r="I5615" s="19"/>
      <c r="J5615" s="21"/>
      <c r="K5615" s="19"/>
    </row>
    <row r="5616" spans="3:11" x14ac:dyDescent="0.2">
      <c r="C5616" s="19"/>
      <c r="D5616" s="19"/>
      <c r="E5616" s="19"/>
      <c r="F5616" s="20"/>
      <c r="G5616" s="19"/>
      <c r="H5616" s="19"/>
      <c r="I5616" s="19"/>
      <c r="J5616" s="19"/>
      <c r="K5616" s="19"/>
    </row>
    <row r="5617" spans="3:11" x14ac:dyDescent="0.2">
      <c r="C5617" s="19"/>
      <c r="D5617" s="19"/>
      <c r="E5617" s="19"/>
      <c r="F5617" s="20"/>
      <c r="G5617" s="19"/>
      <c r="H5617" s="19"/>
      <c r="I5617" s="19"/>
      <c r="J5617" s="21"/>
      <c r="K5617" s="19"/>
    </row>
    <row r="5618" spans="3:11" x14ac:dyDescent="0.2">
      <c r="C5618" s="19"/>
      <c r="D5618" s="19"/>
      <c r="E5618" s="19"/>
      <c r="F5618" s="20"/>
      <c r="G5618" s="19"/>
      <c r="H5618" s="19"/>
      <c r="I5618" s="19"/>
      <c r="J5618" s="21"/>
      <c r="K5618" s="19"/>
    </row>
    <row r="5619" spans="3:11" x14ac:dyDescent="0.2">
      <c r="C5619" s="19"/>
      <c r="D5619" s="19"/>
      <c r="E5619" s="19"/>
      <c r="F5619" s="20"/>
      <c r="G5619" s="19"/>
      <c r="H5619" s="19"/>
      <c r="I5619" s="19"/>
      <c r="J5619" s="21"/>
      <c r="K5619" s="19"/>
    </row>
    <row r="5620" spans="3:11" x14ac:dyDescent="0.2">
      <c r="C5620" s="19"/>
      <c r="D5620" s="19"/>
      <c r="E5620" s="19"/>
      <c r="F5620" s="20"/>
      <c r="G5620" s="19"/>
      <c r="H5620" s="19"/>
      <c r="I5620" s="19"/>
      <c r="J5620" s="21"/>
      <c r="K5620" s="19"/>
    </row>
    <row r="5621" spans="3:11" x14ac:dyDescent="0.2">
      <c r="C5621" s="19"/>
      <c r="D5621" s="19"/>
      <c r="E5621" s="19"/>
      <c r="F5621" s="20"/>
      <c r="G5621" s="19"/>
      <c r="H5621" s="19"/>
      <c r="I5621" s="19"/>
      <c r="J5621" s="21"/>
      <c r="K5621" s="19"/>
    </row>
    <row r="5622" spans="3:11" x14ac:dyDescent="0.2">
      <c r="C5622" s="19"/>
      <c r="D5622" s="19"/>
      <c r="E5622" s="19"/>
      <c r="F5622" s="20"/>
      <c r="G5622" s="19"/>
      <c r="H5622" s="19"/>
      <c r="I5622" s="19"/>
      <c r="J5622" s="21"/>
      <c r="K5622" s="19"/>
    </row>
    <row r="5623" spans="3:11" x14ac:dyDescent="0.2">
      <c r="C5623" s="19"/>
      <c r="D5623" s="19"/>
      <c r="E5623" s="19"/>
      <c r="F5623" s="20"/>
      <c r="G5623" s="19"/>
      <c r="H5623" s="19"/>
      <c r="I5623" s="19"/>
      <c r="J5623" s="21"/>
      <c r="K5623" s="19"/>
    </row>
    <row r="5624" spans="3:11" x14ac:dyDescent="0.2">
      <c r="C5624" s="19"/>
      <c r="D5624" s="19"/>
      <c r="E5624" s="19"/>
      <c r="F5624" s="20"/>
      <c r="G5624" s="19"/>
      <c r="H5624" s="19"/>
      <c r="I5624" s="19"/>
      <c r="J5624" s="21"/>
      <c r="K5624" s="19"/>
    </row>
    <row r="5625" spans="3:11" x14ac:dyDescent="0.2">
      <c r="C5625" s="19"/>
      <c r="D5625" s="19"/>
      <c r="E5625" s="19"/>
      <c r="F5625" s="20"/>
      <c r="G5625" s="19"/>
      <c r="H5625" s="19"/>
      <c r="I5625" s="19"/>
      <c r="J5625" s="21"/>
      <c r="K5625" s="19"/>
    </row>
    <row r="5626" spans="3:11" x14ac:dyDescent="0.2">
      <c r="C5626" s="19"/>
      <c r="D5626" s="19"/>
      <c r="E5626" s="19"/>
      <c r="F5626" s="20"/>
      <c r="G5626" s="19"/>
      <c r="H5626" s="19"/>
      <c r="I5626" s="19"/>
      <c r="J5626" s="21"/>
      <c r="K5626" s="19"/>
    </row>
    <row r="5627" spans="3:11" x14ac:dyDescent="0.2">
      <c r="C5627" s="19"/>
      <c r="D5627" s="19"/>
      <c r="E5627" s="19"/>
      <c r="F5627" s="20"/>
      <c r="G5627" s="19"/>
      <c r="H5627" s="19"/>
      <c r="I5627" s="19"/>
      <c r="J5627" s="21"/>
      <c r="K5627" s="19"/>
    </row>
    <row r="5628" spans="3:11" x14ac:dyDescent="0.2">
      <c r="C5628" s="19"/>
      <c r="D5628" s="19"/>
      <c r="E5628" s="19"/>
      <c r="F5628" s="20"/>
      <c r="G5628" s="19"/>
      <c r="H5628" s="19"/>
      <c r="I5628" s="19"/>
      <c r="J5628" s="21"/>
      <c r="K5628" s="19"/>
    </row>
    <row r="5629" spans="3:11" x14ac:dyDescent="0.2">
      <c r="C5629" s="19"/>
      <c r="D5629" s="19"/>
      <c r="E5629" s="19"/>
      <c r="F5629" s="20"/>
      <c r="G5629" s="19"/>
      <c r="H5629" s="19"/>
      <c r="I5629" s="19"/>
      <c r="J5629" s="21"/>
      <c r="K5629" s="19"/>
    </row>
    <row r="5630" spans="3:11" x14ac:dyDescent="0.2">
      <c r="C5630" s="19"/>
      <c r="D5630" s="19"/>
      <c r="E5630" s="19"/>
      <c r="F5630" s="20"/>
      <c r="G5630" s="19"/>
      <c r="H5630" s="19"/>
      <c r="I5630" s="19"/>
      <c r="J5630" s="21"/>
      <c r="K5630" s="19"/>
    </row>
    <row r="5631" spans="3:11" x14ac:dyDescent="0.2">
      <c r="C5631" s="19"/>
      <c r="D5631" s="19"/>
      <c r="E5631" s="19"/>
      <c r="F5631" s="20"/>
      <c r="G5631" s="19"/>
      <c r="H5631" s="19"/>
      <c r="I5631" s="19"/>
      <c r="J5631" s="21"/>
      <c r="K5631" s="19"/>
    </row>
    <row r="5632" spans="3:11" x14ac:dyDescent="0.2">
      <c r="C5632" s="19"/>
      <c r="D5632" s="19"/>
      <c r="E5632" s="19"/>
      <c r="F5632" s="20"/>
      <c r="G5632" s="19"/>
      <c r="H5632" s="19"/>
      <c r="I5632" s="19"/>
      <c r="J5632" s="21"/>
      <c r="K5632" s="19"/>
    </row>
    <row r="5633" spans="3:11" x14ac:dyDescent="0.2">
      <c r="C5633" s="19"/>
      <c r="D5633" s="19"/>
      <c r="E5633" s="19"/>
      <c r="F5633" s="20"/>
      <c r="G5633" s="19"/>
      <c r="H5633" s="19"/>
      <c r="I5633" s="19"/>
      <c r="J5633" s="21"/>
      <c r="K5633" s="19"/>
    </row>
    <row r="5634" spans="3:11" x14ac:dyDescent="0.2">
      <c r="C5634" s="19"/>
      <c r="D5634" s="19"/>
      <c r="E5634" s="19"/>
      <c r="F5634" s="20"/>
      <c r="G5634" s="19"/>
      <c r="H5634" s="19"/>
      <c r="I5634" s="19"/>
      <c r="J5634" s="21"/>
      <c r="K5634" s="19"/>
    </row>
    <row r="5635" spans="3:11" x14ac:dyDescent="0.2">
      <c r="C5635" s="19"/>
      <c r="D5635" s="19"/>
      <c r="E5635" s="19"/>
      <c r="F5635" s="20"/>
      <c r="G5635" s="19"/>
      <c r="H5635" s="19"/>
      <c r="I5635" s="19"/>
      <c r="J5635" s="21"/>
      <c r="K5635" s="19"/>
    </row>
    <row r="5636" spans="3:11" x14ac:dyDescent="0.2">
      <c r="C5636" s="19"/>
      <c r="D5636" s="19"/>
      <c r="E5636" s="19"/>
      <c r="F5636" s="20"/>
      <c r="G5636" s="19"/>
      <c r="H5636" s="19"/>
      <c r="I5636" s="19"/>
      <c r="J5636" s="21"/>
      <c r="K5636" s="19"/>
    </row>
    <row r="5637" spans="3:11" x14ac:dyDescent="0.2">
      <c r="C5637" s="19"/>
      <c r="D5637" s="19"/>
      <c r="E5637" s="19"/>
      <c r="F5637" s="20"/>
      <c r="G5637" s="19"/>
      <c r="H5637" s="19"/>
      <c r="I5637" s="19"/>
      <c r="J5637" s="21"/>
      <c r="K5637" s="19"/>
    </row>
    <row r="5638" spans="3:11" x14ac:dyDescent="0.2">
      <c r="C5638" s="19"/>
      <c r="D5638" s="19"/>
      <c r="E5638" s="19"/>
      <c r="F5638" s="20"/>
      <c r="G5638" s="19"/>
      <c r="H5638" s="19"/>
      <c r="I5638" s="19"/>
      <c r="J5638" s="21"/>
      <c r="K5638" s="19"/>
    </row>
    <row r="5639" spans="3:11" x14ac:dyDescent="0.2">
      <c r="C5639" s="19"/>
      <c r="D5639" s="19"/>
      <c r="E5639" s="19"/>
      <c r="F5639" s="20"/>
      <c r="G5639" s="19"/>
      <c r="H5639" s="19"/>
      <c r="I5639" s="19"/>
      <c r="J5639" s="21"/>
      <c r="K5639" s="19"/>
    </row>
    <row r="5640" spans="3:11" x14ac:dyDescent="0.2">
      <c r="C5640" s="19"/>
      <c r="D5640" s="19"/>
      <c r="E5640" s="19"/>
      <c r="F5640" s="20"/>
      <c r="G5640" s="19"/>
      <c r="H5640" s="19"/>
      <c r="I5640" s="19"/>
      <c r="J5640" s="19"/>
      <c r="K5640" s="19"/>
    </row>
    <row r="5641" spans="3:11" x14ac:dyDescent="0.2">
      <c r="C5641" s="19"/>
      <c r="D5641" s="19"/>
      <c r="E5641" s="19"/>
      <c r="F5641" s="20"/>
      <c r="G5641" s="19"/>
      <c r="H5641" s="19"/>
      <c r="I5641" s="19"/>
      <c r="J5641" s="21"/>
      <c r="K5641" s="19"/>
    </row>
    <row r="5642" spans="3:11" x14ac:dyDescent="0.2">
      <c r="C5642" s="19"/>
      <c r="D5642" s="19"/>
      <c r="E5642" s="19"/>
      <c r="F5642" s="20"/>
      <c r="G5642" s="19"/>
      <c r="H5642" s="19"/>
      <c r="I5642" s="19"/>
      <c r="J5642" s="19"/>
      <c r="K5642" s="19"/>
    </row>
    <row r="5643" spans="3:11" x14ac:dyDescent="0.2">
      <c r="C5643" s="19"/>
      <c r="D5643" s="19"/>
      <c r="E5643" s="19"/>
      <c r="F5643" s="20"/>
      <c r="G5643" s="19"/>
      <c r="H5643" s="19"/>
      <c r="I5643" s="19"/>
      <c r="J5643" s="21"/>
      <c r="K5643" s="19"/>
    </row>
    <row r="5644" spans="3:11" x14ac:dyDescent="0.2">
      <c r="C5644" s="19"/>
      <c r="D5644" s="19"/>
      <c r="E5644" s="19"/>
      <c r="F5644" s="20"/>
      <c r="G5644" s="19"/>
      <c r="H5644" s="19"/>
      <c r="I5644" s="19"/>
      <c r="J5644" s="21"/>
      <c r="K5644" s="19"/>
    </row>
    <row r="5645" spans="3:11" x14ac:dyDescent="0.2">
      <c r="C5645" s="19"/>
      <c r="D5645" s="19"/>
      <c r="E5645" s="19"/>
      <c r="F5645" s="20"/>
      <c r="G5645" s="19"/>
      <c r="H5645" s="19"/>
      <c r="I5645" s="19"/>
      <c r="J5645" s="21"/>
      <c r="K5645" s="19"/>
    </row>
    <row r="5646" spans="3:11" x14ac:dyDescent="0.2">
      <c r="C5646" s="19"/>
      <c r="D5646" s="19"/>
      <c r="E5646" s="19"/>
      <c r="F5646" s="20"/>
      <c r="G5646" s="19"/>
      <c r="H5646" s="19"/>
      <c r="I5646" s="19"/>
      <c r="J5646" s="21"/>
      <c r="K5646" s="19"/>
    </row>
    <row r="5647" spans="3:11" x14ac:dyDescent="0.2">
      <c r="C5647" s="19"/>
      <c r="D5647" s="19"/>
      <c r="E5647" s="19"/>
      <c r="F5647" s="20"/>
      <c r="G5647" s="19"/>
      <c r="H5647" s="19"/>
      <c r="I5647" s="19"/>
      <c r="J5647" s="21"/>
      <c r="K5647" s="19"/>
    </row>
    <row r="5648" spans="3:11" x14ac:dyDescent="0.2">
      <c r="C5648" s="19"/>
      <c r="D5648" s="19"/>
      <c r="E5648" s="19"/>
      <c r="F5648" s="20"/>
      <c r="G5648" s="19"/>
      <c r="H5648" s="19"/>
      <c r="I5648" s="19"/>
      <c r="J5648" s="21"/>
      <c r="K5648" s="19"/>
    </row>
    <row r="5649" spans="3:11" x14ac:dyDescent="0.2">
      <c r="C5649" s="19"/>
      <c r="D5649" s="19"/>
      <c r="E5649" s="19"/>
      <c r="F5649" s="20"/>
      <c r="G5649" s="19"/>
      <c r="H5649" s="19"/>
      <c r="I5649" s="19"/>
      <c r="J5649" s="21"/>
      <c r="K5649" s="19"/>
    </row>
    <row r="5650" spans="3:11" x14ac:dyDescent="0.2">
      <c r="C5650" s="19"/>
      <c r="D5650" s="19"/>
      <c r="E5650" s="19"/>
      <c r="F5650" s="20"/>
      <c r="G5650" s="19"/>
      <c r="H5650" s="19"/>
      <c r="I5650" s="19"/>
      <c r="J5650" s="21"/>
      <c r="K5650" s="19"/>
    </row>
    <row r="5651" spans="3:11" x14ac:dyDescent="0.2">
      <c r="C5651" s="19"/>
      <c r="D5651" s="19"/>
      <c r="E5651" s="19"/>
      <c r="F5651" s="20"/>
      <c r="G5651" s="19"/>
      <c r="H5651" s="19"/>
      <c r="I5651" s="19"/>
      <c r="J5651" s="21"/>
      <c r="K5651" s="19"/>
    </row>
    <row r="5652" spans="3:11" x14ac:dyDescent="0.2">
      <c r="C5652" s="19"/>
      <c r="D5652" s="19"/>
      <c r="E5652" s="19"/>
      <c r="F5652" s="20"/>
      <c r="G5652" s="19"/>
      <c r="H5652" s="19"/>
      <c r="I5652" s="19"/>
      <c r="J5652" s="21"/>
      <c r="K5652" s="19"/>
    </row>
    <row r="5653" spans="3:11" x14ac:dyDescent="0.2">
      <c r="C5653" s="19"/>
      <c r="D5653" s="19"/>
      <c r="E5653" s="19"/>
      <c r="F5653" s="20"/>
      <c r="G5653" s="19"/>
      <c r="H5653" s="19"/>
      <c r="I5653" s="19"/>
      <c r="J5653" s="21"/>
      <c r="K5653" s="19"/>
    </row>
    <row r="5654" spans="3:11" x14ac:dyDescent="0.2">
      <c r="C5654" s="19"/>
      <c r="D5654" s="19"/>
      <c r="E5654" s="19"/>
      <c r="F5654" s="20"/>
      <c r="G5654" s="19"/>
      <c r="H5654" s="19"/>
      <c r="I5654" s="19"/>
      <c r="J5654" s="21"/>
      <c r="K5654" s="19"/>
    </row>
    <row r="5655" spans="3:11" x14ac:dyDescent="0.2">
      <c r="C5655" s="19"/>
      <c r="D5655" s="19"/>
      <c r="E5655" s="19"/>
      <c r="F5655" s="20"/>
      <c r="G5655" s="19"/>
      <c r="H5655" s="19"/>
      <c r="I5655" s="19"/>
      <c r="J5655" s="21"/>
      <c r="K5655" s="19"/>
    </row>
    <row r="5656" spans="3:11" x14ac:dyDescent="0.2">
      <c r="C5656" s="19"/>
      <c r="D5656" s="19"/>
      <c r="E5656" s="19"/>
      <c r="F5656" s="20"/>
      <c r="G5656" s="19"/>
      <c r="H5656" s="19"/>
      <c r="I5656" s="19"/>
      <c r="J5656" s="21"/>
      <c r="K5656" s="19"/>
    </row>
    <row r="5657" spans="3:11" x14ac:dyDescent="0.2">
      <c r="C5657" s="19"/>
      <c r="D5657" s="19"/>
      <c r="E5657" s="19"/>
      <c r="F5657" s="20"/>
      <c r="G5657" s="19"/>
      <c r="H5657" s="19"/>
      <c r="I5657" s="19"/>
      <c r="J5657" s="21"/>
      <c r="K5657" s="19"/>
    </row>
    <row r="5658" spans="3:11" x14ac:dyDescent="0.2">
      <c r="C5658" s="19"/>
      <c r="D5658" s="19"/>
      <c r="E5658" s="19"/>
      <c r="F5658" s="20"/>
      <c r="G5658" s="19"/>
      <c r="H5658" s="19"/>
      <c r="I5658" s="19"/>
      <c r="J5658" s="21"/>
      <c r="K5658" s="19"/>
    </row>
    <row r="5659" spans="3:11" x14ac:dyDescent="0.2">
      <c r="C5659" s="19"/>
      <c r="D5659" s="19"/>
      <c r="E5659" s="19"/>
      <c r="F5659" s="20"/>
      <c r="G5659" s="19"/>
      <c r="H5659" s="19"/>
      <c r="I5659" s="19"/>
      <c r="J5659" s="21"/>
      <c r="K5659" s="19"/>
    </row>
    <row r="5660" spans="3:11" x14ac:dyDescent="0.2">
      <c r="C5660" s="19"/>
      <c r="D5660" s="19"/>
      <c r="E5660" s="19"/>
      <c r="F5660" s="20"/>
      <c r="G5660" s="19"/>
      <c r="H5660" s="19"/>
      <c r="I5660" s="19"/>
      <c r="J5660" s="21"/>
      <c r="K5660" s="19"/>
    </row>
    <row r="5661" spans="3:11" x14ac:dyDescent="0.2">
      <c r="C5661" s="19"/>
      <c r="D5661" s="19"/>
      <c r="E5661" s="19"/>
      <c r="F5661" s="20"/>
      <c r="G5661" s="19"/>
      <c r="H5661" s="19"/>
      <c r="I5661" s="19"/>
      <c r="J5661" s="21"/>
      <c r="K5661" s="19"/>
    </row>
    <row r="5662" spans="3:11" x14ac:dyDescent="0.2">
      <c r="C5662" s="19"/>
      <c r="D5662" s="19"/>
      <c r="E5662" s="19"/>
      <c r="F5662" s="20"/>
      <c r="G5662" s="19"/>
      <c r="H5662" s="19"/>
      <c r="I5662" s="19"/>
      <c r="J5662" s="21"/>
      <c r="K5662" s="19"/>
    </row>
    <row r="5663" spans="3:11" x14ac:dyDescent="0.2">
      <c r="C5663" s="19"/>
      <c r="D5663" s="19"/>
      <c r="E5663" s="19"/>
      <c r="F5663" s="20"/>
      <c r="G5663" s="19"/>
      <c r="H5663" s="19"/>
      <c r="I5663" s="19"/>
      <c r="J5663" s="21"/>
      <c r="K5663" s="19"/>
    </row>
    <row r="5664" spans="3:11" x14ac:dyDescent="0.2">
      <c r="C5664" s="19"/>
      <c r="D5664" s="19"/>
      <c r="E5664" s="19"/>
      <c r="F5664" s="20"/>
      <c r="G5664" s="19"/>
      <c r="H5664" s="19"/>
      <c r="I5664" s="19"/>
      <c r="J5664" s="21"/>
      <c r="K5664" s="19"/>
    </row>
    <row r="5665" spans="3:11" x14ac:dyDescent="0.2">
      <c r="C5665" s="19"/>
      <c r="D5665" s="19"/>
      <c r="E5665" s="19"/>
      <c r="F5665" s="20"/>
      <c r="G5665" s="19"/>
      <c r="H5665" s="19"/>
      <c r="I5665" s="19"/>
      <c r="J5665" s="21"/>
      <c r="K5665" s="19"/>
    </row>
    <row r="5666" spans="3:11" x14ac:dyDescent="0.2">
      <c r="C5666" s="19"/>
      <c r="D5666" s="19"/>
      <c r="E5666" s="19"/>
      <c r="F5666" s="20"/>
      <c r="G5666" s="19"/>
      <c r="H5666" s="19"/>
      <c r="I5666" s="19"/>
      <c r="J5666" s="21"/>
      <c r="K5666" s="19"/>
    </row>
    <row r="5667" spans="3:11" x14ac:dyDescent="0.2">
      <c r="C5667" s="19"/>
      <c r="D5667" s="19"/>
      <c r="E5667" s="19"/>
      <c r="F5667" s="20"/>
      <c r="G5667" s="19"/>
      <c r="H5667" s="19"/>
      <c r="I5667" s="19"/>
      <c r="J5667" s="21"/>
      <c r="K5667" s="19"/>
    </row>
    <row r="5668" spans="3:11" x14ac:dyDescent="0.2">
      <c r="C5668" s="19"/>
      <c r="D5668" s="19"/>
      <c r="E5668" s="19"/>
      <c r="F5668" s="20"/>
      <c r="G5668" s="19"/>
      <c r="H5668" s="19"/>
      <c r="I5668" s="19"/>
      <c r="J5668" s="21"/>
      <c r="K5668" s="19"/>
    </row>
    <row r="5669" spans="3:11" x14ac:dyDescent="0.2">
      <c r="C5669" s="19"/>
      <c r="D5669" s="19"/>
      <c r="E5669" s="19"/>
      <c r="F5669" s="20"/>
      <c r="G5669" s="19"/>
      <c r="H5669" s="19"/>
      <c r="I5669" s="19"/>
      <c r="J5669" s="21"/>
      <c r="K5669" s="19"/>
    </row>
    <row r="5670" spans="3:11" x14ac:dyDescent="0.2">
      <c r="C5670" s="19"/>
      <c r="D5670" s="19"/>
      <c r="E5670" s="19"/>
      <c r="F5670" s="20"/>
      <c r="G5670" s="19"/>
      <c r="H5670" s="19"/>
      <c r="I5670" s="19"/>
      <c r="J5670" s="21"/>
      <c r="K5670" s="19"/>
    </row>
    <row r="5671" spans="3:11" x14ac:dyDescent="0.2">
      <c r="C5671" s="19"/>
      <c r="D5671" s="19"/>
      <c r="E5671" s="19"/>
      <c r="F5671" s="20"/>
      <c r="G5671" s="19"/>
      <c r="H5671" s="19"/>
      <c r="I5671" s="19"/>
      <c r="J5671" s="21"/>
      <c r="K5671" s="19"/>
    </row>
    <row r="5672" spans="3:11" x14ac:dyDescent="0.2">
      <c r="C5672" s="19"/>
      <c r="D5672" s="19"/>
      <c r="E5672" s="19"/>
      <c r="F5672" s="20"/>
      <c r="G5672" s="19"/>
      <c r="H5672" s="19"/>
      <c r="I5672" s="19"/>
      <c r="J5672" s="21"/>
      <c r="K5672" s="19"/>
    </row>
    <row r="5673" spans="3:11" x14ac:dyDescent="0.2">
      <c r="C5673" s="19"/>
      <c r="D5673" s="19"/>
      <c r="E5673" s="19"/>
      <c r="F5673" s="20"/>
      <c r="G5673" s="19"/>
      <c r="H5673" s="19"/>
      <c r="I5673" s="19"/>
      <c r="J5673" s="21"/>
      <c r="K5673" s="19"/>
    </row>
    <row r="5674" spans="3:11" x14ac:dyDescent="0.2">
      <c r="C5674" s="19"/>
      <c r="D5674" s="19"/>
      <c r="E5674" s="19"/>
      <c r="F5674" s="20"/>
      <c r="G5674" s="19"/>
      <c r="H5674" s="19"/>
      <c r="I5674" s="19"/>
      <c r="J5674" s="21"/>
      <c r="K5674" s="19"/>
    </row>
    <row r="5675" spans="3:11" x14ac:dyDescent="0.2">
      <c r="C5675" s="19"/>
      <c r="D5675" s="19"/>
      <c r="E5675" s="19"/>
      <c r="F5675" s="20"/>
      <c r="G5675" s="19"/>
      <c r="H5675" s="19"/>
      <c r="I5675" s="19"/>
      <c r="J5675" s="21"/>
      <c r="K5675" s="19"/>
    </row>
    <row r="5676" spans="3:11" x14ac:dyDescent="0.2">
      <c r="C5676" s="19"/>
      <c r="D5676" s="19"/>
      <c r="E5676" s="19"/>
      <c r="F5676" s="20"/>
      <c r="G5676" s="19"/>
      <c r="H5676" s="19"/>
      <c r="I5676" s="19"/>
      <c r="J5676" s="19"/>
      <c r="K5676" s="19"/>
    </row>
    <row r="5677" spans="3:11" x14ac:dyDescent="0.2">
      <c r="C5677" s="19"/>
      <c r="D5677" s="19"/>
      <c r="E5677" s="19"/>
      <c r="F5677" s="20"/>
      <c r="G5677" s="19"/>
      <c r="H5677" s="19"/>
      <c r="I5677" s="19"/>
      <c r="J5677" s="21"/>
      <c r="K5677" s="19"/>
    </row>
    <row r="5678" spans="3:11" x14ac:dyDescent="0.2">
      <c r="C5678" s="19"/>
      <c r="D5678" s="19"/>
      <c r="E5678" s="19"/>
      <c r="F5678" s="20"/>
      <c r="G5678" s="19"/>
      <c r="H5678" s="19"/>
      <c r="I5678" s="19"/>
      <c r="J5678" s="21"/>
      <c r="K5678" s="19"/>
    </row>
    <row r="5679" spans="3:11" x14ac:dyDescent="0.2">
      <c r="C5679" s="19"/>
      <c r="D5679" s="19"/>
      <c r="E5679" s="19"/>
      <c r="F5679" s="20"/>
      <c r="G5679" s="19"/>
      <c r="H5679" s="19"/>
      <c r="I5679" s="19"/>
      <c r="J5679" s="21"/>
      <c r="K5679" s="19"/>
    </row>
    <row r="5680" spans="3:11" x14ac:dyDescent="0.2">
      <c r="C5680" s="19"/>
      <c r="D5680" s="19"/>
      <c r="E5680" s="19"/>
      <c r="F5680" s="20"/>
      <c r="G5680" s="19"/>
      <c r="H5680" s="19"/>
      <c r="I5680" s="19"/>
      <c r="J5680" s="21"/>
      <c r="K5680" s="19"/>
    </row>
    <row r="5681" spans="3:11" x14ac:dyDescent="0.2">
      <c r="C5681" s="19"/>
      <c r="D5681" s="19"/>
      <c r="E5681" s="19"/>
      <c r="F5681" s="20"/>
      <c r="G5681" s="19"/>
      <c r="H5681" s="19"/>
      <c r="I5681" s="19"/>
      <c r="J5681" s="21"/>
      <c r="K5681" s="19"/>
    </row>
    <row r="5682" spans="3:11" x14ac:dyDescent="0.2">
      <c r="C5682" s="19"/>
      <c r="D5682" s="19"/>
      <c r="E5682" s="19"/>
      <c r="F5682" s="20"/>
      <c r="G5682" s="19"/>
      <c r="H5682" s="19"/>
      <c r="I5682" s="19"/>
      <c r="J5682" s="21"/>
      <c r="K5682" s="19"/>
    </row>
    <row r="5683" spans="3:11" x14ac:dyDescent="0.2">
      <c r="C5683" s="19"/>
      <c r="D5683" s="19"/>
      <c r="E5683" s="19"/>
      <c r="F5683" s="20"/>
      <c r="G5683" s="19"/>
      <c r="H5683" s="19"/>
      <c r="I5683" s="19"/>
      <c r="J5683" s="21"/>
      <c r="K5683" s="19"/>
    </row>
    <row r="5684" spans="3:11" x14ac:dyDescent="0.2">
      <c r="C5684" s="19"/>
      <c r="D5684" s="19"/>
      <c r="E5684" s="19"/>
      <c r="F5684" s="20"/>
      <c r="G5684" s="19"/>
      <c r="H5684" s="19"/>
      <c r="I5684" s="19"/>
      <c r="J5684" s="21"/>
      <c r="K5684" s="19"/>
    </row>
    <row r="5685" spans="3:11" x14ac:dyDescent="0.2">
      <c r="C5685" s="19"/>
      <c r="D5685" s="19"/>
      <c r="E5685" s="19"/>
      <c r="F5685" s="20"/>
      <c r="G5685" s="19"/>
      <c r="H5685" s="19"/>
      <c r="I5685" s="19"/>
      <c r="J5685" s="21"/>
      <c r="K5685" s="19"/>
    </row>
    <row r="5686" spans="3:11" x14ac:dyDescent="0.2">
      <c r="C5686" s="19"/>
      <c r="D5686" s="19"/>
      <c r="E5686" s="19"/>
      <c r="F5686" s="20"/>
      <c r="G5686" s="19"/>
      <c r="H5686" s="19"/>
      <c r="I5686" s="19"/>
      <c r="J5686" s="21"/>
      <c r="K5686" s="19"/>
    </row>
    <row r="5687" spans="3:11" x14ac:dyDescent="0.2">
      <c r="C5687" s="19"/>
      <c r="D5687" s="19"/>
      <c r="E5687" s="19"/>
      <c r="F5687" s="20"/>
      <c r="G5687" s="19"/>
      <c r="H5687" s="19"/>
      <c r="I5687" s="19"/>
      <c r="J5687" s="21"/>
      <c r="K5687" s="19"/>
    </row>
    <row r="5688" spans="3:11" x14ac:dyDescent="0.2">
      <c r="C5688" s="19"/>
      <c r="D5688" s="19"/>
      <c r="E5688" s="19"/>
      <c r="F5688" s="20"/>
      <c r="G5688" s="19"/>
      <c r="H5688" s="19"/>
      <c r="I5688" s="19"/>
      <c r="J5688" s="21"/>
      <c r="K5688" s="19"/>
    </row>
    <row r="5689" spans="3:11" x14ac:dyDescent="0.2">
      <c r="C5689" s="19"/>
      <c r="D5689" s="19"/>
      <c r="E5689" s="19"/>
      <c r="F5689" s="20"/>
      <c r="G5689" s="19"/>
      <c r="H5689" s="19"/>
      <c r="I5689" s="19"/>
      <c r="J5689" s="21"/>
      <c r="K5689" s="19"/>
    </row>
    <row r="5690" spans="3:11" x14ac:dyDescent="0.2">
      <c r="C5690" s="19"/>
      <c r="D5690" s="19"/>
      <c r="E5690" s="19"/>
      <c r="F5690" s="20"/>
      <c r="G5690" s="19"/>
      <c r="H5690" s="19"/>
      <c r="I5690" s="19"/>
      <c r="J5690" s="21"/>
      <c r="K5690" s="19"/>
    </row>
    <row r="5691" spans="3:11" x14ac:dyDescent="0.2">
      <c r="C5691" s="19"/>
      <c r="D5691" s="19"/>
      <c r="E5691" s="19"/>
      <c r="F5691" s="20"/>
      <c r="G5691" s="19"/>
      <c r="H5691" s="19"/>
      <c r="I5691" s="19"/>
      <c r="J5691" s="21"/>
      <c r="K5691" s="19"/>
    </row>
    <row r="5692" spans="3:11" x14ac:dyDescent="0.2">
      <c r="C5692" s="19"/>
      <c r="D5692" s="19"/>
      <c r="E5692" s="19"/>
      <c r="F5692" s="20"/>
      <c r="G5692" s="19"/>
      <c r="H5692" s="19"/>
      <c r="I5692" s="19"/>
      <c r="J5692" s="21"/>
      <c r="K5692" s="19"/>
    </row>
    <row r="5693" spans="3:11" x14ac:dyDescent="0.2">
      <c r="C5693" s="19"/>
      <c r="D5693" s="19"/>
      <c r="E5693" s="19"/>
      <c r="F5693" s="20"/>
      <c r="G5693" s="19"/>
      <c r="H5693" s="19"/>
      <c r="I5693" s="19"/>
      <c r="J5693" s="21"/>
      <c r="K5693" s="19"/>
    </row>
    <row r="5694" spans="3:11" x14ac:dyDescent="0.2">
      <c r="C5694" s="19"/>
      <c r="D5694" s="19"/>
      <c r="E5694" s="19"/>
      <c r="F5694" s="20"/>
      <c r="G5694" s="19"/>
      <c r="H5694" s="19"/>
      <c r="I5694" s="19"/>
      <c r="J5694" s="21"/>
      <c r="K5694" s="19"/>
    </row>
    <row r="5695" spans="3:11" x14ac:dyDescent="0.2">
      <c r="C5695" s="19"/>
      <c r="D5695" s="19"/>
      <c r="E5695" s="19"/>
      <c r="F5695" s="20"/>
      <c r="G5695" s="19"/>
      <c r="H5695" s="19"/>
      <c r="I5695" s="19"/>
      <c r="J5695" s="21"/>
      <c r="K5695" s="19"/>
    </row>
    <row r="5696" spans="3:11" x14ac:dyDescent="0.2">
      <c r="C5696" s="19"/>
      <c r="D5696" s="19"/>
      <c r="E5696" s="19"/>
      <c r="F5696" s="20"/>
      <c r="G5696" s="19"/>
      <c r="H5696" s="19"/>
      <c r="I5696" s="19"/>
      <c r="J5696" s="21"/>
      <c r="K5696" s="19"/>
    </row>
    <row r="5697" spans="3:11" x14ac:dyDescent="0.2">
      <c r="C5697" s="19"/>
      <c r="D5697" s="19"/>
      <c r="E5697" s="19"/>
      <c r="F5697" s="20"/>
      <c r="G5697" s="19"/>
      <c r="H5697" s="19"/>
      <c r="I5697" s="19"/>
      <c r="J5697" s="21"/>
      <c r="K5697" s="19"/>
    </row>
    <row r="5698" spans="3:11" x14ac:dyDescent="0.2">
      <c r="C5698" s="19"/>
      <c r="D5698" s="19"/>
      <c r="E5698" s="19"/>
      <c r="F5698" s="20"/>
      <c r="G5698" s="19"/>
      <c r="H5698" s="19"/>
      <c r="I5698" s="19"/>
      <c r="J5698" s="21"/>
      <c r="K5698" s="19"/>
    </row>
    <row r="5699" spans="3:11" x14ac:dyDescent="0.2">
      <c r="C5699" s="19"/>
      <c r="D5699" s="19"/>
      <c r="E5699" s="19"/>
      <c r="F5699" s="20"/>
      <c r="G5699" s="19"/>
      <c r="H5699" s="19"/>
      <c r="I5699" s="19"/>
      <c r="J5699" s="21"/>
      <c r="K5699" s="19"/>
    </row>
    <row r="5700" spans="3:11" x14ac:dyDescent="0.2">
      <c r="C5700" s="19"/>
      <c r="D5700" s="19"/>
      <c r="E5700" s="19"/>
      <c r="F5700" s="20"/>
      <c r="G5700" s="19"/>
      <c r="H5700" s="19"/>
      <c r="I5700" s="19"/>
      <c r="J5700" s="21"/>
      <c r="K5700" s="19"/>
    </row>
    <row r="5701" spans="3:11" x14ac:dyDescent="0.2">
      <c r="C5701" s="19"/>
      <c r="D5701" s="19"/>
      <c r="E5701" s="19"/>
      <c r="F5701" s="20"/>
      <c r="G5701" s="19"/>
      <c r="H5701" s="19"/>
      <c r="I5701" s="19"/>
      <c r="J5701" s="21"/>
      <c r="K5701" s="19"/>
    </row>
    <row r="5702" spans="3:11" x14ac:dyDescent="0.2">
      <c r="C5702" s="19"/>
      <c r="D5702" s="19"/>
      <c r="E5702" s="19"/>
      <c r="F5702" s="20"/>
      <c r="G5702" s="19"/>
      <c r="H5702" s="19"/>
      <c r="I5702" s="19"/>
      <c r="J5702" s="21"/>
      <c r="K5702" s="19"/>
    </row>
    <row r="5703" spans="3:11" x14ac:dyDescent="0.2">
      <c r="C5703" s="19"/>
      <c r="D5703" s="19"/>
      <c r="E5703" s="19"/>
      <c r="F5703" s="20"/>
      <c r="G5703" s="19"/>
      <c r="H5703" s="19"/>
      <c r="I5703" s="19"/>
      <c r="J5703" s="21"/>
      <c r="K5703" s="19"/>
    </row>
    <row r="5704" spans="3:11" x14ac:dyDescent="0.2">
      <c r="C5704" s="19"/>
      <c r="D5704" s="19"/>
      <c r="E5704" s="19"/>
      <c r="F5704" s="20"/>
      <c r="G5704" s="19"/>
      <c r="H5704" s="19"/>
      <c r="I5704" s="19"/>
      <c r="J5704" s="21"/>
      <c r="K5704" s="19"/>
    </row>
    <row r="5705" spans="3:11" x14ac:dyDescent="0.2">
      <c r="C5705" s="19"/>
      <c r="D5705" s="19"/>
      <c r="E5705" s="19"/>
      <c r="F5705" s="20"/>
      <c r="G5705" s="19"/>
      <c r="H5705" s="19"/>
      <c r="I5705" s="19"/>
      <c r="J5705" s="21"/>
      <c r="K5705" s="19"/>
    </row>
    <row r="5706" spans="3:11" x14ac:dyDescent="0.2">
      <c r="C5706" s="19"/>
      <c r="D5706" s="19"/>
      <c r="E5706" s="19"/>
      <c r="F5706" s="20"/>
      <c r="G5706" s="19"/>
      <c r="H5706" s="19"/>
      <c r="I5706" s="19"/>
      <c r="J5706" s="21"/>
      <c r="K5706" s="19"/>
    </row>
    <row r="5707" spans="3:11" x14ac:dyDescent="0.2">
      <c r="C5707" s="19"/>
      <c r="D5707" s="19"/>
      <c r="E5707" s="19"/>
      <c r="F5707" s="20"/>
      <c r="G5707" s="19"/>
      <c r="H5707" s="19"/>
      <c r="I5707" s="19"/>
      <c r="J5707" s="21"/>
      <c r="K5707" s="19"/>
    </row>
    <row r="5708" spans="3:11" x14ac:dyDescent="0.2">
      <c r="C5708" s="19"/>
      <c r="D5708" s="19"/>
      <c r="E5708" s="19"/>
      <c r="F5708" s="20"/>
      <c r="G5708" s="19"/>
      <c r="H5708" s="19"/>
      <c r="I5708" s="19"/>
      <c r="J5708" s="21"/>
      <c r="K5708" s="19"/>
    </row>
    <row r="5709" spans="3:11" x14ac:dyDescent="0.2">
      <c r="C5709" s="19"/>
      <c r="D5709" s="19"/>
      <c r="E5709" s="19"/>
      <c r="F5709" s="20"/>
      <c r="G5709" s="19"/>
      <c r="H5709" s="19"/>
      <c r="I5709" s="19"/>
      <c r="J5709" s="21"/>
      <c r="K5709" s="19"/>
    </row>
    <row r="5710" spans="3:11" x14ac:dyDescent="0.2">
      <c r="C5710" s="19"/>
      <c r="D5710" s="19"/>
      <c r="E5710" s="19"/>
      <c r="F5710" s="20"/>
      <c r="G5710" s="19"/>
      <c r="H5710" s="19"/>
      <c r="I5710" s="19"/>
      <c r="J5710" s="21"/>
      <c r="K5710" s="19"/>
    </row>
    <row r="5711" spans="3:11" x14ac:dyDescent="0.2">
      <c r="C5711" s="19"/>
      <c r="D5711" s="19"/>
      <c r="E5711" s="19"/>
      <c r="F5711" s="20"/>
      <c r="G5711" s="19"/>
      <c r="H5711" s="19"/>
      <c r="I5711" s="19"/>
      <c r="J5711" s="21"/>
      <c r="K5711" s="19"/>
    </row>
    <row r="5712" spans="3:11" x14ac:dyDescent="0.2">
      <c r="C5712" s="19"/>
      <c r="D5712" s="19"/>
      <c r="E5712" s="19"/>
      <c r="F5712" s="20"/>
      <c r="G5712" s="19"/>
      <c r="H5712" s="19"/>
      <c r="I5712" s="19"/>
      <c r="J5712" s="21"/>
      <c r="K5712" s="19"/>
    </row>
    <row r="5713" spans="3:11" x14ac:dyDescent="0.2">
      <c r="C5713" s="19"/>
      <c r="D5713" s="19"/>
      <c r="E5713" s="19"/>
      <c r="F5713" s="20"/>
      <c r="G5713" s="19"/>
      <c r="H5713" s="19"/>
      <c r="I5713" s="19"/>
      <c r="J5713" s="19"/>
      <c r="K5713" s="19"/>
    </row>
    <row r="5714" spans="3:11" x14ac:dyDescent="0.2">
      <c r="C5714" s="19"/>
      <c r="D5714" s="19"/>
      <c r="E5714" s="19"/>
      <c r="F5714" s="20"/>
      <c r="G5714" s="19"/>
      <c r="H5714" s="19"/>
      <c r="I5714" s="19"/>
      <c r="J5714" s="21"/>
      <c r="K5714" s="19"/>
    </row>
    <row r="5715" spans="3:11" x14ac:dyDescent="0.2">
      <c r="C5715" s="19"/>
      <c r="D5715" s="19"/>
      <c r="E5715" s="19"/>
      <c r="F5715" s="20"/>
      <c r="G5715" s="19"/>
      <c r="H5715" s="19"/>
      <c r="I5715" s="19"/>
      <c r="J5715" s="21"/>
      <c r="K5715" s="19"/>
    </row>
    <row r="5716" spans="3:11" x14ac:dyDescent="0.2">
      <c r="C5716" s="19"/>
      <c r="D5716" s="19"/>
      <c r="E5716" s="19"/>
      <c r="F5716" s="20"/>
      <c r="G5716" s="19"/>
      <c r="H5716" s="19"/>
      <c r="I5716" s="19"/>
      <c r="J5716" s="21"/>
      <c r="K5716" s="19"/>
    </row>
    <row r="5717" spans="3:11" x14ac:dyDescent="0.2">
      <c r="C5717" s="19"/>
      <c r="D5717" s="19"/>
      <c r="E5717" s="19"/>
      <c r="F5717" s="20"/>
      <c r="G5717" s="19"/>
      <c r="H5717" s="19"/>
      <c r="I5717" s="19"/>
      <c r="J5717" s="21"/>
      <c r="K5717" s="19"/>
    </row>
    <row r="5718" spans="3:11" x14ac:dyDescent="0.2">
      <c r="C5718" s="19"/>
      <c r="D5718" s="19"/>
      <c r="E5718" s="19"/>
      <c r="F5718" s="20"/>
      <c r="G5718" s="19"/>
      <c r="H5718" s="19"/>
      <c r="I5718" s="19"/>
      <c r="J5718" s="21"/>
      <c r="K5718" s="19"/>
    </row>
    <row r="5719" spans="3:11" x14ac:dyDescent="0.2">
      <c r="C5719" s="19"/>
      <c r="D5719" s="19"/>
      <c r="E5719" s="19"/>
      <c r="F5719" s="20"/>
      <c r="G5719" s="19"/>
      <c r="H5719" s="19"/>
      <c r="I5719" s="19"/>
      <c r="J5719" s="21"/>
      <c r="K5719" s="19"/>
    </row>
    <row r="5720" spans="3:11" x14ac:dyDescent="0.2">
      <c r="C5720" s="19"/>
      <c r="D5720" s="19"/>
      <c r="E5720" s="19"/>
      <c r="F5720" s="20"/>
      <c r="G5720" s="19"/>
      <c r="H5720" s="19"/>
      <c r="I5720" s="19"/>
      <c r="J5720" s="21"/>
      <c r="K5720" s="19"/>
    </row>
    <row r="5721" spans="3:11" x14ac:dyDescent="0.2">
      <c r="C5721" s="19"/>
      <c r="D5721" s="19"/>
      <c r="E5721" s="19"/>
      <c r="F5721" s="20"/>
      <c r="G5721" s="19"/>
      <c r="H5721" s="19"/>
      <c r="I5721" s="19"/>
      <c r="J5721" s="21"/>
      <c r="K5721" s="19"/>
    </row>
    <row r="5722" spans="3:11" x14ac:dyDescent="0.2">
      <c r="C5722" s="19"/>
      <c r="D5722" s="19"/>
      <c r="E5722" s="19"/>
      <c r="F5722" s="20"/>
      <c r="G5722" s="19"/>
      <c r="H5722" s="19"/>
      <c r="I5722" s="19"/>
      <c r="J5722" s="21"/>
      <c r="K5722" s="19"/>
    </row>
    <row r="5723" spans="3:11" x14ac:dyDescent="0.2">
      <c r="C5723" s="19"/>
      <c r="D5723" s="19"/>
      <c r="E5723" s="19"/>
      <c r="F5723" s="20"/>
      <c r="G5723" s="19"/>
      <c r="H5723" s="19"/>
      <c r="I5723" s="19"/>
      <c r="J5723" s="21"/>
      <c r="K5723" s="19"/>
    </row>
    <row r="5724" spans="3:11" x14ac:dyDescent="0.2">
      <c r="C5724" s="19"/>
      <c r="D5724" s="19"/>
      <c r="E5724" s="19"/>
      <c r="F5724" s="20"/>
      <c r="G5724" s="19"/>
      <c r="H5724" s="19"/>
      <c r="I5724" s="19"/>
      <c r="J5724" s="21"/>
      <c r="K5724" s="19"/>
    </row>
    <row r="5725" spans="3:11" x14ac:dyDescent="0.2">
      <c r="C5725" s="19"/>
      <c r="D5725" s="19"/>
      <c r="E5725" s="19"/>
      <c r="F5725" s="20"/>
      <c r="G5725" s="19"/>
      <c r="H5725" s="19"/>
      <c r="I5725" s="19"/>
      <c r="J5725" s="21"/>
      <c r="K5725" s="19"/>
    </row>
    <row r="5726" spans="3:11" x14ac:dyDescent="0.2">
      <c r="C5726" s="19"/>
      <c r="D5726" s="19"/>
      <c r="E5726" s="19"/>
      <c r="F5726" s="20"/>
      <c r="G5726" s="19"/>
      <c r="H5726" s="19"/>
      <c r="I5726" s="19"/>
      <c r="J5726" s="21"/>
      <c r="K5726" s="19"/>
    </row>
    <row r="5727" spans="3:11" x14ac:dyDescent="0.2">
      <c r="C5727" s="19"/>
      <c r="D5727" s="19"/>
      <c r="E5727" s="19"/>
      <c r="F5727" s="20"/>
      <c r="G5727" s="19"/>
      <c r="H5727" s="19"/>
      <c r="I5727" s="19"/>
      <c r="J5727" s="21"/>
      <c r="K5727" s="19"/>
    </row>
    <row r="5728" spans="3:11" x14ac:dyDescent="0.2">
      <c r="C5728" s="19"/>
      <c r="D5728" s="19"/>
      <c r="E5728" s="19"/>
      <c r="F5728" s="20"/>
      <c r="G5728" s="19"/>
      <c r="H5728" s="19"/>
      <c r="I5728" s="19"/>
      <c r="J5728" s="21"/>
      <c r="K5728" s="19"/>
    </row>
    <row r="5729" spans="3:11" x14ac:dyDescent="0.2">
      <c r="C5729" s="19"/>
      <c r="D5729" s="19"/>
      <c r="E5729" s="19"/>
      <c r="F5729" s="20"/>
      <c r="G5729" s="19"/>
      <c r="H5729" s="19"/>
      <c r="I5729" s="19"/>
      <c r="J5729" s="21"/>
      <c r="K5729" s="19"/>
    </row>
    <row r="5730" spans="3:11" x14ac:dyDescent="0.2">
      <c r="C5730" s="19"/>
      <c r="D5730" s="19"/>
      <c r="E5730" s="19"/>
      <c r="F5730" s="20"/>
      <c r="G5730" s="19"/>
      <c r="H5730" s="19"/>
      <c r="I5730" s="19"/>
      <c r="J5730" s="21"/>
      <c r="K5730" s="19"/>
    </row>
    <row r="5731" spans="3:11" x14ac:dyDescent="0.2">
      <c r="C5731" s="19"/>
      <c r="D5731" s="19"/>
      <c r="E5731" s="19"/>
      <c r="F5731" s="20"/>
      <c r="G5731" s="19"/>
      <c r="H5731" s="19"/>
      <c r="I5731" s="19"/>
      <c r="J5731" s="21"/>
      <c r="K5731" s="19"/>
    </row>
    <row r="5732" spans="3:11" x14ac:dyDescent="0.2">
      <c r="C5732" s="19"/>
      <c r="D5732" s="19"/>
      <c r="E5732" s="19"/>
      <c r="F5732" s="20"/>
      <c r="G5732" s="19"/>
      <c r="H5732" s="19"/>
      <c r="I5732" s="19"/>
      <c r="J5732" s="21"/>
      <c r="K5732" s="19"/>
    </row>
    <row r="5733" spans="3:11" x14ac:dyDescent="0.2">
      <c r="C5733" s="19"/>
      <c r="D5733" s="19"/>
      <c r="E5733" s="19"/>
      <c r="F5733" s="20"/>
      <c r="G5733" s="19"/>
      <c r="H5733" s="19"/>
      <c r="I5733" s="19"/>
      <c r="J5733" s="21"/>
      <c r="K5733" s="19"/>
    </row>
    <row r="5734" spans="3:11" x14ac:dyDescent="0.2">
      <c r="C5734" s="19"/>
      <c r="D5734" s="19"/>
      <c r="E5734" s="19"/>
      <c r="F5734" s="20"/>
      <c r="G5734" s="19"/>
      <c r="H5734" s="19"/>
      <c r="I5734" s="19"/>
      <c r="J5734" s="21"/>
      <c r="K5734" s="19"/>
    </row>
    <row r="5735" spans="3:11" x14ac:dyDescent="0.2">
      <c r="C5735" s="19"/>
      <c r="D5735" s="19"/>
      <c r="E5735" s="19"/>
      <c r="F5735" s="20"/>
      <c r="G5735" s="19"/>
      <c r="H5735" s="19"/>
      <c r="I5735" s="19"/>
      <c r="J5735" s="21"/>
      <c r="K5735" s="19"/>
    </row>
    <row r="5736" spans="3:11" x14ac:dyDescent="0.2">
      <c r="C5736" s="19"/>
      <c r="D5736" s="19"/>
      <c r="E5736" s="19"/>
      <c r="F5736" s="20"/>
      <c r="G5736" s="19"/>
      <c r="H5736" s="19"/>
      <c r="I5736" s="19"/>
      <c r="J5736" s="21"/>
      <c r="K5736" s="19"/>
    </row>
    <row r="5737" spans="3:11" x14ac:dyDescent="0.2">
      <c r="C5737" s="19"/>
      <c r="D5737" s="19"/>
      <c r="E5737" s="19"/>
      <c r="F5737" s="20"/>
      <c r="G5737" s="19"/>
      <c r="H5737" s="19"/>
      <c r="I5737" s="19"/>
      <c r="J5737" s="21"/>
      <c r="K5737" s="19"/>
    </row>
    <row r="5738" spans="3:11" x14ac:dyDescent="0.2">
      <c r="C5738" s="19"/>
      <c r="D5738" s="19"/>
      <c r="E5738" s="19"/>
      <c r="F5738" s="20"/>
      <c r="G5738" s="19"/>
      <c r="H5738" s="19"/>
      <c r="I5738" s="19"/>
      <c r="J5738" s="21"/>
      <c r="K5738" s="19"/>
    </row>
    <row r="5739" spans="3:11" x14ac:dyDescent="0.2">
      <c r="C5739" s="19"/>
      <c r="D5739" s="19"/>
      <c r="E5739" s="19"/>
      <c r="F5739" s="20"/>
      <c r="G5739" s="19"/>
      <c r="H5739" s="19"/>
      <c r="I5739" s="19"/>
      <c r="J5739" s="21"/>
      <c r="K5739" s="19"/>
    </row>
    <row r="5740" spans="3:11" x14ac:dyDescent="0.2">
      <c r="C5740" s="19"/>
      <c r="D5740" s="19"/>
      <c r="E5740" s="19"/>
      <c r="F5740" s="20"/>
      <c r="G5740" s="19"/>
      <c r="H5740" s="19"/>
      <c r="I5740" s="19"/>
      <c r="J5740" s="21"/>
      <c r="K5740" s="19"/>
    </row>
    <row r="5741" spans="3:11" x14ac:dyDescent="0.2">
      <c r="C5741" s="19"/>
      <c r="D5741" s="19"/>
      <c r="E5741" s="19"/>
      <c r="F5741" s="20"/>
      <c r="G5741" s="19"/>
      <c r="H5741" s="19"/>
      <c r="I5741" s="19"/>
      <c r="J5741" s="21"/>
      <c r="K5741" s="19"/>
    </row>
    <row r="5742" spans="3:11" x14ac:dyDescent="0.2">
      <c r="C5742" s="19"/>
      <c r="D5742" s="19"/>
      <c r="E5742" s="19"/>
      <c r="F5742" s="20"/>
      <c r="G5742" s="19"/>
      <c r="H5742" s="19"/>
      <c r="I5742" s="19"/>
      <c r="J5742" s="21"/>
      <c r="K5742" s="19"/>
    </row>
    <row r="5743" spans="3:11" x14ac:dyDescent="0.2">
      <c r="C5743" s="19"/>
      <c r="D5743" s="19"/>
      <c r="E5743" s="19"/>
      <c r="F5743" s="20"/>
      <c r="G5743" s="19"/>
      <c r="H5743" s="19"/>
      <c r="I5743" s="19"/>
      <c r="J5743" s="21"/>
      <c r="K5743" s="19"/>
    </row>
    <row r="5744" spans="3:11" x14ac:dyDescent="0.2">
      <c r="C5744" s="19"/>
      <c r="D5744" s="19"/>
      <c r="E5744" s="19"/>
      <c r="F5744" s="20"/>
      <c r="G5744" s="19"/>
      <c r="H5744" s="19"/>
      <c r="I5744" s="19"/>
      <c r="J5744" s="21"/>
      <c r="K5744" s="19"/>
    </row>
    <row r="5745" spans="3:11" x14ac:dyDescent="0.2">
      <c r="C5745" s="19"/>
      <c r="D5745" s="19"/>
      <c r="E5745" s="19"/>
      <c r="F5745" s="20"/>
      <c r="G5745" s="19"/>
      <c r="H5745" s="19"/>
      <c r="I5745" s="19"/>
      <c r="J5745" s="21"/>
      <c r="K5745" s="19"/>
    </row>
    <row r="5746" spans="3:11" x14ac:dyDescent="0.2">
      <c r="C5746" s="19"/>
      <c r="D5746" s="19"/>
      <c r="E5746" s="19"/>
      <c r="F5746" s="20"/>
      <c r="G5746" s="19"/>
      <c r="H5746" s="19"/>
      <c r="I5746" s="19"/>
      <c r="J5746" s="21"/>
      <c r="K5746" s="19"/>
    </row>
    <row r="5747" spans="3:11" x14ac:dyDescent="0.2">
      <c r="C5747" s="19"/>
      <c r="D5747" s="19"/>
      <c r="E5747" s="19"/>
      <c r="F5747" s="20"/>
      <c r="G5747" s="19"/>
      <c r="H5747" s="19"/>
      <c r="I5747" s="19"/>
      <c r="J5747" s="21"/>
      <c r="K5747" s="19"/>
    </row>
    <row r="5748" spans="3:11" x14ac:dyDescent="0.2">
      <c r="C5748" s="19"/>
      <c r="D5748" s="19"/>
      <c r="E5748" s="19"/>
      <c r="F5748" s="20"/>
      <c r="G5748" s="19"/>
      <c r="H5748" s="19"/>
      <c r="I5748" s="19"/>
      <c r="J5748" s="21"/>
      <c r="K5748" s="19"/>
    </row>
    <row r="5749" spans="3:11" x14ac:dyDescent="0.2">
      <c r="C5749" s="19"/>
      <c r="D5749" s="19"/>
      <c r="E5749" s="19"/>
      <c r="F5749" s="20"/>
      <c r="G5749" s="19"/>
      <c r="H5749" s="19"/>
      <c r="I5749" s="19"/>
      <c r="J5749" s="21"/>
      <c r="K5749" s="19"/>
    </row>
    <row r="5750" spans="3:11" x14ac:dyDescent="0.2">
      <c r="C5750" s="19"/>
      <c r="D5750" s="19"/>
      <c r="E5750" s="19"/>
      <c r="F5750" s="20"/>
      <c r="G5750" s="19"/>
      <c r="H5750" s="19"/>
      <c r="I5750" s="19"/>
      <c r="J5750" s="21"/>
      <c r="K5750" s="19"/>
    </row>
    <row r="5751" spans="3:11" x14ac:dyDescent="0.2">
      <c r="C5751" s="19"/>
      <c r="D5751" s="19"/>
      <c r="E5751" s="19"/>
      <c r="F5751" s="20"/>
      <c r="G5751" s="19"/>
      <c r="H5751" s="19"/>
      <c r="I5751" s="19"/>
      <c r="J5751" s="21"/>
      <c r="K5751" s="19"/>
    </row>
    <row r="5752" spans="3:11" x14ac:dyDescent="0.2">
      <c r="C5752" s="19"/>
      <c r="D5752" s="19"/>
      <c r="E5752" s="19"/>
      <c r="F5752" s="20"/>
      <c r="G5752" s="19"/>
      <c r="H5752" s="19"/>
      <c r="I5752" s="19"/>
      <c r="J5752" s="21"/>
      <c r="K5752" s="19"/>
    </row>
    <row r="5753" spans="3:11" x14ac:dyDescent="0.2">
      <c r="C5753" s="19"/>
      <c r="D5753" s="19"/>
      <c r="E5753" s="19"/>
      <c r="F5753" s="20"/>
      <c r="G5753" s="19"/>
      <c r="H5753" s="19"/>
      <c r="I5753" s="19"/>
      <c r="J5753" s="19"/>
      <c r="K5753" s="19"/>
    </row>
    <row r="5754" spans="3:11" x14ac:dyDescent="0.2">
      <c r="C5754" s="19"/>
      <c r="D5754" s="19"/>
      <c r="E5754" s="19"/>
      <c r="F5754" s="20"/>
      <c r="G5754" s="19"/>
      <c r="H5754" s="19"/>
      <c r="I5754" s="19"/>
      <c r="J5754" s="21"/>
      <c r="K5754" s="19"/>
    </row>
    <row r="5755" spans="3:11" x14ac:dyDescent="0.2">
      <c r="C5755" s="19"/>
      <c r="D5755" s="19"/>
      <c r="E5755" s="19"/>
      <c r="F5755" s="20"/>
      <c r="G5755" s="19"/>
      <c r="H5755" s="19"/>
      <c r="I5755" s="19"/>
      <c r="J5755" s="19"/>
      <c r="K5755" s="19"/>
    </row>
    <row r="5756" spans="3:11" x14ac:dyDescent="0.2">
      <c r="C5756" s="19"/>
      <c r="D5756" s="19"/>
      <c r="E5756" s="19"/>
      <c r="F5756" s="20"/>
      <c r="G5756" s="19"/>
      <c r="H5756" s="19"/>
      <c r="I5756" s="19"/>
      <c r="J5756" s="19"/>
      <c r="K5756" s="19"/>
    </row>
    <row r="5757" spans="3:11" x14ac:dyDescent="0.2">
      <c r="C5757" s="19"/>
      <c r="D5757" s="19"/>
      <c r="E5757" s="19"/>
      <c r="F5757" s="20"/>
      <c r="G5757" s="19"/>
      <c r="H5757" s="19"/>
      <c r="I5757" s="19"/>
      <c r="J5757" s="19"/>
      <c r="K5757" s="19"/>
    </row>
    <row r="5758" spans="3:11" x14ac:dyDescent="0.2">
      <c r="C5758" s="19"/>
      <c r="D5758" s="19"/>
      <c r="E5758" s="19"/>
      <c r="F5758" s="20"/>
      <c r="G5758" s="19"/>
      <c r="H5758" s="19"/>
      <c r="I5758" s="19"/>
      <c r="J5758" s="21"/>
      <c r="K5758" s="19"/>
    </row>
    <row r="5759" spans="3:11" x14ac:dyDescent="0.2">
      <c r="C5759" s="19"/>
      <c r="D5759" s="19"/>
      <c r="E5759" s="19"/>
      <c r="F5759" s="20"/>
      <c r="G5759" s="19"/>
      <c r="H5759" s="19"/>
      <c r="I5759" s="19"/>
      <c r="J5759" s="21"/>
      <c r="K5759" s="19"/>
    </row>
    <row r="5760" spans="3:11" x14ac:dyDescent="0.2">
      <c r="C5760" s="19"/>
      <c r="D5760" s="19"/>
      <c r="E5760" s="19"/>
      <c r="F5760" s="20"/>
      <c r="G5760" s="19"/>
      <c r="H5760" s="19"/>
      <c r="I5760" s="19"/>
      <c r="J5760" s="19"/>
      <c r="K5760" s="19"/>
    </row>
    <row r="5761" spans="3:11" x14ac:dyDescent="0.2">
      <c r="C5761" s="19"/>
      <c r="D5761" s="19"/>
      <c r="E5761" s="19"/>
      <c r="F5761" s="20"/>
      <c r="G5761" s="19"/>
      <c r="H5761" s="19"/>
      <c r="I5761" s="19"/>
      <c r="J5761" s="19"/>
      <c r="K5761" s="19"/>
    </row>
    <row r="5762" spans="3:11" x14ac:dyDescent="0.2">
      <c r="C5762" s="19"/>
      <c r="D5762" s="19"/>
      <c r="E5762" s="19"/>
      <c r="F5762" s="20"/>
      <c r="G5762" s="19"/>
      <c r="H5762" s="19"/>
      <c r="I5762" s="19"/>
      <c r="J5762" s="21"/>
      <c r="K5762" s="19"/>
    </row>
    <row r="5763" spans="3:11" x14ac:dyDescent="0.2">
      <c r="C5763" s="19"/>
      <c r="D5763" s="19"/>
      <c r="E5763" s="19"/>
      <c r="F5763" s="20"/>
      <c r="G5763" s="19"/>
      <c r="H5763" s="19"/>
      <c r="I5763" s="19"/>
      <c r="J5763" s="19"/>
      <c r="K5763" s="19"/>
    </row>
    <row r="5764" spans="3:11" x14ac:dyDescent="0.2">
      <c r="C5764" s="19"/>
      <c r="D5764" s="19"/>
      <c r="E5764" s="19"/>
      <c r="F5764" s="20"/>
      <c r="G5764" s="19"/>
      <c r="H5764" s="19"/>
      <c r="I5764" s="19"/>
      <c r="J5764" s="19"/>
      <c r="K5764" s="19"/>
    </row>
    <row r="5765" spans="3:11" x14ac:dyDescent="0.2">
      <c r="C5765" s="19"/>
      <c r="D5765" s="19"/>
      <c r="E5765" s="19"/>
      <c r="F5765" s="20"/>
      <c r="G5765" s="19"/>
      <c r="H5765" s="19"/>
      <c r="I5765" s="19"/>
      <c r="J5765" s="19"/>
      <c r="K5765" s="19"/>
    </row>
    <row r="5766" spans="3:11" x14ac:dyDescent="0.2">
      <c r="C5766" s="19"/>
      <c r="D5766" s="19"/>
      <c r="E5766" s="19"/>
      <c r="F5766" s="20"/>
      <c r="G5766" s="19"/>
      <c r="H5766" s="19"/>
      <c r="I5766" s="19"/>
      <c r="J5766" s="19"/>
      <c r="K5766" s="19"/>
    </row>
    <row r="5767" spans="3:11" x14ac:dyDescent="0.2">
      <c r="C5767" s="19"/>
      <c r="D5767" s="19"/>
      <c r="E5767" s="19"/>
      <c r="F5767" s="20"/>
      <c r="G5767" s="19"/>
      <c r="H5767" s="19"/>
      <c r="I5767" s="19"/>
      <c r="J5767" s="19"/>
      <c r="K5767" s="19"/>
    </row>
    <row r="5768" spans="3:11" x14ac:dyDescent="0.2">
      <c r="C5768" s="19"/>
      <c r="D5768" s="19"/>
      <c r="E5768" s="19"/>
      <c r="F5768" s="20"/>
      <c r="G5768" s="19"/>
      <c r="H5768" s="19"/>
      <c r="I5768" s="19"/>
      <c r="J5768" s="19"/>
      <c r="K5768" s="19"/>
    </row>
    <row r="5769" spans="3:11" x14ac:dyDescent="0.2">
      <c r="C5769" s="19"/>
      <c r="D5769" s="19"/>
      <c r="E5769" s="19"/>
      <c r="F5769" s="20"/>
      <c r="G5769" s="19"/>
      <c r="H5769" s="19"/>
      <c r="I5769" s="19"/>
      <c r="J5769" s="19"/>
      <c r="K5769" s="19"/>
    </row>
    <row r="5770" spans="3:11" x14ac:dyDescent="0.2">
      <c r="C5770" s="19"/>
      <c r="D5770" s="19"/>
      <c r="E5770" s="19"/>
      <c r="F5770" s="20"/>
      <c r="G5770" s="19"/>
      <c r="H5770" s="19"/>
      <c r="I5770" s="19"/>
      <c r="J5770" s="19"/>
      <c r="K5770" s="19"/>
    </row>
    <row r="5771" spans="3:11" x14ac:dyDescent="0.2">
      <c r="C5771" s="19"/>
      <c r="D5771" s="19"/>
      <c r="E5771" s="19"/>
      <c r="F5771" s="20"/>
      <c r="G5771" s="19"/>
      <c r="H5771" s="19"/>
      <c r="I5771" s="19"/>
      <c r="J5771" s="21"/>
      <c r="K5771" s="19"/>
    </row>
    <row r="5772" spans="3:11" x14ac:dyDescent="0.2">
      <c r="C5772" s="19"/>
      <c r="D5772" s="19"/>
      <c r="E5772" s="19"/>
      <c r="F5772" s="20"/>
      <c r="G5772" s="19"/>
      <c r="H5772" s="19"/>
      <c r="I5772" s="19"/>
      <c r="J5772" s="19"/>
      <c r="K5772" s="19"/>
    </row>
    <row r="5773" spans="3:11" x14ac:dyDescent="0.2">
      <c r="C5773" s="19"/>
      <c r="D5773" s="19"/>
      <c r="E5773" s="19"/>
      <c r="F5773" s="20"/>
      <c r="G5773" s="19"/>
      <c r="H5773" s="19"/>
      <c r="I5773" s="19"/>
      <c r="J5773" s="19"/>
      <c r="K5773" s="19"/>
    </row>
    <row r="5774" spans="3:11" x14ac:dyDescent="0.2">
      <c r="C5774" s="19"/>
      <c r="D5774" s="19"/>
      <c r="E5774" s="19"/>
      <c r="F5774" s="20"/>
      <c r="G5774" s="19"/>
      <c r="H5774" s="19"/>
      <c r="I5774" s="19"/>
      <c r="J5774" s="21"/>
      <c r="K5774" s="19"/>
    </row>
    <row r="5775" spans="3:11" x14ac:dyDescent="0.2">
      <c r="C5775" s="19"/>
      <c r="D5775" s="19"/>
      <c r="E5775" s="19"/>
      <c r="F5775" s="20"/>
      <c r="G5775" s="19"/>
      <c r="H5775" s="19"/>
      <c r="I5775" s="19"/>
      <c r="J5775" s="21"/>
      <c r="K5775" s="19"/>
    </row>
    <row r="5776" spans="3:11" x14ac:dyDescent="0.2">
      <c r="C5776" s="19"/>
      <c r="D5776" s="19"/>
      <c r="E5776" s="19"/>
      <c r="F5776" s="20"/>
      <c r="G5776" s="19"/>
      <c r="H5776" s="19"/>
      <c r="I5776" s="19"/>
      <c r="J5776" s="21"/>
      <c r="K5776" s="19"/>
    </row>
    <row r="5777" spans="3:11" x14ac:dyDescent="0.2">
      <c r="C5777" s="19"/>
      <c r="D5777" s="19"/>
      <c r="E5777" s="19"/>
      <c r="F5777" s="20"/>
      <c r="G5777" s="19"/>
      <c r="H5777" s="19"/>
      <c r="I5777" s="19"/>
      <c r="J5777" s="21"/>
      <c r="K5777" s="19"/>
    </row>
    <row r="5778" spans="3:11" x14ac:dyDescent="0.2">
      <c r="C5778" s="19"/>
      <c r="D5778" s="19"/>
      <c r="E5778" s="19"/>
      <c r="F5778" s="20"/>
      <c r="G5778" s="19"/>
      <c r="H5778" s="19"/>
      <c r="I5778" s="19"/>
      <c r="J5778" s="21"/>
      <c r="K5778" s="19"/>
    </row>
    <row r="5779" spans="3:11" x14ac:dyDescent="0.2">
      <c r="C5779" s="19"/>
      <c r="D5779" s="19"/>
      <c r="E5779" s="19"/>
      <c r="F5779" s="20"/>
      <c r="G5779" s="19"/>
      <c r="H5779" s="19"/>
      <c r="I5779" s="19"/>
      <c r="J5779" s="21"/>
      <c r="K5779" s="19"/>
    </row>
    <row r="5780" spans="3:11" x14ac:dyDescent="0.2">
      <c r="C5780" s="19"/>
      <c r="D5780" s="19"/>
      <c r="E5780" s="19"/>
      <c r="F5780" s="20"/>
      <c r="G5780" s="19"/>
      <c r="H5780" s="19"/>
      <c r="I5780" s="19"/>
      <c r="J5780" s="21"/>
      <c r="K5780" s="19"/>
    </row>
    <row r="5781" spans="3:11" x14ac:dyDescent="0.2">
      <c r="C5781" s="19"/>
      <c r="D5781" s="19"/>
      <c r="E5781" s="19"/>
      <c r="F5781" s="20"/>
      <c r="G5781" s="19"/>
      <c r="H5781" s="19"/>
      <c r="I5781" s="19"/>
      <c r="J5781" s="21"/>
      <c r="K5781" s="19"/>
    </row>
    <row r="5782" spans="3:11" x14ac:dyDescent="0.2">
      <c r="C5782" s="19"/>
      <c r="D5782" s="19"/>
      <c r="E5782" s="19"/>
      <c r="F5782" s="20"/>
      <c r="G5782" s="19"/>
      <c r="H5782" s="19"/>
      <c r="I5782" s="19"/>
      <c r="J5782" s="21"/>
      <c r="K5782" s="19"/>
    </row>
    <row r="5783" spans="3:11" x14ac:dyDescent="0.2">
      <c r="C5783" s="19"/>
      <c r="D5783" s="19"/>
      <c r="E5783" s="19"/>
      <c r="F5783" s="20"/>
      <c r="G5783" s="19"/>
      <c r="H5783" s="19"/>
      <c r="I5783" s="19"/>
      <c r="J5783" s="21"/>
      <c r="K5783" s="19"/>
    </row>
    <row r="5784" spans="3:11" x14ac:dyDescent="0.2">
      <c r="C5784" s="19"/>
      <c r="D5784" s="19"/>
      <c r="E5784" s="19"/>
      <c r="F5784" s="20"/>
      <c r="G5784" s="19"/>
      <c r="H5784" s="19"/>
      <c r="I5784" s="19"/>
      <c r="J5784" s="21"/>
      <c r="K5784" s="19"/>
    </row>
    <row r="5785" spans="3:11" x14ac:dyDescent="0.2">
      <c r="C5785" s="19"/>
      <c r="D5785" s="19"/>
      <c r="E5785" s="19"/>
      <c r="F5785" s="20"/>
      <c r="G5785" s="19"/>
      <c r="H5785" s="19"/>
      <c r="I5785" s="19"/>
      <c r="J5785" s="21"/>
      <c r="K5785" s="19"/>
    </row>
    <row r="5786" spans="3:11" x14ac:dyDescent="0.2">
      <c r="C5786" s="19"/>
      <c r="D5786" s="19"/>
      <c r="E5786" s="19"/>
      <c r="F5786" s="20"/>
      <c r="G5786" s="19"/>
      <c r="H5786" s="19"/>
      <c r="I5786" s="19"/>
      <c r="J5786" s="21"/>
      <c r="K5786" s="19"/>
    </row>
    <row r="5787" spans="3:11" x14ac:dyDescent="0.2">
      <c r="C5787" s="19"/>
      <c r="D5787" s="19"/>
      <c r="E5787" s="19"/>
      <c r="F5787" s="20"/>
      <c r="G5787" s="19"/>
      <c r="H5787" s="19"/>
      <c r="I5787" s="19"/>
      <c r="J5787" s="21"/>
      <c r="K5787" s="19"/>
    </row>
    <row r="5788" spans="3:11" x14ac:dyDescent="0.2">
      <c r="C5788" s="19"/>
      <c r="D5788" s="19"/>
      <c r="E5788" s="19"/>
      <c r="F5788" s="20"/>
      <c r="G5788" s="19"/>
      <c r="H5788" s="19"/>
      <c r="I5788" s="19"/>
      <c r="J5788" s="21"/>
      <c r="K5788" s="19"/>
    </row>
    <row r="5789" spans="3:11" x14ac:dyDescent="0.2">
      <c r="C5789" s="19"/>
      <c r="D5789" s="19"/>
      <c r="E5789" s="19"/>
      <c r="F5789" s="20"/>
      <c r="G5789" s="19"/>
      <c r="H5789" s="19"/>
      <c r="I5789" s="19"/>
      <c r="J5789" s="21"/>
      <c r="K5789" s="19"/>
    </row>
    <row r="5790" spans="3:11" x14ac:dyDescent="0.2">
      <c r="C5790" s="19"/>
      <c r="D5790" s="19"/>
      <c r="E5790" s="19"/>
      <c r="F5790" s="20"/>
      <c r="G5790" s="19"/>
      <c r="H5790" s="19"/>
      <c r="I5790" s="19"/>
      <c r="J5790" s="21"/>
      <c r="K5790" s="19"/>
    </row>
    <row r="5791" spans="3:11" x14ac:dyDescent="0.2">
      <c r="C5791" s="19"/>
      <c r="D5791" s="19"/>
      <c r="E5791" s="19"/>
      <c r="F5791" s="20"/>
      <c r="G5791" s="19"/>
      <c r="H5791" s="19"/>
      <c r="I5791" s="19"/>
      <c r="J5791" s="21"/>
      <c r="K5791" s="19"/>
    </row>
    <row r="5792" spans="3:11" x14ac:dyDescent="0.2">
      <c r="C5792" s="19"/>
      <c r="D5792" s="19"/>
      <c r="E5792" s="19"/>
      <c r="F5792" s="20"/>
      <c r="G5792" s="19"/>
      <c r="H5792" s="19"/>
      <c r="I5792" s="19"/>
      <c r="J5792" s="21"/>
      <c r="K5792" s="19"/>
    </row>
    <row r="5793" spans="3:11" x14ac:dyDescent="0.2">
      <c r="C5793" s="19"/>
      <c r="D5793" s="19"/>
      <c r="E5793" s="19"/>
      <c r="F5793" s="20"/>
      <c r="G5793" s="19"/>
      <c r="H5793" s="19"/>
      <c r="I5793" s="19"/>
      <c r="J5793" s="21"/>
      <c r="K5793" s="19"/>
    </row>
    <row r="5794" spans="3:11" x14ac:dyDescent="0.2">
      <c r="C5794" s="19"/>
      <c r="D5794" s="19"/>
      <c r="E5794" s="19"/>
      <c r="F5794" s="20"/>
      <c r="G5794" s="19"/>
      <c r="H5794" s="19"/>
      <c r="I5794" s="19"/>
      <c r="J5794" s="21"/>
      <c r="K5794" s="19"/>
    </row>
    <row r="5795" spans="3:11" x14ac:dyDescent="0.2">
      <c r="C5795" s="19"/>
      <c r="D5795" s="19"/>
      <c r="E5795" s="19"/>
      <c r="F5795" s="20"/>
      <c r="G5795" s="19"/>
      <c r="H5795" s="19"/>
      <c r="I5795" s="19"/>
      <c r="J5795" s="21"/>
      <c r="K5795" s="19"/>
    </row>
    <row r="5796" spans="3:11" x14ac:dyDescent="0.2">
      <c r="C5796" s="19"/>
      <c r="D5796" s="19"/>
      <c r="E5796" s="19"/>
      <c r="F5796" s="20"/>
      <c r="G5796" s="19"/>
      <c r="H5796" s="19"/>
      <c r="I5796" s="19"/>
      <c r="J5796" s="21"/>
      <c r="K5796" s="19"/>
    </row>
    <row r="5797" spans="3:11" x14ac:dyDescent="0.2">
      <c r="C5797" s="19"/>
      <c r="D5797" s="19"/>
      <c r="E5797" s="19"/>
      <c r="F5797" s="20"/>
      <c r="G5797" s="19"/>
      <c r="H5797" s="19"/>
      <c r="I5797" s="19"/>
      <c r="J5797" s="21"/>
      <c r="K5797" s="19"/>
    </row>
    <row r="5798" spans="3:11" x14ac:dyDescent="0.2">
      <c r="C5798" s="19"/>
      <c r="D5798" s="19"/>
      <c r="E5798" s="19"/>
      <c r="F5798" s="20"/>
      <c r="G5798" s="19"/>
      <c r="H5798" s="19"/>
      <c r="I5798" s="19"/>
      <c r="J5798" s="21"/>
      <c r="K5798" s="19"/>
    </row>
    <row r="5799" spans="3:11" x14ac:dyDescent="0.2">
      <c r="C5799" s="19"/>
      <c r="D5799" s="19"/>
      <c r="E5799" s="19"/>
      <c r="F5799" s="20"/>
      <c r="G5799" s="19"/>
      <c r="H5799" s="19"/>
      <c r="I5799" s="19"/>
      <c r="J5799" s="21"/>
      <c r="K5799" s="19"/>
    </row>
    <row r="5800" spans="3:11" x14ac:dyDescent="0.2">
      <c r="C5800" s="19"/>
      <c r="D5800" s="19"/>
      <c r="E5800" s="19"/>
      <c r="F5800" s="20"/>
      <c r="G5800" s="19"/>
      <c r="H5800" s="19"/>
      <c r="I5800" s="19"/>
      <c r="J5800" s="21"/>
      <c r="K5800" s="19"/>
    </row>
    <row r="5801" spans="3:11" x14ac:dyDescent="0.2">
      <c r="C5801" s="19"/>
      <c r="D5801" s="19"/>
      <c r="E5801" s="19"/>
      <c r="F5801" s="20"/>
      <c r="G5801" s="19"/>
      <c r="H5801" s="19"/>
      <c r="I5801" s="19"/>
      <c r="J5801" s="21"/>
      <c r="K5801" s="19"/>
    </row>
    <row r="5802" spans="3:11" x14ac:dyDescent="0.2">
      <c r="C5802" s="19"/>
      <c r="D5802" s="19"/>
      <c r="E5802" s="19"/>
      <c r="F5802" s="20"/>
      <c r="G5802" s="19"/>
      <c r="H5802" s="19"/>
      <c r="I5802" s="19"/>
      <c r="J5802" s="21"/>
      <c r="K5802" s="19"/>
    </row>
    <row r="5803" spans="3:11" x14ac:dyDescent="0.2">
      <c r="C5803" s="19"/>
      <c r="D5803" s="19"/>
      <c r="E5803" s="19"/>
      <c r="F5803" s="20"/>
      <c r="G5803" s="19"/>
      <c r="H5803" s="19"/>
      <c r="I5803" s="19"/>
      <c r="J5803" s="19"/>
      <c r="K5803" s="19"/>
    </row>
    <row r="5804" spans="3:11" x14ac:dyDescent="0.2">
      <c r="C5804" s="19"/>
      <c r="D5804" s="19"/>
      <c r="E5804" s="19"/>
      <c r="F5804" s="20"/>
      <c r="G5804" s="19"/>
      <c r="H5804" s="19"/>
      <c r="I5804" s="19"/>
      <c r="J5804" s="19"/>
      <c r="K5804" s="19"/>
    </row>
    <row r="5805" spans="3:11" x14ac:dyDescent="0.2">
      <c r="C5805" s="19"/>
      <c r="D5805" s="19"/>
      <c r="E5805" s="19"/>
      <c r="F5805" s="20"/>
      <c r="G5805" s="19"/>
      <c r="H5805" s="19"/>
      <c r="I5805" s="19"/>
      <c r="J5805" s="19"/>
      <c r="K5805" s="19"/>
    </row>
    <row r="5806" spans="3:11" x14ac:dyDescent="0.2">
      <c r="C5806" s="19"/>
      <c r="D5806" s="19"/>
      <c r="E5806" s="19"/>
      <c r="F5806" s="20"/>
      <c r="G5806" s="19"/>
      <c r="H5806" s="19"/>
      <c r="I5806" s="19"/>
      <c r="J5806" s="19"/>
      <c r="K5806" s="19"/>
    </row>
    <row r="5807" spans="3:11" x14ac:dyDescent="0.2">
      <c r="C5807" s="19"/>
      <c r="D5807" s="19"/>
      <c r="E5807" s="19"/>
      <c r="F5807" s="20"/>
      <c r="G5807" s="19"/>
      <c r="H5807" s="19"/>
      <c r="I5807" s="19"/>
      <c r="J5807" s="19"/>
      <c r="K5807" s="19"/>
    </row>
    <row r="5808" spans="3:11" x14ac:dyDescent="0.2">
      <c r="C5808" s="19"/>
      <c r="D5808" s="19"/>
      <c r="E5808" s="19"/>
      <c r="F5808" s="20"/>
      <c r="G5808" s="19"/>
      <c r="H5808" s="19"/>
      <c r="I5808" s="19"/>
      <c r="J5808" s="21"/>
      <c r="K5808" s="19"/>
    </row>
    <row r="5809" spans="3:11" x14ac:dyDescent="0.2">
      <c r="C5809" s="19"/>
      <c r="D5809" s="19"/>
      <c r="E5809" s="19"/>
      <c r="F5809" s="20"/>
      <c r="G5809" s="19"/>
      <c r="H5809" s="19"/>
      <c r="I5809" s="19"/>
      <c r="J5809" s="19"/>
      <c r="K5809" s="19"/>
    </row>
    <row r="5810" spans="3:11" x14ac:dyDescent="0.2">
      <c r="C5810" s="19"/>
      <c r="D5810" s="19"/>
      <c r="E5810" s="19"/>
      <c r="F5810" s="20"/>
      <c r="G5810" s="19"/>
      <c r="H5810" s="19"/>
      <c r="I5810" s="19"/>
      <c r="J5810" s="19"/>
      <c r="K5810" s="19"/>
    </row>
    <row r="5811" spans="3:11" x14ac:dyDescent="0.2">
      <c r="C5811" s="19"/>
      <c r="D5811" s="19"/>
      <c r="E5811" s="19"/>
      <c r="F5811" s="20"/>
      <c r="G5811" s="19"/>
      <c r="H5811" s="19"/>
      <c r="I5811" s="19"/>
      <c r="J5811" s="21"/>
      <c r="K5811" s="19"/>
    </row>
    <row r="5812" spans="3:11" x14ac:dyDescent="0.2">
      <c r="C5812" s="19"/>
      <c r="D5812" s="19"/>
      <c r="E5812" s="19"/>
      <c r="F5812" s="20"/>
      <c r="G5812" s="19"/>
      <c r="H5812" s="19"/>
      <c r="I5812" s="19"/>
      <c r="J5812" s="21"/>
      <c r="K5812" s="19"/>
    </row>
    <row r="5813" spans="3:11" x14ac:dyDescent="0.2">
      <c r="C5813" s="19"/>
      <c r="D5813" s="19"/>
      <c r="E5813" s="19"/>
      <c r="F5813" s="20"/>
      <c r="G5813" s="19"/>
      <c r="H5813" s="19"/>
      <c r="I5813" s="19"/>
      <c r="J5813" s="21"/>
      <c r="K5813" s="19"/>
    </row>
    <row r="5814" spans="3:11" x14ac:dyDescent="0.2">
      <c r="C5814" s="19"/>
      <c r="D5814" s="19"/>
      <c r="E5814" s="19"/>
      <c r="F5814" s="20"/>
      <c r="G5814" s="19"/>
      <c r="H5814" s="19"/>
      <c r="I5814" s="19"/>
      <c r="J5814" s="21"/>
      <c r="K5814" s="19"/>
    </row>
    <row r="5815" spans="3:11" x14ac:dyDescent="0.2">
      <c r="C5815" s="19"/>
      <c r="D5815" s="19"/>
      <c r="E5815" s="19"/>
      <c r="F5815" s="20"/>
      <c r="G5815" s="19"/>
      <c r="H5815" s="19"/>
      <c r="I5815" s="19"/>
      <c r="J5815" s="21"/>
      <c r="K5815" s="19"/>
    </row>
    <row r="5816" spans="3:11" x14ac:dyDescent="0.2">
      <c r="C5816" s="19"/>
      <c r="D5816" s="19"/>
      <c r="E5816" s="19"/>
      <c r="F5816" s="20"/>
      <c r="G5816" s="19"/>
      <c r="H5816" s="19"/>
      <c r="I5816" s="19"/>
      <c r="J5816" s="21"/>
      <c r="K5816" s="19"/>
    </row>
    <row r="5817" spans="3:11" x14ac:dyDescent="0.2">
      <c r="C5817" s="19"/>
      <c r="D5817" s="19"/>
      <c r="E5817" s="19"/>
      <c r="F5817" s="20"/>
      <c r="G5817" s="19"/>
      <c r="H5817" s="19"/>
      <c r="I5817" s="19"/>
      <c r="J5817" s="21"/>
      <c r="K5817" s="19"/>
    </row>
    <row r="5818" spans="3:11" x14ac:dyDescent="0.2">
      <c r="C5818" s="19"/>
      <c r="D5818" s="19"/>
      <c r="E5818" s="19"/>
      <c r="F5818" s="20"/>
      <c r="G5818" s="19"/>
      <c r="H5818" s="19"/>
      <c r="I5818" s="19"/>
      <c r="J5818" s="21"/>
      <c r="K5818" s="19"/>
    </row>
    <row r="5819" spans="3:11" x14ac:dyDescent="0.2">
      <c r="C5819" s="19"/>
      <c r="D5819" s="19"/>
      <c r="E5819" s="19"/>
      <c r="F5819" s="20"/>
      <c r="G5819" s="19"/>
      <c r="H5819" s="19"/>
      <c r="I5819" s="19"/>
      <c r="J5819" s="21"/>
      <c r="K5819" s="19"/>
    </row>
    <row r="5820" spans="3:11" x14ac:dyDescent="0.2">
      <c r="C5820" s="19"/>
      <c r="D5820" s="19"/>
      <c r="E5820" s="19"/>
      <c r="F5820" s="20"/>
      <c r="G5820" s="19"/>
      <c r="H5820" s="19"/>
      <c r="I5820" s="19"/>
      <c r="J5820" s="21"/>
      <c r="K5820" s="19"/>
    </row>
    <row r="5821" spans="3:11" x14ac:dyDescent="0.2">
      <c r="C5821" s="19"/>
      <c r="D5821" s="19"/>
      <c r="E5821" s="19"/>
      <c r="F5821" s="20"/>
      <c r="G5821" s="19"/>
      <c r="H5821" s="19"/>
      <c r="I5821" s="19"/>
      <c r="J5821" s="21"/>
      <c r="K5821" s="19"/>
    </row>
    <row r="5822" spans="3:11" x14ac:dyDescent="0.2">
      <c r="C5822" s="19"/>
      <c r="D5822" s="19"/>
      <c r="E5822" s="19"/>
      <c r="F5822" s="20"/>
      <c r="G5822" s="19"/>
      <c r="H5822" s="19"/>
      <c r="I5822" s="19"/>
      <c r="J5822" s="21"/>
      <c r="K5822" s="19"/>
    </row>
    <row r="5823" spans="3:11" x14ac:dyDescent="0.2">
      <c r="C5823" s="19"/>
      <c r="D5823" s="19"/>
      <c r="E5823" s="19"/>
      <c r="F5823" s="20"/>
      <c r="G5823" s="19"/>
      <c r="H5823" s="19"/>
      <c r="I5823" s="19"/>
      <c r="J5823" s="21"/>
      <c r="K5823" s="19"/>
    </row>
    <row r="5824" spans="3:11" x14ac:dyDescent="0.2">
      <c r="C5824" s="19"/>
      <c r="D5824" s="19"/>
      <c r="E5824" s="19"/>
      <c r="F5824" s="20"/>
      <c r="G5824" s="19"/>
      <c r="H5824" s="19"/>
      <c r="I5824" s="19"/>
      <c r="J5824" s="21"/>
      <c r="K5824" s="19"/>
    </row>
    <row r="5825" spans="3:11" x14ac:dyDescent="0.2">
      <c r="C5825" s="19"/>
      <c r="D5825" s="19"/>
      <c r="E5825" s="19"/>
      <c r="F5825" s="20"/>
      <c r="G5825" s="19"/>
      <c r="H5825" s="19"/>
      <c r="I5825" s="19"/>
      <c r="J5825" s="21"/>
      <c r="K5825" s="19"/>
    </row>
    <row r="5826" spans="3:11" x14ac:dyDescent="0.2">
      <c r="C5826" s="19"/>
      <c r="D5826" s="19"/>
      <c r="E5826" s="19"/>
      <c r="F5826" s="20"/>
      <c r="G5826" s="19"/>
      <c r="H5826" s="19"/>
      <c r="I5826" s="19"/>
      <c r="J5826" s="21"/>
      <c r="K5826" s="19"/>
    </row>
    <row r="5827" spans="3:11" x14ac:dyDescent="0.2">
      <c r="C5827" s="19"/>
      <c r="D5827" s="19"/>
      <c r="E5827" s="19"/>
      <c r="F5827" s="20"/>
      <c r="G5827" s="19"/>
      <c r="H5827" s="19"/>
      <c r="I5827" s="19"/>
      <c r="J5827" s="21"/>
      <c r="K5827" s="19"/>
    </row>
    <row r="5828" spans="3:11" x14ac:dyDescent="0.2">
      <c r="C5828" s="19"/>
      <c r="D5828" s="19"/>
      <c r="E5828" s="19"/>
      <c r="F5828" s="20"/>
      <c r="G5828" s="19"/>
      <c r="H5828" s="19"/>
      <c r="I5828" s="19"/>
      <c r="J5828" s="21"/>
      <c r="K5828" s="19"/>
    </row>
    <row r="5829" spans="3:11" x14ac:dyDescent="0.2">
      <c r="C5829" s="19"/>
      <c r="D5829" s="19"/>
      <c r="E5829" s="19"/>
      <c r="F5829" s="20"/>
      <c r="G5829" s="19"/>
      <c r="H5829" s="19"/>
      <c r="I5829" s="19"/>
      <c r="J5829" s="21"/>
      <c r="K5829" s="19"/>
    </row>
    <row r="5830" spans="3:11" x14ac:dyDescent="0.2">
      <c r="C5830" s="19"/>
      <c r="D5830" s="19"/>
      <c r="E5830" s="19"/>
      <c r="F5830" s="20"/>
      <c r="G5830" s="19"/>
      <c r="H5830" s="19"/>
      <c r="I5830" s="19"/>
      <c r="J5830" s="21"/>
      <c r="K5830" s="19"/>
    </row>
    <row r="5831" spans="3:11" x14ac:dyDescent="0.2">
      <c r="C5831" s="19"/>
      <c r="D5831" s="19"/>
      <c r="E5831" s="19"/>
      <c r="F5831" s="20"/>
      <c r="G5831" s="19"/>
      <c r="H5831" s="19"/>
      <c r="I5831" s="19"/>
      <c r="J5831" s="21"/>
      <c r="K5831" s="19"/>
    </row>
    <row r="5832" spans="3:11" x14ac:dyDescent="0.2">
      <c r="C5832" s="19"/>
      <c r="D5832" s="19"/>
      <c r="E5832" s="19"/>
      <c r="F5832" s="20"/>
      <c r="G5832" s="19"/>
      <c r="H5832" s="19"/>
      <c r="I5832" s="19"/>
      <c r="J5832" s="21"/>
      <c r="K5832" s="19"/>
    </row>
    <row r="5833" spans="3:11" x14ac:dyDescent="0.2">
      <c r="C5833" s="19"/>
      <c r="D5833" s="19"/>
      <c r="E5833" s="19"/>
      <c r="F5833" s="20"/>
      <c r="G5833" s="19"/>
      <c r="H5833" s="19"/>
      <c r="I5833" s="19"/>
      <c r="J5833" s="19"/>
      <c r="K5833" s="19"/>
    </row>
    <row r="5834" spans="3:11" x14ac:dyDescent="0.2">
      <c r="C5834" s="19"/>
      <c r="D5834" s="19"/>
      <c r="E5834" s="19"/>
      <c r="F5834" s="20"/>
      <c r="G5834" s="19"/>
      <c r="H5834" s="19"/>
      <c r="I5834" s="19"/>
      <c r="J5834" s="21"/>
      <c r="K5834" s="19"/>
    </row>
    <row r="5835" spans="3:11" x14ac:dyDescent="0.2">
      <c r="C5835" s="19"/>
      <c r="D5835" s="19"/>
      <c r="E5835" s="19"/>
      <c r="F5835" s="20"/>
      <c r="G5835" s="19"/>
      <c r="H5835" s="19"/>
      <c r="I5835" s="19"/>
      <c r="J5835" s="21"/>
      <c r="K5835" s="19"/>
    </row>
    <row r="5836" spans="3:11" x14ac:dyDescent="0.2">
      <c r="C5836" s="19"/>
      <c r="D5836" s="19"/>
      <c r="E5836" s="19"/>
      <c r="F5836" s="20"/>
      <c r="G5836" s="19"/>
      <c r="H5836" s="19"/>
      <c r="I5836" s="19"/>
      <c r="J5836" s="21"/>
      <c r="K5836" s="19"/>
    </row>
    <row r="5837" spans="3:11" x14ac:dyDescent="0.2">
      <c r="C5837" s="19"/>
      <c r="D5837" s="19"/>
      <c r="E5837" s="19"/>
      <c r="F5837" s="20"/>
      <c r="G5837" s="19"/>
      <c r="H5837" s="19"/>
      <c r="I5837" s="19"/>
      <c r="J5837" s="21"/>
      <c r="K5837" s="19"/>
    </row>
    <row r="5838" spans="3:11" x14ac:dyDescent="0.2">
      <c r="C5838" s="19"/>
      <c r="D5838" s="19"/>
      <c r="E5838" s="19"/>
      <c r="F5838" s="20"/>
      <c r="G5838" s="19"/>
      <c r="H5838" s="19"/>
      <c r="I5838" s="19"/>
      <c r="J5838" s="21"/>
      <c r="K5838" s="19"/>
    </row>
    <row r="5839" spans="3:11" x14ac:dyDescent="0.2">
      <c r="C5839" s="19"/>
      <c r="D5839" s="19"/>
      <c r="E5839" s="19"/>
      <c r="F5839" s="20"/>
      <c r="G5839" s="19"/>
      <c r="H5839" s="19"/>
      <c r="I5839" s="19"/>
      <c r="J5839" s="21"/>
      <c r="K5839" s="19"/>
    </row>
    <row r="5840" spans="3:11" x14ac:dyDescent="0.2">
      <c r="C5840" s="19"/>
      <c r="D5840" s="19"/>
      <c r="E5840" s="19"/>
      <c r="F5840" s="20"/>
      <c r="G5840" s="19"/>
      <c r="H5840" s="19"/>
      <c r="I5840" s="19"/>
      <c r="J5840" s="21"/>
      <c r="K5840" s="19"/>
    </row>
    <row r="5841" spans="3:11" x14ac:dyDescent="0.2">
      <c r="C5841" s="19"/>
      <c r="D5841" s="19"/>
      <c r="E5841" s="19"/>
      <c r="F5841" s="20"/>
      <c r="G5841" s="19"/>
      <c r="H5841" s="19"/>
      <c r="I5841" s="19"/>
      <c r="J5841" s="21"/>
      <c r="K5841" s="19"/>
    </row>
    <row r="5842" spans="3:11" x14ac:dyDescent="0.2">
      <c r="C5842" s="19"/>
      <c r="D5842" s="19"/>
      <c r="E5842" s="19"/>
      <c r="F5842" s="20"/>
      <c r="G5842" s="19"/>
      <c r="H5842" s="19"/>
      <c r="I5842" s="19"/>
      <c r="J5842" s="21"/>
      <c r="K5842" s="19"/>
    </row>
    <row r="5843" spans="3:11" x14ac:dyDescent="0.2">
      <c r="C5843" s="19"/>
      <c r="D5843" s="19"/>
      <c r="E5843" s="19"/>
      <c r="F5843" s="20"/>
      <c r="G5843" s="19"/>
      <c r="H5843" s="19"/>
      <c r="I5843" s="19"/>
      <c r="J5843" s="21"/>
      <c r="K5843" s="19"/>
    </row>
    <row r="5844" spans="3:11" x14ac:dyDescent="0.2">
      <c r="C5844" s="19"/>
      <c r="D5844" s="19"/>
      <c r="E5844" s="19"/>
      <c r="F5844" s="20"/>
      <c r="G5844" s="19"/>
      <c r="H5844" s="19"/>
      <c r="I5844" s="19"/>
      <c r="J5844" s="21"/>
      <c r="K5844" s="19"/>
    </row>
    <row r="5845" spans="3:11" x14ac:dyDescent="0.2">
      <c r="C5845" s="19"/>
      <c r="D5845" s="19"/>
      <c r="E5845" s="19"/>
      <c r="F5845" s="20"/>
      <c r="G5845" s="19"/>
      <c r="H5845" s="19"/>
      <c r="I5845" s="19"/>
      <c r="J5845" s="21"/>
      <c r="K5845" s="19"/>
    </row>
    <row r="5846" spans="3:11" x14ac:dyDescent="0.2">
      <c r="C5846" s="19"/>
      <c r="D5846" s="19"/>
      <c r="E5846" s="19"/>
      <c r="F5846" s="20"/>
      <c r="G5846" s="19"/>
      <c r="H5846" s="19"/>
      <c r="I5846" s="19"/>
      <c r="J5846" s="21"/>
      <c r="K5846" s="19"/>
    </row>
    <row r="5847" spans="3:11" x14ac:dyDescent="0.2">
      <c r="C5847" s="19"/>
      <c r="D5847" s="19"/>
      <c r="E5847" s="19"/>
      <c r="F5847" s="20"/>
      <c r="G5847" s="19"/>
      <c r="H5847" s="19"/>
      <c r="I5847" s="19"/>
      <c r="J5847" s="21"/>
      <c r="K5847" s="19"/>
    </row>
    <row r="5848" spans="3:11" x14ac:dyDescent="0.2">
      <c r="C5848" s="19"/>
      <c r="D5848" s="19"/>
      <c r="E5848" s="19"/>
      <c r="F5848" s="20"/>
      <c r="G5848" s="19"/>
      <c r="H5848" s="19"/>
      <c r="I5848" s="19"/>
      <c r="J5848" s="21"/>
      <c r="K5848" s="19"/>
    </row>
    <row r="5849" spans="3:11" x14ac:dyDescent="0.2">
      <c r="C5849" s="19"/>
      <c r="D5849" s="19"/>
      <c r="E5849" s="19"/>
      <c r="F5849" s="20"/>
      <c r="G5849" s="19"/>
      <c r="H5849" s="19"/>
      <c r="I5849" s="19"/>
      <c r="J5849" s="21"/>
      <c r="K5849" s="19"/>
    </row>
    <row r="5850" spans="3:11" x14ac:dyDescent="0.2">
      <c r="C5850" s="19"/>
      <c r="D5850" s="19"/>
      <c r="E5850" s="19"/>
      <c r="F5850" s="20"/>
      <c r="G5850" s="19"/>
      <c r="H5850" s="19"/>
      <c r="I5850" s="19"/>
      <c r="J5850" s="21"/>
      <c r="K5850" s="19"/>
    </row>
    <row r="5851" spans="3:11" x14ac:dyDescent="0.2">
      <c r="C5851" s="19"/>
      <c r="D5851" s="19"/>
      <c r="E5851" s="19"/>
      <c r="F5851" s="20"/>
      <c r="G5851" s="19"/>
      <c r="H5851" s="19"/>
      <c r="I5851" s="19"/>
      <c r="J5851" s="21"/>
      <c r="K5851" s="19"/>
    </row>
    <row r="5852" spans="3:11" x14ac:dyDescent="0.2">
      <c r="C5852" s="19"/>
      <c r="D5852" s="19"/>
      <c r="E5852" s="19"/>
      <c r="F5852" s="20"/>
      <c r="G5852" s="19"/>
      <c r="H5852" s="19"/>
      <c r="I5852" s="19"/>
      <c r="J5852" s="21"/>
      <c r="K5852" s="19"/>
    </row>
    <row r="5853" spans="3:11" x14ac:dyDescent="0.2">
      <c r="C5853" s="19"/>
      <c r="D5853" s="19"/>
      <c r="E5853" s="19"/>
      <c r="F5853" s="20"/>
      <c r="G5853" s="19"/>
      <c r="H5853" s="19"/>
      <c r="I5853" s="19"/>
      <c r="J5853" s="21"/>
      <c r="K5853" s="19"/>
    </row>
    <row r="5854" spans="3:11" x14ac:dyDescent="0.2">
      <c r="C5854" s="19"/>
      <c r="D5854" s="19"/>
      <c r="E5854" s="19"/>
      <c r="F5854" s="20"/>
      <c r="G5854" s="19"/>
      <c r="H5854" s="19"/>
      <c r="I5854" s="19"/>
      <c r="J5854" s="21"/>
      <c r="K5854" s="19"/>
    </row>
    <row r="5855" spans="3:11" x14ac:dyDescent="0.2">
      <c r="C5855" s="19"/>
      <c r="D5855" s="19"/>
      <c r="E5855" s="19"/>
      <c r="F5855" s="20"/>
      <c r="G5855" s="19"/>
      <c r="H5855" s="19"/>
      <c r="I5855" s="19"/>
      <c r="J5855" s="21"/>
      <c r="K5855" s="19"/>
    </row>
    <row r="5856" spans="3:11" x14ac:dyDescent="0.2">
      <c r="C5856" s="19"/>
      <c r="D5856" s="19"/>
      <c r="E5856" s="19"/>
      <c r="F5856" s="20"/>
      <c r="G5856" s="19"/>
      <c r="H5856" s="19"/>
      <c r="I5856" s="19"/>
      <c r="J5856" s="21"/>
      <c r="K5856" s="19"/>
    </row>
    <row r="5857" spans="3:11" x14ac:dyDescent="0.2">
      <c r="C5857" s="19"/>
      <c r="D5857" s="19"/>
      <c r="E5857" s="19"/>
      <c r="F5857" s="20"/>
      <c r="G5857" s="19"/>
      <c r="H5857" s="19"/>
      <c r="I5857" s="19"/>
      <c r="J5857" s="21"/>
      <c r="K5857" s="19"/>
    </row>
    <row r="5858" spans="3:11" x14ac:dyDescent="0.2">
      <c r="C5858" s="19"/>
      <c r="D5858" s="19"/>
      <c r="E5858" s="19"/>
      <c r="F5858" s="20"/>
      <c r="G5858" s="19"/>
      <c r="H5858" s="19"/>
      <c r="I5858" s="19"/>
      <c r="J5858" s="21"/>
      <c r="K5858" s="19"/>
    </row>
    <row r="5859" spans="3:11" x14ac:dyDescent="0.2">
      <c r="C5859" s="19"/>
      <c r="D5859" s="19"/>
      <c r="E5859" s="19"/>
      <c r="F5859" s="20"/>
      <c r="G5859" s="19"/>
      <c r="H5859" s="19"/>
      <c r="I5859" s="19"/>
      <c r="J5859" s="21"/>
      <c r="K5859" s="19"/>
    </row>
    <row r="5860" spans="3:11" x14ac:dyDescent="0.2">
      <c r="C5860" s="19"/>
      <c r="D5860" s="19"/>
      <c r="E5860" s="19"/>
      <c r="F5860" s="20"/>
      <c r="G5860" s="19"/>
      <c r="H5860" s="19"/>
      <c r="I5860" s="19"/>
      <c r="J5860" s="21"/>
      <c r="K5860" s="19"/>
    </row>
    <row r="5861" spans="3:11" x14ac:dyDescent="0.2">
      <c r="C5861" s="19"/>
      <c r="D5861" s="19"/>
      <c r="E5861" s="19"/>
      <c r="F5861" s="20"/>
      <c r="G5861" s="19"/>
      <c r="H5861" s="19"/>
      <c r="I5861" s="19"/>
      <c r="J5861" s="21"/>
      <c r="K5861" s="19"/>
    </row>
    <row r="5862" spans="3:11" x14ac:dyDescent="0.2">
      <c r="C5862" s="19"/>
      <c r="D5862" s="19"/>
      <c r="E5862" s="19"/>
      <c r="F5862" s="20"/>
      <c r="G5862" s="19"/>
      <c r="H5862" s="19"/>
      <c r="I5862" s="19"/>
      <c r="J5862" s="19"/>
      <c r="K5862" s="19"/>
    </row>
    <row r="5863" spans="3:11" x14ac:dyDescent="0.2">
      <c r="C5863" s="19"/>
      <c r="D5863" s="19"/>
      <c r="E5863" s="19"/>
      <c r="F5863" s="20"/>
      <c r="G5863" s="19"/>
      <c r="H5863" s="19"/>
      <c r="I5863" s="19"/>
      <c r="J5863" s="19"/>
      <c r="K5863" s="19"/>
    </row>
    <row r="5864" spans="3:11" x14ac:dyDescent="0.2">
      <c r="C5864" s="19"/>
      <c r="D5864" s="19"/>
      <c r="E5864" s="19"/>
      <c r="F5864" s="20"/>
      <c r="G5864" s="19"/>
      <c r="H5864" s="19"/>
      <c r="I5864" s="19"/>
      <c r="J5864" s="21"/>
      <c r="K5864" s="19"/>
    </row>
    <row r="5865" spans="3:11" x14ac:dyDescent="0.2">
      <c r="C5865" s="19"/>
      <c r="D5865" s="19"/>
      <c r="E5865" s="19"/>
      <c r="F5865" s="20"/>
      <c r="G5865" s="19"/>
      <c r="H5865" s="19"/>
      <c r="I5865" s="19"/>
      <c r="J5865" s="21"/>
      <c r="K5865" s="19"/>
    </row>
    <row r="5866" spans="3:11" x14ac:dyDescent="0.2">
      <c r="C5866" s="19"/>
      <c r="D5866" s="19"/>
      <c r="E5866" s="19"/>
      <c r="F5866" s="20"/>
      <c r="G5866" s="19"/>
      <c r="H5866" s="19"/>
      <c r="I5866" s="19"/>
      <c r="J5866" s="21"/>
      <c r="K5866" s="19"/>
    </row>
    <row r="5867" spans="3:11" x14ac:dyDescent="0.2">
      <c r="C5867" s="19"/>
      <c r="D5867" s="19"/>
      <c r="E5867" s="19"/>
      <c r="F5867" s="20"/>
      <c r="G5867" s="19"/>
      <c r="H5867" s="19"/>
      <c r="I5867" s="19"/>
      <c r="J5867" s="21"/>
      <c r="K5867" s="19"/>
    </row>
    <row r="5868" spans="3:11" x14ac:dyDescent="0.2">
      <c r="C5868" s="19"/>
      <c r="D5868" s="19"/>
      <c r="E5868" s="19"/>
      <c r="F5868" s="20"/>
      <c r="G5868" s="19"/>
      <c r="H5868" s="19"/>
      <c r="I5868" s="19"/>
      <c r="J5868" s="21"/>
      <c r="K5868" s="19"/>
    </row>
    <row r="5869" spans="3:11" x14ac:dyDescent="0.2">
      <c r="C5869" s="19"/>
      <c r="D5869" s="19"/>
      <c r="E5869" s="19"/>
      <c r="F5869" s="20"/>
      <c r="G5869" s="19"/>
      <c r="H5869" s="19"/>
      <c r="I5869" s="19"/>
      <c r="J5869" s="21"/>
      <c r="K5869" s="19"/>
    </row>
    <row r="5870" spans="3:11" x14ac:dyDescent="0.2">
      <c r="C5870" s="19"/>
      <c r="D5870" s="19"/>
      <c r="E5870" s="19"/>
      <c r="F5870" s="20"/>
      <c r="G5870" s="19"/>
      <c r="H5870" s="19"/>
      <c r="I5870" s="19"/>
      <c r="J5870" s="21"/>
      <c r="K5870" s="19"/>
    </row>
    <row r="5871" spans="3:11" x14ac:dyDescent="0.2">
      <c r="C5871" s="19"/>
      <c r="D5871" s="19"/>
      <c r="E5871" s="19"/>
      <c r="F5871" s="20"/>
      <c r="G5871" s="19"/>
      <c r="H5871" s="19"/>
      <c r="I5871" s="19"/>
      <c r="J5871" s="21"/>
      <c r="K5871" s="19"/>
    </row>
    <row r="5872" spans="3:11" x14ac:dyDescent="0.2">
      <c r="C5872" s="19"/>
      <c r="D5872" s="19"/>
      <c r="E5872" s="19"/>
      <c r="F5872" s="20"/>
      <c r="G5872" s="19"/>
      <c r="H5872" s="19"/>
      <c r="I5872" s="19"/>
      <c r="J5872" s="21"/>
      <c r="K5872" s="19"/>
    </row>
    <row r="5873" spans="3:11" x14ac:dyDescent="0.2">
      <c r="C5873" s="19"/>
      <c r="D5873" s="19"/>
      <c r="E5873" s="19"/>
      <c r="F5873" s="20"/>
      <c r="G5873" s="19"/>
      <c r="H5873" s="19"/>
      <c r="I5873" s="19"/>
      <c r="J5873" s="21"/>
      <c r="K5873" s="19"/>
    </row>
    <row r="5874" spans="3:11" x14ac:dyDescent="0.2">
      <c r="C5874" s="19"/>
      <c r="D5874" s="19"/>
      <c r="E5874" s="19"/>
      <c r="F5874" s="20"/>
      <c r="G5874" s="19"/>
      <c r="H5874" s="19"/>
      <c r="I5874" s="19"/>
      <c r="J5874" s="21"/>
      <c r="K5874" s="19"/>
    </row>
    <row r="5875" spans="3:11" x14ac:dyDescent="0.2">
      <c r="C5875" s="19"/>
      <c r="D5875" s="19"/>
      <c r="E5875" s="19"/>
      <c r="F5875" s="20"/>
      <c r="G5875" s="19"/>
      <c r="H5875" s="19"/>
      <c r="I5875" s="19"/>
      <c r="J5875" s="21"/>
      <c r="K5875" s="19"/>
    </row>
    <row r="5876" spans="3:11" x14ac:dyDescent="0.2">
      <c r="C5876" s="19"/>
      <c r="D5876" s="19"/>
      <c r="E5876" s="19"/>
      <c r="F5876" s="20"/>
      <c r="G5876" s="19"/>
      <c r="H5876" s="19"/>
      <c r="I5876" s="19"/>
      <c r="J5876" s="21"/>
      <c r="K5876" s="19"/>
    </row>
    <row r="5877" spans="3:11" x14ac:dyDescent="0.2">
      <c r="C5877" s="19"/>
      <c r="D5877" s="19"/>
      <c r="E5877" s="19"/>
      <c r="F5877" s="20"/>
      <c r="G5877" s="19"/>
      <c r="H5877" s="19"/>
      <c r="I5877" s="19"/>
      <c r="J5877" s="21"/>
      <c r="K5877" s="19"/>
    </row>
    <row r="5878" spans="3:11" x14ac:dyDescent="0.2">
      <c r="C5878" s="19"/>
      <c r="D5878" s="19"/>
      <c r="E5878" s="19"/>
      <c r="F5878" s="20"/>
      <c r="G5878" s="19"/>
      <c r="H5878" s="19"/>
      <c r="I5878" s="19"/>
      <c r="J5878" s="21"/>
      <c r="K5878" s="19"/>
    </row>
    <row r="5879" spans="3:11" x14ac:dyDescent="0.2">
      <c r="C5879" s="19"/>
      <c r="D5879" s="19"/>
      <c r="E5879" s="19"/>
      <c r="F5879" s="20"/>
      <c r="G5879" s="19"/>
      <c r="H5879" s="19"/>
      <c r="I5879" s="19"/>
      <c r="J5879" s="21"/>
      <c r="K5879" s="19"/>
    </row>
    <row r="5880" spans="3:11" x14ac:dyDescent="0.2">
      <c r="C5880" s="19"/>
      <c r="D5880" s="19"/>
      <c r="E5880" s="19"/>
      <c r="F5880" s="20"/>
      <c r="G5880" s="19"/>
      <c r="H5880" s="19"/>
      <c r="I5880" s="19"/>
      <c r="J5880" s="21"/>
      <c r="K5880" s="19"/>
    </row>
    <row r="5881" spans="3:11" x14ac:dyDescent="0.2">
      <c r="C5881" s="19"/>
      <c r="D5881" s="19"/>
      <c r="E5881" s="19"/>
      <c r="F5881" s="20"/>
      <c r="G5881" s="19"/>
      <c r="H5881" s="19"/>
      <c r="I5881" s="19"/>
      <c r="J5881" s="21"/>
      <c r="K5881" s="19"/>
    </row>
    <row r="5882" spans="3:11" x14ac:dyDescent="0.2">
      <c r="C5882" s="19"/>
      <c r="D5882" s="19"/>
      <c r="E5882" s="19"/>
      <c r="F5882" s="20"/>
      <c r="G5882" s="19"/>
      <c r="H5882" s="19"/>
      <c r="I5882" s="19"/>
      <c r="J5882" s="21"/>
      <c r="K5882" s="19"/>
    </row>
    <row r="5883" spans="3:11" x14ac:dyDescent="0.2">
      <c r="C5883" s="19"/>
      <c r="D5883" s="19"/>
      <c r="E5883" s="19"/>
      <c r="F5883" s="20"/>
      <c r="G5883" s="19"/>
      <c r="H5883" s="19"/>
      <c r="I5883" s="19"/>
      <c r="J5883" s="21"/>
      <c r="K5883" s="19"/>
    </row>
    <row r="5884" spans="3:11" x14ac:dyDescent="0.2">
      <c r="C5884" s="19"/>
      <c r="D5884" s="19"/>
      <c r="E5884" s="19"/>
      <c r="F5884" s="20"/>
      <c r="G5884" s="19"/>
      <c r="H5884" s="19"/>
      <c r="I5884" s="19"/>
      <c r="J5884" s="21"/>
      <c r="K5884" s="19"/>
    </row>
    <row r="5885" spans="3:11" x14ac:dyDescent="0.2">
      <c r="C5885" s="19"/>
      <c r="D5885" s="19"/>
      <c r="E5885" s="19"/>
      <c r="F5885" s="20"/>
      <c r="G5885" s="19"/>
      <c r="H5885" s="19"/>
      <c r="I5885" s="19"/>
      <c r="J5885" s="21"/>
      <c r="K5885" s="19"/>
    </row>
    <row r="5886" spans="3:11" x14ac:dyDescent="0.2">
      <c r="C5886" s="19"/>
      <c r="D5886" s="19"/>
      <c r="E5886" s="19"/>
      <c r="F5886" s="20"/>
      <c r="G5886" s="19"/>
      <c r="H5886" s="19"/>
      <c r="I5886" s="19"/>
      <c r="J5886" s="21"/>
      <c r="K5886" s="19"/>
    </row>
    <row r="5887" spans="3:11" x14ac:dyDescent="0.2">
      <c r="C5887" s="19"/>
      <c r="D5887" s="19"/>
      <c r="E5887" s="19"/>
      <c r="F5887" s="20"/>
      <c r="G5887" s="19"/>
      <c r="H5887" s="19"/>
      <c r="I5887" s="19"/>
      <c r="J5887" s="21"/>
      <c r="K5887" s="19"/>
    </row>
    <row r="5888" spans="3:11" x14ac:dyDescent="0.2">
      <c r="C5888" s="19"/>
      <c r="D5888" s="19"/>
      <c r="E5888" s="19"/>
      <c r="F5888" s="20"/>
      <c r="G5888" s="19"/>
      <c r="H5888" s="19"/>
      <c r="I5888" s="19"/>
      <c r="J5888" s="21"/>
      <c r="K5888" s="19"/>
    </row>
    <row r="5889" spans="3:11" x14ac:dyDescent="0.2">
      <c r="C5889" s="19"/>
      <c r="D5889" s="19"/>
      <c r="E5889" s="19"/>
      <c r="F5889" s="20"/>
      <c r="G5889" s="19"/>
      <c r="H5889" s="19"/>
      <c r="I5889" s="19"/>
      <c r="J5889" s="21"/>
      <c r="K5889" s="19"/>
    </row>
    <row r="5890" spans="3:11" x14ac:dyDescent="0.2">
      <c r="C5890" s="19"/>
      <c r="D5890" s="19"/>
      <c r="E5890" s="19"/>
      <c r="F5890" s="20"/>
      <c r="G5890" s="19"/>
      <c r="H5890" s="19"/>
      <c r="I5890" s="19"/>
      <c r="J5890" s="21"/>
      <c r="K5890" s="19"/>
    </row>
    <row r="5891" spans="3:11" x14ac:dyDescent="0.2">
      <c r="C5891" s="19"/>
      <c r="D5891" s="19"/>
      <c r="E5891" s="19"/>
      <c r="F5891" s="20"/>
      <c r="G5891" s="19"/>
      <c r="H5891" s="19"/>
      <c r="I5891" s="19"/>
      <c r="J5891" s="21"/>
      <c r="K5891" s="19"/>
    </row>
    <row r="5892" spans="3:11" x14ac:dyDescent="0.2">
      <c r="C5892" s="19"/>
      <c r="D5892" s="19"/>
      <c r="E5892" s="19"/>
      <c r="F5892" s="20"/>
      <c r="G5892" s="19"/>
      <c r="H5892" s="19"/>
      <c r="I5892" s="19"/>
      <c r="J5892" s="21"/>
      <c r="K5892" s="19"/>
    </row>
    <row r="5893" spans="3:11" x14ac:dyDescent="0.2">
      <c r="C5893" s="19"/>
      <c r="D5893" s="19"/>
      <c r="E5893" s="19"/>
      <c r="F5893" s="20"/>
      <c r="G5893" s="19"/>
      <c r="H5893" s="19"/>
      <c r="I5893" s="19"/>
      <c r="J5893" s="21"/>
      <c r="K5893" s="19"/>
    </row>
    <row r="5894" spans="3:11" x14ac:dyDescent="0.2">
      <c r="C5894" s="19"/>
      <c r="D5894" s="19"/>
      <c r="E5894" s="19"/>
      <c r="F5894" s="20"/>
      <c r="G5894" s="19"/>
      <c r="H5894" s="19"/>
      <c r="I5894" s="19"/>
      <c r="J5894" s="21"/>
      <c r="K5894" s="19"/>
    </row>
    <row r="5895" spans="3:11" x14ac:dyDescent="0.2">
      <c r="C5895" s="19"/>
      <c r="D5895" s="19"/>
      <c r="E5895" s="19"/>
      <c r="F5895" s="20"/>
      <c r="G5895" s="19"/>
      <c r="H5895" s="19"/>
      <c r="I5895" s="19"/>
      <c r="J5895" s="21"/>
      <c r="K5895" s="19"/>
    </row>
    <row r="5896" spans="3:11" x14ac:dyDescent="0.2">
      <c r="C5896" s="19"/>
      <c r="D5896" s="19"/>
      <c r="E5896" s="19"/>
      <c r="F5896" s="20"/>
      <c r="G5896" s="19"/>
      <c r="H5896" s="19"/>
      <c r="I5896" s="19"/>
      <c r="J5896" s="21"/>
      <c r="K5896" s="19"/>
    </row>
    <row r="5897" spans="3:11" x14ac:dyDescent="0.2">
      <c r="C5897" s="19"/>
      <c r="D5897" s="19"/>
      <c r="E5897" s="19"/>
      <c r="F5897" s="20"/>
      <c r="G5897" s="19"/>
      <c r="H5897" s="19"/>
      <c r="I5897" s="19"/>
      <c r="J5897" s="21"/>
      <c r="K5897" s="19"/>
    </row>
    <row r="5898" spans="3:11" x14ac:dyDescent="0.2">
      <c r="C5898" s="19"/>
      <c r="D5898" s="19"/>
      <c r="E5898" s="19"/>
      <c r="F5898" s="20"/>
      <c r="G5898" s="19"/>
      <c r="H5898" s="19"/>
      <c r="I5898" s="19"/>
      <c r="J5898" s="21"/>
      <c r="K5898" s="19"/>
    </row>
    <row r="5899" spans="3:11" x14ac:dyDescent="0.2">
      <c r="C5899" s="19"/>
      <c r="D5899" s="19"/>
      <c r="E5899" s="19"/>
      <c r="F5899" s="20"/>
      <c r="G5899" s="19"/>
      <c r="H5899" s="19"/>
      <c r="I5899" s="19"/>
      <c r="J5899" s="21"/>
      <c r="K5899" s="19"/>
    </row>
    <row r="5900" spans="3:11" x14ac:dyDescent="0.2">
      <c r="C5900" s="19"/>
      <c r="D5900" s="19"/>
      <c r="E5900" s="19"/>
      <c r="F5900" s="20"/>
      <c r="G5900" s="19"/>
      <c r="H5900" s="19"/>
      <c r="I5900" s="19"/>
      <c r="J5900" s="21"/>
      <c r="K5900" s="19"/>
    </row>
    <row r="5901" spans="3:11" x14ac:dyDescent="0.2">
      <c r="C5901" s="19"/>
      <c r="D5901" s="19"/>
      <c r="E5901" s="19"/>
      <c r="F5901" s="20"/>
      <c r="G5901" s="19"/>
      <c r="H5901" s="19"/>
      <c r="I5901" s="19"/>
      <c r="J5901" s="19"/>
      <c r="K5901" s="19"/>
    </row>
    <row r="5902" spans="3:11" x14ac:dyDescent="0.2">
      <c r="C5902" s="19"/>
      <c r="D5902" s="19"/>
      <c r="E5902" s="19"/>
      <c r="F5902" s="20"/>
      <c r="G5902" s="19"/>
      <c r="H5902" s="19"/>
      <c r="I5902" s="19"/>
      <c r="J5902" s="21"/>
      <c r="K5902" s="19"/>
    </row>
    <row r="5903" spans="3:11" x14ac:dyDescent="0.2">
      <c r="C5903" s="19"/>
      <c r="D5903" s="19"/>
      <c r="E5903" s="19"/>
      <c r="F5903" s="20"/>
      <c r="G5903" s="19"/>
      <c r="H5903" s="19"/>
      <c r="I5903" s="19"/>
      <c r="J5903" s="21"/>
      <c r="K5903" s="19"/>
    </row>
    <row r="5904" spans="3:11" x14ac:dyDescent="0.2">
      <c r="C5904" s="19"/>
      <c r="D5904" s="19"/>
      <c r="E5904" s="19"/>
      <c r="F5904" s="20"/>
      <c r="G5904" s="19"/>
      <c r="H5904" s="19"/>
      <c r="I5904" s="19"/>
      <c r="J5904" s="21"/>
      <c r="K5904" s="19"/>
    </row>
    <row r="5905" spans="3:11" x14ac:dyDescent="0.2">
      <c r="C5905" s="19"/>
      <c r="D5905" s="19"/>
      <c r="E5905" s="19"/>
      <c r="F5905" s="20"/>
      <c r="G5905" s="19"/>
      <c r="H5905" s="19"/>
      <c r="I5905" s="19"/>
      <c r="J5905" s="21"/>
      <c r="K5905" s="19"/>
    </row>
    <row r="5906" spans="3:11" x14ac:dyDescent="0.2">
      <c r="C5906" s="19"/>
      <c r="D5906" s="19"/>
      <c r="E5906" s="19"/>
      <c r="F5906" s="20"/>
      <c r="G5906" s="19"/>
      <c r="H5906" s="19"/>
      <c r="I5906" s="19"/>
      <c r="J5906" s="21"/>
      <c r="K5906" s="19"/>
    </row>
    <row r="5907" spans="3:11" x14ac:dyDescent="0.2">
      <c r="C5907" s="19"/>
      <c r="D5907" s="19"/>
      <c r="E5907" s="19"/>
      <c r="F5907" s="20"/>
      <c r="G5907" s="19"/>
      <c r="H5907" s="19"/>
      <c r="I5907" s="19"/>
      <c r="J5907" s="21"/>
      <c r="K5907" s="19"/>
    </row>
    <row r="5908" spans="3:11" x14ac:dyDescent="0.2">
      <c r="C5908" s="19"/>
      <c r="D5908" s="19"/>
      <c r="E5908" s="19"/>
      <c r="F5908" s="20"/>
      <c r="G5908" s="19"/>
      <c r="H5908" s="19"/>
      <c r="I5908" s="19"/>
      <c r="J5908" s="21"/>
      <c r="K5908" s="19"/>
    </row>
    <row r="5909" spans="3:11" x14ac:dyDescent="0.2">
      <c r="C5909" s="19"/>
      <c r="D5909" s="19"/>
      <c r="E5909" s="19"/>
      <c r="F5909" s="20"/>
      <c r="G5909" s="19"/>
      <c r="H5909" s="19"/>
      <c r="I5909" s="19"/>
      <c r="J5909" s="21"/>
      <c r="K5909" s="19"/>
    </row>
    <row r="5910" spans="3:11" x14ac:dyDescent="0.2">
      <c r="C5910" s="19"/>
      <c r="D5910" s="19"/>
      <c r="E5910" s="19"/>
      <c r="F5910" s="20"/>
      <c r="G5910" s="19"/>
      <c r="H5910" s="19"/>
      <c r="I5910" s="19"/>
      <c r="J5910" s="21"/>
      <c r="K5910" s="19"/>
    </row>
    <row r="5911" spans="3:11" x14ac:dyDescent="0.2">
      <c r="C5911" s="19"/>
      <c r="D5911" s="19"/>
      <c r="E5911" s="19"/>
      <c r="F5911" s="20"/>
      <c r="G5911" s="19"/>
      <c r="H5911" s="19"/>
      <c r="I5911" s="19"/>
      <c r="J5911" s="21"/>
      <c r="K5911" s="19"/>
    </row>
    <row r="5912" spans="3:11" x14ac:dyDescent="0.2">
      <c r="C5912" s="19"/>
      <c r="D5912" s="19"/>
      <c r="E5912" s="19"/>
      <c r="F5912" s="20"/>
      <c r="G5912" s="19"/>
      <c r="H5912" s="19"/>
      <c r="I5912" s="19"/>
      <c r="J5912" s="21"/>
      <c r="K5912" s="19"/>
    </row>
    <row r="5913" spans="3:11" x14ac:dyDescent="0.2">
      <c r="C5913" s="19"/>
      <c r="D5913" s="19"/>
      <c r="E5913" s="19"/>
      <c r="F5913" s="20"/>
      <c r="G5913" s="19"/>
      <c r="H5913" s="19"/>
      <c r="I5913" s="19"/>
      <c r="J5913" s="21"/>
      <c r="K5913" s="19"/>
    </row>
    <row r="5914" spans="3:11" x14ac:dyDescent="0.2">
      <c r="C5914" s="19"/>
      <c r="D5914" s="19"/>
      <c r="E5914" s="19"/>
      <c r="F5914" s="20"/>
      <c r="G5914" s="19"/>
      <c r="H5914" s="19"/>
      <c r="I5914" s="19"/>
      <c r="J5914" s="21"/>
      <c r="K5914" s="19"/>
    </row>
    <row r="5915" spans="3:11" x14ac:dyDescent="0.2">
      <c r="C5915" s="19"/>
      <c r="D5915" s="19"/>
      <c r="E5915" s="19"/>
      <c r="F5915" s="20"/>
      <c r="G5915" s="19"/>
      <c r="H5915" s="19"/>
      <c r="I5915" s="19"/>
      <c r="J5915" s="21"/>
      <c r="K5915" s="19"/>
    </row>
    <row r="5916" spans="3:11" x14ac:dyDescent="0.2">
      <c r="C5916" s="19"/>
      <c r="D5916" s="19"/>
      <c r="E5916" s="19"/>
      <c r="F5916" s="20"/>
      <c r="G5916" s="19"/>
      <c r="H5916" s="19"/>
      <c r="I5916" s="19"/>
      <c r="J5916" s="21"/>
      <c r="K5916" s="19"/>
    </row>
    <row r="5917" spans="3:11" x14ac:dyDescent="0.2">
      <c r="C5917" s="19"/>
      <c r="D5917" s="19"/>
      <c r="E5917" s="19"/>
      <c r="F5917" s="20"/>
      <c r="G5917" s="19"/>
      <c r="H5917" s="19"/>
      <c r="I5917" s="19"/>
      <c r="J5917" s="21"/>
      <c r="K5917" s="19"/>
    </row>
    <row r="5918" spans="3:11" x14ac:dyDescent="0.2">
      <c r="C5918" s="19"/>
      <c r="D5918" s="19"/>
      <c r="E5918" s="19"/>
      <c r="F5918" s="20"/>
      <c r="G5918" s="19"/>
      <c r="H5918" s="19"/>
      <c r="I5918" s="19"/>
      <c r="J5918" s="21"/>
      <c r="K5918" s="19"/>
    </row>
    <row r="5919" spans="3:11" x14ac:dyDescent="0.2">
      <c r="C5919" s="19"/>
      <c r="D5919" s="19"/>
      <c r="E5919" s="19"/>
      <c r="F5919" s="20"/>
      <c r="G5919" s="19"/>
      <c r="H5919" s="19"/>
      <c r="I5919" s="19"/>
      <c r="J5919" s="21"/>
      <c r="K5919" s="19"/>
    </row>
    <row r="5920" spans="3:11" x14ac:dyDescent="0.2">
      <c r="C5920" s="19"/>
      <c r="D5920" s="19"/>
      <c r="E5920" s="19"/>
      <c r="F5920" s="20"/>
      <c r="G5920" s="19"/>
      <c r="H5920" s="19"/>
      <c r="I5920" s="19"/>
      <c r="J5920" s="21"/>
      <c r="K5920" s="19"/>
    </row>
    <row r="5921" spans="3:11" x14ac:dyDescent="0.2">
      <c r="C5921" s="19"/>
      <c r="D5921" s="19"/>
      <c r="E5921" s="19"/>
      <c r="F5921" s="20"/>
      <c r="G5921" s="19"/>
      <c r="H5921" s="19"/>
      <c r="I5921" s="19"/>
      <c r="J5921" s="21"/>
      <c r="K5921" s="19"/>
    </row>
    <row r="5922" spans="3:11" x14ac:dyDescent="0.2">
      <c r="C5922" s="19"/>
      <c r="D5922" s="19"/>
      <c r="E5922" s="19"/>
      <c r="F5922" s="20"/>
      <c r="G5922" s="19"/>
      <c r="H5922" s="19"/>
      <c r="I5922" s="19"/>
      <c r="J5922" s="21"/>
      <c r="K5922" s="19"/>
    </row>
    <row r="5923" spans="3:11" x14ac:dyDescent="0.2">
      <c r="C5923" s="19"/>
      <c r="D5923" s="19"/>
      <c r="E5923" s="19"/>
      <c r="F5923" s="20"/>
      <c r="G5923" s="19"/>
      <c r="H5923" s="19"/>
      <c r="I5923" s="19"/>
      <c r="J5923" s="21"/>
      <c r="K5923" s="19"/>
    </row>
    <row r="5924" spans="3:11" x14ac:dyDescent="0.2">
      <c r="C5924" s="19"/>
      <c r="D5924" s="19"/>
      <c r="E5924" s="19"/>
      <c r="F5924" s="20"/>
      <c r="G5924" s="19"/>
      <c r="H5924" s="19"/>
      <c r="I5924" s="19"/>
      <c r="J5924" s="21"/>
      <c r="K5924" s="19"/>
    </row>
    <row r="5925" spans="3:11" x14ac:dyDescent="0.2">
      <c r="C5925" s="19"/>
      <c r="D5925" s="19"/>
      <c r="E5925" s="19"/>
      <c r="F5925" s="20"/>
      <c r="G5925" s="19"/>
      <c r="H5925" s="19"/>
      <c r="I5925" s="19"/>
      <c r="J5925" s="21"/>
      <c r="K5925" s="19"/>
    </row>
    <row r="5926" spans="3:11" x14ac:dyDescent="0.2">
      <c r="C5926" s="19"/>
      <c r="D5926" s="19"/>
      <c r="E5926" s="19"/>
      <c r="F5926" s="20"/>
      <c r="G5926" s="19"/>
      <c r="H5926" s="19"/>
      <c r="I5926" s="19"/>
      <c r="J5926" s="21"/>
      <c r="K5926" s="19"/>
    </row>
    <row r="5927" spans="3:11" x14ac:dyDescent="0.2">
      <c r="C5927" s="19"/>
      <c r="D5927" s="19"/>
      <c r="E5927" s="19"/>
      <c r="F5927" s="20"/>
      <c r="G5927" s="19"/>
      <c r="H5927" s="19"/>
      <c r="I5927" s="19"/>
      <c r="J5927" s="21"/>
      <c r="K5927" s="19"/>
    </row>
    <row r="5928" spans="3:11" x14ac:dyDescent="0.2">
      <c r="C5928" s="19"/>
      <c r="D5928" s="19"/>
      <c r="E5928" s="19"/>
      <c r="F5928" s="20"/>
      <c r="G5928" s="19"/>
      <c r="H5928" s="19"/>
      <c r="I5928" s="19"/>
      <c r="J5928" s="21"/>
      <c r="K5928" s="19"/>
    </row>
    <row r="5929" spans="3:11" x14ac:dyDescent="0.2">
      <c r="C5929" s="19"/>
      <c r="D5929" s="19"/>
      <c r="E5929" s="19"/>
      <c r="F5929" s="20"/>
      <c r="G5929" s="19"/>
      <c r="H5929" s="19"/>
      <c r="I5929" s="19"/>
      <c r="J5929" s="21"/>
      <c r="K5929" s="19"/>
    </row>
    <row r="5930" spans="3:11" x14ac:dyDescent="0.2">
      <c r="C5930" s="19"/>
      <c r="D5930" s="19"/>
      <c r="E5930" s="19"/>
      <c r="F5930" s="20"/>
      <c r="G5930" s="19"/>
      <c r="H5930" s="19"/>
      <c r="I5930" s="19"/>
      <c r="J5930" s="21"/>
      <c r="K5930" s="19"/>
    </row>
    <row r="5931" spans="3:11" x14ac:dyDescent="0.2">
      <c r="C5931" s="19"/>
      <c r="D5931" s="19"/>
      <c r="E5931" s="19"/>
      <c r="F5931" s="20"/>
      <c r="G5931" s="19"/>
      <c r="H5931" s="19"/>
      <c r="I5931" s="19"/>
      <c r="J5931" s="21"/>
      <c r="K5931" s="19"/>
    </row>
    <row r="5932" spans="3:11" x14ac:dyDescent="0.2">
      <c r="C5932" s="19"/>
      <c r="D5932" s="19"/>
      <c r="E5932" s="19"/>
      <c r="F5932" s="20"/>
      <c r="G5932" s="19"/>
      <c r="H5932" s="19"/>
      <c r="I5932" s="19"/>
      <c r="J5932" s="21"/>
      <c r="K5932" s="19"/>
    </row>
    <row r="5933" spans="3:11" x14ac:dyDescent="0.2">
      <c r="C5933" s="19"/>
      <c r="D5933" s="19"/>
      <c r="E5933" s="19"/>
      <c r="F5933" s="20"/>
      <c r="G5933" s="19"/>
      <c r="H5933" s="19"/>
      <c r="I5933" s="19"/>
      <c r="J5933" s="19"/>
      <c r="K5933" s="19"/>
    </row>
    <row r="5934" spans="3:11" x14ac:dyDescent="0.2">
      <c r="C5934" s="19"/>
      <c r="D5934" s="19"/>
      <c r="E5934" s="19"/>
      <c r="F5934" s="20"/>
      <c r="G5934" s="19"/>
      <c r="H5934" s="19"/>
      <c r="I5934" s="19"/>
      <c r="J5934" s="21"/>
      <c r="K5934" s="19"/>
    </row>
    <row r="5935" spans="3:11" x14ac:dyDescent="0.2">
      <c r="C5935" s="19"/>
      <c r="D5935" s="19"/>
      <c r="E5935" s="19"/>
      <c r="F5935" s="20"/>
      <c r="G5935" s="19"/>
      <c r="H5935" s="19"/>
      <c r="I5935" s="19"/>
      <c r="J5935" s="21"/>
      <c r="K5935" s="19"/>
    </row>
    <row r="5936" spans="3:11" x14ac:dyDescent="0.2">
      <c r="C5936" s="19"/>
      <c r="D5936" s="19"/>
      <c r="E5936" s="19"/>
      <c r="F5936" s="20"/>
      <c r="G5936" s="19"/>
      <c r="H5936" s="19"/>
      <c r="I5936" s="19"/>
      <c r="J5936" s="21"/>
      <c r="K5936" s="19"/>
    </row>
    <row r="5937" spans="3:11" x14ac:dyDescent="0.2">
      <c r="C5937" s="19"/>
      <c r="D5937" s="19"/>
      <c r="E5937" s="19"/>
      <c r="F5937" s="20"/>
      <c r="G5937" s="19"/>
      <c r="H5937" s="19"/>
      <c r="I5937" s="19"/>
      <c r="J5937" s="21"/>
      <c r="K5937" s="19"/>
    </row>
    <row r="5938" spans="3:11" x14ac:dyDescent="0.2">
      <c r="C5938" s="19"/>
      <c r="D5938" s="19"/>
      <c r="E5938" s="19"/>
      <c r="F5938" s="20"/>
      <c r="G5938" s="19"/>
      <c r="H5938" s="19"/>
      <c r="I5938" s="19"/>
      <c r="J5938" s="21"/>
      <c r="K5938" s="19"/>
    </row>
    <row r="5939" spans="3:11" x14ac:dyDescent="0.2">
      <c r="C5939" s="19"/>
      <c r="D5939" s="19"/>
      <c r="E5939" s="19"/>
      <c r="F5939" s="20"/>
      <c r="G5939" s="19"/>
      <c r="H5939" s="19"/>
      <c r="I5939" s="19"/>
      <c r="J5939" s="21"/>
      <c r="K5939" s="19"/>
    </row>
    <row r="5940" spans="3:11" x14ac:dyDescent="0.2">
      <c r="C5940" s="19"/>
      <c r="D5940" s="19"/>
      <c r="E5940" s="19"/>
      <c r="F5940" s="20"/>
      <c r="G5940" s="19"/>
      <c r="H5940" s="19"/>
      <c r="I5940" s="19"/>
      <c r="J5940" s="21"/>
      <c r="K5940" s="19"/>
    </row>
    <row r="5941" spans="3:11" x14ac:dyDescent="0.2">
      <c r="C5941" s="19"/>
      <c r="D5941" s="19"/>
      <c r="E5941" s="19"/>
      <c r="F5941" s="20"/>
      <c r="G5941" s="19"/>
      <c r="H5941" s="19"/>
      <c r="I5941" s="19"/>
      <c r="J5941" s="21"/>
      <c r="K5941" s="19"/>
    </row>
    <row r="5942" spans="3:11" x14ac:dyDescent="0.2">
      <c r="C5942" s="19"/>
      <c r="D5942" s="19"/>
      <c r="E5942" s="19"/>
      <c r="F5942" s="20"/>
      <c r="G5942" s="19"/>
      <c r="H5942" s="19"/>
      <c r="I5942" s="19"/>
      <c r="J5942" s="21"/>
      <c r="K5942" s="19"/>
    </row>
    <row r="5943" spans="3:11" x14ac:dyDescent="0.2">
      <c r="C5943" s="19"/>
      <c r="D5943" s="19"/>
      <c r="E5943" s="19"/>
      <c r="F5943" s="20"/>
      <c r="G5943" s="19"/>
      <c r="H5943" s="19"/>
      <c r="I5943" s="19"/>
      <c r="J5943" s="21"/>
      <c r="K5943" s="19"/>
    </row>
    <row r="5944" spans="3:11" x14ac:dyDescent="0.2">
      <c r="C5944" s="19"/>
      <c r="D5944" s="19"/>
      <c r="E5944" s="19"/>
      <c r="F5944" s="20"/>
      <c r="G5944" s="19"/>
      <c r="H5944" s="19"/>
      <c r="I5944" s="19"/>
      <c r="J5944" s="21"/>
      <c r="K5944" s="19"/>
    </row>
    <row r="5945" spans="3:11" x14ac:dyDescent="0.2">
      <c r="C5945" s="19"/>
      <c r="D5945" s="19"/>
      <c r="E5945" s="19"/>
      <c r="F5945" s="20"/>
      <c r="G5945" s="19"/>
      <c r="H5945" s="19"/>
      <c r="I5945" s="19"/>
      <c r="J5945" s="21"/>
      <c r="K5945" s="19"/>
    </row>
    <row r="5946" spans="3:11" x14ac:dyDescent="0.2">
      <c r="C5946" s="19"/>
      <c r="D5946" s="19"/>
      <c r="E5946" s="19"/>
      <c r="F5946" s="20"/>
      <c r="G5946" s="19"/>
      <c r="H5946" s="19"/>
      <c r="I5946" s="19"/>
      <c r="J5946" s="21"/>
      <c r="K5946" s="19"/>
    </row>
    <row r="5947" spans="3:11" x14ac:dyDescent="0.2">
      <c r="C5947" s="19"/>
      <c r="D5947" s="19"/>
      <c r="E5947" s="19"/>
      <c r="F5947" s="20"/>
      <c r="G5947" s="19"/>
      <c r="H5947" s="19"/>
      <c r="I5947" s="19"/>
      <c r="J5947" s="21"/>
      <c r="K5947" s="19"/>
    </row>
    <row r="5948" spans="3:11" x14ac:dyDescent="0.2">
      <c r="C5948" s="19"/>
      <c r="D5948" s="19"/>
      <c r="E5948" s="19"/>
      <c r="F5948" s="20"/>
      <c r="G5948" s="19"/>
      <c r="H5948" s="19"/>
      <c r="I5948" s="19"/>
      <c r="J5948" s="21"/>
      <c r="K5948" s="19"/>
    </row>
    <row r="5949" spans="3:11" x14ac:dyDescent="0.2">
      <c r="C5949" s="19"/>
      <c r="D5949" s="19"/>
      <c r="E5949" s="19"/>
      <c r="F5949" s="20"/>
      <c r="G5949" s="19"/>
      <c r="H5949" s="19"/>
      <c r="I5949" s="19"/>
      <c r="J5949" s="21"/>
      <c r="K5949" s="19"/>
    </row>
    <row r="5950" spans="3:11" x14ac:dyDescent="0.2">
      <c r="C5950" s="19"/>
      <c r="D5950" s="19"/>
      <c r="E5950" s="19"/>
      <c r="F5950" s="20"/>
      <c r="G5950" s="19"/>
      <c r="H5950" s="19"/>
      <c r="I5950" s="19"/>
      <c r="J5950" s="21"/>
      <c r="K5950" s="19"/>
    </row>
    <row r="5951" spans="3:11" x14ac:dyDescent="0.2">
      <c r="C5951" s="19"/>
      <c r="D5951" s="19"/>
      <c r="E5951" s="19"/>
      <c r="F5951" s="20"/>
      <c r="G5951" s="19"/>
      <c r="H5951" s="19"/>
      <c r="I5951" s="19"/>
      <c r="J5951" s="21"/>
      <c r="K5951" s="19"/>
    </row>
    <row r="5952" spans="3:11" x14ac:dyDescent="0.2">
      <c r="C5952" s="19"/>
      <c r="D5952" s="19"/>
      <c r="E5952" s="19"/>
      <c r="F5952" s="20"/>
      <c r="G5952" s="19"/>
      <c r="H5952" s="19"/>
      <c r="I5952" s="19"/>
      <c r="J5952" s="21"/>
      <c r="K5952" s="19"/>
    </row>
    <row r="5953" spans="3:11" x14ac:dyDescent="0.2">
      <c r="C5953" s="19"/>
      <c r="D5953" s="19"/>
      <c r="E5953" s="19"/>
      <c r="F5953" s="20"/>
      <c r="G5953" s="19"/>
      <c r="H5953" s="19"/>
      <c r="I5953" s="19"/>
      <c r="J5953" s="21"/>
      <c r="K5953" s="19"/>
    </row>
    <row r="5954" spans="3:11" x14ac:dyDescent="0.2">
      <c r="C5954" s="19"/>
      <c r="D5954" s="19"/>
      <c r="E5954" s="19"/>
      <c r="F5954" s="20"/>
      <c r="G5954" s="19"/>
      <c r="H5954" s="19"/>
      <c r="I5954" s="19"/>
      <c r="J5954" s="21"/>
      <c r="K5954" s="19"/>
    </row>
    <row r="5955" spans="3:11" x14ac:dyDescent="0.2">
      <c r="C5955" s="19"/>
      <c r="D5955" s="19"/>
      <c r="E5955" s="19"/>
      <c r="F5955" s="20"/>
      <c r="G5955" s="19"/>
      <c r="H5955" s="19"/>
      <c r="I5955" s="19"/>
      <c r="J5955" s="21"/>
      <c r="K5955" s="19"/>
    </row>
    <row r="5956" spans="3:11" x14ac:dyDescent="0.2">
      <c r="C5956" s="19"/>
      <c r="D5956" s="19"/>
      <c r="E5956" s="19"/>
      <c r="F5956" s="20"/>
      <c r="G5956" s="19"/>
      <c r="H5956" s="19"/>
      <c r="I5956" s="19"/>
      <c r="J5956" s="21"/>
      <c r="K5956" s="19"/>
    </row>
    <row r="5957" spans="3:11" x14ac:dyDescent="0.2">
      <c r="C5957" s="19"/>
      <c r="D5957" s="19"/>
      <c r="E5957" s="19"/>
      <c r="F5957" s="20"/>
      <c r="G5957" s="19"/>
      <c r="H5957" s="19"/>
      <c r="I5957" s="19"/>
      <c r="J5957" s="21"/>
      <c r="K5957" s="19"/>
    </row>
    <row r="5958" spans="3:11" x14ac:dyDescent="0.2">
      <c r="C5958" s="19"/>
      <c r="D5958" s="19"/>
      <c r="E5958" s="19"/>
      <c r="F5958" s="20"/>
      <c r="G5958" s="19"/>
      <c r="H5958" s="19"/>
      <c r="I5958" s="19"/>
      <c r="J5958" s="21"/>
      <c r="K5958" s="19"/>
    </row>
    <row r="5959" spans="3:11" x14ac:dyDescent="0.2">
      <c r="C5959" s="19"/>
      <c r="D5959" s="19"/>
      <c r="E5959" s="19"/>
      <c r="F5959" s="20"/>
      <c r="G5959" s="19"/>
      <c r="H5959" s="19"/>
      <c r="I5959" s="19"/>
      <c r="J5959" s="21"/>
      <c r="K5959" s="19"/>
    </row>
    <row r="5960" spans="3:11" x14ac:dyDescent="0.2">
      <c r="C5960" s="19"/>
      <c r="D5960" s="19"/>
      <c r="E5960" s="19"/>
      <c r="F5960" s="20"/>
      <c r="G5960" s="19"/>
      <c r="H5960" s="19"/>
      <c r="I5960" s="19"/>
      <c r="J5960" s="21"/>
      <c r="K5960" s="19"/>
    </row>
    <row r="5961" spans="3:11" x14ac:dyDescent="0.2">
      <c r="C5961" s="19"/>
      <c r="D5961" s="19"/>
      <c r="E5961" s="19"/>
      <c r="F5961" s="20"/>
      <c r="G5961" s="19"/>
      <c r="H5961" s="19"/>
      <c r="I5961" s="19"/>
      <c r="J5961" s="21"/>
      <c r="K5961" s="19"/>
    </row>
    <row r="5962" spans="3:11" x14ac:dyDescent="0.2">
      <c r="C5962" s="19"/>
      <c r="D5962" s="19"/>
      <c r="E5962" s="19"/>
      <c r="F5962" s="20"/>
      <c r="G5962" s="19"/>
      <c r="H5962" s="19"/>
      <c r="I5962" s="19"/>
      <c r="J5962" s="21"/>
      <c r="K5962" s="19"/>
    </row>
    <row r="5963" spans="3:11" x14ac:dyDescent="0.2">
      <c r="C5963" s="19"/>
      <c r="D5963" s="19"/>
      <c r="E5963" s="19"/>
      <c r="F5963" s="20"/>
      <c r="G5963" s="19"/>
      <c r="H5963" s="19"/>
      <c r="I5963" s="19"/>
      <c r="J5963" s="21"/>
      <c r="K5963" s="19"/>
    </row>
    <row r="5964" spans="3:11" x14ac:dyDescent="0.2">
      <c r="C5964" s="19"/>
      <c r="D5964" s="19"/>
      <c r="E5964" s="19"/>
      <c r="F5964" s="20"/>
      <c r="G5964" s="19"/>
      <c r="H5964" s="19"/>
      <c r="I5964" s="19"/>
      <c r="J5964" s="21"/>
      <c r="K5964" s="19"/>
    </row>
    <row r="5965" spans="3:11" x14ac:dyDescent="0.2">
      <c r="C5965" s="19"/>
      <c r="D5965" s="19"/>
      <c r="E5965" s="19"/>
      <c r="F5965" s="20"/>
      <c r="G5965" s="19"/>
      <c r="H5965" s="19"/>
      <c r="I5965" s="19"/>
      <c r="J5965" s="21"/>
      <c r="K5965" s="19"/>
    </row>
    <row r="5966" spans="3:11" x14ac:dyDescent="0.2">
      <c r="C5966" s="19"/>
      <c r="D5966" s="19"/>
      <c r="E5966" s="19"/>
      <c r="F5966" s="20"/>
      <c r="G5966" s="19"/>
      <c r="H5966" s="19"/>
      <c r="I5966" s="19"/>
      <c r="J5966" s="21"/>
      <c r="K5966" s="19"/>
    </row>
    <row r="5967" spans="3:11" x14ac:dyDescent="0.2">
      <c r="C5967" s="19"/>
      <c r="D5967" s="19"/>
      <c r="E5967" s="19"/>
      <c r="F5967" s="20"/>
      <c r="G5967" s="19"/>
      <c r="H5967" s="19"/>
      <c r="I5967" s="19"/>
      <c r="J5967" s="21"/>
      <c r="K5967" s="19"/>
    </row>
    <row r="5968" spans="3:11" x14ac:dyDescent="0.2">
      <c r="C5968" s="19"/>
      <c r="D5968" s="19"/>
      <c r="E5968" s="19"/>
      <c r="F5968" s="20"/>
      <c r="G5968" s="19"/>
      <c r="H5968" s="19"/>
      <c r="I5968" s="19"/>
      <c r="J5968" s="21"/>
      <c r="K5968" s="19"/>
    </row>
    <row r="5969" spans="3:11" x14ac:dyDescent="0.2">
      <c r="C5969" s="19"/>
      <c r="D5969" s="19"/>
      <c r="E5969" s="19"/>
      <c r="F5969" s="20"/>
      <c r="G5969" s="19"/>
      <c r="H5969" s="19"/>
      <c r="I5969" s="19"/>
      <c r="J5969" s="21"/>
      <c r="K5969" s="19"/>
    </row>
    <row r="5970" spans="3:11" x14ac:dyDescent="0.2">
      <c r="C5970" s="19"/>
      <c r="D5970" s="19"/>
      <c r="E5970" s="19"/>
      <c r="F5970" s="20"/>
      <c r="G5970" s="19"/>
      <c r="H5970" s="19"/>
      <c r="I5970" s="19"/>
      <c r="J5970" s="21"/>
      <c r="K5970" s="19"/>
    </row>
    <row r="5971" spans="3:11" x14ac:dyDescent="0.2">
      <c r="C5971" s="19"/>
      <c r="D5971" s="19"/>
      <c r="E5971" s="19"/>
      <c r="F5971" s="20"/>
      <c r="G5971" s="19"/>
      <c r="H5971" s="19"/>
      <c r="I5971" s="19"/>
      <c r="J5971" s="21"/>
      <c r="K5971" s="19"/>
    </row>
    <row r="5972" spans="3:11" x14ac:dyDescent="0.2">
      <c r="C5972" s="19"/>
      <c r="D5972" s="19"/>
      <c r="E5972" s="19"/>
      <c r="F5972" s="20"/>
      <c r="G5972" s="19"/>
      <c r="H5972" s="19"/>
      <c r="I5972" s="19"/>
      <c r="J5972" s="21"/>
      <c r="K5972" s="19"/>
    </row>
    <row r="5973" spans="3:11" x14ac:dyDescent="0.2">
      <c r="C5973" s="19"/>
      <c r="D5973" s="19"/>
      <c r="E5973" s="19"/>
      <c r="F5973" s="20"/>
      <c r="G5973" s="19"/>
      <c r="H5973" s="19"/>
      <c r="I5973" s="19"/>
      <c r="J5973" s="21"/>
      <c r="K5973" s="19"/>
    </row>
    <row r="5974" spans="3:11" x14ac:dyDescent="0.2">
      <c r="C5974" s="19"/>
      <c r="D5974" s="19"/>
      <c r="E5974" s="19"/>
      <c r="F5974" s="20"/>
      <c r="G5974" s="19"/>
      <c r="H5974" s="19"/>
      <c r="I5974" s="19"/>
      <c r="J5974" s="21"/>
      <c r="K5974" s="19"/>
    </row>
    <row r="5975" spans="3:11" x14ac:dyDescent="0.2">
      <c r="C5975" s="19"/>
      <c r="D5975" s="19"/>
      <c r="E5975" s="19"/>
      <c r="F5975" s="20"/>
      <c r="G5975" s="19"/>
      <c r="H5975" s="19"/>
      <c r="I5975" s="19"/>
      <c r="J5975" s="21"/>
      <c r="K5975" s="19"/>
    </row>
    <row r="5976" spans="3:11" x14ac:dyDescent="0.2">
      <c r="C5976" s="19"/>
      <c r="D5976" s="19"/>
      <c r="E5976" s="19"/>
      <c r="F5976" s="20"/>
      <c r="G5976" s="19"/>
      <c r="H5976" s="19"/>
      <c r="I5976" s="19"/>
      <c r="J5976" s="21"/>
      <c r="K5976" s="19"/>
    </row>
    <row r="5977" spans="3:11" x14ac:dyDescent="0.2">
      <c r="C5977" s="19"/>
      <c r="D5977" s="19"/>
      <c r="E5977" s="19"/>
      <c r="F5977" s="20"/>
      <c r="G5977" s="19"/>
      <c r="H5977" s="19"/>
      <c r="I5977" s="19"/>
      <c r="J5977" s="21"/>
      <c r="K5977" s="19"/>
    </row>
    <row r="5978" spans="3:11" x14ac:dyDescent="0.2">
      <c r="C5978" s="19"/>
      <c r="D5978" s="19"/>
      <c r="E5978" s="19"/>
      <c r="F5978" s="20"/>
      <c r="G5978" s="19"/>
      <c r="H5978" s="19"/>
      <c r="I5978" s="19"/>
      <c r="J5978" s="19"/>
      <c r="K5978" s="19"/>
    </row>
    <row r="5979" spans="3:11" x14ac:dyDescent="0.2">
      <c r="C5979" s="19"/>
      <c r="D5979" s="19"/>
      <c r="E5979" s="19"/>
      <c r="F5979" s="20"/>
      <c r="G5979" s="19"/>
      <c r="H5979" s="19"/>
      <c r="I5979" s="19"/>
      <c r="J5979" s="21"/>
      <c r="K5979" s="19"/>
    </row>
    <row r="5980" spans="3:11" x14ac:dyDescent="0.2">
      <c r="C5980" s="19"/>
      <c r="D5980" s="19"/>
      <c r="E5980" s="19"/>
      <c r="F5980" s="20"/>
      <c r="G5980" s="19"/>
      <c r="H5980" s="19"/>
      <c r="I5980" s="19"/>
      <c r="J5980" s="21"/>
      <c r="K5980" s="19"/>
    </row>
    <row r="5981" spans="3:11" x14ac:dyDescent="0.2">
      <c r="C5981" s="19"/>
      <c r="D5981" s="19"/>
      <c r="E5981" s="19"/>
      <c r="F5981" s="20"/>
      <c r="G5981" s="19"/>
      <c r="H5981" s="19"/>
      <c r="I5981" s="19"/>
      <c r="J5981" s="21"/>
      <c r="K5981" s="19"/>
    </row>
    <row r="5982" spans="3:11" x14ac:dyDescent="0.2">
      <c r="C5982" s="19"/>
      <c r="D5982" s="19"/>
      <c r="E5982" s="19"/>
      <c r="F5982" s="20"/>
      <c r="G5982" s="19"/>
      <c r="H5982" s="19"/>
      <c r="I5982" s="19"/>
      <c r="J5982" s="21"/>
      <c r="K5982" s="19"/>
    </row>
    <row r="5983" spans="3:11" x14ac:dyDescent="0.2">
      <c r="C5983" s="19"/>
      <c r="D5983" s="19"/>
      <c r="E5983" s="19"/>
      <c r="F5983" s="20"/>
      <c r="G5983" s="19"/>
      <c r="H5983" s="19"/>
      <c r="I5983" s="19"/>
      <c r="J5983" s="21"/>
      <c r="K5983" s="19"/>
    </row>
    <row r="5984" spans="3:11" x14ac:dyDescent="0.2">
      <c r="C5984" s="19"/>
      <c r="D5984" s="19"/>
      <c r="E5984" s="19"/>
      <c r="F5984" s="20"/>
      <c r="G5984" s="19"/>
      <c r="H5984" s="19"/>
      <c r="I5984" s="19"/>
      <c r="J5984" s="21"/>
      <c r="K5984" s="19"/>
    </row>
    <row r="5985" spans="3:11" x14ac:dyDescent="0.2">
      <c r="C5985" s="19"/>
      <c r="D5985" s="19"/>
      <c r="E5985" s="19"/>
      <c r="F5985" s="20"/>
      <c r="G5985" s="19"/>
      <c r="H5985" s="19"/>
      <c r="I5985" s="19"/>
      <c r="J5985" s="21"/>
      <c r="K5985" s="19"/>
    </row>
    <row r="5986" spans="3:11" x14ac:dyDescent="0.2">
      <c r="C5986" s="19"/>
      <c r="D5986" s="19"/>
      <c r="E5986" s="19"/>
      <c r="F5986" s="20"/>
      <c r="G5986" s="19"/>
      <c r="H5986" s="19"/>
      <c r="I5986" s="19"/>
      <c r="J5986" s="21"/>
      <c r="K5986" s="19"/>
    </row>
    <row r="5987" spans="3:11" x14ac:dyDescent="0.2">
      <c r="C5987" s="19"/>
      <c r="D5987" s="19"/>
      <c r="E5987" s="19"/>
      <c r="F5987" s="20"/>
      <c r="G5987" s="19"/>
      <c r="H5987" s="19"/>
      <c r="I5987" s="19"/>
      <c r="J5987" s="21"/>
      <c r="K5987" s="19"/>
    </row>
    <row r="5988" spans="3:11" x14ac:dyDescent="0.2">
      <c r="C5988" s="19"/>
      <c r="D5988" s="19"/>
      <c r="E5988" s="19"/>
      <c r="F5988" s="20"/>
      <c r="G5988" s="19"/>
      <c r="H5988" s="19"/>
      <c r="I5988" s="19"/>
      <c r="J5988" s="21"/>
      <c r="K5988" s="19"/>
    </row>
    <row r="5989" spans="3:11" x14ac:dyDescent="0.2">
      <c r="C5989" s="19"/>
      <c r="D5989" s="19"/>
      <c r="E5989" s="19"/>
      <c r="F5989" s="20"/>
      <c r="G5989" s="19"/>
      <c r="H5989" s="19"/>
      <c r="I5989" s="19"/>
      <c r="J5989" s="21"/>
      <c r="K5989" s="19"/>
    </row>
    <row r="5990" spans="3:11" x14ac:dyDescent="0.2">
      <c r="C5990" s="19"/>
      <c r="D5990" s="19"/>
      <c r="E5990" s="19"/>
      <c r="F5990" s="20"/>
      <c r="G5990" s="19"/>
      <c r="H5990" s="19"/>
      <c r="I5990" s="19"/>
      <c r="J5990" s="21"/>
      <c r="K5990" s="19"/>
    </row>
    <row r="5991" spans="3:11" x14ac:dyDescent="0.2">
      <c r="C5991" s="19"/>
      <c r="D5991" s="19"/>
      <c r="E5991" s="19"/>
      <c r="F5991" s="20"/>
      <c r="G5991" s="19"/>
      <c r="H5991" s="19"/>
      <c r="I5991" s="19"/>
      <c r="J5991" s="21"/>
      <c r="K5991" s="19"/>
    </row>
    <row r="5992" spans="3:11" x14ac:dyDescent="0.2">
      <c r="C5992" s="19"/>
      <c r="D5992" s="19"/>
      <c r="E5992" s="19"/>
      <c r="F5992" s="20"/>
      <c r="G5992" s="19"/>
      <c r="H5992" s="19"/>
      <c r="I5992" s="19"/>
      <c r="J5992" s="21"/>
      <c r="K5992" s="19"/>
    </row>
    <row r="5993" spans="3:11" x14ac:dyDescent="0.2">
      <c r="C5993" s="19"/>
      <c r="D5993" s="19"/>
      <c r="E5993" s="19"/>
      <c r="F5993" s="20"/>
      <c r="G5993" s="19"/>
      <c r="H5993" s="19"/>
      <c r="I5993" s="19"/>
      <c r="J5993" s="21"/>
      <c r="K5993" s="19"/>
    </row>
    <row r="5994" spans="3:11" x14ac:dyDescent="0.2">
      <c r="C5994" s="19"/>
      <c r="D5994" s="19"/>
      <c r="E5994" s="19"/>
      <c r="F5994" s="20"/>
      <c r="G5994" s="19"/>
      <c r="H5994" s="19"/>
      <c r="I5994" s="19"/>
      <c r="J5994" s="21"/>
      <c r="K5994" s="19"/>
    </row>
    <row r="5995" spans="3:11" x14ac:dyDescent="0.2">
      <c r="C5995" s="19"/>
      <c r="D5995" s="19"/>
      <c r="E5995" s="19"/>
      <c r="F5995" s="20"/>
      <c r="G5995" s="19"/>
      <c r="H5995" s="19"/>
      <c r="I5995" s="19"/>
      <c r="J5995" s="21"/>
      <c r="K5995" s="19"/>
    </row>
    <row r="5996" spans="3:11" x14ac:dyDescent="0.2">
      <c r="C5996" s="19"/>
      <c r="D5996" s="19"/>
      <c r="E5996" s="19"/>
      <c r="F5996" s="20"/>
      <c r="G5996" s="19"/>
      <c r="H5996" s="19"/>
      <c r="I5996" s="19"/>
      <c r="J5996" s="21"/>
      <c r="K5996" s="19"/>
    </row>
    <row r="5997" spans="3:11" x14ac:dyDescent="0.2">
      <c r="C5997" s="19"/>
      <c r="D5997" s="19"/>
      <c r="E5997" s="19"/>
      <c r="F5997" s="20"/>
      <c r="G5997" s="19"/>
      <c r="H5997" s="19"/>
      <c r="I5997" s="19"/>
      <c r="J5997" s="21"/>
      <c r="K5997" s="19"/>
    </row>
    <row r="5998" spans="3:11" x14ac:dyDescent="0.2">
      <c r="C5998" s="19"/>
      <c r="D5998" s="19"/>
      <c r="E5998" s="19"/>
      <c r="F5998" s="20"/>
      <c r="G5998" s="19"/>
      <c r="H5998" s="19"/>
      <c r="I5998" s="19"/>
      <c r="J5998" s="21"/>
      <c r="K5998" s="19"/>
    </row>
    <row r="5999" spans="3:11" x14ac:dyDescent="0.2">
      <c r="C5999" s="19"/>
      <c r="D5999" s="19"/>
      <c r="E5999" s="19"/>
      <c r="F5999" s="20"/>
      <c r="G5999" s="19"/>
      <c r="H5999" s="19"/>
      <c r="I5999" s="19"/>
      <c r="J5999" s="21"/>
      <c r="K5999" s="19"/>
    </row>
    <row r="6000" spans="3:11" x14ac:dyDescent="0.2">
      <c r="C6000" s="19"/>
      <c r="D6000" s="19"/>
      <c r="E6000" s="19"/>
      <c r="F6000" s="20"/>
      <c r="G6000" s="19"/>
      <c r="H6000" s="19"/>
      <c r="I6000" s="19"/>
      <c r="J6000" s="21"/>
      <c r="K6000" s="19"/>
    </row>
    <row r="6001" spans="3:11" x14ac:dyDescent="0.2">
      <c r="C6001" s="19"/>
      <c r="D6001" s="19"/>
      <c r="E6001" s="19"/>
      <c r="F6001" s="20"/>
      <c r="G6001" s="19"/>
      <c r="H6001" s="19"/>
      <c r="I6001" s="19"/>
      <c r="J6001" s="21"/>
      <c r="K6001" s="19"/>
    </row>
    <row r="6002" spans="3:11" x14ac:dyDescent="0.2">
      <c r="C6002" s="19"/>
      <c r="D6002" s="19"/>
      <c r="E6002" s="19"/>
      <c r="F6002" s="20"/>
      <c r="G6002" s="19"/>
      <c r="H6002" s="19"/>
      <c r="I6002" s="19"/>
      <c r="J6002" s="21"/>
      <c r="K6002" s="19"/>
    </row>
    <row r="6003" spans="3:11" x14ac:dyDescent="0.2">
      <c r="C6003" s="19"/>
      <c r="D6003" s="19"/>
      <c r="E6003" s="19"/>
      <c r="F6003" s="20"/>
      <c r="G6003" s="19"/>
      <c r="H6003" s="19"/>
      <c r="I6003" s="19"/>
      <c r="J6003" s="21"/>
      <c r="K6003" s="19"/>
    </row>
    <row r="6004" spans="3:11" x14ac:dyDescent="0.2">
      <c r="C6004" s="19"/>
      <c r="D6004" s="19"/>
      <c r="E6004" s="19"/>
      <c r="F6004" s="20"/>
      <c r="G6004" s="19"/>
      <c r="H6004" s="19"/>
      <c r="I6004" s="19"/>
      <c r="J6004" s="21"/>
      <c r="K6004" s="19"/>
    </row>
    <row r="6005" spans="3:11" x14ac:dyDescent="0.2">
      <c r="C6005" s="19"/>
      <c r="D6005" s="19"/>
      <c r="E6005" s="19"/>
      <c r="F6005" s="20"/>
      <c r="G6005" s="19"/>
      <c r="H6005" s="19"/>
      <c r="I6005" s="19"/>
      <c r="J6005" s="21"/>
      <c r="K6005" s="19"/>
    </row>
    <row r="6006" spans="3:11" x14ac:dyDescent="0.2">
      <c r="C6006" s="19"/>
      <c r="D6006" s="19"/>
      <c r="E6006" s="19"/>
      <c r="F6006" s="20"/>
      <c r="G6006" s="19"/>
      <c r="H6006" s="19"/>
      <c r="I6006" s="19"/>
      <c r="J6006" s="21"/>
      <c r="K6006" s="19"/>
    </row>
    <row r="6007" spans="3:11" x14ac:dyDescent="0.2">
      <c r="C6007" s="19"/>
      <c r="D6007" s="19"/>
      <c r="E6007" s="19"/>
      <c r="F6007" s="20"/>
      <c r="G6007" s="19"/>
      <c r="H6007" s="19"/>
      <c r="I6007" s="19"/>
      <c r="J6007" s="21"/>
      <c r="K6007" s="19"/>
    </row>
    <row r="6008" spans="3:11" x14ac:dyDescent="0.2">
      <c r="C6008" s="19"/>
      <c r="D6008" s="19"/>
      <c r="E6008" s="19"/>
      <c r="F6008" s="20"/>
      <c r="G6008" s="19"/>
      <c r="H6008" s="19"/>
      <c r="I6008" s="19"/>
      <c r="J6008" s="21"/>
      <c r="K6008" s="19"/>
    </row>
    <row r="6009" spans="3:11" x14ac:dyDescent="0.2">
      <c r="C6009" s="19"/>
      <c r="D6009" s="19"/>
      <c r="E6009" s="19"/>
      <c r="F6009" s="20"/>
      <c r="G6009" s="19"/>
      <c r="H6009" s="19"/>
      <c r="I6009" s="19"/>
      <c r="J6009" s="21"/>
      <c r="K6009" s="19"/>
    </row>
    <row r="6010" spans="3:11" x14ac:dyDescent="0.2">
      <c r="C6010" s="19"/>
      <c r="D6010" s="19"/>
      <c r="E6010" s="19"/>
      <c r="F6010" s="20"/>
      <c r="G6010" s="19"/>
      <c r="H6010" s="19"/>
      <c r="I6010" s="19"/>
      <c r="J6010" s="21"/>
      <c r="K6010" s="19"/>
    </row>
    <row r="6011" spans="3:11" x14ac:dyDescent="0.2">
      <c r="C6011" s="19"/>
      <c r="D6011" s="19"/>
      <c r="E6011" s="19"/>
      <c r="F6011" s="20"/>
      <c r="G6011" s="19"/>
      <c r="H6011" s="19"/>
      <c r="I6011" s="19"/>
      <c r="J6011" s="21"/>
      <c r="K6011" s="19"/>
    </row>
    <row r="6012" spans="3:11" x14ac:dyDescent="0.2">
      <c r="C6012" s="19"/>
      <c r="D6012" s="19"/>
      <c r="E6012" s="19"/>
      <c r="F6012" s="20"/>
      <c r="G6012" s="19"/>
      <c r="H6012" s="19"/>
      <c r="I6012" s="19"/>
      <c r="J6012" s="21"/>
      <c r="K6012" s="19"/>
    </row>
    <row r="6013" spans="3:11" x14ac:dyDescent="0.2">
      <c r="C6013" s="19"/>
      <c r="D6013" s="19"/>
      <c r="E6013" s="19"/>
      <c r="F6013" s="20"/>
      <c r="G6013" s="19"/>
      <c r="H6013" s="19"/>
      <c r="I6013" s="19"/>
      <c r="J6013" s="21"/>
      <c r="K6013" s="19"/>
    </row>
    <row r="6014" spans="3:11" x14ac:dyDescent="0.2">
      <c r="C6014" s="19"/>
      <c r="D6014" s="19"/>
      <c r="E6014" s="19"/>
      <c r="F6014" s="20"/>
      <c r="G6014" s="19"/>
      <c r="H6014" s="19"/>
      <c r="I6014" s="19"/>
      <c r="J6014" s="21"/>
      <c r="K6014" s="19"/>
    </row>
    <row r="6015" spans="3:11" x14ac:dyDescent="0.2">
      <c r="C6015" s="19"/>
      <c r="D6015" s="19"/>
      <c r="E6015" s="19"/>
      <c r="F6015" s="20"/>
      <c r="G6015" s="19"/>
      <c r="H6015" s="19"/>
      <c r="I6015" s="19"/>
      <c r="J6015" s="19"/>
      <c r="K6015" s="19"/>
    </row>
    <row r="6016" spans="3:11" x14ac:dyDescent="0.2">
      <c r="C6016" s="19"/>
      <c r="D6016" s="19"/>
      <c r="E6016" s="19"/>
      <c r="F6016" s="20"/>
      <c r="G6016" s="19"/>
      <c r="H6016" s="19"/>
      <c r="I6016" s="19"/>
      <c r="J6016" s="21"/>
      <c r="K6016" s="19"/>
    </row>
    <row r="6017" spans="3:11" x14ac:dyDescent="0.2">
      <c r="C6017" s="19"/>
      <c r="D6017" s="19"/>
      <c r="E6017" s="19"/>
      <c r="F6017" s="20"/>
      <c r="G6017" s="19"/>
      <c r="H6017" s="19"/>
      <c r="I6017" s="19"/>
      <c r="J6017" s="21"/>
      <c r="K6017" s="19"/>
    </row>
    <row r="6018" spans="3:11" x14ac:dyDescent="0.2">
      <c r="C6018" s="19"/>
      <c r="D6018" s="19"/>
      <c r="E6018" s="19"/>
      <c r="F6018" s="20"/>
      <c r="G6018" s="19"/>
      <c r="H6018" s="19"/>
      <c r="I6018" s="19"/>
      <c r="J6018" s="21"/>
      <c r="K6018" s="19"/>
    </row>
    <row r="6019" spans="3:11" x14ac:dyDescent="0.2">
      <c r="C6019" s="19"/>
      <c r="D6019" s="19"/>
      <c r="E6019" s="19"/>
      <c r="F6019" s="20"/>
      <c r="G6019" s="19"/>
      <c r="H6019" s="19"/>
      <c r="I6019" s="19"/>
      <c r="J6019" s="21"/>
      <c r="K6019" s="19"/>
    </row>
    <row r="6020" spans="3:11" x14ac:dyDescent="0.2">
      <c r="C6020" s="19"/>
      <c r="D6020" s="19"/>
      <c r="E6020" s="19"/>
      <c r="F6020" s="20"/>
      <c r="G6020" s="19"/>
      <c r="H6020" s="19"/>
      <c r="I6020" s="19"/>
      <c r="J6020" s="21"/>
      <c r="K6020" s="19"/>
    </row>
    <row r="6021" spans="3:11" x14ac:dyDescent="0.2">
      <c r="C6021" s="19"/>
      <c r="D6021" s="19"/>
      <c r="E6021" s="19"/>
      <c r="F6021" s="20"/>
      <c r="G6021" s="19"/>
      <c r="H6021" s="19"/>
      <c r="I6021" s="19"/>
      <c r="J6021" s="21"/>
      <c r="K6021" s="19"/>
    </row>
    <row r="6022" spans="3:11" x14ac:dyDescent="0.2">
      <c r="C6022" s="19"/>
      <c r="D6022" s="19"/>
      <c r="E6022" s="19"/>
      <c r="F6022" s="20"/>
      <c r="G6022" s="19"/>
      <c r="H6022" s="19"/>
      <c r="I6022" s="19"/>
      <c r="J6022" s="21"/>
      <c r="K6022" s="19"/>
    </row>
    <row r="6023" spans="3:11" x14ac:dyDescent="0.2">
      <c r="C6023" s="19"/>
      <c r="D6023" s="19"/>
      <c r="E6023" s="19"/>
      <c r="F6023" s="20"/>
      <c r="G6023" s="19"/>
      <c r="H6023" s="19"/>
      <c r="I6023" s="19"/>
      <c r="J6023" s="21"/>
      <c r="K6023" s="19"/>
    </row>
    <row r="6024" spans="3:11" x14ac:dyDescent="0.2">
      <c r="C6024" s="19"/>
      <c r="D6024" s="19"/>
      <c r="E6024" s="19"/>
      <c r="F6024" s="20"/>
      <c r="G6024" s="19"/>
      <c r="H6024" s="19"/>
      <c r="I6024" s="19"/>
      <c r="J6024" s="21"/>
      <c r="K6024" s="19"/>
    </row>
    <row r="6025" spans="3:11" x14ac:dyDescent="0.2">
      <c r="C6025" s="19"/>
      <c r="D6025" s="19"/>
      <c r="E6025" s="19"/>
      <c r="F6025" s="20"/>
      <c r="G6025" s="19"/>
      <c r="H6025" s="19"/>
      <c r="I6025" s="19"/>
      <c r="J6025" s="21"/>
      <c r="K6025" s="19"/>
    </row>
    <row r="6026" spans="3:11" x14ac:dyDescent="0.2">
      <c r="C6026" s="19"/>
      <c r="D6026" s="19"/>
      <c r="E6026" s="19"/>
      <c r="F6026" s="20"/>
      <c r="G6026" s="19"/>
      <c r="H6026" s="19"/>
      <c r="I6026" s="19"/>
      <c r="J6026" s="21"/>
      <c r="K6026" s="19"/>
    </row>
    <row r="6027" spans="3:11" x14ac:dyDescent="0.2">
      <c r="C6027" s="19"/>
      <c r="D6027" s="19"/>
      <c r="E6027" s="19"/>
      <c r="F6027" s="20"/>
      <c r="G6027" s="19"/>
      <c r="H6027" s="19"/>
      <c r="I6027" s="19"/>
      <c r="J6027" s="21"/>
      <c r="K6027" s="19"/>
    </row>
    <row r="6028" spans="3:11" x14ac:dyDescent="0.2">
      <c r="C6028" s="19"/>
      <c r="D6028" s="19"/>
      <c r="E6028" s="19"/>
      <c r="F6028" s="20"/>
      <c r="G6028" s="19"/>
      <c r="H6028" s="19"/>
      <c r="I6028" s="19"/>
      <c r="J6028" s="21"/>
      <c r="K6028" s="19"/>
    </row>
    <row r="6029" spans="3:11" x14ac:dyDescent="0.2">
      <c r="C6029" s="19"/>
      <c r="D6029" s="19"/>
      <c r="E6029" s="19"/>
      <c r="F6029" s="20"/>
      <c r="G6029" s="19"/>
      <c r="H6029" s="19"/>
      <c r="I6029" s="19"/>
      <c r="J6029" s="21"/>
      <c r="K6029" s="19"/>
    </row>
    <row r="6030" spans="3:11" x14ac:dyDescent="0.2">
      <c r="C6030" s="19"/>
      <c r="D6030" s="19"/>
      <c r="E6030" s="19"/>
      <c r="F6030" s="20"/>
      <c r="G6030" s="19"/>
      <c r="H6030" s="19"/>
      <c r="I6030" s="19"/>
      <c r="J6030" s="21"/>
      <c r="K6030" s="19"/>
    </row>
    <row r="6031" spans="3:11" x14ac:dyDescent="0.2">
      <c r="C6031" s="19"/>
      <c r="D6031" s="19"/>
      <c r="E6031" s="19"/>
      <c r="F6031" s="20"/>
      <c r="G6031" s="19"/>
      <c r="H6031" s="19"/>
      <c r="I6031" s="19"/>
      <c r="J6031" s="21"/>
      <c r="K6031" s="19"/>
    </row>
    <row r="6032" spans="3:11" x14ac:dyDescent="0.2">
      <c r="C6032" s="19"/>
      <c r="D6032" s="19"/>
      <c r="E6032" s="19"/>
      <c r="F6032" s="20"/>
      <c r="G6032" s="19"/>
      <c r="H6032" s="19"/>
      <c r="I6032" s="19"/>
      <c r="J6032" s="21"/>
      <c r="K6032" s="19"/>
    </row>
    <row r="6033" spans="3:11" x14ac:dyDescent="0.2">
      <c r="C6033" s="19"/>
      <c r="D6033" s="19"/>
      <c r="E6033" s="19"/>
      <c r="F6033" s="20"/>
      <c r="G6033" s="19"/>
      <c r="H6033" s="19"/>
      <c r="I6033" s="19"/>
      <c r="J6033" s="21"/>
      <c r="K6033" s="19"/>
    </row>
    <row r="6034" spans="3:11" x14ac:dyDescent="0.2">
      <c r="C6034" s="19"/>
      <c r="D6034" s="19"/>
      <c r="E6034" s="19"/>
      <c r="F6034" s="20"/>
      <c r="G6034" s="19"/>
      <c r="H6034" s="19"/>
      <c r="I6034" s="19"/>
      <c r="J6034" s="21"/>
      <c r="K6034" s="19"/>
    </row>
    <row r="6035" spans="3:11" x14ac:dyDescent="0.2">
      <c r="C6035" s="19"/>
      <c r="D6035" s="19"/>
      <c r="E6035" s="19"/>
      <c r="F6035" s="20"/>
      <c r="G6035" s="19"/>
      <c r="H6035" s="19"/>
      <c r="I6035" s="19"/>
      <c r="J6035" s="21"/>
      <c r="K6035" s="19"/>
    </row>
    <row r="6036" spans="3:11" x14ac:dyDescent="0.2">
      <c r="C6036" s="19"/>
      <c r="D6036" s="19"/>
      <c r="E6036" s="19"/>
      <c r="F6036" s="20"/>
      <c r="G6036" s="19"/>
      <c r="H6036" s="19"/>
      <c r="I6036" s="19"/>
      <c r="J6036" s="21"/>
      <c r="K6036" s="19"/>
    </row>
    <row r="6037" spans="3:11" x14ac:dyDescent="0.2">
      <c r="C6037" s="19"/>
      <c r="D6037" s="19"/>
      <c r="E6037" s="19"/>
      <c r="F6037" s="20"/>
      <c r="G6037" s="19"/>
      <c r="H6037" s="19"/>
      <c r="I6037" s="19"/>
      <c r="J6037" s="21"/>
      <c r="K6037" s="19"/>
    </row>
    <row r="6038" spans="3:11" x14ac:dyDescent="0.2">
      <c r="C6038" s="19"/>
      <c r="D6038" s="19"/>
      <c r="E6038" s="19"/>
      <c r="F6038" s="20"/>
      <c r="G6038" s="19"/>
      <c r="H6038" s="19"/>
      <c r="I6038" s="19"/>
      <c r="J6038" s="21"/>
      <c r="K6038" s="19"/>
    </row>
    <row r="6039" spans="3:11" x14ac:dyDescent="0.2">
      <c r="C6039" s="19"/>
      <c r="D6039" s="19"/>
      <c r="E6039" s="19"/>
      <c r="F6039" s="20"/>
      <c r="G6039" s="19"/>
      <c r="H6039" s="19"/>
      <c r="I6039" s="19"/>
      <c r="J6039" s="21"/>
      <c r="K6039" s="19"/>
    </row>
    <row r="6040" spans="3:11" x14ac:dyDescent="0.2">
      <c r="C6040" s="19"/>
      <c r="D6040" s="19"/>
      <c r="E6040" s="19"/>
      <c r="F6040" s="20"/>
      <c r="G6040" s="19"/>
      <c r="H6040" s="19"/>
      <c r="I6040" s="19"/>
      <c r="J6040" s="21"/>
      <c r="K6040" s="19"/>
    </row>
    <row r="6041" spans="3:11" x14ac:dyDescent="0.2">
      <c r="C6041" s="19"/>
      <c r="D6041" s="19"/>
      <c r="E6041" s="19"/>
      <c r="F6041" s="20"/>
      <c r="G6041" s="19"/>
      <c r="H6041" s="19"/>
      <c r="I6041" s="19"/>
      <c r="J6041" s="21"/>
      <c r="K6041" s="19"/>
    </row>
    <row r="6042" spans="3:11" x14ac:dyDescent="0.2">
      <c r="C6042" s="19"/>
      <c r="D6042" s="19"/>
      <c r="E6042" s="19"/>
      <c r="F6042" s="20"/>
      <c r="G6042" s="19"/>
      <c r="H6042" s="19"/>
      <c r="I6042" s="19"/>
      <c r="J6042" s="21"/>
      <c r="K6042" s="19"/>
    </row>
    <row r="6043" spans="3:11" x14ac:dyDescent="0.2">
      <c r="C6043" s="19"/>
      <c r="D6043" s="19"/>
      <c r="E6043" s="19"/>
      <c r="F6043" s="20"/>
      <c r="G6043" s="19"/>
      <c r="H6043" s="19"/>
      <c r="I6043" s="19"/>
      <c r="J6043" s="21"/>
      <c r="K6043" s="19"/>
    </row>
    <row r="6044" spans="3:11" x14ac:dyDescent="0.2">
      <c r="C6044" s="19"/>
      <c r="D6044" s="19"/>
      <c r="E6044" s="19"/>
      <c r="F6044" s="20"/>
      <c r="G6044" s="19"/>
      <c r="H6044" s="19"/>
      <c r="I6044" s="19"/>
      <c r="J6044" s="21"/>
      <c r="K6044" s="19"/>
    </row>
    <row r="6045" spans="3:11" x14ac:dyDescent="0.2">
      <c r="C6045" s="19"/>
      <c r="D6045" s="19"/>
      <c r="E6045" s="19"/>
      <c r="F6045" s="20"/>
      <c r="G6045" s="19"/>
      <c r="H6045" s="19"/>
      <c r="I6045" s="19"/>
      <c r="J6045" s="21"/>
      <c r="K6045" s="19"/>
    </row>
    <row r="6046" spans="3:11" x14ac:dyDescent="0.2">
      <c r="C6046" s="19"/>
      <c r="D6046" s="19"/>
      <c r="E6046" s="19"/>
      <c r="F6046" s="20"/>
      <c r="G6046" s="19"/>
      <c r="H6046" s="19"/>
      <c r="I6046" s="19"/>
      <c r="J6046" s="21"/>
      <c r="K6046" s="19"/>
    </row>
    <row r="6047" spans="3:11" x14ac:dyDescent="0.2">
      <c r="C6047" s="19"/>
      <c r="D6047" s="19"/>
      <c r="E6047" s="19"/>
      <c r="F6047" s="20"/>
      <c r="G6047" s="19"/>
      <c r="H6047" s="19"/>
      <c r="I6047" s="19"/>
      <c r="J6047" s="21"/>
      <c r="K6047" s="19"/>
    </row>
    <row r="6048" spans="3:11" x14ac:dyDescent="0.2">
      <c r="C6048" s="19"/>
      <c r="D6048" s="19"/>
      <c r="E6048" s="19"/>
      <c r="F6048" s="20"/>
      <c r="G6048" s="19"/>
      <c r="H6048" s="19"/>
      <c r="I6048" s="19"/>
      <c r="J6048" s="21"/>
      <c r="K6048" s="19"/>
    </row>
    <row r="6049" spans="3:11" x14ac:dyDescent="0.2">
      <c r="C6049" s="19"/>
      <c r="D6049" s="19"/>
      <c r="E6049" s="19"/>
      <c r="F6049" s="20"/>
      <c r="G6049" s="19"/>
      <c r="H6049" s="19"/>
      <c r="I6049" s="19"/>
      <c r="J6049" s="21"/>
      <c r="K6049" s="19"/>
    </row>
    <row r="6050" spans="3:11" x14ac:dyDescent="0.2">
      <c r="C6050" s="19"/>
      <c r="D6050" s="19"/>
      <c r="E6050" s="19"/>
      <c r="F6050" s="20"/>
      <c r="G6050" s="19"/>
      <c r="H6050" s="19"/>
      <c r="I6050" s="19"/>
      <c r="J6050" s="21"/>
      <c r="K6050" s="19"/>
    </row>
    <row r="6051" spans="3:11" x14ac:dyDescent="0.2">
      <c r="C6051" s="19"/>
      <c r="D6051" s="19"/>
      <c r="E6051" s="19"/>
      <c r="F6051" s="20"/>
      <c r="G6051" s="19"/>
      <c r="H6051" s="19"/>
      <c r="I6051" s="19"/>
      <c r="J6051" s="21"/>
      <c r="K6051" s="19"/>
    </row>
    <row r="6052" spans="3:11" x14ac:dyDescent="0.2">
      <c r="C6052" s="19"/>
      <c r="D6052" s="19"/>
      <c r="E6052" s="19"/>
      <c r="F6052" s="20"/>
      <c r="G6052" s="19"/>
      <c r="H6052" s="19"/>
      <c r="I6052" s="19"/>
      <c r="J6052" s="21"/>
      <c r="K6052" s="19"/>
    </row>
    <row r="6053" spans="3:11" x14ac:dyDescent="0.2">
      <c r="C6053" s="19"/>
      <c r="D6053" s="19"/>
      <c r="E6053" s="19"/>
      <c r="F6053" s="20"/>
      <c r="G6053" s="19"/>
      <c r="H6053" s="19"/>
      <c r="I6053" s="19"/>
      <c r="J6053" s="21"/>
      <c r="K6053" s="19"/>
    </row>
    <row r="6054" spans="3:11" x14ac:dyDescent="0.2">
      <c r="C6054" s="19"/>
      <c r="D6054" s="19"/>
      <c r="E6054" s="19"/>
      <c r="F6054" s="20"/>
      <c r="G6054" s="19"/>
      <c r="H6054" s="19"/>
      <c r="I6054" s="19"/>
      <c r="J6054" s="21"/>
      <c r="K6054" s="19"/>
    </row>
    <row r="6055" spans="3:11" x14ac:dyDescent="0.2">
      <c r="C6055" s="19"/>
      <c r="D6055" s="19"/>
      <c r="E6055" s="19"/>
      <c r="F6055" s="20"/>
      <c r="G6055" s="19"/>
      <c r="H6055" s="19"/>
      <c r="I6055" s="19"/>
      <c r="J6055" s="21"/>
      <c r="K6055" s="19"/>
    </row>
    <row r="6056" spans="3:11" x14ac:dyDescent="0.2">
      <c r="C6056" s="19"/>
      <c r="D6056" s="19"/>
      <c r="E6056" s="19"/>
      <c r="F6056" s="20"/>
      <c r="G6056" s="19"/>
      <c r="H6056" s="19"/>
      <c r="I6056" s="19"/>
      <c r="J6056" s="21"/>
      <c r="K6056" s="19"/>
    </row>
    <row r="6057" spans="3:11" x14ac:dyDescent="0.2">
      <c r="C6057" s="19"/>
      <c r="D6057" s="19"/>
      <c r="E6057" s="19"/>
      <c r="F6057" s="20"/>
      <c r="G6057" s="19"/>
      <c r="H6057" s="19"/>
      <c r="I6057" s="19"/>
      <c r="J6057" s="19"/>
      <c r="K6057" s="19"/>
    </row>
    <row r="6058" spans="3:11" x14ac:dyDescent="0.2">
      <c r="C6058" s="19"/>
      <c r="D6058" s="19"/>
      <c r="E6058" s="19"/>
      <c r="F6058" s="20"/>
      <c r="G6058" s="19"/>
      <c r="H6058" s="19"/>
      <c r="I6058" s="19"/>
      <c r="J6058" s="19"/>
      <c r="K6058" s="19"/>
    </row>
    <row r="6059" spans="3:11" x14ac:dyDescent="0.2">
      <c r="C6059" s="19"/>
      <c r="D6059" s="19"/>
      <c r="E6059" s="19"/>
      <c r="F6059" s="20"/>
      <c r="G6059" s="19"/>
      <c r="H6059" s="19"/>
      <c r="I6059" s="19"/>
      <c r="J6059" s="19"/>
      <c r="K6059" s="19"/>
    </row>
    <row r="6060" spans="3:11" x14ac:dyDescent="0.2">
      <c r="C6060" s="19"/>
      <c r="D6060" s="19"/>
      <c r="E6060" s="19"/>
      <c r="F6060" s="20"/>
      <c r="G6060" s="19"/>
      <c r="H6060" s="19"/>
      <c r="I6060" s="19"/>
      <c r="J6060" s="19"/>
      <c r="K6060" s="19"/>
    </row>
    <row r="6061" spans="3:11" x14ac:dyDescent="0.2">
      <c r="C6061" s="19"/>
      <c r="D6061" s="19"/>
      <c r="E6061" s="19"/>
      <c r="F6061" s="20"/>
      <c r="G6061" s="19"/>
      <c r="H6061" s="19"/>
      <c r="I6061" s="19"/>
      <c r="J6061" s="21"/>
      <c r="K6061" s="19"/>
    </row>
    <row r="6062" spans="3:11" x14ac:dyDescent="0.2">
      <c r="C6062" s="19"/>
      <c r="D6062" s="19"/>
      <c r="E6062" s="19"/>
      <c r="F6062" s="20"/>
      <c r="G6062" s="19"/>
      <c r="H6062" s="19"/>
      <c r="I6062" s="19"/>
      <c r="J6062" s="21"/>
      <c r="K6062" s="19"/>
    </row>
    <row r="6063" spans="3:11" x14ac:dyDescent="0.2">
      <c r="C6063" s="19"/>
      <c r="D6063" s="19"/>
      <c r="E6063" s="19"/>
      <c r="F6063" s="20"/>
      <c r="G6063" s="19"/>
      <c r="H6063" s="19"/>
      <c r="I6063" s="19"/>
      <c r="J6063" s="21"/>
      <c r="K6063" s="19"/>
    </row>
    <row r="6064" spans="3:11" x14ac:dyDescent="0.2">
      <c r="C6064" s="19"/>
      <c r="D6064" s="19"/>
      <c r="E6064" s="19"/>
      <c r="F6064" s="20"/>
      <c r="G6064" s="19"/>
      <c r="H6064" s="19"/>
      <c r="I6064" s="19"/>
      <c r="J6064" s="21"/>
      <c r="K6064" s="19"/>
    </row>
    <row r="6065" spans="3:11" x14ac:dyDescent="0.2">
      <c r="C6065" s="19"/>
      <c r="D6065" s="19"/>
      <c r="E6065" s="19"/>
      <c r="F6065" s="20"/>
      <c r="G6065" s="19"/>
      <c r="H6065" s="19"/>
      <c r="I6065" s="19"/>
      <c r="J6065" s="21"/>
      <c r="K6065" s="19"/>
    </row>
    <row r="6066" spans="3:11" x14ac:dyDescent="0.2">
      <c r="C6066" s="19"/>
      <c r="D6066" s="19"/>
      <c r="E6066" s="19"/>
      <c r="F6066" s="20"/>
      <c r="G6066" s="19"/>
      <c r="H6066" s="19"/>
      <c r="I6066" s="19"/>
      <c r="J6066" s="21"/>
      <c r="K6066" s="19"/>
    </row>
    <row r="6067" spans="3:11" x14ac:dyDescent="0.2">
      <c r="C6067" s="19"/>
      <c r="D6067" s="19"/>
      <c r="E6067" s="19"/>
      <c r="F6067" s="20"/>
      <c r="G6067" s="19"/>
      <c r="H6067" s="19"/>
      <c r="I6067" s="19"/>
      <c r="J6067" s="21"/>
      <c r="K6067" s="19"/>
    </row>
    <row r="6068" spans="3:11" x14ac:dyDescent="0.2">
      <c r="C6068" s="19"/>
      <c r="D6068" s="19"/>
      <c r="E6068" s="19"/>
      <c r="F6068" s="20"/>
      <c r="G6068" s="19"/>
      <c r="H6068" s="19"/>
      <c r="I6068" s="19"/>
      <c r="J6068" s="21"/>
      <c r="K6068" s="19"/>
    </row>
    <row r="6069" spans="3:11" x14ac:dyDescent="0.2">
      <c r="C6069" s="19"/>
      <c r="D6069" s="19"/>
      <c r="E6069" s="19"/>
      <c r="F6069" s="20"/>
      <c r="G6069" s="19"/>
      <c r="H6069" s="19"/>
      <c r="I6069" s="19"/>
      <c r="J6069" s="21"/>
      <c r="K6069" s="19"/>
    </row>
    <row r="6070" spans="3:11" x14ac:dyDescent="0.2">
      <c r="C6070" s="19"/>
      <c r="D6070" s="19"/>
      <c r="E6070" s="19"/>
      <c r="F6070" s="20"/>
      <c r="G6070" s="19"/>
      <c r="H6070" s="19"/>
      <c r="I6070" s="19"/>
      <c r="J6070" s="21"/>
      <c r="K6070" s="19"/>
    </row>
    <row r="6071" spans="3:11" x14ac:dyDescent="0.2">
      <c r="C6071" s="19"/>
      <c r="D6071" s="19"/>
      <c r="E6071" s="19"/>
      <c r="F6071" s="20"/>
      <c r="G6071" s="19"/>
      <c r="H6071" s="19"/>
      <c r="I6071" s="19"/>
      <c r="J6071" s="21"/>
      <c r="K6071" s="19"/>
    </row>
    <row r="6072" spans="3:11" x14ac:dyDescent="0.2">
      <c r="C6072" s="19"/>
      <c r="D6072" s="19"/>
      <c r="E6072" s="19"/>
      <c r="F6072" s="20"/>
      <c r="G6072" s="19"/>
      <c r="H6072" s="19"/>
      <c r="I6072" s="19"/>
      <c r="J6072" s="21"/>
      <c r="K6072" s="19"/>
    </row>
    <row r="6073" spans="3:11" x14ac:dyDescent="0.2">
      <c r="C6073" s="19"/>
      <c r="D6073" s="19"/>
      <c r="E6073" s="19"/>
      <c r="F6073" s="20"/>
      <c r="G6073" s="19"/>
      <c r="H6073" s="19"/>
      <c r="I6073" s="19"/>
      <c r="J6073" s="21"/>
      <c r="K6073" s="19"/>
    </row>
    <row r="6074" spans="3:11" x14ac:dyDescent="0.2">
      <c r="C6074" s="19"/>
      <c r="D6074" s="19"/>
      <c r="E6074" s="19"/>
      <c r="F6074" s="20"/>
      <c r="G6074" s="19"/>
      <c r="H6074" s="19"/>
      <c r="I6074" s="19"/>
      <c r="J6074" s="21"/>
      <c r="K6074" s="19"/>
    </row>
    <row r="6075" spans="3:11" x14ac:dyDescent="0.2">
      <c r="C6075" s="19"/>
      <c r="D6075" s="19"/>
      <c r="E6075" s="19"/>
      <c r="F6075" s="20"/>
      <c r="G6075" s="19"/>
      <c r="H6075" s="19"/>
      <c r="I6075" s="19"/>
      <c r="J6075" s="21"/>
      <c r="K6075" s="19"/>
    </row>
    <row r="6076" spans="3:11" x14ac:dyDescent="0.2">
      <c r="C6076" s="19"/>
      <c r="D6076" s="19"/>
      <c r="E6076" s="19"/>
      <c r="F6076" s="20"/>
      <c r="G6076" s="19"/>
      <c r="H6076" s="19"/>
      <c r="I6076" s="19"/>
      <c r="J6076" s="21"/>
      <c r="K6076" s="19"/>
    </row>
    <row r="6077" spans="3:11" x14ac:dyDescent="0.2">
      <c r="C6077" s="19"/>
      <c r="D6077" s="19"/>
      <c r="E6077" s="19"/>
      <c r="F6077" s="20"/>
      <c r="G6077" s="19"/>
      <c r="H6077" s="19"/>
      <c r="I6077" s="19"/>
      <c r="J6077" s="21"/>
      <c r="K6077" s="19"/>
    </row>
    <row r="6078" spans="3:11" x14ac:dyDescent="0.2">
      <c r="C6078" s="19"/>
      <c r="D6078" s="19"/>
      <c r="E6078" s="19"/>
      <c r="F6078" s="20"/>
      <c r="G6078" s="19"/>
      <c r="H6078" s="19"/>
      <c r="I6078" s="19"/>
      <c r="J6078" s="21"/>
      <c r="K6078" s="19"/>
    </row>
    <row r="6079" spans="3:11" x14ac:dyDescent="0.2">
      <c r="C6079" s="19"/>
      <c r="D6079" s="19"/>
      <c r="E6079" s="19"/>
      <c r="F6079" s="20"/>
      <c r="G6079" s="19"/>
      <c r="H6079" s="19"/>
      <c r="I6079" s="19"/>
      <c r="J6079" s="21"/>
      <c r="K6079" s="19"/>
    </row>
    <row r="6080" spans="3:11" x14ac:dyDescent="0.2">
      <c r="C6080" s="19"/>
      <c r="D6080" s="19"/>
      <c r="E6080" s="19"/>
      <c r="F6080" s="20"/>
      <c r="G6080" s="19"/>
      <c r="H6080" s="19"/>
      <c r="I6080" s="19"/>
      <c r="J6080" s="21"/>
      <c r="K6080" s="19"/>
    </row>
    <row r="6081" spans="3:11" x14ac:dyDescent="0.2">
      <c r="C6081" s="19"/>
      <c r="D6081" s="19"/>
      <c r="E6081" s="19"/>
      <c r="F6081" s="20"/>
      <c r="G6081" s="19"/>
      <c r="H6081" s="19"/>
      <c r="I6081" s="19"/>
      <c r="J6081" s="21"/>
      <c r="K6081" s="19"/>
    </row>
    <row r="6082" spans="3:11" x14ac:dyDescent="0.2">
      <c r="C6082" s="19"/>
      <c r="D6082" s="19"/>
      <c r="E6082" s="19"/>
      <c r="F6082" s="20"/>
      <c r="G6082" s="19"/>
      <c r="H6082" s="19"/>
      <c r="I6082" s="19"/>
      <c r="J6082" s="21"/>
      <c r="K6082" s="19"/>
    </row>
    <row r="6083" spans="3:11" x14ac:dyDescent="0.2">
      <c r="C6083" s="19"/>
      <c r="D6083" s="19"/>
      <c r="E6083" s="19"/>
      <c r="F6083" s="20"/>
      <c r="G6083" s="19"/>
      <c r="H6083" s="19"/>
      <c r="I6083" s="19"/>
      <c r="J6083" s="21"/>
      <c r="K6083" s="19"/>
    </row>
    <row r="6084" spans="3:11" x14ac:dyDescent="0.2">
      <c r="C6084" s="19"/>
      <c r="D6084" s="19"/>
      <c r="E6084" s="19"/>
      <c r="F6084" s="20"/>
      <c r="G6084" s="19"/>
      <c r="H6084" s="19"/>
      <c r="I6084" s="19"/>
      <c r="J6084" s="21"/>
      <c r="K6084" s="19"/>
    </row>
    <row r="6085" spans="3:11" x14ac:dyDescent="0.2">
      <c r="C6085" s="19"/>
      <c r="D6085" s="19"/>
      <c r="E6085" s="19"/>
      <c r="F6085" s="20"/>
      <c r="G6085" s="19"/>
      <c r="H6085" s="19"/>
      <c r="I6085" s="19"/>
      <c r="J6085" s="21"/>
      <c r="K6085" s="19"/>
    </row>
    <row r="6086" spans="3:11" x14ac:dyDescent="0.2">
      <c r="C6086" s="19"/>
      <c r="D6086" s="19"/>
      <c r="E6086" s="19"/>
      <c r="F6086" s="20"/>
      <c r="G6086" s="19"/>
      <c r="H6086" s="19"/>
      <c r="I6086" s="19"/>
      <c r="J6086" s="21"/>
      <c r="K6086" s="19"/>
    </row>
    <row r="6087" spans="3:11" x14ac:dyDescent="0.2">
      <c r="C6087" s="19"/>
      <c r="D6087" s="19"/>
      <c r="E6087" s="19"/>
      <c r="F6087" s="20"/>
      <c r="G6087" s="19"/>
      <c r="H6087" s="19"/>
      <c r="I6087" s="19"/>
      <c r="J6087" s="21"/>
      <c r="K6087" s="19"/>
    </row>
    <row r="6088" spans="3:11" x14ac:dyDescent="0.2">
      <c r="C6088" s="19"/>
      <c r="D6088" s="19"/>
      <c r="E6088" s="19"/>
      <c r="F6088" s="20"/>
      <c r="G6088" s="19"/>
      <c r="H6088" s="19"/>
      <c r="I6088" s="19"/>
      <c r="J6088" s="21"/>
      <c r="K6088" s="19"/>
    </row>
    <row r="6089" spans="3:11" x14ac:dyDescent="0.2">
      <c r="C6089" s="19"/>
      <c r="D6089" s="19"/>
      <c r="E6089" s="19"/>
      <c r="F6089" s="20"/>
      <c r="G6089" s="19"/>
      <c r="H6089" s="19"/>
      <c r="I6089" s="19"/>
      <c r="J6089" s="21"/>
      <c r="K6089" s="19"/>
    </row>
    <row r="6090" spans="3:11" x14ac:dyDescent="0.2">
      <c r="C6090" s="19"/>
      <c r="D6090" s="19"/>
      <c r="E6090" s="19"/>
      <c r="F6090" s="20"/>
      <c r="G6090" s="19"/>
      <c r="H6090" s="19"/>
      <c r="I6090" s="19"/>
      <c r="J6090" s="21"/>
      <c r="K6090" s="19"/>
    </row>
    <row r="6091" spans="3:11" x14ac:dyDescent="0.2">
      <c r="C6091" s="19"/>
      <c r="D6091" s="19"/>
      <c r="E6091" s="19"/>
      <c r="F6091" s="20"/>
      <c r="G6091" s="19"/>
      <c r="H6091" s="19"/>
      <c r="I6091" s="19"/>
      <c r="J6091" s="21"/>
      <c r="K6091" s="19"/>
    </row>
    <row r="6092" spans="3:11" x14ac:dyDescent="0.2">
      <c r="C6092" s="19"/>
      <c r="D6092" s="19"/>
      <c r="E6092" s="19"/>
      <c r="F6092" s="20"/>
      <c r="G6092" s="19"/>
      <c r="H6092" s="19"/>
      <c r="I6092" s="19"/>
      <c r="J6092" s="21"/>
      <c r="K6092" s="19"/>
    </row>
    <row r="6093" spans="3:11" x14ac:dyDescent="0.2">
      <c r="C6093" s="19"/>
      <c r="D6093" s="19"/>
      <c r="E6093" s="19"/>
      <c r="F6093" s="20"/>
      <c r="G6093" s="19"/>
      <c r="H6093" s="19"/>
      <c r="I6093" s="19"/>
      <c r="J6093" s="21"/>
      <c r="K6093" s="19"/>
    </row>
    <row r="6094" spans="3:11" x14ac:dyDescent="0.2">
      <c r="C6094" s="19"/>
      <c r="D6094" s="19"/>
      <c r="E6094" s="19"/>
      <c r="F6094" s="20"/>
      <c r="G6094" s="19"/>
      <c r="H6094" s="19"/>
      <c r="I6094" s="19"/>
      <c r="J6094" s="21"/>
      <c r="K6094" s="19"/>
    </row>
    <row r="6095" spans="3:11" x14ac:dyDescent="0.2">
      <c r="C6095" s="19"/>
      <c r="D6095" s="19"/>
      <c r="E6095" s="19"/>
      <c r="F6095" s="20"/>
      <c r="G6095" s="19"/>
      <c r="H6095" s="19"/>
      <c r="I6095" s="19"/>
      <c r="J6095" s="21"/>
      <c r="K6095" s="19"/>
    </row>
    <row r="6096" spans="3:11" x14ac:dyDescent="0.2">
      <c r="C6096" s="19"/>
      <c r="D6096" s="19"/>
      <c r="E6096" s="19"/>
      <c r="F6096" s="20"/>
      <c r="G6096" s="19"/>
      <c r="H6096" s="19"/>
      <c r="I6096" s="19"/>
      <c r="J6096" s="21"/>
      <c r="K6096" s="19"/>
    </row>
    <row r="6097" spans="3:11" x14ac:dyDescent="0.2">
      <c r="C6097" s="19"/>
      <c r="D6097" s="19"/>
      <c r="E6097" s="19"/>
      <c r="F6097" s="20"/>
      <c r="G6097" s="19"/>
      <c r="H6097" s="19"/>
      <c r="I6097" s="19"/>
      <c r="J6097" s="21"/>
      <c r="K6097" s="19"/>
    </row>
    <row r="6098" spans="3:11" x14ac:dyDescent="0.2">
      <c r="C6098" s="19"/>
      <c r="D6098" s="19"/>
      <c r="E6098" s="19"/>
      <c r="F6098" s="20"/>
      <c r="G6098" s="19"/>
      <c r="H6098" s="19"/>
      <c r="I6098" s="19"/>
      <c r="J6098" s="21"/>
      <c r="K6098" s="19"/>
    </row>
    <row r="6099" spans="3:11" x14ac:dyDescent="0.2">
      <c r="C6099" s="19"/>
      <c r="D6099" s="19"/>
      <c r="E6099" s="19"/>
      <c r="F6099" s="20"/>
      <c r="G6099" s="19"/>
      <c r="H6099" s="19"/>
      <c r="I6099" s="19"/>
      <c r="J6099" s="21"/>
      <c r="K6099" s="19"/>
    </row>
    <row r="6100" spans="3:11" x14ac:dyDescent="0.2">
      <c r="C6100" s="19"/>
      <c r="D6100" s="19"/>
      <c r="E6100" s="19"/>
      <c r="F6100" s="20"/>
      <c r="G6100" s="19"/>
      <c r="H6100" s="19"/>
      <c r="I6100" s="19"/>
      <c r="J6100" s="21"/>
      <c r="K6100" s="19"/>
    </row>
    <row r="6101" spans="3:11" x14ac:dyDescent="0.2">
      <c r="C6101" s="19"/>
      <c r="D6101" s="19"/>
      <c r="E6101" s="19"/>
      <c r="F6101" s="20"/>
      <c r="G6101" s="19"/>
      <c r="H6101" s="19"/>
      <c r="I6101" s="19"/>
      <c r="J6101" s="21"/>
      <c r="K6101" s="19"/>
    </row>
    <row r="6102" spans="3:11" x14ac:dyDescent="0.2">
      <c r="C6102" s="19"/>
      <c r="D6102" s="19"/>
      <c r="E6102" s="19"/>
      <c r="F6102" s="20"/>
      <c r="G6102" s="19"/>
      <c r="H6102" s="19"/>
      <c r="I6102" s="19"/>
      <c r="J6102" s="21"/>
      <c r="K6102" s="19"/>
    </row>
    <row r="6103" spans="3:11" x14ac:dyDescent="0.2">
      <c r="C6103" s="19"/>
      <c r="D6103" s="19"/>
      <c r="E6103" s="19"/>
      <c r="F6103" s="20"/>
      <c r="G6103" s="19"/>
      <c r="H6103" s="19"/>
      <c r="I6103" s="19"/>
      <c r="J6103" s="21"/>
      <c r="K6103" s="19"/>
    </row>
    <row r="6104" spans="3:11" x14ac:dyDescent="0.2">
      <c r="C6104" s="19"/>
      <c r="D6104" s="19"/>
      <c r="E6104" s="19"/>
      <c r="F6104" s="20"/>
      <c r="G6104" s="19"/>
      <c r="H6104" s="19"/>
      <c r="I6104" s="19"/>
      <c r="J6104" s="21"/>
      <c r="K6104" s="19"/>
    </row>
    <row r="6105" spans="3:11" x14ac:dyDescent="0.2">
      <c r="C6105" s="19"/>
      <c r="D6105" s="19"/>
      <c r="E6105" s="19"/>
      <c r="F6105" s="20"/>
      <c r="G6105" s="19"/>
      <c r="H6105" s="19"/>
      <c r="I6105" s="19"/>
      <c r="J6105" s="21"/>
      <c r="K6105" s="19"/>
    </row>
    <row r="6106" spans="3:11" x14ac:dyDescent="0.2">
      <c r="C6106" s="19"/>
      <c r="D6106" s="19"/>
      <c r="E6106" s="19"/>
      <c r="F6106" s="20"/>
      <c r="G6106" s="19"/>
      <c r="H6106" s="19"/>
      <c r="I6106" s="19"/>
      <c r="J6106" s="21"/>
      <c r="K6106" s="19"/>
    </row>
    <row r="6107" spans="3:11" x14ac:dyDescent="0.2">
      <c r="C6107" s="19"/>
      <c r="D6107" s="19"/>
      <c r="E6107" s="19"/>
      <c r="F6107" s="20"/>
      <c r="G6107" s="19"/>
      <c r="H6107" s="19"/>
      <c r="I6107" s="19"/>
      <c r="J6107" s="21"/>
      <c r="K6107" s="19"/>
    </row>
    <row r="6108" spans="3:11" x14ac:dyDescent="0.2">
      <c r="C6108" s="19"/>
      <c r="D6108" s="19"/>
      <c r="E6108" s="19"/>
      <c r="F6108" s="20"/>
      <c r="G6108" s="19"/>
      <c r="H6108" s="19"/>
      <c r="I6108" s="19"/>
      <c r="J6108" s="21"/>
      <c r="K6108" s="19"/>
    </row>
    <row r="6109" spans="3:11" x14ac:dyDescent="0.2">
      <c r="C6109" s="19"/>
      <c r="D6109" s="19"/>
      <c r="E6109" s="19"/>
      <c r="F6109" s="20"/>
      <c r="G6109" s="19"/>
      <c r="H6109" s="19"/>
      <c r="I6109" s="19"/>
      <c r="J6109" s="21"/>
      <c r="K6109" s="19"/>
    </row>
    <row r="6110" spans="3:11" x14ac:dyDescent="0.2">
      <c r="C6110" s="19"/>
      <c r="D6110" s="19"/>
      <c r="E6110" s="19"/>
      <c r="F6110" s="20"/>
      <c r="G6110" s="19"/>
      <c r="H6110" s="19"/>
      <c r="I6110" s="19"/>
      <c r="J6110" s="19"/>
      <c r="K6110" s="19"/>
    </row>
    <row r="6111" spans="3:11" x14ac:dyDescent="0.2">
      <c r="C6111" s="19"/>
      <c r="D6111" s="19"/>
      <c r="E6111" s="19"/>
      <c r="F6111" s="20"/>
      <c r="G6111" s="19"/>
      <c r="H6111" s="19"/>
      <c r="I6111" s="19"/>
      <c r="J6111" s="19"/>
      <c r="K6111" s="19"/>
    </row>
    <row r="6112" spans="3:11" x14ac:dyDescent="0.2">
      <c r="C6112" s="19"/>
      <c r="D6112" s="19"/>
      <c r="E6112" s="19"/>
      <c r="F6112" s="20"/>
      <c r="G6112" s="19"/>
      <c r="H6112" s="19"/>
      <c r="I6112" s="19"/>
      <c r="J6112" s="21"/>
      <c r="K6112" s="19"/>
    </row>
    <row r="6113" spans="3:11" x14ac:dyDescent="0.2">
      <c r="C6113" s="19"/>
      <c r="D6113" s="19"/>
      <c r="E6113" s="19"/>
      <c r="F6113" s="20"/>
      <c r="G6113" s="19"/>
      <c r="H6113" s="19"/>
      <c r="I6113" s="19"/>
      <c r="J6113" s="19"/>
      <c r="K6113" s="19"/>
    </row>
    <row r="6114" spans="3:11" x14ac:dyDescent="0.2">
      <c r="C6114" s="19"/>
      <c r="D6114" s="19"/>
      <c r="E6114" s="19"/>
      <c r="F6114" s="20"/>
      <c r="G6114" s="19"/>
      <c r="H6114" s="19"/>
      <c r="I6114" s="19"/>
      <c r="J6114" s="19"/>
      <c r="K6114" s="19"/>
    </row>
    <row r="6115" spans="3:11" x14ac:dyDescent="0.2">
      <c r="C6115" s="19"/>
      <c r="D6115" s="19"/>
      <c r="E6115" s="19"/>
      <c r="F6115" s="20"/>
      <c r="G6115" s="19"/>
      <c r="H6115" s="19"/>
      <c r="I6115" s="19"/>
      <c r="J6115" s="21"/>
      <c r="K6115" s="19"/>
    </row>
    <row r="6116" spans="3:11" x14ac:dyDescent="0.2">
      <c r="C6116" s="19"/>
      <c r="D6116" s="19"/>
      <c r="E6116" s="19"/>
      <c r="F6116" s="20"/>
      <c r="G6116" s="19"/>
      <c r="H6116" s="19"/>
      <c r="I6116" s="19"/>
      <c r="J6116" s="21"/>
      <c r="K6116" s="19"/>
    </row>
    <row r="6117" spans="3:11" x14ac:dyDescent="0.2">
      <c r="C6117" s="19"/>
      <c r="D6117" s="19"/>
      <c r="E6117" s="19"/>
      <c r="F6117" s="20"/>
      <c r="G6117" s="19"/>
      <c r="H6117" s="19"/>
      <c r="I6117" s="19"/>
      <c r="J6117" s="21"/>
      <c r="K6117" s="19"/>
    </row>
    <row r="6118" spans="3:11" x14ac:dyDescent="0.2">
      <c r="C6118" s="19"/>
      <c r="D6118" s="19"/>
      <c r="E6118" s="19"/>
      <c r="F6118" s="20"/>
      <c r="G6118" s="19"/>
      <c r="H6118" s="19"/>
      <c r="I6118" s="19"/>
      <c r="J6118" s="21"/>
      <c r="K6118" s="19"/>
    </row>
    <row r="6119" spans="3:11" x14ac:dyDescent="0.2">
      <c r="C6119" s="19"/>
      <c r="D6119" s="19"/>
      <c r="E6119" s="19"/>
      <c r="F6119" s="20"/>
      <c r="G6119" s="19"/>
      <c r="H6119" s="19"/>
      <c r="I6119" s="19"/>
      <c r="J6119" s="21"/>
      <c r="K6119" s="19"/>
    </row>
    <row r="6120" spans="3:11" x14ac:dyDescent="0.2">
      <c r="C6120" s="19"/>
      <c r="D6120" s="19"/>
      <c r="E6120" s="19"/>
      <c r="F6120" s="20"/>
      <c r="G6120" s="19"/>
      <c r="H6120" s="19"/>
      <c r="I6120" s="19"/>
      <c r="J6120" s="21"/>
      <c r="K6120" s="19"/>
    </row>
    <row r="6121" spans="3:11" x14ac:dyDescent="0.2">
      <c r="C6121" s="19"/>
      <c r="D6121" s="19"/>
      <c r="E6121" s="19"/>
      <c r="F6121" s="20"/>
      <c r="G6121" s="19"/>
      <c r="H6121" s="19"/>
      <c r="I6121" s="19"/>
      <c r="J6121" s="21"/>
      <c r="K6121" s="19"/>
    </row>
    <row r="6122" spans="3:11" x14ac:dyDescent="0.2">
      <c r="C6122" s="19"/>
      <c r="D6122" s="19"/>
      <c r="E6122" s="19"/>
      <c r="F6122" s="20"/>
      <c r="G6122" s="19"/>
      <c r="H6122" s="19"/>
      <c r="I6122" s="19"/>
      <c r="J6122" s="21"/>
      <c r="K6122" s="19"/>
    </row>
    <row r="6123" spans="3:11" x14ac:dyDescent="0.2">
      <c r="C6123" s="19"/>
      <c r="D6123" s="19"/>
      <c r="E6123" s="19"/>
      <c r="F6123" s="20"/>
      <c r="G6123" s="19"/>
      <c r="H6123" s="19"/>
      <c r="I6123" s="19"/>
      <c r="J6123" s="21"/>
      <c r="K6123" s="19"/>
    </row>
    <row r="6124" spans="3:11" x14ac:dyDescent="0.2">
      <c r="C6124" s="19"/>
      <c r="D6124" s="19"/>
      <c r="E6124" s="19"/>
      <c r="F6124" s="20"/>
      <c r="G6124" s="19"/>
      <c r="H6124" s="19"/>
      <c r="I6124" s="19"/>
      <c r="J6124" s="21"/>
      <c r="K6124" s="19"/>
    </row>
    <row r="6125" spans="3:11" x14ac:dyDescent="0.2">
      <c r="C6125" s="19"/>
      <c r="D6125" s="19"/>
      <c r="E6125" s="19"/>
      <c r="F6125" s="20"/>
      <c r="G6125" s="19"/>
      <c r="H6125" s="19"/>
      <c r="I6125" s="19"/>
      <c r="J6125" s="21"/>
      <c r="K6125" s="19"/>
    </row>
    <row r="6126" spans="3:11" x14ac:dyDescent="0.2">
      <c r="C6126" s="19"/>
      <c r="D6126" s="19"/>
      <c r="E6126" s="19"/>
      <c r="F6126" s="20"/>
      <c r="G6126" s="19"/>
      <c r="H6126" s="19"/>
      <c r="I6126" s="19"/>
      <c r="J6126" s="21"/>
      <c r="K6126" s="19"/>
    </row>
    <row r="6127" spans="3:11" x14ac:dyDescent="0.2">
      <c r="C6127" s="19"/>
      <c r="D6127" s="19"/>
      <c r="E6127" s="19"/>
      <c r="F6127" s="20"/>
      <c r="G6127" s="19"/>
      <c r="H6127" s="19"/>
      <c r="I6127" s="19"/>
      <c r="J6127" s="21"/>
      <c r="K6127" s="19"/>
    </row>
    <row r="6128" spans="3:11" x14ac:dyDescent="0.2">
      <c r="C6128" s="19"/>
      <c r="D6128" s="19"/>
      <c r="E6128" s="19"/>
      <c r="F6128" s="20"/>
      <c r="G6128" s="19"/>
      <c r="H6128" s="19"/>
      <c r="I6128" s="19"/>
      <c r="J6128" s="21"/>
      <c r="K6128" s="19"/>
    </row>
    <row r="6129" spans="3:11" x14ac:dyDescent="0.2">
      <c r="C6129" s="19"/>
      <c r="D6129" s="19"/>
      <c r="E6129" s="19"/>
      <c r="F6129" s="20"/>
      <c r="G6129" s="19"/>
      <c r="H6129" s="19"/>
      <c r="I6129" s="19"/>
      <c r="J6129" s="21"/>
      <c r="K6129" s="19"/>
    </row>
    <row r="6130" spans="3:11" x14ac:dyDescent="0.2">
      <c r="C6130" s="19"/>
      <c r="D6130" s="19"/>
      <c r="E6130" s="19"/>
      <c r="F6130" s="20"/>
      <c r="G6130" s="19"/>
      <c r="H6130" s="19"/>
      <c r="I6130" s="19"/>
      <c r="J6130" s="21"/>
      <c r="K6130" s="19"/>
    </row>
    <row r="6131" spans="3:11" x14ac:dyDescent="0.2">
      <c r="C6131" s="19"/>
      <c r="D6131" s="19"/>
      <c r="E6131" s="19"/>
      <c r="F6131" s="20"/>
      <c r="G6131" s="19"/>
      <c r="H6131" s="19"/>
      <c r="I6131" s="19"/>
      <c r="J6131" s="21"/>
      <c r="K6131" s="19"/>
    </row>
    <row r="6132" spans="3:11" x14ac:dyDescent="0.2">
      <c r="C6132" s="19"/>
      <c r="D6132" s="19"/>
      <c r="E6132" s="19"/>
      <c r="F6132" s="20"/>
      <c r="G6132" s="19"/>
      <c r="H6132" s="19"/>
      <c r="I6132" s="19"/>
      <c r="J6132" s="21"/>
      <c r="K6132" s="19"/>
    </row>
    <row r="6133" spans="3:11" x14ac:dyDescent="0.2">
      <c r="C6133" s="19"/>
      <c r="D6133" s="19"/>
      <c r="E6133" s="19"/>
      <c r="F6133" s="20"/>
      <c r="G6133" s="19"/>
      <c r="H6133" s="19"/>
      <c r="I6133" s="19"/>
      <c r="J6133" s="21"/>
      <c r="K6133" s="19"/>
    </row>
    <row r="6134" spans="3:11" x14ac:dyDescent="0.2">
      <c r="C6134" s="19"/>
      <c r="D6134" s="19"/>
      <c r="E6134" s="19"/>
      <c r="F6134" s="20"/>
      <c r="G6134" s="19"/>
      <c r="H6134" s="19"/>
      <c r="I6134" s="19"/>
      <c r="J6134" s="21"/>
      <c r="K6134" s="19"/>
    </row>
    <row r="6135" spans="3:11" x14ac:dyDescent="0.2">
      <c r="C6135" s="19"/>
      <c r="D6135" s="19"/>
      <c r="E6135" s="19"/>
      <c r="F6135" s="20"/>
      <c r="G6135" s="19"/>
      <c r="H6135" s="19"/>
      <c r="I6135" s="19"/>
      <c r="J6135" s="21"/>
      <c r="K6135" s="19"/>
    </row>
    <row r="6136" spans="3:11" x14ac:dyDescent="0.2">
      <c r="C6136" s="19"/>
      <c r="D6136" s="19"/>
      <c r="E6136" s="19"/>
      <c r="F6136" s="20"/>
      <c r="G6136" s="19"/>
      <c r="H6136" s="19"/>
      <c r="I6136" s="19"/>
      <c r="J6136" s="21"/>
      <c r="K6136" s="19"/>
    </row>
    <row r="6137" spans="3:11" x14ac:dyDescent="0.2">
      <c r="C6137" s="19"/>
      <c r="D6137" s="19"/>
      <c r="E6137" s="19"/>
      <c r="F6137" s="20"/>
      <c r="G6137" s="19"/>
      <c r="H6137" s="19"/>
      <c r="I6137" s="19"/>
      <c r="J6137" s="21"/>
      <c r="K6137" s="19"/>
    </row>
    <row r="6138" spans="3:11" x14ac:dyDescent="0.2">
      <c r="C6138" s="19"/>
      <c r="D6138" s="19"/>
      <c r="E6138" s="19"/>
      <c r="F6138" s="20"/>
      <c r="G6138" s="19"/>
      <c r="H6138" s="19"/>
      <c r="I6138" s="19"/>
      <c r="J6138" s="21"/>
      <c r="K6138" s="19"/>
    </row>
    <row r="6139" spans="3:11" x14ac:dyDescent="0.2">
      <c r="C6139" s="19"/>
      <c r="D6139" s="19"/>
      <c r="E6139" s="19"/>
      <c r="F6139" s="20"/>
      <c r="G6139" s="19"/>
      <c r="H6139" s="19"/>
      <c r="I6139" s="19"/>
      <c r="J6139" s="21"/>
      <c r="K6139" s="19"/>
    </row>
    <row r="6140" spans="3:11" x14ac:dyDescent="0.2">
      <c r="C6140" s="19"/>
      <c r="D6140" s="19"/>
      <c r="E6140" s="19"/>
      <c r="F6140" s="20"/>
      <c r="G6140" s="19"/>
      <c r="H6140" s="19"/>
      <c r="I6140" s="19"/>
      <c r="J6140" s="21"/>
      <c r="K6140" s="19"/>
    </row>
    <row r="6141" spans="3:11" x14ac:dyDescent="0.2">
      <c r="C6141" s="19"/>
      <c r="D6141" s="19"/>
      <c r="E6141" s="19"/>
      <c r="F6141" s="20"/>
      <c r="G6141" s="19"/>
      <c r="H6141" s="19"/>
      <c r="I6141" s="19"/>
      <c r="J6141" s="21"/>
      <c r="K6141" s="19"/>
    </row>
    <row r="6142" spans="3:11" x14ac:dyDescent="0.2">
      <c r="C6142" s="19"/>
      <c r="D6142" s="19"/>
      <c r="E6142" s="19"/>
      <c r="F6142" s="20"/>
      <c r="G6142" s="19"/>
      <c r="H6142" s="19"/>
      <c r="I6142" s="19"/>
      <c r="J6142" s="21"/>
      <c r="K6142" s="19"/>
    </row>
    <row r="6143" spans="3:11" x14ac:dyDescent="0.2">
      <c r="C6143" s="19"/>
      <c r="D6143" s="19"/>
      <c r="E6143" s="19"/>
      <c r="F6143" s="20"/>
      <c r="G6143" s="19"/>
      <c r="H6143" s="19"/>
      <c r="I6143" s="19"/>
      <c r="J6143" s="21"/>
      <c r="K6143" s="19"/>
    </row>
    <row r="6144" spans="3:11" x14ac:dyDescent="0.2">
      <c r="C6144" s="19"/>
      <c r="D6144" s="19"/>
      <c r="E6144" s="19"/>
      <c r="F6144" s="20"/>
      <c r="G6144" s="19"/>
      <c r="H6144" s="19"/>
      <c r="I6144" s="19"/>
      <c r="J6144" s="21"/>
      <c r="K6144" s="19"/>
    </row>
    <row r="6145" spans="3:11" x14ac:dyDescent="0.2">
      <c r="C6145" s="19"/>
      <c r="D6145" s="19"/>
      <c r="E6145" s="19"/>
      <c r="F6145" s="20"/>
      <c r="G6145" s="19"/>
      <c r="H6145" s="19"/>
      <c r="I6145" s="19"/>
      <c r="J6145" s="21"/>
      <c r="K6145" s="19"/>
    </row>
    <row r="6146" spans="3:11" x14ac:dyDescent="0.2">
      <c r="C6146" s="19"/>
      <c r="D6146" s="19"/>
      <c r="E6146" s="19"/>
      <c r="F6146" s="20"/>
      <c r="G6146" s="19"/>
      <c r="H6146" s="19"/>
      <c r="I6146" s="19"/>
      <c r="J6146" s="21"/>
      <c r="K6146" s="19"/>
    </row>
    <row r="6147" spans="3:11" x14ac:dyDescent="0.2">
      <c r="C6147" s="19"/>
      <c r="D6147" s="19"/>
      <c r="E6147" s="19"/>
      <c r="F6147" s="20"/>
      <c r="G6147" s="19"/>
      <c r="H6147" s="19"/>
      <c r="I6147" s="19"/>
      <c r="J6147" s="21"/>
      <c r="K6147" s="19"/>
    </row>
    <row r="6148" spans="3:11" x14ac:dyDescent="0.2">
      <c r="C6148" s="19"/>
      <c r="D6148" s="19"/>
      <c r="E6148" s="19"/>
      <c r="F6148" s="20"/>
      <c r="G6148" s="19"/>
      <c r="H6148" s="19"/>
      <c r="I6148" s="19"/>
      <c r="J6148" s="21"/>
      <c r="K6148" s="19"/>
    </row>
    <row r="6149" spans="3:11" x14ac:dyDescent="0.2">
      <c r="C6149" s="19"/>
      <c r="D6149" s="19"/>
      <c r="E6149" s="19"/>
      <c r="F6149" s="20"/>
      <c r="G6149" s="19"/>
      <c r="H6149" s="19"/>
      <c r="I6149" s="19"/>
      <c r="J6149" s="21"/>
      <c r="K6149" s="19"/>
    </row>
    <row r="6150" spans="3:11" x14ac:dyDescent="0.2">
      <c r="C6150" s="19"/>
      <c r="D6150" s="19"/>
      <c r="E6150" s="19"/>
      <c r="F6150" s="20"/>
      <c r="G6150" s="19"/>
      <c r="H6150" s="19"/>
      <c r="I6150" s="19"/>
      <c r="J6150" s="19"/>
      <c r="K6150" s="19"/>
    </row>
    <row r="6151" spans="3:11" x14ac:dyDescent="0.2">
      <c r="C6151" s="19"/>
      <c r="D6151" s="19"/>
      <c r="E6151" s="19"/>
      <c r="F6151" s="20"/>
      <c r="G6151" s="19"/>
      <c r="H6151" s="19"/>
      <c r="I6151" s="19"/>
      <c r="J6151" s="21"/>
      <c r="K6151" s="19"/>
    </row>
    <row r="6152" spans="3:11" x14ac:dyDescent="0.2">
      <c r="C6152" s="19"/>
      <c r="D6152" s="19"/>
      <c r="E6152" s="19"/>
      <c r="F6152" s="20"/>
      <c r="G6152" s="19"/>
      <c r="H6152" s="19"/>
      <c r="I6152" s="19"/>
      <c r="J6152" s="21"/>
      <c r="K6152" s="19"/>
    </row>
    <row r="6153" spans="3:11" x14ac:dyDescent="0.2">
      <c r="C6153" s="19"/>
      <c r="D6153" s="19"/>
      <c r="E6153" s="19"/>
      <c r="F6153" s="20"/>
      <c r="G6153" s="19"/>
      <c r="H6153" s="19"/>
      <c r="I6153" s="19"/>
      <c r="J6153" s="19"/>
      <c r="K6153" s="19"/>
    </row>
    <row r="6154" spans="3:11" x14ac:dyDescent="0.2">
      <c r="C6154" s="19"/>
      <c r="D6154" s="19"/>
      <c r="E6154" s="19"/>
      <c r="F6154" s="20"/>
      <c r="G6154" s="19"/>
      <c r="H6154" s="19"/>
      <c r="I6154" s="19"/>
      <c r="J6154" s="21"/>
      <c r="K6154" s="19"/>
    </row>
    <row r="6155" spans="3:11" x14ac:dyDescent="0.2">
      <c r="C6155" s="19"/>
      <c r="D6155" s="19"/>
      <c r="E6155" s="19"/>
      <c r="F6155" s="20"/>
      <c r="G6155" s="19"/>
      <c r="H6155" s="19"/>
      <c r="I6155" s="19"/>
      <c r="J6155" s="21"/>
      <c r="K6155" s="19"/>
    </row>
    <row r="6156" spans="3:11" x14ac:dyDescent="0.2">
      <c r="C6156" s="19"/>
      <c r="D6156" s="19"/>
      <c r="E6156" s="19"/>
      <c r="F6156" s="20"/>
      <c r="G6156" s="19"/>
      <c r="H6156" s="19"/>
      <c r="I6156" s="19"/>
      <c r="J6156" s="21"/>
      <c r="K6156" s="19"/>
    </row>
    <row r="6157" spans="3:11" x14ac:dyDescent="0.2">
      <c r="C6157" s="19"/>
      <c r="D6157" s="19"/>
      <c r="E6157" s="19"/>
      <c r="F6157" s="20"/>
      <c r="G6157" s="19"/>
      <c r="H6157" s="19"/>
      <c r="I6157" s="19"/>
      <c r="J6157" s="19"/>
      <c r="K6157" s="19"/>
    </row>
    <row r="6158" spans="3:11" x14ac:dyDescent="0.2">
      <c r="C6158" s="19"/>
      <c r="D6158" s="19"/>
      <c r="E6158" s="19"/>
      <c r="F6158" s="20"/>
      <c r="G6158" s="19"/>
      <c r="H6158" s="19"/>
      <c r="I6158" s="19"/>
      <c r="J6158" s="21"/>
      <c r="K6158" s="19"/>
    </row>
    <row r="6159" spans="3:11" x14ac:dyDescent="0.2">
      <c r="C6159" s="19"/>
      <c r="D6159" s="19"/>
      <c r="E6159" s="19"/>
      <c r="F6159" s="20"/>
      <c r="G6159" s="19"/>
      <c r="H6159" s="19"/>
      <c r="I6159" s="19"/>
      <c r="J6159" s="19"/>
      <c r="K6159" s="19"/>
    </row>
    <row r="6160" spans="3:11" x14ac:dyDescent="0.2">
      <c r="C6160" s="19"/>
      <c r="D6160" s="19"/>
      <c r="E6160" s="19"/>
      <c r="F6160" s="20"/>
      <c r="G6160" s="19"/>
      <c r="H6160" s="19"/>
      <c r="I6160" s="19"/>
      <c r="J6160" s="21"/>
      <c r="K6160" s="19"/>
    </row>
    <row r="6161" spans="3:11" x14ac:dyDescent="0.2">
      <c r="C6161" s="19"/>
      <c r="D6161" s="19"/>
      <c r="E6161" s="19"/>
      <c r="F6161" s="20"/>
      <c r="G6161" s="19"/>
      <c r="H6161" s="19"/>
      <c r="I6161" s="19"/>
      <c r="J6161" s="21"/>
      <c r="K6161" s="19"/>
    </row>
    <row r="6162" spans="3:11" x14ac:dyDescent="0.2">
      <c r="C6162" s="19"/>
      <c r="D6162" s="19"/>
      <c r="E6162" s="19"/>
      <c r="F6162" s="20"/>
      <c r="G6162" s="19"/>
      <c r="H6162" s="19"/>
      <c r="I6162" s="19"/>
      <c r="J6162" s="19"/>
      <c r="K6162" s="19"/>
    </row>
    <row r="6163" spans="3:11" x14ac:dyDescent="0.2">
      <c r="C6163" s="19"/>
      <c r="D6163" s="19"/>
      <c r="E6163" s="19"/>
      <c r="F6163" s="20"/>
      <c r="G6163" s="19"/>
      <c r="H6163" s="19"/>
      <c r="I6163" s="19"/>
      <c r="J6163" s="21"/>
      <c r="K6163" s="19"/>
    </row>
    <row r="6164" spans="3:11" x14ac:dyDescent="0.2">
      <c r="C6164" s="19"/>
      <c r="D6164" s="19"/>
      <c r="E6164" s="19"/>
      <c r="F6164" s="20"/>
      <c r="G6164" s="19"/>
      <c r="H6164" s="19"/>
      <c r="I6164" s="19"/>
      <c r="J6164" s="21"/>
      <c r="K6164" s="19"/>
    </row>
    <row r="6165" spans="3:11" x14ac:dyDescent="0.2">
      <c r="C6165" s="19"/>
      <c r="D6165" s="19"/>
      <c r="E6165" s="19"/>
      <c r="F6165" s="20"/>
      <c r="G6165" s="19"/>
      <c r="H6165" s="19"/>
      <c r="I6165" s="19"/>
      <c r="J6165" s="21"/>
      <c r="K6165" s="19"/>
    </row>
    <row r="6166" spans="3:11" x14ac:dyDescent="0.2">
      <c r="C6166" s="19"/>
      <c r="D6166" s="19"/>
      <c r="E6166" s="19"/>
      <c r="F6166" s="20"/>
      <c r="G6166" s="19"/>
      <c r="H6166" s="19"/>
      <c r="I6166" s="19"/>
      <c r="J6166" s="21"/>
      <c r="K6166" s="19"/>
    </row>
    <row r="6167" spans="3:11" x14ac:dyDescent="0.2">
      <c r="C6167" s="19"/>
      <c r="D6167" s="19"/>
      <c r="E6167" s="19"/>
      <c r="F6167" s="20"/>
      <c r="G6167" s="19"/>
      <c r="H6167" s="19"/>
      <c r="I6167" s="19"/>
      <c r="J6167" s="21"/>
      <c r="K6167" s="19"/>
    </row>
    <row r="6168" spans="3:11" x14ac:dyDescent="0.2">
      <c r="C6168" s="19"/>
      <c r="D6168" s="19"/>
      <c r="E6168" s="19"/>
      <c r="F6168" s="20"/>
      <c r="G6168" s="19"/>
      <c r="H6168" s="19"/>
      <c r="I6168" s="19"/>
      <c r="J6168" s="21"/>
      <c r="K6168" s="19"/>
    </row>
    <row r="6169" spans="3:11" x14ac:dyDescent="0.2">
      <c r="C6169" s="19"/>
      <c r="D6169" s="19"/>
      <c r="E6169" s="19"/>
      <c r="F6169" s="20"/>
      <c r="G6169" s="19"/>
      <c r="H6169" s="19"/>
      <c r="I6169" s="19"/>
      <c r="J6169" s="21"/>
      <c r="K6169" s="19"/>
    </row>
    <row r="6170" spans="3:11" x14ac:dyDescent="0.2">
      <c r="C6170" s="19"/>
      <c r="D6170" s="19"/>
      <c r="E6170" s="19"/>
      <c r="F6170" s="20"/>
      <c r="G6170" s="19"/>
      <c r="H6170" s="19"/>
      <c r="I6170" s="19"/>
      <c r="J6170" s="21"/>
      <c r="K6170" s="19"/>
    </row>
    <row r="6171" spans="3:11" x14ac:dyDescent="0.2">
      <c r="C6171" s="19"/>
      <c r="D6171" s="19"/>
      <c r="E6171" s="19"/>
      <c r="F6171" s="20"/>
      <c r="G6171" s="19"/>
      <c r="H6171" s="19"/>
      <c r="I6171" s="19"/>
      <c r="J6171" s="21"/>
      <c r="K6171" s="19"/>
    </row>
    <row r="6172" spans="3:11" x14ac:dyDescent="0.2">
      <c r="C6172" s="19"/>
      <c r="D6172" s="19"/>
      <c r="E6172" s="19"/>
      <c r="F6172" s="20"/>
      <c r="G6172" s="19"/>
      <c r="H6172" s="19"/>
      <c r="I6172" s="19"/>
      <c r="J6172" s="21"/>
      <c r="K6172" s="19"/>
    </row>
    <row r="6173" spans="3:11" x14ac:dyDescent="0.2">
      <c r="C6173" s="19"/>
      <c r="D6173" s="19"/>
      <c r="E6173" s="19"/>
      <c r="F6173" s="20"/>
      <c r="G6173" s="19"/>
      <c r="H6173" s="19"/>
      <c r="I6173" s="19"/>
      <c r="J6173" s="21"/>
      <c r="K6173" s="19"/>
    </row>
    <row r="6174" spans="3:11" x14ac:dyDescent="0.2">
      <c r="C6174" s="19"/>
      <c r="D6174" s="19"/>
      <c r="E6174" s="19"/>
      <c r="F6174" s="20"/>
      <c r="G6174" s="19"/>
      <c r="H6174" s="19"/>
      <c r="I6174" s="19"/>
      <c r="J6174" s="21"/>
      <c r="K6174" s="19"/>
    </row>
    <row r="6175" spans="3:11" x14ac:dyDescent="0.2">
      <c r="C6175" s="19"/>
      <c r="D6175" s="19"/>
      <c r="E6175" s="19"/>
      <c r="F6175" s="20"/>
      <c r="G6175" s="19"/>
      <c r="H6175" s="19"/>
      <c r="I6175" s="19"/>
      <c r="J6175" s="21"/>
      <c r="K6175" s="19"/>
    </row>
    <row r="6176" spans="3:11" x14ac:dyDescent="0.2">
      <c r="C6176" s="19"/>
      <c r="D6176" s="19"/>
      <c r="E6176" s="19"/>
      <c r="F6176" s="20"/>
      <c r="G6176" s="19"/>
      <c r="H6176" s="19"/>
      <c r="I6176" s="19"/>
      <c r="J6176" s="21"/>
      <c r="K6176" s="19"/>
    </row>
    <row r="6177" spans="3:11" x14ac:dyDescent="0.2">
      <c r="C6177" s="19"/>
      <c r="D6177" s="19"/>
      <c r="E6177" s="19"/>
      <c r="F6177" s="20"/>
      <c r="G6177" s="19"/>
      <c r="H6177" s="19"/>
      <c r="I6177" s="19"/>
      <c r="J6177" s="21"/>
      <c r="K6177" s="19"/>
    </row>
    <row r="6178" spans="3:11" x14ac:dyDescent="0.2">
      <c r="C6178" s="19"/>
      <c r="D6178" s="19"/>
      <c r="E6178" s="19"/>
      <c r="F6178" s="20"/>
      <c r="G6178" s="19"/>
      <c r="H6178" s="19"/>
      <c r="I6178" s="19"/>
      <c r="J6178" s="21"/>
      <c r="K6178" s="19"/>
    </row>
    <row r="6179" spans="3:11" x14ac:dyDescent="0.2">
      <c r="C6179" s="19"/>
      <c r="D6179" s="19"/>
      <c r="E6179" s="19"/>
      <c r="F6179" s="20"/>
      <c r="G6179" s="19"/>
      <c r="H6179" s="19"/>
      <c r="I6179" s="19"/>
      <c r="J6179" s="21"/>
      <c r="K6179" s="19"/>
    </row>
    <row r="6180" spans="3:11" x14ac:dyDescent="0.2">
      <c r="C6180" s="19"/>
      <c r="D6180" s="19"/>
      <c r="E6180" s="19"/>
      <c r="F6180" s="20"/>
      <c r="G6180" s="19"/>
      <c r="H6180" s="19"/>
      <c r="I6180" s="19"/>
      <c r="J6180" s="21"/>
      <c r="K6180" s="19"/>
    </row>
    <row r="6181" spans="3:11" x14ac:dyDescent="0.2">
      <c r="C6181" s="19"/>
      <c r="D6181" s="19"/>
      <c r="E6181" s="19"/>
      <c r="F6181" s="20"/>
      <c r="G6181" s="19"/>
      <c r="H6181" s="19"/>
      <c r="I6181" s="19"/>
      <c r="J6181" s="21"/>
      <c r="K6181" s="19"/>
    </row>
    <row r="6182" spans="3:11" x14ac:dyDescent="0.2">
      <c r="C6182" s="19"/>
      <c r="D6182" s="19"/>
      <c r="E6182" s="19"/>
      <c r="F6182" s="20"/>
      <c r="G6182" s="19"/>
      <c r="H6182" s="19"/>
      <c r="I6182" s="19"/>
      <c r="J6182" s="21"/>
      <c r="K6182" s="19"/>
    </row>
    <row r="6183" spans="3:11" x14ac:dyDescent="0.2">
      <c r="C6183" s="19"/>
      <c r="D6183" s="19"/>
      <c r="E6183" s="19"/>
      <c r="F6183" s="20"/>
      <c r="G6183" s="19"/>
      <c r="H6183" s="19"/>
      <c r="I6183" s="19"/>
      <c r="J6183" s="21"/>
      <c r="K6183" s="19"/>
    </row>
    <row r="6184" spans="3:11" x14ac:dyDescent="0.2">
      <c r="C6184" s="19"/>
      <c r="D6184" s="19"/>
      <c r="E6184" s="19"/>
      <c r="F6184" s="20"/>
      <c r="G6184" s="19"/>
      <c r="H6184" s="19"/>
      <c r="I6184" s="19"/>
      <c r="J6184" s="21"/>
      <c r="K6184" s="19"/>
    </row>
    <row r="6185" spans="3:11" x14ac:dyDescent="0.2">
      <c r="C6185" s="19"/>
      <c r="D6185" s="19"/>
      <c r="E6185" s="19"/>
      <c r="F6185" s="20"/>
      <c r="G6185" s="19"/>
      <c r="H6185" s="19"/>
      <c r="I6185" s="19"/>
      <c r="J6185" s="21"/>
      <c r="K6185" s="19"/>
    </row>
    <row r="6186" spans="3:11" x14ac:dyDescent="0.2">
      <c r="C6186" s="19"/>
      <c r="D6186" s="19"/>
      <c r="E6186" s="19"/>
      <c r="F6186" s="20"/>
      <c r="G6186" s="19"/>
      <c r="H6186" s="19"/>
      <c r="I6186" s="19"/>
      <c r="J6186" s="21"/>
      <c r="K6186" s="19"/>
    </row>
    <row r="6187" spans="3:11" x14ac:dyDescent="0.2">
      <c r="C6187" s="19"/>
      <c r="D6187" s="19"/>
      <c r="E6187" s="19"/>
      <c r="F6187" s="20"/>
      <c r="G6187" s="19"/>
      <c r="H6187" s="19"/>
      <c r="I6187" s="19"/>
      <c r="J6187" s="21"/>
      <c r="K6187" s="19"/>
    </row>
    <row r="6188" spans="3:11" x14ac:dyDescent="0.2">
      <c r="C6188" s="19"/>
      <c r="D6188" s="19"/>
      <c r="E6188" s="19"/>
      <c r="F6188" s="20"/>
      <c r="G6188" s="19"/>
      <c r="H6188" s="19"/>
      <c r="I6188" s="19"/>
      <c r="J6188" s="21"/>
      <c r="K6188" s="19"/>
    </row>
    <row r="6189" spans="3:11" x14ac:dyDescent="0.2">
      <c r="C6189" s="19"/>
      <c r="D6189" s="19"/>
      <c r="E6189" s="19"/>
      <c r="F6189" s="20"/>
      <c r="G6189" s="19"/>
      <c r="H6189" s="19"/>
      <c r="I6189" s="19"/>
      <c r="J6189" s="21"/>
      <c r="K6189" s="19"/>
    </row>
    <row r="6190" spans="3:11" x14ac:dyDescent="0.2">
      <c r="C6190" s="19"/>
      <c r="D6190" s="19"/>
      <c r="E6190" s="19"/>
      <c r="F6190" s="20"/>
      <c r="G6190" s="19"/>
      <c r="H6190" s="19"/>
      <c r="I6190" s="19"/>
      <c r="J6190" s="21"/>
      <c r="K6190" s="19"/>
    </row>
    <row r="6191" spans="3:11" x14ac:dyDescent="0.2">
      <c r="C6191" s="19"/>
      <c r="D6191" s="19"/>
      <c r="E6191" s="19"/>
      <c r="F6191" s="20"/>
      <c r="G6191" s="19"/>
      <c r="H6191" s="19"/>
      <c r="I6191" s="19"/>
      <c r="J6191" s="21"/>
      <c r="K6191" s="19"/>
    </row>
    <row r="6192" spans="3:11" x14ac:dyDescent="0.2">
      <c r="C6192" s="19"/>
      <c r="D6192" s="19"/>
      <c r="E6192" s="19"/>
      <c r="F6192" s="20"/>
      <c r="G6192" s="19"/>
      <c r="H6192" s="19"/>
      <c r="I6192" s="19"/>
      <c r="J6192" s="21"/>
      <c r="K6192" s="19"/>
    </row>
    <row r="6193" spans="3:11" x14ac:dyDescent="0.2">
      <c r="C6193" s="19"/>
      <c r="D6193" s="19"/>
      <c r="E6193" s="19"/>
      <c r="F6193" s="20"/>
      <c r="G6193" s="19"/>
      <c r="H6193" s="19"/>
      <c r="I6193" s="19"/>
      <c r="J6193" s="21"/>
      <c r="K6193" s="19"/>
    </row>
    <row r="6194" spans="3:11" x14ac:dyDescent="0.2">
      <c r="C6194" s="19"/>
      <c r="D6194" s="19"/>
      <c r="E6194" s="19"/>
      <c r="F6194" s="20"/>
      <c r="G6194" s="19"/>
      <c r="H6194" s="19"/>
      <c r="I6194" s="19"/>
      <c r="J6194" s="21"/>
      <c r="K6194" s="19"/>
    </row>
    <row r="6195" spans="3:11" x14ac:dyDescent="0.2">
      <c r="C6195" s="19"/>
      <c r="D6195" s="19"/>
      <c r="E6195" s="19"/>
      <c r="F6195" s="20"/>
      <c r="G6195" s="19"/>
      <c r="H6195" s="19"/>
      <c r="I6195" s="19"/>
      <c r="J6195" s="19"/>
      <c r="K6195" s="19"/>
    </row>
    <row r="6196" spans="3:11" x14ac:dyDescent="0.2">
      <c r="C6196" s="19"/>
      <c r="D6196" s="19"/>
      <c r="E6196" s="19"/>
      <c r="F6196" s="20"/>
      <c r="G6196" s="19"/>
      <c r="H6196" s="19"/>
      <c r="I6196" s="19"/>
      <c r="J6196" s="21"/>
      <c r="K6196" s="19"/>
    </row>
    <row r="6197" spans="3:11" x14ac:dyDescent="0.2">
      <c r="C6197" s="19"/>
      <c r="D6197" s="19"/>
      <c r="E6197" s="19"/>
      <c r="F6197" s="20"/>
      <c r="G6197" s="19"/>
      <c r="H6197" s="19"/>
      <c r="I6197" s="19"/>
      <c r="J6197" s="21"/>
      <c r="K6197" s="19"/>
    </row>
    <row r="6198" spans="3:11" x14ac:dyDescent="0.2">
      <c r="C6198" s="19"/>
      <c r="D6198" s="19"/>
      <c r="E6198" s="19"/>
      <c r="F6198" s="20"/>
      <c r="G6198" s="19"/>
      <c r="H6198" s="19"/>
      <c r="I6198" s="19"/>
      <c r="J6198" s="21"/>
      <c r="K6198" s="19"/>
    </row>
    <row r="6199" spans="3:11" x14ac:dyDescent="0.2">
      <c r="C6199" s="19"/>
      <c r="D6199" s="19"/>
      <c r="E6199" s="19"/>
      <c r="F6199" s="20"/>
      <c r="G6199" s="19"/>
      <c r="H6199" s="19"/>
      <c r="I6199" s="19"/>
      <c r="J6199" s="21"/>
      <c r="K6199" s="19"/>
    </row>
    <row r="6200" spans="3:11" x14ac:dyDescent="0.2">
      <c r="C6200" s="19"/>
      <c r="D6200" s="19"/>
      <c r="E6200" s="19"/>
      <c r="F6200" s="20"/>
      <c r="G6200" s="19"/>
      <c r="H6200" s="19"/>
      <c r="I6200" s="19"/>
      <c r="J6200" s="21"/>
      <c r="K6200" s="19"/>
    </row>
    <row r="6201" spans="3:11" x14ac:dyDescent="0.2">
      <c r="C6201" s="19"/>
      <c r="D6201" s="19"/>
      <c r="E6201" s="19"/>
      <c r="F6201" s="20"/>
      <c r="G6201" s="19"/>
      <c r="H6201" s="19"/>
      <c r="I6201" s="19"/>
      <c r="J6201" s="21"/>
      <c r="K6201" s="19"/>
    </row>
    <row r="6202" spans="3:11" x14ac:dyDescent="0.2">
      <c r="C6202" s="19"/>
      <c r="D6202" s="19"/>
      <c r="E6202" s="19"/>
      <c r="F6202" s="20"/>
      <c r="G6202" s="19"/>
      <c r="H6202" s="19"/>
      <c r="I6202" s="19"/>
      <c r="J6202" s="21"/>
      <c r="K6202" s="19"/>
    </row>
    <row r="6203" spans="3:11" x14ac:dyDescent="0.2">
      <c r="C6203" s="19"/>
      <c r="D6203" s="19"/>
      <c r="E6203" s="19"/>
      <c r="F6203" s="20"/>
      <c r="G6203" s="19"/>
      <c r="H6203" s="19"/>
      <c r="I6203" s="19"/>
      <c r="J6203" s="21"/>
      <c r="K6203" s="19"/>
    </row>
    <row r="6204" spans="3:11" x14ac:dyDescent="0.2">
      <c r="C6204" s="19"/>
      <c r="D6204" s="19"/>
      <c r="E6204" s="19"/>
      <c r="F6204" s="20"/>
      <c r="G6204" s="19"/>
      <c r="H6204" s="19"/>
      <c r="I6204" s="19"/>
      <c r="J6204" s="21"/>
      <c r="K6204" s="19"/>
    </row>
    <row r="6205" spans="3:11" x14ac:dyDescent="0.2">
      <c r="C6205" s="19"/>
      <c r="D6205" s="19"/>
      <c r="E6205" s="19"/>
      <c r="F6205" s="20"/>
      <c r="G6205" s="19"/>
      <c r="H6205" s="19"/>
      <c r="I6205" s="19"/>
      <c r="J6205" s="21"/>
      <c r="K6205" s="19"/>
    </row>
    <row r="6206" spans="3:11" x14ac:dyDescent="0.2">
      <c r="C6206" s="19"/>
      <c r="D6206" s="19"/>
      <c r="E6206" s="19"/>
      <c r="F6206" s="20"/>
      <c r="G6206" s="19"/>
      <c r="H6206" s="19"/>
      <c r="I6206" s="19"/>
      <c r="J6206" s="19"/>
      <c r="K6206" s="19"/>
    </row>
    <row r="6207" spans="3:11" x14ac:dyDescent="0.2">
      <c r="C6207" s="19"/>
      <c r="D6207" s="19"/>
      <c r="E6207" s="19"/>
      <c r="F6207" s="20"/>
      <c r="G6207" s="19"/>
      <c r="H6207" s="19"/>
      <c r="I6207" s="19"/>
      <c r="J6207" s="19"/>
      <c r="K6207" s="19"/>
    </row>
    <row r="6208" spans="3:11" x14ac:dyDescent="0.2">
      <c r="C6208" s="19"/>
      <c r="D6208" s="19"/>
      <c r="E6208" s="19"/>
      <c r="F6208" s="20"/>
      <c r="G6208" s="19"/>
      <c r="H6208" s="19"/>
      <c r="I6208" s="19"/>
      <c r="J6208" s="21"/>
      <c r="K6208" s="19"/>
    </row>
    <row r="6209" spans="3:11" x14ac:dyDescent="0.2">
      <c r="C6209" s="19"/>
      <c r="D6209" s="19"/>
      <c r="E6209" s="19"/>
      <c r="F6209" s="20"/>
      <c r="G6209" s="19"/>
      <c r="H6209" s="19"/>
      <c r="I6209" s="19"/>
      <c r="J6209" s="21"/>
      <c r="K6209" s="19"/>
    </row>
    <row r="6210" spans="3:11" x14ac:dyDescent="0.2">
      <c r="C6210" s="19"/>
      <c r="D6210" s="19"/>
      <c r="E6210" s="19"/>
      <c r="F6210" s="20"/>
      <c r="G6210" s="19"/>
      <c r="H6210" s="19"/>
      <c r="I6210" s="19"/>
      <c r="J6210" s="19"/>
      <c r="K6210" s="19"/>
    </row>
    <row r="6211" spans="3:11" x14ac:dyDescent="0.2">
      <c r="C6211" s="19"/>
      <c r="D6211" s="19"/>
      <c r="E6211" s="19"/>
      <c r="F6211" s="20"/>
      <c r="G6211" s="19"/>
      <c r="H6211" s="19"/>
      <c r="I6211" s="19"/>
      <c r="J6211" s="19"/>
      <c r="K6211" s="19"/>
    </row>
    <row r="6212" spans="3:11" x14ac:dyDescent="0.2">
      <c r="C6212" s="19"/>
      <c r="D6212" s="19"/>
      <c r="E6212" s="19"/>
      <c r="F6212" s="20"/>
      <c r="G6212" s="19"/>
      <c r="H6212" s="19"/>
      <c r="I6212" s="19"/>
      <c r="J6212" s="19"/>
      <c r="K6212" s="19"/>
    </row>
    <row r="6213" spans="3:11" x14ac:dyDescent="0.2">
      <c r="C6213" s="19"/>
      <c r="D6213" s="19"/>
      <c r="E6213" s="19"/>
      <c r="F6213" s="20"/>
      <c r="G6213" s="19"/>
      <c r="H6213" s="19"/>
      <c r="I6213" s="19"/>
      <c r="J6213" s="19"/>
      <c r="K6213" s="19"/>
    </row>
    <row r="6214" spans="3:11" x14ac:dyDescent="0.2">
      <c r="C6214" s="19"/>
      <c r="D6214" s="19"/>
      <c r="E6214" s="19"/>
      <c r="F6214" s="20"/>
      <c r="G6214" s="19"/>
      <c r="H6214" s="19"/>
      <c r="I6214" s="19"/>
      <c r="J6214" s="19"/>
      <c r="K6214" s="19"/>
    </row>
    <row r="6215" spans="3:11" x14ac:dyDescent="0.2">
      <c r="C6215" s="19"/>
      <c r="D6215" s="19"/>
      <c r="E6215" s="19"/>
      <c r="F6215" s="20"/>
      <c r="G6215" s="19"/>
      <c r="H6215" s="19"/>
      <c r="I6215" s="19"/>
      <c r="J6215" s="21"/>
      <c r="K6215" s="19"/>
    </row>
    <row r="6216" spans="3:11" x14ac:dyDescent="0.2">
      <c r="C6216" s="19"/>
      <c r="D6216" s="19"/>
      <c r="E6216" s="19"/>
      <c r="F6216" s="20"/>
      <c r="G6216" s="19"/>
      <c r="H6216" s="19"/>
      <c r="I6216" s="19"/>
      <c r="J6216" s="21"/>
      <c r="K6216" s="19"/>
    </row>
    <row r="6217" spans="3:11" x14ac:dyDescent="0.2">
      <c r="C6217" s="19"/>
      <c r="D6217" s="19"/>
      <c r="E6217" s="19"/>
      <c r="F6217" s="20"/>
      <c r="G6217" s="19"/>
      <c r="H6217" s="19"/>
      <c r="I6217" s="19"/>
      <c r="J6217" s="21"/>
      <c r="K6217" s="19"/>
    </row>
    <row r="6218" spans="3:11" x14ac:dyDescent="0.2">
      <c r="C6218" s="19"/>
      <c r="D6218" s="19"/>
      <c r="E6218" s="19"/>
      <c r="F6218" s="20"/>
      <c r="G6218" s="19"/>
      <c r="H6218" s="19"/>
      <c r="I6218" s="19"/>
      <c r="J6218" s="21"/>
      <c r="K6218" s="19"/>
    </row>
    <row r="6219" spans="3:11" x14ac:dyDescent="0.2">
      <c r="C6219" s="19"/>
      <c r="D6219" s="19"/>
      <c r="E6219" s="19"/>
      <c r="F6219" s="20"/>
      <c r="G6219" s="19"/>
      <c r="H6219" s="19"/>
      <c r="I6219" s="19"/>
      <c r="J6219" s="21"/>
      <c r="K6219" s="19"/>
    </row>
    <row r="6220" spans="3:11" x14ac:dyDescent="0.2">
      <c r="C6220" s="19"/>
      <c r="D6220" s="19"/>
      <c r="E6220" s="19"/>
      <c r="F6220" s="20"/>
      <c r="G6220" s="19"/>
      <c r="H6220" s="19"/>
      <c r="I6220" s="19"/>
      <c r="J6220" s="21"/>
      <c r="K6220" s="19"/>
    </row>
    <row r="6221" spans="3:11" x14ac:dyDescent="0.2">
      <c r="C6221" s="19"/>
      <c r="D6221" s="19"/>
      <c r="E6221" s="19"/>
      <c r="F6221" s="20"/>
      <c r="G6221" s="19"/>
      <c r="H6221" s="19"/>
      <c r="I6221" s="19"/>
      <c r="J6221" s="21"/>
      <c r="K6221" s="19"/>
    </row>
    <row r="6222" spans="3:11" x14ac:dyDescent="0.2">
      <c r="C6222" s="19"/>
      <c r="D6222" s="19"/>
      <c r="E6222" s="19"/>
      <c r="F6222" s="20"/>
      <c r="G6222" s="19"/>
      <c r="H6222" s="19"/>
      <c r="I6222" s="19"/>
      <c r="J6222" s="21"/>
      <c r="K6222" s="19"/>
    </row>
    <row r="6223" spans="3:11" x14ac:dyDescent="0.2">
      <c r="C6223" s="19"/>
      <c r="D6223" s="19"/>
      <c r="E6223" s="19"/>
      <c r="F6223" s="20"/>
      <c r="G6223" s="19"/>
      <c r="H6223" s="19"/>
      <c r="I6223" s="19"/>
      <c r="J6223" s="21"/>
      <c r="K6223" s="19"/>
    </row>
    <row r="6224" spans="3:11" x14ac:dyDescent="0.2">
      <c r="C6224" s="19"/>
      <c r="D6224" s="19"/>
      <c r="E6224" s="19"/>
      <c r="F6224" s="20"/>
      <c r="G6224" s="19"/>
      <c r="H6224" s="19"/>
      <c r="I6224" s="19"/>
      <c r="J6224" s="19"/>
      <c r="K6224" s="19"/>
    </row>
    <row r="6225" spans="3:11" x14ac:dyDescent="0.2">
      <c r="C6225" s="19"/>
      <c r="D6225" s="19"/>
      <c r="E6225" s="19"/>
      <c r="F6225" s="20"/>
      <c r="G6225" s="19"/>
      <c r="H6225" s="19"/>
      <c r="I6225" s="19"/>
      <c r="J6225" s="21"/>
      <c r="K6225" s="19"/>
    </row>
    <row r="6226" spans="3:11" x14ac:dyDescent="0.2">
      <c r="C6226" s="19"/>
      <c r="D6226" s="19"/>
      <c r="E6226" s="19"/>
      <c r="F6226" s="20"/>
      <c r="G6226" s="19"/>
      <c r="H6226" s="19"/>
      <c r="I6226" s="19"/>
      <c r="J6226" s="21"/>
      <c r="K6226" s="19"/>
    </row>
    <row r="6227" spans="3:11" x14ac:dyDescent="0.2">
      <c r="C6227" s="19"/>
      <c r="D6227" s="19"/>
      <c r="E6227" s="19"/>
      <c r="F6227" s="20"/>
      <c r="G6227" s="19"/>
      <c r="H6227" s="19"/>
      <c r="I6227" s="19"/>
      <c r="J6227" s="21"/>
      <c r="K6227" s="19"/>
    </row>
    <row r="6228" spans="3:11" x14ac:dyDescent="0.2">
      <c r="C6228" s="19"/>
      <c r="D6228" s="19"/>
      <c r="E6228" s="19"/>
      <c r="F6228" s="20"/>
      <c r="G6228" s="19"/>
      <c r="H6228" s="19"/>
      <c r="I6228" s="19"/>
      <c r="J6228" s="21"/>
      <c r="K6228" s="19"/>
    </row>
    <row r="6229" spans="3:11" x14ac:dyDescent="0.2">
      <c r="C6229" s="19"/>
      <c r="D6229" s="19"/>
      <c r="E6229" s="19"/>
      <c r="F6229" s="20"/>
      <c r="G6229" s="19"/>
      <c r="H6229" s="19"/>
      <c r="I6229" s="19"/>
      <c r="J6229" s="21"/>
      <c r="K6229" s="19"/>
    </row>
    <row r="6230" spans="3:11" x14ac:dyDescent="0.2">
      <c r="C6230" s="19"/>
      <c r="D6230" s="19"/>
      <c r="E6230" s="19"/>
      <c r="F6230" s="20"/>
      <c r="G6230" s="19"/>
      <c r="H6230" s="19"/>
      <c r="I6230" s="19"/>
      <c r="J6230" s="21"/>
      <c r="K6230" s="19"/>
    </row>
    <row r="6231" spans="3:11" x14ac:dyDescent="0.2">
      <c r="C6231" s="19"/>
      <c r="D6231" s="19"/>
      <c r="E6231" s="19"/>
      <c r="F6231" s="20"/>
      <c r="G6231" s="19"/>
      <c r="H6231" s="19"/>
      <c r="I6231" s="19"/>
      <c r="J6231" s="19"/>
      <c r="K6231" s="19"/>
    </row>
    <row r="6232" spans="3:11" x14ac:dyDescent="0.2">
      <c r="C6232" s="19"/>
      <c r="D6232" s="19"/>
      <c r="E6232" s="19"/>
      <c r="F6232" s="20"/>
      <c r="G6232" s="19"/>
      <c r="H6232" s="19"/>
      <c r="I6232" s="19"/>
      <c r="J6232" s="19"/>
      <c r="K6232" s="19"/>
    </row>
    <row r="6233" spans="3:11" x14ac:dyDescent="0.2">
      <c r="C6233" s="19"/>
      <c r="D6233" s="19"/>
      <c r="E6233" s="19"/>
      <c r="F6233" s="20"/>
      <c r="G6233" s="19"/>
      <c r="H6233" s="19"/>
      <c r="I6233" s="19"/>
      <c r="J6233" s="21"/>
      <c r="K6233" s="19"/>
    </row>
    <row r="6234" spans="3:11" x14ac:dyDescent="0.2">
      <c r="C6234" s="19"/>
      <c r="D6234" s="19"/>
      <c r="E6234" s="19"/>
      <c r="F6234" s="20"/>
      <c r="G6234" s="19"/>
      <c r="H6234" s="19"/>
      <c r="I6234" s="19"/>
      <c r="J6234" s="19"/>
      <c r="K6234" s="19"/>
    </row>
    <row r="6235" spans="3:11" x14ac:dyDescent="0.2">
      <c r="C6235" s="19"/>
      <c r="D6235" s="19"/>
      <c r="E6235" s="19"/>
      <c r="F6235" s="20"/>
      <c r="G6235" s="19"/>
      <c r="H6235" s="19"/>
      <c r="I6235" s="19"/>
      <c r="J6235" s="21"/>
      <c r="K6235" s="19"/>
    </row>
    <row r="6236" spans="3:11" x14ac:dyDescent="0.2">
      <c r="C6236" s="19"/>
      <c r="D6236" s="19"/>
      <c r="E6236" s="19"/>
      <c r="F6236" s="20"/>
      <c r="G6236" s="19"/>
      <c r="H6236" s="19"/>
      <c r="I6236" s="19"/>
      <c r="J6236" s="21"/>
      <c r="K6236" s="19"/>
    </row>
    <row r="6237" spans="3:11" x14ac:dyDescent="0.2">
      <c r="C6237" s="19"/>
      <c r="D6237" s="19"/>
      <c r="E6237" s="19"/>
      <c r="F6237" s="20"/>
      <c r="G6237" s="19"/>
      <c r="H6237" s="19"/>
      <c r="I6237" s="19"/>
      <c r="J6237" s="19"/>
      <c r="K6237" s="19"/>
    </row>
    <row r="6238" spans="3:11" x14ac:dyDescent="0.2">
      <c r="C6238" s="19"/>
      <c r="D6238" s="19"/>
      <c r="E6238" s="19"/>
      <c r="F6238" s="20"/>
      <c r="G6238" s="19"/>
      <c r="H6238" s="19"/>
      <c r="I6238" s="19"/>
      <c r="J6238" s="19"/>
      <c r="K6238" s="19"/>
    </row>
    <row r="6239" spans="3:11" x14ac:dyDescent="0.2">
      <c r="C6239" s="19"/>
      <c r="D6239" s="19"/>
      <c r="E6239" s="19"/>
      <c r="F6239" s="20"/>
      <c r="G6239" s="19"/>
      <c r="H6239" s="19"/>
      <c r="I6239" s="19"/>
      <c r="J6239" s="21"/>
      <c r="K6239" s="19"/>
    </row>
    <row r="6240" spans="3:11" x14ac:dyDescent="0.2">
      <c r="C6240" s="19"/>
      <c r="D6240" s="19"/>
      <c r="E6240" s="19"/>
      <c r="F6240" s="20"/>
      <c r="G6240" s="19"/>
      <c r="H6240" s="19"/>
      <c r="I6240" s="19"/>
      <c r="J6240" s="21"/>
      <c r="K6240" s="19"/>
    </row>
    <row r="6241" spans="3:11" x14ac:dyDescent="0.2">
      <c r="C6241" s="19"/>
      <c r="D6241" s="19"/>
      <c r="E6241" s="19"/>
      <c r="F6241" s="20"/>
      <c r="G6241" s="19"/>
      <c r="H6241" s="19"/>
      <c r="I6241" s="19"/>
      <c r="J6241" s="21"/>
      <c r="K6241" s="19"/>
    </row>
    <row r="6242" spans="3:11" x14ac:dyDescent="0.2">
      <c r="C6242" s="19"/>
      <c r="D6242" s="19"/>
      <c r="E6242" s="19"/>
      <c r="F6242" s="20"/>
      <c r="G6242" s="19"/>
      <c r="H6242" s="19"/>
      <c r="I6242" s="19"/>
      <c r="J6242" s="21"/>
      <c r="K6242" s="19"/>
    </row>
    <row r="6243" spans="3:11" x14ac:dyDescent="0.2">
      <c r="C6243" s="19"/>
      <c r="D6243" s="19"/>
      <c r="E6243" s="19"/>
      <c r="F6243" s="20"/>
      <c r="G6243" s="19"/>
      <c r="H6243" s="19"/>
      <c r="I6243" s="19"/>
      <c r="J6243" s="21"/>
      <c r="K6243" s="19"/>
    </row>
    <row r="6244" spans="3:11" x14ac:dyDescent="0.2">
      <c r="C6244" s="19"/>
      <c r="D6244" s="19"/>
      <c r="E6244" s="19"/>
      <c r="F6244" s="20"/>
      <c r="G6244" s="19"/>
      <c r="H6244" s="19"/>
      <c r="I6244" s="19"/>
      <c r="J6244" s="19"/>
      <c r="K6244" s="19"/>
    </row>
    <row r="6245" spans="3:11" x14ac:dyDescent="0.2">
      <c r="C6245" s="19"/>
      <c r="D6245" s="19"/>
      <c r="E6245" s="19"/>
      <c r="F6245" s="20"/>
      <c r="G6245" s="19"/>
      <c r="H6245" s="19"/>
      <c r="I6245" s="19"/>
      <c r="J6245" s="19"/>
      <c r="K6245" s="19"/>
    </row>
    <row r="6246" spans="3:11" x14ac:dyDescent="0.2">
      <c r="C6246" s="19"/>
      <c r="D6246" s="19"/>
      <c r="E6246" s="19"/>
      <c r="F6246" s="20"/>
      <c r="G6246" s="19"/>
      <c r="H6246" s="19"/>
      <c r="I6246" s="19"/>
      <c r="J6246" s="21"/>
      <c r="K6246" s="19"/>
    </row>
    <row r="6247" spans="3:11" x14ac:dyDescent="0.2">
      <c r="C6247" s="19"/>
      <c r="D6247" s="19"/>
      <c r="E6247" s="19"/>
      <c r="F6247" s="20"/>
      <c r="G6247" s="19"/>
      <c r="H6247" s="19"/>
      <c r="I6247" s="19"/>
      <c r="J6247" s="19"/>
      <c r="K6247" s="19"/>
    </row>
    <row r="6248" spans="3:11" x14ac:dyDescent="0.2">
      <c r="C6248" s="19"/>
      <c r="D6248" s="19"/>
      <c r="E6248" s="19"/>
      <c r="F6248" s="20"/>
      <c r="G6248" s="19"/>
      <c r="H6248" s="19"/>
      <c r="I6248" s="19"/>
      <c r="J6248" s="21"/>
      <c r="K6248" s="19"/>
    </row>
    <row r="6249" spans="3:11" x14ac:dyDescent="0.2">
      <c r="C6249" s="19"/>
      <c r="D6249" s="19"/>
      <c r="E6249" s="19"/>
      <c r="F6249" s="20"/>
      <c r="G6249" s="19"/>
      <c r="H6249" s="19"/>
      <c r="I6249" s="19"/>
      <c r="J6249" s="19"/>
      <c r="K6249" s="19"/>
    </row>
    <row r="6250" spans="3:11" x14ac:dyDescent="0.2">
      <c r="C6250" s="19"/>
      <c r="D6250" s="19"/>
      <c r="E6250" s="19"/>
      <c r="F6250" s="20"/>
      <c r="G6250" s="19"/>
      <c r="H6250" s="19"/>
      <c r="I6250" s="19"/>
      <c r="J6250" s="21"/>
      <c r="K6250" s="19"/>
    </row>
    <row r="6251" spans="3:11" x14ac:dyDescent="0.2">
      <c r="C6251" s="19"/>
      <c r="D6251" s="19"/>
      <c r="E6251" s="19"/>
      <c r="F6251" s="20"/>
      <c r="G6251" s="19"/>
      <c r="H6251" s="19"/>
      <c r="I6251" s="19"/>
      <c r="J6251" s="21"/>
      <c r="K6251" s="19"/>
    </row>
    <row r="6252" spans="3:11" x14ac:dyDescent="0.2">
      <c r="C6252" s="19"/>
      <c r="D6252" s="19"/>
      <c r="E6252" s="19"/>
      <c r="F6252" s="20"/>
      <c r="G6252" s="19"/>
      <c r="H6252" s="19"/>
      <c r="I6252" s="19"/>
      <c r="J6252" s="21"/>
      <c r="K6252" s="19"/>
    </row>
    <row r="6253" spans="3:11" x14ac:dyDescent="0.2">
      <c r="C6253" s="19"/>
      <c r="D6253" s="19"/>
      <c r="E6253" s="19"/>
      <c r="F6253" s="20"/>
      <c r="G6253" s="19"/>
      <c r="H6253" s="19"/>
      <c r="I6253" s="19"/>
      <c r="J6253" s="21"/>
      <c r="K6253" s="19"/>
    </row>
    <row r="6254" spans="3:11" x14ac:dyDescent="0.2">
      <c r="C6254" s="19"/>
      <c r="D6254" s="19"/>
      <c r="E6254" s="19"/>
      <c r="F6254" s="20"/>
      <c r="G6254" s="19"/>
      <c r="H6254" s="19"/>
      <c r="I6254" s="19"/>
      <c r="J6254" s="21"/>
      <c r="K6254" s="19"/>
    </row>
    <row r="6255" spans="3:11" x14ac:dyDescent="0.2">
      <c r="C6255" s="19"/>
      <c r="D6255" s="19"/>
      <c r="E6255" s="19"/>
      <c r="F6255" s="20"/>
      <c r="G6255" s="19"/>
      <c r="H6255" s="19"/>
      <c r="I6255" s="19"/>
      <c r="J6255" s="21"/>
      <c r="K6255" s="19"/>
    </row>
    <row r="6256" spans="3:11" x14ac:dyDescent="0.2">
      <c r="C6256" s="19"/>
      <c r="D6256" s="19"/>
      <c r="E6256" s="19"/>
      <c r="F6256" s="20"/>
      <c r="G6256" s="19"/>
      <c r="H6256" s="19"/>
      <c r="I6256" s="19"/>
      <c r="J6256" s="21"/>
      <c r="K6256" s="19"/>
    </row>
    <row r="6257" spans="3:11" x14ac:dyDescent="0.2">
      <c r="C6257" s="19"/>
      <c r="D6257" s="19"/>
      <c r="E6257" s="19"/>
      <c r="F6257" s="20"/>
      <c r="G6257" s="19"/>
      <c r="H6257" s="19"/>
      <c r="I6257" s="19"/>
      <c r="J6257" s="21"/>
      <c r="K6257" s="19"/>
    </row>
    <row r="6258" spans="3:11" x14ac:dyDescent="0.2">
      <c r="C6258" s="19"/>
      <c r="D6258" s="19"/>
      <c r="E6258" s="19"/>
      <c r="F6258" s="20"/>
      <c r="G6258" s="19"/>
      <c r="H6258" s="19"/>
      <c r="I6258" s="19"/>
      <c r="J6258" s="21"/>
      <c r="K6258" s="19"/>
    </row>
    <row r="6259" spans="3:11" x14ac:dyDescent="0.2">
      <c r="C6259" s="19"/>
      <c r="D6259" s="19"/>
      <c r="E6259" s="19"/>
      <c r="F6259" s="20"/>
      <c r="G6259" s="19"/>
      <c r="H6259" s="19"/>
      <c r="I6259" s="19"/>
      <c r="J6259" s="21"/>
      <c r="K6259" s="19"/>
    </row>
    <row r="6260" spans="3:11" x14ac:dyDescent="0.2">
      <c r="C6260" s="19"/>
      <c r="D6260" s="19"/>
      <c r="E6260" s="19"/>
      <c r="F6260" s="20"/>
      <c r="G6260" s="19"/>
      <c r="H6260" s="19"/>
      <c r="I6260" s="19"/>
      <c r="J6260" s="21"/>
      <c r="K6260" s="19"/>
    </row>
    <row r="6261" spans="3:11" x14ac:dyDescent="0.2">
      <c r="C6261" s="19"/>
      <c r="D6261" s="19"/>
      <c r="E6261" s="19"/>
      <c r="F6261" s="20"/>
      <c r="G6261" s="19"/>
      <c r="H6261" s="19"/>
      <c r="I6261" s="19"/>
      <c r="J6261" s="21"/>
      <c r="K6261" s="19"/>
    </row>
    <row r="6262" spans="3:11" x14ac:dyDescent="0.2">
      <c r="C6262" s="19"/>
      <c r="D6262" s="19"/>
      <c r="E6262" s="19"/>
      <c r="F6262" s="20"/>
      <c r="G6262" s="19"/>
      <c r="H6262" s="19"/>
      <c r="I6262" s="19"/>
      <c r="J6262" s="21"/>
      <c r="K6262" s="19"/>
    </row>
    <row r="6263" spans="3:11" x14ac:dyDescent="0.2">
      <c r="C6263" s="19"/>
      <c r="D6263" s="19"/>
      <c r="E6263" s="19"/>
      <c r="F6263" s="20"/>
      <c r="G6263" s="19"/>
      <c r="H6263" s="19"/>
      <c r="I6263" s="19"/>
      <c r="J6263" s="21"/>
      <c r="K6263" s="19"/>
    </row>
    <row r="6264" spans="3:11" x14ac:dyDescent="0.2">
      <c r="C6264" s="19"/>
      <c r="D6264" s="19"/>
      <c r="E6264" s="19"/>
      <c r="F6264" s="20"/>
      <c r="G6264" s="19"/>
      <c r="H6264" s="19"/>
      <c r="I6264" s="19"/>
      <c r="J6264" s="21"/>
      <c r="K6264" s="19"/>
    </row>
    <row r="6265" spans="3:11" x14ac:dyDescent="0.2">
      <c r="C6265" s="19"/>
      <c r="D6265" s="19"/>
      <c r="E6265" s="19"/>
      <c r="F6265" s="20"/>
      <c r="G6265" s="19"/>
      <c r="H6265" s="19"/>
      <c r="I6265" s="19"/>
      <c r="J6265" s="21"/>
      <c r="K6265" s="19"/>
    </row>
    <row r="6266" spans="3:11" x14ac:dyDescent="0.2">
      <c r="C6266" s="19"/>
      <c r="D6266" s="19"/>
      <c r="E6266" s="19"/>
      <c r="F6266" s="20"/>
      <c r="G6266" s="19"/>
      <c r="H6266" s="19"/>
      <c r="I6266" s="19"/>
      <c r="J6266" s="21"/>
      <c r="K6266" s="19"/>
    </row>
    <row r="6267" spans="3:11" x14ac:dyDescent="0.2">
      <c r="C6267" s="19"/>
      <c r="D6267" s="19"/>
      <c r="E6267" s="19"/>
      <c r="F6267" s="20"/>
      <c r="G6267" s="19"/>
      <c r="H6267" s="19"/>
      <c r="I6267" s="19"/>
      <c r="J6267" s="21"/>
      <c r="K6267" s="19"/>
    </row>
    <row r="6268" spans="3:11" x14ac:dyDescent="0.2">
      <c r="C6268" s="19"/>
      <c r="D6268" s="19"/>
      <c r="E6268" s="19"/>
      <c r="F6268" s="20"/>
      <c r="G6268" s="19"/>
      <c r="H6268" s="19"/>
      <c r="I6268" s="19"/>
      <c r="J6268" s="21"/>
      <c r="K6268" s="19"/>
    </row>
    <row r="6269" spans="3:11" x14ac:dyDescent="0.2">
      <c r="C6269" s="19"/>
      <c r="D6269" s="19"/>
      <c r="E6269" s="19"/>
      <c r="F6269" s="20"/>
      <c r="G6269" s="19"/>
      <c r="H6269" s="19"/>
      <c r="I6269" s="19"/>
      <c r="J6269" s="21"/>
      <c r="K6269" s="19"/>
    </row>
    <row r="6270" spans="3:11" x14ac:dyDescent="0.2">
      <c r="C6270" s="19"/>
      <c r="D6270" s="19"/>
      <c r="E6270" s="19"/>
      <c r="F6270" s="20"/>
      <c r="G6270" s="19"/>
      <c r="H6270" s="19"/>
      <c r="I6270" s="19"/>
      <c r="J6270" s="21"/>
      <c r="K6270" s="19"/>
    </row>
    <row r="6271" spans="3:11" x14ac:dyDescent="0.2">
      <c r="C6271" s="19"/>
      <c r="D6271" s="19"/>
      <c r="E6271" s="19"/>
      <c r="F6271" s="20"/>
      <c r="G6271" s="19"/>
      <c r="H6271" s="19"/>
      <c r="I6271" s="19"/>
      <c r="J6271" s="21"/>
      <c r="K6271" s="19"/>
    </row>
    <row r="6272" spans="3:11" x14ac:dyDescent="0.2">
      <c r="C6272" s="19"/>
      <c r="D6272" s="19"/>
      <c r="E6272" s="19"/>
      <c r="F6272" s="20"/>
      <c r="G6272" s="19"/>
      <c r="H6272" s="19"/>
      <c r="I6272" s="19"/>
      <c r="J6272" s="21"/>
      <c r="K6272" s="19"/>
    </row>
    <row r="6273" spans="3:11" x14ac:dyDescent="0.2">
      <c r="C6273" s="19"/>
      <c r="D6273" s="19"/>
      <c r="E6273" s="19"/>
      <c r="F6273" s="20"/>
      <c r="G6273" s="19"/>
      <c r="H6273" s="19"/>
      <c r="I6273" s="19"/>
      <c r="J6273" s="21"/>
      <c r="K6273" s="19"/>
    </row>
    <row r="6274" spans="3:11" x14ac:dyDescent="0.2">
      <c r="C6274" s="19"/>
      <c r="D6274" s="19"/>
      <c r="E6274" s="19"/>
      <c r="F6274" s="20"/>
      <c r="G6274" s="19"/>
      <c r="H6274" s="19"/>
      <c r="I6274" s="19"/>
      <c r="J6274" s="21"/>
      <c r="K6274" s="19"/>
    </row>
    <row r="6275" spans="3:11" x14ac:dyDescent="0.2">
      <c r="C6275" s="19"/>
      <c r="D6275" s="19"/>
      <c r="E6275" s="19"/>
      <c r="F6275" s="20"/>
      <c r="G6275" s="19"/>
      <c r="H6275" s="19"/>
      <c r="I6275" s="19"/>
      <c r="J6275" s="21"/>
      <c r="K6275" s="19"/>
    </row>
    <row r="6276" spans="3:11" x14ac:dyDescent="0.2">
      <c r="C6276" s="19"/>
      <c r="D6276" s="19"/>
      <c r="E6276" s="19"/>
      <c r="F6276" s="20"/>
      <c r="G6276" s="19"/>
      <c r="H6276" s="19"/>
      <c r="I6276" s="19"/>
      <c r="J6276" s="21"/>
      <c r="K6276" s="19"/>
    </row>
    <row r="6277" spans="3:11" x14ac:dyDescent="0.2">
      <c r="C6277" s="19"/>
      <c r="D6277" s="19"/>
      <c r="E6277" s="19"/>
      <c r="F6277" s="20"/>
      <c r="G6277" s="19"/>
      <c r="H6277" s="19"/>
      <c r="I6277" s="19"/>
      <c r="J6277" s="21"/>
      <c r="K6277" s="19"/>
    </row>
    <row r="6278" spans="3:11" x14ac:dyDescent="0.2">
      <c r="C6278" s="19"/>
      <c r="D6278" s="19"/>
      <c r="E6278" s="19"/>
      <c r="F6278" s="20"/>
      <c r="G6278" s="19"/>
      <c r="H6278" s="19"/>
      <c r="I6278" s="19"/>
      <c r="J6278" s="21"/>
      <c r="K6278" s="19"/>
    </row>
    <row r="6279" spans="3:11" x14ac:dyDescent="0.2">
      <c r="C6279" s="19"/>
      <c r="D6279" s="19"/>
      <c r="E6279" s="19"/>
      <c r="F6279" s="20"/>
      <c r="G6279" s="19"/>
      <c r="H6279" s="19"/>
      <c r="I6279" s="19"/>
      <c r="J6279" s="21"/>
      <c r="K6279" s="19"/>
    </row>
    <row r="6280" spans="3:11" x14ac:dyDescent="0.2">
      <c r="C6280" s="19"/>
      <c r="D6280" s="19"/>
      <c r="E6280" s="19"/>
      <c r="F6280" s="20"/>
      <c r="G6280" s="19"/>
      <c r="H6280" s="19"/>
      <c r="I6280" s="19"/>
      <c r="J6280" s="21"/>
      <c r="K6280" s="19"/>
    </row>
    <row r="6281" spans="3:11" x14ac:dyDescent="0.2">
      <c r="C6281" s="19"/>
      <c r="D6281" s="19"/>
      <c r="E6281" s="19"/>
      <c r="F6281" s="20"/>
      <c r="G6281" s="19"/>
      <c r="H6281" s="19"/>
      <c r="I6281" s="19"/>
      <c r="J6281" s="21"/>
      <c r="K6281" s="19"/>
    </row>
    <row r="6282" spans="3:11" x14ac:dyDescent="0.2">
      <c r="C6282" s="19"/>
      <c r="D6282" s="19"/>
      <c r="E6282" s="19"/>
      <c r="F6282" s="20"/>
      <c r="G6282" s="19"/>
      <c r="H6282" s="19"/>
      <c r="I6282" s="19"/>
      <c r="J6282" s="21"/>
      <c r="K6282" s="19"/>
    </row>
    <row r="6283" spans="3:11" x14ac:dyDescent="0.2">
      <c r="C6283" s="19"/>
      <c r="D6283" s="19"/>
      <c r="E6283" s="19"/>
      <c r="F6283" s="20"/>
      <c r="G6283" s="19"/>
      <c r="H6283" s="19"/>
      <c r="I6283" s="19"/>
      <c r="J6283" s="21"/>
      <c r="K6283" s="19"/>
    </row>
    <row r="6284" spans="3:11" x14ac:dyDescent="0.2">
      <c r="C6284" s="19"/>
      <c r="D6284" s="19"/>
      <c r="E6284" s="19"/>
      <c r="F6284" s="20"/>
      <c r="G6284" s="19"/>
      <c r="H6284" s="19"/>
      <c r="I6284" s="19"/>
      <c r="J6284" s="21"/>
      <c r="K6284" s="19"/>
    </row>
    <row r="6285" spans="3:11" x14ac:dyDescent="0.2">
      <c r="C6285" s="19"/>
      <c r="D6285" s="19"/>
      <c r="E6285" s="19"/>
      <c r="F6285" s="20"/>
      <c r="G6285" s="19"/>
      <c r="H6285" s="19"/>
      <c r="I6285" s="19"/>
      <c r="J6285" s="21"/>
      <c r="K6285" s="19"/>
    </row>
    <row r="6286" spans="3:11" x14ac:dyDescent="0.2">
      <c r="C6286" s="19"/>
      <c r="D6286" s="19"/>
      <c r="E6286" s="19"/>
      <c r="F6286" s="20"/>
      <c r="G6286" s="19"/>
      <c r="H6286" s="19"/>
      <c r="I6286" s="19"/>
      <c r="J6286" s="21"/>
      <c r="K6286" s="19"/>
    </row>
    <row r="6287" spans="3:11" x14ac:dyDescent="0.2">
      <c r="C6287" s="19"/>
      <c r="D6287" s="19"/>
      <c r="E6287" s="19"/>
      <c r="F6287" s="20"/>
      <c r="G6287" s="19"/>
      <c r="H6287" s="19"/>
      <c r="I6287" s="19"/>
      <c r="J6287" s="21"/>
      <c r="K6287" s="19"/>
    </row>
    <row r="6288" spans="3:11" x14ac:dyDescent="0.2">
      <c r="C6288" s="19"/>
      <c r="D6288" s="19"/>
      <c r="E6288" s="19"/>
      <c r="F6288" s="20"/>
      <c r="G6288" s="19"/>
      <c r="H6288" s="19"/>
      <c r="I6288" s="19"/>
      <c r="J6288" s="21"/>
      <c r="K6288" s="19"/>
    </row>
    <row r="6289" spans="3:11" x14ac:dyDescent="0.2">
      <c r="C6289" s="19"/>
      <c r="D6289" s="19"/>
      <c r="E6289" s="19"/>
      <c r="F6289" s="20"/>
      <c r="G6289" s="19"/>
      <c r="H6289" s="19"/>
      <c r="I6289" s="19"/>
      <c r="J6289" s="21"/>
      <c r="K6289" s="19"/>
    </row>
    <row r="6290" spans="3:11" x14ac:dyDescent="0.2">
      <c r="C6290" s="19"/>
      <c r="D6290" s="19"/>
      <c r="E6290" s="19"/>
      <c r="F6290" s="20"/>
      <c r="G6290" s="19"/>
      <c r="H6290" s="19"/>
      <c r="I6290" s="19"/>
      <c r="J6290" s="19"/>
      <c r="K6290" s="19"/>
    </row>
    <row r="6291" spans="3:11" x14ac:dyDescent="0.2">
      <c r="C6291" s="19"/>
      <c r="D6291" s="19"/>
      <c r="E6291" s="19"/>
      <c r="F6291" s="20"/>
      <c r="G6291" s="19"/>
      <c r="H6291" s="19"/>
      <c r="I6291" s="19"/>
      <c r="J6291" s="21"/>
      <c r="K6291" s="19"/>
    </row>
    <row r="6292" spans="3:11" x14ac:dyDescent="0.2">
      <c r="C6292" s="19"/>
      <c r="D6292" s="19"/>
      <c r="E6292" s="19"/>
      <c r="F6292" s="20"/>
      <c r="G6292" s="19"/>
      <c r="H6292" s="19"/>
      <c r="I6292" s="19"/>
      <c r="J6292" s="21"/>
      <c r="K6292" s="19"/>
    </row>
    <row r="6293" spans="3:11" x14ac:dyDescent="0.2">
      <c r="C6293" s="19"/>
      <c r="D6293" s="19"/>
      <c r="E6293" s="19"/>
      <c r="F6293" s="20"/>
      <c r="G6293" s="19"/>
      <c r="H6293" s="19"/>
      <c r="I6293" s="19"/>
      <c r="J6293" s="19"/>
      <c r="K6293" s="19"/>
    </row>
    <row r="6294" spans="3:11" x14ac:dyDescent="0.2">
      <c r="C6294" s="19"/>
      <c r="D6294" s="19"/>
      <c r="E6294" s="19"/>
      <c r="F6294" s="20"/>
      <c r="G6294" s="19"/>
      <c r="H6294" s="19"/>
      <c r="I6294" s="19"/>
      <c r="J6294" s="19"/>
      <c r="K6294" s="19"/>
    </row>
    <row r="6295" spans="3:11" x14ac:dyDescent="0.2">
      <c r="C6295" s="19"/>
      <c r="D6295" s="19"/>
      <c r="E6295" s="19"/>
      <c r="F6295" s="20"/>
      <c r="G6295" s="19"/>
      <c r="H6295" s="19"/>
      <c r="I6295" s="19"/>
      <c r="J6295" s="21"/>
      <c r="K6295" s="19"/>
    </row>
    <row r="6296" spans="3:11" x14ac:dyDescent="0.2">
      <c r="C6296" s="19"/>
      <c r="D6296" s="19"/>
      <c r="E6296" s="19"/>
      <c r="F6296" s="20"/>
      <c r="G6296" s="19"/>
      <c r="H6296" s="19"/>
      <c r="I6296" s="19"/>
      <c r="J6296" s="21"/>
      <c r="K6296" s="19"/>
    </row>
    <row r="6297" spans="3:11" x14ac:dyDescent="0.2">
      <c r="C6297" s="19"/>
      <c r="D6297" s="19"/>
      <c r="E6297" s="19"/>
      <c r="F6297" s="20"/>
      <c r="G6297" s="19"/>
      <c r="H6297" s="19"/>
      <c r="I6297" s="19"/>
      <c r="J6297" s="19"/>
      <c r="K6297" s="19"/>
    </row>
    <row r="6298" spans="3:11" x14ac:dyDescent="0.2">
      <c r="C6298" s="19"/>
      <c r="D6298" s="19"/>
      <c r="E6298" s="19"/>
      <c r="F6298" s="20"/>
      <c r="G6298" s="19"/>
      <c r="H6298" s="19"/>
      <c r="I6298" s="19"/>
      <c r="J6298" s="21"/>
      <c r="K6298" s="19"/>
    </row>
    <row r="6299" spans="3:11" x14ac:dyDescent="0.2">
      <c r="C6299" s="19"/>
      <c r="D6299" s="19"/>
      <c r="E6299" s="19"/>
      <c r="F6299" s="20"/>
      <c r="G6299" s="19"/>
      <c r="H6299" s="19"/>
      <c r="I6299" s="19"/>
      <c r="J6299" s="21"/>
      <c r="K6299" s="19"/>
    </row>
    <row r="6300" spans="3:11" x14ac:dyDescent="0.2">
      <c r="C6300" s="19"/>
      <c r="D6300" s="19"/>
      <c r="E6300" s="19"/>
      <c r="F6300" s="20"/>
      <c r="G6300" s="19"/>
      <c r="H6300" s="19"/>
      <c r="I6300" s="19"/>
      <c r="J6300" s="21"/>
      <c r="K6300" s="19"/>
    </row>
    <row r="6301" spans="3:11" x14ac:dyDescent="0.2">
      <c r="C6301" s="19"/>
      <c r="D6301" s="19"/>
      <c r="E6301" s="19"/>
      <c r="F6301" s="20"/>
      <c r="G6301" s="19"/>
      <c r="H6301" s="19"/>
      <c r="I6301" s="19"/>
      <c r="J6301" s="21"/>
      <c r="K6301" s="19"/>
    </row>
    <row r="6302" spans="3:11" x14ac:dyDescent="0.2">
      <c r="C6302" s="19"/>
      <c r="D6302" s="19"/>
      <c r="E6302" s="19"/>
      <c r="F6302" s="20"/>
      <c r="G6302" s="19"/>
      <c r="H6302" s="19"/>
      <c r="I6302" s="19"/>
      <c r="J6302" s="19"/>
      <c r="K6302" s="19"/>
    </row>
    <row r="6303" spans="3:11" x14ac:dyDescent="0.2">
      <c r="C6303" s="19"/>
      <c r="D6303" s="19"/>
      <c r="E6303" s="19"/>
      <c r="F6303" s="20"/>
      <c r="G6303" s="19"/>
      <c r="H6303" s="19"/>
      <c r="I6303" s="19"/>
      <c r="J6303" s="21"/>
      <c r="K6303" s="19"/>
    </row>
    <row r="6304" spans="3:11" x14ac:dyDescent="0.2">
      <c r="C6304" s="19"/>
      <c r="D6304" s="19"/>
      <c r="E6304" s="19"/>
      <c r="F6304" s="20"/>
      <c r="G6304" s="19"/>
      <c r="H6304" s="19"/>
      <c r="I6304" s="19"/>
      <c r="J6304" s="21"/>
      <c r="K6304" s="19"/>
    </row>
    <row r="6305" spans="3:11" x14ac:dyDescent="0.2">
      <c r="C6305" s="19"/>
      <c r="D6305" s="19"/>
      <c r="E6305" s="19"/>
      <c r="F6305" s="20"/>
      <c r="G6305" s="19"/>
      <c r="H6305" s="19"/>
      <c r="I6305" s="19"/>
      <c r="J6305" s="21"/>
      <c r="K6305" s="19"/>
    </row>
    <row r="6306" spans="3:11" x14ac:dyDescent="0.2">
      <c r="C6306" s="19"/>
      <c r="D6306" s="19"/>
      <c r="E6306" s="19"/>
      <c r="F6306" s="20"/>
      <c r="G6306" s="19"/>
      <c r="H6306" s="19"/>
      <c r="I6306" s="19"/>
      <c r="J6306" s="21"/>
      <c r="K6306" s="19"/>
    </row>
    <row r="6307" spans="3:11" x14ac:dyDescent="0.2">
      <c r="C6307" s="19"/>
      <c r="D6307" s="19"/>
      <c r="E6307" s="19"/>
      <c r="F6307" s="20"/>
      <c r="G6307" s="19"/>
      <c r="H6307" s="19"/>
      <c r="I6307" s="19"/>
      <c r="J6307" s="19"/>
      <c r="K6307" s="19"/>
    </row>
    <row r="6308" spans="3:11" x14ac:dyDescent="0.2">
      <c r="C6308" s="19"/>
      <c r="D6308" s="19"/>
      <c r="E6308" s="19"/>
      <c r="F6308" s="20"/>
      <c r="G6308" s="19"/>
      <c r="H6308" s="19"/>
      <c r="I6308" s="19"/>
      <c r="J6308" s="21"/>
      <c r="K6308" s="19"/>
    </row>
    <row r="6309" spans="3:11" x14ac:dyDescent="0.2">
      <c r="C6309" s="19"/>
      <c r="D6309" s="19"/>
      <c r="E6309" s="19"/>
      <c r="F6309" s="20"/>
      <c r="G6309" s="19"/>
      <c r="H6309" s="19"/>
      <c r="I6309" s="19"/>
      <c r="J6309" s="21"/>
      <c r="K6309" s="19"/>
    </row>
    <row r="6310" spans="3:11" x14ac:dyDescent="0.2">
      <c r="C6310" s="19"/>
      <c r="D6310" s="19"/>
      <c r="E6310" s="19"/>
      <c r="F6310" s="20"/>
      <c r="G6310" s="19"/>
      <c r="H6310" s="19"/>
      <c r="I6310" s="19"/>
      <c r="J6310" s="21"/>
      <c r="K6310" s="19"/>
    </row>
    <row r="6311" spans="3:11" x14ac:dyDescent="0.2">
      <c r="C6311" s="19"/>
      <c r="D6311" s="19"/>
      <c r="E6311" s="19"/>
      <c r="F6311" s="20"/>
      <c r="G6311" s="19"/>
      <c r="H6311" s="19"/>
      <c r="I6311" s="19"/>
      <c r="J6311" s="21"/>
      <c r="K6311" s="19"/>
    </row>
    <row r="6312" spans="3:11" x14ac:dyDescent="0.2">
      <c r="C6312" s="19"/>
      <c r="D6312" s="19"/>
      <c r="E6312" s="19"/>
      <c r="F6312" s="20"/>
      <c r="G6312" s="19"/>
      <c r="H6312" s="19"/>
      <c r="I6312" s="19"/>
      <c r="J6312" s="21"/>
      <c r="K6312" s="19"/>
    </row>
    <row r="6313" spans="3:11" x14ac:dyDescent="0.2">
      <c r="C6313" s="19"/>
      <c r="D6313" s="19"/>
      <c r="E6313" s="19"/>
      <c r="F6313" s="20"/>
      <c r="G6313" s="19"/>
      <c r="H6313" s="19"/>
      <c r="I6313" s="19"/>
      <c r="J6313" s="21"/>
      <c r="K6313" s="19"/>
    </row>
    <row r="6314" spans="3:11" x14ac:dyDescent="0.2">
      <c r="C6314" s="19"/>
      <c r="D6314" s="19"/>
      <c r="E6314" s="19"/>
      <c r="F6314" s="20"/>
      <c r="G6314" s="19"/>
      <c r="H6314" s="19"/>
      <c r="I6314" s="19"/>
      <c r="J6314" s="21"/>
      <c r="K6314" s="19"/>
    </row>
    <row r="6315" spans="3:11" x14ac:dyDescent="0.2">
      <c r="C6315" s="19"/>
      <c r="D6315" s="19"/>
      <c r="E6315" s="19"/>
      <c r="F6315" s="20"/>
      <c r="G6315" s="19"/>
      <c r="H6315" s="19"/>
      <c r="I6315" s="19"/>
      <c r="J6315" s="21"/>
      <c r="K6315" s="19"/>
    </row>
    <row r="6316" spans="3:11" x14ac:dyDescent="0.2">
      <c r="C6316" s="19"/>
      <c r="D6316" s="19"/>
      <c r="E6316" s="19"/>
      <c r="F6316" s="20"/>
      <c r="G6316" s="19"/>
      <c r="H6316" s="19"/>
      <c r="I6316" s="19"/>
      <c r="J6316" s="21"/>
      <c r="K6316" s="19"/>
    </row>
    <row r="6317" spans="3:11" x14ac:dyDescent="0.2">
      <c r="C6317" s="19"/>
      <c r="D6317" s="19"/>
      <c r="E6317" s="19"/>
      <c r="F6317" s="20"/>
      <c r="G6317" s="19"/>
      <c r="H6317" s="19"/>
      <c r="I6317" s="19"/>
      <c r="J6317" s="21"/>
      <c r="K6317" s="19"/>
    </row>
    <row r="6318" spans="3:11" x14ac:dyDescent="0.2">
      <c r="C6318" s="19"/>
      <c r="D6318" s="19"/>
      <c r="E6318" s="19"/>
      <c r="F6318" s="20"/>
      <c r="G6318" s="19"/>
      <c r="H6318" s="19"/>
      <c r="I6318" s="19"/>
      <c r="J6318" s="21"/>
      <c r="K6318" s="19"/>
    </row>
    <row r="6319" spans="3:11" x14ac:dyDescent="0.2">
      <c r="C6319" s="19"/>
      <c r="D6319" s="19"/>
      <c r="E6319" s="19"/>
      <c r="F6319" s="20"/>
      <c r="G6319" s="19"/>
      <c r="H6319" s="19"/>
      <c r="I6319" s="19"/>
      <c r="J6319" s="21"/>
      <c r="K6319" s="19"/>
    </row>
    <row r="6320" spans="3:11" x14ac:dyDescent="0.2">
      <c r="C6320" s="19"/>
      <c r="D6320" s="19"/>
      <c r="E6320" s="19"/>
      <c r="F6320" s="20"/>
      <c r="G6320" s="19"/>
      <c r="H6320" s="19"/>
      <c r="I6320" s="19"/>
      <c r="J6320" s="21"/>
      <c r="K6320" s="19"/>
    </row>
    <row r="6321" spans="3:11" x14ac:dyDescent="0.2">
      <c r="C6321" s="19"/>
      <c r="D6321" s="19"/>
      <c r="E6321" s="19"/>
      <c r="F6321" s="20"/>
      <c r="G6321" s="19"/>
      <c r="H6321" s="19"/>
      <c r="I6321" s="19"/>
      <c r="J6321" s="21"/>
      <c r="K6321" s="19"/>
    </row>
    <row r="6322" spans="3:11" x14ac:dyDescent="0.2">
      <c r="C6322" s="19"/>
      <c r="D6322" s="19"/>
      <c r="E6322" s="19"/>
      <c r="F6322" s="20"/>
      <c r="G6322" s="19"/>
      <c r="H6322" s="19"/>
      <c r="I6322" s="19"/>
      <c r="J6322" s="21"/>
      <c r="K6322" s="19"/>
    </row>
    <row r="6323" spans="3:11" x14ac:dyDescent="0.2">
      <c r="C6323" s="19"/>
      <c r="D6323" s="19"/>
      <c r="E6323" s="19"/>
      <c r="F6323" s="20"/>
      <c r="G6323" s="19"/>
      <c r="H6323" s="19"/>
      <c r="I6323" s="19"/>
      <c r="J6323" s="21"/>
      <c r="K6323" s="19"/>
    </row>
    <row r="6324" spans="3:11" x14ac:dyDescent="0.2">
      <c r="C6324" s="19"/>
      <c r="D6324" s="19"/>
      <c r="E6324" s="19"/>
      <c r="F6324" s="20"/>
      <c r="G6324" s="19"/>
      <c r="H6324" s="19"/>
      <c r="I6324" s="19"/>
      <c r="J6324" s="21"/>
      <c r="K6324" s="19"/>
    </row>
    <row r="6325" spans="3:11" x14ac:dyDescent="0.2">
      <c r="C6325" s="19"/>
      <c r="D6325" s="19"/>
      <c r="E6325" s="19"/>
      <c r="F6325" s="20"/>
      <c r="G6325" s="19"/>
      <c r="H6325" s="19"/>
      <c r="I6325" s="19"/>
      <c r="J6325" s="21"/>
      <c r="K6325" s="19"/>
    </row>
    <row r="6326" spans="3:11" x14ac:dyDescent="0.2">
      <c r="C6326" s="19"/>
      <c r="D6326" s="19"/>
      <c r="E6326" s="19"/>
      <c r="F6326" s="20"/>
      <c r="G6326" s="19"/>
      <c r="H6326" s="19"/>
      <c r="I6326" s="19"/>
      <c r="J6326" s="21"/>
      <c r="K6326" s="19"/>
    </row>
    <row r="6327" spans="3:11" x14ac:dyDescent="0.2">
      <c r="C6327" s="19"/>
      <c r="D6327" s="19"/>
      <c r="E6327" s="19"/>
      <c r="F6327" s="20"/>
      <c r="G6327" s="19"/>
      <c r="H6327" s="19"/>
      <c r="I6327" s="19"/>
      <c r="J6327" s="21"/>
      <c r="K6327" s="19"/>
    </row>
    <row r="6328" spans="3:11" x14ac:dyDescent="0.2">
      <c r="C6328" s="19"/>
      <c r="D6328" s="19"/>
      <c r="E6328" s="19"/>
      <c r="F6328" s="20"/>
      <c r="G6328" s="19"/>
      <c r="H6328" s="19"/>
      <c r="I6328" s="19"/>
      <c r="J6328" s="21"/>
      <c r="K6328" s="19"/>
    </row>
    <row r="6329" spans="3:11" x14ac:dyDescent="0.2">
      <c r="C6329" s="19"/>
      <c r="D6329" s="19"/>
      <c r="E6329" s="19"/>
      <c r="F6329" s="20"/>
      <c r="G6329" s="19"/>
      <c r="H6329" s="19"/>
      <c r="I6329" s="19"/>
      <c r="J6329" s="21"/>
      <c r="K6329" s="19"/>
    </row>
    <row r="6330" spans="3:11" x14ac:dyDescent="0.2">
      <c r="C6330" s="19"/>
      <c r="D6330" s="19"/>
      <c r="E6330" s="19"/>
      <c r="F6330" s="20"/>
      <c r="G6330" s="19"/>
      <c r="H6330" s="19"/>
      <c r="I6330" s="19"/>
      <c r="J6330" s="21"/>
      <c r="K6330" s="19"/>
    </row>
    <row r="6331" spans="3:11" x14ac:dyDescent="0.2">
      <c r="C6331" s="19"/>
      <c r="D6331" s="19"/>
      <c r="E6331" s="19"/>
      <c r="F6331" s="20"/>
      <c r="G6331" s="19"/>
      <c r="H6331" s="19"/>
      <c r="I6331" s="19"/>
      <c r="J6331" s="21"/>
      <c r="K6331" s="19"/>
    </row>
    <row r="6332" spans="3:11" x14ac:dyDescent="0.2">
      <c r="C6332" s="19"/>
      <c r="D6332" s="19"/>
      <c r="E6332" s="19"/>
      <c r="F6332" s="20"/>
      <c r="G6332" s="19"/>
      <c r="H6332" s="19"/>
      <c r="I6332" s="19"/>
      <c r="J6332" s="21"/>
      <c r="K6332" s="19"/>
    </row>
    <row r="6333" spans="3:11" x14ac:dyDescent="0.2">
      <c r="C6333" s="19"/>
      <c r="D6333" s="19"/>
      <c r="E6333" s="19"/>
      <c r="F6333" s="20"/>
      <c r="G6333" s="19"/>
      <c r="H6333" s="19"/>
      <c r="I6333" s="19"/>
      <c r="J6333" s="21"/>
      <c r="K6333" s="19"/>
    </row>
    <row r="6334" spans="3:11" x14ac:dyDescent="0.2">
      <c r="C6334" s="19"/>
      <c r="D6334" s="19"/>
      <c r="E6334" s="19"/>
      <c r="F6334" s="20"/>
      <c r="G6334" s="19"/>
      <c r="H6334" s="19"/>
      <c r="I6334" s="19"/>
      <c r="J6334" s="21"/>
      <c r="K6334" s="19"/>
    </row>
    <row r="6335" spans="3:11" x14ac:dyDescent="0.2">
      <c r="C6335" s="19"/>
      <c r="D6335" s="19"/>
      <c r="E6335" s="19"/>
      <c r="F6335" s="20"/>
      <c r="G6335" s="19"/>
      <c r="H6335" s="19"/>
      <c r="I6335" s="19"/>
      <c r="J6335" s="19"/>
      <c r="K6335" s="19"/>
    </row>
    <row r="6336" spans="3:11" x14ac:dyDescent="0.2">
      <c r="C6336" s="19"/>
      <c r="D6336" s="19"/>
      <c r="E6336" s="19"/>
      <c r="F6336" s="20"/>
      <c r="G6336" s="19"/>
      <c r="H6336" s="19"/>
      <c r="I6336" s="19"/>
      <c r="J6336" s="21"/>
      <c r="K6336" s="19"/>
    </row>
    <row r="6337" spans="3:11" x14ac:dyDescent="0.2">
      <c r="C6337" s="19"/>
      <c r="D6337" s="19"/>
      <c r="E6337" s="19"/>
      <c r="F6337" s="20"/>
      <c r="G6337" s="19"/>
      <c r="H6337" s="19"/>
      <c r="I6337" s="19"/>
      <c r="J6337" s="19"/>
      <c r="K6337" s="19"/>
    </row>
    <row r="6338" spans="3:11" x14ac:dyDescent="0.2">
      <c r="C6338" s="19"/>
      <c r="D6338" s="19"/>
      <c r="E6338" s="19"/>
      <c r="F6338" s="20"/>
      <c r="G6338" s="19"/>
      <c r="H6338" s="19"/>
      <c r="I6338" s="19"/>
      <c r="J6338" s="19"/>
      <c r="K6338" s="19"/>
    </row>
    <row r="6339" spans="3:11" x14ac:dyDescent="0.2">
      <c r="C6339" s="19"/>
      <c r="D6339" s="19"/>
      <c r="E6339" s="19"/>
      <c r="F6339" s="20"/>
      <c r="G6339" s="19"/>
      <c r="H6339" s="19"/>
      <c r="I6339" s="19"/>
      <c r="J6339" s="21"/>
      <c r="K6339" s="19"/>
    </row>
    <row r="6340" spans="3:11" x14ac:dyDescent="0.2">
      <c r="C6340" s="19"/>
      <c r="D6340" s="19"/>
      <c r="E6340" s="19"/>
      <c r="F6340" s="20"/>
      <c r="G6340" s="19"/>
      <c r="H6340" s="19"/>
      <c r="I6340" s="19"/>
      <c r="J6340" s="21"/>
      <c r="K6340" s="19"/>
    </row>
    <row r="6341" spans="3:11" x14ac:dyDescent="0.2">
      <c r="C6341" s="19"/>
      <c r="D6341" s="19"/>
      <c r="E6341" s="19"/>
      <c r="F6341" s="20"/>
      <c r="G6341" s="19"/>
      <c r="H6341" s="19"/>
      <c r="I6341" s="19"/>
      <c r="J6341" s="21"/>
      <c r="K6341" s="19"/>
    </row>
    <row r="6342" spans="3:11" x14ac:dyDescent="0.2">
      <c r="C6342" s="19"/>
      <c r="D6342" s="19"/>
      <c r="E6342" s="19"/>
      <c r="F6342" s="20"/>
      <c r="G6342" s="19"/>
      <c r="H6342" s="19"/>
      <c r="I6342" s="19"/>
      <c r="J6342" s="21"/>
      <c r="K6342" s="19"/>
    </row>
    <row r="6343" spans="3:11" x14ac:dyDescent="0.2">
      <c r="C6343" s="19"/>
      <c r="D6343" s="19"/>
      <c r="E6343" s="19"/>
      <c r="F6343" s="20"/>
      <c r="G6343" s="19"/>
      <c r="H6343" s="19"/>
      <c r="I6343" s="19"/>
      <c r="J6343" s="21"/>
      <c r="K6343" s="19"/>
    </row>
    <row r="6344" spans="3:11" x14ac:dyDescent="0.2">
      <c r="C6344" s="19"/>
      <c r="D6344" s="19"/>
      <c r="E6344" s="19"/>
      <c r="F6344" s="20"/>
      <c r="G6344" s="19"/>
      <c r="H6344" s="19"/>
      <c r="I6344" s="19"/>
      <c r="J6344" s="21"/>
      <c r="K6344" s="19"/>
    </row>
    <row r="6345" spans="3:11" x14ac:dyDescent="0.2">
      <c r="C6345" s="19"/>
      <c r="D6345" s="19"/>
      <c r="E6345" s="19"/>
      <c r="F6345" s="20"/>
      <c r="G6345" s="19"/>
      <c r="H6345" s="19"/>
      <c r="I6345" s="19"/>
      <c r="J6345" s="21"/>
      <c r="K6345" s="19"/>
    </row>
    <row r="6346" spans="3:11" x14ac:dyDescent="0.2">
      <c r="C6346" s="19"/>
      <c r="D6346" s="19"/>
      <c r="E6346" s="19"/>
      <c r="F6346" s="20"/>
      <c r="G6346" s="19"/>
      <c r="H6346" s="19"/>
      <c r="I6346" s="19"/>
      <c r="J6346" s="21"/>
      <c r="K6346" s="19"/>
    </row>
    <row r="6347" spans="3:11" x14ac:dyDescent="0.2">
      <c r="C6347" s="19"/>
      <c r="D6347" s="19"/>
      <c r="E6347" s="19"/>
      <c r="F6347" s="20"/>
      <c r="G6347" s="19"/>
      <c r="H6347" s="19"/>
      <c r="I6347" s="19"/>
      <c r="J6347" s="21"/>
      <c r="K6347" s="19"/>
    </row>
    <row r="6348" spans="3:11" x14ac:dyDescent="0.2">
      <c r="C6348" s="19"/>
      <c r="D6348" s="19"/>
      <c r="E6348" s="19"/>
      <c r="F6348" s="20"/>
      <c r="G6348" s="19"/>
      <c r="H6348" s="19"/>
      <c r="I6348" s="19"/>
      <c r="J6348" s="21"/>
      <c r="K6348" s="19"/>
    </row>
    <row r="6349" spans="3:11" x14ac:dyDescent="0.2">
      <c r="C6349" s="19"/>
      <c r="D6349" s="19"/>
      <c r="E6349" s="19"/>
      <c r="F6349" s="20"/>
      <c r="G6349" s="19"/>
      <c r="H6349" s="19"/>
      <c r="I6349" s="19"/>
      <c r="J6349" s="21"/>
      <c r="K6349" s="19"/>
    </row>
    <row r="6350" spans="3:11" x14ac:dyDescent="0.2">
      <c r="C6350" s="19"/>
      <c r="D6350" s="19"/>
      <c r="E6350" s="19"/>
      <c r="F6350" s="20"/>
      <c r="G6350" s="19"/>
      <c r="H6350" s="19"/>
      <c r="I6350" s="19"/>
      <c r="J6350" s="21"/>
      <c r="K6350" s="19"/>
    </row>
    <row r="6351" spans="3:11" x14ac:dyDescent="0.2">
      <c r="C6351" s="19"/>
      <c r="D6351" s="19"/>
      <c r="E6351" s="19"/>
      <c r="F6351" s="20"/>
      <c r="G6351" s="19"/>
      <c r="H6351" s="19"/>
      <c r="I6351" s="19"/>
      <c r="J6351" s="19"/>
      <c r="K6351" s="19"/>
    </row>
    <row r="6352" spans="3:11" x14ac:dyDescent="0.2">
      <c r="C6352" s="19"/>
      <c r="D6352" s="19"/>
      <c r="E6352" s="19"/>
      <c r="F6352" s="20"/>
      <c r="G6352" s="19"/>
      <c r="H6352" s="19"/>
      <c r="I6352" s="19"/>
      <c r="J6352" s="21"/>
      <c r="K6352" s="19"/>
    </row>
    <row r="6353" spans="3:11" x14ac:dyDescent="0.2">
      <c r="C6353" s="19"/>
      <c r="D6353" s="19"/>
      <c r="E6353" s="19"/>
      <c r="F6353" s="20"/>
      <c r="G6353" s="19"/>
      <c r="H6353" s="19"/>
      <c r="I6353" s="19"/>
      <c r="J6353" s="21"/>
      <c r="K6353" s="19"/>
    </row>
    <row r="6354" spans="3:11" x14ac:dyDescent="0.2">
      <c r="C6354" s="19"/>
      <c r="D6354" s="19"/>
      <c r="E6354" s="19"/>
      <c r="F6354" s="20"/>
      <c r="G6354" s="19"/>
      <c r="H6354" s="19"/>
      <c r="I6354" s="19"/>
      <c r="J6354" s="21"/>
      <c r="K6354" s="19"/>
    </row>
    <row r="6355" spans="3:11" x14ac:dyDescent="0.2">
      <c r="C6355" s="19"/>
      <c r="D6355" s="19"/>
      <c r="E6355" s="19"/>
      <c r="F6355" s="20"/>
      <c r="G6355" s="19"/>
      <c r="H6355" s="19"/>
      <c r="I6355" s="19"/>
      <c r="J6355" s="21"/>
      <c r="K6355" s="19"/>
    </row>
    <row r="6356" spans="3:11" x14ac:dyDescent="0.2">
      <c r="C6356" s="19"/>
      <c r="D6356" s="19"/>
      <c r="E6356" s="19"/>
      <c r="F6356" s="20"/>
      <c r="G6356" s="19"/>
      <c r="H6356" s="19"/>
      <c r="I6356" s="19"/>
      <c r="J6356" s="21"/>
      <c r="K6356" s="19"/>
    </row>
    <row r="6357" spans="3:11" x14ac:dyDescent="0.2">
      <c r="C6357" s="19"/>
      <c r="D6357" s="19"/>
      <c r="E6357" s="19"/>
      <c r="F6357" s="20"/>
      <c r="G6357" s="19"/>
      <c r="H6357" s="19"/>
      <c r="I6357" s="19"/>
      <c r="J6357" s="21"/>
      <c r="K6357" s="19"/>
    </row>
    <row r="6358" spans="3:11" x14ac:dyDescent="0.2">
      <c r="C6358" s="19"/>
      <c r="D6358" s="19"/>
      <c r="E6358" s="19"/>
      <c r="F6358" s="20"/>
      <c r="G6358" s="19"/>
      <c r="H6358" s="19"/>
      <c r="I6358" s="19"/>
      <c r="J6358" s="21"/>
      <c r="K6358" s="19"/>
    </row>
    <row r="6359" spans="3:11" x14ac:dyDescent="0.2">
      <c r="C6359" s="19"/>
      <c r="D6359" s="19"/>
      <c r="E6359" s="19"/>
      <c r="F6359" s="20"/>
      <c r="G6359" s="19"/>
      <c r="H6359" s="19"/>
      <c r="I6359" s="19"/>
      <c r="J6359" s="21"/>
      <c r="K6359" s="19"/>
    </row>
    <row r="6360" spans="3:11" x14ac:dyDescent="0.2">
      <c r="C6360" s="19"/>
      <c r="D6360" s="19"/>
      <c r="E6360" s="19"/>
      <c r="F6360" s="20"/>
      <c r="G6360" s="19"/>
      <c r="H6360" s="19"/>
      <c r="I6360" s="19"/>
      <c r="J6360" s="21"/>
      <c r="K6360" s="19"/>
    </row>
    <row r="6361" spans="3:11" x14ac:dyDescent="0.2">
      <c r="C6361" s="19"/>
      <c r="D6361" s="19"/>
      <c r="E6361" s="19"/>
      <c r="F6361" s="20"/>
      <c r="G6361" s="19"/>
      <c r="H6361" s="19"/>
      <c r="I6361" s="19"/>
      <c r="J6361" s="21"/>
      <c r="K6361" s="19"/>
    </row>
    <row r="6362" spans="3:11" x14ac:dyDescent="0.2">
      <c r="C6362" s="19"/>
      <c r="D6362" s="19"/>
      <c r="E6362" s="19"/>
      <c r="F6362" s="20"/>
      <c r="G6362" s="19"/>
      <c r="H6362" s="19"/>
      <c r="I6362" s="19"/>
      <c r="J6362" s="21"/>
      <c r="K6362" s="19"/>
    </row>
    <row r="6363" spans="3:11" x14ac:dyDescent="0.2">
      <c r="C6363" s="19"/>
      <c r="D6363" s="19"/>
      <c r="E6363" s="19"/>
      <c r="F6363" s="20"/>
      <c r="G6363" s="19"/>
      <c r="H6363" s="19"/>
      <c r="I6363" s="19"/>
      <c r="J6363" s="21"/>
      <c r="K6363" s="19"/>
    </row>
    <row r="6364" spans="3:11" x14ac:dyDescent="0.2">
      <c r="C6364" s="19"/>
      <c r="D6364" s="19"/>
      <c r="E6364" s="19"/>
      <c r="F6364" s="20"/>
      <c r="G6364" s="19"/>
      <c r="H6364" s="19"/>
      <c r="I6364" s="19"/>
      <c r="J6364" s="21"/>
      <c r="K6364" s="19"/>
    </row>
    <row r="6365" spans="3:11" x14ac:dyDescent="0.2">
      <c r="C6365" s="19"/>
      <c r="D6365" s="19"/>
      <c r="E6365" s="19"/>
      <c r="F6365" s="20"/>
      <c r="G6365" s="19"/>
      <c r="H6365" s="19"/>
      <c r="I6365" s="19"/>
      <c r="J6365" s="21"/>
      <c r="K6365" s="19"/>
    </row>
    <row r="6366" spans="3:11" x14ac:dyDescent="0.2">
      <c r="C6366" s="19"/>
      <c r="D6366" s="19"/>
      <c r="E6366" s="19"/>
      <c r="F6366" s="20"/>
      <c r="G6366" s="19"/>
      <c r="H6366" s="19"/>
      <c r="I6366" s="19"/>
      <c r="J6366" s="21"/>
      <c r="K6366" s="19"/>
    </row>
    <row r="6367" spans="3:11" x14ac:dyDescent="0.2">
      <c r="C6367" s="19"/>
      <c r="D6367" s="19"/>
      <c r="E6367" s="19"/>
      <c r="F6367" s="20"/>
      <c r="G6367" s="19"/>
      <c r="H6367" s="19"/>
      <c r="I6367" s="19"/>
      <c r="J6367" s="21"/>
      <c r="K6367" s="19"/>
    </row>
    <row r="6368" spans="3:11" x14ac:dyDescent="0.2">
      <c r="C6368" s="19"/>
      <c r="D6368" s="19"/>
      <c r="E6368" s="19"/>
      <c r="F6368" s="20"/>
      <c r="G6368" s="19"/>
      <c r="H6368" s="19"/>
      <c r="I6368" s="19"/>
      <c r="J6368" s="21"/>
      <c r="K6368" s="19"/>
    </row>
    <row r="6369" spans="3:11" x14ac:dyDescent="0.2">
      <c r="C6369" s="19"/>
      <c r="D6369" s="19"/>
      <c r="E6369" s="19"/>
      <c r="F6369" s="20"/>
      <c r="G6369" s="19"/>
      <c r="H6369" s="19"/>
      <c r="I6369" s="19"/>
      <c r="J6369" s="21"/>
      <c r="K6369" s="19"/>
    </row>
    <row r="6370" spans="3:11" x14ac:dyDescent="0.2">
      <c r="C6370" s="19"/>
      <c r="D6370" s="19"/>
      <c r="E6370" s="19"/>
      <c r="F6370" s="20"/>
      <c r="G6370" s="19"/>
      <c r="H6370" s="19"/>
      <c r="I6370" s="19"/>
      <c r="J6370" s="21"/>
      <c r="K6370" s="19"/>
    </row>
    <row r="6371" spans="3:11" x14ac:dyDescent="0.2">
      <c r="C6371" s="19"/>
      <c r="D6371" s="19"/>
      <c r="E6371" s="19"/>
      <c r="F6371" s="20"/>
      <c r="G6371" s="19"/>
      <c r="H6371" s="19"/>
      <c r="I6371" s="19"/>
      <c r="J6371" s="21"/>
      <c r="K6371" s="19"/>
    </row>
    <row r="6372" spans="3:11" x14ac:dyDescent="0.2">
      <c r="C6372" s="19"/>
      <c r="D6372" s="19"/>
      <c r="E6372" s="19"/>
      <c r="F6372" s="20"/>
      <c r="G6372" s="19"/>
      <c r="H6372" s="19"/>
      <c r="I6372" s="19"/>
      <c r="J6372" s="21"/>
      <c r="K6372" s="19"/>
    </row>
    <row r="6373" spans="3:11" x14ac:dyDescent="0.2">
      <c r="C6373" s="19"/>
      <c r="D6373" s="19"/>
      <c r="E6373" s="19"/>
      <c r="F6373" s="20"/>
      <c r="G6373" s="19"/>
      <c r="H6373" s="19"/>
      <c r="I6373" s="19"/>
      <c r="J6373" s="21"/>
      <c r="K6373" s="19"/>
    </row>
    <row r="6374" spans="3:11" x14ac:dyDescent="0.2">
      <c r="C6374" s="19"/>
      <c r="D6374" s="19"/>
      <c r="E6374" s="19"/>
      <c r="F6374" s="20"/>
      <c r="G6374" s="19"/>
      <c r="H6374" s="19"/>
      <c r="I6374" s="19"/>
      <c r="J6374" s="21"/>
      <c r="K6374" s="19"/>
    </row>
    <row r="6375" spans="3:11" x14ac:dyDescent="0.2">
      <c r="C6375" s="19"/>
      <c r="D6375" s="19"/>
      <c r="E6375" s="19"/>
      <c r="F6375" s="20"/>
      <c r="G6375" s="19"/>
      <c r="H6375" s="19"/>
      <c r="I6375" s="19"/>
      <c r="J6375" s="21"/>
      <c r="K6375" s="19"/>
    </row>
    <row r="6376" spans="3:11" x14ac:dyDescent="0.2">
      <c r="C6376" s="19"/>
      <c r="D6376" s="19"/>
      <c r="E6376" s="19"/>
      <c r="F6376" s="20"/>
      <c r="G6376" s="19"/>
      <c r="H6376" s="19"/>
      <c r="I6376" s="19"/>
      <c r="J6376" s="21"/>
      <c r="K6376" s="19"/>
    </row>
    <row r="6377" spans="3:11" x14ac:dyDescent="0.2">
      <c r="C6377" s="19"/>
      <c r="D6377" s="19"/>
      <c r="E6377" s="19"/>
      <c r="F6377" s="20"/>
      <c r="G6377" s="19"/>
      <c r="H6377" s="19"/>
      <c r="I6377" s="19"/>
      <c r="J6377" s="21"/>
      <c r="K6377" s="19"/>
    </row>
    <row r="6378" spans="3:11" x14ac:dyDescent="0.2">
      <c r="C6378" s="19"/>
      <c r="D6378" s="19"/>
      <c r="E6378" s="19"/>
      <c r="F6378" s="20"/>
      <c r="G6378" s="19"/>
      <c r="H6378" s="19"/>
      <c r="I6378" s="19"/>
      <c r="J6378" s="21"/>
      <c r="K6378" s="19"/>
    </row>
    <row r="6379" spans="3:11" x14ac:dyDescent="0.2">
      <c r="C6379" s="19"/>
      <c r="D6379" s="19"/>
      <c r="E6379" s="19"/>
      <c r="F6379" s="20"/>
      <c r="G6379" s="19"/>
      <c r="H6379" s="19"/>
      <c r="I6379" s="19"/>
      <c r="J6379" s="21"/>
      <c r="K6379" s="19"/>
    </row>
    <row r="6380" spans="3:11" x14ac:dyDescent="0.2">
      <c r="C6380" s="19"/>
      <c r="D6380" s="19"/>
      <c r="E6380" s="19"/>
      <c r="F6380" s="20"/>
      <c r="G6380" s="19"/>
      <c r="H6380" s="19"/>
      <c r="I6380" s="19"/>
      <c r="J6380" s="21"/>
      <c r="K6380" s="19"/>
    </row>
    <row r="6381" spans="3:11" x14ac:dyDescent="0.2">
      <c r="C6381" s="19"/>
      <c r="D6381" s="19"/>
      <c r="E6381" s="19"/>
      <c r="F6381" s="20"/>
      <c r="G6381" s="19"/>
      <c r="H6381" s="19"/>
      <c r="I6381" s="19"/>
      <c r="J6381" s="21"/>
      <c r="K6381" s="19"/>
    </row>
    <row r="6382" spans="3:11" x14ac:dyDescent="0.2">
      <c r="C6382" s="19"/>
      <c r="D6382" s="19"/>
      <c r="E6382" s="19"/>
      <c r="F6382" s="20"/>
      <c r="G6382" s="19"/>
      <c r="H6382" s="19"/>
      <c r="I6382" s="19"/>
      <c r="J6382" s="21"/>
      <c r="K6382" s="19"/>
    </row>
    <row r="6383" spans="3:11" x14ac:dyDescent="0.2">
      <c r="C6383" s="19"/>
      <c r="D6383" s="19"/>
      <c r="E6383" s="19"/>
      <c r="F6383" s="20"/>
      <c r="G6383" s="19"/>
      <c r="H6383" s="19"/>
      <c r="I6383" s="19"/>
      <c r="J6383" s="21"/>
      <c r="K6383" s="19"/>
    </row>
    <row r="6384" spans="3:11" x14ac:dyDescent="0.2">
      <c r="C6384" s="19"/>
      <c r="D6384" s="19"/>
      <c r="E6384" s="19"/>
      <c r="F6384" s="20"/>
      <c r="G6384" s="19"/>
      <c r="H6384" s="19"/>
      <c r="I6384" s="19"/>
      <c r="J6384" s="21"/>
      <c r="K6384" s="19"/>
    </row>
    <row r="6385" spans="3:11" x14ac:dyDescent="0.2">
      <c r="C6385" s="19"/>
      <c r="D6385" s="19"/>
      <c r="E6385" s="19"/>
      <c r="F6385" s="20"/>
      <c r="G6385" s="19"/>
      <c r="H6385" s="19"/>
      <c r="I6385" s="19"/>
      <c r="J6385" s="21"/>
      <c r="K6385" s="19"/>
    </row>
    <row r="6386" spans="3:11" x14ac:dyDescent="0.2">
      <c r="C6386" s="19"/>
      <c r="D6386" s="19"/>
      <c r="E6386" s="19"/>
      <c r="F6386" s="20"/>
      <c r="G6386" s="19"/>
      <c r="H6386" s="19"/>
      <c r="I6386" s="19"/>
      <c r="J6386" s="21"/>
      <c r="K6386" s="19"/>
    </row>
    <row r="6387" spans="3:11" x14ac:dyDescent="0.2">
      <c r="C6387" s="19"/>
      <c r="D6387" s="19"/>
      <c r="E6387" s="19"/>
      <c r="F6387" s="20"/>
      <c r="G6387" s="19"/>
      <c r="H6387" s="19"/>
      <c r="I6387" s="19"/>
      <c r="J6387" s="21"/>
      <c r="K6387" s="19"/>
    </row>
    <row r="6388" spans="3:11" x14ac:dyDescent="0.2">
      <c r="C6388" s="19"/>
      <c r="D6388" s="19"/>
      <c r="E6388" s="19"/>
      <c r="F6388" s="20"/>
      <c r="G6388" s="19"/>
      <c r="H6388" s="19"/>
      <c r="I6388" s="19"/>
      <c r="J6388" s="21"/>
      <c r="K6388" s="19"/>
    </row>
    <row r="6389" spans="3:11" x14ac:dyDescent="0.2">
      <c r="C6389" s="19"/>
      <c r="D6389" s="19"/>
      <c r="E6389" s="19"/>
      <c r="F6389" s="20"/>
      <c r="G6389" s="19"/>
      <c r="H6389" s="19"/>
      <c r="I6389" s="19"/>
      <c r="J6389" s="21"/>
      <c r="K6389" s="19"/>
    </row>
    <row r="6390" spans="3:11" x14ac:dyDescent="0.2">
      <c r="C6390" s="19"/>
      <c r="D6390" s="19"/>
      <c r="E6390" s="19"/>
      <c r="F6390" s="20"/>
      <c r="G6390" s="19"/>
      <c r="H6390" s="19"/>
      <c r="I6390" s="19"/>
      <c r="J6390" s="21"/>
      <c r="K6390" s="19"/>
    </row>
    <row r="6391" spans="3:11" x14ac:dyDescent="0.2">
      <c r="C6391" s="19"/>
      <c r="D6391" s="19"/>
      <c r="E6391" s="19"/>
      <c r="F6391" s="20"/>
      <c r="G6391" s="19"/>
      <c r="H6391" s="19"/>
      <c r="I6391" s="19"/>
      <c r="J6391" s="21"/>
      <c r="K6391" s="19"/>
    </row>
    <row r="6392" spans="3:11" x14ac:dyDescent="0.2">
      <c r="C6392" s="19"/>
      <c r="D6392" s="19"/>
      <c r="E6392" s="19"/>
      <c r="F6392" s="20"/>
      <c r="G6392" s="19"/>
      <c r="H6392" s="19"/>
      <c r="I6392" s="19"/>
      <c r="J6392" s="21"/>
      <c r="K6392" s="19"/>
    </row>
    <row r="6393" spans="3:11" x14ac:dyDescent="0.2">
      <c r="C6393" s="19"/>
      <c r="D6393" s="19"/>
      <c r="E6393" s="19"/>
      <c r="F6393" s="20"/>
      <c r="G6393" s="19"/>
      <c r="H6393" s="19"/>
      <c r="I6393" s="19"/>
      <c r="J6393" s="21"/>
      <c r="K6393" s="19"/>
    </row>
    <row r="6394" spans="3:11" x14ac:dyDescent="0.2">
      <c r="C6394" s="19"/>
      <c r="D6394" s="19"/>
      <c r="E6394" s="19"/>
      <c r="F6394" s="20"/>
      <c r="G6394" s="19"/>
      <c r="H6394" s="19"/>
      <c r="I6394" s="19"/>
      <c r="J6394" s="21"/>
      <c r="K6394" s="19"/>
    </row>
    <row r="6395" spans="3:11" x14ac:dyDescent="0.2">
      <c r="C6395" s="19"/>
      <c r="D6395" s="19"/>
      <c r="E6395" s="19"/>
      <c r="F6395" s="20"/>
      <c r="G6395" s="19"/>
      <c r="H6395" s="19"/>
      <c r="I6395" s="19"/>
      <c r="J6395" s="21"/>
      <c r="K6395" s="19"/>
    </row>
    <row r="6396" spans="3:11" x14ac:dyDescent="0.2">
      <c r="C6396" s="19"/>
      <c r="D6396" s="19"/>
      <c r="E6396" s="19"/>
      <c r="F6396" s="20"/>
      <c r="G6396" s="19"/>
      <c r="H6396" s="19"/>
      <c r="I6396" s="19"/>
      <c r="J6396" s="19"/>
      <c r="K6396" s="19"/>
    </row>
    <row r="6397" spans="3:11" x14ac:dyDescent="0.2">
      <c r="C6397" s="19"/>
      <c r="D6397" s="19"/>
      <c r="E6397" s="19"/>
      <c r="F6397" s="20"/>
      <c r="G6397" s="19"/>
      <c r="H6397" s="19"/>
      <c r="I6397" s="19"/>
      <c r="J6397" s="19"/>
      <c r="K6397" s="19"/>
    </row>
    <row r="6398" spans="3:11" x14ac:dyDescent="0.2">
      <c r="C6398" s="19"/>
      <c r="D6398" s="19"/>
      <c r="E6398" s="19"/>
      <c r="F6398" s="20"/>
      <c r="G6398" s="19"/>
      <c r="H6398" s="19"/>
      <c r="I6398" s="19"/>
      <c r="J6398" s="21"/>
      <c r="K6398" s="19"/>
    </row>
    <row r="6399" spans="3:11" x14ac:dyDescent="0.2">
      <c r="C6399" s="19"/>
      <c r="D6399" s="19"/>
      <c r="E6399" s="19"/>
      <c r="F6399" s="20"/>
      <c r="G6399" s="19"/>
      <c r="H6399" s="19"/>
      <c r="I6399" s="19"/>
      <c r="J6399" s="19"/>
      <c r="K6399" s="19"/>
    </row>
    <row r="6400" spans="3:11" x14ac:dyDescent="0.2">
      <c r="C6400" s="19"/>
      <c r="D6400" s="19"/>
      <c r="E6400" s="19"/>
      <c r="F6400" s="20"/>
      <c r="G6400" s="19"/>
      <c r="H6400" s="19"/>
      <c r="I6400" s="19"/>
      <c r="J6400" s="19"/>
      <c r="K6400" s="19"/>
    </row>
    <row r="6401" spans="3:11" x14ac:dyDescent="0.2">
      <c r="C6401" s="19"/>
      <c r="D6401" s="19"/>
      <c r="E6401" s="19"/>
      <c r="F6401" s="20"/>
      <c r="G6401" s="19"/>
      <c r="H6401" s="19"/>
      <c r="I6401" s="19"/>
      <c r="J6401" s="21"/>
      <c r="K6401" s="19"/>
    </row>
    <row r="6402" spans="3:11" x14ac:dyDescent="0.2">
      <c r="C6402" s="19"/>
      <c r="D6402" s="19"/>
      <c r="E6402" s="19"/>
      <c r="F6402" s="20"/>
      <c r="G6402" s="19"/>
      <c r="H6402" s="19"/>
      <c r="I6402" s="19"/>
      <c r="J6402" s="21"/>
      <c r="K6402" s="19"/>
    </row>
    <row r="6403" spans="3:11" x14ac:dyDescent="0.2">
      <c r="C6403" s="19"/>
      <c r="D6403" s="19"/>
      <c r="E6403" s="19"/>
      <c r="F6403" s="20"/>
      <c r="G6403" s="19"/>
      <c r="H6403" s="19"/>
      <c r="I6403" s="19"/>
      <c r="J6403" s="21"/>
      <c r="K6403" s="19"/>
    </row>
    <row r="6404" spans="3:11" x14ac:dyDescent="0.2">
      <c r="C6404" s="19"/>
      <c r="D6404" s="19"/>
      <c r="E6404" s="19"/>
      <c r="F6404" s="20"/>
      <c r="G6404" s="19"/>
      <c r="H6404" s="19"/>
      <c r="I6404" s="19"/>
      <c r="J6404" s="21"/>
      <c r="K6404" s="19"/>
    </row>
    <row r="6405" spans="3:11" x14ac:dyDescent="0.2">
      <c r="C6405" s="19"/>
      <c r="D6405" s="19"/>
      <c r="E6405" s="19"/>
      <c r="F6405" s="20"/>
      <c r="G6405" s="19"/>
      <c r="H6405" s="19"/>
      <c r="I6405" s="19"/>
      <c r="J6405" s="21"/>
      <c r="K6405" s="19"/>
    </row>
    <row r="6406" spans="3:11" x14ac:dyDescent="0.2">
      <c r="C6406" s="19"/>
      <c r="D6406" s="19"/>
      <c r="E6406" s="19"/>
      <c r="F6406" s="20"/>
      <c r="G6406" s="19"/>
      <c r="H6406" s="19"/>
      <c r="I6406" s="19"/>
      <c r="J6406" s="21"/>
      <c r="K6406" s="19"/>
    </row>
    <row r="6407" spans="3:11" x14ac:dyDescent="0.2">
      <c r="C6407" s="19"/>
      <c r="D6407" s="19"/>
      <c r="E6407" s="19"/>
      <c r="F6407" s="20"/>
      <c r="G6407" s="19"/>
      <c r="H6407" s="19"/>
      <c r="I6407" s="19"/>
      <c r="J6407" s="21"/>
      <c r="K6407" s="19"/>
    </row>
    <row r="6408" spans="3:11" x14ac:dyDescent="0.2">
      <c r="C6408" s="19"/>
      <c r="D6408" s="19"/>
      <c r="E6408" s="19"/>
      <c r="F6408" s="20"/>
      <c r="G6408" s="19"/>
      <c r="H6408" s="19"/>
      <c r="I6408" s="19"/>
      <c r="J6408" s="21"/>
      <c r="K6408" s="19"/>
    </row>
    <row r="6409" spans="3:11" x14ac:dyDescent="0.2">
      <c r="C6409" s="19"/>
      <c r="D6409" s="19"/>
      <c r="E6409" s="19"/>
      <c r="F6409" s="20"/>
      <c r="G6409" s="19"/>
      <c r="H6409" s="19"/>
      <c r="I6409" s="19"/>
      <c r="J6409" s="21"/>
      <c r="K6409" s="19"/>
    </row>
    <row r="6410" spans="3:11" x14ac:dyDescent="0.2">
      <c r="C6410" s="19"/>
      <c r="D6410" s="19"/>
      <c r="E6410" s="19"/>
      <c r="F6410" s="20"/>
      <c r="G6410" s="19"/>
      <c r="H6410" s="19"/>
      <c r="I6410" s="19"/>
      <c r="J6410" s="21"/>
      <c r="K6410" s="19"/>
    </row>
    <row r="6411" spans="3:11" x14ac:dyDescent="0.2">
      <c r="C6411" s="19"/>
      <c r="D6411" s="19"/>
      <c r="E6411" s="19"/>
      <c r="F6411" s="20"/>
      <c r="G6411" s="19"/>
      <c r="H6411" s="19"/>
      <c r="I6411" s="19"/>
      <c r="J6411" s="21"/>
      <c r="K6411" s="19"/>
    </row>
    <row r="6412" spans="3:11" x14ac:dyDescent="0.2">
      <c r="C6412" s="19"/>
      <c r="D6412" s="19"/>
      <c r="E6412" s="19"/>
      <c r="F6412" s="20"/>
      <c r="G6412" s="19"/>
      <c r="H6412" s="19"/>
      <c r="I6412" s="19"/>
      <c r="J6412" s="21"/>
      <c r="K6412" s="19"/>
    </row>
    <row r="6413" spans="3:11" x14ac:dyDescent="0.2">
      <c r="C6413" s="19"/>
      <c r="D6413" s="19"/>
      <c r="E6413" s="19"/>
      <c r="F6413" s="20"/>
      <c r="G6413" s="19"/>
      <c r="H6413" s="19"/>
      <c r="I6413" s="19"/>
      <c r="J6413" s="21"/>
      <c r="K6413" s="19"/>
    </row>
    <row r="6414" spans="3:11" x14ac:dyDescent="0.2">
      <c r="C6414" s="19"/>
      <c r="D6414" s="19"/>
      <c r="E6414" s="19"/>
      <c r="F6414" s="20"/>
      <c r="G6414" s="19"/>
      <c r="H6414" s="19"/>
      <c r="I6414" s="19"/>
      <c r="J6414" s="21"/>
      <c r="K6414" s="19"/>
    </row>
    <row r="6415" spans="3:11" x14ac:dyDescent="0.2">
      <c r="C6415" s="19"/>
      <c r="D6415" s="19"/>
      <c r="E6415" s="19"/>
      <c r="F6415" s="20"/>
      <c r="G6415" s="19"/>
      <c r="H6415" s="19"/>
      <c r="I6415" s="19"/>
      <c r="J6415" s="21"/>
      <c r="K6415" s="19"/>
    </row>
    <row r="6416" spans="3:11" x14ac:dyDescent="0.2">
      <c r="C6416" s="19"/>
      <c r="D6416" s="19"/>
      <c r="E6416" s="19"/>
      <c r="F6416" s="20"/>
      <c r="G6416" s="19"/>
      <c r="H6416" s="19"/>
      <c r="I6416" s="19"/>
      <c r="J6416" s="21"/>
      <c r="K6416" s="19"/>
    </row>
    <row r="6417" spans="3:11" x14ac:dyDescent="0.2">
      <c r="C6417" s="19"/>
      <c r="D6417" s="19"/>
      <c r="E6417" s="19"/>
      <c r="F6417" s="20"/>
      <c r="G6417" s="19"/>
      <c r="H6417" s="19"/>
      <c r="I6417" s="19"/>
      <c r="J6417" s="21"/>
      <c r="K6417" s="19"/>
    </row>
    <row r="6418" spans="3:11" x14ac:dyDescent="0.2">
      <c r="C6418" s="19"/>
      <c r="D6418" s="19"/>
      <c r="E6418" s="19"/>
      <c r="F6418" s="20"/>
      <c r="G6418" s="19"/>
      <c r="H6418" s="19"/>
      <c r="I6418" s="19"/>
      <c r="J6418" s="21"/>
      <c r="K6418" s="19"/>
    </row>
    <row r="6419" spans="3:11" x14ac:dyDescent="0.2">
      <c r="C6419" s="19"/>
      <c r="D6419" s="19"/>
      <c r="E6419" s="19"/>
      <c r="F6419" s="20"/>
      <c r="G6419" s="19"/>
      <c r="H6419" s="19"/>
      <c r="I6419" s="19"/>
      <c r="J6419" s="21"/>
      <c r="K6419" s="19"/>
    </row>
    <row r="6420" spans="3:11" x14ac:dyDescent="0.2">
      <c r="C6420" s="19"/>
      <c r="D6420" s="19"/>
      <c r="E6420" s="19"/>
      <c r="F6420" s="20"/>
      <c r="G6420" s="19"/>
      <c r="H6420" s="19"/>
      <c r="I6420" s="19"/>
      <c r="J6420" s="21"/>
      <c r="K6420" s="19"/>
    </row>
    <row r="6421" spans="3:11" x14ac:dyDescent="0.2">
      <c r="C6421" s="19"/>
      <c r="D6421" s="19"/>
      <c r="E6421" s="19"/>
      <c r="F6421" s="20"/>
      <c r="G6421" s="19"/>
      <c r="H6421" s="19"/>
      <c r="I6421" s="19"/>
      <c r="J6421" s="21"/>
      <c r="K6421" s="19"/>
    </row>
    <row r="6422" spans="3:11" x14ac:dyDescent="0.2">
      <c r="C6422" s="19"/>
      <c r="D6422" s="19"/>
      <c r="E6422" s="19"/>
      <c r="F6422" s="20"/>
      <c r="G6422" s="19"/>
      <c r="H6422" s="19"/>
      <c r="I6422" s="19"/>
      <c r="J6422" s="21"/>
      <c r="K6422" s="19"/>
    </row>
    <row r="6423" spans="3:11" x14ac:dyDescent="0.2">
      <c r="C6423" s="19"/>
      <c r="D6423" s="19"/>
      <c r="E6423" s="19"/>
      <c r="F6423" s="20"/>
      <c r="G6423" s="19"/>
      <c r="H6423" s="19"/>
      <c r="I6423" s="19"/>
      <c r="J6423" s="19"/>
      <c r="K6423" s="19"/>
    </row>
    <row r="6424" spans="3:11" x14ac:dyDescent="0.2">
      <c r="C6424" s="19"/>
      <c r="D6424" s="19"/>
      <c r="E6424" s="19"/>
      <c r="F6424" s="20"/>
      <c r="G6424" s="19"/>
      <c r="H6424" s="19"/>
      <c r="I6424" s="19"/>
      <c r="J6424" s="21"/>
      <c r="K6424" s="19"/>
    </row>
    <row r="6425" spans="3:11" x14ac:dyDescent="0.2">
      <c r="C6425" s="19"/>
      <c r="D6425" s="19"/>
      <c r="E6425" s="19"/>
      <c r="F6425" s="20"/>
      <c r="G6425" s="19"/>
      <c r="H6425" s="19"/>
      <c r="I6425" s="19"/>
      <c r="J6425" s="21"/>
      <c r="K6425" s="19"/>
    </row>
    <row r="6426" spans="3:11" x14ac:dyDescent="0.2">
      <c r="C6426" s="19"/>
      <c r="D6426" s="19"/>
      <c r="E6426" s="19"/>
      <c r="F6426" s="20"/>
      <c r="G6426" s="19"/>
      <c r="H6426" s="19"/>
      <c r="I6426" s="19"/>
      <c r="J6426" s="21"/>
      <c r="K6426" s="19"/>
    </row>
    <row r="6427" spans="3:11" x14ac:dyDescent="0.2">
      <c r="C6427" s="19"/>
      <c r="D6427" s="19"/>
      <c r="E6427" s="19"/>
      <c r="F6427" s="20"/>
      <c r="G6427" s="19"/>
      <c r="H6427" s="19"/>
      <c r="I6427" s="19"/>
      <c r="J6427" s="21"/>
      <c r="K6427" s="19"/>
    </row>
    <row r="6428" spans="3:11" x14ac:dyDescent="0.2">
      <c r="C6428" s="19"/>
      <c r="D6428" s="19"/>
      <c r="E6428" s="19"/>
      <c r="F6428" s="20"/>
      <c r="G6428" s="19"/>
      <c r="H6428" s="19"/>
      <c r="I6428" s="19"/>
      <c r="J6428" s="21"/>
      <c r="K6428" s="19"/>
    </row>
    <row r="6429" spans="3:11" x14ac:dyDescent="0.2">
      <c r="C6429" s="19"/>
      <c r="D6429" s="19"/>
      <c r="E6429" s="19"/>
      <c r="F6429" s="20"/>
      <c r="G6429" s="19"/>
      <c r="H6429" s="19"/>
      <c r="I6429" s="19"/>
      <c r="J6429" s="21"/>
      <c r="K6429" s="19"/>
    </row>
    <row r="6430" spans="3:11" x14ac:dyDescent="0.2">
      <c r="C6430" s="19"/>
      <c r="D6430" s="19"/>
      <c r="E6430" s="19"/>
      <c r="F6430" s="20"/>
      <c r="G6430" s="19"/>
      <c r="H6430" s="19"/>
      <c r="I6430" s="19"/>
      <c r="J6430" s="21"/>
      <c r="K6430" s="19"/>
    </row>
    <row r="6431" spans="3:11" x14ac:dyDescent="0.2">
      <c r="C6431" s="19"/>
      <c r="D6431" s="19"/>
      <c r="E6431" s="19"/>
      <c r="F6431" s="20"/>
      <c r="G6431" s="19"/>
      <c r="H6431" s="19"/>
      <c r="I6431" s="19"/>
      <c r="J6431" s="21"/>
      <c r="K6431" s="19"/>
    </row>
    <row r="6432" spans="3:11" x14ac:dyDescent="0.2">
      <c r="C6432" s="19"/>
      <c r="D6432" s="19"/>
      <c r="E6432" s="19"/>
      <c r="F6432" s="20"/>
      <c r="G6432" s="19"/>
      <c r="H6432" s="19"/>
      <c r="I6432" s="19"/>
      <c r="J6432" s="21"/>
      <c r="K6432" s="19"/>
    </row>
    <row r="6433" spans="3:11" x14ac:dyDescent="0.2">
      <c r="C6433" s="19"/>
      <c r="D6433" s="19"/>
      <c r="E6433" s="19"/>
      <c r="F6433" s="20"/>
      <c r="G6433" s="19"/>
      <c r="H6433" s="19"/>
      <c r="I6433" s="19"/>
      <c r="J6433" s="21"/>
      <c r="K6433" s="19"/>
    </row>
    <row r="6434" spans="3:11" x14ac:dyDescent="0.2">
      <c r="C6434" s="19"/>
      <c r="D6434" s="19"/>
      <c r="E6434" s="19"/>
      <c r="F6434" s="20"/>
      <c r="G6434" s="19"/>
      <c r="H6434" s="19"/>
      <c r="I6434" s="19"/>
      <c r="J6434" s="21"/>
      <c r="K6434" s="19"/>
    </row>
    <row r="6435" spans="3:11" x14ac:dyDescent="0.2">
      <c r="C6435" s="19"/>
      <c r="D6435" s="19"/>
      <c r="E6435" s="19"/>
      <c r="F6435" s="20"/>
      <c r="G6435" s="19"/>
      <c r="H6435" s="19"/>
      <c r="I6435" s="19"/>
      <c r="J6435" s="21"/>
      <c r="K6435" s="19"/>
    </row>
    <row r="6436" spans="3:11" x14ac:dyDescent="0.2">
      <c r="C6436" s="19"/>
      <c r="D6436" s="19"/>
      <c r="E6436" s="19"/>
      <c r="F6436" s="20"/>
      <c r="G6436" s="19"/>
      <c r="H6436" s="19"/>
      <c r="I6436" s="19"/>
      <c r="J6436" s="21"/>
      <c r="K6436" s="19"/>
    </row>
    <row r="6437" spans="3:11" x14ac:dyDescent="0.2">
      <c r="C6437" s="19"/>
      <c r="D6437" s="19"/>
      <c r="E6437" s="19"/>
      <c r="F6437" s="20"/>
      <c r="G6437" s="19"/>
      <c r="H6437" s="19"/>
      <c r="I6437" s="19"/>
      <c r="J6437" s="21"/>
      <c r="K6437" s="19"/>
    </row>
    <row r="6438" spans="3:11" x14ac:dyDescent="0.2">
      <c r="C6438" s="19"/>
      <c r="D6438" s="19"/>
      <c r="E6438" s="19"/>
      <c r="F6438" s="20"/>
      <c r="G6438" s="19"/>
      <c r="H6438" s="19"/>
      <c r="I6438" s="19"/>
      <c r="J6438" s="21"/>
      <c r="K6438" s="19"/>
    </row>
    <row r="6439" spans="3:11" x14ac:dyDescent="0.2">
      <c r="C6439" s="19"/>
      <c r="D6439" s="19"/>
      <c r="E6439" s="19"/>
      <c r="F6439" s="20"/>
      <c r="G6439" s="19"/>
      <c r="H6439" s="19"/>
      <c r="I6439" s="19"/>
      <c r="J6439" s="21"/>
      <c r="K6439" s="19"/>
    </row>
    <row r="6440" spans="3:11" x14ac:dyDescent="0.2">
      <c r="C6440" s="19"/>
      <c r="D6440" s="19"/>
      <c r="E6440" s="19"/>
      <c r="F6440" s="20"/>
      <c r="G6440" s="19"/>
      <c r="H6440" s="19"/>
      <c r="I6440" s="19"/>
      <c r="J6440" s="19"/>
      <c r="K6440" s="19"/>
    </row>
    <row r="6441" spans="3:11" x14ac:dyDescent="0.2">
      <c r="C6441" s="19"/>
      <c r="D6441" s="19"/>
      <c r="E6441" s="19"/>
      <c r="F6441" s="20"/>
      <c r="G6441" s="19"/>
      <c r="H6441" s="19"/>
      <c r="I6441" s="19"/>
      <c r="J6441" s="21"/>
      <c r="K6441" s="19"/>
    </row>
    <row r="6442" spans="3:11" x14ac:dyDescent="0.2">
      <c r="C6442" s="19"/>
      <c r="D6442" s="19"/>
      <c r="E6442" s="19"/>
      <c r="F6442" s="20"/>
      <c r="G6442" s="19"/>
      <c r="H6442" s="19"/>
      <c r="I6442" s="19"/>
      <c r="J6442" s="21"/>
      <c r="K6442" s="19"/>
    </row>
    <row r="6443" spans="3:11" x14ac:dyDescent="0.2">
      <c r="C6443" s="19"/>
      <c r="D6443" s="19"/>
      <c r="E6443" s="19"/>
      <c r="F6443" s="20"/>
      <c r="G6443" s="19"/>
      <c r="H6443" s="19"/>
      <c r="I6443" s="19"/>
      <c r="J6443" s="19"/>
      <c r="K6443" s="19"/>
    </row>
    <row r="6444" spans="3:11" x14ac:dyDescent="0.2">
      <c r="C6444" s="19"/>
      <c r="D6444" s="19"/>
      <c r="E6444" s="19"/>
      <c r="F6444" s="20"/>
      <c r="G6444" s="19"/>
      <c r="H6444" s="19"/>
      <c r="I6444" s="19"/>
      <c r="J6444" s="21"/>
      <c r="K6444" s="19"/>
    </row>
    <row r="6445" spans="3:11" x14ac:dyDescent="0.2">
      <c r="C6445" s="19"/>
      <c r="D6445" s="19"/>
      <c r="E6445" s="19"/>
      <c r="F6445" s="20"/>
      <c r="G6445" s="19"/>
      <c r="H6445" s="19"/>
      <c r="I6445" s="19"/>
      <c r="J6445" s="19"/>
      <c r="K6445" s="19"/>
    </row>
    <row r="6446" spans="3:11" x14ac:dyDescent="0.2">
      <c r="C6446" s="19"/>
      <c r="D6446" s="19"/>
      <c r="E6446" s="19"/>
      <c r="F6446" s="20"/>
      <c r="G6446" s="19"/>
      <c r="H6446" s="19"/>
      <c r="I6446" s="19"/>
      <c r="J6446" s="21"/>
      <c r="K6446" s="19"/>
    </row>
    <row r="6447" spans="3:11" x14ac:dyDescent="0.2">
      <c r="C6447" s="19"/>
      <c r="D6447" s="19"/>
      <c r="E6447" s="19"/>
      <c r="F6447" s="20"/>
      <c r="G6447" s="19"/>
      <c r="H6447" s="19"/>
      <c r="I6447" s="19"/>
      <c r="J6447" s="21"/>
      <c r="K6447" s="19"/>
    </row>
    <row r="6448" spans="3:11" x14ac:dyDescent="0.2">
      <c r="C6448" s="19"/>
      <c r="D6448" s="19"/>
      <c r="E6448" s="19"/>
      <c r="F6448" s="20"/>
      <c r="G6448" s="19"/>
      <c r="H6448" s="19"/>
      <c r="I6448" s="19"/>
      <c r="J6448" s="21"/>
      <c r="K6448" s="19"/>
    </row>
    <row r="6449" spans="3:11" x14ac:dyDescent="0.2">
      <c r="C6449" s="19"/>
      <c r="D6449" s="19"/>
      <c r="E6449" s="19"/>
      <c r="F6449" s="20"/>
      <c r="G6449" s="19"/>
      <c r="H6449" s="19"/>
      <c r="I6449" s="19"/>
      <c r="J6449" s="19"/>
      <c r="K6449" s="19"/>
    </row>
    <row r="6450" spans="3:11" x14ac:dyDescent="0.2">
      <c r="C6450" s="19"/>
      <c r="D6450" s="19"/>
      <c r="E6450" s="19"/>
      <c r="F6450" s="20"/>
      <c r="G6450" s="19"/>
      <c r="H6450" s="19"/>
      <c r="I6450" s="19"/>
      <c r="J6450" s="21"/>
      <c r="K6450" s="19"/>
    </row>
    <row r="6451" spans="3:11" x14ac:dyDescent="0.2">
      <c r="C6451" s="19"/>
      <c r="D6451" s="19"/>
      <c r="E6451" s="19"/>
      <c r="F6451" s="20"/>
      <c r="G6451" s="19"/>
      <c r="H6451" s="19"/>
      <c r="I6451" s="19"/>
      <c r="J6451" s="19"/>
      <c r="K6451" s="19"/>
    </row>
    <row r="6452" spans="3:11" x14ac:dyDescent="0.2">
      <c r="C6452" s="19"/>
      <c r="D6452" s="19"/>
      <c r="E6452" s="19"/>
      <c r="F6452" s="20"/>
      <c r="G6452" s="19"/>
      <c r="H6452" s="19"/>
      <c r="I6452" s="19"/>
      <c r="J6452" s="21"/>
      <c r="K6452" s="19"/>
    </row>
    <row r="6453" spans="3:11" x14ac:dyDescent="0.2">
      <c r="C6453" s="19"/>
      <c r="D6453" s="19"/>
      <c r="E6453" s="19"/>
      <c r="F6453" s="20"/>
      <c r="G6453" s="19"/>
      <c r="H6453" s="19"/>
      <c r="I6453" s="19"/>
      <c r="J6453" s="21"/>
      <c r="K6453" s="19"/>
    </row>
    <row r="6454" spans="3:11" x14ac:dyDescent="0.2">
      <c r="C6454" s="19"/>
      <c r="D6454" s="19"/>
      <c r="E6454" s="19"/>
      <c r="F6454" s="20"/>
      <c r="G6454" s="19"/>
      <c r="H6454" s="19"/>
      <c r="I6454" s="19"/>
      <c r="J6454" s="21"/>
      <c r="K6454" s="19"/>
    </row>
    <row r="6455" spans="3:11" x14ac:dyDescent="0.2">
      <c r="C6455" s="19"/>
      <c r="D6455" s="19"/>
      <c r="E6455" s="19"/>
      <c r="F6455" s="20"/>
      <c r="G6455" s="19"/>
      <c r="H6455" s="19"/>
      <c r="I6455" s="19"/>
      <c r="J6455" s="21"/>
      <c r="K6455" s="19"/>
    </row>
    <row r="6456" spans="3:11" x14ac:dyDescent="0.2">
      <c r="C6456" s="19"/>
      <c r="D6456" s="19"/>
      <c r="E6456" s="19"/>
      <c r="F6456" s="20"/>
      <c r="G6456" s="19"/>
      <c r="H6456" s="19"/>
      <c r="I6456" s="19"/>
      <c r="J6456" s="21"/>
      <c r="K6456" s="19"/>
    </row>
    <row r="6457" spans="3:11" x14ac:dyDescent="0.2">
      <c r="C6457" s="19"/>
      <c r="D6457" s="19"/>
      <c r="E6457" s="19"/>
      <c r="F6457" s="20"/>
      <c r="G6457" s="19"/>
      <c r="H6457" s="19"/>
      <c r="I6457" s="19"/>
      <c r="J6457" s="21"/>
      <c r="K6457" s="19"/>
    </row>
    <row r="6458" spans="3:11" x14ac:dyDescent="0.2">
      <c r="C6458" s="19"/>
      <c r="D6458" s="19"/>
      <c r="E6458" s="19"/>
      <c r="F6458" s="20"/>
      <c r="G6458" s="19"/>
      <c r="H6458" s="19"/>
      <c r="I6458" s="19"/>
      <c r="J6458" s="21"/>
      <c r="K6458" s="19"/>
    </row>
    <row r="6459" spans="3:11" x14ac:dyDescent="0.2">
      <c r="C6459" s="19"/>
      <c r="D6459" s="19"/>
      <c r="E6459" s="19"/>
      <c r="F6459" s="20"/>
      <c r="G6459" s="19"/>
      <c r="H6459" s="19"/>
      <c r="I6459" s="19"/>
      <c r="J6459" s="21"/>
      <c r="K6459" s="19"/>
    </row>
    <row r="6460" spans="3:11" x14ac:dyDescent="0.2">
      <c r="C6460" s="19"/>
      <c r="D6460" s="19"/>
      <c r="E6460" s="19"/>
      <c r="F6460" s="20"/>
      <c r="G6460" s="19"/>
      <c r="H6460" s="19"/>
      <c r="I6460" s="19"/>
      <c r="J6460" s="19"/>
      <c r="K6460" s="19"/>
    </row>
    <row r="6461" spans="3:11" x14ac:dyDescent="0.2">
      <c r="C6461" s="19"/>
      <c r="D6461" s="19"/>
      <c r="E6461" s="19"/>
      <c r="F6461" s="20"/>
      <c r="G6461" s="19"/>
      <c r="H6461" s="19"/>
      <c r="I6461" s="19"/>
      <c r="J6461" s="21"/>
      <c r="K6461" s="19"/>
    </row>
    <row r="6462" spans="3:11" x14ac:dyDescent="0.2">
      <c r="C6462" s="19"/>
      <c r="D6462" s="19"/>
      <c r="E6462" s="19"/>
      <c r="F6462" s="20"/>
      <c r="G6462" s="19"/>
      <c r="H6462" s="19"/>
      <c r="I6462" s="19"/>
      <c r="J6462" s="21"/>
      <c r="K6462" s="19"/>
    </row>
    <row r="6463" spans="3:11" x14ac:dyDescent="0.2">
      <c r="C6463" s="19"/>
      <c r="D6463" s="19"/>
      <c r="E6463" s="19"/>
      <c r="F6463" s="20"/>
      <c r="G6463" s="19"/>
      <c r="H6463" s="19"/>
      <c r="I6463" s="19"/>
      <c r="J6463" s="21"/>
      <c r="K6463" s="19"/>
    </row>
    <row r="6464" spans="3:11" x14ac:dyDescent="0.2">
      <c r="C6464" s="19"/>
      <c r="D6464" s="19"/>
      <c r="E6464" s="19"/>
      <c r="F6464" s="20"/>
      <c r="G6464" s="19"/>
      <c r="H6464" s="19"/>
      <c r="I6464" s="19"/>
      <c r="J6464" s="21"/>
      <c r="K6464" s="19"/>
    </row>
    <row r="6465" spans="3:11" x14ac:dyDescent="0.2">
      <c r="C6465" s="19"/>
      <c r="D6465" s="19"/>
      <c r="E6465" s="19"/>
      <c r="F6465" s="20"/>
      <c r="G6465" s="19"/>
      <c r="H6465" s="19"/>
      <c r="I6465" s="19"/>
      <c r="J6465" s="21"/>
      <c r="K6465" s="19"/>
    </row>
    <row r="6466" spans="3:11" x14ac:dyDescent="0.2">
      <c r="C6466" s="19"/>
      <c r="D6466" s="19"/>
      <c r="E6466" s="19"/>
      <c r="F6466" s="20"/>
      <c r="G6466" s="19"/>
      <c r="H6466" s="19"/>
      <c r="I6466" s="19"/>
      <c r="J6466" s="21"/>
      <c r="K6466" s="19"/>
    </row>
    <row r="6467" spans="3:11" x14ac:dyDescent="0.2">
      <c r="C6467" s="19"/>
      <c r="D6467" s="19"/>
      <c r="E6467" s="19"/>
      <c r="F6467" s="20"/>
      <c r="G6467" s="19"/>
      <c r="H6467" s="19"/>
      <c r="I6467" s="19"/>
      <c r="J6467" s="21"/>
      <c r="K6467" s="19"/>
    </row>
    <row r="6468" spans="3:11" x14ac:dyDescent="0.2">
      <c r="C6468" s="19"/>
      <c r="D6468" s="19"/>
      <c r="E6468" s="19"/>
      <c r="F6468" s="20"/>
      <c r="G6468" s="19"/>
      <c r="H6468" s="19"/>
      <c r="I6468" s="19"/>
      <c r="J6468" s="19"/>
      <c r="K6468" s="19"/>
    </row>
    <row r="6469" spans="3:11" x14ac:dyDescent="0.2">
      <c r="C6469" s="19"/>
      <c r="D6469" s="19"/>
      <c r="E6469" s="19"/>
      <c r="F6469" s="20"/>
      <c r="G6469" s="19"/>
      <c r="H6469" s="19"/>
      <c r="I6469" s="19"/>
      <c r="J6469" s="19"/>
      <c r="K6469" s="19"/>
    </row>
    <row r="6470" spans="3:11" x14ac:dyDescent="0.2">
      <c r="C6470" s="19"/>
      <c r="D6470" s="19"/>
      <c r="E6470" s="19"/>
      <c r="F6470" s="20"/>
      <c r="G6470" s="19"/>
      <c r="H6470" s="19"/>
      <c r="I6470" s="19"/>
      <c r="J6470" s="21"/>
      <c r="K6470" s="19"/>
    </row>
    <row r="6471" spans="3:11" x14ac:dyDescent="0.2">
      <c r="C6471" s="19"/>
      <c r="D6471" s="19"/>
      <c r="E6471" s="19"/>
      <c r="F6471" s="20"/>
      <c r="G6471" s="19"/>
      <c r="H6471" s="19"/>
      <c r="I6471" s="19"/>
      <c r="J6471" s="21"/>
      <c r="K6471" s="19"/>
    </row>
    <row r="6472" spans="3:11" x14ac:dyDescent="0.2">
      <c r="C6472" s="19"/>
      <c r="D6472" s="19"/>
      <c r="E6472" s="19"/>
      <c r="F6472" s="20"/>
      <c r="G6472" s="19"/>
      <c r="H6472" s="19"/>
      <c r="I6472" s="19"/>
      <c r="J6472" s="21"/>
      <c r="K6472" s="19"/>
    </row>
    <row r="6473" spans="3:11" x14ac:dyDescent="0.2">
      <c r="C6473" s="19"/>
      <c r="D6473" s="19"/>
      <c r="E6473" s="19"/>
      <c r="F6473" s="20"/>
      <c r="G6473" s="19"/>
      <c r="H6473" s="19"/>
      <c r="I6473" s="19"/>
      <c r="J6473" s="19"/>
      <c r="K6473" s="19"/>
    </row>
    <row r="6474" spans="3:11" x14ac:dyDescent="0.2">
      <c r="C6474" s="19"/>
      <c r="D6474" s="19"/>
      <c r="E6474" s="19"/>
      <c r="F6474" s="20"/>
      <c r="G6474" s="19"/>
      <c r="H6474" s="19"/>
      <c r="I6474" s="19"/>
      <c r="J6474" s="19"/>
      <c r="K6474" s="19"/>
    </row>
    <row r="6475" spans="3:11" x14ac:dyDescent="0.2">
      <c r="C6475" s="19"/>
      <c r="D6475" s="19"/>
      <c r="E6475" s="19"/>
      <c r="F6475" s="20"/>
      <c r="G6475" s="19"/>
      <c r="H6475" s="19"/>
      <c r="I6475" s="19"/>
      <c r="J6475" s="19"/>
      <c r="K6475" s="19"/>
    </row>
    <row r="6476" spans="3:11" x14ac:dyDescent="0.2">
      <c r="C6476" s="19"/>
      <c r="D6476" s="19"/>
      <c r="E6476" s="19"/>
      <c r="F6476" s="20"/>
      <c r="G6476" s="19"/>
      <c r="H6476" s="19"/>
      <c r="I6476" s="19"/>
      <c r="J6476" s="19"/>
      <c r="K6476" s="19"/>
    </row>
    <row r="6477" spans="3:11" x14ac:dyDescent="0.2">
      <c r="C6477" s="19"/>
      <c r="D6477" s="19"/>
      <c r="E6477" s="19"/>
      <c r="F6477" s="20"/>
      <c r="G6477" s="19"/>
      <c r="H6477" s="19"/>
      <c r="I6477" s="19"/>
      <c r="J6477" s="21"/>
      <c r="K6477" s="19"/>
    </row>
    <row r="6478" spans="3:11" x14ac:dyDescent="0.2">
      <c r="C6478" s="19"/>
      <c r="D6478" s="19"/>
      <c r="E6478" s="19"/>
      <c r="F6478" s="20"/>
      <c r="G6478" s="19"/>
      <c r="H6478" s="19"/>
      <c r="I6478" s="19"/>
      <c r="J6478" s="19"/>
      <c r="K6478" s="19"/>
    </row>
    <row r="6479" spans="3:11" x14ac:dyDescent="0.2">
      <c r="C6479" s="19"/>
      <c r="D6479" s="19"/>
      <c r="E6479" s="19"/>
      <c r="F6479" s="20"/>
      <c r="G6479" s="19"/>
      <c r="H6479" s="19"/>
      <c r="I6479" s="19"/>
      <c r="J6479" s="21"/>
      <c r="K6479" s="19"/>
    </row>
    <row r="6480" spans="3:11" x14ac:dyDescent="0.2">
      <c r="C6480" s="19"/>
      <c r="D6480" s="19"/>
      <c r="E6480" s="19"/>
      <c r="F6480" s="20"/>
      <c r="G6480" s="19"/>
      <c r="H6480" s="19"/>
      <c r="I6480" s="19"/>
      <c r="J6480" s="21"/>
      <c r="K6480" s="19"/>
    </row>
    <row r="6481" spans="3:11" x14ac:dyDescent="0.2">
      <c r="C6481" s="19"/>
      <c r="D6481" s="19"/>
      <c r="E6481" s="19"/>
      <c r="F6481" s="20"/>
      <c r="G6481" s="19"/>
      <c r="H6481" s="19"/>
      <c r="I6481" s="19"/>
      <c r="J6481" s="19"/>
      <c r="K6481" s="19"/>
    </row>
    <row r="6482" spans="3:11" x14ac:dyDescent="0.2">
      <c r="C6482" s="19"/>
      <c r="D6482" s="19"/>
      <c r="E6482" s="19"/>
      <c r="F6482" s="20"/>
      <c r="G6482" s="19"/>
      <c r="H6482" s="19"/>
      <c r="I6482" s="19"/>
      <c r="J6482" s="21"/>
      <c r="K6482" s="19"/>
    </row>
    <row r="6483" spans="3:11" x14ac:dyDescent="0.2">
      <c r="C6483" s="19"/>
      <c r="D6483" s="19"/>
      <c r="E6483" s="19"/>
      <c r="F6483" s="20"/>
      <c r="G6483" s="19"/>
      <c r="H6483" s="19"/>
      <c r="I6483" s="19"/>
      <c r="J6483" s="21"/>
      <c r="K6483" s="19"/>
    </row>
    <row r="6484" spans="3:11" x14ac:dyDescent="0.2">
      <c r="C6484" s="19"/>
      <c r="D6484" s="19"/>
      <c r="E6484" s="19"/>
      <c r="F6484" s="20"/>
      <c r="G6484" s="19"/>
      <c r="H6484" s="19"/>
      <c r="I6484" s="19"/>
      <c r="J6484" s="21"/>
      <c r="K6484" s="19"/>
    </row>
    <row r="6485" spans="3:11" x14ac:dyDescent="0.2">
      <c r="C6485" s="19"/>
      <c r="D6485" s="19"/>
      <c r="E6485" s="19"/>
      <c r="F6485" s="20"/>
      <c r="G6485" s="19"/>
      <c r="H6485" s="19"/>
      <c r="I6485" s="19"/>
      <c r="J6485" s="21"/>
      <c r="K6485" s="19"/>
    </row>
    <row r="6486" spans="3:11" x14ac:dyDescent="0.2">
      <c r="C6486" s="19"/>
      <c r="D6486" s="19"/>
      <c r="E6486" s="19"/>
      <c r="F6486" s="20"/>
      <c r="G6486" s="19"/>
      <c r="H6486" s="19"/>
      <c r="I6486" s="19"/>
      <c r="J6486" s="21"/>
      <c r="K6486" s="19"/>
    </row>
    <row r="6487" spans="3:11" x14ac:dyDescent="0.2">
      <c r="C6487" s="19"/>
      <c r="D6487" s="19"/>
      <c r="E6487" s="19"/>
      <c r="F6487" s="20"/>
      <c r="G6487" s="19"/>
      <c r="H6487" s="19"/>
      <c r="I6487" s="19"/>
      <c r="J6487" s="19"/>
      <c r="K6487" s="19"/>
    </row>
    <row r="6488" spans="3:11" x14ac:dyDescent="0.2">
      <c r="C6488" s="19"/>
      <c r="D6488" s="19"/>
      <c r="E6488" s="19"/>
      <c r="F6488" s="20"/>
      <c r="G6488" s="19"/>
      <c r="H6488" s="19"/>
      <c r="I6488" s="19"/>
      <c r="J6488" s="21"/>
      <c r="K6488" s="19"/>
    </row>
    <row r="6489" spans="3:11" x14ac:dyDescent="0.2">
      <c r="C6489" s="19"/>
      <c r="D6489" s="19"/>
      <c r="E6489" s="19"/>
      <c r="F6489" s="20"/>
      <c r="G6489" s="19"/>
      <c r="H6489" s="19"/>
      <c r="I6489" s="19"/>
      <c r="J6489" s="21"/>
      <c r="K6489" s="19"/>
    </row>
    <row r="6490" spans="3:11" x14ac:dyDescent="0.2">
      <c r="C6490" s="19"/>
      <c r="D6490" s="19"/>
      <c r="E6490" s="19"/>
      <c r="F6490" s="20"/>
      <c r="G6490" s="19"/>
      <c r="H6490" s="19"/>
      <c r="I6490" s="19"/>
      <c r="J6490" s="21"/>
      <c r="K6490" s="19"/>
    </row>
    <row r="6491" spans="3:11" x14ac:dyDescent="0.2">
      <c r="C6491" s="19"/>
      <c r="D6491" s="19"/>
      <c r="E6491" s="19"/>
      <c r="F6491" s="20"/>
      <c r="G6491" s="19"/>
      <c r="H6491" s="19"/>
      <c r="I6491" s="19"/>
      <c r="J6491" s="21"/>
      <c r="K6491" s="19"/>
    </row>
    <row r="6492" spans="3:11" x14ac:dyDescent="0.2">
      <c r="C6492" s="19"/>
      <c r="D6492" s="19"/>
      <c r="E6492" s="19"/>
      <c r="F6492" s="20"/>
      <c r="G6492" s="19"/>
      <c r="H6492" s="19"/>
      <c r="I6492" s="19"/>
      <c r="J6492" s="21"/>
      <c r="K6492" s="19"/>
    </row>
    <row r="6493" spans="3:11" x14ac:dyDescent="0.2">
      <c r="C6493" s="19"/>
      <c r="D6493" s="19"/>
      <c r="E6493" s="19"/>
      <c r="F6493" s="20"/>
      <c r="G6493" s="19"/>
      <c r="H6493" s="19"/>
      <c r="I6493" s="19"/>
      <c r="J6493" s="21"/>
      <c r="K6493" s="19"/>
    </row>
    <row r="6494" spans="3:11" x14ac:dyDescent="0.2">
      <c r="C6494" s="19"/>
      <c r="D6494" s="19"/>
      <c r="E6494" s="19"/>
      <c r="F6494" s="20"/>
      <c r="G6494" s="19"/>
      <c r="H6494" s="19"/>
      <c r="I6494" s="19"/>
      <c r="J6494" s="21"/>
      <c r="K6494" s="19"/>
    </row>
    <row r="6495" spans="3:11" x14ac:dyDescent="0.2">
      <c r="C6495" s="19"/>
      <c r="D6495" s="19"/>
      <c r="E6495" s="19"/>
      <c r="F6495" s="20"/>
      <c r="G6495" s="19"/>
      <c r="H6495" s="19"/>
      <c r="I6495" s="19"/>
      <c r="J6495" s="21"/>
      <c r="K6495" s="19"/>
    </row>
    <row r="6496" spans="3:11" x14ac:dyDescent="0.2">
      <c r="C6496" s="19"/>
      <c r="D6496" s="19"/>
      <c r="E6496" s="19"/>
      <c r="F6496" s="20"/>
      <c r="G6496" s="19"/>
      <c r="H6496" s="19"/>
      <c r="I6496" s="19"/>
      <c r="J6496" s="21"/>
      <c r="K6496" s="19"/>
    </row>
    <row r="6497" spans="3:11" x14ac:dyDescent="0.2">
      <c r="C6497" s="19"/>
      <c r="D6497" s="19"/>
      <c r="E6497" s="19"/>
      <c r="F6497" s="20"/>
      <c r="G6497" s="19"/>
      <c r="H6497" s="19"/>
      <c r="I6497" s="19"/>
      <c r="J6497" s="21"/>
      <c r="K6497" s="19"/>
    </row>
    <row r="6498" spans="3:11" x14ac:dyDescent="0.2">
      <c r="C6498" s="19"/>
      <c r="D6498" s="19"/>
      <c r="E6498" s="19"/>
      <c r="F6498" s="20"/>
      <c r="G6498" s="19"/>
      <c r="H6498" s="19"/>
      <c r="I6498" s="19"/>
      <c r="J6498" s="21"/>
      <c r="K6498" s="19"/>
    </row>
    <row r="6499" spans="3:11" x14ac:dyDescent="0.2">
      <c r="C6499" s="19"/>
      <c r="D6499" s="19"/>
      <c r="E6499" s="19"/>
      <c r="F6499" s="20"/>
      <c r="G6499" s="19"/>
      <c r="H6499" s="19"/>
      <c r="I6499" s="19"/>
      <c r="J6499" s="21"/>
      <c r="K6499" s="19"/>
    </row>
    <row r="6500" spans="3:11" x14ac:dyDescent="0.2">
      <c r="C6500" s="19"/>
      <c r="D6500" s="19"/>
      <c r="E6500" s="19"/>
      <c r="F6500" s="20"/>
      <c r="G6500" s="19"/>
      <c r="H6500" s="19"/>
      <c r="I6500" s="19"/>
      <c r="J6500" s="21"/>
      <c r="K6500" s="19"/>
    </row>
    <row r="6501" spans="3:11" x14ac:dyDescent="0.2">
      <c r="C6501" s="19"/>
      <c r="D6501" s="19"/>
      <c r="E6501" s="19"/>
      <c r="F6501" s="20"/>
      <c r="G6501" s="19"/>
      <c r="H6501" s="19"/>
      <c r="I6501" s="19"/>
      <c r="J6501" s="21"/>
      <c r="K6501" s="19"/>
    </row>
    <row r="6502" spans="3:11" x14ac:dyDescent="0.2">
      <c r="C6502" s="19"/>
      <c r="D6502" s="19"/>
      <c r="E6502" s="19"/>
      <c r="F6502" s="20"/>
      <c r="G6502" s="19"/>
      <c r="H6502" s="19"/>
      <c r="I6502" s="19"/>
      <c r="J6502" s="21"/>
      <c r="K6502" s="19"/>
    </row>
    <row r="6503" spans="3:11" x14ac:dyDescent="0.2">
      <c r="C6503" s="19"/>
      <c r="D6503" s="19"/>
      <c r="E6503" s="19"/>
      <c r="F6503" s="20"/>
      <c r="G6503" s="19"/>
      <c r="H6503" s="19"/>
      <c r="I6503" s="19"/>
      <c r="J6503" s="21"/>
      <c r="K6503" s="19"/>
    </row>
    <row r="6504" spans="3:11" x14ac:dyDescent="0.2">
      <c r="C6504" s="19"/>
      <c r="D6504" s="19"/>
      <c r="E6504" s="19"/>
      <c r="F6504" s="20"/>
      <c r="G6504" s="19"/>
      <c r="H6504" s="19"/>
      <c r="I6504" s="19"/>
      <c r="J6504" s="19"/>
      <c r="K6504" s="19"/>
    </row>
    <row r="6505" spans="3:11" x14ac:dyDescent="0.2">
      <c r="C6505" s="19"/>
      <c r="D6505" s="19"/>
      <c r="E6505" s="19"/>
      <c r="F6505" s="20"/>
      <c r="G6505" s="19"/>
      <c r="H6505" s="19"/>
      <c r="I6505" s="19"/>
      <c r="J6505" s="19"/>
      <c r="K6505" s="19"/>
    </row>
    <row r="6506" spans="3:11" x14ac:dyDescent="0.2">
      <c r="C6506" s="19"/>
      <c r="D6506" s="19"/>
      <c r="E6506" s="19"/>
      <c r="F6506" s="20"/>
      <c r="G6506" s="19"/>
      <c r="H6506" s="19"/>
      <c r="I6506" s="19"/>
      <c r="J6506" s="19"/>
      <c r="K6506" s="19"/>
    </row>
    <row r="6507" spans="3:11" x14ac:dyDescent="0.2">
      <c r="C6507" s="19"/>
      <c r="D6507" s="19"/>
      <c r="E6507" s="19"/>
      <c r="F6507" s="20"/>
      <c r="G6507" s="19"/>
      <c r="H6507" s="19"/>
      <c r="I6507" s="19"/>
      <c r="J6507" s="19"/>
      <c r="K6507" s="19"/>
    </row>
    <row r="6508" spans="3:11" x14ac:dyDescent="0.2">
      <c r="C6508" s="19"/>
      <c r="D6508" s="19"/>
      <c r="E6508" s="19"/>
      <c r="F6508" s="20"/>
      <c r="G6508" s="19"/>
      <c r="H6508" s="19"/>
      <c r="I6508" s="19"/>
      <c r="J6508" s="21"/>
      <c r="K6508" s="19"/>
    </row>
    <row r="6509" spans="3:11" x14ac:dyDescent="0.2">
      <c r="C6509" s="19"/>
      <c r="D6509" s="19"/>
      <c r="E6509" s="19"/>
      <c r="F6509" s="20"/>
      <c r="G6509" s="19"/>
      <c r="H6509" s="19"/>
      <c r="I6509" s="19"/>
      <c r="J6509" s="21"/>
      <c r="K6509" s="19"/>
    </row>
    <row r="6510" spans="3:11" x14ac:dyDescent="0.2">
      <c r="C6510" s="19"/>
      <c r="D6510" s="19"/>
      <c r="E6510" s="19"/>
      <c r="F6510" s="20"/>
      <c r="G6510" s="19"/>
      <c r="H6510" s="19"/>
      <c r="I6510" s="19"/>
      <c r="J6510" s="21"/>
      <c r="K6510" s="19"/>
    </row>
    <row r="6511" spans="3:11" x14ac:dyDescent="0.2">
      <c r="C6511" s="19"/>
      <c r="D6511" s="19"/>
      <c r="E6511" s="19"/>
      <c r="F6511" s="20"/>
      <c r="G6511" s="19"/>
      <c r="H6511" s="19"/>
      <c r="I6511" s="19"/>
      <c r="J6511" s="21"/>
      <c r="K6511" s="19"/>
    </row>
    <row r="6512" spans="3:11" x14ac:dyDescent="0.2">
      <c r="C6512" s="19"/>
      <c r="D6512" s="19"/>
      <c r="E6512" s="19"/>
      <c r="F6512" s="20"/>
      <c r="G6512" s="19"/>
      <c r="H6512" s="19"/>
      <c r="I6512" s="19"/>
      <c r="J6512" s="21"/>
      <c r="K6512" s="19"/>
    </row>
    <row r="6513" spans="3:11" x14ac:dyDescent="0.2">
      <c r="C6513" s="19"/>
      <c r="D6513" s="19"/>
      <c r="E6513" s="19"/>
      <c r="F6513" s="20"/>
      <c r="G6513" s="19"/>
      <c r="H6513" s="19"/>
      <c r="I6513" s="19"/>
      <c r="J6513" s="21"/>
      <c r="K6513" s="19"/>
    </row>
    <row r="6514" spans="3:11" x14ac:dyDescent="0.2">
      <c r="C6514" s="19"/>
      <c r="D6514" s="19"/>
      <c r="E6514" s="19"/>
      <c r="F6514" s="20"/>
      <c r="G6514" s="19"/>
      <c r="H6514" s="19"/>
      <c r="I6514" s="19"/>
      <c r="J6514" s="21"/>
      <c r="K6514" s="19"/>
    </row>
    <row r="6515" spans="3:11" x14ac:dyDescent="0.2">
      <c r="C6515" s="19"/>
      <c r="D6515" s="19"/>
      <c r="E6515" s="19"/>
      <c r="F6515" s="20"/>
      <c r="G6515" s="19"/>
      <c r="H6515" s="19"/>
      <c r="I6515" s="19"/>
      <c r="J6515" s="21"/>
      <c r="K6515" s="19"/>
    </row>
    <row r="6516" spans="3:11" x14ac:dyDescent="0.2">
      <c r="C6516" s="19"/>
      <c r="D6516" s="19"/>
      <c r="E6516" s="19"/>
      <c r="F6516" s="20"/>
      <c r="G6516" s="19"/>
      <c r="H6516" s="19"/>
      <c r="I6516" s="19"/>
      <c r="J6516" s="21"/>
      <c r="K6516" s="19"/>
    </row>
    <row r="6517" spans="3:11" x14ac:dyDescent="0.2">
      <c r="C6517" s="19"/>
      <c r="D6517" s="19"/>
      <c r="E6517" s="19"/>
      <c r="F6517" s="20"/>
      <c r="G6517" s="19"/>
      <c r="H6517" s="19"/>
      <c r="I6517" s="19"/>
      <c r="J6517" s="21"/>
      <c r="K6517" s="19"/>
    </row>
    <row r="6518" spans="3:11" x14ac:dyDescent="0.2">
      <c r="C6518" s="19"/>
      <c r="D6518" s="19"/>
      <c r="E6518" s="19"/>
      <c r="F6518" s="20"/>
      <c r="G6518" s="19"/>
      <c r="H6518" s="19"/>
      <c r="I6518" s="19"/>
      <c r="J6518" s="21"/>
      <c r="K6518" s="19"/>
    </row>
    <row r="6519" spans="3:11" x14ac:dyDescent="0.2">
      <c r="C6519" s="19"/>
      <c r="D6519" s="19"/>
      <c r="E6519" s="19"/>
      <c r="F6519" s="20"/>
      <c r="G6519" s="19"/>
      <c r="H6519" s="19"/>
      <c r="I6519" s="19"/>
      <c r="J6519" s="21"/>
      <c r="K6519" s="19"/>
    </row>
    <row r="6520" spans="3:11" x14ac:dyDescent="0.2">
      <c r="C6520" s="19"/>
      <c r="D6520" s="19"/>
      <c r="E6520" s="19"/>
      <c r="F6520" s="20"/>
      <c r="G6520" s="19"/>
      <c r="H6520" s="19"/>
      <c r="I6520" s="19"/>
      <c r="J6520" s="21"/>
      <c r="K6520" s="19"/>
    </row>
    <row r="6521" spans="3:11" x14ac:dyDescent="0.2">
      <c r="C6521" s="19"/>
      <c r="D6521" s="19"/>
      <c r="E6521" s="19"/>
      <c r="F6521" s="20"/>
      <c r="G6521" s="19"/>
      <c r="H6521" s="19"/>
      <c r="I6521" s="19"/>
      <c r="J6521" s="21"/>
      <c r="K6521" s="19"/>
    </row>
    <row r="6522" spans="3:11" x14ac:dyDescent="0.2">
      <c r="C6522" s="19"/>
      <c r="D6522" s="19"/>
      <c r="E6522" s="19"/>
      <c r="F6522" s="20"/>
      <c r="G6522" s="19"/>
      <c r="H6522" s="19"/>
      <c r="I6522" s="19"/>
      <c r="J6522" s="21"/>
      <c r="K6522" s="19"/>
    </row>
    <row r="6523" spans="3:11" x14ac:dyDescent="0.2">
      <c r="C6523" s="19"/>
      <c r="D6523" s="19"/>
      <c r="E6523" s="19"/>
      <c r="F6523" s="20"/>
      <c r="G6523" s="19"/>
      <c r="H6523" s="19"/>
      <c r="I6523" s="19"/>
      <c r="J6523" s="21"/>
      <c r="K6523" s="19"/>
    </row>
    <row r="6524" spans="3:11" x14ac:dyDescent="0.2">
      <c r="C6524" s="19"/>
      <c r="D6524" s="19"/>
      <c r="E6524" s="19"/>
      <c r="F6524" s="20"/>
      <c r="G6524" s="19"/>
      <c r="H6524" s="19"/>
      <c r="I6524" s="19"/>
      <c r="J6524" s="21"/>
      <c r="K6524" s="19"/>
    </row>
    <row r="6525" spans="3:11" x14ac:dyDescent="0.2">
      <c r="C6525" s="19"/>
      <c r="D6525" s="19"/>
      <c r="E6525" s="19"/>
      <c r="F6525" s="20"/>
      <c r="G6525" s="19"/>
      <c r="H6525" s="19"/>
      <c r="I6525" s="19"/>
      <c r="J6525" s="19"/>
      <c r="K6525" s="19"/>
    </row>
    <row r="6526" spans="3:11" x14ac:dyDescent="0.2">
      <c r="C6526" s="19"/>
      <c r="D6526" s="19"/>
      <c r="E6526" s="19"/>
      <c r="F6526" s="20"/>
      <c r="G6526" s="19"/>
      <c r="H6526" s="19"/>
      <c r="I6526" s="19"/>
      <c r="J6526" s="19"/>
      <c r="K6526" s="19"/>
    </row>
    <row r="6527" spans="3:11" x14ac:dyDescent="0.2">
      <c r="C6527" s="19"/>
      <c r="D6527" s="19"/>
      <c r="E6527" s="19"/>
      <c r="F6527" s="20"/>
      <c r="G6527" s="19"/>
      <c r="H6527" s="19"/>
      <c r="I6527" s="19"/>
      <c r="J6527" s="21"/>
      <c r="K6527" s="19"/>
    </row>
    <row r="6528" spans="3:11" x14ac:dyDescent="0.2">
      <c r="C6528" s="19"/>
      <c r="D6528" s="19"/>
      <c r="E6528" s="19"/>
      <c r="F6528" s="20"/>
      <c r="G6528" s="19"/>
      <c r="H6528" s="19"/>
      <c r="I6528" s="19"/>
      <c r="J6528" s="21"/>
      <c r="K6528" s="19"/>
    </row>
    <row r="6529" spans="3:11" x14ac:dyDescent="0.2">
      <c r="C6529" s="19"/>
      <c r="D6529" s="19"/>
      <c r="E6529" s="19"/>
      <c r="F6529" s="20"/>
      <c r="G6529" s="19"/>
      <c r="H6529" s="19"/>
      <c r="I6529" s="19"/>
      <c r="J6529" s="21"/>
      <c r="K6529" s="19"/>
    </row>
    <row r="6530" spans="3:11" x14ac:dyDescent="0.2">
      <c r="C6530" s="19"/>
      <c r="D6530" s="19"/>
      <c r="E6530" s="19"/>
      <c r="F6530" s="20"/>
      <c r="G6530" s="19"/>
      <c r="H6530" s="19"/>
      <c r="I6530" s="19"/>
      <c r="J6530" s="21"/>
      <c r="K6530" s="19"/>
    </row>
    <row r="6531" spans="3:11" x14ac:dyDescent="0.2">
      <c r="C6531" s="19"/>
      <c r="D6531" s="19"/>
      <c r="E6531" s="19"/>
      <c r="F6531" s="20"/>
      <c r="G6531" s="19"/>
      <c r="H6531" s="19"/>
      <c r="I6531" s="19"/>
      <c r="J6531" s="21"/>
      <c r="K6531" s="19"/>
    </row>
    <row r="6532" spans="3:11" x14ac:dyDescent="0.2">
      <c r="C6532" s="19"/>
      <c r="D6532" s="19"/>
      <c r="E6532" s="19"/>
      <c r="F6532" s="20"/>
      <c r="G6532" s="19"/>
      <c r="H6532" s="19"/>
      <c r="I6532" s="19"/>
      <c r="J6532" s="21"/>
      <c r="K6532" s="19"/>
    </row>
    <row r="6533" spans="3:11" x14ac:dyDescent="0.2">
      <c r="C6533" s="19"/>
      <c r="D6533" s="19"/>
      <c r="E6533" s="19"/>
      <c r="F6533" s="20"/>
      <c r="G6533" s="19"/>
      <c r="H6533" s="19"/>
      <c r="I6533" s="19"/>
      <c r="J6533" s="21"/>
      <c r="K6533" s="19"/>
    </row>
    <row r="6534" spans="3:11" x14ac:dyDescent="0.2">
      <c r="C6534" s="19"/>
      <c r="D6534" s="19"/>
      <c r="E6534" s="19"/>
      <c r="F6534" s="20"/>
      <c r="G6534" s="19"/>
      <c r="H6534" s="19"/>
      <c r="I6534" s="19"/>
      <c r="J6534" s="21"/>
      <c r="K6534" s="19"/>
    </row>
    <row r="6535" spans="3:11" x14ac:dyDescent="0.2">
      <c r="C6535" s="19"/>
      <c r="D6535" s="19"/>
      <c r="E6535" s="19"/>
      <c r="F6535" s="20"/>
      <c r="G6535" s="19"/>
      <c r="H6535" s="19"/>
      <c r="I6535" s="19"/>
      <c r="J6535" s="21"/>
      <c r="K6535" s="19"/>
    </row>
    <row r="6536" spans="3:11" x14ac:dyDescent="0.2">
      <c r="C6536" s="19"/>
      <c r="D6536" s="19"/>
      <c r="E6536" s="19"/>
      <c r="F6536" s="20"/>
      <c r="G6536" s="19"/>
      <c r="H6536" s="19"/>
      <c r="I6536" s="19"/>
      <c r="J6536" s="21"/>
      <c r="K6536" s="19"/>
    </row>
    <row r="6537" spans="3:11" x14ac:dyDescent="0.2">
      <c r="C6537" s="19"/>
      <c r="D6537" s="19"/>
      <c r="E6537" s="19"/>
      <c r="F6537" s="20"/>
      <c r="G6537" s="19"/>
      <c r="H6537" s="19"/>
      <c r="I6537" s="19"/>
      <c r="J6537" s="21"/>
      <c r="K6537" s="19"/>
    </row>
    <row r="6538" spans="3:11" x14ac:dyDescent="0.2">
      <c r="C6538" s="19"/>
      <c r="D6538" s="19"/>
      <c r="E6538" s="19"/>
      <c r="F6538" s="20"/>
      <c r="G6538" s="19"/>
      <c r="H6538" s="19"/>
      <c r="I6538" s="19"/>
      <c r="J6538" s="21"/>
      <c r="K6538" s="19"/>
    </row>
    <row r="6539" spans="3:11" x14ac:dyDescent="0.2">
      <c r="C6539" s="19"/>
      <c r="D6539" s="19"/>
      <c r="E6539" s="19"/>
      <c r="F6539" s="20"/>
      <c r="G6539" s="19"/>
      <c r="H6539" s="19"/>
      <c r="I6539" s="19"/>
      <c r="J6539" s="19"/>
      <c r="K6539" s="19"/>
    </row>
    <row r="6540" spans="3:11" x14ac:dyDescent="0.2">
      <c r="C6540" s="19"/>
      <c r="D6540" s="19"/>
      <c r="E6540" s="19"/>
      <c r="F6540" s="20"/>
      <c r="G6540" s="19"/>
      <c r="H6540" s="19"/>
      <c r="I6540" s="19"/>
      <c r="J6540" s="19"/>
      <c r="K6540" s="19"/>
    </row>
    <row r="6541" spans="3:11" x14ac:dyDescent="0.2">
      <c r="C6541" s="19"/>
      <c r="D6541" s="19"/>
      <c r="E6541" s="19"/>
      <c r="F6541" s="20"/>
      <c r="G6541" s="19"/>
      <c r="H6541" s="19"/>
      <c r="I6541" s="19"/>
      <c r="J6541" s="21"/>
      <c r="K6541" s="19"/>
    </row>
    <row r="6542" spans="3:11" x14ac:dyDescent="0.2">
      <c r="C6542" s="19"/>
      <c r="D6542" s="19"/>
      <c r="E6542" s="19"/>
      <c r="F6542" s="20"/>
      <c r="G6542" s="19"/>
      <c r="H6542" s="19"/>
      <c r="I6542" s="19"/>
      <c r="J6542" s="21"/>
      <c r="K6542" s="19"/>
    </row>
    <row r="6543" spans="3:11" x14ac:dyDescent="0.2">
      <c r="C6543" s="19"/>
      <c r="D6543" s="19"/>
      <c r="E6543" s="19"/>
      <c r="F6543" s="20"/>
      <c r="G6543" s="19"/>
      <c r="H6543" s="19"/>
      <c r="I6543" s="19"/>
      <c r="J6543" s="21"/>
      <c r="K6543" s="19"/>
    </row>
    <row r="6544" spans="3:11" x14ac:dyDescent="0.2">
      <c r="C6544" s="19"/>
      <c r="D6544" s="19"/>
      <c r="E6544" s="19"/>
      <c r="F6544" s="20"/>
      <c r="G6544" s="19"/>
      <c r="H6544" s="19"/>
      <c r="I6544" s="19"/>
      <c r="J6544" s="21"/>
      <c r="K6544" s="19"/>
    </row>
    <row r="6545" spans="3:11" x14ac:dyDescent="0.2">
      <c r="C6545" s="19"/>
      <c r="D6545" s="19"/>
      <c r="E6545" s="19"/>
      <c r="F6545" s="20"/>
      <c r="G6545" s="19"/>
      <c r="H6545" s="19"/>
      <c r="I6545" s="19"/>
      <c r="J6545" s="21"/>
      <c r="K6545" s="19"/>
    </row>
    <row r="6546" spans="3:11" x14ac:dyDescent="0.2">
      <c r="C6546" s="19"/>
      <c r="D6546" s="19"/>
      <c r="E6546" s="19"/>
      <c r="F6546" s="20"/>
      <c r="G6546" s="19"/>
      <c r="H6546" s="19"/>
      <c r="I6546" s="19"/>
      <c r="J6546" s="21"/>
      <c r="K6546" s="19"/>
    </row>
    <row r="6547" spans="3:11" x14ac:dyDescent="0.2">
      <c r="C6547" s="19"/>
      <c r="D6547" s="19"/>
      <c r="E6547" s="19"/>
      <c r="F6547" s="20"/>
      <c r="G6547" s="19"/>
      <c r="H6547" s="19"/>
      <c r="I6547" s="19"/>
      <c r="J6547" s="21"/>
      <c r="K6547" s="19"/>
    </row>
    <row r="6548" spans="3:11" x14ac:dyDescent="0.2">
      <c r="C6548" s="19"/>
      <c r="D6548" s="19"/>
      <c r="E6548" s="19"/>
      <c r="F6548" s="20"/>
      <c r="G6548" s="19"/>
      <c r="H6548" s="19"/>
      <c r="I6548" s="19"/>
      <c r="J6548" s="21"/>
      <c r="K6548" s="19"/>
    </row>
    <row r="6549" spans="3:11" x14ac:dyDescent="0.2">
      <c r="C6549" s="19"/>
      <c r="D6549" s="19"/>
      <c r="E6549" s="19"/>
      <c r="F6549" s="20"/>
      <c r="G6549" s="19"/>
      <c r="H6549" s="19"/>
      <c r="I6549" s="19"/>
      <c r="J6549" s="21"/>
      <c r="K6549" s="19"/>
    </row>
    <row r="6550" spans="3:11" x14ac:dyDescent="0.2">
      <c r="C6550" s="19"/>
      <c r="D6550" s="19"/>
      <c r="E6550" s="19"/>
      <c r="F6550" s="20"/>
      <c r="G6550" s="19"/>
      <c r="H6550" s="19"/>
      <c r="I6550" s="19"/>
      <c r="J6550" s="21"/>
      <c r="K6550" s="19"/>
    </row>
    <row r="6551" spans="3:11" x14ac:dyDescent="0.2">
      <c r="C6551" s="19"/>
      <c r="D6551" s="19"/>
      <c r="E6551" s="19"/>
      <c r="F6551" s="20"/>
      <c r="G6551" s="19"/>
      <c r="H6551" s="19"/>
      <c r="I6551" s="19"/>
      <c r="J6551" s="21"/>
      <c r="K6551" s="19"/>
    </row>
    <row r="6552" spans="3:11" x14ac:dyDescent="0.2">
      <c r="C6552" s="19"/>
      <c r="D6552" s="19"/>
      <c r="E6552" s="19"/>
      <c r="F6552" s="20"/>
      <c r="G6552" s="19"/>
      <c r="H6552" s="19"/>
      <c r="I6552" s="19"/>
      <c r="J6552" s="21"/>
      <c r="K6552" s="19"/>
    </row>
    <row r="6553" spans="3:11" x14ac:dyDescent="0.2">
      <c r="C6553" s="19"/>
      <c r="D6553" s="19"/>
      <c r="E6553" s="19"/>
      <c r="F6553" s="20"/>
      <c r="G6553" s="19"/>
      <c r="H6553" s="19"/>
      <c r="I6553" s="19"/>
      <c r="J6553" s="21"/>
      <c r="K6553" s="19"/>
    </row>
    <row r="6554" spans="3:11" x14ac:dyDescent="0.2">
      <c r="C6554" s="19"/>
      <c r="D6554" s="19"/>
      <c r="E6554" s="19"/>
      <c r="F6554" s="20"/>
      <c r="G6554" s="19"/>
      <c r="H6554" s="19"/>
      <c r="I6554" s="19"/>
      <c r="J6554" s="21"/>
      <c r="K6554" s="19"/>
    </row>
    <row r="6555" spans="3:11" x14ac:dyDescent="0.2">
      <c r="C6555" s="19"/>
      <c r="D6555" s="19"/>
      <c r="E6555" s="19"/>
      <c r="F6555" s="20"/>
      <c r="G6555" s="19"/>
      <c r="H6555" s="19"/>
      <c r="I6555" s="19"/>
      <c r="J6555" s="21"/>
      <c r="K6555" s="19"/>
    </row>
    <row r="6556" spans="3:11" x14ac:dyDescent="0.2">
      <c r="C6556" s="19"/>
      <c r="D6556" s="19"/>
      <c r="E6556" s="19"/>
      <c r="F6556" s="20"/>
      <c r="G6556" s="19"/>
      <c r="H6556" s="19"/>
      <c r="I6556" s="19"/>
      <c r="J6556" s="21"/>
      <c r="K6556" s="19"/>
    </row>
    <row r="6557" spans="3:11" x14ac:dyDescent="0.2">
      <c r="C6557" s="19"/>
      <c r="D6557" s="19"/>
      <c r="E6557" s="19"/>
      <c r="F6557" s="20"/>
      <c r="G6557" s="19"/>
      <c r="H6557" s="19"/>
      <c r="I6557" s="19"/>
      <c r="J6557" s="21"/>
      <c r="K6557" s="19"/>
    </row>
    <row r="6558" spans="3:11" x14ac:dyDescent="0.2">
      <c r="C6558" s="19"/>
      <c r="D6558" s="19"/>
      <c r="E6558" s="19"/>
      <c r="F6558" s="20"/>
      <c r="G6558" s="19"/>
      <c r="H6558" s="19"/>
      <c r="I6558" s="19"/>
      <c r="J6558" s="21"/>
      <c r="K6558" s="19"/>
    </row>
    <row r="6559" spans="3:11" x14ac:dyDescent="0.2">
      <c r="C6559" s="19"/>
      <c r="D6559" s="19"/>
      <c r="E6559" s="19"/>
      <c r="F6559" s="20"/>
      <c r="G6559" s="19"/>
      <c r="H6559" s="19"/>
      <c r="I6559" s="19"/>
      <c r="J6559" s="21"/>
      <c r="K6559" s="19"/>
    </row>
    <row r="6560" spans="3:11" x14ac:dyDescent="0.2">
      <c r="C6560" s="19"/>
      <c r="D6560" s="19"/>
      <c r="E6560" s="19"/>
      <c r="F6560" s="20"/>
      <c r="G6560" s="19"/>
      <c r="H6560" s="19"/>
      <c r="I6560" s="19"/>
      <c r="J6560" s="21"/>
      <c r="K6560" s="19"/>
    </row>
    <row r="6561" spans="3:11" x14ac:dyDescent="0.2">
      <c r="C6561" s="19"/>
      <c r="D6561" s="19"/>
      <c r="E6561" s="19"/>
      <c r="F6561" s="20"/>
      <c r="G6561" s="19"/>
      <c r="H6561" s="19"/>
      <c r="I6561" s="19"/>
      <c r="J6561" s="21"/>
      <c r="K6561" s="19"/>
    </row>
    <row r="6562" spans="3:11" x14ac:dyDescent="0.2">
      <c r="C6562" s="19"/>
      <c r="D6562" s="19"/>
      <c r="E6562" s="19"/>
      <c r="F6562" s="20"/>
      <c r="G6562" s="19"/>
      <c r="H6562" s="19"/>
      <c r="I6562" s="19"/>
      <c r="J6562" s="21"/>
      <c r="K6562" s="19"/>
    </row>
    <row r="6563" spans="3:11" x14ac:dyDescent="0.2">
      <c r="C6563" s="19"/>
      <c r="D6563" s="19"/>
      <c r="E6563" s="19"/>
      <c r="F6563" s="20"/>
      <c r="G6563" s="19"/>
      <c r="H6563" s="19"/>
      <c r="I6563" s="19"/>
      <c r="J6563" s="21"/>
      <c r="K6563" s="19"/>
    </row>
    <row r="6564" spans="3:11" x14ac:dyDescent="0.2">
      <c r="C6564" s="19"/>
      <c r="D6564" s="19"/>
      <c r="E6564" s="19"/>
      <c r="F6564" s="20"/>
      <c r="G6564" s="19"/>
      <c r="H6564" s="19"/>
      <c r="I6564" s="19"/>
      <c r="J6564" s="21"/>
      <c r="K6564" s="19"/>
    </row>
    <row r="6565" spans="3:11" x14ac:dyDescent="0.2">
      <c r="C6565" s="19"/>
      <c r="D6565" s="19"/>
      <c r="E6565" s="19"/>
      <c r="F6565" s="20"/>
      <c r="G6565" s="19"/>
      <c r="H6565" s="19"/>
      <c r="I6565" s="19"/>
      <c r="J6565" s="21"/>
      <c r="K6565" s="19"/>
    </row>
    <row r="6566" spans="3:11" x14ac:dyDescent="0.2">
      <c r="C6566" s="19"/>
      <c r="D6566" s="19"/>
      <c r="E6566" s="19"/>
      <c r="F6566" s="20"/>
      <c r="G6566" s="19"/>
      <c r="H6566" s="19"/>
      <c r="I6566" s="19"/>
      <c r="J6566" s="21"/>
      <c r="K6566" s="19"/>
    </row>
    <row r="6567" spans="3:11" x14ac:dyDescent="0.2">
      <c r="C6567" s="19"/>
      <c r="D6567" s="19"/>
      <c r="E6567" s="19"/>
      <c r="F6567" s="20"/>
      <c r="G6567" s="19"/>
      <c r="H6567" s="19"/>
      <c r="I6567" s="19"/>
      <c r="J6567" s="21"/>
      <c r="K6567" s="19"/>
    </row>
    <row r="6568" spans="3:11" x14ac:dyDescent="0.2">
      <c r="C6568" s="19"/>
      <c r="D6568" s="19"/>
      <c r="E6568" s="19"/>
      <c r="F6568" s="20"/>
      <c r="G6568" s="19"/>
      <c r="H6568" s="19"/>
      <c r="I6568" s="19"/>
      <c r="J6568" s="21"/>
      <c r="K6568" s="19"/>
    </row>
    <row r="6569" spans="3:11" x14ac:dyDescent="0.2">
      <c r="C6569" s="19"/>
      <c r="D6569" s="19"/>
      <c r="E6569" s="19"/>
      <c r="F6569" s="20"/>
      <c r="G6569" s="19"/>
      <c r="H6569" s="19"/>
      <c r="I6569" s="19"/>
      <c r="J6569" s="21"/>
      <c r="K6569" s="19"/>
    </row>
    <row r="6570" spans="3:11" x14ac:dyDescent="0.2">
      <c r="C6570" s="19"/>
      <c r="D6570" s="19"/>
      <c r="E6570" s="19"/>
      <c r="F6570" s="20"/>
      <c r="G6570" s="19"/>
      <c r="H6570" s="19"/>
      <c r="I6570" s="19"/>
      <c r="J6570" s="21"/>
      <c r="K6570" s="19"/>
    </row>
    <row r="6571" spans="3:11" x14ac:dyDescent="0.2">
      <c r="C6571" s="19"/>
      <c r="D6571" s="19"/>
      <c r="E6571" s="19"/>
      <c r="F6571" s="20"/>
      <c r="G6571" s="19"/>
      <c r="H6571" s="19"/>
      <c r="I6571" s="19"/>
      <c r="J6571" s="21"/>
      <c r="K6571" s="19"/>
    </row>
    <row r="6572" spans="3:11" x14ac:dyDescent="0.2">
      <c r="C6572" s="19"/>
      <c r="D6572" s="19"/>
      <c r="E6572" s="19"/>
      <c r="F6572" s="20"/>
      <c r="G6572" s="19"/>
      <c r="H6572" s="19"/>
      <c r="I6572" s="19"/>
      <c r="J6572" s="21"/>
      <c r="K6572" s="19"/>
    </row>
    <row r="6573" spans="3:11" x14ac:dyDescent="0.2">
      <c r="C6573" s="19"/>
      <c r="D6573" s="19"/>
      <c r="E6573" s="19"/>
      <c r="F6573" s="20"/>
      <c r="G6573" s="19"/>
      <c r="H6573" s="19"/>
      <c r="I6573" s="19"/>
      <c r="J6573" s="21"/>
      <c r="K6573" s="19"/>
    </row>
    <row r="6574" spans="3:11" x14ac:dyDescent="0.2">
      <c r="C6574" s="19"/>
      <c r="D6574" s="19"/>
      <c r="E6574" s="19"/>
      <c r="F6574" s="20"/>
      <c r="G6574" s="19"/>
      <c r="H6574" s="19"/>
      <c r="I6574" s="19"/>
      <c r="J6574" s="21"/>
      <c r="K6574" s="19"/>
    </row>
    <row r="6575" spans="3:11" x14ac:dyDescent="0.2">
      <c r="C6575" s="19"/>
      <c r="D6575" s="19"/>
      <c r="E6575" s="19"/>
      <c r="F6575" s="20"/>
      <c r="G6575" s="19"/>
      <c r="H6575" s="19"/>
      <c r="I6575" s="19"/>
      <c r="J6575" s="21"/>
      <c r="K6575" s="19"/>
    </row>
    <row r="6576" spans="3:11" x14ac:dyDescent="0.2">
      <c r="C6576" s="19"/>
      <c r="D6576" s="19"/>
      <c r="E6576" s="19"/>
      <c r="F6576" s="20"/>
      <c r="G6576" s="19"/>
      <c r="H6576" s="19"/>
      <c r="I6576" s="19"/>
      <c r="J6576" s="21"/>
      <c r="K6576" s="19"/>
    </row>
    <row r="6577" spans="3:11" x14ac:dyDescent="0.2">
      <c r="C6577" s="19"/>
      <c r="D6577" s="19"/>
      <c r="E6577" s="19"/>
      <c r="F6577" s="20"/>
      <c r="G6577" s="19"/>
      <c r="H6577" s="19"/>
      <c r="I6577" s="19"/>
      <c r="J6577" s="21"/>
      <c r="K6577" s="19"/>
    </row>
    <row r="6578" spans="3:11" x14ac:dyDescent="0.2">
      <c r="C6578" s="19"/>
      <c r="D6578" s="19"/>
      <c r="E6578" s="19"/>
      <c r="F6578" s="20"/>
      <c r="G6578" s="19"/>
      <c r="H6578" s="19"/>
      <c r="I6578" s="19"/>
      <c r="J6578" s="21"/>
      <c r="K6578" s="19"/>
    </row>
    <row r="6579" spans="3:11" x14ac:dyDescent="0.2">
      <c r="C6579" s="19"/>
      <c r="D6579" s="19"/>
      <c r="E6579" s="19"/>
      <c r="F6579" s="20"/>
      <c r="G6579" s="19"/>
      <c r="H6579" s="19"/>
      <c r="I6579" s="19"/>
      <c r="J6579" s="21"/>
      <c r="K6579" s="19"/>
    </row>
    <row r="6580" spans="3:11" x14ac:dyDescent="0.2">
      <c r="C6580" s="19"/>
      <c r="D6580" s="19"/>
      <c r="E6580" s="19"/>
      <c r="F6580" s="20"/>
      <c r="G6580" s="19"/>
      <c r="H6580" s="19"/>
      <c r="I6580" s="19"/>
      <c r="J6580" s="21"/>
      <c r="K6580" s="19"/>
    </row>
    <row r="6581" spans="3:11" x14ac:dyDescent="0.2">
      <c r="C6581" s="19"/>
      <c r="D6581" s="19"/>
      <c r="E6581" s="19"/>
      <c r="F6581" s="20"/>
      <c r="G6581" s="19"/>
      <c r="H6581" s="19"/>
      <c r="I6581" s="19"/>
      <c r="J6581" s="21"/>
      <c r="K6581" s="19"/>
    </row>
    <row r="6582" spans="3:11" x14ac:dyDescent="0.2">
      <c r="C6582" s="19"/>
      <c r="D6582" s="19"/>
      <c r="E6582" s="19"/>
      <c r="F6582" s="20"/>
      <c r="G6582" s="19"/>
      <c r="H6582" s="19"/>
      <c r="I6582" s="19"/>
      <c r="J6582" s="21"/>
      <c r="K6582" s="19"/>
    </row>
    <row r="6583" spans="3:11" x14ac:dyDescent="0.2">
      <c r="C6583" s="19"/>
      <c r="D6583" s="19"/>
      <c r="E6583" s="19"/>
      <c r="F6583" s="20"/>
      <c r="G6583" s="19"/>
      <c r="H6583" s="19"/>
      <c r="I6583" s="19"/>
      <c r="J6583" s="21"/>
      <c r="K6583" s="19"/>
    </row>
    <row r="6584" spans="3:11" x14ac:dyDescent="0.2">
      <c r="C6584" s="19"/>
      <c r="D6584" s="19"/>
      <c r="E6584" s="19"/>
      <c r="F6584" s="20"/>
      <c r="G6584" s="19"/>
      <c r="H6584" s="19"/>
      <c r="I6584" s="19"/>
      <c r="J6584" s="21"/>
      <c r="K6584" s="19"/>
    </row>
    <row r="6585" spans="3:11" x14ac:dyDescent="0.2">
      <c r="C6585" s="19"/>
      <c r="D6585" s="19"/>
      <c r="E6585" s="19"/>
      <c r="F6585" s="20"/>
      <c r="G6585" s="19"/>
      <c r="H6585" s="19"/>
      <c r="I6585" s="19"/>
      <c r="J6585" s="21"/>
      <c r="K6585" s="19"/>
    </row>
    <row r="6586" spans="3:11" x14ac:dyDescent="0.2">
      <c r="C6586" s="19"/>
      <c r="D6586" s="19"/>
      <c r="E6586" s="19"/>
      <c r="F6586" s="20"/>
      <c r="G6586" s="19"/>
      <c r="H6586" s="19"/>
      <c r="I6586" s="19"/>
      <c r="J6586" s="21"/>
      <c r="K6586" s="19"/>
    </row>
    <row r="6587" spans="3:11" x14ac:dyDescent="0.2">
      <c r="C6587" s="19"/>
      <c r="D6587" s="19"/>
      <c r="E6587" s="19"/>
      <c r="F6587" s="20"/>
      <c r="G6587" s="19"/>
      <c r="H6587" s="19"/>
      <c r="I6587" s="19"/>
      <c r="J6587" s="21"/>
      <c r="K6587" s="19"/>
    </row>
    <row r="6588" spans="3:11" x14ac:dyDescent="0.2">
      <c r="C6588" s="19"/>
      <c r="D6588" s="19"/>
      <c r="E6588" s="19"/>
      <c r="F6588" s="20"/>
      <c r="G6588" s="19"/>
      <c r="H6588" s="19"/>
      <c r="I6588" s="19"/>
      <c r="J6588" s="21"/>
      <c r="K6588" s="19"/>
    </row>
    <row r="6589" spans="3:11" x14ac:dyDescent="0.2">
      <c r="C6589" s="19"/>
      <c r="D6589" s="19"/>
      <c r="E6589" s="19"/>
      <c r="F6589" s="20"/>
      <c r="G6589" s="19"/>
      <c r="H6589" s="19"/>
      <c r="I6589" s="19"/>
      <c r="J6589" s="21"/>
      <c r="K6589" s="19"/>
    </row>
    <row r="6590" spans="3:11" x14ac:dyDescent="0.2">
      <c r="C6590" s="19"/>
      <c r="D6590" s="19"/>
      <c r="E6590" s="19"/>
      <c r="F6590" s="20"/>
      <c r="G6590" s="19"/>
      <c r="H6590" s="19"/>
      <c r="I6590" s="19"/>
      <c r="J6590" s="21"/>
      <c r="K6590" s="19"/>
    </row>
    <row r="6591" spans="3:11" x14ac:dyDescent="0.2">
      <c r="C6591" s="19"/>
      <c r="D6591" s="19"/>
      <c r="E6591" s="19"/>
      <c r="F6591" s="20"/>
      <c r="G6591" s="19"/>
      <c r="H6591" s="19"/>
      <c r="I6591" s="19"/>
      <c r="J6591" s="21"/>
      <c r="K6591" s="19"/>
    </row>
    <row r="6592" spans="3:11" x14ac:dyDescent="0.2">
      <c r="C6592" s="19"/>
      <c r="D6592" s="19"/>
      <c r="E6592" s="19"/>
      <c r="F6592" s="20"/>
      <c r="G6592" s="19"/>
      <c r="H6592" s="19"/>
      <c r="I6592" s="19"/>
      <c r="J6592" s="21"/>
      <c r="K6592" s="19"/>
    </row>
    <row r="6593" spans="3:11" x14ac:dyDescent="0.2">
      <c r="C6593" s="19"/>
      <c r="D6593" s="19"/>
      <c r="E6593" s="19"/>
      <c r="F6593" s="20"/>
      <c r="G6593" s="19"/>
      <c r="H6593" s="19"/>
      <c r="I6593" s="19"/>
      <c r="J6593" s="21"/>
      <c r="K6593" s="19"/>
    </row>
    <row r="6594" spans="3:11" x14ac:dyDescent="0.2">
      <c r="C6594" s="19"/>
      <c r="D6594" s="19"/>
      <c r="E6594" s="19"/>
      <c r="F6594" s="20"/>
      <c r="G6594" s="19"/>
      <c r="H6594" s="19"/>
      <c r="I6594" s="19"/>
      <c r="J6594" s="21"/>
      <c r="K6594" s="19"/>
    </row>
    <row r="6595" spans="3:11" x14ac:dyDescent="0.2">
      <c r="C6595" s="19"/>
      <c r="D6595" s="19"/>
      <c r="E6595" s="19"/>
      <c r="F6595" s="20"/>
      <c r="G6595" s="19"/>
      <c r="H6595" s="19"/>
      <c r="I6595" s="19"/>
      <c r="J6595" s="21"/>
      <c r="K6595" s="19"/>
    </row>
    <row r="6596" spans="3:11" x14ac:dyDescent="0.2">
      <c r="C6596" s="19"/>
      <c r="D6596" s="19"/>
      <c r="E6596" s="19"/>
      <c r="F6596" s="20"/>
      <c r="G6596" s="19"/>
      <c r="H6596" s="19"/>
      <c r="I6596" s="19"/>
      <c r="J6596" s="21"/>
      <c r="K6596" s="19"/>
    </row>
    <row r="6597" spans="3:11" x14ac:dyDescent="0.2">
      <c r="C6597" s="19"/>
      <c r="D6597" s="19"/>
      <c r="E6597" s="19"/>
      <c r="F6597" s="20"/>
      <c r="G6597" s="19"/>
      <c r="H6597" s="19"/>
      <c r="I6597" s="19"/>
      <c r="J6597" s="19"/>
      <c r="K6597" s="19"/>
    </row>
    <row r="6598" spans="3:11" x14ac:dyDescent="0.2">
      <c r="C6598" s="19"/>
      <c r="D6598" s="19"/>
      <c r="E6598" s="19"/>
      <c r="F6598" s="20"/>
      <c r="G6598" s="19"/>
      <c r="H6598" s="19"/>
      <c r="I6598" s="19"/>
      <c r="J6598" s="21"/>
      <c r="K6598" s="19"/>
    </row>
    <row r="6599" spans="3:11" x14ac:dyDescent="0.2">
      <c r="C6599" s="19"/>
      <c r="D6599" s="19"/>
      <c r="E6599" s="19"/>
      <c r="F6599" s="20"/>
      <c r="G6599" s="19"/>
      <c r="H6599" s="19"/>
      <c r="I6599" s="19"/>
      <c r="J6599" s="21"/>
      <c r="K6599" s="19"/>
    </row>
    <row r="6600" spans="3:11" x14ac:dyDescent="0.2">
      <c r="C6600" s="19"/>
      <c r="D6600" s="19"/>
      <c r="E6600" s="19"/>
      <c r="F6600" s="20"/>
      <c r="G6600" s="19"/>
      <c r="H6600" s="19"/>
      <c r="I6600" s="19"/>
      <c r="J6600" s="21"/>
      <c r="K6600" s="19"/>
    </row>
    <row r="6601" spans="3:11" x14ac:dyDescent="0.2">
      <c r="C6601" s="19"/>
      <c r="D6601" s="19"/>
      <c r="E6601" s="19"/>
      <c r="F6601" s="20"/>
      <c r="G6601" s="19"/>
      <c r="H6601" s="19"/>
      <c r="I6601" s="19"/>
      <c r="J6601" s="21"/>
      <c r="K6601" s="19"/>
    </row>
    <row r="6602" spans="3:11" x14ac:dyDescent="0.2">
      <c r="C6602" s="19"/>
      <c r="D6602" s="19"/>
      <c r="E6602" s="19"/>
      <c r="F6602" s="20"/>
      <c r="G6602" s="19"/>
      <c r="H6602" s="19"/>
      <c r="I6602" s="19"/>
      <c r="J6602" s="21"/>
      <c r="K6602" s="19"/>
    </row>
    <row r="6603" spans="3:11" x14ac:dyDescent="0.2">
      <c r="C6603" s="19"/>
      <c r="D6603" s="19"/>
      <c r="E6603" s="19"/>
      <c r="F6603" s="20"/>
      <c r="G6603" s="19"/>
      <c r="H6603" s="19"/>
      <c r="I6603" s="19"/>
      <c r="J6603" s="21"/>
      <c r="K6603" s="19"/>
    </row>
    <row r="6604" spans="3:11" x14ac:dyDescent="0.2">
      <c r="C6604" s="19"/>
      <c r="D6604" s="19"/>
      <c r="E6604" s="19"/>
      <c r="F6604" s="20"/>
      <c r="G6604" s="19"/>
      <c r="H6604" s="19"/>
      <c r="I6604" s="19"/>
      <c r="J6604" s="21"/>
      <c r="K6604" s="19"/>
    </row>
    <row r="6605" spans="3:11" x14ac:dyDescent="0.2">
      <c r="C6605" s="19"/>
      <c r="D6605" s="19"/>
      <c r="E6605" s="19"/>
      <c r="F6605" s="20"/>
      <c r="G6605" s="19"/>
      <c r="H6605" s="19"/>
      <c r="I6605" s="19"/>
      <c r="J6605" s="21"/>
      <c r="K6605" s="19"/>
    </row>
    <row r="6606" spans="3:11" x14ac:dyDescent="0.2">
      <c r="C6606" s="19"/>
      <c r="D6606" s="19"/>
      <c r="E6606" s="19"/>
      <c r="F6606" s="20"/>
      <c r="G6606" s="19"/>
      <c r="H6606" s="19"/>
      <c r="I6606" s="19"/>
      <c r="J6606" s="19"/>
      <c r="K6606" s="19"/>
    </row>
    <row r="6607" spans="3:11" x14ac:dyDescent="0.2">
      <c r="C6607" s="19"/>
      <c r="D6607" s="19"/>
      <c r="E6607" s="19"/>
      <c r="F6607" s="20"/>
      <c r="G6607" s="19"/>
      <c r="H6607" s="19"/>
      <c r="I6607" s="19"/>
      <c r="J6607" s="21"/>
      <c r="K6607" s="19"/>
    </row>
    <row r="6608" spans="3:11" x14ac:dyDescent="0.2">
      <c r="C6608" s="19"/>
      <c r="D6608" s="19"/>
      <c r="E6608" s="19"/>
      <c r="F6608" s="20"/>
      <c r="G6608" s="19"/>
      <c r="H6608" s="19"/>
      <c r="I6608" s="19"/>
      <c r="J6608" s="21"/>
      <c r="K6608" s="19"/>
    </row>
    <row r="6609" spans="3:11" x14ac:dyDescent="0.2">
      <c r="C6609" s="19"/>
      <c r="D6609" s="19"/>
      <c r="E6609" s="19"/>
      <c r="F6609" s="20"/>
      <c r="G6609" s="19"/>
      <c r="H6609" s="19"/>
      <c r="I6609" s="19"/>
      <c r="J6609" s="21"/>
      <c r="K6609" s="19"/>
    </row>
    <row r="6610" spans="3:11" x14ac:dyDescent="0.2">
      <c r="C6610" s="19"/>
      <c r="D6610" s="19"/>
      <c r="E6610" s="19"/>
      <c r="F6610" s="20"/>
      <c r="G6610" s="19"/>
      <c r="H6610" s="19"/>
      <c r="I6610" s="19"/>
      <c r="J6610" s="21"/>
      <c r="K6610" s="19"/>
    </row>
    <row r="6611" spans="3:11" x14ac:dyDescent="0.2">
      <c r="C6611" s="19"/>
      <c r="D6611" s="19"/>
      <c r="E6611" s="19"/>
      <c r="F6611" s="20"/>
      <c r="G6611" s="19"/>
      <c r="H6611" s="19"/>
      <c r="I6611" s="19"/>
      <c r="J6611" s="21"/>
      <c r="K6611" s="19"/>
    </row>
    <row r="6612" spans="3:11" x14ac:dyDescent="0.2">
      <c r="C6612" s="19"/>
      <c r="D6612" s="19"/>
      <c r="E6612" s="19"/>
      <c r="F6612" s="20"/>
      <c r="G6612" s="19"/>
      <c r="H6612" s="19"/>
      <c r="I6612" s="19"/>
      <c r="J6612" s="21"/>
      <c r="K6612" s="19"/>
    </row>
    <row r="6613" spans="3:11" x14ac:dyDescent="0.2">
      <c r="C6613" s="19"/>
      <c r="D6613" s="19"/>
      <c r="E6613" s="19"/>
      <c r="F6613" s="20"/>
      <c r="G6613" s="19"/>
      <c r="H6613" s="19"/>
      <c r="I6613" s="19"/>
      <c r="J6613" s="21"/>
      <c r="K6613" s="19"/>
    </row>
    <row r="6614" spans="3:11" x14ac:dyDescent="0.2">
      <c r="C6614" s="19"/>
      <c r="D6614" s="19"/>
      <c r="E6614" s="19"/>
      <c r="F6614" s="20"/>
      <c r="G6614" s="19"/>
      <c r="H6614" s="19"/>
      <c r="I6614" s="19"/>
      <c r="J6614" s="21"/>
      <c r="K6614" s="19"/>
    </row>
    <row r="6615" spans="3:11" x14ac:dyDescent="0.2">
      <c r="C6615" s="19"/>
      <c r="D6615" s="19"/>
      <c r="E6615" s="19"/>
      <c r="F6615" s="20"/>
      <c r="G6615" s="19"/>
      <c r="H6615" s="19"/>
      <c r="I6615" s="19"/>
      <c r="J6615" s="19"/>
      <c r="K6615" s="19"/>
    </row>
    <row r="6616" spans="3:11" x14ac:dyDescent="0.2">
      <c r="C6616" s="19"/>
      <c r="D6616" s="19"/>
      <c r="E6616" s="19"/>
      <c r="F6616" s="20"/>
      <c r="G6616" s="19"/>
      <c r="H6616" s="19"/>
      <c r="I6616" s="19"/>
      <c r="J6616" s="21"/>
      <c r="K6616" s="19"/>
    </row>
    <row r="6617" spans="3:11" x14ac:dyDescent="0.2">
      <c r="C6617" s="19"/>
      <c r="D6617" s="19"/>
      <c r="E6617" s="19"/>
      <c r="F6617" s="20"/>
      <c r="G6617" s="19"/>
      <c r="H6617" s="19"/>
      <c r="I6617" s="19"/>
      <c r="J6617" s="19"/>
      <c r="K6617" s="19"/>
    </row>
    <row r="6618" spans="3:11" x14ac:dyDescent="0.2">
      <c r="C6618" s="19"/>
      <c r="D6618" s="19"/>
      <c r="E6618" s="19"/>
      <c r="F6618" s="20"/>
      <c r="G6618" s="19"/>
      <c r="H6618" s="19"/>
      <c r="I6618" s="19"/>
      <c r="J6618" s="21"/>
      <c r="K6618" s="19"/>
    </row>
    <row r="6619" spans="3:11" x14ac:dyDescent="0.2">
      <c r="C6619" s="19"/>
      <c r="D6619" s="19"/>
      <c r="E6619" s="19"/>
      <c r="F6619" s="20"/>
      <c r="G6619" s="19"/>
      <c r="H6619" s="19"/>
      <c r="I6619" s="19"/>
      <c r="J6619" s="21"/>
      <c r="K6619" s="19"/>
    </row>
    <row r="6620" spans="3:11" x14ac:dyDescent="0.2">
      <c r="C6620" s="19"/>
      <c r="D6620" s="19"/>
      <c r="E6620" s="19"/>
      <c r="F6620" s="20"/>
      <c r="G6620" s="19"/>
      <c r="H6620" s="19"/>
      <c r="I6620" s="19"/>
      <c r="J6620" s="21"/>
      <c r="K6620" s="19"/>
    </row>
    <row r="6621" spans="3:11" x14ac:dyDescent="0.2">
      <c r="C6621" s="19"/>
      <c r="D6621" s="19"/>
      <c r="E6621" s="19"/>
      <c r="F6621" s="20"/>
      <c r="G6621" s="19"/>
      <c r="H6621" s="19"/>
      <c r="I6621" s="19"/>
      <c r="J6621" s="21"/>
      <c r="K6621" s="19"/>
    </row>
    <row r="6622" spans="3:11" x14ac:dyDescent="0.2">
      <c r="C6622" s="19"/>
      <c r="D6622" s="19"/>
      <c r="E6622" s="19"/>
      <c r="F6622" s="20"/>
      <c r="G6622" s="19"/>
      <c r="H6622" s="19"/>
      <c r="I6622" s="19"/>
      <c r="J6622" s="21"/>
      <c r="K6622" s="19"/>
    </row>
    <row r="6623" spans="3:11" x14ac:dyDescent="0.2">
      <c r="C6623" s="19"/>
      <c r="D6623" s="19"/>
      <c r="E6623" s="19"/>
      <c r="F6623" s="20"/>
      <c r="G6623" s="19"/>
      <c r="H6623" s="19"/>
      <c r="I6623" s="19"/>
      <c r="J6623" s="21"/>
      <c r="K6623" s="19"/>
    </row>
    <row r="6624" spans="3:11" x14ac:dyDescent="0.2">
      <c r="C6624" s="19"/>
      <c r="D6624" s="19"/>
      <c r="E6624" s="19"/>
      <c r="F6624" s="20"/>
      <c r="G6624" s="19"/>
      <c r="H6624" s="19"/>
      <c r="I6624" s="19"/>
      <c r="J6624" s="21"/>
      <c r="K6624" s="19"/>
    </row>
    <row r="6625" spans="3:11" x14ac:dyDescent="0.2">
      <c r="C6625" s="19"/>
      <c r="D6625" s="19"/>
      <c r="E6625" s="19"/>
      <c r="F6625" s="20"/>
      <c r="G6625" s="19"/>
      <c r="H6625" s="19"/>
      <c r="I6625" s="19"/>
      <c r="J6625" s="21"/>
      <c r="K6625" s="19"/>
    </row>
    <row r="6626" spans="3:11" x14ac:dyDescent="0.2">
      <c r="C6626" s="19"/>
      <c r="D6626" s="19"/>
      <c r="E6626" s="19"/>
      <c r="F6626" s="20"/>
      <c r="G6626" s="19"/>
      <c r="H6626" s="19"/>
      <c r="I6626" s="19"/>
      <c r="J6626" s="21"/>
      <c r="K6626" s="19"/>
    </row>
    <row r="6627" spans="3:11" x14ac:dyDescent="0.2">
      <c r="C6627" s="19"/>
      <c r="D6627" s="19"/>
      <c r="E6627" s="19"/>
      <c r="F6627" s="20"/>
      <c r="G6627" s="19"/>
      <c r="H6627" s="19"/>
      <c r="I6627" s="19"/>
      <c r="J6627" s="21"/>
      <c r="K6627" s="19"/>
    </row>
    <row r="6628" spans="3:11" x14ac:dyDescent="0.2">
      <c r="C6628" s="19"/>
      <c r="D6628" s="19"/>
      <c r="E6628" s="19"/>
      <c r="F6628" s="20"/>
      <c r="G6628" s="19"/>
      <c r="H6628" s="19"/>
      <c r="I6628" s="19"/>
      <c r="J6628" s="21"/>
      <c r="K6628" s="19"/>
    </row>
    <row r="6629" spans="3:11" x14ac:dyDescent="0.2">
      <c r="C6629" s="19"/>
      <c r="D6629" s="19"/>
      <c r="E6629" s="19"/>
      <c r="F6629" s="20"/>
      <c r="G6629" s="19"/>
      <c r="H6629" s="19"/>
      <c r="I6629" s="19"/>
      <c r="J6629" s="21"/>
      <c r="K6629" s="19"/>
    </row>
    <row r="6630" spans="3:11" x14ac:dyDescent="0.2">
      <c r="C6630" s="19"/>
      <c r="D6630" s="19"/>
      <c r="E6630" s="19"/>
      <c r="F6630" s="20"/>
      <c r="G6630" s="19"/>
      <c r="H6630" s="19"/>
      <c r="I6630" s="19"/>
      <c r="J6630" s="21"/>
      <c r="K6630" s="19"/>
    </row>
    <row r="6631" spans="3:11" x14ac:dyDescent="0.2">
      <c r="C6631" s="19"/>
      <c r="D6631" s="19"/>
      <c r="E6631" s="19"/>
      <c r="F6631" s="20"/>
      <c r="G6631" s="19"/>
      <c r="H6631" s="19"/>
      <c r="I6631" s="19"/>
      <c r="J6631" s="21"/>
      <c r="K6631" s="19"/>
    </row>
    <row r="6632" spans="3:11" x14ac:dyDescent="0.2">
      <c r="C6632" s="19"/>
      <c r="D6632" s="19"/>
      <c r="E6632" s="19"/>
      <c r="F6632" s="20"/>
      <c r="G6632" s="19"/>
      <c r="H6632" s="19"/>
      <c r="I6632" s="19"/>
      <c r="J6632" s="19"/>
      <c r="K6632" s="19"/>
    </row>
    <row r="6633" spans="3:11" x14ac:dyDescent="0.2">
      <c r="C6633" s="19"/>
      <c r="D6633" s="19"/>
      <c r="E6633" s="19"/>
      <c r="F6633" s="20"/>
      <c r="G6633" s="19"/>
      <c r="H6633" s="19"/>
      <c r="I6633" s="19"/>
      <c r="J6633" s="21"/>
      <c r="K6633" s="19"/>
    </row>
    <row r="6634" spans="3:11" x14ac:dyDescent="0.2">
      <c r="C6634" s="19"/>
      <c r="D6634" s="19"/>
      <c r="E6634" s="19"/>
      <c r="F6634" s="20"/>
      <c r="G6634" s="19"/>
      <c r="H6634" s="19"/>
      <c r="I6634" s="19"/>
      <c r="J6634" s="21"/>
      <c r="K6634" s="19"/>
    </row>
    <row r="6635" spans="3:11" x14ac:dyDescent="0.2">
      <c r="C6635" s="19"/>
      <c r="D6635" s="19"/>
      <c r="E6635" s="19"/>
      <c r="F6635" s="20"/>
      <c r="G6635" s="19"/>
      <c r="H6635" s="19"/>
      <c r="I6635" s="19"/>
      <c r="J6635" s="21"/>
      <c r="K6635" s="19"/>
    </row>
    <row r="6636" spans="3:11" x14ac:dyDescent="0.2">
      <c r="C6636" s="19"/>
      <c r="D6636" s="19"/>
      <c r="E6636" s="19"/>
      <c r="F6636" s="20"/>
      <c r="G6636" s="19"/>
      <c r="H6636" s="19"/>
      <c r="I6636" s="19"/>
      <c r="J6636" s="19"/>
      <c r="K6636" s="19"/>
    </row>
    <row r="6637" spans="3:11" x14ac:dyDescent="0.2">
      <c r="C6637" s="19"/>
      <c r="D6637" s="19"/>
      <c r="E6637" s="19"/>
      <c r="F6637" s="20"/>
      <c r="G6637" s="19"/>
      <c r="H6637" s="19"/>
      <c r="I6637" s="19"/>
      <c r="J6637" s="21"/>
      <c r="K6637" s="19"/>
    </row>
    <row r="6638" spans="3:11" x14ac:dyDescent="0.2">
      <c r="C6638" s="19"/>
      <c r="D6638" s="19"/>
      <c r="E6638" s="19"/>
      <c r="F6638" s="20"/>
      <c r="G6638" s="19"/>
      <c r="H6638" s="19"/>
      <c r="I6638" s="19"/>
      <c r="J6638" s="21"/>
      <c r="K6638" s="19"/>
    </row>
    <row r="6639" spans="3:11" x14ac:dyDescent="0.2">
      <c r="C6639" s="19"/>
      <c r="D6639" s="19"/>
      <c r="E6639" s="19"/>
      <c r="F6639" s="20"/>
      <c r="G6639" s="19"/>
      <c r="H6639" s="19"/>
      <c r="I6639" s="19"/>
      <c r="J6639" s="21"/>
      <c r="K6639" s="19"/>
    </row>
    <row r="6640" spans="3:11" x14ac:dyDescent="0.2">
      <c r="C6640" s="19"/>
      <c r="D6640" s="19"/>
      <c r="E6640" s="19"/>
      <c r="F6640" s="20"/>
      <c r="G6640" s="19"/>
      <c r="H6640" s="19"/>
      <c r="I6640" s="19"/>
      <c r="J6640" s="21"/>
      <c r="K6640" s="19"/>
    </row>
    <row r="6641" spans="3:11" x14ac:dyDescent="0.2">
      <c r="C6641" s="19"/>
      <c r="D6641" s="19"/>
      <c r="E6641" s="19"/>
      <c r="F6641" s="20"/>
      <c r="G6641" s="19"/>
      <c r="H6641" s="19"/>
      <c r="I6641" s="19"/>
      <c r="J6641" s="21"/>
      <c r="K6641" s="19"/>
    </row>
    <row r="6642" spans="3:11" x14ac:dyDescent="0.2">
      <c r="C6642" s="19"/>
      <c r="D6642" s="19"/>
      <c r="E6642" s="19"/>
      <c r="F6642" s="20"/>
      <c r="G6642" s="19"/>
      <c r="H6642" s="19"/>
      <c r="I6642" s="19"/>
      <c r="J6642" s="21"/>
      <c r="K6642" s="19"/>
    </row>
    <row r="6643" spans="3:11" x14ac:dyDescent="0.2">
      <c r="C6643" s="19"/>
      <c r="D6643" s="19"/>
      <c r="E6643" s="19"/>
      <c r="F6643" s="20"/>
      <c r="G6643" s="19"/>
      <c r="H6643" s="19"/>
      <c r="I6643" s="19"/>
      <c r="J6643" s="21"/>
      <c r="K6643" s="19"/>
    </row>
    <row r="6644" spans="3:11" x14ac:dyDescent="0.2">
      <c r="C6644" s="19"/>
      <c r="D6644" s="19"/>
      <c r="E6644" s="19"/>
      <c r="F6644" s="20"/>
      <c r="G6644" s="19"/>
      <c r="H6644" s="19"/>
      <c r="I6644" s="19"/>
      <c r="J6644" s="21"/>
      <c r="K6644" s="19"/>
    </row>
    <row r="6645" spans="3:11" x14ac:dyDescent="0.2">
      <c r="C6645" s="19"/>
      <c r="D6645" s="19"/>
      <c r="E6645" s="19"/>
      <c r="F6645" s="20"/>
      <c r="G6645" s="19"/>
      <c r="H6645" s="19"/>
      <c r="I6645" s="19"/>
      <c r="J6645" s="19"/>
      <c r="K6645" s="19"/>
    </row>
    <row r="6646" spans="3:11" x14ac:dyDescent="0.2">
      <c r="C6646" s="19"/>
      <c r="D6646" s="19"/>
      <c r="E6646" s="19"/>
      <c r="F6646" s="20"/>
      <c r="G6646" s="19"/>
      <c r="H6646" s="19"/>
      <c r="I6646" s="19"/>
      <c r="J6646" s="21"/>
      <c r="K6646" s="19"/>
    </row>
    <row r="6647" spans="3:11" x14ac:dyDescent="0.2">
      <c r="C6647" s="19"/>
      <c r="D6647" s="19"/>
      <c r="E6647" s="19"/>
      <c r="F6647" s="20"/>
      <c r="G6647" s="19"/>
      <c r="H6647" s="19"/>
      <c r="I6647" s="19"/>
      <c r="J6647" s="21"/>
      <c r="K6647" s="19"/>
    </row>
    <row r="6648" spans="3:11" x14ac:dyDescent="0.2">
      <c r="C6648" s="19"/>
      <c r="D6648" s="19"/>
      <c r="E6648" s="19"/>
      <c r="F6648" s="20"/>
      <c r="G6648" s="19"/>
      <c r="H6648" s="19"/>
      <c r="I6648" s="19"/>
      <c r="J6648" s="21"/>
      <c r="K6648" s="19"/>
    </row>
    <row r="6649" spans="3:11" x14ac:dyDescent="0.2">
      <c r="C6649" s="19"/>
      <c r="D6649" s="19"/>
      <c r="E6649" s="19"/>
      <c r="F6649" s="20"/>
      <c r="G6649" s="19"/>
      <c r="H6649" s="19"/>
      <c r="I6649" s="19"/>
      <c r="J6649" s="21"/>
      <c r="K6649" s="19"/>
    </row>
    <row r="6650" spans="3:11" x14ac:dyDescent="0.2">
      <c r="C6650" s="19"/>
      <c r="D6650" s="19"/>
      <c r="E6650" s="19"/>
      <c r="F6650" s="20"/>
      <c r="G6650" s="19"/>
      <c r="H6650" s="19"/>
      <c r="I6650" s="19"/>
      <c r="J6650" s="21"/>
      <c r="K6650" s="19"/>
    </row>
    <row r="6651" spans="3:11" x14ac:dyDescent="0.2">
      <c r="C6651" s="19"/>
      <c r="D6651" s="19"/>
      <c r="E6651" s="19"/>
      <c r="F6651" s="20"/>
      <c r="G6651" s="19"/>
      <c r="H6651" s="19"/>
      <c r="I6651" s="19"/>
      <c r="J6651" s="21"/>
      <c r="K6651" s="19"/>
    </row>
    <row r="6652" spans="3:11" x14ac:dyDescent="0.2">
      <c r="C6652" s="19"/>
      <c r="D6652" s="19"/>
      <c r="E6652" s="19"/>
      <c r="F6652" s="20"/>
      <c r="G6652" s="19"/>
      <c r="H6652" s="19"/>
      <c r="I6652" s="19"/>
      <c r="J6652" s="21"/>
      <c r="K6652" s="19"/>
    </row>
    <row r="6653" spans="3:11" x14ac:dyDescent="0.2">
      <c r="C6653" s="19"/>
      <c r="D6653" s="19"/>
      <c r="E6653" s="19"/>
      <c r="F6653" s="20"/>
      <c r="G6653" s="19"/>
      <c r="H6653" s="19"/>
      <c r="I6653" s="19"/>
      <c r="J6653" s="19"/>
      <c r="K6653" s="19"/>
    </row>
    <row r="6654" spans="3:11" x14ac:dyDescent="0.2">
      <c r="C6654" s="19"/>
      <c r="D6654" s="19"/>
      <c r="E6654" s="19"/>
      <c r="F6654" s="20"/>
      <c r="G6654" s="19"/>
      <c r="H6654" s="19"/>
      <c r="I6654" s="19"/>
      <c r="J6654" s="21"/>
      <c r="K6654" s="19"/>
    </row>
    <row r="6655" spans="3:11" x14ac:dyDescent="0.2">
      <c r="C6655" s="19"/>
      <c r="D6655" s="19"/>
      <c r="E6655" s="19"/>
      <c r="F6655" s="20"/>
      <c r="G6655" s="19"/>
      <c r="H6655" s="19"/>
      <c r="I6655" s="19"/>
      <c r="J6655" s="21"/>
      <c r="K6655" s="19"/>
    </row>
    <row r="6656" spans="3:11" x14ac:dyDescent="0.2">
      <c r="C6656" s="19"/>
      <c r="D6656" s="19"/>
      <c r="E6656" s="19"/>
      <c r="F6656" s="20"/>
      <c r="G6656" s="19"/>
      <c r="H6656" s="19"/>
      <c r="I6656" s="19"/>
      <c r="J6656" s="21"/>
      <c r="K6656" s="19"/>
    </row>
    <row r="6657" spans="3:11" x14ac:dyDescent="0.2">
      <c r="C6657" s="19"/>
      <c r="D6657" s="19"/>
      <c r="E6657" s="19"/>
      <c r="F6657" s="20"/>
      <c r="G6657" s="19"/>
      <c r="H6657" s="19"/>
      <c r="I6657" s="19"/>
      <c r="J6657" s="21"/>
      <c r="K6657" s="19"/>
    </row>
    <row r="6658" spans="3:11" x14ac:dyDescent="0.2">
      <c r="C6658" s="19"/>
      <c r="D6658" s="19"/>
      <c r="E6658" s="19"/>
      <c r="F6658" s="20"/>
      <c r="G6658" s="19"/>
      <c r="H6658" s="19"/>
      <c r="I6658" s="19"/>
      <c r="J6658" s="19"/>
      <c r="K6658" s="19"/>
    </row>
    <row r="6659" spans="3:11" x14ac:dyDescent="0.2">
      <c r="C6659" s="19"/>
      <c r="D6659" s="19"/>
      <c r="E6659" s="19"/>
      <c r="F6659" s="20"/>
      <c r="G6659" s="19"/>
      <c r="H6659" s="19"/>
      <c r="I6659" s="19"/>
      <c r="J6659" s="21"/>
      <c r="K6659" s="19"/>
    </row>
    <row r="6660" spans="3:11" x14ac:dyDescent="0.2">
      <c r="C6660" s="19"/>
      <c r="D6660" s="19"/>
      <c r="E6660" s="19"/>
      <c r="F6660" s="20"/>
      <c r="G6660" s="19"/>
      <c r="H6660" s="19"/>
      <c r="I6660" s="19"/>
      <c r="J6660" s="21"/>
      <c r="K6660" s="19"/>
    </row>
    <row r="6661" spans="3:11" x14ac:dyDescent="0.2">
      <c r="C6661" s="19"/>
      <c r="D6661" s="19"/>
      <c r="E6661" s="19"/>
      <c r="F6661" s="20"/>
      <c r="G6661" s="19"/>
      <c r="H6661" s="19"/>
      <c r="I6661" s="19"/>
      <c r="J6661" s="21"/>
      <c r="K6661" s="19"/>
    </row>
    <row r="6662" spans="3:11" x14ac:dyDescent="0.2">
      <c r="C6662" s="19"/>
      <c r="D6662" s="19"/>
      <c r="E6662" s="19"/>
      <c r="F6662" s="20"/>
      <c r="G6662" s="19"/>
      <c r="H6662" s="19"/>
      <c r="I6662" s="19"/>
      <c r="J6662" s="21"/>
      <c r="K6662" s="19"/>
    </row>
    <row r="6663" spans="3:11" x14ac:dyDescent="0.2">
      <c r="C6663" s="19"/>
      <c r="D6663" s="19"/>
      <c r="E6663" s="19"/>
      <c r="F6663" s="20"/>
      <c r="G6663" s="19"/>
      <c r="H6663" s="19"/>
      <c r="I6663" s="19"/>
      <c r="J6663" s="21"/>
      <c r="K6663" s="19"/>
    </row>
    <row r="6664" spans="3:11" x14ac:dyDescent="0.2">
      <c r="C6664" s="19"/>
      <c r="D6664" s="19"/>
      <c r="E6664" s="19"/>
      <c r="F6664" s="20"/>
      <c r="G6664" s="19"/>
      <c r="H6664" s="19"/>
      <c r="I6664" s="19"/>
      <c r="J6664" s="21"/>
      <c r="K6664" s="19"/>
    </row>
    <row r="6665" spans="3:11" x14ac:dyDescent="0.2">
      <c r="C6665" s="19"/>
      <c r="D6665" s="19"/>
      <c r="E6665" s="19"/>
      <c r="F6665" s="20"/>
      <c r="G6665" s="19"/>
      <c r="H6665" s="19"/>
      <c r="I6665" s="19"/>
      <c r="J6665" s="21"/>
      <c r="K6665" s="19"/>
    </row>
    <row r="6666" spans="3:11" x14ac:dyDescent="0.2">
      <c r="C6666" s="19"/>
      <c r="D6666" s="19"/>
      <c r="E6666" s="19"/>
      <c r="F6666" s="20"/>
      <c r="G6666" s="19"/>
      <c r="H6666" s="19"/>
      <c r="I6666" s="19"/>
      <c r="J6666" s="19"/>
      <c r="K6666" s="19"/>
    </row>
    <row r="6667" spans="3:11" x14ac:dyDescent="0.2">
      <c r="C6667" s="19"/>
      <c r="D6667" s="19"/>
      <c r="E6667" s="19"/>
      <c r="F6667" s="20"/>
      <c r="G6667" s="19"/>
      <c r="H6667" s="19"/>
      <c r="I6667" s="19"/>
      <c r="J6667" s="21"/>
      <c r="K6667" s="19"/>
    </row>
    <row r="6668" spans="3:11" x14ac:dyDescent="0.2">
      <c r="C6668" s="19"/>
      <c r="D6668" s="19"/>
      <c r="E6668" s="19"/>
      <c r="F6668" s="20"/>
      <c r="G6668" s="19"/>
      <c r="H6668" s="19"/>
      <c r="I6668" s="19"/>
      <c r="J6668" s="21"/>
      <c r="K6668" s="19"/>
    </row>
    <row r="6669" spans="3:11" x14ac:dyDescent="0.2">
      <c r="C6669" s="19"/>
      <c r="D6669" s="19"/>
      <c r="E6669" s="19"/>
      <c r="F6669" s="20"/>
      <c r="G6669" s="19"/>
      <c r="H6669" s="19"/>
      <c r="I6669" s="19"/>
      <c r="J6669" s="21"/>
      <c r="K6669" s="19"/>
    </row>
    <row r="6670" spans="3:11" x14ac:dyDescent="0.2">
      <c r="C6670" s="19"/>
      <c r="D6670" s="19"/>
      <c r="E6670" s="19"/>
      <c r="F6670" s="20"/>
      <c r="G6670" s="19"/>
      <c r="H6670" s="19"/>
      <c r="I6670" s="19"/>
      <c r="J6670" s="21"/>
      <c r="K6670" s="19"/>
    </row>
    <row r="6671" spans="3:11" x14ac:dyDescent="0.2">
      <c r="C6671" s="19"/>
      <c r="D6671" s="19"/>
      <c r="E6671" s="19"/>
      <c r="F6671" s="20"/>
      <c r="G6671" s="19"/>
      <c r="H6671" s="19"/>
      <c r="I6671" s="19"/>
      <c r="J6671" s="21"/>
      <c r="K6671" s="19"/>
    </row>
    <row r="6672" spans="3:11" x14ac:dyDescent="0.2">
      <c r="C6672" s="19"/>
      <c r="D6672" s="19"/>
      <c r="E6672" s="19"/>
      <c r="F6672" s="20"/>
      <c r="G6672" s="19"/>
      <c r="H6672" s="19"/>
      <c r="I6672" s="19"/>
      <c r="J6672" s="19"/>
      <c r="K6672" s="19"/>
    </row>
    <row r="6673" spans="3:11" x14ac:dyDescent="0.2">
      <c r="C6673" s="19"/>
      <c r="D6673" s="19"/>
      <c r="E6673" s="19"/>
      <c r="F6673" s="20"/>
      <c r="G6673" s="19"/>
      <c r="H6673" s="19"/>
      <c r="I6673" s="19"/>
      <c r="J6673" s="19"/>
      <c r="K6673" s="19"/>
    </row>
    <row r="6674" spans="3:11" x14ac:dyDescent="0.2">
      <c r="C6674" s="19"/>
      <c r="D6674" s="19"/>
      <c r="E6674" s="19"/>
      <c r="F6674" s="20"/>
      <c r="G6674" s="19"/>
      <c r="H6674" s="19"/>
      <c r="I6674" s="19"/>
      <c r="J6674" s="19"/>
      <c r="K6674" s="19"/>
    </row>
    <row r="6675" spans="3:11" x14ac:dyDescent="0.2">
      <c r="C6675" s="19"/>
      <c r="D6675" s="19"/>
      <c r="E6675" s="19"/>
      <c r="F6675" s="20"/>
      <c r="G6675" s="19"/>
      <c r="H6675" s="19"/>
      <c r="I6675" s="19"/>
      <c r="J6675" s="19"/>
      <c r="K6675" s="19"/>
    </row>
    <row r="6676" spans="3:11" x14ac:dyDescent="0.2">
      <c r="C6676" s="19"/>
      <c r="D6676" s="19"/>
      <c r="E6676" s="19"/>
      <c r="F6676" s="20"/>
      <c r="G6676" s="19"/>
      <c r="H6676" s="19"/>
      <c r="I6676" s="19"/>
      <c r="J6676" s="21"/>
      <c r="K6676" s="19"/>
    </row>
    <row r="6677" spans="3:11" x14ac:dyDescent="0.2">
      <c r="C6677" s="19"/>
      <c r="D6677" s="19"/>
      <c r="E6677" s="19"/>
      <c r="F6677" s="20"/>
      <c r="G6677" s="19"/>
      <c r="H6677" s="19"/>
      <c r="I6677" s="19"/>
      <c r="J6677" s="19"/>
      <c r="K6677" s="19"/>
    </row>
    <row r="6678" spans="3:11" x14ac:dyDescent="0.2">
      <c r="C6678" s="19"/>
      <c r="D6678" s="19"/>
      <c r="E6678" s="19"/>
      <c r="F6678" s="20"/>
      <c r="G6678" s="19"/>
      <c r="H6678" s="19"/>
      <c r="I6678" s="19"/>
      <c r="J6678" s="21"/>
      <c r="K6678" s="19"/>
    </row>
    <row r="6679" spans="3:11" x14ac:dyDescent="0.2">
      <c r="C6679" s="19"/>
      <c r="D6679" s="19"/>
      <c r="E6679" s="19"/>
      <c r="F6679" s="20"/>
      <c r="G6679" s="19"/>
      <c r="H6679" s="19"/>
      <c r="I6679" s="19"/>
      <c r="J6679" s="21"/>
      <c r="K6679" s="19"/>
    </row>
    <row r="6680" spans="3:11" x14ac:dyDescent="0.2">
      <c r="C6680" s="19"/>
      <c r="D6680" s="19"/>
      <c r="E6680" s="19"/>
      <c r="F6680" s="20"/>
      <c r="G6680" s="19"/>
      <c r="H6680" s="19"/>
      <c r="I6680" s="19"/>
      <c r="J6680" s="21"/>
      <c r="K6680" s="19"/>
    </row>
    <row r="6681" spans="3:11" x14ac:dyDescent="0.2">
      <c r="C6681" s="19"/>
      <c r="D6681" s="19"/>
      <c r="E6681" s="19"/>
      <c r="F6681" s="20"/>
      <c r="G6681" s="19"/>
      <c r="H6681" s="19"/>
      <c r="I6681" s="19"/>
      <c r="J6681" s="21"/>
      <c r="K6681" s="19"/>
    </row>
    <row r="6682" spans="3:11" x14ac:dyDescent="0.2">
      <c r="C6682" s="19"/>
      <c r="D6682" s="19"/>
      <c r="E6682" s="19"/>
      <c r="F6682" s="20"/>
      <c r="G6682" s="19"/>
      <c r="H6682" s="19"/>
      <c r="I6682" s="19"/>
      <c r="J6682" s="21"/>
      <c r="K6682" s="19"/>
    </row>
    <row r="6683" spans="3:11" x14ac:dyDescent="0.2">
      <c r="C6683" s="19"/>
      <c r="D6683" s="19"/>
      <c r="E6683" s="19"/>
      <c r="F6683" s="20"/>
      <c r="G6683" s="19"/>
      <c r="H6683" s="19"/>
      <c r="I6683" s="19"/>
      <c r="J6683" s="21"/>
      <c r="K6683" s="19"/>
    </row>
    <row r="6684" spans="3:11" x14ac:dyDescent="0.2">
      <c r="C6684" s="19"/>
      <c r="D6684" s="19"/>
      <c r="E6684" s="19"/>
      <c r="F6684" s="20"/>
      <c r="G6684" s="19"/>
      <c r="H6684" s="19"/>
      <c r="I6684" s="19"/>
      <c r="J6684" s="21"/>
      <c r="K6684" s="19"/>
    </row>
    <row r="6685" spans="3:11" x14ac:dyDescent="0.2">
      <c r="C6685" s="19"/>
      <c r="D6685" s="19"/>
      <c r="E6685" s="19"/>
      <c r="F6685" s="20"/>
      <c r="G6685" s="19"/>
      <c r="H6685" s="19"/>
      <c r="I6685" s="19"/>
      <c r="J6685" s="21"/>
      <c r="K6685" s="19"/>
    </row>
    <row r="6686" spans="3:11" x14ac:dyDescent="0.2">
      <c r="C6686" s="19"/>
      <c r="D6686" s="19"/>
      <c r="E6686" s="19"/>
      <c r="F6686" s="20"/>
      <c r="G6686" s="19"/>
      <c r="H6686" s="19"/>
      <c r="I6686" s="19"/>
      <c r="J6686" s="21"/>
      <c r="K6686" s="19"/>
    </row>
    <row r="6687" spans="3:11" x14ac:dyDescent="0.2">
      <c r="C6687" s="19"/>
      <c r="D6687" s="19"/>
      <c r="E6687" s="19"/>
      <c r="F6687" s="20"/>
      <c r="G6687" s="19"/>
      <c r="H6687" s="19"/>
      <c r="I6687" s="19"/>
      <c r="J6687" s="21"/>
      <c r="K6687" s="19"/>
    </row>
    <row r="6688" spans="3:11" x14ac:dyDescent="0.2">
      <c r="C6688" s="19"/>
      <c r="D6688" s="19"/>
      <c r="E6688" s="19"/>
      <c r="F6688" s="20"/>
      <c r="G6688" s="19"/>
      <c r="H6688" s="19"/>
      <c r="I6688" s="19"/>
      <c r="J6688" s="21"/>
      <c r="K6688" s="19"/>
    </row>
    <row r="6689" spans="3:11" x14ac:dyDescent="0.2">
      <c r="C6689" s="19"/>
      <c r="D6689" s="19"/>
      <c r="E6689" s="19"/>
      <c r="F6689" s="20"/>
      <c r="G6689" s="19"/>
      <c r="H6689" s="19"/>
      <c r="I6689" s="19"/>
      <c r="J6689" s="21"/>
      <c r="K6689" s="19"/>
    </row>
    <row r="6690" spans="3:11" x14ac:dyDescent="0.2">
      <c r="C6690" s="19"/>
      <c r="D6690" s="19"/>
      <c r="E6690" s="19"/>
      <c r="F6690" s="20"/>
      <c r="G6690" s="19"/>
      <c r="H6690" s="19"/>
      <c r="I6690" s="19"/>
      <c r="J6690" s="21"/>
      <c r="K6690" s="19"/>
    </row>
    <row r="6691" spans="3:11" x14ac:dyDescent="0.2">
      <c r="C6691" s="19"/>
      <c r="D6691" s="19"/>
      <c r="E6691" s="19"/>
      <c r="F6691" s="20"/>
      <c r="G6691" s="19"/>
      <c r="H6691" s="19"/>
      <c r="I6691" s="19"/>
      <c r="J6691" s="21"/>
      <c r="K6691" s="19"/>
    </row>
    <row r="6692" spans="3:11" x14ac:dyDescent="0.2">
      <c r="C6692" s="19"/>
      <c r="D6692" s="19"/>
      <c r="E6692" s="19"/>
      <c r="F6692" s="20"/>
      <c r="G6692" s="19"/>
      <c r="H6692" s="19"/>
      <c r="I6692" s="19"/>
      <c r="J6692" s="21"/>
      <c r="K6692" s="19"/>
    </row>
    <row r="6693" spans="3:11" x14ac:dyDescent="0.2">
      <c r="C6693" s="19"/>
      <c r="D6693" s="19"/>
      <c r="E6693" s="19"/>
      <c r="F6693" s="20"/>
      <c r="G6693" s="19"/>
      <c r="H6693" s="19"/>
      <c r="I6693" s="19"/>
      <c r="J6693" s="21"/>
      <c r="K6693" s="19"/>
    </row>
    <row r="6694" spans="3:11" x14ac:dyDescent="0.2">
      <c r="C6694" s="19"/>
      <c r="D6694" s="19"/>
      <c r="E6694" s="19"/>
      <c r="F6694" s="20"/>
      <c r="G6694" s="19"/>
      <c r="H6694" s="19"/>
      <c r="I6694" s="19"/>
      <c r="J6694" s="21"/>
      <c r="K6694" s="19"/>
    </row>
    <row r="6695" spans="3:11" x14ac:dyDescent="0.2">
      <c r="C6695" s="19"/>
      <c r="D6695" s="19"/>
      <c r="E6695" s="19"/>
      <c r="F6695" s="20"/>
      <c r="G6695" s="19"/>
      <c r="H6695" s="19"/>
      <c r="I6695" s="19"/>
      <c r="J6695" s="21"/>
      <c r="K6695" s="19"/>
    </row>
    <row r="6696" spans="3:11" x14ac:dyDescent="0.2">
      <c r="C6696" s="19"/>
      <c r="D6696" s="19"/>
      <c r="E6696" s="19"/>
      <c r="F6696" s="20"/>
      <c r="G6696" s="19"/>
      <c r="H6696" s="19"/>
      <c r="I6696" s="19"/>
      <c r="J6696" s="21"/>
      <c r="K6696" s="19"/>
    </row>
    <row r="6697" spans="3:11" x14ac:dyDescent="0.2">
      <c r="C6697" s="19"/>
      <c r="D6697" s="19"/>
      <c r="E6697" s="19"/>
      <c r="F6697" s="20"/>
      <c r="G6697" s="19"/>
      <c r="H6697" s="19"/>
      <c r="I6697" s="19"/>
      <c r="J6697" s="19"/>
      <c r="K6697" s="19"/>
    </row>
    <row r="6698" spans="3:11" x14ac:dyDescent="0.2">
      <c r="C6698" s="19"/>
      <c r="D6698" s="19"/>
      <c r="E6698" s="19"/>
      <c r="F6698" s="20"/>
      <c r="G6698" s="19"/>
      <c r="H6698" s="19"/>
      <c r="I6698" s="19"/>
      <c r="J6698" s="21"/>
      <c r="K6698" s="19"/>
    </row>
    <row r="6699" spans="3:11" x14ac:dyDescent="0.2">
      <c r="C6699" s="19"/>
      <c r="D6699" s="19"/>
      <c r="E6699" s="19"/>
      <c r="F6699" s="20"/>
      <c r="G6699" s="19"/>
      <c r="H6699" s="19"/>
      <c r="I6699" s="19"/>
      <c r="J6699" s="21"/>
      <c r="K6699" s="19"/>
    </row>
    <row r="6700" spans="3:11" x14ac:dyDescent="0.2">
      <c r="C6700" s="19"/>
      <c r="D6700" s="19"/>
      <c r="E6700" s="19"/>
      <c r="F6700" s="20"/>
      <c r="G6700" s="19"/>
      <c r="H6700" s="19"/>
      <c r="I6700" s="19"/>
      <c r="J6700" s="21"/>
      <c r="K6700" s="19"/>
    </row>
    <row r="6701" spans="3:11" x14ac:dyDescent="0.2">
      <c r="C6701" s="19"/>
      <c r="D6701" s="19"/>
      <c r="E6701" s="19"/>
      <c r="F6701" s="20"/>
      <c r="G6701" s="19"/>
      <c r="H6701" s="19"/>
      <c r="I6701" s="19"/>
      <c r="J6701" s="21"/>
      <c r="K6701" s="19"/>
    </row>
    <row r="6702" spans="3:11" x14ac:dyDescent="0.2">
      <c r="C6702" s="19"/>
      <c r="D6702" s="19"/>
      <c r="E6702" s="19"/>
      <c r="F6702" s="20"/>
      <c r="G6702" s="19"/>
      <c r="H6702" s="19"/>
      <c r="I6702" s="19"/>
      <c r="J6702" s="21"/>
      <c r="K6702" s="19"/>
    </row>
    <row r="6703" spans="3:11" x14ac:dyDescent="0.2">
      <c r="C6703" s="19"/>
      <c r="D6703" s="19"/>
      <c r="E6703" s="19"/>
      <c r="F6703" s="20"/>
      <c r="G6703" s="19"/>
      <c r="H6703" s="19"/>
      <c r="I6703" s="19"/>
      <c r="J6703" s="21"/>
      <c r="K6703" s="19"/>
    </row>
    <row r="6704" spans="3:11" x14ac:dyDescent="0.2">
      <c r="C6704" s="19"/>
      <c r="D6704" s="19"/>
      <c r="E6704" s="19"/>
      <c r="F6704" s="20"/>
      <c r="G6704" s="19"/>
      <c r="H6704" s="19"/>
      <c r="I6704" s="19"/>
      <c r="J6704" s="21"/>
      <c r="K6704" s="19"/>
    </row>
    <row r="6705" spans="3:11" x14ac:dyDescent="0.2">
      <c r="C6705" s="19"/>
      <c r="D6705" s="19"/>
      <c r="E6705" s="19"/>
      <c r="F6705" s="20"/>
      <c r="G6705" s="19"/>
      <c r="H6705" s="19"/>
      <c r="I6705" s="19"/>
      <c r="J6705" s="21"/>
      <c r="K6705" s="19"/>
    </row>
    <row r="6706" spans="3:11" x14ac:dyDescent="0.2">
      <c r="C6706" s="19"/>
      <c r="D6706" s="19"/>
      <c r="E6706" s="19"/>
      <c r="F6706" s="20"/>
      <c r="G6706" s="19"/>
      <c r="H6706" s="19"/>
      <c r="I6706" s="19"/>
      <c r="J6706" s="21"/>
      <c r="K6706" s="19"/>
    </row>
    <row r="6707" spans="3:11" x14ac:dyDescent="0.2">
      <c r="C6707" s="19"/>
      <c r="D6707" s="19"/>
      <c r="E6707" s="19"/>
      <c r="F6707" s="20"/>
      <c r="G6707" s="19"/>
      <c r="H6707" s="19"/>
      <c r="I6707" s="19"/>
      <c r="J6707" s="21"/>
      <c r="K6707" s="19"/>
    </row>
    <row r="6708" spans="3:11" x14ac:dyDescent="0.2">
      <c r="C6708" s="19"/>
      <c r="D6708" s="19"/>
      <c r="E6708" s="19"/>
      <c r="F6708" s="20"/>
      <c r="G6708" s="19"/>
      <c r="H6708" s="19"/>
      <c r="I6708" s="19"/>
      <c r="J6708" s="21"/>
      <c r="K6708" s="19"/>
    </row>
    <row r="6709" spans="3:11" x14ac:dyDescent="0.2">
      <c r="C6709" s="19"/>
      <c r="D6709" s="19"/>
      <c r="E6709" s="19"/>
      <c r="F6709" s="20"/>
      <c r="G6709" s="19"/>
      <c r="H6709" s="19"/>
      <c r="I6709" s="19"/>
      <c r="J6709" s="21"/>
      <c r="K6709" s="19"/>
    </row>
    <row r="6710" spans="3:11" x14ac:dyDescent="0.2">
      <c r="C6710" s="19"/>
      <c r="D6710" s="19"/>
      <c r="E6710" s="19"/>
      <c r="F6710" s="20"/>
      <c r="G6710" s="19"/>
      <c r="H6710" s="19"/>
      <c r="I6710" s="19"/>
      <c r="J6710" s="21"/>
      <c r="K6710" s="19"/>
    </row>
    <row r="6711" spans="3:11" x14ac:dyDescent="0.2">
      <c r="C6711" s="19"/>
      <c r="D6711" s="19"/>
      <c r="E6711" s="19"/>
      <c r="F6711" s="20"/>
      <c r="G6711" s="19"/>
      <c r="H6711" s="19"/>
      <c r="I6711" s="19"/>
      <c r="J6711" s="21"/>
      <c r="K6711" s="19"/>
    </row>
    <row r="6712" spans="3:11" x14ac:dyDescent="0.2">
      <c r="C6712" s="19"/>
      <c r="D6712" s="19"/>
      <c r="E6712" s="19"/>
      <c r="F6712" s="20"/>
      <c r="G6712" s="19"/>
      <c r="H6712" s="19"/>
      <c r="I6712" s="19"/>
      <c r="J6712" s="21"/>
      <c r="K6712" s="19"/>
    </row>
    <row r="6713" spans="3:11" x14ac:dyDescent="0.2">
      <c r="C6713" s="19"/>
      <c r="D6713" s="19"/>
      <c r="E6713" s="19"/>
      <c r="F6713" s="20"/>
      <c r="G6713" s="19"/>
      <c r="H6713" s="19"/>
      <c r="I6713" s="19"/>
      <c r="J6713" s="21"/>
      <c r="K6713" s="19"/>
    </row>
    <row r="6714" spans="3:11" x14ac:dyDescent="0.2">
      <c r="C6714" s="19"/>
      <c r="D6714" s="19"/>
      <c r="E6714" s="19"/>
      <c r="F6714" s="20"/>
      <c r="G6714" s="19"/>
      <c r="H6714" s="19"/>
      <c r="I6714" s="19"/>
      <c r="J6714" s="19"/>
      <c r="K6714" s="19"/>
    </row>
    <row r="6715" spans="3:11" x14ac:dyDescent="0.2">
      <c r="C6715" s="19"/>
      <c r="D6715" s="19"/>
      <c r="E6715" s="19"/>
      <c r="F6715" s="20"/>
      <c r="G6715" s="19"/>
      <c r="H6715" s="19"/>
      <c r="I6715" s="19"/>
      <c r="J6715" s="21"/>
      <c r="K6715" s="19"/>
    </row>
    <row r="6716" spans="3:11" x14ac:dyDescent="0.2">
      <c r="C6716" s="19"/>
      <c r="D6716" s="19"/>
      <c r="E6716" s="19"/>
      <c r="F6716" s="20"/>
      <c r="G6716" s="19"/>
      <c r="H6716" s="19"/>
      <c r="I6716" s="19"/>
      <c r="J6716" s="21"/>
      <c r="K6716" s="19"/>
    </row>
    <row r="6717" spans="3:11" x14ac:dyDescent="0.2">
      <c r="C6717" s="19"/>
      <c r="D6717" s="19"/>
      <c r="E6717" s="19"/>
      <c r="F6717" s="20"/>
      <c r="G6717" s="19"/>
      <c r="H6717" s="19"/>
      <c r="I6717" s="19"/>
      <c r="J6717" s="21"/>
      <c r="K6717" s="19"/>
    </row>
    <row r="6718" spans="3:11" x14ac:dyDescent="0.2">
      <c r="C6718" s="19"/>
      <c r="D6718" s="19"/>
      <c r="E6718" s="19"/>
      <c r="F6718" s="20"/>
      <c r="G6718" s="19"/>
      <c r="H6718" s="19"/>
      <c r="I6718" s="19"/>
      <c r="J6718" s="21"/>
      <c r="K6718" s="19"/>
    </row>
    <row r="6719" spans="3:11" x14ac:dyDescent="0.2">
      <c r="C6719" s="19"/>
      <c r="D6719" s="19"/>
      <c r="E6719" s="19"/>
      <c r="F6719" s="20"/>
      <c r="G6719" s="19"/>
      <c r="H6719" s="19"/>
      <c r="I6719" s="19"/>
      <c r="J6719" s="21"/>
      <c r="K6719" s="19"/>
    </row>
    <row r="6720" spans="3:11" x14ac:dyDescent="0.2">
      <c r="C6720" s="19"/>
      <c r="D6720" s="19"/>
      <c r="E6720" s="19"/>
      <c r="F6720" s="20"/>
      <c r="G6720" s="19"/>
      <c r="H6720" s="19"/>
      <c r="I6720" s="19"/>
      <c r="J6720" s="21"/>
      <c r="K6720" s="19"/>
    </row>
    <row r="6721" spans="3:11" x14ac:dyDescent="0.2">
      <c r="C6721" s="19"/>
      <c r="D6721" s="19"/>
      <c r="E6721" s="19"/>
      <c r="F6721" s="20"/>
      <c r="G6721" s="19"/>
      <c r="H6721" s="19"/>
      <c r="I6721" s="19"/>
      <c r="J6721" s="21"/>
      <c r="K6721" s="19"/>
    </row>
    <row r="6722" spans="3:11" x14ac:dyDescent="0.2">
      <c r="C6722" s="19"/>
      <c r="D6722" s="19"/>
      <c r="E6722" s="19"/>
      <c r="F6722" s="20"/>
      <c r="G6722" s="19"/>
      <c r="H6722" s="19"/>
      <c r="I6722" s="19"/>
      <c r="J6722" s="21"/>
      <c r="K6722" s="19"/>
    </row>
    <row r="6723" spans="3:11" x14ac:dyDescent="0.2">
      <c r="C6723" s="19"/>
      <c r="D6723" s="19"/>
      <c r="E6723" s="19"/>
      <c r="F6723" s="20"/>
      <c r="G6723" s="19"/>
      <c r="H6723" s="19"/>
      <c r="I6723" s="19"/>
      <c r="J6723" s="21"/>
      <c r="K6723" s="19"/>
    </row>
    <row r="6724" spans="3:11" x14ac:dyDescent="0.2">
      <c r="C6724" s="19"/>
      <c r="D6724" s="19"/>
      <c r="E6724" s="19"/>
      <c r="F6724" s="20"/>
      <c r="G6724" s="19"/>
      <c r="H6724" s="19"/>
      <c r="I6724" s="19"/>
      <c r="J6724" s="21"/>
      <c r="K6724" s="19"/>
    </row>
    <row r="6725" spans="3:11" x14ac:dyDescent="0.2">
      <c r="C6725" s="19"/>
      <c r="D6725" s="19"/>
      <c r="E6725" s="19"/>
      <c r="F6725" s="20"/>
      <c r="G6725" s="19"/>
      <c r="H6725" s="19"/>
      <c r="I6725" s="19"/>
      <c r="J6725" s="19"/>
      <c r="K6725" s="19"/>
    </row>
    <row r="6726" spans="3:11" x14ac:dyDescent="0.2">
      <c r="C6726" s="19"/>
      <c r="D6726" s="19"/>
      <c r="E6726" s="19"/>
      <c r="F6726" s="20"/>
      <c r="G6726" s="19"/>
      <c r="H6726" s="19"/>
      <c r="I6726" s="19"/>
      <c r="J6726" s="21"/>
      <c r="K6726" s="19"/>
    </row>
    <row r="6727" spans="3:11" x14ac:dyDescent="0.2">
      <c r="C6727" s="19"/>
      <c r="D6727" s="19"/>
      <c r="E6727" s="19"/>
      <c r="F6727" s="20"/>
      <c r="G6727" s="19"/>
      <c r="H6727" s="19"/>
      <c r="I6727" s="19"/>
      <c r="J6727" s="21"/>
      <c r="K6727" s="19"/>
    </row>
    <row r="6728" spans="3:11" x14ac:dyDescent="0.2">
      <c r="C6728" s="19"/>
      <c r="D6728" s="19"/>
      <c r="E6728" s="19"/>
      <c r="F6728" s="20"/>
      <c r="G6728" s="19"/>
      <c r="H6728" s="19"/>
      <c r="I6728" s="19"/>
      <c r="J6728" s="21"/>
      <c r="K6728" s="19"/>
    </row>
    <row r="6729" spans="3:11" x14ac:dyDescent="0.2">
      <c r="C6729" s="19"/>
      <c r="D6729" s="19"/>
      <c r="E6729" s="19"/>
      <c r="F6729" s="20"/>
      <c r="G6729" s="19"/>
      <c r="H6729" s="19"/>
      <c r="I6729" s="19"/>
      <c r="J6729" s="19"/>
      <c r="K6729" s="19"/>
    </row>
    <row r="6730" spans="3:11" x14ac:dyDescent="0.2">
      <c r="C6730" s="19"/>
      <c r="D6730" s="19"/>
      <c r="E6730" s="19"/>
      <c r="F6730" s="20"/>
      <c r="G6730" s="19"/>
      <c r="H6730" s="19"/>
      <c r="I6730" s="19"/>
      <c r="J6730" s="19"/>
      <c r="K6730" s="19"/>
    </row>
    <row r="6731" spans="3:11" x14ac:dyDescent="0.2">
      <c r="C6731" s="19"/>
      <c r="D6731" s="19"/>
      <c r="E6731" s="19"/>
      <c r="F6731" s="20"/>
      <c r="G6731" s="19"/>
      <c r="H6731" s="19"/>
      <c r="I6731" s="19"/>
      <c r="J6731" s="21"/>
      <c r="K6731" s="19"/>
    </row>
    <row r="6732" spans="3:11" x14ac:dyDescent="0.2">
      <c r="C6732" s="19"/>
      <c r="D6732" s="19"/>
      <c r="E6732" s="19"/>
      <c r="F6732" s="20"/>
      <c r="G6732" s="19"/>
      <c r="H6732" s="19"/>
      <c r="I6732" s="19"/>
      <c r="J6732" s="21"/>
      <c r="K6732" s="19"/>
    </row>
    <row r="6733" spans="3:11" x14ac:dyDescent="0.2">
      <c r="C6733" s="19"/>
      <c r="D6733" s="19"/>
      <c r="E6733" s="19"/>
      <c r="F6733" s="20"/>
      <c r="G6733" s="19"/>
      <c r="H6733" s="19"/>
      <c r="I6733" s="19"/>
      <c r="J6733" s="21"/>
      <c r="K6733" s="19"/>
    </row>
    <row r="6734" spans="3:11" x14ac:dyDescent="0.2">
      <c r="C6734" s="19"/>
      <c r="D6734" s="19"/>
      <c r="E6734" s="19"/>
      <c r="F6734" s="20"/>
      <c r="G6734" s="19"/>
      <c r="H6734" s="19"/>
      <c r="I6734" s="19"/>
      <c r="J6734" s="21"/>
      <c r="K6734" s="19"/>
    </row>
    <row r="6735" spans="3:11" x14ac:dyDescent="0.2">
      <c r="C6735" s="19"/>
      <c r="D6735" s="19"/>
      <c r="E6735" s="19"/>
      <c r="F6735" s="20"/>
      <c r="G6735" s="19"/>
      <c r="H6735" s="19"/>
      <c r="I6735" s="19"/>
      <c r="J6735" s="21"/>
      <c r="K6735" s="19"/>
    </row>
    <row r="6736" spans="3:11" x14ac:dyDescent="0.2">
      <c r="C6736" s="19"/>
      <c r="D6736" s="19"/>
      <c r="E6736" s="19"/>
      <c r="F6736" s="20"/>
      <c r="G6736" s="19"/>
      <c r="H6736" s="19"/>
      <c r="I6736" s="19"/>
      <c r="J6736" s="21"/>
      <c r="K6736" s="19"/>
    </row>
    <row r="6737" spans="3:11" x14ac:dyDescent="0.2">
      <c r="C6737" s="19"/>
      <c r="D6737" s="19"/>
      <c r="E6737" s="19"/>
      <c r="F6737" s="20"/>
      <c r="G6737" s="19"/>
      <c r="H6737" s="19"/>
      <c r="I6737" s="19"/>
      <c r="J6737" s="21"/>
      <c r="K6737" s="19"/>
    </row>
    <row r="6738" spans="3:11" x14ac:dyDescent="0.2">
      <c r="C6738" s="19"/>
      <c r="D6738" s="19"/>
      <c r="E6738" s="19"/>
      <c r="F6738" s="20"/>
      <c r="G6738" s="19"/>
      <c r="H6738" s="19"/>
      <c r="I6738" s="19"/>
      <c r="J6738" s="21"/>
      <c r="K6738" s="19"/>
    </row>
    <row r="6739" spans="3:11" x14ac:dyDescent="0.2">
      <c r="C6739" s="19"/>
      <c r="D6739" s="19"/>
      <c r="E6739" s="19"/>
      <c r="F6739" s="20"/>
      <c r="G6739" s="19"/>
      <c r="H6739" s="19"/>
      <c r="I6739" s="19"/>
      <c r="J6739" s="21"/>
      <c r="K6739" s="19"/>
    </row>
    <row r="6740" spans="3:11" x14ac:dyDescent="0.2">
      <c r="C6740" s="19"/>
      <c r="D6740" s="19"/>
      <c r="E6740" s="19"/>
      <c r="F6740" s="20"/>
      <c r="G6740" s="19"/>
      <c r="H6740" s="19"/>
      <c r="I6740" s="19"/>
      <c r="J6740" s="21"/>
      <c r="K6740" s="19"/>
    </row>
    <row r="6741" spans="3:11" x14ac:dyDescent="0.2">
      <c r="C6741" s="19"/>
      <c r="D6741" s="19"/>
      <c r="E6741" s="19"/>
      <c r="F6741" s="20"/>
      <c r="G6741" s="19"/>
      <c r="H6741" s="19"/>
      <c r="I6741" s="19"/>
      <c r="J6741" s="21"/>
      <c r="K6741" s="19"/>
    </row>
    <row r="6742" spans="3:11" x14ac:dyDescent="0.2">
      <c r="C6742" s="19"/>
      <c r="D6742" s="19"/>
      <c r="E6742" s="19"/>
      <c r="F6742" s="20"/>
      <c r="G6742" s="19"/>
      <c r="H6742" s="19"/>
      <c r="I6742" s="19"/>
      <c r="J6742" s="21"/>
      <c r="K6742" s="19"/>
    </row>
    <row r="6743" spans="3:11" x14ac:dyDescent="0.2">
      <c r="C6743" s="19"/>
      <c r="D6743" s="19"/>
      <c r="E6743" s="19"/>
      <c r="F6743" s="20"/>
      <c r="G6743" s="19"/>
      <c r="H6743" s="19"/>
      <c r="I6743" s="19"/>
      <c r="J6743" s="21"/>
      <c r="K6743" s="19"/>
    </row>
    <row r="6744" spans="3:11" x14ac:dyDescent="0.2">
      <c r="C6744" s="19"/>
      <c r="D6744" s="19"/>
      <c r="E6744" s="19"/>
      <c r="F6744" s="20"/>
      <c r="G6744" s="19"/>
      <c r="H6744" s="19"/>
      <c r="I6744" s="19"/>
      <c r="J6744" s="21"/>
      <c r="K6744" s="19"/>
    </row>
    <row r="6745" spans="3:11" x14ac:dyDescent="0.2">
      <c r="C6745" s="19"/>
      <c r="D6745" s="19"/>
      <c r="E6745" s="19"/>
      <c r="F6745" s="20"/>
      <c r="G6745" s="19"/>
      <c r="H6745" s="19"/>
      <c r="I6745" s="19"/>
      <c r="J6745" s="21"/>
      <c r="K6745" s="19"/>
    </row>
    <row r="6746" spans="3:11" x14ac:dyDescent="0.2">
      <c r="C6746" s="19"/>
      <c r="D6746" s="19"/>
      <c r="E6746" s="19"/>
      <c r="F6746" s="20"/>
      <c r="G6746" s="19"/>
      <c r="H6746" s="19"/>
      <c r="I6746" s="19"/>
      <c r="J6746" s="21"/>
      <c r="K6746" s="19"/>
    </row>
    <row r="6747" spans="3:11" x14ac:dyDescent="0.2">
      <c r="C6747" s="19"/>
      <c r="D6747" s="19"/>
      <c r="E6747" s="19"/>
      <c r="F6747" s="20"/>
      <c r="G6747" s="19"/>
      <c r="H6747" s="19"/>
      <c r="I6747" s="19"/>
      <c r="J6747" s="19"/>
      <c r="K6747" s="19"/>
    </row>
    <row r="6748" spans="3:11" x14ac:dyDescent="0.2">
      <c r="C6748" s="19"/>
      <c r="D6748" s="19"/>
      <c r="E6748" s="19"/>
      <c r="F6748" s="20"/>
      <c r="G6748" s="19"/>
      <c r="H6748" s="19"/>
      <c r="I6748" s="19"/>
      <c r="J6748" s="21"/>
      <c r="K6748" s="19"/>
    </row>
    <row r="6749" spans="3:11" x14ac:dyDescent="0.2">
      <c r="C6749" s="19"/>
      <c r="D6749" s="19"/>
      <c r="E6749" s="19"/>
      <c r="F6749" s="20"/>
      <c r="G6749" s="19"/>
      <c r="H6749" s="19"/>
      <c r="I6749" s="19"/>
      <c r="J6749" s="21"/>
      <c r="K6749" s="19"/>
    </row>
    <row r="6750" spans="3:11" x14ac:dyDescent="0.2">
      <c r="C6750" s="19"/>
      <c r="D6750" s="19"/>
      <c r="E6750" s="19"/>
      <c r="F6750" s="20"/>
      <c r="G6750" s="19"/>
      <c r="H6750" s="19"/>
      <c r="I6750" s="19"/>
      <c r="J6750" s="19"/>
      <c r="K6750" s="19"/>
    </row>
    <row r="6751" spans="3:11" x14ac:dyDescent="0.2">
      <c r="C6751" s="19"/>
      <c r="D6751" s="19"/>
      <c r="E6751" s="19"/>
      <c r="F6751" s="20"/>
      <c r="G6751" s="19"/>
      <c r="H6751" s="19"/>
      <c r="I6751" s="19"/>
      <c r="J6751" s="21"/>
      <c r="K6751" s="19"/>
    </row>
    <row r="6752" spans="3:11" x14ac:dyDescent="0.2">
      <c r="C6752" s="19"/>
      <c r="D6752" s="19"/>
      <c r="E6752" s="19"/>
      <c r="F6752" s="20"/>
      <c r="G6752" s="19"/>
      <c r="H6752" s="19"/>
      <c r="I6752" s="19"/>
      <c r="J6752" s="21"/>
      <c r="K6752" s="19"/>
    </row>
    <row r="6753" spans="3:11" x14ac:dyDescent="0.2">
      <c r="C6753" s="19"/>
      <c r="D6753" s="19"/>
      <c r="E6753" s="19"/>
      <c r="F6753" s="20"/>
      <c r="G6753" s="19"/>
      <c r="H6753" s="19"/>
      <c r="I6753" s="19"/>
      <c r="J6753" s="21"/>
      <c r="K6753" s="19"/>
    </row>
    <row r="6754" spans="3:11" x14ac:dyDescent="0.2">
      <c r="C6754" s="19"/>
      <c r="D6754" s="19"/>
      <c r="E6754" s="19"/>
      <c r="F6754" s="20"/>
      <c r="G6754" s="19"/>
      <c r="H6754" s="19"/>
      <c r="I6754" s="19"/>
      <c r="J6754" s="21"/>
      <c r="K6754" s="19"/>
    </row>
    <row r="6755" spans="3:11" x14ac:dyDescent="0.2">
      <c r="C6755" s="19"/>
      <c r="D6755" s="19"/>
      <c r="E6755" s="19"/>
      <c r="F6755" s="20"/>
      <c r="G6755" s="19"/>
      <c r="H6755" s="19"/>
      <c r="I6755" s="19"/>
      <c r="J6755" s="21"/>
      <c r="K6755" s="19"/>
    </row>
    <row r="6756" spans="3:11" x14ac:dyDescent="0.2">
      <c r="C6756" s="19"/>
      <c r="D6756" s="19"/>
      <c r="E6756" s="19"/>
      <c r="F6756" s="20"/>
      <c r="G6756" s="19"/>
      <c r="H6756" s="19"/>
      <c r="I6756" s="19"/>
      <c r="J6756" s="21"/>
      <c r="K6756" s="19"/>
    </row>
    <row r="6757" spans="3:11" x14ac:dyDescent="0.2">
      <c r="C6757" s="19"/>
      <c r="D6757" s="19"/>
      <c r="E6757" s="19"/>
      <c r="F6757" s="20"/>
      <c r="G6757" s="19"/>
      <c r="H6757" s="19"/>
      <c r="I6757" s="19"/>
      <c r="J6757" s="21"/>
      <c r="K6757" s="19"/>
    </row>
    <row r="6758" spans="3:11" x14ac:dyDescent="0.2">
      <c r="C6758" s="19"/>
      <c r="D6758" s="19"/>
      <c r="E6758" s="19"/>
      <c r="F6758" s="20"/>
      <c r="G6758" s="19"/>
      <c r="H6758" s="19"/>
      <c r="I6758" s="19"/>
      <c r="J6758" s="21"/>
      <c r="K6758" s="19"/>
    </row>
    <row r="6759" spans="3:11" x14ac:dyDescent="0.2">
      <c r="C6759" s="19"/>
      <c r="D6759" s="19"/>
      <c r="E6759" s="19"/>
      <c r="F6759" s="20"/>
      <c r="G6759" s="19"/>
      <c r="H6759" s="19"/>
      <c r="I6759" s="19"/>
      <c r="J6759" s="21"/>
      <c r="K6759" s="19"/>
    </row>
    <row r="6760" spans="3:11" x14ac:dyDescent="0.2">
      <c r="C6760" s="19"/>
      <c r="D6760" s="19"/>
      <c r="E6760" s="19"/>
      <c r="F6760" s="20"/>
      <c r="G6760" s="19"/>
      <c r="H6760" s="19"/>
      <c r="I6760" s="19"/>
      <c r="J6760" s="21"/>
      <c r="K6760" s="19"/>
    </row>
    <row r="6761" spans="3:11" x14ac:dyDescent="0.2">
      <c r="C6761" s="19"/>
      <c r="D6761" s="19"/>
      <c r="E6761" s="19"/>
      <c r="F6761" s="20"/>
      <c r="G6761" s="19"/>
      <c r="H6761" s="19"/>
      <c r="I6761" s="19"/>
      <c r="J6761" s="21"/>
      <c r="K6761" s="19"/>
    </row>
    <row r="6762" spans="3:11" x14ac:dyDescent="0.2">
      <c r="C6762" s="19"/>
      <c r="D6762" s="19"/>
      <c r="E6762" s="19"/>
      <c r="F6762" s="20"/>
      <c r="G6762" s="19"/>
      <c r="H6762" s="19"/>
      <c r="I6762" s="19"/>
      <c r="J6762" s="21"/>
      <c r="K6762" s="19"/>
    </row>
    <row r="6763" spans="3:11" x14ac:dyDescent="0.2">
      <c r="C6763" s="19"/>
      <c r="D6763" s="19"/>
      <c r="E6763" s="19"/>
      <c r="F6763" s="20"/>
      <c r="G6763" s="19"/>
      <c r="H6763" s="19"/>
      <c r="I6763" s="19"/>
      <c r="J6763" s="21"/>
      <c r="K6763" s="19"/>
    </row>
    <row r="6764" spans="3:11" x14ac:dyDescent="0.2">
      <c r="C6764" s="19"/>
      <c r="D6764" s="19"/>
      <c r="E6764" s="19"/>
      <c r="F6764" s="20"/>
      <c r="G6764" s="19"/>
      <c r="H6764" s="19"/>
      <c r="I6764" s="19"/>
      <c r="J6764" s="21"/>
      <c r="K6764" s="19"/>
    </row>
    <row r="6765" spans="3:11" x14ac:dyDescent="0.2">
      <c r="C6765" s="19"/>
      <c r="D6765" s="19"/>
      <c r="E6765" s="19"/>
      <c r="F6765" s="20"/>
      <c r="G6765" s="19"/>
      <c r="H6765" s="19"/>
      <c r="I6765" s="19"/>
      <c r="J6765" s="21"/>
      <c r="K6765" s="19"/>
    </row>
    <row r="6766" spans="3:11" x14ac:dyDescent="0.2">
      <c r="C6766" s="19"/>
      <c r="D6766" s="19"/>
      <c r="E6766" s="19"/>
      <c r="F6766" s="20"/>
      <c r="G6766" s="19"/>
      <c r="H6766" s="19"/>
      <c r="I6766" s="19"/>
      <c r="J6766" s="21"/>
      <c r="K6766" s="19"/>
    </row>
    <row r="6767" spans="3:11" x14ac:dyDescent="0.2">
      <c r="C6767" s="19"/>
      <c r="D6767" s="19"/>
      <c r="E6767" s="19"/>
      <c r="F6767" s="20"/>
      <c r="G6767" s="19"/>
      <c r="H6767" s="19"/>
      <c r="I6767" s="19"/>
      <c r="J6767" s="21"/>
      <c r="K6767" s="19"/>
    </row>
    <row r="6768" spans="3:11" x14ac:dyDescent="0.2">
      <c r="C6768" s="19"/>
      <c r="D6768" s="19"/>
      <c r="E6768" s="19"/>
      <c r="F6768" s="20"/>
      <c r="G6768" s="19"/>
      <c r="H6768" s="19"/>
      <c r="I6768" s="19"/>
      <c r="J6768" s="21"/>
      <c r="K6768" s="19"/>
    </row>
    <row r="6769" spans="3:11" x14ac:dyDescent="0.2">
      <c r="C6769" s="19"/>
      <c r="D6769" s="19"/>
      <c r="E6769" s="19"/>
      <c r="F6769" s="20"/>
      <c r="G6769" s="19"/>
      <c r="H6769" s="19"/>
      <c r="I6769" s="19"/>
      <c r="J6769" s="21"/>
      <c r="K6769" s="19"/>
    </row>
    <row r="6770" spans="3:11" x14ac:dyDescent="0.2">
      <c r="C6770" s="19"/>
      <c r="D6770" s="19"/>
      <c r="E6770" s="19"/>
      <c r="F6770" s="20"/>
      <c r="G6770" s="19"/>
      <c r="H6770" s="19"/>
      <c r="I6770" s="19"/>
      <c r="J6770" s="21"/>
      <c r="K6770" s="19"/>
    </row>
    <row r="6771" spans="3:11" x14ac:dyDescent="0.2">
      <c r="C6771" s="19"/>
      <c r="D6771" s="19"/>
      <c r="E6771" s="19"/>
      <c r="F6771" s="20"/>
      <c r="G6771" s="19"/>
      <c r="H6771" s="19"/>
      <c r="I6771" s="19"/>
      <c r="J6771" s="21"/>
      <c r="K6771" s="19"/>
    </row>
    <row r="6772" spans="3:11" x14ac:dyDescent="0.2">
      <c r="C6772" s="19"/>
      <c r="D6772" s="19"/>
      <c r="E6772" s="19"/>
      <c r="F6772" s="20"/>
      <c r="G6772" s="19"/>
      <c r="H6772" s="19"/>
      <c r="I6772" s="19"/>
      <c r="J6772" s="21"/>
      <c r="K6772" s="19"/>
    </row>
    <row r="6773" spans="3:11" x14ac:dyDescent="0.2">
      <c r="C6773" s="19"/>
      <c r="D6773" s="19"/>
      <c r="E6773" s="19"/>
      <c r="F6773" s="20"/>
      <c r="G6773" s="19"/>
      <c r="H6773" s="19"/>
      <c r="I6773" s="19"/>
      <c r="J6773" s="21"/>
      <c r="K6773" s="19"/>
    </row>
    <row r="6774" spans="3:11" x14ac:dyDescent="0.2">
      <c r="C6774" s="19"/>
      <c r="D6774" s="19"/>
      <c r="E6774" s="19"/>
      <c r="F6774" s="20"/>
      <c r="G6774" s="19"/>
      <c r="H6774" s="19"/>
      <c r="I6774" s="19"/>
      <c r="J6774" s="21"/>
      <c r="K6774" s="19"/>
    </row>
    <row r="6775" spans="3:11" x14ac:dyDescent="0.2">
      <c r="C6775" s="19"/>
      <c r="D6775" s="19"/>
      <c r="E6775" s="19"/>
      <c r="F6775" s="20"/>
      <c r="G6775" s="19"/>
      <c r="H6775" s="19"/>
      <c r="I6775" s="19"/>
      <c r="J6775" s="21"/>
      <c r="K6775" s="19"/>
    </row>
    <row r="6776" spans="3:11" x14ac:dyDescent="0.2">
      <c r="C6776" s="19"/>
      <c r="D6776" s="19"/>
      <c r="E6776" s="19"/>
      <c r="F6776" s="20"/>
      <c r="G6776" s="19"/>
      <c r="H6776" s="19"/>
      <c r="I6776" s="19"/>
      <c r="J6776" s="21"/>
      <c r="K6776" s="19"/>
    </row>
    <row r="6777" spans="3:11" x14ac:dyDescent="0.2">
      <c r="C6777" s="19"/>
      <c r="D6777" s="19"/>
      <c r="E6777" s="19"/>
      <c r="F6777" s="20"/>
      <c r="G6777" s="19"/>
      <c r="H6777" s="19"/>
      <c r="I6777" s="19"/>
      <c r="J6777" s="21"/>
      <c r="K6777" s="19"/>
    </row>
    <row r="6778" spans="3:11" x14ac:dyDescent="0.2">
      <c r="C6778" s="19"/>
      <c r="D6778" s="19"/>
      <c r="E6778" s="19"/>
      <c r="F6778" s="20"/>
      <c r="G6778" s="19"/>
      <c r="H6778" s="19"/>
      <c r="I6778" s="19"/>
      <c r="J6778" s="19"/>
      <c r="K6778" s="19"/>
    </row>
    <row r="6779" spans="3:11" x14ac:dyDescent="0.2">
      <c r="C6779" s="19"/>
      <c r="D6779" s="19"/>
      <c r="E6779" s="19"/>
      <c r="F6779" s="20"/>
      <c r="G6779" s="19"/>
      <c r="H6779" s="19"/>
      <c r="I6779" s="19"/>
      <c r="J6779" s="19"/>
      <c r="K6779" s="19"/>
    </row>
    <row r="6780" spans="3:11" x14ac:dyDescent="0.2">
      <c r="C6780" s="19"/>
      <c r="D6780" s="19"/>
      <c r="E6780" s="19"/>
      <c r="F6780" s="20"/>
      <c r="G6780" s="19"/>
      <c r="H6780" s="19"/>
      <c r="I6780" s="19"/>
      <c r="J6780" s="21"/>
      <c r="K6780" s="19"/>
    </row>
    <row r="6781" spans="3:11" x14ac:dyDescent="0.2">
      <c r="C6781" s="19"/>
      <c r="D6781" s="19"/>
      <c r="E6781" s="19"/>
      <c r="F6781" s="20"/>
      <c r="G6781" s="19"/>
      <c r="H6781" s="19"/>
      <c r="I6781" s="19"/>
      <c r="J6781" s="21"/>
      <c r="K6781" s="19"/>
    </row>
    <row r="6782" spans="3:11" x14ac:dyDescent="0.2">
      <c r="C6782" s="19"/>
      <c r="D6782" s="19"/>
      <c r="E6782" s="19"/>
      <c r="F6782" s="20"/>
      <c r="G6782" s="19"/>
      <c r="H6782" s="19"/>
      <c r="I6782" s="19"/>
      <c r="J6782" s="21"/>
      <c r="K6782" s="19"/>
    </row>
    <row r="6783" spans="3:11" x14ac:dyDescent="0.2">
      <c r="C6783" s="19"/>
      <c r="D6783" s="19"/>
      <c r="E6783" s="19"/>
      <c r="F6783" s="20"/>
      <c r="G6783" s="19"/>
      <c r="H6783" s="19"/>
      <c r="I6783" s="19"/>
      <c r="J6783" s="21"/>
      <c r="K6783" s="19"/>
    </row>
    <row r="6784" spans="3:11" x14ac:dyDescent="0.2">
      <c r="C6784" s="19"/>
      <c r="D6784" s="19"/>
      <c r="E6784" s="19"/>
      <c r="F6784" s="20"/>
      <c r="G6784" s="19"/>
      <c r="H6784" s="19"/>
      <c r="I6784" s="19"/>
      <c r="J6784" s="21"/>
      <c r="K6784" s="19"/>
    </row>
    <row r="6785" spans="3:11" x14ac:dyDescent="0.2">
      <c r="C6785" s="19"/>
      <c r="D6785" s="19"/>
      <c r="E6785" s="19"/>
      <c r="F6785" s="20"/>
      <c r="G6785" s="19"/>
      <c r="H6785" s="19"/>
      <c r="I6785" s="19"/>
      <c r="J6785" s="21"/>
      <c r="K6785" s="19"/>
    </row>
    <row r="6786" spans="3:11" x14ac:dyDescent="0.2">
      <c r="C6786" s="19"/>
      <c r="D6786" s="19"/>
      <c r="E6786" s="19"/>
      <c r="F6786" s="20"/>
      <c r="G6786" s="19"/>
      <c r="H6786" s="19"/>
      <c r="I6786" s="19"/>
      <c r="J6786" s="21"/>
      <c r="K6786" s="19"/>
    </row>
    <row r="6787" spans="3:11" x14ac:dyDescent="0.2">
      <c r="C6787" s="19"/>
      <c r="D6787" s="19"/>
      <c r="E6787" s="19"/>
      <c r="F6787" s="20"/>
      <c r="G6787" s="19"/>
      <c r="H6787" s="19"/>
      <c r="I6787" s="19"/>
      <c r="J6787" s="21"/>
      <c r="K6787" s="19"/>
    </row>
    <row r="6788" spans="3:11" x14ac:dyDescent="0.2">
      <c r="C6788" s="19"/>
      <c r="D6788" s="19"/>
      <c r="E6788" s="19"/>
      <c r="F6788" s="20"/>
      <c r="G6788" s="19"/>
      <c r="H6788" s="19"/>
      <c r="I6788" s="19"/>
      <c r="J6788" s="21"/>
      <c r="K6788" s="19"/>
    </row>
    <row r="6789" spans="3:11" x14ac:dyDescent="0.2">
      <c r="C6789" s="19"/>
      <c r="D6789" s="19"/>
      <c r="E6789" s="19"/>
      <c r="F6789" s="20"/>
      <c r="G6789" s="19"/>
      <c r="H6789" s="19"/>
      <c r="I6789" s="19"/>
      <c r="J6789" s="21"/>
      <c r="K6789" s="19"/>
    </row>
    <row r="6790" spans="3:11" x14ac:dyDescent="0.2">
      <c r="C6790" s="19"/>
      <c r="D6790" s="19"/>
      <c r="E6790" s="19"/>
      <c r="F6790" s="20"/>
      <c r="G6790" s="19"/>
      <c r="H6790" s="19"/>
      <c r="I6790" s="19"/>
      <c r="J6790" s="21"/>
      <c r="K6790" s="19"/>
    </row>
    <row r="6791" spans="3:11" x14ac:dyDescent="0.2">
      <c r="C6791" s="19"/>
      <c r="D6791" s="19"/>
      <c r="E6791" s="19"/>
      <c r="F6791" s="20"/>
      <c r="G6791" s="19"/>
      <c r="H6791" s="19"/>
      <c r="I6791" s="19"/>
      <c r="J6791" s="21"/>
      <c r="K6791" s="19"/>
    </row>
    <row r="6792" spans="3:11" x14ac:dyDescent="0.2">
      <c r="C6792" s="19"/>
      <c r="D6792" s="19"/>
      <c r="E6792" s="19"/>
      <c r="F6792" s="20"/>
      <c r="G6792" s="19"/>
      <c r="H6792" s="19"/>
      <c r="I6792" s="19"/>
      <c r="J6792" s="21"/>
      <c r="K6792" s="19"/>
    </row>
    <row r="6793" spans="3:11" x14ac:dyDescent="0.2">
      <c r="C6793" s="19"/>
      <c r="D6793" s="19"/>
      <c r="E6793" s="19"/>
      <c r="F6793" s="20"/>
      <c r="G6793" s="19"/>
      <c r="H6793" s="19"/>
      <c r="I6793" s="19"/>
      <c r="J6793" s="21"/>
      <c r="K6793" s="19"/>
    </row>
    <row r="6794" spans="3:11" x14ac:dyDescent="0.2">
      <c r="C6794" s="19"/>
      <c r="D6794" s="19"/>
      <c r="E6794" s="19"/>
      <c r="F6794" s="20"/>
      <c r="G6794" s="19"/>
      <c r="H6794" s="19"/>
      <c r="I6794" s="19"/>
      <c r="J6794" s="19"/>
      <c r="K6794" s="19"/>
    </row>
    <row r="6795" spans="3:11" x14ac:dyDescent="0.2">
      <c r="C6795" s="19"/>
      <c r="D6795" s="19"/>
      <c r="E6795" s="19"/>
      <c r="F6795" s="20"/>
      <c r="G6795" s="19"/>
      <c r="H6795" s="19"/>
      <c r="I6795" s="19"/>
      <c r="J6795" s="19"/>
      <c r="K6795" s="19"/>
    </row>
    <row r="6796" spans="3:11" x14ac:dyDescent="0.2">
      <c r="C6796" s="19"/>
      <c r="D6796" s="19"/>
      <c r="E6796" s="19"/>
      <c r="F6796" s="20"/>
      <c r="G6796" s="19"/>
      <c r="H6796" s="19"/>
      <c r="I6796" s="19"/>
      <c r="J6796" s="19"/>
      <c r="K6796" s="19"/>
    </row>
    <row r="6797" spans="3:11" x14ac:dyDescent="0.2">
      <c r="C6797" s="19"/>
      <c r="D6797" s="19"/>
      <c r="E6797" s="19"/>
      <c r="F6797" s="20"/>
      <c r="G6797" s="19"/>
      <c r="H6797" s="19"/>
      <c r="I6797" s="19"/>
      <c r="J6797" s="19"/>
      <c r="K6797" s="19"/>
    </row>
    <row r="6798" spans="3:11" x14ac:dyDescent="0.2">
      <c r="C6798" s="19"/>
      <c r="D6798" s="19"/>
      <c r="E6798" s="19"/>
      <c r="F6798" s="20"/>
      <c r="G6798" s="19"/>
      <c r="H6798" s="19"/>
      <c r="I6798" s="19"/>
      <c r="J6798" s="19"/>
      <c r="K6798" s="19"/>
    </row>
    <row r="6799" spans="3:11" x14ac:dyDescent="0.2">
      <c r="C6799" s="19"/>
      <c r="D6799" s="19"/>
      <c r="E6799" s="19"/>
      <c r="F6799" s="20"/>
      <c r="G6799" s="19"/>
      <c r="H6799" s="19"/>
      <c r="I6799" s="19"/>
      <c r="J6799" s="19"/>
      <c r="K6799" s="19"/>
    </row>
    <row r="6800" spans="3:11" x14ac:dyDescent="0.2">
      <c r="C6800" s="19"/>
      <c r="D6800" s="19"/>
      <c r="E6800" s="19"/>
      <c r="F6800" s="20"/>
      <c r="G6800" s="19"/>
      <c r="H6800" s="19"/>
      <c r="I6800" s="19"/>
      <c r="J6800" s="19"/>
      <c r="K6800" s="19"/>
    </row>
    <row r="6801" spans="3:11" x14ac:dyDescent="0.2">
      <c r="C6801" s="19"/>
      <c r="D6801" s="19"/>
      <c r="E6801" s="19"/>
      <c r="F6801" s="20"/>
      <c r="G6801" s="19"/>
      <c r="H6801" s="19"/>
      <c r="I6801" s="19"/>
      <c r="J6801" s="19"/>
      <c r="K6801" s="19"/>
    </row>
    <row r="6802" spans="3:11" x14ac:dyDescent="0.2">
      <c r="C6802" s="19"/>
      <c r="D6802" s="19"/>
      <c r="E6802" s="19"/>
      <c r="F6802" s="20"/>
      <c r="G6802" s="19"/>
      <c r="H6802" s="19"/>
      <c r="I6802" s="19"/>
      <c r="J6802" s="19"/>
      <c r="K6802" s="19"/>
    </row>
    <row r="6803" spans="3:11" x14ac:dyDescent="0.2">
      <c r="C6803" s="19"/>
      <c r="D6803" s="19"/>
      <c r="E6803" s="19"/>
      <c r="F6803" s="20"/>
      <c r="G6803" s="19"/>
      <c r="H6803" s="19"/>
      <c r="I6803" s="19"/>
      <c r="J6803" s="21"/>
      <c r="K6803" s="19"/>
    </row>
    <row r="6804" spans="3:11" x14ac:dyDescent="0.2">
      <c r="C6804" s="19"/>
      <c r="D6804" s="19"/>
      <c r="E6804" s="19"/>
      <c r="F6804" s="20"/>
      <c r="G6804" s="19"/>
      <c r="H6804" s="19"/>
      <c r="I6804" s="19"/>
      <c r="J6804" s="21"/>
      <c r="K6804" s="19"/>
    </row>
    <row r="6805" spans="3:11" x14ac:dyDescent="0.2">
      <c r="C6805" s="19"/>
      <c r="D6805" s="19"/>
      <c r="E6805" s="19"/>
      <c r="F6805" s="20"/>
      <c r="G6805" s="19"/>
      <c r="H6805" s="19"/>
      <c r="I6805" s="19"/>
      <c r="J6805" s="21"/>
      <c r="K6805" s="19"/>
    </row>
    <row r="6806" spans="3:11" x14ac:dyDescent="0.2">
      <c r="C6806" s="19"/>
      <c r="D6806" s="19"/>
      <c r="E6806" s="19"/>
      <c r="F6806" s="20"/>
      <c r="G6806" s="19"/>
      <c r="H6806" s="19"/>
      <c r="I6806" s="19"/>
      <c r="J6806" s="19"/>
      <c r="K6806" s="19"/>
    </row>
    <row r="6807" spans="3:11" x14ac:dyDescent="0.2">
      <c r="C6807" s="19"/>
      <c r="D6807" s="19"/>
      <c r="E6807" s="19"/>
      <c r="F6807" s="20"/>
      <c r="G6807" s="19"/>
      <c r="H6807" s="19"/>
      <c r="I6807" s="19"/>
      <c r="J6807" s="19"/>
      <c r="K6807" s="19"/>
    </row>
    <row r="6808" spans="3:11" x14ac:dyDescent="0.2">
      <c r="C6808" s="19"/>
      <c r="D6808" s="19"/>
      <c r="E6808" s="19"/>
      <c r="F6808" s="20"/>
      <c r="G6808" s="19"/>
      <c r="H6808" s="19"/>
      <c r="I6808" s="19"/>
      <c r="J6808" s="19"/>
      <c r="K6808" s="19"/>
    </row>
    <row r="6809" spans="3:11" x14ac:dyDescent="0.2">
      <c r="C6809" s="19"/>
      <c r="D6809" s="19"/>
      <c r="E6809" s="19"/>
      <c r="F6809" s="20"/>
      <c r="G6809" s="19"/>
      <c r="H6809" s="19"/>
      <c r="I6809" s="19"/>
      <c r="J6809" s="19"/>
      <c r="K6809" s="19"/>
    </row>
    <row r="6810" spans="3:11" x14ac:dyDescent="0.2">
      <c r="C6810" s="19"/>
      <c r="D6810" s="19"/>
      <c r="E6810" s="19"/>
      <c r="F6810" s="20"/>
      <c r="G6810" s="19"/>
      <c r="H6810" s="19"/>
      <c r="I6810" s="19"/>
      <c r="J6810" s="19"/>
      <c r="K6810" s="19"/>
    </row>
    <row r="6811" spans="3:11" x14ac:dyDescent="0.2">
      <c r="C6811" s="19"/>
      <c r="D6811" s="19"/>
      <c r="E6811" s="19"/>
      <c r="F6811" s="20"/>
      <c r="G6811" s="19"/>
      <c r="H6811" s="19"/>
      <c r="I6811" s="19"/>
      <c r="J6811" s="19"/>
      <c r="K6811" s="19"/>
    </row>
    <row r="6812" spans="3:11" x14ac:dyDescent="0.2">
      <c r="C6812" s="19"/>
      <c r="D6812" s="19"/>
      <c r="E6812" s="19"/>
      <c r="F6812" s="20"/>
      <c r="G6812" s="19"/>
      <c r="H6812" s="19"/>
      <c r="I6812" s="19"/>
      <c r="J6812" s="21"/>
      <c r="K6812" s="19"/>
    </row>
    <row r="6813" spans="3:11" x14ac:dyDescent="0.2">
      <c r="C6813" s="19"/>
      <c r="D6813" s="19"/>
      <c r="E6813" s="19"/>
      <c r="F6813" s="20"/>
      <c r="G6813" s="19"/>
      <c r="H6813" s="19"/>
      <c r="I6813" s="19"/>
      <c r="J6813" s="19"/>
      <c r="K6813" s="19"/>
    </row>
    <row r="6814" spans="3:11" x14ac:dyDescent="0.2">
      <c r="C6814" s="19"/>
      <c r="D6814" s="19"/>
      <c r="E6814" s="19"/>
      <c r="F6814" s="20"/>
      <c r="G6814" s="19"/>
      <c r="H6814" s="19"/>
      <c r="I6814" s="19"/>
      <c r="J6814" s="19"/>
      <c r="K6814" s="19"/>
    </row>
    <row r="6815" spans="3:11" x14ac:dyDescent="0.2">
      <c r="C6815" s="19"/>
      <c r="D6815" s="19"/>
      <c r="E6815" s="19"/>
      <c r="F6815" s="20"/>
      <c r="G6815" s="19"/>
      <c r="H6815" s="19"/>
      <c r="I6815" s="19"/>
      <c r="J6815" s="19"/>
      <c r="K6815" s="19"/>
    </row>
    <row r="6816" spans="3:11" x14ac:dyDescent="0.2">
      <c r="C6816" s="19"/>
      <c r="D6816" s="19"/>
      <c r="E6816" s="19"/>
      <c r="F6816" s="20"/>
      <c r="G6816" s="19"/>
      <c r="H6816" s="19"/>
      <c r="I6816" s="19"/>
      <c r="J6816" s="19"/>
      <c r="K6816" s="19"/>
    </row>
    <row r="6817" spans="3:11" x14ac:dyDescent="0.2">
      <c r="C6817" s="19"/>
      <c r="D6817" s="19"/>
      <c r="E6817" s="19"/>
      <c r="F6817" s="20"/>
      <c r="G6817" s="19"/>
      <c r="H6817" s="19"/>
      <c r="I6817" s="19"/>
      <c r="J6817" s="21"/>
      <c r="K6817" s="19"/>
    </row>
    <row r="6818" spans="3:11" x14ac:dyDescent="0.2">
      <c r="C6818" s="19"/>
      <c r="D6818" s="19"/>
      <c r="E6818" s="19"/>
      <c r="F6818" s="20"/>
      <c r="G6818" s="19"/>
      <c r="H6818" s="19"/>
      <c r="I6818" s="19"/>
      <c r="J6818" s="21"/>
      <c r="K6818" s="19"/>
    </row>
    <row r="6819" spans="3:11" x14ac:dyDescent="0.2">
      <c r="C6819" s="19"/>
      <c r="D6819" s="19"/>
      <c r="E6819" s="19"/>
      <c r="F6819" s="20"/>
      <c r="G6819" s="19"/>
      <c r="H6819" s="19"/>
      <c r="I6819" s="19"/>
      <c r="J6819" s="21"/>
      <c r="K6819" s="19"/>
    </row>
    <row r="6820" spans="3:11" x14ac:dyDescent="0.2">
      <c r="C6820" s="19"/>
      <c r="D6820" s="19"/>
      <c r="E6820" s="19"/>
      <c r="F6820" s="20"/>
      <c r="G6820" s="19"/>
      <c r="H6820" s="19"/>
      <c r="I6820" s="19"/>
      <c r="J6820" s="19"/>
      <c r="K6820" s="19"/>
    </row>
    <row r="6821" spans="3:11" x14ac:dyDescent="0.2">
      <c r="C6821" s="19"/>
      <c r="D6821" s="19"/>
      <c r="E6821" s="19"/>
      <c r="F6821" s="20"/>
      <c r="G6821" s="19"/>
      <c r="H6821" s="19"/>
      <c r="I6821" s="19"/>
      <c r="J6821" s="19"/>
      <c r="K6821" s="19"/>
    </row>
    <row r="6822" spans="3:11" x14ac:dyDescent="0.2">
      <c r="C6822" s="19"/>
      <c r="D6822" s="19"/>
      <c r="E6822" s="19"/>
      <c r="F6822" s="20"/>
      <c r="G6822" s="19"/>
      <c r="H6822" s="19"/>
      <c r="I6822" s="19"/>
      <c r="J6822" s="19"/>
      <c r="K6822" s="19"/>
    </row>
    <row r="6823" spans="3:11" x14ac:dyDescent="0.2">
      <c r="C6823" s="19"/>
      <c r="D6823" s="19"/>
      <c r="E6823" s="19"/>
      <c r="F6823" s="20"/>
      <c r="G6823" s="19"/>
      <c r="H6823" s="19"/>
      <c r="I6823" s="19"/>
      <c r="J6823" s="19"/>
      <c r="K6823" s="19"/>
    </row>
    <row r="6824" spans="3:11" x14ac:dyDescent="0.2">
      <c r="C6824" s="19"/>
      <c r="D6824" s="19"/>
      <c r="E6824" s="19"/>
      <c r="F6824" s="20"/>
      <c r="G6824" s="19"/>
      <c r="H6824" s="19"/>
      <c r="I6824" s="19"/>
      <c r="J6824" s="19"/>
      <c r="K6824" s="19"/>
    </row>
    <row r="6825" spans="3:11" x14ac:dyDescent="0.2">
      <c r="C6825" s="19"/>
      <c r="D6825" s="19"/>
      <c r="E6825" s="19"/>
      <c r="F6825" s="20"/>
      <c r="G6825" s="19"/>
      <c r="H6825" s="19"/>
      <c r="I6825" s="19"/>
      <c r="J6825" s="19"/>
      <c r="K6825" s="19"/>
    </row>
    <row r="6826" spans="3:11" x14ac:dyDescent="0.2">
      <c r="C6826" s="19"/>
      <c r="D6826" s="19"/>
      <c r="E6826" s="19"/>
      <c r="F6826" s="20"/>
      <c r="G6826" s="19"/>
      <c r="H6826" s="19"/>
      <c r="I6826" s="19"/>
      <c r="J6826" s="19"/>
      <c r="K6826" s="19"/>
    </row>
    <row r="6827" spans="3:11" x14ac:dyDescent="0.2">
      <c r="C6827" s="19"/>
      <c r="D6827" s="19"/>
      <c r="E6827" s="19"/>
      <c r="F6827" s="20"/>
      <c r="G6827" s="19"/>
      <c r="H6827" s="19"/>
      <c r="I6827" s="19"/>
      <c r="J6827" s="19"/>
      <c r="K6827" s="19"/>
    </row>
    <row r="6828" spans="3:11" x14ac:dyDescent="0.2">
      <c r="C6828" s="19"/>
      <c r="D6828" s="19"/>
      <c r="E6828" s="19"/>
      <c r="F6828" s="20"/>
      <c r="G6828" s="19"/>
      <c r="H6828" s="19"/>
      <c r="I6828" s="19"/>
      <c r="J6828" s="19"/>
      <c r="K6828" s="19"/>
    </row>
    <row r="6829" spans="3:11" x14ac:dyDescent="0.2">
      <c r="C6829" s="19"/>
      <c r="D6829" s="19"/>
      <c r="E6829" s="19"/>
      <c r="F6829" s="20"/>
      <c r="G6829" s="19"/>
      <c r="H6829" s="19"/>
      <c r="I6829" s="19"/>
      <c r="J6829" s="19"/>
      <c r="K6829" s="19"/>
    </row>
    <row r="6830" spans="3:11" x14ac:dyDescent="0.2">
      <c r="C6830" s="19"/>
      <c r="D6830" s="19"/>
      <c r="E6830" s="19"/>
      <c r="F6830" s="20"/>
      <c r="G6830" s="19"/>
      <c r="H6830" s="19"/>
      <c r="I6830" s="19"/>
      <c r="J6830" s="19"/>
      <c r="K6830" s="19"/>
    </row>
    <row r="6831" spans="3:11" x14ac:dyDescent="0.2">
      <c r="C6831" s="19"/>
      <c r="D6831" s="19"/>
      <c r="E6831" s="19"/>
      <c r="F6831" s="20"/>
      <c r="G6831" s="19"/>
      <c r="H6831" s="19"/>
      <c r="I6831" s="19"/>
      <c r="J6831" s="19"/>
      <c r="K6831" s="19"/>
    </row>
    <row r="6832" spans="3:11" x14ac:dyDescent="0.2">
      <c r="C6832" s="19"/>
      <c r="D6832" s="19"/>
      <c r="E6832" s="19"/>
      <c r="F6832" s="20"/>
      <c r="G6832" s="19"/>
      <c r="H6832" s="19"/>
      <c r="I6832" s="19"/>
      <c r="J6832" s="19"/>
      <c r="K6832" s="19"/>
    </row>
    <row r="6833" spans="3:11" x14ac:dyDescent="0.2">
      <c r="C6833" s="19"/>
      <c r="D6833" s="19"/>
      <c r="E6833" s="19"/>
      <c r="F6833" s="20"/>
      <c r="G6833" s="19"/>
      <c r="H6833" s="19"/>
      <c r="I6833" s="19"/>
      <c r="J6833" s="19"/>
      <c r="K6833" s="19"/>
    </row>
    <row r="6834" spans="3:11" x14ac:dyDescent="0.2">
      <c r="C6834" s="19"/>
      <c r="D6834" s="19"/>
      <c r="E6834" s="19"/>
      <c r="F6834" s="20"/>
      <c r="G6834" s="19"/>
      <c r="H6834" s="19"/>
      <c r="I6834" s="19"/>
      <c r="J6834" s="19"/>
      <c r="K6834" s="19"/>
    </row>
    <row r="6835" spans="3:11" x14ac:dyDescent="0.2">
      <c r="C6835" s="19"/>
      <c r="D6835" s="19"/>
      <c r="E6835" s="19"/>
      <c r="F6835" s="20"/>
      <c r="G6835" s="19"/>
      <c r="H6835" s="19"/>
      <c r="I6835" s="19"/>
      <c r="J6835" s="19"/>
      <c r="K6835" s="19"/>
    </row>
    <row r="6836" spans="3:11" x14ac:dyDescent="0.2">
      <c r="C6836" s="19"/>
      <c r="D6836" s="19"/>
      <c r="E6836" s="19"/>
      <c r="F6836" s="20"/>
      <c r="G6836" s="19"/>
      <c r="H6836" s="19"/>
      <c r="I6836" s="19"/>
      <c r="J6836" s="19"/>
      <c r="K6836" s="19"/>
    </row>
    <row r="6837" spans="3:11" x14ac:dyDescent="0.2">
      <c r="C6837" s="19"/>
      <c r="D6837" s="19"/>
      <c r="E6837" s="19"/>
      <c r="F6837" s="20"/>
      <c r="G6837" s="19"/>
      <c r="H6837" s="19"/>
      <c r="I6837" s="19"/>
      <c r="J6837" s="19"/>
      <c r="K6837" s="19"/>
    </row>
    <row r="6838" spans="3:11" x14ac:dyDescent="0.2">
      <c r="C6838" s="19"/>
      <c r="D6838" s="19"/>
      <c r="E6838" s="19"/>
      <c r="F6838" s="20"/>
      <c r="G6838" s="19"/>
      <c r="H6838" s="19"/>
      <c r="I6838" s="19"/>
      <c r="J6838" s="19"/>
      <c r="K6838" s="19"/>
    </row>
    <row r="6839" spans="3:11" x14ac:dyDescent="0.2">
      <c r="C6839" s="19"/>
      <c r="D6839" s="19"/>
      <c r="E6839" s="19"/>
      <c r="F6839" s="20"/>
      <c r="G6839" s="19"/>
      <c r="H6839" s="19"/>
      <c r="I6839" s="19"/>
      <c r="J6839" s="19"/>
      <c r="K6839" s="19"/>
    </row>
    <row r="6840" spans="3:11" x14ac:dyDescent="0.2">
      <c r="C6840" s="19"/>
      <c r="D6840" s="19"/>
      <c r="E6840" s="19"/>
      <c r="F6840" s="20"/>
      <c r="G6840" s="19"/>
      <c r="H6840" s="19"/>
      <c r="I6840" s="19"/>
      <c r="J6840" s="19"/>
      <c r="K6840" s="19"/>
    </row>
    <row r="6841" spans="3:11" x14ac:dyDescent="0.2">
      <c r="C6841" s="19"/>
      <c r="D6841" s="19"/>
      <c r="E6841" s="19"/>
      <c r="F6841" s="20"/>
      <c r="G6841" s="19"/>
      <c r="H6841" s="19"/>
      <c r="I6841" s="19"/>
      <c r="J6841" s="19"/>
      <c r="K6841" s="19"/>
    </row>
    <row r="6842" spans="3:11" x14ac:dyDescent="0.2">
      <c r="C6842" s="19"/>
      <c r="D6842" s="19"/>
      <c r="E6842" s="19"/>
      <c r="F6842" s="20"/>
      <c r="G6842" s="19"/>
      <c r="H6842" s="19"/>
      <c r="I6842" s="19"/>
      <c r="J6842" s="19"/>
      <c r="K6842" s="19"/>
    </row>
    <row r="6843" spans="3:11" x14ac:dyDescent="0.2">
      <c r="C6843" s="19"/>
      <c r="D6843" s="19"/>
      <c r="E6843" s="19"/>
      <c r="F6843" s="20"/>
      <c r="G6843" s="19"/>
      <c r="H6843" s="19"/>
      <c r="I6843" s="19"/>
      <c r="J6843" s="19"/>
      <c r="K6843" s="19"/>
    </row>
    <row r="6844" spans="3:11" x14ac:dyDescent="0.2">
      <c r="C6844" s="19"/>
      <c r="D6844" s="19"/>
      <c r="E6844" s="19"/>
      <c r="F6844" s="20"/>
      <c r="G6844" s="19"/>
      <c r="H6844" s="19"/>
      <c r="I6844" s="19"/>
      <c r="J6844" s="19"/>
      <c r="K6844" s="19"/>
    </row>
    <row r="6845" spans="3:11" x14ac:dyDescent="0.2">
      <c r="C6845" s="19"/>
      <c r="D6845" s="19"/>
      <c r="E6845" s="19"/>
      <c r="F6845" s="20"/>
      <c r="G6845" s="19"/>
      <c r="H6845" s="19"/>
      <c r="I6845" s="19"/>
      <c r="J6845" s="19"/>
      <c r="K6845" s="19"/>
    </row>
    <row r="6846" spans="3:11" x14ac:dyDescent="0.2">
      <c r="C6846" s="19"/>
      <c r="D6846" s="19"/>
      <c r="E6846" s="19"/>
      <c r="F6846" s="20"/>
      <c r="G6846" s="19"/>
      <c r="H6846" s="19"/>
      <c r="I6846" s="19"/>
      <c r="J6846" s="19"/>
      <c r="K6846" s="19"/>
    </row>
    <row r="6847" spans="3:11" x14ac:dyDescent="0.2">
      <c r="C6847" s="19"/>
      <c r="D6847" s="19"/>
      <c r="E6847" s="19"/>
      <c r="F6847" s="20"/>
      <c r="G6847" s="19"/>
      <c r="H6847" s="19"/>
      <c r="I6847" s="19"/>
      <c r="J6847" s="19"/>
      <c r="K6847" s="19"/>
    </row>
    <row r="6848" spans="3:11" x14ac:dyDescent="0.2">
      <c r="C6848" s="19"/>
      <c r="D6848" s="19"/>
      <c r="E6848" s="19"/>
      <c r="F6848" s="20"/>
      <c r="G6848" s="19"/>
      <c r="H6848" s="19"/>
      <c r="I6848" s="19"/>
      <c r="J6848" s="19"/>
      <c r="K6848" s="19"/>
    </row>
    <row r="6849" spans="3:11" x14ac:dyDescent="0.2">
      <c r="C6849" s="19"/>
      <c r="D6849" s="19"/>
      <c r="E6849" s="19"/>
      <c r="F6849" s="20"/>
      <c r="G6849" s="19"/>
      <c r="H6849" s="19"/>
      <c r="I6849" s="19"/>
      <c r="J6849" s="19"/>
      <c r="K6849" s="19"/>
    </row>
    <row r="6850" spans="3:11" x14ac:dyDescent="0.2">
      <c r="C6850" s="19"/>
      <c r="D6850" s="19"/>
      <c r="E6850" s="19"/>
      <c r="F6850" s="20"/>
      <c r="G6850" s="19"/>
      <c r="H6850" s="19"/>
      <c r="I6850" s="19"/>
      <c r="J6850" s="19"/>
      <c r="K6850" s="19"/>
    </row>
    <row r="6851" spans="3:11" x14ac:dyDescent="0.2">
      <c r="C6851" s="19"/>
      <c r="D6851" s="19"/>
      <c r="E6851" s="19"/>
      <c r="F6851" s="20"/>
      <c r="G6851" s="19"/>
      <c r="H6851" s="19"/>
      <c r="I6851" s="19"/>
      <c r="J6851" s="19"/>
      <c r="K6851" s="19"/>
    </row>
    <row r="6852" spans="3:11" x14ac:dyDescent="0.2">
      <c r="C6852" s="19"/>
      <c r="D6852" s="19"/>
      <c r="E6852" s="19"/>
      <c r="F6852" s="20"/>
      <c r="G6852" s="19"/>
      <c r="H6852" s="19"/>
      <c r="I6852" s="19"/>
      <c r="J6852" s="19"/>
      <c r="K6852" s="19"/>
    </row>
    <row r="6853" spans="3:11" x14ac:dyDescent="0.2">
      <c r="C6853" s="19"/>
      <c r="D6853" s="19"/>
      <c r="E6853" s="19"/>
      <c r="F6853" s="20"/>
      <c r="G6853" s="19"/>
      <c r="H6853" s="19"/>
      <c r="I6853" s="19"/>
      <c r="J6853" s="19"/>
      <c r="K6853" s="19"/>
    </row>
    <row r="6854" spans="3:11" x14ac:dyDescent="0.2">
      <c r="C6854" s="19"/>
      <c r="D6854" s="19"/>
      <c r="E6854" s="19"/>
      <c r="F6854" s="20"/>
      <c r="G6854" s="19"/>
      <c r="H6854" s="19"/>
      <c r="I6854" s="19"/>
      <c r="J6854" s="19"/>
      <c r="K6854" s="19"/>
    </row>
    <row r="6855" spans="3:11" x14ac:dyDescent="0.2">
      <c r="C6855" s="19"/>
      <c r="D6855" s="19"/>
      <c r="E6855" s="19"/>
      <c r="F6855" s="20"/>
      <c r="G6855" s="19"/>
      <c r="H6855" s="19"/>
      <c r="I6855" s="19"/>
      <c r="J6855" s="19"/>
      <c r="K6855" s="19"/>
    </row>
    <row r="6856" spans="3:11" x14ac:dyDescent="0.2">
      <c r="C6856" s="19"/>
      <c r="D6856" s="19"/>
      <c r="E6856" s="19"/>
      <c r="F6856" s="20"/>
      <c r="G6856" s="19"/>
      <c r="H6856" s="19"/>
      <c r="I6856" s="19"/>
      <c r="J6856" s="19"/>
      <c r="K6856" s="19"/>
    </row>
    <row r="6857" spans="3:11" x14ac:dyDescent="0.2">
      <c r="C6857" s="19"/>
      <c r="D6857" s="19"/>
      <c r="E6857" s="19"/>
      <c r="F6857" s="20"/>
      <c r="G6857" s="19"/>
      <c r="H6857" s="19"/>
      <c r="I6857" s="19"/>
      <c r="J6857" s="19"/>
      <c r="K6857" s="19"/>
    </row>
    <row r="6858" spans="3:11" x14ac:dyDescent="0.2">
      <c r="C6858" s="19"/>
      <c r="D6858" s="19"/>
      <c r="E6858" s="19"/>
      <c r="F6858" s="20"/>
      <c r="G6858" s="19"/>
      <c r="H6858" s="19"/>
      <c r="I6858" s="19"/>
      <c r="J6858" s="19"/>
      <c r="K6858" s="19"/>
    </row>
    <row r="6859" spans="3:11" x14ac:dyDescent="0.2">
      <c r="C6859" s="19"/>
      <c r="D6859" s="19"/>
      <c r="E6859" s="19"/>
      <c r="F6859" s="20"/>
      <c r="G6859" s="19"/>
      <c r="H6859" s="19"/>
      <c r="I6859" s="19"/>
      <c r="J6859" s="19"/>
      <c r="K6859" s="19"/>
    </row>
    <row r="6860" spans="3:11" x14ac:dyDescent="0.2">
      <c r="C6860" s="19"/>
      <c r="D6860" s="19"/>
      <c r="E6860" s="19"/>
      <c r="F6860" s="20"/>
      <c r="G6860" s="19"/>
      <c r="H6860" s="19"/>
      <c r="I6860" s="19"/>
      <c r="J6860" s="19"/>
      <c r="K6860" s="19"/>
    </row>
    <row r="6861" spans="3:11" x14ac:dyDescent="0.2">
      <c r="C6861" s="19"/>
      <c r="D6861" s="19"/>
      <c r="E6861" s="19"/>
      <c r="F6861" s="20"/>
      <c r="G6861" s="19"/>
      <c r="H6861" s="19"/>
      <c r="I6861" s="19"/>
      <c r="J6861" s="21"/>
      <c r="K6861" s="19"/>
    </row>
    <row r="6862" spans="3:11" x14ac:dyDescent="0.2">
      <c r="C6862" s="19"/>
      <c r="D6862" s="19"/>
      <c r="E6862" s="19"/>
      <c r="F6862" s="20"/>
      <c r="G6862" s="19"/>
      <c r="H6862" s="19"/>
      <c r="I6862" s="19"/>
      <c r="J6862" s="21"/>
      <c r="K6862" s="19"/>
    </row>
    <row r="6863" spans="3:11" x14ac:dyDescent="0.2">
      <c r="C6863" s="19"/>
      <c r="D6863" s="19"/>
      <c r="E6863" s="19"/>
      <c r="F6863" s="20"/>
      <c r="G6863" s="19"/>
      <c r="H6863" s="19"/>
      <c r="I6863" s="19"/>
      <c r="J6863" s="21"/>
      <c r="K6863" s="19"/>
    </row>
    <row r="6864" spans="3:11" x14ac:dyDescent="0.2">
      <c r="C6864" s="19"/>
      <c r="D6864" s="19"/>
      <c r="E6864" s="19"/>
      <c r="F6864" s="20"/>
      <c r="G6864" s="19"/>
      <c r="H6864" s="19"/>
      <c r="I6864" s="19"/>
      <c r="J6864" s="19"/>
      <c r="K6864" s="19"/>
    </row>
    <row r="6865" spans="3:11" x14ac:dyDescent="0.2">
      <c r="C6865" s="19"/>
      <c r="D6865" s="19"/>
      <c r="E6865" s="19"/>
      <c r="F6865" s="20"/>
      <c r="G6865" s="19"/>
      <c r="H6865" s="19"/>
      <c r="I6865" s="19"/>
      <c r="J6865" s="19"/>
      <c r="K6865" s="19"/>
    </row>
    <row r="6866" spans="3:11" x14ac:dyDescent="0.2">
      <c r="C6866" s="19"/>
      <c r="D6866" s="19"/>
      <c r="E6866" s="19"/>
      <c r="F6866" s="20"/>
      <c r="G6866" s="19"/>
      <c r="H6866" s="19"/>
      <c r="I6866" s="19"/>
      <c r="J6866" s="19"/>
      <c r="K6866" s="19"/>
    </row>
    <row r="6867" spans="3:11" x14ac:dyDescent="0.2">
      <c r="C6867" s="19"/>
      <c r="D6867" s="19"/>
      <c r="E6867" s="19"/>
      <c r="F6867" s="20"/>
      <c r="G6867" s="19"/>
      <c r="H6867" s="19"/>
      <c r="I6867" s="19"/>
      <c r="J6867" s="21"/>
      <c r="K6867" s="19"/>
    </row>
    <row r="6868" spans="3:11" x14ac:dyDescent="0.2">
      <c r="C6868" s="19"/>
      <c r="D6868" s="19"/>
      <c r="E6868" s="19"/>
      <c r="F6868" s="20"/>
      <c r="G6868" s="19"/>
      <c r="H6868" s="19"/>
      <c r="I6868" s="19"/>
      <c r="J6868" s="19"/>
      <c r="K6868" s="19"/>
    </row>
    <row r="6869" spans="3:11" x14ac:dyDescent="0.2">
      <c r="C6869" s="19"/>
      <c r="D6869" s="19"/>
      <c r="E6869" s="19"/>
      <c r="F6869" s="20"/>
      <c r="G6869" s="19"/>
      <c r="H6869" s="19"/>
      <c r="I6869" s="19"/>
      <c r="J6869" s="21"/>
      <c r="K6869" s="19"/>
    </row>
    <row r="6870" spans="3:11" x14ac:dyDescent="0.2">
      <c r="C6870" s="19"/>
      <c r="D6870" s="19"/>
      <c r="E6870" s="19"/>
      <c r="F6870" s="20"/>
      <c r="G6870" s="19"/>
      <c r="H6870" s="19"/>
      <c r="I6870" s="19"/>
      <c r="J6870" s="19"/>
      <c r="K6870" s="19"/>
    </row>
    <row r="6871" spans="3:11" x14ac:dyDescent="0.2">
      <c r="C6871" s="19"/>
      <c r="D6871" s="19"/>
      <c r="E6871" s="19"/>
      <c r="F6871" s="20"/>
      <c r="G6871" s="19"/>
      <c r="H6871" s="19"/>
      <c r="I6871" s="19"/>
      <c r="J6871" s="21"/>
      <c r="K6871" s="19"/>
    </row>
    <row r="6872" spans="3:11" x14ac:dyDescent="0.2">
      <c r="C6872" s="19"/>
      <c r="D6872" s="19"/>
      <c r="E6872" s="19"/>
      <c r="F6872" s="20"/>
      <c r="G6872" s="19"/>
      <c r="H6872" s="19"/>
      <c r="I6872" s="19"/>
      <c r="J6872" s="21"/>
      <c r="K6872" s="19"/>
    </row>
    <row r="6873" spans="3:11" x14ac:dyDescent="0.2">
      <c r="C6873" s="19"/>
      <c r="D6873" s="19"/>
      <c r="E6873" s="19"/>
      <c r="F6873" s="20"/>
      <c r="G6873" s="19"/>
      <c r="H6873" s="19"/>
      <c r="I6873" s="19"/>
      <c r="J6873" s="21"/>
      <c r="K6873" s="19"/>
    </row>
    <row r="6874" spans="3:11" x14ac:dyDescent="0.2">
      <c r="C6874" s="19"/>
      <c r="D6874" s="19"/>
      <c r="E6874" s="19"/>
      <c r="F6874" s="20"/>
      <c r="G6874" s="19"/>
      <c r="H6874" s="19"/>
      <c r="I6874" s="19"/>
      <c r="J6874" s="21"/>
      <c r="K6874" s="19"/>
    </row>
    <row r="6875" spans="3:11" x14ac:dyDescent="0.2">
      <c r="C6875" s="19"/>
      <c r="D6875" s="19"/>
      <c r="E6875" s="19"/>
      <c r="F6875" s="20"/>
      <c r="G6875" s="19"/>
      <c r="H6875" s="19"/>
      <c r="I6875" s="19"/>
      <c r="J6875" s="21"/>
      <c r="K6875" s="19"/>
    </row>
    <row r="6876" spans="3:11" x14ac:dyDescent="0.2">
      <c r="C6876" s="19"/>
      <c r="D6876" s="19"/>
      <c r="E6876" s="19"/>
      <c r="F6876" s="20"/>
      <c r="G6876" s="19"/>
      <c r="H6876" s="19"/>
      <c r="I6876" s="19"/>
      <c r="J6876" s="21"/>
      <c r="K6876" s="19"/>
    </row>
    <row r="6877" spans="3:11" x14ac:dyDescent="0.2">
      <c r="C6877" s="19"/>
      <c r="D6877" s="19"/>
      <c r="E6877" s="19"/>
      <c r="F6877" s="20"/>
      <c r="G6877" s="19"/>
      <c r="H6877" s="19"/>
      <c r="I6877" s="19"/>
      <c r="J6877" s="21"/>
      <c r="K6877" s="19"/>
    </row>
    <row r="6878" spans="3:11" x14ac:dyDescent="0.2">
      <c r="C6878" s="19"/>
      <c r="D6878" s="19"/>
      <c r="E6878" s="19"/>
      <c r="F6878" s="20"/>
      <c r="G6878" s="19"/>
      <c r="H6878" s="19"/>
      <c r="I6878" s="19"/>
      <c r="J6878" s="21"/>
      <c r="K6878" s="19"/>
    </row>
    <row r="6879" spans="3:11" x14ac:dyDescent="0.2">
      <c r="C6879" s="19"/>
      <c r="D6879" s="19"/>
      <c r="E6879" s="19"/>
      <c r="F6879" s="20"/>
      <c r="G6879" s="19"/>
      <c r="H6879" s="19"/>
      <c r="I6879" s="19"/>
      <c r="J6879" s="21"/>
      <c r="K6879" s="19"/>
    </row>
    <row r="6880" spans="3:11" x14ac:dyDescent="0.2">
      <c r="C6880" s="19"/>
      <c r="D6880" s="19"/>
      <c r="E6880" s="19"/>
      <c r="F6880" s="20"/>
      <c r="G6880" s="19"/>
      <c r="H6880" s="19"/>
      <c r="I6880" s="19"/>
      <c r="J6880" s="21"/>
      <c r="K6880" s="19"/>
    </row>
    <row r="6881" spans="3:11" x14ac:dyDescent="0.2">
      <c r="C6881" s="19"/>
      <c r="D6881" s="19"/>
      <c r="E6881" s="19"/>
      <c r="F6881" s="20"/>
      <c r="G6881" s="19"/>
      <c r="H6881" s="19"/>
      <c r="I6881" s="19"/>
      <c r="J6881" s="21"/>
      <c r="K6881" s="19"/>
    </row>
    <row r="6882" spans="3:11" x14ac:dyDescent="0.2">
      <c r="C6882" s="19"/>
      <c r="D6882" s="19"/>
      <c r="E6882" s="19"/>
      <c r="F6882" s="20"/>
      <c r="G6882" s="19"/>
      <c r="H6882" s="19"/>
      <c r="I6882" s="19"/>
      <c r="J6882" s="21"/>
      <c r="K6882" s="19"/>
    </row>
    <row r="6883" spans="3:11" x14ac:dyDescent="0.2">
      <c r="C6883" s="19"/>
      <c r="D6883" s="19"/>
      <c r="E6883" s="19"/>
      <c r="F6883" s="20"/>
      <c r="G6883" s="19"/>
      <c r="H6883" s="19"/>
      <c r="I6883" s="19"/>
      <c r="J6883" s="21"/>
      <c r="K6883" s="19"/>
    </row>
    <row r="6884" spans="3:11" x14ac:dyDescent="0.2">
      <c r="C6884" s="19"/>
      <c r="D6884" s="19"/>
      <c r="E6884" s="19"/>
      <c r="F6884" s="20"/>
      <c r="G6884" s="19"/>
      <c r="H6884" s="19"/>
      <c r="I6884" s="19"/>
      <c r="J6884" s="21"/>
      <c r="K6884" s="19"/>
    </row>
    <row r="6885" spans="3:11" x14ac:dyDescent="0.2">
      <c r="C6885" s="19"/>
      <c r="D6885" s="19"/>
      <c r="E6885" s="19"/>
      <c r="F6885" s="20"/>
      <c r="G6885" s="19"/>
      <c r="H6885" s="19"/>
      <c r="I6885" s="19"/>
      <c r="J6885" s="21"/>
      <c r="K6885" s="19"/>
    </row>
    <row r="6886" spans="3:11" x14ac:dyDescent="0.2">
      <c r="C6886" s="19"/>
      <c r="D6886" s="19"/>
      <c r="E6886" s="19"/>
      <c r="F6886" s="20"/>
      <c r="G6886" s="19"/>
      <c r="H6886" s="19"/>
      <c r="I6886" s="19"/>
      <c r="J6886" s="21"/>
      <c r="K6886" s="19"/>
    </row>
    <row r="6887" spans="3:11" x14ac:dyDescent="0.2">
      <c r="C6887" s="19"/>
      <c r="D6887" s="19"/>
      <c r="E6887" s="19"/>
      <c r="F6887" s="20"/>
      <c r="G6887" s="19"/>
      <c r="H6887" s="19"/>
      <c r="I6887" s="19"/>
      <c r="J6887" s="19"/>
      <c r="K6887" s="19"/>
    </row>
    <row r="6888" spans="3:11" x14ac:dyDescent="0.2">
      <c r="C6888" s="19"/>
      <c r="D6888" s="19"/>
      <c r="E6888" s="19"/>
      <c r="F6888" s="20"/>
      <c r="G6888" s="19"/>
      <c r="H6888" s="19"/>
      <c r="I6888" s="19"/>
      <c r="J6888" s="19"/>
      <c r="K6888" s="19"/>
    </row>
    <row r="6889" spans="3:11" x14ac:dyDescent="0.2">
      <c r="C6889" s="19"/>
      <c r="D6889" s="19"/>
      <c r="E6889" s="19"/>
      <c r="F6889" s="20"/>
      <c r="G6889" s="19"/>
      <c r="H6889" s="19"/>
      <c r="I6889" s="19"/>
      <c r="J6889" s="19"/>
      <c r="K6889" s="19"/>
    </row>
    <row r="6890" spans="3:11" x14ac:dyDescent="0.2">
      <c r="C6890" s="19"/>
      <c r="D6890" s="19"/>
      <c r="E6890" s="19"/>
      <c r="F6890" s="20"/>
      <c r="G6890" s="19"/>
      <c r="H6890" s="19"/>
      <c r="I6890" s="19"/>
      <c r="J6890" s="19"/>
      <c r="K6890" s="19"/>
    </row>
    <row r="6891" spans="3:11" x14ac:dyDescent="0.2">
      <c r="C6891" s="19"/>
      <c r="D6891" s="19"/>
      <c r="E6891" s="19"/>
      <c r="F6891" s="20"/>
      <c r="G6891" s="19"/>
      <c r="H6891" s="19"/>
      <c r="I6891" s="19"/>
      <c r="J6891" s="19"/>
      <c r="K6891" s="19"/>
    </row>
    <row r="6892" spans="3:11" x14ac:dyDescent="0.2">
      <c r="C6892" s="19"/>
      <c r="D6892" s="19"/>
      <c r="E6892" s="19"/>
      <c r="F6892" s="20"/>
      <c r="G6892" s="19"/>
      <c r="H6892" s="19"/>
      <c r="I6892" s="19"/>
      <c r="J6892" s="19"/>
      <c r="K6892" s="19"/>
    </row>
    <row r="6893" spans="3:11" x14ac:dyDescent="0.2">
      <c r="C6893" s="19"/>
      <c r="D6893" s="19"/>
      <c r="E6893" s="19"/>
      <c r="F6893" s="20"/>
      <c r="G6893" s="19"/>
      <c r="H6893" s="19"/>
      <c r="I6893" s="19"/>
      <c r="J6893" s="21"/>
      <c r="K6893" s="19"/>
    </row>
    <row r="6894" spans="3:11" x14ac:dyDescent="0.2">
      <c r="C6894" s="19"/>
      <c r="D6894" s="19"/>
      <c r="E6894" s="19"/>
      <c r="F6894" s="20"/>
      <c r="G6894" s="19"/>
      <c r="H6894" s="19"/>
      <c r="I6894" s="19"/>
      <c r="J6894" s="21"/>
      <c r="K6894" s="19"/>
    </row>
    <row r="6895" spans="3:11" x14ac:dyDescent="0.2">
      <c r="C6895" s="19"/>
      <c r="D6895" s="19"/>
      <c r="E6895" s="19"/>
      <c r="F6895" s="20"/>
      <c r="G6895" s="19"/>
      <c r="H6895" s="19"/>
      <c r="I6895" s="19"/>
      <c r="J6895" s="21"/>
      <c r="K6895" s="19"/>
    </row>
    <row r="6896" spans="3:11" x14ac:dyDescent="0.2">
      <c r="C6896" s="19"/>
      <c r="D6896" s="19"/>
      <c r="E6896" s="19"/>
      <c r="F6896" s="20"/>
      <c r="G6896" s="19"/>
      <c r="H6896" s="19"/>
      <c r="I6896" s="19"/>
      <c r="J6896" s="21"/>
      <c r="K6896" s="19"/>
    </row>
    <row r="6897" spans="3:11" x14ac:dyDescent="0.2">
      <c r="C6897" s="19"/>
      <c r="D6897" s="19"/>
      <c r="E6897" s="19"/>
      <c r="F6897" s="20"/>
      <c r="G6897" s="19"/>
      <c r="H6897" s="19"/>
      <c r="I6897" s="19"/>
      <c r="J6897" s="21"/>
      <c r="K6897" s="19"/>
    </row>
    <row r="6898" spans="3:11" x14ac:dyDescent="0.2">
      <c r="C6898" s="19"/>
      <c r="D6898" s="19"/>
      <c r="E6898" s="19"/>
      <c r="F6898" s="20"/>
      <c r="G6898" s="19"/>
      <c r="H6898" s="19"/>
      <c r="I6898" s="19"/>
      <c r="J6898" s="19"/>
      <c r="K6898" s="19"/>
    </row>
    <row r="6899" spans="3:11" x14ac:dyDescent="0.2">
      <c r="C6899" s="19"/>
      <c r="D6899" s="19"/>
      <c r="E6899" s="19"/>
      <c r="F6899" s="20"/>
      <c r="G6899" s="19"/>
      <c r="H6899" s="19"/>
      <c r="I6899" s="19"/>
      <c r="J6899" s="21"/>
      <c r="K6899" s="19"/>
    </row>
    <row r="6900" spans="3:11" x14ac:dyDescent="0.2">
      <c r="C6900" s="19"/>
      <c r="D6900" s="19"/>
      <c r="E6900" s="19"/>
      <c r="F6900" s="20"/>
      <c r="G6900" s="19"/>
      <c r="H6900" s="19"/>
      <c r="I6900" s="19"/>
      <c r="J6900" s="19"/>
      <c r="K6900" s="19"/>
    </row>
    <row r="6901" spans="3:11" x14ac:dyDescent="0.2">
      <c r="C6901" s="19"/>
      <c r="D6901" s="19"/>
      <c r="E6901" s="19"/>
      <c r="F6901" s="20"/>
      <c r="G6901" s="19"/>
      <c r="H6901" s="19"/>
      <c r="I6901" s="19"/>
      <c r="J6901" s="19"/>
      <c r="K6901" s="19"/>
    </row>
    <row r="6902" spans="3:11" x14ac:dyDescent="0.2">
      <c r="C6902" s="19"/>
      <c r="D6902" s="19"/>
      <c r="E6902" s="19"/>
      <c r="F6902" s="20"/>
      <c r="G6902" s="19"/>
      <c r="H6902" s="19"/>
      <c r="I6902" s="19"/>
      <c r="J6902" s="19"/>
      <c r="K6902" s="19"/>
    </row>
    <row r="6903" spans="3:11" x14ac:dyDescent="0.2">
      <c r="C6903" s="19"/>
      <c r="D6903" s="19"/>
      <c r="E6903" s="19"/>
      <c r="F6903" s="20"/>
      <c r="G6903" s="19"/>
      <c r="H6903" s="19"/>
      <c r="I6903" s="19"/>
      <c r="J6903" s="19"/>
      <c r="K6903" s="19"/>
    </row>
    <row r="6904" spans="3:11" x14ac:dyDescent="0.2">
      <c r="C6904" s="19"/>
      <c r="D6904" s="19"/>
      <c r="E6904" s="19"/>
      <c r="F6904" s="20"/>
      <c r="G6904" s="19"/>
      <c r="H6904" s="19"/>
      <c r="I6904" s="19"/>
      <c r="J6904" s="19"/>
      <c r="K6904" s="19"/>
    </row>
    <row r="6905" spans="3:11" x14ac:dyDescent="0.2">
      <c r="C6905" s="19"/>
      <c r="D6905" s="19"/>
      <c r="E6905" s="19"/>
      <c r="F6905" s="20"/>
      <c r="G6905" s="19"/>
      <c r="H6905" s="19"/>
      <c r="I6905" s="19"/>
      <c r="J6905" s="19"/>
      <c r="K6905" s="19"/>
    </row>
    <row r="6906" spans="3:11" x14ac:dyDescent="0.2">
      <c r="C6906" s="19"/>
      <c r="D6906" s="19"/>
      <c r="E6906" s="19"/>
      <c r="F6906" s="20"/>
      <c r="G6906" s="19"/>
      <c r="H6906" s="19"/>
      <c r="I6906" s="19"/>
      <c r="J6906" s="19"/>
      <c r="K6906" s="19"/>
    </row>
    <row r="6907" spans="3:11" x14ac:dyDescent="0.2">
      <c r="C6907" s="19"/>
      <c r="D6907" s="19"/>
      <c r="E6907" s="19"/>
      <c r="F6907" s="20"/>
      <c r="G6907" s="19"/>
      <c r="H6907" s="19"/>
      <c r="I6907" s="19"/>
      <c r="J6907" s="19"/>
      <c r="K6907" s="19"/>
    </row>
    <row r="6908" spans="3:11" x14ac:dyDescent="0.2">
      <c r="C6908" s="19"/>
      <c r="D6908" s="19"/>
      <c r="E6908" s="19"/>
      <c r="F6908" s="20"/>
      <c r="G6908" s="19"/>
      <c r="H6908" s="19"/>
      <c r="I6908" s="19"/>
      <c r="J6908" s="19"/>
      <c r="K6908" s="19"/>
    </row>
    <row r="6909" spans="3:11" x14ac:dyDescent="0.2">
      <c r="C6909" s="19"/>
      <c r="D6909" s="19"/>
      <c r="E6909" s="19"/>
      <c r="F6909" s="20"/>
      <c r="G6909" s="19"/>
      <c r="H6909" s="19"/>
      <c r="I6909" s="19"/>
      <c r="J6909" s="19"/>
      <c r="K6909" s="19"/>
    </row>
    <row r="6910" spans="3:11" x14ac:dyDescent="0.2">
      <c r="C6910" s="19"/>
      <c r="D6910" s="19"/>
      <c r="E6910" s="19"/>
      <c r="F6910" s="20"/>
      <c r="G6910" s="19"/>
      <c r="H6910" s="19"/>
      <c r="I6910" s="19"/>
      <c r="J6910" s="19"/>
      <c r="K6910" s="19"/>
    </row>
    <row r="6911" spans="3:11" x14ac:dyDescent="0.2">
      <c r="C6911" s="19"/>
      <c r="D6911" s="19"/>
      <c r="E6911" s="19"/>
      <c r="F6911" s="20"/>
      <c r="G6911" s="19"/>
      <c r="H6911" s="19"/>
      <c r="I6911" s="19"/>
      <c r="J6911" s="19"/>
      <c r="K6911" s="19"/>
    </row>
    <row r="6912" spans="3:11" x14ac:dyDescent="0.2">
      <c r="C6912" s="19"/>
      <c r="D6912" s="19"/>
      <c r="E6912" s="19"/>
      <c r="F6912" s="20"/>
      <c r="G6912" s="19"/>
      <c r="H6912" s="19"/>
      <c r="I6912" s="19"/>
      <c r="J6912" s="19"/>
      <c r="K6912" s="19"/>
    </row>
    <row r="6913" spans="3:11" x14ac:dyDescent="0.2">
      <c r="C6913" s="19"/>
      <c r="D6913" s="19"/>
      <c r="E6913" s="19"/>
      <c r="F6913" s="20"/>
      <c r="G6913" s="19"/>
      <c r="H6913" s="19"/>
      <c r="I6913" s="19"/>
      <c r="J6913" s="21"/>
      <c r="K6913" s="19"/>
    </row>
    <row r="6914" spans="3:11" x14ac:dyDescent="0.2">
      <c r="C6914" s="19"/>
      <c r="D6914" s="19"/>
      <c r="E6914" s="19"/>
      <c r="F6914" s="20"/>
      <c r="G6914" s="19"/>
      <c r="H6914" s="19"/>
      <c r="I6914" s="19"/>
      <c r="J6914" s="19"/>
      <c r="K6914" s="19"/>
    </row>
    <row r="6915" spans="3:11" x14ac:dyDescent="0.2">
      <c r="C6915" s="19"/>
      <c r="D6915" s="19"/>
      <c r="E6915" s="19"/>
      <c r="F6915" s="20"/>
      <c r="G6915" s="19"/>
      <c r="H6915" s="19"/>
      <c r="I6915" s="19"/>
      <c r="J6915" s="19"/>
      <c r="K6915" s="19"/>
    </row>
    <row r="6916" spans="3:11" x14ac:dyDescent="0.2">
      <c r="C6916" s="19"/>
      <c r="D6916" s="19"/>
      <c r="E6916" s="19"/>
      <c r="F6916" s="20"/>
      <c r="G6916" s="19"/>
      <c r="H6916" s="19"/>
      <c r="I6916" s="19"/>
      <c r="J6916" s="19"/>
      <c r="K6916" s="19"/>
    </row>
    <row r="6917" spans="3:11" x14ac:dyDescent="0.2">
      <c r="C6917" s="19"/>
      <c r="D6917" s="19"/>
      <c r="E6917" s="19"/>
      <c r="F6917" s="20"/>
      <c r="G6917" s="19"/>
      <c r="H6917" s="19"/>
      <c r="I6917" s="19"/>
      <c r="J6917" s="19"/>
      <c r="K6917" s="19"/>
    </row>
    <row r="6918" spans="3:11" x14ac:dyDescent="0.2">
      <c r="C6918" s="19"/>
      <c r="D6918" s="19"/>
      <c r="E6918" s="19"/>
      <c r="F6918" s="20"/>
      <c r="G6918" s="19"/>
      <c r="H6918" s="19"/>
      <c r="I6918" s="19"/>
      <c r="J6918" s="19"/>
      <c r="K6918" s="19"/>
    </row>
    <row r="6919" spans="3:11" x14ac:dyDescent="0.2">
      <c r="C6919" s="19"/>
      <c r="D6919" s="19"/>
      <c r="E6919" s="19"/>
      <c r="F6919" s="20"/>
      <c r="G6919" s="19"/>
      <c r="H6919" s="19"/>
      <c r="I6919" s="19"/>
      <c r="J6919" s="19"/>
      <c r="K6919" s="19"/>
    </row>
    <row r="6920" spans="3:11" x14ac:dyDescent="0.2">
      <c r="C6920" s="19"/>
      <c r="D6920" s="19"/>
      <c r="E6920" s="19"/>
      <c r="F6920" s="20"/>
      <c r="G6920" s="19"/>
      <c r="H6920" s="19"/>
      <c r="I6920" s="19"/>
      <c r="J6920" s="19"/>
      <c r="K6920" s="19"/>
    </row>
    <row r="6921" spans="3:11" x14ac:dyDescent="0.2">
      <c r="C6921" s="19"/>
      <c r="D6921" s="19"/>
      <c r="E6921" s="19"/>
      <c r="F6921" s="20"/>
      <c r="G6921" s="19"/>
      <c r="H6921" s="19"/>
      <c r="I6921" s="19"/>
      <c r="J6921" s="19"/>
      <c r="K6921" s="19"/>
    </row>
    <row r="6922" spans="3:11" x14ac:dyDescent="0.2">
      <c r="C6922" s="19"/>
      <c r="D6922" s="19"/>
      <c r="E6922" s="19"/>
      <c r="F6922" s="20"/>
      <c r="G6922" s="19"/>
      <c r="H6922" s="19"/>
      <c r="I6922" s="19"/>
      <c r="J6922" s="19"/>
      <c r="K6922" s="19"/>
    </row>
    <row r="6923" spans="3:11" x14ac:dyDescent="0.2">
      <c r="C6923" s="19"/>
      <c r="D6923" s="19"/>
      <c r="E6923" s="19"/>
      <c r="F6923" s="20"/>
      <c r="G6923" s="19"/>
      <c r="H6923" s="19"/>
      <c r="I6923" s="19"/>
      <c r="J6923" s="19"/>
      <c r="K6923" s="19"/>
    </row>
    <row r="6924" spans="3:11" x14ac:dyDescent="0.2">
      <c r="C6924" s="19"/>
      <c r="D6924" s="19"/>
      <c r="E6924" s="19"/>
      <c r="F6924" s="20"/>
      <c r="G6924" s="19"/>
      <c r="H6924" s="19"/>
      <c r="I6924" s="19"/>
      <c r="J6924" s="19"/>
      <c r="K6924" s="19"/>
    </row>
    <row r="6925" spans="3:11" x14ac:dyDescent="0.2">
      <c r="C6925" s="19"/>
      <c r="D6925" s="19"/>
      <c r="E6925" s="19"/>
      <c r="F6925" s="20"/>
      <c r="G6925" s="19"/>
      <c r="H6925" s="19"/>
      <c r="I6925" s="19"/>
      <c r="J6925" s="19"/>
      <c r="K6925" s="19"/>
    </row>
    <row r="6926" spans="3:11" x14ac:dyDescent="0.2">
      <c r="C6926" s="19"/>
      <c r="D6926" s="19"/>
      <c r="E6926" s="19"/>
      <c r="F6926" s="20"/>
      <c r="G6926" s="19"/>
      <c r="H6926" s="19"/>
      <c r="I6926" s="19"/>
      <c r="J6926" s="21"/>
      <c r="K6926" s="19"/>
    </row>
    <row r="6927" spans="3:11" x14ac:dyDescent="0.2">
      <c r="C6927" s="19"/>
      <c r="D6927" s="19"/>
      <c r="E6927" s="19"/>
      <c r="F6927" s="20"/>
      <c r="G6927" s="19"/>
      <c r="H6927" s="19"/>
      <c r="I6927" s="19"/>
      <c r="J6927" s="21"/>
      <c r="K6927" s="19"/>
    </row>
    <row r="6928" spans="3:11" x14ac:dyDescent="0.2">
      <c r="C6928" s="19"/>
      <c r="D6928" s="19"/>
      <c r="E6928" s="19"/>
      <c r="F6928" s="20"/>
      <c r="G6928" s="19"/>
      <c r="H6928" s="19"/>
      <c r="I6928" s="19"/>
      <c r="J6928" s="19"/>
      <c r="K6928" s="19"/>
    </row>
    <row r="6929" spans="3:11" x14ac:dyDescent="0.2">
      <c r="C6929" s="19"/>
      <c r="D6929" s="19"/>
      <c r="E6929" s="19"/>
      <c r="F6929" s="20"/>
      <c r="G6929" s="19"/>
      <c r="H6929" s="19"/>
      <c r="I6929" s="19"/>
      <c r="J6929" s="21"/>
      <c r="K6929" s="19"/>
    </row>
    <row r="6930" spans="3:11" x14ac:dyDescent="0.2">
      <c r="C6930" s="19"/>
      <c r="D6930" s="19"/>
      <c r="E6930" s="19"/>
      <c r="F6930" s="20"/>
      <c r="G6930" s="19"/>
      <c r="H6930" s="19"/>
      <c r="I6930" s="19"/>
      <c r="J6930" s="19"/>
      <c r="K6930" s="19"/>
    </row>
    <row r="6931" spans="3:11" x14ac:dyDescent="0.2">
      <c r="C6931" s="19"/>
      <c r="D6931" s="19"/>
      <c r="E6931" s="19"/>
      <c r="F6931" s="20"/>
      <c r="G6931" s="19"/>
      <c r="H6931" s="19"/>
      <c r="I6931" s="19"/>
      <c r="J6931" s="21"/>
      <c r="K6931" s="19"/>
    </row>
    <row r="6932" spans="3:11" x14ac:dyDescent="0.2">
      <c r="C6932" s="19"/>
      <c r="D6932" s="19"/>
      <c r="E6932" s="19"/>
      <c r="F6932" s="20"/>
      <c r="G6932" s="19"/>
      <c r="H6932" s="19"/>
      <c r="I6932" s="19"/>
      <c r="J6932" s="21"/>
      <c r="K6932" s="19"/>
    </row>
    <row r="6933" spans="3:11" x14ac:dyDescent="0.2">
      <c r="C6933" s="19"/>
      <c r="D6933" s="19"/>
      <c r="E6933" s="19"/>
      <c r="F6933" s="20"/>
      <c r="G6933" s="19"/>
      <c r="H6933" s="19"/>
      <c r="I6933" s="19"/>
      <c r="J6933" s="19"/>
      <c r="K6933" s="19"/>
    </row>
    <row r="6934" spans="3:11" x14ac:dyDescent="0.2">
      <c r="C6934" s="19"/>
      <c r="D6934" s="19"/>
      <c r="E6934" s="19"/>
      <c r="F6934" s="20"/>
      <c r="G6934" s="19"/>
      <c r="H6934" s="19"/>
      <c r="I6934" s="19"/>
      <c r="J6934" s="19"/>
      <c r="K6934" s="19"/>
    </row>
    <row r="6935" spans="3:11" x14ac:dyDescent="0.2">
      <c r="C6935" s="19"/>
      <c r="D6935" s="19"/>
      <c r="E6935" s="19"/>
      <c r="F6935" s="20"/>
      <c r="G6935" s="19"/>
      <c r="H6935" s="19"/>
      <c r="I6935" s="19"/>
      <c r="J6935" s="19"/>
      <c r="K6935" s="19"/>
    </row>
    <row r="6936" spans="3:11" x14ac:dyDescent="0.2">
      <c r="C6936" s="19"/>
      <c r="D6936" s="19"/>
      <c r="E6936" s="19"/>
      <c r="F6936" s="20"/>
      <c r="G6936" s="19"/>
      <c r="H6936" s="19"/>
      <c r="I6936" s="19"/>
      <c r="J6936" s="19"/>
      <c r="K6936" s="19"/>
    </row>
    <row r="6937" spans="3:11" x14ac:dyDescent="0.2">
      <c r="C6937" s="19"/>
      <c r="D6937" s="19"/>
      <c r="E6937" s="19"/>
      <c r="F6937" s="20"/>
      <c r="G6937" s="19"/>
      <c r="H6937" s="19"/>
      <c r="I6937" s="19"/>
      <c r="J6937" s="19"/>
      <c r="K6937" s="19"/>
    </row>
    <row r="6938" spans="3:11" x14ac:dyDescent="0.2">
      <c r="C6938" s="19"/>
      <c r="D6938" s="19"/>
      <c r="E6938" s="19"/>
      <c r="F6938" s="20"/>
      <c r="G6938" s="19"/>
      <c r="H6938" s="19"/>
      <c r="I6938" s="19"/>
      <c r="J6938" s="19"/>
      <c r="K6938" s="19"/>
    </row>
    <row r="6939" spans="3:11" x14ac:dyDescent="0.2">
      <c r="C6939" s="19"/>
      <c r="D6939" s="19"/>
      <c r="E6939" s="19"/>
      <c r="F6939" s="20"/>
      <c r="G6939" s="19"/>
      <c r="H6939" s="19"/>
      <c r="I6939" s="19"/>
      <c r="J6939" s="19"/>
      <c r="K6939" s="19"/>
    </row>
    <row r="6940" spans="3:11" x14ac:dyDescent="0.2">
      <c r="C6940" s="19"/>
      <c r="D6940" s="19"/>
      <c r="E6940" s="19"/>
      <c r="F6940" s="20"/>
      <c r="G6940" s="19"/>
      <c r="H6940" s="19"/>
      <c r="I6940" s="19"/>
      <c r="J6940" s="19"/>
      <c r="K6940" s="19"/>
    </row>
    <row r="6941" spans="3:11" x14ac:dyDescent="0.2">
      <c r="C6941" s="19"/>
      <c r="D6941" s="19"/>
      <c r="E6941" s="19"/>
      <c r="F6941" s="20"/>
      <c r="G6941" s="19"/>
      <c r="H6941" s="19"/>
      <c r="I6941" s="19"/>
      <c r="J6941" s="19"/>
      <c r="K6941" s="19"/>
    </row>
    <row r="6942" spans="3:11" x14ac:dyDescent="0.2">
      <c r="C6942" s="19"/>
      <c r="D6942" s="19"/>
      <c r="E6942" s="19"/>
      <c r="F6942" s="20"/>
      <c r="G6942" s="19"/>
      <c r="H6942" s="19"/>
      <c r="I6942" s="19"/>
      <c r="J6942" s="19"/>
      <c r="K6942" s="19"/>
    </row>
    <row r="6943" spans="3:11" x14ac:dyDescent="0.2">
      <c r="C6943" s="19"/>
      <c r="D6943" s="19"/>
      <c r="E6943" s="19"/>
      <c r="F6943" s="20"/>
      <c r="G6943" s="19"/>
      <c r="H6943" s="19"/>
      <c r="I6943" s="19"/>
      <c r="J6943" s="21"/>
      <c r="K6943" s="19"/>
    </row>
    <row r="6944" spans="3:11" x14ac:dyDescent="0.2">
      <c r="C6944" s="19"/>
      <c r="D6944" s="19"/>
      <c r="E6944" s="19"/>
      <c r="F6944" s="20"/>
      <c r="G6944" s="19"/>
      <c r="H6944" s="19"/>
      <c r="I6944" s="19"/>
      <c r="J6944" s="19"/>
      <c r="K6944" s="19"/>
    </row>
    <row r="6945" spans="3:11" x14ac:dyDescent="0.2">
      <c r="C6945" s="19"/>
      <c r="D6945" s="19"/>
      <c r="E6945" s="19"/>
      <c r="F6945" s="20"/>
      <c r="G6945" s="19"/>
      <c r="H6945" s="19"/>
      <c r="I6945" s="19"/>
      <c r="J6945" s="19"/>
      <c r="K6945" s="19"/>
    </row>
    <row r="6946" spans="3:11" x14ac:dyDescent="0.2">
      <c r="C6946" s="19"/>
      <c r="D6946" s="19"/>
      <c r="E6946" s="19"/>
      <c r="F6946" s="20"/>
      <c r="G6946" s="19"/>
      <c r="H6946" s="19"/>
      <c r="I6946" s="19"/>
      <c r="J6946" s="19"/>
      <c r="K6946" s="19"/>
    </row>
    <row r="6947" spans="3:11" x14ac:dyDescent="0.2">
      <c r="C6947" s="19"/>
      <c r="D6947" s="19"/>
      <c r="E6947" s="19"/>
      <c r="F6947" s="20"/>
      <c r="G6947" s="19"/>
      <c r="H6947" s="19"/>
      <c r="I6947" s="19"/>
      <c r="J6947" s="21"/>
      <c r="K6947" s="19"/>
    </row>
    <row r="6948" spans="3:11" x14ac:dyDescent="0.2">
      <c r="C6948" s="19"/>
      <c r="D6948" s="19"/>
      <c r="E6948" s="19"/>
      <c r="F6948" s="20"/>
      <c r="G6948" s="19"/>
      <c r="H6948" s="19"/>
      <c r="I6948" s="19"/>
      <c r="J6948" s="19"/>
      <c r="K6948" s="19"/>
    </row>
    <row r="6949" spans="3:11" x14ac:dyDescent="0.2">
      <c r="C6949" s="19"/>
      <c r="D6949" s="19"/>
      <c r="E6949" s="19"/>
      <c r="F6949" s="20"/>
      <c r="G6949" s="19"/>
      <c r="H6949" s="19"/>
      <c r="I6949" s="19"/>
      <c r="J6949" s="19"/>
      <c r="K6949" s="19"/>
    </row>
    <row r="6950" spans="3:11" x14ac:dyDescent="0.2">
      <c r="C6950" s="19"/>
      <c r="D6950" s="19"/>
      <c r="E6950" s="19"/>
      <c r="F6950" s="20"/>
      <c r="G6950" s="19"/>
      <c r="H6950" s="19"/>
      <c r="I6950" s="19"/>
      <c r="J6950" s="19"/>
      <c r="K6950" s="19"/>
    </row>
    <row r="6951" spans="3:11" x14ac:dyDescent="0.2">
      <c r="C6951" s="19"/>
      <c r="D6951" s="19"/>
      <c r="E6951" s="19"/>
      <c r="F6951" s="20"/>
      <c r="G6951" s="19"/>
      <c r="H6951" s="19"/>
      <c r="I6951" s="19"/>
      <c r="J6951" s="19"/>
      <c r="K6951" s="19"/>
    </row>
    <row r="6952" spans="3:11" x14ac:dyDescent="0.2">
      <c r="C6952" s="19"/>
      <c r="D6952" s="19"/>
      <c r="E6952" s="19"/>
      <c r="F6952" s="20"/>
      <c r="G6952" s="19"/>
      <c r="H6952" s="19"/>
      <c r="I6952" s="19"/>
      <c r="J6952" s="19"/>
      <c r="K6952" s="19"/>
    </row>
    <row r="6953" spans="3:11" x14ac:dyDescent="0.2">
      <c r="C6953" s="19"/>
      <c r="D6953" s="19"/>
      <c r="E6953" s="19"/>
      <c r="F6953" s="20"/>
      <c r="G6953" s="19"/>
      <c r="H6953" s="19"/>
      <c r="I6953" s="19"/>
      <c r="J6953" s="19"/>
      <c r="K6953" s="19"/>
    </row>
    <row r="6954" spans="3:11" x14ac:dyDescent="0.2">
      <c r="C6954" s="19"/>
      <c r="D6954" s="19"/>
      <c r="E6954" s="19"/>
      <c r="F6954" s="20"/>
      <c r="G6954" s="19"/>
      <c r="H6954" s="19"/>
      <c r="I6954" s="19"/>
      <c r="J6954" s="21"/>
      <c r="K6954" s="19"/>
    </row>
    <row r="6955" spans="3:11" x14ac:dyDescent="0.2">
      <c r="C6955" s="19"/>
      <c r="D6955" s="19"/>
      <c r="E6955" s="19"/>
      <c r="F6955" s="20"/>
      <c r="G6955" s="19"/>
      <c r="H6955" s="19"/>
      <c r="I6955" s="19"/>
      <c r="J6955" s="21"/>
      <c r="K6955" s="19"/>
    </row>
    <row r="6956" spans="3:11" x14ac:dyDescent="0.2">
      <c r="C6956" s="19"/>
      <c r="D6956" s="19"/>
      <c r="E6956" s="19"/>
      <c r="F6956" s="20"/>
      <c r="G6956" s="19"/>
      <c r="H6956" s="19"/>
      <c r="I6956" s="19"/>
      <c r="J6956" s="21"/>
      <c r="K6956" s="19"/>
    </row>
    <row r="6957" spans="3:11" x14ac:dyDescent="0.2">
      <c r="C6957" s="19"/>
      <c r="D6957" s="19"/>
      <c r="E6957" s="19"/>
      <c r="F6957" s="20"/>
      <c r="G6957" s="19"/>
      <c r="H6957" s="19"/>
      <c r="I6957" s="19"/>
      <c r="J6957" s="21"/>
      <c r="K6957" s="19"/>
    </row>
    <row r="6958" spans="3:11" x14ac:dyDescent="0.2">
      <c r="C6958" s="19"/>
      <c r="D6958" s="19"/>
      <c r="E6958" s="19"/>
      <c r="F6958" s="20"/>
      <c r="G6958" s="19"/>
      <c r="H6958" s="19"/>
      <c r="I6958" s="19"/>
      <c r="J6958" s="21"/>
      <c r="K6958" s="19"/>
    </row>
    <row r="6959" spans="3:11" x14ac:dyDescent="0.2">
      <c r="C6959" s="19"/>
      <c r="D6959" s="19"/>
      <c r="E6959" s="19"/>
      <c r="F6959" s="20"/>
      <c r="G6959" s="19"/>
      <c r="H6959" s="19"/>
      <c r="I6959" s="19"/>
      <c r="J6959" s="21"/>
      <c r="K6959" s="19"/>
    </row>
    <row r="6960" spans="3:11" x14ac:dyDescent="0.2">
      <c r="C6960" s="19"/>
      <c r="D6960" s="19"/>
      <c r="E6960" s="19"/>
      <c r="F6960" s="20"/>
      <c r="G6960" s="19"/>
      <c r="H6960" s="19"/>
      <c r="I6960" s="19"/>
      <c r="J6960" s="21"/>
      <c r="K6960" s="19"/>
    </row>
    <row r="6961" spans="3:11" x14ac:dyDescent="0.2">
      <c r="C6961" s="19"/>
      <c r="D6961" s="19"/>
      <c r="E6961" s="19"/>
      <c r="F6961" s="20"/>
      <c r="G6961" s="19"/>
      <c r="H6961" s="19"/>
      <c r="I6961" s="19"/>
      <c r="J6961" s="19"/>
      <c r="K6961" s="19"/>
    </row>
    <row r="6962" spans="3:11" x14ac:dyDescent="0.2">
      <c r="C6962" s="19"/>
      <c r="D6962" s="19"/>
      <c r="E6962" s="19"/>
      <c r="F6962" s="20"/>
      <c r="G6962" s="19"/>
      <c r="H6962" s="19"/>
      <c r="I6962" s="19"/>
      <c r="J6962" s="19"/>
      <c r="K6962" s="19"/>
    </row>
    <row r="6963" spans="3:11" x14ac:dyDescent="0.2">
      <c r="C6963" s="19"/>
      <c r="D6963" s="19"/>
      <c r="E6963" s="19"/>
      <c r="F6963" s="20"/>
      <c r="G6963" s="19"/>
      <c r="H6963" s="19"/>
      <c r="I6963" s="19"/>
      <c r="J6963" s="19"/>
      <c r="K6963" s="19"/>
    </row>
    <row r="6964" spans="3:11" x14ac:dyDescent="0.2">
      <c r="C6964" s="19"/>
      <c r="D6964" s="19"/>
      <c r="E6964" s="19"/>
      <c r="F6964" s="20"/>
      <c r="G6964" s="19"/>
      <c r="H6964" s="19"/>
      <c r="I6964" s="19"/>
      <c r="J6964" s="21"/>
      <c r="K6964" s="19"/>
    </row>
    <row r="6965" spans="3:11" x14ac:dyDescent="0.2">
      <c r="C6965" s="19"/>
      <c r="D6965" s="19"/>
      <c r="E6965" s="19"/>
      <c r="F6965" s="20"/>
      <c r="G6965" s="19"/>
      <c r="H6965" s="19"/>
      <c r="I6965" s="19"/>
      <c r="J6965" s="21"/>
      <c r="K6965" s="19"/>
    </row>
    <row r="6966" spans="3:11" x14ac:dyDescent="0.2">
      <c r="C6966" s="19"/>
      <c r="D6966" s="19"/>
      <c r="E6966" s="19"/>
      <c r="F6966" s="20"/>
      <c r="G6966" s="19"/>
      <c r="H6966" s="19"/>
      <c r="I6966" s="19"/>
      <c r="J6966" s="21"/>
      <c r="K6966" s="19"/>
    </row>
    <row r="6967" spans="3:11" x14ac:dyDescent="0.2">
      <c r="C6967" s="19"/>
      <c r="D6967" s="19"/>
      <c r="E6967" s="19"/>
      <c r="F6967" s="20"/>
      <c r="G6967" s="19"/>
      <c r="H6967" s="19"/>
      <c r="I6967" s="19"/>
      <c r="J6967" s="21"/>
      <c r="K6967" s="19"/>
    </row>
    <row r="6968" spans="3:11" x14ac:dyDescent="0.2">
      <c r="C6968" s="19"/>
      <c r="D6968" s="19"/>
      <c r="E6968" s="19"/>
      <c r="F6968" s="20"/>
      <c r="G6968" s="19"/>
      <c r="H6968" s="19"/>
      <c r="I6968" s="19"/>
      <c r="J6968" s="19"/>
      <c r="K6968" s="19"/>
    </row>
    <row r="6969" spans="3:11" x14ac:dyDescent="0.2">
      <c r="C6969" s="19"/>
      <c r="D6969" s="19"/>
      <c r="E6969" s="19"/>
      <c r="F6969" s="20"/>
      <c r="G6969" s="19"/>
      <c r="H6969" s="19"/>
      <c r="I6969" s="19"/>
      <c r="J6969" s="19"/>
      <c r="K6969" s="19"/>
    </row>
    <row r="6970" spans="3:11" x14ac:dyDescent="0.2">
      <c r="C6970" s="19"/>
      <c r="D6970" s="19"/>
      <c r="E6970" s="19"/>
      <c r="F6970" s="20"/>
      <c r="G6970" s="19"/>
      <c r="H6970" s="19"/>
      <c r="I6970" s="19"/>
      <c r="J6970" s="19"/>
      <c r="K6970" s="19"/>
    </row>
    <row r="6971" spans="3:11" x14ac:dyDescent="0.2">
      <c r="C6971" s="19"/>
      <c r="D6971" s="19"/>
      <c r="E6971" s="19"/>
      <c r="F6971" s="20"/>
      <c r="G6971" s="19"/>
      <c r="H6971" s="19"/>
      <c r="I6971" s="19"/>
      <c r="J6971" s="21"/>
      <c r="K6971" s="19"/>
    </row>
    <row r="6972" spans="3:11" x14ac:dyDescent="0.2">
      <c r="C6972" s="19"/>
      <c r="D6972" s="19"/>
      <c r="E6972" s="19"/>
      <c r="F6972" s="20"/>
      <c r="G6972" s="19"/>
      <c r="H6972" s="19"/>
      <c r="I6972" s="19"/>
      <c r="J6972" s="19"/>
      <c r="K6972" s="19"/>
    </row>
    <row r="6973" spans="3:11" x14ac:dyDescent="0.2">
      <c r="C6973" s="19"/>
      <c r="D6973" s="19"/>
      <c r="E6973" s="19"/>
      <c r="F6973" s="20"/>
      <c r="G6973" s="19"/>
      <c r="H6973" s="19"/>
      <c r="I6973" s="19"/>
      <c r="J6973" s="21"/>
      <c r="K6973" s="19"/>
    </row>
    <row r="6974" spans="3:11" x14ac:dyDescent="0.2">
      <c r="C6974" s="19"/>
      <c r="D6974" s="19"/>
      <c r="E6974" s="19"/>
      <c r="F6974" s="20"/>
      <c r="G6974" s="19"/>
      <c r="H6974" s="19"/>
      <c r="I6974" s="19"/>
      <c r="J6974" s="21"/>
      <c r="K6974" s="19"/>
    </row>
    <row r="6975" spans="3:11" x14ac:dyDescent="0.2">
      <c r="C6975" s="19"/>
      <c r="D6975" s="19"/>
      <c r="E6975" s="19"/>
      <c r="F6975" s="20"/>
      <c r="G6975" s="19"/>
      <c r="H6975" s="19"/>
      <c r="I6975" s="19"/>
      <c r="J6975" s="21"/>
      <c r="K6975" s="19"/>
    </row>
    <row r="6976" spans="3:11" x14ac:dyDescent="0.2">
      <c r="C6976" s="19"/>
      <c r="D6976" s="19"/>
      <c r="E6976" s="19"/>
      <c r="F6976" s="20"/>
      <c r="G6976" s="19"/>
      <c r="H6976" s="19"/>
      <c r="I6976" s="19"/>
      <c r="J6976" s="21"/>
      <c r="K6976" s="19"/>
    </row>
    <row r="6977" spans="3:11" x14ac:dyDescent="0.2">
      <c r="C6977" s="19"/>
      <c r="D6977" s="19"/>
      <c r="E6977" s="19"/>
      <c r="F6977" s="20"/>
      <c r="G6977" s="19"/>
      <c r="H6977" s="19"/>
      <c r="I6977" s="19"/>
      <c r="J6977" s="21"/>
      <c r="K6977" s="19"/>
    </row>
    <row r="6978" spans="3:11" x14ac:dyDescent="0.2">
      <c r="C6978" s="19"/>
      <c r="D6978" s="19"/>
      <c r="E6978" s="19"/>
      <c r="F6978" s="20"/>
      <c r="G6978" s="19"/>
      <c r="H6978" s="19"/>
      <c r="I6978" s="19"/>
      <c r="J6978" s="21"/>
      <c r="K6978" s="19"/>
    </row>
    <row r="6979" spans="3:11" x14ac:dyDescent="0.2">
      <c r="C6979" s="19"/>
      <c r="D6979" s="19"/>
      <c r="E6979" s="19"/>
      <c r="F6979" s="20"/>
      <c r="G6979" s="19"/>
      <c r="H6979" s="19"/>
      <c r="I6979" s="19"/>
      <c r="J6979" s="21"/>
      <c r="K6979" s="19"/>
    </row>
    <row r="6980" spans="3:11" x14ac:dyDescent="0.2">
      <c r="C6980" s="19"/>
      <c r="D6980" s="19"/>
      <c r="E6980" s="19"/>
      <c r="F6980" s="20"/>
      <c r="G6980" s="19"/>
      <c r="H6980" s="19"/>
      <c r="I6980" s="19"/>
      <c r="J6980" s="21"/>
      <c r="K6980" s="19"/>
    </row>
    <row r="6981" spans="3:11" x14ac:dyDescent="0.2">
      <c r="C6981" s="19"/>
      <c r="D6981" s="19"/>
      <c r="E6981" s="19"/>
      <c r="F6981" s="20"/>
      <c r="G6981" s="19"/>
      <c r="H6981" s="19"/>
      <c r="I6981" s="19"/>
      <c r="J6981" s="21"/>
      <c r="K6981" s="19"/>
    </row>
    <row r="6982" spans="3:11" x14ac:dyDescent="0.2">
      <c r="C6982" s="19"/>
      <c r="D6982" s="19"/>
      <c r="E6982" s="19"/>
      <c r="F6982" s="20"/>
      <c r="G6982" s="19"/>
      <c r="H6982" s="19"/>
      <c r="I6982" s="19"/>
      <c r="J6982" s="21"/>
      <c r="K6982" s="19"/>
    </row>
    <row r="6983" spans="3:11" x14ac:dyDescent="0.2">
      <c r="C6983" s="19"/>
      <c r="D6983" s="19"/>
      <c r="E6983" s="19"/>
      <c r="F6983" s="20"/>
      <c r="G6983" s="19"/>
      <c r="H6983" s="19"/>
      <c r="I6983" s="19"/>
      <c r="J6983" s="21"/>
      <c r="K6983" s="19"/>
    </row>
    <row r="6984" spans="3:11" x14ac:dyDescent="0.2">
      <c r="C6984" s="19"/>
      <c r="D6984" s="19"/>
      <c r="E6984" s="19"/>
      <c r="F6984" s="20"/>
      <c r="G6984" s="19"/>
      <c r="H6984" s="19"/>
      <c r="I6984" s="19"/>
      <c r="J6984" s="21"/>
      <c r="K6984" s="19"/>
    </row>
    <row r="6985" spans="3:11" x14ac:dyDescent="0.2">
      <c r="C6985" s="19"/>
      <c r="D6985" s="19"/>
      <c r="E6985" s="19"/>
      <c r="F6985" s="20"/>
      <c r="G6985" s="19"/>
      <c r="H6985" s="19"/>
      <c r="I6985" s="19"/>
      <c r="J6985" s="21"/>
      <c r="K6985" s="19"/>
    </row>
    <row r="6986" spans="3:11" x14ac:dyDescent="0.2">
      <c r="C6986" s="19"/>
      <c r="D6986" s="19"/>
      <c r="E6986" s="19"/>
      <c r="F6986" s="20"/>
      <c r="G6986" s="19"/>
      <c r="H6986" s="19"/>
      <c r="I6986" s="19"/>
      <c r="J6986" s="21"/>
      <c r="K6986" s="19"/>
    </row>
    <row r="6987" spans="3:11" x14ac:dyDescent="0.2">
      <c r="C6987" s="19"/>
      <c r="D6987" s="19"/>
      <c r="E6987" s="19"/>
      <c r="F6987" s="20"/>
      <c r="G6987" s="19"/>
      <c r="H6987" s="19"/>
      <c r="I6987" s="19"/>
      <c r="J6987" s="21"/>
      <c r="K6987" s="19"/>
    </row>
    <row r="6988" spans="3:11" x14ac:dyDescent="0.2">
      <c r="C6988" s="19"/>
      <c r="D6988" s="19"/>
      <c r="E6988" s="19"/>
      <c r="F6988" s="20"/>
      <c r="G6988" s="19"/>
      <c r="H6988" s="19"/>
      <c r="I6988" s="19"/>
      <c r="J6988" s="21"/>
      <c r="K6988" s="19"/>
    </row>
    <row r="6989" spans="3:11" x14ac:dyDescent="0.2">
      <c r="C6989" s="19"/>
      <c r="D6989" s="19"/>
      <c r="E6989" s="19"/>
      <c r="F6989" s="20"/>
      <c r="G6989" s="19"/>
      <c r="H6989" s="19"/>
      <c r="I6989" s="19"/>
      <c r="J6989" s="21"/>
      <c r="K6989" s="19"/>
    </row>
    <row r="6990" spans="3:11" x14ac:dyDescent="0.2">
      <c r="C6990" s="19"/>
      <c r="D6990" s="19"/>
      <c r="E6990" s="19"/>
      <c r="F6990" s="20"/>
      <c r="G6990" s="19"/>
      <c r="H6990" s="19"/>
      <c r="I6990" s="19"/>
      <c r="J6990" s="21"/>
      <c r="K6990" s="19"/>
    </row>
    <row r="6991" spans="3:11" x14ac:dyDescent="0.2">
      <c r="C6991" s="19"/>
      <c r="D6991" s="19"/>
      <c r="E6991" s="19"/>
      <c r="F6991" s="20"/>
      <c r="G6991" s="19"/>
      <c r="H6991" s="19"/>
      <c r="I6991" s="19"/>
      <c r="J6991" s="21"/>
      <c r="K6991" s="19"/>
    </row>
    <row r="6992" spans="3:11" x14ac:dyDescent="0.2">
      <c r="C6992" s="19"/>
      <c r="D6992" s="19"/>
      <c r="E6992" s="19"/>
      <c r="F6992" s="20"/>
      <c r="G6992" s="19"/>
      <c r="H6992" s="19"/>
      <c r="I6992" s="19"/>
      <c r="J6992" s="21"/>
      <c r="K6992" s="19"/>
    </row>
    <row r="6993" spans="3:11" x14ac:dyDescent="0.2">
      <c r="C6993" s="19"/>
      <c r="D6993" s="19"/>
      <c r="E6993" s="19"/>
      <c r="F6993" s="20"/>
      <c r="G6993" s="19"/>
      <c r="H6993" s="19"/>
      <c r="I6993" s="19"/>
      <c r="J6993" s="21"/>
      <c r="K6993" s="19"/>
    </row>
    <row r="6994" spans="3:11" x14ac:dyDescent="0.2">
      <c r="C6994" s="19"/>
      <c r="D6994" s="19"/>
      <c r="E6994" s="19"/>
      <c r="F6994" s="20"/>
      <c r="G6994" s="19"/>
      <c r="H6994" s="19"/>
      <c r="I6994" s="19"/>
      <c r="J6994" s="21"/>
      <c r="K6994" s="19"/>
    </row>
    <row r="6995" spans="3:11" x14ac:dyDescent="0.2">
      <c r="C6995" s="19"/>
      <c r="D6995" s="19"/>
      <c r="E6995" s="19"/>
      <c r="F6995" s="20"/>
      <c r="G6995" s="19"/>
      <c r="H6995" s="19"/>
      <c r="I6995" s="19"/>
      <c r="J6995" s="21"/>
      <c r="K6995" s="19"/>
    </row>
    <row r="6996" spans="3:11" x14ac:dyDescent="0.2">
      <c r="C6996" s="19"/>
      <c r="D6996" s="19"/>
      <c r="E6996" s="19"/>
      <c r="F6996" s="20"/>
      <c r="G6996" s="19"/>
      <c r="H6996" s="19"/>
      <c r="I6996" s="19"/>
      <c r="J6996" s="21"/>
      <c r="K6996" s="19"/>
    </row>
    <row r="6997" spans="3:11" x14ac:dyDescent="0.2">
      <c r="C6997" s="19"/>
      <c r="D6997" s="19"/>
      <c r="E6997" s="19"/>
      <c r="F6997" s="20"/>
      <c r="G6997" s="19"/>
      <c r="H6997" s="19"/>
      <c r="I6997" s="19"/>
      <c r="J6997" s="21"/>
      <c r="K6997" s="19"/>
    </row>
    <row r="6998" spans="3:11" x14ac:dyDescent="0.2">
      <c r="C6998" s="19"/>
      <c r="D6998" s="19"/>
      <c r="E6998" s="19"/>
      <c r="F6998" s="20"/>
      <c r="G6998" s="19"/>
      <c r="H6998" s="19"/>
      <c r="I6998" s="19"/>
      <c r="J6998" s="21"/>
      <c r="K6998" s="19"/>
    </row>
    <row r="6999" spans="3:11" x14ac:dyDescent="0.2">
      <c r="C6999" s="19"/>
      <c r="D6999" s="19"/>
      <c r="E6999" s="19"/>
      <c r="F6999" s="20"/>
      <c r="G6999" s="19"/>
      <c r="H6999" s="19"/>
      <c r="I6999" s="19"/>
      <c r="J6999" s="21"/>
      <c r="K6999" s="19"/>
    </row>
    <row r="7000" spans="3:11" x14ac:dyDescent="0.2">
      <c r="C7000" s="19"/>
      <c r="D7000" s="19"/>
      <c r="E7000" s="19"/>
      <c r="F7000" s="20"/>
      <c r="G7000" s="19"/>
      <c r="H7000" s="19"/>
      <c r="I7000" s="19"/>
      <c r="J7000" s="21"/>
      <c r="K7000" s="19"/>
    </row>
    <row r="7001" spans="3:11" x14ac:dyDescent="0.2">
      <c r="C7001" s="19"/>
      <c r="D7001" s="19"/>
      <c r="E7001" s="19"/>
      <c r="F7001" s="20"/>
      <c r="G7001" s="19"/>
      <c r="H7001" s="19"/>
      <c r="I7001" s="19"/>
      <c r="J7001" s="21"/>
      <c r="K7001" s="19"/>
    </row>
    <row r="7002" spans="3:11" x14ac:dyDescent="0.2">
      <c r="C7002" s="19"/>
      <c r="D7002" s="19"/>
      <c r="E7002" s="19"/>
      <c r="F7002" s="20"/>
      <c r="G7002" s="19"/>
      <c r="H7002" s="19"/>
      <c r="I7002" s="19"/>
      <c r="J7002" s="21"/>
      <c r="K7002" s="19"/>
    </row>
    <row r="7003" spans="3:11" x14ac:dyDescent="0.2">
      <c r="C7003" s="19"/>
      <c r="D7003" s="19"/>
      <c r="E7003" s="19"/>
      <c r="F7003" s="20"/>
      <c r="G7003" s="19"/>
      <c r="H7003" s="19"/>
      <c r="I7003" s="19"/>
      <c r="J7003" s="21"/>
      <c r="K7003" s="19"/>
    </row>
    <row r="7004" spans="3:11" x14ac:dyDescent="0.2">
      <c r="C7004" s="19"/>
      <c r="D7004" s="19"/>
      <c r="E7004" s="19"/>
      <c r="F7004" s="20"/>
      <c r="G7004" s="19"/>
      <c r="H7004" s="19"/>
      <c r="I7004" s="19"/>
      <c r="J7004" s="21"/>
      <c r="K7004" s="19"/>
    </row>
    <row r="7005" spans="3:11" x14ac:dyDescent="0.2">
      <c r="C7005" s="19"/>
      <c r="D7005" s="19"/>
      <c r="E7005" s="19"/>
      <c r="F7005" s="20"/>
      <c r="G7005" s="19"/>
      <c r="H7005" s="19"/>
      <c r="I7005" s="19"/>
      <c r="J7005" s="21"/>
      <c r="K7005" s="19"/>
    </row>
    <row r="7006" spans="3:11" x14ac:dyDescent="0.2">
      <c r="C7006" s="19"/>
      <c r="D7006" s="19"/>
      <c r="E7006" s="19"/>
      <c r="F7006" s="20"/>
      <c r="G7006" s="19"/>
      <c r="H7006" s="19"/>
      <c r="I7006" s="19"/>
      <c r="J7006" s="21"/>
      <c r="K7006" s="19"/>
    </row>
    <row r="7007" spans="3:11" x14ac:dyDescent="0.2">
      <c r="C7007" s="19"/>
      <c r="D7007" s="19"/>
      <c r="E7007" s="19"/>
      <c r="F7007" s="20"/>
      <c r="G7007" s="19"/>
      <c r="H7007" s="19"/>
      <c r="I7007" s="19"/>
      <c r="J7007" s="21"/>
      <c r="K7007" s="19"/>
    </row>
    <row r="7008" spans="3:11" x14ac:dyDescent="0.2">
      <c r="C7008" s="19"/>
      <c r="D7008" s="19"/>
      <c r="E7008" s="19"/>
      <c r="F7008" s="20"/>
      <c r="G7008" s="19"/>
      <c r="H7008" s="19"/>
      <c r="I7008" s="19"/>
      <c r="J7008" s="21"/>
      <c r="K7008" s="19"/>
    </row>
    <row r="7009" spans="3:11" x14ac:dyDescent="0.2">
      <c r="C7009" s="19"/>
      <c r="D7009" s="19"/>
      <c r="E7009" s="19"/>
      <c r="F7009" s="20"/>
      <c r="G7009" s="19"/>
      <c r="H7009" s="19"/>
      <c r="I7009" s="19"/>
      <c r="J7009" s="21"/>
      <c r="K7009" s="19"/>
    </row>
    <row r="7010" spans="3:11" x14ac:dyDescent="0.2">
      <c r="C7010" s="19"/>
      <c r="D7010" s="19"/>
      <c r="E7010" s="19"/>
      <c r="F7010" s="20"/>
      <c r="G7010" s="19"/>
      <c r="H7010" s="19"/>
      <c r="I7010" s="19"/>
      <c r="J7010" s="21"/>
      <c r="K7010" s="19"/>
    </row>
    <row r="7011" spans="3:11" x14ac:dyDescent="0.2">
      <c r="C7011" s="19"/>
      <c r="D7011" s="19"/>
      <c r="E7011" s="19"/>
      <c r="F7011" s="20"/>
      <c r="G7011" s="19"/>
      <c r="H7011" s="19"/>
      <c r="I7011" s="19"/>
      <c r="J7011" s="19"/>
      <c r="K7011" s="19"/>
    </row>
    <row r="7012" spans="3:11" x14ac:dyDescent="0.2">
      <c r="C7012" s="19"/>
      <c r="D7012" s="19"/>
      <c r="E7012" s="19"/>
      <c r="F7012" s="20"/>
      <c r="G7012" s="19"/>
      <c r="H7012" s="19"/>
      <c r="I7012" s="19"/>
      <c r="J7012" s="21"/>
      <c r="K7012" s="19"/>
    </row>
    <row r="7013" spans="3:11" x14ac:dyDescent="0.2">
      <c r="C7013" s="19"/>
      <c r="D7013" s="19"/>
      <c r="E7013" s="19"/>
      <c r="F7013" s="20"/>
      <c r="G7013" s="19"/>
      <c r="H7013" s="19"/>
      <c r="I7013" s="19"/>
      <c r="J7013" s="21"/>
      <c r="K7013" s="19"/>
    </row>
    <row r="7014" spans="3:11" x14ac:dyDescent="0.2">
      <c r="C7014" s="19"/>
      <c r="D7014" s="19"/>
      <c r="E7014" s="19"/>
      <c r="F7014" s="20"/>
      <c r="G7014" s="19"/>
      <c r="H7014" s="19"/>
      <c r="I7014" s="19"/>
      <c r="J7014" s="21"/>
      <c r="K7014" s="19"/>
    </row>
    <row r="7015" spans="3:11" x14ac:dyDescent="0.2">
      <c r="C7015" s="19"/>
      <c r="D7015" s="19"/>
      <c r="E7015" s="19"/>
      <c r="F7015" s="20"/>
      <c r="G7015" s="19"/>
      <c r="H7015" s="19"/>
      <c r="I7015" s="19"/>
      <c r="J7015" s="21"/>
      <c r="K7015" s="19"/>
    </row>
    <row r="7016" spans="3:11" x14ac:dyDescent="0.2">
      <c r="C7016" s="19"/>
      <c r="D7016" s="19"/>
      <c r="E7016" s="19"/>
      <c r="F7016" s="20"/>
      <c r="G7016" s="19"/>
      <c r="H7016" s="19"/>
      <c r="I7016" s="19"/>
      <c r="J7016" s="21"/>
      <c r="K7016" s="19"/>
    </row>
    <row r="7017" spans="3:11" x14ac:dyDescent="0.2">
      <c r="C7017" s="19"/>
      <c r="D7017" s="19"/>
      <c r="E7017" s="19"/>
      <c r="F7017" s="20"/>
      <c r="G7017" s="19"/>
      <c r="H7017" s="19"/>
      <c r="I7017" s="19"/>
      <c r="J7017" s="21"/>
      <c r="K7017" s="19"/>
    </row>
    <row r="7018" spans="3:11" x14ac:dyDescent="0.2">
      <c r="C7018" s="19"/>
      <c r="D7018" s="19"/>
      <c r="E7018" s="19"/>
      <c r="F7018" s="20"/>
      <c r="G7018" s="19"/>
      <c r="H7018" s="19"/>
      <c r="I7018" s="19"/>
      <c r="J7018" s="21"/>
      <c r="K7018" s="19"/>
    </row>
    <row r="7019" spans="3:11" x14ac:dyDescent="0.2">
      <c r="C7019" s="19"/>
      <c r="D7019" s="19"/>
      <c r="E7019" s="19"/>
      <c r="F7019" s="20"/>
      <c r="G7019" s="19"/>
      <c r="H7019" s="19"/>
      <c r="I7019" s="19"/>
      <c r="J7019" s="21"/>
      <c r="K7019" s="19"/>
    </row>
    <row r="7020" spans="3:11" x14ac:dyDescent="0.2">
      <c r="C7020" s="19"/>
      <c r="D7020" s="19"/>
      <c r="E7020" s="19"/>
      <c r="F7020" s="20"/>
      <c r="G7020" s="19"/>
      <c r="H7020" s="19"/>
      <c r="I7020" s="19"/>
      <c r="J7020" s="21"/>
      <c r="K7020" s="19"/>
    </row>
    <row r="7021" spans="3:11" x14ac:dyDescent="0.2">
      <c r="C7021" s="19"/>
      <c r="D7021" s="19"/>
      <c r="E7021" s="19"/>
      <c r="F7021" s="20"/>
      <c r="G7021" s="19"/>
      <c r="H7021" s="19"/>
      <c r="I7021" s="19"/>
      <c r="J7021" s="21"/>
      <c r="K7021" s="19"/>
    </row>
    <row r="7022" spans="3:11" x14ac:dyDescent="0.2">
      <c r="C7022" s="19"/>
      <c r="D7022" s="19"/>
      <c r="E7022" s="19"/>
      <c r="F7022" s="20"/>
      <c r="G7022" s="19"/>
      <c r="H7022" s="19"/>
      <c r="I7022" s="19"/>
      <c r="J7022" s="21"/>
      <c r="K7022" s="19"/>
    </row>
    <row r="7023" spans="3:11" x14ac:dyDescent="0.2">
      <c r="C7023" s="19"/>
      <c r="D7023" s="19"/>
      <c r="E7023" s="19"/>
      <c r="F7023" s="20"/>
      <c r="G7023" s="19"/>
      <c r="H7023" s="19"/>
      <c r="I7023" s="19"/>
      <c r="J7023" s="21"/>
      <c r="K7023" s="19"/>
    </row>
    <row r="7024" spans="3:11" x14ac:dyDescent="0.2">
      <c r="C7024" s="19"/>
      <c r="D7024" s="19"/>
      <c r="E7024" s="19"/>
      <c r="F7024" s="20"/>
      <c r="G7024" s="19"/>
      <c r="H7024" s="19"/>
      <c r="I7024" s="19"/>
      <c r="J7024" s="21"/>
      <c r="K7024" s="19"/>
    </row>
    <row r="7025" spans="3:11" x14ac:dyDescent="0.2">
      <c r="C7025" s="19"/>
      <c r="D7025" s="19"/>
      <c r="E7025" s="19"/>
      <c r="F7025" s="20"/>
      <c r="G7025" s="19"/>
      <c r="H7025" s="19"/>
      <c r="I7025" s="19"/>
      <c r="J7025" s="21"/>
      <c r="K7025" s="19"/>
    </row>
    <row r="7026" spans="3:11" x14ac:dyDescent="0.2">
      <c r="C7026" s="19"/>
      <c r="D7026" s="19"/>
      <c r="E7026" s="19"/>
      <c r="F7026" s="20"/>
      <c r="G7026" s="19"/>
      <c r="H7026" s="19"/>
      <c r="I7026" s="19"/>
      <c r="J7026" s="21"/>
      <c r="K7026" s="19"/>
    </row>
    <row r="7027" spans="3:11" x14ac:dyDescent="0.2">
      <c r="C7027" s="19"/>
      <c r="D7027" s="19"/>
      <c r="E7027" s="19"/>
      <c r="F7027" s="20"/>
      <c r="G7027" s="19"/>
      <c r="H7027" s="19"/>
      <c r="I7027" s="19"/>
      <c r="J7027" s="21"/>
      <c r="K7027" s="19"/>
    </row>
    <row r="7028" spans="3:11" x14ac:dyDescent="0.2">
      <c r="C7028" s="19"/>
      <c r="D7028" s="19"/>
      <c r="E7028" s="19"/>
      <c r="F7028" s="20"/>
      <c r="G7028" s="19"/>
      <c r="H7028" s="19"/>
      <c r="I7028" s="19"/>
      <c r="J7028" s="21"/>
      <c r="K7028" s="19"/>
    </row>
    <row r="7029" spans="3:11" x14ac:dyDescent="0.2">
      <c r="C7029" s="19"/>
      <c r="D7029" s="19"/>
      <c r="E7029" s="19"/>
      <c r="F7029" s="20"/>
      <c r="G7029" s="19"/>
      <c r="H7029" s="19"/>
      <c r="I7029" s="19"/>
      <c r="J7029" s="21"/>
      <c r="K7029" s="19"/>
    </row>
    <row r="7030" spans="3:11" x14ac:dyDescent="0.2">
      <c r="C7030" s="19"/>
      <c r="D7030" s="19"/>
      <c r="E7030" s="19"/>
      <c r="F7030" s="20"/>
      <c r="G7030" s="19"/>
      <c r="H7030" s="19"/>
      <c r="I7030" s="19"/>
      <c r="J7030" s="21"/>
      <c r="K7030" s="19"/>
    </row>
    <row r="7031" spans="3:11" x14ac:dyDescent="0.2">
      <c r="C7031" s="19"/>
      <c r="D7031" s="19"/>
      <c r="E7031" s="19"/>
      <c r="F7031" s="20"/>
      <c r="G7031" s="19"/>
      <c r="H7031" s="19"/>
      <c r="I7031" s="19"/>
      <c r="J7031" s="21"/>
      <c r="K7031" s="19"/>
    </row>
    <row r="7032" spans="3:11" x14ac:dyDescent="0.2">
      <c r="C7032" s="19"/>
      <c r="D7032" s="19"/>
      <c r="E7032" s="19"/>
      <c r="F7032" s="20"/>
      <c r="G7032" s="19"/>
      <c r="H7032" s="19"/>
      <c r="I7032" s="19"/>
      <c r="J7032" s="21"/>
      <c r="K7032" s="19"/>
    </row>
    <row r="7033" spans="3:11" x14ac:dyDescent="0.2">
      <c r="C7033" s="19"/>
      <c r="D7033" s="19"/>
      <c r="E7033" s="19"/>
      <c r="F7033" s="20"/>
      <c r="G7033" s="19"/>
      <c r="H7033" s="19"/>
      <c r="I7033" s="19"/>
      <c r="J7033" s="21"/>
      <c r="K7033" s="19"/>
    </row>
    <row r="7034" spans="3:11" x14ac:dyDescent="0.2">
      <c r="C7034" s="19"/>
      <c r="D7034" s="19"/>
      <c r="E7034" s="19"/>
      <c r="F7034" s="20"/>
      <c r="G7034" s="19"/>
      <c r="H7034" s="19"/>
      <c r="I7034" s="19"/>
      <c r="J7034" s="21"/>
      <c r="K7034" s="19"/>
    </row>
    <row r="7035" spans="3:11" x14ac:dyDescent="0.2">
      <c r="C7035" s="19"/>
      <c r="D7035" s="19"/>
      <c r="E7035" s="19"/>
      <c r="F7035" s="20"/>
      <c r="G7035" s="19"/>
      <c r="H7035" s="19"/>
      <c r="I7035" s="19"/>
      <c r="J7035" s="21"/>
      <c r="K7035" s="19"/>
    </row>
    <row r="7036" spans="3:11" x14ac:dyDescent="0.2">
      <c r="C7036" s="19"/>
      <c r="D7036" s="19"/>
      <c r="E7036" s="19"/>
      <c r="F7036" s="20"/>
      <c r="G7036" s="19"/>
      <c r="H7036" s="19"/>
      <c r="I7036" s="19"/>
      <c r="J7036" s="21"/>
      <c r="K7036" s="19"/>
    </row>
    <row r="7037" spans="3:11" x14ac:dyDescent="0.2">
      <c r="C7037" s="19"/>
      <c r="D7037" s="19"/>
      <c r="E7037" s="19"/>
      <c r="F7037" s="20"/>
      <c r="G7037" s="19"/>
      <c r="H7037" s="19"/>
      <c r="I7037" s="19"/>
      <c r="J7037" s="19"/>
      <c r="K7037" s="19"/>
    </row>
    <row r="7038" spans="3:11" x14ac:dyDescent="0.2">
      <c r="C7038" s="19"/>
      <c r="D7038" s="19"/>
      <c r="E7038" s="19"/>
      <c r="F7038" s="20"/>
      <c r="G7038" s="19"/>
      <c r="H7038" s="19"/>
      <c r="I7038" s="19"/>
      <c r="J7038" s="21"/>
      <c r="K7038" s="19"/>
    </row>
    <row r="7039" spans="3:11" x14ac:dyDescent="0.2">
      <c r="C7039" s="19"/>
      <c r="D7039" s="19"/>
      <c r="E7039" s="19"/>
      <c r="F7039" s="20"/>
      <c r="G7039" s="19"/>
      <c r="H7039" s="19"/>
      <c r="I7039" s="19"/>
      <c r="J7039" s="19"/>
      <c r="K7039" s="19"/>
    </row>
    <row r="7040" spans="3:11" x14ac:dyDescent="0.2">
      <c r="C7040" s="19"/>
      <c r="D7040" s="19"/>
      <c r="E7040" s="19"/>
      <c r="F7040" s="20"/>
      <c r="G7040" s="19"/>
      <c r="H7040" s="19"/>
      <c r="I7040" s="19"/>
      <c r="J7040" s="21"/>
      <c r="K7040" s="19"/>
    </row>
    <row r="7041" spans="3:11" x14ac:dyDescent="0.2">
      <c r="C7041" s="19"/>
      <c r="D7041" s="19"/>
      <c r="E7041" s="19"/>
      <c r="F7041" s="20"/>
      <c r="G7041" s="19"/>
      <c r="H7041" s="19"/>
      <c r="I7041" s="19"/>
      <c r="J7041" s="21"/>
      <c r="K7041" s="19"/>
    </row>
    <row r="7042" spans="3:11" x14ac:dyDescent="0.2">
      <c r="C7042" s="19"/>
      <c r="D7042" s="19"/>
      <c r="E7042" s="19"/>
      <c r="F7042" s="20"/>
      <c r="G7042" s="19"/>
      <c r="H7042" s="19"/>
      <c r="I7042" s="19"/>
      <c r="J7042" s="21"/>
      <c r="K7042" s="19"/>
    </row>
    <row r="7043" spans="3:11" x14ac:dyDescent="0.2">
      <c r="C7043" s="19"/>
      <c r="D7043" s="19"/>
      <c r="E7043" s="19"/>
      <c r="F7043" s="20"/>
      <c r="G7043" s="19"/>
      <c r="H7043" s="19"/>
      <c r="I7043" s="19"/>
      <c r="J7043" s="21"/>
      <c r="K7043" s="19"/>
    </row>
    <row r="7044" spans="3:11" x14ac:dyDescent="0.2">
      <c r="C7044" s="19"/>
      <c r="D7044" s="19"/>
      <c r="E7044" s="19"/>
      <c r="F7044" s="20"/>
      <c r="G7044" s="19"/>
      <c r="H7044" s="19"/>
      <c r="I7044" s="19"/>
      <c r="J7044" s="21"/>
      <c r="K7044" s="19"/>
    </row>
    <row r="7045" spans="3:11" x14ac:dyDescent="0.2">
      <c r="C7045" s="19"/>
      <c r="D7045" s="19"/>
      <c r="E7045" s="19"/>
      <c r="F7045" s="20"/>
      <c r="G7045" s="19"/>
      <c r="H7045" s="19"/>
      <c r="I7045" s="19"/>
      <c r="J7045" s="21"/>
      <c r="K7045" s="19"/>
    </row>
    <row r="7046" spans="3:11" x14ac:dyDescent="0.2">
      <c r="C7046" s="19"/>
      <c r="D7046" s="19"/>
      <c r="E7046" s="19"/>
      <c r="F7046" s="20"/>
      <c r="G7046" s="19"/>
      <c r="H7046" s="19"/>
      <c r="I7046" s="19"/>
      <c r="J7046" s="21"/>
      <c r="K7046" s="19"/>
    </row>
    <row r="7047" spans="3:11" x14ac:dyDescent="0.2">
      <c r="C7047" s="19"/>
      <c r="D7047" s="19"/>
      <c r="E7047" s="19"/>
      <c r="F7047" s="20"/>
      <c r="G7047" s="19"/>
      <c r="H7047" s="19"/>
      <c r="I7047" s="19"/>
      <c r="J7047" s="21"/>
      <c r="K7047" s="19"/>
    </row>
    <row r="7048" spans="3:11" x14ac:dyDescent="0.2">
      <c r="C7048" s="19"/>
      <c r="D7048" s="19"/>
      <c r="E7048" s="19"/>
      <c r="F7048" s="20"/>
      <c r="G7048" s="19"/>
      <c r="H7048" s="19"/>
      <c r="I7048" s="19"/>
      <c r="J7048" s="21"/>
      <c r="K7048" s="19"/>
    </row>
    <row r="7049" spans="3:11" x14ac:dyDescent="0.2">
      <c r="C7049" s="19"/>
      <c r="D7049" s="19"/>
      <c r="E7049" s="19"/>
      <c r="F7049" s="20"/>
      <c r="G7049" s="19"/>
      <c r="H7049" s="19"/>
      <c r="I7049" s="19"/>
      <c r="J7049" s="21"/>
      <c r="K7049" s="19"/>
    </row>
    <row r="7050" spans="3:11" x14ac:dyDescent="0.2">
      <c r="C7050" s="19"/>
      <c r="D7050" s="19"/>
      <c r="E7050" s="19"/>
      <c r="F7050" s="20"/>
      <c r="G7050" s="19"/>
      <c r="H7050" s="19"/>
      <c r="I7050" s="19"/>
      <c r="J7050" s="21"/>
      <c r="K7050" s="19"/>
    </row>
    <row r="7051" spans="3:11" x14ac:dyDescent="0.2">
      <c r="C7051" s="19"/>
      <c r="D7051" s="19"/>
      <c r="E7051" s="19"/>
      <c r="F7051" s="20"/>
      <c r="G7051" s="19"/>
      <c r="H7051" s="19"/>
      <c r="I7051" s="19"/>
      <c r="J7051" s="21"/>
      <c r="K7051" s="19"/>
    </row>
    <row r="7052" spans="3:11" x14ac:dyDescent="0.2">
      <c r="C7052" s="19"/>
      <c r="D7052" s="19"/>
      <c r="E7052" s="19"/>
      <c r="F7052" s="20"/>
      <c r="G7052" s="19"/>
      <c r="H7052" s="19"/>
      <c r="I7052" s="19"/>
      <c r="J7052" s="21"/>
      <c r="K7052" s="19"/>
    </row>
    <row r="7053" spans="3:11" x14ac:dyDescent="0.2">
      <c r="C7053" s="19"/>
      <c r="D7053" s="19"/>
      <c r="E7053" s="19"/>
      <c r="F7053" s="20"/>
      <c r="G7053" s="19"/>
      <c r="H7053" s="19"/>
      <c r="I7053" s="19"/>
      <c r="J7053" s="21"/>
      <c r="K7053" s="19"/>
    </row>
    <row r="7054" spans="3:11" x14ac:dyDescent="0.2">
      <c r="C7054" s="19"/>
      <c r="D7054" s="19"/>
      <c r="E7054" s="19"/>
      <c r="F7054" s="20"/>
      <c r="G7054" s="19"/>
      <c r="H7054" s="19"/>
      <c r="I7054" s="19"/>
      <c r="J7054" s="21"/>
      <c r="K7054" s="19"/>
    </row>
    <row r="7055" spans="3:11" x14ac:dyDescent="0.2">
      <c r="C7055" s="19"/>
      <c r="D7055" s="19"/>
      <c r="E7055" s="19"/>
      <c r="F7055" s="20"/>
      <c r="G7055" s="19"/>
      <c r="H7055" s="19"/>
      <c r="I7055" s="19"/>
      <c r="J7055" s="21"/>
      <c r="K7055" s="19"/>
    </row>
    <row r="7056" spans="3:11" x14ac:dyDescent="0.2">
      <c r="C7056" s="19"/>
      <c r="D7056" s="19"/>
      <c r="E7056" s="19"/>
      <c r="F7056" s="20"/>
      <c r="G7056" s="19"/>
      <c r="H7056" s="19"/>
      <c r="I7056" s="19"/>
      <c r="J7056" s="21"/>
      <c r="K7056" s="19"/>
    </row>
    <row r="7057" spans="3:11" x14ac:dyDescent="0.2">
      <c r="C7057" s="19"/>
      <c r="D7057" s="19"/>
      <c r="E7057" s="19"/>
      <c r="F7057" s="20"/>
      <c r="G7057" s="19"/>
      <c r="H7057" s="19"/>
      <c r="I7057" s="19"/>
      <c r="J7057" s="21"/>
      <c r="K7057" s="19"/>
    </row>
    <row r="7058" spans="3:11" x14ac:dyDescent="0.2">
      <c r="C7058" s="19"/>
      <c r="D7058" s="19"/>
      <c r="E7058" s="19"/>
      <c r="F7058" s="20"/>
      <c r="G7058" s="19"/>
      <c r="H7058" s="19"/>
      <c r="I7058" s="19"/>
      <c r="J7058" s="21"/>
      <c r="K7058" s="19"/>
    </row>
    <row r="7059" spans="3:11" x14ac:dyDescent="0.2">
      <c r="C7059" s="19"/>
      <c r="D7059" s="19"/>
      <c r="E7059" s="19"/>
      <c r="F7059" s="20"/>
      <c r="G7059" s="19"/>
      <c r="H7059" s="19"/>
      <c r="I7059" s="19"/>
      <c r="J7059" s="21"/>
      <c r="K7059" s="19"/>
    </row>
    <row r="7060" spans="3:11" x14ac:dyDescent="0.2">
      <c r="C7060" s="19"/>
      <c r="D7060" s="19"/>
      <c r="E7060" s="19"/>
      <c r="F7060" s="20"/>
      <c r="G7060" s="19"/>
      <c r="H7060" s="19"/>
      <c r="I7060" s="19"/>
      <c r="J7060" s="21"/>
      <c r="K7060" s="19"/>
    </row>
    <row r="7061" spans="3:11" x14ac:dyDescent="0.2">
      <c r="C7061" s="19"/>
      <c r="D7061" s="19"/>
      <c r="E7061" s="19"/>
      <c r="F7061" s="20"/>
      <c r="G7061" s="19"/>
      <c r="H7061" s="19"/>
      <c r="I7061" s="19"/>
      <c r="J7061" s="19"/>
      <c r="K7061" s="19"/>
    </row>
    <row r="7062" spans="3:11" x14ac:dyDescent="0.2">
      <c r="C7062" s="19"/>
      <c r="D7062" s="19"/>
      <c r="E7062" s="19"/>
      <c r="F7062" s="20"/>
      <c r="G7062" s="19"/>
      <c r="H7062" s="19"/>
      <c r="I7062" s="19"/>
      <c r="J7062" s="21"/>
      <c r="K7062" s="19"/>
    </row>
    <row r="7063" spans="3:11" x14ac:dyDescent="0.2">
      <c r="C7063" s="19"/>
      <c r="D7063" s="19"/>
      <c r="E7063" s="19"/>
      <c r="F7063" s="20"/>
      <c r="G7063" s="19"/>
      <c r="H7063" s="19"/>
      <c r="I7063" s="19"/>
      <c r="J7063" s="21"/>
      <c r="K7063" s="19"/>
    </row>
    <row r="7064" spans="3:11" x14ac:dyDescent="0.2">
      <c r="C7064" s="19"/>
      <c r="D7064" s="19"/>
      <c r="E7064" s="19"/>
      <c r="F7064" s="20"/>
      <c r="G7064" s="19"/>
      <c r="H7064" s="19"/>
      <c r="I7064" s="19"/>
      <c r="J7064" s="21"/>
      <c r="K7064" s="19"/>
    </row>
    <row r="7065" spans="3:11" x14ac:dyDescent="0.2">
      <c r="C7065" s="19"/>
      <c r="D7065" s="19"/>
      <c r="E7065" s="19"/>
      <c r="F7065" s="20"/>
      <c r="G7065" s="19"/>
      <c r="H7065" s="19"/>
      <c r="I7065" s="19"/>
      <c r="J7065" s="21"/>
      <c r="K7065" s="19"/>
    </row>
    <row r="7066" spans="3:11" x14ac:dyDescent="0.2">
      <c r="C7066" s="19"/>
      <c r="D7066" s="19"/>
      <c r="E7066" s="19"/>
      <c r="F7066" s="20"/>
      <c r="G7066" s="19"/>
      <c r="H7066" s="19"/>
      <c r="I7066" s="19"/>
      <c r="J7066" s="21"/>
      <c r="K7066" s="19"/>
    </row>
    <row r="7067" spans="3:11" x14ac:dyDescent="0.2">
      <c r="C7067" s="19"/>
      <c r="D7067" s="19"/>
      <c r="E7067" s="19"/>
      <c r="F7067" s="20"/>
      <c r="G7067" s="19"/>
      <c r="H7067" s="19"/>
      <c r="I7067" s="19"/>
      <c r="J7067" s="21"/>
      <c r="K7067" s="19"/>
    </row>
    <row r="7068" spans="3:11" x14ac:dyDescent="0.2">
      <c r="C7068" s="19"/>
      <c r="D7068" s="19"/>
      <c r="E7068" s="19"/>
      <c r="F7068" s="20"/>
      <c r="G7068" s="19"/>
      <c r="H7068" s="19"/>
      <c r="I7068" s="19"/>
      <c r="J7068" s="21"/>
      <c r="K7068" s="19"/>
    </row>
    <row r="7069" spans="3:11" x14ac:dyDescent="0.2">
      <c r="C7069" s="19"/>
      <c r="D7069" s="19"/>
      <c r="E7069" s="19"/>
      <c r="F7069" s="20"/>
      <c r="G7069" s="19"/>
      <c r="H7069" s="19"/>
      <c r="I7069" s="19"/>
      <c r="J7069" s="21"/>
      <c r="K7069" s="19"/>
    </row>
    <row r="7070" spans="3:11" x14ac:dyDescent="0.2">
      <c r="C7070" s="19"/>
      <c r="D7070" s="19"/>
      <c r="E7070" s="19"/>
      <c r="F7070" s="20"/>
      <c r="G7070" s="19"/>
      <c r="H7070" s="19"/>
      <c r="I7070" s="19"/>
      <c r="J7070" s="21"/>
      <c r="K7070" s="19"/>
    </row>
    <row r="7071" spans="3:11" x14ac:dyDescent="0.2">
      <c r="C7071" s="19"/>
      <c r="D7071" s="19"/>
      <c r="E7071" s="19"/>
      <c r="F7071" s="20"/>
      <c r="G7071" s="19"/>
      <c r="H7071" s="19"/>
      <c r="I7071" s="19"/>
      <c r="J7071" s="21"/>
      <c r="K7071" s="19"/>
    </row>
    <row r="7072" spans="3:11" x14ac:dyDescent="0.2">
      <c r="C7072" s="19"/>
      <c r="D7072" s="19"/>
      <c r="E7072" s="19"/>
      <c r="F7072" s="20"/>
      <c r="G7072" s="19"/>
      <c r="H7072" s="19"/>
      <c r="I7072" s="19"/>
      <c r="J7072" s="21"/>
      <c r="K7072" s="19"/>
    </row>
    <row r="7073" spans="3:11" x14ac:dyDescent="0.2">
      <c r="C7073" s="19"/>
      <c r="D7073" s="19"/>
      <c r="E7073" s="19"/>
      <c r="F7073" s="20"/>
      <c r="G7073" s="19"/>
      <c r="H7073" s="19"/>
      <c r="I7073" s="19"/>
      <c r="J7073" s="21"/>
      <c r="K7073" s="19"/>
    </row>
    <row r="7074" spans="3:11" x14ac:dyDescent="0.2">
      <c r="C7074" s="19"/>
      <c r="D7074" s="19"/>
      <c r="E7074" s="19"/>
      <c r="F7074" s="20"/>
      <c r="G7074" s="19"/>
      <c r="H7074" s="19"/>
      <c r="I7074" s="19"/>
      <c r="J7074" s="21"/>
      <c r="K7074" s="19"/>
    </row>
    <row r="7075" spans="3:11" x14ac:dyDescent="0.2">
      <c r="C7075" s="19"/>
      <c r="D7075" s="19"/>
      <c r="E7075" s="19"/>
      <c r="F7075" s="20"/>
      <c r="G7075" s="19"/>
      <c r="H7075" s="19"/>
      <c r="I7075" s="19"/>
      <c r="J7075" s="21"/>
      <c r="K7075" s="19"/>
    </row>
    <row r="7076" spans="3:11" x14ac:dyDescent="0.2">
      <c r="C7076" s="19"/>
      <c r="D7076" s="19"/>
      <c r="E7076" s="19"/>
      <c r="F7076" s="20"/>
      <c r="G7076" s="19"/>
      <c r="H7076" s="19"/>
      <c r="I7076" s="19"/>
      <c r="J7076" s="21"/>
      <c r="K7076" s="19"/>
    </row>
    <row r="7077" spans="3:11" x14ac:dyDescent="0.2">
      <c r="C7077" s="19"/>
      <c r="D7077" s="19"/>
      <c r="E7077" s="19"/>
      <c r="F7077" s="20"/>
      <c r="G7077" s="19"/>
      <c r="H7077" s="19"/>
      <c r="I7077" s="19"/>
      <c r="J7077" s="21"/>
      <c r="K7077" s="19"/>
    </row>
    <row r="7078" spans="3:11" x14ac:dyDescent="0.2">
      <c r="C7078" s="19"/>
      <c r="D7078" s="19"/>
      <c r="E7078" s="19"/>
      <c r="F7078" s="20"/>
      <c r="G7078" s="19"/>
      <c r="H7078" s="19"/>
      <c r="I7078" s="19"/>
      <c r="J7078" s="21"/>
      <c r="K7078" s="19"/>
    </row>
    <row r="7079" spans="3:11" x14ac:dyDescent="0.2">
      <c r="C7079" s="19"/>
      <c r="D7079" s="19"/>
      <c r="E7079" s="19"/>
      <c r="F7079" s="20"/>
      <c r="G7079" s="19"/>
      <c r="H7079" s="19"/>
      <c r="I7079" s="19"/>
      <c r="J7079" s="21"/>
      <c r="K7079" s="19"/>
    </row>
    <row r="7080" spans="3:11" x14ac:dyDescent="0.2">
      <c r="C7080" s="19"/>
      <c r="D7080" s="19"/>
      <c r="E7080" s="19"/>
      <c r="F7080" s="20"/>
      <c r="G7080" s="19"/>
      <c r="H7080" s="19"/>
      <c r="I7080" s="19"/>
      <c r="J7080" s="19"/>
      <c r="K7080" s="19"/>
    </row>
    <row r="7081" spans="3:11" x14ac:dyDescent="0.2">
      <c r="C7081" s="19"/>
      <c r="D7081" s="19"/>
      <c r="E7081" s="19"/>
      <c r="F7081" s="20"/>
      <c r="G7081" s="19"/>
      <c r="H7081" s="19"/>
      <c r="I7081" s="19"/>
      <c r="J7081" s="21"/>
      <c r="K7081" s="19"/>
    </row>
    <row r="7082" spans="3:11" x14ac:dyDescent="0.2">
      <c r="C7082" s="19"/>
      <c r="D7082" s="19"/>
      <c r="E7082" s="19"/>
      <c r="F7082" s="20"/>
      <c r="G7082" s="19"/>
      <c r="H7082" s="19"/>
      <c r="I7082" s="19"/>
      <c r="J7082" s="21"/>
      <c r="K7082" s="19"/>
    </row>
    <row r="7083" spans="3:11" x14ac:dyDescent="0.2">
      <c r="C7083" s="19"/>
      <c r="D7083" s="19"/>
      <c r="E7083" s="19"/>
      <c r="F7083" s="20"/>
      <c r="G7083" s="19"/>
      <c r="H7083" s="19"/>
      <c r="I7083" s="19"/>
      <c r="J7083" s="19"/>
      <c r="K7083" s="19"/>
    </row>
    <row r="7084" spans="3:11" x14ac:dyDescent="0.2">
      <c r="C7084" s="19"/>
      <c r="D7084" s="19"/>
      <c r="E7084" s="19"/>
      <c r="F7084" s="20"/>
      <c r="G7084" s="19"/>
      <c r="H7084" s="19"/>
      <c r="I7084" s="19"/>
      <c r="J7084" s="21"/>
      <c r="K7084" s="19"/>
    </row>
    <row r="7085" spans="3:11" x14ac:dyDescent="0.2">
      <c r="C7085" s="19"/>
      <c r="D7085" s="19"/>
      <c r="E7085" s="19"/>
      <c r="F7085" s="20"/>
      <c r="G7085" s="19"/>
      <c r="H7085" s="19"/>
      <c r="I7085" s="19"/>
      <c r="J7085" s="21"/>
      <c r="K7085" s="19"/>
    </row>
    <row r="7086" spans="3:11" x14ac:dyDescent="0.2">
      <c r="C7086" s="19"/>
      <c r="D7086" s="19"/>
      <c r="E7086" s="19"/>
      <c r="F7086" s="20"/>
      <c r="G7086" s="19"/>
      <c r="H7086" s="19"/>
      <c r="I7086" s="19"/>
      <c r="J7086" s="21"/>
      <c r="K7086" s="19"/>
    </row>
    <row r="7087" spans="3:11" x14ac:dyDescent="0.2">
      <c r="C7087" s="19"/>
      <c r="D7087" s="19"/>
      <c r="E7087" s="19"/>
      <c r="F7087" s="20"/>
      <c r="G7087" s="19"/>
      <c r="H7087" s="19"/>
      <c r="I7087" s="19"/>
      <c r="J7087" s="21"/>
      <c r="K7087" s="19"/>
    </row>
    <row r="7088" spans="3:11" x14ac:dyDescent="0.2">
      <c r="C7088" s="19"/>
      <c r="D7088" s="19"/>
      <c r="E7088" s="19"/>
      <c r="F7088" s="20"/>
      <c r="G7088" s="19"/>
      <c r="H7088" s="19"/>
      <c r="I7088" s="19"/>
      <c r="J7088" s="21"/>
      <c r="K7088" s="19"/>
    </row>
    <row r="7089" spans="3:11" x14ac:dyDescent="0.2">
      <c r="C7089" s="19"/>
      <c r="D7089" s="19"/>
      <c r="E7089" s="19"/>
      <c r="F7089" s="20"/>
      <c r="G7089" s="19"/>
      <c r="H7089" s="19"/>
      <c r="I7089" s="19"/>
      <c r="J7089" s="21"/>
      <c r="K7089" s="19"/>
    </row>
    <row r="7090" spans="3:11" x14ac:dyDescent="0.2">
      <c r="C7090" s="19"/>
      <c r="D7090" s="19"/>
      <c r="E7090" s="19"/>
      <c r="F7090" s="20"/>
      <c r="G7090" s="19"/>
      <c r="H7090" s="19"/>
      <c r="I7090" s="19"/>
      <c r="J7090" s="21"/>
      <c r="K7090" s="19"/>
    </row>
    <row r="7091" spans="3:11" x14ac:dyDescent="0.2">
      <c r="C7091" s="19"/>
      <c r="D7091" s="19"/>
      <c r="E7091" s="19"/>
      <c r="F7091" s="20"/>
      <c r="G7091" s="19"/>
      <c r="H7091" s="19"/>
      <c r="I7091" s="19"/>
      <c r="J7091" s="21"/>
      <c r="K7091" s="19"/>
    </row>
    <row r="7092" spans="3:11" x14ac:dyDescent="0.2">
      <c r="C7092" s="19"/>
      <c r="D7092" s="19"/>
      <c r="E7092" s="19"/>
      <c r="F7092" s="20"/>
      <c r="G7092" s="19"/>
      <c r="H7092" s="19"/>
      <c r="I7092" s="19"/>
      <c r="J7092" s="21"/>
      <c r="K7092" s="19"/>
    </row>
    <row r="7093" spans="3:11" x14ac:dyDescent="0.2">
      <c r="C7093" s="19"/>
      <c r="D7093" s="19"/>
      <c r="E7093" s="19"/>
      <c r="F7093" s="20"/>
      <c r="G7093" s="19"/>
      <c r="H7093" s="19"/>
      <c r="I7093" s="19"/>
      <c r="J7093" s="21"/>
      <c r="K7093" s="19"/>
    </row>
    <row r="7094" spans="3:11" x14ac:dyDescent="0.2">
      <c r="C7094" s="19"/>
      <c r="D7094" s="19"/>
      <c r="E7094" s="19"/>
      <c r="F7094" s="20"/>
      <c r="G7094" s="19"/>
      <c r="H7094" s="19"/>
      <c r="I7094" s="19"/>
      <c r="J7094" s="21"/>
      <c r="K7094" s="19"/>
    </row>
    <row r="7095" spans="3:11" x14ac:dyDescent="0.2">
      <c r="C7095" s="19"/>
      <c r="D7095" s="19"/>
      <c r="E7095" s="19"/>
      <c r="F7095" s="20"/>
      <c r="G7095" s="19"/>
      <c r="H7095" s="19"/>
      <c r="I7095" s="19"/>
      <c r="J7095" s="21"/>
      <c r="K7095" s="19"/>
    </row>
    <row r="7096" spans="3:11" x14ac:dyDescent="0.2">
      <c r="C7096" s="19"/>
      <c r="D7096" s="19"/>
      <c r="E7096" s="19"/>
      <c r="F7096" s="20"/>
      <c r="G7096" s="19"/>
      <c r="H7096" s="19"/>
      <c r="I7096" s="19"/>
      <c r="J7096" s="21"/>
      <c r="K7096" s="19"/>
    </row>
    <row r="7097" spans="3:11" x14ac:dyDescent="0.2">
      <c r="C7097" s="19"/>
      <c r="D7097" s="19"/>
      <c r="E7097" s="19"/>
      <c r="F7097" s="20"/>
      <c r="G7097" s="19"/>
      <c r="H7097" s="19"/>
      <c r="I7097" s="19"/>
      <c r="J7097" s="21"/>
      <c r="K7097" s="19"/>
    </row>
    <row r="7098" spans="3:11" x14ac:dyDescent="0.2">
      <c r="C7098" s="19"/>
      <c r="D7098" s="19"/>
      <c r="E7098" s="19"/>
      <c r="F7098" s="20"/>
      <c r="G7098" s="19"/>
      <c r="H7098" s="19"/>
      <c r="I7098" s="19"/>
      <c r="J7098" s="21"/>
      <c r="K7098" s="19"/>
    </row>
    <row r="7099" spans="3:11" x14ac:dyDescent="0.2">
      <c r="C7099" s="19"/>
      <c r="D7099" s="19"/>
      <c r="E7099" s="19"/>
      <c r="F7099" s="20"/>
      <c r="G7099" s="19"/>
      <c r="H7099" s="19"/>
      <c r="I7099" s="19"/>
      <c r="J7099" s="21"/>
      <c r="K7099" s="19"/>
    </row>
    <row r="7100" spans="3:11" x14ac:dyDescent="0.2">
      <c r="C7100" s="19"/>
      <c r="D7100" s="19"/>
      <c r="E7100" s="19"/>
      <c r="F7100" s="20"/>
      <c r="G7100" s="19"/>
      <c r="H7100" s="19"/>
      <c r="I7100" s="19"/>
      <c r="J7100" s="21"/>
      <c r="K7100" s="19"/>
    </row>
    <row r="7101" spans="3:11" x14ac:dyDescent="0.2">
      <c r="C7101" s="19"/>
      <c r="D7101" s="19"/>
      <c r="E7101" s="19"/>
      <c r="F7101" s="20"/>
      <c r="G7101" s="19"/>
      <c r="H7101" s="19"/>
      <c r="I7101" s="19"/>
      <c r="J7101" s="21"/>
      <c r="K7101" s="19"/>
    </row>
    <row r="7102" spans="3:11" x14ac:dyDescent="0.2">
      <c r="C7102" s="19"/>
      <c r="D7102" s="19"/>
      <c r="E7102" s="19"/>
      <c r="F7102" s="20"/>
      <c r="G7102" s="19"/>
      <c r="H7102" s="19"/>
      <c r="I7102" s="19"/>
      <c r="J7102" s="19"/>
      <c r="K7102" s="19"/>
    </row>
    <row r="7103" spans="3:11" x14ac:dyDescent="0.2">
      <c r="C7103" s="19"/>
      <c r="D7103" s="19"/>
      <c r="E7103" s="19"/>
      <c r="F7103" s="20"/>
      <c r="G7103" s="19"/>
      <c r="H7103" s="19"/>
      <c r="I7103" s="19"/>
      <c r="J7103" s="21"/>
      <c r="K7103" s="19"/>
    </row>
    <row r="7104" spans="3:11" x14ac:dyDescent="0.2">
      <c r="C7104" s="19"/>
      <c r="D7104" s="19"/>
      <c r="E7104" s="19"/>
      <c r="F7104" s="20"/>
      <c r="G7104" s="19"/>
      <c r="H7104" s="19"/>
      <c r="I7104" s="19"/>
      <c r="J7104" s="21"/>
      <c r="K7104" s="19"/>
    </row>
    <row r="7105" spans="3:11" x14ac:dyDescent="0.2">
      <c r="C7105" s="19"/>
      <c r="D7105" s="19"/>
      <c r="E7105" s="19"/>
      <c r="F7105" s="20"/>
      <c r="G7105" s="19"/>
      <c r="H7105" s="19"/>
      <c r="I7105" s="19"/>
      <c r="J7105" s="21"/>
      <c r="K7105" s="19"/>
    </row>
    <row r="7106" spans="3:11" x14ac:dyDescent="0.2">
      <c r="C7106" s="19"/>
      <c r="D7106" s="19"/>
      <c r="E7106" s="19"/>
      <c r="F7106" s="20"/>
      <c r="G7106" s="19"/>
      <c r="H7106" s="19"/>
      <c r="I7106" s="19"/>
      <c r="J7106" s="21"/>
      <c r="K7106" s="19"/>
    </row>
    <row r="7107" spans="3:11" x14ac:dyDescent="0.2">
      <c r="C7107" s="19"/>
      <c r="D7107" s="19"/>
      <c r="E7107" s="19"/>
      <c r="F7107" s="20"/>
      <c r="G7107" s="19"/>
      <c r="H7107" s="19"/>
      <c r="I7107" s="19"/>
      <c r="J7107" s="21"/>
      <c r="K7107" s="19"/>
    </row>
    <row r="7108" spans="3:11" x14ac:dyDescent="0.2">
      <c r="C7108" s="19"/>
      <c r="D7108" s="19"/>
      <c r="E7108" s="19"/>
      <c r="F7108" s="20"/>
      <c r="G7108" s="19"/>
      <c r="H7108" s="19"/>
      <c r="I7108" s="19"/>
      <c r="J7108" s="21"/>
      <c r="K7108" s="19"/>
    </row>
    <row r="7109" spans="3:11" x14ac:dyDescent="0.2">
      <c r="C7109" s="19"/>
      <c r="D7109" s="19"/>
      <c r="E7109" s="19"/>
      <c r="F7109" s="20"/>
      <c r="G7109" s="19"/>
      <c r="H7109" s="19"/>
      <c r="I7109" s="19"/>
      <c r="J7109" s="21"/>
      <c r="K7109" s="19"/>
    </row>
    <row r="7110" spans="3:11" x14ac:dyDescent="0.2">
      <c r="C7110" s="19"/>
      <c r="D7110" s="19"/>
      <c r="E7110" s="19"/>
      <c r="F7110" s="20"/>
      <c r="G7110" s="19"/>
      <c r="H7110" s="19"/>
      <c r="I7110" s="19"/>
      <c r="J7110" s="21"/>
      <c r="K7110" s="19"/>
    </row>
    <row r="7111" spans="3:11" x14ac:dyDescent="0.2">
      <c r="C7111" s="19"/>
      <c r="D7111" s="19"/>
      <c r="E7111" s="19"/>
      <c r="F7111" s="20"/>
      <c r="G7111" s="19"/>
      <c r="H7111" s="19"/>
      <c r="I7111" s="19"/>
      <c r="J7111" s="21"/>
      <c r="K7111" s="19"/>
    </row>
    <row r="7112" spans="3:11" x14ac:dyDescent="0.2">
      <c r="C7112" s="19"/>
      <c r="D7112" s="19"/>
      <c r="E7112" s="19"/>
      <c r="F7112" s="20"/>
      <c r="G7112" s="19"/>
      <c r="H7112" s="19"/>
      <c r="I7112" s="19"/>
      <c r="J7112" s="21"/>
      <c r="K7112" s="19"/>
    </row>
    <row r="7113" spans="3:11" x14ac:dyDescent="0.2">
      <c r="C7113" s="19"/>
      <c r="D7113" s="19"/>
      <c r="E7113" s="19"/>
      <c r="F7113" s="20"/>
      <c r="G7113" s="19"/>
      <c r="H7113" s="19"/>
      <c r="I7113" s="19"/>
      <c r="J7113" s="21"/>
      <c r="K7113" s="19"/>
    </row>
    <row r="7114" spans="3:11" x14ac:dyDescent="0.2">
      <c r="C7114" s="19"/>
      <c r="D7114" s="19"/>
      <c r="E7114" s="19"/>
      <c r="F7114" s="20"/>
      <c r="G7114" s="19"/>
      <c r="H7114" s="19"/>
      <c r="I7114" s="19"/>
      <c r="J7114" s="21"/>
      <c r="K7114" s="19"/>
    </row>
    <row r="7115" spans="3:11" x14ac:dyDescent="0.2">
      <c r="C7115" s="19"/>
      <c r="D7115" s="19"/>
      <c r="E7115" s="19"/>
      <c r="F7115" s="20"/>
      <c r="G7115" s="19"/>
      <c r="H7115" s="19"/>
      <c r="I7115" s="19"/>
      <c r="J7115" s="21"/>
      <c r="K7115" s="19"/>
    </row>
    <row r="7116" spans="3:11" x14ac:dyDescent="0.2">
      <c r="C7116" s="19"/>
      <c r="D7116" s="19"/>
      <c r="E7116" s="19"/>
      <c r="F7116" s="20"/>
      <c r="G7116" s="19"/>
      <c r="H7116" s="19"/>
      <c r="I7116" s="19"/>
      <c r="J7116" s="21"/>
      <c r="K7116" s="19"/>
    </row>
    <row r="7117" spans="3:11" x14ac:dyDescent="0.2">
      <c r="C7117" s="19"/>
      <c r="D7117" s="19"/>
      <c r="E7117" s="19"/>
      <c r="F7117" s="20"/>
      <c r="G7117" s="19"/>
      <c r="H7117" s="19"/>
      <c r="I7117" s="19"/>
      <c r="J7117" s="21"/>
      <c r="K7117" s="19"/>
    </row>
    <row r="7118" spans="3:11" x14ac:dyDescent="0.2">
      <c r="C7118" s="19"/>
      <c r="D7118" s="19"/>
      <c r="E7118" s="19"/>
      <c r="F7118" s="20"/>
      <c r="G7118" s="19"/>
      <c r="H7118" s="19"/>
      <c r="I7118" s="19"/>
      <c r="J7118" s="21"/>
      <c r="K7118" s="19"/>
    </row>
    <row r="7119" spans="3:11" x14ac:dyDescent="0.2">
      <c r="C7119" s="19"/>
      <c r="D7119" s="19"/>
      <c r="E7119" s="19"/>
      <c r="F7119" s="20"/>
      <c r="G7119" s="19"/>
      <c r="H7119" s="19"/>
      <c r="I7119" s="19"/>
      <c r="J7119" s="21"/>
      <c r="K7119" s="19"/>
    </row>
    <row r="7120" spans="3:11" x14ac:dyDescent="0.2">
      <c r="C7120" s="19"/>
      <c r="D7120" s="19"/>
      <c r="E7120" s="19"/>
      <c r="F7120" s="20"/>
      <c r="G7120" s="19"/>
      <c r="H7120" s="19"/>
      <c r="I7120" s="19"/>
      <c r="J7120" s="21"/>
      <c r="K7120" s="19"/>
    </row>
    <row r="7121" spans="3:11" x14ac:dyDescent="0.2">
      <c r="C7121" s="19"/>
      <c r="D7121" s="19"/>
      <c r="E7121" s="19"/>
      <c r="F7121" s="20"/>
      <c r="G7121" s="19"/>
      <c r="H7121" s="19"/>
      <c r="I7121" s="19"/>
      <c r="J7121" s="21"/>
      <c r="K7121" s="19"/>
    </row>
    <row r="7122" spans="3:11" x14ac:dyDescent="0.2">
      <c r="C7122" s="19"/>
      <c r="D7122" s="19"/>
      <c r="E7122" s="19"/>
      <c r="F7122" s="20"/>
      <c r="G7122" s="19"/>
      <c r="H7122" s="19"/>
      <c r="I7122" s="19"/>
      <c r="J7122" s="21"/>
      <c r="K7122" s="19"/>
    </row>
    <row r="7123" spans="3:11" x14ac:dyDescent="0.2">
      <c r="C7123" s="19"/>
      <c r="D7123" s="19"/>
      <c r="E7123" s="19"/>
      <c r="F7123" s="20"/>
      <c r="G7123" s="19"/>
      <c r="H7123" s="19"/>
      <c r="I7123" s="19"/>
      <c r="J7123" s="21"/>
      <c r="K7123" s="19"/>
    </row>
    <row r="7124" spans="3:11" x14ac:dyDescent="0.2">
      <c r="C7124" s="19"/>
      <c r="D7124" s="19"/>
      <c r="E7124" s="19"/>
      <c r="F7124" s="20"/>
      <c r="G7124" s="19"/>
      <c r="H7124" s="19"/>
      <c r="I7124" s="19"/>
      <c r="J7124" s="21"/>
      <c r="K7124" s="19"/>
    </row>
    <row r="7125" spans="3:11" x14ac:dyDescent="0.2">
      <c r="C7125" s="19"/>
      <c r="D7125" s="19"/>
      <c r="E7125" s="19"/>
      <c r="F7125" s="20"/>
      <c r="G7125" s="19"/>
      <c r="H7125" s="19"/>
      <c r="I7125" s="19"/>
      <c r="J7125" s="21"/>
      <c r="K7125" s="19"/>
    </row>
    <row r="7126" spans="3:11" x14ac:dyDescent="0.2">
      <c r="C7126" s="19"/>
      <c r="D7126" s="19"/>
      <c r="E7126" s="19"/>
      <c r="F7126" s="20"/>
      <c r="G7126" s="19"/>
      <c r="H7126" s="19"/>
      <c r="I7126" s="19"/>
      <c r="J7126" s="21"/>
      <c r="K7126" s="19"/>
    </row>
    <row r="7127" spans="3:11" x14ac:dyDescent="0.2">
      <c r="C7127" s="19"/>
      <c r="D7127" s="19"/>
      <c r="E7127" s="19"/>
      <c r="F7127" s="20"/>
      <c r="G7127" s="19"/>
      <c r="H7127" s="19"/>
      <c r="I7127" s="19"/>
      <c r="J7127" s="19"/>
      <c r="K7127" s="19"/>
    </row>
    <row r="7128" spans="3:11" x14ac:dyDescent="0.2">
      <c r="C7128" s="19"/>
      <c r="D7128" s="19"/>
      <c r="E7128" s="19"/>
      <c r="F7128" s="20"/>
      <c r="G7128" s="19"/>
      <c r="H7128" s="19"/>
      <c r="I7128" s="19"/>
      <c r="J7128" s="19"/>
      <c r="K7128" s="19"/>
    </row>
    <row r="7129" spans="3:11" x14ac:dyDescent="0.2">
      <c r="C7129" s="19"/>
      <c r="D7129" s="19"/>
      <c r="E7129" s="19"/>
      <c r="F7129" s="20"/>
      <c r="G7129" s="19"/>
      <c r="H7129" s="19"/>
      <c r="I7129" s="19"/>
      <c r="J7129" s="21"/>
      <c r="K7129" s="19"/>
    </row>
    <row r="7130" spans="3:11" x14ac:dyDescent="0.2">
      <c r="C7130" s="19"/>
      <c r="D7130" s="19"/>
      <c r="E7130" s="19"/>
      <c r="F7130" s="20"/>
      <c r="G7130" s="19"/>
      <c r="H7130" s="19"/>
      <c r="I7130" s="19"/>
      <c r="J7130" s="21"/>
      <c r="K7130" s="19"/>
    </row>
    <row r="7131" spans="3:11" x14ac:dyDescent="0.2">
      <c r="C7131" s="19"/>
      <c r="D7131" s="19"/>
      <c r="E7131" s="19"/>
      <c r="F7131" s="20"/>
      <c r="G7131" s="19"/>
      <c r="H7131" s="19"/>
      <c r="I7131" s="19"/>
      <c r="J7131" s="21"/>
      <c r="K7131" s="19"/>
    </row>
    <row r="7132" spans="3:11" x14ac:dyDescent="0.2">
      <c r="C7132" s="19"/>
      <c r="D7132" s="19"/>
      <c r="E7132" s="19"/>
      <c r="F7132" s="20"/>
      <c r="G7132" s="19"/>
      <c r="H7132" s="19"/>
      <c r="I7132" s="19"/>
      <c r="J7132" s="21"/>
      <c r="K7132" s="19"/>
    </row>
    <row r="7133" spans="3:11" x14ac:dyDescent="0.2">
      <c r="C7133" s="19"/>
      <c r="D7133" s="19"/>
      <c r="E7133" s="19"/>
      <c r="F7133" s="20"/>
      <c r="G7133" s="19"/>
      <c r="H7133" s="19"/>
      <c r="I7133" s="19"/>
      <c r="J7133" s="21"/>
      <c r="K7133" s="19"/>
    </row>
    <row r="7134" spans="3:11" x14ac:dyDescent="0.2">
      <c r="C7134" s="19"/>
      <c r="D7134" s="19"/>
      <c r="E7134" s="19"/>
      <c r="F7134" s="20"/>
      <c r="G7134" s="19"/>
      <c r="H7134" s="19"/>
      <c r="I7134" s="19"/>
      <c r="J7134" s="21"/>
      <c r="K7134" s="19"/>
    </row>
    <row r="7135" spans="3:11" x14ac:dyDescent="0.2">
      <c r="C7135" s="19"/>
      <c r="D7135" s="19"/>
      <c r="E7135" s="19"/>
      <c r="F7135" s="20"/>
      <c r="G7135" s="19"/>
      <c r="H7135" s="19"/>
      <c r="I7135" s="19"/>
      <c r="J7135" s="21"/>
      <c r="K7135" s="19"/>
    </row>
    <row r="7136" spans="3:11" x14ac:dyDescent="0.2">
      <c r="C7136" s="19"/>
      <c r="D7136" s="19"/>
      <c r="E7136" s="19"/>
      <c r="F7136" s="20"/>
      <c r="G7136" s="19"/>
      <c r="H7136" s="19"/>
      <c r="I7136" s="19"/>
      <c r="J7136" s="21"/>
      <c r="K7136" s="19"/>
    </row>
    <row r="7137" spans="3:11" x14ac:dyDescent="0.2">
      <c r="C7137" s="19"/>
      <c r="D7137" s="19"/>
      <c r="E7137" s="19"/>
      <c r="F7137" s="20"/>
      <c r="G7137" s="19"/>
      <c r="H7137" s="19"/>
      <c r="I7137" s="19"/>
      <c r="J7137" s="21"/>
      <c r="K7137" s="19"/>
    </row>
    <row r="7138" spans="3:11" x14ac:dyDescent="0.2">
      <c r="C7138" s="19"/>
      <c r="D7138" s="19"/>
      <c r="E7138" s="19"/>
      <c r="F7138" s="20"/>
      <c r="G7138" s="19"/>
      <c r="H7138" s="19"/>
      <c r="I7138" s="19"/>
      <c r="J7138" s="21"/>
      <c r="K7138" s="19"/>
    </row>
    <row r="7139" spans="3:11" x14ac:dyDescent="0.2">
      <c r="C7139" s="19"/>
      <c r="D7139" s="19"/>
      <c r="E7139" s="19"/>
      <c r="F7139" s="20"/>
      <c r="G7139" s="19"/>
      <c r="H7139" s="19"/>
      <c r="I7139" s="19"/>
      <c r="J7139" s="21"/>
      <c r="K7139" s="19"/>
    </row>
    <row r="7140" spans="3:11" x14ac:dyDescent="0.2">
      <c r="C7140" s="19"/>
      <c r="D7140" s="19"/>
      <c r="E7140" s="19"/>
      <c r="F7140" s="20"/>
      <c r="G7140" s="19"/>
      <c r="H7140" s="19"/>
      <c r="I7140" s="19"/>
      <c r="J7140" s="21"/>
      <c r="K7140" s="19"/>
    </row>
    <row r="7141" spans="3:11" x14ac:dyDescent="0.2">
      <c r="C7141" s="19"/>
      <c r="D7141" s="19"/>
      <c r="E7141" s="19"/>
      <c r="F7141" s="20"/>
      <c r="G7141" s="19"/>
      <c r="H7141" s="19"/>
      <c r="I7141" s="19"/>
      <c r="J7141" s="21"/>
      <c r="K7141" s="19"/>
    </row>
    <row r="7142" spans="3:11" x14ac:dyDescent="0.2">
      <c r="C7142" s="19"/>
      <c r="D7142" s="19"/>
      <c r="E7142" s="19"/>
      <c r="F7142" s="20"/>
      <c r="G7142" s="19"/>
      <c r="H7142" s="19"/>
      <c r="I7142" s="19"/>
      <c r="J7142" s="21"/>
      <c r="K7142" s="19"/>
    </row>
    <row r="7143" spans="3:11" x14ac:dyDescent="0.2">
      <c r="C7143" s="19"/>
      <c r="D7143" s="19"/>
      <c r="E7143" s="19"/>
      <c r="F7143" s="20"/>
      <c r="G7143" s="19"/>
      <c r="H7143" s="19"/>
      <c r="I7143" s="19"/>
      <c r="J7143" s="21"/>
      <c r="K7143" s="19"/>
    </row>
    <row r="7144" spans="3:11" x14ac:dyDescent="0.2">
      <c r="C7144" s="19"/>
      <c r="D7144" s="19"/>
      <c r="E7144" s="19"/>
      <c r="F7144" s="20"/>
      <c r="G7144" s="19"/>
      <c r="H7144" s="19"/>
      <c r="I7144" s="19"/>
      <c r="J7144" s="21"/>
      <c r="K7144" s="19"/>
    </row>
    <row r="7145" spans="3:11" x14ac:dyDescent="0.2">
      <c r="C7145" s="19"/>
      <c r="D7145" s="19"/>
      <c r="E7145" s="19"/>
      <c r="F7145" s="20"/>
      <c r="G7145" s="19"/>
      <c r="H7145" s="19"/>
      <c r="I7145" s="19"/>
      <c r="J7145" s="21"/>
      <c r="K7145" s="19"/>
    </row>
    <row r="7146" spans="3:11" x14ac:dyDescent="0.2">
      <c r="C7146" s="19"/>
      <c r="D7146" s="19"/>
      <c r="E7146" s="19"/>
      <c r="F7146" s="20"/>
      <c r="G7146" s="19"/>
      <c r="H7146" s="19"/>
      <c r="I7146" s="19"/>
      <c r="J7146" s="21"/>
      <c r="K7146" s="19"/>
    </row>
    <row r="7147" spans="3:11" x14ac:dyDescent="0.2">
      <c r="C7147" s="19"/>
      <c r="D7147" s="19"/>
      <c r="E7147" s="19"/>
      <c r="F7147" s="20"/>
      <c r="G7147" s="19"/>
      <c r="H7147" s="19"/>
      <c r="I7147" s="19"/>
      <c r="J7147" s="21"/>
      <c r="K7147" s="19"/>
    </row>
    <row r="7148" spans="3:11" x14ac:dyDescent="0.2">
      <c r="C7148" s="19"/>
      <c r="D7148" s="19"/>
      <c r="E7148" s="19"/>
      <c r="F7148" s="20"/>
      <c r="G7148" s="19"/>
      <c r="H7148" s="19"/>
      <c r="I7148" s="19"/>
      <c r="J7148" s="21"/>
      <c r="K7148" s="19"/>
    </row>
    <row r="7149" spans="3:11" x14ac:dyDescent="0.2">
      <c r="C7149" s="19"/>
      <c r="D7149" s="19"/>
      <c r="E7149" s="19"/>
      <c r="F7149" s="20"/>
      <c r="G7149" s="19"/>
      <c r="H7149" s="19"/>
      <c r="I7149" s="19"/>
      <c r="J7149" s="21"/>
      <c r="K7149" s="19"/>
    </row>
    <row r="7150" spans="3:11" x14ac:dyDescent="0.2">
      <c r="C7150" s="19"/>
      <c r="D7150" s="19"/>
      <c r="E7150" s="19"/>
      <c r="F7150" s="20"/>
      <c r="G7150" s="19"/>
      <c r="H7150" s="19"/>
      <c r="I7150" s="19"/>
      <c r="J7150" s="21"/>
      <c r="K7150" s="19"/>
    </row>
    <row r="7151" spans="3:11" x14ac:dyDescent="0.2">
      <c r="C7151" s="19"/>
      <c r="D7151" s="19"/>
      <c r="E7151" s="19"/>
      <c r="F7151" s="20"/>
      <c r="G7151" s="19"/>
      <c r="H7151" s="19"/>
      <c r="I7151" s="19"/>
      <c r="J7151" s="21"/>
      <c r="K7151" s="19"/>
    </row>
    <row r="7152" spans="3:11" x14ac:dyDescent="0.2">
      <c r="C7152" s="19"/>
      <c r="D7152" s="19"/>
      <c r="E7152" s="19"/>
      <c r="F7152" s="20"/>
      <c r="G7152" s="19"/>
      <c r="H7152" s="19"/>
      <c r="I7152" s="19"/>
      <c r="J7152" s="21"/>
      <c r="K7152" s="19"/>
    </row>
    <row r="7153" spans="3:11" x14ac:dyDescent="0.2">
      <c r="C7153" s="19"/>
      <c r="D7153" s="19"/>
      <c r="E7153" s="19"/>
      <c r="F7153" s="20"/>
      <c r="G7153" s="19"/>
      <c r="H7153" s="19"/>
      <c r="I7153" s="19"/>
      <c r="J7153" s="21"/>
      <c r="K7153" s="19"/>
    </row>
    <row r="7154" spans="3:11" x14ac:dyDescent="0.2">
      <c r="C7154" s="19"/>
      <c r="D7154" s="19"/>
      <c r="E7154" s="19"/>
      <c r="F7154" s="20"/>
      <c r="G7154" s="19"/>
      <c r="H7154" s="19"/>
      <c r="I7154" s="19"/>
      <c r="J7154" s="21"/>
      <c r="K7154" s="19"/>
    </row>
    <row r="7155" spans="3:11" x14ac:dyDescent="0.2">
      <c r="C7155" s="19"/>
      <c r="D7155" s="19"/>
      <c r="E7155" s="19"/>
      <c r="F7155" s="20"/>
      <c r="G7155" s="19"/>
      <c r="H7155" s="19"/>
      <c r="I7155" s="19"/>
      <c r="J7155" s="21"/>
      <c r="K7155" s="19"/>
    </row>
    <row r="7156" spans="3:11" x14ac:dyDescent="0.2">
      <c r="C7156" s="19"/>
      <c r="D7156" s="19"/>
      <c r="E7156" s="19"/>
      <c r="F7156" s="20"/>
      <c r="G7156" s="19"/>
      <c r="H7156" s="19"/>
      <c r="I7156" s="19"/>
      <c r="J7156" s="21"/>
      <c r="K7156" s="19"/>
    </row>
    <row r="7157" spans="3:11" x14ac:dyDescent="0.2">
      <c r="C7157" s="19"/>
      <c r="D7157" s="19"/>
      <c r="E7157" s="19"/>
      <c r="F7157" s="20"/>
      <c r="G7157" s="19"/>
      <c r="H7157" s="19"/>
      <c r="I7157" s="19"/>
      <c r="J7157" s="21"/>
      <c r="K7157" s="19"/>
    </row>
    <row r="7158" spans="3:11" x14ac:dyDescent="0.2">
      <c r="C7158" s="19"/>
      <c r="D7158" s="19"/>
      <c r="E7158" s="19"/>
      <c r="F7158" s="20"/>
      <c r="G7158" s="19"/>
      <c r="H7158" s="19"/>
      <c r="I7158" s="19"/>
      <c r="J7158" s="21"/>
      <c r="K7158" s="19"/>
    </row>
    <row r="7159" spans="3:11" x14ac:dyDescent="0.2">
      <c r="C7159" s="19"/>
      <c r="D7159" s="19"/>
      <c r="E7159" s="19"/>
      <c r="F7159" s="20"/>
      <c r="G7159" s="19"/>
      <c r="H7159" s="19"/>
      <c r="I7159" s="19"/>
      <c r="J7159" s="21"/>
      <c r="K7159" s="19"/>
    </row>
    <row r="7160" spans="3:11" x14ac:dyDescent="0.2">
      <c r="C7160" s="19"/>
      <c r="D7160" s="19"/>
      <c r="E7160" s="19"/>
      <c r="F7160" s="20"/>
      <c r="G7160" s="19"/>
      <c r="H7160" s="19"/>
      <c r="I7160" s="19"/>
      <c r="J7160" s="21"/>
      <c r="K7160" s="19"/>
    </row>
    <row r="7161" spans="3:11" x14ac:dyDescent="0.2">
      <c r="C7161" s="19"/>
      <c r="D7161" s="19"/>
      <c r="E7161" s="19"/>
      <c r="F7161" s="20"/>
      <c r="G7161" s="19"/>
      <c r="H7161" s="19"/>
      <c r="I7161" s="19"/>
      <c r="J7161" s="19"/>
      <c r="K7161" s="19"/>
    </row>
    <row r="7162" spans="3:11" x14ac:dyDescent="0.2">
      <c r="C7162" s="19"/>
      <c r="D7162" s="19"/>
      <c r="E7162" s="19"/>
      <c r="F7162" s="20"/>
      <c r="G7162" s="19"/>
      <c r="H7162" s="19"/>
      <c r="I7162" s="19"/>
      <c r="J7162" s="21"/>
      <c r="K7162" s="19"/>
    </row>
    <row r="7163" spans="3:11" x14ac:dyDescent="0.2">
      <c r="C7163" s="19"/>
      <c r="D7163" s="19"/>
      <c r="E7163" s="19"/>
      <c r="F7163" s="20"/>
      <c r="G7163" s="19"/>
      <c r="H7163" s="19"/>
      <c r="I7163" s="19"/>
      <c r="J7163" s="19"/>
      <c r="K7163" s="19"/>
    </row>
    <row r="7164" spans="3:11" x14ac:dyDescent="0.2">
      <c r="C7164" s="19"/>
      <c r="D7164" s="19"/>
      <c r="E7164" s="19"/>
      <c r="F7164" s="20"/>
      <c r="G7164" s="19"/>
      <c r="H7164" s="19"/>
      <c r="I7164" s="19"/>
      <c r="J7164" s="21"/>
      <c r="K7164" s="19"/>
    </row>
    <row r="7165" spans="3:11" x14ac:dyDescent="0.2">
      <c r="C7165" s="19"/>
      <c r="D7165" s="19"/>
      <c r="E7165" s="19"/>
      <c r="F7165" s="20"/>
      <c r="G7165" s="19"/>
      <c r="H7165" s="19"/>
      <c r="I7165" s="19"/>
      <c r="J7165" s="19"/>
      <c r="K7165" s="19"/>
    </row>
    <row r="7166" spans="3:11" x14ac:dyDescent="0.2">
      <c r="C7166" s="19"/>
      <c r="D7166" s="19"/>
      <c r="E7166" s="19"/>
      <c r="F7166" s="20"/>
      <c r="G7166" s="19"/>
      <c r="H7166" s="19"/>
      <c r="I7166" s="19"/>
      <c r="J7166" s="21"/>
      <c r="K7166" s="19"/>
    </row>
    <row r="7167" spans="3:11" x14ac:dyDescent="0.2">
      <c r="C7167" s="19"/>
      <c r="D7167" s="19"/>
      <c r="E7167" s="19"/>
      <c r="F7167" s="20"/>
      <c r="G7167" s="19"/>
      <c r="H7167" s="19"/>
      <c r="I7167" s="19"/>
      <c r="J7167" s="21"/>
      <c r="K7167" s="19"/>
    </row>
    <row r="7168" spans="3:11" x14ac:dyDescent="0.2">
      <c r="C7168" s="19"/>
      <c r="D7168" s="19"/>
      <c r="E7168" s="19"/>
      <c r="F7168" s="20"/>
      <c r="G7168" s="19"/>
      <c r="H7168" s="19"/>
      <c r="I7168" s="19"/>
      <c r="J7168" s="21"/>
      <c r="K7168" s="19"/>
    </row>
    <row r="7169" spans="3:11" x14ac:dyDescent="0.2">
      <c r="C7169" s="19"/>
      <c r="D7169" s="19"/>
      <c r="E7169" s="19"/>
      <c r="F7169" s="20"/>
      <c r="G7169" s="19"/>
      <c r="H7169" s="19"/>
      <c r="I7169" s="19"/>
      <c r="J7169" s="21"/>
      <c r="K7169" s="19"/>
    </row>
    <row r="7170" spans="3:11" x14ac:dyDescent="0.2">
      <c r="C7170" s="19"/>
      <c r="D7170" s="19"/>
      <c r="E7170" s="19"/>
      <c r="F7170" s="20"/>
      <c r="G7170" s="19"/>
      <c r="H7170" s="19"/>
      <c r="I7170" s="19"/>
      <c r="J7170" s="21"/>
      <c r="K7170" s="19"/>
    </row>
    <row r="7171" spans="3:11" x14ac:dyDescent="0.2">
      <c r="C7171" s="19"/>
      <c r="D7171" s="19"/>
      <c r="E7171" s="19"/>
      <c r="F7171" s="20"/>
      <c r="G7171" s="19"/>
      <c r="H7171" s="19"/>
      <c r="I7171" s="19"/>
      <c r="J7171" s="21"/>
      <c r="K7171" s="19"/>
    </row>
    <row r="7172" spans="3:11" x14ac:dyDescent="0.2">
      <c r="C7172" s="19"/>
      <c r="D7172" s="19"/>
      <c r="E7172" s="19"/>
      <c r="F7172" s="20"/>
      <c r="G7172" s="19"/>
      <c r="H7172" s="19"/>
      <c r="I7172" s="19"/>
      <c r="J7172" s="21"/>
      <c r="K7172" s="19"/>
    </row>
    <row r="7173" spans="3:11" x14ac:dyDescent="0.2">
      <c r="C7173" s="19"/>
      <c r="D7173" s="19"/>
      <c r="E7173" s="19"/>
      <c r="F7173" s="20"/>
      <c r="G7173" s="19"/>
      <c r="H7173" s="19"/>
      <c r="I7173" s="19"/>
      <c r="J7173" s="21"/>
      <c r="K7173" s="19"/>
    </row>
    <row r="7174" spans="3:11" x14ac:dyDescent="0.2">
      <c r="C7174" s="19"/>
      <c r="D7174" s="19"/>
      <c r="E7174" s="19"/>
      <c r="F7174" s="20"/>
      <c r="G7174" s="19"/>
      <c r="H7174" s="19"/>
      <c r="I7174" s="19"/>
      <c r="J7174" s="21"/>
      <c r="K7174" s="19"/>
    </row>
    <row r="7175" spans="3:11" x14ac:dyDescent="0.2">
      <c r="C7175" s="19"/>
      <c r="D7175" s="19"/>
      <c r="E7175" s="19"/>
      <c r="F7175" s="20"/>
      <c r="G7175" s="19"/>
      <c r="H7175" s="19"/>
      <c r="I7175" s="19"/>
      <c r="J7175" s="21"/>
      <c r="K7175" s="19"/>
    </row>
    <row r="7176" spans="3:11" x14ac:dyDescent="0.2">
      <c r="C7176" s="19"/>
      <c r="D7176" s="19"/>
      <c r="E7176" s="19"/>
      <c r="F7176" s="20"/>
      <c r="G7176" s="19"/>
      <c r="H7176" s="19"/>
      <c r="I7176" s="19"/>
      <c r="J7176" s="21"/>
      <c r="K7176" s="19"/>
    </row>
    <row r="7177" spans="3:11" x14ac:dyDescent="0.2">
      <c r="C7177" s="19"/>
      <c r="D7177" s="19"/>
      <c r="E7177" s="19"/>
      <c r="F7177" s="20"/>
      <c r="G7177" s="19"/>
      <c r="H7177" s="19"/>
      <c r="I7177" s="19"/>
      <c r="J7177" s="21"/>
      <c r="K7177" s="19"/>
    </row>
    <row r="7178" spans="3:11" x14ac:dyDescent="0.2">
      <c r="C7178" s="19"/>
      <c r="D7178" s="19"/>
      <c r="E7178" s="19"/>
      <c r="F7178" s="20"/>
      <c r="G7178" s="19"/>
      <c r="H7178" s="19"/>
      <c r="I7178" s="19"/>
      <c r="J7178" s="21"/>
      <c r="K7178" s="19"/>
    </row>
    <row r="7179" spans="3:11" x14ac:dyDescent="0.2">
      <c r="C7179" s="19"/>
      <c r="D7179" s="19"/>
      <c r="E7179" s="19"/>
      <c r="F7179" s="20"/>
      <c r="G7179" s="19"/>
      <c r="H7179" s="19"/>
      <c r="I7179" s="19"/>
      <c r="J7179" s="21"/>
      <c r="K7179" s="19"/>
    </row>
    <row r="7180" spans="3:11" x14ac:dyDescent="0.2">
      <c r="C7180" s="19"/>
      <c r="D7180" s="19"/>
      <c r="E7180" s="19"/>
      <c r="F7180" s="20"/>
      <c r="G7180" s="19"/>
      <c r="H7180" s="19"/>
      <c r="I7180" s="19"/>
      <c r="J7180" s="21"/>
      <c r="K7180" s="19"/>
    </row>
    <row r="7181" spans="3:11" x14ac:dyDescent="0.2">
      <c r="C7181" s="19"/>
      <c r="D7181" s="19"/>
      <c r="E7181" s="19"/>
      <c r="F7181" s="20"/>
      <c r="G7181" s="19"/>
      <c r="H7181" s="19"/>
      <c r="I7181" s="19"/>
      <c r="J7181" s="21"/>
      <c r="K7181" s="19"/>
    </row>
    <row r="7182" spans="3:11" x14ac:dyDescent="0.2">
      <c r="C7182" s="19"/>
      <c r="D7182" s="19"/>
      <c r="E7182" s="19"/>
      <c r="F7182" s="20"/>
      <c r="G7182" s="19"/>
      <c r="H7182" s="19"/>
      <c r="I7182" s="19"/>
      <c r="J7182" s="21"/>
      <c r="K7182" s="19"/>
    </row>
    <row r="7183" spans="3:11" x14ac:dyDescent="0.2">
      <c r="C7183" s="19"/>
      <c r="D7183" s="19"/>
      <c r="E7183" s="19"/>
      <c r="F7183" s="20"/>
      <c r="G7183" s="19"/>
      <c r="H7183" s="19"/>
      <c r="I7183" s="19"/>
      <c r="J7183" s="21"/>
      <c r="K7183" s="19"/>
    </row>
    <row r="7184" spans="3:11" x14ac:dyDescent="0.2">
      <c r="C7184" s="19"/>
      <c r="D7184" s="19"/>
      <c r="E7184" s="19"/>
      <c r="F7184" s="20"/>
      <c r="G7184" s="19"/>
      <c r="H7184" s="19"/>
      <c r="I7184" s="19"/>
      <c r="J7184" s="21"/>
      <c r="K7184" s="19"/>
    </row>
    <row r="7185" spans="3:11" x14ac:dyDescent="0.2">
      <c r="C7185" s="19"/>
      <c r="D7185" s="19"/>
      <c r="E7185" s="19"/>
      <c r="F7185" s="20"/>
      <c r="G7185" s="19"/>
      <c r="H7185" s="19"/>
      <c r="I7185" s="19"/>
      <c r="J7185" s="21"/>
      <c r="K7185" s="19"/>
    </row>
    <row r="7186" spans="3:11" x14ac:dyDescent="0.2">
      <c r="C7186" s="19"/>
      <c r="D7186" s="19"/>
      <c r="E7186" s="19"/>
      <c r="F7186" s="20"/>
      <c r="G7186" s="19"/>
      <c r="H7186" s="19"/>
      <c r="I7186" s="19"/>
      <c r="J7186" s="21"/>
      <c r="K7186" s="19"/>
    </row>
    <row r="7187" spans="3:11" x14ac:dyDescent="0.2">
      <c r="C7187" s="19"/>
      <c r="D7187" s="19"/>
      <c r="E7187" s="19"/>
      <c r="F7187" s="20"/>
      <c r="G7187" s="19"/>
      <c r="H7187" s="19"/>
      <c r="I7187" s="19"/>
      <c r="J7187" s="21"/>
      <c r="K7187" s="19"/>
    </row>
    <row r="7188" spans="3:11" x14ac:dyDescent="0.2">
      <c r="C7188" s="19"/>
      <c r="D7188" s="19"/>
      <c r="E7188" s="19"/>
      <c r="F7188" s="20"/>
      <c r="G7188" s="19"/>
      <c r="H7188" s="19"/>
      <c r="I7188" s="19"/>
      <c r="J7188" s="21"/>
      <c r="K7188" s="19"/>
    </row>
    <row r="7189" spans="3:11" x14ac:dyDescent="0.2">
      <c r="C7189" s="19"/>
      <c r="D7189" s="19"/>
      <c r="E7189" s="19"/>
      <c r="F7189" s="20"/>
      <c r="G7189" s="19"/>
      <c r="H7189" s="19"/>
      <c r="I7189" s="19"/>
      <c r="J7189" s="21"/>
      <c r="K7189" s="19"/>
    </row>
    <row r="7190" spans="3:11" x14ac:dyDescent="0.2">
      <c r="C7190" s="19"/>
      <c r="D7190" s="19"/>
      <c r="E7190" s="19"/>
      <c r="F7190" s="20"/>
      <c r="G7190" s="19"/>
      <c r="H7190" s="19"/>
      <c r="I7190" s="19"/>
      <c r="J7190" s="21"/>
      <c r="K7190" s="19"/>
    </row>
    <row r="7191" spans="3:11" x14ac:dyDescent="0.2">
      <c r="C7191" s="19"/>
      <c r="D7191" s="19"/>
      <c r="E7191" s="19"/>
      <c r="F7191" s="20"/>
      <c r="G7191" s="19"/>
      <c r="H7191" s="19"/>
      <c r="I7191" s="19"/>
      <c r="J7191" s="21"/>
      <c r="K7191" s="19"/>
    </row>
    <row r="7192" spans="3:11" x14ac:dyDescent="0.2">
      <c r="C7192" s="19"/>
      <c r="D7192" s="19"/>
      <c r="E7192" s="19"/>
      <c r="F7192" s="20"/>
      <c r="G7192" s="19"/>
      <c r="H7192" s="19"/>
      <c r="I7192" s="19"/>
      <c r="J7192" s="21"/>
      <c r="K7192" s="19"/>
    </row>
    <row r="7193" spans="3:11" x14ac:dyDescent="0.2">
      <c r="C7193" s="19"/>
      <c r="D7193" s="19"/>
      <c r="E7193" s="19"/>
      <c r="F7193" s="20"/>
      <c r="G7193" s="19"/>
      <c r="H7193" s="19"/>
      <c r="I7193" s="19"/>
      <c r="J7193" s="21"/>
      <c r="K7193" s="19"/>
    </row>
    <row r="7194" spans="3:11" x14ac:dyDescent="0.2">
      <c r="C7194" s="19"/>
      <c r="D7194" s="19"/>
      <c r="E7194" s="19"/>
      <c r="F7194" s="20"/>
      <c r="G7194" s="19"/>
      <c r="H7194" s="19"/>
      <c r="I7194" s="19"/>
      <c r="J7194" s="19"/>
      <c r="K7194" s="19"/>
    </row>
    <row r="7195" spans="3:11" x14ac:dyDescent="0.2">
      <c r="C7195" s="19"/>
      <c r="D7195" s="19"/>
      <c r="E7195" s="19"/>
      <c r="F7195" s="20"/>
      <c r="G7195" s="19"/>
      <c r="H7195" s="19"/>
      <c r="I7195" s="19"/>
      <c r="J7195" s="21"/>
      <c r="K7195" s="19"/>
    </row>
    <row r="7196" spans="3:11" x14ac:dyDescent="0.2">
      <c r="C7196" s="19"/>
      <c r="D7196" s="19"/>
      <c r="E7196" s="19"/>
      <c r="F7196" s="20"/>
      <c r="G7196" s="19"/>
      <c r="H7196" s="19"/>
      <c r="I7196" s="19"/>
      <c r="J7196" s="19"/>
      <c r="K7196" s="19"/>
    </row>
    <row r="7197" spans="3:11" x14ac:dyDescent="0.2">
      <c r="C7197" s="19"/>
      <c r="D7197" s="19"/>
      <c r="E7197" s="19"/>
      <c r="F7197" s="20"/>
      <c r="G7197" s="19"/>
      <c r="H7197" s="19"/>
      <c r="I7197" s="19"/>
      <c r="J7197" s="21"/>
      <c r="K7197" s="19"/>
    </row>
    <row r="7198" spans="3:11" x14ac:dyDescent="0.2">
      <c r="C7198" s="19"/>
      <c r="D7198" s="19"/>
      <c r="E7198" s="19"/>
      <c r="F7198" s="20"/>
      <c r="G7198" s="19"/>
      <c r="H7198" s="19"/>
      <c r="I7198" s="19"/>
      <c r="J7198" s="21"/>
      <c r="K7198" s="19"/>
    </row>
    <row r="7199" spans="3:11" x14ac:dyDescent="0.2">
      <c r="C7199" s="19"/>
      <c r="D7199" s="19"/>
      <c r="E7199" s="19"/>
      <c r="F7199" s="20"/>
      <c r="G7199" s="19"/>
      <c r="H7199" s="19"/>
      <c r="I7199" s="19"/>
      <c r="J7199" s="21"/>
      <c r="K7199" s="19"/>
    </row>
    <row r="7200" spans="3:11" x14ac:dyDescent="0.2">
      <c r="C7200" s="19"/>
      <c r="D7200" s="19"/>
      <c r="E7200" s="19"/>
      <c r="F7200" s="20"/>
      <c r="G7200" s="19"/>
      <c r="H7200" s="19"/>
      <c r="I7200" s="19"/>
      <c r="J7200" s="21"/>
      <c r="K7200" s="19"/>
    </row>
    <row r="7201" spans="3:11" x14ac:dyDescent="0.2">
      <c r="C7201" s="19"/>
      <c r="D7201" s="19"/>
      <c r="E7201" s="19"/>
      <c r="F7201" s="20"/>
      <c r="G7201" s="19"/>
      <c r="H7201" s="19"/>
      <c r="I7201" s="19"/>
      <c r="J7201" s="21"/>
      <c r="K7201" s="19"/>
    </row>
    <row r="7202" spans="3:11" x14ac:dyDescent="0.2">
      <c r="C7202" s="19"/>
      <c r="D7202" s="19"/>
      <c r="E7202" s="19"/>
      <c r="F7202" s="20"/>
      <c r="G7202" s="19"/>
      <c r="H7202" s="19"/>
      <c r="I7202" s="19"/>
      <c r="J7202" s="21"/>
      <c r="K7202" s="19"/>
    </row>
    <row r="7203" spans="3:11" x14ac:dyDescent="0.2">
      <c r="C7203" s="19"/>
      <c r="D7203" s="19"/>
      <c r="E7203" s="19"/>
      <c r="F7203" s="20"/>
      <c r="G7203" s="19"/>
      <c r="H7203" s="19"/>
      <c r="I7203" s="19"/>
      <c r="J7203" s="21"/>
      <c r="K7203" s="19"/>
    </row>
    <row r="7204" spans="3:11" x14ac:dyDescent="0.2">
      <c r="C7204" s="19"/>
      <c r="D7204" s="19"/>
      <c r="E7204" s="19"/>
      <c r="F7204" s="20"/>
      <c r="G7204" s="19"/>
      <c r="H7204" s="19"/>
      <c r="I7204" s="19"/>
      <c r="J7204" s="21"/>
      <c r="K7204" s="19"/>
    </row>
    <row r="7205" spans="3:11" x14ac:dyDescent="0.2">
      <c r="C7205" s="19"/>
      <c r="D7205" s="19"/>
      <c r="E7205" s="19"/>
      <c r="F7205" s="20"/>
      <c r="G7205" s="19"/>
      <c r="H7205" s="19"/>
      <c r="I7205" s="19"/>
      <c r="J7205" s="21"/>
      <c r="K7205" s="19"/>
    </row>
    <row r="7206" spans="3:11" x14ac:dyDescent="0.2">
      <c r="C7206" s="19"/>
      <c r="D7206" s="19"/>
      <c r="E7206" s="19"/>
      <c r="F7206" s="20"/>
      <c r="G7206" s="19"/>
      <c r="H7206" s="19"/>
      <c r="I7206" s="19"/>
      <c r="J7206" s="21"/>
      <c r="K7206" s="19"/>
    </row>
    <row r="7207" spans="3:11" x14ac:dyDescent="0.2">
      <c r="C7207" s="19"/>
      <c r="D7207" s="19"/>
      <c r="E7207" s="19"/>
      <c r="F7207" s="20"/>
      <c r="G7207" s="19"/>
      <c r="H7207" s="19"/>
      <c r="I7207" s="19"/>
      <c r="J7207" s="21"/>
      <c r="K7207" s="19"/>
    </row>
    <row r="7208" spans="3:11" x14ac:dyDescent="0.2">
      <c r="C7208" s="19"/>
      <c r="D7208" s="19"/>
      <c r="E7208" s="19"/>
      <c r="F7208" s="20"/>
      <c r="G7208" s="19"/>
      <c r="H7208" s="19"/>
      <c r="I7208" s="19"/>
      <c r="J7208" s="21"/>
      <c r="K7208" s="19"/>
    </row>
    <row r="7209" spans="3:11" x14ac:dyDescent="0.2">
      <c r="C7209" s="19"/>
      <c r="D7209" s="19"/>
      <c r="E7209" s="19"/>
      <c r="F7209" s="20"/>
      <c r="G7209" s="19"/>
      <c r="H7209" s="19"/>
      <c r="I7209" s="19"/>
      <c r="J7209" s="21"/>
      <c r="K7209" s="19"/>
    </row>
    <row r="7210" spans="3:11" x14ac:dyDescent="0.2">
      <c r="C7210" s="19"/>
      <c r="D7210" s="19"/>
      <c r="E7210" s="19"/>
      <c r="F7210" s="20"/>
      <c r="G7210" s="19"/>
      <c r="H7210" s="19"/>
      <c r="I7210" s="19"/>
      <c r="J7210" s="21"/>
      <c r="K7210" s="19"/>
    </row>
    <row r="7211" spans="3:11" x14ac:dyDescent="0.2">
      <c r="C7211" s="19"/>
      <c r="D7211" s="19"/>
      <c r="E7211" s="19"/>
      <c r="F7211" s="20"/>
      <c r="G7211" s="19"/>
      <c r="H7211" s="19"/>
      <c r="I7211" s="19"/>
      <c r="J7211" s="21"/>
      <c r="K7211" s="19"/>
    </row>
    <row r="7212" spans="3:11" x14ac:dyDescent="0.2">
      <c r="C7212" s="19"/>
      <c r="D7212" s="19"/>
      <c r="E7212" s="19"/>
      <c r="F7212" s="20"/>
      <c r="G7212" s="19"/>
      <c r="H7212" s="19"/>
      <c r="I7212" s="19"/>
      <c r="J7212" s="21"/>
      <c r="K7212" s="19"/>
    </row>
    <row r="7213" spans="3:11" x14ac:dyDescent="0.2">
      <c r="C7213" s="19"/>
      <c r="D7213" s="19"/>
      <c r="E7213" s="19"/>
      <c r="F7213" s="20"/>
      <c r="G7213" s="19"/>
      <c r="H7213" s="19"/>
      <c r="I7213" s="19"/>
      <c r="J7213" s="21"/>
      <c r="K7213" s="19"/>
    </row>
    <row r="7214" spans="3:11" x14ac:dyDescent="0.2">
      <c r="C7214" s="19"/>
      <c r="D7214" s="19"/>
      <c r="E7214" s="19"/>
      <c r="F7214" s="20"/>
      <c r="G7214" s="19"/>
      <c r="H7214" s="19"/>
      <c r="I7214" s="19"/>
      <c r="J7214" s="21"/>
      <c r="K7214" s="19"/>
    </row>
    <row r="7215" spans="3:11" x14ac:dyDescent="0.2">
      <c r="C7215" s="19"/>
      <c r="D7215" s="19"/>
      <c r="E7215" s="19"/>
      <c r="F7215" s="20"/>
      <c r="G7215" s="19"/>
      <c r="H7215" s="19"/>
      <c r="I7215" s="19"/>
      <c r="J7215" s="21"/>
      <c r="K7215" s="19"/>
    </row>
    <row r="7216" spans="3:11" x14ac:dyDescent="0.2">
      <c r="C7216" s="19"/>
      <c r="D7216" s="19"/>
      <c r="E7216" s="19"/>
      <c r="F7216" s="20"/>
      <c r="G7216" s="19"/>
      <c r="H7216" s="19"/>
      <c r="I7216" s="19"/>
      <c r="J7216" s="21"/>
      <c r="K7216" s="19"/>
    </row>
    <row r="7217" spans="3:11" x14ac:dyDescent="0.2">
      <c r="C7217" s="19"/>
      <c r="D7217" s="19"/>
      <c r="E7217" s="19"/>
      <c r="F7217" s="20"/>
      <c r="G7217" s="19"/>
      <c r="H7217" s="19"/>
      <c r="I7217" s="19"/>
      <c r="J7217" s="21"/>
      <c r="K7217" s="19"/>
    </row>
    <row r="7218" spans="3:11" x14ac:dyDescent="0.2">
      <c r="C7218" s="19"/>
      <c r="D7218" s="19"/>
      <c r="E7218" s="19"/>
      <c r="F7218" s="20"/>
      <c r="G7218" s="19"/>
      <c r="H7218" s="19"/>
      <c r="I7218" s="19"/>
      <c r="J7218" s="21"/>
      <c r="K7218" s="19"/>
    </row>
    <row r="7219" spans="3:11" x14ac:dyDescent="0.2">
      <c r="C7219" s="19"/>
      <c r="D7219" s="19"/>
      <c r="E7219" s="19"/>
      <c r="F7219" s="20"/>
      <c r="G7219" s="19"/>
      <c r="H7219" s="19"/>
      <c r="I7219" s="19"/>
      <c r="J7219" s="19"/>
      <c r="K7219" s="19"/>
    </row>
    <row r="7220" spans="3:11" x14ac:dyDescent="0.2">
      <c r="C7220" s="19"/>
      <c r="D7220" s="19"/>
      <c r="E7220" s="19"/>
      <c r="F7220" s="20"/>
      <c r="G7220" s="19"/>
      <c r="H7220" s="19"/>
      <c r="I7220" s="19"/>
      <c r="J7220" s="21"/>
      <c r="K7220" s="19"/>
    </row>
    <row r="7221" spans="3:11" x14ac:dyDescent="0.2">
      <c r="C7221" s="19"/>
      <c r="D7221" s="19"/>
      <c r="E7221" s="19"/>
      <c r="F7221" s="20"/>
      <c r="G7221" s="19"/>
      <c r="H7221" s="19"/>
      <c r="I7221" s="19"/>
      <c r="J7221" s="21"/>
      <c r="K7221" s="19"/>
    </row>
    <row r="7222" spans="3:11" x14ac:dyDescent="0.2">
      <c r="C7222" s="19"/>
      <c r="D7222" s="19"/>
      <c r="E7222" s="19"/>
      <c r="F7222" s="20"/>
      <c r="G7222" s="19"/>
      <c r="H7222" s="19"/>
      <c r="I7222" s="19"/>
      <c r="J7222" s="21"/>
      <c r="K7222" s="19"/>
    </row>
    <row r="7223" spans="3:11" x14ac:dyDescent="0.2">
      <c r="C7223" s="19"/>
      <c r="D7223" s="19"/>
      <c r="E7223" s="19"/>
      <c r="F7223" s="20"/>
      <c r="G7223" s="19"/>
      <c r="H7223" s="19"/>
      <c r="I7223" s="19"/>
      <c r="J7223" s="21"/>
      <c r="K7223" s="19"/>
    </row>
    <row r="7224" spans="3:11" x14ac:dyDescent="0.2">
      <c r="C7224" s="19"/>
      <c r="D7224" s="19"/>
      <c r="E7224" s="19"/>
      <c r="F7224" s="20"/>
      <c r="G7224" s="19"/>
      <c r="H7224" s="19"/>
      <c r="I7224" s="19"/>
      <c r="J7224" s="19"/>
      <c r="K7224" s="19"/>
    </row>
    <row r="7225" spans="3:11" x14ac:dyDescent="0.2">
      <c r="C7225" s="19"/>
      <c r="D7225" s="19"/>
      <c r="E7225" s="19"/>
      <c r="F7225" s="20"/>
      <c r="G7225" s="19"/>
      <c r="H7225" s="19"/>
      <c r="I7225" s="19"/>
      <c r="J7225" s="21"/>
      <c r="K7225" s="19"/>
    </row>
    <row r="7226" spans="3:11" x14ac:dyDescent="0.2">
      <c r="C7226" s="19"/>
      <c r="D7226" s="19"/>
      <c r="E7226" s="19"/>
      <c r="F7226" s="20"/>
      <c r="G7226" s="19"/>
      <c r="H7226" s="19"/>
      <c r="I7226" s="19"/>
      <c r="J7226" s="21"/>
      <c r="K7226" s="19"/>
    </row>
    <row r="7227" spans="3:11" x14ac:dyDescent="0.2">
      <c r="C7227" s="19"/>
      <c r="D7227" s="19"/>
      <c r="E7227" s="19"/>
      <c r="F7227" s="20"/>
      <c r="G7227" s="19"/>
      <c r="H7227" s="19"/>
      <c r="I7227" s="19"/>
      <c r="J7227" s="21"/>
      <c r="K7227" s="19"/>
    </row>
    <row r="7228" spans="3:11" x14ac:dyDescent="0.2">
      <c r="C7228" s="19"/>
      <c r="D7228" s="19"/>
      <c r="E7228" s="19"/>
      <c r="F7228" s="20"/>
      <c r="G7228" s="19"/>
      <c r="H7228" s="19"/>
      <c r="I7228" s="19"/>
      <c r="J7228" s="19"/>
      <c r="K7228" s="19"/>
    </row>
    <row r="7229" spans="3:11" x14ac:dyDescent="0.2">
      <c r="C7229" s="19"/>
      <c r="D7229" s="19"/>
      <c r="E7229" s="19"/>
      <c r="F7229" s="20"/>
      <c r="G7229" s="19"/>
      <c r="H7229" s="19"/>
      <c r="I7229" s="19"/>
      <c r="J7229" s="21"/>
      <c r="K7229" s="19"/>
    </row>
    <row r="7230" spans="3:11" x14ac:dyDescent="0.2">
      <c r="C7230" s="19"/>
      <c r="D7230" s="19"/>
      <c r="E7230" s="19"/>
      <c r="F7230" s="20"/>
      <c r="G7230" s="19"/>
      <c r="H7230" s="19"/>
      <c r="I7230" s="19"/>
      <c r="J7230" s="21"/>
      <c r="K7230" s="19"/>
    </row>
    <row r="7231" spans="3:11" x14ac:dyDescent="0.2">
      <c r="C7231" s="19"/>
      <c r="D7231" s="19"/>
      <c r="E7231" s="19"/>
      <c r="F7231" s="20"/>
      <c r="G7231" s="19"/>
      <c r="H7231" s="19"/>
      <c r="I7231" s="19"/>
      <c r="J7231" s="21"/>
      <c r="K7231" s="19"/>
    </row>
    <row r="7232" spans="3:11" x14ac:dyDescent="0.2">
      <c r="C7232" s="19"/>
      <c r="D7232" s="19"/>
      <c r="E7232" s="19"/>
      <c r="F7232" s="20"/>
      <c r="G7232" s="19"/>
      <c r="H7232" s="19"/>
      <c r="I7232" s="19"/>
      <c r="J7232" s="21"/>
      <c r="K7232" s="19"/>
    </row>
    <row r="7233" spans="3:11" x14ac:dyDescent="0.2">
      <c r="C7233" s="19"/>
      <c r="D7233" s="19"/>
      <c r="E7233" s="19"/>
      <c r="F7233" s="20"/>
      <c r="G7233" s="19"/>
      <c r="H7233" s="19"/>
      <c r="I7233" s="19"/>
      <c r="J7233" s="21"/>
      <c r="K7233" s="19"/>
    </row>
    <row r="7234" spans="3:11" x14ac:dyDescent="0.2">
      <c r="C7234" s="19"/>
      <c r="D7234" s="19"/>
      <c r="E7234" s="19"/>
      <c r="F7234" s="20"/>
      <c r="G7234" s="19"/>
      <c r="H7234" s="19"/>
      <c r="I7234" s="19"/>
      <c r="J7234" s="21"/>
      <c r="K7234" s="19"/>
    </row>
    <row r="7235" spans="3:11" x14ac:dyDescent="0.2">
      <c r="C7235" s="19"/>
      <c r="D7235" s="19"/>
      <c r="E7235" s="19"/>
      <c r="F7235" s="20"/>
      <c r="G7235" s="19"/>
      <c r="H7235" s="19"/>
      <c r="I7235" s="19"/>
      <c r="J7235" s="21"/>
      <c r="K7235" s="19"/>
    </row>
    <row r="7236" spans="3:11" x14ac:dyDescent="0.2">
      <c r="C7236" s="19"/>
      <c r="D7236" s="19"/>
      <c r="E7236" s="19"/>
      <c r="F7236" s="20"/>
      <c r="G7236" s="19"/>
      <c r="H7236" s="19"/>
      <c r="I7236" s="19"/>
      <c r="J7236" s="21"/>
      <c r="K7236" s="19"/>
    </row>
    <row r="7237" spans="3:11" x14ac:dyDescent="0.2">
      <c r="C7237" s="19"/>
      <c r="D7237" s="19"/>
      <c r="E7237" s="19"/>
      <c r="F7237" s="20"/>
      <c r="G7237" s="19"/>
      <c r="H7237" s="19"/>
      <c r="I7237" s="19"/>
      <c r="J7237" s="21"/>
      <c r="K7237" s="19"/>
    </row>
    <row r="7238" spans="3:11" x14ac:dyDescent="0.2">
      <c r="C7238" s="19"/>
      <c r="D7238" s="19"/>
      <c r="E7238" s="19"/>
      <c r="F7238" s="20"/>
      <c r="G7238" s="19"/>
      <c r="H7238" s="19"/>
      <c r="I7238" s="19"/>
      <c r="J7238" s="21"/>
      <c r="K7238" s="19"/>
    </row>
    <row r="7239" spans="3:11" x14ac:dyDescent="0.2">
      <c r="C7239" s="19"/>
      <c r="D7239" s="19"/>
      <c r="E7239" s="19"/>
      <c r="F7239" s="20"/>
      <c r="G7239" s="19"/>
      <c r="H7239" s="19"/>
      <c r="I7239" s="19"/>
      <c r="J7239" s="21"/>
      <c r="K7239" s="19"/>
    </row>
    <row r="7240" spans="3:11" x14ac:dyDescent="0.2">
      <c r="C7240" s="19"/>
      <c r="D7240" s="19"/>
      <c r="E7240" s="19"/>
      <c r="F7240" s="20"/>
      <c r="G7240" s="19"/>
      <c r="H7240" s="19"/>
      <c r="I7240" s="19"/>
      <c r="J7240" s="21"/>
      <c r="K7240" s="19"/>
    </row>
    <row r="7241" spans="3:11" x14ac:dyDescent="0.2">
      <c r="C7241" s="19"/>
      <c r="D7241" s="19"/>
      <c r="E7241" s="19"/>
      <c r="F7241" s="20"/>
      <c r="G7241" s="19"/>
      <c r="H7241" s="19"/>
      <c r="I7241" s="19"/>
      <c r="J7241" s="21"/>
      <c r="K7241" s="19"/>
    </row>
    <row r="7242" spans="3:11" x14ac:dyDescent="0.2">
      <c r="C7242" s="19"/>
      <c r="D7242" s="19"/>
      <c r="E7242" s="19"/>
      <c r="F7242" s="20"/>
      <c r="G7242" s="19"/>
      <c r="H7242" s="19"/>
      <c r="I7242" s="19"/>
      <c r="J7242" s="21"/>
      <c r="K7242" s="19"/>
    </row>
    <row r="7243" spans="3:11" x14ac:dyDescent="0.2">
      <c r="C7243" s="19"/>
      <c r="D7243" s="19"/>
      <c r="E7243" s="19"/>
      <c r="F7243" s="20"/>
      <c r="G7243" s="19"/>
      <c r="H7243" s="19"/>
      <c r="I7243" s="19"/>
      <c r="J7243" s="21"/>
      <c r="K7243" s="19"/>
    </row>
    <row r="7244" spans="3:11" x14ac:dyDescent="0.2">
      <c r="C7244" s="19"/>
      <c r="D7244" s="19"/>
      <c r="E7244" s="19"/>
      <c r="F7244" s="20"/>
      <c r="G7244" s="19"/>
      <c r="H7244" s="19"/>
      <c r="I7244" s="19"/>
      <c r="J7244" s="19"/>
      <c r="K7244" s="19"/>
    </row>
    <row r="7245" spans="3:11" x14ac:dyDescent="0.2">
      <c r="C7245" s="19"/>
      <c r="D7245" s="19"/>
      <c r="E7245" s="19"/>
      <c r="F7245" s="20"/>
      <c r="G7245" s="19"/>
      <c r="H7245" s="19"/>
      <c r="I7245" s="19"/>
      <c r="J7245" s="21"/>
      <c r="K7245" s="19"/>
    </row>
    <row r="7246" spans="3:11" x14ac:dyDescent="0.2">
      <c r="C7246" s="19"/>
      <c r="D7246" s="19"/>
      <c r="E7246" s="19"/>
      <c r="F7246" s="20"/>
      <c r="G7246" s="19"/>
      <c r="H7246" s="19"/>
      <c r="I7246" s="19"/>
      <c r="J7246" s="19"/>
      <c r="K7246" s="19"/>
    </row>
    <row r="7247" spans="3:11" x14ac:dyDescent="0.2">
      <c r="C7247" s="19"/>
      <c r="D7247" s="19"/>
      <c r="E7247" s="19"/>
      <c r="F7247" s="20"/>
      <c r="G7247" s="19"/>
      <c r="H7247" s="19"/>
      <c r="I7247" s="19"/>
      <c r="J7247" s="19"/>
      <c r="K7247" s="19"/>
    </row>
    <row r="7248" spans="3:11" x14ac:dyDescent="0.2">
      <c r="C7248" s="19"/>
      <c r="D7248" s="19"/>
      <c r="E7248" s="19"/>
      <c r="F7248" s="20"/>
      <c r="G7248" s="19"/>
      <c r="H7248" s="19"/>
      <c r="I7248" s="19"/>
      <c r="J7248" s="21"/>
      <c r="K7248" s="19"/>
    </row>
    <row r="7249" spans="3:11" x14ac:dyDescent="0.2">
      <c r="C7249" s="19"/>
      <c r="D7249" s="19"/>
      <c r="E7249" s="19"/>
      <c r="F7249" s="20"/>
      <c r="G7249" s="19"/>
      <c r="H7249" s="19"/>
      <c r="I7249" s="19"/>
      <c r="J7249" s="19"/>
      <c r="K7249" s="19"/>
    </row>
    <row r="7250" spans="3:11" x14ac:dyDescent="0.2">
      <c r="C7250" s="19"/>
      <c r="D7250" s="19"/>
      <c r="E7250" s="19"/>
      <c r="F7250" s="20"/>
      <c r="G7250" s="19"/>
      <c r="H7250" s="19"/>
      <c r="I7250" s="19"/>
      <c r="J7250" s="21"/>
      <c r="K7250" s="19"/>
    </row>
    <row r="7251" spans="3:11" x14ac:dyDescent="0.2">
      <c r="C7251" s="19"/>
      <c r="D7251" s="19"/>
      <c r="E7251" s="19"/>
      <c r="F7251" s="20"/>
      <c r="G7251" s="19"/>
      <c r="H7251" s="19"/>
      <c r="I7251" s="19"/>
      <c r="J7251" s="21"/>
      <c r="K7251" s="19"/>
    </row>
    <row r="7252" spans="3:11" x14ac:dyDescent="0.2">
      <c r="C7252" s="19"/>
      <c r="D7252" s="19"/>
      <c r="E7252" s="19"/>
      <c r="F7252" s="20"/>
      <c r="G7252" s="19"/>
      <c r="H7252" s="19"/>
      <c r="I7252" s="19"/>
      <c r="J7252" s="21"/>
      <c r="K7252" s="19"/>
    </row>
    <row r="7253" spans="3:11" x14ac:dyDescent="0.2">
      <c r="C7253" s="19"/>
      <c r="D7253" s="19"/>
      <c r="E7253" s="19"/>
      <c r="F7253" s="20"/>
      <c r="G7253" s="19"/>
      <c r="H7253" s="19"/>
      <c r="I7253" s="19"/>
      <c r="J7253" s="21"/>
      <c r="K7253" s="19"/>
    </row>
    <row r="7254" spans="3:11" x14ac:dyDescent="0.2">
      <c r="C7254" s="19"/>
      <c r="D7254" s="19"/>
      <c r="E7254" s="19"/>
      <c r="F7254" s="20"/>
      <c r="G7254" s="19"/>
      <c r="H7254" s="19"/>
      <c r="I7254" s="19"/>
      <c r="J7254" s="21"/>
      <c r="K7254" s="19"/>
    </row>
    <row r="7255" spans="3:11" x14ac:dyDescent="0.2">
      <c r="C7255" s="19"/>
      <c r="D7255" s="19"/>
      <c r="E7255" s="19"/>
      <c r="F7255" s="20"/>
      <c r="G7255" s="19"/>
      <c r="H7255" s="19"/>
      <c r="I7255" s="19"/>
      <c r="J7255" s="21"/>
      <c r="K7255" s="19"/>
    </row>
    <row r="7256" spans="3:11" x14ac:dyDescent="0.2">
      <c r="C7256" s="19"/>
      <c r="D7256" s="19"/>
      <c r="E7256" s="19"/>
      <c r="F7256" s="20"/>
      <c r="G7256" s="19"/>
      <c r="H7256" s="19"/>
      <c r="I7256" s="19"/>
      <c r="J7256" s="21"/>
      <c r="K7256" s="19"/>
    </row>
    <row r="7257" spans="3:11" x14ac:dyDescent="0.2">
      <c r="C7257" s="19"/>
      <c r="D7257" s="19"/>
      <c r="E7257" s="19"/>
      <c r="F7257" s="20"/>
      <c r="G7257" s="19"/>
      <c r="H7257" s="19"/>
      <c r="I7257" s="19"/>
      <c r="J7257" s="21"/>
      <c r="K7257" s="19"/>
    </row>
    <row r="7258" spans="3:11" x14ac:dyDescent="0.2">
      <c r="C7258" s="19"/>
      <c r="D7258" s="19"/>
      <c r="E7258" s="19"/>
      <c r="F7258" s="20"/>
      <c r="G7258" s="19"/>
      <c r="H7258" s="19"/>
      <c r="I7258" s="19"/>
      <c r="J7258" s="21"/>
      <c r="K7258" s="19"/>
    </row>
    <row r="7259" spans="3:11" x14ac:dyDescent="0.2">
      <c r="C7259" s="19"/>
      <c r="D7259" s="19"/>
      <c r="E7259" s="19"/>
      <c r="F7259" s="20"/>
      <c r="G7259" s="19"/>
      <c r="H7259" s="19"/>
      <c r="I7259" s="19"/>
      <c r="J7259" s="21"/>
      <c r="K7259" s="19"/>
    </row>
    <row r="7260" spans="3:11" x14ac:dyDescent="0.2">
      <c r="C7260" s="19"/>
      <c r="D7260" s="19"/>
      <c r="E7260" s="19"/>
      <c r="F7260" s="20"/>
      <c r="G7260" s="19"/>
      <c r="H7260" s="19"/>
      <c r="I7260" s="19"/>
      <c r="J7260" s="21"/>
      <c r="K7260" s="19"/>
    </row>
    <row r="7261" spans="3:11" x14ac:dyDescent="0.2">
      <c r="C7261" s="19"/>
      <c r="D7261" s="19"/>
      <c r="E7261" s="19"/>
      <c r="F7261" s="20"/>
      <c r="G7261" s="19"/>
      <c r="H7261" s="19"/>
      <c r="I7261" s="19"/>
      <c r="J7261" s="21"/>
      <c r="K7261" s="19"/>
    </row>
    <row r="7262" spans="3:11" x14ac:dyDescent="0.2">
      <c r="C7262" s="19"/>
      <c r="D7262" s="19"/>
      <c r="E7262" s="19"/>
      <c r="F7262" s="20"/>
      <c r="G7262" s="19"/>
      <c r="H7262" s="19"/>
      <c r="I7262" s="19"/>
      <c r="J7262" s="21"/>
      <c r="K7262" s="19"/>
    </row>
    <row r="7263" spans="3:11" x14ac:dyDescent="0.2">
      <c r="C7263" s="19"/>
      <c r="D7263" s="19"/>
      <c r="E7263" s="19"/>
      <c r="F7263" s="20"/>
      <c r="G7263" s="19"/>
      <c r="H7263" s="19"/>
      <c r="I7263" s="19"/>
      <c r="J7263" s="19"/>
      <c r="K7263" s="19"/>
    </row>
    <row r="7264" spans="3:11" x14ac:dyDescent="0.2">
      <c r="C7264" s="19"/>
      <c r="D7264" s="19"/>
      <c r="E7264" s="19"/>
      <c r="F7264" s="20"/>
      <c r="G7264" s="19"/>
      <c r="H7264" s="19"/>
      <c r="I7264" s="19"/>
      <c r="J7264" s="19"/>
      <c r="K7264" s="19"/>
    </row>
    <row r="7265" spans="3:11" x14ac:dyDescent="0.2">
      <c r="C7265" s="19"/>
      <c r="D7265" s="19"/>
      <c r="E7265" s="19"/>
      <c r="F7265" s="20"/>
      <c r="G7265" s="19"/>
      <c r="H7265" s="19"/>
      <c r="I7265" s="19"/>
      <c r="J7265" s="21"/>
      <c r="K7265" s="19"/>
    </row>
    <row r="7266" spans="3:11" x14ac:dyDescent="0.2">
      <c r="C7266" s="19"/>
      <c r="D7266" s="19"/>
      <c r="E7266" s="19"/>
      <c r="F7266" s="20"/>
      <c r="G7266" s="19"/>
      <c r="H7266" s="19"/>
      <c r="I7266" s="19"/>
      <c r="J7266" s="21"/>
      <c r="K7266" s="19"/>
    </row>
    <row r="7267" spans="3:11" x14ac:dyDescent="0.2">
      <c r="C7267" s="19"/>
      <c r="D7267" s="19"/>
      <c r="E7267" s="19"/>
      <c r="F7267" s="20"/>
      <c r="G7267" s="19"/>
      <c r="H7267" s="19"/>
      <c r="I7267" s="19"/>
      <c r="J7267" s="21"/>
      <c r="K7267" s="19"/>
    </row>
    <row r="7268" spans="3:11" x14ac:dyDescent="0.2">
      <c r="C7268" s="19"/>
      <c r="D7268" s="19"/>
      <c r="E7268" s="19"/>
      <c r="F7268" s="20"/>
      <c r="G7268" s="19"/>
      <c r="H7268" s="19"/>
      <c r="I7268" s="19"/>
      <c r="J7268" s="21"/>
      <c r="K7268" s="19"/>
    </row>
    <row r="7269" spans="3:11" x14ac:dyDescent="0.2">
      <c r="C7269" s="19"/>
      <c r="D7269" s="19"/>
      <c r="E7269" s="19"/>
      <c r="F7269" s="20"/>
      <c r="G7269" s="19"/>
      <c r="H7269" s="19"/>
      <c r="I7269" s="19"/>
      <c r="J7269" s="21"/>
      <c r="K7269" s="19"/>
    </row>
    <row r="7270" spans="3:11" x14ac:dyDescent="0.2">
      <c r="C7270" s="19"/>
      <c r="D7270" s="19"/>
      <c r="E7270" s="19"/>
      <c r="F7270" s="20"/>
      <c r="G7270" s="19"/>
      <c r="H7270" s="19"/>
      <c r="I7270" s="19"/>
      <c r="J7270" s="21"/>
      <c r="K7270" s="19"/>
    </row>
    <row r="7271" spans="3:11" x14ac:dyDescent="0.2">
      <c r="C7271" s="19"/>
      <c r="D7271" s="19"/>
      <c r="E7271" s="19"/>
      <c r="F7271" s="20"/>
      <c r="G7271" s="19"/>
      <c r="H7271" s="19"/>
      <c r="I7271" s="19"/>
      <c r="J7271" s="21"/>
      <c r="K7271" s="19"/>
    </row>
    <row r="7272" spans="3:11" x14ac:dyDescent="0.2">
      <c r="C7272" s="19"/>
      <c r="D7272" s="19"/>
      <c r="E7272" s="19"/>
      <c r="F7272" s="20"/>
      <c r="G7272" s="19"/>
      <c r="H7272" s="19"/>
      <c r="I7272" s="19"/>
      <c r="J7272" s="21"/>
      <c r="K7272" s="19"/>
    </row>
    <row r="7273" spans="3:11" x14ac:dyDescent="0.2">
      <c r="C7273" s="19"/>
      <c r="D7273" s="19"/>
      <c r="E7273" s="19"/>
      <c r="F7273" s="20"/>
      <c r="G7273" s="19"/>
      <c r="H7273" s="19"/>
      <c r="I7273" s="19"/>
      <c r="J7273" s="21"/>
      <c r="K7273" s="19"/>
    </row>
    <row r="7274" spans="3:11" x14ac:dyDescent="0.2">
      <c r="C7274" s="19"/>
      <c r="D7274" s="19"/>
      <c r="E7274" s="19"/>
      <c r="F7274" s="20"/>
      <c r="G7274" s="19"/>
      <c r="H7274" s="19"/>
      <c r="I7274" s="19"/>
      <c r="J7274" s="21"/>
      <c r="K7274" s="19"/>
    </row>
    <row r="7275" spans="3:11" x14ac:dyDescent="0.2">
      <c r="C7275" s="19"/>
      <c r="D7275" s="19"/>
      <c r="E7275" s="19"/>
      <c r="F7275" s="20"/>
      <c r="G7275" s="19"/>
      <c r="H7275" s="19"/>
      <c r="I7275" s="19"/>
      <c r="J7275" s="21"/>
      <c r="K7275" s="19"/>
    </row>
    <row r="7276" spans="3:11" x14ac:dyDescent="0.2">
      <c r="C7276" s="19"/>
      <c r="D7276" s="19"/>
      <c r="E7276" s="19"/>
      <c r="F7276" s="20"/>
      <c r="G7276" s="19"/>
      <c r="H7276" s="19"/>
      <c r="I7276" s="19"/>
      <c r="J7276" s="21"/>
      <c r="K7276" s="19"/>
    </row>
    <row r="7277" spans="3:11" x14ac:dyDescent="0.2">
      <c r="C7277" s="19"/>
      <c r="D7277" s="19"/>
      <c r="E7277" s="19"/>
      <c r="F7277" s="20"/>
      <c r="G7277" s="19"/>
      <c r="H7277" s="19"/>
      <c r="I7277" s="19"/>
      <c r="J7277" s="21"/>
      <c r="K7277" s="19"/>
    </row>
    <row r="7278" spans="3:11" x14ac:dyDescent="0.2">
      <c r="C7278" s="19"/>
      <c r="D7278" s="19"/>
      <c r="E7278" s="19"/>
      <c r="F7278" s="20"/>
      <c r="G7278" s="19"/>
      <c r="H7278" s="19"/>
      <c r="I7278" s="19"/>
      <c r="J7278" s="21"/>
      <c r="K7278" s="19"/>
    </row>
    <row r="7279" spans="3:11" x14ac:dyDescent="0.2">
      <c r="C7279" s="19"/>
      <c r="D7279" s="19"/>
      <c r="E7279" s="19"/>
      <c r="F7279" s="20"/>
      <c r="G7279" s="19"/>
      <c r="H7279" s="19"/>
      <c r="I7279" s="19"/>
      <c r="J7279" s="21"/>
      <c r="K7279" s="19"/>
    </row>
    <row r="7280" spans="3:11" x14ac:dyDescent="0.2">
      <c r="C7280" s="19"/>
      <c r="D7280" s="19"/>
      <c r="E7280" s="19"/>
      <c r="F7280" s="20"/>
      <c r="G7280" s="19"/>
      <c r="H7280" s="19"/>
      <c r="I7280" s="19"/>
      <c r="J7280" s="21"/>
      <c r="K7280" s="19"/>
    </row>
    <row r="7281" spans="3:11" x14ac:dyDescent="0.2">
      <c r="C7281" s="19"/>
      <c r="D7281" s="19"/>
      <c r="E7281" s="19"/>
      <c r="F7281" s="20"/>
      <c r="G7281" s="19"/>
      <c r="H7281" s="19"/>
      <c r="I7281" s="19"/>
      <c r="J7281" s="21"/>
      <c r="K7281" s="19"/>
    </row>
    <row r="7282" spans="3:11" x14ac:dyDescent="0.2">
      <c r="C7282" s="19"/>
      <c r="D7282" s="19"/>
      <c r="E7282" s="19"/>
      <c r="F7282" s="20"/>
      <c r="G7282" s="19"/>
      <c r="H7282" s="19"/>
      <c r="I7282" s="19"/>
      <c r="J7282" s="21"/>
      <c r="K7282" s="19"/>
    </row>
    <row r="7283" spans="3:11" x14ac:dyDescent="0.2">
      <c r="C7283" s="19"/>
      <c r="D7283" s="19"/>
      <c r="E7283" s="19"/>
      <c r="F7283" s="20"/>
      <c r="G7283" s="19"/>
      <c r="H7283" s="19"/>
      <c r="I7283" s="19"/>
      <c r="J7283" s="21"/>
      <c r="K7283" s="19"/>
    </row>
    <row r="7284" spans="3:11" x14ac:dyDescent="0.2">
      <c r="C7284" s="19"/>
      <c r="D7284" s="19"/>
      <c r="E7284" s="19"/>
      <c r="F7284" s="20"/>
      <c r="G7284" s="19"/>
      <c r="H7284" s="19"/>
      <c r="I7284" s="19"/>
      <c r="J7284" s="19"/>
      <c r="K7284" s="19"/>
    </row>
    <row r="7285" spans="3:11" x14ac:dyDescent="0.2">
      <c r="C7285" s="19"/>
      <c r="D7285" s="19"/>
      <c r="E7285" s="19"/>
      <c r="F7285" s="20"/>
      <c r="G7285" s="19"/>
      <c r="H7285" s="19"/>
      <c r="I7285" s="19"/>
      <c r="J7285" s="21"/>
      <c r="K7285" s="19"/>
    </row>
    <row r="7286" spans="3:11" x14ac:dyDescent="0.2">
      <c r="C7286" s="19"/>
      <c r="D7286" s="19"/>
      <c r="E7286" s="19"/>
      <c r="F7286" s="20"/>
      <c r="G7286" s="19"/>
      <c r="H7286" s="19"/>
      <c r="I7286" s="19"/>
      <c r="J7286" s="21"/>
      <c r="K7286" s="19"/>
    </row>
    <row r="7287" spans="3:11" x14ac:dyDescent="0.2">
      <c r="C7287" s="19"/>
      <c r="D7287" s="19"/>
      <c r="E7287" s="19"/>
      <c r="F7287" s="20"/>
      <c r="G7287" s="19"/>
      <c r="H7287" s="19"/>
      <c r="I7287" s="19"/>
      <c r="J7287" s="21"/>
      <c r="K7287" s="19"/>
    </row>
    <row r="7288" spans="3:11" x14ac:dyDescent="0.2">
      <c r="C7288" s="19"/>
      <c r="D7288" s="19"/>
      <c r="E7288" s="19"/>
      <c r="F7288" s="20"/>
      <c r="G7288" s="19"/>
      <c r="H7288" s="19"/>
      <c r="I7288" s="19"/>
      <c r="J7288" s="21"/>
      <c r="K7288" s="19"/>
    </row>
    <row r="7289" spans="3:11" x14ac:dyDescent="0.2">
      <c r="C7289" s="19"/>
      <c r="D7289" s="19"/>
      <c r="E7289" s="19"/>
      <c r="F7289" s="20"/>
      <c r="G7289" s="19"/>
      <c r="H7289" s="19"/>
      <c r="I7289" s="19"/>
      <c r="J7289" s="21"/>
      <c r="K7289" s="19"/>
    </row>
    <row r="7290" spans="3:11" x14ac:dyDescent="0.2">
      <c r="C7290" s="19"/>
      <c r="D7290" s="19"/>
      <c r="E7290" s="19"/>
      <c r="F7290" s="20"/>
      <c r="G7290" s="19"/>
      <c r="H7290" s="19"/>
      <c r="I7290" s="19"/>
      <c r="J7290" s="21"/>
      <c r="K7290" s="19"/>
    </row>
    <row r="7291" spans="3:11" x14ac:dyDescent="0.2">
      <c r="C7291" s="19"/>
      <c r="D7291" s="19"/>
      <c r="E7291" s="19"/>
      <c r="F7291" s="20"/>
      <c r="G7291" s="19"/>
      <c r="H7291" s="19"/>
      <c r="I7291" s="19"/>
      <c r="J7291" s="21"/>
      <c r="K7291" s="19"/>
    </row>
    <row r="7292" spans="3:11" x14ac:dyDescent="0.2">
      <c r="C7292" s="19"/>
      <c r="D7292" s="19"/>
      <c r="E7292" s="19"/>
      <c r="F7292" s="20"/>
      <c r="G7292" s="19"/>
      <c r="H7292" s="19"/>
      <c r="I7292" s="19"/>
      <c r="J7292" s="21"/>
      <c r="K7292" s="19"/>
    </row>
    <row r="7293" spans="3:11" x14ac:dyDescent="0.2">
      <c r="C7293" s="19"/>
      <c r="D7293" s="19"/>
      <c r="E7293" s="19"/>
      <c r="F7293" s="20"/>
      <c r="G7293" s="19"/>
      <c r="H7293" s="19"/>
      <c r="I7293" s="19"/>
      <c r="J7293" s="21"/>
      <c r="K7293" s="19"/>
    </row>
    <row r="7294" spans="3:11" x14ac:dyDescent="0.2">
      <c r="C7294" s="19"/>
      <c r="D7294" s="19"/>
      <c r="E7294" s="19"/>
      <c r="F7294" s="20"/>
      <c r="G7294" s="19"/>
      <c r="H7294" s="19"/>
      <c r="I7294" s="19"/>
      <c r="J7294" s="21"/>
      <c r="K7294" s="19"/>
    </row>
    <row r="7295" spans="3:11" x14ac:dyDescent="0.2">
      <c r="C7295" s="19"/>
      <c r="D7295" s="19"/>
      <c r="E7295" s="19"/>
      <c r="F7295" s="20"/>
      <c r="G7295" s="19"/>
      <c r="H7295" s="19"/>
      <c r="I7295" s="19"/>
      <c r="J7295" s="21"/>
      <c r="K7295" s="19"/>
    </row>
    <row r="7296" spans="3:11" x14ac:dyDescent="0.2">
      <c r="C7296" s="19"/>
      <c r="D7296" s="19"/>
      <c r="E7296" s="19"/>
      <c r="F7296" s="20"/>
      <c r="G7296" s="19"/>
      <c r="H7296" s="19"/>
      <c r="I7296" s="19"/>
      <c r="J7296" s="21"/>
      <c r="K7296" s="19"/>
    </row>
    <row r="7297" spans="3:11" x14ac:dyDescent="0.2">
      <c r="C7297" s="19"/>
      <c r="D7297" s="19"/>
      <c r="E7297" s="19"/>
      <c r="F7297" s="20"/>
      <c r="G7297" s="19"/>
      <c r="H7297" s="19"/>
      <c r="I7297" s="19"/>
      <c r="J7297" s="21"/>
      <c r="K7297" s="19"/>
    </row>
    <row r="7298" spans="3:11" x14ac:dyDescent="0.2">
      <c r="C7298" s="19"/>
      <c r="D7298" s="19"/>
      <c r="E7298" s="19"/>
      <c r="F7298" s="20"/>
      <c r="G7298" s="19"/>
      <c r="H7298" s="19"/>
      <c r="I7298" s="19"/>
      <c r="J7298" s="21"/>
      <c r="K7298" s="19"/>
    </row>
    <row r="7299" spans="3:11" x14ac:dyDescent="0.2">
      <c r="C7299" s="19"/>
      <c r="D7299" s="19"/>
      <c r="E7299" s="19"/>
      <c r="F7299" s="20"/>
      <c r="G7299" s="19"/>
      <c r="H7299" s="19"/>
      <c r="I7299" s="19"/>
      <c r="J7299" s="21"/>
      <c r="K7299" s="19"/>
    </row>
    <row r="7300" spans="3:11" x14ac:dyDescent="0.2">
      <c r="C7300" s="19"/>
      <c r="D7300" s="19"/>
      <c r="E7300" s="19"/>
      <c r="F7300" s="20"/>
      <c r="G7300" s="19"/>
      <c r="H7300" s="19"/>
      <c r="I7300" s="19"/>
      <c r="J7300" s="19"/>
      <c r="K7300" s="19"/>
    </row>
    <row r="7301" spans="3:11" x14ac:dyDescent="0.2">
      <c r="C7301" s="19"/>
      <c r="D7301" s="19"/>
      <c r="E7301" s="19"/>
      <c r="F7301" s="20"/>
      <c r="G7301" s="19"/>
      <c r="H7301" s="19"/>
      <c r="I7301" s="19"/>
      <c r="J7301" s="21"/>
      <c r="K7301" s="19"/>
    </row>
    <row r="7302" spans="3:11" x14ac:dyDescent="0.2">
      <c r="C7302" s="19"/>
      <c r="D7302" s="19"/>
      <c r="E7302" s="19"/>
      <c r="F7302" s="20"/>
      <c r="G7302" s="19"/>
      <c r="H7302" s="19"/>
      <c r="I7302" s="19"/>
      <c r="J7302" s="21"/>
      <c r="K7302" s="19"/>
    </row>
    <row r="7303" spans="3:11" x14ac:dyDescent="0.2">
      <c r="C7303" s="19"/>
      <c r="D7303" s="19"/>
      <c r="E7303" s="19"/>
      <c r="F7303" s="20"/>
      <c r="G7303" s="19"/>
      <c r="H7303" s="19"/>
      <c r="I7303" s="19"/>
      <c r="J7303" s="19"/>
      <c r="K7303" s="19"/>
    </row>
    <row r="7304" spans="3:11" x14ac:dyDescent="0.2">
      <c r="C7304" s="19"/>
      <c r="D7304" s="19"/>
      <c r="E7304" s="19"/>
      <c r="F7304" s="20"/>
      <c r="G7304" s="19"/>
      <c r="H7304" s="19"/>
      <c r="I7304" s="19"/>
      <c r="J7304" s="21"/>
      <c r="K7304" s="19"/>
    </row>
    <row r="7305" spans="3:11" x14ac:dyDescent="0.2">
      <c r="C7305" s="19"/>
      <c r="D7305" s="19"/>
      <c r="E7305" s="19"/>
      <c r="F7305" s="20"/>
      <c r="G7305" s="19"/>
      <c r="H7305" s="19"/>
      <c r="I7305" s="19"/>
      <c r="J7305" s="21"/>
      <c r="K7305" s="19"/>
    </row>
    <row r="7306" spans="3:11" x14ac:dyDescent="0.2">
      <c r="C7306" s="19"/>
      <c r="D7306" s="19"/>
      <c r="E7306" s="19"/>
      <c r="F7306" s="20"/>
      <c r="G7306" s="19"/>
      <c r="H7306" s="19"/>
      <c r="I7306" s="19"/>
      <c r="J7306" s="21"/>
      <c r="K7306" s="19"/>
    </row>
    <row r="7307" spans="3:11" x14ac:dyDescent="0.2">
      <c r="C7307" s="19"/>
      <c r="D7307" s="19"/>
      <c r="E7307" s="19"/>
      <c r="F7307" s="20"/>
      <c r="G7307" s="19"/>
      <c r="H7307" s="19"/>
      <c r="I7307" s="19"/>
      <c r="J7307" s="21"/>
      <c r="K7307" s="19"/>
    </row>
    <row r="7308" spans="3:11" x14ac:dyDescent="0.2">
      <c r="C7308" s="19"/>
      <c r="D7308" s="19"/>
      <c r="E7308" s="19"/>
      <c r="F7308" s="20"/>
      <c r="G7308" s="19"/>
      <c r="H7308" s="19"/>
      <c r="I7308" s="19"/>
      <c r="J7308" s="21"/>
      <c r="K7308" s="19"/>
    </row>
    <row r="7309" spans="3:11" x14ac:dyDescent="0.2">
      <c r="C7309" s="19"/>
      <c r="D7309" s="19"/>
      <c r="E7309" s="19"/>
      <c r="F7309" s="20"/>
      <c r="G7309" s="19"/>
      <c r="H7309" s="19"/>
      <c r="I7309" s="19"/>
      <c r="J7309" s="19"/>
      <c r="K7309" s="19"/>
    </row>
    <row r="7310" spans="3:11" x14ac:dyDescent="0.2">
      <c r="C7310" s="19"/>
      <c r="D7310" s="19"/>
      <c r="E7310" s="19"/>
      <c r="F7310" s="20"/>
      <c r="G7310" s="19"/>
      <c r="H7310" s="19"/>
      <c r="I7310" s="19"/>
      <c r="J7310" s="21"/>
      <c r="K7310" s="19"/>
    </row>
    <row r="7311" spans="3:11" x14ac:dyDescent="0.2">
      <c r="C7311" s="19"/>
      <c r="D7311" s="19"/>
      <c r="E7311" s="19"/>
      <c r="F7311" s="20"/>
      <c r="G7311" s="19"/>
      <c r="H7311" s="19"/>
      <c r="I7311" s="19"/>
      <c r="J7311" s="21"/>
      <c r="K7311" s="19"/>
    </row>
    <row r="7312" spans="3:11" x14ac:dyDescent="0.2">
      <c r="C7312" s="19"/>
      <c r="D7312" s="19"/>
      <c r="E7312" s="19"/>
      <c r="F7312" s="20"/>
      <c r="G7312" s="19"/>
      <c r="H7312" s="19"/>
      <c r="I7312" s="19"/>
      <c r="J7312" s="21"/>
      <c r="K7312" s="19"/>
    </row>
    <row r="7313" spans="3:11" x14ac:dyDescent="0.2">
      <c r="C7313" s="19"/>
      <c r="D7313" s="19"/>
      <c r="E7313" s="19"/>
      <c r="F7313" s="20"/>
      <c r="G7313" s="19"/>
      <c r="H7313" s="19"/>
      <c r="I7313" s="19"/>
      <c r="J7313" s="21"/>
      <c r="K7313" s="19"/>
    </row>
    <row r="7314" spans="3:11" x14ac:dyDescent="0.2">
      <c r="C7314" s="19"/>
      <c r="D7314" s="19"/>
      <c r="E7314" s="19"/>
      <c r="F7314" s="20"/>
      <c r="G7314" s="19"/>
      <c r="H7314" s="19"/>
      <c r="I7314" s="19"/>
      <c r="J7314" s="21"/>
      <c r="K7314" s="19"/>
    </row>
    <row r="7315" spans="3:11" x14ac:dyDescent="0.2">
      <c r="C7315" s="19"/>
      <c r="D7315" s="19"/>
      <c r="E7315" s="19"/>
      <c r="F7315" s="20"/>
      <c r="G7315" s="19"/>
      <c r="H7315" s="19"/>
      <c r="I7315" s="19"/>
      <c r="J7315" s="21"/>
      <c r="K7315" s="19"/>
    </row>
    <row r="7316" spans="3:11" x14ac:dyDescent="0.2">
      <c r="C7316" s="19"/>
      <c r="D7316" s="19"/>
      <c r="E7316" s="19"/>
      <c r="F7316" s="20"/>
      <c r="G7316" s="19"/>
      <c r="H7316" s="19"/>
      <c r="I7316" s="19"/>
      <c r="J7316" s="21"/>
      <c r="K7316" s="19"/>
    </row>
    <row r="7317" spans="3:11" x14ac:dyDescent="0.2">
      <c r="C7317" s="19"/>
      <c r="D7317" s="19"/>
      <c r="E7317" s="19"/>
      <c r="F7317" s="20"/>
      <c r="G7317" s="19"/>
      <c r="H7317" s="19"/>
      <c r="I7317" s="19"/>
      <c r="J7317" s="21"/>
      <c r="K7317" s="19"/>
    </row>
    <row r="7318" spans="3:11" x14ac:dyDescent="0.2">
      <c r="C7318" s="19"/>
      <c r="D7318" s="19"/>
      <c r="E7318" s="19"/>
      <c r="F7318" s="20"/>
      <c r="G7318" s="19"/>
      <c r="H7318" s="19"/>
      <c r="I7318" s="19"/>
      <c r="J7318" s="21"/>
      <c r="K7318" s="19"/>
    </row>
    <row r="7319" spans="3:11" x14ac:dyDescent="0.2">
      <c r="C7319" s="19"/>
      <c r="D7319" s="19"/>
      <c r="E7319" s="19"/>
      <c r="F7319" s="20"/>
      <c r="G7319" s="19"/>
      <c r="H7319" s="19"/>
      <c r="I7319" s="19"/>
      <c r="J7319" s="21"/>
      <c r="K7319" s="19"/>
    </row>
    <row r="7320" spans="3:11" x14ac:dyDescent="0.2">
      <c r="C7320" s="19"/>
      <c r="D7320" s="19"/>
      <c r="E7320" s="19"/>
      <c r="F7320" s="20"/>
      <c r="G7320" s="19"/>
      <c r="H7320" s="19"/>
      <c r="I7320" s="19"/>
      <c r="J7320" s="21"/>
      <c r="K7320" s="19"/>
    </row>
    <row r="7321" spans="3:11" x14ac:dyDescent="0.2">
      <c r="C7321" s="19"/>
      <c r="D7321" s="19"/>
      <c r="E7321" s="19"/>
      <c r="F7321" s="20"/>
      <c r="G7321" s="19"/>
      <c r="H7321" s="19"/>
      <c r="I7321" s="19"/>
      <c r="J7321" s="21"/>
      <c r="K7321" s="19"/>
    </row>
    <row r="7322" spans="3:11" x14ac:dyDescent="0.2">
      <c r="C7322" s="19"/>
      <c r="D7322" s="19"/>
      <c r="E7322" s="19"/>
      <c r="F7322" s="20"/>
      <c r="G7322" s="19"/>
      <c r="H7322" s="19"/>
      <c r="I7322" s="19"/>
      <c r="J7322" s="21"/>
      <c r="K7322" s="19"/>
    </row>
    <row r="7323" spans="3:11" x14ac:dyDescent="0.2">
      <c r="C7323" s="19"/>
      <c r="D7323" s="19"/>
      <c r="E7323" s="19"/>
      <c r="F7323" s="20"/>
      <c r="G7323" s="19"/>
      <c r="H7323" s="19"/>
      <c r="I7323" s="19"/>
      <c r="J7323" s="21"/>
      <c r="K7323" s="19"/>
    </row>
    <row r="7324" spans="3:11" x14ac:dyDescent="0.2">
      <c r="C7324" s="19"/>
      <c r="D7324" s="19"/>
      <c r="E7324" s="19"/>
      <c r="F7324" s="20"/>
      <c r="G7324" s="19"/>
      <c r="H7324" s="19"/>
      <c r="I7324" s="19"/>
      <c r="J7324" s="21"/>
      <c r="K7324" s="19"/>
    </row>
    <row r="7325" spans="3:11" x14ac:dyDescent="0.2">
      <c r="C7325" s="19"/>
      <c r="D7325" s="19"/>
      <c r="E7325" s="19"/>
      <c r="F7325" s="20"/>
      <c r="G7325" s="19"/>
      <c r="H7325" s="19"/>
      <c r="I7325" s="19"/>
      <c r="J7325" s="21"/>
      <c r="K7325" s="19"/>
    </row>
    <row r="7326" spans="3:11" x14ac:dyDescent="0.2">
      <c r="C7326" s="19"/>
      <c r="D7326" s="19"/>
      <c r="E7326" s="19"/>
      <c r="F7326" s="20"/>
      <c r="G7326" s="19"/>
      <c r="H7326" s="19"/>
      <c r="I7326" s="19"/>
      <c r="J7326" s="21"/>
      <c r="K7326" s="19"/>
    </row>
    <row r="7327" spans="3:11" x14ac:dyDescent="0.2">
      <c r="C7327" s="19"/>
      <c r="D7327" s="19"/>
      <c r="E7327" s="19"/>
      <c r="F7327" s="20"/>
      <c r="G7327" s="19"/>
      <c r="H7327" s="19"/>
      <c r="I7327" s="19"/>
      <c r="J7327" s="21"/>
      <c r="K7327" s="19"/>
    </row>
    <row r="7328" spans="3:11" x14ac:dyDescent="0.2">
      <c r="C7328" s="19"/>
      <c r="D7328" s="19"/>
      <c r="E7328" s="19"/>
      <c r="F7328" s="20"/>
      <c r="G7328" s="19"/>
      <c r="H7328" s="19"/>
      <c r="I7328" s="19"/>
      <c r="J7328" s="21"/>
      <c r="K7328" s="19"/>
    </row>
    <row r="7329" spans="3:11" x14ac:dyDescent="0.2">
      <c r="C7329" s="19"/>
      <c r="D7329" s="19"/>
      <c r="E7329" s="19"/>
      <c r="F7329" s="20"/>
      <c r="G7329" s="19"/>
      <c r="H7329" s="19"/>
      <c r="I7329" s="19"/>
      <c r="J7329" s="21"/>
      <c r="K7329" s="19"/>
    </row>
    <row r="7330" spans="3:11" x14ac:dyDescent="0.2">
      <c r="C7330" s="19"/>
      <c r="D7330" s="19"/>
      <c r="E7330" s="19"/>
      <c r="F7330" s="20"/>
      <c r="G7330" s="19"/>
      <c r="H7330" s="19"/>
      <c r="I7330" s="19"/>
      <c r="J7330" s="21"/>
      <c r="K7330" s="19"/>
    </row>
    <row r="7331" spans="3:11" x14ac:dyDescent="0.2">
      <c r="C7331" s="19"/>
      <c r="D7331" s="19"/>
      <c r="E7331" s="19"/>
      <c r="F7331" s="20"/>
      <c r="G7331" s="19"/>
      <c r="H7331" s="19"/>
      <c r="I7331" s="19"/>
      <c r="J7331" s="21"/>
      <c r="K7331" s="19"/>
    </row>
    <row r="7332" spans="3:11" x14ac:dyDescent="0.2">
      <c r="C7332" s="19"/>
      <c r="D7332" s="19"/>
      <c r="E7332" s="19"/>
      <c r="F7332" s="20"/>
      <c r="G7332" s="19"/>
      <c r="H7332" s="19"/>
      <c r="I7332" s="19"/>
      <c r="J7332" s="21"/>
      <c r="K7332" s="19"/>
    </row>
    <row r="7333" spans="3:11" x14ac:dyDescent="0.2">
      <c r="C7333" s="19"/>
      <c r="D7333" s="19"/>
      <c r="E7333" s="19"/>
      <c r="F7333" s="20"/>
      <c r="G7333" s="19"/>
      <c r="H7333" s="19"/>
      <c r="I7333" s="19"/>
      <c r="J7333" s="21"/>
      <c r="K7333" s="19"/>
    </row>
    <row r="7334" spans="3:11" x14ac:dyDescent="0.2">
      <c r="C7334" s="19"/>
      <c r="D7334" s="19"/>
      <c r="E7334" s="19"/>
      <c r="F7334" s="20"/>
      <c r="G7334" s="19"/>
      <c r="H7334" s="19"/>
      <c r="I7334" s="19"/>
      <c r="J7334" s="21"/>
      <c r="K7334" s="19"/>
    </row>
    <row r="7335" spans="3:11" x14ac:dyDescent="0.2">
      <c r="C7335" s="19"/>
      <c r="D7335" s="19"/>
      <c r="E7335" s="19"/>
      <c r="F7335" s="20"/>
      <c r="G7335" s="19"/>
      <c r="H7335" s="19"/>
      <c r="I7335" s="19"/>
      <c r="J7335" s="21"/>
      <c r="K7335" s="19"/>
    </row>
    <row r="7336" spans="3:11" x14ac:dyDescent="0.2">
      <c r="C7336" s="19"/>
      <c r="D7336" s="19"/>
      <c r="E7336" s="19"/>
      <c r="F7336" s="20"/>
      <c r="G7336" s="19"/>
      <c r="H7336" s="19"/>
      <c r="I7336" s="19"/>
      <c r="J7336" s="21"/>
      <c r="K7336" s="19"/>
    </row>
    <row r="7337" spans="3:11" x14ac:dyDescent="0.2">
      <c r="C7337" s="19"/>
      <c r="D7337" s="19"/>
      <c r="E7337" s="19"/>
      <c r="F7337" s="20"/>
      <c r="G7337" s="19"/>
      <c r="H7337" s="19"/>
      <c r="I7337" s="19"/>
      <c r="J7337" s="21"/>
      <c r="K7337" s="19"/>
    </row>
    <row r="7338" spans="3:11" x14ac:dyDescent="0.2">
      <c r="C7338" s="19"/>
      <c r="D7338" s="19"/>
      <c r="E7338" s="19"/>
      <c r="F7338" s="20"/>
      <c r="G7338" s="19"/>
      <c r="H7338" s="19"/>
      <c r="I7338" s="19"/>
      <c r="J7338" s="21"/>
      <c r="K7338" s="19"/>
    </row>
    <row r="7339" spans="3:11" x14ac:dyDescent="0.2">
      <c r="C7339" s="19"/>
      <c r="D7339" s="19"/>
      <c r="E7339" s="19"/>
      <c r="F7339" s="20"/>
      <c r="G7339" s="19"/>
      <c r="H7339" s="19"/>
      <c r="I7339" s="19"/>
      <c r="J7339" s="21"/>
      <c r="K7339" s="19"/>
    </row>
    <row r="7340" spans="3:11" x14ac:dyDescent="0.2">
      <c r="C7340" s="19"/>
      <c r="D7340" s="19"/>
      <c r="E7340" s="19"/>
      <c r="F7340" s="20"/>
      <c r="G7340" s="19"/>
      <c r="H7340" s="19"/>
      <c r="I7340" s="19"/>
      <c r="J7340" s="21"/>
      <c r="K7340" s="19"/>
    </row>
    <row r="7341" spans="3:11" x14ac:dyDescent="0.2">
      <c r="C7341" s="19"/>
      <c r="D7341" s="19"/>
      <c r="E7341" s="19"/>
      <c r="F7341" s="20"/>
      <c r="G7341" s="19"/>
      <c r="H7341" s="19"/>
      <c r="I7341" s="19"/>
      <c r="J7341" s="21"/>
      <c r="K7341" s="19"/>
    </row>
    <row r="7342" spans="3:11" x14ac:dyDescent="0.2">
      <c r="C7342" s="19"/>
      <c r="D7342" s="19"/>
      <c r="E7342" s="19"/>
      <c r="F7342" s="20"/>
      <c r="G7342" s="19"/>
      <c r="H7342" s="19"/>
      <c r="I7342" s="19"/>
      <c r="J7342" s="21"/>
      <c r="K7342" s="19"/>
    </row>
    <row r="7343" spans="3:11" x14ac:dyDescent="0.2">
      <c r="C7343" s="19"/>
      <c r="D7343" s="19"/>
      <c r="E7343" s="19"/>
      <c r="F7343" s="20"/>
      <c r="G7343" s="19"/>
      <c r="H7343" s="19"/>
      <c r="I7343" s="19"/>
      <c r="J7343" s="21"/>
      <c r="K7343" s="19"/>
    </row>
    <row r="7344" spans="3:11" x14ac:dyDescent="0.2">
      <c r="C7344" s="19"/>
      <c r="D7344" s="19"/>
      <c r="E7344" s="19"/>
      <c r="F7344" s="20"/>
      <c r="G7344" s="19"/>
      <c r="H7344" s="19"/>
      <c r="I7344" s="19"/>
      <c r="J7344" s="21"/>
      <c r="K7344" s="19"/>
    </row>
    <row r="7345" spans="3:11" x14ac:dyDescent="0.2">
      <c r="C7345" s="19"/>
      <c r="D7345" s="19"/>
      <c r="E7345" s="19"/>
      <c r="F7345" s="20"/>
      <c r="G7345" s="19"/>
      <c r="H7345" s="19"/>
      <c r="I7345" s="19"/>
      <c r="J7345" s="21"/>
      <c r="K7345" s="19"/>
    </row>
    <row r="7346" spans="3:11" x14ac:dyDescent="0.2">
      <c r="C7346" s="19"/>
      <c r="D7346" s="19"/>
      <c r="E7346" s="19"/>
      <c r="F7346" s="20"/>
      <c r="G7346" s="19"/>
      <c r="H7346" s="19"/>
      <c r="I7346" s="19"/>
      <c r="J7346" s="21"/>
      <c r="K7346" s="19"/>
    </row>
    <row r="7347" spans="3:11" x14ac:dyDescent="0.2">
      <c r="C7347" s="19"/>
      <c r="D7347" s="19"/>
      <c r="E7347" s="19"/>
      <c r="F7347" s="20"/>
      <c r="G7347" s="19"/>
      <c r="H7347" s="19"/>
      <c r="I7347" s="19"/>
      <c r="J7347" s="21"/>
      <c r="K7347" s="19"/>
    </row>
    <row r="7348" spans="3:11" x14ac:dyDescent="0.2">
      <c r="C7348" s="19"/>
      <c r="D7348" s="19"/>
      <c r="E7348" s="19"/>
      <c r="F7348" s="20"/>
      <c r="G7348" s="19"/>
      <c r="H7348" s="19"/>
      <c r="I7348" s="19"/>
      <c r="J7348" s="21"/>
      <c r="K7348" s="19"/>
    </row>
    <row r="7349" spans="3:11" x14ac:dyDescent="0.2">
      <c r="C7349" s="19"/>
      <c r="D7349" s="19"/>
      <c r="E7349" s="19"/>
      <c r="F7349" s="20"/>
      <c r="G7349" s="19"/>
      <c r="H7349" s="19"/>
      <c r="I7349" s="19"/>
      <c r="J7349" s="21"/>
      <c r="K7349" s="19"/>
    </row>
    <row r="7350" spans="3:11" x14ac:dyDescent="0.2">
      <c r="C7350" s="19"/>
      <c r="D7350" s="19"/>
      <c r="E7350" s="19"/>
      <c r="F7350" s="20"/>
      <c r="G7350" s="19"/>
      <c r="H7350" s="19"/>
      <c r="I7350" s="19"/>
      <c r="J7350" s="21"/>
      <c r="K7350" s="19"/>
    </row>
    <row r="7351" spans="3:11" x14ac:dyDescent="0.2">
      <c r="C7351" s="19"/>
      <c r="D7351" s="19"/>
      <c r="E7351" s="19"/>
      <c r="F7351" s="20"/>
      <c r="G7351" s="19"/>
      <c r="H7351" s="19"/>
      <c r="I7351" s="19"/>
      <c r="J7351" s="21"/>
      <c r="K7351" s="19"/>
    </row>
    <row r="7352" spans="3:11" x14ac:dyDescent="0.2">
      <c r="C7352" s="19"/>
      <c r="D7352" s="19"/>
      <c r="E7352" s="19"/>
      <c r="F7352" s="20"/>
      <c r="G7352" s="19"/>
      <c r="H7352" s="19"/>
      <c r="I7352" s="19"/>
      <c r="J7352" s="21"/>
      <c r="K7352" s="19"/>
    </row>
    <row r="7353" spans="3:11" x14ac:dyDescent="0.2">
      <c r="C7353" s="19"/>
      <c r="D7353" s="19"/>
      <c r="E7353" s="19"/>
      <c r="F7353" s="20"/>
      <c r="G7353" s="19"/>
      <c r="H7353" s="19"/>
      <c r="I7353" s="19"/>
      <c r="J7353" s="21"/>
      <c r="K7353" s="19"/>
    </row>
    <row r="7354" spans="3:11" x14ac:dyDescent="0.2">
      <c r="C7354" s="19"/>
      <c r="D7354" s="19"/>
      <c r="E7354" s="19"/>
      <c r="F7354" s="20"/>
      <c r="G7354" s="19"/>
      <c r="H7354" s="19"/>
      <c r="I7354" s="19"/>
      <c r="J7354" s="21"/>
      <c r="K7354" s="19"/>
    </row>
    <row r="7355" spans="3:11" x14ac:dyDescent="0.2">
      <c r="C7355" s="19"/>
      <c r="D7355" s="19"/>
      <c r="E7355" s="19"/>
      <c r="F7355" s="20"/>
      <c r="G7355" s="19"/>
      <c r="H7355" s="19"/>
      <c r="I7355" s="19"/>
      <c r="J7355" s="21"/>
      <c r="K7355" s="19"/>
    </row>
    <row r="7356" spans="3:11" x14ac:dyDescent="0.2">
      <c r="C7356" s="19"/>
      <c r="D7356" s="19"/>
      <c r="E7356" s="19"/>
      <c r="F7356" s="20"/>
      <c r="G7356" s="19"/>
      <c r="H7356" s="19"/>
      <c r="I7356" s="19"/>
      <c r="J7356" s="21"/>
      <c r="K7356" s="19"/>
    </row>
    <row r="7357" spans="3:11" x14ac:dyDescent="0.2">
      <c r="C7357" s="19"/>
      <c r="D7357" s="19"/>
      <c r="E7357" s="19"/>
      <c r="F7357" s="20"/>
      <c r="G7357" s="19"/>
      <c r="H7357" s="19"/>
      <c r="I7357" s="19"/>
      <c r="J7357" s="21"/>
      <c r="K7357" s="19"/>
    </row>
    <row r="7358" spans="3:11" x14ac:dyDescent="0.2">
      <c r="C7358" s="19"/>
      <c r="D7358" s="19"/>
      <c r="E7358" s="19"/>
      <c r="F7358" s="20"/>
      <c r="G7358" s="19"/>
      <c r="H7358" s="19"/>
      <c r="I7358" s="19"/>
      <c r="J7358" s="21"/>
      <c r="K7358" s="19"/>
    </row>
    <row r="7359" spans="3:11" x14ac:dyDescent="0.2">
      <c r="C7359" s="19"/>
      <c r="D7359" s="19"/>
      <c r="E7359" s="19"/>
      <c r="F7359" s="20"/>
      <c r="G7359" s="19"/>
      <c r="H7359" s="19"/>
      <c r="I7359" s="19"/>
      <c r="J7359" s="21"/>
      <c r="K7359" s="19"/>
    </row>
    <row r="7360" spans="3:11" x14ac:dyDescent="0.2">
      <c r="C7360" s="19"/>
      <c r="D7360" s="19"/>
      <c r="E7360" s="19"/>
      <c r="F7360" s="20"/>
      <c r="G7360" s="19"/>
      <c r="H7360" s="19"/>
      <c r="I7360" s="19"/>
      <c r="J7360" s="21"/>
      <c r="K7360" s="19"/>
    </row>
    <row r="7361" spans="3:11" x14ac:dyDescent="0.2">
      <c r="C7361" s="19"/>
      <c r="D7361" s="19"/>
      <c r="E7361" s="19"/>
      <c r="F7361" s="20"/>
      <c r="G7361" s="19"/>
      <c r="H7361" s="19"/>
      <c r="I7361" s="19"/>
      <c r="J7361" s="21"/>
      <c r="K7361" s="19"/>
    </row>
    <row r="7362" spans="3:11" x14ac:dyDescent="0.2">
      <c r="C7362" s="19"/>
      <c r="D7362" s="19"/>
      <c r="E7362" s="19"/>
      <c r="F7362" s="20"/>
      <c r="G7362" s="19"/>
      <c r="H7362" s="19"/>
      <c r="I7362" s="19"/>
      <c r="J7362" s="21"/>
      <c r="K7362" s="19"/>
    </row>
    <row r="7363" spans="3:11" x14ac:dyDescent="0.2">
      <c r="C7363" s="19"/>
      <c r="D7363" s="19"/>
      <c r="E7363" s="19"/>
      <c r="F7363" s="20"/>
      <c r="G7363" s="19"/>
      <c r="H7363" s="19"/>
      <c r="I7363" s="19"/>
      <c r="J7363" s="21"/>
      <c r="K7363" s="19"/>
    </row>
    <row r="7364" spans="3:11" x14ac:dyDescent="0.2">
      <c r="C7364" s="19"/>
      <c r="D7364" s="19"/>
      <c r="E7364" s="19"/>
      <c r="F7364" s="20"/>
      <c r="G7364" s="19"/>
      <c r="H7364" s="19"/>
      <c r="I7364" s="19"/>
      <c r="J7364" s="21"/>
      <c r="K7364" s="19"/>
    </row>
    <row r="7365" spans="3:11" x14ac:dyDescent="0.2">
      <c r="C7365" s="19"/>
      <c r="D7365" s="19"/>
      <c r="E7365" s="19"/>
      <c r="F7365" s="20"/>
      <c r="G7365" s="19"/>
      <c r="H7365" s="19"/>
      <c r="I7365" s="19"/>
      <c r="J7365" s="21"/>
      <c r="K7365" s="19"/>
    </row>
    <row r="7366" spans="3:11" x14ac:dyDescent="0.2">
      <c r="C7366" s="19"/>
      <c r="D7366" s="19"/>
      <c r="E7366" s="19"/>
      <c r="F7366" s="20"/>
      <c r="G7366" s="19"/>
      <c r="H7366" s="19"/>
      <c r="I7366" s="19"/>
      <c r="J7366" s="21"/>
      <c r="K7366" s="19"/>
    </row>
    <row r="7367" spans="3:11" x14ac:dyDescent="0.2">
      <c r="C7367" s="19"/>
      <c r="D7367" s="19"/>
      <c r="E7367" s="19"/>
      <c r="F7367" s="20"/>
      <c r="G7367" s="19"/>
      <c r="H7367" s="19"/>
      <c r="I7367" s="19"/>
      <c r="J7367" s="21"/>
      <c r="K7367" s="19"/>
    </row>
    <row r="7368" spans="3:11" x14ac:dyDescent="0.2">
      <c r="C7368" s="19"/>
      <c r="D7368" s="19"/>
      <c r="E7368" s="19"/>
      <c r="F7368" s="20"/>
      <c r="G7368" s="19"/>
      <c r="H7368" s="19"/>
      <c r="I7368" s="19"/>
      <c r="J7368" s="21"/>
      <c r="K7368" s="19"/>
    </row>
    <row r="7369" spans="3:11" x14ac:dyDescent="0.2">
      <c r="C7369" s="19"/>
      <c r="D7369" s="19"/>
      <c r="E7369" s="19"/>
      <c r="F7369" s="20"/>
      <c r="G7369" s="19"/>
      <c r="H7369" s="19"/>
      <c r="I7369" s="19"/>
      <c r="J7369" s="21"/>
      <c r="K7369" s="19"/>
    </row>
    <row r="7370" spans="3:11" x14ac:dyDescent="0.2">
      <c r="C7370" s="19"/>
      <c r="D7370" s="19"/>
      <c r="E7370" s="19"/>
      <c r="F7370" s="20"/>
      <c r="G7370" s="19"/>
      <c r="H7370" s="19"/>
      <c r="I7370" s="19"/>
      <c r="J7370" s="19"/>
      <c r="K7370" s="19"/>
    </row>
    <row r="7371" spans="3:11" x14ac:dyDescent="0.2">
      <c r="C7371" s="19"/>
      <c r="D7371" s="19"/>
      <c r="E7371" s="19"/>
      <c r="F7371" s="20"/>
      <c r="G7371" s="19"/>
      <c r="H7371" s="19"/>
      <c r="I7371" s="19"/>
      <c r="J7371" s="21"/>
      <c r="K7371" s="19"/>
    </row>
    <row r="7372" spans="3:11" x14ac:dyDescent="0.2">
      <c r="C7372" s="19"/>
      <c r="D7372" s="19"/>
      <c r="E7372" s="19"/>
      <c r="F7372" s="20"/>
      <c r="G7372" s="19"/>
      <c r="H7372" s="19"/>
      <c r="I7372" s="19"/>
      <c r="J7372" s="21"/>
      <c r="K7372" s="19"/>
    </row>
    <row r="7373" spans="3:11" x14ac:dyDescent="0.2">
      <c r="C7373" s="19"/>
      <c r="D7373" s="19"/>
      <c r="E7373" s="19"/>
      <c r="F7373" s="20"/>
      <c r="G7373" s="19"/>
      <c r="H7373" s="19"/>
      <c r="I7373" s="19"/>
      <c r="J7373" s="21"/>
      <c r="K7373" s="19"/>
    </row>
    <row r="7374" spans="3:11" x14ac:dyDescent="0.2">
      <c r="C7374" s="19"/>
      <c r="D7374" s="19"/>
      <c r="E7374" s="19"/>
      <c r="F7374" s="20"/>
      <c r="G7374" s="19"/>
      <c r="H7374" s="19"/>
      <c r="I7374" s="19"/>
      <c r="J7374" s="21"/>
      <c r="K7374" s="19"/>
    </row>
    <row r="7375" spans="3:11" x14ac:dyDescent="0.2">
      <c r="C7375" s="19"/>
      <c r="D7375" s="19"/>
      <c r="E7375" s="19"/>
      <c r="F7375" s="20"/>
      <c r="G7375" s="19"/>
      <c r="H7375" s="19"/>
      <c r="I7375" s="19"/>
      <c r="J7375" s="21"/>
      <c r="K7375" s="19"/>
    </row>
    <row r="7376" spans="3:11" x14ac:dyDescent="0.2">
      <c r="C7376" s="19"/>
      <c r="D7376" s="19"/>
      <c r="E7376" s="19"/>
      <c r="F7376" s="20"/>
      <c r="G7376" s="19"/>
      <c r="H7376" s="19"/>
      <c r="I7376" s="19"/>
      <c r="J7376" s="21"/>
      <c r="K7376" s="19"/>
    </row>
    <row r="7377" spans="3:11" x14ac:dyDescent="0.2">
      <c r="C7377" s="19"/>
      <c r="D7377" s="19"/>
      <c r="E7377" s="19"/>
      <c r="F7377" s="20"/>
      <c r="G7377" s="19"/>
      <c r="H7377" s="19"/>
      <c r="I7377" s="19"/>
      <c r="J7377" s="21"/>
      <c r="K7377" s="19"/>
    </row>
    <row r="7378" spans="3:11" x14ac:dyDescent="0.2">
      <c r="C7378" s="19"/>
      <c r="D7378" s="19"/>
      <c r="E7378" s="19"/>
      <c r="F7378" s="20"/>
      <c r="G7378" s="19"/>
      <c r="H7378" s="19"/>
      <c r="I7378" s="19"/>
      <c r="J7378" s="21"/>
      <c r="K7378" s="19"/>
    </row>
    <row r="7379" spans="3:11" x14ac:dyDescent="0.2">
      <c r="C7379" s="19"/>
      <c r="D7379" s="19"/>
      <c r="E7379" s="19"/>
      <c r="F7379" s="20"/>
      <c r="G7379" s="19"/>
      <c r="H7379" s="19"/>
      <c r="I7379" s="19"/>
      <c r="J7379" s="21"/>
      <c r="K7379" s="19"/>
    </row>
    <row r="7380" spans="3:11" x14ac:dyDescent="0.2">
      <c r="C7380" s="19"/>
      <c r="D7380" s="19"/>
      <c r="E7380" s="19"/>
      <c r="F7380" s="20"/>
      <c r="G7380" s="19"/>
      <c r="H7380" s="19"/>
      <c r="I7380" s="19"/>
      <c r="J7380" s="21"/>
      <c r="K7380" s="19"/>
    </row>
    <row r="7381" spans="3:11" x14ac:dyDescent="0.2">
      <c r="C7381" s="19"/>
      <c r="D7381" s="19"/>
      <c r="E7381" s="19"/>
      <c r="F7381" s="20"/>
      <c r="G7381" s="19"/>
      <c r="H7381" s="19"/>
      <c r="I7381" s="19"/>
      <c r="J7381" s="21"/>
      <c r="K7381" s="19"/>
    </row>
    <row r="7382" spans="3:11" x14ac:dyDescent="0.2">
      <c r="C7382" s="19"/>
      <c r="D7382" s="19"/>
      <c r="E7382" s="19"/>
      <c r="F7382" s="20"/>
      <c r="G7382" s="19"/>
      <c r="H7382" s="19"/>
      <c r="I7382" s="19"/>
      <c r="J7382" s="21"/>
      <c r="K7382" s="19"/>
    </row>
    <row r="7383" spans="3:11" x14ac:dyDescent="0.2">
      <c r="C7383" s="19"/>
      <c r="D7383" s="19"/>
      <c r="E7383" s="19"/>
      <c r="F7383" s="20"/>
      <c r="G7383" s="19"/>
      <c r="H7383" s="19"/>
      <c r="I7383" s="19"/>
      <c r="J7383" s="21"/>
      <c r="K7383" s="19"/>
    </row>
    <row r="7384" spans="3:11" x14ac:dyDescent="0.2">
      <c r="C7384" s="19"/>
      <c r="D7384" s="19"/>
      <c r="E7384" s="19"/>
      <c r="F7384" s="20"/>
      <c r="G7384" s="19"/>
      <c r="H7384" s="19"/>
      <c r="I7384" s="19"/>
      <c r="J7384" s="21"/>
      <c r="K7384" s="19"/>
    </row>
    <row r="7385" spans="3:11" x14ac:dyDescent="0.2">
      <c r="C7385" s="19"/>
      <c r="D7385" s="19"/>
      <c r="E7385" s="19"/>
      <c r="F7385" s="20"/>
      <c r="G7385" s="19"/>
      <c r="H7385" s="19"/>
      <c r="I7385" s="19"/>
      <c r="J7385" s="21"/>
      <c r="K7385" s="19"/>
    </row>
    <row r="7386" spans="3:11" x14ac:dyDescent="0.2">
      <c r="C7386" s="19"/>
      <c r="D7386" s="19"/>
      <c r="E7386" s="19"/>
      <c r="F7386" s="20"/>
      <c r="G7386" s="19"/>
      <c r="H7386" s="19"/>
      <c r="I7386" s="19"/>
      <c r="J7386" s="21"/>
      <c r="K7386" s="19"/>
    </row>
    <row r="7387" spans="3:11" x14ac:dyDescent="0.2">
      <c r="C7387" s="19"/>
      <c r="D7387" s="19"/>
      <c r="E7387" s="19"/>
      <c r="F7387" s="20"/>
      <c r="G7387" s="19"/>
      <c r="H7387" s="19"/>
      <c r="I7387" s="19"/>
      <c r="J7387" s="19"/>
      <c r="K7387" s="19"/>
    </row>
    <row r="7388" spans="3:11" x14ac:dyDescent="0.2">
      <c r="C7388" s="19"/>
      <c r="D7388" s="19"/>
      <c r="E7388" s="19"/>
      <c r="F7388" s="20"/>
      <c r="G7388" s="19"/>
      <c r="H7388" s="19"/>
      <c r="I7388" s="19"/>
      <c r="J7388" s="19"/>
      <c r="K7388" s="19"/>
    </row>
    <row r="7389" spans="3:11" x14ac:dyDescent="0.2">
      <c r="C7389" s="19"/>
      <c r="D7389" s="19"/>
      <c r="E7389" s="19"/>
      <c r="F7389" s="20"/>
      <c r="G7389" s="19"/>
      <c r="H7389" s="19"/>
      <c r="I7389" s="19"/>
      <c r="J7389" s="21"/>
      <c r="K7389" s="19"/>
    </row>
    <row r="7390" spans="3:11" x14ac:dyDescent="0.2">
      <c r="C7390" s="19"/>
      <c r="D7390" s="19"/>
      <c r="E7390" s="19"/>
      <c r="F7390" s="20"/>
      <c r="G7390" s="19"/>
      <c r="H7390" s="19"/>
      <c r="I7390" s="19"/>
      <c r="J7390" s="21"/>
      <c r="K7390" s="19"/>
    </row>
    <row r="7391" spans="3:11" x14ac:dyDescent="0.2">
      <c r="C7391" s="19"/>
      <c r="D7391" s="19"/>
      <c r="E7391" s="19"/>
      <c r="F7391" s="20"/>
      <c r="G7391" s="19"/>
      <c r="H7391" s="19"/>
      <c r="I7391" s="19"/>
      <c r="J7391" s="21"/>
      <c r="K7391" s="19"/>
    </row>
    <row r="7392" spans="3:11" x14ac:dyDescent="0.2">
      <c r="C7392" s="19"/>
      <c r="D7392" s="19"/>
      <c r="E7392" s="19"/>
      <c r="F7392" s="20"/>
      <c r="G7392" s="19"/>
      <c r="H7392" s="19"/>
      <c r="I7392" s="19"/>
      <c r="J7392" s="19"/>
      <c r="K7392" s="19"/>
    </row>
    <row r="7393" spans="3:11" x14ac:dyDescent="0.2">
      <c r="C7393" s="19"/>
      <c r="D7393" s="19"/>
      <c r="E7393" s="19"/>
      <c r="F7393" s="20"/>
      <c r="G7393" s="19"/>
      <c r="H7393" s="19"/>
      <c r="I7393" s="19"/>
      <c r="J7393" s="21"/>
      <c r="K7393" s="19"/>
    </row>
    <row r="7394" spans="3:11" x14ac:dyDescent="0.2">
      <c r="C7394" s="19"/>
      <c r="D7394" s="19"/>
      <c r="E7394" s="19"/>
      <c r="F7394" s="20"/>
      <c r="G7394" s="19"/>
      <c r="H7394" s="19"/>
      <c r="I7394" s="19"/>
      <c r="J7394" s="19"/>
      <c r="K7394" s="19"/>
    </row>
    <row r="7395" spans="3:11" x14ac:dyDescent="0.2">
      <c r="C7395" s="19"/>
      <c r="D7395" s="19"/>
      <c r="E7395" s="19"/>
      <c r="F7395" s="20"/>
      <c r="G7395" s="19"/>
      <c r="H7395" s="19"/>
      <c r="I7395" s="19"/>
      <c r="J7395" s="21"/>
      <c r="K7395" s="19"/>
    </row>
    <row r="7396" spans="3:11" x14ac:dyDescent="0.2">
      <c r="C7396" s="19"/>
      <c r="D7396" s="19"/>
      <c r="E7396" s="19"/>
      <c r="F7396" s="20"/>
      <c r="G7396" s="19"/>
      <c r="H7396" s="19"/>
      <c r="I7396" s="19"/>
      <c r="J7396" s="21"/>
      <c r="K7396" s="19"/>
    </row>
    <row r="7397" spans="3:11" x14ac:dyDescent="0.2">
      <c r="C7397" s="19"/>
      <c r="D7397" s="19"/>
      <c r="E7397" s="19"/>
      <c r="F7397" s="20"/>
      <c r="G7397" s="19"/>
      <c r="H7397" s="19"/>
      <c r="I7397" s="19"/>
      <c r="J7397" s="19"/>
      <c r="K7397" s="19"/>
    </row>
    <row r="7398" spans="3:11" x14ac:dyDescent="0.2">
      <c r="C7398" s="19"/>
      <c r="D7398" s="19"/>
      <c r="E7398" s="19"/>
      <c r="F7398" s="20"/>
      <c r="G7398" s="19"/>
      <c r="H7398" s="19"/>
      <c r="I7398" s="19"/>
      <c r="J7398" s="21"/>
      <c r="K7398" s="19"/>
    </row>
    <row r="7399" spans="3:11" x14ac:dyDescent="0.2">
      <c r="C7399" s="19"/>
      <c r="D7399" s="19"/>
      <c r="E7399" s="19"/>
      <c r="F7399" s="20"/>
      <c r="G7399" s="19"/>
      <c r="H7399" s="19"/>
      <c r="I7399" s="19"/>
      <c r="J7399" s="21"/>
      <c r="K7399" s="19"/>
    </row>
    <row r="7400" spans="3:11" x14ac:dyDescent="0.2">
      <c r="C7400" s="19"/>
      <c r="D7400" s="19"/>
      <c r="E7400" s="19"/>
      <c r="F7400" s="20"/>
      <c r="G7400" s="19"/>
      <c r="H7400" s="19"/>
      <c r="I7400" s="19"/>
      <c r="J7400" s="19"/>
      <c r="K7400" s="19"/>
    </row>
    <row r="7401" spans="3:11" x14ac:dyDescent="0.2">
      <c r="C7401" s="19"/>
      <c r="D7401" s="19"/>
      <c r="E7401" s="19"/>
      <c r="F7401" s="20"/>
      <c r="G7401" s="19"/>
      <c r="H7401" s="19"/>
      <c r="I7401" s="19"/>
      <c r="J7401" s="21"/>
      <c r="K7401" s="19"/>
    </row>
    <row r="7402" spans="3:11" x14ac:dyDescent="0.2">
      <c r="C7402" s="19"/>
      <c r="D7402" s="19"/>
      <c r="E7402" s="19"/>
      <c r="F7402" s="20"/>
      <c r="G7402" s="19"/>
      <c r="H7402" s="19"/>
      <c r="I7402" s="19"/>
      <c r="J7402" s="21"/>
      <c r="K7402" s="19"/>
    </row>
    <row r="7403" spans="3:11" x14ac:dyDescent="0.2">
      <c r="C7403" s="19"/>
      <c r="D7403" s="19"/>
      <c r="E7403" s="19"/>
      <c r="F7403" s="20"/>
      <c r="G7403" s="19"/>
      <c r="H7403" s="19"/>
      <c r="I7403" s="19"/>
      <c r="J7403" s="21"/>
      <c r="K7403" s="19"/>
    </row>
    <row r="7404" spans="3:11" x14ac:dyDescent="0.2">
      <c r="C7404" s="19"/>
      <c r="D7404" s="19"/>
      <c r="E7404" s="19"/>
      <c r="F7404" s="20"/>
      <c r="G7404" s="19"/>
      <c r="H7404" s="19"/>
      <c r="I7404" s="19"/>
      <c r="J7404" s="21"/>
      <c r="K7404" s="19"/>
    </row>
    <row r="7405" spans="3:11" x14ac:dyDescent="0.2">
      <c r="C7405" s="19"/>
      <c r="D7405" s="19"/>
      <c r="E7405" s="19"/>
      <c r="F7405" s="20"/>
      <c r="G7405" s="19"/>
      <c r="H7405" s="19"/>
      <c r="I7405" s="19"/>
      <c r="J7405" s="21"/>
      <c r="K7405" s="19"/>
    </row>
    <row r="7406" spans="3:11" x14ac:dyDescent="0.2">
      <c r="C7406" s="19"/>
      <c r="D7406" s="19"/>
      <c r="E7406" s="19"/>
      <c r="F7406" s="20"/>
      <c r="G7406" s="19"/>
      <c r="H7406" s="19"/>
      <c r="I7406" s="19"/>
      <c r="J7406" s="19"/>
      <c r="K7406" s="19"/>
    </row>
    <row r="7407" spans="3:11" x14ac:dyDescent="0.2">
      <c r="C7407" s="19"/>
      <c r="D7407" s="19"/>
      <c r="E7407" s="19"/>
      <c r="F7407" s="20"/>
      <c r="G7407" s="19"/>
      <c r="H7407" s="19"/>
      <c r="I7407" s="19"/>
      <c r="J7407" s="21"/>
      <c r="K7407" s="19"/>
    </row>
    <row r="7408" spans="3:11" x14ac:dyDescent="0.2">
      <c r="C7408" s="19"/>
      <c r="D7408" s="19"/>
      <c r="E7408" s="19"/>
      <c r="F7408" s="20"/>
      <c r="G7408" s="19"/>
      <c r="H7408" s="19"/>
      <c r="I7408" s="19"/>
      <c r="J7408" s="21"/>
      <c r="K7408" s="19"/>
    </row>
    <row r="7409" spans="3:11" x14ac:dyDescent="0.2">
      <c r="C7409" s="19"/>
      <c r="D7409" s="19"/>
      <c r="E7409" s="19"/>
      <c r="F7409" s="20"/>
      <c r="G7409" s="19"/>
      <c r="H7409" s="19"/>
      <c r="I7409" s="19"/>
      <c r="J7409" s="21"/>
      <c r="K7409" s="19"/>
    </row>
    <row r="7410" spans="3:11" x14ac:dyDescent="0.2">
      <c r="C7410" s="19"/>
      <c r="D7410" s="19"/>
      <c r="E7410" s="19"/>
      <c r="F7410" s="20"/>
      <c r="G7410" s="19"/>
      <c r="H7410" s="19"/>
      <c r="I7410" s="19"/>
      <c r="J7410" s="21"/>
      <c r="K7410" s="19"/>
    </row>
    <row r="7411" spans="3:11" x14ac:dyDescent="0.2">
      <c r="C7411" s="19"/>
      <c r="D7411" s="19"/>
      <c r="E7411" s="19"/>
      <c r="F7411" s="20"/>
      <c r="G7411" s="19"/>
      <c r="H7411" s="19"/>
      <c r="I7411" s="19"/>
      <c r="J7411" s="21"/>
      <c r="K7411" s="19"/>
    </row>
    <row r="7412" spans="3:11" x14ac:dyDescent="0.2">
      <c r="C7412" s="19"/>
      <c r="D7412" s="19"/>
      <c r="E7412" s="19"/>
      <c r="F7412" s="20"/>
      <c r="G7412" s="19"/>
      <c r="H7412" s="19"/>
      <c r="I7412" s="19"/>
      <c r="J7412" s="21"/>
      <c r="K7412" s="19"/>
    </row>
    <row r="7413" spans="3:11" x14ac:dyDescent="0.2">
      <c r="C7413" s="19"/>
      <c r="D7413" s="19"/>
      <c r="E7413" s="19"/>
      <c r="F7413" s="20"/>
      <c r="G7413" s="19"/>
      <c r="H7413" s="19"/>
      <c r="I7413" s="19"/>
      <c r="J7413" s="21"/>
      <c r="K7413" s="19"/>
    </row>
    <row r="7414" spans="3:11" x14ac:dyDescent="0.2">
      <c r="C7414" s="19"/>
      <c r="D7414" s="19"/>
      <c r="E7414" s="19"/>
      <c r="F7414" s="20"/>
      <c r="G7414" s="19"/>
      <c r="H7414" s="19"/>
      <c r="I7414" s="19"/>
      <c r="J7414" s="21"/>
      <c r="K7414" s="19"/>
    </row>
    <row r="7415" spans="3:11" x14ac:dyDescent="0.2">
      <c r="C7415" s="19"/>
      <c r="D7415" s="19"/>
      <c r="E7415" s="19"/>
      <c r="F7415" s="20"/>
      <c r="G7415" s="19"/>
      <c r="H7415" s="19"/>
      <c r="I7415" s="19"/>
      <c r="J7415" s="21"/>
      <c r="K7415" s="19"/>
    </row>
    <row r="7416" spans="3:11" x14ac:dyDescent="0.2">
      <c r="C7416" s="19"/>
      <c r="D7416" s="19"/>
      <c r="E7416" s="19"/>
      <c r="F7416" s="20"/>
      <c r="G7416" s="19"/>
      <c r="H7416" s="19"/>
      <c r="I7416" s="19"/>
      <c r="J7416" s="21"/>
      <c r="K7416" s="19"/>
    </row>
    <row r="7417" spans="3:11" x14ac:dyDescent="0.2">
      <c r="C7417" s="19"/>
      <c r="D7417" s="19"/>
      <c r="E7417" s="19"/>
      <c r="F7417" s="20"/>
      <c r="G7417" s="19"/>
      <c r="H7417" s="19"/>
      <c r="I7417" s="19"/>
      <c r="J7417" s="21"/>
      <c r="K7417" s="19"/>
    </row>
    <row r="7418" spans="3:11" x14ac:dyDescent="0.2">
      <c r="C7418" s="19"/>
      <c r="D7418" s="19"/>
      <c r="E7418" s="19"/>
      <c r="F7418" s="20"/>
      <c r="G7418" s="19"/>
      <c r="H7418" s="19"/>
      <c r="I7418" s="19"/>
      <c r="J7418" s="21"/>
      <c r="K7418" s="19"/>
    </row>
    <row r="7419" spans="3:11" x14ac:dyDescent="0.2">
      <c r="C7419" s="19"/>
      <c r="D7419" s="19"/>
      <c r="E7419" s="19"/>
      <c r="F7419" s="20"/>
      <c r="G7419" s="19"/>
      <c r="H7419" s="19"/>
      <c r="I7419" s="19"/>
      <c r="J7419" s="21"/>
      <c r="K7419" s="19"/>
    </row>
    <row r="7420" spans="3:11" x14ac:dyDescent="0.2">
      <c r="C7420" s="19"/>
      <c r="D7420" s="19"/>
      <c r="E7420" s="19"/>
      <c r="F7420" s="20"/>
      <c r="G7420" s="19"/>
      <c r="H7420" s="19"/>
      <c r="I7420" s="19"/>
      <c r="J7420" s="21"/>
      <c r="K7420" s="19"/>
    </row>
    <row r="7421" spans="3:11" x14ac:dyDescent="0.2">
      <c r="C7421" s="19"/>
      <c r="D7421" s="19"/>
      <c r="E7421" s="19"/>
      <c r="F7421" s="20"/>
      <c r="G7421" s="19"/>
      <c r="H7421" s="19"/>
      <c r="I7421" s="19"/>
      <c r="J7421" s="21"/>
      <c r="K7421" s="19"/>
    </row>
    <row r="7422" spans="3:11" x14ac:dyDescent="0.2">
      <c r="C7422" s="19"/>
      <c r="D7422" s="19"/>
      <c r="E7422" s="19"/>
      <c r="F7422" s="20"/>
      <c r="G7422" s="19"/>
      <c r="H7422" s="19"/>
      <c r="I7422" s="19"/>
      <c r="J7422" s="21"/>
      <c r="K7422" s="19"/>
    </row>
    <row r="7423" spans="3:11" x14ac:dyDescent="0.2">
      <c r="C7423" s="19"/>
      <c r="D7423" s="19"/>
      <c r="E7423" s="19"/>
      <c r="F7423" s="20"/>
      <c r="G7423" s="19"/>
      <c r="H7423" s="19"/>
      <c r="I7423" s="19"/>
      <c r="J7423" s="21"/>
      <c r="K7423" s="19"/>
    </row>
    <row r="7424" spans="3:11" x14ac:dyDescent="0.2">
      <c r="C7424" s="19"/>
      <c r="D7424" s="19"/>
      <c r="E7424" s="19"/>
      <c r="F7424" s="20"/>
      <c r="G7424" s="19"/>
      <c r="H7424" s="19"/>
      <c r="I7424" s="19"/>
      <c r="J7424" s="21"/>
      <c r="K7424" s="19"/>
    </row>
    <row r="7425" spans="3:11" x14ac:dyDescent="0.2">
      <c r="C7425" s="19"/>
      <c r="D7425" s="19"/>
      <c r="E7425" s="19"/>
      <c r="F7425" s="20"/>
      <c r="G7425" s="19"/>
      <c r="H7425" s="19"/>
      <c r="I7425" s="19"/>
      <c r="J7425" s="19"/>
      <c r="K7425" s="19"/>
    </row>
    <row r="7426" spans="3:11" x14ac:dyDescent="0.2">
      <c r="C7426" s="19"/>
      <c r="D7426" s="19"/>
      <c r="E7426" s="19"/>
      <c r="F7426" s="20"/>
      <c r="G7426" s="19"/>
      <c r="H7426" s="19"/>
      <c r="I7426" s="19"/>
      <c r="J7426" s="21"/>
      <c r="K7426" s="19"/>
    </row>
    <row r="7427" spans="3:11" x14ac:dyDescent="0.2">
      <c r="C7427" s="19"/>
      <c r="D7427" s="19"/>
      <c r="E7427" s="19"/>
      <c r="F7427" s="20"/>
      <c r="G7427" s="19"/>
      <c r="H7427" s="19"/>
      <c r="I7427" s="19"/>
      <c r="J7427" s="21"/>
      <c r="K7427" s="19"/>
    </row>
    <row r="7428" spans="3:11" x14ac:dyDescent="0.2">
      <c r="C7428" s="19"/>
      <c r="D7428" s="19"/>
      <c r="E7428" s="19"/>
      <c r="F7428" s="20"/>
      <c r="G7428" s="19"/>
      <c r="H7428" s="19"/>
      <c r="I7428" s="19"/>
      <c r="J7428" s="21"/>
      <c r="K7428" s="19"/>
    </row>
    <row r="7429" spans="3:11" x14ac:dyDescent="0.2">
      <c r="C7429" s="19"/>
      <c r="D7429" s="19"/>
      <c r="E7429" s="19"/>
      <c r="F7429" s="20"/>
      <c r="G7429" s="19"/>
      <c r="H7429" s="19"/>
      <c r="I7429" s="19"/>
      <c r="J7429" s="21"/>
      <c r="K7429" s="19"/>
    </row>
    <row r="7430" spans="3:11" x14ac:dyDescent="0.2">
      <c r="C7430" s="19"/>
      <c r="D7430" s="19"/>
      <c r="E7430" s="19"/>
      <c r="F7430" s="20"/>
      <c r="G7430" s="19"/>
      <c r="H7430" s="19"/>
      <c r="I7430" s="19"/>
      <c r="J7430" s="21"/>
      <c r="K7430" s="19"/>
    </row>
    <row r="7431" spans="3:11" x14ac:dyDescent="0.2">
      <c r="C7431" s="19"/>
      <c r="D7431" s="19"/>
      <c r="E7431" s="19"/>
      <c r="F7431" s="20"/>
      <c r="G7431" s="19"/>
      <c r="H7431" s="19"/>
      <c r="I7431" s="19"/>
      <c r="J7431" s="21"/>
      <c r="K7431" s="19"/>
    </row>
    <row r="7432" spans="3:11" x14ac:dyDescent="0.2">
      <c r="C7432" s="19"/>
      <c r="D7432" s="19"/>
      <c r="E7432" s="19"/>
      <c r="F7432" s="20"/>
      <c r="G7432" s="19"/>
      <c r="H7432" s="19"/>
      <c r="I7432" s="19"/>
      <c r="J7432" s="21"/>
      <c r="K7432" s="19"/>
    </row>
    <row r="7433" spans="3:11" x14ac:dyDescent="0.2">
      <c r="C7433" s="19"/>
      <c r="D7433" s="19"/>
      <c r="E7433" s="19"/>
      <c r="F7433" s="20"/>
      <c r="G7433" s="19"/>
      <c r="H7433" s="19"/>
      <c r="I7433" s="19"/>
      <c r="J7433" s="21"/>
      <c r="K7433" s="19"/>
    </row>
    <row r="7434" spans="3:11" x14ac:dyDescent="0.2">
      <c r="C7434" s="19"/>
      <c r="D7434" s="19"/>
      <c r="E7434" s="19"/>
      <c r="F7434" s="20"/>
      <c r="G7434" s="19"/>
      <c r="H7434" s="19"/>
      <c r="I7434" s="19"/>
      <c r="J7434" s="21"/>
      <c r="K7434" s="19"/>
    </row>
    <row r="7435" spans="3:11" x14ac:dyDescent="0.2">
      <c r="C7435" s="19"/>
      <c r="D7435" s="19"/>
      <c r="E7435" s="19"/>
      <c r="F7435" s="20"/>
      <c r="G7435" s="19"/>
      <c r="H7435" s="19"/>
      <c r="I7435" s="19"/>
      <c r="J7435" s="21"/>
      <c r="K7435" s="19"/>
    </row>
    <row r="7436" spans="3:11" x14ac:dyDescent="0.2">
      <c r="C7436" s="19"/>
      <c r="D7436" s="19"/>
      <c r="E7436" s="19"/>
      <c r="F7436" s="20"/>
      <c r="G7436" s="19"/>
      <c r="H7436" s="19"/>
      <c r="I7436" s="19"/>
      <c r="J7436" s="21"/>
      <c r="K7436" s="19"/>
    </row>
    <row r="7437" spans="3:11" x14ac:dyDescent="0.2">
      <c r="C7437" s="19"/>
      <c r="D7437" s="19"/>
      <c r="E7437" s="19"/>
      <c r="F7437" s="20"/>
      <c r="G7437" s="19"/>
      <c r="H7437" s="19"/>
      <c r="I7437" s="19"/>
      <c r="J7437" s="21"/>
      <c r="K7437" s="19"/>
    </row>
    <row r="7438" spans="3:11" x14ac:dyDescent="0.2">
      <c r="C7438" s="19"/>
      <c r="D7438" s="19"/>
      <c r="E7438" s="19"/>
      <c r="F7438" s="20"/>
      <c r="G7438" s="19"/>
      <c r="H7438" s="19"/>
      <c r="I7438" s="19"/>
      <c r="J7438" s="19"/>
      <c r="K7438" s="19"/>
    </row>
    <row r="7439" spans="3:11" x14ac:dyDescent="0.2">
      <c r="C7439" s="19"/>
      <c r="D7439" s="19"/>
      <c r="E7439" s="19"/>
      <c r="F7439" s="20"/>
      <c r="G7439" s="19"/>
      <c r="H7439" s="19"/>
      <c r="I7439" s="19"/>
      <c r="J7439" s="21"/>
      <c r="K7439" s="19"/>
    </row>
    <row r="7440" spans="3:11" x14ac:dyDescent="0.2">
      <c r="C7440" s="19"/>
      <c r="D7440" s="19"/>
      <c r="E7440" s="19"/>
      <c r="F7440" s="20"/>
      <c r="G7440" s="19"/>
      <c r="H7440" s="19"/>
      <c r="I7440" s="19"/>
      <c r="J7440" s="21"/>
      <c r="K7440" s="19"/>
    </row>
    <row r="7441" spans="3:11" x14ac:dyDescent="0.2">
      <c r="C7441" s="19"/>
      <c r="D7441" s="19"/>
      <c r="E7441" s="19"/>
      <c r="F7441" s="20"/>
      <c r="G7441" s="19"/>
      <c r="H7441" s="19"/>
      <c r="I7441" s="19"/>
      <c r="J7441" s="21"/>
      <c r="K7441" s="19"/>
    </row>
    <row r="7442" spans="3:11" x14ac:dyDescent="0.2">
      <c r="C7442" s="19"/>
      <c r="D7442" s="19"/>
      <c r="E7442" s="19"/>
      <c r="F7442" s="20"/>
      <c r="G7442" s="19"/>
      <c r="H7442" s="19"/>
      <c r="I7442" s="19"/>
      <c r="J7442" s="21"/>
      <c r="K7442" s="19"/>
    </row>
    <row r="7443" spans="3:11" x14ac:dyDescent="0.2">
      <c r="C7443" s="19"/>
      <c r="D7443" s="19"/>
      <c r="E7443" s="19"/>
      <c r="F7443" s="20"/>
      <c r="G7443" s="19"/>
      <c r="H7443" s="19"/>
      <c r="I7443" s="19"/>
      <c r="J7443" s="21"/>
      <c r="K7443" s="19"/>
    </row>
    <row r="7444" spans="3:11" x14ac:dyDescent="0.2">
      <c r="C7444" s="19"/>
      <c r="D7444" s="19"/>
      <c r="E7444" s="19"/>
      <c r="F7444" s="20"/>
      <c r="G7444" s="19"/>
      <c r="H7444" s="19"/>
      <c r="I7444" s="19"/>
      <c r="J7444" s="21"/>
      <c r="K7444" s="19"/>
    </row>
    <row r="7445" spans="3:11" x14ac:dyDescent="0.2">
      <c r="C7445" s="19"/>
      <c r="D7445" s="19"/>
      <c r="E7445" s="19"/>
      <c r="F7445" s="20"/>
      <c r="G7445" s="19"/>
      <c r="H7445" s="19"/>
      <c r="I7445" s="19"/>
      <c r="J7445" s="21"/>
      <c r="K7445" s="19"/>
    </row>
    <row r="7446" spans="3:11" x14ac:dyDescent="0.2">
      <c r="C7446" s="19"/>
      <c r="D7446" s="19"/>
      <c r="E7446" s="19"/>
      <c r="F7446" s="20"/>
      <c r="G7446" s="19"/>
      <c r="H7446" s="19"/>
      <c r="I7446" s="19"/>
      <c r="J7446" s="21"/>
      <c r="K7446" s="19"/>
    </row>
    <row r="7447" spans="3:11" x14ac:dyDescent="0.2">
      <c r="C7447" s="19"/>
      <c r="D7447" s="19"/>
      <c r="E7447" s="19"/>
      <c r="F7447" s="20"/>
      <c r="G7447" s="19"/>
      <c r="H7447" s="19"/>
      <c r="I7447" s="19"/>
      <c r="J7447" s="21"/>
      <c r="K7447" s="19"/>
    </row>
    <row r="7448" spans="3:11" x14ac:dyDescent="0.2">
      <c r="C7448" s="19"/>
      <c r="D7448" s="19"/>
      <c r="E7448" s="19"/>
      <c r="F7448" s="20"/>
      <c r="G7448" s="19"/>
      <c r="H7448" s="19"/>
      <c r="I7448" s="19"/>
      <c r="J7448" s="21"/>
      <c r="K7448" s="19"/>
    </row>
    <row r="7449" spans="3:11" x14ac:dyDescent="0.2">
      <c r="C7449" s="19"/>
      <c r="D7449" s="19"/>
      <c r="E7449" s="19"/>
      <c r="F7449" s="20"/>
      <c r="G7449" s="19"/>
      <c r="H7449" s="19"/>
      <c r="I7449" s="19"/>
      <c r="J7449" s="21"/>
      <c r="K7449" s="19"/>
    </row>
    <row r="7450" spans="3:11" x14ac:dyDescent="0.2">
      <c r="C7450" s="19"/>
      <c r="D7450" s="19"/>
      <c r="E7450" s="19"/>
      <c r="F7450" s="20"/>
      <c r="G7450" s="19"/>
      <c r="H7450" s="19"/>
      <c r="I7450" s="19"/>
      <c r="J7450" s="21"/>
      <c r="K7450" s="19"/>
    </row>
    <row r="7451" spans="3:11" x14ac:dyDescent="0.2">
      <c r="C7451" s="19"/>
      <c r="D7451" s="19"/>
      <c r="E7451" s="19"/>
      <c r="F7451" s="20"/>
      <c r="G7451" s="19"/>
      <c r="H7451" s="19"/>
      <c r="I7451" s="19"/>
      <c r="J7451" s="21"/>
      <c r="K7451" s="19"/>
    </row>
    <row r="7452" spans="3:11" x14ac:dyDescent="0.2">
      <c r="C7452" s="19"/>
      <c r="D7452" s="19"/>
      <c r="E7452" s="19"/>
      <c r="F7452" s="20"/>
      <c r="G7452" s="19"/>
      <c r="H7452" s="19"/>
      <c r="I7452" s="19"/>
      <c r="J7452" s="21"/>
      <c r="K7452" s="19"/>
    </row>
    <row r="7453" spans="3:11" x14ac:dyDescent="0.2">
      <c r="C7453" s="19"/>
      <c r="D7453" s="19"/>
      <c r="E7453" s="19"/>
      <c r="F7453" s="20"/>
      <c r="G7453" s="19"/>
      <c r="H7453" s="19"/>
      <c r="I7453" s="19"/>
      <c r="J7453" s="21"/>
      <c r="K7453" s="19"/>
    </row>
    <row r="7454" spans="3:11" x14ac:dyDescent="0.2">
      <c r="C7454" s="19"/>
      <c r="D7454" s="19"/>
      <c r="E7454" s="19"/>
      <c r="F7454" s="20"/>
      <c r="G7454" s="19"/>
      <c r="H7454" s="19"/>
      <c r="I7454" s="19"/>
      <c r="J7454" s="21"/>
      <c r="K7454" s="19"/>
    </row>
    <row r="7455" spans="3:11" x14ac:dyDescent="0.2">
      <c r="C7455" s="19"/>
      <c r="D7455" s="19"/>
      <c r="E7455" s="19"/>
      <c r="F7455" s="20"/>
      <c r="G7455" s="19"/>
      <c r="H7455" s="19"/>
      <c r="I7455" s="19"/>
      <c r="J7455" s="21"/>
      <c r="K7455" s="19"/>
    </row>
    <row r="7456" spans="3:11" x14ac:dyDescent="0.2">
      <c r="C7456" s="19"/>
      <c r="D7456" s="19"/>
      <c r="E7456" s="19"/>
      <c r="F7456" s="20"/>
      <c r="G7456" s="19"/>
      <c r="H7456" s="19"/>
      <c r="I7456" s="19"/>
      <c r="J7456" s="21"/>
      <c r="K7456" s="19"/>
    </row>
    <row r="7457" spans="3:11" x14ac:dyDescent="0.2">
      <c r="C7457" s="19"/>
      <c r="D7457" s="19"/>
      <c r="E7457" s="19"/>
      <c r="F7457" s="20"/>
      <c r="G7457" s="19"/>
      <c r="H7457" s="19"/>
      <c r="I7457" s="19"/>
      <c r="J7457" s="21"/>
      <c r="K7457" s="19"/>
    </row>
    <row r="7458" spans="3:11" x14ac:dyDescent="0.2">
      <c r="C7458" s="19"/>
      <c r="D7458" s="19"/>
      <c r="E7458" s="19"/>
      <c r="F7458" s="20"/>
      <c r="G7458" s="19"/>
      <c r="H7458" s="19"/>
      <c r="I7458" s="19"/>
      <c r="J7458" s="21"/>
      <c r="K7458" s="19"/>
    </row>
    <row r="7459" spans="3:11" x14ac:dyDescent="0.2">
      <c r="C7459" s="19"/>
      <c r="D7459" s="19"/>
      <c r="E7459" s="19"/>
      <c r="F7459" s="20"/>
      <c r="G7459" s="19"/>
      <c r="H7459" s="19"/>
      <c r="I7459" s="19"/>
      <c r="J7459" s="19"/>
      <c r="K7459" s="19"/>
    </row>
    <row r="7460" spans="3:11" x14ac:dyDescent="0.2">
      <c r="C7460" s="19"/>
      <c r="D7460" s="19"/>
      <c r="E7460" s="19"/>
      <c r="F7460" s="20"/>
      <c r="G7460" s="19"/>
      <c r="H7460" s="19"/>
      <c r="I7460" s="19"/>
      <c r="J7460" s="21"/>
      <c r="K7460" s="19"/>
    </row>
    <row r="7461" spans="3:11" x14ac:dyDescent="0.2">
      <c r="C7461" s="19"/>
      <c r="D7461" s="19"/>
      <c r="E7461" s="19"/>
      <c r="F7461" s="20"/>
      <c r="G7461" s="19"/>
      <c r="H7461" s="19"/>
      <c r="I7461" s="19"/>
      <c r="J7461" s="21"/>
      <c r="K7461" s="19"/>
    </row>
    <row r="7462" spans="3:11" x14ac:dyDescent="0.2">
      <c r="C7462" s="19"/>
      <c r="D7462" s="19"/>
      <c r="E7462" s="19"/>
      <c r="F7462" s="20"/>
      <c r="G7462" s="19"/>
      <c r="H7462" s="19"/>
      <c r="I7462" s="19"/>
      <c r="J7462" s="21"/>
      <c r="K7462" s="19"/>
    </row>
    <row r="7463" spans="3:11" x14ac:dyDescent="0.2">
      <c r="C7463" s="19"/>
      <c r="D7463" s="19"/>
      <c r="E7463" s="19"/>
      <c r="F7463" s="20"/>
      <c r="G7463" s="19"/>
      <c r="H7463" s="19"/>
      <c r="I7463" s="19"/>
      <c r="J7463" s="21"/>
      <c r="K7463" s="19"/>
    </row>
    <row r="7464" spans="3:11" x14ac:dyDescent="0.2">
      <c r="C7464" s="19"/>
      <c r="D7464" s="19"/>
      <c r="E7464" s="19"/>
      <c r="F7464" s="20"/>
      <c r="G7464" s="19"/>
      <c r="H7464" s="19"/>
      <c r="I7464" s="19"/>
      <c r="J7464" s="21"/>
      <c r="K7464" s="19"/>
    </row>
    <row r="7465" spans="3:11" x14ac:dyDescent="0.2">
      <c r="C7465" s="19"/>
      <c r="D7465" s="19"/>
      <c r="E7465" s="19"/>
      <c r="F7465" s="20"/>
      <c r="G7465" s="19"/>
      <c r="H7465" s="19"/>
      <c r="I7465" s="19"/>
      <c r="J7465" s="21"/>
      <c r="K7465" s="19"/>
    </row>
    <row r="7466" spans="3:11" x14ac:dyDescent="0.2">
      <c r="C7466" s="19"/>
      <c r="D7466" s="19"/>
      <c r="E7466" s="19"/>
      <c r="F7466" s="20"/>
      <c r="G7466" s="19"/>
      <c r="H7466" s="19"/>
      <c r="I7466" s="19"/>
      <c r="J7466" s="21"/>
      <c r="K7466" s="19"/>
    </row>
    <row r="7467" spans="3:11" x14ac:dyDescent="0.2">
      <c r="C7467" s="19"/>
      <c r="D7467" s="19"/>
      <c r="E7467" s="19"/>
      <c r="F7467" s="20"/>
      <c r="G7467" s="19"/>
      <c r="H7467" s="19"/>
      <c r="I7467" s="19"/>
      <c r="J7467" s="21"/>
      <c r="K7467" s="19"/>
    </row>
    <row r="7468" spans="3:11" x14ac:dyDescent="0.2">
      <c r="C7468" s="19"/>
      <c r="D7468" s="19"/>
      <c r="E7468" s="19"/>
      <c r="F7468" s="20"/>
      <c r="G7468" s="19"/>
      <c r="H7468" s="19"/>
      <c r="I7468" s="19"/>
      <c r="J7468" s="21"/>
      <c r="K7468" s="19"/>
    </row>
    <row r="7469" spans="3:11" x14ac:dyDescent="0.2">
      <c r="C7469" s="19"/>
      <c r="D7469" s="19"/>
      <c r="E7469" s="19"/>
      <c r="F7469" s="20"/>
      <c r="G7469" s="19"/>
      <c r="H7469" s="19"/>
      <c r="I7469" s="19"/>
      <c r="J7469" s="21"/>
      <c r="K7469" s="19"/>
    </row>
    <row r="7470" spans="3:11" x14ac:dyDescent="0.2">
      <c r="C7470" s="19"/>
      <c r="D7470" s="19"/>
      <c r="E7470" s="19"/>
      <c r="F7470" s="20"/>
      <c r="G7470" s="19"/>
      <c r="H7470" s="19"/>
      <c r="I7470" s="19"/>
      <c r="J7470" s="21"/>
      <c r="K7470" s="19"/>
    </row>
    <row r="7471" spans="3:11" x14ac:dyDescent="0.2">
      <c r="C7471" s="19"/>
      <c r="D7471" s="19"/>
      <c r="E7471" s="19"/>
      <c r="F7471" s="20"/>
      <c r="G7471" s="19"/>
      <c r="H7471" s="19"/>
      <c r="I7471" s="19"/>
      <c r="J7471" s="21"/>
      <c r="K7471" s="19"/>
    </row>
    <row r="7472" spans="3:11" x14ac:dyDescent="0.2">
      <c r="C7472" s="19"/>
      <c r="D7472" s="19"/>
      <c r="E7472" s="19"/>
      <c r="F7472" s="20"/>
      <c r="G7472" s="19"/>
      <c r="H7472" s="19"/>
      <c r="I7472" s="19"/>
      <c r="J7472" s="21"/>
      <c r="K7472" s="19"/>
    </row>
    <row r="7473" spans="3:11" x14ac:dyDescent="0.2">
      <c r="C7473" s="19"/>
      <c r="D7473" s="19"/>
      <c r="E7473" s="19"/>
      <c r="F7473" s="20"/>
      <c r="G7473" s="19"/>
      <c r="H7473" s="19"/>
      <c r="I7473" s="19"/>
      <c r="J7473" s="21"/>
      <c r="K7473" s="19"/>
    </row>
    <row r="7474" spans="3:11" x14ac:dyDescent="0.2">
      <c r="C7474" s="19"/>
      <c r="D7474" s="19"/>
      <c r="E7474" s="19"/>
      <c r="F7474" s="20"/>
      <c r="G7474" s="19"/>
      <c r="H7474" s="19"/>
      <c r="I7474" s="19"/>
      <c r="J7474" s="21"/>
      <c r="K7474" s="19"/>
    </row>
    <row r="7475" spans="3:11" x14ac:dyDescent="0.2">
      <c r="C7475" s="19"/>
      <c r="D7475" s="19"/>
      <c r="E7475" s="19"/>
      <c r="F7475" s="20"/>
      <c r="G7475" s="19"/>
      <c r="H7475" s="19"/>
      <c r="I7475" s="19"/>
      <c r="J7475" s="21"/>
      <c r="K7475" s="19"/>
    </row>
    <row r="7476" spans="3:11" x14ac:dyDescent="0.2">
      <c r="C7476" s="19"/>
      <c r="D7476" s="19"/>
      <c r="E7476" s="19"/>
      <c r="F7476" s="20"/>
      <c r="G7476" s="19"/>
      <c r="H7476" s="19"/>
      <c r="I7476" s="19"/>
      <c r="J7476" s="21"/>
      <c r="K7476" s="19"/>
    </row>
    <row r="7477" spans="3:11" x14ac:dyDescent="0.2">
      <c r="C7477" s="19"/>
      <c r="D7477" s="19"/>
      <c r="E7477" s="19"/>
      <c r="F7477" s="20"/>
      <c r="G7477" s="19"/>
      <c r="H7477" s="19"/>
      <c r="I7477" s="19"/>
      <c r="J7477" s="21"/>
      <c r="K7477" s="19"/>
    </row>
    <row r="7478" spans="3:11" x14ac:dyDescent="0.2">
      <c r="C7478" s="19"/>
      <c r="D7478" s="19"/>
      <c r="E7478" s="19"/>
      <c r="F7478" s="20"/>
      <c r="G7478" s="19"/>
      <c r="H7478" s="19"/>
      <c r="I7478" s="19"/>
      <c r="J7478" s="21"/>
      <c r="K7478" s="19"/>
    </row>
    <row r="7479" spans="3:11" x14ac:dyDescent="0.2">
      <c r="C7479" s="19"/>
      <c r="D7479" s="19"/>
      <c r="E7479" s="19"/>
      <c r="F7479" s="20"/>
      <c r="G7479" s="19"/>
      <c r="H7479" s="19"/>
      <c r="I7479" s="19"/>
      <c r="J7479" s="21"/>
      <c r="K7479" s="19"/>
    </row>
    <row r="7480" spans="3:11" x14ac:dyDescent="0.2">
      <c r="C7480" s="19"/>
      <c r="D7480" s="19"/>
      <c r="E7480" s="19"/>
      <c r="F7480" s="20"/>
      <c r="G7480" s="19"/>
      <c r="H7480" s="19"/>
      <c r="I7480" s="19"/>
      <c r="J7480" s="21"/>
      <c r="K7480" s="19"/>
    </row>
    <row r="7481" spans="3:11" x14ac:dyDescent="0.2">
      <c r="C7481" s="19"/>
      <c r="D7481" s="19"/>
      <c r="E7481" s="19"/>
      <c r="F7481" s="20"/>
      <c r="G7481" s="19"/>
      <c r="H7481" s="19"/>
      <c r="I7481" s="19"/>
      <c r="J7481" s="21"/>
      <c r="K7481" s="19"/>
    </row>
    <row r="7482" spans="3:11" x14ac:dyDescent="0.2">
      <c r="C7482" s="19"/>
      <c r="D7482" s="19"/>
      <c r="E7482" s="19"/>
      <c r="F7482" s="20"/>
      <c r="G7482" s="19"/>
      <c r="H7482" s="19"/>
      <c r="I7482" s="19"/>
      <c r="J7482" s="21"/>
      <c r="K7482" s="19"/>
    </row>
    <row r="7483" spans="3:11" x14ac:dyDescent="0.2">
      <c r="C7483" s="19"/>
      <c r="D7483" s="19"/>
      <c r="E7483" s="19"/>
      <c r="F7483" s="20"/>
      <c r="G7483" s="19"/>
      <c r="H7483" s="19"/>
      <c r="I7483" s="19"/>
      <c r="J7483" s="21"/>
      <c r="K7483" s="19"/>
    </row>
    <row r="7484" spans="3:11" x14ac:dyDescent="0.2">
      <c r="C7484" s="19"/>
      <c r="D7484" s="19"/>
      <c r="E7484" s="19"/>
      <c r="F7484" s="20"/>
      <c r="G7484" s="19"/>
      <c r="H7484" s="19"/>
      <c r="I7484" s="19"/>
      <c r="J7484" s="19"/>
      <c r="K7484" s="19"/>
    </row>
    <row r="7485" spans="3:11" x14ac:dyDescent="0.2">
      <c r="C7485" s="19"/>
      <c r="D7485" s="19"/>
      <c r="E7485" s="19"/>
      <c r="F7485" s="20"/>
      <c r="G7485" s="19"/>
      <c r="H7485" s="19"/>
      <c r="I7485" s="19"/>
      <c r="J7485" s="21"/>
      <c r="K7485" s="19"/>
    </row>
    <row r="7486" spans="3:11" x14ac:dyDescent="0.2">
      <c r="C7486" s="19"/>
      <c r="D7486" s="19"/>
      <c r="E7486" s="19"/>
      <c r="F7486" s="20"/>
      <c r="G7486" s="19"/>
      <c r="H7486" s="19"/>
      <c r="I7486" s="19"/>
      <c r="J7486" s="21"/>
      <c r="K7486" s="19"/>
    </row>
    <row r="7487" spans="3:11" x14ac:dyDescent="0.2">
      <c r="C7487" s="19"/>
      <c r="D7487" s="19"/>
      <c r="E7487" s="19"/>
      <c r="F7487" s="20"/>
      <c r="G7487" s="19"/>
      <c r="H7487" s="19"/>
      <c r="I7487" s="19"/>
      <c r="J7487" s="21"/>
      <c r="K7487" s="19"/>
    </row>
    <row r="7488" spans="3:11" x14ac:dyDescent="0.2">
      <c r="C7488" s="19"/>
      <c r="D7488" s="19"/>
      <c r="E7488" s="19"/>
      <c r="F7488" s="20"/>
      <c r="G7488" s="19"/>
      <c r="H7488" s="19"/>
      <c r="I7488" s="19"/>
      <c r="J7488" s="21"/>
      <c r="K7488" s="19"/>
    </row>
    <row r="7489" spans="3:11" x14ac:dyDescent="0.2">
      <c r="C7489" s="19"/>
      <c r="D7489" s="19"/>
      <c r="E7489" s="19"/>
      <c r="F7489" s="20"/>
      <c r="G7489" s="19"/>
      <c r="H7489" s="19"/>
      <c r="I7489" s="19"/>
      <c r="J7489" s="21"/>
      <c r="K7489" s="19"/>
    </row>
    <row r="7490" spans="3:11" x14ac:dyDescent="0.2">
      <c r="C7490" s="19"/>
      <c r="D7490" s="19"/>
      <c r="E7490" s="19"/>
      <c r="F7490" s="20"/>
      <c r="G7490" s="19"/>
      <c r="H7490" s="19"/>
      <c r="I7490" s="19"/>
      <c r="J7490" s="21"/>
      <c r="K7490" s="19"/>
    </row>
    <row r="7491" spans="3:11" x14ac:dyDescent="0.2">
      <c r="C7491" s="19"/>
      <c r="D7491" s="19"/>
      <c r="E7491" s="19"/>
      <c r="F7491" s="20"/>
      <c r="G7491" s="19"/>
      <c r="H7491" s="19"/>
      <c r="I7491" s="19"/>
      <c r="J7491" s="21"/>
      <c r="K7491" s="19"/>
    </row>
    <row r="7492" spans="3:11" x14ac:dyDescent="0.2">
      <c r="C7492" s="19"/>
      <c r="D7492" s="19"/>
      <c r="E7492" s="19"/>
      <c r="F7492" s="20"/>
      <c r="G7492" s="19"/>
      <c r="H7492" s="19"/>
      <c r="I7492" s="19"/>
      <c r="J7492" s="21"/>
      <c r="K7492" s="19"/>
    </row>
    <row r="7493" spans="3:11" x14ac:dyDescent="0.2">
      <c r="C7493" s="19"/>
      <c r="D7493" s="19"/>
      <c r="E7493" s="19"/>
      <c r="F7493" s="20"/>
      <c r="G7493" s="19"/>
      <c r="H7493" s="19"/>
      <c r="I7493" s="19"/>
      <c r="J7493" s="21"/>
      <c r="K7493" s="19"/>
    </row>
    <row r="7494" spans="3:11" x14ac:dyDescent="0.2">
      <c r="C7494" s="19"/>
      <c r="D7494" s="19"/>
      <c r="E7494" s="19"/>
      <c r="F7494" s="20"/>
      <c r="G7494" s="19"/>
      <c r="H7494" s="19"/>
      <c r="I7494" s="19"/>
      <c r="J7494" s="21"/>
      <c r="K7494" s="19"/>
    </row>
    <row r="7495" spans="3:11" x14ac:dyDescent="0.2">
      <c r="C7495" s="19"/>
      <c r="D7495" s="19"/>
      <c r="E7495" s="19"/>
      <c r="F7495" s="20"/>
      <c r="G7495" s="19"/>
      <c r="H7495" s="19"/>
      <c r="I7495" s="19"/>
      <c r="J7495" s="21"/>
      <c r="K7495" s="19"/>
    </row>
    <row r="7496" spans="3:11" x14ac:dyDescent="0.2">
      <c r="C7496" s="19"/>
      <c r="D7496" s="19"/>
      <c r="E7496" s="19"/>
      <c r="F7496" s="20"/>
      <c r="G7496" s="19"/>
      <c r="H7496" s="19"/>
      <c r="I7496" s="19"/>
      <c r="J7496" s="21"/>
      <c r="K7496" s="19"/>
    </row>
    <row r="7497" spans="3:11" x14ac:dyDescent="0.2">
      <c r="C7497" s="19"/>
      <c r="D7497" s="19"/>
      <c r="E7497" s="19"/>
      <c r="F7497" s="20"/>
      <c r="G7497" s="19"/>
      <c r="H7497" s="19"/>
      <c r="I7497" s="19"/>
      <c r="J7497" s="21"/>
      <c r="K7497" s="19"/>
    </row>
    <row r="7498" spans="3:11" x14ac:dyDescent="0.2">
      <c r="C7498" s="19"/>
      <c r="D7498" s="19"/>
      <c r="E7498" s="19"/>
      <c r="F7498" s="20"/>
      <c r="G7498" s="19"/>
      <c r="H7498" s="19"/>
      <c r="I7498" s="19"/>
      <c r="J7498" s="21"/>
      <c r="K7498" s="19"/>
    </row>
    <row r="7499" spans="3:11" x14ac:dyDescent="0.2">
      <c r="C7499" s="19"/>
      <c r="D7499" s="19"/>
      <c r="E7499" s="19"/>
      <c r="F7499" s="20"/>
      <c r="G7499" s="19"/>
      <c r="H7499" s="19"/>
      <c r="I7499" s="19"/>
      <c r="J7499" s="21"/>
      <c r="K7499" s="19"/>
    </row>
    <row r="7500" spans="3:11" x14ac:dyDescent="0.2">
      <c r="C7500" s="19"/>
      <c r="D7500" s="19"/>
      <c r="E7500" s="19"/>
      <c r="F7500" s="20"/>
      <c r="G7500" s="19"/>
      <c r="H7500" s="19"/>
      <c r="I7500" s="19"/>
      <c r="J7500" s="21"/>
      <c r="K7500" s="19"/>
    </row>
    <row r="7501" spans="3:11" x14ac:dyDescent="0.2">
      <c r="C7501" s="19"/>
      <c r="D7501" s="19"/>
      <c r="E7501" s="19"/>
      <c r="F7501" s="20"/>
      <c r="G7501" s="19"/>
      <c r="H7501" s="19"/>
      <c r="I7501" s="19"/>
      <c r="J7501" s="21"/>
      <c r="K7501" s="19"/>
    </row>
    <row r="7502" spans="3:11" x14ac:dyDescent="0.2">
      <c r="C7502" s="19"/>
      <c r="D7502" s="19"/>
      <c r="E7502" s="19"/>
      <c r="F7502" s="20"/>
      <c r="G7502" s="19"/>
      <c r="H7502" s="19"/>
      <c r="I7502" s="19"/>
      <c r="J7502" s="21"/>
      <c r="K7502" s="19"/>
    </row>
    <row r="7503" spans="3:11" x14ac:dyDescent="0.2">
      <c r="C7503" s="19"/>
      <c r="D7503" s="19"/>
      <c r="E7503" s="19"/>
      <c r="F7503" s="20"/>
      <c r="G7503" s="19"/>
      <c r="H7503" s="19"/>
      <c r="I7503" s="19"/>
      <c r="J7503" s="21"/>
      <c r="K7503" s="19"/>
    </row>
    <row r="7504" spans="3:11" x14ac:dyDescent="0.2">
      <c r="C7504" s="19"/>
      <c r="D7504" s="19"/>
      <c r="E7504" s="19"/>
      <c r="F7504" s="20"/>
      <c r="G7504" s="19"/>
      <c r="H7504" s="19"/>
      <c r="I7504" s="19"/>
      <c r="J7504" s="21"/>
      <c r="K7504" s="19"/>
    </row>
    <row r="7505" spans="3:11" x14ac:dyDescent="0.2">
      <c r="C7505" s="19"/>
      <c r="D7505" s="19"/>
      <c r="E7505" s="19"/>
      <c r="F7505" s="20"/>
      <c r="G7505" s="19"/>
      <c r="H7505" s="19"/>
      <c r="I7505" s="19"/>
      <c r="J7505" s="21"/>
      <c r="K7505" s="19"/>
    </row>
    <row r="7506" spans="3:11" x14ac:dyDescent="0.2">
      <c r="C7506" s="19"/>
      <c r="D7506" s="19"/>
      <c r="E7506" s="19"/>
      <c r="F7506" s="20"/>
      <c r="G7506" s="19"/>
      <c r="H7506" s="19"/>
      <c r="I7506" s="19"/>
      <c r="J7506" s="21"/>
      <c r="K7506" s="19"/>
    </row>
    <row r="7507" spans="3:11" x14ac:dyDescent="0.2">
      <c r="C7507" s="19"/>
      <c r="D7507" s="19"/>
      <c r="E7507" s="19"/>
      <c r="F7507" s="20"/>
      <c r="G7507" s="19"/>
      <c r="H7507" s="19"/>
      <c r="I7507" s="19"/>
      <c r="J7507" s="21"/>
      <c r="K7507" s="19"/>
    </row>
    <row r="7508" spans="3:11" x14ac:dyDescent="0.2">
      <c r="C7508" s="19"/>
      <c r="D7508" s="19"/>
      <c r="E7508" s="19"/>
      <c r="F7508" s="20"/>
      <c r="G7508" s="19"/>
      <c r="H7508" s="19"/>
      <c r="I7508" s="19"/>
      <c r="J7508" s="21"/>
      <c r="K7508" s="19"/>
    </row>
    <row r="7509" spans="3:11" x14ac:dyDescent="0.2">
      <c r="C7509" s="19"/>
      <c r="D7509" s="19"/>
      <c r="E7509" s="19"/>
      <c r="F7509" s="20"/>
      <c r="G7509" s="19"/>
      <c r="H7509" s="19"/>
      <c r="I7509" s="19"/>
      <c r="J7509" s="21"/>
      <c r="K7509" s="19"/>
    </row>
    <row r="7510" spans="3:11" x14ac:dyDescent="0.2">
      <c r="C7510" s="19"/>
      <c r="D7510" s="19"/>
      <c r="E7510" s="19"/>
      <c r="F7510" s="20"/>
      <c r="G7510" s="19"/>
      <c r="H7510" s="19"/>
      <c r="I7510" s="19"/>
      <c r="J7510" s="21"/>
      <c r="K7510" s="19"/>
    </row>
    <row r="7511" spans="3:11" x14ac:dyDescent="0.2">
      <c r="C7511" s="19"/>
      <c r="D7511" s="19"/>
      <c r="E7511" s="19"/>
      <c r="F7511" s="20"/>
      <c r="G7511" s="19"/>
      <c r="H7511" s="19"/>
      <c r="I7511" s="19"/>
      <c r="J7511" s="21"/>
      <c r="K7511" s="19"/>
    </row>
    <row r="7512" spans="3:11" x14ac:dyDescent="0.2">
      <c r="C7512" s="19"/>
      <c r="D7512" s="19"/>
      <c r="E7512" s="19"/>
      <c r="F7512" s="20"/>
      <c r="G7512" s="19"/>
      <c r="H7512" s="19"/>
      <c r="I7512" s="19"/>
      <c r="J7512" s="21"/>
      <c r="K7512" s="19"/>
    </row>
    <row r="7513" spans="3:11" x14ac:dyDescent="0.2">
      <c r="C7513" s="19"/>
      <c r="D7513" s="19"/>
      <c r="E7513" s="19"/>
      <c r="F7513" s="20"/>
      <c r="G7513" s="19"/>
      <c r="H7513" s="19"/>
      <c r="I7513" s="19"/>
      <c r="J7513" s="21"/>
      <c r="K7513" s="19"/>
    </row>
    <row r="7514" spans="3:11" x14ac:dyDescent="0.2">
      <c r="C7514" s="19"/>
      <c r="D7514" s="19"/>
      <c r="E7514" s="19"/>
      <c r="F7514" s="20"/>
      <c r="G7514" s="19"/>
      <c r="H7514" s="19"/>
      <c r="I7514" s="19"/>
      <c r="J7514" s="21"/>
      <c r="K7514" s="19"/>
    </row>
    <row r="7515" spans="3:11" x14ac:dyDescent="0.2">
      <c r="C7515" s="19"/>
      <c r="D7515" s="19"/>
      <c r="E7515" s="19"/>
      <c r="F7515" s="20"/>
      <c r="G7515" s="19"/>
      <c r="H7515" s="19"/>
      <c r="I7515" s="19"/>
      <c r="J7515" s="21"/>
      <c r="K7515" s="19"/>
    </row>
    <row r="7516" spans="3:11" x14ac:dyDescent="0.2">
      <c r="C7516" s="19"/>
      <c r="D7516" s="19"/>
      <c r="E7516" s="19"/>
      <c r="F7516" s="20"/>
      <c r="G7516" s="19"/>
      <c r="H7516" s="19"/>
      <c r="I7516" s="19"/>
      <c r="J7516" s="21"/>
      <c r="K7516" s="19"/>
    </row>
    <row r="7517" spans="3:11" x14ac:dyDescent="0.2">
      <c r="C7517" s="19"/>
      <c r="D7517" s="19"/>
      <c r="E7517" s="19"/>
      <c r="F7517" s="20"/>
      <c r="G7517" s="19"/>
      <c r="H7517" s="19"/>
      <c r="I7517" s="19"/>
      <c r="J7517" s="21"/>
      <c r="K7517" s="19"/>
    </row>
    <row r="7518" spans="3:11" x14ac:dyDescent="0.2">
      <c r="C7518" s="19"/>
      <c r="D7518" s="19"/>
      <c r="E7518" s="19"/>
      <c r="F7518" s="20"/>
      <c r="G7518" s="19"/>
      <c r="H7518" s="19"/>
      <c r="I7518" s="19"/>
      <c r="J7518" s="21"/>
      <c r="K7518" s="19"/>
    </row>
    <row r="7519" spans="3:11" x14ac:dyDescent="0.2">
      <c r="C7519" s="19"/>
      <c r="D7519" s="19"/>
      <c r="E7519" s="19"/>
      <c r="F7519" s="20"/>
      <c r="G7519" s="19"/>
      <c r="H7519" s="19"/>
      <c r="I7519" s="19"/>
      <c r="J7519" s="21"/>
      <c r="K7519" s="19"/>
    </row>
    <row r="7520" spans="3:11" x14ac:dyDescent="0.2">
      <c r="C7520" s="19"/>
      <c r="D7520" s="19"/>
      <c r="E7520" s="19"/>
      <c r="F7520" s="20"/>
      <c r="G7520" s="19"/>
      <c r="H7520" s="19"/>
      <c r="I7520" s="19"/>
      <c r="J7520" s="21"/>
      <c r="K7520" s="19"/>
    </row>
    <row r="7521" spans="3:11" x14ac:dyDescent="0.2">
      <c r="C7521" s="19"/>
      <c r="D7521" s="19"/>
      <c r="E7521" s="19"/>
      <c r="F7521" s="20"/>
      <c r="G7521" s="19"/>
      <c r="H7521" s="19"/>
      <c r="I7521" s="19"/>
      <c r="J7521" s="21"/>
      <c r="K7521" s="19"/>
    </row>
    <row r="7522" spans="3:11" x14ac:dyDescent="0.2">
      <c r="C7522" s="19"/>
      <c r="D7522" s="19"/>
      <c r="E7522" s="19"/>
      <c r="F7522" s="20"/>
      <c r="G7522" s="19"/>
      <c r="H7522" s="19"/>
      <c r="I7522" s="19"/>
      <c r="J7522" s="21"/>
      <c r="K7522" s="19"/>
    </row>
    <row r="7523" spans="3:11" x14ac:dyDescent="0.2">
      <c r="C7523" s="19"/>
      <c r="D7523" s="19"/>
      <c r="E7523" s="19"/>
      <c r="F7523" s="20"/>
      <c r="G7523" s="19"/>
      <c r="H7523" s="19"/>
      <c r="I7523" s="19"/>
      <c r="J7523" s="21"/>
      <c r="K7523" s="19"/>
    </row>
    <row r="7524" spans="3:11" x14ac:dyDescent="0.2">
      <c r="C7524" s="19"/>
      <c r="D7524" s="19"/>
      <c r="E7524" s="19"/>
      <c r="F7524" s="20"/>
      <c r="G7524" s="19"/>
      <c r="H7524" s="19"/>
      <c r="I7524" s="19"/>
      <c r="J7524" s="21"/>
      <c r="K7524" s="19"/>
    </row>
    <row r="7525" spans="3:11" x14ac:dyDescent="0.2">
      <c r="C7525" s="19"/>
      <c r="D7525" s="19"/>
      <c r="E7525" s="19"/>
      <c r="F7525" s="20"/>
      <c r="G7525" s="19"/>
      <c r="H7525" s="19"/>
      <c r="I7525" s="19"/>
      <c r="J7525" s="19"/>
      <c r="K7525" s="19"/>
    </row>
    <row r="7526" spans="3:11" x14ac:dyDescent="0.2">
      <c r="C7526" s="19"/>
      <c r="D7526" s="19"/>
      <c r="E7526" s="19"/>
      <c r="F7526" s="20"/>
      <c r="G7526" s="19"/>
      <c r="H7526" s="19"/>
      <c r="I7526" s="19"/>
      <c r="J7526" s="19"/>
      <c r="K7526" s="19"/>
    </row>
    <row r="7527" spans="3:11" x14ac:dyDescent="0.2">
      <c r="C7527" s="19"/>
      <c r="D7527" s="19"/>
      <c r="E7527" s="19"/>
      <c r="F7527" s="20"/>
      <c r="G7527" s="19"/>
      <c r="H7527" s="19"/>
      <c r="I7527" s="19"/>
      <c r="J7527" s="19"/>
      <c r="K7527" s="19"/>
    </row>
    <row r="7528" spans="3:11" x14ac:dyDescent="0.2">
      <c r="C7528" s="19"/>
      <c r="D7528" s="19"/>
      <c r="E7528" s="19"/>
      <c r="F7528" s="20"/>
      <c r="G7528" s="19"/>
      <c r="H7528" s="19"/>
      <c r="I7528" s="19"/>
      <c r="J7528" s="19"/>
      <c r="K7528" s="19"/>
    </row>
    <row r="7529" spans="3:11" x14ac:dyDescent="0.2">
      <c r="C7529" s="19"/>
      <c r="D7529" s="19"/>
      <c r="E7529" s="19"/>
      <c r="F7529" s="20"/>
      <c r="G7529" s="19"/>
      <c r="H7529" s="19"/>
      <c r="I7529" s="19"/>
      <c r="J7529" s="21"/>
      <c r="K7529" s="19"/>
    </row>
    <row r="7530" spans="3:11" x14ac:dyDescent="0.2">
      <c r="C7530" s="19"/>
      <c r="D7530" s="19"/>
      <c r="E7530" s="19"/>
      <c r="F7530" s="20"/>
      <c r="G7530" s="19"/>
      <c r="H7530" s="19"/>
      <c r="I7530" s="19"/>
      <c r="J7530" s="19"/>
      <c r="K7530" s="19"/>
    </row>
    <row r="7531" spans="3:11" x14ac:dyDescent="0.2">
      <c r="C7531" s="19"/>
      <c r="D7531" s="19"/>
      <c r="E7531" s="19"/>
      <c r="F7531" s="20"/>
      <c r="G7531" s="19"/>
      <c r="H7531" s="19"/>
      <c r="I7531" s="19"/>
      <c r="J7531" s="21"/>
      <c r="K7531" s="19"/>
    </row>
    <row r="7532" spans="3:11" x14ac:dyDescent="0.2">
      <c r="C7532" s="19"/>
      <c r="D7532" s="19"/>
      <c r="E7532" s="19"/>
      <c r="F7532" s="20"/>
      <c r="G7532" s="19"/>
      <c r="H7532" s="19"/>
      <c r="I7532" s="19"/>
      <c r="J7532" s="19"/>
      <c r="K7532" s="19"/>
    </row>
    <row r="7533" spans="3:11" x14ac:dyDescent="0.2">
      <c r="C7533" s="19"/>
      <c r="D7533" s="19"/>
      <c r="E7533" s="19"/>
      <c r="F7533" s="20"/>
      <c r="G7533" s="19"/>
      <c r="H7533" s="19"/>
      <c r="I7533" s="19"/>
      <c r="J7533" s="19"/>
      <c r="K7533" s="19"/>
    </row>
    <row r="7534" spans="3:11" x14ac:dyDescent="0.2">
      <c r="C7534" s="19"/>
      <c r="D7534" s="19"/>
      <c r="E7534" s="19"/>
      <c r="F7534" s="20"/>
      <c r="G7534" s="19"/>
      <c r="H7534" s="19"/>
      <c r="I7534" s="19"/>
      <c r="J7534" s="21"/>
      <c r="K7534" s="19"/>
    </row>
    <row r="7535" spans="3:11" x14ac:dyDescent="0.2">
      <c r="C7535" s="19"/>
      <c r="D7535" s="19"/>
      <c r="E7535" s="19"/>
      <c r="F7535" s="20"/>
      <c r="G7535" s="19"/>
      <c r="H7535" s="19"/>
      <c r="I7535" s="19"/>
      <c r="J7535" s="21"/>
      <c r="K7535" s="19"/>
    </row>
    <row r="7536" spans="3:11" x14ac:dyDescent="0.2">
      <c r="C7536" s="19"/>
      <c r="D7536" s="19"/>
      <c r="E7536" s="19"/>
      <c r="F7536" s="20"/>
      <c r="G7536" s="19"/>
      <c r="H7536" s="19"/>
      <c r="I7536" s="19"/>
      <c r="J7536" s="21"/>
      <c r="K7536" s="19"/>
    </row>
    <row r="7537" spans="3:11" x14ac:dyDescent="0.2">
      <c r="C7537" s="19"/>
      <c r="D7537" s="19"/>
      <c r="E7537" s="19"/>
      <c r="F7537" s="20"/>
      <c r="G7537" s="19"/>
      <c r="H7537" s="19"/>
      <c r="I7537" s="19"/>
      <c r="J7537" s="21"/>
      <c r="K7537" s="19"/>
    </row>
    <row r="7538" spans="3:11" x14ac:dyDescent="0.2">
      <c r="C7538" s="19"/>
      <c r="D7538" s="19"/>
      <c r="E7538" s="19"/>
      <c r="F7538" s="20"/>
      <c r="G7538" s="19"/>
      <c r="H7538" s="19"/>
      <c r="I7538" s="19"/>
      <c r="J7538" s="21"/>
      <c r="K7538" s="19"/>
    </row>
    <row r="7539" spans="3:11" x14ac:dyDescent="0.2">
      <c r="C7539" s="19"/>
      <c r="D7539" s="19"/>
      <c r="E7539" s="19"/>
      <c r="F7539" s="20"/>
      <c r="G7539" s="19"/>
      <c r="H7539" s="19"/>
      <c r="I7539" s="19"/>
      <c r="J7539" s="21"/>
      <c r="K7539" s="19"/>
    </row>
    <row r="7540" spans="3:11" x14ac:dyDescent="0.2">
      <c r="C7540" s="19"/>
      <c r="D7540" s="19"/>
      <c r="E7540" s="19"/>
      <c r="F7540" s="20"/>
      <c r="G7540" s="19"/>
      <c r="H7540" s="19"/>
      <c r="I7540" s="19"/>
      <c r="J7540" s="21"/>
      <c r="K7540" s="19"/>
    </row>
    <row r="7541" spans="3:11" x14ac:dyDescent="0.2">
      <c r="C7541" s="19"/>
      <c r="D7541" s="19"/>
      <c r="E7541" s="19"/>
      <c r="F7541" s="20"/>
      <c r="G7541" s="19"/>
      <c r="H7541" s="19"/>
      <c r="I7541" s="19"/>
      <c r="J7541" s="21"/>
      <c r="K7541" s="19"/>
    </row>
    <row r="7542" spans="3:11" x14ac:dyDescent="0.2">
      <c r="C7542" s="19"/>
      <c r="D7542" s="19"/>
      <c r="E7542" s="19"/>
      <c r="F7542" s="20"/>
      <c r="G7542" s="19"/>
      <c r="H7542" s="19"/>
      <c r="I7542" s="19"/>
      <c r="J7542" s="21"/>
      <c r="K7542" s="19"/>
    </row>
    <row r="7543" spans="3:11" x14ac:dyDescent="0.2">
      <c r="C7543" s="19"/>
      <c r="D7543" s="19"/>
      <c r="E7543" s="19"/>
      <c r="F7543" s="20"/>
      <c r="G7543" s="19"/>
      <c r="H7543" s="19"/>
      <c r="I7543" s="19"/>
      <c r="J7543" s="21"/>
      <c r="K7543" s="19"/>
    </row>
    <row r="7544" spans="3:11" x14ac:dyDescent="0.2">
      <c r="C7544" s="19"/>
      <c r="D7544" s="19"/>
      <c r="E7544" s="19"/>
      <c r="F7544" s="20"/>
      <c r="G7544" s="19"/>
      <c r="H7544" s="19"/>
      <c r="I7544" s="19"/>
      <c r="J7544" s="21"/>
      <c r="K7544" s="19"/>
    </row>
    <row r="7545" spans="3:11" x14ac:dyDescent="0.2">
      <c r="C7545" s="19"/>
      <c r="D7545" s="19"/>
      <c r="E7545" s="19"/>
      <c r="F7545" s="20"/>
      <c r="G7545" s="19"/>
      <c r="H7545" s="19"/>
      <c r="I7545" s="19"/>
      <c r="J7545" s="21"/>
      <c r="K7545" s="19"/>
    </row>
    <row r="7546" spans="3:11" x14ac:dyDescent="0.2">
      <c r="C7546" s="19"/>
      <c r="D7546" s="19"/>
      <c r="E7546" s="19"/>
      <c r="F7546" s="20"/>
      <c r="G7546" s="19"/>
      <c r="H7546" s="19"/>
      <c r="I7546" s="19"/>
      <c r="J7546" s="21"/>
      <c r="K7546" s="19"/>
    </row>
    <row r="7547" spans="3:11" x14ac:dyDescent="0.2">
      <c r="C7547" s="19"/>
      <c r="D7547" s="19"/>
      <c r="E7547" s="19"/>
      <c r="F7547" s="20"/>
      <c r="G7547" s="19"/>
      <c r="H7547" s="19"/>
      <c r="I7547" s="19"/>
      <c r="J7547" s="21"/>
      <c r="K7547" s="19"/>
    </row>
    <row r="7548" spans="3:11" x14ac:dyDescent="0.2">
      <c r="C7548" s="19"/>
      <c r="D7548" s="19"/>
      <c r="E7548" s="19"/>
      <c r="F7548" s="20"/>
      <c r="G7548" s="19"/>
      <c r="H7548" s="19"/>
      <c r="I7548" s="19"/>
      <c r="J7548" s="21"/>
      <c r="K7548" s="19"/>
    </row>
    <row r="7549" spans="3:11" x14ac:dyDescent="0.2">
      <c r="C7549" s="19"/>
      <c r="D7549" s="19"/>
      <c r="E7549" s="19"/>
      <c r="F7549" s="20"/>
      <c r="G7549" s="19"/>
      <c r="H7549" s="19"/>
      <c r="I7549" s="19"/>
      <c r="J7549" s="21"/>
      <c r="K7549" s="19"/>
    </row>
    <row r="7550" spans="3:11" x14ac:dyDescent="0.2">
      <c r="C7550" s="19"/>
      <c r="D7550" s="19"/>
      <c r="E7550" s="19"/>
      <c r="F7550" s="20"/>
      <c r="G7550" s="19"/>
      <c r="H7550" s="19"/>
      <c r="I7550" s="19"/>
      <c r="J7550" s="21"/>
      <c r="K7550" s="19"/>
    </row>
    <row r="7551" spans="3:11" x14ac:dyDescent="0.2">
      <c r="C7551" s="19"/>
      <c r="D7551" s="19"/>
      <c r="E7551" s="19"/>
      <c r="F7551" s="20"/>
      <c r="G7551" s="19"/>
      <c r="H7551" s="19"/>
      <c r="I7551" s="19"/>
      <c r="J7551" s="21"/>
      <c r="K7551" s="19"/>
    </row>
    <row r="7552" spans="3:11" x14ac:dyDescent="0.2">
      <c r="C7552" s="19"/>
      <c r="D7552" s="19"/>
      <c r="E7552" s="19"/>
      <c r="F7552" s="20"/>
      <c r="G7552" s="19"/>
      <c r="H7552" s="19"/>
      <c r="I7552" s="19"/>
      <c r="J7552" s="21"/>
      <c r="K7552" s="19"/>
    </row>
    <row r="7553" spans="3:11" x14ac:dyDescent="0.2">
      <c r="C7553" s="19"/>
      <c r="D7553" s="19"/>
      <c r="E7553" s="19"/>
      <c r="F7553" s="20"/>
      <c r="G7553" s="19"/>
      <c r="H7553" s="19"/>
      <c r="I7553" s="19"/>
      <c r="J7553" s="21"/>
      <c r="K7553" s="19"/>
    </row>
    <row r="7554" spans="3:11" x14ac:dyDescent="0.2">
      <c r="C7554" s="19"/>
      <c r="D7554" s="19"/>
      <c r="E7554" s="19"/>
      <c r="F7554" s="20"/>
      <c r="G7554" s="19"/>
      <c r="H7554" s="19"/>
      <c r="I7554" s="19"/>
      <c r="J7554" s="21"/>
      <c r="K7554" s="19"/>
    </row>
    <row r="7555" spans="3:11" x14ac:dyDescent="0.2">
      <c r="C7555" s="19"/>
      <c r="D7555" s="19"/>
      <c r="E7555" s="19"/>
      <c r="F7555" s="20"/>
      <c r="G7555" s="19"/>
      <c r="H7555" s="19"/>
      <c r="I7555" s="19"/>
      <c r="J7555" s="21"/>
      <c r="K7555" s="19"/>
    </row>
    <row r="7556" spans="3:11" x14ac:dyDescent="0.2">
      <c r="C7556" s="19"/>
      <c r="D7556" s="19"/>
      <c r="E7556" s="19"/>
      <c r="F7556" s="20"/>
      <c r="G7556" s="19"/>
      <c r="H7556" s="19"/>
      <c r="I7556" s="19"/>
      <c r="J7556" s="21"/>
      <c r="K7556" s="19"/>
    </row>
    <row r="7557" spans="3:11" x14ac:dyDescent="0.2">
      <c r="C7557" s="19"/>
      <c r="D7557" s="19"/>
      <c r="E7557" s="19"/>
      <c r="F7557" s="20"/>
      <c r="G7557" s="19"/>
      <c r="H7557" s="19"/>
      <c r="I7557" s="19"/>
      <c r="J7557" s="19"/>
      <c r="K7557" s="19"/>
    </row>
    <row r="7558" spans="3:11" x14ac:dyDescent="0.2">
      <c r="C7558" s="19"/>
      <c r="D7558" s="19"/>
      <c r="E7558" s="19"/>
      <c r="F7558" s="20"/>
      <c r="G7558" s="19"/>
      <c r="H7558" s="19"/>
      <c r="I7558" s="19"/>
      <c r="J7558" s="21"/>
      <c r="K7558" s="19"/>
    </row>
    <row r="7559" spans="3:11" x14ac:dyDescent="0.2">
      <c r="C7559" s="19"/>
      <c r="D7559" s="19"/>
      <c r="E7559" s="19"/>
      <c r="F7559" s="20"/>
      <c r="G7559" s="19"/>
      <c r="H7559" s="19"/>
      <c r="I7559" s="19"/>
      <c r="J7559" s="21"/>
      <c r="K7559" s="19"/>
    </row>
    <row r="7560" spans="3:11" x14ac:dyDescent="0.2">
      <c r="C7560" s="19"/>
      <c r="D7560" s="19"/>
      <c r="E7560" s="19"/>
      <c r="F7560" s="20"/>
      <c r="G7560" s="19"/>
      <c r="H7560" s="19"/>
      <c r="I7560" s="19"/>
      <c r="J7560" s="21"/>
      <c r="K7560" s="19"/>
    </row>
    <row r="7561" spans="3:11" x14ac:dyDescent="0.2">
      <c r="C7561" s="19"/>
      <c r="D7561" s="19"/>
      <c r="E7561" s="19"/>
      <c r="F7561" s="20"/>
      <c r="G7561" s="19"/>
      <c r="H7561" s="19"/>
      <c r="I7561" s="19"/>
      <c r="J7561" s="21"/>
      <c r="K7561" s="19"/>
    </row>
    <row r="7562" spans="3:11" x14ac:dyDescent="0.2">
      <c r="C7562" s="19"/>
      <c r="D7562" s="19"/>
      <c r="E7562" s="19"/>
      <c r="F7562" s="20"/>
      <c r="G7562" s="19"/>
      <c r="H7562" s="19"/>
      <c r="I7562" s="19"/>
      <c r="J7562" s="21"/>
      <c r="K7562" s="19"/>
    </row>
    <row r="7563" spans="3:11" x14ac:dyDescent="0.2">
      <c r="C7563" s="19"/>
      <c r="D7563" s="19"/>
      <c r="E7563" s="19"/>
      <c r="F7563" s="20"/>
      <c r="G7563" s="19"/>
      <c r="H7563" s="19"/>
      <c r="I7563" s="19"/>
      <c r="J7563" s="21"/>
      <c r="K7563" s="19"/>
    </row>
    <row r="7564" spans="3:11" x14ac:dyDescent="0.2">
      <c r="C7564" s="19"/>
      <c r="D7564" s="19"/>
      <c r="E7564" s="19"/>
      <c r="F7564" s="20"/>
      <c r="G7564" s="19"/>
      <c r="H7564" s="19"/>
      <c r="I7564" s="19"/>
      <c r="J7564" s="21"/>
      <c r="K7564" s="19"/>
    </row>
    <row r="7565" spans="3:11" x14ac:dyDescent="0.2">
      <c r="C7565" s="19"/>
      <c r="D7565" s="19"/>
      <c r="E7565" s="19"/>
      <c r="F7565" s="20"/>
      <c r="G7565" s="19"/>
      <c r="H7565" s="19"/>
      <c r="I7565" s="19"/>
      <c r="J7565" s="21"/>
      <c r="K7565" s="19"/>
    </row>
    <row r="7566" spans="3:11" x14ac:dyDescent="0.2">
      <c r="C7566" s="19"/>
      <c r="D7566" s="19"/>
      <c r="E7566" s="19"/>
      <c r="F7566" s="20"/>
      <c r="G7566" s="19"/>
      <c r="H7566" s="19"/>
      <c r="I7566" s="19"/>
      <c r="J7566" s="21"/>
      <c r="K7566" s="19"/>
    </row>
    <row r="7567" spans="3:11" x14ac:dyDescent="0.2">
      <c r="C7567" s="19"/>
      <c r="D7567" s="19"/>
      <c r="E7567" s="19"/>
      <c r="F7567" s="20"/>
      <c r="G7567" s="19"/>
      <c r="H7567" s="19"/>
      <c r="I7567" s="19"/>
      <c r="J7567" s="21"/>
      <c r="K7567" s="19"/>
    </row>
    <row r="7568" spans="3:11" x14ac:dyDescent="0.2">
      <c r="C7568" s="19"/>
      <c r="D7568" s="19"/>
      <c r="E7568" s="19"/>
      <c r="F7568" s="20"/>
      <c r="G7568" s="19"/>
      <c r="H7568" s="19"/>
      <c r="I7568" s="19"/>
      <c r="J7568" s="21"/>
      <c r="K7568" s="19"/>
    </row>
    <row r="7569" spans="3:11" x14ac:dyDescent="0.2">
      <c r="C7569" s="19"/>
      <c r="D7569" s="19"/>
      <c r="E7569" s="19"/>
      <c r="F7569" s="20"/>
      <c r="G7569" s="19"/>
      <c r="H7569" s="19"/>
      <c r="I7569" s="19"/>
      <c r="J7569" s="21"/>
      <c r="K7569" s="19"/>
    </row>
    <row r="7570" spans="3:11" x14ac:dyDescent="0.2">
      <c r="C7570" s="19"/>
      <c r="D7570" s="19"/>
      <c r="E7570" s="19"/>
      <c r="F7570" s="20"/>
      <c r="G7570" s="19"/>
      <c r="H7570" s="19"/>
      <c r="I7570" s="19"/>
      <c r="J7570" s="21"/>
      <c r="K7570" s="19"/>
    </row>
    <row r="7571" spans="3:11" x14ac:dyDescent="0.2">
      <c r="C7571" s="19"/>
      <c r="D7571" s="19"/>
      <c r="E7571" s="19"/>
      <c r="F7571" s="20"/>
      <c r="G7571" s="19"/>
      <c r="H7571" s="19"/>
      <c r="I7571" s="19"/>
      <c r="J7571" s="21"/>
      <c r="K7571" s="19"/>
    </row>
    <row r="7572" spans="3:11" x14ac:dyDescent="0.2">
      <c r="C7572" s="19"/>
      <c r="D7572" s="19"/>
      <c r="E7572" s="19"/>
      <c r="F7572" s="20"/>
      <c r="G7572" s="19"/>
      <c r="H7572" s="19"/>
      <c r="I7572" s="19"/>
      <c r="J7572" s="21"/>
      <c r="K7572" s="19"/>
    </row>
    <row r="7573" spans="3:11" x14ac:dyDescent="0.2">
      <c r="C7573" s="19"/>
      <c r="D7573" s="19"/>
      <c r="E7573" s="19"/>
      <c r="F7573" s="20"/>
      <c r="G7573" s="19"/>
      <c r="H7573" s="19"/>
      <c r="I7573" s="19"/>
      <c r="J7573" s="21"/>
      <c r="K7573" s="19"/>
    </row>
    <row r="7574" spans="3:11" x14ac:dyDescent="0.2">
      <c r="C7574" s="19"/>
      <c r="D7574" s="19"/>
      <c r="E7574" s="19"/>
      <c r="F7574" s="20"/>
      <c r="G7574" s="19"/>
      <c r="H7574" s="19"/>
      <c r="I7574" s="19"/>
      <c r="J7574" s="21"/>
      <c r="K7574" s="19"/>
    </row>
    <row r="7575" spans="3:11" x14ac:dyDescent="0.2">
      <c r="C7575" s="19"/>
      <c r="D7575" s="19"/>
      <c r="E7575" s="19"/>
      <c r="F7575" s="20"/>
      <c r="G7575" s="19"/>
      <c r="H7575" s="19"/>
      <c r="I7575" s="19"/>
      <c r="J7575" s="21"/>
      <c r="K7575" s="19"/>
    </row>
    <row r="7576" spans="3:11" x14ac:dyDescent="0.2">
      <c r="C7576" s="19"/>
      <c r="D7576" s="19"/>
      <c r="E7576" s="19"/>
      <c r="F7576" s="20"/>
      <c r="G7576" s="19"/>
      <c r="H7576" s="19"/>
      <c r="I7576" s="19"/>
      <c r="J7576" s="21"/>
      <c r="K7576" s="19"/>
    </row>
    <row r="7577" spans="3:11" x14ac:dyDescent="0.2">
      <c r="C7577" s="19"/>
      <c r="D7577" s="19"/>
      <c r="E7577" s="19"/>
      <c r="F7577" s="20"/>
      <c r="G7577" s="19"/>
      <c r="H7577" s="19"/>
      <c r="I7577" s="19"/>
      <c r="J7577" s="21"/>
      <c r="K7577" s="19"/>
    </row>
    <row r="7578" spans="3:11" x14ac:dyDescent="0.2">
      <c r="C7578" s="19"/>
      <c r="D7578" s="19"/>
      <c r="E7578" s="19"/>
      <c r="F7578" s="20"/>
      <c r="G7578" s="19"/>
      <c r="H7578" s="19"/>
      <c r="I7578" s="19"/>
      <c r="J7578" s="21"/>
      <c r="K7578" s="19"/>
    </row>
    <row r="7579" spans="3:11" x14ac:dyDescent="0.2">
      <c r="C7579" s="19"/>
      <c r="D7579" s="19"/>
      <c r="E7579" s="19"/>
      <c r="F7579" s="20"/>
      <c r="G7579" s="19"/>
      <c r="H7579" s="19"/>
      <c r="I7579" s="19"/>
      <c r="J7579" s="21"/>
      <c r="K7579" s="19"/>
    </row>
    <row r="7580" spans="3:11" x14ac:dyDescent="0.2">
      <c r="C7580" s="19"/>
      <c r="D7580" s="19"/>
      <c r="E7580" s="19"/>
      <c r="F7580" s="20"/>
      <c r="G7580" s="19"/>
      <c r="H7580" s="19"/>
      <c r="I7580" s="19"/>
      <c r="J7580" s="21"/>
      <c r="K7580" s="19"/>
    </row>
    <row r="7581" spans="3:11" x14ac:dyDescent="0.2">
      <c r="C7581" s="19"/>
      <c r="D7581" s="19"/>
      <c r="E7581" s="19"/>
      <c r="F7581" s="20"/>
      <c r="G7581" s="19"/>
      <c r="H7581" s="19"/>
      <c r="I7581" s="19"/>
      <c r="J7581" s="21"/>
      <c r="K7581" s="19"/>
    </row>
    <row r="7582" spans="3:11" x14ac:dyDescent="0.2">
      <c r="C7582" s="19"/>
      <c r="D7582" s="19"/>
      <c r="E7582" s="19"/>
      <c r="F7582" s="20"/>
      <c r="G7582" s="19"/>
      <c r="H7582" s="19"/>
      <c r="I7582" s="19"/>
      <c r="J7582" s="21"/>
      <c r="K7582" s="19"/>
    </row>
    <row r="7583" spans="3:11" x14ac:dyDescent="0.2">
      <c r="C7583" s="19"/>
      <c r="D7583" s="19"/>
      <c r="E7583" s="19"/>
      <c r="F7583" s="20"/>
      <c r="G7583" s="19"/>
      <c r="H7583" s="19"/>
      <c r="I7583" s="19"/>
      <c r="J7583" s="21"/>
      <c r="K7583" s="19"/>
    </row>
    <row r="7584" spans="3:11" x14ac:dyDescent="0.2">
      <c r="C7584" s="19"/>
      <c r="D7584" s="19"/>
      <c r="E7584" s="19"/>
      <c r="F7584" s="20"/>
      <c r="G7584" s="19"/>
      <c r="H7584" s="19"/>
      <c r="I7584" s="19"/>
      <c r="J7584" s="21"/>
      <c r="K7584" s="19"/>
    </row>
    <row r="7585" spans="3:11" x14ac:dyDescent="0.2">
      <c r="C7585" s="19"/>
      <c r="D7585" s="19"/>
      <c r="E7585" s="19"/>
      <c r="F7585" s="20"/>
      <c r="G7585" s="19"/>
      <c r="H7585" s="19"/>
      <c r="I7585" s="19"/>
      <c r="J7585" s="19"/>
      <c r="K7585" s="19"/>
    </row>
    <row r="7586" spans="3:11" x14ac:dyDescent="0.2">
      <c r="C7586" s="19"/>
      <c r="D7586" s="19"/>
      <c r="E7586" s="19"/>
      <c r="F7586" s="20"/>
      <c r="G7586" s="19"/>
      <c r="H7586" s="19"/>
      <c r="I7586" s="19"/>
      <c r="J7586" s="21"/>
      <c r="K7586" s="19"/>
    </row>
    <row r="7587" spans="3:11" x14ac:dyDescent="0.2">
      <c r="C7587" s="19"/>
      <c r="D7587" s="19"/>
      <c r="E7587" s="19"/>
      <c r="F7587" s="20"/>
      <c r="G7587" s="19"/>
      <c r="H7587" s="19"/>
      <c r="I7587" s="19"/>
      <c r="J7587" s="21"/>
      <c r="K7587" s="19"/>
    </row>
    <row r="7588" spans="3:11" x14ac:dyDescent="0.2">
      <c r="C7588" s="19"/>
      <c r="D7588" s="19"/>
      <c r="E7588" s="19"/>
      <c r="F7588" s="20"/>
      <c r="G7588" s="19"/>
      <c r="H7588" s="19"/>
      <c r="I7588" s="19"/>
      <c r="J7588" s="21"/>
      <c r="K7588" s="19"/>
    </row>
    <row r="7589" spans="3:11" x14ac:dyDescent="0.2">
      <c r="C7589" s="19"/>
      <c r="D7589" s="19"/>
      <c r="E7589" s="19"/>
      <c r="F7589" s="20"/>
      <c r="G7589" s="19"/>
      <c r="H7589" s="19"/>
      <c r="I7589" s="19"/>
      <c r="J7589" s="21"/>
      <c r="K7589" s="19"/>
    </row>
    <row r="7590" spans="3:11" x14ac:dyDescent="0.2">
      <c r="C7590" s="19"/>
      <c r="D7590" s="19"/>
      <c r="E7590" s="19"/>
      <c r="F7590" s="20"/>
      <c r="G7590" s="19"/>
      <c r="H7590" s="19"/>
      <c r="I7590" s="19"/>
      <c r="J7590" s="21"/>
      <c r="K7590" s="19"/>
    </row>
    <row r="7591" spans="3:11" x14ac:dyDescent="0.2">
      <c r="C7591" s="19"/>
      <c r="D7591" s="19"/>
      <c r="E7591" s="19"/>
      <c r="F7591" s="20"/>
      <c r="G7591" s="19"/>
      <c r="H7591" s="19"/>
      <c r="I7591" s="19"/>
      <c r="J7591" s="21"/>
      <c r="K7591" s="19"/>
    </row>
    <row r="7592" spans="3:11" x14ac:dyDescent="0.2">
      <c r="C7592" s="19"/>
      <c r="D7592" s="19"/>
      <c r="E7592" s="19"/>
      <c r="F7592" s="20"/>
      <c r="G7592" s="19"/>
      <c r="H7592" s="19"/>
      <c r="I7592" s="19"/>
      <c r="J7592" s="21"/>
      <c r="K7592" s="19"/>
    </row>
    <row r="7593" spans="3:11" x14ac:dyDescent="0.2">
      <c r="C7593" s="19"/>
      <c r="D7593" s="19"/>
      <c r="E7593" s="19"/>
      <c r="F7593" s="20"/>
      <c r="G7593" s="19"/>
      <c r="H7593" s="19"/>
      <c r="I7593" s="19"/>
      <c r="J7593" s="21"/>
      <c r="K7593" s="19"/>
    </row>
    <row r="7594" spans="3:11" x14ac:dyDescent="0.2">
      <c r="C7594" s="19"/>
      <c r="D7594" s="19"/>
      <c r="E7594" s="19"/>
      <c r="F7594" s="20"/>
      <c r="G7594" s="19"/>
      <c r="H7594" s="19"/>
      <c r="I7594" s="19"/>
      <c r="J7594" s="21"/>
      <c r="K7594" s="19"/>
    </row>
    <row r="7595" spans="3:11" x14ac:dyDescent="0.2">
      <c r="C7595" s="19"/>
      <c r="D7595" s="19"/>
      <c r="E7595" s="19"/>
      <c r="F7595" s="20"/>
      <c r="G7595" s="19"/>
      <c r="H7595" s="19"/>
      <c r="I7595" s="19"/>
      <c r="J7595" s="21"/>
      <c r="K7595" s="19"/>
    </row>
    <row r="7596" spans="3:11" x14ac:dyDescent="0.2">
      <c r="C7596" s="19"/>
      <c r="D7596" s="19"/>
      <c r="E7596" s="19"/>
      <c r="F7596" s="20"/>
      <c r="G7596" s="19"/>
      <c r="H7596" s="19"/>
      <c r="I7596" s="19"/>
      <c r="J7596" s="21"/>
      <c r="K7596" s="19"/>
    </row>
    <row r="7597" spans="3:11" x14ac:dyDescent="0.2">
      <c r="C7597" s="19"/>
      <c r="D7597" s="19"/>
      <c r="E7597" s="19"/>
      <c r="F7597" s="20"/>
      <c r="G7597" s="19"/>
      <c r="H7597" s="19"/>
      <c r="I7597" s="19"/>
      <c r="J7597" s="21"/>
      <c r="K7597" s="19"/>
    </row>
    <row r="7598" spans="3:11" x14ac:dyDescent="0.2">
      <c r="C7598" s="19"/>
      <c r="D7598" s="19"/>
      <c r="E7598" s="19"/>
      <c r="F7598" s="20"/>
      <c r="G7598" s="19"/>
      <c r="H7598" s="19"/>
      <c r="I7598" s="19"/>
      <c r="J7598" s="21"/>
      <c r="K7598" s="19"/>
    </row>
    <row r="7599" spans="3:11" x14ac:dyDescent="0.2">
      <c r="C7599" s="19"/>
      <c r="D7599" s="19"/>
      <c r="E7599" s="19"/>
      <c r="F7599" s="20"/>
      <c r="G7599" s="19"/>
      <c r="H7599" s="19"/>
      <c r="I7599" s="19"/>
      <c r="J7599" s="21"/>
      <c r="K7599" s="19"/>
    </row>
    <row r="7600" spans="3:11" x14ac:dyDescent="0.2">
      <c r="C7600" s="19"/>
      <c r="D7600" s="19"/>
      <c r="E7600" s="19"/>
      <c r="F7600" s="20"/>
      <c r="G7600" s="19"/>
      <c r="H7600" s="19"/>
      <c r="I7600" s="19"/>
      <c r="J7600" s="21"/>
      <c r="K7600" s="19"/>
    </row>
    <row r="7601" spans="3:11" x14ac:dyDescent="0.2">
      <c r="C7601" s="19"/>
      <c r="D7601" s="19"/>
      <c r="E7601" s="19"/>
      <c r="F7601" s="20"/>
      <c r="G7601" s="19"/>
      <c r="H7601" s="19"/>
      <c r="I7601" s="19"/>
      <c r="J7601" s="21"/>
      <c r="K7601" s="19"/>
    </row>
    <row r="7602" spans="3:11" x14ac:dyDescent="0.2">
      <c r="C7602" s="19"/>
      <c r="D7602" s="19"/>
      <c r="E7602" s="19"/>
      <c r="F7602" s="20"/>
      <c r="G7602" s="19"/>
      <c r="H7602" s="19"/>
      <c r="I7602" s="19"/>
      <c r="J7602" s="21"/>
      <c r="K7602" s="19"/>
    </row>
    <row r="7603" spans="3:11" x14ac:dyDescent="0.2">
      <c r="C7603" s="19"/>
      <c r="D7603" s="19"/>
      <c r="E7603" s="19"/>
      <c r="F7603" s="20"/>
      <c r="G7603" s="19"/>
      <c r="H7603" s="19"/>
      <c r="I7603" s="19"/>
      <c r="J7603" s="21"/>
      <c r="K7603" s="19"/>
    </row>
    <row r="7604" spans="3:11" x14ac:dyDescent="0.2">
      <c r="C7604" s="19"/>
      <c r="D7604" s="19"/>
      <c r="E7604" s="19"/>
      <c r="F7604" s="20"/>
      <c r="G7604" s="19"/>
      <c r="H7604" s="19"/>
      <c r="I7604" s="19"/>
      <c r="J7604" s="21"/>
      <c r="K7604" s="19"/>
    </row>
    <row r="7605" spans="3:11" x14ac:dyDescent="0.2">
      <c r="C7605" s="19"/>
      <c r="D7605" s="19"/>
      <c r="E7605" s="19"/>
      <c r="F7605" s="20"/>
      <c r="G7605" s="19"/>
      <c r="H7605" s="19"/>
      <c r="I7605" s="19"/>
      <c r="J7605" s="21"/>
      <c r="K7605" s="19"/>
    </row>
    <row r="7606" spans="3:11" x14ac:dyDescent="0.2">
      <c r="C7606" s="19"/>
      <c r="D7606" s="19"/>
      <c r="E7606" s="19"/>
      <c r="F7606" s="20"/>
      <c r="G7606" s="19"/>
      <c r="H7606" s="19"/>
      <c r="I7606" s="19"/>
      <c r="J7606" s="21"/>
      <c r="K7606" s="19"/>
    </row>
    <row r="7607" spans="3:11" x14ac:dyDescent="0.2">
      <c r="C7607" s="19"/>
      <c r="D7607" s="19"/>
      <c r="E7607" s="19"/>
      <c r="F7607" s="20"/>
      <c r="G7607" s="19"/>
      <c r="H7607" s="19"/>
      <c r="I7607" s="19"/>
      <c r="J7607" s="21"/>
      <c r="K7607" s="19"/>
    </row>
    <row r="7608" spans="3:11" x14ac:dyDescent="0.2">
      <c r="C7608" s="19"/>
      <c r="D7608" s="19"/>
      <c r="E7608" s="19"/>
      <c r="F7608" s="20"/>
      <c r="G7608" s="19"/>
      <c r="H7608" s="19"/>
      <c r="I7608" s="19"/>
      <c r="J7608" s="21"/>
      <c r="K7608" s="19"/>
    </row>
    <row r="7609" spans="3:11" x14ac:dyDescent="0.2">
      <c r="C7609" s="19"/>
      <c r="D7609" s="19"/>
      <c r="E7609" s="19"/>
      <c r="F7609" s="20"/>
      <c r="G7609" s="19"/>
      <c r="H7609" s="19"/>
      <c r="I7609" s="19"/>
      <c r="J7609" s="21"/>
      <c r="K7609" s="19"/>
    </row>
    <row r="7610" spans="3:11" x14ac:dyDescent="0.2">
      <c r="C7610" s="19"/>
      <c r="D7610" s="19"/>
      <c r="E7610" s="19"/>
      <c r="F7610" s="20"/>
      <c r="G7610" s="19"/>
      <c r="H7610" s="19"/>
      <c r="I7610" s="19"/>
      <c r="J7610" s="21"/>
      <c r="K7610" s="19"/>
    </row>
    <row r="7611" spans="3:11" x14ac:dyDescent="0.2">
      <c r="C7611" s="19"/>
      <c r="D7611" s="19"/>
      <c r="E7611" s="19"/>
      <c r="F7611" s="20"/>
      <c r="G7611" s="19"/>
      <c r="H7611" s="19"/>
      <c r="I7611" s="19"/>
      <c r="J7611" s="21"/>
      <c r="K7611" s="19"/>
    </row>
    <row r="7612" spans="3:11" x14ac:dyDescent="0.2">
      <c r="C7612" s="19"/>
      <c r="D7612" s="19"/>
      <c r="E7612" s="19"/>
      <c r="F7612" s="20"/>
      <c r="G7612" s="19"/>
      <c r="H7612" s="19"/>
      <c r="I7612" s="19"/>
      <c r="J7612" s="19"/>
      <c r="K7612" s="19"/>
    </row>
    <row r="7613" spans="3:11" x14ac:dyDescent="0.2">
      <c r="C7613" s="19"/>
      <c r="D7613" s="19"/>
      <c r="E7613" s="19"/>
      <c r="F7613" s="20"/>
      <c r="G7613" s="19"/>
      <c r="H7613" s="19"/>
      <c r="I7613" s="19"/>
      <c r="J7613" s="21"/>
      <c r="K7613" s="19"/>
    </row>
    <row r="7614" spans="3:11" x14ac:dyDescent="0.2">
      <c r="C7614" s="19"/>
      <c r="D7614" s="19"/>
      <c r="E7614" s="19"/>
      <c r="F7614" s="20"/>
      <c r="G7614" s="19"/>
      <c r="H7614" s="19"/>
      <c r="I7614" s="19"/>
      <c r="J7614" s="21"/>
      <c r="K7614" s="19"/>
    </row>
    <row r="7615" spans="3:11" x14ac:dyDescent="0.2">
      <c r="C7615" s="19"/>
      <c r="D7615" s="19"/>
      <c r="E7615" s="19"/>
      <c r="F7615" s="20"/>
      <c r="G7615" s="19"/>
      <c r="H7615" s="19"/>
      <c r="I7615" s="19"/>
      <c r="J7615" s="21"/>
      <c r="K7615" s="19"/>
    </row>
    <row r="7616" spans="3:11" x14ac:dyDescent="0.2">
      <c r="C7616" s="19"/>
      <c r="D7616" s="19"/>
      <c r="E7616" s="19"/>
      <c r="F7616" s="20"/>
      <c r="G7616" s="19"/>
      <c r="H7616" s="19"/>
      <c r="I7616" s="19"/>
      <c r="J7616" s="21"/>
      <c r="K7616" s="19"/>
    </row>
    <row r="7617" spans="3:11" x14ac:dyDescent="0.2">
      <c r="C7617" s="19"/>
      <c r="D7617" s="19"/>
      <c r="E7617" s="19"/>
      <c r="F7617" s="20"/>
      <c r="G7617" s="19"/>
      <c r="H7617" s="19"/>
      <c r="I7617" s="19"/>
      <c r="J7617" s="21"/>
      <c r="K7617" s="19"/>
    </row>
    <row r="7618" spans="3:11" x14ac:dyDescent="0.2">
      <c r="C7618" s="19"/>
      <c r="D7618" s="19"/>
      <c r="E7618" s="19"/>
      <c r="F7618" s="20"/>
      <c r="G7618" s="19"/>
      <c r="H7618" s="19"/>
      <c r="I7618" s="19"/>
      <c r="J7618" s="21"/>
      <c r="K7618" s="19"/>
    </row>
    <row r="7619" spans="3:11" x14ac:dyDescent="0.2">
      <c r="C7619" s="19"/>
      <c r="D7619" s="19"/>
      <c r="E7619" s="19"/>
      <c r="F7619" s="20"/>
      <c r="G7619" s="19"/>
      <c r="H7619" s="19"/>
      <c r="I7619" s="19"/>
      <c r="J7619" s="21"/>
      <c r="K7619" s="19"/>
    </row>
    <row r="7620" spans="3:11" x14ac:dyDescent="0.2">
      <c r="C7620" s="19"/>
      <c r="D7620" s="19"/>
      <c r="E7620" s="19"/>
      <c r="F7620" s="20"/>
      <c r="G7620" s="19"/>
      <c r="H7620" s="19"/>
      <c r="I7620" s="19"/>
      <c r="J7620" s="21"/>
      <c r="K7620" s="19"/>
    </row>
    <row r="7621" spans="3:11" x14ac:dyDescent="0.2">
      <c r="C7621" s="19"/>
      <c r="D7621" s="19"/>
      <c r="E7621" s="19"/>
      <c r="F7621" s="20"/>
      <c r="G7621" s="19"/>
      <c r="H7621" s="19"/>
      <c r="I7621" s="19"/>
      <c r="J7621" s="21"/>
      <c r="K7621" s="19"/>
    </row>
    <row r="7622" spans="3:11" x14ac:dyDescent="0.2">
      <c r="C7622" s="19"/>
      <c r="D7622" s="19"/>
      <c r="E7622" s="19"/>
      <c r="F7622" s="20"/>
      <c r="G7622" s="19"/>
      <c r="H7622" s="19"/>
      <c r="I7622" s="19"/>
      <c r="J7622" s="21"/>
      <c r="K7622" s="19"/>
    </row>
    <row r="7623" spans="3:11" x14ac:dyDescent="0.2">
      <c r="C7623" s="19"/>
      <c r="D7623" s="19"/>
      <c r="E7623" s="19"/>
      <c r="F7623" s="20"/>
      <c r="G7623" s="19"/>
      <c r="H7623" s="19"/>
      <c r="I7623" s="19"/>
      <c r="J7623" s="21"/>
      <c r="K7623" s="19"/>
    </row>
    <row r="7624" spans="3:11" x14ac:dyDescent="0.2">
      <c r="C7624" s="19"/>
      <c r="D7624" s="19"/>
      <c r="E7624" s="19"/>
      <c r="F7624" s="20"/>
      <c r="G7624" s="19"/>
      <c r="H7624" s="19"/>
      <c r="I7624" s="19"/>
      <c r="J7624" s="21"/>
      <c r="K7624" s="19"/>
    </row>
    <row r="7625" spans="3:11" x14ac:dyDescent="0.2">
      <c r="C7625" s="19"/>
      <c r="D7625" s="19"/>
      <c r="E7625" s="19"/>
      <c r="F7625" s="20"/>
      <c r="G7625" s="19"/>
      <c r="H7625" s="19"/>
      <c r="I7625" s="19"/>
      <c r="J7625" s="21"/>
      <c r="K7625" s="19"/>
    </row>
    <row r="7626" spans="3:11" x14ac:dyDescent="0.2">
      <c r="C7626" s="19"/>
      <c r="D7626" s="19"/>
      <c r="E7626" s="19"/>
      <c r="F7626" s="20"/>
      <c r="G7626" s="19"/>
      <c r="H7626" s="19"/>
      <c r="I7626" s="19"/>
      <c r="J7626" s="21"/>
      <c r="K7626" s="19"/>
    </row>
    <row r="7627" spans="3:11" x14ac:dyDescent="0.2">
      <c r="C7627" s="19"/>
      <c r="D7627" s="19"/>
      <c r="E7627" s="19"/>
      <c r="F7627" s="20"/>
      <c r="G7627" s="19"/>
      <c r="H7627" s="19"/>
      <c r="I7627" s="19"/>
      <c r="J7627" s="21"/>
      <c r="K7627" s="19"/>
    </row>
    <row r="7628" spans="3:11" x14ac:dyDescent="0.2">
      <c r="C7628" s="19"/>
      <c r="D7628" s="19"/>
      <c r="E7628" s="19"/>
      <c r="F7628" s="20"/>
      <c r="G7628" s="19"/>
      <c r="H7628" s="19"/>
      <c r="I7628" s="19"/>
      <c r="J7628" s="21"/>
      <c r="K7628" s="19"/>
    </row>
    <row r="7629" spans="3:11" x14ac:dyDescent="0.2">
      <c r="C7629" s="19"/>
      <c r="D7629" s="19"/>
      <c r="E7629" s="19"/>
      <c r="F7629" s="20"/>
      <c r="G7629" s="19"/>
      <c r="H7629" s="19"/>
      <c r="I7629" s="19"/>
      <c r="J7629" s="21"/>
      <c r="K7629" s="19"/>
    </row>
    <row r="7630" spans="3:11" x14ac:dyDescent="0.2">
      <c r="C7630" s="19"/>
      <c r="D7630" s="19"/>
      <c r="E7630" s="19"/>
      <c r="F7630" s="20"/>
      <c r="G7630" s="19"/>
      <c r="H7630" s="19"/>
      <c r="I7630" s="19"/>
      <c r="J7630" s="21"/>
      <c r="K7630" s="19"/>
    </row>
    <row r="7631" spans="3:11" x14ac:dyDescent="0.2">
      <c r="C7631" s="19"/>
      <c r="D7631" s="19"/>
      <c r="E7631" s="19"/>
      <c r="F7631" s="20"/>
      <c r="G7631" s="19"/>
      <c r="H7631" s="19"/>
      <c r="I7631" s="19"/>
      <c r="J7631" s="21"/>
      <c r="K7631" s="19"/>
    </row>
    <row r="7632" spans="3:11" x14ac:dyDescent="0.2">
      <c r="C7632" s="19"/>
      <c r="D7632" s="19"/>
      <c r="E7632" s="19"/>
      <c r="F7632" s="20"/>
      <c r="G7632" s="19"/>
      <c r="H7632" s="19"/>
      <c r="I7632" s="19"/>
      <c r="J7632" s="21"/>
      <c r="K7632" s="19"/>
    </row>
    <row r="7633" spans="3:11" x14ac:dyDescent="0.2">
      <c r="C7633" s="19"/>
      <c r="D7633" s="19"/>
      <c r="E7633" s="19"/>
      <c r="F7633" s="20"/>
      <c r="G7633" s="19"/>
      <c r="H7633" s="19"/>
      <c r="I7633" s="19"/>
      <c r="J7633" s="21"/>
      <c r="K7633" s="19"/>
    </row>
    <row r="7634" spans="3:11" x14ac:dyDescent="0.2">
      <c r="C7634" s="19"/>
      <c r="D7634" s="19"/>
      <c r="E7634" s="19"/>
      <c r="F7634" s="20"/>
      <c r="G7634" s="19"/>
      <c r="H7634" s="19"/>
      <c r="I7634" s="19"/>
      <c r="J7634" s="21"/>
      <c r="K7634" s="19"/>
    </row>
    <row r="7635" spans="3:11" x14ac:dyDescent="0.2">
      <c r="C7635" s="19"/>
      <c r="D7635" s="19"/>
      <c r="E7635" s="19"/>
      <c r="F7635" s="20"/>
      <c r="G7635" s="19"/>
      <c r="H7635" s="19"/>
      <c r="I7635" s="19"/>
      <c r="J7635" s="21"/>
      <c r="K7635" s="19"/>
    </row>
    <row r="7636" spans="3:11" x14ac:dyDescent="0.2">
      <c r="C7636" s="19"/>
      <c r="D7636" s="19"/>
      <c r="E7636" s="19"/>
      <c r="F7636" s="20"/>
      <c r="G7636" s="19"/>
      <c r="H7636" s="19"/>
      <c r="I7636" s="19"/>
      <c r="J7636" s="21"/>
      <c r="K7636" s="19"/>
    </row>
    <row r="7637" spans="3:11" x14ac:dyDescent="0.2">
      <c r="C7637" s="19"/>
      <c r="D7637" s="19"/>
      <c r="E7637" s="19"/>
      <c r="F7637" s="20"/>
      <c r="G7637" s="19"/>
      <c r="H7637" s="19"/>
      <c r="I7637" s="19"/>
      <c r="J7637" s="21"/>
      <c r="K7637" s="19"/>
    </row>
    <row r="7638" spans="3:11" x14ac:dyDescent="0.2">
      <c r="C7638" s="19"/>
      <c r="D7638" s="19"/>
      <c r="E7638" s="19"/>
      <c r="F7638" s="20"/>
      <c r="G7638" s="19"/>
      <c r="H7638" s="19"/>
      <c r="I7638" s="19"/>
      <c r="J7638" s="19"/>
      <c r="K7638" s="19"/>
    </row>
    <row r="7639" spans="3:11" x14ac:dyDescent="0.2">
      <c r="C7639" s="19"/>
      <c r="D7639" s="19"/>
      <c r="E7639" s="19"/>
      <c r="F7639" s="20"/>
      <c r="G7639" s="19"/>
      <c r="H7639" s="19"/>
      <c r="I7639" s="19"/>
      <c r="J7639" s="19"/>
      <c r="K7639" s="19"/>
    </row>
    <row r="7640" spans="3:11" x14ac:dyDescent="0.2">
      <c r="C7640" s="19"/>
      <c r="D7640" s="19"/>
      <c r="E7640" s="19"/>
      <c r="F7640" s="20"/>
      <c r="G7640" s="19"/>
      <c r="H7640" s="19"/>
      <c r="I7640" s="19"/>
      <c r="J7640" s="19"/>
      <c r="K7640" s="19"/>
    </row>
    <row r="7641" spans="3:11" x14ac:dyDescent="0.2">
      <c r="C7641" s="19"/>
      <c r="D7641" s="19"/>
      <c r="E7641" s="19"/>
      <c r="F7641" s="20"/>
      <c r="G7641" s="19"/>
      <c r="H7641" s="19"/>
      <c r="I7641" s="19"/>
      <c r="J7641" s="19"/>
      <c r="K7641" s="19"/>
    </row>
    <row r="7642" spans="3:11" x14ac:dyDescent="0.2">
      <c r="C7642" s="19"/>
      <c r="D7642" s="19"/>
      <c r="E7642" s="19"/>
      <c r="F7642" s="20"/>
      <c r="G7642" s="19"/>
      <c r="H7642" s="19"/>
      <c r="I7642" s="19"/>
      <c r="J7642" s="19"/>
      <c r="K7642" s="19"/>
    </row>
    <row r="7643" spans="3:11" x14ac:dyDescent="0.2">
      <c r="C7643" s="19"/>
      <c r="D7643" s="19"/>
      <c r="E7643" s="19"/>
      <c r="F7643" s="20"/>
      <c r="G7643" s="19"/>
      <c r="H7643" s="19"/>
      <c r="I7643" s="19"/>
      <c r="J7643" s="19"/>
      <c r="K7643" s="19"/>
    </row>
    <row r="7644" spans="3:11" x14ac:dyDescent="0.2">
      <c r="C7644" s="19"/>
      <c r="D7644" s="19"/>
      <c r="E7644" s="19"/>
      <c r="F7644" s="20"/>
      <c r="G7644" s="19"/>
      <c r="H7644" s="19"/>
      <c r="I7644" s="19"/>
      <c r="J7644" s="21"/>
      <c r="K7644" s="19"/>
    </row>
    <row r="7645" spans="3:11" x14ac:dyDescent="0.2">
      <c r="C7645" s="19"/>
      <c r="D7645" s="19"/>
      <c r="E7645" s="19"/>
      <c r="F7645" s="20"/>
      <c r="G7645" s="19"/>
      <c r="H7645" s="19"/>
      <c r="I7645" s="19"/>
      <c r="J7645" s="21"/>
      <c r="K7645" s="19"/>
    </row>
    <row r="7646" spans="3:11" x14ac:dyDescent="0.2">
      <c r="C7646" s="19"/>
      <c r="D7646" s="19"/>
      <c r="E7646" s="19"/>
      <c r="F7646" s="20"/>
      <c r="G7646" s="19"/>
      <c r="H7646" s="19"/>
      <c r="I7646" s="19"/>
      <c r="J7646" s="21"/>
      <c r="K7646" s="19"/>
    </row>
    <row r="7647" spans="3:11" x14ac:dyDescent="0.2">
      <c r="C7647" s="19"/>
      <c r="D7647" s="19"/>
      <c r="E7647" s="19"/>
      <c r="F7647" s="20"/>
      <c r="G7647" s="19"/>
      <c r="H7647" s="19"/>
      <c r="I7647" s="19"/>
      <c r="J7647" s="21"/>
      <c r="K7647" s="19"/>
    </row>
    <row r="7648" spans="3:11" x14ac:dyDescent="0.2">
      <c r="C7648" s="19"/>
      <c r="D7648" s="19"/>
      <c r="E7648" s="19"/>
      <c r="F7648" s="20"/>
      <c r="G7648" s="19"/>
      <c r="H7648" s="19"/>
      <c r="I7648" s="19"/>
      <c r="J7648" s="21"/>
      <c r="K7648" s="19"/>
    </row>
    <row r="7649" spans="3:11" x14ac:dyDescent="0.2">
      <c r="C7649" s="19"/>
      <c r="D7649" s="19"/>
      <c r="E7649" s="19"/>
      <c r="F7649" s="20"/>
      <c r="G7649" s="19"/>
      <c r="H7649" s="19"/>
      <c r="I7649" s="19"/>
      <c r="J7649" s="21"/>
      <c r="K7649" s="19"/>
    </row>
    <row r="7650" spans="3:11" x14ac:dyDescent="0.2">
      <c r="C7650" s="19"/>
      <c r="D7650" s="19"/>
      <c r="E7650" s="19"/>
      <c r="F7650" s="20"/>
      <c r="G7650" s="19"/>
      <c r="H7650" s="19"/>
      <c r="I7650" s="19"/>
      <c r="J7650" s="21"/>
      <c r="K7650" s="19"/>
    </row>
    <row r="7651" spans="3:11" x14ac:dyDescent="0.2">
      <c r="C7651" s="19"/>
      <c r="D7651" s="19"/>
      <c r="E7651" s="19"/>
      <c r="F7651" s="20"/>
      <c r="G7651" s="19"/>
      <c r="H7651" s="19"/>
      <c r="I7651" s="19"/>
      <c r="J7651" s="21"/>
      <c r="K7651" s="19"/>
    </row>
    <row r="7652" spans="3:11" x14ac:dyDescent="0.2">
      <c r="C7652" s="19"/>
      <c r="D7652" s="19"/>
      <c r="E7652" s="19"/>
      <c r="F7652" s="20"/>
      <c r="G7652" s="19"/>
      <c r="H7652" s="19"/>
      <c r="I7652" s="19"/>
      <c r="J7652" s="21"/>
      <c r="K7652" s="19"/>
    </row>
    <row r="7653" spans="3:11" x14ac:dyDescent="0.2">
      <c r="C7653" s="19"/>
      <c r="D7653" s="19"/>
      <c r="E7653" s="19"/>
      <c r="F7653" s="20"/>
      <c r="G7653" s="19"/>
      <c r="H7653" s="19"/>
      <c r="I7653" s="19"/>
      <c r="J7653" s="21"/>
      <c r="K7653" s="19"/>
    </row>
    <row r="7654" spans="3:11" x14ac:dyDescent="0.2">
      <c r="C7654" s="19"/>
      <c r="D7654" s="19"/>
      <c r="E7654" s="19"/>
      <c r="F7654" s="20"/>
      <c r="G7654" s="19"/>
      <c r="H7654" s="19"/>
      <c r="I7654" s="19"/>
      <c r="J7654" s="21"/>
      <c r="K7654" s="19"/>
    </row>
    <row r="7655" spans="3:11" x14ac:dyDescent="0.2">
      <c r="C7655" s="19"/>
      <c r="D7655" s="19"/>
      <c r="E7655" s="19"/>
      <c r="F7655" s="20"/>
      <c r="G7655" s="19"/>
      <c r="H7655" s="19"/>
      <c r="I7655" s="19"/>
      <c r="J7655" s="21"/>
      <c r="K7655" s="19"/>
    </row>
    <row r="7656" spans="3:11" x14ac:dyDescent="0.2">
      <c r="C7656" s="19"/>
      <c r="D7656" s="19"/>
      <c r="E7656" s="19"/>
      <c r="F7656" s="20"/>
      <c r="G7656" s="19"/>
      <c r="H7656" s="19"/>
      <c r="I7656" s="19"/>
      <c r="J7656" s="21"/>
      <c r="K7656" s="19"/>
    </row>
    <row r="7657" spans="3:11" x14ac:dyDescent="0.2">
      <c r="C7657" s="19"/>
      <c r="D7657" s="19"/>
      <c r="E7657" s="19"/>
      <c r="F7657" s="20"/>
      <c r="G7657" s="19"/>
      <c r="H7657" s="19"/>
      <c r="I7657" s="19"/>
      <c r="J7657" s="21"/>
      <c r="K7657" s="19"/>
    </row>
    <row r="7658" spans="3:11" x14ac:dyDescent="0.2">
      <c r="C7658" s="19"/>
      <c r="D7658" s="19"/>
      <c r="E7658" s="19"/>
      <c r="F7658" s="20"/>
      <c r="G7658" s="19"/>
      <c r="H7658" s="19"/>
      <c r="I7658" s="19"/>
      <c r="J7658" s="19"/>
      <c r="K7658" s="19"/>
    </row>
    <row r="7659" spans="3:11" x14ac:dyDescent="0.2">
      <c r="C7659" s="19"/>
      <c r="D7659" s="19"/>
      <c r="E7659" s="19"/>
      <c r="F7659" s="20"/>
      <c r="G7659" s="19"/>
      <c r="H7659" s="19"/>
      <c r="I7659" s="19"/>
      <c r="J7659" s="21"/>
      <c r="K7659" s="19"/>
    </row>
    <row r="7660" spans="3:11" x14ac:dyDescent="0.2">
      <c r="C7660" s="19"/>
      <c r="D7660" s="19"/>
      <c r="E7660" s="19"/>
      <c r="F7660" s="20"/>
      <c r="G7660" s="19"/>
      <c r="H7660" s="19"/>
      <c r="I7660" s="19"/>
      <c r="J7660" s="21"/>
      <c r="K7660" s="19"/>
    </row>
    <row r="7661" spans="3:11" x14ac:dyDescent="0.2">
      <c r="C7661" s="19"/>
      <c r="D7661" s="19"/>
      <c r="E7661" s="19"/>
      <c r="F7661" s="20"/>
      <c r="G7661" s="19"/>
      <c r="H7661" s="19"/>
      <c r="I7661" s="19"/>
      <c r="J7661" s="21"/>
      <c r="K7661" s="19"/>
    </row>
    <row r="7662" spans="3:11" x14ac:dyDescent="0.2">
      <c r="C7662" s="19"/>
      <c r="D7662" s="19"/>
      <c r="E7662" s="19"/>
      <c r="F7662" s="20"/>
      <c r="G7662" s="19"/>
      <c r="H7662" s="19"/>
      <c r="I7662" s="19"/>
      <c r="J7662" s="21"/>
      <c r="K7662" s="19"/>
    </row>
    <row r="7663" spans="3:11" x14ac:dyDescent="0.2">
      <c r="C7663" s="19"/>
      <c r="D7663" s="19"/>
      <c r="E7663" s="19"/>
      <c r="F7663" s="20"/>
      <c r="G7663" s="19"/>
      <c r="H7663" s="19"/>
      <c r="I7663" s="19"/>
      <c r="J7663" s="21"/>
      <c r="K7663" s="19"/>
    </row>
    <row r="7664" spans="3:11" x14ac:dyDescent="0.2">
      <c r="C7664" s="19"/>
      <c r="D7664" s="19"/>
      <c r="E7664" s="19"/>
      <c r="F7664" s="20"/>
      <c r="G7664" s="19"/>
      <c r="H7664" s="19"/>
      <c r="I7664" s="19"/>
      <c r="J7664" s="21"/>
      <c r="K7664" s="19"/>
    </row>
    <row r="7665" spans="3:11" x14ac:dyDescent="0.2">
      <c r="C7665" s="19"/>
      <c r="D7665" s="19"/>
      <c r="E7665" s="19"/>
      <c r="F7665" s="20"/>
      <c r="G7665" s="19"/>
      <c r="H7665" s="19"/>
      <c r="I7665" s="19"/>
      <c r="J7665" s="21"/>
      <c r="K7665" s="19"/>
    </row>
    <row r="7666" spans="3:11" x14ac:dyDescent="0.2">
      <c r="C7666" s="19"/>
      <c r="D7666" s="19"/>
      <c r="E7666" s="19"/>
      <c r="F7666" s="20"/>
      <c r="G7666" s="19"/>
      <c r="H7666" s="19"/>
      <c r="I7666" s="19"/>
      <c r="J7666" s="21"/>
      <c r="K7666" s="19"/>
    </row>
    <row r="7667" spans="3:11" x14ac:dyDescent="0.2">
      <c r="C7667" s="19"/>
      <c r="D7667" s="19"/>
      <c r="E7667" s="19"/>
      <c r="F7667" s="20"/>
      <c r="G7667" s="19"/>
      <c r="H7667" s="19"/>
      <c r="I7667" s="19"/>
      <c r="J7667" s="21"/>
      <c r="K7667" s="19"/>
    </row>
    <row r="7668" spans="3:11" x14ac:dyDescent="0.2">
      <c r="C7668" s="19"/>
      <c r="D7668" s="19"/>
      <c r="E7668" s="19"/>
      <c r="F7668" s="20"/>
      <c r="G7668" s="19"/>
      <c r="H7668" s="19"/>
      <c r="I7668" s="19"/>
      <c r="J7668" s="19"/>
      <c r="K7668" s="19"/>
    </row>
    <row r="7669" spans="3:11" x14ac:dyDescent="0.2">
      <c r="C7669" s="19"/>
      <c r="D7669" s="19"/>
      <c r="E7669" s="19"/>
      <c r="F7669" s="20"/>
      <c r="G7669" s="19"/>
      <c r="H7669" s="19"/>
      <c r="I7669" s="19"/>
      <c r="J7669" s="21"/>
      <c r="K7669" s="19"/>
    </row>
    <row r="7670" spans="3:11" x14ac:dyDescent="0.2">
      <c r="C7670" s="19"/>
      <c r="D7670" s="19"/>
      <c r="E7670" s="19"/>
      <c r="F7670" s="20"/>
      <c r="G7670" s="19"/>
      <c r="H7670" s="19"/>
      <c r="I7670" s="19"/>
      <c r="J7670" s="21"/>
      <c r="K7670" s="19"/>
    </row>
    <row r="7671" spans="3:11" x14ac:dyDescent="0.2">
      <c r="C7671" s="19"/>
      <c r="D7671" s="19"/>
      <c r="E7671" s="19"/>
      <c r="F7671" s="20"/>
      <c r="G7671" s="19"/>
      <c r="H7671" s="19"/>
      <c r="I7671" s="19"/>
      <c r="J7671" s="21"/>
      <c r="K7671" s="19"/>
    </row>
    <row r="7672" spans="3:11" x14ac:dyDescent="0.2">
      <c r="C7672" s="19"/>
      <c r="D7672" s="19"/>
      <c r="E7672" s="19"/>
      <c r="F7672" s="20"/>
      <c r="G7672" s="19"/>
      <c r="H7672" s="19"/>
      <c r="I7672" s="19"/>
      <c r="J7672" s="21"/>
      <c r="K7672" s="19"/>
    </row>
    <row r="7673" spans="3:11" x14ac:dyDescent="0.2">
      <c r="C7673" s="19"/>
      <c r="D7673" s="19"/>
      <c r="E7673" s="19"/>
      <c r="F7673" s="20"/>
      <c r="G7673" s="19"/>
      <c r="H7673" s="19"/>
      <c r="I7673" s="19"/>
      <c r="J7673" s="21"/>
      <c r="K7673" s="19"/>
    </row>
    <row r="7674" spans="3:11" x14ac:dyDescent="0.2">
      <c r="C7674" s="19"/>
      <c r="D7674" s="19"/>
      <c r="E7674" s="19"/>
      <c r="F7674" s="20"/>
      <c r="G7674" s="19"/>
      <c r="H7674" s="19"/>
      <c r="I7674" s="19"/>
      <c r="J7674" s="21"/>
      <c r="K7674" s="19"/>
    </row>
    <row r="7675" spans="3:11" x14ac:dyDescent="0.2">
      <c r="C7675" s="19"/>
      <c r="D7675" s="19"/>
      <c r="E7675" s="19"/>
      <c r="F7675" s="20"/>
      <c r="G7675" s="19"/>
      <c r="H7675" s="19"/>
      <c r="I7675" s="19"/>
      <c r="J7675" s="21"/>
      <c r="K7675" s="19"/>
    </row>
    <row r="7676" spans="3:11" x14ac:dyDescent="0.2">
      <c r="C7676" s="19"/>
      <c r="D7676" s="19"/>
      <c r="E7676" s="19"/>
      <c r="F7676" s="20"/>
      <c r="G7676" s="19"/>
      <c r="H7676" s="19"/>
      <c r="I7676" s="19"/>
      <c r="J7676" s="21"/>
      <c r="K7676" s="19"/>
    </row>
    <row r="7677" spans="3:11" x14ac:dyDescent="0.2">
      <c r="C7677" s="19"/>
      <c r="D7677" s="19"/>
      <c r="E7677" s="19"/>
      <c r="F7677" s="20"/>
      <c r="G7677" s="19"/>
      <c r="H7677" s="19"/>
      <c r="I7677" s="19"/>
      <c r="J7677" s="21"/>
      <c r="K7677" s="19"/>
    </row>
    <row r="7678" spans="3:11" x14ac:dyDescent="0.2">
      <c r="C7678" s="19"/>
      <c r="D7678" s="19"/>
      <c r="E7678" s="19"/>
      <c r="F7678" s="20"/>
      <c r="G7678" s="19"/>
      <c r="H7678" s="19"/>
      <c r="I7678" s="19"/>
      <c r="J7678" s="21"/>
      <c r="K7678" s="19"/>
    </row>
    <row r="7679" spans="3:11" x14ac:dyDescent="0.2">
      <c r="C7679" s="19"/>
      <c r="D7679" s="19"/>
      <c r="E7679" s="19"/>
      <c r="F7679" s="20"/>
      <c r="G7679" s="19"/>
      <c r="H7679" s="19"/>
      <c r="I7679" s="19"/>
      <c r="J7679" s="21"/>
      <c r="K7679" s="19"/>
    </row>
    <row r="7680" spans="3:11" x14ac:dyDescent="0.2">
      <c r="C7680" s="19"/>
      <c r="D7680" s="19"/>
      <c r="E7680" s="19"/>
      <c r="F7680" s="20"/>
      <c r="G7680" s="19"/>
      <c r="H7680" s="19"/>
      <c r="I7680" s="19"/>
      <c r="J7680" s="21"/>
      <c r="K7680" s="19"/>
    </row>
    <row r="7681" spans="3:11" x14ac:dyDescent="0.2">
      <c r="C7681" s="19"/>
      <c r="D7681" s="19"/>
      <c r="E7681" s="19"/>
      <c r="F7681" s="20"/>
      <c r="G7681" s="19"/>
      <c r="H7681" s="19"/>
      <c r="I7681" s="19"/>
      <c r="J7681" s="21"/>
      <c r="K7681" s="19"/>
    </row>
    <row r="7682" spans="3:11" x14ac:dyDescent="0.2">
      <c r="C7682" s="19"/>
      <c r="D7682" s="19"/>
      <c r="E7682" s="19"/>
      <c r="F7682" s="20"/>
      <c r="G7682" s="19"/>
      <c r="H7682" s="19"/>
      <c r="I7682" s="19"/>
      <c r="J7682" s="21"/>
      <c r="K7682" s="19"/>
    </row>
    <row r="7683" spans="3:11" x14ac:dyDescent="0.2">
      <c r="C7683" s="19"/>
      <c r="D7683" s="19"/>
      <c r="E7683" s="19"/>
      <c r="F7683" s="20"/>
      <c r="G7683" s="19"/>
      <c r="H7683" s="19"/>
      <c r="I7683" s="19"/>
      <c r="J7683" s="21"/>
      <c r="K7683" s="19"/>
    </row>
    <row r="7684" spans="3:11" x14ac:dyDescent="0.2">
      <c r="C7684" s="19"/>
      <c r="D7684" s="19"/>
      <c r="E7684" s="19"/>
      <c r="F7684" s="20"/>
      <c r="G7684" s="19"/>
      <c r="H7684" s="19"/>
      <c r="I7684" s="19"/>
      <c r="J7684" s="21"/>
      <c r="K7684" s="19"/>
    </row>
    <row r="7685" spans="3:11" x14ac:dyDescent="0.2">
      <c r="C7685" s="19"/>
      <c r="D7685" s="19"/>
      <c r="E7685" s="19"/>
      <c r="F7685" s="20"/>
      <c r="G7685" s="19"/>
      <c r="H7685" s="19"/>
      <c r="I7685" s="19"/>
      <c r="J7685" s="21"/>
      <c r="K7685" s="19"/>
    </row>
    <row r="7686" spans="3:11" x14ac:dyDescent="0.2">
      <c r="C7686" s="19"/>
      <c r="D7686" s="19"/>
      <c r="E7686" s="19"/>
      <c r="F7686" s="20"/>
      <c r="G7686" s="19"/>
      <c r="H7686" s="19"/>
      <c r="I7686" s="19"/>
      <c r="J7686" s="21"/>
      <c r="K7686" s="19"/>
    </row>
    <row r="7687" spans="3:11" x14ac:dyDescent="0.2">
      <c r="C7687" s="19"/>
      <c r="D7687" s="19"/>
      <c r="E7687" s="19"/>
      <c r="F7687" s="20"/>
      <c r="G7687" s="19"/>
      <c r="H7687" s="19"/>
      <c r="I7687" s="19"/>
      <c r="J7687" s="21"/>
      <c r="K7687" s="19"/>
    </row>
    <row r="7688" spans="3:11" x14ac:dyDescent="0.2">
      <c r="C7688" s="19"/>
      <c r="D7688" s="19"/>
      <c r="E7688" s="19"/>
      <c r="F7688" s="20"/>
      <c r="G7688" s="19"/>
      <c r="H7688" s="19"/>
      <c r="I7688" s="19"/>
      <c r="J7688" s="21"/>
      <c r="K7688" s="19"/>
    </row>
    <row r="7689" spans="3:11" x14ac:dyDescent="0.2">
      <c r="C7689" s="19"/>
      <c r="D7689" s="19"/>
      <c r="E7689" s="19"/>
      <c r="F7689" s="20"/>
      <c r="G7689" s="19"/>
      <c r="H7689" s="19"/>
      <c r="I7689" s="19"/>
      <c r="J7689" s="21"/>
      <c r="K7689" s="19"/>
    </row>
    <row r="7690" spans="3:11" x14ac:dyDescent="0.2">
      <c r="C7690" s="19"/>
      <c r="D7690" s="19"/>
      <c r="E7690" s="19"/>
      <c r="F7690" s="20"/>
      <c r="G7690" s="19"/>
      <c r="H7690" s="19"/>
      <c r="I7690" s="19"/>
      <c r="J7690" s="21"/>
      <c r="K7690" s="19"/>
    </row>
    <row r="7691" spans="3:11" x14ac:dyDescent="0.2">
      <c r="C7691" s="19"/>
      <c r="D7691" s="19"/>
      <c r="E7691" s="19"/>
      <c r="F7691" s="20"/>
      <c r="G7691" s="19"/>
      <c r="H7691" s="19"/>
      <c r="I7691" s="19"/>
      <c r="J7691" s="21"/>
      <c r="K7691" s="19"/>
    </row>
    <row r="7692" spans="3:11" x14ac:dyDescent="0.2">
      <c r="C7692" s="19"/>
      <c r="D7692" s="19"/>
      <c r="E7692" s="19"/>
      <c r="F7692" s="20"/>
      <c r="G7692" s="19"/>
      <c r="H7692" s="19"/>
      <c r="I7692" s="19"/>
      <c r="J7692" s="19"/>
      <c r="K7692" s="19"/>
    </row>
    <row r="7693" spans="3:11" x14ac:dyDescent="0.2">
      <c r="C7693" s="19"/>
      <c r="D7693" s="19"/>
      <c r="E7693" s="19"/>
      <c r="F7693" s="20"/>
      <c r="G7693" s="19"/>
      <c r="H7693" s="19"/>
      <c r="I7693" s="19"/>
      <c r="J7693" s="21"/>
      <c r="K7693" s="19"/>
    </row>
    <row r="7694" spans="3:11" x14ac:dyDescent="0.2">
      <c r="C7694" s="19"/>
      <c r="D7694" s="19"/>
      <c r="E7694" s="19"/>
      <c r="F7694" s="20"/>
      <c r="G7694" s="19"/>
      <c r="H7694" s="19"/>
      <c r="I7694" s="19"/>
      <c r="J7694" s="21"/>
      <c r="K7694" s="19"/>
    </row>
    <row r="7695" spans="3:11" x14ac:dyDescent="0.2">
      <c r="C7695" s="19"/>
      <c r="D7695" s="19"/>
      <c r="E7695" s="19"/>
      <c r="F7695" s="20"/>
      <c r="G7695" s="19"/>
      <c r="H7695" s="19"/>
      <c r="I7695" s="19"/>
      <c r="J7695" s="21"/>
      <c r="K7695" s="19"/>
    </row>
    <row r="7696" spans="3:11" x14ac:dyDescent="0.2">
      <c r="C7696" s="19"/>
      <c r="D7696" s="19"/>
      <c r="E7696" s="19"/>
      <c r="F7696" s="20"/>
      <c r="G7696" s="19"/>
      <c r="H7696" s="19"/>
      <c r="I7696" s="19"/>
      <c r="J7696" s="21"/>
      <c r="K7696" s="19"/>
    </row>
    <row r="7697" spans="3:11" x14ac:dyDescent="0.2">
      <c r="C7697" s="19"/>
      <c r="D7697" s="19"/>
      <c r="E7697" s="19"/>
      <c r="F7697" s="20"/>
      <c r="G7697" s="19"/>
      <c r="H7697" s="19"/>
      <c r="I7697" s="19"/>
      <c r="J7697" s="21"/>
      <c r="K7697" s="19"/>
    </row>
    <row r="7698" spans="3:11" x14ac:dyDescent="0.2">
      <c r="C7698" s="19"/>
      <c r="D7698" s="19"/>
      <c r="E7698" s="19"/>
      <c r="F7698" s="20"/>
      <c r="G7698" s="19"/>
      <c r="H7698" s="19"/>
      <c r="I7698" s="19"/>
      <c r="J7698" s="21"/>
      <c r="K7698" s="19"/>
    </row>
    <row r="7699" spans="3:11" x14ac:dyDescent="0.2">
      <c r="C7699" s="19"/>
      <c r="D7699" s="19"/>
      <c r="E7699" s="19"/>
      <c r="F7699" s="20"/>
      <c r="G7699" s="19"/>
      <c r="H7699" s="19"/>
      <c r="I7699" s="19"/>
      <c r="J7699" s="21"/>
      <c r="K7699" s="19"/>
    </row>
    <row r="7700" spans="3:11" x14ac:dyDescent="0.2">
      <c r="C7700" s="19"/>
      <c r="D7700" s="19"/>
      <c r="E7700" s="19"/>
      <c r="F7700" s="20"/>
      <c r="G7700" s="19"/>
      <c r="H7700" s="19"/>
      <c r="I7700" s="19"/>
      <c r="J7700" s="21"/>
      <c r="K7700" s="19"/>
    </row>
    <row r="7701" spans="3:11" x14ac:dyDescent="0.2">
      <c r="C7701" s="19"/>
      <c r="D7701" s="19"/>
      <c r="E7701" s="19"/>
      <c r="F7701" s="20"/>
      <c r="G7701" s="19"/>
      <c r="H7701" s="19"/>
      <c r="I7701" s="19"/>
      <c r="J7701" s="21"/>
      <c r="K7701" s="19"/>
    </row>
    <row r="7702" spans="3:11" x14ac:dyDescent="0.2">
      <c r="C7702" s="19"/>
      <c r="D7702" s="19"/>
      <c r="E7702" s="19"/>
      <c r="F7702" s="20"/>
      <c r="G7702" s="19"/>
      <c r="H7702" s="19"/>
      <c r="I7702" s="19"/>
      <c r="J7702" s="19"/>
      <c r="K7702" s="19"/>
    </row>
    <row r="7703" spans="3:11" x14ac:dyDescent="0.2">
      <c r="C7703" s="19"/>
      <c r="D7703" s="19"/>
      <c r="E7703" s="19"/>
      <c r="F7703" s="20"/>
      <c r="G7703" s="19"/>
      <c r="H7703" s="19"/>
      <c r="I7703" s="19"/>
      <c r="J7703" s="19"/>
      <c r="K7703" s="19"/>
    </row>
    <row r="7704" spans="3:11" x14ac:dyDescent="0.2">
      <c r="C7704" s="19"/>
      <c r="D7704" s="19"/>
      <c r="E7704" s="19"/>
      <c r="F7704" s="20"/>
      <c r="G7704" s="19"/>
      <c r="H7704" s="19"/>
      <c r="I7704" s="19"/>
      <c r="J7704" s="19"/>
      <c r="K7704" s="19"/>
    </row>
    <row r="7705" spans="3:11" x14ac:dyDescent="0.2">
      <c r="C7705" s="19"/>
      <c r="D7705" s="19"/>
      <c r="E7705" s="19"/>
      <c r="F7705" s="20"/>
      <c r="G7705" s="19"/>
      <c r="H7705" s="19"/>
      <c r="I7705" s="19"/>
      <c r="J7705" s="21"/>
      <c r="K7705" s="19"/>
    </row>
    <row r="7706" spans="3:11" x14ac:dyDescent="0.2">
      <c r="C7706" s="19"/>
      <c r="D7706" s="19"/>
      <c r="E7706" s="19"/>
      <c r="F7706" s="20"/>
      <c r="G7706" s="19"/>
      <c r="H7706" s="19"/>
      <c r="I7706" s="19"/>
      <c r="J7706" s="21"/>
      <c r="K7706" s="19"/>
    </row>
    <row r="7707" spans="3:11" x14ac:dyDescent="0.2">
      <c r="C7707" s="19"/>
      <c r="D7707" s="19"/>
      <c r="E7707" s="19"/>
      <c r="F7707" s="20"/>
      <c r="G7707" s="19"/>
      <c r="H7707" s="19"/>
      <c r="I7707" s="19"/>
      <c r="J7707" s="21"/>
      <c r="K7707" s="19"/>
    </row>
    <row r="7708" spans="3:11" x14ac:dyDescent="0.2">
      <c r="C7708" s="19"/>
      <c r="D7708" s="19"/>
      <c r="E7708" s="19"/>
      <c r="F7708" s="20"/>
      <c r="G7708" s="19"/>
      <c r="H7708" s="19"/>
      <c r="I7708" s="19"/>
      <c r="J7708" s="21"/>
      <c r="K7708" s="19"/>
    </row>
    <row r="7709" spans="3:11" x14ac:dyDescent="0.2">
      <c r="C7709" s="19"/>
      <c r="D7709" s="19"/>
      <c r="E7709" s="19"/>
      <c r="F7709" s="20"/>
      <c r="G7709" s="19"/>
      <c r="H7709" s="19"/>
      <c r="I7709" s="19"/>
      <c r="J7709" s="21"/>
      <c r="K7709" s="19"/>
    </row>
    <row r="7710" spans="3:11" x14ac:dyDescent="0.2">
      <c r="C7710" s="19"/>
      <c r="D7710" s="19"/>
      <c r="E7710" s="19"/>
      <c r="F7710" s="20"/>
      <c r="G7710" s="19"/>
      <c r="H7710" s="19"/>
      <c r="I7710" s="19"/>
      <c r="J7710" s="21"/>
      <c r="K7710" s="19"/>
    </row>
    <row r="7711" spans="3:11" x14ac:dyDescent="0.2">
      <c r="C7711" s="19"/>
      <c r="D7711" s="19"/>
      <c r="E7711" s="19"/>
      <c r="F7711" s="20"/>
      <c r="G7711" s="19"/>
      <c r="H7711" s="19"/>
      <c r="I7711" s="19"/>
      <c r="J7711" s="21"/>
      <c r="K7711" s="19"/>
    </row>
    <row r="7712" spans="3:11" x14ac:dyDescent="0.2">
      <c r="C7712" s="19"/>
      <c r="D7712" s="19"/>
      <c r="E7712" s="19"/>
      <c r="F7712" s="20"/>
      <c r="G7712" s="19"/>
      <c r="H7712" s="19"/>
      <c r="I7712" s="19"/>
      <c r="J7712" s="21"/>
      <c r="K7712" s="19"/>
    </row>
    <row r="7713" spans="3:11" x14ac:dyDescent="0.2">
      <c r="C7713" s="19"/>
      <c r="D7713" s="19"/>
      <c r="E7713" s="19"/>
      <c r="F7713" s="20"/>
      <c r="G7713" s="19"/>
      <c r="H7713" s="19"/>
      <c r="I7713" s="19"/>
      <c r="J7713" s="21"/>
      <c r="K7713" s="19"/>
    </row>
    <row r="7714" spans="3:11" x14ac:dyDescent="0.2">
      <c r="C7714" s="19"/>
      <c r="D7714" s="19"/>
      <c r="E7714" s="19"/>
      <c r="F7714" s="20"/>
      <c r="G7714" s="19"/>
      <c r="H7714" s="19"/>
      <c r="I7714" s="19"/>
      <c r="J7714" s="21"/>
      <c r="K7714" s="19"/>
    </row>
    <row r="7715" spans="3:11" x14ac:dyDescent="0.2">
      <c r="C7715" s="19"/>
      <c r="D7715" s="19"/>
      <c r="E7715" s="19"/>
      <c r="F7715" s="20"/>
      <c r="G7715" s="19"/>
      <c r="H7715" s="19"/>
      <c r="I7715" s="19"/>
      <c r="J7715" s="21"/>
      <c r="K7715" s="19"/>
    </row>
    <row r="7716" spans="3:11" x14ac:dyDescent="0.2">
      <c r="C7716" s="19"/>
      <c r="D7716" s="19"/>
      <c r="E7716" s="19"/>
      <c r="F7716" s="20"/>
      <c r="G7716" s="19"/>
      <c r="H7716" s="19"/>
      <c r="I7716" s="19"/>
      <c r="J7716" s="21"/>
      <c r="K7716" s="19"/>
    </row>
    <row r="7717" spans="3:11" x14ac:dyDescent="0.2">
      <c r="C7717" s="19"/>
      <c r="D7717" s="19"/>
      <c r="E7717" s="19"/>
      <c r="F7717" s="20"/>
      <c r="G7717" s="19"/>
      <c r="H7717" s="19"/>
      <c r="I7717" s="19"/>
      <c r="J7717" s="21"/>
      <c r="K7717" s="19"/>
    </row>
    <row r="7718" spans="3:11" x14ac:dyDescent="0.2">
      <c r="C7718" s="19"/>
      <c r="D7718" s="19"/>
      <c r="E7718" s="19"/>
      <c r="F7718" s="20"/>
      <c r="G7718" s="19"/>
      <c r="H7718" s="19"/>
      <c r="I7718" s="19"/>
      <c r="J7718" s="21"/>
      <c r="K7718" s="19"/>
    </row>
    <row r="7719" spans="3:11" x14ac:dyDescent="0.2">
      <c r="C7719" s="19"/>
      <c r="D7719" s="19"/>
      <c r="E7719" s="19"/>
      <c r="F7719" s="20"/>
      <c r="G7719" s="19"/>
      <c r="H7719" s="19"/>
      <c r="I7719" s="19"/>
      <c r="J7719" s="21"/>
      <c r="K7719" s="19"/>
    </row>
    <row r="7720" spans="3:11" x14ac:dyDescent="0.2">
      <c r="C7720" s="19"/>
      <c r="D7720" s="19"/>
      <c r="E7720" s="19"/>
      <c r="F7720" s="20"/>
      <c r="G7720" s="19"/>
      <c r="H7720" s="19"/>
      <c r="I7720" s="19"/>
      <c r="J7720" s="21"/>
      <c r="K7720" s="19"/>
    </row>
    <row r="7721" spans="3:11" x14ac:dyDescent="0.2">
      <c r="C7721" s="19"/>
      <c r="D7721" s="19"/>
      <c r="E7721" s="19"/>
      <c r="F7721" s="20"/>
      <c r="G7721" s="19"/>
      <c r="H7721" s="19"/>
      <c r="I7721" s="19"/>
      <c r="J7721" s="21"/>
      <c r="K7721" s="19"/>
    </row>
    <row r="7722" spans="3:11" x14ac:dyDescent="0.2">
      <c r="C7722" s="19"/>
      <c r="D7722" s="19"/>
      <c r="E7722" s="19"/>
      <c r="F7722" s="20"/>
      <c r="G7722" s="19"/>
      <c r="H7722" s="19"/>
      <c r="I7722" s="19"/>
      <c r="J7722" s="21"/>
      <c r="K7722" s="19"/>
    </row>
    <row r="7723" spans="3:11" x14ac:dyDescent="0.2">
      <c r="C7723" s="19"/>
      <c r="D7723" s="19"/>
      <c r="E7723" s="19"/>
      <c r="F7723" s="20"/>
      <c r="G7723" s="19"/>
      <c r="H7723" s="19"/>
      <c r="I7723" s="19"/>
      <c r="J7723" s="21"/>
      <c r="K7723" s="19"/>
    </row>
    <row r="7724" spans="3:11" x14ac:dyDescent="0.2">
      <c r="C7724" s="19"/>
      <c r="D7724" s="19"/>
      <c r="E7724" s="19"/>
      <c r="F7724" s="20"/>
      <c r="G7724" s="19"/>
      <c r="H7724" s="19"/>
      <c r="I7724" s="19"/>
      <c r="J7724" s="21"/>
      <c r="K7724" s="19"/>
    </row>
    <row r="7725" spans="3:11" x14ac:dyDescent="0.2">
      <c r="C7725" s="19"/>
      <c r="D7725" s="19"/>
      <c r="E7725" s="19"/>
      <c r="F7725" s="20"/>
      <c r="G7725" s="19"/>
      <c r="H7725" s="19"/>
      <c r="I7725" s="19"/>
      <c r="J7725" s="21"/>
      <c r="K7725" s="19"/>
    </row>
    <row r="7726" spans="3:11" x14ac:dyDescent="0.2">
      <c r="C7726" s="19"/>
      <c r="D7726" s="19"/>
      <c r="E7726" s="19"/>
      <c r="F7726" s="20"/>
      <c r="G7726" s="19"/>
      <c r="H7726" s="19"/>
      <c r="I7726" s="19"/>
      <c r="J7726" s="21"/>
      <c r="K7726" s="19"/>
    </row>
    <row r="7727" spans="3:11" x14ac:dyDescent="0.2">
      <c r="C7727" s="19"/>
      <c r="D7727" s="19"/>
      <c r="E7727" s="19"/>
      <c r="F7727" s="20"/>
      <c r="G7727" s="19"/>
      <c r="H7727" s="19"/>
      <c r="I7727" s="19"/>
      <c r="J7727" s="21"/>
      <c r="K7727" s="19"/>
    </row>
    <row r="7728" spans="3:11" x14ac:dyDescent="0.2">
      <c r="C7728" s="19"/>
      <c r="D7728" s="19"/>
      <c r="E7728" s="19"/>
      <c r="F7728" s="20"/>
      <c r="G7728" s="19"/>
      <c r="H7728" s="19"/>
      <c r="I7728" s="19"/>
      <c r="J7728" s="21"/>
      <c r="K7728" s="19"/>
    </row>
    <row r="7729" spans="3:11" x14ac:dyDescent="0.2">
      <c r="C7729" s="19"/>
      <c r="D7729" s="19"/>
      <c r="E7729" s="19"/>
      <c r="F7729" s="20"/>
      <c r="G7729" s="19"/>
      <c r="H7729" s="19"/>
      <c r="I7729" s="19"/>
      <c r="J7729" s="21"/>
      <c r="K7729" s="19"/>
    </row>
    <row r="7730" spans="3:11" x14ac:dyDescent="0.2">
      <c r="C7730" s="19"/>
      <c r="D7730" s="19"/>
      <c r="E7730" s="19"/>
      <c r="F7730" s="20"/>
      <c r="G7730" s="19"/>
      <c r="H7730" s="19"/>
      <c r="I7730" s="19"/>
      <c r="J7730" s="21"/>
      <c r="K7730" s="19"/>
    </row>
    <row r="7731" spans="3:11" x14ac:dyDescent="0.2">
      <c r="C7731" s="19"/>
      <c r="D7731" s="19"/>
      <c r="E7731" s="19"/>
      <c r="F7731" s="20"/>
      <c r="G7731" s="19"/>
      <c r="H7731" s="19"/>
      <c r="I7731" s="19"/>
      <c r="J7731" s="21"/>
      <c r="K7731" s="19"/>
    </row>
    <row r="7732" spans="3:11" x14ac:dyDescent="0.2">
      <c r="C7732" s="19"/>
      <c r="D7732" s="19"/>
      <c r="E7732" s="19"/>
      <c r="F7732" s="20"/>
      <c r="G7732" s="19"/>
      <c r="H7732" s="19"/>
      <c r="I7732" s="19"/>
      <c r="J7732" s="21"/>
      <c r="K7732" s="19"/>
    </row>
    <row r="7733" spans="3:11" x14ac:dyDescent="0.2">
      <c r="C7733" s="19"/>
      <c r="D7733" s="19"/>
      <c r="E7733" s="19"/>
      <c r="F7733" s="20"/>
      <c r="G7733" s="19"/>
      <c r="H7733" s="19"/>
      <c r="I7733" s="19"/>
      <c r="J7733" s="21"/>
      <c r="K7733" s="19"/>
    </row>
    <row r="7734" spans="3:11" x14ac:dyDescent="0.2">
      <c r="C7734" s="19"/>
      <c r="D7734" s="19"/>
      <c r="E7734" s="19"/>
      <c r="F7734" s="20"/>
      <c r="G7734" s="19"/>
      <c r="H7734" s="19"/>
      <c r="I7734" s="19"/>
      <c r="J7734" s="21"/>
      <c r="K7734" s="19"/>
    </row>
    <row r="7735" spans="3:11" x14ac:dyDescent="0.2">
      <c r="C7735" s="19"/>
      <c r="D7735" s="19"/>
      <c r="E7735" s="19"/>
      <c r="F7735" s="20"/>
      <c r="G7735" s="19"/>
      <c r="H7735" s="19"/>
      <c r="I7735" s="19"/>
      <c r="J7735" s="21"/>
      <c r="K7735" s="19"/>
    </row>
    <row r="7736" spans="3:11" x14ac:dyDescent="0.2">
      <c r="C7736" s="19"/>
      <c r="D7736" s="19"/>
      <c r="E7736" s="19"/>
      <c r="F7736" s="20"/>
      <c r="G7736" s="19"/>
      <c r="H7736" s="19"/>
      <c r="I7736" s="19"/>
      <c r="J7736" s="21"/>
      <c r="K7736" s="19"/>
    </row>
    <row r="7737" spans="3:11" x14ac:dyDescent="0.2">
      <c r="C7737" s="19"/>
      <c r="D7737" s="19"/>
      <c r="E7737" s="19"/>
      <c r="F7737" s="20"/>
      <c r="G7737" s="19"/>
      <c r="H7737" s="19"/>
      <c r="I7737" s="19"/>
      <c r="J7737" s="21"/>
      <c r="K7737" s="19"/>
    </row>
    <row r="7738" spans="3:11" x14ac:dyDescent="0.2">
      <c r="C7738" s="19"/>
      <c r="D7738" s="19"/>
      <c r="E7738" s="19"/>
      <c r="F7738" s="20"/>
      <c r="G7738" s="19"/>
      <c r="H7738" s="19"/>
      <c r="I7738" s="19"/>
      <c r="J7738" s="21"/>
      <c r="K7738" s="19"/>
    </row>
    <row r="7739" spans="3:11" x14ac:dyDescent="0.2">
      <c r="C7739" s="19"/>
      <c r="D7739" s="19"/>
      <c r="E7739" s="19"/>
      <c r="F7739" s="20"/>
      <c r="G7739" s="19"/>
      <c r="H7739" s="19"/>
      <c r="I7739" s="19"/>
      <c r="J7739" s="21"/>
      <c r="K7739" s="19"/>
    </row>
    <row r="7740" spans="3:11" x14ac:dyDescent="0.2">
      <c r="C7740" s="19"/>
      <c r="D7740" s="19"/>
      <c r="E7740" s="19"/>
      <c r="F7740" s="20"/>
      <c r="G7740" s="19"/>
      <c r="H7740" s="19"/>
      <c r="I7740" s="19"/>
      <c r="J7740" s="21"/>
      <c r="K7740" s="19"/>
    </row>
    <row r="7741" spans="3:11" x14ac:dyDescent="0.2">
      <c r="C7741" s="19"/>
      <c r="D7741" s="19"/>
      <c r="E7741" s="19"/>
      <c r="F7741" s="20"/>
      <c r="G7741" s="19"/>
      <c r="H7741" s="19"/>
      <c r="I7741" s="19"/>
      <c r="J7741" s="21"/>
      <c r="K7741" s="19"/>
    </row>
    <row r="7742" spans="3:11" x14ac:dyDescent="0.2">
      <c r="C7742" s="19"/>
      <c r="D7742" s="19"/>
      <c r="E7742" s="19"/>
      <c r="F7742" s="20"/>
      <c r="G7742" s="19"/>
      <c r="H7742" s="19"/>
      <c r="I7742" s="19"/>
      <c r="J7742" s="21"/>
      <c r="K7742" s="19"/>
    </row>
    <row r="7743" spans="3:11" x14ac:dyDescent="0.2">
      <c r="C7743" s="19"/>
      <c r="D7743" s="19"/>
      <c r="E7743" s="19"/>
      <c r="F7743" s="20"/>
      <c r="G7743" s="19"/>
      <c r="H7743" s="19"/>
      <c r="I7743" s="19"/>
      <c r="J7743" s="21"/>
      <c r="K7743" s="19"/>
    </row>
    <row r="7744" spans="3:11" x14ac:dyDescent="0.2">
      <c r="C7744" s="19"/>
      <c r="D7744" s="19"/>
      <c r="E7744" s="19"/>
      <c r="F7744" s="20"/>
      <c r="G7744" s="19"/>
      <c r="H7744" s="19"/>
      <c r="I7744" s="19"/>
      <c r="J7744" s="21"/>
      <c r="K7744" s="19"/>
    </row>
    <row r="7745" spans="3:11" x14ac:dyDescent="0.2">
      <c r="C7745" s="19"/>
      <c r="D7745" s="19"/>
      <c r="E7745" s="19"/>
      <c r="F7745" s="20"/>
      <c r="G7745" s="19"/>
      <c r="H7745" s="19"/>
      <c r="I7745" s="19"/>
      <c r="J7745" s="21"/>
      <c r="K7745" s="19"/>
    </row>
    <row r="7746" spans="3:11" x14ac:dyDescent="0.2">
      <c r="C7746" s="19"/>
      <c r="D7746" s="19"/>
      <c r="E7746" s="19"/>
      <c r="F7746" s="20"/>
      <c r="G7746" s="19"/>
      <c r="H7746" s="19"/>
      <c r="I7746" s="19"/>
      <c r="J7746" s="21"/>
      <c r="K7746" s="19"/>
    </row>
    <row r="7747" spans="3:11" x14ac:dyDescent="0.2">
      <c r="C7747" s="19"/>
      <c r="D7747" s="19"/>
      <c r="E7747" s="19"/>
      <c r="F7747" s="20"/>
      <c r="G7747" s="19"/>
      <c r="H7747" s="19"/>
      <c r="I7747" s="19"/>
      <c r="J7747" s="21"/>
      <c r="K7747" s="19"/>
    </row>
    <row r="7748" spans="3:11" x14ac:dyDescent="0.2">
      <c r="C7748" s="19"/>
      <c r="D7748" s="19"/>
      <c r="E7748" s="19"/>
      <c r="F7748" s="20"/>
      <c r="G7748" s="19"/>
      <c r="H7748" s="19"/>
      <c r="I7748" s="19"/>
      <c r="J7748" s="21"/>
      <c r="K7748" s="19"/>
    </row>
    <row r="7749" spans="3:11" x14ac:dyDescent="0.2">
      <c r="C7749" s="19"/>
      <c r="D7749" s="19"/>
      <c r="E7749" s="19"/>
      <c r="F7749" s="20"/>
      <c r="G7749" s="19"/>
      <c r="H7749" s="19"/>
      <c r="I7749" s="19"/>
      <c r="J7749" s="21"/>
      <c r="K7749" s="19"/>
    </row>
    <row r="7750" spans="3:11" x14ac:dyDescent="0.2">
      <c r="C7750" s="19"/>
      <c r="D7750" s="19"/>
      <c r="E7750" s="19"/>
      <c r="F7750" s="20"/>
      <c r="G7750" s="19"/>
      <c r="H7750" s="19"/>
      <c r="I7750" s="19"/>
      <c r="J7750" s="21"/>
      <c r="K7750" s="19"/>
    </row>
    <row r="7751" spans="3:11" x14ac:dyDescent="0.2">
      <c r="C7751" s="19"/>
      <c r="D7751" s="19"/>
      <c r="E7751" s="19"/>
      <c r="F7751" s="20"/>
      <c r="G7751" s="19"/>
      <c r="H7751" s="19"/>
      <c r="I7751" s="19"/>
      <c r="J7751" s="21"/>
      <c r="K7751" s="19"/>
    </row>
    <row r="7752" spans="3:11" x14ac:dyDescent="0.2">
      <c r="C7752" s="19"/>
      <c r="D7752" s="19"/>
      <c r="E7752" s="19"/>
      <c r="F7752" s="20"/>
      <c r="G7752" s="19"/>
      <c r="H7752" s="19"/>
      <c r="I7752" s="19"/>
      <c r="J7752" s="21"/>
      <c r="K7752" s="19"/>
    </row>
    <row r="7753" spans="3:11" x14ac:dyDescent="0.2">
      <c r="C7753" s="19"/>
      <c r="D7753" s="19"/>
      <c r="E7753" s="19"/>
      <c r="F7753" s="20"/>
      <c r="G7753" s="19"/>
      <c r="H7753" s="19"/>
      <c r="I7753" s="19"/>
      <c r="J7753" s="21"/>
      <c r="K7753" s="19"/>
    </row>
    <row r="7754" spans="3:11" x14ac:dyDescent="0.2">
      <c r="C7754" s="19"/>
      <c r="D7754" s="19"/>
      <c r="E7754" s="19"/>
      <c r="F7754" s="20"/>
      <c r="G7754" s="19"/>
      <c r="H7754" s="19"/>
      <c r="I7754" s="19"/>
      <c r="J7754" s="21"/>
      <c r="K7754" s="19"/>
    </row>
    <row r="7755" spans="3:11" x14ac:dyDescent="0.2">
      <c r="C7755" s="19"/>
      <c r="D7755" s="19"/>
      <c r="E7755" s="19"/>
      <c r="F7755" s="20"/>
      <c r="G7755" s="19"/>
      <c r="H7755" s="19"/>
      <c r="I7755" s="19"/>
      <c r="J7755" s="21"/>
      <c r="K7755" s="19"/>
    </row>
    <row r="7756" spans="3:11" x14ac:dyDescent="0.2">
      <c r="C7756" s="19"/>
      <c r="D7756" s="19"/>
      <c r="E7756" s="19"/>
      <c r="F7756" s="20"/>
      <c r="G7756" s="19"/>
      <c r="H7756" s="19"/>
      <c r="I7756" s="19"/>
      <c r="J7756" s="21"/>
      <c r="K7756" s="19"/>
    </row>
    <row r="7757" spans="3:11" x14ac:dyDescent="0.2">
      <c r="C7757" s="19"/>
      <c r="D7757" s="19"/>
      <c r="E7757" s="19"/>
      <c r="F7757" s="20"/>
      <c r="G7757" s="19"/>
      <c r="H7757" s="19"/>
      <c r="I7757" s="19"/>
      <c r="J7757" s="21"/>
      <c r="K7757" s="19"/>
    </row>
    <row r="7758" spans="3:11" x14ac:dyDescent="0.2">
      <c r="C7758" s="19"/>
      <c r="D7758" s="19"/>
      <c r="E7758" s="19"/>
      <c r="F7758" s="20"/>
      <c r="G7758" s="19"/>
      <c r="H7758" s="19"/>
      <c r="I7758" s="19"/>
      <c r="J7758" s="21"/>
      <c r="K7758" s="19"/>
    </row>
    <row r="7759" spans="3:11" x14ac:dyDescent="0.2">
      <c r="C7759" s="19"/>
      <c r="D7759" s="19"/>
      <c r="E7759" s="19"/>
      <c r="F7759" s="20"/>
      <c r="G7759" s="19"/>
      <c r="H7759" s="19"/>
      <c r="I7759" s="19"/>
      <c r="J7759" s="21"/>
      <c r="K7759" s="19"/>
    </row>
    <row r="7760" spans="3:11" x14ac:dyDescent="0.2">
      <c r="C7760" s="19"/>
      <c r="D7760" s="19"/>
      <c r="E7760" s="19"/>
      <c r="F7760" s="20"/>
      <c r="G7760" s="19"/>
      <c r="H7760" s="19"/>
      <c r="I7760" s="19"/>
      <c r="J7760" s="21"/>
      <c r="K7760" s="19"/>
    </row>
    <row r="7761" spans="3:11" x14ac:dyDescent="0.2">
      <c r="C7761" s="19"/>
      <c r="D7761" s="19"/>
      <c r="E7761" s="19"/>
      <c r="F7761" s="20"/>
      <c r="G7761" s="19"/>
      <c r="H7761" s="19"/>
      <c r="I7761" s="19"/>
      <c r="J7761" s="21"/>
      <c r="K7761" s="19"/>
    </row>
    <row r="7762" spans="3:11" x14ac:dyDescent="0.2">
      <c r="C7762" s="19"/>
      <c r="D7762" s="19"/>
      <c r="E7762" s="19"/>
      <c r="F7762" s="20"/>
      <c r="G7762" s="19"/>
      <c r="H7762" s="19"/>
      <c r="I7762" s="19"/>
      <c r="J7762" s="21"/>
      <c r="K7762" s="19"/>
    </row>
    <row r="7763" spans="3:11" x14ac:dyDescent="0.2">
      <c r="C7763" s="19"/>
      <c r="D7763" s="19"/>
      <c r="E7763" s="19"/>
      <c r="F7763" s="20"/>
      <c r="G7763" s="19"/>
      <c r="H7763" s="19"/>
      <c r="I7763" s="19"/>
      <c r="J7763" s="21"/>
      <c r="K7763" s="19"/>
    </row>
    <row r="7764" spans="3:11" x14ac:dyDescent="0.2">
      <c r="C7764" s="19"/>
      <c r="D7764" s="19"/>
      <c r="E7764" s="19"/>
      <c r="F7764" s="20"/>
      <c r="G7764" s="19"/>
      <c r="H7764" s="19"/>
      <c r="I7764" s="19"/>
      <c r="J7764" s="21"/>
      <c r="K7764" s="19"/>
    </row>
    <row r="7765" spans="3:11" x14ac:dyDescent="0.2">
      <c r="C7765" s="19"/>
      <c r="D7765" s="19"/>
      <c r="E7765" s="19"/>
      <c r="F7765" s="20"/>
      <c r="G7765" s="19"/>
      <c r="H7765" s="19"/>
      <c r="I7765" s="19"/>
      <c r="J7765" s="21"/>
      <c r="K7765" s="19"/>
    </row>
    <row r="7766" spans="3:11" x14ac:dyDescent="0.2">
      <c r="C7766" s="19"/>
      <c r="D7766" s="19"/>
      <c r="E7766" s="19"/>
      <c r="F7766" s="20"/>
      <c r="G7766" s="19"/>
      <c r="H7766" s="19"/>
      <c r="I7766" s="19"/>
      <c r="J7766" s="21"/>
      <c r="K7766" s="19"/>
    </row>
    <row r="7767" spans="3:11" x14ac:dyDescent="0.2">
      <c r="C7767" s="19"/>
      <c r="D7767" s="19"/>
      <c r="E7767" s="19"/>
      <c r="F7767" s="20"/>
      <c r="G7767" s="19"/>
      <c r="H7767" s="19"/>
      <c r="I7767" s="19"/>
      <c r="J7767" s="21"/>
      <c r="K7767" s="19"/>
    </row>
    <row r="7768" spans="3:11" x14ac:dyDescent="0.2">
      <c r="C7768" s="19"/>
      <c r="D7768" s="19"/>
      <c r="E7768" s="19"/>
      <c r="F7768" s="20"/>
      <c r="G7768" s="19"/>
      <c r="H7768" s="19"/>
      <c r="I7768" s="19"/>
      <c r="J7768" s="21"/>
      <c r="K7768" s="19"/>
    </row>
    <row r="7769" spans="3:11" x14ac:dyDescent="0.2">
      <c r="C7769" s="19"/>
      <c r="D7769" s="19"/>
      <c r="E7769" s="19"/>
      <c r="F7769" s="20"/>
      <c r="G7769" s="19"/>
      <c r="H7769" s="19"/>
      <c r="I7769" s="19"/>
      <c r="J7769" s="19"/>
      <c r="K7769" s="19"/>
    </row>
    <row r="7770" spans="3:11" x14ac:dyDescent="0.2">
      <c r="C7770" s="19"/>
      <c r="D7770" s="19"/>
      <c r="E7770" s="19"/>
      <c r="F7770" s="20"/>
      <c r="G7770" s="19"/>
      <c r="H7770" s="19"/>
      <c r="I7770" s="19"/>
      <c r="J7770" s="19"/>
      <c r="K7770" s="19"/>
    </row>
    <row r="7771" spans="3:11" x14ac:dyDescent="0.2">
      <c r="C7771" s="19"/>
      <c r="D7771" s="19"/>
      <c r="E7771" s="19"/>
      <c r="F7771" s="20"/>
      <c r="G7771" s="19"/>
      <c r="H7771" s="19"/>
      <c r="I7771" s="19"/>
      <c r="J7771" s="21"/>
      <c r="K7771" s="19"/>
    </row>
    <row r="7772" spans="3:11" x14ac:dyDescent="0.2">
      <c r="C7772" s="19"/>
      <c r="D7772" s="19"/>
      <c r="E7772" s="19"/>
      <c r="F7772" s="20"/>
      <c r="G7772" s="19"/>
      <c r="H7772" s="19"/>
      <c r="I7772" s="19"/>
      <c r="J7772" s="21"/>
      <c r="K7772" s="19"/>
    </row>
    <row r="7773" spans="3:11" x14ac:dyDescent="0.2">
      <c r="C7773" s="19"/>
      <c r="D7773" s="19"/>
      <c r="E7773" s="19"/>
      <c r="F7773" s="20"/>
      <c r="G7773" s="19"/>
      <c r="H7773" s="19"/>
      <c r="I7773" s="19"/>
      <c r="J7773" s="21"/>
      <c r="K7773" s="19"/>
    </row>
    <row r="7774" spans="3:11" x14ac:dyDescent="0.2">
      <c r="C7774" s="19"/>
      <c r="D7774" s="19"/>
      <c r="E7774" s="19"/>
      <c r="F7774" s="20"/>
      <c r="G7774" s="19"/>
      <c r="H7774" s="19"/>
      <c r="I7774" s="19"/>
      <c r="J7774" s="21"/>
      <c r="K7774" s="19"/>
    </row>
    <row r="7775" spans="3:11" x14ac:dyDescent="0.2">
      <c r="C7775" s="19"/>
      <c r="D7775" s="19"/>
      <c r="E7775" s="19"/>
      <c r="F7775" s="20"/>
      <c r="G7775" s="19"/>
      <c r="H7775" s="19"/>
      <c r="I7775" s="19"/>
      <c r="J7775" s="21"/>
      <c r="K7775" s="19"/>
    </row>
    <row r="7776" spans="3:11" x14ac:dyDescent="0.2">
      <c r="C7776" s="19"/>
      <c r="D7776" s="19"/>
      <c r="E7776" s="19"/>
      <c r="F7776" s="20"/>
      <c r="G7776" s="19"/>
      <c r="H7776" s="19"/>
      <c r="I7776" s="19"/>
      <c r="J7776" s="21"/>
      <c r="K7776" s="19"/>
    </row>
    <row r="7777" spans="3:11" x14ac:dyDescent="0.2">
      <c r="C7777" s="19"/>
      <c r="D7777" s="19"/>
      <c r="E7777" s="19"/>
      <c r="F7777" s="20"/>
      <c r="G7777" s="19"/>
      <c r="H7777" s="19"/>
      <c r="I7777" s="19"/>
      <c r="J7777" s="21"/>
      <c r="K7777" s="19"/>
    </row>
    <row r="7778" spans="3:11" x14ac:dyDescent="0.2">
      <c r="C7778" s="19"/>
      <c r="D7778" s="19"/>
      <c r="E7778" s="19"/>
      <c r="F7778" s="20"/>
      <c r="G7778" s="19"/>
      <c r="H7778" s="19"/>
      <c r="I7778" s="19"/>
      <c r="J7778" s="21"/>
      <c r="K7778" s="19"/>
    </row>
    <row r="7779" spans="3:11" x14ac:dyDescent="0.2">
      <c r="C7779" s="19"/>
      <c r="D7779" s="19"/>
      <c r="E7779" s="19"/>
      <c r="F7779" s="20"/>
      <c r="G7779" s="19"/>
      <c r="H7779" s="19"/>
      <c r="I7779" s="19"/>
      <c r="J7779" s="21"/>
      <c r="K7779" s="19"/>
    </row>
    <row r="7780" spans="3:11" x14ac:dyDescent="0.2">
      <c r="C7780" s="19"/>
      <c r="D7780" s="19"/>
      <c r="E7780" s="19"/>
      <c r="F7780" s="20"/>
      <c r="G7780" s="19"/>
      <c r="H7780" s="19"/>
      <c r="I7780" s="19"/>
      <c r="J7780" s="21"/>
      <c r="K7780" s="19"/>
    </row>
    <row r="7781" spans="3:11" x14ac:dyDescent="0.2">
      <c r="C7781" s="19"/>
      <c r="D7781" s="19"/>
      <c r="E7781" s="19"/>
      <c r="F7781" s="20"/>
      <c r="G7781" s="19"/>
      <c r="H7781" s="19"/>
      <c r="I7781" s="19"/>
      <c r="J7781" s="21"/>
      <c r="K7781" s="19"/>
    </row>
    <row r="7782" spans="3:11" x14ac:dyDescent="0.2">
      <c r="C7782" s="19"/>
      <c r="D7782" s="19"/>
      <c r="E7782" s="19"/>
      <c r="F7782" s="20"/>
      <c r="G7782" s="19"/>
      <c r="H7782" s="19"/>
      <c r="I7782" s="19"/>
      <c r="J7782" s="21"/>
      <c r="K7782" s="19"/>
    </row>
    <row r="7783" spans="3:11" x14ac:dyDescent="0.2">
      <c r="C7783" s="19"/>
      <c r="D7783" s="19"/>
      <c r="E7783" s="19"/>
      <c r="F7783" s="20"/>
      <c r="G7783" s="19"/>
      <c r="H7783" s="19"/>
      <c r="I7783" s="19"/>
      <c r="J7783" s="21"/>
      <c r="K7783" s="19"/>
    </row>
    <row r="7784" spans="3:11" x14ac:dyDescent="0.2">
      <c r="C7784" s="19"/>
      <c r="D7784" s="19"/>
      <c r="E7784" s="19"/>
      <c r="F7784" s="20"/>
      <c r="G7784" s="19"/>
      <c r="H7784" s="19"/>
      <c r="I7784" s="19"/>
      <c r="J7784" s="21"/>
      <c r="K7784" s="19"/>
    </row>
    <row r="7785" spans="3:11" x14ac:dyDescent="0.2">
      <c r="C7785" s="19"/>
      <c r="D7785" s="19"/>
      <c r="E7785" s="19"/>
      <c r="F7785" s="20"/>
      <c r="G7785" s="19"/>
      <c r="H7785" s="19"/>
      <c r="I7785" s="19"/>
      <c r="J7785" s="21"/>
      <c r="K7785" s="19"/>
    </row>
    <row r="7786" spans="3:11" x14ac:dyDescent="0.2">
      <c r="C7786" s="19"/>
      <c r="D7786" s="19"/>
      <c r="E7786" s="19"/>
      <c r="F7786" s="20"/>
      <c r="G7786" s="19"/>
      <c r="H7786" s="19"/>
      <c r="I7786" s="19"/>
      <c r="J7786" s="21"/>
      <c r="K7786" s="19"/>
    </row>
    <row r="7787" spans="3:11" x14ac:dyDescent="0.2">
      <c r="C7787" s="19"/>
      <c r="D7787" s="19"/>
      <c r="E7787" s="19"/>
      <c r="F7787" s="20"/>
      <c r="G7787" s="19"/>
      <c r="H7787" s="19"/>
      <c r="I7787" s="19"/>
      <c r="J7787" s="21"/>
      <c r="K7787" s="19"/>
    </row>
    <row r="7788" spans="3:11" x14ac:dyDescent="0.2">
      <c r="C7788" s="19"/>
      <c r="D7788" s="19"/>
      <c r="E7788" s="19"/>
      <c r="F7788" s="20"/>
      <c r="G7788" s="19"/>
      <c r="H7788" s="19"/>
      <c r="I7788" s="19"/>
      <c r="J7788" s="21"/>
      <c r="K7788" s="19"/>
    </row>
    <row r="7789" spans="3:11" x14ac:dyDescent="0.2">
      <c r="C7789" s="19"/>
      <c r="D7789" s="19"/>
      <c r="E7789" s="19"/>
      <c r="F7789" s="20"/>
      <c r="G7789" s="19"/>
      <c r="H7789" s="19"/>
      <c r="I7789" s="19"/>
      <c r="J7789" s="21"/>
      <c r="K7789" s="19"/>
    </row>
    <row r="7790" spans="3:11" x14ac:dyDescent="0.2">
      <c r="C7790" s="19"/>
      <c r="D7790" s="19"/>
      <c r="E7790" s="19"/>
      <c r="F7790" s="20"/>
      <c r="G7790" s="19"/>
      <c r="H7790" s="19"/>
      <c r="I7790" s="19"/>
      <c r="J7790" s="21"/>
      <c r="K7790" s="19"/>
    </row>
    <row r="7791" spans="3:11" x14ac:dyDescent="0.2">
      <c r="C7791" s="19"/>
      <c r="D7791" s="19"/>
      <c r="E7791" s="19"/>
      <c r="F7791" s="20"/>
      <c r="G7791" s="19"/>
      <c r="H7791" s="19"/>
      <c r="I7791" s="19"/>
      <c r="J7791" s="21"/>
      <c r="K7791" s="19"/>
    </row>
    <row r="7792" spans="3:11" x14ac:dyDescent="0.2">
      <c r="C7792" s="19"/>
      <c r="D7792" s="19"/>
      <c r="E7792" s="19"/>
      <c r="F7792" s="20"/>
      <c r="G7792" s="19"/>
      <c r="H7792" s="19"/>
      <c r="I7792" s="19"/>
      <c r="J7792" s="21"/>
      <c r="K7792" s="19"/>
    </row>
    <row r="7793" spans="3:11" x14ac:dyDescent="0.2">
      <c r="C7793" s="19"/>
      <c r="D7793" s="19"/>
      <c r="E7793" s="19"/>
      <c r="F7793" s="20"/>
      <c r="G7793" s="19"/>
      <c r="H7793" s="19"/>
      <c r="I7793" s="19"/>
      <c r="J7793" s="21"/>
      <c r="K7793" s="19"/>
    </row>
    <row r="7794" spans="3:11" x14ac:dyDescent="0.2">
      <c r="C7794" s="19"/>
      <c r="D7794" s="19"/>
      <c r="E7794" s="19"/>
      <c r="F7794" s="20"/>
      <c r="G7794" s="19"/>
      <c r="H7794" s="19"/>
      <c r="I7794" s="19"/>
      <c r="J7794" s="21"/>
      <c r="K7794" s="19"/>
    </row>
    <row r="7795" spans="3:11" x14ac:dyDescent="0.2">
      <c r="C7795" s="19"/>
      <c r="D7795" s="19"/>
      <c r="E7795" s="19"/>
      <c r="F7795" s="20"/>
      <c r="G7795" s="19"/>
      <c r="H7795" s="19"/>
      <c r="I7795" s="19"/>
      <c r="J7795" s="21"/>
      <c r="K7795" s="19"/>
    </row>
    <row r="7796" spans="3:11" x14ac:dyDescent="0.2">
      <c r="C7796" s="19"/>
      <c r="D7796" s="19"/>
      <c r="E7796" s="19"/>
      <c r="F7796" s="20"/>
      <c r="G7796" s="19"/>
      <c r="H7796" s="19"/>
      <c r="I7796" s="19"/>
      <c r="J7796" s="21"/>
      <c r="K7796" s="19"/>
    </row>
    <row r="7797" spans="3:11" x14ac:dyDescent="0.2">
      <c r="C7797" s="19"/>
      <c r="D7797" s="19"/>
      <c r="E7797" s="19"/>
      <c r="F7797" s="20"/>
      <c r="G7797" s="19"/>
      <c r="H7797" s="19"/>
      <c r="I7797" s="19"/>
      <c r="J7797" s="21"/>
      <c r="K7797" s="19"/>
    </row>
    <row r="7798" spans="3:11" x14ac:dyDescent="0.2">
      <c r="C7798" s="19"/>
      <c r="D7798" s="19"/>
      <c r="E7798" s="19"/>
      <c r="F7798" s="20"/>
      <c r="G7798" s="19"/>
      <c r="H7798" s="19"/>
      <c r="I7798" s="19"/>
      <c r="J7798" s="21"/>
      <c r="K7798" s="19"/>
    </row>
    <row r="7799" spans="3:11" x14ac:dyDescent="0.2">
      <c r="C7799" s="19"/>
      <c r="D7799" s="19"/>
      <c r="E7799" s="19"/>
      <c r="F7799" s="20"/>
      <c r="G7799" s="19"/>
      <c r="H7799" s="19"/>
      <c r="I7799" s="19"/>
      <c r="J7799" s="21"/>
      <c r="K7799" s="19"/>
    </row>
    <row r="7800" spans="3:11" x14ac:dyDescent="0.2">
      <c r="C7800" s="19"/>
      <c r="D7800" s="19"/>
      <c r="E7800" s="19"/>
      <c r="F7800" s="20"/>
      <c r="G7800" s="19"/>
      <c r="H7800" s="19"/>
      <c r="I7800" s="19"/>
      <c r="J7800" s="21"/>
      <c r="K7800" s="19"/>
    </row>
    <row r="7801" spans="3:11" x14ac:dyDescent="0.2">
      <c r="C7801" s="19"/>
      <c r="D7801" s="19"/>
      <c r="E7801" s="19"/>
      <c r="F7801" s="20"/>
      <c r="G7801" s="19"/>
      <c r="H7801" s="19"/>
      <c r="I7801" s="19"/>
      <c r="J7801" s="21"/>
      <c r="K7801" s="19"/>
    </row>
    <row r="7802" spans="3:11" x14ac:dyDescent="0.2">
      <c r="C7802" s="19"/>
      <c r="D7802" s="19"/>
      <c r="E7802" s="19"/>
      <c r="F7802" s="20"/>
      <c r="G7802" s="19"/>
      <c r="H7802" s="19"/>
      <c r="I7802" s="19"/>
      <c r="J7802" s="21"/>
      <c r="K7802" s="19"/>
    </row>
    <row r="7803" spans="3:11" x14ac:dyDescent="0.2">
      <c r="C7803" s="19"/>
      <c r="D7803" s="19"/>
      <c r="E7803" s="19"/>
      <c r="F7803" s="20"/>
      <c r="G7803" s="19"/>
      <c r="H7803" s="19"/>
      <c r="I7803" s="19"/>
      <c r="J7803" s="21"/>
      <c r="K7803" s="19"/>
    </row>
    <row r="7804" spans="3:11" x14ac:dyDescent="0.2">
      <c r="C7804" s="19"/>
      <c r="D7804" s="19"/>
      <c r="E7804" s="19"/>
      <c r="F7804" s="20"/>
      <c r="G7804" s="19"/>
      <c r="H7804" s="19"/>
      <c r="I7804" s="19"/>
      <c r="J7804" s="21"/>
      <c r="K7804" s="19"/>
    </row>
    <row r="7805" spans="3:11" x14ac:dyDescent="0.2">
      <c r="C7805" s="19"/>
      <c r="D7805" s="19"/>
      <c r="E7805" s="19"/>
      <c r="F7805" s="20"/>
      <c r="G7805" s="19"/>
      <c r="H7805" s="19"/>
      <c r="I7805" s="19"/>
      <c r="J7805" s="21"/>
      <c r="K7805" s="19"/>
    </row>
    <row r="7806" spans="3:11" x14ac:dyDescent="0.2">
      <c r="C7806" s="19"/>
      <c r="D7806" s="19"/>
      <c r="E7806" s="19"/>
      <c r="F7806" s="20"/>
      <c r="G7806" s="19"/>
      <c r="H7806" s="19"/>
      <c r="I7806" s="19"/>
      <c r="J7806" s="19"/>
      <c r="K7806" s="19"/>
    </row>
    <row r="7807" spans="3:11" x14ac:dyDescent="0.2">
      <c r="C7807" s="19"/>
      <c r="D7807" s="19"/>
      <c r="E7807" s="19"/>
      <c r="F7807" s="20"/>
      <c r="G7807" s="19"/>
      <c r="H7807" s="19"/>
      <c r="I7807" s="19"/>
      <c r="J7807" s="21"/>
      <c r="K7807" s="19"/>
    </row>
    <row r="7808" spans="3:11" x14ac:dyDescent="0.2">
      <c r="C7808" s="19"/>
      <c r="D7808" s="19"/>
      <c r="E7808" s="19"/>
      <c r="F7808" s="20"/>
      <c r="G7808" s="19"/>
      <c r="H7808" s="19"/>
      <c r="I7808" s="19"/>
      <c r="J7808" s="21"/>
      <c r="K7808" s="19"/>
    </row>
    <row r="7809" spans="3:11" x14ac:dyDescent="0.2">
      <c r="C7809" s="19"/>
      <c r="D7809" s="19"/>
      <c r="E7809" s="19"/>
      <c r="F7809" s="20"/>
      <c r="G7809" s="19"/>
      <c r="H7809" s="19"/>
      <c r="I7809" s="19"/>
      <c r="J7809" s="21"/>
      <c r="K7809" s="19"/>
    </row>
    <row r="7810" spans="3:11" x14ac:dyDescent="0.2">
      <c r="C7810" s="19"/>
      <c r="D7810" s="19"/>
      <c r="E7810" s="19"/>
      <c r="F7810" s="20"/>
      <c r="G7810" s="19"/>
      <c r="H7810" s="19"/>
      <c r="I7810" s="19"/>
      <c r="J7810" s="21"/>
      <c r="K7810" s="19"/>
    </row>
    <row r="7811" spans="3:11" x14ac:dyDescent="0.2">
      <c r="C7811" s="19"/>
      <c r="D7811" s="19"/>
      <c r="E7811" s="19"/>
      <c r="F7811" s="20"/>
      <c r="G7811" s="19"/>
      <c r="H7811" s="19"/>
      <c r="I7811" s="19"/>
      <c r="J7811" s="21"/>
      <c r="K7811" s="19"/>
    </row>
    <row r="7812" spans="3:11" x14ac:dyDescent="0.2">
      <c r="C7812" s="19"/>
      <c r="D7812" s="19"/>
      <c r="E7812" s="19"/>
      <c r="F7812" s="20"/>
      <c r="G7812" s="19"/>
      <c r="H7812" s="19"/>
      <c r="I7812" s="19"/>
      <c r="J7812" s="21"/>
      <c r="K7812" s="19"/>
    </row>
    <row r="7813" spans="3:11" x14ac:dyDescent="0.2">
      <c r="C7813" s="19"/>
      <c r="D7813" s="19"/>
      <c r="E7813" s="19"/>
      <c r="F7813" s="20"/>
      <c r="G7813" s="19"/>
      <c r="H7813" s="19"/>
      <c r="I7813" s="19"/>
      <c r="J7813" s="21"/>
      <c r="K7813" s="19"/>
    </row>
    <row r="7814" spans="3:11" x14ac:dyDescent="0.2">
      <c r="C7814" s="19"/>
      <c r="D7814" s="19"/>
      <c r="E7814" s="19"/>
      <c r="F7814" s="20"/>
      <c r="G7814" s="19"/>
      <c r="H7814" s="19"/>
      <c r="I7814" s="19"/>
      <c r="J7814" s="21"/>
      <c r="K7814" s="19"/>
    </row>
    <row r="7815" spans="3:11" x14ac:dyDescent="0.2">
      <c r="C7815" s="19"/>
      <c r="D7815" s="19"/>
      <c r="E7815" s="19"/>
      <c r="F7815" s="20"/>
      <c r="G7815" s="19"/>
      <c r="H7815" s="19"/>
      <c r="I7815" s="19"/>
      <c r="J7815" s="21"/>
      <c r="K7815" s="19"/>
    </row>
    <row r="7816" spans="3:11" x14ac:dyDescent="0.2">
      <c r="C7816" s="19"/>
      <c r="D7816" s="19"/>
      <c r="E7816" s="19"/>
      <c r="F7816" s="20"/>
      <c r="G7816" s="19"/>
      <c r="H7816" s="19"/>
      <c r="I7816" s="19"/>
      <c r="J7816" s="21"/>
      <c r="K7816" s="19"/>
    </row>
    <row r="7817" spans="3:11" x14ac:dyDescent="0.2">
      <c r="C7817" s="19"/>
      <c r="D7817" s="19"/>
      <c r="E7817" s="19"/>
      <c r="F7817" s="20"/>
      <c r="G7817" s="19"/>
      <c r="H7817" s="19"/>
      <c r="I7817" s="19"/>
      <c r="J7817" s="21"/>
      <c r="K7817" s="19"/>
    </row>
    <row r="7818" spans="3:11" x14ac:dyDescent="0.2">
      <c r="C7818" s="19"/>
      <c r="D7818" s="19"/>
      <c r="E7818" s="19"/>
      <c r="F7818" s="20"/>
      <c r="G7818" s="19"/>
      <c r="H7818" s="19"/>
      <c r="I7818" s="19"/>
      <c r="J7818" s="21"/>
      <c r="K7818" s="19"/>
    </row>
    <row r="7819" spans="3:11" x14ac:dyDescent="0.2">
      <c r="C7819" s="19"/>
      <c r="D7819" s="19"/>
      <c r="E7819" s="19"/>
      <c r="F7819" s="20"/>
      <c r="G7819" s="19"/>
      <c r="H7819" s="19"/>
      <c r="I7819" s="19"/>
      <c r="J7819" s="21"/>
      <c r="K7819" s="19"/>
    </row>
    <row r="7820" spans="3:11" x14ac:dyDescent="0.2">
      <c r="C7820" s="19"/>
      <c r="D7820" s="19"/>
      <c r="E7820" s="19"/>
      <c r="F7820" s="20"/>
      <c r="G7820" s="19"/>
      <c r="H7820" s="19"/>
      <c r="I7820" s="19"/>
      <c r="J7820" s="21"/>
      <c r="K7820" s="19"/>
    </row>
    <row r="7821" spans="3:11" x14ac:dyDescent="0.2">
      <c r="C7821" s="19"/>
      <c r="D7821" s="19"/>
      <c r="E7821" s="19"/>
      <c r="F7821" s="20"/>
      <c r="G7821" s="19"/>
      <c r="H7821" s="19"/>
      <c r="I7821" s="19"/>
      <c r="J7821" s="21"/>
      <c r="K7821" s="19"/>
    </row>
    <row r="7822" spans="3:11" x14ac:dyDescent="0.2">
      <c r="C7822" s="19"/>
      <c r="D7822" s="19"/>
      <c r="E7822" s="19"/>
      <c r="F7822" s="20"/>
      <c r="G7822" s="19"/>
      <c r="H7822" s="19"/>
      <c r="I7822" s="19"/>
      <c r="J7822" s="21"/>
      <c r="K7822" s="19"/>
    </row>
    <row r="7823" spans="3:11" x14ac:dyDescent="0.2">
      <c r="C7823" s="19"/>
      <c r="D7823" s="19"/>
      <c r="E7823" s="19"/>
      <c r="F7823" s="20"/>
      <c r="G7823" s="19"/>
      <c r="H7823" s="19"/>
      <c r="I7823" s="19"/>
      <c r="J7823" s="21"/>
      <c r="K7823" s="19"/>
    </row>
    <row r="7824" spans="3:11" x14ac:dyDescent="0.2">
      <c r="C7824" s="19"/>
      <c r="D7824" s="19"/>
      <c r="E7824" s="19"/>
      <c r="F7824" s="20"/>
      <c r="G7824" s="19"/>
      <c r="H7824" s="19"/>
      <c r="I7824" s="19"/>
      <c r="J7824" s="21"/>
      <c r="K7824" s="19"/>
    </row>
    <row r="7825" spans="3:11" x14ac:dyDescent="0.2">
      <c r="C7825" s="19"/>
      <c r="D7825" s="19"/>
      <c r="E7825" s="19"/>
      <c r="F7825" s="20"/>
      <c r="G7825" s="19"/>
      <c r="H7825" s="19"/>
      <c r="I7825" s="19"/>
      <c r="J7825" s="21"/>
      <c r="K7825" s="19"/>
    </row>
    <row r="7826" spans="3:11" x14ac:dyDescent="0.2">
      <c r="C7826" s="19"/>
      <c r="D7826" s="19"/>
      <c r="E7826" s="19"/>
      <c r="F7826" s="20"/>
      <c r="G7826" s="19"/>
      <c r="H7826" s="19"/>
      <c r="I7826" s="19"/>
      <c r="J7826" s="21"/>
      <c r="K7826" s="19"/>
    </row>
    <row r="7827" spans="3:11" x14ac:dyDescent="0.2">
      <c r="C7827" s="19"/>
      <c r="D7827" s="19"/>
      <c r="E7827" s="19"/>
      <c r="F7827" s="20"/>
      <c r="G7827" s="19"/>
      <c r="H7827" s="19"/>
      <c r="I7827" s="19"/>
      <c r="J7827" s="21"/>
      <c r="K7827" s="19"/>
    </row>
    <row r="7828" spans="3:11" x14ac:dyDescent="0.2">
      <c r="C7828" s="19"/>
      <c r="D7828" s="19"/>
      <c r="E7828" s="19"/>
      <c r="F7828" s="20"/>
      <c r="G7828" s="19"/>
      <c r="H7828" s="19"/>
      <c r="I7828" s="19"/>
      <c r="J7828" s="21"/>
      <c r="K7828" s="19"/>
    </row>
    <row r="7829" spans="3:11" x14ac:dyDescent="0.2">
      <c r="C7829" s="19"/>
      <c r="D7829" s="19"/>
      <c r="E7829" s="19"/>
      <c r="F7829" s="20"/>
      <c r="G7829" s="19"/>
      <c r="H7829" s="19"/>
      <c r="I7829" s="19"/>
      <c r="J7829" s="21"/>
      <c r="K7829" s="19"/>
    </row>
    <row r="7830" spans="3:11" x14ac:dyDescent="0.2">
      <c r="C7830" s="19"/>
      <c r="D7830" s="19"/>
      <c r="E7830" s="19"/>
      <c r="F7830" s="20"/>
      <c r="G7830" s="19"/>
      <c r="H7830" s="19"/>
      <c r="I7830" s="19"/>
      <c r="J7830" s="21"/>
      <c r="K7830" s="19"/>
    </row>
    <row r="7831" spans="3:11" x14ac:dyDescent="0.2">
      <c r="C7831" s="19"/>
      <c r="D7831" s="19"/>
      <c r="E7831" s="19"/>
      <c r="F7831" s="20"/>
      <c r="G7831" s="19"/>
      <c r="H7831" s="19"/>
      <c r="I7831" s="19"/>
      <c r="J7831" s="21"/>
      <c r="K7831" s="19"/>
    </row>
    <row r="7832" spans="3:11" x14ac:dyDescent="0.2">
      <c r="C7832" s="19"/>
      <c r="D7832" s="19"/>
      <c r="E7832" s="19"/>
      <c r="F7832" s="20"/>
      <c r="G7832" s="19"/>
      <c r="H7832" s="19"/>
      <c r="I7832" s="19"/>
      <c r="J7832" s="21"/>
      <c r="K7832" s="19"/>
    </row>
    <row r="7833" spans="3:11" x14ac:dyDescent="0.2">
      <c r="C7833" s="19"/>
      <c r="D7833" s="19"/>
      <c r="E7833" s="19"/>
      <c r="F7833" s="20"/>
      <c r="G7833" s="19"/>
      <c r="H7833" s="19"/>
      <c r="I7833" s="19"/>
      <c r="J7833" s="21"/>
      <c r="K7833" s="19"/>
    </row>
    <row r="7834" spans="3:11" x14ac:dyDescent="0.2">
      <c r="C7834" s="19"/>
      <c r="D7834" s="19"/>
      <c r="E7834" s="19"/>
      <c r="F7834" s="20"/>
      <c r="G7834" s="19"/>
      <c r="H7834" s="19"/>
      <c r="I7834" s="19"/>
      <c r="J7834" s="21"/>
      <c r="K7834" s="19"/>
    </row>
    <row r="7835" spans="3:11" x14ac:dyDescent="0.2">
      <c r="C7835" s="19"/>
      <c r="D7835" s="19"/>
      <c r="E7835" s="19"/>
      <c r="F7835" s="20"/>
      <c r="G7835" s="19"/>
      <c r="H7835" s="19"/>
      <c r="I7835" s="19"/>
      <c r="J7835" s="21"/>
      <c r="K7835" s="19"/>
    </row>
    <row r="7836" spans="3:11" x14ac:dyDescent="0.2">
      <c r="C7836" s="19"/>
      <c r="D7836" s="19"/>
      <c r="E7836" s="19"/>
      <c r="F7836" s="20"/>
      <c r="G7836" s="19"/>
      <c r="H7836" s="19"/>
      <c r="I7836" s="19"/>
      <c r="J7836" s="21"/>
      <c r="K7836" s="19"/>
    </row>
    <row r="7837" spans="3:11" x14ac:dyDescent="0.2">
      <c r="C7837" s="19"/>
      <c r="D7837" s="19"/>
      <c r="E7837" s="19"/>
      <c r="F7837" s="20"/>
      <c r="G7837" s="19"/>
      <c r="H7837" s="19"/>
      <c r="I7837" s="19"/>
      <c r="J7837" s="21"/>
      <c r="K7837" s="19"/>
    </row>
    <row r="7838" spans="3:11" x14ac:dyDescent="0.2">
      <c r="C7838" s="19"/>
      <c r="D7838" s="19"/>
      <c r="E7838" s="19"/>
      <c r="F7838" s="20"/>
      <c r="G7838" s="19"/>
      <c r="H7838" s="19"/>
      <c r="I7838" s="19"/>
      <c r="J7838" s="21"/>
      <c r="K7838" s="19"/>
    </row>
    <row r="7839" spans="3:11" x14ac:dyDescent="0.2">
      <c r="C7839" s="19"/>
      <c r="D7839" s="19"/>
      <c r="E7839" s="19"/>
      <c r="F7839" s="20"/>
      <c r="G7839" s="19"/>
      <c r="H7839" s="19"/>
      <c r="I7839" s="19"/>
      <c r="J7839" s="21"/>
      <c r="K7839" s="19"/>
    </row>
    <row r="7840" spans="3:11" x14ac:dyDescent="0.2">
      <c r="C7840" s="19"/>
      <c r="D7840" s="19"/>
      <c r="E7840" s="19"/>
      <c r="F7840" s="20"/>
      <c r="G7840" s="19"/>
      <c r="H7840" s="19"/>
      <c r="I7840" s="19"/>
      <c r="J7840" s="21"/>
      <c r="K7840" s="19"/>
    </row>
    <row r="7841" spans="3:11" x14ac:dyDescent="0.2">
      <c r="C7841" s="19"/>
      <c r="D7841" s="19"/>
      <c r="E7841" s="19"/>
      <c r="F7841" s="20"/>
      <c r="G7841" s="19"/>
      <c r="H7841" s="19"/>
      <c r="I7841" s="19"/>
      <c r="J7841" s="21"/>
      <c r="K7841" s="19"/>
    </row>
    <row r="7842" spans="3:11" x14ac:dyDescent="0.2">
      <c r="C7842" s="19"/>
      <c r="D7842" s="19"/>
      <c r="E7842" s="19"/>
      <c r="F7842" s="20"/>
      <c r="G7842" s="19"/>
      <c r="H7842" s="19"/>
      <c r="I7842" s="19"/>
      <c r="J7842" s="21"/>
      <c r="K7842" s="19"/>
    </row>
    <row r="7843" spans="3:11" x14ac:dyDescent="0.2">
      <c r="C7843" s="19"/>
      <c r="D7843" s="19"/>
      <c r="E7843" s="19"/>
      <c r="F7843" s="20"/>
      <c r="G7843" s="19"/>
      <c r="H7843" s="19"/>
      <c r="I7843" s="19"/>
      <c r="J7843" s="21"/>
      <c r="K7843" s="19"/>
    </row>
    <row r="7844" spans="3:11" x14ac:dyDescent="0.2">
      <c r="C7844" s="19"/>
      <c r="D7844" s="19"/>
      <c r="E7844" s="19"/>
      <c r="F7844" s="20"/>
      <c r="G7844" s="19"/>
      <c r="H7844" s="19"/>
      <c r="I7844" s="19"/>
      <c r="J7844" s="21"/>
      <c r="K7844" s="19"/>
    </row>
    <row r="7845" spans="3:11" x14ac:dyDescent="0.2">
      <c r="C7845" s="19"/>
      <c r="D7845" s="19"/>
      <c r="E7845" s="19"/>
      <c r="F7845" s="20"/>
      <c r="G7845" s="19"/>
      <c r="H7845" s="19"/>
      <c r="I7845" s="19"/>
      <c r="J7845" s="21"/>
      <c r="K7845" s="19"/>
    </row>
    <row r="7846" spans="3:11" x14ac:dyDescent="0.2">
      <c r="C7846" s="19"/>
      <c r="D7846" s="19"/>
      <c r="E7846" s="19"/>
      <c r="F7846" s="20"/>
      <c r="G7846" s="19"/>
      <c r="H7846" s="19"/>
      <c r="I7846" s="19"/>
      <c r="J7846" s="21"/>
      <c r="K7846" s="19"/>
    </row>
    <row r="7847" spans="3:11" x14ac:dyDescent="0.2">
      <c r="C7847" s="19"/>
      <c r="D7847" s="19"/>
      <c r="E7847" s="19"/>
      <c r="F7847" s="20"/>
      <c r="G7847" s="19"/>
      <c r="H7847" s="19"/>
      <c r="I7847" s="19"/>
      <c r="J7847" s="21"/>
      <c r="K7847" s="19"/>
    </row>
    <row r="7848" spans="3:11" x14ac:dyDescent="0.2">
      <c r="C7848" s="19"/>
      <c r="D7848" s="19"/>
      <c r="E7848" s="19"/>
      <c r="F7848" s="20"/>
      <c r="G7848" s="19"/>
      <c r="H7848" s="19"/>
      <c r="I7848" s="19"/>
      <c r="J7848" s="21"/>
      <c r="K7848" s="19"/>
    </row>
    <row r="7849" spans="3:11" x14ac:dyDescent="0.2">
      <c r="C7849" s="19"/>
      <c r="D7849" s="19"/>
      <c r="E7849" s="19"/>
      <c r="F7849" s="20"/>
      <c r="G7849" s="19"/>
      <c r="H7849" s="19"/>
      <c r="I7849" s="19"/>
      <c r="J7849" s="21"/>
      <c r="K7849" s="19"/>
    </row>
    <row r="7850" spans="3:11" x14ac:dyDescent="0.2">
      <c r="C7850" s="19"/>
      <c r="D7850" s="19"/>
      <c r="E7850" s="19"/>
      <c r="F7850" s="20"/>
      <c r="G7850" s="19"/>
      <c r="H7850" s="19"/>
      <c r="I7850" s="19"/>
      <c r="J7850" s="21"/>
      <c r="K7850" s="19"/>
    </row>
    <row r="7851" spans="3:11" x14ac:dyDescent="0.2">
      <c r="C7851" s="19"/>
      <c r="D7851" s="19"/>
      <c r="E7851" s="19"/>
      <c r="F7851" s="20"/>
      <c r="G7851" s="19"/>
      <c r="H7851" s="19"/>
      <c r="I7851" s="19"/>
      <c r="J7851" s="21"/>
      <c r="K7851" s="19"/>
    </row>
    <row r="7852" spans="3:11" x14ac:dyDescent="0.2">
      <c r="C7852" s="19"/>
      <c r="D7852" s="19"/>
      <c r="E7852" s="19"/>
      <c r="F7852" s="20"/>
      <c r="G7852" s="19"/>
      <c r="H7852" s="19"/>
      <c r="I7852" s="19"/>
      <c r="J7852" s="19"/>
      <c r="K7852" s="19"/>
    </row>
    <row r="7853" spans="3:11" x14ac:dyDescent="0.2">
      <c r="C7853" s="19"/>
      <c r="D7853" s="19"/>
      <c r="E7853" s="19"/>
      <c r="F7853" s="20"/>
      <c r="G7853" s="19"/>
      <c r="H7853" s="19"/>
      <c r="I7853" s="19"/>
      <c r="J7853" s="19"/>
      <c r="K7853" s="19"/>
    </row>
    <row r="7854" spans="3:11" x14ac:dyDescent="0.2">
      <c r="C7854" s="19"/>
      <c r="D7854" s="19"/>
      <c r="E7854" s="19"/>
      <c r="F7854" s="20"/>
      <c r="G7854" s="19"/>
      <c r="H7854" s="19"/>
      <c r="I7854" s="19"/>
      <c r="J7854" s="19"/>
      <c r="K7854" s="19"/>
    </row>
    <row r="7855" spans="3:11" x14ac:dyDescent="0.2">
      <c r="C7855" s="19"/>
      <c r="D7855" s="19"/>
      <c r="E7855" s="19"/>
      <c r="F7855" s="20"/>
      <c r="G7855" s="19"/>
      <c r="H7855" s="19"/>
      <c r="I7855" s="19"/>
      <c r="J7855" s="19"/>
      <c r="K7855" s="19"/>
    </row>
    <row r="7856" spans="3:11" x14ac:dyDescent="0.2">
      <c r="C7856" s="19"/>
      <c r="D7856" s="19"/>
      <c r="E7856" s="19"/>
      <c r="F7856" s="20"/>
      <c r="G7856" s="19"/>
      <c r="H7856" s="19"/>
      <c r="I7856" s="19"/>
      <c r="J7856" s="19"/>
      <c r="K7856" s="19"/>
    </row>
    <row r="7857" spans="3:11" x14ac:dyDescent="0.2">
      <c r="C7857" s="19"/>
      <c r="D7857" s="19"/>
      <c r="E7857" s="19"/>
      <c r="F7857" s="20"/>
      <c r="G7857" s="19"/>
      <c r="H7857" s="19"/>
      <c r="I7857" s="19"/>
      <c r="J7857" s="21"/>
      <c r="K7857" s="19"/>
    </row>
    <row r="7858" spans="3:11" x14ac:dyDescent="0.2">
      <c r="C7858" s="19"/>
      <c r="D7858" s="19"/>
      <c r="E7858" s="19"/>
      <c r="F7858" s="20"/>
      <c r="G7858" s="19"/>
      <c r="H7858" s="19"/>
      <c r="I7858" s="19"/>
      <c r="J7858" s="21"/>
      <c r="K7858" s="19"/>
    </row>
    <row r="7859" spans="3:11" x14ac:dyDescent="0.2">
      <c r="C7859" s="19"/>
      <c r="D7859" s="19"/>
      <c r="E7859" s="19"/>
      <c r="F7859" s="20"/>
      <c r="G7859" s="19"/>
      <c r="H7859" s="19"/>
      <c r="I7859" s="19"/>
      <c r="J7859" s="21"/>
      <c r="K7859" s="19"/>
    </row>
    <row r="7860" spans="3:11" x14ac:dyDescent="0.2">
      <c r="C7860" s="19"/>
      <c r="D7860" s="19"/>
      <c r="E7860" s="19"/>
      <c r="F7860" s="20"/>
      <c r="G7860" s="19"/>
      <c r="H7860" s="19"/>
      <c r="I7860" s="19"/>
      <c r="J7860" s="21"/>
      <c r="K7860" s="19"/>
    </row>
    <row r="7861" spans="3:11" x14ac:dyDescent="0.2">
      <c r="C7861" s="19"/>
      <c r="D7861" s="19"/>
      <c r="E7861" s="19"/>
      <c r="F7861" s="20"/>
      <c r="G7861" s="19"/>
      <c r="H7861" s="19"/>
      <c r="I7861" s="19"/>
      <c r="J7861" s="21"/>
      <c r="K7861" s="19"/>
    </row>
    <row r="7862" spans="3:11" x14ac:dyDescent="0.2">
      <c r="C7862" s="19"/>
      <c r="D7862" s="19"/>
      <c r="E7862" s="19"/>
      <c r="F7862" s="20"/>
      <c r="G7862" s="19"/>
      <c r="H7862" s="19"/>
      <c r="I7862" s="19"/>
      <c r="J7862" s="21"/>
      <c r="K7862" s="19"/>
    </row>
    <row r="7863" spans="3:11" x14ac:dyDescent="0.2">
      <c r="C7863" s="19"/>
      <c r="D7863" s="19"/>
      <c r="E7863" s="19"/>
      <c r="F7863" s="20"/>
      <c r="G7863" s="19"/>
      <c r="H7863" s="19"/>
      <c r="I7863" s="19"/>
      <c r="J7863" s="21"/>
      <c r="K7863" s="19"/>
    </row>
    <row r="7864" spans="3:11" x14ac:dyDescent="0.2">
      <c r="C7864" s="19"/>
      <c r="D7864" s="19"/>
      <c r="E7864" s="19"/>
      <c r="F7864" s="20"/>
      <c r="G7864" s="19"/>
      <c r="H7864" s="19"/>
      <c r="I7864" s="19"/>
      <c r="J7864" s="21"/>
      <c r="K7864" s="19"/>
    </row>
    <row r="7865" spans="3:11" x14ac:dyDescent="0.2">
      <c r="C7865" s="19"/>
      <c r="D7865" s="19"/>
      <c r="E7865" s="19"/>
      <c r="F7865" s="20"/>
      <c r="G7865" s="19"/>
      <c r="H7865" s="19"/>
      <c r="I7865" s="19"/>
      <c r="J7865" s="21"/>
      <c r="K7865" s="19"/>
    </row>
    <row r="7866" spans="3:11" x14ac:dyDescent="0.2">
      <c r="C7866" s="19"/>
      <c r="D7866" s="19"/>
      <c r="E7866" s="19"/>
      <c r="F7866" s="20"/>
      <c r="G7866" s="19"/>
      <c r="H7866" s="19"/>
      <c r="I7866" s="19"/>
      <c r="J7866" s="21"/>
      <c r="K7866" s="19"/>
    </row>
    <row r="7867" spans="3:11" x14ac:dyDescent="0.2">
      <c r="C7867" s="19"/>
      <c r="D7867" s="19"/>
      <c r="E7867" s="19"/>
      <c r="F7867" s="20"/>
      <c r="G7867" s="19"/>
      <c r="H7867" s="19"/>
      <c r="I7867" s="19"/>
      <c r="J7867" s="21"/>
      <c r="K7867" s="19"/>
    </row>
    <row r="7868" spans="3:11" x14ac:dyDescent="0.2">
      <c r="C7868" s="19"/>
      <c r="D7868" s="19"/>
      <c r="E7868" s="19"/>
      <c r="F7868" s="20"/>
      <c r="G7868" s="19"/>
      <c r="H7868" s="19"/>
      <c r="I7868" s="19"/>
      <c r="J7868" s="21"/>
      <c r="K7868" s="19"/>
    </row>
    <row r="7869" spans="3:11" x14ac:dyDescent="0.2">
      <c r="C7869" s="19"/>
      <c r="D7869" s="19"/>
      <c r="E7869" s="19"/>
      <c r="F7869" s="20"/>
      <c r="G7869" s="19"/>
      <c r="H7869" s="19"/>
      <c r="I7869" s="19"/>
      <c r="J7869" s="21"/>
      <c r="K7869" s="19"/>
    </row>
    <row r="7870" spans="3:11" x14ac:dyDescent="0.2">
      <c r="C7870" s="19"/>
      <c r="D7870" s="19"/>
      <c r="E7870" s="19"/>
      <c r="F7870" s="20"/>
      <c r="G7870" s="19"/>
      <c r="H7870" s="19"/>
      <c r="I7870" s="19"/>
      <c r="J7870" s="21"/>
      <c r="K7870" s="19"/>
    </row>
    <row r="7871" spans="3:11" x14ac:dyDescent="0.2">
      <c r="C7871" s="19"/>
      <c r="D7871" s="19"/>
      <c r="E7871" s="19"/>
      <c r="F7871" s="20"/>
      <c r="G7871" s="19"/>
      <c r="H7871" s="19"/>
      <c r="I7871" s="19"/>
      <c r="J7871" s="21"/>
      <c r="K7871" s="19"/>
    </row>
    <row r="7872" spans="3:11" x14ac:dyDescent="0.2">
      <c r="C7872" s="19"/>
      <c r="D7872" s="19"/>
      <c r="E7872" s="19"/>
      <c r="F7872" s="20"/>
      <c r="G7872" s="19"/>
      <c r="H7872" s="19"/>
      <c r="I7872" s="19"/>
      <c r="J7872" s="21"/>
      <c r="K7872" s="19"/>
    </row>
    <row r="7873" spans="3:11" x14ac:dyDescent="0.2">
      <c r="C7873" s="19"/>
      <c r="D7873" s="19"/>
      <c r="E7873" s="19"/>
      <c r="F7873" s="20"/>
      <c r="G7873" s="19"/>
      <c r="H7873" s="19"/>
      <c r="I7873" s="19"/>
      <c r="J7873" s="21"/>
      <c r="K7873" s="19"/>
    </row>
    <row r="7874" spans="3:11" x14ac:dyDescent="0.2">
      <c r="C7874" s="19"/>
      <c r="D7874" s="19"/>
      <c r="E7874" s="19"/>
      <c r="F7874" s="20"/>
      <c r="G7874" s="19"/>
      <c r="H7874" s="19"/>
      <c r="I7874" s="19"/>
      <c r="J7874" s="21"/>
      <c r="K7874" s="19"/>
    </row>
    <row r="7875" spans="3:11" x14ac:dyDescent="0.2">
      <c r="C7875" s="19"/>
      <c r="D7875" s="19"/>
      <c r="E7875" s="19"/>
      <c r="F7875" s="20"/>
      <c r="G7875" s="19"/>
      <c r="H7875" s="19"/>
      <c r="I7875" s="19"/>
      <c r="J7875" s="21"/>
      <c r="K7875" s="19"/>
    </row>
    <row r="7876" spans="3:11" x14ac:dyDescent="0.2">
      <c r="C7876" s="19"/>
      <c r="D7876" s="19"/>
      <c r="E7876" s="19"/>
      <c r="F7876" s="20"/>
      <c r="G7876" s="19"/>
      <c r="H7876" s="19"/>
      <c r="I7876" s="19"/>
      <c r="J7876" s="21"/>
      <c r="K7876" s="19"/>
    </row>
    <row r="7877" spans="3:11" x14ac:dyDescent="0.2">
      <c r="C7877" s="19"/>
      <c r="D7877" s="19"/>
      <c r="E7877" s="19"/>
      <c r="F7877" s="20"/>
      <c r="G7877" s="19"/>
      <c r="H7877" s="19"/>
      <c r="I7877" s="19"/>
      <c r="J7877" s="21"/>
      <c r="K7877" s="19"/>
    </row>
    <row r="7878" spans="3:11" x14ac:dyDescent="0.2">
      <c r="C7878" s="19"/>
      <c r="D7878" s="19"/>
      <c r="E7878" s="19"/>
      <c r="F7878" s="20"/>
      <c r="G7878" s="19"/>
      <c r="H7878" s="19"/>
      <c r="I7878" s="19"/>
      <c r="J7878" s="21"/>
      <c r="K7878" s="19"/>
    </row>
    <row r="7879" spans="3:11" x14ac:dyDescent="0.2">
      <c r="C7879" s="19"/>
      <c r="D7879" s="19"/>
      <c r="E7879" s="19"/>
      <c r="F7879" s="20"/>
      <c r="G7879" s="19"/>
      <c r="H7879" s="19"/>
      <c r="I7879" s="19"/>
      <c r="J7879" s="21"/>
      <c r="K7879" s="19"/>
    </row>
    <row r="7880" spans="3:11" x14ac:dyDescent="0.2">
      <c r="C7880" s="19"/>
      <c r="D7880" s="19"/>
      <c r="E7880" s="19"/>
      <c r="F7880" s="20"/>
      <c r="G7880" s="19"/>
      <c r="H7880" s="19"/>
      <c r="I7880" s="19"/>
      <c r="J7880" s="21"/>
      <c r="K7880" s="19"/>
    </row>
    <row r="7881" spans="3:11" x14ac:dyDescent="0.2">
      <c r="C7881" s="19"/>
      <c r="D7881" s="19"/>
      <c r="E7881" s="19"/>
      <c r="F7881" s="20"/>
      <c r="G7881" s="19"/>
      <c r="H7881" s="19"/>
      <c r="I7881" s="19"/>
      <c r="J7881" s="21"/>
      <c r="K7881" s="19"/>
    </row>
    <row r="7882" spans="3:11" x14ac:dyDescent="0.2">
      <c r="C7882" s="19"/>
      <c r="D7882" s="19"/>
      <c r="E7882" s="19"/>
      <c r="F7882" s="20"/>
      <c r="G7882" s="19"/>
      <c r="H7882" s="19"/>
      <c r="I7882" s="19"/>
      <c r="J7882" s="21"/>
      <c r="K7882" s="19"/>
    </row>
    <row r="7883" spans="3:11" x14ac:dyDescent="0.2">
      <c r="C7883" s="19"/>
      <c r="D7883" s="19"/>
      <c r="E7883" s="19"/>
      <c r="F7883" s="20"/>
      <c r="G7883" s="19"/>
      <c r="H7883" s="19"/>
      <c r="I7883" s="19"/>
      <c r="J7883" s="21"/>
      <c r="K7883" s="19"/>
    </row>
    <row r="7884" spans="3:11" x14ac:dyDescent="0.2">
      <c r="C7884" s="19"/>
      <c r="D7884" s="19"/>
      <c r="E7884" s="19"/>
      <c r="F7884" s="20"/>
      <c r="G7884" s="19"/>
      <c r="H7884" s="19"/>
      <c r="I7884" s="19"/>
      <c r="J7884" s="21"/>
      <c r="K7884" s="19"/>
    </row>
    <row r="7885" spans="3:11" x14ac:dyDescent="0.2">
      <c r="C7885" s="19"/>
      <c r="D7885" s="19"/>
      <c r="E7885" s="19"/>
      <c r="F7885" s="20"/>
      <c r="G7885" s="19"/>
      <c r="H7885" s="19"/>
      <c r="I7885" s="19"/>
      <c r="J7885" s="21"/>
      <c r="K7885" s="19"/>
    </row>
    <row r="7886" spans="3:11" x14ac:dyDescent="0.2">
      <c r="C7886" s="19"/>
      <c r="D7886" s="19"/>
      <c r="E7886" s="19"/>
      <c r="F7886" s="20"/>
      <c r="G7886" s="19"/>
      <c r="H7886" s="19"/>
      <c r="I7886" s="19"/>
      <c r="J7886" s="21"/>
      <c r="K7886" s="19"/>
    </row>
    <row r="7887" spans="3:11" x14ac:dyDescent="0.2">
      <c r="C7887" s="19"/>
      <c r="D7887" s="19"/>
      <c r="E7887" s="19"/>
      <c r="F7887" s="20"/>
      <c r="G7887" s="19"/>
      <c r="H7887" s="19"/>
      <c r="I7887" s="19"/>
      <c r="J7887" s="21"/>
      <c r="K7887" s="19"/>
    </row>
    <row r="7888" spans="3:11" x14ac:dyDescent="0.2">
      <c r="C7888" s="19"/>
      <c r="D7888" s="19"/>
      <c r="E7888" s="19"/>
      <c r="F7888" s="20"/>
      <c r="G7888" s="19"/>
      <c r="H7888" s="19"/>
      <c r="I7888" s="19"/>
      <c r="J7888" s="21"/>
      <c r="K7888" s="19"/>
    </row>
    <row r="7889" spans="3:11" x14ac:dyDescent="0.2">
      <c r="C7889" s="19"/>
      <c r="D7889" s="19"/>
      <c r="E7889" s="19"/>
      <c r="F7889" s="20"/>
      <c r="G7889" s="19"/>
      <c r="H7889" s="19"/>
      <c r="I7889" s="19"/>
      <c r="J7889" s="21"/>
      <c r="K7889" s="19"/>
    </row>
    <row r="7890" spans="3:11" x14ac:dyDescent="0.2">
      <c r="C7890" s="19"/>
      <c r="D7890" s="19"/>
      <c r="E7890" s="19"/>
      <c r="F7890" s="20"/>
      <c r="G7890" s="19"/>
      <c r="H7890" s="19"/>
      <c r="I7890" s="19"/>
      <c r="J7890" s="21"/>
      <c r="K7890" s="19"/>
    </row>
    <row r="7891" spans="3:11" x14ac:dyDescent="0.2">
      <c r="C7891" s="19"/>
      <c r="D7891" s="19"/>
      <c r="E7891" s="19"/>
      <c r="F7891" s="20"/>
      <c r="G7891" s="19"/>
      <c r="H7891" s="19"/>
      <c r="I7891" s="19"/>
      <c r="J7891" s="21"/>
      <c r="K7891" s="19"/>
    </row>
    <row r="7892" spans="3:11" x14ac:dyDescent="0.2">
      <c r="C7892" s="19"/>
      <c r="D7892" s="19"/>
      <c r="E7892" s="19"/>
      <c r="F7892" s="20"/>
      <c r="G7892" s="19"/>
      <c r="H7892" s="19"/>
      <c r="I7892" s="19"/>
      <c r="J7892" s="21"/>
      <c r="K7892" s="19"/>
    </row>
    <row r="7893" spans="3:11" x14ac:dyDescent="0.2">
      <c r="C7893" s="19"/>
      <c r="D7893" s="19"/>
      <c r="E7893" s="19"/>
      <c r="F7893" s="20"/>
      <c r="G7893" s="19"/>
      <c r="H7893" s="19"/>
      <c r="I7893" s="19"/>
      <c r="J7893" s="21"/>
      <c r="K7893" s="19"/>
    </row>
    <row r="7894" spans="3:11" x14ac:dyDescent="0.2">
      <c r="C7894" s="19"/>
      <c r="D7894" s="19"/>
      <c r="E7894" s="19"/>
      <c r="F7894" s="20"/>
      <c r="G7894" s="19"/>
      <c r="H7894" s="19"/>
      <c r="I7894" s="19"/>
      <c r="J7894" s="21"/>
      <c r="K7894" s="19"/>
    </row>
    <row r="7895" spans="3:11" x14ac:dyDescent="0.2">
      <c r="C7895" s="19"/>
      <c r="D7895" s="19"/>
      <c r="E7895" s="19"/>
      <c r="F7895" s="20"/>
      <c r="G7895" s="19"/>
      <c r="H7895" s="19"/>
      <c r="I7895" s="19"/>
      <c r="J7895" s="21"/>
      <c r="K7895" s="19"/>
    </row>
    <row r="7896" spans="3:11" x14ac:dyDescent="0.2">
      <c r="C7896" s="19"/>
      <c r="D7896" s="19"/>
      <c r="E7896" s="19"/>
      <c r="F7896" s="20"/>
      <c r="G7896" s="19"/>
      <c r="H7896" s="19"/>
      <c r="I7896" s="19"/>
      <c r="J7896" s="21"/>
      <c r="K7896" s="19"/>
    </row>
    <row r="7897" spans="3:11" x14ac:dyDescent="0.2">
      <c r="C7897" s="19"/>
      <c r="D7897" s="19"/>
      <c r="E7897" s="19"/>
      <c r="F7897" s="20"/>
      <c r="G7897" s="19"/>
      <c r="H7897" s="19"/>
      <c r="I7897" s="19"/>
      <c r="J7897" s="21"/>
      <c r="K7897" s="19"/>
    </row>
    <row r="7898" spans="3:11" x14ac:dyDescent="0.2">
      <c r="C7898" s="19"/>
      <c r="D7898" s="19"/>
      <c r="E7898" s="19"/>
      <c r="F7898" s="20"/>
      <c r="G7898" s="19"/>
      <c r="H7898" s="19"/>
      <c r="I7898" s="19"/>
      <c r="J7898" s="21"/>
      <c r="K7898" s="19"/>
    </row>
    <row r="7899" spans="3:11" x14ac:dyDescent="0.2">
      <c r="C7899" s="19"/>
      <c r="D7899" s="19"/>
      <c r="E7899" s="19"/>
      <c r="F7899" s="20"/>
      <c r="G7899" s="19"/>
      <c r="H7899" s="19"/>
      <c r="I7899" s="19"/>
      <c r="J7899" s="21"/>
      <c r="K7899" s="19"/>
    </row>
    <row r="7900" spans="3:11" x14ac:dyDescent="0.2">
      <c r="C7900" s="19"/>
      <c r="D7900" s="19"/>
      <c r="E7900" s="19"/>
      <c r="F7900" s="20"/>
      <c r="G7900" s="19"/>
      <c r="H7900" s="19"/>
      <c r="I7900" s="19"/>
      <c r="J7900" s="21"/>
      <c r="K7900" s="19"/>
    </row>
    <row r="7901" spans="3:11" x14ac:dyDescent="0.2">
      <c r="C7901" s="19"/>
      <c r="D7901" s="19"/>
      <c r="E7901" s="19"/>
      <c r="F7901" s="20"/>
      <c r="G7901" s="19"/>
      <c r="H7901" s="19"/>
      <c r="I7901" s="19"/>
      <c r="J7901" s="21"/>
      <c r="K7901" s="19"/>
    </row>
    <row r="7902" spans="3:11" x14ac:dyDescent="0.2">
      <c r="C7902" s="19"/>
      <c r="D7902" s="19"/>
      <c r="E7902" s="19"/>
      <c r="F7902" s="20"/>
      <c r="G7902" s="19"/>
      <c r="H7902" s="19"/>
      <c r="I7902" s="19"/>
      <c r="J7902" s="21"/>
      <c r="K7902" s="19"/>
    </row>
    <row r="7903" spans="3:11" x14ac:dyDescent="0.2">
      <c r="C7903" s="19"/>
      <c r="D7903" s="19"/>
      <c r="E7903" s="19"/>
      <c r="F7903" s="20"/>
      <c r="G7903" s="19"/>
      <c r="H7903" s="19"/>
      <c r="I7903" s="19"/>
      <c r="J7903" s="21"/>
      <c r="K7903" s="19"/>
    </row>
    <row r="7904" spans="3:11" x14ac:dyDescent="0.2">
      <c r="C7904" s="19"/>
      <c r="D7904" s="19"/>
      <c r="E7904" s="19"/>
      <c r="F7904" s="20"/>
      <c r="G7904" s="19"/>
      <c r="H7904" s="19"/>
      <c r="I7904" s="19"/>
      <c r="J7904" s="21"/>
      <c r="K7904" s="19"/>
    </row>
    <row r="7905" spans="3:11" x14ac:dyDescent="0.2">
      <c r="C7905" s="19"/>
      <c r="D7905" s="19"/>
      <c r="E7905" s="19"/>
      <c r="F7905" s="20"/>
      <c r="G7905" s="19"/>
      <c r="H7905" s="19"/>
      <c r="I7905" s="19"/>
      <c r="J7905" s="21"/>
      <c r="K7905" s="19"/>
    </row>
    <row r="7906" spans="3:11" x14ac:dyDescent="0.2">
      <c r="C7906" s="19"/>
      <c r="D7906" s="19"/>
      <c r="E7906" s="19"/>
      <c r="F7906" s="20"/>
      <c r="G7906" s="19"/>
      <c r="H7906" s="19"/>
      <c r="I7906" s="19"/>
      <c r="J7906" s="21"/>
      <c r="K7906" s="19"/>
    </row>
    <row r="7907" spans="3:11" x14ac:dyDescent="0.2">
      <c r="C7907" s="19"/>
      <c r="D7907" s="19"/>
      <c r="E7907" s="19"/>
      <c r="F7907" s="20"/>
      <c r="G7907" s="19"/>
      <c r="H7907" s="19"/>
      <c r="I7907" s="19"/>
      <c r="J7907" s="21"/>
      <c r="K7907" s="19"/>
    </row>
    <row r="7908" spans="3:11" x14ac:dyDescent="0.2">
      <c r="C7908" s="19"/>
      <c r="D7908" s="19"/>
      <c r="E7908" s="19"/>
      <c r="F7908" s="20"/>
      <c r="G7908" s="19"/>
      <c r="H7908" s="19"/>
      <c r="I7908" s="19"/>
      <c r="J7908" s="21"/>
      <c r="K7908" s="19"/>
    </row>
    <row r="7909" spans="3:11" x14ac:dyDescent="0.2">
      <c r="C7909" s="19"/>
      <c r="D7909" s="19"/>
      <c r="E7909" s="19"/>
      <c r="F7909" s="20"/>
      <c r="G7909" s="19"/>
      <c r="H7909" s="19"/>
      <c r="I7909" s="19"/>
      <c r="J7909" s="21"/>
      <c r="K7909" s="19"/>
    </row>
    <row r="7910" spans="3:11" x14ac:dyDescent="0.2">
      <c r="C7910" s="19"/>
      <c r="D7910" s="19"/>
      <c r="E7910" s="19"/>
      <c r="F7910" s="20"/>
      <c r="G7910" s="19"/>
      <c r="H7910" s="19"/>
      <c r="I7910" s="19"/>
      <c r="J7910" s="21"/>
      <c r="K7910" s="19"/>
    </row>
    <row r="7911" spans="3:11" x14ac:dyDescent="0.2">
      <c r="C7911" s="19"/>
      <c r="D7911" s="19"/>
      <c r="E7911" s="19"/>
      <c r="F7911" s="20"/>
      <c r="G7911" s="19"/>
      <c r="H7911" s="19"/>
      <c r="I7911" s="19"/>
      <c r="J7911" s="21"/>
      <c r="K7911" s="19"/>
    </row>
    <row r="7912" spans="3:11" x14ac:dyDescent="0.2">
      <c r="C7912" s="19"/>
      <c r="D7912" s="19"/>
      <c r="E7912" s="19"/>
      <c r="F7912" s="20"/>
      <c r="G7912" s="19"/>
      <c r="H7912" s="19"/>
      <c r="I7912" s="19"/>
      <c r="J7912" s="21"/>
      <c r="K7912" s="19"/>
    </row>
    <row r="7913" spans="3:11" x14ac:dyDescent="0.2">
      <c r="C7913" s="19"/>
      <c r="D7913" s="19"/>
      <c r="E7913" s="19"/>
      <c r="F7913" s="20"/>
      <c r="G7913" s="19"/>
      <c r="H7913" s="19"/>
      <c r="I7913" s="19"/>
      <c r="J7913" s="21"/>
      <c r="K7913" s="19"/>
    </row>
    <row r="7914" spans="3:11" x14ac:dyDescent="0.2">
      <c r="C7914" s="19"/>
      <c r="D7914" s="19"/>
      <c r="E7914" s="19"/>
      <c r="F7914" s="20"/>
      <c r="G7914" s="19"/>
      <c r="H7914" s="19"/>
      <c r="I7914" s="19"/>
      <c r="J7914" s="21"/>
      <c r="K7914" s="19"/>
    </row>
    <row r="7915" spans="3:11" x14ac:dyDescent="0.2">
      <c r="C7915" s="19"/>
      <c r="D7915" s="19"/>
      <c r="E7915" s="19"/>
      <c r="F7915" s="20"/>
      <c r="G7915" s="19"/>
      <c r="H7915" s="19"/>
      <c r="I7915" s="19"/>
      <c r="J7915" s="21"/>
      <c r="K7915" s="19"/>
    </row>
    <row r="7916" spans="3:11" x14ac:dyDescent="0.2">
      <c r="C7916" s="19"/>
      <c r="D7916" s="19"/>
      <c r="E7916" s="19"/>
      <c r="F7916" s="20"/>
      <c r="G7916" s="19"/>
      <c r="H7916" s="19"/>
      <c r="I7916" s="19"/>
      <c r="J7916" s="21"/>
      <c r="K7916" s="19"/>
    </row>
    <row r="7917" spans="3:11" x14ac:dyDescent="0.2">
      <c r="C7917" s="19"/>
      <c r="D7917" s="19"/>
      <c r="E7917" s="19"/>
      <c r="F7917" s="20"/>
      <c r="G7917" s="19"/>
      <c r="H7917" s="19"/>
      <c r="I7917" s="19"/>
      <c r="J7917" s="21"/>
      <c r="K7917" s="19"/>
    </row>
    <row r="7918" spans="3:11" x14ac:dyDescent="0.2">
      <c r="C7918" s="19"/>
      <c r="D7918" s="19"/>
      <c r="E7918" s="19"/>
      <c r="F7918" s="20"/>
      <c r="G7918" s="19"/>
      <c r="H7918" s="19"/>
      <c r="I7918" s="19"/>
      <c r="J7918" s="19"/>
      <c r="K7918" s="19"/>
    </row>
    <row r="7919" spans="3:11" x14ac:dyDescent="0.2">
      <c r="C7919" s="19"/>
      <c r="D7919" s="19"/>
      <c r="E7919" s="19"/>
      <c r="F7919" s="20"/>
      <c r="G7919" s="19"/>
      <c r="H7919" s="19"/>
      <c r="I7919" s="19"/>
      <c r="J7919" s="21"/>
      <c r="K7919" s="19"/>
    </row>
    <row r="7920" spans="3:11" x14ac:dyDescent="0.2">
      <c r="C7920" s="19"/>
      <c r="D7920" s="19"/>
      <c r="E7920" s="19"/>
      <c r="F7920" s="20"/>
      <c r="G7920" s="19"/>
      <c r="H7920" s="19"/>
      <c r="I7920" s="19"/>
      <c r="J7920" s="21"/>
      <c r="K7920" s="19"/>
    </row>
    <row r="7921" spans="3:11" x14ac:dyDescent="0.2">
      <c r="C7921" s="19"/>
      <c r="D7921" s="19"/>
      <c r="E7921" s="19"/>
      <c r="F7921" s="20"/>
      <c r="G7921" s="19"/>
      <c r="H7921" s="19"/>
      <c r="I7921" s="19"/>
      <c r="J7921" s="21"/>
      <c r="K7921" s="19"/>
    </row>
    <row r="7922" spans="3:11" x14ac:dyDescent="0.2">
      <c r="C7922" s="19"/>
      <c r="D7922" s="19"/>
      <c r="E7922" s="19"/>
      <c r="F7922" s="20"/>
      <c r="G7922" s="19"/>
      <c r="H7922" s="19"/>
      <c r="I7922" s="19"/>
      <c r="J7922" s="21"/>
      <c r="K7922" s="19"/>
    </row>
    <row r="7923" spans="3:11" x14ac:dyDescent="0.2">
      <c r="C7923" s="19"/>
      <c r="D7923" s="19"/>
      <c r="E7923" s="19"/>
      <c r="F7923" s="20"/>
      <c r="G7923" s="19"/>
      <c r="H7923" s="19"/>
      <c r="I7923" s="19"/>
      <c r="J7923" s="21"/>
      <c r="K7923" s="19"/>
    </row>
    <row r="7924" spans="3:11" x14ac:dyDescent="0.2">
      <c r="C7924" s="19"/>
      <c r="D7924" s="19"/>
      <c r="E7924" s="19"/>
      <c r="F7924" s="20"/>
      <c r="G7924" s="19"/>
      <c r="H7924" s="19"/>
      <c r="I7924" s="19"/>
      <c r="J7924" s="21"/>
      <c r="K7924" s="19"/>
    </row>
    <row r="7925" spans="3:11" x14ac:dyDescent="0.2">
      <c r="C7925" s="19"/>
      <c r="D7925" s="19"/>
      <c r="E7925" s="19"/>
      <c r="F7925" s="20"/>
      <c r="G7925" s="19"/>
      <c r="H7925" s="19"/>
      <c r="I7925" s="19"/>
      <c r="J7925" s="21"/>
      <c r="K7925" s="19"/>
    </row>
    <row r="7926" spans="3:11" x14ac:dyDescent="0.2">
      <c r="C7926" s="19"/>
      <c r="D7926" s="19"/>
      <c r="E7926" s="19"/>
      <c r="F7926" s="20"/>
      <c r="G7926" s="19"/>
      <c r="H7926" s="19"/>
      <c r="I7926" s="19"/>
      <c r="J7926" s="21"/>
      <c r="K7926" s="19"/>
    </row>
    <row r="7927" spans="3:11" x14ac:dyDescent="0.2">
      <c r="C7927" s="19"/>
      <c r="D7927" s="19"/>
      <c r="E7927" s="19"/>
      <c r="F7927" s="20"/>
      <c r="G7927" s="19"/>
      <c r="H7927" s="19"/>
      <c r="I7927" s="19"/>
      <c r="J7927" s="21"/>
      <c r="K7927" s="19"/>
    </row>
    <row r="7928" spans="3:11" x14ac:dyDescent="0.2">
      <c r="C7928" s="19"/>
      <c r="D7928" s="19"/>
      <c r="E7928" s="19"/>
      <c r="F7928" s="20"/>
      <c r="G7928" s="19"/>
      <c r="H7928" s="19"/>
      <c r="I7928" s="19"/>
      <c r="J7928" s="21"/>
      <c r="K7928" s="19"/>
    </row>
    <row r="7929" spans="3:11" x14ac:dyDescent="0.2">
      <c r="C7929" s="19"/>
      <c r="D7929" s="19"/>
      <c r="E7929" s="19"/>
      <c r="F7929" s="20"/>
      <c r="G7929" s="19"/>
      <c r="H7929" s="19"/>
      <c r="I7929" s="19"/>
      <c r="J7929" s="21"/>
      <c r="K7929" s="19"/>
    </row>
    <row r="7930" spans="3:11" x14ac:dyDescent="0.2">
      <c r="C7930" s="19"/>
      <c r="D7930" s="19"/>
      <c r="E7930" s="19"/>
      <c r="F7930" s="20"/>
      <c r="G7930" s="19"/>
      <c r="H7930" s="19"/>
      <c r="I7930" s="19"/>
      <c r="J7930" s="21"/>
      <c r="K7930" s="19"/>
    </row>
    <row r="7931" spans="3:11" x14ac:dyDescent="0.2">
      <c r="C7931" s="19"/>
      <c r="D7931" s="19"/>
      <c r="E7931" s="19"/>
      <c r="F7931" s="20"/>
      <c r="G7931" s="19"/>
      <c r="H7931" s="19"/>
      <c r="I7931" s="19"/>
      <c r="J7931" s="21"/>
      <c r="K7931" s="19"/>
    </row>
    <row r="7932" spans="3:11" x14ac:dyDescent="0.2">
      <c r="C7932" s="19"/>
      <c r="D7932" s="19"/>
      <c r="E7932" s="19"/>
      <c r="F7932" s="20"/>
      <c r="G7932" s="19"/>
      <c r="H7932" s="19"/>
      <c r="I7932" s="19"/>
      <c r="J7932" s="21"/>
      <c r="K7932" s="19"/>
    </row>
    <row r="7933" spans="3:11" x14ac:dyDescent="0.2">
      <c r="C7933" s="19"/>
      <c r="D7933" s="19"/>
      <c r="E7933" s="19"/>
      <c r="F7933" s="20"/>
      <c r="G7933" s="19"/>
      <c r="H7933" s="19"/>
      <c r="I7933" s="19"/>
      <c r="J7933" s="21"/>
      <c r="K7933" s="19"/>
    </row>
    <row r="7934" spans="3:11" x14ac:dyDescent="0.2">
      <c r="C7934" s="19"/>
      <c r="D7934" s="19"/>
      <c r="E7934" s="19"/>
      <c r="F7934" s="20"/>
      <c r="G7934" s="19"/>
      <c r="H7934" s="19"/>
      <c r="I7934" s="19"/>
      <c r="J7934" s="21"/>
      <c r="K7934" s="19"/>
    </row>
    <row r="7935" spans="3:11" x14ac:dyDescent="0.2">
      <c r="C7935" s="19"/>
      <c r="D7935" s="19"/>
      <c r="E7935" s="19"/>
      <c r="F7935" s="20"/>
      <c r="G7935" s="19"/>
      <c r="H7935" s="19"/>
      <c r="I7935" s="19"/>
      <c r="J7935" s="21"/>
      <c r="K7935" s="19"/>
    </row>
    <row r="7936" spans="3:11" x14ac:dyDescent="0.2">
      <c r="C7936" s="19"/>
      <c r="D7936" s="19"/>
      <c r="E7936" s="19"/>
      <c r="F7936" s="20"/>
      <c r="G7936" s="19"/>
      <c r="H7936" s="19"/>
      <c r="I7936" s="19"/>
      <c r="J7936" s="21"/>
      <c r="K7936" s="19"/>
    </row>
    <row r="7937" spans="3:11" x14ac:dyDescent="0.2">
      <c r="C7937" s="19"/>
      <c r="D7937" s="19"/>
      <c r="E7937" s="19"/>
      <c r="F7937" s="20"/>
      <c r="G7937" s="19"/>
      <c r="H7937" s="19"/>
      <c r="I7937" s="19"/>
      <c r="J7937" s="21"/>
      <c r="K7937" s="19"/>
    </row>
    <row r="7938" spans="3:11" x14ac:dyDescent="0.2">
      <c r="C7938" s="19"/>
      <c r="D7938" s="19"/>
      <c r="E7938" s="19"/>
      <c r="F7938" s="20"/>
      <c r="G7938" s="19"/>
      <c r="H7938" s="19"/>
      <c r="I7938" s="19"/>
      <c r="J7938" s="21"/>
      <c r="K7938" s="19"/>
    </row>
    <row r="7939" spans="3:11" x14ac:dyDescent="0.2">
      <c r="C7939" s="19"/>
      <c r="D7939" s="19"/>
      <c r="E7939" s="19"/>
      <c r="F7939" s="20"/>
      <c r="G7939" s="19"/>
      <c r="H7939" s="19"/>
      <c r="I7939" s="19"/>
      <c r="J7939" s="21"/>
      <c r="K7939" s="19"/>
    </row>
    <row r="7940" spans="3:11" x14ac:dyDescent="0.2">
      <c r="C7940" s="19"/>
      <c r="D7940" s="19"/>
      <c r="E7940" s="19"/>
      <c r="F7940" s="20"/>
      <c r="G7940" s="19"/>
      <c r="H7940" s="19"/>
      <c r="I7940" s="19"/>
      <c r="J7940" s="21"/>
      <c r="K7940" s="19"/>
    </row>
    <row r="7941" spans="3:11" x14ac:dyDescent="0.2">
      <c r="C7941" s="19"/>
      <c r="D7941" s="19"/>
      <c r="E7941" s="19"/>
      <c r="F7941" s="20"/>
      <c r="G7941" s="19"/>
      <c r="H7941" s="19"/>
      <c r="I7941" s="19"/>
      <c r="J7941" s="21"/>
      <c r="K7941" s="19"/>
    </row>
    <row r="7942" spans="3:11" x14ac:dyDescent="0.2">
      <c r="C7942" s="19"/>
      <c r="D7942" s="19"/>
      <c r="E7942" s="19"/>
      <c r="F7942" s="20"/>
      <c r="G7942" s="19"/>
      <c r="H7942" s="19"/>
      <c r="I7942" s="19"/>
      <c r="J7942" s="21"/>
      <c r="K7942" s="19"/>
    </row>
    <row r="7943" spans="3:11" x14ac:dyDescent="0.2">
      <c r="C7943" s="19"/>
      <c r="D7943" s="19"/>
      <c r="E7943" s="19"/>
      <c r="F7943" s="20"/>
      <c r="G7943" s="19"/>
      <c r="H7943" s="19"/>
      <c r="I7943" s="19"/>
      <c r="J7943" s="21"/>
      <c r="K7943" s="19"/>
    </row>
    <row r="7944" spans="3:11" x14ac:dyDescent="0.2">
      <c r="C7944" s="19"/>
      <c r="D7944" s="19"/>
      <c r="E7944" s="19"/>
      <c r="F7944" s="20"/>
      <c r="G7944" s="19"/>
      <c r="H7944" s="19"/>
      <c r="I7944" s="19"/>
      <c r="J7944" s="21"/>
      <c r="K7944" s="19"/>
    </row>
    <row r="7945" spans="3:11" x14ac:dyDescent="0.2">
      <c r="C7945" s="19"/>
      <c r="D7945" s="19"/>
      <c r="E7945" s="19"/>
      <c r="F7945" s="20"/>
      <c r="G7945" s="19"/>
      <c r="H7945" s="19"/>
      <c r="I7945" s="19"/>
      <c r="J7945" s="21"/>
      <c r="K7945" s="19"/>
    </row>
    <row r="7946" spans="3:11" x14ac:dyDescent="0.2">
      <c r="C7946" s="19"/>
      <c r="D7946" s="19"/>
      <c r="E7946" s="19"/>
      <c r="F7946" s="20"/>
      <c r="G7946" s="19"/>
      <c r="H7946" s="19"/>
      <c r="I7946" s="19"/>
      <c r="J7946" s="21"/>
      <c r="K7946" s="19"/>
    </row>
    <row r="7947" spans="3:11" x14ac:dyDescent="0.2">
      <c r="C7947" s="19"/>
      <c r="D7947" s="19"/>
      <c r="E7947" s="19"/>
      <c r="F7947" s="20"/>
      <c r="G7947" s="19"/>
      <c r="H7947" s="19"/>
      <c r="I7947" s="19"/>
      <c r="J7947" s="21"/>
      <c r="K7947" s="19"/>
    </row>
    <row r="7948" spans="3:11" x14ac:dyDescent="0.2">
      <c r="C7948" s="19"/>
      <c r="D7948" s="19"/>
      <c r="E7948" s="19"/>
      <c r="F7948" s="20"/>
      <c r="G7948" s="19"/>
      <c r="H7948" s="19"/>
      <c r="I7948" s="19"/>
      <c r="J7948" s="21"/>
      <c r="K7948" s="19"/>
    </row>
    <row r="7949" spans="3:11" x14ac:dyDescent="0.2">
      <c r="C7949" s="19"/>
      <c r="D7949" s="19"/>
      <c r="E7949" s="19"/>
      <c r="F7949" s="20"/>
      <c r="G7949" s="19"/>
      <c r="H7949" s="19"/>
      <c r="I7949" s="19"/>
      <c r="J7949" s="21"/>
      <c r="K7949" s="19"/>
    </row>
    <row r="7950" spans="3:11" x14ac:dyDescent="0.2">
      <c r="C7950" s="19"/>
      <c r="D7950" s="19"/>
      <c r="E7950" s="19"/>
      <c r="F7950" s="20"/>
      <c r="G7950" s="19"/>
      <c r="H7950" s="19"/>
      <c r="I7950" s="19"/>
      <c r="J7950" s="21"/>
      <c r="K7950" s="19"/>
    </row>
    <row r="7951" spans="3:11" x14ac:dyDescent="0.2">
      <c r="C7951" s="19"/>
      <c r="D7951" s="19"/>
      <c r="E7951" s="19"/>
      <c r="F7951" s="20"/>
      <c r="G7951" s="19"/>
      <c r="H7951" s="19"/>
      <c r="I7951" s="19"/>
      <c r="J7951" s="21"/>
      <c r="K7951" s="19"/>
    </row>
    <row r="7952" spans="3:11" x14ac:dyDescent="0.2">
      <c r="C7952" s="19"/>
      <c r="D7952" s="19"/>
      <c r="E7952" s="19"/>
      <c r="F7952" s="20"/>
      <c r="G7952" s="19"/>
      <c r="H7952" s="19"/>
      <c r="I7952" s="19"/>
      <c r="J7952" s="21"/>
      <c r="K7952" s="19"/>
    </row>
    <row r="7953" spans="3:11" x14ac:dyDescent="0.2">
      <c r="C7953" s="19"/>
      <c r="D7953" s="19"/>
      <c r="E7953" s="19"/>
      <c r="F7953" s="20"/>
      <c r="G7953" s="19"/>
      <c r="H7953" s="19"/>
      <c r="I7953" s="19"/>
      <c r="J7953" s="21"/>
      <c r="K7953" s="19"/>
    </row>
    <row r="7954" spans="3:11" x14ac:dyDescent="0.2">
      <c r="C7954" s="19"/>
      <c r="D7954" s="19"/>
      <c r="E7954" s="19"/>
      <c r="F7954" s="20"/>
      <c r="G7954" s="19"/>
      <c r="H7954" s="19"/>
      <c r="I7954" s="19"/>
      <c r="J7954" s="21"/>
      <c r="K7954" s="19"/>
    </row>
    <row r="7955" spans="3:11" x14ac:dyDescent="0.2">
      <c r="C7955" s="19"/>
      <c r="D7955" s="19"/>
      <c r="E7955" s="19"/>
      <c r="F7955" s="20"/>
      <c r="G7955" s="19"/>
      <c r="H7955" s="19"/>
      <c r="I7955" s="19"/>
      <c r="J7955" s="21"/>
      <c r="K7955" s="19"/>
    </row>
    <row r="7956" spans="3:11" x14ac:dyDescent="0.2">
      <c r="C7956" s="19"/>
      <c r="D7956" s="19"/>
      <c r="E7956" s="19"/>
      <c r="F7956" s="20"/>
      <c r="G7956" s="19"/>
      <c r="H7956" s="19"/>
      <c r="I7956" s="19"/>
      <c r="J7956" s="21"/>
      <c r="K7956" s="19"/>
    </row>
    <row r="7957" spans="3:11" x14ac:dyDescent="0.2">
      <c r="C7957" s="19"/>
      <c r="D7957" s="19"/>
      <c r="E7957" s="19"/>
      <c r="F7957" s="20"/>
      <c r="G7957" s="19"/>
      <c r="H7957" s="19"/>
      <c r="I7957" s="19"/>
      <c r="J7957" s="21"/>
      <c r="K7957" s="19"/>
    </row>
    <row r="7958" spans="3:11" x14ac:dyDescent="0.2">
      <c r="C7958" s="19"/>
      <c r="D7958" s="19"/>
      <c r="E7958" s="19"/>
      <c r="F7958" s="20"/>
      <c r="G7958" s="19"/>
      <c r="H7958" s="19"/>
      <c r="I7958" s="19"/>
      <c r="J7958" s="21"/>
      <c r="K7958" s="19"/>
    </row>
    <row r="7959" spans="3:11" x14ac:dyDescent="0.2">
      <c r="C7959" s="19"/>
      <c r="D7959" s="19"/>
      <c r="E7959" s="19"/>
      <c r="F7959" s="20"/>
      <c r="G7959" s="19"/>
      <c r="H7959" s="19"/>
      <c r="I7959" s="19"/>
      <c r="J7959" s="21"/>
      <c r="K7959" s="19"/>
    </row>
    <row r="7960" spans="3:11" x14ac:dyDescent="0.2">
      <c r="C7960" s="19"/>
      <c r="D7960" s="19"/>
      <c r="E7960" s="19"/>
      <c r="F7960" s="20"/>
      <c r="G7960" s="19"/>
      <c r="H7960" s="19"/>
      <c r="I7960" s="19"/>
      <c r="J7960" s="21"/>
      <c r="K7960" s="19"/>
    </row>
    <row r="7961" spans="3:11" x14ac:dyDescent="0.2">
      <c r="C7961" s="19"/>
      <c r="D7961" s="19"/>
      <c r="E7961" s="19"/>
      <c r="F7961" s="20"/>
      <c r="G7961" s="19"/>
      <c r="H7961" s="19"/>
      <c r="I7961" s="19"/>
      <c r="J7961" s="21"/>
      <c r="K7961" s="19"/>
    </row>
    <row r="7962" spans="3:11" x14ac:dyDescent="0.2">
      <c r="C7962" s="19"/>
      <c r="D7962" s="19"/>
      <c r="E7962" s="19"/>
      <c r="F7962" s="20"/>
      <c r="G7962" s="19"/>
      <c r="H7962" s="19"/>
      <c r="I7962" s="19"/>
      <c r="J7962" s="21"/>
      <c r="K7962" s="19"/>
    </row>
    <row r="7963" spans="3:11" x14ac:dyDescent="0.2">
      <c r="C7963" s="19"/>
      <c r="D7963" s="19"/>
      <c r="E7963" s="19"/>
      <c r="F7963" s="20"/>
      <c r="G7963" s="19"/>
      <c r="H7963" s="19"/>
      <c r="I7963" s="19"/>
      <c r="J7963" s="21"/>
      <c r="K7963" s="19"/>
    </row>
    <row r="7964" spans="3:11" x14ac:dyDescent="0.2">
      <c r="C7964" s="19"/>
      <c r="D7964" s="19"/>
      <c r="E7964" s="19"/>
      <c r="F7964" s="20"/>
      <c r="G7964" s="19"/>
      <c r="H7964" s="19"/>
      <c r="I7964" s="19"/>
      <c r="J7964" s="21"/>
      <c r="K7964" s="19"/>
    </row>
    <row r="7965" spans="3:11" x14ac:dyDescent="0.2">
      <c r="C7965" s="19"/>
      <c r="D7965" s="19"/>
      <c r="E7965" s="19"/>
      <c r="F7965" s="20"/>
      <c r="G7965" s="19"/>
      <c r="H7965" s="19"/>
      <c r="I7965" s="19"/>
      <c r="J7965" s="19"/>
      <c r="K7965" s="19"/>
    </row>
    <row r="7966" spans="3:11" x14ac:dyDescent="0.2">
      <c r="C7966" s="19"/>
      <c r="D7966" s="19"/>
      <c r="E7966" s="19"/>
      <c r="F7966" s="20"/>
      <c r="G7966" s="19"/>
      <c r="H7966" s="19"/>
      <c r="I7966" s="19"/>
      <c r="J7966" s="21"/>
      <c r="K7966" s="19"/>
    </row>
    <row r="7967" spans="3:11" x14ac:dyDescent="0.2">
      <c r="C7967" s="19"/>
      <c r="D7967" s="19"/>
      <c r="E7967" s="19"/>
      <c r="F7967" s="20"/>
      <c r="G7967" s="19"/>
      <c r="H7967" s="19"/>
      <c r="I7967" s="19"/>
      <c r="J7967" s="21"/>
      <c r="K7967" s="19"/>
    </row>
    <row r="7968" spans="3:11" x14ac:dyDescent="0.2">
      <c r="C7968" s="19"/>
      <c r="D7968" s="19"/>
      <c r="E7968" s="19"/>
      <c r="F7968" s="20"/>
      <c r="G7968" s="19"/>
      <c r="H7968" s="19"/>
      <c r="I7968" s="19"/>
      <c r="J7968" s="21"/>
      <c r="K7968" s="19"/>
    </row>
    <row r="7969" spans="3:11" x14ac:dyDescent="0.2">
      <c r="C7969" s="19"/>
      <c r="D7969" s="19"/>
      <c r="E7969" s="19"/>
      <c r="F7969" s="20"/>
      <c r="G7969" s="19"/>
      <c r="H7969" s="19"/>
      <c r="I7969" s="19"/>
      <c r="J7969" s="21"/>
      <c r="K7969" s="19"/>
    </row>
    <row r="7970" spans="3:11" x14ac:dyDescent="0.2">
      <c r="C7970" s="19"/>
      <c r="D7970" s="19"/>
      <c r="E7970" s="19"/>
      <c r="F7970" s="20"/>
      <c r="G7970" s="19"/>
      <c r="H7970" s="19"/>
      <c r="I7970" s="19"/>
      <c r="J7970" s="21"/>
      <c r="K7970" s="19"/>
    </row>
    <row r="7971" spans="3:11" x14ac:dyDescent="0.2">
      <c r="C7971" s="19"/>
      <c r="D7971" s="19"/>
      <c r="E7971" s="19"/>
      <c r="F7971" s="20"/>
      <c r="G7971" s="19"/>
      <c r="H7971" s="19"/>
      <c r="I7971" s="19"/>
      <c r="J7971" s="21"/>
      <c r="K7971" s="19"/>
    </row>
    <row r="7972" spans="3:11" x14ac:dyDescent="0.2">
      <c r="C7972" s="19"/>
      <c r="D7972" s="19"/>
      <c r="E7972" s="19"/>
      <c r="F7972" s="20"/>
      <c r="G7972" s="19"/>
      <c r="H7972" s="19"/>
      <c r="I7972" s="19"/>
      <c r="J7972" s="21"/>
      <c r="K7972" s="19"/>
    </row>
    <row r="7973" spans="3:11" x14ac:dyDescent="0.2">
      <c r="C7973" s="19"/>
      <c r="D7973" s="19"/>
      <c r="E7973" s="19"/>
      <c r="F7973" s="20"/>
      <c r="G7973" s="19"/>
      <c r="H7973" s="19"/>
      <c r="I7973" s="19"/>
      <c r="J7973" s="21"/>
      <c r="K7973" s="19"/>
    </row>
    <row r="7974" spans="3:11" x14ac:dyDescent="0.2">
      <c r="C7974" s="19"/>
      <c r="D7974" s="19"/>
      <c r="E7974" s="19"/>
      <c r="F7974" s="20"/>
      <c r="G7974" s="19"/>
      <c r="H7974" s="19"/>
      <c r="I7974" s="19"/>
      <c r="J7974" s="21"/>
      <c r="K7974" s="19"/>
    </row>
    <row r="7975" spans="3:11" x14ac:dyDescent="0.2">
      <c r="C7975" s="19"/>
      <c r="D7975" s="19"/>
      <c r="E7975" s="19"/>
      <c r="F7975" s="20"/>
      <c r="G7975" s="19"/>
      <c r="H7975" s="19"/>
      <c r="I7975" s="19"/>
      <c r="J7975" s="21"/>
      <c r="K7975" s="19"/>
    </row>
    <row r="7976" spans="3:11" x14ac:dyDescent="0.2">
      <c r="C7976" s="19"/>
      <c r="D7976" s="19"/>
      <c r="E7976" s="19"/>
      <c r="F7976" s="20"/>
      <c r="G7976" s="19"/>
      <c r="H7976" s="19"/>
      <c r="I7976" s="19"/>
      <c r="J7976" s="21"/>
      <c r="K7976" s="19"/>
    </row>
    <row r="7977" spans="3:11" x14ac:dyDescent="0.2">
      <c r="C7977" s="19"/>
      <c r="D7977" s="19"/>
      <c r="E7977" s="19"/>
      <c r="F7977" s="20"/>
      <c r="G7977" s="19"/>
      <c r="H7977" s="19"/>
      <c r="I7977" s="19"/>
      <c r="J7977" s="21"/>
      <c r="K7977" s="19"/>
    </row>
    <row r="7978" spans="3:11" x14ac:dyDescent="0.2">
      <c r="C7978" s="19"/>
      <c r="D7978" s="19"/>
      <c r="E7978" s="19"/>
      <c r="F7978" s="20"/>
      <c r="G7978" s="19"/>
      <c r="H7978" s="19"/>
      <c r="I7978" s="19"/>
      <c r="J7978" s="21"/>
      <c r="K7978" s="19"/>
    </row>
    <row r="7979" spans="3:11" x14ac:dyDescent="0.2">
      <c r="C7979" s="19"/>
      <c r="D7979" s="19"/>
      <c r="E7979" s="19"/>
      <c r="F7979" s="20"/>
      <c r="G7979" s="19"/>
      <c r="H7979" s="19"/>
      <c r="I7979" s="19"/>
      <c r="J7979" s="21"/>
      <c r="K7979" s="19"/>
    </row>
    <row r="7980" spans="3:11" x14ac:dyDescent="0.2">
      <c r="C7980" s="19"/>
      <c r="D7980" s="19"/>
      <c r="E7980" s="19"/>
      <c r="F7980" s="20"/>
      <c r="G7980" s="19"/>
      <c r="H7980" s="19"/>
      <c r="I7980" s="19"/>
      <c r="J7980" s="21"/>
      <c r="K7980" s="19"/>
    </row>
    <row r="7981" spans="3:11" x14ac:dyDescent="0.2">
      <c r="C7981" s="19"/>
      <c r="D7981" s="19"/>
      <c r="E7981" s="19"/>
      <c r="F7981" s="20"/>
      <c r="G7981" s="19"/>
      <c r="H7981" s="19"/>
      <c r="I7981" s="19"/>
      <c r="J7981" s="21"/>
      <c r="K7981" s="19"/>
    </row>
    <row r="7982" spans="3:11" x14ac:dyDescent="0.2">
      <c r="C7982" s="19"/>
      <c r="D7982" s="19"/>
      <c r="E7982" s="19"/>
      <c r="F7982" s="20"/>
      <c r="G7982" s="19"/>
      <c r="H7982" s="19"/>
      <c r="I7982" s="19"/>
      <c r="J7982" s="21"/>
      <c r="K7982" s="19"/>
    </row>
    <row r="7983" spans="3:11" x14ac:dyDescent="0.2">
      <c r="C7983" s="19"/>
      <c r="D7983" s="19"/>
      <c r="E7983" s="19"/>
      <c r="F7983" s="20"/>
      <c r="G7983" s="19"/>
      <c r="H7983" s="19"/>
      <c r="I7983" s="19"/>
      <c r="J7983" s="21"/>
      <c r="K7983" s="19"/>
    </row>
    <row r="7984" spans="3:11" x14ac:dyDescent="0.2">
      <c r="C7984" s="19"/>
      <c r="D7984" s="19"/>
      <c r="E7984" s="19"/>
      <c r="F7984" s="20"/>
      <c r="G7984" s="19"/>
      <c r="H7984" s="19"/>
      <c r="I7984" s="19"/>
      <c r="J7984" s="21"/>
      <c r="K7984" s="19"/>
    </row>
    <row r="7985" spans="3:11" x14ac:dyDescent="0.2">
      <c r="C7985" s="19"/>
      <c r="D7985" s="19"/>
      <c r="E7985" s="19"/>
      <c r="F7985" s="20"/>
      <c r="G7985" s="19"/>
      <c r="H7985" s="19"/>
      <c r="I7985" s="19"/>
      <c r="J7985" s="21"/>
      <c r="K7985" s="19"/>
    </row>
    <row r="7986" spans="3:11" x14ac:dyDescent="0.2">
      <c r="C7986" s="19"/>
      <c r="D7986" s="19"/>
      <c r="E7986" s="19"/>
      <c r="F7986" s="20"/>
      <c r="G7986" s="19"/>
      <c r="H7986" s="19"/>
      <c r="I7986" s="19"/>
      <c r="J7986" s="21"/>
      <c r="K7986" s="19"/>
    </row>
    <row r="7987" spans="3:11" x14ac:dyDescent="0.2">
      <c r="C7987" s="19"/>
      <c r="D7987" s="19"/>
      <c r="E7987" s="19"/>
      <c r="F7987" s="20"/>
      <c r="G7987" s="19"/>
      <c r="H7987" s="19"/>
      <c r="I7987" s="19"/>
      <c r="J7987" s="21"/>
      <c r="K7987" s="19"/>
    </row>
    <row r="7988" spans="3:11" x14ac:dyDescent="0.2">
      <c r="C7988" s="19"/>
      <c r="D7988" s="19"/>
      <c r="E7988" s="19"/>
      <c r="F7988" s="20"/>
      <c r="G7988" s="19"/>
      <c r="H7988" s="19"/>
      <c r="I7988" s="19"/>
      <c r="J7988" s="21"/>
      <c r="K7988" s="19"/>
    </row>
    <row r="7989" spans="3:11" x14ac:dyDescent="0.2">
      <c r="C7989" s="19"/>
      <c r="D7989" s="19"/>
      <c r="E7989" s="19"/>
      <c r="F7989" s="20"/>
      <c r="G7989" s="19"/>
      <c r="H7989" s="19"/>
      <c r="I7989" s="19"/>
      <c r="J7989" s="21"/>
      <c r="K7989" s="19"/>
    </row>
    <row r="7990" spans="3:11" x14ac:dyDescent="0.2">
      <c r="C7990" s="19"/>
      <c r="D7990" s="19"/>
      <c r="E7990" s="19"/>
      <c r="F7990" s="20"/>
      <c r="G7990" s="19"/>
      <c r="H7990" s="19"/>
      <c r="I7990" s="19"/>
      <c r="J7990" s="21"/>
      <c r="K7990" s="19"/>
    </row>
    <row r="7991" spans="3:11" x14ac:dyDescent="0.2">
      <c r="C7991" s="19"/>
      <c r="D7991" s="19"/>
      <c r="E7991" s="19"/>
      <c r="F7991" s="20"/>
      <c r="G7991" s="19"/>
      <c r="H7991" s="19"/>
      <c r="I7991" s="19"/>
      <c r="J7991" s="21"/>
      <c r="K7991" s="19"/>
    </row>
    <row r="7992" spans="3:11" x14ac:dyDescent="0.2">
      <c r="C7992" s="19"/>
      <c r="D7992" s="19"/>
      <c r="E7992" s="19"/>
      <c r="F7992" s="20"/>
      <c r="G7992" s="19"/>
      <c r="H7992" s="19"/>
      <c r="I7992" s="19"/>
      <c r="J7992" s="21"/>
      <c r="K7992" s="19"/>
    </row>
    <row r="7993" spans="3:11" x14ac:dyDescent="0.2">
      <c r="C7993" s="19"/>
      <c r="D7993" s="19"/>
      <c r="E7993" s="19"/>
      <c r="F7993" s="20"/>
      <c r="G7993" s="19"/>
      <c r="H7993" s="19"/>
      <c r="I7993" s="19"/>
      <c r="J7993" s="21"/>
      <c r="K7993" s="19"/>
    </row>
    <row r="7994" spans="3:11" x14ac:dyDescent="0.2">
      <c r="C7994" s="19"/>
      <c r="D7994" s="19"/>
      <c r="E7994" s="19"/>
      <c r="F7994" s="20"/>
      <c r="G7994" s="19"/>
      <c r="H7994" s="19"/>
      <c r="I7994" s="19"/>
      <c r="J7994" s="21"/>
      <c r="K7994" s="19"/>
    </row>
    <row r="7995" spans="3:11" x14ac:dyDescent="0.2">
      <c r="C7995" s="19"/>
      <c r="D7995" s="19"/>
      <c r="E7995" s="19"/>
      <c r="F7995" s="20"/>
      <c r="G7995" s="19"/>
      <c r="H7995" s="19"/>
      <c r="I7995" s="19"/>
      <c r="J7995" s="21"/>
      <c r="K7995" s="19"/>
    </row>
    <row r="7996" spans="3:11" x14ac:dyDescent="0.2">
      <c r="C7996" s="19"/>
      <c r="D7996" s="19"/>
      <c r="E7996" s="19"/>
      <c r="F7996" s="20"/>
      <c r="G7996" s="19"/>
      <c r="H7996" s="19"/>
      <c r="I7996" s="19"/>
      <c r="J7996" s="21"/>
      <c r="K7996" s="19"/>
    </row>
    <row r="7997" spans="3:11" x14ac:dyDescent="0.2">
      <c r="C7997" s="19"/>
      <c r="D7997" s="19"/>
      <c r="E7997" s="19"/>
      <c r="F7997" s="20"/>
      <c r="G7997" s="19"/>
      <c r="H7997" s="19"/>
      <c r="I7997" s="19"/>
      <c r="J7997" s="21"/>
      <c r="K7997" s="19"/>
    </row>
    <row r="7998" spans="3:11" x14ac:dyDescent="0.2">
      <c r="C7998" s="19"/>
      <c r="D7998" s="19"/>
      <c r="E7998" s="19"/>
      <c r="F7998" s="20"/>
      <c r="G7998" s="19"/>
      <c r="H7998" s="19"/>
      <c r="I7998" s="19"/>
      <c r="J7998" s="21"/>
      <c r="K7998" s="19"/>
    </row>
    <row r="7999" spans="3:11" x14ac:dyDescent="0.2">
      <c r="C7999" s="19"/>
      <c r="D7999" s="19"/>
      <c r="E7999" s="19"/>
      <c r="F7999" s="20"/>
      <c r="G7999" s="19"/>
      <c r="H7999" s="19"/>
      <c r="I7999" s="19"/>
      <c r="J7999" s="21"/>
      <c r="K7999" s="19"/>
    </row>
    <row r="8000" spans="3:11" x14ac:dyDescent="0.2">
      <c r="C8000" s="19"/>
      <c r="D8000" s="19"/>
      <c r="E8000" s="19"/>
      <c r="F8000" s="20"/>
      <c r="G8000" s="19"/>
      <c r="H8000" s="19"/>
      <c r="I8000" s="19"/>
      <c r="J8000" s="21"/>
      <c r="K8000" s="19"/>
    </row>
    <row r="8001" spans="3:11" x14ac:dyDescent="0.2">
      <c r="C8001" s="19"/>
      <c r="D8001" s="19"/>
      <c r="E8001" s="19"/>
      <c r="F8001" s="20"/>
      <c r="G8001" s="19"/>
      <c r="H8001" s="19"/>
      <c r="I8001" s="19"/>
      <c r="J8001" s="21"/>
      <c r="K8001" s="19"/>
    </row>
    <row r="8002" spans="3:11" x14ac:dyDescent="0.2">
      <c r="C8002" s="19"/>
      <c r="D8002" s="19"/>
      <c r="E8002" s="19"/>
      <c r="F8002" s="20"/>
      <c r="G8002" s="19"/>
      <c r="H8002" s="19"/>
      <c r="I8002" s="19"/>
      <c r="J8002" s="21"/>
      <c r="K8002" s="19"/>
    </row>
    <row r="8003" spans="3:11" x14ac:dyDescent="0.2">
      <c r="C8003" s="19"/>
      <c r="D8003" s="19"/>
      <c r="E8003" s="19"/>
      <c r="F8003" s="20"/>
      <c r="G8003" s="19"/>
      <c r="H8003" s="19"/>
      <c r="I8003" s="19"/>
      <c r="J8003" s="21"/>
      <c r="K8003" s="19"/>
    </row>
    <row r="8004" spans="3:11" x14ac:dyDescent="0.2">
      <c r="C8004" s="19"/>
      <c r="D8004" s="19"/>
      <c r="E8004" s="19"/>
      <c r="F8004" s="20"/>
      <c r="G8004" s="19"/>
      <c r="H8004" s="19"/>
      <c r="I8004" s="19"/>
      <c r="J8004" s="19"/>
      <c r="K8004" s="19"/>
    </row>
    <row r="8005" spans="3:11" x14ac:dyDescent="0.2">
      <c r="C8005" s="19"/>
      <c r="D8005" s="19"/>
      <c r="E8005" s="19"/>
      <c r="F8005" s="20"/>
      <c r="G8005" s="19"/>
      <c r="H8005" s="19"/>
      <c r="I8005" s="19"/>
      <c r="J8005" s="21"/>
      <c r="K8005" s="19"/>
    </row>
    <row r="8006" spans="3:11" x14ac:dyDescent="0.2">
      <c r="C8006" s="19"/>
      <c r="D8006" s="19"/>
      <c r="E8006" s="19"/>
      <c r="F8006" s="20"/>
      <c r="G8006" s="19"/>
      <c r="H8006" s="19"/>
      <c r="I8006" s="19"/>
      <c r="J8006" s="21"/>
      <c r="K8006" s="19"/>
    </row>
    <row r="8007" spans="3:11" x14ac:dyDescent="0.2">
      <c r="C8007" s="19"/>
      <c r="D8007" s="19"/>
      <c r="E8007" s="19"/>
      <c r="F8007" s="20"/>
      <c r="G8007" s="19"/>
      <c r="H8007" s="19"/>
      <c r="I8007" s="19"/>
      <c r="J8007" s="21"/>
      <c r="K8007" s="19"/>
    </row>
    <row r="8008" spans="3:11" x14ac:dyDescent="0.2">
      <c r="C8008" s="19"/>
      <c r="D8008" s="19"/>
      <c r="E8008" s="19"/>
      <c r="F8008" s="20"/>
      <c r="G8008" s="19"/>
      <c r="H8008" s="19"/>
      <c r="I8008" s="19"/>
      <c r="J8008" s="21"/>
      <c r="K8008" s="19"/>
    </row>
    <row r="8009" spans="3:11" x14ac:dyDescent="0.2">
      <c r="C8009" s="19"/>
      <c r="D8009" s="19"/>
      <c r="E8009" s="19"/>
      <c r="F8009" s="20"/>
      <c r="G8009" s="19"/>
      <c r="H8009" s="19"/>
      <c r="I8009" s="19"/>
      <c r="J8009" s="19"/>
      <c r="K8009" s="19"/>
    </row>
    <row r="8010" spans="3:11" x14ac:dyDescent="0.2">
      <c r="C8010" s="19"/>
      <c r="D8010" s="19"/>
      <c r="E8010" s="19"/>
      <c r="F8010" s="20"/>
      <c r="G8010" s="19"/>
      <c r="H8010" s="19"/>
      <c r="I8010" s="19"/>
      <c r="J8010" s="21"/>
      <c r="K8010" s="19"/>
    </row>
    <row r="8011" spans="3:11" x14ac:dyDescent="0.2">
      <c r="C8011" s="19"/>
      <c r="D8011" s="19"/>
      <c r="E8011" s="19"/>
      <c r="F8011" s="20"/>
      <c r="G8011" s="19"/>
      <c r="H8011" s="19"/>
      <c r="I8011" s="19"/>
      <c r="J8011" s="21"/>
      <c r="K8011" s="19"/>
    </row>
    <row r="8012" spans="3:11" x14ac:dyDescent="0.2">
      <c r="C8012" s="19"/>
      <c r="D8012" s="19"/>
      <c r="E8012" s="19"/>
      <c r="F8012" s="20"/>
      <c r="G8012" s="19"/>
      <c r="H8012" s="19"/>
      <c r="I8012" s="19"/>
      <c r="J8012" s="21"/>
      <c r="K8012" s="19"/>
    </row>
    <row r="8013" spans="3:11" x14ac:dyDescent="0.2">
      <c r="C8013" s="19"/>
      <c r="D8013" s="19"/>
      <c r="E8013" s="19"/>
      <c r="F8013" s="20"/>
      <c r="G8013" s="19"/>
      <c r="H8013" s="19"/>
      <c r="I8013" s="19"/>
      <c r="J8013" s="21"/>
      <c r="K8013" s="19"/>
    </row>
    <row r="8014" spans="3:11" x14ac:dyDescent="0.2">
      <c r="C8014" s="19"/>
      <c r="D8014" s="19"/>
      <c r="E8014" s="19"/>
      <c r="F8014" s="20"/>
      <c r="G8014" s="19"/>
      <c r="H8014" s="19"/>
      <c r="I8014" s="19"/>
      <c r="J8014" s="21"/>
      <c r="K8014" s="19"/>
    </row>
    <row r="8015" spans="3:11" x14ac:dyDescent="0.2">
      <c r="C8015" s="19"/>
      <c r="D8015" s="19"/>
      <c r="E8015" s="19"/>
      <c r="F8015" s="20"/>
      <c r="G8015" s="19"/>
      <c r="H8015" s="19"/>
      <c r="I8015" s="19"/>
      <c r="J8015" s="21"/>
      <c r="K8015" s="19"/>
    </row>
    <row r="8016" spans="3:11" x14ac:dyDescent="0.2">
      <c r="C8016" s="19"/>
      <c r="D8016" s="19"/>
      <c r="E8016" s="19"/>
      <c r="F8016" s="20"/>
      <c r="G8016" s="19"/>
      <c r="H8016" s="19"/>
      <c r="I8016" s="19"/>
      <c r="J8016" s="21"/>
      <c r="K8016" s="19"/>
    </row>
    <row r="8017" spans="3:11" x14ac:dyDescent="0.2">
      <c r="C8017" s="19"/>
      <c r="D8017" s="19"/>
      <c r="E8017" s="19"/>
      <c r="F8017" s="20"/>
      <c r="G8017" s="19"/>
      <c r="H8017" s="19"/>
      <c r="I8017" s="19"/>
      <c r="J8017" s="21"/>
      <c r="K8017" s="19"/>
    </row>
    <row r="8018" spans="3:11" x14ac:dyDescent="0.2">
      <c r="C8018" s="19"/>
      <c r="D8018" s="19"/>
      <c r="E8018" s="19"/>
      <c r="F8018" s="20"/>
      <c r="G8018" s="19"/>
      <c r="H8018" s="19"/>
      <c r="I8018" s="19"/>
      <c r="J8018" s="21"/>
      <c r="K8018" s="19"/>
    </row>
    <row r="8019" spans="3:11" x14ac:dyDescent="0.2">
      <c r="C8019" s="19"/>
      <c r="D8019" s="19"/>
      <c r="E8019" s="19"/>
      <c r="F8019" s="20"/>
      <c r="G8019" s="19"/>
      <c r="H8019" s="19"/>
      <c r="I8019" s="19"/>
      <c r="J8019" s="21"/>
      <c r="K8019" s="19"/>
    </row>
    <row r="8020" spans="3:11" x14ac:dyDescent="0.2">
      <c r="C8020" s="19"/>
      <c r="D8020" s="19"/>
      <c r="E8020" s="19"/>
      <c r="F8020" s="20"/>
      <c r="G8020" s="19"/>
      <c r="H8020" s="19"/>
      <c r="I8020" s="19"/>
      <c r="J8020" s="21"/>
      <c r="K8020" s="19"/>
    </row>
    <row r="8021" spans="3:11" x14ac:dyDescent="0.2">
      <c r="C8021" s="19"/>
      <c r="D8021" s="19"/>
      <c r="E8021" s="19"/>
      <c r="F8021" s="20"/>
      <c r="G8021" s="19"/>
      <c r="H8021" s="19"/>
      <c r="I8021" s="19"/>
      <c r="J8021" s="21"/>
      <c r="K8021" s="19"/>
    </row>
    <row r="8022" spans="3:11" x14ac:dyDescent="0.2">
      <c r="C8022" s="19"/>
      <c r="D8022" s="19"/>
      <c r="E8022" s="19"/>
      <c r="F8022" s="20"/>
      <c r="G8022" s="19"/>
      <c r="H8022" s="19"/>
      <c r="I8022" s="19"/>
      <c r="J8022" s="21"/>
      <c r="K8022" s="19"/>
    </row>
    <row r="8023" spans="3:11" x14ac:dyDescent="0.2">
      <c r="C8023" s="19"/>
      <c r="D8023" s="19"/>
      <c r="E8023" s="19"/>
      <c r="F8023" s="20"/>
      <c r="G8023" s="19"/>
      <c r="H8023" s="19"/>
      <c r="I8023" s="19"/>
      <c r="J8023" s="21"/>
      <c r="K8023" s="19"/>
    </row>
    <row r="8024" spans="3:11" x14ac:dyDescent="0.2">
      <c r="C8024" s="19"/>
      <c r="D8024" s="19"/>
      <c r="E8024" s="19"/>
      <c r="F8024" s="20"/>
      <c r="G8024" s="19"/>
      <c r="H8024" s="19"/>
      <c r="I8024" s="19"/>
      <c r="J8024" s="21"/>
      <c r="K8024" s="19"/>
    </row>
    <row r="8025" spans="3:11" x14ac:dyDescent="0.2">
      <c r="C8025" s="19"/>
      <c r="D8025" s="19"/>
      <c r="E8025" s="19"/>
      <c r="F8025" s="20"/>
      <c r="G8025" s="19"/>
      <c r="H8025" s="19"/>
      <c r="I8025" s="19"/>
      <c r="J8025" s="19"/>
      <c r="K8025" s="19"/>
    </row>
    <row r="8026" spans="3:11" x14ac:dyDescent="0.2">
      <c r="C8026" s="19"/>
      <c r="D8026" s="19"/>
      <c r="E8026" s="19"/>
      <c r="F8026" s="20"/>
      <c r="G8026" s="19"/>
      <c r="H8026" s="19"/>
      <c r="I8026" s="19"/>
      <c r="J8026" s="21"/>
      <c r="K8026" s="19"/>
    </row>
    <row r="8027" spans="3:11" x14ac:dyDescent="0.2">
      <c r="C8027" s="19"/>
      <c r="D8027" s="19"/>
      <c r="E8027" s="19"/>
      <c r="F8027" s="20"/>
      <c r="G8027" s="19"/>
      <c r="H8027" s="19"/>
      <c r="I8027" s="19"/>
      <c r="J8027" s="21"/>
      <c r="K8027" s="19"/>
    </row>
    <row r="8028" spans="3:11" x14ac:dyDescent="0.2">
      <c r="C8028" s="19"/>
      <c r="D8028" s="19"/>
      <c r="E8028" s="19"/>
      <c r="F8028" s="20"/>
      <c r="G8028" s="19"/>
      <c r="H8028" s="19"/>
      <c r="I8028" s="19"/>
      <c r="J8028" s="21"/>
      <c r="K8028" s="19"/>
    </row>
    <row r="8029" spans="3:11" x14ac:dyDescent="0.2">
      <c r="C8029" s="19"/>
      <c r="D8029" s="19"/>
      <c r="E8029" s="19"/>
      <c r="F8029" s="20"/>
      <c r="G8029" s="19"/>
      <c r="H8029" s="19"/>
      <c r="I8029" s="19"/>
      <c r="J8029" s="21"/>
      <c r="K8029" s="19"/>
    </row>
    <row r="8030" spans="3:11" x14ac:dyDescent="0.2">
      <c r="C8030" s="19"/>
      <c r="D8030" s="19"/>
      <c r="E8030" s="19"/>
      <c r="F8030" s="20"/>
      <c r="G8030" s="19"/>
      <c r="H8030" s="19"/>
      <c r="I8030" s="19"/>
      <c r="J8030" s="19"/>
      <c r="K8030" s="19"/>
    </row>
    <row r="8031" spans="3:11" x14ac:dyDescent="0.2">
      <c r="C8031" s="19"/>
      <c r="D8031" s="19"/>
      <c r="E8031" s="19"/>
      <c r="F8031" s="20"/>
      <c r="G8031" s="19"/>
      <c r="H8031" s="19"/>
      <c r="I8031" s="19"/>
      <c r="J8031" s="21"/>
      <c r="K8031" s="19"/>
    </row>
    <row r="8032" spans="3:11" x14ac:dyDescent="0.2">
      <c r="C8032" s="19"/>
      <c r="D8032" s="19"/>
      <c r="E8032" s="19"/>
      <c r="F8032" s="20"/>
      <c r="G8032" s="19"/>
      <c r="H8032" s="19"/>
      <c r="I8032" s="19"/>
      <c r="J8032" s="21"/>
      <c r="K8032" s="19"/>
    </row>
    <row r="8033" spans="3:11" x14ac:dyDescent="0.2">
      <c r="C8033" s="19"/>
      <c r="D8033" s="19"/>
      <c r="E8033" s="19"/>
      <c r="F8033" s="20"/>
      <c r="G8033" s="19"/>
      <c r="H8033" s="19"/>
      <c r="I8033" s="19"/>
      <c r="J8033" s="21"/>
      <c r="K8033" s="19"/>
    </row>
    <row r="8034" spans="3:11" x14ac:dyDescent="0.2">
      <c r="C8034" s="19"/>
      <c r="D8034" s="19"/>
      <c r="E8034" s="19"/>
      <c r="F8034" s="20"/>
      <c r="G8034" s="19"/>
      <c r="H8034" s="19"/>
      <c r="I8034" s="19"/>
      <c r="J8034" s="19"/>
      <c r="K8034" s="19"/>
    </row>
    <row r="8035" spans="3:11" x14ac:dyDescent="0.2">
      <c r="C8035" s="19"/>
      <c r="D8035" s="19"/>
      <c r="E8035" s="19"/>
      <c r="F8035" s="20"/>
      <c r="G8035" s="19"/>
      <c r="H8035" s="19"/>
      <c r="I8035" s="19"/>
      <c r="J8035" s="21"/>
      <c r="K8035" s="19"/>
    </row>
    <row r="8036" spans="3:11" x14ac:dyDescent="0.2">
      <c r="C8036" s="19"/>
      <c r="D8036" s="19"/>
      <c r="E8036" s="19"/>
      <c r="F8036" s="20"/>
      <c r="G8036" s="19"/>
      <c r="H8036" s="19"/>
      <c r="I8036" s="19"/>
      <c r="J8036" s="21"/>
      <c r="K8036" s="19"/>
    </row>
    <row r="8037" spans="3:11" x14ac:dyDescent="0.2">
      <c r="C8037" s="19"/>
      <c r="D8037" s="19"/>
      <c r="E8037" s="19"/>
      <c r="F8037" s="20"/>
      <c r="G8037" s="19"/>
      <c r="H8037" s="19"/>
      <c r="I8037" s="19"/>
      <c r="J8037" s="21"/>
      <c r="K8037" s="19"/>
    </row>
    <row r="8038" spans="3:11" x14ac:dyDescent="0.2">
      <c r="C8038" s="19"/>
      <c r="D8038" s="19"/>
      <c r="E8038" s="19"/>
      <c r="F8038" s="20"/>
      <c r="G8038" s="19"/>
      <c r="H8038" s="19"/>
      <c r="I8038" s="19"/>
      <c r="J8038" s="21"/>
      <c r="K8038" s="19"/>
    </row>
    <row r="8039" spans="3:11" x14ac:dyDescent="0.2">
      <c r="C8039" s="19"/>
      <c r="D8039" s="19"/>
      <c r="E8039" s="19"/>
      <c r="F8039" s="20"/>
      <c r="G8039" s="19"/>
      <c r="H8039" s="19"/>
      <c r="I8039" s="19"/>
      <c r="J8039" s="21"/>
      <c r="K8039" s="19"/>
    </row>
    <row r="8040" spans="3:11" x14ac:dyDescent="0.2">
      <c r="C8040" s="19"/>
      <c r="D8040" s="19"/>
      <c r="E8040" s="19"/>
      <c r="F8040" s="20"/>
      <c r="G8040" s="19"/>
      <c r="H8040" s="19"/>
      <c r="I8040" s="19"/>
      <c r="J8040" s="21"/>
      <c r="K8040" s="19"/>
    </row>
    <row r="8041" spans="3:11" x14ac:dyDescent="0.2">
      <c r="C8041" s="19"/>
      <c r="D8041" s="19"/>
      <c r="E8041" s="19"/>
      <c r="F8041" s="20"/>
      <c r="G8041" s="19"/>
      <c r="H8041" s="19"/>
      <c r="I8041" s="19"/>
      <c r="J8041" s="21"/>
      <c r="K8041" s="19"/>
    </row>
    <row r="8042" spans="3:11" x14ac:dyDescent="0.2">
      <c r="C8042" s="19"/>
      <c r="D8042" s="19"/>
      <c r="E8042" s="19"/>
      <c r="F8042" s="20"/>
      <c r="G8042" s="19"/>
      <c r="H8042" s="19"/>
      <c r="I8042" s="19"/>
      <c r="J8042" s="21"/>
      <c r="K8042" s="19"/>
    </row>
    <row r="8043" spans="3:11" x14ac:dyDescent="0.2">
      <c r="C8043" s="19"/>
      <c r="D8043" s="19"/>
      <c r="E8043" s="19"/>
      <c r="F8043" s="20"/>
      <c r="G8043" s="19"/>
      <c r="H8043" s="19"/>
      <c r="I8043" s="19"/>
      <c r="J8043" s="21"/>
      <c r="K8043" s="19"/>
    </row>
    <row r="8044" spans="3:11" x14ac:dyDescent="0.2">
      <c r="C8044" s="19"/>
      <c r="D8044" s="19"/>
      <c r="E8044" s="19"/>
      <c r="F8044" s="20"/>
      <c r="G8044" s="19"/>
      <c r="H8044" s="19"/>
      <c r="I8044" s="19"/>
      <c r="J8044" s="21"/>
      <c r="K8044" s="19"/>
    </row>
    <row r="8045" spans="3:11" x14ac:dyDescent="0.2">
      <c r="C8045" s="19"/>
      <c r="D8045" s="19"/>
      <c r="E8045" s="19"/>
      <c r="F8045" s="20"/>
      <c r="G8045" s="19"/>
      <c r="H8045" s="19"/>
      <c r="I8045" s="19"/>
      <c r="J8045" s="21"/>
      <c r="K8045" s="19"/>
    </row>
    <row r="8046" spans="3:11" x14ac:dyDescent="0.2">
      <c r="C8046" s="19"/>
      <c r="D8046" s="19"/>
      <c r="E8046" s="19"/>
      <c r="F8046" s="20"/>
      <c r="G8046" s="19"/>
      <c r="H8046" s="19"/>
      <c r="I8046" s="19"/>
      <c r="J8046" s="21"/>
      <c r="K8046" s="19"/>
    </row>
    <row r="8047" spans="3:11" x14ac:dyDescent="0.2">
      <c r="C8047" s="19"/>
      <c r="D8047" s="19"/>
      <c r="E8047" s="19"/>
      <c r="F8047" s="20"/>
      <c r="G8047" s="19"/>
      <c r="H8047" s="19"/>
      <c r="I8047" s="19"/>
      <c r="J8047" s="21"/>
      <c r="K8047" s="19"/>
    </row>
    <row r="8048" spans="3:11" x14ac:dyDescent="0.2">
      <c r="C8048" s="19"/>
      <c r="D8048" s="19"/>
      <c r="E8048" s="19"/>
      <c r="F8048" s="20"/>
      <c r="G8048" s="19"/>
      <c r="H8048" s="19"/>
      <c r="I8048" s="19"/>
      <c r="J8048" s="21"/>
      <c r="K8048" s="19"/>
    </row>
    <row r="8049" spans="3:11" x14ac:dyDescent="0.2">
      <c r="C8049" s="19"/>
      <c r="D8049" s="19"/>
      <c r="E8049" s="19"/>
      <c r="F8049" s="20"/>
      <c r="G8049" s="19"/>
      <c r="H8049" s="19"/>
      <c r="I8049" s="19"/>
      <c r="J8049" s="21"/>
      <c r="K8049" s="19"/>
    </row>
    <row r="8050" spans="3:11" x14ac:dyDescent="0.2">
      <c r="C8050" s="19"/>
      <c r="D8050" s="19"/>
      <c r="E8050" s="19"/>
      <c r="F8050" s="20"/>
      <c r="G8050" s="19"/>
      <c r="H8050" s="19"/>
      <c r="I8050" s="19"/>
      <c r="J8050" s="21"/>
      <c r="K8050" s="19"/>
    </row>
    <row r="8051" spans="3:11" x14ac:dyDescent="0.2">
      <c r="C8051" s="19"/>
      <c r="D8051" s="19"/>
      <c r="E8051" s="19"/>
      <c r="F8051" s="20"/>
      <c r="G8051" s="19"/>
      <c r="H8051" s="19"/>
      <c r="I8051" s="19"/>
      <c r="J8051" s="21"/>
      <c r="K8051" s="19"/>
    </row>
    <row r="8052" spans="3:11" x14ac:dyDescent="0.2">
      <c r="C8052" s="19"/>
      <c r="D8052" s="19"/>
      <c r="E8052" s="19"/>
      <c r="F8052" s="20"/>
      <c r="G8052" s="19"/>
      <c r="H8052" s="19"/>
      <c r="I8052" s="19"/>
      <c r="J8052" s="21"/>
      <c r="K8052" s="19"/>
    </row>
    <row r="8053" spans="3:11" x14ac:dyDescent="0.2">
      <c r="C8053" s="19"/>
      <c r="D8053" s="19"/>
      <c r="E8053" s="19"/>
      <c r="F8053" s="20"/>
      <c r="G8053" s="19"/>
      <c r="H8053" s="19"/>
      <c r="I8053" s="19"/>
      <c r="J8053" s="21"/>
      <c r="K8053" s="19"/>
    </row>
    <row r="8054" spans="3:11" x14ac:dyDescent="0.2">
      <c r="C8054" s="19"/>
      <c r="D8054" s="19"/>
      <c r="E8054" s="19"/>
      <c r="F8054" s="20"/>
      <c r="G8054" s="19"/>
      <c r="H8054" s="19"/>
      <c r="I8054" s="19"/>
      <c r="J8054" s="21"/>
      <c r="K8054" s="19"/>
    </row>
    <row r="8055" spans="3:11" x14ac:dyDescent="0.2">
      <c r="C8055" s="19"/>
      <c r="D8055" s="19"/>
      <c r="E8055" s="19"/>
      <c r="F8055" s="20"/>
      <c r="G8055" s="19"/>
      <c r="H8055" s="19"/>
      <c r="I8055" s="19"/>
      <c r="J8055" s="21"/>
      <c r="K8055" s="19"/>
    </row>
    <row r="8056" spans="3:11" x14ac:dyDescent="0.2">
      <c r="C8056" s="19"/>
      <c r="D8056" s="19"/>
      <c r="E8056" s="19"/>
      <c r="F8056" s="20"/>
      <c r="G8056" s="19"/>
      <c r="H8056" s="19"/>
      <c r="I8056" s="19"/>
      <c r="J8056" s="21"/>
      <c r="K8056" s="19"/>
    </row>
    <row r="8057" spans="3:11" x14ac:dyDescent="0.2">
      <c r="C8057" s="19"/>
      <c r="D8057" s="19"/>
      <c r="E8057" s="19"/>
      <c r="F8057" s="20"/>
      <c r="G8057" s="19"/>
      <c r="H8057" s="19"/>
      <c r="I8057" s="19"/>
      <c r="J8057" s="21"/>
      <c r="K8057" s="19"/>
    </row>
    <row r="8058" spans="3:11" x14ac:dyDescent="0.2">
      <c r="C8058" s="19"/>
      <c r="D8058" s="19"/>
      <c r="E8058" s="19"/>
      <c r="F8058" s="20"/>
      <c r="G8058" s="19"/>
      <c r="H8058" s="19"/>
      <c r="I8058" s="19"/>
      <c r="J8058" s="21"/>
      <c r="K8058" s="19"/>
    </row>
    <row r="8059" spans="3:11" x14ac:dyDescent="0.2">
      <c r="C8059" s="19"/>
      <c r="D8059" s="19"/>
      <c r="E8059" s="19"/>
      <c r="F8059" s="20"/>
      <c r="G8059" s="19"/>
      <c r="H8059" s="19"/>
      <c r="I8059" s="19"/>
      <c r="J8059" s="21"/>
      <c r="K8059" s="19"/>
    </row>
    <row r="8060" spans="3:11" x14ac:dyDescent="0.2">
      <c r="C8060" s="19"/>
      <c r="D8060" s="19"/>
      <c r="E8060" s="19"/>
      <c r="F8060" s="20"/>
      <c r="G8060" s="19"/>
      <c r="H8060" s="19"/>
      <c r="I8060" s="19"/>
      <c r="J8060" s="21"/>
      <c r="K8060" s="19"/>
    </row>
    <row r="8061" spans="3:11" x14ac:dyDescent="0.2">
      <c r="C8061" s="19"/>
      <c r="D8061" s="19"/>
      <c r="E8061" s="19"/>
      <c r="F8061" s="20"/>
      <c r="G8061" s="19"/>
      <c r="H8061" s="19"/>
      <c r="I8061" s="19"/>
      <c r="J8061" s="21"/>
      <c r="K8061" s="19"/>
    </row>
    <row r="8062" spans="3:11" x14ac:dyDescent="0.2">
      <c r="C8062" s="19"/>
      <c r="D8062" s="19"/>
      <c r="E8062" s="19"/>
      <c r="F8062" s="20"/>
      <c r="G8062" s="19"/>
      <c r="H8062" s="19"/>
      <c r="I8062" s="19"/>
      <c r="J8062" s="21"/>
      <c r="K8062" s="19"/>
    </row>
    <row r="8063" spans="3:11" x14ac:dyDescent="0.2">
      <c r="C8063" s="19"/>
      <c r="D8063" s="19"/>
      <c r="E8063" s="19"/>
      <c r="F8063" s="20"/>
      <c r="G8063" s="19"/>
      <c r="H8063" s="19"/>
      <c r="I8063" s="19"/>
      <c r="J8063" s="21"/>
      <c r="K8063" s="19"/>
    </row>
    <row r="8064" spans="3:11" x14ac:dyDescent="0.2">
      <c r="C8064" s="19"/>
      <c r="D8064" s="19"/>
      <c r="E8064" s="19"/>
      <c r="F8064" s="20"/>
      <c r="G8064" s="19"/>
      <c r="H8064" s="19"/>
      <c r="I8064" s="19"/>
      <c r="J8064" s="21"/>
      <c r="K8064" s="19"/>
    </row>
    <row r="8065" spans="3:11" x14ac:dyDescent="0.2">
      <c r="C8065" s="19"/>
      <c r="D8065" s="19"/>
      <c r="E8065" s="19"/>
      <c r="F8065" s="20"/>
      <c r="G8065" s="19"/>
      <c r="H8065" s="19"/>
      <c r="I8065" s="19"/>
      <c r="J8065" s="21"/>
      <c r="K8065" s="19"/>
    </row>
    <row r="8066" spans="3:11" x14ac:dyDescent="0.2">
      <c r="C8066" s="19"/>
      <c r="D8066" s="19"/>
      <c r="E8066" s="19"/>
      <c r="F8066" s="20"/>
      <c r="G8066" s="19"/>
      <c r="H8066" s="19"/>
      <c r="I8066" s="19"/>
      <c r="J8066" s="21"/>
      <c r="K8066" s="19"/>
    </row>
    <row r="8067" spans="3:11" x14ac:dyDescent="0.2">
      <c r="C8067" s="19"/>
      <c r="D8067" s="19"/>
      <c r="E8067" s="19"/>
      <c r="F8067" s="20"/>
      <c r="G8067" s="19"/>
      <c r="H8067" s="19"/>
      <c r="I8067" s="19"/>
      <c r="J8067" s="21"/>
      <c r="K8067" s="19"/>
    </row>
    <row r="8068" spans="3:11" x14ac:dyDescent="0.2">
      <c r="C8068" s="19"/>
      <c r="D8068" s="19"/>
      <c r="E8068" s="19"/>
      <c r="F8068" s="20"/>
      <c r="G8068" s="19"/>
      <c r="H8068" s="19"/>
      <c r="I8068" s="19"/>
      <c r="J8068" s="21"/>
      <c r="K8068" s="19"/>
    </row>
    <row r="8069" spans="3:11" x14ac:dyDescent="0.2">
      <c r="C8069" s="19"/>
      <c r="D8069" s="19"/>
      <c r="E8069" s="19"/>
      <c r="F8069" s="20"/>
      <c r="G8069" s="19"/>
      <c r="H8069" s="19"/>
      <c r="I8069" s="19"/>
      <c r="J8069" s="21"/>
      <c r="K8069" s="19"/>
    </row>
    <row r="8070" spans="3:11" x14ac:dyDescent="0.2">
      <c r="C8070" s="19"/>
      <c r="D8070" s="19"/>
      <c r="E8070" s="19"/>
      <c r="F8070" s="20"/>
      <c r="G8070" s="19"/>
      <c r="H8070" s="19"/>
      <c r="I8070" s="19"/>
      <c r="J8070" s="21"/>
      <c r="K8070" s="19"/>
    </row>
    <row r="8071" spans="3:11" x14ac:dyDescent="0.2">
      <c r="C8071" s="19"/>
      <c r="D8071" s="19"/>
      <c r="E8071" s="19"/>
      <c r="F8071" s="20"/>
      <c r="G8071" s="19"/>
      <c r="H8071" s="19"/>
      <c r="I8071" s="19"/>
      <c r="J8071" s="21"/>
      <c r="K8071" s="19"/>
    </row>
    <row r="8072" spans="3:11" x14ac:dyDescent="0.2">
      <c r="C8072" s="19"/>
      <c r="D8072" s="19"/>
      <c r="E8072" s="19"/>
      <c r="F8072" s="20"/>
      <c r="G8072" s="19"/>
      <c r="H8072" s="19"/>
      <c r="I8072" s="19"/>
      <c r="J8072" s="21"/>
      <c r="K8072" s="19"/>
    </row>
    <row r="8073" spans="3:11" x14ac:dyDescent="0.2">
      <c r="C8073" s="19"/>
      <c r="D8073" s="19"/>
      <c r="E8073" s="19"/>
      <c r="F8073" s="20"/>
      <c r="G8073" s="19"/>
      <c r="H8073" s="19"/>
      <c r="I8073" s="19"/>
      <c r="J8073" s="21"/>
      <c r="K8073" s="19"/>
    </row>
    <row r="8074" spans="3:11" x14ac:dyDescent="0.2">
      <c r="C8074" s="19"/>
      <c r="D8074" s="19"/>
      <c r="E8074" s="19"/>
      <c r="F8074" s="20"/>
      <c r="G8074" s="19"/>
      <c r="H8074" s="19"/>
      <c r="I8074" s="19"/>
      <c r="J8074" s="21"/>
      <c r="K8074" s="19"/>
    </row>
    <row r="8075" spans="3:11" x14ac:dyDescent="0.2">
      <c r="C8075" s="19"/>
      <c r="D8075" s="19"/>
      <c r="E8075" s="19"/>
      <c r="F8075" s="20"/>
      <c r="G8075" s="19"/>
      <c r="H8075" s="19"/>
      <c r="I8075" s="19"/>
      <c r="J8075" s="21"/>
      <c r="K8075" s="19"/>
    </row>
    <row r="8076" spans="3:11" x14ac:dyDescent="0.2">
      <c r="C8076" s="19"/>
      <c r="D8076" s="19"/>
      <c r="E8076" s="19"/>
      <c r="F8076" s="20"/>
      <c r="G8076" s="19"/>
      <c r="H8076" s="19"/>
      <c r="I8076" s="19"/>
      <c r="J8076" s="21"/>
      <c r="K8076" s="19"/>
    </row>
    <row r="8077" spans="3:11" x14ac:dyDescent="0.2">
      <c r="C8077" s="19"/>
      <c r="D8077" s="19"/>
      <c r="E8077" s="19"/>
      <c r="F8077" s="20"/>
      <c r="G8077" s="19"/>
      <c r="H8077" s="19"/>
      <c r="I8077" s="19"/>
      <c r="J8077" s="21"/>
      <c r="K8077" s="19"/>
    </row>
    <row r="8078" spans="3:11" x14ac:dyDescent="0.2">
      <c r="C8078" s="19"/>
      <c r="D8078" s="19"/>
      <c r="E8078" s="19"/>
      <c r="F8078" s="20"/>
      <c r="G8078" s="19"/>
      <c r="H8078" s="19"/>
      <c r="I8078" s="19"/>
      <c r="J8078" s="21"/>
      <c r="K8078" s="19"/>
    </row>
    <row r="8079" spans="3:11" x14ac:dyDescent="0.2">
      <c r="C8079" s="19"/>
      <c r="D8079" s="19"/>
      <c r="E8079" s="19"/>
      <c r="F8079" s="20"/>
      <c r="G8079" s="19"/>
      <c r="H8079" s="19"/>
      <c r="I8079" s="19"/>
      <c r="J8079" s="21"/>
      <c r="K8079" s="19"/>
    </row>
    <row r="8080" spans="3:11" x14ac:dyDescent="0.2">
      <c r="C8080" s="19"/>
      <c r="D8080" s="19"/>
      <c r="E8080" s="19"/>
      <c r="F8080" s="20"/>
      <c r="G8080" s="19"/>
      <c r="H8080" s="19"/>
      <c r="I8080" s="19"/>
      <c r="J8080" s="21"/>
      <c r="K8080" s="19"/>
    </row>
    <row r="8081" spans="3:11" x14ac:dyDescent="0.2">
      <c r="C8081" s="19"/>
      <c r="D8081" s="19"/>
      <c r="E8081" s="19"/>
      <c r="F8081" s="20"/>
      <c r="G8081" s="19"/>
      <c r="H8081" s="19"/>
      <c r="I8081" s="19"/>
      <c r="J8081" s="21"/>
      <c r="K8081" s="19"/>
    </row>
    <row r="8082" spans="3:11" x14ac:dyDescent="0.2">
      <c r="C8082" s="19"/>
      <c r="D8082" s="19"/>
      <c r="E8082" s="19"/>
      <c r="F8082" s="20"/>
      <c r="G8082" s="19"/>
      <c r="H8082" s="19"/>
      <c r="I8082" s="19"/>
      <c r="J8082" s="21"/>
      <c r="K8082" s="19"/>
    </row>
    <row r="8083" spans="3:11" x14ac:dyDescent="0.2">
      <c r="C8083" s="19"/>
      <c r="D8083" s="19"/>
      <c r="E8083" s="19"/>
      <c r="F8083" s="20"/>
      <c r="G8083" s="19"/>
      <c r="H8083" s="19"/>
      <c r="I8083" s="19"/>
      <c r="J8083" s="21"/>
      <c r="K8083" s="19"/>
    </row>
    <row r="8084" spans="3:11" x14ac:dyDescent="0.2">
      <c r="C8084" s="19"/>
      <c r="D8084" s="19"/>
      <c r="E8084" s="19"/>
      <c r="F8084" s="20"/>
      <c r="G8084" s="19"/>
      <c r="H8084" s="19"/>
      <c r="I8084" s="19"/>
      <c r="J8084" s="21"/>
      <c r="K8084" s="19"/>
    </row>
    <row r="8085" spans="3:11" x14ac:dyDescent="0.2">
      <c r="C8085" s="19"/>
      <c r="D8085" s="19"/>
      <c r="E8085" s="19"/>
      <c r="F8085" s="20"/>
      <c r="G8085" s="19"/>
      <c r="H8085" s="19"/>
      <c r="I8085" s="19"/>
      <c r="J8085" s="21"/>
      <c r="K8085" s="19"/>
    </row>
    <row r="8086" spans="3:11" x14ac:dyDescent="0.2">
      <c r="C8086" s="19"/>
      <c r="D8086" s="19"/>
      <c r="E8086" s="19"/>
      <c r="F8086" s="20"/>
      <c r="G8086" s="19"/>
      <c r="H8086" s="19"/>
      <c r="I8086" s="19"/>
      <c r="J8086" s="21"/>
      <c r="K8086" s="19"/>
    </row>
    <row r="8087" spans="3:11" x14ac:dyDescent="0.2">
      <c r="C8087" s="19"/>
      <c r="D8087" s="19"/>
      <c r="E8087" s="19"/>
      <c r="F8087" s="20"/>
      <c r="G8087" s="19"/>
      <c r="H8087" s="19"/>
      <c r="I8087" s="19"/>
      <c r="J8087" s="21"/>
      <c r="K8087" s="19"/>
    </row>
    <row r="8088" spans="3:11" x14ac:dyDescent="0.2">
      <c r="C8088" s="19"/>
      <c r="D8088" s="19"/>
      <c r="E8088" s="19"/>
      <c r="F8088" s="20"/>
      <c r="G8088" s="19"/>
      <c r="H8088" s="19"/>
      <c r="I8088" s="19"/>
      <c r="J8088" s="21"/>
      <c r="K8088" s="19"/>
    </row>
    <row r="8089" spans="3:11" x14ac:dyDescent="0.2">
      <c r="C8089" s="19"/>
      <c r="D8089" s="19"/>
      <c r="E8089" s="19"/>
      <c r="F8089" s="20"/>
      <c r="G8089" s="19"/>
      <c r="H8089" s="19"/>
      <c r="I8089" s="19"/>
      <c r="J8089" s="21"/>
      <c r="K8089" s="19"/>
    </row>
    <row r="8090" spans="3:11" x14ac:dyDescent="0.2">
      <c r="C8090" s="19"/>
      <c r="D8090" s="19"/>
      <c r="E8090" s="19"/>
      <c r="F8090" s="20"/>
      <c r="G8090" s="19"/>
      <c r="H8090" s="19"/>
      <c r="I8090" s="19"/>
      <c r="J8090" s="21"/>
      <c r="K8090" s="19"/>
    </row>
    <row r="8091" spans="3:11" x14ac:dyDescent="0.2">
      <c r="C8091" s="19"/>
      <c r="D8091" s="19"/>
      <c r="E8091" s="19"/>
      <c r="F8091" s="20"/>
      <c r="G8091" s="19"/>
      <c r="H8091" s="19"/>
      <c r="I8091" s="19"/>
      <c r="J8091" s="21"/>
      <c r="K8091" s="19"/>
    </row>
    <row r="8092" spans="3:11" x14ac:dyDescent="0.2">
      <c r="C8092" s="19"/>
      <c r="D8092" s="19"/>
      <c r="E8092" s="19"/>
      <c r="F8092" s="20"/>
      <c r="G8092" s="19"/>
      <c r="H8092" s="19"/>
      <c r="I8092" s="19"/>
      <c r="J8092" s="21"/>
      <c r="K8092" s="19"/>
    </row>
    <row r="8093" spans="3:11" x14ac:dyDescent="0.2">
      <c r="C8093" s="19"/>
      <c r="D8093" s="19"/>
      <c r="E8093" s="19"/>
      <c r="F8093" s="20"/>
      <c r="G8093" s="19"/>
      <c r="H8093" s="19"/>
      <c r="I8093" s="19"/>
      <c r="J8093" s="21"/>
      <c r="K8093" s="19"/>
    </row>
    <row r="8094" spans="3:11" x14ac:dyDescent="0.2">
      <c r="C8094" s="19"/>
      <c r="D8094" s="19"/>
      <c r="E8094" s="19"/>
      <c r="F8094" s="20"/>
      <c r="G8094" s="19"/>
      <c r="H8094" s="19"/>
      <c r="I8094" s="19"/>
      <c r="J8094" s="21"/>
      <c r="K8094" s="19"/>
    </row>
    <row r="8095" spans="3:11" x14ac:dyDescent="0.2">
      <c r="C8095" s="19"/>
      <c r="D8095" s="19"/>
      <c r="E8095" s="19"/>
      <c r="F8095" s="20"/>
      <c r="G8095" s="19"/>
      <c r="H8095" s="19"/>
      <c r="I8095" s="19"/>
      <c r="J8095" s="21"/>
      <c r="K8095" s="19"/>
    </row>
    <row r="8096" spans="3:11" x14ac:dyDescent="0.2">
      <c r="C8096" s="19"/>
      <c r="D8096" s="19"/>
      <c r="E8096" s="19"/>
      <c r="F8096" s="20"/>
      <c r="G8096" s="19"/>
      <c r="H8096" s="19"/>
      <c r="I8096" s="19"/>
      <c r="J8096" s="21"/>
      <c r="K8096" s="19"/>
    </row>
    <row r="8097" spans="3:11" x14ac:dyDescent="0.2">
      <c r="C8097" s="19"/>
      <c r="D8097" s="19"/>
      <c r="E8097" s="19"/>
      <c r="F8097" s="20"/>
      <c r="G8097" s="19"/>
      <c r="H8097" s="19"/>
      <c r="I8097" s="19"/>
      <c r="J8097" s="21"/>
      <c r="K8097" s="19"/>
    </row>
    <row r="8098" spans="3:11" x14ac:dyDescent="0.2">
      <c r="C8098" s="19"/>
      <c r="D8098" s="19"/>
      <c r="E8098" s="19"/>
      <c r="F8098" s="20"/>
      <c r="G8098" s="19"/>
      <c r="H8098" s="19"/>
      <c r="I8098" s="19"/>
      <c r="J8098" s="21"/>
      <c r="K8098" s="19"/>
    </row>
    <row r="8099" spans="3:11" x14ac:dyDescent="0.2">
      <c r="C8099" s="19"/>
      <c r="D8099" s="19"/>
      <c r="E8099" s="19"/>
      <c r="F8099" s="20"/>
      <c r="G8099" s="19"/>
      <c r="H8099" s="19"/>
      <c r="I8099" s="19"/>
      <c r="J8099" s="21"/>
      <c r="K8099" s="19"/>
    </row>
    <row r="8100" spans="3:11" x14ac:dyDescent="0.2">
      <c r="C8100" s="19"/>
      <c r="D8100" s="19"/>
      <c r="E8100" s="19"/>
      <c r="F8100" s="20"/>
      <c r="G8100" s="19"/>
      <c r="H8100" s="19"/>
      <c r="I8100" s="19"/>
      <c r="J8100" s="21"/>
      <c r="K8100" s="19"/>
    </row>
    <row r="8101" spans="3:11" x14ac:dyDescent="0.2">
      <c r="C8101" s="19"/>
      <c r="D8101" s="19"/>
      <c r="E8101" s="19"/>
      <c r="F8101" s="20"/>
      <c r="G8101" s="19"/>
      <c r="H8101" s="19"/>
      <c r="I8101" s="19"/>
      <c r="J8101" s="21"/>
      <c r="K8101" s="19"/>
    </row>
    <row r="8102" spans="3:11" x14ac:dyDescent="0.2">
      <c r="C8102" s="19"/>
      <c r="D8102" s="19"/>
      <c r="E8102" s="19"/>
      <c r="F8102" s="20"/>
      <c r="G8102" s="19"/>
      <c r="H8102" s="19"/>
      <c r="I8102" s="19"/>
      <c r="J8102" s="21"/>
      <c r="K8102" s="19"/>
    </row>
    <row r="8103" spans="3:11" x14ac:dyDescent="0.2">
      <c r="C8103" s="19"/>
      <c r="D8103" s="19"/>
      <c r="E8103" s="19"/>
      <c r="F8103" s="20"/>
      <c r="G8103" s="19"/>
      <c r="H8103" s="19"/>
      <c r="I8103" s="19"/>
      <c r="J8103" s="21"/>
      <c r="K8103" s="19"/>
    </row>
    <row r="8104" spans="3:11" x14ac:dyDescent="0.2">
      <c r="C8104" s="19"/>
      <c r="D8104" s="19"/>
      <c r="E8104" s="19"/>
      <c r="F8104" s="20"/>
      <c r="G8104" s="19"/>
      <c r="H8104" s="19"/>
      <c r="I8104" s="19"/>
      <c r="J8104" s="21"/>
      <c r="K8104" s="19"/>
    </row>
    <row r="8105" spans="3:11" x14ac:dyDescent="0.2">
      <c r="C8105" s="19"/>
      <c r="D8105" s="19"/>
      <c r="E8105" s="19"/>
      <c r="F8105" s="20"/>
      <c r="G8105" s="19"/>
      <c r="H8105" s="19"/>
      <c r="I8105" s="19"/>
      <c r="J8105" s="21"/>
      <c r="K8105" s="19"/>
    </row>
    <row r="8106" spans="3:11" x14ac:dyDescent="0.2">
      <c r="C8106" s="19"/>
      <c r="D8106" s="19"/>
      <c r="E8106" s="19"/>
      <c r="F8106" s="20"/>
      <c r="G8106" s="19"/>
      <c r="H8106" s="19"/>
      <c r="I8106" s="19"/>
      <c r="J8106" s="21"/>
      <c r="K8106" s="19"/>
    </row>
    <row r="8107" spans="3:11" x14ac:dyDescent="0.2">
      <c r="C8107" s="19"/>
      <c r="D8107" s="19"/>
      <c r="E8107" s="19"/>
      <c r="F8107" s="20"/>
      <c r="G8107" s="19"/>
      <c r="H8107" s="19"/>
      <c r="I8107" s="19"/>
      <c r="J8107" s="21"/>
      <c r="K8107" s="19"/>
    </row>
    <row r="8108" spans="3:11" x14ac:dyDescent="0.2">
      <c r="C8108" s="19"/>
      <c r="D8108" s="19"/>
      <c r="E8108" s="19"/>
      <c r="F8108" s="20"/>
      <c r="G8108" s="19"/>
      <c r="H8108" s="19"/>
      <c r="I8108" s="19"/>
      <c r="J8108" s="21"/>
      <c r="K8108" s="19"/>
    </row>
    <row r="8109" spans="3:11" x14ac:dyDescent="0.2">
      <c r="C8109" s="19"/>
      <c r="D8109" s="19"/>
      <c r="E8109" s="19"/>
      <c r="F8109" s="20"/>
      <c r="G8109" s="19"/>
      <c r="H8109" s="19"/>
      <c r="I8109" s="19"/>
      <c r="J8109" s="21"/>
      <c r="K8109" s="19"/>
    </row>
    <row r="8110" spans="3:11" x14ac:dyDescent="0.2">
      <c r="C8110" s="19"/>
      <c r="D8110" s="19"/>
      <c r="E8110" s="19"/>
      <c r="F8110" s="20"/>
      <c r="G8110" s="19"/>
      <c r="H8110" s="19"/>
      <c r="I8110" s="19"/>
      <c r="J8110" s="21"/>
      <c r="K8110" s="19"/>
    </row>
    <row r="8111" spans="3:11" x14ac:dyDescent="0.2">
      <c r="C8111" s="19"/>
      <c r="D8111" s="19"/>
      <c r="E8111" s="19"/>
      <c r="F8111" s="20"/>
      <c r="G8111" s="19"/>
      <c r="H8111" s="19"/>
      <c r="I8111" s="19"/>
      <c r="J8111" s="21"/>
      <c r="K8111" s="19"/>
    </row>
    <row r="8112" spans="3:11" x14ac:dyDescent="0.2">
      <c r="C8112" s="19"/>
      <c r="D8112" s="19"/>
      <c r="E8112" s="19"/>
      <c r="F8112" s="20"/>
      <c r="G8112" s="19"/>
      <c r="H8112" s="19"/>
      <c r="I8112" s="19"/>
      <c r="J8112" s="21"/>
      <c r="K8112" s="19"/>
    </row>
    <row r="8113" spans="3:11" x14ac:dyDescent="0.2">
      <c r="C8113" s="19"/>
      <c r="D8113" s="19"/>
      <c r="E8113" s="19"/>
      <c r="F8113" s="20"/>
      <c r="G8113" s="19"/>
      <c r="H8113" s="19"/>
      <c r="I8113" s="19"/>
      <c r="J8113" s="21"/>
      <c r="K8113" s="19"/>
    </row>
    <row r="8114" spans="3:11" x14ac:dyDescent="0.2">
      <c r="C8114" s="19"/>
      <c r="D8114" s="19"/>
      <c r="E8114" s="19"/>
      <c r="F8114" s="20"/>
      <c r="G8114" s="19"/>
      <c r="H8114" s="19"/>
      <c r="I8114" s="19"/>
      <c r="J8114" s="21"/>
      <c r="K8114" s="19"/>
    </row>
    <row r="8115" spans="3:11" x14ac:dyDescent="0.2">
      <c r="C8115" s="19"/>
      <c r="D8115" s="19"/>
      <c r="E8115" s="19"/>
      <c r="F8115" s="20"/>
      <c r="G8115" s="19"/>
      <c r="H8115" s="19"/>
      <c r="I8115" s="19"/>
      <c r="J8115" s="21"/>
      <c r="K8115" s="19"/>
    </row>
    <row r="8116" spans="3:11" x14ac:dyDescent="0.2">
      <c r="C8116" s="19"/>
      <c r="D8116" s="19"/>
      <c r="E8116" s="19"/>
      <c r="F8116" s="20"/>
      <c r="G8116" s="19"/>
      <c r="H8116" s="19"/>
      <c r="I8116" s="19"/>
      <c r="J8116" s="21"/>
      <c r="K8116" s="19"/>
    </row>
    <row r="8117" spans="3:11" x14ac:dyDescent="0.2">
      <c r="C8117" s="19"/>
      <c r="D8117" s="19"/>
      <c r="E8117" s="19"/>
      <c r="F8117" s="20"/>
      <c r="G8117" s="19"/>
      <c r="H8117" s="19"/>
      <c r="I8117" s="19"/>
      <c r="J8117" s="19"/>
      <c r="K8117" s="19"/>
    </row>
    <row r="8118" spans="3:11" x14ac:dyDescent="0.2">
      <c r="C8118" s="19"/>
      <c r="D8118" s="19"/>
      <c r="E8118" s="19"/>
      <c r="F8118" s="20"/>
      <c r="G8118" s="19"/>
      <c r="H8118" s="19"/>
      <c r="I8118" s="19"/>
      <c r="J8118" s="21"/>
      <c r="K8118" s="19"/>
    </row>
    <row r="8119" spans="3:11" x14ac:dyDescent="0.2">
      <c r="C8119" s="19"/>
      <c r="D8119" s="19"/>
      <c r="E8119" s="19"/>
      <c r="F8119" s="20"/>
      <c r="G8119" s="19"/>
      <c r="H8119" s="19"/>
      <c r="I8119" s="19"/>
      <c r="J8119" s="21"/>
      <c r="K8119" s="19"/>
    </row>
    <row r="8120" spans="3:11" x14ac:dyDescent="0.2">
      <c r="C8120" s="19"/>
      <c r="D8120" s="19"/>
      <c r="E8120" s="19"/>
      <c r="F8120" s="20"/>
      <c r="G8120" s="19"/>
      <c r="H8120" s="19"/>
      <c r="I8120" s="19"/>
      <c r="J8120" s="21"/>
      <c r="K8120" s="19"/>
    </row>
    <row r="8121" spans="3:11" x14ac:dyDescent="0.2">
      <c r="C8121" s="19"/>
      <c r="D8121" s="19"/>
      <c r="E8121" s="19"/>
      <c r="F8121" s="20"/>
      <c r="G8121" s="19"/>
      <c r="H8121" s="19"/>
      <c r="I8121" s="19"/>
      <c r="J8121" s="21"/>
      <c r="K8121" s="19"/>
    </row>
    <row r="8122" spans="3:11" x14ac:dyDescent="0.2">
      <c r="C8122" s="19"/>
      <c r="D8122" s="19"/>
      <c r="E8122" s="19"/>
      <c r="F8122" s="20"/>
      <c r="G8122" s="19"/>
      <c r="H8122" s="19"/>
      <c r="I8122" s="19"/>
      <c r="J8122" s="19"/>
      <c r="K8122" s="19"/>
    </row>
    <row r="8123" spans="3:11" x14ac:dyDescent="0.2">
      <c r="C8123" s="19"/>
      <c r="D8123" s="19"/>
      <c r="E8123" s="19"/>
      <c r="F8123" s="20"/>
      <c r="G8123" s="19"/>
      <c r="H8123" s="19"/>
      <c r="I8123" s="19"/>
      <c r="J8123" s="21"/>
      <c r="K8123" s="19"/>
    </row>
    <row r="8124" spans="3:11" x14ac:dyDescent="0.2">
      <c r="C8124" s="19"/>
      <c r="D8124" s="19"/>
      <c r="E8124" s="19"/>
      <c r="F8124" s="20"/>
      <c r="G8124" s="19"/>
      <c r="H8124" s="19"/>
      <c r="I8124" s="19"/>
      <c r="J8124" s="19"/>
      <c r="K8124" s="19"/>
    </row>
    <row r="8125" spans="3:11" x14ac:dyDescent="0.2">
      <c r="C8125" s="19"/>
      <c r="D8125" s="19"/>
      <c r="E8125" s="19"/>
      <c r="F8125" s="20"/>
      <c r="G8125" s="19"/>
      <c r="H8125" s="19"/>
      <c r="I8125" s="19"/>
      <c r="J8125" s="21"/>
      <c r="K8125" s="19"/>
    </row>
    <row r="8126" spans="3:11" x14ac:dyDescent="0.2">
      <c r="C8126" s="19"/>
      <c r="D8126" s="19"/>
      <c r="E8126" s="19"/>
      <c r="F8126" s="20"/>
      <c r="G8126" s="19"/>
      <c r="H8126" s="19"/>
      <c r="I8126" s="19"/>
      <c r="J8126" s="21"/>
      <c r="K8126" s="19"/>
    </row>
    <row r="8127" spans="3:11" x14ac:dyDescent="0.2">
      <c r="C8127" s="19"/>
      <c r="D8127" s="19"/>
      <c r="E8127" s="19"/>
      <c r="F8127" s="20"/>
      <c r="G8127" s="19"/>
      <c r="H8127" s="19"/>
      <c r="I8127" s="19"/>
      <c r="J8127" s="21"/>
      <c r="K8127" s="19"/>
    </row>
    <row r="8128" spans="3:11" x14ac:dyDescent="0.2">
      <c r="C8128" s="19"/>
      <c r="D8128" s="19"/>
      <c r="E8128" s="19"/>
      <c r="F8128" s="20"/>
      <c r="G8128" s="19"/>
      <c r="H8128" s="19"/>
      <c r="I8128" s="19"/>
      <c r="J8128" s="21"/>
      <c r="K8128" s="19"/>
    </row>
    <row r="8129" spans="3:11" x14ac:dyDescent="0.2">
      <c r="C8129" s="19"/>
      <c r="D8129" s="19"/>
      <c r="E8129" s="19"/>
      <c r="F8129" s="20"/>
      <c r="G8129" s="19"/>
      <c r="H8129" s="19"/>
      <c r="I8129" s="19"/>
      <c r="J8129" s="21"/>
      <c r="K8129" s="19"/>
    </row>
    <row r="8130" spans="3:11" x14ac:dyDescent="0.2">
      <c r="C8130" s="19"/>
      <c r="D8130" s="19"/>
      <c r="E8130" s="19"/>
      <c r="F8130" s="20"/>
      <c r="G8130" s="19"/>
      <c r="H8130" s="19"/>
      <c r="I8130" s="19"/>
      <c r="J8130" s="21"/>
      <c r="K8130" s="19"/>
    </row>
    <row r="8131" spans="3:11" x14ac:dyDescent="0.2">
      <c r="C8131" s="19"/>
      <c r="D8131" s="19"/>
      <c r="E8131" s="19"/>
      <c r="F8131" s="20"/>
      <c r="G8131" s="19"/>
      <c r="H8131" s="19"/>
      <c r="I8131" s="19"/>
      <c r="J8131" s="21"/>
      <c r="K8131" s="19"/>
    </row>
    <row r="8132" spans="3:11" x14ac:dyDescent="0.2">
      <c r="C8132" s="19"/>
      <c r="D8132" s="19"/>
      <c r="E8132" s="19"/>
      <c r="F8132" s="20"/>
      <c r="G8132" s="19"/>
      <c r="H8132" s="19"/>
      <c r="I8132" s="19"/>
      <c r="J8132" s="21"/>
      <c r="K8132" s="19"/>
    </row>
    <row r="8133" spans="3:11" x14ac:dyDescent="0.2">
      <c r="C8133" s="19"/>
      <c r="D8133" s="19"/>
      <c r="E8133" s="19"/>
      <c r="F8133" s="20"/>
      <c r="G8133" s="19"/>
      <c r="H8133" s="19"/>
      <c r="I8133" s="19"/>
      <c r="J8133" s="21"/>
      <c r="K8133" s="19"/>
    </row>
    <row r="8134" spans="3:11" x14ac:dyDescent="0.2">
      <c r="C8134" s="19"/>
      <c r="D8134" s="19"/>
      <c r="E8134" s="19"/>
      <c r="F8134" s="20"/>
      <c r="G8134" s="19"/>
      <c r="H8134" s="19"/>
      <c r="I8134" s="19"/>
      <c r="J8134" s="19"/>
      <c r="K8134" s="19"/>
    </row>
    <row r="8135" spans="3:11" x14ac:dyDescent="0.2">
      <c r="C8135" s="19"/>
      <c r="D8135" s="19"/>
      <c r="E8135" s="19"/>
      <c r="F8135" s="20"/>
      <c r="G8135" s="19"/>
      <c r="H8135" s="19"/>
      <c r="I8135" s="19"/>
      <c r="J8135" s="21"/>
      <c r="K8135" s="19"/>
    </row>
    <row r="8136" spans="3:11" x14ac:dyDescent="0.2">
      <c r="C8136" s="19"/>
      <c r="D8136" s="19"/>
      <c r="E8136" s="19"/>
      <c r="F8136" s="20"/>
      <c r="G8136" s="19"/>
      <c r="H8136" s="19"/>
      <c r="I8136" s="19"/>
      <c r="J8136" s="21"/>
      <c r="K8136" s="19"/>
    </row>
    <row r="8137" spans="3:11" x14ac:dyDescent="0.2">
      <c r="C8137" s="19"/>
      <c r="D8137" s="19"/>
      <c r="E8137" s="19"/>
      <c r="F8137" s="20"/>
      <c r="G8137" s="19"/>
      <c r="H8137" s="19"/>
      <c r="I8137" s="19"/>
      <c r="J8137" s="21"/>
      <c r="K8137" s="19"/>
    </row>
    <row r="8138" spans="3:11" x14ac:dyDescent="0.2">
      <c r="C8138" s="19"/>
      <c r="D8138" s="19"/>
      <c r="E8138" s="19"/>
      <c r="F8138" s="20"/>
      <c r="G8138" s="19"/>
      <c r="H8138" s="19"/>
      <c r="I8138" s="19"/>
      <c r="J8138" s="21"/>
      <c r="K8138" s="19"/>
    </row>
    <row r="8139" spans="3:11" x14ac:dyDescent="0.2">
      <c r="C8139" s="19"/>
      <c r="D8139" s="19"/>
      <c r="E8139" s="19"/>
      <c r="F8139" s="20"/>
      <c r="G8139" s="19"/>
      <c r="H8139" s="19"/>
      <c r="I8139" s="19"/>
      <c r="J8139" s="21"/>
      <c r="K8139" s="19"/>
    </row>
    <row r="8140" spans="3:11" x14ac:dyDescent="0.2">
      <c r="C8140" s="19"/>
      <c r="D8140" s="19"/>
      <c r="E8140" s="19"/>
      <c r="F8140" s="20"/>
      <c r="G8140" s="19"/>
      <c r="H8140" s="19"/>
      <c r="I8140" s="19"/>
      <c r="J8140" s="21"/>
      <c r="K8140" s="19"/>
    </row>
    <row r="8141" spans="3:11" x14ac:dyDescent="0.2">
      <c r="C8141" s="19"/>
      <c r="D8141" s="19"/>
      <c r="E8141" s="19"/>
      <c r="F8141" s="20"/>
      <c r="G8141" s="19"/>
      <c r="H8141" s="19"/>
      <c r="I8141" s="19"/>
      <c r="J8141" s="19"/>
      <c r="K8141" s="19"/>
    </row>
    <row r="8142" spans="3:11" x14ac:dyDescent="0.2">
      <c r="C8142" s="19"/>
      <c r="D8142" s="19"/>
      <c r="E8142" s="19"/>
      <c r="F8142" s="20"/>
      <c r="G8142" s="19"/>
      <c r="H8142" s="19"/>
      <c r="I8142" s="19"/>
      <c r="J8142" s="19"/>
      <c r="K8142" s="19"/>
    </row>
    <row r="8143" spans="3:11" x14ac:dyDescent="0.2">
      <c r="C8143" s="19"/>
      <c r="D8143" s="19"/>
      <c r="E8143" s="19"/>
      <c r="F8143" s="20"/>
      <c r="G8143" s="19"/>
      <c r="H8143" s="19"/>
      <c r="I8143" s="19"/>
      <c r="J8143" s="21"/>
      <c r="K8143" s="19"/>
    </row>
    <row r="8144" spans="3:11" x14ac:dyDescent="0.2">
      <c r="C8144" s="19"/>
      <c r="D8144" s="19"/>
      <c r="E8144" s="19"/>
      <c r="F8144" s="20"/>
      <c r="G8144" s="19"/>
      <c r="H8144" s="19"/>
      <c r="I8144" s="19"/>
      <c r="J8144" s="19"/>
      <c r="K8144" s="19"/>
    </row>
    <row r="8145" spans="3:11" x14ac:dyDescent="0.2">
      <c r="C8145" s="19"/>
      <c r="D8145" s="19"/>
      <c r="E8145" s="19"/>
      <c r="F8145" s="20"/>
      <c r="G8145" s="19"/>
      <c r="H8145" s="19"/>
      <c r="I8145" s="19"/>
      <c r="J8145" s="21"/>
      <c r="K8145" s="19"/>
    </row>
    <row r="8146" spans="3:11" x14ac:dyDescent="0.2">
      <c r="C8146" s="19"/>
      <c r="D8146" s="19"/>
      <c r="E8146" s="19"/>
      <c r="F8146" s="20"/>
      <c r="G8146" s="19"/>
      <c r="H8146" s="19"/>
      <c r="I8146" s="19"/>
      <c r="J8146" s="21"/>
      <c r="K8146" s="19"/>
    </row>
    <row r="8147" spans="3:11" x14ac:dyDescent="0.2">
      <c r="C8147" s="19"/>
      <c r="D8147" s="19"/>
      <c r="E8147" s="19"/>
      <c r="F8147" s="20"/>
      <c r="G8147" s="19"/>
      <c r="H8147" s="19"/>
      <c r="I8147" s="19"/>
      <c r="J8147" s="21"/>
      <c r="K8147" s="19"/>
    </row>
    <row r="8148" spans="3:11" x14ac:dyDescent="0.2">
      <c r="C8148" s="19"/>
      <c r="D8148" s="19"/>
      <c r="E8148" s="19"/>
      <c r="F8148" s="20"/>
      <c r="G8148" s="19"/>
      <c r="H8148" s="19"/>
      <c r="I8148" s="19"/>
      <c r="J8148" s="21"/>
      <c r="K8148" s="19"/>
    </row>
    <row r="8149" spans="3:11" x14ac:dyDescent="0.2">
      <c r="C8149" s="19"/>
      <c r="D8149" s="19"/>
      <c r="E8149" s="19"/>
      <c r="F8149" s="20"/>
      <c r="G8149" s="19"/>
      <c r="H8149" s="19"/>
      <c r="I8149" s="19"/>
      <c r="J8149" s="21"/>
      <c r="K8149" s="19"/>
    </row>
    <row r="8150" spans="3:11" x14ac:dyDescent="0.2">
      <c r="C8150" s="19"/>
      <c r="D8150" s="19"/>
      <c r="E8150" s="19"/>
      <c r="F8150" s="20"/>
      <c r="G8150" s="19"/>
      <c r="H8150" s="19"/>
      <c r="I8150" s="19"/>
      <c r="J8150" s="21"/>
      <c r="K8150" s="19"/>
    </row>
    <row r="8151" spans="3:11" x14ac:dyDescent="0.2">
      <c r="C8151" s="19"/>
      <c r="D8151" s="19"/>
      <c r="E8151" s="19"/>
      <c r="F8151" s="20"/>
      <c r="G8151" s="19"/>
      <c r="H8151" s="19"/>
      <c r="I8151" s="19"/>
      <c r="J8151" s="21"/>
      <c r="K8151" s="19"/>
    </row>
    <row r="8152" spans="3:11" x14ac:dyDescent="0.2">
      <c r="C8152" s="19"/>
      <c r="D8152" s="19"/>
      <c r="E8152" s="19"/>
      <c r="F8152" s="20"/>
      <c r="G8152" s="19"/>
      <c r="H8152" s="19"/>
      <c r="I8152" s="19"/>
      <c r="J8152" s="21"/>
      <c r="K8152" s="19"/>
    </row>
    <row r="8153" spans="3:11" x14ac:dyDescent="0.2">
      <c r="C8153" s="19"/>
      <c r="D8153" s="19"/>
      <c r="E8153" s="19"/>
      <c r="F8153" s="20"/>
      <c r="G8153" s="19"/>
      <c r="H8153" s="19"/>
      <c r="I8153" s="19"/>
      <c r="J8153" s="21"/>
      <c r="K8153" s="19"/>
    </row>
    <row r="8154" spans="3:11" x14ac:dyDescent="0.2">
      <c r="C8154" s="19"/>
      <c r="D8154" s="19"/>
      <c r="E8154" s="19"/>
      <c r="F8154" s="20"/>
      <c r="G8154" s="19"/>
      <c r="H8154" s="19"/>
      <c r="I8154" s="19"/>
      <c r="J8154" s="21"/>
      <c r="K8154" s="19"/>
    </row>
    <row r="8155" spans="3:11" x14ac:dyDescent="0.2">
      <c r="C8155" s="19"/>
      <c r="D8155" s="19"/>
      <c r="E8155" s="19"/>
      <c r="F8155" s="20"/>
      <c r="G8155" s="19"/>
      <c r="H8155" s="19"/>
      <c r="I8155" s="19"/>
      <c r="J8155" s="21"/>
      <c r="K8155" s="19"/>
    </row>
    <row r="8156" spans="3:11" x14ac:dyDescent="0.2">
      <c r="C8156" s="19"/>
      <c r="D8156" s="19"/>
      <c r="E8156" s="19"/>
      <c r="F8156" s="20"/>
      <c r="G8156" s="19"/>
      <c r="H8156" s="19"/>
      <c r="I8156" s="19"/>
      <c r="J8156" s="21"/>
      <c r="K8156" s="19"/>
    </row>
    <row r="8157" spans="3:11" x14ac:dyDescent="0.2">
      <c r="C8157" s="19"/>
      <c r="D8157" s="19"/>
      <c r="E8157" s="19"/>
      <c r="F8157" s="20"/>
      <c r="G8157" s="19"/>
      <c r="H8157" s="19"/>
      <c r="I8157" s="19"/>
      <c r="J8157" s="21"/>
      <c r="K8157" s="19"/>
    </row>
    <row r="8158" spans="3:11" x14ac:dyDescent="0.2">
      <c r="C8158" s="19"/>
      <c r="D8158" s="19"/>
      <c r="E8158" s="19"/>
      <c r="F8158" s="20"/>
      <c r="G8158" s="19"/>
      <c r="H8158" s="19"/>
      <c r="I8158" s="19"/>
      <c r="J8158" s="21"/>
      <c r="K8158" s="19"/>
    </row>
    <row r="8159" spans="3:11" x14ac:dyDescent="0.2">
      <c r="C8159" s="19"/>
      <c r="D8159" s="19"/>
      <c r="E8159" s="19"/>
      <c r="F8159" s="20"/>
      <c r="G8159" s="19"/>
      <c r="H8159" s="19"/>
      <c r="I8159" s="19"/>
      <c r="J8159" s="21"/>
      <c r="K8159" s="19"/>
    </row>
    <row r="8160" spans="3:11" x14ac:dyDescent="0.2">
      <c r="C8160" s="19"/>
      <c r="D8160" s="19"/>
      <c r="E8160" s="19"/>
      <c r="F8160" s="20"/>
      <c r="G8160" s="19"/>
      <c r="H8160" s="19"/>
      <c r="I8160" s="19"/>
      <c r="J8160" s="21"/>
      <c r="K8160" s="19"/>
    </row>
    <row r="8161" spans="3:11" x14ac:dyDescent="0.2">
      <c r="C8161" s="19"/>
      <c r="D8161" s="19"/>
      <c r="E8161" s="19"/>
      <c r="F8161" s="20"/>
      <c r="G8161" s="19"/>
      <c r="H8161" s="19"/>
      <c r="I8161" s="19"/>
      <c r="J8161" s="21"/>
      <c r="K8161" s="19"/>
    </row>
    <row r="8162" spans="3:11" x14ac:dyDescent="0.2">
      <c r="C8162" s="19"/>
      <c r="D8162" s="19"/>
      <c r="E8162" s="19"/>
      <c r="F8162" s="20"/>
      <c r="G8162" s="19"/>
      <c r="H8162" s="19"/>
      <c r="I8162" s="19"/>
      <c r="J8162" s="21"/>
      <c r="K8162" s="19"/>
    </row>
    <row r="8163" spans="3:11" x14ac:dyDescent="0.2">
      <c r="C8163" s="19"/>
      <c r="D8163" s="19"/>
      <c r="E8163" s="19"/>
      <c r="F8163" s="20"/>
      <c r="G8163" s="19"/>
      <c r="H8163" s="19"/>
      <c r="I8163" s="19"/>
      <c r="J8163" s="21"/>
      <c r="K8163" s="19"/>
    </row>
    <row r="8164" spans="3:11" x14ac:dyDescent="0.2">
      <c r="C8164" s="19"/>
      <c r="D8164" s="19"/>
      <c r="E8164" s="19"/>
      <c r="F8164" s="20"/>
      <c r="G8164" s="19"/>
      <c r="H8164" s="19"/>
      <c r="I8164" s="19"/>
      <c r="J8164" s="21"/>
      <c r="K8164" s="19"/>
    </row>
    <row r="8165" spans="3:11" x14ac:dyDescent="0.2">
      <c r="C8165" s="19"/>
      <c r="D8165" s="19"/>
      <c r="E8165" s="19"/>
      <c r="F8165" s="20"/>
      <c r="G8165" s="19"/>
      <c r="H8165" s="19"/>
      <c r="I8165" s="19"/>
      <c r="J8165" s="21"/>
      <c r="K8165" s="19"/>
    </row>
    <row r="8166" spans="3:11" x14ac:dyDescent="0.2">
      <c r="C8166" s="19"/>
      <c r="D8166" s="19"/>
      <c r="E8166" s="19"/>
      <c r="F8166" s="20"/>
      <c r="G8166" s="19"/>
      <c r="H8166" s="19"/>
      <c r="I8166" s="19"/>
      <c r="J8166" s="21"/>
      <c r="K8166" s="19"/>
    </row>
    <row r="8167" spans="3:11" x14ac:dyDescent="0.2">
      <c r="C8167" s="19"/>
      <c r="D8167" s="19"/>
      <c r="E8167" s="19"/>
      <c r="F8167" s="20"/>
      <c r="G8167" s="19"/>
      <c r="H8167" s="19"/>
      <c r="I8167" s="19"/>
      <c r="J8167" s="21"/>
      <c r="K8167" s="19"/>
    </row>
    <row r="8168" spans="3:11" x14ac:dyDescent="0.2">
      <c r="C8168" s="19"/>
      <c r="D8168" s="19"/>
      <c r="E8168" s="19"/>
      <c r="F8168" s="20"/>
      <c r="G8168" s="19"/>
      <c r="H8168" s="19"/>
      <c r="I8168" s="19"/>
      <c r="J8168" s="21"/>
      <c r="K8168" s="19"/>
    </row>
    <row r="8169" spans="3:11" x14ac:dyDescent="0.2">
      <c r="C8169" s="19"/>
      <c r="D8169" s="19"/>
      <c r="E8169" s="19"/>
      <c r="F8169" s="20"/>
      <c r="G8169" s="19"/>
      <c r="H8169" s="19"/>
      <c r="I8169" s="19"/>
      <c r="J8169" s="21"/>
      <c r="K8169" s="19"/>
    </row>
    <row r="8170" spans="3:11" x14ac:dyDescent="0.2">
      <c r="C8170" s="19"/>
      <c r="D8170" s="19"/>
      <c r="E8170" s="19"/>
      <c r="F8170" s="20"/>
      <c r="G8170" s="19"/>
      <c r="H8170" s="19"/>
      <c r="I8170" s="19"/>
      <c r="J8170" s="21"/>
      <c r="K8170" s="19"/>
    </row>
    <row r="8171" spans="3:11" x14ac:dyDescent="0.2">
      <c r="C8171" s="19"/>
      <c r="D8171" s="19"/>
      <c r="E8171" s="19"/>
      <c r="F8171" s="20"/>
      <c r="G8171" s="19"/>
      <c r="H8171" s="19"/>
      <c r="I8171" s="19"/>
      <c r="J8171" s="21"/>
      <c r="K8171" s="19"/>
    </row>
    <row r="8172" spans="3:11" x14ac:dyDescent="0.2">
      <c r="C8172" s="19"/>
      <c r="D8172" s="19"/>
      <c r="E8172" s="19"/>
      <c r="F8172" s="20"/>
      <c r="G8172" s="19"/>
      <c r="H8172" s="19"/>
      <c r="I8172" s="19"/>
      <c r="J8172" s="21"/>
      <c r="K8172" s="19"/>
    </row>
    <row r="8173" spans="3:11" x14ac:dyDescent="0.2">
      <c r="C8173" s="19"/>
      <c r="D8173" s="19"/>
      <c r="E8173" s="19"/>
      <c r="F8173" s="20"/>
      <c r="G8173" s="19"/>
      <c r="H8173" s="19"/>
      <c r="I8173" s="19"/>
      <c r="J8173" s="21"/>
      <c r="K8173" s="19"/>
    </row>
    <row r="8174" spans="3:11" x14ac:dyDescent="0.2">
      <c r="C8174" s="19"/>
      <c r="D8174" s="19"/>
      <c r="E8174" s="19"/>
      <c r="F8174" s="20"/>
      <c r="G8174" s="19"/>
      <c r="H8174" s="19"/>
      <c r="I8174" s="19"/>
      <c r="J8174" s="21"/>
      <c r="K8174" s="19"/>
    </row>
    <row r="8175" spans="3:11" x14ac:dyDescent="0.2">
      <c r="C8175" s="19"/>
      <c r="D8175" s="19"/>
      <c r="E8175" s="19"/>
      <c r="F8175" s="20"/>
      <c r="G8175" s="19"/>
      <c r="H8175" s="19"/>
      <c r="I8175" s="19"/>
      <c r="J8175" s="21"/>
      <c r="K8175" s="19"/>
    </row>
    <row r="8176" spans="3:11" x14ac:dyDescent="0.2">
      <c r="C8176" s="19"/>
      <c r="D8176" s="19"/>
      <c r="E8176" s="19"/>
      <c r="F8176" s="20"/>
      <c r="G8176" s="19"/>
      <c r="H8176" s="19"/>
      <c r="I8176" s="19"/>
      <c r="J8176" s="21"/>
      <c r="K8176" s="19"/>
    </row>
    <row r="8177" spans="3:11" x14ac:dyDescent="0.2">
      <c r="C8177" s="19"/>
      <c r="D8177" s="19"/>
      <c r="E8177" s="19"/>
      <c r="F8177" s="20"/>
      <c r="G8177" s="19"/>
      <c r="H8177" s="19"/>
      <c r="I8177" s="19"/>
      <c r="J8177" s="21"/>
      <c r="K8177" s="19"/>
    </row>
    <row r="8178" spans="3:11" x14ac:dyDescent="0.2">
      <c r="C8178" s="19"/>
      <c r="D8178" s="19"/>
      <c r="E8178" s="19"/>
      <c r="F8178" s="20"/>
      <c r="G8178" s="19"/>
      <c r="H8178" s="19"/>
      <c r="I8178" s="19"/>
      <c r="J8178" s="21"/>
      <c r="K8178" s="19"/>
    </row>
    <row r="8179" spans="3:11" x14ac:dyDescent="0.2">
      <c r="C8179" s="19"/>
      <c r="D8179" s="19"/>
      <c r="E8179" s="19"/>
      <c r="F8179" s="20"/>
      <c r="G8179" s="19"/>
      <c r="H8179" s="19"/>
      <c r="I8179" s="19"/>
      <c r="J8179" s="21"/>
      <c r="K8179" s="19"/>
    </row>
    <row r="8180" spans="3:11" x14ac:dyDescent="0.2">
      <c r="C8180" s="19"/>
      <c r="D8180" s="19"/>
      <c r="E8180" s="19"/>
      <c r="F8180" s="20"/>
      <c r="G8180" s="19"/>
      <c r="H8180" s="19"/>
      <c r="I8180" s="19"/>
      <c r="J8180" s="21"/>
      <c r="K8180" s="19"/>
    </row>
    <row r="8181" spans="3:11" x14ac:dyDescent="0.2">
      <c r="C8181" s="19"/>
      <c r="D8181" s="19"/>
      <c r="E8181" s="19"/>
      <c r="F8181" s="20"/>
      <c r="G8181" s="19"/>
      <c r="H8181" s="19"/>
      <c r="I8181" s="19"/>
      <c r="J8181" s="21"/>
      <c r="K8181" s="19"/>
    </row>
    <row r="8182" spans="3:11" x14ac:dyDescent="0.2">
      <c r="C8182" s="19"/>
      <c r="D8182" s="19"/>
      <c r="E8182" s="19"/>
      <c r="F8182" s="20"/>
      <c r="G8182" s="19"/>
      <c r="H8182" s="19"/>
      <c r="I8182" s="19"/>
      <c r="J8182" s="21"/>
      <c r="K8182" s="19"/>
    </row>
    <row r="8183" spans="3:11" x14ac:dyDescent="0.2">
      <c r="C8183" s="19"/>
      <c r="D8183" s="19"/>
      <c r="E8183" s="19"/>
      <c r="F8183" s="20"/>
      <c r="G8183" s="19"/>
      <c r="H8183" s="19"/>
      <c r="I8183" s="19"/>
      <c r="J8183" s="21"/>
      <c r="K8183" s="19"/>
    </row>
    <row r="8184" spans="3:11" x14ac:dyDescent="0.2">
      <c r="C8184" s="19"/>
      <c r="D8184" s="19"/>
      <c r="E8184" s="19"/>
      <c r="F8184" s="20"/>
      <c r="G8184" s="19"/>
      <c r="H8184" s="19"/>
      <c r="I8184" s="19"/>
      <c r="J8184" s="21"/>
      <c r="K8184" s="19"/>
    </row>
    <row r="8185" spans="3:11" x14ac:dyDescent="0.2">
      <c r="C8185" s="19"/>
      <c r="D8185" s="19"/>
      <c r="E8185" s="19"/>
      <c r="F8185" s="20"/>
      <c r="G8185" s="19"/>
      <c r="H8185" s="19"/>
      <c r="I8185" s="19"/>
      <c r="J8185" s="21"/>
      <c r="K8185" s="19"/>
    </row>
    <row r="8186" spans="3:11" x14ac:dyDescent="0.2">
      <c r="C8186" s="19"/>
      <c r="D8186" s="19"/>
      <c r="E8186" s="19"/>
      <c r="F8186" s="20"/>
      <c r="G8186" s="19"/>
      <c r="H8186" s="19"/>
      <c r="I8186" s="19"/>
      <c r="J8186" s="21"/>
      <c r="K8186" s="19"/>
    </row>
    <row r="8187" spans="3:11" x14ac:dyDescent="0.2">
      <c r="C8187" s="19"/>
      <c r="D8187" s="19"/>
      <c r="E8187" s="19"/>
      <c r="F8187" s="20"/>
      <c r="G8187" s="19"/>
      <c r="H8187" s="19"/>
      <c r="I8187" s="19"/>
      <c r="J8187" s="21"/>
      <c r="K8187" s="19"/>
    </row>
    <row r="8188" spans="3:11" x14ac:dyDescent="0.2">
      <c r="C8188" s="19"/>
      <c r="D8188" s="19"/>
      <c r="E8188" s="19"/>
      <c r="F8188" s="20"/>
      <c r="G8188" s="19"/>
      <c r="H8188" s="19"/>
      <c r="I8188" s="19"/>
      <c r="J8188" s="21"/>
      <c r="K8188" s="19"/>
    </row>
    <row r="8189" spans="3:11" x14ac:dyDescent="0.2">
      <c r="C8189" s="19"/>
      <c r="D8189" s="19"/>
      <c r="E8189" s="19"/>
      <c r="F8189" s="20"/>
      <c r="G8189" s="19"/>
      <c r="H8189" s="19"/>
      <c r="I8189" s="19"/>
      <c r="J8189" s="21"/>
      <c r="K8189" s="19"/>
    </row>
    <row r="8190" spans="3:11" x14ac:dyDescent="0.2">
      <c r="C8190" s="19"/>
      <c r="D8190" s="19"/>
      <c r="E8190" s="19"/>
      <c r="F8190" s="20"/>
      <c r="G8190" s="19"/>
      <c r="H8190" s="19"/>
      <c r="I8190" s="19"/>
      <c r="J8190" s="21"/>
      <c r="K8190" s="19"/>
    </row>
    <row r="8191" spans="3:11" x14ac:dyDescent="0.2">
      <c r="C8191" s="19"/>
      <c r="D8191" s="19"/>
      <c r="E8191" s="19"/>
      <c r="F8191" s="20"/>
      <c r="G8191" s="19"/>
      <c r="H8191" s="19"/>
      <c r="I8191" s="19"/>
      <c r="J8191" s="21"/>
      <c r="K8191" s="19"/>
    </row>
    <row r="8192" spans="3:11" x14ac:dyDescent="0.2">
      <c r="C8192" s="19"/>
      <c r="D8192" s="19"/>
      <c r="E8192" s="19"/>
      <c r="F8192" s="20"/>
      <c r="G8192" s="19"/>
      <c r="H8192" s="19"/>
      <c r="I8192" s="19"/>
      <c r="J8192" s="21"/>
      <c r="K8192" s="19"/>
    </row>
    <row r="8193" spans="3:11" x14ac:dyDescent="0.2">
      <c r="C8193" s="19"/>
      <c r="D8193" s="19"/>
      <c r="E8193" s="19"/>
      <c r="F8193" s="20"/>
      <c r="G8193" s="19"/>
      <c r="H8193" s="19"/>
      <c r="I8193" s="19"/>
      <c r="J8193" s="19"/>
      <c r="K8193" s="19"/>
    </row>
    <row r="8194" spans="3:11" x14ac:dyDescent="0.2">
      <c r="C8194" s="19"/>
      <c r="D8194" s="19"/>
      <c r="E8194" s="19"/>
      <c r="F8194" s="20"/>
      <c r="G8194" s="19"/>
      <c r="H8194" s="19"/>
      <c r="I8194" s="19"/>
      <c r="J8194" s="19"/>
      <c r="K8194" s="19"/>
    </row>
    <row r="8195" spans="3:11" x14ac:dyDescent="0.2">
      <c r="C8195" s="19"/>
      <c r="D8195" s="19"/>
      <c r="E8195" s="19"/>
      <c r="F8195" s="20"/>
      <c r="G8195" s="19"/>
      <c r="H8195" s="19"/>
      <c r="I8195" s="19"/>
      <c r="J8195" s="21"/>
      <c r="K8195" s="19"/>
    </row>
    <row r="8196" spans="3:11" x14ac:dyDescent="0.2">
      <c r="C8196" s="19"/>
      <c r="D8196" s="19"/>
      <c r="E8196" s="19"/>
      <c r="F8196" s="20"/>
      <c r="G8196" s="19"/>
      <c r="H8196" s="19"/>
      <c r="I8196" s="19"/>
      <c r="J8196" s="21"/>
      <c r="K8196" s="19"/>
    </row>
    <row r="8197" spans="3:11" x14ac:dyDescent="0.2">
      <c r="C8197" s="19"/>
      <c r="D8197" s="19"/>
      <c r="E8197" s="19"/>
      <c r="F8197" s="20"/>
      <c r="G8197" s="19"/>
      <c r="H8197" s="19"/>
      <c r="I8197" s="19"/>
      <c r="J8197" s="21"/>
      <c r="K8197" s="19"/>
    </row>
    <row r="8198" spans="3:11" x14ac:dyDescent="0.2">
      <c r="C8198" s="19"/>
      <c r="D8198" s="19"/>
      <c r="E8198" s="19"/>
      <c r="F8198" s="20"/>
      <c r="G8198" s="19"/>
      <c r="H8198" s="19"/>
      <c r="I8198" s="19"/>
      <c r="J8198" s="21"/>
      <c r="K8198" s="19"/>
    </row>
    <row r="8199" spans="3:11" x14ac:dyDescent="0.2">
      <c r="C8199" s="19"/>
      <c r="D8199" s="19"/>
      <c r="E8199" s="19"/>
      <c r="F8199" s="20"/>
      <c r="G8199" s="19"/>
      <c r="H8199" s="19"/>
      <c r="I8199" s="19"/>
      <c r="J8199" s="21"/>
      <c r="K8199" s="19"/>
    </row>
    <row r="8200" spans="3:11" x14ac:dyDescent="0.2">
      <c r="C8200" s="19"/>
      <c r="D8200" s="19"/>
      <c r="E8200" s="19"/>
      <c r="F8200" s="20"/>
      <c r="G8200" s="19"/>
      <c r="H8200" s="19"/>
      <c r="I8200" s="19"/>
      <c r="J8200" s="21"/>
      <c r="K8200" s="19"/>
    </row>
    <row r="8201" spans="3:11" x14ac:dyDescent="0.2">
      <c r="C8201" s="19"/>
      <c r="D8201" s="19"/>
      <c r="E8201" s="19"/>
      <c r="F8201" s="20"/>
      <c r="G8201" s="19"/>
      <c r="H8201" s="19"/>
      <c r="I8201" s="19"/>
      <c r="J8201" s="21"/>
      <c r="K8201" s="19"/>
    </row>
    <row r="8202" spans="3:11" x14ac:dyDescent="0.2">
      <c r="C8202" s="19"/>
      <c r="D8202" s="19"/>
      <c r="E8202" s="19"/>
      <c r="F8202" s="20"/>
      <c r="G8202" s="19"/>
      <c r="H8202" s="19"/>
      <c r="I8202" s="19"/>
      <c r="J8202" s="21"/>
      <c r="K8202" s="19"/>
    </row>
    <row r="8203" spans="3:11" x14ac:dyDescent="0.2">
      <c r="C8203" s="19"/>
      <c r="D8203" s="19"/>
      <c r="E8203" s="19"/>
      <c r="F8203" s="20"/>
      <c r="G8203" s="19"/>
      <c r="H8203" s="19"/>
      <c r="I8203" s="19"/>
      <c r="J8203" s="21"/>
      <c r="K8203" s="19"/>
    </row>
    <row r="8204" spans="3:11" x14ac:dyDescent="0.2">
      <c r="C8204" s="19"/>
      <c r="D8204" s="19"/>
      <c r="E8204" s="19"/>
      <c r="F8204" s="20"/>
      <c r="G8204" s="19"/>
      <c r="H8204" s="19"/>
      <c r="I8204" s="19"/>
      <c r="J8204" s="21"/>
      <c r="K8204" s="19"/>
    </row>
    <row r="8205" spans="3:11" x14ac:dyDescent="0.2">
      <c r="C8205" s="19"/>
      <c r="D8205" s="19"/>
      <c r="E8205" s="19"/>
      <c r="F8205" s="20"/>
      <c r="G8205" s="19"/>
      <c r="H8205" s="19"/>
      <c r="I8205" s="19"/>
      <c r="J8205" s="21"/>
      <c r="K8205" s="19"/>
    </row>
    <row r="8206" spans="3:11" x14ac:dyDescent="0.2">
      <c r="C8206" s="19"/>
      <c r="D8206" s="19"/>
      <c r="E8206" s="19"/>
      <c r="F8206" s="20"/>
      <c r="G8206" s="19"/>
      <c r="H8206" s="19"/>
      <c r="I8206" s="19"/>
      <c r="J8206" s="21"/>
      <c r="K8206" s="19"/>
    </row>
    <row r="8207" spans="3:11" x14ac:dyDescent="0.2">
      <c r="C8207" s="19"/>
      <c r="D8207" s="19"/>
      <c r="E8207" s="19"/>
      <c r="F8207" s="20"/>
      <c r="G8207" s="19"/>
      <c r="H8207" s="19"/>
      <c r="I8207" s="19"/>
      <c r="J8207" s="21"/>
      <c r="K8207" s="19"/>
    </row>
    <row r="8208" spans="3:11" x14ac:dyDescent="0.2">
      <c r="C8208" s="19"/>
      <c r="D8208" s="19"/>
      <c r="E8208" s="19"/>
      <c r="F8208" s="20"/>
      <c r="G8208" s="19"/>
      <c r="H8208" s="19"/>
      <c r="I8208" s="19"/>
      <c r="J8208" s="21"/>
      <c r="K8208" s="19"/>
    </row>
    <row r="8209" spans="3:11" x14ac:dyDescent="0.2">
      <c r="C8209" s="19"/>
      <c r="D8209" s="19"/>
      <c r="E8209" s="19"/>
      <c r="F8209" s="20"/>
      <c r="G8209" s="19"/>
      <c r="H8209" s="19"/>
      <c r="I8209" s="19"/>
      <c r="J8209" s="21"/>
      <c r="K8209" s="19"/>
    </row>
    <row r="8210" spans="3:11" x14ac:dyDescent="0.2">
      <c r="C8210" s="19"/>
      <c r="D8210" s="19"/>
      <c r="E8210" s="19"/>
      <c r="F8210" s="20"/>
      <c r="G8210" s="19"/>
      <c r="H8210" s="19"/>
      <c r="I8210" s="19"/>
      <c r="J8210" s="21"/>
      <c r="K8210" s="19"/>
    </row>
    <row r="8211" spans="3:11" x14ac:dyDescent="0.2">
      <c r="C8211" s="19"/>
      <c r="D8211" s="19"/>
      <c r="E8211" s="19"/>
      <c r="F8211" s="20"/>
      <c r="G8211" s="19"/>
      <c r="H8211" s="19"/>
      <c r="I8211" s="19"/>
      <c r="J8211" s="21"/>
      <c r="K8211" s="19"/>
    </row>
    <row r="8212" spans="3:11" x14ac:dyDescent="0.2">
      <c r="C8212" s="19"/>
      <c r="D8212" s="19"/>
      <c r="E8212" s="19"/>
      <c r="F8212" s="20"/>
      <c r="G8212" s="19"/>
      <c r="H8212" s="19"/>
      <c r="I8212" s="19"/>
      <c r="J8212" s="21"/>
      <c r="K8212" s="19"/>
    </row>
    <row r="8213" spans="3:11" x14ac:dyDescent="0.2">
      <c r="C8213" s="19"/>
      <c r="D8213" s="19"/>
      <c r="E8213" s="19"/>
      <c r="F8213" s="20"/>
      <c r="G8213" s="19"/>
      <c r="H8213" s="19"/>
      <c r="I8213" s="19"/>
      <c r="J8213" s="21"/>
      <c r="K8213" s="19"/>
    </row>
    <row r="8214" spans="3:11" x14ac:dyDescent="0.2">
      <c r="C8214" s="19"/>
      <c r="D8214" s="19"/>
      <c r="E8214" s="19"/>
      <c r="F8214" s="20"/>
      <c r="G8214" s="19"/>
      <c r="H8214" s="19"/>
      <c r="I8214" s="19"/>
      <c r="J8214" s="21"/>
      <c r="K8214" s="19"/>
    </row>
    <row r="8215" spans="3:11" x14ac:dyDescent="0.2">
      <c r="C8215" s="19"/>
      <c r="D8215" s="19"/>
      <c r="E8215" s="19"/>
      <c r="F8215" s="20"/>
      <c r="G8215" s="19"/>
      <c r="H8215" s="19"/>
      <c r="I8215" s="19"/>
      <c r="J8215" s="19"/>
      <c r="K8215" s="19"/>
    </row>
    <row r="8216" spans="3:11" x14ac:dyDescent="0.2">
      <c r="C8216" s="19"/>
      <c r="D8216" s="19"/>
      <c r="E8216" s="19"/>
      <c r="F8216" s="20"/>
      <c r="G8216" s="19"/>
      <c r="H8216" s="19"/>
      <c r="I8216" s="19"/>
      <c r="J8216" s="21"/>
      <c r="K8216" s="19"/>
    </row>
    <row r="8217" spans="3:11" x14ac:dyDescent="0.2">
      <c r="C8217" s="19"/>
      <c r="D8217" s="19"/>
      <c r="E8217" s="19"/>
      <c r="F8217" s="20"/>
      <c r="G8217" s="19"/>
      <c r="H8217" s="19"/>
      <c r="I8217" s="19"/>
      <c r="J8217" s="21"/>
      <c r="K8217" s="19"/>
    </row>
    <row r="8218" spans="3:11" x14ac:dyDescent="0.2">
      <c r="C8218" s="19"/>
      <c r="D8218" s="19"/>
      <c r="E8218" s="19"/>
      <c r="F8218" s="20"/>
      <c r="G8218" s="19"/>
      <c r="H8218" s="19"/>
      <c r="I8218" s="19"/>
      <c r="J8218" s="21"/>
      <c r="K8218" s="19"/>
    </row>
    <row r="8219" spans="3:11" x14ac:dyDescent="0.2">
      <c r="C8219" s="19"/>
      <c r="D8219" s="19"/>
      <c r="E8219" s="19"/>
      <c r="F8219" s="20"/>
      <c r="G8219" s="19"/>
      <c r="H8219" s="19"/>
      <c r="I8219" s="19"/>
      <c r="J8219" s="21"/>
      <c r="K8219" s="19"/>
    </row>
    <row r="8220" spans="3:11" x14ac:dyDescent="0.2">
      <c r="C8220" s="19"/>
      <c r="D8220" s="19"/>
      <c r="E8220" s="19"/>
      <c r="F8220" s="20"/>
      <c r="G8220" s="19"/>
      <c r="H8220" s="19"/>
      <c r="I8220" s="19"/>
      <c r="J8220" s="21"/>
      <c r="K8220" s="19"/>
    </row>
    <row r="8221" spans="3:11" x14ac:dyDescent="0.2">
      <c r="C8221" s="19"/>
      <c r="D8221" s="19"/>
      <c r="E8221" s="19"/>
      <c r="F8221" s="20"/>
      <c r="G8221" s="19"/>
      <c r="H8221" s="19"/>
      <c r="I8221" s="19"/>
      <c r="J8221" s="21"/>
      <c r="K8221" s="19"/>
    </row>
    <row r="8222" spans="3:11" x14ac:dyDescent="0.2">
      <c r="C8222" s="19"/>
      <c r="D8222" s="19"/>
      <c r="E8222" s="19"/>
      <c r="F8222" s="20"/>
      <c r="G8222" s="19"/>
      <c r="H8222" s="19"/>
      <c r="I8222" s="19"/>
      <c r="J8222" s="21"/>
      <c r="K8222" s="19"/>
    </row>
    <row r="8223" spans="3:11" x14ac:dyDescent="0.2">
      <c r="C8223" s="19"/>
      <c r="D8223" s="19"/>
      <c r="E8223" s="19"/>
      <c r="F8223" s="20"/>
      <c r="G8223" s="19"/>
      <c r="H8223" s="19"/>
      <c r="I8223" s="19"/>
      <c r="J8223" s="21"/>
      <c r="K8223" s="19"/>
    </row>
    <row r="8224" spans="3:11" x14ac:dyDescent="0.2">
      <c r="C8224" s="19"/>
      <c r="D8224" s="19"/>
      <c r="E8224" s="19"/>
      <c r="F8224" s="20"/>
      <c r="G8224" s="19"/>
      <c r="H8224" s="19"/>
      <c r="I8224" s="19"/>
      <c r="J8224" s="21"/>
      <c r="K8224" s="19"/>
    </row>
    <row r="8225" spans="3:11" x14ac:dyDescent="0.2">
      <c r="C8225" s="19"/>
      <c r="D8225" s="19"/>
      <c r="E8225" s="19"/>
      <c r="F8225" s="20"/>
      <c r="G8225" s="19"/>
      <c r="H8225" s="19"/>
      <c r="I8225" s="19"/>
      <c r="J8225" s="21"/>
      <c r="K8225" s="19"/>
    </row>
    <row r="8226" spans="3:11" x14ac:dyDescent="0.2">
      <c r="C8226" s="19"/>
      <c r="D8226" s="19"/>
      <c r="E8226" s="19"/>
      <c r="F8226" s="20"/>
      <c r="G8226" s="19"/>
      <c r="H8226" s="19"/>
      <c r="I8226" s="19"/>
      <c r="J8226" s="21"/>
      <c r="K8226" s="19"/>
    </row>
    <row r="8227" spans="3:11" x14ac:dyDescent="0.2">
      <c r="C8227" s="19"/>
      <c r="D8227" s="19"/>
      <c r="E8227" s="19"/>
      <c r="F8227" s="20"/>
      <c r="G8227" s="19"/>
      <c r="H8227" s="19"/>
      <c r="I8227" s="19"/>
      <c r="J8227" s="21"/>
      <c r="K8227" s="19"/>
    </row>
    <row r="8228" spans="3:11" x14ac:dyDescent="0.2">
      <c r="C8228" s="19"/>
      <c r="D8228" s="19"/>
      <c r="E8228" s="19"/>
      <c r="F8228" s="20"/>
      <c r="G8228" s="19"/>
      <c r="H8228" s="19"/>
      <c r="I8228" s="19"/>
      <c r="J8228" s="21"/>
      <c r="K8228" s="19"/>
    </row>
    <row r="8229" spans="3:11" x14ac:dyDescent="0.2">
      <c r="C8229" s="19"/>
      <c r="D8229" s="19"/>
      <c r="E8229" s="19"/>
      <c r="F8229" s="20"/>
      <c r="G8229" s="19"/>
      <c r="H8229" s="19"/>
      <c r="I8229" s="19"/>
      <c r="J8229" s="21"/>
      <c r="K8229" s="19"/>
    </row>
    <row r="8230" spans="3:11" x14ac:dyDescent="0.2">
      <c r="C8230" s="19"/>
      <c r="D8230" s="19"/>
      <c r="E8230" s="19"/>
      <c r="F8230" s="20"/>
      <c r="G8230" s="19"/>
      <c r="H8230" s="19"/>
      <c r="I8230" s="19"/>
      <c r="J8230" s="21"/>
      <c r="K8230" s="19"/>
    </row>
    <row r="8231" spans="3:11" x14ac:dyDescent="0.2">
      <c r="C8231" s="19"/>
      <c r="D8231" s="19"/>
      <c r="E8231" s="19"/>
      <c r="F8231" s="20"/>
      <c r="G8231" s="19"/>
      <c r="H8231" s="19"/>
      <c r="I8231" s="19"/>
      <c r="J8231" s="21"/>
      <c r="K8231" s="19"/>
    </row>
    <row r="8232" spans="3:11" x14ac:dyDescent="0.2">
      <c r="C8232" s="19"/>
      <c r="D8232" s="19"/>
      <c r="E8232" s="19"/>
      <c r="F8232" s="20"/>
      <c r="G8232" s="19"/>
      <c r="H8232" s="19"/>
      <c r="I8232" s="19"/>
      <c r="J8232" s="21"/>
      <c r="K8232" s="19"/>
    </row>
    <row r="8233" spans="3:11" x14ac:dyDescent="0.2">
      <c r="C8233" s="19"/>
      <c r="D8233" s="19"/>
      <c r="E8233" s="19"/>
      <c r="F8233" s="20"/>
      <c r="G8233" s="19"/>
      <c r="H8233" s="19"/>
      <c r="I8233" s="19"/>
      <c r="J8233" s="21"/>
      <c r="K8233" s="19"/>
    </row>
    <row r="8234" spans="3:11" x14ac:dyDescent="0.2">
      <c r="C8234" s="19"/>
      <c r="D8234" s="19"/>
      <c r="E8234" s="19"/>
      <c r="F8234" s="20"/>
      <c r="G8234" s="19"/>
      <c r="H8234" s="19"/>
      <c r="I8234" s="19"/>
      <c r="J8234" s="21"/>
      <c r="K8234" s="19"/>
    </row>
    <row r="8235" spans="3:11" x14ac:dyDescent="0.2">
      <c r="C8235" s="19"/>
      <c r="D8235" s="19"/>
      <c r="E8235" s="19"/>
      <c r="F8235" s="20"/>
      <c r="G8235" s="19"/>
      <c r="H8235" s="19"/>
      <c r="I8235" s="19"/>
      <c r="J8235" s="21"/>
      <c r="K8235" s="19"/>
    </row>
    <row r="8236" spans="3:11" x14ac:dyDescent="0.2">
      <c r="C8236" s="19"/>
      <c r="D8236" s="19"/>
      <c r="E8236" s="19"/>
      <c r="F8236" s="20"/>
      <c r="G8236" s="19"/>
      <c r="H8236" s="19"/>
      <c r="I8236" s="19"/>
      <c r="J8236" s="19"/>
      <c r="K8236" s="19"/>
    </row>
    <row r="8237" spans="3:11" x14ac:dyDescent="0.2">
      <c r="C8237" s="19"/>
      <c r="D8237" s="19"/>
      <c r="E8237" s="19"/>
      <c r="F8237" s="20"/>
      <c r="G8237" s="19"/>
      <c r="H8237" s="19"/>
      <c r="I8237" s="19"/>
      <c r="J8237" s="19"/>
      <c r="K8237" s="19"/>
    </row>
    <row r="8238" spans="3:11" x14ac:dyDescent="0.2">
      <c r="C8238" s="19"/>
      <c r="D8238" s="19"/>
      <c r="E8238" s="19"/>
      <c r="F8238" s="20"/>
      <c r="G8238" s="19"/>
      <c r="H8238" s="19"/>
      <c r="I8238" s="19"/>
      <c r="J8238" s="19"/>
      <c r="K8238" s="19"/>
    </row>
    <row r="8239" spans="3:11" x14ac:dyDescent="0.2">
      <c r="C8239" s="19"/>
      <c r="D8239" s="19"/>
      <c r="E8239" s="19"/>
      <c r="F8239" s="20"/>
      <c r="G8239" s="19"/>
      <c r="H8239" s="19"/>
      <c r="I8239" s="19"/>
      <c r="J8239" s="21"/>
      <c r="K8239" s="19"/>
    </row>
    <row r="8240" spans="3:11" x14ac:dyDescent="0.2">
      <c r="C8240" s="19"/>
      <c r="D8240" s="19"/>
      <c r="E8240" s="19"/>
      <c r="F8240" s="20"/>
      <c r="G8240" s="19"/>
      <c r="H8240" s="19"/>
      <c r="I8240" s="19"/>
      <c r="J8240" s="21"/>
      <c r="K8240" s="19"/>
    </row>
    <row r="8241" spans="3:11" x14ac:dyDescent="0.2">
      <c r="C8241" s="19"/>
      <c r="D8241" s="19"/>
      <c r="E8241" s="19"/>
      <c r="F8241" s="20"/>
      <c r="G8241" s="19"/>
      <c r="H8241" s="19"/>
      <c r="I8241" s="19"/>
      <c r="J8241" s="21"/>
      <c r="K8241" s="19"/>
    </row>
    <row r="8242" spans="3:11" x14ac:dyDescent="0.2">
      <c r="C8242" s="19"/>
      <c r="D8242" s="19"/>
      <c r="E8242" s="19"/>
      <c r="F8242" s="20"/>
      <c r="G8242" s="19"/>
      <c r="H8242" s="19"/>
      <c r="I8242" s="19"/>
      <c r="J8242" s="21"/>
      <c r="K8242" s="19"/>
    </row>
    <row r="8243" spans="3:11" x14ac:dyDescent="0.2">
      <c r="C8243" s="19"/>
      <c r="D8243" s="19"/>
      <c r="E8243" s="19"/>
      <c r="F8243" s="20"/>
      <c r="G8243" s="19"/>
      <c r="H8243" s="19"/>
      <c r="I8243" s="19"/>
      <c r="J8243" s="21"/>
      <c r="K8243" s="19"/>
    </row>
    <row r="8244" spans="3:11" x14ac:dyDescent="0.2">
      <c r="C8244" s="19"/>
      <c r="D8244" s="19"/>
      <c r="E8244" s="19"/>
      <c r="F8244" s="20"/>
      <c r="G8244" s="19"/>
      <c r="H8244" s="19"/>
      <c r="I8244" s="19"/>
      <c r="J8244" s="21"/>
      <c r="K8244" s="19"/>
    </row>
    <row r="8245" spans="3:11" x14ac:dyDescent="0.2">
      <c r="C8245" s="19"/>
      <c r="D8245" s="19"/>
      <c r="E8245" s="19"/>
      <c r="F8245" s="20"/>
      <c r="G8245" s="19"/>
      <c r="H8245" s="19"/>
      <c r="I8245" s="19"/>
      <c r="J8245" s="19"/>
      <c r="K8245" s="19"/>
    </row>
    <row r="8246" spans="3:11" x14ac:dyDescent="0.2">
      <c r="C8246" s="19"/>
      <c r="D8246" s="19"/>
      <c r="E8246" s="19"/>
      <c r="F8246" s="20"/>
      <c r="G8246" s="19"/>
      <c r="H8246" s="19"/>
      <c r="I8246" s="19"/>
      <c r="J8246" s="21"/>
      <c r="K8246" s="19"/>
    </row>
    <row r="8247" spans="3:11" x14ac:dyDescent="0.2">
      <c r="C8247" s="19"/>
      <c r="D8247" s="19"/>
      <c r="E8247" s="19"/>
      <c r="F8247" s="20"/>
      <c r="G8247" s="19"/>
      <c r="H8247" s="19"/>
      <c r="I8247" s="19"/>
      <c r="J8247" s="21"/>
      <c r="K8247" s="19"/>
    </row>
    <row r="8248" spans="3:11" x14ac:dyDescent="0.2">
      <c r="C8248" s="19"/>
      <c r="D8248" s="19"/>
      <c r="E8248" s="19"/>
      <c r="F8248" s="20"/>
      <c r="G8248" s="19"/>
      <c r="H8248" s="19"/>
      <c r="I8248" s="19"/>
      <c r="J8248" s="19"/>
      <c r="K8248" s="19"/>
    </row>
    <row r="8249" spans="3:11" x14ac:dyDescent="0.2">
      <c r="C8249" s="19"/>
      <c r="D8249" s="19"/>
      <c r="E8249" s="19"/>
      <c r="F8249" s="20"/>
      <c r="G8249" s="19"/>
      <c r="H8249" s="19"/>
      <c r="I8249" s="19"/>
      <c r="J8249" s="19"/>
      <c r="K8249" s="19"/>
    </row>
    <row r="8250" spans="3:11" x14ac:dyDescent="0.2">
      <c r="C8250" s="19"/>
      <c r="D8250" s="19"/>
      <c r="E8250" s="19"/>
      <c r="F8250" s="20"/>
      <c r="G8250" s="19"/>
      <c r="H8250" s="19"/>
      <c r="I8250" s="19"/>
      <c r="J8250" s="21"/>
      <c r="K8250" s="19"/>
    </row>
    <row r="8251" spans="3:11" x14ac:dyDescent="0.2">
      <c r="C8251" s="19"/>
      <c r="D8251" s="19"/>
      <c r="E8251" s="19"/>
      <c r="F8251" s="20"/>
      <c r="G8251" s="19"/>
      <c r="H8251" s="19"/>
      <c r="I8251" s="19"/>
      <c r="J8251" s="19"/>
      <c r="K8251" s="19"/>
    </row>
    <row r="8252" spans="3:11" x14ac:dyDescent="0.2">
      <c r="C8252" s="19"/>
      <c r="D8252" s="19"/>
      <c r="E8252" s="19"/>
      <c r="F8252" s="20"/>
      <c r="G8252" s="19"/>
      <c r="H8252" s="19"/>
      <c r="I8252" s="19"/>
      <c r="J8252" s="21"/>
      <c r="K8252" s="19"/>
    </row>
    <row r="8253" spans="3:11" x14ac:dyDescent="0.2">
      <c r="C8253" s="19"/>
      <c r="D8253" s="19"/>
      <c r="E8253" s="19"/>
      <c r="F8253" s="20"/>
      <c r="G8253" s="19"/>
      <c r="H8253" s="19"/>
      <c r="I8253" s="19"/>
      <c r="J8253" s="21"/>
      <c r="K8253" s="19"/>
    </row>
    <row r="8254" spans="3:11" x14ac:dyDescent="0.2">
      <c r="C8254" s="19"/>
      <c r="D8254" s="19"/>
      <c r="E8254" s="19"/>
      <c r="F8254" s="20"/>
      <c r="G8254" s="19"/>
      <c r="H8254" s="19"/>
      <c r="I8254" s="19"/>
      <c r="J8254" s="21"/>
      <c r="K8254" s="19"/>
    </row>
    <row r="8255" spans="3:11" x14ac:dyDescent="0.2">
      <c r="C8255" s="19"/>
      <c r="D8255" s="19"/>
      <c r="E8255" s="19"/>
      <c r="F8255" s="20"/>
      <c r="G8255" s="19"/>
      <c r="H8255" s="19"/>
      <c r="I8255" s="19"/>
      <c r="J8255" s="21"/>
      <c r="K8255" s="19"/>
    </row>
    <row r="8256" spans="3:11" x14ac:dyDescent="0.2">
      <c r="C8256" s="19"/>
      <c r="D8256" s="19"/>
      <c r="E8256" s="19"/>
      <c r="F8256" s="20"/>
      <c r="G8256" s="19"/>
      <c r="H8256" s="19"/>
      <c r="I8256" s="19"/>
      <c r="J8256" s="21"/>
      <c r="K8256" s="19"/>
    </row>
    <row r="8257" spans="3:11" x14ac:dyDescent="0.2">
      <c r="C8257" s="19"/>
      <c r="D8257" s="19"/>
      <c r="E8257" s="19"/>
      <c r="F8257" s="20"/>
      <c r="G8257" s="19"/>
      <c r="H8257" s="19"/>
      <c r="I8257" s="19"/>
      <c r="J8257" s="21"/>
      <c r="K8257" s="19"/>
    </row>
    <row r="8258" spans="3:11" x14ac:dyDescent="0.2">
      <c r="C8258" s="19"/>
      <c r="D8258" s="19"/>
      <c r="E8258" s="19"/>
      <c r="F8258" s="20"/>
      <c r="G8258" s="19"/>
      <c r="H8258" s="19"/>
      <c r="I8258" s="19"/>
      <c r="J8258" s="21"/>
      <c r="K8258" s="19"/>
    </row>
    <row r="8259" spans="3:11" x14ac:dyDescent="0.2">
      <c r="C8259" s="19"/>
      <c r="D8259" s="19"/>
      <c r="E8259" s="19"/>
      <c r="F8259" s="20"/>
      <c r="G8259" s="19"/>
      <c r="H8259" s="19"/>
      <c r="I8259" s="19"/>
      <c r="J8259" s="21"/>
      <c r="K8259" s="19"/>
    </row>
    <row r="8260" spans="3:11" x14ac:dyDescent="0.2">
      <c r="C8260" s="19"/>
      <c r="D8260" s="19"/>
      <c r="E8260" s="19"/>
      <c r="F8260" s="20"/>
      <c r="G8260" s="19"/>
      <c r="H8260" s="19"/>
      <c r="I8260" s="19"/>
      <c r="J8260" s="21"/>
      <c r="K8260" s="19"/>
    </row>
    <row r="8261" spans="3:11" x14ac:dyDescent="0.2">
      <c r="C8261" s="19"/>
      <c r="D8261" s="19"/>
      <c r="E8261" s="19"/>
      <c r="F8261" s="20"/>
      <c r="G8261" s="19"/>
      <c r="H8261" s="19"/>
      <c r="I8261" s="19"/>
      <c r="J8261" s="21"/>
      <c r="K8261" s="19"/>
    </row>
    <row r="8262" spans="3:11" x14ac:dyDescent="0.2">
      <c r="C8262" s="19"/>
      <c r="D8262" s="19"/>
      <c r="E8262" s="19"/>
      <c r="F8262" s="20"/>
      <c r="G8262" s="19"/>
      <c r="H8262" s="19"/>
      <c r="I8262" s="19"/>
      <c r="J8262" s="21"/>
      <c r="K8262" s="19"/>
    </row>
    <row r="8263" spans="3:11" x14ac:dyDescent="0.2">
      <c r="C8263" s="19"/>
      <c r="D8263" s="19"/>
      <c r="E8263" s="19"/>
      <c r="F8263" s="20"/>
      <c r="G8263" s="19"/>
      <c r="H8263" s="19"/>
      <c r="I8263" s="19"/>
      <c r="J8263" s="21"/>
      <c r="K8263" s="19"/>
    </row>
    <row r="8264" spans="3:11" x14ac:dyDescent="0.2">
      <c r="C8264" s="19"/>
      <c r="D8264" s="19"/>
      <c r="E8264" s="19"/>
      <c r="F8264" s="20"/>
      <c r="G8264" s="19"/>
      <c r="H8264" s="19"/>
      <c r="I8264" s="19"/>
      <c r="J8264" s="21"/>
      <c r="K8264" s="19"/>
    </row>
    <row r="8265" spans="3:11" x14ac:dyDescent="0.2">
      <c r="C8265" s="19"/>
      <c r="D8265" s="19"/>
      <c r="E8265" s="19"/>
      <c r="F8265" s="20"/>
      <c r="G8265" s="19"/>
      <c r="H8265" s="19"/>
      <c r="I8265" s="19"/>
      <c r="J8265" s="21"/>
      <c r="K8265" s="19"/>
    </row>
    <row r="8266" spans="3:11" x14ac:dyDescent="0.2">
      <c r="C8266" s="19"/>
      <c r="D8266" s="19"/>
      <c r="E8266" s="19"/>
      <c r="F8266" s="20"/>
      <c r="G8266" s="19"/>
      <c r="H8266" s="19"/>
      <c r="I8266" s="19"/>
      <c r="J8266" s="21"/>
      <c r="K8266" s="19"/>
    </row>
    <row r="8267" spans="3:11" x14ac:dyDescent="0.2">
      <c r="C8267" s="19"/>
      <c r="D8267" s="19"/>
      <c r="E8267" s="19"/>
      <c r="F8267" s="20"/>
      <c r="G8267" s="19"/>
      <c r="H8267" s="19"/>
      <c r="I8267" s="19"/>
      <c r="J8267" s="21"/>
      <c r="K8267" s="19"/>
    </row>
    <row r="8268" spans="3:11" x14ac:dyDescent="0.2">
      <c r="C8268" s="19"/>
      <c r="D8268" s="19"/>
      <c r="E8268" s="19"/>
      <c r="F8268" s="20"/>
      <c r="G8268" s="19"/>
      <c r="H8268" s="19"/>
      <c r="I8268" s="19"/>
      <c r="J8268" s="21"/>
      <c r="K8268" s="19"/>
    </row>
    <row r="8269" spans="3:11" x14ac:dyDescent="0.2">
      <c r="C8269" s="19"/>
      <c r="D8269" s="19"/>
      <c r="E8269" s="19"/>
      <c r="F8269" s="20"/>
      <c r="G8269" s="19"/>
      <c r="H8269" s="19"/>
      <c r="I8269" s="19"/>
      <c r="J8269" s="21"/>
      <c r="K8269" s="19"/>
    </row>
    <row r="8270" spans="3:11" x14ac:dyDescent="0.2">
      <c r="C8270" s="19"/>
      <c r="D8270" s="19"/>
      <c r="E8270" s="19"/>
      <c r="F8270" s="20"/>
      <c r="G8270" s="19"/>
      <c r="H8270" s="19"/>
      <c r="I8270" s="19"/>
      <c r="J8270" s="21"/>
      <c r="K8270" s="19"/>
    </row>
    <row r="8271" spans="3:11" x14ac:dyDescent="0.2">
      <c r="C8271" s="19"/>
      <c r="D8271" s="19"/>
      <c r="E8271" s="19"/>
      <c r="F8271" s="20"/>
      <c r="G8271" s="19"/>
      <c r="H8271" s="19"/>
      <c r="I8271" s="19"/>
      <c r="J8271" s="21"/>
      <c r="K8271" s="19"/>
    </row>
    <row r="8272" spans="3:11" x14ac:dyDescent="0.2">
      <c r="C8272" s="19"/>
      <c r="D8272" s="19"/>
      <c r="E8272" s="19"/>
      <c r="F8272" s="20"/>
      <c r="G8272" s="19"/>
      <c r="H8272" s="19"/>
      <c r="I8272" s="19"/>
      <c r="J8272" s="21"/>
      <c r="K8272" s="19"/>
    </row>
    <row r="8273" spans="3:11" x14ac:dyDescent="0.2">
      <c r="C8273" s="19"/>
      <c r="D8273" s="19"/>
      <c r="E8273" s="19"/>
      <c r="F8273" s="20"/>
      <c r="G8273" s="19"/>
      <c r="H8273" s="19"/>
      <c r="I8273" s="19"/>
      <c r="J8273" s="21"/>
      <c r="K8273" s="19"/>
    </row>
    <row r="8274" spans="3:11" x14ac:dyDescent="0.2">
      <c r="C8274" s="19"/>
      <c r="D8274" s="19"/>
      <c r="E8274" s="19"/>
      <c r="F8274" s="20"/>
      <c r="G8274" s="19"/>
      <c r="H8274" s="19"/>
      <c r="I8274" s="19"/>
      <c r="J8274" s="21"/>
      <c r="K8274" s="19"/>
    </row>
    <row r="8275" spans="3:11" x14ac:dyDescent="0.2">
      <c r="C8275" s="19"/>
      <c r="D8275" s="19"/>
      <c r="E8275" s="19"/>
      <c r="F8275" s="20"/>
      <c r="G8275" s="19"/>
      <c r="H8275" s="19"/>
      <c r="I8275" s="19"/>
      <c r="J8275" s="19"/>
      <c r="K8275" s="19"/>
    </row>
    <row r="8276" spans="3:11" x14ac:dyDescent="0.2">
      <c r="C8276" s="19"/>
      <c r="D8276" s="19"/>
      <c r="E8276" s="19"/>
      <c r="F8276" s="20"/>
      <c r="G8276" s="19"/>
      <c r="H8276" s="19"/>
      <c r="I8276" s="19"/>
      <c r="J8276" s="21"/>
      <c r="K8276" s="19"/>
    </row>
    <row r="8277" spans="3:11" x14ac:dyDescent="0.2">
      <c r="C8277" s="19"/>
      <c r="D8277" s="19"/>
      <c r="E8277" s="19"/>
      <c r="F8277" s="20"/>
      <c r="G8277" s="19"/>
      <c r="H8277" s="19"/>
      <c r="I8277" s="19"/>
      <c r="J8277" s="21"/>
      <c r="K8277" s="19"/>
    </row>
    <row r="8278" spans="3:11" x14ac:dyDescent="0.2">
      <c r="C8278" s="19"/>
      <c r="D8278" s="19"/>
      <c r="E8278" s="19"/>
      <c r="F8278" s="20"/>
      <c r="G8278" s="19"/>
      <c r="H8278" s="19"/>
      <c r="I8278" s="19"/>
      <c r="J8278" s="21"/>
      <c r="K8278" s="19"/>
    </row>
    <row r="8279" spans="3:11" x14ac:dyDescent="0.2">
      <c r="C8279" s="19"/>
      <c r="D8279" s="19"/>
      <c r="E8279" s="19"/>
      <c r="F8279" s="20"/>
      <c r="G8279" s="19"/>
      <c r="H8279" s="19"/>
      <c r="I8279" s="19"/>
      <c r="J8279" s="21"/>
      <c r="K8279" s="19"/>
    </row>
    <row r="8280" spans="3:11" x14ac:dyDescent="0.2">
      <c r="C8280" s="19"/>
      <c r="D8280" s="19"/>
      <c r="E8280" s="19"/>
      <c r="F8280" s="20"/>
      <c r="G8280" s="19"/>
      <c r="H8280" s="19"/>
      <c r="I8280" s="19"/>
      <c r="J8280" s="21"/>
      <c r="K8280" s="19"/>
    </row>
    <row r="8281" spans="3:11" x14ac:dyDescent="0.2">
      <c r="C8281" s="19"/>
      <c r="D8281" s="19"/>
      <c r="E8281" s="19"/>
      <c r="F8281" s="20"/>
      <c r="G8281" s="19"/>
      <c r="H8281" s="19"/>
      <c r="I8281" s="19"/>
      <c r="J8281" s="21"/>
      <c r="K8281" s="19"/>
    </row>
    <row r="8282" spans="3:11" x14ac:dyDescent="0.2">
      <c r="C8282" s="19"/>
      <c r="D8282" s="19"/>
      <c r="E8282" s="19"/>
      <c r="F8282" s="20"/>
      <c r="G8282" s="19"/>
      <c r="H8282" s="19"/>
      <c r="I8282" s="19"/>
      <c r="J8282" s="21"/>
      <c r="K8282" s="19"/>
    </row>
    <row r="8283" spans="3:11" x14ac:dyDescent="0.2">
      <c r="C8283" s="19"/>
      <c r="D8283" s="19"/>
      <c r="E8283" s="19"/>
      <c r="F8283" s="20"/>
      <c r="G8283" s="19"/>
      <c r="H8283" s="19"/>
      <c r="I8283" s="19"/>
      <c r="J8283" s="21"/>
      <c r="K8283" s="19"/>
    </row>
    <row r="8284" spans="3:11" x14ac:dyDescent="0.2">
      <c r="C8284" s="19"/>
      <c r="D8284" s="19"/>
      <c r="E8284" s="19"/>
      <c r="F8284" s="20"/>
      <c r="G8284" s="19"/>
      <c r="H8284" s="19"/>
      <c r="I8284" s="19"/>
      <c r="J8284" s="21"/>
      <c r="K8284" s="19"/>
    </row>
    <row r="8285" spans="3:11" x14ac:dyDescent="0.2">
      <c r="C8285" s="19"/>
      <c r="D8285" s="19"/>
      <c r="E8285" s="19"/>
      <c r="F8285" s="20"/>
      <c r="G8285" s="19"/>
      <c r="H8285" s="19"/>
      <c r="I8285" s="19"/>
      <c r="J8285" s="21"/>
      <c r="K8285" s="19"/>
    </row>
    <row r="8286" spans="3:11" x14ac:dyDescent="0.2">
      <c r="C8286" s="19"/>
      <c r="D8286" s="19"/>
      <c r="E8286" s="19"/>
      <c r="F8286" s="20"/>
      <c r="G8286" s="19"/>
      <c r="H8286" s="19"/>
      <c r="I8286" s="19"/>
      <c r="J8286" s="21"/>
      <c r="K8286" s="19"/>
    </row>
    <row r="8287" spans="3:11" x14ac:dyDescent="0.2">
      <c r="C8287" s="19"/>
      <c r="D8287" s="19"/>
      <c r="E8287" s="19"/>
      <c r="F8287" s="20"/>
      <c r="G8287" s="19"/>
      <c r="H8287" s="19"/>
      <c r="I8287" s="19"/>
      <c r="J8287" s="21"/>
      <c r="K8287" s="19"/>
    </row>
    <row r="8288" spans="3:11" x14ac:dyDescent="0.2">
      <c r="C8288" s="19"/>
      <c r="D8288" s="19"/>
      <c r="E8288" s="19"/>
      <c r="F8288" s="20"/>
      <c r="G8288" s="19"/>
      <c r="H8288" s="19"/>
      <c r="I8288" s="19"/>
      <c r="J8288" s="21"/>
      <c r="K8288" s="19"/>
    </row>
    <row r="8289" spans="3:11" x14ac:dyDescent="0.2">
      <c r="C8289" s="19"/>
      <c r="D8289" s="19"/>
      <c r="E8289" s="19"/>
      <c r="F8289" s="20"/>
      <c r="G8289" s="19"/>
      <c r="H8289" s="19"/>
      <c r="I8289" s="19"/>
      <c r="J8289" s="21"/>
      <c r="K8289" s="19"/>
    </row>
    <row r="8290" spans="3:11" x14ac:dyDescent="0.2">
      <c r="C8290" s="19"/>
      <c r="D8290" s="19"/>
      <c r="E8290" s="19"/>
      <c r="F8290" s="20"/>
      <c r="G8290" s="19"/>
      <c r="H8290" s="19"/>
      <c r="I8290" s="19"/>
      <c r="J8290" s="21"/>
      <c r="K8290" s="19"/>
    </row>
    <row r="8291" spans="3:11" x14ac:dyDescent="0.2">
      <c r="C8291" s="19"/>
      <c r="D8291" s="19"/>
      <c r="E8291" s="19"/>
      <c r="F8291" s="20"/>
      <c r="G8291" s="19"/>
      <c r="H8291" s="19"/>
      <c r="I8291" s="19"/>
      <c r="J8291" s="21"/>
      <c r="K8291" s="19"/>
    </row>
    <row r="8292" spans="3:11" x14ac:dyDescent="0.2">
      <c r="C8292" s="19"/>
      <c r="D8292" s="19"/>
      <c r="E8292" s="19"/>
      <c r="F8292" s="20"/>
      <c r="G8292" s="19"/>
      <c r="H8292" s="19"/>
      <c r="I8292" s="19"/>
      <c r="J8292" s="21"/>
      <c r="K8292" s="19"/>
    </row>
    <row r="8293" spans="3:11" x14ac:dyDescent="0.2">
      <c r="C8293" s="19"/>
      <c r="D8293" s="19"/>
      <c r="E8293" s="19"/>
      <c r="F8293" s="20"/>
      <c r="G8293" s="19"/>
      <c r="H8293" s="19"/>
      <c r="I8293" s="19"/>
      <c r="J8293" s="21"/>
      <c r="K8293" s="19"/>
    </row>
    <row r="8294" spans="3:11" x14ac:dyDescent="0.2">
      <c r="C8294" s="19"/>
      <c r="D8294" s="19"/>
      <c r="E8294" s="19"/>
      <c r="F8294" s="20"/>
      <c r="G8294" s="19"/>
      <c r="H8294" s="19"/>
      <c r="I8294" s="19"/>
      <c r="J8294" s="21"/>
      <c r="K8294" s="19"/>
    </row>
    <row r="8295" spans="3:11" x14ac:dyDescent="0.2">
      <c r="C8295" s="19"/>
      <c r="D8295" s="19"/>
      <c r="E8295" s="19"/>
      <c r="F8295" s="20"/>
      <c r="G8295" s="19"/>
      <c r="H8295" s="19"/>
      <c r="I8295" s="19"/>
      <c r="J8295" s="21"/>
      <c r="K8295" s="19"/>
    </row>
    <row r="8296" spans="3:11" x14ac:dyDescent="0.2">
      <c r="C8296" s="19"/>
      <c r="D8296" s="19"/>
      <c r="E8296" s="19"/>
      <c r="F8296" s="20"/>
      <c r="G8296" s="19"/>
      <c r="H8296" s="19"/>
      <c r="I8296" s="19"/>
      <c r="J8296" s="21"/>
      <c r="K8296" s="19"/>
    </row>
    <row r="8297" spans="3:11" x14ac:dyDescent="0.2">
      <c r="C8297" s="19"/>
      <c r="D8297" s="19"/>
      <c r="E8297" s="19"/>
      <c r="F8297" s="20"/>
      <c r="G8297" s="19"/>
      <c r="H8297" s="19"/>
      <c r="I8297" s="19"/>
      <c r="J8297" s="21"/>
      <c r="K8297" s="19"/>
    </row>
    <row r="8298" spans="3:11" x14ac:dyDescent="0.2">
      <c r="C8298" s="19"/>
      <c r="D8298" s="19"/>
      <c r="E8298" s="19"/>
      <c r="F8298" s="20"/>
      <c r="G8298" s="19"/>
      <c r="H8298" s="19"/>
      <c r="I8298" s="19"/>
      <c r="J8298" s="21"/>
      <c r="K8298" s="19"/>
    </row>
    <row r="8299" spans="3:11" x14ac:dyDescent="0.2">
      <c r="C8299" s="19"/>
      <c r="D8299" s="19"/>
      <c r="E8299" s="19"/>
      <c r="F8299" s="20"/>
      <c r="G8299" s="19"/>
      <c r="H8299" s="19"/>
      <c r="I8299" s="19"/>
      <c r="J8299" s="21"/>
      <c r="K8299" s="19"/>
    </row>
    <row r="8300" spans="3:11" x14ac:dyDescent="0.2">
      <c r="C8300" s="19"/>
      <c r="D8300" s="19"/>
      <c r="E8300" s="19"/>
      <c r="F8300" s="20"/>
      <c r="G8300" s="19"/>
      <c r="H8300" s="19"/>
      <c r="I8300" s="19"/>
      <c r="J8300" s="21"/>
      <c r="K8300" s="19"/>
    </row>
    <row r="8301" spans="3:11" x14ac:dyDescent="0.2">
      <c r="C8301" s="19"/>
      <c r="D8301" s="19"/>
      <c r="E8301" s="19"/>
      <c r="F8301" s="20"/>
      <c r="G8301" s="19"/>
      <c r="H8301" s="19"/>
      <c r="I8301" s="19"/>
      <c r="J8301" s="21"/>
      <c r="K8301" s="19"/>
    </row>
    <row r="8302" spans="3:11" x14ac:dyDescent="0.2">
      <c r="C8302" s="19"/>
      <c r="D8302" s="19"/>
      <c r="E8302" s="19"/>
      <c r="F8302" s="20"/>
      <c r="G8302" s="19"/>
      <c r="H8302" s="19"/>
      <c r="I8302" s="19"/>
      <c r="J8302" s="21"/>
      <c r="K8302" s="19"/>
    </row>
    <row r="8303" spans="3:11" x14ac:dyDescent="0.2">
      <c r="C8303" s="19"/>
      <c r="D8303" s="19"/>
      <c r="E8303" s="19"/>
      <c r="F8303" s="20"/>
      <c r="G8303" s="19"/>
      <c r="H8303" s="19"/>
      <c r="I8303" s="19"/>
      <c r="J8303" s="21"/>
      <c r="K8303" s="19"/>
    </row>
    <row r="8304" spans="3:11" x14ac:dyDescent="0.2">
      <c r="C8304" s="19"/>
      <c r="D8304" s="19"/>
      <c r="E8304" s="19"/>
      <c r="F8304" s="20"/>
      <c r="G8304" s="19"/>
      <c r="H8304" s="19"/>
      <c r="I8304" s="19"/>
      <c r="J8304" s="21"/>
      <c r="K8304" s="19"/>
    </row>
    <row r="8305" spans="3:11" x14ac:dyDescent="0.2">
      <c r="C8305" s="19"/>
      <c r="D8305" s="19"/>
      <c r="E8305" s="19"/>
      <c r="F8305" s="20"/>
      <c r="G8305" s="19"/>
      <c r="H8305" s="19"/>
      <c r="I8305" s="19"/>
      <c r="J8305" s="21"/>
      <c r="K8305" s="19"/>
    </row>
    <row r="8306" spans="3:11" x14ac:dyDescent="0.2">
      <c r="C8306" s="19"/>
      <c r="D8306" s="19"/>
      <c r="E8306" s="19"/>
      <c r="F8306" s="20"/>
      <c r="G8306" s="19"/>
      <c r="H8306" s="19"/>
      <c r="I8306" s="19"/>
      <c r="J8306" s="21"/>
      <c r="K8306" s="19"/>
    </row>
    <row r="8307" spans="3:11" x14ac:dyDescent="0.2">
      <c r="C8307" s="19"/>
      <c r="D8307" s="19"/>
      <c r="E8307" s="19"/>
      <c r="F8307" s="20"/>
      <c r="G8307" s="19"/>
      <c r="H8307" s="19"/>
      <c r="I8307" s="19"/>
      <c r="J8307" s="19"/>
      <c r="K8307" s="19"/>
    </row>
    <row r="8308" spans="3:11" x14ac:dyDescent="0.2">
      <c r="C8308" s="19"/>
      <c r="D8308" s="19"/>
      <c r="E8308" s="19"/>
      <c r="F8308" s="20"/>
      <c r="G8308" s="19"/>
      <c r="H8308" s="19"/>
      <c r="I8308" s="19"/>
      <c r="J8308" s="21"/>
      <c r="K8308" s="19"/>
    </row>
    <row r="8309" spans="3:11" x14ac:dyDescent="0.2">
      <c r="C8309" s="19"/>
      <c r="D8309" s="19"/>
      <c r="E8309" s="19"/>
      <c r="F8309" s="20"/>
      <c r="G8309" s="19"/>
      <c r="H8309" s="19"/>
      <c r="I8309" s="19"/>
      <c r="J8309" s="19"/>
      <c r="K8309" s="19"/>
    </row>
    <row r="8310" spans="3:11" x14ac:dyDescent="0.2">
      <c r="C8310" s="19"/>
      <c r="D8310" s="19"/>
      <c r="E8310" s="19"/>
      <c r="F8310" s="20"/>
      <c r="G8310" s="19"/>
      <c r="H8310" s="19"/>
      <c r="I8310" s="19"/>
      <c r="J8310" s="21"/>
      <c r="K8310" s="19"/>
    </row>
    <row r="8311" spans="3:11" x14ac:dyDescent="0.2">
      <c r="C8311" s="19"/>
      <c r="D8311" s="19"/>
      <c r="E8311" s="19"/>
      <c r="F8311" s="20"/>
      <c r="G8311" s="19"/>
      <c r="H8311" s="19"/>
      <c r="I8311" s="19"/>
      <c r="J8311" s="21"/>
      <c r="K8311" s="19"/>
    </row>
    <row r="8312" spans="3:11" x14ac:dyDescent="0.2">
      <c r="C8312" s="19"/>
      <c r="D8312" s="19"/>
      <c r="E8312" s="19"/>
      <c r="F8312" s="20"/>
      <c r="G8312" s="19"/>
      <c r="H8312" s="19"/>
      <c r="I8312" s="19"/>
      <c r="J8312" s="21"/>
      <c r="K8312" s="19"/>
    </row>
    <row r="8313" spans="3:11" x14ac:dyDescent="0.2">
      <c r="C8313" s="19"/>
      <c r="D8313" s="19"/>
      <c r="E8313" s="19"/>
      <c r="F8313" s="20"/>
      <c r="G8313" s="19"/>
      <c r="H8313" s="19"/>
      <c r="I8313" s="19"/>
      <c r="J8313" s="21"/>
      <c r="K8313" s="19"/>
    </row>
    <row r="8314" spans="3:11" x14ac:dyDescent="0.2">
      <c r="C8314" s="19"/>
      <c r="D8314" s="19"/>
      <c r="E8314" s="19"/>
      <c r="F8314" s="20"/>
      <c r="G8314" s="19"/>
      <c r="H8314" s="19"/>
      <c r="I8314" s="19"/>
      <c r="J8314" s="21"/>
      <c r="K8314" s="19"/>
    </row>
    <row r="8315" spans="3:11" x14ac:dyDescent="0.2">
      <c r="C8315" s="19"/>
      <c r="D8315" s="19"/>
      <c r="E8315" s="19"/>
      <c r="F8315" s="20"/>
      <c r="G8315" s="19"/>
      <c r="H8315" s="19"/>
      <c r="I8315" s="19"/>
      <c r="J8315" s="21"/>
      <c r="K8315" s="19"/>
    </row>
    <row r="8316" spans="3:11" x14ac:dyDescent="0.2">
      <c r="C8316" s="19"/>
      <c r="D8316" s="19"/>
      <c r="E8316" s="19"/>
      <c r="F8316" s="20"/>
      <c r="G8316" s="19"/>
      <c r="H8316" s="19"/>
      <c r="I8316" s="19"/>
      <c r="J8316" s="21"/>
      <c r="K8316" s="19"/>
    </row>
    <row r="8317" spans="3:11" x14ac:dyDescent="0.2">
      <c r="C8317" s="19"/>
      <c r="D8317" s="19"/>
      <c r="E8317" s="19"/>
      <c r="F8317" s="20"/>
      <c r="G8317" s="19"/>
      <c r="H8317" s="19"/>
      <c r="I8317" s="19"/>
      <c r="J8317" s="21"/>
      <c r="K8317" s="19"/>
    </row>
    <row r="8318" spans="3:11" x14ac:dyDescent="0.2">
      <c r="C8318" s="19"/>
      <c r="D8318" s="19"/>
      <c r="E8318" s="19"/>
      <c r="F8318" s="20"/>
      <c r="G8318" s="19"/>
      <c r="H8318" s="19"/>
      <c r="I8318" s="19"/>
      <c r="J8318" s="21"/>
      <c r="K8318" s="19"/>
    </row>
    <row r="8319" spans="3:11" x14ac:dyDescent="0.2">
      <c r="C8319" s="19"/>
      <c r="D8319" s="19"/>
      <c r="E8319" s="19"/>
      <c r="F8319" s="20"/>
      <c r="G8319" s="19"/>
      <c r="H8319" s="19"/>
      <c r="I8319" s="19"/>
      <c r="J8319" s="21"/>
      <c r="K8319" s="19"/>
    </row>
    <row r="8320" spans="3:11" x14ac:dyDescent="0.2">
      <c r="C8320" s="19"/>
      <c r="D8320" s="19"/>
      <c r="E8320" s="19"/>
      <c r="F8320" s="20"/>
      <c r="G8320" s="19"/>
      <c r="H8320" s="19"/>
      <c r="I8320" s="19"/>
      <c r="J8320" s="19"/>
      <c r="K8320" s="19"/>
    </row>
    <row r="8321" spans="3:11" x14ac:dyDescent="0.2">
      <c r="C8321" s="19"/>
      <c r="D8321" s="19"/>
      <c r="E8321" s="19"/>
      <c r="F8321" s="20"/>
      <c r="G8321" s="19"/>
      <c r="H8321" s="19"/>
      <c r="I8321" s="19"/>
      <c r="J8321" s="21"/>
      <c r="K8321" s="19"/>
    </row>
    <row r="8322" spans="3:11" x14ac:dyDescent="0.2">
      <c r="C8322" s="19"/>
      <c r="D8322" s="19"/>
      <c r="E8322" s="19"/>
      <c r="F8322" s="20"/>
      <c r="G8322" s="19"/>
      <c r="H8322" s="19"/>
      <c r="I8322" s="19"/>
      <c r="J8322" s="21"/>
      <c r="K8322" s="19"/>
    </row>
    <row r="8323" spans="3:11" x14ac:dyDescent="0.2">
      <c r="C8323" s="19"/>
      <c r="D8323" s="19"/>
      <c r="E8323" s="19"/>
      <c r="F8323" s="20"/>
      <c r="G8323" s="19"/>
      <c r="H8323" s="19"/>
      <c r="I8323" s="19"/>
      <c r="J8323" s="21"/>
      <c r="K8323" s="19"/>
    </row>
    <row r="8324" spans="3:11" x14ac:dyDescent="0.2">
      <c r="C8324" s="19"/>
      <c r="D8324" s="19"/>
      <c r="E8324" s="19"/>
      <c r="F8324" s="20"/>
      <c r="G8324" s="19"/>
      <c r="H8324" s="19"/>
      <c r="I8324" s="19"/>
      <c r="J8324" s="21"/>
      <c r="K8324" s="19"/>
    </row>
    <row r="8325" spans="3:11" x14ac:dyDescent="0.2">
      <c r="C8325" s="19"/>
      <c r="D8325" s="19"/>
      <c r="E8325" s="19"/>
      <c r="F8325" s="20"/>
      <c r="G8325" s="19"/>
      <c r="H8325" s="19"/>
      <c r="I8325" s="19"/>
      <c r="J8325" s="21"/>
      <c r="K8325" s="19"/>
    </row>
    <row r="8326" spans="3:11" x14ac:dyDescent="0.2">
      <c r="C8326" s="19"/>
      <c r="D8326" s="19"/>
      <c r="E8326" s="19"/>
      <c r="F8326" s="20"/>
      <c r="G8326" s="19"/>
      <c r="H8326" s="19"/>
      <c r="I8326" s="19"/>
      <c r="J8326" s="21"/>
      <c r="K8326" s="19"/>
    </row>
    <row r="8327" spans="3:11" x14ac:dyDescent="0.2">
      <c r="C8327" s="19"/>
      <c r="D8327" s="19"/>
      <c r="E8327" s="19"/>
      <c r="F8327" s="20"/>
      <c r="G8327" s="19"/>
      <c r="H8327" s="19"/>
      <c r="I8327" s="19"/>
      <c r="J8327" s="21"/>
      <c r="K8327" s="19"/>
    </row>
    <row r="8328" spans="3:11" x14ac:dyDescent="0.2">
      <c r="C8328" s="19"/>
      <c r="D8328" s="19"/>
      <c r="E8328" s="19"/>
      <c r="F8328" s="20"/>
      <c r="G8328" s="19"/>
      <c r="H8328" s="19"/>
      <c r="I8328" s="19"/>
      <c r="J8328" s="21"/>
      <c r="K8328" s="19"/>
    </row>
    <row r="8329" spans="3:11" x14ac:dyDescent="0.2">
      <c r="C8329" s="19"/>
      <c r="D8329" s="19"/>
      <c r="E8329" s="19"/>
      <c r="F8329" s="20"/>
      <c r="G8329" s="19"/>
      <c r="H8329" s="19"/>
      <c r="I8329" s="19"/>
      <c r="J8329" s="21"/>
      <c r="K8329" s="19"/>
    </row>
    <row r="8330" spans="3:11" x14ac:dyDescent="0.2">
      <c r="C8330" s="19"/>
      <c r="D8330" s="19"/>
      <c r="E8330" s="19"/>
      <c r="F8330" s="20"/>
      <c r="G8330" s="19"/>
      <c r="H8330" s="19"/>
      <c r="I8330" s="19"/>
      <c r="J8330" s="21"/>
      <c r="K8330" s="19"/>
    </row>
    <row r="8331" spans="3:11" x14ac:dyDescent="0.2">
      <c r="C8331" s="19"/>
      <c r="D8331" s="19"/>
      <c r="E8331" s="19"/>
      <c r="F8331" s="20"/>
      <c r="G8331" s="19"/>
      <c r="H8331" s="19"/>
      <c r="I8331" s="19"/>
      <c r="J8331" s="21"/>
      <c r="K8331" s="19"/>
    </row>
    <row r="8332" spans="3:11" x14ac:dyDescent="0.2">
      <c r="C8332" s="19"/>
      <c r="D8332" s="19"/>
      <c r="E8332" s="19"/>
      <c r="F8332" s="20"/>
      <c r="G8332" s="19"/>
      <c r="H8332" s="19"/>
      <c r="I8332" s="19"/>
      <c r="J8332" s="19"/>
      <c r="K8332" s="19"/>
    </row>
    <row r="8333" spans="3:11" x14ac:dyDescent="0.2">
      <c r="C8333" s="19"/>
      <c r="D8333" s="19"/>
      <c r="E8333" s="19"/>
      <c r="F8333" s="20"/>
      <c r="G8333" s="19"/>
      <c r="H8333" s="19"/>
      <c r="I8333" s="19"/>
      <c r="J8333" s="21"/>
      <c r="K8333" s="19"/>
    </row>
    <row r="8334" spans="3:11" x14ac:dyDescent="0.2">
      <c r="C8334" s="19"/>
      <c r="D8334" s="19"/>
      <c r="E8334" s="19"/>
      <c r="F8334" s="20"/>
      <c r="G8334" s="19"/>
      <c r="H8334" s="19"/>
      <c r="I8334" s="19"/>
      <c r="J8334" s="21"/>
      <c r="K8334" s="19"/>
    </row>
    <row r="8335" spans="3:11" x14ac:dyDescent="0.2">
      <c r="C8335" s="19"/>
      <c r="D8335" s="19"/>
      <c r="E8335" s="19"/>
      <c r="F8335" s="20"/>
      <c r="G8335" s="19"/>
      <c r="H8335" s="19"/>
      <c r="I8335" s="19"/>
      <c r="J8335" s="21"/>
      <c r="K8335" s="19"/>
    </row>
    <row r="8336" spans="3:11" x14ac:dyDescent="0.2">
      <c r="C8336" s="19"/>
      <c r="D8336" s="19"/>
      <c r="E8336" s="19"/>
      <c r="F8336" s="20"/>
      <c r="G8336" s="19"/>
      <c r="H8336" s="19"/>
      <c r="I8336" s="19"/>
      <c r="J8336" s="21"/>
      <c r="K8336" s="19"/>
    </row>
    <row r="8337" spans="3:11" x14ac:dyDescent="0.2">
      <c r="C8337" s="19"/>
      <c r="D8337" s="19"/>
      <c r="E8337" s="19"/>
      <c r="F8337" s="20"/>
      <c r="G8337" s="19"/>
      <c r="H8337" s="19"/>
      <c r="I8337" s="19"/>
      <c r="J8337" s="21"/>
      <c r="K8337" s="19"/>
    </row>
    <row r="8338" spans="3:11" x14ac:dyDescent="0.2">
      <c r="C8338" s="19"/>
      <c r="D8338" s="19"/>
      <c r="E8338" s="19"/>
      <c r="F8338" s="20"/>
      <c r="G8338" s="19"/>
      <c r="H8338" s="19"/>
      <c r="I8338" s="19"/>
      <c r="J8338" s="21"/>
      <c r="K8338" s="19"/>
    </row>
    <row r="8339" spans="3:11" x14ac:dyDescent="0.2">
      <c r="C8339" s="19"/>
      <c r="D8339" s="19"/>
      <c r="E8339" s="19"/>
      <c r="F8339" s="20"/>
      <c r="G8339" s="19"/>
      <c r="H8339" s="19"/>
      <c r="I8339" s="19"/>
      <c r="J8339" s="21"/>
      <c r="K8339" s="19"/>
    </row>
    <row r="8340" spans="3:11" x14ac:dyDescent="0.2">
      <c r="C8340" s="19"/>
      <c r="D8340" s="19"/>
      <c r="E8340" s="19"/>
      <c r="F8340" s="20"/>
      <c r="G8340" s="19"/>
      <c r="H8340" s="19"/>
      <c r="I8340" s="19"/>
      <c r="J8340" s="21"/>
      <c r="K8340" s="19"/>
    </row>
    <row r="8341" spans="3:11" x14ac:dyDescent="0.2">
      <c r="C8341" s="19"/>
      <c r="D8341" s="19"/>
      <c r="E8341" s="19"/>
      <c r="F8341" s="20"/>
      <c r="G8341" s="19"/>
      <c r="H8341" s="19"/>
      <c r="I8341" s="19"/>
      <c r="J8341" s="21"/>
      <c r="K8341" s="19"/>
    </row>
    <row r="8342" spans="3:11" x14ac:dyDescent="0.2">
      <c r="C8342" s="19"/>
      <c r="D8342" s="19"/>
      <c r="E8342" s="19"/>
      <c r="F8342" s="20"/>
      <c r="G8342" s="19"/>
      <c r="H8342" s="19"/>
      <c r="I8342" s="19"/>
      <c r="J8342" s="21"/>
      <c r="K8342" s="19"/>
    </row>
    <row r="8343" spans="3:11" x14ac:dyDescent="0.2">
      <c r="C8343" s="19"/>
      <c r="D8343" s="19"/>
      <c r="E8343" s="19"/>
      <c r="F8343" s="20"/>
      <c r="G8343" s="19"/>
      <c r="H8343" s="19"/>
      <c r="I8343" s="19"/>
      <c r="J8343" s="21"/>
      <c r="K8343" s="19"/>
    </row>
    <row r="8344" spans="3:11" x14ac:dyDescent="0.2">
      <c r="C8344" s="19"/>
      <c r="D8344" s="19"/>
      <c r="E8344" s="19"/>
      <c r="F8344" s="20"/>
      <c r="G8344" s="19"/>
      <c r="H8344" s="19"/>
      <c r="I8344" s="19"/>
      <c r="J8344" s="21"/>
      <c r="K8344" s="19"/>
    </row>
    <row r="8345" spans="3:11" x14ac:dyDescent="0.2">
      <c r="C8345" s="19"/>
      <c r="D8345" s="19"/>
      <c r="E8345" s="19"/>
      <c r="F8345" s="20"/>
      <c r="G8345" s="19"/>
      <c r="H8345" s="19"/>
      <c r="I8345" s="19"/>
      <c r="J8345" s="21"/>
      <c r="K8345" s="19"/>
    </row>
    <row r="8346" spans="3:11" x14ac:dyDescent="0.2">
      <c r="C8346" s="19"/>
      <c r="D8346" s="19"/>
      <c r="E8346" s="19"/>
      <c r="F8346" s="20"/>
      <c r="G8346" s="19"/>
      <c r="H8346" s="19"/>
      <c r="I8346" s="19"/>
      <c r="J8346" s="21"/>
      <c r="K8346" s="19"/>
    </row>
    <row r="8347" spans="3:11" x14ac:dyDescent="0.2">
      <c r="C8347" s="19"/>
      <c r="D8347" s="19"/>
      <c r="E8347" s="19"/>
      <c r="F8347" s="20"/>
      <c r="G8347" s="19"/>
      <c r="H8347" s="19"/>
      <c r="I8347" s="19"/>
      <c r="J8347" s="21"/>
      <c r="K8347" s="19"/>
    </row>
    <row r="8348" spans="3:11" x14ac:dyDescent="0.2">
      <c r="C8348" s="19"/>
      <c r="D8348" s="19"/>
      <c r="E8348" s="19"/>
      <c r="F8348" s="20"/>
      <c r="G8348" s="19"/>
      <c r="H8348" s="19"/>
      <c r="I8348" s="19"/>
      <c r="J8348" s="21"/>
      <c r="K8348" s="19"/>
    </row>
    <row r="8349" spans="3:11" x14ac:dyDescent="0.2">
      <c r="C8349" s="19"/>
      <c r="D8349" s="19"/>
      <c r="E8349" s="19"/>
      <c r="F8349" s="20"/>
      <c r="G8349" s="19"/>
      <c r="H8349" s="19"/>
      <c r="I8349" s="19"/>
      <c r="J8349" s="21"/>
      <c r="K8349" s="19"/>
    </row>
    <row r="8350" spans="3:11" x14ac:dyDescent="0.2">
      <c r="C8350" s="19"/>
      <c r="D8350" s="19"/>
      <c r="E8350" s="19"/>
      <c r="F8350" s="20"/>
      <c r="G8350" s="19"/>
      <c r="H8350" s="19"/>
      <c r="I8350" s="19"/>
      <c r="J8350" s="21"/>
      <c r="K8350" s="19"/>
    </row>
    <row r="8351" spans="3:11" x14ac:dyDescent="0.2">
      <c r="C8351" s="19"/>
      <c r="D8351" s="19"/>
      <c r="E8351" s="19"/>
      <c r="F8351" s="20"/>
      <c r="G8351" s="19"/>
      <c r="H8351" s="19"/>
      <c r="I8351" s="19"/>
      <c r="J8351" s="21"/>
      <c r="K8351" s="19"/>
    </row>
    <row r="8352" spans="3:11" x14ac:dyDescent="0.2">
      <c r="C8352" s="19"/>
      <c r="D8352" s="19"/>
      <c r="E8352" s="19"/>
      <c r="F8352" s="20"/>
      <c r="G8352" s="19"/>
      <c r="H8352" s="19"/>
      <c r="I8352" s="19"/>
      <c r="J8352" s="21"/>
      <c r="K8352" s="19"/>
    </row>
    <row r="8353" spans="3:11" x14ac:dyDescent="0.2">
      <c r="C8353" s="19"/>
      <c r="D8353" s="19"/>
      <c r="E8353" s="19"/>
      <c r="F8353" s="20"/>
      <c r="G8353" s="19"/>
      <c r="H8353" s="19"/>
      <c r="I8353" s="19"/>
      <c r="J8353" s="21"/>
      <c r="K8353" s="19"/>
    </row>
    <row r="8354" spans="3:11" x14ac:dyDescent="0.2">
      <c r="C8354" s="19"/>
      <c r="D8354" s="19"/>
      <c r="E8354" s="19"/>
      <c r="F8354" s="20"/>
      <c r="G8354" s="19"/>
      <c r="H8354" s="19"/>
      <c r="I8354" s="19"/>
      <c r="J8354" s="21"/>
      <c r="K8354" s="19"/>
    </row>
    <row r="8355" spans="3:11" x14ac:dyDescent="0.2">
      <c r="C8355" s="19"/>
      <c r="D8355" s="19"/>
      <c r="E8355" s="19"/>
      <c r="F8355" s="20"/>
      <c r="G8355" s="19"/>
      <c r="H8355" s="19"/>
      <c r="I8355" s="19"/>
      <c r="J8355" s="21"/>
      <c r="K8355" s="19"/>
    </row>
    <row r="8356" spans="3:11" x14ac:dyDescent="0.2">
      <c r="C8356" s="19"/>
      <c r="D8356" s="19"/>
      <c r="E8356" s="19"/>
      <c r="F8356" s="20"/>
      <c r="G8356" s="19"/>
      <c r="H8356" s="19"/>
      <c r="I8356" s="19"/>
      <c r="J8356" s="21"/>
      <c r="K8356" s="19"/>
    </row>
    <row r="8357" spans="3:11" x14ac:dyDescent="0.2">
      <c r="C8357" s="19"/>
      <c r="D8357" s="19"/>
      <c r="E8357" s="19"/>
      <c r="F8357" s="20"/>
      <c r="G8357" s="19"/>
      <c r="H8357" s="19"/>
      <c r="I8357" s="19"/>
      <c r="J8357" s="21"/>
      <c r="K8357" s="19"/>
    </row>
    <row r="8358" spans="3:11" x14ac:dyDescent="0.2">
      <c r="C8358" s="19"/>
      <c r="D8358" s="19"/>
      <c r="E8358" s="19"/>
      <c r="F8358" s="20"/>
      <c r="G8358" s="19"/>
      <c r="H8358" s="19"/>
      <c r="I8358" s="19"/>
      <c r="J8358" s="21"/>
      <c r="K8358" s="19"/>
    </row>
    <row r="8359" spans="3:11" x14ac:dyDescent="0.2">
      <c r="C8359" s="19"/>
      <c r="D8359" s="19"/>
      <c r="E8359" s="19"/>
      <c r="F8359" s="20"/>
      <c r="G8359" s="19"/>
      <c r="H8359" s="19"/>
      <c r="I8359" s="19"/>
      <c r="J8359" s="21"/>
      <c r="K8359" s="19"/>
    </row>
    <row r="8360" spans="3:11" x14ac:dyDescent="0.2">
      <c r="C8360" s="19"/>
      <c r="D8360" s="19"/>
      <c r="E8360" s="19"/>
      <c r="F8360" s="20"/>
      <c r="G8360" s="19"/>
      <c r="H8360" s="19"/>
      <c r="I8360" s="19"/>
      <c r="J8360" s="21"/>
      <c r="K8360" s="19"/>
    </row>
    <row r="8361" spans="3:11" x14ac:dyDescent="0.2">
      <c r="C8361" s="19"/>
      <c r="D8361" s="19"/>
      <c r="E8361" s="19"/>
      <c r="F8361" s="20"/>
      <c r="G8361" s="19"/>
      <c r="H8361" s="19"/>
      <c r="I8361" s="19"/>
      <c r="J8361" s="21"/>
      <c r="K8361" s="19"/>
    </row>
    <row r="8362" spans="3:11" x14ac:dyDescent="0.2">
      <c r="C8362" s="19"/>
      <c r="D8362" s="19"/>
      <c r="E8362" s="19"/>
      <c r="F8362" s="20"/>
      <c r="G8362" s="19"/>
      <c r="H8362" s="19"/>
      <c r="I8362" s="19"/>
      <c r="J8362" s="21"/>
      <c r="K8362" s="19"/>
    </row>
    <row r="8363" spans="3:11" x14ac:dyDescent="0.2">
      <c r="C8363" s="19"/>
      <c r="D8363" s="19"/>
      <c r="E8363" s="19"/>
      <c r="F8363" s="20"/>
      <c r="G8363" s="19"/>
      <c r="H8363" s="19"/>
      <c r="I8363" s="19"/>
      <c r="J8363" s="21"/>
      <c r="K8363" s="19"/>
    </row>
    <row r="8364" spans="3:11" x14ac:dyDescent="0.2">
      <c r="C8364" s="19"/>
      <c r="D8364" s="19"/>
      <c r="E8364" s="19"/>
      <c r="F8364" s="20"/>
      <c r="G8364" s="19"/>
      <c r="H8364" s="19"/>
      <c r="I8364" s="19"/>
      <c r="J8364" s="21"/>
      <c r="K8364" s="19"/>
    </row>
    <row r="8365" spans="3:11" x14ac:dyDescent="0.2">
      <c r="C8365" s="19"/>
      <c r="D8365" s="19"/>
      <c r="E8365" s="19"/>
      <c r="F8365" s="20"/>
      <c r="G8365" s="19"/>
      <c r="H8365" s="19"/>
      <c r="I8365" s="19"/>
      <c r="J8365" s="21"/>
      <c r="K8365" s="19"/>
    </row>
    <row r="8366" spans="3:11" x14ac:dyDescent="0.2">
      <c r="C8366" s="19"/>
      <c r="D8366" s="19"/>
      <c r="E8366" s="19"/>
      <c r="F8366" s="20"/>
      <c r="G8366" s="19"/>
      <c r="H8366" s="19"/>
      <c r="I8366" s="19"/>
      <c r="J8366" s="19"/>
      <c r="K8366" s="19"/>
    </row>
    <row r="8367" spans="3:11" x14ac:dyDescent="0.2">
      <c r="C8367" s="19"/>
      <c r="D8367" s="19"/>
      <c r="E8367" s="19"/>
      <c r="F8367" s="20"/>
      <c r="G8367" s="19"/>
      <c r="H8367" s="19"/>
      <c r="I8367" s="19"/>
      <c r="J8367" s="21"/>
      <c r="K8367" s="19"/>
    </row>
    <row r="8368" spans="3:11" x14ac:dyDescent="0.2">
      <c r="C8368" s="19"/>
      <c r="D8368" s="19"/>
      <c r="E8368" s="19"/>
      <c r="F8368" s="20"/>
      <c r="G8368" s="19"/>
      <c r="H8368" s="19"/>
      <c r="I8368" s="19"/>
      <c r="J8368" s="21"/>
      <c r="K8368" s="19"/>
    </row>
    <row r="8369" spans="3:11" x14ac:dyDescent="0.2">
      <c r="C8369" s="19"/>
      <c r="D8369" s="19"/>
      <c r="E8369" s="19"/>
      <c r="F8369" s="20"/>
      <c r="G8369" s="19"/>
      <c r="H8369" s="19"/>
      <c r="I8369" s="19"/>
      <c r="J8369" s="21"/>
      <c r="K8369" s="19"/>
    </row>
    <row r="8370" spans="3:11" x14ac:dyDescent="0.2">
      <c r="C8370" s="19"/>
      <c r="D8370" s="19"/>
      <c r="E8370" s="19"/>
      <c r="F8370" s="20"/>
      <c r="G8370" s="19"/>
      <c r="H8370" s="19"/>
      <c r="I8370" s="19"/>
      <c r="J8370" s="21"/>
      <c r="K8370" s="19"/>
    </row>
    <row r="8371" spans="3:11" x14ac:dyDescent="0.2">
      <c r="C8371" s="19"/>
      <c r="D8371" s="19"/>
      <c r="E8371" s="19"/>
      <c r="F8371" s="20"/>
      <c r="G8371" s="19"/>
      <c r="H8371" s="19"/>
      <c r="I8371" s="19"/>
      <c r="J8371" s="21"/>
      <c r="K8371" s="19"/>
    </row>
    <row r="8372" spans="3:11" x14ac:dyDescent="0.2">
      <c r="C8372" s="19"/>
      <c r="D8372" s="19"/>
      <c r="E8372" s="19"/>
      <c r="F8372" s="20"/>
      <c r="G8372" s="19"/>
      <c r="H8372" s="19"/>
      <c r="I8372" s="19"/>
      <c r="J8372" s="21"/>
      <c r="K8372" s="19"/>
    </row>
    <row r="8373" spans="3:11" x14ac:dyDescent="0.2">
      <c r="C8373" s="19"/>
      <c r="D8373" s="19"/>
      <c r="E8373" s="19"/>
      <c r="F8373" s="20"/>
      <c r="G8373" s="19"/>
      <c r="H8373" s="19"/>
      <c r="I8373" s="19"/>
      <c r="J8373" s="21"/>
      <c r="K8373" s="19"/>
    </row>
    <row r="8374" spans="3:11" x14ac:dyDescent="0.2">
      <c r="C8374" s="19"/>
      <c r="D8374" s="19"/>
      <c r="E8374" s="19"/>
      <c r="F8374" s="20"/>
      <c r="G8374" s="19"/>
      <c r="H8374" s="19"/>
      <c r="I8374" s="19"/>
      <c r="J8374" s="21"/>
      <c r="K8374" s="19"/>
    </row>
    <row r="8375" spans="3:11" x14ac:dyDescent="0.2">
      <c r="C8375" s="19"/>
      <c r="D8375" s="19"/>
      <c r="E8375" s="19"/>
      <c r="F8375" s="20"/>
      <c r="G8375" s="19"/>
      <c r="H8375" s="19"/>
      <c r="I8375" s="19"/>
      <c r="J8375" s="21"/>
      <c r="K8375" s="19"/>
    </row>
    <row r="8376" spans="3:11" x14ac:dyDescent="0.2">
      <c r="C8376" s="19"/>
      <c r="D8376" s="19"/>
      <c r="E8376" s="19"/>
      <c r="F8376" s="20"/>
      <c r="G8376" s="19"/>
      <c r="H8376" s="19"/>
      <c r="I8376" s="19"/>
      <c r="J8376" s="21"/>
      <c r="K8376" s="19"/>
    </row>
    <row r="8377" spans="3:11" x14ac:dyDescent="0.2">
      <c r="C8377" s="19"/>
      <c r="D8377" s="19"/>
      <c r="E8377" s="19"/>
      <c r="F8377" s="20"/>
      <c r="G8377" s="19"/>
      <c r="H8377" s="19"/>
      <c r="I8377" s="19"/>
      <c r="J8377" s="21"/>
      <c r="K8377" s="19"/>
    </row>
    <row r="8378" spans="3:11" x14ac:dyDescent="0.2">
      <c r="C8378" s="19"/>
      <c r="D8378" s="19"/>
      <c r="E8378" s="19"/>
      <c r="F8378" s="20"/>
      <c r="G8378" s="19"/>
      <c r="H8378" s="19"/>
      <c r="I8378" s="19"/>
      <c r="J8378" s="21"/>
      <c r="K8378" s="19"/>
    </row>
    <row r="8379" spans="3:11" x14ac:dyDescent="0.2">
      <c r="C8379" s="19"/>
      <c r="D8379" s="19"/>
      <c r="E8379" s="19"/>
      <c r="F8379" s="20"/>
      <c r="G8379" s="19"/>
      <c r="H8379" s="19"/>
      <c r="I8379" s="19"/>
      <c r="J8379" s="21"/>
      <c r="K8379" s="19"/>
    </row>
    <row r="8380" spans="3:11" x14ac:dyDescent="0.2">
      <c r="C8380" s="19"/>
      <c r="D8380" s="19"/>
      <c r="E8380" s="19"/>
      <c r="F8380" s="20"/>
      <c r="G8380" s="19"/>
      <c r="H8380" s="19"/>
      <c r="I8380" s="19"/>
      <c r="J8380" s="21"/>
      <c r="K8380" s="19"/>
    </row>
    <row r="8381" spans="3:11" x14ac:dyDescent="0.2">
      <c r="C8381" s="19"/>
      <c r="D8381" s="19"/>
      <c r="E8381" s="19"/>
      <c r="F8381" s="20"/>
      <c r="G8381" s="19"/>
      <c r="H8381" s="19"/>
      <c r="I8381" s="19"/>
      <c r="J8381" s="21"/>
      <c r="K8381" s="19"/>
    </row>
    <row r="8382" spans="3:11" x14ac:dyDescent="0.2">
      <c r="C8382" s="19"/>
      <c r="D8382" s="19"/>
      <c r="E8382" s="19"/>
      <c r="F8382" s="20"/>
      <c r="G8382" s="19"/>
      <c r="H8382" s="19"/>
      <c r="I8382" s="19"/>
      <c r="J8382" s="21"/>
      <c r="K8382" s="19"/>
    </row>
    <row r="8383" spans="3:11" x14ac:dyDescent="0.2">
      <c r="C8383" s="19"/>
      <c r="D8383" s="19"/>
      <c r="E8383" s="19"/>
      <c r="F8383" s="20"/>
      <c r="G8383" s="19"/>
      <c r="H8383" s="19"/>
      <c r="I8383" s="19"/>
      <c r="J8383" s="21"/>
      <c r="K8383" s="19"/>
    </row>
    <row r="8384" spans="3:11" x14ac:dyDescent="0.2">
      <c r="C8384" s="19"/>
      <c r="D8384" s="19"/>
      <c r="E8384" s="19"/>
      <c r="F8384" s="20"/>
      <c r="G8384" s="19"/>
      <c r="H8384" s="19"/>
      <c r="I8384" s="19"/>
      <c r="J8384" s="21"/>
      <c r="K8384" s="19"/>
    </row>
    <row r="8385" spans="3:11" x14ac:dyDescent="0.2">
      <c r="C8385" s="19"/>
      <c r="D8385" s="19"/>
      <c r="E8385" s="19"/>
      <c r="F8385" s="20"/>
      <c r="G8385" s="19"/>
      <c r="H8385" s="19"/>
      <c r="I8385" s="19"/>
      <c r="J8385" s="21"/>
      <c r="K8385" s="19"/>
    </row>
    <row r="8386" spans="3:11" x14ac:dyDescent="0.2">
      <c r="C8386" s="19"/>
      <c r="D8386" s="19"/>
      <c r="E8386" s="19"/>
      <c r="F8386" s="20"/>
      <c r="G8386" s="19"/>
      <c r="H8386" s="19"/>
      <c r="I8386" s="19"/>
      <c r="J8386" s="21"/>
      <c r="K8386" s="19"/>
    </row>
    <row r="8387" spans="3:11" x14ac:dyDescent="0.2">
      <c r="C8387" s="19"/>
      <c r="D8387" s="19"/>
      <c r="E8387" s="19"/>
      <c r="F8387" s="20"/>
      <c r="G8387" s="19"/>
      <c r="H8387" s="19"/>
      <c r="I8387" s="19"/>
      <c r="J8387" s="21"/>
      <c r="K8387" s="19"/>
    </row>
    <row r="8388" spans="3:11" x14ac:dyDescent="0.2">
      <c r="C8388" s="19"/>
      <c r="D8388" s="19"/>
      <c r="E8388" s="19"/>
      <c r="F8388" s="20"/>
      <c r="G8388" s="19"/>
      <c r="H8388" s="19"/>
      <c r="I8388" s="19"/>
      <c r="J8388" s="21"/>
      <c r="K8388" s="19"/>
    </row>
    <row r="8389" spans="3:11" x14ac:dyDescent="0.2">
      <c r="C8389" s="19"/>
      <c r="D8389" s="19"/>
      <c r="E8389" s="19"/>
      <c r="F8389" s="20"/>
      <c r="G8389" s="19"/>
      <c r="H8389" s="19"/>
      <c r="I8389" s="19"/>
      <c r="J8389" s="21"/>
      <c r="K8389" s="19"/>
    </row>
    <row r="8390" spans="3:11" x14ac:dyDescent="0.2">
      <c r="C8390" s="19"/>
      <c r="D8390" s="19"/>
      <c r="E8390" s="19"/>
      <c r="F8390" s="20"/>
      <c r="G8390" s="19"/>
      <c r="H8390" s="19"/>
      <c r="I8390" s="19"/>
      <c r="J8390" s="21"/>
      <c r="K8390" s="19"/>
    </row>
    <row r="8391" spans="3:11" x14ac:dyDescent="0.2">
      <c r="C8391" s="19"/>
      <c r="D8391" s="19"/>
      <c r="E8391" s="19"/>
      <c r="F8391" s="20"/>
      <c r="G8391" s="19"/>
      <c r="H8391" s="19"/>
      <c r="I8391" s="19"/>
      <c r="J8391" s="21"/>
      <c r="K8391" s="19"/>
    </row>
    <row r="8392" spans="3:11" x14ac:dyDescent="0.2">
      <c r="C8392" s="19"/>
      <c r="D8392" s="19"/>
      <c r="E8392" s="19"/>
      <c r="F8392" s="20"/>
      <c r="G8392" s="19"/>
      <c r="H8392" s="19"/>
      <c r="I8392" s="19"/>
      <c r="J8392" s="21"/>
      <c r="K8392" s="19"/>
    </row>
    <row r="8393" spans="3:11" x14ac:dyDescent="0.2">
      <c r="C8393" s="19"/>
      <c r="D8393" s="19"/>
      <c r="E8393" s="19"/>
      <c r="F8393" s="20"/>
      <c r="G8393" s="19"/>
      <c r="H8393" s="19"/>
      <c r="I8393" s="19"/>
      <c r="J8393" s="21"/>
      <c r="K8393" s="19"/>
    </row>
    <row r="8394" spans="3:11" x14ac:dyDescent="0.2">
      <c r="C8394" s="19"/>
      <c r="D8394" s="19"/>
      <c r="E8394" s="19"/>
      <c r="F8394" s="20"/>
      <c r="G8394" s="19"/>
      <c r="H8394" s="19"/>
      <c r="I8394" s="19"/>
      <c r="J8394" s="21"/>
      <c r="K8394" s="19"/>
    </row>
    <row r="8395" spans="3:11" x14ac:dyDescent="0.2">
      <c r="C8395" s="19"/>
      <c r="D8395" s="19"/>
      <c r="E8395" s="19"/>
      <c r="F8395" s="20"/>
      <c r="G8395" s="19"/>
      <c r="H8395" s="19"/>
      <c r="I8395" s="19"/>
      <c r="J8395" s="21"/>
      <c r="K8395" s="19"/>
    </row>
    <row r="8396" spans="3:11" x14ac:dyDescent="0.2">
      <c r="C8396" s="19"/>
      <c r="D8396" s="19"/>
      <c r="E8396" s="19"/>
      <c r="F8396" s="20"/>
      <c r="G8396" s="19"/>
      <c r="H8396" s="19"/>
      <c r="I8396" s="19"/>
      <c r="J8396" s="21"/>
      <c r="K8396" s="19"/>
    </row>
    <row r="8397" spans="3:11" x14ac:dyDescent="0.2">
      <c r="C8397" s="19"/>
      <c r="D8397" s="19"/>
      <c r="E8397" s="19"/>
      <c r="F8397" s="20"/>
      <c r="G8397" s="19"/>
      <c r="H8397" s="19"/>
      <c r="I8397" s="19"/>
      <c r="J8397" s="21"/>
      <c r="K8397" s="19"/>
    </row>
    <row r="8398" spans="3:11" x14ac:dyDescent="0.2">
      <c r="C8398" s="19"/>
      <c r="D8398" s="19"/>
      <c r="E8398" s="19"/>
      <c r="F8398" s="20"/>
      <c r="G8398" s="19"/>
      <c r="H8398" s="19"/>
      <c r="I8398" s="19"/>
      <c r="J8398" s="21"/>
      <c r="K8398" s="19"/>
    </row>
    <row r="8399" spans="3:11" x14ac:dyDescent="0.2">
      <c r="C8399" s="19"/>
      <c r="D8399" s="19"/>
      <c r="E8399" s="19"/>
      <c r="F8399" s="20"/>
      <c r="G8399" s="19"/>
      <c r="H8399" s="19"/>
      <c r="I8399" s="19"/>
      <c r="J8399" s="19"/>
      <c r="K8399" s="19"/>
    </row>
    <row r="8400" spans="3:11" x14ac:dyDescent="0.2">
      <c r="C8400" s="19"/>
      <c r="D8400" s="19"/>
      <c r="E8400" s="19"/>
      <c r="F8400" s="20"/>
      <c r="G8400" s="19"/>
      <c r="H8400" s="19"/>
      <c r="I8400" s="19"/>
      <c r="J8400" s="21"/>
      <c r="K8400" s="19"/>
    </row>
    <row r="8401" spans="3:11" x14ac:dyDescent="0.2">
      <c r="C8401" s="19"/>
      <c r="D8401" s="19"/>
      <c r="E8401" s="19"/>
      <c r="F8401" s="20"/>
      <c r="G8401" s="19"/>
      <c r="H8401" s="19"/>
      <c r="I8401" s="19"/>
      <c r="J8401" s="21"/>
      <c r="K8401" s="19"/>
    </row>
    <row r="8402" spans="3:11" x14ac:dyDescent="0.2">
      <c r="C8402" s="19"/>
      <c r="D8402" s="19"/>
      <c r="E8402" s="19"/>
      <c r="F8402" s="20"/>
      <c r="G8402" s="19"/>
      <c r="H8402" s="19"/>
      <c r="I8402" s="19"/>
      <c r="J8402" s="21"/>
      <c r="K8402" s="19"/>
    </row>
    <row r="8403" spans="3:11" x14ac:dyDescent="0.2">
      <c r="C8403" s="19"/>
      <c r="D8403" s="19"/>
      <c r="E8403" s="19"/>
      <c r="F8403" s="20"/>
      <c r="G8403" s="19"/>
      <c r="H8403" s="19"/>
      <c r="I8403" s="19"/>
      <c r="J8403" s="21"/>
      <c r="K8403" s="19"/>
    </row>
    <row r="8404" spans="3:11" x14ac:dyDescent="0.2">
      <c r="C8404" s="19"/>
      <c r="D8404" s="19"/>
      <c r="E8404" s="19"/>
      <c r="F8404" s="20"/>
      <c r="G8404" s="19"/>
      <c r="H8404" s="19"/>
      <c r="I8404" s="19"/>
      <c r="J8404" s="21"/>
      <c r="K8404" s="19"/>
    </row>
    <row r="8405" spans="3:11" x14ac:dyDescent="0.2">
      <c r="C8405" s="19"/>
      <c r="D8405" s="19"/>
      <c r="E8405" s="19"/>
      <c r="F8405" s="20"/>
      <c r="G8405" s="19"/>
      <c r="H8405" s="19"/>
      <c r="I8405" s="19"/>
      <c r="J8405" s="21"/>
      <c r="K8405" s="19"/>
    </row>
    <row r="8406" spans="3:11" x14ac:dyDescent="0.2">
      <c r="C8406" s="19"/>
      <c r="D8406" s="19"/>
      <c r="E8406" s="19"/>
      <c r="F8406" s="20"/>
      <c r="G8406" s="19"/>
      <c r="H8406" s="19"/>
      <c r="I8406" s="19"/>
      <c r="J8406" s="21"/>
      <c r="K8406" s="19"/>
    </row>
    <row r="8407" spans="3:11" x14ac:dyDescent="0.2">
      <c r="C8407" s="19"/>
      <c r="D8407" s="19"/>
      <c r="E8407" s="19"/>
      <c r="F8407" s="20"/>
      <c r="G8407" s="19"/>
      <c r="H8407" s="19"/>
      <c r="I8407" s="19"/>
      <c r="J8407" s="21"/>
      <c r="K8407" s="19"/>
    </row>
    <row r="8408" spans="3:11" x14ac:dyDescent="0.2">
      <c r="C8408" s="19"/>
      <c r="D8408" s="19"/>
      <c r="E8408" s="19"/>
      <c r="F8408" s="20"/>
      <c r="G8408" s="19"/>
      <c r="H8408" s="19"/>
      <c r="I8408" s="19"/>
      <c r="J8408" s="21"/>
      <c r="K8408" s="19"/>
    </row>
    <row r="8409" spans="3:11" x14ac:dyDescent="0.2">
      <c r="C8409" s="19"/>
      <c r="D8409" s="19"/>
      <c r="E8409" s="19"/>
      <c r="F8409" s="20"/>
      <c r="G8409" s="19"/>
      <c r="H8409" s="19"/>
      <c r="I8409" s="19"/>
      <c r="J8409" s="21"/>
      <c r="K8409" s="19"/>
    </row>
    <row r="8410" spans="3:11" x14ac:dyDescent="0.2">
      <c r="C8410" s="19"/>
      <c r="D8410" s="19"/>
      <c r="E8410" s="19"/>
      <c r="F8410" s="20"/>
      <c r="G8410" s="19"/>
      <c r="H8410" s="19"/>
      <c r="I8410" s="19"/>
      <c r="J8410" s="19"/>
      <c r="K8410" s="19"/>
    </row>
    <row r="8411" spans="3:11" x14ac:dyDescent="0.2">
      <c r="C8411" s="19"/>
      <c r="D8411" s="19"/>
      <c r="E8411" s="19"/>
      <c r="F8411" s="20"/>
      <c r="G8411" s="19"/>
      <c r="H8411" s="19"/>
      <c r="I8411" s="19"/>
      <c r="J8411" s="21"/>
      <c r="K8411" s="19"/>
    </row>
    <row r="8412" spans="3:11" x14ac:dyDescent="0.2">
      <c r="C8412" s="19"/>
      <c r="D8412" s="19"/>
      <c r="E8412" s="19"/>
      <c r="F8412" s="20"/>
      <c r="G8412" s="19"/>
      <c r="H8412" s="19"/>
      <c r="I8412" s="19"/>
      <c r="J8412" s="21"/>
      <c r="K8412" s="19"/>
    </row>
    <row r="8413" spans="3:11" x14ac:dyDescent="0.2">
      <c r="C8413" s="19"/>
      <c r="D8413" s="19"/>
      <c r="E8413" s="19"/>
      <c r="F8413" s="20"/>
      <c r="G8413" s="19"/>
      <c r="H8413" s="19"/>
      <c r="I8413" s="19"/>
      <c r="J8413" s="21"/>
      <c r="K8413" s="19"/>
    </row>
    <row r="8414" spans="3:11" x14ac:dyDescent="0.2">
      <c r="C8414" s="19"/>
      <c r="D8414" s="19"/>
      <c r="E8414" s="19"/>
      <c r="F8414" s="20"/>
      <c r="G8414" s="19"/>
      <c r="H8414" s="19"/>
      <c r="I8414" s="19"/>
      <c r="J8414" s="21"/>
      <c r="K8414" s="19"/>
    </row>
    <row r="8415" spans="3:11" x14ac:dyDescent="0.2">
      <c r="C8415" s="19"/>
      <c r="D8415" s="19"/>
      <c r="E8415" s="19"/>
      <c r="F8415" s="20"/>
      <c r="G8415" s="19"/>
      <c r="H8415" s="19"/>
      <c r="I8415" s="19"/>
      <c r="J8415" s="21"/>
      <c r="K8415" s="19"/>
    </row>
    <row r="8416" spans="3:11" x14ac:dyDescent="0.2">
      <c r="C8416" s="19"/>
      <c r="D8416" s="19"/>
      <c r="E8416" s="19"/>
      <c r="F8416" s="20"/>
      <c r="G8416" s="19"/>
      <c r="H8416" s="19"/>
      <c r="I8416" s="19"/>
      <c r="J8416" s="21"/>
      <c r="K8416" s="19"/>
    </row>
    <row r="8417" spans="3:11" x14ac:dyDescent="0.2">
      <c r="C8417" s="19"/>
      <c r="D8417" s="19"/>
      <c r="E8417" s="19"/>
      <c r="F8417" s="20"/>
      <c r="G8417" s="19"/>
      <c r="H8417" s="19"/>
      <c r="I8417" s="19"/>
      <c r="J8417" s="21"/>
      <c r="K8417" s="19"/>
    </row>
    <row r="8418" spans="3:11" x14ac:dyDescent="0.2">
      <c r="C8418" s="19"/>
      <c r="D8418" s="19"/>
      <c r="E8418" s="19"/>
      <c r="F8418" s="20"/>
      <c r="G8418" s="19"/>
      <c r="H8418" s="19"/>
      <c r="I8418" s="19"/>
      <c r="J8418" s="21"/>
      <c r="K8418" s="19"/>
    </row>
    <row r="8419" spans="3:11" x14ac:dyDescent="0.2">
      <c r="C8419" s="19"/>
      <c r="D8419" s="19"/>
      <c r="E8419" s="19"/>
      <c r="F8419" s="20"/>
      <c r="G8419" s="19"/>
      <c r="H8419" s="19"/>
      <c r="I8419" s="19"/>
      <c r="J8419" s="21"/>
      <c r="K8419" s="19"/>
    </row>
    <row r="8420" spans="3:11" x14ac:dyDescent="0.2">
      <c r="C8420" s="19"/>
      <c r="D8420" s="19"/>
      <c r="E8420" s="19"/>
      <c r="F8420" s="20"/>
      <c r="G8420" s="19"/>
      <c r="H8420" s="19"/>
      <c r="I8420" s="19"/>
      <c r="J8420" s="21"/>
      <c r="K8420" s="19"/>
    </row>
    <row r="8421" spans="3:11" x14ac:dyDescent="0.2">
      <c r="C8421" s="19"/>
      <c r="D8421" s="19"/>
      <c r="E8421" s="19"/>
      <c r="F8421" s="20"/>
      <c r="G8421" s="19"/>
      <c r="H8421" s="19"/>
      <c r="I8421" s="19"/>
      <c r="J8421" s="21"/>
      <c r="K8421" s="19"/>
    </row>
    <row r="8422" spans="3:11" x14ac:dyDescent="0.2">
      <c r="C8422" s="19"/>
      <c r="D8422" s="19"/>
      <c r="E8422" s="19"/>
      <c r="F8422" s="20"/>
      <c r="G8422" s="19"/>
      <c r="H8422" s="19"/>
      <c r="I8422" s="19"/>
      <c r="J8422" s="21"/>
      <c r="K8422" s="19"/>
    </row>
    <row r="8423" spans="3:11" x14ac:dyDescent="0.2">
      <c r="C8423" s="19"/>
      <c r="D8423" s="19"/>
      <c r="E8423" s="19"/>
      <c r="F8423" s="20"/>
      <c r="G8423" s="19"/>
      <c r="H8423" s="19"/>
      <c r="I8423" s="19"/>
      <c r="J8423" s="19"/>
      <c r="K8423" s="19"/>
    </row>
    <row r="8424" spans="3:11" x14ac:dyDescent="0.2">
      <c r="C8424" s="19"/>
      <c r="D8424" s="19"/>
      <c r="E8424" s="19"/>
      <c r="F8424" s="20"/>
      <c r="G8424" s="19"/>
      <c r="H8424" s="19"/>
      <c r="I8424" s="19"/>
      <c r="J8424" s="19"/>
      <c r="K8424" s="19"/>
    </row>
    <row r="8425" spans="3:11" x14ac:dyDescent="0.2">
      <c r="C8425" s="19"/>
      <c r="D8425" s="19"/>
      <c r="E8425" s="19"/>
      <c r="F8425" s="20"/>
      <c r="G8425" s="19"/>
      <c r="H8425" s="19"/>
      <c r="I8425" s="19"/>
      <c r="J8425" s="19"/>
      <c r="K8425" s="19"/>
    </row>
    <row r="8426" spans="3:11" x14ac:dyDescent="0.2">
      <c r="C8426" s="19"/>
      <c r="D8426" s="19"/>
      <c r="E8426" s="19"/>
      <c r="F8426" s="20"/>
      <c r="G8426" s="19"/>
      <c r="H8426" s="19"/>
      <c r="I8426" s="19"/>
      <c r="J8426" s="21"/>
      <c r="K8426" s="19"/>
    </row>
    <row r="8427" spans="3:11" x14ac:dyDescent="0.2">
      <c r="C8427" s="19"/>
      <c r="D8427" s="19"/>
      <c r="E8427" s="19"/>
      <c r="F8427" s="20"/>
      <c r="G8427" s="19"/>
      <c r="H8427" s="19"/>
      <c r="I8427" s="19"/>
      <c r="J8427" s="19"/>
      <c r="K8427" s="19"/>
    </row>
    <row r="8428" spans="3:11" x14ac:dyDescent="0.2">
      <c r="C8428" s="19"/>
      <c r="D8428" s="19"/>
      <c r="E8428" s="19"/>
      <c r="F8428" s="20"/>
      <c r="G8428" s="19"/>
      <c r="H8428" s="19"/>
      <c r="I8428" s="19"/>
      <c r="J8428" s="21"/>
      <c r="K8428" s="19"/>
    </row>
    <row r="8429" spans="3:11" x14ac:dyDescent="0.2">
      <c r="C8429" s="19"/>
      <c r="D8429" s="19"/>
      <c r="E8429" s="19"/>
      <c r="F8429" s="20"/>
      <c r="G8429" s="19"/>
      <c r="H8429" s="19"/>
      <c r="I8429" s="19"/>
      <c r="J8429" s="21"/>
      <c r="K8429" s="19"/>
    </row>
    <row r="8430" spans="3:11" x14ac:dyDescent="0.2">
      <c r="C8430" s="19"/>
      <c r="D8430" s="19"/>
      <c r="E8430" s="19"/>
      <c r="F8430" s="20"/>
      <c r="G8430" s="19"/>
      <c r="H8430" s="19"/>
      <c r="I8430" s="19"/>
      <c r="J8430" s="19"/>
      <c r="K8430" s="19"/>
    </row>
    <row r="8431" spans="3:11" x14ac:dyDescent="0.2">
      <c r="C8431" s="19"/>
      <c r="D8431" s="19"/>
      <c r="E8431" s="19"/>
      <c r="F8431" s="20"/>
      <c r="G8431" s="19"/>
      <c r="H8431" s="19"/>
      <c r="I8431" s="19"/>
      <c r="J8431" s="21"/>
      <c r="K8431" s="19"/>
    </row>
    <row r="8432" spans="3:11" x14ac:dyDescent="0.2">
      <c r="C8432" s="19"/>
      <c r="D8432" s="19"/>
      <c r="E8432" s="19"/>
      <c r="F8432" s="20"/>
      <c r="G8432" s="19"/>
      <c r="H8432" s="19"/>
      <c r="I8432" s="19"/>
      <c r="J8432" s="21"/>
      <c r="K8432" s="19"/>
    </row>
    <row r="8433" spans="3:11" x14ac:dyDescent="0.2">
      <c r="C8433" s="19"/>
      <c r="D8433" s="19"/>
      <c r="E8433" s="19"/>
      <c r="F8433" s="20"/>
      <c r="G8433" s="19"/>
      <c r="H8433" s="19"/>
      <c r="I8433" s="19"/>
      <c r="J8433" s="21"/>
      <c r="K8433" s="19"/>
    </row>
    <row r="8434" spans="3:11" x14ac:dyDescent="0.2">
      <c r="C8434" s="19"/>
      <c r="D8434" s="19"/>
      <c r="E8434" s="19"/>
      <c r="F8434" s="20"/>
      <c r="G8434" s="19"/>
      <c r="H8434" s="19"/>
      <c r="I8434" s="19"/>
      <c r="J8434" s="21"/>
      <c r="K8434" s="19"/>
    </row>
    <row r="8435" spans="3:11" x14ac:dyDescent="0.2">
      <c r="C8435" s="19"/>
      <c r="D8435" s="19"/>
      <c r="E8435" s="19"/>
      <c r="F8435" s="20"/>
      <c r="G8435" s="19"/>
      <c r="H8435" s="19"/>
      <c r="I8435" s="19"/>
      <c r="J8435" s="21"/>
      <c r="K8435" s="19"/>
    </row>
    <row r="8436" spans="3:11" x14ac:dyDescent="0.2">
      <c r="C8436" s="19"/>
      <c r="D8436" s="19"/>
      <c r="E8436" s="19"/>
      <c r="F8436" s="20"/>
      <c r="G8436" s="19"/>
      <c r="H8436" s="19"/>
      <c r="I8436" s="19"/>
      <c r="J8436" s="21"/>
      <c r="K8436" s="19"/>
    </row>
    <row r="8437" spans="3:11" x14ac:dyDescent="0.2">
      <c r="C8437" s="19"/>
      <c r="D8437" s="19"/>
      <c r="E8437" s="19"/>
      <c r="F8437" s="20"/>
      <c r="G8437" s="19"/>
      <c r="H8437" s="19"/>
      <c r="I8437" s="19"/>
      <c r="J8437" s="21"/>
      <c r="K8437" s="19"/>
    </row>
    <row r="8438" spans="3:11" x14ac:dyDescent="0.2">
      <c r="C8438" s="19"/>
      <c r="D8438" s="19"/>
      <c r="E8438" s="19"/>
      <c r="F8438" s="20"/>
      <c r="G8438" s="19"/>
      <c r="H8438" s="19"/>
      <c r="I8438" s="19"/>
      <c r="J8438" s="21"/>
      <c r="K8438" s="19"/>
    </row>
    <row r="8439" spans="3:11" x14ac:dyDescent="0.2">
      <c r="C8439" s="19"/>
      <c r="D8439" s="19"/>
      <c r="E8439" s="19"/>
      <c r="F8439" s="20"/>
      <c r="G8439" s="19"/>
      <c r="H8439" s="19"/>
      <c r="I8439" s="19"/>
      <c r="J8439" s="21"/>
      <c r="K8439" s="19"/>
    </row>
    <row r="8440" spans="3:11" x14ac:dyDescent="0.2">
      <c r="C8440" s="19"/>
      <c r="D8440" s="19"/>
      <c r="E8440" s="19"/>
      <c r="F8440" s="20"/>
      <c r="G8440" s="19"/>
      <c r="H8440" s="19"/>
      <c r="I8440" s="19"/>
      <c r="J8440" s="19"/>
      <c r="K8440" s="19"/>
    </row>
    <row r="8441" spans="3:11" x14ac:dyDescent="0.2">
      <c r="C8441" s="19"/>
      <c r="D8441" s="19"/>
      <c r="E8441" s="19"/>
      <c r="F8441" s="20"/>
      <c r="G8441" s="19"/>
      <c r="H8441" s="19"/>
      <c r="I8441" s="19"/>
      <c r="J8441" s="21"/>
      <c r="K8441" s="19"/>
    </row>
    <row r="8442" spans="3:11" x14ac:dyDescent="0.2">
      <c r="C8442" s="19"/>
      <c r="D8442" s="19"/>
      <c r="E8442" s="19"/>
      <c r="F8442" s="20"/>
      <c r="G8442" s="19"/>
      <c r="H8442" s="19"/>
      <c r="I8442" s="19"/>
      <c r="J8442" s="21"/>
      <c r="K8442" s="19"/>
    </row>
    <row r="8443" spans="3:11" x14ac:dyDescent="0.2">
      <c r="C8443" s="19"/>
      <c r="D8443" s="19"/>
      <c r="E8443" s="19"/>
      <c r="F8443" s="20"/>
      <c r="G8443" s="19"/>
      <c r="H8443" s="19"/>
      <c r="I8443" s="19"/>
      <c r="J8443" s="21"/>
      <c r="K8443" s="19"/>
    </row>
    <row r="8444" spans="3:11" x14ac:dyDescent="0.2">
      <c r="C8444" s="19"/>
      <c r="D8444" s="19"/>
      <c r="E8444" s="19"/>
      <c r="F8444" s="20"/>
      <c r="G8444" s="19"/>
      <c r="H8444" s="19"/>
      <c r="I8444" s="19"/>
      <c r="J8444" s="21"/>
      <c r="K8444" s="19"/>
    </row>
    <row r="8445" spans="3:11" x14ac:dyDescent="0.2">
      <c r="C8445" s="19"/>
      <c r="D8445" s="19"/>
      <c r="E8445" s="19"/>
      <c r="F8445" s="20"/>
      <c r="G8445" s="19"/>
      <c r="H8445" s="19"/>
      <c r="I8445" s="19"/>
      <c r="J8445" s="21"/>
      <c r="K8445" s="19"/>
    </row>
    <row r="8446" spans="3:11" x14ac:dyDescent="0.2">
      <c r="C8446" s="19"/>
      <c r="D8446" s="19"/>
      <c r="E8446" s="19"/>
      <c r="F8446" s="20"/>
      <c r="G8446" s="19"/>
      <c r="H8446" s="19"/>
      <c r="I8446" s="19"/>
      <c r="J8446" s="21"/>
      <c r="K8446" s="19"/>
    </row>
    <row r="8447" spans="3:11" x14ac:dyDescent="0.2">
      <c r="C8447" s="19"/>
      <c r="D8447" s="19"/>
      <c r="E8447" s="19"/>
      <c r="F8447" s="20"/>
      <c r="G8447" s="19"/>
      <c r="H8447" s="19"/>
      <c r="I8447" s="19"/>
      <c r="J8447" s="21"/>
      <c r="K8447" s="19"/>
    </row>
    <row r="8448" spans="3:11" x14ac:dyDescent="0.2">
      <c r="C8448" s="19"/>
      <c r="D8448" s="19"/>
      <c r="E8448" s="19"/>
      <c r="F8448" s="20"/>
      <c r="G8448" s="19"/>
      <c r="H8448" s="19"/>
      <c r="I8448" s="19"/>
      <c r="J8448" s="21"/>
      <c r="K8448" s="19"/>
    </row>
    <row r="8449" spans="3:11" x14ac:dyDescent="0.2">
      <c r="C8449" s="19"/>
      <c r="D8449" s="19"/>
      <c r="E8449" s="19"/>
      <c r="F8449" s="20"/>
      <c r="G8449" s="19"/>
      <c r="H8449" s="19"/>
      <c r="I8449" s="19"/>
      <c r="J8449" s="21"/>
      <c r="K8449" s="19"/>
    </row>
    <row r="8450" spans="3:11" x14ac:dyDescent="0.2">
      <c r="C8450" s="19"/>
      <c r="D8450" s="19"/>
      <c r="E8450" s="19"/>
      <c r="F8450" s="20"/>
      <c r="G8450" s="19"/>
      <c r="H8450" s="19"/>
      <c r="I8450" s="19"/>
      <c r="J8450" s="19"/>
      <c r="K8450" s="19"/>
    </row>
    <row r="8451" spans="3:11" x14ac:dyDescent="0.2">
      <c r="C8451" s="19"/>
      <c r="D8451" s="19"/>
      <c r="E8451" s="19"/>
      <c r="F8451" s="20"/>
      <c r="G8451" s="19"/>
      <c r="H8451" s="19"/>
      <c r="I8451" s="19"/>
      <c r="J8451" s="19"/>
      <c r="K8451" s="19"/>
    </row>
    <row r="8452" spans="3:11" x14ac:dyDescent="0.2">
      <c r="C8452" s="19"/>
      <c r="D8452" s="19"/>
      <c r="E8452" s="19"/>
      <c r="F8452" s="20"/>
      <c r="G8452" s="19"/>
      <c r="H8452" s="19"/>
      <c r="I8452" s="19"/>
      <c r="J8452" s="21"/>
      <c r="K8452" s="19"/>
    </row>
    <row r="8453" spans="3:11" x14ac:dyDescent="0.2">
      <c r="C8453" s="19"/>
      <c r="D8453" s="19"/>
      <c r="E8453" s="19"/>
      <c r="F8453" s="20"/>
      <c r="G8453" s="19"/>
      <c r="H8453" s="19"/>
      <c r="I8453" s="19"/>
      <c r="J8453" s="21"/>
      <c r="K8453" s="19"/>
    </row>
    <row r="8454" spans="3:11" x14ac:dyDescent="0.2">
      <c r="C8454" s="19"/>
      <c r="D8454" s="19"/>
      <c r="E8454" s="19"/>
      <c r="F8454" s="20"/>
      <c r="G8454" s="19"/>
      <c r="H8454" s="19"/>
      <c r="I8454" s="19"/>
      <c r="J8454" s="21"/>
      <c r="K8454" s="19"/>
    </row>
    <row r="8455" spans="3:11" x14ac:dyDescent="0.2">
      <c r="C8455" s="19"/>
      <c r="D8455" s="19"/>
      <c r="E8455" s="19"/>
      <c r="F8455" s="20"/>
      <c r="G8455" s="19"/>
      <c r="H8455" s="19"/>
      <c r="I8455" s="19"/>
      <c r="J8455" s="21"/>
      <c r="K8455" s="19"/>
    </row>
    <row r="8456" spans="3:11" x14ac:dyDescent="0.2">
      <c r="C8456" s="19"/>
      <c r="D8456" s="19"/>
      <c r="E8456" s="19"/>
      <c r="F8456" s="20"/>
      <c r="G8456" s="19"/>
      <c r="H8456" s="19"/>
      <c r="I8456" s="19"/>
      <c r="J8456" s="19"/>
      <c r="K8456" s="19"/>
    </row>
    <row r="8457" spans="3:11" x14ac:dyDescent="0.2">
      <c r="C8457" s="19"/>
      <c r="D8457" s="19"/>
      <c r="E8457" s="19"/>
      <c r="F8457" s="20"/>
      <c r="G8457" s="19"/>
      <c r="H8457" s="19"/>
      <c r="I8457" s="19"/>
      <c r="J8457" s="21"/>
      <c r="K8457" s="19"/>
    </row>
    <row r="8458" spans="3:11" x14ac:dyDescent="0.2">
      <c r="C8458" s="19"/>
      <c r="D8458" s="19"/>
      <c r="E8458" s="19"/>
      <c r="F8458" s="20"/>
      <c r="G8458" s="19"/>
      <c r="H8458" s="19"/>
      <c r="I8458" s="19"/>
      <c r="J8458" s="21"/>
      <c r="K8458" s="19"/>
    </row>
    <row r="8459" spans="3:11" x14ac:dyDescent="0.2">
      <c r="C8459" s="19"/>
      <c r="D8459" s="19"/>
      <c r="E8459" s="19"/>
      <c r="F8459" s="20"/>
      <c r="G8459" s="19"/>
      <c r="H8459" s="19"/>
      <c r="I8459" s="19"/>
      <c r="J8459" s="21"/>
      <c r="K8459" s="19"/>
    </row>
    <row r="8460" spans="3:11" x14ac:dyDescent="0.2">
      <c r="C8460" s="19"/>
      <c r="D8460" s="19"/>
      <c r="E8460" s="19"/>
      <c r="F8460" s="20"/>
      <c r="G8460" s="19"/>
      <c r="H8460" s="19"/>
      <c r="I8460" s="19"/>
      <c r="J8460" s="21"/>
      <c r="K8460" s="19"/>
    </row>
    <row r="8461" spans="3:11" x14ac:dyDescent="0.2">
      <c r="C8461" s="19"/>
      <c r="D8461" s="19"/>
      <c r="E8461" s="19"/>
      <c r="F8461" s="20"/>
      <c r="G8461" s="19"/>
      <c r="H8461" s="19"/>
      <c r="I8461" s="19"/>
      <c r="J8461" s="21"/>
      <c r="K8461" s="19"/>
    </row>
    <row r="8462" spans="3:11" x14ac:dyDescent="0.2">
      <c r="C8462" s="19"/>
      <c r="D8462" s="19"/>
      <c r="E8462" s="19"/>
      <c r="F8462" s="20"/>
      <c r="G8462" s="19"/>
      <c r="H8462" s="19"/>
      <c r="I8462" s="19"/>
      <c r="J8462" s="21"/>
      <c r="K8462" s="19"/>
    </row>
    <row r="8463" spans="3:11" x14ac:dyDescent="0.2">
      <c r="C8463" s="19"/>
      <c r="D8463" s="19"/>
      <c r="E8463" s="19"/>
      <c r="F8463" s="20"/>
      <c r="G8463" s="19"/>
      <c r="H8463" s="19"/>
      <c r="I8463" s="19"/>
      <c r="J8463" s="21"/>
      <c r="K8463" s="19"/>
    </row>
    <row r="8464" spans="3:11" x14ac:dyDescent="0.2">
      <c r="C8464" s="19"/>
      <c r="D8464" s="19"/>
      <c r="E8464" s="19"/>
      <c r="F8464" s="20"/>
      <c r="G8464" s="19"/>
      <c r="H8464" s="19"/>
      <c r="I8464" s="19"/>
      <c r="J8464" s="21"/>
      <c r="K8464" s="19"/>
    </row>
    <row r="8465" spans="3:11" x14ac:dyDescent="0.2">
      <c r="C8465" s="19"/>
      <c r="D8465" s="19"/>
      <c r="E8465" s="19"/>
      <c r="F8465" s="20"/>
      <c r="G8465" s="19"/>
      <c r="H8465" s="19"/>
      <c r="I8465" s="19"/>
      <c r="J8465" s="21"/>
      <c r="K8465" s="19"/>
    </row>
    <row r="8466" spans="3:11" x14ac:dyDescent="0.2">
      <c r="C8466" s="19"/>
      <c r="D8466" s="19"/>
      <c r="E8466" s="19"/>
      <c r="F8466" s="20"/>
      <c r="G8466" s="19"/>
      <c r="H8466" s="19"/>
      <c r="I8466" s="19"/>
      <c r="J8466" s="21"/>
      <c r="K8466" s="19"/>
    </row>
    <row r="8467" spans="3:11" x14ac:dyDescent="0.2">
      <c r="C8467" s="19"/>
      <c r="D8467" s="19"/>
      <c r="E8467" s="19"/>
      <c r="F8467" s="20"/>
      <c r="G8467" s="19"/>
      <c r="H8467" s="19"/>
      <c r="I8467" s="19"/>
      <c r="J8467" s="19"/>
      <c r="K8467" s="19"/>
    </row>
    <row r="8468" spans="3:11" x14ac:dyDescent="0.2">
      <c r="C8468" s="19"/>
      <c r="D8468" s="19"/>
      <c r="E8468" s="19"/>
      <c r="F8468" s="20"/>
      <c r="G8468" s="19"/>
      <c r="H8468" s="19"/>
      <c r="I8468" s="19"/>
      <c r="J8468" s="19"/>
      <c r="K8468" s="19"/>
    </row>
    <row r="8469" spans="3:11" x14ac:dyDescent="0.2">
      <c r="C8469" s="19"/>
      <c r="D8469" s="19"/>
      <c r="E8469" s="19"/>
      <c r="F8469" s="20"/>
      <c r="G8469" s="19"/>
      <c r="H8469" s="19"/>
      <c r="I8469" s="19"/>
      <c r="J8469" s="21"/>
      <c r="K8469" s="19"/>
    </row>
    <row r="8470" spans="3:11" x14ac:dyDescent="0.2">
      <c r="C8470" s="19"/>
      <c r="D8470" s="19"/>
      <c r="E8470" s="19"/>
      <c r="F8470" s="20"/>
      <c r="G8470" s="19"/>
      <c r="H8470" s="19"/>
      <c r="I8470" s="19"/>
      <c r="J8470" s="21"/>
      <c r="K8470" s="19"/>
    </row>
    <row r="8471" spans="3:11" x14ac:dyDescent="0.2">
      <c r="C8471" s="19"/>
      <c r="D8471" s="19"/>
      <c r="E8471" s="19"/>
      <c r="F8471" s="20"/>
      <c r="G8471" s="19"/>
      <c r="H8471" s="19"/>
      <c r="I8471" s="19"/>
      <c r="J8471" s="19"/>
      <c r="K8471" s="19"/>
    </row>
    <row r="8472" spans="3:11" x14ac:dyDescent="0.2">
      <c r="C8472" s="19"/>
      <c r="D8472" s="19"/>
      <c r="E8472" s="19"/>
      <c r="F8472" s="20"/>
      <c r="G8472" s="19"/>
      <c r="H8472" s="19"/>
      <c r="I8472" s="19"/>
      <c r="J8472" s="19"/>
      <c r="K8472" s="19"/>
    </row>
    <row r="8473" spans="3:11" x14ac:dyDescent="0.2">
      <c r="C8473" s="19"/>
      <c r="D8473" s="19"/>
      <c r="E8473" s="19"/>
      <c r="F8473" s="20"/>
      <c r="G8473" s="19"/>
      <c r="H8473" s="19"/>
      <c r="I8473" s="19"/>
      <c r="J8473" s="21"/>
      <c r="K8473" s="19"/>
    </row>
    <row r="8474" spans="3:11" x14ac:dyDescent="0.2">
      <c r="C8474" s="19"/>
      <c r="D8474" s="19"/>
      <c r="E8474" s="19"/>
      <c r="F8474" s="20"/>
      <c r="G8474" s="19"/>
      <c r="H8474" s="19"/>
      <c r="I8474" s="19"/>
      <c r="J8474" s="21"/>
      <c r="K8474" s="19"/>
    </row>
    <row r="8475" spans="3:11" x14ac:dyDescent="0.2">
      <c r="C8475" s="19"/>
      <c r="D8475" s="19"/>
      <c r="E8475" s="19"/>
      <c r="F8475" s="20"/>
      <c r="G8475" s="19"/>
      <c r="H8475" s="19"/>
      <c r="I8475" s="19"/>
      <c r="J8475" s="21"/>
      <c r="K8475" s="19"/>
    </row>
    <row r="8476" spans="3:11" x14ac:dyDescent="0.2">
      <c r="C8476" s="19"/>
      <c r="D8476" s="19"/>
      <c r="E8476" s="19"/>
      <c r="F8476" s="20"/>
      <c r="G8476" s="19"/>
      <c r="H8476" s="19"/>
      <c r="I8476" s="19"/>
      <c r="J8476" s="21"/>
      <c r="K8476" s="19"/>
    </row>
    <row r="8477" spans="3:11" x14ac:dyDescent="0.2">
      <c r="C8477" s="19"/>
      <c r="D8477" s="19"/>
      <c r="E8477" s="19"/>
      <c r="F8477" s="20"/>
      <c r="G8477" s="19"/>
      <c r="H8477" s="19"/>
      <c r="I8477" s="19"/>
      <c r="J8477" s="21"/>
      <c r="K8477" s="19"/>
    </row>
    <row r="8478" spans="3:11" x14ac:dyDescent="0.2">
      <c r="C8478" s="19"/>
      <c r="D8478" s="19"/>
      <c r="E8478" s="19"/>
      <c r="F8478" s="20"/>
      <c r="G8478" s="19"/>
      <c r="H8478" s="19"/>
      <c r="I8478" s="19"/>
      <c r="J8478" s="21"/>
      <c r="K8478" s="19"/>
    </row>
    <row r="8479" spans="3:11" x14ac:dyDescent="0.2">
      <c r="C8479" s="19"/>
      <c r="D8479" s="19"/>
      <c r="E8479" s="19"/>
      <c r="F8479" s="20"/>
      <c r="G8479" s="19"/>
      <c r="H8479" s="19"/>
      <c r="I8479" s="19"/>
      <c r="J8479" s="21"/>
      <c r="K8479" s="19"/>
    </row>
    <row r="8480" spans="3:11" x14ac:dyDescent="0.2">
      <c r="C8480" s="19"/>
      <c r="D8480" s="19"/>
      <c r="E8480" s="19"/>
      <c r="F8480" s="20"/>
      <c r="G8480" s="19"/>
      <c r="H8480" s="19"/>
      <c r="I8480" s="19"/>
      <c r="J8480" s="21"/>
      <c r="K8480" s="19"/>
    </row>
    <row r="8481" spans="3:11" x14ac:dyDescent="0.2">
      <c r="C8481" s="19"/>
      <c r="D8481" s="19"/>
      <c r="E8481" s="19"/>
      <c r="F8481" s="20"/>
      <c r="G8481" s="19"/>
      <c r="H8481" s="19"/>
      <c r="I8481" s="19"/>
      <c r="J8481" s="21"/>
      <c r="K8481" s="19"/>
    </row>
    <row r="8482" spans="3:11" x14ac:dyDescent="0.2">
      <c r="C8482" s="19"/>
      <c r="D8482" s="19"/>
      <c r="E8482" s="19"/>
      <c r="F8482" s="20"/>
      <c r="G8482" s="19"/>
      <c r="H8482" s="19"/>
      <c r="I8482" s="19"/>
      <c r="J8482" s="21"/>
      <c r="K8482" s="19"/>
    </row>
    <row r="8483" spans="3:11" x14ac:dyDescent="0.2">
      <c r="C8483" s="19"/>
      <c r="D8483" s="19"/>
      <c r="E8483" s="19"/>
      <c r="F8483" s="20"/>
      <c r="G8483" s="19"/>
      <c r="H8483" s="19"/>
      <c r="I8483" s="19"/>
      <c r="J8483" s="21"/>
      <c r="K8483" s="19"/>
    </row>
    <row r="8484" spans="3:11" x14ac:dyDescent="0.2">
      <c r="C8484" s="19"/>
      <c r="D8484" s="19"/>
      <c r="E8484" s="19"/>
      <c r="F8484" s="20"/>
      <c r="G8484" s="19"/>
      <c r="H8484" s="19"/>
      <c r="I8484" s="19"/>
      <c r="J8484" s="19"/>
      <c r="K8484" s="19"/>
    </row>
    <row r="8485" spans="3:11" x14ac:dyDescent="0.2">
      <c r="C8485" s="19"/>
      <c r="D8485" s="19"/>
      <c r="E8485" s="19"/>
      <c r="F8485" s="20"/>
      <c r="G8485" s="19"/>
      <c r="H8485" s="19"/>
      <c r="I8485" s="19"/>
      <c r="J8485" s="21"/>
      <c r="K8485" s="19"/>
    </row>
    <row r="8486" spans="3:11" x14ac:dyDescent="0.2">
      <c r="C8486" s="19"/>
      <c r="D8486" s="19"/>
      <c r="E8486" s="19"/>
      <c r="F8486" s="20"/>
      <c r="G8486" s="19"/>
      <c r="H8486" s="19"/>
      <c r="I8486" s="19"/>
      <c r="J8486" s="19"/>
      <c r="K8486" s="19"/>
    </row>
    <row r="8487" spans="3:11" x14ac:dyDescent="0.2">
      <c r="C8487" s="19"/>
      <c r="D8487" s="19"/>
      <c r="E8487" s="19"/>
      <c r="F8487" s="20"/>
      <c r="G8487" s="19"/>
      <c r="H8487" s="19"/>
      <c r="I8487" s="19"/>
      <c r="J8487" s="21"/>
      <c r="K8487" s="19"/>
    </row>
    <row r="8488" spans="3:11" x14ac:dyDescent="0.2">
      <c r="C8488" s="19"/>
      <c r="D8488" s="19"/>
      <c r="E8488" s="19"/>
      <c r="F8488" s="20"/>
      <c r="G8488" s="19"/>
      <c r="H8488" s="19"/>
      <c r="I8488" s="19"/>
      <c r="J8488" s="21"/>
      <c r="K8488" s="19"/>
    </row>
    <row r="8489" spans="3:11" x14ac:dyDescent="0.2">
      <c r="C8489" s="19"/>
      <c r="D8489" s="19"/>
      <c r="E8489" s="19"/>
      <c r="F8489" s="20"/>
      <c r="G8489" s="19"/>
      <c r="H8489" s="19"/>
      <c r="I8489" s="19"/>
      <c r="J8489" s="19"/>
      <c r="K8489" s="19"/>
    </row>
    <row r="8490" spans="3:11" x14ac:dyDescent="0.2">
      <c r="C8490" s="19"/>
      <c r="D8490" s="19"/>
      <c r="E8490" s="19"/>
      <c r="F8490" s="20"/>
      <c r="G8490" s="19"/>
      <c r="H8490" s="19"/>
      <c r="I8490" s="19"/>
      <c r="J8490" s="21"/>
      <c r="K8490" s="19"/>
    </row>
    <row r="8491" spans="3:11" x14ac:dyDescent="0.2">
      <c r="C8491" s="19"/>
      <c r="D8491" s="19"/>
      <c r="E8491" s="19"/>
      <c r="F8491" s="20"/>
      <c r="G8491" s="19"/>
      <c r="H8491" s="19"/>
      <c r="I8491" s="19"/>
      <c r="J8491" s="21"/>
      <c r="K8491" s="19"/>
    </row>
    <row r="8492" spans="3:11" x14ac:dyDescent="0.2">
      <c r="C8492" s="19"/>
      <c r="D8492" s="19"/>
      <c r="E8492" s="19"/>
      <c r="F8492" s="20"/>
      <c r="G8492" s="19"/>
      <c r="H8492" s="19"/>
      <c r="I8492" s="19"/>
      <c r="J8492" s="19"/>
      <c r="K8492" s="19"/>
    </row>
    <row r="8493" spans="3:11" x14ac:dyDescent="0.2">
      <c r="C8493" s="19"/>
      <c r="D8493" s="19"/>
      <c r="E8493" s="19"/>
      <c r="F8493" s="20"/>
      <c r="G8493" s="19"/>
      <c r="H8493" s="19"/>
      <c r="I8493" s="19"/>
      <c r="J8493" s="19"/>
      <c r="K8493" s="19"/>
    </row>
    <row r="8494" spans="3:11" x14ac:dyDescent="0.2">
      <c r="C8494" s="19"/>
      <c r="D8494" s="19"/>
      <c r="E8494" s="19"/>
      <c r="F8494" s="20"/>
      <c r="G8494" s="19"/>
      <c r="H8494" s="19"/>
      <c r="I8494" s="19"/>
      <c r="J8494" s="21"/>
      <c r="K8494" s="19"/>
    </row>
    <row r="8495" spans="3:11" x14ac:dyDescent="0.2">
      <c r="C8495" s="19"/>
      <c r="D8495" s="19"/>
      <c r="E8495" s="19"/>
      <c r="F8495" s="20"/>
      <c r="G8495" s="19"/>
      <c r="H8495" s="19"/>
      <c r="I8495" s="19"/>
      <c r="J8495" s="19"/>
      <c r="K8495" s="19"/>
    </row>
    <row r="8496" spans="3:11" x14ac:dyDescent="0.2">
      <c r="C8496" s="19"/>
      <c r="D8496" s="19"/>
      <c r="E8496" s="19"/>
      <c r="F8496" s="20"/>
      <c r="G8496" s="19"/>
      <c r="H8496" s="19"/>
      <c r="I8496" s="19"/>
      <c r="J8496" s="19"/>
      <c r="K8496" s="19"/>
    </row>
    <row r="8497" spans="3:11" x14ac:dyDescent="0.2">
      <c r="C8497" s="19"/>
      <c r="D8497" s="19"/>
      <c r="E8497" s="19"/>
      <c r="F8497" s="20"/>
      <c r="G8497" s="19"/>
      <c r="H8497" s="19"/>
      <c r="I8497" s="19"/>
      <c r="J8497" s="21"/>
      <c r="K8497" s="19"/>
    </row>
    <row r="8498" spans="3:11" x14ac:dyDescent="0.2">
      <c r="C8498" s="19"/>
      <c r="D8498" s="19"/>
      <c r="E8498" s="19"/>
      <c r="F8498" s="20"/>
      <c r="G8498" s="19"/>
      <c r="H8498" s="19"/>
      <c r="I8498" s="19"/>
      <c r="J8498" s="21"/>
      <c r="K8498" s="19"/>
    </row>
    <row r="8499" spans="3:11" x14ac:dyDescent="0.2">
      <c r="C8499" s="19"/>
      <c r="D8499" s="19"/>
      <c r="E8499" s="19"/>
      <c r="F8499" s="20"/>
      <c r="G8499" s="19"/>
      <c r="H8499" s="19"/>
      <c r="I8499" s="19"/>
      <c r="J8499" s="21"/>
      <c r="K8499" s="19"/>
    </row>
    <row r="8500" spans="3:11" x14ac:dyDescent="0.2">
      <c r="C8500" s="19"/>
      <c r="D8500" s="19"/>
      <c r="E8500" s="19"/>
      <c r="F8500" s="20"/>
      <c r="G8500" s="19"/>
      <c r="H8500" s="19"/>
      <c r="I8500" s="19"/>
      <c r="J8500" s="21"/>
      <c r="K8500" s="19"/>
    </row>
    <row r="8501" spans="3:11" x14ac:dyDescent="0.2">
      <c r="C8501" s="19"/>
      <c r="D8501" s="19"/>
      <c r="E8501" s="19"/>
      <c r="F8501" s="20"/>
      <c r="G8501" s="19"/>
      <c r="H8501" s="19"/>
      <c r="I8501" s="19"/>
      <c r="J8501" s="19"/>
      <c r="K8501" s="19"/>
    </row>
    <row r="8502" spans="3:11" x14ac:dyDescent="0.2">
      <c r="C8502" s="19"/>
      <c r="D8502" s="19"/>
      <c r="E8502" s="19"/>
      <c r="F8502" s="20"/>
      <c r="G8502" s="19"/>
      <c r="H8502" s="19"/>
      <c r="I8502" s="19"/>
      <c r="J8502" s="19"/>
      <c r="K8502" s="19"/>
    </row>
    <row r="8503" spans="3:11" x14ac:dyDescent="0.2">
      <c r="C8503" s="19"/>
      <c r="D8503" s="19"/>
      <c r="E8503" s="19"/>
      <c r="F8503" s="20"/>
      <c r="G8503" s="19"/>
      <c r="H8503" s="19"/>
      <c r="I8503" s="19"/>
      <c r="J8503" s="21"/>
      <c r="K8503" s="19"/>
    </row>
    <row r="8504" spans="3:11" x14ac:dyDescent="0.2">
      <c r="C8504" s="19"/>
      <c r="D8504" s="19"/>
      <c r="E8504" s="19"/>
      <c r="F8504" s="20"/>
      <c r="G8504" s="19"/>
      <c r="H8504" s="19"/>
      <c r="I8504" s="19"/>
      <c r="J8504" s="21"/>
      <c r="K8504" s="19"/>
    </row>
    <row r="8505" spans="3:11" x14ac:dyDescent="0.2">
      <c r="C8505" s="19"/>
      <c r="D8505" s="19"/>
      <c r="E8505" s="19"/>
      <c r="F8505" s="20"/>
      <c r="G8505" s="19"/>
      <c r="H8505" s="19"/>
      <c r="I8505" s="19"/>
      <c r="J8505" s="19"/>
      <c r="K8505" s="19"/>
    </row>
    <row r="8506" spans="3:11" x14ac:dyDescent="0.2">
      <c r="C8506" s="19"/>
      <c r="D8506" s="19"/>
      <c r="E8506" s="19"/>
      <c r="F8506" s="20"/>
      <c r="G8506" s="19"/>
      <c r="H8506" s="19"/>
      <c r="I8506" s="19"/>
      <c r="J8506" s="21"/>
      <c r="K8506" s="19"/>
    </row>
    <row r="8507" spans="3:11" x14ac:dyDescent="0.2">
      <c r="C8507" s="19"/>
      <c r="D8507" s="19"/>
      <c r="E8507" s="19"/>
      <c r="F8507" s="20"/>
      <c r="G8507" s="19"/>
      <c r="H8507" s="19"/>
      <c r="I8507" s="19"/>
      <c r="J8507" s="21"/>
      <c r="K8507" s="19"/>
    </row>
    <row r="8508" spans="3:11" x14ac:dyDescent="0.2">
      <c r="C8508" s="19"/>
      <c r="D8508" s="19"/>
      <c r="E8508" s="19"/>
      <c r="F8508" s="20"/>
      <c r="G8508" s="19"/>
      <c r="H8508" s="19"/>
      <c r="I8508" s="19"/>
      <c r="J8508" s="21"/>
      <c r="K8508" s="19"/>
    </row>
    <row r="8509" spans="3:11" x14ac:dyDescent="0.2">
      <c r="C8509" s="19"/>
      <c r="D8509" s="19"/>
      <c r="E8509" s="19"/>
      <c r="F8509" s="20"/>
      <c r="G8509" s="19"/>
      <c r="H8509" s="19"/>
      <c r="I8509" s="19"/>
      <c r="J8509" s="19"/>
      <c r="K8509" s="19"/>
    </row>
    <row r="8510" spans="3:11" x14ac:dyDescent="0.2">
      <c r="C8510" s="19"/>
      <c r="D8510" s="19"/>
      <c r="E8510" s="19"/>
      <c r="F8510" s="20"/>
      <c r="G8510" s="19"/>
      <c r="H8510" s="19"/>
      <c r="I8510" s="19"/>
      <c r="J8510" s="21"/>
      <c r="K8510" s="19"/>
    </row>
    <row r="8511" spans="3:11" x14ac:dyDescent="0.2">
      <c r="C8511" s="19"/>
      <c r="D8511" s="19"/>
      <c r="E8511" s="19"/>
      <c r="F8511" s="20"/>
      <c r="G8511" s="19"/>
      <c r="H8511" s="19"/>
      <c r="I8511" s="19"/>
      <c r="J8511" s="21"/>
      <c r="K8511" s="19"/>
    </row>
    <row r="8512" spans="3:11" x14ac:dyDescent="0.2">
      <c r="C8512" s="19"/>
      <c r="D8512" s="19"/>
      <c r="E8512" s="19"/>
      <c r="F8512" s="20"/>
      <c r="G8512" s="19"/>
      <c r="H8512" s="19"/>
      <c r="I8512" s="19"/>
      <c r="J8512" s="19"/>
      <c r="K8512" s="19"/>
    </row>
    <row r="8513" spans="3:11" x14ac:dyDescent="0.2">
      <c r="C8513" s="19"/>
      <c r="D8513" s="19"/>
      <c r="E8513" s="19"/>
      <c r="F8513" s="20"/>
      <c r="G8513" s="19"/>
      <c r="H8513" s="19"/>
      <c r="I8513" s="19"/>
      <c r="J8513" s="21"/>
      <c r="K8513" s="19"/>
    </row>
    <row r="8514" spans="3:11" x14ac:dyDescent="0.2">
      <c r="C8514" s="19"/>
      <c r="D8514" s="19"/>
      <c r="E8514" s="19"/>
      <c r="F8514" s="20"/>
      <c r="G8514" s="19"/>
      <c r="H8514" s="19"/>
      <c r="I8514" s="19"/>
      <c r="J8514" s="21"/>
      <c r="K8514" s="19"/>
    </row>
    <row r="8515" spans="3:11" x14ac:dyDescent="0.2">
      <c r="C8515" s="19"/>
      <c r="D8515" s="19"/>
      <c r="E8515" s="19"/>
      <c r="F8515" s="20"/>
      <c r="G8515" s="19"/>
      <c r="H8515" s="19"/>
      <c r="I8515" s="19"/>
      <c r="J8515" s="21"/>
      <c r="K8515" s="19"/>
    </row>
    <row r="8516" spans="3:11" x14ac:dyDescent="0.2">
      <c r="C8516" s="19"/>
      <c r="D8516" s="19"/>
      <c r="E8516" s="19"/>
      <c r="F8516" s="20"/>
      <c r="G8516" s="19"/>
      <c r="H8516" s="19"/>
      <c r="I8516" s="19"/>
      <c r="J8516" s="21"/>
      <c r="K8516" s="19"/>
    </row>
    <row r="8517" spans="3:11" x14ac:dyDescent="0.2">
      <c r="C8517" s="19"/>
      <c r="D8517" s="19"/>
      <c r="E8517" s="19"/>
      <c r="F8517" s="20"/>
      <c r="G8517" s="19"/>
      <c r="H8517" s="19"/>
      <c r="I8517" s="19"/>
      <c r="J8517" s="21"/>
      <c r="K8517" s="19"/>
    </row>
    <row r="8518" spans="3:11" x14ac:dyDescent="0.2">
      <c r="C8518" s="19"/>
      <c r="D8518" s="19"/>
      <c r="E8518" s="19"/>
      <c r="F8518" s="20"/>
      <c r="G8518" s="19"/>
      <c r="H8518" s="19"/>
      <c r="I8518" s="19"/>
      <c r="J8518" s="21"/>
      <c r="K8518" s="19"/>
    </row>
    <row r="8519" spans="3:11" x14ac:dyDescent="0.2">
      <c r="C8519" s="19"/>
      <c r="D8519" s="19"/>
      <c r="E8519" s="19"/>
      <c r="F8519" s="20"/>
      <c r="G8519" s="19"/>
      <c r="H8519" s="19"/>
      <c r="I8519" s="19"/>
      <c r="J8519" s="19"/>
      <c r="K8519" s="19"/>
    </row>
    <row r="8520" spans="3:11" x14ac:dyDescent="0.2">
      <c r="C8520" s="19"/>
      <c r="D8520" s="19"/>
      <c r="E8520" s="19"/>
      <c r="F8520" s="20"/>
      <c r="G8520" s="19"/>
      <c r="H8520" s="19"/>
      <c r="I8520" s="19"/>
      <c r="J8520" s="19"/>
      <c r="K8520" s="19"/>
    </row>
    <row r="8521" spans="3:11" x14ac:dyDescent="0.2">
      <c r="C8521" s="19"/>
      <c r="D8521" s="19"/>
      <c r="E8521" s="19"/>
      <c r="F8521" s="20"/>
      <c r="G8521" s="19"/>
      <c r="H8521" s="19"/>
      <c r="I8521" s="19"/>
      <c r="J8521" s="21"/>
      <c r="K8521" s="19"/>
    </row>
    <row r="8522" spans="3:11" x14ac:dyDescent="0.2">
      <c r="C8522" s="19"/>
      <c r="D8522" s="19"/>
      <c r="E8522" s="19"/>
      <c r="F8522" s="20"/>
      <c r="G8522" s="19"/>
      <c r="H8522" s="19"/>
      <c r="I8522" s="19"/>
      <c r="J8522" s="21"/>
      <c r="K8522" s="19"/>
    </row>
    <row r="8523" spans="3:11" x14ac:dyDescent="0.2">
      <c r="C8523" s="19"/>
      <c r="D8523" s="19"/>
      <c r="E8523" s="19"/>
      <c r="F8523" s="20"/>
      <c r="G8523" s="19"/>
      <c r="H8523" s="19"/>
      <c r="I8523" s="19"/>
      <c r="J8523" s="21"/>
      <c r="K8523" s="19"/>
    </row>
    <row r="8524" spans="3:11" x14ac:dyDescent="0.2">
      <c r="C8524" s="19"/>
      <c r="D8524" s="19"/>
      <c r="E8524" s="19"/>
      <c r="F8524" s="20"/>
      <c r="G8524" s="19"/>
      <c r="H8524" s="19"/>
      <c r="I8524" s="19"/>
      <c r="J8524" s="21"/>
      <c r="K8524" s="19"/>
    </row>
    <row r="8525" spans="3:11" x14ac:dyDescent="0.2">
      <c r="C8525" s="19"/>
      <c r="D8525" s="19"/>
      <c r="E8525" s="19"/>
      <c r="F8525" s="20"/>
      <c r="G8525" s="19"/>
      <c r="H8525" s="19"/>
      <c r="I8525" s="19"/>
      <c r="J8525" s="21"/>
      <c r="K8525" s="19"/>
    </row>
    <row r="8526" spans="3:11" x14ac:dyDescent="0.2">
      <c r="C8526" s="19"/>
      <c r="D8526" s="19"/>
      <c r="E8526" s="19"/>
      <c r="F8526" s="20"/>
      <c r="G8526" s="19"/>
      <c r="H8526" s="19"/>
      <c r="I8526" s="19"/>
      <c r="J8526" s="21"/>
      <c r="K8526" s="19"/>
    </row>
    <row r="8527" spans="3:11" x14ac:dyDescent="0.2">
      <c r="C8527" s="19"/>
      <c r="D8527" s="19"/>
      <c r="E8527" s="19"/>
      <c r="F8527" s="20"/>
      <c r="G8527" s="19"/>
      <c r="H8527" s="19"/>
      <c r="I8527" s="19"/>
      <c r="J8527" s="21"/>
      <c r="K8527" s="19"/>
    </row>
    <row r="8528" spans="3:11" x14ac:dyDescent="0.2">
      <c r="C8528" s="19"/>
      <c r="D8528" s="19"/>
      <c r="E8528" s="19"/>
      <c r="F8528" s="20"/>
      <c r="G8528" s="19"/>
      <c r="H8528" s="19"/>
      <c r="I8528" s="19"/>
      <c r="J8528" s="21"/>
      <c r="K8528" s="19"/>
    </row>
    <row r="8529" spans="3:11" x14ac:dyDescent="0.2">
      <c r="C8529" s="19"/>
      <c r="D8529" s="19"/>
      <c r="E8529" s="19"/>
      <c r="F8529" s="20"/>
      <c r="G8529" s="19"/>
      <c r="H8529" s="19"/>
      <c r="I8529" s="19"/>
      <c r="J8529" s="21"/>
      <c r="K8529" s="19"/>
    </row>
    <row r="8530" spans="3:11" x14ac:dyDescent="0.2">
      <c r="C8530" s="19"/>
      <c r="D8530" s="19"/>
      <c r="E8530" s="19"/>
      <c r="F8530" s="20"/>
      <c r="G8530" s="19"/>
      <c r="H8530" s="19"/>
      <c r="I8530" s="19"/>
      <c r="J8530" s="19"/>
      <c r="K8530" s="19"/>
    </row>
    <row r="8531" spans="3:11" x14ac:dyDescent="0.2">
      <c r="C8531" s="19"/>
      <c r="D8531" s="19"/>
      <c r="E8531" s="19"/>
      <c r="F8531" s="20"/>
      <c r="G8531" s="19"/>
      <c r="H8531" s="19"/>
      <c r="I8531" s="19"/>
      <c r="J8531" s="21"/>
      <c r="K8531" s="19"/>
    </row>
    <row r="8532" spans="3:11" x14ac:dyDescent="0.2">
      <c r="C8532" s="19"/>
      <c r="D8532" s="19"/>
      <c r="E8532" s="19"/>
      <c r="F8532" s="20"/>
      <c r="G8532" s="19"/>
      <c r="H8532" s="19"/>
      <c r="I8532" s="19"/>
      <c r="J8532" s="21"/>
      <c r="K8532" s="19"/>
    </row>
    <row r="8533" spans="3:11" x14ac:dyDescent="0.2">
      <c r="C8533" s="19"/>
      <c r="D8533" s="19"/>
      <c r="E8533" s="19"/>
      <c r="F8533" s="20"/>
      <c r="G8533" s="19"/>
      <c r="H8533" s="19"/>
      <c r="I8533" s="19"/>
      <c r="J8533" s="19"/>
      <c r="K8533" s="19"/>
    </row>
    <row r="8534" spans="3:11" x14ac:dyDescent="0.2">
      <c r="C8534" s="19"/>
      <c r="D8534" s="19"/>
      <c r="E8534" s="19"/>
      <c r="F8534" s="20"/>
      <c r="G8534" s="19"/>
      <c r="H8534" s="19"/>
      <c r="I8534" s="19"/>
      <c r="J8534" s="21"/>
      <c r="K8534" s="19"/>
    </row>
    <row r="8535" spans="3:11" x14ac:dyDescent="0.2">
      <c r="C8535" s="19"/>
      <c r="D8535" s="19"/>
      <c r="E8535" s="19"/>
      <c r="F8535" s="20"/>
      <c r="G8535" s="19"/>
      <c r="H8535" s="19"/>
      <c r="I8535" s="19"/>
      <c r="J8535" s="21"/>
      <c r="K8535" s="19"/>
    </row>
    <row r="8536" spans="3:11" x14ac:dyDescent="0.2">
      <c r="C8536" s="19"/>
      <c r="D8536" s="19"/>
      <c r="E8536" s="19"/>
      <c r="F8536" s="20"/>
      <c r="G8536" s="19"/>
      <c r="H8536" s="19"/>
      <c r="I8536" s="19"/>
      <c r="J8536" s="21"/>
      <c r="K8536" s="19"/>
    </row>
    <row r="8537" spans="3:11" x14ac:dyDescent="0.2">
      <c r="C8537" s="19"/>
      <c r="D8537" s="19"/>
      <c r="E8537" s="19"/>
      <c r="F8537" s="20"/>
      <c r="G8537" s="19"/>
      <c r="H8537" s="19"/>
      <c r="I8537" s="19"/>
      <c r="J8537" s="21"/>
      <c r="K8537" s="19"/>
    </row>
    <row r="8538" spans="3:11" x14ac:dyDescent="0.2">
      <c r="C8538" s="19"/>
      <c r="D8538" s="19"/>
      <c r="E8538" s="19"/>
      <c r="F8538" s="20"/>
      <c r="G8538" s="19"/>
      <c r="H8538" s="19"/>
      <c r="I8538" s="19"/>
      <c r="J8538" s="21"/>
      <c r="K8538" s="19"/>
    </row>
    <row r="8539" spans="3:11" x14ac:dyDescent="0.2">
      <c r="C8539" s="19"/>
      <c r="D8539" s="19"/>
      <c r="E8539" s="19"/>
      <c r="F8539" s="20"/>
      <c r="G8539" s="19"/>
      <c r="H8539" s="19"/>
      <c r="I8539" s="19"/>
      <c r="J8539" s="21"/>
      <c r="K8539" s="19"/>
    </row>
    <row r="8540" spans="3:11" x14ac:dyDescent="0.2">
      <c r="C8540" s="19"/>
      <c r="D8540" s="19"/>
      <c r="E8540" s="19"/>
      <c r="F8540" s="20"/>
      <c r="G8540" s="19"/>
      <c r="H8540" s="19"/>
      <c r="I8540" s="19"/>
      <c r="J8540" s="21"/>
      <c r="K8540" s="19"/>
    </row>
    <row r="8541" spans="3:11" x14ac:dyDescent="0.2">
      <c r="C8541" s="19"/>
      <c r="D8541" s="19"/>
      <c r="E8541" s="19"/>
      <c r="F8541" s="20"/>
      <c r="G8541" s="19"/>
      <c r="H8541" s="19"/>
      <c r="I8541" s="19"/>
      <c r="J8541" s="21"/>
      <c r="K8541" s="19"/>
    </row>
    <row r="8542" spans="3:11" x14ac:dyDescent="0.2">
      <c r="C8542" s="19"/>
      <c r="D8542" s="19"/>
      <c r="E8542" s="19"/>
      <c r="F8542" s="20"/>
      <c r="G8542" s="19"/>
      <c r="H8542" s="19"/>
      <c r="I8542" s="19"/>
      <c r="J8542" s="21"/>
      <c r="K8542" s="19"/>
    </row>
    <row r="8543" spans="3:11" x14ac:dyDescent="0.2">
      <c r="C8543" s="19"/>
      <c r="D8543" s="19"/>
      <c r="E8543" s="19"/>
      <c r="F8543" s="20"/>
      <c r="G8543" s="19"/>
      <c r="H8543" s="19"/>
      <c r="I8543" s="19"/>
      <c r="J8543" s="21"/>
      <c r="K8543" s="19"/>
    </row>
    <row r="8544" spans="3:11" x14ac:dyDescent="0.2">
      <c r="C8544" s="19"/>
      <c r="D8544" s="19"/>
      <c r="E8544" s="19"/>
      <c r="F8544" s="20"/>
      <c r="G8544" s="19"/>
      <c r="H8544" s="19"/>
      <c r="I8544" s="19"/>
      <c r="J8544" s="19"/>
      <c r="K8544" s="19"/>
    </row>
    <row r="8545" spans="3:11" x14ac:dyDescent="0.2">
      <c r="C8545" s="19"/>
      <c r="D8545" s="19"/>
      <c r="E8545" s="19"/>
      <c r="F8545" s="20"/>
      <c r="G8545" s="19"/>
      <c r="H8545" s="19"/>
      <c r="I8545" s="19"/>
      <c r="J8545" s="21"/>
      <c r="K8545" s="19"/>
    </row>
    <row r="8546" spans="3:11" x14ac:dyDescent="0.2">
      <c r="C8546" s="19"/>
      <c r="D8546" s="19"/>
      <c r="E8546" s="19"/>
      <c r="F8546" s="20"/>
      <c r="G8546" s="19"/>
      <c r="H8546" s="19"/>
      <c r="I8546" s="19"/>
      <c r="J8546" s="21"/>
      <c r="K8546" s="19"/>
    </row>
    <row r="8547" spans="3:11" x14ac:dyDescent="0.2">
      <c r="C8547" s="19"/>
      <c r="D8547" s="19"/>
      <c r="E8547" s="19"/>
      <c r="F8547" s="20"/>
      <c r="G8547" s="19"/>
      <c r="H8547" s="19"/>
      <c r="I8547" s="19"/>
      <c r="J8547" s="19"/>
      <c r="K8547" s="19"/>
    </row>
    <row r="8548" spans="3:11" x14ac:dyDescent="0.2">
      <c r="C8548" s="19"/>
      <c r="D8548" s="19"/>
      <c r="E8548" s="19"/>
      <c r="F8548" s="20"/>
      <c r="G8548" s="19"/>
      <c r="H8548" s="19"/>
      <c r="I8548" s="19"/>
      <c r="J8548" s="21"/>
      <c r="K8548" s="19"/>
    </row>
    <row r="8549" spans="3:11" x14ac:dyDescent="0.2">
      <c r="C8549" s="19"/>
      <c r="D8549" s="19"/>
      <c r="E8549" s="19"/>
      <c r="F8549" s="20"/>
      <c r="G8549" s="19"/>
      <c r="H8549" s="19"/>
      <c r="I8549" s="19"/>
      <c r="J8549" s="21"/>
      <c r="K8549" s="19"/>
    </row>
    <row r="8550" spans="3:11" x14ac:dyDescent="0.2">
      <c r="C8550" s="19"/>
      <c r="D8550" s="19"/>
      <c r="E8550" s="19"/>
      <c r="F8550" s="20"/>
      <c r="G8550" s="19"/>
      <c r="H8550" s="19"/>
      <c r="I8550" s="19"/>
      <c r="J8550" s="21"/>
      <c r="K8550" s="19"/>
    </row>
    <row r="8551" spans="3:11" x14ac:dyDescent="0.2">
      <c r="C8551" s="19"/>
      <c r="D8551" s="19"/>
      <c r="E8551" s="19"/>
      <c r="F8551" s="20"/>
      <c r="G8551" s="19"/>
      <c r="H8551" s="19"/>
      <c r="I8551" s="19"/>
      <c r="J8551" s="19"/>
      <c r="K8551" s="19"/>
    </row>
    <row r="8552" spans="3:11" x14ac:dyDescent="0.2">
      <c r="C8552" s="19"/>
      <c r="D8552" s="19"/>
      <c r="E8552" s="19"/>
      <c r="F8552" s="20"/>
      <c r="G8552" s="19"/>
      <c r="H8552" s="19"/>
      <c r="I8552" s="19"/>
      <c r="J8552" s="21"/>
      <c r="K8552" s="19"/>
    </row>
    <row r="8553" spans="3:11" x14ac:dyDescent="0.2">
      <c r="C8553" s="19"/>
      <c r="D8553" s="19"/>
      <c r="E8553" s="19"/>
      <c r="F8553" s="20"/>
      <c r="G8553" s="19"/>
      <c r="H8553" s="19"/>
      <c r="I8553" s="19"/>
      <c r="J8553" s="21"/>
      <c r="K8553" s="19"/>
    </row>
    <row r="8554" spans="3:11" x14ac:dyDescent="0.2">
      <c r="C8554" s="19"/>
      <c r="D8554" s="19"/>
      <c r="E8554" s="19"/>
      <c r="F8554" s="20"/>
      <c r="G8554" s="19"/>
      <c r="H8554" s="19"/>
      <c r="I8554" s="19"/>
      <c r="J8554" s="21"/>
      <c r="K8554" s="19"/>
    </row>
    <row r="8555" spans="3:11" x14ac:dyDescent="0.2">
      <c r="C8555" s="19"/>
      <c r="D8555" s="19"/>
      <c r="E8555" s="19"/>
      <c r="F8555" s="20"/>
      <c r="G8555" s="19"/>
      <c r="H8555" s="19"/>
      <c r="I8555" s="19"/>
      <c r="J8555" s="19"/>
      <c r="K8555" s="19"/>
    </row>
    <row r="8556" spans="3:11" x14ac:dyDescent="0.2">
      <c r="C8556" s="19"/>
      <c r="D8556" s="19"/>
      <c r="E8556" s="19"/>
      <c r="F8556" s="20"/>
      <c r="G8556" s="19"/>
      <c r="H8556" s="19"/>
      <c r="I8556" s="19"/>
      <c r="J8556" s="19"/>
      <c r="K8556" s="19"/>
    </row>
    <row r="8557" spans="3:11" x14ac:dyDescent="0.2">
      <c r="C8557" s="19"/>
      <c r="D8557" s="19"/>
      <c r="E8557" s="19"/>
      <c r="F8557" s="20"/>
      <c r="G8557" s="19"/>
      <c r="H8557" s="19"/>
      <c r="I8557" s="19"/>
      <c r="J8557" s="19"/>
      <c r="K8557" s="19"/>
    </row>
    <row r="8558" spans="3:11" x14ac:dyDescent="0.2">
      <c r="C8558" s="19"/>
      <c r="D8558" s="19"/>
      <c r="E8558" s="19"/>
      <c r="F8558" s="20"/>
      <c r="G8558" s="19"/>
      <c r="H8558" s="19"/>
      <c r="I8558" s="19"/>
      <c r="J8558" s="21"/>
      <c r="K8558" s="19"/>
    </row>
    <row r="8559" spans="3:11" x14ac:dyDescent="0.2">
      <c r="C8559" s="19"/>
      <c r="D8559" s="19"/>
      <c r="E8559" s="19"/>
      <c r="F8559" s="20"/>
      <c r="G8559" s="19"/>
      <c r="H8559" s="19"/>
      <c r="I8559" s="19"/>
      <c r="J8559" s="21"/>
      <c r="K8559" s="19"/>
    </row>
    <row r="8560" spans="3:11" x14ac:dyDescent="0.2">
      <c r="C8560" s="19"/>
      <c r="D8560" s="19"/>
      <c r="E8560" s="19"/>
      <c r="F8560" s="20"/>
      <c r="G8560" s="19"/>
      <c r="H8560" s="19"/>
      <c r="I8560" s="19"/>
      <c r="J8560" s="19"/>
      <c r="K8560" s="19"/>
    </row>
    <row r="8561" spans="3:11" x14ac:dyDescent="0.2">
      <c r="C8561" s="19"/>
      <c r="D8561" s="19"/>
      <c r="E8561" s="19"/>
      <c r="F8561" s="20"/>
      <c r="G8561" s="19"/>
      <c r="H8561" s="19"/>
      <c r="I8561" s="19"/>
      <c r="J8561" s="21"/>
      <c r="K8561" s="19"/>
    </row>
    <row r="8562" spans="3:11" x14ac:dyDescent="0.2">
      <c r="C8562" s="19"/>
      <c r="D8562" s="19"/>
      <c r="E8562" s="19"/>
      <c r="F8562" s="20"/>
      <c r="G8562" s="19"/>
      <c r="H8562" s="19"/>
      <c r="I8562" s="19"/>
      <c r="J8562" s="19"/>
      <c r="K8562" s="19"/>
    </row>
    <row r="8563" spans="3:11" x14ac:dyDescent="0.2">
      <c r="C8563" s="19"/>
      <c r="D8563" s="19"/>
      <c r="E8563" s="19"/>
      <c r="F8563" s="20"/>
      <c r="G8563" s="19"/>
      <c r="H8563" s="19"/>
      <c r="I8563" s="19"/>
      <c r="J8563" s="19"/>
      <c r="K8563" s="19"/>
    </row>
    <row r="8564" spans="3:11" x14ac:dyDescent="0.2">
      <c r="C8564" s="19"/>
      <c r="D8564" s="19"/>
      <c r="E8564" s="19"/>
      <c r="F8564" s="20"/>
      <c r="G8564" s="19"/>
      <c r="H8564" s="19"/>
      <c r="I8564" s="19"/>
      <c r="J8564" s="21"/>
      <c r="K8564" s="19"/>
    </row>
    <row r="8565" spans="3:11" x14ac:dyDescent="0.2">
      <c r="C8565" s="19"/>
      <c r="D8565" s="19"/>
      <c r="E8565" s="19"/>
      <c r="F8565" s="20"/>
      <c r="G8565" s="19"/>
      <c r="H8565" s="19"/>
      <c r="I8565" s="19"/>
      <c r="J8565" s="19"/>
      <c r="K8565" s="19"/>
    </row>
    <row r="8566" spans="3:11" x14ac:dyDescent="0.2">
      <c r="C8566" s="19"/>
      <c r="D8566" s="19"/>
      <c r="E8566" s="19"/>
      <c r="F8566" s="20"/>
      <c r="G8566" s="19"/>
      <c r="H8566" s="19"/>
      <c r="I8566" s="19"/>
      <c r="J8566" s="21"/>
      <c r="K8566" s="19"/>
    </row>
    <row r="8567" spans="3:11" x14ac:dyDescent="0.2">
      <c r="C8567" s="19"/>
      <c r="D8567" s="19"/>
      <c r="E8567" s="19"/>
      <c r="F8567" s="20"/>
      <c r="G8567" s="19"/>
      <c r="H8567" s="19"/>
      <c r="I8567" s="19"/>
      <c r="J8567" s="21"/>
      <c r="K8567" s="19"/>
    </row>
    <row r="8568" spans="3:11" x14ac:dyDescent="0.2">
      <c r="C8568" s="19"/>
      <c r="D8568" s="19"/>
      <c r="E8568" s="19"/>
      <c r="F8568" s="20"/>
      <c r="G8568" s="19"/>
      <c r="H8568" s="19"/>
      <c r="I8568" s="19"/>
      <c r="J8568" s="21"/>
      <c r="K8568" s="19"/>
    </row>
    <row r="8569" spans="3:11" x14ac:dyDescent="0.2">
      <c r="C8569" s="19"/>
      <c r="D8569" s="19"/>
      <c r="E8569" s="19"/>
      <c r="F8569" s="20"/>
      <c r="G8569" s="19"/>
      <c r="H8569" s="19"/>
      <c r="I8569" s="19"/>
      <c r="J8569" s="21"/>
      <c r="K8569" s="19"/>
    </row>
    <row r="8570" spans="3:11" x14ac:dyDescent="0.2">
      <c r="C8570" s="19"/>
      <c r="D8570" s="19"/>
      <c r="E8570" s="19"/>
      <c r="F8570" s="20"/>
      <c r="G8570" s="19"/>
      <c r="H8570" s="19"/>
      <c r="I8570" s="19"/>
      <c r="J8570" s="21"/>
      <c r="K8570" s="19"/>
    </row>
    <row r="8571" spans="3:11" x14ac:dyDescent="0.2">
      <c r="C8571" s="19"/>
      <c r="D8571" s="19"/>
      <c r="E8571" s="19"/>
      <c r="F8571" s="20"/>
      <c r="G8571" s="19"/>
      <c r="H8571" s="19"/>
      <c r="I8571" s="19"/>
      <c r="J8571" s="21"/>
      <c r="K8571" s="19"/>
    </row>
    <row r="8572" spans="3:11" x14ac:dyDescent="0.2">
      <c r="C8572" s="19"/>
      <c r="D8572" s="19"/>
      <c r="E8572" s="19"/>
      <c r="F8572" s="20"/>
      <c r="G8572" s="19"/>
      <c r="H8572" s="19"/>
      <c r="I8572" s="19"/>
      <c r="J8572" s="21"/>
      <c r="K8572" s="19"/>
    </row>
    <row r="8573" spans="3:11" x14ac:dyDescent="0.2">
      <c r="C8573" s="19"/>
      <c r="D8573" s="19"/>
      <c r="E8573" s="19"/>
      <c r="F8573" s="20"/>
      <c r="G8573" s="19"/>
      <c r="H8573" s="19"/>
      <c r="I8573" s="19"/>
      <c r="J8573" s="21"/>
      <c r="K8573" s="19"/>
    </row>
    <row r="8574" spans="3:11" x14ac:dyDescent="0.2">
      <c r="C8574" s="19"/>
      <c r="D8574" s="19"/>
      <c r="E8574" s="19"/>
      <c r="F8574" s="20"/>
      <c r="G8574" s="19"/>
      <c r="H8574" s="19"/>
      <c r="I8574" s="19"/>
      <c r="J8574" s="21"/>
      <c r="K8574" s="19"/>
    </row>
    <row r="8575" spans="3:11" x14ac:dyDescent="0.2">
      <c r="C8575" s="19"/>
      <c r="D8575" s="19"/>
      <c r="E8575" s="19"/>
      <c r="F8575" s="20"/>
      <c r="G8575" s="19"/>
      <c r="H8575" s="19"/>
      <c r="I8575" s="19"/>
      <c r="J8575" s="21"/>
      <c r="K8575" s="19"/>
    </row>
    <row r="8576" spans="3:11" x14ac:dyDescent="0.2">
      <c r="C8576" s="19"/>
      <c r="D8576" s="19"/>
      <c r="E8576" s="19"/>
      <c r="F8576" s="20"/>
      <c r="G8576" s="19"/>
      <c r="H8576" s="19"/>
      <c r="I8576" s="19"/>
      <c r="J8576" s="21"/>
      <c r="K8576" s="19"/>
    </row>
    <row r="8577" spans="3:11" x14ac:dyDescent="0.2">
      <c r="C8577" s="19"/>
      <c r="D8577" s="19"/>
      <c r="E8577" s="19"/>
      <c r="F8577" s="20"/>
      <c r="G8577" s="19"/>
      <c r="H8577" s="19"/>
      <c r="I8577" s="19"/>
      <c r="J8577" s="21"/>
      <c r="K8577" s="19"/>
    </row>
    <row r="8578" spans="3:11" x14ac:dyDescent="0.2">
      <c r="C8578" s="19"/>
      <c r="D8578" s="19"/>
      <c r="E8578" s="19"/>
      <c r="F8578" s="20"/>
      <c r="G8578" s="19"/>
      <c r="H8578" s="19"/>
      <c r="I8578" s="19"/>
      <c r="J8578" s="21"/>
      <c r="K8578" s="19"/>
    </row>
    <row r="8579" spans="3:11" x14ac:dyDescent="0.2">
      <c r="C8579" s="19"/>
      <c r="D8579" s="19"/>
      <c r="E8579" s="19"/>
      <c r="F8579" s="20"/>
      <c r="G8579" s="19"/>
      <c r="H8579" s="19"/>
      <c r="I8579" s="19"/>
      <c r="J8579" s="21"/>
      <c r="K8579" s="19"/>
    </row>
    <row r="8580" spans="3:11" x14ac:dyDescent="0.2">
      <c r="C8580" s="19"/>
      <c r="D8580" s="19"/>
      <c r="E8580" s="19"/>
      <c r="F8580" s="20"/>
      <c r="G8580" s="19"/>
      <c r="H8580" s="19"/>
      <c r="I8580" s="19"/>
      <c r="J8580" s="21"/>
      <c r="K8580" s="19"/>
    </row>
    <row r="8581" spans="3:11" x14ac:dyDescent="0.2">
      <c r="C8581" s="19"/>
      <c r="D8581" s="19"/>
      <c r="E8581" s="19"/>
      <c r="F8581" s="20"/>
      <c r="G8581" s="19"/>
      <c r="H8581" s="19"/>
      <c r="I8581" s="19"/>
      <c r="J8581" s="21"/>
      <c r="K8581" s="19"/>
    </row>
    <row r="8582" spans="3:11" x14ac:dyDescent="0.2">
      <c r="C8582" s="19"/>
      <c r="D8582" s="19"/>
      <c r="E8582" s="19"/>
      <c r="F8582" s="20"/>
      <c r="G8582" s="19"/>
      <c r="H8582" s="19"/>
      <c r="I8582" s="19"/>
      <c r="J8582" s="21"/>
      <c r="K8582" s="19"/>
    </row>
    <row r="8583" spans="3:11" x14ac:dyDescent="0.2">
      <c r="C8583" s="19"/>
      <c r="D8583" s="19"/>
      <c r="E8583" s="19"/>
      <c r="F8583" s="20"/>
      <c r="G8583" s="19"/>
      <c r="H8583" s="19"/>
      <c r="I8583" s="19"/>
      <c r="J8583" s="19"/>
      <c r="K8583" s="19"/>
    </row>
    <row r="8584" spans="3:11" x14ac:dyDescent="0.2">
      <c r="C8584" s="19"/>
      <c r="D8584" s="19"/>
      <c r="E8584" s="19"/>
      <c r="F8584" s="20"/>
      <c r="G8584" s="19"/>
      <c r="H8584" s="19"/>
      <c r="I8584" s="19"/>
      <c r="J8584" s="19"/>
      <c r="K8584" s="19"/>
    </row>
    <row r="8585" spans="3:11" x14ac:dyDescent="0.2">
      <c r="C8585" s="19"/>
      <c r="D8585" s="19"/>
      <c r="E8585" s="19"/>
      <c r="F8585" s="20"/>
      <c r="G8585" s="19"/>
      <c r="H8585" s="19"/>
      <c r="I8585" s="19"/>
      <c r="J8585" s="19"/>
      <c r="K8585" s="19"/>
    </row>
    <row r="8586" spans="3:11" x14ac:dyDescent="0.2">
      <c r="C8586" s="19"/>
      <c r="D8586" s="19"/>
      <c r="E8586" s="19"/>
      <c r="F8586" s="20"/>
      <c r="G8586" s="19"/>
      <c r="H8586" s="19"/>
      <c r="I8586" s="19"/>
      <c r="J8586" s="21"/>
      <c r="K8586" s="19"/>
    </row>
    <row r="8587" spans="3:11" x14ac:dyDescent="0.2">
      <c r="C8587" s="19"/>
      <c r="D8587" s="19"/>
      <c r="E8587" s="19"/>
      <c r="F8587" s="20"/>
      <c r="G8587" s="19"/>
      <c r="H8587" s="19"/>
      <c r="I8587" s="19"/>
      <c r="J8587" s="21"/>
      <c r="K8587" s="19"/>
    </row>
    <row r="8588" spans="3:11" x14ac:dyDescent="0.2">
      <c r="C8588" s="19"/>
      <c r="D8588" s="19"/>
      <c r="E8588" s="19"/>
      <c r="F8588" s="20"/>
      <c r="G8588" s="19"/>
      <c r="H8588" s="19"/>
      <c r="I8588" s="19"/>
      <c r="J8588" s="21"/>
      <c r="K8588" s="19"/>
    </row>
    <row r="8589" spans="3:11" x14ac:dyDescent="0.2">
      <c r="C8589" s="19"/>
      <c r="D8589" s="19"/>
      <c r="E8589" s="19"/>
      <c r="F8589" s="20"/>
      <c r="G8589" s="19"/>
      <c r="H8589" s="19"/>
      <c r="I8589" s="19"/>
      <c r="J8589" s="21"/>
      <c r="K8589" s="19"/>
    </row>
    <row r="8590" spans="3:11" x14ac:dyDescent="0.2">
      <c r="C8590" s="19"/>
      <c r="D8590" s="19"/>
      <c r="E8590" s="19"/>
      <c r="F8590" s="20"/>
      <c r="G8590" s="19"/>
      <c r="H8590" s="19"/>
      <c r="I8590" s="19"/>
      <c r="J8590" s="21"/>
      <c r="K8590" s="19"/>
    </row>
    <row r="8591" spans="3:11" x14ac:dyDescent="0.2">
      <c r="C8591" s="19"/>
      <c r="D8591" s="19"/>
      <c r="E8591" s="19"/>
      <c r="F8591" s="20"/>
      <c r="G8591" s="19"/>
      <c r="H8591" s="19"/>
      <c r="I8591" s="19"/>
      <c r="J8591" s="21"/>
      <c r="K8591" s="19"/>
    </row>
    <row r="8592" spans="3:11" x14ac:dyDescent="0.2">
      <c r="C8592" s="19"/>
      <c r="D8592" s="19"/>
      <c r="E8592" s="19"/>
      <c r="F8592" s="20"/>
      <c r="G8592" s="19"/>
      <c r="H8592" s="19"/>
      <c r="I8592" s="19"/>
      <c r="J8592" s="21"/>
      <c r="K8592" s="19"/>
    </row>
    <row r="8593" spans="3:11" x14ac:dyDescent="0.2">
      <c r="C8593" s="19"/>
      <c r="D8593" s="19"/>
      <c r="E8593" s="19"/>
      <c r="F8593" s="20"/>
      <c r="G8593" s="19"/>
      <c r="H8593" s="19"/>
      <c r="I8593" s="19"/>
      <c r="J8593" s="21"/>
      <c r="K8593" s="19"/>
    </row>
    <row r="8594" spans="3:11" x14ac:dyDescent="0.2">
      <c r="C8594" s="19"/>
      <c r="D8594" s="19"/>
      <c r="E8594" s="19"/>
      <c r="F8594" s="20"/>
      <c r="G8594" s="19"/>
      <c r="H8594" s="19"/>
      <c r="I8594" s="19"/>
      <c r="J8594" s="21"/>
      <c r="K8594" s="19"/>
    </row>
    <row r="8595" spans="3:11" x14ac:dyDescent="0.2">
      <c r="C8595" s="19"/>
      <c r="D8595" s="19"/>
      <c r="E8595" s="19"/>
      <c r="F8595" s="20"/>
      <c r="G8595" s="19"/>
      <c r="H8595" s="19"/>
      <c r="I8595" s="19"/>
      <c r="J8595" s="21"/>
      <c r="K8595" s="19"/>
    </row>
    <row r="8596" spans="3:11" x14ac:dyDescent="0.2">
      <c r="C8596" s="19"/>
      <c r="D8596" s="19"/>
      <c r="E8596" s="19"/>
      <c r="F8596" s="20"/>
      <c r="G8596" s="19"/>
      <c r="H8596" s="19"/>
      <c r="I8596" s="19"/>
      <c r="J8596" s="21"/>
      <c r="K8596" s="19"/>
    </row>
    <row r="8597" spans="3:11" x14ac:dyDescent="0.2">
      <c r="C8597" s="19"/>
      <c r="D8597" s="19"/>
      <c r="E8597" s="19"/>
      <c r="F8597" s="20"/>
      <c r="G8597" s="19"/>
      <c r="H8597" s="19"/>
      <c r="I8597" s="19"/>
      <c r="J8597" s="19"/>
      <c r="K8597" s="19"/>
    </row>
    <row r="8598" spans="3:11" x14ac:dyDescent="0.2">
      <c r="C8598" s="19"/>
      <c r="D8598" s="19"/>
      <c r="E8598" s="19"/>
      <c r="F8598" s="20"/>
      <c r="G8598" s="19"/>
      <c r="H8598" s="19"/>
      <c r="I8598" s="19"/>
      <c r="J8598" s="19"/>
      <c r="K8598" s="19"/>
    </row>
    <row r="8599" spans="3:11" x14ac:dyDescent="0.2">
      <c r="C8599" s="19"/>
      <c r="D8599" s="19"/>
      <c r="E8599" s="19"/>
      <c r="F8599" s="20"/>
      <c r="G8599" s="19"/>
      <c r="H8599" s="19"/>
      <c r="I8599" s="19"/>
      <c r="J8599" s="19"/>
      <c r="K8599" s="19"/>
    </row>
    <row r="8600" spans="3:11" x14ac:dyDescent="0.2">
      <c r="C8600" s="19"/>
      <c r="D8600" s="19"/>
      <c r="E8600" s="19"/>
      <c r="F8600" s="20"/>
      <c r="G8600" s="19"/>
      <c r="H8600" s="19"/>
      <c r="I8600" s="19"/>
      <c r="J8600" s="19"/>
      <c r="K8600" s="19"/>
    </row>
    <row r="8601" spans="3:11" x14ac:dyDescent="0.2">
      <c r="C8601" s="19"/>
      <c r="D8601" s="19"/>
      <c r="E8601" s="19"/>
      <c r="F8601" s="20"/>
      <c r="G8601" s="19"/>
      <c r="H8601" s="19"/>
      <c r="I8601" s="19"/>
      <c r="J8601" s="19"/>
      <c r="K8601" s="19"/>
    </row>
    <row r="8602" spans="3:11" x14ac:dyDescent="0.2">
      <c r="C8602" s="19"/>
      <c r="D8602" s="19"/>
      <c r="E8602" s="19"/>
      <c r="F8602" s="20"/>
      <c r="G8602" s="19"/>
      <c r="H8602" s="19"/>
      <c r="I8602" s="19"/>
      <c r="J8602" s="19"/>
      <c r="K8602" s="19"/>
    </row>
    <row r="8603" spans="3:11" x14ac:dyDescent="0.2">
      <c r="C8603" s="19"/>
      <c r="D8603" s="19"/>
      <c r="E8603" s="19"/>
      <c r="F8603" s="20"/>
      <c r="G8603" s="19"/>
      <c r="H8603" s="19"/>
      <c r="I8603" s="19"/>
      <c r="J8603" s="19"/>
      <c r="K8603" s="19"/>
    </row>
    <row r="8604" spans="3:11" x14ac:dyDescent="0.2">
      <c r="C8604" s="19"/>
      <c r="D8604" s="19"/>
      <c r="E8604" s="19"/>
      <c r="F8604" s="20"/>
      <c r="G8604" s="19"/>
      <c r="H8604" s="19"/>
      <c r="I8604" s="19"/>
      <c r="J8604" s="21"/>
      <c r="K8604" s="19"/>
    </row>
    <row r="8605" spans="3:11" x14ac:dyDescent="0.2">
      <c r="C8605" s="19"/>
      <c r="D8605" s="19"/>
      <c r="E8605" s="19"/>
      <c r="F8605" s="20"/>
      <c r="G8605" s="19"/>
      <c r="H8605" s="19"/>
      <c r="I8605" s="19"/>
      <c r="J8605" s="21"/>
      <c r="K8605" s="19"/>
    </row>
    <row r="8606" spans="3:11" x14ac:dyDescent="0.2">
      <c r="C8606" s="19"/>
      <c r="D8606" s="19"/>
      <c r="E8606" s="19"/>
      <c r="F8606" s="20"/>
      <c r="G8606" s="19"/>
      <c r="H8606" s="19"/>
      <c r="I8606" s="19"/>
      <c r="J8606" s="21"/>
      <c r="K8606" s="19"/>
    </row>
    <row r="8607" spans="3:11" x14ac:dyDescent="0.2">
      <c r="C8607" s="19"/>
      <c r="D8607" s="19"/>
      <c r="E8607" s="19"/>
      <c r="F8607" s="20"/>
      <c r="G8607" s="19"/>
      <c r="H8607" s="19"/>
      <c r="I8607" s="19"/>
      <c r="J8607" s="21"/>
      <c r="K8607" s="19"/>
    </row>
    <row r="8608" spans="3:11" x14ac:dyDescent="0.2">
      <c r="C8608" s="19"/>
      <c r="D8608" s="19"/>
      <c r="E8608" s="19"/>
      <c r="F8608" s="20"/>
      <c r="G8608" s="19"/>
      <c r="H8608" s="19"/>
      <c r="I8608" s="19"/>
      <c r="J8608" s="21"/>
      <c r="K8608" s="19"/>
    </row>
    <row r="8609" spans="3:11" x14ac:dyDescent="0.2">
      <c r="C8609" s="19"/>
      <c r="D8609" s="19"/>
      <c r="E8609" s="19"/>
      <c r="F8609" s="20"/>
      <c r="G8609" s="19"/>
      <c r="H8609" s="19"/>
      <c r="I8609" s="19"/>
      <c r="J8609" s="21"/>
      <c r="K8609" s="19"/>
    </row>
    <row r="8610" spans="3:11" x14ac:dyDescent="0.2">
      <c r="C8610" s="19"/>
      <c r="D8610" s="19"/>
      <c r="E8610" s="19"/>
      <c r="F8610" s="20"/>
      <c r="G8610" s="19"/>
      <c r="H8610" s="19"/>
      <c r="I8610" s="19"/>
      <c r="J8610" s="21"/>
      <c r="K8610" s="19"/>
    </row>
    <row r="8611" spans="3:11" x14ac:dyDescent="0.2">
      <c r="C8611" s="19"/>
      <c r="D8611" s="19"/>
      <c r="E8611" s="19"/>
      <c r="F8611" s="20"/>
      <c r="G8611" s="19"/>
      <c r="H8611" s="19"/>
      <c r="I8611" s="19"/>
      <c r="J8611" s="21"/>
      <c r="K8611" s="19"/>
    </row>
    <row r="8612" spans="3:11" x14ac:dyDescent="0.2">
      <c r="C8612" s="19"/>
      <c r="D8612" s="19"/>
      <c r="E8612" s="19"/>
      <c r="F8612" s="20"/>
      <c r="G8612" s="19"/>
      <c r="H8612" s="19"/>
      <c r="I8612" s="19"/>
      <c r="J8612" s="21"/>
      <c r="K8612" s="19"/>
    </row>
    <row r="8613" spans="3:11" x14ac:dyDescent="0.2">
      <c r="C8613" s="19"/>
      <c r="D8613" s="19"/>
      <c r="E8613" s="19"/>
      <c r="F8613" s="20"/>
      <c r="G8613" s="19"/>
      <c r="H8613" s="19"/>
      <c r="I8613" s="19"/>
      <c r="J8613" s="21"/>
      <c r="K8613" s="19"/>
    </row>
    <row r="8614" spans="3:11" x14ac:dyDescent="0.2">
      <c r="C8614" s="19"/>
      <c r="D8614" s="19"/>
      <c r="E8614" s="19"/>
      <c r="F8614" s="20"/>
      <c r="G8614" s="19"/>
      <c r="H8614" s="19"/>
      <c r="I8614" s="19"/>
      <c r="J8614" s="19"/>
      <c r="K8614" s="19"/>
    </row>
    <row r="8615" spans="3:11" x14ac:dyDescent="0.2">
      <c r="C8615" s="19"/>
      <c r="D8615" s="19"/>
      <c r="E8615" s="19"/>
      <c r="F8615" s="20"/>
      <c r="G8615" s="19"/>
      <c r="H8615" s="19"/>
      <c r="I8615" s="19"/>
      <c r="J8615" s="21"/>
      <c r="K8615" s="19"/>
    </row>
    <row r="8616" spans="3:11" x14ac:dyDescent="0.2">
      <c r="C8616" s="19"/>
      <c r="D8616" s="19"/>
      <c r="E8616" s="19"/>
      <c r="F8616" s="20"/>
      <c r="G8616" s="19"/>
      <c r="H8616" s="19"/>
      <c r="I8616" s="19"/>
      <c r="J8616" s="21"/>
      <c r="K8616" s="19"/>
    </row>
    <row r="8617" spans="3:11" x14ac:dyDescent="0.2">
      <c r="C8617" s="19"/>
      <c r="D8617" s="19"/>
      <c r="E8617" s="19"/>
      <c r="F8617" s="20"/>
      <c r="G8617" s="19"/>
      <c r="H8617" s="19"/>
      <c r="I8617" s="19"/>
      <c r="J8617" s="21"/>
      <c r="K8617" s="19"/>
    </row>
    <row r="8618" spans="3:11" x14ac:dyDescent="0.2">
      <c r="C8618" s="19"/>
      <c r="D8618" s="19"/>
      <c r="E8618" s="19"/>
      <c r="F8618" s="20"/>
      <c r="G8618" s="19"/>
      <c r="H8618" s="19"/>
      <c r="I8618" s="19"/>
      <c r="J8618" s="21"/>
      <c r="K8618" s="19"/>
    </row>
    <row r="8619" spans="3:11" x14ac:dyDescent="0.2">
      <c r="C8619" s="19"/>
      <c r="D8619" s="19"/>
      <c r="E8619" s="19"/>
      <c r="F8619" s="20"/>
      <c r="G8619" s="19"/>
      <c r="H8619" s="19"/>
      <c r="I8619" s="19"/>
      <c r="J8619" s="21"/>
      <c r="K8619" s="19"/>
    </row>
    <row r="8620" spans="3:11" x14ac:dyDescent="0.2">
      <c r="C8620" s="19"/>
      <c r="D8620" s="19"/>
      <c r="E8620" s="19"/>
      <c r="F8620" s="20"/>
      <c r="G8620" s="19"/>
      <c r="H8620" s="19"/>
      <c r="I8620" s="19"/>
      <c r="J8620" s="21"/>
      <c r="K8620" s="19"/>
    </row>
    <row r="8621" spans="3:11" x14ac:dyDescent="0.2">
      <c r="C8621" s="19"/>
      <c r="D8621" s="19"/>
      <c r="E8621" s="19"/>
      <c r="F8621" s="20"/>
      <c r="G8621" s="19"/>
      <c r="H8621" s="19"/>
      <c r="I8621" s="19"/>
      <c r="J8621" s="21"/>
      <c r="K8621" s="19"/>
    </row>
    <row r="8622" spans="3:11" x14ac:dyDescent="0.2">
      <c r="C8622" s="19"/>
      <c r="D8622" s="19"/>
      <c r="E8622" s="19"/>
      <c r="F8622" s="20"/>
      <c r="G8622" s="19"/>
      <c r="H8622" s="19"/>
      <c r="I8622" s="19"/>
      <c r="J8622" s="21"/>
      <c r="K8622" s="19"/>
    </row>
    <row r="8623" spans="3:11" x14ac:dyDescent="0.2">
      <c r="C8623" s="19"/>
      <c r="D8623" s="19"/>
      <c r="E8623" s="19"/>
      <c r="F8623" s="20"/>
      <c r="G8623" s="19"/>
      <c r="H8623" s="19"/>
      <c r="I8623" s="19"/>
      <c r="J8623" s="19"/>
      <c r="K8623" s="19"/>
    </row>
    <row r="8624" spans="3:11" x14ac:dyDescent="0.2">
      <c r="C8624" s="19"/>
      <c r="D8624" s="19"/>
      <c r="E8624" s="19"/>
      <c r="F8624" s="20"/>
      <c r="G8624" s="19"/>
      <c r="H8624" s="19"/>
      <c r="I8624" s="19"/>
      <c r="J8624" s="21"/>
      <c r="K8624" s="19"/>
    </row>
    <row r="8625" spans="3:11" x14ac:dyDescent="0.2">
      <c r="C8625" s="19"/>
      <c r="D8625" s="19"/>
      <c r="E8625" s="19"/>
      <c r="F8625" s="20"/>
      <c r="G8625" s="19"/>
      <c r="H8625" s="19"/>
      <c r="I8625" s="19"/>
      <c r="J8625" s="19"/>
      <c r="K8625" s="19"/>
    </row>
    <row r="8626" spans="3:11" x14ac:dyDescent="0.2">
      <c r="C8626" s="19"/>
      <c r="D8626" s="19"/>
      <c r="E8626" s="19"/>
      <c r="F8626" s="20"/>
      <c r="G8626" s="19"/>
      <c r="H8626" s="19"/>
      <c r="I8626" s="19"/>
      <c r="J8626" s="21"/>
      <c r="K8626" s="19"/>
    </row>
    <row r="8627" spans="3:11" x14ac:dyDescent="0.2">
      <c r="C8627" s="19"/>
      <c r="D8627" s="19"/>
      <c r="E8627" s="19"/>
      <c r="F8627" s="20"/>
      <c r="G8627" s="19"/>
      <c r="H8627" s="19"/>
      <c r="I8627" s="19"/>
      <c r="J8627" s="19"/>
      <c r="K8627" s="19"/>
    </row>
    <row r="8628" spans="3:11" x14ac:dyDescent="0.2">
      <c r="C8628" s="19"/>
      <c r="D8628" s="19"/>
      <c r="E8628" s="19"/>
      <c r="F8628" s="20"/>
      <c r="G8628" s="19"/>
      <c r="H8628" s="19"/>
      <c r="I8628" s="19"/>
      <c r="J8628" s="19"/>
      <c r="K8628" s="19"/>
    </row>
    <row r="8629" spans="3:11" x14ac:dyDescent="0.2">
      <c r="C8629" s="19"/>
      <c r="D8629" s="19"/>
      <c r="E8629" s="19"/>
      <c r="F8629" s="20"/>
      <c r="G8629" s="19"/>
      <c r="H8629" s="19"/>
      <c r="I8629" s="19"/>
      <c r="J8629" s="21"/>
      <c r="K8629" s="19"/>
    </row>
    <row r="8630" spans="3:11" x14ac:dyDescent="0.2">
      <c r="C8630" s="19"/>
      <c r="D8630" s="19"/>
      <c r="E8630" s="19"/>
      <c r="F8630" s="20"/>
      <c r="G8630" s="19"/>
      <c r="H8630" s="19"/>
      <c r="I8630" s="19"/>
      <c r="J8630" s="21"/>
      <c r="K8630" s="19"/>
    </row>
    <row r="8631" spans="3:11" x14ac:dyDescent="0.2">
      <c r="C8631" s="19"/>
      <c r="D8631" s="19"/>
      <c r="E8631" s="19"/>
      <c r="F8631" s="20"/>
      <c r="G8631" s="19"/>
      <c r="H8631" s="19"/>
      <c r="I8631" s="19"/>
      <c r="J8631" s="21"/>
      <c r="K8631" s="19"/>
    </row>
    <row r="8632" spans="3:11" x14ac:dyDescent="0.2">
      <c r="C8632" s="19"/>
      <c r="D8632" s="19"/>
      <c r="E8632" s="19"/>
      <c r="F8632" s="20"/>
      <c r="G8632" s="19"/>
      <c r="H8632" s="19"/>
      <c r="I8632" s="19"/>
      <c r="J8632" s="21"/>
      <c r="K8632" s="19"/>
    </row>
    <row r="8633" spans="3:11" x14ac:dyDescent="0.2">
      <c r="C8633" s="19"/>
      <c r="D8633" s="19"/>
      <c r="E8633" s="19"/>
      <c r="F8633" s="20"/>
      <c r="G8633" s="19"/>
      <c r="H8633" s="19"/>
      <c r="I8633" s="19"/>
      <c r="J8633" s="21"/>
      <c r="K8633" s="19"/>
    </row>
    <row r="8634" spans="3:11" x14ac:dyDescent="0.2">
      <c r="C8634" s="19"/>
      <c r="D8634" s="19"/>
      <c r="E8634" s="19"/>
      <c r="F8634" s="20"/>
      <c r="G8634" s="19"/>
      <c r="H8634" s="19"/>
      <c r="I8634" s="19"/>
      <c r="J8634" s="21"/>
      <c r="K8634" s="19"/>
    </row>
    <row r="8635" spans="3:11" x14ac:dyDescent="0.2">
      <c r="C8635" s="19"/>
      <c r="D8635" s="19"/>
      <c r="E8635" s="19"/>
      <c r="F8635" s="20"/>
      <c r="G8635" s="19"/>
      <c r="H8635" s="19"/>
      <c r="I8635" s="19"/>
      <c r="J8635" s="21"/>
      <c r="K8635" s="19"/>
    </row>
    <row r="8636" spans="3:11" x14ac:dyDescent="0.2">
      <c r="C8636" s="19"/>
      <c r="D8636" s="19"/>
      <c r="E8636" s="19"/>
      <c r="F8636" s="20"/>
      <c r="G8636" s="19"/>
      <c r="H8636" s="19"/>
      <c r="I8636" s="19"/>
      <c r="J8636" s="21"/>
      <c r="K8636" s="19"/>
    </row>
    <row r="8637" spans="3:11" x14ac:dyDescent="0.2">
      <c r="C8637" s="19"/>
      <c r="D8637" s="19"/>
      <c r="E8637" s="19"/>
      <c r="F8637" s="20"/>
      <c r="G8637" s="19"/>
      <c r="H8637" s="19"/>
      <c r="I8637" s="19"/>
      <c r="J8637" s="19"/>
      <c r="K8637" s="19"/>
    </row>
    <row r="8638" spans="3:11" x14ac:dyDescent="0.2">
      <c r="C8638" s="19"/>
      <c r="D8638" s="19"/>
      <c r="E8638" s="19"/>
      <c r="F8638" s="20"/>
      <c r="G8638" s="19"/>
      <c r="H8638" s="19"/>
      <c r="I8638" s="19"/>
      <c r="J8638" s="19"/>
      <c r="K8638" s="19"/>
    </row>
    <row r="8639" spans="3:11" x14ac:dyDescent="0.2">
      <c r="C8639" s="19"/>
      <c r="D8639" s="19"/>
      <c r="E8639" s="19"/>
      <c r="F8639" s="20"/>
      <c r="G8639" s="19"/>
      <c r="H8639" s="19"/>
      <c r="I8639" s="19"/>
      <c r="J8639" s="19"/>
      <c r="K8639" s="19"/>
    </row>
    <row r="8640" spans="3:11" x14ac:dyDescent="0.2">
      <c r="C8640" s="19"/>
      <c r="D8640" s="19"/>
      <c r="E8640" s="19"/>
      <c r="F8640" s="20"/>
      <c r="G8640" s="19"/>
      <c r="H8640" s="19"/>
      <c r="I8640" s="19"/>
      <c r="J8640" s="21"/>
      <c r="K8640" s="19"/>
    </row>
    <row r="8641" spans="3:11" x14ac:dyDescent="0.2">
      <c r="C8641" s="19"/>
      <c r="D8641" s="19"/>
      <c r="E8641" s="19"/>
      <c r="F8641" s="20"/>
      <c r="G8641" s="19"/>
      <c r="H8641" s="19"/>
      <c r="I8641" s="19"/>
      <c r="J8641" s="21"/>
      <c r="K8641" s="19"/>
    </row>
    <row r="8642" spans="3:11" x14ac:dyDescent="0.2">
      <c r="C8642" s="19"/>
      <c r="D8642" s="19"/>
      <c r="E8642" s="19"/>
      <c r="F8642" s="20"/>
      <c r="G8642" s="19"/>
      <c r="H8642" s="19"/>
      <c r="I8642" s="19"/>
      <c r="J8642" s="21"/>
      <c r="K8642" s="19"/>
    </row>
    <row r="8643" spans="3:11" x14ac:dyDescent="0.2">
      <c r="C8643" s="19"/>
      <c r="D8643" s="19"/>
      <c r="E8643" s="19"/>
      <c r="F8643" s="20"/>
      <c r="G8643" s="19"/>
      <c r="H8643" s="19"/>
      <c r="I8643" s="19"/>
      <c r="J8643" s="21"/>
      <c r="K8643" s="19"/>
    </row>
    <row r="8644" spans="3:11" x14ac:dyDescent="0.2">
      <c r="C8644" s="19"/>
      <c r="D8644" s="19"/>
      <c r="E8644" s="19"/>
      <c r="F8644" s="20"/>
      <c r="G8644" s="19"/>
      <c r="H8644" s="19"/>
      <c r="I8644" s="19"/>
      <c r="J8644" s="21"/>
      <c r="K8644" s="19"/>
    </row>
    <row r="8645" spans="3:11" x14ac:dyDescent="0.2">
      <c r="C8645" s="19"/>
      <c r="D8645" s="19"/>
      <c r="E8645" s="19"/>
      <c r="F8645" s="20"/>
      <c r="G8645" s="19"/>
      <c r="H8645" s="19"/>
      <c r="I8645" s="19"/>
      <c r="J8645" s="21"/>
      <c r="K8645" s="19"/>
    </row>
    <row r="8646" spans="3:11" x14ac:dyDescent="0.2">
      <c r="C8646" s="19"/>
      <c r="D8646" s="19"/>
      <c r="E8646" s="19"/>
      <c r="F8646" s="20"/>
      <c r="G8646" s="19"/>
      <c r="H8646" s="19"/>
      <c r="I8646" s="19"/>
      <c r="J8646" s="21"/>
      <c r="K8646" s="19"/>
    </row>
    <row r="8647" spans="3:11" x14ac:dyDescent="0.2">
      <c r="C8647" s="19"/>
      <c r="D8647" s="19"/>
      <c r="E8647" s="19"/>
      <c r="F8647" s="20"/>
      <c r="G8647" s="19"/>
      <c r="H8647" s="19"/>
      <c r="I8647" s="19"/>
      <c r="J8647" s="19"/>
      <c r="K8647" s="19"/>
    </row>
    <row r="8648" spans="3:11" x14ac:dyDescent="0.2">
      <c r="C8648" s="19"/>
      <c r="D8648" s="19"/>
      <c r="E8648" s="19"/>
      <c r="F8648" s="20"/>
      <c r="G8648" s="19"/>
      <c r="H8648" s="19"/>
      <c r="I8648" s="19"/>
      <c r="J8648" s="19"/>
      <c r="K8648" s="19"/>
    </row>
    <row r="8649" spans="3:11" x14ac:dyDescent="0.2">
      <c r="C8649" s="19"/>
      <c r="D8649" s="19"/>
      <c r="E8649" s="19"/>
      <c r="F8649" s="20"/>
      <c r="G8649" s="19"/>
      <c r="H8649" s="19"/>
      <c r="I8649" s="19"/>
      <c r="J8649" s="21"/>
      <c r="K8649" s="19"/>
    </row>
    <row r="8650" spans="3:11" x14ac:dyDescent="0.2">
      <c r="C8650" s="19"/>
      <c r="D8650" s="19"/>
      <c r="E8650" s="19"/>
      <c r="F8650" s="20"/>
      <c r="G8650" s="19"/>
      <c r="H8650" s="19"/>
      <c r="I8650" s="19"/>
      <c r="J8650" s="21"/>
      <c r="K8650" s="19"/>
    </row>
    <row r="8651" spans="3:11" x14ac:dyDescent="0.2">
      <c r="C8651" s="19"/>
      <c r="D8651" s="19"/>
      <c r="E8651" s="19"/>
      <c r="F8651" s="20"/>
      <c r="G8651" s="19"/>
      <c r="H8651" s="19"/>
      <c r="I8651" s="19"/>
      <c r="J8651" s="21"/>
      <c r="K8651" s="19"/>
    </row>
    <row r="8652" spans="3:11" x14ac:dyDescent="0.2">
      <c r="C8652" s="19"/>
      <c r="D8652" s="19"/>
      <c r="E8652" s="19"/>
      <c r="F8652" s="20"/>
      <c r="G8652" s="19"/>
      <c r="H8652" s="19"/>
      <c r="I8652" s="19"/>
      <c r="J8652" s="21"/>
      <c r="K8652" s="19"/>
    </row>
    <row r="8653" spans="3:11" x14ac:dyDescent="0.2">
      <c r="C8653" s="19"/>
      <c r="D8653" s="19"/>
      <c r="E8653" s="19"/>
      <c r="F8653" s="20"/>
      <c r="G8653" s="19"/>
      <c r="H8653" s="19"/>
      <c r="I8653" s="19"/>
      <c r="J8653" s="21"/>
      <c r="K8653" s="19"/>
    </row>
    <row r="8654" spans="3:11" x14ac:dyDescent="0.2">
      <c r="C8654" s="19"/>
      <c r="D8654" s="19"/>
      <c r="E8654" s="19"/>
      <c r="F8654" s="20"/>
      <c r="G8654" s="19"/>
      <c r="H8654" s="19"/>
      <c r="I8654" s="19"/>
      <c r="J8654" s="21"/>
      <c r="K8654" s="19"/>
    </row>
    <row r="8655" spans="3:11" x14ac:dyDescent="0.2">
      <c r="C8655" s="19"/>
      <c r="D8655" s="19"/>
      <c r="E8655" s="19"/>
      <c r="F8655" s="20"/>
      <c r="G8655" s="19"/>
      <c r="H8655" s="19"/>
      <c r="I8655" s="19"/>
      <c r="J8655" s="21"/>
      <c r="K8655" s="19"/>
    </row>
    <row r="8656" spans="3:11" x14ac:dyDescent="0.2">
      <c r="C8656" s="19"/>
      <c r="D8656" s="19"/>
      <c r="E8656" s="19"/>
      <c r="F8656" s="20"/>
      <c r="G8656" s="19"/>
      <c r="H8656" s="19"/>
      <c r="I8656" s="19"/>
      <c r="J8656" s="21"/>
      <c r="K8656" s="19"/>
    </row>
    <row r="8657" spans="3:11" x14ac:dyDescent="0.2">
      <c r="C8657" s="19"/>
      <c r="D8657" s="19"/>
      <c r="E8657" s="19"/>
      <c r="F8657" s="20"/>
      <c r="G8657" s="19"/>
      <c r="H8657" s="19"/>
      <c r="I8657" s="19"/>
      <c r="J8657" s="21"/>
      <c r="K8657" s="19"/>
    </row>
    <row r="8658" spans="3:11" x14ac:dyDescent="0.2">
      <c r="C8658" s="19"/>
      <c r="D8658" s="19"/>
      <c r="E8658" s="19"/>
      <c r="F8658" s="20"/>
      <c r="G8658" s="19"/>
      <c r="H8658" s="19"/>
      <c r="I8658" s="19"/>
      <c r="J8658" s="21"/>
      <c r="K8658" s="19"/>
    </row>
    <row r="8659" spans="3:11" x14ac:dyDescent="0.2">
      <c r="C8659" s="19"/>
      <c r="D8659" s="19"/>
      <c r="E8659" s="19"/>
      <c r="F8659" s="20"/>
      <c r="G8659" s="19"/>
      <c r="H8659" s="19"/>
      <c r="I8659" s="19"/>
      <c r="J8659" s="21"/>
      <c r="K8659" s="19"/>
    </row>
    <row r="8660" spans="3:11" x14ac:dyDescent="0.2">
      <c r="C8660" s="19"/>
      <c r="D8660" s="19"/>
      <c r="E8660" s="19"/>
      <c r="F8660" s="20"/>
      <c r="G8660" s="19"/>
      <c r="H8660" s="19"/>
      <c r="I8660" s="19"/>
      <c r="J8660" s="19"/>
      <c r="K8660" s="19"/>
    </row>
    <row r="8661" spans="3:11" x14ac:dyDescent="0.2">
      <c r="C8661" s="19"/>
      <c r="D8661" s="19"/>
      <c r="E8661" s="19"/>
      <c r="F8661" s="20"/>
      <c r="G8661" s="19"/>
      <c r="H8661" s="19"/>
      <c r="I8661" s="19"/>
      <c r="J8661" s="19"/>
      <c r="K8661" s="19"/>
    </row>
    <row r="8662" spans="3:11" x14ac:dyDescent="0.2">
      <c r="C8662" s="19"/>
      <c r="D8662" s="19"/>
      <c r="E8662" s="19"/>
      <c r="F8662" s="20"/>
      <c r="G8662" s="19"/>
      <c r="H8662" s="19"/>
      <c r="I8662" s="19"/>
      <c r="J8662" s="21"/>
      <c r="K8662" s="19"/>
    </row>
    <row r="8663" spans="3:11" x14ac:dyDescent="0.2">
      <c r="C8663" s="19"/>
      <c r="D8663" s="19"/>
      <c r="E8663" s="19"/>
      <c r="F8663" s="20"/>
      <c r="G8663" s="19"/>
      <c r="H8663" s="19"/>
      <c r="I8663" s="19"/>
      <c r="J8663" s="21"/>
      <c r="K8663" s="19"/>
    </row>
    <row r="8664" spans="3:11" x14ac:dyDescent="0.2">
      <c r="C8664" s="19"/>
      <c r="D8664" s="19"/>
      <c r="E8664" s="19"/>
      <c r="F8664" s="20"/>
      <c r="G8664" s="19"/>
      <c r="H8664" s="19"/>
      <c r="I8664" s="19"/>
      <c r="J8664" s="21"/>
      <c r="K8664" s="19"/>
    </row>
    <row r="8665" spans="3:11" x14ac:dyDescent="0.2">
      <c r="C8665" s="19"/>
      <c r="D8665" s="19"/>
      <c r="E8665" s="19"/>
      <c r="F8665" s="20"/>
      <c r="G8665" s="19"/>
      <c r="H8665" s="19"/>
      <c r="I8665" s="19"/>
      <c r="J8665" s="21"/>
      <c r="K8665" s="19"/>
    </row>
    <row r="8666" spans="3:11" x14ac:dyDescent="0.2">
      <c r="C8666" s="19"/>
      <c r="D8666" s="19"/>
      <c r="E8666" s="19"/>
      <c r="F8666" s="20"/>
      <c r="G8666" s="19"/>
      <c r="H8666" s="19"/>
      <c r="I8666" s="19"/>
      <c r="J8666" s="21"/>
      <c r="K8666" s="19"/>
    </row>
    <row r="8667" spans="3:11" x14ac:dyDescent="0.2">
      <c r="C8667" s="19"/>
      <c r="D8667" s="19"/>
      <c r="E8667" s="19"/>
      <c r="F8667" s="20"/>
      <c r="G8667" s="19"/>
      <c r="H8667" s="19"/>
      <c r="I8667" s="19"/>
      <c r="J8667" s="19"/>
      <c r="K8667" s="19"/>
    </row>
    <row r="8668" spans="3:11" x14ac:dyDescent="0.2">
      <c r="C8668" s="19"/>
      <c r="D8668" s="19"/>
      <c r="E8668" s="19"/>
      <c r="F8668" s="20"/>
      <c r="G8668" s="19"/>
      <c r="H8668" s="19"/>
      <c r="I8668" s="19"/>
      <c r="J8668" s="19"/>
      <c r="K8668" s="19"/>
    </row>
    <row r="8669" spans="3:11" x14ac:dyDescent="0.2">
      <c r="C8669" s="19"/>
      <c r="D8669" s="19"/>
      <c r="E8669" s="19"/>
      <c r="F8669" s="20"/>
      <c r="G8669" s="19"/>
      <c r="H8669" s="19"/>
      <c r="I8669" s="19"/>
      <c r="J8669" s="21"/>
      <c r="K8669" s="19"/>
    </row>
    <row r="8670" spans="3:11" x14ac:dyDescent="0.2">
      <c r="C8670" s="19"/>
      <c r="D8670" s="19"/>
      <c r="E8670" s="19"/>
      <c r="F8670" s="20"/>
      <c r="G8670" s="19"/>
      <c r="H8670" s="19"/>
      <c r="I8670" s="19"/>
      <c r="J8670" s="21"/>
      <c r="K8670" s="19"/>
    </row>
    <row r="8671" spans="3:11" x14ac:dyDescent="0.2">
      <c r="C8671" s="19"/>
      <c r="D8671" s="19"/>
      <c r="E8671" s="19"/>
      <c r="F8671" s="20"/>
      <c r="G8671" s="19"/>
      <c r="H8671" s="19"/>
      <c r="I8671" s="19"/>
      <c r="J8671" s="21"/>
      <c r="K8671" s="19"/>
    </row>
    <row r="8672" spans="3:11" x14ac:dyDescent="0.2">
      <c r="C8672" s="19"/>
      <c r="D8672" s="19"/>
      <c r="E8672" s="19"/>
      <c r="F8672" s="20"/>
      <c r="G8672" s="19"/>
      <c r="H8672" s="19"/>
      <c r="I8672" s="19"/>
      <c r="J8672" s="21"/>
      <c r="K8672" s="19"/>
    </row>
    <row r="8673" spans="3:11" x14ac:dyDescent="0.2">
      <c r="C8673" s="19"/>
      <c r="D8673" s="19"/>
      <c r="E8673" s="19"/>
      <c r="F8673" s="20"/>
      <c r="G8673" s="19"/>
      <c r="H8673" s="19"/>
      <c r="I8673" s="19"/>
      <c r="J8673" s="21"/>
      <c r="K8673" s="19"/>
    </row>
    <row r="8674" spans="3:11" x14ac:dyDescent="0.2">
      <c r="C8674" s="19"/>
      <c r="D8674" s="19"/>
      <c r="E8674" s="19"/>
      <c r="F8674" s="20"/>
      <c r="G8674" s="19"/>
      <c r="H8674" s="19"/>
      <c r="I8674" s="19"/>
      <c r="J8674" s="21"/>
      <c r="K8674" s="19"/>
    </row>
    <row r="8675" spans="3:11" x14ac:dyDescent="0.2">
      <c r="C8675" s="19"/>
      <c r="D8675" s="19"/>
      <c r="E8675" s="19"/>
      <c r="F8675" s="20"/>
      <c r="G8675" s="19"/>
      <c r="H8675" s="19"/>
      <c r="I8675" s="19"/>
      <c r="J8675" s="21"/>
      <c r="K8675" s="19"/>
    </row>
    <row r="8676" spans="3:11" x14ac:dyDescent="0.2">
      <c r="C8676" s="19"/>
      <c r="D8676" s="19"/>
      <c r="E8676" s="19"/>
      <c r="F8676" s="20"/>
      <c r="G8676" s="19"/>
      <c r="H8676" s="19"/>
      <c r="I8676" s="19"/>
      <c r="J8676" s="21"/>
      <c r="K8676" s="19"/>
    </row>
    <row r="8677" spans="3:11" x14ac:dyDescent="0.2">
      <c r="C8677" s="19"/>
      <c r="D8677" s="19"/>
      <c r="E8677" s="19"/>
      <c r="F8677" s="20"/>
      <c r="G8677" s="19"/>
      <c r="H8677" s="19"/>
      <c r="I8677" s="19"/>
      <c r="J8677" s="21"/>
      <c r="K8677" s="19"/>
    </row>
    <row r="8678" spans="3:11" x14ac:dyDescent="0.2">
      <c r="C8678" s="19"/>
      <c r="D8678" s="19"/>
      <c r="E8678" s="19"/>
      <c r="F8678" s="20"/>
      <c r="G8678" s="19"/>
      <c r="H8678" s="19"/>
      <c r="I8678" s="19"/>
      <c r="J8678" s="21"/>
      <c r="K8678" s="19"/>
    </row>
    <row r="8679" spans="3:11" x14ac:dyDescent="0.2">
      <c r="C8679" s="19"/>
      <c r="D8679" s="19"/>
      <c r="E8679" s="19"/>
      <c r="F8679" s="20"/>
      <c r="G8679" s="19"/>
      <c r="H8679" s="19"/>
      <c r="I8679" s="19"/>
      <c r="J8679" s="21"/>
      <c r="K8679" s="19"/>
    </row>
    <row r="8680" spans="3:11" x14ac:dyDescent="0.2">
      <c r="C8680" s="19"/>
      <c r="D8680" s="19"/>
      <c r="E8680" s="19"/>
      <c r="F8680" s="20"/>
      <c r="G8680" s="19"/>
      <c r="H8680" s="19"/>
      <c r="I8680" s="19"/>
      <c r="J8680" s="21"/>
      <c r="K8680" s="19"/>
    </row>
    <row r="8681" spans="3:11" x14ac:dyDescent="0.2">
      <c r="C8681" s="19"/>
      <c r="D8681" s="19"/>
      <c r="E8681" s="19"/>
      <c r="F8681" s="20"/>
      <c r="G8681" s="19"/>
      <c r="H8681" s="19"/>
      <c r="I8681" s="19"/>
      <c r="J8681" s="21"/>
      <c r="K8681" s="19"/>
    </row>
    <row r="8682" spans="3:11" x14ac:dyDescent="0.2">
      <c r="C8682" s="19"/>
      <c r="D8682" s="19"/>
      <c r="E8682" s="19"/>
      <c r="F8682" s="20"/>
      <c r="G8682" s="19"/>
      <c r="H8682" s="19"/>
      <c r="I8682" s="19"/>
      <c r="J8682" s="21"/>
      <c r="K8682" s="19"/>
    </row>
    <row r="8683" spans="3:11" x14ac:dyDescent="0.2">
      <c r="C8683" s="19"/>
      <c r="D8683" s="19"/>
      <c r="E8683" s="19"/>
      <c r="F8683" s="20"/>
      <c r="G8683" s="19"/>
      <c r="H8683" s="19"/>
      <c r="I8683" s="19"/>
      <c r="J8683" s="21"/>
      <c r="K8683" s="19"/>
    </row>
    <row r="8684" spans="3:11" x14ac:dyDescent="0.2">
      <c r="C8684" s="19"/>
      <c r="D8684" s="19"/>
      <c r="E8684" s="19"/>
      <c r="F8684" s="20"/>
      <c r="G8684" s="19"/>
      <c r="H8684" s="19"/>
      <c r="I8684" s="19"/>
      <c r="J8684" s="19"/>
      <c r="K8684" s="19"/>
    </row>
    <row r="8685" spans="3:11" x14ac:dyDescent="0.2">
      <c r="C8685" s="19"/>
      <c r="D8685" s="19"/>
      <c r="E8685" s="19"/>
      <c r="F8685" s="20"/>
      <c r="G8685" s="19"/>
      <c r="H8685" s="19"/>
      <c r="I8685" s="19"/>
      <c r="J8685" s="21"/>
      <c r="K8685" s="19"/>
    </row>
    <row r="8686" spans="3:11" x14ac:dyDescent="0.2">
      <c r="C8686" s="19"/>
      <c r="D8686" s="19"/>
      <c r="E8686" s="19"/>
      <c r="F8686" s="20"/>
      <c r="G8686" s="19"/>
      <c r="H8686" s="19"/>
      <c r="I8686" s="19"/>
      <c r="J8686" s="21"/>
      <c r="K8686" s="19"/>
    </row>
    <row r="8687" spans="3:11" x14ac:dyDescent="0.2">
      <c r="C8687" s="19"/>
      <c r="D8687" s="19"/>
      <c r="E8687" s="19"/>
      <c r="F8687" s="20"/>
      <c r="G8687" s="19"/>
      <c r="H8687" s="19"/>
      <c r="I8687" s="19"/>
      <c r="J8687" s="19"/>
      <c r="K8687" s="19"/>
    </row>
    <row r="8688" spans="3:11" x14ac:dyDescent="0.2">
      <c r="C8688" s="19"/>
      <c r="D8688" s="19"/>
      <c r="E8688" s="19"/>
      <c r="F8688" s="20"/>
      <c r="G8688" s="19"/>
      <c r="H8688" s="19"/>
      <c r="I8688" s="19"/>
      <c r="J8688" s="19"/>
      <c r="K8688" s="19"/>
    </row>
    <row r="8689" spans="3:11" x14ac:dyDescent="0.2">
      <c r="C8689" s="19"/>
      <c r="D8689" s="19"/>
      <c r="E8689" s="19"/>
      <c r="F8689" s="20"/>
      <c r="G8689" s="19"/>
      <c r="H8689" s="19"/>
      <c r="I8689" s="19"/>
      <c r="J8689" s="19"/>
      <c r="K8689" s="19"/>
    </row>
    <row r="8690" spans="3:11" x14ac:dyDescent="0.2">
      <c r="C8690" s="19"/>
      <c r="D8690" s="19"/>
      <c r="E8690" s="19"/>
      <c r="F8690" s="20"/>
      <c r="G8690" s="19"/>
      <c r="H8690" s="19"/>
      <c r="I8690" s="19"/>
      <c r="J8690" s="19"/>
      <c r="K8690" s="19"/>
    </row>
    <row r="8691" spans="3:11" x14ac:dyDescent="0.2">
      <c r="C8691" s="19"/>
      <c r="D8691" s="19"/>
      <c r="E8691" s="19"/>
      <c r="F8691" s="20"/>
      <c r="G8691" s="19"/>
      <c r="H8691" s="19"/>
      <c r="I8691" s="19"/>
      <c r="J8691" s="21"/>
      <c r="K8691" s="19"/>
    </row>
    <row r="8692" spans="3:11" x14ac:dyDescent="0.2">
      <c r="C8692" s="19"/>
      <c r="D8692" s="19"/>
      <c r="E8692" s="19"/>
      <c r="F8692" s="20"/>
      <c r="G8692" s="19"/>
      <c r="H8692" s="19"/>
      <c r="I8692" s="19"/>
      <c r="J8692" s="21"/>
      <c r="K8692" s="19"/>
    </row>
    <row r="8693" spans="3:11" x14ac:dyDescent="0.2">
      <c r="C8693" s="19"/>
      <c r="D8693" s="19"/>
      <c r="E8693" s="19"/>
      <c r="F8693" s="20"/>
      <c r="G8693" s="19"/>
      <c r="H8693" s="19"/>
      <c r="I8693" s="19"/>
      <c r="J8693" s="19"/>
      <c r="K8693" s="19"/>
    </row>
    <row r="8694" spans="3:11" x14ac:dyDescent="0.2">
      <c r="C8694" s="19"/>
      <c r="D8694" s="19"/>
      <c r="E8694" s="19"/>
      <c r="F8694" s="20"/>
      <c r="G8694" s="19"/>
      <c r="H8694" s="19"/>
      <c r="I8694" s="19"/>
      <c r="J8694" s="19"/>
      <c r="K8694" s="19"/>
    </row>
    <row r="8695" spans="3:11" x14ac:dyDescent="0.2">
      <c r="C8695" s="19"/>
      <c r="D8695" s="19"/>
      <c r="E8695" s="19"/>
      <c r="F8695" s="20"/>
      <c r="G8695" s="19"/>
      <c r="H8695" s="19"/>
      <c r="I8695" s="19"/>
      <c r="J8695" s="21"/>
      <c r="K8695" s="19"/>
    </row>
    <row r="8696" spans="3:11" x14ac:dyDescent="0.2">
      <c r="C8696" s="19"/>
      <c r="D8696" s="19"/>
      <c r="E8696" s="19"/>
      <c r="F8696" s="20"/>
      <c r="G8696" s="19"/>
      <c r="H8696" s="19"/>
      <c r="I8696" s="19"/>
      <c r="J8696" s="21"/>
      <c r="K8696" s="19"/>
    </row>
    <row r="8697" spans="3:11" x14ac:dyDescent="0.2">
      <c r="C8697" s="19"/>
      <c r="D8697" s="19"/>
      <c r="E8697" s="19"/>
      <c r="F8697" s="20"/>
      <c r="G8697" s="19"/>
      <c r="H8697" s="19"/>
      <c r="I8697" s="19"/>
      <c r="J8697" s="21"/>
      <c r="K8697" s="19"/>
    </row>
    <row r="8698" spans="3:11" x14ac:dyDescent="0.2">
      <c r="C8698" s="19"/>
      <c r="D8698" s="19"/>
      <c r="E8698" s="19"/>
      <c r="F8698" s="20"/>
      <c r="G8698" s="19"/>
      <c r="H8698" s="19"/>
      <c r="I8698" s="19"/>
      <c r="J8698" s="21"/>
      <c r="K8698" s="19"/>
    </row>
    <row r="8699" spans="3:11" x14ac:dyDescent="0.2">
      <c r="C8699" s="19"/>
      <c r="D8699" s="19"/>
      <c r="E8699" s="19"/>
      <c r="F8699" s="20"/>
      <c r="G8699" s="19"/>
      <c r="H8699" s="19"/>
      <c r="I8699" s="19"/>
      <c r="J8699" s="19"/>
      <c r="K8699" s="19"/>
    </row>
    <row r="8700" spans="3:11" x14ac:dyDescent="0.2">
      <c r="C8700" s="19"/>
      <c r="D8700" s="19"/>
      <c r="E8700" s="19"/>
      <c r="F8700" s="20"/>
      <c r="G8700" s="19"/>
      <c r="H8700" s="19"/>
      <c r="I8700" s="19"/>
      <c r="J8700" s="21"/>
      <c r="K8700" s="19"/>
    </row>
    <row r="8701" spans="3:11" x14ac:dyDescent="0.2">
      <c r="C8701" s="19"/>
      <c r="D8701" s="19"/>
      <c r="E8701" s="19"/>
      <c r="F8701" s="20"/>
      <c r="G8701" s="19"/>
      <c r="H8701" s="19"/>
      <c r="I8701" s="19"/>
      <c r="J8701" s="21"/>
      <c r="K8701" s="19"/>
    </row>
    <row r="8702" spans="3:11" x14ac:dyDescent="0.2">
      <c r="C8702" s="19"/>
      <c r="D8702" s="19"/>
      <c r="E8702" s="19"/>
      <c r="F8702" s="20"/>
      <c r="G8702" s="19"/>
      <c r="H8702" s="19"/>
      <c r="I8702" s="19"/>
      <c r="J8702" s="21"/>
      <c r="K8702" s="19"/>
    </row>
    <row r="8703" spans="3:11" x14ac:dyDescent="0.2">
      <c r="C8703" s="19"/>
      <c r="D8703" s="19"/>
      <c r="E8703" s="19"/>
      <c r="F8703" s="20"/>
      <c r="G8703" s="19"/>
      <c r="H8703" s="19"/>
      <c r="I8703" s="19"/>
      <c r="J8703" s="21"/>
      <c r="K8703" s="19"/>
    </row>
    <row r="8704" spans="3:11" x14ac:dyDescent="0.2">
      <c r="C8704" s="19"/>
      <c r="D8704" s="19"/>
      <c r="E8704" s="19"/>
      <c r="F8704" s="20"/>
      <c r="G8704" s="19"/>
      <c r="H8704" s="19"/>
      <c r="I8704" s="19"/>
      <c r="J8704" s="21"/>
      <c r="K8704" s="19"/>
    </row>
    <row r="8705" spans="3:11" x14ac:dyDescent="0.2">
      <c r="C8705" s="19"/>
      <c r="D8705" s="19"/>
      <c r="E8705" s="19"/>
      <c r="F8705" s="20"/>
      <c r="G8705" s="19"/>
      <c r="H8705" s="19"/>
      <c r="I8705" s="19"/>
      <c r="J8705" s="21"/>
      <c r="K8705" s="19"/>
    </row>
    <row r="8706" spans="3:11" x14ac:dyDescent="0.2">
      <c r="C8706" s="19"/>
      <c r="D8706" s="19"/>
      <c r="E8706" s="19"/>
      <c r="F8706" s="20"/>
      <c r="G8706" s="19"/>
      <c r="H8706" s="19"/>
      <c r="I8706" s="19"/>
      <c r="J8706" s="21"/>
      <c r="K8706" s="19"/>
    </row>
    <row r="8707" spans="3:11" x14ac:dyDescent="0.2">
      <c r="C8707" s="19"/>
      <c r="D8707" s="19"/>
      <c r="E8707" s="19"/>
      <c r="F8707" s="20"/>
      <c r="G8707" s="19"/>
      <c r="H8707" s="19"/>
      <c r="I8707" s="19"/>
      <c r="J8707" s="21"/>
      <c r="K8707" s="19"/>
    </row>
    <row r="8708" spans="3:11" x14ac:dyDescent="0.2">
      <c r="C8708" s="19"/>
      <c r="D8708" s="19"/>
      <c r="E8708" s="19"/>
      <c r="F8708" s="20"/>
      <c r="G8708" s="19"/>
      <c r="H8708" s="19"/>
      <c r="I8708" s="19"/>
      <c r="J8708" s="21"/>
      <c r="K8708" s="19"/>
    </row>
    <row r="8709" spans="3:11" x14ac:dyDescent="0.2">
      <c r="C8709" s="19"/>
      <c r="D8709" s="19"/>
      <c r="E8709" s="19"/>
      <c r="F8709" s="20"/>
      <c r="G8709" s="19"/>
      <c r="H8709" s="19"/>
      <c r="I8709" s="19"/>
      <c r="J8709" s="21"/>
      <c r="K8709" s="19"/>
    </row>
    <row r="8710" spans="3:11" x14ac:dyDescent="0.2">
      <c r="C8710" s="19"/>
      <c r="D8710" s="19"/>
      <c r="E8710" s="19"/>
      <c r="F8710" s="20"/>
      <c r="G8710" s="19"/>
      <c r="H8710" s="19"/>
      <c r="I8710" s="19"/>
      <c r="J8710" s="21"/>
      <c r="K8710" s="19"/>
    </row>
    <row r="8711" spans="3:11" x14ac:dyDescent="0.2">
      <c r="C8711" s="19"/>
      <c r="D8711" s="19"/>
      <c r="E8711" s="19"/>
      <c r="F8711" s="20"/>
      <c r="G8711" s="19"/>
      <c r="H8711" s="19"/>
      <c r="I8711" s="19"/>
      <c r="J8711" s="21"/>
      <c r="K8711" s="19"/>
    </row>
    <row r="8712" spans="3:11" x14ac:dyDescent="0.2">
      <c r="C8712" s="19"/>
      <c r="D8712" s="19"/>
      <c r="E8712" s="19"/>
      <c r="F8712" s="20"/>
      <c r="G8712" s="19"/>
      <c r="H8712" s="19"/>
      <c r="I8712" s="19"/>
      <c r="J8712" s="21"/>
      <c r="K8712" s="19"/>
    </row>
    <row r="8713" spans="3:11" x14ac:dyDescent="0.2">
      <c r="C8713" s="19"/>
      <c r="D8713" s="19"/>
      <c r="E8713" s="19"/>
      <c r="F8713" s="20"/>
      <c r="G8713" s="19"/>
      <c r="H8713" s="19"/>
      <c r="I8713" s="19"/>
      <c r="J8713" s="21"/>
      <c r="K8713" s="19"/>
    </row>
    <row r="8714" spans="3:11" x14ac:dyDescent="0.2">
      <c r="C8714" s="19"/>
      <c r="D8714" s="19"/>
      <c r="E8714" s="19"/>
      <c r="F8714" s="20"/>
      <c r="G8714" s="19"/>
      <c r="H8714" s="19"/>
      <c r="I8714" s="19"/>
      <c r="J8714" s="21"/>
      <c r="K8714" s="19"/>
    </row>
    <row r="8715" spans="3:11" x14ac:dyDescent="0.2">
      <c r="C8715" s="19"/>
      <c r="D8715" s="19"/>
      <c r="E8715" s="19"/>
      <c r="F8715" s="20"/>
      <c r="G8715" s="19"/>
      <c r="H8715" s="19"/>
      <c r="I8715" s="19"/>
      <c r="J8715" s="19"/>
      <c r="K8715" s="19"/>
    </row>
    <row r="8716" spans="3:11" x14ac:dyDescent="0.2">
      <c r="C8716" s="19"/>
      <c r="D8716" s="19"/>
      <c r="E8716" s="19"/>
      <c r="F8716" s="20"/>
      <c r="G8716" s="19"/>
      <c r="H8716" s="19"/>
      <c r="I8716" s="19"/>
      <c r="J8716" s="21"/>
      <c r="K8716" s="19"/>
    </row>
    <row r="8717" spans="3:11" x14ac:dyDescent="0.2">
      <c r="C8717" s="19"/>
      <c r="D8717" s="19"/>
      <c r="E8717" s="19"/>
      <c r="F8717" s="20"/>
      <c r="G8717" s="19"/>
      <c r="H8717" s="19"/>
      <c r="I8717" s="19"/>
      <c r="J8717" s="21"/>
      <c r="K8717" s="19"/>
    </row>
    <row r="8718" spans="3:11" x14ac:dyDescent="0.2">
      <c r="C8718" s="19"/>
      <c r="D8718" s="19"/>
      <c r="E8718" s="19"/>
      <c r="F8718" s="20"/>
      <c r="G8718" s="19"/>
      <c r="H8718" s="19"/>
      <c r="I8718" s="19"/>
      <c r="J8718" s="21"/>
      <c r="K8718" s="19"/>
    </row>
    <row r="8719" spans="3:11" x14ac:dyDescent="0.2">
      <c r="C8719" s="19"/>
      <c r="D8719" s="19"/>
      <c r="E8719" s="19"/>
      <c r="F8719" s="20"/>
      <c r="G8719" s="19"/>
      <c r="H8719" s="19"/>
      <c r="I8719" s="19"/>
      <c r="J8719" s="21"/>
      <c r="K8719" s="19"/>
    </row>
    <row r="8720" spans="3:11" x14ac:dyDescent="0.2">
      <c r="C8720" s="19"/>
      <c r="D8720" s="19"/>
      <c r="E8720" s="19"/>
      <c r="F8720" s="20"/>
      <c r="G8720" s="19"/>
      <c r="H8720" s="19"/>
      <c r="I8720" s="19"/>
      <c r="J8720" s="21"/>
      <c r="K8720" s="19"/>
    </row>
    <row r="8721" spans="3:11" x14ac:dyDescent="0.2">
      <c r="C8721" s="19"/>
      <c r="D8721" s="19"/>
      <c r="E8721" s="19"/>
      <c r="F8721" s="20"/>
      <c r="G8721" s="19"/>
      <c r="H8721" s="19"/>
      <c r="I8721" s="19"/>
      <c r="J8721" s="21"/>
      <c r="K8721" s="19"/>
    </row>
    <row r="8722" spans="3:11" x14ac:dyDescent="0.2">
      <c r="C8722" s="19"/>
      <c r="D8722" s="19"/>
      <c r="E8722" s="19"/>
      <c r="F8722" s="20"/>
      <c r="G8722" s="19"/>
      <c r="H8722" s="19"/>
      <c r="I8722" s="19"/>
      <c r="J8722" s="21"/>
      <c r="K8722" s="19"/>
    </row>
    <row r="8723" spans="3:11" x14ac:dyDescent="0.2">
      <c r="C8723" s="19"/>
      <c r="D8723" s="19"/>
      <c r="E8723" s="19"/>
      <c r="F8723" s="20"/>
      <c r="G8723" s="19"/>
      <c r="H8723" s="19"/>
      <c r="I8723" s="19"/>
      <c r="J8723" s="21"/>
      <c r="K8723" s="19"/>
    </row>
    <row r="8724" spans="3:11" x14ac:dyDescent="0.2">
      <c r="C8724" s="19"/>
      <c r="D8724" s="19"/>
      <c r="E8724" s="19"/>
      <c r="F8724" s="20"/>
      <c r="G8724" s="19"/>
      <c r="H8724" s="19"/>
      <c r="I8724" s="19"/>
      <c r="J8724" s="21"/>
      <c r="K8724" s="19"/>
    </row>
    <row r="8725" spans="3:11" x14ac:dyDescent="0.2">
      <c r="C8725" s="19"/>
      <c r="D8725" s="19"/>
      <c r="E8725" s="19"/>
      <c r="F8725" s="20"/>
      <c r="G8725" s="19"/>
      <c r="H8725" s="19"/>
      <c r="I8725" s="19"/>
      <c r="J8725" s="19"/>
      <c r="K8725" s="19"/>
    </row>
    <row r="8726" spans="3:11" x14ac:dyDescent="0.2">
      <c r="C8726" s="19"/>
      <c r="D8726" s="19"/>
      <c r="E8726" s="19"/>
      <c r="F8726" s="20"/>
      <c r="G8726" s="19"/>
      <c r="H8726" s="19"/>
      <c r="I8726" s="19"/>
      <c r="J8726" s="21"/>
      <c r="K8726" s="19"/>
    </row>
    <row r="8727" spans="3:11" x14ac:dyDescent="0.2">
      <c r="C8727" s="19"/>
      <c r="D8727" s="19"/>
      <c r="E8727" s="19"/>
      <c r="F8727" s="20"/>
      <c r="G8727" s="19"/>
      <c r="H8727" s="19"/>
      <c r="I8727" s="19"/>
      <c r="J8727" s="21"/>
      <c r="K8727" s="19"/>
    </row>
    <row r="8728" spans="3:11" x14ac:dyDescent="0.2">
      <c r="C8728" s="19"/>
      <c r="D8728" s="19"/>
      <c r="E8728" s="19"/>
      <c r="F8728" s="20"/>
      <c r="G8728" s="19"/>
      <c r="H8728" s="19"/>
      <c r="I8728" s="19"/>
      <c r="J8728" s="21"/>
      <c r="K8728" s="19"/>
    </row>
    <row r="8729" spans="3:11" x14ac:dyDescent="0.2">
      <c r="C8729" s="19"/>
      <c r="D8729" s="19"/>
      <c r="E8729" s="19"/>
      <c r="F8729" s="20"/>
      <c r="G8729" s="19"/>
      <c r="H8729" s="19"/>
      <c r="I8729" s="19"/>
      <c r="J8729" s="21"/>
      <c r="K8729" s="19"/>
    </row>
    <row r="8730" spans="3:11" x14ac:dyDescent="0.2">
      <c r="C8730" s="19"/>
      <c r="D8730" s="19"/>
      <c r="E8730" s="19"/>
      <c r="F8730" s="20"/>
      <c r="G8730" s="19"/>
      <c r="H8730" s="19"/>
      <c r="I8730" s="19"/>
      <c r="J8730" s="21"/>
      <c r="K8730" s="19"/>
    </row>
    <row r="8731" spans="3:11" x14ac:dyDescent="0.2">
      <c r="C8731" s="19"/>
      <c r="D8731" s="19"/>
      <c r="E8731" s="19"/>
      <c r="F8731" s="20"/>
      <c r="G8731" s="19"/>
      <c r="H8731" s="19"/>
      <c r="I8731" s="19"/>
      <c r="J8731" s="21"/>
      <c r="K8731" s="19"/>
    </row>
    <row r="8732" spans="3:11" x14ac:dyDescent="0.2">
      <c r="C8732" s="19"/>
      <c r="D8732" s="19"/>
      <c r="E8732" s="19"/>
      <c r="F8732" s="20"/>
      <c r="G8732" s="19"/>
      <c r="H8732" s="19"/>
      <c r="I8732" s="19"/>
      <c r="J8732" s="21"/>
      <c r="K8732" s="19"/>
    </row>
    <row r="8733" spans="3:11" x14ac:dyDescent="0.2">
      <c r="C8733" s="19"/>
      <c r="D8733" s="19"/>
      <c r="E8733" s="19"/>
      <c r="F8733" s="20"/>
      <c r="G8733" s="19"/>
      <c r="H8733" s="19"/>
      <c r="I8733" s="19"/>
      <c r="J8733" s="21"/>
      <c r="K8733" s="19"/>
    </row>
    <row r="8734" spans="3:11" x14ac:dyDescent="0.2">
      <c r="C8734" s="19"/>
      <c r="D8734" s="19"/>
      <c r="E8734" s="19"/>
      <c r="F8734" s="20"/>
      <c r="G8734" s="19"/>
      <c r="H8734" s="19"/>
      <c r="I8734" s="19"/>
      <c r="J8734" s="21"/>
      <c r="K8734" s="19"/>
    </row>
    <row r="8735" spans="3:11" x14ac:dyDescent="0.2">
      <c r="C8735" s="19"/>
      <c r="D8735" s="19"/>
      <c r="E8735" s="19"/>
      <c r="F8735" s="20"/>
      <c r="G8735" s="19"/>
      <c r="H8735" s="19"/>
      <c r="I8735" s="19"/>
      <c r="J8735" s="21"/>
      <c r="K8735" s="19"/>
    </row>
    <row r="8736" spans="3:11" x14ac:dyDescent="0.2">
      <c r="C8736" s="19"/>
      <c r="D8736" s="19"/>
      <c r="E8736" s="19"/>
      <c r="F8736" s="20"/>
      <c r="G8736" s="19"/>
      <c r="H8736" s="19"/>
      <c r="I8736" s="19"/>
      <c r="J8736" s="21"/>
      <c r="K8736" s="19"/>
    </row>
    <row r="8737" spans="3:11" x14ac:dyDescent="0.2">
      <c r="C8737" s="19"/>
      <c r="D8737" s="19"/>
      <c r="E8737" s="19"/>
      <c r="F8737" s="20"/>
      <c r="G8737" s="19"/>
      <c r="H8737" s="19"/>
      <c r="I8737" s="19"/>
      <c r="J8737" s="21"/>
      <c r="K8737" s="19"/>
    </row>
    <row r="8738" spans="3:11" x14ac:dyDescent="0.2">
      <c r="C8738" s="19"/>
      <c r="D8738" s="19"/>
      <c r="E8738" s="19"/>
      <c r="F8738" s="20"/>
      <c r="G8738" s="19"/>
      <c r="H8738" s="19"/>
      <c r="I8738" s="19"/>
      <c r="J8738" s="21"/>
      <c r="K8738" s="19"/>
    </row>
    <row r="8739" spans="3:11" x14ac:dyDescent="0.2">
      <c r="C8739" s="19"/>
      <c r="D8739" s="19"/>
      <c r="E8739" s="19"/>
      <c r="F8739" s="20"/>
      <c r="G8739" s="19"/>
      <c r="H8739" s="19"/>
      <c r="I8739" s="19"/>
      <c r="J8739" s="21"/>
      <c r="K8739" s="19"/>
    </row>
    <row r="8740" spans="3:11" x14ac:dyDescent="0.2">
      <c r="C8740" s="19"/>
      <c r="D8740" s="19"/>
      <c r="E8740" s="19"/>
      <c r="F8740" s="20"/>
      <c r="G8740" s="19"/>
      <c r="H8740" s="19"/>
      <c r="I8740" s="19"/>
      <c r="J8740" s="21"/>
      <c r="K8740" s="19"/>
    </row>
    <row r="8741" spans="3:11" x14ac:dyDescent="0.2">
      <c r="C8741" s="19"/>
      <c r="D8741" s="19"/>
      <c r="E8741" s="19"/>
      <c r="F8741" s="20"/>
      <c r="G8741" s="19"/>
      <c r="H8741" s="19"/>
      <c r="I8741" s="19"/>
      <c r="J8741" s="21"/>
      <c r="K8741" s="19"/>
    </row>
    <row r="8742" spans="3:11" x14ac:dyDescent="0.2">
      <c r="C8742" s="19"/>
      <c r="D8742" s="19"/>
      <c r="E8742" s="19"/>
      <c r="F8742" s="20"/>
      <c r="G8742" s="19"/>
      <c r="H8742" s="19"/>
      <c r="I8742" s="19"/>
      <c r="J8742" s="21"/>
      <c r="K8742" s="19"/>
    </row>
    <row r="8743" spans="3:11" x14ac:dyDescent="0.2">
      <c r="C8743" s="19"/>
      <c r="D8743" s="19"/>
      <c r="E8743" s="19"/>
      <c r="F8743" s="20"/>
      <c r="G8743" s="19"/>
      <c r="H8743" s="19"/>
      <c r="I8743" s="19"/>
      <c r="J8743" s="21"/>
      <c r="K8743" s="19"/>
    </row>
    <row r="8744" spans="3:11" x14ac:dyDescent="0.2">
      <c r="C8744" s="19"/>
      <c r="D8744" s="19"/>
      <c r="E8744" s="19"/>
      <c r="F8744" s="20"/>
      <c r="G8744" s="19"/>
      <c r="H8744" s="19"/>
      <c r="I8744" s="19"/>
      <c r="J8744" s="21"/>
      <c r="K8744" s="19"/>
    </row>
    <row r="8745" spans="3:11" x14ac:dyDescent="0.2">
      <c r="C8745" s="19"/>
      <c r="D8745" s="19"/>
      <c r="E8745" s="19"/>
      <c r="F8745" s="20"/>
      <c r="G8745" s="19"/>
      <c r="H8745" s="19"/>
      <c r="I8745" s="19"/>
      <c r="J8745" s="21"/>
      <c r="K8745" s="19"/>
    </row>
    <row r="8746" spans="3:11" x14ac:dyDescent="0.2">
      <c r="C8746" s="19"/>
      <c r="D8746" s="19"/>
      <c r="E8746" s="19"/>
      <c r="F8746" s="20"/>
      <c r="G8746" s="19"/>
      <c r="H8746" s="19"/>
      <c r="I8746" s="19"/>
      <c r="J8746" s="21"/>
      <c r="K8746" s="19"/>
    </row>
    <row r="8747" spans="3:11" x14ac:dyDescent="0.2">
      <c r="C8747" s="19"/>
      <c r="D8747" s="19"/>
      <c r="E8747" s="19"/>
      <c r="F8747" s="20"/>
      <c r="G8747" s="19"/>
      <c r="H8747" s="19"/>
      <c r="I8747" s="19"/>
      <c r="J8747" s="21"/>
      <c r="K8747" s="19"/>
    </row>
    <row r="8748" spans="3:11" x14ac:dyDescent="0.2">
      <c r="C8748" s="19"/>
      <c r="D8748" s="19"/>
      <c r="E8748" s="19"/>
      <c r="F8748" s="20"/>
      <c r="G8748" s="19"/>
      <c r="H8748" s="19"/>
      <c r="I8748" s="19"/>
      <c r="J8748" s="21"/>
      <c r="K8748" s="19"/>
    </row>
    <row r="8749" spans="3:11" x14ac:dyDescent="0.2">
      <c r="C8749" s="19"/>
      <c r="D8749" s="19"/>
      <c r="E8749" s="19"/>
      <c r="F8749" s="20"/>
      <c r="G8749" s="19"/>
      <c r="H8749" s="19"/>
      <c r="I8749" s="19"/>
      <c r="J8749" s="21"/>
      <c r="K8749" s="19"/>
    </row>
    <row r="8750" spans="3:11" x14ac:dyDescent="0.2">
      <c r="C8750" s="19"/>
      <c r="D8750" s="19"/>
      <c r="E8750" s="19"/>
      <c r="F8750" s="20"/>
      <c r="G8750" s="19"/>
      <c r="H8750" s="19"/>
      <c r="I8750" s="19"/>
      <c r="J8750" s="21"/>
      <c r="K8750" s="19"/>
    </row>
    <row r="8751" spans="3:11" x14ac:dyDescent="0.2">
      <c r="C8751" s="19"/>
      <c r="D8751" s="19"/>
      <c r="E8751" s="19"/>
      <c r="F8751" s="20"/>
      <c r="G8751" s="19"/>
      <c r="H8751" s="19"/>
      <c r="I8751" s="19"/>
      <c r="J8751" s="21"/>
      <c r="K8751" s="19"/>
    </row>
    <row r="8752" spans="3:11" x14ac:dyDescent="0.2">
      <c r="C8752" s="19"/>
      <c r="D8752" s="19"/>
      <c r="E8752" s="19"/>
      <c r="F8752" s="20"/>
      <c r="G8752" s="19"/>
      <c r="H8752" s="19"/>
      <c r="I8752" s="19"/>
      <c r="J8752" s="21"/>
      <c r="K8752" s="19"/>
    </row>
    <row r="8753" spans="3:11" x14ac:dyDescent="0.2">
      <c r="C8753" s="19"/>
      <c r="D8753" s="19"/>
      <c r="E8753" s="19"/>
      <c r="F8753" s="20"/>
      <c r="G8753" s="19"/>
      <c r="H8753" s="19"/>
      <c r="I8753" s="19"/>
      <c r="J8753" s="21"/>
      <c r="K8753" s="19"/>
    </row>
    <row r="8754" spans="3:11" x14ac:dyDescent="0.2">
      <c r="C8754" s="19"/>
      <c r="D8754" s="19"/>
      <c r="E8754" s="19"/>
      <c r="F8754" s="20"/>
      <c r="G8754" s="19"/>
      <c r="H8754" s="19"/>
      <c r="I8754" s="19"/>
      <c r="J8754" s="21"/>
      <c r="K8754" s="19"/>
    </row>
    <row r="8755" spans="3:11" x14ac:dyDescent="0.2">
      <c r="C8755" s="19"/>
      <c r="D8755" s="19"/>
      <c r="E8755" s="19"/>
      <c r="F8755" s="20"/>
      <c r="G8755" s="19"/>
      <c r="H8755" s="19"/>
      <c r="I8755" s="19"/>
      <c r="J8755" s="21"/>
      <c r="K8755" s="19"/>
    </row>
    <row r="8756" spans="3:11" x14ac:dyDescent="0.2">
      <c r="C8756" s="19"/>
      <c r="D8756" s="19"/>
      <c r="E8756" s="19"/>
      <c r="F8756" s="20"/>
      <c r="G8756" s="19"/>
      <c r="H8756" s="19"/>
      <c r="I8756" s="19"/>
      <c r="J8756" s="21"/>
      <c r="K8756" s="19"/>
    </row>
    <row r="8757" spans="3:11" x14ac:dyDescent="0.2">
      <c r="C8757" s="19"/>
      <c r="D8757" s="19"/>
      <c r="E8757" s="19"/>
      <c r="F8757" s="20"/>
      <c r="G8757" s="19"/>
      <c r="H8757" s="19"/>
      <c r="I8757" s="19"/>
      <c r="J8757" s="21"/>
      <c r="K8757" s="19"/>
    </row>
    <row r="8758" spans="3:11" x14ac:dyDescent="0.2">
      <c r="C8758" s="19"/>
      <c r="D8758" s="19"/>
      <c r="E8758" s="19"/>
      <c r="F8758" s="20"/>
      <c r="G8758" s="19"/>
      <c r="H8758" s="19"/>
      <c r="I8758" s="19"/>
      <c r="J8758" s="21"/>
      <c r="K8758" s="19"/>
    </row>
    <row r="8759" spans="3:11" x14ac:dyDescent="0.2">
      <c r="C8759" s="19"/>
      <c r="D8759" s="19"/>
      <c r="E8759" s="19"/>
      <c r="F8759" s="20"/>
      <c r="G8759" s="19"/>
      <c r="H8759" s="19"/>
      <c r="I8759" s="19"/>
      <c r="J8759" s="21"/>
      <c r="K8759" s="19"/>
    </row>
    <row r="8760" spans="3:11" x14ac:dyDescent="0.2">
      <c r="C8760" s="19"/>
      <c r="D8760" s="19"/>
      <c r="E8760" s="19"/>
      <c r="F8760" s="20"/>
      <c r="G8760" s="19"/>
      <c r="H8760" s="19"/>
      <c r="I8760" s="19"/>
      <c r="J8760" s="21"/>
      <c r="K8760" s="19"/>
    </row>
    <row r="8761" spans="3:11" x14ac:dyDescent="0.2">
      <c r="C8761" s="19"/>
      <c r="D8761" s="19"/>
      <c r="E8761" s="19"/>
      <c r="F8761" s="20"/>
      <c r="G8761" s="19"/>
      <c r="H8761" s="19"/>
      <c r="I8761" s="19"/>
      <c r="J8761" s="21"/>
      <c r="K8761" s="19"/>
    </row>
    <row r="8762" spans="3:11" x14ac:dyDescent="0.2">
      <c r="C8762" s="19"/>
      <c r="D8762" s="19"/>
      <c r="E8762" s="19"/>
      <c r="F8762" s="20"/>
      <c r="G8762" s="19"/>
      <c r="H8762" s="19"/>
      <c r="I8762" s="19"/>
      <c r="J8762" s="19"/>
      <c r="K8762" s="19"/>
    </row>
    <row r="8763" spans="3:11" x14ac:dyDescent="0.2">
      <c r="C8763" s="19"/>
      <c r="D8763" s="19"/>
      <c r="E8763" s="19"/>
      <c r="F8763" s="20"/>
      <c r="G8763" s="19"/>
      <c r="H8763" s="19"/>
      <c r="I8763" s="19"/>
      <c r="J8763" s="21"/>
      <c r="K8763" s="19"/>
    </row>
    <row r="8764" spans="3:11" x14ac:dyDescent="0.2">
      <c r="C8764" s="19"/>
      <c r="D8764" s="19"/>
      <c r="E8764" s="19"/>
      <c r="F8764" s="20"/>
      <c r="G8764" s="19"/>
      <c r="H8764" s="19"/>
      <c r="I8764" s="19"/>
      <c r="J8764" s="21"/>
      <c r="K8764" s="19"/>
    </row>
    <row r="8765" spans="3:11" x14ac:dyDescent="0.2">
      <c r="C8765" s="19"/>
      <c r="D8765" s="19"/>
      <c r="E8765" s="19"/>
      <c r="F8765" s="20"/>
      <c r="G8765" s="19"/>
      <c r="H8765" s="19"/>
      <c r="I8765" s="19"/>
      <c r="J8765" s="21"/>
      <c r="K8765" s="19"/>
    </row>
    <row r="8766" spans="3:11" x14ac:dyDescent="0.2">
      <c r="C8766" s="19"/>
      <c r="D8766" s="19"/>
      <c r="E8766" s="19"/>
      <c r="F8766" s="20"/>
      <c r="G8766" s="19"/>
      <c r="H8766" s="19"/>
      <c r="I8766" s="19"/>
      <c r="J8766" s="21"/>
      <c r="K8766" s="19"/>
    </row>
    <row r="8767" spans="3:11" x14ac:dyDescent="0.2">
      <c r="C8767" s="19"/>
      <c r="D8767" s="19"/>
      <c r="E8767" s="19"/>
      <c r="F8767" s="20"/>
      <c r="G8767" s="19"/>
      <c r="H8767" s="19"/>
      <c r="I8767" s="19"/>
      <c r="J8767" s="19"/>
      <c r="K8767" s="19"/>
    </row>
    <row r="8768" spans="3:11" x14ac:dyDescent="0.2">
      <c r="C8768" s="19"/>
      <c r="D8768" s="19"/>
      <c r="E8768" s="19"/>
      <c r="F8768" s="20"/>
      <c r="G8768" s="19"/>
      <c r="H8768" s="19"/>
      <c r="I8768" s="19"/>
      <c r="J8768" s="21"/>
      <c r="K8768" s="19"/>
    </row>
    <row r="8769" spans="3:11" x14ac:dyDescent="0.2">
      <c r="C8769" s="19"/>
      <c r="D8769" s="19"/>
      <c r="E8769" s="19"/>
      <c r="F8769" s="20"/>
      <c r="G8769" s="19"/>
      <c r="H8769" s="19"/>
      <c r="I8769" s="19"/>
      <c r="J8769" s="21"/>
      <c r="K8769" s="19"/>
    </row>
    <row r="8770" spans="3:11" x14ac:dyDescent="0.2">
      <c r="C8770" s="19"/>
      <c r="D8770" s="19"/>
      <c r="E8770" s="19"/>
      <c r="F8770" s="20"/>
      <c r="G8770" s="19"/>
      <c r="H8770" s="19"/>
      <c r="I8770" s="19"/>
      <c r="J8770" s="21"/>
      <c r="K8770" s="19"/>
    </row>
    <row r="8771" spans="3:11" x14ac:dyDescent="0.2">
      <c r="C8771" s="19"/>
      <c r="D8771" s="19"/>
      <c r="E8771" s="19"/>
      <c r="F8771" s="20"/>
      <c r="G8771" s="19"/>
      <c r="H8771" s="19"/>
      <c r="I8771" s="19"/>
      <c r="J8771" s="21"/>
      <c r="K8771" s="19"/>
    </row>
    <row r="8772" spans="3:11" x14ac:dyDescent="0.2">
      <c r="C8772" s="19"/>
      <c r="D8772" s="19"/>
      <c r="E8772" s="19"/>
      <c r="F8772" s="20"/>
      <c r="G8772" s="19"/>
      <c r="H8772" s="19"/>
      <c r="I8772" s="19"/>
      <c r="J8772" s="19"/>
      <c r="K8772" s="19"/>
    </row>
    <row r="8773" spans="3:11" x14ac:dyDescent="0.2">
      <c r="C8773" s="19"/>
      <c r="D8773" s="19"/>
      <c r="E8773" s="19"/>
      <c r="F8773" s="20"/>
      <c r="G8773" s="19"/>
      <c r="H8773" s="19"/>
      <c r="I8773" s="19"/>
      <c r="J8773" s="19"/>
      <c r="K8773" s="19"/>
    </row>
    <row r="8774" spans="3:11" x14ac:dyDescent="0.2">
      <c r="C8774" s="19"/>
      <c r="D8774" s="19"/>
      <c r="E8774" s="19"/>
      <c r="F8774" s="20"/>
      <c r="G8774" s="19"/>
      <c r="H8774" s="19"/>
      <c r="I8774" s="19"/>
      <c r="J8774" s="21"/>
      <c r="K8774" s="19"/>
    </row>
    <row r="8775" spans="3:11" x14ac:dyDescent="0.2">
      <c r="C8775" s="19"/>
      <c r="D8775" s="19"/>
      <c r="E8775" s="19"/>
      <c r="F8775" s="20"/>
      <c r="G8775" s="19"/>
      <c r="H8775" s="19"/>
      <c r="I8775" s="19"/>
      <c r="J8775" s="21"/>
      <c r="K8775" s="19"/>
    </row>
    <row r="8776" spans="3:11" x14ac:dyDescent="0.2">
      <c r="C8776" s="19"/>
      <c r="D8776" s="19"/>
      <c r="E8776" s="19"/>
      <c r="F8776" s="20"/>
      <c r="G8776" s="19"/>
      <c r="H8776" s="19"/>
      <c r="I8776" s="19"/>
      <c r="J8776" s="21"/>
      <c r="K8776" s="19"/>
    </row>
    <row r="8777" spans="3:11" x14ac:dyDescent="0.2">
      <c r="C8777" s="19"/>
      <c r="D8777" s="19"/>
      <c r="E8777" s="19"/>
      <c r="F8777" s="20"/>
      <c r="G8777" s="19"/>
      <c r="H8777" s="19"/>
      <c r="I8777" s="19"/>
      <c r="J8777" s="19"/>
      <c r="K8777" s="19"/>
    </row>
    <row r="8778" spans="3:11" x14ac:dyDescent="0.2">
      <c r="C8778" s="19"/>
      <c r="D8778" s="19"/>
      <c r="E8778" s="19"/>
      <c r="F8778" s="20"/>
      <c r="G8778" s="19"/>
      <c r="H8778" s="19"/>
      <c r="I8778" s="19"/>
      <c r="J8778" s="21"/>
      <c r="K8778" s="19"/>
    </row>
    <row r="8779" spans="3:11" x14ac:dyDescent="0.2">
      <c r="C8779" s="19"/>
      <c r="D8779" s="19"/>
      <c r="E8779" s="19"/>
      <c r="F8779" s="20"/>
      <c r="G8779" s="19"/>
      <c r="H8779" s="19"/>
      <c r="I8779" s="19"/>
      <c r="J8779" s="21"/>
      <c r="K8779" s="19"/>
    </row>
    <row r="8780" spans="3:11" x14ac:dyDescent="0.2">
      <c r="C8780" s="19"/>
      <c r="D8780" s="19"/>
      <c r="E8780" s="19"/>
      <c r="F8780" s="20"/>
      <c r="G8780" s="19"/>
      <c r="H8780" s="19"/>
      <c r="I8780" s="19"/>
      <c r="J8780" s="19"/>
      <c r="K8780" s="19"/>
    </row>
    <row r="8781" spans="3:11" x14ac:dyDescent="0.2">
      <c r="C8781" s="19"/>
      <c r="D8781" s="19"/>
      <c r="E8781" s="19"/>
      <c r="F8781" s="20"/>
      <c r="G8781" s="19"/>
      <c r="H8781" s="19"/>
      <c r="I8781" s="19"/>
      <c r="J8781" s="19"/>
      <c r="K8781" s="19"/>
    </row>
    <row r="8782" spans="3:11" x14ac:dyDescent="0.2">
      <c r="C8782" s="19"/>
      <c r="D8782" s="19"/>
      <c r="E8782" s="19"/>
      <c r="F8782" s="20"/>
      <c r="G8782" s="19"/>
      <c r="H8782" s="19"/>
      <c r="I8782" s="19"/>
      <c r="J8782" s="21"/>
      <c r="K8782" s="19"/>
    </row>
    <row r="8783" spans="3:11" x14ac:dyDescent="0.2">
      <c r="C8783" s="19"/>
      <c r="D8783" s="19"/>
      <c r="E8783" s="19"/>
      <c r="F8783" s="20"/>
      <c r="G8783" s="19"/>
      <c r="H8783" s="19"/>
      <c r="I8783" s="19"/>
      <c r="J8783" s="21"/>
      <c r="K8783" s="19"/>
    </row>
    <row r="8784" spans="3:11" x14ac:dyDescent="0.2">
      <c r="C8784" s="19"/>
      <c r="D8784" s="19"/>
      <c r="E8784" s="19"/>
      <c r="F8784" s="20"/>
      <c r="G8784" s="19"/>
      <c r="H8784" s="19"/>
      <c r="I8784" s="19"/>
      <c r="J8784" s="21"/>
      <c r="K8784" s="19"/>
    </row>
    <row r="8785" spans="3:11" x14ac:dyDescent="0.2">
      <c r="C8785" s="19"/>
      <c r="D8785" s="19"/>
      <c r="E8785" s="19"/>
      <c r="F8785" s="20"/>
      <c r="G8785" s="19"/>
      <c r="H8785" s="19"/>
      <c r="I8785" s="19"/>
      <c r="J8785" s="21"/>
      <c r="K8785" s="19"/>
    </row>
    <row r="8786" spans="3:11" x14ac:dyDescent="0.2">
      <c r="C8786" s="19"/>
      <c r="D8786" s="19"/>
      <c r="E8786" s="19"/>
      <c r="F8786" s="20"/>
      <c r="G8786" s="19"/>
      <c r="H8786" s="19"/>
      <c r="I8786" s="19"/>
      <c r="J8786" s="21"/>
      <c r="K8786" s="19"/>
    </row>
    <row r="8787" spans="3:11" x14ac:dyDescent="0.2">
      <c r="C8787" s="19"/>
      <c r="D8787" s="19"/>
      <c r="E8787" s="19"/>
      <c r="F8787" s="20"/>
      <c r="G8787" s="19"/>
      <c r="H8787" s="19"/>
      <c r="I8787" s="19"/>
      <c r="J8787" s="21"/>
      <c r="K8787" s="19"/>
    </row>
    <row r="8788" spans="3:11" x14ac:dyDescent="0.2">
      <c r="C8788" s="19"/>
      <c r="D8788" s="19"/>
      <c r="E8788" s="19"/>
      <c r="F8788" s="20"/>
      <c r="G8788" s="19"/>
      <c r="H8788" s="19"/>
      <c r="I8788" s="19"/>
      <c r="J8788" s="21"/>
      <c r="K8788" s="19"/>
    </row>
    <row r="8789" spans="3:11" x14ac:dyDescent="0.2">
      <c r="C8789" s="19"/>
      <c r="D8789" s="19"/>
      <c r="E8789" s="19"/>
      <c r="F8789" s="20"/>
      <c r="G8789" s="19"/>
      <c r="H8789" s="19"/>
      <c r="I8789" s="19"/>
      <c r="J8789" s="19"/>
      <c r="K8789" s="19"/>
    </row>
    <row r="8790" spans="3:11" x14ac:dyDescent="0.2">
      <c r="C8790" s="19"/>
      <c r="D8790" s="19"/>
      <c r="E8790" s="19"/>
      <c r="F8790" s="20"/>
      <c r="G8790" s="19"/>
      <c r="H8790" s="19"/>
      <c r="I8790" s="19"/>
      <c r="J8790" s="19"/>
      <c r="K8790" s="19"/>
    </row>
    <row r="8791" spans="3:11" x14ac:dyDescent="0.2">
      <c r="C8791" s="19"/>
      <c r="D8791" s="19"/>
      <c r="E8791" s="19"/>
      <c r="F8791" s="20"/>
      <c r="G8791" s="19"/>
      <c r="H8791" s="19"/>
      <c r="I8791" s="19"/>
      <c r="J8791" s="21"/>
      <c r="K8791" s="19"/>
    </row>
    <row r="8792" spans="3:11" x14ac:dyDescent="0.2">
      <c r="C8792" s="19"/>
      <c r="D8792" s="19"/>
      <c r="E8792" s="19"/>
      <c r="F8792" s="20"/>
      <c r="G8792" s="19"/>
      <c r="H8792" s="19"/>
      <c r="I8792" s="19"/>
      <c r="J8792" s="21"/>
      <c r="K8792" s="19"/>
    </row>
    <row r="8793" spans="3:11" x14ac:dyDescent="0.2">
      <c r="C8793" s="19"/>
      <c r="D8793" s="19"/>
      <c r="E8793" s="19"/>
      <c r="F8793" s="20"/>
      <c r="G8793" s="19"/>
      <c r="H8793" s="19"/>
      <c r="I8793" s="19"/>
      <c r="J8793" s="19"/>
      <c r="K8793" s="19"/>
    </row>
    <row r="8794" spans="3:11" x14ac:dyDescent="0.2">
      <c r="C8794" s="19"/>
      <c r="D8794" s="19"/>
      <c r="E8794" s="19"/>
      <c r="F8794" s="20"/>
      <c r="G8794" s="19"/>
      <c r="H8794" s="19"/>
      <c r="I8794" s="19"/>
      <c r="J8794" s="19"/>
      <c r="K8794" s="19"/>
    </row>
    <row r="8795" spans="3:11" x14ac:dyDescent="0.2">
      <c r="C8795" s="19"/>
      <c r="D8795" s="19"/>
      <c r="E8795" s="19"/>
      <c r="F8795" s="20"/>
      <c r="G8795" s="19"/>
      <c r="H8795" s="19"/>
      <c r="I8795" s="19"/>
      <c r="J8795" s="21"/>
      <c r="K8795" s="19"/>
    </row>
    <row r="8796" spans="3:11" x14ac:dyDescent="0.2">
      <c r="C8796" s="19"/>
      <c r="D8796" s="19"/>
      <c r="E8796" s="19"/>
      <c r="F8796" s="20"/>
      <c r="G8796" s="19"/>
      <c r="H8796" s="19"/>
      <c r="I8796" s="19"/>
      <c r="J8796" s="21"/>
      <c r="K8796" s="19"/>
    </row>
    <row r="8797" spans="3:11" x14ac:dyDescent="0.2">
      <c r="C8797" s="19"/>
      <c r="D8797" s="19"/>
      <c r="E8797" s="19"/>
      <c r="F8797" s="20"/>
      <c r="G8797" s="19"/>
      <c r="H8797" s="19"/>
      <c r="I8797" s="19"/>
      <c r="J8797" s="21"/>
      <c r="K8797" s="19"/>
    </row>
    <row r="8798" spans="3:11" x14ac:dyDescent="0.2">
      <c r="C8798" s="19"/>
      <c r="D8798" s="19"/>
      <c r="E8798" s="19"/>
      <c r="F8798" s="20"/>
      <c r="G8798" s="19"/>
      <c r="H8798" s="19"/>
      <c r="I8798" s="19"/>
      <c r="J8798" s="19"/>
      <c r="K8798" s="19"/>
    </row>
    <row r="8799" spans="3:11" x14ac:dyDescent="0.2">
      <c r="C8799" s="19"/>
      <c r="D8799" s="19"/>
      <c r="E8799" s="19"/>
      <c r="F8799" s="20"/>
      <c r="G8799" s="19"/>
      <c r="H8799" s="19"/>
      <c r="I8799" s="19"/>
      <c r="J8799" s="21"/>
      <c r="K8799" s="19"/>
    </row>
    <row r="8800" spans="3:11" x14ac:dyDescent="0.2">
      <c r="C8800" s="19"/>
      <c r="D8800" s="19"/>
      <c r="E8800" s="19"/>
      <c r="F8800" s="20"/>
      <c r="G8800" s="19"/>
      <c r="H8800" s="19"/>
      <c r="I8800" s="19"/>
      <c r="J8800" s="21"/>
      <c r="K8800" s="19"/>
    </row>
    <row r="8801" spans="3:11" x14ac:dyDescent="0.2">
      <c r="C8801" s="19"/>
      <c r="D8801" s="19"/>
      <c r="E8801" s="19"/>
      <c r="F8801" s="20"/>
      <c r="G8801" s="19"/>
      <c r="H8801" s="19"/>
      <c r="I8801" s="19"/>
      <c r="J8801" s="21"/>
      <c r="K8801" s="19"/>
    </row>
    <row r="8802" spans="3:11" x14ac:dyDescent="0.2">
      <c r="C8802" s="19"/>
      <c r="D8802" s="19"/>
      <c r="E8802" s="19"/>
      <c r="F8802" s="20"/>
      <c r="G8802" s="19"/>
      <c r="H8802" s="19"/>
      <c r="I8802" s="19"/>
      <c r="J8802" s="21"/>
      <c r="K8802" s="19"/>
    </row>
    <row r="8803" spans="3:11" x14ac:dyDescent="0.2">
      <c r="C8803" s="19"/>
      <c r="D8803" s="19"/>
      <c r="E8803" s="19"/>
      <c r="F8803" s="20"/>
      <c r="G8803" s="19"/>
      <c r="H8803" s="19"/>
      <c r="I8803" s="19"/>
      <c r="J8803" s="21"/>
      <c r="K8803" s="19"/>
    </row>
    <row r="8804" spans="3:11" x14ac:dyDescent="0.2">
      <c r="C8804" s="19"/>
      <c r="D8804" s="19"/>
      <c r="E8804" s="19"/>
      <c r="F8804" s="20"/>
      <c r="G8804" s="19"/>
      <c r="H8804" s="19"/>
      <c r="I8804" s="19"/>
      <c r="J8804" s="21"/>
      <c r="K8804" s="19"/>
    </row>
    <row r="8805" spans="3:11" x14ac:dyDescent="0.2">
      <c r="C8805" s="19"/>
      <c r="D8805" s="19"/>
      <c r="E8805" s="19"/>
      <c r="F8805" s="20"/>
      <c r="G8805" s="19"/>
      <c r="H8805" s="19"/>
      <c r="I8805" s="19"/>
      <c r="J8805" s="21"/>
      <c r="K8805" s="19"/>
    </row>
    <row r="8806" spans="3:11" x14ac:dyDescent="0.2">
      <c r="C8806" s="19"/>
      <c r="D8806" s="19"/>
      <c r="E8806" s="19"/>
      <c r="F8806" s="20"/>
      <c r="G8806" s="19"/>
      <c r="H8806" s="19"/>
      <c r="I8806" s="19"/>
      <c r="J8806" s="21"/>
      <c r="K8806" s="19"/>
    </row>
    <row r="8807" spans="3:11" x14ac:dyDescent="0.2">
      <c r="C8807" s="19"/>
      <c r="D8807" s="19"/>
      <c r="E8807" s="19"/>
      <c r="F8807" s="20"/>
      <c r="G8807" s="19"/>
      <c r="H8807" s="19"/>
      <c r="I8807" s="19"/>
      <c r="J8807" s="21"/>
      <c r="K8807" s="19"/>
    </row>
    <row r="8808" spans="3:11" x14ac:dyDescent="0.2">
      <c r="C8808" s="19"/>
      <c r="D8808" s="19"/>
      <c r="E8808" s="19"/>
      <c r="F8808" s="20"/>
      <c r="G8808" s="19"/>
      <c r="H8808" s="19"/>
      <c r="I8808" s="19"/>
      <c r="J8808" s="19"/>
      <c r="K8808" s="19"/>
    </row>
    <row r="8809" spans="3:11" x14ac:dyDescent="0.2">
      <c r="C8809" s="19"/>
      <c r="D8809" s="19"/>
      <c r="E8809" s="19"/>
      <c r="F8809" s="20"/>
      <c r="G8809" s="19"/>
      <c r="H8809" s="19"/>
      <c r="I8809" s="19"/>
      <c r="J8809" s="19"/>
      <c r="K8809" s="19"/>
    </row>
    <row r="8810" spans="3:11" x14ac:dyDescent="0.2">
      <c r="C8810" s="19"/>
      <c r="D8810" s="19"/>
      <c r="E8810" s="19"/>
      <c r="F8810" s="20"/>
      <c r="G8810" s="19"/>
      <c r="H8810" s="19"/>
      <c r="I8810" s="19"/>
      <c r="J8810" s="21"/>
      <c r="K8810" s="19"/>
    </row>
    <row r="8811" spans="3:11" x14ac:dyDescent="0.2">
      <c r="C8811" s="19"/>
      <c r="D8811" s="19"/>
      <c r="E8811" s="19"/>
      <c r="F8811" s="20"/>
      <c r="G8811" s="19"/>
      <c r="H8811" s="19"/>
      <c r="I8811" s="19"/>
      <c r="J8811" s="21"/>
      <c r="K8811" s="19"/>
    </row>
    <row r="8812" spans="3:11" x14ac:dyDescent="0.2">
      <c r="C8812" s="19"/>
      <c r="D8812" s="19"/>
      <c r="E8812" s="19"/>
      <c r="F8812" s="20"/>
      <c r="G8812" s="19"/>
      <c r="H8812" s="19"/>
      <c r="I8812" s="19"/>
      <c r="J8812" s="21"/>
      <c r="K8812" s="19"/>
    </row>
    <row r="8813" spans="3:11" x14ac:dyDescent="0.2">
      <c r="C8813" s="19"/>
      <c r="D8813" s="19"/>
      <c r="E8813" s="19"/>
      <c r="F8813" s="20"/>
      <c r="G8813" s="19"/>
      <c r="H8813" s="19"/>
      <c r="I8813" s="19"/>
      <c r="J8813" s="19"/>
      <c r="K8813" s="19"/>
    </row>
    <row r="8814" spans="3:11" x14ac:dyDescent="0.2">
      <c r="C8814" s="19"/>
      <c r="D8814" s="19"/>
      <c r="E8814" s="19"/>
      <c r="F8814" s="20"/>
      <c r="G8814" s="19"/>
      <c r="H8814" s="19"/>
      <c r="I8814" s="19"/>
      <c r="J8814" s="21"/>
      <c r="K8814" s="19"/>
    </row>
    <row r="8815" spans="3:11" x14ac:dyDescent="0.2">
      <c r="C8815" s="19"/>
      <c r="D8815" s="19"/>
      <c r="E8815" s="19"/>
      <c r="F8815" s="20"/>
      <c r="G8815" s="19"/>
      <c r="H8815" s="19"/>
      <c r="I8815" s="19"/>
      <c r="J8815" s="21"/>
      <c r="K8815" s="19"/>
    </row>
    <row r="8816" spans="3:11" x14ac:dyDescent="0.2">
      <c r="C8816" s="19"/>
      <c r="D8816" s="19"/>
      <c r="E8816" s="19"/>
      <c r="F8816" s="20"/>
      <c r="G8816" s="19"/>
      <c r="H8816" s="19"/>
      <c r="I8816" s="19"/>
      <c r="J8816" s="21"/>
      <c r="K8816" s="19"/>
    </row>
    <row r="8817" spans="3:11" x14ac:dyDescent="0.2">
      <c r="C8817" s="19"/>
      <c r="D8817" s="19"/>
      <c r="E8817" s="19"/>
      <c r="F8817" s="20"/>
      <c r="G8817" s="19"/>
      <c r="H8817" s="19"/>
      <c r="I8817" s="19"/>
      <c r="J8817" s="21"/>
      <c r="K8817" s="19"/>
    </row>
    <row r="8818" spans="3:11" x14ac:dyDescent="0.2">
      <c r="C8818" s="19"/>
      <c r="D8818" s="19"/>
      <c r="E8818" s="19"/>
      <c r="F8818" s="20"/>
      <c r="G8818" s="19"/>
      <c r="H8818" s="19"/>
      <c r="I8818" s="19"/>
      <c r="J8818" s="19"/>
      <c r="K8818" s="19"/>
    </row>
    <row r="8819" spans="3:11" x14ac:dyDescent="0.2">
      <c r="C8819" s="19"/>
      <c r="D8819" s="19"/>
      <c r="E8819" s="19"/>
      <c r="F8819" s="20"/>
      <c r="G8819" s="19"/>
      <c r="H8819" s="19"/>
      <c r="I8819" s="19"/>
      <c r="J8819" s="21"/>
      <c r="K8819" s="19"/>
    </row>
    <row r="8820" spans="3:11" x14ac:dyDescent="0.2">
      <c r="C8820" s="19"/>
      <c r="D8820" s="19"/>
      <c r="E8820" s="19"/>
      <c r="F8820" s="20"/>
      <c r="G8820" s="19"/>
      <c r="H8820" s="19"/>
      <c r="I8820" s="19"/>
      <c r="J8820" s="19"/>
      <c r="K8820" s="19"/>
    </row>
    <row r="8821" spans="3:11" x14ac:dyDescent="0.2">
      <c r="C8821" s="19"/>
      <c r="D8821" s="19"/>
      <c r="E8821" s="19"/>
      <c r="F8821" s="20"/>
      <c r="G8821" s="19"/>
      <c r="H8821" s="19"/>
      <c r="I8821" s="19"/>
      <c r="J8821" s="21"/>
      <c r="K8821" s="19"/>
    </row>
    <row r="8822" spans="3:11" x14ac:dyDescent="0.2">
      <c r="C8822" s="19"/>
      <c r="D8822" s="19"/>
      <c r="E8822" s="19"/>
      <c r="F8822" s="20"/>
      <c r="G8822" s="19"/>
      <c r="H8822" s="19"/>
      <c r="I8822" s="19"/>
      <c r="J8822" s="21"/>
      <c r="K8822" s="19"/>
    </row>
    <row r="8823" spans="3:11" x14ac:dyDescent="0.2">
      <c r="C8823" s="19"/>
      <c r="D8823" s="19"/>
      <c r="E8823" s="19"/>
      <c r="F8823" s="20"/>
      <c r="G8823" s="19"/>
      <c r="H8823" s="19"/>
      <c r="I8823" s="19"/>
      <c r="J8823" s="21"/>
      <c r="K8823" s="19"/>
    </row>
    <row r="8824" spans="3:11" x14ac:dyDescent="0.2">
      <c r="C8824" s="19"/>
      <c r="D8824" s="19"/>
      <c r="E8824" s="19"/>
      <c r="F8824" s="20"/>
      <c r="G8824" s="19"/>
      <c r="H8824" s="19"/>
      <c r="I8824" s="19"/>
      <c r="J8824" s="21"/>
      <c r="K8824" s="19"/>
    </row>
    <row r="8825" spans="3:11" x14ac:dyDescent="0.2">
      <c r="C8825" s="19"/>
      <c r="D8825" s="19"/>
      <c r="E8825" s="19"/>
      <c r="F8825" s="20"/>
      <c r="G8825" s="19"/>
      <c r="H8825" s="19"/>
      <c r="I8825" s="19"/>
      <c r="J8825" s="21"/>
      <c r="K8825" s="19"/>
    </row>
    <row r="8826" spans="3:11" x14ac:dyDescent="0.2">
      <c r="C8826" s="19"/>
      <c r="D8826" s="19"/>
      <c r="E8826" s="19"/>
      <c r="F8826" s="20"/>
      <c r="G8826" s="19"/>
      <c r="H8826" s="19"/>
      <c r="I8826" s="19"/>
      <c r="J8826" s="21"/>
      <c r="K8826" s="19"/>
    </row>
    <row r="8827" spans="3:11" x14ac:dyDescent="0.2">
      <c r="C8827" s="19"/>
      <c r="D8827" s="19"/>
      <c r="E8827" s="19"/>
      <c r="F8827" s="20"/>
      <c r="G8827" s="19"/>
      <c r="H8827" s="19"/>
      <c r="I8827" s="19"/>
      <c r="J8827" s="21"/>
      <c r="K8827" s="19"/>
    </row>
    <row r="8828" spans="3:11" x14ac:dyDescent="0.2">
      <c r="C8828" s="19"/>
      <c r="D8828" s="19"/>
      <c r="E8828" s="19"/>
      <c r="F8828" s="20"/>
      <c r="G8828" s="19"/>
      <c r="H8828" s="19"/>
      <c r="I8828" s="19"/>
      <c r="J8828" s="21"/>
      <c r="K8828" s="19"/>
    </row>
    <row r="8829" spans="3:11" x14ac:dyDescent="0.2">
      <c r="C8829" s="19"/>
      <c r="D8829" s="19"/>
      <c r="E8829" s="19"/>
      <c r="F8829" s="20"/>
      <c r="G8829" s="19"/>
      <c r="H8829" s="19"/>
      <c r="I8829" s="19"/>
      <c r="J8829" s="21"/>
      <c r="K8829" s="19"/>
    </row>
    <row r="8830" spans="3:11" x14ac:dyDescent="0.2">
      <c r="C8830" s="19"/>
      <c r="D8830" s="19"/>
      <c r="E8830" s="19"/>
      <c r="F8830" s="20"/>
      <c r="G8830" s="19"/>
      <c r="H8830" s="19"/>
      <c r="I8830" s="19"/>
      <c r="J8830" s="19"/>
      <c r="K8830" s="19"/>
    </row>
    <row r="8831" spans="3:11" x14ac:dyDescent="0.2">
      <c r="C8831" s="19"/>
      <c r="D8831" s="19"/>
      <c r="E8831" s="19"/>
      <c r="F8831" s="20"/>
      <c r="G8831" s="19"/>
      <c r="H8831" s="19"/>
      <c r="I8831" s="19"/>
      <c r="J8831" s="21"/>
      <c r="K8831" s="19"/>
    </row>
    <row r="8832" spans="3:11" x14ac:dyDescent="0.2">
      <c r="C8832" s="19"/>
      <c r="D8832" s="19"/>
      <c r="E8832" s="19"/>
      <c r="F8832" s="20"/>
      <c r="G8832" s="19"/>
      <c r="H8832" s="19"/>
      <c r="I8832" s="19"/>
      <c r="J8832" s="21"/>
      <c r="K8832" s="19"/>
    </row>
    <row r="8833" spans="3:11" x14ac:dyDescent="0.2">
      <c r="C8833" s="19"/>
      <c r="D8833" s="19"/>
      <c r="E8833" s="19"/>
      <c r="F8833" s="20"/>
      <c r="G8833" s="19"/>
      <c r="H8833" s="19"/>
      <c r="I8833" s="19"/>
      <c r="J8833" s="19"/>
      <c r="K8833" s="19"/>
    </row>
    <row r="8834" spans="3:11" x14ac:dyDescent="0.2">
      <c r="C8834" s="19"/>
      <c r="D8834" s="19"/>
      <c r="E8834" s="19"/>
      <c r="F8834" s="20"/>
      <c r="G8834" s="19"/>
      <c r="H8834" s="19"/>
      <c r="I8834" s="19"/>
      <c r="J8834" s="21"/>
      <c r="K8834" s="19"/>
    </row>
    <row r="8835" spans="3:11" x14ac:dyDescent="0.2">
      <c r="C8835" s="19"/>
      <c r="D8835" s="19"/>
      <c r="E8835" s="19"/>
      <c r="F8835" s="20"/>
      <c r="G8835" s="19"/>
      <c r="H8835" s="19"/>
      <c r="I8835" s="19"/>
      <c r="J8835" s="21"/>
      <c r="K8835" s="19"/>
    </row>
    <row r="8836" spans="3:11" x14ac:dyDescent="0.2">
      <c r="C8836" s="19"/>
      <c r="D8836" s="19"/>
      <c r="E8836" s="19"/>
      <c r="F8836" s="20"/>
      <c r="G8836" s="19"/>
      <c r="H8836" s="19"/>
      <c r="I8836" s="19"/>
      <c r="J8836" s="21"/>
      <c r="K8836" s="19"/>
    </row>
    <row r="8837" spans="3:11" x14ac:dyDescent="0.2">
      <c r="C8837" s="19"/>
      <c r="D8837" s="19"/>
      <c r="E8837" s="19"/>
      <c r="F8837" s="20"/>
      <c r="G8837" s="19"/>
      <c r="H8837" s="19"/>
      <c r="I8837" s="19"/>
      <c r="J8837" s="21"/>
      <c r="K8837" s="19"/>
    </row>
    <row r="8838" spans="3:11" x14ac:dyDescent="0.2">
      <c r="C8838" s="19"/>
      <c r="D8838" s="19"/>
      <c r="E8838" s="19"/>
      <c r="F8838" s="20"/>
      <c r="G8838" s="19"/>
      <c r="H8838" s="19"/>
      <c r="I8838" s="19"/>
      <c r="J8838" s="21"/>
      <c r="K8838" s="19"/>
    </row>
    <row r="8839" spans="3:11" x14ac:dyDescent="0.2">
      <c r="C8839" s="19"/>
      <c r="D8839" s="19"/>
      <c r="E8839" s="19"/>
      <c r="F8839" s="20"/>
      <c r="G8839" s="19"/>
      <c r="H8839" s="19"/>
      <c r="I8839" s="19"/>
      <c r="J8839" s="21"/>
      <c r="K8839" s="19"/>
    </row>
    <row r="8840" spans="3:11" x14ac:dyDescent="0.2">
      <c r="C8840" s="19"/>
      <c r="D8840" s="19"/>
      <c r="E8840" s="19"/>
      <c r="F8840" s="20"/>
      <c r="G8840" s="19"/>
      <c r="H8840" s="19"/>
      <c r="I8840" s="19"/>
      <c r="J8840" s="19"/>
      <c r="K8840" s="19"/>
    </row>
    <row r="8841" spans="3:11" x14ac:dyDescent="0.2">
      <c r="C8841" s="19"/>
      <c r="D8841" s="19"/>
      <c r="E8841" s="19"/>
      <c r="F8841" s="20"/>
      <c r="G8841" s="19"/>
      <c r="H8841" s="19"/>
      <c r="I8841" s="19"/>
      <c r="J8841" s="19"/>
      <c r="K8841" s="19"/>
    </row>
    <row r="8842" spans="3:11" x14ac:dyDescent="0.2">
      <c r="C8842" s="19"/>
      <c r="D8842" s="19"/>
      <c r="E8842" s="19"/>
      <c r="F8842" s="20"/>
      <c r="G8842" s="19"/>
      <c r="H8842" s="19"/>
      <c r="I8842" s="19"/>
      <c r="J8842" s="21"/>
      <c r="K8842" s="19"/>
    </row>
    <row r="8843" spans="3:11" x14ac:dyDescent="0.2">
      <c r="C8843" s="19"/>
      <c r="D8843" s="19"/>
      <c r="E8843" s="19"/>
      <c r="F8843" s="20"/>
      <c r="G8843" s="19"/>
      <c r="H8843" s="19"/>
      <c r="I8843" s="19"/>
      <c r="J8843" s="21"/>
      <c r="K8843" s="19"/>
    </row>
    <row r="8844" spans="3:11" x14ac:dyDescent="0.2">
      <c r="C8844" s="19"/>
      <c r="D8844" s="19"/>
      <c r="E8844" s="19"/>
      <c r="F8844" s="20"/>
      <c r="G8844" s="19"/>
      <c r="H8844" s="19"/>
      <c r="I8844" s="19"/>
      <c r="J8844" s="21"/>
      <c r="K8844" s="19"/>
    </row>
    <row r="8845" spans="3:11" x14ac:dyDescent="0.2">
      <c r="C8845" s="19"/>
      <c r="D8845" s="19"/>
      <c r="E8845" s="19"/>
      <c r="F8845" s="20"/>
      <c r="G8845" s="19"/>
      <c r="H8845" s="19"/>
      <c r="I8845" s="19"/>
      <c r="J8845" s="21"/>
      <c r="K8845" s="19"/>
    </row>
    <row r="8846" spans="3:11" x14ac:dyDescent="0.2">
      <c r="C8846" s="19"/>
      <c r="D8846" s="19"/>
      <c r="E8846" s="19"/>
      <c r="F8846" s="20"/>
      <c r="G8846" s="19"/>
      <c r="H8846" s="19"/>
      <c r="I8846" s="19"/>
      <c r="J8846" s="21"/>
      <c r="K8846" s="19"/>
    </row>
    <row r="8847" spans="3:11" x14ac:dyDescent="0.2">
      <c r="C8847" s="19"/>
      <c r="D8847" s="19"/>
      <c r="E8847" s="19"/>
      <c r="F8847" s="20"/>
      <c r="G8847" s="19"/>
      <c r="H8847" s="19"/>
      <c r="I8847" s="19"/>
      <c r="J8847" s="21"/>
      <c r="K8847" s="19"/>
    </row>
    <row r="8848" spans="3:11" x14ac:dyDescent="0.2">
      <c r="C8848" s="19"/>
      <c r="D8848" s="19"/>
      <c r="E8848" s="19"/>
      <c r="F8848" s="20"/>
      <c r="G8848" s="19"/>
      <c r="H8848" s="19"/>
      <c r="I8848" s="19"/>
      <c r="J8848" s="21"/>
      <c r="K8848" s="19"/>
    </row>
    <row r="8849" spans="3:11" x14ac:dyDescent="0.2">
      <c r="C8849" s="19"/>
      <c r="D8849" s="19"/>
      <c r="E8849" s="19"/>
      <c r="F8849" s="20"/>
      <c r="G8849" s="19"/>
      <c r="H8849" s="19"/>
      <c r="I8849" s="19"/>
      <c r="J8849" s="19"/>
      <c r="K8849" s="19"/>
    </row>
    <row r="8850" spans="3:11" x14ac:dyDescent="0.2">
      <c r="C8850" s="19"/>
      <c r="D8850" s="19"/>
      <c r="E8850" s="19"/>
      <c r="F8850" s="20"/>
      <c r="G8850" s="19"/>
      <c r="H8850" s="19"/>
      <c r="I8850" s="19"/>
      <c r="J8850" s="21"/>
      <c r="K8850" s="19"/>
    </row>
    <row r="8851" spans="3:11" x14ac:dyDescent="0.2">
      <c r="C8851" s="19"/>
      <c r="D8851" s="19"/>
      <c r="E8851" s="19"/>
      <c r="F8851" s="20"/>
      <c r="G8851" s="19"/>
      <c r="H8851" s="19"/>
      <c r="I8851" s="19"/>
      <c r="J8851" s="19"/>
      <c r="K8851" s="19"/>
    </row>
    <row r="8852" spans="3:11" x14ac:dyDescent="0.2">
      <c r="C8852" s="19"/>
      <c r="D8852" s="19"/>
      <c r="E8852" s="19"/>
      <c r="F8852" s="20"/>
      <c r="G8852" s="19"/>
      <c r="H8852" s="19"/>
      <c r="I8852" s="19"/>
      <c r="J8852" s="21"/>
      <c r="K8852" s="19"/>
    </row>
    <row r="8853" spans="3:11" x14ac:dyDescent="0.2">
      <c r="C8853" s="19"/>
      <c r="D8853" s="19"/>
      <c r="E8853" s="19"/>
      <c r="F8853" s="20"/>
      <c r="G8853" s="19"/>
      <c r="H8853" s="19"/>
      <c r="I8853" s="19"/>
      <c r="J8853" s="21"/>
      <c r="K8853" s="19"/>
    </row>
    <row r="8854" spans="3:11" x14ac:dyDescent="0.2">
      <c r="C8854" s="19"/>
      <c r="D8854" s="19"/>
      <c r="E8854" s="19"/>
      <c r="F8854" s="20"/>
      <c r="G8854" s="19"/>
      <c r="H8854" s="19"/>
      <c r="I8854" s="19"/>
      <c r="J8854" s="21"/>
      <c r="K8854" s="19"/>
    </row>
    <row r="8855" spans="3:11" x14ac:dyDescent="0.2">
      <c r="C8855" s="19"/>
      <c r="D8855" s="19"/>
      <c r="E8855" s="19"/>
      <c r="F8855" s="20"/>
      <c r="G8855" s="19"/>
      <c r="H8855" s="19"/>
      <c r="I8855" s="19"/>
      <c r="J8855" s="21"/>
      <c r="K8855" s="19"/>
    </row>
    <row r="8856" spans="3:11" x14ac:dyDescent="0.2">
      <c r="C8856" s="19"/>
      <c r="D8856" s="19"/>
      <c r="E8856" s="19"/>
      <c r="F8856" s="20"/>
      <c r="G8856" s="19"/>
      <c r="H8856" s="19"/>
      <c r="I8856" s="19"/>
      <c r="J8856" s="21"/>
      <c r="K8856" s="19"/>
    </row>
    <row r="8857" spans="3:11" x14ac:dyDescent="0.2">
      <c r="C8857" s="19"/>
      <c r="D8857" s="19"/>
      <c r="E8857" s="19"/>
      <c r="F8857" s="20"/>
      <c r="G8857" s="19"/>
      <c r="H8857" s="19"/>
      <c r="I8857" s="19"/>
      <c r="J8857" s="21"/>
      <c r="K8857" s="19"/>
    </row>
    <row r="8858" spans="3:11" x14ac:dyDescent="0.2">
      <c r="C8858" s="19"/>
      <c r="D8858" s="19"/>
      <c r="E8858" s="19"/>
      <c r="F8858" s="20"/>
      <c r="G8858" s="19"/>
      <c r="H8858" s="19"/>
      <c r="I8858" s="19"/>
      <c r="J8858" s="21"/>
      <c r="K8858" s="19"/>
    </row>
    <row r="8859" spans="3:11" x14ac:dyDescent="0.2">
      <c r="C8859" s="19"/>
      <c r="D8859" s="19"/>
      <c r="E8859" s="19"/>
      <c r="F8859" s="20"/>
      <c r="G8859" s="19"/>
      <c r="H8859" s="19"/>
      <c r="I8859" s="19"/>
      <c r="J8859" s="21"/>
      <c r="K8859" s="19"/>
    </row>
    <row r="8860" spans="3:11" x14ac:dyDescent="0.2">
      <c r="C8860" s="19"/>
      <c r="D8860" s="19"/>
      <c r="E8860" s="19"/>
      <c r="F8860" s="20"/>
      <c r="G8860" s="19"/>
      <c r="H8860" s="19"/>
      <c r="I8860" s="19"/>
      <c r="J8860" s="21"/>
      <c r="K8860" s="19"/>
    </row>
    <row r="8861" spans="3:11" x14ac:dyDescent="0.2">
      <c r="C8861" s="19"/>
      <c r="D8861" s="19"/>
      <c r="E8861" s="19"/>
      <c r="F8861" s="20"/>
      <c r="G8861" s="19"/>
      <c r="H8861" s="19"/>
      <c r="I8861" s="19"/>
      <c r="J8861" s="21"/>
      <c r="K8861" s="19"/>
    </row>
    <row r="8862" spans="3:11" x14ac:dyDescent="0.2">
      <c r="C8862" s="19"/>
      <c r="D8862" s="19"/>
      <c r="E8862" s="19"/>
      <c r="F8862" s="20"/>
      <c r="G8862" s="19"/>
      <c r="H8862" s="19"/>
      <c r="I8862" s="19"/>
      <c r="J8862" s="21"/>
      <c r="K8862" s="19"/>
    </row>
    <row r="8863" spans="3:11" x14ac:dyDescent="0.2">
      <c r="C8863" s="19"/>
      <c r="D8863" s="19"/>
      <c r="E8863" s="19"/>
      <c r="F8863" s="20"/>
      <c r="G8863" s="19"/>
      <c r="H8863" s="19"/>
      <c r="I8863" s="19"/>
      <c r="J8863" s="21"/>
      <c r="K8863" s="19"/>
    </row>
    <row r="8864" spans="3:11" x14ac:dyDescent="0.2">
      <c r="C8864" s="19"/>
      <c r="D8864" s="19"/>
      <c r="E8864" s="19"/>
      <c r="F8864" s="20"/>
      <c r="G8864" s="19"/>
      <c r="H8864" s="19"/>
      <c r="I8864" s="19"/>
      <c r="J8864" s="21"/>
      <c r="K8864" s="19"/>
    </row>
    <row r="8865" spans="3:11" x14ac:dyDescent="0.2">
      <c r="C8865" s="19"/>
      <c r="D8865" s="19"/>
      <c r="E8865" s="19"/>
      <c r="F8865" s="20"/>
      <c r="G8865" s="19"/>
      <c r="H8865" s="19"/>
      <c r="I8865" s="19"/>
      <c r="J8865" s="19"/>
      <c r="K8865" s="19"/>
    </row>
    <row r="8866" spans="3:11" x14ac:dyDescent="0.2">
      <c r="C8866" s="19"/>
      <c r="D8866" s="19"/>
      <c r="E8866" s="19"/>
      <c r="F8866" s="20"/>
      <c r="G8866" s="19"/>
      <c r="H8866" s="19"/>
      <c r="I8866" s="19"/>
      <c r="J8866" s="21"/>
      <c r="K8866" s="19"/>
    </row>
    <row r="8867" spans="3:11" x14ac:dyDescent="0.2">
      <c r="C8867" s="19"/>
      <c r="D8867" s="19"/>
      <c r="E8867" s="19"/>
      <c r="F8867" s="20"/>
      <c r="G8867" s="19"/>
      <c r="H8867" s="19"/>
      <c r="I8867" s="19"/>
      <c r="J8867" s="21"/>
      <c r="K8867" s="19"/>
    </row>
    <row r="8868" spans="3:11" x14ac:dyDescent="0.2">
      <c r="C8868" s="19"/>
      <c r="D8868" s="19"/>
      <c r="E8868" s="19"/>
      <c r="F8868" s="20"/>
      <c r="G8868" s="19"/>
      <c r="H8868" s="19"/>
      <c r="I8868" s="19"/>
      <c r="J8868" s="21"/>
      <c r="K8868" s="19"/>
    </row>
    <row r="8869" spans="3:11" x14ac:dyDescent="0.2">
      <c r="C8869" s="19"/>
      <c r="D8869" s="19"/>
      <c r="E8869" s="19"/>
      <c r="F8869" s="20"/>
      <c r="G8869" s="19"/>
      <c r="H8869" s="19"/>
      <c r="I8869" s="19"/>
      <c r="J8869" s="21"/>
      <c r="K8869" s="19"/>
    </row>
    <row r="8870" spans="3:11" x14ac:dyDescent="0.2">
      <c r="C8870" s="19"/>
      <c r="D8870" s="19"/>
      <c r="E8870" s="19"/>
      <c r="F8870" s="20"/>
      <c r="G8870" s="19"/>
      <c r="H8870" s="19"/>
      <c r="I8870" s="19"/>
      <c r="J8870" s="21"/>
      <c r="K8870" s="19"/>
    </row>
    <row r="8871" spans="3:11" x14ac:dyDescent="0.2">
      <c r="C8871" s="19"/>
      <c r="D8871" s="19"/>
      <c r="E8871" s="19"/>
      <c r="F8871" s="20"/>
      <c r="G8871" s="19"/>
      <c r="H8871" s="19"/>
      <c r="I8871" s="19"/>
      <c r="J8871" s="21"/>
      <c r="K8871" s="19"/>
    </row>
    <row r="8872" spans="3:11" x14ac:dyDescent="0.2">
      <c r="C8872" s="19"/>
      <c r="D8872" s="19"/>
      <c r="E8872" s="19"/>
      <c r="F8872" s="20"/>
      <c r="G8872" s="19"/>
      <c r="H8872" s="19"/>
      <c r="I8872" s="19"/>
      <c r="J8872" s="21"/>
      <c r="K8872" s="19"/>
    </row>
    <row r="8873" spans="3:11" x14ac:dyDescent="0.2">
      <c r="C8873" s="19"/>
      <c r="D8873" s="19"/>
      <c r="E8873" s="19"/>
      <c r="F8873" s="20"/>
      <c r="G8873" s="19"/>
      <c r="H8873" s="19"/>
      <c r="I8873" s="19"/>
      <c r="J8873" s="21"/>
      <c r="K8873" s="19"/>
    </row>
    <row r="8874" spans="3:11" x14ac:dyDescent="0.2">
      <c r="C8874" s="19"/>
      <c r="D8874" s="19"/>
      <c r="E8874" s="19"/>
      <c r="F8874" s="20"/>
      <c r="G8874" s="19"/>
      <c r="H8874" s="19"/>
      <c r="I8874" s="19"/>
      <c r="J8874" s="21"/>
      <c r="K8874" s="19"/>
    </row>
    <row r="8875" spans="3:11" x14ac:dyDescent="0.2">
      <c r="C8875" s="19"/>
      <c r="D8875" s="19"/>
      <c r="E8875" s="19"/>
      <c r="F8875" s="20"/>
      <c r="G8875" s="19"/>
      <c r="H8875" s="19"/>
      <c r="I8875" s="19"/>
      <c r="J8875" s="21"/>
      <c r="K8875" s="19"/>
    </row>
    <row r="8876" spans="3:11" x14ac:dyDescent="0.2">
      <c r="C8876" s="19"/>
      <c r="D8876" s="19"/>
      <c r="E8876" s="19"/>
      <c r="F8876" s="20"/>
      <c r="G8876" s="19"/>
      <c r="H8876" s="19"/>
      <c r="I8876" s="19"/>
      <c r="J8876" s="21"/>
      <c r="K8876" s="19"/>
    </row>
    <row r="8877" spans="3:11" x14ac:dyDescent="0.2">
      <c r="C8877" s="19"/>
      <c r="D8877" s="19"/>
      <c r="E8877" s="19"/>
      <c r="F8877" s="20"/>
      <c r="G8877" s="19"/>
      <c r="H8877" s="19"/>
      <c r="I8877" s="19"/>
      <c r="J8877" s="21"/>
      <c r="K8877" s="19"/>
    </row>
    <row r="8878" spans="3:11" x14ac:dyDescent="0.2">
      <c r="C8878" s="19"/>
      <c r="D8878" s="19"/>
      <c r="E8878" s="19"/>
      <c r="F8878" s="20"/>
      <c r="G8878" s="19"/>
      <c r="H8878" s="19"/>
      <c r="I8878" s="19"/>
      <c r="J8878" s="21"/>
      <c r="K8878" s="19"/>
    </row>
    <row r="8879" spans="3:11" x14ac:dyDescent="0.2">
      <c r="C8879" s="19"/>
      <c r="D8879" s="19"/>
      <c r="E8879" s="19"/>
      <c r="F8879" s="20"/>
      <c r="G8879" s="19"/>
      <c r="H8879" s="19"/>
      <c r="I8879" s="19"/>
      <c r="J8879" s="21"/>
      <c r="K8879" s="19"/>
    </row>
    <row r="8880" spans="3:11" x14ac:dyDescent="0.2">
      <c r="C8880" s="19"/>
      <c r="D8880" s="19"/>
      <c r="E8880" s="19"/>
      <c r="F8880" s="20"/>
      <c r="G8880" s="19"/>
      <c r="H8880" s="19"/>
      <c r="I8880" s="19"/>
      <c r="J8880" s="21"/>
      <c r="K8880" s="19"/>
    </row>
    <row r="8881" spans="3:11" x14ac:dyDescent="0.2">
      <c r="C8881" s="19"/>
      <c r="D8881" s="19"/>
      <c r="E8881" s="19"/>
      <c r="F8881" s="20"/>
      <c r="G8881" s="19"/>
      <c r="H8881" s="19"/>
      <c r="I8881" s="19"/>
      <c r="J8881" s="21"/>
      <c r="K8881" s="19"/>
    </row>
    <row r="8882" spans="3:11" x14ac:dyDescent="0.2">
      <c r="C8882" s="19"/>
      <c r="D8882" s="19"/>
      <c r="E8882" s="19"/>
      <c r="F8882" s="20"/>
      <c r="G8882" s="19"/>
      <c r="H8882" s="19"/>
      <c r="I8882" s="19"/>
      <c r="J8882" s="19"/>
      <c r="K8882" s="19"/>
    </row>
    <row r="8883" spans="3:11" x14ac:dyDescent="0.2">
      <c r="C8883" s="19"/>
      <c r="D8883" s="19"/>
      <c r="E8883" s="19"/>
      <c r="F8883" s="20"/>
      <c r="G8883" s="19"/>
      <c r="H8883" s="19"/>
      <c r="I8883" s="19"/>
      <c r="J8883" s="21"/>
      <c r="K8883" s="19"/>
    </row>
    <row r="8884" spans="3:11" x14ac:dyDescent="0.2">
      <c r="C8884" s="19"/>
      <c r="D8884" s="19"/>
      <c r="E8884" s="19"/>
      <c r="F8884" s="20"/>
      <c r="G8884" s="19"/>
      <c r="H8884" s="19"/>
      <c r="I8884" s="19"/>
      <c r="J8884" s="21"/>
      <c r="K8884" s="19"/>
    </row>
    <row r="8885" spans="3:11" x14ac:dyDescent="0.2">
      <c r="C8885" s="19"/>
      <c r="D8885" s="19"/>
      <c r="E8885" s="19"/>
      <c r="F8885" s="20"/>
      <c r="G8885" s="19"/>
      <c r="H8885" s="19"/>
      <c r="I8885" s="19"/>
      <c r="J8885" s="21"/>
      <c r="K8885" s="19"/>
    </row>
    <row r="8886" spans="3:11" x14ac:dyDescent="0.2">
      <c r="C8886" s="19"/>
      <c r="D8886" s="19"/>
      <c r="E8886" s="19"/>
      <c r="F8886" s="20"/>
      <c r="G8886" s="19"/>
      <c r="H8886" s="19"/>
      <c r="I8886" s="19"/>
      <c r="J8886" s="21"/>
      <c r="K8886" s="19"/>
    </row>
    <row r="8887" spans="3:11" x14ac:dyDescent="0.2">
      <c r="C8887" s="19"/>
      <c r="D8887" s="19"/>
      <c r="E8887" s="19"/>
      <c r="F8887" s="20"/>
      <c r="G8887" s="19"/>
      <c r="H8887" s="19"/>
      <c r="I8887" s="19"/>
      <c r="J8887" s="21"/>
      <c r="K8887" s="19"/>
    </row>
    <row r="8888" spans="3:11" x14ac:dyDescent="0.2">
      <c r="C8888" s="19"/>
      <c r="D8888" s="19"/>
      <c r="E8888" s="19"/>
      <c r="F8888" s="20"/>
      <c r="G8888" s="19"/>
      <c r="H8888" s="19"/>
      <c r="I8888" s="19"/>
      <c r="J8888" s="21"/>
      <c r="K8888" s="19"/>
    </row>
    <row r="8889" spans="3:11" x14ac:dyDescent="0.2">
      <c r="C8889" s="19"/>
      <c r="D8889" s="19"/>
      <c r="E8889" s="19"/>
      <c r="F8889" s="20"/>
      <c r="G8889" s="19"/>
      <c r="H8889" s="19"/>
      <c r="I8889" s="19"/>
      <c r="J8889" s="21"/>
      <c r="K8889" s="19"/>
    </row>
    <row r="8890" spans="3:11" x14ac:dyDescent="0.2">
      <c r="C8890" s="19"/>
      <c r="D8890" s="19"/>
      <c r="E8890" s="19"/>
      <c r="F8890" s="20"/>
      <c r="G8890" s="19"/>
      <c r="H8890" s="19"/>
      <c r="I8890" s="19"/>
      <c r="J8890" s="21"/>
      <c r="K8890" s="19"/>
    </row>
    <row r="8891" spans="3:11" x14ac:dyDescent="0.2">
      <c r="C8891" s="19"/>
      <c r="D8891" s="19"/>
      <c r="E8891" s="19"/>
      <c r="F8891" s="20"/>
      <c r="G8891" s="19"/>
      <c r="H8891" s="19"/>
      <c r="I8891" s="19"/>
      <c r="J8891" s="21"/>
      <c r="K8891" s="19"/>
    </row>
    <row r="8892" spans="3:11" x14ac:dyDescent="0.2">
      <c r="C8892" s="19"/>
      <c r="D8892" s="19"/>
      <c r="E8892" s="19"/>
      <c r="F8892" s="20"/>
      <c r="G8892" s="19"/>
      <c r="H8892" s="19"/>
      <c r="I8892" s="19"/>
      <c r="J8892" s="21"/>
      <c r="K8892" s="19"/>
    </row>
    <row r="8893" spans="3:11" x14ac:dyDescent="0.2">
      <c r="C8893" s="19"/>
      <c r="D8893" s="19"/>
      <c r="E8893" s="19"/>
      <c r="F8893" s="20"/>
      <c r="G8893" s="19"/>
      <c r="H8893" s="19"/>
      <c r="I8893" s="19"/>
      <c r="J8893" s="21"/>
      <c r="K8893" s="19"/>
    </row>
    <row r="8894" spans="3:11" x14ac:dyDescent="0.2">
      <c r="C8894" s="19"/>
      <c r="D8894" s="19"/>
      <c r="E8894" s="19"/>
      <c r="F8894" s="20"/>
      <c r="G8894" s="19"/>
      <c r="H8894" s="19"/>
      <c r="I8894" s="19"/>
      <c r="J8894" s="21"/>
      <c r="K8894" s="19"/>
    </row>
    <row r="8895" spans="3:11" x14ac:dyDescent="0.2">
      <c r="C8895" s="19"/>
      <c r="D8895" s="19"/>
      <c r="E8895" s="19"/>
      <c r="F8895" s="20"/>
      <c r="G8895" s="19"/>
      <c r="H8895" s="19"/>
      <c r="I8895" s="19"/>
      <c r="J8895" s="21"/>
      <c r="K8895" s="19"/>
    </row>
    <row r="8896" spans="3:11" x14ac:dyDescent="0.2">
      <c r="C8896" s="19"/>
      <c r="D8896" s="19"/>
      <c r="E8896" s="19"/>
      <c r="F8896" s="20"/>
      <c r="G8896" s="19"/>
      <c r="H8896" s="19"/>
      <c r="I8896" s="19"/>
      <c r="J8896" s="21"/>
      <c r="K8896" s="19"/>
    </row>
    <row r="8897" spans="3:11" x14ac:dyDescent="0.2">
      <c r="C8897" s="19"/>
      <c r="D8897" s="19"/>
      <c r="E8897" s="19"/>
      <c r="F8897" s="20"/>
      <c r="G8897" s="19"/>
      <c r="H8897" s="19"/>
      <c r="I8897" s="19"/>
      <c r="J8897" s="21"/>
      <c r="K8897" s="19"/>
    </row>
    <row r="8898" spans="3:11" x14ac:dyDescent="0.2">
      <c r="C8898" s="19"/>
      <c r="D8898" s="19"/>
      <c r="E8898" s="19"/>
      <c r="F8898" s="20"/>
      <c r="G8898" s="19"/>
      <c r="H8898" s="19"/>
      <c r="I8898" s="19"/>
      <c r="J8898" s="21"/>
      <c r="K8898" s="19"/>
    </row>
    <row r="8899" spans="3:11" x14ac:dyDescent="0.2">
      <c r="C8899" s="19"/>
      <c r="D8899" s="19"/>
      <c r="E8899" s="19"/>
      <c r="F8899" s="20"/>
      <c r="G8899" s="19"/>
      <c r="H8899" s="19"/>
      <c r="I8899" s="19"/>
      <c r="J8899" s="21"/>
      <c r="K8899" s="19"/>
    </row>
    <row r="8900" spans="3:11" x14ac:dyDescent="0.2">
      <c r="C8900" s="19"/>
      <c r="D8900" s="19"/>
      <c r="E8900" s="19"/>
      <c r="F8900" s="20"/>
      <c r="G8900" s="19"/>
      <c r="H8900" s="19"/>
      <c r="I8900" s="19"/>
      <c r="J8900" s="19"/>
      <c r="K8900" s="19"/>
    </row>
    <row r="8901" spans="3:11" x14ac:dyDescent="0.2">
      <c r="C8901" s="19"/>
      <c r="D8901" s="19"/>
      <c r="E8901" s="19"/>
      <c r="F8901" s="20"/>
      <c r="G8901" s="19"/>
      <c r="H8901" s="19"/>
      <c r="I8901" s="19"/>
      <c r="J8901" s="19"/>
      <c r="K8901" s="19"/>
    </row>
    <row r="8902" spans="3:11" x14ac:dyDescent="0.2">
      <c r="C8902" s="19"/>
      <c r="D8902" s="19"/>
      <c r="E8902" s="19"/>
      <c r="F8902" s="20"/>
      <c r="G8902" s="19"/>
      <c r="H8902" s="19"/>
      <c r="I8902" s="19"/>
      <c r="J8902" s="19"/>
      <c r="K8902" s="19"/>
    </row>
    <row r="8903" spans="3:11" x14ac:dyDescent="0.2">
      <c r="C8903" s="19"/>
      <c r="D8903" s="19"/>
      <c r="E8903" s="19"/>
      <c r="F8903" s="20"/>
      <c r="G8903" s="19"/>
      <c r="H8903" s="19"/>
      <c r="I8903" s="19"/>
      <c r="J8903" s="21"/>
      <c r="K8903" s="19"/>
    </row>
    <row r="8904" spans="3:11" x14ac:dyDescent="0.2">
      <c r="C8904" s="19"/>
      <c r="D8904" s="19"/>
      <c r="E8904" s="19"/>
      <c r="F8904" s="20"/>
      <c r="G8904" s="19"/>
      <c r="H8904" s="19"/>
      <c r="I8904" s="19"/>
      <c r="J8904" s="19"/>
      <c r="K8904" s="19"/>
    </row>
    <row r="8905" spans="3:11" x14ac:dyDescent="0.2">
      <c r="C8905" s="19"/>
      <c r="D8905" s="19"/>
      <c r="E8905" s="19"/>
      <c r="F8905" s="20"/>
      <c r="G8905" s="19"/>
      <c r="H8905" s="19"/>
      <c r="I8905" s="19"/>
      <c r="J8905" s="19"/>
      <c r="K8905" s="19"/>
    </row>
    <row r="8906" spans="3:11" x14ac:dyDescent="0.2">
      <c r="C8906" s="19"/>
      <c r="D8906" s="19"/>
      <c r="E8906" s="19"/>
      <c r="F8906" s="20"/>
      <c r="G8906" s="19"/>
      <c r="H8906" s="19"/>
      <c r="I8906" s="19"/>
      <c r="J8906" s="21"/>
      <c r="K8906" s="19"/>
    </row>
    <row r="8907" spans="3:11" x14ac:dyDescent="0.2">
      <c r="C8907" s="19"/>
      <c r="D8907" s="19"/>
      <c r="E8907" s="19"/>
      <c r="F8907" s="20"/>
      <c r="G8907" s="19"/>
      <c r="H8907" s="19"/>
      <c r="I8907" s="19"/>
      <c r="J8907" s="19"/>
      <c r="K8907" s="19"/>
    </row>
    <row r="8908" spans="3:11" x14ac:dyDescent="0.2">
      <c r="C8908" s="19"/>
      <c r="D8908" s="19"/>
      <c r="E8908" s="19"/>
      <c r="F8908" s="20"/>
      <c r="G8908" s="19"/>
      <c r="H8908" s="19"/>
      <c r="I8908" s="19"/>
      <c r="J8908" s="21"/>
      <c r="K8908" s="19"/>
    </row>
    <row r="8909" spans="3:11" x14ac:dyDescent="0.2">
      <c r="C8909" s="19"/>
      <c r="D8909" s="19"/>
      <c r="E8909" s="19"/>
      <c r="F8909" s="20"/>
      <c r="G8909" s="19"/>
      <c r="H8909" s="19"/>
      <c r="I8909" s="19"/>
      <c r="J8909" s="21"/>
      <c r="K8909" s="19"/>
    </row>
    <row r="8910" spans="3:11" x14ac:dyDescent="0.2">
      <c r="C8910" s="19"/>
      <c r="D8910" s="19"/>
      <c r="E8910" s="19"/>
      <c r="F8910" s="20"/>
      <c r="G8910" s="19"/>
      <c r="H8910" s="19"/>
      <c r="I8910" s="19"/>
      <c r="J8910" s="21"/>
      <c r="K8910" s="19"/>
    </row>
    <row r="8911" spans="3:11" x14ac:dyDescent="0.2">
      <c r="C8911" s="19"/>
      <c r="D8911" s="19"/>
      <c r="E8911" s="19"/>
      <c r="F8911" s="20"/>
      <c r="G8911" s="19"/>
      <c r="H8911" s="19"/>
      <c r="I8911" s="19"/>
      <c r="J8911" s="21"/>
      <c r="K8911" s="19"/>
    </row>
    <row r="8912" spans="3:11" x14ac:dyDescent="0.2">
      <c r="C8912" s="19"/>
      <c r="D8912" s="19"/>
      <c r="E8912" s="19"/>
      <c r="F8912" s="20"/>
      <c r="G8912" s="19"/>
      <c r="H8912" s="19"/>
      <c r="I8912" s="19"/>
      <c r="J8912" s="21"/>
      <c r="K8912" s="19"/>
    </row>
    <row r="8913" spans="3:11" x14ac:dyDescent="0.2">
      <c r="C8913" s="19"/>
      <c r="D8913" s="19"/>
      <c r="E8913" s="19"/>
      <c r="F8913" s="20"/>
      <c r="G8913" s="19"/>
      <c r="H8913" s="19"/>
      <c r="I8913" s="19"/>
      <c r="J8913" s="21"/>
      <c r="K8913" s="19"/>
    </row>
    <row r="8914" spans="3:11" x14ac:dyDescent="0.2">
      <c r="C8914" s="19"/>
      <c r="D8914" s="19"/>
      <c r="E8914" s="19"/>
      <c r="F8914" s="20"/>
      <c r="G8914" s="19"/>
      <c r="H8914" s="19"/>
      <c r="I8914" s="19"/>
      <c r="J8914" s="21"/>
      <c r="K8914" s="19"/>
    </row>
    <row r="8915" spans="3:11" x14ac:dyDescent="0.2">
      <c r="C8915" s="19"/>
      <c r="D8915" s="19"/>
      <c r="E8915" s="19"/>
      <c r="F8915" s="20"/>
      <c r="G8915" s="19"/>
      <c r="H8915" s="19"/>
      <c r="I8915" s="19"/>
      <c r="J8915" s="21"/>
      <c r="K8915" s="19"/>
    </row>
    <row r="8916" spans="3:11" x14ac:dyDescent="0.2">
      <c r="C8916" s="19"/>
      <c r="D8916" s="19"/>
      <c r="E8916" s="19"/>
      <c r="F8916" s="20"/>
      <c r="G8916" s="19"/>
      <c r="H8916" s="19"/>
      <c r="I8916" s="19"/>
      <c r="J8916" s="21"/>
      <c r="K8916" s="19"/>
    </row>
    <row r="8917" spans="3:11" x14ac:dyDescent="0.2">
      <c r="C8917" s="19"/>
      <c r="D8917" s="19"/>
      <c r="E8917" s="19"/>
      <c r="F8917" s="20"/>
      <c r="G8917" s="19"/>
      <c r="H8917" s="19"/>
      <c r="I8917" s="19"/>
      <c r="J8917" s="21"/>
      <c r="K8917" s="19"/>
    </row>
    <row r="8918" spans="3:11" x14ac:dyDescent="0.2">
      <c r="C8918" s="19"/>
      <c r="D8918" s="19"/>
      <c r="E8918" s="19"/>
      <c r="F8918" s="20"/>
      <c r="G8918" s="19"/>
      <c r="H8918" s="19"/>
      <c r="I8918" s="19"/>
      <c r="J8918" s="21"/>
      <c r="K8918" s="19"/>
    </row>
    <row r="8919" spans="3:11" x14ac:dyDescent="0.2">
      <c r="C8919" s="19"/>
      <c r="D8919" s="19"/>
      <c r="E8919" s="19"/>
      <c r="F8919" s="20"/>
      <c r="G8919" s="19"/>
      <c r="H8919" s="19"/>
      <c r="I8919" s="19"/>
      <c r="J8919" s="21"/>
      <c r="K8919" s="19"/>
    </row>
    <row r="8920" spans="3:11" x14ac:dyDescent="0.2">
      <c r="C8920" s="19"/>
      <c r="D8920" s="19"/>
      <c r="E8920" s="19"/>
      <c r="F8920" s="20"/>
      <c r="G8920" s="19"/>
      <c r="H8920" s="19"/>
      <c r="I8920" s="19"/>
      <c r="J8920" s="21"/>
      <c r="K8920" s="19"/>
    </row>
    <row r="8921" spans="3:11" x14ac:dyDescent="0.2">
      <c r="C8921" s="19"/>
      <c r="D8921" s="19"/>
      <c r="E8921" s="19"/>
      <c r="F8921" s="20"/>
      <c r="G8921" s="19"/>
      <c r="H8921" s="19"/>
      <c r="I8921" s="19"/>
      <c r="J8921" s="21"/>
      <c r="K8921" s="19"/>
    </row>
    <row r="8922" spans="3:11" x14ac:dyDescent="0.2">
      <c r="C8922" s="19"/>
      <c r="D8922" s="19"/>
      <c r="E8922" s="19"/>
      <c r="F8922" s="20"/>
      <c r="G8922" s="19"/>
      <c r="H8922" s="19"/>
      <c r="I8922" s="19"/>
      <c r="J8922" s="21"/>
      <c r="K8922" s="19"/>
    </row>
    <row r="8923" spans="3:11" x14ac:dyDescent="0.2">
      <c r="C8923" s="19"/>
      <c r="D8923" s="19"/>
      <c r="E8923" s="19"/>
      <c r="F8923" s="20"/>
      <c r="G8923" s="19"/>
      <c r="H8923" s="19"/>
      <c r="I8923" s="19"/>
      <c r="J8923" s="19"/>
      <c r="K8923" s="19"/>
    </row>
    <row r="8924" spans="3:11" x14ac:dyDescent="0.2">
      <c r="C8924" s="19"/>
      <c r="D8924" s="19"/>
      <c r="E8924" s="19"/>
      <c r="F8924" s="20"/>
      <c r="G8924" s="19"/>
      <c r="H8924" s="19"/>
      <c r="I8924" s="19"/>
      <c r="J8924" s="21"/>
      <c r="K8924" s="19"/>
    </row>
    <row r="8925" spans="3:11" x14ac:dyDescent="0.2">
      <c r="C8925" s="19"/>
      <c r="D8925" s="19"/>
      <c r="E8925" s="19"/>
      <c r="F8925" s="20"/>
      <c r="G8925" s="19"/>
      <c r="H8925" s="19"/>
      <c r="I8925" s="19"/>
      <c r="J8925" s="21"/>
      <c r="K8925" s="19"/>
    </row>
    <row r="8926" spans="3:11" x14ac:dyDescent="0.2">
      <c r="C8926" s="19"/>
      <c r="D8926" s="19"/>
      <c r="E8926" s="19"/>
      <c r="F8926" s="20"/>
      <c r="G8926" s="19"/>
      <c r="H8926" s="19"/>
      <c r="I8926" s="19"/>
      <c r="J8926" s="21"/>
      <c r="K8926" s="19"/>
    </row>
    <row r="8927" spans="3:11" x14ac:dyDescent="0.2">
      <c r="C8927" s="19"/>
      <c r="D8927" s="19"/>
      <c r="E8927" s="19"/>
      <c r="F8927" s="20"/>
      <c r="G8927" s="19"/>
      <c r="H8927" s="19"/>
      <c r="I8927" s="19"/>
      <c r="J8927" s="21"/>
      <c r="K8927" s="19"/>
    </row>
    <row r="8928" spans="3:11" x14ac:dyDescent="0.2">
      <c r="C8928" s="19"/>
      <c r="D8928" s="19"/>
      <c r="E8928" s="19"/>
      <c r="F8928" s="20"/>
      <c r="G8928" s="19"/>
      <c r="H8928" s="19"/>
      <c r="I8928" s="19"/>
      <c r="J8928" s="21"/>
      <c r="K8928" s="19"/>
    </row>
    <row r="8929" spans="3:11" x14ac:dyDescent="0.2">
      <c r="C8929" s="19"/>
      <c r="D8929" s="19"/>
      <c r="E8929" s="19"/>
      <c r="F8929" s="20"/>
      <c r="G8929" s="19"/>
      <c r="H8929" s="19"/>
      <c r="I8929" s="19"/>
      <c r="J8929" s="21"/>
      <c r="K8929" s="19"/>
    </row>
    <row r="8930" spans="3:11" x14ac:dyDescent="0.2">
      <c r="C8930" s="19"/>
      <c r="D8930" s="19"/>
      <c r="E8930" s="19"/>
      <c r="F8930" s="20"/>
      <c r="G8930" s="19"/>
      <c r="H8930" s="19"/>
      <c r="I8930" s="19"/>
      <c r="J8930" s="21"/>
      <c r="K8930" s="19"/>
    </row>
    <row r="8931" spans="3:11" x14ac:dyDescent="0.2">
      <c r="C8931" s="19"/>
      <c r="D8931" s="19"/>
      <c r="E8931" s="19"/>
      <c r="F8931" s="20"/>
      <c r="G8931" s="19"/>
      <c r="H8931" s="19"/>
      <c r="I8931" s="19"/>
      <c r="J8931" s="21"/>
      <c r="K8931" s="19"/>
    </row>
    <row r="8932" spans="3:11" x14ac:dyDescent="0.2">
      <c r="C8932" s="19"/>
      <c r="D8932" s="19"/>
      <c r="E8932" s="19"/>
      <c r="F8932" s="20"/>
      <c r="G8932" s="19"/>
      <c r="H8932" s="19"/>
      <c r="I8932" s="19"/>
      <c r="J8932" s="21"/>
      <c r="K8932" s="19"/>
    </row>
    <row r="8933" spans="3:11" x14ac:dyDescent="0.2">
      <c r="C8933" s="19"/>
      <c r="D8933" s="19"/>
      <c r="E8933" s="19"/>
      <c r="F8933" s="20"/>
      <c r="G8933" s="19"/>
      <c r="H8933" s="19"/>
      <c r="I8933" s="19"/>
      <c r="J8933" s="21"/>
      <c r="K8933" s="19"/>
    </row>
    <row r="8934" spans="3:11" x14ac:dyDescent="0.2">
      <c r="C8934" s="19"/>
      <c r="D8934" s="19"/>
      <c r="E8934" s="19"/>
      <c r="F8934" s="20"/>
      <c r="G8934" s="19"/>
      <c r="H8934" s="19"/>
      <c r="I8934" s="19"/>
      <c r="J8934" s="21"/>
      <c r="K8934" s="19"/>
    </row>
    <row r="8935" spans="3:11" x14ac:dyDescent="0.2">
      <c r="C8935" s="19"/>
      <c r="D8935" s="19"/>
      <c r="E8935" s="19"/>
      <c r="F8935" s="20"/>
      <c r="G8935" s="19"/>
      <c r="H8935" s="19"/>
      <c r="I8935" s="19"/>
      <c r="J8935" s="21"/>
      <c r="K8935" s="19"/>
    </row>
    <row r="8936" spans="3:11" x14ac:dyDescent="0.2">
      <c r="C8936" s="19"/>
      <c r="D8936" s="19"/>
      <c r="E8936" s="19"/>
      <c r="F8936" s="20"/>
      <c r="G8936" s="19"/>
      <c r="H8936" s="19"/>
      <c r="I8936" s="19"/>
      <c r="J8936" s="21"/>
      <c r="K8936" s="19"/>
    </row>
    <row r="8937" spans="3:11" x14ac:dyDescent="0.2">
      <c r="C8937" s="19"/>
      <c r="D8937" s="19"/>
      <c r="E8937" s="19"/>
      <c r="F8937" s="20"/>
      <c r="G8937" s="19"/>
      <c r="H8937" s="19"/>
      <c r="I8937" s="19"/>
      <c r="J8937" s="21"/>
      <c r="K8937" s="19"/>
    </row>
    <row r="8938" spans="3:11" x14ac:dyDescent="0.2">
      <c r="C8938" s="19"/>
      <c r="D8938" s="19"/>
      <c r="E8938" s="19"/>
      <c r="F8938" s="20"/>
      <c r="G8938" s="19"/>
      <c r="H8938" s="19"/>
      <c r="I8938" s="19"/>
      <c r="J8938" s="21"/>
      <c r="K8938" s="19"/>
    </row>
    <row r="8939" spans="3:11" x14ac:dyDescent="0.2">
      <c r="C8939" s="19"/>
      <c r="D8939" s="19"/>
      <c r="E8939" s="19"/>
      <c r="F8939" s="20"/>
      <c r="G8939" s="19"/>
      <c r="H8939" s="19"/>
      <c r="I8939" s="19"/>
      <c r="J8939" s="21"/>
      <c r="K8939" s="19"/>
    </row>
    <row r="8940" spans="3:11" x14ac:dyDescent="0.2">
      <c r="C8940" s="19"/>
      <c r="D8940" s="19"/>
      <c r="E8940" s="19"/>
      <c r="F8940" s="20"/>
      <c r="G8940" s="19"/>
      <c r="H8940" s="19"/>
      <c r="I8940" s="19"/>
      <c r="J8940" s="19"/>
      <c r="K8940" s="19"/>
    </row>
    <row r="8941" spans="3:11" x14ac:dyDescent="0.2">
      <c r="C8941" s="19"/>
      <c r="D8941" s="19"/>
      <c r="E8941" s="19"/>
      <c r="F8941" s="20"/>
      <c r="G8941" s="19"/>
      <c r="H8941" s="19"/>
      <c r="I8941" s="19"/>
      <c r="J8941" s="19"/>
      <c r="K8941" s="19"/>
    </row>
    <row r="8942" spans="3:11" x14ac:dyDescent="0.2">
      <c r="C8942" s="19"/>
      <c r="D8942" s="19"/>
      <c r="E8942" s="19"/>
      <c r="F8942" s="20"/>
      <c r="G8942" s="19"/>
      <c r="H8942" s="19"/>
      <c r="I8942" s="19"/>
      <c r="J8942" s="21"/>
      <c r="K8942" s="19"/>
    </row>
    <row r="8943" spans="3:11" x14ac:dyDescent="0.2">
      <c r="C8943" s="19"/>
      <c r="D8943" s="19"/>
      <c r="E8943" s="19"/>
      <c r="F8943" s="20"/>
      <c r="G8943" s="19"/>
      <c r="H8943" s="19"/>
      <c r="I8943" s="19"/>
      <c r="J8943" s="21"/>
      <c r="K8943" s="19"/>
    </row>
    <row r="8944" spans="3:11" x14ac:dyDescent="0.2">
      <c r="C8944" s="19"/>
      <c r="D8944" s="19"/>
      <c r="E8944" s="19"/>
      <c r="F8944" s="20"/>
      <c r="G8944" s="19"/>
      <c r="H8944" s="19"/>
      <c r="I8944" s="19"/>
      <c r="J8944" s="21"/>
      <c r="K8944" s="19"/>
    </row>
    <row r="8945" spans="3:11" x14ac:dyDescent="0.2">
      <c r="C8945" s="19"/>
      <c r="D8945" s="19"/>
      <c r="E8945" s="19"/>
      <c r="F8945" s="20"/>
      <c r="G8945" s="19"/>
      <c r="H8945" s="19"/>
      <c r="I8945" s="19"/>
      <c r="J8945" s="21"/>
      <c r="K8945" s="19"/>
    </row>
    <row r="8946" spans="3:11" x14ac:dyDescent="0.2">
      <c r="C8946" s="19"/>
      <c r="D8946" s="19"/>
      <c r="E8946" s="19"/>
      <c r="F8946" s="20"/>
      <c r="G8946" s="19"/>
      <c r="H8946" s="19"/>
      <c r="I8946" s="19"/>
      <c r="J8946" s="21"/>
      <c r="K8946" s="19"/>
    </row>
    <row r="8947" spans="3:11" x14ac:dyDescent="0.2">
      <c r="C8947" s="19"/>
      <c r="D8947" s="19"/>
      <c r="E8947" s="19"/>
      <c r="F8947" s="20"/>
      <c r="G8947" s="19"/>
      <c r="H8947" s="19"/>
      <c r="I8947" s="19"/>
      <c r="J8947" s="21"/>
      <c r="K8947" s="19"/>
    </row>
    <row r="8948" spans="3:11" x14ac:dyDescent="0.2">
      <c r="C8948" s="19"/>
      <c r="D8948" s="19"/>
      <c r="E8948" s="19"/>
      <c r="F8948" s="20"/>
      <c r="G8948" s="19"/>
      <c r="H8948" s="19"/>
      <c r="I8948" s="19"/>
      <c r="J8948" s="21"/>
      <c r="K8948" s="19"/>
    </row>
    <row r="8949" spans="3:11" x14ac:dyDescent="0.2">
      <c r="C8949" s="19"/>
      <c r="D8949" s="19"/>
      <c r="E8949" s="19"/>
      <c r="F8949" s="20"/>
      <c r="G8949" s="19"/>
      <c r="H8949" s="19"/>
      <c r="I8949" s="19"/>
      <c r="J8949" s="21"/>
      <c r="K8949" s="19"/>
    </row>
    <row r="8950" spans="3:11" x14ac:dyDescent="0.2">
      <c r="C8950" s="19"/>
      <c r="D8950" s="19"/>
      <c r="E8950" s="19"/>
      <c r="F8950" s="20"/>
      <c r="G8950" s="19"/>
      <c r="H8950" s="19"/>
      <c r="I8950" s="19"/>
      <c r="J8950" s="21"/>
      <c r="K8950" s="19"/>
    </row>
    <row r="8951" spans="3:11" x14ac:dyDescent="0.2">
      <c r="C8951" s="19"/>
      <c r="D8951" s="19"/>
      <c r="E8951" s="19"/>
      <c r="F8951" s="20"/>
      <c r="G8951" s="19"/>
      <c r="H8951" s="19"/>
      <c r="I8951" s="19"/>
      <c r="J8951" s="21"/>
      <c r="K8951" s="19"/>
    </row>
    <row r="8952" spans="3:11" x14ac:dyDescent="0.2">
      <c r="C8952" s="19"/>
      <c r="D8952" s="19"/>
      <c r="E8952" s="19"/>
      <c r="F8952" s="20"/>
      <c r="G8952" s="19"/>
      <c r="H8952" s="19"/>
      <c r="I8952" s="19"/>
      <c r="J8952" s="21"/>
      <c r="K8952" s="19"/>
    </row>
    <row r="8953" spans="3:11" x14ac:dyDescent="0.2">
      <c r="C8953" s="19"/>
      <c r="D8953" s="19"/>
      <c r="E8953" s="19"/>
      <c r="F8953" s="20"/>
      <c r="G8953" s="19"/>
      <c r="H8953" s="19"/>
      <c r="I8953" s="19"/>
      <c r="J8953" s="21"/>
      <c r="K8953" s="19"/>
    </row>
    <row r="8954" spans="3:11" x14ac:dyDescent="0.2">
      <c r="C8954" s="19"/>
      <c r="D8954" s="19"/>
      <c r="E8954" s="19"/>
      <c r="F8954" s="20"/>
      <c r="G8954" s="19"/>
      <c r="H8954" s="19"/>
      <c r="I8954" s="19"/>
      <c r="J8954" s="21"/>
      <c r="K8954" s="19"/>
    </row>
    <row r="8955" spans="3:11" x14ac:dyDescent="0.2">
      <c r="C8955" s="19"/>
      <c r="D8955" s="19"/>
      <c r="E8955" s="19"/>
      <c r="F8955" s="20"/>
      <c r="G8955" s="19"/>
      <c r="H8955" s="19"/>
      <c r="I8955" s="19"/>
      <c r="J8955" s="21"/>
      <c r="K8955" s="19"/>
    </row>
    <row r="8956" spans="3:11" x14ac:dyDescent="0.2">
      <c r="C8956" s="19"/>
      <c r="D8956" s="19"/>
      <c r="E8956" s="19"/>
      <c r="F8956" s="20"/>
      <c r="G8956" s="19"/>
      <c r="H8956" s="19"/>
      <c r="I8956" s="19"/>
      <c r="J8956" s="21"/>
      <c r="K8956" s="19"/>
    </row>
    <row r="8957" spans="3:11" x14ac:dyDescent="0.2">
      <c r="C8957" s="19"/>
      <c r="D8957" s="19"/>
      <c r="E8957" s="19"/>
      <c r="F8957" s="20"/>
      <c r="G8957" s="19"/>
      <c r="H8957" s="19"/>
      <c r="I8957" s="19"/>
      <c r="J8957" s="21"/>
      <c r="K8957" s="19"/>
    </row>
    <row r="8958" spans="3:11" x14ac:dyDescent="0.2">
      <c r="C8958" s="19"/>
      <c r="D8958" s="19"/>
      <c r="E8958" s="19"/>
      <c r="F8958" s="20"/>
      <c r="G8958" s="19"/>
      <c r="H8958" s="19"/>
      <c r="I8958" s="19"/>
      <c r="J8958" s="21"/>
      <c r="K8958" s="19"/>
    </row>
    <row r="8959" spans="3:11" x14ac:dyDescent="0.2">
      <c r="C8959" s="19"/>
      <c r="D8959" s="19"/>
      <c r="E8959" s="19"/>
      <c r="F8959" s="20"/>
      <c r="G8959" s="19"/>
      <c r="H8959" s="19"/>
      <c r="I8959" s="19"/>
      <c r="J8959" s="21"/>
      <c r="K8959" s="19"/>
    </row>
    <row r="8960" spans="3:11" x14ac:dyDescent="0.2">
      <c r="C8960" s="19"/>
      <c r="D8960" s="19"/>
      <c r="E8960" s="19"/>
      <c r="F8960" s="20"/>
      <c r="G8960" s="19"/>
      <c r="H8960" s="19"/>
      <c r="I8960" s="19"/>
      <c r="J8960" s="21"/>
      <c r="K8960" s="19"/>
    </row>
    <row r="8961" spans="3:11" x14ac:dyDescent="0.2">
      <c r="C8961" s="19"/>
      <c r="D8961" s="19"/>
      <c r="E8961" s="19"/>
      <c r="F8961" s="20"/>
      <c r="G8961" s="19"/>
      <c r="H8961" s="19"/>
      <c r="I8961" s="19"/>
      <c r="J8961" s="21"/>
      <c r="K8961" s="19"/>
    </row>
    <row r="8962" spans="3:11" x14ac:dyDescent="0.2">
      <c r="C8962" s="19"/>
      <c r="D8962" s="19"/>
      <c r="E8962" s="19"/>
      <c r="F8962" s="20"/>
      <c r="G8962" s="19"/>
      <c r="H8962" s="19"/>
      <c r="I8962" s="19"/>
      <c r="J8962" s="21"/>
      <c r="K8962" s="19"/>
    </row>
    <row r="8963" spans="3:11" x14ac:dyDescent="0.2">
      <c r="C8963" s="19"/>
      <c r="D8963" s="19"/>
      <c r="E8963" s="19"/>
      <c r="F8963" s="20"/>
      <c r="G8963" s="19"/>
      <c r="H8963" s="19"/>
      <c r="I8963" s="19"/>
      <c r="J8963" s="21"/>
      <c r="K8963" s="19"/>
    </row>
    <row r="8964" spans="3:11" x14ac:dyDescent="0.2">
      <c r="C8964" s="19"/>
      <c r="D8964" s="19"/>
      <c r="E8964" s="19"/>
      <c r="F8964" s="20"/>
      <c r="G8964" s="19"/>
      <c r="H8964" s="19"/>
      <c r="I8964" s="19"/>
      <c r="J8964" s="21"/>
      <c r="K8964" s="19"/>
    </row>
    <row r="8965" spans="3:11" x14ac:dyDescent="0.2">
      <c r="C8965" s="19"/>
      <c r="D8965" s="19"/>
      <c r="E8965" s="19"/>
      <c r="F8965" s="20"/>
      <c r="G8965" s="19"/>
      <c r="H8965" s="19"/>
      <c r="I8965" s="19"/>
      <c r="J8965" s="21"/>
      <c r="K8965" s="19"/>
    </row>
    <row r="8966" spans="3:11" x14ac:dyDescent="0.2">
      <c r="C8966" s="19"/>
      <c r="D8966" s="19"/>
      <c r="E8966" s="19"/>
      <c r="F8966" s="20"/>
      <c r="G8966" s="19"/>
      <c r="H8966" s="19"/>
      <c r="I8966" s="19"/>
      <c r="J8966" s="19"/>
      <c r="K8966" s="19"/>
    </row>
    <row r="8967" spans="3:11" x14ac:dyDescent="0.2">
      <c r="C8967" s="19"/>
      <c r="D8967" s="19"/>
      <c r="E8967" s="19"/>
      <c r="F8967" s="20"/>
      <c r="G8967" s="19"/>
      <c r="H8967" s="19"/>
      <c r="I8967" s="19"/>
      <c r="J8967" s="21"/>
      <c r="K8967" s="19"/>
    </row>
    <row r="8968" spans="3:11" x14ac:dyDescent="0.2">
      <c r="C8968" s="19"/>
      <c r="D8968" s="19"/>
      <c r="E8968" s="19"/>
      <c r="F8968" s="20"/>
      <c r="G8968" s="19"/>
      <c r="H8968" s="19"/>
      <c r="I8968" s="19"/>
      <c r="J8968" s="21"/>
      <c r="K8968" s="19"/>
    </row>
    <row r="8969" spans="3:11" x14ac:dyDescent="0.2">
      <c r="C8969" s="19"/>
      <c r="D8969" s="19"/>
      <c r="E8969" s="19"/>
      <c r="F8969" s="20"/>
      <c r="G8969" s="19"/>
      <c r="H8969" s="19"/>
      <c r="I8969" s="19"/>
      <c r="J8969" s="21"/>
      <c r="K8969" s="19"/>
    </row>
    <row r="8970" spans="3:11" x14ac:dyDescent="0.2">
      <c r="C8970" s="19"/>
      <c r="D8970" s="19"/>
      <c r="E8970" s="19"/>
      <c r="F8970" s="20"/>
      <c r="G8970" s="19"/>
      <c r="H8970" s="19"/>
      <c r="I8970" s="19"/>
      <c r="J8970" s="21"/>
      <c r="K8970" s="19"/>
    </row>
    <row r="8971" spans="3:11" x14ac:dyDescent="0.2">
      <c r="C8971" s="19"/>
      <c r="D8971" s="19"/>
      <c r="E8971" s="19"/>
      <c r="F8971" s="20"/>
      <c r="G8971" s="19"/>
      <c r="H8971" s="19"/>
      <c r="I8971" s="19"/>
      <c r="J8971" s="21"/>
      <c r="K8971" s="19"/>
    </row>
    <row r="8972" spans="3:11" x14ac:dyDescent="0.2">
      <c r="C8972" s="19"/>
      <c r="D8972" s="19"/>
      <c r="E8972" s="19"/>
      <c r="F8972" s="20"/>
      <c r="G8972" s="19"/>
      <c r="H8972" s="19"/>
      <c r="I8972" s="19"/>
      <c r="J8972" s="21"/>
      <c r="K8972" s="19"/>
    </row>
    <row r="8973" spans="3:11" x14ac:dyDescent="0.2">
      <c r="C8973" s="19"/>
      <c r="D8973" s="19"/>
      <c r="E8973" s="19"/>
      <c r="F8973" s="20"/>
      <c r="G8973" s="19"/>
      <c r="H8973" s="19"/>
      <c r="I8973" s="19"/>
      <c r="J8973" s="21"/>
      <c r="K8973" s="19"/>
    </row>
    <row r="8974" spans="3:11" x14ac:dyDescent="0.2">
      <c r="C8974" s="19"/>
      <c r="D8974" s="19"/>
      <c r="E8974" s="19"/>
      <c r="F8974" s="20"/>
      <c r="G8974" s="19"/>
      <c r="H8974" s="19"/>
      <c r="I8974" s="19"/>
      <c r="J8974" s="21"/>
      <c r="K8974" s="19"/>
    </row>
    <row r="8975" spans="3:11" x14ac:dyDescent="0.2">
      <c r="C8975" s="19"/>
      <c r="D8975" s="19"/>
      <c r="E8975" s="19"/>
      <c r="F8975" s="20"/>
      <c r="G8975" s="19"/>
      <c r="H8975" s="19"/>
      <c r="I8975" s="19"/>
      <c r="J8975" s="21"/>
      <c r="K8975" s="19"/>
    </row>
    <row r="8976" spans="3:11" x14ac:dyDescent="0.2">
      <c r="C8976" s="19"/>
      <c r="D8976" s="19"/>
      <c r="E8976" s="19"/>
      <c r="F8976" s="20"/>
      <c r="G8976" s="19"/>
      <c r="H8976" s="19"/>
      <c r="I8976" s="19"/>
      <c r="J8976" s="21"/>
      <c r="K8976" s="19"/>
    </row>
    <row r="8977" spans="3:11" x14ac:dyDescent="0.2">
      <c r="C8977" s="19"/>
      <c r="D8977" s="19"/>
      <c r="E8977" s="19"/>
      <c r="F8977" s="20"/>
      <c r="G8977" s="19"/>
      <c r="H8977" s="19"/>
      <c r="I8977" s="19"/>
      <c r="J8977" s="21"/>
      <c r="K8977" s="19"/>
    </row>
    <row r="8978" spans="3:11" x14ac:dyDescent="0.2">
      <c r="C8978" s="19"/>
      <c r="D8978" s="19"/>
      <c r="E8978" s="19"/>
      <c r="F8978" s="20"/>
      <c r="G8978" s="19"/>
      <c r="H8978" s="19"/>
      <c r="I8978" s="19"/>
      <c r="J8978" s="21"/>
      <c r="K8978" s="19"/>
    </row>
    <row r="8979" spans="3:11" x14ac:dyDescent="0.2">
      <c r="C8979" s="19"/>
      <c r="D8979" s="19"/>
      <c r="E8979" s="19"/>
      <c r="F8979" s="20"/>
      <c r="G8979" s="19"/>
      <c r="H8979" s="19"/>
      <c r="I8979" s="19"/>
      <c r="J8979" s="21"/>
      <c r="K8979" s="19"/>
    </row>
    <row r="8980" spans="3:11" x14ac:dyDescent="0.2">
      <c r="C8980" s="19"/>
      <c r="D8980" s="19"/>
      <c r="E8980" s="19"/>
      <c r="F8980" s="20"/>
      <c r="G8980" s="19"/>
      <c r="H8980" s="19"/>
      <c r="I8980" s="19"/>
      <c r="J8980" s="21"/>
      <c r="K8980" s="19"/>
    </row>
    <row r="8981" spans="3:11" x14ac:dyDescent="0.2">
      <c r="C8981" s="19"/>
      <c r="D8981" s="19"/>
      <c r="E8981" s="19"/>
      <c r="F8981" s="20"/>
      <c r="G8981" s="19"/>
      <c r="H8981" s="19"/>
      <c r="I8981" s="19"/>
      <c r="J8981" s="21"/>
      <c r="K8981" s="19"/>
    </row>
    <row r="8982" spans="3:11" x14ac:dyDescent="0.2">
      <c r="C8982" s="19"/>
      <c r="D8982" s="19"/>
      <c r="E8982" s="19"/>
      <c r="F8982" s="20"/>
      <c r="G8982" s="19"/>
      <c r="H8982" s="19"/>
      <c r="I8982" s="19"/>
      <c r="J8982" s="21"/>
      <c r="K8982" s="19"/>
    </row>
    <row r="8983" spans="3:11" x14ac:dyDescent="0.2">
      <c r="C8983" s="19"/>
      <c r="D8983" s="19"/>
      <c r="E8983" s="19"/>
      <c r="F8983" s="20"/>
      <c r="G8983" s="19"/>
      <c r="H8983" s="19"/>
      <c r="I8983" s="19"/>
      <c r="J8983" s="21"/>
      <c r="K8983" s="19"/>
    </row>
    <row r="8984" spans="3:11" x14ac:dyDescent="0.2">
      <c r="C8984" s="19"/>
      <c r="D8984" s="19"/>
      <c r="E8984" s="19"/>
      <c r="F8984" s="20"/>
      <c r="G8984" s="19"/>
      <c r="H8984" s="19"/>
      <c r="I8984" s="19"/>
      <c r="J8984" s="21"/>
      <c r="K8984" s="19"/>
    </row>
    <row r="8985" spans="3:11" x14ac:dyDescent="0.2">
      <c r="C8985" s="19"/>
      <c r="D8985" s="19"/>
      <c r="E8985" s="19"/>
      <c r="F8985" s="20"/>
      <c r="G8985" s="19"/>
      <c r="H8985" s="19"/>
      <c r="I8985" s="19"/>
      <c r="J8985" s="21"/>
      <c r="K8985" s="19"/>
    </row>
    <row r="8986" spans="3:11" x14ac:dyDescent="0.2">
      <c r="C8986" s="19"/>
      <c r="D8986" s="19"/>
      <c r="E8986" s="19"/>
      <c r="F8986" s="20"/>
      <c r="G8986" s="19"/>
      <c r="H8986" s="19"/>
      <c r="I8986" s="19"/>
      <c r="J8986" s="21"/>
      <c r="K8986" s="19"/>
    </row>
    <row r="8987" spans="3:11" x14ac:dyDescent="0.2">
      <c r="C8987" s="19"/>
      <c r="D8987" s="19"/>
      <c r="E8987" s="19"/>
      <c r="F8987" s="20"/>
      <c r="G8987" s="19"/>
      <c r="H8987" s="19"/>
      <c r="I8987" s="19"/>
      <c r="J8987" s="21"/>
      <c r="K8987" s="19"/>
    </row>
    <row r="8988" spans="3:11" x14ac:dyDescent="0.2">
      <c r="C8988" s="19"/>
      <c r="D8988" s="19"/>
      <c r="E8988" s="19"/>
      <c r="F8988" s="20"/>
      <c r="G8988" s="19"/>
      <c r="H8988" s="19"/>
      <c r="I8988" s="19"/>
      <c r="J8988" s="21"/>
      <c r="K8988" s="19"/>
    </row>
    <row r="8989" spans="3:11" x14ac:dyDescent="0.2">
      <c r="C8989" s="19"/>
      <c r="D8989" s="19"/>
      <c r="E8989" s="19"/>
      <c r="F8989" s="20"/>
      <c r="G8989" s="19"/>
      <c r="H8989" s="19"/>
      <c r="I8989" s="19"/>
      <c r="J8989" s="21"/>
      <c r="K8989" s="19"/>
    </row>
    <row r="8990" spans="3:11" x14ac:dyDescent="0.2">
      <c r="C8990" s="19"/>
      <c r="D8990" s="19"/>
      <c r="E8990" s="19"/>
      <c r="F8990" s="20"/>
      <c r="G8990" s="19"/>
      <c r="H8990" s="19"/>
      <c r="I8990" s="19"/>
      <c r="J8990" s="21"/>
      <c r="K8990" s="19"/>
    </row>
    <row r="8991" spans="3:11" x14ac:dyDescent="0.2">
      <c r="C8991" s="19"/>
      <c r="D8991" s="19"/>
      <c r="E8991" s="19"/>
      <c r="F8991" s="20"/>
      <c r="G8991" s="19"/>
      <c r="H8991" s="19"/>
      <c r="I8991" s="19"/>
      <c r="J8991" s="21"/>
      <c r="K8991" s="19"/>
    </row>
    <row r="8992" spans="3:11" x14ac:dyDescent="0.2">
      <c r="C8992" s="19"/>
      <c r="D8992" s="19"/>
      <c r="E8992" s="19"/>
      <c r="F8992" s="20"/>
      <c r="G8992" s="19"/>
      <c r="H8992" s="19"/>
      <c r="I8992" s="19"/>
      <c r="J8992" s="19"/>
      <c r="K8992" s="19"/>
    </row>
    <row r="8993" spans="3:11" x14ac:dyDescent="0.2">
      <c r="C8993" s="19"/>
      <c r="D8993" s="19"/>
      <c r="E8993" s="19"/>
      <c r="F8993" s="20"/>
      <c r="G8993" s="19"/>
      <c r="H8993" s="19"/>
      <c r="I8993" s="19"/>
      <c r="J8993" s="21"/>
      <c r="K8993" s="19"/>
    </row>
    <row r="8994" spans="3:11" x14ac:dyDescent="0.2">
      <c r="C8994" s="19"/>
      <c r="D8994" s="19"/>
      <c r="E8994" s="19"/>
      <c r="F8994" s="20"/>
      <c r="G8994" s="19"/>
      <c r="H8994" s="19"/>
      <c r="I8994" s="19"/>
      <c r="J8994" s="21"/>
      <c r="K8994" s="19"/>
    </row>
    <row r="8995" spans="3:11" x14ac:dyDescent="0.2">
      <c r="C8995" s="19"/>
      <c r="D8995" s="19"/>
      <c r="E8995" s="19"/>
      <c r="F8995" s="20"/>
      <c r="G8995" s="19"/>
      <c r="H8995" s="19"/>
      <c r="I8995" s="19"/>
      <c r="J8995" s="21"/>
      <c r="K8995" s="19"/>
    </row>
    <row r="8996" spans="3:11" x14ac:dyDescent="0.2">
      <c r="C8996" s="19"/>
      <c r="D8996" s="19"/>
      <c r="E8996" s="19"/>
      <c r="F8996" s="20"/>
      <c r="G8996" s="19"/>
      <c r="H8996" s="19"/>
      <c r="I8996" s="19"/>
      <c r="J8996" s="21"/>
      <c r="K8996" s="19"/>
    </row>
    <row r="8997" spans="3:11" x14ac:dyDescent="0.2">
      <c r="C8997" s="19"/>
      <c r="D8997" s="19"/>
      <c r="E8997" s="19"/>
      <c r="F8997" s="20"/>
      <c r="G8997" s="19"/>
      <c r="H8997" s="19"/>
      <c r="I8997" s="19"/>
      <c r="J8997" s="19"/>
      <c r="K8997" s="19"/>
    </row>
    <row r="8998" spans="3:11" x14ac:dyDescent="0.2">
      <c r="C8998" s="19"/>
      <c r="D8998" s="19"/>
      <c r="E8998" s="19"/>
      <c r="F8998" s="20"/>
      <c r="G8998" s="19"/>
      <c r="H8998" s="19"/>
      <c r="I8998" s="19"/>
      <c r="J8998" s="19"/>
      <c r="K8998" s="19"/>
    </row>
    <row r="8999" spans="3:11" x14ac:dyDescent="0.2">
      <c r="C8999" s="19"/>
      <c r="D8999" s="19"/>
      <c r="E8999" s="19"/>
      <c r="F8999" s="20"/>
      <c r="G8999" s="19"/>
      <c r="H8999" s="19"/>
      <c r="I8999" s="19"/>
      <c r="J8999" s="21"/>
      <c r="K8999" s="19"/>
    </row>
    <row r="9000" spans="3:11" x14ac:dyDescent="0.2">
      <c r="C9000" s="19"/>
      <c r="D9000" s="19"/>
      <c r="E9000" s="19"/>
      <c r="F9000" s="20"/>
      <c r="G9000" s="19"/>
      <c r="H9000" s="19"/>
      <c r="I9000" s="19"/>
      <c r="J9000" s="21"/>
      <c r="K9000" s="19"/>
    </row>
    <row r="9001" spans="3:11" x14ac:dyDescent="0.2">
      <c r="C9001" s="19"/>
      <c r="D9001" s="19"/>
      <c r="E9001" s="19"/>
      <c r="F9001" s="20"/>
      <c r="G9001" s="19"/>
      <c r="H9001" s="19"/>
      <c r="I9001" s="19"/>
      <c r="J9001" s="21"/>
      <c r="K9001" s="19"/>
    </row>
    <row r="9002" spans="3:11" x14ac:dyDescent="0.2">
      <c r="C9002" s="19"/>
      <c r="D9002" s="19"/>
      <c r="E9002" s="19"/>
      <c r="F9002" s="20"/>
      <c r="G9002" s="19"/>
      <c r="H9002" s="19"/>
      <c r="I9002" s="19"/>
      <c r="J9002" s="21"/>
      <c r="K9002" s="19"/>
    </row>
    <row r="9003" spans="3:11" x14ac:dyDescent="0.2">
      <c r="C9003" s="19"/>
      <c r="D9003" s="19"/>
      <c r="E9003" s="19"/>
      <c r="F9003" s="20"/>
      <c r="G9003" s="19"/>
      <c r="H9003" s="19"/>
      <c r="I9003" s="19"/>
      <c r="J9003" s="21"/>
      <c r="K9003" s="19"/>
    </row>
    <row r="9004" spans="3:11" x14ac:dyDescent="0.2">
      <c r="C9004" s="19"/>
      <c r="D9004" s="19"/>
      <c r="E9004" s="19"/>
      <c r="F9004" s="20"/>
      <c r="G9004" s="19"/>
      <c r="H9004" s="19"/>
      <c r="I9004" s="19"/>
      <c r="J9004" s="21"/>
      <c r="K9004" s="19"/>
    </row>
    <row r="9005" spans="3:11" x14ac:dyDescent="0.2">
      <c r="C9005" s="19"/>
      <c r="D9005" s="19"/>
      <c r="E9005" s="19"/>
      <c r="F9005" s="20"/>
      <c r="G9005" s="19"/>
      <c r="H9005" s="19"/>
      <c r="I9005" s="19"/>
      <c r="J9005" s="21"/>
      <c r="K9005" s="19"/>
    </row>
    <row r="9006" spans="3:11" x14ac:dyDescent="0.2">
      <c r="C9006" s="19"/>
      <c r="D9006" s="19"/>
      <c r="E9006" s="19"/>
      <c r="F9006" s="20"/>
      <c r="G9006" s="19"/>
      <c r="H9006" s="19"/>
      <c r="I9006" s="19"/>
      <c r="J9006" s="21"/>
      <c r="K9006" s="19"/>
    </row>
    <row r="9007" spans="3:11" x14ac:dyDescent="0.2">
      <c r="C9007" s="19"/>
      <c r="D9007" s="19"/>
      <c r="E9007" s="19"/>
      <c r="F9007" s="20"/>
      <c r="G9007" s="19"/>
      <c r="H9007" s="19"/>
      <c r="I9007" s="19"/>
      <c r="J9007" s="21"/>
      <c r="K9007" s="19"/>
    </row>
    <row r="9008" spans="3:11" x14ac:dyDescent="0.2">
      <c r="C9008" s="19"/>
      <c r="D9008" s="19"/>
      <c r="E9008" s="19"/>
      <c r="F9008" s="20"/>
      <c r="G9008" s="19"/>
      <c r="H9008" s="19"/>
      <c r="I9008" s="19"/>
      <c r="J9008" s="21"/>
      <c r="K9008" s="19"/>
    </row>
    <row r="9009" spans="3:11" x14ac:dyDescent="0.2">
      <c r="C9009" s="19"/>
      <c r="D9009" s="19"/>
      <c r="E9009" s="19"/>
      <c r="F9009" s="20"/>
      <c r="G9009" s="19"/>
      <c r="H9009" s="19"/>
      <c r="I9009" s="19"/>
      <c r="J9009" s="19"/>
      <c r="K9009" s="19"/>
    </row>
    <row r="9010" spans="3:11" x14ac:dyDescent="0.2">
      <c r="C9010" s="19"/>
      <c r="D9010" s="19"/>
      <c r="E9010" s="19"/>
      <c r="F9010" s="20"/>
      <c r="G9010" s="19"/>
      <c r="H9010" s="19"/>
      <c r="I9010" s="19"/>
      <c r="J9010" s="21"/>
      <c r="K9010" s="19"/>
    </row>
    <row r="9011" spans="3:11" x14ac:dyDescent="0.2">
      <c r="C9011" s="19"/>
      <c r="D9011" s="19"/>
      <c r="E9011" s="19"/>
      <c r="F9011" s="20"/>
      <c r="G9011" s="19"/>
      <c r="H9011" s="19"/>
      <c r="I9011" s="19"/>
      <c r="J9011" s="21"/>
      <c r="K9011" s="19"/>
    </row>
    <row r="9012" spans="3:11" x14ac:dyDescent="0.2">
      <c r="C9012" s="19"/>
      <c r="D9012" s="19"/>
      <c r="E9012" s="19"/>
      <c r="F9012" s="20"/>
      <c r="G9012" s="19"/>
      <c r="H9012" s="19"/>
      <c r="I9012" s="19"/>
      <c r="J9012" s="21"/>
      <c r="K9012" s="19"/>
    </row>
    <row r="9013" spans="3:11" x14ac:dyDescent="0.2">
      <c r="C9013" s="19"/>
      <c r="D9013" s="19"/>
      <c r="E9013" s="19"/>
      <c r="F9013" s="20"/>
      <c r="G9013" s="19"/>
      <c r="H9013" s="19"/>
      <c r="I9013" s="19"/>
      <c r="J9013" s="21"/>
      <c r="K9013" s="19"/>
    </row>
    <row r="9014" spans="3:11" x14ac:dyDescent="0.2">
      <c r="C9014" s="19"/>
      <c r="D9014" s="19"/>
      <c r="E9014" s="19"/>
      <c r="F9014" s="20"/>
      <c r="G9014" s="19"/>
      <c r="H9014" s="19"/>
      <c r="I9014" s="19"/>
      <c r="J9014" s="21"/>
      <c r="K9014" s="19"/>
    </row>
    <row r="9015" spans="3:11" x14ac:dyDescent="0.2">
      <c r="C9015" s="19"/>
      <c r="D9015" s="19"/>
      <c r="E9015" s="19"/>
      <c r="F9015" s="20"/>
      <c r="G9015" s="19"/>
      <c r="H9015" s="19"/>
      <c r="I9015" s="19"/>
      <c r="J9015" s="21"/>
      <c r="K9015" s="19"/>
    </row>
    <row r="9016" spans="3:11" x14ac:dyDescent="0.2">
      <c r="C9016" s="19"/>
      <c r="D9016" s="19"/>
      <c r="E9016" s="19"/>
      <c r="F9016" s="20"/>
      <c r="G9016" s="19"/>
      <c r="H9016" s="19"/>
      <c r="I9016" s="19"/>
      <c r="J9016" s="21"/>
      <c r="K9016" s="19"/>
    </row>
    <row r="9017" spans="3:11" x14ac:dyDescent="0.2">
      <c r="C9017" s="19"/>
      <c r="D9017" s="19"/>
      <c r="E9017" s="19"/>
      <c r="F9017" s="20"/>
      <c r="G9017" s="19"/>
      <c r="H9017" s="19"/>
      <c r="I9017" s="19"/>
      <c r="J9017" s="21"/>
      <c r="K9017" s="19"/>
    </row>
    <row r="9018" spans="3:11" x14ac:dyDescent="0.2">
      <c r="C9018" s="19"/>
      <c r="D9018" s="19"/>
      <c r="E9018" s="19"/>
      <c r="F9018" s="20"/>
      <c r="G9018" s="19"/>
      <c r="H9018" s="19"/>
      <c r="I9018" s="19"/>
      <c r="J9018" s="21"/>
      <c r="K9018" s="19"/>
    </row>
    <row r="9019" spans="3:11" x14ac:dyDescent="0.2">
      <c r="C9019" s="19"/>
      <c r="D9019" s="19"/>
      <c r="E9019" s="19"/>
      <c r="F9019" s="20"/>
      <c r="G9019" s="19"/>
      <c r="H9019" s="19"/>
      <c r="I9019" s="19"/>
      <c r="J9019" s="21"/>
      <c r="K9019" s="19"/>
    </row>
    <row r="9020" spans="3:11" x14ac:dyDescent="0.2">
      <c r="C9020" s="19"/>
      <c r="D9020" s="19"/>
      <c r="E9020" s="19"/>
      <c r="F9020" s="20"/>
      <c r="G9020" s="19"/>
      <c r="H9020" s="19"/>
      <c r="I9020" s="19"/>
      <c r="J9020" s="21"/>
      <c r="K9020" s="19"/>
    </row>
    <row r="9021" spans="3:11" x14ac:dyDescent="0.2">
      <c r="C9021" s="19"/>
      <c r="D9021" s="19"/>
      <c r="E9021" s="19"/>
      <c r="F9021" s="20"/>
      <c r="G9021" s="19"/>
      <c r="H9021" s="19"/>
      <c r="I9021" s="19"/>
      <c r="J9021" s="21"/>
      <c r="K9021" s="19"/>
    </row>
    <row r="9022" spans="3:11" x14ac:dyDescent="0.2">
      <c r="C9022" s="19"/>
      <c r="D9022" s="19"/>
      <c r="E9022" s="19"/>
      <c r="F9022" s="20"/>
      <c r="G9022" s="19"/>
      <c r="H9022" s="19"/>
      <c r="I9022" s="19"/>
      <c r="J9022" s="21"/>
      <c r="K9022" s="19"/>
    </row>
    <row r="9023" spans="3:11" x14ac:dyDescent="0.2">
      <c r="C9023" s="19"/>
      <c r="D9023" s="19"/>
      <c r="E9023" s="19"/>
      <c r="F9023" s="20"/>
      <c r="G9023" s="19"/>
      <c r="H9023" s="19"/>
      <c r="I9023" s="19"/>
      <c r="J9023" s="21"/>
      <c r="K9023" s="19"/>
    </row>
    <row r="9024" spans="3:11" x14ac:dyDescent="0.2">
      <c r="C9024" s="19"/>
      <c r="D9024" s="19"/>
      <c r="E9024" s="19"/>
      <c r="F9024" s="20"/>
      <c r="G9024" s="19"/>
      <c r="H9024" s="19"/>
      <c r="I9024" s="19"/>
      <c r="J9024" s="21"/>
      <c r="K9024" s="19"/>
    </row>
    <row r="9025" spans="3:11" x14ac:dyDescent="0.2">
      <c r="C9025" s="19"/>
      <c r="D9025" s="19"/>
      <c r="E9025" s="19"/>
      <c r="F9025" s="20"/>
      <c r="G9025" s="19"/>
      <c r="H9025" s="19"/>
      <c r="I9025" s="19"/>
      <c r="J9025" s="21"/>
      <c r="K9025" s="19"/>
    </row>
    <row r="9026" spans="3:11" x14ac:dyDescent="0.2">
      <c r="C9026" s="19"/>
      <c r="D9026" s="19"/>
      <c r="E9026" s="19"/>
      <c r="F9026" s="20"/>
      <c r="G9026" s="19"/>
      <c r="H9026" s="19"/>
      <c r="I9026" s="19"/>
      <c r="J9026" s="21"/>
      <c r="K9026" s="19"/>
    </row>
    <row r="9027" spans="3:11" x14ac:dyDescent="0.2">
      <c r="C9027" s="19"/>
      <c r="D9027" s="19"/>
      <c r="E9027" s="19"/>
      <c r="F9027" s="20"/>
      <c r="G9027" s="19"/>
      <c r="H9027" s="19"/>
      <c r="I9027" s="19"/>
      <c r="J9027" s="21"/>
      <c r="K9027" s="19"/>
    </row>
    <row r="9028" spans="3:11" x14ac:dyDescent="0.2">
      <c r="C9028" s="19"/>
      <c r="D9028" s="19"/>
      <c r="E9028" s="19"/>
      <c r="F9028" s="20"/>
      <c r="G9028" s="19"/>
      <c r="H9028" s="19"/>
      <c r="I9028" s="19"/>
      <c r="J9028" s="21"/>
      <c r="K9028" s="19"/>
    </row>
    <row r="9029" spans="3:11" x14ac:dyDescent="0.2">
      <c r="C9029" s="19"/>
      <c r="D9029" s="19"/>
      <c r="E9029" s="19"/>
      <c r="F9029" s="20"/>
      <c r="G9029" s="19"/>
      <c r="H9029" s="19"/>
      <c r="I9029" s="19"/>
      <c r="J9029" s="21"/>
      <c r="K9029" s="19"/>
    </row>
    <row r="9030" spans="3:11" x14ac:dyDescent="0.2">
      <c r="C9030" s="19"/>
      <c r="D9030" s="19"/>
      <c r="E9030" s="19"/>
      <c r="F9030" s="20"/>
      <c r="G9030" s="19"/>
      <c r="H9030" s="19"/>
      <c r="I9030" s="19"/>
      <c r="J9030" s="21"/>
      <c r="K9030" s="19"/>
    </row>
    <row r="9031" spans="3:11" x14ac:dyDescent="0.2">
      <c r="C9031" s="19"/>
      <c r="D9031" s="19"/>
      <c r="E9031" s="19"/>
      <c r="F9031" s="20"/>
      <c r="G9031" s="19"/>
      <c r="H9031" s="19"/>
      <c r="I9031" s="19"/>
      <c r="J9031" s="21"/>
      <c r="K9031" s="19"/>
    </row>
    <row r="9032" spans="3:11" x14ac:dyDescent="0.2">
      <c r="C9032" s="19"/>
      <c r="D9032" s="19"/>
      <c r="E9032" s="19"/>
      <c r="F9032" s="20"/>
      <c r="G9032" s="19"/>
      <c r="H9032" s="19"/>
      <c r="I9032" s="19"/>
      <c r="J9032" s="21"/>
      <c r="K9032" s="19"/>
    </row>
    <row r="9033" spans="3:11" x14ac:dyDescent="0.2">
      <c r="C9033" s="19"/>
      <c r="D9033" s="19"/>
      <c r="E9033" s="19"/>
      <c r="F9033" s="20"/>
      <c r="G9033" s="19"/>
      <c r="H9033" s="19"/>
      <c r="I9033" s="19"/>
      <c r="J9033" s="21"/>
      <c r="K9033" s="19"/>
    </row>
    <row r="9034" spans="3:11" x14ac:dyDescent="0.2">
      <c r="C9034" s="19"/>
      <c r="D9034" s="19"/>
      <c r="E9034" s="19"/>
      <c r="F9034" s="20"/>
      <c r="G9034" s="19"/>
      <c r="H9034" s="19"/>
      <c r="I9034" s="19"/>
      <c r="J9034" s="21"/>
      <c r="K9034" s="19"/>
    </row>
    <row r="9035" spans="3:11" x14ac:dyDescent="0.2">
      <c r="C9035" s="19"/>
      <c r="D9035" s="19"/>
      <c r="E9035" s="19"/>
      <c r="F9035" s="20"/>
      <c r="G9035" s="19"/>
      <c r="H9035" s="19"/>
      <c r="I9035" s="19"/>
      <c r="J9035" s="21"/>
      <c r="K9035" s="19"/>
    </row>
    <row r="9036" spans="3:11" x14ac:dyDescent="0.2">
      <c r="C9036" s="19"/>
      <c r="D9036" s="19"/>
      <c r="E9036" s="19"/>
      <c r="F9036" s="20"/>
      <c r="G9036" s="19"/>
      <c r="H9036" s="19"/>
      <c r="I9036" s="19"/>
      <c r="J9036" s="21"/>
      <c r="K9036" s="19"/>
    </row>
    <row r="9037" spans="3:11" x14ac:dyDescent="0.2">
      <c r="C9037" s="19"/>
      <c r="D9037" s="19"/>
      <c r="E9037" s="19"/>
      <c r="F9037" s="20"/>
      <c r="G9037" s="19"/>
      <c r="H9037" s="19"/>
      <c r="I9037" s="19"/>
      <c r="J9037" s="21"/>
      <c r="K9037" s="19"/>
    </row>
    <row r="9038" spans="3:11" x14ac:dyDescent="0.2">
      <c r="C9038" s="19"/>
      <c r="D9038" s="19"/>
      <c r="E9038" s="19"/>
      <c r="F9038" s="20"/>
      <c r="G9038" s="19"/>
      <c r="H9038" s="19"/>
      <c r="I9038" s="19"/>
      <c r="J9038" s="21"/>
      <c r="K9038" s="19"/>
    </row>
    <row r="9039" spans="3:11" x14ac:dyDescent="0.2">
      <c r="C9039" s="19"/>
      <c r="D9039" s="19"/>
      <c r="E9039" s="19"/>
      <c r="F9039" s="20"/>
      <c r="G9039" s="19"/>
      <c r="H9039" s="19"/>
      <c r="I9039" s="19"/>
      <c r="J9039" s="21"/>
      <c r="K9039" s="19"/>
    </row>
    <row r="9040" spans="3:11" x14ac:dyDescent="0.2">
      <c r="C9040" s="19"/>
      <c r="D9040" s="19"/>
      <c r="E9040" s="19"/>
      <c r="F9040" s="20"/>
      <c r="G9040" s="19"/>
      <c r="H9040" s="19"/>
      <c r="I9040" s="19"/>
      <c r="J9040" s="21"/>
      <c r="K9040" s="19"/>
    </row>
    <row r="9041" spans="3:11" x14ac:dyDescent="0.2">
      <c r="C9041" s="19"/>
      <c r="D9041" s="19"/>
      <c r="E9041" s="19"/>
      <c r="F9041" s="20"/>
      <c r="G9041" s="19"/>
      <c r="H9041" s="19"/>
      <c r="I9041" s="19"/>
      <c r="J9041" s="21"/>
      <c r="K9041" s="19"/>
    </row>
    <row r="9042" spans="3:11" x14ac:dyDescent="0.2">
      <c r="C9042" s="19"/>
      <c r="D9042" s="19"/>
      <c r="E9042" s="19"/>
      <c r="F9042" s="20"/>
      <c r="G9042" s="19"/>
      <c r="H9042" s="19"/>
      <c r="I9042" s="19"/>
      <c r="J9042" s="21"/>
      <c r="K9042" s="19"/>
    </row>
    <row r="9043" spans="3:11" x14ac:dyDescent="0.2">
      <c r="C9043" s="19"/>
      <c r="D9043" s="19"/>
      <c r="E9043" s="19"/>
      <c r="F9043" s="20"/>
      <c r="G9043" s="19"/>
      <c r="H9043" s="19"/>
      <c r="I9043" s="19"/>
      <c r="J9043" s="21"/>
      <c r="K9043" s="19"/>
    </row>
    <row r="9044" spans="3:11" x14ac:dyDescent="0.2">
      <c r="C9044" s="19"/>
      <c r="D9044" s="19"/>
      <c r="E9044" s="19"/>
      <c r="F9044" s="20"/>
      <c r="G9044" s="19"/>
      <c r="H9044" s="19"/>
      <c r="I9044" s="19"/>
      <c r="J9044" s="21"/>
      <c r="K9044" s="19"/>
    </row>
    <row r="9045" spans="3:11" x14ac:dyDescent="0.2">
      <c r="C9045" s="19"/>
      <c r="D9045" s="19"/>
      <c r="E9045" s="19"/>
      <c r="F9045" s="20"/>
      <c r="G9045" s="19"/>
      <c r="H9045" s="19"/>
      <c r="I9045" s="19"/>
      <c r="J9045" s="21"/>
      <c r="K9045" s="19"/>
    </row>
    <row r="9046" spans="3:11" x14ac:dyDescent="0.2">
      <c r="C9046" s="19"/>
      <c r="D9046" s="19"/>
      <c r="E9046" s="19"/>
      <c r="F9046" s="20"/>
      <c r="G9046" s="19"/>
      <c r="H9046" s="19"/>
      <c r="I9046" s="19"/>
      <c r="J9046" s="21"/>
      <c r="K9046" s="19"/>
    </row>
    <row r="9047" spans="3:11" x14ac:dyDescent="0.2">
      <c r="C9047" s="19"/>
      <c r="D9047" s="19"/>
      <c r="E9047" s="19"/>
      <c r="F9047" s="20"/>
      <c r="G9047" s="19"/>
      <c r="H9047" s="19"/>
      <c r="I9047" s="19"/>
      <c r="J9047" s="21"/>
      <c r="K9047" s="19"/>
    </row>
    <row r="9048" spans="3:11" x14ac:dyDescent="0.2">
      <c r="C9048" s="19"/>
      <c r="D9048" s="19"/>
      <c r="E9048" s="19"/>
      <c r="F9048" s="20"/>
      <c r="G9048" s="19"/>
      <c r="H9048" s="19"/>
      <c r="I9048" s="19"/>
      <c r="J9048" s="19"/>
      <c r="K9048" s="19"/>
    </row>
    <row r="9049" spans="3:11" x14ac:dyDescent="0.2">
      <c r="C9049" s="19"/>
      <c r="D9049" s="19"/>
      <c r="E9049" s="19"/>
      <c r="F9049" s="20"/>
      <c r="G9049" s="19"/>
      <c r="H9049" s="19"/>
      <c r="I9049" s="19"/>
      <c r="J9049" s="21"/>
      <c r="K9049" s="19"/>
    </row>
    <row r="9050" spans="3:11" x14ac:dyDescent="0.2">
      <c r="C9050" s="19"/>
      <c r="D9050" s="19"/>
      <c r="E9050" s="19"/>
      <c r="F9050" s="20"/>
      <c r="G9050" s="19"/>
      <c r="H9050" s="19"/>
      <c r="I9050" s="19"/>
      <c r="J9050" s="19"/>
      <c r="K9050" s="19"/>
    </row>
    <row r="9051" spans="3:11" x14ac:dyDescent="0.2">
      <c r="C9051" s="19"/>
      <c r="D9051" s="19"/>
      <c r="E9051" s="19"/>
      <c r="F9051" s="20"/>
      <c r="G9051" s="19"/>
      <c r="H9051" s="19"/>
      <c r="I9051" s="19"/>
      <c r="J9051" s="19"/>
      <c r="K9051" s="19"/>
    </row>
    <row r="9052" spans="3:11" x14ac:dyDescent="0.2">
      <c r="C9052" s="19"/>
      <c r="D9052" s="19"/>
      <c r="E9052" s="19"/>
      <c r="F9052" s="20"/>
      <c r="G9052" s="19"/>
      <c r="H9052" s="19"/>
      <c r="I9052" s="19"/>
      <c r="J9052" s="21"/>
      <c r="K9052" s="19"/>
    </row>
    <row r="9053" spans="3:11" x14ac:dyDescent="0.2">
      <c r="C9053" s="19"/>
      <c r="D9053" s="19"/>
      <c r="E9053" s="19"/>
      <c r="F9053" s="20"/>
      <c r="G9053" s="19"/>
      <c r="H9053" s="19"/>
      <c r="I9053" s="19"/>
      <c r="J9053" s="21"/>
      <c r="K9053" s="19"/>
    </row>
    <row r="9054" spans="3:11" x14ac:dyDescent="0.2">
      <c r="C9054" s="19"/>
      <c r="D9054" s="19"/>
      <c r="E9054" s="19"/>
      <c r="F9054" s="20"/>
      <c r="G9054" s="19"/>
      <c r="H9054" s="19"/>
      <c r="I9054" s="19"/>
      <c r="J9054" s="21"/>
      <c r="K9054" s="19"/>
    </row>
    <row r="9055" spans="3:11" x14ac:dyDescent="0.2">
      <c r="C9055" s="19"/>
      <c r="D9055" s="19"/>
      <c r="E9055" s="19"/>
      <c r="F9055" s="20"/>
      <c r="G9055" s="19"/>
      <c r="H9055" s="19"/>
      <c r="I9055" s="19"/>
      <c r="J9055" s="19"/>
      <c r="K9055" s="19"/>
    </row>
    <row r="9056" spans="3:11" x14ac:dyDescent="0.2">
      <c r="C9056" s="19"/>
      <c r="D9056" s="19"/>
      <c r="E9056" s="19"/>
      <c r="F9056" s="20"/>
      <c r="G9056" s="19"/>
      <c r="H9056" s="19"/>
      <c r="I9056" s="19"/>
      <c r="J9056" s="21"/>
      <c r="K9056" s="19"/>
    </row>
    <row r="9057" spans="3:11" x14ac:dyDescent="0.2">
      <c r="C9057" s="19"/>
      <c r="D9057" s="19"/>
      <c r="E9057" s="19"/>
      <c r="F9057" s="20"/>
      <c r="G9057" s="19"/>
      <c r="H9057" s="19"/>
      <c r="I9057" s="19"/>
      <c r="J9057" s="21"/>
      <c r="K9057" s="19"/>
    </row>
    <row r="9058" spans="3:11" x14ac:dyDescent="0.2">
      <c r="C9058" s="19"/>
      <c r="D9058" s="19"/>
      <c r="E9058" s="19"/>
      <c r="F9058" s="20"/>
      <c r="G9058" s="19"/>
      <c r="H9058" s="19"/>
      <c r="I9058" s="19"/>
      <c r="J9058" s="19"/>
      <c r="K9058" s="19"/>
    </row>
    <row r="9059" spans="3:11" x14ac:dyDescent="0.2">
      <c r="C9059" s="19"/>
      <c r="D9059" s="19"/>
      <c r="E9059" s="19"/>
      <c r="F9059" s="20"/>
      <c r="G9059" s="19"/>
      <c r="H9059" s="19"/>
      <c r="I9059" s="19"/>
      <c r="J9059" s="21"/>
      <c r="K9059" s="19"/>
    </row>
    <row r="9060" spans="3:11" x14ac:dyDescent="0.2">
      <c r="C9060" s="19"/>
      <c r="D9060" s="19"/>
      <c r="E9060" s="19"/>
      <c r="F9060" s="20"/>
      <c r="G9060" s="19"/>
      <c r="H9060" s="19"/>
      <c r="I9060" s="19"/>
      <c r="J9060" s="21"/>
      <c r="K9060" s="19"/>
    </row>
    <row r="9061" spans="3:11" x14ac:dyDescent="0.2">
      <c r="C9061" s="19"/>
      <c r="D9061" s="19"/>
      <c r="E9061" s="19"/>
      <c r="F9061" s="20"/>
      <c r="G9061" s="19"/>
      <c r="H9061" s="19"/>
      <c r="I9061" s="19"/>
      <c r="J9061" s="21"/>
      <c r="K9061" s="19"/>
    </row>
    <row r="9062" spans="3:11" x14ac:dyDescent="0.2">
      <c r="C9062" s="19"/>
      <c r="D9062" s="19"/>
      <c r="E9062" s="19"/>
      <c r="F9062" s="20"/>
      <c r="G9062" s="19"/>
      <c r="H9062" s="19"/>
      <c r="I9062" s="19"/>
      <c r="J9062" s="21"/>
      <c r="K9062" s="19"/>
    </row>
    <row r="9063" spans="3:11" x14ac:dyDescent="0.2">
      <c r="C9063" s="19"/>
      <c r="D9063" s="19"/>
      <c r="E9063" s="19"/>
      <c r="F9063" s="20"/>
      <c r="G9063" s="19"/>
      <c r="H9063" s="19"/>
      <c r="I9063" s="19"/>
      <c r="J9063" s="21"/>
      <c r="K9063" s="19"/>
    </row>
    <row r="9064" spans="3:11" x14ac:dyDescent="0.2">
      <c r="C9064" s="19"/>
      <c r="D9064" s="19"/>
      <c r="E9064" s="19"/>
      <c r="F9064" s="20"/>
      <c r="G9064" s="19"/>
      <c r="H9064" s="19"/>
      <c r="I9064" s="19"/>
      <c r="J9064" s="21"/>
      <c r="K9064" s="19"/>
    </row>
    <row r="9065" spans="3:11" x14ac:dyDescent="0.2">
      <c r="C9065" s="19"/>
      <c r="D9065" s="19"/>
      <c r="E9065" s="19"/>
      <c r="F9065" s="20"/>
      <c r="G9065" s="19"/>
      <c r="H9065" s="19"/>
      <c r="I9065" s="19"/>
      <c r="J9065" s="21"/>
      <c r="K9065" s="19"/>
    </row>
    <row r="9066" spans="3:11" x14ac:dyDescent="0.2">
      <c r="C9066" s="19"/>
      <c r="D9066" s="19"/>
      <c r="E9066" s="19"/>
      <c r="F9066" s="20"/>
      <c r="G9066" s="19"/>
      <c r="H9066" s="19"/>
      <c r="I9066" s="19"/>
      <c r="J9066" s="21"/>
      <c r="K9066" s="19"/>
    </row>
    <row r="9067" spans="3:11" x14ac:dyDescent="0.2">
      <c r="C9067" s="19"/>
      <c r="D9067" s="19"/>
      <c r="E9067" s="19"/>
      <c r="F9067" s="20"/>
      <c r="G9067" s="19"/>
      <c r="H9067" s="19"/>
      <c r="I9067" s="19"/>
      <c r="J9067" s="21"/>
      <c r="K9067" s="19"/>
    </row>
    <row r="9068" spans="3:11" x14ac:dyDescent="0.2">
      <c r="C9068" s="19"/>
      <c r="D9068" s="19"/>
      <c r="E9068" s="19"/>
      <c r="F9068" s="20"/>
      <c r="G9068" s="19"/>
      <c r="H9068" s="19"/>
      <c r="I9068" s="19"/>
      <c r="J9068" s="21"/>
      <c r="K9068" s="19"/>
    </row>
    <row r="9069" spans="3:11" x14ac:dyDescent="0.2">
      <c r="C9069" s="19"/>
      <c r="D9069" s="19"/>
      <c r="E9069" s="19"/>
      <c r="F9069" s="20"/>
      <c r="G9069" s="19"/>
      <c r="H9069" s="19"/>
      <c r="I9069" s="19"/>
      <c r="J9069" s="21"/>
      <c r="K9069" s="19"/>
    </row>
    <row r="9070" spans="3:11" x14ac:dyDescent="0.2">
      <c r="C9070" s="19"/>
      <c r="D9070" s="19"/>
      <c r="E9070" s="19"/>
      <c r="F9070" s="20"/>
      <c r="G9070" s="19"/>
      <c r="H9070" s="19"/>
      <c r="I9070" s="19"/>
      <c r="J9070" s="21"/>
      <c r="K9070" s="19"/>
    </row>
    <row r="9071" spans="3:11" x14ac:dyDescent="0.2">
      <c r="C9071" s="19"/>
      <c r="D9071" s="19"/>
      <c r="E9071" s="19"/>
      <c r="F9071" s="20"/>
      <c r="G9071" s="19"/>
      <c r="H9071" s="19"/>
      <c r="I9071" s="19"/>
      <c r="J9071" s="19"/>
      <c r="K9071" s="19"/>
    </row>
    <row r="9072" spans="3:11" x14ac:dyDescent="0.2">
      <c r="C9072" s="19"/>
      <c r="D9072" s="19"/>
      <c r="E9072" s="19"/>
      <c r="F9072" s="20"/>
      <c r="G9072" s="19"/>
      <c r="H9072" s="19"/>
      <c r="I9072" s="19"/>
      <c r="J9072" s="21"/>
      <c r="K9072" s="19"/>
    </row>
    <row r="9073" spans="3:11" x14ac:dyDescent="0.2">
      <c r="C9073" s="19"/>
      <c r="D9073" s="19"/>
      <c r="E9073" s="19"/>
      <c r="F9073" s="20"/>
      <c r="G9073" s="19"/>
      <c r="H9073" s="19"/>
      <c r="I9073" s="19"/>
      <c r="J9073" s="21"/>
      <c r="K9073" s="19"/>
    </row>
    <row r="9074" spans="3:11" x14ac:dyDescent="0.2">
      <c r="C9074" s="19"/>
      <c r="D9074" s="19"/>
      <c r="E9074" s="19"/>
      <c r="F9074" s="20"/>
      <c r="G9074" s="19"/>
      <c r="H9074" s="19"/>
      <c r="I9074" s="19"/>
      <c r="J9074" s="19"/>
      <c r="K9074" s="19"/>
    </row>
    <row r="9075" spans="3:11" x14ac:dyDescent="0.2">
      <c r="C9075" s="19"/>
      <c r="D9075" s="19"/>
      <c r="E9075" s="19"/>
      <c r="F9075" s="20"/>
      <c r="G9075" s="19"/>
      <c r="H9075" s="19"/>
      <c r="I9075" s="19"/>
      <c r="J9075" s="19"/>
      <c r="K9075" s="19"/>
    </row>
    <row r="9076" spans="3:11" x14ac:dyDescent="0.2">
      <c r="C9076" s="19"/>
      <c r="D9076" s="19"/>
      <c r="E9076" s="19"/>
      <c r="F9076" s="20"/>
      <c r="G9076" s="19"/>
      <c r="H9076" s="19"/>
      <c r="I9076" s="19"/>
      <c r="J9076" s="19"/>
      <c r="K9076" s="19"/>
    </row>
    <row r="9077" spans="3:11" x14ac:dyDescent="0.2">
      <c r="C9077" s="19"/>
      <c r="D9077" s="19"/>
      <c r="E9077" s="19"/>
      <c r="F9077" s="20"/>
      <c r="G9077" s="19"/>
      <c r="H9077" s="19"/>
      <c r="I9077" s="19"/>
      <c r="J9077" s="19"/>
      <c r="K9077" s="19"/>
    </row>
    <row r="9078" spans="3:11" x14ac:dyDescent="0.2">
      <c r="C9078" s="19"/>
      <c r="D9078" s="19"/>
      <c r="E9078" s="19"/>
      <c r="F9078" s="20"/>
      <c r="G9078" s="19"/>
      <c r="H9078" s="19"/>
      <c r="I9078" s="19"/>
      <c r="J9078" s="19"/>
      <c r="K9078" s="19"/>
    </row>
    <row r="9079" spans="3:11" x14ac:dyDescent="0.2">
      <c r="C9079" s="19"/>
      <c r="D9079" s="19"/>
      <c r="E9079" s="19"/>
      <c r="F9079" s="20"/>
      <c r="G9079" s="19"/>
      <c r="H9079" s="19"/>
      <c r="I9079" s="19"/>
      <c r="J9079" s="19"/>
      <c r="K9079" s="19"/>
    </row>
    <row r="9080" spans="3:11" x14ac:dyDescent="0.2">
      <c r="C9080" s="19"/>
      <c r="D9080" s="19"/>
      <c r="E9080" s="19"/>
      <c r="F9080" s="20"/>
      <c r="G9080" s="19"/>
      <c r="H9080" s="19"/>
      <c r="I9080" s="19"/>
      <c r="J9080" s="21"/>
      <c r="K9080" s="19"/>
    </row>
    <row r="9081" spans="3:11" x14ac:dyDescent="0.2">
      <c r="C9081" s="19"/>
      <c r="D9081" s="19"/>
      <c r="E9081" s="19"/>
      <c r="F9081" s="20"/>
      <c r="G9081" s="19"/>
      <c r="H9081" s="19"/>
      <c r="I9081" s="19"/>
      <c r="J9081" s="21"/>
      <c r="K9081" s="19"/>
    </row>
    <row r="9082" spans="3:11" x14ac:dyDescent="0.2">
      <c r="C9082" s="19"/>
      <c r="D9082" s="19"/>
      <c r="E9082" s="19"/>
      <c r="F9082" s="20"/>
      <c r="G9082" s="19"/>
      <c r="H9082" s="19"/>
      <c r="I9082" s="19"/>
      <c r="J9082" s="21"/>
      <c r="K9082" s="19"/>
    </row>
    <row r="9083" spans="3:11" x14ac:dyDescent="0.2">
      <c r="C9083" s="19"/>
      <c r="D9083" s="19"/>
      <c r="E9083" s="19"/>
      <c r="F9083" s="20"/>
      <c r="G9083" s="19"/>
      <c r="H9083" s="19"/>
      <c r="I9083" s="19"/>
      <c r="J9083" s="21"/>
      <c r="K9083" s="19"/>
    </row>
    <row r="9084" spans="3:11" x14ac:dyDescent="0.2">
      <c r="C9084" s="19"/>
      <c r="D9084" s="19"/>
      <c r="E9084" s="19"/>
      <c r="F9084" s="20"/>
      <c r="G9084" s="19"/>
      <c r="H9084" s="19"/>
      <c r="I9084" s="19"/>
      <c r="J9084" s="19"/>
      <c r="K9084" s="19"/>
    </row>
    <row r="9085" spans="3:11" x14ac:dyDescent="0.2">
      <c r="C9085" s="19"/>
      <c r="D9085" s="19"/>
      <c r="E9085" s="19"/>
      <c r="F9085" s="20"/>
      <c r="G9085" s="19"/>
      <c r="H9085" s="19"/>
      <c r="I9085" s="19"/>
      <c r="J9085" s="19"/>
      <c r="K9085" s="19"/>
    </row>
    <row r="9086" spans="3:11" x14ac:dyDescent="0.2">
      <c r="C9086" s="19"/>
      <c r="D9086" s="19"/>
      <c r="E9086" s="19"/>
      <c r="F9086" s="20"/>
      <c r="G9086" s="19"/>
      <c r="H9086" s="19"/>
      <c r="I9086" s="19"/>
      <c r="J9086" s="19"/>
      <c r="K9086" s="19"/>
    </row>
    <row r="9087" spans="3:11" x14ac:dyDescent="0.2">
      <c r="C9087" s="19"/>
      <c r="D9087" s="19"/>
      <c r="E9087" s="19"/>
      <c r="F9087" s="20"/>
      <c r="G9087" s="19"/>
      <c r="H9087" s="19"/>
      <c r="I9087" s="19"/>
      <c r="J9087" s="19"/>
      <c r="K9087" s="19"/>
    </row>
    <row r="9088" spans="3:11" x14ac:dyDescent="0.2">
      <c r="C9088" s="19"/>
      <c r="D9088" s="19"/>
      <c r="E9088" s="19"/>
      <c r="F9088" s="20"/>
      <c r="G9088" s="19"/>
      <c r="H9088" s="19"/>
      <c r="I9088" s="19"/>
      <c r="J9088" s="19"/>
      <c r="K9088" s="19"/>
    </row>
    <row r="9089" spans="3:11" x14ac:dyDescent="0.2">
      <c r="C9089" s="19"/>
      <c r="D9089" s="19"/>
      <c r="E9089" s="19"/>
      <c r="F9089" s="20"/>
      <c r="G9089" s="19"/>
      <c r="H9089" s="19"/>
      <c r="I9089" s="19"/>
      <c r="J9089" s="19"/>
      <c r="K9089" s="19"/>
    </row>
    <row r="9090" spans="3:11" x14ac:dyDescent="0.2">
      <c r="C9090" s="19"/>
      <c r="D9090" s="19"/>
      <c r="E9090" s="19"/>
      <c r="F9090" s="20"/>
      <c r="G9090" s="19"/>
      <c r="H9090" s="19"/>
      <c r="I9090" s="19"/>
      <c r="J9090" s="19"/>
      <c r="K9090" s="19"/>
    </row>
    <row r="9091" spans="3:11" x14ac:dyDescent="0.2">
      <c r="C9091" s="19"/>
      <c r="D9091" s="19"/>
      <c r="E9091" s="19"/>
      <c r="F9091" s="20"/>
      <c r="G9091" s="19"/>
      <c r="H9091" s="19"/>
      <c r="I9091" s="19"/>
      <c r="J9091" s="19"/>
      <c r="K9091" s="19"/>
    </row>
    <row r="9092" spans="3:11" x14ac:dyDescent="0.2">
      <c r="C9092" s="19"/>
      <c r="D9092" s="19"/>
      <c r="E9092" s="19"/>
      <c r="F9092" s="20"/>
      <c r="G9092" s="19"/>
      <c r="H9092" s="19"/>
      <c r="I9092" s="19"/>
      <c r="J9092" s="19"/>
      <c r="K9092" s="19"/>
    </row>
    <row r="9093" spans="3:11" x14ac:dyDescent="0.2">
      <c r="C9093" s="19"/>
      <c r="D9093" s="19"/>
      <c r="E9093" s="19"/>
      <c r="F9093" s="20"/>
      <c r="G9093" s="19"/>
      <c r="H9093" s="19"/>
      <c r="I9093" s="19"/>
      <c r="J9093" s="19"/>
      <c r="K9093" s="19"/>
    </row>
    <row r="9094" spans="3:11" x14ac:dyDescent="0.2">
      <c r="C9094" s="19"/>
      <c r="D9094" s="19"/>
      <c r="E9094" s="19"/>
      <c r="F9094" s="20"/>
      <c r="G9094" s="19"/>
      <c r="H9094" s="19"/>
      <c r="I9094" s="19"/>
      <c r="J9094" s="19"/>
      <c r="K9094" s="19"/>
    </row>
    <row r="9095" spans="3:11" x14ac:dyDescent="0.2">
      <c r="C9095" s="19"/>
      <c r="D9095" s="19"/>
      <c r="E9095" s="19"/>
      <c r="F9095" s="20"/>
      <c r="G9095" s="19"/>
      <c r="H9095" s="19"/>
      <c r="I9095" s="19"/>
      <c r="J9095" s="19"/>
      <c r="K9095" s="19"/>
    </row>
    <row r="9096" spans="3:11" x14ac:dyDescent="0.2">
      <c r="C9096" s="19"/>
      <c r="D9096" s="19"/>
      <c r="E9096" s="19"/>
      <c r="F9096" s="20"/>
      <c r="G9096" s="19"/>
      <c r="H9096" s="19"/>
      <c r="I9096" s="19"/>
      <c r="J9096" s="19"/>
      <c r="K9096" s="19"/>
    </row>
    <row r="9097" spans="3:11" x14ac:dyDescent="0.2">
      <c r="C9097" s="19"/>
      <c r="D9097" s="19"/>
      <c r="E9097" s="19"/>
      <c r="F9097" s="20"/>
      <c r="G9097" s="19"/>
      <c r="H9097" s="19"/>
      <c r="I9097" s="19"/>
      <c r="J9097" s="21"/>
      <c r="K9097" s="19"/>
    </row>
    <row r="9098" spans="3:11" x14ac:dyDescent="0.2">
      <c r="C9098" s="19"/>
      <c r="D9098" s="19"/>
      <c r="E9098" s="19"/>
      <c r="F9098" s="20"/>
      <c r="G9098" s="19"/>
      <c r="H9098" s="19"/>
      <c r="I9098" s="19"/>
      <c r="J9098" s="21"/>
      <c r="K9098" s="19"/>
    </row>
    <row r="9099" spans="3:11" x14ac:dyDescent="0.2">
      <c r="C9099" s="19"/>
      <c r="D9099" s="19"/>
      <c r="E9099" s="19"/>
      <c r="F9099" s="20"/>
      <c r="G9099" s="19"/>
      <c r="H9099" s="19"/>
      <c r="I9099" s="19"/>
      <c r="J9099" s="19"/>
      <c r="K9099" s="19"/>
    </row>
    <row r="9100" spans="3:11" x14ac:dyDescent="0.2">
      <c r="C9100" s="19"/>
      <c r="D9100" s="19"/>
      <c r="E9100" s="19"/>
      <c r="F9100" s="20"/>
      <c r="G9100" s="19"/>
      <c r="H9100" s="19"/>
      <c r="I9100" s="19"/>
      <c r="J9100" s="19"/>
      <c r="K9100" s="19"/>
    </row>
    <row r="9101" spans="3:11" x14ac:dyDescent="0.2">
      <c r="C9101" s="19"/>
      <c r="D9101" s="19"/>
      <c r="E9101" s="19"/>
      <c r="F9101" s="20"/>
      <c r="G9101" s="19"/>
      <c r="H9101" s="19"/>
      <c r="I9101" s="19"/>
      <c r="J9101" s="21"/>
      <c r="K9101" s="19"/>
    </row>
    <row r="9102" spans="3:11" x14ac:dyDescent="0.2">
      <c r="C9102" s="19"/>
      <c r="D9102" s="19"/>
      <c r="E9102" s="19"/>
      <c r="F9102" s="20"/>
      <c r="G9102" s="19"/>
      <c r="H9102" s="19"/>
      <c r="I9102" s="19"/>
      <c r="J9102" s="21"/>
      <c r="K9102" s="19"/>
    </row>
    <row r="9103" spans="3:11" x14ac:dyDescent="0.2">
      <c r="C9103" s="19"/>
      <c r="D9103" s="19"/>
      <c r="E9103" s="19"/>
      <c r="F9103" s="20"/>
      <c r="G9103" s="19"/>
      <c r="H9103" s="19"/>
      <c r="I9103" s="19"/>
      <c r="J9103" s="21"/>
      <c r="K9103" s="19"/>
    </row>
    <row r="9104" spans="3:11" x14ac:dyDescent="0.2">
      <c r="C9104" s="19"/>
      <c r="D9104" s="19"/>
      <c r="E9104" s="19"/>
      <c r="F9104" s="20"/>
      <c r="G9104" s="19"/>
      <c r="H9104" s="19"/>
      <c r="I9104" s="19"/>
      <c r="J9104" s="21"/>
      <c r="K9104" s="19"/>
    </row>
    <row r="9105" spans="3:11" x14ac:dyDescent="0.2">
      <c r="C9105" s="19"/>
      <c r="D9105" s="19"/>
      <c r="E9105" s="19"/>
      <c r="F9105" s="20"/>
      <c r="G9105" s="19"/>
      <c r="H9105" s="19"/>
      <c r="I9105" s="19"/>
      <c r="J9105" s="21"/>
      <c r="K9105" s="19"/>
    </row>
    <row r="9106" spans="3:11" x14ac:dyDescent="0.2">
      <c r="C9106" s="19"/>
      <c r="D9106" s="19"/>
      <c r="E9106" s="19"/>
      <c r="F9106" s="20"/>
      <c r="G9106" s="19"/>
      <c r="H9106" s="19"/>
      <c r="I9106" s="19"/>
      <c r="J9106" s="19"/>
      <c r="K9106" s="19"/>
    </row>
    <row r="9107" spans="3:11" x14ac:dyDescent="0.2">
      <c r="C9107" s="19"/>
      <c r="D9107" s="19"/>
      <c r="E9107" s="19"/>
      <c r="F9107" s="20"/>
      <c r="G9107" s="19"/>
      <c r="H9107" s="19"/>
      <c r="I9107" s="19"/>
      <c r="J9107" s="19"/>
      <c r="K9107" s="19"/>
    </row>
    <row r="9108" spans="3:11" x14ac:dyDescent="0.2">
      <c r="C9108" s="19"/>
      <c r="D9108" s="19"/>
      <c r="E9108" s="19"/>
      <c r="F9108" s="20"/>
      <c r="G9108" s="19"/>
      <c r="H9108" s="19"/>
      <c r="I9108" s="19"/>
      <c r="J9108" s="19"/>
      <c r="K9108" s="19"/>
    </row>
    <row r="9109" spans="3:11" x14ac:dyDescent="0.2">
      <c r="C9109" s="19"/>
      <c r="D9109" s="19"/>
      <c r="E9109" s="19"/>
      <c r="F9109" s="20"/>
      <c r="G9109" s="19"/>
      <c r="H9109" s="19"/>
      <c r="I9109" s="19"/>
      <c r="J9109" s="19"/>
      <c r="K9109" s="19"/>
    </row>
    <row r="9110" spans="3:11" x14ac:dyDescent="0.2">
      <c r="C9110" s="19"/>
      <c r="D9110" s="19"/>
      <c r="E9110" s="19"/>
      <c r="F9110" s="20"/>
      <c r="G9110" s="19"/>
      <c r="H9110" s="19"/>
      <c r="I9110" s="19"/>
      <c r="J9110" s="19"/>
      <c r="K9110" s="19"/>
    </row>
    <row r="9111" spans="3:11" x14ac:dyDescent="0.2">
      <c r="C9111" s="19"/>
      <c r="D9111" s="19"/>
      <c r="E9111" s="19"/>
      <c r="F9111" s="20"/>
      <c r="G9111" s="19"/>
      <c r="H9111" s="19"/>
      <c r="I9111" s="19"/>
      <c r="J9111" s="19"/>
      <c r="K9111" s="19"/>
    </row>
    <row r="9112" spans="3:11" x14ac:dyDescent="0.2">
      <c r="C9112" s="19"/>
      <c r="D9112" s="19"/>
      <c r="E9112" s="19"/>
      <c r="F9112" s="20"/>
      <c r="G9112" s="19"/>
      <c r="H9112" s="19"/>
      <c r="I9112" s="19"/>
      <c r="J9112" s="19"/>
      <c r="K9112" s="19"/>
    </row>
    <row r="9113" spans="3:11" x14ac:dyDescent="0.2">
      <c r="C9113" s="19"/>
      <c r="D9113" s="19"/>
      <c r="E9113" s="19"/>
      <c r="F9113" s="20"/>
      <c r="G9113" s="19"/>
      <c r="H9113" s="19"/>
      <c r="I9113" s="19"/>
      <c r="J9113" s="19"/>
      <c r="K9113" s="19"/>
    </row>
    <row r="9114" spans="3:11" x14ac:dyDescent="0.2">
      <c r="C9114" s="19"/>
      <c r="D9114" s="19"/>
      <c r="E9114" s="19"/>
      <c r="F9114" s="20"/>
      <c r="G9114" s="19"/>
      <c r="H9114" s="19"/>
      <c r="I9114" s="19"/>
      <c r="J9114" s="19"/>
      <c r="K9114" s="19"/>
    </row>
    <row r="9115" spans="3:11" x14ac:dyDescent="0.2">
      <c r="C9115" s="19"/>
      <c r="D9115" s="19"/>
      <c r="E9115" s="19"/>
      <c r="F9115" s="20"/>
      <c r="G9115" s="19"/>
      <c r="H9115" s="19"/>
      <c r="I9115" s="19"/>
      <c r="J9115" s="19"/>
      <c r="K9115" s="19"/>
    </row>
    <row r="9116" spans="3:11" x14ac:dyDescent="0.2">
      <c r="C9116" s="19"/>
      <c r="D9116" s="19"/>
      <c r="E9116" s="19"/>
      <c r="F9116" s="20"/>
      <c r="G9116" s="19"/>
      <c r="H9116" s="19"/>
      <c r="I9116" s="19"/>
      <c r="J9116" s="19"/>
      <c r="K9116" s="19"/>
    </row>
    <row r="9117" spans="3:11" x14ac:dyDescent="0.2">
      <c r="C9117" s="19"/>
      <c r="D9117" s="19"/>
      <c r="E9117" s="19"/>
      <c r="F9117" s="20"/>
      <c r="G9117" s="19"/>
      <c r="H9117" s="19"/>
      <c r="I9117" s="19"/>
      <c r="J9117" s="19"/>
      <c r="K9117" s="19"/>
    </row>
    <row r="9118" spans="3:11" x14ac:dyDescent="0.2">
      <c r="C9118" s="19"/>
      <c r="D9118" s="19"/>
      <c r="E9118" s="19"/>
      <c r="F9118" s="20"/>
      <c r="G9118" s="19"/>
      <c r="H9118" s="19"/>
      <c r="I9118" s="19"/>
      <c r="J9118" s="19"/>
      <c r="K9118" s="19"/>
    </row>
    <row r="9119" spans="3:11" x14ac:dyDescent="0.2">
      <c r="C9119" s="19"/>
      <c r="D9119" s="19"/>
      <c r="E9119" s="19"/>
      <c r="F9119" s="20"/>
      <c r="G9119" s="19"/>
      <c r="H9119" s="19"/>
      <c r="I9119" s="19"/>
      <c r="J9119" s="19"/>
      <c r="K9119" s="19"/>
    </row>
    <row r="9120" spans="3:11" x14ac:dyDescent="0.2">
      <c r="C9120" s="19"/>
      <c r="D9120" s="19"/>
      <c r="E9120" s="19"/>
      <c r="F9120" s="20"/>
      <c r="G9120" s="19"/>
      <c r="H9120" s="19"/>
      <c r="I9120" s="19"/>
      <c r="J9120" s="19"/>
      <c r="K9120" s="19"/>
    </row>
    <row r="9121" spans="3:11" x14ac:dyDescent="0.2">
      <c r="C9121" s="19"/>
      <c r="D9121" s="19"/>
      <c r="E9121" s="19"/>
      <c r="F9121" s="20"/>
      <c r="G9121" s="19"/>
      <c r="H9121" s="19"/>
      <c r="I9121" s="19"/>
      <c r="J9121" s="19"/>
      <c r="K9121" s="19"/>
    </row>
    <row r="9122" spans="3:11" x14ac:dyDescent="0.2">
      <c r="C9122" s="19"/>
      <c r="D9122" s="19"/>
      <c r="E9122" s="19"/>
      <c r="F9122" s="20"/>
      <c r="G9122" s="19"/>
      <c r="H9122" s="19"/>
      <c r="I9122" s="19"/>
      <c r="J9122" s="19"/>
      <c r="K9122" s="19"/>
    </row>
    <row r="9123" spans="3:11" x14ac:dyDescent="0.2">
      <c r="C9123" s="19"/>
      <c r="D9123" s="19"/>
      <c r="E9123" s="19"/>
      <c r="F9123" s="20"/>
      <c r="G9123" s="19"/>
      <c r="H9123" s="19"/>
      <c r="I9123" s="19"/>
      <c r="J9123" s="19"/>
      <c r="K9123" s="19"/>
    </row>
    <row r="9124" spans="3:11" x14ac:dyDescent="0.2">
      <c r="C9124" s="19"/>
      <c r="D9124" s="19"/>
      <c r="E9124" s="19"/>
      <c r="F9124" s="20"/>
      <c r="G9124" s="19"/>
      <c r="H9124" s="19"/>
      <c r="I9124" s="19"/>
      <c r="J9124" s="19"/>
      <c r="K9124" s="19"/>
    </row>
    <row r="9125" spans="3:11" x14ac:dyDescent="0.2">
      <c r="C9125" s="19"/>
      <c r="D9125" s="19"/>
      <c r="E9125" s="19"/>
      <c r="F9125" s="20"/>
      <c r="G9125" s="19"/>
      <c r="H9125" s="19"/>
      <c r="I9125" s="19"/>
      <c r="J9125" s="19"/>
      <c r="K9125" s="19"/>
    </row>
    <row r="9126" spans="3:11" x14ac:dyDescent="0.2">
      <c r="C9126" s="19"/>
      <c r="D9126" s="19"/>
      <c r="E9126" s="19"/>
      <c r="F9126" s="20"/>
      <c r="G9126" s="19"/>
      <c r="H9126" s="19"/>
      <c r="I9126" s="19"/>
      <c r="J9126" s="19"/>
      <c r="K9126" s="19"/>
    </row>
    <row r="9127" spans="3:11" x14ac:dyDescent="0.2">
      <c r="C9127" s="19"/>
      <c r="D9127" s="19"/>
      <c r="E9127" s="19"/>
      <c r="F9127" s="20"/>
      <c r="G9127" s="19"/>
      <c r="H9127" s="19"/>
      <c r="I9127" s="19"/>
      <c r="J9127" s="19"/>
      <c r="K9127" s="19"/>
    </row>
    <row r="9128" spans="3:11" x14ac:dyDescent="0.2">
      <c r="C9128" s="19"/>
      <c r="D9128" s="19"/>
      <c r="E9128" s="19"/>
      <c r="F9128" s="20"/>
      <c r="G9128" s="19"/>
      <c r="H9128" s="19"/>
      <c r="I9128" s="19"/>
      <c r="J9128" s="19"/>
      <c r="K9128" s="19"/>
    </row>
    <row r="9129" spans="3:11" x14ac:dyDescent="0.2">
      <c r="C9129" s="19"/>
      <c r="D9129" s="19"/>
      <c r="E9129" s="19"/>
      <c r="F9129" s="20"/>
      <c r="G9129" s="19"/>
      <c r="H9129" s="19"/>
      <c r="I9129" s="19"/>
      <c r="J9129" s="19"/>
      <c r="K9129" s="19"/>
    </row>
    <row r="9130" spans="3:11" x14ac:dyDescent="0.2">
      <c r="C9130" s="19"/>
      <c r="D9130" s="19"/>
      <c r="E9130" s="19"/>
      <c r="F9130" s="20"/>
      <c r="G9130" s="19"/>
      <c r="H9130" s="19"/>
      <c r="I9130" s="19"/>
      <c r="J9130" s="19"/>
      <c r="K9130" s="19"/>
    </row>
    <row r="9131" spans="3:11" x14ac:dyDescent="0.2">
      <c r="C9131" s="19"/>
      <c r="D9131" s="19"/>
      <c r="E9131" s="19"/>
      <c r="F9131" s="20"/>
      <c r="G9131" s="19"/>
      <c r="H9131" s="19"/>
      <c r="I9131" s="19"/>
      <c r="J9131" s="19"/>
      <c r="K9131" s="19"/>
    </row>
    <row r="9132" spans="3:11" x14ac:dyDescent="0.2">
      <c r="C9132" s="19"/>
      <c r="D9132" s="19"/>
      <c r="E9132" s="19"/>
      <c r="F9132" s="20"/>
      <c r="G9132" s="19"/>
      <c r="H9132" s="19"/>
      <c r="I9132" s="19"/>
      <c r="J9132" s="19"/>
      <c r="K9132" s="19"/>
    </row>
    <row r="9133" spans="3:11" x14ac:dyDescent="0.2">
      <c r="C9133" s="19"/>
      <c r="D9133" s="19"/>
      <c r="E9133" s="19"/>
      <c r="F9133" s="20"/>
      <c r="G9133" s="19"/>
      <c r="H9133" s="19"/>
      <c r="I9133" s="19"/>
      <c r="J9133" s="19"/>
      <c r="K9133" s="19"/>
    </row>
    <row r="9134" spans="3:11" x14ac:dyDescent="0.2">
      <c r="C9134" s="19"/>
      <c r="D9134" s="19"/>
      <c r="E9134" s="19"/>
      <c r="F9134" s="20"/>
      <c r="G9134" s="19"/>
      <c r="H9134" s="19"/>
      <c r="I9134" s="19"/>
      <c r="J9134" s="19"/>
      <c r="K9134" s="19"/>
    </row>
    <row r="9135" spans="3:11" x14ac:dyDescent="0.2">
      <c r="C9135" s="19"/>
      <c r="D9135" s="19"/>
      <c r="E9135" s="19"/>
      <c r="F9135" s="20"/>
      <c r="G9135" s="19"/>
      <c r="H9135" s="19"/>
      <c r="I9135" s="19"/>
      <c r="J9135" s="19"/>
      <c r="K9135" s="19"/>
    </row>
    <row r="9136" spans="3:11" x14ac:dyDescent="0.2">
      <c r="C9136" s="19"/>
      <c r="D9136" s="19"/>
      <c r="E9136" s="19"/>
      <c r="F9136" s="20"/>
      <c r="G9136" s="19"/>
      <c r="H9136" s="19"/>
      <c r="I9136" s="19"/>
      <c r="J9136" s="19"/>
      <c r="K9136" s="19"/>
    </row>
    <row r="9137" spans="3:11" x14ac:dyDescent="0.2">
      <c r="C9137" s="19"/>
      <c r="D9137" s="19"/>
      <c r="E9137" s="19"/>
      <c r="F9137" s="20"/>
      <c r="G9137" s="19"/>
      <c r="H9137" s="19"/>
      <c r="I9137" s="19"/>
      <c r="J9137" s="19"/>
      <c r="K9137" s="19"/>
    </row>
    <row r="9138" spans="3:11" x14ac:dyDescent="0.2">
      <c r="C9138" s="19"/>
      <c r="D9138" s="19"/>
      <c r="E9138" s="19"/>
      <c r="F9138" s="20"/>
      <c r="G9138" s="19"/>
      <c r="H9138" s="19"/>
      <c r="I9138" s="19"/>
      <c r="J9138" s="19"/>
      <c r="K9138" s="19"/>
    </row>
    <row r="9139" spans="3:11" x14ac:dyDescent="0.2">
      <c r="C9139" s="19"/>
      <c r="D9139" s="19"/>
      <c r="E9139" s="19"/>
      <c r="F9139" s="20"/>
      <c r="G9139" s="19"/>
      <c r="H9139" s="19"/>
      <c r="I9139" s="19"/>
      <c r="J9139" s="19"/>
      <c r="K9139" s="19"/>
    </row>
    <row r="9140" spans="3:11" x14ac:dyDescent="0.2">
      <c r="C9140" s="19"/>
      <c r="D9140" s="19"/>
      <c r="E9140" s="19"/>
      <c r="F9140" s="20"/>
      <c r="G9140" s="19"/>
      <c r="H9140" s="19"/>
      <c r="I9140" s="19"/>
      <c r="J9140" s="19"/>
      <c r="K9140" s="19"/>
    </row>
    <row r="9141" spans="3:11" x14ac:dyDescent="0.2">
      <c r="C9141" s="19"/>
      <c r="D9141" s="19"/>
      <c r="E9141" s="19"/>
      <c r="F9141" s="20"/>
      <c r="G9141" s="19"/>
      <c r="H9141" s="19"/>
      <c r="I9141" s="19"/>
      <c r="J9141" s="19"/>
      <c r="K9141" s="19"/>
    </row>
    <row r="9142" spans="3:11" x14ac:dyDescent="0.2">
      <c r="C9142" s="19"/>
      <c r="D9142" s="19"/>
      <c r="E9142" s="19"/>
      <c r="F9142" s="20"/>
      <c r="G9142" s="19"/>
      <c r="H9142" s="19"/>
      <c r="I9142" s="19"/>
      <c r="J9142" s="19"/>
      <c r="K9142" s="19"/>
    </row>
    <row r="9143" spans="3:11" x14ac:dyDescent="0.2">
      <c r="C9143" s="19"/>
      <c r="D9143" s="19"/>
      <c r="E9143" s="19"/>
      <c r="F9143" s="20"/>
      <c r="G9143" s="19"/>
      <c r="H9143" s="19"/>
      <c r="I9143" s="19"/>
      <c r="J9143" s="19"/>
      <c r="K9143" s="19"/>
    </row>
    <row r="9144" spans="3:11" x14ac:dyDescent="0.2">
      <c r="C9144" s="19"/>
      <c r="D9144" s="19"/>
      <c r="E9144" s="19"/>
      <c r="F9144" s="20"/>
      <c r="G9144" s="19"/>
      <c r="H9144" s="19"/>
      <c r="I9144" s="19"/>
      <c r="J9144" s="19"/>
      <c r="K9144" s="19"/>
    </row>
    <row r="9145" spans="3:11" x14ac:dyDescent="0.2">
      <c r="C9145" s="19"/>
      <c r="D9145" s="19"/>
      <c r="E9145" s="19"/>
      <c r="F9145" s="20"/>
      <c r="G9145" s="19"/>
      <c r="H9145" s="19"/>
      <c r="I9145" s="19"/>
      <c r="J9145" s="19"/>
      <c r="K9145" s="19"/>
    </row>
    <row r="9146" spans="3:11" x14ac:dyDescent="0.2">
      <c r="C9146" s="19"/>
      <c r="D9146" s="19"/>
      <c r="E9146" s="19"/>
      <c r="F9146" s="20"/>
      <c r="G9146" s="19"/>
      <c r="H9146" s="19"/>
      <c r="I9146" s="19"/>
      <c r="J9146" s="19"/>
      <c r="K9146" s="19"/>
    </row>
    <row r="9147" spans="3:11" x14ac:dyDescent="0.2">
      <c r="C9147" s="19"/>
      <c r="D9147" s="19"/>
      <c r="E9147" s="19"/>
      <c r="F9147" s="20"/>
      <c r="G9147" s="19"/>
      <c r="H9147" s="19"/>
      <c r="I9147" s="19"/>
      <c r="J9147" s="19"/>
      <c r="K9147" s="19"/>
    </row>
    <row r="9148" spans="3:11" x14ac:dyDescent="0.2">
      <c r="C9148" s="19"/>
      <c r="D9148" s="19"/>
      <c r="E9148" s="19"/>
      <c r="F9148" s="20"/>
      <c r="G9148" s="19"/>
      <c r="H9148" s="19"/>
      <c r="I9148" s="19"/>
      <c r="J9148" s="19"/>
      <c r="K9148" s="19"/>
    </row>
    <row r="9149" spans="3:11" x14ac:dyDescent="0.2">
      <c r="C9149" s="19"/>
      <c r="D9149" s="19"/>
      <c r="E9149" s="19"/>
      <c r="F9149" s="20"/>
      <c r="G9149" s="19"/>
      <c r="H9149" s="19"/>
      <c r="I9149" s="19"/>
      <c r="J9149" s="19"/>
      <c r="K9149" s="19"/>
    </row>
    <row r="9150" spans="3:11" x14ac:dyDescent="0.2">
      <c r="C9150" s="19"/>
      <c r="D9150" s="19"/>
      <c r="E9150" s="19"/>
      <c r="F9150" s="20"/>
      <c r="G9150" s="19"/>
      <c r="H9150" s="19"/>
      <c r="I9150" s="19"/>
      <c r="J9150" s="19"/>
      <c r="K9150" s="19"/>
    </row>
    <row r="9151" spans="3:11" x14ac:dyDescent="0.2">
      <c r="C9151" s="19"/>
      <c r="D9151" s="19"/>
      <c r="E9151" s="19"/>
      <c r="F9151" s="20"/>
      <c r="G9151" s="19"/>
      <c r="H9151" s="19"/>
      <c r="I9151" s="19"/>
      <c r="J9151" s="19"/>
      <c r="K9151" s="19"/>
    </row>
    <row r="9152" spans="3:11" x14ac:dyDescent="0.2">
      <c r="C9152" s="19"/>
      <c r="D9152" s="19"/>
      <c r="E9152" s="19"/>
      <c r="F9152" s="20"/>
      <c r="G9152" s="19"/>
      <c r="H9152" s="19"/>
      <c r="I9152" s="19"/>
      <c r="J9152" s="19"/>
      <c r="K9152" s="19"/>
    </row>
    <row r="9153" spans="3:11" x14ac:dyDescent="0.2">
      <c r="C9153" s="19"/>
      <c r="D9153" s="19"/>
      <c r="E9153" s="19"/>
      <c r="F9153" s="20"/>
      <c r="G9153" s="19"/>
      <c r="H9153" s="19"/>
      <c r="I9153" s="19"/>
      <c r="J9153" s="21"/>
      <c r="K9153" s="19"/>
    </row>
    <row r="9154" spans="3:11" x14ac:dyDescent="0.2">
      <c r="C9154" s="19"/>
      <c r="D9154" s="19"/>
      <c r="E9154" s="19"/>
      <c r="F9154" s="20"/>
      <c r="G9154" s="19"/>
      <c r="H9154" s="19"/>
      <c r="I9154" s="19"/>
      <c r="J9154" s="19"/>
      <c r="K9154" s="19"/>
    </row>
    <row r="9155" spans="3:11" x14ac:dyDescent="0.2">
      <c r="C9155" s="19"/>
      <c r="D9155" s="19"/>
      <c r="E9155" s="19"/>
      <c r="F9155" s="20"/>
      <c r="G9155" s="19"/>
      <c r="H9155" s="19"/>
      <c r="I9155" s="19"/>
      <c r="J9155" s="19"/>
      <c r="K9155" s="19"/>
    </row>
    <row r="9156" spans="3:11" x14ac:dyDescent="0.2">
      <c r="C9156" s="19"/>
      <c r="D9156" s="19"/>
      <c r="E9156" s="19"/>
      <c r="F9156" s="20"/>
      <c r="G9156" s="19"/>
      <c r="H9156" s="19"/>
      <c r="I9156" s="19"/>
      <c r="J9156" s="19"/>
      <c r="K9156" s="19"/>
    </row>
    <row r="9157" spans="3:11" x14ac:dyDescent="0.2">
      <c r="C9157" s="19"/>
      <c r="D9157" s="19"/>
      <c r="E9157" s="19"/>
      <c r="F9157" s="20"/>
      <c r="G9157" s="19"/>
      <c r="H9157" s="19"/>
      <c r="I9157" s="19"/>
      <c r="J9157" s="19"/>
      <c r="K9157" s="19"/>
    </row>
    <row r="9158" spans="3:11" x14ac:dyDescent="0.2">
      <c r="C9158" s="19"/>
      <c r="D9158" s="19"/>
      <c r="E9158" s="19"/>
      <c r="F9158" s="20"/>
      <c r="G9158" s="19"/>
      <c r="H9158" s="19"/>
      <c r="I9158" s="19"/>
      <c r="J9158" s="19"/>
      <c r="K9158" s="19"/>
    </row>
    <row r="9159" spans="3:11" x14ac:dyDescent="0.2">
      <c r="C9159" s="19"/>
      <c r="D9159" s="19"/>
      <c r="E9159" s="19"/>
      <c r="F9159" s="20"/>
      <c r="G9159" s="19"/>
      <c r="H9159" s="19"/>
      <c r="I9159" s="19"/>
      <c r="J9159" s="19"/>
      <c r="K9159" s="19"/>
    </row>
    <row r="9160" spans="3:11" x14ac:dyDescent="0.2">
      <c r="C9160" s="19"/>
      <c r="D9160" s="19"/>
      <c r="E9160" s="19"/>
      <c r="F9160" s="20"/>
      <c r="G9160" s="19"/>
      <c r="H9160" s="19"/>
      <c r="I9160" s="19"/>
      <c r="J9160" s="19"/>
      <c r="K9160" s="19"/>
    </row>
    <row r="9161" spans="3:11" x14ac:dyDescent="0.2">
      <c r="C9161" s="19"/>
      <c r="D9161" s="19"/>
      <c r="E9161" s="19"/>
      <c r="F9161" s="20"/>
      <c r="G9161" s="19"/>
      <c r="H9161" s="19"/>
      <c r="I9161" s="19"/>
      <c r="J9161" s="19"/>
      <c r="K9161" s="19"/>
    </row>
    <row r="9162" spans="3:11" x14ac:dyDescent="0.2">
      <c r="C9162" s="19"/>
      <c r="D9162" s="19"/>
      <c r="E9162" s="19"/>
      <c r="F9162" s="20"/>
      <c r="G9162" s="19"/>
      <c r="H9162" s="19"/>
      <c r="I9162" s="19"/>
      <c r="J9162" s="19"/>
      <c r="K9162" s="19"/>
    </row>
    <row r="9163" spans="3:11" x14ac:dyDescent="0.2">
      <c r="C9163" s="19"/>
      <c r="D9163" s="19"/>
      <c r="E9163" s="19"/>
      <c r="F9163" s="20"/>
      <c r="G9163" s="19"/>
      <c r="H9163" s="19"/>
      <c r="I9163" s="19"/>
      <c r="J9163" s="19"/>
      <c r="K9163" s="19"/>
    </row>
    <row r="9164" spans="3:11" x14ac:dyDescent="0.2">
      <c r="C9164" s="19"/>
      <c r="D9164" s="19"/>
      <c r="E9164" s="19"/>
      <c r="F9164" s="20"/>
      <c r="G9164" s="19"/>
      <c r="H9164" s="19"/>
      <c r="I9164" s="19"/>
      <c r="J9164" s="19"/>
      <c r="K9164" s="19"/>
    </row>
    <row r="9165" spans="3:11" x14ac:dyDescent="0.2">
      <c r="C9165" s="19"/>
      <c r="D9165" s="19"/>
      <c r="E9165" s="19"/>
      <c r="F9165" s="20"/>
      <c r="G9165" s="19"/>
      <c r="H9165" s="19"/>
      <c r="I9165" s="19"/>
      <c r="J9165" s="19"/>
      <c r="K9165" s="19"/>
    </row>
    <row r="9166" spans="3:11" x14ac:dyDescent="0.2">
      <c r="C9166" s="19"/>
      <c r="D9166" s="19"/>
      <c r="E9166" s="19"/>
      <c r="F9166" s="20"/>
      <c r="G9166" s="19"/>
      <c r="H9166" s="19"/>
      <c r="I9166" s="19"/>
      <c r="J9166" s="19"/>
      <c r="K9166" s="19"/>
    </row>
    <row r="9167" spans="3:11" x14ac:dyDescent="0.2">
      <c r="C9167" s="19"/>
      <c r="D9167" s="19"/>
      <c r="E9167" s="19"/>
      <c r="F9167" s="20"/>
      <c r="G9167" s="19"/>
      <c r="H9167" s="19"/>
      <c r="I9167" s="19"/>
      <c r="J9167" s="19"/>
      <c r="K9167" s="19"/>
    </row>
    <row r="9168" spans="3:11" x14ac:dyDescent="0.2">
      <c r="C9168" s="19"/>
      <c r="D9168" s="19"/>
      <c r="E9168" s="19"/>
      <c r="F9168" s="20"/>
      <c r="G9168" s="19"/>
      <c r="H9168" s="19"/>
      <c r="I9168" s="19"/>
      <c r="J9168" s="19"/>
      <c r="K9168" s="19"/>
    </row>
    <row r="9169" spans="3:11" x14ac:dyDescent="0.2">
      <c r="C9169" s="19"/>
      <c r="D9169" s="19"/>
      <c r="E9169" s="19"/>
      <c r="F9169" s="20"/>
      <c r="G9169" s="19"/>
      <c r="H9169" s="19"/>
      <c r="I9169" s="19"/>
      <c r="J9169" s="19"/>
      <c r="K9169" s="19"/>
    </row>
    <row r="9170" spans="3:11" x14ac:dyDescent="0.2">
      <c r="C9170" s="19"/>
      <c r="D9170" s="19"/>
      <c r="E9170" s="19"/>
      <c r="F9170" s="20"/>
      <c r="G9170" s="19"/>
      <c r="H9170" s="19"/>
      <c r="I9170" s="19"/>
      <c r="J9170" s="19"/>
      <c r="K9170" s="19"/>
    </row>
    <row r="9171" spans="3:11" x14ac:dyDescent="0.2">
      <c r="C9171" s="19"/>
      <c r="D9171" s="19"/>
      <c r="E9171" s="19"/>
      <c r="F9171" s="20"/>
      <c r="G9171" s="19"/>
      <c r="H9171" s="19"/>
      <c r="I9171" s="19"/>
      <c r="J9171" s="19"/>
      <c r="K9171" s="19"/>
    </row>
    <row r="9172" spans="3:11" x14ac:dyDescent="0.2">
      <c r="C9172" s="19"/>
      <c r="D9172" s="19"/>
      <c r="E9172" s="19"/>
      <c r="F9172" s="20"/>
      <c r="G9172" s="19"/>
      <c r="H9172" s="19"/>
      <c r="I9172" s="19"/>
      <c r="J9172" s="19"/>
      <c r="K9172" s="19"/>
    </row>
    <row r="9173" spans="3:11" x14ac:dyDescent="0.2">
      <c r="C9173" s="19"/>
      <c r="D9173" s="19"/>
      <c r="E9173" s="19"/>
      <c r="F9173" s="20"/>
      <c r="G9173" s="19"/>
      <c r="H9173" s="19"/>
      <c r="I9173" s="19"/>
      <c r="J9173" s="19"/>
      <c r="K9173" s="19"/>
    </row>
    <row r="9174" spans="3:11" x14ac:dyDescent="0.2">
      <c r="C9174" s="19"/>
      <c r="D9174" s="19"/>
      <c r="E9174" s="19"/>
      <c r="F9174" s="20"/>
      <c r="G9174" s="19"/>
      <c r="H9174" s="19"/>
      <c r="I9174" s="19"/>
      <c r="J9174" s="19"/>
      <c r="K9174" s="19"/>
    </row>
    <row r="9175" spans="3:11" x14ac:dyDescent="0.2">
      <c r="C9175" s="19"/>
      <c r="D9175" s="19"/>
      <c r="E9175" s="19"/>
      <c r="F9175" s="20"/>
      <c r="G9175" s="19"/>
      <c r="H9175" s="19"/>
      <c r="I9175" s="19"/>
      <c r="J9175" s="19"/>
      <c r="K9175" s="19"/>
    </row>
    <row r="9176" spans="3:11" x14ac:dyDescent="0.2">
      <c r="C9176" s="19"/>
      <c r="D9176" s="19"/>
      <c r="E9176" s="19"/>
      <c r="F9176" s="20"/>
      <c r="G9176" s="19"/>
      <c r="H9176" s="19"/>
      <c r="I9176" s="19"/>
      <c r="J9176" s="19"/>
      <c r="K9176" s="19"/>
    </row>
    <row r="9177" spans="3:11" x14ac:dyDescent="0.2">
      <c r="C9177" s="19"/>
      <c r="D9177" s="19"/>
      <c r="E9177" s="19"/>
      <c r="F9177" s="20"/>
      <c r="G9177" s="19"/>
      <c r="H9177" s="19"/>
      <c r="I9177" s="19"/>
      <c r="J9177" s="19"/>
      <c r="K9177" s="19"/>
    </row>
    <row r="9178" spans="3:11" x14ac:dyDescent="0.2">
      <c r="C9178" s="19"/>
      <c r="D9178" s="19"/>
      <c r="E9178" s="19"/>
      <c r="F9178" s="20"/>
      <c r="G9178" s="19"/>
      <c r="H9178" s="19"/>
      <c r="I9178" s="19"/>
      <c r="J9178" s="19"/>
      <c r="K9178" s="19"/>
    </row>
    <row r="9179" spans="3:11" x14ac:dyDescent="0.2">
      <c r="C9179" s="19"/>
      <c r="D9179" s="19"/>
      <c r="E9179" s="19"/>
      <c r="F9179" s="20"/>
      <c r="G9179" s="19"/>
      <c r="H9179" s="19"/>
      <c r="I9179" s="19"/>
      <c r="J9179" s="19"/>
      <c r="K9179" s="19"/>
    </row>
    <row r="9180" spans="3:11" x14ac:dyDescent="0.2">
      <c r="C9180" s="19"/>
      <c r="D9180" s="19"/>
      <c r="E9180" s="19"/>
      <c r="F9180" s="20"/>
      <c r="G9180" s="19"/>
      <c r="H9180" s="19"/>
      <c r="I9180" s="19"/>
      <c r="J9180" s="19"/>
      <c r="K9180" s="19"/>
    </row>
    <row r="9181" spans="3:11" x14ac:dyDescent="0.2">
      <c r="C9181" s="19"/>
      <c r="D9181" s="19"/>
      <c r="E9181" s="19"/>
      <c r="F9181" s="20"/>
      <c r="G9181" s="19"/>
      <c r="H9181" s="19"/>
      <c r="I9181" s="19"/>
      <c r="J9181" s="19"/>
      <c r="K9181" s="19"/>
    </row>
    <row r="9182" spans="3:11" x14ac:dyDescent="0.2">
      <c r="C9182" s="19"/>
      <c r="D9182" s="19"/>
      <c r="E9182" s="19"/>
      <c r="F9182" s="20"/>
      <c r="G9182" s="19"/>
      <c r="H9182" s="19"/>
      <c r="I9182" s="19"/>
      <c r="J9182" s="19"/>
      <c r="K9182" s="19"/>
    </row>
    <row r="9183" spans="3:11" x14ac:dyDescent="0.2">
      <c r="C9183" s="19"/>
      <c r="D9183" s="19"/>
      <c r="E9183" s="19"/>
      <c r="F9183" s="20"/>
      <c r="G9183" s="19"/>
      <c r="H9183" s="19"/>
      <c r="I9183" s="19"/>
      <c r="J9183" s="19"/>
      <c r="K9183" s="19"/>
    </row>
    <row r="9184" spans="3:11" x14ac:dyDescent="0.2">
      <c r="C9184" s="19"/>
      <c r="D9184" s="19"/>
      <c r="E9184" s="19"/>
      <c r="F9184" s="20"/>
      <c r="G9184" s="19"/>
      <c r="H9184" s="19"/>
      <c r="I9184" s="19"/>
      <c r="J9184" s="19"/>
      <c r="K9184" s="19"/>
    </row>
    <row r="9185" spans="3:11" x14ac:dyDescent="0.2">
      <c r="C9185" s="19"/>
      <c r="D9185" s="19"/>
      <c r="E9185" s="19"/>
      <c r="F9185" s="20"/>
      <c r="G9185" s="19"/>
      <c r="H9185" s="19"/>
      <c r="I9185" s="19"/>
      <c r="J9185" s="19"/>
      <c r="K9185" s="19"/>
    </row>
    <row r="9186" spans="3:11" x14ac:dyDescent="0.2">
      <c r="C9186" s="19"/>
      <c r="D9186" s="19"/>
      <c r="E9186" s="19"/>
      <c r="F9186" s="20"/>
      <c r="G9186" s="19"/>
      <c r="H9186" s="19"/>
      <c r="I9186" s="19"/>
      <c r="J9186" s="19"/>
      <c r="K9186" s="19"/>
    </row>
    <row r="9187" spans="3:11" x14ac:dyDescent="0.2">
      <c r="C9187" s="19"/>
      <c r="D9187" s="19"/>
      <c r="E9187" s="19"/>
      <c r="F9187" s="20"/>
      <c r="G9187" s="19"/>
      <c r="H9187" s="19"/>
      <c r="I9187" s="19"/>
      <c r="J9187" s="19"/>
      <c r="K9187" s="19"/>
    </row>
    <row r="9188" spans="3:11" x14ac:dyDescent="0.2">
      <c r="C9188" s="19"/>
      <c r="D9188" s="19"/>
      <c r="E9188" s="19"/>
      <c r="F9188" s="20"/>
      <c r="G9188" s="19"/>
      <c r="H9188" s="19"/>
      <c r="I9188" s="19"/>
      <c r="J9188" s="19"/>
      <c r="K9188" s="19"/>
    </row>
    <row r="9189" spans="3:11" x14ac:dyDescent="0.2">
      <c r="C9189" s="19"/>
      <c r="D9189" s="19"/>
      <c r="E9189" s="19"/>
      <c r="F9189" s="20"/>
      <c r="G9189" s="19"/>
      <c r="H9189" s="19"/>
      <c r="I9189" s="19"/>
      <c r="J9189" s="19"/>
      <c r="K9189" s="19"/>
    </row>
    <row r="9190" spans="3:11" x14ac:dyDescent="0.2">
      <c r="C9190" s="19"/>
      <c r="D9190" s="19"/>
      <c r="E9190" s="19"/>
      <c r="F9190" s="20"/>
      <c r="G9190" s="19"/>
      <c r="H9190" s="19"/>
      <c r="I9190" s="19"/>
      <c r="J9190" s="19"/>
      <c r="K9190" s="19"/>
    </row>
    <row r="9191" spans="3:11" x14ac:dyDescent="0.2">
      <c r="C9191" s="19"/>
      <c r="D9191" s="19"/>
      <c r="E9191" s="19"/>
      <c r="F9191" s="20"/>
      <c r="G9191" s="19"/>
      <c r="H9191" s="19"/>
      <c r="I9191" s="19"/>
      <c r="J9191" s="19"/>
      <c r="K9191" s="19"/>
    </row>
    <row r="9192" spans="3:11" x14ac:dyDescent="0.2">
      <c r="C9192" s="19"/>
      <c r="D9192" s="19"/>
      <c r="E9192" s="19"/>
      <c r="F9192" s="20"/>
      <c r="G9192" s="19"/>
      <c r="H9192" s="19"/>
      <c r="I9192" s="19"/>
      <c r="J9192" s="19"/>
      <c r="K9192" s="19"/>
    </row>
    <row r="9193" spans="3:11" x14ac:dyDescent="0.2">
      <c r="C9193" s="19"/>
      <c r="D9193" s="19"/>
      <c r="E9193" s="19"/>
      <c r="F9193" s="20"/>
      <c r="G9193" s="19"/>
      <c r="H9193" s="19"/>
      <c r="I9193" s="19"/>
      <c r="J9193" s="19"/>
      <c r="K9193" s="19"/>
    </row>
    <row r="9194" spans="3:11" x14ac:dyDescent="0.2">
      <c r="C9194" s="19"/>
      <c r="D9194" s="19"/>
      <c r="E9194" s="19"/>
      <c r="F9194" s="20"/>
      <c r="G9194" s="19"/>
      <c r="H9194" s="19"/>
      <c r="I9194" s="19"/>
      <c r="J9194" s="19"/>
      <c r="K9194" s="19"/>
    </row>
    <row r="9195" spans="3:11" x14ac:dyDescent="0.2">
      <c r="C9195" s="19"/>
      <c r="D9195" s="19"/>
      <c r="E9195" s="19"/>
      <c r="F9195" s="20"/>
      <c r="G9195" s="19"/>
      <c r="H9195" s="19"/>
      <c r="I9195" s="19"/>
      <c r="J9195" s="19"/>
      <c r="K9195" s="19"/>
    </row>
    <row r="9196" spans="3:11" x14ac:dyDescent="0.2">
      <c r="C9196" s="19"/>
      <c r="D9196" s="19"/>
      <c r="E9196" s="19"/>
      <c r="F9196" s="20"/>
      <c r="G9196" s="19"/>
      <c r="H9196" s="19"/>
      <c r="I9196" s="19"/>
      <c r="J9196" s="19"/>
      <c r="K9196" s="19"/>
    </row>
    <row r="9197" spans="3:11" x14ac:dyDescent="0.2">
      <c r="C9197" s="19"/>
      <c r="D9197" s="19"/>
      <c r="E9197" s="19"/>
      <c r="F9197" s="20"/>
      <c r="G9197" s="19"/>
      <c r="H9197" s="19"/>
      <c r="I9197" s="19"/>
      <c r="J9197" s="19"/>
      <c r="K9197" s="19"/>
    </row>
    <row r="9198" spans="3:11" x14ac:dyDescent="0.2">
      <c r="C9198" s="19"/>
      <c r="D9198" s="19"/>
      <c r="E9198" s="19"/>
      <c r="F9198" s="20"/>
      <c r="G9198" s="19"/>
      <c r="H9198" s="19"/>
      <c r="I9198" s="19"/>
      <c r="J9198" s="19"/>
      <c r="K9198" s="19"/>
    </row>
    <row r="9199" spans="3:11" x14ac:dyDescent="0.2">
      <c r="C9199" s="19"/>
      <c r="D9199" s="19"/>
      <c r="E9199" s="19"/>
      <c r="F9199" s="20"/>
      <c r="G9199" s="19"/>
      <c r="H9199" s="19"/>
      <c r="I9199" s="19"/>
      <c r="J9199" s="19"/>
      <c r="K9199" s="19"/>
    </row>
    <row r="9200" spans="3:11" x14ac:dyDescent="0.2">
      <c r="C9200" s="19"/>
      <c r="D9200" s="19"/>
      <c r="E9200" s="19"/>
      <c r="F9200" s="20"/>
      <c r="G9200" s="19"/>
      <c r="H9200" s="19"/>
      <c r="I9200" s="19"/>
      <c r="J9200" s="19"/>
      <c r="K9200" s="19"/>
    </row>
    <row r="9201" spans="3:11" x14ac:dyDescent="0.2">
      <c r="C9201" s="19"/>
      <c r="D9201" s="19"/>
      <c r="E9201" s="19"/>
      <c r="F9201" s="20"/>
      <c r="G9201" s="19"/>
      <c r="H9201" s="19"/>
      <c r="I9201" s="19"/>
      <c r="J9201" s="19"/>
      <c r="K9201" s="19"/>
    </row>
    <row r="9202" spans="3:11" x14ac:dyDescent="0.2">
      <c r="C9202" s="19"/>
      <c r="D9202" s="19"/>
      <c r="E9202" s="19"/>
      <c r="F9202" s="20"/>
      <c r="G9202" s="19"/>
      <c r="H9202" s="19"/>
      <c r="I9202" s="19"/>
      <c r="J9202" s="19"/>
      <c r="K9202" s="19"/>
    </row>
    <row r="9203" spans="3:11" x14ac:dyDescent="0.2">
      <c r="C9203" s="19"/>
      <c r="D9203" s="19"/>
      <c r="E9203" s="19"/>
      <c r="F9203" s="20"/>
      <c r="G9203" s="19"/>
      <c r="H9203" s="19"/>
      <c r="I9203" s="19"/>
      <c r="J9203" s="19"/>
      <c r="K9203" s="19"/>
    </row>
    <row r="9204" spans="3:11" x14ac:dyDescent="0.2">
      <c r="C9204" s="19"/>
      <c r="D9204" s="19"/>
      <c r="E9204" s="19"/>
      <c r="F9204" s="20"/>
      <c r="G9204" s="19"/>
      <c r="H9204" s="19"/>
      <c r="I9204" s="19"/>
      <c r="J9204" s="21"/>
      <c r="K9204" s="19"/>
    </row>
    <row r="9205" spans="3:11" x14ac:dyDescent="0.2">
      <c r="C9205" s="19"/>
      <c r="D9205" s="19"/>
      <c r="E9205" s="19"/>
      <c r="F9205" s="20"/>
      <c r="G9205" s="19"/>
      <c r="H9205" s="19"/>
      <c r="I9205" s="19"/>
      <c r="J9205" s="21"/>
      <c r="K9205" s="19"/>
    </row>
    <row r="9206" spans="3:11" x14ac:dyDescent="0.2">
      <c r="C9206" s="19"/>
      <c r="D9206" s="19"/>
      <c r="E9206" s="19"/>
      <c r="F9206" s="20"/>
      <c r="G9206" s="19"/>
      <c r="H9206" s="19"/>
      <c r="I9206" s="19"/>
      <c r="J9206" s="21"/>
      <c r="K9206" s="19"/>
    </row>
    <row r="9207" spans="3:11" x14ac:dyDescent="0.2">
      <c r="C9207" s="19"/>
      <c r="D9207" s="19"/>
      <c r="E9207" s="19"/>
      <c r="F9207" s="20"/>
      <c r="G9207" s="19"/>
      <c r="H9207" s="19"/>
      <c r="I9207" s="19"/>
      <c r="J9207" s="21"/>
      <c r="K9207" s="19"/>
    </row>
    <row r="9208" spans="3:11" x14ac:dyDescent="0.2">
      <c r="C9208" s="19"/>
      <c r="D9208" s="19"/>
      <c r="E9208" s="19"/>
      <c r="F9208" s="20"/>
      <c r="G9208" s="19"/>
      <c r="H9208" s="19"/>
      <c r="I9208" s="19"/>
      <c r="J9208" s="19"/>
      <c r="K9208" s="19"/>
    </row>
    <row r="9209" spans="3:11" x14ac:dyDescent="0.2">
      <c r="C9209" s="19"/>
      <c r="D9209" s="19"/>
      <c r="E9209" s="19"/>
      <c r="F9209" s="20"/>
      <c r="G9209" s="19"/>
      <c r="H9209" s="19"/>
      <c r="I9209" s="19"/>
      <c r="J9209" s="19"/>
      <c r="K9209" s="19"/>
    </row>
    <row r="9210" spans="3:11" x14ac:dyDescent="0.2">
      <c r="C9210" s="19"/>
      <c r="D9210" s="19"/>
      <c r="E9210" s="19"/>
      <c r="F9210" s="20"/>
      <c r="G9210" s="19"/>
      <c r="H9210" s="19"/>
      <c r="I9210" s="19"/>
      <c r="J9210" s="19"/>
      <c r="K9210" s="19"/>
    </row>
    <row r="9211" spans="3:11" x14ac:dyDescent="0.2">
      <c r="C9211" s="19"/>
      <c r="D9211" s="19"/>
      <c r="E9211" s="19"/>
      <c r="F9211" s="20"/>
      <c r="G9211" s="19"/>
      <c r="H9211" s="19"/>
      <c r="I9211" s="19"/>
      <c r="J9211" s="19"/>
      <c r="K9211" s="19"/>
    </row>
    <row r="9212" spans="3:11" x14ac:dyDescent="0.2">
      <c r="C9212" s="19"/>
      <c r="D9212" s="19"/>
      <c r="E9212" s="19"/>
      <c r="F9212" s="20"/>
      <c r="G9212" s="19"/>
      <c r="H9212" s="19"/>
      <c r="I9212" s="19"/>
      <c r="J9212" s="21"/>
      <c r="K9212" s="19"/>
    </row>
    <row r="9213" spans="3:11" x14ac:dyDescent="0.2">
      <c r="C9213" s="19"/>
      <c r="D9213" s="19"/>
      <c r="E9213" s="19"/>
      <c r="F9213" s="20"/>
      <c r="G9213" s="19"/>
      <c r="H9213" s="19"/>
      <c r="I9213" s="19"/>
      <c r="J9213" s="21"/>
      <c r="K9213" s="19"/>
    </row>
    <row r="9214" spans="3:11" x14ac:dyDescent="0.2">
      <c r="C9214" s="19"/>
      <c r="D9214" s="19"/>
      <c r="E9214" s="19"/>
      <c r="F9214" s="20"/>
      <c r="G9214" s="19"/>
      <c r="H9214" s="19"/>
      <c r="I9214" s="19"/>
      <c r="J9214" s="21"/>
      <c r="K9214" s="19"/>
    </row>
    <row r="9215" spans="3:11" x14ac:dyDescent="0.2">
      <c r="C9215" s="19"/>
      <c r="D9215" s="19"/>
      <c r="E9215" s="19"/>
      <c r="F9215" s="20"/>
      <c r="G9215" s="19"/>
      <c r="H9215" s="19"/>
      <c r="I9215" s="19"/>
      <c r="J9215" s="21"/>
      <c r="K9215" s="19"/>
    </row>
    <row r="9216" spans="3:11" x14ac:dyDescent="0.2">
      <c r="C9216" s="19"/>
      <c r="D9216" s="19"/>
      <c r="E9216" s="19"/>
      <c r="F9216" s="20"/>
      <c r="G9216" s="19"/>
      <c r="H9216" s="19"/>
      <c r="I9216" s="19"/>
      <c r="J9216" s="21"/>
      <c r="K9216" s="19"/>
    </row>
    <row r="9217" spans="3:11" x14ac:dyDescent="0.2">
      <c r="C9217" s="19"/>
      <c r="D9217" s="19"/>
      <c r="E9217" s="19"/>
      <c r="F9217" s="20"/>
      <c r="G9217" s="19"/>
      <c r="H9217" s="19"/>
      <c r="I9217" s="19"/>
      <c r="J9217" s="21"/>
      <c r="K9217" s="19"/>
    </row>
    <row r="9218" spans="3:11" x14ac:dyDescent="0.2">
      <c r="C9218" s="19"/>
      <c r="D9218" s="19"/>
      <c r="E9218" s="19"/>
      <c r="F9218" s="20"/>
      <c r="G9218" s="19"/>
      <c r="H9218" s="19"/>
      <c r="I9218" s="19"/>
      <c r="J9218" s="19"/>
      <c r="K9218" s="19"/>
    </row>
    <row r="9219" spans="3:11" x14ac:dyDescent="0.2">
      <c r="C9219" s="19"/>
      <c r="D9219" s="19"/>
      <c r="E9219" s="19"/>
      <c r="F9219" s="20"/>
      <c r="G9219" s="19"/>
      <c r="H9219" s="19"/>
      <c r="I9219" s="19"/>
      <c r="J9219" s="19"/>
      <c r="K9219" s="19"/>
    </row>
    <row r="9220" spans="3:11" x14ac:dyDescent="0.2">
      <c r="C9220" s="19"/>
      <c r="D9220" s="19"/>
      <c r="E9220" s="19"/>
      <c r="F9220" s="20"/>
      <c r="G9220" s="19"/>
      <c r="H9220" s="19"/>
      <c r="I9220" s="19"/>
      <c r="J9220" s="21"/>
      <c r="K9220" s="19"/>
    </row>
    <row r="9221" spans="3:11" x14ac:dyDescent="0.2">
      <c r="C9221" s="19"/>
      <c r="D9221" s="19"/>
      <c r="E9221" s="19"/>
      <c r="F9221" s="20"/>
      <c r="G9221" s="19"/>
      <c r="H9221" s="19"/>
      <c r="I9221" s="19"/>
      <c r="J9221" s="21"/>
      <c r="K9221" s="19"/>
    </row>
    <row r="9222" spans="3:11" x14ac:dyDescent="0.2">
      <c r="C9222" s="19"/>
      <c r="D9222" s="19"/>
      <c r="E9222" s="19"/>
      <c r="F9222" s="20"/>
      <c r="G9222" s="19"/>
      <c r="H9222" s="19"/>
      <c r="I9222" s="19"/>
      <c r="J9222" s="21"/>
      <c r="K9222" s="19"/>
    </row>
    <row r="9223" spans="3:11" x14ac:dyDescent="0.2">
      <c r="C9223" s="19"/>
      <c r="D9223" s="19"/>
      <c r="E9223" s="19"/>
      <c r="F9223" s="20"/>
      <c r="G9223" s="19"/>
      <c r="H9223" s="19"/>
      <c r="I9223" s="19"/>
      <c r="J9223" s="21"/>
      <c r="K9223" s="19"/>
    </row>
    <row r="9224" spans="3:11" x14ac:dyDescent="0.2">
      <c r="C9224" s="19"/>
      <c r="D9224" s="19"/>
      <c r="E9224" s="19"/>
      <c r="F9224" s="20"/>
      <c r="G9224" s="19"/>
      <c r="H9224" s="19"/>
      <c r="I9224" s="19"/>
      <c r="J9224" s="21"/>
      <c r="K9224" s="19"/>
    </row>
    <row r="9225" spans="3:11" x14ac:dyDescent="0.2">
      <c r="C9225" s="19"/>
      <c r="D9225" s="19"/>
      <c r="E9225" s="19"/>
      <c r="F9225" s="20"/>
      <c r="G9225" s="19"/>
      <c r="H9225" s="19"/>
      <c r="I9225" s="19"/>
      <c r="J9225" s="21"/>
      <c r="K9225" s="19"/>
    </row>
    <row r="9226" spans="3:11" x14ac:dyDescent="0.2">
      <c r="C9226" s="19"/>
      <c r="D9226" s="19"/>
      <c r="E9226" s="19"/>
      <c r="F9226" s="20"/>
      <c r="G9226" s="19"/>
      <c r="H9226" s="19"/>
      <c r="I9226" s="19"/>
      <c r="J9226" s="21"/>
      <c r="K9226" s="19"/>
    </row>
    <row r="9227" spans="3:11" x14ac:dyDescent="0.2">
      <c r="C9227" s="19"/>
      <c r="D9227" s="19"/>
      <c r="E9227" s="19"/>
      <c r="F9227" s="20"/>
      <c r="G9227" s="19"/>
      <c r="H9227" s="19"/>
      <c r="I9227" s="19"/>
      <c r="J9227" s="21"/>
      <c r="K9227" s="19"/>
    </row>
    <row r="9228" spans="3:11" x14ac:dyDescent="0.2">
      <c r="C9228" s="19"/>
      <c r="D9228" s="19"/>
      <c r="E9228" s="19"/>
      <c r="F9228" s="20"/>
      <c r="G9228" s="19"/>
      <c r="H9228" s="19"/>
      <c r="I9228" s="19"/>
      <c r="J9228" s="21"/>
      <c r="K9228" s="19"/>
    </row>
    <row r="9229" spans="3:11" x14ac:dyDescent="0.2">
      <c r="C9229" s="19"/>
      <c r="D9229" s="19"/>
      <c r="E9229" s="19"/>
      <c r="F9229" s="20"/>
      <c r="G9229" s="19"/>
      <c r="H9229" s="19"/>
      <c r="I9229" s="19"/>
      <c r="J9229" s="19"/>
      <c r="K9229" s="19"/>
    </row>
    <row r="9230" spans="3:11" x14ac:dyDescent="0.2">
      <c r="C9230" s="19"/>
      <c r="D9230" s="19"/>
      <c r="E9230" s="19"/>
      <c r="F9230" s="20"/>
      <c r="G9230" s="19"/>
      <c r="H9230" s="19"/>
      <c r="I9230" s="19"/>
      <c r="J9230" s="21"/>
      <c r="K9230" s="19"/>
    </row>
    <row r="9231" spans="3:11" x14ac:dyDescent="0.2">
      <c r="C9231" s="19"/>
      <c r="D9231" s="19"/>
      <c r="E9231" s="19"/>
      <c r="F9231" s="20"/>
      <c r="G9231" s="19"/>
      <c r="H9231" s="19"/>
      <c r="I9231" s="19"/>
      <c r="J9231" s="21"/>
      <c r="K9231" s="19"/>
    </row>
    <row r="9232" spans="3:11" x14ac:dyDescent="0.2">
      <c r="C9232" s="19"/>
      <c r="D9232" s="19"/>
      <c r="E9232" s="19"/>
      <c r="F9232" s="20"/>
      <c r="G9232" s="19"/>
      <c r="H9232" s="19"/>
      <c r="I9232" s="19"/>
      <c r="J9232" s="21"/>
      <c r="K9232" s="19"/>
    </row>
    <row r="9233" spans="3:11" x14ac:dyDescent="0.2">
      <c r="C9233" s="19"/>
      <c r="D9233" s="19"/>
      <c r="E9233" s="19"/>
      <c r="F9233" s="20"/>
      <c r="G9233" s="19"/>
      <c r="H9233" s="19"/>
      <c r="I9233" s="19"/>
      <c r="J9233" s="19"/>
      <c r="K9233" s="19"/>
    </row>
    <row r="9234" spans="3:11" x14ac:dyDescent="0.2">
      <c r="C9234" s="19"/>
      <c r="D9234" s="19"/>
      <c r="E9234" s="19"/>
      <c r="F9234" s="20"/>
      <c r="G9234" s="19"/>
      <c r="H9234" s="19"/>
      <c r="I9234" s="19"/>
      <c r="J9234" s="19"/>
      <c r="K9234" s="19"/>
    </row>
    <row r="9235" spans="3:11" x14ac:dyDescent="0.2">
      <c r="C9235" s="19"/>
      <c r="D9235" s="19"/>
      <c r="E9235" s="19"/>
      <c r="F9235" s="20"/>
      <c r="G9235" s="19"/>
      <c r="H9235" s="19"/>
      <c r="I9235" s="19"/>
      <c r="J9235" s="21"/>
      <c r="K9235" s="19"/>
    </row>
    <row r="9236" spans="3:11" x14ac:dyDescent="0.2">
      <c r="C9236" s="19"/>
      <c r="D9236" s="19"/>
      <c r="E9236" s="19"/>
      <c r="F9236" s="20"/>
      <c r="G9236" s="19"/>
      <c r="H9236" s="19"/>
      <c r="I9236" s="19"/>
      <c r="J9236" s="21"/>
      <c r="K9236" s="19"/>
    </row>
    <row r="9237" spans="3:11" x14ac:dyDescent="0.2">
      <c r="C9237" s="19"/>
      <c r="D9237" s="19"/>
      <c r="E9237" s="19"/>
      <c r="F9237" s="20"/>
      <c r="G9237" s="19"/>
      <c r="H9237" s="19"/>
      <c r="I9237" s="19"/>
      <c r="J9237" s="21"/>
      <c r="K9237" s="19"/>
    </row>
    <row r="9238" spans="3:11" x14ac:dyDescent="0.2">
      <c r="C9238" s="19"/>
      <c r="D9238" s="19"/>
      <c r="E9238" s="19"/>
      <c r="F9238" s="20"/>
      <c r="G9238" s="19"/>
      <c r="H9238" s="19"/>
      <c r="I9238" s="19"/>
      <c r="J9238" s="21"/>
      <c r="K9238" s="19"/>
    </row>
    <row r="9239" spans="3:11" x14ac:dyDescent="0.2">
      <c r="C9239" s="19"/>
      <c r="D9239" s="19"/>
      <c r="E9239" s="19"/>
      <c r="F9239" s="20"/>
      <c r="G9239" s="19"/>
      <c r="H9239" s="19"/>
      <c r="I9239" s="19"/>
      <c r="J9239" s="21"/>
      <c r="K9239" s="19"/>
    </row>
    <row r="9240" spans="3:11" x14ac:dyDescent="0.2">
      <c r="C9240" s="19"/>
      <c r="D9240" s="19"/>
      <c r="E9240" s="19"/>
      <c r="F9240" s="20"/>
      <c r="G9240" s="19"/>
      <c r="H9240" s="19"/>
      <c r="I9240" s="19"/>
      <c r="J9240" s="19"/>
      <c r="K9240" s="19"/>
    </row>
    <row r="9241" spans="3:11" x14ac:dyDescent="0.2">
      <c r="C9241" s="19"/>
      <c r="D9241" s="19"/>
      <c r="E9241" s="19"/>
      <c r="F9241" s="20"/>
      <c r="G9241" s="19"/>
      <c r="H9241" s="19"/>
      <c r="I9241" s="19"/>
      <c r="J9241" s="19"/>
      <c r="K9241" s="19"/>
    </row>
    <row r="9242" spans="3:11" x14ac:dyDescent="0.2">
      <c r="C9242" s="19"/>
      <c r="D9242" s="19"/>
      <c r="E9242" s="19"/>
      <c r="F9242" s="20"/>
      <c r="G9242" s="19"/>
      <c r="H9242" s="19"/>
      <c r="I9242" s="19"/>
      <c r="J9242" s="19"/>
      <c r="K9242" s="19"/>
    </row>
    <row r="9243" spans="3:11" x14ac:dyDescent="0.2">
      <c r="C9243" s="19"/>
      <c r="D9243" s="19"/>
      <c r="E9243" s="19"/>
      <c r="F9243" s="20"/>
      <c r="G9243" s="19"/>
      <c r="H9243" s="19"/>
      <c r="I9243" s="19"/>
      <c r="J9243" s="19"/>
      <c r="K9243" s="19"/>
    </row>
    <row r="9244" spans="3:11" x14ac:dyDescent="0.2">
      <c r="C9244" s="19"/>
      <c r="D9244" s="19"/>
      <c r="E9244" s="19"/>
      <c r="F9244" s="20"/>
      <c r="G9244" s="19"/>
      <c r="H9244" s="19"/>
      <c r="I9244" s="19"/>
      <c r="J9244" s="19"/>
      <c r="K9244" s="19"/>
    </row>
    <row r="9245" spans="3:11" x14ac:dyDescent="0.2">
      <c r="C9245" s="19"/>
      <c r="D9245" s="19"/>
      <c r="E9245" s="19"/>
      <c r="F9245" s="20"/>
      <c r="G9245" s="19"/>
      <c r="H9245" s="19"/>
      <c r="I9245" s="19"/>
      <c r="J9245" s="19"/>
      <c r="K9245" s="19"/>
    </row>
    <row r="9246" spans="3:11" x14ac:dyDescent="0.2">
      <c r="C9246" s="19"/>
      <c r="D9246" s="19"/>
      <c r="E9246" s="19"/>
      <c r="F9246" s="20"/>
      <c r="G9246" s="19"/>
      <c r="H9246" s="19"/>
      <c r="I9246" s="19"/>
      <c r="J9246" s="19"/>
      <c r="K9246" s="19"/>
    </row>
    <row r="9247" spans="3:11" x14ac:dyDescent="0.2">
      <c r="C9247" s="19"/>
      <c r="D9247" s="19"/>
      <c r="E9247" s="19"/>
      <c r="F9247" s="20"/>
      <c r="G9247" s="19"/>
      <c r="H9247" s="19"/>
      <c r="I9247" s="19"/>
      <c r="J9247" s="19"/>
      <c r="K9247" s="19"/>
    </row>
    <row r="9248" spans="3:11" x14ac:dyDescent="0.2">
      <c r="C9248" s="19"/>
      <c r="D9248" s="19"/>
      <c r="E9248" s="19"/>
      <c r="F9248" s="20"/>
      <c r="G9248" s="19"/>
      <c r="H9248" s="19"/>
      <c r="I9248" s="19"/>
      <c r="J9248" s="19"/>
      <c r="K9248" s="19"/>
    </row>
    <row r="9249" spans="3:11" x14ac:dyDescent="0.2">
      <c r="C9249" s="19"/>
      <c r="D9249" s="19"/>
      <c r="E9249" s="19"/>
      <c r="F9249" s="20"/>
      <c r="G9249" s="19"/>
      <c r="H9249" s="19"/>
      <c r="I9249" s="19"/>
      <c r="J9249" s="19"/>
      <c r="K9249" s="19"/>
    </row>
    <row r="9250" spans="3:11" x14ac:dyDescent="0.2">
      <c r="C9250" s="19"/>
      <c r="D9250" s="19"/>
      <c r="E9250" s="19"/>
      <c r="F9250" s="20"/>
      <c r="G9250" s="19"/>
      <c r="H9250" s="19"/>
      <c r="I9250" s="19"/>
      <c r="J9250" s="19"/>
      <c r="K9250" s="19"/>
    </row>
    <row r="9251" spans="3:11" x14ac:dyDescent="0.2">
      <c r="C9251" s="19"/>
      <c r="D9251" s="19"/>
      <c r="E9251" s="19"/>
      <c r="F9251" s="20"/>
      <c r="G9251" s="19"/>
      <c r="H9251" s="19"/>
      <c r="I9251" s="19"/>
      <c r="J9251" s="19"/>
      <c r="K9251" s="19"/>
    </row>
    <row r="9252" spans="3:11" x14ac:dyDescent="0.2">
      <c r="C9252" s="19"/>
      <c r="D9252" s="19"/>
      <c r="E9252" s="19"/>
      <c r="F9252" s="20"/>
      <c r="G9252" s="19"/>
      <c r="H9252" s="19"/>
      <c r="I9252" s="19"/>
      <c r="J9252" s="19"/>
      <c r="K9252" s="19"/>
    </row>
    <row r="9253" spans="3:11" x14ac:dyDescent="0.2">
      <c r="C9253" s="19"/>
      <c r="D9253" s="19"/>
      <c r="E9253" s="19"/>
      <c r="F9253" s="20"/>
      <c r="G9253" s="19"/>
      <c r="H9253" s="19"/>
      <c r="I9253" s="19"/>
      <c r="J9253" s="21"/>
      <c r="K9253" s="19"/>
    </row>
    <row r="9254" spans="3:11" x14ac:dyDescent="0.2">
      <c r="C9254" s="19"/>
      <c r="D9254" s="19"/>
      <c r="E9254" s="19"/>
      <c r="F9254" s="20"/>
      <c r="G9254" s="19"/>
      <c r="H9254" s="19"/>
      <c r="I9254" s="19"/>
      <c r="J9254" s="19"/>
      <c r="K9254" s="19"/>
    </row>
    <row r="9255" spans="3:11" x14ac:dyDescent="0.2">
      <c r="C9255" s="19"/>
      <c r="D9255" s="19"/>
      <c r="E9255" s="19"/>
      <c r="F9255" s="20"/>
      <c r="G9255" s="19"/>
      <c r="H9255" s="19"/>
      <c r="I9255" s="19"/>
      <c r="J9255" s="19"/>
      <c r="K9255" s="19"/>
    </row>
    <row r="9256" spans="3:11" x14ac:dyDescent="0.2">
      <c r="C9256" s="19"/>
      <c r="D9256" s="19"/>
      <c r="E9256" s="19"/>
      <c r="F9256" s="20"/>
      <c r="G9256" s="19"/>
      <c r="H9256" s="19"/>
      <c r="I9256" s="19"/>
      <c r="J9256" s="19"/>
      <c r="K9256" s="19"/>
    </row>
    <row r="9257" spans="3:11" x14ac:dyDescent="0.2">
      <c r="C9257" s="19"/>
      <c r="D9257" s="19"/>
      <c r="E9257" s="19"/>
      <c r="F9257" s="20"/>
      <c r="G9257" s="19"/>
      <c r="H9257" s="19"/>
      <c r="I9257" s="19"/>
      <c r="J9257" s="19"/>
      <c r="K9257" s="19"/>
    </row>
    <row r="9258" spans="3:11" x14ac:dyDescent="0.2">
      <c r="C9258" s="19"/>
      <c r="D9258" s="19"/>
      <c r="E9258" s="19"/>
      <c r="F9258" s="20"/>
      <c r="G9258" s="19"/>
      <c r="H9258" s="19"/>
      <c r="I9258" s="19"/>
      <c r="J9258" s="19"/>
      <c r="K9258" s="19"/>
    </row>
    <row r="9259" spans="3:11" x14ac:dyDescent="0.2">
      <c r="C9259" s="19"/>
      <c r="D9259" s="19"/>
      <c r="E9259" s="19"/>
      <c r="F9259" s="20"/>
      <c r="G9259" s="19"/>
      <c r="H9259" s="19"/>
      <c r="I9259" s="19"/>
      <c r="J9259" s="21"/>
      <c r="K9259" s="19"/>
    </row>
    <row r="9260" spans="3:11" x14ac:dyDescent="0.2">
      <c r="C9260" s="19"/>
      <c r="D9260" s="19"/>
      <c r="E9260" s="19"/>
      <c r="F9260" s="20"/>
      <c r="G9260" s="19"/>
      <c r="H9260" s="19"/>
      <c r="I9260" s="19"/>
      <c r="J9260" s="19"/>
      <c r="K9260" s="19"/>
    </row>
    <row r="9261" spans="3:11" x14ac:dyDescent="0.2">
      <c r="C9261" s="19"/>
      <c r="D9261" s="19"/>
      <c r="E9261" s="19"/>
      <c r="F9261" s="20"/>
      <c r="G9261" s="19"/>
      <c r="H9261" s="19"/>
      <c r="I9261" s="19"/>
      <c r="J9261" s="19"/>
      <c r="K9261" s="19"/>
    </row>
    <row r="9262" spans="3:11" x14ac:dyDescent="0.2">
      <c r="C9262" s="19"/>
      <c r="D9262" s="19"/>
      <c r="E9262" s="19"/>
      <c r="F9262" s="20"/>
      <c r="G9262" s="19"/>
      <c r="H9262" s="19"/>
      <c r="I9262" s="19"/>
      <c r="J9262" s="19"/>
      <c r="K9262" s="19"/>
    </row>
    <row r="9263" spans="3:11" x14ac:dyDescent="0.2">
      <c r="C9263" s="19"/>
      <c r="D9263" s="19"/>
      <c r="E9263" s="19"/>
      <c r="F9263" s="20"/>
      <c r="G9263" s="19"/>
      <c r="H9263" s="19"/>
      <c r="I9263" s="19"/>
      <c r="J9263" s="19"/>
      <c r="K9263" s="19"/>
    </row>
    <row r="9264" spans="3:11" x14ac:dyDescent="0.2">
      <c r="C9264" s="19"/>
      <c r="D9264" s="19"/>
      <c r="E9264" s="19"/>
      <c r="F9264" s="20"/>
      <c r="G9264" s="19"/>
      <c r="H9264" s="19"/>
      <c r="I9264" s="19"/>
      <c r="J9264" s="21"/>
      <c r="K9264" s="19"/>
    </row>
    <row r="9265" spans="3:11" x14ac:dyDescent="0.2">
      <c r="C9265" s="19"/>
      <c r="D9265" s="19"/>
      <c r="E9265" s="19"/>
      <c r="F9265" s="20"/>
      <c r="G9265" s="19"/>
      <c r="H9265" s="19"/>
      <c r="I9265" s="19"/>
      <c r="J9265" s="19"/>
      <c r="K9265" s="19"/>
    </row>
    <row r="9266" spans="3:11" x14ac:dyDescent="0.2">
      <c r="C9266" s="19"/>
      <c r="D9266" s="19"/>
      <c r="E9266" s="19"/>
      <c r="F9266" s="20"/>
      <c r="G9266" s="19"/>
      <c r="H9266" s="19"/>
      <c r="I9266" s="19"/>
      <c r="J9266" s="19"/>
      <c r="K9266" s="19"/>
    </row>
    <row r="9267" spans="3:11" x14ac:dyDescent="0.2">
      <c r="C9267" s="19"/>
      <c r="D9267" s="19"/>
      <c r="E9267" s="19"/>
      <c r="F9267" s="20"/>
      <c r="G9267" s="19"/>
      <c r="H9267" s="19"/>
      <c r="I9267" s="19"/>
      <c r="J9267" s="19"/>
      <c r="K9267" s="19"/>
    </row>
    <row r="9268" spans="3:11" x14ac:dyDescent="0.2">
      <c r="C9268" s="19"/>
      <c r="D9268" s="19"/>
      <c r="E9268" s="19"/>
      <c r="F9268" s="20"/>
      <c r="G9268" s="19"/>
      <c r="H9268" s="19"/>
      <c r="I9268" s="19"/>
      <c r="J9268" s="19"/>
      <c r="K9268" s="19"/>
    </row>
    <row r="9269" spans="3:11" x14ac:dyDescent="0.2">
      <c r="C9269" s="19"/>
      <c r="D9269" s="19"/>
      <c r="E9269" s="19"/>
      <c r="F9269" s="20"/>
      <c r="G9269" s="19"/>
      <c r="H9269" s="19"/>
      <c r="I9269" s="19"/>
      <c r="J9269" s="19"/>
      <c r="K9269" s="19"/>
    </row>
    <row r="9270" spans="3:11" x14ac:dyDescent="0.2">
      <c r="C9270" s="19"/>
      <c r="D9270" s="19"/>
      <c r="E9270" s="19"/>
      <c r="F9270" s="20"/>
      <c r="G9270" s="19"/>
      <c r="H9270" s="19"/>
      <c r="I9270" s="19"/>
      <c r="J9270" s="19"/>
      <c r="K9270" s="19"/>
    </row>
    <row r="9271" spans="3:11" x14ac:dyDescent="0.2">
      <c r="C9271" s="19"/>
      <c r="D9271" s="19"/>
      <c r="E9271" s="19"/>
      <c r="F9271" s="20"/>
      <c r="G9271" s="19"/>
      <c r="H9271" s="19"/>
      <c r="I9271" s="19"/>
      <c r="J9271" s="21"/>
      <c r="K9271" s="19"/>
    </row>
    <row r="9272" spans="3:11" x14ac:dyDescent="0.2">
      <c r="C9272" s="19"/>
      <c r="D9272" s="19"/>
      <c r="E9272" s="19"/>
      <c r="F9272" s="20"/>
      <c r="G9272" s="19"/>
      <c r="H9272" s="19"/>
      <c r="I9272" s="19"/>
      <c r="J9272" s="19"/>
      <c r="K9272" s="19"/>
    </row>
    <row r="9273" spans="3:11" x14ac:dyDescent="0.2">
      <c r="C9273" s="19"/>
      <c r="D9273" s="19"/>
      <c r="E9273" s="19"/>
      <c r="F9273" s="20"/>
      <c r="G9273" s="19"/>
      <c r="H9273" s="19"/>
      <c r="I9273" s="19"/>
      <c r="J9273" s="19"/>
      <c r="K9273" s="19"/>
    </row>
    <row r="9274" spans="3:11" x14ac:dyDescent="0.2">
      <c r="C9274" s="19"/>
      <c r="D9274" s="19"/>
      <c r="E9274" s="19"/>
      <c r="F9274" s="20"/>
      <c r="G9274" s="19"/>
      <c r="H9274" s="19"/>
      <c r="I9274" s="19"/>
      <c r="J9274" s="19"/>
      <c r="K9274" s="19"/>
    </row>
    <row r="9275" spans="3:11" x14ac:dyDescent="0.2">
      <c r="C9275" s="19"/>
      <c r="D9275" s="19"/>
      <c r="E9275" s="19"/>
      <c r="F9275" s="20"/>
      <c r="G9275" s="19"/>
      <c r="H9275" s="19"/>
      <c r="I9275" s="19"/>
      <c r="J9275" s="19"/>
      <c r="K9275" s="19"/>
    </row>
    <row r="9276" spans="3:11" x14ac:dyDescent="0.2">
      <c r="C9276" s="19"/>
      <c r="D9276" s="19"/>
      <c r="E9276" s="19"/>
      <c r="F9276" s="20"/>
      <c r="G9276" s="19"/>
      <c r="H9276" s="19"/>
      <c r="I9276" s="19"/>
      <c r="J9276" s="19"/>
      <c r="K9276" s="19"/>
    </row>
    <row r="9277" spans="3:11" x14ac:dyDescent="0.2">
      <c r="C9277" s="19"/>
      <c r="D9277" s="19"/>
      <c r="E9277" s="19"/>
      <c r="F9277" s="20"/>
      <c r="G9277" s="19"/>
      <c r="H9277" s="19"/>
      <c r="I9277" s="19"/>
      <c r="J9277" s="19"/>
      <c r="K9277" s="19"/>
    </row>
    <row r="9278" spans="3:11" x14ac:dyDescent="0.2">
      <c r="C9278" s="19"/>
      <c r="D9278" s="19"/>
      <c r="E9278" s="19"/>
      <c r="F9278" s="20"/>
      <c r="G9278" s="19"/>
      <c r="H9278" s="19"/>
      <c r="I9278" s="19"/>
      <c r="J9278" s="19"/>
      <c r="K9278" s="19"/>
    </row>
    <row r="9279" spans="3:11" x14ac:dyDescent="0.2">
      <c r="C9279" s="19"/>
      <c r="D9279" s="19"/>
      <c r="E9279" s="19"/>
      <c r="F9279" s="20"/>
      <c r="G9279" s="19"/>
      <c r="H9279" s="19"/>
      <c r="I9279" s="19"/>
      <c r="J9279" s="19"/>
      <c r="K9279" s="19"/>
    </row>
    <row r="9280" spans="3:11" x14ac:dyDescent="0.2">
      <c r="C9280" s="19"/>
      <c r="D9280" s="19"/>
      <c r="E9280" s="19"/>
      <c r="F9280" s="20"/>
      <c r="G9280" s="19"/>
      <c r="H9280" s="19"/>
      <c r="I9280" s="19"/>
      <c r="J9280" s="21"/>
      <c r="K9280" s="19"/>
    </row>
    <row r="9281" spans="3:11" x14ac:dyDescent="0.2">
      <c r="C9281" s="19"/>
      <c r="D9281" s="19"/>
      <c r="E9281" s="19"/>
      <c r="F9281" s="20"/>
      <c r="G9281" s="19"/>
      <c r="H9281" s="19"/>
      <c r="I9281" s="19"/>
      <c r="J9281" s="19"/>
      <c r="K9281" s="19"/>
    </row>
    <row r="9282" spans="3:11" x14ac:dyDescent="0.2">
      <c r="C9282" s="19"/>
      <c r="D9282" s="19"/>
      <c r="E9282" s="19"/>
      <c r="F9282" s="20"/>
      <c r="G9282" s="19"/>
      <c r="H9282" s="19"/>
      <c r="I9282" s="19"/>
      <c r="J9282" s="19"/>
      <c r="K9282" s="19"/>
    </row>
    <row r="9283" spans="3:11" x14ac:dyDescent="0.2">
      <c r="C9283" s="19"/>
      <c r="D9283" s="19"/>
      <c r="E9283" s="19"/>
      <c r="F9283" s="20"/>
      <c r="G9283" s="19"/>
      <c r="H9283" s="19"/>
      <c r="I9283" s="19"/>
      <c r="J9283" s="21"/>
      <c r="K9283" s="19"/>
    </row>
    <row r="9284" spans="3:11" x14ac:dyDescent="0.2">
      <c r="C9284" s="19"/>
      <c r="D9284" s="19"/>
      <c r="E9284" s="19"/>
      <c r="F9284" s="20"/>
      <c r="G9284" s="19"/>
      <c r="H9284" s="19"/>
      <c r="I9284" s="19"/>
      <c r="J9284" s="21"/>
      <c r="K9284" s="19"/>
    </row>
    <row r="9285" spans="3:11" x14ac:dyDescent="0.2">
      <c r="C9285" s="19"/>
      <c r="D9285" s="19"/>
      <c r="E9285" s="19"/>
      <c r="F9285" s="20"/>
      <c r="G9285" s="19"/>
      <c r="H9285" s="19"/>
      <c r="I9285" s="19"/>
      <c r="J9285" s="21"/>
      <c r="K9285" s="19"/>
    </row>
    <row r="9286" spans="3:11" x14ac:dyDescent="0.2">
      <c r="C9286" s="19"/>
      <c r="D9286" s="19"/>
      <c r="E9286" s="19"/>
      <c r="F9286" s="20"/>
      <c r="G9286" s="19"/>
      <c r="H9286" s="19"/>
      <c r="I9286" s="19"/>
      <c r="J9286" s="21"/>
      <c r="K9286" s="19"/>
    </row>
    <row r="9287" spans="3:11" x14ac:dyDescent="0.2">
      <c r="C9287" s="19"/>
      <c r="D9287" s="19"/>
      <c r="E9287" s="19"/>
      <c r="F9287" s="20"/>
      <c r="G9287" s="19"/>
      <c r="H9287" s="19"/>
      <c r="I9287" s="19"/>
      <c r="J9287" s="21"/>
      <c r="K9287" s="19"/>
    </row>
    <row r="9288" spans="3:11" x14ac:dyDescent="0.2">
      <c r="C9288" s="19"/>
      <c r="D9288" s="19"/>
      <c r="E9288" s="19"/>
      <c r="F9288" s="20"/>
      <c r="G9288" s="19"/>
      <c r="H9288" s="19"/>
      <c r="I9288" s="19"/>
      <c r="J9288" s="21"/>
      <c r="K9288" s="19"/>
    </row>
    <row r="9289" spans="3:11" x14ac:dyDescent="0.2">
      <c r="C9289" s="19"/>
      <c r="D9289" s="19"/>
      <c r="E9289" s="19"/>
      <c r="F9289" s="20"/>
      <c r="G9289" s="19"/>
      <c r="H9289" s="19"/>
      <c r="I9289" s="19"/>
      <c r="J9289" s="21"/>
      <c r="K9289" s="19"/>
    </row>
    <row r="9290" spans="3:11" x14ac:dyDescent="0.2">
      <c r="C9290" s="19"/>
      <c r="D9290" s="19"/>
      <c r="E9290" s="19"/>
      <c r="F9290" s="20"/>
      <c r="G9290" s="19"/>
      <c r="H9290" s="19"/>
      <c r="I9290" s="19"/>
      <c r="J9290" s="21"/>
      <c r="K9290" s="19"/>
    </row>
    <row r="9291" spans="3:11" x14ac:dyDescent="0.2">
      <c r="C9291" s="19"/>
      <c r="D9291" s="19"/>
      <c r="E9291" s="19"/>
      <c r="F9291" s="20"/>
      <c r="G9291" s="19"/>
      <c r="H9291" s="19"/>
      <c r="I9291" s="19"/>
      <c r="J9291" s="21"/>
      <c r="K9291" s="19"/>
    </row>
    <row r="9292" spans="3:11" x14ac:dyDescent="0.2">
      <c r="C9292" s="19"/>
      <c r="D9292" s="19"/>
      <c r="E9292" s="19"/>
      <c r="F9292" s="20"/>
      <c r="G9292" s="19"/>
      <c r="H9292" s="19"/>
      <c r="I9292" s="19"/>
      <c r="J9292" s="21"/>
      <c r="K9292" s="19"/>
    </row>
    <row r="9293" spans="3:11" x14ac:dyDescent="0.2">
      <c r="C9293" s="19"/>
      <c r="D9293" s="19"/>
      <c r="E9293" s="19"/>
      <c r="F9293" s="20"/>
      <c r="G9293" s="19"/>
      <c r="H9293" s="19"/>
      <c r="I9293" s="19"/>
      <c r="J9293" s="21"/>
      <c r="K9293" s="19"/>
    </row>
    <row r="9294" spans="3:11" x14ac:dyDescent="0.2">
      <c r="C9294" s="19"/>
      <c r="D9294" s="19"/>
      <c r="E9294" s="19"/>
      <c r="F9294" s="20"/>
      <c r="G9294" s="19"/>
      <c r="H9294" s="19"/>
      <c r="I9294" s="19"/>
      <c r="J9294" s="21"/>
      <c r="K9294" s="19"/>
    </row>
    <row r="9295" spans="3:11" x14ac:dyDescent="0.2">
      <c r="C9295" s="19"/>
      <c r="D9295" s="19"/>
      <c r="E9295" s="19"/>
      <c r="F9295" s="20"/>
      <c r="G9295" s="19"/>
      <c r="H9295" s="19"/>
      <c r="I9295" s="19"/>
      <c r="J9295" s="21"/>
      <c r="K9295" s="19"/>
    </row>
    <row r="9296" spans="3:11" x14ac:dyDescent="0.2">
      <c r="C9296" s="19"/>
      <c r="D9296" s="19"/>
      <c r="E9296" s="19"/>
      <c r="F9296" s="20"/>
      <c r="G9296" s="19"/>
      <c r="H9296" s="19"/>
      <c r="I9296" s="19"/>
      <c r="J9296" s="21"/>
      <c r="K9296" s="19"/>
    </row>
  </sheetData>
  <customSheetViews>
    <customSheetView guid="{FCDC5774-C688-49A7-887C-2F5AAD39761C}" scale="115" showGridLines="0" showAutoFilter="1" hiddenColumns="1">
      <pane xSplit="5" ySplit="1" topLeftCell="F2" activePane="bottomRight" state="frozen"/>
      <selection pane="bottomRight" activeCell="P5" sqref="P5:P80"/>
      <pageMargins left="0.7" right="0.7" top="0.75" bottom="0.75" header="0.3" footer="0.3"/>
      <autoFilter ref="B1:R1" xr:uid="{9D44301E-2E13-4B0C-9066-79F97A46829E}"/>
    </customSheetView>
    <customSheetView guid="{A92C6C20-72AA-4220-B3AA-00E51E3C498A}" scale="115" showGridLines="0" showAutoFilter="1" hiddenColumns="1">
      <pane xSplit="5" ySplit="1" topLeftCell="F2" activePane="bottomRight" state="frozen"/>
      <selection pane="bottomRight" activeCell="P5" sqref="P5:P80"/>
      <pageMargins left="0.7" right="0.7" top="0.75" bottom="0.75" header="0.3" footer="0.3"/>
      <autoFilter ref="B1:R1" xr:uid="{715A4FA3-4615-43AC-A82B-577844DE181A}"/>
    </customSheetView>
  </customSheetViews>
  <phoneticPr fontId="24" type="noConversion"/>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5587-C626-4003-B742-6BD3D309B2F9}">
  <sheetPr codeName="Hoja6"/>
  <dimension ref="A1:G2"/>
  <sheetViews>
    <sheetView workbookViewId="0">
      <selection sqref="A1:G2"/>
    </sheetView>
  </sheetViews>
  <sheetFormatPr baseColWidth="10" defaultRowHeight="12.75" x14ac:dyDescent="0.2"/>
  <cols>
    <col min="1" max="1" width="13.7109375" customWidth="1"/>
    <col min="2" max="2" width="15.140625" customWidth="1"/>
    <col min="3" max="3" width="12.28515625" customWidth="1"/>
  </cols>
  <sheetData>
    <row r="1" spans="1:7" x14ac:dyDescent="0.2">
      <c r="A1" t="s">
        <v>29</v>
      </c>
      <c r="B1" t="s">
        <v>30</v>
      </c>
      <c r="C1" t="s">
        <v>31</v>
      </c>
      <c r="D1" t="s">
        <v>32</v>
      </c>
      <c r="E1" t="s">
        <v>3</v>
      </c>
      <c r="F1" t="s">
        <v>33</v>
      </c>
      <c r="G1" t="s">
        <v>75</v>
      </c>
    </row>
    <row r="2" spans="1:7" x14ac:dyDescent="0.2">
      <c r="A2">
        <v>2084</v>
      </c>
      <c r="B2">
        <v>2084</v>
      </c>
      <c r="C2" t="s">
        <v>434</v>
      </c>
      <c r="D2" t="s">
        <v>432</v>
      </c>
      <c r="E2">
        <v>-29060.05</v>
      </c>
      <c r="F2">
        <v>2084</v>
      </c>
      <c r="G2">
        <v>-29060.05</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B1:F21"/>
  <sheetViews>
    <sheetView showGridLines="0" workbookViewId="0"/>
  </sheetViews>
  <sheetFormatPr baseColWidth="10" defaultRowHeight="12.75" x14ac:dyDescent="0.2"/>
  <cols>
    <col min="1" max="1" width="1.140625" customWidth="1"/>
    <col min="2" max="2" width="64.42578125" customWidth="1"/>
    <col min="3" max="3" width="1.5703125" customWidth="1"/>
    <col min="4" max="4" width="5.5703125" customWidth="1"/>
    <col min="5" max="6" width="16" customWidth="1"/>
  </cols>
  <sheetData>
    <row r="1" spans="2:6" ht="25.5" x14ac:dyDescent="0.2">
      <c r="B1" s="23" t="s">
        <v>204</v>
      </c>
      <c r="C1" s="23"/>
      <c r="D1" s="32"/>
      <c r="E1" s="32"/>
      <c r="F1" s="32"/>
    </row>
    <row r="2" spans="2:6" x14ac:dyDescent="0.2">
      <c r="B2" s="23" t="s">
        <v>205</v>
      </c>
      <c r="C2" s="23"/>
      <c r="D2" s="32"/>
      <c r="E2" s="32"/>
      <c r="F2" s="32"/>
    </row>
    <row r="3" spans="2:6" x14ac:dyDescent="0.2">
      <c r="B3" s="24"/>
      <c r="C3" s="24"/>
      <c r="D3" s="33"/>
      <c r="E3" s="33"/>
      <c r="F3" s="33"/>
    </row>
    <row r="4" spans="2:6" ht="51" x14ac:dyDescent="0.2">
      <c r="B4" s="24" t="s">
        <v>206</v>
      </c>
      <c r="C4" s="24"/>
      <c r="D4" s="33"/>
      <c r="E4" s="33"/>
      <c r="F4" s="33"/>
    </row>
    <row r="5" spans="2:6" x14ac:dyDescent="0.2">
      <c r="B5" s="24"/>
      <c r="C5" s="24"/>
      <c r="D5" s="33"/>
      <c r="E5" s="33"/>
      <c r="F5" s="33"/>
    </row>
    <row r="6" spans="2:6" ht="25.5" x14ac:dyDescent="0.2">
      <c r="B6" s="23" t="s">
        <v>207</v>
      </c>
      <c r="C6" s="23"/>
      <c r="D6" s="32"/>
      <c r="E6" s="32" t="s">
        <v>208</v>
      </c>
      <c r="F6" s="32" t="s">
        <v>209</v>
      </c>
    </row>
    <row r="7" spans="2:6" ht="13.5" thickBot="1" x14ac:dyDescent="0.25">
      <c r="B7" s="24"/>
      <c r="C7" s="24"/>
      <c r="D7" s="33"/>
      <c r="E7" s="33"/>
      <c r="F7" s="33"/>
    </row>
    <row r="8" spans="2:6" ht="51" x14ac:dyDescent="0.2">
      <c r="B8" s="25" t="s">
        <v>210</v>
      </c>
      <c r="C8" s="26"/>
      <c r="D8" s="34"/>
      <c r="E8" s="34">
        <v>4</v>
      </c>
      <c r="F8" s="35"/>
    </row>
    <row r="9" spans="2:6" ht="25.5" x14ac:dyDescent="0.2">
      <c r="B9" s="27"/>
      <c r="C9" s="24"/>
      <c r="D9" s="33"/>
      <c r="E9" s="36" t="s">
        <v>211</v>
      </c>
      <c r="F9" s="37" t="s">
        <v>215</v>
      </c>
    </row>
    <row r="10" spans="2:6" ht="25.5" x14ac:dyDescent="0.2">
      <c r="B10" s="27"/>
      <c r="C10" s="24"/>
      <c r="D10" s="33"/>
      <c r="E10" s="36" t="s">
        <v>212</v>
      </c>
      <c r="F10" s="37"/>
    </row>
    <row r="11" spans="2:6" ht="25.5" x14ac:dyDescent="0.2">
      <c r="B11" s="27"/>
      <c r="C11" s="24"/>
      <c r="D11" s="33"/>
      <c r="E11" s="36" t="s">
        <v>213</v>
      </c>
      <c r="F11" s="37"/>
    </row>
    <row r="12" spans="2:6" ht="26.25" thickBot="1" x14ac:dyDescent="0.25">
      <c r="B12" s="28"/>
      <c r="C12" s="29"/>
      <c r="D12" s="38"/>
      <c r="E12" s="39" t="s">
        <v>214</v>
      </c>
      <c r="F12" s="40"/>
    </row>
    <row r="13" spans="2:6" x14ac:dyDescent="0.2">
      <c r="B13" s="24"/>
      <c r="C13" s="24"/>
      <c r="D13" s="33"/>
      <c r="E13" s="33"/>
      <c r="F13" s="33"/>
    </row>
    <row r="14" spans="2:6" x14ac:dyDescent="0.2">
      <c r="B14" s="24"/>
      <c r="C14" s="24"/>
      <c r="D14" s="33"/>
      <c r="E14" s="33"/>
      <c r="F14" s="33"/>
    </row>
    <row r="15" spans="2:6" x14ac:dyDescent="0.2">
      <c r="B15" s="23" t="s">
        <v>216</v>
      </c>
      <c r="C15" s="23"/>
      <c r="D15" s="32"/>
      <c r="E15" s="32"/>
      <c r="F15" s="32"/>
    </row>
    <row r="16" spans="2:6" ht="13.5" thickBot="1" x14ac:dyDescent="0.25">
      <c r="B16" s="24"/>
      <c r="C16" s="24"/>
      <c r="D16" s="33"/>
      <c r="E16" s="33"/>
      <c r="F16" s="33"/>
    </row>
    <row r="17" spans="2:6" ht="51" x14ac:dyDescent="0.2">
      <c r="B17" s="25" t="s">
        <v>217</v>
      </c>
      <c r="C17" s="26"/>
      <c r="D17" s="34"/>
      <c r="E17" s="34">
        <v>76</v>
      </c>
      <c r="F17" s="35"/>
    </row>
    <row r="18" spans="2:6" ht="26.25" thickBot="1" x14ac:dyDescent="0.25">
      <c r="B18" s="28"/>
      <c r="C18" s="29"/>
      <c r="D18" s="38"/>
      <c r="E18" s="39" t="s">
        <v>218</v>
      </c>
      <c r="F18" s="40" t="s">
        <v>215</v>
      </c>
    </row>
    <row r="19" spans="2:6" ht="13.5" thickBot="1" x14ac:dyDescent="0.25">
      <c r="B19" s="24"/>
      <c r="C19" s="24"/>
      <c r="D19" s="33"/>
      <c r="E19" s="33"/>
      <c r="F19" s="33"/>
    </row>
    <row r="20" spans="2:6" ht="39" thickBot="1" x14ac:dyDescent="0.25">
      <c r="B20" s="30" t="s">
        <v>219</v>
      </c>
      <c r="C20" s="31"/>
      <c r="D20" s="41"/>
      <c r="E20" s="41">
        <v>37</v>
      </c>
      <c r="F20" s="42" t="s">
        <v>215</v>
      </c>
    </row>
    <row r="21" spans="2:6" x14ac:dyDescent="0.2">
      <c r="B21" s="24"/>
      <c r="C21" s="24"/>
      <c r="D21" s="33"/>
      <c r="E21" s="33"/>
      <c r="F21" s="33"/>
    </row>
  </sheetData>
  <customSheetViews>
    <customSheetView guid="{FCDC5774-C688-49A7-887C-2F5AAD39761C}" showGridLines="0">
      <pageMargins left="0.7" right="0.7" top="0.75" bottom="0.75" header="0.3" footer="0.3"/>
    </customSheetView>
    <customSheetView guid="{A92C6C20-72AA-4220-B3AA-00E51E3C498A}" showGridLines="0">
      <pageMargins left="0.7" right="0.7" top="0.75" bottom="0.75" header="0.3" footer="0.3"/>
    </customSheetView>
  </customSheetViews>
  <hyperlinks>
    <hyperlink ref="E9" location="'Conciliación'!B112:B161" display="'Conciliación'!B112:B161" xr:uid="{00000000-0004-0000-0700-000000000000}"/>
    <hyperlink ref="E10" location="'Conciliación'!B164:B178" display="'Conciliación'!B164:B178" xr:uid="{00000000-0004-0000-0700-000001000000}"/>
    <hyperlink ref="E11" location="'Conciliación'!B196:B65536" display="'Conciliación'!B196:B65536" xr:uid="{00000000-0004-0000-0700-000002000000}"/>
    <hyperlink ref="E12" location="'Conciliación'!B82:B86" display="'Conciliación'!B82:B86" xr:uid="{00000000-0004-0000-0700-000003000000}"/>
    <hyperlink ref="E18" location="'Conciliación'!B6:B81" display="'Conciliación'!B6:B81" xr:uid="{00000000-0004-0000-0700-000004000000}"/>
  </hyperlink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BD425-47B5-47FD-9DB8-11BCF8676E47}">
  <sheetPr codeName="Hoja4"/>
  <dimension ref="A1:I150"/>
  <sheetViews>
    <sheetView zoomScaleNormal="100" workbookViewId="0">
      <selection activeCell="F34" sqref="F34"/>
    </sheetView>
  </sheetViews>
  <sheetFormatPr baseColWidth="10" defaultRowHeight="12.75" x14ac:dyDescent="0.2"/>
  <cols>
    <col min="1" max="1" width="16.85546875" bestFit="1" customWidth="1"/>
    <col min="2" max="2" width="14.5703125" bestFit="1" customWidth="1"/>
    <col min="3" max="3" width="12" bestFit="1" customWidth="1"/>
    <col min="4" max="4" width="61.5703125" bestFit="1" customWidth="1"/>
    <col min="5" max="5" width="13.85546875" bestFit="1" customWidth="1"/>
    <col min="6" max="6" width="12.85546875" bestFit="1" customWidth="1"/>
    <col min="7" max="7" width="14.7109375" bestFit="1" customWidth="1"/>
    <col min="8" max="8" width="59.7109375" bestFit="1" customWidth="1"/>
    <col min="9" max="9" width="10.7109375" bestFit="1" customWidth="1"/>
  </cols>
  <sheetData>
    <row r="1" spans="1:9" s="111" customFormat="1" ht="30" x14ac:dyDescent="0.2">
      <c r="A1" s="110" t="s">
        <v>78</v>
      </c>
      <c r="B1" s="110" t="s">
        <v>28</v>
      </c>
      <c r="C1" s="110"/>
      <c r="D1" s="110" t="s">
        <v>2</v>
      </c>
      <c r="E1" s="110" t="s">
        <v>201</v>
      </c>
      <c r="F1" s="110" t="s">
        <v>5</v>
      </c>
      <c r="G1" s="110" t="s">
        <v>7</v>
      </c>
      <c r="H1" s="110" t="s">
        <v>190</v>
      </c>
      <c r="I1" s="110" t="s">
        <v>202</v>
      </c>
    </row>
    <row r="2" spans="1:9" ht="15" x14ac:dyDescent="0.25">
      <c r="A2" s="57" t="s">
        <v>417</v>
      </c>
      <c r="B2" s="102" t="s">
        <v>8</v>
      </c>
      <c r="C2" s="103">
        <v>65504667724</v>
      </c>
      <c r="D2" s="103" t="s">
        <v>104</v>
      </c>
      <c r="E2" s="49">
        <v>4311922.01</v>
      </c>
      <c r="F2" s="61">
        <v>3792941.42</v>
      </c>
      <c r="G2" s="61">
        <v>518980.58999999985</v>
      </c>
      <c r="H2" s="93" t="s">
        <v>150</v>
      </c>
      <c r="I2" s="79">
        <v>43433</v>
      </c>
    </row>
    <row r="3" spans="1:9" ht="15" x14ac:dyDescent="0.25">
      <c r="A3" s="57" t="s">
        <v>10</v>
      </c>
      <c r="B3" s="104" t="s">
        <v>8</v>
      </c>
      <c r="C3" s="57">
        <v>2000641</v>
      </c>
      <c r="D3" s="103" t="s">
        <v>394</v>
      </c>
      <c r="E3" s="61">
        <v>-6836.7</v>
      </c>
      <c r="F3" s="61">
        <v>0</v>
      </c>
      <c r="G3" s="61">
        <v>-6836.7</v>
      </c>
      <c r="H3" s="93" t="s">
        <v>395</v>
      </c>
      <c r="I3" s="79">
        <v>43486</v>
      </c>
    </row>
    <row r="4" spans="1:9" ht="15" x14ac:dyDescent="0.25">
      <c r="A4" s="57" t="s">
        <v>10</v>
      </c>
      <c r="B4" s="104" t="s">
        <v>8</v>
      </c>
      <c r="C4" s="57">
        <v>2000642</v>
      </c>
      <c r="D4" s="103" t="s">
        <v>396</v>
      </c>
      <c r="E4" s="61">
        <v>-66989.09</v>
      </c>
      <c r="F4" s="61">
        <v>0</v>
      </c>
      <c r="G4" s="61">
        <v>-66989.09</v>
      </c>
      <c r="H4" s="93" t="s">
        <v>395</v>
      </c>
      <c r="I4" s="79">
        <v>43486</v>
      </c>
    </row>
    <row r="5" spans="1:9" ht="15" x14ac:dyDescent="0.25">
      <c r="A5" s="57" t="s">
        <v>393</v>
      </c>
      <c r="B5" s="104">
        <v>0</v>
      </c>
      <c r="C5" s="57">
        <v>2000204</v>
      </c>
      <c r="D5" s="103" t="s">
        <v>143</v>
      </c>
      <c r="E5" s="61">
        <v>26227.5</v>
      </c>
      <c r="F5" s="61">
        <v>0</v>
      </c>
      <c r="G5" s="112">
        <v>26227.5</v>
      </c>
      <c r="H5" s="93" t="s">
        <v>150</v>
      </c>
      <c r="I5" s="79">
        <v>43594</v>
      </c>
    </row>
    <row r="6" spans="1:9" ht="15" x14ac:dyDescent="0.25">
      <c r="A6" s="57" t="s">
        <v>393</v>
      </c>
      <c r="B6" s="104" t="s">
        <v>8</v>
      </c>
      <c r="C6" s="57">
        <v>2000522</v>
      </c>
      <c r="D6" s="103" t="s">
        <v>34</v>
      </c>
      <c r="E6" s="61">
        <v>-2706170.45</v>
      </c>
      <c r="F6" s="61">
        <v>0</v>
      </c>
      <c r="G6" s="112">
        <v>-2706170.45</v>
      </c>
      <c r="H6" s="93" t="s">
        <v>397</v>
      </c>
      <c r="I6" s="79">
        <v>43651</v>
      </c>
    </row>
    <row r="7" spans="1:9" ht="30" x14ac:dyDescent="0.25">
      <c r="A7" s="57" t="s">
        <v>398</v>
      </c>
      <c r="B7" s="104" t="s">
        <v>399</v>
      </c>
      <c r="C7" s="57">
        <v>1018811</v>
      </c>
      <c r="D7" s="103" t="s">
        <v>140</v>
      </c>
      <c r="E7" s="61">
        <v>476208.88</v>
      </c>
      <c r="F7" s="61">
        <v>0</v>
      </c>
      <c r="G7" s="112">
        <v>476208.88</v>
      </c>
      <c r="H7" s="93" t="s">
        <v>400</v>
      </c>
      <c r="I7" s="79">
        <v>43711</v>
      </c>
    </row>
    <row r="8" spans="1:9" ht="15" x14ac:dyDescent="0.25">
      <c r="A8" s="57" t="s">
        <v>401</v>
      </c>
      <c r="B8" s="104" t="s">
        <v>399</v>
      </c>
      <c r="C8" s="57">
        <v>1032382</v>
      </c>
      <c r="D8" s="103" t="s">
        <v>231</v>
      </c>
      <c r="E8" s="49"/>
      <c r="F8" s="61"/>
      <c r="G8" s="61"/>
      <c r="H8" s="93" t="s">
        <v>397</v>
      </c>
      <c r="I8" s="79">
        <v>43815</v>
      </c>
    </row>
    <row r="9" spans="1:9" ht="15" x14ac:dyDescent="0.25">
      <c r="A9" s="57" t="s">
        <v>393</v>
      </c>
      <c r="B9" s="104" t="s">
        <v>399</v>
      </c>
      <c r="C9" s="57">
        <v>4031</v>
      </c>
      <c r="D9" s="103" t="s">
        <v>230</v>
      </c>
      <c r="E9" s="49">
        <v>-6399417.0100000007</v>
      </c>
      <c r="F9" s="61">
        <v>-6801706.2445251001</v>
      </c>
      <c r="G9" s="61">
        <v>402289.2345250994</v>
      </c>
      <c r="H9" s="93" t="s">
        <v>397</v>
      </c>
      <c r="I9" s="79">
        <v>43817</v>
      </c>
    </row>
    <row r="10" spans="1:9" ht="15" x14ac:dyDescent="0.25">
      <c r="A10" s="57" t="s">
        <v>393</v>
      </c>
      <c r="B10" s="104" t="s">
        <v>8</v>
      </c>
      <c r="C10" s="57">
        <v>65505569851</v>
      </c>
      <c r="D10" s="103" t="s">
        <v>402</v>
      </c>
      <c r="E10" s="49">
        <v>-55594326.200000003</v>
      </c>
      <c r="F10" s="61">
        <v>0</v>
      </c>
      <c r="G10" s="61">
        <v>-55594326.200000003</v>
      </c>
      <c r="H10" s="93" t="s">
        <v>397</v>
      </c>
      <c r="I10" s="79">
        <v>43817</v>
      </c>
    </row>
    <row r="11" spans="1:9" ht="15" x14ac:dyDescent="0.25">
      <c r="A11" s="57" t="s">
        <v>393</v>
      </c>
      <c r="B11" s="104" t="s">
        <v>399</v>
      </c>
      <c r="C11" s="57">
        <v>4031</v>
      </c>
      <c r="D11" s="103" t="s">
        <v>230</v>
      </c>
      <c r="E11" s="49">
        <v>-404951.45</v>
      </c>
      <c r="F11" s="61">
        <v>0</v>
      </c>
      <c r="G11" s="61">
        <v>-404951.45</v>
      </c>
      <c r="H11" s="93" t="s">
        <v>397</v>
      </c>
      <c r="I11" s="79">
        <v>43818</v>
      </c>
    </row>
    <row r="12" spans="1:9" ht="15" x14ac:dyDescent="0.25">
      <c r="A12" s="57" t="s">
        <v>393</v>
      </c>
      <c r="B12" s="104" t="s">
        <v>8</v>
      </c>
      <c r="C12" s="57">
        <v>1032873</v>
      </c>
      <c r="D12" s="103" t="s">
        <v>232</v>
      </c>
      <c r="E12" s="49">
        <v>-1313664.69</v>
      </c>
      <c r="F12" s="61">
        <v>0</v>
      </c>
      <c r="G12" s="61">
        <v>-1313664.69</v>
      </c>
      <c r="H12" s="93" t="s">
        <v>397</v>
      </c>
      <c r="I12" s="79">
        <v>43927</v>
      </c>
    </row>
    <row r="13" spans="1:9" ht="15" x14ac:dyDescent="0.25">
      <c r="A13" s="57" t="s">
        <v>393</v>
      </c>
      <c r="B13" s="104" t="s">
        <v>8</v>
      </c>
      <c r="C13" s="57">
        <v>2000486</v>
      </c>
      <c r="D13" s="103" t="s">
        <v>67</v>
      </c>
      <c r="E13" s="49">
        <v>-571682.11</v>
      </c>
      <c r="F13" s="61">
        <v>0</v>
      </c>
      <c r="G13" s="61">
        <v>-571682.11</v>
      </c>
      <c r="H13" s="93" t="s">
        <v>397</v>
      </c>
      <c r="I13" s="79">
        <v>43927</v>
      </c>
    </row>
    <row r="14" spans="1:9" ht="15" x14ac:dyDescent="0.25">
      <c r="A14" s="57" t="s">
        <v>10</v>
      </c>
      <c r="B14" s="104" t="s">
        <v>8</v>
      </c>
      <c r="C14" s="57">
        <v>65501387259</v>
      </c>
      <c r="D14" s="103" t="s">
        <v>21</v>
      </c>
      <c r="E14" s="49">
        <v>1492750.08</v>
      </c>
      <c r="F14" s="61">
        <v>0</v>
      </c>
      <c r="G14" s="61">
        <v>1492750.08</v>
      </c>
      <c r="H14" s="93" t="s">
        <v>150</v>
      </c>
      <c r="I14" s="80">
        <v>44328</v>
      </c>
    </row>
    <row r="15" spans="1:9" ht="15" x14ac:dyDescent="0.25">
      <c r="A15" s="57" t="s">
        <v>393</v>
      </c>
      <c r="B15" s="104" t="s">
        <v>8</v>
      </c>
      <c r="C15" s="57">
        <v>540994</v>
      </c>
      <c r="D15" s="103" t="s">
        <v>112</v>
      </c>
      <c r="E15" s="49"/>
      <c r="F15" s="61"/>
      <c r="G15" s="61"/>
      <c r="H15" s="93" t="s">
        <v>397</v>
      </c>
      <c r="I15" s="80">
        <v>44370</v>
      </c>
    </row>
    <row r="16" spans="1:9" ht="15" x14ac:dyDescent="0.25">
      <c r="A16" s="57" t="s">
        <v>393</v>
      </c>
      <c r="B16" s="104" t="s">
        <v>8</v>
      </c>
      <c r="C16" s="57">
        <v>69902</v>
      </c>
      <c r="D16" s="103" t="s">
        <v>110</v>
      </c>
      <c r="E16" s="49"/>
      <c r="F16" s="61"/>
      <c r="G16" s="61"/>
      <c r="H16" s="93" t="s">
        <v>397</v>
      </c>
      <c r="I16" s="80">
        <v>44370</v>
      </c>
    </row>
    <row r="17" spans="1:9" ht="15" x14ac:dyDescent="0.25">
      <c r="A17" s="57" t="s">
        <v>393</v>
      </c>
      <c r="B17" s="104" t="s">
        <v>8</v>
      </c>
      <c r="C17" s="57">
        <v>1032901</v>
      </c>
      <c r="D17" s="103" t="s">
        <v>403</v>
      </c>
      <c r="E17" s="49">
        <v>318401.46000000002</v>
      </c>
      <c r="F17" s="61">
        <v>0</v>
      </c>
      <c r="G17" s="61">
        <v>318401.46000000002</v>
      </c>
      <c r="H17" s="93" t="s">
        <v>150</v>
      </c>
      <c r="I17" s="80">
        <v>44370</v>
      </c>
    </row>
    <row r="18" spans="1:9" ht="15" x14ac:dyDescent="0.25">
      <c r="A18" s="57" t="s">
        <v>393</v>
      </c>
      <c r="B18" s="104" t="s">
        <v>8</v>
      </c>
      <c r="C18" s="57">
        <v>2000725</v>
      </c>
      <c r="D18" s="103" t="s">
        <v>404</v>
      </c>
      <c r="E18" s="49">
        <v>-2765272.73</v>
      </c>
      <c r="F18" s="61">
        <v>0</v>
      </c>
      <c r="G18" s="61">
        <v>-2765272.73</v>
      </c>
      <c r="H18" s="93" t="s">
        <v>397</v>
      </c>
      <c r="I18" s="80">
        <v>44379</v>
      </c>
    </row>
    <row r="19" spans="1:9" ht="15" x14ac:dyDescent="0.25">
      <c r="A19" s="57" t="s">
        <v>393</v>
      </c>
      <c r="B19" s="104" t="s">
        <v>8</v>
      </c>
      <c r="C19" s="57">
        <v>1032901</v>
      </c>
      <c r="D19" s="103" t="s">
        <v>403</v>
      </c>
      <c r="E19" s="49">
        <v>285865</v>
      </c>
      <c r="F19" s="61">
        <v>0</v>
      </c>
      <c r="G19" s="61">
        <v>285865</v>
      </c>
      <c r="H19" s="93" t="s">
        <v>150</v>
      </c>
      <c r="I19" s="80">
        <v>44384</v>
      </c>
    </row>
    <row r="20" spans="1:9" ht="15" x14ac:dyDescent="0.25">
      <c r="A20" s="57" t="s">
        <v>393</v>
      </c>
      <c r="B20" s="104" t="s">
        <v>8</v>
      </c>
      <c r="C20" s="57">
        <v>1032901</v>
      </c>
      <c r="D20" s="103" t="s">
        <v>403</v>
      </c>
      <c r="E20" s="49">
        <v>-4186595.66</v>
      </c>
      <c r="F20" s="61">
        <v>0</v>
      </c>
      <c r="G20" s="61">
        <v>-4186595.66</v>
      </c>
      <c r="H20" s="93" t="s">
        <v>150</v>
      </c>
      <c r="I20" s="80">
        <v>44400</v>
      </c>
    </row>
    <row r="21" spans="1:9" ht="15" x14ac:dyDescent="0.25">
      <c r="A21" s="57" t="s">
        <v>393</v>
      </c>
      <c r="B21" s="104" t="s">
        <v>8</v>
      </c>
      <c r="C21" s="57">
        <v>2000466</v>
      </c>
      <c r="D21" s="103" t="s">
        <v>405</v>
      </c>
      <c r="E21" s="49">
        <v>805134.2</v>
      </c>
      <c r="F21" s="61">
        <v>0</v>
      </c>
      <c r="G21" s="61">
        <v>805134.2</v>
      </c>
      <c r="H21" s="93" t="s">
        <v>150</v>
      </c>
      <c r="I21" s="80">
        <v>44400</v>
      </c>
    </row>
    <row r="22" spans="1:9" ht="15" x14ac:dyDescent="0.25">
      <c r="A22" s="57" t="s">
        <v>393</v>
      </c>
      <c r="B22" s="104" t="s">
        <v>8</v>
      </c>
      <c r="C22" s="57">
        <v>2000470</v>
      </c>
      <c r="D22" s="103" t="s">
        <v>406</v>
      </c>
      <c r="E22" s="49">
        <v>529072.16</v>
      </c>
      <c r="F22" s="61">
        <v>0</v>
      </c>
      <c r="G22" s="61">
        <v>529072.16</v>
      </c>
      <c r="H22" s="93" t="s">
        <v>150</v>
      </c>
      <c r="I22" s="80">
        <v>44400</v>
      </c>
    </row>
    <row r="23" spans="1:9" ht="15" x14ac:dyDescent="0.25">
      <c r="A23" s="57" t="s">
        <v>10</v>
      </c>
      <c r="B23" s="104" t="s">
        <v>8</v>
      </c>
      <c r="C23" s="57">
        <v>65505283309</v>
      </c>
      <c r="D23" s="103" t="s">
        <v>179</v>
      </c>
      <c r="E23" s="49"/>
      <c r="F23" s="61"/>
      <c r="G23" s="61"/>
      <c r="H23" s="93" t="s">
        <v>407</v>
      </c>
      <c r="I23" s="80">
        <v>44403</v>
      </c>
    </row>
    <row r="24" spans="1:9" ht="15" x14ac:dyDescent="0.25">
      <c r="A24" s="57" t="s">
        <v>393</v>
      </c>
      <c r="B24" s="104" t="s">
        <v>8</v>
      </c>
      <c r="C24" s="57">
        <v>2000470</v>
      </c>
      <c r="D24" s="103" t="s">
        <v>406</v>
      </c>
      <c r="E24" s="49">
        <v>-513374.86</v>
      </c>
      <c r="F24" s="61">
        <v>0</v>
      </c>
      <c r="G24" s="61">
        <v>-513374.86</v>
      </c>
      <c r="H24" s="93" t="s">
        <v>150</v>
      </c>
      <c r="I24" s="80">
        <v>44411</v>
      </c>
    </row>
    <row r="25" spans="1:9" ht="15" x14ac:dyDescent="0.25">
      <c r="A25" s="57" t="s">
        <v>393</v>
      </c>
      <c r="B25" s="104" t="s">
        <v>8</v>
      </c>
      <c r="C25" s="57">
        <v>1032901</v>
      </c>
      <c r="D25" s="103" t="s">
        <v>403</v>
      </c>
      <c r="E25" s="49">
        <v>21087.5</v>
      </c>
      <c r="F25" s="61">
        <v>0</v>
      </c>
      <c r="G25" s="61">
        <v>21087.5</v>
      </c>
      <c r="H25" s="93" t="s">
        <v>150</v>
      </c>
      <c r="I25" s="80">
        <v>44412</v>
      </c>
    </row>
    <row r="26" spans="1:9" ht="15" x14ac:dyDescent="0.25">
      <c r="A26" s="57" t="s">
        <v>393</v>
      </c>
      <c r="B26" s="104" t="s">
        <v>8</v>
      </c>
      <c r="C26" s="57">
        <v>65503562246</v>
      </c>
      <c r="D26" s="103" t="s">
        <v>408</v>
      </c>
      <c r="E26" s="49">
        <v>-1031208.01</v>
      </c>
      <c r="F26" s="61">
        <v>0</v>
      </c>
      <c r="G26" s="61">
        <v>-1031208.01</v>
      </c>
      <c r="H26" s="93" t="s">
        <v>397</v>
      </c>
      <c r="I26" s="80">
        <v>44412</v>
      </c>
    </row>
    <row r="27" spans="1:9" ht="15" x14ac:dyDescent="0.25">
      <c r="A27" s="57" t="s">
        <v>393</v>
      </c>
      <c r="B27" s="104" t="s">
        <v>8</v>
      </c>
      <c r="C27" s="57">
        <v>64972</v>
      </c>
      <c r="D27" s="103" t="s">
        <v>13</v>
      </c>
      <c r="E27" s="49">
        <v>-91258140.359999999</v>
      </c>
      <c r="F27" s="61">
        <v>0</v>
      </c>
      <c r="G27" s="61">
        <v>-91258140.359999999</v>
      </c>
      <c r="H27" s="93" t="s">
        <v>397</v>
      </c>
      <c r="I27" s="80">
        <v>44413</v>
      </c>
    </row>
    <row r="28" spans="1:9" ht="15" x14ac:dyDescent="0.25">
      <c r="A28" s="57" t="s">
        <v>393</v>
      </c>
      <c r="B28" s="104" t="s">
        <v>8</v>
      </c>
      <c r="C28" s="57">
        <v>65505283309</v>
      </c>
      <c r="D28" s="103" t="s">
        <v>409</v>
      </c>
      <c r="E28" s="49">
        <v>807.92</v>
      </c>
      <c r="F28" s="61">
        <v>0</v>
      </c>
      <c r="G28" s="61">
        <v>807.92</v>
      </c>
      <c r="H28" s="93" t="s">
        <v>150</v>
      </c>
      <c r="I28" s="80">
        <v>44418</v>
      </c>
    </row>
    <row r="29" spans="1:9" ht="15" x14ac:dyDescent="0.25">
      <c r="A29" s="57" t="s">
        <v>393</v>
      </c>
      <c r="B29" s="104" t="s">
        <v>8</v>
      </c>
      <c r="C29" s="57">
        <v>65505283309</v>
      </c>
      <c r="D29" s="103" t="s">
        <v>409</v>
      </c>
      <c r="E29" s="49">
        <v>73198.740000000005</v>
      </c>
      <c r="F29" s="61">
        <v>0</v>
      </c>
      <c r="G29" s="61">
        <v>73198.740000000005</v>
      </c>
      <c r="H29" s="93" t="s">
        <v>150</v>
      </c>
      <c r="I29" s="80">
        <v>44428</v>
      </c>
    </row>
    <row r="30" spans="1:9" ht="15" x14ac:dyDescent="0.25">
      <c r="A30" s="57" t="s">
        <v>10</v>
      </c>
      <c r="B30" s="104" t="s">
        <v>8</v>
      </c>
      <c r="C30" s="57">
        <v>1033544</v>
      </c>
      <c r="D30" s="103" t="s">
        <v>235</v>
      </c>
      <c r="E30" s="49">
        <v>-4209.13</v>
      </c>
      <c r="F30" s="61">
        <v>0</v>
      </c>
      <c r="G30" s="61">
        <v>-4209.13</v>
      </c>
      <c r="H30" s="93" t="s">
        <v>410</v>
      </c>
      <c r="I30" s="80">
        <v>44439</v>
      </c>
    </row>
    <row r="31" spans="1:9" ht="15" x14ac:dyDescent="0.25">
      <c r="A31" s="57" t="s">
        <v>393</v>
      </c>
      <c r="B31" s="104" t="s">
        <v>8</v>
      </c>
      <c r="C31" s="57">
        <v>1032901</v>
      </c>
      <c r="D31" s="103" t="s">
        <v>403</v>
      </c>
      <c r="E31" s="49">
        <v>-293118.05</v>
      </c>
      <c r="F31" s="61">
        <v>0</v>
      </c>
      <c r="G31" s="61">
        <v>-293118.05</v>
      </c>
      <c r="H31" s="93" t="s">
        <v>150</v>
      </c>
      <c r="I31" s="80">
        <v>44442</v>
      </c>
    </row>
    <row r="32" spans="1:9" ht="15" x14ac:dyDescent="0.25">
      <c r="A32" s="57" t="s">
        <v>10</v>
      </c>
      <c r="B32" s="104" t="s">
        <v>8</v>
      </c>
      <c r="C32" s="57">
        <v>65501387259</v>
      </c>
      <c r="D32" s="103" t="s">
        <v>21</v>
      </c>
      <c r="E32" s="49">
        <v>884184.57</v>
      </c>
      <c r="F32" s="61">
        <v>0</v>
      </c>
      <c r="G32" s="61">
        <v>884184.57</v>
      </c>
      <c r="H32" s="93" t="s">
        <v>150</v>
      </c>
      <c r="I32" s="80">
        <v>44442</v>
      </c>
    </row>
    <row r="33" spans="1:9" ht="15" x14ac:dyDescent="0.25">
      <c r="A33" s="57" t="s">
        <v>10</v>
      </c>
      <c r="B33" s="104" t="s">
        <v>8</v>
      </c>
      <c r="C33" s="57">
        <v>65501387259</v>
      </c>
      <c r="D33" s="103" t="s">
        <v>21</v>
      </c>
      <c r="E33" s="49">
        <v>551265.13</v>
      </c>
      <c r="F33" s="61">
        <v>0</v>
      </c>
      <c r="G33" s="61">
        <v>551265.13</v>
      </c>
      <c r="H33" s="93" t="s">
        <v>150</v>
      </c>
      <c r="I33" s="80">
        <v>44449</v>
      </c>
    </row>
    <row r="34" spans="1:9" ht="15" x14ac:dyDescent="0.25">
      <c r="A34" s="57" t="s">
        <v>393</v>
      </c>
      <c r="B34" s="104" t="s">
        <v>8</v>
      </c>
      <c r="C34" s="57">
        <v>65505283309</v>
      </c>
      <c r="D34" s="103" t="s">
        <v>409</v>
      </c>
      <c r="E34" s="49">
        <v>3453.32</v>
      </c>
      <c r="F34" s="61">
        <v>0</v>
      </c>
      <c r="G34" s="61">
        <v>3453.32</v>
      </c>
      <c r="H34" s="93" t="s">
        <v>150</v>
      </c>
      <c r="I34" s="80">
        <v>44460</v>
      </c>
    </row>
    <row r="35" spans="1:9" ht="30" x14ac:dyDescent="0.25">
      <c r="A35" s="57" t="s">
        <v>398</v>
      </c>
      <c r="B35" s="104" t="s">
        <v>399</v>
      </c>
      <c r="C35" s="57">
        <v>1032381</v>
      </c>
      <c r="D35" s="103" t="s">
        <v>118</v>
      </c>
      <c r="E35" s="49">
        <v>-1.85</v>
      </c>
      <c r="F35" s="61">
        <v>0</v>
      </c>
      <c r="G35" s="61">
        <v>-1.85</v>
      </c>
      <c r="H35" s="93" t="s">
        <v>397</v>
      </c>
      <c r="I35" s="80">
        <v>44467</v>
      </c>
    </row>
    <row r="36" spans="1:9" ht="15" x14ac:dyDescent="0.25">
      <c r="A36" s="57" t="s">
        <v>393</v>
      </c>
      <c r="B36" s="104" t="s">
        <v>8</v>
      </c>
      <c r="C36" s="57">
        <v>65505283309</v>
      </c>
      <c r="D36" s="103" t="s">
        <v>409</v>
      </c>
      <c r="E36" s="49">
        <v>226.96</v>
      </c>
      <c r="F36" s="61">
        <v>0</v>
      </c>
      <c r="G36" s="61">
        <v>226.96</v>
      </c>
      <c r="H36" s="93" t="s">
        <v>150</v>
      </c>
      <c r="I36" s="80">
        <v>44469</v>
      </c>
    </row>
    <row r="37" spans="1:9" ht="15" x14ac:dyDescent="0.25">
      <c r="A37" s="57" t="s">
        <v>393</v>
      </c>
      <c r="B37" s="104" t="s">
        <v>8</v>
      </c>
      <c r="C37" s="57">
        <v>65505283448</v>
      </c>
      <c r="D37" s="103" t="s">
        <v>411</v>
      </c>
      <c r="E37" s="49">
        <v>1002.48</v>
      </c>
      <c r="F37" s="61">
        <v>0</v>
      </c>
      <c r="G37" s="61">
        <v>1002.48</v>
      </c>
      <c r="H37" s="93" t="s">
        <v>150</v>
      </c>
      <c r="I37" s="80">
        <v>44469</v>
      </c>
    </row>
    <row r="38" spans="1:9" ht="15" x14ac:dyDescent="0.25">
      <c r="A38" s="57" t="s">
        <v>10</v>
      </c>
      <c r="B38" s="104" t="s">
        <v>74</v>
      </c>
      <c r="C38" s="57">
        <v>65501387259</v>
      </c>
      <c r="D38" s="103" t="s">
        <v>21</v>
      </c>
      <c r="E38" s="49">
        <v>1353327.67</v>
      </c>
      <c r="F38" s="61">
        <v>0</v>
      </c>
      <c r="G38" s="61">
        <v>1353327.67</v>
      </c>
      <c r="H38" s="93" t="s">
        <v>150</v>
      </c>
      <c r="I38" s="80">
        <v>44483</v>
      </c>
    </row>
    <row r="39" spans="1:9" ht="15" x14ac:dyDescent="0.25">
      <c r="A39" s="57" t="s">
        <v>261</v>
      </c>
      <c r="B39" s="104" t="s">
        <v>74</v>
      </c>
      <c r="C39" s="57">
        <v>64972</v>
      </c>
      <c r="D39" s="103" t="s">
        <v>13</v>
      </c>
      <c r="E39" s="49">
        <v>46291.38</v>
      </c>
      <c r="F39" s="61">
        <v>0</v>
      </c>
      <c r="G39" s="61">
        <v>46291.38</v>
      </c>
      <c r="H39" s="93" t="s">
        <v>150</v>
      </c>
      <c r="I39" s="80">
        <v>44504.787800925929</v>
      </c>
    </row>
    <row r="40" spans="1:9" ht="15" x14ac:dyDescent="0.25">
      <c r="A40" s="57" t="s">
        <v>261</v>
      </c>
      <c r="B40" s="104" t="s">
        <v>74</v>
      </c>
      <c r="C40" s="57">
        <v>1032901</v>
      </c>
      <c r="D40" s="103" t="s">
        <v>350</v>
      </c>
      <c r="E40" s="49">
        <v>-565.05999999999995</v>
      </c>
      <c r="F40" s="61">
        <v>0</v>
      </c>
      <c r="G40" s="61">
        <v>-565.05999999999995</v>
      </c>
      <c r="H40" s="93" t="s">
        <v>150</v>
      </c>
      <c r="I40" s="80">
        <v>44508.818113425928</v>
      </c>
    </row>
    <row r="41" spans="1:9" ht="15" x14ac:dyDescent="0.25">
      <c r="A41" s="57" t="s">
        <v>261</v>
      </c>
      <c r="B41" s="104" t="s">
        <v>74</v>
      </c>
      <c r="C41" s="57">
        <v>2000241</v>
      </c>
      <c r="D41" s="103" t="s">
        <v>66</v>
      </c>
      <c r="E41" s="49"/>
      <c r="F41" s="61"/>
      <c r="G41" s="61"/>
      <c r="H41" s="93" t="s">
        <v>397</v>
      </c>
      <c r="I41" s="80">
        <v>44509</v>
      </c>
    </row>
    <row r="42" spans="1:9" ht="15" x14ac:dyDescent="0.25">
      <c r="A42" s="57" t="s">
        <v>261</v>
      </c>
      <c r="B42" s="104" t="s">
        <v>74</v>
      </c>
      <c r="C42" s="57">
        <v>2000240</v>
      </c>
      <c r="D42" s="103" t="s">
        <v>66</v>
      </c>
      <c r="E42" s="49"/>
      <c r="F42" s="61"/>
      <c r="G42" s="61"/>
      <c r="H42" s="93" t="s">
        <v>397</v>
      </c>
      <c r="I42" s="80">
        <v>44509</v>
      </c>
    </row>
    <row r="43" spans="1:9" ht="15" x14ac:dyDescent="0.25">
      <c r="A43" s="57" t="s">
        <v>261</v>
      </c>
      <c r="B43" s="104" t="s">
        <v>74</v>
      </c>
      <c r="C43" s="57">
        <v>2000239</v>
      </c>
      <c r="D43" s="103" t="s">
        <v>302</v>
      </c>
      <c r="E43" s="49"/>
      <c r="F43" s="61"/>
      <c r="G43" s="61"/>
      <c r="H43" s="93" t="s">
        <v>397</v>
      </c>
      <c r="I43" s="80">
        <v>44509</v>
      </c>
    </row>
    <row r="44" spans="1:9" ht="15" x14ac:dyDescent="0.25">
      <c r="A44" s="57" t="s">
        <v>261</v>
      </c>
      <c r="B44" s="104" t="s">
        <v>74</v>
      </c>
      <c r="C44" s="57">
        <v>2000238</v>
      </c>
      <c r="D44" s="103" t="s">
        <v>302</v>
      </c>
      <c r="E44" s="49"/>
      <c r="F44" s="61"/>
      <c r="G44" s="61"/>
      <c r="H44" s="93" t="s">
        <v>397</v>
      </c>
      <c r="I44" s="80">
        <v>44509</v>
      </c>
    </row>
    <row r="45" spans="1:9" ht="15" x14ac:dyDescent="0.25">
      <c r="A45" s="57" t="s">
        <v>10</v>
      </c>
      <c r="B45" s="104" t="s">
        <v>74</v>
      </c>
      <c r="C45" s="57">
        <v>65501387259</v>
      </c>
      <c r="D45" s="103" t="s">
        <v>21</v>
      </c>
      <c r="E45" s="49">
        <v>39526.11</v>
      </c>
      <c r="F45" s="61">
        <v>0</v>
      </c>
      <c r="G45" s="61">
        <v>39526.11</v>
      </c>
      <c r="H45" s="93" t="s">
        <v>150</v>
      </c>
      <c r="I45" s="80">
        <v>44511.687268518515</v>
      </c>
    </row>
    <row r="46" spans="1:9" ht="15" x14ac:dyDescent="0.25">
      <c r="A46" s="57" t="s">
        <v>10</v>
      </c>
      <c r="B46" s="104" t="s">
        <v>8</v>
      </c>
      <c r="C46" s="94">
        <v>65505283360</v>
      </c>
      <c r="D46" s="94" t="s">
        <v>412</v>
      </c>
      <c r="E46" s="49"/>
      <c r="F46" s="61"/>
      <c r="G46" s="61"/>
      <c r="H46" s="93" t="s">
        <v>397</v>
      </c>
      <c r="I46" s="80">
        <v>44517</v>
      </c>
    </row>
    <row r="47" spans="1:9" ht="15" x14ac:dyDescent="0.25">
      <c r="A47" s="57" t="s">
        <v>261</v>
      </c>
      <c r="B47" s="104" t="s">
        <v>74</v>
      </c>
      <c r="C47" s="57" t="s">
        <v>413</v>
      </c>
      <c r="D47" s="103" t="s">
        <v>414</v>
      </c>
      <c r="E47" s="49"/>
      <c r="F47" s="61"/>
      <c r="G47" s="61"/>
      <c r="H47" s="93" t="s">
        <v>397</v>
      </c>
      <c r="I47" s="80">
        <v>44532</v>
      </c>
    </row>
    <row r="48" spans="1:9" ht="15" x14ac:dyDescent="0.25">
      <c r="A48" s="57" t="s">
        <v>355</v>
      </c>
      <c r="B48" s="104" t="s">
        <v>74</v>
      </c>
      <c r="C48" s="94">
        <v>2000849</v>
      </c>
      <c r="D48" s="94" t="s">
        <v>182</v>
      </c>
      <c r="E48" s="49"/>
      <c r="F48" s="61"/>
      <c r="G48" s="61"/>
      <c r="H48" s="93" t="s">
        <v>397</v>
      </c>
      <c r="I48" s="80">
        <v>44533.354131944441</v>
      </c>
    </row>
    <row r="49" spans="1:9" ht="15" x14ac:dyDescent="0.25">
      <c r="A49" s="57" t="s">
        <v>355</v>
      </c>
      <c r="B49" s="104" t="s">
        <v>74</v>
      </c>
      <c r="C49" s="94">
        <v>2000848</v>
      </c>
      <c r="D49" s="94" t="s">
        <v>183</v>
      </c>
      <c r="E49" s="49"/>
      <c r="F49" s="61"/>
      <c r="G49" s="61"/>
      <c r="H49" s="93" t="s">
        <v>397</v>
      </c>
      <c r="I49" s="80">
        <v>44533.354131944441</v>
      </c>
    </row>
    <row r="50" spans="1:9" ht="15" x14ac:dyDescent="0.25">
      <c r="A50" s="57" t="s">
        <v>10</v>
      </c>
      <c r="B50" s="104" t="s">
        <v>74</v>
      </c>
      <c r="C50" s="94">
        <v>65501387259</v>
      </c>
      <c r="D50" s="94" t="s">
        <v>21</v>
      </c>
      <c r="E50" s="49">
        <v>347408.19</v>
      </c>
      <c r="F50" s="61">
        <v>0</v>
      </c>
      <c r="G50" s="61">
        <v>347408.19</v>
      </c>
      <c r="H50" s="93" t="s">
        <v>150</v>
      </c>
      <c r="I50" s="80">
        <v>44536</v>
      </c>
    </row>
    <row r="51" spans="1:9" ht="15" x14ac:dyDescent="0.25">
      <c r="A51" s="57" t="s">
        <v>261</v>
      </c>
      <c r="B51" s="104" t="s">
        <v>74</v>
      </c>
      <c r="C51" s="94">
        <v>2000848</v>
      </c>
      <c r="D51" s="94" t="s">
        <v>184</v>
      </c>
      <c r="E51" s="49">
        <v>-25673144.629999999</v>
      </c>
      <c r="F51" s="61">
        <v>0</v>
      </c>
      <c r="G51" s="61">
        <v>-25673144.629999999</v>
      </c>
      <c r="H51" s="93" t="s">
        <v>397</v>
      </c>
      <c r="I51" s="80">
        <v>44543</v>
      </c>
    </row>
    <row r="52" spans="1:9" ht="15" x14ac:dyDescent="0.25">
      <c r="A52" s="57" t="s">
        <v>261</v>
      </c>
      <c r="B52" s="104" t="s">
        <v>74</v>
      </c>
      <c r="C52" s="94">
        <v>2000849</v>
      </c>
      <c r="D52" s="94" t="s">
        <v>185</v>
      </c>
      <c r="E52" s="49">
        <v>-40531928.399999999</v>
      </c>
      <c r="F52" s="61">
        <v>0</v>
      </c>
      <c r="G52" s="61">
        <v>-40531928.399999999</v>
      </c>
      <c r="H52" s="93" t="s">
        <v>397</v>
      </c>
      <c r="I52" s="80">
        <v>44543</v>
      </c>
    </row>
    <row r="53" spans="1:9" ht="15" x14ac:dyDescent="0.25">
      <c r="A53" s="57" t="s">
        <v>261</v>
      </c>
      <c r="B53" s="104" t="s">
        <v>74</v>
      </c>
      <c r="C53" s="94">
        <v>65503562246</v>
      </c>
      <c r="D53" s="94" t="s">
        <v>44</v>
      </c>
      <c r="E53" s="49">
        <v>-393.81</v>
      </c>
      <c r="F53" s="61">
        <v>0</v>
      </c>
      <c r="G53" s="61">
        <v>-393.81</v>
      </c>
      <c r="H53" s="93" t="s">
        <v>397</v>
      </c>
      <c r="I53" s="80">
        <v>44543</v>
      </c>
    </row>
    <row r="54" spans="1:9" ht="15" x14ac:dyDescent="0.25">
      <c r="A54" s="57" t="s">
        <v>10</v>
      </c>
      <c r="B54" s="104" t="s">
        <v>74</v>
      </c>
      <c r="C54" s="94">
        <v>65501387259</v>
      </c>
      <c r="D54" s="105" t="s">
        <v>21</v>
      </c>
      <c r="E54" s="113">
        <v>39716.43</v>
      </c>
      <c r="F54" s="114">
        <v>0</v>
      </c>
      <c r="G54" s="114">
        <v>39716.43</v>
      </c>
      <c r="H54" s="93" t="s">
        <v>150</v>
      </c>
      <c r="I54" s="80">
        <v>44558</v>
      </c>
    </row>
    <row r="55" spans="1:9" ht="15" x14ac:dyDescent="0.25">
      <c r="A55" s="57" t="s">
        <v>261</v>
      </c>
      <c r="B55" s="104" t="s">
        <v>74</v>
      </c>
      <c r="C55" s="94">
        <v>2000466</v>
      </c>
      <c r="D55" s="105" t="s">
        <v>335</v>
      </c>
      <c r="E55" s="113">
        <v>-56184.38</v>
      </c>
      <c r="F55" s="114">
        <v>0</v>
      </c>
      <c r="G55" s="114">
        <v>-56184.38</v>
      </c>
      <c r="H55" s="93" t="s">
        <v>397</v>
      </c>
      <c r="I55" s="80">
        <v>44566</v>
      </c>
    </row>
    <row r="56" spans="1:9" ht="15" x14ac:dyDescent="0.25">
      <c r="A56" s="57" t="s">
        <v>261</v>
      </c>
      <c r="B56" s="104" t="s">
        <v>74</v>
      </c>
      <c r="C56" s="94">
        <v>2000470</v>
      </c>
      <c r="D56" s="105" t="s">
        <v>329</v>
      </c>
      <c r="E56" s="113">
        <v>-50879.74</v>
      </c>
      <c r="F56" s="114">
        <v>0</v>
      </c>
      <c r="G56" s="114">
        <v>-50879.74</v>
      </c>
      <c r="H56" s="93" t="s">
        <v>397</v>
      </c>
      <c r="I56" s="80">
        <v>44566</v>
      </c>
    </row>
    <row r="57" spans="1:9" ht="15" x14ac:dyDescent="0.25">
      <c r="A57" s="57" t="s">
        <v>261</v>
      </c>
      <c r="B57" s="104" t="s">
        <v>74</v>
      </c>
      <c r="C57" s="94">
        <v>1031547</v>
      </c>
      <c r="D57" s="105" t="s">
        <v>152</v>
      </c>
      <c r="E57" s="49">
        <v>-4271066.8499999996</v>
      </c>
      <c r="F57" s="61">
        <v>0</v>
      </c>
      <c r="G57" s="61">
        <v>-4271066.8499999996</v>
      </c>
      <c r="H57" s="93" t="s">
        <v>397</v>
      </c>
      <c r="I57" s="80">
        <v>44574</v>
      </c>
    </row>
    <row r="58" spans="1:9" ht="15" x14ac:dyDescent="0.25">
      <c r="A58" s="57" t="s">
        <v>261</v>
      </c>
      <c r="B58" s="104" t="s">
        <v>74</v>
      </c>
      <c r="C58" s="94">
        <v>1031548</v>
      </c>
      <c r="D58" s="105" t="s">
        <v>153</v>
      </c>
      <c r="E58" s="49">
        <v>-473496</v>
      </c>
      <c r="F58" s="61">
        <v>0</v>
      </c>
      <c r="G58" s="61">
        <v>-473496</v>
      </c>
      <c r="H58" s="93" t="s">
        <v>397</v>
      </c>
      <c r="I58" s="80">
        <v>44574</v>
      </c>
    </row>
    <row r="59" spans="1:9" ht="15" x14ac:dyDescent="0.25">
      <c r="A59" s="57" t="s">
        <v>261</v>
      </c>
      <c r="B59" s="104" t="s">
        <v>74</v>
      </c>
      <c r="C59" s="94">
        <v>1031549</v>
      </c>
      <c r="D59" s="105" t="s">
        <v>154</v>
      </c>
      <c r="E59" s="49">
        <v>-1261218.1299999999</v>
      </c>
      <c r="F59" s="61">
        <v>0</v>
      </c>
      <c r="G59" s="61">
        <v>-1261218.1299999999</v>
      </c>
      <c r="H59" s="93" t="s">
        <v>397</v>
      </c>
      <c r="I59" s="80">
        <v>44574</v>
      </c>
    </row>
    <row r="60" spans="1:9" ht="15" x14ac:dyDescent="0.25">
      <c r="A60" s="57" t="s">
        <v>261</v>
      </c>
      <c r="B60" s="104" t="s">
        <v>74</v>
      </c>
      <c r="C60" s="94">
        <v>1031550</v>
      </c>
      <c r="D60" s="105" t="s">
        <v>155</v>
      </c>
      <c r="E60" s="49">
        <v>-34387557.310000002</v>
      </c>
      <c r="F60" s="61">
        <v>0</v>
      </c>
      <c r="G60" s="61">
        <v>-34387557.310000002</v>
      </c>
      <c r="H60" s="93" t="s">
        <v>397</v>
      </c>
      <c r="I60" s="80">
        <v>44574</v>
      </c>
    </row>
    <row r="61" spans="1:9" ht="15" x14ac:dyDescent="0.25">
      <c r="A61" s="57" t="s">
        <v>261</v>
      </c>
      <c r="B61" s="104" t="s">
        <v>74</v>
      </c>
      <c r="C61" s="94">
        <v>1031551</v>
      </c>
      <c r="D61" s="105" t="s">
        <v>156</v>
      </c>
      <c r="E61" s="49">
        <v>-291792.25</v>
      </c>
      <c r="F61" s="61">
        <v>0</v>
      </c>
      <c r="G61" s="61">
        <v>-291792.25</v>
      </c>
      <c r="H61" s="93" t="s">
        <v>397</v>
      </c>
      <c r="I61" s="80">
        <v>44574</v>
      </c>
    </row>
    <row r="62" spans="1:9" ht="15" x14ac:dyDescent="0.25">
      <c r="A62" s="57" t="s">
        <v>10</v>
      </c>
      <c r="B62" s="104" t="s">
        <v>74</v>
      </c>
      <c r="C62" s="94">
        <v>65501387259</v>
      </c>
      <c r="D62" s="105" t="s">
        <v>21</v>
      </c>
      <c r="E62" s="49">
        <v>65609.34</v>
      </c>
      <c r="F62" s="61">
        <v>0</v>
      </c>
      <c r="G62" s="61">
        <v>65609.34</v>
      </c>
      <c r="H62" s="93" t="s">
        <v>150</v>
      </c>
      <c r="I62" s="80">
        <v>44586.771921296298</v>
      </c>
    </row>
    <row r="63" spans="1:9" ht="15" x14ac:dyDescent="0.25">
      <c r="A63" s="57" t="s">
        <v>10</v>
      </c>
      <c r="B63" s="104" t="s">
        <v>74</v>
      </c>
      <c r="C63" s="94">
        <v>1033795</v>
      </c>
      <c r="D63" s="105" t="s">
        <v>240</v>
      </c>
      <c r="E63" s="49">
        <v>1749531.68</v>
      </c>
      <c r="F63" s="61">
        <v>0</v>
      </c>
      <c r="G63" s="61">
        <v>1749531.68</v>
      </c>
      <c r="H63" s="93" t="s">
        <v>150</v>
      </c>
      <c r="I63" s="80">
        <v>44610</v>
      </c>
    </row>
    <row r="64" spans="1:9" ht="15" x14ac:dyDescent="0.25">
      <c r="A64" s="57" t="s">
        <v>261</v>
      </c>
      <c r="B64" s="104" t="s">
        <v>74</v>
      </c>
      <c r="C64" s="94">
        <v>2000848</v>
      </c>
      <c r="D64" s="105" t="s">
        <v>184</v>
      </c>
      <c r="E64" s="49">
        <v>-71034</v>
      </c>
      <c r="F64" s="61">
        <v>0</v>
      </c>
      <c r="G64" s="61">
        <v>-71034</v>
      </c>
      <c r="H64" s="93" t="s">
        <v>397</v>
      </c>
      <c r="I64" s="80">
        <v>44610</v>
      </c>
    </row>
    <row r="65" spans="1:9" ht="15" x14ac:dyDescent="0.25">
      <c r="A65" s="57" t="s">
        <v>261</v>
      </c>
      <c r="B65" s="104" t="s">
        <v>74</v>
      </c>
      <c r="C65" s="94">
        <v>2000849</v>
      </c>
      <c r="D65" s="105" t="s">
        <v>185</v>
      </c>
      <c r="E65" s="49">
        <v>-90064.62</v>
      </c>
      <c r="F65" s="61">
        <v>0</v>
      </c>
      <c r="G65" s="61">
        <v>-90064.62</v>
      </c>
      <c r="H65" s="93" t="s">
        <v>397</v>
      </c>
      <c r="I65" s="80">
        <v>44610</v>
      </c>
    </row>
    <row r="66" spans="1:9" ht="15" x14ac:dyDescent="0.25">
      <c r="A66" s="57" t="s">
        <v>10</v>
      </c>
      <c r="B66" s="104" t="s">
        <v>74</v>
      </c>
      <c r="C66" s="94">
        <v>65501387259</v>
      </c>
      <c r="D66" s="105" t="s">
        <v>21</v>
      </c>
      <c r="E66" s="49">
        <v>287954.61</v>
      </c>
      <c r="F66" s="61">
        <v>0</v>
      </c>
      <c r="G66" s="61">
        <v>287954.61</v>
      </c>
      <c r="H66" s="93"/>
      <c r="I66" s="80">
        <v>44620</v>
      </c>
    </row>
    <row r="67" spans="1:9" ht="15" x14ac:dyDescent="0.25">
      <c r="A67" s="57" t="s">
        <v>10</v>
      </c>
      <c r="B67" s="104" t="s">
        <v>74</v>
      </c>
      <c r="C67" s="94">
        <v>1033795</v>
      </c>
      <c r="D67" s="105" t="s">
        <v>240</v>
      </c>
      <c r="E67" s="49">
        <v>1794179.16</v>
      </c>
      <c r="F67" s="61">
        <v>0</v>
      </c>
      <c r="G67" s="61">
        <v>1794179.16</v>
      </c>
      <c r="H67" s="93" t="s">
        <v>150</v>
      </c>
      <c r="I67" s="80">
        <v>44620.343541666669</v>
      </c>
    </row>
    <row r="68" spans="1:9" ht="15" x14ac:dyDescent="0.25">
      <c r="A68" s="57" t="s">
        <v>10</v>
      </c>
      <c r="B68" s="104" t="s">
        <v>74</v>
      </c>
      <c r="C68" s="94">
        <v>65501387259</v>
      </c>
      <c r="D68" s="105" t="s">
        <v>21</v>
      </c>
      <c r="E68" s="49">
        <v>160468.85999999999</v>
      </c>
      <c r="F68" s="61">
        <v>0</v>
      </c>
      <c r="G68" s="61">
        <v>160468.85999999999</v>
      </c>
      <c r="H68" s="93"/>
      <c r="I68" s="80">
        <v>44637.781469907408</v>
      </c>
    </row>
    <row r="69" spans="1:9" ht="15" x14ac:dyDescent="0.25">
      <c r="A69" s="57" t="s">
        <v>10</v>
      </c>
      <c r="B69" s="104" t="s">
        <v>74</v>
      </c>
      <c r="C69" s="94">
        <v>65501387259</v>
      </c>
      <c r="D69" s="105" t="s">
        <v>21</v>
      </c>
      <c r="E69" s="49">
        <v>335643.69</v>
      </c>
      <c r="F69" s="61">
        <v>0</v>
      </c>
      <c r="G69" s="61">
        <v>335643.69</v>
      </c>
      <c r="H69" s="93" t="s">
        <v>150</v>
      </c>
      <c r="I69" s="80">
        <v>44670</v>
      </c>
    </row>
    <row r="70" spans="1:9" ht="15" x14ac:dyDescent="0.25">
      <c r="A70" s="57" t="s">
        <v>10</v>
      </c>
      <c r="B70" s="104" t="s">
        <v>74</v>
      </c>
      <c r="C70" s="94">
        <v>65501387259</v>
      </c>
      <c r="D70" s="105" t="s">
        <v>21</v>
      </c>
      <c r="E70" s="49">
        <v>395759.98</v>
      </c>
      <c r="F70" s="61">
        <v>0</v>
      </c>
      <c r="G70" s="61">
        <v>395759.98</v>
      </c>
      <c r="H70" s="93" t="s">
        <v>150</v>
      </c>
      <c r="I70" s="80">
        <v>44683</v>
      </c>
    </row>
    <row r="71" spans="1:9" ht="15" x14ac:dyDescent="0.25">
      <c r="A71" s="57" t="s">
        <v>10</v>
      </c>
      <c r="B71" s="104" t="s">
        <v>74</v>
      </c>
      <c r="C71" s="94">
        <v>65501387259</v>
      </c>
      <c r="D71" s="105" t="s">
        <v>21</v>
      </c>
      <c r="E71" s="49">
        <v>90856.14</v>
      </c>
      <c r="F71" s="61">
        <v>0</v>
      </c>
      <c r="G71" s="61">
        <v>90856.14</v>
      </c>
      <c r="H71" s="93" t="s">
        <v>150</v>
      </c>
      <c r="I71" s="80">
        <v>44692</v>
      </c>
    </row>
    <row r="72" spans="1:9" ht="15" x14ac:dyDescent="0.25">
      <c r="A72" s="57" t="s">
        <v>10</v>
      </c>
      <c r="B72" s="104" t="s">
        <v>74</v>
      </c>
      <c r="C72" s="94">
        <v>65501387259</v>
      </c>
      <c r="D72" s="105" t="s">
        <v>21</v>
      </c>
      <c r="E72" s="49">
        <v>235233.6</v>
      </c>
      <c r="F72" s="61">
        <v>0</v>
      </c>
      <c r="G72" s="61">
        <v>235233.6</v>
      </c>
      <c r="H72" s="93" t="s">
        <v>150</v>
      </c>
      <c r="I72" s="80">
        <v>44704.902650462966</v>
      </c>
    </row>
    <row r="73" spans="1:9" ht="15" x14ac:dyDescent="0.25">
      <c r="A73" s="57" t="s">
        <v>10</v>
      </c>
      <c r="B73" s="104" t="s">
        <v>74</v>
      </c>
      <c r="C73" s="94">
        <v>65501387259</v>
      </c>
      <c r="D73" s="105" t="s">
        <v>21</v>
      </c>
      <c r="E73" s="49">
        <v>266334.59000000003</v>
      </c>
      <c r="F73" s="49">
        <v>0</v>
      </c>
      <c r="G73" s="49">
        <v>266334.59000000003</v>
      </c>
      <c r="H73" s="93" t="s">
        <v>150</v>
      </c>
      <c r="I73" s="80">
        <v>44736.633067129631</v>
      </c>
    </row>
    <row r="74" spans="1:9" ht="15" x14ac:dyDescent="0.25">
      <c r="A74" s="57" t="s">
        <v>261</v>
      </c>
      <c r="B74" s="104" t="s">
        <v>74</v>
      </c>
      <c r="C74" s="94">
        <v>64972</v>
      </c>
      <c r="D74" s="105" t="s">
        <v>13</v>
      </c>
      <c r="E74" s="49">
        <v>-96924.96</v>
      </c>
      <c r="F74" s="49">
        <v>0</v>
      </c>
      <c r="G74" s="49">
        <v>-96924.96</v>
      </c>
      <c r="H74" s="93" t="s">
        <v>397</v>
      </c>
      <c r="I74" s="80">
        <v>44739.82440972222</v>
      </c>
    </row>
    <row r="75" spans="1:9" ht="15" x14ac:dyDescent="0.25">
      <c r="A75" s="57" t="s">
        <v>10</v>
      </c>
      <c r="B75" s="104" t="s">
        <v>74</v>
      </c>
      <c r="C75" s="94">
        <v>65501387259</v>
      </c>
      <c r="D75" s="105" t="s">
        <v>21</v>
      </c>
      <c r="E75" s="49">
        <v>-13007.11</v>
      </c>
      <c r="F75" s="49">
        <v>0</v>
      </c>
      <c r="G75" s="49">
        <v>-13007.11</v>
      </c>
      <c r="H75" s="93" t="s">
        <v>150</v>
      </c>
      <c r="I75" s="80">
        <v>44740.721099537041</v>
      </c>
    </row>
    <row r="76" spans="1:9" ht="15" x14ac:dyDescent="0.25">
      <c r="A76" s="57" t="s">
        <v>261</v>
      </c>
      <c r="B76" s="102" t="s">
        <v>74</v>
      </c>
      <c r="C76" s="103">
        <v>1031340</v>
      </c>
      <c r="D76" s="103" t="s">
        <v>316</v>
      </c>
      <c r="E76" s="49">
        <v>2007755.16</v>
      </c>
      <c r="F76" s="49">
        <v>0</v>
      </c>
      <c r="G76" s="49">
        <v>2007755.16</v>
      </c>
      <c r="H76" s="93" t="s">
        <v>150</v>
      </c>
      <c r="I76" s="79">
        <v>44746.336134259262</v>
      </c>
    </row>
    <row r="77" spans="1:9" ht="15" x14ac:dyDescent="0.25">
      <c r="A77" s="57" t="s">
        <v>10</v>
      </c>
      <c r="B77" s="102" t="s">
        <v>74</v>
      </c>
      <c r="C77" s="103">
        <v>65501387259</v>
      </c>
      <c r="D77" s="103" t="s">
        <v>21</v>
      </c>
      <c r="E77" s="49">
        <v>18635.169999999998</v>
      </c>
      <c r="F77" s="49">
        <v>0</v>
      </c>
      <c r="G77" s="49">
        <v>18635.169999999998</v>
      </c>
      <c r="H77" s="93" t="s">
        <v>150</v>
      </c>
      <c r="I77" s="79">
        <v>44748.513958333337</v>
      </c>
    </row>
    <row r="78" spans="1:9" ht="15" x14ac:dyDescent="0.25">
      <c r="A78" s="57" t="s">
        <v>261</v>
      </c>
      <c r="B78" s="102" t="s">
        <v>74</v>
      </c>
      <c r="C78" s="103">
        <v>2000466</v>
      </c>
      <c r="D78" s="103" t="s">
        <v>335</v>
      </c>
      <c r="E78" s="49">
        <v>-694663.47</v>
      </c>
      <c r="F78" s="61">
        <v>0</v>
      </c>
      <c r="G78" s="61">
        <v>-694663.47</v>
      </c>
      <c r="H78" s="93" t="s">
        <v>150</v>
      </c>
      <c r="I78" s="79">
        <v>44753.759976851848</v>
      </c>
    </row>
    <row r="79" spans="1:9" ht="15" x14ac:dyDescent="0.25">
      <c r="A79" s="57" t="s">
        <v>261</v>
      </c>
      <c r="B79" s="102" t="s">
        <v>74</v>
      </c>
      <c r="C79" s="103">
        <v>2000470</v>
      </c>
      <c r="D79" s="103" t="s">
        <v>329</v>
      </c>
      <c r="E79" s="49">
        <v>-270670.28000000003</v>
      </c>
      <c r="F79" s="61">
        <v>0</v>
      </c>
      <c r="G79" s="61">
        <v>-270670.28000000003</v>
      </c>
      <c r="H79" s="93" t="s">
        <v>150</v>
      </c>
      <c r="I79" s="79">
        <v>44753.759988425925</v>
      </c>
    </row>
    <row r="80" spans="1:9" ht="15" x14ac:dyDescent="0.25">
      <c r="A80" s="57" t="s">
        <v>261</v>
      </c>
      <c r="B80" s="102" t="s">
        <v>74</v>
      </c>
      <c r="C80" s="103">
        <v>1031340</v>
      </c>
      <c r="D80" s="103" t="s">
        <v>316</v>
      </c>
      <c r="E80" s="49">
        <v>1041328.76</v>
      </c>
      <c r="F80" s="61">
        <v>0</v>
      </c>
      <c r="G80" s="61">
        <v>1041328.76</v>
      </c>
      <c r="H80" s="93" t="s">
        <v>150</v>
      </c>
      <c r="I80" s="79">
        <v>44754.755208333336</v>
      </c>
    </row>
    <row r="81" spans="1:9" ht="15" x14ac:dyDescent="0.25">
      <c r="A81" s="57" t="s">
        <v>10</v>
      </c>
      <c r="B81" s="104" t="s">
        <v>74</v>
      </c>
      <c r="C81" s="94">
        <v>65501387259</v>
      </c>
      <c r="D81" s="105" t="s">
        <v>21</v>
      </c>
      <c r="E81" s="49">
        <v>85974.64</v>
      </c>
      <c r="F81" s="61">
        <v>0</v>
      </c>
      <c r="G81" s="61">
        <v>85974.64</v>
      </c>
      <c r="H81" s="93" t="s">
        <v>150</v>
      </c>
      <c r="I81" s="80">
        <v>44774.747025462966</v>
      </c>
    </row>
    <row r="82" spans="1:9" ht="15" x14ac:dyDescent="0.25">
      <c r="A82" s="57" t="s">
        <v>261</v>
      </c>
      <c r="B82" s="104" t="s">
        <v>74</v>
      </c>
      <c r="C82" s="94">
        <v>1031340</v>
      </c>
      <c r="D82" s="105" t="s">
        <v>316</v>
      </c>
      <c r="E82" s="49">
        <v>3096757.96</v>
      </c>
      <c r="F82" s="61">
        <v>0</v>
      </c>
      <c r="G82" s="61">
        <v>3096757.96</v>
      </c>
      <c r="H82" s="93" t="s">
        <v>150</v>
      </c>
      <c r="I82" s="80">
        <v>44783.673819444448</v>
      </c>
    </row>
    <row r="83" spans="1:9" ht="15" x14ac:dyDescent="0.25">
      <c r="A83" s="57" t="s">
        <v>10</v>
      </c>
      <c r="B83" s="104" t="s">
        <v>74</v>
      </c>
      <c r="C83" s="94">
        <v>65501387259</v>
      </c>
      <c r="D83" s="105" t="s">
        <v>21</v>
      </c>
      <c r="E83" s="49">
        <v>338033.7</v>
      </c>
      <c r="F83" s="61">
        <v>0</v>
      </c>
      <c r="G83" s="61">
        <v>338033.7</v>
      </c>
      <c r="H83" s="93" t="s">
        <v>150</v>
      </c>
      <c r="I83" s="80">
        <v>44784.715150462966</v>
      </c>
    </row>
    <row r="84" spans="1:9" ht="15" x14ac:dyDescent="0.25">
      <c r="A84" s="57" t="s">
        <v>261</v>
      </c>
      <c r="B84" s="104" t="s">
        <v>74</v>
      </c>
      <c r="C84" s="94">
        <v>2000569</v>
      </c>
      <c r="D84" s="105" t="s">
        <v>348</v>
      </c>
      <c r="E84" s="49">
        <v>1536909.97</v>
      </c>
      <c r="F84" s="61">
        <v>0</v>
      </c>
      <c r="G84" s="49">
        <v>1536909.97</v>
      </c>
      <c r="H84" s="93" t="s">
        <v>150</v>
      </c>
      <c r="I84" s="80">
        <v>44785.614548611113</v>
      </c>
    </row>
    <row r="85" spans="1:9" ht="15" x14ac:dyDescent="0.25">
      <c r="A85" s="57" t="s">
        <v>10</v>
      </c>
      <c r="B85" s="104" t="s">
        <v>74</v>
      </c>
      <c r="C85" s="94">
        <v>65507052215</v>
      </c>
      <c r="D85" s="105" t="s">
        <v>237</v>
      </c>
      <c r="E85" s="49">
        <v>1023443.02</v>
      </c>
      <c r="F85" s="61">
        <v>0</v>
      </c>
      <c r="G85" s="49">
        <v>1023443.02</v>
      </c>
      <c r="H85" s="93" t="s">
        <v>150</v>
      </c>
      <c r="I85" s="80">
        <v>44791.64744212963</v>
      </c>
    </row>
    <row r="86" spans="1:9" ht="15" x14ac:dyDescent="0.25">
      <c r="A86" s="57" t="s">
        <v>10</v>
      </c>
      <c r="B86" s="104" t="s">
        <v>74</v>
      </c>
      <c r="C86" s="94">
        <v>65507052277</v>
      </c>
      <c r="D86" s="105" t="s">
        <v>238</v>
      </c>
      <c r="E86" s="49">
        <v>644688.52</v>
      </c>
      <c r="F86" s="61">
        <v>0</v>
      </c>
      <c r="G86" s="49">
        <v>644688.52</v>
      </c>
      <c r="H86" s="93" t="s">
        <v>150</v>
      </c>
      <c r="I86" s="80">
        <v>44791.64744212963</v>
      </c>
    </row>
    <row r="87" spans="1:9" ht="15" x14ac:dyDescent="0.25">
      <c r="A87" s="57" t="s">
        <v>10</v>
      </c>
      <c r="B87" s="104" t="s">
        <v>74</v>
      </c>
      <c r="C87" s="94">
        <v>65507052294</v>
      </c>
      <c r="D87" s="105" t="s">
        <v>239</v>
      </c>
      <c r="E87" s="49">
        <v>1611721.29</v>
      </c>
      <c r="F87" s="61">
        <v>0</v>
      </c>
      <c r="G87" s="49">
        <v>1611721.29</v>
      </c>
      <c r="H87" s="93" t="s">
        <v>150</v>
      </c>
      <c r="I87" s="80">
        <v>44791.64744212963</v>
      </c>
    </row>
    <row r="88" spans="1:9" ht="15" x14ac:dyDescent="0.25">
      <c r="A88" s="57" t="s">
        <v>188</v>
      </c>
      <c r="B88" s="104" t="s">
        <v>74</v>
      </c>
      <c r="C88" s="94">
        <v>1024556</v>
      </c>
      <c r="D88" s="105" t="s">
        <v>187</v>
      </c>
      <c r="E88" s="49">
        <v>592570.74</v>
      </c>
      <c r="F88" s="61">
        <v>0</v>
      </c>
      <c r="G88" s="49">
        <v>592570.74</v>
      </c>
      <c r="H88" s="93" t="s">
        <v>150</v>
      </c>
      <c r="I88" s="80">
        <v>44795.691631944443</v>
      </c>
    </row>
    <row r="89" spans="1:9" ht="15" x14ac:dyDescent="0.25">
      <c r="A89" s="57" t="s">
        <v>188</v>
      </c>
      <c r="B89" s="104" t="s">
        <v>74</v>
      </c>
      <c r="C89" s="94">
        <v>1024556</v>
      </c>
      <c r="D89" s="105" t="s">
        <v>187</v>
      </c>
      <c r="E89" s="49">
        <v>-14025563.199999999</v>
      </c>
      <c r="F89" s="61">
        <v>0</v>
      </c>
      <c r="G89" s="49">
        <v>-14025563.199999999</v>
      </c>
      <c r="H89" s="93" t="s">
        <v>150</v>
      </c>
      <c r="I89" s="80">
        <v>44796.684861111113</v>
      </c>
    </row>
    <row r="90" spans="1:9" ht="15" x14ac:dyDescent="0.25">
      <c r="A90" s="57" t="s">
        <v>261</v>
      </c>
      <c r="B90" s="104" t="s">
        <v>74</v>
      </c>
      <c r="C90" s="94">
        <v>1031340</v>
      </c>
      <c r="D90" s="105" t="s">
        <v>316</v>
      </c>
      <c r="E90" s="49">
        <v>1057669.1399999999</v>
      </c>
      <c r="F90" s="61">
        <v>0</v>
      </c>
      <c r="G90" s="49">
        <v>1057669.1399999999</v>
      </c>
      <c r="H90" s="93" t="s">
        <v>150</v>
      </c>
      <c r="I90" s="80">
        <v>44796.684861111113</v>
      </c>
    </row>
    <row r="91" spans="1:9" ht="15" x14ac:dyDescent="0.25">
      <c r="A91" s="57" t="s">
        <v>10</v>
      </c>
      <c r="B91" s="104" t="s">
        <v>74</v>
      </c>
      <c r="C91" s="94">
        <v>65507052215</v>
      </c>
      <c r="D91" s="105" t="s">
        <v>237</v>
      </c>
      <c r="E91" s="49">
        <v>677712.23</v>
      </c>
      <c r="F91" s="61">
        <v>0</v>
      </c>
      <c r="G91" s="49">
        <v>677712.23</v>
      </c>
      <c r="H91" s="93" t="s">
        <v>150</v>
      </c>
      <c r="I91" s="80">
        <v>44796.684861111113</v>
      </c>
    </row>
    <row r="92" spans="1:9" ht="15" x14ac:dyDescent="0.25">
      <c r="A92" s="57" t="s">
        <v>10</v>
      </c>
      <c r="B92" s="104" t="s">
        <v>74</v>
      </c>
      <c r="C92" s="94">
        <v>65507052277</v>
      </c>
      <c r="D92" s="105" t="s">
        <v>238</v>
      </c>
      <c r="E92" s="49">
        <v>427844.44</v>
      </c>
      <c r="F92" s="61">
        <v>0</v>
      </c>
      <c r="G92" s="49">
        <v>427844.44</v>
      </c>
      <c r="H92" s="93" t="s">
        <v>150</v>
      </c>
      <c r="I92" s="80">
        <v>44796.684861111113</v>
      </c>
    </row>
    <row r="93" spans="1:9" ht="15" x14ac:dyDescent="0.25">
      <c r="A93" s="57" t="s">
        <v>10</v>
      </c>
      <c r="B93" s="104" t="s">
        <v>74</v>
      </c>
      <c r="C93" s="94">
        <v>65507052294</v>
      </c>
      <c r="D93" s="105" t="s">
        <v>239</v>
      </c>
      <c r="E93" s="49">
        <v>1054681.92</v>
      </c>
      <c r="F93" s="61">
        <v>0</v>
      </c>
      <c r="G93" s="49">
        <v>1054681.92</v>
      </c>
      <c r="H93" s="93" t="s">
        <v>150</v>
      </c>
      <c r="I93" s="80">
        <v>44796.684861111113</v>
      </c>
    </row>
    <row r="94" spans="1:9" ht="15" x14ac:dyDescent="0.25">
      <c r="A94" s="57" t="s">
        <v>188</v>
      </c>
      <c r="B94" s="104" t="s">
        <v>74</v>
      </c>
      <c r="C94" s="94">
        <v>1024556</v>
      </c>
      <c r="D94" s="105" t="s">
        <v>187</v>
      </c>
      <c r="E94" s="49">
        <v>911849.24</v>
      </c>
      <c r="F94" s="61">
        <v>0</v>
      </c>
      <c r="G94" s="49">
        <v>911849.24</v>
      </c>
      <c r="H94" s="93" t="s">
        <v>150</v>
      </c>
      <c r="I94" s="80">
        <v>44797.60732638889</v>
      </c>
    </row>
    <row r="95" spans="1:9" ht="15" x14ac:dyDescent="0.25">
      <c r="A95" s="57" t="s">
        <v>10</v>
      </c>
      <c r="B95" s="104" t="s">
        <v>74</v>
      </c>
      <c r="C95" s="94">
        <v>78665</v>
      </c>
      <c r="D95" s="105" t="s">
        <v>298</v>
      </c>
      <c r="E95" s="49">
        <v>2936428.49</v>
      </c>
      <c r="F95" s="61">
        <v>0</v>
      </c>
      <c r="G95" s="49">
        <v>2936428.49</v>
      </c>
      <c r="H95" s="93"/>
      <c r="I95" s="80">
        <v>44798.642453703702</v>
      </c>
    </row>
    <row r="96" spans="1:9" ht="15" x14ac:dyDescent="0.25">
      <c r="A96" s="57" t="s">
        <v>10</v>
      </c>
      <c r="B96" s="104" t="s">
        <v>74</v>
      </c>
      <c r="C96" s="94">
        <v>1012259</v>
      </c>
      <c r="D96" s="105" t="s">
        <v>54</v>
      </c>
      <c r="E96" s="49">
        <v>127919.82</v>
      </c>
      <c r="F96" s="61">
        <v>0</v>
      </c>
      <c r="G96" s="49">
        <v>127919.82</v>
      </c>
      <c r="H96" s="93"/>
      <c r="I96" s="80">
        <v>44798.642453703702</v>
      </c>
    </row>
    <row r="97" spans="1:9" ht="15" x14ac:dyDescent="0.25">
      <c r="A97" s="57" t="s">
        <v>10</v>
      </c>
      <c r="B97" s="104" t="s">
        <v>74</v>
      </c>
      <c r="C97" s="94">
        <v>1012260</v>
      </c>
      <c r="D97" s="105" t="s">
        <v>55</v>
      </c>
      <c r="E97" s="49">
        <v>263374.28999999998</v>
      </c>
      <c r="F97" s="61">
        <v>0</v>
      </c>
      <c r="G97" s="49">
        <v>263374.28999999998</v>
      </c>
      <c r="H97" s="93"/>
      <c r="I97" s="80">
        <v>44798.642453703702</v>
      </c>
    </row>
    <row r="98" spans="1:9" ht="15" x14ac:dyDescent="0.25">
      <c r="A98" s="57" t="s">
        <v>10</v>
      </c>
      <c r="B98" s="104" t="s">
        <v>74</v>
      </c>
      <c r="C98" s="94">
        <v>1033545</v>
      </c>
      <c r="D98" s="105" t="s">
        <v>236</v>
      </c>
      <c r="E98" s="49">
        <v>41067.129999999997</v>
      </c>
      <c r="F98" s="61">
        <v>0</v>
      </c>
      <c r="G98" s="49">
        <v>41067.129999999997</v>
      </c>
      <c r="H98" s="93"/>
      <c r="I98" s="80">
        <v>44798.642453703702</v>
      </c>
    </row>
    <row r="99" spans="1:9" ht="15" x14ac:dyDescent="0.25">
      <c r="A99" s="57" t="s">
        <v>10</v>
      </c>
      <c r="B99" s="104" t="s">
        <v>74</v>
      </c>
      <c r="C99" s="94">
        <v>1033546</v>
      </c>
      <c r="D99" s="105" t="s">
        <v>236</v>
      </c>
      <c r="E99" s="49">
        <v>18046.54</v>
      </c>
      <c r="F99" s="61">
        <v>0</v>
      </c>
      <c r="G99" s="49">
        <v>18046.54</v>
      </c>
      <c r="H99" s="93"/>
      <c r="I99" s="80">
        <v>44798.642453703702</v>
      </c>
    </row>
    <row r="100" spans="1:9" ht="15" x14ac:dyDescent="0.25">
      <c r="A100" s="57" t="s">
        <v>10</v>
      </c>
      <c r="B100" s="104" t="s">
        <v>74</v>
      </c>
      <c r="C100" s="94">
        <v>2000182</v>
      </c>
      <c r="D100" s="105" t="s">
        <v>56</v>
      </c>
      <c r="E100" s="49">
        <v>51623.67</v>
      </c>
      <c r="F100" s="61">
        <v>0</v>
      </c>
      <c r="G100" s="49">
        <v>51623.67</v>
      </c>
      <c r="H100" s="93"/>
      <c r="I100" s="80">
        <v>44798.642453703702</v>
      </c>
    </row>
    <row r="101" spans="1:9" ht="15" x14ac:dyDescent="0.25">
      <c r="A101" s="57" t="s">
        <v>10</v>
      </c>
      <c r="B101" s="104" t="s">
        <v>74</v>
      </c>
      <c r="C101" s="94">
        <v>2000183</v>
      </c>
      <c r="D101" s="105" t="s">
        <v>309</v>
      </c>
      <c r="E101" s="49">
        <v>108326.54</v>
      </c>
      <c r="F101" s="61">
        <v>0</v>
      </c>
      <c r="G101" s="49">
        <v>108326.54</v>
      </c>
      <c r="H101" s="93"/>
      <c r="I101" s="80">
        <v>44798.642453703702</v>
      </c>
    </row>
    <row r="102" spans="1:9" ht="15" x14ac:dyDescent="0.25">
      <c r="A102" s="57" t="s">
        <v>10</v>
      </c>
      <c r="B102" s="104" t="s">
        <v>74</v>
      </c>
      <c r="C102" s="94">
        <v>2000216</v>
      </c>
      <c r="D102" s="105" t="s">
        <v>58</v>
      </c>
      <c r="E102" s="49">
        <v>3913957.35</v>
      </c>
      <c r="F102" s="61">
        <v>0</v>
      </c>
      <c r="G102" s="49">
        <v>3913957.35</v>
      </c>
      <c r="H102" s="93"/>
      <c r="I102" s="80">
        <v>44798.642453703702</v>
      </c>
    </row>
    <row r="103" spans="1:9" ht="15" x14ac:dyDescent="0.25">
      <c r="A103" s="57" t="s">
        <v>10</v>
      </c>
      <c r="B103" s="104" t="s">
        <v>74</v>
      </c>
      <c r="C103" s="94">
        <v>2000217</v>
      </c>
      <c r="D103" s="105" t="s">
        <v>59</v>
      </c>
      <c r="E103" s="49">
        <v>1063211.26</v>
      </c>
      <c r="F103" s="61">
        <v>0</v>
      </c>
      <c r="G103" s="49">
        <v>1063211.26</v>
      </c>
      <c r="H103" s="93"/>
      <c r="I103" s="80">
        <v>44798.642453703702</v>
      </c>
    </row>
    <row r="104" spans="1:9" ht="15" x14ac:dyDescent="0.25">
      <c r="A104" s="57" t="s">
        <v>10</v>
      </c>
      <c r="B104" s="104" t="s">
        <v>74</v>
      </c>
      <c r="C104" s="94">
        <v>2000218</v>
      </c>
      <c r="D104" s="105" t="s">
        <v>60</v>
      </c>
      <c r="E104" s="49">
        <v>771802.58</v>
      </c>
      <c r="F104" s="61">
        <v>0</v>
      </c>
      <c r="G104" s="49">
        <v>771802.58</v>
      </c>
      <c r="H104" s="93"/>
      <c r="I104" s="80">
        <v>44798.642453703702</v>
      </c>
    </row>
    <row r="105" spans="1:9" ht="15" x14ac:dyDescent="0.25">
      <c r="A105" s="57" t="s">
        <v>10</v>
      </c>
      <c r="B105" s="104" t="s">
        <v>74</v>
      </c>
      <c r="C105" s="94">
        <v>2000423</v>
      </c>
      <c r="D105" s="105" t="s">
        <v>64</v>
      </c>
      <c r="E105" s="49">
        <v>23568.95</v>
      </c>
      <c r="F105" s="61">
        <v>0</v>
      </c>
      <c r="G105" s="49">
        <v>23568.95</v>
      </c>
      <c r="H105" s="93"/>
      <c r="I105" s="80">
        <v>44798.642453703702</v>
      </c>
    </row>
    <row r="106" spans="1:9" ht="15" x14ac:dyDescent="0.25">
      <c r="A106" s="57" t="s">
        <v>10</v>
      </c>
      <c r="B106" s="104" t="s">
        <v>74</v>
      </c>
      <c r="C106" s="94">
        <v>2000424</v>
      </c>
      <c r="D106" s="105" t="s">
        <v>65</v>
      </c>
      <c r="E106" s="49">
        <v>50533.06</v>
      </c>
      <c r="F106" s="61">
        <v>0</v>
      </c>
      <c r="G106" s="49">
        <v>50533.06</v>
      </c>
      <c r="H106" s="93"/>
      <c r="I106" s="80">
        <v>44798.642453703702</v>
      </c>
    </row>
    <row r="107" spans="1:9" ht="15" x14ac:dyDescent="0.25">
      <c r="A107" s="57" t="s">
        <v>10</v>
      </c>
      <c r="B107" s="104" t="s">
        <v>74</v>
      </c>
      <c r="C107" s="94">
        <v>2001046</v>
      </c>
      <c r="D107" s="105" t="s">
        <v>227</v>
      </c>
      <c r="E107" s="49">
        <v>74968.87</v>
      </c>
      <c r="F107" s="61">
        <v>0</v>
      </c>
      <c r="G107" s="49">
        <v>74968.87</v>
      </c>
      <c r="H107" s="93"/>
      <c r="I107" s="80">
        <v>44798.642453703702</v>
      </c>
    </row>
    <row r="108" spans="1:9" ht="15" x14ac:dyDescent="0.25">
      <c r="A108" s="57" t="s">
        <v>10</v>
      </c>
      <c r="B108" s="104" t="s">
        <v>74</v>
      </c>
      <c r="C108" s="94">
        <v>2001047</v>
      </c>
      <c r="D108" s="105" t="s">
        <v>228</v>
      </c>
      <c r="E108" s="49">
        <v>34817.410000000003</v>
      </c>
      <c r="F108" s="61">
        <v>0</v>
      </c>
      <c r="G108" s="49">
        <v>34817.410000000003</v>
      </c>
      <c r="H108" s="93"/>
      <c r="I108" s="80">
        <v>44798.642453703702</v>
      </c>
    </row>
    <row r="109" spans="1:9" ht="15" x14ac:dyDescent="0.25">
      <c r="A109" s="57" t="s">
        <v>261</v>
      </c>
      <c r="B109" s="104" t="s">
        <v>74</v>
      </c>
      <c r="C109" s="94">
        <v>1031340</v>
      </c>
      <c r="D109" s="105" t="s">
        <v>316</v>
      </c>
      <c r="E109" s="49">
        <v>2064498.04</v>
      </c>
      <c r="F109" s="61">
        <v>0</v>
      </c>
      <c r="G109" s="49">
        <v>2064498.04</v>
      </c>
      <c r="H109" s="93" t="s">
        <v>150</v>
      </c>
      <c r="I109" s="80">
        <v>44802.5778125</v>
      </c>
    </row>
    <row r="110" spans="1:9" ht="15" x14ac:dyDescent="0.25">
      <c r="A110" s="57" t="s">
        <v>10</v>
      </c>
      <c r="B110" s="104" t="s">
        <v>74</v>
      </c>
      <c r="C110" s="94">
        <v>78665</v>
      </c>
      <c r="D110" s="105" t="s">
        <v>298</v>
      </c>
      <c r="E110" s="49">
        <v>-5293805.24</v>
      </c>
      <c r="F110" s="61">
        <v>0</v>
      </c>
      <c r="G110" s="49">
        <v>-5293805.24</v>
      </c>
      <c r="H110" s="93" t="s">
        <v>150</v>
      </c>
      <c r="I110" s="80">
        <v>44804.361215277779</v>
      </c>
    </row>
    <row r="111" spans="1:9" ht="15" x14ac:dyDescent="0.25">
      <c r="A111" s="57" t="s">
        <v>10</v>
      </c>
      <c r="B111" s="104" t="s">
        <v>74</v>
      </c>
      <c r="C111" s="94">
        <v>1012259</v>
      </c>
      <c r="D111" s="105" t="s">
        <v>54</v>
      </c>
      <c r="E111" s="49">
        <v>-13881.12</v>
      </c>
      <c r="F111" s="61">
        <v>0</v>
      </c>
      <c r="G111" s="49">
        <v>-13881.12</v>
      </c>
      <c r="H111" s="93" t="s">
        <v>150</v>
      </c>
      <c r="I111" s="80">
        <v>44804.361215277779</v>
      </c>
    </row>
    <row r="112" spans="1:9" ht="15" x14ac:dyDescent="0.25">
      <c r="A112" s="57" t="s">
        <v>261</v>
      </c>
      <c r="B112" s="104" t="s">
        <v>74</v>
      </c>
      <c r="C112" s="94">
        <v>1031340</v>
      </c>
      <c r="D112" s="105" t="s">
        <v>316</v>
      </c>
      <c r="E112" s="49">
        <v>1052940.1000000001</v>
      </c>
      <c r="F112" s="61">
        <v>0</v>
      </c>
      <c r="G112" s="49">
        <v>1052940.1000000001</v>
      </c>
      <c r="H112" s="93" t="s">
        <v>150</v>
      </c>
      <c r="I112" s="80">
        <v>44804.361215277779</v>
      </c>
    </row>
    <row r="113" spans="1:9" ht="15" x14ac:dyDescent="0.25">
      <c r="A113" s="57" t="s">
        <v>10</v>
      </c>
      <c r="B113" s="104" t="s">
        <v>74</v>
      </c>
      <c r="C113" s="94">
        <v>2000216</v>
      </c>
      <c r="D113" s="105" t="s">
        <v>58</v>
      </c>
      <c r="E113" s="49">
        <v>-7826457.2699999996</v>
      </c>
      <c r="F113" s="61">
        <v>0</v>
      </c>
      <c r="G113" s="49">
        <v>-7826457.2699999996</v>
      </c>
      <c r="H113" s="93" t="s">
        <v>150</v>
      </c>
      <c r="I113" s="80">
        <v>44804.361215277779</v>
      </c>
    </row>
    <row r="114" spans="1:9" ht="15" x14ac:dyDescent="0.25">
      <c r="A114" s="57" t="s">
        <v>10</v>
      </c>
      <c r="B114" s="104" t="s">
        <v>74</v>
      </c>
      <c r="C114" s="94">
        <v>2000217</v>
      </c>
      <c r="D114" s="105" t="s">
        <v>59</v>
      </c>
      <c r="E114" s="49">
        <v>-2176435.2999999998</v>
      </c>
      <c r="F114" s="61">
        <v>0</v>
      </c>
      <c r="G114" s="49">
        <v>-2176435.2999999998</v>
      </c>
      <c r="H114" s="93" t="s">
        <v>150</v>
      </c>
      <c r="I114" s="80">
        <v>44804.361215277779</v>
      </c>
    </row>
    <row r="115" spans="1:9" ht="15" x14ac:dyDescent="0.25">
      <c r="A115" s="57" t="s">
        <v>10</v>
      </c>
      <c r="B115" s="104" t="s">
        <v>74</v>
      </c>
      <c r="C115" s="94">
        <v>2000218</v>
      </c>
      <c r="D115" s="105" t="s">
        <v>60</v>
      </c>
      <c r="E115" s="49">
        <v>-146904.04</v>
      </c>
      <c r="F115" s="61">
        <v>0</v>
      </c>
      <c r="G115" s="49">
        <v>-146904.04</v>
      </c>
      <c r="H115" s="93" t="s">
        <v>150</v>
      </c>
      <c r="I115" s="80">
        <v>44804.361215277779</v>
      </c>
    </row>
    <row r="116" spans="1:9" ht="15" x14ac:dyDescent="0.25">
      <c r="A116" s="57" t="s">
        <v>10</v>
      </c>
      <c r="B116" s="104" t="s">
        <v>74</v>
      </c>
      <c r="C116" s="94">
        <v>2001046</v>
      </c>
      <c r="D116" s="105" t="s">
        <v>227</v>
      </c>
      <c r="E116" s="49">
        <v>-117273.26</v>
      </c>
      <c r="F116" s="61">
        <v>0</v>
      </c>
      <c r="G116" s="49">
        <v>-117273.26</v>
      </c>
      <c r="H116" s="93" t="s">
        <v>150</v>
      </c>
      <c r="I116" s="80">
        <v>44804.361215277779</v>
      </c>
    </row>
    <row r="117" spans="1:9" ht="15" x14ac:dyDescent="0.25">
      <c r="A117" s="57" t="s">
        <v>10</v>
      </c>
      <c r="B117" s="104" t="s">
        <v>74</v>
      </c>
      <c r="C117" s="94">
        <v>2001047</v>
      </c>
      <c r="D117" s="105" t="s">
        <v>228</v>
      </c>
      <c r="E117" s="49">
        <v>-173732.27</v>
      </c>
      <c r="F117" s="61">
        <v>0</v>
      </c>
      <c r="G117" s="49">
        <v>-173732.27</v>
      </c>
      <c r="H117" s="93" t="s">
        <v>150</v>
      </c>
      <c r="I117" s="80">
        <v>44804.361215277779</v>
      </c>
    </row>
    <row r="118" spans="1:9" ht="15" x14ac:dyDescent="0.25">
      <c r="A118" s="57" t="s">
        <v>325</v>
      </c>
      <c r="B118" s="104" t="s">
        <v>74</v>
      </c>
      <c r="C118" s="94">
        <v>1036723</v>
      </c>
      <c r="D118" s="95" t="s">
        <v>374</v>
      </c>
      <c r="E118" s="49">
        <v>-13000</v>
      </c>
      <c r="F118" s="61">
        <v>0</v>
      </c>
      <c r="G118" s="49">
        <v>-13000</v>
      </c>
      <c r="H118" s="93" t="s">
        <v>416</v>
      </c>
      <c r="I118" s="116">
        <v>44817.688923611109</v>
      </c>
    </row>
    <row r="119" spans="1:9" ht="15" x14ac:dyDescent="0.25">
      <c r="A119" s="57" t="s">
        <v>325</v>
      </c>
      <c r="B119" s="104" t="s">
        <v>74</v>
      </c>
      <c r="C119" s="94">
        <v>1036723</v>
      </c>
      <c r="D119" s="95" t="s">
        <v>374</v>
      </c>
      <c r="E119" s="49">
        <v>110909.56</v>
      </c>
      <c r="F119" s="61">
        <v>0</v>
      </c>
      <c r="G119" s="49">
        <v>110909.56</v>
      </c>
      <c r="H119" s="93" t="s">
        <v>416</v>
      </c>
      <c r="I119" s="116">
        <v>44819.610532407409</v>
      </c>
    </row>
    <row r="120" spans="1:9" ht="15" x14ac:dyDescent="0.25">
      <c r="A120" s="57" t="s">
        <v>325</v>
      </c>
      <c r="B120" s="104" t="s">
        <v>74</v>
      </c>
      <c r="C120" s="94">
        <v>1036723</v>
      </c>
      <c r="D120" s="95" t="s">
        <v>374</v>
      </c>
      <c r="E120" s="49">
        <v>-23800</v>
      </c>
      <c r="F120" s="49">
        <v>0</v>
      </c>
      <c r="G120" s="49">
        <v>-23800</v>
      </c>
      <c r="H120" s="93" t="s">
        <v>416</v>
      </c>
      <c r="I120" s="116">
        <v>44825.705312500002</v>
      </c>
    </row>
    <row r="121" spans="1:9" ht="15" x14ac:dyDescent="0.25">
      <c r="A121" s="57" t="s">
        <v>325</v>
      </c>
      <c r="B121" s="104" t="s">
        <v>74</v>
      </c>
      <c r="C121" s="94">
        <v>1036723</v>
      </c>
      <c r="D121" s="95" t="s">
        <v>374</v>
      </c>
      <c r="E121" s="49">
        <v>10569.75</v>
      </c>
      <c r="F121" s="49">
        <v>0</v>
      </c>
      <c r="G121" s="49">
        <v>10569.75</v>
      </c>
      <c r="H121" s="93" t="s">
        <v>416</v>
      </c>
      <c r="I121" s="116">
        <v>44831.769189814811</v>
      </c>
    </row>
    <row r="122" spans="1:9" ht="15" x14ac:dyDescent="0.25">
      <c r="A122" s="57" t="s">
        <v>325</v>
      </c>
      <c r="B122" s="104" t="s">
        <v>74</v>
      </c>
      <c r="C122" s="94">
        <v>1036723</v>
      </c>
      <c r="D122" s="95" t="s">
        <v>374</v>
      </c>
      <c r="E122" s="49">
        <v>-8040</v>
      </c>
      <c r="F122" s="49">
        <v>0</v>
      </c>
      <c r="G122" s="49">
        <v>-8040</v>
      </c>
      <c r="H122" s="93" t="s">
        <v>416</v>
      </c>
      <c r="I122" s="116">
        <v>44832.730613425927</v>
      </c>
    </row>
    <row r="123" spans="1:9" ht="15" x14ac:dyDescent="0.25">
      <c r="A123" s="57" t="s">
        <v>325</v>
      </c>
      <c r="B123" s="104" t="s">
        <v>74</v>
      </c>
      <c r="C123" s="94">
        <v>1036723</v>
      </c>
      <c r="D123" s="115" t="s">
        <v>374</v>
      </c>
      <c r="E123" s="49">
        <v>131268.84</v>
      </c>
      <c r="F123" s="49">
        <v>0</v>
      </c>
      <c r="G123" s="49">
        <v>131268.84</v>
      </c>
      <c r="H123" s="93" t="s">
        <v>416</v>
      </c>
      <c r="I123" s="116">
        <v>44834.638831018521</v>
      </c>
    </row>
    <row r="124" spans="1:9" ht="15" x14ac:dyDescent="0.25">
      <c r="A124" s="57" t="s">
        <v>325</v>
      </c>
      <c r="B124" s="104" t="s">
        <v>74</v>
      </c>
      <c r="C124" s="94">
        <v>1036723</v>
      </c>
      <c r="D124" s="115" t="s">
        <v>374</v>
      </c>
      <c r="E124" s="49">
        <v>-9800</v>
      </c>
      <c r="F124" s="49">
        <v>0</v>
      </c>
      <c r="G124" s="49">
        <v>-9800</v>
      </c>
      <c r="H124" s="93" t="s">
        <v>416</v>
      </c>
      <c r="I124" s="116">
        <v>44838.602800925924</v>
      </c>
    </row>
    <row r="125" spans="1:9" ht="15" x14ac:dyDescent="0.25">
      <c r="A125" s="57" t="s">
        <v>325</v>
      </c>
      <c r="B125" s="104" t="s">
        <v>74</v>
      </c>
      <c r="C125" s="94">
        <v>1036723</v>
      </c>
      <c r="D125" s="115" t="s">
        <v>374</v>
      </c>
      <c r="E125" s="49">
        <v>-11700</v>
      </c>
      <c r="F125" s="49">
        <v>0</v>
      </c>
      <c r="G125" s="49">
        <v>-11700</v>
      </c>
      <c r="H125" s="93" t="s">
        <v>416</v>
      </c>
      <c r="I125" s="116">
        <v>44840.670740740738</v>
      </c>
    </row>
    <row r="126" spans="1:9" ht="15" x14ac:dyDescent="0.25">
      <c r="A126" s="57" t="s">
        <v>325</v>
      </c>
      <c r="B126" s="104" t="s">
        <v>74</v>
      </c>
      <c r="C126" s="94">
        <v>1036723</v>
      </c>
      <c r="D126" s="115" t="s">
        <v>374</v>
      </c>
      <c r="E126" s="49">
        <v>-20000</v>
      </c>
      <c r="F126" s="49">
        <v>0</v>
      </c>
      <c r="G126" s="49">
        <v>-20000</v>
      </c>
      <c r="H126" s="93" t="s">
        <v>416</v>
      </c>
      <c r="I126" s="116">
        <v>44844.594837962963</v>
      </c>
    </row>
    <row r="127" spans="1:9" ht="15" x14ac:dyDescent="0.25">
      <c r="A127" s="57" t="s">
        <v>325</v>
      </c>
      <c r="B127" s="104" t="s">
        <v>74</v>
      </c>
      <c r="C127" s="94">
        <v>1036723</v>
      </c>
      <c r="D127" s="115" t="s">
        <v>374</v>
      </c>
      <c r="E127" s="49">
        <v>7574.6</v>
      </c>
      <c r="F127" s="49">
        <v>0</v>
      </c>
      <c r="G127" s="49">
        <v>7574.6</v>
      </c>
      <c r="H127" s="93" t="s">
        <v>416</v>
      </c>
      <c r="I127" s="116">
        <v>44845.591192129628</v>
      </c>
    </row>
    <row r="128" spans="1:9" ht="15" x14ac:dyDescent="0.25">
      <c r="A128" s="57" t="s">
        <v>325</v>
      </c>
      <c r="B128" s="104" t="s">
        <v>74</v>
      </c>
      <c r="C128" s="94">
        <v>1036723</v>
      </c>
      <c r="D128" s="115" t="s">
        <v>374</v>
      </c>
      <c r="E128" s="49">
        <v>-3800</v>
      </c>
      <c r="F128" s="49">
        <v>0</v>
      </c>
      <c r="G128" s="49">
        <v>-3800</v>
      </c>
      <c r="H128" s="93" t="s">
        <v>416</v>
      </c>
      <c r="I128" s="116">
        <v>44859.606562499997</v>
      </c>
    </row>
    <row r="129" spans="1:9" ht="15" x14ac:dyDescent="0.25">
      <c r="A129" s="57" t="str">
        <f>IF(ISERROR(VLOOKUP(C129,ListaContratos!$A$3:$I$236,6,0)),0,(VLOOKUP(C129,ListaContratos!$A$3:$I$236,6,0)))</f>
        <v xml:space="preserve">CAJA DE AHORRO </v>
      </c>
      <c r="B129" s="58" t="str">
        <f>IF(ISERROR(VLOOKUP(C129,ListaContratos!$A$4:$I$233,9,0)),0,(VLOOKUP(C129,ListaContratos!$A$4:$I$233,9,0)))</f>
        <v>Gestion</v>
      </c>
      <c r="C129" s="107">
        <v>1036723</v>
      </c>
      <c r="D129" s="59" t="str">
        <f>+IFERROR(VLOOKUP(C129,ListaContratos!$A$1:$I$281,4,0),0)</f>
        <v>RADIOPOLIS CA - RADIOPOLIS CAJA DE AHORRO</v>
      </c>
      <c r="E129" s="49">
        <f>IF(ISERROR(VLOOKUP(C129,FRONT!$P$5:$Q$68,2,0)),0,(VLOOKUP(C129,FRONT!$P$5:$Q$68,2,0)))</f>
        <v>0</v>
      </c>
      <c r="F129" s="126">
        <f>IF(ISERROR(VLOOKUP(C129,RK!$J$5:$K$70,2,0)),0,(VLOOKUP(C129,RK!$J$5:$K$70,2,0)))</f>
        <v>0</v>
      </c>
      <c r="G129" s="49">
        <f>+E129-F129</f>
        <v>0</v>
      </c>
      <c r="H129" s="93" t="s">
        <v>416</v>
      </c>
      <c r="I129" s="116">
        <v>44866</v>
      </c>
    </row>
    <row r="130" spans="1:9" ht="15" x14ac:dyDescent="0.25">
      <c r="A130" s="57" t="s">
        <v>325</v>
      </c>
      <c r="B130" s="104" t="s">
        <v>74</v>
      </c>
      <c r="C130" s="123">
        <v>1036723</v>
      </c>
      <c r="D130" s="115" t="s">
        <v>374</v>
      </c>
      <c r="E130" s="49">
        <v>117831.58</v>
      </c>
      <c r="F130" s="61">
        <v>0</v>
      </c>
      <c r="G130" s="61">
        <v>117831.58</v>
      </c>
      <c r="H130" s="93"/>
      <c r="I130" s="124">
        <v>44872.370497685188</v>
      </c>
    </row>
    <row r="131" spans="1:9" ht="15" x14ac:dyDescent="0.25">
      <c r="A131" s="57" t="s">
        <v>325</v>
      </c>
      <c r="B131" s="104" t="s">
        <v>74</v>
      </c>
      <c r="C131" s="123">
        <v>1036723</v>
      </c>
      <c r="D131" s="115" t="s">
        <v>374</v>
      </c>
      <c r="E131" s="49">
        <v>-10150</v>
      </c>
      <c r="F131" s="61">
        <v>0</v>
      </c>
      <c r="G131" s="61">
        <v>-10150</v>
      </c>
      <c r="H131" s="93" t="s">
        <v>150</v>
      </c>
      <c r="I131" s="124">
        <v>44873</v>
      </c>
    </row>
    <row r="132" spans="1:9" ht="15" x14ac:dyDescent="0.25">
      <c r="A132" s="57" t="s">
        <v>325</v>
      </c>
      <c r="B132" s="104" t="s">
        <v>74</v>
      </c>
      <c r="C132" s="123">
        <v>1036723</v>
      </c>
      <c r="D132" s="115" t="s">
        <v>374</v>
      </c>
      <c r="E132" s="49">
        <v>-63056</v>
      </c>
      <c r="F132" s="61">
        <v>0</v>
      </c>
      <c r="G132" s="61">
        <v>-63056</v>
      </c>
      <c r="H132" s="93" t="s">
        <v>150</v>
      </c>
      <c r="I132" s="124">
        <v>44893.643287037034</v>
      </c>
    </row>
    <row r="133" spans="1:9" ht="15" x14ac:dyDescent="0.25">
      <c r="A133" s="57" t="s">
        <v>10</v>
      </c>
      <c r="B133" s="104" t="s">
        <v>74</v>
      </c>
      <c r="C133" s="123">
        <v>65501387259</v>
      </c>
      <c r="D133" s="115" t="s">
        <v>21</v>
      </c>
      <c r="E133" s="49">
        <v>46311.040000000001</v>
      </c>
      <c r="F133" s="61">
        <v>0</v>
      </c>
      <c r="G133" s="61">
        <v>46311.040000000001</v>
      </c>
      <c r="H133" s="93" t="s">
        <v>150</v>
      </c>
      <c r="I133" s="124">
        <v>44893.64329861111</v>
      </c>
    </row>
    <row r="134" spans="1:9" ht="15" x14ac:dyDescent="0.25">
      <c r="A134" s="57" t="s">
        <v>325</v>
      </c>
      <c r="B134" s="104" t="s">
        <v>74</v>
      </c>
      <c r="C134" s="94">
        <v>1036723</v>
      </c>
      <c r="D134" s="115" t="s">
        <v>374</v>
      </c>
      <c r="E134" s="49">
        <v>-10978</v>
      </c>
      <c r="F134" s="49">
        <v>0</v>
      </c>
      <c r="G134" s="49">
        <v>-10978</v>
      </c>
      <c r="H134" s="93"/>
      <c r="I134" s="116">
        <v>44900.860381944447</v>
      </c>
    </row>
    <row r="135" spans="1:9" ht="15" x14ac:dyDescent="0.25">
      <c r="A135" s="57" t="s">
        <v>325</v>
      </c>
      <c r="B135" s="104" t="s">
        <v>74</v>
      </c>
      <c r="C135" s="125">
        <v>1036723</v>
      </c>
      <c r="D135" s="118" t="s">
        <v>374</v>
      </c>
      <c r="E135" s="119">
        <v>-72698.86</v>
      </c>
      <c r="F135" s="61">
        <v>0</v>
      </c>
      <c r="G135" s="61">
        <v>-72698.86</v>
      </c>
      <c r="H135" s="93" t="s">
        <v>416</v>
      </c>
      <c r="I135" s="116">
        <v>44914.719513888886</v>
      </c>
    </row>
    <row r="136" spans="1:9" ht="15" x14ac:dyDescent="0.25">
      <c r="A136" s="57" t="s">
        <v>325</v>
      </c>
      <c r="B136" s="104" t="s">
        <v>74</v>
      </c>
      <c r="C136" s="117">
        <v>1036723</v>
      </c>
      <c r="D136" s="118" t="s">
        <v>374</v>
      </c>
      <c r="E136" s="119">
        <v>-9200</v>
      </c>
      <c r="F136" s="49">
        <v>0</v>
      </c>
      <c r="G136" s="49">
        <v>-9200</v>
      </c>
      <c r="H136" s="93" t="s">
        <v>416</v>
      </c>
      <c r="I136" s="116">
        <v>44921.727048611108</v>
      </c>
    </row>
    <row r="137" spans="1:9" ht="15" x14ac:dyDescent="0.25">
      <c r="A137" s="57" t="s">
        <v>10</v>
      </c>
      <c r="B137" s="104" t="s">
        <v>74</v>
      </c>
      <c r="C137" s="94">
        <v>65501387259</v>
      </c>
      <c r="D137" s="115" t="s">
        <v>21</v>
      </c>
      <c r="E137" s="49">
        <v>444093.9</v>
      </c>
      <c r="F137" s="49">
        <v>0</v>
      </c>
      <c r="G137" s="49">
        <v>444093.9</v>
      </c>
      <c r="H137" s="93" t="s">
        <v>150</v>
      </c>
      <c r="I137" s="116">
        <v>44924.744305555556</v>
      </c>
    </row>
    <row r="138" spans="1:9" ht="15" x14ac:dyDescent="0.25">
      <c r="A138" s="57" t="s">
        <v>325</v>
      </c>
      <c r="B138" s="104" t="s">
        <v>74</v>
      </c>
      <c r="C138" s="94">
        <v>1036723</v>
      </c>
      <c r="D138" s="127" t="s">
        <v>374</v>
      </c>
      <c r="E138" s="128"/>
      <c r="F138" s="128"/>
      <c r="G138" s="128"/>
      <c r="H138" s="129" t="s">
        <v>416</v>
      </c>
      <c r="I138" s="130">
        <v>44939.615208333336</v>
      </c>
    </row>
    <row r="139" spans="1:9" ht="15" x14ac:dyDescent="0.25">
      <c r="A139" s="57" t="s">
        <v>325</v>
      </c>
      <c r="B139" s="104" t="s">
        <v>74</v>
      </c>
      <c r="C139" s="94">
        <v>1036723</v>
      </c>
      <c r="D139" s="127" t="s">
        <v>374</v>
      </c>
      <c r="E139" s="128"/>
      <c r="F139" s="128"/>
      <c r="G139" s="128"/>
      <c r="H139" s="129" t="s">
        <v>416</v>
      </c>
      <c r="I139" s="130">
        <v>44942.610520833332</v>
      </c>
    </row>
    <row r="140" spans="1:9" ht="15" x14ac:dyDescent="0.25">
      <c r="A140" s="57" t="s">
        <v>325</v>
      </c>
      <c r="B140" s="104" t="s">
        <v>74</v>
      </c>
      <c r="C140" s="94">
        <v>1036723</v>
      </c>
      <c r="D140" s="127" t="s">
        <v>374</v>
      </c>
      <c r="E140" s="128">
        <v>712861.17</v>
      </c>
      <c r="F140" s="128">
        <v>0</v>
      </c>
      <c r="G140" s="128">
        <f>E140-F140</f>
        <v>712861.17</v>
      </c>
      <c r="H140" s="129" t="s">
        <v>416</v>
      </c>
      <c r="I140" s="130">
        <v>44945.629537037035</v>
      </c>
    </row>
    <row r="141" spans="1:9" ht="15" x14ac:dyDescent="0.25">
      <c r="A141" s="57" t="s">
        <v>325</v>
      </c>
      <c r="B141" s="104" t="s">
        <v>74</v>
      </c>
      <c r="C141" s="94">
        <v>1036723</v>
      </c>
      <c r="D141" s="127" t="s">
        <v>374</v>
      </c>
      <c r="E141" s="128"/>
      <c r="F141" s="128"/>
      <c r="G141" s="128"/>
      <c r="H141" s="129" t="s">
        <v>416</v>
      </c>
      <c r="I141" s="130">
        <v>44946.619895833333</v>
      </c>
    </row>
    <row r="142" spans="1:9" ht="15" x14ac:dyDescent="0.25">
      <c r="A142" s="57" t="s">
        <v>325</v>
      </c>
      <c r="B142" s="104" t="s">
        <v>74</v>
      </c>
      <c r="C142" s="94">
        <v>1036723</v>
      </c>
      <c r="D142" s="127" t="s">
        <v>374</v>
      </c>
      <c r="E142" s="128"/>
      <c r="F142" s="128"/>
      <c r="G142" s="128">
        <f>E142-F142</f>
        <v>0</v>
      </c>
      <c r="H142" s="129" t="s">
        <v>416</v>
      </c>
      <c r="I142" s="130">
        <v>44949.6091087963</v>
      </c>
    </row>
    <row r="143" spans="1:9" ht="15" x14ac:dyDescent="0.25">
      <c r="A143" s="70" t="s">
        <v>325</v>
      </c>
      <c r="B143" s="122" t="s">
        <v>74</v>
      </c>
      <c r="C143" s="123">
        <v>1036723</v>
      </c>
      <c r="D143" s="131" t="s">
        <v>374</v>
      </c>
      <c r="E143" s="132">
        <v>-10500</v>
      </c>
      <c r="F143" s="132">
        <v>-10500</v>
      </c>
      <c r="G143" s="128">
        <f>E143-F143</f>
        <v>0</v>
      </c>
      <c r="H143" s="133" t="s">
        <v>416</v>
      </c>
      <c r="I143" s="134">
        <v>44952.616666666669</v>
      </c>
    </row>
    <row r="144" spans="1:9" ht="15" x14ac:dyDescent="0.25">
      <c r="A144" s="57" t="s">
        <v>10</v>
      </c>
      <c r="B144" s="104" t="s">
        <v>74</v>
      </c>
      <c r="C144" s="94">
        <v>65501387259</v>
      </c>
      <c r="D144" s="115" t="s">
        <v>21</v>
      </c>
      <c r="E144" s="49">
        <v>54265.15</v>
      </c>
      <c r="F144" s="49">
        <v>0</v>
      </c>
      <c r="G144" s="49">
        <v>54265.15</v>
      </c>
      <c r="H144" s="93" t="s">
        <v>418</v>
      </c>
      <c r="I144" s="116">
        <v>44953.590671296297</v>
      </c>
    </row>
    <row r="145" spans="1:9" ht="15" x14ac:dyDescent="0.25">
      <c r="A145" s="57" t="s">
        <v>10</v>
      </c>
      <c r="B145" s="104" t="s">
        <v>74</v>
      </c>
      <c r="C145" s="94">
        <v>1031627</v>
      </c>
      <c r="D145" s="105" t="s">
        <v>127</v>
      </c>
      <c r="E145" s="49"/>
      <c r="F145" s="49"/>
      <c r="G145" s="49"/>
      <c r="H145" s="93" t="s">
        <v>415</v>
      </c>
      <c r="I145" s="80"/>
    </row>
    <row r="146" spans="1:9" ht="15" x14ac:dyDescent="0.25">
      <c r="A146" s="57" t="s">
        <v>10</v>
      </c>
      <c r="B146" s="104" t="s">
        <v>74</v>
      </c>
      <c r="C146" s="94">
        <v>1031629</v>
      </c>
      <c r="D146" s="105" t="s">
        <v>126</v>
      </c>
      <c r="E146" s="49"/>
      <c r="F146" s="49"/>
      <c r="G146" s="49"/>
      <c r="H146" s="93" t="s">
        <v>415</v>
      </c>
      <c r="I146" s="80"/>
    </row>
    <row r="147" spans="1:9" ht="15" x14ac:dyDescent="0.25">
      <c r="A147" s="57" t="str">
        <f>IF(ISERROR(VLOOKUP(C147,ListaContratos!$A$3:$I$236,6,0)),0,(VLOOKUP(C147,ListaContratos!$A$3:$I$236,6,0)))</f>
        <v xml:space="preserve">CAJA DE AHORRO </v>
      </c>
      <c r="B147" s="104" t="str">
        <f>IF(ISERROR(VLOOKUP(C147,ListaContratos!$A$4:$I$233,9,0)),0,(VLOOKUP(C147,ListaContratos!$A$4:$I$233,9,0)))</f>
        <v>Gestion</v>
      </c>
      <c r="C147" s="107">
        <v>1036723</v>
      </c>
      <c r="D147" s="103" t="str">
        <f>+IFERROR(VLOOKUP(C147,ListaContratos!$A$1:$I$281,4,0),0)</f>
        <v>RADIOPOLIS CA - RADIOPOLIS CAJA DE AHORRO</v>
      </c>
      <c r="E147" s="49">
        <f>IF(ISERROR(VLOOKUP(C147,FRONT!$P$5:$Q$68,2,0)),0,(VLOOKUP(C147,FRONT!$P$5:$Q$68,2,0)))</f>
        <v>0</v>
      </c>
      <c r="F147" s="49">
        <f>IF(ISERROR(VLOOKUP(C147,RK!$J$5:$K$70,2,0)),0,(VLOOKUP(C147,RK!$J$5:$K$70,2,0)))</f>
        <v>0</v>
      </c>
      <c r="G147" s="49">
        <f>+E147-F147</f>
        <v>0</v>
      </c>
      <c r="H147" s="93" t="s">
        <v>416</v>
      </c>
      <c r="I147" s="107"/>
    </row>
    <row r="148" spans="1:9" ht="15" x14ac:dyDescent="0.25">
      <c r="A148" s="57" t="str">
        <f>IF(ISERROR(VLOOKUP(C148,ListaContratos!$A$3:$I$236,6,0)),0,(VLOOKUP(C148,ListaContratos!$A$3:$I$236,6,0)))</f>
        <v xml:space="preserve">CAJA DE AHORRO </v>
      </c>
      <c r="B148" s="104" t="str">
        <f>IF(ISERROR(VLOOKUP(C148,ListaContratos!$A$4:$I$233,9,0)),0,(VLOOKUP(C148,ListaContratos!$A$4:$I$233,9,0)))</f>
        <v>Gestion</v>
      </c>
      <c r="C148" s="107">
        <v>1036723</v>
      </c>
      <c r="D148" s="103" t="str">
        <f>+IFERROR(VLOOKUP(C148,ListaContratos!$A$1:$I$281,4,0),0)</f>
        <v>RADIOPOLIS CA - RADIOPOLIS CAJA DE AHORRO</v>
      </c>
      <c r="E148" s="49">
        <f>IF(ISERROR(VLOOKUP(C148,FRONT!$P$5:$Q$68,2,0)),0,(VLOOKUP(C148,FRONT!$P$5:$Q$68,2,0)))</f>
        <v>0</v>
      </c>
      <c r="F148" s="49">
        <f>IF(ISERROR(VLOOKUP(C148,RK!$J$5:$K$70,2,0)),0,(VLOOKUP(C148,RK!$J$5:$K$70,2,0)))</f>
        <v>0</v>
      </c>
      <c r="G148" s="49">
        <f>+E148-F148</f>
        <v>0</v>
      </c>
      <c r="H148" s="93" t="s">
        <v>416</v>
      </c>
      <c r="I148" s="107"/>
    </row>
    <row r="149" spans="1:9" ht="15" x14ac:dyDescent="0.25">
      <c r="A149" s="57" t="str">
        <f>IF(ISERROR(VLOOKUP(C149,ListaContratos!$A$3:$I$236,6,0)),0,(VLOOKUP(C149,ListaContratos!$A$3:$I$236,6,0)))</f>
        <v xml:space="preserve">CAJA DE AHORRO </v>
      </c>
      <c r="B149" s="104" t="str">
        <f>IF(ISERROR(VLOOKUP(C149,ListaContratos!$A$4:$I$233,9,0)),0,(VLOOKUP(C149,ListaContratos!$A$4:$I$233,9,0)))</f>
        <v>Gestion</v>
      </c>
      <c r="C149" s="107">
        <v>1036723</v>
      </c>
      <c r="D149" s="103" t="str">
        <f>+IFERROR(VLOOKUP(C149,ListaContratos!$A$1:$I$281,4,0),0)</f>
        <v>RADIOPOLIS CA - RADIOPOLIS CAJA DE AHORRO</v>
      </c>
      <c r="E149" s="49">
        <f>IF(ISERROR(VLOOKUP(C149,FRONT!$P$5:$Q$68,2,0)),0,(VLOOKUP(C149,FRONT!$P$5:$Q$68,2,0)))</f>
        <v>0</v>
      </c>
      <c r="F149" s="49">
        <f>IF(ISERROR(VLOOKUP(C149,RK!$J$5:$K$70,2,0)),0,(VLOOKUP(C149,RK!$J$5:$K$70,2,0)))</f>
        <v>0</v>
      </c>
      <c r="G149" s="49">
        <f>+E149-F149</f>
        <v>0</v>
      </c>
      <c r="H149" s="93" t="s">
        <v>416</v>
      </c>
      <c r="I149" s="107"/>
    </row>
    <row r="150" spans="1:9" ht="15" x14ac:dyDescent="0.25">
      <c r="A150" s="57" t="str">
        <f>IF(ISERROR(VLOOKUP(C150,ListaContratos!$A$3:$I$236,6,0)),0,(VLOOKUP(C150,ListaContratos!$A$3:$I$236,6,0)))</f>
        <v xml:space="preserve">CAJA DE AHORRO </v>
      </c>
      <c r="B150" s="104" t="str">
        <f>IF(ISERROR(VLOOKUP(C150,ListaContratos!$A$4:$I$233,9,0)),0,(VLOOKUP(C150,ListaContratos!$A$4:$I$233,9,0)))</f>
        <v>Gestion</v>
      </c>
      <c r="C150" s="107">
        <v>1036723</v>
      </c>
      <c r="D150" s="103" t="str">
        <f>+IFERROR(VLOOKUP(C150,ListaContratos!$A$1:$I$281,4,0),0)</f>
        <v>RADIOPOLIS CA - RADIOPOLIS CAJA DE AHORRO</v>
      </c>
      <c r="E150" s="49">
        <f>IF(ISERROR(VLOOKUP(C150,FRONT!$P$5:$Q$68,2,0)),0,(VLOOKUP(C150,FRONT!$P$5:$Q$68,2,0)))</f>
        <v>0</v>
      </c>
      <c r="F150" s="49">
        <f>IF(ISERROR(VLOOKUP(C150,RK!$J$5:$K$70,2,0)),0,(VLOOKUP(C150,RK!$J$5:$K$70,2,0)))</f>
        <v>0</v>
      </c>
      <c r="G150" s="49">
        <f>+E150-F150</f>
        <v>0</v>
      </c>
      <c r="H150" s="93" t="s">
        <v>416</v>
      </c>
      <c r="I150" s="107"/>
    </row>
  </sheetData>
  <autoFilter ref="A1:I150" xr:uid="{C33BD425-47B5-47FD-9DB8-11BCF8676E47}">
    <sortState xmlns:xlrd2="http://schemas.microsoft.com/office/spreadsheetml/2017/richdata2" ref="A2:I150">
      <sortCondition ref="I1:I150"/>
    </sortState>
  </autoFilter>
  <conditionalFormatting sqref="G76:G83">
    <cfRule type="cellIs" dxfId="90" priority="93" stopIfTrue="1" operator="notBetween">
      <formula>0</formula>
      <formula>0</formula>
    </cfRule>
  </conditionalFormatting>
  <conditionalFormatting sqref="B51:B89 B97:B119 B138:B141">
    <cfRule type="cellIs" dxfId="89" priority="92" stopIfTrue="1" operator="equal">
      <formula>"INSTITUCIONAL"</formula>
    </cfRule>
  </conditionalFormatting>
  <conditionalFormatting sqref="B51:B89 B97:B119 B138:B141">
    <cfRule type="cellIs" dxfId="88" priority="91" stopIfTrue="1" operator="equal">
      <formula>"GESTION"</formula>
    </cfRule>
  </conditionalFormatting>
  <conditionalFormatting sqref="G45 G24:G38 G13:G22">
    <cfRule type="cellIs" dxfId="87" priority="90" stopIfTrue="1" operator="notBetween">
      <formula>0</formula>
      <formula>0</formula>
    </cfRule>
  </conditionalFormatting>
  <conditionalFormatting sqref="B49 B45:B46 B18:B38 B91:B96">
    <cfRule type="cellIs" dxfId="86" priority="89" stopIfTrue="1" operator="equal">
      <formula>"INSTITUCIONAL"</formula>
    </cfRule>
  </conditionalFormatting>
  <conditionalFormatting sqref="B49 B45:B46 B18:B38 B91:B96">
    <cfRule type="cellIs" dxfId="85" priority="88" stopIfTrue="1" operator="equal">
      <formula>"GESTION"</formula>
    </cfRule>
  </conditionalFormatting>
  <conditionalFormatting sqref="G40">
    <cfRule type="cellIs" dxfId="84" priority="87" stopIfTrue="1" operator="notBetween">
      <formula>0</formula>
      <formula>0</formula>
    </cfRule>
  </conditionalFormatting>
  <conditionalFormatting sqref="B40">
    <cfRule type="cellIs" dxfId="83" priority="86" stopIfTrue="1" operator="equal">
      <formula>"INSTITUCIONAL"</formula>
    </cfRule>
  </conditionalFormatting>
  <conditionalFormatting sqref="B40">
    <cfRule type="cellIs" dxfId="82" priority="85" stopIfTrue="1" operator="equal">
      <formula>"GESTION"</formula>
    </cfRule>
  </conditionalFormatting>
  <conditionalFormatting sqref="B13:B14">
    <cfRule type="cellIs" dxfId="81" priority="84" stopIfTrue="1" operator="equal">
      <formula>"INSTITUCIONAL"</formula>
    </cfRule>
  </conditionalFormatting>
  <conditionalFormatting sqref="B13:B14">
    <cfRule type="cellIs" dxfId="80" priority="83" stopIfTrue="1" operator="equal">
      <formula>"GESTION"</formula>
    </cfRule>
  </conditionalFormatting>
  <conditionalFormatting sqref="G8:G11">
    <cfRule type="cellIs" dxfId="79" priority="82" stopIfTrue="1" operator="notBetween">
      <formula>0</formula>
      <formula>0</formula>
    </cfRule>
  </conditionalFormatting>
  <conditionalFormatting sqref="B8:B11">
    <cfRule type="cellIs" dxfId="78" priority="81" stopIfTrue="1" operator="equal">
      <formula>"INSTITUCIONAL"</formula>
    </cfRule>
  </conditionalFormatting>
  <conditionalFormatting sqref="B8:B11">
    <cfRule type="cellIs" dxfId="77" priority="80" stopIfTrue="1" operator="equal">
      <formula>"GESTION"</formula>
    </cfRule>
  </conditionalFormatting>
  <conditionalFormatting sqref="G2:G6">
    <cfRule type="cellIs" dxfId="76" priority="79" stopIfTrue="1" operator="notBetween">
      <formula>0</formula>
      <formula>0</formula>
    </cfRule>
  </conditionalFormatting>
  <conditionalFormatting sqref="B2:B5 A6:B6">
    <cfRule type="cellIs" dxfId="75" priority="78" stopIfTrue="1" operator="equal">
      <formula>"INSTITUCIONAL"</formula>
    </cfRule>
  </conditionalFormatting>
  <conditionalFormatting sqref="B2:B5 A6:B6">
    <cfRule type="cellIs" dxfId="74" priority="77" stopIfTrue="1" operator="equal">
      <formula>"GESTION"</formula>
    </cfRule>
  </conditionalFormatting>
  <conditionalFormatting sqref="G7">
    <cfRule type="cellIs" dxfId="73" priority="76" stopIfTrue="1" operator="notBetween">
      <formula>0</formula>
      <formula>0</formula>
    </cfRule>
  </conditionalFormatting>
  <conditionalFormatting sqref="A7:B7">
    <cfRule type="cellIs" dxfId="72" priority="75" stopIfTrue="1" operator="equal">
      <formula>"INSTITUCIONAL"</formula>
    </cfRule>
  </conditionalFormatting>
  <conditionalFormatting sqref="A7:B7">
    <cfRule type="cellIs" dxfId="71" priority="74" stopIfTrue="1" operator="equal">
      <formula>"GESTION"</formula>
    </cfRule>
  </conditionalFormatting>
  <conditionalFormatting sqref="G12">
    <cfRule type="cellIs" dxfId="70" priority="73" stopIfTrue="1" operator="notBetween">
      <formula>0</formula>
      <formula>0</formula>
    </cfRule>
  </conditionalFormatting>
  <conditionalFormatting sqref="B12">
    <cfRule type="cellIs" dxfId="69" priority="72" stopIfTrue="1" operator="equal">
      <formula>"INSTITUCIONAL"</formula>
    </cfRule>
  </conditionalFormatting>
  <conditionalFormatting sqref="B12">
    <cfRule type="cellIs" dxfId="68" priority="71" stopIfTrue="1" operator="equal">
      <formula>"GESTION"</formula>
    </cfRule>
  </conditionalFormatting>
  <conditionalFormatting sqref="B15:B16">
    <cfRule type="cellIs" dxfId="67" priority="70" stopIfTrue="1" operator="equal">
      <formula>"INSTITUCIONAL"</formula>
    </cfRule>
  </conditionalFormatting>
  <conditionalFormatting sqref="B15:B16">
    <cfRule type="cellIs" dxfId="66" priority="69" stopIfTrue="1" operator="equal">
      <formula>"GESTION"</formula>
    </cfRule>
  </conditionalFormatting>
  <conditionalFormatting sqref="B17">
    <cfRule type="cellIs" dxfId="65" priority="68" stopIfTrue="1" operator="equal">
      <formula>"INSTITUCIONAL"</formula>
    </cfRule>
  </conditionalFormatting>
  <conditionalFormatting sqref="B17">
    <cfRule type="cellIs" dxfId="64" priority="67" stopIfTrue="1" operator="equal">
      <formula>"GESTION"</formula>
    </cfRule>
  </conditionalFormatting>
  <conditionalFormatting sqref="G23">
    <cfRule type="cellIs" dxfId="63" priority="66" stopIfTrue="1" operator="notBetween">
      <formula>0</formula>
      <formula>0</formula>
    </cfRule>
  </conditionalFormatting>
  <conditionalFormatting sqref="G39">
    <cfRule type="cellIs" dxfId="62" priority="65" stopIfTrue="1" operator="notBetween">
      <formula>0</formula>
      <formula>0</formula>
    </cfRule>
  </conditionalFormatting>
  <conditionalFormatting sqref="B39">
    <cfRule type="cellIs" dxfId="61" priority="64" stopIfTrue="1" operator="equal">
      <formula>"INSTITUCIONAL"</formula>
    </cfRule>
  </conditionalFormatting>
  <conditionalFormatting sqref="B39">
    <cfRule type="cellIs" dxfId="60" priority="63" stopIfTrue="1" operator="equal">
      <formula>"GESTION"</formula>
    </cfRule>
  </conditionalFormatting>
  <conditionalFormatting sqref="G41:G44">
    <cfRule type="cellIs" dxfId="59" priority="62" stopIfTrue="1" operator="notBetween">
      <formula>0</formula>
      <formula>0</formula>
    </cfRule>
  </conditionalFormatting>
  <conditionalFormatting sqref="B41:B44">
    <cfRule type="cellIs" dxfId="58" priority="61" stopIfTrue="1" operator="equal">
      <formula>"INSTITUCIONAL"</formula>
    </cfRule>
  </conditionalFormatting>
  <conditionalFormatting sqref="B41:B44">
    <cfRule type="cellIs" dxfId="57" priority="60" stopIfTrue="1" operator="equal">
      <formula>"GESTION"</formula>
    </cfRule>
  </conditionalFormatting>
  <conditionalFormatting sqref="B47:B48">
    <cfRule type="cellIs" dxfId="56" priority="59" stopIfTrue="1" operator="equal">
      <formula>"INSTITUCIONAL"</formula>
    </cfRule>
  </conditionalFormatting>
  <conditionalFormatting sqref="B47:B48">
    <cfRule type="cellIs" dxfId="55" priority="58" stopIfTrue="1" operator="equal">
      <formula>"GESTION"</formula>
    </cfRule>
  </conditionalFormatting>
  <conditionalFormatting sqref="B50">
    <cfRule type="cellIs" dxfId="54" priority="57" stopIfTrue="1" operator="equal">
      <formula>"INSTITUCIONAL"</formula>
    </cfRule>
  </conditionalFormatting>
  <conditionalFormatting sqref="B50">
    <cfRule type="cellIs" dxfId="53" priority="56" stopIfTrue="1" operator="equal">
      <formula>"GESTION"</formula>
    </cfRule>
  </conditionalFormatting>
  <conditionalFormatting sqref="B90">
    <cfRule type="cellIs" dxfId="52" priority="55" stopIfTrue="1" operator="equal">
      <formula>"INSTITUCIONAL"</formula>
    </cfRule>
  </conditionalFormatting>
  <conditionalFormatting sqref="B90">
    <cfRule type="cellIs" dxfId="51" priority="54" stopIfTrue="1" operator="equal">
      <formula>"GESTION"</formula>
    </cfRule>
  </conditionalFormatting>
  <conditionalFormatting sqref="B120:B124">
    <cfRule type="cellIs" dxfId="50" priority="53" stopIfTrue="1" operator="equal">
      <formula>"INSTITUCIONAL"</formula>
    </cfRule>
  </conditionalFormatting>
  <conditionalFormatting sqref="B120:B124">
    <cfRule type="cellIs" dxfId="49" priority="52" stopIfTrue="1" operator="equal">
      <formula>"GESTION"</formula>
    </cfRule>
  </conditionalFormatting>
  <conditionalFormatting sqref="B125">
    <cfRule type="cellIs" dxfId="48" priority="51" stopIfTrue="1" operator="equal">
      <formula>"INSTITUCIONAL"</formula>
    </cfRule>
  </conditionalFormatting>
  <conditionalFormatting sqref="B125">
    <cfRule type="cellIs" dxfId="47" priority="50" stopIfTrue="1" operator="equal">
      <formula>"GESTION"</formula>
    </cfRule>
  </conditionalFormatting>
  <conditionalFormatting sqref="B126">
    <cfRule type="cellIs" dxfId="46" priority="49" stopIfTrue="1" operator="equal">
      <formula>"INSTITUCIONAL"</formula>
    </cfRule>
  </conditionalFormatting>
  <conditionalFormatting sqref="B126">
    <cfRule type="cellIs" dxfId="45" priority="48" stopIfTrue="1" operator="equal">
      <formula>"GESTION"</formula>
    </cfRule>
  </conditionalFormatting>
  <conditionalFormatting sqref="B127">
    <cfRule type="cellIs" dxfId="44" priority="47" stopIfTrue="1" operator="equal">
      <formula>"INSTITUCIONAL"</formula>
    </cfRule>
  </conditionalFormatting>
  <conditionalFormatting sqref="B127">
    <cfRule type="cellIs" dxfId="43" priority="46" stopIfTrue="1" operator="equal">
      <formula>"GESTION"</formula>
    </cfRule>
  </conditionalFormatting>
  <conditionalFormatting sqref="B128">
    <cfRule type="cellIs" dxfId="42" priority="45" stopIfTrue="1" operator="equal">
      <formula>"INSTITUCIONAL"</formula>
    </cfRule>
  </conditionalFormatting>
  <conditionalFormatting sqref="B128">
    <cfRule type="cellIs" dxfId="41" priority="44" stopIfTrue="1" operator="equal">
      <formula>"GESTION"</formula>
    </cfRule>
  </conditionalFormatting>
  <conditionalFormatting sqref="B129">
    <cfRule type="cellIs" dxfId="40" priority="43" stopIfTrue="1" operator="equal">
      <formula>"INSTITUCIONAL"</formula>
    </cfRule>
  </conditionalFormatting>
  <conditionalFormatting sqref="B129">
    <cfRule type="cellIs" dxfId="39" priority="42" stopIfTrue="1" operator="equal">
      <formula>"GESTION"</formula>
    </cfRule>
  </conditionalFormatting>
  <conditionalFormatting sqref="G130">
    <cfRule type="cellIs" dxfId="38" priority="41" stopIfTrue="1" operator="notBetween">
      <formula>0</formula>
      <formula>0</formula>
    </cfRule>
  </conditionalFormatting>
  <conditionalFormatting sqref="B130">
    <cfRule type="cellIs" dxfId="37" priority="40" stopIfTrue="1" operator="equal">
      <formula>"INSTITUCIONAL"</formula>
    </cfRule>
  </conditionalFormatting>
  <conditionalFormatting sqref="B130">
    <cfRule type="cellIs" dxfId="36" priority="39" stopIfTrue="1" operator="equal">
      <formula>"GESTION"</formula>
    </cfRule>
  </conditionalFormatting>
  <conditionalFormatting sqref="G131">
    <cfRule type="cellIs" dxfId="35" priority="38" stopIfTrue="1" operator="notBetween">
      <formula>0</formula>
      <formula>0</formula>
    </cfRule>
  </conditionalFormatting>
  <conditionalFormatting sqref="B131">
    <cfRule type="cellIs" dxfId="34" priority="37" stopIfTrue="1" operator="equal">
      <formula>"INSTITUCIONAL"</formula>
    </cfRule>
  </conditionalFormatting>
  <conditionalFormatting sqref="B131">
    <cfRule type="cellIs" dxfId="33" priority="36" stopIfTrue="1" operator="equal">
      <formula>"GESTION"</formula>
    </cfRule>
  </conditionalFormatting>
  <conditionalFormatting sqref="G132">
    <cfRule type="cellIs" dxfId="32" priority="35" stopIfTrue="1" operator="notBetween">
      <formula>0</formula>
      <formula>0</formula>
    </cfRule>
  </conditionalFormatting>
  <conditionalFormatting sqref="B132">
    <cfRule type="cellIs" dxfId="31" priority="34" stopIfTrue="1" operator="equal">
      <formula>"INSTITUCIONAL"</formula>
    </cfRule>
  </conditionalFormatting>
  <conditionalFormatting sqref="B132">
    <cfRule type="cellIs" dxfId="30" priority="33" stopIfTrue="1" operator="equal">
      <formula>"GESTION"</formula>
    </cfRule>
  </conditionalFormatting>
  <conditionalFormatting sqref="G133">
    <cfRule type="cellIs" dxfId="29" priority="32" stopIfTrue="1" operator="notBetween">
      <formula>0</formula>
      <formula>0</formula>
    </cfRule>
  </conditionalFormatting>
  <conditionalFormatting sqref="B133">
    <cfRule type="cellIs" dxfId="28" priority="31" stopIfTrue="1" operator="equal">
      <formula>"INSTITUCIONAL"</formula>
    </cfRule>
  </conditionalFormatting>
  <conditionalFormatting sqref="B133">
    <cfRule type="cellIs" dxfId="27" priority="30" stopIfTrue="1" operator="equal">
      <formula>"GESTION"</formula>
    </cfRule>
  </conditionalFormatting>
  <conditionalFormatting sqref="B134">
    <cfRule type="cellIs" dxfId="26" priority="29" stopIfTrue="1" operator="equal">
      <formula>"INSTITUCIONAL"</formula>
    </cfRule>
  </conditionalFormatting>
  <conditionalFormatting sqref="B134">
    <cfRule type="cellIs" dxfId="25" priority="28" stopIfTrue="1" operator="equal">
      <formula>"GESTION"</formula>
    </cfRule>
  </conditionalFormatting>
  <conditionalFormatting sqref="G135">
    <cfRule type="cellIs" dxfId="24" priority="27" stopIfTrue="1" operator="notBetween">
      <formula>0</formula>
      <formula>0</formula>
    </cfRule>
  </conditionalFormatting>
  <conditionalFormatting sqref="B135">
    <cfRule type="cellIs" dxfId="23" priority="26" stopIfTrue="1" operator="equal">
      <formula>"INSTITUCIONAL"</formula>
    </cfRule>
  </conditionalFormatting>
  <conditionalFormatting sqref="B135">
    <cfRule type="cellIs" dxfId="22" priority="25" stopIfTrue="1" operator="equal">
      <formula>"GESTION"</formula>
    </cfRule>
  </conditionalFormatting>
  <conditionalFormatting sqref="B136">
    <cfRule type="cellIs" dxfId="21" priority="24" stopIfTrue="1" operator="equal">
      <formula>"INSTITUCIONAL"</formula>
    </cfRule>
  </conditionalFormatting>
  <conditionalFormatting sqref="B136">
    <cfRule type="cellIs" dxfId="20" priority="23" stopIfTrue="1" operator="equal">
      <formula>"GESTION"</formula>
    </cfRule>
  </conditionalFormatting>
  <conditionalFormatting sqref="B137">
    <cfRule type="cellIs" dxfId="19" priority="22" stopIfTrue="1" operator="equal">
      <formula>"INSTITUCIONAL"</formula>
    </cfRule>
  </conditionalFormatting>
  <conditionalFormatting sqref="B137">
    <cfRule type="cellIs" dxfId="18" priority="21" stopIfTrue="1" operator="equal">
      <formula>"GESTION"</formula>
    </cfRule>
  </conditionalFormatting>
  <conditionalFormatting sqref="B142">
    <cfRule type="cellIs" dxfId="17" priority="18" stopIfTrue="1" operator="equal">
      <formula>"INSTITUCIONAL"</formula>
    </cfRule>
  </conditionalFormatting>
  <conditionalFormatting sqref="B142">
    <cfRule type="cellIs" dxfId="16" priority="17" stopIfTrue="1" operator="equal">
      <formula>"GESTION"</formula>
    </cfRule>
  </conditionalFormatting>
  <conditionalFormatting sqref="B143">
    <cfRule type="cellIs" dxfId="15" priority="16" stopIfTrue="1" operator="equal">
      <formula>"INSTITUCIONAL"</formula>
    </cfRule>
  </conditionalFormatting>
  <conditionalFormatting sqref="B143">
    <cfRule type="cellIs" dxfId="14" priority="15" stopIfTrue="1" operator="equal">
      <formula>"GESTION"</formula>
    </cfRule>
  </conditionalFormatting>
  <conditionalFormatting sqref="B144">
    <cfRule type="cellIs" dxfId="13" priority="14" stopIfTrue="1" operator="equal">
      <formula>"INSTITUCIONAL"</formula>
    </cfRule>
  </conditionalFormatting>
  <conditionalFormatting sqref="B144">
    <cfRule type="cellIs" dxfId="12" priority="13" stopIfTrue="1" operator="equal">
      <formula>"GESTION"</formula>
    </cfRule>
  </conditionalFormatting>
  <conditionalFormatting sqref="B145">
    <cfRule type="cellIs" dxfId="11" priority="12" stopIfTrue="1" operator="equal">
      <formula>"INSTITUCIONAL"</formula>
    </cfRule>
  </conditionalFormatting>
  <conditionalFormatting sqref="B145">
    <cfRule type="cellIs" dxfId="10" priority="11" stopIfTrue="1" operator="equal">
      <formula>"GESTION"</formula>
    </cfRule>
  </conditionalFormatting>
  <conditionalFormatting sqref="B146">
    <cfRule type="cellIs" dxfId="9" priority="10" stopIfTrue="1" operator="equal">
      <formula>"INSTITUCIONAL"</formula>
    </cfRule>
  </conditionalFormatting>
  <conditionalFormatting sqref="B146">
    <cfRule type="cellIs" dxfId="8" priority="9" stopIfTrue="1" operator="equal">
      <formula>"GESTION"</formula>
    </cfRule>
  </conditionalFormatting>
  <conditionalFormatting sqref="B147">
    <cfRule type="cellIs" dxfId="7" priority="8" stopIfTrue="1" operator="equal">
      <formula>"INSTITUCIONAL"</formula>
    </cfRule>
  </conditionalFormatting>
  <conditionalFormatting sqref="B147">
    <cfRule type="cellIs" dxfId="6" priority="7" stopIfTrue="1" operator="equal">
      <formula>"GESTION"</formula>
    </cfRule>
  </conditionalFormatting>
  <conditionalFormatting sqref="B148">
    <cfRule type="cellIs" dxfId="5" priority="6" stopIfTrue="1" operator="equal">
      <formula>"INSTITUCIONAL"</formula>
    </cfRule>
  </conditionalFormatting>
  <conditionalFormatting sqref="B148">
    <cfRule type="cellIs" dxfId="4" priority="5" stopIfTrue="1" operator="equal">
      <formula>"GESTION"</formula>
    </cfRule>
  </conditionalFormatting>
  <conditionalFormatting sqref="B149">
    <cfRule type="cellIs" dxfId="3" priority="4" stopIfTrue="1" operator="equal">
      <formula>"INSTITUCIONAL"</formula>
    </cfRule>
  </conditionalFormatting>
  <conditionalFormatting sqref="B149">
    <cfRule type="cellIs" dxfId="2" priority="3" stopIfTrue="1" operator="equal">
      <formula>"GESTION"</formula>
    </cfRule>
  </conditionalFormatting>
  <conditionalFormatting sqref="B150">
    <cfRule type="cellIs" dxfId="1" priority="2" stopIfTrue="1" operator="equal">
      <formula>"INSTITUCIONAL"</formula>
    </cfRule>
  </conditionalFormatting>
  <conditionalFormatting sqref="B150">
    <cfRule type="cellIs" dxfId="0" priority="1" stopIfTrue="1" operator="equal">
      <formula>"GESTION"</formula>
    </cfRule>
  </conditionalFormatting>
  <dataValidations count="1">
    <dataValidation type="list" allowBlank="1" showInputMessage="1" showErrorMessage="1" sqref="H130:H133 H135" xr:uid="{5A5F55B3-EBA6-47E8-96FD-680E57F6DCEB}">
      <formula1>$K$6:$K$17</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2DBD9-F749-4691-8B8C-C6F57105F94D}">
  <sheetPr codeName="Hoja5"/>
  <dimension ref="A1:Z77"/>
  <sheetViews>
    <sheetView workbookViewId="0">
      <selection activeCell="I2" sqref="I2:I74"/>
    </sheetView>
  </sheetViews>
  <sheetFormatPr baseColWidth="10" defaultColWidth="8.85546875" defaultRowHeight="12.75" x14ac:dyDescent="0.2"/>
  <cols>
    <col min="1" max="1" width="6.7109375" style="109" customWidth="1"/>
    <col min="2" max="2" width="12.7109375" style="109" customWidth="1"/>
    <col min="3" max="3" width="10.140625" style="109" customWidth="1"/>
    <col min="4" max="4" width="4.85546875" style="109" customWidth="1"/>
    <col min="5" max="5" width="9.5703125" style="109" customWidth="1"/>
    <col min="6" max="6" width="19.28515625" style="109" customWidth="1"/>
    <col min="7" max="7" width="16.28515625" style="109" customWidth="1"/>
    <col min="8" max="8" width="4.28515625" style="109" customWidth="1"/>
    <col min="9" max="9" width="12.28515625" style="109" customWidth="1"/>
    <col min="10" max="10" width="7.42578125" style="109" customWidth="1"/>
    <col min="11" max="12" width="8" style="109" customWidth="1"/>
    <col min="13" max="13" width="20" style="109" customWidth="1"/>
    <col min="14" max="14" width="10.140625" style="109" customWidth="1"/>
    <col min="15" max="15" width="29.7109375" style="109" customWidth="1"/>
    <col min="16" max="16" width="15.140625" style="109" customWidth="1"/>
    <col min="17" max="17" width="18.5703125" style="109" customWidth="1"/>
    <col min="18" max="18" width="10.28515625" style="109" customWidth="1"/>
    <col min="19" max="19" width="7.7109375" style="109" customWidth="1"/>
    <col min="20" max="20" width="15.28515625" style="109" customWidth="1"/>
    <col min="21" max="21" width="21" style="109" customWidth="1"/>
    <col min="22" max="22" width="32.140625" style="109" customWidth="1"/>
    <col min="23" max="23" width="13.140625" style="109" customWidth="1"/>
    <col min="24" max="24" width="14.7109375" style="109" customWidth="1"/>
    <col min="25" max="25" width="17.28515625" style="109" customWidth="1"/>
    <col min="26" max="26" width="14.7109375" style="109" customWidth="1"/>
    <col min="27" max="16384" width="8.85546875" style="109"/>
  </cols>
  <sheetData>
    <row r="1" spans="1:26" x14ac:dyDescent="0.2">
      <c r="A1" s="189" t="s">
        <v>436</v>
      </c>
      <c r="B1" s="189" t="s">
        <v>437</v>
      </c>
      <c r="C1" s="189" t="s">
        <v>431</v>
      </c>
      <c r="D1" s="189" t="s">
        <v>438</v>
      </c>
      <c r="E1" s="189" t="s">
        <v>439</v>
      </c>
      <c r="F1" s="189" t="s">
        <v>440</v>
      </c>
      <c r="G1" s="189" t="s">
        <v>441</v>
      </c>
      <c r="H1" s="189" t="s">
        <v>99</v>
      </c>
      <c r="I1" s="189" t="s">
        <v>442</v>
      </c>
      <c r="J1" s="189" t="s">
        <v>443</v>
      </c>
      <c r="K1" s="189" t="s">
        <v>444</v>
      </c>
      <c r="L1" s="189" t="s">
        <v>445</v>
      </c>
      <c r="M1" s="189" t="s">
        <v>446</v>
      </c>
      <c r="N1" s="189" t="s">
        <v>447</v>
      </c>
      <c r="O1" s="189" t="s">
        <v>448</v>
      </c>
      <c r="P1" s="189" t="s">
        <v>449</v>
      </c>
      <c r="Q1" s="189" t="s">
        <v>450</v>
      </c>
      <c r="R1" s="189" t="s">
        <v>451</v>
      </c>
      <c r="S1" s="189" t="s">
        <v>452</v>
      </c>
      <c r="T1" s="189" t="s">
        <v>453</v>
      </c>
      <c r="U1" s="189" t="s">
        <v>454</v>
      </c>
      <c r="V1" s="189" t="s">
        <v>455</v>
      </c>
      <c r="W1" s="189" t="s">
        <v>456</v>
      </c>
      <c r="X1" s="189" t="s">
        <v>457</v>
      </c>
      <c r="Y1" s="189" t="s">
        <v>458</v>
      </c>
      <c r="Z1" s="189" t="s">
        <v>459</v>
      </c>
    </row>
    <row r="2" spans="1:26" x14ac:dyDescent="0.2">
      <c r="A2" s="190" t="s">
        <v>510</v>
      </c>
      <c r="B2" s="190" t="s">
        <v>511</v>
      </c>
      <c r="C2" s="190" t="s">
        <v>559</v>
      </c>
      <c r="D2" s="190" t="s">
        <v>544</v>
      </c>
      <c r="E2" s="190" t="s">
        <v>512</v>
      </c>
      <c r="F2" s="190" t="s">
        <v>592</v>
      </c>
      <c r="G2" s="190" t="s">
        <v>593</v>
      </c>
      <c r="H2" s="190" t="s">
        <v>233</v>
      </c>
      <c r="I2" s="191">
        <v>2306.34</v>
      </c>
      <c r="J2" s="190" t="s">
        <v>513</v>
      </c>
      <c r="K2" s="190" t="s">
        <v>514</v>
      </c>
      <c r="L2" s="190" t="s">
        <v>515</v>
      </c>
      <c r="M2" s="190" t="s">
        <v>516</v>
      </c>
      <c r="N2" s="190" t="s">
        <v>559</v>
      </c>
      <c r="O2" s="190" t="s">
        <v>517</v>
      </c>
      <c r="P2" s="190" t="s">
        <v>594</v>
      </c>
      <c r="Q2" s="190" t="s">
        <v>518</v>
      </c>
      <c r="R2" s="190" t="s">
        <v>518</v>
      </c>
      <c r="S2" s="190" t="s">
        <v>519</v>
      </c>
      <c r="T2" s="190" t="s">
        <v>518</v>
      </c>
      <c r="U2" s="190" t="s">
        <v>595</v>
      </c>
      <c r="V2" s="190" t="s">
        <v>520</v>
      </c>
      <c r="W2" s="190" t="s">
        <v>518</v>
      </c>
      <c r="X2" s="190" t="s">
        <v>596</v>
      </c>
      <c r="Y2" s="190" t="s">
        <v>521</v>
      </c>
    </row>
    <row r="3" spans="1:26" x14ac:dyDescent="0.2">
      <c r="A3" s="190" t="s">
        <v>510</v>
      </c>
      <c r="B3" s="190" t="s">
        <v>511</v>
      </c>
      <c r="C3" s="190" t="s">
        <v>597</v>
      </c>
      <c r="D3" s="190" t="s">
        <v>544</v>
      </c>
      <c r="E3" s="190" t="s">
        <v>512</v>
      </c>
      <c r="F3" s="190" t="s">
        <v>598</v>
      </c>
      <c r="G3" s="190" t="s">
        <v>593</v>
      </c>
      <c r="H3" s="190" t="s">
        <v>233</v>
      </c>
      <c r="I3" s="191">
        <v>2814976.57</v>
      </c>
      <c r="J3" s="190" t="s">
        <v>513</v>
      </c>
      <c r="K3" s="190" t="s">
        <v>514</v>
      </c>
      <c r="L3" s="190" t="s">
        <v>515</v>
      </c>
      <c r="M3" s="190" t="s">
        <v>516</v>
      </c>
      <c r="N3" s="190" t="s">
        <v>547</v>
      </c>
      <c r="O3" s="190" t="s">
        <v>517</v>
      </c>
      <c r="P3" s="190" t="s">
        <v>599</v>
      </c>
      <c r="Q3" s="190" t="s">
        <v>518</v>
      </c>
      <c r="R3" s="190" t="s">
        <v>518</v>
      </c>
      <c r="S3" s="190" t="s">
        <v>519</v>
      </c>
      <c r="T3" s="190" t="s">
        <v>518</v>
      </c>
      <c r="U3" s="190" t="s">
        <v>600</v>
      </c>
      <c r="V3" s="190" t="s">
        <v>520</v>
      </c>
      <c r="W3" s="190" t="s">
        <v>518</v>
      </c>
      <c r="X3" s="190" t="s">
        <v>601</v>
      </c>
      <c r="Y3" s="190" t="s">
        <v>521</v>
      </c>
    </row>
    <row r="4" spans="1:26" x14ac:dyDescent="0.2">
      <c r="A4" s="190" t="s">
        <v>522</v>
      </c>
      <c r="B4" s="190" t="s">
        <v>511</v>
      </c>
      <c r="C4" s="190" t="s">
        <v>545</v>
      </c>
      <c r="D4" s="190" t="s">
        <v>544</v>
      </c>
      <c r="E4" s="190" t="s">
        <v>523</v>
      </c>
      <c r="F4" s="190" t="s">
        <v>609</v>
      </c>
      <c r="G4" s="190" t="s">
        <v>593</v>
      </c>
      <c r="H4" s="190" t="s">
        <v>233</v>
      </c>
      <c r="I4" s="191">
        <v>136602034.25</v>
      </c>
      <c r="J4" s="190" t="s">
        <v>513</v>
      </c>
      <c r="K4" s="190" t="s">
        <v>514</v>
      </c>
      <c r="L4" s="190" t="s">
        <v>515</v>
      </c>
      <c r="M4" s="190" t="s">
        <v>540</v>
      </c>
      <c r="N4" s="190" t="s">
        <v>518</v>
      </c>
      <c r="O4" s="190" t="s">
        <v>541</v>
      </c>
      <c r="P4" s="190" t="s">
        <v>610</v>
      </c>
      <c r="Q4" s="190" t="s">
        <v>546</v>
      </c>
      <c r="R4" s="190" t="s">
        <v>518</v>
      </c>
      <c r="S4" s="190" t="s">
        <v>526</v>
      </c>
      <c r="T4" s="190" t="s">
        <v>518</v>
      </c>
      <c r="U4" s="190" t="s">
        <v>611</v>
      </c>
      <c r="V4" s="190" t="s">
        <v>542</v>
      </c>
      <c r="W4" s="190" t="s">
        <v>546</v>
      </c>
    </row>
    <row r="5" spans="1:26" x14ac:dyDescent="0.2">
      <c r="A5" s="190" t="s">
        <v>522</v>
      </c>
      <c r="B5" s="190" t="s">
        <v>511</v>
      </c>
      <c r="C5" s="190" t="s">
        <v>545</v>
      </c>
      <c r="D5" s="190" t="s">
        <v>544</v>
      </c>
      <c r="E5" s="190" t="s">
        <v>523</v>
      </c>
      <c r="F5" s="190" t="s">
        <v>602</v>
      </c>
      <c r="G5" s="190" t="s">
        <v>593</v>
      </c>
      <c r="H5" s="190" t="s">
        <v>524</v>
      </c>
      <c r="I5" s="191">
        <v>703.62</v>
      </c>
      <c r="J5" s="190" t="s">
        <v>513</v>
      </c>
      <c r="K5" s="190" t="s">
        <v>514</v>
      </c>
      <c r="L5" s="190" t="s">
        <v>515</v>
      </c>
      <c r="M5" s="190" t="s">
        <v>525</v>
      </c>
      <c r="N5" s="190" t="s">
        <v>518</v>
      </c>
      <c r="O5" s="190" t="s">
        <v>518</v>
      </c>
      <c r="P5" s="190" t="s">
        <v>603</v>
      </c>
      <c r="Q5" s="190" t="s">
        <v>546</v>
      </c>
      <c r="R5" s="190" t="s">
        <v>518</v>
      </c>
      <c r="S5" s="190" t="s">
        <v>526</v>
      </c>
      <c r="T5" s="190" t="s">
        <v>518</v>
      </c>
      <c r="U5" s="190" t="s">
        <v>604</v>
      </c>
      <c r="V5" s="190" t="s">
        <v>527</v>
      </c>
      <c r="W5" s="190" t="s">
        <v>546</v>
      </c>
    </row>
    <row r="6" spans="1:26" x14ac:dyDescent="0.2">
      <c r="A6" s="190" t="s">
        <v>510</v>
      </c>
      <c r="B6" s="190" t="s">
        <v>511</v>
      </c>
      <c r="C6" s="190" t="s">
        <v>612</v>
      </c>
      <c r="D6" s="190" t="s">
        <v>544</v>
      </c>
      <c r="E6" s="190" t="s">
        <v>512</v>
      </c>
      <c r="F6" s="190" t="s">
        <v>613</v>
      </c>
      <c r="G6" s="190" t="s">
        <v>593</v>
      </c>
      <c r="H6" s="190" t="s">
        <v>233</v>
      </c>
      <c r="I6" s="191">
        <v>46749.73</v>
      </c>
      <c r="J6" s="190" t="s">
        <v>513</v>
      </c>
      <c r="K6" s="190" t="s">
        <v>514</v>
      </c>
      <c r="L6" s="190" t="s">
        <v>515</v>
      </c>
      <c r="M6" s="190" t="s">
        <v>516</v>
      </c>
      <c r="N6" s="190" t="s">
        <v>547</v>
      </c>
      <c r="O6" s="190" t="s">
        <v>517</v>
      </c>
      <c r="P6" s="190" t="s">
        <v>614</v>
      </c>
      <c r="Q6" s="190" t="s">
        <v>518</v>
      </c>
      <c r="R6" s="190" t="s">
        <v>518</v>
      </c>
      <c r="S6" s="190" t="s">
        <v>519</v>
      </c>
      <c r="T6" s="190" t="s">
        <v>615</v>
      </c>
      <c r="U6" s="190" t="s">
        <v>616</v>
      </c>
      <c r="V6" s="190" t="s">
        <v>520</v>
      </c>
      <c r="W6" s="190" t="s">
        <v>518</v>
      </c>
      <c r="X6" s="190" t="s">
        <v>617</v>
      </c>
      <c r="Y6" s="190" t="s">
        <v>618</v>
      </c>
      <c r="Z6" s="190" t="s">
        <v>615</v>
      </c>
    </row>
    <row r="7" spans="1:26" x14ac:dyDescent="0.2">
      <c r="A7" s="190" t="s">
        <v>510</v>
      </c>
      <c r="B7" s="190" t="s">
        <v>511</v>
      </c>
      <c r="C7" s="190" t="s">
        <v>605</v>
      </c>
      <c r="D7" s="190" t="s">
        <v>544</v>
      </c>
      <c r="E7" s="190" t="s">
        <v>512</v>
      </c>
      <c r="F7" s="190" t="s">
        <v>606</v>
      </c>
      <c r="G7" s="190" t="s">
        <v>593</v>
      </c>
      <c r="H7" s="190" t="s">
        <v>233</v>
      </c>
      <c r="I7" s="191">
        <v>2064207.96</v>
      </c>
      <c r="J7" s="190" t="s">
        <v>513</v>
      </c>
      <c r="K7" s="190" t="s">
        <v>514</v>
      </c>
      <c r="L7" s="190" t="s">
        <v>515</v>
      </c>
      <c r="M7" s="190" t="s">
        <v>530</v>
      </c>
      <c r="N7" s="190" t="s">
        <v>518</v>
      </c>
      <c r="O7" s="190" t="s">
        <v>518</v>
      </c>
      <c r="P7" s="190" t="s">
        <v>607</v>
      </c>
      <c r="Q7" s="190" t="s">
        <v>518</v>
      </c>
      <c r="R7" s="190" t="s">
        <v>518</v>
      </c>
      <c r="S7" s="190" t="s">
        <v>519</v>
      </c>
      <c r="T7" s="190" t="s">
        <v>518</v>
      </c>
      <c r="U7" s="190" t="s">
        <v>518</v>
      </c>
      <c r="V7" s="190" t="s">
        <v>556</v>
      </c>
      <c r="W7" s="190" t="s">
        <v>518</v>
      </c>
      <c r="X7" s="190" t="s">
        <v>518</v>
      </c>
      <c r="Y7" s="190" t="s">
        <v>608</v>
      </c>
    </row>
    <row r="8" spans="1:26" x14ac:dyDescent="0.2">
      <c r="A8" s="190" t="s">
        <v>510</v>
      </c>
      <c r="B8" s="190" t="s">
        <v>511</v>
      </c>
      <c r="C8" s="190" t="s">
        <v>619</v>
      </c>
      <c r="D8" s="190" t="s">
        <v>544</v>
      </c>
      <c r="E8" s="190" t="s">
        <v>512</v>
      </c>
      <c r="F8" s="190" t="s">
        <v>620</v>
      </c>
      <c r="G8" s="190" t="s">
        <v>593</v>
      </c>
      <c r="H8" s="190" t="s">
        <v>233</v>
      </c>
      <c r="I8" s="191">
        <v>14468000</v>
      </c>
      <c r="J8" s="190" t="s">
        <v>513</v>
      </c>
      <c r="K8" s="190" t="s">
        <v>514</v>
      </c>
      <c r="L8" s="190" t="s">
        <v>515</v>
      </c>
      <c r="M8" s="190" t="s">
        <v>516</v>
      </c>
      <c r="N8" s="190" t="s">
        <v>619</v>
      </c>
      <c r="O8" s="190" t="s">
        <v>517</v>
      </c>
      <c r="P8" s="190" t="s">
        <v>621</v>
      </c>
      <c r="Q8" s="190" t="s">
        <v>518</v>
      </c>
      <c r="R8" s="190" t="s">
        <v>518</v>
      </c>
      <c r="S8" s="190" t="s">
        <v>519</v>
      </c>
      <c r="T8" s="190" t="s">
        <v>622</v>
      </c>
      <c r="U8" s="190" t="s">
        <v>623</v>
      </c>
      <c r="V8" s="190" t="s">
        <v>520</v>
      </c>
      <c r="W8" s="190" t="s">
        <v>518</v>
      </c>
      <c r="X8" s="190" t="s">
        <v>624</v>
      </c>
      <c r="Y8" s="190" t="s">
        <v>625</v>
      </c>
      <c r="Z8" s="190" t="s">
        <v>622</v>
      </c>
    </row>
    <row r="9" spans="1:26" x14ac:dyDescent="0.2">
      <c r="A9" s="190" t="s">
        <v>510</v>
      </c>
      <c r="B9" s="190" t="s">
        <v>511</v>
      </c>
      <c r="C9" s="190" t="s">
        <v>581</v>
      </c>
      <c r="D9" s="190" t="s">
        <v>544</v>
      </c>
      <c r="E9" s="190" t="s">
        <v>512</v>
      </c>
      <c r="F9" s="190" t="s">
        <v>626</v>
      </c>
      <c r="G9" s="190" t="s">
        <v>593</v>
      </c>
      <c r="H9" s="190" t="s">
        <v>233</v>
      </c>
      <c r="I9" s="191">
        <v>4306110.5199999996</v>
      </c>
      <c r="J9" s="190" t="s">
        <v>513</v>
      </c>
      <c r="K9" s="190" t="s">
        <v>514</v>
      </c>
      <c r="L9" s="190" t="s">
        <v>627</v>
      </c>
      <c r="M9" s="190" t="s">
        <v>530</v>
      </c>
      <c r="N9" s="190" t="s">
        <v>518</v>
      </c>
      <c r="O9" s="190" t="s">
        <v>518</v>
      </c>
      <c r="P9" s="190" t="s">
        <v>628</v>
      </c>
      <c r="Q9" s="190" t="s">
        <v>518</v>
      </c>
      <c r="R9" s="190" t="s">
        <v>518</v>
      </c>
      <c r="S9" s="190" t="s">
        <v>519</v>
      </c>
      <c r="T9" s="190" t="s">
        <v>571</v>
      </c>
      <c r="U9" s="190" t="s">
        <v>518</v>
      </c>
      <c r="V9" s="190" t="s">
        <v>556</v>
      </c>
      <c r="W9" s="190" t="s">
        <v>518</v>
      </c>
      <c r="X9" s="190" t="s">
        <v>518</v>
      </c>
      <c r="Y9" s="190" t="s">
        <v>629</v>
      </c>
    </row>
    <row r="10" spans="1:26" x14ac:dyDescent="0.2">
      <c r="A10" s="190" t="s">
        <v>510</v>
      </c>
      <c r="B10" s="190" t="s">
        <v>511</v>
      </c>
      <c r="C10" s="190" t="s">
        <v>630</v>
      </c>
      <c r="D10" s="190" t="s">
        <v>544</v>
      </c>
      <c r="E10" s="190" t="s">
        <v>512</v>
      </c>
      <c r="F10" s="190" t="s">
        <v>671</v>
      </c>
      <c r="G10" s="190" t="s">
        <v>593</v>
      </c>
      <c r="H10" s="190" t="s">
        <v>528</v>
      </c>
      <c r="I10" s="191">
        <v>-6380852.9100000001</v>
      </c>
      <c r="J10" s="190" t="s">
        <v>513</v>
      </c>
      <c r="K10" s="190" t="s">
        <v>514</v>
      </c>
      <c r="L10" s="190" t="s">
        <v>515</v>
      </c>
      <c r="M10" s="190" t="s">
        <v>516</v>
      </c>
      <c r="N10" s="190" t="s">
        <v>630</v>
      </c>
      <c r="O10" s="190" t="s">
        <v>517</v>
      </c>
      <c r="P10" s="190" t="s">
        <v>672</v>
      </c>
      <c r="Q10" s="190" t="s">
        <v>518</v>
      </c>
      <c r="R10" s="190" t="s">
        <v>518</v>
      </c>
      <c r="S10" s="190" t="s">
        <v>519</v>
      </c>
      <c r="T10" s="190" t="s">
        <v>518</v>
      </c>
      <c r="U10" s="190" t="s">
        <v>673</v>
      </c>
      <c r="V10" s="190" t="s">
        <v>529</v>
      </c>
      <c r="W10" s="190" t="s">
        <v>518</v>
      </c>
      <c r="X10" s="190" t="s">
        <v>674</v>
      </c>
      <c r="Y10" s="190" t="s">
        <v>521</v>
      </c>
    </row>
    <row r="11" spans="1:26" x14ac:dyDescent="0.2">
      <c r="A11" s="190" t="s">
        <v>510</v>
      </c>
      <c r="B11" s="190" t="s">
        <v>511</v>
      </c>
      <c r="C11" s="190" t="s">
        <v>634</v>
      </c>
      <c r="D11" s="190" t="s">
        <v>544</v>
      </c>
      <c r="E11" s="190" t="s">
        <v>512</v>
      </c>
      <c r="F11" s="190" t="s">
        <v>635</v>
      </c>
      <c r="G11" s="190" t="s">
        <v>593</v>
      </c>
      <c r="H11" s="190" t="s">
        <v>528</v>
      </c>
      <c r="I11" s="191">
        <v>-213945.08</v>
      </c>
      <c r="J11" s="190" t="s">
        <v>513</v>
      </c>
      <c r="K11" s="190" t="s">
        <v>514</v>
      </c>
      <c r="L11" s="190" t="s">
        <v>515</v>
      </c>
      <c r="M11" s="190" t="s">
        <v>516</v>
      </c>
      <c r="N11" s="190" t="s">
        <v>547</v>
      </c>
      <c r="O11" s="190" t="s">
        <v>517</v>
      </c>
      <c r="P11" s="190" t="s">
        <v>636</v>
      </c>
      <c r="Q11" s="190" t="s">
        <v>518</v>
      </c>
      <c r="R11" s="190" t="s">
        <v>518</v>
      </c>
      <c r="S11" s="190" t="s">
        <v>519</v>
      </c>
      <c r="T11" s="190" t="s">
        <v>518</v>
      </c>
      <c r="U11" s="190" t="s">
        <v>637</v>
      </c>
      <c r="V11" s="190" t="s">
        <v>529</v>
      </c>
      <c r="W11" s="190" t="s">
        <v>518</v>
      </c>
      <c r="X11" s="190" t="s">
        <v>638</v>
      </c>
      <c r="Y11" s="190" t="s">
        <v>521</v>
      </c>
    </row>
    <row r="12" spans="1:26" x14ac:dyDescent="0.2">
      <c r="A12" s="190" t="s">
        <v>510</v>
      </c>
      <c r="B12" s="190" t="s">
        <v>511</v>
      </c>
      <c r="C12" s="190" t="s">
        <v>641</v>
      </c>
      <c r="D12" s="190" t="s">
        <v>544</v>
      </c>
      <c r="E12" s="190" t="s">
        <v>512</v>
      </c>
      <c r="F12" s="190" t="s">
        <v>642</v>
      </c>
      <c r="G12" s="190" t="s">
        <v>593</v>
      </c>
      <c r="H12" s="190" t="s">
        <v>528</v>
      </c>
      <c r="I12" s="191">
        <v>-174262.89</v>
      </c>
      <c r="J12" s="190" t="s">
        <v>513</v>
      </c>
      <c r="K12" s="190" t="s">
        <v>514</v>
      </c>
      <c r="L12" s="190" t="s">
        <v>515</v>
      </c>
      <c r="M12" s="190" t="s">
        <v>516</v>
      </c>
      <c r="N12" s="190" t="s">
        <v>547</v>
      </c>
      <c r="O12" s="190" t="s">
        <v>517</v>
      </c>
      <c r="P12" s="190" t="s">
        <v>643</v>
      </c>
      <c r="Q12" s="190" t="s">
        <v>518</v>
      </c>
      <c r="R12" s="190" t="s">
        <v>518</v>
      </c>
      <c r="S12" s="190" t="s">
        <v>519</v>
      </c>
      <c r="T12" s="190" t="s">
        <v>577</v>
      </c>
      <c r="U12" s="190" t="s">
        <v>644</v>
      </c>
      <c r="V12" s="190" t="s">
        <v>529</v>
      </c>
      <c r="W12" s="190" t="s">
        <v>518</v>
      </c>
      <c r="X12" s="190" t="s">
        <v>645</v>
      </c>
      <c r="Y12" s="190" t="s">
        <v>646</v>
      </c>
      <c r="Z12" s="190" t="s">
        <v>577</v>
      </c>
    </row>
    <row r="13" spans="1:26" x14ac:dyDescent="0.2">
      <c r="A13" s="190" t="s">
        <v>510</v>
      </c>
      <c r="B13" s="190" t="s">
        <v>511</v>
      </c>
      <c r="C13" s="190" t="s">
        <v>578</v>
      </c>
      <c r="D13" s="190" t="s">
        <v>544</v>
      </c>
      <c r="E13" s="190" t="s">
        <v>512</v>
      </c>
      <c r="F13" s="190" t="s">
        <v>639</v>
      </c>
      <c r="G13" s="190" t="s">
        <v>593</v>
      </c>
      <c r="H13" s="190" t="s">
        <v>233</v>
      </c>
      <c r="I13" s="191">
        <v>79478.38</v>
      </c>
      <c r="J13" s="190" t="s">
        <v>513</v>
      </c>
      <c r="K13" s="190" t="s">
        <v>514</v>
      </c>
      <c r="L13" s="190" t="s">
        <v>627</v>
      </c>
      <c r="M13" s="190" t="s">
        <v>530</v>
      </c>
      <c r="N13" s="190" t="s">
        <v>518</v>
      </c>
      <c r="O13" s="190" t="s">
        <v>518</v>
      </c>
      <c r="P13" s="190" t="s">
        <v>640</v>
      </c>
      <c r="Q13" s="190" t="s">
        <v>518</v>
      </c>
      <c r="R13" s="190" t="s">
        <v>518</v>
      </c>
      <c r="S13" s="190" t="s">
        <v>519</v>
      </c>
      <c r="T13" s="190" t="s">
        <v>571</v>
      </c>
      <c r="U13" s="190" t="s">
        <v>518</v>
      </c>
      <c r="V13" s="190" t="s">
        <v>556</v>
      </c>
      <c r="W13" s="190" t="s">
        <v>518</v>
      </c>
      <c r="X13" s="190" t="s">
        <v>518</v>
      </c>
      <c r="Y13" s="190" t="s">
        <v>629</v>
      </c>
    </row>
    <row r="14" spans="1:26" x14ac:dyDescent="0.2">
      <c r="A14" s="190" t="s">
        <v>510</v>
      </c>
      <c r="B14" s="190" t="s">
        <v>511</v>
      </c>
      <c r="C14" s="190" t="s">
        <v>549</v>
      </c>
      <c r="D14" s="190" t="s">
        <v>544</v>
      </c>
      <c r="E14" s="190" t="s">
        <v>512</v>
      </c>
      <c r="F14" s="190" t="s">
        <v>647</v>
      </c>
      <c r="G14" s="190" t="s">
        <v>593</v>
      </c>
      <c r="H14" s="190" t="s">
        <v>528</v>
      </c>
      <c r="I14" s="191">
        <v>-3086864.87</v>
      </c>
      <c r="J14" s="190" t="s">
        <v>513</v>
      </c>
      <c r="K14" s="190" t="s">
        <v>514</v>
      </c>
      <c r="L14" s="190" t="s">
        <v>515</v>
      </c>
      <c r="M14" s="190" t="s">
        <v>516</v>
      </c>
      <c r="N14" s="190" t="s">
        <v>547</v>
      </c>
      <c r="O14" s="190" t="s">
        <v>517</v>
      </c>
      <c r="P14" s="190" t="s">
        <v>648</v>
      </c>
      <c r="Q14" s="190" t="s">
        <v>518</v>
      </c>
      <c r="R14" s="190" t="s">
        <v>518</v>
      </c>
      <c r="S14" s="190" t="s">
        <v>519</v>
      </c>
      <c r="T14" s="190" t="s">
        <v>518</v>
      </c>
      <c r="U14" s="190" t="s">
        <v>649</v>
      </c>
      <c r="V14" s="190" t="s">
        <v>529</v>
      </c>
      <c r="W14" s="190" t="s">
        <v>518</v>
      </c>
      <c r="X14" s="190" t="s">
        <v>650</v>
      </c>
      <c r="Y14" s="190" t="s">
        <v>521</v>
      </c>
    </row>
    <row r="15" spans="1:26" x14ac:dyDescent="0.2">
      <c r="A15" s="190" t="s">
        <v>522</v>
      </c>
      <c r="B15" s="190" t="s">
        <v>511</v>
      </c>
      <c r="C15" s="190" t="s">
        <v>545</v>
      </c>
      <c r="D15" s="190" t="s">
        <v>544</v>
      </c>
      <c r="E15" s="190" t="s">
        <v>523</v>
      </c>
      <c r="F15" s="190" t="s">
        <v>651</v>
      </c>
      <c r="G15" s="190" t="s">
        <v>593</v>
      </c>
      <c r="H15" s="190" t="s">
        <v>524</v>
      </c>
      <c r="I15" s="191">
        <v>136161770.91</v>
      </c>
      <c r="J15" s="190" t="s">
        <v>513</v>
      </c>
      <c r="K15" s="190" t="s">
        <v>514</v>
      </c>
      <c r="L15" s="190" t="s">
        <v>515</v>
      </c>
      <c r="M15" s="190" t="s">
        <v>525</v>
      </c>
      <c r="N15" s="190" t="s">
        <v>518</v>
      </c>
      <c r="O15" s="190" t="s">
        <v>518</v>
      </c>
      <c r="P15" s="190" t="s">
        <v>569</v>
      </c>
      <c r="Q15" s="190" t="s">
        <v>546</v>
      </c>
      <c r="R15" s="190" t="s">
        <v>518</v>
      </c>
      <c r="S15" s="190" t="s">
        <v>526</v>
      </c>
      <c r="T15" s="190" t="s">
        <v>518</v>
      </c>
      <c r="U15" s="190" t="s">
        <v>652</v>
      </c>
      <c r="V15" s="190" t="s">
        <v>527</v>
      </c>
      <c r="W15" s="190" t="s">
        <v>546</v>
      </c>
    </row>
    <row r="16" spans="1:26" x14ac:dyDescent="0.2">
      <c r="A16" s="190" t="s">
        <v>510</v>
      </c>
      <c r="B16" s="190" t="s">
        <v>511</v>
      </c>
      <c r="C16" s="190" t="s">
        <v>653</v>
      </c>
      <c r="D16" s="190" t="s">
        <v>544</v>
      </c>
      <c r="E16" s="190" t="s">
        <v>512</v>
      </c>
      <c r="F16" s="190" t="s">
        <v>654</v>
      </c>
      <c r="G16" s="190" t="s">
        <v>593</v>
      </c>
      <c r="H16" s="190" t="s">
        <v>233</v>
      </c>
      <c r="I16" s="191">
        <v>1349158.58</v>
      </c>
      <c r="J16" s="190" t="s">
        <v>513</v>
      </c>
      <c r="K16" s="190" t="s">
        <v>514</v>
      </c>
      <c r="L16" s="190" t="s">
        <v>515</v>
      </c>
      <c r="M16" s="190" t="s">
        <v>530</v>
      </c>
      <c r="N16" s="190" t="s">
        <v>518</v>
      </c>
      <c r="O16" s="190" t="s">
        <v>518</v>
      </c>
      <c r="P16" s="190" t="s">
        <v>607</v>
      </c>
      <c r="Q16" s="190" t="s">
        <v>518</v>
      </c>
      <c r="R16" s="190" t="s">
        <v>518</v>
      </c>
      <c r="S16" s="190" t="s">
        <v>519</v>
      </c>
      <c r="T16" s="190" t="s">
        <v>518</v>
      </c>
      <c r="U16" s="190" t="s">
        <v>518</v>
      </c>
      <c r="V16" s="190" t="s">
        <v>556</v>
      </c>
      <c r="W16" s="190" t="s">
        <v>518</v>
      </c>
      <c r="X16" s="190" t="s">
        <v>518</v>
      </c>
      <c r="Y16" s="190" t="s">
        <v>608</v>
      </c>
    </row>
    <row r="17" spans="1:26" x14ac:dyDescent="0.2">
      <c r="A17" s="190" t="s">
        <v>510</v>
      </c>
      <c r="B17" s="190" t="s">
        <v>511</v>
      </c>
      <c r="C17" s="190" t="s">
        <v>655</v>
      </c>
      <c r="D17" s="190" t="s">
        <v>544</v>
      </c>
      <c r="E17" s="190" t="s">
        <v>512</v>
      </c>
      <c r="F17" s="190" t="s">
        <v>656</v>
      </c>
      <c r="G17" s="190" t="s">
        <v>593</v>
      </c>
      <c r="H17" s="190" t="s">
        <v>233</v>
      </c>
      <c r="I17" s="191">
        <v>489000</v>
      </c>
      <c r="J17" s="190" t="s">
        <v>513</v>
      </c>
      <c r="K17" s="190" t="s">
        <v>514</v>
      </c>
      <c r="L17" s="190" t="s">
        <v>515</v>
      </c>
      <c r="M17" s="190" t="s">
        <v>516</v>
      </c>
      <c r="N17" s="190" t="s">
        <v>655</v>
      </c>
      <c r="O17" s="190" t="s">
        <v>517</v>
      </c>
      <c r="P17" s="190" t="s">
        <v>621</v>
      </c>
      <c r="Q17" s="190" t="s">
        <v>518</v>
      </c>
      <c r="R17" s="190" t="s">
        <v>518</v>
      </c>
      <c r="S17" s="190" t="s">
        <v>519</v>
      </c>
      <c r="T17" s="190" t="s">
        <v>622</v>
      </c>
      <c r="U17" s="190" t="s">
        <v>657</v>
      </c>
      <c r="V17" s="190" t="s">
        <v>520</v>
      </c>
      <c r="W17" s="190" t="s">
        <v>518</v>
      </c>
      <c r="X17" s="190" t="s">
        <v>624</v>
      </c>
      <c r="Y17" s="190" t="s">
        <v>625</v>
      </c>
      <c r="Z17" s="190" t="s">
        <v>622</v>
      </c>
    </row>
    <row r="18" spans="1:26" x14ac:dyDescent="0.2">
      <c r="A18" s="190" t="s">
        <v>510</v>
      </c>
      <c r="B18" s="190" t="s">
        <v>511</v>
      </c>
      <c r="C18" s="190" t="s">
        <v>665</v>
      </c>
      <c r="D18" s="190" t="s">
        <v>544</v>
      </c>
      <c r="E18" s="190" t="s">
        <v>512</v>
      </c>
      <c r="F18" s="190" t="s">
        <v>666</v>
      </c>
      <c r="G18" s="190" t="s">
        <v>593</v>
      </c>
      <c r="H18" s="190" t="s">
        <v>233</v>
      </c>
      <c r="I18" s="191">
        <v>54907.85</v>
      </c>
      <c r="J18" s="190" t="s">
        <v>513</v>
      </c>
      <c r="K18" s="190" t="s">
        <v>514</v>
      </c>
      <c r="L18" s="190" t="s">
        <v>515</v>
      </c>
      <c r="M18" s="190" t="s">
        <v>516</v>
      </c>
      <c r="N18" s="190" t="s">
        <v>547</v>
      </c>
      <c r="O18" s="190" t="s">
        <v>517</v>
      </c>
      <c r="P18" s="190" t="s">
        <v>614</v>
      </c>
      <c r="Q18" s="190" t="s">
        <v>518</v>
      </c>
      <c r="R18" s="190" t="s">
        <v>518</v>
      </c>
      <c r="S18" s="190" t="s">
        <v>519</v>
      </c>
      <c r="T18" s="190" t="s">
        <v>615</v>
      </c>
      <c r="U18" s="190" t="s">
        <v>667</v>
      </c>
      <c r="V18" s="190" t="s">
        <v>520</v>
      </c>
      <c r="W18" s="190" t="s">
        <v>518</v>
      </c>
      <c r="X18" s="190" t="s">
        <v>617</v>
      </c>
      <c r="Y18" s="190" t="s">
        <v>618</v>
      </c>
      <c r="Z18" s="190" t="s">
        <v>615</v>
      </c>
    </row>
    <row r="19" spans="1:26" x14ac:dyDescent="0.2">
      <c r="A19" s="190" t="s">
        <v>510</v>
      </c>
      <c r="B19" s="190" t="s">
        <v>511</v>
      </c>
      <c r="C19" s="190" t="s">
        <v>668</v>
      </c>
      <c r="D19" s="190" t="s">
        <v>544</v>
      </c>
      <c r="E19" s="190" t="s">
        <v>512</v>
      </c>
      <c r="F19" s="190" t="s">
        <v>669</v>
      </c>
      <c r="G19" s="190" t="s">
        <v>593</v>
      </c>
      <c r="H19" s="190" t="s">
        <v>233</v>
      </c>
      <c r="I19" s="191">
        <v>420.98</v>
      </c>
      <c r="J19" s="190" t="s">
        <v>513</v>
      </c>
      <c r="K19" s="190" t="s">
        <v>514</v>
      </c>
      <c r="L19" s="190" t="s">
        <v>515</v>
      </c>
      <c r="M19" s="190" t="s">
        <v>516</v>
      </c>
      <c r="N19" s="190" t="s">
        <v>547</v>
      </c>
      <c r="O19" s="190" t="s">
        <v>517</v>
      </c>
      <c r="P19" s="190" t="s">
        <v>614</v>
      </c>
      <c r="Q19" s="190" t="s">
        <v>518</v>
      </c>
      <c r="R19" s="190" t="s">
        <v>518</v>
      </c>
      <c r="S19" s="190" t="s">
        <v>519</v>
      </c>
      <c r="T19" s="190" t="s">
        <v>615</v>
      </c>
      <c r="U19" s="190" t="s">
        <v>670</v>
      </c>
      <c r="V19" s="190" t="s">
        <v>520</v>
      </c>
      <c r="W19" s="190" t="s">
        <v>518</v>
      </c>
      <c r="X19" s="190" t="s">
        <v>617</v>
      </c>
      <c r="Y19" s="190" t="s">
        <v>618</v>
      </c>
      <c r="Z19" s="190" t="s">
        <v>615</v>
      </c>
    </row>
    <row r="20" spans="1:26" x14ac:dyDescent="0.2">
      <c r="A20" s="190" t="s">
        <v>510</v>
      </c>
      <c r="B20" s="190" t="s">
        <v>511</v>
      </c>
      <c r="C20" s="190" t="s">
        <v>658</v>
      </c>
      <c r="D20" s="190" t="s">
        <v>544</v>
      </c>
      <c r="E20" s="190" t="s">
        <v>512</v>
      </c>
      <c r="F20" s="190" t="s">
        <v>659</v>
      </c>
      <c r="G20" s="190" t="s">
        <v>593</v>
      </c>
      <c r="H20" s="190" t="s">
        <v>528</v>
      </c>
      <c r="I20" s="191">
        <v>-97548.75</v>
      </c>
      <c r="J20" s="190" t="s">
        <v>513</v>
      </c>
      <c r="K20" s="190" t="s">
        <v>514</v>
      </c>
      <c r="L20" s="190" t="s">
        <v>515</v>
      </c>
      <c r="M20" s="190" t="s">
        <v>516</v>
      </c>
      <c r="N20" s="190" t="s">
        <v>547</v>
      </c>
      <c r="O20" s="190" t="s">
        <v>517</v>
      </c>
      <c r="P20" s="190" t="s">
        <v>660</v>
      </c>
      <c r="Q20" s="190" t="s">
        <v>518</v>
      </c>
      <c r="R20" s="190" t="s">
        <v>518</v>
      </c>
      <c r="S20" s="190" t="s">
        <v>519</v>
      </c>
      <c r="T20" s="190" t="s">
        <v>577</v>
      </c>
      <c r="U20" s="190" t="s">
        <v>661</v>
      </c>
      <c r="V20" s="190" t="s">
        <v>529</v>
      </c>
      <c r="W20" s="190" t="s">
        <v>518</v>
      </c>
      <c r="X20" s="190" t="s">
        <v>582</v>
      </c>
      <c r="Y20" s="190" t="s">
        <v>662</v>
      </c>
      <c r="Z20" s="190" t="s">
        <v>577</v>
      </c>
    </row>
    <row r="21" spans="1:26" x14ac:dyDescent="0.2">
      <c r="A21" s="190" t="s">
        <v>510</v>
      </c>
      <c r="B21" s="190" t="s">
        <v>511</v>
      </c>
      <c r="C21" s="190" t="s">
        <v>576</v>
      </c>
      <c r="D21" s="190" t="s">
        <v>544</v>
      </c>
      <c r="E21" s="190" t="s">
        <v>512</v>
      </c>
      <c r="F21" s="190" t="s">
        <v>663</v>
      </c>
      <c r="G21" s="190" t="s">
        <v>593</v>
      </c>
      <c r="H21" s="190" t="s">
        <v>233</v>
      </c>
      <c r="I21" s="191">
        <v>1287842.92</v>
      </c>
      <c r="J21" s="190" t="s">
        <v>513</v>
      </c>
      <c r="K21" s="190" t="s">
        <v>514</v>
      </c>
      <c r="L21" s="190" t="s">
        <v>627</v>
      </c>
      <c r="M21" s="190" t="s">
        <v>530</v>
      </c>
      <c r="N21" s="190" t="s">
        <v>518</v>
      </c>
      <c r="O21" s="190" t="s">
        <v>518</v>
      </c>
      <c r="P21" s="190" t="s">
        <v>640</v>
      </c>
      <c r="Q21" s="190" t="s">
        <v>518</v>
      </c>
      <c r="R21" s="190" t="s">
        <v>518</v>
      </c>
      <c r="S21" s="190" t="s">
        <v>519</v>
      </c>
      <c r="T21" s="190" t="s">
        <v>571</v>
      </c>
      <c r="U21" s="190" t="s">
        <v>518</v>
      </c>
      <c r="V21" s="190" t="s">
        <v>556</v>
      </c>
      <c r="W21" s="190" t="s">
        <v>518</v>
      </c>
      <c r="X21" s="190" t="s">
        <v>518</v>
      </c>
      <c r="Y21" s="190" t="s">
        <v>629</v>
      </c>
    </row>
    <row r="22" spans="1:26" x14ac:dyDescent="0.2">
      <c r="A22" s="190" t="s">
        <v>510</v>
      </c>
      <c r="B22" s="190" t="s">
        <v>511</v>
      </c>
      <c r="C22" s="190" t="s">
        <v>583</v>
      </c>
      <c r="D22" s="190" t="s">
        <v>544</v>
      </c>
      <c r="E22" s="190" t="s">
        <v>512</v>
      </c>
      <c r="F22" s="190" t="s">
        <v>664</v>
      </c>
      <c r="G22" s="190" t="s">
        <v>593</v>
      </c>
      <c r="H22" s="190" t="s">
        <v>233</v>
      </c>
      <c r="I22" s="191">
        <v>6110.72</v>
      </c>
      <c r="J22" s="190" t="s">
        <v>513</v>
      </c>
      <c r="K22" s="190" t="s">
        <v>514</v>
      </c>
      <c r="L22" s="190" t="s">
        <v>627</v>
      </c>
      <c r="M22" s="190" t="s">
        <v>530</v>
      </c>
      <c r="N22" s="190" t="s">
        <v>518</v>
      </c>
      <c r="O22" s="190" t="s">
        <v>518</v>
      </c>
      <c r="P22" s="190" t="s">
        <v>640</v>
      </c>
      <c r="Q22" s="190" t="s">
        <v>518</v>
      </c>
      <c r="R22" s="190" t="s">
        <v>518</v>
      </c>
      <c r="S22" s="190" t="s">
        <v>519</v>
      </c>
      <c r="T22" s="190" t="s">
        <v>571</v>
      </c>
      <c r="U22" s="190" t="s">
        <v>518</v>
      </c>
      <c r="V22" s="190" t="s">
        <v>556</v>
      </c>
      <c r="W22" s="190" t="s">
        <v>518</v>
      </c>
      <c r="X22" s="190" t="s">
        <v>518</v>
      </c>
      <c r="Y22" s="190" t="s">
        <v>629</v>
      </c>
    </row>
    <row r="23" spans="1:26" x14ac:dyDescent="0.2">
      <c r="A23" s="190" t="s">
        <v>510</v>
      </c>
      <c r="B23" s="190" t="s">
        <v>511</v>
      </c>
      <c r="C23" s="190" t="s">
        <v>630</v>
      </c>
      <c r="D23" s="190" t="s">
        <v>544</v>
      </c>
      <c r="E23" s="190" t="s">
        <v>512</v>
      </c>
      <c r="F23" s="190" t="s">
        <v>631</v>
      </c>
      <c r="G23" s="190" t="s">
        <v>593</v>
      </c>
      <c r="H23" s="190" t="s">
        <v>528</v>
      </c>
      <c r="I23" s="191">
        <v>-226414.3</v>
      </c>
      <c r="J23" s="190" t="s">
        <v>513</v>
      </c>
      <c r="K23" s="190" t="s">
        <v>514</v>
      </c>
      <c r="L23" s="190" t="s">
        <v>515</v>
      </c>
      <c r="M23" s="190" t="s">
        <v>516</v>
      </c>
      <c r="N23" s="190" t="s">
        <v>630</v>
      </c>
      <c r="O23" s="190" t="s">
        <v>517</v>
      </c>
      <c r="P23" s="190" t="s">
        <v>632</v>
      </c>
      <c r="Q23" s="190" t="s">
        <v>518</v>
      </c>
      <c r="R23" s="190" t="s">
        <v>518</v>
      </c>
      <c r="S23" s="190" t="s">
        <v>519</v>
      </c>
      <c r="T23" s="190" t="s">
        <v>518</v>
      </c>
      <c r="U23" s="190" t="s">
        <v>633</v>
      </c>
      <c r="V23" s="190" t="s">
        <v>529</v>
      </c>
      <c r="W23" s="190" t="s">
        <v>518</v>
      </c>
      <c r="X23" s="190" t="s">
        <v>574</v>
      </c>
      <c r="Y23" s="190" t="s">
        <v>521</v>
      </c>
    </row>
    <row r="24" spans="1:26" x14ac:dyDescent="0.2">
      <c r="A24" s="190" t="s">
        <v>510</v>
      </c>
      <c r="B24" s="190" t="s">
        <v>511</v>
      </c>
      <c r="C24" s="190" t="s">
        <v>548</v>
      </c>
      <c r="D24" s="190" t="s">
        <v>544</v>
      </c>
      <c r="E24" s="190" t="s">
        <v>512</v>
      </c>
      <c r="F24" s="190" t="s">
        <v>675</v>
      </c>
      <c r="G24" s="190" t="s">
        <v>593</v>
      </c>
      <c r="H24" s="190" t="s">
        <v>528</v>
      </c>
      <c r="I24" s="191">
        <v>-7345060.6799999997</v>
      </c>
      <c r="J24" s="190" t="s">
        <v>513</v>
      </c>
      <c r="K24" s="190" t="s">
        <v>514</v>
      </c>
      <c r="L24" s="190" t="s">
        <v>515</v>
      </c>
      <c r="M24" s="190" t="s">
        <v>516</v>
      </c>
      <c r="N24" s="190" t="s">
        <v>547</v>
      </c>
      <c r="O24" s="190" t="s">
        <v>517</v>
      </c>
      <c r="P24" s="190" t="s">
        <v>676</v>
      </c>
      <c r="Q24" s="190" t="s">
        <v>518</v>
      </c>
      <c r="R24" s="190" t="s">
        <v>518</v>
      </c>
      <c r="S24" s="190" t="s">
        <v>519</v>
      </c>
      <c r="T24" s="190" t="s">
        <v>518</v>
      </c>
      <c r="U24" s="190" t="s">
        <v>677</v>
      </c>
      <c r="V24" s="190" t="s">
        <v>529</v>
      </c>
      <c r="W24" s="190" t="s">
        <v>518</v>
      </c>
      <c r="X24" s="190" t="s">
        <v>678</v>
      </c>
      <c r="Y24" s="190" t="s">
        <v>521</v>
      </c>
    </row>
    <row r="25" spans="1:26" x14ac:dyDescent="0.2">
      <c r="A25" s="190" t="s">
        <v>510</v>
      </c>
      <c r="B25" s="190" t="s">
        <v>511</v>
      </c>
      <c r="C25" s="190" t="s">
        <v>584</v>
      </c>
      <c r="D25" s="190" t="s">
        <v>544</v>
      </c>
      <c r="E25" s="190" t="s">
        <v>512</v>
      </c>
      <c r="F25" s="190" t="s">
        <v>679</v>
      </c>
      <c r="G25" s="190" t="s">
        <v>593</v>
      </c>
      <c r="H25" s="190" t="s">
        <v>233</v>
      </c>
      <c r="I25" s="191">
        <v>7164.8</v>
      </c>
      <c r="J25" s="190" t="s">
        <v>513</v>
      </c>
      <c r="K25" s="190" t="s">
        <v>514</v>
      </c>
      <c r="L25" s="190" t="s">
        <v>627</v>
      </c>
      <c r="M25" s="190" t="s">
        <v>530</v>
      </c>
      <c r="N25" s="190" t="s">
        <v>518</v>
      </c>
      <c r="O25" s="190" t="s">
        <v>518</v>
      </c>
      <c r="P25" s="190" t="s">
        <v>680</v>
      </c>
      <c r="Q25" s="190" t="s">
        <v>518</v>
      </c>
      <c r="R25" s="190" t="s">
        <v>518</v>
      </c>
      <c r="S25" s="190" t="s">
        <v>519</v>
      </c>
      <c r="T25" s="190" t="s">
        <v>518</v>
      </c>
      <c r="U25" s="190" t="s">
        <v>518</v>
      </c>
      <c r="V25" s="190" t="s">
        <v>556</v>
      </c>
      <c r="W25" s="190" t="s">
        <v>518</v>
      </c>
      <c r="X25" s="190" t="s">
        <v>518</v>
      </c>
      <c r="Y25" s="190" t="s">
        <v>521</v>
      </c>
    </row>
    <row r="26" spans="1:26" x14ac:dyDescent="0.2">
      <c r="A26" s="190" t="s">
        <v>510</v>
      </c>
      <c r="B26" s="190" t="s">
        <v>511</v>
      </c>
      <c r="C26" s="190" t="s">
        <v>658</v>
      </c>
      <c r="D26" s="190" t="s">
        <v>544</v>
      </c>
      <c r="E26" s="190" t="s">
        <v>512</v>
      </c>
      <c r="F26" s="190" t="s">
        <v>684</v>
      </c>
      <c r="G26" s="190" t="s">
        <v>593</v>
      </c>
      <c r="H26" s="190" t="s">
        <v>528</v>
      </c>
      <c r="I26" s="191">
        <v>-180378.87</v>
      </c>
      <c r="J26" s="190" t="s">
        <v>513</v>
      </c>
      <c r="K26" s="190" t="s">
        <v>514</v>
      </c>
      <c r="L26" s="190" t="s">
        <v>515</v>
      </c>
      <c r="M26" s="190" t="s">
        <v>516</v>
      </c>
      <c r="N26" s="190" t="s">
        <v>547</v>
      </c>
      <c r="O26" s="190" t="s">
        <v>517</v>
      </c>
      <c r="P26" s="190" t="s">
        <v>685</v>
      </c>
      <c r="Q26" s="190" t="s">
        <v>518</v>
      </c>
      <c r="R26" s="190" t="s">
        <v>518</v>
      </c>
      <c r="S26" s="190" t="s">
        <v>519</v>
      </c>
      <c r="T26" s="190" t="s">
        <v>577</v>
      </c>
      <c r="U26" s="190" t="s">
        <v>686</v>
      </c>
      <c r="V26" s="190" t="s">
        <v>529</v>
      </c>
      <c r="W26" s="190" t="s">
        <v>518</v>
      </c>
      <c r="X26" s="190" t="s">
        <v>687</v>
      </c>
      <c r="Y26" s="190" t="s">
        <v>688</v>
      </c>
      <c r="Z26" s="190" t="s">
        <v>577</v>
      </c>
    </row>
    <row r="27" spans="1:26" x14ac:dyDescent="0.2">
      <c r="A27" s="190" t="s">
        <v>510</v>
      </c>
      <c r="B27" s="190" t="s">
        <v>511</v>
      </c>
      <c r="C27" s="190" t="s">
        <v>681</v>
      </c>
      <c r="D27" s="190" t="s">
        <v>544</v>
      </c>
      <c r="E27" s="190" t="s">
        <v>512</v>
      </c>
      <c r="F27" s="190" t="s">
        <v>682</v>
      </c>
      <c r="G27" s="190" t="s">
        <v>593</v>
      </c>
      <c r="H27" s="190" t="s">
        <v>233</v>
      </c>
      <c r="I27" s="191">
        <v>1855358.5</v>
      </c>
      <c r="J27" s="190" t="s">
        <v>513</v>
      </c>
      <c r="K27" s="190" t="s">
        <v>514</v>
      </c>
      <c r="L27" s="190" t="s">
        <v>515</v>
      </c>
      <c r="M27" s="190" t="s">
        <v>530</v>
      </c>
      <c r="N27" s="190" t="s">
        <v>518</v>
      </c>
      <c r="O27" s="190" t="s">
        <v>518</v>
      </c>
      <c r="P27" s="190" t="s">
        <v>683</v>
      </c>
      <c r="Q27" s="190" t="s">
        <v>518</v>
      </c>
      <c r="R27" s="190" t="s">
        <v>518</v>
      </c>
      <c r="S27" s="190" t="s">
        <v>519</v>
      </c>
      <c r="T27" s="190" t="s">
        <v>518</v>
      </c>
      <c r="U27" s="190" t="s">
        <v>518</v>
      </c>
      <c r="V27" s="190" t="s">
        <v>556</v>
      </c>
      <c r="W27" s="190" t="s">
        <v>518</v>
      </c>
      <c r="X27" s="190" t="s">
        <v>518</v>
      </c>
      <c r="Y27" s="190" t="s">
        <v>608</v>
      </c>
    </row>
    <row r="28" spans="1:26" x14ac:dyDescent="0.2">
      <c r="A28" s="190" t="s">
        <v>510</v>
      </c>
      <c r="B28" s="190" t="s">
        <v>511</v>
      </c>
      <c r="C28" s="190" t="s">
        <v>693</v>
      </c>
      <c r="D28" s="190" t="s">
        <v>544</v>
      </c>
      <c r="E28" s="190" t="s">
        <v>512</v>
      </c>
      <c r="F28" s="190" t="s">
        <v>694</v>
      </c>
      <c r="G28" s="190" t="s">
        <v>593</v>
      </c>
      <c r="H28" s="190" t="s">
        <v>233</v>
      </c>
      <c r="I28" s="191">
        <v>620000</v>
      </c>
      <c r="J28" s="190" t="s">
        <v>513</v>
      </c>
      <c r="K28" s="190" t="s">
        <v>514</v>
      </c>
      <c r="L28" s="190" t="s">
        <v>515</v>
      </c>
      <c r="M28" s="190" t="s">
        <v>516</v>
      </c>
      <c r="N28" s="190" t="s">
        <v>693</v>
      </c>
      <c r="O28" s="190" t="s">
        <v>517</v>
      </c>
      <c r="P28" s="190" t="s">
        <v>621</v>
      </c>
      <c r="Q28" s="190" t="s">
        <v>518</v>
      </c>
      <c r="R28" s="190" t="s">
        <v>518</v>
      </c>
      <c r="S28" s="190" t="s">
        <v>519</v>
      </c>
      <c r="T28" s="190" t="s">
        <v>622</v>
      </c>
      <c r="U28" s="190" t="s">
        <v>695</v>
      </c>
      <c r="V28" s="190" t="s">
        <v>520</v>
      </c>
      <c r="W28" s="190" t="s">
        <v>518</v>
      </c>
      <c r="X28" s="190" t="s">
        <v>624</v>
      </c>
      <c r="Y28" s="190" t="s">
        <v>625</v>
      </c>
      <c r="Z28" s="190" t="s">
        <v>622</v>
      </c>
    </row>
    <row r="29" spans="1:26" x14ac:dyDescent="0.2">
      <c r="A29" s="190" t="s">
        <v>510</v>
      </c>
      <c r="B29" s="190" t="s">
        <v>511</v>
      </c>
      <c r="C29" s="190" t="s">
        <v>579</v>
      </c>
      <c r="D29" s="190" t="s">
        <v>544</v>
      </c>
      <c r="E29" s="190" t="s">
        <v>512</v>
      </c>
      <c r="F29" s="190" t="s">
        <v>697</v>
      </c>
      <c r="G29" s="190" t="s">
        <v>593</v>
      </c>
      <c r="H29" s="190" t="s">
        <v>233</v>
      </c>
      <c r="I29" s="191">
        <v>235415.54</v>
      </c>
      <c r="J29" s="190" t="s">
        <v>513</v>
      </c>
      <c r="K29" s="190" t="s">
        <v>514</v>
      </c>
      <c r="L29" s="190" t="s">
        <v>627</v>
      </c>
      <c r="M29" s="190" t="s">
        <v>530</v>
      </c>
      <c r="N29" s="190" t="s">
        <v>518</v>
      </c>
      <c r="O29" s="190" t="s">
        <v>518</v>
      </c>
      <c r="P29" s="190" t="s">
        <v>640</v>
      </c>
      <c r="Q29" s="190" t="s">
        <v>518</v>
      </c>
      <c r="R29" s="190" t="s">
        <v>518</v>
      </c>
      <c r="S29" s="190" t="s">
        <v>519</v>
      </c>
      <c r="T29" s="190" t="s">
        <v>571</v>
      </c>
      <c r="U29" s="190" t="s">
        <v>518</v>
      </c>
      <c r="V29" s="190" t="s">
        <v>556</v>
      </c>
      <c r="W29" s="190" t="s">
        <v>518</v>
      </c>
      <c r="X29" s="190" t="s">
        <v>518</v>
      </c>
      <c r="Y29" s="190" t="s">
        <v>629</v>
      </c>
    </row>
    <row r="30" spans="1:26" x14ac:dyDescent="0.2">
      <c r="A30" s="190" t="s">
        <v>510</v>
      </c>
      <c r="B30" s="190" t="s">
        <v>511</v>
      </c>
      <c r="C30" s="190" t="s">
        <v>689</v>
      </c>
      <c r="D30" s="190" t="s">
        <v>544</v>
      </c>
      <c r="E30" s="190" t="s">
        <v>512</v>
      </c>
      <c r="F30" s="190" t="s">
        <v>690</v>
      </c>
      <c r="G30" s="190" t="s">
        <v>593</v>
      </c>
      <c r="H30" s="190" t="s">
        <v>528</v>
      </c>
      <c r="I30" s="191">
        <v>-842181.34</v>
      </c>
      <c r="J30" s="190" t="s">
        <v>513</v>
      </c>
      <c r="K30" s="190" t="s">
        <v>514</v>
      </c>
      <c r="L30" s="190" t="s">
        <v>515</v>
      </c>
      <c r="M30" s="190" t="s">
        <v>516</v>
      </c>
      <c r="N30" s="190" t="s">
        <v>547</v>
      </c>
      <c r="O30" s="190" t="s">
        <v>517</v>
      </c>
      <c r="P30" s="190" t="s">
        <v>691</v>
      </c>
      <c r="Q30" s="190" t="s">
        <v>518</v>
      </c>
      <c r="R30" s="190" t="s">
        <v>518</v>
      </c>
      <c r="S30" s="190" t="s">
        <v>519</v>
      </c>
      <c r="T30" s="190" t="s">
        <v>577</v>
      </c>
      <c r="U30" s="190" t="s">
        <v>692</v>
      </c>
      <c r="V30" s="190" t="s">
        <v>529</v>
      </c>
      <c r="W30" s="190" t="s">
        <v>518</v>
      </c>
      <c r="X30" s="190" t="s">
        <v>687</v>
      </c>
      <c r="Y30" s="190" t="s">
        <v>688</v>
      </c>
      <c r="Z30" s="190" t="s">
        <v>577</v>
      </c>
    </row>
    <row r="31" spans="1:26" x14ac:dyDescent="0.2">
      <c r="A31" s="190" t="s">
        <v>510</v>
      </c>
      <c r="B31" s="190" t="s">
        <v>511</v>
      </c>
      <c r="C31" s="190" t="s">
        <v>575</v>
      </c>
      <c r="D31" s="190" t="s">
        <v>544</v>
      </c>
      <c r="E31" s="190" t="s">
        <v>512</v>
      </c>
      <c r="F31" s="190" t="s">
        <v>696</v>
      </c>
      <c r="G31" s="190" t="s">
        <v>593</v>
      </c>
      <c r="H31" s="190" t="s">
        <v>233</v>
      </c>
      <c r="I31" s="191">
        <v>1472872.78</v>
      </c>
      <c r="J31" s="190" t="s">
        <v>513</v>
      </c>
      <c r="K31" s="190" t="s">
        <v>514</v>
      </c>
      <c r="L31" s="190" t="s">
        <v>627</v>
      </c>
      <c r="M31" s="190" t="s">
        <v>530</v>
      </c>
      <c r="N31" s="190" t="s">
        <v>518</v>
      </c>
      <c r="O31" s="190" t="s">
        <v>518</v>
      </c>
      <c r="P31" s="190" t="s">
        <v>628</v>
      </c>
      <c r="Q31" s="190" t="s">
        <v>518</v>
      </c>
      <c r="R31" s="190" t="s">
        <v>518</v>
      </c>
      <c r="S31" s="190" t="s">
        <v>519</v>
      </c>
      <c r="T31" s="190" t="s">
        <v>571</v>
      </c>
      <c r="U31" s="190" t="s">
        <v>518</v>
      </c>
      <c r="V31" s="190" t="s">
        <v>556</v>
      </c>
      <c r="W31" s="190" t="s">
        <v>518</v>
      </c>
      <c r="X31" s="190" t="s">
        <v>518</v>
      </c>
      <c r="Y31" s="190" t="s">
        <v>629</v>
      </c>
    </row>
    <row r="32" spans="1:26" x14ac:dyDescent="0.2">
      <c r="A32" s="190" t="s">
        <v>510</v>
      </c>
      <c r="B32" s="190" t="s">
        <v>511</v>
      </c>
      <c r="C32" s="190" t="s">
        <v>570</v>
      </c>
      <c r="D32" s="190" t="s">
        <v>544</v>
      </c>
      <c r="E32" s="190" t="s">
        <v>512</v>
      </c>
      <c r="F32" s="190" t="s">
        <v>698</v>
      </c>
      <c r="G32" s="190" t="s">
        <v>593</v>
      </c>
      <c r="H32" s="190" t="s">
        <v>233</v>
      </c>
      <c r="I32" s="191">
        <v>127747.52</v>
      </c>
      <c r="J32" s="190" t="s">
        <v>513</v>
      </c>
      <c r="K32" s="190" t="s">
        <v>514</v>
      </c>
      <c r="L32" s="190" t="s">
        <v>627</v>
      </c>
      <c r="M32" s="190" t="s">
        <v>530</v>
      </c>
      <c r="N32" s="190" t="s">
        <v>518</v>
      </c>
      <c r="O32" s="190" t="s">
        <v>518</v>
      </c>
      <c r="P32" s="190" t="s">
        <v>640</v>
      </c>
      <c r="Q32" s="190" t="s">
        <v>518</v>
      </c>
      <c r="R32" s="190" t="s">
        <v>518</v>
      </c>
      <c r="S32" s="190" t="s">
        <v>519</v>
      </c>
      <c r="T32" s="190" t="s">
        <v>571</v>
      </c>
      <c r="U32" s="190" t="s">
        <v>518</v>
      </c>
      <c r="V32" s="190" t="s">
        <v>556</v>
      </c>
      <c r="W32" s="190" t="s">
        <v>518</v>
      </c>
      <c r="X32" s="190" t="s">
        <v>518</v>
      </c>
      <c r="Y32" s="190" t="s">
        <v>629</v>
      </c>
    </row>
    <row r="33" spans="1:26" x14ac:dyDescent="0.2">
      <c r="A33" s="190" t="s">
        <v>510</v>
      </c>
      <c r="B33" s="190" t="s">
        <v>511</v>
      </c>
      <c r="C33" s="190" t="s">
        <v>573</v>
      </c>
      <c r="D33" s="190" t="s">
        <v>544</v>
      </c>
      <c r="E33" s="190" t="s">
        <v>512</v>
      </c>
      <c r="F33" s="190" t="s">
        <v>699</v>
      </c>
      <c r="G33" s="190" t="s">
        <v>593</v>
      </c>
      <c r="H33" s="190" t="s">
        <v>528</v>
      </c>
      <c r="I33" s="191">
        <v>-328774.36</v>
      </c>
      <c r="J33" s="190" t="s">
        <v>513</v>
      </c>
      <c r="K33" s="190" t="s">
        <v>514</v>
      </c>
      <c r="L33" s="190" t="s">
        <v>515</v>
      </c>
      <c r="M33" s="190" t="s">
        <v>516</v>
      </c>
      <c r="N33" s="190" t="s">
        <v>568</v>
      </c>
      <c r="O33" s="190" t="s">
        <v>517</v>
      </c>
      <c r="P33" s="190" t="s">
        <v>700</v>
      </c>
      <c r="Q33" s="190" t="s">
        <v>518</v>
      </c>
      <c r="R33" s="190" t="s">
        <v>518</v>
      </c>
      <c r="S33" s="190" t="s">
        <v>519</v>
      </c>
      <c r="T33" s="190" t="s">
        <v>518</v>
      </c>
      <c r="U33" s="190" t="s">
        <v>701</v>
      </c>
      <c r="V33" s="190" t="s">
        <v>529</v>
      </c>
      <c r="W33" s="190" t="s">
        <v>518</v>
      </c>
      <c r="X33" s="190" t="s">
        <v>702</v>
      </c>
      <c r="Y33" s="190" t="s">
        <v>521</v>
      </c>
    </row>
    <row r="34" spans="1:26" x14ac:dyDescent="0.2">
      <c r="A34" s="190" t="s">
        <v>510</v>
      </c>
      <c r="B34" s="190" t="s">
        <v>511</v>
      </c>
      <c r="C34" s="190" t="s">
        <v>549</v>
      </c>
      <c r="D34" s="190" t="s">
        <v>544</v>
      </c>
      <c r="E34" s="190" t="s">
        <v>512</v>
      </c>
      <c r="F34" s="190" t="s">
        <v>703</v>
      </c>
      <c r="G34" s="190" t="s">
        <v>593</v>
      </c>
      <c r="H34" s="190" t="s">
        <v>233</v>
      </c>
      <c r="I34" s="191">
        <v>536432.4</v>
      </c>
      <c r="J34" s="190" t="s">
        <v>513</v>
      </c>
      <c r="K34" s="190" t="s">
        <v>514</v>
      </c>
      <c r="L34" s="190" t="s">
        <v>515</v>
      </c>
      <c r="M34" s="190" t="s">
        <v>516</v>
      </c>
      <c r="N34" s="190" t="s">
        <v>547</v>
      </c>
      <c r="O34" s="190" t="s">
        <v>517</v>
      </c>
      <c r="P34" s="190" t="s">
        <v>704</v>
      </c>
      <c r="Q34" s="190" t="s">
        <v>518</v>
      </c>
      <c r="R34" s="190" t="s">
        <v>518</v>
      </c>
      <c r="S34" s="190" t="s">
        <v>519</v>
      </c>
      <c r="T34" s="190" t="s">
        <v>518</v>
      </c>
      <c r="U34" s="190" t="s">
        <v>705</v>
      </c>
      <c r="V34" s="190" t="s">
        <v>520</v>
      </c>
      <c r="W34" s="190" t="s">
        <v>518</v>
      </c>
      <c r="X34" s="190" t="s">
        <v>706</v>
      </c>
      <c r="Y34" s="190" t="s">
        <v>521</v>
      </c>
    </row>
    <row r="35" spans="1:26" x14ac:dyDescent="0.2">
      <c r="A35" s="190" t="s">
        <v>510</v>
      </c>
      <c r="B35" s="190" t="s">
        <v>511</v>
      </c>
      <c r="C35" s="190" t="s">
        <v>548</v>
      </c>
      <c r="D35" s="190" t="s">
        <v>544</v>
      </c>
      <c r="E35" s="190" t="s">
        <v>512</v>
      </c>
      <c r="F35" s="190" t="s">
        <v>707</v>
      </c>
      <c r="G35" s="190" t="s">
        <v>593</v>
      </c>
      <c r="H35" s="190" t="s">
        <v>233</v>
      </c>
      <c r="I35" s="191">
        <v>8449019.1400000006</v>
      </c>
      <c r="J35" s="190" t="s">
        <v>513</v>
      </c>
      <c r="K35" s="190" t="s">
        <v>514</v>
      </c>
      <c r="L35" s="190" t="s">
        <v>515</v>
      </c>
      <c r="M35" s="190" t="s">
        <v>516</v>
      </c>
      <c r="N35" s="190" t="s">
        <v>547</v>
      </c>
      <c r="O35" s="190" t="s">
        <v>517</v>
      </c>
      <c r="P35" s="190" t="s">
        <v>708</v>
      </c>
      <c r="Q35" s="190" t="s">
        <v>518</v>
      </c>
      <c r="R35" s="190" t="s">
        <v>518</v>
      </c>
      <c r="S35" s="190" t="s">
        <v>519</v>
      </c>
      <c r="T35" s="190" t="s">
        <v>518</v>
      </c>
      <c r="U35" s="190" t="s">
        <v>709</v>
      </c>
      <c r="V35" s="190" t="s">
        <v>520</v>
      </c>
      <c r="W35" s="190" t="s">
        <v>518</v>
      </c>
      <c r="X35" s="190" t="s">
        <v>710</v>
      </c>
      <c r="Y35" s="190" t="s">
        <v>521</v>
      </c>
    </row>
    <row r="36" spans="1:26" x14ac:dyDescent="0.2">
      <c r="A36" s="190" t="s">
        <v>510</v>
      </c>
      <c r="B36" s="190" t="s">
        <v>511</v>
      </c>
      <c r="C36" s="190" t="s">
        <v>567</v>
      </c>
      <c r="D36" s="190" t="s">
        <v>544</v>
      </c>
      <c r="E36" s="190" t="s">
        <v>512</v>
      </c>
      <c r="F36" s="190" t="s">
        <v>711</v>
      </c>
      <c r="G36" s="190" t="s">
        <v>593</v>
      </c>
      <c r="H36" s="190" t="s">
        <v>233</v>
      </c>
      <c r="I36" s="191">
        <v>1691448.94</v>
      </c>
      <c r="J36" s="190" t="s">
        <v>513</v>
      </c>
      <c r="K36" s="190" t="s">
        <v>514</v>
      </c>
      <c r="L36" s="190" t="s">
        <v>627</v>
      </c>
      <c r="M36" s="190" t="s">
        <v>530</v>
      </c>
      <c r="N36" s="190" t="s">
        <v>518</v>
      </c>
      <c r="O36" s="190" t="s">
        <v>518</v>
      </c>
      <c r="P36" s="190" t="s">
        <v>712</v>
      </c>
      <c r="Q36" s="190" t="s">
        <v>518</v>
      </c>
      <c r="R36" s="190" t="s">
        <v>518</v>
      </c>
      <c r="S36" s="190" t="s">
        <v>519</v>
      </c>
      <c r="T36" s="190" t="s">
        <v>518</v>
      </c>
      <c r="U36" s="190" t="s">
        <v>518</v>
      </c>
      <c r="V36" s="190" t="s">
        <v>556</v>
      </c>
      <c r="W36" s="190" t="s">
        <v>518</v>
      </c>
      <c r="X36" s="190" t="s">
        <v>518</v>
      </c>
      <c r="Y36" s="190" t="s">
        <v>521</v>
      </c>
    </row>
    <row r="37" spans="1:26" x14ac:dyDescent="0.2">
      <c r="A37" s="190" t="s">
        <v>510</v>
      </c>
      <c r="B37" s="190" t="s">
        <v>511</v>
      </c>
      <c r="C37" s="190" t="s">
        <v>720</v>
      </c>
      <c r="D37" s="190" t="s">
        <v>544</v>
      </c>
      <c r="E37" s="190" t="s">
        <v>512</v>
      </c>
      <c r="F37" s="190" t="s">
        <v>721</v>
      </c>
      <c r="G37" s="190" t="s">
        <v>593</v>
      </c>
      <c r="H37" s="190" t="s">
        <v>233</v>
      </c>
      <c r="I37" s="191">
        <v>15940.96</v>
      </c>
      <c r="J37" s="190" t="s">
        <v>513</v>
      </c>
      <c r="K37" s="190" t="s">
        <v>514</v>
      </c>
      <c r="L37" s="190" t="s">
        <v>515</v>
      </c>
      <c r="M37" s="190" t="s">
        <v>516</v>
      </c>
      <c r="N37" s="190" t="s">
        <v>547</v>
      </c>
      <c r="O37" s="190" t="s">
        <v>517</v>
      </c>
      <c r="P37" s="190" t="s">
        <v>614</v>
      </c>
      <c r="Q37" s="190" t="s">
        <v>518</v>
      </c>
      <c r="R37" s="190" t="s">
        <v>518</v>
      </c>
      <c r="S37" s="190" t="s">
        <v>519</v>
      </c>
      <c r="T37" s="190" t="s">
        <v>615</v>
      </c>
      <c r="U37" s="190" t="s">
        <v>722</v>
      </c>
      <c r="V37" s="190" t="s">
        <v>520</v>
      </c>
      <c r="W37" s="190" t="s">
        <v>518</v>
      </c>
      <c r="X37" s="190" t="s">
        <v>723</v>
      </c>
      <c r="Y37" s="190" t="s">
        <v>618</v>
      </c>
      <c r="Z37" s="190" t="s">
        <v>615</v>
      </c>
    </row>
    <row r="38" spans="1:26" x14ac:dyDescent="0.2">
      <c r="A38" s="190" t="s">
        <v>510</v>
      </c>
      <c r="B38" s="190" t="s">
        <v>511</v>
      </c>
      <c r="C38" s="190" t="s">
        <v>713</v>
      </c>
      <c r="D38" s="190" t="s">
        <v>544</v>
      </c>
      <c r="E38" s="190" t="s">
        <v>512</v>
      </c>
      <c r="F38" s="190" t="s">
        <v>714</v>
      </c>
      <c r="G38" s="190" t="s">
        <v>593</v>
      </c>
      <c r="H38" s="190" t="s">
        <v>233</v>
      </c>
      <c r="I38" s="191">
        <v>411634.52</v>
      </c>
      <c r="J38" s="190" t="s">
        <v>513</v>
      </c>
      <c r="K38" s="190" t="s">
        <v>514</v>
      </c>
      <c r="L38" s="190" t="s">
        <v>515</v>
      </c>
      <c r="M38" s="190" t="s">
        <v>530</v>
      </c>
      <c r="N38" s="190" t="s">
        <v>518</v>
      </c>
      <c r="O38" s="190" t="s">
        <v>518</v>
      </c>
      <c r="P38" s="190" t="s">
        <v>607</v>
      </c>
      <c r="Q38" s="190" t="s">
        <v>518</v>
      </c>
      <c r="R38" s="190" t="s">
        <v>518</v>
      </c>
      <c r="S38" s="190" t="s">
        <v>519</v>
      </c>
      <c r="T38" s="190" t="s">
        <v>518</v>
      </c>
      <c r="U38" s="190" t="s">
        <v>518</v>
      </c>
      <c r="V38" s="190" t="s">
        <v>556</v>
      </c>
      <c r="W38" s="190" t="s">
        <v>518</v>
      </c>
      <c r="X38" s="190" t="s">
        <v>518</v>
      </c>
      <c r="Y38" s="190" t="s">
        <v>608</v>
      </c>
    </row>
    <row r="39" spans="1:26" x14ac:dyDescent="0.2">
      <c r="A39" s="190" t="s">
        <v>510</v>
      </c>
      <c r="B39" s="190" t="s">
        <v>511</v>
      </c>
      <c r="C39" s="190" t="s">
        <v>724</v>
      </c>
      <c r="D39" s="190" t="s">
        <v>544</v>
      </c>
      <c r="E39" s="190" t="s">
        <v>512</v>
      </c>
      <c r="F39" s="190" t="s">
        <v>725</v>
      </c>
      <c r="G39" s="190" t="s">
        <v>593</v>
      </c>
      <c r="H39" s="190" t="s">
        <v>233</v>
      </c>
      <c r="I39" s="191">
        <v>70000</v>
      </c>
      <c r="J39" s="190" t="s">
        <v>513</v>
      </c>
      <c r="K39" s="190" t="s">
        <v>514</v>
      </c>
      <c r="L39" s="190" t="s">
        <v>515</v>
      </c>
      <c r="M39" s="190" t="s">
        <v>516</v>
      </c>
      <c r="N39" s="190" t="s">
        <v>724</v>
      </c>
      <c r="O39" s="190" t="s">
        <v>517</v>
      </c>
      <c r="P39" s="190" t="s">
        <v>717</v>
      </c>
      <c r="Q39" s="190" t="s">
        <v>518</v>
      </c>
      <c r="R39" s="190" t="s">
        <v>518</v>
      </c>
      <c r="S39" s="190" t="s">
        <v>519</v>
      </c>
      <c r="T39" s="190" t="s">
        <v>622</v>
      </c>
      <c r="U39" s="190" t="s">
        <v>726</v>
      </c>
      <c r="V39" s="190" t="s">
        <v>520</v>
      </c>
      <c r="W39" s="190" t="s">
        <v>518</v>
      </c>
      <c r="X39" s="190" t="s">
        <v>719</v>
      </c>
      <c r="Y39" s="190" t="s">
        <v>625</v>
      </c>
      <c r="Z39" s="190" t="s">
        <v>622</v>
      </c>
    </row>
    <row r="40" spans="1:26" x14ac:dyDescent="0.2">
      <c r="A40" s="190" t="s">
        <v>510</v>
      </c>
      <c r="B40" s="190" t="s">
        <v>511</v>
      </c>
      <c r="C40" s="190" t="s">
        <v>715</v>
      </c>
      <c r="D40" s="190" t="s">
        <v>544</v>
      </c>
      <c r="E40" s="190" t="s">
        <v>512</v>
      </c>
      <c r="F40" s="190" t="s">
        <v>716</v>
      </c>
      <c r="G40" s="190" t="s">
        <v>593</v>
      </c>
      <c r="H40" s="190" t="s">
        <v>233</v>
      </c>
      <c r="I40" s="191">
        <v>1075000</v>
      </c>
      <c r="J40" s="190" t="s">
        <v>513</v>
      </c>
      <c r="K40" s="190" t="s">
        <v>514</v>
      </c>
      <c r="L40" s="190" t="s">
        <v>515</v>
      </c>
      <c r="M40" s="190" t="s">
        <v>516</v>
      </c>
      <c r="N40" s="190" t="s">
        <v>715</v>
      </c>
      <c r="O40" s="190" t="s">
        <v>517</v>
      </c>
      <c r="P40" s="190" t="s">
        <v>717</v>
      </c>
      <c r="Q40" s="190" t="s">
        <v>518</v>
      </c>
      <c r="R40" s="190" t="s">
        <v>518</v>
      </c>
      <c r="S40" s="190" t="s">
        <v>519</v>
      </c>
      <c r="T40" s="190" t="s">
        <v>622</v>
      </c>
      <c r="U40" s="190" t="s">
        <v>718</v>
      </c>
      <c r="V40" s="190" t="s">
        <v>520</v>
      </c>
      <c r="W40" s="190" t="s">
        <v>518</v>
      </c>
      <c r="X40" s="190" t="s">
        <v>719</v>
      </c>
      <c r="Y40" s="190" t="s">
        <v>625</v>
      </c>
      <c r="Z40" s="190" t="s">
        <v>622</v>
      </c>
    </row>
    <row r="41" spans="1:26" x14ac:dyDescent="0.2">
      <c r="A41" s="190" t="s">
        <v>510</v>
      </c>
      <c r="B41" s="190" t="s">
        <v>511</v>
      </c>
      <c r="C41" s="190" t="s">
        <v>572</v>
      </c>
      <c r="D41" s="190" t="s">
        <v>544</v>
      </c>
      <c r="E41" s="190" t="s">
        <v>512</v>
      </c>
      <c r="F41" s="190" t="s">
        <v>727</v>
      </c>
      <c r="G41" s="190" t="s">
        <v>593</v>
      </c>
      <c r="H41" s="190" t="s">
        <v>233</v>
      </c>
      <c r="I41" s="191">
        <v>282407.12</v>
      </c>
      <c r="J41" s="190" t="s">
        <v>513</v>
      </c>
      <c r="K41" s="190" t="s">
        <v>514</v>
      </c>
      <c r="L41" s="190" t="s">
        <v>627</v>
      </c>
      <c r="M41" s="190" t="s">
        <v>530</v>
      </c>
      <c r="N41" s="190" t="s">
        <v>518</v>
      </c>
      <c r="O41" s="190" t="s">
        <v>518</v>
      </c>
      <c r="P41" s="190" t="s">
        <v>628</v>
      </c>
      <c r="Q41" s="190" t="s">
        <v>518</v>
      </c>
      <c r="R41" s="190" t="s">
        <v>518</v>
      </c>
      <c r="S41" s="190" t="s">
        <v>519</v>
      </c>
      <c r="T41" s="190" t="s">
        <v>571</v>
      </c>
      <c r="U41" s="190" t="s">
        <v>518</v>
      </c>
      <c r="V41" s="190" t="s">
        <v>556</v>
      </c>
      <c r="W41" s="190" t="s">
        <v>518</v>
      </c>
      <c r="X41" s="190" t="s">
        <v>518</v>
      </c>
      <c r="Y41" s="190" t="s">
        <v>629</v>
      </c>
    </row>
    <row r="42" spans="1:26" x14ac:dyDescent="0.2">
      <c r="A42" s="190" t="s">
        <v>510</v>
      </c>
      <c r="B42" s="190" t="s">
        <v>511</v>
      </c>
      <c r="C42" s="190" t="s">
        <v>728</v>
      </c>
      <c r="D42" s="190" t="s">
        <v>544</v>
      </c>
      <c r="E42" s="190" t="s">
        <v>512</v>
      </c>
      <c r="F42" s="190" t="s">
        <v>729</v>
      </c>
      <c r="G42" s="190" t="s">
        <v>593</v>
      </c>
      <c r="H42" s="190" t="s">
        <v>528</v>
      </c>
      <c r="I42" s="191">
        <v>-41593.43</v>
      </c>
      <c r="J42" s="190" t="s">
        <v>513</v>
      </c>
      <c r="K42" s="190" t="s">
        <v>514</v>
      </c>
      <c r="L42" s="190" t="s">
        <v>515</v>
      </c>
      <c r="M42" s="190" t="s">
        <v>516</v>
      </c>
      <c r="N42" s="190" t="s">
        <v>728</v>
      </c>
      <c r="O42" s="190" t="s">
        <v>517</v>
      </c>
      <c r="P42" s="190" t="s">
        <v>730</v>
      </c>
      <c r="Q42" s="190" t="s">
        <v>518</v>
      </c>
      <c r="R42" s="190" t="s">
        <v>518</v>
      </c>
      <c r="S42" s="190" t="s">
        <v>519</v>
      </c>
      <c r="T42" s="190" t="s">
        <v>518</v>
      </c>
      <c r="U42" s="190" t="s">
        <v>731</v>
      </c>
      <c r="V42" s="190" t="s">
        <v>529</v>
      </c>
      <c r="W42" s="190" t="s">
        <v>518</v>
      </c>
      <c r="X42" s="190" t="s">
        <v>732</v>
      </c>
      <c r="Y42" s="190" t="s">
        <v>521</v>
      </c>
    </row>
    <row r="43" spans="1:26" x14ac:dyDescent="0.2">
      <c r="A43" s="190" t="s">
        <v>510</v>
      </c>
      <c r="B43" s="190" t="s">
        <v>511</v>
      </c>
      <c r="C43" s="190" t="s">
        <v>733</v>
      </c>
      <c r="D43" s="190" t="s">
        <v>544</v>
      </c>
      <c r="E43" s="190" t="s">
        <v>512</v>
      </c>
      <c r="F43" s="190" t="s">
        <v>734</v>
      </c>
      <c r="G43" s="190" t="s">
        <v>593</v>
      </c>
      <c r="H43" s="190" t="s">
        <v>233</v>
      </c>
      <c r="I43" s="191">
        <v>4222900.04</v>
      </c>
      <c r="J43" s="190" t="s">
        <v>513</v>
      </c>
      <c r="K43" s="190" t="s">
        <v>514</v>
      </c>
      <c r="L43" s="190" t="s">
        <v>515</v>
      </c>
      <c r="M43" s="190" t="s">
        <v>516</v>
      </c>
      <c r="N43" s="190" t="s">
        <v>735</v>
      </c>
      <c r="O43" s="190" t="s">
        <v>517</v>
      </c>
      <c r="P43" s="190" t="s">
        <v>736</v>
      </c>
      <c r="Q43" s="190" t="s">
        <v>518</v>
      </c>
      <c r="R43" s="190" t="s">
        <v>518</v>
      </c>
      <c r="S43" s="190" t="s">
        <v>519</v>
      </c>
      <c r="T43" s="190" t="s">
        <v>518</v>
      </c>
      <c r="U43" s="190" t="s">
        <v>737</v>
      </c>
      <c r="V43" s="190" t="s">
        <v>520</v>
      </c>
      <c r="W43" s="190" t="s">
        <v>518</v>
      </c>
      <c r="X43" s="190" t="s">
        <v>585</v>
      </c>
      <c r="Y43" s="190" t="s">
        <v>521</v>
      </c>
    </row>
    <row r="44" spans="1:26" x14ac:dyDescent="0.2">
      <c r="A44" s="190" t="s">
        <v>510</v>
      </c>
      <c r="B44" s="190" t="s">
        <v>511</v>
      </c>
      <c r="C44" s="190" t="s">
        <v>558</v>
      </c>
      <c r="D44" s="190" t="s">
        <v>544</v>
      </c>
      <c r="E44" s="190" t="s">
        <v>512</v>
      </c>
      <c r="F44" s="190" t="s">
        <v>738</v>
      </c>
      <c r="G44" s="190" t="s">
        <v>593</v>
      </c>
      <c r="H44" s="190" t="s">
        <v>528</v>
      </c>
      <c r="I44" s="191">
        <v>-138000</v>
      </c>
      <c r="J44" s="190" t="s">
        <v>513</v>
      </c>
      <c r="K44" s="190" t="s">
        <v>514</v>
      </c>
      <c r="L44" s="190" t="s">
        <v>515</v>
      </c>
      <c r="M44" s="190" t="s">
        <v>516</v>
      </c>
      <c r="N44" s="190" t="s">
        <v>558</v>
      </c>
      <c r="O44" s="190" t="s">
        <v>517</v>
      </c>
      <c r="P44" s="190" t="s">
        <v>739</v>
      </c>
      <c r="Q44" s="190" t="s">
        <v>518</v>
      </c>
      <c r="R44" s="190" t="s">
        <v>518</v>
      </c>
      <c r="S44" s="190" t="s">
        <v>519</v>
      </c>
      <c r="T44" s="190" t="s">
        <v>518</v>
      </c>
      <c r="U44" s="190" t="s">
        <v>740</v>
      </c>
      <c r="V44" s="190" t="s">
        <v>529</v>
      </c>
      <c r="W44" s="190" t="s">
        <v>518</v>
      </c>
      <c r="X44" s="190" t="s">
        <v>741</v>
      </c>
      <c r="Y44" s="190" t="s">
        <v>521</v>
      </c>
    </row>
    <row r="45" spans="1:26" x14ac:dyDescent="0.2">
      <c r="A45" s="190" t="s">
        <v>510</v>
      </c>
      <c r="B45" s="190" t="s">
        <v>511</v>
      </c>
      <c r="C45" s="190" t="s">
        <v>753</v>
      </c>
      <c r="D45" s="190" t="s">
        <v>544</v>
      </c>
      <c r="E45" s="190" t="s">
        <v>512</v>
      </c>
      <c r="F45" s="190" t="s">
        <v>754</v>
      </c>
      <c r="G45" s="190" t="s">
        <v>593</v>
      </c>
      <c r="H45" s="190" t="s">
        <v>233</v>
      </c>
      <c r="I45" s="191">
        <v>125643.36</v>
      </c>
      <c r="J45" s="190" t="s">
        <v>513</v>
      </c>
      <c r="K45" s="190" t="s">
        <v>514</v>
      </c>
      <c r="L45" s="190" t="s">
        <v>627</v>
      </c>
      <c r="M45" s="190" t="s">
        <v>530</v>
      </c>
      <c r="N45" s="190" t="s">
        <v>518</v>
      </c>
      <c r="O45" s="190" t="s">
        <v>518</v>
      </c>
      <c r="P45" s="190" t="s">
        <v>628</v>
      </c>
      <c r="Q45" s="190" t="s">
        <v>518</v>
      </c>
      <c r="R45" s="190" t="s">
        <v>518</v>
      </c>
      <c r="S45" s="190" t="s">
        <v>519</v>
      </c>
      <c r="T45" s="190" t="s">
        <v>571</v>
      </c>
      <c r="U45" s="190" t="s">
        <v>518</v>
      </c>
      <c r="V45" s="190" t="s">
        <v>556</v>
      </c>
      <c r="W45" s="190" t="s">
        <v>518</v>
      </c>
      <c r="X45" s="190" t="s">
        <v>518</v>
      </c>
      <c r="Y45" s="190" t="s">
        <v>629</v>
      </c>
    </row>
    <row r="46" spans="1:26" x14ac:dyDescent="0.2">
      <c r="A46" s="190" t="s">
        <v>510</v>
      </c>
      <c r="B46" s="190" t="s">
        <v>511</v>
      </c>
      <c r="C46" s="190" t="s">
        <v>580</v>
      </c>
      <c r="D46" s="190" t="s">
        <v>544</v>
      </c>
      <c r="E46" s="190" t="s">
        <v>512</v>
      </c>
      <c r="F46" s="190" t="s">
        <v>755</v>
      </c>
      <c r="G46" s="190" t="s">
        <v>593</v>
      </c>
      <c r="H46" s="190" t="s">
        <v>233</v>
      </c>
      <c r="I46" s="191">
        <v>495640.24</v>
      </c>
      <c r="J46" s="190" t="s">
        <v>513</v>
      </c>
      <c r="K46" s="190" t="s">
        <v>514</v>
      </c>
      <c r="L46" s="190" t="s">
        <v>627</v>
      </c>
      <c r="M46" s="190" t="s">
        <v>530</v>
      </c>
      <c r="N46" s="190" t="s">
        <v>518</v>
      </c>
      <c r="O46" s="190" t="s">
        <v>518</v>
      </c>
      <c r="P46" s="190" t="s">
        <v>640</v>
      </c>
      <c r="Q46" s="190" t="s">
        <v>518</v>
      </c>
      <c r="R46" s="190" t="s">
        <v>518</v>
      </c>
      <c r="S46" s="190" t="s">
        <v>519</v>
      </c>
      <c r="T46" s="190" t="s">
        <v>571</v>
      </c>
      <c r="U46" s="190" t="s">
        <v>518</v>
      </c>
      <c r="V46" s="190" t="s">
        <v>556</v>
      </c>
      <c r="W46" s="190" t="s">
        <v>518</v>
      </c>
      <c r="X46" s="190" t="s">
        <v>518</v>
      </c>
      <c r="Y46" s="190" t="s">
        <v>629</v>
      </c>
    </row>
    <row r="47" spans="1:26" x14ac:dyDescent="0.2">
      <c r="A47" s="190" t="s">
        <v>510</v>
      </c>
      <c r="B47" s="190" t="s">
        <v>511</v>
      </c>
      <c r="C47" s="190" t="s">
        <v>742</v>
      </c>
      <c r="D47" s="190" t="s">
        <v>544</v>
      </c>
      <c r="E47" s="190" t="s">
        <v>512</v>
      </c>
      <c r="F47" s="190" t="s">
        <v>743</v>
      </c>
      <c r="G47" s="190" t="s">
        <v>593</v>
      </c>
      <c r="H47" s="190" t="s">
        <v>233</v>
      </c>
      <c r="I47" s="191">
        <v>18647.599999999999</v>
      </c>
      <c r="J47" s="190" t="s">
        <v>513</v>
      </c>
      <c r="K47" s="190" t="s">
        <v>514</v>
      </c>
      <c r="L47" s="190" t="s">
        <v>515</v>
      </c>
      <c r="M47" s="190" t="s">
        <v>516</v>
      </c>
      <c r="N47" s="190" t="s">
        <v>547</v>
      </c>
      <c r="O47" s="190" t="s">
        <v>517</v>
      </c>
      <c r="P47" s="190" t="s">
        <v>614</v>
      </c>
      <c r="Q47" s="190" t="s">
        <v>518</v>
      </c>
      <c r="R47" s="190" t="s">
        <v>518</v>
      </c>
      <c r="S47" s="190" t="s">
        <v>519</v>
      </c>
      <c r="T47" s="190" t="s">
        <v>615</v>
      </c>
      <c r="U47" s="190" t="s">
        <v>744</v>
      </c>
      <c r="V47" s="190" t="s">
        <v>520</v>
      </c>
      <c r="W47" s="190" t="s">
        <v>518</v>
      </c>
      <c r="X47" s="190" t="s">
        <v>617</v>
      </c>
      <c r="Y47" s="190" t="s">
        <v>618</v>
      </c>
      <c r="Z47" s="190" t="s">
        <v>615</v>
      </c>
    </row>
    <row r="48" spans="1:26" x14ac:dyDescent="0.2">
      <c r="A48" s="190" t="s">
        <v>510</v>
      </c>
      <c r="B48" s="190" t="s">
        <v>511</v>
      </c>
      <c r="C48" s="190" t="s">
        <v>745</v>
      </c>
      <c r="D48" s="190" t="s">
        <v>544</v>
      </c>
      <c r="E48" s="190" t="s">
        <v>512</v>
      </c>
      <c r="F48" s="190" t="s">
        <v>746</v>
      </c>
      <c r="G48" s="190" t="s">
        <v>593</v>
      </c>
      <c r="H48" s="190" t="s">
        <v>233</v>
      </c>
      <c r="I48" s="191">
        <v>157.57</v>
      </c>
      <c r="J48" s="190" t="s">
        <v>513</v>
      </c>
      <c r="K48" s="190" t="s">
        <v>514</v>
      </c>
      <c r="L48" s="190" t="s">
        <v>515</v>
      </c>
      <c r="M48" s="190" t="s">
        <v>516</v>
      </c>
      <c r="N48" s="190" t="s">
        <v>547</v>
      </c>
      <c r="O48" s="190" t="s">
        <v>517</v>
      </c>
      <c r="P48" s="190" t="s">
        <v>614</v>
      </c>
      <c r="Q48" s="190" t="s">
        <v>518</v>
      </c>
      <c r="R48" s="190" t="s">
        <v>518</v>
      </c>
      <c r="S48" s="190" t="s">
        <v>519</v>
      </c>
      <c r="T48" s="190" t="s">
        <v>615</v>
      </c>
      <c r="U48" s="190" t="s">
        <v>747</v>
      </c>
      <c r="V48" s="190" t="s">
        <v>520</v>
      </c>
      <c r="W48" s="190" t="s">
        <v>518</v>
      </c>
      <c r="X48" s="190" t="s">
        <v>617</v>
      </c>
      <c r="Y48" s="190" t="s">
        <v>618</v>
      </c>
      <c r="Z48" s="190" t="s">
        <v>615</v>
      </c>
    </row>
    <row r="49" spans="1:25" x14ac:dyDescent="0.2">
      <c r="A49" s="190" t="s">
        <v>510</v>
      </c>
      <c r="B49" s="190" t="s">
        <v>511</v>
      </c>
      <c r="C49" s="190" t="s">
        <v>748</v>
      </c>
      <c r="D49" s="190" t="s">
        <v>544</v>
      </c>
      <c r="E49" s="190" t="s">
        <v>512</v>
      </c>
      <c r="F49" s="190" t="s">
        <v>749</v>
      </c>
      <c r="G49" s="190" t="s">
        <v>593</v>
      </c>
      <c r="H49" s="190" t="s">
        <v>233</v>
      </c>
      <c r="I49" s="191">
        <v>4812430.88</v>
      </c>
      <c r="J49" s="190" t="s">
        <v>513</v>
      </c>
      <c r="K49" s="190" t="s">
        <v>514</v>
      </c>
      <c r="L49" s="190" t="s">
        <v>515</v>
      </c>
      <c r="M49" s="190" t="s">
        <v>530</v>
      </c>
      <c r="N49" s="190" t="s">
        <v>518</v>
      </c>
      <c r="O49" s="190" t="s">
        <v>518</v>
      </c>
      <c r="P49" s="190" t="s">
        <v>607</v>
      </c>
      <c r="Q49" s="190" t="s">
        <v>518</v>
      </c>
      <c r="R49" s="190" t="s">
        <v>518</v>
      </c>
      <c r="S49" s="190" t="s">
        <v>519</v>
      </c>
      <c r="T49" s="190" t="s">
        <v>518</v>
      </c>
      <c r="U49" s="190" t="s">
        <v>518</v>
      </c>
      <c r="V49" s="190" t="s">
        <v>556</v>
      </c>
      <c r="W49" s="190" t="s">
        <v>518</v>
      </c>
      <c r="X49" s="190" t="s">
        <v>518</v>
      </c>
      <c r="Y49" s="190" t="s">
        <v>608</v>
      </c>
    </row>
    <row r="50" spans="1:25" x14ac:dyDescent="0.2">
      <c r="A50" s="190" t="s">
        <v>510</v>
      </c>
      <c r="B50" s="190" t="s">
        <v>511</v>
      </c>
      <c r="C50" s="190" t="s">
        <v>681</v>
      </c>
      <c r="D50" s="190" t="s">
        <v>544</v>
      </c>
      <c r="E50" s="190" t="s">
        <v>512</v>
      </c>
      <c r="F50" s="190" t="s">
        <v>750</v>
      </c>
      <c r="G50" s="190" t="s">
        <v>593</v>
      </c>
      <c r="H50" s="190" t="s">
        <v>233</v>
      </c>
      <c r="I50" s="191">
        <v>638721.04</v>
      </c>
      <c r="J50" s="190" t="s">
        <v>513</v>
      </c>
      <c r="K50" s="190" t="s">
        <v>514</v>
      </c>
      <c r="L50" s="190" t="s">
        <v>515</v>
      </c>
      <c r="M50" s="190" t="s">
        <v>530</v>
      </c>
      <c r="N50" s="190" t="s">
        <v>518</v>
      </c>
      <c r="O50" s="190" t="s">
        <v>518</v>
      </c>
      <c r="P50" s="190" t="s">
        <v>607</v>
      </c>
      <c r="Q50" s="190" t="s">
        <v>518</v>
      </c>
      <c r="R50" s="190" t="s">
        <v>518</v>
      </c>
      <c r="S50" s="190" t="s">
        <v>519</v>
      </c>
      <c r="T50" s="190" t="s">
        <v>518</v>
      </c>
      <c r="U50" s="190" t="s">
        <v>518</v>
      </c>
      <c r="V50" s="190" t="s">
        <v>556</v>
      </c>
      <c r="W50" s="190" t="s">
        <v>518</v>
      </c>
      <c r="X50" s="190" t="s">
        <v>518</v>
      </c>
      <c r="Y50" s="190" t="s">
        <v>608</v>
      </c>
    </row>
    <row r="51" spans="1:25" x14ac:dyDescent="0.2">
      <c r="A51" s="190" t="s">
        <v>510</v>
      </c>
      <c r="B51" s="190" t="s">
        <v>511</v>
      </c>
      <c r="C51" s="190" t="s">
        <v>751</v>
      </c>
      <c r="D51" s="190" t="s">
        <v>544</v>
      </c>
      <c r="E51" s="190" t="s">
        <v>512</v>
      </c>
      <c r="F51" s="190" t="s">
        <v>752</v>
      </c>
      <c r="G51" s="190" t="s">
        <v>593</v>
      </c>
      <c r="H51" s="190" t="s">
        <v>233</v>
      </c>
      <c r="I51" s="191">
        <v>719603.28</v>
      </c>
      <c r="J51" s="190" t="s">
        <v>513</v>
      </c>
      <c r="K51" s="190" t="s">
        <v>514</v>
      </c>
      <c r="L51" s="190" t="s">
        <v>515</v>
      </c>
      <c r="M51" s="190" t="s">
        <v>530</v>
      </c>
      <c r="N51" s="190" t="s">
        <v>518</v>
      </c>
      <c r="O51" s="190" t="s">
        <v>518</v>
      </c>
      <c r="P51" s="190" t="s">
        <v>607</v>
      </c>
      <c r="Q51" s="190" t="s">
        <v>518</v>
      </c>
      <c r="R51" s="190" t="s">
        <v>518</v>
      </c>
      <c r="S51" s="190" t="s">
        <v>519</v>
      </c>
      <c r="T51" s="190" t="s">
        <v>518</v>
      </c>
      <c r="U51" s="190" t="s">
        <v>518</v>
      </c>
      <c r="V51" s="190" t="s">
        <v>556</v>
      </c>
      <c r="W51" s="190" t="s">
        <v>518</v>
      </c>
      <c r="X51" s="190" t="s">
        <v>518</v>
      </c>
      <c r="Y51" s="190" t="s">
        <v>608</v>
      </c>
    </row>
    <row r="52" spans="1:25" x14ac:dyDescent="0.2">
      <c r="A52" s="190" t="s">
        <v>522</v>
      </c>
      <c r="B52" s="190" t="s">
        <v>531</v>
      </c>
      <c r="C52" s="190" t="s">
        <v>550</v>
      </c>
      <c r="D52" s="190" t="s">
        <v>544</v>
      </c>
      <c r="E52" s="190" t="s">
        <v>523</v>
      </c>
      <c r="F52" s="190" t="s">
        <v>762</v>
      </c>
      <c r="G52" s="190" t="s">
        <v>593</v>
      </c>
      <c r="H52" s="190" t="s">
        <v>524</v>
      </c>
      <c r="I52" s="191">
        <v>369071308.61000001</v>
      </c>
      <c r="J52" s="190" t="s">
        <v>513</v>
      </c>
      <c r="K52" s="190" t="s">
        <v>514</v>
      </c>
      <c r="L52" s="190" t="s">
        <v>515</v>
      </c>
      <c r="M52" s="190" t="s">
        <v>525</v>
      </c>
      <c r="N52" s="190" t="s">
        <v>518</v>
      </c>
      <c r="O52" s="190" t="s">
        <v>518</v>
      </c>
      <c r="P52" s="190" t="s">
        <v>760</v>
      </c>
      <c r="Q52" s="190" t="s">
        <v>546</v>
      </c>
      <c r="R52" s="190" t="s">
        <v>518</v>
      </c>
      <c r="S52" s="190" t="s">
        <v>526</v>
      </c>
      <c r="T52" s="190" t="s">
        <v>518</v>
      </c>
      <c r="U52" s="190" t="s">
        <v>763</v>
      </c>
      <c r="V52" s="190" t="s">
        <v>527</v>
      </c>
      <c r="W52" s="190" t="s">
        <v>546</v>
      </c>
    </row>
    <row r="53" spans="1:25" x14ac:dyDescent="0.2">
      <c r="A53" s="190" t="s">
        <v>522</v>
      </c>
      <c r="B53" s="190" t="s">
        <v>531</v>
      </c>
      <c r="C53" s="190" t="s">
        <v>551</v>
      </c>
      <c r="D53" s="190" t="s">
        <v>544</v>
      </c>
      <c r="E53" s="190" t="s">
        <v>523</v>
      </c>
      <c r="F53" s="190" t="s">
        <v>764</v>
      </c>
      <c r="G53" s="190" t="s">
        <v>593</v>
      </c>
      <c r="H53" s="190" t="s">
        <v>233</v>
      </c>
      <c r="I53" s="191">
        <v>21090517.010000002</v>
      </c>
      <c r="J53" s="190" t="s">
        <v>513</v>
      </c>
      <c r="K53" s="190" t="s">
        <v>514</v>
      </c>
      <c r="L53" s="190" t="s">
        <v>515</v>
      </c>
      <c r="M53" s="190" t="s">
        <v>540</v>
      </c>
      <c r="N53" s="190" t="s">
        <v>518</v>
      </c>
      <c r="O53" s="190" t="s">
        <v>541</v>
      </c>
      <c r="P53" s="190" t="s">
        <v>757</v>
      </c>
      <c r="Q53" s="190" t="s">
        <v>546</v>
      </c>
      <c r="R53" s="190" t="s">
        <v>518</v>
      </c>
      <c r="S53" s="190" t="s">
        <v>526</v>
      </c>
      <c r="T53" s="190" t="s">
        <v>518</v>
      </c>
      <c r="U53" s="190" t="s">
        <v>765</v>
      </c>
      <c r="V53" s="190" t="s">
        <v>542</v>
      </c>
      <c r="W53" s="190" t="s">
        <v>546</v>
      </c>
    </row>
    <row r="54" spans="1:25" x14ac:dyDescent="0.2">
      <c r="A54" s="190" t="s">
        <v>522</v>
      </c>
      <c r="B54" s="190" t="s">
        <v>531</v>
      </c>
      <c r="C54" s="190" t="s">
        <v>550</v>
      </c>
      <c r="D54" s="190" t="s">
        <v>544</v>
      </c>
      <c r="E54" s="190" t="s">
        <v>523</v>
      </c>
      <c r="F54" s="190" t="s">
        <v>756</v>
      </c>
      <c r="G54" s="190" t="s">
        <v>593</v>
      </c>
      <c r="H54" s="190" t="s">
        <v>233</v>
      </c>
      <c r="I54" s="191">
        <v>29581692.440000001</v>
      </c>
      <c r="J54" s="190" t="s">
        <v>513</v>
      </c>
      <c r="K54" s="190" t="s">
        <v>514</v>
      </c>
      <c r="L54" s="190" t="s">
        <v>515</v>
      </c>
      <c r="M54" s="190" t="s">
        <v>540</v>
      </c>
      <c r="N54" s="190" t="s">
        <v>518</v>
      </c>
      <c r="O54" s="190" t="s">
        <v>541</v>
      </c>
      <c r="P54" s="190" t="s">
        <v>757</v>
      </c>
      <c r="Q54" s="190" t="s">
        <v>546</v>
      </c>
      <c r="R54" s="190" t="s">
        <v>518</v>
      </c>
      <c r="S54" s="190" t="s">
        <v>526</v>
      </c>
      <c r="T54" s="190" t="s">
        <v>518</v>
      </c>
      <c r="U54" s="190" t="s">
        <v>758</v>
      </c>
      <c r="V54" s="190" t="s">
        <v>542</v>
      </c>
      <c r="W54" s="190" t="s">
        <v>546</v>
      </c>
    </row>
    <row r="55" spans="1:25" x14ac:dyDescent="0.2">
      <c r="A55" s="190" t="s">
        <v>522</v>
      </c>
      <c r="B55" s="190" t="s">
        <v>531</v>
      </c>
      <c r="C55" s="190" t="s">
        <v>550</v>
      </c>
      <c r="D55" s="190" t="s">
        <v>544</v>
      </c>
      <c r="E55" s="190" t="s">
        <v>523</v>
      </c>
      <c r="F55" s="190" t="s">
        <v>759</v>
      </c>
      <c r="G55" s="190" t="s">
        <v>593</v>
      </c>
      <c r="H55" s="190" t="s">
        <v>524</v>
      </c>
      <c r="I55" s="191">
        <v>29587263.059999999</v>
      </c>
      <c r="J55" s="190" t="s">
        <v>513</v>
      </c>
      <c r="K55" s="190" t="s">
        <v>514</v>
      </c>
      <c r="L55" s="190" t="s">
        <v>515</v>
      </c>
      <c r="M55" s="190" t="s">
        <v>525</v>
      </c>
      <c r="N55" s="190" t="s">
        <v>518</v>
      </c>
      <c r="O55" s="190" t="s">
        <v>518</v>
      </c>
      <c r="P55" s="190" t="s">
        <v>760</v>
      </c>
      <c r="Q55" s="190" t="s">
        <v>546</v>
      </c>
      <c r="R55" s="190" t="s">
        <v>518</v>
      </c>
      <c r="S55" s="190" t="s">
        <v>526</v>
      </c>
      <c r="T55" s="190" t="s">
        <v>518</v>
      </c>
      <c r="U55" s="190" t="s">
        <v>761</v>
      </c>
      <c r="V55" s="190" t="s">
        <v>527</v>
      </c>
      <c r="W55" s="190" t="s">
        <v>546</v>
      </c>
    </row>
    <row r="56" spans="1:25" x14ac:dyDescent="0.2">
      <c r="A56" s="190" t="s">
        <v>510</v>
      </c>
      <c r="B56" s="190" t="s">
        <v>531</v>
      </c>
      <c r="C56" s="190" t="s">
        <v>766</v>
      </c>
      <c r="D56" s="190" t="s">
        <v>544</v>
      </c>
      <c r="E56" s="190" t="s">
        <v>512</v>
      </c>
      <c r="F56" s="190" t="s">
        <v>767</v>
      </c>
      <c r="G56" s="190" t="s">
        <v>593</v>
      </c>
      <c r="H56" s="190" t="s">
        <v>233</v>
      </c>
      <c r="I56" s="191">
        <v>1342934.68</v>
      </c>
      <c r="J56" s="190" t="s">
        <v>513</v>
      </c>
      <c r="K56" s="190" t="s">
        <v>514</v>
      </c>
      <c r="L56" s="190" t="s">
        <v>515</v>
      </c>
      <c r="M56" s="190" t="s">
        <v>540</v>
      </c>
      <c r="N56" s="190" t="s">
        <v>518</v>
      </c>
      <c r="O56" s="190" t="s">
        <v>518</v>
      </c>
      <c r="P56" s="190" t="s">
        <v>768</v>
      </c>
      <c r="Q56" s="190" t="s">
        <v>518</v>
      </c>
      <c r="R56" s="190" t="s">
        <v>518</v>
      </c>
      <c r="S56" s="190" t="s">
        <v>519</v>
      </c>
      <c r="T56" s="190" t="s">
        <v>338</v>
      </c>
      <c r="U56" s="190" t="s">
        <v>518</v>
      </c>
      <c r="V56" s="190" t="s">
        <v>769</v>
      </c>
      <c r="W56" s="190" t="s">
        <v>518</v>
      </c>
      <c r="X56" s="190" t="s">
        <v>518</v>
      </c>
      <c r="Y56" s="190" t="s">
        <v>770</v>
      </c>
    </row>
    <row r="57" spans="1:25" x14ac:dyDescent="0.2">
      <c r="A57" s="190" t="s">
        <v>522</v>
      </c>
      <c r="B57" s="190" t="s">
        <v>531</v>
      </c>
      <c r="C57" s="190" t="s">
        <v>550</v>
      </c>
      <c r="D57" s="190" t="s">
        <v>544</v>
      </c>
      <c r="E57" s="190" t="s">
        <v>523</v>
      </c>
      <c r="F57" s="190" t="s">
        <v>771</v>
      </c>
      <c r="G57" s="190" t="s">
        <v>593</v>
      </c>
      <c r="H57" s="190" t="s">
        <v>233</v>
      </c>
      <c r="I57" s="191">
        <v>13461679.68</v>
      </c>
      <c r="J57" s="190" t="s">
        <v>513</v>
      </c>
      <c r="K57" s="190" t="s">
        <v>514</v>
      </c>
      <c r="L57" s="190" t="s">
        <v>515</v>
      </c>
      <c r="M57" s="190" t="s">
        <v>540</v>
      </c>
      <c r="N57" s="190" t="s">
        <v>518</v>
      </c>
      <c r="O57" s="190" t="s">
        <v>541</v>
      </c>
      <c r="P57" s="190" t="s">
        <v>757</v>
      </c>
      <c r="Q57" s="190" t="s">
        <v>546</v>
      </c>
      <c r="R57" s="190" t="s">
        <v>518</v>
      </c>
      <c r="S57" s="190" t="s">
        <v>526</v>
      </c>
      <c r="T57" s="190" t="s">
        <v>518</v>
      </c>
      <c r="U57" s="190" t="s">
        <v>772</v>
      </c>
      <c r="V57" s="190" t="s">
        <v>542</v>
      </c>
      <c r="W57" s="190" t="s">
        <v>546</v>
      </c>
    </row>
    <row r="58" spans="1:25" x14ac:dyDescent="0.2">
      <c r="A58" s="190" t="s">
        <v>522</v>
      </c>
      <c r="B58" s="190" t="s">
        <v>531</v>
      </c>
      <c r="C58" s="190" t="s">
        <v>550</v>
      </c>
      <c r="D58" s="190" t="s">
        <v>544</v>
      </c>
      <c r="E58" s="190" t="s">
        <v>523</v>
      </c>
      <c r="F58" s="190" t="s">
        <v>773</v>
      </c>
      <c r="G58" s="190" t="s">
        <v>593</v>
      </c>
      <c r="H58" s="190" t="s">
        <v>524</v>
      </c>
      <c r="I58" s="191">
        <v>24499661.579999998</v>
      </c>
      <c r="J58" s="190" t="s">
        <v>513</v>
      </c>
      <c r="K58" s="190" t="s">
        <v>514</v>
      </c>
      <c r="L58" s="190" t="s">
        <v>515</v>
      </c>
      <c r="M58" s="190" t="s">
        <v>525</v>
      </c>
      <c r="N58" s="190" t="s">
        <v>518</v>
      </c>
      <c r="O58" s="190" t="s">
        <v>518</v>
      </c>
      <c r="P58" s="190" t="s">
        <v>760</v>
      </c>
      <c r="Q58" s="190" t="s">
        <v>546</v>
      </c>
      <c r="R58" s="190" t="s">
        <v>518</v>
      </c>
      <c r="S58" s="190" t="s">
        <v>526</v>
      </c>
      <c r="T58" s="190" t="s">
        <v>518</v>
      </c>
      <c r="U58" s="190" t="s">
        <v>774</v>
      </c>
      <c r="V58" s="190" t="s">
        <v>527</v>
      </c>
      <c r="W58" s="190" t="s">
        <v>546</v>
      </c>
    </row>
    <row r="59" spans="1:25" x14ac:dyDescent="0.2">
      <c r="A59" s="190" t="s">
        <v>522</v>
      </c>
      <c r="B59" s="190" t="s">
        <v>531</v>
      </c>
      <c r="C59" s="190" t="s">
        <v>550</v>
      </c>
      <c r="D59" s="190" t="s">
        <v>544</v>
      </c>
      <c r="E59" s="190" t="s">
        <v>523</v>
      </c>
      <c r="F59" s="190" t="s">
        <v>775</v>
      </c>
      <c r="G59" s="190" t="s">
        <v>593</v>
      </c>
      <c r="H59" s="190" t="s">
        <v>524</v>
      </c>
      <c r="I59" s="191">
        <v>516517886.82999998</v>
      </c>
      <c r="J59" s="190" t="s">
        <v>513</v>
      </c>
      <c r="K59" s="190" t="s">
        <v>514</v>
      </c>
      <c r="L59" s="190" t="s">
        <v>515</v>
      </c>
      <c r="M59" s="190" t="s">
        <v>525</v>
      </c>
      <c r="N59" s="190" t="s">
        <v>518</v>
      </c>
      <c r="O59" s="190" t="s">
        <v>518</v>
      </c>
      <c r="P59" s="190" t="s">
        <v>760</v>
      </c>
      <c r="Q59" s="190" t="s">
        <v>546</v>
      </c>
      <c r="R59" s="190" t="s">
        <v>518</v>
      </c>
      <c r="S59" s="190" t="s">
        <v>526</v>
      </c>
      <c r="T59" s="190" t="s">
        <v>518</v>
      </c>
      <c r="U59" s="190" t="s">
        <v>776</v>
      </c>
      <c r="V59" s="190" t="s">
        <v>527</v>
      </c>
      <c r="W59" s="190" t="s">
        <v>546</v>
      </c>
    </row>
    <row r="60" spans="1:25" x14ac:dyDescent="0.2">
      <c r="A60" s="190" t="s">
        <v>522</v>
      </c>
      <c r="B60" s="190" t="s">
        <v>531</v>
      </c>
      <c r="C60" s="190" t="s">
        <v>550</v>
      </c>
      <c r="D60" s="190" t="s">
        <v>544</v>
      </c>
      <c r="E60" s="190" t="s">
        <v>523</v>
      </c>
      <c r="F60" s="190" t="s">
        <v>777</v>
      </c>
      <c r="G60" s="190" t="s">
        <v>593</v>
      </c>
      <c r="H60" s="190" t="s">
        <v>233</v>
      </c>
      <c r="I60" s="191">
        <v>414978184.04000002</v>
      </c>
      <c r="J60" s="190" t="s">
        <v>513</v>
      </c>
      <c r="K60" s="190" t="s">
        <v>514</v>
      </c>
      <c r="L60" s="190" t="s">
        <v>515</v>
      </c>
      <c r="M60" s="190" t="s">
        <v>540</v>
      </c>
      <c r="N60" s="190" t="s">
        <v>518</v>
      </c>
      <c r="O60" s="190" t="s">
        <v>541</v>
      </c>
      <c r="P60" s="190" t="s">
        <v>757</v>
      </c>
      <c r="Q60" s="190" t="s">
        <v>546</v>
      </c>
      <c r="R60" s="190" t="s">
        <v>518</v>
      </c>
      <c r="S60" s="190" t="s">
        <v>526</v>
      </c>
      <c r="T60" s="190" t="s">
        <v>518</v>
      </c>
      <c r="U60" s="190" t="s">
        <v>778</v>
      </c>
      <c r="V60" s="190" t="s">
        <v>542</v>
      </c>
      <c r="W60" s="190" t="s">
        <v>546</v>
      </c>
    </row>
    <row r="61" spans="1:25" x14ac:dyDescent="0.2">
      <c r="A61" s="190" t="s">
        <v>522</v>
      </c>
      <c r="B61" s="190" t="s">
        <v>531</v>
      </c>
      <c r="C61" s="190" t="s">
        <v>550</v>
      </c>
      <c r="D61" s="190" t="s">
        <v>544</v>
      </c>
      <c r="E61" s="190" t="s">
        <v>523</v>
      </c>
      <c r="F61" s="190" t="s">
        <v>781</v>
      </c>
      <c r="G61" s="190" t="s">
        <v>593</v>
      </c>
      <c r="H61" s="190" t="s">
        <v>233</v>
      </c>
      <c r="I61" s="191">
        <v>293244321.48000002</v>
      </c>
      <c r="J61" s="190" t="s">
        <v>513</v>
      </c>
      <c r="K61" s="190" t="s">
        <v>514</v>
      </c>
      <c r="L61" s="190" t="s">
        <v>515</v>
      </c>
      <c r="M61" s="190" t="s">
        <v>540</v>
      </c>
      <c r="N61" s="190" t="s">
        <v>518</v>
      </c>
      <c r="O61" s="190" t="s">
        <v>541</v>
      </c>
      <c r="P61" s="190" t="s">
        <v>757</v>
      </c>
      <c r="Q61" s="190" t="s">
        <v>546</v>
      </c>
      <c r="R61" s="190" t="s">
        <v>518</v>
      </c>
      <c r="S61" s="190" t="s">
        <v>526</v>
      </c>
      <c r="T61" s="190" t="s">
        <v>518</v>
      </c>
      <c r="U61" s="190" t="s">
        <v>782</v>
      </c>
      <c r="V61" s="190" t="s">
        <v>542</v>
      </c>
      <c r="W61" s="190" t="s">
        <v>546</v>
      </c>
    </row>
    <row r="62" spans="1:25" x14ac:dyDescent="0.2">
      <c r="A62" s="190" t="s">
        <v>522</v>
      </c>
      <c r="B62" s="190" t="s">
        <v>531</v>
      </c>
      <c r="C62" s="190" t="s">
        <v>552</v>
      </c>
      <c r="D62" s="190" t="s">
        <v>544</v>
      </c>
      <c r="E62" s="190" t="s">
        <v>523</v>
      </c>
      <c r="F62" s="190" t="s">
        <v>779</v>
      </c>
      <c r="G62" s="190" t="s">
        <v>593</v>
      </c>
      <c r="H62" s="190" t="s">
        <v>524</v>
      </c>
      <c r="I62" s="191">
        <v>6878433.9900000002</v>
      </c>
      <c r="J62" s="190" t="s">
        <v>513</v>
      </c>
      <c r="K62" s="190" t="s">
        <v>514</v>
      </c>
      <c r="L62" s="190" t="s">
        <v>515</v>
      </c>
      <c r="M62" s="190" t="s">
        <v>525</v>
      </c>
      <c r="N62" s="190" t="s">
        <v>518</v>
      </c>
      <c r="O62" s="190" t="s">
        <v>518</v>
      </c>
      <c r="P62" s="190" t="s">
        <v>760</v>
      </c>
      <c r="Q62" s="190" t="s">
        <v>546</v>
      </c>
      <c r="R62" s="190" t="s">
        <v>518</v>
      </c>
      <c r="S62" s="190" t="s">
        <v>526</v>
      </c>
      <c r="T62" s="190" t="s">
        <v>518</v>
      </c>
      <c r="U62" s="190" t="s">
        <v>780</v>
      </c>
      <c r="V62" s="190" t="s">
        <v>527</v>
      </c>
      <c r="W62" s="190" t="s">
        <v>546</v>
      </c>
    </row>
    <row r="63" spans="1:25" x14ac:dyDescent="0.2">
      <c r="A63" s="190" t="s">
        <v>510</v>
      </c>
      <c r="B63" s="190" t="s">
        <v>531</v>
      </c>
      <c r="C63" s="190" t="s">
        <v>783</v>
      </c>
      <c r="D63" s="190" t="s">
        <v>544</v>
      </c>
      <c r="E63" s="190" t="s">
        <v>512</v>
      </c>
      <c r="F63" s="190" t="s">
        <v>784</v>
      </c>
      <c r="G63" s="190" t="s">
        <v>593</v>
      </c>
      <c r="H63" s="190" t="s">
        <v>528</v>
      </c>
      <c r="I63" s="191">
        <v>-14813.16</v>
      </c>
      <c r="J63" s="190" t="s">
        <v>513</v>
      </c>
      <c r="K63" s="190" t="s">
        <v>514</v>
      </c>
      <c r="L63" s="190" t="s">
        <v>515</v>
      </c>
      <c r="M63" s="190" t="s">
        <v>516</v>
      </c>
      <c r="N63" s="190" t="s">
        <v>547</v>
      </c>
      <c r="O63" s="190" t="s">
        <v>517</v>
      </c>
      <c r="P63" s="190" t="s">
        <v>785</v>
      </c>
      <c r="Q63" s="190" t="s">
        <v>518</v>
      </c>
      <c r="R63" s="190" t="s">
        <v>518</v>
      </c>
      <c r="S63" s="190" t="s">
        <v>519</v>
      </c>
      <c r="T63" s="190" t="s">
        <v>518</v>
      </c>
      <c r="U63" s="190" t="s">
        <v>786</v>
      </c>
      <c r="V63" s="190" t="s">
        <v>532</v>
      </c>
      <c r="W63" s="190" t="s">
        <v>518</v>
      </c>
      <c r="X63" s="190" t="s">
        <v>787</v>
      </c>
      <c r="Y63" s="190" t="s">
        <v>521</v>
      </c>
    </row>
    <row r="64" spans="1:25" x14ac:dyDescent="0.2">
      <c r="A64" s="190" t="s">
        <v>510</v>
      </c>
      <c r="B64" s="190" t="s">
        <v>531</v>
      </c>
      <c r="C64" s="190" t="s">
        <v>788</v>
      </c>
      <c r="D64" s="190" t="s">
        <v>544</v>
      </c>
      <c r="E64" s="190" t="s">
        <v>512</v>
      </c>
      <c r="F64" s="190" t="s">
        <v>789</v>
      </c>
      <c r="G64" s="190" t="s">
        <v>593</v>
      </c>
      <c r="H64" s="190" t="s">
        <v>528</v>
      </c>
      <c r="I64" s="191">
        <v>-90283.26</v>
      </c>
      <c r="J64" s="190" t="s">
        <v>513</v>
      </c>
      <c r="K64" s="190" t="s">
        <v>514</v>
      </c>
      <c r="L64" s="190" t="s">
        <v>515</v>
      </c>
      <c r="M64" s="190" t="s">
        <v>516</v>
      </c>
      <c r="N64" s="190" t="s">
        <v>547</v>
      </c>
      <c r="O64" s="190" t="s">
        <v>517</v>
      </c>
      <c r="P64" s="190" t="s">
        <v>790</v>
      </c>
      <c r="Q64" s="190" t="s">
        <v>518</v>
      </c>
      <c r="R64" s="190" t="s">
        <v>518</v>
      </c>
      <c r="S64" s="190" t="s">
        <v>519</v>
      </c>
      <c r="T64" s="190" t="s">
        <v>518</v>
      </c>
      <c r="U64" s="190" t="s">
        <v>791</v>
      </c>
      <c r="V64" s="190" t="s">
        <v>532</v>
      </c>
      <c r="W64" s="190" t="s">
        <v>518</v>
      </c>
      <c r="X64" s="190" t="s">
        <v>792</v>
      </c>
      <c r="Y64" s="190" t="s">
        <v>521</v>
      </c>
    </row>
    <row r="65" spans="1:25" x14ac:dyDescent="0.2">
      <c r="A65" s="190" t="s">
        <v>510</v>
      </c>
      <c r="B65" s="190" t="s">
        <v>531</v>
      </c>
      <c r="C65" s="190" t="s">
        <v>793</v>
      </c>
      <c r="D65" s="190" t="s">
        <v>544</v>
      </c>
      <c r="E65" s="190" t="s">
        <v>512</v>
      </c>
      <c r="F65" s="190" t="s">
        <v>794</v>
      </c>
      <c r="G65" s="190" t="s">
        <v>593</v>
      </c>
      <c r="H65" s="190" t="s">
        <v>528</v>
      </c>
      <c r="I65" s="191">
        <v>-4939.75</v>
      </c>
      <c r="J65" s="190" t="s">
        <v>513</v>
      </c>
      <c r="K65" s="190" t="s">
        <v>514</v>
      </c>
      <c r="L65" s="190" t="s">
        <v>515</v>
      </c>
      <c r="M65" s="190" t="s">
        <v>516</v>
      </c>
      <c r="N65" s="190" t="s">
        <v>547</v>
      </c>
      <c r="O65" s="190" t="s">
        <v>517</v>
      </c>
      <c r="P65" s="190" t="s">
        <v>795</v>
      </c>
      <c r="Q65" s="190" t="s">
        <v>518</v>
      </c>
      <c r="R65" s="190" t="s">
        <v>518</v>
      </c>
      <c r="S65" s="190" t="s">
        <v>519</v>
      </c>
      <c r="T65" s="190" t="s">
        <v>518</v>
      </c>
      <c r="U65" s="190" t="s">
        <v>796</v>
      </c>
      <c r="V65" s="190" t="s">
        <v>532</v>
      </c>
      <c r="W65" s="190" t="s">
        <v>518</v>
      </c>
      <c r="X65" s="190" t="s">
        <v>797</v>
      </c>
      <c r="Y65" s="190" t="s">
        <v>521</v>
      </c>
    </row>
    <row r="66" spans="1:25" x14ac:dyDescent="0.2">
      <c r="A66" s="190" t="s">
        <v>522</v>
      </c>
      <c r="B66" s="190" t="s">
        <v>531</v>
      </c>
      <c r="C66" s="190" t="s">
        <v>551</v>
      </c>
      <c r="D66" s="190" t="s">
        <v>544</v>
      </c>
      <c r="E66" s="190" t="s">
        <v>523</v>
      </c>
      <c r="F66" s="190" t="s">
        <v>798</v>
      </c>
      <c r="G66" s="190" t="s">
        <v>593</v>
      </c>
      <c r="H66" s="190" t="s">
        <v>524</v>
      </c>
      <c r="I66" s="191">
        <v>3570657.46</v>
      </c>
      <c r="J66" s="190" t="s">
        <v>513</v>
      </c>
      <c r="K66" s="190" t="s">
        <v>514</v>
      </c>
      <c r="L66" s="190" t="s">
        <v>515</v>
      </c>
      <c r="M66" s="190" t="s">
        <v>525</v>
      </c>
      <c r="N66" s="190" t="s">
        <v>518</v>
      </c>
      <c r="O66" s="190" t="s">
        <v>518</v>
      </c>
      <c r="P66" s="190" t="s">
        <v>760</v>
      </c>
      <c r="Q66" s="190" t="s">
        <v>546</v>
      </c>
      <c r="R66" s="190" t="s">
        <v>518</v>
      </c>
      <c r="S66" s="190" t="s">
        <v>526</v>
      </c>
      <c r="T66" s="190" t="s">
        <v>518</v>
      </c>
      <c r="U66" s="190" t="s">
        <v>799</v>
      </c>
      <c r="V66" s="190" t="s">
        <v>527</v>
      </c>
      <c r="W66" s="190" t="s">
        <v>546</v>
      </c>
    </row>
    <row r="67" spans="1:25" x14ac:dyDescent="0.2">
      <c r="A67" s="190" t="s">
        <v>522</v>
      </c>
      <c r="B67" s="190" t="s">
        <v>531</v>
      </c>
      <c r="C67" s="190" t="s">
        <v>552</v>
      </c>
      <c r="D67" s="190" t="s">
        <v>544</v>
      </c>
      <c r="E67" s="190" t="s">
        <v>523</v>
      </c>
      <c r="F67" s="190" t="s">
        <v>800</v>
      </c>
      <c r="G67" s="190" t="s">
        <v>593</v>
      </c>
      <c r="H67" s="190" t="s">
        <v>233</v>
      </c>
      <c r="I67" s="191">
        <v>3795586.91</v>
      </c>
      <c r="J67" s="190" t="s">
        <v>513</v>
      </c>
      <c r="K67" s="190" t="s">
        <v>514</v>
      </c>
      <c r="L67" s="190" t="s">
        <v>515</v>
      </c>
      <c r="M67" s="190" t="s">
        <v>540</v>
      </c>
      <c r="N67" s="190" t="s">
        <v>518</v>
      </c>
      <c r="O67" s="190" t="s">
        <v>541</v>
      </c>
      <c r="P67" s="190" t="s">
        <v>757</v>
      </c>
      <c r="Q67" s="190" t="s">
        <v>546</v>
      </c>
      <c r="R67" s="190" t="s">
        <v>518</v>
      </c>
      <c r="S67" s="190" t="s">
        <v>526</v>
      </c>
      <c r="T67" s="190" t="s">
        <v>518</v>
      </c>
      <c r="U67" s="190" t="s">
        <v>801</v>
      </c>
      <c r="V67" s="190" t="s">
        <v>542</v>
      </c>
      <c r="W67" s="190" t="s">
        <v>546</v>
      </c>
    </row>
    <row r="68" spans="1:25" x14ac:dyDescent="0.2">
      <c r="A68" s="190" t="s">
        <v>522</v>
      </c>
      <c r="B68" s="190" t="s">
        <v>531</v>
      </c>
      <c r="C68" s="190" t="s">
        <v>550</v>
      </c>
      <c r="D68" s="190" t="s">
        <v>544</v>
      </c>
      <c r="E68" s="190" t="s">
        <v>523</v>
      </c>
      <c r="F68" s="190" t="s">
        <v>804</v>
      </c>
      <c r="G68" s="190" t="s">
        <v>593</v>
      </c>
      <c r="H68" s="190" t="s">
        <v>233</v>
      </c>
      <c r="I68" s="191">
        <v>167546411.99000001</v>
      </c>
      <c r="J68" s="190" t="s">
        <v>513</v>
      </c>
      <c r="K68" s="190" t="s">
        <v>514</v>
      </c>
      <c r="L68" s="190" t="s">
        <v>515</v>
      </c>
      <c r="M68" s="190" t="s">
        <v>540</v>
      </c>
      <c r="N68" s="190" t="s">
        <v>518</v>
      </c>
      <c r="O68" s="190" t="s">
        <v>541</v>
      </c>
      <c r="P68" s="190" t="s">
        <v>757</v>
      </c>
      <c r="Q68" s="190" t="s">
        <v>546</v>
      </c>
      <c r="R68" s="190" t="s">
        <v>518</v>
      </c>
      <c r="S68" s="190" t="s">
        <v>526</v>
      </c>
      <c r="T68" s="190" t="s">
        <v>518</v>
      </c>
      <c r="U68" s="190" t="s">
        <v>805</v>
      </c>
      <c r="V68" s="190" t="s">
        <v>542</v>
      </c>
      <c r="W68" s="190" t="s">
        <v>546</v>
      </c>
    </row>
    <row r="69" spans="1:25" x14ac:dyDescent="0.2">
      <c r="A69" s="190" t="s">
        <v>522</v>
      </c>
      <c r="B69" s="190" t="s">
        <v>531</v>
      </c>
      <c r="C69" s="190" t="s">
        <v>551</v>
      </c>
      <c r="D69" s="190" t="s">
        <v>544</v>
      </c>
      <c r="E69" s="190" t="s">
        <v>523</v>
      </c>
      <c r="F69" s="190" t="s">
        <v>802</v>
      </c>
      <c r="G69" s="190" t="s">
        <v>593</v>
      </c>
      <c r="H69" s="190" t="s">
        <v>524</v>
      </c>
      <c r="I69" s="191">
        <v>3226920.89</v>
      </c>
      <c r="J69" s="190" t="s">
        <v>513</v>
      </c>
      <c r="K69" s="190" t="s">
        <v>514</v>
      </c>
      <c r="L69" s="190" t="s">
        <v>515</v>
      </c>
      <c r="M69" s="190" t="s">
        <v>525</v>
      </c>
      <c r="N69" s="190" t="s">
        <v>518</v>
      </c>
      <c r="O69" s="190" t="s">
        <v>518</v>
      </c>
      <c r="P69" s="190" t="s">
        <v>760</v>
      </c>
      <c r="Q69" s="190" t="s">
        <v>546</v>
      </c>
      <c r="R69" s="190" t="s">
        <v>518</v>
      </c>
      <c r="S69" s="190" t="s">
        <v>526</v>
      </c>
      <c r="T69" s="190" t="s">
        <v>518</v>
      </c>
      <c r="U69" s="190" t="s">
        <v>803</v>
      </c>
      <c r="V69" s="190" t="s">
        <v>527</v>
      </c>
      <c r="W69" s="190" t="s">
        <v>546</v>
      </c>
    </row>
    <row r="70" spans="1:25" x14ac:dyDescent="0.2">
      <c r="A70" s="190" t="s">
        <v>510</v>
      </c>
      <c r="B70" s="190" t="s">
        <v>531</v>
      </c>
      <c r="C70" s="190" t="s">
        <v>806</v>
      </c>
      <c r="D70" s="190" t="s">
        <v>544</v>
      </c>
      <c r="E70" s="190" t="s">
        <v>512</v>
      </c>
      <c r="F70" s="190" t="s">
        <v>807</v>
      </c>
      <c r="G70" s="190" t="s">
        <v>593</v>
      </c>
      <c r="H70" s="190" t="s">
        <v>528</v>
      </c>
      <c r="I70" s="191">
        <v>-30149.45</v>
      </c>
      <c r="J70" s="190" t="s">
        <v>513</v>
      </c>
      <c r="K70" s="190" t="s">
        <v>514</v>
      </c>
      <c r="L70" s="190" t="s">
        <v>515</v>
      </c>
      <c r="M70" s="190" t="s">
        <v>516</v>
      </c>
      <c r="N70" s="190" t="s">
        <v>547</v>
      </c>
      <c r="O70" s="190" t="s">
        <v>517</v>
      </c>
      <c r="P70" s="190" t="s">
        <v>808</v>
      </c>
      <c r="Q70" s="190" t="s">
        <v>518</v>
      </c>
      <c r="R70" s="190" t="s">
        <v>518</v>
      </c>
      <c r="S70" s="190" t="s">
        <v>519</v>
      </c>
      <c r="T70" s="190" t="s">
        <v>518</v>
      </c>
      <c r="U70" s="190" t="s">
        <v>809</v>
      </c>
      <c r="V70" s="190" t="s">
        <v>532</v>
      </c>
      <c r="W70" s="190" t="s">
        <v>518</v>
      </c>
      <c r="X70" s="190" t="s">
        <v>810</v>
      </c>
      <c r="Y70" s="190" t="s">
        <v>521</v>
      </c>
    </row>
    <row r="71" spans="1:25" x14ac:dyDescent="0.2">
      <c r="A71" s="190" t="s">
        <v>510</v>
      </c>
      <c r="B71" s="190" t="s">
        <v>531</v>
      </c>
      <c r="C71" s="190" t="s">
        <v>811</v>
      </c>
      <c r="D71" s="190" t="s">
        <v>544</v>
      </c>
      <c r="E71" s="190" t="s">
        <v>512</v>
      </c>
      <c r="F71" s="190" t="s">
        <v>812</v>
      </c>
      <c r="G71" s="190" t="s">
        <v>593</v>
      </c>
      <c r="H71" s="190" t="s">
        <v>233</v>
      </c>
      <c r="I71" s="191">
        <v>2718867.31</v>
      </c>
      <c r="J71" s="190" t="s">
        <v>513</v>
      </c>
      <c r="K71" s="190" t="s">
        <v>514</v>
      </c>
      <c r="L71" s="190" t="s">
        <v>515</v>
      </c>
      <c r="M71" s="190" t="s">
        <v>813</v>
      </c>
      <c r="N71" s="190" t="s">
        <v>518</v>
      </c>
      <c r="O71" s="190" t="s">
        <v>518</v>
      </c>
      <c r="P71" s="190" t="s">
        <v>814</v>
      </c>
      <c r="Q71" s="190" t="s">
        <v>518</v>
      </c>
      <c r="R71" s="190" t="s">
        <v>518</v>
      </c>
      <c r="S71" s="190" t="s">
        <v>519</v>
      </c>
      <c r="T71" s="190" t="s">
        <v>518</v>
      </c>
      <c r="U71" s="190" t="s">
        <v>815</v>
      </c>
      <c r="V71" s="190" t="s">
        <v>816</v>
      </c>
      <c r="W71" s="190" t="s">
        <v>518</v>
      </c>
      <c r="X71" s="190" t="s">
        <v>817</v>
      </c>
      <c r="Y71" s="190" t="s">
        <v>521</v>
      </c>
    </row>
    <row r="72" spans="1:25" x14ac:dyDescent="0.2">
      <c r="A72" s="190" t="s">
        <v>522</v>
      </c>
      <c r="B72" s="190" t="s">
        <v>531</v>
      </c>
      <c r="C72" s="190" t="s">
        <v>550</v>
      </c>
      <c r="D72" s="190" t="s">
        <v>544</v>
      </c>
      <c r="E72" s="190" t="s">
        <v>523</v>
      </c>
      <c r="F72" s="190" t="s">
        <v>818</v>
      </c>
      <c r="G72" s="190" t="s">
        <v>593</v>
      </c>
      <c r="H72" s="190" t="s">
        <v>233</v>
      </c>
      <c r="I72" s="191">
        <v>10288030.32</v>
      </c>
      <c r="J72" s="190" t="s">
        <v>513</v>
      </c>
      <c r="K72" s="190" t="s">
        <v>514</v>
      </c>
      <c r="L72" s="190" t="s">
        <v>515</v>
      </c>
      <c r="M72" s="190" t="s">
        <v>540</v>
      </c>
      <c r="N72" s="190" t="s">
        <v>518</v>
      </c>
      <c r="O72" s="190" t="s">
        <v>541</v>
      </c>
      <c r="P72" s="190" t="s">
        <v>757</v>
      </c>
      <c r="Q72" s="190" t="s">
        <v>546</v>
      </c>
      <c r="R72" s="190" t="s">
        <v>518</v>
      </c>
      <c r="S72" s="190" t="s">
        <v>526</v>
      </c>
      <c r="T72" s="190" t="s">
        <v>518</v>
      </c>
      <c r="U72" s="190" t="s">
        <v>819</v>
      </c>
      <c r="V72" s="190" t="s">
        <v>542</v>
      </c>
      <c r="W72" s="190" t="s">
        <v>546</v>
      </c>
    </row>
    <row r="73" spans="1:25" x14ac:dyDescent="0.2">
      <c r="A73" s="190" t="s">
        <v>522</v>
      </c>
      <c r="B73" s="190" t="s">
        <v>531</v>
      </c>
      <c r="C73" s="190" t="s">
        <v>551</v>
      </c>
      <c r="D73" s="190" t="s">
        <v>544</v>
      </c>
      <c r="E73" s="190" t="s">
        <v>523</v>
      </c>
      <c r="F73" s="190" t="s">
        <v>820</v>
      </c>
      <c r="G73" s="190" t="s">
        <v>593</v>
      </c>
      <c r="H73" s="190" t="s">
        <v>233</v>
      </c>
      <c r="I73" s="191">
        <v>1277563.33</v>
      </c>
      <c r="J73" s="190" t="s">
        <v>513</v>
      </c>
      <c r="K73" s="190" t="s">
        <v>514</v>
      </c>
      <c r="L73" s="190" t="s">
        <v>515</v>
      </c>
      <c r="M73" s="190" t="s">
        <v>540</v>
      </c>
      <c r="N73" s="190" t="s">
        <v>518</v>
      </c>
      <c r="O73" s="190" t="s">
        <v>541</v>
      </c>
      <c r="P73" s="190" t="s">
        <v>757</v>
      </c>
      <c r="Q73" s="190" t="s">
        <v>546</v>
      </c>
      <c r="R73" s="190" t="s">
        <v>518</v>
      </c>
      <c r="S73" s="190" t="s">
        <v>526</v>
      </c>
      <c r="T73" s="190" t="s">
        <v>518</v>
      </c>
      <c r="U73" s="190" t="s">
        <v>821</v>
      </c>
      <c r="V73" s="190" t="s">
        <v>542</v>
      </c>
      <c r="W73" s="190" t="s">
        <v>546</v>
      </c>
    </row>
    <row r="74" spans="1:25" x14ac:dyDescent="0.2">
      <c r="A74" s="190" t="s">
        <v>510</v>
      </c>
      <c r="B74" s="190" t="s">
        <v>531</v>
      </c>
      <c r="C74" s="190" t="s">
        <v>822</v>
      </c>
      <c r="D74" s="190" t="s">
        <v>544</v>
      </c>
      <c r="E74" s="190" t="s">
        <v>512</v>
      </c>
      <c r="F74" s="190" t="s">
        <v>823</v>
      </c>
      <c r="G74" s="190" t="s">
        <v>593</v>
      </c>
      <c r="H74" s="190" t="s">
        <v>233</v>
      </c>
      <c r="I74" s="191">
        <v>496235.54</v>
      </c>
      <c r="J74" s="190" t="s">
        <v>513</v>
      </c>
      <c r="K74" s="190" t="s">
        <v>514</v>
      </c>
      <c r="L74" s="190" t="s">
        <v>515</v>
      </c>
      <c r="M74" s="190" t="s">
        <v>540</v>
      </c>
      <c r="N74" s="190" t="s">
        <v>518</v>
      </c>
      <c r="O74" s="190" t="s">
        <v>518</v>
      </c>
      <c r="P74" s="190" t="s">
        <v>768</v>
      </c>
      <c r="Q74" s="190" t="s">
        <v>518</v>
      </c>
      <c r="R74" s="190" t="s">
        <v>518</v>
      </c>
      <c r="S74" s="190" t="s">
        <v>519</v>
      </c>
      <c r="T74" s="190" t="s">
        <v>338</v>
      </c>
      <c r="U74" s="190" t="s">
        <v>518</v>
      </c>
      <c r="V74" s="190" t="s">
        <v>769</v>
      </c>
      <c r="W74" s="190" t="s">
        <v>518</v>
      </c>
      <c r="X74" s="190" t="s">
        <v>518</v>
      </c>
      <c r="Y74" s="190" t="s">
        <v>770</v>
      </c>
    </row>
    <row r="75" spans="1:25" x14ac:dyDescent="0.2">
      <c r="A75" s="190"/>
      <c r="B75" s="190"/>
      <c r="C75" s="190"/>
      <c r="D75" s="190"/>
      <c r="E75" s="190"/>
      <c r="F75" s="190"/>
      <c r="G75" s="190"/>
      <c r="H75" s="190"/>
      <c r="I75" s="191"/>
      <c r="J75" s="190"/>
      <c r="K75" s="190"/>
      <c r="L75" s="190"/>
      <c r="M75" s="190"/>
      <c r="N75" s="190"/>
      <c r="O75" s="190"/>
      <c r="P75" s="190"/>
      <c r="Q75" s="190"/>
      <c r="R75" s="190"/>
      <c r="S75" s="190"/>
      <c r="T75" s="190"/>
      <c r="U75" s="190"/>
      <c r="V75" s="190"/>
      <c r="W75" s="190"/>
    </row>
    <row r="76" spans="1:25" x14ac:dyDescent="0.2">
      <c r="A76" s="190"/>
      <c r="B76" s="190"/>
      <c r="C76" s="190"/>
      <c r="D76" s="190"/>
      <c r="E76" s="190"/>
      <c r="F76" s="190"/>
      <c r="G76" s="190"/>
      <c r="H76" s="190"/>
      <c r="I76" s="191"/>
      <c r="J76" s="190"/>
      <c r="K76" s="190"/>
      <c r="L76" s="190"/>
      <c r="M76" s="190"/>
      <c r="N76" s="190"/>
      <c r="O76" s="190"/>
      <c r="P76" s="190"/>
      <c r="Q76" s="190"/>
      <c r="R76" s="190"/>
      <c r="S76" s="190"/>
      <c r="T76" s="190"/>
      <c r="U76" s="190"/>
      <c r="V76" s="190"/>
      <c r="W76" s="190"/>
      <c r="X76" s="190"/>
      <c r="Y76" s="190"/>
    </row>
    <row r="77" spans="1:25" x14ac:dyDescent="0.2">
      <c r="A77" s="186"/>
      <c r="B77" s="186"/>
      <c r="C77" s="186"/>
      <c r="D77" s="186"/>
      <c r="E77" s="186"/>
      <c r="F77" s="186"/>
      <c r="G77" s="186"/>
      <c r="H77" s="186"/>
      <c r="I77" s="187"/>
      <c r="J77" s="186"/>
      <c r="K77" s="186"/>
      <c r="L77" s="186"/>
      <c r="M77" s="186"/>
      <c r="N77" s="186"/>
      <c r="O77" s="186"/>
      <c r="P77" s="186"/>
      <c r="Q77" s="186"/>
      <c r="R77" s="186"/>
      <c r="S77" s="186"/>
      <c r="T77" s="186"/>
      <c r="U77" s="186"/>
      <c r="V77" s="186"/>
      <c r="W77" s="186"/>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mdCargar">
          <controlPr defaultSize="0" autoLine="0" r:id="rId5">
            <anchor moveWithCells="1">
              <from>
                <xdr:col>11</xdr:col>
                <xdr:colOff>0</xdr:colOff>
                <xdr:row>0</xdr:row>
                <xdr:rowOff>0</xdr:rowOff>
              </from>
              <to>
                <xdr:col>14</xdr:col>
                <xdr:colOff>400050</xdr:colOff>
                <xdr:row>2</xdr:row>
                <xdr:rowOff>95250</xdr:rowOff>
              </to>
            </anchor>
          </controlPr>
        </control>
      </mc:Choice>
      <mc:Fallback>
        <control shapeId="2049" r:id="rId4" name="cmdCargar"/>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Hoja1</vt:lpstr>
      <vt:lpstr>ListaContratos</vt:lpstr>
      <vt:lpstr>Catalogo</vt:lpstr>
      <vt:lpstr>Hoja2</vt:lpstr>
      <vt:lpstr>Conciliacion</vt:lpstr>
      <vt:lpstr>Hoja4</vt:lpstr>
      <vt:lpstr>RK</vt:lpstr>
      <vt:lpstr>FRONT</vt:lpstr>
      <vt:lpstr>Hoja3</vt:lpstr>
      <vt:lpstr>Informe de compatibilidad</vt:lpstr>
      <vt:lpstr>Pendientes historicos </vt:lpstr>
      <vt:lpstr>Reporte_Movimientos</vt:lpstr>
      <vt:lpstr>Conciliacion!Área_de_impresión</vt:lpstr>
    </vt:vector>
  </TitlesOfParts>
  <Company>GFSS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C144234</dc:creator>
  <cp:lastModifiedBy>Marquez Gutierrez Alfredo</cp:lastModifiedBy>
  <cp:lastPrinted>2022-08-09T20:08:43Z</cp:lastPrinted>
  <dcterms:created xsi:type="dcterms:W3CDTF">2010-06-02T22:15:27Z</dcterms:created>
  <dcterms:modified xsi:type="dcterms:W3CDTF">2024-04-15T20:01:24Z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1b88ec2-a72b-4523-9e84-0458a1764731_Enabled">
    <vt:lpwstr>true</vt:lpwstr>
  </property>
  <property fmtid="{D5CDD505-2E9C-101B-9397-08002B2CF9AE}" pid="3" name="MSIP_Label_41b88ec2-a72b-4523-9e84-0458a1764731_SetDate">
    <vt:lpwstr>2021-10-07T23:34:23Z</vt:lpwstr>
  </property>
  <property fmtid="{D5CDD505-2E9C-101B-9397-08002B2CF9AE}" pid="4" name="MSIP_Label_41b88ec2-a72b-4523-9e84-0458a1764731_Method">
    <vt:lpwstr>Privileged</vt:lpwstr>
  </property>
  <property fmtid="{D5CDD505-2E9C-101B-9397-08002B2CF9AE}" pid="5" name="MSIP_Label_41b88ec2-a72b-4523-9e84-0458a1764731_Name">
    <vt:lpwstr>Public O365</vt:lpwstr>
  </property>
  <property fmtid="{D5CDD505-2E9C-101B-9397-08002B2CF9AE}" pid="6" name="MSIP_Label_41b88ec2-a72b-4523-9e84-0458a1764731_SiteId">
    <vt:lpwstr>35595a02-4d6d-44ac-99e1-f9ab4cd872db</vt:lpwstr>
  </property>
  <property fmtid="{D5CDD505-2E9C-101B-9397-08002B2CF9AE}" pid="7" name="MSIP_Label_41b88ec2-a72b-4523-9e84-0458a1764731_ActionId">
    <vt:lpwstr>098a9773-4b1e-4bda-aa39-2e6f15c4255f</vt:lpwstr>
  </property>
  <property fmtid="{D5CDD505-2E9C-101B-9397-08002B2CF9AE}" pid="8" name="MSIP_Label_41b88ec2-a72b-4523-9e84-0458a1764731_ContentBits">
    <vt:lpwstr>0</vt:lpwstr>
  </property>
</Properties>
</file>